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umen" sheetId="2" state="visible" r:id="rId2"/>
    <sheet name="Pegar calibracion" sheetId="3" state="visible" r:id="rId3"/>
    <sheet name="Pegar docentes" sheetId="4" state="visible" r:id="rId4"/>
    <sheet name="Pegar estudiantes" sheetId="5" state="visible" r:id="rId5"/>
    <sheet name="Calibracion" sheetId="6" state="visible" r:id="rId6"/>
    <sheet name="Docentes" sheetId="7" state="visible" r:id="rId7"/>
    <sheet name="Estudia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columna &quot;0;;&quot;no está en el CSV&quot;"/>
    <numFmt numFmtId="165" formatCode="0.0"/>
  </numFmts>
  <fonts count="8">
    <font>
      <name val="Calibri"/>
      <family val="2"/>
      <color theme="1"/>
      <sz val="11"/>
      <scheme val="minor"/>
    </font>
    <font>
      <i val="1"/>
      <color rgb="007F7F7F"/>
      <sz val="9"/>
    </font>
    <font>
      <b val="1"/>
    </font>
    <font>
      <b val="1"/>
      <color rgb="001F3A5F"/>
      <sz val="16"/>
    </font>
    <font>
      <b val="1"/>
      <color rgb="00FFFFFF"/>
      <sz val="13"/>
    </font>
    <font>
      <b val="1"/>
      <sz val="13"/>
    </font>
    <font>
      <b val="1"/>
      <color rgb="009C0006"/>
      <sz val="12"/>
    </font>
    <font>
      <b val="1"/>
      <color rgb="001F3A5F"/>
      <sz val="12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5" borderId="0" pivotButton="0" quotePrefix="0" xfId="0"/>
    <xf numFmtId="0" fontId="0" fillId="5" borderId="0" pivotButton="0" quotePrefix="0" xfId="0"/>
    <xf numFmtId="0" fontId="7" fillId="0" borderId="0" applyAlignment="1" pivotButton="0" quotePrefix="0" xfId="0">
      <alignment horizontal="center" vertical="top"/>
    </xf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9" fontId="0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/>
    </xf>
    <xf numFmtId="165" fontId="0" fillId="0" borderId="1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top" wrapText="1"/>
    </xf>
    <xf numFmtId="9" fontId="2" fillId="0" borderId="0" pivotButton="0" quotePrefix="0" xfId="0"/>
    <xf numFmtId="0" fontId="2" fillId="2" borderId="0" pivotButton="0" quotePrefix="0" xfId="0"/>
    <xf numFmtId="0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0" pivotButton="0" quotePrefix="0" xfId="0"/>
    <xf numFmtId="9" fontId="0" fillId="0" borderId="0" applyAlignment="1" pivotButton="0" quotePrefix="0" xfId="0">
      <alignment horizontal="right"/>
    </xf>
    <xf numFmtId="165" fontId="2" fillId="0" borderId="0" pivotButton="0" quotePrefix="0" xfId="0"/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vertical="center" wrapText="1"/>
    </xf>
    <xf numFmtId="164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E7E6E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Señales que salieron «bad» cuando VeriTech fue más estricto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'Resumen'!B29</f>
            </strRef>
          </tx>
          <spPr>
            <a:ln>
              <a:prstDash val="solid"/>
            </a:ln>
          </spPr>
          <cat>
            <numRef>
              <f>'Resumen'!$A$30:$A$38</f>
            </numRef>
          </cat>
          <val>
            <numRef>
              <f>'Resumen'!$B$30:$B$38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del semáforo (5 = muy útil)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'Resumen'!B75</f>
            </strRef>
          </tx>
          <spPr>
            <a:ln>
              <a:prstDash val="solid"/>
            </a:ln>
          </spPr>
          <cat>
            <numRef>
              <f>'Resumen'!$A$76:$A$80</f>
            </numRef>
          </cat>
          <val>
            <numRef>
              <f>'Resumen'!$B$76:$B$80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¿El semáforo coincide con su criterio?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'Resumen'!B89</f>
            </strRef>
          </tx>
          <spPr>
            <a:ln>
              <a:prstDash val="solid"/>
            </a:ln>
          </spPr>
          <cat>
            <numRef>
              <f>'Resumen'!$A$90:$A$93</f>
            </numRef>
          </cat>
          <val>
            <numRef>
              <f>'Resumen'!$B$90:$B$93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¿Los alumnos entienden el semáforo?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'Resumen'!B103</f>
            </strRef>
          </tx>
          <spPr>
            <a:ln>
              <a:prstDash val="solid"/>
            </a:ln>
          </spPr>
          <cat>
            <numRef>
              <f>'Resumen'!$A$104:$A$106</f>
            </numRef>
          </cat>
          <val>
            <numRef>
              <f>'Resumen'!$B$104:$B$106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¿Lo usaría en clase?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'Resumen'!B117</f>
            </strRef>
          </tx>
          <spPr>
            <a:ln>
              <a:prstDash val="solid"/>
            </a:ln>
          </spPr>
          <cat>
            <numRef>
              <f>'Resumen'!$A$118:$A$120</f>
            </numRef>
          </cat>
          <val>
            <numRef>
              <f>'Resumen'!$B$118:$B$120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¿Recomendaría que el colegio lo contrate?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'Resumen'!B131</f>
            </strRef>
          </tx>
          <spPr>
            <a:ln>
              <a:prstDash val="solid"/>
            </a:ln>
          </spPr>
          <cat>
            <numRef>
              <f>'Resumen'!$A$132:$A$135</f>
            </numRef>
          </cat>
          <val>
            <numRef>
              <f>'Resumen'!$B$132:$B$135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Imprescindible para usarlo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'Resumen'!B145</f>
            </strRef>
          </tx>
          <spPr>
            <a:ln>
              <a:prstDash val="solid"/>
            </a:ln>
          </spPr>
          <cat>
            <numRef>
              <f>'Resumen'!$A$146:$A$152</f>
            </numRef>
          </cat>
          <val>
            <numRef>
              <f>'Resumen'!$B$146:$B$152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Satisfacción (5 = muy satisfecho)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'Resumen'!B176</f>
            </strRef>
          </tx>
          <spPr>
            <a:ln>
              <a:prstDash val="solid"/>
            </a:ln>
          </spPr>
          <cat>
            <numRef>
              <f>'Resumen'!$A$177:$A$181</f>
            </numRef>
          </cat>
          <val>
            <numRef>
              <f>'Resumen'!$B$177:$B$181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¿Lo recomendaría? (5 = muy probable)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'Resumen'!B190</f>
            </strRef>
          </tx>
          <spPr>
            <a:ln>
              <a:prstDash val="solid"/>
            </a:ln>
          </spPr>
          <cat>
            <numRef>
              <f>'Resumen'!$A$191:$A$195</f>
            </numRef>
          </cat>
          <val>
            <numRef>
              <f>'Resumen'!$B$191:$B$195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¿Qué tan fácil fue usarla?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'Resumen'!B204</f>
            </strRef>
          </tx>
          <spPr>
            <a:ln>
              <a:prstDash val="solid"/>
            </a:ln>
          </spPr>
          <cat>
            <numRef>
              <f>'Resumen'!$A$205:$A$209</f>
            </numRef>
          </cat>
          <val>
            <numRef>
              <f>'Resumen'!$B$205:$B$209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¿Funcionó bien?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'Resumen'!B218</f>
            </strRef>
          </tx>
          <spPr>
            <a:ln>
              <a:prstDash val="solid"/>
            </a:ln>
          </spPr>
          <cat>
            <numRef>
              <f>'Resumen'!$A$219:$A$222</f>
            </numRef>
          </cat>
          <val>
            <numRef>
              <f>'Resumen'!$B$219:$B$222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¿Entendió el semáforo?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'Resumen'!B232</f>
            </strRef>
          </tx>
          <spPr>
            <a:ln>
              <a:prstDash val="solid"/>
            </a:ln>
          </spPr>
          <cat>
            <numRef>
              <f>'Resumen'!$A$233:$A$236</f>
            </numRef>
          </cat>
          <val>
            <numRef>
              <f>'Resumen'!$B$233:$B$236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¿La usaría en su próxima tarea?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'Resumen'!B246</f>
            </strRef>
          </tx>
          <spPr>
            <a:ln>
              <a:prstDash val="solid"/>
            </a:ln>
          </spPr>
          <cat>
            <numRef>
              <f>'Resumen'!$A$247:$A$249</f>
            </numRef>
          </cat>
          <val>
            <numRef>
              <f>'Resumen'!$B$247:$B$249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27</row>
      <rowOff>0</rowOff>
    </from>
    <ext cx="54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73</row>
      <rowOff>0</rowOff>
    </from>
    <ext cx="5400000" cy="19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87</row>
      <rowOff>0</rowOff>
    </from>
    <ext cx="5400000" cy="19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101</row>
      <rowOff>0</rowOff>
    </from>
    <ext cx="5400000" cy="19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115</row>
      <rowOff>0</rowOff>
    </from>
    <ext cx="5400000" cy="19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129</row>
      <rowOff>0</rowOff>
    </from>
    <ext cx="5400000" cy="19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7</col>
      <colOff>0</colOff>
      <row>143</row>
      <rowOff>0</rowOff>
    </from>
    <ext cx="5400000" cy="19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174</row>
      <rowOff>0</rowOff>
    </from>
    <ext cx="5400000" cy="19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188</row>
      <rowOff>0</rowOff>
    </from>
    <ext cx="5400000" cy="19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7</col>
      <colOff>0</colOff>
      <row>202</row>
      <rowOff>0</rowOff>
    </from>
    <ext cx="5400000" cy="19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216</row>
      <rowOff>0</rowOff>
    </from>
    <ext cx="5400000" cy="19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7</col>
      <colOff>0</colOff>
      <row>230</row>
      <rowOff>0</rowOff>
    </from>
    <ext cx="5400000" cy="19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244</row>
      <rowOff>0</rowOff>
    </from>
    <ext cx="5400000" cy="19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B35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VeriTech · Cómo usar este libro de resultados</t>
        </is>
      </c>
    </row>
    <row r="3" ht="32" customHeight="1">
      <c r="A3" s="2" t="inlineStr">
        <is>
          <t>Este libro calcula solo los resultados de la prueba. Tú únicamente pegas los datos; no hace falta escribir fórmulas ni tocar las demás hojas.</t>
        </is>
      </c>
    </row>
    <row r="5">
      <c r="A5" s="3" t="inlineStr">
        <is>
          <t>Paso 1 · Descargar los 3 archivos de Netlify</t>
        </is>
      </c>
      <c r="B5" s="4" t="n"/>
    </row>
    <row r="6" ht="18" customHeight="1">
      <c r="A6" s="5" t="inlineStr">
        <is>
          <t>1</t>
        </is>
      </c>
      <c r="B6" s="2" t="inlineStr">
        <is>
          <t>Entra a Netlify, abre el sitio de VeriTech y ve a Forms (Formularios).</t>
        </is>
      </c>
    </row>
    <row r="7" ht="18" customHeight="1">
      <c r="A7" s="5" t="inlineStr">
        <is>
          <t>2</t>
        </is>
      </c>
      <c r="B7" s="2" t="inlineStr">
        <is>
          <t>Haz clic en el formulario «calibracion» y luego en el botón Download CSV. Se descarga un archivo .csv.</t>
        </is>
      </c>
    </row>
    <row r="8" ht="18" customHeight="1">
      <c r="A8" s="5" t="inlineStr">
        <is>
          <t>3</t>
        </is>
      </c>
      <c r="B8" s="2" t="inlineStr">
        <is>
          <t>Repite con «opinion-docentes» y con «opinion-sobre-la-web» (este es el de los estudiantes).</t>
        </is>
      </c>
    </row>
    <row r="10">
      <c r="A10" s="3" t="inlineStr">
        <is>
          <t>Paso 2 · Abrir cada CSV respetando las tildes (UTF-8)</t>
        </is>
      </c>
      <c r="B10" s="4" t="n"/>
    </row>
    <row r="11" ht="18" customHeight="1">
      <c r="A11" s="5" t="inlineStr">
        <is>
          <t>1</t>
        </is>
      </c>
      <c r="B11" s="2" t="inlineStr">
        <is>
          <t>En Excel, crea un libro NUEVO y en blanco (Archivo → Nuevo). No lo hagas dentro de este libro.</t>
        </is>
      </c>
    </row>
    <row r="12" ht="18" customHeight="1">
      <c r="A12" s="5" t="inlineStr">
        <is>
          <t>2</t>
        </is>
      </c>
      <c r="B12" s="2" t="inlineStr">
        <is>
          <t>En ese libro nuevo ve a la pestaña Datos → Desde texto/CSV y elige el archivo descargado.</t>
        </is>
      </c>
    </row>
    <row r="13" ht="32" customHeight="1">
      <c r="A13" s="5" t="inlineStr">
        <is>
          <t>3</t>
        </is>
      </c>
      <c r="B13" s="2" t="inlineStr">
        <is>
          <t>En «Origen del archivo» elige «65001: Unicode (UTF-8)». Revisa que palabras como «Comunicación» se vean bien, con su tilde. Luego pulsa Cargar.</t>
        </is>
      </c>
    </row>
    <row r="14" ht="32" customHeight="1">
      <c r="A14" s="5" t="inlineStr">
        <is>
          <t>·</t>
        </is>
      </c>
      <c r="B14" s="2" t="inlineStr">
        <is>
          <t>En Mac, si no ves «Desde texto/CSV», usa Archivo → Importar → Archivo CSV y elige «Unicode (UTF-8)» como origen del archivo.</t>
        </is>
      </c>
    </row>
    <row r="16">
      <c r="A16" s="3" t="inlineStr">
        <is>
          <t>Paso 3 · Pegar los datos aquí</t>
        </is>
      </c>
      <c r="B16" s="4" t="n"/>
    </row>
    <row r="17" ht="32" customHeight="1">
      <c r="A17" s="5" t="inlineStr">
        <is>
          <t>1</t>
        </is>
      </c>
      <c r="B17" s="2" t="inlineStr">
        <is>
          <t>En el libro nuevo, haz clic en cualquier celda de la tabla y pulsa Ctrl+A (en Mac, Cmd+A) dos veces para seleccionar todo, incluida la fila de títulos. Copia con Ctrl+C (Cmd+C).</t>
        </is>
      </c>
    </row>
    <row r="18" ht="80" customHeight="1">
      <c r="A18" s="5" t="inlineStr">
        <is>
          <t>2</t>
        </is>
      </c>
      <c r="B18" s="2" t="inlineStr">
        <is>
          <t>Vuelve a este libro y abre la hoja que corresponde:
   • calibracion → hoja «Pegar calibracion»
   • opinion-docentes → hoja «Pegar docentes»
   • opinion-sobre-la-web → hoja «Pegar estudiantes»</t>
        </is>
      </c>
    </row>
    <row r="19" ht="32" customHeight="1">
      <c r="A19" s="5" t="inlineStr">
        <is>
          <t>3</t>
        </is>
      </c>
      <c r="B19" s="2" t="inlineStr">
        <is>
          <t>Haz clic en la celda A1 (arriba a la izquierda) y pega con Ctrl+V (Cmd+V). La fila 1 tiene que ser la de los títulos (docente, area, url…).</t>
        </is>
      </c>
    </row>
    <row r="20" ht="18" customHeight="1">
      <c r="A20" s="5" t="inlineStr">
        <is>
          <t>4</t>
        </is>
      </c>
      <c r="B20" s="2" t="inlineStr">
        <is>
          <t>Abre la hoja «Resumen»: todos los números y gráficos ya están actualizados.</t>
        </is>
      </c>
    </row>
    <row r="22">
      <c r="A22" s="3" t="inlineStr">
        <is>
          <t>Para actualizar con datos nuevos</t>
        </is>
      </c>
      <c r="B22" s="4" t="n"/>
    </row>
    <row r="23" ht="18" customHeight="1">
      <c r="A23" s="5" t="inlineStr">
        <is>
          <t>1</t>
        </is>
      </c>
      <c r="B23" s="2" t="inlineStr">
        <is>
          <t>Descarga el CSV otra vez: Netlify siempre entrega todas las respuestas, no solo las nuevas.</t>
        </is>
      </c>
    </row>
    <row r="24" ht="32" customHeight="1">
      <c r="A24" s="5" t="inlineStr">
        <is>
          <t>2</t>
        </is>
      </c>
      <c r="B24" s="2" t="inlineStr">
        <is>
          <t>En la hoja «Pegar …», haz clic en el cuadrito de la esquina (arriba a la izquierda, sobre la fila 1) y pulsa Suprimir para borrar lo anterior. Después pega en A1 como en el paso 3.</t>
        </is>
      </c>
    </row>
    <row r="26">
      <c r="A26" s="3" t="inlineStr">
        <is>
          <t>Qué hay en cada hoja</t>
        </is>
      </c>
      <c r="B26" s="4" t="n"/>
    </row>
    <row r="27" ht="32" customHeight="1">
      <c r="A27" s="5" t="inlineStr">
        <is>
          <t>·</t>
        </is>
      </c>
      <c r="B27" s="2" t="inlineStr">
        <is>
          <t>Resumen: los 4 criterios para pedir el piloto (✓ se cumple, ✕ no se cumple, «sin datos» falta el CSV), la calibración, la opinión de docentes y de estudiantes, con gráficos.</t>
        </is>
      </c>
    </row>
    <row r="28" ht="32" customHeight="1">
      <c r="A28" s="5" t="inlineStr">
        <is>
          <t>·</t>
        </is>
      </c>
      <c r="B28" s="2" t="inlineStr">
        <is>
          <t>Pegar calibracion / Pegar docentes / Pegar estudiantes: el único lugar donde se pega. Las columnas pueden venir en cualquier orden y con columnas de más: el libro las busca por su nombre.</t>
        </is>
      </c>
    </row>
    <row r="29" ht="32" customHeight="1">
      <c r="A29" s="5" t="inlineStr">
        <is>
          <t>·</t>
        </is>
      </c>
      <c r="B29" s="2" t="inlineStr">
        <is>
          <t>Calibracion / Docentes / Estudiantes: los datos ordenados y las columnas calculadas (en gris). La fila 2 dice en qué columna encontró cada dato o «no está en el CSV». Se llenan solas: no se escriben.</t>
        </is>
      </c>
    </row>
    <row r="31">
      <c r="A31" s="3" t="inlineStr">
        <is>
          <t>Si algo no se ve bien</t>
        </is>
      </c>
      <c r="B31" s="4" t="n"/>
    </row>
    <row r="32" ht="18" customHeight="1">
      <c r="A32" s="5" t="inlineStr">
        <is>
          <t>·</t>
        </is>
      </c>
      <c r="B32" s="2" t="inlineStr">
        <is>
          <t>Letras raras en lugar de tildes (por ejemplo «ComunicaciÃ³n»): repite el paso 2 eligiendo UTF-8.</t>
        </is>
      </c>
    </row>
    <row r="33" ht="18" customHeight="1">
      <c r="A33" s="5" t="inlineStr">
        <is>
          <t>·</t>
        </is>
      </c>
      <c r="B33" s="2" t="inlineStr">
        <is>
          <t>Todo sale «sin datos»: revisa que pegaste en A1 de la hoja correcta y que la fila 1 tiene los títulos.</t>
        </is>
      </c>
    </row>
    <row r="34" ht="32" customHeight="1">
      <c r="A34" s="5" t="inlineStr">
        <is>
          <t>·</t>
        </is>
      </c>
      <c r="B34" s="2" t="inlineStr">
        <is>
          <t>Una columna dice «no está en el CSV»: descargaste otro formulario o la columna cambió de nombre en la web.</t>
        </is>
      </c>
    </row>
    <row r="35" ht="32" customHeight="1">
      <c r="A35" s="5" t="inlineStr">
        <is>
          <t>·</t>
        </is>
      </c>
      <c r="B35" s="2" t="inlineStr">
        <is>
          <t>Las hojas que no son «Pegar …» están protegidas para no borrar fórmulas por error (Revisar → Desproteger hoja, sin contraseña).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F4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40" customWidth="1" min="5" max="5"/>
    <col hidden="1" width="26" customWidth="1" min="6" max="6"/>
  </cols>
  <sheetData>
    <row r="1">
      <c r="A1" s="1" t="inlineStr">
        <is>
          <t>VeriTech · Resultados de la prueba del colegio</t>
        </is>
      </c>
    </row>
    <row r="2">
      <c r="A2" s="6" t="inlineStr">
        <is>
          <t>Esta hoja se calcula sola con lo que pegues en las hojas «Pegar …». No escribas aquí.</t>
        </is>
      </c>
    </row>
    <row r="4">
      <c r="A4" s="3" t="inlineStr">
        <is>
          <t>¿Pedimos el piloto? Los 4 criterios</t>
        </is>
      </c>
      <c r="B4" s="4" t="n"/>
      <c r="C4" s="4" t="n"/>
      <c r="D4" s="4" t="n"/>
      <c r="E4" s="4" t="n"/>
    </row>
    <row r="5">
      <c r="A5" s="7" t="inlineStr">
        <is>
          <t>Criterio</t>
        </is>
      </c>
      <c r="B5" s="7" t="inlineStr">
        <is>
          <t>Valor</t>
        </is>
      </c>
      <c r="C5" s="7" t="inlineStr">
        <is>
          <t>Meta</t>
        </is>
      </c>
      <c r="D5" s="7" t="inlineStr">
        <is>
          <t>¿Se cumple?</t>
        </is>
      </c>
      <c r="E5" s="7" t="inlineStr">
        <is>
          <t>Detalle</t>
        </is>
      </c>
    </row>
    <row r="6" ht="32" customHeight="1">
      <c r="A6" s="8" t="inlineStr">
        <is>
          <t>1. El semáforo coincide con los docentes en al menos el 70 % de las fuentes</t>
        </is>
      </c>
      <c r="B6" s="9">
        <f>IF(COUNT(Calibracion!$Q$3:$Q$1002)=0,"",ROUND(COUNTIF(Calibracion!$R$3:$R$1002,"Sí")/COUNT(Calibracion!$Q$3:$Q$1002)*100,0)/100)</f>
        <v/>
      </c>
      <c r="C6" s="10" t="inlineStr">
        <is>
          <t>≥ 70 %</t>
        </is>
      </c>
      <c r="D6" s="11">
        <f>IF(B6="","sin datos",IF(ROUND(B6*100,0)&gt;=70,"✓","✕"))</f>
        <v/>
      </c>
      <c r="E6" s="8">
        <f>IF(B6="","Falta pegar el CSV de calibración",ROUND(B6*100,0)&amp;" % en "&amp;COUNT(Calibracion!$Q$3:$Q$1002)&amp;" fuentes")</f>
        <v/>
      </c>
    </row>
    <row r="7" ht="32" customHeight="1">
      <c r="A7" s="8" t="inlineStr">
        <is>
          <t>2. Utilidad del semáforo según los docentes: promedio de 4 o más (de 5)</t>
        </is>
      </c>
      <c r="B7" s="12">
        <f>IF(COUNT(Docentes!$R$3:$R$1002)=0,"",ROUND(AVERAGE(Docentes!$R$3:$R$1002),1))</f>
        <v/>
      </c>
      <c r="C7" s="10" t="inlineStr">
        <is>
          <t>≥ 4 de 5</t>
        </is>
      </c>
      <c r="D7" s="11">
        <f>IF(B7="","sin datos",IF(B7&gt;=4,"✓","✕"))</f>
        <v/>
      </c>
      <c r="E7" s="8">
        <f>IF(COUNT(Docentes!$Q$3:$Q$1002)=0,"Falta pegar el CSV de opinión docente",IF(B7="","sin respuestas",B7&amp;" de 5"))</f>
        <v/>
      </c>
    </row>
    <row r="8" ht="32" customHeight="1">
      <c r="A8" s="8" t="inlineStr">
        <is>
          <t>3. Más de la mitad de los docentes lo usaría en clase («Sí, en la próxima tarea» o «Sí, con cambios»)</t>
        </is>
      </c>
      <c r="B8" s="9">
        <f>IF(COUNT(Docentes!$X$3:$X$1002)=0,"",SUM(Docentes!$X$3:$X$1002)/COUNT(Docentes!$X$3:$X$1002))</f>
        <v/>
      </c>
      <c r="C8" s="10" t="inlineStr">
        <is>
          <t>más de 50 %</t>
        </is>
      </c>
      <c r="D8" s="11">
        <f>IF(B8="","sin datos",IF(B8&gt;0.5,"✓","✕"))</f>
        <v/>
      </c>
      <c r="E8" s="8">
        <f>IF(COUNT(Docentes!$Q$3:$Q$1002)=0,"Falta pegar el CSV de opinión docente",IF(B8="","sin respuestas",ROUND(B8*100,0)&amp;" % de "&amp;COUNT(Docentes!$Q$3:$Q$1002)&amp;" docentes"))</f>
        <v/>
      </c>
    </row>
    <row r="9" ht="32" customHeight="1">
      <c r="A9" s="8" t="inlineStr">
        <is>
          <t>4. Más de la mitad de los estudiantes lo usaría en su próxima tarea («Sí» o «Tal vez»)</t>
        </is>
      </c>
      <c r="B9" s="9">
        <f>IF(COUNT(Estudiantes!$S$3:$S$1002)=0,"",SUM(Estudiantes!$S$3:$S$1002)/COUNT(Estudiantes!$S$3:$S$1002))</f>
        <v/>
      </c>
      <c r="C9" s="10" t="inlineStr">
        <is>
          <t>más de 50 %</t>
        </is>
      </c>
      <c r="D9" s="11">
        <f>IF(B9="","sin datos",IF(B9&gt;0.5,"✓","✕"))</f>
        <v/>
      </c>
      <c r="E9" s="8">
        <f>IF(COUNT(Estudiantes!$L$3:$L$1002)=0,"Falta pegar el CSV de estudiantes",IF(B9="","sin respuestas",ROUND(B9*100,0)&amp;" % de "&amp;COUNT(Estudiantes!$L$3:$L$1002)&amp;" estudiantes"))</f>
        <v/>
      </c>
    </row>
    <row r="10">
      <c r="A10" s="13" t="inlineStr">
        <is>
          <t>Criterios cumplidos</t>
        </is>
      </c>
      <c r="B10" s="13">
        <f>COUNTIF(D6:D9,"✓")&amp;" de 4"</f>
        <v/>
      </c>
    </row>
    <row r="11" ht="34" customHeight="1">
      <c r="A11" s="14">
        <f>IF(AND(COUNT(Calibracion!$Q$3:$Q$1002)&gt;0,B6&lt;&gt;""),IF(ROUND(B6*100,0)&lt;50,"⚠ La coincidencia es menor al 50 %: según el plan, no se propone el piloto hasta corregir el motor y repetir la calibración.",""),"")</f>
        <v/>
      </c>
    </row>
    <row r="13">
      <c r="A13" s="3" t="inlineStr">
        <is>
          <t>Calibración: docentes vs VeriTech</t>
        </is>
      </c>
      <c r="B13" s="4" t="n"/>
      <c r="C13" s="4" t="n"/>
      <c r="D13" s="4" t="n"/>
      <c r="E13" s="4" t="n"/>
    </row>
    <row r="14">
      <c r="A14" t="inlineStr">
        <is>
          <t>Fuentes calificadas</t>
        </is>
      </c>
      <c r="B14" s="13">
        <f>COUNT(Calibracion!$Q$3:$Q$1002)</f>
        <v/>
      </c>
    </row>
    <row r="15">
      <c r="A15" t="inlineStr">
        <is>
          <t>Fuentes en las que coinciden</t>
        </is>
      </c>
      <c r="B15" s="13">
        <f>COUNTIF(Calibracion!$R$3:$R$1002,"Sí")</f>
        <v/>
      </c>
    </row>
    <row r="16">
      <c r="A16" t="inlineStr">
        <is>
          <t>Coincidencia</t>
        </is>
      </c>
      <c r="B16" s="15">
        <f>B6</f>
        <v/>
      </c>
    </row>
    <row r="17">
      <c r="A17" t="inlineStr">
        <is>
          <t>Docentes que calificaron</t>
        </is>
      </c>
      <c r="B17" s="13">
        <f>SUM(Calibracion!$Y$3:$Y$1002)</f>
        <v/>
      </c>
    </row>
    <row r="18">
      <c r="A18" t="inlineStr">
        <is>
          <t>Desacuerdos graves (uno dice «confiable» y el otro «no confiable»)</t>
        </is>
      </c>
      <c r="B18" s="13">
        <f>SUM(Calibracion!$T$3:$T$1002)</f>
        <v/>
      </c>
    </row>
    <row r="19">
      <c r="A19" t="inlineStr">
        <is>
          <t>Desacuerdos en que VeriTech fue más estricto</t>
        </is>
      </c>
      <c r="B19" s="13">
        <f>COUNTIF(Calibracion!$S$3:$S$1002,"Más estricto")</f>
        <v/>
      </c>
    </row>
    <row r="20">
      <c r="A20" t="inlineStr">
        <is>
          <t>Desacuerdos en que VeriTech fue más permisivo</t>
        </is>
      </c>
      <c r="B20" s="13">
        <f>COUNTIF(Calibracion!$S$3:$S$1002,"Más permisivo")</f>
        <v/>
      </c>
    </row>
    <row r="22">
      <c r="A22" s="13" t="inlineStr">
        <is>
          <t>Matriz: juicio del docente (filas) vs nivel de VeriTech (columnas)</t>
        </is>
      </c>
    </row>
    <row r="23">
      <c r="A23" s="16" t="inlineStr">
        <is>
          <t>Docente ↓   /   VeriTech →</t>
        </is>
      </c>
      <c r="B23" s="16" t="inlineStr">
        <is>
          <t>Confiable</t>
        </is>
      </c>
      <c r="C23" s="16" t="inlineStr">
        <is>
          <t>Dudosa</t>
        </is>
      </c>
      <c r="D23" s="16" t="inlineStr">
        <is>
          <t>No confiable</t>
        </is>
      </c>
    </row>
    <row r="24">
      <c r="A24" s="16" t="inlineStr">
        <is>
          <t>Confiable</t>
        </is>
      </c>
      <c r="B24" s="17">
        <f>COUNTIFS(Calibracion!$O$3:$O$1002,2,Calibracion!$P$3:$P$1002,2)</f>
        <v/>
      </c>
      <c r="C24" s="18">
        <f>COUNTIFS(Calibracion!$O$3:$O$1002,2,Calibracion!$P$3:$P$1002,1)</f>
        <v/>
      </c>
      <c r="D24" s="18">
        <f>COUNTIFS(Calibracion!$O$3:$O$1002,2,Calibracion!$P$3:$P$1002,0)</f>
        <v/>
      </c>
    </row>
    <row r="25">
      <c r="A25" s="16" t="inlineStr">
        <is>
          <t>Dudosa</t>
        </is>
      </c>
      <c r="B25" s="18">
        <f>COUNTIFS(Calibracion!$O$3:$O$1002,1,Calibracion!$P$3:$P$1002,2)</f>
        <v/>
      </c>
      <c r="C25" s="17">
        <f>COUNTIFS(Calibracion!$O$3:$O$1002,1,Calibracion!$P$3:$P$1002,1)</f>
        <v/>
      </c>
      <c r="D25" s="18">
        <f>COUNTIFS(Calibracion!$O$3:$O$1002,1,Calibracion!$P$3:$P$1002,0)</f>
        <v/>
      </c>
    </row>
    <row r="26">
      <c r="A26" s="16" t="inlineStr">
        <is>
          <t>No confiable</t>
        </is>
      </c>
      <c r="B26" s="18">
        <f>COUNTIFS(Calibracion!$O$3:$O$1002,0,Calibracion!$P$3:$P$1002,2)</f>
        <v/>
      </c>
      <c r="C26" s="18">
        <f>COUNTIFS(Calibracion!$O$3:$O$1002,0,Calibracion!$P$3:$P$1002,1)</f>
        <v/>
      </c>
      <c r="D26" s="17">
        <f>COUNTIFS(Calibracion!$O$3:$O$1002,0,Calibracion!$P$3:$P$1002,0)</f>
        <v/>
      </c>
    </row>
    <row r="27">
      <c r="A27" s="6" t="inlineStr">
        <is>
          <t>En verde: coinciden. Las esquinas «Confiable / No confiable» son los desacuerdos graves.</t>
        </is>
      </c>
    </row>
    <row r="29">
      <c r="A29" s="7" t="inlineStr">
        <is>
          <t>Señal (en los desacuerdos)</t>
        </is>
      </c>
      <c r="B29" s="7" t="inlineStr">
        <is>
          <t>Más estricto: salió «bad»</t>
        </is>
      </c>
      <c r="C29" s="7" t="inlineStr">
        <is>
          <t>%</t>
        </is>
      </c>
      <c r="D29" s="7" t="inlineStr">
        <is>
          <t>Más permisivo: salió «ok»</t>
        </is>
      </c>
      <c r="E29" s="7" t="inlineStr">
        <is>
          <t>%</t>
        </is>
      </c>
    </row>
    <row r="30">
      <c r="A30" t="inlineStr">
        <is>
          <t>Autoría</t>
        </is>
      </c>
      <c r="B30">
        <f>COUNTIFS(Calibracion!$S$3:$S$1002,"Más estricto",Calibracion!$U$3:$U$1002,"*|Autoría:bad:*")</f>
        <v/>
      </c>
      <c r="C30" s="19">
        <f>IF($B$19=0,"",ROUND(B30/$B$19*100,0)/100)</f>
        <v/>
      </c>
      <c r="D30">
        <f>COUNTIFS(Calibracion!$S$3:$S$1002,"Más permisivo",Calibracion!$U$3:$U$1002,"*|Autoría:ok:*")</f>
        <v/>
      </c>
      <c r="E30" s="20">
        <f>IF($B$20=0,"",ROUND(D30/$B$20*100,0)/100)</f>
        <v/>
      </c>
    </row>
    <row r="31">
      <c r="A31" t="inlineStr">
        <is>
          <t>Fecha</t>
        </is>
      </c>
      <c r="B31">
        <f>COUNTIFS(Calibracion!$S$3:$S$1002,"Más estricto",Calibracion!$U$3:$U$1002,"*|Fecha:bad:*")</f>
        <v/>
      </c>
      <c r="C31" s="19">
        <f>IF($B$19=0,"",ROUND(B31/$B$19*100,0)/100)</f>
        <v/>
      </c>
      <c r="D31">
        <f>COUNTIFS(Calibracion!$S$3:$S$1002,"Más permisivo",Calibracion!$U$3:$U$1002,"*|Fecha:ok:*")</f>
        <v/>
      </c>
      <c r="E31" s="20">
        <f>IF($B$20=0,"",ROUND(D31/$B$20*100,0)/100)</f>
        <v/>
      </c>
    </row>
    <row r="32">
      <c r="A32" t="inlineStr">
        <is>
          <t>Referencias</t>
        </is>
      </c>
      <c r="B32">
        <f>COUNTIFS(Calibracion!$S$3:$S$1002,"Más estricto",Calibracion!$U$3:$U$1002,"*|Referencias:bad:*")</f>
        <v/>
      </c>
      <c r="C32" s="19">
        <f>IF($B$19=0,"",ROUND(B32/$B$19*100,0)/100)</f>
        <v/>
      </c>
      <c r="D32">
        <f>COUNTIFS(Calibracion!$S$3:$S$1002,"Más permisivo",Calibracion!$U$3:$U$1002,"*|Referencias:ok:*")</f>
        <v/>
      </c>
      <c r="E32" s="20">
        <f>IF($B$20=0,"",ROUND(D32/$B$20*100,0)/100)</f>
        <v/>
      </c>
    </row>
    <row r="33">
      <c r="A33" t="inlineStr">
        <is>
          <t>Dominio</t>
        </is>
      </c>
      <c r="B33">
        <f>COUNTIFS(Calibracion!$S$3:$S$1002,"Más estricto",Calibracion!$U$3:$U$1002,"*|Dominio:bad:*")</f>
        <v/>
      </c>
      <c r="C33" s="19">
        <f>IF($B$19=0,"",ROUND(B33/$B$19*100,0)/100)</f>
        <v/>
      </c>
      <c r="D33">
        <f>COUNTIFS(Calibracion!$S$3:$S$1002,"Más permisivo",Calibracion!$U$3:$U$1002,"*|Dominio:ok:*")</f>
        <v/>
      </c>
      <c r="E33" s="20">
        <f>IF($B$20=0,"",ROUND(D33/$B$20*100,0)/100)</f>
        <v/>
      </c>
    </row>
    <row r="34">
      <c r="A34" t="inlineStr">
        <is>
          <t>Escritura de relleno</t>
        </is>
      </c>
      <c r="B34">
        <f>COUNTIFS(Calibracion!$S$3:$S$1002,"Más estricto",Calibracion!$U$3:$U$1002,"*|Escritura de relleno:bad:*")</f>
        <v/>
      </c>
      <c r="C34" s="19">
        <f>IF($B$19=0,"",ROUND(B34/$B$19*100,0)/100)</f>
        <v/>
      </c>
      <c r="D34">
        <f>COUNTIFS(Calibracion!$S$3:$S$1002,"Más permisivo",Calibracion!$U$3:$U$1002,"*|Escritura de relleno:ok:*")</f>
        <v/>
      </c>
      <c r="E34" s="20">
        <f>IF($B$20=0,"",ROUND(D34/$B$20*100,0)/100)</f>
        <v/>
      </c>
    </row>
    <row r="35">
      <c r="A35" t="inlineStr">
        <is>
          <t>Sensacionalismo</t>
        </is>
      </c>
      <c r="B35">
        <f>COUNTIFS(Calibracion!$S$3:$S$1002,"Más estricto",Calibracion!$U$3:$U$1002,"*|Sensacionalismo:bad:*")</f>
        <v/>
      </c>
      <c r="C35" s="19">
        <f>IF($B$19=0,"",ROUND(B35/$B$19*100,0)/100)</f>
        <v/>
      </c>
      <c r="D35">
        <f>COUNTIFS(Calibracion!$S$3:$S$1002,"Más permisivo",Calibracion!$U$3:$U$1002,"*|Sensacionalismo:ok:*")</f>
        <v/>
      </c>
      <c r="E35" s="20">
        <f>IF($B$20=0,"",ROUND(D35/$B$20*100,0)/100)</f>
        <v/>
      </c>
    </row>
    <row r="36">
      <c r="A36" t="inlineStr">
        <is>
          <t>Certezas sin respaldo</t>
        </is>
      </c>
      <c r="B36">
        <f>COUNTIFS(Calibracion!$S$3:$S$1002,"Más estricto",Calibracion!$U$3:$U$1002,"*|Certezas sin respaldo:bad:*")</f>
        <v/>
      </c>
      <c r="C36" s="19">
        <f>IF($B$19=0,"",ROUND(B36/$B$19*100,0)/100)</f>
        <v/>
      </c>
      <c r="D36">
        <f>COUNTIFS(Calibracion!$S$3:$S$1002,"Más permisivo",Calibracion!$U$3:$U$1002,"*|Certezas sin respaldo:ok:*")</f>
        <v/>
      </c>
      <c r="E36" s="20">
        <f>IF($B$20=0,"",ROUND(D36/$B$20*100,0)/100)</f>
        <v/>
      </c>
    </row>
    <row r="37">
      <c r="A37" t="inlineStr">
        <is>
          <t>Precisión</t>
        </is>
      </c>
      <c r="B37">
        <f>COUNTIFS(Calibracion!$S$3:$S$1002,"Más estricto",Calibracion!$U$3:$U$1002,"*|Precisión:bad:*")</f>
        <v/>
      </c>
      <c r="C37" s="19">
        <f>IF($B$19=0,"",ROUND(B37/$B$19*100,0)/100)</f>
        <v/>
      </c>
      <c r="D37">
        <f>COUNTIFS(Calibracion!$S$3:$S$1002,"Más permisivo",Calibracion!$U$3:$U$1002,"*|Precisión:ok:*")</f>
        <v/>
      </c>
      <c r="E37" s="20">
        <f>IF($B$20=0,"",ROUND(D37/$B$20*100,0)/100)</f>
        <v/>
      </c>
    </row>
    <row r="38">
      <c r="A38" t="inlineStr">
        <is>
          <t>Profundidad</t>
        </is>
      </c>
      <c r="B38">
        <f>COUNTIFS(Calibracion!$S$3:$S$1002,"Más estricto",Calibracion!$U$3:$U$1002,"*|Profundidad:bad:*")</f>
        <v/>
      </c>
      <c r="C38" s="19">
        <f>IF($B$19=0,"",ROUND(B38/$B$19*100,0)/100)</f>
        <v/>
      </c>
      <c r="D38">
        <f>COUNTIFS(Calibracion!$S$3:$S$1002,"Más permisivo",Calibracion!$U$3:$U$1002,"*|Profundidad:ok:*")</f>
        <v/>
      </c>
      <c r="E38" s="20">
        <f>IF($B$20=0,"",ROUND(D38/$B$20*100,0)/100)</f>
        <v/>
      </c>
    </row>
    <row r="39">
      <c r="A39" s="6" t="inlineStr">
        <is>
          <t>Cuántas veces cada señal salió mal cuando VeriTech fue más estricto que el docente, y bien cuando fue más permisivo. El % es sobre esos desacuerdos.</t>
        </is>
      </c>
    </row>
    <row r="44">
      <c r="A44" s="13" t="inlineStr">
        <is>
          <t>Desacuerdos graves (los primeros 10)</t>
        </is>
      </c>
    </row>
    <row r="45">
      <c r="A45" s="7" t="inlineStr">
        <is>
          <t>URL</t>
        </is>
      </c>
      <c r="B45" s="7" t="inlineStr">
        <is>
          <t>Docente dijo</t>
        </is>
      </c>
      <c r="C45" s="7" t="inlineStr">
        <is>
          <t>VeriTech dijo</t>
        </is>
      </c>
      <c r="D45" s="7" t="inlineStr">
        <is>
          <t>Puntaje</t>
        </is>
      </c>
      <c r="E45" s="7" t="inlineStr">
        <is>
          <t>Motivo del docente</t>
        </is>
      </c>
    </row>
    <row r="46">
      <c r="A46">
        <f>IFERROR(INDEX(Calibracion!$C$3:$C$1002,MATCH(1,Calibracion!$Z$3:$Z$1002,0)),"")</f>
        <v/>
      </c>
      <c r="B46">
        <f>IFERROR(IFERROR(VLOOKUP(INDEX(Calibracion!$D$3:$D$1002,MATCH(1,Calibracion!$Z$3:$Z$1002,0)),$A$400:$B$435,2,FALSE),INDEX(Calibracion!$D$3:$D$1002,MATCH(1,Calibracion!$Z$3:$Z$1002,0))),"")</f>
        <v/>
      </c>
      <c r="C46">
        <f>IFERROR(IFERROR(VLOOKUP(INDEX(Calibracion!$F$3:$F$1002,MATCH(1,Calibracion!$Z$3:$Z$1002,0)),$A$400:$B$435,2,FALSE),INDEX(Calibracion!$F$3:$F$1002,MATCH(1,Calibracion!$Z$3:$Z$1002,0))),"")</f>
        <v/>
      </c>
      <c r="D46">
        <f>IFERROR(INDEX(Calibracion!$E$3:$E$1002,MATCH(1,Calibracion!$Z$3:$Z$1002,0)),"")</f>
        <v/>
      </c>
      <c r="E46">
        <f>IFERROR(INDEX(Calibracion!$K$3:$K$1002,MATCH(1,Calibracion!$Z$3:$Z$1002,0)),"")</f>
        <v/>
      </c>
    </row>
    <row r="47">
      <c r="A47">
        <f>IFERROR(INDEX(Calibracion!$C$3:$C$1002,MATCH(2,Calibracion!$Z$3:$Z$1002,0)),"")</f>
        <v/>
      </c>
      <c r="B47">
        <f>IFERROR(IFERROR(VLOOKUP(INDEX(Calibracion!$D$3:$D$1002,MATCH(2,Calibracion!$Z$3:$Z$1002,0)),$A$400:$B$435,2,FALSE),INDEX(Calibracion!$D$3:$D$1002,MATCH(2,Calibracion!$Z$3:$Z$1002,0))),"")</f>
        <v/>
      </c>
      <c r="C47">
        <f>IFERROR(IFERROR(VLOOKUP(INDEX(Calibracion!$F$3:$F$1002,MATCH(2,Calibracion!$Z$3:$Z$1002,0)),$A$400:$B$435,2,FALSE),INDEX(Calibracion!$F$3:$F$1002,MATCH(2,Calibracion!$Z$3:$Z$1002,0))),"")</f>
        <v/>
      </c>
      <c r="D47">
        <f>IFERROR(INDEX(Calibracion!$E$3:$E$1002,MATCH(2,Calibracion!$Z$3:$Z$1002,0)),"")</f>
        <v/>
      </c>
      <c r="E47">
        <f>IFERROR(INDEX(Calibracion!$K$3:$K$1002,MATCH(2,Calibracion!$Z$3:$Z$1002,0)),"")</f>
        <v/>
      </c>
    </row>
    <row r="48">
      <c r="A48">
        <f>IFERROR(INDEX(Calibracion!$C$3:$C$1002,MATCH(3,Calibracion!$Z$3:$Z$1002,0)),"")</f>
        <v/>
      </c>
      <c r="B48">
        <f>IFERROR(IFERROR(VLOOKUP(INDEX(Calibracion!$D$3:$D$1002,MATCH(3,Calibracion!$Z$3:$Z$1002,0)),$A$400:$B$435,2,FALSE),INDEX(Calibracion!$D$3:$D$1002,MATCH(3,Calibracion!$Z$3:$Z$1002,0))),"")</f>
        <v/>
      </c>
      <c r="C48">
        <f>IFERROR(IFERROR(VLOOKUP(INDEX(Calibracion!$F$3:$F$1002,MATCH(3,Calibracion!$Z$3:$Z$1002,0)),$A$400:$B$435,2,FALSE),INDEX(Calibracion!$F$3:$F$1002,MATCH(3,Calibracion!$Z$3:$Z$1002,0))),"")</f>
        <v/>
      </c>
      <c r="D48">
        <f>IFERROR(INDEX(Calibracion!$E$3:$E$1002,MATCH(3,Calibracion!$Z$3:$Z$1002,0)),"")</f>
        <v/>
      </c>
      <c r="E48">
        <f>IFERROR(INDEX(Calibracion!$K$3:$K$1002,MATCH(3,Calibracion!$Z$3:$Z$1002,0)),"")</f>
        <v/>
      </c>
    </row>
    <row r="49">
      <c r="A49">
        <f>IFERROR(INDEX(Calibracion!$C$3:$C$1002,MATCH(4,Calibracion!$Z$3:$Z$1002,0)),"")</f>
        <v/>
      </c>
      <c r="B49">
        <f>IFERROR(IFERROR(VLOOKUP(INDEX(Calibracion!$D$3:$D$1002,MATCH(4,Calibracion!$Z$3:$Z$1002,0)),$A$400:$B$435,2,FALSE),INDEX(Calibracion!$D$3:$D$1002,MATCH(4,Calibracion!$Z$3:$Z$1002,0))),"")</f>
        <v/>
      </c>
      <c r="C49">
        <f>IFERROR(IFERROR(VLOOKUP(INDEX(Calibracion!$F$3:$F$1002,MATCH(4,Calibracion!$Z$3:$Z$1002,0)),$A$400:$B$435,2,FALSE),INDEX(Calibracion!$F$3:$F$1002,MATCH(4,Calibracion!$Z$3:$Z$1002,0))),"")</f>
        <v/>
      </c>
      <c r="D49">
        <f>IFERROR(INDEX(Calibracion!$E$3:$E$1002,MATCH(4,Calibracion!$Z$3:$Z$1002,0)),"")</f>
        <v/>
      </c>
      <c r="E49">
        <f>IFERROR(INDEX(Calibracion!$K$3:$K$1002,MATCH(4,Calibracion!$Z$3:$Z$1002,0)),"")</f>
        <v/>
      </c>
    </row>
    <row r="50">
      <c r="A50">
        <f>IFERROR(INDEX(Calibracion!$C$3:$C$1002,MATCH(5,Calibracion!$Z$3:$Z$1002,0)),"")</f>
        <v/>
      </c>
      <c r="B50">
        <f>IFERROR(IFERROR(VLOOKUP(INDEX(Calibracion!$D$3:$D$1002,MATCH(5,Calibracion!$Z$3:$Z$1002,0)),$A$400:$B$435,2,FALSE),INDEX(Calibracion!$D$3:$D$1002,MATCH(5,Calibracion!$Z$3:$Z$1002,0))),"")</f>
        <v/>
      </c>
      <c r="C50">
        <f>IFERROR(IFERROR(VLOOKUP(INDEX(Calibracion!$F$3:$F$1002,MATCH(5,Calibracion!$Z$3:$Z$1002,0)),$A$400:$B$435,2,FALSE),INDEX(Calibracion!$F$3:$F$1002,MATCH(5,Calibracion!$Z$3:$Z$1002,0))),"")</f>
        <v/>
      </c>
      <c r="D50">
        <f>IFERROR(INDEX(Calibracion!$E$3:$E$1002,MATCH(5,Calibracion!$Z$3:$Z$1002,0)),"")</f>
        <v/>
      </c>
      <c r="E50">
        <f>IFERROR(INDEX(Calibracion!$K$3:$K$1002,MATCH(5,Calibracion!$Z$3:$Z$1002,0)),"")</f>
        <v/>
      </c>
    </row>
    <row r="51">
      <c r="A51">
        <f>IFERROR(INDEX(Calibracion!$C$3:$C$1002,MATCH(6,Calibracion!$Z$3:$Z$1002,0)),"")</f>
        <v/>
      </c>
      <c r="B51">
        <f>IFERROR(IFERROR(VLOOKUP(INDEX(Calibracion!$D$3:$D$1002,MATCH(6,Calibracion!$Z$3:$Z$1002,0)),$A$400:$B$435,2,FALSE),INDEX(Calibracion!$D$3:$D$1002,MATCH(6,Calibracion!$Z$3:$Z$1002,0))),"")</f>
        <v/>
      </c>
      <c r="C51">
        <f>IFERROR(IFERROR(VLOOKUP(INDEX(Calibracion!$F$3:$F$1002,MATCH(6,Calibracion!$Z$3:$Z$1002,0)),$A$400:$B$435,2,FALSE),INDEX(Calibracion!$F$3:$F$1002,MATCH(6,Calibracion!$Z$3:$Z$1002,0))),"")</f>
        <v/>
      </c>
      <c r="D51">
        <f>IFERROR(INDEX(Calibracion!$E$3:$E$1002,MATCH(6,Calibracion!$Z$3:$Z$1002,0)),"")</f>
        <v/>
      </c>
      <c r="E51">
        <f>IFERROR(INDEX(Calibracion!$K$3:$K$1002,MATCH(6,Calibracion!$Z$3:$Z$1002,0)),"")</f>
        <v/>
      </c>
    </row>
    <row r="52">
      <c r="A52">
        <f>IFERROR(INDEX(Calibracion!$C$3:$C$1002,MATCH(7,Calibracion!$Z$3:$Z$1002,0)),"")</f>
        <v/>
      </c>
      <c r="B52">
        <f>IFERROR(IFERROR(VLOOKUP(INDEX(Calibracion!$D$3:$D$1002,MATCH(7,Calibracion!$Z$3:$Z$1002,0)),$A$400:$B$435,2,FALSE),INDEX(Calibracion!$D$3:$D$1002,MATCH(7,Calibracion!$Z$3:$Z$1002,0))),"")</f>
        <v/>
      </c>
      <c r="C52">
        <f>IFERROR(IFERROR(VLOOKUP(INDEX(Calibracion!$F$3:$F$1002,MATCH(7,Calibracion!$Z$3:$Z$1002,0)),$A$400:$B$435,2,FALSE),INDEX(Calibracion!$F$3:$F$1002,MATCH(7,Calibracion!$Z$3:$Z$1002,0))),"")</f>
        <v/>
      </c>
      <c r="D52">
        <f>IFERROR(INDEX(Calibracion!$E$3:$E$1002,MATCH(7,Calibracion!$Z$3:$Z$1002,0)),"")</f>
        <v/>
      </c>
      <c r="E52">
        <f>IFERROR(INDEX(Calibracion!$K$3:$K$1002,MATCH(7,Calibracion!$Z$3:$Z$1002,0)),"")</f>
        <v/>
      </c>
    </row>
    <row r="53">
      <c r="A53">
        <f>IFERROR(INDEX(Calibracion!$C$3:$C$1002,MATCH(8,Calibracion!$Z$3:$Z$1002,0)),"")</f>
        <v/>
      </c>
      <c r="B53">
        <f>IFERROR(IFERROR(VLOOKUP(INDEX(Calibracion!$D$3:$D$1002,MATCH(8,Calibracion!$Z$3:$Z$1002,0)),$A$400:$B$435,2,FALSE),INDEX(Calibracion!$D$3:$D$1002,MATCH(8,Calibracion!$Z$3:$Z$1002,0))),"")</f>
        <v/>
      </c>
      <c r="C53">
        <f>IFERROR(IFERROR(VLOOKUP(INDEX(Calibracion!$F$3:$F$1002,MATCH(8,Calibracion!$Z$3:$Z$1002,0)),$A$400:$B$435,2,FALSE),INDEX(Calibracion!$F$3:$F$1002,MATCH(8,Calibracion!$Z$3:$Z$1002,0))),"")</f>
        <v/>
      </c>
      <c r="D53">
        <f>IFERROR(INDEX(Calibracion!$E$3:$E$1002,MATCH(8,Calibracion!$Z$3:$Z$1002,0)),"")</f>
        <v/>
      </c>
      <c r="E53">
        <f>IFERROR(INDEX(Calibracion!$K$3:$K$1002,MATCH(8,Calibracion!$Z$3:$Z$1002,0)),"")</f>
        <v/>
      </c>
    </row>
    <row r="54">
      <c r="A54">
        <f>IFERROR(INDEX(Calibracion!$C$3:$C$1002,MATCH(9,Calibracion!$Z$3:$Z$1002,0)),"")</f>
        <v/>
      </c>
      <c r="B54">
        <f>IFERROR(IFERROR(VLOOKUP(INDEX(Calibracion!$D$3:$D$1002,MATCH(9,Calibracion!$Z$3:$Z$1002,0)),$A$400:$B$435,2,FALSE),INDEX(Calibracion!$D$3:$D$1002,MATCH(9,Calibracion!$Z$3:$Z$1002,0))),"")</f>
        <v/>
      </c>
      <c r="C54">
        <f>IFERROR(IFERROR(VLOOKUP(INDEX(Calibracion!$F$3:$F$1002,MATCH(9,Calibracion!$Z$3:$Z$1002,0)),$A$400:$B$435,2,FALSE),INDEX(Calibracion!$F$3:$F$1002,MATCH(9,Calibracion!$Z$3:$Z$1002,0))),"")</f>
        <v/>
      </c>
      <c r="D54">
        <f>IFERROR(INDEX(Calibracion!$E$3:$E$1002,MATCH(9,Calibracion!$Z$3:$Z$1002,0)),"")</f>
        <v/>
      </c>
      <c r="E54">
        <f>IFERROR(INDEX(Calibracion!$K$3:$K$1002,MATCH(9,Calibracion!$Z$3:$Z$1002,0)),"")</f>
        <v/>
      </c>
    </row>
    <row r="55">
      <c r="A55">
        <f>IFERROR(INDEX(Calibracion!$C$3:$C$1002,MATCH(10,Calibracion!$Z$3:$Z$1002,0)),"")</f>
        <v/>
      </c>
      <c r="B55">
        <f>IFERROR(IFERROR(VLOOKUP(INDEX(Calibracion!$D$3:$D$1002,MATCH(10,Calibracion!$Z$3:$Z$1002,0)),$A$400:$B$435,2,FALSE),INDEX(Calibracion!$D$3:$D$1002,MATCH(10,Calibracion!$Z$3:$Z$1002,0))),"")</f>
        <v/>
      </c>
      <c r="C55">
        <f>IFERROR(IFERROR(VLOOKUP(INDEX(Calibracion!$F$3:$F$1002,MATCH(10,Calibracion!$Z$3:$Z$1002,0)),$A$400:$B$435,2,FALSE),INDEX(Calibracion!$F$3:$F$1002,MATCH(10,Calibracion!$Z$3:$Z$1002,0))),"")</f>
        <v/>
      </c>
      <c r="D55">
        <f>IFERROR(INDEX(Calibracion!$E$3:$E$1002,MATCH(10,Calibracion!$Z$3:$Z$1002,0)),"")</f>
        <v/>
      </c>
      <c r="E55">
        <f>IFERROR(INDEX(Calibracion!$K$3:$K$1002,MATCH(10,Calibracion!$Z$3:$Z$1002,0)),"")</f>
        <v/>
      </c>
    </row>
    <row r="57">
      <c r="A57" s="7" t="inlineStr">
        <is>
          <t>Coincidencia por área</t>
        </is>
      </c>
      <c r="B57" s="7" t="inlineStr">
        <is>
          <t>Fuentes</t>
        </is>
      </c>
      <c r="C57" s="7" t="inlineStr">
        <is>
          <t>Coincidencia</t>
        </is>
      </c>
    </row>
    <row r="58">
      <c r="A58">
        <f>IFERROR(INDEX(Calibracion!$B$3:$B$1002,MATCH(LARGE(Calibracion!$W$3:$W$1002,1),Calibracion!$W$3:$W$1002,0)),"")</f>
        <v/>
      </c>
      <c r="B58">
        <f>IF(A58="","",ROUNDUP(LARGE(Calibracion!$W$3:$W$1002,1)/10000,0))</f>
        <v/>
      </c>
      <c r="C58" s="19">
        <f>IF(A58="","",ROUND(SUMPRODUCT((Calibracion!$B$3:$B$1002=A58)*(Calibracion!$R$3:$R$1002="Sí"))/B58*100,0)/100)</f>
        <v/>
      </c>
    </row>
    <row r="59">
      <c r="A59">
        <f>IFERROR(INDEX(Calibracion!$B$3:$B$1002,MATCH(LARGE(Calibracion!$W$3:$W$1002,2),Calibracion!$W$3:$W$1002,0)),"")</f>
        <v/>
      </c>
      <c r="B59">
        <f>IF(A59="","",ROUNDUP(LARGE(Calibracion!$W$3:$W$1002,2)/10000,0))</f>
        <v/>
      </c>
      <c r="C59" s="19">
        <f>IF(A59="","",ROUND(SUMPRODUCT((Calibracion!$B$3:$B$1002=A59)*(Calibracion!$R$3:$R$1002="Sí"))/B59*100,0)/100)</f>
        <v/>
      </c>
    </row>
    <row r="60">
      <c r="A60">
        <f>IFERROR(INDEX(Calibracion!$B$3:$B$1002,MATCH(LARGE(Calibracion!$W$3:$W$1002,3),Calibracion!$W$3:$W$1002,0)),"")</f>
        <v/>
      </c>
      <c r="B60">
        <f>IF(A60="","",ROUNDUP(LARGE(Calibracion!$W$3:$W$1002,3)/10000,0))</f>
        <v/>
      </c>
      <c r="C60" s="19">
        <f>IF(A60="","",ROUND(SUMPRODUCT((Calibracion!$B$3:$B$1002=A60)*(Calibracion!$R$3:$R$1002="Sí"))/B60*100,0)/100)</f>
        <v/>
      </c>
    </row>
    <row r="61">
      <c r="A61">
        <f>IFERROR(INDEX(Calibracion!$B$3:$B$1002,MATCH(LARGE(Calibracion!$W$3:$W$1002,4),Calibracion!$W$3:$W$1002,0)),"")</f>
        <v/>
      </c>
      <c r="B61">
        <f>IF(A61="","",ROUNDUP(LARGE(Calibracion!$W$3:$W$1002,4)/10000,0))</f>
        <v/>
      </c>
      <c r="C61" s="19">
        <f>IF(A61="","",ROUND(SUMPRODUCT((Calibracion!$B$3:$B$1002=A61)*(Calibracion!$R$3:$R$1002="Sí"))/B61*100,0)/100)</f>
        <v/>
      </c>
    </row>
    <row r="62">
      <c r="A62">
        <f>IFERROR(INDEX(Calibracion!$B$3:$B$1002,MATCH(LARGE(Calibracion!$W$3:$W$1002,5),Calibracion!$W$3:$W$1002,0)),"")</f>
        <v/>
      </c>
      <c r="B62">
        <f>IF(A62="","",ROUNDUP(LARGE(Calibracion!$W$3:$W$1002,5)/10000,0))</f>
        <v/>
      </c>
      <c r="C62" s="19">
        <f>IF(A62="","",ROUND(SUMPRODUCT((Calibracion!$B$3:$B$1002=A62)*(Calibracion!$R$3:$R$1002="Sí"))/B62*100,0)/100)</f>
        <v/>
      </c>
    </row>
    <row r="63">
      <c r="A63">
        <f>IFERROR(INDEX(Calibracion!$B$3:$B$1002,MATCH(LARGE(Calibracion!$W$3:$W$1002,6),Calibracion!$W$3:$W$1002,0)),"")</f>
        <v/>
      </c>
      <c r="B63">
        <f>IF(A63="","",ROUNDUP(LARGE(Calibracion!$W$3:$W$1002,6)/10000,0))</f>
        <v/>
      </c>
      <c r="C63" s="19">
        <f>IF(A63="","",ROUND(SUMPRODUCT((Calibracion!$B$3:$B$1002=A63)*(Calibracion!$R$3:$R$1002="Sí"))/B63*100,0)/100)</f>
        <v/>
      </c>
    </row>
    <row r="64">
      <c r="A64">
        <f>IFERROR(INDEX(Calibracion!$B$3:$B$1002,MATCH(LARGE(Calibracion!$W$3:$W$1002,7),Calibracion!$W$3:$W$1002,0)),"")</f>
        <v/>
      </c>
      <c r="B64">
        <f>IF(A64="","",ROUNDUP(LARGE(Calibracion!$W$3:$W$1002,7)/10000,0))</f>
        <v/>
      </c>
      <c r="C64" s="19">
        <f>IF(A64="","",ROUND(SUMPRODUCT((Calibracion!$B$3:$B$1002=A64)*(Calibracion!$R$3:$R$1002="Sí"))/B64*100,0)/100)</f>
        <v/>
      </c>
    </row>
    <row r="65">
      <c r="A65">
        <f>IFERROR(INDEX(Calibracion!$B$3:$B$1002,MATCH(LARGE(Calibracion!$W$3:$W$1002,8),Calibracion!$W$3:$W$1002,0)),"")</f>
        <v/>
      </c>
      <c r="B65">
        <f>IF(A65="","",ROUNDUP(LARGE(Calibracion!$W$3:$W$1002,8)/10000,0))</f>
        <v/>
      </c>
      <c r="C65" s="19">
        <f>IF(A65="","",ROUND(SUMPRODUCT((Calibracion!$B$3:$B$1002=A65)*(Calibracion!$R$3:$R$1002="Sí"))/B65*100,0)/100)</f>
        <v/>
      </c>
    </row>
    <row r="66">
      <c r="A66">
        <f>IFERROR(INDEX(Calibracion!$B$3:$B$1002,MATCH(LARGE(Calibracion!$W$3:$W$1002,9),Calibracion!$W$3:$W$1002,0)),"")</f>
        <v/>
      </c>
      <c r="B66">
        <f>IF(A66="","",ROUNDUP(LARGE(Calibracion!$W$3:$W$1002,9)/10000,0))</f>
        <v/>
      </c>
      <c r="C66" s="19">
        <f>IF(A66="","",ROUND(SUMPRODUCT((Calibracion!$B$3:$B$1002=A66)*(Calibracion!$R$3:$R$1002="Sí"))/B66*100,0)/100)</f>
        <v/>
      </c>
    </row>
    <row r="67">
      <c r="A67">
        <f>IFERROR(INDEX(Calibracion!$B$3:$B$1002,MATCH(LARGE(Calibracion!$W$3:$W$1002,10),Calibracion!$W$3:$W$1002,0)),"")</f>
        <v/>
      </c>
      <c r="B67">
        <f>IF(A67="","",ROUNDUP(LARGE(Calibracion!$W$3:$W$1002,10)/10000,0))</f>
        <v/>
      </c>
      <c r="C67" s="19">
        <f>IF(A67="","",ROUND(SUMPRODUCT((Calibracion!$B$3:$B$1002=A67)*(Calibracion!$R$3:$R$1002="Sí"))/B67*100,0)/100)</f>
        <v/>
      </c>
    </row>
    <row r="70">
      <c r="A70" s="3" t="inlineStr">
        <is>
          <t>Opinión de los docentes</t>
        </is>
      </c>
      <c r="B70" s="4" t="n"/>
      <c r="C70" s="4" t="n"/>
      <c r="D70" s="4" t="n"/>
      <c r="E70" s="4" t="n"/>
    </row>
    <row r="71">
      <c r="A71" t="inlineStr">
        <is>
          <t>Docentes que respondieron</t>
        </is>
      </c>
      <c r="B71" s="13">
        <f>COUNT(Docentes!$Q$3:$Q$1002)</f>
        <v/>
      </c>
    </row>
    <row r="72">
      <c r="A72" t="inlineStr">
        <is>
          <t>Utilidad del semáforo (promedio de 1 a 5)</t>
        </is>
      </c>
      <c r="B72" s="21">
        <f>B7</f>
        <v/>
      </c>
    </row>
    <row r="73">
      <c r="A73" t="inlineStr">
        <is>
          <t>Lo usarían en clase («Sí, en la próxima tarea» o «Sí, con cambios»)</t>
        </is>
      </c>
      <c r="B73" s="15">
        <f>B8</f>
        <v/>
      </c>
    </row>
    <row r="75">
      <c r="A75" s="7" t="inlineStr">
        <is>
          <t>Utilidad del semáforo (5 = muy útil)</t>
        </is>
      </c>
      <c r="B75" s="7" t="inlineStr">
        <is>
          <t>Personas</t>
        </is>
      </c>
      <c r="C75" s="7" t="inlineStr">
        <is>
          <t>%</t>
        </is>
      </c>
    </row>
    <row r="76">
      <c r="A76" s="22" t="inlineStr">
        <is>
          <t>5</t>
        </is>
      </c>
      <c r="B76">
        <f>COUNTIF(Docentes!$R$3:$R$1002,5)</f>
        <v/>
      </c>
      <c r="C76" s="19">
        <f>IF(COUNT(Docentes!$R$3:$R$1002)=0,"",ROUND(B76/COUNT(Docentes!$R$3:$R$1002)*100,0)/100)</f>
        <v/>
      </c>
    </row>
    <row r="77">
      <c r="A77" s="22" t="inlineStr">
        <is>
          <t>4</t>
        </is>
      </c>
      <c r="B77">
        <f>COUNTIF(Docentes!$R$3:$R$1002,4)</f>
        <v/>
      </c>
      <c r="C77" s="19">
        <f>IF(COUNT(Docentes!$R$3:$R$1002)=0,"",ROUND(B77/COUNT(Docentes!$R$3:$R$1002)*100,0)/100)</f>
        <v/>
      </c>
    </row>
    <row r="78">
      <c r="A78" s="22" t="inlineStr">
        <is>
          <t>3</t>
        </is>
      </c>
      <c r="B78">
        <f>COUNTIF(Docentes!$R$3:$R$1002,3)</f>
        <v/>
      </c>
      <c r="C78" s="19">
        <f>IF(COUNT(Docentes!$R$3:$R$1002)=0,"",ROUND(B78/COUNT(Docentes!$R$3:$R$1002)*100,0)/100)</f>
        <v/>
      </c>
    </row>
    <row r="79">
      <c r="A79" s="22" t="inlineStr">
        <is>
          <t>2</t>
        </is>
      </c>
      <c r="B79">
        <f>COUNTIF(Docentes!$R$3:$R$1002,2)</f>
        <v/>
      </c>
      <c r="C79" s="19">
        <f>IF(COUNT(Docentes!$R$3:$R$1002)=0,"",ROUND(B79/COUNT(Docentes!$R$3:$R$1002)*100,0)/100)</f>
        <v/>
      </c>
    </row>
    <row r="80">
      <c r="A80" s="22" t="inlineStr">
        <is>
          <t>1</t>
        </is>
      </c>
      <c r="B80">
        <f>COUNTIF(Docentes!$R$3:$R$1002,1)</f>
        <v/>
      </c>
      <c r="C80" s="19">
        <f>IF(COUNT(Docentes!$R$3:$R$1002)=0,"",ROUND(B80/COUNT(Docentes!$R$3:$R$1002)*100,0)/100)</f>
        <v/>
      </c>
    </row>
    <row r="89">
      <c r="A89" s="7" t="inlineStr">
        <is>
          <t>¿El semáforo coincide con su criterio?</t>
        </is>
      </c>
      <c r="B89" s="7" t="inlineStr">
        <is>
          <t>Personas</t>
        </is>
      </c>
      <c r="C89" s="7" t="inlineStr">
        <is>
          <t>%</t>
        </is>
      </c>
    </row>
    <row r="90">
      <c r="A90">
        <f>IFERROR(VLOOKUP(F90,$A$400:$B$435,2,FALSE),F90)</f>
        <v/>
      </c>
      <c r="B90">
        <f>COUNTIF(Docentes!$S$3:$S$1002,"=casi siempre")</f>
        <v/>
      </c>
      <c r="C90" s="19">
        <f>IF(COUNTIF(Docentes!$S$3:$S$1002,"?*")=0,"",ROUND(B90/COUNTIF(Docentes!$S$3:$S$1002,"?*")*100,0)/100)</f>
        <v/>
      </c>
      <c r="F90" t="inlineStr">
        <is>
          <t>Casi siempre</t>
        </is>
      </c>
    </row>
    <row r="91">
      <c r="A91">
        <f>IFERROR(VLOOKUP(F91,$A$400:$B$435,2,FALSE),F91)</f>
        <v/>
      </c>
      <c r="B91">
        <f>COUNTIF(Docentes!$S$3:$S$1002,"=a veces")</f>
        <v/>
      </c>
      <c r="C91" s="19">
        <f>IF(COUNTIF(Docentes!$S$3:$S$1002,"?*")=0,"",ROUND(B91/COUNTIF(Docentes!$S$3:$S$1002,"?*")*100,0)/100)</f>
        <v/>
      </c>
      <c r="F91" t="inlineStr">
        <is>
          <t>A veces</t>
        </is>
      </c>
    </row>
    <row r="92">
      <c r="A92">
        <f>IFERROR(VLOOKUP(F92,$A$400:$B$435,2,FALSE),F92)</f>
        <v/>
      </c>
      <c r="B92">
        <f>COUNTIF(Docentes!$S$3:$S$1002,"=pocas veces")</f>
        <v/>
      </c>
      <c r="C92" s="19">
        <f>IF(COUNTIF(Docentes!$S$3:$S$1002,"?*")=0,"",ROUND(B92/COUNTIF(Docentes!$S$3:$S$1002,"?*")*100,0)/100)</f>
        <v/>
      </c>
      <c r="F92" t="inlineStr">
        <is>
          <t>Pocas veces</t>
        </is>
      </c>
    </row>
    <row r="93">
      <c r="A93">
        <f>IFERROR(VLOOKUP(F93,$A$400:$B$435,2,FALSE),F93)</f>
        <v/>
      </c>
      <c r="B93">
        <f>COUNTIF(Docentes!$S$3:$S$1002,"=no lo compare")</f>
        <v/>
      </c>
      <c r="C93" s="19">
        <f>IF(COUNTIF(Docentes!$S$3:$S$1002,"?*")=0,"",ROUND(B93/COUNTIF(Docentes!$S$3:$S$1002,"?*")*100,0)/100)</f>
        <v/>
      </c>
      <c r="F93" t="inlineStr">
        <is>
          <t>No lo compare</t>
        </is>
      </c>
    </row>
    <row r="94">
      <c r="A94" s="6" t="inlineStr">
        <is>
          <t>Otra respuesta</t>
        </is>
      </c>
      <c r="B94">
        <f>COUNTIF(Docentes!$S$3:$S$1002,"?*")-SUM(B90:B93)</f>
        <v/>
      </c>
      <c r="C94" s="19">
        <f>IF(COUNTIF(Docentes!$S$3:$S$1002,"?*")=0,"",ROUND(B94/COUNTIF(Docentes!$S$3:$S$1002,"?*")*100,0)/100)</f>
        <v/>
      </c>
    </row>
    <row r="95">
      <c r="A95" s="13" t="inlineStr">
        <is>
          <t>Total con respuesta</t>
        </is>
      </c>
      <c r="B95" s="13">
        <f>COUNTIF(Docentes!$S$3:$S$1002,"?*")</f>
        <v/>
      </c>
    </row>
    <row r="103">
      <c r="A103" s="7" t="inlineStr">
        <is>
          <t>¿Los alumnos entienden el semáforo?</t>
        </is>
      </c>
      <c r="B103" s="7" t="inlineStr">
        <is>
          <t>Personas</t>
        </is>
      </c>
      <c r="C103" s="7" t="inlineStr">
        <is>
          <t>%</t>
        </is>
      </c>
    </row>
    <row r="104">
      <c r="A104">
        <f>IFERROR(VLOOKUP(F104,$A$400:$B$435,2,FALSE),F104)</f>
        <v/>
      </c>
      <c r="B104">
        <f>COUNTIF(Docentes!$T$3:$T$1002,"=si, solos")</f>
        <v/>
      </c>
      <c r="C104" s="19">
        <f>IF(COUNTIF(Docentes!$T$3:$T$1002,"?*")=0,"",ROUND(B104/COUNTIF(Docentes!$T$3:$T$1002,"?*")*100,0)/100)</f>
        <v/>
      </c>
      <c r="F104" t="inlineStr">
        <is>
          <t>Si, solos</t>
        </is>
      </c>
    </row>
    <row r="105">
      <c r="A105">
        <f>IFERROR(VLOOKUP(F105,$A$400:$B$435,2,FALSE),F105)</f>
        <v/>
      </c>
      <c r="B105">
        <f>COUNTIF(Docentes!$T$3:$T$1002,"=con una explicacion breve")</f>
        <v/>
      </c>
      <c r="C105" s="19">
        <f>IF(COUNTIF(Docentes!$T$3:$T$1002,"?*")=0,"",ROUND(B105/COUNTIF(Docentes!$T$3:$T$1002,"?*")*100,0)/100)</f>
        <v/>
      </c>
      <c r="F105" t="inlineStr">
        <is>
          <t>Con una explicacion breve</t>
        </is>
      </c>
    </row>
    <row r="106">
      <c r="A106">
        <f>IFERROR(VLOOKUP(F106,$A$400:$B$435,2,FALSE),F106)</f>
        <v/>
      </c>
      <c r="B106">
        <f>COUNTIF(Docentes!$T$3:$T$1002,"=no")</f>
        <v/>
      </c>
      <c r="C106" s="19">
        <f>IF(COUNTIF(Docentes!$T$3:$T$1002,"?*")=0,"",ROUND(B106/COUNTIF(Docentes!$T$3:$T$1002,"?*")*100,0)/100)</f>
        <v/>
      </c>
      <c r="F106" t="inlineStr">
        <is>
          <t>No</t>
        </is>
      </c>
    </row>
    <row r="107">
      <c r="A107" s="6" t="inlineStr">
        <is>
          <t>Otra respuesta</t>
        </is>
      </c>
      <c r="B107">
        <f>COUNTIF(Docentes!$T$3:$T$1002,"?*")-SUM(B104:B106)</f>
        <v/>
      </c>
      <c r="C107" s="19">
        <f>IF(COUNTIF(Docentes!$T$3:$T$1002,"?*")=0,"",ROUND(B107/COUNTIF(Docentes!$T$3:$T$1002,"?*")*100,0)/100)</f>
        <v/>
      </c>
    </row>
    <row r="108">
      <c r="A108" s="13" t="inlineStr">
        <is>
          <t>Total con respuesta</t>
        </is>
      </c>
      <c r="B108" s="13">
        <f>COUNTIF(Docentes!$T$3:$T$1002,"?*")</f>
        <v/>
      </c>
    </row>
    <row r="117">
      <c r="A117" s="7" t="inlineStr">
        <is>
          <t>¿Lo usaría en clase?</t>
        </is>
      </c>
      <c r="B117" s="7" t="inlineStr">
        <is>
          <t>Personas</t>
        </is>
      </c>
      <c r="C117" s="7" t="inlineStr">
        <is>
          <t>%</t>
        </is>
      </c>
    </row>
    <row r="118">
      <c r="A118">
        <f>IFERROR(VLOOKUP(F118,$A$400:$B$435,2,FALSE),F118)</f>
        <v/>
      </c>
      <c r="B118">
        <f>COUNTIF(Docentes!$U$3:$U$1002,"=si, en la proxima tarea")</f>
        <v/>
      </c>
      <c r="C118" s="19">
        <f>IF(COUNTIF(Docentes!$U$3:$U$1002,"?*")=0,"",ROUND(B118/COUNTIF(Docentes!$U$3:$U$1002,"?*")*100,0)/100)</f>
        <v/>
      </c>
      <c r="F118" t="inlineStr">
        <is>
          <t>Si, en la proxima tarea</t>
        </is>
      </c>
    </row>
    <row r="119">
      <c r="A119">
        <f>IFERROR(VLOOKUP(F119,$A$400:$B$435,2,FALSE),F119)</f>
        <v/>
      </c>
      <c r="B119">
        <f>COUNTIF(Docentes!$U$3:$U$1002,"=si, con cambios")</f>
        <v/>
      </c>
      <c r="C119" s="19">
        <f>IF(COUNTIF(Docentes!$U$3:$U$1002,"?*")=0,"",ROUND(B119/COUNTIF(Docentes!$U$3:$U$1002,"?*")*100,0)/100)</f>
        <v/>
      </c>
      <c r="F119" t="inlineStr">
        <is>
          <t>Si, con cambios</t>
        </is>
      </c>
    </row>
    <row r="120">
      <c r="A120">
        <f>IFERROR(VLOOKUP(F120,$A$400:$B$435,2,FALSE),F120)</f>
        <v/>
      </c>
      <c r="B120">
        <f>COUNTIF(Docentes!$U$3:$U$1002,"=no por ahora")</f>
        <v/>
      </c>
      <c r="C120" s="19">
        <f>IF(COUNTIF(Docentes!$U$3:$U$1002,"?*")=0,"",ROUND(B120/COUNTIF(Docentes!$U$3:$U$1002,"?*")*100,0)/100)</f>
        <v/>
      </c>
      <c r="F120" t="inlineStr">
        <is>
          <t>No por ahora</t>
        </is>
      </c>
    </row>
    <row r="121">
      <c r="A121" s="6" t="inlineStr">
        <is>
          <t>Otra respuesta</t>
        </is>
      </c>
      <c r="B121">
        <f>COUNTIF(Docentes!$U$3:$U$1002,"?*")-SUM(B118:B120)</f>
        <v/>
      </c>
      <c r="C121" s="19">
        <f>IF(COUNTIF(Docentes!$U$3:$U$1002,"?*")=0,"",ROUND(B121/COUNTIF(Docentes!$U$3:$U$1002,"?*")*100,0)/100)</f>
        <v/>
      </c>
    </row>
    <row r="122">
      <c r="A122" s="13" t="inlineStr">
        <is>
          <t>Total con respuesta</t>
        </is>
      </c>
      <c r="B122" s="13">
        <f>COUNTIF(Docentes!$U$3:$U$1002,"?*")</f>
        <v/>
      </c>
    </row>
    <row r="131">
      <c r="A131" s="7" t="inlineStr">
        <is>
          <t>¿Recomendaría que el colegio lo contrate?</t>
        </is>
      </c>
      <c r="B131" s="7" t="inlineStr">
        <is>
          <t>Personas</t>
        </is>
      </c>
      <c r="C131" s="7" t="inlineStr">
        <is>
          <t>%</t>
        </is>
      </c>
    </row>
    <row r="132">
      <c r="A132">
        <f>IFERROR(VLOOKUP(F132,$A$400:$B$435,2,FALSE),F132)</f>
        <v/>
      </c>
      <c r="B132">
        <f>COUNTIF(Docentes!$V$3:$V$1002,"=si")</f>
        <v/>
      </c>
      <c r="C132" s="19">
        <f>IF(COUNTIF(Docentes!$V$3:$V$1002,"?*")=0,"",ROUND(B132/COUNTIF(Docentes!$V$3:$V$1002,"?*")*100,0)/100)</f>
        <v/>
      </c>
      <c r="F132" t="inlineStr">
        <is>
          <t>Si</t>
        </is>
      </c>
    </row>
    <row r="133">
      <c r="A133">
        <f>IFERROR(VLOOKUP(F133,$A$400:$B$435,2,FALSE),F133)</f>
        <v/>
      </c>
      <c r="B133">
        <f>COUNTIF(Docentes!$V$3:$V$1002,"=tal vez")</f>
        <v/>
      </c>
      <c r="C133" s="19">
        <f>IF(COUNTIF(Docentes!$V$3:$V$1002,"?*")=0,"",ROUND(B133/COUNTIF(Docentes!$V$3:$V$1002,"?*")*100,0)/100)</f>
        <v/>
      </c>
      <c r="F133" t="inlineStr">
        <is>
          <t>Tal vez</t>
        </is>
      </c>
    </row>
    <row r="134">
      <c r="A134">
        <f>IFERROR(VLOOKUP(F134,$A$400:$B$435,2,FALSE),F134)</f>
        <v/>
      </c>
      <c r="B134">
        <f>COUNTIF(Docentes!$V$3:$V$1002,"=no")</f>
        <v/>
      </c>
      <c r="C134" s="19">
        <f>IF(COUNTIF(Docentes!$V$3:$V$1002,"?*")=0,"",ROUND(B134/COUNTIF(Docentes!$V$3:$V$1002,"?*")*100,0)/100)</f>
        <v/>
      </c>
      <c r="F134" t="inlineStr">
        <is>
          <t>No</t>
        </is>
      </c>
    </row>
    <row r="135">
      <c r="A135">
        <f>IFERROR(VLOOKUP(F135,$A$400:$B$435,2,FALSE),F135)</f>
        <v/>
      </c>
      <c r="B135">
        <f>COUNTIF(Docentes!$V$3:$V$1002,"=no me corresponde")</f>
        <v/>
      </c>
      <c r="C135" s="19">
        <f>IF(COUNTIF(Docentes!$V$3:$V$1002,"?*")=0,"",ROUND(B135/COUNTIF(Docentes!$V$3:$V$1002,"?*")*100,0)/100)</f>
        <v/>
      </c>
      <c r="F135" t="inlineStr">
        <is>
          <t>No me corresponde</t>
        </is>
      </c>
    </row>
    <row r="136">
      <c r="A136" s="6" t="inlineStr">
        <is>
          <t>Otra respuesta</t>
        </is>
      </c>
      <c r="B136">
        <f>COUNTIF(Docentes!$V$3:$V$1002,"?*")-SUM(B132:B135)</f>
        <v/>
      </c>
      <c r="C136" s="19">
        <f>IF(COUNTIF(Docentes!$V$3:$V$1002,"?*")=0,"",ROUND(B136/COUNTIF(Docentes!$V$3:$V$1002,"?*")*100,0)/100)</f>
        <v/>
      </c>
    </row>
    <row r="137">
      <c r="A137" s="13" t="inlineStr">
        <is>
          <t>Total con respuesta</t>
        </is>
      </c>
      <c r="B137" s="13">
        <f>COUNTIF(Docentes!$V$3:$V$1002,"?*")</f>
        <v/>
      </c>
    </row>
    <row r="145">
      <c r="A145" s="7" t="inlineStr">
        <is>
          <t>Imprescindible para usarlo (puede marcar varias)</t>
        </is>
      </c>
      <c r="B145" s="7" t="inlineStr">
        <is>
          <t>Docentes</t>
        </is>
      </c>
      <c r="C145" s="7" t="inlineStr">
        <is>
          <t>% de docentes</t>
        </is>
      </c>
    </row>
    <row r="146">
      <c r="A146">
        <f>IFERROR(VLOOKUP(F146,$A$400:$B$435,2,FALSE),F146)</f>
        <v/>
      </c>
      <c r="B146">
        <f>COUNTIF(Docentes!$W$3:$W$1002,"*ver las fuentes que entrega cada alumno*")</f>
        <v/>
      </c>
      <c r="C146" s="19">
        <f>IF(COUNT(Docentes!$Q$3:$Q$1002)=0,"",ROUND(B146/COUNT(Docentes!$Q$3:$Q$1002)*100,0)/100)</f>
        <v/>
      </c>
      <c r="F146" t="inlineStr">
        <is>
          <t>Ver las fuentes que entrega cada alumno</t>
        </is>
      </c>
    </row>
    <row r="147">
      <c r="A147">
        <f>IFERROR(VLOOKUP(F147,$A$400:$B$435,2,FALSE),F147)</f>
        <v/>
      </c>
      <c r="B147">
        <f>COUNTIF(Docentes!$W$3:$W$1002,"*informe del curso*")</f>
        <v/>
      </c>
      <c r="C147" s="19">
        <f>IF(COUNT(Docentes!$Q$3:$Q$1002)=0,"",ROUND(B147/COUNT(Docentes!$Q$3:$Q$1002)*100,0)/100)</f>
        <v/>
      </c>
      <c r="F147" t="inlineStr">
        <is>
          <t>Informe del curso</t>
        </is>
      </c>
    </row>
    <row r="148">
      <c r="A148">
        <f>IFERROR(VLOOKUP(F148,$A$400:$B$435,2,FALSE),F148)</f>
        <v/>
      </c>
      <c r="B148">
        <f>COUNTIF(Docentes!$W$3:$W$1002,"*extension instalada*")</f>
        <v/>
      </c>
      <c r="C148" s="19">
        <f>IF(COUNT(Docentes!$Q$3:$Q$1002)=0,"",ROUND(B148/COUNT(Docentes!$Q$3:$Q$1002)*100,0)/100)</f>
        <v/>
      </c>
      <c r="F148" t="inlineStr">
        <is>
          <t>Extension instalada</t>
        </is>
      </c>
    </row>
    <row r="149">
      <c r="A149">
        <f>IFERROR(VLOOKUP(F149,$A$400:$B$435,2,FALSE),F149)</f>
        <v/>
      </c>
      <c r="B149">
        <f>COUNTIF(Docentes!$W$3:$W$1002,"*mas formatos de cita*")</f>
        <v/>
      </c>
      <c r="C149" s="19">
        <f>IF(COUNT(Docentes!$Q$3:$Q$1002)=0,"",ROUND(B149/COUNT(Docentes!$Q$3:$Q$1002)*100,0)/100)</f>
        <v/>
      </c>
      <c r="F149" t="inlineStr">
        <is>
          <t>Mas formatos de cita</t>
        </is>
      </c>
    </row>
    <row r="150">
      <c r="A150">
        <f>IFERROR(VLOOKUP(F150,$A$400:$B$435,2,FALSE),F150)</f>
        <v/>
      </c>
      <c r="B150">
        <f>COUNTIF(Docentes!$W$3:$W$1002,"*integracion classroom o teams*")</f>
        <v/>
      </c>
      <c r="C150" s="19">
        <f>IF(COUNT(Docentes!$Q$3:$Q$1002)=0,"",ROUND(B150/COUNT(Docentes!$Q$3:$Q$1002)*100,0)/100)</f>
        <v/>
      </c>
      <c r="F150" t="inlineStr">
        <is>
          <t>Integracion Classroom o Teams</t>
        </is>
      </c>
    </row>
    <row r="151">
      <c r="A151">
        <f>IFERROR(VLOOKUP(F151,$A$400:$B$435,2,FALSE),F151)</f>
        <v/>
      </c>
      <c r="B151">
        <f>COUNTIF(Docentes!$W$3:$W$1002,"*capacitacion*")</f>
        <v/>
      </c>
      <c r="C151" s="19">
        <f>IF(COUNT(Docentes!$Q$3:$Q$1002)=0,"",ROUND(B151/COUNT(Docentes!$Q$3:$Q$1002)*100,0)/100)</f>
        <v/>
      </c>
      <c r="F151" t="inlineStr">
        <is>
          <t>Capacitacion</t>
        </is>
      </c>
    </row>
    <row r="152">
      <c r="A152">
        <f>IFERROR(VLOOKUP(F152,$A$400:$B$435,2,FALSE),F152)</f>
        <v/>
      </c>
      <c r="B152">
        <f>COUNTIF(Docentes!$W$3:$W$1002,"*fuentes peruanas*")</f>
        <v/>
      </c>
      <c r="C152" s="19">
        <f>IF(COUNT(Docentes!$Q$3:$Q$1002)=0,"",ROUND(B152/COUNT(Docentes!$Q$3:$Q$1002)*100,0)/100)</f>
        <v/>
      </c>
      <c r="F152" t="inlineStr">
        <is>
          <t>Fuentes peruanas</t>
        </is>
      </c>
    </row>
    <row r="159">
      <c r="A159" s="7" t="inlineStr">
        <is>
          <t>Área de los docentes</t>
        </is>
      </c>
      <c r="B159" s="7" t="inlineStr">
        <is>
          <t>Personas</t>
        </is>
      </c>
      <c r="C159" s="7" t="inlineStr">
        <is>
          <t>%</t>
        </is>
      </c>
    </row>
    <row r="160">
      <c r="A160">
        <f>IFERROR(INDEX(Docentes!$A$3:$A$1002,MATCH(LARGE(Docentes!$Z$3:$Z$1002,1),Docentes!$Z$3:$Z$1002,0)),"")</f>
        <v/>
      </c>
      <c r="B160">
        <f>IF(A160="","",ROUNDUP(LARGE(Docentes!$Z$3:$Z$1002,1)/10000,0))</f>
        <v/>
      </c>
      <c r="C160" s="19">
        <f>IF(A160="","",ROUND(B160/COUNTIFS(Docentes!$Q$3:$Q$1002,1,Docentes!$A$3:$A$1002,"?*")*100,0)/100)</f>
        <v/>
      </c>
    </row>
    <row r="161">
      <c r="A161">
        <f>IFERROR(INDEX(Docentes!$A$3:$A$1002,MATCH(LARGE(Docentes!$Z$3:$Z$1002,2),Docentes!$Z$3:$Z$1002,0)),"")</f>
        <v/>
      </c>
      <c r="B161">
        <f>IF(A161="","",ROUNDUP(LARGE(Docentes!$Z$3:$Z$1002,2)/10000,0))</f>
        <v/>
      </c>
      <c r="C161" s="19">
        <f>IF(A161="","",ROUND(B161/COUNTIFS(Docentes!$Q$3:$Q$1002,1,Docentes!$A$3:$A$1002,"?*")*100,0)/100)</f>
        <v/>
      </c>
    </row>
    <row r="162">
      <c r="A162">
        <f>IFERROR(INDEX(Docentes!$A$3:$A$1002,MATCH(LARGE(Docentes!$Z$3:$Z$1002,3),Docentes!$Z$3:$Z$1002,0)),"")</f>
        <v/>
      </c>
      <c r="B162">
        <f>IF(A162="","",ROUNDUP(LARGE(Docentes!$Z$3:$Z$1002,3)/10000,0))</f>
        <v/>
      </c>
      <c r="C162" s="19">
        <f>IF(A162="","",ROUND(B162/COUNTIFS(Docentes!$Q$3:$Q$1002,1,Docentes!$A$3:$A$1002,"?*")*100,0)/100)</f>
        <v/>
      </c>
    </row>
    <row r="163">
      <c r="A163">
        <f>IFERROR(INDEX(Docentes!$A$3:$A$1002,MATCH(LARGE(Docentes!$Z$3:$Z$1002,4),Docentes!$Z$3:$Z$1002,0)),"")</f>
        <v/>
      </c>
      <c r="B163">
        <f>IF(A163="","",ROUNDUP(LARGE(Docentes!$Z$3:$Z$1002,4)/10000,0))</f>
        <v/>
      </c>
      <c r="C163" s="19">
        <f>IF(A163="","",ROUND(B163/COUNTIFS(Docentes!$Q$3:$Q$1002,1,Docentes!$A$3:$A$1002,"?*")*100,0)/100)</f>
        <v/>
      </c>
    </row>
    <row r="164">
      <c r="A164">
        <f>IFERROR(INDEX(Docentes!$A$3:$A$1002,MATCH(LARGE(Docentes!$Z$3:$Z$1002,5),Docentes!$Z$3:$Z$1002,0)),"")</f>
        <v/>
      </c>
      <c r="B164">
        <f>IF(A164="","",ROUNDUP(LARGE(Docentes!$Z$3:$Z$1002,5)/10000,0))</f>
        <v/>
      </c>
      <c r="C164" s="19">
        <f>IF(A164="","",ROUND(B164/COUNTIFS(Docentes!$Q$3:$Q$1002,1,Docentes!$A$3:$A$1002,"?*")*100,0)/100)</f>
        <v/>
      </c>
    </row>
    <row r="165">
      <c r="A165">
        <f>IFERROR(INDEX(Docentes!$A$3:$A$1002,MATCH(LARGE(Docentes!$Z$3:$Z$1002,6),Docentes!$Z$3:$Z$1002,0)),"")</f>
        <v/>
      </c>
      <c r="B165">
        <f>IF(A165="","",ROUNDUP(LARGE(Docentes!$Z$3:$Z$1002,6)/10000,0))</f>
        <v/>
      </c>
      <c r="C165" s="19">
        <f>IF(A165="","",ROUND(B165/COUNTIFS(Docentes!$Q$3:$Q$1002,1,Docentes!$A$3:$A$1002,"?*")*100,0)/100)</f>
        <v/>
      </c>
    </row>
    <row r="166">
      <c r="A166">
        <f>IFERROR(INDEX(Docentes!$A$3:$A$1002,MATCH(LARGE(Docentes!$Z$3:$Z$1002,7),Docentes!$Z$3:$Z$1002,0)),"")</f>
        <v/>
      </c>
      <c r="B166">
        <f>IF(A166="","",ROUNDUP(LARGE(Docentes!$Z$3:$Z$1002,7)/10000,0))</f>
        <v/>
      </c>
      <c r="C166" s="19">
        <f>IF(A166="","",ROUND(B166/COUNTIFS(Docentes!$Q$3:$Q$1002,1,Docentes!$A$3:$A$1002,"?*")*100,0)/100)</f>
        <v/>
      </c>
    </row>
    <row r="167">
      <c r="A167">
        <f>IFERROR(INDEX(Docentes!$A$3:$A$1002,MATCH(LARGE(Docentes!$Z$3:$Z$1002,8),Docentes!$Z$3:$Z$1002,0)),"")</f>
        <v/>
      </c>
      <c r="B167">
        <f>IF(A167="","",ROUNDUP(LARGE(Docentes!$Z$3:$Z$1002,8)/10000,0))</f>
        <v/>
      </c>
      <c r="C167" s="19">
        <f>IF(A167="","",ROUND(B167/COUNTIFS(Docentes!$Q$3:$Q$1002,1,Docentes!$A$3:$A$1002,"?*")*100,0)/100)</f>
        <v/>
      </c>
    </row>
    <row r="170">
      <c r="A170" s="3" t="inlineStr">
        <is>
          <t>Opinión de los estudiantes</t>
        </is>
      </c>
      <c r="B170" s="4" t="n"/>
      <c r="C170" s="4" t="n"/>
      <c r="D170" s="4" t="n"/>
      <c r="E170" s="4" t="n"/>
    </row>
    <row r="171">
      <c r="A171" t="inlineStr">
        <is>
          <t>Estudiantes que respondieron</t>
        </is>
      </c>
      <c r="B171" s="13">
        <f>COUNT(Estudiantes!$L$3:$L$1002)</f>
        <v/>
      </c>
    </row>
    <row r="172">
      <c r="A172" t="inlineStr">
        <is>
          <t>Satisfacción (promedio de 1 a 5)</t>
        </is>
      </c>
      <c r="B172" s="21">
        <f>IF(COUNT(Estudiantes!$M$3:$M$1002)=0,"",ROUND(AVERAGE(Estudiantes!$M$3:$M$1002),1))</f>
        <v/>
      </c>
    </row>
    <row r="173">
      <c r="A173" t="inlineStr">
        <is>
          <t>Recomendación (promedio de 1 a 5)</t>
        </is>
      </c>
      <c r="B173" s="21">
        <f>IF(COUNT(Estudiantes!$N$3:$N$1002)=0,"",ROUND(AVERAGE(Estudiantes!$N$3:$N$1002),1))</f>
        <v/>
      </c>
    </row>
    <row r="174">
      <c r="A174" t="inlineStr">
        <is>
          <t>Lo usarían en su próxima tarea («Sí» o «Tal vez»)</t>
        </is>
      </c>
      <c r="B174" s="15">
        <f>B9</f>
        <v/>
      </c>
    </row>
    <row r="176">
      <c r="A176" s="7" t="inlineStr">
        <is>
          <t>Satisfacción (5 = muy satisfecho)</t>
        </is>
      </c>
      <c r="B176" s="7" t="inlineStr">
        <is>
          <t>Personas</t>
        </is>
      </c>
      <c r="C176" s="7" t="inlineStr">
        <is>
          <t>%</t>
        </is>
      </c>
    </row>
    <row r="177">
      <c r="A177" s="22" t="inlineStr">
        <is>
          <t>5</t>
        </is>
      </c>
      <c r="B177">
        <f>COUNTIF(Estudiantes!$M$3:$M$1002,5)</f>
        <v/>
      </c>
      <c r="C177" s="19">
        <f>IF(COUNT(Estudiantes!$M$3:$M$1002)=0,"",ROUND(B177/COUNT(Estudiantes!$M$3:$M$1002)*100,0)/100)</f>
        <v/>
      </c>
    </row>
    <row r="178">
      <c r="A178" s="22" t="inlineStr">
        <is>
          <t>4</t>
        </is>
      </c>
      <c r="B178">
        <f>COUNTIF(Estudiantes!$M$3:$M$1002,4)</f>
        <v/>
      </c>
      <c r="C178" s="19">
        <f>IF(COUNT(Estudiantes!$M$3:$M$1002)=0,"",ROUND(B178/COUNT(Estudiantes!$M$3:$M$1002)*100,0)/100)</f>
        <v/>
      </c>
    </row>
    <row r="179">
      <c r="A179" s="22" t="inlineStr">
        <is>
          <t>3</t>
        </is>
      </c>
      <c r="B179">
        <f>COUNTIF(Estudiantes!$M$3:$M$1002,3)</f>
        <v/>
      </c>
      <c r="C179" s="19">
        <f>IF(COUNT(Estudiantes!$M$3:$M$1002)=0,"",ROUND(B179/COUNT(Estudiantes!$M$3:$M$1002)*100,0)/100)</f>
        <v/>
      </c>
    </row>
    <row r="180">
      <c r="A180" s="22" t="inlineStr">
        <is>
          <t>2</t>
        </is>
      </c>
      <c r="B180">
        <f>COUNTIF(Estudiantes!$M$3:$M$1002,2)</f>
        <v/>
      </c>
      <c r="C180" s="19">
        <f>IF(COUNT(Estudiantes!$M$3:$M$1002)=0,"",ROUND(B180/COUNT(Estudiantes!$M$3:$M$1002)*100,0)/100)</f>
        <v/>
      </c>
    </row>
    <row r="181">
      <c r="A181" s="22" t="inlineStr">
        <is>
          <t>1</t>
        </is>
      </c>
      <c r="B181">
        <f>COUNTIF(Estudiantes!$M$3:$M$1002,1)</f>
        <v/>
      </c>
      <c r="C181" s="19">
        <f>IF(COUNT(Estudiantes!$M$3:$M$1002)=0,"",ROUND(B181/COUNT(Estudiantes!$M$3:$M$1002)*100,0)/100)</f>
        <v/>
      </c>
    </row>
    <row r="190">
      <c r="A190" s="7" t="inlineStr">
        <is>
          <t>¿Lo recomendaría? (5 = muy probable)</t>
        </is>
      </c>
      <c r="B190" s="7" t="inlineStr">
        <is>
          <t>Personas</t>
        </is>
      </c>
      <c r="C190" s="7" t="inlineStr">
        <is>
          <t>%</t>
        </is>
      </c>
    </row>
    <row r="191">
      <c r="A191" s="22" t="inlineStr">
        <is>
          <t>5</t>
        </is>
      </c>
      <c r="B191">
        <f>COUNTIF(Estudiantes!$N$3:$N$1002,5)</f>
        <v/>
      </c>
      <c r="C191" s="19">
        <f>IF(COUNT(Estudiantes!$N$3:$N$1002)=0,"",ROUND(B191/COUNT(Estudiantes!$N$3:$N$1002)*100,0)/100)</f>
        <v/>
      </c>
    </row>
    <row r="192">
      <c r="A192" s="22" t="inlineStr">
        <is>
          <t>4</t>
        </is>
      </c>
      <c r="B192">
        <f>COUNTIF(Estudiantes!$N$3:$N$1002,4)</f>
        <v/>
      </c>
      <c r="C192" s="19">
        <f>IF(COUNT(Estudiantes!$N$3:$N$1002)=0,"",ROUND(B192/COUNT(Estudiantes!$N$3:$N$1002)*100,0)/100)</f>
        <v/>
      </c>
    </row>
    <row r="193">
      <c r="A193" s="22" t="inlineStr">
        <is>
          <t>3</t>
        </is>
      </c>
      <c r="B193">
        <f>COUNTIF(Estudiantes!$N$3:$N$1002,3)</f>
        <v/>
      </c>
      <c r="C193" s="19">
        <f>IF(COUNT(Estudiantes!$N$3:$N$1002)=0,"",ROUND(B193/COUNT(Estudiantes!$N$3:$N$1002)*100,0)/100)</f>
        <v/>
      </c>
    </row>
    <row r="194">
      <c r="A194" s="22" t="inlineStr">
        <is>
          <t>2</t>
        </is>
      </c>
      <c r="B194">
        <f>COUNTIF(Estudiantes!$N$3:$N$1002,2)</f>
        <v/>
      </c>
      <c r="C194" s="19">
        <f>IF(COUNT(Estudiantes!$N$3:$N$1002)=0,"",ROUND(B194/COUNT(Estudiantes!$N$3:$N$1002)*100,0)/100)</f>
        <v/>
      </c>
    </row>
    <row r="195">
      <c r="A195" s="22" t="inlineStr">
        <is>
          <t>1</t>
        </is>
      </c>
      <c r="B195">
        <f>COUNTIF(Estudiantes!$N$3:$N$1002,1)</f>
        <v/>
      </c>
      <c r="C195" s="19">
        <f>IF(COUNT(Estudiantes!$N$3:$N$1002)=0,"",ROUND(B195/COUNT(Estudiantes!$N$3:$N$1002)*100,0)/100)</f>
        <v/>
      </c>
    </row>
    <row r="204">
      <c r="A204" s="7" t="inlineStr">
        <is>
          <t>¿Qué tan fácil fue usarla?</t>
        </is>
      </c>
      <c r="B204" s="7" t="inlineStr">
        <is>
          <t>Personas</t>
        </is>
      </c>
      <c r="C204" s="7" t="inlineStr">
        <is>
          <t>%</t>
        </is>
      </c>
    </row>
    <row r="205">
      <c r="A205">
        <f>IFERROR(VLOOKUP(F205,$A$400:$B$435,2,FALSE),F205)</f>
        <v/>
      </c>
      <c r="B205">
        <f>COUNTIF(Estudiantes!$O$3:$O$1002,"=muy facil")</f>
        <v/>
      </c>
      <c r="C205" s="19">
        <f>IF(COUNTIF(Estudiantes!$O$3:$O$1002,"?*")=0,"",ROUND(B205/COUNTIF(Estudiantes!$O$3:$O$1002,"?*")*100,0)/100)</f>
        <v/>
      </c>
      <c r="F205" t="inlineStr">
        <is>
          <t>Muy facil</t>
        </is>
      </c>
    </row>
    <row r="206">
      <c r="A206">
        <f>IFERROR(VLOOKUP(F206,$A$400:$B$435,2,FALSE),F206)</f>
        <v/>
      </c>
      <c r="B206">
        <f>COUNTIF(Estudiantes!$O$3:$O$1002,"=facil")</f>
        <v/>
      </c>
      <c r="C206" s="19">
        <f>IF(COUNTIF(Estudiantes!$O$3:$O$1002,"?*")=0,"",ROUND(B206/COUNTIF(Estudiantes!$O$3:$O$1002,"?*")*100,0)/100)</f>
        <v/>
      </c>
      <c r="F206" t="inlineStr">
        <is>
          <t>Facil</t>
        </is>
      </c>
    </row>
    <row r="207">
      <c r="A207">
        <f>IFERROR(VLOOKUP(F207,$A$400:$B$435,2,FALSE),F207)</f>
        <v/>
      </c>
      <c r="B207">
        <f>COUNTIF(Estudiantes!$O$3:$O$1002,"=ni facil ni dificil")</f>
        <v/>
      </c>
      <c r="C207" s="19">
        <f>IF(COUNTIF(Estudiantes!$O$3:$O$1002,"?*")=0,"",ROUND(B207/COUNTIF(Estudiantes!$O$3:$O$1002,"?*")*100,0)/100)</f>
        <v/>
      </c>
      <c r="F207" t="inlineStr">
        <is>
          <t>Ni facil ni dificil</t>
        </is>
      </c>
    </row>
    <row r="208">
      <c r="A208">
        <f>IFERROR(VLOOKUP(F208,$A$400:$B$435,2,FALSE),F208)</f>
        <v/>
      </c>
      <c r="B208">
        <f>COUNTIF(Estudiantes!$O$3:$O$1002,"=dificil")</f>
        <v/>
      </c>
      <c r="C208" s="19">
        <f>IF(COUNTIF(Estudiantes!$O$3:$O$1002,"?*")=0,"",ROUND(B208/COUNTIF(Estudiantes!$O$3:$O$1002,"?*")*100,0)/100)</f>
        <v/>
      </c>
      <c r="F208" t="inlineStr">
        <is>
          <t>Dificil</t>
        </is>
      </c>
    </row>
    <row r="209">
      <c r="A209">
        <f>IFERROR(VLOOKUP(F209,$A$400:$B$435,2,FALSE),F209)</f>
        <v/>
      </c>
      <c r="B209">
        <f>COUNTIF(Estudiantes!$O$3:$O$1002,"=muy dificil")</f>
        <v/>
      </c>
      <c r="C209" s="19">
        <f>IF(COUNTIF(Estudiantes!$O$3:$O$1002,"?*")=0,"",ROUND(B209/COUNTIF(Estudiantes!$O$3:$O$1002,"?*")*100,0)/100)</f>
        <v/>
      </c>
      <c r="F209" t="inlineStr">
        <is>
          <t>Muy dificil</t>
        </is>
      </c>
    </row>
    <row r="210">
      <c r="A210" s="6" t="inlineStr">
        <is>
          <t>Otra respuesta</t>
        </is>
      </c>
      <c r="B210">
        <f>COUNTIF(Estudiantes!$O$3:$O$1002,"?*")-SUM(B205:B209)</f>
        <v/>
      </c>
      <c r="C210" s="19">
        <f>IF(COUNTIF(Estudiantes!$O$3:$O$1002,"?*")=0,"",ROUND(B210/COUNTIF(Estudiantes!$O$3:$O$1002,"?*")*100,0)/100)</f>
        <v/>
      </c>
    </row>
    <row r="211">
      <c r="A211" s="13" t="inlineStr">
        <is>
          <t>Total con respuesta</t>
        </is>
      </c>
      <c r="B211" s="13">
        <f>COUNTIF(Estudiantes!$O$3:$O$1002,"?*")</f>
        <v/>
      </c>
    </row>
    <row r="218">
      <c r="A218" s="7" t="inlineStr">
        <is>
          <t>¿Funcionó bien?</t>
        </is>
      </c>
      <c r="B218" s="7" t="inlineStr">
        <is>
          <t>Personas</t>
        </is>
      </c>
      <c r="C218" s="7" t="inlineStr">
        <is>
          <t>%</t>
        </is>
      </c>
    </row>
    <row r="219">
      <c r="A219">
        <f>IFERROR(VLOOKUP(F219,$A$400:$B$435,2,FALSE),F219)</f>
        <v/>
      </c>
      <c r="B219">
        <f>COUNTIF(Estudiantes!$P$3:$P$1002,"=si, todo funciono")</f>
        <v/>
      </c>
      <c r="C219" s="19">
        <f>IF(COUNTIF(Estudiantes!$P$3:$P$1002,"?*")=0,"",ROUND(B219/COUNTIF(Estudiantes!$P$3:$P$1002,"?*")*100,0)/100)</f>
        <v/>
      </c>
      <c r="F219" t="inlineStr">
        <is>
          <t>Si, todo funciono</t>
        </is>
      </c>
    </row>
    <row r="220">
      <c r="A220">
        <f>IFERROR(VLOOKUP(F220,$A$400:$B$435,2,FALSE),F220)</f>
        <v/>
      </c>
      <c r="B220">
        <f>COUNTIF(Estudiantes!$P$3:$P$1002,"=funciono con detalles")</f>
        <v/>
      </c>
      <c r="C220" s="19">
        <f>IF(COUNTIF(Estudiantes!$P$3:$P$1002,"?*")=0,"",ROUND(B220/COUNTIF(Estudiantes!$P$3:$P$1002,"?*")*100,0)/100)</f>
        <v/>
      </c>
      <c r="F220" t="inlineStr">
        <is>
          <t>Funciono con detalles</t>
        </is>
      </c>
    </row>
    <row r="221">
      <c r="A221">
        <f>IFERROR(VLOOKUP(F221,$A$400:$B$435,2,FALSE),F221)</f>
        <v/>
      </c>
      <c r="B221">
        <f>COUNTIF(Estudiantes!$P$3:$P$1002,"=tuve problemas")</f>
        <v/>
      </c>
      <c r="C221" s="19">
        <f>IF(COUNTIF(Estudiantes!$P$3:$P$1002,"?*")=0,"",ROUND(B221/COUNTIF(Estudiantes!$P$3:$P$1002,"?*")*100,0)/100)</f>
        <v/>
      </c>
      <c r="F221" t="inlineStr">
        <is>
          <t>Tuve problemas</t>
        </is>
      </c>
    </row>
    <row r="222">
      <c r="A222">
        <f>IFERROR(VLOOKUP(F222,$A$400:$B$435,2,FALSE),F222)</f>
        <v/>
      </c>
      <c r="B222">
        <f>COUNTIF(Estudiantes!$P$3:$P$1002,"=no pude usarla")</f>
        <v/>
      </c>
      <c r="C222" s="19">
        <f>IF(COUNTIF(Estudiantes!$P$3:$P$1002,"?*")=0,"",ROUND(B222/COUNTIF(Estudiantes!$P$3:$P$1002,"?*")*100,0)/100)</f>
        <v/>
      </c>
      <c r="F222" t="inlineStr">
        <is>
          <t>No pude usarla</t>
        </is>
      </c>
    </row>
    <row r="223">
      <c r="A223" s="6" t="inlineStr">
        <is>
          <t>Otra respuesta</t>
        </is>
      </c>
      <c r="B223">
        <f>COUNTIF(Estudiantes!$P$3:$P$1002,"?*")-SUM(B219:B222)</f>
        <v/>
      </c>
      <c r="C223" s="19">
        <f>IF(COUNTIF(Estudiantes!$P$3:$P$1002,"?*")=0,"",ROUND(B223/COUNTIF(Estudiantes!$P$3:$P$1002,"?*")*100,0)/100)</f>
        <v/>
      </c>
    </row>
    <row r="224">
      <c r="A224" s="13" t="inlineStr">
        <is>
          <t>Total con respuesta</t>
        </is>
      </c>
      <c r="B224" s="13">
        <f>COUNTIF(Estudiantes!$P$3:$P$1002,"?*")</f>
        <v/>
      </c>
    </row>
    <row r="232">
      <c r="A232" s="7" t="inlineStr">
        <is>
          <t>¿Entendió el semáforo?</t>
        </is>
      </c>
      <c r="B232" s="7" t="inlineStr">
        <is>
          <t>Personas</t>
        </is>
      </c>
      <c r="C232" s="7" t="inlineStr">
        <is>
          <t>%</t>
        </is>
      </c>
    </row>
    <row r="233">
      <c r="A233">
        <f>IFERROR(VLOOKUP(F233,$A$400:$B$435,2,FALSE),F233)</f>
        <v/>
      </c>
      <c r="B233">
        <f>COUNTIF(Estudiantes!$Q$3:$Q$1002,"=si, lo entendi")</f>
        <v/>
      </c>
      <c r="C233" s="19">
        <f>IF(COUNTIF(Estudiantes!$Q$3:$Q$1002,"?*")=0,"",ROUND(B233/COUNTIF(Estudiantes!$Q$3:$Q$1002,"?*")*100,0)/100)</f>
        <v/>
      </c>
      <c r="F233" t="inlineStr">
        <is>
          <t>Si, lo entendi</t>
        </is>
      </c>
    </row>
    <row r="234">
      <c r="A234">
        <f>IFERROR(VLOOKUP(F234,$A$400:$B$435,2,FALSE),F234)</f>
        <v/>
      </c>
      <c r="B234">
        <f>COUNTIF(Estudiantes!$Q$3:$Q$1002,"=mas o menos")</f>
        <v/>
      </c>
      <c r="C234" s="19">
        <f>IF(COUNTIF(Estudiantes!$Q$3:$Q$1002,"?*")=0,"",ROUND(B234/COUNTIF(Estudiantes!$Q$3:$Q$1002,"?*")*100,0)/100)</f>
        <v/>
      </c>
      <c r="F234" t="inlineStr">
        <is>
          <t>Mas o menos</t>
        </is>
      </c>
    </row>
    <row r="235">
      <c r="A235">
        <f>IFERROR(VLOOKUP(F235,$A$400:$B$435,2,FALSE),F235)</f>
        <v/>
      </c>
      <c r="B235">
        <f>COUNTIF(Estudiantes!$Q$3:$Q$1002,"=no lo entendi")</f>
        <v/>
      </c>
      <c r="C235" s="19">
        <f>IF(COUNTIF(Estudiantes!$Q$3:$Q$1002,"?*")=0,"",ROUND(B235/COUNTIF(Estudiantes!$Q$3:$Q$1002,"?*")*100,0)/100)</f>
        <v/>
      </c>
      <c r="F235" t="inlineStr">
        <is>
          <t>No lo entendi</t>
        </is>
      </c>
    </row>
    <row r="236">
      <c r="A236">
        <f>IFERROR(VLOOKUP(F236,$A$400:$B$435,2,FALSE),F236)</f>
        <v/>
      </c>
      <c r="B236">
        <f>COUNTIF(Estudiantes!$Q$3:$Q$1002,"=no analice ninguna fuente")</f>
        <v/>
      </c>
      <c r="C236" s="19">
        <f>IF(COUNTIF(Estudiantes!$Q$3:$Q$1002,"?*")=0,"",ROUND(B236/COUNTIF(Estudiantes!$Q$3:$Q$1002,"?*")*100,0)/100)</f>
        <v/>
      </c>
      <c r="F236" t="inlineStr">
        <is>
          <t>No analice ninguna fuente</t>
        </is>
      </c>
    </row>
    <row r="237">
      <c r="A237" s="6" t="inlineStr">
        <is>
          <t>Otra respuesta</t>
        </is>
      </c>
      <c r="B237">
        <f>COUNTIF(Estudiantes!$Q$3:$Q$1002,"?*")-SUM(B233:B236)</f>
        <v/>
      </c>
      <c r="C237" s="19">
        <f>IF(COUNTIF(Estudiantes!$Q$3:$Q$1002,"?*")=0,"",ROUND(B237/COUNTIF(Estudiantes!$Q$3:$Q$1002,"?*")*100,0)/100)</f>
        <v/>
      </c>
    </row>
    <row r="238">
      <c r="A238" s="13" t="inlineStr">
        <is>
          <t>Total con respuesta</t>
        </is>
      </c>
      <c r="B238" s="13">
        <f>COUNTIF(Estudiantes!$Q$3:$Q$1002,"?*")</f>
        <v/>
      </c>
    </row>
    <row r="246">
      <c r="A246" s="7" t="inlineStr">
        <is>
          <t>¿La usaría en su próxima tarea?</t>
        </is>
      </c>
      <c r="B246" s="7" t="inlineStr">
        <is>
          <t>Personas</t>
        </is>
      </c>
      <c r="C246" s="7" t="inlineStr">
        <is>
          <t>%</t>
        </is>
      </c>
    </row>
    <row r="247">
      <c r="A247">
        <f>IFERROR(VLOOKUP(F247,$A$400:$B$435,2,FALSE),F247)</f>
        <v/>
      </c>
      <c r="B247">
        <f>COUNTIF(Estudiantes!$R$3:$R$1002,"=si")</f>
        <v/>
      </c>
      <c r="C247" s="19">
        <f>IF(COUNTIF(Estudiantes!$R$3:$R$1002,"?*")=0,"",ROUND(B247/COUNTIF(Estudiantes!$R$3:$R$1002,"?*")*100,0)/100)</f>
        <v/>
      </c>
      <c r="F247" t="inlineStr">
        <is>
          <t>Si</t>
        </is>
      </c>
    </row>
    <row r="248">
      <c r="A248">
        <f>IFERROR(VLOOKUP(F248,$A$400:$B$435,2,FALSE),F248)</f>
        <v/>
      </c>
      <c r="B248">
        <f>COUNTIF(Estudiantes!$R$3:$R$1002,"=tal vez")</f>
        <v/>
      </c>
      <c r="C248" s="19">
        <f>IF(COUNTIF(Estudiantes!$R$3:$R$1002,"?*")=0,"",ROUND(B248/COUNTIF(Estudiantes!$R$3:$R$1002,"?*")*100,0)/100)</f>
        <v/>
      </c>
      <c r="F248" t="inlineStr">
        <is>
          <t>Tal vez</t>
        </is>
      </c>
    </row>
    <row r="249">
      <c r="A249">
        <f>IFERROR(VLOOKUP(F249,$A$400:$B$435,2,FALSE),F249)</f>
        <v/>
      </c>
      <c r="B249">
        <f>COUNTIF(Estudiantes!$R$3:$R$1002,"=no")</f>
        <v/>
      </c>
      <c r="C249" s="19">
        <f>IF(COUNTIF(Estudiantes!$R$3:$R$1002,"?*")=0,"",ROUND(B249/COUNTIF(Estudiantes!$R$3:$R$1002,"?*")*100,0)/100)</f>
        <v/>
      </c>
      <c r="F249" t="inlineStr">
        <is>
          <t>No</t>
        </is>
      </c>
    </row>
    <row r="250">
      <c r="A250" s="6" t="inlineStr">
        <is>
          <t>Otra respuesta</t>
        </is>
      </c>
      <c r="B250">
        <f>COUNTIF(Estudiantes!$R$3:$R$1002,"?*")-SUM(B247:B249)</f>
        <v/>
      </c>
      <c r="C250" s="19">
        <f>IF(COUNTIF(Estudiantes!$R$3:$R$1002,"?*")=0,"",ROUND(B250/COUNTIF(Estudiantes!$R$3:$R$1002,"?*")*100,0)/100)</f>
        <v/>
      </c>
    </row>
    <row r="251">
      <c r="A251" s="13" t="inlineStr">
        <is>
          <t>Total con respuesta</t>
        </is>
      </c>
      <c r="B251" s="13">
        <f>COUNTIF(Estudiantes!$R$3:$R$1002,"?*")</f>
        <v/>
      </c>
    </row>
    <row r="260">
      <c r="A260" s="7" t="inlineStr">
        <is>
          <t>Función más útil</t>
        </is>
      </c>
      <c r="B260" s="7" t="inlineStr">
        <is>
          <t>Personas</t>
        </is>
      </c>
      <c r="C260" s="7" t="inlineStr">
        <is>
          <t>%</t>
        </is>
      </c>
    </row>
    <row r="261">
      <c r="A261">
        <f>IFERROR(INDEX(Estudiantes!$D$3:$D$1002,MATCH(LARGE(Estudiantes!$U$3:$U$1002,1),Estudiantes!$U$3:$U$1002,0)),"")</f>
        <v/>
      </c>
      <c r="B261">
        <f>IF(A261="","",ROUNDUP(LARGE(Estudiantes!$U$3:$U$1002,1)/10000,0))</f>
        <v/>
      </c>
      <c r="C261" s="19">
        <f>IF(A261="","",ROUND(B261/COUNTIFS(Estudiantes!$L$3:$L$1002,1,Estudiantes!$D$3:$D$1002,"?*")*100,0)/100)</f>
        <v/>
      </c>
    </row>
    <row r="262">
      <c r="A262">
        <f>IFERROR(INDEX(Estudiantes!$D$3:$D$1002,MATCH(LARGE(Estudiantes!$U$3:$U$1002,2),Estudiantes!$U$3:$U$1002,0)),"")</f>
        <v/>
      </c>
      <c r="B262">
        <f>IF(A262="","",ROUNDUP(LARGE(Estudiantes!$U$3:$U$1002,2)/10000,0))</f>
        <v/>
      </c>
      <c r="C262" s="19">
        <f>IF(A262="","",ROUND(B262/COUNTIFS(Estudiantes!$L$3:$L$1002,1,Estudiantes!$D$3:$D$1002,"?*")*100,0)/100)</f>
        <v/>
      </c>
    </row>
    <row r="263">
      <c r="A263">
        <f>IFERROR(INDEX(Estudiantes!$D$3:$D$1002,MATCH(LARGE(Estudiantes!$U$3:$U$1002,3),Estudiantes!$U$3:$U$1002,0)),"")</f>
        <v/>
      </c>
      <c r="B263">
        <f>IF(A263="","",ROUNDUP(LARGE(Estudiantes!$U$3:$U$1002,3)/10000,0))</f>
        <v/>
      </c>
      <c r="C263" s="19">
        <f>IF(A263="","",ROUND(B263/COUNTIFS(Estudiantes!$L$3:$L$1002,1,Estudiantes!$D$3:$D$1002,"?*")*100,0)/100)</f>
        <v/>
      </c>
    </row>
    <row r="264">
      <c r="A264">
        <f>IFERROR(INDEX(Estudiantes!$D$3:$D$1002,MATCH(LARGE(Estudiantes!$U$3:$U$1002,4),Estudiantes!$U$3:$U$1002,0)),"")</f>
        <v/>
      </c>
      <c r="B264">
        <f>IF(A264="","",ROUNDUP(LARGE(Estudiantes!$U$3:$U$1002,4)/10000,0))</f>
        <v/>
      </c>
      <c r="C264" s="19">
        <f>IF(A264="","",ROUND(B264/COUNTIFS(Estudiantes!$L$3:$L$1002,1,Estudiantes!$D$3:$D$1002,"?*")*100,0)/100)</f>
        <v/>
      </c>
    </row>
    <row r="265">
      <c r="A265">
        <f>IFERROR(INDEX(Estudiantes!$D$3:$D$1002,MATCH(LARGE(Estudiantes!$U$3:$U$1002,5),Estudiantes!$U$3:$U$1002,0)),"")</f>
        <v/>
      </c>
      <c r="B265">
        <f>IF(A265="","",ROUNDUP(LARGE(Estudiantes!$U$3:$U$1002,5)/10000,0))</f>
        <v/>
      </c>
      <c r="C265" s="19">
        <f>IF(A265="","",ROUND(B265/COUNTIFS(Estudiantes!$L$3:$L$1002,1,Estudiantes!$D$3:$D$1002,"?*")*100,0)/100)</f>
        <v/>
      </c>
    </row>
    <row r="266">
      <c r="A266">
        <f>IFERROR(INDEX(Estudiantes!$D$3:$D$1002,MATCH(LARGE(Estudiantes!$U$3:$U$1002,6),Estudiantes!$U$3:$U$1002,0)),"")</f>
        <v/>
      </c>
      <c r="B266">
        <f>IF(A266="","",ROUNDUP(LARGE(Estudiantes!$U$3:$U$1002,6)/10000,0))</f>
        <v/>
      </c>
      <c r="C266" s="19">
        <f>IF(A266="","",ROUND(B266/COUNTIFS(Estudiantes!$L$3:$L$1002,1,Estudiantes!$D$3:$D$1002,"?*")*100,0)/100)</f>
        <v/>
      </c>
    </row>
    <row r="267">
      <c r="A267">
        <f>IFERROR(INDEX(Estudiantes!$D$3:$D$1002,MATCH(LARGE(Estudiantes!$U$3:$U$1002,7),Estudiantes!$U$3:$U$1002,0)),"")</f>
        <v/>
      </c>
      <c r="B267">
        <f>IF(A267="","",ROUNDUP(LARGE(Estudiantes!$U$3:$U$1002,7)/10000,0))</f>
        <v/>
      </c>
      <c r="C267" s="19">
        <f>IF(A267="","",ROUND(B267/COUNTIFS(Estudiantes!$L$3:$L$1002,1,Estudiantes!$D$3:$D$1002,"?*")*100,0)/100)</f>
        <v/>
      </c>
    </row>
    <row r="268">
      <c r="A268">
        <f>IFERROR(INDEX(Estudiantes!$D$3:$D$1002,MATCH(LARGE(Estudiantes!$U$3:$U$1002,8),Estudiantes!$U$3:$U$1002,0)),"")</f>
        <v/>
      </c>
      <c r="B268">
        <f>IF(A268="","",ROUNDUP(LARGE(Estudiantes!$U$3:$U$1002,8)/10000,0))</f>
        <v/>
      </c>
      <c r="C268" s="19">
        <f>IF(A268="","",ROUND(B268/COUNTIFS(Estudiantes!$L$3:$L$1002,1,Estudiantes!$D$3:$D$1002,"?*")*100,0)/100)</f>
        <v/>
      </c>
    </row>
    <row r="270">
      <c r="A270" s="7" t="inlineStr">
        <is>
          <t>Grado</t>
        </is>
      </c>
      <c r="B270" s="7" t="inlineStr">
        <is>
          <t>Personas</t>
        </is>
      </c>
      <c r="C270" s="7" t="inlineStr">
        <is>
          <t>%</t>
        </is>
      </c>
    </row>
    <row r="271">
      <c r="A271">
        <f>IFERROR(INDEX(Estudiantes!$J$3:$J$1002,MATCH(LARGE(Estudiantes!$W$3:$W$1002,1),Estudiantes!$W$3:$W$1002,0)),"")</f>
        <v/>
      </c>
      <c r="B271">
        <f>IF(A271="","",ROUNDUP(LARGE(Estudiantes!$W$3:$W$1002,1)/10000,0))</f>
        <v/>
      </c>
      <c r="C271" s="19">
        <f>IF(A271="","",ROUND(B271/COUNTIFS(Estudiantes!$L$3:$L$1002,1,Estudiantes!$J$3:$J$1002,"?*")*100,0)/100)</f>
        <v/>
      </c>
    </row>
    <row r="272">
      <c r="A272">
        <f>IFERROR(INDEX(Estudiantes!$J$3:$J$1002,MATCH(LARGE(Estudiantes!$W$3:$W$1002,2),Estudiantes!$W$3:$W$1002,0)),"")</f>
        <v/>
      </c>
      <c r="B272">
        <f>IF(A272="","",ROUNDUP(LARGE(Estudiantes!$W$3:$W$1002,2)/10000,0))</f>
        <v/>
      </c>
      <c r="C272" s="19">
        <f>IF(A272="","",ROUND(B272/COUNTIFS(Estudiantes!$L$3:$L$1002,1,Estudiantes!$J$3:$J$1002,"?*")*100,0)/100)</f>
        <v/>
      </c>
    </row>
    <row r="273">
      <c r="A273">
        <f>IFERROR(INDEX(Estudiantes!$J$3:$J$1002,MATCH(LARGE(Estudiantes!$W$3:$W$1002,3),Estudiantes!$W$3:$W$1002,0)),"")</f>
        <v/>
      </c>
      <c r="B273">
        <f>IF(A273="","",ROUNDUP(LARGE(Estudiantes!$W$3:$W$1002,3)/10000,0))</f>
        <v/>
      </c>
      <c r="C273" s="19">
        <f>IF(A273="","",ROUND(B273/COUNTIFS(Estudiantes!$L$3:$L$1002,1,Estudiantes!$J$3:$J$1002,"?*")*100,0)/100)</f>
        <v/>
      </c>
    </row>
    <row r="274">
      <c r="A274">
        <f>IFERROR(INDEX(Estudiantes!$J$3:$J$1002,MATCH(LARGE(Estudiantes!$W$3:$W$1002,4),Estudiantes!$W$3:$W$1002,0)),"")</f>
        <v/>
      </c>
      <c r="B274">
        <f>IF(A274="","",ROUNDUP(LARGE(Estudiantes!$W$3:$W$1002,4)/10000,0))</f>
        <v/>
      </c>
      <c r="C274" s="19">
        <f>IF(A274="","",ROUND(B274/COUNTIFS(Estudiantes!$L$3:$L$1002,1,Estudiantes!$J$3:$J$1002,"?*")*100,0)/100)</f>
        <v/>
      </c>
    </row>
    <row r="275">
      <c r="A275">
        <f>IFERROR(INDEX(Estudiantes!$J$3:$J$1002,MATCH(LARGE(Estudiantes!$W$3:$W$1002,5),Estudiantes!$W$3:$W$1002,0)),"")</f>
        <v/>
      </c>
      <c r="B275">
        <f>IF(A275="","",ROUNDUP(LARGE(Estudiantes!$W$3:$W$1002,5)/10000,0))</f>
        <v/>
      </c>
      <c r="C275" s="19">
        <f>IF(A275="","",ROUND(B275/COUNTIFS(Estudiantes!$L$3:$L$1002,1,Estudiantes!$J$3:$J$1002,"?*")*100,0)/100)</f>
        <v/>
      </c>
    </row>
    <row r="276">
      <c r="A276">
        <f>IFERROR(INDEX(Estudiantes!$J$3:$J$1002,MATCH(LARGE(Estudiantes!$W$3:$W$1002,6),Estudiantes!$W$3:$W$1002,0)),"")</f>
        <v/>
      </c>
      <c r="B276">
        <f>IF(A276="","",ROUNDUP(LARGE(Estudiantes!$W$3:$W$1002,6)/10000,0))</f>
        <v/>
      </c>
      <c r="C276" s="19">
        <f>IF(A276="","",ROUND(B276/COUNTIFS(Estudiantes!$L$3:$L$1002,1,Estudiantes!$J$3:$J$1002,"?*")*100,0)/100)</f>
        <v/>
      </c>
    </row>
    <row r="398">
      <c r="A398" s="3" t="inlineStr">
        <is>
          <t>Tabla de equivalencias: cómo se guarda cada respuesta y cómo se muestra</t>
        </is>
      </c>
      <c r="B398" s="4" t="n"/>
      <c r="C398" s="4" t="n"/>
      <c r="D398" s="4" t="n"/>
      <c r="E398" s="4" t="n"/>
    </row>
    <row r="399">
      <c r="A399" s="7" t="inlineStr">
        <is>
          <t>Valor guardado (sin tildes)</t>
        </is>
      </c>
      <c r="B399" s="7" t="inlineStr">
        <is>
          <t>Se muestra como</t>
        </is>
      </c>
    </row>
    <row r="400">
      <c r="A400" t="inlineStr">
        <is>
          <t>confiable</t>
        </is>
      </c>
      <c r="B400" t="inlineStr">
        <is>
          <t>Confiable</t>
        </is>
      </c>
    </row>
    <row r="401">
      <c r="A401" t="inlineStr">
        <is>
          <t>dudosa</t>
        </is>
      </c>
      <c r="B401" t="inlineStr">
        <is>
          <t>Dudosa</t>
        </is>
      </c>
    </row>
    <row r="402">
      <c r="A402" t="inlineStr">
        <is>
          <t>no confiable</t>
        </is>
      </c>
      <c r="B402" t="inlineStr">
        <is>
          <t>No confiable</t>
        </is>
      </c>
    </row>
    <row r="403">
      <c r="A403" t="inlineStr">
        <is>
          <t>Si</t>
        </is>
      </c>
      <c r="B403" t="inlineStr">
        <is>
          <t>Sí</t>
        </is>
      </c>
    </row>
    <row r="404">
      <c r="A404" t="inlineStr">
        <is>
          <t>Tal vez</t>
        </is>
      </c>
      <c r="B404" t="inlineStr">
        <is>
          <t>Tal vez</t>
        </is>
      </c>
    </row>
    <row r="405">
      <c r="A405" t="inlineStr">
        <is>
          <t>No</t>
        </is>
      </c>
      <c r="B405" t="inlineStr">
        <is>
          <t>No</t>
        </is>
      </c>
    </row>
    <row r="406">
      <c r="A406" t="inlineStr">
        <is>
          <t>No me corresponde</t>
        </is>
      </c>
      <c r="B406" t="inlineStr">
        <is>
          <t>No me corresponde</t>
        </is>
      </c>
    </row>
    <row r="407">
      <c r="A407" t="inlineStr">
        <is>
          <t>Casi siempre</t>
        </is>
      </c>
      <c r="B407" t="inlineStr">
        <is>
          <t>Casi siempre</t>
        </is>
      </c>
    </row>
    <row r="408">
      <c r="A408" t="inlineStr">
        <is>
          <t>A veces</t>
        </is>
      </c>
      <c r="B408" t="inlineStr">
        <is>
          <t>A veces</t>
        </is>
      </c>
    </row>
    <row r="409">
      <c r="A409" t="inlineStr">
        <is>
          <t>Pocas veces</t>
        </is>
      </c>
      <c r="B409" t="inlineStr">
        <is>
          <t>Pocas veces</t>
        </is>
      </c>
    </row>
    <row r="410">
      <c r="A410" t="inlineStr">
        <is>
          <t>No lo compare</t>
        </is>
      </c>
      <c r="B410" t="inlineStr">
        <is>
          <t>No lo comparé</t>
        </is>
      </c>
    </row>
    <row r="411">
      <c r="A411" t="inlineStr">
        <is>
          <t>Si, solos</t>
        </is>
      </c>
      <c r="B411" t="inlineStr">
        <is>
          <t>Sí, solos</t>
        </is>
      </c>
    </row>
    <row r="412">
      <c r="A412" t="inlineStr">
        <is>
          <t>Con una explicacion breve</t>
        </is>
      </c>
      <c r="B412" t="inlineStr">
        <is>
          <t>Con una explicación breve</t>
        </is>
      </c>
    </row>
    <row r="413">
      <c r="A413" t="inlineStr">
        <is>
          <t>Si, en la proxima tarea</t>
        </is>
      </c>
      <c r="B413" t="inlineStr">
        <is>
          <t>Sí, en la próxima tarea</t>
        </is>
      </c>
    </row>
    <row r="414">
      <c r="A414" t="inlineStr">
        <is>
          <t>Si, con cambios</t>
        </is>
      </c>
      <c r="B414" t="inlineStr">
        <is>
          <t>Sí, con cambios</t>
        </is>
      </c>
    </row>
    <row r="415">
      <c r="A415" t="inlineStr">
        <is>
          <t>No por ahora</t>
        </is>
      </c>
      <c r="B415" t="inlineStr">
        <is>
          <t>No por ahora</t>
        </is>
      </c>
    </row>
    <row r="416">
      <c r="A416" t="inlineStr">
        <is>
          <t>Muy facil</t>
        </is>
      </c>
      <c r="B416" t="inlineStr">
        <is>
          <t>Muy fácil</t>
        </is>
      </c>
    </row>
    <row r="417">
      <c r="A417" t="inlineStr">
        <is>
          <t>Facil</t>
        </is>
      </c>
      <c r="B417" t="inlineStr">
        <is>
          <t>Fácil</t>
        </is>
      </c>
    </row>
    <row r="418">
      <c r="A418" t="inlineStr">
        <is>
          <t>Ni facil ni dificil</t>
        </is>
      </c>
      <c r="B418" t="inlineStr">
        <is>
          <t>Ni fácil ni difícil</t>
        </is>
      </c>
    </row>
    <row r="419">
      <c r="A419" t="inlineStr">
        <is>
          <t>Dificil</t>
        </is>
      </c>
      <c r="B419" t="inlineStr">
        <is>
          <t>Difícil</t>
        </is>
      </c>
    </row>
    <row r="420">
      <c r="A420" t="inlineStr">
        <is>
          <t>Muy dificil</t>
        </is>
      </c>
      <c r="B420" t="inlineStr">
        <is>
          <t>Muy difícil</t>
        </is>
      </c>
    </row>
    <row r="421">
      <c r="A421" t="inlineStr">
        <is>
          <t>Si, todo funciono</t>
        </is>
      </c>
      <c r="B421" t="inlineStr">
        <is>
          <t>Sí, todo funcionó</t>
        </is>
      </c>
    </row>
    <row r="422">
      <c r="A422" t="inlineStr">
        <is>
          <t>Funciono con detalles</t>
        </is>
      </c>
      <c r="B422" t="inlineStr">
        <is>
          <t>Funcionó con detalles</t>
        </is>
      </c>
    </row>
    <row r="423">
      <c r="A423" t="inlineStr">
        <is>
          <t>Tuve problemas</t>
        </is>
      </c>
      <c r="B423" t="inlineStr">
        <is>
          <t>Tuve problemas</t>
        </is>
      </c>
    </row>
    <row r="424">
      <c r="A424" t="inlineStr">
        <is>
          <t>No pude usarla</t>
        </is>
      </c>
      <c r="B424" t="inlineStr">
        <is>
          <t>No pude usarla</t>
        </is>
      </c>
    </row>
    <row r="425">
      <c r="A425" t="inlineStr">
        <is>
          <t>Si, lo entendi</t>
        </is>
      </c>
      <c r="B425" t="inlineStr">
        <is>
          <t>Sí, lo entendí</t>
        </is>
      </c>
    </row>
    <row r="426">
      <c r="A426" t="inlineStr">
        <is>
          <t>Mas o menos</t>
        </is>
      </c>
      <c r="B426" t="inlineStr">
        <is>
          <t>Más o menos</t>
        </is>
      </c>
    </row>
    <row r="427">
      <c r="A427" t="inlineStr">
        <is>
          <t>No lo entendi</t>
        </is>
      </c>
      <c r="B427" t="inlineStr">
        <is>
          <t>No lo entendí</t>
        </is>
      </c>
    </row>
    <row r="428">
      <c r="A428" t="inlineStr">
        <is>
          <t>No analice ninguna fuente</t>
        </is>
      </c>
      <c r="B428" t="inlineStr">
        <is>
          <t>No analicé ninguna fuente</t>
        </is>
      </c>
    </row>
    <row r="429">
      <c r="A429" t="inlineStr">
        <is>
          <t>Ver las fuentes que entrega cada alumno</t>
        </is>
      </c>
      <c r="B429" t="inlineStr">
        <is>
          <t>Ver las fuentes que entrega cada alumno</t>
        </is>
      </c>
    </row>
    <row r="430">
      <c r="A430" t="inlineStr">
        <is>
          <t>Informe del curso</t>
        </is>
      </c>
      <c r="B430" t="inlineStr">
        <is>
          <t>Informe del curso</t>
        </is>
      </c>
    </row>
    <row r="431">
      <c r="A431" t="inlineStr">
        <is>
          <t>Extension instalada</t>
        </is>
      </c>
      <c r="B431" t="inlineStr">
        <is>
          <t>Que funcione solo en el navegador (extensión)</t>
        </is>
      </c>
    </row>
    <row r="432">
      <c r="A432" t="inlineStr">
        <is>
          <t>Mas formatos de cita</t>
        </is>
      </c>
      <c r="B432" t="inlineStr">
        <is>
          <t>Más formatos de cita</t>
        </is>
      </c>
    </row>
    <row r="433">
      <c r="A433" t="inlineStr">
        <is>
          <t>Integracion Classroom o Teams</t>
        </is>
      </c>
      <c r="B433" t="inlineStr">
        <is>
          <t>Integración con Classroom o Teams</t>
        </is>
      </c>
    </row>
    <row r="434">
      <c r="A434" t="inlineStr">
        <is>
          <t>Capacitacion</t>
        </is>
      </c>
      <c r="B434" t="inlineStr">
        <is>
          <t>Capacitación o guía para docentes</t>
        </is>
      </c>
    </row>
    <row r="435">
      <c r="A435" t="inlineStr">
        <is>
          <t>Fuentes peruanas</t>
        </is>
      </c>
      <c r="B435" t="inlineStr">
        <is>
          <t>Que reconozca fuentes peruanas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8">
    <mergeCell ref="B413:E413"/>
    <mergeCell ref="B419:E419"/>
    <mergeCell ref="B426:E426"/>
    <mergeCell ref="B422:E422"/>
    <mergeCell ref="B403:E403"/>
    <mergeCell ref="B434:E434"/>
    <mergeCell ref="B428:E428"/>
    <mergeCell ref="A11:E11"/>
    <mergeCell ref="B415:E415"/>
    <mergeCell ref="B406:E406"/>
    <mergeCell ref="B418:E418"/>
    <mergeCell ref="B399:E399"/>
    <mergeCell ref="B414:E414"/>
    <mergeCell ref="B424:E424"/>
    <mergeCell ref="B404:E404"/>
    <mergeCell ref="B433:E433"/>
    <mergeCell ref="B411:E411"/>
    <mergeCell ref="B420:E420"/>
    <mergeCell ref="B416:E416"/>
    <mergeCell ref="B432:E432"/>
    <mergeCell ref="B401:E401"/>
    <mergeCell ref="B429:E429"/>
    <mergeCell ref="B435:E435"/>
    <mergeCell ref="B400:E400"/>
    <mergeCell ref="B409:E409"/>
    <mergeCell ref="B412:E412"/>
    <mergeCell ref="B421:E421"/>
    <mergeCell ref="B431:E431"/>
    <mergeCell ref="B402:E402"/>
    <mergeCell ref="B425:E425"/>
    <mergeCell ref="B405:E405"/>
    <mergeCell ref="B430:E430"/>
    <mergeCell ref="B408:E408"/>
    <mergeCell ref="B417:E417"/>
    <mergeCell ref="B427:E427"/>
    <mergeCell ref="B407:E407"/>
    <mergeCell ref="B423:E423"/>
    <mergeCell ref="B410:E410"/>
  </mergeCells>
  <conditionalFormatting sqref="D6:D9">
    <cfRule type="cellIs" priority="1" operator="equal" dxfId="0">
      <formula>"✓"</formula>
    </cfRule>
    <cfRule type="cellIs" priority="2" operator="equal" dxfId="1">
      <formula>"✕"</formula>
    </cfRule>
    <cfRule type="cellIs" priority="3" operator="equal" dxfId="2">
      <formula>"sin datos"</formula>
    </cfRule>
  </conditionalFormatting>
  <conditionalFormatting sqref="A11:E11">
    <cfRule type="expression" priority="4" dxfId="3">
      <formula>LEN($A$11)&gt;0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Z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45" customHeight="1">
      <c r="A1" s="7" t="inlineStr">
        <is>
          <t>docente</t>
        </is>
      </c>
      <c r="B1" s="7" t="inlineStr">
        <is>
          <t>area</t>
        </is>
      </c>
      <c r="C1" s="7" t="inlineStr">
        <is>
          <t>url</t>
        </is>
      </c>
      <c r="D1" s="7" t="inlineStr">
        <is>
          <t>juicio_docente</t>
        </is>
      </c>
      <c r="E1" s="7" t="inlineStr">
        <is>
          <t>puntaje_veritech</t>
        </is>
      </c>
      <c r="F1" s="7" t="inlineStr">
        <is>
          <t>nivel_veritech</t>
        </is>
      </c>
      <c r="G1" s="7" t="inlineStr">
        <is>
          <t>coincide</t>
        </is>
      </c>
      <c r="H1" s="7" t="inlineStr">
        <is>
          <t>senales</t>
        </is>
      </c>
      <c r="I1" s="7" t="inlineStr">
        <is>
          <t>palabras</t>
        </is>
      </c>
      <c r="J1" s="7" t="inlineStr">
        <is>
          <t>version_motor</t>
        </is>
      </c>
      <c r="K1" s="7" t="inlineStr">
        <is>
          <t>motivo</t>
        </is>
      </c>
      <c r="L1" s="7" t="inlineStr">
        <is>
          <t>consentimiento</t>
        </is>
      </c>
      <c r="M1" s="23" t="inlineStr">
        <is>
          <t>juicio docente (normalizado)</t>
        </is>
      </c>
      <c r="N1" s="23" t="inlineStr">
        <is>
          <t>nivel VeriTech (normalizado)</t>
        </is>
      </c>
      <c r="O1" s="23" t="inlineStr">
        <is>
          <t>Nivel docente (2 confiable · 1 dudosa · 0 no confiable)</t>
        </is>
      </c>
      <c r="P1" s="23" t="inlineStr">
        <is>
          <t>Nivel VeriTech (2 confiable · 1 dudosa · 0 no confiable)</t>
        </is>
      </c>
      <c r="Q1" s="23" t="inlineStr">
        <is>
          <t>Fila válida (1 = tiene los dos niveles)</t>
        </is>
      </c>
      <c r="R1" s="23" t="inlineStr">
        <is>
          <t>¿Coincide? (Sí/No)</t>
        </is>
      </c>
      <c r="S1" s="23" t="inlineStr">
        <is>
          <t>VeriTech fue…</t>
        </is>
      </c>
      <c r="T1" s="23" t="inlineStr">
        <is>
          <t>Desacuerdo grave (1 = confiable vs no confiable)</t>
        </is>
      </c>
      <c r="U1" s="23" t="inlineStr">
        <is>
          <t>señales (normalizadas)</t>
        </is>
      </c>
      <c r="V1" s="23" t="inlineStr">
        <is>
          <t>Área: n.º de aparición</t>
        </is>
      </c>
      <c r="W1" s="23" t="inlineStr">
        <is>
          <t>Área: orden</t>
        </is>
      </c>
      <c r="X1" s="23" t="inlineStr">
        <is>
          <t>docente (clave)</t>
        </is>
      </c>
      <c r="Y1" s="23" t="inlineStr">
        <is>
          <t>Docente nuevo (1)</t>
        </is>
      </c>
      <c r="Z1" s="23" t="inlineStr">
        <is>
          <t>Grave n.º</t>
        </is>
      </c>
    </row>
    <row r="2">
      <c r="A2" s="24">
        <f>IFERROR(MATCH("docente",'Pegar calibracion'!$A$1:$BZ$1,0),IFERROR(MATCH("docente[]",'Pegar calibracion'!$A$1:$BZ$1,0),0))</f>
        <v/>
      </c>
      <c r="B2" s="24">
        <f>IFERROR(MATCH("area",'Pegar calibracion'!$A$1:$BZ$1,0),IFERROR(MATCH("area[]",'Pegar calibracion'!$A$1:$BZ$1,0),0))</f>
        <v/>
      </c>
      <c r="C2" s="24">
        <f>IFERROR(MATCH("url",'Pegar calibracion'!$A$1:$BZ$1,0),IFERROR(MATCH("url[]",'Pegar calibracion'!$A$1:$BZ$1,0),0))</f>
        <v/>
      </c>
      <c r="D2" s="24">
        <f>IFERROR(MATCH("juicio_docente",'Pegar calibracion'!$A$1:$BZ$1,0),IFERROR(MATCH("juicio_docente[]",'Pegar calibracion'!$A$1:$BZ$1,0),IFERROR(MATCH("juicio docente",'Pegar calibracion'!$A$1:$BZ$1,0),0)))</f>
        <v/>
      </c>
      <c r="E2" s="24">
        <f>IFERROR(MATCH("puntaje_veritech",'Pegar calibracion'!$A$1:$BZ$1,0),IFERROR(MATCH("puntaje_veritech[]",'Pegar calibracion'!$A$1:$BZ$1,0),IFERROR(MATCH("puntaje veritech",'Pegar calibracion'!$A$1:$BZ$1,0),0)))</f>
        <v/>
      </c>
      <c r="F2" s="24">
        <f>IFERROR(MATCH("nivel_veritech",'Pegar calibracion'!$A$1:$BZ$1,0),IFERROR(MATCH("nivel_veritech[]",'Pegar calibracion'!$A$1:$BZ$1,0),IFERROR(MATCH("nivel veritech",'Pegar calibracion'!$A$1:$BZ$1,0),0)))</f>
        <v/>
      </c>
      <c r="G2" s="24">
        <f>IFERROR(MATCH("coincide",'Pegar calibracion'!$A$1:$BZ$1,0),IFERROR(MATCH("coincide[]",'Pegar calibracion'!$A$1:$BZ$1,0),0))</f>
        <v/>
      </c>
      <c r="H2" s="24">
        <f>IFERROR(MATCH("senales",'Pegar calibracion'!$A$1:$BZ$1,0),IFERROR(MATCH("senales[]",'Pegar calibracion'!$A$1:$BZ$1,0),0))</f>
        <v/>
      </c>
      <c r="I2" s="24">
        <f>IFERROR(MATCH("palabras",'Pegar calibracion'!$A$1:$BZ$1,0),IFERROR(MATCH("palabras[]",'Pegar calibracion'!$A$1:$BZ$1,0),0))</f>
        <v/>
      </c>
      <c r="J2" s="24">
        <f>IFERROR(MATCH("version_motor",'Pegar calibracion'!$A$1:$BZ$1,0),IFERROR(MATCH("version_motor[]",'Pegar calibracion'!$A$1:$BZ$1,0),IFERROR(MATCH("version motor",'Pegar calibracion'!$A$1:$BZ$1,0),0)))</f>
        <v/>
      </c>
      <c r="K2" s="24">
        <f>IFERROR(MATCH("motivo",'Pegar calibracion'!$A$1:$BZ$1,0),IFERROR(MATCH("motivo[]",'Pegar calibracion'!$A$1:$BZ$1,0),0))</f>
        <v/>
      </c>
      <c r="L2" s="24">
        <f>IFERROR(MATCH("consentimiento",'Pegar calibracion'!$A$1:$BZ$1,0),IFERROR(MATCH("consentimiento[]",'Pegar calibracion'!$A$1:$BZ$1,0),0))</f>
        <v/>
      </c>
      <c r="M2" s="6" t="inlineStr">
        <is>
          <t>calculada</t>
        </is>
      </c>
      <c r="N2" s="6" t="inlineStr">
        <is>
          <t>calculada</t>
        </is>
      </c>
      <c r="O2" s="6" t="inlineStr">
        <is>
          <t>calculada</t>
        </is>
      </c>
      <c r="P2" s="6" t="inlineStr">
        <is>
          <t>calculada</t>
        </is>
      </c>
      <c r="Q2" s="6" t="inlineStr">
        <is>
          <t>calculada</t>
        </is>
      </c>
      <c r="R2" s="6" t="inlineStr">
        <is>
          <t>calculada</t>
        </is>
      </c>
      <c r="S2" s="6" t="inlineStr">
        <is>
          <t>calculada</t>
        </is>
      </c>
      <c r="T2" s="6" t="inlineStr">
        <is>
          <t>calculada</t>
        </is>
      </c>
      <c r="U2" s="6" t="inlineStr">
        <is>
          <t>calculada</t>
        </is>
      </c>
      <c r="V2" s="6" t="inlineStr">
        <is>
          <t>calculada</t>
        </is>
      </c>
      <c r="W2" s="6" t="inlineStr">
        <is>
          <t>calculada</t>
        </is>
      </c>
      <c r="X2" s="6" t="inlineStr">
        <is>
          <t>calculada</t>
        </is>
      </c>
      <c r="Y2" s="6" t="inlineStr">
        <is>
          <t>calculada</t>
        </is>
      </c>
      <c r="Z2" s="6" t="inlineStr">
        <is>
          <t>calculada</t>
        </is>
      </c>
    </row>
    <row r="3">
      <c r="A3">
        <f>IF(A$2=0,"",IFERROR(TRIM(INDEX('Pegar calibracion'!$A$1:$BZ$1001,2,A$2)&amp;""),""))</f>
        <v/>
      </c>
      <c r="B3">
        <f>IF(B$2=0,"",IFERROR(TRIM(INDEX('Pegar calibracion'!$A$1:$BZ$1001,2,B$2)&amp;""),""))</f>
        <v/>
      </c>
      <c r="C3">
        <f>IF(C$2=0,"",IFERROR(TRIM(INDEX('Pegar calibracion'!$A$1:$BZ$1001,2,C$2)&amp;""),""))</f>
        <v/>
      </c>
      <c r="D3">
        <f>IF(D$2=0,"",IFERROR(TRIM(INDEX('Pegar calibracion'!$A$1:$BZ$1001,2,D$2)&amp;""),""))</f>
        <v/>
      </c>
      <c r="E3">
        <f>IF(E$2=0,"",IFERROR(TRIM(INDEX('Pegar calibracion'!$A$1:$BZ$1001,2,E$2)&amp;""),""))</f>
        <v/>
      </c>
      <c r="F3">
        <f>IF(F$2=0,"",IFERROR(TRIM(INDEX('Pegar calibracion'!$A$1:$BZ$1001,2,F$2)&amp;""),""))</f>
        <v/>
      </c>
      <c r="G3">
        <f>IF(G$2=0,"",IFERROR(TRIM(INDEX('Pegar calibracion'!$A$1:$BZ$1001,2,G$2)&amp;""),""))</f>
        <v/>
      </c>
      <c r="H3">
        <f>IF(H$2=0,"",IFERROR(TRIM(INDEX('Pegar calibracion'!$A$1:$BZ$1001,2,H$2)&amp;""),""))</f>
        <v/>
      </c>
      <c r="I3">
        <f>IF(I$2=0,"",IFERROR(TRIM(INDEX('Pegar calibracion'!$A$1:$BZ$1001,2,I$2)&amp;""),""))</f>
        <v/>
      </c>
      <c r="J3">
        <f>IF(J$2=0,"",IFERROR(TRIM(INDEX('Pegar calibracion'!$A$1:$BZ$1001,2,J$2)&amp;""),""))</f>
        <v/>
      </c>
      <c r="K3">
        <f>IF(K$2=0,"",IFERROR(TRIM(INDEX('Pegar calibracion'!$A$1:$BZ$1001,2,K$2)&amp;""),""))</f>
        <v/>
      </c>
      <c r="L3">
        <f>IF(L$2=0,"",IFERROR(TRIM(INDEX('Pegar calibracion'!$A$1:$BZ$1001,2,L$2)&amp;""),""))</f>
        <v/>
      </c>
      <c r="M3" s="25">
        <f>IF(D3="","",SUBSTITUTE(SUBSTITUTE(SUBSTITUTE(SUBSTITUTE(SUBSTITUTE(SUBSTITUTE(SUBSTITUTE(SUBSTITUTE(SUBSTITUTE(SUBSTITUTE(SUBSTITUTE(SUBSTITUTE(LOWER(TRIM(D3)),"á","a"),"é","e"),"í","i"),"ó","o"),"ú","u"),"ü","u"),"ñ","n"),"à","a"),"è","e"),"ì","i"),"ò","o"),"ù","u"))</f>
        <v/>
      </c>
      <c r="N3" s="25">
        <f>IF(F3="","",SUBSTITUTE(SUBSTITUTE(SUBSTITUTE(SUBSTITUTE(SUBSTITUTE(SUBSTITUTE(SUBSTITUTE(SUBSTITUTE(SUBSTITUTE(SUBSTITUTE(SUBSTITUTE(SUBSTITUTE(LOWER(TRIM(F3)),"á","a"),"é","e"),"í","i"),"ó","o"),"ú","u"),"ü","u"),"ñ","n"),"à","a"),"è","e"),"ì","i"),"ò","o"),"ù","u"))</f>
        <v/>
      </c>
      <c r="O3" s="25">
        <f>IF(M3="confiable",2,IF(M3="dudosa",1,IF(M3="no confiable",0,"")))</f>
        <v/>
      </c>
      <c r="P3" s="25">
        <f>IF(N3="confiable",2,IF(N3="dudosa",1,IF(N3="no confiable",0,"")))</f>
        <v/>
      </c>
      <c r="Q3" s="25">
        <f>IF(AND(ISNUMBER(O3),ISNUMBER(P3)),1,"")</f>
        <v/>
      </c>
      <c r="R3" s="25">
        <f>IF(Q3=1,IF(O3=P3,"Sí","No"),"")</f>
        <v/>
      </c>
      <c r="S3" s="25">
        <f>IF(Q3=1,IF(P3&lt;O3,"Más estricto",IF(P3&gt;O3,"Más permisivo","Igual")),"")</f>
        <v/>
      </c>
      <c r="T3" s="25">
        <f>IF(Q3=1,IF(ABS(O3-P3)=2,1,0),"")</f>
        <v/>
      </c>
      <c r="U3" s="25">
        <f>IF(H3="","","|"&amp;SUBSTITUTE(SUBSTITUTE(TRIM(H3)," |","|"),"| ","|")&amp;"|")</f>
        <v/>
      </c>
      <c r="V3" s="25">
        <f>IF(AND(Q3=1,B3&lt;&gt;""),IF(IFERROR(COUNTIFS(B$3:B3,"="&amp;SUBSTITUTE(SUBSTITUTE(SUBSTITUTE(B3,"~","~~"),"*","~*"),"?","~?"),Q$3:Q3,1),0)=1,MAX(V$2:V2)+1,""),"")</f>
        <v/>
      </c>
      <c r="W3" s="25">
        <f>IF(V3="","",COUNTIFS($B$3:$B$1002,"="&amp;SUBSTITUTE(SUBSTITUTE(SUBSTITUTE(B3,"~","~~"),"*","~*"),"?","~?"),$Q$3:$Q$1002,1)*10000-V3)</f>
        <v/>
      </c>
      <c r="X3" s="25">
        <f>IF(Q3=1,IF(SUBSTITUTE(SUBSTITUTE(SUBSTITUTE(SUBSTITUTE(SUBSTITUTE(SUBSTITUTE(SUBSTITUTE(SUBSTITUTE(SUBSTITUTE(SUBSTITUTE(SUBSTITUTE(SUBSTITUTE(LOWER(TRIM(A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3)),"á","a"),"é","e"),"í","i"),"ó","o"),"ú","u"),"ü","u"),"ñ","n"),"à","a"),"è","e"),"ì","i"),"ò","o"),"ù","u")),"")</f>
        <v/>
      </c>
      <c r="Y3" s="25">
        <f>IF(X3="","",IF(IFERROR(COUNTIF(X$3:X3,"="&amp;SUBSTITUTE(SUBSTITUTE(SUBSTITUTE(X3,"~","~~"),"*","~*"),"?","~?")),0)=1,1,""))</f>
        <v/>
      </c>
      <c r="Z3" s="25">
        <f>IF(T3=1,MAX(Z$2:Z2)+1,"")</f>
        <v/>
      </c>
    </row>
    <row r="4">
      <c r="A4">
        <f>IF(A$2=0,"",IFERROR(TRIM(INDEX('Pegar calibracion'!$A$1:$BZ$1001,3,A$2)&amp;""),""))</f>
        <v/>
      </c>
      <c r="B4">
        <f>IF(B$2=0,"",IFERROR(TRIM(INDEX('Pegar calibracion'!$A$1:$BZ$1001,3,B$2)&amp;""),""))</f>
        <v/>
      </c>
      <c r="C4">
        <f>IF(C$2=0,"",IFERROR(TRIM(INDEX('Pegar calibracion'!$A$1:$BZ$1001,3,C$2)&amp;""),""))</f>
        <v/>
      </c>
      <c r="D4">
        <f>IF(D$2=0,"",IFERROR(TRIM(INDEX('Pegar calibracion'!$A$1:$BZ$1001,3,D$2)&amp;""),""))</f>
        <v/>
      </c>
      <c r="E4">
        <f>IF(E$2=0,"",IFERROR(TRIM(INDEX('Pegar calibracion'!$A$1:$BZ$1001,3,E$2)&amp;""),""))</f>
        <v/>
      </c>
      <c r="F4">
        <f>IF(F$2=0,"",IFERROR(TRIM(INDEX('Pegar calibracion'!$A$1:$BZ$1001,3,F$2)&amp;""),""))</f>
        <v/>
      </c>
      <c r="G4">
        <f>IF(G$2=0,"",IFERROR(TRIM(INDEX('Pegar calibracion'!$A$1:$BZ$1001,3,G$2)&amp;""),""))</f>
        <v/>
      </c>
      <c r="H4">
        <f>IF(H$2=0,"",IFERROR(TRIM(INDEX('Pegar calibracion'!$A$1:$BZ$1001,3,H$2)&amp;""),""))</f>
        <v/>
      </c>
      <c r="I4">
        <f>IF(I$2=0,"",IFERROR(TRIM(INDEX('Pegar calibracion'!$A$1:$BZ$1001,3,I$2)&amp;""),""))</f>
        <v/>
      </c>
      <c r="J4">
        <f>IF(J$2=0,"",IFERROR(TRIM(INDEX('Pegar calibracion'!$A$1:$BZ$1001,3,J$2)&amp;""),""))</f>
        <v/>
      </c>
      <c r="K4">
        <f>IF(K$2=0,"",IFERROR(TRIM(INDEX('Pegar calibracion'!$A$1:$BZ$1001,3,K$2)&amp;""),""))</f>
        <v/>
      </c>
      <c r="L4">
        <f>IF(L$2=0,"",IFERROR(TRIM(INDEX('Pegar calibracion'!$A$1:$BZ$1001,3,L$2)&amp;""),""))</f>
        <v/>
      </c>
      <c r="M4" s="25">
        <f>IF(D4="","",SUBSTITUTE(SUBSTITUTE(SUBSTITUTE(SUBSTITUTE(SUBSTITUTE(SUBSTITUTE(SUBSTITUTE(SUBSTITUTE(SUBSTITUTE(SUBSTITUTE(SUBSTITUTE(SUBSTITUTE(LOWER(TRIM(D4)),"á","a"),"é","e"),"í","i"),"ó","o"),"ú","u"),"ü","u"),"ñ","n"),"à","a"),"è","e"),"ì","i"),"ò","o"),"ù","u"))</f>
        <v/>
      </c>
      <c r="N4" s="25">
        <f>IF(F4="","",SUBSTITUTE(SUBSTITUTE(SUBSTITUTE(SUBSTITUTE(SUBSTITUTE(SUBSTITUTE(SUBSTITUTE(SUBSTITUTE(SUBSTITUTE(SUBSTITUTE(SUBSTITUTE(SUBSTITUTE(LOWER(TRIM(F4)),"á","a"),"é","e"),"í","i"),"ó","o"),"ú","u"),"ü","u"),"ñ","n"),"à","a"),"è","e"),"ì","i"),"ò","o"),"ù","u"))</f>
        <v/>
      </c>
      <c r="O4" s="25">
        <f>IF(M4="confiable",2,IF(M4="dudosa",1,IF(M4="no confiable",0,"")))</f>
        <v/>
      </c>
      <c r="P4" s="25">
        <f>IF(N4="confiable",2,IF(N4="dudosa",1,IF(N4="no confiable",0,"")))</f>
        <v/>
      </c>
      <c r="Q4" s="25">
        <f>IF(AND(ISNUMBER(O4),ISNUMBER(P4)),1,"")</f>
        <v/>
      </c>
      <c r="R4" s="25">
        <f>IF(Q4=1,IF(O4=P4,"Sí","No"),"")</f>
        <v/>
      </c>
      <c r="S4" s="25">
        <f>IF(Q4=1,IF(P4&lt;O4,"Más estricto",IF(P4&gt;O4,"Más permisivo","Igual")),"")</f>
        <v/>
      </c>
      <c r="T4" s="25">
        <f>IF(Q4=1,IF(ABS(O4-P4)=2,1,0),"")</f>
        <v/>
      </c>
      <c r="U4" s="25">
        <f>IF(H4="","","|"&amp;SUBSTITUTE(SUBSTITUTE(TRIM(H4)," |","|"),"| ","|")&amp;"|")</f>
        <v/>
      </c>
      <c r="V4" s="25">
        <f>IF(AND(Q4=1,B4&lt;&gt;""),IF(IFERROR(COUNTIFS(B$3:B4,"="&amp;SUBSTITUTE(SUBSTITUTE(SUBSTITUTE(B4,"~","~~"),"*","~*"),"?","~?"),Q$3:Q4,1),0)=1,MAX(V$2:V3)+1,""),"")</f>
        <v/>
      </c>
      <c r="W4" s="25">
        <f>IF(V4="","",COUNTIFS($B$3:$B$1002,"="&amp;SUBSTITUTE(SUBSTITUTE(SUBSTITUTE(B4,"~","~~"),"*","~*"),"?","~?"),$Q$3:$Q$1002,1)*10000-V4)</f>
        <v/>
      </c>
      <c r="X4" s="25">
        <f>IF(Q4=1,IF(SUBSTITUTE(SUBSTITUTE(SUBSTITUTE(SUBSTITUTE(SUBSTITUTE(SUBSTITUTE(SUBSTITUTE(SUBSTITUTE(SUBSTITUTE(SUBSTITUTE(SUBSTITUTE(SUBSTITUTE(LOWER(TRIM(A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4)),"á","a"),"é","e"),"í","i"),"ó","o"),"ú","u"),"ü","u"),"ñ","n"),"à","a"),"è","e"),"ì","i"),"ò","o"),"ù","u")),"")</f>
        <v/>
      </c>
      <c r="Y4" s="25">
        <f>IF(X4="","",IF(IFERROR(COUNTIF(X$3:X4,"="&amp;SUBSTITUTE(SUBSTITUTE(SUBSTITUTE(X4,"~","~~"),"*","~*"),"?","~?")),0)=1,1,""))</f>
        <v/>
      </c>
      <c r="Z4" s="25">
        <f>IF(T4=1,MAX(Z$2:Z3)+1,"")</f>
        <v/>
      </c>
    </row>
    <row r="5">
      <c r="A5">
        <f>IF(A$2=0,"",IFERROR(TRIM(INDEX('Pegar calibracion'!$A$1:$BZ$1001,4,A$2)&amp;""),""))</f>
        <v/>
      </c>
      <c r="B5">
        <f>IF(B$2=0,"",IFERROR(TRIM(INDEX('Pegar calibracion'!$A$1:$BZ$1001,4,B$2)&amp;""),""))</f>
        <v/>
      </c>
      <c r="C5">
        <f>IF(C$2=0,"",IFERROR(TRIM(INDEX('Pegar calibracion'!$A$1:$BZ$1001,4,C$2)&amp;""),""))</f>
        <v/>
      </c>
      <c r="D5">
        <f>IF(D$2=0,"",IFERROR(TRIM(INDEX('Pegar calibracion'!$A$1:$BZ$1001,4,D$2)&amp;""),""))</f>
        <v/>
      </c>
      <c r="E5">
        <f>IF(E$2=0,"",IFERROR(TRIM(INDEX('Pegar calibracion'!$A$1:$BZ$1001,4,E$2)&amp;""),""))</f>
        <v/>
      </c>
      <c r="F5">
        <f>IF(F$2=0,"",IFERROR(TRIM(INDEX('Pegar calibracion'!$A$1:$BZ$1001,4,F$2)&amp;""),""))</f>
        <v/>
      </c>
      <c r="G5">
        <f>IF(G$2=0,"",IFERROR(TRIM(INDEX('Pegar calibracion'!$A$1:$BZ$1001,4,G$2)&amp;""),""))</f>
        <v/>
      </c>
      <c r="H5">
        <f>IF(H$2=0,"",IFERROR(TRIM(INDEX('Pegar calibracion'!$A$1:$BZ$1001,4,H$2)&amp;""),""))</f>
        <v/>
      </c>
      <c r="I5">
        <f>IF(I$2=0,"",IFERROR(TRIM(INDEX('Pegar calibracion'!$A$1:$BZ$1001,4,I$2)&amp;""),""))</f>
        <v/>
      </c>
      <c r="J5">
        <f>IF(J$2=0,"",IFERROR(TRIM(INDEX('Pegar calibracion'!$A$1:$BZ$1001,4,J$2)&amp;""),""))</f>
        <v/>
      </c>
      <c r="K5">
        <f>IF(K$2=0,"",IFERROR(TRIM(INDEX('Pegar calibracion'!$A$1:$BZ$1001,4,K$2)&amp;""),""))</f>
        <v/>
      </c>
      <c r="L5">
        <f>IF(L$2=0,"",IFERROR(TRIM(INDEX('Pegar calibracion'!$A$1:$BZ$1001,4,L$2)&amp;""),""))</f>
        <v/>
      </c>
      <c r="M5" s="25">
        <f>IF(D5="","",SUBSTITUTE(SUBSTITUTE(SUBSTITUTE(SUBSTITUTE(SUBSTITUTE(SUBSTITUTE(SUBSTITUTE(SUBSTITUTE(SUBSTITUTE(SUBSTITUTE(SUBSTITUTE(SUBSTITUTE(LOWER(TRIM(D5)),"á","a"),"é","e"),"í","i"),"ó","o"),"ú","u"),"ü","u"),"ñ","n"),"à","a"),"è","e"),"ì","i"),"ò","o"),"ù","u"))</f>
        <v/>
      </c>
      <c r="N5" s="25">
        <f>IF(F5="","",SUBSTITUTE(SUBSTITUTE(SUBSTITUTE(SUBSTITUTE(SUBSTITUTE(SUBSTITUTE(SUBSTITUTE(SUBSTITUTE(SUBSTITUTE(SUBSTITUTE(SUBSTITUTE(SUBSTITUTE(LOWER(TRIM(F5)),"á","a"),"é","e"),"í","i"),"ó","o"),"ú","u"),"ü","u"),"ñ","n"),"à","a"),"è","e"),"ì","i"),"ò","o"),"ù","u"))</f>
        <v/>
      </c>
      <c r="O5" s="25">
        <f>IF(M5="confiable",2,IF(M5="dudosa",1,IF(M5="no confiable",0,"")))</f>
        <v/>
      </c>
      <c r="P5" s="25">
        <f>IF(N5="confiable",2,IF(N5="dudosa",1,IF(N5="no confiable",0,"")))</f>
        <v/>
      </c>
      <c r="Q5" s="25">
        <f>IF(AND(ISNUMBER(O5),ISNUMBER(P5)),1,"")</f>
        <v/>
      </c>
      <c r="R5" s="25">
        <f>IF(Q5=1,IF(O5=P5,"Sí","No"),"")</f>
        <v/>
      </c>
      <c r="S5" s="25">
        <f>IF(Q5=1,IF(P5&lt;O5,"Más estricto",IF(P5&gt;O5,"Más permisivo","Igual")),"")</f>
        <v/>
      </c>
      <c r="T5" s="25">
        <f>IF(Q5=1,IF(ABS(O5-P5)=2,1,0),"")</f>
        <v/>
      </c>
      <c r="U5" s="25">
        <f>IF(H5="","","|"&amp;SUBSTITUTE(SUBSTITUTE(TRIM(H5)," |","|"),"| ","|")&amp;"|")</f>
        <v/>
      </c>
      <c r="V5" s="25">
        <f>IF(AND(Q5=1,B5&lt;&gt;""),IF(IFERROR(COUNTIFS(B$3:B5,"="&amp;SUBSTITUTE(SUBSTITUTE(SUBSTITUTE(B5,"~","~~"),"*","~*"),"?","~?"),Q$3:Q5,1),0)=1,MAX(V$2:V4)+1,""),"")</f>
        <v/>
      </c>
      <c r="W5" s="25">
        <f>IF(V5="","",COUNTIFS($B$3:$B$1002,"="&amp;SUBSTITUTE(SUBSTITUTE(SUBSTITUTE(B5,"~","~~"),"*","~*"),"?","~?"),$Q$3:$Q$1002,1)*10000-V5)</f>
        <v/>
      </c>
      <c r="X5" s="25">
        <f>IF(Q5=1,IF(SUBSTITUTE(SUBSTITUTE(SUBSTITUTE(SUBSTITUTE(SUBSTITUTE(SUBSTITUTE(SUBSTITUTE(SUBSTITUTE(SUBSTITUTE(SUBSTITUTE(SUBSTITUTE(SUBSTITUTE(LOWER(TRIM(A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5)),"á","a"),"é","e"),"í","i"),"ó","o"),"ú","u"),"ü","u"),"ñ","n"),"à","a"),"è","e"),"ì","i"),"ò","o"),"ù","u")),"")</f>
        <v/>
      </c>
      <c r="Y5" s="25">
        <f>IF(X5="","",IF(IFERROR(COUNTIF(X$3:X5,"="&amp;SUBSTITUTE(SUBSTITUTE(SUBSTITUTE(X5,"~","~~"),"*","~*"),"?","~?")),0)=1,1,""))</f>
        <v/>
      </c>
      <c r="Z5" s="25">
        <f>IF(T5=1,MAX(Z$2:Z4)+1,"")</f>
        <v/>
      </c>
    </row>
    <row r="6">
      <c r="A6">
        <f>IF(A$2=0,"",IFERROR(TRIM(INDEX('Pegar calibracion'!$A$1:$BZ$1001,5,A$2)&amp;""),""))</f>
        <v/>
      </c>
      <c r="B6">
        <f>IF(B$2=0,"",IFERROR(TRIM(INDEX('Pegar calibracion'!$A$1:$BZ$1001,5,B$2)&amp;""),""))</f>
        <v/>
      </c>
      <c r="C6">
        <f>IF(C$2=0,"",IFERROR(TRIM(INDEX('Pegar calibracion'!$A$1:$BZ$1001,5,C$2)&amp;""),""))</f>
        <v/>
      </c>
      <c r="D6">
        <f>IF(D$2=0,"",IFERROR(TRIM(INDEX('Pegar calibracion'!$A$1:$BZ$1001,5,D$2)&amp;""),""))</f>
        <v/>
      </c>
      <c r="E6">
        <f>IF(E$2=0,"",IFERROR(TRIM(INDEX('Pegar calibracion'!$A$1:$BZ$1001,5,E$2)&amp;""),""))</f>
        <v/>
      </c>
      <c r="F6">
        <f>IF(F$2=0,"",IFERROR(TRIM(INDEX('Pegar calibracion'!$A$1:$BZ$1001,5,F$2)&amp;""),""))</f>
        <v/>
      </c>
      <c r="G6">
        <f>IF(G$2=0,"",IFERROR(TRIM(INDEX('Pegar calibracion'!$A$1:$BZ$1001,5,G$2)&amp;""),""))</f>
        <v/>
      </c>
      <c r="H6">
        <f>IF(H$2=0,"",IFERROR(TRIM(INDEX('Pegar calibracion'!$A$1:$BZ$1001,5,H$2)&amp;""),""))</f>
        <v/>
      </c>
      <c r="I6">
        <f>IF(I$2=0,"",IFERROR(TRIM(INDEX('Pegar calibracion'!$A$1:$BZ$1001,5,I$2)&amp;""),""))</f>
        <v/>
      </c>
      <c r="J6">
        <f>IF(J$2=0,"",IFERROR(TRIM(INDEX('Pegar calibracion'!$A$1:$BZ$1001,5,J$2)&amp;""),""))</f>
        <v/>
      </c>
      <c r="K6">
        <f>IF(K$2=0,"",IFERROR(TRIM(INDEX('Pegar calibracion'!$A$1:$BZ$1001,5,K$2)&amp;""),""))</f>
        <v/>
      </c>
      <c r="L6">
        <f>IF(L$2=0,"",IFERROR(TRIM(INDEX('Pegar calibracion'!$A$1:$BZ$1001,5,L$2)&amp;""),""))</f>
        <v/>
      </c>
      <c r="M6" s="25">
        <f>IF(D6="","",SUBSTITUTE(SUBSTITUTE(SUBSTITUTE(SUBSTITUTE(SUBSTITUTE(SUBSTITUTE(SUBSTITUTE(SUBSTITUTE(SUBSTITUTE(SUBSTITUTE(SUBSTITUTE(SUBSTITUTE(LOWER(TRIM(D6)),"á","a"),"é","e"),"í","i"),"ó","o"),"ú","u"),"ü","u"),"ñ","n"),"à","a"),"è","e"),"ì","i"),"ò","o"),"ù","u"))</f>
        <v/>
      </c>
      <c r="N6" s="25">
        <f>IF(F6="","",SUBSTITUTE(SUBSTITUTE(SUBSTITUTE(SUBSTITUTE(SUBSTITUTE(SUBSTITUTE(SUBSTITUTE(SUBSTITUTE(SUBSTITUTE(SUBSTITUTE(SUBSTITUTE(SUBSTITUTE(LOWER(TRIM(F6)),"á","a"),"é","e"),"í","i"),"ó","o"),"ú","u"),"ü","u"),"ñ","n"),"à","a"),"è","e"),"ì","i"),"ò","o"),"ù","u"))</f>
        <v/>
      </c>
      <c r="O6" s="25">
        <f>IF(M6="confiable",2,IF(M6="dudosa",1,IF(M6="no confiable",0,"")))</f>
        <v/>
      </c>
      <c r="P6" s="25">
        <f>IF(N6="confiable",2,IF(N6="dudosa",1,IF(N6="no confiable",0,"")))</f>
        <v/>
      </c>
      <c r="Q6" s="25">
        <f>IF(AND(ISNUMBER(O6),ISNUMBER(P6)),1,"")</f>
        <v/>
      </c>
      <c r="R6" s="25">
        <f>IF(Q6=1,IF(O6=P6,"Sí","No"),"")</f>
        <v/>
      </c>
      <c r="S6" s="25">
        <f>IF(Q6=1,IF(P6&lt;O6,"Más estricto",IF(P6&gt;O6,"Más permisivo","Igual")),"")</f>
        <v/>
      </c>
      <c r="T6" s="25">
        <f>IF(Q6=1,IF(ABS(O6-P6)=2,1,0),"")</f>
        <v/>
      </c>
      <c r="U6" s="25">
        <f>IF(H6="","","|"&amp;SUBSTITUTE(SUBSTITUTE(TRIM(H6)," |","|"),"| ","|")&amp;"|")</f>
        <v/>
      </c>
      <c r="V6" s="25">
        <f>IF(AND(Q6=1,B6&lt;&gt;""),IF(IFERROR(COUNTIFS(B$3:B6,"="&amp;SUBSTITUTE(SUBSTITUTE(SUBSTITUTE(B6,"~","~~"),"*","~*"),"?","~?"),Q$3:Q6,1),0)=1,MAX(V$2:V5)+1,""),"")</f>
        <v/>
      </c>
      <c r="W6" s="25">
        <f>IF(V6="","",COUNTIFS($B$3:$B$1002,"="&amp;SUBSTITUTE(SUBSTITUTE(SUBSTITUTE(B6,"~","~~"),"*","~*"),"?","~?"),$Q$3:$Q$1002,1)*10000-V6)</f>
        <v/>
      </c>
      <c r="X6" s="25">
        <f>IF(Q6=1,IF(SUBSTITUTE(SUBSTITUTE(SUBSTITUTE(SUBSTITUTE(SUBSTITUTE(SUBSTITUTE(SUBSTITUTE(SUBSTITUTE(SUBSTITUTE(SUBSTITUTE(SUBSTITUTE(SUBSTITUTE(LOWER(TRIM(A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6)),"á","a"),"é","e"),"í","i"),"ó","o"),"ú","u"),"ü","u"),"ñ","n"),"à","a"),"è","e"),"ì","i"),"ò","o"),"ù","u")),"")</f>
        <v/>
      </c>
      <c r="Y6" s="25">
        <f>IF(X6="","",IF(IFERROR(COUNTIF(X$3:X6,"="&amp;SUBSTITUTE(SUBSTITUTE(SUBSTITUTE(X6,"~","~~"),"*","~*"),"?","~?")),0)=1,1,""))</f>
        <v/>
      </c>
      <c r="Z6" s="25">
        <f>IF(T6=1,MAX(Z$2:Z5)+1,"")</f>
        <v/>
      </c>
    </row>
    <row r="7">
      <c r="A7">
        <f>IF(A$2=0,"",IFERROR(TRIM(INDEX('Pegar calibracion'!$A$1:$BZ$1001,6,A$2)&amp;""),""))</f>
        <v/>
      </c>
      <c r="B7">
        <f>IF(B$2=0,"",IFERROR(TRIM(INDEX('Pegar calibracion'!$A$1:$BZ$1001,6,B$2)&amp;""),""))</f>
        <v/>
      </c>
      <c r="C7">
        <f>IF(C$2=0,"",IFERROR(TRIM(INDEX('Pegar calibracion'!$A$1:$BZ$1001,6,C$2)&amp;""),""))</f>
        <v/>
      </c>
      <c r="D7">
        <f>IF(D$2=0,"",IFERROR(TRIM(INDEX('Pegar calibracion'!$A$1:$BZ$1001,6,D$2)&amp;""),""))</f>
        <v/>
      </c>
      <c r="E7">
        <f>IF(E$2=0,"",IFERROR(TRIM(INDEX('Pegar calibracion'!$A$1:$BZ$1001,6,E$2)&amp;""),""))</f>
        <v/>
      </c>
      <c r="F7">
        <f>IF(F$2=0,"",IFERROR(TRIM(INDEX('Pegar calibracion'!$A$1:$BZ$1001,6,F$2)&amp;""),""))</f>
        <v/>
      </c>
      <c r="G7">
        <f>IF(G$2=0,"",IFERROR(TRIM(INDEX('Pegar calibracion'!$A$1:$BZ$1001,6,G$2)&amp;""),""))</f>
        <v/>
      </c>
      <c r="H7">
        <f>IF(H$2=0,"",IFERROR(TRIM(INDEX('Pegar calibracion'!$A$1:$BZ$1001,6,H$2)&amp;""),""))</f>
        <v/>
      </c>
      <c r="I7">
        <f>IF(I$2=0,"",IFERROR(TRIM(INDEX('Pegar calibracion'!$A$1:$BZ$1001,6,I$2)&amp;""),""))</f>
        <v/>
      </c>
      <c r="J7">
        <f>IF(J$2=0,"",IFERROR(TRIM(INDEX('Pegar calibracion'!$A$1:$BZ$1001,6,J$2)&amp;""),""))</f>
        <v/>
      </c>
      <c r="K7">
        <f>IF(K$2=0,"",IFERROR(TRIM(INDEX('Pegar calibracion'!$A$1:$BZ$1001,6,K$2)&amp;""),""))</f>
        <v/>
      </c>
      <c r="L7">
        <f>IF(L$2=0,"",IFERROR(TRIM(INDEX('Pegar calibracion'!$A$1:$BZ$1001,6,L$2)&amp;""),""))</f>
        <v/>
      </c>
      <c r="M7" s="25">
        <f>IF(D7="","",SUBSTITUTE(SUBSTITUTE(SUBSTITUTE(SUBSTITUTE(SUBSTITUTE(SUBSTITUTE(SUBSTITUTE(SUBSTITUTE(SUBSTITUTE(SUBSTITUTE(SUBSTITUTE(SUBSTITUTE(LOWER(TRIM(D7)),"á","a"),"é","e"),"í","i"),"ó","o"),"ú","u"),"ü","u"),"ñ","n"),"à","a"),"è","e"),"ì","i"),"ò","o"),"ù","u"))</f>
        <v/>
      </c>
      <c r="N7" s="25">
        <f>IF(F7="","",SUBSTITUTE(SUBSTITUTE(SUBSTITUTE(SUBSTITUTE(SUBSTITUTE(SUBSTITUTE(SUBSTITUTE(SUBSTITUTE(SUBSTITUTE(SUBSTITUTE(SUBSTITUTE(SUBSTITUTE(LOWER(TRIM(F7)),"á","a"),"é","e"),"í","i"),"ó","o"),"ú","u"),"ü","u"),"ñ","n"),"à","a"),"è","e"),"ì","i"),"ò","o"),"ù","u"))</f>
        <v/>
      </c>
      <c r="O7" s="25">
        <f>IF(M7="confiable",2,IF(M7="dudosa",1,IF(M7="no confiable",0,"")))</f>
        <v/>
      </c>
      <c r="P7" s="25">
        <f>IF(N7="confiable",2,IF(N7="dudosa",1,IF(N7="no confiable",0,"")))</f>
        <v/>
      </c>
      <c r="Q7" s="25">
        <f>IF(AND(ISNUMBER(O7),ISNUMBER(P7)),1,"")</f>
        <v/>
      </c>
      <c r="R7" s="25">
        <f>IF(Q7=1,IF(O7=P7,"Sí","No"),"")</f>
        <v/>
      </c>
      <c r="S7" s="25">
        <f>IF(Q7=1,IF(P7&lt;O7,"Más estricto",IF(P7&gt;O7,"Más permisivo","Igual")),"")</f>
        <v/>
      </c>
      <c r="T7" s="25">
        <f>IF(Q7=1,IF(ABS(O7-P7)=2,1,0),"")</f>
        <v/>
      </c>
      <c r="U7" s="25">
        <f>IF(H7="","","|"&amp;SUBSTITUTE(SUBSTITUTE(TRIM(H7)," |","|"),"| ","|")&amp;"|")</f>
        <v/>
      </c>
      <c r="V7" s="25">
        <f>IF(AND(Q7=1,B7&lt;&gt;""),IF(IFERROR(COUNTIFS(B$3:B7,"="&amp;SUBSTITUTE(SUBSTITUTE(SUBSTITUTE(B7,"~","~~"),"*","~*"),"?","~?"),Q$3:Q7,1),0)=1,MAX(V$2:V6)+1,""),"")</f>
        <v/>
      </c>
      <c r="W7" s="25">
        <f>IF(V7="","",COUNTIFS($B$3:$B$1002,"="&amp;SUBSTITUTE(SUBSTITUTE(SUBSTITUTE(B7,"~","~~"),"*","~*"),"?","~?"),$Q$3:$Q$1002,1)*10000-V7)</f>
        <v/>
      </c>
      <c r="X7" s="25">
        <f>IF(Q7=1,IF(SUBSTITUTE(SUBSTITUTE(SUBSTITUTE(SUBSTITUTE(SUBSTITUTE(SUBSTITUTE(SUBSTITUTE(SUBSTITUTE(SUBSTITUTE(SUBSTITUTE(SUBSTITUTE(SUBSTITUTE(LOWER(TRIM(A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7)),"á","a"),"é","e"),"í","i"),"ó","o"),"ú","u"),"ü","u"),"ñ","n"),"à","a"),"è","e"),"ì","i"),"ò","o"),"ù","u")),"")</f>
        <v/>
      </c>
      <c r="Y7" s="25">
        <f>IF(X7="","",IF(IFERROR(COUNTIF(X$3:X7,"="&amp;SUBSTITUTE(SUBSTITUTE(SUBSTITUTE(X7,"~","~~"),"*","~*"),"?","~?")),0)=1,1,""))</f>
        <v/>
      </c>
      <c r="Z7" s="25">
        <f>IF(T7=1,MAX(Z$2:Z6)+1,"")</f>
        <v/>
      </c>
    </row>
    <row r="8">
      <c r="A8">
        <f>IF(A$2=0,"",IFERROR(TRIM(INDEX('Pegar calibracion'!$A$1:$BZ$1001,7,A$2)&amp;""),""))</f>
        <v/>
      </c>
      <c r="B8">
        <f>IF(B$2=0,"",IFERROR(TRIM(INDEX('Pegar calibracion'!$A$1:$BZ$1001,7,B$2)&amp;""),""))</f>
        <v/>
      </c>
      <c r="C8">
        <f>IF(C$2=0,"",IFERROR(TRIM(INDEX('Pegar calibracion'!$A$1:$BZ$1001,7,C$2)&amp;""),""))</f>
        <v/>
      </c>
      <c r="D8">
        <f>IF(D$2=0,"",IFERROR(TRIM(INDEX('Pegar calibracion'!$A$1:$BZ$1001,7,D$2)&amp;""),""))</f>
        <v/>
      </c>
      <c r="E8">
        <f>IF(E$2=0,"",IFERROR(TRIM(INDEX('Pegar calibracion'!$A$1:$BZ$1001,7,E$2)&amp;""),""))</f>
        <v/>
      </c>
      <c r="F8">
        <f>IF(F$2=0,"",IFERROR(TRIM(INDEX('Pegar calibracion'!$A$1:$BZ$1001,7,F$2)&amp;""),""))</f>
        <v/>
      </c>
      <c r="G8">
        <f>IF(G$2=0,"",IFERROR(TRIM(INDEX('Pegar calibracion'!$A$1:$BZ$1001,7,G$2)&amp;""),""))</f>
        <v/>
      </c>
      <c r="H8">
        <f>IF(H$2=0,"",IFERROR(TRIM(INDEX('Pegar calibracion'!$A$1:$BZ$1001,7,H$2)&amp;""),""))</f>
        <v/>
      </c>
      <c r="I8">
        <f>IF(I$2=0,"",IFERROR(TRIM(INDEX('Pegar calibracion'!$A$1:$BZ$1001,7,I$2)&amp;""),""))</f>
        <v/>
      </c>
      <c r="J8">
        <f>IF(J$2=0,"",IFERROR(TRIM(INDEX('Pegar calibracion'!$A$1:$BZ$1001,7,J$2)&amp;""),""))</f>
        <v/>
      </c>
      <c r="K8">
        <f>IF(K$2=0,"",IFERROR(TRIM(INDEX('Pegar calibracion'!$A$1:$BZ$1001,7,K$2)&amp;""),""))</f>
        <v/>
      </c>
      <c r="L8">
        <f>IF(L$2=0,"",IFERROR(TRIM(INDEX('Pegar calibracion'!$A$1:$BZ$1001,7,L$2)&amp;""),""))</f>
        <v/>
      </c>
      <c r="M8" s="25">
        <f>IF(D8="","",SUBSTITUTE(SUBSTITUTE(SUBSTITUTE(SUBSTITUTE(SUBSTITUTE(SUBSTITUTE(SUBSTITUTE(SUBSTITUTE(SUBSTITUTE(SUBSTITUTE(SUBSTITUTE(SUBSTITUTE(LOWER(TRIM(D8)),"á","a"),"é","e"),"í","i"),"ó","o"),"ú","u"),"ü","u"),"ñ","n"),"à","a"),"è","e"),"ì","i"),"ò","o"),"ù","u"))</f>
        <v/>
      </c>
      <c r="N8" s="25">
        <f>IF(F8="","",SUBSTITUTE(SUBSTITUTE(SUBSTITUTE(SUBSTITUTE(SUBSTITUTE(SUBSTITUTE(SUBSTITUTE(SUBSTITUTE(SUBSTITUTE(SUBSTITUTE(SUBSTITUTE(SUBSTITUTE(LOWER(TRIM(F8)),"á","a"),"é","e"),"í","i"),"ó","o"),"ú","u"),"ü","u"),"ñ","n"),"à","a"),"è","e"),"ì","i"),"ò","o"),"ù","u"))</f>
        <v/>
      </c>
      <c r="O8" s="25">
        <f>IF(M8="confiable",2,IF(M8="dudosa",1,IF(M8="no confiable",0,"")))</f>
        <v/>
      </c>
      <c r="P8" s="25">
        <f>IF(N8="confiable",2,IF(N8="dudosa",1,IF(N8="no confiable",0,"")))</f>
        <v/>
      </c>
      <c r="Q8" s="25">
        <f>IF(AND(ISNUMBER(O8),ISNUMBER(P8)),1,"")</f>
        <v/>
      </c>
      <c r="R8" s="25">
        <f>IF(Q8=1,IF(O8=P8,"Sí","No"),"")</f>
        <v/>
      </c>
      <c r="S8" s="25">
        <f>IF(Q8=1,IF(P8&lt;O8,"Más estricto",IF(P8&gt;O8,"Más permisivo","Igual")),"")</f>
        <v/>
      </c>
      <c r="T8" s="25">
        <f>IF(Q8=1,IF(ABS(O8-P8)=2,1,0),"")</f>
        <v/>
      </c>
      <c r="U8" s="25">
        <f>IF(H8="","","|"&amp;SUBSTITUTE(SUBSTITUTE(TRIM(H8)," |","|"),"| ","|")&amp;"|")</f>
        <v/>
      </c>
      <c r="V8" s="25">
        <f>IF(AND(Q8=1,B8&lt;&gt;""),IF(IFERROR(COUNTIFS(B$3:B8,"="&amp;SUBSTITUTE(SUBSTITUTE(SUBSTITUTE(B8,"~","~~"),"*","~*"),"?","~?"),Q$3:Q8,1),0)=1,MAX(V$2:V7)+1,""),"")</f>
        <v/>
      </c>
      <c r="W8" s="25">
        <f>IF(V8="","",COUNTIFS($B$3:$B$1002,"="&amp;SUBSTITUTE(SUBSTITUTE(SUBSTITUTE(B8,"~","~~"),"*","~*"),"?","~?"),$Q$3:$Q$1002,1)*10000-V8)</f>
        <v/>
      </c>
      <c r="X8" s="25">
        <f>IF(Q8=1,IF(SUBSTITUTE(SUBSTITUTE(SUBSTITUTE(SUBSTITUTE(SUBSTITUTE(SUBSTITUTE(SUBSTITUTE(SUBSTITUTE(SUBSTITUTE(SUBSTITUTE(SUBSTITUTE(SUBSTITUTE(LOWER(TRIM(A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8)),"á","a"),"é","e"),"í","i"),"ó","o"),"ú","u"),"ü","u"),"ñ","n"),"à","a"),"è","e"),"ì","i"),"ò","o"),"ù","u")),"")</f>
        <v/>
      </c>
      <c r="Y8" s="25">
        <f>IF(X8="","",IF(IFERROR(COUNTIF(X$3:X8,"="&amp;SUBSTITUTE(SUBSTITUTE(SUBSTITUTE(X8,"~","~~"),"*","~*"),"?","~?")),0)=1,1,""))</f>
        <v/>
      </c>
      <c r="Z8" s="25">
        <f>IF(T8=1,MAX(Z$2:Z7)+1,"")</f>
        <v/>
      </c>
    </row>
    <row r="9">
      <c r="A9">
        <f>IF(A$2=0,"",IFERROR(TRIM(INDEX('Pegar calibracion'!$A$1:$BZ$1001,8,A$2)&amp;""),""))</f>
        <v/>
      </c>
      <c r="B9">
        <f>IF(B$2=0,"",IFERROR(TRIM(INDEX('Pegar calibracion'!$A$1:$BZ$1001,8,B$2)&amp;""),""))</f>
        <v/>
      </c>
      <c r="C9">
        <f>IF(C$2=0,"",IFERROR(TRIM(INDEX('Pegar calibracion'!$A$1:$BZ$1001,8,C$2)&amp;""),""))</f>
        <v/>
      </c>
      <c r="D9">
        <f>IF(D$2=0,"",IFERROR(TRIM(INDEX('Pegar calibracion'!$A$1:$BZ$1001,8,D$2)&amp;""),""))</f>
        <v/>
      </c>
      <c r="E9">
        <f>IF(E$2=0,"",IFERROR(TRIM(INDEX('Pegar calibracion'!$A$1:$BZ$1001,8,E$2)&amp;""),""))</f>
        <v/>
      </c>
      <c r="F9">
        <f>IF(F$2=0,"",IFERROR(TRIM(INDEX('Pegar calibracion'!$A$1:$BZ$1001,8,F$2)&amp;""),""))</f>
        <v/>
      </c>
      <c r="G9">
        <f>IF(G$2=0,"",IFERROR(TRIM(INDEX('Pegar calibracion'!$A$1:$BZ$1001,8,G$2)&amp;""),""))</f>
        <v/>
      </c>
      <c r="H9">
        <f>IF(H$2=0,"",IFERROR(TRIM(INDEX('Pegar calibracion'!$A$1:$BZ$1001,8,H$2)&amp;""),""))</f>
        <v/>
      </c>
      <c r="I9">
        <f>IF(I$2=0,"",IFERROR(TRIM(INDEX('Pegar calibracion'!$A$1:$BZ$1001,8,I$2)&amp;""),""))</f>
        <v/>
      </c>
      <c r="J9">
        <f>IF(J$2=0,"",IFERROR(TRIM(INDEX('Pegar calibracion'!$A$1:$BZ$1001,8,J$2)&amp;""),""))</f>
        <v/>
      </c>
      <c r="K9">
        <f>IF(K$2=0,"",IFERROR(TRIM(INDEX('Pegar calibracion'!$A$1:$BZ$1001,8,K$2)&amp;""),""))</f>
        <v/>
      </c>
      <c r="L9">
        <f>IF(L$2=0,"",IFERROR(TRIM(INDEX('Pegar calibracion'!$A$1:$BZ$1001,8,L$2)&amp;""),""))</f>
        <v/>
      </c>
      <c r="M9" s="25">
        <f>IF(D9="","",SUBSTITUTE(SUBSTITUTE(SUBSTITUTE(SUBSTITUTE(SUBSTITUTE(SUBSTITUTE(SUBSTITUTE(SUBSTITUTE(SUBSTITUTE(SUBSTITUTE(SUBSTITUTE(SUBSTITUTE(LOWER(TRIM(D9)),"á","a"),"é","e"),"í","i"),"ó","o"),"ú","u"),"ü","u"),"ñ","n"),"à","a"),"è","e"),"ì","i"),"ò","o"),"ù","u"))</f>
        <v/>
      </c>
      <c r="N9" s="25">
        <f>IF(F9="","",SUBSTITUTE(SUBSTITUTE(SUBSTITUTE(SUBSTITUTE(SUBSTITUTE(SUBSTITUTE(SUBSTITUTE(SUBSTITUTE(SUBSTITUTE(SUBSTITUTE(SUBSTITUTE(SUBSTITUTE(LOWER(TRIM(F9)),"á","a"),"é","e"),"í","i"),"ó","o"),"ú","u"),"ü","u"),"ñ","n"),"à","a"),"è","e"),"ì","i"),"ò","o"),"ù","u"))</f>
        <v/>
      </c>
      <c r="O9" s="25">
        <f>IF(M9="confiable",2,IF(M9="dudosa",1,IF(M9="no confiable",0,"")))</f>
        <v/>
      </c>
      <c r="P9" s="25">
        <f>IF(N9="confiable",2,IF(N9="dudosa",1,IF(N9="no confiable",0,"")))</f>
        <v/>
      </c>
      <c r="Q9" s="25">
        <f>IF(AND(ISNUMBER(O9),ISNUMBER(P9)),1,"")</f>
        <v/>
      </c>
      <c r="R9" s="25">
        <f>IF(Q9=1,IF(O9=P9,"Sí","No"),"")</f>
        <v/>
      </c>
      <c r="S9" s="25">
        <f>IF(Q9=1,IF(P9&lt;O9,"Más estricto",IF(P9&gt;O9,"Más permisivo","Igual")),"")</f>
        <v/>
      </c>
      <c r="T9" s="25">
        <f>IF(Q9=1,IF(ABS(O9-P9)=2,1,0),"")</f>
        <v/>
      </c>
      <c r="U9" s="25">
        <f>IF(H9="","","|"&amp;SUBSTITUTE(SUBSTITUTE(TRIM(H9)," |","|"),"| ","|")&amp;"|")</f>
        <v/>
      </c>
      <c r="V9" s="25">
        <f>IF(AND(Q9=1,B9&lt;&gt;""),IF(IFERROR(COUNTIFS(B$3:B9,"="&amp;SUBSTITUTE(SUBSTITUTE(SUBSTITUTE(B9,"~","~~"),"*","~*"),"?","~?"),Q$3:Q9,1),0)=1,MAX(V$2:V8)+1,""),"")</f>
        <v/>
      </c>
      <c r="W9" s="25">
        <f>IF(V9="","",COUNTIFS($B$3:$B$1002,"="&amp;SUBSTITUTE(SUBSTITUTE(SUBSTITUTE(B9,"~","~~"),"*","~*"),"?","~?"),$Q$3:$Q$1002,1)*10000-V9)</f>
        <v/>
      </c>
      <c r="X9" s="25">
        <f>IF(Q9=1,IF(SUBSTITUTE(SUBSTITUTE(SUBSTITUTE(SUBSTITUTE(SUBSTITUTE(SUBSTITUTE(SUBSTITUTE(SUBSTITUTE(SUBSTITUTE(SUBSTITUTE(SUBSTITUTE(SUBSTITUTE(LOWER(TRIM(A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9)),"á","a"),"é","e"),"í","i"),"ó","o"),"ú","u"),"ü","u"),"ñ","n"),"à","a"),"è","e"),"ì","i"),"ò","o"),"ù","u")),"")</f>
        <v/>
      </c>
      <c r="Y9" s="25">
        <f>IF(X9="","",IF(IFERROR(COUNTIF(X$3:X9,"="&amp;SUBSTITUTE(SUBSTITUTE(SUBSTITUTE(X9,"~","~~"),"*","~*"),"?","~?")),0)=1,1,""))</f>
        <v/>
      </c>
      <c r="Z9" s="25">
        <f>IF(T9=1,MAX(Z$2:Z8)+1,"")</f>
        <v/>
      </c>
    </row>
    <row r="10">
      <c r="A10">
        <f>IF(A$2=0,"",IFERROR(TRIM(INDEX('Pegar calibracion'!$A$1:$BZ$1001,9,A$2)&amp;""),""))</f>
        <v/>
      </c>
      <c r="B10">
        <f>IF(B$2=0,"",IFERROR(TRIM(INDEX('Pegar calibracion'!$A$1:$BZ$1001,9,B$2)&amp;""),""))</f>
        <v/>
      </c>
      <c r="C10">
        <f>IF(C$2=0,"",IFERROR(TRIM(INDEX('Pegar calibracion'!$A$1:$BZ$1001,9,C$2)&amp;""),""))</f>
        <v/>
      </c>
      <c r="D10">
        <f>IF(D$2=0,"",IFERROR(TRIM(INDEX('Pegar calibracion'!$A$1:$BZ$1001,9,D$2)&amp;""),""))</f>
        <v/>
      </c>
      <c r="E10">
        <f>IF(E$2=0,"",IFERROR(TRIM(INDEX('Pegar calibracion'!$A$1:$BZ$1001,9,E$2)&amp;""),""))</f>
        <v/>
      </c>
      <c r="F10">
        <f>IF(F$2=0,"",IFERROR(TRIM(INDEX('Pegar calibracion'!$A$1:$BZ$1001,9,F$2)&amp;""),""))</f>
        <v/>
      </c>
      <c r="G10">
        <f>IF(G$2=0,"",IFERROR(TRIM(INDEX('Pegar calibracion'!$A$1:$BZ$1001,9,G$2)&amp;""),""))</f>
        <v/>
      </c>
      <c r="H10">
        <f>IF(H$2=0,"",IFERROR(TRIM(INDEX('Pegar calibracion'!$A$1:$BZ$1001,9,H$2)&amp;""),""))</f>
        <v/>
      </c>
      <c r="I10">
        <f>IF(I$2=0,"",IFERROR(TRIM(INDEX('Pegar calibracion'!$A$1:$BZ$1001,9,I$2)&amp;""),""))</f>
        <v/>
      </c>
      <c r="J10">
        <f>IF(J$2=0,"",IFERROR(TRIM(INDEX('Pegar calibracion'!$A$1:$BZ$1001,9,J$2)&amp;""),""))</f>
        <v/>
      </c>
      <c r="K10">
        <f>IF(K$2=0,"",IFERROR(TRIM(INDEX('Pegar calibracion'!$A$1:$BZ$1001,9,K$2)&amp;""),""))</f>
        <v/>
      </c>
      <c r="L10">
        <f>IF(L$2=0,"",IFERROR(TRIM(INDEX('Pegar calibracion'!$A$1:$BZ$1001,9,L$2)&amp;""),""))</f>
        <v/>
      </c>
      <c r="M10" s="25">
        <f>IF(D10="","",SUBSTITUTE(SUBSTITUTE(SUBSTITUTE(SUBSTITUTE(SUBSTITUTE(SUBSTITUTE(SUBSTITUTE(SUBSTITUTE(SUBSTITUTE(SUBSTITUTE(SUBSTITUTE(SUBSTITUTE(LOWER(TRIM(D10)),"á","a"),"é","e"),"í","i"),"ó","o"),"ú","u"),"ü","u"),"ñ","n"),"à","a"),"è","e"),"ì","i"),"ò","o"),"ù","u"))</f>
        <v/>
      </c>
      <c r="N10" s="25">
        <f>IF(F10="","",SUBSTITUTE(SUBSTITUTE(SUBSTITUTE(SUBSTITUTE(SUBSTITUTE(SUBSTITUTE(SUBSTITUTE(SUBSTITUTE(SUBSTITUTE(SUBSTITUTE(SUBSTITUTE(SUBSTITUTE(LOWER(TRIM(F10)),"á","a"),"é","e"),"í","i"),"ó","o"),"ú","u"),"ü","u"),"ñ","n"),"à","a"),"è","e"),"ì","i"),"ò","o"),"ù","u"))</f>
        <v/>
      </c>
      <c r="O10" s="25">
        <f>IF(M10="confiable",2,IF(M10="dudosa",1,IF(M10="no confiable",0,"")))</f>
        <v/>
      </c>
      <c r="P10" s="25">
        <f>IF(N10="confiable",2,IF(N10="dudosa",1,IF(N10="no confiable",0,"")))</f>
        <v/>
      </c>
      <c r="Q10" s="25">
        <f>IF(AND(ISNUMBER(O10),ISNUMBER(P10)),1,"")</f>
        <v/>
      </c>
      <c r="R10" s="25">
        <f>IF(Q10=1,IF(O10=P10,"Sí","No"),"")</f>
        <v/>
      </c>
      <c r="S10" s="25">
        <f>IF(Q10=1,IF(P10&lt;O10,"Más estricto",IF(P10&gt;O10,"Más permisivo","Igual")),"")</f>
        <v/>
      </c>
      <c r="T10" s="25">
        <f>IF(Q10=1,IF(ABS(O10-P10)=2,1,0),"")</f>
        <v/>
      </c>
      <c r="U10" s="25">
        <f>IF(H10="","","|"&amp;SUBSTITUTE(SUBSTITUTE(TRIM(H10)," |","|"),"| ","|")&amp;"|")</f>
        <v/>
      </c>
      <c r="V10" s="25">
        <f>IF(AND(Q10=1,B10&lt;&gt;""),IF(IFERROR(COUNTIFS(B$3:B10,"="&amp;SUBSTITUTE(SUBSTITUTE(SUBSTITUTE(B10,"~","~~"),"*","~*"),"?","~?"),Q$3:Q10,1),0)=1,MAX(V$2:V9)+1,""),"")</f>
        <v/>
      </c>
      <c r="W10" s="25">
        <f>IF(V10="","",COUNTIFS($B$3:$B$1002,"="&amp;SUBSTITUTE(SUBSTITUTE(SUBSTITUTE(B10,"~","~~"),"*","~*"),"?","~?"),$Q$3:$Q$1002,1)*10000-V10)</f>
        <v/>
      </c>
      <c r="X10" s="25">
        <f>IF(Q10=1,IF(SUBSTITUTE(SUBSTITUTE(SUBSTITUTE(SUBSTITUTE(SUBSTITUTE(SUBSTITUTE(SUBSTITUTE(SUBSTITUTE(SUBSTITUTE(SUBSTITUTE(SUBSTITUTE(SUBSTITUTE(LOWER(TRIM(A10)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10)),"á","a"),"é","e"),"í","i"),"ó","o"),"ú","u"),"ü","u"),"ñ","n"),"à","a"),"è","e"),"ì","i"),"ò","o"),"ù","u")),"")</f>
        <v/>
      </c>
      <c r="Y10" s="25">
        <f>IF(X10="","",IF(IFERROR(COUNTIF(X$3:X10,"="&amp;SUBSTITUTE(SUBSTITUTE(SUBSTITUTE(X10,"~","~~"),"*","~*"),"?","~?")),0)=1,1,""))</f>
        <v/>
      </c>
      <c r="Z10" s="25">
        <f>IF(T10=1,MAX(Z$2:Z9)+1,"")</f>
        <v/>
      </c>
    </row>
    <row r="11">
      <c r="A11">
        <f>IF(A$2=0,"",IFERROR(TRIM(INDEX('Pegar calibracion'!$A$1:$BZ$1001,10,A$2)&amp;""),""))</f>
        <v/>
      </c>
      <c r="B11">
        <f>IF(B$2=0,"",IFERROR(TRIM(INDEX('Pegar calibracion'!$A$1:$BZ$1001,10,B$2)&amp;""),""))</f>
        <v/>
      </c>
      <c r="C11">
        <f>IF(C$2=0,"",IFERROR(TRIM(INDEX('Pegar calibracion'!$A$1:$BZ$1001,10,C$2)&amp;""),""))</f>
        <v/>
      </c>
      <c r="D11">
        <f>IF(D$2=0,"",IFERROR(TRIM(INDEX('Pegar calibracion'!$A$1:$BZ$1001,10,D$2)&amp;""),""))</f>
        <v/>
      </c>
      <c r="E11">
        <f>IF(E$2=0,"",IFERROR(TRIM(INDEX('Pegar calibracion'!$A$1:$BZ$1001,10,E$2)&amp;""),""))</f>
        <v/>
      </c>
      <c r="F11">
        <f>IF(F$2=0,"",IFERROR(TRIM(INDEX('Pegar calibracion'!$A$1:$BZ$1001,10,F$2)&amp;""),""))</f>
        <v/>
      </c>
      <c r="G11">
        <f>IF(G$2=0,"",IFERROR(TRIM(INDEX('Pegar calibracion'!$A$1:$BZ$1001,10,G$2)&amp;""),""))</f>
        <v/>
      </c>
      <c r="H11">
        <f>IF(H$2=0,"",IFERROR(TRIM(INDEX('Pegar calibracion'!$A$1:$BZ$1001,10,H$2)&amp;""),""))</f>
        <v/>
      </c>
      <c r="I11">
        <f>IF(I$2=0,"",IFERROR(TRIM(INDEX('Pegar calibracion'!$A$1:$BZ$1001,10,I$2)&amp;""),""))</f>
        <v/>
      </c>
      <c r="J11">
        <f>IF(J$2=0,"",IFERROR(TRIM(INDEX('Pegar calibracion'!$A$1:$BZ$1001,10,J$2)&amp;""),""))</f>
        <v/>
      </c>
      <c r="K11">
        <f>IF(K$2=0,"",IFERROR(TRIM(INDEX('Pegar calibracion'!$A$1:$BZ$1001,10,K$2)&amp;""),""))</f>
        <v/>
      </c>
      <c r="L11">
        <f>IF(L$2=0,"",IFERROR(TRIM(INDEX('Pegar calibracion'!$A$1:$BZ$1001,10,L$2)&amp;""),""))</f>
        <v/>
      </c>
      <c r="M11" s="25">
        <f>IF(D11="","",SUBSTITUTE(SUBSTITUTE(SUBSTITUTE(SUBSTITUTE(SUBSTITUTE(SUBSTITUTE(SUBSTITUTE(SUBSTITUTE(SUBSTITUTE(SUBSTITUTE(SUBSTITUTE(SUBSTITUTE(LOWER(TRIM(D11)),"á","a"),"é","e"),"í","i"),"ó","o"),"ú","u"),"ü","u"),"ñ","n"),"à","a"),"è","e"),"ì","i"),"ò","o"),"ù","u"))</f>
        <v/>
      </c>
      <c r="N11" s="25">
        <f>IF(F11="","",SUBSTITUTE(SUBSTITUTE(SUBSTITUTE(SUBSTITUTE(SUBSTITUTE(SUBSTITUTE(SUBSTITUTE(SUBSTITUTE(SUBSTITUTE(SUBSTITUTE(SUBSTITUTE(SUBSTITUTE(LOWER(TRIM(F11)),"á","a"),"é","e"),"í","i"),"ó","o"),"ú","u"),"ü","u"),"ñ","n"),"à","a"),"è","e"),"ì","i"),"ò","o"),"ù","u"))</f>
        <v/>
      </c>
      <c r="O11" s="25">
        <f>IF(M11="confiable",2,IF(M11="dudosa",1,IF(M11="no confiable",0,"")))</f>
        <v/>
      </c>
      <c r="P11" s="25">
        <f>IF(N11="confiable",2,IF(N11="dudosa",1,IF(N11="no confiable",0,"")))</f>
        <v/>
      </c>
      <c r="Q11" s="25">
        <f>IF(AND(ISNUMBER(O11),ISNUMBER(P11)),1,"")</f>
        <v/>
      </c>
      <c r="R11" s="25">
        <f>IF(Q11=1,IF(O11=P11,"Sí","No"),"")</f>
        <v/>
      </c>
      <c r="S11" s="25">
        <f>IF(Q11=1,IF(P11&lt;O11,"Más estricto",IF(P11&gt;O11,"Más permisivo","Igual")),"")</f>
        <v/>
      </c>
      <c r="T11" s="25">
        <f>IF(Q11=1,IF(ABS(O11-P11)=2,1,0),"")</f>
        <v/>
      </c>
      <c r="U11" s="25">
        <f>IF(H11="","","|"&amp;SUBSTITUTE(SUBSTITUTE(TRIM(H11)," |","|"),"| ","|")&amp;"|")</f>
        <v/>
      </c>
      <c r="V11" s="25">
        <f>IF(AND(Q11=1,B11&lt;&gt;""),IF(IFERROR(COUNTIFS(B$3:B11,"="&amp;SUBSTITUTE(SUBSTITUTE(SUBSTITUTE(B11,"~","~~"),"*","~*"),"?","~?"),Q$3:Q11,1),0)=1,MAX(V$2:V10)+1,""),"")</f>
        <v/>
      </c>
      <c r="W11" s="25">
        <f>IF(V11="","",COUNTIFS($B$3:$B$1002,"="&amp;SUBSTITUTE(SUBSTITUTE(SUBSTITUTE(B11,"~","~~"),"*","~*"),"?","~?"),$Q$3:$Q$1002,1)*10000-V11)</f>
        <v/>
      </c>
      <c r="X11" s="25">
        <f>IF(Q11=1,IF(SUBSTITUTE(SUBSTITUTE(SUBSTITUTE(SUBSTITUTE(SUBSTITUTE(SUBSTITUTE(SUBSTITUTE(SUBSTITUTE(SUBSTITUTE(SUBSTITUTE(SUBSTITUTE(SUBSTITUTE(LOWER(TRIM(A11)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11)),"á","a"),"é","e"),"í","i"),"ó","o"),"ú","u"),"ü","u"),"ñ","n"),"à","a"),"è","e"),"ì","i"),"ò","o"),"ù","u")),"")</f>
        <v/>
      </c>
      <c r="Y11" s="25">
        <f>IF(X11="","",IF(IFERROR(COUNTIF(X$3:X11,"="&amp;SUBSTITUTE(SUBSTITUTE(SUBSTITUTE(X11,"~","~~"),"*","~*"),"?","~?")),0)=1,1,""))</f>
        <v/>
      </c>
      <c r="Z11" s="25">
        <f>IF(T11=1,MAX(Z$2:Z10)+1,"")</f>
        <v/>
      </c>
    </row>
    <row r="12">
      <c r="A12">
        <f>IF(A$2=0,"",IFERROR(TRIM(INDEX('Pegar calibracion'!$A$1:$BZ$1001,11,A$2)&amp;""),""))</f>
        <v/>
      </c>
      <c r="B12">
        <f>IF(B$2=0,"",IFERROR(TRIM(INDEX('Pegar calibracion'!$A$1:$BZ$1001,11,B$2)&amp;""),""))</f>
        <v/>
      </c>
      <c r="C12">
        <f>IF(C$2=0,"",IFERROR(TRIM(INDEX('Pegar calibracion'!$A$1:$BZ$1001,11,C$2)&amp;""),""))</f>
        <v/>
      </c>
      <c r="D12">
        <f>IF(D$2=0,"",IFERROR(TRIM(INDEX('Pegar calibracion'!$A$1:$BZ$1001,11,D$2)&amp;""),""))</f>
        <v/>
      </c>
      <c r="E12">
        <f>IF(E$2=0,"",IFERROR(TRIM(INDEX('Pegar calibracion'!$A$1:$BZ$1001,11,E$2)&amp;""),""))</f>
        <v/>
      </c>
      <c r="F12">
        <f>IF(F$2=0,"",IFERROR(TRIM(INDEX('Pegar calibracion'!$A$1:$BZ$1001,11,F$2)&amp;""),""))</f>
        <v/>
      </c>
      <c r="G12">
        <f>IF(G$2=0,"",IFERROR(TRIM(INDEX('Pegar calibracion'!$A$1:$BZ$1001,11,G$2)&amp;""),""))</f>
        <v/>
      </c>
      <c r="H12">
        <f>IF(H$2=0,"",IFERROR(TRIM(INDEX('Pegar calibracion'!$A$1:$BZ$1001,11,H$2)&amp;""),""))</f>
        <v/>
      </c>
      <c r="I12">
        <f>IF(I$2=0,"",IFERROR(TRIM(INDEX('Pegar calibracion'!$A$1:$BZ$1001,11,I$2)&amp;""),""))</f>
        <v/>
      </c>
      <c r="J12">
        <f>IF(J$2=0,"",IFERROR(TRIM(INDEX('Pegar calibracion'!$A$1:$BZ$1001,11,J$2)&amp;""),""))</f>
        <v/>
      </c>
      <c r="K12">
        <f>IF(K$2=0,"",IFERROR(TRIM(INDEX('Pegar calibracion'!$A$1:$BZ$1001,11,K$2)&amp;""),""))</f>
        <v/>
      </c>
      <c r="L12">
        <f>IF(L$2=0,"",IFERROR(TRIM(INDEX('Pegar calibracion'!$A$1:$BZ$1001,11,L$2)&amp;""),""))</f>
        <v/>
      </c>
      <c r="M12" s="25">
        <f>IF(D12="","",SUBSTITUTE(SUBSTITUTE(SUBSTITUTE(SUBSTITUTE(SUBSTITUTE(SUBSTITUTE(SUBSTITUTE(SUBSTITUTE(SUBSTITUTE(SUBSTITUTE(SUBSTITUTE(SUBSTITUTE(LOWER(TRIM(D12)),"á","a"),"é","e"),"í","i"),"ó","o"),"ú","u"),"ü","u"),"ñ","n"),"à","a"),"è","e"),"ì","i"),"ò","o"),"ù","u"))</f>
        <v/>
      </c>
      <c r="N12" s="25">
        <f>IF(F12="","",SUBSTITUTE(SUBSTITUTE(SUBSTITUTE(SUBSTITUTE(SUBSTITUTE(SUBSTITUTE(SUBSTITUTE(SUBSTITUTE(SUBSTITUTE(SUBSTITUTE(SUBSTITUTE(SUBSTITUTE(LOWER(TRIM(F12)),"á","a"),"é","e"),"í","i"),"ó","o"),"ú","u"),"ü","u"),"ñ","n"),"à","a"),"è","e"),"ì","i"),"ò","o"),"ù","u"))</f>
        <v/>
      </c>
      <c r="O12" s="25">
        <f>IF(M12="confiable",2,IF(M12="dudosa",1,IF(M12="no confiable",0,"")))</f>
        <v/>
      </c>
      <c r="P12" s="25">
        <f>IF(N12="confiable",2,IF(N12="dudosa",1,IF(N12="no confiable",0,"")))</f>
        <v/>
      </c>
      <c r="Q12" s="25">
        <f>IF(AND(ISNUMBER(O12),ISNUMBER(P12)),1,"")</f>
        <v/>
      </c>
      <c r="R12" s="25">
        <f>IF(Q12=1,IF(O12=P12,"Sí","No"),"")</f>
        <v/>
      </c>
      <c r="S12" s="25">
        <f>IF(Q12=1,IF(P12&lt;O12,"Más estricto",IF(P12&gt;O12,"Más permisivo","Igual")),"")</f>
        <v/>
      </c>
      <c r="T12" s="25">
        <f>IF(Q12=1,IF(ABS(O12-P12)=2,1,0),"")</f>
        <v/>
      </c>
      <c r="U12" s="25">
        <f>IF(H12="","","|"&amp;SUBSTITUTE(SUBSTITUTE(TRIM(H12)," |","|"),"| ","|")&amp;"|")</f>
        <v/>
      </c>
      <c r="V12" s="25">
        <f>IF(AND(Q12=1,B12&lt;&gt;""),IF(IFERROR(COUNTIFS(B$3:B12,"="&amp;SUBSTITUTE(SUBSTITUTE(SUBSTITUTE(B12,"~","~~"),"*","~*"),"?","~?"),Q$3:Q12,1),0)=1,MAX(V$2:V11)+1,""),"")</f>
        <v/>
      </c>
      <c r="W12" s="25">
        <f>IF(V12="","",COUNTIFS($B$3:$B$1002,"="&amp;SUBSTITUTE(SUBSTITUTE(SUBSTITUTE(B12,"~","~~"),"*","~*"),"?","~?"),$Q$3:$Q$1002,1)*10000-V12)</f>
        <v/>
      </c>
      <c r="X12" s="25">
        <f>IF(Q12=1,IF(SUBSTITUTE(SUBSTITUTE(SUBSTITUTE(SUBSTITUTE(SUBSTITUTE(SUBSTITUTE(SUBSTITUTE(SUBSTITUTE(SUBSTITUTE(SUBSTITUTE(SUBSTITUTE(SUBSTITUTE(LOWER(TRIM(A12)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12)),"á","a"),"é","e"),"í","i"),"ó","o"),"ú","u"),"ü","u"),"ñ","n"),"à","a"),"è","e"),"ì","i"),"ò","o"),"ù","u")),"")</f>
        <v/>
      </c>
      <c r="Y12" s="25">
        <f>IF(X12="","",IF(IFERROR(COUNTIF(X$3:X12,"="&amp;SUBSTITUTE(SUBSTITUTE(SUBSTITUTE(X12,"~","~~"),"*","~*"),"?","~?")),0)=1,1,""))</f>
        <v/>
      </c>
      <c r="Z12" s="25">
        <f>IF(T12=1,MAX(Z$2:Z11)+1,"")</f>
        <v/>
      </c>
    </row>
    <row r="13">
      <c r="A13">
        <f>IF(A$2=0,"",IFERROR(TRIM(INDEX('Pegar calibracion'!$A$1:$BZ$1001,12,A$2)&amp;""),""))</f>
        <v/>
      </c>
      <c r="B13">
        <f>IF(B$2=0,"",IFERROR(TRIM(INDEX('Pegar calibracion'!$A$1:$BZ$1001,12,B$2)&amp;""),""))</f>
        <v/>
      </c>
      <c r="C13">
        <f>IF(C$2=0,"",IFERROR(TRIM(INDEX('Pegar calibracion'!$A$1:$BZ$1001,12,C$2)&amp;""),""))</f>
        <v/>
      </c>
      <c r="D13">
        <f>IF(D$2=0,"",IFERROR(TRIM(INDEX('Pegar calibracion'!$A$1:$BZ$1001,12,D$2)&amp;""),""))</f>
        <v/>
      </c>
      <c r="E13">
        <f>IF(E$2=0,"",IFERROR(TRIM(INDEX('Pegar calibracion'!$A$1:$BZ$1001,12,E$2)&amp;""),""))</f>
        <v/>
      </c>
      <c r="F13">
        <f>IF(F$2=0,"",IFERROR(TRIM(INDEX('Pegar calibracion'!$A$1:$BZ$1001,12,F$2)&amp;""),""))</f>
        <v/>
      </c>
      <c r="G13">
        <f>IF(G$2=0,"",IFERROR(TRIM(INDEX('Pegar calibracion'!$A$1:$BZ$1001,12,G$2)&amp;""),""))</f>
        <v/>
      </c>
      <c r="H13">
        <f>IF(H$2=0,"",IFERROR(TRIM(INDEX('Pegar calibracion'!$A$1:$BZ$1001,12,H$2)&amp;""),""))</f>
        <v/>
      </c>
      <c r="I13">
        <f>IF(I$2=0,"",IFERROR(TRIM(INDEX('Pegar calibracion'!$A$1:$BZ$1001,12,I$2)&amp;""),""))</f>
        <v/>
      </c>
      <c r="J13">
        <f>IF(J$2=0,"",IFERROR(TRIM(INDEX('Pegar calibracion'!$A$1:$BZ$1001,12,J$2)&amp;""),""))</f>
        <v/>
      </c>
      <c r="K13">
        <f>IF(K$2=0,"",IFERROR(TRIM(INDEX('Pegar calibracion'!$A$1:$BZ$1001,12,K$2)&amp;""),""))</f>
        <v/>
      </c>
      <c r="L13">
        <f>IF(L$2=0,"",IFERROR(TRIM(INDEX('Pegar calibracion'!$A$1:$BZ$1001,12,L$2)&amp;""),""))</f>
        <v/>
      </c>
      <c r="M13" s="25">
        <f>IF(D13="","",SUBSTITUTE(SUBSTITUTE(SUBSTITUTE(SUBSTITUTE(SUBSTITUTE(SUBSTITUTE(SUBSTITUTE(SUBSTITUTE(SUBSTITUTE(SUBSTITUTE(SUBSTITUTE(SUBSTITUTE(LOWER(TRIM(D13)),"á","a"),"é","e"),"í","i"),"ó","o"),"ú","u"),"ü","u"),"ñ","n"),"à","a"),"è","e"),"ì","i"),"ò","o"),"ù","u"))</f>
        <v/>
      </c>
      <c r="N13" s="25">
        <f>IF(F13="","",SUBSTITUTE(SUBSTITUTE(SUBSTITUTE(SUBSTITUTE(SUBSTITUTE(SUBSTITUTE(SUBSTITUTE(SUBSTITUTE(SUBSTITUTE(SUBSTITUTE(SUBSTITUTE(SUBSTITUTE(LOWER(TRIM(F13)),"á","a"),"é","e"),"í","i"),"ó","o"),"ú","u"),"ü","u"),"ñ","n"),"à","a"),"è","e"),"ì","i"),"ò","o"),"ù","u"))</f>
        <v/>
      </c>
      <c r="O13" s="25">
        <f>IF(M13="confiable",2,IF(M13="dudosa",1,IF(M13="no confiable",0,"")))</f>
        <v/>
      </c>
      <c r="P13" s="25">
        <f>IF(N13="confiable",2,IF(N13="dudosa",1,IF(N13="no confiable",0,"")))</f>
        <v/>
      </c>
      <c r="Q13" s="25">
        <f>IF(AND(ISNUMBER(O13),ISNUMBER(P13)),1,"")</f>
        <v/>
      </c>
      <c r="R13" s="25">
        <f>IF(Q13=1,IF(O13=P13,"Sí","No"),"")</f>
        <v/>
      </c>
      <c r="S13" s="25">
        <f>IF(Q13=1,IF(P13&lt;O13,"Más estricto",IF(P13&gt;O13,"Más permisivo","Igual")),"")</f>
        <v/>
      </c>
      <c r="T13" s="25">
        <f>IF(Q13=1,IF(ABS(O13-P13)=2,1,0),"")</f>
        <v/>
      </c>
      <c r="U13" s="25">
        <f>IF(H13="","","|"&amp;SUBSTITUTE(SUBSTITUTE(TRIM(H13)," |","|"),"| ","|")&amp;"|")</f>
        <v/>
      </c>
      <c r="V13" s="25">
        <f>IF(AND(Q13=1,B13&lt;&gt;""),IF(IFERROR(COUNTIFS(B$3:B13,"="&amp;SUBSTITUTE(SUBSTITUTE(SUBSTITUTE(B13,"~","~~"),"*","~*"),"?","~?"),Q$3:Q13,1),0)=1,MAX(V$2:V12)+1,""),"")</f>
        <v/>
      </c>
      <c r="W13" s="25">
        <f>IF(V13="","",COUNTIFS($B$3:$B$1002,"="&amp;SUBSTITUTE(SUBSTITUTE(SUBSTITUTE(B13,"~","~~"),"*","~*"),"?","~?"),$Q$3:$Q$1002,1)*10000-V13)</f>
        <v/>
      </c>
      <c r="X13" s="25">
        <f>IF(Q13=1,IF(SUBSTITUTE(SUBSTITUTE(SUBSTITUTE(SUBSTITUTE(SUBSTITUTE(SUBSTITUTE(SUBSTITUTE(SUBSTITUTE(SUBSTITUTE(SUBSTITUTE(SUBSTITUTE(SUBSTITUTE(LOWER(TRIM(A13)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13)),"á","a"),"é","e"),"í","i"),"ó","o"),"ú","u"),"ü","u"),"ñ","n"),"à","a"),"è","e"),"ì","i"),"ò","o"),"ù","u")),"")</f>
        <v/>
      </c>
      <c r="Y13" s="25">
        <f>IF(X13="","",IF(IFERROR(COUNTIF(X$3:X13,"="&amp;SUBSTITUTE(SUBSTITUTE(SUBSTITUTE(X13,"~","~~"),"*","~*"),"?","~?")),0)=1,1,""))</f>
        <v/>
      </c>
      <c r="Z13" s="25">
        <f>IF(T13=1,MAX(Z$2:Z12)+1,"")</f>
        <v/>
      </c>
    </row>
    <row r="14">
      <c r="A14">
        <f>IF(A$2=0,"",IFERROR(TRIM(INDEX('Pegar calibracion'!$A$1:$BZ$1001,13,A$2)&amp;""),""))</f>
        <v/>
      </c>
      <c r="B14">
        <f>IF(B$2=0,"",IFERROR(TRIM(INDEX('Pegar calibracion'!$A$1:$BZ$1001,13,B$2)&amp;""),""))</f>
        <v/>
      </c>
      <c r="C14">
        <f>IF(C$2=0,"",IFERROR(TRIM(INDEX('Pegar calibracion'!$A$1:$BZ$1001,13,C$2)&amp;""),""))</f>
        <v/>
      </c>
      <c r="D14">
        <f>IF(D$2=0,"",IFERROR(TRIM(INDEX('Pegar calibracion'!$A$1:$BZ$1001,13,D$2)&amp;""),""))</f>
        <v/>
      </c>
      <c r="E14">
        <f>IF(E$2=0,"",IFERROR(TRIM(INDEX('Pegar calibracion'!$A$1:$BZ$1001,13,E$2)&amp;""),""))</f>
        <v/>
      </c>
      <c r="F14">
        <f>IF(F$2=0,"",IFERROR(TRIM(INDEX('Pegar calibracion'!$A$1:$BZ$1001,13,F$2)&amp;""),""))</f>
        <v/>
      </c>
      <c r="G14">
        <f>IF(G$2=0,"",IFERROR(TRIM(INDEX('Pegar calibracion'!$A$1:$BZ$1001,13,G$2)&amp;""),""))</f>
        <v/>
      </c>
      <c r="H14">
        <f>IF(H$2=0,"",IFERROR(TRIM(INDEX('Pegar calibracion'!$A$1:$BZ$1001,13,H$2)&amp;""),""))</f>
        <v/>
      </c>
      <c r="I14">
        <f>IF(I$2=0,"",IFERROR(TRIM(INDEX('Pegar calibracion'!$A$1:$BZ$1001,13,I$2)&amp;""),""))</f>
        <v/>
      </c>
      <c r="J14">
        <f>IF(J$2=0,"",IFERROR(TRIM(INDEX('Pegar calibracion'!$A$1:$BZ$1001,13,J$2)&amp;""),""))</f>
        <v/>
      </c>
      <c r="K14">
        <f>IF(K$2=0,"",IFERROR(TRIM(INDEX('Pegar calibracion'!$A$1:$BZ$1001,13,K$2)&amp;""),""))</f>
        <v/>
      </c>
      <c r="L14">
        <f>IF(L$2=0,"",IFERROR(TRIM(INDEX('Pegar calibracion'!$A$1:$BZ$1001,13,L$2)&amp;""),""))</f>
        <v/>
      </c>
      <c r="M14" s="25">
        <f>IF(D14="","",SUBSTITUTE(SUBSTITUTE(SUBSTITUTE(SUBSTITUTE(SUBSTITUTE(SUBSTITUTE(SUBSTITUTE(SUBSTITUTE(SUBSTITUTE(SUBSTITUTE(SUBSTITUTE(SUBSTITUTE(LOWER(TRIM(D14)),"á","a"),"é","e"),"í","i"),"ó","o"),"ú","u"),"ü","u"),"ñ","n"),"à","a"),"è","e"),"ì","i"),"ò","o"),"ù","u"))</f>
        <v/>
      </c>
      <c r="N14" s="25">
        <f>IF(F14="","",SUBSTITUTE(SUBSTITUTE(SUBSTITUTE(SUBSTITUTE(SUBSTITUTE(SUBSTITUTE(SUBSTITUTE(SUBSTITUTE(SUBSTITUTE(SUBSTITUTE(SUBSTITUTE(SUBSTITUTE(LOWER(TRIM(F14)),"á","a"),"é","e"),"í","i"),"ó","o"),"ú","u"),"ü","u"),"ñ","n"),"à","a"),"è","e"),"ì","i"),"ò","o"),"ù","u"))</f>
        <v/>
      </c>
      <c r="O14" s="25">
        <f>IF(M14="confiable",2,IF(M14="dudosa",1,IF(M14="no confiable",0,"")))</f>
        <v/>
      </c>
      <c r="P14" s="25">
        <f>IF(N14="confiable",2,IF(N14="dudosa",1,IF(N14="no confiable",0,"")))</f>
        <v/>
      </c>
      <c r="Q14" s="25">
        <f>IF(AND(ISNUMBER(O14),ISNUMBER(P14)),1,"")</f>
        <v/>
      </c>
      <c r="R14" s="25">
        <f>IF(Q14=1,IF(O14=P14,"Sí","No"),"")</f>
        <v/>
      </c>
      <c r="S14" s="25">
        <f>IF(Q14=1,IF(P14&lt;O14,"Más estricto",IF(P14&gt;O14,"Más permisivo","Igual")),"")</f>
        <v/>
      </c>
      <c r="T14" s="25">
        <f>IF(Q14=1,IF(ABS(O14-P14)=2,1,0),"")</f>
        <v/>
      </c>
      <c r="U14" s="25">
        <f>IF(H14="","","|"&amp;SUBSTITUTE(SUBSTITUTE(TRIM(H14)," |","|"),"| ","|")&amp;"|")</f>
        <v/>
      </c>
      <c r="V14" s="25">
        <f>IF(AND(Q14=1,B14&lt;&gt;""),IF(IFERROR(COUNTIFS(B$3:B14,"="&amp;SUBSTITUTE(SUBSTITUTE(SUBSTITUTE(B14,"~","~~"),"*","~*"),"?","~?"),Q$3:Q14,1),0)=1,MAX(V$2:V13)+1,""),"")</f>
        <v/>
      </c>
      <c r="W14" s="25">
        <f>IF(V14="","",COUNTIFS($B$3:$B$1002,"="&amp;SUBSTITUTE(SUBSTITUTE(SUBSTITUTE(B14,"~","~~"),"*","~*"),"?","~?"),$Q$3:$Q$1002,1)*10000-V14)</f>
        <v/>
      </c>
      <c r="X14" s="25">
        <f>IF(Q14=1,IF(SUBSTITUTE(SUBSTITUTE(SUBSTITUTE(SUBSTITUTE(SUBSTITUTE(SUBSTITUTE(SUBSTITUTE(SUBSTITUTE(SUBSTITUTE(SUBSTITUTE(SUBSTITUTE(SUBSTITUTE(LOWER(TRIM(A14)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14)),"á","a"),"é","e"),"í","i"),"ó","o"),"ú","u"),"ü","u"),"ñ","n"),"à","a"),"è","e"),"ì","i"),"ò","o"),"ù","u")),"")</f>
        <v/>
      </c>
      <c r="Y14" s="25">
        <f>IF(X14="","",IF(IFERROR(COUNTIF(X$3:X14,"="&amp;SUBSTITUTE(SUBSTITUTE(SUBSTITUTE(X14,"~","~~"),"*","~*"),"?","~?")),0)=1,1,""))</f>
        <v/>
      </c>
      <c r="Z14" s="25">
        <f>IF(T14=1,MAX(Z$2:Z13)+1,"")</f>
        <v/>
      </c>
    </row>
    <row r="15">
      <c r="A15">
        <f>IF(A$2=0,"",IFERROR(TRIM(INDEX('Pegar calibracion'!$A$1:$BZ$1001,14,A$2)&amp;""),""))</f>
        <v/>
      </c>
      <c r="B15">
        <f>IF(B$2=0,"",IFERROR(TRIM(INDEX('Pegar calibracion'!$A$1:$BZ$1001,14,B$2)&amp;""),""))</f>
        <v/>
      </c>
      <c r="C15">
        <f>IF(C$2=0,"",IFERROR(TRIM(INDEX('Pegar calibracion'!$A$1:$BZ$1001,14,C$2)&amp;""),""))</f>
        <v/>
      </c>
      <c r="D15">
        <f>IF(D$2=0,"",IFERROR(TRIM(INDEX('Pegar calibracion'!$A$1:$BZ$1001,14,D$2)&amp;""),""))</f>
        <v/>
      </c>
      <c r="E15">
        <f>IF(E$2=0,"",IFERROR(TRIM(INDEX('Pegar calibracion'!$A$1:$BZ$1001,14,E$2)&amp;""),""))</f>
        <v/>
      </c>
      <c r="F15">
        <f>IF(F$2=0,"",IFERROR(TRIM(INDEX('Pegar calibracion'!$A$1:$BZ$1001,14,F$2)&amp;""),""))</f>
        <v/>
      </c>
      <c r="G15">
        <f>IF(G$2=0,"",IFERROR(TRIM(INDEX('Pegar calibracion'!$A$1:$BZ$1001,14,G$2)&amp;""),""))</f>
        <v/>
      </c>
      <c r="H15">
        <f>IF(H$2=0,"",IFERROR(TRIM(INDEX('Pegar calibracion'!$A$1:$BZ$1001,14,H$2)&amp;""),""))</f>
        <v/>
      </c>
      <c r="I15">
        <f>IF(I$2=0,"",IFERROR(TRIM(INDEX('Pegar calibracion'!$A$1:$BZ$1001,14,I$2)&amp;""),""))</f>
        <v/>
      </c>
      <c r="J15">
        <f>IF(J$2=0,"",IFERROR(TRIM(INDEX('Pegar calibracion'!$A$1:$BZ$1001,14,J$2)&amp;""),""))</f>
        <v/>
      </c>
      <c r="K15">
        <f>IF(K$2=0,"",IFERROR(TRIM(INDEX('Pegar calibracion'!$A$1:$BZ$1001,14,K$2)&amp;""),""))</f>
        <v/>
      </c>
      <c r="L15">
        <f>IF(L$2=0,"",IFERROR(TRIM(INDEX('Pegar calibracion'!$A$1:$BZ$1001,14,L$2)&amp;""),""))</f>
        <v/>
      </c>
      <c r="M15" s="25">
        <f>IF(D15="","",SUBSTITUTE(SUBSTITUTE(SUBSTITUTE(SUBSTITUTE(SUBSTITUTE(SUBSTITUTE(SUBSTITUTE(SUBSTITUTE(SUBSTITUTE(SUBSTITUTE(SUBSTITUTE(SUBSTITUTE(LOWER(TRIM(D15)),"á","a"),"é","e"),"í","i"),"ó","o"),"ú","u"),"ü","u"),"ñ","n"),"à","a"),"è","e"),"ì","i"),"ò","o"),"ù","u"))</f>
        <v/>
      </c>
      <c r="N15" s="25">
        <f>IF(F15="","",SUBSTITUTE(SUBSTITUTE(SUBSTITUTE(SUBSTITUTE(SUBSTITUTE(SUBSTITUTE(SUBSTITUTE(SUBSTITUTE(SUBSTITUTE(SUBSTITUTE(SUBSTITUTE(SUBSTITUTE(LOWER(TRIM(F15)),"á","a"),"é","e"),"í","i"),"ó","o"),"ú","u"),"ü","u"),"ñ","n"),"à","a"),"è","e"),"ì","i"),"ò","o"),"ù","u"))</f>
        <v/>
      </c>
      <c r="O15" s="25">
        <f>IF(M15="confiable",2,IF(M15="dudosa",1,IF(M15="no confiable",0,"")))</f>
        <v/>
      </c>
      <c r="P15" s="25">
        <f>IF(N15="confiable",2,IF(N15="dudosa",1,IF(N15="no confiable",0,"")))</f>
        <v/>
      </c>
      <c r="Q15" s="25">
        <f>IF(AND(ISNUMBER(O15),ISNUMBER(P15)),1,"")</f>
        <v/>
      </c>
      <c r="R15" s="25">
        <f>IF(Q15=1,IF(O15=P15,"Sí","No"),"")</f>
        <v/>
      </c>
      <c r="S15" s="25">
        <f>IF(Q15=1,IF(P15&lt;O15,"Más estricto",IF(P15&gt;O15,"Más permisivo","Igual")),"")</f>
        <v/>
      </c>
      <c r="T15" s="25">
        <f>IF(Q15=1,IF(ABS(O15-P15)=2,1,0),"")</f>
        <v/>
      </c>
      <c r="U15" s="25">
        <f>IF(H15="","","|"&amp;SUBSTITUTE(SUBSTITUTE(TRIM(H15)," |","|"),"| ","|")&amp;"|")</f>
        <v/>
      </c>
      <c r="V15" s="25">
        <f>IF(AND(Q15=1,B15&lt;&gt;""),IF(IFERROR(COUNTIFS(B$3:B15,"="&amp;SUBSTITUTE(SUBSTITUTE(SUBSTITUTE(B15,"~","~~"),"*","~*"),"?","~?"),Q$3:Q15,1),0)=1,MAX(V$2:V14)+1,""),"")</f>
        <v/>
      </c>
      <c r="W15" s="25">
        <f>IF(V15="","",COUNTIFS($B$3:$B$1002,"="&amp;SUBSTITUTE(SUBSTITUTE(SUBSTITUTE(B15,"~","~~"),"*","~*"),"?","~?"),$Q$3:$Q$1002,1)*10000-V15)</f>
        <v/>
      </c>
      <c r="X15" s="25">
        <f>IF(Q15=1,IF(SUBSTITUTE(SUBSTITUTE(SUBSTITUTE(SUBSTITUTE(SUBSTITUTE(SUBSTITUTE(SUBSTITUTE(SUBSTITUTE(SUBSTITUTE(SUBSTITUTE(SUBSTITUTE(SUBSTITUTE(LOWER(TRIM(A15)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15)),"á","a"),"é","e"),"í","i"),"ó","o"),"ú","u"),"ü","u"),"ñ","n"),"à","a"),"è","e"),"ì","i"),"ò","o"),"ù","u")),"")</f>
        <v/>
      </c>
      <c r="Y15" s="25">
        <f>IF(X15="","",IF(IFERROR(COUNTIF(X$3:X15,"="&amp;SUBSTITUTE(SUBSTITUTE(SUBSTITUTE(X15,"~","~~"),"*","~*"),"?","~?")),0)=1,1,""))</f>
        <v/>
      </c>
      <c r="Z15" s="25">
        <f>IF(T15=1,MAX(Z$2:Z14)+1,"")</f>
        <v/>
      </c>
    </row>
    <row r="16">
      <c r="A16">
        <f>IF(A$2=0,"",IFERROR(TRIM(INDEX('Pegar calibracion'!$A$1:$BZ$1001,15,A$2)&amp;""),""))</f>
        <v/>
      </c>
      <c r="B16">
        <f>IF(B$2=0,"",IFERROR(TRIM(INDEX('Pegar calibracion'!$A$1:$BZ$1001,15,B$2)&amp;""),""))</f>
        <v/>
      </c>
      <c r="C16">
        <f>IF(C$2=0,"",IFERROR(TRIM(INDEX('Pegar calibracion'!$A$1:$BZ$1001,15,C$2)&amp;""),""))</f>
        <v/>
      </c>
      <c r="D16">
        <f>IF(D$2=0,"",IFERROR(TRIM(INDEX('Pegar calibracion'!$A$1:$BZ$1001,15,D$2)&amp;""),""))</f>
        <v/>
      </c>
      <c r="E16">
        <f>IF(E$2=0,"",IFERROR(TRIM(INDEX('Pegar calibracion'!$A$1:$BZ$1001,15,E$2)&amp;""),""))</f>
        <v/>
      </c>
      <c r="F16">
        <f>IF(F$2=0,"",IFERROR(TRIM(INDEX('Pegar calibracion'!$A$1:$BZ$1001,15,F$2)&amp;""),""))</f>
        <v/>
      </c>
      <c r="G16">
        <f>IF(G$2=0,"",IFERROR(TRIM(INDEX('Pegar calibracion'!$A$1:$BZ$1001,15,G$2)&amp;""),""))</f>
        <v/>
      </c>
      <c r="H16">
        <f>IF(H$2=0,"",IFERROR(TRIM(INDEX('Pegar calibracion'!$A$1:$BZ$1001,15,H$2)&amp;""),""))</f>
        <v/>
      </c>
      <c r="I16">
        <f>IF(I$2=0,"",IFERROR(TRIM(INDEX('Pegar calibracion'!$A$1:$BZ$1001,15,I$2)&amp;""),""))</f>
        <v/>
      </c>
      <c r="J16">
        <f>IF(J$2=0,"",IFERROR(TRIM(INDEX('Pegar calibracion'!$A$1:$BZ$1001,15,J$2)&amp;""),""))</f>
        <v/>
      </c>
      <c r="K16">
        <f>IF(K$2=0,"",IFERROR(TRIM(INDEX('Pegar calibracion'!$A$1:$BZ$1001,15,K$2)&amp;""),""))</f>
        <v/>
      </c>
      <c r="L16">
        <f>IF(L$2=0,"",IFERROR(TRIM(INDEX('Pegar calibracion'!$A$1:$BZ$1001,15,L$2)&amp;""),""))</f>
        <v/>
      </c>
      <c r="M16" s="25">
        <f>IF(D16="","",SUBSTITUTE(SUBSTITUTE(SUBSTITUTE(SUBSTITUTE(SUBSTITUTE(SUBSTITUTE(SUBSTITUTE(SUBSTITUTE(SUBSTITUTE(SUBSTITUTE(SUBSTITUTE(SUBSTITUTE(LOWER(TRIM(D16)),"á","a"),"é","e"),"í","i"),"ó","o"),"ú","u"),"ü","u"),"ñ","n"),"à","a"),"è","e"),"ì","i"),"ò","o"),"ù","u"))</f>
        <v/>
      </c>
      <c r="N16" s="25">
        <f>IF(F16="","",SUBSTITUTE(SUBSTITUTE(SUBSTITUTE(SUBSTITUTE(SUBSTITUTE(SUBSTITUTE(SUBSTITUTE(SUBSTITUTE(SUBSTITUTE(SUBSTITUTE(SUBSTITUTE(SUBSTITUTE(LOWER(TRIM(F16)),"á","a"),"é","e"),"í","i"),"ó","o"),"ú","u"),"ü","u"),"ñ","n"),"à","a"),"è","e"),"ì","i"),"ò","o"),"ù","u"))</f>
        <v/>
      </c>
      <c r="O16" s="25">
        <f>IF(M16="confiable",2,IF(M16="dudosa",1,IF(M16="no confiable",0,"")))</f>
        <v/>
      </c>
      <c r="P16" s="25">
        <f>IF(N16="confiable",2,IF(N16="dudosa",1,IF(N16="no confiable",0,"")))</f>
        <v/>
      </c>
      <c r="Q16" s="25">
        <f>IF(AND(ISNUMBER(O16),ISNUMBER(P16)),1,"")</f>
        <v/>
      </c>
      <c r="R16" s="25">
        <f>IF(Q16=1,IF(O16=P16,"Sí","No"),"")</f>
        <v/>
      </c>
      <c r="S16" s="25">
        <f>IF(Q16=1,IF(P16&lt;O16,"Más estricto",IF(P16&gt;O16,"Más permisivo","Igual")),"")</f>
        <v/>
      </c>
      <c r="T16" s="25">
        <f>IF(Q16=1,IF(ABS(O16-P16)=2,1,0),"")</f>
        <v/>
      </c>
      <c r="U16" s="25">
        <f>IF(H16="","","|"&amp;SUBSTITUTE(SUBSTITUTE(TRIM(H16)," |","|"),"| ","|")&amp;"|")</f>
        <v/>
      </c>
      <c r="V16" s="25">
        <f>IF(AND(Q16=1,B16&lt;&gt;""),IF(IFERROR(COUNTIFS(B$3:B16,"="&amp;SUBSTITUTE(SUBSTITUTE(SUBSTITUTE(B16,"~","~~"),"*","~*"),"?","~?"),Q$3:Q16,1),0)=1,MAX(V$2:V15)+1,""),"")</f>
        <v/>
      </c>
      <c r="W16" s="25">
        <f>IF(V16="","",COUNTIFS($B$3:$B$1002,"="&amp;SUBSTITUTE(SUBSTITUTE(SUBSTITUTE(B16,"~","~~"),"*","~*"),"?","~?"),$Q$3:$Q$1002,1)*10000-V16)</f>
        <v/>
      </c>
      <c r="X16" s="25">
        <f>IF(Q16=1,IF(SUBSTITUTE(SUBSTITUTE(SUBSTITUTE(SUBSTITUTE(SUBSTITUTE(SUBSTITUTE(SUBSTITUTE(SUBSTITUTE(SUBSTITUTE(SUBSTITUTE(SUBSTITUTE(SUBSTITUTE(LOWER(TRIM(A16)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16)),"á","a"),"é","e"),"í","i"),"ó","o"),"ú","u"),"ü","u"),"ñ","n"),"à","a"),"è","e"),"ì","i"),"ò","o"),"ù","u")),"")</f>
        <v/>
      </c>
      <c r="Y16" s="25">
        <f>IF(X16="","",IF(IFERROR(COUNTIF(X$3:X16,"="&amp;SUBSTITUTE(SUBSTITUTE(SUBSTITUTE(X16,"~","~~"),"*","~*"),"?","~?")),0)=1,1,""))</f>
        <v/>
      </c>
      <c r="Z16" s="25">
        <f>IF(T16=1,MAX(Z$2:Z15)+1,"")</f>
        <v/>
      </c>
    </row>
    <row r="17">
      <c r="A17">
        <f>IF(A$2=0,"",IFERROR(TRIM(INDEX('Pegar calibracion'!$A$1:$BZ$1001,16,A$2)&amp;""),""))</f>
        <v/>
      </c>
      <c r="B17">
        <f>IF(B$2=0,"",IFERROR(TRIM(INDEX('Pegar calibracion'!$A$1:$BZ$1001,16,B$2)&amp;""),""))</f>
        <v/>
      </c>
      <c r="C17">
        <f>IF(C$2=0,"",IFERROR(TRIM(INDEX('Pegar calibracion'!$A$1:$BZ$1001,16,C$2)&amp;""),""))</f>
        <v/>
      </c>
      <c r="D17">
        <f>IF(D$2=0,"",IFERROR(TRIM(INDEX('Pegar calibracion'!$A$1:$BZ$1001,16,D$2)&amp;""),""))</f>
        <v/>
      </c>
      <c r="E17">
        <f>IF(E$2=0,"",IFERROR(TRIM(INDEX('Pegar calibracion'!$A$1:$BZ$1001,16,E$2)&amp;""),""))</f>
        <v/>
      </c>
      <c r="F17">
        <f>IF(F$2=0,"",IFERROR(TRIM(INDEX('Pegar calibracion'!$A$1:$BZ$1001,16,F$2)&amp;""),""))</f>
        <v/>
      </c>
      <c r="G17">
        <f>IF(G$2=0,"",IFERROR(TRIM(INDEX('Pegar calibracion'!$A$1:$BZ$1001,16,G$2)&amp;""),""))</f>
        <v/>
      </c>
      <c r="H17">
        <f>IF(H$2=0,"",IFERROR(TRIM(INDEX('Pegar calibracion'!$A$1:$BZ$1001,16,H$2)&amp;""),""))</f>
        <v/>
      </c>
      <c r="I17">
        <f>IF(I$2=0,"",IFERROR(TRIM(INDEX('Pegar calibracion'!$A$1:$BZ$1001,16,I$2)&amp;""),""))</f>
        <v/>
      </c>
      <c r="J17">
        <f>IF(J$2=0,"",IFERROR(TRIM(INDEX('Pegar calibracion'!$A$1:$BZ$1001,16,J$2)&amp;""),""))</f>
        <v/>
      </c>
      <c r="K17">
        <f>IF(K$2=0,"",IFERROR(TRIM(INDEX('Pegar calibracion'!$A$1:$BZ$1001,16,K$2)&amp;""),""))</f>
        <v/>
      </c>
      <c r="L17">
        <f>IF(L$2=0,"",IFERROR(TRIM(INDEX('Pegar calibracion'!$A$1:$BZ$1001,16,L$2)&amp;""),""))</f>
        <v/>
      </c>
      <c r="M17" s="25">
        <f>IF(D17="","",SUBSTITUTE(SUBSTITUTE(SUBSTITUTE(SUBSTITUTE(SUBSTITUTE(SUBSTITUTE(SUBSTITUTE(SUBSTITUTE(SUBSTITUTE(SUBSTITUTE(SUBSTITUTE(SUBSTITUTE(LOWER(TRIM(D17)),"á","a"),"é","e"),"í","i"),"ó","o"),"ú","u"),"ü","u"),"ñ","n"),"à","a"),"è","e"),"ì","i"),"ò","o"),"ù","u"))</f>
        <v/>
      </c>
      <c r="N17" s="25">
        <f>IF(F17="","",SUBSTITUTE(SUBSTITUTE(SUBSTITUTE(SUBSTITUTE(SUBSTITUTE(SUBSTITUTE(SUBSTITUTE(SUBSTITUTE(SUBSTITUTE(SUBSTITUTE(SUBSTITUTE(SUBSTITUTE(LOWER(TRIM(F17)),"á","a"),"é","e"),"í","i"),"ó","o"),"ú","u"),"ü","u"),"ñ","n"),"à","a"),"è","e"),"ì","i"),"ò","o"),"ù","u"))</f>
        <v/>
      </c>
      <c r="O17" s="25">
        <f>IF(M17="confiable",2,IF(M17="dudosa",1,IF(M17="no confiable",0,"")))</f>
        <v/>
      </c>
      <c r="P17" s="25">
        <f>IF(N17="confiable",2,IF(N17="dudosa",1,IF(N17="no confiable",0,"")))</f>
        <v/>
      </c>
      <c r="Q17" s="25">
        <f>IF(AND(ISNUMBER(O17),ISNUMBER(P17)),1,"")</f>
        <v/>
      </c>
      <c r="R17" s="25">
        <f>IF(Q17=1,IF(O17=P17,"Sí","No"),"")</f>
        <v/>
      </c>
      <c r="S17" s="25">
        <f>IF(Q17=1,IF(P17&lt;O17,"Más estricto",IF(P17&gt;O17,"Más permisivo","Igual")),"")</f>
        <v/>
      </c>
      <c r="T17" s="25">
        <f>IF(Q17=1,IF(ABS(O17-P17)=2,1,0),"")</f>
        <v/>
      </c>
      <c r="U17" s="25">
        <f>IF(H17="","","|"&amp;SUBSTITUTE(SUBSTITUTE(TRIM(H17)," |","|"),"| ","|")&amp;"|")</f>
        <v/>
      </c>
      <c r="V17" s="25">
        <f>IF(AND(Q17=1,B17&lt;&gt;""),IF(IFERROR(COUNTIFS(B$3:B17,"="&amp;SUBSTITUTE(SUBSTITUTE(SUBSTITUTE(B17,"~","~~"),"*","~*"),"?","~?"),Q$3:Q17,1),0)=1,MAX(V$2:V16)+1,""),"")</f>
        <v/>
      </c>
      <c r="W17" s="25">
        <f>IF(V17="","",COUNTIFS($B$3:$B$1002,"="&amp;SUBSTITUTE(SUBSTITUTE(SUBSTITUTE(B17,"~","~~"),"*","~*"),"?","~?"),$Q$3:$Q$1002,1)*10000-V17)</f>
        <v/>
      </c>
      <c r="X17" s="25">
        <f>IF(Q17=1,IF(SUBSTITUTE(SUBSTITUTE(SUBSTITUTE(SUBSTITUTE(SUBSTITUTE(SUBSTITUTE(SUBSTITUTE(SUBSTITUTE(SUBSTITUTE(SUBSTITUTE(SUBSTITUTE(SUBSTITUTE(LOWER(TRIM(A17)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17)),"á","a"),"é","e"),"í","i"),"ó","o"),"ú","u"),"ü","u"),"ñ","n"),"à","a"),"è","e"),"ì","i"),"ò","o"),"ù","u")),"")</f>
        <v/>
      </c>
      <c r="Y17" s="25">
        <f>IF(X17="","",IF(IFERROR(COUNTIF(X$3:X17,"="&amp;SUBSTITUTE(SUBSTITUTE(SUBSTITUTE(X17,"~","~~"),"*","~*"),"?","~?")),0)=1,1,""))</f>
        <v/>
      </c>
      <c r="Z17" s="25">
        <f>IF(T17=1,MAX(Z$2:Z16)+1,"")</f>
        <v/>
      </c>
    </row>
    <row r="18">
      <c r="A18">
        <f>IF(A$2=0,"",IFERROR(TRIM(INDEX('Pegar calibracion'!$A$1:$BZ$1001,17,A$2)&amp;""),""))</f>
        <v/>
      </c>
      <c r="B18">
        <f>IF(B$2=0,"",IFERROR(TRIM(INDEX('Pegar calibracion'!$A$1:$BZ$1001,17,B$2)&amp;""),""))</f>
        <v/>
      </c>
      <c r="C18">
        <f>IF(C$2=0,"",IFERROR(TRIM(INDEX('Pegar calibracion'!$A$1:$BZ$1001,17,C$2)&amp;""),""))</f>
        <v/>
      </c>
      <c r="D18">
        <f>IF(D$2=0,"",IFERROR(TRIM(INDEX('Pegar calibracion'!$A$1:$BZ$1001,17,D$2)&amp;""),""))</f>
        <v/>
      </c>
      <c r="E18">
        <f>IF(E$2=0,"",IFERROR(TRIM(INDEX('Pegar calibracion'!$A$1:$BZ$1001,17,E$2)&amp;""),""))</f>
        <v/>
      </c>
      <c r="F18">
        <f>IF(F$2=0,"",IFERROR(TRIM(INDEX('Pegar calibracion'!$A$1:$BZ$1001,17,F$2)&amp;""),""))</f>
        <v/>
      </c>
      <c r="G18">
        <f>IF(G$2=0,"",IFERROR(TRIM(INDEX('Pegar calibracion'!$A$1:$BZ$1001,17,G$2)&amp;""),""))</f>
        <v/>
      </c>
      <c r="H18">
        <f>IF(H$2=0,"",IFERROR(TRIM(INDEX('Pegar calibracion'!$A$1:$BZ$1001,17,H$2)&amp;""),""))</f>
        <v/>
      </c>
      <c r="I18">
        <f>IF(I$2=0,"",IFERROR(TRIM(INDEX('Pegar calibracion'!$A$1:$BZ$1001,17,I$2)&amp;""),""))</f>
        <v/>
      </c>
      <c r="J18">
        <f>IF(J$2=0,"",IFERROR(TRIM(INDEX('Pegar calibracion'!$A$1:$BZ$1001,17,J$2)&amp;""),""))</f>
        <v/>
      </c>
      <c r="K18">
        <f>IF(K$2=0,"",IFERROR(TRIM(INDEX('Pegar calibracion'!$A$1:$BZ$1001,17,K$2)&amp;""),""))</f>
        <v/>
      </c>
      <c r="L18">
        <f>IF(L$2=0,"",IFERROR(TRIM(INDEX('Pegar calibracion'!$A$1:$BZ$1001,17,L$2)&amp;""),""))</f>
        <v/>
      </c>
      <c r="M18" s="25">
        <f>IF(D18="","",SUBSTITUTE(SUBSTITUTE(SUBSTITUTE(SUBSTITUTE(SUBSTITUTE(SUBSTITUTE(SUBSTITUTE(SUBSTITUTE(SUBSTITUTE(SUBSTITUTE(SUBSTITUTE(SUBSTITUTE(LOWER(TRIM(D18)),"á","a"),"é","e"),"í","i"),"ó","o"),"ú","u"),"ü","u"),"ñ","n"),"à","a"),"è","e"),"ì","i"),"ò","o"),"ù","u"))</f>
        <v/>
      </c>
      <c r="N18" s="25">
        <f>IF(F18="","",SUBSTITUTE(SUBSTITUTE(SUBSTITUTE(SUBSTITUTE(SUBSTITUTE(SUBSTITUTE(SUBSTITUTE(SUBSTITUTE(SUBSTITUTE(SUBSTITUTE(SUBSTITUTE(SUBSTITUTE(LOWER(TRIM(F18)),"á","a"),"é","e"),"í","i"),"ó","o"),"ú","u"),"ü","u"),"ñ","n"),"à","a"),"è","e"),"ì","i"),"ò","o"),"ù","u"))</f>
        <v/>
      </c>
      <c r="O18" s="25">
        <f>IF(M18="confiable",2,IF(M18="dudosa",1,IF(M18="no confiable",0,"")))</f>
        <v/>
      </c>
      <c r="P18" s="25">
        <f>IF(N18="confiable",2,IF(N18="dudosa",1,IF(N18="no confiable",0,"")))</f>
        <v/>
      </c>
      <c r="Q18" s="25">
        <f>IF(AND(ISNUMBER(O18),ISNUMBER(P18)),1,"")</f>
        <v/>
      </c>
      <c r="R18" s="25">
        <f>IF(Q18=1,IF(O18=P18,"Sí","No"),"")</f>
        <v/>
      </c>
      <c r="S18" s="25">
        <f>IF(Q18=1,IF(P18&lt;O18,"Más estricto",IF(P18&gt;O18,"Más permisivo","Igual")),"")</f>
        <v/>
      </c>
      <c r="T18" s="25">
        <f>IF(Q18=1,IF(ABS(O18-P18)=2,1,0),"")</f>
        <v/>
      </c>
      <c r="U18" s="25">
        <f>IF(H18="","","|"&amp;SUBSTITUTE(SUBSTITUTE(TRIM(H18)," |","|"),"| ","|")&amp;"|")</f>
        <v/>
      </c>
      <c r="V18" s="25">
        <f>IF(AND(Q18=1,B18&lt;&gt;""),IF(IFERROR(COUNTIFS(B$3:B18,"="&amp;SUBSTITUTE(SUBSTITUTE(SUBSTITUTE(B18,"~","~~"),"*","~*"),"?","~?"),Q$3:Q18,1),0)=1,MAX(V$2:V17)+1,""),"")</f>
        <v/>
      </c>
      <c r="W18" s="25">
        <f>IF(V18="","",COUNTIFS($B$3:$B$1002,"="&amp;SUBSTITUTE(SUBSTITUTE(SUBSTITUTE(B18,"~","~~"),"*","~*"),"?","~?"),$Q$3:$Q$1002,1)*10000-V18)</f>
        <v/>
      </c>
      <c r="X18" s="25">
        <f>IF(Q18=1,IF(SUBSTITUTE(SUBSTITUTE(SUBSTITUTE(SUBSTITUTE(SUBSTITUTE(SUBSTITUTE(SUBSTITUTE(SUBSTITUTE(SUBSTITUTE(SUBSTITUTE(SUBSTITUTE(SUBSTITUTE(LOWER(TRIM(A18)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18)),"á","a"),"é","e"),"í","i"),"ó","o"),"ú","u"),"ü","u"),"ñ","n"),"à","a"),"è","e"),"ì","i"),"ò","o"),"ù","u")),"")</f>
        <v/>
      </c>
      <c r="Y18" s="25">
        <f>IF(X18="","",IF(IFERROR(COUNTIF(X$3:X18,"="&amp;SUBSTITUTE(SUBSTITUTE(SUBSTITUTE(X18,"~","~~"),"*","~*"),"?","~?")),0)=1,1,""))</f>
        <v/>
      </c>
      <c r="Z18" s="25">
        <f>IF(T18=1,MAX(Z$2:Z17)+1,"")</f>
        <v/>
      </c>
    </row>
    <row r="19">
      <c r="A19">
        <f>IF(A$2=0,"",IFERROR(TRIM(INDEX('Pegar calibracion'!$A$1:$BZ$1001,18,A$2)&amp;""),""))</f>
        <v/>
      </c>
      <c r="B19">
        <f>IF(B$2=0,"",IFERROR(TRIM(INDEX('Pegar calibracion'!$A$1:$BZ$1001,18,B$2)&amp;""),""))</f>
        <v/>
      </c>
      <c r="C19">
        <f>IF(C$2=0,"",IFERROR(TRIM(INDEX('Pegar calibracion'!$A$1:$BZ$1001,18,C$2)&amp;""),""))</f>
        <v/>
      </c>
      <c r="D19">
        <f>IF(D$2=0,"",IFERROR(TRIM(INDEX('Pegar calibracion'!$A$1:$BZ$1001,18,D$2)&amp;""),""))</f>
        <v/>
      </c>
      <c r="E19">
        <f>IF(E$2=0,"",IFERROR(TRIM(INDEX('Pegar calibracion'!$A$1:$BZ$1001,18,E$2)&amp;""),""))</f>
        <v/>
      </c>
      <c r="F19">
        <f>IF(F$2=0,"",IFERROR(TRIM(INDEX('Pegar calibracion'!$A$1:$BZ$1001,18,F$2)&amp;""),""))</f>
        <v/>
      </c>
      <c r="G19">
        <f>IF(G$2=0,"",IFERROR(TRIM(INDEX('Pegar calibracion'!$A$1:$BZ$1001,18,G$2)&amp;""),""))</f>
        <v/>
      </c>
      <c r="H19">
        <f>IF(H$2=0,"",IFERROR(TRIM(INDEX('Pegar calibracion'!$A$1:$BZ$1001,18,H$2)&amp;""),""))</f>
        <v/>
      </c>
      <c r="I19">
        <f>IF(I$2=0,"",IFERROR(TRIM(INDEX('Pegar calibracion'!$A$1:$BZ$1001,18,I$2)&amp;""),""))</f>
        <v/>
      </c>
      <c r="J19">
        <f>IF(J$2=0,"",IFERROR(TRIM(INDEX('Pegar calibracion'!$A$1:$BZ$1001,18,J$2)&amp;""),""))</f>
        <v/>
      </c>
      <c r="K19">
        <f>IF(K$2=0,"",IFERROR(TRIM(INDEX('Pegar calibracion'!$A$1:$BZ$1001,18,K$2)&amp;""),""))</f>
        <v/>
      </c>
      <c r="L19">
        <f>IF(L$2=0,"",IFERROR(TRIM(INDEX('Pegar calibracion'!$A$1:$BZ$1001,18,L$2)&amp;""),""))</f>
        <v/>
      </c>
      <c r="M19" s="25">
        <f>IF(D19="","",SUBSTITUTE(SUBSTITUTE(SUBSTITUTE(SUBSTITUTE(SUBSTITUTE(SUBSTITUTE(SUBSTITUTE(SUBSTITUTE(SUBSTITUTE(SUBSTITUTE(SUBSTITUTE(SUBSTITUTE(LOWER(TRIM(D19)),"á","a"),"é","e"),"í","i"),"ó","o"),"ú","u"),"ü","u"),"ñ","n"),"à","a"),"è","e"),"ì","i"),"ò","o"),"ù","u"))</f>
        <v/>
      </c>
      <c r="N19" s="25">
        <f>IF(F19="","",SUBSTITUTE(SUBSTITUTE(SUBSTITUTE(SUBSTITUTE(SUBSTITUTE(SUBSTITUTE(SUBSTITUTE(SUBSTITUTE(SUBSTITUTE(SUBSTITUTE(SUBSTITUTE(SUBSTITUTE(LOWER(TRIM(F19)),"á","a"),"é","e"),"í","i"),"ó","o"),"ú","u"),"ü","u"),"ñ","n"),"à","a"),"è","e"),"ì","i"),"ò","o"),"ù","u"))</f>
        <v/>
      </c>
      <c r="O19" s="25">
        <f>IF(M19="confiable",2,IF(M19="dudosa",1,IF(M19="no confiable",0,"")))</f>
        <v/>
      </c>
      <c r="P19" s="25">
        <f>IF(N19="confiable",2,IF(N19="dudosa",1,IF(N19="no confiable",0,"")))</f>
        <v/>
      </c>
      <c r="Q19" s="25">
        <f>IF(AND(ISNUMBER(O19),ISNUMBER(P19)),1,"")</f>
        <v/>
      </c>
      <c r="R19" s="25">
        <f>IF(Q19=1,IF(O19=P19,"Sí","No"),"")</f>
        <v/>
      </c>
      <c r="S19" s="25">
        <f>IF(Q19=1,IF(P19&lt;O19,"Más estricto",IF(P19&gt;O19,"Más permisivo","Igual")),"")</f>
        <v/>
      </c>
      <c r="T19" s="25">
        <f>IF(Q19=1,IF(ABS(O19-P19)=2,1,0),"")</f>
        <v/>
      </c>
      <c r="U19" s="25">
        <f>IF(H19="","","|"&amp;SUBSTITUTE(SUBSTITUTE(TRIM(H19)," |","|"),"| ","|")&amp;"|")</f>
        <v/>
      </c>
      <c r="V19" s="25">
        <f>IF(AND(Q19=1,B19&lt;&gt;""),IF(IFERROR(COUNTIFS(B$3:B19,"="&amp;SUBSTITUTE(SUBSTITUTE(SUBSTITUTE(B19,"~","~~"),"*","~*"),"?","~?"),Q$3:Q19,1),0)=1,MAX(V$2:V18)+1,""),"")</f>
        <v/>
      </c>
      <c r="W19" s="25">
        <f>IF(V19="","",COUNTIFS($B$3:$B$1002,"="&amp;SUBSTITUTE(SUBSTITUTE(SUBSTITUTE(B19,"~","~~"),"*","~*"),"?","~?"),$Q$3:$Q$1002,1)*10000-V19)</f>
        <v/>
      </c>
      <c r="X19" s="25">
        <f>IF(Q19=1,IF(SUBSTITUTE(SUBSTITUTE(SUBSTITUTE(SUBSTITUTE(SUBSTITUTE(SUBSTITUTE(SUBSTITUTE(SUBSTITUTE(SUBSTITUTE(SUBSTITUTE(SUBSTITUTE(SUBSTITUTE(LOWER(TRIM(A19)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19)),"á","a"),"é","e"),"í","i"),"ó","o"),"ú","u"),"ü","u"),"ñ","n"),"à","a"),"è","e"),"ì","i"),"ò","o"),"ù","u")),"")</f>
        <v/>
      </c>
      <c r="Y19" s="25">
        <f>IF(X19="","",IF(IFERROR(COUNTIF(X$3:X19,"="&amp;SUBSTITUTE(SUBSTITUTE(SUBSTITUTE(X19,"~","~~"),"*","~*"),"?","~?")),0)=1,1,""))</f>
        <v/>
      </c>
      <c r="Z19" s="25">
        <f>IF(T19=1,MAX(Z$2:Z18)+1,"")</f>
        <v/>
      </c>
    </row>
    <row r="20">
      <c r="A20">
        <f>IF(A$2=0,"",IFERROR(TRIM(INDEX('Pegar calibracion'!$A$1:$BZ$1001,19,A$2)&amp;""),""))</f>
        <v/>
      </c>
      <c r="B20">
        <f>IF(B$2=0,"",IFERROR(TRIM(INDEX('Pegar calibracion'!$A$1:$BZ$1001,19,B$2)&amp;""),""))</f>
        <v/>
      </c>
      <c r="C20">
        <f>IF(C$2=0,"",IFERROR(TRIM(INDEX('Pegar calibracion'!$A$1:$BZ$1001,19,C$2)&amp;""),""))</f>
        <v/>
      </c>
      <c r="D20">
        <f>IF(D$2=0,"",IFERROR(TRIM(INDEX('Pegar calibracion'!$A$1:$BZ$1001,19,D$2)&amp;""),""))</f>
        <v/>
      </c>
      <c r="E20">
        <f>IF(E$2=0,"",IFERROR(TRIM(INDEX('Pegar calibracion'!$A$1:$BZ$1001,19,E$2)&amp;""),""))</f>
        <v/>
      </c>
      <c r="F20">
        <f>IF(F$2=0,"",IFERROR(TRIM(INDEX('Pegar calibracion'!$A$1:$BZ$1001,19,F$2)&amp;""),""))</f>
        <v/>
      </c>
      <c r="G20">
        <f>IF(G$2=0,"",IFERROR(TRIM(INDEX('Pegar calibracion'!$A$1:$BZ$1001,19,G$2)&amp;""),""))</f>
        <v/>
      </c>
      <c r="H20">
        <f>IF(H$2=0,"",IFERROR(TRIM(INDEX('Pegar calibracion'!$A$1:$BZ$1001,19,H$2)&amp;""),""))</f>
        <v/>
      </c>
      <c r="I20">
        <f>IF(I$2=0,"",IFERROR(TRIM(INDEX('Pegar calibracion'!$A$1:$BZ$1001,19,I$2)&amp;""),""))</f>
        <v/>
      </c>
      <c r="J20">
        <f>IF(J$2=0,"",IFERROR(TRIM(INDEX('Pegar calibracion'!$A$1:$BZ$1001,19,J$2)&amp;""),""))</f>
        <v/>
      </c>
      <c r="K20">
        <f>IF(K$2=0,"",IFERROR(TRIM(INDEX('Pegar calibracion'!$A$1:$BZ$1001,19,K$2)&amp;""),""))</f>
        <v/>
      </c>
      <c r="L20">
        <f>IF(L$2=0,"",IFERROR(TRIM(INDEX('Pegar calibracion'!$A$1:$BZ$1001,19,L$2)&amp;""),""))</f>
        <v/>
      </c>
      <c r="M20" s="25">
        <f>IF(D20="","",SUBSTITUTE(SUBSTITUTE(SUBSTITUTE(SUBSTITUTE(SUBSTITUTE(SUBSTITUTE(SUBSTITUTE(SUBSTITUTE(SUBSTITUTE(SUBSTITUTE(SUBSTITUTE(SUBSTITUTE(LOWER(TRIM(D20)),"á","a"),"é","e"),"í","i"),"ó","o"),"ú","u"),"ü","u"),"ñ","n"),"à","a"),"è","e"),"ì","i"),"ò","o"),"ù","u"))</f>
        <v/>
      </c>
      <c r="N20" s="25">
        <f>IF(F20="","",SUBSTITUTE(SUBSTITUTE(SUBSTITUTE(SUBSTITUTE(SUBSTITUTE(SUBSTITUTE(SUBSTITUTE(SUBSTITUTE(SUBSTITUTE(SUBSTITUTE(SUBSTITUTE(SUBSTITUTE(LOWER(TRIM(F20)),"á","a"),"é","e"),"í","i"),"ó","o"),"ú","u"),"ü","u"),"ñ","n"),"à","a"),"è","e"),"ì","i"),"ò","o"),"ù","u"))</f>
        <v/>
      </c>
      <c r="O20" s="25">
        <f>IF(M20="confiable",2,IF(M20="dudosa",1,IF(M20="no confiable",0,"")))</f>
        <v/>
      </c>
      <c r="P20" s="25">
        <f>IF(N20="confiable",2,IF(N20="dudosa",1,IF(N20="no confiable",0,"")))</f>
        <v/>
      </c>
      <c r="Q20" s="25">
        <f>IF(AND(ISNUMBER(O20),ISNUMBER(P20)),1,"")</f>
        <v/>
      </c>
      <c r="R20" s="25">
        <f>IF(Q20=1,IF(O20=P20,"Sí","No"),"")</f>
        <v/>
      </c>
      <c r="S20" s="25">
        <f>IF(Q20=1,IF(P20&lt;O20,"Más estricto",IF(P20&gt;O20,"Más permisivo","Igual")),"")</f>
        <v/>
      </c>
      <c r="T20" s="25">
        <f>IF(Q20=1,IF(ABS(O20-P20)=2,1,0),"")</f>
        <v/>
      </c>
      <c r="U20" s="25">
        <f>IF(H20="","","|"&amp;SUBSTITUTE(SUBSTITUTE(TRIM(H20)," |","|"),"| ","|")&amp;"|")</f>
        <v/>
      </c>
      <c r="V20" s="25">
        <f>IF(AND(Q20=1,B20&lt;&gt;""),IF(IFERROR(COUNTIFS(B$3:B20,"="&amp;SUBSTITUTE(SUBSTITUTE(SUBSTITUTE(B20,"~","~~"),"*","~*"),"?","~?"),Q$3:Q20,1),0)=1,MAX(V$2:V19)+1,""),"")</f>
        <v/>
      </c>
      <c r="W20" s="25">
        <f>IF(V20="","",COUNTIFS($B$3:$B$1002,"="&amp;SUBSTITUTE(SUBSTITUTE(SUBSTITUTE(B20,"~","~~"),"*","~*"),"?","~?"),$Q$3:$Q$1002,1)*10000-V20)</f>
        <v/>
      </c>
      <c r="X20" s="25">
        <f>IF(Q20=1,IF(SUBSTITUTE(SUBSTITUTE(SUBSTITUTE(SUBSTITUTE(SUBSTITUTE(SUBSTITUTE(SUBSTITUTE(SUBSTITUTE(SUBSTITUTE(SUBSTITUTE(SUBSTITUTE(SUBSTITUTE(LOWER(TRIM(A20)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20)),"á","a"),"é","e"),"í","i"),"ó","o"),"ú","u"),"ü","u"),"ñ","n"),"à","a"),"è","e"),"ì","i"),"ò","o"),"ù","u")),"")</f>
        <v/>
      </c>
      <c r="Y20" s="25">
        <f>IF(X20="","",IF(IFERROR(COUNTIF(X$3:X20,"="&amp;SUBSTITUTE(SUBSTITUTE(SUBSTITUTE(X20,"~","~~"),"*","~*"),"?","~?")),0)=1,1,""))</f>
        <v/>
      </c>
      <c r="Z20" s="25">
        <f>IF(T20=1,MAX(Z$2:Z19)+1,"")</f>
        <v/>
      </c>
    </row>
    <row r="21">
      <c r="A21">
        <f>IF(A$2=0,"",IFERROR(TRIM(INDEX('Pegar calibracion'!$A$1:$BZ$1001,20,A$2)&amp;""),""))</f>
        <v/>
      </c>
      <c r="B21">
        <f>IF(B$2=0,"",IFERROR(TRIM(INDEX('Pegar calibracion'!$A$1:$BZ$1001,20,B$2)&amp;""),""))</f>
        <v/>
      </c>
      <c r="C21">
        <f>IF(C$2=0,"",IFERROR(TRIM(INDEX('Pegar calibracion'!$A$1:$BZ$1001,20,C$2)&amp;""),""))</f>
        <v/>
      </c>
      <c r="D21">
        <f>IF(D$2=0,"",IFERROR(TRIM(INDEX('Pegar calibracion'!$A$1:$BZ$1001,20,D$2)&amp;""),""))</f>
        <v/>
      </c>
      <c r="E21">
        <f>IF(E$2=0,"",IFERROR(TRIM(INDEX('Pegar calibracion'!$A$1:$BZ$1001,20,E$2)&amp;""),""))</f>
        <v/>
      </c>
      <c r="F21">
        <f>IF(F$2=0,"",IFERROR(TRIM(INDEX('Pegar calibracion'!$A$1:$BZ$1001,20,F$2)&amp;""),""))</f>
        <v/>
      </c>
      <c r="G21">
        <f>IF(G$2=0,"",IFERROR(TRIM(INDEX('Pegar calibracion'!$A$1:$BZ$1001,20,G$2)&amp;""),""))</f>
        <v/>
      </c>
      <c r="H21">
        <f>IF(H$2=0,"",IFERROR(TRIM(INDEX('Pegar calibracion'!$A$1:$BZ$1001,20,H$2)&amp;""),""))</f>
        <v/>
      </c>
      <c r="I21">
        <f>IF(I$2=0,"",IFERROR(TRIM(INDEX('Pegar calibracion'!$A$1:$BZ$1001,20,I$2)&amp;""),""))</f>
        <v/>
      </c>
      <c r="J21">
        <f>IF(J$2=0,"",IFERROR(TRIM(INDEX('Pegar calibracion'!$A$1:$BZ$1001,20,J$2)&amp;""),""))</f>
        <v/>
      </c>
      <c r="K21">
        <f>IF(K$2=0,"",IFERROR(TRIM(INDEX('Pegar calibracion'!$A$1:$BZ$1001,20,K$2)&amp;""),""))</f>
        <v/>
      </c>
      <c r="L21">
        <f>IF(L$2=0,"",IFERROR(TRIM(INDEX('Pegar calibracion'!$A$1:$BZ$1001,20,L$2)&amp;""),""))</f>
        <v/>
      </c>
      <c r="M21" s="25">
        <f>IF(D21="","",SUBSTITUTE(SUBSTITUTE(SUBSTITUTE(SUBSTITUTE(SUBSTITUTE(SUBSTITUTE(SUBSTITUTE(SUBSTITUTE(SUBSTITUTE(SUBSTITUTE(SUBSTITUTE(SUBSTITUTE(LOWER(TRIM(D21)),"á","a"),"é","e"),"í","i"),"ó","o"),"ú","u"),"ü","u"),"ñ","n"),"à","a"),"è","e"),"ì","i"),"ò","o"),"ù","u"))</f>
        <v/>
      </c>
      <c r="N21" s="25">
        <f>IF(F21="","",SUBSTITUTE(SUBSTITUTE(SUBSTITUTE(SUBSTITUTE(SUBSTITUTE(SUBSTITUTE(SUBSTITUTE(SUBSTITUTE(SUBSTITUTE(SUBSTITUTE(SUBSTITUTE(SUBSTITUTE(LOWER(TRIM(F21)),"á","a"),"é","e"),"í","i"),"ó","o"),"ú","u"),"ü","u"),"ñ","n"),"à","a"),"è","e"),"ì","i"),"ò","o"),"ù","u"))</f>
        <v/>
      </c>
      <c r="O21" s="25">
        <f>IF(M21="confiable",2,IF(M21="dudosa",1,IF(M21="no confiable",0,"")))</f>
        <v/>
      </c>
      <c r="P21" s="25">
        <f>IF(N21="confiable",2,IF(N21="dudosa",1,IF(N21="no confiable",0,"")))</f>
        <v/>
      </c>
      <c r="Q21" s="25">
        <f>IF(AND(ISNUMBER(O21),ISNUMBER(P21)),1,"")</f>
        <v/>
      </c>
      <c r="R21" s="25">
        <f>IF(Q21=1,IF(O21=P21,"Sí","No"),"")</f>
        <v/>
      </c>
      <c r="S21" s="25">
        <f>IF(Q21=1,IF(P21&lt;O21,"Más estricto",IF(P21&gt;O21,"Más permisivo","Igual")),"")</f>
        <v/>
      </c>
      <c r="T21" s="25">
        <f>IF(Q21=1,IF(ABS(O21-P21)=2,1,0),"")</f>
        <v/>
      </c>
      <c r="U21" s="25">
        <f>IF(H21="","","|"&amp;SUBSTITUTE(SUBSTITUTE(TRIM(H21)," |","|"),"| ","|")&amp;"|")</f>
        <v/>
      </c>
      <c r="V21" s="25">
        <f>IF(AND(Q21=1,B21&lt;&gt;""),IF(IFERROR(COUNTIFS(B$3:B21,"="&amp;SUBSTITUTE(SUBSTITUTE(SUBSTITUTE(B21,"~","~~"),"*","~*"),"?","~?"),Q$3:Q21,1),0)=1,MAX(V$2:V20)+1,""),"")</f>
        <v/>
      </c>
      <c r="W21" s="25">
        <f>IF(V21="","",COUNTIFS($B$3:$B$1002,"="&amp;SUBSTITUTE(SUBSTITUTE(SUBSTITUTE(B21,"~","~~"),"*","~*"),"?","~?"),$Q$3:$Q$1002,1)*10000-V21)</f>
        <v/>
      </c>
      <c r="X21" s="25">
        <f>IF(Q21=1,IF(SUBSTITUTE(SUBSTITUTE(SUBSTITUTE(SUBSTITUTE(SUBSTITUTE(SUBSTITUTE(SUBSTITUTE(SUBSTITUTE(SUBSTITUTE(SUBSTITUTE(SUBSTITUTE(SUBSTITUTE(LOWER(TRIM(A21)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21)),"á","a"),"é","e"),"í","i"),"ó","o"),"ú","u"),"ü","u"),"ñ","n"),"à","a"),"è","e"),"ì","i"),"ò","o"),"ù","u")),"")</f>
        <v/>
      </c>
      <c r="Y21" s="25">
        <f>IF(X21="","",IF(IFERROR(COUNTIF(X$3:X21,"="&amp;SUBSTITUTE(SUBSTITUTE(SUBSTITUTE(X21,"~","~~"),"*","~*"),"?","~?")),0)=1,1,""))</f>
        <v/>
      </c>
      <c r="Z21" s="25">
        <f>IF(T21=1,MAX(Z$2:Z20)+1,"")</f>
        <v/>
      </c>
    </row>
    <row r="22">
      <c r="A22">
        <f>IF(A$2=0,"",IFERROR(TRIM(INDEX('Pegar calibracion'!$A$1:$BZ$1001,21,A$2)&amp;""),""))</f>
        <v/>
      </c>
      <c r="B22">
        <f>IF(B$2=0,"",IFERROR(TRIM(INDEX('Pegar calibracion'!$A$1:$BZ$1001,21,B$2)&amp;""),""))</f>
        <v/>
      </c>
      <c r="C22">
        <f>IF(C$2=0,"",IFERROR(TRIM(INDEX('Pegar calibracion'!$A$1:$BZ$1001,21,C$2)&amp;""),""))</f>
        <v/>
      </c>
      <c r="D22">
        <f>IF(D$2=0,"",IFERROR(TRIM(INDEX('Pegar calibracion'!$A$1:$BZ$1001,21,D$2)&amp;""),""))</f>
        <v/>
      </c>
      <c r="E22">
        <f>IF(E$2=0,"",IFERROR(TRIM(INDEX('Pegar calibracion'!$A$1:$BZ$1001,21,E$2)&amp;""),""))</f>
        <v/>
      </c>
      <c r="F22">
        <f>IF(F$2=0,"",IFERROR(TRIM(INDEX('Pegar calibracion'!$A$1:$BZ$1001,21,F$2)&amp;""),""))</f>
        <v/>
      </c>
      <c r="G22">
        <f>IF(G$2=0,"",IFERROR(TRIM(INDEX('Pegar calibracion'!$A$1:$BZ$1001,21,G$2)&amp;""),""))</f>
        <v/>
      </c>
      <c r="H22">
        <f>IF(H$2=0,"",IFERROR(TRIM(INDEX('Pegar calibracion'!$A$1:$BZ$1001,21,H$2)&amp;""),""))</f>
        <v/>
      </c>
      <c r="I22">
        <f>IF(I$2=0,"",IFERROR(TRIM(INDEX('Pegar calibracion'!$A$1:$BZ$1001,21,I$2)&amp;""),""))</f>
        <v/>
      </c>
      <c r="J22">
        <f>IF(J$2=0,"",IFERROR(TRIM(INDEX('Pegar calibracion'!$A$1:$BZ$1001,21,J$2)&amp;""),""))</f>
        <v/>
      </c>
      <c r="K22">
        <f>IF(K$2=0,"",IFERROR(TRIM(INDEX('Pegar calibracion'!$A$1:$BZ$1001,21,K$2)&amp;""),""))</f>
        <v/>
      </c>
      <c r="L22">
        <f>IF(L$2=0,"",IFERROR(TRIM(INDEX('Pegar calibracion'!$A$1:$BZ$1001,21,L$2)&amp;""),""))</f>
        <v/>
      </c>
      <c r="M22" s="25">
        <f>IF(D22="","",SUBSTITUTE(SUBSTITUTE(SUBSTITUTE(SUBSTITUTE(SUBSTITUTE(SUBSTITUTE(SUBSTITUTE(SUBSTITUTE(SUBSTITUTE(SUBSTITUTE(SUBSTITUTE(SUBSTITUTE(LOWER(TRIM(D22)),"á","a"),"é","e"),"í","i"),"ó","o"),"ú","u"),"ü","u"),"ñ","n"),"à","a"),"è","e"),"ì","i"),"ò","o"),"ù","u"))</f>
        <v/>
      </c>
      <c r="N22" s="25">
        <f>IF(F22="","",SUBSTITUTE(SUBSTITUTE(SUBSTITUTE(SUBSTITUTE(SUBSTITUTE(SUBSTITUTE(SUBSTITUTE(SUBSTITUTE(SUBSTITUTE(SUBSTITUTE(SUBSTITUTE(SUBSTITUTE(LOWER(TRIM(F22)),"á","a"),"é","e"),"í","i"),"ó","o"),"ú","u"),"ü","u"),"ñ","n"),"à","a"),"è","e"),"ì","i"),"ò","o"),"ù","u"))</f>
        <v/>
      </c>
      <c r="O22" s="25">
        <f>IF(M22="confiable",2,IF(M22="dudosa",1,IF(M22="no confiable",0,"")))</f>
        <v/>
      </c>
      <c r="P22" s="25">
        <f>IF(N22="confiable",2,IF(N22="dudosa",1,IF(N22="no confiable",0,"")))</f>
        <v/>
      </c>
      <c r="Q22" s="25">
        <f>IF(AND(ISNUMBER(O22),ISNUMBER(P22)),1,"")</f>
        <v/>
      </c>
      <c r="R22" s="25">
        <f>IF(Q22=1,IF(O22=P22,"Sí","No"),"")</f>
        <v/>
      </c>
      <c r="S22" s="25">
        <f>IF(Q22=1,IF(P22&lt;O22,"Más estricto",IF(P22&gt;O22,"Más permisivo","Igual")),"")</f>
        <v/>
      </c>
      <c r="T22" s="25">
        <f>IF(Q22=1,IF(ABS(O22-P22)=2,1,0),"")</f>
        <v/>
      </c>
      <c r="U22" s="25">
        <f>IF(H22="","","|"&amp;SUBSTITUTE(SUBSTITUTE(TRIM(H22)," |","|"),"| ","|")&amp;"|")</f>
        <v/>
      </c>
      <c r="V22" s="25">
        <f>IF(AND(Q22=1,B22&lt;&gt;""),IF(IFERROR(COUNTIFS(B$3:B22,"="&amp;SUBSTITUTE(SUBSTITUTE(SUBSTITUTE(B22,"~","~~"),"*","~*"),"?","~?"),Q$3:Q22,1),0)=1,MAX(V$2:V21)+1,""),"")</f>
        <v/>
      </c>
      <c r="W22" s="25">
        <f>IF(V22="","",COUNTIFS($B$3:$B$1002,"="&amp;SUBSTITUTE(SUBSTITUTE(SUBSTITUTE(B22,"~","~~"),"*","~*"),"?","~?"),$Q$3:$Q$1002,1)*10000-V22)</f>
        <v/>
      </c>
      <c r="X22" s="25">
        <f>IF(Q22=1,IF(SUBSTITUTE(SUBSTITUTE(SUBSTITUTE(SUBSTITUTE(SUBSTITUTE(SUBSTITUTE(SUBSTITUTE(SUBSTITUTE(SUBSTITUTE(SUBSTITUTE(SUBSTITUTE(SUBSTITUTE(LOWER(TRIM(A22)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22)),"á","a"),"é","e"),"í","i"),"ó","o"),"ú","u"),"ü","u"),"ñ","n"),"à","a"),"è","e"),"ì","i"),"ò","o"),"ù","u")),"")</f>
        <v/>
      </c>
      <c r="Y22" s="25">
        <f>IF(X22="","",IF(IFERROR(COUNTIF(X$3:X22,"="&amp;SUBSTITUTE(SUBSTITUTE(SUBSTITUTE(X22,"~","~~"),"*","~*"),"?","~?")),0)=1,1,""))</f>
        <v/>
      </c>
      <c r="Z22" s="25">
        <f>IF(T22=1,MAX(Z$2:Z21)+1,"")</f>
        <v/>
      </c>
    </row>
    <row r="23">
      <c r="A23">
        <f>IF(A$2=0,"",IFERROR(TRIM(INDEX('Pegar calibracion'!$A$1:$BZ$1001,22,A$2)&amp;""),""))</f>
        <v/>
      </c>
      <c r="B23">
        <f>IF(B$2=0,"",IFERROR(TRIM(INDEX('Pegar calibracion'!$A$1:$BZ$1001,22,B$2)&amp;""),""))</f>
        <v/>
      </c>
      <c r="C23">
        <f>IF(C$2=0,"",IFERROR(TRIM(INDEX('Pegar calibracion'!$A$1:$BZ$1001,22,C$2)&amp;""),""))</f>
        <v/>
      </c>
      <c r="D23">
        <f>IF(D$2=0,"",IFERROR(TRIM(INDEX('Pegar calibracion'!$A$1:$BZ$1001,22,D$2)&amp;""),""))</f>
        <v/>
      </c>
      <c r="E23">
        <f>IF(E$2=0,"",IFERROR(TRIM(INDEX('Pegar calibracion'!$A$1:$BZ$1001,22,E$2)&amp;""),""))</f>
        <v/>
      </c>
      <c r="F23">
        <f>IF(F$2=0,"",IFERROR(TRIM(INDEX('Pegar calibracion'!$A$1:$BZ$1001,22,F$2)&amp;""),""))</f>
        <v/>
      </c>
      <c r="G23">
        <f>IF(G$2=0,"",IFERROR(TRIM(INDEX('Pegar calibracion'!$A$1:$BZ$1001,22,G$2)&amp;""),""))</f>
        <v/>
      </c>
      <c r="H23">
        <f>IF(H$2=0,"",IFERROR(TRIM(INDEX('Pegar calibracion'!$A$1:$BZ$1001,22,H$2)&amp;""),""))</f>
        <v/>
      </c>
      <c r="I23">
        <f>IF(I$2=0,"",IFERROR(TRIM(INDEX('Pegar calibracion'!$A$1:$BZ$1001,22,I$2)&amp;""),""))</f>
        <v/>
      </c>
      <c r="J23">
        <f>IF(J$2=0,"",IFERROR(TRIM(INDEX('Pegar calibracion'!$A$1:$BZ$1001,22,J$2)&amp;""),""))</f>
        <v/>
      </c>
      <c r="K23">
        <f>IF(K$2=0,"",IFERROR(TRIM(INDEX('Pegar calibracion'!$A$1:$BZ$1001,22,K$2)&amp;""),""))</f>
        <v/>
      </c>
      <c r="L23">
        <f>IF(L$2=0,"",IFERROR(TRIM(INDEX('Pegar calibracion'!$A$1:$BZ$1001,22,L$2)&amp;""),""))</f>
        <v/>
      </c>
      <c r="M23" s="25">
        <f>IF(D23="","",SUBSTITUTE(SUBSTITUTE(SUBSTITUTE(SUBSTITUTE(SUBSTITUTE(SUBSTITUTE(SUBSTITUTE(SUBSTITUTE(SUBSTITUTE(SUBSTITUTE(SUBSTITUTE(SUBSTITUTE(LOWER(TRIM(D23)),"á","a"),"é","e"),"í","i"),"ó","o"),"ú","u"),"ü","u"),"ñ","n"),"à","a"),"è","e"),"ì","i"),"ò","o"),"ù","u"))</f>
        <v/>
      </c>
      <c r="N23" s="25">
        <f>IF(F23="","",SUBSTITUTE(SUBSTITUTE(SUBSTITUTE(SUBSTITUTE(SUBSTITUTE(SUBSTITUTE(SUBSTITUTE(SUBSTITUTE(SUBSTITUTE(SUBSTITUTE(SUBSTITUTE(SUBSTITUTE(LOWER(TRIM(F23)),"á","a"),"é","e"),"í","i"),"ó","o"),"ú","u"),"ü","u"),"ñ","n"),"à","a"),"è","e"),"ì","i"),"ò","o"),"ù","u"))</f>
        <v/>
      </c>
      <c r="O23" s="25">
        <f>IF(M23="confiable",2,IF(M23="dudosa",1,IF(M23="no confiable",0,"")))</f>
        <v/>
      </c>
      <c r="P23" s="25">
        <f>IF(N23="confiable",2,IF(N23="dudosa",1,IF(N23="no confiable",0,"")))</f>
        <v/>
      </c>
      <c r="Q23" s="25">
        <f>IF(AND(ISNUMBER(O23),ISNUMBER(P23)),1,"")</f>
        <v/>
      </c>
      <c r="R23" s="25">
        <f>IF(Q23=1,IF(O23=P23,"Sí","No"),"")</f>
        <v/>
      </c>
      <c r="S23" s="25">
        <f>IF(Q23=1,IF(P23&lt;O23,"Más estricto",IF(P23&gt;O23,"Más permisivo","Igual")),"")</f>
        <v/>
      </c>
      <c r="T23" s="25">
        <f>IF(Q23=1,IF(ABS(O23-P23)=2,1,0),"")</f>
        <v/>
      </c>
      <c r="U23" s="25">
        <f>IF(H23="","","|"&amp;SUBSTITUTE(SUBSTITUTE(TRIM(H23)," |","|"),"| ","|")&amp;"|")</f>
        <v/>
      </c>
      <c r="V23" s="25">
        <f>IF(AND(Q23=1,B23&lt;&gt;""),IF(IFERROR(COUNTIFS(B$3:B23,"="&amp;SUBSTITUTE(SUBSTITUTE(SUBSTITUTE(B23,"~","~~"),"*","~*"),"?","~?"),Q$3:Q23,1),0)=1,MAX(V$2:V22)+1,""),"")</f>
        <v/>
      </c>
      <c r="W23" s="25">
        <f>IF(V23="","",COUNTIFS($B$3:$B$1002,"="&amp;SUBSTITUTE(SUBSTITUTE(SUBSTITUTE(B23,"~","~~"),"*","~*"),"?","~?"),$Q$3:$Q$1002,1)*10000-V23)</f>
        <v/>
      </c>
      <c r="X23" s="25">
        <f>IF(Q23=1,IF(SUBSTITUTE(SUBSTITUTE(SUBSTITUTE(SUBSTITUTE(SUBSTITUTE(SUBSTITUTE(SUBSTITUTE(SUBSTITUTE(SUBSTITUTE(SUBSTITUTE(SUBSTITUTE(SUBSTITUTE(LOWER(TRIM(A23)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23)),"á","a"),"é","e"),"í","i"),"ó","o"),"ú","u"),"ü","u"),"ñ","n"),"à","a"),"è","e"),"ì","i"),"ò","o"),"ù","u")),"")</f>
        <v/>
      </c>
      <c r="Y23" s="25">
        <f>IF(X23="","",IF(IFERROR(COUNTIF(X$3:X23,"="&amp;SUBSTITUTE(SUBSTITUTE(SUBSTITUTE(X23,"~","~~"),"*","~*"),"?","~?")),0)=1,1,""))</f>
        <v/>
      </c>
      <c r="Z23" s="25">
        <f>IF(T23=1,MAX(Z$2:Z22)+1,"")</f>
        <v/>
      </c>
    </row>
    <row r="24">
      <c r="A24">
        <f>IF(A$2=0,"",IFERROR(TRIM(INDEX('Pegar calibracion'!$A$1:$BZ$1001,23,A$2)&amp;""),""))</f>
        <v/>
      </c>
      <c r="B24">
        <f>IF(B$2=0,"",IFERROR(TRIM(INDEX('Pegar calibracion'!$A$1:$BZ$1001,23,B$2)&amp;""),""))</f>
        <v/>
      </c>
      <c r="C24">
        <f>IF(C$2=0,"",IFERROR(TRIM(INDEX('Pegar calibracion'!$A$1:$BZ$1001,23,C$2)&amp;""),""))</f>
        <v/>
      </c>
      <c r="D24">
        <f>IF(D$2=0,"",IFERROR(TRIM(INDEX('Pegar calibracion'!$A$1:$BZ$1001,23,D$2)&amp;""),""))</f>
        <v/>
      </c>
      <c r="E24">
        <f>IF(E$2=0,"",IFERROR(TRIM(INDEX('Pegar calibracion'!$A$1:$BZ$1001,23,E$2)&amp;""),""))</f>
        <v/>
      </c>
      <c r="F24">
        <f>IF(F$2=0,"",IFERROR(TRIM(INDEX('Pegar calibracion'!$A$1:$BZ$1001,23,F$2)&amp;""),""))</f>
        <v/>
      </c>
      <c r="G24">
        <f>IF(G$2=0,"",IFERROR(TRIM(INDEX('Pegar calibracion'!$A$1:$BZ$1001,23,G$2)&amp;""),""))</f>
        <v/>
      </c>
      <c r="H24">
        <f>IF(H$2=0,"",IFERROR(TRIM(INDEX('Pegar calibracion'!$A$1:$BZ$1001,23,H$2)&amp;""),""))</f>
        <v/>
      </c>
      <c r="I24">
        <f>IF(I$2=0,"",IFERROR(TRIM(INDEX('Pegar calibracion'!$A$1:$BZ$1001,23,I$2)&amp;""),""))</f>
        <v/>
      </c>
      <c r="J24">
        <f>IF(J$2=0,"",IFERROR(TRIM(INDEX('Pegar calibracion'!$A$1:$BZ$1001,23,J$2)&amp;""),""))</f>
        <v/>
      </c>
      <c r="K24">
        <f>IF(K$2=0,"",IFERROR(TRIM(INDEX('Pegar calibracion'!$A$1:$BZ$1001,23,K$2)&amp;""),""))</f>
        <v/>
      </c>
      <c r="L24">
        <f>IF(L$2=0,"",IFERROR(TRIM(INDEX('Pegar calibracion'!$A$1:$BZ$1001,23,L$2)&amp;""),""))</f>
        <v/>
      </c>
      <c r="M24" s="25">
        <f>IF(D24="","",SUBSTITUTE(SUBSTITUTE(SUBSTITUTE(SUBSTITUTE(SUBSTITUTE(SUBSTITUTE(SUBSTITUTE(SUBSTITUTE(SUBSTITUTE(SUBSTITUTE(SUBSTITUTE(SUBSTITUTE(LOWER(TRIM(D24)),"á","a"),"é","e"),"í","i"),"ó","o"),"ú","u"),"ü","u"),"ñ","n"),"à","a"),"è","e"),"ì","i"),"ò","o"),"ù","u"))</f>
        <v/>
      </c>
      <c r="N24" s="25">
        <f>IF(F24="","",SUBSTITUTE(SUBSTITUTE(SUBSTITUTE(SUBSTITUTE(SUBSTITUTE(SUBSTITUTE(SUBSTITUTE(SUBSTITUTE(SUBSTITUTE(SUBSTITUTE(SUBSTITUTE(SUBSTITUTE(LOWER(TRIM(F24)),"á","a"),"é","e"),"í","i"),"ó","o"),"ú","u"),"ü","u"),"ñ","n"),"à","a"),"è","e"),"ì","i"),"ò","o"),"ù","u"))</f>
        <v/>
      </c>
      <c r="O24" s="25">
        <f>IF(M24="confiable",2,IF(M24="dudosa",1,IF(M24="no confiable",0,"")))</f>
        <v/>
      </c>
      <c r="P24" s="25">
        <f>IF(N24="confiable",2,IF(N24="dudosa",1,IF(N24="no confiable",0,"")))</f>
        <v/>
      </c>
      <c r="Q24" s="25">
        <f>IF(AND(ISNUMBER(O24),ISNUMBER(P24)),1,"")</f>
        <v/>
      </c>
      <c r="R24" s="25">
        <f>IF(Q24=1,IF(O24=P24,"Sí","No"),"")</f>
        <v/>
      </c>
      <c r="S24" s="25">
        <f>IF(Q24=1,IF(P24&lt;O24,"Más estricto",IF(P24&gt;O24,"Más permisivo","Igual")),"")</f>
        <v/>
      </c>
      <c r="T24" s="25">
        <f>IF(Q24=1,IF(ABS(O24-P24)=2,1,0),"")</f>
        <v/>
      </c>
      <c r="U24" s="25">
        <f>IF(H24="","","|"&amp;SUBSTITUTE(SUBSTITUTE(TRIM(H24)," |","|"),"| ","|")&amp;"|")</f>
        <v/>
      </c>
      <c r="V24" s="25">
        <f>IF(AND(Q24=1,B24&lt;&gt;""),IF(IFERROR(COUNTIFS(B$3:B24,"="&amp;SUBSTITUTE(SUBSTITUTE(SUBSTITUTE(B24,"~","~~"),"*","~*"),"?","~?"),Q$3:Q24,1),0)=1,MAX(V$2:V23)+1,""),"")</f>
        <v/>
      </c>
      <c r="W24" s="25">
        <f>IF(V24="","",COUNTIFS($B$3:$B$1002,"="&amp;SUBSTITUTE(SUBSTITUTE(SUBSTITUTE(B24,"~","~~"),"*","~*"),"?","~?"),$Q$3:$Q$1002,1)*10000-V24)</f>
        <v/>
      </c>
      <c r="X24" s="25">
        <f>IF(Q24=1,IF(SUBSTITUTE(SUBSTITUTE(SUBSTITUTE(SUBSTITUTE(SUBSTITUTE(SUBSTITUTE(SUBSTITUTE(SUBSTITUTE(SUBSTITUTE(SUBSTITUTE(SUBSTITUTE(SUBSTITUTE(LOWER(TRIM(A24)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24)),"á","a"),"é","e"),"í","i"),"ó","o"),"ú","u"),"ü","u"),"ñ","n"),"à","a"),"è","e"),"ì","i"),"ò","o"),"ù","u")),"")</f>
        <v/>
      </c>
      <c r="Y24" s="25">
        <f>IF(X24="","",IF(IFERROR(COUNTIF(X$3:X24,"="&amp;SUBSTITUTE(SUBSTITUTE(SUBSTITUTE(X24,"~","~~"),"*","~*"),"?","~?")),0)=1,1,""))</f>
        <v/>
      </c>
      <c r="Z24" s="25">
        <f>IF(T24=1,MAX(Z$2:Z23)+1,"")</f>
        <v/>
      </c>
    </row>
    <row r="25">
      <c r="A25">
        <f>IF(A$2=0,"",IFERROR(TRIM(INDEX('Pegar calibracion'!$A$1:$BZ$1001,24,A$2)&amp;""),""))</f>
        <v/>
      </c>
      <c r="B25">
        <f>IF(B$2=0,"",IFERROR(TRIM(INDEX('Pegar calibracion'!$A$1:$BZ$1001,24,B$2)&amp;""),""))</f>
        <v/>
      </c>
      <c r="C25">
        <f>IF(C$2=0,"",IFERROR(TRIM(INDEX('Pegar calibracion'!$A$1:$BZ$1001,24,C$2)&amp;""),""))</f>
        <v/>
      </c>
      <c r="D25">
        <f>IF(D$2=0,"",IFERROR(TRIM(INDEX('Pegar calibracion'!$A$1:$BZ$1001,24,D$2)&amp;""),""))</f>
        <v/>
      </c>
      <c r="E25">
        <f>IF(E$2=0,"",IFERROR(TRIM(INDEX('Pegar calibracion'!$A$1:$BZ$1001,24,E$2)&amp;""),""))</f>
        <v/>
      </c>
      <c r="F25">
        <f>IF(F$2=0,"",IFERROR(TRIM(INDEX('Pegar calibracion'!$A$1:$BZ$1001,24,F$2)&amp;""),""))</f>
        <v/>
      </c>
      <c r="G25">
        <f>IF(G$2=0,"",IFERROR(TRIM(INDEX('Pegar calibracion'!$A$1:$BZ$1001,24,G$2)&amp;""),""))</f>
        <v/>
      </c>
      <c r="H25">
        <f>IF(H$2=0,"",IFERROR(TRIM(INDEX('Pegar calibracion'!$A$1:$BZ$1001,24,H$2)&amp;""),""))</f>
        <v/>
      </c>
      <c r="I25">
        <f>IF(I$2=0,"",IFERROR(TRIM(INDEX('Pegar calibracion'!$A$1:$BZ$1001,24,I$2)&amp;""),""))</f>
        <v/>
      </c>
      <c r="J25">
        <f>IF(J$2=0,"",IFERROR(TRIM(INDEX('Pegar calibracion'!$A$1:$BZ$1001,24,J$2)&amp;""),""))</f>
        <v/>
      </c>
      <c r="K25">
        <f>IF(K$2=0,"",IFERROR(TRIM(INDEX('Pegar calibracion'!$A$1:$BZ$1001,24,K$2)&amp;""),""))</f>
        <v/>
      </c>
      <c r="L25">
        <f>IF(L$2=0,"",IFERROR(TRIM(INDEX('Pegar calibracion'!$A$1:$BZ$1001,24,L$2)&amp;""),""))</f>
        <v/>
      </c>
      <c r="M25" s="25">
        <f>IF(D25="","",SUBSTITUTE(SUBSTITUTE(SUBSTITUTE(SUBSTITUTE(SUBSTITUTE(SUBSTITUTE(SUBSTITUTE(SUBSTITUTE(SUBSTITUTE(SUBSTITUTE(SUBSTITUTE(SUBSTITUTE(LOWER(TRIM(D25)),"á","a"),"é","e"),"í","i"),"ó","o"),"ú","u"),"ü","u"),"ñ","n"),"à","a"),"è","e"),"ì","i"),"ò","o"),"ù","u"))</f>
        <v/>
      </c>
      <c r="N25" s="25">
        <f>IF(F25="","",SUBSTITUTE(SUBSTITUTE(SUBSTITUTE(SUBSTITUTE(SUBSTITUTE(SUBSTITUTE(SUBSTITUTE(SUBSTITUTE(SUBSTITUTE(SUBSTITUTE(SUBSTITUTE(SUBSTITUTE(LOWER(TRIM(F25)),"á","a"),"é","e"),"í","i"),"ó","o"),"ú","u"),"ü","u"),"ñ","n"),"à","a"),"è","e"),"ì","i"),"ò","o"),"ù","u"))</f>
        <v/>
      </c>
      <c r="O25" s="25">
        <f>IF(M25="confiable",2,IF(M25="dudosa",1,IF(M25="no confiable",0,"")))</f>
        <v/>
      </c>
      <c r="P25" s="25">
        <f>IF(N25="confiable",2,IF(N25="dudosa",1,IF(N25="no confiable",0,"")))</f>
        <v/>
      </c>
      <c r="Q25" s="25">
        <f>IF(AND(ISNUMBER(O25),ISNUMBER(P25)),1,"")</f>
        <v/>
      </c>
      <c r="R25" s="25">
        <f>IF(Q25=1,IF(O25=P25,"Sí","No"),"")</f>
        <v/>
      </c>
      <c r="S25" s="25">
        <f>IF(Q25=1,IF(P25&lt;O25,"Más estricto",IF(P25&gt;O25,"Más permisivo","Igual")),"")</f>
        <v/>
      </c>
      <c r="T25" s="25">
        <f>IF(Q25=1,IF(ABS(O25-P25)=2,1,0),"")</f>
        <v/>
      </c>
      <c r="U25" s="25">
        <f>IF(H25="","","|"&amp;SUBSTITUTE(SUBSTITUTE(TRIM(H25)," |","|"),"| ","|")&amp;"|")</f>
        <v/>
      </c>
      <c r="V25" s="25">
        <f>IF(AND(Q25=1,B25&lt;&gt;""),IF(IFERROR(COUNTIFS(B$3:B25,"="&amp;SUBSTITUTE(SUBSTITUTE(SUBSTITUTE(B25,"~","~~"),"*","~*"),"?","~?"),Q$3:Q25,1),0)=1,MAX(V$2:V24)+1,""),"")</f>
        <v/>
      </c>
      <c r="W25" s="25">
        <f>IF(V25="","",COUNTIFS($B$3:$B$1002,"="&amp;SUBSTITUTE(SUBSTITUTE(SUBSTITUTE(B25,"~","~~"),"*","~*"),"?","~?"),$Q$3:$Q$1002,1)*10000-V25)</f>
        <v/>
      </c>
      <c r="X25" s="25">
        <f>IF(Q25=1,IF(SUBSTITUTE(SUBSTITUTE(SUBSTITUTE(SUBSTITUTE(SUBSTITUTE(SUBSTITUTE(SUBSTITUTE(SUBSTITUTE(SUBSTITUTE(SUBSTITUTE(SUBSTITUTE(SUBSTITUTE(LOWER(TRIM(A25)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25)),"á","a"),"é","e"),"í","i"),"ó","o"),"ú","u"),"ü","u"),"ñ","n"),"à","a"),"è","e"),"ì","i"),"ò","o"),"ù","u")),"")</f>
        <v/>
      </c>
      <c r="Y25" s="25">
        <f>IF(X25="","",IF(IFERROR(COUNTIF(X$3:X25,"="&amp;SUBSTITUTE(SUBSTITUTE(SUBSTITUTE(X25,"~","~~"),"*","~*"),"?","~?")),0)=1,1,""))</f>
        <v/>
      </c>
      <c r="Z25" s="25">
        <f>IF(T25=1,MAX(Z$2:Z24)+1,"")</f>
        <v/>
      </c>
    </row>
    <row r="26">
      <c r="A26">
        <f>IF(A$2=0,"",IFERROR(TRIM(INDEX('Pegar calibracion'!$A$1:$BZ$1001,25,A$2)&amp;""),""))</f>
        <v/>
      </c>
      <c r="B26">
        <f>IF(B$2=0,"",IFERROR(TRIM(INDEX('Pegar calibracion'!$A$1:$BZ$1001,25,B$2)&amp;""),""))</f>
        <v/>
      </c>
      <c r="C26">
        <f>IF(C$2=0,"",IFERROR(TRIM(INDEX('Pegar calibracion'!$A$1:$BZ$1001,25,C$2)&amp;""),""))</f>
        <v/>
      </c>
      <c r="D26">
        <f>IF(D$2=0,"",IFERROR(TRIM(INDEX('Pegar calibracion'!$A$1:$BZ$1001,25,D$2)&amp;""),""))</f>
        <v/>
      </c>
      <c r="E26">
        <f>IF(E$2=0,"",IFERROR(TRIM(INDEX('Pegar calibracion'!$A$1:$BZ$1001,25,E$2)&amp;""),""))</f>
        <v/>
      </c>
      <c r="F26">
        <f>IF(F$2=0,"",IFERROR(TRIM(INDEX('Pegar calibracion'!$A$1:$BZ$1001,25,F$2)&amp;""),""))</f>
        <v/>
      </c>
      <c r="G26">
        <f>IF(G$2=0,"",IFERROR(TRIM(INDEX('Pegar calibracion'!$A$1:$BZ$1001,25,G$2)&amp;""),""))</f>
        <v/>
      </c>
      <c r="H26">
        <f>IF(H$2=0,"",IFERROR(TRIM(INDEX('Pegar calibracion'!$A$1:$BZ$1001,25,H$2)&amp;""),""))</f>
        <v/>
      </c>
      <c r="I26">
        <f>IF(I$2=0,"",IFERROR(TRIM(INDEX('Pegar calibracion'!$A$1:$BZ$1001,25,I$2)&amp;""),""))</f>
        <v/>
      </c>
      <c r="J26">
        <f>IF(J$2=0,"",IFERROR(TRIM(INDEX('Pegar calibracion'!$A$1:$BZ$1001,25,J$2)&amp;""),""))</f>
        <v/>
      </c>
      <c r="K26">
        <f>IF(K$2=0,"",IFERROR(TRIM(INDEX('Pegar calibracion'!$A$1:$BZ$1001,25,K$2)&amp;""),""))</f>
        <v/>
      </c>
      <c r="L26">
        <f>IF(L$2=0,"",IFERROR(TRIM(INDEX('Pegar calibracion'!$A$1:$BZ$1001,25,L$2)&amp;""),""))</f>
        <v/>
      </c>
      <c r="M26" s="25">
        <f>IF(D26="","",SUBSTITUTE(SUBSTITUTE(SUBSTITUTE(SUBSTITUTE(SUBSTITUTE(SUBSTITUTE(SUBSTITUTE(SUBSTITUTE(SUBSTITUTE(SUBSTITUTE(SUBSTITUTE(SUBSTITUTE(LOWER(TRIM(D26)),"á","a"),"é","e"),"í","i"),"ó","o"),"ú","u"),"ü","u"),"ñ","n"),"à","a"),"è","e"),"ì","i"),"ò","o"),"ù","u"))</f>
        <v/>
      </c>
      <c r="N26" s="25">
        <f>IF(F26="","",SUBSTITUTE(SUBSTITUTE(SUBSTITUTE(SUBSTITUTE(SUBSTITUTE(SUBSTITUTE(SUBSTITUTE(SUBSTITUTE(SUBSTITUTE(SUBSTITUTE(SUBSTITUTE(SUBSTITUTE(LOWER(TRIM(F26)),"á","a"),"é","e"),"í","i"),"ó","o"),"ú","u"),"ü","u"),"ñ","n"),"à","a"),"è","e"),"ì","i"),"ò","o"),"ù","u"))</f>
        <v/>
      </c>
      <c r="O26" s="25">
        <f>IF(M26="confiable",2,IF(M26="dudosa",1,IF(M26="no confiable",0,"")))</f>
        <v/>
      </c>
      <c r="P26" s="25">
        <f>IF(N26="confiable",2,IF(N26="dudosa",1,IF(N26="no confiable",0,"")))</f>
        <v/>
      </c>
      <c r="Q26" s="25">
        <f>IF(AND(ISNUMBER(O26),ISNUMBER(P26)),1,"")</f>
        <v/>
      </c>
      <c r="R26" s="25">
        <f>IF(Q26=1,IF(O26=P26,"Sí","No"),"")</f>
        <v/>
      </c>
      <c r="S26" s="25">
        <f>IF(Q26=1,IF(P26&lt;O26,"Más estricto",IF(P26&gt;O26,"Más permisivo","Igual")),"")</f>
        <v/>
      </c>
      <c r="T26" s="25">
        <f>IF(Q26=1,IF(ABS(O26-P26)=2,1,0),"")</f>
        <v/>
      </c>
      <c r="U26" s="25">
        <f>IF(H26="","","|"&amp;SUBSTITUTE(SUBSTITUTE(TRIM(H26)," |","|"),"| ","|")&amp;"|")</f>
        <v/>
      </c>
      <c r="V26" s="25">
        <f>IF(AND(Q26=1,B26&lt;&gt;""),IF(IFERROR(COUNTIFS(B$3:B26,"="&amp;SUBSTITUTE(SUBSTITUTE(SUBSTITUTE(B26,"~","~~"),"*","~*"),"?","~?"),Q$3:Q26,1),0)=1,MAX(V$2:V25)+1,""),"")</f>
        <v/>
      </c>
      <c r="W26" s="25">
        <f>IF(V26="","",COUNTIFS($B$3:$B$1002,"="&amp;SUBSTITUTE(SUBSTITUTE(SUBSTITUTE(B26,"~","~~"),"*","~*"),"?","~?"),$Q$3:$Q$1002,1)*10000-V26)</f>
        <v/>
      </c>
      <c r="X26" s="25">
        <f>IF(Q26=1,IF(SUBSTITUTE(SUBSTITUTE(SUBSTITUTE(SUBSTITUTE(SUBSTITUTE(SUBSTITUTE(SUBSTITUTE(SUBSTITUTE(SUBSTITUTE(SUBSTITUTE(SUBSTITUTE(SUBSTITUTE(LOWER(TRIM(A26)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26)),"á","a"),"é","e"),"í","i"),"ó","o"),"ú","u"),"ü","u"),"ñ","n"),"à","a"),"è","e"),"ì","i"),"ò","o"),"ù","u")),"")</f>
        <v/>
      </c>
      <c r="Y26" s="25">
        <f>IF(X26="","",IF(IFERROR(COUNTIF(X$3:X26,"="&amp;SUBSTITUTE(SUBSTITUTE(SUBSTITUTE(X26,"~","~~"),"*","~*"),"?","~?")),0)=1,1,""))</f>
        <v/>
      </c>
      <c r="Z26" s="25">
        <f>IF(T26=1,MAX(Z$2:Z25)+1,"")</f>
        <v/>
      </c>
    </row>
    <row r="27">
      <c r="A27">
        <f>IF(A$2=0,"",IFERROR(TRIM(INDEX('Pegar calibracion'!$A$1:$BZ$1001,26,A$2)&amp;""),""))</f>
        <v/>
      </c>
      <c r="B27">
        <f>IF(B$2=0,"",IFERROR(TRIM(INDEX('Pegar calibracion'!$A$1:$BZ$1001,26,B$2)&amp;""),""))</f>
        <v/>
      </c>
      <c r="C27">
        <f>IF(C$2=0,"",IFERROR(TRIM(INDEX('Pegar calibracion'!$A$1:$BZ$1001,26,C$2)&amp;""),""))</f>
        <v/>
      </c>
      <c r="D27">
        <f>IF(D$2=0,"",IFERROR(TRIM(INDEX('Pegar calibracion'!$A$1:$BZ$1001,26,D$2)&amp;""),""))</f>
        <v/>
      </c>
      <c r="E27">
        <f>IF(E$2=0,"",IFERROR(TRIM(INDEX('Pegar calibracion'!$A$1:$BZ$1001,26,E$2)&amp;""),""))</f>
        <v/>
      </c>
      <c r="F27">
        <f>IF(F$2=0,"",IFERROR(TRIM(INDEX('Pegar calibracion'!$A$1:$BZ$1001,26,F$2)&amp;""),""))</f>
        <v/>
      </c>
      <c r="G27">
        <f>IF(G$2=0,"",IFERROR(TRIM(INDEX('Pegar calibracion'!$A$1:$BZ$1001,26,G$2)&amp;""),""))</f>
        <v/>
      </c>
      <c r="H27">
        <f>IF(H$2=0,"",IFERROR(TRIM(INDEX('Pegar calibracion'!$A$1:$BZ$1001,26,H$2)&amp;""),""))</f>
        <v/>
      </c>
      <c r="I27">
        <f>IF(I$2=0,"",IFERROR(TRIM(INDEX('Pegar calibracion'!$A$1:$BZ$1001,26,I$2)&amp;""),""))</f>
        <v/>
      </c>
      <c r="J27">
        <f>IF(J$2=0,"",IFERROR(TRIM(INDEX('Pegar calibracion'!$A$1:$BZ$1001,26,J$2)&amp;""),""))</f>
        <v/>
      </c>
      <c r="K27">
        <f>IF(K$2=0,"",IFERROR(TRIM(INDEX('Pegar calibracion'!$A$1:$BZ$1001,26,K$2)&amp;""),""))</f>
        <v/>
      </c>
      <c r="L27">
        <f>IF(L$2=0,"",IFERROR(TRIM(INDEX('Pegar calibracion'!$A$1:$BZ$1001,26,L$2)&amp;""),""))</f>
        <v/>
      </c>
      <c r="M27" s="25">
        <f>IF(D27="","",SUBSTITUTE(SUBSTITUTE(SUBSTITUTE(SUBSTITUTE(SUBSTITUTE(SUBSTITUTE(SUBSTITUTE(SUBSTITUTE(SUBSTITUTE(SUBSTITUTE(SUBSTITUTE(SUBSTITUTE(LOWER(TRIM(D27)),"á","a"),"é","e"),"í","i"),"ó","o"),"ú","u"),"ü","u"),"ñ","n"),"à","a"),"è","e"),"ì","i"),"ò","o"),"ù","u"))</f>
        <v/>
      </c>
      <c r="N27" s="25">
        <f>IF(F27="","",SUBSTITUTE(SUBSTITUTE(SUBSTITUTE(SUBSTITUTE(SUBSTITUTE(SUBSTITUTE(SUBSTITUTE(SUBSTITUTE(SUBSTITUTE(SUBSTITUTE(SUBSTITUTE(SUBSTITUTE(LOWER(TRIM(F27)),"á","a"),"é","e"),"í","i"),"ó","o"),"ú","u"),"ü","u"),"ñ","n"),"à","a"),"è","e"),"ì","i"),"ò","o"),"ù","u"))</f>
        <v/>
      </c>
      <c r="O27" s="25">
        <f>IF(M27="confiable",2,IF(M27="dudosa",1,IF(M27="no confiable",0,"")))</f>
        <v/>
      </c>
      <c r="P27" s="25">
        <f>IF(N27="confiable",2,IF(N27="dudosa",1,IF(N27="no confiable",0,"")))</f>
        <v/>
      </c>
      <c r="Q27" s="25">
        <f>IF(AND(ISNUMBER(O27),ISNUMBER(P27)),1,"")</f>
        <v/>
      </c>
      <c r="R27" s="25">
        <f>IF(Q27=1,IF(O27=P27,"Sí","No"),"")</f>
        <v/>
      </c>
      <c r="S27" s="25">
        <f>IF(Q27=1,IF(P27&lt;O27,"Más estricto",IF(P27&gt;O27,"Más permisivo","Igual")),"")</f>
        <v/>
      </c>
      <c r="T27" s="25">
        <f>IF(Q27=1,IF(ABS(O27-P27)=2,1,0),"")</f>
        <v/>
      </c>
      <c r="U27" s="25">
        <f>IF(H27="","","|"&amp;SUBSTITUTE(SUBSTITUTE(TRIM(H27)," |","|"),"| ","|")&amp;"|")</f>
        <v/>
      </c>
      <c r="V27" s="25">
        <f>IF(AND(Q27=1,B27&lt;&gt;""),IF(IFERROR(COUNTIFS(B$3:B27,"="&amp;SUBSTITUTE(SUBSTITUTE(SUBSTITUTE(B27,"~","~~"),"*","~*"),"?","~?"),Q$3:Q27,1),0)=1,MAX(V$2:V26)+1,""),"")</f>
        <v/>
      </c>
      <c r="W27" s="25">
        <f>IF(V27="","",COUNTIFS($B$3:$B$1002,"="&amp;SUBSTITUTE(SUBSTITUTE(SUBSTITUTE(B27,"~","~~"),"*","~*"),"?","~?"),$Q$3:$Q$1002,1)*10000-V27)</f>
        <v/>
      </c>
      <c r="X27" s="25">
        <f>IF(Q27=1,IF(SUBSTITUTE(SUBSTITUTE(SUBSTITUTE(SUBSTITUTE(SUBSTITUTE(SUBSTITUTE(SUBSTITUTE(SUBSTITUTE(SUBSTITUTE(SUBSTITUTE(SUBSTITUTE(SUBSTITUTE(LOWER(TRIM(A27)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27)),"á","a"),"é","e"),"í","i"),"ó","o"),"ú","u"),"ü","u"),"ñ","n"),"à","a"),"è","e"),"ì","i"),"ò","o"),"ù","u")),"")</f>
        <v/>
      </c>
      <c r="Y27" s="25">
        <f>IF(X27="","",IF(IFERROR(COUNTIF(X$3:X27,"="&amp;SUBSTITUTE(SUBSTITUTE(SUBSTITUTE(X27,"~","~~"),"*","~*"),"?","~?")),0)=1,1,""))</f>
        <v/>
      </c>
      <c r="Z27" s="25">
        <f>IF(T27=1,MAX(Z$2:Z26)+1,"")</f>
        <v/>
      </c>
    </row>
    <row r="28">
      <c r="A28">
        <f>IF(A$2=0,"",IFERROR(TRIM(INDEX('Pegar calibracion'!$A$1:$BZ$1001,27,A$2)&amp;""),""))</f>
        <v/>
      </c>
      <c r="B28">
        <f>IF(B$2=0,"",IFERROR(TRIM(INDEX('Pegar calibracion'!$A$1:$BZ$1001,27,B$2)&amp;""),""))</f>
        <v/>
      </c>
      <c r="C28">
        <f>IF(C$2=0,"",IFERROR(TRIM(INDEX('Pegar calibracion'!$A$1:$BZ$1001,27,C$2)&amp;""),""))</f>
        <v/>
      </c>
      <c r="D28">
        <f>IF(D$2=0,"",IFERROR(TRIM(INDEX('Pegar calibracion'!$A$1:$BZ$1001,27,D$2)&amp;""),""))</f>
        <v/>
      </c>
      <c r="E28">
        <f>IF(E$2=0,"",IFERROR(TRIM(INDEX('Pegar calibracion'!$A$1:$BZ$1001,27,E$2)&amp;""),""))</f>
        <v/>
      </c>
      <c r="F28">
        <f>IF(F$2=0,"",IFERROR(TRIM(INDEX('Pegar calibracion'!$A$1:$BZ$1001,27,F$2)&amp;""),""))</f>
        <v/>
      </c>
      <c r="G28">
        <f>IF(G$2=0,"",IFERROR(TRIM(INDEX('Pegar calibracion'!$A$1:$BZ$1001,27,G$2)&amp;""),""))</f>
        <v/>
      </c>
      <c r="H28">
        <f>IF(H$2=0,"",IFERROR(TRIM(INDEX('Pegar calibracion'!$A$1:$BZ$1001,27,H$2)&amp;""),""))</f>
        <v/>
      </c>
      <c r="I28">
        <f>IF(I$2=0,"",IFERROR(TRIM(INDEX('Pegar calibracion'!$A$1:$BZ$1001,27,I$2)&amp;""),""))</f>
        <v/>
      </c>
      <c r="J28">
        <f>IF(J$2=0,"",IFERROR(TRIM(INDEX('Pegar calibracion'!$A$1:$BZ$1001,27,J$2)&amp;""),""))</f>
        <v/>
      </c>
      <c r="K28">
        <f>IF(K$2=0,"",IFERROR(TRIM(INDEX('Pegar calibracion'!$A$1:$BZ$1001,27,K$2)&amp;""),""))</f>
        <v/>
      </c>
      <c r="L28">
        <f>IF(L$2=0,"",IFERROR(TRIM(INDEX('Pegar calibracion'!$A$1:$BZ$1001,27,L$2)&amp;""),""))</f>
        <v/>
      </c>
      <c r="M28" s="25">
        <f>IF(D28="","",SUBSTITUTE(SUBSTITUTE(SUBSTITUTE(SUBSTITUTE(SUBSTITUTE(SUBSTITUTE(SUBSTITUTE(SUBSTITUTE(SUBSTITUTE(SUBSTITUTE(SUBSTITUTE(SUBSTITUTE(LOWER(TRIM(D28)),"á","a"),"é","e"),"í","i"),"ó","o"),"ú","u"),"ü","u"),"ñ","n"),"à","a"),"è","e"),"ì","i"),"ò","o"),"ù","u"))</f>
        <v/>
      </c>
      <c r="N28" s="25">
        <f>IF(F28="","",SUBSTITUTE(SUBSTITUTE(SUBSTITUTE(SUBSTITUTE(SUBSTITUTE(SUBSTITUTE(SUBSTITUTE(SUBSTITUTE(SUBSTITUTE(SUBSTITUTE(SUBSTITUTE(SUBSTITUTE(LOWER(TRIM(F28)),"á","a"),"é","e"),"í","i"),"ó","o"),"ú","u"),"ü","u"),"ñ","n"),"à","a"),"è","e"),"ì","i"),"ò","o"),"ù","u"))</f>
        <v/>
      </c>
      <c r="O28" s="25">
        <f>IF(M28="confiable",2,IF(M28="dudosa",1,IF(M28="no confiable",0,"")))</f>
        <v/>
      </c>
      <c r="P28" s="25">
        <f>IF(N28="confiable",2,IF(N28="dudosa",1,IF(N28="no confiable",0,"")))</f>
        <v/>
      </c>
      <c r="Q28" s="25">
        <f>IF(AND(ISNUMBER(O28),ISNUMBER(P28)),1,"")</f>
        <v/>
      </c>
      <c r="R28" s="25">
        <f>IF(Q28=1,IF(O28=P28,"Sí","No"),"")</f>
        <v/>
      </c>
      <c r="S28" s="25">
        <f>IF(Q28=1,IF(P28&lt;O28,"Más estricto",IF(P28&gt;O28,"Más permisivo","Igual")),"")</f>
        <v/>
      </c>
      <c r="T28" s="25">
        <f>IF(Q28=1,IF(ABS(O28-P28)=2,1,0),"")</f>
        <v/>
      </c>
      <c r="U28" s="25">
        <f>IF(H28="","","|"&amp;SUBSTITUTE(SUBSTITUTE(TRIM(H28)," |","|"),"| ","|")&amp;"|")</f>
        <v/>
      </c>
      <c r="V28" s="25">
        <f>IF(AND(Q28=1,B28&lt;&gt;""),IF(IFERROR(COUNTIFS(B$3:B28,"="&amp;SUBSTITUTE(SUBSTITUTE(SUBSTITUTE(B28,"~","~~"),"*","~*"),"?","~?"),Q$3:Q28,1),0)=1,MAX(V$2:V27)+1,""),"")</f>
        <v/>
      </c>
      <c r="W28" s="25">
        <f>IF(V28="","",COUNTIFS($B$3:$B$1002,"="&amp;SUBSTITUTE(SUBSTITUTE(SUBSTITUTE(B28,"~","~~"),"*","~*"),"?","~?"),$Q$3:$Q$1002,1)*10000-V28)</f>
        <v/>
      </c>
      <c r="X28" s="25">
        <f>IF(Q28=1,IF(SUBSTITUTE(SUBSTITUTE(SUBSTITUTE(SUBSTITUTE(SUBSTITUTE(SUBSTITUTE(SUBSTITUTE(SUBSTITUTE(SUBSTITUTE(SUBSTITUTE(SUBSTITUTE(SUBSTITUTE(LOWER(TRIM(A28)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28)),"á","a"),"é","e"),"í","i"),"ó","o"),"ú","u"),"ü","u"),"ñ","n"),"à","a"),"è","e"),"ì","i"),"ò","o"),"ù","u")),"")</f>
        <v/>
      </c>
      <c r="Y28" s="25">
        <f>IF(X28="","",IF(IFERROR(COUNTIF(X$3:X28,"="&amp;SUBSTITUTE(SUBSTITUTE(SUBSTITUTE(X28,"~","~~"),"*","~*"),"?","~?")),0)=1,1,""))</f>
        <v/>
      </c>
      <c r="Z28" s="25">
        <f>IF(T28=1,MAX(Z$2:Z27)+1,"")</f>
        <v/>
      </c>
    </row>
    <row r="29">
      <c r="A29">
        <f>IF(A$2=0,"",IFERROR(TRIM(INDEX('Pegar calibracion'!$A$1:$BZ$1001,28,A$2)&amp;""),""))</f>
        <v/>
      </c>
      <c r="B29">
        <f>IF(B$2=0,"",IFERROR(TRIM(INDEX('Pegar calibracion'!$A$1:$BZ$1001,28,B$2)&amp;""),""))</f>
        <v/>
      </c>
      <c r="C29">
        <f>IF(C$2=0,"",IFERROR(TRIM(INDEX('Pegar calibracion'!$A$1:$BZ$1001,28,C$2)&amp;""),""))</f>
        <v/>
      </c>
      <c r="D29">
        <f>IF(D$2=0,"",IFERROR(TRIM(INDEX('Pegar calibracion'!$A$1:$BZ$1001,28,D$2)&amp;""),""))</f>
        <v/>
      </c>
      <c r="E29">
        <f>IF(E$2=0,"",IFERROR(TRIM(INDEX('Pegar calibracion'!$A$1:$BZ$1001,28,E$2)&amp;""),""))</f>
        <v/>
      </c>
      <c r="F29">
        <f>IF(F$2=0,"",IFERROR(TRIM(INDEX('Pegar calibracion'!$A$1:$BZ$1001,28,F$2)&amp;""),""))</f>
        <v/>
      </c>
      <c r="G29">
        <f>IF(G$2=0,"",IFERROR(TRIM(INDEX('Pegar calibracion'!$A$1:$BZ$1001,28,G$2)&amp;""),""))</f>
        <v/>
      </c>
      <c r="H29">
        <f>IF(H$2=0,"",IFERROR(TRIM(INDEX('Pegar calibracion'!$A$1:$BZ$1001,28,H$2)&amp;""),""))</f>
        <v/>
      </c>
      <c r="I29">
        <f>IF(I$2=0,"",IFERROR(TRIM(INDEX('Pegar calibracion'!$A$1:$BZ$1001,28,I$2)&amp;""),""))</f>
        <v/>
      </c>
      <c r="J29">
        <f>IF(J$2=0,"",IFERROR(TRIM(INDEX('Pegar calibracion'!$A$1:$BZ$1001,28,J$2)&amp;""),""))</f>
        <v/>
      </c>
      <c r="K29">
        <f>IF(K$2=0,"",IFERROR(TRIM(INDEX('Pegar calibracion'!$A$1:$BZ$1001,28,K$2)&amp;""),""))</f>
        <v/>
      </c>
      <c r="L29">
        <f>IF(L$2=0,"",IFERROR(TRIM(INDEX('Pegar calibracion'!$A$1:$BZ$1001,28,L$2)&amp;""),""))</f>
        <v/>
      </c>
      <c r="M29" s="25">
        <f>IF(D29="","",SUBSTITUTE(SUBSTITUTE(SUBSTITUTE(SUBSTITUTE(SUBSTITUTE(SUBSTITUTE(SUBSTITUTE(SUBSTITUTE(SUBSTITUTE(SUBSTITUTE(SUBSTITUTE(SUBSTITUTE(LOWER(TRIM(D29)),"á","a"),"é","e"),"í","i"),"ó","o"),"ú","u"),"ü","u"),"ñ","n"),"à","a"),"è","e"),"ì","i"),"ò","o"),"ù","u"))</f>
        <v/>
      </c>
      <c r="N29" s="25">
        <f>IF(F29="","",SUBSTITUTE(SUBSTITUTE(SUBSTITUTE(SUBSTITUTE(SUBSTITUTE(SUBSTITUTE(SUBSTITUTE(SUBSTITUTE(SUBSTITUTE(SUBSTITUTE(SUBSTITUTE(SUBSTITUTE(LOWER(TRIM(F29)),"á","a"),"é","e"),"í","i"),"ó","o"),"ú","u"),"ü","u"),"ñ","n"),"à","a"),"è","e"),"ì","i"),"ò","o"),"ù","u"))</f>
        <v/>
      </c>
      <c r="O29" s="25">
        <f>IF(M29="confiable",2,IF(M29="dudosa",1,IF(M29="no confiable",0,"")))</f>
        <v/>
      </c>
      <c r="P29" s="25">
        <f>IF(N29="confiable",2,IF(N29="dudosa",1,IF(N29="no confiable",0,"")))</f>
        <v/>
      </c>
      <c r="Q29" s="25">
        <f>IF(AND(ISNUMBER(O29),ISNUMBER(P29)),1,"")</f>
        <v/>
      </c>
      <c r="R29" s="25">
        <f>IF(Q29=1,IF(O29=P29,"Sí","No"),"")</f>
        <v/>
      </c>
      <c r="S29" s="25">
        <f>IF(Q29=1,IF(P29&lt;O29,"Más estricto",IF(P29&gt;O29,"Más permisivo","Igual")),"")</f>
        <v/>
      </c>
      <c r="T29" s="25">
        <f>IF(Q29=1,IF(ABS(O29-P29)=2,1,0),"")</f>
        <v/>
      </c>
      <c r="U29" s="25">
        <f>IF(H29="","","|"&amp;SUBSTITUTE(SUBSTITUTE(TRIM(H29)," |","|"),"| ","|")&amp;"|")</f>
        <v/>
      </c>
      <c r="V29" s="25">
        <f>IF(AND(Q29=1,B29&lt;&gt;""),IF(IFERROR(COUNTIFS(B$3:B29,"="&amp;SUBSTITUTE(SUBSTITUTE(SUBSTITUTE(B29,"~","~~"),"*","~*"),"?","~?"),Q$3:Q29,1),0)=1,MAX(V$2:V28)+1,""),"")</f>
        <v/>
      </c>
      <c r="W29" s="25">
        <f>IF(V29="","",COUNTIFS($B$3:$B$1002,"="&amp;SUBSTITUTE(SUBSTITUTE(SUBSTITUTE(B29,"~","~~"),"*","~*"),"?","~?"),$Q$3:$Q$1002,1)*10000-V29)</f>
        <v/>
      </c>
      <c r="X29" s="25">
        <f>IF(Q29=1,IF(SUBSTITUTE(SUBSTITUTE(SUBSTITUTE(SUBSTITUTE(SUBSTITUTE(SUBSTITUTE(SUBSTITUTE(SUBSTITUTE(SUBSTITUTE(SUBSTITUTE(SUBSTITUTE(SUBSTITUTE(LOWER(TRIM(A29)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29)),"á","a"),"é","e"),"í","i"),"ó","o"),"ú","u"),"ü","u"),"ñ","n"),"à","a"),"è","e"),"ì","i"),"ò","o"),"ù","u")),"")</f>
        <v/>
      </c>
      <c r="Y29" s="25">
        <f>IF(X29="","",IF(IFERROR(COUNTIF(X$3:X29,"="&amp;SUBSTITUTE(SUBSTITUTE(SUBSTITUTE(X29,"~","~~"),"*","~*"),"?","~?")),0)=1,1,""))</f>
        <v/>
      </c>
      <c r="Z29" s="25">
        <f>IF(T29=1,MAX(Z$2:Z28)+1,"")</f>
        <v/>
      </c>
    </row>
    <row r="30">
      <c r="A30">
        <f>IF(A$2=0,"",IFERROR(TRIM(INDEX('Pegar calibracion'!$A$1:$BZ$1001,29,A$2)&amp;""),""))</f>
        <v/>
      </c>
      <c r="B30">
        <f>IF(B$2=0,"",IFERROR(TRIM(INDEX('Pegar calibracion'!$A$1:$BZ$1001,29,B$2)&amp;""),""))</f>
        <v/>
      </c>
      <c r="C30">
        <f>IF(C$2=0,"",IFERROR(TRIM(INDEX('Pegar calibracion'!$A$1:$BZ$1001,29,C$2)&amp;""),""))</f>
        <v/>
      </c>
      <c r="D30">
        <f>IF(D$2=0,"",IFERROR(TRIM(INDEX('Pegar calibracion'!$A$1:$BZ$1001,29,D$2)&amp;""),""))</f>
        <v/>
      </c>
      <c r="E30">
        <f>IF(E$2=0,"",IFERROR(TRIM(INDEX('Pegar calibracion'!$A$1:$BZ$1001,29,E$2)&amp;""),""))</f>
        <v/>
      </c>
      <c r="F30">
        <f>IF(F$2=0,"",IFERROR(TRIM(INDEX('Pegar calibracion'!$A$1:$BZ$1001,29,F$2)&amp;""),""))</f>
        <v/>
      </c>
      <c r="G30">
        <f>IF(G$2=0,"",IFERROR(TRIM(INDEX('Pegar calibracion'!$A$1:$BZ$1001,29,G$2)&amp;""),""))</f>
        <v/>
      </c>
      <c r="H30">
        <f>IF(H$2=0,"",IFERROR(TRIM(INDEX('Pegar calibracion'!$A$1:$BZ$1001,29,H$2)&amp;""),""))</f>
        <v/>
      </c>
      <c r="I30">
        <f>IF(I$2=0,"",IFERROR(TRIM(INDEX('Pegar calibracion'!$A$1:$BZ$1001,29,I$2)&amp;""),""))</f>
        <v/>
      </c>
      <c r="J30">
        <f>IF(J$2=0,"",IFERROR(TRIM(INDEX('Pegar calibracion'!$A$1:$BZ$1001,29,J$2)&amp;""),""))</f>
        <v/>
      </c>
      <c r="K30">
        <f>IF(K$2=0,"",IFERROR(TRIM(INDEX('Pegar calibracion'!$A$1:$BZ$1001,29,K$2)&amp;""),""))</f>
        <v/>
      </c>
      <c r="L30">
        <f>IF(L$2=0,"",IFERROR(TRIM(INDEX('Pegar calibracion'!$A$1:$BZ$1001,29,L$2)&amp;""),""))</f>
        <v/>
      </c>
      <c r="M30" s="25">
        <f>IF(D30="","",SUBSTITUTE(SUBSTITUTE(SUBSTITUTE(SUBSTITUTE(SUBSTITUTE(SUBSTITUTE(SUBSTITUTE(SUBSTITUTE(SUBSTITUTE(SUBSTITUTE(SUBSTITUTE(SUBSTITUTE(LOWER(TRIM(D30)),"á","a"),"é","e"),"í","i"),"ó","o"),"ú","u"),"ü","u"),"ñ","n"),"à","a"),"è","e"),"ì","i"),"ò","o"),"ù","u"))</f>
        <v/>
      </c>
      <c r="N30" s="25">
        <f>IF(F30="","",SUBSTITUTE(SUBSTITUTE(SUBSTITUTE(SUBSTITUTE(SUBSTITUTE(SUBSTITUTE(SUBSTITUTE(SUBSTITUTE(SUBSTITUTE(SUBSTITUTE(SUBSTITUTE(SUBSTITUTE(LOWER(TRIM(F30)),"á","a"),"é","e"),"í","i"),"ó","o"),"ú","u"),"ü","u"),"ñ","n"),"à","a"),"è","e"),"ì","i"),"ò","o"),"ù","u"))</f>
        <v/>
      </c>
      <c r="O30" s="25">
        <f>IF(M30="confiable",2,IF(M30="dudosa",1,IF(M30="no confiable",0,"")))</f>
        <v/>
      </c>
      <c r="P30" s="25">
        <f>IF(N30="confiable",2,IF(N30="dudosa",1,IF(N30="no confiable",0,"")))</f>
        <v/>
      </c>
      <c r="Q30" s="25">
        <f>IF(AND(ISNUMBER(O30),ISNUMBER(P30)),1,"")</f>
        <v/>
      </c>
      <c r="R30" s="25">
        <f>IF(Q30=1,IF(O30=P30,"Sí","No"),"")</f>
        <v/>
      </c>
      <c r="S30" s="25">
        <f>IF(Q30=1,IF(P30&lt;O30,"Más estricto",IF(P30&gt;O30,"Más permisivo","Igual")),"")</f>
        <v/>
      </c>
      <c r="T30" s="25">
        <f>IF(Q30=1,IF(ABS(O30-P30)=2,1,0),"")</f>
        <v/>
      </c>
      <c r="U30" s="25">
        <f>IF(H30="","","|"&amp;SUBSTITUTE(SUBSTITUTE(TRIM(H30)," |","|"),"| ","|")&amp;"|")</f>
        <v/>
      </c>
      <c r="V30" s="25">
        <f>IF(AND(Q30=1,B30&lt;&gt;""),IF(IFERROR(COUNTIFS(B$3:B30,"="&amp;SUBSTITUTE(SUBSTITUTE(SUBSTITUTE(B30,"~","~~"),"*","~*"),"?","~?"),Q$3:Q30,1),0)=1,MAX(V$2:V29)+1,""),"")</f>
        <v/>
      </c>
      <c r="W30" s="25">
        <f>IF(V30="","",COUNTIFS($B$3:$B$1002,"="&amp;SUBSTITUTE(SUBSTITUTE(SUBSTITUTE(B30,"~","~~"),"*","~*"),"?","~?"),$Q$3:$Q$1002,1)*10000-V30)</f>
        <v/>
      </c>
      <c r="X30" s="25">
        <f>IF(Q30=1,IF(SUBSTITUTE(SUBSTITUTE(SUBSTITUTE(SUBSTITUTE(SUBSTITUTE(SUBSTITUTE(SUBSTITUTE(SUBSTITUTE(SUBSTITUTE(SUBSTITUTE(SUBSTITUTE(SUBSTITUTE(LOWER(TRIM(A30)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30)),"á","a"),"é","e"),"í","i"),"ó","o"),"ú","u"),"ü","u"),"ñ","n"),"à","a"),"è","e"),"ì","i"),"ò","o"),"ù","u")),"")</f>
        <v/>
      </c>
      <c r="Y30" s="25">
        <f>IF(X30="","",IF(IFERROR(COUNTIF(X$3:X30,"="&amp;SUBSTITUTE(SUBSTITUTE(SUBSTITUTE(X30,"~","~~"),"*","~*"),"?","~?")),0)=1,1,""))</f>
        <v/>
      </c>
      <c r="Z30" s="25">
        <f>IF(T30=1,MAX(Z$2:Z29)+1,"")</f>
        <v/>
      </c>
    </row>
    <row r="31">
      <c r="A31">
        <f>IF(A$2=0,"",IFERROR(TRIM(INDEX('Pegar calibracion'!$A$1:$BZ$1001,30,A$2)&amp;""),""))</f>
        <v/>
      </c>
      <c r="B31">
        <f>IF(B$2=0,"",IFERROR(TRIM(INDEX('Pegar calibracion'!$A$1:$BZ$1001,30,B$2)&amp;""),""))</f>
        <v/>
      </c>
      <c r="C31">
        <f>IF(C$2=0,"",IFERROR(TRIM(INDEX('Pegar calibracion'!$A$1:$BZ$1001,30,C$2)&amp;""),""))</f>
        <v/>
      </c>
      <c r="D31">
        <f>IF(D$2=0,"",IFERROR(TRIM(INDEX('Pegar calibracion'!$A$1:$BZ$1001,30,D$2)&amp;""),""))</f>
        <v/>
      </c>
      <c r="E31">
        <f>IF(E$2=0,"",IFERROR(TRIM(INDEX('Pegar calibracion'!$A$1:$BZ$1001,30,E$2)&amp;""),""))</f>
        <v/>
      </c>
      <c r="F31">
        <f>IF(F$2=0,"",IFERROR(TRIM(INDEX('Pegar calibracion'!$A$1:$BZ$1001,30,F$2)&amp;""),""))</f>
        <v/>
      </c>
      <c r="G31">
        <f>IF(G$2=0,"",IFERROR(TRIM(INDEX('Pegar calibracion'!$A$1:$BZ$1001,30,G$2)&amp;""),""))</f>
        <v/>
      </c>
      <c r="H31">
        <f>IF(H$2=0,"",IFERROR(TRIM(INDEX('Pegar calibracion'!$A$1:$BZ$1001,30,H$2)&amp;""),""))</f>
        <v/>
      </c>
      <c r="I31">
        <f>IF(I$2=0,"",IFERROR(TRIM(INDEX('Pegar calibracion'!$A$1:$BZ$1001,30,I$2)&amp;""),""))</f>
        <v/>
      </c>
      <c r="J31">
        <f>IF(J$2=0,"",IFERROR(TRIM(INDEX('Pegar calibracion'!$A$1:$BZ$1001,30,J$2)&amp;""),""))</f>
        <v/>
      </c>
      <c r="K31">
        <f>IF(K$2=0,"",IFERROR(TRIM(INDEX('Pegar calibracion'!$A$1:$BZ$1001,30,K$2)&amp;""),""))</f>
        <v/>
      </c>
      <c r="L31">
        <f>IF(L$2=0,"",IFERROR(TRIM(INDEX('Pegar calibracion'!$A$1:$BZ$1001,30,L$2)&amp;""),""))</f>
        <v/>
      </c>
      <c r="M31" s="25">
        <f>IF(D31="","",SUBSTITUTE(SUBSTITUTE(SUBSTITUTE(SUBSTITUTE(SUBSTITUTE(SUBSTITUTE(SUBSTITUTE(SUBSTITUTE(SUBSTITUTE(SUBSTITUTE(SUBSTITUTE(SUBSTITUTE(LOWER(TRIM(D31)),"á","a"),"é","e"),"í","i"),"ó","o"),"ú","u"),"ü","u"),"ñ","n"),"à","a"),"è","e"),"ì","i"),"ò","o"),"ù","u"))</f>
        <v/>
      </c>
      <c r="N31" s="25">
        <f>IF(F31="","",SUBSTITUTE(SUBSTITUTE(SUBSTITUTE(SUBSTITUTE(SUBSTITUTE(SUBSTITUTE(SUBSTITUTE(SUBSTITUTE(SUBSTITUTE(SUBSTITUTE(SUBSTITUTE(SUBSTITUTE(LOWER(TRIM(F31)),"á","a"),"é","e"),"í","i"),"ó","o"),"ú","u"),"ü","u"),"ñ","n"),"à","a"),"è","e"),"ì","i"),"ò","o"),"ù","u"))</f>
        <v/>
      </c>
      <c r="O31" s="25">
        <f>IF(M31="confiable",2,IF(M31="dudosa",1,IF(M31="no confiable",0,"")))</f>
        <v/>
      </c>
      <c r="P31" s="25">
        <f>IF(N31="confiable",2,IF(N31="dudosa",1,IF(N31="no confiable",0,"")))</f>
        <v/>
      </c>
      <c r="Q31" s="25">
        <f>IF(AND(ISNUMBER(O31),ISNUMBER(P31)),1,"")</f>
        <v/>
      </c>
      <c r="R31" s="25">
        <f>IF(Q31=1,IF(O31=P31,"Sí","No"),"")</f>
        <v/>
      </c>
      <c r="S31" s="25">
        <f>IF(Q31=1,IF(P31&lt;O31,"Más estricto",IF(P31&gt;O31,"Más permisivo","Igual")),"")</f>
        <v/>
      </c>
      <c r="T31" s="25">
        <f>IF(Q31=1,IF(ABS(O31-P31)=2,1,0),"")</f>
        <v/>
      </c>
      <c r="U31" s="25">
        <f>IF(H31="","","|"&amp;SUBSTITUTE(SUBSTITUTE(TRIM(H31)," |","|"),"| ","|")&amp;"|")</f>
        <v/>
      </c>
      <c r="V31" s="25">
        <f>IF(AND(Q31=1,B31&lt;&gt;""),IF(IFERROR(COUNTIFS(B$3:B31,"="&amp;SUBSTITUTE(SUBSTITUTE(SUBSTITUTE(B31,"~","~~"),"*","~*"),"?","~?"),Q$3:Q31,1),0)=1,MAX(V$2:V30)+1,""),"")</f>
        <v/>
      </c>
      <c r="W31" s="25">
        <f>IF(V31="","",COUNTIFS($B$3:$B$1002,"="&amp;SUBSTITUTE(SUBSTITUTE(SUBSTITUTE(B31,"~","~~"),"*","~*"),"?","~?"),$Q$3:$Q$1002,1)*10000-V31)</f>
        <v/>
      </c>
      <c r="X31" s="25">
        <f>IF(Q31=1,IF(SUBSTITUTE(SUBSTITUTE(SUBSTITUTE(SUBSTITUTE(SUBSTITUTE(SUBSTITUTE(SUBSTITUTE(SUBSTITUTE(SUBSTITUTE(SUBSTITUTE(SUBSTITUTE(SUBSTITUTE(LOWER(TRIM(A31)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31)),"á","a"),"é","e"),"í","i"),"ó","o"),"ú","u"),"ü","u"),"ñ","n"),"à","a"),"è","e"),"ì","i"),"ò","o"),"ù","u")),"")</f>
        <v/>
      </c>
      <c r="Y31" s="25">
        <f>IF(X31="","",IF(IFERROR(COUNTIF(X$3:X31,"="&amp;SUBSTITUTE(SUBSTITUTE(SUBSTITUTE(X31,"~","~~"),"*","~*"),"?","~?")),0)=1,1,""))</f>
        <v/>
      </c>
      <c r="Z31" s="25">
        <f>IF(T31=1,MAX(Z$2:Z30)+1,"")</f>
        <v/>
      </c>
    </row>
    <row r="32">
      <c r="A32">
        <f>IF(A$2=0,"",IFERROR(TRIM(INDEX('Pegar calibracion'!$A$1:$BZ$1001,31,A$2)&amp;""),""))</f>
        <v/>
      </c>
      <c r="B32">
        <f>IF(B$2=0,"",IFERROR(TRIM(INDEX('Pegar calibracion'!$A$1:$BZ$1001,31,B$2)&amp;""),""))</f>
        <v/>
      </c>
      <c r="C32">
        <f>IF(C$2=0,"",IFERROR(TRIM(INDEX('Pegar calibracion'!$A$1:$BZ$1001,31,C$2)&amp;""),""))</f>
        <v/>
      </c>
      <c r="D32">
        <f>IF(D$2=0,"",IFERROR(TRIM(INDEX('Pegar calibracion'!$A$1:$BZ$1001,31,D$2)&amp;""),""))</f>
        <v/>
      </c>
      <c r="E32">
        <f>IF(E$2=0,"",IFERROR(TRIM(INDEX('Pegar calibracion'!$A$1:$BZ$1001,31,E$2)&amp;""),""))</f>
        <v/>
      </c>
      <c r="F32">
        <f>IF(F$2=0,"",IFERROR(TRIM(INDEX('Pegar calibracion'!$A$1:$BZ$1001,31,F$2)&amp;""),""))</f>
        <v/>
      </c>
      <c r="G32">
        <f>IF(G$2=0,"",IFERROR(TRIM(INDEX('Pegar calibracion'!$A$1:$BZ$1001,31,G$2)&amp;""),""))</f>
        <v/>
      </c>
      <c r="H32">
        <f>IF(H$2=0,"",IFERROR(TRIM(INDEX('Pegar calibracion'!$A$1:$BZ$1001,31,H$2)&amp;""),""))</f>
        <v/>
      </c>
      <c r="I32">
        <f>IF(I$2=0,"",IFERROR(TRIM(INDEX('Pegar calibracion'!$A$1:$BZ$1001,31,I$2)&amp;""),""))</f>
        <v/>
      </c>
      <c r="J32">
        <f>IF(J$2=0,"",IFERROR(TRIM(INDEX('Pegar calibracion'!$A$1:$BZ$1001,31,J$2)&amp;""),""))</f>
        <v/>
      </c>
      <c r="K32">
        <f>IF(K$2=0,"",IFERROR(TRIM(INDEX('Pegar calibracion'!$A$1:$BZ$1001,31,K$2)&amp;""),""))</f>
        <v/>
      </c>
      <c r="L32">
        <f>IF(L$2=0,"",IFERROR(TRIM(INDEX('Pegar calibracion'!$A$1:$BZ$1001,31,L$2)&amp;""),""))</f>
        <v/>
      </c>
      <c r="M32" s="25">
        <f>IF(D32="","",SUBSTITUTE(SUBSTITUTE(SUBSTITUTE(SUBSTITUTE(SUBSTITUTE(SUBSTITUTE(SUBSTITUTE(SUBSTITUTE(SUBSTITUTE(SUBSTITUTE(SUBSTITUTE(SUBSTITUTE(LOWER(TRIM(D32)),"á","a"),"é","e"),"í","i"),"ó","o"),"ú","u"),"ü","u"),"ñ","n"),"à","a"),"è","e"),"ì","i"),"ò","o"),"ù","u"))</f>
        <v/>
      </c>
      <c r="N32" s="25">
        <f>IF(F32="","",SUBSTITUTE(SUBSTITUTE(SUBSTITUTE(SUBSTITUTE(SUBSTITUTE(SUBSTITUTE(SUBSTITUTE(SUBSTITUTE(SUBSTITUTE(SUBSTITUTE(SUBSTITUTE(SUBSTITUTE(LOWER(TRIM(F32)),"á","a"),"é","e"),"í","i"),"ó","o"),"ú","u"),"ü","u"),"ñ","n"),"à","a"),"è","e"),"ì","i"),"ò","o"),"ù","u"))</f>
        <v/>
      </c>
      <c r="O32" s="25">
        <f>IF(M32="confiable",2,IF(M32="dudosa",1,IF(M32="no confiable",0,"")))</f>
        <v/>
      </c>
      <c r="P32" s="25">
        <f>IF(N32="confiable",2,IF(N32="dudosa",1,IF(N32="no confiable",0,"")))</f>
        <v/>
      </c>
      <c r="Q32" s="25">
        <f>IF(AND(ISNUMBER(O32),ISNUMBER(P32)),1,"")</f>
        <v/>
      </c>
      <c r="R32" s="25">
        <f>IF(Q32=1,IF(O32=P32,"Sí","No"),"")</f>
        <v/>
      </c>
      <c r="S32" s="25">
        <f>IF(Q32=1,IF(P32&lt;O32,"Más estricto",IF(P32&gt;O32,"Más permisivo","Igual")),"")</f>
        <v/>
      </c>
      <c r="T32" s="25">
        <f>IF(Q32=1,IF(ABS(O32-P32)=2,1,0),"")</f>
        <v/>
      </c>
      <c r="U32" s="25">
        <f>IF(H32="","","|"&amp;SUBSTITUTE(SUBSTITUTE(TRIM(H32)," |","|"),"| ","|")&amp;"|")</f>
        <v/>
      </c>
      <c r="V32" s="25">
        <f>IF(AND(Q32=1,B32&lt;&gt;""),IF(IFERROR(COUNTIFS(B$3:B32,"="&amp;SUBSTITUTE(SUBSTITUTE(SUBSTITUTE(B32,"~","~~"),"*","~*"),"?","~?"),Q$3:Q32,1),0)=1,MAX(V$2:V31)+1,""),"")</f>
        <v/>
      </c>
      <c r="W32" s="25">
        <f>IF(V32="","",COUNTIFS($B$3:$B$1002,"="&amp;SUBSTITUTE(SUBSTITUTE(SUBSTITUTE(B32,"~","~~"),"*","~*"),"?","~?"),$Q$3:$Q$1002,1)*10000-V32)</f>
        <v/>
      </c>
      <c r="X32" s="25">
        <f>IF(Q32=1,IF(SUBSTITUTE(SUBSTITUTE(SUBSTITUTE(SUBSTITUTE(SUBSTITUTE(SUBSTITUTE(SUBSTITUTE(SUBSTITUTE(SUBSTITUTE(SUBSTITUTE(SUBSTITUTE(SUBSTITUTE(LOWER(TRIM(A32)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32)),"á","a"),"é","e"),"í","i"),"ó","o"),"ú","u"),"ü","u"),"ñ","n"),"à","a"),"è","e"),"ì","i"),"ò","o"),"ù","u")),"")</f>
        <v/>
      </c>
      <c r="Y32" s="25">
        <f>IF(X32="","",IF(IFERROR(COUNTIF(X$3:X32,"="&amp;SUBSTITUTE(SUBSTITUTE(SUBSTITUTE(X32,"~","~~"),"*","~*"),"?","~?")),0)=1,1,""))</f>
        <v/>
      </c>
      <c r="Z32" s="25">
        <f>IF(T32=1,MAX(Z$2:Z31)+1,"")</f>
        <v/>
      </c>
    </row>
    <row r="33">
      <c r="A33">
        <f>IF(A$2=0,"",IFERROR(TRIM(INDEX('Pegar calibracion'!$A$1:$BZ$1001,32,A$2)&amp;""),""))</f>
        <v/>
      </c>
      <c r="B33">
        <f>IF(B$2=0,"",IFERROR(TRIM(INDEX('Pegar calibracion'!$A$1:$BZ$1001,32,B$2)&amp;""),""))</f>
        <v/>
      </c>
      <c r="C33">
        <f>IF(C$2=0,"",IFERROR(TRIM(INDEX('Pegar calibracion'!$A$1:$BZ$1001,32,C$2)&amp;""),""))</f>
        <v/>
      </c>
      <c r="D33">
        <f>IF(D$2=0,"",IFERROR(TRIM(INDEX('Pegar calibracion'!$A$1:$BZ$1001,32,D$2)&amp;""),""))</f>
        <v/>
      </c>
      <c r="E33">
        <f>IF(E$2=0,"",IFERROR(TRIM(INDEX('Pegar calibracion'!$A$1:$BZ$1001,32,E$2)&amp;""),""))</f>
        <v/>
      </c>
      <c r="F33">
        <f>IF(F$2=0,"",IFERROR(TRIM(INDEX('Pegar calibracion'!$A$1:$BZ$1001,32,F$2)&amp;""),""))</f>
        <v/>
      </c>
      <c r="G33">
        <f>IF(G$2=0,"",IFERROR(TRIM(INDEX('Pegar calibracion'!$A$1:$BZ$1001,32,G$2)&amp;""),""))</f>
        <v/>
      </c>
      <c r="H33">
        <f>IF(H$2=0,"",IFERROR(TRIM(INDEX('Pegar calibracion'!$A$1:$BZ$1001,32,H$2)&amp;""),""))</f>
        <v/>
      </c>
      <c r="I33">
        <f>IF(I$2=0,"",IFERROR(TRIM(INDEX('Pegar calibracion'!$A$1:$BZ$1001,32,I$2)&amp;""),""))</f>
        <v/>
      </c>
      <c r="J33">
        <f>IF(J$2=0,"",IFERROR(TRIM(INDEX('Pegar calibracion'!$A$1:$BZ$1001,32,J$2)&amp;""),""))</f>
        <v/>
      </c>
      <c r="K33">
        <f>IF(K$2=0,"",IFERROR(TRIM(INDEX('Pegar calibracion'!$A$1:$BZ$1001,32,K$2)&amp;""),""))</f>
        <v/>
      </c>
      <c r="L33">
        <f>IF(L$2=0,"",IFERROR(TRIM(INDEX('Pegar calibracion'!$A$1:$BZ$1001,32,L$2)&amp;""),""))</f>
        <v/>
      </c>
      <c r="M33" s="25">
        <f>IF(D33="","",SUBSTITUTE(SUBSTITUTE(SUBSTITUTE(SUBSTITUTE(SUBSTITUTE(SUBSTITUTE(SUBSTITUTE(SUBSTITUTE(SUBSTITUTE(SUBSTITUTE(SUBSTITUTE(SUBSTITUTE(LOWER(TRIM(D33)),"á","a"),"é","e"),"í","i"),"ó","o"),"ú","u"),"ü","u"),"ñ","n"),"à","a"),"è","e"),"ì","i"),"ò","o"),"ù","u"))</f>
        <v/>
      </c>
      <c r="N33" s="25">
        <f>IF(F33="","",SUBSTITUTE(SUBSTITUTE(SUBSTITUTE(SUBSTITUTE(SUBSTITUTE(SUBSTITUTE(SUBSTITUTE(SUBSTITUTE(SUBSTITUTE(SUBSTITUTE(SUBSTITUTE(SUBSTITUTE(LOWER(TRIM(F33)),"á","a"),"é","e"),"í","i"),"ó","o"),"ú","u"),"ü","u"),"ñ","n"),"à","a"),"è","e"),"ì","i"),"ò","o"),"ù","u"))</f>
        <v/>
      </c>
      <c r="O33" s="25">
        <f>IF(M33="confiable",2,IF(M33="dudosa",1,IF(M33="no confiable",0,"")))</f>
        <v/>
      </c>
      <c r="P33" s="25">
        <f>IF(N33="confiable",2,IF(N33="dudosa",1,IF(N33="no confiable",0,"")))</f>
        <v/>
      </c>
      <c r="Q33" s="25">
        <f>IF(AND(ISNUMBER(O33),ISNUMBER(P33)),1,"")</f>
        <v/>
      </c>
      <c r="R33" s="25">
        <f>IF(Q33=1,IF(O33=P33,"Sí","No"),"")</f>
        <v/>
      </c>
      <c r="S33" s="25">
        <f>IF(Q33=1,IF(P33&lt;O33,"Más estricto",IF(P33&gt;O33,"Más permisivo","Igual")),"")</f>
        <v/>
      </c>
      <c r="T33" s="25">
        <f>IF(Q33=1,IF(ABS(O33-P33)=2,1,0),"")</f>
        <v/>
      </c>
      <c r="U33" s="25">
        <f>IF(H33="","","|"&amp;SUBSTITUTE(SUBSTITUTE(TRIM(H33)," |","|"),"| ","|")&amp;"|")</f>
        <v/>
      </c>
      <c r="V33" s="25">
        <f>IF(AND(Q33=1,B33&lt;&gt;""),IF(IFERROR(COUNTIFS(B$3:B33,"="&amp;SUBSTITUTE(SUBSTITUTE(SUBSTITUTE(B33,"~","~~"),"*","~*"),"?","~?"),Q$3:Q33,1),0)=1,MAX(V$2:V32)+1,""),"")</f>
        <v/>
      </c>
      <c r="W33" s="25">
        <f>IF(V33="","",COUNTIFS($B$3:$B$1002,"="&amp;SUBSTITUTE(SUBSTITUTE(SUBSTITUTE(B33,"~","~~"),"*","~*"),"?","~?"),$Q$3:$Q$1002,1)*10000-V33)</f>
        <v/>
      </c>
      <c r="X33" s="25">
        <f>IF(Q33=1,IF(SUBSTITUTE(SUBSTITUTE(SUBSTITUTE(SUBSTITUTE(SUBSTITUTE(SUBSTITUTE(SUBSTITUTE(SUBSTITUTE(SUBSTITUTE(SUBSTITUTE(SUBSTITUTE(SUBSTITUTE(LOWER(TRIM(A33)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33)),"á","a"),"é","e"),"í","i"),"ó","o"),"ú","u"),"ü","u"),"ñ","n"),"à","a"),"è","e"),"ì","i"),"ò","o"),"ù","u")),"")</f>
        <v/>
      </c>
      <c r="Y33" s="25">
        <f>IF(X33="","",IF(IFERROR(COUNTIF(X$3:X33,"="&amp;SUBSTITUTE(SUBSTITUTE(SUBSTITUTE(X33,"~","~~"),"*","~*"),"?","~?")),0)=1,1,""))</f>
        <v/>
      </c>
      <c r="Z33" s="25">
        <f>IF(T33=1,MAX(Z$2:Z32)+1,"")</f>
        <v/>
      </c>
    </row>
    <row r="34">
      <c r="A34">
        <f>IF(A$2=0,"",IFERROR(TRIM(INDEX('Pegar calibracion'!$A$1:$BZ$1001,33,A$2)&amp;""),""))</f>
        <v/>
      </c>
      <c r="B34">
        <f>IF(B$2=0,"",IFERROR(TRIM(INDEX('Pegar calibracion'!$A$1:$BZ$1001,33,B$2)&amp;""),""))</f>
        <v/>
      </c>
      <c r="C34">
        <f>IF(C$2=0,"",IFERROR(TRIM(INDEX('Pegar calibracion'!$A$1:$BZ$1001,33,C$2)&amp;""),""))</f>
        <v/>
      </c>
      <c r="D34">
        <f>IF(D$2=0,"",IFERROR(TRIM(INDEX('Pegar calibracion'!$A$1:$BZ$1001,33,D$2)&amp;""),""))</f>
        <v/>
      </c>
      <c r="E34">
        <f>IF(E$2=0,"",IFERROR(TRIM(INDEX('Pegar calibracion'!$A$1:$BZ$1001,33,E$2)&amp;""),""))</f>
        <v/>
      </c>
      <c r="F34">
        <f>IF(F$2=0,"",IFERROR(TRIM(INDEX('Pegar calibracion'!$A$1:$BZ$1001,33,F$2)&amp;""),""))</f>
        <v/>
      </c>
      <c r="G34">
        <f>IF(G$2=0,"",IFERROR(TRIM(INDEX('Pegar calibracion'!$A$1:$BZ$1001,33,G$2)&amp;""),""))</f>
        <v/>
      </c>
      <c r="H34">
        <f>IF(H$2=0,"",IFERROR(TRIM(INDEX('Pegar calibracion'!$A$1:$BZ$1001,33,H$2)&amp;""),""))</f>
        <v/>
      </c>
      <c r="I34">
        <f>IF(I$2=0,"",IFERROR(TRIM(INDEX('Pegar calibracion'!$A$1:$BZ$1001,33,I$2)&amp;""),""))</f>
        <v/>
      </c>
      <c r="J34">
        <f>IF(J$2=0,"",IFERROR(TRIM(INDEX('Pegar calibracion'!$A$1:$BZ$1001,33,J$2)&amp;""),""))</f>
        <v/>
      </c>
      <c r="K34">
        <f>IF(K$2=0,"",IFERROR(TRIM(INDEX('Pegar calibracion'!$A$1:$BZ$1001,33,K$2)&amp;""),""))</f>
        <v/>
      </c>
      <c r="L34">
        <f>IF(L$2=0,"",IFERROR(TRIM(INDEX('Pegar calibracion'!$A$1:$BZ$1001,33,L$2)&amp;""),""))</f>
        <v/>
      </c>
      <c r="M34" s="25">
        <f>IF(D34="","",SUBSTITUTE(SUBSTITUTE(SUBSTITUTE(SUBSTITUTE(SUBSTITUTE(SUBSTITUTE(SUBSTITUTE(SUBSTITUTE(SUBSTITUTE(SUBSTITUTE(SUBSTITUTE(SUBSTITUTE(LOWER(TRIM(D34)),"á","a"),"é","e"),"í","i"),"ó","o"),"ú","u"),"ü","u"),"ñ","n"),"à","a"),"è","e"),"ì","i"),"ò","o"),"ù","u"))</f>
        <v/>
      </c>
      <c r="N34" s="25">
        <f>IF(F34="","",SUBSTITUTE(SUBSTITUTE(SUBSTITUTE(SUBSTITUTE(SUBSTITUTE(SUBSTITUTE(SUBSTITUTE(SUBSTITUTE(SUBSTITUTE(SUBSTITUTE(SUBSTITUTE(SUBSTITUTE(LOWER(TRIM(F34)),"á","a"),"é","e"),"í","i"),"ó","o"),"ú","u"),"ü","u"),"ñ","n"),"à","a"),"è","e"),"ì","i"),"ò","o"),"ù","u"))</f>
        <v/>
      </c>
      <c r="O34" s="25">
        <f>IF(M34="confiable",2,IF(M34="dudosa",1,IF(M34="no confiable",0,"")))</f>
        <v/>
      </c>
      <c r="P34" s="25">
        <f>IF(N34="confiable",2,IF(N34="dudosa",1,IF(N34="no confiable",0,"")))</f>
        <v/>
      </c>
      <c r="Q34" s="25">
        <f>IF(AND(ISNUMBER(O34),ISNUMBER(P34)),1,"")</f>
        <v/>
      </c>
      <c r="R34" s="25">
        <f>IF(Q34=1,IF(O34=P34,"Sí","No"),"")</f>
        <v/>
      </c>
      <c r="S34" s="25">
        <f>IF(Q34=1,IF(P34&lt;O34,"Más estricto",IF(P34&gt;O34,"Más permisivo","Igual")),"")</f>
        <v/>
      </c>
      <c r="T34" s="25">
        <f>IF(Q34=1,IF(ABS(O34-P34)=2,1,0),"")</f>
        <v/>
      </c>
      <c r="U34" s="25">
        <f>IF(H34="","","|"&amp;SUBSTITUTE(SUBSTITUTE(TRIM(H34)," |","|"),"| ","|")&amp;"|")</f>
        <v/>
      </c>
      <c r="V34" s="25">
        <f>IF(AND(Q34=1,B34&lt;&gt;""),IF(IFERROR(COUNTIFS(B$3:B34,"="&amp;SUBSTITUTE(SUBSTITUTE(SUBSTITUTE(B34,"~","~~"),"*","~*"),"?","~?"),Q$3:Q34,1),0)=1,MAX(V$2:V33)+1,""),"")</f>
        <v/>
      </c>
      <c r="W34" s="25">
        <f>IF(V34="","",COUNTIFS($B$3:$B$1002,"="&amp;SUBSTITUTE(SUBSTITUTE(SUBSTITUTE(B34,"~","~~"),"*","~*"),"?","~?"),$Q$3:$Q$1002,1)*10000-V34)</f>
        <v/>
      </c>
      <c r="X34" s="25">
        <f>IF(Q34=1,IF(SUBSTITUTE(SUBSTITUTE(SUBSTITUTE(SUBSTITUTE(SUBSTITUTE(SUBSTITUTE(SUBSTITUTE(SUBSTITUTE(SUBSTITUTE(SUBSTITUTE(SUBSTITUTE(SUBSTITUTE(LOWER(TRIM(A34)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34)),"á","a"),"é","e"),"í","i"),"ó","o"),"ú","u"),"ü","u"),"ñ","n"),"à","a"),"è","e"),"ì","i"),"ò","o"),"ù","u")),"")</f>
        <v/>
      </c>
      <c r="Y34" s="25">
        <f>IF(X34="","",IF(IFERROR(COUNTIF(X$3:X34,"="&amp;SUBSTITUTE(SUBSTITUTE(SUBSTITUTE(X34,"~","~~"),"*","~*"),"?","~?")),0)=1,1,""))</f>
        <v/>
      </c>
      <c r="Z34" s="25">
        <f>IF(T34=1,MAX(Z$2:Z33)+1,"")</f>
        <v/>
      </c>
    </row>
    <row r="35">
      <c r="A35">
        <f>IF(A$2=0,"",IFERROR(TRIM(INDEX('Pegar calibracion'!$A$1:$BZ$1001,34,A$2)&amp;""),""))</f>
        <v/>
      </c>
      <c r="B35">
        <f>IF(B$2=0,"",IFERROR(TRIM(INDEX('Pegar calibracion'!$A$1:$BZ$1001,34,B$2)&amp;""),""))</f>
        <v/>
      </c>
      <c r="C35">
        <f>IF(C$2=0,"",IFERROR(TRIM(INDEX('Pegar calibracion'!$A$1:$BZ$1001,34,C$2)&amp;""),""))</f>
        <v/>
      </c>
      <c r="D35">
        <f>IF(D$2=0,"",IFERROR(TRIM(INDEX('Pegar calibracion'!$A$1:$BZ$1001,34,D$2)&amp;""),""))</f>
        <v/>
      </c>
      <c r="E35">
        <f>IF(E$2=0,"",IFERROR(TRIM(INDEX('Pegar calibracion'!$A$1:$BZ$1001,34,E$2)&amp;""),""))</f>
        <v/>
      </c>
      <c r="F35">
        <f>IF(F$2=0,"",IFERROR(TRIM(INDEX('Pegar calibracion'!$A$1:$BZ$1001,34,F$2)&amp;""),""))</f>
        <v/>
      </c>
      <c r="G35">
        <f>IF(G$2=0,"",IFERROR(TRIM(INDEX('Pegar calibracion'!$A$1:$BZ$1001,34,G$2)&amp;""),""))</f>
        <v/>
      </c>
      <c r="H35">
        <f>IF(H$2=0,"",IFERROR(TRIM(INDEX('Pegar calibracion'!$A$1:$BZ$1001,34,H$2)&amp;""),""))</f>
        <v/>
      </c>
      <c r="I35">
        <f>IF(I$2=0,"",IFERROR(TRIM(INDEX('Pegar calibracion'!$A$1:$BZ$1001,34,I$2)&amp;""),""))</f>
        <v/>
      </c>
      <c r="J35">
        <f>IF(J$2=0,"",IFERROR(TRIM(INDEX('Pegar calibracion'!$A$1:$BZ$1001,34,J$2)&amp;""),""))</f>
        <v/>
      </c>
      <c r="K35">
        <f>IF(K$2=0,"",IFERROR(TRIM(INDEX('Pegar calibracion'!$A$1:$BZ$1001,34,K$2)&amp;""),""))</f>
        <v/>
      </c>
      <c r="L35">
        <f>IF(L$2=0,"",IFERROR(TRIM(INDEX('Pegar calibracion'!$A$1:$BZ$1001,34,L$2)&amp;""),""))</f>
        <v/>
      </c>
      <c r="M35" s="25">
        <f>IF(D35="","",SUBSTITUTE(SUBSTITUTE(SUBSTITUTE(SUBSTITUTE(SUBSTITUTE(SUBSTITUTE(SUBSTITUTE(SUBSTITUTE(SUBSTITUTE(SUBSTITUTE(SUBSTITUTE(SUBSTITUTE(LOWER(TRIM(D35)),"á","a"),"é","e"),"í","i"),"ó","o"),"ú","u"),"ü","u"),"ñ","n"),"à","a"),"è","e"),"ì","i"),"ò","o"),"ù","u"))</f>
        <v/>
      </c>
      <c r="N35" s="25">
        <f>IF(F35="","",SUBSTITUTE(SUBSTITUTE(SUBSTITUTE(SUBSTITUTE(SUBSTITUTE(SUBSTITUTE(SUBSTITUTE(SUBSTITUTE(SUBSTITUTE(SUBSTITUTE(SUBSTITUTE(SUBSTITUTE(LOWER(TRIM(F35)),"á","a"),"é","e"),"í","i"),"ó","o"),"ú","u"),"ü","u"),"ñ","n"),"à","a"),"è","e"),"ì","i"),"ò","o"),"ù","u"))</f>
        <v/>
      </c>
      <c r="O35" s="25">
        <f>IF(M35="confiable",2,IF(M35="dudosa",1,IF(M35="no confiable",0,"")))</f>
        <v/>
      </c>
      <c r="P35" s="25">
        <f>IF(N35="confiable",2,IF(N35="dudosa",1,IF(N35="no confiable",0,"")))</f>
        <v/>
      </c>
      <c r="Q35" s="25">
        <f>IF(AND(ISNUMBER(O35),ISNUMBER(P35)),1,"")</f>
        <v/>
      </c>
      <c r="R35" s="25">
        <f>IF(Q35=1,IF(O35=P35,"Sí","No"),"")</f>
        <v/>
      </c>
      <c r="S35" s="25">
        <f>IF(Q35=1,IF(P35&lt;O35,"Más estricto",IF(P35&gt;O35,"Más permisivo","Igual")),"")</f>
        <v/>
      </c>
      <c r="T35" s="25">
        <f>IF(Q35=1,IF(ABS(O35-P35)=2,1,0),"")</f>
        <v/>
      </c>
      <c r="U35" s="25">
        <f>IF(H35="","","|"&amp;SUBSTITUTE(SUBSTITUTE(TRIM(H35)," |","|"),"| ","|")&amp;"|")</f>
        <v/>
      </c>
      <c r="V35" s="25">
        <f>IF(AND(Q35=1,B35&lt;&gt;""),IF(IFERROR(COUNTIFS(B$3:B35,"="&amp;SUBSTITUTE(SUBSTITUTE(SUBSTITUTE(B35,"~","~~"),"*","~*"),"?","~?"),Q$3:Q35,1),0)=1,MAX(V$2:V34)+1,""),"")</f>
        <v/>
      </c>
      <c r="W35" s="25">
        <f>IF(V35="","",COUNTIFS($B$3:$B$1002,"="&amp;SUBSTITUTE(SUBSTITUTE(SUBSTITUTE(B35,"~","~~"),"*","~*"),"?","~?"),$Q$3:$Q$1002,1)*10000-V35)</f>
        <v/>
      </c>
      <c r="X35" s="25">
        <f>IF(Q35=1,IF(SUBSTITUTE(SUBSTITUTE(SUBSTITUTE(SUBSTITUTE(SUBSTITUTE(SUBSTITUTE(SUBSTITUTE(SUBSTITUTE(SUBSTITUTE(SUBSTITUTE(SUBSTITUTE(SUBSTITUTE(LOWER(TRIM(A35)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35)),"á","a"),"é","e"),"í","i"),"ó","o"),"ú","u"),"ü","u"),"ñ","n"),"à","a"),"è","e"),"ì","i"),"ò","o"),"ù","u")),"")</f>
        <v/>
      </c>
      <c r="Y35" s="25">
        <f>IF(X35="","",IF(IFERROR(COUNTIF(X$3:X35,"="&amp;SUBSTITUTE(SUBSTITUTE(SUBSTITUTE(X35,"~","~~"),"*","~*"),"?","~?")),0)=1,1,""))</f>
        <v/>
      </c>
      <c r="Z35" s="25">
        <f>IF(T35=1,MAX(Z$2:Z34)+1,"")</f>
        <v/>
      </c>
    </row>
    <row r="36">
      <c r="A36">
        <f>IF(A$2=0,"",IFERROR(TRIM(INDEX('Pegar calibracion'!$A$1:$BZ$1001,35,A$2)&amp;""),""))</f>
        <v/>
      </c>
      <c r="B36">
        <f>IF(B$2=0,"",IFERROR(TRIM(INDEX('Pegar calibracion'!$A$1:$BZ$1001,35,B$2)&amp;""),""))</f>
        <v/>
      </c>
      <c r="C36">
        <f>IF(C$2=0,"",IFERROR(TRIM(INDEX('Pegar calibracion'!$A$1:$BZ$1001,35,C$2)&amp;""),""))</f>
        <v/>
      </c>
      <c r="D36">
        <f>IF(D$2=0,"",IFERROR(TRIM(INDEX('Pegar calibracion'!$A$1:$BZ$1001,35,D$2)&amp;""),""))</f>
        <v/>
      </c>
      <c r="E36">
        <f>IF(E$2=0,"",IFERROR(TRIM(INDEX('Pegar calibracion'!$A$1:$BZ$1001,35,E$2)&amp;""),""))</f>
        <v/>
      </c>
      <c r="F36">
        <f>IF(F$2=0,"",IFERROR(TRIM(INDEX('Pegar calibracion'!$A$1:$BZ$1001,35,F$2)&amp;""),""))</f>
        <v/>
      </c>
      <c r="G36">
        <f>IF(G$2=0,"",IFERROR(TRIM(INDEX('Pegar calibracion'!$A$1:$BZ$1001,35,G$2)&amp;""),""))</f>
        <v/>
      </c>
      <c r="H36">
        <f>IF(H$2=0,"",IFERROR(TRIM(INDEX('Pegar calibracion'!$A$1:$BZ$1001,35,H$2)&amp;""),""))</f>
        <v/>
      </c>
      <c r="I36">
        <f>IF(I$2=0,"",IFERROR(TRIM(INDEX('Pegar calibracion'!$A$1:$BZ$1001,35,I$2)&amp;""),""))</f>
        <v/>
      </c>
      <c r="J36">
        <f>IF(J$2=0,"",IFERROR(TRIM(INDEX('Pegar calibracion'!$A$1:$BZ$1001,35,J$2)&amp;""),""))</f>
        <v/>
      </c>
      <c r="K36">
        <f>IF(K$2=0,"",IFERROR(TRIM(INDEX('Pegar calibracion'!$A$1:$BZ$1001,35,K$2)&amp;""),""))</f>
        <v/>
      </c>
      <c r="L36">
        <f>IF(L$2=0,"",IFERROR(TRIM(INDEX('Pegar calibracion'!$A$1:$BZ$1001,35,L$2)&amp;""),""))</f>
        <v/>
      </c>
      <c r="M36" s="25">
        <f>IF(D36="","",SUBSTITUTE(SUBSTITUTE(SUBSTITUTE(SUBSTITUTE(SUBSTITUTE(SUBSTITUTE(SUBSTITUTE(SUBSTITUTE(SUBSTITUTE(SUBSTITUTE(SUBSTITUTE(SUBSTITUTE(LOWER(TRIM(D36)),"á","a"),"é","e"),"í","i"),"ó","o"),"ú","u"),"ü","u"),"ñ","n"),"à","a"),"è","e"),"ì","i"),"ò","o"),"ù","u"))</f>
        <v/>
      </c>
      <c r="N36" s="25">
        <f>IF(F36="","",SUBSTITUTE(SUBSTITUTE(SUBSTITUTE(SUBSTITUTE(SUBSTITUTE(SUBSTITUTE(SUBSTITUTE(SUBSTITUTE(SUBSTITUTE(SUBSTITUTE(SUBSTITUTE(SUBSTITUTE(LOWER(TRIM(F36)),"á","a"),"é","e"),"í","i"),"ó","o"),"ú","u"),"ü","u"),"ñ","n"),"à","a"),"è","e"),"ì","i"),"ò","o"),"ù","u"))</f>
        <v/>
      </c>
      <c r="O36" s="25">
        <f>IF(M36="confiable",2,IF(M36="dudosa",1,IF(M36="no confiable",0,"")))</f>
        <v/>
      </c>
      <c r="P36" s="25">
        <f>IF(N36="confiable",2,IF(N36="dudosa",1,IF(N36="no confiable",0,"")))</f>
        <v/>
      </c>
      <c r="Q36" s="25">
        <f>IF(AND(ISNUMBER(O36),ISNUMBER(P36)),1,"")</f>
        <v/>
      </c>
      <c r="R36" s="25">
        <f>IF(Q36=1,IF(O36=P36,"Sí","No"),"")</f>
        <v/>
      </c>
      <c r="S36" s="25">
        <f>IF(Q36=1,IF(P36&lt;O36,"Más estricto",IF(P36&gt;O36,"Más permisivo","Igual")),"")</f>
        <v/>
      </c>
      <c r="T36" s="25">
        <f>IF(Q36=1,IF(ABS(O36-P36)=2,1,0),"")</f>
        <v/>
      </c>
      <c r="U36" s="25">
        <f>IF(H36="","","|"&amp;SUBSTITUTE(SUBSTITUTE(TRIM(H36)," |","|"),"| ","|")&amp;"|")</f>
        <v/>
      </c>
      <c r="V36" s="25">
        <f>IF(AND(Q36=1,B36&lt;&gt;""),IF(IFERROR(COUNTIFS(B$3:B36,"="&amp;SUBSTITUTE(SUBSTITUTE(SUBSTITUTE(B36,"~","~~"),"*","~*"),"?","~?"),Q$3:Q36,1),0)=1,MAX(V$2:V35)+1,""),"")</f>
        <v/>
      </c>
      <c r="W36" s="25">
        <f>IF(V36="","",COUNTIFS($B$3:$B$1002,"="&amp;SUBSTITUTE(SUBSTITUTE(SUBSTITUTE(B36,"~","~~"),"*","~*"),"?","~?"),$Q$3:$Q$1002,1)*10000-V36)</f>
        <v/>
      </c>
      <c r="X36" s="25">
        <f>IF(Q36=1,IF(SUBSTITUTE(SUBSTITUTE(SUBSTITUTE(SUBSTITUTE(SUBSTITUTE(SUBSTITUTE(SUBSTITUTE(SUBSTITUTE(SUBSTITUTE(SUBSTITUTE(SUBSTITUTE(SUBSTITUTE(LOWER(TRIM(A36)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36)),"á","a"),"é","e"),"í","i"),"ó","o"),"ú","u"),"ü","u"),"ñ","n"),"à","a"),"è","e"),"ì","i"),"ò","o"),"ù","u")),"")</f>
        <v/>
      </c>
      <c r="Y36" s="25">
        <f>IF(X36="","",IF(IFERROR(COUNTIF(X$3:X36,"="&amp;SUBSTITUTE(SUBSTITUTE(SUBSTITUTE(X36,"~","~~"),"*","~*"),"?","~?")),0)=1,1,""))</f>
        <v/>
      </c>
      <c r="Z36" s="25">
        <f>IF(T36=1,MAX(Z$2:Z35)+1,"")</f>
        <v/>
      </c>
    </row>
    <row r="37">
      <c r="A37">
        <f>IF(A$2=0,"",IFERROR(TRIM(INDEX('Pegar calibracion'!$A$1:$BZ$1001,36,A$2)&amp;""),""))</f>
        <v/>
      </c>
      <c r="B37">
        <f>IF(B$2=0,"",IFERROR(TRIM(INDEX('Pegar calibracion'!$A$1:$BZ$1001,36,B$2)&amp;""),""))</f>
        <v/>
      </c>
      <c r="C37">
        <f>IF(C$2=0,"",IFERROR(TRIM(INDEX('Pegar calibracion'!$A$1:$BZ$1001,36,C$2)&amp;""),""))</f>
        <v/>
      </c>
      <c r="D37">
        <f>IF(D$2=0,"",IFERROR(TRIM(INDEX('Pegar calibracion'!$A$1:$BZ$1001,36,D$2)&amp;""),""))</f>
        <v/>
      </c>
      <c r="E37">
        <f>IF(E$2=0,"",IFERROR(TRIM(INDEX('Pegar calibracion'!$A$1:$BZ$1001,36,E$2)&amp;""),""))</f>
        <v/>
      </c>
      <c r="F37">
        <f>IF(F$2=0,"",IFERROR(TRIM(INDEX('Pegar calibracion'!$A$1:$BZ$1001,36,F$2)&amp;""),""))</f>
        <v/>
      </c>
      <c r="G37">
        <f>IF(G$2=0,"",IFERROR(TRIM(INDEX('Pegar calibracion'!$A$1:$BZ$1001,36,G$2)&amp;""),""))</f>
        <v/>
      </c>
      <c r="H37">
        <f>IF(H$2=0,"",IFERROR(TRIM(INDEX('Pegar calibracion'!$A$1:$BZ$1001,36,H$2)&amp;""),""))</f>
        <v/>
      </c>
      <c r="I37">
        <f>IF(I$2=0,"",IFERROR(TRIM(INDEX('Pegar calibracion'!$A$1:$BZ$1001,36,I$2)&amp;""),""))</f>
        <v/>
      </c>
      <c r="J37">
        <f>IF(J$2=0,"",IFERROR(TRIM(INDEX('Pegar calibracion'!$A$1:$BZ$1001,36,J$2)&amp;""),""))</f>
        <v/>
      </c>
      <c r="K37">
        <f>IF(K$2=0,"",IFERROR(TRIM(INDEX('Pegar calibracion'!$A$1:$BZ$1001,36,K$2)&amp;""),""))</f>
        <v/>
      </c>
      <c r="L37">
        <f>IF(L$2=0,"",IFERROR(TRIM(INDEX('Pegar calibracion'!$A$1:$BZ$1001,36,L$2)&amp;""),""))</f>
        <v/>
      </c>
      <c r="M37" s="25">
        <f>IF(D37="","",SUBSTITUTE(SUBSTITUTE(SUBSTITUTE(SUBSTITUTE(SUBSTITUTE(SUBSTITUTE(SUBSTITUTE(SUBSTITUTE(SUBSTITUTE(SUBSTITUTE(SUBSTITUTE(SUBSTITUTE(LOWER(TRIM(D37)),"á","a"),"é","e"),"í","i"),"ó","o"),"ú","u"),"ü","u"),"ñ","n"),"à","a"),"è","e"),"ì","i"),"ò","o"),"ù","u"))</f>
        <v/>
      </c>
      <c r="N37" s="25">
        <f>IF(F37="","",SUBSTITUTE(SUBSTITUTE(SUBSTITUTE(SUBSTITUTE(SUBSTITUTE(SUBSTITUTE(SUBSTITUTE(SUBSTITUTE(SUBSTITUTE(SUBSTITUTE(SUBSTITUTE(SUBSTITUTE(LOWER(TRIM(F37)),"á","a"),"é","e"),"í","i"),"ó","o"),"ú","u"),"ü","u"),"ñ","n"),"à","a"),"è","e"),"ì","i"),"ò","o"),"ù","u"))</f>
        <v/>
      </c>
      <c r="O37" s="25">
        <f>IF(M37="confiable",2,IF(M37="dudosa",1,IF(M37="no confiable",0,"")))</f>
        <v/>
      </c>
      <c r="P37" s="25">
        <f>IF(N37="confiable",2,IF(N37="dudosa",1,IF(N37="no confiable",0,"")))</f>
        <v/>
      </c>
      <c r="Q37" s="25">
        <f>IF(AND(ISNUMBER(O37),ISNUMBER(P37)),1,"")</f>
        <v/>
      </c>
      <c r="R37" s="25">
        <f>IF(Q37=1,IF(O37=P37,"Sí","No"),"")</f>
        <v/>
      </c>
      <c r="S37" s="25">
        <f>IF(Q37=1,IF(P37&lt;O37,"Más estricto",IF(P37&gt;O37,"Más permisivo","Igual")),"")</f>
        <v/>
      </c>
      <c r="T37" s="25">
        <f>IF(Q37=1,IF(ABS(O37-P37)=2,1,0),"")</f>
        <v/>
      </c>
      <c r="U37" s="25">
        <f>IF(H37="","","|"&amp;SUBSTITUTE(SUBSTITUTE(TRIM(H37)," |","|"),"| ","|")&amp;"|")</f>
        <v/>
      </c>
      <c r="V37" s="25">
        <f>IF(AND(Q37=1,B37&lt;&gt;""),IF(IFERROR(COUNTIFS(B$3:B37,"="&amp;SUBSTITUTE(SUBSTITUTE(SUBSTITUTE(B37,"~","~~"),"*","~*"),"?","~?"),Q$3:Q37,1),0)=1,MAX(V$2:V36)+1,""),"")</f>
        <v/>
      </c>
      <c r="W37" s="25">
        <f>IF(V37="","",COUNTIFS($B$3:$B$1002,"="&amp;SUBSTITUTE(SUBSTITUTE(SUBSTITUTE(B37,"~","~~"),"*","~*"),"?","~?"),$Q$3:$Q$1002,1)*10000-V37)</f>
        <v/>
      </c>
      <c r="X37" s="25">
        <f>IF(Q37=1,IF(SUBSTITUTE(SUBSTITUTE(SUBSTITUTE(SUBSTITUTE(SUBSTITUTE(SUBSTITUTE(SUBSTITUTE(SUBSTITUTE(SUBSTITUTE(SUBSTITUTE(SUBSTITUTE(SUBSTITUTE(LOWER(TRIM(A37)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37)),"á","a"),"é","e"),"í","i"),"ó","o"),"ú","u"),"ü","u"),"ñ","n"),"à","a"),"è","e"),"ì","i"),"ò","o"),"ù","u")),"")</f>
        <v/>
      </c>
      <c r="Y37" s="25">
        <f>IF(X37="","",IF(IFERROR(COUNTIF(X$3:X37,"="&amp;SUBSTITUTE(SUBSTITUTE(SUBSTITUTE(X37,"~","~~"),"*","~*"),"?","~?")),0)=1,1,""))</f>
        <v/>
      </c>
      <c r="Z37" s="25">
        <f>IF(T37=1,MAX(Z$2:Z36)+1,"")</f>
        <v/>
      </c>
    </row>
    <row r="38">
      <c r="A38">
        <f>IF(A$2=0,"",IFERROR(TRIM(INDEX('Pegar calibracion'!$A$1:$BZ$1001,37,A$2)&amp;""),""))</f>
        <v/>
      </c>
      <c r="B38">
        <f>IF(B$2=0,"",IFERROR(TRIM(INDEX('Pegar calibracion'!$A$1:$BZ$1001,37,B$2)&amp;""),""))</f>
        <v/>
      </c>
      <c r="C38">
        <f>IF(C$2=0,"",IFERROR(TRIM(INDEX('Pegar calibracion'!$A$1:$BZ$1001,37,C$2)&amp;""),""))</f>
        <v/>
      </c>
      <c r="D38">
        <f>IF(D$2=0,"",IFERROR(TRIM(INDEX('Pegar calibracion'!$A$1:$BZ$1001,37,D$2)&amp;""),""))</f>
        <v/>
      </c>
      <c r="E38">
        <f>IF(E$2=0,"",IFERROR(TRIM(INDEX('Pegar calibracion'!$A$1:$BZ$1001,37,E$2)&amp;""),""))</f>
        <v/>
      </c>
      <c r="F38">
        <f>IF(F$2=0,"",IFERROR(TRIM(INDEX('Pegar calibracion'!$A$1:$BZ$1001,37,F$2)&amp;""),""))</f>
        <v/>
      </c>
      <c r="G38">
        <f>IF(G$2=0,"",IFERROR(TRIM(INDEX('Pegar calibracion'!$A$1:$BZ$1001,37,G$2)&amp;""),""))</f>
        <v/>
      </c>
      <c r="H38">
        <f>IF(H$2=0,"",IFERROR(TRIM(INDEX('Pegar calibracion'!$A$1:$BZ$1001,37,H$2)&amp;""),""))</f>
        <v/>
      </c>
      <c r="I38">
        <f>IF(I$2=0,"",IFERROR(TRIM(INDEX('Pegar calibracion'!$A$1:$BZ$1001,37,I$2)&amp;""),""))</f>
        <v/>
      </c>
      <c r="J38">
        <f>IF(J$2=0,"",IFERROR(TRIM(INDEX('Pegar calibracion'!$A$1:$BZ$1001,37,J$2)&amp;""),""))</f>
        <v/>
      </c>
      <c r="K38">
        <f>IF(K$2=0,"",IFERROR(TRIM(INDEX('Pegar calibracion'!$A$1:$BZ$1001,37,K$2)&amp;""),""))</f>
        <v/>
      </c>
      <c r="L38">
        <f>IF(L$2=0,"",IFERROR(TRIM(INDEX('Pegar calibracion'!$A$1:$BZ$1001,37,L$2)&amp;""),""))</f>
        <v/>
      </c>
      <c r="M38" s="25">
        <f>IF(D38="","",SUBSTITUTE(SUBSTITUTE(SUBSTITUTE(SUBSTITUTE(SUBSTITUTE(SUBSTITUTE(SUBSTITUTE(SUBSTITUTE(SUBSTITUTE(SUBSTITUTE(SUBSTITUTE(SUBSTITUTE(LOWER(TRIM(D38)),"á","a"),"é","e"),"í","i"),"ó","o"),"ú","u"),"ü","u"),"ñ","n"),"à","a"),"è","e"),"ì","i"),"ò","o"),"ù","u"))</f>
        <v/>
      </c>
      <c r="N38" s="25">
        <f>IF(F38="","",SUBSTITUTE(SUBSTITUTE(SUBSTITUTE(SUBSTITUTE(SUBSTITUTE(SUBSTITUTE(SUBSTITUTE(SUBSTITUTE(SUBSTITUTE(SUBSTITUTE(SUBSTITUTE(SUBSTITUTE(LOWER(TRIM(F38)),"á","a"),"é","e"),"í","i"),"ó","o"),"ú","u"),"ü","u"),"ñ","n"),"à","a"),"è","e"),"ì","i"),"ò","o"),"ù","u"))</f>
        <v/>
      </c>
      <c r="O38" s="25">
        <f>IF(M38="confiable",2,IF(M38="dudosa",1,IF(M38="no confiable",0,"")))</f>
        <v/>
      </c>
      <c r="P38" s="25">
        <f>IF(N38="confiable",2,IF(N38="dudosa",1,IF(N38="no confiable",0,"")))</f>
        <v/>
      </c>
      <c r="Q38" s="25">
        <f>IF(AND(ISNUMBER(O38),ISNUMBER(P38)),1,"")</f>
        <v/>
      </c>
      <c r="R38" s="25">
        <f>IF(Q38=1,IF(O38=P38,"Sí","No"),"")</f>
        <v/>
      </c>
      <c r="S38" s="25">
        <f>IF(Q38=1,IF(P38&lt;O38,"Más estricto",IF(P38&gt;O38,"Más permisivo","Igual")),"")</f>
        <v/>
      </c>
      <c r="T38" s="25">
        <f>IF(Q38=1,IF(ABS(O38-P38)=2,1,0),"")</f>
        <v/>
      </c>
      <c r="U38" s="25">
        <f>IF(H38="","","|"&amp;SUBSTITUTE(SUBSTITUTE(TRIM(H38)," |","|"),"| ","|")&amp;"|")</f>
        <v/>
      </c>
      <c r="V38" s="25">
        <f>IF(AND(Q38=1,B38&lt;&gt;""),IF(IFERROR(COUNTIFS(B$3:B38,"="&amp;SUBSTITUTE(SUBSTITUTE(SUBSTITUTE(B38,"~","~~"),"*","~*"),"?","~?"),Q$3:Q38,1),0)=1,MAX(V$2:V37)+1,""),"")</f>
        <v/>
      </c>
      <c r="W38" s="25">
        <f>IF(V38="","",COUNTIFS($B$3:$B$1002,"="&amp;SUBSTITUTE(SUBSTITUTE(SUBSTITUTE(B38,"~","~~"),"*","~*"),"?","~?"),$Q$3:$Q$1002,1)*10000-V38)</f>
        <v/>
      </c>
      <c r="X38" s="25">
        <f>IF(Q38=1,IF(SUBSTITUTE(SUBSTITUTE(SUBSTITUTE(SUBSTITUTE(SUBSTITUTE(SUBSTITUTE(SUBSTITUTE(SUBSTITUTE(SUBSTITUTE(SUBSTITUTE(SUBSTITUTE(SUBSTITUTE(LOWER(TRIM(A38)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38)),"á","a"),"é","e"),"í","i"),"ó","o"),"ú","u"),"ü","u"),"ñ","n"),"à","a"),"è","e"),"ì","i"),"ò","o"),"ù","u")),"")</f>
        <v/>
      </c>
      <c r="Y38" s="25">
        <f>IF(X38="","",IF(IFERROR(COUNTIF(X$3:X38,"="&amp;SUBSTITUTE(SUBSTITUTE(SUBSTITUTE(X38,"~","~~"),"*","~*"),"?","~?")),0)=1,1,""))</f>
        <v/>
      </c>
      <c r="Z38" s="25">
        <f>IF(T38=1,MAX(Z$2:Z37)+1,"")</f>
        <v/>
      </c>
    </row>
    <row r="39">
      <c r="A39">
        <f>IF(A$2=0,"",IFERROR(TRIM(INDEX('Pegar calibracion'!$A$1:$BZ$1001,38,A$2)&amp;""),""))</f>
        <v/>
      </c>
      <c r="B39">
        <f>IF(B$2=0,"",IFERROR(TRIM(INDEX('Pegar calibracion'!$A$1:$BZ$1001,38,B$2)&amp;""),""))</f>
        <v/>
      </c>
      <c r="C39">
        <f>IF(C$2=0,"",IFERROR(TRIM(INDEX('Pegar calibracion'!$A$1:$BZ$1001,38,C$2)&amp;""),""))</f>
        <v/>
      </c>
      <c r="D39">
        <f>IF(D$2=0,"",IFERROR(TRIM(INDEX('Pegar calibracion'!$A$1:$BZ$1001,38,D$2)&amp;""),""))</f>
        <v/>
      </c>
      <c r="E39">
        <f>IF(E$2=0,"",IFERROR(TRIM(INDEX('Pegar calibracion'!$A$1:$BZ$1001,38,E$2)&amp;""),""))</f>
        <v/>
      </c>
      <c r="F39">
        <f>IF(F$2=0,"",IFERROR(TRIM(INDEX('Pegar calibracion'!$A$1:$BZ$1001,38,F$2)&amp;""),""))</f>
        <v/>
      </c>
      <c r="G39">
        <f>IF(G$2=0,"",IFERROR(TRIM(INDEX('Pegar calibracion'!$A$1:$BZ$1001,38,G$2)&amp;""),""))</f>
        <v/>
      </c>
      <c r="H39">
        <f>IF(H$2=0,"",IFERROR(TRIM(INDEX('Pegar calibracion'!$A$1:$BZ$1001,38,H$2)&amp;""),""))</f>
        <v/>
      </c>
      <c r="I39">
        <f>IF(I$2=0,"",IFERROR(TRIM(INDEX('Pegar calibracion'!$A$1:$BZ$1001,38,I$2)&amp;""),""))</f>
        <v/>
      </c>
      <c r="J39">
        <f>IF(J$2=0,"",IFERROR(TRIM(INDEX('Pegar calibracion'!$A$1:$BZ$1001,38,J$2)&amp;""),""))</f>
        <v/>
      </c>
      <c r="K39">
        <f>IF(K$2=0,"",IFERROR(TRIM(INDEX('Pegar calibracion'!$A$1:$BZ$1001,38,K$2)&amp;""),""))</f>
        <v/>
      </c>
      <c r="L39">
        <f>IF(L$2=0,"",IFERROR(TRIM(INDEX('Pegar calibracion'!$A$1:$BZ$1001,38,L$2)&amp;""),""))</f>
        <v/>
      </c>
      <c r="M39" s="25">
        <f>IF(D39="","",SUBSTITUTE(SUBSTITUTE(SUBSTITUTE(SUBSTITUTE(SUBSTITUTE(SUBSTITUTE(SUBSTITUTE(SUBSTITUTE(SUBSTITUTE(SUBSTITUTE(SUBSTITUTE(SUBSTITUTE(LOWER(TRIM(D39)),"á","a"),"é","e"),"í","i"),"ó","o"),"ú","u"),"ü","u"),"ñ","n"),"à","a"),"è","e"),"ì","i"),"ò","o"),"ù","u"))</f>
        <v/>
      </c>
      <c r="N39" s="25">
        <f>IF(F39="","",SUBSTITUTE(SUBSTITUTE(SUBSTITUTE(SUBSTITUTE(SUBSTITUTE(SUBSTITUTE(SUBSTITUTE(SUBSTITUTE(SUBSTITUTE(SUBSTITUTE(SUBSTITUTE(SUBSTITUTE(LOWER(TRIM(F39)),"á","a"),"é","e"),"í","i"),"ó","o"),"ú","u"),"ü","u"),"ñ","n"),"à","a"),"è","e"),"ì","i"),"ò","o"),"ù","u"))</f>
        <v/>
      </c>
      <c r="O39" s="25">
        <f>IF(M39="confiable",2,IF(M39="dudosa",1,IF(M39="no confiable",0,"")))</f>
        <v/>
      </c>
      <c r="P39" s="25">
        <f>IF(N39="confiable",2,IF(N39="dudosa",1,IF(N39="no confiable",0,"")))</f>
        <v/>
      </c>
      <c r="Q39" s="25">
        <f>IF(AND(ISNUMBER(O39),ISNUMBER(P39)),1,"")</f>
        <v/>
      </c>
      <c r="R39" s="25">
        <f>IF(Q39=1,IF(O39=P39,"Sí","No"),"")</f>
        <v/>
      </c>
      <c r="S39" s="25">
        <f>IF(Q39=1,IF(P39&lt;O39,"Más estricto",IF(P39&gt;O39,"Más permisivo","Igual")),"")</f>
        <v/>
      </c>
      <c r="T39" s="25">
        <f>IF(Q39=1,IF(ABS(O39-P39)=2,1,0),"")</f>
        <v/>
      </c>
      <c r="U39" s="25">
        <f>IF(H39="","","|"&amp;SUBSTITUTE(SUBSTITUTE(TRIM(H39)," |","|"),"| ","|")&amp;"|")</f>
        <v/>
      </c>
      <c r="V39" s="25">
        <f>IF(AND(Q39=1,B39&lt;&gt;""),IF(IFERROR(COUNTIFS(B$3:B39,"="&amp;SUBSTITUTE(SUBSTITUTE(SUBSTITUTE(B39,"~","~~"),"*","~*"),"?","~?"),Q$3:Q39,1),0)=1,MAX(V$2:V38)+1,""),"")</f>
        <v/>
      </c>
      <c r="W39" s="25">
        <f>IF(V39="","",COUNTIFS($B$3:$B$1002,"="&amp;SUBSTITUTE(SUBSTITUTE(SUBSTITUTE(B39,"~","~~"),"*","~*"),"?","~?"),$Q$3:$Q$1002,1)*10000-V39)</f>
        <v/>
      </c>
      <c r="X39" s="25">
        <f>IF(Q39=1,IF(SUBSTITUTE(SUBSTITUTE(SUBSTITUTE(SUBSTITUTE(SUBSTITUTE(SUBSTITUTE(SUBSTITUTE(SUBSTITUTE(SUBSTITUTE(SUBSTITUTE(SUBSTITUTE(SUBSTITUTE(LOWER(TRIM(A39)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39)),"á","a"),"é","e"),"í","i"),"ó","o"),"ú","u"),"ü","u"),"ñ","n"),"à","a"),"è","e"),"ì","i"),"ò","o"),"ù","u")),"")</f>
        <v/>
      </c>
      <c r="Y39" s="25">
        <f>IF(X39="","",IF(IFERROR(COUNTIF(X$3:X39,"="&amp;SUBSTITUTE(SUBSTITUTE(SUBSTITUTE(X39,"~","~~"),"*","~*"),"?","~?")),0)=1,1,""))</f>
        <v/>
      </c>
      <c r="Z39" s="25">
        <f>IF(T39=1,MAX(Z$2:Z38)+1,"")</f>
        <v/>
      </c>
    </row>
    <row r="40">
      <c r="A40">
        <f>IF(A$2=0,"",IFERROR(TRIM(INDEX('Pegar calibracion'!$A$1:$BZ$1001,39,A$2)&amp;""),""))</f>
        <v/>
      </c>
      <c r="B40">
        <f>IF(B$2=0,"",IFERROR(TRIM(INDEX('Pegar calibracion'!$A$1:$BZ$1001,39,B$2)&amp;""),""))</f>
        <v/>
      </c>
      <c r="C40">
        <f>IF(C$2=0,"",IFERROR(TRIM(INDEX('Pegar calibracion'!$A$1:$BZ$1001,39,C$2)&amp;""),""))</f>
        <v/>
      </c>
      <c r="D40">
        <f>IF(D$2=0,"",IFERROR(TRIM(INDEX('Pegar calibracion'!$A$1:$BZ$1001,39,D$2)&amp;""),""))</f>
        <v/>
      </c>
      <c r="E40">
        <f>IF(E$2=0,"",IFERROR(TRIM(INDEX('Pegar calibracion'!$A$1:$BZ$1001,39,E$2)&amp;""),""))</f>
        <v/>
      </c>
      <c r="F40">
        <f>IF(F$2=0,"",IFERROR(TRIM(INDEX('Pegar calibracion'!$A$1:$BZ$1001,39,F$2)&amp;""),""))</f>
        <v/>
      </c>
      <c r="G40">
        <f>IF(G$2=0,"",IFERROR(TRIM(INDEX('Pegar calibracion'!$A$1:$BZ$1001,39,G$2)&amp;""),""))</f>
        <v/>
      </c>
      <c r="H40">
        <f>IF(H$2=0,"",IFERROR(TRIM(INDEX('Pegar calibracion'!$A$1:$BZ$1001,39,H$2)&amp;""),""))</f>
        <v/>
      </c>
      <c r="I40">
        <f>IF(I$2=0,"",IFERROR(TRIM(INDEX('Pegar calibracion'!$A$1:$BZ$1001,39,I$2)&amp;""),""))</f>
        <v/>
      </c>
      <c r="J40">
        <f>IF(J$2=0,"",IFERROR(TRIM(INDEX('Pegar calibracion'!$A$1:$BZ$1001,39,J$2)&amp;""),""))</f>
        <v/>
      </c>
      <c r="K40">
        <f>IF(K$2=0,"",IFERROR(TRIM(INDEX('Pegar calibracion'!$A$1:$BZ$1001,39,K$2)&amp;""),""))</f>
        <v/>
      </c>
      <c r="L40">
        <f>IF(L$2=0,"",IFERROR(TRIM(INDEX('Pegar calibracion'!$A$1:$BZ$1001,39,L$2)&amp;""),""))</f>
        <v/>
      </c>
      <c r="M40" s="25">
        <f>IF(D40="","",SUBSTITUTE(SUBSTITUTE(SUBSTITUTE(SUBSTITUTE(SUBSTITUTE(SUBSTITUTE(SUBSTITUTE(SUBSTITUTE(SUBSTITUTE(SUBSTITUTE(SUBSTITUTE(SUBSTITUTE(LOWER(TRIM(D40)),"á","a"),"é","e"),"í","i"),"ó","o"),"ú","u"),"ü","u"),"ñ","n"),"à","a"),"è","e"),"ì","i"),"ò","o"),"ù","u"))</f>
        <v/>
      </c>
      <c r="N40" s="25">
        <f>IF(F40="","",SUBSTITUTE(SUBSTITUTE(SUBSTITUTE(SUBSTITUTE(SUBSTITUTE(SUBSTITUTE(SUBSTITUTE(SUBSTITUTE(SUBSTITUTE(SUBSTITUTE(SUBSTITUTE(SUBSTITUTE(LOWER(TRIM(F40)),"á","a"),"é","e"),"í","i"),"ó","o"),"ú","u"),"ü","u"),"ñ","n"),"à","a"),"è","e"),"ì","i"),"ò","o"),"ù","u"))</f>
        <v/>
      </c>
      <c r="O40" s="25">
        <f>IF(M40="confiable",2,IF(M40="dudosa",1,IF(M40="no confiable",0,"")))</f>
        <v/>
      </c>
      <c r="P40" s="25">
        <f>IF(N40="confiable",2,IF(N40="dudosa",1,IF(N40="no confiable",0,"")))</f>
        <v/>
      </c>
      <c r="Q40" s="25">
        <f>IF(AND(ISNUMBER(O40),ISNUMBER(P40)),1,"")</f>
        <v/>
      </c>
      <c r="R40" s="25">
        <f>IF(Q40=1,IF(O40=P40,"Sí","No"),"")</f>
        <v/>
      </c>
      <c r="S40" s="25">
        <f>IF(Q40=1,IF(P40&lt;O40,"Más estricto",IF(P40&gt;O40,"Más permisivo","Igual")),"")</f>
        <v/>
      </c>
      <c r="T40" s="25">
        <f>IF(Q40=1,IF(ABS(O40-P40)=2,1,0),"")</f>
        <v/>
      </c>
      <c r="U40" s="25">
        <f>IF(H40="","","|"&amp;SUBSTITUTE(SUBSTITUTE(TRIM(H40)," |","|"),"| ","|")&amp;"|")</f>
        <v/>
      </c>
      <c r="V40" s="25">
        <f>IF(AND(Q40=1,B40&lt;&gt;""),IF(IFERROR(COUNTIFS(B$3:B40,"="&amp;SUBSTITUTE(SUBSTITUTE(SUBSTITUTE(B40,"~","~~"),"*","~*"),"?","~?"),Q$3:Q40,1),0)=1,MAX(V$2:V39)+1,""),"")</f>
        <v/>
      </c>
      <c r="W40" s="25">
        <f>IF(V40="","",COUNTIFS($B$3:$B$1002,"="&amp;SUBSTITUTE(SUBSTITUTE(SUBSTITUTE(B40,"~","~~"),"*","~*"),"?","~?"),$Q$3:$Q$1002,1)*10000-V40)</f>
        <v/>
      </c>
      <c r="X40" s="25">
        <f>IF(Q40=1,IF(SUBSTITUTE(SUBSTITUTE(SUBSTITUTE(SUBSTITUTE(SUBSTITUTE(SUBSTITUTE(SUBSTITUTE(SUBSTITUTE(SUBSTITUTE(SUBSTITUTE(SUBSTITUTE(SUBSTITUTE(LOWER(TRIM(A40)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40)),"á","a"),"é","e"),"í","i"),"ó","o"),"ú","u"),"ü","u"),"ñ","n"),"à","a"),"è","e"),"ì","i"),"ò","o"),"ù","u")),"")</f>
        <v/>
      </c>
      <c r="Y40" s="25">
        <f>IF(X40="","",IF(IFERROR(COUNTIF(X$3:X40,"="&amp;SUBSTITUTE(SUBSTITUTE(SUBSTITUTE(X40,"~","~~"),"*","~*"),"?","~?")),0)=1,1,""))</f>
        <v/>
      </c>
      <c r="Z40" s="25">
        <f>IF(T40=1,MAX(Z$2:Z39)+1,"")</f>
        <v/>
      </c>
    </row>
    <row r="41">
      <c r="A41">
        <f>IF(A$2=0,"",IFERROR(TRIM(INDEX('Pegar calibracion'!$A$1:$BZ$1001,40,A$2)&amp;""),""))</f>
        <v/>
      </c>
      <c r="B41">
        <f>IF(B$2=0,"",IFERROR(TRIM(INDEX('Pegar calibracion'!$A$1:$BZ$1001,40,B$2)&amp;""),""))</f>
        <v/>
      </c>
      <c r="C41">
        <f>IF(C$2=0,"",IFERROR(TRIM(INDEX('Pegar calibracion'!$A$1:$BZ$1001,40,C$2)&amp;""),""))</f>
        <v/>
      </c>
      <c r="D41">
        <f>IF(D$2=0,"",IFERROR(TRIM(INDEX('Pegar calibracion'!$A$1:$BZ$1001,40,D$2)&amp;""),""))</f>
        <v/>
      </c>
      <c r="E41">
        <f>IF(E$2=0,"",IFERROR(TRIM(INDEX('Pegar calibracion'!$A$1:$BZ$1001,40,E$2)&amp;""),""))</f>
        <v/>
      </c>
      <c r="F41">
        <f>IF(F$2=0,"",IFERROR(TRIM(INDEX('Pegar calibracion'!$A$1:$BZ$1001,40,F$2)&amp;""),""))</f>
        <v/>
      </c>
      <c r="G41">
        <f>IF(G$2=0,"",IFERROR(TRIM(INDEX('Pegar calibracion'!$A$1:$BZ$1001,40,G$2)&amp;""),""))</f>
        <v/>
      </c>
      <c r="H41">
        <f>IF(H$2=0,"",IFERROR(TRIM(INDEX('Pegar calibracion'!$A$1:$BZ$1001,40,H$2)&amp;""),""))</f>
        <v/>
      </c>
      <c r="I41">
        <f>IF(I$2=0,"",IFERROR(TRIM(INDEX('Pegar calibracion'!$A$1:$BZ$1001,40,I$2)&amp;""),""))</f>
        <v/>
      </c>
      <c r="J41">
        <f>IF(J$2=0,"",IFERROR(TRIM(INDEX('Pegar calibracion'!$A$1:$BZ$1001,40,J$2)&amp;""),""))</f>
        <v/>
      </c>
      <c r="K41">
        <f>IF(K$2=0,"",IFERROR(TRIM(INDEX('Pegar calibracion'!$A$1:$BZ$1001,40,K$2)&amp;""),""))</f>
        <v/>
      </c>
      <c r="L41">
        <f>IF(L$2=0,"",IFERROR(TRIM(INDEX('Pegar calibracion'!$A$1:$BZ$1001,40,L$2)&amp;""),""))</f>
        <v/>
      </c>
      <c r="M41" s="25">
        <f>IF(D41="","",SUBSTITUTE(SUBSTITUTE(SUBSTITUTE(SUBSTITUTE(SUBSTITUTE(SUBSTITUTE(SUBSTITUTE(SUBSTITUTE(SUBSTITUTE(SUBSTITUTE(SUBSTITUTE(SUBSTITUTE(LOWER(TRIM(D41)),"á","a"),"é","e"),"í","i"),"ó","o"),"ú","u"),"ü","u"),"ñ","n"),"à","a"),"è","e"),"ì","i"),"ò","o"),"ù","u"))</f>
        <v/>
      </c>
      <c r="N41" s="25">
        <f>IF(F41="","",SUBSTITUTE(SUBSTITUTE(SUBSTITUTE(SUBSTITUTE(SUBSTITUTE(SUBSTITUTE(SUBSTITUTE(SUBSTITUTE(SUBSTITUTE(SUBSTITUTE(SUBSTITUTE(SUBSTITUTE(LOWER(TRIM(F41)),"á","a"),"é","e"),"í","i"),"ó","o"),"ú","u"),"ü","u"),"ñ","n"),"à","a"),"è","e"),"ì","i"),"ò","o"),"ù","u"))</f>
        <v/>
      </c>
      <c r="O41" s="25">
        <f>IF(M41="confiable",2,IF(M41="dudosa",1,IF(M41="no confiable",0,"")))</f>
        <v/>
      </c>
      <c r="P41" s="25">
        <f>IF(N41="confiable",2,IF(N41="dudosa",1,IF(N41="no confiable",0,"")))</f>
        <v/>
      </c>
      <c r="Q41" s="25">
        <f>IF(AND(ISNUMBER(O41),ISNUMBER(P41)),1,"")</f>
        <v/>
      </c>
      <c r="R41" s="25">
        <f>IF(Q41=1,IF(O41=P41,"Sí","No"),"")</f>
        <v/>
      </c>
      <c r="S41" s="25">
        <f>IF(Q41=1,IF(P41&lt;O41,"Más estricto",IF(P41&gt;O41,"Más permisivo","Igual")),"")</f>
        <v/>
      </c>
      <c r="T41" s="25">
        <f>IF(Q41=1,IF(ABS(O41-P41)=2,1,0),"")</f>
        <v/>
      </c>
      <c r="U41" s="25">
        <f>IF(H41="","","|"&amp;SUBSTITUTE(SUBSTITUTE(TRIM(H41)," |","|"),"| ","|")&amp;"|")</f>
        <v/>
      </c>
      <c r="V41" s="25">
        <f>IF(AND(Q41=1,B41&lt;&gt;""),IF(IFERROR(COUNTIFS(B$3:B41,"="&amp;SUBSTITUTE(SUBSTITUTE(SUBSTITUTE(B41,"~","~~"),"*","~*"),"?","~?"),Q$3:Q41,1),0)=1,MAX(V$2:V40)+1,""),"")</f>
        <v/>
      </c>
      <c r="W41" s="25">
        <f>IF(V41="","",COUNTIFS($B$3:$B$1002,"="&amp;SUBSTITUTE(SUBSTITUTE(SUBSTITUTE(B41,"~","~~"),"*","~*"),"?","~?"),$Q$3:$Q$1002,1)*10000-V41)</f>
        <v/>
      </c>
      <c r="X41" s="25">
        <f>IF(Q41=1,IF(SUBSTITUTE(SUBSTITUTE(SUBSTITUTE(SUBSTITUTE(SUBSTITUTE(SUBSTITUTE(SUBSTITUTE(SUBSTITUTE(SUBSTITUTE(SUBSTITUTE(SUBSTITUTE(SUBSTITUTE(LOWER(TRIM(A41)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41)),"á","a"),"é","e"),"í","i"),"ó","o"),"ú","u"),"ü","u"),"ñ","n"),"à","a"),"è","e"),"ì","i"),"ò","o"),"ù","u")),"")</f>
        <v/>
      </c>
      <c r="Y41" s="25">
        <f>IF(X41="","",IF(IFERROR(COUNTIF(X$3:X41,"="&amp;SUBSTITUTE(SUBSTITUTE(SUBSTITUTE(X41,"~","~~"),"*","~*"),"?","~?")),0)=1,1,""))</f>
        <v/>
      </c>
      <c r="Z41" s="25">
        <f>IF(T41=1,MAX(Z$2:Z40)+1,"")</f>
        <v/>
      </c>
    </row>
    <row r="42">
      <c r="A42">
        <f>IF(A$2=0,"",IFERROR(TRIM(INDEX('Pegar calibracion'!$A$1:$BZ$1001,41,A$2)&amp;""),""))</f>
        <v/>
      </c>
      <c r="B42">
        <f>IF(B$2=0,"",IFERROR(TRIM(INDEX('Pegar calibracion'!$A$1:$BZ$1001,41,B$2)&amp;""),""))</f>
        <v/>
      </c>
      <c r="C42">
        <f>IF(C$2=0,"",IFERROR(TRIM(INDEX('Pegar calibracion'!$A$1:$BZ$1001,41,C$2)&amp;""),""))</f>
        <v/>
      </c>
      <c r="D42">
        <f>IF(D$2=0,"",IFERROR(TRIM(INDEX('Pegar calibracion'!$A$1:$BZ$1001,41,D$2)&amp;""),""))</f>
        <v/>
      </c>
      <c r="E42">
        <f>IF(E$2=0,"",IFERROR(TRIM(INDEX('Pegar calibracion'!$A$1:$BZ$1001,41,E$2)&amp;""),""))</f>
        <v/>
      </c>
      <c r="F42">
        <f>IF(F$2=0,"",IFERROR(TRIM(INDEX('Pegar calibracion'!$A$1:$BZ$1001,41,F$2)&amp;""),""))</f>
        <v/>
      </c>
      <c r="G42">
        <f>IF(G$2=0,"",IFERROR(TRIM(INDEX('Pegar calibracion'!$A$1:$BZ$1001,41,G$2)&amp;""),""))</f>
        <v/>
      </c>
      <c r="H42">
        <f>IF(H$2=0,"",IFERROR(TRIM(INDEX('Pegar calibracion'!$A$1:$BZ$1001,41,H$2)&amp;""),""))</f>
        <v/>
      </c>
      <c r="I42">
        <f>IF(I$2=0,"",IFERROR(TRIM(INDEX('Pegar calibracion'!$A$1:$BZ$1001,41,I$2)&amp;""),""))</f>
        <v/>
      </c>
      <c r="J42">
        <f>IF(J$2=0,"",IFERROR(TRIM(INDEX('Pegar calibracion'!$A$1:$BZ$1001,41,J$2)&amp;""),""))</f>
        <v/>
      </c>
      <c r="K42">
        <f>IF(K$2=0,"",IFERROR(TRIM(INDEX('Pegar calibracion'!$A$1:$BZ$1001,41,K$2)&amp;""),""))</f>
        <v/>
      </c>
      <c r="L42">
        <f>IF(L$2=0,"",IFERROR(TRIM(INDEX('Pegar calibracion'!$A$1:$BZ$1001,41,L$2)&amp;""),""))</f>
        <v/>
      </c>
      <c r="M42" s="25">
        <f>IF(D42="","",SUBSTITUTE(SUBSTITUTE(SUBSTITUTE(SUBSTITUTE(SUBSTITUTE(SUBSTITUTE(SUBSTITUTE(SUBSTITUTE(SUBSTITUTE(SUBSTITUTE(SUBSTITUTE(SUBSTITUTE(LOWER(TRIM(D42)),"á","a"),"é","e"),"í","i"),"ó","o"),"ú","u"),"ü","u"),"ñ","n"),"à","a"),"è","e"),"ì","i"),"ò","o"),"ù","u"))</f>
        <v/>
      </c>
      <c r="N42" s="25">
        <f>IF(F42="","",SUBSTITUTE(SUBSTITUTE(SUBSTITUTE(SUBSTITUTE(SUBSTITUTE(SUBSTITUTE(SUBSTITUTE(SUBSTITUTE(SUBSTITUTE(SUBSTITUTE(SUBSTITUTE(SUBSTITUTE(LOWER(TRIM(F42)),"á","a"),"é","e"),"í","i"),"ó","o"),"ú","u"),"ü","u"),"ñ","n"),"à","a"),"è","e"),"ì","i"),"ò","o"),"ù","u"))</f>
        <v/>
      </c>
      <c r="O42" s="25">
        <f>IF(M42="confiable",2,IF(M42="dudosa",1,IF(M42="no confiable",0,"")))</f>
        <v/>
      </c>
      <c r="P42" s="25">
        <f>IF(N42="confiable",2,IF(N42="dudosa",1,IF(N42="no confiable",0,"")))</f>
        <v/>
      </c>
      <c r="Q42" s="25">
        <f>IF(AND(ISNUMBER(O42),ISNUMBER(P42)),1,"")</f>
        <v/>
      </c>
      <c r="R42" s="25">
        <f>IF(Q42=1,IF(O42=P42,"Sí","No"),"")</f>
        <v/>
      </c>
      <c r="S42" s="25">
        <f>IF(Q42=1,IF(P42&lt;O42,"Más estricto",IF(P42&gt;O42,"Más permisivo","Igual")),"")</f>
        <v/>
      </c>
      <c r="T42" s="25">
        <f>IF(Q42=1,IF(ABS(O42-P42)=2,1,0),"")</f>
        <v/>
      </c>
      <c r="U42" s="25">
        <f>IF(H42="","","|"&amp;SUBSTITUTE(SUBSTITUTE(TRIM(H42)," |","|"),"| ","|")&amp;"|")</f>
        <v/>
      </c>
      <c r="V42" s="25">
        <f>IF(AND(Q42=1,B42&lt;&gt;""),IF(IFERROR(COUNTIFS(B$3:B42,"="&amp;SUBSTITUTE(SUBSTITUTE(SUBSTITUTE(B42,"~","~~"),"*","~*"),"?","~?"),Q$3:Q42,1),0)=1,MAX(V$2:V41)+1,""),"")</f>
        <v/>
      </c>
      <c r="W42" s="25">
        <f>IF(V42="","",COUNTIFS($B$3:$B$1002,"="&amp;SUBSTITUTE(SUBSTITUTE(SUBSTITUTE(B42,"~","~~"),"*","~*"),"?","~?"),$Q$3:$Q$1002,1)*10000-V42)</f>
        <v/>
      </c>
      <c r="X42" s="25">
        <f>IF(Q42=1,IF(SUBSTITUTE(SUBSTITUTE(SUBSTITUTE(SUBSTITUTE(SUBSTITUTE(SUBSTITUTE(SUBSTITUTE(SUBSTITUTE(SUBSTITUTE(SUBSTITUTE(SUBSTITUTE(SUBSTITUTE(LOWER(TRIM(A42)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42)),"á","a"),"é","e"),"í","i"),"ó","o"),"ú","u"),"ü","u"),"ñ","n"),"à","a"),"è","e"),"ì","i"),"ò","o"),"ù","u")),"")</f>
        <v/>
      </c>
      <c r="Y42" s="25">
        <f>IF(X42="","",IF(IFERROR(COUNTIF(X$3:X42,"="&amp;SUBSTITUTE(SUBSTITUTE(SUBSTITUTE(X42,"~","~~"),"*","~*"),"?","~?")),0)=1,1,""))</f>
        <v/>
      </c>
      <c r="Z42" s="25">
        <f>IF(T42=1,MAX(Z$2:Z41)+1,"")</f>
        <v/>
      </c>
    </row>
    <row r="43">
      <c r="A43">
        <f>IF(A$2=0,"",IFERROR(TRIM(INDEX('Pegar calibracion'!$A$1:$BZ$1001,42,A$2)&amp;""),""))</f>
        <v/>
      </c>
      <c r="B43">
        <f>IF(B$2=0,"",IFERROR(TRIM(INDEX('Pegar calibracion'!$A$1:$BZ$1001,42,B$2)&amp;""),""))</f>
        <v/>
      </c>
      <c r="C43">
        <f>IF(C$2=0,"",IFERROR(TRIM(INDEX('Pegar calibracion'!$A$1:$BZ$1001,42,C$2)&amp;""),""))</f>
        <v/>
      </c>
      <c r="D43">
        <f>IF(D$2=0,"",IFERROR(TRIM(INDEX('Pegar calibracion'!$A$1:$BZ$1001,42,D$2)&amp;""),""))</f>
        <v/>
      </c>
      <c r="E43">
        <f>IF(E$2=0,"",IFERROR(TRIM(INDEX('Pegar calibracion'!$A$1:$BZ$1001,42,E$2)&amp;""),""))</f>
        <v/>
      </c>
      <c r="F43">
        <f>IF(F$2=0,"",IFERROR(TRIM(INDEX('Pegar calibracion'!$A$1:$BZ$1001,42,F$2)&amp;""),""))</f>
        <v/>
      </c>
      <c r="G43">
        <f>IF(G$2=0,"",IFERROR(TRIM(INDEX('Pegar calibracion'!$A$1:$BZ$1001,42,G$2)&amp;""),""))</f>
        <v/>
      </c>
      <c r="H43">
        <f>IF(H$2=0,"",IFERROR(TRIM(INDEX('Pegar calibracion'!$A$1:$BZ$1001,42,H$2)&amp;""),""))</f>
        <v/>
      </c>
      <c r="I43">
        <f>IF(I$2=0,"",IFERROR(TRIM(INDEX('Pegar calibracion'!$A$1:$BZ$1001,42,I$2)&amp;""),""))</f>
        <v/>
      </c>
      <c r="J43">
        <f>IF(J$2=0,"",IFERROR(TRIM(INDEX('Pegar calibracion'!$A$1:$BZ$1001,42,J$2)&amp;""),""))</f>
        <v/>
      </c>
      <c r="K43">
        <f>IF(K$2=0,"",IFERROR(TRIM(INDEX('Pegar calibracion'!$A$1:$BZ$1001,42,K$2)&amp;""),""))</f>
        <v/>
      </c>
      <c r="L43">
        <f>IF(L$2=0,"",IFERROR(TRIM(INDEX('Pegar calibracion'!$A$1:$BZ$1001,42,L$2)&amp;""),""))</f>
        <v/>
      </c>
      <c r="M43" s="25">
        <f>IF(D43="","",SUBSTITUTE(SUBSTITUTE(SUBSTITUTE(SUBSTITUTE(SUBSTITUTE(SUBSTITUTE(SUBSTITUTE(SUBSTITUTE(SUBSTITUTE(SUBSTITUTE(SUBSTITUTE(SUBSTITUTE(LOWER(TRIM(D43)),"á","a"),"é","e"),"í","i"),"ó","o"),"ú","u"),"ü","u"),"ñ","n"),"à","a"),"è","e"),"ì","i"),"ò","o"),"ù","u"))</f>
        <v/>
      </c>
      <c r="N43" s="25">
        <f>IF(F43="","",SUBSTITUTE(SUBSTITUTE(SUBSTITUTE(SUBSTITUTE(SUBSTITUTE(SUBSTITUTE(SUBSTITUTE(SUBSTITUTE(SUBSTITUTE(SUBSTITUTE(SUBSTITUTE(SUBSTITUTE(LOWER(TRIM(F43)),"á","a"),"é","e"),"í","i"),"ó","o"),"ú","u"),"ü","u"),"ñ","n"),"à","a"),"è","e"),"ì","i"),"ò","o"),"ù","u"))</f>
        <v/>
      </c>
      <c r="O43" s="25">
        <f>IF(M43="confiable",2,IF(M43="dudosa",1,IF(M43="no confiable",0,"")))</f>
        <v/>
      </c>
      <c r="P43" s="25">
        <f>IF(N43="confiable",2,IF(N43="dudosa",1,IF(N43="no confiable",0,"")))</f>
        <v/>
      </c>
      <c r="Q43" s="25">
        <f>IF(AND(ISNUMBER(O43),ISNUMBER(P43)),1,"")</f>
        <v/>
      </c>
      <c r="R43" s="25">
        <f>IF(Q43=1,IF(O43=P43,"Sí","No"),"")</f>
        <v/>
      </c>
      <c r="S43" s="25">
        <f>IF(Q43=1,IF(P43&lt;O43,"Más estricto",IF(P43&gt;O43,"Más permisivo","Igual")),"")</f>
        <v/>
      </c>
      <c r="T43" s="25">
        <f>IF(Q43=1,IF(ABS(O43-P43)=2,1,0),"")</f>
        <v/>
      </c>
      <c r="U43" s="25">
        <f>IF(H43="","","|"&amp;SUBSTITUTE(SUBSTITUTE(TRIM(H43)," |","|"),"| ","|")&amp;"|")</f>
        <v/>
      </c>
      <c r="V43" s="25">
        <f>IF(AND(Q43=1,B43&lt;&gt;""),IF(IFERROR(COUNTIFS(B$3:B43,"="&amp;SUBSTITUTE(SUBSTITUTE(SUBSTITUTE(B43,"~","~~"),"*","~*"),"?","~?"),Q$3:Q43,1),0)=1,MAX(V$2:V42)+1,""),"")</f>
        <v/>
      </c>
      <c r="W43" s="25">
        <f>IF(V43="","",COUNTIFS($B$3:$B$1002,"="&amp;SUBSTITUTE(SUBSTITUTE(SUBSTITUTE(B43,"~","~~"),"*","~*"),"?","~?"),$Q$3:$Q$1002,1)*10000-V43)</f>
        <v/>
      </c>
      <c r="X43" s="25">
        <f>IF(Q43=1,IF(SUBSTITUTE(SUBSTITUTE(SUBSTITUTE(SUBSTITUTE(SUBSTITUTE(SUBSTITUTE(SUBSTITUTE(SUBSTITUTE(SUBSTITUTE(SUBSTITUTE(SUBSTITUTE(SUBSTITUTE(LOWER(TRIM(A43)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43)),"á","a"),"é","e"),"í","i"),"ó","o"),"ú","u"),"ü","u"),"ñ","n"),"à","a"),"è","e"),"ì","i"),"ò","o"),"ù","u")),"")</f>
        <v/>
      </c>
      <c r="Y43" s="25">
        <f>IF(X43="","",IF(IFERROR(COUNTIF(X$3:X43,"="&amp;SUBSTITUTE(SUBSTITUTE(SUBSTITUTE(X43,"~","~~"),"*","~*"),"?","~?")),0)=1,1,""))</f>
        <v/>
      </c>
      <c r="Z43" s="25">
        <f>IF(T43=1,MAX(Z$2:Z42)+1,"")</f>
        <v/>
      </c>
    </row>
    <row r="44">
      <c r="A44">
        <f>IF(A$2=0,"",IFERROR(TRIM(INDEX('Pegar calibracion'!$A$1:$BZ$1001,43,A$2)&amp;""),""))</f>
        <v/>
      </c>
      <c r="B44">
        <f>IF(B$2=0,"",IFERROR(TRIM(INDEX('Pegar calibracion'!$A$1:$BZ$1001,43,B$2)&amp;""),""))</f>
        <v/>
      </c>
      <c r="C44">
        <f>IF(C$2=0,"",IFERROR(TRIM(INDEX('Pegar calibracion'!$A$1:$BZ$1001,43,C$2)&amp;""),""))</f>
        <v/>
      </c>
      <c r="D44">
        <f>IF(D$2=0,"",IFERROR(TRIM(INDEX('Pegar calibracion'!$A$1:$BZ$1001,43,D$2)&amp;""),""))</f>
        <v/>
      </c>
      <c r="E44">
        <f>IF(E$2=0,"",IFERROR(TRIM(INDEX('Pegar calibracion'!$A$1:$BZ$1001,43,E$2)&amp;""),""))</f>
        <v/>
      </c>
      <c r="F44">
        <f>IF(F$2=0,"",IFERROR(TRIM(INDEX('Pegar calibracion'!$A$1:$BZ$1001,43,F$2)&amp;""),""))</f>
        <v/>
      </c>
      <c r="G44">
        <f>IF(G$2=0,"",IFERROR(TRIM(INDEX('Pegar calibracion'!$A$1:$BZ$1001,43,G$2)&amp;""),""))</f>
        <v/>
      </c>
      <c r="H44">
        <f>IF(H$2=0,"",IFERROR(TRIM(INDEX('Pegar calibracion'!$A$1:$BZ$1001,43,H$2)&amp;""),""))</f>
        <v/>
      </c>
      <c r="I44">
        <f>IF(I$2=0,"",IFERROR(TRIM(INDEX('Pegar calibracion'!$A$1:$BZ$1001,43,I$2)&amp;""),""))</f>
        <v/>
      </c>
      <c r="J44">
        <f>IF(J$2=0,"",IFERROR(TRIM(INDEX('Pegar calibracion'!$A$1:$BZ$1001,43,J$2)&amp;""),""))</f>
        <v/>
      </c>
      <c r="K44">
        <f>IF(K$2=0,"",IFERROR(TRIM(INDEX('Pegar calibracion'!$A$1:$BZ$1001,43,K$2)&amp;""),""))</f>
        <v/>
      </c>
      <c r="L44">
        <f>IF(L$2=0,"",IFERROR(TRIM(INDEX('Pegar calibracion'!$A$1:$BZ$1001,43,L$2)&amp;""),""))</f>
        <v/>
      </c>
      <c r="M44" s="25">
        <f>IF(D44="","",SUBSTITUTE(SUBSTITUTE(SUBSTITUTE(SUBSTITUTE(SUBSTITUTE(SUBSTITUTE(SUBSTITUTE(SUBSTITUTE(SUBSTITUTE(SUBSTITUTE(SUBSTITUTE(SUBSTITUTE(LOWER(TRIM(D44)),"á","a"),"é","e"),"í","i"),"ó","o"),"ú","u"),"ü","u"),"ñ","n"),"à","a"),"è","e"),"ì","i"),"ò","o"),"ù","u"))</f>
        <v/>
      </c>
      <c r="N44" s="25">
        <f>IF(F44="","",SUBSTITUTE(SUBSTITUTE(SUBSTITUTE(SUBSTITUTE(SUBSTITUTE(SUBSTITUTE(SUBSTITUTE(SUBSTITUTE(SUBSTITUTE(SUBSTITUTE(SUBSTITUTE(SUBSTITUTE(LOWER(TRIM(F44)),"á","a"),"é","e"),"í","i"),"ó","o"),"ú","u"),"ü","u"),"ñ","n"),"à","a"),"è","e"),"ì","i"),"ò","o"),"ù","u"))</f>
        <v/>
      </c>
      <c r="O44" s="25">
        <f>IF(M44="confiable",2,IF(M44="dudosa",1,IF(M44="no confiable",0,"")))</f>
        <v/>
      </c>
      <c r="P44" s="25">
        <f>IF(N44="confiable",2,IF(N44="dudosa",1,IF(N44="no confiable",0,"")))</f>
        <v/>
      </c>
      <c r="Q44" s="25">
        <f>IF(AND(ISNUMBER(O44),ISNUMBER(P44)),1,"")</f>
        <v/>
      </c>
      <c r="R44" s="25">
        <f>IF(Q44=1,IF(O44=P44,"Sí","No"),"")</f>
        <v/>
      </c>
      <c r="S44" s="25">
        <f>IF(Q44=1,IF(P44&lt;O44,"Más estricto",IF(P44&gt;O44,"Más permisivo","Igual")),"")</f>
        <v/>
      </c>
      <c r="T44" s="25">
        <f>IF(Q44=1,IF(ABS(O44-P44)=2,1,0),"")</f>
        <v/>
      </c>
      <c r="U44" s="25">
        <f>IF(H44="","","|"&amp;SUBSTITUTE(SUBSTITUTE(TRIM(H44)," |","|"),"| ","|")&amp;"|")</f>
        <v/>
      </c>
      <c r="V44" s="25">
        <f>IF(AND(Q44=1,B44&lt;&gt;""),IF(IFERROR(COUNTIFS(B$3:B44,"="&amp;SUBSTITUTE(SUBSTITUTE(SUBSTITUTE(B44,"~","~~"),"*","~*"),"?","~?"),Q$3:Q44,1),0)=1,MAX(V$2:V43)+1,""),"")</f>
        <v/>
      </c>
      <c r="W44" s="25">
        <f>IF(V44="","",COUNTIFS($B$3:$B$1002,"="&amp;SUBSTITUTE(SUBSTITUTE(SUBSTITUTE(B44,"~","~~"),"*","~*"),"?","~?"),$Q$3:$Q$1002,1)*10000-V44)</f>
        <v/>
      </c>
      <c r="X44" s="25">
        <f>IF(Q44=1,IF(SUBSTITUTE(SUBSTITUTE(SUBSTITUTE(SUBSTITUTE(SUBSTITUTE(SUBSTITUTE(SUBSTITUTE(SUBSTITUTE(SUBSTITUTE(SUBSTITUTE(SUBSTITUTE(SUBSTITUTE(LOWER(TRIM(A44)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44)),"á","a"),"é","e"),"í","i"),"ó","o"),"ú","u"),"ü","u"),"ñ","n"),"à","a"),"è","e"),"ì","i"),"ò","o"),"ù","u")),"")</f>
        <v/>
      </c>
      <c r="Y44" s="25">
        <f>IF(X44="","",IF(IFERROR(COUNTIF(X$3:X44,"="&amp;SUBSTITUTE(SUBSTITUTE(SUBSTITUTE(X44,"~","~~"),"*","~*"),"?","~?")),0)=1,1,""))</f>
        <v/>
      </c>
      <c r="Z44" s="25">
        <f>IF(T44=1,MAX(Z$2:Z43)+1,"")</f>
        <v/>
      </c>
    </row>
    <row r="45">
      <c r="A45">
        <f>IF(A$2=0,"",IFERROR(TRIM(INDEX('Pegar calibracion'!$A$1:$BZ$1001,44,A$2)&amp;""),""))</f>
        <v/>
      </c>
      <c r="B45">
        <f>IF(B$2=0,"",IFERROR(TRIM(INDEX('Pegar calibracion'!$A$1:$BZ$1001,44,B$2)&amp;""),""))</f>
        <v/>
      </c>
      <c r="C45">
        <f>IF(C$2=0,"",IFERROR(TRIM(INDEX('Pegar calibracion'!$A$1:$BZ$1001,44,C$2)&amp;""),""))</f>
        <v/>
      </c>
      <c r="D45">
        <f>IF(D$2=0,"",IFERROR(TRIM(INDEX('Pegar calibracion'!$A$1:$BZ$1001,44,D$2)&amp;""),""))</f>
        <v/>
      </c>
      <c r="E45">
        <f>IF(E$2=0,"",IFERROR(TRIM(INDEX('Pegar calibracion'!$A$1:$BZ$1001,44,E$2)&amp;""),""))</f>
        <v/>
      </c>
      <c r="F45">
        <f>IF(F$2=0,"",IFERROR(TRIM(INDEX('Pegar calibracion'!$A$1:$BZ$1001,44,F$2)&amp;""),""))</f>
        <v/>
      </c>
      <c r="G45">
        <f>IF(G$2=0,"",IFERROR(TRIM(INDEX('Pegar calibracion'!$A$1:$BZ$1001,44,G$2)&amp;""),""))</f>
        <v/>
      </c>
      <c r="H45">
        <f>IF(H$2=0,"",IFERROR(TRIM(INDEX('Pegar calibracion'!$A$1:$BZ$1001,44,H$2)&amp;""),""))</f>
        <v/>
      </c>
      <c r="I45">
        <f>IF(I$2=0,"",IFERROR(TRIM(INDEX('Pegar calibracion'!$A$1:$BZ$1001,44,I$2)&amp;""),""))</f>
        <v/>
      </c>
      <c r="J45">
        <f>IF(J$2=0,"",IFERROR(TRIM(INDEX('Pegar calibracion'!$A$1:$BZ$1001,44,J$2)&amp;""),""))</f>
        <v/>
      </c>
      <c r="K45">
        <f>IF(K$2=0,"",IFERROR(TRIM(INDEX('Pegar calibracion'!$A$1:$BZ$1001,44,K$2)&amp;""),""))</f>
        <v/>
      </c>
      <c r="L45">
        <f>IF(L$2=0,"",IFERROR(TRIM(INDEX('Pegar calibracion'!$A$1:$BZ$1001,44,L$2)&amp;""),""))</f>
        <v/>
      </c>
      <c r="M45" s="25">
        <f>IF(D45="","",SUBSTITUTE(SUBSTITUTE(SUBSTITUTE(SUBSTITUTE(SUBSTITUTE(SUBSTITUTE(SUBSTITUTE(SUBSTITUTE(SUBSTITUTE(SUBSTITUTE(SUBSTITUTE(SUBSTITUTE(LOWER(TRIM(D45)),"á","a"),"é","e"),"í","i"),"ó","o"),"ú","u"),"ü","u"),"ñ","n"),"à","a"),"è","e"),"ì","i"),"ò","o"),"ù","u"))</f>
        <v/>
      </c>
      <c r="N45" s="25">
        <f>IF(F45="","",SUBSTITUTE(SUBSTITUTE(SUBSTITUTE(SUBSTITUTE(SUBSTITUTE(SUBSTITUTE(SUBSTITUTE(SUBSTITUTE(SUBSTITUTE(SUBSTITUTE(SUBSTITUTE(SUBSTITUTE(LOWER(TRIM(F45)),"á","a"),"é","e"),"í","i"),"ó","o"),"ú","u"),"ü","u"),"ñ","n"),"à","a"),"è","e"),"ì","i"),"ò","o"),"ù","u"))</f>
        <v/>
      </c>
      <c r="O45" s="25">
        <f>IF(M45="confiable",2,IF(M45="dudosa",1,IF(M45="no confiable",0,"")))</f>
        <v/>
      </c>
      <c r="P45" s="25">
        <f>IF(N45="confiable",2,IF(N45="dudosa",1,IF(N45="no confiable",0,"")))</f>
        <v/>
      </c>
      <c r="Q45" s="25">
        <f>IF(AND(ISNUMBER(O45),ISNUMBER(P45)),1,"")</f>
        <v/>
      </c>
      <c r="R45" s="25">
        <f>IF(Q45=1,IF(O45=P45,"Sí","No"),"")</f>
        <v/>
      </c>
      <c r="S45" s="25">
        <f>IF(Q45=1,IF(P45&lt;O45,"Más estricto",IF(P45&gt;O45,"Más permisivo","Igual")),"")</f>
        <v/>
      </c>
      <c r="T45" s="25">
        <f>IF(Q45=1,IF(ABS(O45-P45)=2,1,0),"")</f>
        <v/>
      </c>
      <c r="U45" s="25">
        <f>IF(H45="","","|"&amp;SUBSTITUTE(SUBSTITUTE(TRIM(H45)," |","|"),"| ","|")&amp;"|")</f>
        <v/>
      </c>
      <c r="V45" s="25">
        <f>IF(AND(Q45=1,B45&lt;&gt;""),IF(IFERROR(COUNTIFS(B$3:B45,"="&amp;SUBSTITUTE(SUBSTITUTE(SUBSTITUTE(B45,"~","~~"),"*","~*"),"?","~?"),Q$3:Q45,1),0)=1,MAX(V$2:V44)+1,""),"")</f>
        <v/>
      </c>
      <c r="W45" s="25">
        <f>IF(V45="","",COUNTIFS($B$3:$B$1002,"="&amp;SUBSTITUTE(SUBSTITUTE(SUBSTITUTE(B45,"~","~~"),"*","~*"),"?","~?"),$Q$3:$Q$1002,1)*10000-V45)</f>
        <v/>
      </c>
      <c r="X45" s="25">
        <f>IF(Q45=1,IF(SUBSTITUTE(SUBSTITUTE(SUBSTITUTE(SUBSTITUTE(SUBSTITUTE(SUBSTITUTE(SUBSTITUTE(SUBSTITUTE(SUBSTITUTE(SUBSTITUTE(SUBSTITUTE(SUBSTITUTE(LOWER(TRIM(A45)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45)),"á","a"),"é","e"),"í","i"),"ó","o"),"ú","u"),"ü","u"),"ñ","n"),"à","a"),"è","e"),"ì","i"),"ò","o"),"ù","u")),"")</f>
        <v/>
      </c>
      <c r="Y45" s="25">
        <f>IF(X45="","",IF(IFERROR(COUNTIF(X$3:X45,"="&amp;SUBSTITUTE(SUBSTITUTE(SUBSTITUTE(X45,"~","~~"),"*","~*"),"?","~?")),0)=1,1,""))</f>
        <v/>
      </c>
      <c r="Z45" s="25">
        <f>IF(T45=1,MAX(Z$2:Z44)+1,"")</f>
        <v/>
      </c>
    </row>
    <row r="46">
      <c r="A46">
        <f>IF(A$2=0,"",IFERROR(TRIM(INDEX('Pegar calibracion'!$A$1:$BZ$1001,45,A$2)&amp;""),""))</f>
        <v/>
      </c>
      <c r="B46">
        <f>IF(B$2=0,"",IFERROR(TRIM(INDEX('Pegar calibracion'!$A$1:$BZ$1001,45,B$2)&amp;""),""))</f>
        <v/>
      </c>
      <c r="C46">
        <f>IF(C$2=0,"",IFERROR(TRIM(INDEX('Pegar calibracion'!$A$1:$BZ$1001,45,C$2)&amp;""),""))</f>
        <v/>
      </c>
      <c r="D46">
        <f>IF(D$2=0,"",IFERROR(TRIM(INDEX('Pegar calibracion'!$A$1:$BZ$1001,45,D$2)&amp;""),""))</f>
        <v/>
      </c>
      <c r="E46">
        <f>IF(E$2=0,"",IFERROR(TRIM(INDEX('Pegar calibracion'!$A$1:$BZ$1001,45,E$2)&amp;""),""))</f>
        <v/>
      </c>
      <c r="F46">
        <f>IF(F$2=0,"",IFERROR(TRIM(INDEX('Pegar calibracion'!$A$1:$BZ$1001,45,F$2)&amp;""),""))</f>
        <v/>
      </c>
      <c r="G46">
        <f>IF(G$2=0,"",IFERROR(TRIM(INDEX('Pegar calibracion'!$A$1:$BZ$1001,45,G$2)&amp;""),""))</f>
        <v/>
      </c>
      <c r="H46">
        <f>IF(H$2=0,"",IFERROR(TRIM(INDEX('Pegar calibracion'!$A$1:$BZ$1001,45,H$2)&amp;""),""))</f>
        <v/>
      </c>
      <c r="I46">
        <f>IF(I$2=0,"",IFERROR(TRIM(INDEX('Pegar calibracion'!$A$1:$BZ$1001,45,I$2)&amp;""),""))</f>
        <v/>
      </c>
      <c r="J46">
        <f>IF(J$2=0,"",IFERROR(TRIM(INDEX('Pegar calibracion'!$A$1:$BZ$1001,45,J$2)&amp;""),""))</f>
        <v/>
      </c>
      <c r="K46">
        <f>IF(K$2=0,"",IFERROR(TRIM(INDEX('Pegar calibracion'!$A$1:$BZ$1001,45,K$2)&amp;""),""))</f>
        <v/>
      </c>
      <c r="L46">
        <f>IF(L$2=0,"",IFERROR(TRIM(INDEX('Pegar calibracion'!$A$1:$BZ$1001,45,L$2)&amp;""),""))</f>
        <v/>
      </c>
      <c r="M46" s="25">
        <f>IF(D46="","",SUBSTITUTE(SUBSTITUTE(SUBSTITUTE(SUBSTITUTE(SUBSTITUTE(SUBSTITUTE(SUBSTITUTE(SUBSTITUTE(SUBSTITUTE(SUBSTITUTE(SUBSTITUTE(SUBSTITUTE(LOWER(TRIM(D46)),"á","a"),"é","e"),"í","i"),"ó","o"),"ú","u"),"ü","u"),"ñ","n"),"à","a"),"è","e"),"ì","i"),"ò","o"),"ù","u"))</f>
        <v/>
      </c>
      <c r="N46" s="25">
        <f>IF(F46="","",SUBSTITUTE(SUBSTITUTE(SUBSTITUTE(SUBSTITUTE(SUBSTITUTE(SUBSTITUTE(SUBSTITUTE(SUBSTITUTE(SUBSTITUTE(SUBSTITUTE(SUBSTITUTE(SUBSTITUTE(LOWER(TRIM(F46)),"á","a"),"é","e"),"í","i"),"ó","o"),"ú","u"),"ü","u"),"ñ","n"),"à","a"),"è","e"),"ì","i"),"ò","o"),"ù","u"))</f>
        <v/>
      </c>
      <c r="O46" s="25">
        <f>IF(M46="confiable",2,IF(M46="dudosa",1,IF(M46="no confiable",0,"")))</f>
        <v/>
      </c>
      <c r="P46" s="25">
        <f>IF(N46="confiable",2,IF(N46="dudosa",1,IF(N46="no confiable",0,"")))</f>
        <v/>
      </c>
      <c r="Q46" s="25">
        <f>IF(AND(ISNUMBER(O46),ISNUMBER(P46)),1,"")</f>
        <v/>
      </c>
      <c r="R46" s="25">
        <f>IF(Q46=1,IF(O46=P46,"Sí","No"),"")</f>
        <v/>
      </c>
      <c r="S46" s="25">
        <f>IF(Q46=1,IF(P46&lt;O46,"Más estricto",IF(P46&gt;O46,"Más permisivo","Igual")),"")</f>
        <v/>
      </c>
      <c r="T46" s="25">
        <f>IF(Q46=1,IF(ABS(O46-P46)=2,1,0),"")</f>
        <v/>
      </c>
      <c r="U46" s="25">
        <f>IF(H46="","","|"&amp;SUBSTITUTE(SUBSTITUTE(TRIM(H46)," |","|"),"| ","|")&amp;"|")</f>
        <v/>
      </c>
      <c r="V46" s="25">
        <f>IF(AND(Q46=1,B46&lt;&gt;""),IF(IFERROR(COUNTIFS(B$3:B46,"="&amp;SUBSTITUTE(SUBSTITUTE(SUBSTITUTE(B46,"~","~~"),"*","~*"),"?","~?"),Q$3:Q46,1),0)=1,MAX(V$2:V45)+1,""),"")</f>
        <v/>
      </c>
      <c r="W46" s="25">
        <f>IF(V46="","",COUNTIFS($B$3:$B$1002,"="&amp;SUBSTITUTE(SUBSTITUTE(SUBSTITUTE(B46,"~","~~"),"*","~*"),"?","~?"),$Q$3:$Q$1002,1)*10000-V46)</f>
        <v/>
      </c>
      <c r="X46" s="25">
        <f>IF(Q46=1,IF(SUBSTITUTE(SUBSTITUTE(SUBSTITUTE(SUBSTITUTE(SUBSTITUTE(SUBSTITUTE(SUBSTITUTE(SUBSTITUTE(SUBSTITUTE(SUBSTITUTE(SUBSTITUTE(SUBSTITUTE(LOWER(TRIM(A46)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46)),"á","a"),"é","e"),"í","i"),"ó","o"),"ú","u"),"ü","u"),"ñ","n"),"à","a"),"è","e"),"ì","i"),"ò","o"),"ù","u")),"")</f>
        <v/>
      </c>
      <c r="Y46" s="25">
        <f>IF(X46="","",IF(IFERROR(COUNTIF(X$3:X46,"="&amp;SUBSTITUTE(SUBSTITUTE(SUBSTITUTE(X46,"~","~~"),"*","~*"),"?","~?")),0)=1,1,""))</f>
        <v/>
      </c>
      <c r="Z46" s="25">
        <f>IF(T46=1,MAX(Z$2:Z45)+1,"")</f>
        <v/>
      </c>
    </row>
    <row r="47">
      <c r="A47">
        <f>IF(A$2=0,"",IFERROR(TRIM(INDEX('Pegar calibracion'!$A$1:$BZ$1001,46,A$2)&amp;""),""))</f>
        <v/>
      </c>
      <c r="B47">
        <f>IF(B$2=0,"",IFERROR(TRIM(INDEX('Pegar calibracion'!$A$1:$BZ$1001,46,B$2)&amp;""),""))</f>
        <v/>
      </c>
      <c r="C47">
        <f>IF(C$2=0,"",IFERROR(TRIM(INDEX('Pegar calibracion'!$A$1:$BZ$1001,46,C$2)&amp;""),""))</f>
        <v/>
      </c>
      <c r="D47">
        <f>IF(D$2=0,"",IFERROR(TRIM(INDEX('Pegar calibracion'!$A$1:$BZ$1001,46,D$2)&amp;""),""))</f>
        <v/>
      </c>
      <c r="E47">
        <f>IF(E$2=0,"",IFERROR(TRIM(INDEX('Pegar calibracion'!$A$1:$BZ$1001,46,E$2)&amp;""),""))</f>
        <v/>
      </c>
      <c r="F47">
        <f>IF(F$2=0,"",IFERROR(TRIM(INDEX('Pegar calibracion'!$A$1:$BZ$1001,46,F$2)&amp;""),""))</f>
        <v/>
      </c>
      <c r="G47">
        <f>IF(G$2=0,"",IFERROR(TRIM(INDEX('Pegar calibracion'!$A$1:$BZ$1001,46,G$2)&amp;""),""))</f>
        <v/>
      </c>
      <c r="H47">
        <f>IF(H$2=0,"",IFERROR(TRIM(INDEX('Pegar calibracion'!$A$1:$BZ$1001,46,H$2)&amp;""),""))</f>
        <v/>
      </c>
      <c r="I47">
        <f>IF(I$2=0,"",IFERROR(TRIM(INDEX('Pegar calibracion'!$A$1:$BZ$1001,46,I$2)&amp;""),""))</f>
        <v/>
      </c>
      <c r="J47">
        <f>IF(J$2=0,"",IFERROR(TRIM(INDEX('Pegar calibracion'!$A$1:$BZ$1001,46,J$2)&amp;""),""))</f>
        <v/>
      </c>
      <c r="K47">
        <f>IF(K$2=0,"",IFERROR(TRIM(INDEX('Pegar calibracion'!$A$1:$BZ$1001,46,K$2)&amp;""),""))</f>
        <v/>
      </c>
      <c r="L47">
        <f>IF(L$2=0,"",IFERROR(TRIM(INDEX('Pegar calibracion'!$A$1:$BZ$1001,46,L$2)&amp;""),""))</f>
        <v/>
      </c>
      <c r="M47" s="25">
        <f>IF(D47="","",SUBSTITUTE(SUBSTITUTE(SUBSTITUTE(SUBSTITUTE(SUBSTITUTE(SUBSTITUTE(SUBSTITUTE(SUBSTITUTE(SUBSTITUTE(SUBSTITUTE(SUBSTITUTE(SUBSTITUTE(LOWER(TRIM(D47)),"á","a"),"é","e"),"í","i"),"ó","o"),"ú","u"),"ü","u"),"ñ","n"),"à","a"),"è","e"),"ì","i"),"ò","o"),"ù","u"))</f>
        <v/>
      </c>
      <c r="N47" s="25">
        <f>IF(F47="","",SUBSTITUTE(SUBSTITUTE(SUBSTITUTE(SUBSTITUTE(SUBSTITUTE(SUBSTITUTE(SUBSTITUTE(SUBSTITUTE(SUBSTITUTE(SUBSTITUTE(SUBSTITUTE(SUBSTITUTE(LOWER(TRIM(F47)),"á","a"),"é","e"),"í","i"),"ó","o"),"ú","u"),"ü","u"),"ñ","n"),"à","a"),"è","e"),"ì","i"),"ò","o"),"ù","u"))</f>
        <v/>
      </c>
      <c r="O47" s="25">
        <f>IF(M47="confiable",2,IF(M47="dudosa",1,IF(M47="no confiable",0,"")))</f>
        <v/>
      </c>
      <c r="P47" s="25">
        <f>IF(N47="confiable",2,IF(N47="dudosa",1,IF(N47="no confiable",0,"")))</f>
        <v/>
      </c>
      <c r="Q47" s="25">
        <f>IF(AND(ISNUMBER(O47),ISNUMBER(P47)),1,"")</f>
        <v/>
      </c>
      <c r="R47" s="25">
        <f>IF(Q47=1,IF(O47=P47,"Sí","No"),"")</f>
        <v/>
      </c>
      <c r="S47" s="25">
        <f>IF(Q47=1,IF(P47&lt;O47,"Más estricto",IF(P47&gt;O47,"Más permisivo","Igual")),"")</f>
        <v/>
      </c>
      <c r="T47" s="25">
        <f>IF(Q47=1,IF(ABS(O47-P47)=2,1,0),"")</f>
        <v/>
      </c>
      <c r="U47" s="25">
        <f>IF(H47="","","|"&amp;SUBSTITUTE(SUBSTITUTE(TRIM(H47)," |","|"),"| ","|")&amp;"|")</f>
        <v/>
      </c>
      <c r="V47" s="25">
        <f>IF(AND(Q47=1,B47&lt;&gt;""),IF(IFERROR(COUNTIFS(B$3:B47,"="&amp;SUBSTITUTE(SUBSTITUTE(SUBSTITUTE(B47,"~","~~"),"*","~*"),"?","~?"),Q$3:Q47,1),0)=1,MAX(V$2:V46)+1,""),"")</f>
        <v/>
      </c>
      <c r="W47" s="25">
        <f>IF(V47="","",COUNTIFS($B$3:$B$1002,"="&amp;SUBSTITUTE(SUBSTITUTE(SUBSTITUTE(B47,"~","~~"),"*","~*"),"?","~?"),$Q$3:$Q$1002,1)*10000-V47)</f>
        <v/>
      </c>
      <c r="X47" s="25">
        <f>IF(Q47=1,IF(SUBSTITUTE(SUBSTITUTE(SUBSTITUTE(SUBSTITUTE(SUBSTITUTE(SUBSTITUTE(SUBSTITUTE(SUBSTITUTE(SUBSTITUTE(SUBSTITUTE(SUBSTITUTE(SUBSTITUTE(LOWER(TRIM(A47)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47)),"á","a"),"é","e"),"í","i"),"ó","o"),"ú","u"),"ü","u"),"ñ","n"),"à","a"),"è","e"),"ì","i"),"ò","o"),"ù","u")),"")</f>
        <v/>
      </c>
      <c r="Y47" s="25">
        <f>IF(X47="","",IF(IFERROR(COUNTIF(X$3:X47,"="&amp;SUBSTITUTE(SUBSTITUTE(SUBSTITUTE(X47,"~","~~"),"*","~*"),"?","~?")),0)=1,1,""))</f>
        <v/>
      </c>
      <c r="Z47" s="25">
        <f>IF(T47=1,MAX(Z$2:Z46)+1,"")</f>
        <v/>
      </c>
    </row>
    <row r="48">
      <c r="A48">
        <f>IF(A$2=0,"",IFERROR(TRIM(INDEX('Pegar calibracion'!$A$1:$BZ$1001,47,A$2)&amp;""),""))</f>
        <v/>
      </c>
      <c r="B48">
        <f>IF(B$2=0,"",IFERROR(TRIM(INDEX('Pegar calibracion'!$A$1:$BZ$1001,47,B$2)&amp;""),""))</f>
        <v/>
      </c>
      <c r="C48">
        <f>IF(C$2=0,"",IFERROR(TRIM(INDEX('Pegar calibracion'!$A$1:$BZ$1001,47,C$2)&amp;""),""))</f>
        <v/>
      </c>
      <c r="D48">
        <f>IF(D$2=0,"",IFERROR(TRIM(INDEX('Pegar calibracion'!$A$1:$BZ$1001,47,D$2)&amp;""),""))</f>
        <v/>
      </c>
      <c r="E48">
        <f>IF(E$2=0,"",IFERROR(TRIM(INDEX('Pegar calibracion'!$A$1:$BZ$1001,47,E$2)&amp;""),""))</f>
        <v/>
      </c>
      <c r="F48">
        <f>IF(F$2=0,"",IFERROR(TRIM(INDEX('Pegar calibracion'!$A$1:$BZ$1001,47,F$2)&amp;""),""))</f>
        <v/>
      </c>
      <c r="G48">
        <f>IF(G$2=0,"",IFERROR(TRIM(INDEX('Pegar calibracion'!$A$1:$BZ$1001,47,G$2)&amp;""),""))</f>
        <v/>
      </c>
      <c r="H48">
        <f>IF(H$2=0,"",IFERROR(TRIM(INDEX('Pegar calibracion'!$A$1:$BZ$1001,47,H$2)&amp;""),""))</f>
        <v/>
      </c>
      <c r="I48">
        <f>IF(I$2=0,"",IFERROR(TRIM(INDEX('Pegar calibracion'!$A$1:$BZ$1001,47,I$2)&amp;""),""))</f>
        <v/>
      </c>
      <c r="J48">
        <f>IF(J$2=0,"",IFERROR(TRIM(INDEX('Pegar calibracion'!$A$1:$BZ$1001,47,J$2)&amp;""),""))</f>
        <v/>
      </c>
      <c r="K48">
        <f>IF(K$2=0,"",IFERROR(TRIM(INDEX('Pegar calibracion'!$A$1:$BZ$1001,47,K$2)&amp;""),""))</f>
        <v/>
      </c>
      <c r="L48">
        <f>IF(L$2=0,"",IFERROR(TRIM(INDEX('Pegar calibracion'!$A$1:$BZ$1001,47,L$2)&amp;""),""))</f>
        <v/>
      </c>
      <c r="M48" s="25">
        <f>IF(D48="","",SUBSTITUTE(SUBSTITUTE(SUBSTITUTE(SUBSTITUTE(SUBSTITUTE(SUBSTITUTE(SUBSTITUTE(SUBSTITUTE(SUBSTITUTE(SUBSTITUTE(SUBSTITUTE(SUBSTITUTE(LOWER(TRIM(D48)),"á","a"),"é","e"),"í","i"),"ó","o"),"ú","u"),"ü","u"),"ñ","n"),"à","a"),"è","e"),"ì","i"),"ò","o"),"ù","u"))</f>
        <v/>
      </c>
      <c r="N48" s="25">
        <f>IF(F48="","",SUBSTITUTE(SUBSTITUTE(SUBSTITUTE(SUBSTITUTE(SUBSTITUTE(SUBSTITUTE(SUBSTITUTE(SUBSTITUTE(SUBSTITUTE(SUBSTITUTE(SUBSTITUTE(SUBSTITUTE(LOWER(TRIM(F48)),"á","a"),"é","e"),"í","i"),"ó","o"),"ú","u"),"ü","u"),"ñ","n"),"à","a"),"è","e"),"ì","i"),"ò","o"),"ù","u"))</f>
        <v/>
      </c>
      <c r="O48" s="25">
        <f>IF(M48="confiable",2,IF(M48="dudosa",1,IF(M48="no confiable",0,"")))</f>
        <v/>
      </c>
      <c r="P48" s="25">
        <f>IF(N48="confiable",2,IF(N48="dudosa",1,IF(N48="no confiable",0,"")))</f>
        <v/>
      </c>
      <c r="Q48" s="25">
        <f>IF(AND(ISNUMBER(O48),ISNUMBER(P48)),1,"")</f>
        <v/>
      </c>
      <c r="R48" s="25">
        <f>IF(Q48=1,IF(O48=P48,"Sí","No"),"")</f>
        <v/>
      </c>
      <c r="S48" s="25">
        <f>IF(Q48=1,IF(P48&lt;O48,"Más estricto",IF(P48&gt;O48,"Más permisivo","Igual")),"")</f>
        <v/>
      </c>
      <c r="T48" s="25">
        <f>IF(Q48=1,IF(ABS(O48-P48)=2,1,0),"")</f>
        <v/>
      </c>
      <c r="U48" s="25">
        <f>IF(H48="","","|"&amp;SUBSTITUTE(SUBSTITUTE(TRIM(H48)," |","|"),"| ","|")&amp;"|")</f>
        <v/>
      </c>
      <c r="V48" s="25">
        <f>IF(AND(Q48=1,B48&lt;&gt;""),IF(IFERROR(COUNTIFS(B$3:B48,"="&amp;SUBSTITUTE(SUBSTITUTE(SUBSTITUTE(B48,"~","~~"),"*","~*"),"?","~?"),Q$3:Q48,1),0)=1,MAX(V$2:V47)+1,""),"")</f>
        <v/>
      </c>
      <c r="W48" s="25">
        <f>IF(V48="","",COUNTIFS($B$3:$B$1002,"="&amp;SUBSTITUTE(SUBSTITUTE(SUBSTITUTE(B48,"~","~~"),"*","~*"),"?","~?"),$Q$3:$Q$1002,1)*10000-V48)</f>
        <v/>
      </c>
      <c r="X48" s="25">
        <f>IF(Q48=1,IF(SUBSTITUTE(SUBSTITUTE(SUBSTITUTE(SUBSTITUTE(SUBSTITUTE(SUBSTITUTE(SUBSTITUTE(SUBSTITUTE(SUBSTITUTE(SUBSTITUTE(SUBSTITUTE(SUBSTITUTE(LOWER(TRIM(A48)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48)),"á","a"),"é","e"),"í","i"),"ó","o"),"ú","u"),"ü","u"),"ñ","n"),"à","a"),"è","e"),"ì","i"),"ò","o"),"ù","u")),"")</f>
        <v/>
      </c>
      <c r="Y48" s="25">
        <f>IF(X48="","",IF(IFERROR(COUNTIF(X$3:X48,"="&amp;SUBSTITUTE(SUBSTITUTE(SUBSTITUTE(X48,"~","~~"),"*","~*"),"?","~?")),0)=1,1,""))</f>
        <v/>
      </c>
      <c r="Z48" s="25">
        <f>IF(T48=1,MAX(Z$2:Z47)+1,"")</f>
        <v/>
      </c>
    </row>
    <row r="49">
      <c r="A49">
        <f>IF(A$2=0,"",IFERROR(TRIM(INDEX('Pegar calibracion'!$A$1:$BZ$1001,48,A$2)&amp;""),""))</f>
        <v/>
      </c>
      <c r="B49">
        <f>IF(B$2=0,"",IFERROR(TRIM(INDEX('Pegar calibracion'!$A$1:$BZ$1001,48,B$2)&amp;""),""))</f>
        <v/>
      </c>
      <c r="C49">
        <f>IF(C$2=0,"",IFERROR(TRIM(INDEX('Pegar calibracion'!$A$1:$BZ$1001,48,C$2)&amp;""),""))</f>
        <v/>
      </c>
      <c r="D49">
        <f>IF(D$2=0,"",IFERROR(TRIM(INDEX('Pegar calibracion'!$A$1:$BZ$1001,48,D$2)&amp;""),""))</f>
        <v/>
      </c>
      <c r="E49">
        <f>IF(E$2=0,"",IFERROR(TRIM(INDEX('Pegar calibracion'!$A$1:$BZ$1001,48,E$2)&amp;""),""))</f>
        <v/>
      </c>
      <c r="F49">
        <f>IF(F$2=0,"",IFERROR(TRIM(INDEX('Pegar calibracion'!$A$1:$BZ$1001,48,F$2)&amp;""),""))</f>
        <v/>
      </c>
      <c r="G49">
        <f>IF(G$2=0,"",IFERROR(TRIM(INDEX('Pegar calibracion'!$A$1:$BZ$1001,48,G$2)&amp;""),""))</f>
        <v/>
      </c>
      <c r="H49">
        <f>IF(H$2=0,"",IFERROR(TRIM(INDEX('Pegar calibracion'!$A$1:$BZ$1001,48,H$2)&amp;""),""))</f>
        <v/>
      </c>
      <c r="I49">
        <f>IF(I$2=0,"",IFERROR(TRIM(INDEX('Pegar calibracion'!$A$1:$BZ$1001,48,I$2)&amp;""),""))</f>
        <v/>
      </c>
      <c r="J49">
        <f>IF(J$2=0,"",IFERROR(TRIM(INDEX('Pegar calibracion'!$A$1:$BZ$1001,48,J$2)&amp;""),""))</f>
        <v/>
      </c>
      <c r="K49">
        <f>IF(K$2=0,"",IFERROR(TRIM(INDEX('Pegar calibracion'!$A$1:$BZ$1001,48,K$2)&amp;""),""))</f>
        <v/>
      </c>
      <c r="L49">
        <f>IF(L$2=0,"",IFERROR(TRIM(INDEX('Pegar calibracion'!$A$1:$BZ$1001,48,L$2)&amp;""),""))</f>
        <v/>
      </c>
      <c r="M49" s="25">
        <f>IF(D49="","",SUBSTITUTE(SUBSTITUTE(SUBSTITUTE(SUBSTITUTE(SUBSTITUTE(SUBSTITUTE(SUBSTITUTE(SUBSTITUTE(SUBSTITUTE(SUBSTITUTE(SUBSTITUTE(SUBSTITUTE(LOWER(TRIM(D49)),"á","a"),"é","e"),"í","i"),"ó","o"),"ú","u"),"ü","u"),"ñ","n"),"à","a"),"è","e"),"ì","i"),"ò","o"),"ù","u"))</f>
        <v/>
      </c>
      <c r="N49" s="25">
        <f>IF(F49="","",SUBSTITUTE(SUBSTITUTE(SUBSTITUTE(SUBSTITUTE(SUBSTITUTE(SUBSTITUTE(SUBSTITUTE(SUBSTITUTE(SUBSTITUTE(SUBSTITUTE(SUBSTITUTE(SUBSTITUTE(LOWER(TRIM(F49)),"á","a"),"é","e"),"í","i"),"ó","o"),"ú","u"),"ü","u"),"ñ","n"),"à","a"),"è","e"),"ì","i"),"ò","o"),"ù","u"))</f>
        <v/>
      </c>
      <c r="O49" s="25">
        <f>IF(M49="confiable",2,IF(M49="dudosa",1,IF(M49="no confiable",0,"")))</f>
        <v/>
      </c>
      <c r="P49" s="25">
        <f>IF(N49="confiable",2,IF(N49="dudosa",1,IF(N49="no confiable",0,"")))</f>
        <v/>
      </c>
      <c r="Q49" s="25">
        <f>IF(AND(ISNUMBER(O49),ISNUMBER(P49)),1,"")</f>
        <v/>
      </c>
      <c r="R49" s="25">
        <f>IF(Q49=1,IF(O49=P49,"Sí","No"),"")</f>
        <v/>
      </c>
      <c r="S49" s="25">
        <f>IF(Q49=1,IF(P49&lt;O49,"Más estricto",IF(P49&gt;O49,"Más permisivo","Igual")),"")</f>
        <v/>
      </c>
      <c r="T49" s="25">
        <f>IF(Q49=1,IF(ABS(O49-P49)=2,1,0),"")</f>
        <v/>
      </c>
      <c r="U49" s="25">
        <f>IF(H49="","","|"&amp;SUBSTITUTE(SUBSTITUTE(TRIM(H49)," |","|"),"| ","|")&amp;"|")</f>
        <v/>
      </c>
      <c r="V49" s="25">
        <f>IF(AND(Q49=1,B49&lt;&gt;""),IF(IFERROR(COUNTIFS(B$3:B49,"="&amp;SUBSTITUTE(SUBSTITUTE(SUBSTITUTE(B49,"~","~~"),"*","~*"),"?","~?"),Q$3:Q49,1),0)=1,MAX(V$2:V48)+1,""),"")</f>
        <v/>
      </c>
      <c r="W49" s="25">
        <f>IF(V49="","",COUNTIFS($B$3:$B$1002,"="&amp;SUBSTITUTE(SUBSTITUTE(SUBSTITUTE(B49,"~","~~"),"*","~*"),"?","~?"),$Q$3:$Q$1002,1)*10000-V49)</f>
        <v/>
      </c>
      <c r="X49" s="25">
        <f>IF(Q49=1,IF(SUBSTITUTE(SUBSTITUTE(SUBSTITUTE(SUBSTITUTE(SUBSTITUTE(SUBSTITUTE(SUBSTITUTE(SUBSTITUTE(SUBSTITUTE(SUBSTITUTE(SUBSTITUTE(SUBSTITUTE(LOWER(TRIM(A49)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49)),"á","a"),"é","e"),"í","i"),"ó","o"),"ú","u"),"ü","u"),"ñ","n"),"à","a"),"è","e"),"ì","i"),"ò","o"),"ù","u")),"")</f>
        <v/>
      </c>
      <c r="Y49" s="25">
        <f>IF(X49="","",IF(IFERROR(COUNTIF(X$3:X49,"="&amp;SUBSTITUTE(SUBSTITUTE(SUBSTITUTE(X49,"~","~~"),"*","~*"),"?","~?")),0)=1,1,""))</f>
        <v/>
      </c>
      <c r="Z49" s="25">
        <f>IF(T49=1,MAX(Z$2:Z48)+1,"")</f>
        <v/>
      </c>
    </row>
    <row r="50">
      <c r="A50">
        <f>IF(A$2=0,"",IFERROR(TRIM(INDEX('Pegar calibracion'!$A$1:$BZ$1001,49,A$2)&amp;""),""))</f>
        <v/>
      </c>
      <c r="B50">
        <f>IF(B$2=0,"",IFERROR(TRIM(INDEX('Pegar calibracion'!$A$1:$BZ$1001,49,B$2)&amp;""),""))</f>
        <v/>
      </c>
      <c r="C50">
        <f>IF(C$2=0,"",IFERROR(TRIM(INDEX('Pegar calibracion'!$A$1:$BZ$1001,49,C$2)&amp;""),""))</f>
        <v/>
      </c>
      <c r="D50">
        <f>IF(D$2=0,"",IFERROR(TRIM(INDEX('Pegar calibracion'!$A$1:$BZ$1001,49,D$2)&amp;""),""))</f>
        <v/>
      </c>
      <c r="E50">
        <f>IF(E$2=0,"",IFERROR(TRIM(INDEX('Pegar calibracion'!$A$1:$BZ$1001,49,E$2)&amp;""),""))</f>
        <v/>
      </c>
      <c r="F50">
        <f>IF(F$2=0,"",IFERROR(TRIM(INDEX('Pegar calibracion'!$A$1:$BZ$1001,49,F$2)&amp;""),""))</f>
        <v/>
      </c>
      <c r="G50">
        <f>IF(G$2=0,"",IFERROR(TRIM(INDEX('Pegar calibracion'!$A$1:$BZ$1001,49,G$2)&amp;""),""))</f>
        <v/>
      </c>
      <c r="H50">
        <f>IF(H$2=0,"",IFERROR(TRIM(INDEX('Pegar calibracion'!$A$1:$BZ$1001,49,H$2)&amp;""),""))</f>
        <v/>
      </c>
      <c r="I50">
        <f>IF(I$2=0,"",IFERROR(TRIM(INDEX('Pegar calibracion'!$A$1:$BZ$1001,49,I$2)&amp;""),""))</f>
        <v/>
      </c>
      <c r="J50">
        <f>IF(J$2=0,"",IFERROR(TRIM(INDEX('Pegar calibracion'!$A$1:$BZ$1001,49,J$2)&amp;""),""))</f>
        <v/>
      </c>
      <c r="K50">
        <f>IF(K$2=0,"",IFERROR(TRIM(INDEX('Pegar calibracion'!$A$1:$BZ$1001,49,K$2)&amp;""),""))</f>
        <v/>
      </c>
      <c r="L50">
        <f>IF(L$2=0,"",IFERROR(TRIM(INDEX('Pegar calibracion'!$A$1:$BZ$1001,49,L$2)&amp;""),""))</f>
        <v/>
      </c>
      <c r="M50" s="25">
        <f>IF(D50="","",SUBSTITUTE(SUBSTITUTE(SUBSTITUTE(SUBSTITUTE(SUBSTITUTE(SUBSTITUTE(SUBSTITUTE(SUBSTITUTE(SUBSTITUTE(SUBSTITUTE(SUBSTITUTE(SUBSTITUTE(LOWER(TRIM(D50)),"á","a"),"é","e"),"í","i"),"ó","o"),"ú","u"),"ü","u"),"ñ","n"),"à","a"),"è","e"),"ì","i"),"ò","o"),"ù","u"))</f>
        <v/>
      </c>
      <c r="N50" s="25">
        <f>IF(F50="","",SUBSTITUTE(SUBSTITUTE(SUBSTITUTE(SUBSTITUTE(SUBSTITUTE(SUBSTITUTE(SUBSTITUTE(SUBSTITUTE(SUBSTITUTE(SUBSTITUTE(SUBSTITUTE(SUBSTITUTE(LOWER(TRIM(F50)),"á","a"),"é","e"),"í","i"),"ó","o"),"ú","u"),"ü","u"),"ñ","n"),"à","a"),"è","e"),"ì","i"),"ò","o"),"ù","u"))</f>
        <v/>
      </c>
      <c r="O50" s="25">
        <f>IF(M50="confiable",2,IF(M50="dudosa",1,IF(M50="no confiable",0,"")))</f>
        <v/>
      </c>
      <c r="P50" s="25">
        <f>IF(N50="confiable",2,IF(N50="dudosa",1,IF(N50="no confiable",0,"")))</f>
        <v/>
      </c>
      <c r="Q50" s="25">
        <f>IF(AND(ISNUMBER(O50),ISNUMBER(P50)),1,"")</f>
        <v/>
      </c>
      <c r="R50" s="25">
        <f>IF(Q50=1,IF(O50=P50,"Sí","No"),"")</f>
        <v/>
      </c>
      <c r="S50" s="25">
        <f>IF(Q50=1,IF(P50&lt;O50,"Más estricto",IF(P50&gt;O50,"Más permisivo","Igual")),"")</f>
        <v/>
      </c>
      <c r="T50" s="25">
        <f>IF(Q50=1,IF(ABS(O50-P50)=2,1,0),"")</f>
        <v/>
      </c>
      <c r="U50" s="25">
        <f>IF(H50="","","|"&amp;SUBSTITUTE(SUBSTITUTE(TRIM(H50)," |","|"),"| ","|")&amp;"|")</f>
        <v/>
      </c>
      <c r="V50" s="25">
        <f>IF(AND(Q50=1,B50&lt;&gt;""),IF(IFERROR(COUNTIFS(B$3:B50,"="&amp;SUBSTITUTE(SUBSTITUTE(SUBSTITUTE(B50,"~","~~"),"*","~*"),"?","~?"),Q$3:Q50,1),0)=1,MAX(V$2:V49)+1,""),"")</f>
        <v/>
      </c>
      <c r="W50" s="25">
        <f>IF(V50="","",COUNTIFS($B$3:$B$1002,"="&amp;SUBSTITUTE(SUBSTITUTE(SUBSTITUTE(B50,"~","~~"),"*","~*"),"?","~?"),$Q$3:$Q$1002,1)*10000-V50)</f>
        <v/>
      </c>
      <c r="X50" s="25">
        <f>IF(Q50=1,IF(SUBSTITUTE(SUBSTITUTE(SUBSTITUTE(SUBSTITUTE(SUBSTITUTE(SUBSTITUTE(SUBSTITUTE(SUBSTITUTE(SUBSTITUTE(SUBSTITUTE(SUBSTITUTE(SUBSTITUTE(LOWER(TRIM(A50)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50)),"á","a"),"é","e"),"í","i"),"ó","o"),"ú","u"),"ü","u"),"ñ","n"),"à","a"),"è","e"),"ì","i"),"ò","o"),"ù","u")),"")</f>
        <v/>
      </c>
      <c r="Y50" s="25">
        <f>IF(X50="","",IF(IFERROR(COUNTIF(X$3:X50,"="&amp;SUBSTITUTE(SUBSTITUTE(SUBSTITUTE(X50,"~","~~"),"*","~*"),"?","~?")),0)=1,1,""))</f>
        <v/>
      </c>
      <c r="Z50" s="25">
        <f>IF(T50=1,MAX(Z$2:Z49)+1,"")</f>
        <v/>
      </c>
    </row>
    <row r="51">
      <c r="A51">
        <f>IF(A$2=0,"",IFERROR(TRIM(INDEX('Pegar calibracion'!$A$1:$BZ$1001,50,A$2)&amp;""),""))</f>
        <v/>
      </c>
      <c r="B51">
        <f>IF(B$2=0,"",IFERROR(TRIM(INDEX('Pegar calibracion'!$A$1:$BZ$1001,50,B$2)&amp;""),""))</f>
        <v/>
      </c>
      <c r="C51">
        <f>IF(C$2=0,"",IFERROR(TRIM(INDEX('Pegar calibracion'!$A$1:$BZ$1001,50,C$2)&amp;""),""))</f>
        <v/>
      </c>
      <c r="D51">
        <f>IF(D$2=0,"",IFERROR(TRIM(INDEX('Pegar calibracion'!$A$1:$BZ$1001,50,D$2)&amp;""),""))</f>
        <v/>
      </c>
      <c r="E51">
        <f>IF(E$2=0,"",IFERROR(TRIM(INDEX('Pegar calibracion'!$A$1:$BZ$1001,50,E$2)&amp;""),""))</f>
        <v/>
      </c>
      <c r="F51">
        <f>IF(F$2=0,"",IFERROR(TRIM(INDEX('Pegar calibracion'!$A$1:$BZ$1001,50,F$2)&amp;""),""))</f>
        <v/>
      </c>
      <c r="G51">
        <f>IF(G$2=0,"",IFERROR(TRIM(INDEX('Pegar calibracion'!$A$1:$BZ$1001,50,G$2)&amp;""),""))</f>
        <v/>
      </c>
      <c r="H51">
        <f>IF(H$2=0,"",IFERROR(TRIM(INDEX('Pegar calibracion'!$A$1:$BZ$1001,50,H$2)&amp;""),""))</f>
        <v/>
      </c>
      <c r="I51">
        <f>IF(I$2=0,"",IFERROR(TRIM(INDEX('Pegar calibracion'!$A$1:$BZ$1001,50,I$2)&amp;""),""))</f>
        <v/>
      </c>
      <c r="J51">
        <f>IF(J$2=0,"",IFERROR(TRIM(INDEX('Pegar calibracion'!$A$1:$BZ$1001,50,J$2)&amp;""),""))</f>
        <v/>
      </c>
      <c r="K51">
        <f>IF(K$2=0,"",IFERROR(TRIM(INDEX('Pegar calibracion'!$A$1:$BZ$1001,50,K$2)&amp;""),""))</f>
        <v/>
      </c>
      <c r="L51">
        <f>IF(L$2=0,"",IFERROR(TRIM(INDEX('Pegar calibracion'!$A$1:$BZ$1001,50,L$2)&amp;""),""))</f>
        <v/>
      </c>
      <c r="M51" s="25">
        <f>IF(D51="","",SUBSTITUTE(SUBSTITUTE(SUBSTITUTE(SUBSTITUTE(SUBSTITUTE(SUBSTITUTE(SUBSTITUTE(SUBSTITUTE(SUBSTITUTE(SUBSTITUTE(SUBSTITUTE(SUBSTITUTE(LOWER(TRIM(D51)),"á","a"),"é","e"),"í","i"),"ó","o"),"ú","u"),"ü","u"),"ñ","n"),"à","a"),"è","e"),"ì","i"),"ò","o"),"ù","u"))</f>
        <v/>
      </c>
      <c r="N51" s="25">
        <f>IF(F51="","",SUBSTITUTE(SUBSTITUTE(SUBSTITUTE(SUBSTITUTE(SUBSTITUTE(SUBSTITUTE(SUBSTITUTE(SUBSTITUTE(SUBSTITUTE(SUBSTITUTE(SUBSTITUTE(SUBSTITUTE(LOWER(TRIM(F51)),"á","a"),"é","e"),"í","i"),"ó","o"),"ú","u"),"ü","u"),"ñ","n"),"à","a"),"è","e"),"ì","i"),"ò","o"),"ù","u"))</f>
        <v/>
      </c>
      <c r="O51" s="25">
        <f>IF(M51="confiable",2,IF(M51="dudosa",1,IF(M51="no confiable",0,"")))</f>
        <v/>
      </c>
      <c r="P51" s="25">
        <f>IF(N51="confiable",2,IF(N51="dudosa",1,IF(N51="no confiable",0,"")))</f>
        <v/>
      </c>
      <c r="Q51" s="25">
        <f>IF(AND(ISNUMBER(O51),ISNUMBER(P51)),1,"")</f>
        <v/>
      </c>
      <c r="R51" s="25">
        <f>IF(Q51=1,IF(O51=P51,"Sí","No"),"")</f>
        <v/>
      </c>
      <c r="S51" s="25">
        <f>IF(Q51=1,IF(P51&lt;O51,"Más estricto",IF(P51&gt;O51,"Más permisivo","Igual")),"")</f>
        <v/>
      </c>
      <c r="T51" s="25">
        <f>IF(Q51=1,IF(ABS(O51-P51)=2,1,0),"")</f>
        <v/>
      </c>
      <c r="U51" s="25">
        <f>IF(H51="","","|"&amp;SUBSTITUTE(SUBSTITUTE(TRIM(H51)," |","|"),"| ","|")&amp;"|")</f>
        <v/>
      </c>
      <c r="V51" s="25">
        <f>IF(AND(Q51=1,B51&lt;&gt;""),IF(IFERROR(COUNTIFS(B$3:B51,"="&amp;SUBSTITUTE(SUBSTITUTE(SUBSTITUTE(B51,"~","~~"),"*","~*"),"?","~?"),Q$3:Q51,1),0)=1,MAX(V$2:V50)+1,""),"")</f>
        <v/>
      </c>
      <c r="W51" s="25">
        <f>IF(V51="","",COUNTIFS($B$3:$B$1002,"="&amp;SUBSTITUTE(SUBSTITUTE(SUBSTITUTE(B51,"~","~~"),"*","~*"),"?","~?"),$Q$3:$Q$1002,1)*10000-V51)</f>
        <v/>
      </c>
      <c r="X51" s="25">
        <f>IF(Q51=1,IF(SUBSTITUTE(SUBSTITUTE(SUBSTITUTE(SUBSTITUTE(SUBSTITUTE(SUBSTITUTE(SUBSTITUTE(SUBSTITUTE(SUBSTITUTE(SUBSTITUTE(SUBSTITUTE(SUBSTITUTE(LOWER(TRIM(A51)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51)),"á","a"),"é","e"),"í","i"),"ó","o"),"ú","u"),"ü","u"),"ñ","n"),"à","a"),"è","e"),"ì","i"),"ò","o"),"ù","u")),"")</f>
        <v/>
      </c>
      <c r="Y51" s="25">
        <f>IF(X51="","",IF(IFERROR(COUNTIF(X$3:X51,"="&amp;SUBSTITUTE(SUBSTITUTE(SUBSTITUTE(X51,"~","~~"),"*","~*"),"?","~?")),0)=1,1,""))</f>
        <v/>
      </c>
      <c r="Z51" s="25">
        <f>IF(T51=1,MAX(Z$2:Z50)+1,"")</f>
        <v/>
      </c>
    </row>
    <row r="52">
      <c r="A52">
        <f>IF(A$2=0,"",IFERROR(TRIM(INDEX('Pegar calibracion'!$A$1:$BZ$1001,51,A$2)&amp;""),""))</f>
        <v/>
      </c>
      <c r="B52">
        <f>IF(B$2=0,"",IFERROR(TRIM(INDEX('Pegar calibracion'!$A$1:$BZ$1001,51,B$2)&amp;""),""))</f>
        <v/>
      </c>
      <c r="C52">
        <f>IF(C$2=0,"",IFERROR(TRIM(INDEX('Pegar calibracion'!$A$1:$BZ$1001,51,C$2)&amp;""),""))</f>
        <v/>
      </c>
      <c r="D52">
        <f>IF(D$2=0,"",IFERROR(TRIM(INDEX('Pegar calibracion'!$A$1:$BZ$1001,51,D$2)&amp;""),""))</f>
        <v/>
      </c>
      <c r="E52">
        <f>IF(E$2=0,"",IFERROR(TRIM(INDEX('Pegar calibracion'!$A$1:$BZ$1001,51,E$2)&amp;""),""))</f>
        <v/>
      </c>
      <c r="F52">
        <f>IF(F$2=0,"",IFERROR(TRIM(INDEX('Pegar calibracion'!$A$1:$BZ$1001,51,F$2)&amp;""),""))</f>
        <v/>
      </c>
      <c r="G52">
        <f>IF(G$2=0,"",IFERROR(TRIM(INDEX('Pegar calibracion'!$A$1:$BZ$1001,51,G$2)&amp;""),""))</f>
        <v/>
      </c>
      <c r="H52">
        <f>IF(H$2=0,"",IFERROR(TRIM(INDEX('Pegar calibracion'!$A$1:$BZ$1001,51,H$2)&amp;""),""))</f>
        <v/>
      </c>
      <c r="I52">
        <f>IF(I$2=0,"",IFERROR(TRIM(INDEX('Pegar calibracion'!$A$1:$BZ$1001,51,I$2)&amp;""),""))</f>
        <v/>
      </c>
      <c r="J52">
        <f>IF(J$2=0,"",IFERROR(TRIM(INDEX('Pegar calibracion'!$A$1:$BZ$1001,51,J$2)&amp;""),""))</f>
        <v/>
      </c>
      <c r="K52">
        <f>IF(K$2=0,"",IFERROR(TRIM(INDEX('Pegar calibracion'!$A$1:$BZ$1001,51,K$2)&amp;""),""))</f>
        <v/>
      </c>
      <c r="L52">
        <f>IF(L$2=0,"",IFERROR(TRIM(INDEX('Pegar calibracion'!$A$1:$BZ$1001,51,L$2)&amp;""),""))</f>
        <v/>
      </c>
      <c r="M52" s="25">
        <f>IF(D52="","",SUBSTITUTE(SUBSTITUTE(SUBSTITUTE(SUBSTITUTE(SUBSTITUTE(SUBSTITUTE(SUBSTITUTE(SUBSTITUTE(SUBSTITUTE(SUBSTITUTE(SUBSTITUTE(SUBSTITUTE(LOWER(TRIM(D52)),"á","a"),"é","e"),"í","i"),"ó","o"),"ú","u"),"ü","u"),"ñ","n"),"à","a"),"è","e"),"ì","i"),"ò","o"),"ù","u"))</f>
        <v/>
      </c>
      <c r="N52" s="25">
        <f>IF(F52="","",SUBSTITUTE(SUBSTITUTE(SUBSTITUTE(SUBSTITUTE(SUBSTITUTE(SUBSTITUTE(SUBSTITUTE(SUBSTITUTE(SUBSTITUTE(SUBSTITUTE(SUBSTITUTE(SUBSTITUTE(LOWER(TRIM(F52)),"á","a"),"é","e"),"í","i"),"ó","o"),"ú","u"),"ü","u"),"ñ","n"),"à","a"),"è","e"),"ì","i"),"ò","o"),"ù","u"))</f>
        <v/>
      </c>
      <c r="O52" s="25">
        <f>IF(M52="confiable",2,IF(M52="dudosa",1,IF(M52="no confiable",0,"")))</f>
        <v/>
      </c>
      <c r="P52" s="25">
        <f>IF(N52="confiable",2,IF(N52="dudosa",1,IF(N52="no confiable",0,"")))</f>
        <v/>
      </c>
      <c r="Q52" s="25">
        <f>IF(AND(ISNUMBER(O52),ISNUMBER(P52)),1,"")</f>
        <v/>
      </c>
      <c r="R52" s="25">
        <f>IF(Q52=1,IF(O52=P52,"Sí","No"),"")</f>
        <v/>
      </c>
      <c r="S52" s="25">
        <f>IF(Q52=1,IF(P52&lt;O52,"Más estricto",IF(P52&gt;O52,"Más permisivo","Igual")),"")</f>
        <v/>
      </c>
      <c r="T52" s="25">
        <f>IF(Q52=1,IF(ABS(O52-P52)=2,1,0),"")</f>
        <v/>
      </c>
      <c r="U52" s="25">
        <f>IF(H52="","","|"&amp;SUBSTITUTE(SUBSTITUTE(TRIM(H52)," |","|"),"| ","|")&amp;"|")</f>
        <v/>
      </c>
      <c r="V52" s="25">
        <f>IF(AND(Q52=1,B52&lt;&gt;""),IF(IFERROR(COUNTIFS(B$3:B52,"="&amp;SUBSTITUTE(SUBSTITUTE(SUBSTITUTE(B52,"~","~~"),"*","~*"),"?","~?"),Q$3:Q52,1),0)=1,MAX(V$2:V51)+1,""),"")</f>
        <v/>
      </c>
      <c r="W52" s="25">
        <f>IF(V52="","",COUNTIFS($B$3:$B$1002,"="&amp;SUBSTITUTE(SUBSTITUTE(SUBSTITUTE(B52,"~","~~"),"*","~*"),"?","~?"),$Q$3:$Q$1002,1)*10000-V52)</f>
        <v/>
      </c>
      <c r="X52" s="25">
        <f>IF(Q52=1,IF(SUBSTITUTE(SUBSTITUTE(SUBSTITUTE(SUBSTITUTE(SUBSTITUTE(SUBSTITUTE(SUBSTITUTE(SUBSTITUTE(SUBSTITUTE(SUBSTITUTE(SUBSTITUTE(SUBSTITUTE(LOWER(TRIM(A52)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52)),"á","a"),"é","e"),"í","i"),"ó","o"),"ú","u"),"ü","u"),"ñ","n"),"à","a"),"è","e"),"ì","i"),"ò","o"),"ù","u")),"")</f>
        <v/>
      </c>
      <c r="Y52" s="25">
        <f>IF(X52="","",IF(IFERROR(COUNTIF(X$3:X52,"="&amp;SUBSTITUTE(SUBSTITUTE(SUBSTITUTE(X52,"~","~~"),"*","~*"),"?","~?")),0)=1,1,""))</f>
        <v/>
      </c>
      <c r="Z52" s="25">
        <f>IF(T52=1,MAX(Z$2:Z51)+1,"")</f>
        <v/>
      </c>
    </row>
    <row r="53">
      <c r="A53">
        <f>IF(A$2=0,"",IFERROR(TRIM(INDEX('Pegar calibracion'!$A$1:$BZ$1001,52,A$2)&amp;""),""))</f>
        <v/>
      </c>
      <c r="B53">
        <f>IF(B$2=0,"",IFERROR(TRIM(INDEX('Pegar calibracion'!$A$1:$BZ$1001,52,B$2)&amp;""),""))</f>
        <v/>
      </c>
      <c r="C53">
        <f>IF(C$2=0,"",IFERROR(TRIM(INDEX('Pegar calibracion'!$A$1:$BZ$1001,52,C$2)&amp;""),""))</f>
        <v/>
      </c>
      <c r="D53">
        <f>IF(D$2=0,"",IFERROR(TRIM(INDEX('Pegar calibracion'!$A$1:$BZ$1001,52,D$2)&amp;""),""))</f>
        <v/>
      </c>
      <c r="E53">
        <f>IF(E$2=0,"",IFERROR(TRIM(INDEX('Pegar calibracion'!$A$1:$BZ$1001,52,E$2)&amp;""),""))</f>
        <v/>
      </c>
      <c r="F53">
        <f>IF(F$2=0,"",IFERROR(TRIM(INDEX('Pegar calibracion'!$A$1:$BZ$1001,52,F$2)&amp;""),""))</f>
        <v/>
      </c>
      <c r="G53">
        <f>IF(G$2=0,"",IFERROR(TRIM(INDEX('Pegar calibracion'!$A$1:$BZ$1001,52,G$2)&amp;""),""))</f>
        <v/>
      </c>
      <c r="H53">
        <f>IF(H$2=0,"",IFERROR(TRIM(INDEX('Pegar calibracion'!$A$1:$BZ$1001,52,H$2)&amp;""),""))</f>
        <v/>
      </c>
      <c r="I53">
        <f>IF(I$2=0,"",IFERROR(TRIM(INDEX('Pegar calibracion'!$A$1:$BZ$1001,52,I$2)&amp;""),""))</f>
        <v/>
      </c>
      <c r="J53">
        <f>IF(J$2=0,"",IFERROR(TRIM(INDEX('Pegar calibracion'!$A$1:$BZ$1001,52,J$2)&amp;""),""))</f>
        <v/>
      </c>
      <c r="K53">
        <f>IF(K$2=0,"",IFERROR(TRIM(INDEX('Pegar calibracion'!$A$1:$BZ$1001,52,K$2)&amp;""),""))</f>
        <v/>
      </c>
      <c r="L53">
        <f>IF(L$2=0,"",IFERROR(TRIM(INDEX('Pegar calibracion'!$A$1:$BZ$1001,52,L$2)&amp;""),""))</f>
        <v/>
      </c>
      <c r="M53" s="25">
        <f>IF(D53="","",SUBSTITUTE(SUBSTITUTE(SUBSTITUTE(SUBSTITUTE(SUBSTITUTE(SUBSTITUTE(SUBSTITUTE(SUBSTITUTE(SUBSTITUTE(SUBSTITUTE(SUBSTITUTE(SUBSTITUTE(LOWER(TRIM(D53)),"á","a"),"é","e"),"í","i"),"ó","o"),"ú","u"),"ü","u"),"ñ","n"),"à","a"),"è","e"),"ì","i"),"ò","o"),"ù","u"))</f>
        <v/>
      </c>
      <c r="N53" s="25">
        <f>IF(F53="","",SUBSTITUTE(SUBSTITUTE(SUBSTITUTE(SUBSTITUTE(SUBSTITUTE(SUBSTITUTE(SUBSTITUTE(SUBSTITUTE(SUBSTITUTE(SUBSTITUTE(SUBSTITUTE(SUBSTITUTE(LOWER(TRIM(F53)),"á","a"),"é","e"),"í","i"),"ó","o"),"ú","u"),"ü","u"),"ñ","n"),"à","a"),"è","e"),"ì","i"),"ò","o"),"ù","u"))</f>
        <v/>
      </c>
      <c r="O53" s="25">
        <f>IF(M53="confiable",2,IF(M53="dudosa",1,IF(M53="no confiable",0,"")))</f>
        <v/>
      </c>
      <c r="P53" s="25">
        <f>IF(N53="confiable",2,IF(N53="dudosa",1,IF(N53="no confiable",0,"")))</f>
        <v/>
      </c>
      <c r="Q53" s="25">
        <f>IF(AND(ISNUMBER(O53),ISNUMBER(P53)),1,"")</f>
        <v/>
      </c>
      <c r="R53" s="25">
        <f>IF(Q53=1,IF(O53=P53,"Sí","No"),"")</f>
        <v/>
      </c>
      <c r="S53" s="25">
        <f>IF(Q53=1,IF(P53&lt;O53,"Más estricto",IF(P53&gt;O53,"Más permisivo","Igual")),"")</f>
        <v/>
      </c>
      <c r="T53" s="25">
        <f>IF(Q53=1,IF(ABS(O53-P53)=2,1,0),"")</f>
        <v/>
      </c>
      <c r="U53" s="25">
        <f>IF(H53="","","|"&amp;SUBSTITUTE(SUBSTITUTE(TRIM(H53)," |","|"),"| ","|")&amp;"|")</f>
        <v/>
      </c>
      <c r="V53" s="25">
        <f>IF(AND(Q53=1,B53&lt;&gt;""),IF(IFERROR(COUNTIFS(B$3:B53,"="&amp;SUBSTITUTE(SUBSTITUTE(SUBSTITUTE(B53,"~","~~"),"*","~*"),"?","~?"),Q$3:Q53,1),0)=1,MAX(V$2:V52)+1,""),"")</f>
        <v/>
      </c>
      <c r="W53" s="25">
        <f>IF(V53="","",COUNTIFS($B$3:$B$1002,"="&amp;SUBSTITUTE(SUBSTITUTE(SUBSTITUTE(B53,"~","~~"),"*","~*"),"?","~?"),$Q$3:$Q$1002,1)*10000-V53)</f>
        <v/>
      </c>
      <c r="X53" s="25">
        <f>IF(Q53=1,IF(SUBSTITUTE(SUBSTITUTE(SUBSTITUTE(SUBSTITUTE(SUBSTITUTE(SUBSTITUTE(SUBSTITUTE(SUBSTITUTE(SUBSTITUTE(SUBSTITUTE(SUBSTITUTE(SUBSTITUTE(LOWER(TRIM(A53)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53)),"á","a"),"é","e"),"í","i"),"ó","o"),"ú","u"),"ü","u"),"ñ","n"),"à","a"),"è","e"),"ì","i"),"ò","o"),"ù","u")),"")</f>
        <v/>
      </c>
      <c r="Y53" s="25">
        <f>IF(X53="","",IF(IFERROR(COUNTIF(X$3:X53,"="&amp;SUBSTITUTE(SUBSTITUTE(SUBSTITUTE(X53,"~","~~"),"*","~*"),"?","~?")),0)=1,1,""))</f>
        <v/>
      </c>
      <c r="Z53" s="25">
        <f>IF(T53=1,MAX(Z$2:Z52)+1,"")</f>
        <v/>
      </c>
    </row>
    <row r="54">
      <c r="A54">
        <f>IF(A$2=0,"",IFERROR(TRIM(INDEX('Pegar calibracion'!$A$1:$BZ$1001,53,A$2)&amp;""),""))</f>
        <v/>
      </c>
      <c r="B54">
        <f>IF(B$2=0,"",IFERROR(TRIM(INDEX('Pegar calibracion'!$A$1:$BZ$1001,53,B$2)&amp;""),""))</f>
        <v/>
      </c>
      <c r="C54">
        <f>IF(C$2=0,"",IFERROR(TRIM(INDEX('Pegar calibracion'!$A$1:$BZ$1001,53,C$2)&amp;""),""))</f>
        <v/>
      </c>
      <c r="D54">
        <f>IF(D$2=0,"",IFERROR(TRIM(INDEX('Pegar calibracion'!$A$1:$BZ$1001,53,D$2)&amp;""),""))</f>
        <v/>
      </c>
      <c r="E54">
        <f>IF(E$2=0,"",IFERROR(TRIM(INDEX('Pegar calibracion'!$A$1:$BZ$1001,53,E$2)&amp;""),""))</f>
        <v/>
      </c>
      <c r="F54">
        <f>IF(F$2=0,"",IFERROR(TRIM(INDEX('Pegar calibracion'!$A$1:$BZ$1001,53,F$2)&amp;""),""))</f>
        <v/>
      </c>
      <c r="G54">
        <f>IF(G$2=0,"",IFERROR(TRIM(INDEX('Pegar calibracion'!$A$1:$BZ$1001,53,G$2)&amp;""),""))</f>
        <v/>
      </c>
      <c r="H54">
        <f>IF(H$2=0,"",IFERROR(TRIM(INDEX('Pegar calibracion'!$A$1:$BZ$1001,53,H$2)&amp;""),""))</f>
        <v/>
      </c>
      <c r="I54">
        <f>IF(I$2=0,"",IFERROR(TRIM(INDEX('Pegar calibracion'!$A$1:$BZ$1001,53,I$2)&amp;""),""))</f>
        <v/>
      </c>
      <c r="J54">
        <f>IF(J$2=0,"",IFERROR(TRIM(INDEX('Pegar calibracion'!$A$1:$BZ$1001,53,J$2)&amp;""),""))</f>
        <v/>
      </c>
      <c r="K54">
        <f>IF(K$2=0,"",IFERROR(TRIM(INDEX('Pegar calibracion'!$A$1:$BZ$1001,53,K$2)&amp;""),""))</f>
        <v/>
      </c>
      <c r="L54">
        <f>IF(L$2=0,"",IFERROR(TRIM(INDEX('Pegar calibracion'!$A$1:$BZ$1001,53,L$2)&amp;""),""))</f>
        <v/>
      </c>
      <c r="M54" s="25">
        <f>IF(D54="","",SUBSTITUTE(SUBSTITUTE(SUBSTITUTE(SUBSTITUTE(SUBSTITUTE(SUBSTITUTE(SUBSTITUTE(SUBSTITUTE(SUBSTITUTE(SUBSTITUTE(SUBSTITUTE(SUBSTITUTE(LOWER(TRIM(D54)),"á","a"),"é","e"),"í","i"),"ó","o"),"ú","u"),"ü","u"),"ñ","n"),"à","a"),"è","e"),"ì","i"),"ò","o"),"ù","u"))</f>
        <v/>
      </c>
      <c r="N54" s="25">
        <f>IF(F54="","",SUBSTITUTE(SUBSTITUTE(SUBSTITUTE(SUBSTITUTE(SUBSTITUTE(SUBSTITUTE(SUBSTITUTE(SUBSTITUTE(SUBSTITUTE(SUBSTITUTE(SUBSTITUTE(SUBSTITUTE(LOWER(TRIM(F54)),"á","a"),"é","e"),"í","i"),"ó","o"),"ú","u"),"ü","u"),"ñ","n"),"à","a"),"è","e"),"ì","i"),"ò","o"),"ù","u"))</f>
        <v/>
      </c>
      <c r="O54" s="25">
        <f>IF(M54="confiable",2,IF(M54="dudosa",1,IF(M54="no confiable",0,"")))</f>
        <v/>
      </c>
      <c r="P54" s="25">
        <f>IF(N54="confiable",2,IF(N54="dudosa",1,IF(N54="no confiable",0,"")))</f>
        <v/>
      </c>
      <c r="Q54" s="25">
        <f>IF(AND(ISNUMBER(O54),ISNUMBER(P54)),1,"")</f>
        <v/>
      </c>
      <c r="R54" s="25">
        <f>IF(Q54=1,IF(O54=P54,"Sí","No"),"")</f>
        <v/>
      </c>
      <c r="S54" s="25">
        <f>IF(Q54=1,IF(P54&lt;O54,"Más estricto",IF(P54&gt;O54,"Más permisivo","Igual")),"")</f>
        <v/>
      </c>
      <c r="T54" s="25">
        <f>IF(Q54=1,IF(ABS(O54-P54)=2,1,0),"")</f>
        <v/>
      </c>
      <c r="U54" s="25">
        <f>IF(H54="","","|"&amp;SUBSTITUTE(SUBSTITUTE(TRIM(H54)," |","|"),"| ","|")&amp;"|")</f>
        <v/>
      </c>
      <c r="V54" s="25">
        <f>IF(AND(Q54=1,B54&lt;&gt;""),IF(IFERROR(COUNTIFS(B$3:B54,"="&amp;SUBSTITUTE(SUBSTITUTE(SUBSTITUTE(B54,"~","~~"),"*","~*"),"?","~?"),Q$3:Q54,1),0)=1,MAX(V$2:V53)+1,""),"")</f>
        <v/>
      </c>
      <c r="W54" s="25">
        <f>IF(V54="","",COUNTIFS($B$3:$B$1002,"="&amp;SUBSTITUTE(SUBSTITUTE(SUBSTITUTE(B54,"~","~~"),"*","~*"),"?","~?"),$Q$3:$Q$1002,1)*10000-V54)</f>
        <v/>
      </c>
      <c r="X54" s="25">
        <f>IF(Q54=1,IF(SUBSTITUTE(SUBSTITUTE(SUBSTITUTE(SUBSTITUTE(SUBSTITUTE(SUBSTITUTE(SUBSTITUTE(SUBSTITUTE(SUBSTITUTE(SUBSTITUTE(SUBSTITUTE(SUBSTITUTE(LOWER(TRIM(A54)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54)),"á","a"),"é","e"),"í","i"),"ó","o"),"ú","u"),"ü","u"),"ñ","n"),"à","a"),"è","e"),"ì","i"),"ò","o"),"ù","u")),"")</f>
        <v/>
      </c>
      <c r="Y54" s="25">
        <f>IF(X54="","",IF(IFERROR(COUNTIF(X$3:X54,"="&amp;SUBSTITUTE(SUBSTITUTE(SUBSTITUTE(X54,"~","~~"),"*","~*"),"?","~?")),0)=1,1,""))</f>
        <v/>
      </c>
      <c r="Z54" s="25">
        <f>IF(T54=1,MAX(Z$2:Z53)+1,"")</f>
        <v/>
      </c>
    </row>
    <row r="55">
      <c r="A55">
        <f>IF(A$2=0,"",IFERROR(TRIM(INDEX('Pegar calibracion'!$A$1:$BZ$1001,54,A$2)&amp;""),""))</f>
        <v/>
      </c>
      <c r="B55">
        <f>IF(B$2=0,"",IFERROR(TRIM(INDEX('Pegar calibracion'!$A$1:$BZ$1001,54,B$2)&amp;""),""))</f>
        <v/>
      </c>
      <c r="C55">
        <f>IF(C$2=0,"",IFERROR(TRIM(INDEX('Pegar calibracion'!$A$1:$BZ$1001,54,C$2)&amp;""),""))</f>
        <v/>
      </c>
      <c r="D55">
        <f>IF(D$2=0,"",IFERROR(TRIM(INDEX('Pegar calibracion'!$A$1:$BZ$1001,54,D$2)&amp;""),""))</f>
        <v/>
      </c>
      <c r="E55">
        <f>IF(E$2=0,"",IFERROR(TRIM(INDEX('Pegar calibracion'!$A$1:$BZ$1001,54,E$2)&amp;""),""))</f>
        <v/>
      </c>
      <c r="F55">
        <f>IF(F$2=0,"",IFERROR(TRIM(INDEX('Pegar calibracion'!$A$1:$BZ$1001,54,F$2)&amp;""),""))</f>
        <v/>
      </c>
      <c r="G55">
        <f>IF(G$2=0,"",IFERROR(TRIM(INDEX('Pegar calibracion'!$A$1:$BZ$1001,54,G$2)&amp;""),""))</f>
        <v/>
      </c>
      <c r="H55">
        <f>IF(H$2=0,"",IFERROR(TRIM(INDEX('Pegar calibracion'!$A$1:$BZ$1001,54,H$2)&amp;""),""))</f>
        <v/>
      </c>
      <c r="I55">
        <f>IF(I$2=0,"",IFERROR(TRIM(INDEX('Pegar calibracion'!$A$1:$BZ$1001,54,I$2)&amp;""),""))</f>
        <v/>
      </c>
      <c r="J55">
        <f>IF(J$2=0,"",IFERROR(TRIM(INDEX('Pegar calibracion'!$A$1:$BZ$1001,54,J$2)&amp;""),""))</f>
        <v/>
      </c>
      <c r="K55">
        <f>IF(K$2=0,"",IFERROR(TRIM(INDEX('Pegar calibracion'!$A$1:$BZ$1001,54,K$2)&amp;""),""))</f>
        <v/>
      </c>
      <c r="L55">
        <f>IF(L$2=0,"",IFERROR(TRIM(INDEX('Pegar calibracion'!$A$1:$BZ$1001,54,L$2)&amp;""),""))</f>
        <v/>
      </c>
      <c r="M55" s="25">
        <f>IF(D55="","",SUBSTITUTE(SUBSTITUTE(SUBSTITUTE(SUBSTITUTE(SUBSTITUTE(SUBSTITUTE(SUBSTITUTE(SUBSTITUTE(SUBSTITUTE(SUBSTITUTE(SUBSTITUTE(SUBSTITUTE(LOWER(TRIM(D55)),"á","a"),"é","e"),"í","i"),"ó","o"),"ú","u"),"ü","u"),"ñ","n"),"à","a"),"è","e"),"ì","i"),"ò","o"),"ù","u"))</f>
        <v/>
      </c>
      <c r="N55" s="25">
        <f>IF(F55="","",SUBSTITUTE(SUBSTITUTE(SUBSTITUTE(SUBSTITUTE(SUBSTITUTE(SUBSTITUTE(SUBSTITUTE(SUBSTITUTE(SUBSTITUTE(SUBSTITUTE(SUBSTITUTE(SUBSTITUTE(LOWER(TRIM(F55)),"á","a"),"é","e"),"í","i"),"ó","o"),"ú","u"),"ü","u"),"ñ","n"),"à","a"),"è","e"),"ì","i"),"ò","o"),"ù","u"))</f>
        <v/>
      </c>
      <c r="O55" s="25">
        <f>IF(M55="confiable",2,IF(M55="dudosa",1,IF(M55="no confiable",0,"")))</f>
        <v/>
      </c>
      <c r="P55" s="25">
        <f>IF(N55="confiable",2,IF(N55="dudosa",1,IF(N55="no confiable",0,"")))</f>
        <v/>
      </c>
      <c r="Q55" s="25">
        <f>IF(AND(ISNUMBER(O55),ISNUMBER(P55)),1,"")</f>
        <v/>
      </c>
      <c r="R55" s="25">
        <f>IF(Q55=1,IF(O55=P55,"Sí","No"),"")</f>
        <v/>
      </c>
      <c r="S55" s="25">
        <f>IF(Q55=1,IF(P55&lt;O55,"Más estricto",IF(P55&gt;O55,"Más permisivo","Igual")),"")</f>
        <v/>
      </c>
      <c r="T55" s="25">
        <f>IF(Q55=1,IF(ABS(O55-P55)=2,1,0),"")</f>
        <v/>
      </c>
      <c r="U55" s="25">
        <f>IF(H55="","","|"&amp;SUBSTITUTE(SUBSTITUTE(TRIM(H55)," |","|"),"| ","|")&amp;"|")</f>
        <v/>
      </c>
      <c r="V55" s="25">
        <f>IF(AND(Q55=1,B55&lt;&gt;""),IF(IFERROR(COUNTIFS(B$3:B55,"="&amp;SUBSTITUTE(SUBSTITUTE(SUBSTITUTE(B55,"~","~~"),"*","~*"),"?","~?"),Q$3:Q55,1),0)=1,MAX(V$2:V54)+1,""),"")</f>
        <v/>
      </c>
      <c r="W55" s="25">
        <f>IF(V55="","",COUNTIFS($B$3:$B$1002,"="&amp;SUBSTITUTE(SUBSTITUTE(SUBSTITUTE(B55,"~","~~"),"*","~*"),"?","~?"),$Q$3:$Q$1002,1)*10000-V55)</f>
        <v/>
      </c>
      <c r="X55" s="25">
        <f>IF(Q55=1,IF(SUBSTITUTE(SUBSTITUTE(SUBSTITUTE(SUBSTITUTE(SUBSTITUTE(SUBSTITUTE(SUBSTITUTE(SUBSTITUTE(SUBSTITUTE(SUBSTITUTE(SUBSTITUTE(SUBSTITUTE(LOWER(TRIM(A55)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55)),"á","a"),"é","e"),"í","i"),"ó","o"),"ú","u"),"ü","u"),"ñ","n"),"à","a"),"è","e"),"ì","i"),"ò","o"),"ù","u")),"")</f>
        <v/>
      </c>
      <c r="Y55" s="25">
        <f>IF(X55="","",IF(IFERROR(COUNTIF(X$3:X55,"="&amp;SUBSTITUTE(SUBSTITUTE(SUBSTITUTE(X55,"~","~~"),"*","~*"),"?","~?")),0)=1,1,""))</f>
        <v/>
      </c>
      <c r="Z55" s="25">
        <f>IF(T55=1,MAX(Z$2:Z54)+1,"")</f>
        <v/>
      </c>
    </row>
    <row r="56">
      <c r="A56">
        <f>IF(A$2=0,"",IFERROR(TRIM(INDEX('Pegar calibracion'!$A$1:$BZ$1001,55,A$2)&amp;""),""))</f>
        <v/>
      </c>
      <c r="B56">
        <f>IF(B$2=0,"",IFERROR(TRIM(INDEX('Pegar calibracion'!$A$1:$BZ$1001,55,B$2)&amp;""),""))</f>
        <v/>
      </c>
      <c r="C56">
        <f>IF(C$2=0,"",IFERROR(TRIM(INDEX('Pegar calibracion'!$A$1:$BZ$1001,55,C$2)&amp;""),""))</f>
        <v/>
      </c>
      <c r="D56">
        <f>IF(D$2=0,"",IFERROR(TRIM(INDEX('Pegar calibracion'!$A$1:$BZ$1001,55,D$2)&amp;""),""))</f>
        <v/>
      </c>
      <c r="E56">
        <f>IF(E$2=0,"",IFERROR(TRIM(INDEX('Pegar calibracion'!$A$1:$BZ$1001,55,E$2)&amp;""),""))</f>
        <v/>
      </c>
      <c r="F56">
        <f>IF(F$2=0,"",IFERROR(TRIM(INDEX('Pegar calibracion'!$A$1:$BZ$1001,55,F$2)&amp;""),""))</f>
        <v/>
      </c>
      <c r="G56">
        <f>IF(G$2=0,"",IFERROR(TRIM(INDEX('Pegar calibracion'!$A$1:$BZ$1001,55,G$2)&amp;""),""))</f>
        <v/>
      </c>
      <c r="H56">
        <f>IF(H$2=0,"",IFERROR(TRIM(INDEX('Pegar calibracion'!$A$1:$BZ$1001,55,H$2)&amp;""),""))</f>
        <v/>
      </c>
      <c r="I56">
        <f>IF(I$2=0,"",IFERROR(TRIM(INDEX('Pegar calibracion'!$A$1:$BZ$1001,55,I$2)&amp;""),""))</f>
        <v/>
      </c>
      <c r="J56">
        <f>IF(J$2=0,"",IFERROR(TRIM(INDEX('Pegar calibracion'!$A$1:$BZ$1001,55,J$2)&amp;""),""))</f>
        <v/>
      </c>
      <c r="K56">
        <f>IF(K$2=0,"",IFERROR(TRIM(INDEX('Pegar calibracion'!$A$1:$BZ$1001,55,K$2)&amp;""),""))</f>
        <v/>
      </c>
      <c r="L56">
        <f>IF(L$2=0,"",IFERROR(TRIM(INDEX('Pegar calibracion'!$A$1:$BZ$1001,55,L$2)&amp;""),""))</f>
        <v/>
      </c>
      <c r="M56" s="25">
        <f>IF(D56="","",SUBSTITUTE(SUBSTITUTE(SUBSTITUTE(SUBSTITUTE(SUBSTITUTE(SUBSTITUTE(SUBSTITUTE(SUBSTITUTE(SUBSTITUTE(SUBSTITUTE(SUBSTITUTE(SUBSTITUTE(LOWER(TRIM(D56)),"á","a"),"é","e"),"í","i"),"ó","o"),"ú","u"),"ü","u"),"ñ","n"),"à","a"),"è","e"),"ì","i"),"ò","o"),"ù","u"))</f>
        <v/>
      </c>
      <c r="N56" s="25">
        <f>IF(F56="","",SUBSTITUTE(SUBSTITUTE(SUBSTITUTE(SUBSTITUTE(SUBSTITUTE(SUBSTITUTE(SUBSTITUTE(SUBSTITUTE(SUBSTITUTE(SUBSTITUTE(SUBSTITUTE(SUBSTITUTE(LOWER(TRIM(F56)),"á","a"),"é","e"),"í","i"),"ó","o"),"ú","u"),"ü","u"),"ñ","n"),"à","a"),"è","e"),"ì","i"),"ò","o"),"ù","u"))</f>
        <v/>
      </c>
      <c r="O56" s="25">
        <f>IF(M56="confiable",2,IF(M56="dudosa",1,IF(M56="no confiable",0,"")))</f>
        <v/>
      </c>
      <c r="P56" s="25">
        <f>IF(N56="confiable",2,IF(N56="dudosa",1,IF(N56="no confiable",0,"")))</f>
        <v/>
      </c>
      <c r="Q56" s="25">
        <f>IF(AND(ISNUMBER(O56),ISNUMBER(P56)),1,"")</f>
        <v/>
      </c>
      <c r="R56" s="25">
        <f>IF(Q56=1,IF(O56=P56,"Sí","No"),"")</f>
        <v/>
      </c>
      <c r="S56" s="25">
        <f>IF(Q56=1,IF(P56&lt;O56,"Más estricto",IF(P56&gt;O56,"Más permisivo","Igual")),"")</f>
        <v/>
      </c>
      <c r="T56" s="25">
        <f>IF(Q56=1,IF(ABS(O56-P56)=2,1,0),"")</f>
        <v/>
      </c>
      <c r="U56" s="25">
        <f>IF(H56="","","|"&amp;SUBSTITUTE(SUBSTITUTE(TRIM(H56)," |","|"),"| ","|")&amp;"|")</f>
        <v/>
      </c>
      <c r="V56" s="25">
        <f>IF(AND(Q56=1,B56&lt;&gt;""),IF(IFERROR(COUNTIFS(B$3:B56,"="&amp;SUBSTITUTE(SUBSTITUTE(SUBSTITUTE(B56,"~","~~"),"*","~*"),"?","~?"),Q$3:Q56,1),0)=1,MAX(V$2:V55)+1,""),"")</f>
        <v/>
      </c>
      <c r="W56" s="25">
        <f>IF(V56="","",COUNTIFS($B$3:$B$1002,"="&amp;SUBSTITUTE(SUBSTITUTE(SUBSTITUTE(B56,"~","~~"),"*","~*"),"?","~?"),$Q$3:$Q$1002,1)*10000-V56)</f>
        <v/>
      </c>
      <c r="X56" s="25">
        <f>IF(Q56=1,IF(SUBSTITUTE(SUBSTITUTE(SUBSTITUTE(SUBSTITUTE(SUBSTITUTE(SUBSTITUTE(SUBSTITUTE(SUBSTITUTE(SUBSTITUTE(SUBSTITUTE(SUBSTITUTE(SUBSTITUTE(LOWER(TRIM(A56)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56)),"á","a"),"é","e"),"í","i"),"ó","o"),"ú","u"),"ü","u"),"ñ","n"),"à","a"),"è","e"),"ì","i"),"ò","o"),"ù","u")),"")</f>
        <v/>
      </c>
      <c r="Y56" s="25">
        <f>IF(X56="","",IF(IFERROR(COUNTIF(X$3:X56,"="&amp;SUBSTITUTE(SUBSTITUTE(SUBSTITUTE(X56,"~","~~"),"*","~*"),"?","~?")),0)=1,1,""))</f>
        <v/>
      </c>
      <c r="Z56" s="25">
        <f>IF(T56=1,MAX(Z$2:Z55)+1,"")</f>
        <v/>
      </c>
    </row>
    <row r="57">
      <c r="A57">
        <f>IF(A$2=0,"",IFERROR(TRIM(INDEX('Pegar calibracion'!$A$1:$BZ$1001,56,A$2)&amp;""),""))</f>
        <v/>
      </c>
      <c r="B57">
        <f>IF(B$2=0,"",IFERROR(TRIM(INDEX('Pegar calibracion'!$A$1:$BZ$1001,56,B$2)&amp;""),""))</f>
        <v/>
      </c>
      <c r="C57">
        <f>IF(C$2=0,"",IFERROR(TRIM(INDEX('Pegar calibracion'!$A$1:$BZ$1001,56,C$2)&amp;""),""))</f>
        <v/>
      </c>
      <c r="D57">
        <f>IF(D$2=0,"",IFERROR(TRIM(INDEX('Pegar calibracion'!$A$1:$BZ$1001,56,D$2)&amp;""),""))</f>
        <v/>
      </c>
      <c r="E57">
        <f>IF(E$2=0,"",IFERROR(TRIM(INDEX('Pegar calibracion'!$A$1:$BZ$1001,56,E$2)&amp;""),""))</f>
        <v/>
      </c>
      <c r="F57">
        <f>IF(F$2=0,"",IFERROR(TRIM(INDEX('Pegar calibracion'!$A$1:$BZ$1001,56,F$2)&amp;""),""))</f>
        <v/>
      </c>
      <c r="G57">
        <f>IF(G$2=0,"",IFERROR(TRIM(INDEX('Pegar calibracion'!$A$1:$BZ$1001,56,G$2)&amp;""),""))</f>
        <v/>
      </c>
      <c r="H57">
        <f>IF(H$2=0,"",IFERROR(TRIM(INDEX('Pegar calibracion'!$A$1:$BZ$1001,56,H$2)&amp;""),""))</f>
        <v/>
      </c>
      <c r="I57">
        <f>IF(I$2=0,"",IFERROR(TRIM(INDEX('Pegar calibracion'!$A$1:$BZ$1001,56,I$2)&amp;""),""))</f>
        <v/>
      </c>
      <c r="J57">
        <f>IF(J$2=0,"",IFERROR(TRIM(INDEX('Pegar calibracion'!$A$1:$BZ$1001,56,J$2)&amp;""),""))</f>
        <v/>
      </c>
      <c r="K57">
        <f>IF(K$2=0,"",IFERROR(TRIM(INDEX('Pegar calibracion'!$A$1:$BZ$1001,56,K$2)&amp;""),""))</f>
        <v/>
      </c>
      <c r="L57">
        <f>IF(L$2=0,"",IFERROR(TRIM(INDEX('Pegar calibracion'!$A$1:$BZ$1001,56,L$2)&amp;""),""))</f>
        <v/>
      </c>
      <c r="M57" s="25">
        <f>IF(D57="","",SUBSTITUTE(SUBSTITUTE(SUBSTITUTE(SUBSTITUTE(SUBSTITUTE(SUBSTITUTE(SUBSTITUTE(SUBSTITUTE(SUBSTITUTE(SUBSTITUTE(SUBSTITUTE(SUBSTITUTE(LOWER(TRIM(D57)),"á","a"),"é","e"),"í","i"),"ó","o"),"ú","u"),"ü","u"),"ñ","n"),"à","a"),"è","e"),"ì","i"),"ò","o"),"ù","u"))</f>
        <v/>
      </c>
      <c r="N57" s="25">
        <f>IF(F57="","",SUBSTITUTE(SUBSTITUTE(SUBSTITUTE(SUBSTITUTE(SUBSTITUTE(SUBSTITUTE(SUBSTITUTE(SUBSTITUTE(SUBSTITUTE(SUBSTITUTE(SUBSTITUTE(SUBSTITUTE(LOWER(TRIM(F57)),"á","a"),"é","e"),"í","i"),"ó","o"),"ú","u"),"ü","u"),"ñ","n"),"à","a"),"è","e"),"ì","i"),"ò","o"),"ù","u"))</f>
        <v/>
      </c>
      <c r="O57" s="25">
        <f>IF(M57="confiable",2,IF(M57="dudosa",1,IF(M57="no confiable",0,"")))</f>
        <v/>
      </c>
      <c r="P57" s="25">
        <f>IF(N57="confiable",2,IF(N57="dudosa",1,IF(N57="no confiable",0,"")))</f>
        <v/>
      </c>
      <c r="Q57" s="25">
        <f>IF(AND(ISNUMBER(O57),ISNUMBER(P57)),1,"")</f>
        <v/>
      </c>
      <c r="R57" s="25">
        <f>IF(Q57=1,IF(O57=P57,"Sí","No"),"")</f>
        <v/>
      </c>
      <c r="S57" s="25">
        <f>IF(Q57=1,IF(P57&lt;O57,"Más estricto",IF(P57&gt;O57,"Más permisivo","Igual")),"")</f>
        <v/>
      </c>
      <c r="T57" s="25">
        <f>IF(Q57=1,IF(ABS(O57-P57)=2,1,0),"")</f>
        <v/>
      </c>
      <c r="U57" s="25">
        <f>IF(H57="","","|"&amp;SUBSTITUTE(SUBSTITUTE(TRIM(H57)," |","|"),"| ","|")&amp;"|")</f>
        <v/>
      </c>
      <c r="V57" s="25">
        <f>IF(AND(Q57=1,B57&lt;&gt;""),IF(IFERROR(COUNTIFS(B$3:B57,"="&amp;SUBSTITUTE(SUBSTITUTE(SUBSTITUTE(B57,"~","~~"),"*","~*"),"?","~?"),Q$3:Q57,1),0)=1,MAX(V$2:V56)+1,""),"")</f>
        <v/>
      </c>
      <c r="W57" s="25">
        <f>IF(V57="","",COUNTIFS($B$3:$B$1002,"="&amp;SUBSTITUTE(SUBSTITUTE(SUBSTITUTE(B57,"~","~~"),"*","~*"),"?","~?"),$Q$3:$Q$1002,1)*10000-V57)</f>
        <v/>
      </c>
      <c r="X57" s="25">
        <f>IF(Q57=1,IF(SUBSTITUTE(SUBSTITUTE(SUBSTITUTE(SUBSTITUTE(SUBSTITUTE(SUBSTITUTE(SUBSTITUTE(SUBSTITUTE(SUBSTITUTE(SUBSTITUTE(SUBSTITUTE(SUBSTITUTE(LOWER(TRIM(A57)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57)),"á","a"),"é","e"),"í","i"),"ó","o"),"ú","u"),"ü","u"),"ñ","n"),"à","a"),"è","e"),"ì","i"),"ò","o"),"ù","u")),"")</f>
        <v/>
      </c>
      <c r="Y57" s="25">
        <f>IF(X57="","",IF(IFERROR(COUNTIF(X$3:X57,"="&amp;SUBSTITUTE(SUBSTITUTE(SUBSTITUTE(X57,"~","~~"),"*","~*"),"?","~?")),0)=1,1,""))</f>
        <v/>
      </c>
      <c r="Z57" s="25">
        <f>IF(T57=1,MAX(Z$2:Z56)+1,"")</f>
        <v/>
      </c>
    </row>
    <row r="58">
      <c r="A58">
        <f>IF(A$2=0,"",IFERROR(TRIM(INDEX('Pegar calibracion'!$A$1:$BZ$1001,57,A$2)&amp;""),""))</f>
        <v/>
      </c>
      <c r="B58">
        <f>IF(B$2=0,"",IFERROR(TRIM(INDEX('Pegar calibracion'!$A$1:$BZ$1001,57,B$2)&amp;""),""))</f>
        <v/>
      </c>
      <c r="C58">
        <f>IF(C$2=0,"",IFERROR(TRIM(INDEX('Pegar calibracion'!$A$1:$BZ$1001,57,C$2)&amp;""),""))</f>
        <v/>
      </c>
      <c r="D58">
        <f>IF(D$2=0,"",IFERROR(TRIM(INDEX('Pegar calibracion'!$A$1:$BZ$1001,57,D$2)&amp;""),""))</f>
        <v/>
      </c>
      <c r="E58">
        <f>IF(E$2=0,"",IFERROR(TRIM(INDEX('Pegar calibracion'!$A$1:$BZ$1001,57,E$2)&amp;""),""))</f>
        <v/>
      </c>
      <c r="F58">
        <f>IF(F$2=0,"",IFERROR(TRIM(INDEX('Pegar calibracion'!$A$1:$BZ$1001,57,F$2)&amp;""),""))</f>
        <v/>
      </c>
      <c r="G58">
        <f>IF(G$2=0,"",IFERROR(TRIM(INDEX('Pegar calibracion'!$A$1:$BZ$1001,57,G$2)&amp;""),""))</f>
        <v/>
      </c>
      <c r="H58">
        <f>IF(H$2=0,"",IFERROR(TRIM(INDEX('Pegar calibracion'!$A$1:$BZ$1001,57,H$2)&amp;""),""))</f>
        <v/>
      </c>
      <c r="I58">
        <f>IF(I$2=0,"",IFERROR(TRIM(INDEX('Pegar calibracion'!$A$1:$BZ$1001,57,I$2)&amp;""),""))</f>
        <v/>
      </c>
      <c r="J58">
        <f>IF(J$2=0,"",IFERROR(TRIM(INDEX('Pegar calibracion'!$A$1:$BZ$1001,57,J$2)&amp;""),""))</f>
        <v/>
      </c>
      <c r="K58">
        <f>IF(K$2=0,"",IFERROR(TRIM(INDEX('Pegar calibracion'!$A$1:$BZ$1001,57,K$2)&amp;""),""))</f>
        <v/>
      </c>
      <c r="L58">
        <f>IF(L$2=0,"",IFERROR(TRIM(INDEX('Pegar calibracion'!$A$1:$BZ$1001,57,L$2)&amp;""),""))</f>
        <v/>
      </c>
      <c r="M58" s="25">
        <f>IF(D58="","",SUBSTITUTE(SUBSTITUTE(SUBSTITUTE(SUBSTITUTE(SUBSTITUTE(SUBSTITUTE(SUBSTITUTE(SUBSTITUTE(SUBSTITUTE(SUBSTITUTE(SUBSTITUTE(SUBSTITUTE(LOWER(TRIM(D58)),"á","a"),"é","e"),"í","i"),"ó","o"),"ú","u"),"ü","u"),"ñ","n"),"à","a"),"è","e"),"ì","i"),"ò","o"),"ù","u"))</f>
        <v/>
      </c>
      <c r="N58" s="25">
        <f>IF(F58="","",SUBSTITUTE(SUBSTITUTE(SUBSTITUTE(SUBSTITUTE(SUBSTITUTE(SUBSTITUTE(SUBSTITUTE(SUBSTITUTE(SUBSTITUTE(SUBSTITUTE(SUBSTITUTE(SUBSTITUTE(LOWER(TRIM(F58)),"á","a"),"é","e"),"í","i"),"ó","o"),"ú","u"),"ü","u"),"ñ","n"),"à","a"),"è","e"),"ì","i"),"ò","o"),"ù","u"))</f>
        <v/>
      </c>
      <c r="O58" s="25">
        <f>IF(M58="confiable",2,IF(M58="dudosa",1,IF(M58="no confiable",0,"")))</f>
        <v/>
      </c>
      <c r="P58" s="25">
        <f>IF(N58="confiable",2,IF(N58="dudosa",1,IF(N58="no confiable",0,"")))</f>
        <v/>
      </c>
      <c r="Q58" s="25">
        <f>IF(AND(ISNUMBER(O58),ISNUMBER(P58)),1,"")</f>
        <v/>
      </c>
      <c r="R58" s="25">
        <f>IF(Q58=1,IF(O58=P58,"Sí","No"),"")</f>
        <v/>
      </c>
      <c r="S58" s="25">
        <f>IF(Q58=1,IF(P58&lt;O58,"Más estricto",IF(P58&gt;O58,"Más permisivo","Igual")),"")</f>
        <v/>
      </c>
      <c r="T58" s="25">
        <f>IF(Q58=1,IF(ABS(O58-P58)=2,1,0),"")</f>
        <v/>
      </c>
      <c r="U58" s="25">
        <f>IF(H58="","","|"&amp;SUBSTITUTE(SUBSTITUTE(TRIM(H58)," |","|"),"| ","|")&amp;"|")</f>
        <v/>
      </c>
      <c r="V58" s="25">
        <f>IF(AND(Q58=1,B58&lt;&gt;""),IF(IFERROR(COUNTIFS(B$3:B58,"="&amp;SUBSTITUTE(SUBSTITUTE(SUBSTITUTE(B58,"~","~~"),"*","~*"),"?","~?"),Q$3:Q58,1),0)=1,MAX(V$2:V57)+1,""),"")</f>
        <v/>
      </c>
      <c r="W58" s="25">
        <f>IF(V58="","",COUNTIFS($B$3:$B$1002,"="&amp;SUBSTITUTE(SUBSTITUTE(SUBSTITUTE(B58,"~","~~"),"*","~*"),"?","~?"),$Q$3:$Q$1002,1)*10000-V58)</f>
        <v/>
      </c>
      <c r="X58" s="25">
        <f>IF(Q58=1,IF(SUBSTITUTE(SUBSTITUTE(SUBSTITUTE(SUBSTITUTE(SUBSTITUTE(SUBSTITUTE(SUBSTITUTE(SUBSTITUTE(SUBSTITUTE(SUBSTITUTE(SUBSTITUTE(SUBSTITUTE(LOWER(TRIM(A58)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58)),"á","a"),"é","e"),"í","i"),"ó","o"),"ú","u"),"ü","u"),"ñ","n"),"à","a"),"è","e"),"ì","i"),"ò","o"),"ù","u")),"")</f>
        <v/>
      </c>
      <c r="Y58" s="25">
        <f>IF(X58="","",IF(IFERROR(COUNTIF(X$3:X58,"="&amp;SUBSTITUTE(SUBSTITUTE(SUBSTITUTE(X58,"~","~~"),"*","~*"),"?","~?")),0)=1,1,""))</f>
        <v/>
      </c>
      <c r="Z58" s="25">
        <f>IF(T58=1,MAX(Z$2:Z57)+1,"")</f>
        <v/>
      </c>
    </row>
    <row r="59">
      <c r="A59">
        <f>IF(A$2=0,"",IFERROR(TRIM(INDEX('Pegar calibracion'!$A$1:$BZ$1001,58,A$2)&amp;""),""))</f>
        <v/>
      </c>
      <c r="B59">
        <f>IF(B$2=0,"",IFERROR(TRIM(INDEX('Pegar calibracion'!$A$1:$BZ$1001,58,B$2)&amp;""),""))</f>
        <v/>
      </c>
      <c r="C59">
        <f>IF(C$2=0,"",IFERROR(TRIM(INDEX('Pegar calibracion'!$A$1:$BZ$1001,58,C$2)&amp;""),""))</f>
        <v/>
      </c>
      <c r="D59">
        <f>IF(D$2=0,"",IFERROR(TRIM(INDEX('Pegar calibracion'!$A$1:$BZ$1001,58,D$2)&amp;""),""))</f>
        <v/>
      </c>
      <c r="E59">
        <f>IF(E$2=0,"",IFERROR(TRIM(INDEX('Pegar calibracion'!$A$1:$BZ$1001,58,E$2)&amp;""),""))</f>
        <v/>
      </c>
      <c r="F59">
        <f>IF(F$2=0,"",IFERROR(TRIM(INDEX('Pegar calibracion'!$A$1:$BZ$1001,58,F$2)&amp;""),""))</f>
        <v/>
      </c>
      <c r="G59">
        <f>IF(G$2=0,"",IFERROR(TRIM(INDEX('Pegar calibracion'!$A$1:$BZ$1001,58,G$2)&amp;""),""))</f>
        <v/>
      </c>
      <c r="H59">
        <f>IF(H$2=0,"",IFERROR(TRIM(INDEX('Pegar calibracion'!$A$1:$BZ$1001,58,H$2)&amp;""),""))</f>
        <v/>
      </c>
      <c r="I59">
        <f>IF(I$2=0,"",IFERROR(TRIM(INDEX('Pegar calibracion'!$A$1:$BZ$1001,58,I$2)&amp;""),""))</f>
        <v/>
      </c>
      <c r="J59">
        <f>IF(J$2=0,"",IFERROR(TRIM(INDEX('Pegar calibracion'!$A$1:$BZ$1001,58,J$2)&amp;""),""))</f>
        <v/>
      </c>
      <c r="K59">
        <f>IF(K$2=0,"",IFERROR(TRIM(INDEX('Pegar calibracion'!$A$1:$BZ$1001,58,K$2)&amp;""),""))</f>
        <v/>
      </c>
      <c r="L59">
        <f>IF(L$2=0,"",IFERROR(TRIM(INDEX('Pegar calibracion'!$A$1:$BZ$1001,58,L$2)&amp;""),""))</f>
        <v/>
      </c>
      <c r="M59" s="25">
        <f>IF(D59="","",SUBSTITUTE(SUBSTITUTE(SUBSTITUTE(SUBSTITUTE(SUBSTITUTE(SUBSTITUTE(SUBSTITUTE(SUBSTITUTE(SUBSTITUTE(SUBSTITUTE(SUBSTITUTE(SUBSTITUTE(LOWER(TRIM(D59)),"á","a"),"é","e"),"í","i"),"ó","o"),"ú","u"),"ü","u"),"ñ","n"),"à","a"),"è","e"),"ì","i"),"ò","o"),"ù","u"))</f>
        <v/>
      </c>
      <c r="N59" s="25">
        <f>IF(F59="","",SUBSTITUTE(SUBSTITUTE(SUBSTITUTE(SUBSTITUTE(SUBSTITUTE(SUBSTITUTE(SUBSTITUTE(SUBSTITUTE(SUBSTITUTE(SUBSTITUTE(SUBSTITUTE(SUBSTITUTE(LOWER(TRIM(F59)),"á","a"),"é","e"),"í","i"),"ó","o"),"ú","u"),"ü","u"),"ñ","n"),"à","a"),"è","e"),"ì","i"),"ò","o"),"ù","u"))</f>
        <v/>
      </c>
      <c r="O59" s="25">
        <f>IF(M59="confiable",2,IF(M59="dudosa",1,IF(M59="no confiable",0,"")))</f>
        <v/>
      </c>
      <c r="P59" s="25">
        <f>IF(N59="confiable",2,IF(N59="dudosa",1,IF(N59="no confiable",0,"")))</f>
        <v/>
      </c>
      <c r="Q59" s="25">
        <f>IF(AND(ISNUMBER(O59),ISNUMBER(P59)),1,"")</f>
        <v/>
      </c>
      <c r="R59" s="25">
        <f>IF(Q59=1,IF(O59=P59,"Sí","No"),"")</f>
        <v/>
      </c>
      <c r="S59" s="25">
        <f>IF(Q59=1,IF(P59&lt;O59,"Más estricto",IF(P59&gt;O59,"Más permisivo","Igual")),"")</f>
        <v/>
      </c>
      <c r="T59" s="25">
        <f>IF(Q59=1,IF(ABS(O59-P59)=2,1,0),"")</f>
        <v/>
      </c>
      <c r="U59" s="25">
        <f>IF(H59="","","|"&amp;SUBSTITUTE(SUBSTITUTE(TRIM(H59)," |","|"),"| ","|")&amp;"|")</f>
        <v/>
      </c>
      <c r="V59" s="25">
        <f>IF(AND(Q59=1,B59&lt;&gt;""),IF(IFERROR(COUNTIFS(B$3:B59,"="&amp;SUBSTITUTE(SUBSTITUTE(SUBSTITUTE(B59,"~","~~"),"*","~*"),"?","~?"),Q$3:Q59,1),0)=1,MAX(V$2:V58)+1,""),"")</f>
        <v/>
      </c>
      <c r="W59" s="25">
        <f>IF(V59="","",COUNTIFS($B$3:$B$1002,"="&amp;SUBSTITUTE(SUBSTITUTE(SUBSTITUTE(B59,"~","~~"),"*","~*"),"?","~?"),$Q$3:$Q$1002,1)*10000-V59)</f>
        <v/>
      </c>
      <c r="X59" s="25">
        <f>IF(Q59=1,IF(SUBSTITUTE(SUBSTITUTE(SUBSTITUTE(SUBSTITUTE(SUBSTITUTE(SUBSTITUTE(SUBSTITUTE(SUBSTITUTE(SUBSTITUTE(SUBSTITUTE(SUBSTITUTE(SUBSTITUTE(LOWER(TRIM(A59)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59)),"á","a"),"é","e"),"í","i"),"ó","o"),"ú","u"),"ü","u"),"ñ","n"),"à","a"),"è","e"),"ì","i"),"ò","o"),"ù","u")),"")</f>
        <v/>
      </c>
      <c r="Y59" s="25">
        <f>IF(X59="","",IF(IFERROR(COUNTIF(X$3:X59,"="&amp;SUBSTITUTE(SUBSTITUTE(SUBSTITUTE(X59,"~","~~"),"*","~*"),"?","~?")),0)=1,1,""))</f>
        <v/>
      </c>
      <c r="Z59" s="25">
        <f>IF(T59=1,MAX(Z$2:Z58)+1,"")</f>
        <v/>
      </c>
    </row>
    <row r="60">
      <c r="A60">
        <f>IF(A$2=0,"",IFERROR(TRIM(INDEX('Pegar calibracion'!$A$1:$BZ$1001,59,A$2)&amp;""),""))</f>
        <v/>
      </c>
      <c r="B60">
        <f>IF(B$2=0,"",IFERROR(TRIM(INDEX('Pegar calibracion'!$A$1:$BZ$1001,59,B$2)&amp;""),""))</f>
        <v/>
      </c>
      <c r="C60">
        <f>IF(C$2=0,"",IFERROR(TRIM(INDEX('Pegar calibracion'!$A$1:$BZ$1001,59,C$2)&amp;""),""))</f>
        <v/>
      </c>
      <c r="D60">
        <f>IF(D$2=0,"",IFERROR(TRIM(INDEX('Pegar calibracion'!$A$1:$BZ$1001,59,D$2)&amp;""),""))</f>
        <v/>
      </c>
      <c r="E60">
        <f>IF(E$2=0,"",IFERROR(TRIM(INDEX('Pegar calibracion'!$A$1:$BZ$1001,59,E$2)&amp;""),""))</f>
        <v/>
      </c>
      <c r="F60">
        <f>IF(F$2=0,"",IFERROR(TRIM(INDEX('Pegar calibracion'!$A$1:$BZ$1001,59,F$2)&amp;""),""))</f>
        <v/>
      </c>
      <c r="G60">
        <f>IF(G$2=0,"",IFERROR(TRIM(INDEX('Pegar calibracion'!$A$1:$BZ$1001,59,G$2)&amp;""),""))</f>
        <v/>
      </c>
      <c r="H60">
        <f>IF(H$2=0,"",IFERROR(TRIM(INDEX('Pegar calibracion'!$A$1:$BZ$1001,59,H$2)&amp;""),""))</f>
        <v/>
      </c>
      <c r="I60">
        <f>IF(I$2=0,"",IFERROR(TRIM(INDEX('Pegar calibracion'!$A$1:$BZ$1001,59,I$2)&amp;""),""))</f>
        <v/>
      </c>
      <c r="J60">
        <f>IF(J$2=0,"",IFERROR(TRIM(INDEX('Pegar calibracion'!$A$1:$BZ$1001,59,J$2)&amp;""),""))</f>
        <v/>
      </c>
      <c r="K60">
        <f>IF(K$2=0,"",IFERROR(TRIM(INDEX('Pegar calibracion'!$A$1:$BZ$1001,59,K$2)&amp;""),""))</f>
        <v/>
      </c>
      <c r="L60">
        <f>IF(L$2=0,"",IFERROR(TRIM(INDEX('Pegar calibracion'!$A$1:$BZ$1001,59,L$2)&amp;""),""))</f>
        <v/>
      </c>
      <c r="M60" s="25">
        <f>IF(D60="","",SUBSTITUTE(SUBSTITUTE(SUBSTITUTE(SUBSTITUTE(SUBSTITUTE(SUBSTITUTE(SUBSTITUTE(SUBSTITUTE(SUBSTITUTE(SUBSTITUTE(SUBSTITUTE(SUBSTITUTE(LOWER(TRIM(D60)),"á","a"),"é","e"),"í","i"),"ó","o"),"ú","u"),"ü","u"),"ñ","n"),"à","a"),"è","e"),"ì","i"),"ò","o"),"ù","u"))</f>
        <v/>
      </c>
      <c r="N60" s="25">
        <f>IF(F60="","",SUBSTITUTE(SUBSTITUTE(SUBSTITUTE(SUBSTITUTE(SUBSTITUTE(SUBSTITUTE(SUBSTITUTE(SUBSTITUTE(SUBSTITUTE(SUBSTITUTE(SUBSTITUTE(SUBSTITUTE(LOWER(TRIM(F60)),"á","a"),"é","e"),"í","i"),"ó","o"),"ú","u"),"ü","u"),"ñ","n"),"à","a"),"è","e"),"ì","i"),"ò","o"),"ù","u"))</f>
        <v/>
      </c>
      <c r="O60" s="25">
        <f>IF(M60="confiable",2,IF(M60="dudosa",1,IF(M60="no confiable",0,"")))</f>
        <v/>
      </c>
      <c r="P60" s="25">
        <f>IF(N60="confiable",2,IF(N60="dudosa",1,IF(N60="no confiable",0,"")))</f>
        <v/>
      </c>
      <c r="Q60" s="25">
        <f>IF(AND(ISNUMBER(O60),ISNUMBER(P60)),1,"")</f>
        <v/>
      </c>
      <c r="R60" s="25">
        <f>IF(Q60=1,IF(O60=P60,"Sí","No"),"")</f>
        <v/>
      </c>
      <c r="S60" s="25">
        <f>IF(Q60=1,IF(P60&lt;O60,"Más estricto",IF(P60&gt;O60,"Más permisivo","Igual")),"")</f>
        <v/>
      </c>
      <c r="T60" s="25">
        <f>IF(Q60=1,IF(ABS(O60-P60)=2,1,0),"")</f>
        <v/>
      </c>
      <c r="U60" s="25">
        <f>IF(H60="","","|"&amp;SUBSTITUTE(SUBSTITUTE(TRIM(H60)," |","|"),"| ","|")&amp;"|")</f>
        <v/>
      </c>
      <c r="V60" s="25">
        <f>IF(AND(Q60=1,B60&lt;&gt;""),IF(IFERROR(COUNTIFS(B$3:B60,"="&amp;SUBSTITUTE(SUBSTITUTE(SUBSTITUTE(B60,"~","~~"),"*","~*"),"?","~?"),Q$3:Q60,1),0)=1,MAX(V$2:V59)+1,""),"")</f>
        <v/>
      </c>
      <c r="W60" s="25">
        <f>IF(V60="","",COUNTIFS($B$3:$B$1002,"="&amp;SUBSTITUTE(SUBSTITUTE(SUBSTITUTE(B60,"~","~~"),"*","~*"),"?","~?"),$Q$3:$Q$1002,1)*10000-V60)</f>
        <v/>
      </c>
      <c r="X60" s="25">
        <f>IF(Q60=1,IF(SUBSTITUTE(SUBSTITUTE(SUBSTITUTE(SUBSTITUTE(SUBSTITUTE(SUBSTITUTE(SUBSTITUTE(SUBSTITUTE(SUBSTITUTE(SUBSTITUTE(SUBSTITUTE(SUBSTITUTE(LOWER(TRIM(A60)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60)),"á","a"),"é","e"),"í","i"),"ó","o"),"ú","u"),"ü","u"),"ñ","n"),"à","a"),"è","e"),"ì","i"),"ò","o"),"ù","u")),"")</f>
        <v/>
      </c>
      <c r="Y60" s="25">
        <f>IF(X60="","",IF(IFERROR(COUNTIF(X$3:X60,"="&amp;SUBSTITUTE(SUBSTITUTE(SUBSTITUTE(X60,"~","~~"),"*","~*"),"?","~?")),0)=1,1,""))</f>
        <v/>
      </c>
      <c r="Z60" s="25">
        <f>IF(T60=1,MAX(Z$2:Z59)+1,"")</f>
        <v/>
      </c>
    </row>
    <row r="61">
      <c r="A61">
        <f>IF(A$2=0,"",IFERROR(TRIM(INDEX('Pegar calibracion'!$A$1:$BZ$1001,60,A$2)&amp;""),""))</f>
        <v/>
      </c>
      <c r="B61">
        <f>IF(B$2=0,"",IFERROR(TRIM(INDEX('Pegar calibracion'!$A$1:$BZ$1001,60,B$2)&amp;""),""))</f>
        <v/>
      </c>
      <c r="C61">
        <f>IF(C$2=0,"",IFERROR(TRIM(INDEX('Pegar calibracion'!$A$1:$BZ$1001,60,C$2)&amp;""),""))</f>
        <v/>
      </c>
      <c r="D61">
        <f>IF(D$2=0,"",IFERROR(TRIM(INDEX('Pegar calibracion'!$A$1:$BZ$1001,60,D$2)&amp;""),""))</f>
        <v/>
      </c>
      <c r="E61">
        <f>IF(E$2=0,"",IFERROR(TRIM(INDEX('Pegar calibracion'!$A$1:$BZ$1001,60,E$2)&amp;""),""))</f>
        <v/>
      </c>
      <c r="F61">
        <f>IF(F$2=0,"",IFERROR(TRIM(INDEX('Pegar calibracion'!$A$1:$BZ$1001,60,F$2)&amp;""),""))</f>
        <v/>
      </c>
      <c r="G61">
        <f>IF(G$2=0,"",IFERROR(TRIM(INDEX('Pegar calibracion'!$A$1:$BZ$1001,60,G$2)&amp;""),""))</f>
        <v/>
      </c>
      <c r="H61">
        <f>IF(H$2=0,"",IFERROR(TRIM(INDEX('Pegar calibracion'!$A$1:$BZ$1001,60,H$2)&amp;""),""))</f>
        <v/>
      </c>
      <c r="I61">
        <f>IF(I$2=0,"",IFERROR(TRIM(INDEX('Pegar calibracion'!$A$1:$BZ$1001,60,I$2)&amp;""),""))</f>
        <v/>
      </c>
      <c r="J61">
        <f>IF(J$2=0,"",IFERROR(TRIM(INDEX('Pegar calibracion'!$A$1:$BZ$1001,60,J$2)&amp;""),""))</f>
        <v/>
      </c>
      <c r="K61">
        <f>IF(K$2=0,"",IFERROR(TRIM(INDEX('Pegar calibracion'!$A$1:$BZ$1001,60,K$2)&amp;""),""))</f>
        <v/>
      </c>
      <c r="L61">
        <f>IF(L$2=0,"",IFERROR(TRIM(INDEX('Pegar calibracion'!$A$1:$BZ$1001,60,L$2)&amp;""),""))</f>
        <v/>
      </c>
      <c r="M61" s="25">
        <f>IF(D61="","",SUBSTITUTE(SUBSTITUTE(SUBSTITUTE(SUBSTITUTE(SUBSTITUTE(SUBSTITUTE(SUBSTITUTE(SUBSTITUTE(SUBSTITUTE(SUBSTITUTE(SUBSTITUTE(SUBSTITUTE(LOWER(TRIM(D61)),"á","a"),"é","e"),"í","i"),"ó","o"),"ú","u"),"ü","u"),"ñ","n"),"à","a"),"è","e"),"ì","i"),"ò","o"),"ù","u"))</f>
        <v/>
      </c>
      <c r="N61" s="25">
        <f>IF(F61="","",SUBSTITUTE(SUBSTITUTE(SUBSTITUTE(SUBSTITUTE(SUBSTITUTE(SUBSTITUTE(SUBSTITUTE(SUBSTITUTE(SUBSTITUTE(SUBSTITUTE(SUBSTITUTE(SUBSTITUTE(LOWER(TRIM(F61)),"á","a"),"é","e"),"í","i"),"ó","o"),"ú","u"),"ü","u"),"ñ","n"),"à","a"),"è","e"),"ì","i"),"ò","o"),"ù","u"))</f>
        <v/>
      </c>
      <c r="O61" s="25">
        <f>IF(M61="confiable",2,IF(M61="dudosa",1,IF(M61="no confiable",0,"")))</f>
        <v/>
      </c>
      <c r="P61" s="25">
        <f>IF(N61="confiable",2,IF(N61="dudosa",1,IF(N61="no confiable",0,"")))</f>
        <v/>
      </c>
      <c r="Q61" s="25">
        <f>IF(AND(ISNUMBER(O61),ISNUMBER(P61)),1,"")</f>
        <v/>
      </c>
      <c r="R61" s="25">
        <f>IF(Q61=1,IF(O61=P61,"Sí","No"),"")</f>
        <v/>
      </c>
      <c r="S61" s="25">
        <f>IF(Q61=1,IF(P61&lt;O61,"Más estricto",IF(P61&gt;O61,"Más permisivo","Igual")),"")</f>
        <v/>
      </c>
      <c r="T61" s="25">
        <f>IF(Q61=1,IF(ABS(O61-P61)=2,1,0),"")</f>
        <v/>
      </c>
      <c r="U61" s="25">
        <f>IF(H61="","","|"&amp;SUBSTITUTE(SUBSTITUTE(TRIM(H61)," |","|"),"| ","|")&amp;"|")</f>
        <v/>
      </c>
      <c r="V61" s="25">
        <f>IF(AND(Q61=1,B61&lt;&gt;""),IF(IFERROR(COUNTIFS(B$3:B61,"="&amp;SUBSTITUTE(SUBSTITUTE(SUBSTITUTE(B61,"~","~~"),"*","~*"),"?","~?"),Q$3:Q61,1),0)=1,MAX(V$2:V60)+1,""),"")</f>
        <v/>
      </c>
      <c r="W61" s="25">
        <f>IF(V61="","",COUNTIFS($B$3:$B$1002,"="&amp;SUBSTITUTE(SUBSTITUTE(SUBSTITUTE(B61,"~","~~"),"*","~*"),"?","~?"),$Q$3:$Q$1002,1)*10000-V61)</f>
        <v/>
      </c>
      <c r="X61" s="25">
        <f>IF(Q61=1,IF(SUBSTITUTE(SUBSTITUTE(SUBSTITUTE(SUBSTITUTE(SUBSTITUTE(SUBSTITUTE(SUBSTITUTE(SUBSTITUTE(SUBSTITUTE(SUBSTITUTE(SUBSTITUTE(SUBSTITUTE(LOWER(TRIM(A61)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61)),"á","a"),"é","e"),"í","i"),"ó","o"),"ú","u"),"ü","u"),"ñ","n"),"à","a"),"è","e"),"ì","i"),"ò","o"),"ù","u")),"")</f>
        <v/>
      </c>
      <c r="Y61" s="25">
        <f>IF(X61="","",IF(IFERROR(COUNTIF(X$3:X61,"="&amp;SUBSTITUTE(SUBSTITUTE(SUBSTITUTE(X61,"~","~~"),"*","~*"),"?","~?")),0)=1,1,""))</f>
        <v/>
      </c>
      <c r="Z61" s="25">
        <f>IF(T61=1,MAX(Z$2:Z60)+1,"")</f>
        <v/>
      </c>
    </row>
    <row r="62">
      <c r="A62">
        <f>IF(A$2=0,"",IFERROR(TRIM(INDEX('Pegar calibracion'!$A$1:$BZ$1001,61,A$2)&amp;""),""))</f>
        <v/>
      </c>
      <c r="B62">
        <f>IF(B$2=0,"",IFERROR(TRIM(INDEX('Pegar calibracion'!$A$1:$BZ$1001,61,B$2)&amp;""),""))</f>
        <v/>
      </c>
      <c r="C62">
        <f>IF(C$2=0,"",IFERROR(TRIM(INDEX('Pegar calibracion'!$A$1:$BZ$1001,61,C$2)&amp;""),""))</f>
        <v/>
      </c>
      <c r="D62">
        <f>IF(D$2=0,"",IFERROR(TRIM(INDEX('Pegar calibracion'!$A$1:$BZ$1001,61,D$2)&amp;""),""))</f>
        <v/>
      </c>
      <c r="E62">
        <f>IF(E$2=0,"",IFERROR(TRIM(INDEX('Pegar calibracion'!$A$1:$BZ$1001,61,E$2)&amp;""),""))</f>
        <v/>
      </c>
      <c r="F62">
        <f>IF(F$2=0,"",IFERROR(TRIM(INDEX('Pegar calibracion'!$A$1:$BZ$1001,61,F$2)&amp;""),""))</f>
        <v/>
      </c>
      <c r="G62">
        <f>IF(G$2=0,"",IFERROR(TRIM(INDEX('Pegar calibracion'!$A$1:$BZ$1001,61,G$2)&amp;""),""))</f>
        <v/>
      </c>
      <c r="H62">
        <f>IF(H$2=0,"",IFERROR(TRIM(INDEX('Pegar calibracion'!$A$1:$BZ$1001,61,H$2)&amp;""),""))</f>
        <v/>
      </c>
      <c r="I62">
        <f>IF(I$2=0,"",IFERROR(TRIM(INDEX('Pegar calibracion'!$A$1:$BZ$1001,61,I$2)&amp;""),""))</f>
        <v/>
      </c>
      <c r="J62">
        <f>IF(J$2=0,"",IFERROR(TRIM(INDEX('Pegar calibracion'!$A$1:$BZ$1001,61,J$2)&amp;""),""))</f>
        <v/>
      </c>
      <c r="K62">
        <f>IF(K$2=0,"",IFERROR(TRIM(INDEX('Pegar calibracion'!$A$1:$BZ$1001,61,K$2)&amp;""),""))</f>
        <v/>
      </c>
      <c r="L62">
        <f>IF(L$2=0,"",IFERROR(TRIM(INDEX('Pegar calibracion'!$A$1:$BZ$1001,61,L$2)&amp;""),""))</f>
        <v/>
      </c>
      <c r="M62" s="25">
        <f>IF(D62="","",SUBSTITUTE(SUBSTITUTE(SUBSTITUTE(SUBSTITUTE(SUBSTITUTE(SUBSTITUTE(SUBSTITUTE(SUBSTITUTE(SUBSTITUTE(SUBSTITUTE(SUBSTITUTE(SUBSTITUTE(LOWER(TRIM(D62)),"á","a"),"é","e"),"í","i"),"ó","o"),"ú","u"),"ü","u"),"ñ","n"),"à","a"),"è","e"),"ì","i"),"ò","o"),"ù","u"))</f>
        <v/>
      </c>
      <c r="N62" s="25">
        <f>IF(F62="","",SUBSTITUTE(SUBSTITUTE(SUBSTITUTE(SUBSTITUTE(SUBSTITUTE(SUBSTITUTE(SUBSTITUTE(SUBSTITUTE(SUBSTITUTE(SUBSTITUTE(SUBSTITUTE(SUBSTITUTE(LOWER(TRIM(F62)),"á","a"),"é","e"),"í","i"),"ó","o"),"ú","u"),"ü","u"),"ñ","n"),"à","a"),"è","e"),"ì","i"),"ò","o"),"ù","u"))</f>
        <v/>
      </c>
      <c r="O62" s="25">
        <f>IF(M62="confiable",2,IF(M62="dudosa",1,IF(M62="no confiable",0,"")))</f>
        <v/>
      </c>
      <c r="P62" s="25">
        <f>IF(N62="confiable",2,IF(N62="dudosa",1,IF(N62="no confiable",0,"")))</f>
        <v/>
      </c>
      <c r="Q62" s="25">
        <f>IF(AND(ISNUMBER(O62),ISNUMBER(P62)),1,"")</f>
        <v/>
      </c>
      <c r="R62" s="25">
        <f>IF(Q62=1,IF(O62=P62,"Sí","No"),"")</f>
        <v/>
      </c>
      <c r="S62" s="25">
        <f>IF(Q62=1,IF(P62&lt;O62,"Más estricto",IF(P62&gt;O62,"Más permisivo","Igual")),"")</f>
        <v/>
      </c>
      <c r="T62" s="25">
        <f>IF(Q62=1,IF(ABS(O62-P62)=2,1,0),"")</f>
        <v/>
      </c>
      <c r="U62" s="25">
        <f>IF(H62="","","|"&amp;SUBSTITUTE(SUBSTITUTE(TRIM(H62)," |","|"),"| ","|")&amp;"|")</f>
        <v/>
      </c>
      <c r="V62" s="25">
        <f>IF(AND(Q62=1,B62&lt;&gt;""),IF(IFERROR(COUNTIFS(B$3:B62,"="&amp;SUBSTITUTE(SUBSTITUTE(SUBSTITUTE(B62,"~","~~"),"*","~*"),"?","~?"),Q$3:Q62,1),0)=1,MAX(V$2:V61)+1,""),"")</f>
        <v/>
      </c>
      <c r="W62" s="25">
        <f>IF(V62="","",COUNTIFS($B$3:$B$1002,"="&amp;SUBSTITUTE(SUBSTITUTE(SUBSTITUTE(B62,"~","~~"),"*","~*"),"?","~?"),$Q$3:$Q$1002,1)*10000-V62)</f>
        <v/>
      </c>
      <c r="X62" s="25">
        <f>IF(Q62=1,IF(SUBSTITUTE(SUBSTITUTE(SUBSTITUTE(SUBSTITUTE(SUBSTITUTE(SUBSTITUTE(SUBSTITUTE(SUBSTITUTE(SUBSTITUTE(SUBSTITUTE(SUBSTITUTE(SUBSTITUTE(LOWER(TRIM(A62)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62)),"á","a"),"é","e"),"í","i"),"ó","o"),"ú","u"),"ü","u"),"ñ","n"),"à","a"),"è","e"),"ì","i"),"ò","o"),"ù","u")),"")</f>
        <v/>
      </c>
      <c r="Y62" s="25">
        <f>IF(X62="","",IF(IFERROR(COUNTIF(X$3:X62,"="&amp;SUBSTITUTE(SUBSTITUTE(SUBSTITUTE(X62,"~","~~"),"*","~*"),"?","~?")),0)=1,1,""))</f>
        <v/>
      </c>
      <c r="Z62" s="25">
        <f>IF(T62=1,MAX(Z$2:Z61)+1,"")</f>
        <v/>
      </c>
    </row>
    <row r="63">
      <c r="A63">
        <f>IF(A$2=0,"",IFERROR(TRIM(INDEX('Pegar calibracion'!$A$1:$BZ$1001,62,A$2)&amp;""),""))</f>
        <v/>
      </c>
      <c r="B63">
        <f>IF(B$2=0,"",IFERROR(TRIM(INDEX('Pegar calibracion'!$A$1:$BZ$1001,62,B$2)&amp;""),""))</f>
        <v/>
      </c>
      <c r="C63">
        <f>IF(C$2=0,"",IFERROR(TRIM(INDEX('Pegar calibracion'!$A$1:$BZ$1001,62,C$2)&amp;""),""))</f>
        <v/>
      </c>
      <c r="D63">
        <f>IF(D$2=0,"",IFERROR(TRIM(INDEX('Pegar calibracion'!$A$1:$BZ$1001,62,D$2)&amp;""),""))</f>
        <v/>
      </c>
      <c r="E63">
        <f>IF(E$2=0,"",IFERROR(TRIM(INDEX('Pegar calibracion'!$A$1:$BZ$1001,62,E$2)&amp;""),""))</f>
        <v/>
      </c>
      <c r="F63">
        <f>IF(F$2=0,"",IFERROR(TRIM(INDEX('Pegar calibracion'!$A$1:$BZ$1001,62,F$2)&amp;""),""))</f>
        <v/>
      </c>
      <c r="G63">
        <f>IF(G$2=0,"",IFERROR(TRIM(INDEX('Pegar calibracion'!$A$1:$BZ$1001,62,G$2)&amp;""),""))</f>
        <v/>
      </c>
      <c r="H63">
        <f>IF(H$2=0,"",IFERROR(TRIM(INDEX('Pegar calibracion'!$A$1:$BZ$1001,62,H$2)&amp;""),""))</f>
        <v/>
      </c>
      <c r="I63">
        <f>IF(I$2=0,"",IFERROR(TRIM(INDEX('Pegar calibracion'!$A$1:$BZ$1001,62,I$2)&amp;""),""))</f>
        <v/>
      </c>
      <c r="J63">
        <f>IF(J$2=0,"",IFERROR(TRIM(INDEX('Pegar calibracion'!$A$1:$BZ$1001,62,J$2)&amp;""),""))</f>
        <v/>
      </c>
      <c r="K63">
        <f>IF(K$2=0,"",IFERROR(TRIM(INDEX('Pegar calibracion'!$A$1:$BZ$1001,62,K$2)&amp;""),""))</f>
        <v/>
      </c>
      <c r="L63">
        <f>IF(L$2=0,"",IFERROR(TRIM(INDEX('Pegar calibracion'!$A$1:$BZ$1001,62,L$2)&amp;""),""))</f>
        <v/>
      </c>
      <c r="M63" s="25">
        <f>IF(D63="","",SUBSTITUTE(SUBSTITUTE(SUBSTITUTE(SUBSTITUTE(SUBSTITUTE(SUBSTITUTE(SUBSTITUTE(SUBSTITUTE(SUBSTITUTE(SUBSTITUTE(SUBSTITUTE(SUBSTITUTE(LOWER(TRIM(D63)),"á","a"),"é","e"),"í","i"),"ó","o"),"ú","u"),"ü","u"),"ñ","n"),"à","a"),"è","e"),"ì","i"),"ò","o"),"ù","u"))</f>
        <v/>
      </c>
      <c r="N63" s="25">
        <f>IF(F63="","",SUBSTITUTE(SUBSTITUTE(SUBSTITUTE(SUBSTITUTE(SUBSTITUTE(SUBSTITUTE(SUBSTITUTE(SUBSTITUTE(SUBSTITUTE(SUBSTITUTE(SUBSTITUTE(SUBSTITUTE(LOWER(TRIM(F63)),"á","a"),"é","e"),"í","i"),"ó","o"),"ú","u"),"ü","u"),"ñ","n"),"à","a"),"è","e"),"ì","i"),"ò","o"),"ù","u"))</f>
        <v/>
      </c>
      <c r="O63" s="25">
        <f>IF(M63="confiable",2,IF(M63="dudosa",1,IF(M63="no confiable",0,"")))</f>
        <v/>
      </c>
      <c r="P63" s="25">
        <f>IF(N63="confiable",2,IF(N63="dudosa",1,IF(N63="no confiable",0,"")))</f>
        <v/>
      </c>
      <c r="Q63" s="25">
        <f>IF(AND(ISNUMBER(O63),ISNUMBER(P63)),1,"")</f>
        <v/>
      </c>
      <c r="R63" s="25">
        <f>IF(Q63=1,IF(O63=P63,"Sí","No"),"")</f>
        <v/>
      </c>
      <c r="S63" s="25">
        <f>IF(Q63=1,IF(P63&lt;O63,"Más estricto",IF(P63&gt;O63,"Más permisivo","Igual")),"")</f>
        <v/>
      </c>
      <c r="T63" s="25">
        <f>IF(Q63=1,IF(ABS(O63-P63)=2,1,0),"")</f>
        <v/>
      </c>
      <c r="U63" s="25">
        <f>IF(H63="","","|"&amp;SUBSTITUTE(SUBSTITUTE(TRIM(H63)," |","|"),"| ","|")&amp;"|")</f>
        <v/>
      </c>
      <c r="V63" s="25">
        <f>IF(AND(Q63=1,B63&lt;&gt;""),IF(IFERROR(COUNTIFS(B$3:B63,"="&amp;SUBSTITUTE(SUBSTITUTE(SUBSTITUTE(B63,"~","~~"),"*","~*"),"?","~?"),Q$3:Q63,1),0)=1,MAX(V$2:V62)+1,""),"")</f>
        <v/>
      </c>
      <c r="W63" s="25">
        <f>IF(V63="","",COUNTIFS($B$3:$B$1002,"="&amp;SUBSTITUTE(SUBSTITUTE(SUBSTITUTE(B63,"~","~~"),"*","~*"),"?","~?"),$Q$3:$Q$1002,1)*10000-V63)</f>
        <v/>
      </c>
      <c r="X63" s="25">
        <f>IF(Q63=1,IF(SUBSTITUTE(SUBSTITUTE(SUBSTITUTE(SUBSTITUTE(SUBSTITUTE(SUBSTITUTE(SUBSTITUTE(SUBSTITUTE(SUBSTITUTE(SUBSTITUTE(SUBSTITUTE(SUBSTITUTE(LOWER(TRIM(A63)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63)),"á","a"),"é","e"),"í","i"),"ó","o"),"ú","u"),"ü","u"),"ñ","n"),"à","a"),"è","e"),"ì","i"),"ò","o"),"ù","u")),"")</f>
        <v/>
      </c>
      <c r="Y63" s="25">
        <f>IF(X63="","",IF(IFERROR(COUNTIF(X$3:X63,"="&amp;SUBSTITUTE(SUBSTITUTE(SUBSTITUTE(X63,"~","~~"),"*","~*"),"?","~?")),0)=1,1,""))</f>
        <v/>
      </c>
      <c r="Z63" s="25">
        <f>IF(T63=1,MAX(Z$2:Z62)+1,"")</f>
        <v/>
      </c>
    </row>
    <row r="64">
      <c r="A64">
        <f>IF(A$2=0,"",IFERROR(TRIM(INDEX('Pegar calibracion'!$A$1:$BZ$1001,63,A$2)&amp;""),""))</f>
        <v/>
      </c>
      <c r="B64">
        <f>IF(B$2=0,"",IFERROR(TRIM(INDEX('Pegar calibracion'!$A$1:$BZ$1001,63,B$2)&amp;""),""))</f>
        <v/>
      </c>
      <c r="C64">
        <f>IF(C$2=0,"",IFERROR(TRIM(INDEX('Pegar calibracion'!$A$1:$BZ$1001,63,C$2)&amp;""),""))</f>
        <v/>
      </c>
      <c r="D64">
        <f>IF(D$2=0,"",IFERROR(TRIM(INDEX('Pegar calibracion'!$A$1:$BZ$1001,63,D$2)&amp;""),""))</f>
        <v/>
      </c>
      <c r="E64">
        <f>IF(E$2=0,"",IFERROR(TRIM(INDEX('Pegar calibracion'!$A$1:$BZ$1001,63,E$2)&amp;""),""))</f>
        <v/>
      </c>
      <c r="F64">
        <f>IF(F$2=0,"",IFERROR(TRIM(INDEX('Pegar calibracion'!$A$1:$BZ$1001,63,F$2)&amp;""),""))</f>
        <v/>
      </c>
      <c r="G64">
        <f>IF(G$2=0,"",IFERROR(TRIM(INDEX('Pegar calibracion'!$A$1:$BZ$1001,63,G$2)&amp;""),""))</f>
        <v/>
      </c>
      <c r="H64">
        <f>IF(H$2=0,"",IFERROR(TRIM(INDEX('Pegar calibracion'!$A$1:$BZ$1001,63,H$2)&amp;""),""))</f>
        <v/>
      </c>
      <c r="I64">
        <f>IF(I$2=0,"",IFERROR(TRIM(INDEX('Pegar calibracion'!$A$1:$BZ$1001,63,I$2)&amp;""),""))</f>
        <v/>
      </c>
      <c r="J64">
        <f>IF(J$2=0,"",IFERROR(TRIM(INDEX('Pegar calibracion'!$A$1:$BZ$1001,63,J$2)&amp;""),""))</f>
        <v/>
      </c>
      <c r="K64">
        <f>IF(K$2=0,"",IFERROR(TRIM(INDEX('Pegar calibracion'!$A$1:$BZ$1001,63,K$2)&amp;""),""))</f>
        <v/>
      </c>
      <c r="L64">
        <f>IF(L$2=0,"",IFERROR(TRIM(INDEX('Pegar calibracion'!$A$1:$BZ$1001,63,L$2)&amp;""),""))</f>
        <v/>
      </c>
      <c r="M64" s="25">
        <f>IF(D64="","",SUBSTITUTE(SUBSTITUTE(SUBSTITUTE(SUBSTITUTE(SUBSTITUTE(SUBSTITUTE(SUBSTITUTE(SUBSTITUTE(SUBSTITUTE(SUBSTITUTE(SUBSTITUTE(SUBSTITUTE(LOWER(TRIM(D64)),"á","a"),"é","e"),"í","i"),"ó","o"),"ú","u"),"ü","u"),"ñ","n"),"à","a"),"è","e"),"ì","i"),"ò","o"),"ù","u"))</f>
        <v/>
      </c>
      <c r="N64" s="25">
        <f>IF(F64="","",SUBSTITUTE(SUBSTITUTE(SUBSTITUTE(SUBSTITUTE(SUBSTITUTE(SUBSTITUTE(SUBSTITUTE(SUBSTITUTE(SUBSTITUTE(SUBSTITUTE(SUBSTITUTE(SUBSTITUTE(LOWER(TRIM(F64)),"á","a"),"é","e"),"í","i"),"ó","o"),"ú","u"),"ü","u"),"ñ","n"),"à","a"),"è","e"),"ì","i"),"ò","o"),"ù","u"))</f>
        <v/>
      </c>
      <c r="O64" s="25">
        <f>IF(M64="confiable",2,IF(M64="dudosa",1,IF(M64="no confiable",0,"")))</f>
        <v/>
      </c>
      <c r="P64" s="25">
        <f>IF(N64="confiable",2,IF(N64="dudosa",1,IF(N64="no confiable",0,"")))</f>
        <v/>
      </c>
      <c r="Q64" s="25">
        <f>IF(AND(ISNUMBER(O64),ISNUMBER(P64)),1,"")</f>
        <v/>
      </c>
      <c r="R64" s="25">
        <f>IF(Q64=1,IF(O64=P64,"Sí","No"),"")</f>
        <v/>
      </c>
      <c r="S64" s="25">
        <f>IF(Q64=1,IF(P64&lt;O64,"Más estricto",IF(P64&gt;O64,"Más permisivo","Igual")),"")</f>
        <v/>
      </c>
      <c r="T64" s="25">
        <f>IF(Q64=1,IF(ABS(O64-P64)=2,1,0),"")</f>
        <v/>
      </c>
      <c r="U64" s="25">
        <f>IF(H64="","","|"&amp;SUBSTITUTE(SUBSTITUTE(TRIM(H64)," |","|"),"| ","|")&amp;"|")</f>
        <v/>
      </c>
      <c r="V64" s="25">
        <f>IF(AND(Q64=1,B64&lt;&gt;""),IF(IFERROR(COUNTIFS(B$3:B64,"="&amp;SUBSTITUTE(SUBSTITUTE(SUBSTITUTE(B64,"~","~~"),"*","~*"),"?","~?"),Q$3:Q64,1),0)=1,MAX(V$2:V63)+1,""),"")</f>
        <v/>
      </c>
      <c r="W64" s="25">
        <f>IF(V64="","",COUNTIFS($B$3:$B$1002,"="&amp;SUBSTITUTE(SUBSTITUTE(SUBSTITUTE(B64,"~","~~"),"*","~*"),"?","~?"),$Q$3:$Q$1002,1)*10000-V64)</f>
        <v/>
      </c>
      <c r="X64" s="25">
        <f>IF(Q64=1,IF(SUBSTITUTE(SUBSTITUTE(SUBSTITUTE(SUBSTITUTE(SUBSTITUTE(SUBSTITUTE(SUBSTITUTE(SUBSTITUTE(SUBSTITUTE(SUBSTITUTE(SUBSTITUTE(SUBSTITUTE(LOWER(TRIM(A64)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64)),"á","a"),"é","e"),"í","i"),"ó","o"),"ú","u"),"ü","u"),"ñ","n"),"à","a"),"è","e"),"ì","i"),"ò","o"),"ù","u")),"")</f>
        <v/>
      </c>
      <c r="Y64" s="25">
        <f>IF(X64="","",IF(IFERROR(COUNTIF(X$3:X64,"="&amp;SUBSTITUTE(SUBSTITUTE(SUBSTITUTE(X64,"~","~~"),"*","~*"),"?","~?")),0)=1,1,""))</f>
        <v/>
      </c>
      <c r="Z64" s="25">
        <f>IF(T64=1,MAX(Z$2:Z63)+1,"")</f>
        <v/>
      </c>
    </row>
    <row r="65">
      <c r="A65">
        <f>IF(A$2=0,"",IFERROR(TRIM(INDEX('Pegar calibracion'!$A$1:$BZ$1001,64,A$2)&amp;""),""))</f>
        <v/>
      </c>
      <c r="B65">
        <f>IF(B$2=0,"",IFERROR(TRIM(INDEX('Pegar calibracion'!$A$1:$BZ$1001,64,B$2)&amp;""),""))</f>
        <v/>
      </c>
      <c r="C65">
        <f>IF(C$2=0,"",IFERROR(TRIM(INDEX('Pegar calibracion'!$A$1:$BZ$1001,64,C$2)&amp;""),""))</f>
        <v/>
      </c>
      <c r="D65">
        <f>IF(D$2=0,"",IFERROR(TRIM(INDEX('Pegar calibracion'!$A$1:$BZ$1001,64,D$2)&amp;""),""))</f>
        <v/>
      </c>
      <c r="E65">
        <f>IF(E$2=0,"",IFERROR(TRIM(INDEX('Pegar calibracion'!$A$1:$BZ$1001,64,E$2)&amp;""),""))</f>
        <v/>
      </c>
      <c r="F65">
        <f>IF(F$2=0,"",IFERROR(TRIM(INDEX('Pegar calibracion'!$A$1:$BZ$1001,64,F$2)&amp;""),""))</f>
        <v/>
      </c>
      <c r="G65">
        <f>IF(G$2=0,"",IFERROR(TRIM(INDEX('Pegar calibracion'!$A$1:$BZ$1001,64,G$2)&amp;""),""))</f>
        <v/>
      </c>
      <c r="H65">
        <f>IF(H$2=0,"",IFERROR(TRIM(INDEX('Pegar calibracion'!$A$1:$BZ$1001,64,H$2)&amp;""),""))</f>
        <v/>
      </c>
      <c r="I65">
        <f>IF(I$2=0,"",IFERROR(TRIM(INDEX('Pegar calibracion'!$A$1:$BZ$1001,64,I$2)&amp;""),""))</f>
        <v/>
      </c>
      <c r="J65">
        <f>IF(J$2=0,"",IFERROR(TRIM(INDEX('Pegar calibracion'!$A$1:$BZ$1001,64,J$2)&amp;""),""))</f>
        <v/>
      </c>
      <c r="K65">
        <f>IF(K$2=0,"",IFERROR(TRIM(INDEX('Pegar calibracion'!$A$1:$BZ$1001,64,K$2)&amp;""),""))</f>
        <v/>
      </c>
      <c r="L65">
        <f>IF(L$2=0,"",IFERROR(TRIM(INDEX('Pegar calibracion'!$A$1:$BZ$1001,64,L$2)&amp;""),""))</f>
        <v/>
      </c>
      <c r="M65" s="25">
        <f>IF(D65="","",SUBSTITUTE(SUBSTITUTE(SUBSTITUTE(SUBSTITUTE(SUBSTITUTE(SUBSTITUTE(SUBSTITUTE(SUBSTITUTE(SUBSTITUTE(SUBSTITUTE(SUBSTITUTE(SUBSTITUTE(LOWER(TRIM(D65)),"á","a"),"é","e"),"í","i"),"ó","o"),"ú","u"),"ü","u"),"ñ","n"),"à","a"),"è","e"),"ì","i"),"ò","o"),"ù","u"))</f>
        <v/>
      </c>
      <c r="N65" s="25">
        <f>IF(F65="","",SUBSTITUTE(SUBSTITUTE(SUBSTITUTE(SUBSTITUTE(SUBSTITUTE(SUBSTITUTE(SUBSTITUTE(SUBSTITUTE(SUBSTITUTE(SUBSTITUTE(SUBSTITUTE(SUBSTITUTE(LOWER(TRIM(F65)),"á","a"),"é","e"),"í","i"),"ó","o"),"ú","u"),"ü","u"),"ñ","n"),"à","a"),"è","e"),"ì","i"),"ò","o"),"ù","u"))</f>
        <v/>
      </c>
      <c r="O65" s="25">
        <f>IF(M65="confiable",2,IF(M65="dudosa",1,IF(M65="no confiable",0,"")))</f>
        <v/>
      </c>
      <c r="P65" s="25">
        <f>IF(N65="confiable",2,IF(N65="dudosa",1,IF(N65="no confiable",0,"")))</f>
        <v/>
      </c>
      <c r="Q65" s="25">
        <f>IF(AND(ISNUMBER(O65),ISNUMBER(P65)),1,"")</f>
        <v/>
      </c>
      <c r="R65" s="25">
        <f>IF(Q65=1,IF(O65=P65,"Sí","No"),"")</f>
        <v/>
      </c>
      <c r="S65" s="25">
        <f>IF(Q65=1,IF(P65&lt;O65,"Más estricto",IF(P65&gt;O65,"Más permisivo","Igual")),"")</f>
        <v/>
      </c>
      <c r="T65" s="25">
        <f>IF(Q65=1,IF(ABS(O65-P65)=2,1,0),"")</f>
        <v/>
      </c>
      <c r="U65" s="25">
        <f>IF(H65="","","|"&amp;SUBSTITUTE(SUBSTITUTE(TRIM(H65)," |","|"),"| ","|")&amp;"|")</f>
        <v/>
      </c>
      <c r="V65" s="25">
        <f>IF(AND(Q65=1,B65&lt;&gt;""),IF(IFERROR(COUNTIFS(B$3:B65,"="&amp;SUBSTITUTE(SUBSTITUTE(SUBSTITUTE(B65,"~","~~"),"*","~*"),"?","~?"),Q$3:Q65,1),0)=1,MAX(V$2:V64)+1,""),"")</f>
        <v/>
      </c>
      <c r="W65" s="25">
        <f>IF(V65="","",COUNTIFS($B$3:$B$1002,"="&amp;SUBSTITUTE(SUBSTITUTE(SUBSTITUTE(B65,"~","~~"),"*","~*"),"?","~?"),$Q$3:$Q$1002,1)*10000-V65)</f>
        <v/>
      </c>
      <c r="X65" s="25">
        <f>IF(Q65=1,IF(SUBSTITUTE(SUBSTITUTE(SUBSTITUTE(SUBSTITUTE(SUBSTITUTE(SUBSTITUTE(SUBSTITUTE(SUBSTITUTE(SUBSTITUTE(SUBSTITUTE(SUBSTITUTE(SUBSTITUTE(LOWER(TRIM(A65)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65)),"á","a"),"é","e"),"í","i"),"ó","o"),"ú","u"),"ü","u"),"ñ","n"),"à","a"),"è","e"),"ì","i"),"ò","o"),"ù","u")),"")</f>
        <v/>
      </c>
      <c r="Y65" s="25">
        <f>IF(X65="","",IF(IFERROR(COUNTIF(X$3:X65,"="&amp;SUBSTITUTE(SUBSTITUTE(SUBSTITUTE(X65,"~","~~"),"*","~*"),"?","~?")),0)=1,1,""))</f>
        <v/>
      </c>
      <c r="Z65" s="25">
        <f>IF(T65=1,MAX(Z$2:Z64)+1,"")</f>
        <v/>
      </c>
    </row>
    <row r="66">
      <c r="A66">
        <f>IF(A$2=0,"",IFERROR(TRIM(INDEX('Pegar calibracion'!$A$1:$BZ$1001,65,A$2)&amp;""),""))</f>
        <v/>
      </c>
      <c r="B66">
        <f>IF(B$2=0,"",IFERROR(TRIM(INDEX('Pegar calibracion'!$A$1:$BZ$1001,65,B$2)&amp;""),""))</f>
        <v/>
      </c>
      <c r="C66">
        <f>IF(C$2=0,"",IFERROR(TRIM(INDEX('Pegar calibracion'!$A$1:$BZ$1001,65,C$2)&amp;""),""))</f>
        <v/>
      </c>
      <c r="D66">
        <f>IF(D$2=0,"",IFERROR(TRIM(INDEX('Pegar calibracion'!$A$1:$BZ$1001,65,D$2)&amp;""),""))</f>
        <v/>
      </c>
      <c r="E66">
        <f>IF(E$2=0,"",IFERROR(TRIM(INDEX('Pegar calibracion'!$A$1:$BZ$1001,65,E$2)&amp;""),""))</f>
        <v/>
      </c>
      <c r="F66">
        <f>IF(F$2=0,"",IFERROR(TRIM(INDEX('Pegar calibracion'!$A$1:$BZ$1001,65,F$2)&amp;""),""))</f>
        <v/>
      </c>
      <c r="G66">
        <f>IF(G$2=0,"",IFERROR(TRIM(INDEX('Pegar calibracion'!$A$1:$BZ$1001,65,G$2)&amp;""),""))</f>
        <v/>
      </c>
      <c r="H66">
        <f>IF(H$2=0,"",IFERROR(TRIM(INDEX('Pegar calibracion'!$A$1:$BZ$1001,65,H$2)&amp;""),""))</f>
        <v/>
      </c>
      <c r="I66">
        <f>IF(I$2=0,"",IFERROR(TRIM(INDEX('Pegar calibracion'!$A$1:$BZ$1001,65,I$2)&amp;""),""))</f>
        <v/>
      </c>
      <c r="J66">
        <f>IF(J$2=0,"",IFERROR(TRIM(INDEX('Pegar calibracion'!$A$1:$BZ$1001,65,J$2)&amp;""),""))</f>
        <v/>
      </c>
      <c r="K66">
        <f>IF(K$2=0,"",IFERROR(TRIM(INDEX('Pegar calibracion'!$A$1:$BZ$1001,65,K$2)&amp;""),""))</f>
        <v/>
      </c>
      <c r="L66">
        <f>IF(L$2=0,"",IFERROR(TRIM(INDEX('Pegar calibracion'!$A$1:$BZ$1001,65,L$2)&amp;""),""))</f>
        <v/>
      </c>
      <c r="M66" s="25">
        <f>IF(D66="","",SUBSTITUTE(SUBSTITUTE(SUBSTITUTE(SUBSTITUTE(SUBSTITUTE(SUBSTITUTE(SUBSTITUTE(SUBSTITUTE(SUBSTITUTE(SUBSTITUTE(SUBSTITUTE(SUBSTITUTE(LOWER(TRIM(D66)),"á","a"),"é","e"),"í","i"),"ó","o"),"ú","u"),"ü","u"),"ñ","n"),"à","a"),"è","e"),"ì","i"),"ò","o"),"ù","u"))</f>
        <v/>
      </c>
      <c r="N66" s="25">
        <f>IF(F66="","",SUBSTITUTE(SUBSTITUTE(SUBSTITUTE(SUBSTITUTE(SUBSTITUTE(SUBSTITUTE(SUBSTITUTE(SUBSTITUTE(SUBSTITUTE(SUBSTITUTE(SUBSTITUTE(SUBSTITUTE(LOWER(TRIM(F66)),"á","a"),"é","e"),"í","i"),"ó","o"),"ú","u"),"ü","u"),"ñ","n"),"à","a"),"è","e"),"ì","i"),"ò","o"),"ù","u"))</f>
        <v/>
      </c>
      <c r="O66" s="25">
        <f>IF(M66="confiable",2,IF(M66="dudosa",1,IF(M66="no confiable",0,"")))</f>
        <v/>
      </c>
      <c r="P66" s="25">
        <f>IF(N66="confiable",2,IF(N66="dudosa",1,IF(N66="no confiable",0,"")))</f>
        <v/>
      </c>
      <c r="Q66" s="25">
        <f>IF(AND(ISNUMBER(O66),ISNUMBER(P66)),1,"")</f>
        <v/>
      </c>
      <c r="R66" s="25">
        <f>IF(Q66=1,IF(O66=P66,"Sí","No"),"")</f>
        <v/>
      </c>
      <c r="S66" s="25">
        <f>IF(Q66=1,IF(P66&lt;O66,"Más estricto",IF(P66&gt;O66,"Más permisivo","Igual")),"")</f>
        <v/>
      </c>
      <c r="T66" s="25">
        <f>IF(Q66=1,IF(ABS(O66-P66)=2,1,0),"")</f>
        <v/>
      </c>
      <c r="U66" s="25">
        <f>IF(H66="","","|"&amp;SUBSTITUTE(SUBSTITUTE(TRIM(H66)," |","|"),"| ","|")&amp;"|")</f>
        <v/>
      </c>
      <c r="V66" s="25">
        <f>IF(AND(Q66=1,B66&lt;&gt;""),IF(IFERROR(COUNTIFS(B$3:B66,"="&amp;SUBSTITUTE(SUBSTITUTE(SUBSTITUTE(B66,"~","~~"),"*","~*"),"?","~?"),Q$3:Q66,1),0)=1,MAX(V$2:V65)+1,""),"")</f>
        <v/>
      </c>
      <c r="W66" s="25">
        <f>IF(V66="","",COUNTIFS($B$3:$B$1002,"="&amp;SUBSTITUTE(SUBSTITUTE(SUBSTITUTE(B66,"~","~~"),"*","~*"),"?","~?"),$Q$3:$Q$1002,1)*10000-V66)</f>
        <v/>
      </c>
      <c r="X66" s="25">
        <f>IF(Q66=1,IF(SUBSTITUTE(SUBSTITUTE(SUBSTITUTE(SUBSTITUTE(SUBSTITUTE(SUBSTITUTE(SUBSTITUTE(SUBSTITUTE(SUBSTITUTE(SUBSTITUTE(SUBSTITUTE(SUBSTITUTE(LOWER(TRIM(A66)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66)),"á","a"),"é","e"),"í","i"),"ó","o"),"ú","u"),"ü","u"),"ñ","n"),"à","a"),"è","e"),"ì","i"),"ò","o"),"ù","u")),"")</f>
        <v/>
      </c>
      <c r="Y66" s="25">
        <f>IF(X66="","",IF(IFERROR(COUNTIF(X$3:X66,"="&amp;SUBSTITUTE(SUBSTITUTE(SUBSTITUTE(X66,"~","~~"),"*","~*"),"?","~?")),0)=1,1,""))</f>
        <v/>
      </c>
      <c r="Z66" s="25">
        <f>IF(T66=1,MAX(Z$2:Z65)+1,"")</f>
        <v/>
      </c>
    </row>
    <row r="67">
      <c r="A67">
        <f>IF(A$2=0,"",IFERROR(TRIM(INDEX('Pegar calibracion'!$A$1:$BZ$1001,66,A$2)&amp;""),""))</f>
        <v/>
      </c>
      <c r="B67">
        <f>IF(B$2=0,"",IFERROR(TRIM(INDEX('Pegar calibracion'!$A$1:$BZ$1001,66,B$2)&amp;""),""))</f>
        <v/>
      </c>
      <c r="C67">
        <f>IF(C$2=0,"",IFERROR(TRIM(INDEX('Pegar calibracion'!$A$1:$BZ$1001,66,C$2)&amp;""),""))</f>
        <v/>
      </c>
      <c r="D67">
        <f>IF(D$2=0,"",IFERROR(TRIM(INDEX('Pegar calibracion'!$A$1:$BZ$1001,66,D$2)&amp;""),""))</f>
        <v/>
      </c>
      <c r="E67">
        <f>IF(E$2=0,"",IFERROR(TRIM(INDEX('Pegar calibracion'!$A$1:$BZ$1001,66,E$2)&amp;""),""))</f>
        <v/>
      </c>
      <c r="F67">
        <f>IF(F$2=0,"",IFERROR(TRIM(INDEX('Pegar calibracion'!$A$1:$BZ$1001,66,F$2)&amp;""),""))</f>
        <v/>
      </c>
      <c r="G67">
        <f>IF(G$2=0,"",IFERROR(TRIM(INDEX('Pegar calibracion'!$A$1:$BZ$1001,66,G$2)&amp;""),""))</f>
        <v/>
      </c>
      <c r="H67">
        <f>IF(H$2=0,"",IFERROR(TRIM(INDEX('Pegar calibracion'!$A$1:$BZ$1001,66,H$2)&amp;""),""))</f>
        <v/>
      </c>
      <c r="I67">
        <f>IF(I$2=0,"",IFERROR(TRIM(INDEX('Pegar calibracion'!$A$1:$BZ$1001,66,I$2)&amp;""),""))</f>
        <v/>
      </c>
      <c r="J67">
        <f>IF(J$2=0,"",IFERROR(TRIM(INDEX('Pegar calibracion'!$A$1:$BZ$1001,66,J$2)&amp;""),""))</f>
        <v/>
      </c>
      <c r="K67">
        <f>IF(K$2=0,"",IFERROR(TRIM(INDEX('Pegar calibracion'!$A$1:$BZ$1001,66,K$2)&amp;""),""))</f>
        <v/>
      </c>
      <c r="L67">
        <f>IF(L$2=0,"",IFERROR(TRIM(INDEX('Pegar calibracion'!$A$1:$BZ$1001,66,L$2)&amp;""),""))</f>
        <v/>
      </c>
      <c r="M67" s="25">
        <f>IF(D67="","",SUBSTITUTE(SUBSTITUTE(SUBSTITUTE(SUBSTITUTE(SUBSTITUTE(SUBSTITUTE(SUBSTITUTE(SUBSTITUTE(SUBSTITUTE(SUBSTITUTE(SUBSTITUTE(SUBSTITUTE(LOWER(TRIM(D67)),"á","a"),"é","e"),"í","i"),"ó","o"),"ú","u"),"ü","u"),"ñ","n"),"à","a"),"è","e"),"ì","i"),"ò","o"),"ù","u"))</f>
        <v/>
      </c>
      <c r="N67" s="25">
        <f>IF(F67="","",SUBSTITUTE(SUBSTITUTE(SUBSTITUTE(SUBSTITUTE(SUBSTITUTE(SUBSTITUTE(SUBSTITUTE(SUBSTITUTE(SUBSTITUTE(SUBSTITUTE(SUBSTITUTE(SUBSTITUTE(LOWER(TRIM(F67)),"á","a"),"é","e"),"í","i"),"ó","o"),"ú","u"),"ü","u"),"ñ","n"),"à","a"),"è","e"),"ì","i"),"ò","o"),"ù","u"))</f>
        <v/>
      </c>
      <c r="O67" s="25">
        <f>IF(M67="confiable",2,IF(M67="dudosa",1,IF(M67="no confiable",0,"")))</f>
        <v/>
      </c>
      <c r="P67" s="25">
        <f>IF(N67="confiable",2,IF(N67="dudosa",1,IF(N67="no confiable",0,"")))</f>
        <v/>
      </c>
      <c r="Q67" s="25">
        <f>IF(AND(ISNUMBER(O67),ISNUMBER(P67)),1,"")</f>
        <v/>
      </c>
      <c r="R67" s="25">
        <f>IF(Q67=1,IF(O67=P67,"Sí","No"),"")</f>
        <v/>
      </c>
      <c r="S67" s="25">
        <f>IF(Q67=1,IF(P67&lt;O67,"Más estricto",IF(P67&gt;O67,"Más permisivo","Igual")),"")</f>
        <v/>
      </c>
      <c r="T67" s="25">
        <f>IF(Q67=1,IF(ABS(O67-P67)=2,1,0),"")</f>
        <v/>
      </c>
      <c r="U67" s="25">
        <f>IF(H67="","","|"&amp;SUBSTITUTE(SUBSTITUTE(TRIM(H67)," |","|"),"| ","|")&amp;"|")</f>
        <v/>
      </c>
      <c r="V67" s="25">
        <f>IF(AND(Q67=1,B67&lt;&gt;""),IF(IFERROR(COUNTIFS(B$3:B67,"="&amp;SUBSTITUTE(SUBSTITUTE(SUBSTITUTE(B67,"~","~~"),"*","~*"),"?","~?"),Q$3:Q67,1),0)=1,MAX(V$2:V66)+1,""),"")</f>
        <v/>
      </c>
      <c r="W67" s="25">
        <f>IF(V67="","",COUNTIFS($B$3:$B$1002,"="&amp;SUBSTITUTE(SUBSTITUTE(SUBSTITUTE(B67,"~","~~"),"*","~*"),"?","~?"),$Q$3:$Q$1002,1)*10000-V67)</f>
        <v/>
      </c>
      <c r="X67" s="25">
        <f>IF(Q67=1,IF(SUBSTITUTE(SUBSTITUTE(SUBSTITUTE(SUBSTITUTE(SUBSTITUTE(SUBSTITUTE(SUBSTITUTE(SUBSTITUTE(SUBSTITUTE(SUBSTITUTE(SUBSTITUTE(SUBSTITUTE(LOWER(TRIM(A67)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67)),"á","a"),"é","e"),"í","i"),"ó","o"),"ú","u"),"ü","u"),"ñ","n"),"à","a"),"è","e"),"ì","i"),"ò","o"),"ù","u")),"")</f>
        <v/>
      </c>
      <c r="Y67" s="25">
        <f>IF(X67="","",IF(IFERROR(COUNTIF(X$3:X67,"="&amp;SUBSTITUTE(SUBSTITUTE(SUBSTITUTE(X67,"~","~~"),"*","~*"),"?","~?")),0)=1,1,""))</f>
        <v/>
      </c>
      <c r="Z67" s="25">
        <f>IF(T67=1,MAX(Z$2:Z66)+1,"")</f>
        <v/>
      </c>
    </row>
    <row r="68">
      <c r="A68">
        <f>IF(A$2=0,"",IFERROR(TRIM(INDEX('Pegar calibracion'!$A$1:$BZ$1001,67,A$2)&amp;""),""))</f>
        <v/>
      </c>
      <c r="B68">
        <f>IF(B$2=0,"",IFERROR(TRIM(INDEX('Pegar calibracion'!$A$1:$BZ$1001,67,B$2)&amp;""),""))</f>
        <v/>
      </c>
      <c r="C68">
        <f>IF(C$2=0,"",IFERROR(TRIM(INDEX('Pegar calibracion'!$A$1:$BZ$1001,67,C$2)&amp;""),""))</f>
        <v/>
      </c>
      <c r="D68">
        <f>IF(D$2=0,"",IFERROR(TRIM(INDEX('Pegar calibracion'!$A$1:$BZ$1001,67,D$2)&amp;""),""))</f>
        <v/>
      </c>
      <c r="E68">
        <f>IF(E$2=0,"",IFERROR(TRIM(INDEX('Pegar calibracion'!$A$1:$BZ$1001,67,E$2)&amp;""),""))</f>
        <v/>
      </c>
      <c r="F68">
        <f>IF(F$2=0,"",IFERROR(TRIM(INDEX('Pegar calibracion'!$A$1:$BZ$1001,67,F$2)&amp;""),""))</f>
        <v/>
      </c>
      <c r="G68">
        <f>IF(G$2=0,"",IFERROR(TRIM(INDEX('Pegar calibracion'!$A$1:$BZ$1001,67,G$2)&amp;""),""))</f>
        <v/>
      </c>
      <c r="H68">
        <f>IF(H$2=0,"",IFERROR(TRIM(INDEX('Pegar calibracion'!$A$1:$BZ$1001,67,H$2)&amp;""),""))</f>
        <v/>
      </c>
      <c r="I68">
        <f>IF(I$2=0,"",IFERROR(TRIM(INDEX('Pegar calibracion'!$A$1:$BZ$1001,67,I$2)&amp;""),""))</f>
        <v/>
      </c>
      <c r="J68">
        <f>IF(J$2=0,"",IFERROR(TRIM(INDEX('Pegar calibracion'!$A$1:$BZ$1001,67,J$2)&amp;""),""))</f>
        <v/>
      </c>
      <c r="K68">
        <f>IF(K$2=0,"",IFERROR(TRIM(INDEX('Pegar calibracion'!$A$1:$BZ$1001,67,K$2)&amp;""),""))</f>
        <v/>
      </c>
      <c r="L68">
        <f>IF(L$2=0,"",IFERROR(TRIM(INDEX('Pegar calibracion'!$A$1:$BZ$1001,67,L$2)&amp;""),""))</f>
        <v/>
      </c>
      <c r="M68" s="25">
        <f>IF(D68="","",SUBSTITUTE(SUBSTITUTE(SUBSTITUTE(SUBSTITUTE(SUBSTITUTE(SUBSTITUTE(SUBSTITUTE(SUBSTITUTE(SUBSTITUTE(SUBSTITUTE(SUBSTITUTE(SUBSTITUTE(LOWER(TRIM(D68)),"á","a"),"é","e"),"í","i"),"ó","o"),"ú","u"),"ü","u"),"ñ","n"),"à","a"),"è","e"),"ì","i"),"ò","o"),"ù","u"))</f>
        <v/>
      </c>
      <c r="N68" s="25">
        <f>IF(F68="","",SUBSTITUTE(SUBSTITUTE(SUBSTITUTE(SUBSTITUTE(SUBSTITUTE(SUBSTITUTE(SUBSTITUTE(SUBSTITUTE(SUBSTITUTE(SUBSTITUTE(SUBSTITUTE(SUBSTITUTE(LOWER(TRIM(F68)),"á","a"),"é","e"),"í","i"),"ó","o"),"ú","u"),"ü","u"),"ñ","n"),"à","a"),"è","e"),"ì","i"),"ò","o"),"ù","u"))</f>
        <v/>
      </c>
      <c r="O68" s="25">
        <f>IF(M68="confiable",2,IF(M68="dudosa",1,IF(M68="no confiable",0,"")))</f>
        <v/>
      </c>
      <c r="P68" s="25">
        <f>IF(N68="confiable",2,IF(N68="dudosa",1,IF(N68="no confiable",0,"")))</f>
        <v/>
      </c>
      <c r="Q68" s="25">
        <f>IF(AND(ISNUMBER(O68),ISNUMBER(P68)),1,"")</f>
        <v/>
      </c>
      <c r="R68" s="25">
        <f>IF(Q68=1,IF(O68=P68,"Sí","No"),"")</f>
        <v/>
      </c>
      <c r="S68" s="25">
        <f>IF(Q68=1,IF(P68&lt;O68,"Más estricto",IF(P68&gt;O68,"Más permisivo","Igual")),"")</f>
        <v/>
      </c>
      <c r="T68" s="25">
        <f>IF(Q68=1,IF(ABS(O68-P68)=2,1,0),"")</f>
        <v/>
      </c>
      <c r="U68" s="25">
        <f>IF(H68="","","|"&amp;SUBSTITUTE(SUBSTITUTE(TRIM(H68)," |","|"),"| ","|")&amp;"|")</f>
        <v/>
      </c>
      <c r="V68" s="25">
        <f>IF(AND(Q68=1,B68&lt;&gt;""),IF(IFERROR(COUNTIFS(B$3:B68,"="&amp;SUBSTITUTE(SUBSTITUTE(SUBSTITUTE(B68,"~","~~"),"*","~*"),"?","~?"),Q$3:Q68,1),0)=1,MAX(V$2:V67)+1,""),"")</f>
        <v/>
      </c>
      <c r="W68" s="25">
        <f>IF(V68="","",COUNTIFS($B$3:$B$1002,"="&amp;SUBSTITUTE(SUBSTITUTE(SUBSTITUTE(B68,"~","~~"),"*","~*"),"?","~?"),$Q$3:$Q$1002,1)*10000-V68)</f>
        <v/>
      </c>
      <c r="X68" s="25">
        <f>IF(Q68=1,IF(SUBSTITUTE(SUBSTITUTE(SUBSTITUTE(SUBSTITUTE(SUBSTITUTE(SUBSTITUTE(SUBSTITUTE(SUBSTITUTE(SUBSTITUTE(SUBSTITUTE(SUBSTITUTE(SUBSTITUTE(LOWER(TRIM(A68)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68)),"á","a"),"é","e"),"í","i"),"ó","o"),"ú","u"),"ü","u"),"ñ","n"),"à","a"),"è","e"),"ì","i"),"ò","o"),"ù","u")),"")</f>
        <v/>
      </c>
      <c r="Y68" s="25">
        <f>IF(X68="","",IF(IFERROR(COUNTIF(X$3:X68,"="&amp;SUBSTITUTE(SUBSTITUTE(SUBSTITUTE(X68,"~","~~"),"*","~*"),"?","~?")),0)=1,1,""))</f>
        <v/>
      </c>
      <c r="Z68" s="25">
        <f>IF(T68=1,MAX(Z$2:Z67)+1,"")</f>
        <v/>
      </c>
    </row>
    <row r="69">
      <c r="A69">
        <f>IF(A$2=0,"",IFERROR(TRIM(INDEX('Pegar calibracion'!$A$1:$BZ$1001,68,A$2)&amp;""),""))</f>
        <v/>
      </c>
      <c r="B69">
        <f>IF(B$2=0,"",IFERROR(TRIM(INDEX('Pegar calibracion'!$A$1:$BZ$1001,68,B$2)&amp;""),""))</f>
        <v/>
      </c>
      <c r="C69">
        <f>IF(C$2=0,"",IFERROR(TRIM(INDEX('Pegar calibracion'!$A$1:$BZ$1001,68,C$2)&amp;""),""))</f>
        <v/>
      </c>
      <c r="D69">
        <f>IF(D$2=0,"",IFERROR(TRIM(INDEX('Pegar calibracion'!$A$1:$BZ$1001,68,D$2)&amp;""),""))</f>
        <v/>
      </c>
      <c r="E69">
        <f>IF(E$2=0,"",IFERROR(TRIM(INDEX('Pegar calibracion'!$A$1:$BZ$1001,68,E$2)&amp;""),""))</f>
        <v/>
      </c>
      <c r="F69">
        <f>IF(F$2=0,"",IFERROR(TRIM(INDEX('Pegar calibracion'!$A$1:$BZ$1001,68,F$2)&amp;""),""))</f>
        <v/>
      </c>
      <c r="G69">
        <f>IF(G$2=0,"",IFERROR(TRIM(INDEX('Pegar calibracion'!$A$1:$BZ$1001,68,G$2)&amp;""),""))</f>
        <v/>
      </c>
      <c r="H69">
        <f>IF(H$2=0,"",IFERROR(TRIM(INDEX('Pegar calibracion'!$A$1:$BZ$1001,68,H$2)&amp;""),""))</f>
        <v/>
      </c>
      <c r="I69">
        <f>IF(I$2=0,"",IFERROR(TRIM(INDEX('Pegar calibracion'!$A$1:$BZ$1001,68,I$2)&amp;""),""))</f>
        <v/>
      </c>
      <c r="J69">
        <f>IF(J$2=0,"",IFERROR(TRIM(INDEX('Pegar calibracion'!$A$1:$BZ$1001,68,J$2)&amp;""),""))</f>
        <v/>
      </c>
      <c r="K69">
        <f>IF(K$2=0,"",IFERROR(TRIM(INDEX('Pegar calibracion'!$A$1:$BZ$1001,68,K$2)&amp;""),""))</f>
        <v/>
      </c>
      <c r="L69">
        <f>IF(L$2=0,"",IFERROR(TRIM(INDEX('Pegar calibracion'!$A$1:$BZ$1001,68,L$2)&amp;""),""))</f>
        <v/>
      </c>
      <c r="M69" s="25">
        <f>IF(D69="","",SUBSTITUTE(SUBSTITUTE(SUBSTITUTE(SUBSTITUTE(SUBSTITUTE(SUBSTITUTE(SUBSTITUTE(SUBSTITUTE(SUBSTITUTE(SUBSTITUTE(SUBSTITUTE(SUBSTITUTE(LOWER(TRIM(D69)),"á","a"),"é","e"),"í","i"),"ó","o"),"ú","u"),"ü","u"),"ñ","n"),"à","a"),"è","e"),"ì","i"),"ò","o"),"ù","u"))</f>
        <v/>
      </c>
      <c r="N69" s="25">
        <f>IF(F69="","",SUBSTITUTE(SUBSTITUTE(SUBSTITUTE(SUBSTITUTE(SUBSTITUTE(SUBSTITUTE(SUBSTITUTE(SUBSTITUTE(SUBSTITUTE(SUBSTITUTE(SUBSTITUTE(SUBSTITUTE(LOWER(TRIM(F69)),"á","a"),"é","e"),"í","i"),"ó","o"),"ú","u"),"ü","u"),"ñ","n"),"à","a"),"è","e"),"ì","i"),"ò","o"),"ù","u"))</f>
        <v/>
      </c>
      <c r="O69" s="25">
        <f>IF(M69="confiable",2,IF(M69="dudosa",1,IF(M69="no confiable",0,"")))</f>
        <v/>
      </c>
      <c r="P69" s="25">
        <f>IF(N69="confiable",2,IF(N69="dudosa",1,IF(N69="no confiable",0,"")))</f>
        <v/>
      </c>
      <c r="Q69" s="25">
        <f>IF(AND(ISNUMBER(O69),ISNUMBER(P69)),1,"")</f>
        <v/>
      </c>
      <c r="R69" s="25">
        <f>IF(Q69=1,IF(O69=P69,"Sí","No"),"")</f>
        <v/>
      </c>
      <c r="S69" s="25">
        <f>IF(Q69=1,IF(P69&lt;O69,"Más estricto",IF(P69&gt;O69,"Más permisivo","Igual")),"")</f>
        <v/>
      </c>
      <c r="T69" s="25">
        <f>IF(Q69=1,IF(ABS(O69-P69)=2,1,0),"")</f>
        <v/>
      </c>
      <c r="U69" s="25">
        <f>IF(H69="","","|"&amp;SUBSTITUTE(SUBSTITUTE(TRIM(H69)," |","|"),"| ","|")&amp;"|")</f>
        <v/>
      </c>
      <c r="V69" s="25">
        <f>IF(AND(Q69=1,B69&lt;&gt;""),IF(IFERROR(COUNTIFS(B$3:B69,"="&amp;SUBSTITUTE(SUBSTITUTE(SUBSTITUTE(B69,"~","~~"),"*","~*"),"?","~?"),Q$3:Q69,1),0)=1,MAX(V$2:V68)+1,""),"")</f>
        <v/>
      </c>
      <c r="W69" s="25">
        <f>IF(V69="","",COUNTIFS($B$3:$B$1002,"="&amp;SUBSTITUTE(SUBSTITUTE(SUBSTITUTE(B69,"~","~~"),"*","~*"),"?","~?"),$Q$3:$Q$1002,1)*10000-V69)</f>
        <v/>
      </c>
      <c r="X69" s="25">
        <f>IF(Q69=1,IF(SUBSTITUTE(SUBSTITUTE(SUBSTITUTE(SUBSTITUTE(SUBSTITUTE(SUBSTITUTE(SUBSTITUTE(SUBSTITUTE(SUBSTITUTE(SUBSTITUTE(SUBSTITUTE(SUBSTITUTE(LOWER(TRIM(A69)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69)),"á","a"),"é","e"),"í","i"),"ó","o"),"ú","u"),"ü","u"),"ñ","n"),"à","a"),"è","e"),"ì","i"),"ò","o"),"ù","u")),"")</f>
        <v/>
      </c>
      <c r="Y69" s="25">
        <f>IF(X69="","",IF(IFERROR(COUNTIF(X$3:X69,"="&amp;SUBSTITUTE(SUBSTITUTE(SUBSTITUTE(X69,"~","~~"),"*","~*"),"?","~?")),0)=1,1,""))</f>
        <v/>
      </c>
      <c r="Z69" s="25">
        <f>IF(T69=1,MAX(Z$2:Z68)+1,"")</f>
        <v/>
      </c>
    </row>
    <row r="70">
      <c r="A70">
        <f>IF(A$2=0,"",IFERROR(TRIM(INDEX('Pegar calibracion'!$A$1:$BZ$1001,69,A$2)&amp;""),""))</f>
        <v/>
      </c>
      <c r="B70">
        <f>IF(B$2=0,"",IFERROR(TRIM(INDEX('Pegar calibracion'!$A$1:$BZ$1001,69,B$2)&amp;""),""))</f>
        <v/>
      </c>
      <c r="C70">
        <f>IF(C$2=0,"",IFERROR(TRIM(INDEX('Pegar calibracion'!$A$1:$BZ$1001,69,C$2)&amp;""),""))</f>
        <v/>
      </c>
      <c r="D70">
        <f>IF(D$2=0,"",IFERROR(TRIM(INDEX('Pegar calibracion'!$A$1:$BZ$1001,69,D$2)&amp;""),""))</f>
        <v/>
      </c>
      <c r="E70">
        <f>IF(E$2=0,"",IFERROR(TRIM(INDEX('Pegar calibracion'!$A$1:$BZ$1001,69,E$2)&amp;""),""))</f>
        <v/>
      </c>
      <c r="F70">
        <f>IF(F$2=0,"",IFERROR(TRIM(INDEX('Pegar calibracion'!$A$1:$BZ$1001,69,F$2)&amp;""),""))</f>
        <v/>
      </c>
      <c r="G70">
        <f>IF(G$2=0,"",IFERROR(TRIM(INDEX('Pegar calibracion'!$A$1:$BZ$1001,69,G$2)&amp;""),""))</f>
        <v/>
      </c>
      <c r="H70">
        <f>IF(H$2=0,"",IFERROR(TRIM(INDEX('Pegar calibracion'!$A$1:$BZ$1001,69,H$2)&amp;""),""))</f>
        <v/>
      </c>
      <c r="I70">
        <f>IF(I$2=0,"",IFERROR(TRIM(INDEX('Pegar calibracion'!$A$1:$BZ$1001,69,I$2)&amp;""),""))</f>
        <v/>
      </c>
      <c r="J70">
        <f>IF(J$2=0,"",IFERROR(TRIM(INDEX('Pegar calibracion'!$A$1:$BZ$1001,69,J$2)&amp;""),""))</f>
        <v/>
      </c>
      <c r="K70">
        <f>IF(K$2=0,"",IFERROR(TRIM(INDEX('Pegar calibracion'!$A$1:$BZ$1001,69,K$2)&amp;""),""))</f>
        <v/>
      </c>
      <c r="L70">
        <f>IF(L$2=0,"",IFERROR(TRIM(INDEX('Pegar calibracion'!$A$1:$BZ$1001,69,L$2)&amp;""),""))</f>
        <v/>
      </c>
      <c r="M70" s="25">
        <f>IF(D70="","",SUBSTITUTE(SUBSTITUTE(SUBSTITUTE(SUBSTITUTE(SUBSTITUTE(SUBSTITUTE(SUBSTITUTE(SUBSTITUTE(SUBSTITUTE(SUBSTITUTE(SUBSTITUTE(SUBSTITUTE(LOWER(TRIM(D70)),"á","a"),"é","e"),"í","i"),"ó","o"),"ú","u"),"ü","u"),"ñ","n"),"à","a"),"è","e"),"ì","i"),"ò","o"),"ù","u"))</f>
        <v/>
      </c>
      <c r="N70" s="25">
        <f>IF(F70="","",SUBSTITUTE(SUBSTITUTE(SUBSTITUTE(SUBSTITUTE(SUBSTITUTE(SUBSTITUTE(SUBSTITUTE(SUBSTITUTE(SUBSTITUTE(SUBSTITUTE(SUBSTITUTE(SUBSTITUTE(LOWER(TRIM(F70)),"á","a"),"é","e"),"í","i"),"ó","o"),"ú","u"),"ü","u"),"ñ","n"),"à","a"),"è","e"),"ì","i"),"ò","o"),"ù","u"))</f>
        <v/>
      </c>
      <c r="O70" s="25">
        <f>IF(M70="confiable",2,IF(M70="dudosa",1,IF(M70="no confiable",0,"")))</f>
        <v/>
      </c>
      <c r="P70" s="25">
        <f>IF(N70="confiable",2,IF(N70="dudosa",1,IF(N70="no confiable",0,"")))</f>
        <v/>
      </c>
      <c r="Q70" s="25">
        <f>IF(AND(ISNUMBER(O70),ISNUMBER(P70)),1,"")</f>
        <v/>
      </c>
      <c r="R70" s="25">
        <f>IF(Q70=1,IF(O70=P70,"Sí","No"),"")</f>
        <v/>
      </c>
      <c r="S70" s="25">
        <f>IF(Q70=1,IF(P70&lt;O70,"Más estricto",IF(P70&gt;O70,"Más permisivo","Igual")),"")</f>
        <v/>
      </c>
      <c r="T70" s="25">
        <f>IF(Q70=1,IF(ABS(O70-P70)=2,1,0),"")</f>
        <v/>
      </c>
      <c r="U70" s="25">
        <f>IF(H70="","","|"&amp;SUBSTITUTE(SUBSTITUTE(TRIM(H70)," |","|"),"| ","|")&amp;"|")</f>
        <v/>
      </c>
      <c r="V70" s="25">
        <f>IF(AND(Q70=1,B70&lt;&gt;""),IF(IFERROR(COUNTIFS(B$3:B70,"="&amp;SUBSTITUTE(SUBSTITUTE(SUBSTITUTE(B70,"~","~~"),"*","~*"),"?","~?"),Q$3:Q70,1),0)=1,MAX(V$2:V69)+1,""),"")</f>
        <v/>
      </c>
      <c r="W70" s="25">
        <f>IF(V70="","",COUNTIFS($B$3:$B$1002,"="&amp;SUBSTITUTE(SUBSTITUTE(SUBSTITUTE(B70,"~","~~"),"*","~*"),"?","~?"),$Q$3:$Q$1002,1)*10000-V70)</f>
        <v/>
      </c>
      <c r="X70" s="25">
        <f>IF(Q70=1,IF(SUBSTITUTE(SUBSTITUTE(SUBSTITUTE(SUBSTITUTE(SUBSTITUTE(SUBSTITUTE(SUBSTITUTE(SUBSTITUTE(SUBSTITUTE(SUBSTITUTE(SUBSTITUTE(SUBSTITUTE(LOWER(TRIM(A70)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70)),"á","a"),"é","e"),"í","i"),"ó","o"),"ú","u"),"ü","u"),"ñ","n"),"à","a"),"è","e"),"ì","i"),"ò","o"),"ù","u")),"")</f>
        <v/>
      </c>
      <c r="Y70" s="25">
        <f>IF(X70="","",IF(IFERROR(COUNTIF(X$3:X70,"="&amp;SUBSTITUTE(SUBSTITUTE(SUBSTITUTE(X70,"~","~~"),"*","~*"),"?","~?")),0)=1,1,""))</f>
        <v/>
      </c>
      <c r="Z70" s="25">
        <f>IF(T70=1,MAX(Z$2:Z69)+1,"")</f>
        <v/>
      </c>
    </row>
    <row r="71">
      <c r="A71">
        <f>IF(A$2=0,"",IFERROR(TRIM(INDEX('Pegar calibracion'!$A$1:$BZ$1001,70,A$2)&amp;""),""))</f>
        <v/>
      </c>
      <c r="B71">
        <f>IF(B$2=0,"",IFERROR(TRIM(INDEX('Pegar calibracion'!$A$1:$BZ$1001,70,B$2)&amp;""),""))</f>
        <v/>
      </c>
      <c r="C71">
        <f>IF(C$2=0,"",IFERROR(TRIM(INDEX('Pegar calibracion'!$A$1:$BZ$1001,70,C$2)&amp;""),""))</f>
        <v/>
      </c>
      <c r="D71">
        <f>IF(D$2=0,"",IFERROR(TRIM(INDEX('Pegar calibracion'!$A$1:$BZ$1001,70,D$2)&amp;""),""))</f>
        <v/>
      </c>
      <c r="E71">
        <f>IF(E$2=0,"",IFERROR(TRIM(INDEX('Pegar calibracion'!$A$1:$BZ$1001,70,E$2)&amp;""),""))</f>
        <v/>
      </c>
      <c r="F71">
        <f>IF(F$2=0,"",IFERROR(TRIM(INDEX('Pegar calibracion'!$A$1:$BZ$1001,70,F$2)&amp;""),""))</f>
        <v/>
      </c>
      <c r="G71">
        <f>IF(G$2=0,"",IFERROR(TRIM(INDEX('Pegar calibracion'!$A$1:$BZ$1001,70,G$2)&amp;""),""))</f>
        <v/>
      </c>
      <c r="H71">
        <f>IF(H$2=0,"",IFERROR(TRIM(INDEX('Pegar calibracion'!$A$1:$BZ$1001,70,H$2)&amp;""),""))</f>
        <v/>
      </c>
      <c r="I71">
        <f>IF(I$2=0,"",IFERROR(TRIM(INDEX('Pegar calibracion'!$A$1:$BZ$1001,70,I$2)&amp;""),""))</f>
        <v/>
      </c>
      <c r="J71">
        <f>IF(J$2=0,"",IFERROR(TRIM(INDEX('Pegar calibracion'!$A$1:$BZ$1001,70,J$2)&amp;""),""))</f>
        <v/>
      </c>
      <c r="K71">
        <f>IF(K$2=0,"",IFERROR(TRIM(INDEX('Pegar calibracion'!$A$1:$BZ$1001,70,K$2)&amp;""),""))</f>
        <v/>
      </c>
      <c r="L71">
        <f>IF(L$2=0,"",IFERROR(TRIM(INDEX('Pegar calibracion'!$A$1:$BZ$1001,70,L$2)&amp;""),""))</f>
        <v/>
      </c>
      <c r="M71" s="25">
        <f>IF(D71="","",SUBSTITUTE(SUBSTITUTE(SUBSTITUTE(SUBSTITUTE(SUBSTITUTE(SUBSTITUTE(SUBSTITUTE(SUBSTITUTE(SUBSTITUTE(SUBSTITUTE(SUBSTITUTE(SUBSTITUTE(LOWER(TRIM(D71)),"á","a"),"é","e"),"í","i"),"ó","o"),"ú","u"),"ü","u"),"ñ","n"),"à","a"),"è","e"),"ì","i"),"ò","o"),"ù","u"))</f>
        <v/>
      </c>
      <c r="N71" s="25">
        <f>IF(F71="","",SUBSTITUTE(SUBSTITUTE(SUBSTITUTE(SUBSTITUTE(SUBSTITUTE(SUBSTITUTE(SUBSTITUTE(SUBSTITUTE(SUBSTITUTE(SUBSTITUTE(SUBSTITUTE(SUBSTITUTE(LOWER(TRIM(F71)),"á","a"),"é","e"),"í","i"),"ó","o"),"ú","u"),"ü","u"),"ñ","n"),"à","a"),"è","e"),"ì","i"),"ò","o"),"ù","u"))</f>
        <v/>
      </c>
      <c r="O71" s="25">
        <f>IF(M71="confiable",2,IF(M71="dudosa",1,IF(M71="no confiable",0,"")))</f>
        <v/>
      </c>
      <c r="P71" s="25">
        <f>IF(N71="confiable",2,IF(N71="dudosa",1,IF(N71="no confiable",0,"")))</f>
        <v/>
      </c>
      <c r="Q71" s="25">
        <f>IF(AND(ISNUMBER(O71),ISNUMBER(P71)),1,"")</f>
        <v/>
      </c>
      <c r="R71" s="25">
        <f>IF(Q71=1,IF(O71=P71,"Sí","No"),"")</f>
        <v/>
      </c>
      <c r="S71" s="25">
        <f>IF(Q71=1,IF(P71&lt;O71,"Más estricto",IF(P71&gt;O71,"Más permisivo","Igual")),"")</f>
        <v/>
      </c>
      <c r="T71" s="25">
        <f>IF(Q71=1,IF(ABS(O71-P71)=2,1,0),"")</f>
        <v/>
      </c>
      <c r="U71" s="25">
        <f>IF(H71="","","|"&amp;SUBSTITUTE(SUBSTITUTE(TRIM(H71)," |","|"),"| ","|")&amp;"|")</f>
        <v/>
      </c>
      <c r="V71" s="25">
        <f>IF(AND(Q71=1,B71&lt;&gt;""),IF(IFERROR(COUNTIFS(B$3:B71,"="&amp;SUBSTITUTE(SUBSTITUTE(SUBSTITUTE(B71,"~","~~"),"*","~*"),"?","~?"),Q$3:Q71,1),0)=1,MAX(V$2:V70)+1,""),"")</f>
        <v/>
      </c>
      <c r="W71" s="25">
        <f>IF(V71="","",COUNTIFS($B$3:$B$1002,"="&amp;SUBSTITUTE(SUBSTITUTE(SUBSTITUTE(B71,"~","~~"),"*","~*"),"?","~?"),$Q$3:$Q$1002,1)*10000-V71)</f>
        <v/>
      </c>
      <c r="X71" s="25">
        <f>IF(Q71=1,IF(SUBSTITUTE(SUBSTITUTE(SUBSTITUTE(SUBSTITUTE(SUBSTITUTE(SUBSTITUTE(SUBSTITUTE(SUBSTITUTE(SUBSTITUTE(SUBSTITUTE(SUBSTITUTE(SUBSTITUTE(LOWER(TRIM(A71)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71)),"á","a"),"é","e"),"í","i"),"ó","o"),"ú","u"),"ü","u"),"ñ","n"),"à","a"),"è","e"),"ì","i"),"ò","o"),"ù","u")),"")</f>
        <v/>
      </c>
      <c r="Y71" s="25">
        <f>IF(X71="","",IF(IFERROR(COUNTIF(X$3:X71,"="&amp;SUBSTITUTE(SUBSTITUTE(SUBSTITUTE(X71,"~","~~"),"*","~*"),"?","~?")),0)=1,1,""))</f>
        <v/>
      </c>
      <c r="Z71" s="25">
        <f>IF(T71=1,MAX(Z$2:Z70)+1,"")</f>
        <v/>
      </c>
    </row>
    <row r="72">
      <c r="A72">
        <f>IF(A$2=0,"",IFERROR(TRIM(INDEX('Pegar calibracion'!$A$1:$BZ$1001,71,A$2)&amp;""),""))</f>
        <v/>
      </c>
      <c r="B72">
        <f>IF(B$2=0,"",IFERROR(TRIM(INDEX('Pegar calibracion'!$A$1:$BZ$1001,71,B$2)&amp;""),""))</f>
        <v/>
      </c>
      <c r="C72">
        <f>IF(C$2=0,"",IFERROR(TRIM(INDEX('Pegar calibracion'!$A$1:$BZ$1001,71,C$2)&amp;""),""))</f>
        <v/>
      </c>
      <c r="D72">
        <f>IF(D$2=0,"",IFERROR(TRIM(INDEX('Pegar calibracion'!$A$1:$BZ$1001,71,D$2)&amp;""),""))</f>
        <v/>
      </c>
      <c r="E72">
        <f>IF(E$2=0,"",IFERROR(TRIM(INDEX('Pegar calibracion'!$A$1:$BZ$1001,71,E$2)&amp;""),""))</f>
        <v/>
      </c>
      <c r="F72">
        <f>IF(F$2=0,"",IFERROR(TRIM(INDEX('Pegar calibracion'!$A$1:$BZ$1001,71,F$2)&amp;""),""))</f>
        <v/>
      </c>
      <c r="G72">
        <f>IF(G$2=0,"",IFERROR(TRIM(INDEX('Pegar calibracion'!$A$1:$BZ$1001,71,G$2)&amp;""),""))</f>
        <v/>
      </c>
      <c r="H72">
        <f>IF(H$2=0,"",IFERROR(TRIM(INDEX('Pegar calibracion'!$A$1:$BZ$1001,71,H$2)&amp;""),""))</f>
        <v/>
      </c>
      <c r="I72">
        <f>IF(I$2=0,"",IFERROR(TRIM(INDEX('Pegar calibracion'!$A$1:$BZ$1001,71,I$2)&amp;""),""))</f>
        <v/>
      </c>
      <c r="J72">
        <f>IF(J$2=0,"",IFERROR(TRIM(INDEX('Pegar calibracion'!$A$1:$BZ$1001,71,J$2)&amp;""),""))</f>
        <v/>
      </c>
      <c r="K72">
        <f>IF(K$2=0,"",IFERROR(TRIM(INDEX('Pegar calibracion'!$A$1:$BZ$1001,71,K$2)&amp;""),""))</f>
        <v/>
      </c>
      <c r="L72">
        <f>IF(L$2=0,"",IFERROR(TRIM(INDEX('Pegar calibracion'!$A$1:$BZ$1001,71,L$2)&amp;""),""))</f>
        <v/>
      </c>
      <c r="M72" s="25">
        <f>IF(D72="","",SUBSTITUTE(SUBSTITUTE(SUBSTITUTE(SUBSTITUTE(SUBSTITUTE(SUBSTITUTE(SUBSTITUTE(SUBSTITUTE(SUBSTITUTE(SUBSTITUTE(SUBSTITUTE(SUBSTITUTE(LOWER(TRIM(D72)),"á","a"),"é","e"),"í","i"),"ó","o"),"ú","u"),"ü","u"),"ñ","n"),"à","a"),"è","e"),"ì","i"),"ò","o"),"ù","u"))</f>
        <v/>
      </c>
      <c r="N72" s="25">
        <f>IF(F72="","",SUBSTITUTE(SUBSTITUTE(SUBSTITUTE(SUBSTITUTE(SUBSTITUTE(SUBSTITUTE(SUBSTITUTE(SUBSTITUTE(SUBSTITUTE(SUBSTITUTE(SUBSTITUTE(SUBSTITUTE(LOWER(TRIM(F72)),"á","a"),"é","e"),"í","i"),"ó","o"),"ú","u"),"ü","u"),"ñ","n"),"à","a"),"è","e"),"ì","i"),"ò","o"),"ù","u"))</f>
        <v/>
      </c>
      <c r="O72" s="25">
        <f>IF(M72="confiable",2,IF(M72="dudosa",1,IF(M72="no confiable",0,"")))</f>
        <v/>
      </c>
      <c r="P72" s="25">
        <f>IF(N72="confiable",2,IF(N72="dudosa",1,IF(N72="no confiable",0,"")))</f>
        <v/>
      </c>
      <c r="Q72" s="25">
        <f>IF(AND(ISNUMBER(O72),ISNUMBER(P72)),1,"")</f>
        <v/>
      </c>
      <c r="R72" s="25">
        <f>IF(Q72=1,IF(O72=P72,"Sí","No"),"")</f>
        <v/>
      </c>
      <c r="S72" s="25">
        <f>IF(Q72=1,IF(P72&lt;O72,"Más estricto",IF(P72&gt;O72,"Más permisivo","Igual")),"")</f>
        <v/>
      </c>
      <c r="T72" s="25">
        <f>IF(Q72=1,IF(ABS(O72-P72)=2,1,0),"")</f>
        <v/>
      </c>
      <c r="U72" s="25">
        <f>IF(H72="","","|"&amp;SUBSTITUTE(SUBSTITUTE(TRIM(H72)," |","|"),"| ","|")&amp;"|")</f>
        <v/>
      </c>
      <c r="V72" s="25">
        <f>IF(AND(Q72=1,B72&lt;&gt;""),IF(IFERROR(COUNTIFS(B$3:B72,"="&amp;SUBSTITUTE(SUBSTITUTE(SUBSTITUTE(B72,"~","~~"),"*","~*"),"?","~?"),Q$3:Q72,1),0)=1,MAX(V$2:V71)+1,""),"")</f>
        <v/>
      </c>
      <c r="W72" s="25">
        <f>IF(V72="","",COUNTIFS($B$3:$B$1002,"="&amp;SUBSTITUTE(SUBSTITUTE(SUBSTITUTE(B72,"~","~~"),"*","~*"),"?","~?"),$Q$3:$Q$1002,1)*10000-V72)</f>
        <v/>
      </c>
      <c r="X72" s="25">
        <f>IF(Q72=1,IF(SUBSTITUTE(SUBSTITUTE(SUBSTITUTE(SUBSTITUTE(SUBSTITUTE(SUBSTITUTE(SUBSTITUTE(SUBSTITUTE(SUBSTITUTE(SUBSTITUTE(SUBSTITUTE(SUBSTITUTE(LOWER(TRIM(A72)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72)),"á","a"),"é","e"),"í","i"),"ó","o"),"ú","u"),"ü","u"),"ñ","n"),"à","a"),"è","e"),"ì","i"),"ò","o"),"ù","u")),"")</f>
        <v/>
      </c>
      <c r="Y72" s="25">
        <f>IF(X72="","",IF(IFERROR(COUNTIF(X$3:X72,"="&amp;SUBSTITUTE(SUBSTITUTE(SUBSTITUTE(X72,"~","~~"),"*","~*"),"?","~?")),0)=1,1,""))</f>
        <v/>
      </c>
      <c r="Z72" s="25">
        <f>IF(T72=1,MAX(Z$2:Z71)+1,"")</f>
        <v/>
      </c>
    </row>
    <row r="73">
      <c r="A73">
        <f>IF(A$2=0,"",IFERROR(TRIM(INDEX('Pegar calibracion'!$A$1:$BZ$1001,72,A$2)&amp;""),""))</f>
        <v/>
      </c>
      <c r="B73">
        <f>IF(B$2=0,"",IFERROR(TRIM(INDEX('Pegar calibracion'!$A$1:$BZ$1001,72,B$2)&amp;""),""))</f>
        <v/>
      </c>
      <c r="C73">
        <f>IF(C$2=0,"",IFERROR(TRIM(INDEX('Pegar calibracion'!$A$1:$BZ$1001,72,C$2)&amp;""),""))</f>
        <v/>
      </c>
      <c r="D73">
        <f>IF(D$2=0,"",IFERROR(TRIM(INDEX('Pegar calibracion'!$A$1:$BZ$1001,72,D$2)&amp;""),""))</f>
        <v/>
      </c>
      <c r="E73">
        <f>IF(E$2=0,"",IFERROR(TRIM(INDEX('Pegar calibracion'!$A$1:$BZ$1001,72,E$2)&amp;""),""))</f>
        <v/>
      </c>
      <c r="F73">
        <f>IF(F$2=0,"",IFERROR(TRIM(INDEX('Pegar calibracion'!$A$1:$BZ$1001,72,F$2)&amp;""),""))</f>
        <v/>
      </c>
      <c r="G73">
        <f>IF(G$2=0,"",IFERROR(TRIM(INDEX('Pegar calibracion'!$A$1:$BZ$1001,72,G$2)&amp;""),""))</f>
        <v/>
      </c>
      <c r="H73">
        <f>IF(H$2=0,"",IFERROR(TRIM(INDEX('Pegar calibracion'!$A$1:$BZ$1001,72,H$2)&amp;""),""))</f>
        <v/>
      </c>
      <c r="I73">
        <f>IF(I$2=0,"",IFERROR(TRIM(INDEX('Pegar calibracion'!$A$1:$BZ$1001,72,I$2)&amp;""),""))</f>
        <v/>
      </c>
      <c r="J73">
        <f>IF(J$2=0,"",IFERROR(TRIM(INDEX('Pegar calibracion'!$A$1:$BZ$1001,72,J$2)&amp;""),""))</f>
        <v/>
      </c>
      <c r="K73">
        <f>IF(K$2=0,"",IFERROR(TRIM(INDEX('Pegar calibracion'!$A$1:$BZ$1001,72,K$2)&amp;""),""))</f>
        <v/>
      </c>
      <c r="L73">
        <f>IF(L$2=0,"",IFERROR(TRIM(INDEX('Pegar calibracion'!$A$1:$BZ$1001,72,L$2)&amp;""),""))</f>
        <v/>
      </c>
      <c r="M73" s="25">
        <f>IF(D73="","",SUBSTITUTE(SUBSTITUTE(SUBSTITUTE(SUBSTITUTE(SUBSTITUTE(SUBSTITUTE(SUBSTITUTE(SUBSTITUTE(SUBSTITUTE(SUBSTITUTE(SUBSTITUTE(SUBSTITUTE(LOWER(TRIM(D73)),"á","a"),"é","e"),"í","i"),"ó","o"),"ú","u"),"ü","u"),"ñ","n"),"à","a"),"è","e"),"ì","i"),"ò","o"),"ù","u"))</f>
        <v/>
      </c>
      <c r="N73" s="25">
        <f>IF(F73="","",SUBSTITUTE(SUBSTITUTE(SUBSTITUTE(SUBSTITUTE(SUBSTITUTE(SUBSTITUTE(SUBSTITUTE(SUBSTITUTE(SUBSTITUTE(SUBSTITUTE(SUBSTITUTE(SUBSTITUTE(LOWER(TRIM(F73)),"á","a"),"é","e"),"í","i"),"ó","o"),"ú","u"),"ü","u"),"ñ","n"),"à","a"),"è","e"),"ì","i"),"ò","o"),"ù","u"))</f>
        <v/>
      </c>
      <c r="O73" s="25">
        <f>IF(M73="confiable",2,IF(M73="dudosa",1,IF(M73="no confiable",0,"")))</f>
        <v/>
      </c>
      <c r="P73" s="25">
        <f>IF(N73="confiable",2,IF(N73="dudosa",1,IF(N73="no confiable",0,"")))</f>
        <v/>
      </c>
      <c r="Q73" s="25">
        <f>IF(AND(ISNUMBER(O73),ISNUMBER(P73)),1,"")</f>
        <v/>
      </c>
      <c r="R73" s="25">
        <f>IF(Q73=1,IF(O73=P73,"Sí","No"),"")</f>
        <v/>
      </c>
      <c r="S73" s="25">
        <f>IF(Q73=1,IF(P73&lt;O73,"Más estricto",IF(P73&gt;O73,"Más permisivo","Igual")),"")</f>
        <v/>
      </c>
      <c r="T73" s="25">
        <f>IF(Q73=1,IF(ABS(O73-P73)=2,1,0),"")</f>
        <v/>
      </c>
      <c r="U73" s="25">
        <f>IF(H73="","","|"&amp;SUBSTITUTE(SUBSTITUTE(TRIM(H73)," |","|"),"| ","|")&amp;"|")</f>
        <v/>
      </c>
      <c r="V73" s="25">
        <f>IF(AND(Q73=1,B73&lt;&gt;""),IF(IFERROR(COUNTIFS(B$3:B73,"="&amp;SUBSTITUTE(SUBSTITUTE(SUBSTITUTE(B73,"~","~~"),"*","~*"),"?","~?"),Q$3:Q73,1),0)=1,MAX(V$2:V72)+1,""),"")</f>
        <v/>
      </c>
      <c r="W73" s="25">
        <f>IF(V73="","",COUNTIFS($B$3:$B$1002,"="&amp;SUBSTITUTE(SUBSTITUTE(SUBSTITUTE(B73,"~","~~"),"*","~*"),"?","~?"),$Q$3:$Q$1002,1)*10000-V73)</f>
        <v/>
      </c>
      <c r="X73" s="25">
        <f>IF(Q73=1,IF(SUBSTITUTE(SUBSTITUTE(SUBSTITUTE(SUBSTITUTE(SUBSTITUTE(SUBSTITUTE(SUBSTITUTE(SUBSTITUTE(SUBSTITUTE(SUBSTITUTE(SUBSTITUTE(SUBSTITUTE(LOWER(TRIM(A73)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73)),"á","a"),"é","e"),"í","i"),"ó","o"),"ú","u"),"ü","u"),"ñ","n"),"à","a"),"è","e"),"ì","i"),"ò","o"),"ù","u")),"")</f>
        <v/>
      </c>
      <c r="Y73" s="25">
        <f>IF(X73="","",IF(IFERROR(COUNTIF(X$3:X73,"="&amp;SUBSTITUTE(SUBSTITUTE(SUBSTITUTE(X73,"~","~~"),"*","~*"),"?","~?")),0)=1,1,""))</f>
        <v/>
      </c>
      <c r="Z73" s="25">
        <f>IF(T73=1,MAX(Z$2:Z72)+1,"")</f>
        <v/>
      </c>
    </row>
    <row r="74">
      <c r="A74">
        <f>IF(A$2=0,"",IFERROR(TRIM(INDEX('Pegar calibracion'!$A$1:$BZ$1001,73,A$2)&amp;""),""))</f>
        <v/>
      </c>
      <c r="B74">
        <f>IF(B$2=0,"",IFERROR(TRIM(INDEX('Pegar calibracion'!$A$1:$BZ$1001,73,B$2)&amp;""),""))</f>
        <v/>
      </c>
      <c r="C74">
        <f>IF(C$2=0,"",IFERROR(TRIM(INDEX('Pegar calibracion'!$A$1:$BZ$1001,73,C$2)&amp;""),""))</f>
        <v/>
      </c>
      <c r="D74">
        <f>IF(D$2=0,"",IFERROR(TRIM(INDEX('Pegar calibracion'!$A$1:$BZ$1001,73,D$2)&amp;""),""))</f>
        <v/>
      </c>
      <c r="E74">
        <f>IF(E$2=0,"",IFERROR(TRIM(INDEX('Pegar calibracion'!$A$1:$BZ$1001,73,E$2)&amp;""),""))</f>
        <v/>
      </c>
      <c r="F74">
        <f>IF(F$2=0,"",IFERROR(TRIM(INDEX('Pegar calibracion'!$A$1:$BZ$1001,73,F$2)&amp;""),""))</f>
        <v/>
      </c>
      <c r="G74">
        <f>IF(G$2=0,"",IFERROR(TRIM(INDEX('Pegar calibracion'!$A$1:$BZ$1001,73,G$2)&amp;""),""))</f>
        <v/>
      </c>
      <c r="H74">
        <f>IF(H$2=0,"",IFERROR(TRIM(INDEX('Pegar calibracion'!$A$1:$BZ$1001,73,H$2)&amp;""),""))</f>
        <v/>
      </c>
      <c r="I74">
        <f>IF(I$2=0,"",IFERROR(TRIM(INDEX('Pegar calibracion'!$A$1:$BZ$1001,73,I$2)&amp;""),""))</f>
        <v/>
      </c>
      <c r="J74">
        <f>IF(J$2=0,"",IFERROR(TRIM(INDEX('Pegar calibracion'!$A$1:$BZ$1001,73,J$2)&amp;""),""))</f>
        <v/>
      </c>
      <c r="K74">
        <f>IF(K$2=0,"",IFERROR(TRIM(INDEX('Pegar calibracion'!$A$1:$BZ$1001,73,K$2)&amp;""),""))</f>
        <v/>
      </c>
      <c r="L74">
        <f>IF(L$2=0,"",IFERROR(TRIM(INDEX('Pegar calibracion'!$A$1:$BZ$1001,73,L$2)&amp;""),""))</f>
        <v/>
      </c>
      <c r="M74" s="25">
        <f>IF(D74="","",SUBSTITUTE(SUBSTITUTE(SUBSTITUTE(SUBSTITUTE(SUBSTITUTE(SUBSTITUTE(SUBSTITUTE(SUBSTITUTE(SUBSTITUTE(SUBSTITUTE(SUBSTITUTE(SUBSTITUTE(LOWER(TRIM(D74)),"á","a"),"é","e"),"í","i"),"ó","o"),"ú","u"),"ü","u"),"ñ","n"),"à","a"),"è","e"),"ì","i"),"ò","o"),"ù","u"))</f>
        <v/>
      </c>
      <c r="N74" s="25">
        <f>IF(F74="","",SUBSTITUTE(SUBSTITUTE(SUBSTITUTE(SUBSTITUTE(SUBSTITUTE(SUBSTITUTE(SUBSTITUTE(SUBSTITUTE(SUBSTITUTE(SUBSTITUTE(SUBSTITUTE(SUBSTITUTE(LOWER(TRIM(F74)),"á","a"),"é","e"),"í","i"),"ó","o"),"ú","u"),"ü","u"),"ñ","n"),"à","a"),"è","e"),"ì","i"),"ò","o"),"ù","u"))</f>
        <v/>
      </c>
      <c r="O74" s="25">
        <f>IF(M74="confiable",2,IF(M74="dudosa",1,IF(M74="no confiable",0,"")))</f>
        <v/>
      </c>
      <c r="P74" s="25">
        <f>IF(N74="confiable",2,IF(N74="dudosa",1,IF(N74="no confiable",0,"")))</f>
        <v/>
      </c>
      <c r="Q74" s="25">
        <f>IF(AND(ISNUMBER(O74),ISNUMBER(P74)),1,"")</f>
        <v/>
      </c>
      <c r="R74" s="25">
        <f>IF(Q74=1,IF(O74=P74,"Sí","No"),"")</f>
        <v/>
      </c>
      <c r="S74" s="25">
        <f>IF(Q74=1,IF(P74&lt;O74,"Más estricto",IF(P74&gt;O74,"Más permisivo","Igual")),"")</f>
        <v/>
      </c>
      <c r="T74" s="25">
        <f>IF(Q74=1,IF(ABS(O74-P74)=2,1,0),"")</f>
        <v/>
      </c>
      <c r="U74" s="25">
        <f>IF(H74="","","|"&amp;SUBSTITUTE(SUBSTITUTE(TRIM(H74)," |","|"),"| ","|")&amp;"|")</f>
        <v/>
      </c>
      <c r="V74" s="25">
        <f>IF(AND(Q74=1,B74&lt;&gt;""),IF(IFERROR(COUNTIFS(B$3:B74,"="&amp;SUBSTITUTE(SUBSTITUTE(SUBSTITUTE(B74,"~","~~"),"*","~*"),"?","~?"),Q$3:Q74,1),0)=1,MAX(V$2:V73)+1,""),"")</f>
        <v/>
      </c>
      <c r="W74" s="25">
        <f>IF(V74="","",COUNTIFS($B$3:$B$1002,"="&amp;SUBSTITUTE(SUBSTITUTE(SUBSTITUTE(B74,"~","~~"),"*","~*"),"?","~?"),$Q$3:$Q$1002,1)*10000-V74)</f>
        <v/>
      </c>
      <c r="X74" s="25">
        <f>IF(Q74=1,IF(SUBSTITUTE(SUBSTITUTE(SUBSTITUTE(SUBSTITUTE(SUBSTITUTE(SUBSTITUTE(SUBSTITUTE(SUBSTITUTE(SUBSTITUTE(SUBSTITUTE(SUBSTITUTE(SUBSTITUTE(LOWER(TRIM(A74)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74)),"á","a"),"é","e"),"í","i"),"ó","o"),"ú","u"),"ü","u"),"ñ","n"),"à","a"),"è","e"),"ì","i"),"ò","o"),"ù","u")),"")</f>
        <v/>
      </c>
      <c r="Y74" s="25">
        <f>IF(X74="","",IF(IFERROR(COUNTIF(X$3:X74,"="&amp;SUBSTITUTE(SUBSTITUTE(SUBSTITUTE(X74,"~","~~"),"*","~*"),"?","~?")),0)=1,1,""))</f>
        <v/>
      </c>
      <c r="Z74" s="25">
        <f>IF(T74=1,MAX(Z$2:Z73)+1,"")</f>
        <v/>
      </c>
    </row>
    <row r="75">
      <c r="A75">
        <f>IF(A$2=0,"",IFERROR(TRIM(INDEX('Pegar calibracion'!$A$1:$BZ$1001,74,A$2)&amp;""),""))</f>
        <v/>
      </c>
      <c r="B75">
        <f>IF(B$2=0,"",IFERROR(TRIM(INDEX('Pegar calibracion'!$A$1:$BZ$1001,74,B$2)&amp;""),""))</f>
        <v/>
      </c>
      <c r="C75">
        <f>IF(C$2=0,"",IFERROR(TRIM(INDEX('Pegar calibracion'!$A$1:$BZ$1001,74,C$2)&amp;""),""))</f>
        <v/>
      </c>
      <c r="D75">
        <f>IF(D$2=0,"",IFERROR(TRIM(INDEX('Pegar calibracion'!$A$1:$BZ$1001,74,D$2)&amp;""),""))</f>
        <v/>
      </c>
      <c r="E75">
        <f>IF(E$2=0,"",IFERROR(TRIM(INDEX('Pegar calibracion'!$A$1:$BZ$1001,74,E$2)&amp;""),""))</f>
        <v/>
      </c>
      <c r="F75">
        <f>IF(F$2=0,"",IFERROR(TRIM(INDEX('Pegar calibracion'!$A$1:$BZ$1001,74,F$2)&amp;""),""))</f>
        <v/>
      </c>
      <c r="G75">
        <f>IF(G$2=0,"",IFERROR(TRIM(INDEX('Pegar calibracion'!$A$1:$BZ$1001,74,G$2)&amp;""),""))</f>
        <v/>
      </c>
      <c r="H75">
        <f>IF(H$2=0,"",IFERROR(TRIM(INDEX('Pegar calibracion'!$A$1:$BZ$1001,74,H$2)&amp;""),""))</f>
        <v/>
      </c>
      <c r="I75">
        <f>IF(I$2=0,"",IFERROR(TRIM(INDEX('Pegar calibracion'!$A$1:$BZ$1001,74,I$2)&amp;""),""))</f>
        <v/>
      </c>
      <c r="J75">
        <f>IF(J$2=0,"",IFERROR(TRIM(INDEX('Pegar calibracion'!$A$1:$BZ$1001,74,J$2)&amp;""),""))</f>
        <v/>
      </c>
      <c r="K75">
        <f>IF(K$2=0,"",IFERROR(TRIM(INDEX('Pegar calibracion'!$A$1:$BZ$1001,74,K$2)&amp;""),""))</f>
        <v/>
      </c>
      <c r="L75">
        <f>IF(L$2=0,"",IFERROR(TRIM(INDEX('Pegar calibracion'!$A$1:$BZ$1001,74,L$2)&amp;""),""))</f>
        <v/>
      </c>
      <c r="M75" s="25">
        <f>IF(D75="","",SUBSTITUTE(SUBSTITUTE(SUBSTITUTE(SUBSTITUTE(SUBSTITUTE(SUBSTITUTE(SUBSTITUTE(SUBSTITUTE(SUBSTITUTE(SUBSTITUTE(SUBSTITUTE(SUBSTITUTE(LOWER(TRIM(D75)),"á","a"),"é","e"),"í","i"),"ó","o"),"ú","u"),"ü","u"),"ñ","n"),"à","a"),"è","e"),"ì","i"),"ò","o"),"ù","u"))</f>
        <v/>
      </c>
      <c r="N75" s="25">
        <f>IF(F75="","",SUBSTITUTE(SUBSTITUTE(SUBSTITUTE(SUBSTITUTE(SUBSTITUTE(SUBSTITUTE(SUBSTITUTE(SUBSTITUTE(SUBSTITUTE(SUBSTITUTE(SUBSTITUTE(SUBSTITUTE(LOWER(TRIM(F75)),"á","a"),"é","e"),"í","i"),"ó","o"),"ú","u"),"ü","u"),"ñ","n"),"à","a"),"è","e"),"ì","i"),"ò","o"),"ù","u"))</f>
        <v/>
      </c>
      <c r="O75" s="25">
        <f>IF(M75="confiable",2,IF(M75="dudosa",1,IF(M75="no confiable",0,"")))</f>
        <v/>
      </c>
      <c r="P75" s="25">
        <f>IF(N75="confiable",2,IF(N75="dudosa",1,IF(N75="no confiable",0,"")))</f>
        <v/>
      </c>
      <c r="Q75" s="25">
        <f>IF(AND(ISNUMBER(O75),ISNUMBER(P75)),1,"")</f>
        <v/>
      </c>
      <c r="R75" s="25">
        <f>IF(Q75=1,IF(O75=P75,"Sí","No"),"")</f>
        <v/>
      </c>
      <c r="S75" s="25">
        <f>IF(Q75=1,IF(P75&lt;O75,"Más estricto",IF(P75&gt;O75,"Más permisivo","Igual")),"")</f>
        <v/>
      </c>
      <c r="T75" s="25">
        <f>IF(Q75=1,IF(ABS(O75-P75)=2,1,0),"")</f>
        <v/>
      </c>
      <c r="U75" s="25">
        <f>IF(H75="","","|"&amp;SUBSTITUTE(SUBSTITUTE(TRIM(H75)," |","|"),"| ","|")&amp;"|")</f>
        <v/>
      </c>
      <c r="V75" s="25">
        <f>IF(AND(Q75=1,B75&lt;&gt;""),IF(IFERROR(COUNTIFS(B$3:B75,"="&amp;SUBSTITUTE(SUBSTITUTE(SUBSTITUTE(B75,"~","~~"),"*","~*"),"?","~?"),Q$3:Q75,1),0)=1,MAX(V$2:V74)+1,""),"")</f>
        <v/>
      </c>
      <c r="W75" s="25">
        <f>IF(V75="","",COUNTIFS($B$3:$B$1002,"="&amp;SUBSTITUTE(SUBSTITUTE(SUBSTITUTE(B75,"~","~~"),"*","~*"),"?","~?"),$Q$3:$Q$1002,1)*10000-V75)</f>
        <v/>
      </c>
      <c r="X75" s="25">
        <f>IF(Q75=1,IF(SUBSTITUTE(SUBSTITUTE(SUBSTITUTE(SUBSTITUTE(SUBSTITUTE(SUBSTITUTE(SUBSTITUTE(SUBSTITUTE(SUBSTITUTE(SUBSTITUTE(SUBSTITUTE(SUBSTITUTE(LOWER(TRIM(A75)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75)),"á","a"),"é","e"),"í","i"),"ó","o"),"ú","u"),"ü","u"),"ñ","n"),"à","a"),"è","e"),"ì","i"),"ò","o"),"ù","u")),"")</f>
        <v/>
      </c>
      <c r="Y75" s="25">
        <f>IF(X75="","",IF(IFERROR(COUNTIF(X$3:X75,"="&amp;SUBSTITUTE(SUBSTITUTE(SUBSTITUTE(X75,"~","~~"),"*","~*"),"?","~?")),0)=1,1,""))</f>
        <v/>
      </c>
      <c r="Z75" s="25">
        <f>IF(T75=1,MAX(Z$2:Z74)+1,"")</f>
        <v/>
      </c>
    </row>
    <row r="76">
      <c r="A76">
        <f>IF(A$2=0,"",IFERROR(TRIM(INDEX('Pegar calibracion'!$A$1:$BZ$1001,75,A$2)&amp;""),""))</f>
        <v/>
      </c>
      <c r="B76">
        <f>IF(B$2=0,"",IFERROR(TRIM(INDEX('Pegar calibracion'!$A$1:$BZ$1001,75,B$2)&amp;""),""))</f>
        <v/>
      </c>
      <c r="C76">
        <f>IF(C$2=0,"",IFERROR(TRIM(INDEX('Pegar calibracion'!$A$1:$BZ$1001,75,C$2)&amp;""),""))</f>
        <v/>
      </c>
      <c r="D76">
        <f>IF(D$2=0,"",IFERROR(TRIM(INDEX('Pegar calibracion'!$A$1:$BZ$1001,75,D$2)&amp;""),""))</f>
        <v/>
      </c>
      <c r="E76">
        <f>IF(E$2=0,"",IFERROR(TRIM(INDEX('Pegar calibracion'!$A$1:$BZ$1001,75,E$2)&amp;""),""))</f>
        <v/>
      </c>
      <c r="F76">
        <f>IF(F$2=0,"",IFERROR(TRIM(INDEX('Pegar calibracion'!$A$1:$BZ$1001,75,F$2)&amp;""),""))</f>
        <v/>
      </c>
      <c r="G76">
        <f>IF(G$2=0,"",IFERROR(TRIM(INDEX('Pegar calibracion'!$A$1:$BZ$1001,75,G$2)&amp;""),""))</f>
        <v/>
      </c>
      <c r="H76">
        <f>IF(H$2=0,"",IFERROR(TRIM(INDEX('Pegar calibracion'!$A$1:$BZ$1001,75,H$2)&amp;""),""))</f>
        <v/>
      </c>
      <c r="I76">
        <f>IF(I$2=0,"",IFERROR(TRIM(INDEX('Pegar calibracion'!$A$1:$BZ$1001,75,I$2)&amp;""),""))</f>
        <v/>
      </c>
      <c r="J76">
        <f>IF(J$2=0,"",IFERROR(TRIM(INDEX('Pegar calibracion'!$A$1:$BZ$1001,75,J$2)&amp;""),""))</f>
        <v/>
      </c>
      <c r="K76">
        <f>IF(K$2=0,"",IFERROR(TRIM(INDEX('Pegar calibracion'!$A$1:$BZ$1001,75,K$2)&amp;""),""))</f>
        <v/>
      </c>
      <c r="L76">
        <f>IF(L$2=0,"",IFERROR(TRIM(INDEX('Pegar calibracion'!$A$1:$BZ$1001,75,L$2)&amp;""),""))</f>
        <v/>
      </c>
      <c r="M76" s="25">
        <f>IF(D76="","",SUBSTITUTE(SUBSTITUTE(SUBSTITUTE(SUBSTITUTE(SUBSTITUTE(SUBSTITUTE(SUBSTITUTE(SUBSTITUTE(SUBSTITUTE(SUBSTITUTE(SUBSTITUTE(SUBSTITUTE(LOWER(TRIM(D76)),"á","a"),"é","e"),"í","i"),"ó","o"),"ú","u"),"ü","u"),"ñ","n"),"à","a"),"è","e"),"ì","i"),"ò","o"),"ù","u"))</f>
        <v/>
      </c>
      <c r="N76" s="25">
        <f>IF(F76="","",SUBSTITUTE(SUBSTITUTE(SUBSTITUTE(SUBSTITUTE(SUBSTITUTE(SUBSTITUTE(SUBSTITUTE(SUBSTITUTE(SUBSTITUTE(SUBSTITUTE(SUBSTITUTE(SUBSTITUTE(LOWER(TRIM(F76)),"á","a"),"é","e"),"í","i"),"ó","o"),"ú","u"),"ü","u"),"ñ","n"),"à","a"),"è","e"),"ì","i"),"ò","o"),"ù","u"))</f>
        <v/>
      </c>
      <c r="O76" s="25">
        <f>IF(M76="confiable",2,IF(M76="dudosa",1,IF(M76="no confiable",0,"")))</f>
        <v/>
      </c>
      <c r="P76" s="25">
        <f>IF(N76="confiable",2,IF(N76="dudosa",1,IF(N76="no confiable",0,"")))</f>
        <v/>
      </c>
      <c r="Q76" s="25">
        <f>IF(AND(ISNUMBER(O76),ISNUMBER(P76)),1,"")</f>
        <v/>
      </c>
      <c r="R76" s="25">
        <f>IF(Q76=1,IF(O76=P76,"Sí","No"),"")</f>
        <v/>
      </c>
      <c r="S76" s="25">
        <f>IF(Q76=1,IF(P76&lt;O76,"Más estricto",IF(P76&gt;O76,"Más permisivo","Igual")),"")</f>
        <v/>
      </c>
      <c r="T76" s="25">
        <f>IF(Q76=1,IF(ABS(O76-P76)=2,1,0),"")</f>
        <v/>
      </c>
      <c r="U76" s="25">
        <f>IF(H76="","","|"&amp;SUBSTITUTE(SUBSTITUTE(TRIM(H76)," |","|"),"| ","|")&amp;"|")</f>
        <v/>
      </c>
      <c r="V76" s="25">
        <f>IF(AND(Q76=1,B76&lt;&gt;""),IF(IFERROR(COUNTIFS(B$3:B76,"="&amp;SUBSTITUTE(SUBSTITUTE(SUBSTITUTE(B76,"~","~~"),"*","~*"),"?","~?"),Q$3:Q76,1),0)=1,MAX(V$2:V75)+1,""),"")</f>
        <v/>
      </c>
      <c r="W76" s="25">
        <f>IF(V76="","",COUNTIFS($B$3:$B$1002,"="&amp;SUBSTITUTE(SUBSTITUTE(SUBSTITUTE(B76,"~","~~"),"*","~*"),"?","~?"),$Q$3:$Q$1002,1)*10000-V76)</f>
        <v/>
      </c>
      <c r="X76" s="25">
        <f>IF(Q76=1,IF(SUBSTITUTE(SUBSTITUTE(SUBSTITUTE(SUBSTITUTE(SUBSTITUTE(SUBSTITUTE(SUBSTITUTE(SUBSTITUTE(SUBSTITUTE(SUBSTITUTE(SUBSTITUTE(SUBSTITUTE(LOWER(TRIM(A76)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76)),"á","a"),"é","e"),"í","i"),"ó","o"),"ú","u"),"ü","u"),"ñ","n"),"à","a"),"è","e"),"ì","i"),"ò","o"),"ù","u")),"")</f>
        <v/>
      </c>
      <c r="Y76" s="25">
        <f>IF(X76="","",IF(IFERROR(COUNTIF(X$3:X76,"="&amp;SUBSTITUTE(SUBSTITUTE(SUBSTITUTE(X76,"~","~~"),"*","~*"),"?","~?")),0)=1,1,""))</f>
        <v/>
      </c>
      <c r="Z76" s="25">
        <f>IF(T76=1,MAX(Z$2:Z75)+1,"")</f>
        <v/>
      </c>
    </row>
    <row r="77">
      <c r="A77">
        <f>IF(A$2=0,"",IFERROR(TRIM(INDEX('Pegar calibracion'!$A$1:$BZ$1001,76,A$2)&amp;""),""))</f>
        <v/>
      </c>
      <c r="B77">
        <f>IF(B$2=0,"",IFERROR(TRIM(INDEX('Pegar calibracion'!$A$1:$BZ$1001,76,B$2)&amp;""),""))</f>
        <v/>
      </c>
      <c r="C77">
        <f>IF(C$2=0,"",IFERROR(TRIM(INDEX('Pegar calibracion'!$A$1:$BZ$1001,76,C$2)&amp;""),""))</f>
        <v/>
      </c>
      <c r="D77">
        <f>IF(D$2=0,"",IFERROR(TRIM(INDEX('Pegar calibracion'!$A$1:$BZ$1001,76,D$2)&amp;""),""))</f>
        <v/>
      </c>
      <c r="E77">
        <f>IF(E$2=0,"",IFERROR(TRIM(INDEX('Pegar calibracion'!$A$1:$BZ$1001,76,E$2)&amp;""),""))</f>
        <v/>
      </c>
      <c r="F77">
        <f>IF(F$2=0,"",IFERROR(TRIM(INDEX('Pegar calibracion'!$A$1:$BZ$1001,76,F$2)&amp;""),""))</f>
        <v/>
      </c>
      <c r="G77">
        <f>IF(G$2=0,"",IFERROR(TRIM(INDEX('Pegar calibracion'!$A$1:$BZ$1001,76,G$2)&amp;""),""))</f>
        <v/>
      </c>
      <c r="H77">
        <f>IF(H$2=0,"",IFERROR(TRIM(INDEX('Pegar calibracion'!$A$1:$BZ$1001,76,H$2)&amp;""),""))</f>
        <v/>
      </c>
      <c r="I77">
        <f>IF(I$2=0,"",IFERROR(TRIM(INDEX('Pegar calibracion'!$A$1:$BZ$1001,76,I$2)&amp;""),""))</f>
        <v/>
      </c>
      <c r="J77">
        <f>IF(J$2=0,"",IFERROR(TRIM(INDEX('Pegar calibracion'!$A$1:$BZ$1001,76,J$2)&amp;""),""))</f>
        <v/>
      </c>
      <c r="K77">
        <f>IF(K$2=0,"",IFERROR(TRIM(INDEX('Pegar calibracion'!$A$1:$BZ$1001,76,K$2)&amp;""),""))</f>
        <v/>
      </c>
      <c r="L77">
        <f>IF(L$2=0,"",IFERROR(TRIM(INDEX('Pegar calibracion'!$A$1:$BZ$1001,76,L$2)&amp;""),""))</f>
        <v/>
      </c>
      <c r="M77" s="25">
        <f>IF(D77="","",SUBSTITUTE(SUBSTITUTE(SUBSTITUTE(SUBSTITUTE(SUBSTITUTE(SUBSTITUTE(SUBSTITUTE(SUBSTITUTE(SUBSTITUTE(SUBSTITUTE(SUBSTITUTE(SUBSTITUTE(LOWER(TRIM(D77)),"á","a"),"é","e"),"í","i"),"ó","o"),"ú","u"),"ü","u"),"ñ","n"),"à","a"),"è","e"),"ì","i"),"ò","o"),"ù","u"))</f>
        <v/>
      </c>
      <c r="N77" s="25">
        <f>IF(F77="","",SUBSTITUTE(SUBSTITUTE(SUBSTITUTE(SUBSTITUTE(SUBSTITUTE(SUBSTITUTE(SUBSTITUTE(SUBSTITUTE(SUBSTITUTE(SUBSTITUTE(SUBSTITUTE(SUBSTITUTE(LOWER(TRIM(F77)),"á","a"),"é","e"),"í","i"),"ó","o"),"ú","u"),"ü","u"),"ñ","n"),"à","a"),"è","e"),"ì","i"),"ò","o"),"ù","u"))</f>
        <v/>
      </c>
      <c r="O77" s="25">
        <f>IF(M77="confiable",2,IF(M77="dudosa",1,IF(M77="no confiable",0,"")))</f>
        <v/>
      </c>
      <c r="P77" s="25">
        <f>IF(N77="confiable",2,IF(N77="dudosa",1,IF(N77="no confiable",0,"")))</f>
        <v/>
      </c>
      <c r="Q77" s="25">
        <f>IF(AND(ISNUMBER(O77),ISNUMBER(P77)),1,"")</f>
        <v/>
      </c>
      <c r="R77" s="25">
        <f>IF(Q77=1,IF(O77=P77,"Sí","No"),"")</f>
        <v/>
      </c>
      <c r="S77" s="25">
        <f>IF(Q77=1,IF(P77&lt;O77,"Más estricto",IF(P77&gt;O77,"Más permisivo","Igual")),"")</f>
        <v/>
      </c>
      <c r="T77" s="25">
        <f>IF(Q77=1,IF(ABS(O77-P77)=2,1,0),"")</f>
        <v/>
      </c>
      <c r="U77" s="25">
        <f>IF(H77="","","|"&amp;SUBSTITUTE(SUBSTITUTE(TRIM(H77)," |","|"),"| ","|")&amp;"|")</f>
        <v/>
      </c>
      <c r="V77" s="25">
        <f>IF(AND(Q77=1,B77&lt;&gt;""),IF(IFERROR(COUNTIFS(B$3:B77,"="&amp;SUBSTITUTE(SUBSTITUTE(SUBSTITUTE(B77,"~","~~"),"*","~*"),"?","~?"),Q$3:Q77,1),0)=1,MAX(V$2:V76)+1,""),"")</f>
        <v/>
      </c>
      <c r="W77" s="25">
        <f>IF(V77="","",COUNTIFS($B$3:$B$1002,"="&amp;SUBSTITUTE(SUBSTITUTE(SUBSTITUTE(B77,"~","~~"),"*","~*"),"?","~?"),$Q$3:$Q$1002,1)*10000-V77)</f>
        <v/>
      </c>
      <c r="X77" s="25">
        <f>IF(Q77=1,IF(SUBSTITUTE(SUBSTITUTE(SUBSTITUTE(SUBSTITUTE(SUBSTITUTE(SUBSTITUTE(SUBSTITUTE(SUBSTITUTE(SUBSTITUTE(SUBSTITUTE(SUBSTITUTE(SUBSTITUTE(LOWER(TRIM(A77)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77)),"á","a"),"é","e"),"í","i"),"ó","o"),"ú","u"),"ü","u"),"ñ","n"),"à","a"),"è","e"),"ì","i"),"ò","o"),"ù","u")),"")</f>
        <v/>
      </c>
      <c r="Y77" s="25">
        <f>IF(X77="","",IF(IFERROR(COUNTIF(X$3:X77,"="&amp;SUBSTITUTE(SUBSTITUTE(SUBSTITUTE(X77,"~","~~"),"*","~*"),"?","~?")),0)=1,1,""))</f>
        <v/>
      </c>
      <c r="Z77" s="25">
        <f>IF(T77=1,MAX(Z$2:Z76)+1,"")</f>
        <v/>
      </c>
    </row>
    <row r="78">
      <c r="A78">
        <f>IF(A$2=0,"",IFERROR(TRIM(INDEX('Pegar calibracion'!$A$1:$BZ$1001,77,A$2)&amp;""),""))</f>
        <v/>
      </c>
      <c r="B78">
        <f>IF(B$2=0,"",IFERROR(TRIM(INDEX('Pegar calibracion'!$A$1:$BZ$1001,77,B$2)&amp;""),""))</f>
        <v/>
      </c>
      <c r="C78">
        <f>IF(C$2=0,"",IFERROR(TRIM(INDEX('Pegar calibracion'!$A$1:$BZ$1001,77,C$2)&amp;""),""))</f>
        <v/>
      </c>
      <c r="D78">
        <f>IF(D$2=0,"",IFERROR(TRIM(INDEX('Pegar calibracion'!$A$1:$BZ$1001,77,D$2)&amp;""),""))</f>
        <v/>
      </c>
      <c r="E78">
        <f>IF(E$2=0,"",IFERROR(TRIM(INDEX('Pegar calibracion'!$A$1:$BZ$1001,77,E$2)&amp;""),""))</f>
        <v/>
      </c>
      <c r="F78">
        <f>IF(F$2=0,"",IFERROR(TRIM(INDEX('Pegar calibracion'!$A$1:$BZ$1001,77,F$2)&amp;""),""))</f>
        <v/>
      </c>
      <c r="G78">
        <f>IF(G$2=0,"",IFERROR(TRIM(INDEX('Pegar calibracion'!$A$1:$BZ$1001,77,G$2)&amp;""),""))</f>
        <v/>
      </c>
      <c r="H78">
        <f>IF(H$2=0,"",IFERROR(TRIM(INDEX('Pegar calibracion'!$A$1:$BZ$1001,77,H$2)&amp;""),""))</f>
        <v/>
      </c>
      <c r="I78">
        <f>IF(I$2=0,"",IFERROR(TRIM(INDEX('Pegar calibracion'!$A$1:$BZ$1001,77,I$2)&amp;""),""))</f>
        <v/>
      </c>
      <c r="J78">
        <f>IF(J$2=0,"",IFERROR(TRIM(INDEX('Pegar calibracion'!$A$1:$BZ$1001,77,J$2)&amp;""),""))</f>
        <v/>
      </c>
      <c r="K78">
        <f>IF(K$2=0,"",IFERROR(TRIM(INDEX('Pegar calibracion'!$A$1:$BZ$1001,77,K$2)&amp;""),""))</f>
        <v/>
      </c>
      <c r="L78">
        <f>IF(L$2=0,"",IFERROR(TRIM(INDEX('Pegar calibracion'!$A$1:$BZ$1001,77,L$2)&amp;""),""))</f>
        <v/>
      </c>
      <c r="M78" s="25">
        <f>IF(D78="","",SUBSTITUTE(SUBSTITUTE(SUBSTITUTE(SUBSTITUTE(SUBSTITUTE(SUBSTITUTE(SUBSTITUTE(SUBSTITUTE(SUBSTITUTE(SUBSTITUTE(SUBSTITUTE(SUBSTITUTE(LOWER(TRIM(D78)),"á","a"),"é","e"),"í","i"),"ó","o"),"ú","u"),"ü","u"),"ñ","n"),"à","a"),"è","e"),"ì","i"),"ò","o"),"ù","u"))</f>
        <v/>
      </c>
      <c r="N78" s="25">
        <f>IF(F78="","",SUBSTITUTE(SUBSTITUTE(SUBSTITUTE(SUBSTITUTE(SUBSTITUTE(SUBSTITUTE(SUBSTITUTE(SUBSTITUTE(SUBSTITUTE(SUBSTITUTE(SUBSTITUTE(SUBSTITUTE(LOWER(TRIM(F78)),"á","a"),"é","e"),"í","i"),"ó","o"),"ú","u"),"ü","u"),"ñ","n"),"à","a"),"è","e"),"ì","i"),"ò","o"),"ù","u"))</f>
        <v/>
      </c>
      <c r="O78" s="25">
        <f>IF(M78="confiable",2,IF(M78="dudosa",1,IF(M78="no confiable",0,"")))</f>
        <v/>
      </c>
      <c r="P78" s="25">
        <f>IF(N78="confiable",2,IF(N78="dudosa",1,IF(N78="no confiable",0,"")))</f>
        <v/>
      </c>
      <c r="Q78" s="25">
        <f>IF(AND(ISNUMBER(O78),ISNUMBER(P78)),1,"")</f>
        <v/>
      </c>
      <c r="R78" s="25">
        <f>IF(Q78=1,IF(O78=P78,"Sí","No"),"")</f>
        <v/>
      </c>
      <c r="S78" s="25">
        <f>IF(Q78=1,IF(P78&lt;O78,"Más estricto",IF(P78&gt;O78,"Más permisivo","Igual")),"")</f>
        <v/>
      </c>
      <c r="T78" s="25">
        <f>IF(Q78=1,IF(ABS(O78-P78)=2,1,0),"")</f>
        <v/>
      </c>
      <c r="U78" s="25">
        <f>IF(H78="","","|"&amp;SUBSTITUTE(SUBSTITUTE(TRIM(H78)," |","|"),"| ","|")&amp;"|")</f>
        <v/>
      </c>
      <c r="V78" s="25">
        <f>IF(AND(Q78=1,B78&lt;&gt;""),IF(IFERROR(COUNTIFS(B$3:B78,"="&amp;SUBSTITUTE(SUBSTITUTE(SUBSTITUTE(B78,"~","~~"),"*","~*"),"?","~?"),Q$3:Q78,1),0)=1,MAX(V$2:V77)+1,""),"")</f>
        <v/>
      </c>
      <c r="W78" s="25">
        <f>IF(V78="","",COUNTIFS($B$3:$B$1002,"="&amp;SUBSTITUTE(SUBSTITUTE(SUBSTITUTE(B78,"~","~~"),"*","~*"),"?","~?"),$Q$3:$Q$1002,1)*10000-V78)</f>
        <v/>
      </c>
      <c r="X78" s="25">
        <f>IF(Q78=1,IF(SUBSTITUTE(SUBSTITUTE(SUBSTITUTE(SUBSTITUTE(SUBSTITUTE(SUBSTITUTE(SUBSTITUTE(SUBSTITUTE(SUBSTITUTE(SUBSTITUTE(SUBSTITUTE(SUBSTITUTE(LOWER(TRIM(A78)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78)),"á","a"),"é","e"),"í","i"),"ó","o"),"ú","u"),"ü","u"),"ñ","n"),"à","a"),"è","e"),"ì","i"),"ò","o"),"ù","u")),"")</f>
        <v/>
      </c>
      <c r="Y78" s="25">
        <f>IF(X78="","",IF(IFERROR(COUNTIF(X$3:X78,"="&amp;SUBSTITUTE(SUBSTITUTE(SUBSTITUTE(X78,"~","~~"),"*","~*"),"?","~?")),0)=1,1,""))</f>
        <v/>
      </c>
      <c r="Z78" s="25">
        <f>IF(T78=1,MAX(Z$2:Z77)+1,"")</f>
        <v/>
      </c>
    </row>
    <row r="79">
      <c r="A79">
        <f>IF(A$2=0,"",IFERROR(TRIM(INDEX('Pegar calibracion'!$A$1:$BZ$1001,78,A$2)&amp;""),""))</f>
        <v/>
      </c>
      <c r="B79">
        <f>IF(B$2=0,"",IFERROR(TRIM(INDEX('Pegar calibracion'!$A$1:$BZ$1001,78,B$2)&amp;""),""))</f>
        <v/>
      </c>
      <c r="C79">
        <f>IF(C$2=0,"",IFERROR(TRIM(INDEX('Pegar calibracion'!$A$1:$BZ$1001,78,C$2)&amp;""),""))</f>
        <v/>
      </c>
      <c r="D79">
        <f>IF(D$2=0,"",IFERROR(TRIM(INDEX('Pegar calibracion'!$A$1:$BZ$1001,78,D$2)&amp;""),""))</f>
        <v/>
      </c>
      <c r="E79">
        <f>IF(E$2=0,"",IFERROR(TRIM(INDEX('Pegar calibracion'!$A$1:$BZ$1001,78,E$2)&amp;""),""))</f>
        <v/>
      </c>
      <c r="F79">
        <f>IF(F$2=0,"",IFERROR(TRIM(INDEX('Pegar calibracion'!$A$1:$BZ$1001,78,F$2)&amp;""),""))</f>
        <v/>
      </c>
      <c r="G79">
        <f>IF(G$2=0,"",IFERROR(TRIM(INDEX('Pegar calibracion'!$A$1:$BZ$1001,78,G$2)&amp;""),""))</f>
        <v/>
      </c>
      <c r="H79">
        <f>IF(H$2=0,"",IFERROR(TRIM(INDEX('Pegar calibracion'!$A$1:$BZ$1001,78,H$2)&amp;""),""))</f>
        <v/>
      </c>
      <c r="I79">
        <f>IF(I$2=0,"",IFERROR(TRIM(INDEX('Pegar calibracion'!$A$1:$BZ$1001,78,I$2)&amp;""),""))</f>
        <v/>
      </c>
      <c r="J79">
        <f>IF(J$2=0,"",IFERROR(TRIM(INDEX('Pegar calibracion'!$A$1:$BZ$1001,78,J$2)&amp;""),""))</f>
        <v/>
      </c>
      <c r="K79">
        <f>IF(K$2=0,"",IFERROR(TRIM(INDEX('Pegar calibracion'!$A$1:$BZ$1001,78,K$2)&amp;""),""))</f>
        <v/>
      </c>
      <c r="L79">
        <f>IF(L$2=0,"",IFERROR(TRIM(INDEX('Pegar calibracion'!$A$1:$BZ$1001,78,L$2)&amp;""),""))</f>
        <v/>
      </c>
      <c r="M79" s="25">
        <f>IF(D79="","",SUBSTITUTE(SUBSTITUTE(SUBSTITUTE(SUBSTITUTE(SUBSTITUTE(SUBSTITUTE(SUBSTITUTE(SUBSTITUTE(SUBSTITUTE(SUBSTITUTE(SUBSTITUTE(SUBSTITUTE(LOWER(TRIM(D79)),"á","a"),"é","e"),"í","i"),"ó","o"),"ú","u"),"ü","u"),"ñ","n"),"à","a"),"è","e"),"ì","i"),"ò","o"),"ù","u"))</f>
        <v/>
      </c>
      <c r="N79" s="25">
        <f>IF(F79="","",SUBSTITUTE(SUBSTITUTE(SUBSTITUTE(SUBSTITUTE(SUBSTITUTE(SUBSTITUTE(SUBSTITUTE(SUBSTITUTE(SUBSTITUTE(SUBSTITUTE(SUBSTITUTE(SUBSTITUTE(LOWER(TRIM(F79)),"á","a"),"é","e"),"í","i"),"ó","o"),"ú","u"),"ü","u"),"ñ","n"),"à","a"),"è","e"),"ì","i"),"ò","o"),"ù","u"))</f>
        <v/>
      </c>
      <c r="O79" s="25">
        <f>IF(M79="confiable",2,IF(M79="dudosa",1,IF(M79="no confiable",0,"")))</f>
        <v/>
      </c>
      <c r="P79" s="25">
        <f>IF(N79="confiable",2,IF(N79="dudosa",1,IF(N79="no confiable",0,"")))</f>
        <v/>
      </c>
      <c r="Q79" s="25">
        <f>IF(AND(ISNUMBER(O79),ISNUMBER(P79)),1,"")</f>
        <v/>
      </c>
      <c r="R79" s="25">
        <f>IF(Q79=1,IF(O79=P79,"Sí","No"),"")</f>
        <v/>
      </c>
      <c r="S79" s="25">
        <f>IF(Q79=1,IF(P79&lt;O79,"Más estricto",IF(P79&gt;O79,"Más permisivo","Igual")),"")</f>
        <v/>
      </c>
      <c r="T79" s="25">
        <f>IF(Q79=1,IF(ABS(O79-P79)=2,1,0),"")</f>
        <v/>
      </c>
      <c r="U79" s="25">
        <f>IF(H79="","","|"&amp;SUBSTITUTE(SUBSTITUTE(TRIM(H79)," |","|"),"| ","|")&amp;"|")</f>
        <v/>
      </c>
      <c r="V79" s="25">
        <f>IF(AND(Q79=1,B79&lt;&gt;""),IF(IFERROR(COUNTIFS(B$3:B79,"="&amp;SUBSTITUTE(SUBSTITUTE(SUBSTITUTE(B79,"~","~~"),"*","~*"),"?","~?"),Q$3:Q79,1),0)=1,MAX(V$2:V78)+1,""),"")</f>
        <v/>
      </c>
      <c r="W79" s="25">
        <f>IF(V79="","",COUNTIFS($B$3:$B$1002,"="&amp;SUBSTITUTE(SUBSTITUTE(SUBSTITUTE(B79,"~","~~"),"*","~*"),"?","~?"),$Q$3:$Q$1002,1)*10000-V79)</f>
        <v/>
      </c>
      <c r="X79" s="25">
        <f>IF(Q79=1,IF(SUBSTITUTE(SUBSTITUTE(SUBSTITUTE(SUBSTITUTE(SUBSTITUTE(SUBSTITUTE(SUBSTITUTE(SUBSTITUTE(SUBSTITUTE(SUBSTITUTE(SUBSTITUTE(SUBSTITUTE(LOWER(TRIM(A79)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79)),"á","a"),"é","e"),"í","i"),"ó","o"),"ú","u"),"ü","u"),"ñ","n"),"à","a"),"è","e"),"ì","i"),"ò","o"),"ù","u")),"")</f>
        <v/>
      </c>
      <c r="Y79" s="25">
        <f>IF(X79="","",IF(IFERROR(COUNTIF(X$3:X79,"="&amp;SUBSTITUTE(SUBSTITUTE(SUBSTITUTE(X79,"~","~~"),"*","~*"),"?","~?")),0)=1,1,""))</f>
        <v/>
      </c>
      <c r="Z79" s="25">
        <f>IF(T79=1,MAX(Z$2:Z78)+1,"")</f>
        <v/>
      </c>
    </row>
    <row r="80">
      <c r="A80">
        <f>IF(A$2=0,"",IFERROR(TRIM(INDEX('Pegar calibracion'!$A$1:$BZ$1001,79,A$2)&amp;""),""))</f>
        <v/>
      </c>
      <c r="B80">
        <f>IF(B$2=0,"",IFERROR(TRIM(INDEX('Pegar calibracion'!$A$1:$BZ$1001,79,B$2)&amp;""),""))</f>
        <v/>
      </c>
      <c r="C80">
        <f>IF(C$2=0,"",IFERROR(TRIM(INDEX('Pegar calibracion'!$A$1:$BZ$1001,79,C$2)&amp;""),""))</f>
        <v/>
      </c>
      <c r="D80">
        <f>IF(D$2=0,"",IFERROR(TRIM(INDEX('Pegar calibracion'!$A$1:$BZ$1001,79,D$2)&amp;""),""))</f>
        <v/>
      </c>
      <c r="E80">
        <f>IF(E$2=0,"",IFERROR(TRIM(INDEX('Pegar calibracion'!$A$1:$BZ$1001,79,E$2)&amp;""),""))</f>
        <v/>
      </c>
      <c r="F80">
        <f>IF(F$2=0,"",IFERROR(TRIM(INDEX('Pegar calibracion'!$A$1:$BZ$1001,79,F$2)&amp;""),""))</f>
        <v/>
      </c>
      <c r="G80">
        <f>IF(G$2=0,"",IFERROR(TRIM(INDEX('Pegar calibracion'!$A$1:$BZ$1001,79,G$2)&amp;""),""))</f>
        <v/>
      </c>
      <c r="H80">
        <f>IF(H$2=0,"",IFERROR(TRIM(INDEX('Pegar calibracion'!$A$1:$BZ$1001,79,H$2)&amp;""),""))</f>
        <v/>
      </c>
      <c r="I80">
        <f>IF(I$2=0,"",IFERROR(TRIM(INDEX('Pegar calibracion'!$A$1:$BZ$1001,79,I$2)&amp;""),""))</f>
        <v/>
      </c>
      <c r="J80">
        <f>IF(J$2=0,"",IFERROR(TRIM(INDEX('Pegar calibracion'!$A$1:$BZ$1001,79,J$2)&amp;""),""))</f>
        <v/>
      </c>
      <c r="K80">
        <f>IF(K$2=0,"",IFERROR(TRIM(INDEX('Pegar calibracion'!$A$1:$BZ$1001,79,K$2)&amp;""),""))</f>
        <v/>
      </c>
      <c r="L80">
        <f>IF(L$2=0,"",IFERROR(TRIM(INDEX('Pegar calibracion'!$A$1:$BZ$1001,79,L$2)&amp;""),""))</f>
        <v/>
      </c>
      <c r="M80" s="25">
        <f>IF(D80="","",SUBSTITUTE(SUBSTITUTE(SUBSTITUTE(SUBSTITUTE(SUBSTITUTE(SUBSTITUTE(SUBSTITUTE(SUBSTITUTE(SUBSTITUTE(SUBSTITUTE(SUBSTITUTE(SUBSTITUTE(LOWER(TRIM(D80)),"á","a"),"é","e"),"í","i"),"ó","o"),"ú","u"),"ü","u"),"ñ","n"),"à","a"),"è","e"),"ì","i"),"ò","o"),"ù","u"))</f>
        <v/>
      </c>
      <c r="N80" s="25">
        <f>IF(F80="","",SUBSTITUTE(SUBSTITUTE(SUBSTITUTE(SUBSTITUTE(SUBSTITUTE(SUBSTITUTE(SUBSTITUTE(SUBSTITUTE(SUBSTITUTE(SUBSTITUTE(SUBSTITUTE(SUBSTITUTE(LOWER(TRIM(F80)),"á","a"),"é","e"),"í","i"),"ó","o"),"ú","u"),"ü","u"),"ñ","n"),"à","a"),"è","e"),"ì","i"),"ò","o"),"ù","u"))</f>
        <v/>
      </c>
      <c r="O80" s="25">
        <f>IF(M80="confiable",2,IF(M80="dudosa",1,IF(M80="no confiable",0,"")))</f>
        <v/>
      </c>
      <c r="P80" s="25">
        <f>IF(N80="confiable",2,IF(N80="dudosa",1,IF(N80="no confiable",0,"")))</f>
        <v/>
      </c>
      <c r="Q80" s="25">
        <f>IF(AND(ISNUMBER(O80),ISNUMBER(P80)),1,"")</f>
        <v/>
      </c>
      <c r="R80" s="25">
        <f>IF(Q80=1,IF(O80=P80,"Sí","No"),"")</f>
        <v/>
      </c>
      <c r="S80" s="25">
        <f>IF(Q80=1,IF(P80&lt;O80,"Más estricto",IF(P80&gt;O80,"Más permisivo","Igual")),"")</f>
        <v/>
      </c>
      <c r="T80" s="25">
        <f>IF(Q80=1,IF(ABS(O80-P80)=2,1,0),"")</f>
        <v/>
      </c>
      <c r="U80" s="25">
        <f>IF(H80="","","|"&amp;SUBSTITUTE(SUBSTITUTE(TRIM(H80)," |","|"),"| ","|")&amp;"|")</f>
        <v/>
      </c>
      <c r="V80" s="25">
        <f>IF(AND(Q80=1,B80&lt;&gt;""),IF(IFERROR(COUNTIFS(B$3:B80,"="&amp;SUBSTITUTE(SUBSTITUTE(SUBSTITUTE(B80,"~","~~"),"*","~*"),"?","~?"),Q$3:Q80,1),0)=1,MAX(V$2:V79)+1,""),"")</f>
        <v/>
      </c>
      <c r="W80" s="25">
        <f>IF(V80="","",COUNTIFS($B$3:$B$1002,"="&amp;SUBSTITUTE(SUBSTITUTE(SUBSTITUTE(B80,"~","~~"),"*","~*"),"?","~?"),$Q$3:$Q$1002,1)*10000-V80)</f>
        <v/>
      </c>
      <c r="X80" s="25">
        <f>IF(Q80=1,IF(SUBSTITUTE(SUBSTITUTE(SUBSTITUTE(SUBSTITUTE(SUBSTITUTE(SUBSTITUTE(SUBSTITUTE(SUBSTITUTE(SUBSTITUTE(SUBSTITUTE(SUBSTITUTE(SUBSTITUTE(LOWER(TRIM(A80)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80)),"á","a"),"é","e"),"í","i"),"ó","o"),"ú","u"),"ü","u"),"ñ","n"),"à","a"),"è","e"),"ì","i"),"ò","o"),"ù","u")),"")</f>
        <v/>
      </c>
      <c r="Y80" s="25">
        <f>IF(X80="","",IF(IFERROR(COUNTIF(X$3:X80,"="&amp;SUBSTITUTE(SUBSTITUTE(SUBSTITUTE(X80,"~","~~"),"*","~*"),"?","~?")),0)=1,1,""))</f>
        <v/>
      </c>
      <c r="Z80" s="25">
        <f>IF(T80=1,MAX(Z$2:Z79)+1,"")</f>
        <v/>
      </c>
    </row>
    <row r="81">
      <c r="A81">
        <f>IF(A$2=0,"",IFERROR(TRIM(INDEX('Pegar calibracion'!$A$1:$BZ$1001,80,A$2)&amp;""),""))</f>
        <v/>
      </c>
      <c r="B81">
        <f>IF(B$2=0,"",IFERROR(TRIM(INDEX('Pegar calibracion'!$A$1:$BZ$1001,80,B$2)&amp;""),""))</f>
        <v/>
      </c>
      <c r="C81">
        <f>IF(C$2=0,"",IFERROR(TRIM(INDEX('Pegar calibracion'!$A$1:$BZ$1001,80,C$2)&amp;""),""))</f>
        <v/>
      </c>
      <c r="D81">
        <f>IF(D$2=0,"",IFERROR(TRIM(INDEX('Pegar calibracion'!$A$1:$BZ$1001,80,D$2)&amp;""),""))</f>
        <v/>
      </c>
      <c r="E81">
        <f>IF(E$2=0,"",IFERROR(TRIM(INDEX('Pegar calibracion'!$A$1:$BZ$1001,80,E$2)&amp;""),""))</f>
        <v/>
      </c>
      <c r="F81">
        <f>IF(F$2=0,"",IFERROR(TRIM(INDEX('Pegar calibracion'!$A$1:$BZ$1001,80,F$2)&amp;""),""))</f>
        <v/>
      </c>
      <c r="G81">
        <f>IF(G$2=0,"",IFERROR(TRIM(INDEX('Pegar calibracion'!$A$1:$BZ$1001,80,G$2)&amp;""),""))</f>
        <v/>
      </c>
      <c r="H81">
        <f>IF(H$2=0,"",IFERROR(TRIM(INDEX('Pegar calibracion'!$A$1:$BZ$1001,80,H$2)&amp;""),""))</f>
        <v/>
      </c>
      <c r="I81">
        <f>IF(I$2=0,"",IFERROR(TRIM(INDEX('Pegar calibracion'!$A$1:$BZ$1001,80,I$2)&amp;""),""))</f>
        <v/>
      </c>
      <c r="J81">
        <f>IF(J$2=0,"",IFERROR(TRIM(INDEX('Pegar calibracion'!$A$1:$BZ$1001,80,J$2)&amp;""),""))</f>
        <v/>
      </c>
      <c r="K81">
        <f>IF(K$2=0,"",IFERROR(TRIM(INDEX('Pegar calibracion'!$A$1:$BZ$1001,80,K$2)&amp;""),""))</f>
        <v/>
      </c>
      <c r="L81">
        <f>IF(L$2=0,"",IFERROR(TRIM(INDEX('Pegar calibracion'!$A$1:$BZ$1001,80,L$2)&amp;""),""))</f>
        <v/>
      </c>
      <c r="M81" s="25">
        <f>IF(D81="","",SUBSTITUTE(SUBSTITUTE(SUBSTITUTE(SUBSTITUTE(SUBSTITUTE(SUBSTITUTE(SUBSTITUTE(SUBSTITUTE(SUBSTITUTE(SUBSTITUTE(SUBSTITUTE(SUBSTITUTE(LOWER(TRIM(D81)),"á","a"),"é","e"),"í","i"),"ó","o"),"ú","u"),"ü","u"),"ñ","n"),"à","a"),"è","e"),"ì","i"),"ò","o"),"ù","u"))</f>
        <v/>
      </c>
      <c r="N81" s="25">
        <f>IF(F81="","",SUBSTITUTE(SUBSTITUTE(SUBSTITUTE(SUBSTITUTE(SUBSTITUTE(SUBSTITUTE(SUBSTITUTE(SUBSTITUTE(SUBSTITUTE(SUBSTITUTE(SUBSTITUTE(SUBSTITUTE(LOWER(TRIM(F81)),"á","a"),"é","e"),"í","i"),"ó","o"),"ú","u"),"ü","u"),"ñ","n"),"à","a"),"è","e"),"ì","i"),"ò","o"),"ù","u"))</f>
        <v/>
      </c>
      <c r="O81" s="25">
        <f>IF(M81="confiable",2,IF(M81="dudosa",1,IF(M81="no confiable",0,"")))</f>
        <v/>
      </c>
      <c r="P81" s="25">
        <f>IF(N81="confiable",2,IF(N81="dudosa",1,IF(N81="no confiable",0,"")))</f>
        <v/>
      </c>
      <c r="Q81" s="25">
        <f>IF(AND(ISNUMBER(O81),ISNUMBER(P81)),1,"")</f>
        <v/>
      </c>
      <c r="R81" s="25">
        <f>IF(Q81=1,IF(O81=P81,"Sí","No"),"")</f>
        <v/>
      </c>
      <c r="S81" s="25">
        <f>IF(Q81=1,IF(P81&lt;O81,"Más estricto",IF(P81&gt;O81,"Más permisivo","Igual")),"")</f>
        <v/>
      </c>
      <c r="T81" s="25">
        <f>IF(Q81=1,IF(ABS(O81-P81)=2,1,0),"")</f>
        <v/>
      </c>
      <c r="U81" s="25">
        <f>IF(H81="","","|"&amp;SUBSTITUTE(SUBSTITUTE(TRIM(H81)," |","|"),"| ","|")&amp;"|")</f>
        <v/>
      </c>
      <c r="V81" s="25">
        <f>IF(AND(Q81=1,B81&lt;&gt;""),IF(IFERROR(COUNTIFS(B$3:B81,"="&amp;SUBSTITUTE(SUBSTITUTE(SUBSTITUTE(B81,"~","~~"),"*","~*"),"?","~?"),Q$3:Q81,1),0)=1,MAX(V$2:V80)+1,""),"")</f>
        <v/>
      </c>
      <c r="W81" s="25">
        <f>IF(V81="","",COUNTIFS($B$3:$B$1002,"="&amp;SUBSTITUTE(SUBSTITUTE(SUBSTITUTE(B81,"~","~~"),"*","~*"),"?","~?"),$Q$3:$Q$1002,1)*10000-V81)</f>
        <v/>
      </c>
      <c r="X81" s="25">
        <f>IF(Q81=1,IF(SUBSTITUTE(SUBSTITUTE(SUBSTITUTE(SUBSTITUTE(SUBSTITUTE(SUBSTITUTE(SUBSTITUTE(SUBSTITUTE(SUBSTITUTE(SUBSTITUTE(SUBSTITUTE(SUBSTITUTE(LOWER(TRIM(A81)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81)),"á","a"),"é","e"),"í","i"),"ó","o"),"ú","u"),"ü","u"),"ñ","n"),"à","a"),"è","e"),"ì","i"),"ò","o"),"ù","u")),"")</f>
        <v/>
      </c>
      <c r="Y81" s="25">
        <f>IF(X81="","",IF(IFERROR(COUNTIF(X$3:X81,"="&amp;SUBSTITUTE(SUBSTITUTE(SUBSTITUTE(X81,"~","~~"),"*","~*"),"?","~?")),0)=1,1,""))</f>
        <v/>
      </c>
      <c r="Z81" s="25">
        <f>IF(T81=1,MAX(Z$2:Z80)+1,"")</f>
        <v/>
      </c>
    </row>
    <row r="82">
      <c r="A82">
        <f>IF(A$2=0,"",IFERROR(TRIM(INDEX('Pegar calibracion'!$A$1:$BZ$1001,81,A$2)&amp;""),""))</f>
        <v/>
      </c>
      <c r="B82">
        <f>IF(B$2=0,"",IFERROR(TRIM(INDEX('Pegar calibracion'!$A$1:$BZ$1001,81,B$2)&amp;""),""))</f>
        <v/>
      </c>
      <c r="C82">
        <f>IF(C$2=0,"",IFERROR(TRIM(INDEX('Pegar calibracion'!$A$1:$BZ$1001,81,C$2)&amp;""),""))</f>
        <v/>
      </c>
      <c r="D82">
        <f>IF(D$2=0,"",IFERROR(TRIM(INDEX('Pegar calibracion'!$A$1:$BZ$1001,81,D$2)&amp;""),""))</f>
        <v/>
      </c>
      <c r="E82">
        <f>IF(E$2=0,"",IFERROR(TRIM(INDEX('Pegar calibracion'!$A$1:$BZ$1001,81,E$2)&amp;""),""))</f>
        <v/>
      </c>
      <c r="F82">
        <f>IF(F$2=0,"",IFERROR(TRIM(INDEX('Pegar calibracion'!$A$1:$BZ$1001,81,F$2)&amp;""),""))</f>
        <v/>
      </c>
      <c r="G82">
        <f>IF(G$2=0,"",IFERROR(TRIM(INDEX('Pegar calibracion'!$A$1:$BZ$1001,81,G$2)&amp;""),""))</f>
        <v/>
      </c>
      <c r="H82">
        <f>IF(H$2=0,"",IFERROR(TRIM(INDEX('Pegar calibracion'!$A$1:$BZ$1001,81,H$2)&amp;""),""))</f>
        <v/>
      </c>
      <c r="I82">
        <f>IF(I$2=0,"",IFERROR(TRIM(INDEX('Pegar calibracion'!$A$1:$BZ$1001,81,I$2)&amp;""),""))</f>
        <v/>
      </c>
      <c r="J82">
        <f>IF(J$2=0,"",IFERROR(TRIM(INDEX('Pegar calibracion'!$A$1:$BZ$1001,81,J$2)&amp;""),""))</f>
        <v/>
      </c>
      <c r="K82">
        <f>IF(K$2=0,"",IFERROR(TRIM(INDEX('Pegar calibracion'!$A$1:$BZ$1001,81,K$2)&amp;""),""))</f>
        <v/>
      </c>
      <c r="L82">
        <f>IF(L$2=0,"",IFERROR(TRIM(INDEX('Pegar calibracion'!$A$1:$BZ$1001,81,L$2)&amp;""),""))</f>
        <v/>
      </c>
      <c r="M82" s="25">
        <f>IF(D82="","",SUBSTITUTE(SUBSTITUTE(SUBSTITUTE(SUBSTITUTE(SUBSTITUTE(SUBSTITUTE(SUBSTITUTE(SUBSTITUTE(SUBSTITUTE(SUBSTITUTE(SUBSTITUTE(SUBSTITUTE(LOWER(TRIM(D82)),"á","a"),"é","e"),"í","i"),"ó","o"),"ú","u"),"ü","u"),"ñ","n"),"à","a"),"è","e"),"ì","i"),"ò","o"),"ù","u"))</f>
        <v/>
      </c>
      <c r="N82" s="25">
        <f>IF(F82="","",SUBSTITUTE(SUBSTITUTE(SUBSTITUTE(SUBSTITUTE(SUBSTITUTE(SUBSTITUTE(SUBSTITUTE(SUBSTITUTE(SUBSTITUTE(SUBSTITUTE(SUBSTITUTE(SUBSTITUTE(LOWER(TRIM(F82)),"á","a"),"é","e"),"í","i"),"ó","o"),"ú","u"),"ü","u"),"ñ","n"),"à","a"),"è","e"),"ì","i"),"ò","o"),"ù","u"))</f>
        <v/>
      </c>
      <c r="O82" s="25">
        <f>IF(M82="confiable",2,IF(M82="dudosa",1,IF(M82="no confiable",0,"")))</f>
        <v/>
      </c>
      <c r="P82" s="25">
        <f>IF(N82="confiable",2,IF(N82="dudosa",1,IF(N82="no confiable",0,"")))</f>
        <v/>
      </c>
      <c r="Q82" s="25">
        <f>IF(AND(ISNUMBER(O82),ISNUMBER(P82)),1,"")</f>
        <v/>
      </c>
      <c r="R82" s="25">
        <f>IF(Q82=1,IF(O82=P82,"Sí","No"),"")</f>
        <v/>
      </c>
      <c r="S82" s="25">
        <f>IF(Q82=1,IF(P82&lt;O82,"Más estricto",IF(P82&gt;O82,"Más permisivo","Igual")),"")</f>
        <v/>
      </c>
      <c r="T82" s="25">
        <f>IF(Q82=1,IF(ABS(O82-P82)=2,1,0),"")</f>
        <v/>
      </c>
      <c r="U82" s="25">
        <f>IF(H82="","","|"&amp;SUBSTITUTE(SUBSTITUTE(TRIM(H82)," |","|"),"| ","|")&amp;"|")</f>
        <v/>
      </c>
      <c r="V82" s="25">
        <f>IF(AND(Q82=1,B82&lt;&gt;""),IF(IFERROR(COUNTIFS(B$3:B82,"="&amp;SUBSTITUTE(SUBSTITUTE(SUBSTITUTE(B82,"~","~~"),"*","~*"),"?","~?"),Q$3:Q82,1),0)=1,MAX(V$2:V81)+1,""),"")</f>
        <v/>
      </c>
      <c r="W82" s="25">
        <f>IF(V82="","",COUNTIFS($B$3:$B$1002,"="&amp;SUBSTITUTE(SUBSTITUTE(SUBSTITUTE(B82,"~","~~"),"*","~*"),"?","~?"),$Q$3:$Q$1002,1)*10000-V82)</f>
        <v/>
      </c>
      <c r="X82" s="25">
        <f>IF(Q82=1,IF(SUBSTITUTE(SUBSTITUTE(SUBSTITUTE(SUBSTITUTE(SUBSTITUTE(SUBSTITUTE(SUBSTITUTE(SUBSTITUTE(SUBSTITUTE(SUBSTITUTE(SUBSTITUTE(SUBSTITUTE(LOWER(TRIM(A82)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82)),"á","a"),"é","e"),"í","i"),"ó","o"),"ú","u"),"ü","u"),"ñ","n"),"à","a"),"è","e"),"ì","i"),"ò","o"),"ù","u")),"")</f>
        <v/>
      </c>
      <c r="Y82" s="25">
        <f>IF(X82="","",IF(IFERROR(COUNTIF(X$3:X82,"="&amp;SUBSTITUTE(SUBSTITUTE(SUBSTITUTE(X82,"~","~~"),"*","~*"),"?","~?")),0)=1,1,""))</f>
        <v/>
      </c>
      <c r="Z82" s="25">
        <f>IF(T82=1,MAX(Z$2:Z81)+1,"")</f>
        <v/>
      </c>
    </row>
    <row r="83">
      <c r="A83">
        <f>IF(A$2=0,"",IFERROR(TRIM(INDEX('Pegar calibracion'!$A$1:$BZ$1001,82,A$2)&amp;""),""))</f>
        <v/>
      </c>
      <c r="B83">
        <f>IF(B$2=0,"",IFERROR(TRIM(INDEX('Pegar calibracion'!$A$1:$BZ$1001,82,B$2)&amp;""),""))</f>
        <v/>
      </c>
      <c r="C83">
        <f>IF(C$2=0,"",IFERROR(TRIM(INDEX('Pegar calibracion'!$A$1:$BZ$1001,82,C$2)&amp;""),""))</f>
        <v/>
      </c>
      <c r="D83">
        <f>IF(D$2=0,"",IFERROR(TRIM(INDEX('Pegar calibracion'!$A$1:$BZ$1001,82,D$2)&amp;""),""))</f>
        <v/>
      </c>
      <c r="E83">
        <f>IF(E$2=0,"",IFERROR(TRIM(INDEX('Pegar calibracion'!$A$1:$BZ$1001,82,E$2)&amp;""),""))</f>
        <v/>
      </c>
      <c r="F83">
        <f>IF(F$2=0,"",IFERROR(TRIM(INDEX('Pegar calibracion'!$A$1:$BZ$1001,82,F$2)&amp;""),""))</f>
        <v/>
      </c>
      <c r="G83">
        <f>IF(G$2=0,"",IFERROR(TRIM(INDEX('Pegar calibracion'!$A$1:$BZ$1001,82,G$2)&amp;""),""))</f>
        <v/>
      </c>
      <c r="H83">
        <f>IF(H$2=0,"",IFERROR(TRIM(INDEX('Pegar calibracion'!$A$1:$BZ$1001,82,H$2)&amp;""),""))</f>
        <v/>
      </c>
      <c r="I83">
        <f>IF(I$2=0,"",IFERROR(TRIM(INDEX('Pegar calibracion'!$A$1:$BZ$1001,82,I$2)&amp;""),""))</f>
        <v/>
      </c>
      <c r="J83">
        <f>IF(J$2=0,"",IFERROR(TRIM(INDEX('Pegar calibracion'!$A$1:$BZ$1001,82,J$2)&amp;""),""))</f>
        <v/>
      </c>
      <c r="K83">
        <f>IF(K$2=0,"",IFERROR(TRIM(INDEX('Pegar calibracion'!$A$1:$BZ$1001,82,K$2)&amp;""),""))</f>
        <v/>
      </c>
      <c r="L83">
        <f>IF(L$2=0,"",IFERROR(TRIM(INDEX('Pegar calibracion'!$A$1:$BZ$1001,82,L$2)&amp;""),""))</f>
        <v/>
      </c>
      <c r="M83" s="25">
        <f>IF(D83="","",SUBSTITUTE(SUBSTITUTE(SUBSTITUTE(SUBSTITUTE(SUBSTITUTE(SUBSTITUTE(SUBSTITUTE(SUBSTITUTE(SUBSTITUTE(SUBSTITUTE(SUBSTITUTE(SUBSTITUTE(LOWER(TRIM(D83)),"á","a"),"é","e"),"í","i"),"ó","o"),"ú","u"),"ü","u"),"ñ","n"),"à","a"),"è","e"),"ì","i"),"ò","o"),"ù","u"))</f>
        <v/>
      </c>
      <c r="N83" s="25">
        <f>IF(F83="","",SUBSTITUTE(SUBSTITUTE(SUBSTITUTE(SUBSTITUTE(SUBSTITUTE(SUBSTITUTE(SUBSTITUTE(SUBSTITUTE(SUBSTITUTE(SUBSTITUTE(SUBSTITUTE(SUBSTITUTE(LOWER(TRIM(F83)),"á","a"),"é","e"),"í","i"),"ó","o"),"ú","u"),"ü","u"),"ñ","n"),"à","a"),"è","e"),"ì","i"),"ò","o"),"ù","u"))</f>
        <v/>
      </c>
      <c r="O83" s="25">
        <f>IF(M83="confiable",2,IF(M83="dudosa",1,IF(M83="no confiable",0,"")))</f>
        <v/>
      </c>
      <c r="P83" s="25">
        <f>IF(N83="confiable",2,IF(N83="dudosa",1,IF(N83="no confiable",0,"")))</f>
        <v/>
      </c>
      <c r="Q83" s="25">
        <f>IF(AND(ISNUMBER(O83),ISNUMBER(P83)),1,"")</f>
        <v/>
      </c>
      <c r="R83" s="25">
        <f>IF(Q83=1,IF(O83=P83,"Sí","No"),"")</f>
        <v/>
      </c>
      <c r="S83" s="25">
        <f>IF(Q83=1,IF(P83&lt;O83,"Más estricto",IF(P83&gt;O83,"Más permisivo","Igual")),"")</f>
        <v/>
      </c>
      <c r="T83" s="25">
        <f>IF(Q83=1,IF(ABS(O83-P83)=2,1,0),"")</f>
        <v/>
      </c>
      <c r="U83" s="25">
        <f>IF(H83="","","|"&amp;SUBSTITUTE(SUBSTITUTE(TRIM(H83)," |","|"),"| ","|")&amp;"|")</f>
        <v/>
      </c>
      <c r="V83" s="25">
        <f>IF(AND(Q83=1,B83&lt;&gt;""),IF(IFERROR(COUNTIFS(B$3:B83,"="&amp;SUBSTITUTE(SUBSTITUTE(SUBSTITUTE(B83,"~","~~"),"*","~*"),"?","~?"),Q$3:Q83,1),0)=1,MAX(V$2:V82)+1,""),"")</f>
        <v/>
      </c>
      <c r="W83" s="25">
        <f>IF(V83="","",COUNTIFS($B$3:$B$1002,"="&amp;SUBSTITUTE(SUBSTITUTE(SUBSTITUTE(B83,"~","~~"),"*","~*"),"?","~?"),$Q$3:$Q$1002,1)*10000-V83)</f>
        <v/>
      </c>
      <c r="X83" s="25">
        <f>IF(Q83=1,IF(SUBSTITUTE(SUBSTITUTE(SUBSTITUTE(SUBSTITUTE(SUBSTITUTE(SUBSTITUTE(SUBSTITUTE(SUBSTITUTE(SUBSTITUTE(SUBSTITUTE(SUBSTITUTE(SUBSTITUTE(LOWER(TRIM(A83)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83)),"á","a"),"é","e"),"í","i"),"ó","o"),"ú","u"),"ü","u"),"ñ","n"),"à","a"),"è","e"),"ì","i"),"ò","o"),"ù","u")),"")</f>
        <v/>
      </c>
      <c r="Y83" s="25">
        <f>IF(X83="","",IF(IFERROR(COUNTIF(X$3:X83,"="&amp;SUBSTITUTE(SUBSTITUTE(SUBSTITUTE(X83,"~","~~"),"*","~*"),"?","~?")),0)=1,1,""))</f>
        <v/>
      </c>
      <c r="Z83" s="25">
        <f>IF(T83=1,MAX(Z$2:Z82)+1,"")</f>
        <v/>
      </c>
    </row>
    <row r="84">
      <c r="A84">
        <f>IF(A$2=0,"",IFERROR(TRIM(INDEX('Pegar calibracion'!$A$1:$BZ$1001,83,A$2)&amp;""),""))</f>
        <v/>
      </c>
      <c r="B84">
        <f>IF(B$2=0,"",IFERROR(TRIM(INDEX('Pegar calibracion'!$A$1:$BZ$1001,83,B$2)&amp;""),""))</f>
        <v/>
      </c>
      <c r="C84">
        <f>IF(C$2=0,"",IFERROR(TRIM(INDEX('Pegar calibracion'!$A$1:$BZ$1001,83,C$2)&amp;""),""))</f>
        <v/>
      </c>
      <c r="D84">
        <f>IF(D$2=0,"",IFERROR(TRIM(INDEX('Pegar calibracion'!$A$1:$BZ$1001,83,D$2)&amp;""),""))</f>
        <v/>
      </c>
      <c r="E84">
        <f>IF(E$2=0,"",IFERROR(TRIM(INDEX('Pegar calibracion'!$A$1:$BZ$1001,83,E$2)&amp;""),""))</f>
        <v/>
      </c>
      <c r="F84">
        <f>IF(F$2=0,"",IFERROR(TRIM(INDEX('Pegar calibracion'!$A$1:$BZ$1001,83,F$2)&amp;""),""))</f>
        <v/>
      </c>
      <c r="G84">
        <f>IF(G$2=0,"",IFERROR(TRIM(INDEX('Pegar calibracion'!$A$1:$BZ$1001,83,G$2)&amp;""),""))</f>
        <v/>
      </c>
      <c r="H84">
        <f>IF(H$2=0,"",IFERROR(TRIM(INDEX('Pegar calibracion'!$A$1:$BZ$1001,83,H$2)&amp;""),""))</f>
        <v/>
      </c>
      <c r="I84">
        <f>IF(I$2=0,"",IFERROR(TRIM(INDEX('Pegar calibracion'!$A$1:$BZ$1001,83,I$2)&amp;""),""))</f>
        <v/>
      </c>
      <c r="J84">
        <f>IF(J$2=0,"",IFERROR(TRIM(INDEX('Pegar calibracion'!$A$1:$BZ$1001,83,J$2)&amp;""),""))</f>
        <v/>
      </c>
      <c r="K84">
        <f>IF(K$2=0,"",IFERROR(TRIM(INDEX('Pegar calibracion'!$A$1:$BZ$1001,83,K$2)&amp;""),""))</f>
        <v/>
      </c>
      <c r="L84">
        <f>IF(L$2=0,"",IFERROR(TRIM(INDEX('Pegar calibracion'!$A$1:$BZ$1001,83,L$2)&amp;""),""))</f>
        <v/>
      </c>
      <c r="M84" s="25">
        <f>IF(D84="","",SUBSTITUTE(SUBSTITUTE(SUBSTITUTE(SUBSTITUTE(SUBSTITUTE(SUBSTITUTE(SUBSTITUTE(SUBSTITUTE(SUBSTITUTE(SUBSTITUTE(SUBSTITUTE(SUBSTITUTE(LOWER(TRIM(D84)),"á","a"),"é","e"),"í","i"),"ó","o"),"ú","u"),"ü","u"),"ñ","n"),"à","a"),"è","e"),"ì","i"),"ò","o"),"ù","u"))</f>
        <v/>
      </c>
      <c r="N84" s="25">
        <f>IF(F84="","",SUBSTITUTE(SUBSTITUTE(SUBSTITUTE(SUBSTITUTE(SUBSTITUTE(SUBSTITUTE(SUBSTITUTE(SUBSTITUTE(SUBSTITUTE(SUBSTITUTE(SUBSTITUTE(SUBSTITUTE(LOWER(TRIM(F84)),"á","a"),"é","e"),"í","i"),"ó","o"),"ú","u"),"ü","u"),"ñ","n"),"à","a"),"è","e"),"ì","i"),"ò","o"),"ù","u"))</f>
        <v/>
      </c>
      <c r="O84" s="25">
        <f>IF(M84="confiable",2,IF(M84="dudosa",1,IF(M84="no confiable",0,"")))</f>
        <v/>
      </c>
      <c r="P84" s="25">
        <f>IF(N84="confiable",2,IF(N84="dudosa",1,IF(N84="no confiable",0,"")))</f>
        <v/>
      </c>
      <c r="Q84" s="25">
        <f>IF(AND(ISNUMBER(O84),ISNUMBER(P84)),1,"")</f>
        <v/>
      </c>
      <c r="R84" s="25">
        <f>IF(Q84=1,IF(O84=P84,"Sí","No"),"")</f>
        <v/>
      </c>
      <c r="S84" s="25">
        <f>IF(Q84=1,IF(P84&lt;O84,"Más estricto",IF(P84&gt;O84,"Más permisivo","Igual")),"")</f>
        <v/>
      </c>
      <c r="T84" s="25">
        <f>IF(Q84=1,IF(ABS(O84-P84)=2,1,0),"")</f>
        <v/>
      </c>
      <c r="U84" s="25">
        <f>IF(H84="","","|"&amp;SUBSTITUTE(SUBSTITUTE(TRIM(H84)," |","|"),"| ","|")&amp;"|")</f>
        <v/>
      </c>
      <c r="V84" s="25">
        <f>IF(AND(Q84=1,B84&lt;&gt;""),IF(IFERROR(COUNTIFS(B$3:B84,"="&amp;SUBSTITUTE(SUBSTITUTE(SUBSTITUTE(B84,"~","~~"),"*","~*"),"?","~?"),Q$3:Q84,1),0)=1,MAX(V$2:V83)+1,""),"")</f>
        <v/>
      </c>
      <c r="W84" s="25">
        <f>IF(V84="","",COUNTIFS($B$3:$B$1002,"="&amp;SUBSTITUTE(SUBSTITUTE(SUBSTITUTE(B84,"~","~~"),"*","~*"),"?","~?"),$Q$3:$Q$1002,1)*10000-V84)</f>
        <v/>
      </c>
      <c r="X84" s="25">
        <f>IF(Q84=1,IF(SUBSTITUTE(SUBSTITUTE(SUBSTITUTE(SUBSTITUTE(SUBSTITUTE(SUBSTITUTE(SUBSTITUTE(SUBSTITUTE(SUBSTITUTE(SUBSTITUTE(SUBSTITUTE(SUBSTITUTE(LOWER(TRIM(A84)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84)),"á","a"),"é","e"),"í","i"),"ó","o"),"ú","u"),"ü","u"),"ñ","n"),"à","a"),"è","e"),"ì","i"),"ò","o"),"ù","u")),"")</f>
        <v/>
      </c>
      <c r="Y84" s="25">
        <f>IF(X84="","",IF(IFERROR(COUNTIF(X$3:X84,"="&amp;SUBSTITUTE(SUBSTITUTE(SUBSTITUTE(X84,"~","~~"),"*","~*"),"?","~?")),0)=1,1,""))</f>
        <v/>
      </c>
      <c r="Z84" s="25">
        <f>IF(T84=1,MAX(Z$2:Z83)+1,"")</f>
        <v/>
      </c>
    </row>
    <row r="85">
      <c r="A85">
        <f>IF(A$2=0,"",IFERROR(TRIM(INDEX('Pegar calibracion'!$A$1:$BZ$1001,84,A$2)&amp;""),""))</f>
        <v/>
      </c>
      <c r="B85">
        <f>IF(B$2=0,"",IFERROR(TRIM(INDEX('Pegar calibracion'!$A$1:$BZ$1001,84,B$2)&amp;""),""))</f>
        <v/>
      </c>
      <c r="C85">
        <f>IF(C$2=0,"",IFERROR(TRIM(INDEX('Pegar calibracion'!$A$1:$BZ$1001,84,C$2)&amp;""),""))</f>
        <v/>
      </c>
      <c r="D85">
        <f>IF(D$2=0,"",IFERROR(TRIM(INDEX('Pegar calibracion'!$A$1:$BZ$1001,84,D$2)&amp;""),""))</f>
        <v/>
      </c>
      <c r="E85">
        <f>IF(E$2=0,"",IFERROR(TRIM(INDEX('Pegar calibracion'!$A$1:$BZ$1001,84,E$2)&amp;""),""))</f>
        <v/>
      </c>
      <c r="F85">
        <f>IF(F$2=0,"",IFERROR(TRIM(INDEX('Pegar calibracion'!$A$1:$BZ$1001,84,F$2)&amp;""),""))</f>
        <v/>
      </c>
      <c r="G85">
        <f>IF(G$2=0,"",IFERROR(TRIM(INDEX('Pegar calibracion'!$A$1:$BZ$1001,84,G$2)&amp;""),""))</f>
        <v/>
      </c>
      <c r="H85">
        <f>IF(H$2=0,"",IFERROR(TRIM(INDEX('Pegar calibracion'!$A$1:$BZ$1001,84,H$2)&amp;""),""))</f>
        <v/>
      </c>
      <c r="I85">
        <f>IF(I$2=0,"",IFERROR(TRIM(INDEX('Pegar calibracion'!$A$1:$BZ$1001,84,I$2)&amp;""),""))</f>
        <v/>
      </c>
      <c r="J85">
        <f>IF(J$2=0,"",IFERROR(TRIM(INDEX('Pegar calibracion'!$A$1:$BZ$1001,84,J$2)&amp;""),""))</f>
        <v/>
      </c>
      <c r="K85">
        <f>IF(K$2=0,"",IFERROR(TRIM(INDEX('Pegar calibracion'!$A$1:$BZ$1001,84,K$2)&amp;""),""))</f>
        <v/>
      </c>
      <c r="L85">
        <f>IF(L$2=0,"",IFERROR(TRIM(INDEX('Pegar calibracion'!$A$1:$BZ$1001,84,L$2)&amp;""),""))</f>
        <v/>
      </c>
      <c r="M85" s="25">
        <f>IF(D85="","",SUBSTITUTE(SUBSTITUTE(SUBSTITUTE(SUBSTITUTE(SUBSTITUTE(SUBSTITUTE(SUBSTITUTE(SUBSTITUTE(SUBSTITUTE(SUBSTITUTE(SUBSTITUTE(SUBSTITUTE(LOWER(TRIM(D85)),"á","a"),"é","e"),"í","i"),"ó","o"),"ú","u"),"ü","u"),"ñ","n"),"à","a"),"è","e"),"ì","i"),"ò","o"),"ù","u"))</f>
        <v/>
      </c>
      <c r="N85" s="25">
        <f>IF(F85="","",SUBSTITUTE(SUBSTITUTE(SUBSTITUTE(SUBSTITUTE(SUBSTITUTE(SUBSTITUTE(SUBSTITUTE(SUBSTITUTE(SUBSTITUTE(SUBSTITUTE(SUBSTITUTE(SUBSTITUTE(LOWER(TRIM(F85)),"á","a"),"é","e"),"í","i"),"ó","o"),"ú","u"),"ü","u"),"ñ","n"),"à","a"),"è","e"),"ì","i"),"ò","o"),"ù","u"))</f>
        <v/>
      </c>
      <c r="O85" s="25">
        <f>IF(M85="confiable",2,IF(M85="dudosa",1,IF(M85="no confiable",0,"")))</f>
        <v/>
      </c>
      <c r="P85" s="25">
        <f>IF(N85="confiable",2,IF(N85="dudosa",1,IF(N85="no confiable",0,"")))</f>
        <v/>
      </c>
      <c r="Q85" s="25">
        <f>IF(AND(ISNUMBER(O85),ISNUMBER(P85)),1,"")</f>
        <v/>
      </c>
      <c r="R85" s="25">
        <f>IF(Q85=1,IF(O85=P85,"Sí","No"),"")</f>
        <v/>
      </c>
      <c r="S85" s="25">
        <f>IF(Q85=1,IF(P85&lt;O85,"Más estricto",IF(P85&gt;O85,"Más permisivo","Igual")),"")</f>
        <v/>
      </c>
      <c r="T85" s="25">
        <f>IF(Q85=1,IF(ABS(O85-P85)=2,1,0),"")</f>
        <v/>
      </c>
      <c r="U85" s="25">
        <f>IF(H85="","","|"&amp;SUBSTITUTE(SUBSTITUTE(TRIM(H85)," |","|"),"| ","|")&amp;"|")</f>
        <v/>
      </c>
      <c r="V85" s="25">
        <f>IF(AND(Q85=1,B85&lt;&gt;""),IF(IFERROR(COUNTIFS(B$3:B85,"="&amp;SUBSTITUTE(SUBSTITUTE(SUBSTITUTE(B85,"~","~~"),"*","~*"),"?","~?"),Q$3:Q85,1),0)=1,MAX(V$2:V84)+1,""),"")</f>
        <v/>
      </c>
      <c r="W85" s="25">
        <f>IF(V85="","",COUNTIFS($B$3:$B$1002,"="&amp;SUBSTITUTE(SUBSTITUTE(SUBSTITUTE(B85,"~","~~"),"*","~*"),"?","~?"),$Q$3:$Q$1002,1)*10000-V85)</f>
        <v/>
      </c>
      <c r="X85" s="25">
        <f>IF(Q85=1,IF(SUBSTITUTE(SUBSTITUTE(SUBSTITUTE(SUBSTITUTE(SUBSTITUTE(SUBSTITUTE(SUBSTITUTE(SUBSTITUTE(SUBSTITUTE(SUBSTITUTE(SUBSTITUTE(SUBSTITUTE(LOWER(TRIM(A85)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85)),"á","a"),"é","e"),"í","i"),"ó","o"),"ú","u"),"ü","u"),"ñ","n"),"à","a"),"è","e"),"ì","i"),"ò","o"),"ù","u")),"")</f>
        <v/>
      </c>
      <c r="Y85" s="25">
        <f>IF(X85="","",IF(IFERROR(COUNTIF(X$3:X85,"="&amp;SUBSTITUTE(SUBSTITUTE(SUBSTITUTE(X85,"~","~~"),"*","~*"),"?","~?")),0)=1,1,""))</f>
        <v/>
      </c>
      <c r="Z85" s="25">
        <f>IF(T85=1,MAX(Z$2:Z84)+1,"")</f>
        <v/>
      </c>
    </row>
    <row r="86">
      <c r="A86">
        <f>IF(A$2=0,"",IFERROR(TRIM(INDEX('Pegar calibracion'!$A$1:$BZ$1001,85,A$2)&amp;""),""))</f>
        <v/>
      </c>
      <c r="B86">
        <f>IF(B$2=0,"",IFERROR(TRIM(INDEX('Pegar calibracion'!$A$1:$BZ$1001,85,B$2)&amp;""),""))</f>
        <v/>
      </c>
      <c r="C86">
        <f>IF(C$2=0,"",IFERROR(TRIM(INDEX('Pegar calibracion'!$A$1:$BZ$1001,85,C$2)&amp;""),""))</f>
        <v/>
      </c>
      <c r="D86">
        <f>IF(D$2=0,"",IFERROR(TRIM(INDEX('Pegar calibracion'!$A$1:$BZ$1001,85,D$2)&amp;""),""))</f>
        <v/>
      </c>
      <c r="E86">
        <f>IF(E$2=0,"",IFERROR(TRIM(INDEX('Pegar calibracion'!$A$1:$BZ$1001,85,E$2)&amp;""),""))</f>
        <v/>
      </c>
      <c r="F86">
        <f>IF(F$2=0,"",IFERROR(TRIM(INDEX('Pegar calibracion'!$A$1:$BZ$1001,85,F$2)&amp;""),""))</f>
        <v/>
      </c>
      <c r="G86">
        <f>IF(G$2=0,"",IFERROR(TRIM(INDEX('Pegar calibracion'!$A$1:$BZ$1001,85,G$2)&amp;""),""))</f>
        <v/>
      </c>
      <c r="H86">
        <f>IF(H$2=0,"",IFERROR(TRIM(INDEX('Pegar calibracion'!$A$1:$BZ$1001,85,H$2)&amp;""),""))</f>
        <v/>
      </c>
      <c r="I86">
        <f>IF(I$2=0,"",IFERROR(TRIM(INDEX('Pegar calibracion'!$A$1:$BZ$1001,85,I$2)&amp;""),""))</f>
        <v/>
      </c>
      <c r="J86">
        <f>IF(J$2=0,"",IFERROR(TRIM(INDEX('Pegar calibracion'!$A$1:$BZ$1001,85,J$2)&amp;""),""))</f>
        <v/>
      </c>
      <c r="K86">
        <f>IF(K$2=0,"",IFERROR(TRIM(INDEX('Pegar calibracion'!$A$1:$BZ$1001,85,K$2)&amp;""),""))</f>
        <v/>
      </c>
      <c r="L86">
        <f>IF(L$2=0,"",IFERROR(TRIM(INDEX('Pegar calibracion'!$A$1:$BZ$1001,85,L$2)&amp;""),""))</f>
        <v/>
      </c>
      <c r="M86" s="25">
        <f>IF(D86="","",SUBSTITUTE(SUBSTITUTE(SUBSTITUTE(SUBSTITUTE(SUBSTITUTE(SUBSTITUTE(SUBSTITUTE(SUBSTITUTE(SUBSTITUTE(SUBSTITUTE(SUBSTITUTE(SUBSTITUTE(LOWER(TRIM(D86)),"á","a"),"é","e"),"í","i"),"ó","o"),"ú","u"),"ü","u"),"ñ","n"),"à","a"),"è","e"),"ì","i"),"ò","o"),"ù","u"))</f>
        <v/>
      </c>
      <c r="N86" s="25">
        <f>IF(F86="","",SUBSTITUTE(SUBSTITUTE(SUBSTITUTE(SUBSTITUTE(SUBSTITUTE(SUBSTITUTE(SUBSTITUTE(SUBSTITUTE(SUBSTITUTE(SUBSTITUTE(SUBSTITUTE(SUBSTITUTE(LOWER(TRIM(F86)),"á","a"),"é","e"),"í","i"),"ó","o"),"ú","u"),"ü","u"),"ñ","n"),"à","a"),"è","e"),"ì","i"),"ò","o"),"ù","u"))</f>
        <v/>
      </c>
      <c r="O86" s="25">
        <f>IF(M86="confiable",2,IF(M86="dudosa",1,IF(M86="no confiable",0,"")))</f>
        <v/>
      </c>
      <c r="P86" s="25">
        <f>IF(N86="confiable",2,IF(N86="dudosa",1,IF(N86="no confiable",0,"")))</f>
        <v/>
      </c>
      <c r="Q86" s="25">
        <f>IF(AND(ISNUMBER(O86),ISNUMBER(P86)),1,"")</f>
        <v/>
      </c>
      <c r="R86" s="25">
        <f>IF(Q86=1,IF(O86=P86,"Sí","No"),"")</f>
        <v/>
      </c>
      <c r="S86" s="25">
        <f>IF(Q86=1,IF(P86&lt;O86,"Más estricto",IF(P86&gt;O86,"Más permisivo","Igual")),"")</f>
        <v/>
      </c>
      <c r="T86" s="25">
        <f>IF(Q86=1,IF(ABS(O86-P86)=2,1,0),"")</f>
        <v/>
      </c>
      <c r="U86" s="25">
        <f>IF(H86="","","|"&amp;SUBSTITUTE(SUBSTITUTE(TRIM(H86)," |","|"),"| ","|")&amp;"|")</f>
        <v/>
      </c>
      <c r="V86" s="25">
        <f>IF(AND(Q86=1,B86&lt;&gt;""),IF(IFERROR(COUNTIFS(B$3:B86,"="&amp;SUBSTITUTE(SUBSTITUTE(SUBSTITUTE(B86,"~","~~"),"*","~*"),"?","~?"),Q$3:Q86,1),0)=1,MAX(V$2:V85)+1,""),"")</f>
        <v/>
      </c>
      <c r="W86" s="25">
        <f>IF(V86="","",COUNTIFS($B$3:$B$1002,"="&amp;SUBSTITUTE(SUBSTITUTE(SUBSTITUTE(B86,"~","~~"),"*","~*"),"?","~?"),$Q$3:$Q$1002,1)*10000-V86)</f>
        <v/>
      </c>
      <c r="X86" s="25">
        <f>IF(Q86=1,IF(SUBSTITUTE(SUBSTITUTE(SUBSTITUTE(SUBSTITUTE(SUBSTITUTE(SUBSTITUTE(SUBSTITUTE(SUBSTITUTE(SUBSTITUTE(SUBSTITUTE(SUBSTITUTE(SUBSTITUTE(LOWER(TRIM(A86)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86)),"á","a"),"é","e"),"í","i"),"ó","o"),"ú","u"),"ü","u"),"ñ","n"),"à","a"),"è","e"),"ì","i"),"ò","o"),"ù","u")),"")</f>
        <v/>
      </c>
      <c r="Y86" s="25">
        <f>IF(X86="","",IF(IFERROR(COUNTIF(X$3:X86,"="&amp;SUBSTITUTE(SUBSTITUTE(SUBSTITUTE(X86,"~","~~"),"*","~*"),"?","~?")),0)=1,1,""))</f>
        <v/>
      </c>
      <c r="Z86" s="25">
        <f>IF(T86=1,MAX(Z$2:Z85)+1,"")</f>
        <v/>
      </c>
    </row>
    <row r="87">
      <c r="A87">
        <f>IF(A$2=0,"",IFERROR(TRIM(INDEX('Pegar calibracion'!$A$1:$BZ$1001,86,A$2)&amp;""),""))</f>
        <v/>
      </c>
      <c r="B87">
        <f>IF(B$2=0,"",IFERROR(TRIM(INDEX('Pegar calibracion'!$A$1:$BZ$1001,86,B$2)&amp;""),""))</f>
        <v/>
      </c>
      <c r="C87">
        <f>IF(C$2=0,"",IFERROR(TRIM(INDEX('Pegar calibracion'!$A$1:$BZ$1001,86,C$2)&amp;""),""))</f>
        <v/>
      </c>
      <c r="D87">
        <f>IF(D$2=0,"",IFERROR(TRIM(INDEX('Pegar calibracion'!$A$1:$BZ$1001,86,D$2)&amp;""),""))</f>
        <v/>
      </c>
      <c r="E87">
        <f>IF(E$2=0,"",IFERROR(TRIM(INDEX('Pegar calibracion'!$A$1:$BZ$1001,86,E$2)&amp;""),""))</f>
        <v/>
      </c>
      <c r="F87">
        <f>IF(F$2=0,"",IFERROR(TRIM(INDEX('Pegar calibracion'!$A$1:$BZ$1001,86,F$2)&amp;""),""))</f>
        <v/>
      </c>
      <c r="G87">
        <f>IF(G$2=0,"",IFERROR(TRIM(INDEX('Pegar calibracion'!$A$1:$BZ$1001,86,G$2)&amp;""),""))</f>
        <v/>
      </c>
      <c r="H87">
        <f>IF(H$2=0,"",IFERROR(TRIM(INDEX('Pegar calibracion'!$A$1:$BZ$1001,86,H$2)&amp;""),""))</f>
        <v/>
      </c>
      <c r="I87">
        <f>IF(I$2=0,"",IFERROR(TRIM(INDEX('Pegar calibracion'!$A$1:$BZ$1001,86,I$2)&amp;""),""))</f>
        <v/>
      </c>
      <c r="J87">
        <f>IF(J$2=0,"",IFERROR(TRIM(INDEX('Pegar calibracion'!$A$1:$BZ$1001,86,J$2)&amp;""),""))</f>
        <v/>
      </c>
      <c r="K87">
        <f>IF(K$2=0,"",IFERROR(TRIM(INDEX('Pegar calibracion'!$A$1:$BZ$1001,86,K$2)&amp;""),""))</f>
        <v/>
      </c>
      <c r="L87">
        <f>IF(L$2=0,"",IFERROR(TRIM(INDEX('Pegar calibracion'!$A$1:$BZ$1001,86,L$2)&amp;""),""))</f>
        <v/>
      </c>
      <c r="M87" s="25">
        <f>IF(D87="","",SUBSTITUTE(SUBSTITUTE(SUBSTITUTE(SUBSTITUTE(SUBSTITUTE(SUBSTITUTE(SUBSTITUTE(SUBSTITUTE(SUBSTITUTE(SUBSTITUTE(SUBSTITUTE(SUBSTITUTE(LOWER(TRIM(D87)),"á","a"),"é","e"),"í","i"),"ó","o"),"ú","u"),"ü","u"),"ñ","n"),"à","a"),"è","e"),"ì","i"),"ò","o"),"ù","u"))</f>
        <v/>
      </c>
      <c r="N87" s="25">
        <f>IF(F87="","",SUBSTITUTE(SUBSTITUTE(SUBSTITUTE(SUBSTITUTE(SUBSTITUTE(SUBSTITUTE(SUBSTITUTE(SUBSTITUTE(SUBSTITUTE(SUBSTITUTE(SUBSTITUTE(SUBSTITUTE(LOWER(TRIM(F87)),"á","a"),"é","e"),"í","i"),"ó","o"),"ú","u"),"ü","u"),"ñ","n"),"à","a"),"è","e"),"ì","i"),"ò","o"),"ù","u"))</f>
        <v/>
      </c>
      <c r="O87" s="25">
        <f>IF(M87="confiable",2,IF(M87="dudosa",1,IF(M87="no confiable",0,"")))</f>
        <v/>
      </c>
      <c r="P87" s="25">
        <f>IF(N87="confiable",2,IF(N87="dudosa",1,IF(N87="no confiable",0,"")))</f>
        <v/>
      </c>
      <c r="Q87" s="25">
        <f>IF(AND(ISNUMBER(O87),ISNUMBER(P87)),1,"")</f>
        <v/>
      </c>
      <c r="R87" s="25">
        <f>IF(Q87=1,IF(O87=P87,"Sí","No"),"")</f>
        <v/>
      </c>
      <c r="S87" s="25">
        <f>IF(Q87=1,IF(P87&lt;O87,"Más estricto",IF(P87&gt;O87,"Más permisivo","Igual")),"")</f>
        <v/>
      </c>
      <c r="T87" s="25">
        <f>IF(Q87=1,IF(ABS(O87-P87)=2,1,0),"")</f>
        <v/>
      </c>
      <c r="U87" s="25">
        <f>IF(H87="","","|"&amp;SUBSTITUTE(SUBSTITUTE(TRIM(H87)," |","|"),"| ","|")&amp;"|")</f>
        <v/>
      </c>
      <c r="V87" s="25">
        <f>IF(AND(Q87=1,B87&lt;&gt;""),IF(IFERROR(COUNTIFS(B$3:B87,"="&amp;SUBSTITUTE(SUBSTITUTE(SUBSTITUTE(B87,"~","~~"),"*","~*"),"?","~?"),Q$3:Q87,1),0)=1,MAX(V$2:V86)+1,""),"")</f>
        <v/>
      </c>
      <c r="W87" s="25">
        <f>IF(V87="","",COUNTIFS($B$3:$B$1002,"="&amp;SUBSTITUTE(SUBSTITUTE(SUBSTITUTE(B87,"~","~~"),"*","~*"),"?","~?"),$Q$3:$Q$1002,1)*10000-V87)</f>
        <v/>
      </c>
      <c r="X87" s="25">
        <f>IF(Q87=1,IF(SUBSTITUTE(SUBSTITUTE(SUBSTITUTE(SUBSTITUTE(SUBSTITUTE(SUBSTITUTE(SUBSTITUTE(SUBSTITUTE(SUBSTITUTE(SUBSTITUTE(SUBSTITUTE(SUBSTITUTE(LOWER(TRIM(A87)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87)),"á","a"),"é","e"),"í","i"),"ó","o"),"ú","u"),"ü","u"),"ñ","n"),"à","a"),"è","e"),"ì","i"),"ò","o"),"ù","u")),"")</f>
        <v/>
      </c>
      <c r="Y87" s="25">
        <f>IF(X87="","",IF(IFERROR(COUNTIF(X$3:X87,"="&amp;SUBSTITUTE(SUBSTITUTE(SUBSTITUTE(X87,"~","~~"),"*","~*"),"?","~?")),0)=1,1,""))</f>
        <v/>
      </c>
      <c r="Z87" s="25">
        <f>IF(T87=1,MAX(Z$2:Z86)+1,"")</f>
        <v/>
      </c>
    </row>
    <row r="88">
      <c r="A88">
        <f>IF(A$2=0,"",IFERROR(TRIM(INDEX('Pegar calibracion'!$A$1:$BZ$1001,87,A$2)&amp;""),""))</f>
        <v/>
      </c>
      <c r="B88">
        <f>IF(B$2=0,"",IFERROR(TRIM(INDEX('Pegar calibracion'!$A$1:$BZ$1001,87,B$2)&amp;""),""))</f>
        <v/>
      </c>
      <c r="C88">
        <f>IF(C$2=0,"",IFERROR(TRIM(INDEX('Pegar calibracion'!$A$1:$BZ$1001,87,C$2)&amp;""),""))</f>
        <v/>
      </c>
      <c r="D88">
        <f>IF(D$2=0,"",IFERROR(TRIM(INDEX('Pegar calibracion'!$A$1:$BZ$1001,87,D$2)&amp;""),""))</f>
        <v/>
      </c>
      <c r="E88">
        <f>IF(E$2=0,"",IFERROR(TRIM(INDEX('Pegar calibracion'!$A$1:$BZ$1001,87,E$2)&amp;""),""))</f>
        <v/>
      </c>
      <c r="F88">
        <f>IF(F$2=0,"",IFERROR(TRIM(INDEX('Pegar calibracion'!$A$1:$BZ$1001,87,F$2)&amp;""),""))</f>
        <v/>
      </c>
      <c r="G88">
        <f>IF(G$2=0,"",IFERROR(TRIM(INDEX('Pegar calibracion'!$A$1:$BZ$1001,87,G$2)&amp;""),""))</f>
        <v/>
      </c>
      <c r="H88">
        <f>IF(H$2=0,"",IFERROR(TRIM(INDEX('Pegar calibracion'!$A$1:$BZ$1001,87,H$2)&amp;""),""))</f>
        <v/>
      </c>
      <c r="I88">
        <f>IF(I$2=0,"",IFERROR(TRIM(INDEX('Pegar calibracion'!$A$1:$BZ$1001,87,I$2)&amp;""),""))</f>
        <v/>
      </c>
      <c r="J88">
        <f>IF(J$2=0,"",IFERROR(TRIM(INDEX('Pegar calibracion'!$A$1:$BZ$1001,87,J$2)&amp;""),""))</f>
        <v/>
      </c>
      <c r="K88">
        <f>IF(K$2=0,"",IFERROR(TRIM(INDEX('Pegar calibracion'!$A$1:$BZ$1001,87,K$2)&amp;""),""))</f>
        <v/>
      </c>
      <c r="L88">
        <f>IF(L$2=0,"",IFERROR(TRIM(INDEX('Pegar calibracion'!$A$1:$BZ$1001,87,L$2)&amp;""),""))</f>
        <v/>
      </c>
      <c r="M88" s="25">
        <f>IF(D88="","",SUBSTITUTE(SUBSTITUTE(SUBSTITUTE(SUBSTITUTE(SUBSTITUTE(SUBSTITUTE(SUBSTITUTE(SUBSTITUTE(SUBSTITUTE(SUBSTITUTE(SUBSTITUTE(SUBSTITUTE(LOWER(TRIM(D88)),"á","a"),"é","e"),"í","i"),"ó","o"),"ú","u"),"ü","u"),"ñ","n"),"à","a"),"è","e"),"ì","i"),"ò","o"),"ù","u"))</f>
        <v/>
      </c>
      <c r="N88" s="25">
        <f>IF(F88="","",SUBSTITUTE(SUBSTITUTE(SUBSTITUTE(SUBSTITUTE(SUBSTITUTE(SUBSTITUTE(SUBSTITUTE(SUBSTITUTE(SUBSTITUTE(SUBSTITUTE(SUBSTITUTE(SUBSTITUTE(LOWER(TRIM(F88)),"á","a"),"é","e"),"í","i"),"ó","o"),"ú","u"),"ü","u"),"ñ","n"),"à","a"),"è","e"),"ì","i"),"ò","o"),"ù","u"))</f>
        <v/>
      </c>
      <c r="O88" s="25">
        <f>IF(M88="confiable",2,IF(M88="dudosa",1,IF(M88="no confiable",0,"")))</f>
        <v/>
      </c>
      <c r="P88" s="25">
        <f>IF(N88="confiable",2,IF(N88="dudosa",1,IF(N88="no confiable",0,"")))</f>
        <v/>
      </c>
      <c r="Q88" s="25">
        <f>IF(AND(ISNUMBER(O88),ISNUMBER(P88)),1,"")</f>
        <v/>
      </c>
      <c r="R88" s="25">
        <f>IF(Q88=1,IF(O88=P88,"Sí","No"),"")</f>
        <v/>
      </c>
      <c r="S88" s="25">
        <f>IF(Q88=1,IF(P88&lt;O88,"Más estricto",IF(P88&gt;O88,"Más permisivo","Igual")),"")</f>
        <v/>
      </c>
      <c r="T88" s="25">
        <f>IF(Q88=1,IF(ABS(O88-P88)=2,1,0),"")</f>
        <v/>
      </c>
      <c r="U88" s="25">
        <f>IF(H88="","","|"&amp;SUBSTITUTE(SUBSTITUTE(TRIM(H88)," |","|"),"| ","|")&amp;"|")</f>
        <v/>
      </c>
      <c r="V88" s="25">
        <f>IF(AND(Q88=1,B88&lt;&gt;""),IF(IFERROR(COUNTIFS(B$3:B88,"="&amp;SUBSTITUTE(SUBSTITUTE(SUBSTITUTE(B88,"~","~~"),"*","~*"),"?","~?"),Q$3:Q88,1),0)=1,MAX(V$2:V87)+1,""),"")</f>
        <v/>
      </c>
      <c r="W88" s="25">
        <f>IF(V88="","",COUNTIFS($B$3:$B$1002,"="&amp;SUBSTITUTE(SUBSTITUTE(SUBSTITUTE(B88,"~","~~"),"*","~*"),"?","~?"),$Q$3:$Q$1002,1)*10000-V88)</f>
        <v/>
      </c>
      <c r="X88" s="25">
        <f>IF(Q88=1,IF(SUBSTITUTE(SUBSTITUTE(SUBSTITUTE(SUBSTITUTE(SUBSTITUTE(SUBSTITUTE(SUBSTITUTE(SUBSTITUTE(SUBSTITUTE(SUBSTITUTE(SUBSTITUTE(SUBSTITUTE(LOWER(TRIM(A88)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88)),"á","a"),"é","e"),"í","i"),"ó","o"),"ú","u"),"ü","u"),"ñ","n"),"à","a"),"è","e"),"ì","i"),"ò","o"),"ù","u")),"")</f>
        <v/>
      </c>
      <c r="Y88" s="25">
        <f>IF(X88="","",IF(IFERROR(COUNTIF(X$3:X88,"="&amp;SUBSTITUTE(SUBSTITUTE(SUBSTITUTE(X88,"~","~~"),"*","~*"),"?","~?")),0)=1,1,""))</f>
        <v/>
      </c>
      <c r="Z88" s="25">
        <f>IF(T88=1,MAX(Z$2:Z87)+1,"")</f>
        <v/>
      </c>
    </row>
    <row r="89">
      <c r="A89">
        <f>IF(A$2=0,"",IFERROR(TRIM(INDEX('Pegar calibracion'!$A$1:$BZ$1001,88,A$2)&amp;""),""))</f>
        <v/>
      </c>
      <c r="B89">
        <f>IF(B$2=0,"",IFERROR(TRIM(INDEX('Pegar calibracion'!$A$1:$BZ$1001,88,B$2)&amp;""),""))</f>
        <v/>
      </c>
      <c r="C89">
        <f>IF(C$2=0,"",IFERROR(TRIM(INDEX('Pegar calibracion'!$A$1:$BZ$1001,88,C$2)&amp;""),""))</f>
        <v/>
      </c>
      <c r="D89">
        <f>IF(D$2=0,"",IFERROR(TRIM(INDEX('Pegar calibracion'!$A$1:$BZ$1001,88,D$2)&amp;""),""))</f>
        <v/>
      </c>
      <c r="E89">
        <f>IF(E$2=0,"",IFERROR(TRIM(INDEX('Pegar calibracion'!$A$1:$BZ$1001,88,E$2)&amp;""),""))</f>
        <v/>
      </c>
      <c r="F89">
        <f>IF(F$2=0,"",IFERROR(TRIM(INDEX('Pegar calibracion'!$A$1:$BZ$1001,88,F$2)&amp;""),""))</f>
        <v/>
      </c>
      <c r="G89">
        <f>IF(G$2=0,"",IFERROR(TRIM(INDEX('Pegar calibracion'!$A$1:$BZ$1001,88,G$2)&amp;""),""))</f>
        <v/>
      </c>
      <c r="H89">
        <f>IF(H$2=0,"",IFERROR(TRIM(INDEX('Pegar calibracion'!$A$1:$BZ$1001,88,H$2)&amp;""),""))</f>
        <v/>
      </c>
      <c r="I89">
        <f>IF(I$2=0,"",IFERROR(TRIM(INDEX('Pegar calibracion'!$A$1:$BZ$1001,88,I$2)&amp;""),""))</f>
        <v/>
      </c>
      <c r="J89">
        <f>IF(J$2=0,"",IFERROR(TRIM(INDEX('Pegar calibracion'!$A$1:$BZ$1001,88,J$2)&amp;""),""))</f>
        <v/>
      </c>
      <c r="K89">
        <f>IF(K$2=0,"",IFERROR(TRIM(INDEX('Pegar calibracion'!$A$1:$BZ$1001,88,K$2)&amp;""),""))</f>
        <v/>
      </c>
      <c r="L89">
        <f>IF(L$2=0,"",IFERROR(TRIM(INDEX('Pegar calibracion'!$A$1:$BZ$1001,88,L$2)&amp;""),""))</f>
        <v/>
      </c>
      <c r="M89" s="25">
        <f>IF(D89="","",SUBSTITUTE(SUBSTITUTE(SUBSTITUTE(SUBSTITUTE(SUBSTITUTE(SUBSTITUTE(SUBSTITUTE(SUBSTITUTE(SUBSTITUTE(SUBSTITUTE(SUBSTITUTE(SUBSTITUTE(LOWER(TRIM(D89)),"á","a"),"é","e"),"í","i"),"ó","o"),"ú","u"),"ü","u"),"ñ","n"),"à","a"),"è","e"),"ì","i"),"ò","o"),"ù","u"))</f>
        <v/>
      </c>
      <c r="N89" s="25">
        <f>IF(F89="","",SUBSTITUTE(SUBSTITUTE(SUBSTITUTE(SUBSTITUTE(SUBSTITUTE(SUBSTITUTE(SUBSTITUTE(SUBSTITUTE(SUBSTITUTE(SUBSTITUTE(SUBSTITUTE(SUBSTITUTE(LOWER(TRIM(F89)),"á","a"),"é","e"),"í","i"),"ó","o"),"ú","u"),"ü","u"),"ñ","n"),"à","a"),"è","e"),"ì","i"),"ò","o"),"ù","u"))</f>
        <v/>
      </c>
      <c r="O89" s="25">
        <f>IF(M89="confiable",2,IF(M89="dudosa",1,IF(M89="no confiable",0,"")))</f>
        <v/>
      </c>
      <c r="P89" s="25">
        <f>IF(N89="confiable",2,IF(N89="dudosa",1,IF(N89="no confiable",0,"")))</f>
        <v/>
      </c>
      <c r="Q89" s="25">
        <f>IF(AND(ISNUMBER(O89),ISNUMBER(P89)),1,"")</f>
        <v/>
      </c>
      <c r="R89" s="25">
        <f>IF(Q89=1,IF(O89=P89,"Sí","No"),"")</f>
        <v/>
      </c>
      <c r="S89" s="25">
        <f>IF(Q89=1,IF(P89&lt;O89,"Más estricto",IF(P89&gt;O89,"Más permisivo","Igual")),"")</f>
        <v/>
      </c>
      <c r="T89" s="25">
        <f>IF(Q89=1,IF(ABS(O89-P89)=2,1,0),"")</f>
        <v/>
      </c>
      <c r="U89" s="25">
        <f>IF(H89="","","|"&amp;SUBSTITUTE(SUBSTITUTE(TRIM(H89)," |","|"),"| ","|")&amp;"|")</f>
        <v/>
      </c>
      <c r="V89" s="25">
        <f>IF(AND(Q89=1,B89&lt;&gt;""),IF(IFERROR(COUNTIFS(B$3:B89,"="&amp;SUBSTITUTE(SUBSTITUTE(SUBSTITUTE(B89,"~","~~"),"*","~*"),"?","~?"),Q$3:Q89,1),0)=1,MAX(V$2:V88)+1,""),"")</f>
        <v/>
      </c>
      <c r="W89" s="25">
        <f>IF(V89="","",COUNTIFS($B$3:$B$1002,"="&amp;SUBSTITUTE(SUBSTITUTE(SUBSTITUTE(B89,"~","~~"),"*","~*"),"?","~?"),$Q$3:$Q$1002,1)*10000-V89)</f>
        <v/>
      </c>
      <c r="X89" s="25">
        <f>IF(Q89=1,IF(SUBSTITUTE(SUBSTITUTE(SUBSTITUTE(SUBSTITUTE(SUBSTITUTE(SUBSTITUTE(SUBSTITUTE(SUBSTITUTE(SUBSTITUTE(SUBSTITUTE(SUBSTITUTE(SUBSTITUTE(LOWER(TRIM(A89)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89)),"á","a"),"é","e"),"í","i"),"ó","o"),"ú","u"),"ü","u"),"ñ","n"),"à","a"),"è","e"),"ì","i"),"ò","o"),"ù","u")),"")</f>
        <v/>
      </c>
      <c r="Y89" s="25">
        <f>IF(X89="","",IF(IFERROR(COUNTIF(X$3:X89,"="&amp;SUBSTITUTE(SUBSTITUTE(SUBSTITUTE(X89,"~","~~"),"*","~*"),"?","~?")),0)=1,1,""))</f>
        <v/>
      </c>
      <c r="Z89" s="25">
        <f>IF(T89=1,MAX(Z$2:Z88)+1,"")</f>
        <v/>
      </c>
    </row>
    <row r="90">
      <c r="A90">
        <f>IF(A$2=0,"",IFERROR(TRIM(INDEX('Pegar calibracion'!$A$1:$BZ$1001,89,A$2)&amp;""),""))</f>
        <v/>
      </c>
      <c r="B90">
        <f>IF(B$2=0,"",IFERROR(TRIM(INDEX('Pegar calibracion'!$A$1:$BZ$1001,89,B$2)&amp;""),""))</f>
        <v/>
      </c>
      <c r="C90">
        <f>IF(C$2=0,"",IFERROR(TRIM(INDEX('Pegar calibracion'!$A$1:$BZ$1001,89,C$2)&amp;""),""))</f>
        <v/>
      </c>
      <c r="D90">
        <f>IF(D$2=0,"",IFERROR(TRIM(INDEX('Pegar calibracion'!$A$1:$BZ$1001,89,D$2)&amp;""),""))</f>
        <v/>
      </c>
      <c r="E90">
        <f>IF(E$2=0,"",IFERROR(TRIM(INDEX('Pegar calibracion'!$A$1:$BZ$1001,89,E$2)&amp;""),""))</f>
        <v/>
      </c>
      <c r="F90">
        <f>IF(F$2=0,"",IFERROR(TRIM(INDEX('Pegar calibracion'!$A$1:$BZ$1001,89,F$2)&amp;""),""))</f>
        <v/>
      </c>
      <c r="G90">
        <f>IF(G$2=0,"",IFERROR(TRIM(INDEX('Pegar calibracion'!$A$1:$BZ$1001,89,G$2)&amp;""),""))</f>
        <v/>
      </c>
      <c r="H90">
        <f>IF(H$2=0,"",IFERROR(TRIM(INDEX('Pegar calibracion'!$A$1:$BZ$1001,89,H$2)&amp;""),""))</f>
        <v/>
      </c>
      <c r="I90">
        <f>IF(I$2=0,"",IFERROR(TRIM(INDEX('Pegar calibracion'!$A$1:$BZ$1001,89,I$2)&amp;""),""))</f>
        <v/>
      </c>
      <c r="J90">
        <f>IF(J$2=0,"",IFERROR(TRIM(INDEX('Pegar calibracion'!$A$1:$BZ$1001,89,J$2)&amp;""),""))</f>
        <v/>
      </c>
      <c r="K90">
        <f>IF(K$2=0,"",IFERROR(TRIM(INDEX('Pegar calibracion'!$A$1:$BZ$1001,89,K$2)&amp;""),""))</f>
        <v/>
      </c>
      <c r="L90">
        <f>IF(L$2=0,"",IFERROR(TRIM(INDEX('Pegar calibracion'!$A$1:$BZ$1001,89,L$2)&amp;""),""))</f>
        <v/>
      </c>
      <c r="M90" s="25">
        <f>IF(D90="","",SUBSTITUTE(SUBSTITUTE(SUBSTITUTE(SUBSTITUTE(SUBSTITUTE(SUBSTITUTE(SUBSTITUTE(SUBSTITUTE(SUBSTITUTE(SUBSTITUTE(SUBSTITUTE(SUBSTITUTE(LOWER(TRIM(D90)),"á","a"),"é","e"),"í","i"),"ó","o"),"ú","u"),"ü","u"),"ñ","n"),"à","a"),"è","e"),"ì","i"),"ò","o"),"ù","u"))</f>
        <v/>
      </c>
      <c r="N90" s="25">
        <f>IF(F90="","",SUBSTITUTE(SUBSTITUTE(SUBSTITUTE(SUBSTITUTE(SUBSTITUTE(SUBSTITUTE(SUBSTITUTE(SUBSTITUTE(SUBSTITUTE(SUBSTITUTE(SUBSTITUTE(SUBSTITUTE(LOWER(TRIM(F90)),"á","a"),"é","e"),"í","i"),"ó","o"),"ú","u"),"ü","u"),"ñ","n"),"à","a"),"è","e"),"ì","i"),"ò","o"),"ù","u"))</f>
        <v/>
      </c>
      <c r="O90" s="25">
        <f>IF(M90="confiable",2,IF(M90="dudosa",1,IF(M90="no confiable",0,"")))</f>
        <v/>
      </c>
      <c r="P90" s="25">
        <f>IF(N90="confiable",2,IF(N90="dudosa",1,IF(N90="no confiable",0,"")))</f>
        <v/>
      </c>
      <c r="Q90" s="25">
        <f>IF(AND(ISNUMBER(O90),ISNUMBER(P90)),1,"")</f>
        <v/>
      </c>
      <c r="R90" s="25">
        <f>IF(Q90=1,IF(O90=P90,"Sí","No"),"")</f>
        <v/>
      </c>
      <c r="S90" s="25">
        <f>IF(Q90=1,IF(P90&lt;O90,"Más estricto",IF(P90&gt;O90,"Más permisivo","Igual")),"")</f>
        <v/>
      </c>
      <c r="T90" s="25">
        <f>IF(Q90=1,IF(ABS(O90-P90)=2,1,0),"")</f>
        <v/>
      </c>
      <c r="U90" s="25">
        <f>IF(H90="","","|"&amp;SUBSTITUTE(SUBSTITUTE(TRIM(H90)," |","|"),"| ","|")&amp;"|")</f>
        <v/>
      </c>
      <c r="V90" s="25">
        <f>IF(AND(Q90=1,B90&lt;&gt;""),IF(IFERROR(COUNTIFS(B$3:B90,"="&amp;SUBSTITUTE(SUBSTITUTE(SUBSTITUTE(B90,"~","~~"),"*","~*"),"?","~?"),Q$3:Q90,1),0)=1,MAX(V$2:V89)+1,""),"")</f>
        <v/>
      </c>
      <c r="W90" s="25">
        <f>IF(V90="","",COUNTIFS($B$3:$B$1002,"="&amp;SUBSTITUTE(SUBSTITUTE(SUBSTITUTE(B90,"~","~~"),"*","~*"),"?","~?"),$Q$3:$Q$1002,1)*10000-V90)</f>
        <v/>
      </c>
      <c r="X90" s="25">
        <f>IF(Q90=1,IF(SUBSTITUTE(SUBSTITUTE(SUBSTITUTE(SUBSTITUTE(SUBSTITUTE(SUBSTITUTE(SUBSTITUTE(SUBSTITUTE(SUBSTITUTE(SUBSTITUTE(SUBSTITUTE(SUBSTITUTE(LOWER(TRIM(A90)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90)),"á","a"),"é","e"),"í","i"),"ó","o"),"ú","u"),"ü","u"),"ñ","n"),"à","a"),"è","e"),"ì","i"),"ò","o"),"ù","u")),"")</f>
        <v/>
      </c>
      <c r="Y90" s="25">
        <f>IF(X90="","",IF(IFERROR(COUNTIF(X$3:X90,"="&amp;SUBSTITUTE(SUBSTITUTE(SUBSTITUTE(X90,"~","~~"),"*","~*"),"?","~?")),0)=1,1,""))</f>
        <v/>
      </c>
      <c r="Z90" s="25">
        <f>IF(T90=1,MAX(Z$2:Z89)+1,"")</f>
        <v/>
      </c>
    </row>
    <row r="91">
      <c r="A91">
        <f>IF(A$2=0,"",IFERROR(TRIM(INDEX('Pegar calibracion'!$A$1:$BZ$1001,90,A$2)&amp;""),""))</f>
        <v/>
      </c>
      <c r="B91">
        <f>IF(B$2=0,"",IFERROR(TRIM(INDEX('Pegar calibracion'!$A$1:$BZ$1001,90,B$2)&amp;""),""))</f>
        <v/>
      </c>
      <c r="C91">
        <f>IF(C$2=0,"",IFERROR(TRIM(INDEX('Pegar calibracion'!$A$1:$BZ$1001,90,C$2)&amp;""),""))</f>
        <v/>
      </c>
      <c r="D91">
        <f>IF(D$2=0,"",IFERROR(TRIM(INDEX('Pegar calibracion'!$A$1:$BZ$1001,90,D$2)&amp;""),""))</f>
        <v/>
      </c>
      <c r="E91">
        <f>IF(E$2=0,"",IFERROR(TRIM(INDEX('Pegar calibracion'!$A$1:$BZ$1001,90,E$2)&amp;""),""))</f>
        <v/>
      </c>
      <c r="F91">
        <f>IF(F$2=0,"",IFERROR(TRIM(INDEX('Pegar calibracion'!$A$1:$BZ$1001,90,F$2)&amp;""),""))</f>
        <v/>
      </c>
      <c r="G91">
        <f>IF(G$2=0,"",IFERROR(TRIM(INDEX('Pegar calibracion'!$A$1:$BZ$1001,90,G$2)&amp;""),""))</f>
        <v/>
      </c>
      <c r="H91">
        <f>IF(H$2=0,"",IFERROR(TRIM(INDEX('Pegar calibracion'!$A$1:$BZ$1001,90,H$2)&amp;""),""))</f>
        <v/>
      </c>
      <c r="I91">
        <f>IF(I$2=0,"",IFERROR(TRIM(INDEX('Pegar calibracion'!$A$1:$BZ$1001,90,I$2)&amp;""),""))</f>
        <v/>
      </c>
      <c r="J91">
        <f>IF(J$2=0,"",IFERROR(TRIM(INDEX('Pegar calibracion'!$A$1:$BZ$1001,90,J$2)&amp;""),""))</f>
        <v/>
      </c>
      <c r="K91">
        <f>IF(K$2=0,"",IFERROR(TRIM(INDEX('Pegar calibracion'!$A$1:$BZ$1001,90,K$2)&amp;""),""))</f>
        <v/>
      </c>
      <c r="L91">
        <f>IF(L$2=0,"",IFERROR(TRIM(INDEX('Pegar calibracion'!$A$1:$BZ$1001,90,L$2)&amp;""),""))</f>
        <v/>
      </c>
      <c r="M91" s="25">
        <f>IF(D91="","",SUBSTITUTE(SUBSTITUTE(SUBSTITUTE(SUBSTITUTE(SUBSTITUTE(SUBSTITUTE(SUBSTITUTE(SUBSTITUTE(SUBSTITUTE(SUBSTITUTE(SUBSTITUTE(SUBSTITUTE(LOWER(TRIM(D91)),"á","a"),"é","e"),"í","i"),"ó","o"),"ú","u"),"ü","u"),"ñ","n"),"à","a"),"è","e"),"ì","i"),"ò","o"),"ù","u"))</f>
        <v/>
      </c>
      <c r="N91" s="25">
        <f>IF(F91="","",SUBSTITUTE(SUBSTITUTE(SUBSTITUTE(SUBSTITUTE(SUBSTITUTE(SUBSTITUTE(SUBSTITUTE(SUBSTITUTE(SUBSTITUTE(SUBSTITUTE(SUBSTITUTE(SUBSTITUTE(LOWER(TRIM(F91)),"á","a"),"é","e"),"í","i"),"ó","o"),"ú","u"),"ü","u"),"ñ","n"),"à","a"),"è","e"),"ì","i"),"ò","o"),"ù","u"))</f>
        <v/>
      </c>
      <c r="O91" s="25">
        <f>IF(M91="confiable",2,IF(M91="dudosa",1,IF(M91="no confiable",0,"")))</f>
        <v/>
      </c>
      <c r="P91" s="25">
        <f>IF(N91="confiable",2,IF(N91="dudosa",1,IF(N91="no confiable",0,"")))</f>
        <v/>
      </c>
      <c r="Q91" s="25">
        <f>IF(AND(ISNUMBER(O91),ISNUMBER(P91)),1,"")</f>
        <v/>
      </c>
      <c r="R91" s="25">
        <f>IF(Q91=1,IF(O91=P91,"Sí","No"),"")</f>
        <v/>
      </c>
      <c r="S91" s="25">
        <f>IF(Q91=1,IF(P91&lt;O91,"Más estricto",IF(P91&gt;O91,"Más permisivo","Igual")),"")</f>
        <v/>
      </c>
      <c r="T91" s="25">
        <f>IF(Q91=1,IF(ABS(O91-P91)=2,1,0),"")</f>
        <v/>
      </c>
      <c r="U91" s="25">
        <f>IF(H91="","","|"&amp;SUBSTITUTE(SUBSTITUTE(TRIM(H91)," |","|"),"| ","|")&amp;"|")</f>
        <v/>
      </c>
      <c r="V91" s="25">
        <f>IF(AND(Q91=1,B91&lt;&gt;""),IF(IFERROR(COUNTIFS(B$3:B91,"="&amp;SUBSTITUTE(SUBSTITUTE(SUBSTITUTE(B91,"~","~~"),"*","~*"),"?","~?"),Q$3:Q91,1),0)=1,MAX(V$2:V90)+1,""),"")</f>
        <v/>
      </c>
      <c r="W91" s="25">
        <f>IF(V91="","",COUNTIFS($B$3:$B$1002,"="&amp;SUBSTITUTE(SUBSTITUTE(SUBSTITUTE(B91,"~","~~"),"*","~*"),"?","~?"),$Q$3:$Q$1002,1)*10000-V91)</f>
        <v/>
      </c>
      <c r="X91" s="25">
        <f>IF(Q91=1,IF(SUBSTITUTE(SUBSTITUTE(SUBSTITUTE(SUBSTITUTE(SUBSTITUTE(SUBSTITUTE(SUBSTITUTE(SUBSTITUTE(SUBSTITUTE(SUBSTITUTE(SUBSTITUTE(SUBSTITUTE(LOWER(TRIM(A91)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91)),"á","a"),"é","e"),"í","i"),"ó","o"),"ú","u"),"ü","u"),"ñ","n"),"à","a"),"è","e"),"ì","i"),"ò","o"),"ù","u")),"")</f>
        <v/>
      </c>
      <c r="Y91" s="25">
        <f>IF(X91="","",IF(IFERROR(COUNTIF(X$3:X91,"="&amp;SUBSTITUTE(SUBSTITUTE(SUBSTITUTE(X91,"~","~~"),"*","~*"),"?","~?")),0)=1,1,""))</f>
        <v/>
      </c>
      <c r="Z91" s="25">
        <f>IF(T91=1,MAX(Z$2:Z90)+1,"")</f>
        <v/>
      </c>
    </row>
    <row r="92">
      <c r="A92">
        <f>IF(A$2=0,"",IFERROR(TRIM(INDEX('Pegar calibracion'!$A$1:$BZ$1001,91,A$2)&amp;""),""))</f>
        <v/>
      </c>
      <c r="B92">
        <f>IF(B$2=0,"",IFERROR(TRIM(INDEX('Pegar calibracion'!$A$1:$BZ$1001,91,B$2)&amp;""),""))</f>
        <v/>
      </c>
      <c r="C92">
        <f>IF(C$2=0,"",IFERROR(TRIM(INDEX('Pegar calibracion'!$A$1:$BZ$1001,91,C$2)&amp;""),""))</f>
        <v/>
      </c>
      <c r="D92">
        <f>IF(D$2=0,"",IFERROR(TRIM(INDEX('Pegar calibracion'!$A$1:$BZ$1001,91,D$2)&amp;""),""))</f>
        <v/>
      </c>
      <c r="E92">
        <f>IF(E$2=0,"",IFERROR(TRIM(INDEX('Pegar calibracion'!$A$1:$BZ$1001,91,E$2)&amp;""),""))</f>
        <v/>
      </c>
      <c r="F92">
        <f>IF(F$2=0,"",IFERROR(TRIM(INDEX('Pegar calibracion'!$A$1:$BZ$1001,91,F$2)&amp;""),""))</f>
        <v/>
      </c>
      <c r="G92">
        <f>IF(G$2=0,"",IFERROR(TRIM(INDEX('Pegar calibracion'!$A$1:$BZ$1001,91,G$2)&amp;""),""))</f>
        <v/>
      </c>
      <c r="H92">
        <f>IF(H$2=0,"",IFERROR(TRIM(INDEX('Pegar calibracion'!$A$1:$BZ$1001,91,H$2)&amp;""),""))</f>
        <v/>
      </c>
      <c r="I92">
        <f>IF(I$2=0,"",IFERROR(TRIM(INDEX('Pegar calibracion'!$A$1:$BZ$1001,91,I$2)&amp;""),""))</f>
        <v/>
      </c>
      <c r="J92">
        <f>IF(J$2=0,"",IFERROR(TRIM(INDEX('Pegar calibracion'!$A$1:$BZ$1001,91,J$2)&amp;""),""))</f>
        <v/>
      </c>
      <c r="K92">
        <f>IF(K$2=0,"",IFERROR(TRIM(INDEX('Pegar calibracion'!$A$1:$BZ$1001,91,K$2)&amp;""),""))</f>
        <v/>
      </c>
      <c r="L92">
        <f>IF(L$2=0,"",IFERROR(TRIM(INDEX('Pegar calibracion'!$A$1:$BZ$1001,91,L$2)&amp;""),""))</f>
        <v/>
      </c>
      <c r="M92" s="25">
        <f>IF(D92="","",SUBSTITUTE(SUBSTITUTE(SUBSTITUTE(SUBSTITUTE(SUBSTITUTE(SUBSTITUTE(SUBSTITUTE(SUBSTITUTE(SUBSTITUTE(SUBSTITUTE(SUBSTITUTE(SUBSTITUTE(LOWER(TRIM(D92)),"á","a"),"é","e"),"í","i"),"ó","o"),"ú","u"),"ü","u"),"ñ","n"),"à","a"),"è","e"),"ì","i"),"ò","o"),"ù","u"))</f>
        <v/>
      </c>
      <c r="N92" s="25">
        <f>IF(F92="","",SUBSTITUTE(SUBSTITUTE(SUBSTITUTE(SUBSTITUTE(SUBSTITUTE(SUBSTITUTE(SUBSTITUTE(SUBSTITUTE(SUBSTITUTE(SUBSTITUTE(SUBSTITUTE(SUBSTITUTE(LOWER(TRIM(F92)),"á","a"),"é","e"),"í","i"),"ó","o"),"ú","u"),"ü","u"),"ñ","n"),"à","a"),"è","e"),"ì","i"),"ò","o"),"ù","u"))</f>
        <v/>
      </c>
      <c r="O92" s="25">
        <f>IF(M92="confiable",2,IF(M92="dudosa",1,IF(M92="no confiable",0,"")))</f>
        <v/>
      </c>
      <c r="P92" s="25">
        <f>IF(N92="confiable",2,IF(N92="dudosa",1,IF(N92="no confiable",0,"")))</f>
        <v/>
      </c>
      <c r="Q92" s="25">
        <f>IF(AND(ISNUMBER(O92),ISNUMBER(P92)),1,"")</f>
        <v/>
      </c>
      <c r="R92" s="25">
        <f>IF(Q92=1,IF(O92=P92,"Sí","No"),"")</f>
        <v/>
      </c>
      <c r="S92" s="25">
        <f>IF(Q92=1,IF(P92&lt;O92,"Más estricto",IF(P92&gt;O92,"Más permisivo","Igual")),"")</f>
        <v/>
      </c>
      <c r="T92" s="25">
        <f>IF(Q92=1,IF(ABS(O92-P92)=2,1,0),"")</f>
        <v/>
      </c>
      <c r="U92" s="25">
        <f>IF(H92="","","|"&amp;SUBSTITUTE(SUBSTITUTE(TRIM(H92)," |","|"),"| ","|")&amp;"|")</f>
        <v/>
      </c>
      <c r="V92" s="25">
        <f>IF(AND(Q92=1,B92&lt;&gt;""),IF(IFERROR(COUNTIFS(B$3:B92,"="&amp;SUBSTITUTE(SUBSTITUTE(SUBSTITUTE(B92,"~","~~"),"*","~*"),"?","~?"),Q$3:Q92,1),0)=1,MAX(V$2:V91)+1,""),"")</f>
        <v/>
      </c>
      <c r="W92" s="25">
        <f>IF(V92="","",COUNTIFS($B$3:$B$1002,"="&amp;SUBSTITUTE(SUBSTITUTE(SUBSTITUTE(B92,"~","~~"),"*","~*"),"?","~?"),$Q$3:$Q$1002,1)*10000-V92)</f>
        <v/>
      </c>
      <c r="X92" s="25">
        <f>IF(Q92=1,IF(SUBSTITUTE(SUBSTITUTE(SUBSTITUTE(SUBSTITUTE(SUBSTITUTE(SUBSTITUTE(SUBSTITUTE(SUBSTITUTE(SUBSTITUTE(SUBSTITUTE(SUBSTITUTE(SUBSTITUTE(LOWER(TRIM(A92)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92)),"á","a"),"é","e"),"í","i"),"ó","o"),"ú","u"),"ü","u"),"ñ","n"),"à","a"),"è","e"),"ì","i"),"ò","o"),"ù","u")),"")</f>
        <v/>
      </c>
      <c r="Y92" s="25">
        <f>IF(X92="","",IF(IFERROR(COUNTIF(X$3:X92,"="&amp;SUBSTITUTE(SUBSTITUTE(SUBSTITUTE(X92,"~","~~"),"*","~*"),"?","~?")),0)=1,1,""))</f>
        <v/>
      </c>
      <c r="Z92" s="25">
        <f>IF(T92=1,MAX(Z$2:Z91)+1,"")</f>
        <v/>
      </c>
    </row>
    <row r="93">
      <c r="A93">
        <f>IF(A$2=0,"",IFERROR(TRIM(INDEX('Pegar calibracion'!$A$1:$BZ$1001,92,A$2)&amp;""),""))</f>
        <v/>
      </c>
      <c r="B93">
        <f>IF(B$2=0,"",IFERROR(TRIM(INDEX('Pegar calibracion'!$A$1:$BZ$1001,92,B$2)&amp;""),""))</f>
        <v/>
      </c>
      <c r="C93">
        <f>IF(C$2=0,"",IFERROR(TRIM(INDEX('Pegar calibracion'!$A$1:$BZ$1001,92,C$2)&amp;""),""))</f>
        <v/>
      </c>
      <c r="D93">
        <f>IF(D$2=0,"",IFERROR(TRIM(INDEX('Pegar calibracion'!$A$1:$BZ$1001,92,D$2)&amp;""),""))</f>
        <v/>
      </c>
      <c r="E93">
        <f>IF(E$2=0,"",IFERROR(TRIM(INDEX('Pegar calibracion'!$A$1:$BZ$1001,92,E$2)&amp;""),""))</f>
        <v/>
      </c>
      <c r="F93">
        <f>IF(F$2=0,"",IFERROR(TRIM(INDEX('Pegar calibracion'!$A$1:$BZ$1001,92,F$2)&amp;""),""))</f>
        <v/>
      </c>
      <c r="G93">
        <f>IF(G$2=0,"",IFERROR(TRIM(INDEX('Pegar calibracion'!$A$1:$BZ$1001,92,G$2)&amp;""),""))</f>
        <v/>
      </c>
      <c r="H93">
        <f>IF(H$2=0,"",IFERROR(TRIM(INDEX('Pegar calibracion'!$A$1:$BZ$1001,92,H$2)&amp;""),""))</f>
        <v/>
      </c>
      <c r="I93">
        <f>IF(I$2=0,"",IFERROR(TRIM(INDEX('Pegar calibracion'!$A$1:$BZ$1001,92,I$2)&amp;""),""))</f>
        <v/>
      </c>
      <c r="J93">
        <f>IF(J$2=0,"",IFERROR(TRIM(INDEX('Pegar calibracion'!$A$1:$BZ$1001,92,J$2)&amp;""),""))</f>
        <v/>
      </c>
      <c r="K93">
        <f>IF(K$2=0,"",IFERROR(TRIM(INDEX('Pegar calibracion'!$A$1:$BZ$1001,92,K$2)&amp;""),""))</f>
        <v/>
      </c>
      <c r="L93">
        <f>IF(L$2=0,"",IFERROR(TRIM(INDEX('Pegar calibracion'!$A$1:$BZ$1001,92,L$2)&amp;""),""))</f>
        <v/>
      </c>
      <c r="M93" s="25">
        <f>IF(D93="","",SUBSTITUTE(SUBSTITUTE(SUBSTITUTE(SUBSTITUTE(SUBSTITUTE(SUBSTITUTE(SUBSTITUTE(SUBSTITUTE(SUBSTITUTE(SUBSTITUTE(SUBSTITUTE(SUBSTITUTE(LOWER(TRIM(D93)),"á","a"),"é","e"),"í","i"),"ó","o"),"ú","u"),"ü","u"),"ñ","n"),"à","a"),"è","e"),"ì","i"),"ò","o"),"ù","u"))</f>
        <v/>
      </c>
      <c r="N93" s="25">
        <f>IF(F93="","",SUBSTITUTE(SUBSTITUTE(SUBSTITUTE(SUBSTITUTE(SUBSTITUTE(SUBSTITUTE(SUBSTITUTE(SUBSTITUTE(SUBSTITUTE(SUBSTITUTE(SUBSTITUTE(SUBSTITUTE(LOWER(TRIM(F93)),"á","a"),"é","e"),"í","i"),"ó","o"),"ú","u"),"ü","u"),"ñ","n"),"à","a"),"è","e"),"ì","i"),"ò","o"),"ù","u"))</f>
        <v/>
      </c>
      <c r="O93" s="25">
        <f>IF(M93="confiable",2,IF(M93="dudosa",1,IF(M93="no confiable",0,"")))</f>
        <v/>
      </c>
      <c r="P93" s="25">
        <f>IF(N93="confiable",2,IF(N93="dudosa",1,IF(N93="no confiable",0,"")))</f>
        <v/>
      </c>
      <c r="Q93" s="25">
        <f>IF(AND(ISNUMBER(O93),ISNUMBER(P93)),1,"")</f>
        <v/>
      </c>
      <c r="R93" s="25">
        <f>IF(Q93=1,IF(O93=P93,"Sí","No"),"")</f>
        <v/>
      </c>
      <c r="S93" s="25">
        <f>IF(Q93=1,IF(P93&lt;O93,"Más estricto",IF(P93&gt;O93,"Más permisivo","Igual")),"")</f>
        <v/>
      </c>
      <c r="T93" s="25">
        <f>IF(Q93=1,IF(ABS(O93-P93)=2,1,0),"")</f>
        <v/>
      </c>
      <c r="U93" s="25">
        <f>IF(H93="","","|"&amp;SUBSTITUTE(SUBSTITUTE(TRIM(H93)," |","|"),"| ","|")&amp;"|")</f>
        <v/>
      </c>
      <c r="V93" s="25">
        <f>IF(AND(Q93=1,B93&lt;&gt;""),IF(IFERROR(COUNTIFS(B$3:B93,"="&amp;SUBSTITUTE(SUBSTITUTE(SUBSTITUTE(B93,"~","~~"),"*","~*"),"?","~?"),Q$3:Q93,1),0)=1,MAX(V$2:V92)+1,""),"")</f>
        <v/>
      </c>
      <c r="W93" s="25">
        <f>IF(V93="","",COUNTIFS($B$3:$B$1002,"="&amp;SUBSTITUTE(SUBSTITUTE(SUBSTITUTE(B93,"~","~~"),"*","~*"),"?","~?"),$Q$3:$Q$1002,1)*10000-V93)</f>
        <v/>
      </c>
      <c r="X93" s="25">
        <f>IF(Q93=1,IF(SUBSTITUTE(SUBSTITUTE(SUBSTITUTE(SUBSTITUTE(SUBSTITUTE(SUBSTITUTE(SUBSTITUTE(SUBSTITUTE(SUBSTITUTE(SUBSTITUTE(SUBSTITUTE(SUBSTITUTE(LOWER(TRIM(A93)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93)),"á","a"),"é","e"),"í","i"),"ó","o"),"ú","u"),"ü","u"),"ñ","n"),"à","a"),"è","e"),"ì","i"),"ò","o"),"ù","u")),"")</f>
        <v/>
      </c>
      <c r="Y93" s="25">
        <f>IF(X93="","",IF(IFERROR(COUNTIF(X$3:X93,"="&amp;SUBSTITUTE(SUBSTITUTE(SUBSTITUTE(X93,"~","~~"),"*","~*"),"?","~?")),0)=1,1,""))</f>
        <v/>
      </c>
      <c r="Z93" s="25">
        <f>IF(T93=1,MAX(Z$2:Z92)+1,"")</f>
        <v/>
      </c>
    </row>
    <row r="94">
      <c r="A94">
        <f>IF(A$2=0,"",IFERROR(TRIM(INDEX('Pegar calibracion'!$A$1:$BZ$1001,93,A$2)&amp;""),""))</f>
        <v/>
      </c>
      <c r="B94">
        <f>IF(B$2=0,"",IFERROR(TRIM(INDEX('Pegar calibracion'!$A$1:$BZ$1001,93,B$2)&amp;""),""))</f>
        <v/>
      </c>
      <c r="C94">
        <f>IF(C$2=0,"",IFERROR(TRIM(INDEX('Pegar calibracion'!$A$1:$BZ$1001,93,C$2)&amp;""),""))</f>
        <v/>
      </c>
      <c r="D94">
        <f>IF(D$2=0,"",IFERROR(TRIM(INDEX('Pegar calibracion'!$A$1:$BZ$1001,93,D$2)&amp;""),""))</f>
        <v/>
      </c>
      <c r="E94">
        <f>IF(E$2=0,"",IFERROR(TRIM(INDEX('Pegar calibracion'!$A$1:$BZ$1001,93,E$2)&amp;""),""))</f>
        <v/>
      </c>
      <c r="F94">
        <f>IF(F$2=0,"",IFERROR(TRIM(INDEX('Pegar calibracion'!$A$1:$BZ$1001,93,F$2)&amp;""),""))</f>
        <v/>
      </c>
      <c r="G94">
        <f>IF(G$2=0,"",IFERROR(TRIM(INDEX('Pegar calibracion'!$A$1:$BZ$1001,93,G$2)&amp;""),""))</f>
        <v/>
      </c>
      <c r="H94">
        <f>IF(H$2=0,"",IFERROR(TRIM(INDEX('Pegar calibracion'!$A$1:$BZ$1001,93,H$2)&amp;""),""))</f>
        <v/>
      </c>
      <c r="I94">
        <f>IF(I$2=0,"",IFERROR(TRIM(INDEX('Pegar calibracion'!$A$1:$BZ$1001,93,I$2)&amp;""),""))</f>
        <v/>
      </c>
      <c r="J94">
        <f>IF(J$2=0,"",IFERROR(TRIM(INDEX('Pegar calibracion'!$A$1:$BZ$1001,93,J$2)&amp;""),""))</f>
        <v/>
      </c>
      <c r="K94">
        <f>IF(K$2=0,"",IFERROR(TRIM(INDEX('Pegar calibracion'!$A$1:$BZ$1001,93,K$2)&amp;""),""))</f>
        <v/>
      </c>
      <c r="L94">
        <f>IF(L$2=0,"",IFERROR(TRIM(INDEX('Pegar calibracion'!$A$1:$BZ$1001,93,L$2)&amp;""),""))</f>
        <v/>
      </c>
      <c r="M94" s="25">
        <f>IF(D94="","",SUBSTITUTE(SUBSTITUTE(SUBSTITUTE(SUBSTITUTE(SUBSTITUTE(SUBSTITUTE(SUBSTITUTE(SUBSTITUTE(SUBSTITUTE(SUBSTITUTE(SUBSTITUTE(SUBSTITUTE(LOWER(TRIM(D94)),"á","a"),"é","e"),"í","i"),"ó","o"),"ú","u"),"ü","u"),"ñ","n"),"à","a"),"è","e"),"ì","i"),"ò","o"),"ù","u"))</f>
        <v/>
      </c>
      <c r="N94" s="25">
        <f>IF(F94="","",SUBSTITUTE(SUBSTITUTE(SUBSTITUTE(SUBSTITUTE(SUBSTITUTE(SUBSTITUTE(SUBSTITUTE(SUBSTITUTE(SUBSTITUTE(SUBSTITUTE(SUBSTITUTE(SUBSTITUTE(LOWER(TRIM(F94)),"á","a"),"é","e"),"í","i"),"ó","o"),"ú","u"),"ü","u"),"ñ","n"),"à","a"),"è","e"),"ì","i"),"ò","o"),"ù","u"))</f>
        <v/>
      </c>
      <c r="O94" s="25">
        <f>IF(M94="confiable",2,IF(M94="dudosa",1,IF(M94="no confiable",0,"")))</f>
        <v/>
      </c>
      <c r="P94" s="25">
        <f>IF(N94="confiable",2,IF(N94="dudosa",1,IF(N94="no confiable",0,"")))</f>
        <v/>
      </c>
      <c r="Q94" s="25">
        <f>IF(AND(ISNUMBER(O94),ISNUMBER(P94)),1,"")</f>
        <v/>
      </c>
      <c r="R94" s="25">
        <f>IF(Q94=1,IF(O94=P94,"Sí","No"),"")</f>
        <v/>
      </c>
      <c r="S94" s="25">
        <f>IF(Q94=1,IF(P94&lt;O94,"Más estricto",IF(P94&gt;O94,"Más permisivo","Igual")),"")</f>
        <v/>
      </c>
      <c r="T94" s="25">
        <f>IF(Q94=1,IF(ABS(O94-P94)=2,1,0),"")</f>
        <v/>
      </c>
      <c r="U94" s="25">
        <f>IF(H94="","","|"&amp;SUBSTITUTE(SUBSTITUTE(TRIM(H94)," |","|"),"| ","|")&amp;"|")</f>
        <v/>
      </c>
      <c r="V94" s="25">
        <f>IF(AND(Q94=1,B94&lt;&gt;""),IF(IFERROR(COUNTIFS(B$3:B94,"="&amp;SUBSTITUTE(SUBSTITUTE(SUBSTITUTE(B94,"~","~~"),"*","~*"),"?","~?"),Q$3:Q94,1),0)=1,MAX(V$2:V93)+1,""),"")</f>
        <v/>
      </c>
      <c r="W94" s="25">
        <f>IF(V94="","",COUNTIFS($B$3:$B$1002,"="&amp;SUBSTITUTE(SUBSTITUTE(SUBSTITUTE(B94,"~","~~"),"*","~*"),"?","~?"),$Q$3:$Q$1002,1)*10000-V94)</f>
        <v/>
      </c>
      <c r="X94" s="25">
        <f>IF(Q94=1,IF(SUBSTITUTE(SUBSTITUTE(SUBSTITUTE(SUBSTITUTE(SUBSTITUTE(SUBSTITUTE(SUBSTITUTE(SUBSTITUTE(SUBSTITUTE(SUBSTITUTE(SUBSTITUTE(SUBSTITUTE(LOWER(TRIM(A94)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94)),"á","a"),"é","e"),"í","i"),"ó","o"),"ú","u"),"ü","u"),"ñ","n"),"à","a"),"è","e"),"ì","i"),"ò","o"),"ù","u")),"")</f>
        <v/>
      </c>
      <c r="Y94" s="25">
        <f>IF(X94="","",IF(IFERROR(COUNTIF(X$3:X94,"="&amp;SUBSTITUTE(SUBSTITUTE(SUBSTITUTE(X94,"~","~~"),"*","~*"),"?","~?")),0)=1,1,""))</f>
        <v/>
      </c>
      <c r="Z94" s="25">
        <f>IF(T94=1,MAX(Z$2:Z93)+1,"")</f>
        <v/>
      </c>
    </row>
    <row r="95">
      <c r="A95">
        <f>IF(A$2=0,"",IFERROR(TRIM(INDEX('Pegar calibracion'!$A$1:$BZ$1001,94,A$2)&amp;""),""))</f>
        <v/>
      </c>
      <c r="B95">
        <f>IF(B$2=0,"",IFERROR(TRIM(INDEX('Pegar calibracion'!$A$1:$BZ$1001,94,B$2)&amp;""),""))</f>
        <v/>
      </c>
      <c r="C95">
        <f>IF(C$2=0,"",IFERROR(TRIM(INDEX('Pegar calibracion'!$A$1:$BZ$1001,94,C$2)&amp;""),""))</f>
        <v/>
      </c>
      <c r="D95">
        <f>IF(D$2=0,"",IFERROR(TRIM(INDEX('Pegar calibracion'!$A$1:$BZ$1001,94,D$2)&amp;""),""))</f>
        <v/>
      </c>
      <c r="E95">
        <f>IF(E$2=0,"",IFERROR(TRIM(INDEX('Pegar calibracion'!$A$1:$BZ$1001,94,E$2)&amp;""),""))</f>
        <v/>
      </c>
      <c r="F95">
        <f>IF(F$2=0,"",IFERROR(TRIM(INDEX('Pegar calibracion'!$A$1:$BZ$1001,94,F$2)&amp;""),""))</f>
        <v/>
      </c>
      <c r="G95">
        <f>IF(G$2=0,"",IFERROR(TRIM(INDEX('Pegar calibracion'!$A$1:$BZ$1001,94,G$2)&amp;""),""))</f>
        <v/>
      </c>
      <c r="H95">
        <f>IF(H$2=0,"",IFERROR(TRIM(INDEX('Pegar calibracion'!$A$1:$BZ$1001,94,H$2)&amp;""),""))</f>
        <v/>
      </c>
      <c r="I95">
        <f>IF(I$2=0,"",IFERROR(TRIM(INDEX('Pegar calibracion'!$A$1:$BZ$1001,94,I$2)&amp;""),""))</f>
        <v/>
      </c>
      <c r="J95">
        <f>IF(J$2=0,"",IFERROR(TRIM(INDEX('Pegar calibracion'!$A$1:$BZ$1001,94,J$2)&amp;""),""))</f>
        <v/>
      </c>
      <c r="K95">
        <f>IF(K$2=0,"",IFERROR(TRIM(INDEX('Pegar calibracion'!$A$1:$BZ$1001,94,K$2)&amp;""),""))</f>
        <v/>
      </c>
      <c r="L95">
        <f>IF(L$2=0,"",IFERROR(TRIM(INDEX('Pegar calibracion'!$A$1:$BZ$1001,94,L$2)&amp;""),""))</f>
        <v/>
      </c>
      <c r="M95" s="25">
        <f>IF(D95="","",SUBSTITUTE(SUBSTITUTE(SUBSTITUTE(SUBSTITUTE(SUBSTITUTE(SUBSTITUTE(SUBSTITUTE(SUBSTITUTE(SUBSTITUTE(SUBSTITUTE(SUBSTITUTE(SUBSTITUTE(LOWER(TRIM(D95)),"á","a"),"é","e"),"í","i"),"ó","o"),"ú","u"),"ü","u"),"ñ","n"),"à","a"),"è","e"),"ì","i"),"ò","o"),"ù","u"))</f>
        <v/>
      </c>
      <c r="N95" s="25">
        <f>IF(F95="","",SUBSTITUTE(SUBSTITUTE(SUBSTITUTE(SUBSTITUTE(SUBSTITUTE(SUBSTITUTE(SUBSTITUTE(SUBSTITUTE(SUBSTITUTE(SUBSTITUTE(SUBSTITUTE(SUBSTITUTE(LOWER(TRIM(F95)),"á","a"),"é","e"),"í","i"),"ó","o"),"ú","u"),"ü","u"),"ñ","n"),"à","a"),"è","e"),"ì","i"),"ò","o"),"ù","u"))</f>
        <v/>
      </c>
      <c r="O95" s="25">
        <f>IF(M95="confiable",2,IF(M95="dudosa",1,IF(M95="no confiable",0,"")))</f>
        <v/>
      </c>
      <c r="P95" s="25">
        <f>IF(N95="confiable",2,IF(N95="dudosa",1,IF(N95="no confiable",0,"")))</f>
        <v/>
      </c>
      <c r="Q95" s="25">
        <f>IF(AND(ISNUMBER(O95),ISNUMBER(P95)),1,"")</f>
        <v/>
      </c>
      <c r="R95" s="25">
        <f>IF(Q95=1,IF(O95=P95,"Sí","No"),"")</f>
        <v/>
      </c>
      <c r="S95" s="25">
        <f>IF(Q95=1,IF(P95&lt;O95,"Más estricto",IF(P95&gt;O95,"Más permisivo","Igual")),"")</f>
        <v/>
      </c>
      <c r="T95" s="25">
        <f>IF(Q95=1,IF(ABS(O95-P95)=2,1,0),"")</f>
        <v/>
      </c>
      <c r="U95" s="25">
        <f>IF(H95="","","|"&amp;SUBSTITUTE(SUBSTITUTE(TRIM(H95)," |","|"),"| ","|")&amp;"|")</f>
        <v/>
      </c>
      <c r="V95" s="25">
        <f>IF(AND(Q95=1,B95&lt;&gt;""),IF(IFERROR(COUNTIFS(B$3:B95,"="&amp;SUBSTITUTE(SUBSTITUTE(SUBSTITUTE(B95,"~","~~"),"*","~*"),"?","~?"),Q$3:Q95,1),0)=1,MAX(V$2:V94)+1,""),"")</f>
        <v/>
      </c>
      <c r="W95" s="25">
        <f>IF(V95="","",COUNTIFS($B$3:$B$1002,"="&amp;SUBSTITUTE(SUBSTITUTE(SUBSTITUTE(B95,"~","~~"),"*","~*"),"?","~?"),$Q$3:$Q$1002,1)*10000-V95)</f>
        <v/>
      </c>
      <c r="X95" s="25">
        <f>IF(Q95=1,IF(SUBSTITUTE(SUBSTITUTE(SUBSTITUTE(SUBSTITUTE(SUBSTITUTE(SUBSTITUTE(SUBSTITUTE(SUBSTITUTE(SUBSTITUTE(SUBSTITUTE(SUBSTITUTE(SUBSTITUTE(LOWER(TRIM(A95)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95)),"á","a"),"é","e"),"í","i"),"ó","o"),"ú","u"),"ü","u"),"ñ","n"),"à","a"),"è","e"),"ì","i"),"ò","o"),"ù","u")),"")</f>
        <v/>
      </c>
      <c r="Y95" s="25">
        <f>IF(X95="","",IF(IFERROR(COUNTIF(X$3:X95,"="&amp;SUBSTITUTE(SUBSTITUTE(SUBSTITUTE(X95,"~","~~"),"*","~*"),"?","~?")),0)=1,1,""))</f>
        <v/>
      </c>
      <c r="Z95" s="25">
        <f>IF(T95=1,MAX(Z$2:Z94)+1,"")</f>
        <v/>
      </c>
    </row>
    <row r="96">
      <c r="A96">
        <f>IF(A$2=0,"",IFERROR(TRIM(INDEX('Pegar calibracion'!$A$1:$BZ$1001,95,A$2)&amp;""),""))</f>
        <v/>
      </c>
      <c r="B96">
        <f>IF(B$2=0,"",IFERROR(TRIM(INDEX('Pegar calibracion'!$A$1:$BZ$1001,95,B$2)&amp;""),""))</f>
        <v/>
      </c>
      <c r="C96">
        <f>IF(C$2=0,"",IFERROR(TRIM(INDEX('Pegar calibracion'!$A$1:$BZ$1001,95,C$2)&amp;""),""))</f>
        <v/>
      </c>
      <c r="D96">
        <f>IF(D$2=0,"",IFERROR(TRIM(INDEX('Pegar calibracion'!$A$1:$BZ$1001,95,D$2)&amp;""),""))</f>
        <v/>
      </c>
      <c r="E96">
        <f>IF(E$2=0,"",IFERROR(TRIM(INDEX('Pegar calibracion'!$A$1:$BZ$1001,95,E$2)&amp;""),""))</f>
        <v/>
      </c>
      <c r="F96">
        <f>IF(F$2=0,"",IFERROR(TRIM(INDEX('Pegar calibracion'!$A$1:$BZ$1001,95,F$2)&amp;""),""))</f>
        <v/>
      </c>
      <c r="G96">
        <f>IF(G$2=0,"",IFERROR(TRIM(INDEX('Pegar calibracion'!$A$1:$BZ$1001,95,G$2)&amp;""),""))</f>
        <v/>
      </c>
      <c r="H96">
        <f>IF(H$2=0,"",IFERROR(TRIM(INDEX('Pegar calibracion'!$A$1:$BZ$1001,95,H$2)&amp;""),""))</f>
        <v/>
      </c>
      <c r="I96">
        <f>IF(I$2=0,"",IFERROR(TRIM(INDEX('Pegar calibracion'!$A$1:$BZ$1001,95,I$2)&amp;""),""))</f>
        <v/>
      </c>
      <c r="J96">
        <f>IF(J$2=0,"",IFERROR(TRIM(INDEX('Pegar calibracion'!$A$1:$BZ$1001,95,J$2)&amp;""),""))</f>
        <v/>
      </c>
      <c r="K96">
        <f>IF(K$2=0,"",IFERROR(TRIM(INDEX('Pegar calibracion'!$A$1:$BZ$1001,95,K$2)&amp;""),""))</f>
        <v/>
      </c>
      <c r="L96">
        <f>IF(L$2=0,"",IFERROR(TRIM(INDEX('Pegar calibracion'!$A$1:$BZ$1001,95,L$2)&amp;""),""))</f>
        <v/>
      </c>
      <c r="M96" s="25">
        <f>IF(D96="","",SUBSTITUTE(SUBSTITUTE(SUBSTITUTE(SUBSTITUTE(SUBSTITUTE(SUBSTITUTE(SUBSTITUTE(SUBSTITUTE(SUBSTITUTE(SUBSTITUTE(SUBSTITUTE(SUBSTITUTE(LOWER(TRIM(D96)),"á","a"),"é","e"),"í","i"),"ó","o"),"ú","u"),"ü","u"),"ñ","n"),"à","a"),"è","e"),"ì","i"),"ò","o"),"ù","u"))</f>
        <v/>
      </c>
      <c r="N96" s="25">
        <f>IF(F96="","",SUBSTITUTE(SUBSTITUTE(SUBSTITUTE(SUBSTITUTE(SUBSTITUTE(SUBSTITUTE(SUBSTITUTE(SUBSTITUTE(SUBSTITUTE(SUBSTITUTE(SUBSTITUTE(SUBSTITUTE(LOWER(TRIM(F96)),"á","a"),"é","e"),"í","i"),"ó","o"),"ú","u"),"ü","u"),"ñ","n"),"à","a"),"è","e"),"ì","i"),"ò","o"),"ù","u"))</f>
        <v/>
      </c>
      <c r="O96" s="25">
        <f>IF(M96="confiable",2,IF(M96="dudosa",1,IF(M96="no confiable",0,"")))</f>
        <v/>
      </c>
      <c r="P96" s="25">
        <f>IF(N96="confiable",2,IF(N96="dudosa",1,IF(N96="no confiable",0,"")))</f>
        <v/>
      </c>
      <c r="Q96" s="25">
        <f>IF(AND(ISNUMBER(O96),ISNUMBER(P96)),1,"")</f>
        <v/>
      </c>
      <c r="R96" s="25">
        <f>IF(Q96=1,IF(O96=P96,"Sí","No"),"")</f>
        <v/>
      </c>
      <c r="S96" s="25">
        <f>IF(Q96=1,IF(P96&lt;O96,"Más estricto",IF(P96&gt;O96,"Más permisivo","Igual")),"")</f>
        <v/>
      </c>
      <c r="T96" s="25">
        <f>IF(Q96=1,IF(ABS(O96-P96)=2,1,0),"")</f>
        <v/>
      </c>
      <c r="U96" s="25">
        <f>IF(H96="","","|"&amp;SUBSTITUTE(SUBSTITUTE(TRIM(H96)," |","|"),"| ","|")&amp;"|")</f>
        <v/>
      </c>
      <c r="V96" s="25">
        <f>IF(AND(Q96=1,B96&lt;&gt;""),IF(IFERROR(COUNTIFS(B$3:B96,"="&amp;SUBSTITUTE(SUBSTITUTE(SUBSTITUTE(B96,"~","~~"),"*","~*"),"?","~?"),Q$3:Q96,1),0)=1,MAX(V$2:V95)+1,""),"")</f>
        <v/>
      </c>
      <c r="W96" s="25">
        <f>IF(V96="","",COUNTIFS($B$3:$B$1002,"="&amp;SUBSTITUTE(SUBSTITUTE(SUBSTITUTE(B96,"~","~~"),"*","~*"),"?","~?"),$Q$3:$Q$1002,1)*10000-V96)</f>
        <v/>
      </c>
      <c r="X96" s="25">
        <f>IF(Q96=1,IF(SUBSTITUTE(SUBSTITUTE(SUBSTITUTE(SUBSTITUTE(SUBSTITUTE(SUBSTITUTE(SUBSTITUTE(SUBSTITUTE(SUBSTITUTE(SUBSTITUTE(SUBSTITUTE(SUBSTITUTE(LOWER(TRIM(A96)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96)),"á","a"),"é","e"),"í","i"),"ó","o"),"ú","u"),"ü","u"),"ñ","n"),"à","a"),"è","e"),"ì","i"),"ò","o"),"ù","u")),"")</f>
        <v/>
      </c>
      <c r="Y96" s="25">
        <f>IF(X96="","",IF(IFERROR(COUNTIF(X$3:X96,"="&amp;SUBSTITUTE(SUBSTITUTE(SUBSTITUTE(X96,"~","~~"),"*","~*"),"?","~?")),0)=1,1,""))</f>
        <v/>
      </c>
      <c r="Z96" s="25">
        <f>IF(T96=1,MAX(Z$2:Z95)+1,"")</f>
        <v/>
      </c>
    </row>
    <row r="97">
      <c r="A97">
        <f>IF(A$2=0,"",IFERROR(TRIM(INDEX('Pegar calibracion'!$A$1:$BZ$1001,96,A$2)&amp;""),""))</f>
        <v/>
      </c>
      <c r="B97">
        <f>IF(B$2=0,"",IFERROR(TRIM(INDEX('Pegar calibracion'!$A$1:$BZ$1001,96,B$2)&amp;""),""))</f>
        <v/>
      </c>
      <c r="C97">
        <f>IF(C$2=0,"",IFERROR(TRIM(INDEX('Pegar calibracion'!$A$1:$BZ$1001,96,C$2)&amp;""),""))</f>
        <v/>
      </c>
      <c r="D97">
        <f>IF(D$2=0,"",IFERROR(TRIM(INDEX('Pegar calibracion'!$A$1:$BZ$1001,96,D$2)&amp;""),""))</f>
        <v/>
      </c>
      <c r="E97">
        <f>IF(E$2=0,"",IFERROR(TRIM(INDEX('Pegar calibracion'!$A$1:$BZ$1001,96,E$2)&amp;""),""))</f>
        <v/>
      </c>
      <c r="F97">
        <f>IF(F$2=0,"",IFERROR(TRIM(INDEX('Pegar calibracion'!$A$1:$BZ$1001,96,F$2)&amp;""),""))</f>
        <v/>
      </c>
      <c r="G97">
        <f>IF(G$2=0,"",IFERROR(TRIM(INDEX('Pegar calibracion'!$A$1:$BZ$1001,96,G$2)&amp;""),""))</f>
        <v/>
      </c>
      <c r="H97">
        <f>IF(H$2=0,"",IFERROR(TRIM(INDEX('Pegar calibracion'!$A$1:$BZ$1001,96,H$2)&amp;""),""))</f>
        <v/>
      </c>
      <c r="I97">
        <f>IF(I$2=0,"",IFERROR(TRIM(INDEX('Pegar calibracion'!$A$1:$BZ$1001,96,I$2)&amp;""),""))</f>
        <v/>
      </c>
      <c r="J97">
        <f>IF(J$2=0,"",IFERROR(TRIM(INDEX('Pegar calibracion'!$A$1:$BZ$1001,96,J$2)&amp;""),""))</f>
        <v/>
      </c>
      <c r="K97">
        <f>IF(K$2=0,"",IFERROR(TRIM(INDEX('Pegar calibracion'!$A$1:$BZ$1001,96,K$2)&amp;""),""))</f>
        <v/>
      </c>
      <c r="L97">
        <f>IF(L$2=0,"",IFERROR(TRIM(INDEX('Pegar calibracion'!$A$1:$BZ$1001,96,L$2)&amp;""),""))</f>
        <v/>
      </c>
      <c r="M97" s="25">
        <f>IF(D97="","",SUBSTITUTE(SUBSTITUTE(SUBSTITUTE(SUBSTITUTE(SUBSTITUTE(SUBSTITUTE(SUBSTITUTE(SUBSTITUTE(SUBSTITUTE(SUBSTITUTE(SUBSTITUTE(SUBSTITUTE(LOWER(TRIM(D97)),"á","a"),"é","e"),"í","i"),"ó","o"),"ú","u"),"ü","u"),"ñ","n"),"à","a"),"è","e"),"ì","i"),"ò","o"),"ù","u"))</f>
        <v/>
      </c>
      <c r="N97" s="25">
        <f>IF(F97="","",SUBSTITUTE(SUBSTITUTE(SUBSTITUTE(SUBSTITUTE(SUBSTITUTE(SUBSTITUTE(SUBSTITUTE(SUBSTITUTE(SUBSTITUTE(SUBSTITUTE(SUBSTITUTE(SUBSTITUTE(LOWER(TRIM(F97)),"á","a"),"é","e"),"í","i"),"ó","o"),"ú","u"),"ü","u"),"ñ","n"),"à","a"),"è","e"),"ì","i"),"ò","o"),"ù","u"))</f>
        <v/>
      </c>
      <c r="O97" s="25">
        <f>IF(M97="confiable",2,IF(M97="dudosa",1,IF(M97="no confiable",0,"")))</f>
        <v/>
      </c>
      <c r="P97" s="25">
        <f>IF(N97="confiable",2,IF(N97="dudosa",1,IF(N97="no confiable",0,"")))</f>
        <v/>
      </c>
      <c r="Q97" s="25">
        <f>IF(AND(ISNUMBER(O97),ISNUMBER(P97)),1,"")</f>
        <v/>
      </c>
      <c r="R97" s="25">
        <f>IF(Q97=1,IF(O97=P97,"Sí","No"),"")</f>
        <v/>
      </c>
      <c r="S97" s="25">
        <f>IF(Q97=1,IF(P97&lt;O97,"Más estricto",IF(P97&gt;O97,"Más permisivo","Igual")),"")</f>
        <v/>
      </c>
      <c r="T97" s="25">
        <f>IF(Q97=1,IF(ABS(O97-P97)=2,1,0),"")</f>
        <v/>
      </c>
      <c r="U97" s="25">
        <f>IF(H97="","","|"&amp;SUBSTITUTE(SUBSTITUTE(TRIM(H97)," |","|"),"| ","|")&amp;"|")</f>
        <v/>
      </c>
      <c r="V97" s="25">
        <f>IF(AND(Q97=1,B97&lt;&gt;""),IF(IFERROR(COUNTIFS(B$3:B97,"="&amp;SUBSTITUTE(SUBSTITUTE(SUBSTITUTE(B97,"~","~~"),"*","~*"),"?","~?"),Q$3:Q97,1),0)=1,MAX(V$2:V96)+1,""),"")</f>
        <v/>
      </c>
      <c r="W97" s="25">
        <f>IF(V97="","",COUNTIFS($B$3:$B$1002,"="&amp;SUBSTITUTE(SUBSTITUTE(SUBSTITUTE(B97,"~","~~"),"*","~*"),"?","~?"),$Q$3:$Q$1002,1)*10000-V97)</f>
        <v/>
      </c>
      <c r="X97" s="25">
        <f>IF(Q97=1,IF(SUBSTITUTE(SUBSTITUTE(SUBSTITUTE(SUBSTITUTE(SUBSTITUTE(SUBSTITUTE(SUBSTITUTE(SUBSTITUTE(SUBSTITUTE(SUBSTITUTE(SUBSTITUTE(SUBSTITUTE(LOWER(TRIM(A97)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97)),"á","a"),"é","e"),"í","i"),"ó","o"),"ú","u"),"ü","u"),"ñ","n"),"à","a"),"è","e"),"ì","i"),"ò","o"),"ù","u")),"")</f>
        <v/>
      </c>
      <c r="Y97" s="25">
        <f>IF(X97="","",IF(IFERROR(COUNTIF(X$3:X97,"="&amp;SUBSTITUTE(SUBSTITUTE(SUBSTITUTE(X97,"~","~~"),"*","~*"),"?","~?")),0)=1,1,""))</f>
        <v/>
      </c>
      <c r="Z97" s="25">
        <f>IF(T97=1,MAX(Z$2:Z96)+1,"")</f>
        <v/>
      </c>
    </row>
    <row r="98">
      <c r="A98">
        <f>IF(A$2=0,"",IFERROR(TRIM(INDEX('Pegar calibracion'!$A$1:$BZ$1001,97,A$2)&amp;""),""))</f>
        <v/>
      </c>
      <c r="B98">
        <f>IF(B$2=0,"",IFERROR(TRIM(INDEX('Pegar calibracion'!$A$1:$BZ$1001,97,B$2)&amp;""),""))</f>
        <v/>
      </c>
      <c r="C98">
        <f>IF(C$2=0,"",IFERROR(TRIM(INDEX('Pegar calibracion'!$A$1:$BZ$1001,97,C$2)&amp;""),""))</f>
        <v/>
      </c>
      <c r="D98">
        <f>IF(D$2=0,"",IFERROR(TRIM(INDEX('Pegar calibracion'!$A$1:$BZ$1001,97,D$2)&amp;""),""))</f>
        <v/>
      </c>
      <c r="E98">
        <f>IF(E$2=0,"",IFERROR(TRIM(INDEX('Pegar calibracion'!$A$1:$BZ$1001,97,E$2)&amp;""),""))</f>
        <v/>
      </c>
      <c r="F98">
        <f>IF(F$2=0,"",IFERROR(TRIM(INDEX('Pegar calibracion'!$A$1:$BZ$1001,97,F$2)&amp;""),""))</f>
        <v/>
      </c>
      <c r="G98">
        <f>IF(G$2=0,"",IFERROR(TRIM(INDEX('Pegar calibracion'!$A$1:$BZ$1001,97,G$2)&amp;""),""))</f>
        <v/>
      </c>
      <c r="H98">
        <f>IF(H$2=0,"",IFERROR(TRIM(INDEX('Pegar calibracion'!$A$1:$BZ$1001,97,H$2)&amp;""),""))</f>
        <v/>
      </c>
      <c r="I98">
        <f>IF(I$2=0,"",IFERROR(TRIM(INDEX('Pegar calibracion'!$A$1:$BZ$1001,97,I$2)&amp;""),""))</f>
        <v/>
      </c>
      <c r="J98">
        <f>IF(J$2=0,"",IFERROR(TRIM(INDEX('Pegar calibracion'!$A$1:$BZ$1001,97,J$2)&amp;""),""))</f>
        <v/>
      </c>
      <c r="K98">
        <f>IF(K$2=0,"",IFERROR(TRIM(INDEX('Pegar calibracion'!$A$1:$BZ$1001,97,K$2)&amp;""),""))</f>
        <v/>
      </c>
      <c r="L98">
        <f>IF(L$2=0,"",IFERROR(TRIM(INDEX('Pegar calibracion'!$A$1:$BZ$1001,97,L$2)&amp;""),""))</f>
        <v/>
      </c>
      <c r="M98" s="25">
        <f>IF(D98="","",SUBSTITUTE(SUBSTITUTE(SUBSTITUTE(SUBSTITUTE(SUBSTITUTE(SUBSTITUTE(SUBSTITUTE(SUBSTITUTE(SUBSTITUTE(SUBSTITUTE(SUBSTITUTE(SUBSTITUTE(LOWER(TRIM(D98)),"á","a"),"é","e"),"í","i"),"ó","o"),"ú","u"),"ü","u"),"ñ","n"),"à","a"),"è","e"),"ì","i"),"ò","o"),"ù","u"))</f>
        <v/>
      </c>
      <c r="N98" s="25">
        <f>IF(F98="","",SUBSTITUTE(SUBSTITUTE(SUBSTITUTE(SUBSTITUTE(SUBSTITUTE(SUBSTITUTE(SUBSTITUTE(SUBSTITUTE(SUBSTITUTE(SUBSTITUTE(SUBSTITUTE(SUBSTITUTE(LOWER(TRIM(F98)),"á","a"),"é","e"),"í","i"),"ó","o"),"ú","u"),"ü","u"),"ñ","n"),"à","a"),"è","e"),"ì","i"),"ò","o"),"ù","u"))</f>
        <v/>
      </c>
      <c r="O98" s="25">
        <f>IF(M98="confiable",2,IF(M98="dudosa",1,IF(M98="no confiable",0,"")))</f>
        <v/>
      </c>
      <c r="P98" s="25">
        <f>IF(N98="confiable",2,IF(N98="dudosa",1,IF(N98="no confiable",0,"")))</f>
        <v/>
      </c>
      <c r="Q98" s="25">
        <f>IF(AND(ISNUMBER(O98),ISNUMBER(P98)),1,"")</f>
        <v/>
      </c>
      <c r="R98" s="25">
        <f>IF(Q98=1,IF(O98=P98,"Sí","No"),"")</f>
        <v/>
      </c>
      <c r="S98" s="25">
        <f>IF(Q98=1,IF(P98&lt;O98,"Más estricto",IF(P98&gt;O98,"Más permisivo","Igual")),"")</f>
        <v/>
      </c>
      <c r="T98" s="25">
        <f>IF(Q98=1,IF(ABS(O98-P98)=2,1,0),"")</f>
        <v/>
      </c>
      <c r="U98" s="25">
        <f>IF(H98="","","|"&amp;SUBSTITUTE(SUBSTITUTE(TRIM(H98)," |","|"),"| ","|")&amp;"|")</f>
        <v/>
      </c>
      <c r="V98" s="25">
        <f>IF(AND(Q98=1,B98&lt;&gt;""),IF(IFERROR(COUNTIFS(B$3:B98,"="&amp;SUBSTITUTE(SUBSTITUTE(SUBSTITUTE(B98,"~","~~"),"*","~*"),"?","~?"),Q$3:Q98,1),0)=1,MAX(V$2:V97)+1,""),"")</f>
        <v/>
      </c>
      <c r="W98" s="25">
        <f>IF(V98="","",COUNTIFS($B$3:$B$1002,"="&amp;SUBSTITUTE(SUBSTITUTE(SUBSTITUTE(B98,"~","~~"),"*","~*"),"?","~?"),$Q$3:$Q$1002,1)*10000-V98)</f>
        <v/>
      </c>
      <c r="X98" s="25">
        <f>IF(Q98=1,IF(SUBSTITUTE(SUBSTITUTE(SUBSTITUTE(SUBSTITUTE(SUBSTITUTE(SUBSTITUTE(SUBSTITUTE(SUBSTITUTE(SUBSTITUTE(SUBSTITUTE(SUBSTITUTE(SUBSTITUTE(LOWER(TRIM(A98)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98)),"á","a"),"é","e"),"í","i"),"ó","o"),"ú","u"),"ü","u"),"ñ","n"),"à","a"),"è","e"),"ì","i"),"ò","o"),"ù","u")),"")</f>
        <v/>
      </c>
      <c r="Y98" s="25">
        <f>IF(X98="","",IF(IFERROR(COUNTIF(X$3:X98,"="&amp;SUBSTITUTE(SUBSTITUTE(SUBSTITUTE(X98,"~","~~"),"*","~*"),"?","~?")),0)=1,1,""))</f>
        <v/>
      </c>
      <c r="Z98" s="25">
        <f>IF(T98=1,MAX(Z$2:Z97)+1,"")</f>
        <v/>
      </c>
    </row>
    <row r="99">
      <c r="A99">
        <f>IF(A$2=0,"",IFERROR(TRIM(INDEX('Pegar calibracion'!$A$1:$BZ$1001,98,A$2)&amp;""),""))</f>
        <v/>
      </c>
      <c r="B99">
        <f>IF(B$2=0,"",IFERROR(TRIM(INDEX('Pegar calibracion'!$A$1:$BZ$1001,98,B$2)&amp;""),""))</f>
        <v/>
      </c>
      <c r="C99">
        <f>IF(C$2=0,"",IFERROR(TRIM(INDEX('Pegar calibracion'!$A$1:$BZ$1001,98,C$2)&amp;""),""))</f>
        <v/>
      </c>
      <c r="D99">
        <f>IF(D$2=0,"",IFERROR(TRIM(INDEX('Pegar calibracion'!$A$1:$BZ$1001,98,D$2)&amp;""),""))</f>
        <v/>
      </c>
      <c r="E99">
        <f>IF(E$2=0,"",IFERROR(TRIM(INDEX('Pegar calibracion'!$A$1:$BZ$1001,98,E$2)&amp;""),""))</f>
        <v/>
      </c>
      <c r="F99">
        <f>IF(F$2=0,"",IFERROR(TRIM(INDEX('Pegar calibracion'!$A$1:$BZ$1001,98,F$2)&amp;""),""))</f>
        <v/>
      </c>
      <c r="G99">
        <f>IF(G$2=0,"",IFERROR(TRIM(INDEX('Pegar calibracion'!$A$1:$BZ$1001,98,G$2)&amp;""),""))</f>
        <v/>
      </c>
      <c r="H99">
        <f>IF(H$2=0,"",IFERROR(TRIM(INDEX('Pegar calibracion'!$A$1:$BZ$1001,98,H$2)&amp;""),""))</f>
        <v/>
      </c>
      <c r="I99">
        <f>IF(I$2=0,"",IFERROR(TRIM(INDEX('Pegar calibracion'!$A$1:$BZ$1001,98,I$2)&amp;""),""))</f>
        <v/>
      </c>
      <c r="J99">
        <f>IF(J$2=0,"",IFERROR(TRIM(INDEX('Pegar calibracion'!$A$1:$BZ$1001,98,J$2)&amp;""),""))</f>
        <v/>
      </c>
      <c r="K99">
        <f>IF(K$2=0,"",IFERROR(TRIM(INDEX('Pegar calibracion'!$A$1:$BZ$1001,98,K$2)&amp;""),""))</f>
        <v/>
      </c>
      <c r="L99">
        <f>IF(L$2=0,"",IFERROR(TRIM(INDEX('Pegar calibracion'!$A$1:$BZ$1001,98,L$2)&amp;""),""))</f>
        <v/>
      </c>
      <c r="M99" s="25">
        <f>IF(D99="","",SUBSTITUTE(SUBSTITUTE(SUBSTITUTE(SUBSTITUTE(SUBSTITUTE(SUBSTITUTE(SUBSTITUTE(SUBSTITUTE(SUBSTITUTE(SUBSTITUTE(SUBSTITUTE(SUBSTITUTE(LOWER(TRIM(D99)),"á","a"),"é","e"),"í","i"),"ó","o"),"ú","u"),"ü","u"),"ñ","n"),"à","a"),"è","e"),"ì","i"),"ò","o"),"ù","u"))</f>
        <v/>
      </c>
      <c r="N99" s="25">
        <f>IF(F99="","",SUBSTITUTE(SUBSTITUTE(SUBSTITUTE(SUBSTITUTE(SUBSTITUTE(SUBSTITUTE(SUBSTITUTE(SUBSTITUTE(SUBSTITUTE(SUBSTITUTE(SUBSTITUTE(SUBSTITUTE(LOWER(TRIM(F99)),"á","a"),"é","e"),"í","i"),"ó","o"),"ú","u"),"ü","u"),"ñ","n"),"à","a"),"è","e"),"ì","i"),"ò","o"),"ù","u"))</f>
        <v/>
      </c>
      <c r="O99" s="25">
        <f>IF(M99="confiable",2,IF(M99="dudosa",1,IF(M99="no confiable",0,"")))</f>
        <v/>
      </c>
      <c r="P99" s="25">
        <f>IF(N99="confiable",2,IF(N99="dudosa",1,IF(N99="no confiable",0,"")))</f>
        <v/>
      </c>
      <c r="Q99" s="25">
        <f>IF(AND(ISNUMBER(O99),ISNUMBER(P99)),1,"")</f>
        <v/>
      </c>
      <c r="R99" s="25">
        <f>IF(Q99=1,IF(O99=P99,"Sí","No"),"")</f>
        <v/>
      </c>
      <c r="S99" s="25">
        <f>IF(Q99=1,IF(P99&lt;O99,"Más estricto",IF(P99&gt;O99,"Más permisivo","Igual")),"")</f>
        <v/>
      </c>
      <c r="T99" s="25">
        <f>IF(Q99=1,IF(ABS(O99-P99)=2,1,0),"")</f>
        <v/>
      </c>
      <c r="U99" s="25">
        <f>IF(H99="","","|"&amp;SUBSTITUTE(SUBSTITUTE(TRIM(H99)," |","|"),"| ","|")&amp;"|")</f>
        <v/>
      </c>
      <c r="V99" s="25">
        <f>IF(AND(Q99=1,B99&lt;&gt;""),IF(IFERROR(COUNTIFS(B$3:B99,"="&amp;SUBSTITUTE(SUBSTITUTE(SUBSTITUTE(B99,"~","~~"),"*","~*"),"?","~?"),Q$3:Q99,1),0)=1,MAX(V$2:V98)+1,""),"")</f>
        <v/>
      </c>
      <c r="W99" s="25">
        <f>IF(V99="","",COUNTIFS($B$3:$B$1002,"="&amp;SUBSTITUTE(SUBSTITUTE(SUBSTITUTE(B99,"~","~~"),"*","~*"),"?","~?"),$Q$3:$Q$1002,1)*10000-V99)</f>
        <v/>
      </c>
      <c r="X99" s="25">
        <f>IF(Q99=1,IF(SUBSTITUTE(SUBSTITUTE(SUBSTITUTE(SUBSTITUTE(SUBSTITUTE(SUBSTITUTE(SUBSTITUTE(SUBSTITUTE(SUBSTITUTE(SUBSTITUTE(SUBSTITUTE(SUBSTITUTE(LOWER(TRIM(A99)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99)),"á","a"),"é","e"),"í","i"),"ó","o"),"ú","u"),"ü","u"),"ñ","n"),"à","a"),"è","e"),"ì","i"),"ò","o"),"ù","u")),"")</f>
        <v/>
      </c>
      <c r="Y99" s="25">
        <f>IF(X99="","",IF(IFERROR(COUNTIF(X$3:X99,"="&amp;SUBSTITUTE(SUBSTITUTE(SUBSTITUTE(X99,"~","~~"),"*","~*"),"?","~?")),0)=1,1,""))</f>
        <v/>
      </c>
      <c r="Z99" s="25">
        <f>IF(T99=1,MAX(Z$2:Z98)+1,"")</f>
        <v/>
      </c>
    </row>
    <row r="100">
      <c r="A100">
        <f>IF(A$2=0,"",IFERROR(TRIM(INDEX('Pegar calibracion'!$A$1:$BZ$1001,99,A$2)&amp;""),""))</f>
        <v/>
      </c>
      <c r="B100">
        <f>IF(B$2=0,"",IFERROR(TRIM(INDEX('Pegar calibracion'!$A$1:$BZ$1001,99,B$2)&amp;""),""))</f>
        <v/>
      </c>
      <c r="C100">
        <f>IF(C$2=0,"",IFERROR(TRIM(INDEX('Pegar calibracion'!$A$1:$BZ$1001,99,C$2)&amp;""),""))</f>
        <v/>
      </c>
      <c r="D100">
        <f>IF(D$2=0,"",IFERROR(TRIM(INDEX('Pegar calibracion'!$A$1:$BZ$1001,99,D$2)&amp;""),""))</f>
        <v/>
      </c>
      <c r="E100">
        <f>IF(E$2=0,"",IFERROR(TRIM(INDEX('Pegar calibracion'!$A$1:$BZ$1001,99,E$2)&amp;""),""))</f>
        <v/>
      </c>
      <c r="F100">
        <f>IF(F$2=0,"",IFERROR(TRIM(INDEX('Pegar calibracion'!$A$1:$BZ$1001,99,F$2)&amp;""),""))</f>
        <v/>
      </c>
      <c r="G100">
        <f>IF(G$2=0,"",IFERROR(TRIM(INDEX('Pegar calibracion'!$A$1:$BZ$1001,99,G$2)&amp;""),""))</f>
        <v/>
      </c>
      <c r="H100">
        <f>IF(H$2=0,"",IFERROR(TRIM(INDEX('Pegar calibracion'!$A$1:$BZ$1001,99,H$2)&amp;""),""))</f>
        <v/>
      </c>
      <c r="I100">
        <f>IF(I$2=0,"",IFERROR(TRIM(INDEX('Pegar calibracion'!$A$1:$BZ$1001,99,I$2)&amp;""),""))</f>
        <v/>
      </c>
      <c r="J100">
        <f>IF(J$2=0,"",IFERROR(TRIM(INDEX('Pegar calibracion'!$A$1:$BZ$1001,99,J$2)&amp;""),""))</f>
        <v/>
      </c>
      <c r="K100">
        <f>IF(K$2=0,"",IFERROR(TRIM(INDEX('Pegar calibracion'!$A$1:$BZ$1001,99,K$2)&amp;""),""))</f>
        <v/>
      </c>
      <c r="L100">
        <f>IF(L$2=0,"",IFERROR(TRIM(INDEX('Pegar calibracion'!$A$1:$BZ$1001,99,L$2)&amp;""),""))</f>
        <v/>
      </c>
      <c r="M100" s="25">
        <f>IF(D100="","",SUBSTITUTE(SUBSTITUTE(SUBSTITUTE(SUBSTITUTE(SUBSTITUTE(SUBSTITUTE(SUBSTITUTE(SUBSTITUTE(SUBSTITUTE(SUBSTITUTE(SUBSTITUTE(SUBSTITUTE(LOWER(TRIM(D100)),"á","a"),"é","e"),"í","i"),"ó","o"),"ú","u"),"ü","u"),"ñ","n"),"à","a"),"è","e"),"ì","i"),"ò","o"),"ù","u"))</f>
        <v/>
      </c>
      <c r="N100" s="25">
        <f>IF(F100="","",SUBSTITUTE(SUBSTITUTE(SUBSTITUTE(SUBSTITUTE(SUBSTITUTE(SUBSTITUTE(SUBSTITUTE(SUBSTITUTE(SUBSTITUTE(SUBSTITUTE(SUBSTITUTE(SUBSTITUTE(LOWER(TRIM(F100)),"á","a"),"é","e"),"í","i"),"ó","o"),"ú","u"),"ü","u"),"ñ","n"),"à","a"),"è","e"),"ì","i"),"ò","o"),"ù","u"))</f>
        <v/>
      </c>
      <c r="O100" s="25">
        <f>IF(M100="confiable",2,IF(M100="dudosa",1,IF(M100="no confiable",0,"")))</f>
        <v/>
      </c>
      <c r="P100" s="25">
        <f>IF(N100="confiable",2,IF(N100="dudosa",1,IF(N100="no confiable",0,"")))</f>
        <v/>
      </c>
      <c r="Q100" s="25">
        <f>IF(AND(ISNUMBER(O100),ISNUMBER(P100)),1,"")</f>
        <v/>
      </c>
      <c r="R100" s="25">
        <f>IF(Q100=1,IF(O100=P100,"Sí","No"),"")</f>
        <v/>
      </c>
      <c r="S100" s="25">
        <f>IF(Q100=1,IF(P100&lt;O100,"Más estricto",IF(P100&gt;O100,"Más permisivo","Igual")),"")</f>
        <v/>
      </c>
      <c r="T100" s="25">
        <f>IF(Q100=1,IF(ABS(O100-P100)=2,1,0),"")</f>
        <v/>
      </c>
      <c r="U100" s="25">
        <f>IF(H100="","","|"&amp;SUBSTITUTE(SUBSTITUTE(TRIM(H100)," |","|"),"| ","|")&amp;"|")</f>
        <v/>
      </c>
      <c r="V100" s="25">
        <f>IF(AND(Q100=1,B100&lt;&gt;""),IF(IFERROR(COUNTIFS(B$3:B100,"="&amp;SUBSTITUTE(SUBSTITUTE(SUBSTITUTE(B100,"~","~~"),"*","~*"),"?","~?"),Q$3:Q100,1),0)=1,MAX(V$2:V99)+1,""),"")</f>
        <v/>
      </c>
      <c r="W100" s="25">
        <f>IF(V100="","",COUNTIFS($B$3:$B$1002,"="&amp;SUBSTITUTE(SUBSTITUTE(SUBSTITUTE(B100,"~","~~"),"*","~*"),"?","~?"),$Q$3:$Q$1002,1)*10000-V100)</f>
        <v/>
      </c>
      <c r="X100" s="25">
        <f>IF(Q100=1,IF(SUBSTITUTE(SUBSTITUTE(SUBSTITUTE(SUBSTITUTE(SUBSTITUTE(SUBSTITUTE(SUBSTITUTE(SUBSTITUTE(SUBSTITUTE(SUBSTITUTE(SUBSTITUTE(SUBSTITUTE(LOWER(TRIM(A100)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100)),"á","a"),"é","e"),"í","i"),"ó","o"),"ú","u"),"ü","u"),"ñ","n"),"à","a"),"è","e"),"ì","i"),"ò","o"),"ù","u")),"")</f>
        <v/>
      </c>
      <c r="Y100" s="25">
        <f>IF(X100="","",IF(IFERROR(COUNTIF(X$3:X100,"="&amp;SUBSTITUTE(SUBSTITUTE(SUBSTITUTE(X100,"~","~~"),"*","~*"),"?","~?")),0)=1,1,""))</f>
        <v/>
      </c>
      <c r="Z100" s="25">
        <f>IF(T100=1,MAX(Z$2:Z99)+1,"")</f>
        <v/>
      </c>
    </row>
    <row r="101">
      <c r="A101">
        <f>IF(A$2=0,"",IFERROR(TRIM(INDEX('Pegar calibracion'!$A$1:$BZ$1001,100,A$2)&amp;""),""))</f>
        <v/>
      </c>
      <c r="B101">
        <f>IF(B$2=0,"",IFERROR(TRIM(INDEX('Pegar calibracion'!$A$1:$BZ$1001,100,B$2)&amp;""),""))</f>
        <v/>
      </c>
      <c r="C101">
        <f>IF(C$2=0,"",IFERROR(TRIM(INDEX('Pegar calibracion'!$A$1:$BZ$1001,100,C$2)&amp;""),""))</f>
        <v/>
      </c>
      <c r="D101">
        <f>IF(D$2=0,"",IFERROR(TRIM(INDEX('Pegar calibracion'!$A$1:$BZ$1001,100,D$2)&amp;""),""))</f>
        <v/>
      </c>
      <c r="E101">
        <f>IF(E$2=0,"",IFERROR(TRIM(INDEX('Pegar calibracion'!$A$1:$BZ$1001,100,E$2)&amp;""),""))</f>
        <v/>
      </c>
      <c r="F101">
        <f>IF(F$2=0,"",IFERROR(TRIM(INDEX('Pegar calibracion'!$A$1:$BZ$1001,100,F$2)&amp;""),""))</f>
        <v/>
      </c>
      <c r="G101">
        <f>IF(G$2=0,"",IFERROR(TRIM(INDEX('Pegar calibracion'!$A$1:$BZ$1001,100,G$2)&amp;""),""))</f>
        <v/>
      </c>
      <c r="H101">
        <f>IF(H$2=0,"",IFERROR(TRIM(INDEX('Pegar calibracion'!$A$1:$BZ$1001,100,H$2)&amp;""),""))</f>
        <v/>
      </c>
      <c r="I101">
        <f>IF(I$2=0,"",IFERROR(TRIM(INDEX('Pegar calibracion'!$A$1:$BZ$1001,100,I$2)&amp;""),""))</f>
        <v/>
      </c>
      <c r="J101">
        <f>IF(J$2=0,"",IFERROR(TRIM(INDEX('Pegar calibracion'!$A$1:$BZ$1001,100,J$2)&amp;""),""))</f>
        <v/>
      </c>
      <c r="K101">
        <f>IF(K$2=0,"",IFERROR(TRIM(INDEX('Pegar calibracion'!$A$1:$BZ$1001,100,K$2)&amp;""),""))</f>
        <v/>
      </c>
      <c r="L101">
        <f>IF(L$2=0,"",IFERROR(TRIM(INDEX('Pegar calibracion'!$A$1:$BZ$1001,100,L$2)&amp;""),""))</f>
        <v/>
      </c>
      <c r="M101" s="25">
        <f>IF(D101="","",SUBSTITUTE(SUBSTITUTE(SUBSTITUTE(SUBSTITUTE(SUBSTITUTE(SUBSTITUTE(SUBSTITUTE(SUBSTITUTE(SUBSTITUTE(SUBSTITUTE(SUBSTITUTE(SUBSTITUTE(LOWER(TRIM(D101)),"á","a"),"é","e"),"í","i"),"ó","o"),"ú","u"),"ü","u"),"ñ","n"),"à","a"),"è","e"),"ì","i"),"ò","o"),"ù","u"))</f>
        <v/>
      </c>
      <c r="N101" s="25">
        <f>IF(F101="","",SUBSTITUTE(SUBSTITUTE(SUBSTITUTE(SUBSTITUTE(SUBSTITUTE(SUBSTITUTE(SUBSTITUTE(SUBSTITUTE(SUBSTITUTE(SUBSTITUTE(SUBSTITUTE(SUBSTITUTE(LOWER(TRIM(F101)),"á","a"),"é","e"),"í","i"),"ó","o"),"ú","u"),"ü","u"),"ñ","n"),"à","a"),"è","e"),"ì","i"),"ò","o"),"ù","u"))</f>
        <v/>
      </c>
      <c r="O101" s="25">
        <f>IF(M101="confiable",2,IF(M101="dudosa",1,IF(M101="no confiable",0,"")))</f>
        <v/>
      </c>
      <c r="P101" s="25">
        <f>IF(N101="confiable",2,IF(N101="dudosa",1,IF(N101="no confiable",0,"")))</f>
        <v/>
      </c>
      <c r="Q101" s="25">
        <f>IF(AND(ISNUMBER(O101),ISNUMBER(P101)),1,"")</f>
        <v/>
      </c>
      <c r="R101" s="25">
        <f>IF(Q101=1,IF(O101=P101,"Sí","No"),"")</f>
        <v/>
      </c>
      <c r="S101" s="25">
        <f>IF(Q101=1,IF(P101&lt;O101,"Más estricto",IF(P101&gt;O101,"Más permisivo","Igual")),"")</f>
        <v/>
      </c>
      <c r="T101" s="25">
        <f>IF(Q101=1,IF(ABS(O101-P101)=2,1,0),"")</f>
        <v/>
      </c>
      <c r="U101" s="25">
        <f>IF(H101="","","|"&amp;SUBSTITUTE(SUBSTITUTE(TRIM(H101)," |","|"),"| ","|")&amp;"|")</f>
        <v/>
      </c>
      <c r="V101" s="25">
        <f>IF(AND(Q101=1,B101&lt;&gt;""),IF(IFERROR(COUNTIFS(B$3:B101,"="&amp;SUBSTITUTE(SUBSTITUTE(SUBSTITUTE(B101,"~","~~"),"*","~*"),"?","~?"),Q$3:Q101,1),0)=1,MAX(V$2:V100)+1,""),"")</f>
        <v/>
      </c>
      <c r="W101" s="25">
        <f>IF(V101="","",COUNTIFS($B$3:$B$1002,"="&amp;SUBSTITUTE(SUBSTITUTE(SUBSTITUTE(B101,"~","~~"),"*","~*"),"?","~?"),$Q$3:$Q$1002,1)*10000-V101)</f>
        <v/>
      </c>
      <c r="X101" s="25">
        <f>IF(Q101=1,IF(SUBSTITUTE(SUBSTITUTE(SUBSTITUTE(SUBSTITUTE(SUBSTITUTE(SUBSTITUTE(SUBSTITUTE(SUBSTITUTE(SUBSTITUTE(SUBSTITUTE(SUBSTITUTE(SUBSTITUTE(LOWER(TRIM(A101)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101)),"á","a"),"é","e"),"í","i"),"ó","o"),"ú","u"),"ü","u"),"ñ","n"),"à","a"),"è","e"),"ì","i"),"ò","o"),"ù","u")),"")</f>
        <v/>
      </c>
      <c r="Y101" s="25">
        <f>IF(X101="","",IF(IFERROR(COUNTIF(X$3:X101,"="&amp;SUBSTITUTE(SUBSTITUTE(SUBSTITUTE(X101,"~","~~"),"*","~*"),"?","~?")),0)=1,1,""))</f>
        <v/>
      </c>
      <c r="Z101" s="25">
        <f>IF(T101=1,MAX(Z$2:Z100)+1,"")</f>
        <v/>
      </c>
    </row>
    <row r="102">
      <c r="A102">
        <f>IF(A$2=0,"",IFERROR(TRIM(INDEX('Pegar calibracion'!$A$1:$BZ$1001,101,A$2)&amp;""),""))</f>
        <v/>
      </c>
      <c r="B102">
        <f>IF(B$2=0,"",IFERROR(TRIM(INDEX('Pegar calibracion'!$A$1:$BZ$1001,101,B$2)&amp;""),""))</f>
        <v/>
      </c>
      <c r="C102">
        <f>IF(C$2=0,"",IFERROR(TRIM(INDEX('Pegar calibracion'!$A$1:$BZ$1001,101,C$2)&amp;""),""))</f>
        <v/>
      </c>
      <c r="D102">
        <f>IF(D$2=0,"",IFERROR(TRIM(INDEX('Pegar calibracion'!$A$1:$BZ$1001,101,D$2)&amp;""),""))</f>
        <v/>
      </c>
      <c r="E102">
        <f>IF(E$2=0,"",IFERROR(TRIM(INDEX('Pegar calibracion'!$A$1:$BZ$1001,101,E$2)&amp;""),""))</f>
        <v/>
      </c>
      <c r="F102">
        <f>IF(F$2=0,"",IFERROR(TRIM(INDEX('Pegar calibracion'!$A$1:$BZ$1001,101,F$2)&amp;""),""))</f>
        <v/>
      </c>
      <c r="G102">
        <f>IF(G$2=0,"",IFERROR(TRIM(INDEX('Pegar calibracion'!$A$1:$BZ$1001,101,G$2)&amp;""),""))</f>
        <v/>
      </c>
      <c r="H102">
        <f>IF(H$2=0,"",IFERROR(TRIM(INDEX('Pegar calibracion'!$A$1:$BZ$1001,101,H$2)&amp;""),""))</f>
        <v/>
      </c>
      <c r="I102">
        <f>IF(I$2=0,"",IFERROR(TRIM(INDEX('Pegar calibracion'!$A$1:$BZ$1001,101,I$2)&amp;""),""))</f>
        <v/>
      </c>
      <c r="J102">
        <f>IF(J$2=0,"",IFERROR(TRIM(INDEX('Pegar calibracion'!$A$1:$BZ$1001,101,J$2)&amp;""),""))</f>
        <v/>
      </c>
      <c r="K102">
        <f>IF(K$2=0,"",IFERROR(TRIM(INDEX('Pegar calibracion'!$A$1:$BZ$1001,101,K$2)&amp;""),""))</f>
        <v/>
      </c>
      <c r="L102">
        <f>IF(L$2=0,"",IFERROR(TRIM(INDEX('Pegar calibracion'!$A$1:$BZ$1001,101,L$2)&amp;""),""))</f>
        <v/>
      </c>
      <c r="M102" s="25">
        <f>IF(D102="","",SUBSTITUTE(SUBSTITUTE(SUBSTITUTE(SUBSTITUTE(SUBSTITUTE(SUBSTITUTE(SUBSTITUTE(SUBSTITUTE(SUBSTITUTE(SUBSTITUTE(SUBSTITUTE(SUBSTITUTE(LOWER(TRIM(D102)),"á","a"),"é","e"),"í","i"),"ó","o"),"ú","u"),"ü","u"),"ñ","n"),"à","a"),"è","e"),"ì","i"),"ò","o"),"ù","u"))</f>
        <v/>
      </c>
      <c r="N102" s="25">
        <f>IF(F102="","",SUBSTITUTE(SUBSTITUTE(SUBSTITUTE(SUBSTITUTE(SUBSTITUTE(SUBSTITUTE(SUBSTITUTE(SUBSTITUTE(SUBSTITUTE(SUBSTITUTE(SUBSTITUTE(SUBSTITUTE(LOWER(TRIM(F102)),"á","a"),"é","e"),"í","i"),"ó","o"),"ú","u"),"ü","u"),"ñ","n"),"à","a"),"è","e"),"ì","i"),"ò","o"),"ù","u"))</f>
        <v/>
      </c>
      <c r="O102" s="25">
        <f>IF(M102="confiable",2,IF(M102="dudosa",1,IF(M102="no confiable",0,"")))</f>
        <v/>
      </c>
      <c r="P102" s="25">
        <f>IF(N102="confiable",2,IF(N102="dudosa",1,IF(N102="no confiable",0,"")))</f>
        <v/>
      </c>
      <c r="Q102" s="25">
        <f>IF(AND(ISNUMBER(O102),ISNUMBER(P102)),1,"")</f>
        <v/>
      </c>
      <c r="R102" s="25">
        <f>IF(Q102=1,IF(O102=P102,"Sí","No"),"")</f>
        <v/>
      </c>
      <c r="S102" s="25">
        <f>IF(Q102=1,IF(P102&lt;O102,"Más estricto",IF(P102&gt;O102,"Más permisivo","Igual")),"")</f>
        <v/>
      </c>
      <c r="T102" s="25">
        <f>IF(Q102=1,IF(ABS(O102-P102)=2,1,0),"")</f>
        <v/>
      </c>
      <c r="U102" s="25">
        <f>IF(H102="","","|"&amp;SUBSTITUTE(SUBSTITUTE(TRIM(H102)," |","|"),"| ","|")&amp;"|")</f>
        <v/>
      </c>
      <c r="V102" s="25">
        <f>IF(AND(Q102=1,B102&lt;&gt;""),IF(IFERROR(COUNTIFS(B$3:B102,"="&amp;SUBSTITUTE(SUBSTITUTE(SUBSTITUTE(B102,"~","~~"),"*","~*"),"?","~?"),Q$3:Q102,1),0)=1,MAX(V$2:V101)+1,""),"")</f>
        <v/>
      </c>
      <c r="W102" s="25">
        <f>IF(V102="","",COUNTIFS($B$3:$B$1002,"="&amp;SUBSTITUTE(SUBSTITUTE(SUBSTITUTE(B102,"~","~~"),"*","~*"),"?","~?"),$Q$3:$Q$1002,1)*10000-V102)</f>
        <v/>
      </c>
      <c r="X102" s="25">
        <f>IF(Q102=1,IF(SUBSTITUTE(SUBSTITUTE(SUBSTITUTE(SUBSTITUTE(SUBSTITUTE(SUBSTITUTE(SUBSTITUTE(SUBSTITUTE(SUBSTITUTE(SUBSTITUTE(SUBSTITUTE(SUBSTITUTE(LOWER(TRIM(A102)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102)),"á","a"),"é","e"),"í","i"),"ó","o"),"ú","u"),"ü","u"),"ñ","n"),"à","a"),"è","e"),"ì","i"),"ò","o"),"ù","u")),"")</f>
        <v/>
      </c>
      <c r="Y102" s="25">
        <f>IF(X102="","",IF(IFERROR(COUNTIF(X$3:X102,"="&amp;SUBSTITUTE(SUBSTITUTE(SUBSTITUTE(X102,"~","~~"),"*","~*"),"?","~?")),0)=1,1,""))</f>
        <v/>
      </c>
      <c r="Z102" s="25">
        <f>IF(T102=1,MAX(Z$2:Z101)+1,"")</f>
        <v/>
      </c>
    </row>
    <row r="103">
      <c r="A103">
        <f>IF(A$2=0,"",IFERROR(TRIM(INDEX('Pegar calibracion'!$A$1:$BZ$1001,102,A$2)&amp;""),""))</f>
        <v/>
      </c>
      <c r="B103">
        <f>IF(B$2=0,"",IFERROR(TRIM(INDEX('Pegar calibracion'!$A$1:$BZ$1001,102,B$2)&amp;""),""))</f>
        <v/>
      </c>
      <c r="C103">
        <f>IF(C$2=0,"",IFERROR(TRIM(INDEX('Pegar calibracion'!$A$1:$BZ$1001,102,C$2)&amp;""),""))</f>
        <v/>
      </c>
      <c r="D103">
        <f>IF(D$2=0,"",IFERROR(TRIM(INDEX('Pegar calibracion'!$A$1:$BZ$1001,102,D$2)&amp;""),""))</f>
        <v/>
      </c>
      <c r="E103">
        <f>IF(E$2=0,"",IFERROR(TRIM(INDEX('Pegar calibracion'!$A$1:$BZ$1001,102,E$2)&amp;""),""))</f>
        <v/>
      </c>
      <c r="F103">
        <f>IF(F$2=0,"",IFERROR(TRIM(INDEX('Pegar calibracion'!$A$1:$BZ$1001,102,F$2)&amp;""),""))</f>
        <v/>
      </c>
      <c r="G103">
        <f>IF(G$2=0,"",IFERROR(TRIM(INDEX('Pegar calibracion'!$A$1:$BZ$1001,102,G$2)&amp;""),""))</f>
        <v/>
      </c>
      <c r="H103">
        <f>IF(H$2=0,"",IFERROR(TRIM(INDEX('Pegar calibracion'!$A$1:$BZ$1001,102,H$2)&amp;""),""))</f>
        <v/>
      </c>
      <c r="I103">
        <f>IF(I$2=0,"",IFERROR(TRIM(INDEX('Pegar calibracion'!$A$1:$BZ$1001,102,I$2)&amp;""),""))</f>
        <v/>
      </c>
      <c r="J103">
        <f>IF(J$2=0,"",IFERROR(TRIM(INDEX('Pegar calibracion'!$A$1:$BZ$1001,102,J$2)&amp;""),""))</f>
        <v/>
      </c>
      <c r="K103">
        <f>IF(K$2=0,"",IFERROR(TRIM(INDEX('Pegar calibracion'!$A$1:$BZ$1001,102,K$2)&amp;""),""))</f>
        <v/>
      </c>
      <c r="L103">
        <f>IF(L$2=0,"",IFERROR(TRIM(INDEX('Pegar calibracion'!$A$1:$BZ$1001,102,L$2)&amp;""),""))</f>
        <v/>
      </c>
      <c r="M103" s="25">
        <f>IF(D103="","",SUBSTITUTE(SUBSTITUTE(SUBSTITUTE(SUBSTITUTE(SUBSTITUTE(SUBSTITUTE(SUBSTITUTE(SUBSTITUTE(SUBSTITUTE(SUBSTITUTE(SUBSTITUTE(SUBSTITUTE(LOWER(TRIM(D103)),"á","a"),"é","e"),"í","i"),"ó","o"),"ú","u"),"ü","u"),"ñ","n"),"à","a"),"è","e"),"ì","i"),"ò","o"),"ù","u"))</f>
        <v/>
      </c>
      <c r="N103" s="25">
        <f>IF(F103="","",SUBSTITUTE(SUBSTITUTE(SUBSTITUTE(SUBSTITUTE(SUBSTITUTE(SUBSTITUTE(SUBSTITUTE(SUBSTITUTE(SUBSTITUTE(SUBSTITUTE(SUBSTITUTE(SUBSTITUTE(LOWER(TRIM(F103)),"á","a"),"é","e"),"í","i"),"ó","o"),"ú","u"),"ü","u"),"ñ","n"),"à","a"),"è","e"),"ì","i"),"ò","o"),"ù","u"))</f>
        <v/>
      </c>
      <c r="O103" s="25">
        <f>IF(M103="confiable",2,IF(M103="dudosa",1,IF(M103="no confiable",0,"")))</f>
        <v/>
      </c>
      <c r="P103" s="25">
        <f>IF(N103="confiable",2,IF(N103="dudosa",1,IF(N103="no confiable",0,"")))</f>
        <v/>
      </c>
      <c r="Q103" s="25">
        <f>IF(AND(ISNUMBER(O103),ISNUMBER(P103)),1,"")</f>
        <v/>
      </c>
      <c r="R103" s="25">
        <f>IF(Q103=1,IF(O103=P103,"Sí","No"),"")</f>
        <v/>
      </c>
      <c r="S103" s="25">
        <f>IF(Q103=1,IF(P103&lt;O103,"Más estricto",IF(P103&gt;O103,"Más permisivo","Igual")),"")</f>
        <v/>
      </c>
      <c r="T103" s="25">
        <f>IF(Q103=1,IF(ABS(O103-P103)=2,1,0),"")</f>
        <v/>
      </c>
      <c r="U103" s="25">
        <f>IF(H103="","","|"&amp;SUBSTITUTE(SUBSTITUTE(TRIM(H103)," |","|"),"| ","|")&amp;"|")</f>
        <v/>
      </c>
      <c r="V103" s="25">
        <f>IF(AND(Q103=1,B103&lt;&gt;""),IF(IFERROR(COUNTIFS(B$3:B103,"="&amp;SUBSTITUTE(SUBSTITUTE(SUBSTITUTE(B103,"~","~~"),"*","~*"),"?","~?"),Q$3:Q103,1),0)=1,MAX(V$2:V102)+1,""),"")</f>
        <v/>
      </c>
      <c r="W103" s="25">
        <f>IF(V103="","",COUNTIFS($B$3:$B$1002,"="&amp;SUBSTITUTE(SUBSTITUTE(SUBSTITUTE(B103,"~","~~"),"*","~*"),"?","~?"),$Q$3:$Q$1002,1)*10000-V103)</f>
        <v/>
      </c>
      <c r="X103" s="25">
        <f>IF(Q103=1,IF(SUBSTITUTE(SUBSTITUTE(SUBSTITUTE(SUBSTITUTE(SUBSTITUTE(SUBSTITUTE(SUBSTITUTE(SUBSTITUTE(SUBSTITUTE(SUBSTITUTE(SUBSTITUTE(SUBSTITUTE(LOWER(TRIM(A103)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103)),"á","a"),"é","e"),"í","i"),"ó","o"),"ú","u"),"ü","u"),"ñ","n"),"à","a"),"è","e"),"ì","i"),"ò","o"),"ù","u")),"")</f>
        <v/>
      </c>
      <c r="Y103" s="25">
        <f>IF(X103="","",IF(IFERROR(COUNTIF(X$3:X103,"="&amp;SUBSTITUTE(SUBSTITUTE(SUBSTITUTE(X103,"~","~~"),"*","~*"),"?","~?")),0)=1,1,""))</f>
        <v/>
      </c>
      <c r="Z103" s="25">
        <f>IF(T103=1,MAX(Z$2:Z102)+1,"")</f>
        <v/>
      </c>
    </row>
    <row r="104">
      <c r="A104">
        <f>IF(A$2=0,"",IFERROR(TRIM(INDEX('Pegar calibracion'!$A$1:$BZ$1001,103,A$2)&amp;""),""))</f>
        <v/>
      </c>
      <c r="B104">
        <f>IF(B$2=0,"",IFERROR(TRIM(INDEX('Pegar calibracion'!$A$1:$BZ$1001,103,B$2)&amp;""),""))</f>
        <v/>
      </c>
      <c r="C104">
        <f>IF(C$2=0,"",IFERROR(TRIM(INDEX('Pegar calibracion'!$A$1:$BZ$1001,103,C$2)&amp;""),""))</f>
        <v/>
      </c>
      <c r="D104">
        <f>IF(D$2=0,"",IFERROR(TRIM(INDEX('Pegar calibracion'!$A$1:$BZ$1001,103,D$2)&amp;""),""))</f>
        <v/>
      </c>
      <c r="E104">
        <f>IF(E$2=0,"",IFERROR(TRIM(INDEX('Pegar calibracion'!$A$1:$BZ$1001,103,E$2)&amp;""),""))</f>
        <v/>
      </c>
      <c r="F104">
        <f>IF(F$2=0,"",IFERROR(TRIM(INDEX('Pegar calibracion'!$A$1:$BZ$1001,103,F$2)&amp;""),""))</f>
        <v/>
      </c>
      <c r="G104">
        <f>IF(G$2=0,"",IFERROR(TRIM(INDEX('Pegar calibracion'!$A$1:$BZ$1001,103,G$2)&amp;""),""))</f>
        <v/>
      </c>
      <c r="H104">
        <f>IF(H$2=0,"",IFERROR(TRIM(INDEX('Pegar calibracion'!$A$1:$BZ$1001,103,H$2)&amp;""),""))</f>
        <v/>
      </c>
      <c r="I104">
        <f>IF(I$2=0,"",IFERROR(TRIM(INDEX('Pegar calibracion'!$A$1:$BZ$1001,103,I$2)&amp;""),""))</f>
        <v/>
      </c>
      <c r="J104">
        <f>IF(J$2=0,"",IFERROR(TRIM(INDEX('Pegar calibracion'!$A$1:$BZ$1001,103,J$2)&amp;""),""))</f>
        <v/>
      </c>
      <c r="K104">
        <f>IF(K$2=0,"",IFERROR(TRIM(INDEX('Pegar calibracion'!$A$1:$BZ$1001,103,K$2)&amp;""),""))</f>
        <v/>
      </c>
      <c r="L104">
        <f>IF(L$2=0,"",IFERROR(TRIM(INDEX('Pegar calibracion'!$A$1:$BZ$1001,103,L$2)&amp;""),""))</f>
        <v/>
      </c>
      <c r="M104" s="25">
        <f>IF(D104="","",SUBSTITUTE(SUBSTITUTE(SUBSTITUTE(SUBSTITUTE(SUBSTITUTE(SUBSTITUTE(SUBSTITUTE(SUBSTITUTE(SUBSTITUTE(SUBSTITUTE(SUBSTITUTE(SUBSTITUTE(LOWER(TRIM(D104)),"á","a"),"é","e"),"í","i"),"ó","o"),"ú","u"),"ü","u"),"ñ","n"),"à","a"),"è","e"),"ì","i"),"ò","o"),"ù","u"))</f>
        <v/>
      </c>
      <c r="N104" s="25">
        <f>IF(F104="","",SUBSTITUTE(SUBSTITUTE(SUBSTITUTE(SUBSTITUTE(SUBSTITUTE(SUBSTITUTE(SUBSTITUTE(SUBSTITUTE(SUBSTITUTE(SUBSTITUTE(SUBSTITUTE(SUBSTITUTE(LOWER(TRIM(F104)),"á","a"),"é","e"),"í","i"),"ó","o"),"ú","u"),"ü","u"),"ñ","n"),"à","a"),"è","e"),"ì","i"),"ò","o"),"ù","u"))</f>
        <v/>
      </c>
      <c r="O104" s="25">
        <f>IF(M104="confiable",2,IF(M104="dudosa",1,IF(M104="no confiable",0,"")))</f>
        <v/>
      </c>
      <c r="P104" s="25">
        <f>IF(N104="confiable",2,IF(N104="dudosa",1,IF(N104="no confiable",0,"")))</f>
        <v/>
      </c>
      <c r="Q104" s="25">
        <f>IF(AND(ISNUMBER(O104),ISNUMBER(P104)),1,"")</f>
        <v/>
      </c>
      <c r="R104" s="25">
        <f>IF(Q104=1,IF(O104=P104,"Sí","No"),"")</f>
        <v/>
      </c>
      <c r="S104" s="25">
        <f>IF(Q104=1,IF(P104&lt;O104,"Más estricto",IF(P104&gt;O104,"Más permisivo","Igual")),"")</f>
        <v/>
      </c>
      <c r="T104" s="25">
        <f>IF(Q104=1,IF(ABS(O104-P104)=2,1,0),"")</f>
        <v/>
      </c>
      <c r="U104" s="25">
        <f>IF(H104="","","|"&amp;SUBSTITUTE(SUBSTITUTE(TRIM(H104)," |","|"),"| ","|")&amp;"|")</f>
        <v/>
      </c>
      <c r="V104" s="25">
        <f>IF(AND(Q104=1,B104&lt;&gt;""),IF(IFERROR(COUNTIFS(B$3:B104,"="&amp;SUBSTITUTE(SUBSTITUTE(SUBSTITUTE(B104,"~","~~"),"*","~*"),"?","~?"),Q$3:Q104,1),0)=1,MAX(V$2:V103)+1,""),"")</f>
        <v/>
      </c>
      <c r="W104" s="25">
        <f>IF(V104="","",COUNTIFS($B$3:$B$1002,"="&amp;SUBSTITUTE(SUBSTITUTE(SUBSTITUTE(B104,"~","~~"),"*","~*"),"?","~?"),$Q$3:$Q$1002,1)*10000-V104)</f>
        <v/>
      </c>
      <c r="X104" s="25">
        <f>IF(Q104=1,IF(SUBSTITUTE(SUBSTITUTE(SUBSTITUTE(SUBSTITUTE(SUBSTITUTE(SUBSTITUTE(SUBSTITUTE(SUBSTITUTE(SUBSTITUTE(SUBSTITUTE(SUBSTITUTE(SUBSTITUTE(LOWER(TRIM(A104)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104)),"á","a"),"é","e"),"í","i"),"ó","o"),"ú","u"),"ü","u"),"ñ","n"),"à","a"),"è","e"),"ì","i"),"ò","o"),"ù","u")),"")</f>
        <v/>
      </c>
      <c r="Y104" s="25">
        <f>IF(X104="","",IF(IFERROR(COUNTIF(X$3:X104,"="&amp;SUBSTITUTE(SUBSTITUTE(SUBSTITUTE(X104,"~","~~"),"*","~*"),"?","~?")),0)=1,1,""))</f>
        <v/>
      </c>
      <c r="Z104" s="25">
        <f>IF(T104=1,MAX(Z$2:Z103)+1,"")</f>
        <v/>
      </c>
    </row>
    <row r="105">
      <c r="A105">
        <f>IF(A$2=0,"",IFERROR(TRIM(INDEX('Pegar calibracion'!$A$1:$BZ$1001,104,A$2)&amp;""),""))</f>
        <v/>
      </c>
      <c r="B105">
        <f>IF(B$2=0,"",IFERROR(TRIM(INDEX('Pegar calibracion'!$A$1:$BZ$1001,104,B$2)&amp;""),""))</f>
        <v/>
      </c>
      <c r="C105">
        <f>IF(C$2=0,"",IFERROR(TRIM(INDEX('Pegar calibracion'!$A$1:$BZ$1001,104,C$2)&amp;""),""))</f>
        <v/>
      </c>
      <c r="D105">
        <f>IF(D$2=0,"",IFERROR(TRIM(INDEX('Pegar calibracion'!$A$1:$BZ$1001,104,D$2)&amp;""),""))</f>
        <v/>
      </c>
      <c r="E105">
        <f>IF(E$2=0,"",IFERROR(TRIM(INDEX('Pegar calibracion'!$A$1:$BZ$1001,104,E$2)&amp;""),""))</f>
        <v/>
      </c>
      <c r="F105">
        <f>IF(F$2=0,"",IFERROR(TRIM(INDEX('Pegar calibracion'!$A$1:$BZ$1001,104,F$2)&amp;""),""))</f>
        <v/>
      </c>
      <c r="G105">
        <f>IF(G$2=0,"",IFERROR(TRIM(INDEX('Pegar calibracion'!$A$1:$BZ$1001,104,G$2)&amp;""),""))</f>
        <v/>
      </c>
      <c r="H105">
        <f>IF(H$2=0,"",IFERROR(TRIM(INDEX('Pegar calibracion'!$A$1:$BZ$1001,104,H$2)&amp;""),""))</f>
        <v/>
      </c>
      <c r="I105">
        <f>IF(I$2=0,"",IFERROR(TRIM(INDEX('Pegar calibracion'!$A$1:$BZ$1001,104,I$2)&amp;""),""))</f>
        <v/>
      </c>
      <c r="J105">
        <f>IF(J$2=0,"",IFERROR(TRIM(INDEX('Pegar calibracion'!$A$1:$BZ$1001,104,J$2)&amp;""),""))</f>
        <v/>
      </c>
      <c r="K105">
        <f>IF(K$2=0,"",IFERROR(TRIM(INDEX('Pegar calibracion'!$A$1:$BZ$1001,104,K$2)&amp;""),""))</f>
        <v/>
      </c>
      <c r="L105">
        <f>IF(L$2=0,"",IFERROR(TRIM(INDEX('Pegar calibracion'!$A$1:$BZ$1001,104,L$2)&amp;""),""))</f>
        <v/>
      </c>
      <c r="M105" s="25">
        <f>IF(D105="","",SUBSTITUTE(SUBSTITUTE(SUBSTITUTE(SUBSTITUTE(SUBSTITUTE(SUBSTITUTE(SUBSTITUTE(SUBSTITUTE(SUBSTITUTE(SUBSTITUTE(SUBSTITUTE(SUBSTITUTE(LOWER(TRIM(D105)),"á","a"),"é","e"),"í","i"),"ó","o"),"ú","u"),"ü","u"),"ñ","n"),"à","a"),"è","e"),"ì","i"),"ò","o"),"ù","u"))</f>
        <v/>
      </c>
      <c r="N105" s="25">
        <f>IF(F105="","",SUBSTITUTE(SUBSTITUTE(SUBSTITUTE(SUBSTITUTE(SUBSTITUTE(SUBSTITUTE(SUBSTITUTE(SUBSTITUTE(SUBSTITUTE(SUBSTITUTE(SUBSTITUTE(SUBSTITUTE(LOWER(TRIM(F105)),"á","a"),"é","e"),"í","i"),"ó","o"),"ú","u"),"ü","u"),"ñ","n"),"à","a"),"è","e"),"ì","i"),"ò","o"),"ù","u"))</f>
        <v/>
      </c>
      <c r="O105" s="25">
        <f>IF(M105="confiable",2,IF(M105="dudosa",1,IF(M105="no confiable",0,"")))</f>
        <v/>
      </c>
      <c r="P105" s="25">
        <f>IF(N105="confiable",2,IF(N105="dudosa",1,IF(N105="no confiable",0,"")))</f>
        <v/>
      </c>
      <c r="Q105" s="25">
        <f>IF(AND(ISNUMBER(O105),ISNUMBER(P105)),1,"")</f>
        <v/>
      </c>
      <c r="R105" s="25">
        <f>IF(Q105=1,IF(O105=P105,"Sí","No"),"")</f>
        <v/>
      </c>
      <c r="S105" s="25">
        <f>IF(Q105=1,IF(P105&lt;O105,"Más estricto",IF(P105&gt;O105,"Más permisivo","Igual")),"")</f>
        <v/>
      </c>
      <c r="T105" s="25">
        <f>IF(Q105=1,IF(ABS(O105-P105)=2,1,0),"")</f>
        <v/>
      </c>
      <c r="U105" s="25">
        <f>IF(H105="","","|"&amp;SUBSTITUTE(SUBSTITUTE(TRIM(H105)," |","|"),"| ","|")&amp;"|")</f>
        <v/>
      </c>
      <c r="V105" s="25">
        <f>IF(AND(Q105=1,B105&lt;&gt;""),IF(IFERROR(COUNTIFS(B$3:B105,"="&amp;SUBSTITUTE(SUBSTITUTE(SUBSTITUTE(B105,"~","~~"),"*","~*"),"?","~?"),Q$3:Q105,1),0)=1,MAX(V$2:V104)+1,""),"")</f>
        <v/>
      </c>
      <c r="W105" s="25">
        <f>IF(V105="","",COUNTIFS($B$3:$B$1002,"="&amp;SUBSTITUTE(SUBSTITUTE(SUBSTITUTE(B105,"~","~~"),"*","~*"),"?","~?"),$Q$3:$Q$1002,1)*10000-V105)</f>
        <v/>
      </c>
      <c r="X105" s="25">
        <f>IF(Q105=1,IF(SUBSTITUTE(SUBSTITUTE(SUBSTITUTE(SUBSTITUTE(SUBSTITUTE(SUBSTITUTE(SUBSTITUTE(SUBSTITUTE(SUBSTITUTE(SUBSTITUTE(SUBSTITUTE(SUBSTITUTE(LOWER(TRIM(A105)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105)),"á","a"),"é","e"),"í","i"),"ó","o"),"ú","u"),"ü","u"),"ñ","n"),"à","a"),"è","e"),"ì","i"),"ò","o"),"ù","u")),"")</f>
        <v/>
      </c>
      <c r="Y105" s="25">
        <f>IF(X105="","",IF(IFERROR(COUNTIF(X$3:X105,"="&amp;SUBSTITUTE(SUBSTITUTE(SUBSTITUTE(X105,"~","~~"),"*","~*"),"?","~?")),0)=1,1,""))</f>
        <v/>
      </c>
      <c r="Z105" s="25">
        <f>IF(T105=1,MAX(Z$2:Z104)+1,"")</f>
        <v/>
      </c>
    </row>
    <row r="106">
      <c r="A106">
        <f>IF(A$2=0,"",IFERROR(TRIM(INDEX('Pegar calibracion'!$A$1:$BZ$1001,105,A$2)&amp;""),""))</f>
        <v/>
      </c>
      <c r="B106">
        <f>IF(B$2=0,"",IFERROR(TRIM(INDEX('Pegar calibracion'!$A$1:$BZ$1001,105,B$2)&amp;""),""))</f>
        <v/>
      </c>
      <c r="C106">
        <f>IF(C$2=0,"",IFERROR(TRIM(INDEX('Pegar calibracion'!$A$1:$BZ$1001,105,C$2)&amp;""),""))</f>
        <v/>
      </c>
      <c r="D106">
        <f>IF(D$2=0,"",IFERROR(TRIM(INDEX('Pegar calibracion'!$A$1:$BZ$1001,105,D$2)&amp;""),""))</f>
        <v/>
      </c>
      <c r="E106">
        <f>IF(E$2=0,"",IFERROR(TRIM(INDEX('Pegar calibracion'!$A$1:$BZ$1001,105,E$2)&amp;""),""))</f>
        <v/>
      </c>
      <c r="F106">
        <f>IF(F$2=0,"",IFERROR(TRIM(INDEX('Pegar calibracion'!$A$1:$BZ$1001,105,F$2)&amp;""),""))</f>
        <v/>
      </c>
      <c r="G106">
        <f>IF(G$2=0,"",IFERROR(TRIM(INDEX('Pegar calibracion'!$A$1:$BZ$1001,105,G$2)&amp;""),""))</f>
        <v/>
      </c>
      <c r="H106">
        <f>IF(H$2=0,"",IFERROR(TRIM(INDEX('Pegar calibracion'!$A$1:$BZ$1001,105,H$2)&amp;""),""))</f>
        <v/>
      </c>
      <c r="I106">
        <f>IF(I$2=0,"",IFERROR(TRIM(INDEX('Pegar calibracion'!$A$1:$BZ$1001,105,I$2)&amp;""),""))</f>
        <v/>
      </c>
      <c r="J106">
        <f>IF(J$2=0,"",IFERROR(TRIM(INDEX('Pegar calibracion'!$A$1:$BZ$1001,105,J$2)&amp;""),""))</f>
        <v/>
      </c>
      <c r="K106">
        <f>IF(K$2=0,"",IFERROR(TRIM(INDEX('Pegar calibracion'!$A$1:$BZ$1001,105,K$2)&amp;""),""))</f>
        <v/>
      </c>
      <c r="L106">
        <f>IF(L$2=0,"",IFERROR(TRIM(INDEX('Pegar calibracion'!$A$1:$BZ$1001,105,L$2)&amp;""),""))</f>
        <v/>
      </c>
      <c r="M106" s="25">
        <f>IF(D106="","",SUBSTITUTE(SUBSTITUTE(SUBSTITUTE(SUBSTITUTE(SUBSTITUTE(SUBSTITUTE(SUBSTITUTE(SUBSTITUTE(SUBSTITUTE(SUBSTITUTE(SUBSTITUTE(SUBSTITUTE(LOWER(TRIM(D106)),"á","a"),"é","e"),"í","i"),"ó","o"),"ú","u"),"ü","u"),"ñ","n"),"à","a"),"è","e"),"ì","i"),"ò","o"),"ù","u"))</f>
        <v/>
      </c>
      <c r="N106" s="25">
        <f>IF(F106="","",SUBSTITUTE(SUBSTITUTE(SUBSTITUTE(SUBSTITUTE(SUBSTITUTE(SUBSTITUTE(SUBSTITUTE(SUBSTITUTE(SUBSTITUTE(SUBSTITUTE(SUBSTITUTE(SUBSTITUTE(LOWER(TRIM(F106)),"á","a"),"é","e"),"í","i"),"ó","o"),"ú","u"),"ü","u"),"ñ","n"),"à","a"),"è","e"),"ì","i"),"ò","o"),"ù","u"))</f>
        <v/>
      </c>
      <c r="O106" s="25">
        <f>IF(M106="confiable",2,IF(M106="dudosa",1,IF(M106="no confiable",0,"")))</f>
        <v/>
      </c>
      <c r="P106" s="25">
        <f>IF(N106="confiable",2,IF(N106="dudosa",1,IF(N106="no confiable",0,"")))</f>
        <v/>
      </c>
      <c r="Q106" s="25">
        <f>IF(AND(ISNUMBER(O106),ISNUMBER(P106)),1,"")</f>
        <v/>
      </c>
      <c r="R106" s="25">
        <f>IF(Q106=1,IF(O106=P106,"Sí","No"),"")</f>
        <v/>
      </c>
      <c r="S106" s="25">
        <f>IF(Q106=1,IF(P106&lt;O106,"Más estricto",IF(P106&gt;O106,"Más permisivo","Igual")),"")</f>
        <v/>
      </c>
      <c r="T106" s="25">
        <f>IF(Q106=1,IF(ABS(O106-P106)=2,1,0),"")</f>
        <v/>
      </c>
      <c r="U106" s="25">
        <f>IF(H106="","","|"&amp;SUBSTITUTE(SUBSTITUTE(TRIM(H106)," |","|"),"| ","|")&amp;"|")</f>
        <v/>
      </c>
      <c r="V106" s="25">
        <f>IF(AND(Q106=1,B106&lt;&gt;""),IF(IFERROR(COUNTIFS(B$3:B106,"="&amp;SUBSTITUTE(SUBSTITUTE(SUBSTITUTE(B106,"~","~~"),"*","~*"),"?","~?"),Q$3:Q106,1),0)=1,MAX(V$2:V105)+1,""),"")</f>
        <v/>
      </c>
      <c r="W106" s="25">
        <f>IF(V106="","",COUNTIFS($B$3:$B$1002,"="&amp;SUBSTITUTE(SUBSTITUTE(SUBSTITUTE(B106,"~","~~"),"*","~*"),"?","~?"),$Q$3:$Q$1002,1)*10000-V106)</f>
        <v/>
      </c>
      <c r="X106" s="25">
        <f>IF(Q106=1,IF(SUBSTITUTE(SUBSTITUTE(SUBSTITUTE(SUBSTITUTE(SUBSTITUTE(SUBSTITUTE(SUBSTITUTE(SUBSTITUTE(SUBSTITUTE(SUBSTITUTE(SUBSTITUTE(SUBSTITUTE(LOWER(TRIM(A106)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106)),"á","a"),"é","e"),"í","i"),"ó","o"),"ú","u"),"ü","u"),"ñ","n"),"à","a"),"è","e"),"ì","i"),"ò","o"),"ù","u")),"")</f>
        <v/>
      </c>
      <c r="Y106" s="25">
        <f>IF(X106="","",IF(IFERROR(COUNTIF(X$3:X106,"="&amp;SUBSTITUTE(SUBSTITUTE(SUBSTITUTE(X106,"~","~~"),"*","~*"),"?","~?")),0)=1,1,""))</f>
        <v/>
      </c>
      <c r="Z106" s="25">
        <f>IF(T106=1,MAX(Z$2:Z105)+1,"")</f>
        <v/>
      </c>
    </row>
    <row r="107">
      <c r="A107">
        <f>IF(A$2=0,"",IFERROR(TRIM(INDEX('Pegar calibracion'!$A$1:$BZ$1001,106,A$2)&amp;""),""))</f>
        <v/>
      </c>
      <c r="B107">
        <f>IF(B$2=0,"",IFERROR(TRIM(INDEX('Pegar calibracion'!$A$1:$BZ$1001,106,B$2)&amp;""),""))</f>
        <v/>
      </c>
      <c r="C107">
        <f>IF(C$2=0,"",IFERROR(TRIM(INDEX('Pegar calibracion'!$A$1:$BZ$1001,106,C$2)&amp;""),""))</f>
        <v/>
      </c>
      <c r="D107">
        <f>IF(D$2=0,"",IFERROR(TRIM(INDEX('Pegar calibracion'!$A$1:$BZ$1001,106,D$2)&amp;""),""))</f>
        <v/>
      </c>
      <c r="E107">
        <f>IF(E$2=0,"",IFERROR(TRIM(INDEX('Pegar calibracion'!$A$1:$BZ$1001,106,E$2)&amp;""),""))</f>
        <v/>
      </c>
      <c r="F107">
        <f>IF(F$2=0,"",IFERROR(TRIM(INDEX('Pegar calibracion'!$A$1:$BZ$1001,106,F$2)&amp;""),""))</f>
        <v/>
      </c>
      <c r="G107">
        <f>IF(G$2=0,"",IFERROR(TRIM(INDEX('Pegar calibracion'!$A$1:$BZ$1001,106,G$2)&amp;""),""))</f>
        <v/>
      </c>
      <c r="H107">
        <f>IF(H$2=0,"",IFERROR(TRIM(INDEX('Pegar calibracion'!$A$1:$BZ$1001,106,H$2)&amp;""),""))</f>
        <v/>
      </c>
      <c r="I107">
        <f>IF(I$2=0,"",IFERROR(TRIM(INDEX('Pegar calibracion'!$A$1:$BZ$1001,106,I$2)&amp;""),""))</f>
        <v/>
      </c>
      <c r="J107">
        <f>IF(J$2=0,"",IFERROR(TRIM(INDEX('Pegar calibracion'!$A$1:$BZ$1001,106,J$2)&amp;""),""))</f>
        <v/>
      </c>
      <c r="K107">
        <f>IF(K$2=0,"",IFERROR(TRIM(INDEX('Pegar calibracion'!$A$1:$BZ$1001,106,K$2)&amp;""),""))</f>
        <v/>
      </c>
      <c r="L107">
        <f>IF(L$2=0,"",IFERROR(TRIM(INDEX('Pegar calibracion'!$A$1:$BZ$1001,106,L$2)&amp;""),""))</f>
        <v/>
      </c>
      <c r="M107" s="25">
        <f>IF(D107="","",SUBSTITUTE(SUBSTITUTE(SUBSTITUTE(SUBSTITUTE(SUBSTITUTE(SUBSTITUTE(SUBSTITUTE(SUBSTITUTE(SUBSTITUTE(SUBSTITUTE(SUBSTITUTE(SUBSTITUTE(LOWER(TRIM(D107)),"á","a"),"é","e"),"í","i"),"ó","o"),"ú","u"),"ü","u"),"ñ","n"),"à","a"),"è","e"),"ì","i"),"ò","o"),"ù","u"))</f>
        <v/>
      </c>
      <c r="N107" s="25">
        <f>IF(F107="","",SUBSTITUTE(SUBSTITUTE(SUBSTITUTE(SUBSTITUTE(SUBSTITUTE(SUBSTITUTE(SUBSTITUTE(SUBSTITUTE(SUBSTITUTE(SUBSTITUTE(SUBSTITUTE(SUBSTITUTE(LOWER(TRIM(F107)),"á","a"),"é","e"),"í","i"),"ó","o"),"ú","u"),"ü","u"),"ñ","n"),"à","a"),"è","e"),"ì","i"),"ò","o"),"ù","u"))</f>
        <v/>
      </c>
      <c r="O107" s="25">
        <f>IF(M107="confiable",2,IF(M107="dudosa",1,IF(M107="no confiable",0,"")))</f>
        <v/>
      </c>
      <c r="P107" s="25">
        <f>IF(N107="confiable",2,IF(N107="dudosa",1,IF(N107="no confiable",0,"")))</f>
        <v/>
      </c>
      <c r="Q107" s="25">
        <f>IF(AND(ISNUMBER(O107),ISNUMBER(P107)),1,"")</f>
        <v/>
      </c>
      <c r="R107" s="25">
        <f>IF(Q107=1,IF(O107=P107,"Sí","No"),"")</f>
        <v/>
      </c>
      <c r="S107" s="25">
        <f>IF(Q107=1,IF(P107&lt;O107,"Más estricto",IF(P107&gt;O107,"Más permisivo","Igual")),"")</f>
        <v/>
      </c>
      <c r="T107" s="25">
        <f>IF(Q107=1,IF(ABS(O107-P107)=2,1,0),"")</f>
        <v/>
      </c>
      <c r="U107" s="25">
        <f>IF(H107="","","|"&amp;SUBSTITUTE(SUBSTITUTE(TRIM(H107)," |","|"),"| ","|")&amp;"|")</f>
        <v/>
      </c>
      <c r="V107" s="25">
        <f>IF(AND(Q107=1,B107&lt;&gt;""),IF(IFERROR(COUNTIFS(B$3:B107,"="&amp;SUBSTITUTE(SUBSTITUTE(SUBSTITUTE(B107,"~","~~"),"*","~*"),"?","~?"),Q$3:Q107,1),0)=1,MAX(V$2:V106)+1,""),"")</f>
        <v/>
      </c>
      <c r="W107" s="25">
        <f>IF(V107="","",COUNTIFS($B$3:$B$1002,"="&amp;SUBSTITUTE(SUBSTITUTE(SUBSTITUTE(B107,"~","~~"),"*","~*"),"?","~?"),$Q$3:$Q$1002,1)*10000-V107)</f>
        <v/>
      </c>
      <c r="X107" s="25">
        <f>IF(Q107=1,IF(SUBSTITUTE(SUBSTITUTE(SUBSTITUTE(SUBSTITUTE(SUBSTITUTE(SUBSTITUTE(SUBSTITUTE(SUBSTITUTE(SUBSTITUTE(SUBSTITUTE(SUBSTITUTE(SUBSTITUTE(LOWER(TRIM(A107)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107)),"á","a"),"é","e"),"í","i"),"ó","o"),"ú","u"),"ü","u"),"ñ","n"),"à","a"),"è","e"),"ì","i"),"ò","o"),"ù","u")),"")</f>
        <v/>
      </c>
      <c r="Y107" s="25">
        <f>IF(X107="","",IF(IFERROR(COUNTIF(X$3:X107,"="&amp;SUBSTITUTE(SUBSTITUTE(SUBSTITUTE(X107,"~","~~"),"*","~*"),"?","~?")),0)=1,1,""))</f>
        <v/>
      </c>
      <c r="Z107" s="25">
        <f>IF(T107=1,MAX(Z$2:Z106)+1,"")</f>
        <v/>
      </c>
    </row>
    <row r="108">
      <c r="A108">
        <f>IF(A$2=0,"",IFERROR(TRIM(INDEX('Pegar calibracion'!$A$1:$BZ$1001,107,A$2)&amp;""),""))</f>
        <v/>
      </c>
      <c r="B108">
        <f>IF(B$2=0,"",IFERROR(TRIM(INDEX('Pegar calibracion'!$A$1:$BZ$1001,107,B$2)&amp;""),""))</f>
        <v/>
      </c>
      <c r="C108">
        <f>IF(C$2=0,"",IFERROR(TRIM(INDEX('Pegar calibracion'!$A$1:$BZ$1001,107,C$2)&amp;""),""))</f>
        <v/>
      </c>
      <c r="D108">
        <f>IF(D$2=0,"",IFERROR(TRIM(INDEX('Pegar calibracion'!$A$1:$BZ$1001,107,D$2)&amp;""),""))</f>
        <v/>
      </c>
      <c r="E108">
        <f>IF(E$2=0,"",IFERROR(TRIM(INDEX('Pegar calibracion'!$A$1:$BZ$1001,107,E$2)&amp;""),""))</f>
        <v/>
      </c>
      <c r="F108">
        <f>IF(F$2=0,"",IFERROR(TRIM(INDEX('Pegar calibracion'!$A$1:$BZ$1001,107,F$2)&amp;""),""))</f>
        <v/>
      </c>
      <c r="G108">
        <f>IF(G$2=0,"",IFERROR(TRIM(INDEX('Pegar calibracion'!$A$1:$BZ$1001,107,G$2)&amp;""),""))</f>
        <v/>
      </c>
      <c r="H108">
        <f>IF(H$2=0,"",IFERROR(TRIM(INDEX('Pegar calibracion'!$A$1:$BZ$1001,107,H$2)&amp;""),""))</f>
        <v/>
      </c>
      <c r="I108">
        <f>IF(I$2=0,"",IFERROR(TRIM(INDEX('Pegar calibracion'!$A$1:$BZ$1001,107,I$2)&amp;""),""))</f>
        <v/>
      </c>
      <c r="J108">
        <f>IF(J$2=0,"",IFERROR(TRIM(INDEX('Pegar calibracion'!$A$1:$BZ$1001,107,J$2)&amp;""),""))</f>
        <v/>
      </c>
      <c r="K108">
        <f>IF(K$2=0,"",IFERROR(TRIM(INDEX('Pegar calibracion'!$A$1:$BZ$1001,107,K$2)&amp;""),""))</f>
        <v/>
      </c>
      <c r="L108">
        <f>IF(L$2=0,"",IFERROR(TRIM(INDEX('Pegar calibracion'!$A$1:$BZ$1001,107,L$2)&amp;""),""))</f>
        <v/>
      </c>
      <c r="M108" s="25">
        <f>IF(D108="","",SUBSTITUTE(SUBSTITUTE(SUBSTITUTE(SUBSTITUTE(SUBSTITUTE(SUBSTITUTE(SUBSTITUTE(SUBSTITUTE(SUBSTITUTE(SUBSTITUTE(SUBSTITUTE(SUBSTITUTE(LOWER(TRIM(D108)),"á","a"),"é","e"),"í","i"),"ó","o"),"ú","u"),"ü","u"),"ñ","n"),"à","a"),"è","e"),"ì","i"),"ò","o"),"ù","u"))</f>
        <v/>
      </c>
      <c r="N108" s="25">
        <f>IF(F108="","",SUBSTITUTE(SUBSTITUTE(SUBSTITUTE(SUBSTITUTE(SUBSTITUTE(SUBSTITUTE(SUBSTITUTE(SUBSTITUTE(SUBSTITUTE(SUBSTITUTE(SUBSTITUTE(SUBSTITUTE(LOWER(TRIM(F108)),"á","a"),"é","e"),"í","i"),"ó","o"),"ú","u"),"ü","u"),"ñ","n"),"à","a"),"è","e"),"ì","i"),"ò","o"),"ù","u"))</f>
        <v/>
      </c>
      <c r="O108" s="25">
        <f>IF(M108="confiable",2,IF(M108="dudosa",1,IF(M108="no confiable",0,"")))</f>
        <v/>
      </c>
      <c r="P108" s="25">
        <f>IF(N108="confiable",2,IF(N108="dudosa",1,IF(N108="no confiable",0,"")))</f>
        <v/>
      </c>
      <c r="Q108" s="25">
        <f>IF(AND(ISNUMBER(O108),ISNUMBER(P108)),1,"")</f>
        <v/>
      </c>
      <c r="R108" s="25">
        <f>IF(Q108=1,IF(O108=P108,"Sí","No"),"")</f>
        <v/>
      </c>
      <c r="S108" s="25">
        <f>IF(Q108=1,IF(P108&lt;O108,"Más estricto",IF(P108&gt;O108,"Más permisivo","Igual")),"")</f>
        <v/>
      </c>
      <c r="T108" s="25">
        <f>IF(Q108=1,IF(ABS(O108-P108)=2,1,0),"")</f>
        <v/>
      </c>
      <c r="U108" s="25">
        <f>IF(H108="","","|"&amp;SUBSTITUTE(SUBSTITUTE(TRIM(H108)," |","|"),"| ","|")&amp;"|")</f>
        <v/>
      </c>
      <c r="V108" s="25">
        <f>IF(AND(Q108=1,B108&lt;&gt;""),IF(IFERROR(COUNTIFS(B$3:B108,"="&amp;SUBSTITUTE(SUBSTITUTE(SUBSTITUTE(B108,"~","~~"),"*","~*"),"?","~?"),Q$3:Q108,1),0)=1,MAX(V$2:V107)+1,""),"")</f>
        <v/>
      </c>
      <c r="W108" s="25">
        <f>IF(V108="","",COUNTIFS($B$3:$B$1002,"="&amp;SUBSTITUTE(SUBSTITUTE(SUBSTITUTE(B108,"~","~~"),"*","~*"),"?","~?"),$Q$3:$Q$1002,1)*10000-V108)</f>
        <v/>
      </c>
      <c r="X108" s="25">
        <f>IF(Q108=1,IF(SUBSTITUTE(SUBSTITUTE(SUBSTITUTE(SUBSTITUTE(SUBSTITUTE(SUBSTITUTE(SUBSTITUTE(SUBSTITUTE(SUBSTITUTE(SUBSTITUTE(SUBSTITUTE(SUBSTITUTE(LOWER(TRIM(A108)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108)),"á","a"),"é","e"),"í","i"),"ó","o"),"ú","u"),"ü","u"),"ñ","n"),"à","a"),"è","e"),"ì","i"),"ò","o"),"ù","u")),"")</f>
        <v/>
      </c>
      <c r="Y108" s="25">
        <f>IF(X108="","",IF(IFERROR(COUNTIF(X$3:X108,"="&amp;SUBSTITUTE(SUBSTITUTE(SUBSTITUTE(X108,"~","~~"),"*","~*"),"?","~?")),0)=1,1,""))</f>
        <v/>
      </c>
      <c r="Z108" s="25">
        <f>IF(T108=1,MAX(Z$2:Z107)+1,"")</f>
        <v/>
      </c>
    </row>
    <row r="109">
      <c r="A109">
        <f>IF(A$2=0,"",IFERROR(TRIM(INDEX('Pegar calibracion'!$A$1:$BZ$1001,108,A$2)&amp;""),""))</f>
        <v/>
      </c>
      <c r="B109">
        <f>IF(B$2=0,"",IFERROR(TRIM(INDEX('Pegar calibracion'!$A$1:$BZ$1001,108,B$2)&amp;""),""))</f>
        <v/>
      </c>
      <c r="C109">
        <f>IF(C$2=0,"",IFERROR(TRIM(INDEX('Pegar calibracion'!$A$1:$BZ$1001,108,C$2)&amp;""),""))</f>
        <v/>
      </c>
      <c r="D109">
        <f>IF(D$2=0,"",IFERROR(TRIM(INDEX('Pegar calibracion'!$A$1:$BZ$1001,108,D$2)&amp;""),""))</f>
        <v/>
      </c>
      <c r="E109">
        <f>IF(E$2=0,"",IFERROR(TRIM(INDEX('Pegar calibracion'!$A$1:$BZ$1001,108,E$2)&amp;""),""))</f>
        <v/>
      </c>
      <c r="F109">
        <f>IF(F$2=0,"",IFERROR(TRIM(INDEX('Pegar calibracion'!$A$1:$BZ$1001,108,F$2)&amp;""),""))</f>
        <v/>
      </c>
      <c r="G109">
        <f>IF(G$2=0,"",IFERROR(TRIM(INDEX('Pegar calibracion'!$A$1:$BZ$1001,108,G$2)&amp;""),""))</f>
        <v/>
      </c>
      <c r="H109">
        <f>IF(H$2=0,"",IFERROR(TRIM(INDEX('Pegar calibracion'!$A$1:$BZ$1001,108,H$2)&amp;""),""))</f>
        <v/>
      </c>
      <c r="I109">
        <f>IF(I$2=0,"",IFERROR(TRIM(INDEX('Pegar calibracion'!$A$1:$BZ$1001,108,I$2)&amp;""),""))</f>
        <v/>
      </c>
      <c r="J109">
        <f>IF(J$2=0,"",IFERROR(TRIM(INDEX('Pegar calibracion'!$A$1:$BZ$1001,108,J$2)&amp;""),""))</f>
        <v/>
      </c>
      <c r="K109">
        <f>IF(K$2=0,"",IFERROR(TRIM(INDEX('Pegar calibracion'!$A$1:$BZ$1001,108,K$2)&amp;""),""))</f>
        <v/>
      </c>
      <c r="L109">
        <f>IF(L$2=0,"",IFERROR(TRIM(INDEX('Pegar calibracion'!$A$1:$BZ$1001,108,L$2)&amp;""),""))</f>
        <v/>
      </c>
      <c r="M109" s="25">
        <f>IF(D109="","",SUBSTITUTE(SUBSTITUTE(SUBSTITUTE(SUBSTITUTE(SUBSTITUTE(SUBSTITUTE(SUBSTITUTE(SUBSTITUTE(SUBSTITUTE(SUBSTITUTE(SUBSTITUTE(SUBSTITUTE(LOWER(TRIM(D109)),"á","a"),"é","e"),"í","i"),"ó","o"),"ú","u"),"ü","u"),"ñ","n"),"à","a"),"è","e"),"ì","i"),"ò","o"),"ù","u"))</f>
        <v/>
      </c>
      <c r="N109" s="25">
        <f>IF(F109="","",SUBSTITUTE(SUBSTITUTE(SUBSTITUTE(SUBSTITUTE(SUBSTITUTE(SUBSTITUTE(SUBSTITUTE(SUBSTITUTE(SUBSTITUTE(SUBSTITUTE(SUBSTITUTE(SUBSTITUTE(LOWER(TRIM(F109)),"á","a"),"é","e"),"í","i"),"ó","o"),"ú","u"),"ü","u"),"ñ","n"),"à","a"),"è","e"),"ì","i"),"ò","o"),"ù","u"))</f>
        <v/>
      </c>
      <c r="O109" s="25">
        <f>IF(M109="confiable",2,IF(M109="dudosa",1,IF(M109="no confiable",0,"")))</f>
        <v/>
      </c>
      <c r="P109" s="25">
        <f>IF(N109="confiable",2,IF(N109="dudosa",1,IF(N109="no confiable",0,"")))</f>
        <v/>
      </c>
      <c r="Q109" s="25">
        <f>IF(AND(ISNUMBER(O109),ISNUMBER(P109)),1,"")</f>
        <v/>
      </c>
      <c r="R109" s="25">
        <f>IF(Q109=1,IF(O109=P109,"Sí","No"),"")</f>
        <v/>
      </c>
      <c r="S109" s="25">
        <f>IF(Q109=1,IF(P109&lt;O109,"Más estricto",IF(P109&gt;O109,"Más permisivo","Igual")),"")</f>
        <v/>
      </c>
      <c r="T109" s="25">
        <f>IF(Q109=1,IF(ABS(O109-P109)=2,1,0),"")</f>
        <v/>
      </c>
      <c r="U109" s="25">
        <f>IF(H109="","","|"&amp;SUBSTITUTE(SUBSTITUTE(TRIM(H109)," |","|"),"| ","|")&amp;"|")</f>
        <v/>
      </c>
      <c r="V109" s="25">
        <f>IF(AND(Q109=1,B109&lt;&gt;""),IF(IFERROR(COUNTIFS(B$3:B109,"="&amp;SUBSTITUTE(SUBSTITUTE(SUBSTITUTE(B109,"~","~~"),"*","~*"),"?","~?"),Q$3:Q109,1),0)=1,MAX(V$2:V108)+1,""),"")</f>
        <v/>
      </c>
      <c r="W109" s="25">
        <f>IF(V109="","",COUNTIFS($B$3:$B$1002,"="&amp;SUBSTITUTE(SUBSTITUTE(SUBSTITUTE(B109,"~","~~"),"*","~*"),"?","~?"),$Q$3:$Q$1002,1)*10000-V109)</f>
        <v/>
      </c>
      <c r="X109" s="25">
        <f>IF(Q109=1,IF(SUBSTITUTE(SUBSTITUTE(SUBSTITUTE(SUBSTITUTE(SUBSTITUTE(SUBSTITUTE(SUBSTITUTE(SUBSTITUTE(SUBSTITUTE(SUBSTITUTE(SUBSTITUTE(SUBSTITUTE(LOWER(TRIM(A109)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109)),"á","a"),"é","e"),"í","i"),"ó","o"),"ú","u"),"ü","u"),"ñ","n"),"à","a"),"è","e"),"ì","i"),"ò","o"),"ù","u")),"")</f>
        <v/>
      </c>
      <c r="Y109" s="25">
        <f>IF(X109="","",IF(IFERROR(COUNTIF(X$3:X109,"="&amp;SUBSTITUTE(SUBSTITUTE(SUBSTITUTE(X109,"~","~~"),"*","~*"),"?","~?")),0)=1,1,""))</f>
        <v/>
      </c>
      <c r="Z109" s="25">
        <f>IF(T109=1,MAX(Z$2:Z108)+1,"")</f>
        <v/>
      </c>
    </row>
    <row r="110">
      <c r="A110">
        <f>IF(A$2=0,"",IFERROR(TRIM(INDEX('Pegar calibracion'!$A$1:$BZ$1001,109,A$2)&amp;""),""))</f>
        <v/>
      </c>
      <c r="B110">
        <f>IF(B$2=0,"",IFERROR(TRIM(INDEX('Pegar calibracion'!$A$1:$BZ$1001,109,B$2)&amp;""),""))</f>
        <v/>
      </c>
      <c r="C110">
        <f>IF(C$2=0,"",IFERROR(TRIM(INDEX('Pegar calibracion'!$A$1:$BZ$1001,109,C$2)&amp;""),""))</f>
        <v/>
      </c>
      <c r="D110">
        <f>IF(D$2=0,"",IFERROR(TRIM(INDEX('Pegar calibracion'!$A$1:$BZ$1001,109,D$2)&amp;""),""))</f>
        <v/>
      </c>
      <c r="E110">
        <f>IF(E$2=0,"",IFERROR(TRIM(INDEX('Pegar calibracion'!$A$1:$BZ$1001,109,E$2)&amp;""),""))</f>
        <v/>
      </c>
      <c r="F110">
        <f>IF(F$2=0,"",IFERROR(TRIM(INDEX('Pegar calibracion'!$A$1:$BZ$1001,109,F$2)&amp;""),""))</f>
        <v/>
      </c>
      <c r="G110">
        <f>IF(G$2=0,"",IFERROR(TRIM(INDEX('Pegar calibracion'!$A$1:$BZ$1001,109,G$2)&amp;""),""))</f>
        <v/>
      </c>
      <c r="H110">
        <f>IF(H$2=0,"",IFERROR(TRIM(INDEX('Pegar calibracion'!$A$1:$BZ$1001,109,H$2)&amp;""),""))</f>
        <v/>
      </c>
      <c r="I110">
        <f>IF(I$2=0,"",IFERROR(TRIM(INDEX('Pegar calibracion'!$A$1:$BZ$1001,109,I$2)&amp;""),""))</f>
        <v/>
      </c>
      <c r="J110">
        <f>IF(J$2=0,"",IFERROR(TRIM(INDEX('Pegar calibracion'!$A$1:$BZ$1001,109,J$2)&amp;""),""))</f>
        <v/>
      </c>
      <c r="K110">
        <f>IF(K$2=0,"",IFERROR(TRIM(INDEX('Pegar calibracion'!$A$1:$BZ$1001,109,K$2)&amp;""),""))</f>
        <v/>
      </c>
      <c r="L110">
        <f>IF(L$2=0,"",IFERROR(TRIM(INDEX('Pegar calibracion'!$A$1:$BZ$1001,109,L$2)&amp;""),""))</f>
        <v/>
      </c>
      <c r="M110" s="25">
        <f>IF(D110="","",SUBSTITUTE(SUBSTITUTE(SUBSTITUTE(SUBSTITUTE(SUBSTITUTE(SUBSTITUTE(SUBSTITUTE(SUBSTITUTE(SUBSTITUTE(SUBSTITUTE(SUBSTITUTE(SUBSTITUTE(LOWER(TRIM(D110)),"á","a"),"é","e"),"í","i"),"ó","o"),"ú","u"),"ü","u"),"ñ","n"),"à","a"),"è","e"),"ì","i"),"ò","o"),"ù","u"))</f>
        <v/>
      </c>
      <c r="N110" s="25">
        <f>IF(F110="","",SUBSTITUTE(SUBSTITUTE(SUBSTITUTE(SUBSTITUTE(SUBSTITUTE(SUBSTITUTE(SUBSTITUTE(SUBSTITUTE(SUBSTITUTE(SUBSTITUTE(SUBSTITUTE(SUBSTITUTE(LOWER(TRIM(F110)),"á","a"),"é","e"),"í","i"),"ó","o"),"ú","u"),"ü","u"),"ñ","n"),"à","a"),"è","e"),"ì","i"),"ò","o"),"ù","u"))</f>
        <v/>
      </c>
      <c r="O110" s="25">
        <f>IF(M110="confiable",2,IF(M110="dudosa",1,IF(M110="no confiable",0,"")))</f>
        <v/>
      </c>
      <c r="P110" s="25">
        <f>IF(N110="confiable",2,IF(N110="dudosa",1,IF(N110="no confiable",0,"")))</f>
        <v/>
      </c>
      <c r="Q110" s="25">
        <f>IF(AND(ISNUMBER(O110),ISNUMBER(P110)),1,"")</f>
        <v/>
      </c>
      <c r="R110" s="25">
        <f>IF(Q110=1,IF(O110=P110,"Sí","No"),"")</f>
        <v/>
      </c>
      <c r="S110" s="25">
        <f>IF(Q110=1,IF(P110&lt;O110,"Más estricto",IF(P110&gt;O110,"Más permisivo","Igual")),"")</f>
        <v/>
      </c>
      <c r="T110" s="25">
        <f>IF(Q110=1,IF(ABS(O110-P110)=2,1,0),"")</f>
        <v/>
      </c>
      <c r="U110" s="25">
        <f>IF(H110="","","|"&amp;SUBSTITUTE(SUBSTITUTE(TRIM(H110)," |","|"),"| ","|")&amp;"|")</f>
        <v/>
      </c>
      <c r="V110" s="25">
        <f>IF(AND(Q110=1,B110&lt;&gt;""),IF(IFERROR(COUNTIFS(B$3:B110,"="&amp;SUBSTITUTE(SUBSTITUTE(SUBSTITUTE(B110,"~","~~"),"*","~*"),"?","~?"),Q$3:Q110,1),0)=1,MAX(V$2:V109)+1,""),"")</f>
        <v/>
      </c>
      <c r="W110" s="25">
        <f>IF(V110="","",COUNTIFS($B$3:$B$1002,"="&amp;SUBSTITUTE(SUBSTITUTE(SUBSTITUTE(B110,"~","~~"),"*","~*"),"?","~?"),$Q$3:$Q$1002,1)*10000-V110)</f>
        <v/>
      </c>
      <c r="X110" s="25">
        <f>IF(Q110=1,IF(SUBSTITUTE(SUBSTITUTE(SUBSTITUTE(SUBSTITUTE(SUBSTITUTE(SUBSTITUTE(SUBSTITUTE(SUBSTITUTE(SUBSTITUTE(SUBSTITUTE(SUBSTITUTE(SUBSTITUTE(LOWER(TRIM(A110)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110)),"á","a"),"é","e"),"í","i"),"ó","o"),"ú","u"),"ü","u"),"ñ","n"),"à","a"),"è","e"),"ì","i"),"ò","o"),"ù","u")),"")</f>
        <v/>
      </c>
      <c r="Y110" s="25">
        <f>IF(X110="","",IF(IFERROR(COUNTIF(X$3:X110,"="&amp;SUBSTITUTE(SUBSTITUTE(SUBSTITUTE(X110,"~","~~"),"*","~*"),"?","~?")),0)=1,1,""))</f>
        <v/>
      </c>
      <c r="Z110" s="25">
        <f>IF(T110=1,MAX(Z$2:Z109)+1,"")</f>
        <v/>
      </c>
    </row>
    <row r="111">
      <c r="A111">
        <f>IF(A$2=0,"",IFERROR(TRIM(INDEX('Pegar calibracion'!$A$1:$BZ$1001,110,A$2)&amp;""),""))</f>
        <v/>
      </c>
      <c r="B111">
        <f>IF(B$2=0,"",IFERROR(TRIM(INDEX('Pegar calibracion'!$A$1:$BZ$1001,110,B$2)&amp;""),""))</f>
        <v/>
      </c>
      <c r="C111">
        <f>IF(C$2=0,"",IFERROR(TRIM(INDEX('Pegar calibracion'!$A$1:$BZ$1001,110,C$2)&amp;""),""))</f>
        <v/>
      </c>
      <c r="D111">
        <f>IF(D$2=0,"",IFERROR(TRIM(INDEX('Pegar calibracion'!$A$1:$BZ$1001,110,D$2)&amp;""),""))</f>
        <v/>
      </c>
      <c r="E111">
        <f>IF(E$2=0,"",IFERROR(TRIM(INDEX('Pegar calibracion'!$A$1:$BZ$1001,110,E$2)&amp;""),""))</f>
        <v/>
      </c>
      <c r="F111">
        <f>IF(F$2=0,"",IFERROR(TRIM(INDEX('Pegar calibracion'!$A$1:$BZ$1001,110,F$2)&amp;""),""))</f>
        <v/>
      </c>
      <c r="G111">
        <f>IF(G$2=0,"",IFERROR(TRIM(INDEX('Pegar calibracion'!$A$1:$BZ$1001,110,G$2)&amp;""),""))</f>
        <v/>
      </c>
      <c r="H111">
        <f>IF(H$2=0,"",IFERROR(TRIM(INDEX('Pegar calibracion'!$A$1:$BZ$1001,110,H$2)&amp;""),""))</f>
        <v/>
      </c>
      <c r="I111">
        <f>IF(I$2=0,"",IFERROR(TRIM(INDEX('Pegar calibracion'!$A$1:$BZ$1001,110,I$2)&amp;""),""))</f>
        <v/>
      </c>
      <c r="J111">
        <f>IF(J$2=0,"",IFERROR(TRIM(INDEX('Pegar calibracion'!$A$1:$BZ$1001,110,J$2)&amp;""),""))</f>
        <v/>
      </c>
      <c r="K111">
        <f>IF(K$2=0,"",IFERROR(TRIM(INDEX('Pegar calibracion'!$A$1:$BZ$1001,110,K$2)&amp;""),""))</f>
        <v/>
      </c>
      <c r="L111">
        <f>IF(L$2=0,"",IFERROR(TRIM(INDEX('Pegar calibracion'!$A$1:$BZ$1001,110,L$2)&amp;""),""))</f>
        <v/>
      </c>
      <c r="M111" s="25">
        <f>IF(D111="","",SUBSTITUTE(SUBSTITUTE(SUBSTITUTE(SUBSTITUTE(SUBSTITUTE(SUBSTITUTE(SUBSTITUTE(SUBSTITUTE(SUBSTITUTE(SUBSTITUTE(SUBSTITUTE(SUBSTITUTE(LOWER(TRIM(D111)),"á","a"),"é","e"),"í","i"),"ó","o"),"ú","u"),"ü","u"),"ñ","n"),"à","a"),"è","e"),"ì","i"),"ò","o"),"ù","u"))</f>
        <v/>
      </c>
      <c r="N111" s="25">
        <f>IF(F111="","",SUBSTITUTE(SUBSTITUTE(SUBSTITUTE(SUBSTITUTE(SUBSTITUTE(SUBSTITUTE(SUBSTITUTE(SUBSTITUTE(SUBSTITUTE(SUBSTITUTE(SUBSTITUTE(SUBSTITUTE(LOWER(TRIM(F111)),"á","a"),"é","e"),"í","i"),"ó","o"),"ú","u"),"ü","u"),"ñ","n"),"à","a"),"è","e"),"ì","i"),"ò","o"),"ù","u"))</f>
        <v/>
      </c>
      <c r="O111" s="25">
        <f>IF(M111="confiable",2,IF(M111="dudosa",1,IF(M111="no confiable",0,"")))</f>
        <v/>
      </c>
      <c r="P111" s="25">
        <f>IF(N111="confiable",2,IF(N111="dudosa",1,IF(N111="no confiable",0,"")))</f>
        <v/>
      </c>
      <c r="Q111" s="25">
        <f>IF(AND(ISNUMBER(O111),ISNUMBER(P111)),1,"")</f>
        <v/>
      </c>
      <c r="R111" s="25">
        <f>IF(Q111=1,IF(O111=P111,"Sí","No"),"")</f>
        <v/>
      </c>
      <c r="S111" s="25">
        <f>IF(Q111=1,IF(P111&lt;O111,"Más estricto",IF(P111&gt;O111,"Más permisivo","Igual")),"")</f>
        <v/>
      </c>
      <c r="T111" s="25">
        <f>IF(Q111=1,IF(ABS(O111-P111)=2,1,0),"")</f>
        <v/>
      </c>
      <c r="U111" s="25">
        <f>IF(H111="","","|"&amp;SUBSTITUTE(SUBSTITUTE(TRIM(H111)," |","|"),"| ","|")&amp;"|")</f>
        <v/>
      </c>
      <c r="V111" s="25">
        <f>IF(AND(Q111=1,B111&lt;&gt;""),IF(IFERROR(COUNTIFS(B$3:B111,"="&amp;SUBSTITUTE(SUBSTITUTE(SUBSTITUTE(B111,"~","~~"),"*","~*"),"?","~?"),Q$3:Q111,1),0)=1,MAX(V$2:V110)+1,""),"")</f>
        <v/>
      </c>
      <c r="W111" s="25">
        <f>IF(V111="","",COUNTIFS($B$3:$B$1002,"="&amp;SUBSTITUTE(SUBSTITUTE(SUBSTITUTE(B111,"~","~~"),"*","~*"),"?","~?"),$Q$3:$Q$1002,1)*10000-V111)</f>
        <v/>
      </c>
      <c r="X111" s="25">
        <f>IF(Q111=1,IF(SUBSTITUTE(SUBSTITUTE(SUBSTITUTE(SUBSTITUTE(SUBSTITUTE(SUBSTITUTE(SUBSTITUTE(SUBSTITUTE(SUBSTITUTE(SUBSTITUTE(SUBSTITUTE(SUBSTITUTE(LOWER(TRIM(A111)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111)),"á","a"),"é","e"),"í","i"),"ó","o"),"ú","u"),"ü","u"),"ñ","n"),"à","a"),"è","e"),"ì","i"),"ò","o"),"ù","u")),"")</f>
        <v/>
      </c>
      <c r="Y111" s="25">
        <f>IF(X111="","",IF(IFERROR(COUNTIF(X$3:X111,"="&amp;SUBSTITUTE(SUBSTITUTE(SUBSTITUTE(X111,"~","~~"),"*","~*"),"?","~?")),0)=1,1,""))</f>
        <v/>
      </c>
      <c r="Z111" s="25">
        <f>IF(T111=1,MAX(Z$2:Z110)+1,"")</f>
        <v/>
      </c>
    </row>
    <row r="112">
      <c r="A112">
        <f>IF(A$2=0,"",IFERROR(TRIM(INDEX('Pegar calibracion'!$A$1:$BZ$1001,111,A$2)&amp;""),""))</f>
        <v/>
      </c>
      <c r="B112">
        <f>IF(B$2=0,"",IFERROR(TRIM(INDEX('Pegar calibracion'!$A$1:$BZ$1001,111,B$2)&amp;""),""))</f>
        <v/>
      </c>
      <c r="C112">
        <f>IF(C$2=0,"",IFERROR(TRIM(INDEX('Pegar calibracion'!$A$1:$BZ$1001,111,C$2)&amp;""),""))</f>
        <v/>
      </c>
      <c r="D112">
        <f>IF(D$2=0,"",IFERROR(TRIM(INDEX('Pegar calibracion'!$A$1:$BZ$1001,111,D$2)&amp;""),""))</f>
        <v/>
      </c>
      <c r="E112">
        <f>IF(E$2=0,"",IFERROR(TRIM(INDEX('Pegar calibracion'!$A$1:$BZ$1001,111,E$2)&amp;""),""))</f>
        <v/>
      </c>
      <c r="F112">
        <f>IF(F$2=0,"",IFERROR(TRIM(INDEX('Pegar calibracion'!$A$1:$BZ$1001,111,F$2)&amp;""),""))</f>
        <v/>
      </c>
      <c r="G112">
        <f>IF(G$2=0,"",IFERROR(TRIM(INDEX('Pegar calibracion'!$A$1:$BZ$1001,111,G$2)&amp;""),""))</f>
        <v/>
      </c>
      <c r="H112">
        <f>IF(H$2=0,"",IFERROR(TRIM(INDEX('Pegar calibracion'!$A$1:$BZ$1001,111,H$2)&amp;""),""))</f>
        <v/>
      </c>
      <c r="I112">
        <f>IF(I$2=0,"",IFERROR(TRIM(INDEX('Pegar calibracion'!$A$1:$BZ$1001,111,I$2)&amp;""),""))</f>
        <v/>
      </c>
      <c r="J112">
        <f>IF(J$2=0,"",IFERROR(TRIM(INDEX('Pegar calibracion'!$A$1:$BZ$1001,111,J$2)&amp;""),""))</f>
        <v/>
      </c>
      <c r="K112">
        <f>IF(K$2=0,"",IFERROR(TRIM(INDEX('Pegar calibracion'!$A$1:$BZ$1001,111,K$2)&amp;""),""))</f>
        <v/>
      </c>
      <c r="L112">
        <f>IF(L$2=0,"",IFERROR(TRIM(INDEX('Pegar calibracion'!$A$1:$BZ$1001,111,L$2)&amp;""),""))</f>
        <v/>
      </c>
      <c r="M112" s="25">
        <f>IF(D112="","",SUBSTITUTE(SUBSTITUTE(SUBSTITUTE(SUBSTITUTE(SUBSTITUTE(SUBSTITUTE(SUBSTITUTE(SUBSTITUTE(SUBSTITUTE(SUBSTITUTE(SUBSTITUTE(SUBSTITUTE(LOWER(TRIM(D112)),"á","a"),"é","e"),"í","i"),"ó","o"),"ú","u"),"ü","u"),"ñ","n"),"à","a"),"è","e"),"ì","i"),"ò","o"),"ù","u"))</f>
        <v/>
      </c>
      <c r="N112" s="25">
        <f>IF(F112="","",SUBSTITUTE(SUBSTITUTE(SUBSTITUTE(SUBSTITUTE(SUBSTITUTE(SUBSTITUTE(SUBSTITUTE(SUBSTITUTE(SUBSTITUTE(SUBSTITUTE(SUBSTITUTE(SUBSTITUTE(LOWER(TRIM(F112)),"á","a"),"é","e"),"í","i"),"ó","o"),"ú","u"),"ü","u"),"ñ","n"),"à","a"),"è","e"),"ì","i"),"ò","o"),"ù","u"))</f>
        <v/>
      </c>
      <c r="O112" s="25">
        <f>IF(M112="confiable",2,IF(M112="dudosa",1,IF(M112="no confiable",0,"")))</f>
        <v/>
      </c>
      <c r="P112" s="25">
        <f>IF(N112="confiable",2,IF(N112="dudosa",1,IF(N112="no confiable",0,"")))</f>
        <v/>
      </c>
      <c r="Q112" s="25">
        <f>IF(AND(ISNUMBER(O112),ISNUMBER(P112)),1,"")</f>
        <v/>
      </c>
      <c r="R112" s="25">
        <f>IF(Q112=1,IF(O112=P112,"Sí","No"),"")</f>
        <v/>
      </c>
      <c r="S112" s="25">
        <f>IF(Q112=1,IF(P112&lt;O112,"Más estricto",IF(P112&gt;O112,"Más permisivo","Igual")),"")</f>
        <v/>
      </c>
      <c r="T112" s="25">
        <f>IF(Q112=1,IF(ABS(O112-P112)=2,1,0),"")</f>
        <v/>
      </c>
      <c r="U112" s="25">
        <f>IF(H112="","","|"&amp;SUBSTITUTE(SUBSTITUTE(TRIM(H112)," |","|"),"| ","|")&amp;"|")</f>
        <v/>
      </c>
      <c r="V112" s="25">
        <f>IF(AND(Q112=1,B112&lt;&gt;""),IF(IFERROR(COUNTIFS(B$3:B112,"="&amp;SUBSTITUTE(SUBSTITUTE(SUBSTITUTE(B112,"~","~~"),"*","~*"),"?","~?"),Q$3:Q112,1),0)=1,MAX(V$2:V111)+1,""),"")</f>
        <v/>
      </c>
      <c r="W112" s="25">
        <f>IF(V112="","",COUNTIFS($B$3:$B$1002,"="&amp;SUBSTITUTE(SUBSTITUTE(SUBSTITUTE(B112,"~","~~"),"*","~*"),"?","~?"),$Q$3:$Q$1002,1)*10000-V112)</f>
        <v/>
      </c>
      <c r="X112" s="25">
        <f>IF(Q112=1,IF(SUBSTITUTE(SUBSTITUTE(SUBSTITUTE(SUBSTITUTE(SUBSTITUTE(SUBSTITUTE(SUBSTITUTE(SUBSTITUTE(SUBSTITUTE(SUBSTITUTE(SUBSTITUTE(SUBSTITUTE(LOWER(TRIM(A112)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112)),"á","a"),"é","e"),"í","i"),"ó","o"),"ú","u"),"ü","u"),"ñ","n"),"à","a"),"è","e"),"ì","i"),"ò","o"),"ù","u")),"")</f>
        <v/>
      </c>
      <c r="Y112" s="25">
        <f>IF(X112="","",IF(IFERROR(COUNTIF(X$3:X112,"="&amp;SUBSTITUTE(SUBSTITUTE(SUBSTITUTE(X112,"~","~~"),"*","~*"),"?","~?")),0)=1,1,""))</f>
        <v/>
      </c>
      <c r="Z112" s="25">
        <f>IF(T112=1,MAX(Z$2:Z111)+1,"")</f>
        <v/>
      </c>
    </row>
    <row r="113">
      <c r="A113">
        <f>IF(A$2=0,"",IFERROR(TRIM(INDEX('Pegar calibracion'!$A$1:$BZ$1001,112,A$2)&amp;""),""))</f>
        <v/>
      </c>
      <c r="B113">
        <f>IF(B$2=0,"",IFERROR(TRIM(INDEX('Pegar calibracion'!$A$1:$BZ$1001,112,B$2)&amp;""),""))</f>
        <v/>
      </c>
      <c r="C113">
        <f>IF(C$2=0,"",IFERROR(TRIM(INDEX('Pegar calibracion'!$A$1:$BZ$1001,112,C$2)&amp;""),""))</f>
        <v/>
      </c>
      <c r="D113">
        <f>IF(D$2=0,"",IFERROR(TRIM(INDEX('Pegar calibracion'!$A$1:$BZ$1001,112,D$2)&amp;""),""))</f>
        <v/>
      </c>
      <c r="E113">
        <f>IF(E$2=0,"",IFERROR(TRIM(INDEX('Pegar calibracion'!$A$1:$BZ$1001,112,E$2)&amp;""),""))</f>
        <v/>
      </c>
      <c r="F113">
        <f>IF(F$2=0,"",IFERROR(TRIM(INDEX('Pegar calibracion'!$A$1:$BZ$1001,112,F$2)&amp;""),""))</f>
        <v/>
      </c>
      <c r="G113">
        <f>IF(G$2=0,"",IFERROR(TRIM(INDEX('Pegar calibracion'!$A$1:$BZ$1001,112,G$2)&amp;""),""))</f>
        <v/>
      </c>
      <c r="H113">
        <f>IF(H$2=0,"",IFERROR(TRIM(INDEX('Pegar calibracion'!$A$1:$BZ$1001,112,H$2)&amp;""),""))</f>
        <v/>
      </c>
      <c r="I113">
        <f>IF(I$2=0,"",IFERROR(TRIM(INDEX('Pegar calibracion'!$A$1:$BZ$1001,112,I$2)&amp;""),""))</f>
        <v/>
      </c>
      <c r="J113">
        <f>IF(J$2=0,"",IFERROR(TRIM(INDEX('Pegar calibracion'!$A$1:$BZ$1001,112,J$2)&amp;""),""))</f>
        <v/>
      </c>
      <c r="K113">
        <f>IF(K$2=0,"",IFERROR(TRIM(INDEX('Pegar calibracion'!$A$1:$BZ$1001,112,K$2)&amp;""),""))</f>
        <v/>
      </c>
      <c r="L113">
        <f>IF(L$2=0,"",IFERROR(TRIM(INDEX('Pegar calibracion'!$A$1:$BZ$1001,112,L$2)&amp;""),""))</f>
        <v/>
      </c>
      <c r="M113" s="25">
        <f>IF(D113="","",SUBSTITUTE(SUBSTITUTE(SUBSTITUTE(SUBSTITUTE(SUBSTITUTE(SUBSTITUTE(SUBSTITUTE(SUBSTITUTE(SUBSTITUTE(SUBSTITUTE(SUBSTITUTE(SUBSTITUTE(LOWER(TRIM(D113)),"á","a"),"é","e"),"í","i"),"ó","o"),"ú","u"),"ü","u"),"ñ","n"),"à","a"),"è","e"),"ì","i"),"ò","o"),"ù","u"))</f>
        <v/>
      </c>
      <c r="N113" s="25">
        <f>IF(F113="","",SUBSTITUTE(SUBSTITUTE(SUBSTITUTE(SUBSTITUTE(SUBSTITUTE(SUBSTITUTE(SUBSTITUTE(SUBSTITUTE(SUBSTITUTE(SUBSTITUTE(SUBSTITUTE(SUBSTITUTE(LOWER(TRIM(F113)),"á","a"),"é","e"),"í","i"),"ó","o"),"ú","u"),"ü","u"),"ñ","n"),"à","a"),"è","e"),"ì","i"),"ò","o"),"ù","u"))</f>
        <v/>
      </c>
      <c r="O113" s="25">
        <f>IF(M113="confiable",2,IF(M113="dudosa",1,IF(M113="no confiable",0,"")))</f>
        <v/>
      </c>
      <c r="P113" s="25">
        <f>IF(N113="confiable",2,IF(N113="dudosa",1,IF(N113="no confiable",0,"")))</f>
        <v/>
      </c>
      <c r="Q113" s="25">
        <f>IF(AND(ISNUMBER(O113),ISNUMBER(P113)),1,"")</f>
        <v/>
      </c>
      <c r="R113" s="25">
        <f>IF(Q113=1,IF(O113=P113,"Sí","No"),"")</f>
        <v/>
      </c>
      <c r="S113" s="25">
        <f>IF(Q113=1,IF(P113&lt;O113,"Más estricto",IF(P113&gt;O113,"Más permisivo","Igual")),"")</f>
        <v/>
      </c>
      <c r="T113" s="25">
        <f>IF(Q113=1,IF(ABS(O113-P113)=2,1,0),"")</f>
        <v/>
      </c>
      <c r="U113" s="25">
        <f>IF(H113="","","|"&amp;SUBSTITUTE(SUBSTITUTE(TRIM(H113)," |","|"),"| ","|")&amp;"|")</f>
        <v/>
      </c>
      <c r="V113" s="25">
        <f>IF(AND(Q113=1,B113&lt;&gt;""),IF(IFERROR(COUNTIFS(B$3:B113,"="&amp;SUBSTITUTE(SUBSTITUTE(SUBSTITUTE(B113,"~","~~"),"*","~*"),"?","~?"),Q$3:Q113,1),0)=1,MAX(V$2:V112)+1,""),"")</f>
        <v/>
      </c>
      <c r="W113" s="25">
        <f>IF(V113="","",COUNTIFS($B$3:$B$1002,"="&amp;SUBSTITUTE(SUBSTITUTE(SUBSTITUTE(B113,"~","~~"),"*","~*"),"?","~?"),$Q$3:$Q$1002,1)*10000-V113)</f>
        <v/>
      </c>
      <c r="X113" s="25">
        <f>IF(Q113=1,IF(SUBSTITUTE(SUBSTITUTE(SUBSTITUTE(SUBSTITUTE(SUBSTITUTE(SUBSTITUTE(SUBSTITUTE(SUBSTITUTE(SUBSTITUTE(SUBSTITUTE(SUBSTITUTE(SUBSTITUTE(LOWER(TRIM(A113)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113)),"á","a"),"é","e"),"í","i"),"ó","o"),"ú","u"),"ü","u"),"ñ","n"),"à","a"),"è","e"),"ì","i"),"ò","o"),"ù","u")),"")</f>
        <v/>
      </c>
      <c r="Y113" s="25">
        <f>IF(X113="","",IF(IFERROR(COUNTIF(X$3:X113,"="&amp;SUBSTITUTE(SUBSTITUTE(SUBSTITUTE(X113,"~","~~"),"*","~*"),"?","~?")),0)=1,1,""))</f>
        <v/>
      </c>
      <c r="Z113" s="25">
        <f>IF(T113=1,MAX(Z$2:Z112)+1,"")</f>
        <v/>
      </c>
    </row>
    <row r="114">
      <c r="A114">
        <f>IF(A$2=0,"",IFERROR(TRIM(INDEX('Pegar calibracion'!$A$1:$BZ$1001,113,A$2)&amp;""),""))</f>
        <v/>
      </c>
      <c r="B114">
        <f>IF(B$2=0,"",IFERROR(TRIM(INDEX('Pegar calibracion'!$A$1:$BZ$1001,113,B$2)&amp;""),""))</f>
        <v/>
      </c>
      <c r="C114">
        <f>IF(C$2=0,"",IFERROR(TRIM(INDEX('Pegar calibracion'!$A$1:$BZ$1001,113,C$2)&amp;""),""))</f>
        <v/>
      </c>
      <c r="D114">
        <f>IF(D$2=0,"",IFERROR(TRIM(INDEX('Pegar calibracion'!$A$1:$BZ$1001,113,D$2)&amp;""),""))</f>
        <v/>
      </c>
      <c r="E114">
        <f>IF(E$2=0,"",IFERROR(TRIM(INDEX('Pegar calibracion'!$A$1:$BZ$1001,113,E$2)&amp;""),""))</f>
        <v/>
      </c>
      <c r="F114">
        <f>IF(F$2=0,"",IFERROR(TRIM(INDEX('Pegar calibracion'!$A$1:$BZ$1001,113,F$2)&amp;""),""))</f>
        <v/>
      </c>
      <c r="G114">
        <f>IF(G$2=0,"",IFERROR(TRIM(INDEX('Pegar calibracion'!$A$1:$BZ$1001,113,G$2)&amp;""),""))</f>
        <v/>
      </c>
      <c r="H114">
        <f>IF(H$2=0,"",IFERROR(TRIM(INDEX('Pegar calibracion'!$A$1:$BZ$1001,113,H$2)&amp;""),""))</f>
        <v/>
      </c>
      <c r="I114">
        <f>IF(I$2=0,"",IFERROR(TRIM(INDEX('Pegar calibracion'!$A$1:$BZ$1001,113,I$2)&amp;""),""))</f>
        <v/>
      </c>
      <c r="J114">
        <f>IF(J$2=0,"",IFERROR(TRIM(INDEX('Pegar calibracion'!$A$1:$BZ$1001,113,J$2)&amp;""),""))</f>
        <v/>
      </c>
      <c r="K114">
        <f>IF(K$2=0,"",IFERROR(TRIM(INDEX('Pegar calibracion'!$A$1:$BZ$1001,113,K$2)&amp;""),""))</f>
        <v/>
      </c>
      <c r="L114">
        <f>IF(L$2=0,"",IFERROR(TRIM(INDEX('Pegar calibracion'!$A$1:$BZ$1001,113,L$2)&amp;""),""))</f>
        <v/>
      </c>
      <c r="M114" s="25">
        <f>IF(D114="","",SUBSTITUTE(SUBSTITUTE(SUBSTITUTE(SUBSTITUTE(SUBSTITUTE(SUBSTITUTE(SUBSTITUTE(SUBSTITUTE(SUBSTITUTE(SUBSTITUTE(SUBSTITUTE(SUBSTITUTE(LOWER(TRIM(D114)),"á","a"),"é","e"),"í","i"),"ó","o"),"ú","u"),"ü","u"),"ñ","n"),"à","a"),"è","e"),"ì","i"),"ò","o"),"ù","u"))</f>
        <v/>
      </c>
      <c r="N114" s="25">
        <f>IF(F114="","",SUBSTITUTE(SUBSTITUTE(SUBSTITUTE(SUBSTITUTE(SUBSTITUTE(SUBSTITUTE(SUBSTITUTE(SUBSTITUTE(SUBSTITUTE(SUBSTITUTE(SUBSTITUTE(SUBSTITUTE(LOWER(TRIM(F114)),"á","a"),"é","e"),"í","i"),"ó","o"),"ú","u"),"ü","u"),"ñ","n"),"à","a"),"è","e"),"ì","i"),"ò","o"),"ù","u"))</f>
        <v/>
      </c>
      <c r="O114" s="25">
        <f>IF(M114="confiable",2,IF(M114="dudosa",1,IF(M114="no confiable",0,"")))</f>
        <v/>
      </c>
      <c r="P114" s="25">
        <f>IF(N114="confiable",2,IF(N114="dudosa",1,IF(N114="no confiable",0,"")))</f>
        <v/>
      </c>
      <c r="Q114" s="25">
        <f>IF(AND(ISNUMBER(O114),ISNUMBER(P114)),1,"")</f>
        <v/>
      </c>
      <c r="R114" s="25">
        <f>IF(Q114=1,IF(O114=P114,"Sí","No"),"")</f>
        <v/>
      </c>
      <c r="S114" s="25">
        <f>IF(Q114=1,IF(P114&lt;O114,"Más estricto",IF(P114&gt;O114,"Más permisivo","Igual")),"")</f>
        <v/>
      </c>
      <c r="T114" s="25">
        <f>IF(Q114=1,IF(ABS(O114-P114)=2,1,0),"")</f>
        <v/>
      </c>
      <c r="U114" s="25">
        <f>IF(H114="","","|"&amp;SUBSTITUTE(SUBSTITUTE(TRIM(H114)," |","|"),"| ","|")&amp;"|")</f>
        <v/>
      </c>
      <c r="V114" s="25">
        <f>IF(AND(Q114=1,B114&lt;&gt;""),IF(IFERROR(COUNTIFS(B$3:B114,"="&amp;SUBSTITUTE(SUBSTITUTE(SUBSTITUTE(B114,"~","~~"),"*","~*"),"?","~?"),Q$3:Q114,1),0)=1,MAX(V$2:V113)+1,""),"")</f>
        <v/>
      </c>
      <c r="W114" s="25">
        <f>IF(V114="","",COUNTIFS($B$3:$B$1002,"="&amp;SUBSTITUTE(SUBSTITUTE(SUBSTITUTE(B114,"~","~~"),"*","~*"),"?","~?"),$Q$3:$Q$1002,1)*10000-V114)</f>
        <v/>
      </c>
      <c r="X114" s="25">
        <f>IF(Q114=1,IF(SUBSTITUTE(SUBSTITUTE(SUBSTITUTE(SUBSTITUTE(SUBSTITUTE(SUBSTITUTE(SUBSTITUTE(SUBSTITUTE(SUBSTITUTE(SUBSTITUTE(SUBSTITUTE(SUBSTITUTE(LOWER(TRIM(A114)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114)),"á","a"),"é","e"),"í","i"),"ó","o"),"ú","u"),"ü","u"),"ñ","n"),"à","a"),"è","e"),"ì","i"),"ò","o"),"ù","u")),"")</f>
        <v/>
      </c>
      <c r="Y114" s="25">
        <f>IF(X114="","",IF(IFERROR(COUNTIF(X$3:X114,"="&amp;SUBSTITUTE(SUBSTITUTE(SUBSTITUTE(X114,"~","~~"),"*","~*"),"?","~?")),0)=1,1,""))</f>
        <v/>
      </c>
      <c r="Z114" s="25">
        <f>IF(T114=1,MAX(Z$2:Z113)+1,"")</f>
        <v/>
      </c>
    </row>
    <row r="115">
      <c r="A115">
        <f>IF(A$2=0,"",IFERROR(TRIM(INDEX('Pegar calibracion'!$A$1:$BZ$1001,114,A$2)&amp;""),""))</f>
        <v/>
      </c>
      <c r="B115">
        <f>IF(B$2=0,"",IFERROR(TRIM(INDEX('Pegar calibracion'!$A$1:$BZ$1001,114,B$2)&amp;""),""))</f>
        <v/>
      </c>
      <c r="C115">
        <f>IF(C$2=0,"",IFERROR(TRIM(INDEX('Pegar calibracion'!$A$1:$BZ$1001,114,C$2)&amp;""),""))</f>
        <v/>
      </c>
      <c r="D115">
        <f>IF(D$2=0,"",IFERROR(TRIM(INDEX('Pegar calibracion'!$A$1:$BZ$1001,114,D$2)&amp;""),""))</f>
        <v/>
      </c>
      <c r="E115">
        <f>IF(E$2=0,"",IFERROR(TRIM(INDEX('Pegar calibracion'!$A$1:$BZ$1001,114,E$2)&amp;""),""))</f>
        <v/>
      </c>
      <c r="F115">
        <f>IF(F$2=0,"",IFERROR(TRIM(INDEX('Pegar calibracion'!$A$1:$BZ$1001,114,F$2)&amp;""),""))</f>
        <v/>
      </c>
      <c r="G115">
        <f>IF(G$2=0,"",IFERROR(TRIM(INDEX('Pegar calibracion'!$A$1:$BZ$1001,114,G$2)&amp;""),""))</f>
        <v/>
      </c>
      <c r="H115">
        <f>IF(H$2=0,"",IFERROR(TRIM(INDEX('Pegar calibracion'!$A$1:$BZ$1001,114,H$2)&amp;""),""))</f>
        <v/>
      </c>
      <c r="I115">
        <f>IF(I$2=0,"",IFERROR(TRIM(INDEX('Pegar calibracion'!$A$1:$BZ$1001,114,I$2)&amp;""),""))</f>
        <v/>
      </c>
      <c r="J115">
        <f>IF(J$2=0,"",IFERROR(TRIM(INDEX('Pegar calibracion'!$A$1:$BZ$1001,114,J$2)&amp;""),""))</f>
        <v/>
      </c>
      <c r="K115">
        <f>IF(K$2=0,"",IFERROR(TRIM(INDEX('Pegar calibracion'!$A$1:$BZ$1001,114,K$2)&amp;""),""))</f>
        <v/>
      </c>
      <c r="L115">
        <f>IF(L$2=0,"",IFERROR(TRIM(INDEX('Pegar calibracion'!$A$1:$BZ$1001,114,L$2)&amp;""),""))</f>
        <v/>
      </c>
      <c r="M115" s="25">
        <f>IF(D115="","",SUBSTITUTE(SUBSTITUTE(SUBSTITUTE(SUBSTITUTE(SUBSTITUTE(SUBSTITUTE(SUBSTITUTE(SUBSTITUTE(SUBSTITUTE(SUBSTITUTE(SUBSTITUTE(SUBSTITUTE(LOWER(TRIM(D115)),"á","a"),"é","e"),"í","i"),"ó","o"),"ú","u"),"ü","u"),"ñ","n"),"à","a"),"è","e"),"ì","i"),"ò","o"),"ù","u"))</f>
        <v/>
      </c>
      <c r="N115" s="25">
        <f>IF(F115="","",SUBSTITUTE(SUBSTITUTE(SUBSTITUTE(SUBSTITUTE(SUBSTITUTE(SUBSTITUTE(SUBSTITUTE(SUBSTITUTE(SUBSTITUTE(SUBSTITUTE(SUBSTITUTE(SUBSTITUTE(LOWER(TRIM(F115)),"á","a"),"é","e"),"í","i"),"ó","o"),"ú","u"),"ü","u"),"ñ","n"),"à","a"),"è","e"),"ì","i"),"ò","o"),"ù","u"))</f>
        <v/>
      </c>
      <c r="O115" s="25">
        <f>IF(M115="confiable",2,IF(M115="dudosa",1,IF(M115="no confiable",0,"")))</f>
        <v/>
      </c>
      <c r="P115" s="25">
        <f>IF(N115="confiable",2,IF(N115="dudosa",1,IF(N115="no confiable",0,"")))</f>
        <v/>
      </c>
      <c r="Q115" s="25">
        <f>IF(AND(ISNUMBER(O115),ISNUMBER(P115)),1,"")</f>
        <v/>
      </c>
      <c r="R115" s="25">
        <f>IF(Q115=1,IF(O115=P115,"Sí","No"),"")</f>
        <v/>
      </c>
      <c r="S115" s="25">
        <f>IF(Q115=1,IF(P115&lt;O115,"Más estricto",IF(P115&gt;O115,"Más permisivo","Igual")),"")</f>
        <v/>
      </c>
      <c r="T115" s="25">
        <f>IF(Q115=1,IF(ABS(O115-P115)=2,1,0),"")</f>
        <v/>
      </c>
      <c r="U115" s="25">
        <f>IF(H115="","","|"&amp;SUBSTITUTE(SUBSTITUTE(TRIM(H115)," |","|"),"| ","|")&amp;"|")</f>
        <v/>
      </c>
      <c r="V115" s="25">
        <f>IF(AND(Q115=1,B115&lt;&gt;""),IF(IFERROR(COUNTIFS(B$3:B115,"="&amp;SUBSTITUTE(SUBSTITUTE(SUBSTITUTE(B115,"~","~~"),"*","~*"),"?","~?"),Q$3:Q115,1),0)=1,MAX(V$2:V114)+1,""),"")</f>
        <v/>
      </c>
      <c r="W115" s="25">
        <f>IF(V115="","",COUNTIFS($B$3:$B$1002,"="&amp;SUBSTITUTE(SUBSTITUTE(SUBSTITUTE(B115,"~","~~"),"*","~*"),"?","~?"),$Q$3:$Q$1002,1)*10000-V115)</f>
        <v/>
      </c>
      <c r="X115" s="25">
        <f>IF(Q115=1,IF(SUBSTITUTE(SUBSTITUTE(SUBSTITUTE(SUBSTITUTE(SUBSTITUTE(SUBSTITUTE(SUBSTITUTE(SUBSTITUTE(SUBSTITUTE(SUBSTITUTE(SUBSTITUTE(SUBSTITUTE(LOWER(TRIM(A115)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115)),"á","a"),"é","e"),"í","i"),"ó","o"),"ú","u"),"ü","u"),"ñ","n"),"à","a"),"è","e"),"ì","i"),"ò","o"),"ù","u")),"")</f>
        <v/>
      </c>
      <c r="Y115" s="25">
        <f>IF(X115="","",IF(IFERROR(COUNTIF(X$3:X115,"="&amp;SUBSTITUTE(SUBSTITUTE(SUBSTITUTE(X115,"~","~~"),"*","~*"),"?","~?")),0)=1,1,""))</f>
        <v/>
      </c>
      <c r="Z115" s="25">
        <f>IF(T115=1,MAX(Z$2:Z114)+1,"")</f>
        <v/>
      </c>
    </row>
    <row r="116">
      <c r="A116">
        <f>IF(A$2=0,"",IFERROR(TRIM(INDEX('Pegar calibracion'!$A$1:$BZ$1001,115,A$2)&amp;""),""))</f>
        <v/>
      </c>
      <c r="B116">
        <f>IF(B$2=0,"",IFERROR(TRIM(INDEX('Pegar calibracion'!$A$1:$BZ$1001,115,B$2)&amp;""),""))</f>
        <v/>
      </c>
      <c r="C116">
        <f>IF(C$2=0,"",IFERROR(TRIM(INDEX('Pegar calibracion'!$A$1:$BZ$1001,115,C$2)&amp;""),""))</f>
        <v/>
      </c>
      <c r="D116">
        <f>IF(D$2=0,"",IFERROR(TRIM(INDEX('Pegar calibracion'!$A$1:$BZ$1001,115,D$2)&amp;""),""))</f>
        <v/>
      </c>
      <c r="E116">
        <f>IF(E$2=0,"",IFERROR(TRIM(INDEX('Pegar calibracion'!$A$1:$BZ$1001,115,E$2)&amp;""),""))</f>
        <v/>
      </c>
      <c r="F116">
        <f>IF(F$2=0,"",IFERROR(TRIM(INDEX('Pegar calibracion'!$A$1:$BZ$1001,115,F$2)&amp;""),""))</f>
        <v/>
      </c>
      <c r="G116">
        <f>IF(G$2=0,"",IFERROR(TRIM(INDEX('Pegar calibracion'!$A$1:$BZ$1001,115,G$2)&amp;""),""))</f>
        <v/>
      </c>
      <c r="H116">
        <f>IF(H$2=0,"",IFERROR(TRIM(INDEX('Pegar calibracion'!$A$1:$BZ$1001,115,H$2)&amp;""),""))</f>
        <v/>
      </c>
      <c r="I116">
        <f>IF(I$2=0,"",IFERROR(TRIM(INDEX('Pegar calibracion'!$A$1:$BZ$1001,115,I$2)&amp;""),""))</f>
        <v/>
      </c>
      <c r="J116">
        <f>IF(J$2=0,"",IFERROR(TRIM(INDEX('Pegar calibracion'!$A$1:$BZ$1001,115,J$2)&amp;""),""))</f>
        <v/>
      </c>
      <c r="K116">
        <f>IF(K$2=0,"",IFERROR(TRIM(INDEX('Pegar calibracion'!$A$1:$BZ$1001,115,K$2)&amp;""),""))</f>
        <v/>
      </c>
      <c r="L116">
        <f>IF(L$2=0,"",IFERROR(TRIM(INDEX('Pegar calibracion'!$A$1:$BZ$1001,115,L$2)&amp;""),""))</f>
        <v/>
      </c>
      <c r="M116" s="25">
        <f>IF(D116="","",SUBSTITUTE(SUBSTITUTE(SUBSTITUTE(SUBSTITUTE(SUBSTITUTE(SUBSTITUTE(SUBSTITUTE(SUBSTITUTE(SUBSTITUTE(SUBSTITUTE(SUBSTITUTE(SUBSTITUTE(LOWER(TRIM(D116)),"á","a"),"é","e"),"í","i"),"ó","o"),"ú","u"),"ü","u"),"ñ","n"),"à","a"),"è","e"),"ì","i"),"ò","o"),"ù","u"))</f>
        <v/>
      </c>
      <c r="N116" s="25">
        <f>IF(F116="","",SUBSTITUTE(SUBSTITUTE(SUBSTITUTE(SUBSTITUTE(SUBSTITUTE(SUBSTITUTE(SUBSTITUTE(SUBSTITUTE(SUBSTITUTE(SUBSTITUTE(SUBSTITUTE(SUBSTITUTE(LOWER(TRIM(F116)),"á","a"),"é","e"),"í","i"),"ó","o"),"ú","u"),"ü","u"),"ñ","n"),"à","a"),"è","e"),"ì","i"),"ò","o"),"ù","u"))</f>
        <v/>
      </c>
      <c r="O116" s="25">
        <f>IF(M116="confiable",2,IF(M116="dudosa",1,IF(M116="no confiable",0,"")))</f>
        <v/>
      </c>
      <c r="P116" s="25">
        <f>IF(N116="confiable",2,IF(N116="dudosa",1,IF(N116="no confiable",0,"")))</f>
        <v/>
      </c>
      <c r="Q116" s="25">
        <f>IF(AND(ISNUMBER(O116),ISNUMBER(P116)),1,"")</f>
        <v/>
      </c>
      <c r="R116" s="25">
        <f>IF(Q116=1,IF(O116=P116,"Sí","No"),"")</f>
        <v/>
      </c>
      <c r="S116" s="25">
        <f>IF(Q116=1,IF(P116&lt;O116,"Más estricto",IF(P116&gt;O116,"Más permisivo","Igual")),"")</f>
        <v/>
      </c>
      <c r="T116" s="25">
        <f>IF(Q116=1,IF(ABS(O116-P116)=2,1,0),"")</f>
        <v/>
      </c>
      <c r="U116" s="25">
        <f>IF(H116="","","|"&amp;SUBSTITUTE(SUBSTITUTE(TRIM(H116)," |","|"),"| ","|")&amp;"|")</f>
        <v/>
      </c>
      <c r="V116" s="25">
        <f>IF(AND(Q116=1,B116&lt;&gt;""),IF(IFERROR(COUNTIFS(B$3:B116,"="&amp;SUBSTITUTE(SUBSTITUTE(SUBSTITUTE(B116,"~","~~"),"*","~*"),"?","~?"),Q$3:Q116,1),0)=1,MAX(V$2:V115)+1,""),"")</f>
        <v/>
      </c>
      <c r="W116" s="25">
        <f>IF(V116="","",COUNTIFS($B$3:$B$1002,"="&amp;SUBSTITUTE(SUBSTITUTE(SUBSTITUTE(B116,"~","~~"),"*","~*"),"?","~?"),$Q$3:$Q$1002,1)*10000-V116)</f>
        <v/>
      </c>
      <c r="X116" s="25">
        <f>IF(Q116=1,IF(SUBSTITUTE(SUBSTITUTE(SUBSTITUTE(SUBSTITUTE(SUBSTITUTE(SUBSTITUTE(SUBSTITUTE(SUBSTITUTE(SUBSTITUTE(SUBSTITUTE(SUBSTITUTE(SUBSTITUTE(LOWER(TRIM(A116)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116)),"á","a"),"é","e"),"í","i"),"ó","o"),"ú","u"),"ü","u"),"ñ","n"),"à","a"),"è","e"),"ì","i"),"ò","o"),"ù","u")),"")</f>
        <v/>
      </c>
      <c r="Y116" s="25">
        <f>IF(X116="","",IF(IFERROR(COUNTIF(X$3:X116,"="&amp;SUBSTITUTE(SUBSTITUTE(SUBSTITUTE(X116,"~","~~"),"*","~*"),"?","~?")),0)=1,1,""))</f>
        <v/>
      </c>
      <c r="Z116" s="25">
        <f>IF(T116=1,MAX(Z$2:Z115)+1,"")</f>
        <v/>
      </c>
    </row>
    <row r="117">
      <c r="A117">
        <f>IF(A$2=0,"",IFERROR(TRIM(INDEX('Pegar calibracion'!$A$1:$BZ$1001,116,A$2)&amp;""),""))</f>
        <v/>
      </c>
      <c r="B117">
        <f>IF(B$2=0,"",IFERROR(TRIM(INDEX('Pegar calibracion'!$A$1:$BZ$1001,116,B$2)&amp;""),""))</f>
        <v/>
      </c>
      <c r="C117">
        <f>IF(C$2=0,"",IFERROR(TRIM(INDEX('Pegar calibracion'!$A$1:$BZ$1001,116,C$2)&amp;""),""))</f>
        <v/>
      </c>
      <c r="D117">
        <f>IF(D$2=0,"",IFERROR(TRIM(INDEX('Pegar calibracion'!$A$1:$BZ$1001,116,D$2)&amp;""),""))</f>
        <v/>
      </c>
      <c r="E117">
        <f>IF(E$2=0,"",IFERROR(TRIM(INDEX('Pegar calibracion'!$A$1:$BZ$1001,116,E$2)&amp;""),""))</f>
        <v/>
      </c>
      <c r="F117">
        <f>IF(F$2=0,"",IFERROR(TRIM(INDEX('Pegar calibracion'!$A$1:$BZ$1001,116,F$2)&amp;""),""))</f>
        <v/>
      </c>
      <c r="G117">
        <f>IF(G$2=0,"",IFERROR(TRIM(INDEX('Pegar calibracion'!$A$1:$BZ$1001,116,G$2)&amp;""),""))</f>
        <v/>
      </c>
      <c r="H117">
        <f>IF(H$2=0,"",IFERROR(TRIM(INDEX('Pegar calibracion'!$A$1:$BZ$1001,116,H$2)&amp;""),""))</f>
        <v/>
      </c>
      <c r="I117">
        <f>IF(I$2=0,"",IFERROR(TRIM(INDEX('Pegar calibracion'!$A$1:$BZ$1001,116,I$2)&amp;""),""))</f>
        <v/>
      </c>
      <c r="J117">
        <f>IF(J$2=0,"",IFERROR(TRIM(INDEX('Pegar calibracion'!$A$1:$BZ$1001,116,J$2)&amp;""),""))</f>
        <v/>
      </c>
      <c r="K117">
        <f>IF(K$2=0,"",IFERROR(TRIM(INDEX('Pegar calibracion'!$A$1:$BZ$1001,116,K$2)&amp;""),""))</f>
        <v/>
      </c>
      <c r="L117">
        <f>IF(L$2=0,"",IFERROR(TRIM(INDEX('Pegar calibracion'!$A$1:$BZ$1001,116,L$2)&amp;""),""))</f>
        <v/>
      </c>
      <c r="M117" s="25">
        <f>IF(D117="","",SUBSTITUTE(SUBSTITUTE(SUBSTITUTE(SUBSTITUTE(SUBSTITUTE(SUBSTITUTE(SUBSTITUTE(SUBSTITUTE(SUBSTITUTE(SUBSTITUTE(SUBSTITUTE(SUBSTITUTE(LOWER(TRIM(D117)),"á","a"),"é","e"),"í","i"),"ó","o"),"ú","u"),"ü","u"),"ñ","n"),"à","a"),"è","e"),"ì","i"),"ò","o"),"ù","u"))</f>
        <v/>
      </c>
      <c r="N117" s="25">
        <f>IF(F117="","",SUBSTITUTE(SUBSTITUTE(SUBSTITUTE(SUBSTITUTE(SUBSTITUTE(SUBSTITUTE(SUBSTITUTE(SUBSTITUTE(SUBSTITUTE(SUBSTITUTE(SUBSTITUTE(SUBSTITUTE(LOWER(TRIM(F117)),"á","a"),"é","e"),"í","i"),"ó","o"),"ú","u"),"ü","u"),"ñ","n"),"à","a"),"è","e"),"ì","i"),"ò","o"),"ù","u"))</f>
        <v/>
      </c>
      <c r="O117" s="25">
        <f>IF(M117="confiable",2,IF(M117="dudosa",1,IF(M117="no confiable",0,"")))</f>
        <v/>
      </c>
      <c r="P117" s="25">
        <f>IF(N117="confiable",2,IF(N117="dudosa",1,IF(N117="no confiable",0,"")))</f>
        <v/>
      </c>
      <c r="Q117" s="25">
        <f>IF(AND(ISNUMBER(O117),ISNUMBER(P117)),1,"")</f>
        <v/>
      </c>
      <c r="R117" s="25">
        <f>IF(Q117=1,IF(O117=P117,"Sí","No"),"")</f>
        <v/>
      </c>
      <c r="S117" s="25">
        <f>IF(Q117=1,IF(P117&lt;O117,"Más estricto",IF(P117&gt;O117,"Más permisivo","Igual")),"")</f>
        <v/>
      </c>
      <c r="T117" s="25">
        <f>IF(Q117=1,IF(ABS(O117-P117)=2,1,0),"")</f>
        <v/>
      </c>
      <c r="U117" s="25">
        <f>IF(H117="","","|"&amp;SUBSTITUTE(SUBSTITUTE(TRIM(H117)," |","|"),"| ","|")&amp;"|")</f>
        <v/>
      </c>
      <c r="V117" s="25">
        <f>IF(AND(Q117=1,B117&lt;&gt;""),IF(IFERROR(COUNTIFS(B$3:B117,"="&amp;SUBSTITUTE(SUBSTITUTE(SUBSTITUTE(B117,"~","~~"),"*","~*"),"?","~?"),Q$3:Q117,1),0)=1,MAX(V$2:V116)+1,""),"")</f>
        <v/>
      </c>
      <c r="W117" s="25">
        <f>IF(V117="","",COUNTIFS($B$3:$B$1002,"="&amp;SUBSTITUTE(SUBSTITUTE(SUBSTITUTE(B117,"~","~~"),"*","~*"),"?","~?"),$Q$3:$Q$1002,1)*10000-V117)</f>
        <v/>
      </c>
      <c r="X117" s="25">
        <f>IF(Q117=1,IF(SUBSTITUTE(SUBSTITUTE(SUBSTITUTE(SUBSTITUTE(SUBSTITUTE(SUBSTITUTE(SUBSTITUTE(SUBSTITUTE(SUBSTITUTE(SUBSTITUTE(SUBSTITUTE(SUBSTITUTE(LOWER(TRIM(A117)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117)),"á","a"),"é","e"),"í","i"),"ó","o"),"ú","u"),"ü","u"),"ñ","n"),"à","a"),"è","e"),"ì","i"),"ò","o"),"ù","u")),"")</f>
        <v/>
      </c>
      <c r="Y117" s="25">
        <f>IF(X117="","",IF(IFERROR(COUNTIF(X$3:X117,"="&amp;SUBSTITUTE(SUBSTITUTE(SUBSTITUTE(X117,"~","~~"),"*","~*"),"?","~?")),0)=1,1,""))</f>
        <v/>
      </c>
      <c r="Z117" s="25">
        <f>IF(T117=1,MAX(Z$2:Z116)+1,"")</f>
        <v/>
      </c>
    </row>
    <row r="118">
      <c r="A118">
        <f>IF(A$2=0,"",IFERROR(TRIM(INDEX('Pegar calibracion'!$A$1:$BZ$1001,117,A$2)&amp;""),""))</f>
        <v/>
      </c>
      <c r="B118">
        <f>IF(B$2=0,"",IFERROR(TRIM(INDEX('Pegar calibracion'!$A$1:$BZ$1001,117,B$2)&amp;""),""))</f>
        <v/>
      </c>
      <c r="C118">
        <f>IF(C$2=0,"",IFERROR(TRIM(INDEX('Pegar calibracion'!$A$1:$BZ$1001,117,C$2)&amp;""),""))</f>
        <v/>
      </c>
      <c r="D118">
        <f>IF(D$2=0,"",IFERROR(TRIM(INDEX('Pegar calibracion'!$A$1:$BZ$1001,117,D$2)&amp;""),""))</f>
        <v/>
      </c>
      <c r="E118">
        <f>IF(E$2=0,"",IFERROR(TRIM(INDEX('Pegar calibracion'!$A$1:$BZ$1001,117,E$2)&amp;""),""))</f>
        <v/>
      </c>
      <c r="F118">
        <f>IF(F$2=0,"",IFERROR(TRIM(INDEX('Pegar calibracion'!$A$1:$BZ$1001,117,F$2)&amp;""),""))</f>
        <v/>
      </c>
      <c r="G118">
        <f>IF(G$2=0,"",IFERROR(TRIM(INDEX('Pegar calibracion'!$A$1:$BZ$1001,117,G$2)&amp;""),""))</f>
        <v/>
      </c>
      <c r="H118">
        <f>IF(H$2=0,"",IFERROR(TRIM(INDEX('Pegar calibracion'!$A$1:$BZ$1001,117,H$2)&amp;""),""))</f>
        <v/>
      </c>
      <c r="I118">
        <f>IF(I$2=0,"",IFERROR(TRIM(INDEX('Pegar calibracion'!$A$1:$BZ$1001,117,I$2)&amp;""),""))</f>
        <v/>
      </c>
      <c r="J118">
        <f>IF(J$2=0,"",IFERROR(TRIM(INDEX('Pegar calibracion'!$A$1:$BZ$1001,117,J$2)&amp;""),""))</f>
        <v/>
      </c>
      <c r="K118">
        <f>IF(K$2=0,"",IFERROR(TRIM(INDEX('Pegar calibracion'!$A$1:$BZ$1001,117,K$2)&amp;""),""))</f>
        <v/>
      </c>
      <c r="L118">
        <f>IF(L$2=0,"",IFERROR(TRIM(INDEX('Pegar calibracion'!$A$1:$BZ$1001,117,L$2)&amp;""),""))</f>
        <v/>
      </c>
      <c r="M118" s="25">
        <f>IF(D118="","",SUBSTITUTE(SUBSTITUTE(SUBSTITUTE(SUBSTITUTE(SUBSTITUTE(SUBSTITUTE(SUBSTITUTE(SUBSTITUTE(SUBSTITUTE(SUBSTITUTE(SUBSTITUTE(SUBSTITUTE(LOWER(TRIM(D118)),"á","a"),"é","e"),"í","i"),"ó","o"),"ú","u"),"ü","u"),"ñ","n"),"à","a"),"è","e"),"ì","i"),"ò","o"),"ù","u"))</f>
        <v/>
      </c>
      <c r="N118" s="25">
        <f>IF(F118="","",SUBSTITUTE(SUBSTITUTE(SUBSTITUTE(SUBSTITUTE(SUBSTITUTE(SUBSTITUTE(SUBSTITUTE(SUBSTITUTE(SUBSTITUTE(SUBSTITUTE(SUBSTITUTE(SUBSTITUTE(LOWER(TRIM(F118)),"á","a"),"é","e"),"í","i"),"ó","o"),"ú","u"),"ü","u"),"ñ","n"),"à","a"),"è","e"),"ì","i"),"ò","o"),"ù","u"))</f>
        <v/>
      </c>
      <c r="O118" s="25">
        <f>IF(M118="confiable",2,IF(M118="dudosa",1,IF(M118="no confiable",0,"")))</f>
        <v/>
      </c>
      <c r="P118" s="25">
        <f>IF(N118="confiable",2,IF(N118="dudosa",1,IF(N118="no confiable",0,"")))</f>
        <v/>
      </c>
      <c r="Q118" s="25">
        <f>IF(AND(ISNUMBER(O118),ISNUMBER(P118)),1,"")</f>
        <v/>
      </c>
      <c r="R118" s="25">
        <f>IF(Q118=1,IF(O118=P118,"Sí","No"),"")</f>
        <v/>
      </c>
      <c r="S118" s="25">
        <f>IF(Q118=1,IF(P118&lt;O118,"Más estricto",IF(P118&gt;O118,"Más permisivo","Igual")),"")</f>
        <v/>
      </c>
      <c r="T118" s="25">
        <f>IF(Q118=1,IF(ABS(O118-P118)=2,1,0),"")</f>
        <v/>
      </c>
      <c r="U118" s="25">
        <f>IF(H118="","","|"&amp;SUBSTITUTE(SUBSTITUTE(TRIM(H118)," |","|"),"| ","|")&amp;"|")</f>
        <v/>
      </c>
      <c r="V118" s="25">
        <f>IF(AND(Q118=1,B118&lt;&gt;""),IF(IFERROR(COUNTIFS(B$3:B118,"="&amp;SUBSTITUTE(SUBSTITUTE(SUBSTITUTE(B118,"~","~~"),"*","~*"),"?","~?"),Q$3:Q118,1),0)=1,MAX(V$2:V117)+1,""),"")</f>
        <v/>
      </c>
      <c r="W118" s="25">
        <f>IF(V118="","",COUNTIFS($B$3:$B$1002,"="&amp;SUBSTITUTE(SUBSTITUTE(SUBSTITUTE(B118,"~","~~"),"*","~*"),"?","~?"),$Q$3:$Q$1002,1)*10000-V118)</f>
        <v/>
      </c>
      <c r="X118" s="25">
        <f>IF(Q118=1,IF(SUBSTITUTE(SUBSTITUTE(SUBSTITUTE(SUBSTITUTE(SUBSTITUTE(SUBSTITUTE(SUBSTITUTE(SUBSTITUTE(SUBSTITUTE(SUBSTITUTE(SUBSTITUTE(SUBSTITUTE(LOWER(TRIM(A118)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118)),"á","a"),"é","e"),"í","i"),"ó","o"),"ú","u"),"ü","u"),"ñ","n"),"à","a"),"è","e"),"ì","i"),"ò","o"),"ù","u")),"")</f>
        <v/>
      </c>
      <c r="Y118" s="25">
        <f>IF(X118="","",IF(IFERROR(COUNTIF(X$3:X118,"="&amp;SUBSTITUTE(SUBSTITUTE(SUBSTITUTE(X118,"~","~~"),"*","~*"),"?","~?")),0)=1,1,""))</f>
        <v/>
      </c>
      <c r="Z118" s="25">
        <f>IF(T118=1,MAX(Z$2:Z117)+1,"")</f>
        <v/>
      </c>
    </row>
    <row r="119">
      <c r="A119">
        <f>IF(A$2=0,"",IFERROR(TRIM(INDEX('Pegar calibracion'!$A$1:$BZ$1001,118,A$2)&amp;""),""))</f>
        <v/>
      </c>
      <c r="B119">
        <f>IF(B$2=0,"",IFERROR(TRIM(INDEX('Pegar calibracion'!$A$1:$BZ$1001,118,B$2)&amp;""),""))</f>
        <v/>
      </c>
      <c r="C119">
        <f>IF(C$2=0,"",IFERROR(TRIM(INDEX('Pegar calibracion'!$A$1:$BZ$1001,118,C$2)&amp;""),""))</f>
        <v/>
      </c>
      <c r="D119">
        <f>IF(D$2=0,"",IFERROR(TRIM(INDEX('Pegar calibracion'!$A$1:$BZ$1001,118,D$2)&amp;""),""))</f>
        <v/>
      </c>
      <c r="E119">
        <f>IF(E$2=0,"",IFERROR(TRIM(INDEX('Pegar calibracion'!$A$1:$BZ$1001,118,E$2)&amp;""),""))</f>
        <v/>
      </c>
      <c r="F119">
        <f>IF(F$2=0,"",IFERROR(TRIM(INDEX('Pegar calibracion'!$A$1:$BZ$1001,118,F$2)&amp;""),""))</f>
        <v/>
      </c>
      <c r="G119">
        <f>IF(G$2=0,"",IFERROR(TRIM(INDEX('Pegar calibracion'!$A$1:$BZ$1001,118,G$2)&amp;""),""))</f>
        <v/>
      </c>
      <c r="H119">
        <f>IF(H$2=0,"",IFERROR(TRIM(INDEX('Pegar calibracion'!$A$1:$BZ$1001,118,H$2)&amp;""),""))</f>
        <v/>
      </c>
      <c r="I119">
        <f>IF(I$2=0,"",IFERROR(TRIM(INDEX('Pegar calibracion'!$A$1:$BZ$1001,118,I$2)&amp;""),""))</f>
        <v/>
      </c>
      <c r="J119">
        <f>IF(J$2=0,"",IFERROR(TRIM(INDEX('Pegar calibracion'!$A$1:$BZ$1001,118,J$2)&amp;""),""))</f>
        <v/>
      </c>
      <c r="K119">
        <f>IF(K$2=0,"",IFERROR(TRIM(INDEX('Pegar calibracion'!$A$1:$BZ$1001,118,K$2)&amp;""),""))</f>
        <v/>
      </c>
      <c r="L119">
        <f>IF(L$2=0,"",IFERROR(TRIM(INDEX('Pegar calibracion'!$A$1:$BZ$1001,118,L$2)&amp;""),""))</f>
        <v/>
      </c>
      <c r="M119" s="25">
        <f>IF(D119="","",SUBSTITUTE(SUBSTITUTE(SUBSTITUTE(SUBSTITUTE(SUBSTITUTE(SUBSTITUTE(SUBSTITUTE(SUBSTITUTE(SUBSTITUTE(SUBSTITUTE(SUBSTITUTE(SUBSTITUTE(LOWER(TRIM(D119)),"á","a"),"é","e"),"í","i"),"ó","o"),"ú","u"),"ü","u"),"ñ","n"),"à","a"),"è","e"),"ì","i"),"ò","o"),"ù","u"))</f>
        <v/>
      </c>
      <c r="N119" s="25">
        <f>IF(F119="","",SUBSTITUTE(SUBSTITUTE(SUBSTITUTE(SUBSTITUTE(SUBSTITUTE(SUBSTITUTE(SUBSTITUTE(SUBSTITUTE(SUBSTITUTE(SUBSTITUTE(SUBSTITUTE(SUBSTITUTE(LOWER(TRIM(F119)),"á","a"),"é","e"),"í","i"),"ó","o"),"ú","u"),"ü","u"),"ñ","n"),"à","a"),"è","e"),"ì","i"),"ò","o"),"ù","u"))</f>
        <v/>
      </c>
      <c r="O119" s="25">
        <f>IF(M119="confiable",2,IF(M119="dudosa",1,IF(M119="no confiable",0,"")))</f>
        <v/>
      </c>
      <c r="P119" s="25">
        <f>IF(N119="confiable",2,IF(N119="dudosa",1,IF(N119="no confiable",0,"")))</f>
        <v/>
      </c>
      <c r="Q119" s="25">
        <f>IF(AND(ISNUMBER(O119),ISNUMBER(P119)),1,"")</f>
        <v/>
      </c>
      <c r="R119" s="25">
        <f>IF(Q119=1,IF(O119=P119,"Sí","No"),"")</f>
        <v/>
      </c>
      <c r="S119" s="25">
        <f>IF(Q119=1,IF(P119&lt;O119,"Más estricto",IF(P119&gt;O119,"Más permisivo","Igual")),"")</f>
        <v/>
      </c>
      <c r="T119" s="25">
        <f>IF(Q119=1,IF(ABS(O119-P119)=2,1,0),"")</f>
        <v/>
      </c>
      <c r="U119" s="25">
        <f>IF(H119="","","|"&amp;SUBSTITUTE(SUBSTITUTE(TRIM(H119)," |","|"),"| ","|")&amp;"|")</f>
        <v/>
      </c>
      <c r="V119" s="25">
        <f>IF(AND(Q119=1,B119&lt;&gt;""),IF(IFERROR(COUNTIFS(B$3:B119,"="&amp;SUBSTITUTE(SUBSTITUTE(SUBSTITUTE(B119,"~","~~"),"*","~*"),"?","~?"),Q$3:Q119,1),0)=1,MAX(V$2:V118)+1,""),"")</f>
        <v/>
      </c>
      <c r="W119" s="25">
        <f>IF(V119="","",COUNTIFS($B$3:$B$1002,"="&amp;SUBSTITUTE(SUBSTITUTE(SUBSTITUTE(B119,"~","~~"),"*","~*"),"?","~?"),$Q$3:$Q$1002,1)*10000-V119)</f>
        <v/>
      </c>
      <c r="X119" s="25">
        <f>IF(Q119=1,IF(SUBSTITUTE(SUBSTITUTE(SUBSTITUTE(SUBSTITUTE(SUBSTITUTE(SUBSTITUTE(SUBSTITUTE(SUBSTITUTE(SUBSTITUTE(SUBSTITUTE(SUBSTITUTE(SUBSTITUTE(LOWER(TRIM(A119)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119)),"á","a"),"é","e"),"í","i"),"ó","o"),"ú","u"),"ü","u"),"ñ","n"),"à","a"),"è","e"),"ì","i"),"ò","o"),"ù","u")),"")</f>
        <v/>
      </c>
      <c r="Y119" s="25">
        <f>IF(X119="","",IF(IFERROR(COUNTIF(X$3:X119,"="&amp;SUBSTITUTE(SUBSTITUTE(SUBSTITUTE(X119,"~","~~"),"*","~*"),"?","~?")),0)=1,1,""))</f>
        <v/>
      </c>
      <c r="Z119" s="25">
        <f>IF(T119=1,MAX(Z$2:Z118)+1,"")</f>
        <v/>
      </c>
    </row>
    <row r="120">
      <c r="A120">
        <f>IF(A$2=0,"",IFERROR(TRIM(INDEX('Pegar calibracion'!$A$1:$BZ$1001,119,A$2)&amp;""),""))</f>
        <v/>
      </c>
      <c r="B120">
        <f>IF(B$2=0,"",IFERROR(TRIM(INDEX('Pegar calibracion'!$A$1:$BZ$1001,119,B$2)&amp;""),""))</f>
        <v/>
      </c>
      <c r="C120">
        <f>IF(C$2=0,"",IFERROR(TRIM(INDEX('Pegar calibracion'!$A$1:$BZ$1001,119,C$2)&amp;""),""))</f>
        <v/>
      </c>
      <c r="D120">
        <f>IF(D$2=0,"",IFERROR(TRIM(INDEX('Pegar calibracion'!$A$1:$BZ$1001,119,D$2)&amp;""),""))</f>
        <v/>
      </c>
      <c r="E120">
        <f>IF(E$2=0,"",IFERROR(TRIM(INDEX('Pegar calibracion'!$A$1:$BZ$1001,119,E$2)&amp;""),""))</f>
        <v/>
      </c>
      <c r="F120">
        <f>IF(F$2=0,"",IFERROR(TRIM(INDEX('Pegar calibracion'!$A$1:$BZ$1001,119,F$2)&amp;""),""))</f>
        <v/>
      </c>
      <c r="G120">
        <f>IF(G$2=0,"",IFERROR(TRIM(INDEX('Pegar calibracion'!$A$1:$BZ$1001,119,G$2)&amp;""),""))</f>
        <v/>
      </c>
      <c r="H120">
        <f>IF(H$2=0,"",IFERROR(TRIM(INDEX('Pegar calibracion'!$A$1:$BZ$1001,119,H$2)&amp;""),""))</f>
        <v/>
      </c>
      <c r="I120">
        <f>IF(I$2=0,"",IFERROR(TRIM(INDEX('Pegar calibracion'!$A$1:$BZ$1001,119,I$2)&amp;""),""))</f>
        <v/>
      </c>
      <c r="J120">
        <f>IF(J$2=0,"",IFERROR(TRIM(INDEX('Pegar calibracion'!$A$1:$BZ$1001,119,J$2)&amp;""),""))</f>
        <v/>
      </c>
      <c r="K120">
        <f>IF(K$2=0,"",IFERROR(TRIM(INDEX('Pegar calibracion'!$A$1:$BZ$1001,119,K$2)&amp;""),""))</f>
        <v/>
      </c>
      <c r="L120">
        <f>IF(L$2=0,"",IFERROR(TRIM(INDEX('Pegar calibracion'!$A$1:$BZ$1001,119,L$2)&amp;""),""))</f>
        <v/>
      </c>
      <c r="M120" s="25">
        <f>IF(D120="","",SUBSTITUTE(SUBSTITUTE(SUBSTITUTE(SUBSTITUTE(SUBSTITUTE(SUBSTITUTE(SUBSTITUTE(SUBSTITUTE(SUBSTITUTE(SUBSTITUTE(SUBSTITUTE(SUBSTITUTE(LOWER(TRIM(D120)),"á","a"),"é","e"),"í","i"),"ó","o"),"ú","u"),"ü","u"),"ñ","n"),"à","a"),"è","e"),"ì","i"),"ò","o"),"ù","u"))</f>
        <v/>
      </c>
      <c r="N120" s="25">
        <f>IF(F120="","",SUBSTITUTE(SUBSTITUTE(SUBSTITUTE(SUBSTITUTE(SUBSTITUTE(SUBSTITUTE(SUBSTITUTE(SUBSTITUTE(SUBSTITUTE(SUBSTITUTE(SUBSTITUTE(SUBSTITUTE(LOWER(TRIM(F120)),"á","a"),"é","e"),"í","i"),"ó","o"),"ú","u"),"ü","u"),"ñ","n"),"à","a"),"è","e"),"ì","i"),"ò","o"),"ù","u"))</f>
        <v/>
      </c>
      <c r="O120" s="25">
        <f>IF(M120="confiable",2,IF(M120="dudosa",1,IF(M120="no confiable",0,"")))</f>
        <v/>
      </c>
      <c r="P120" s="25">
        <f>IF(N120="confiable",2,IF(N120="dudosa",1,IF(N120="no confiable",0,"")))</f>
        <v/>
      </c>
      <c r="Q120" s="25">
        <f>IF(AND(ISNUMBER(O120),ISNUMBER(P120)),1,"")</f>
        <v/>
      </c>
      <c r="R120" s="25">
        <f>IF(Q120=1,IF(O120=P120,"Sí","No"),"")</f>
        <v/>
      </c>
      <c r="S120" s="25">
        <f>IF(Q120=1,IF(P120&lt;O120,"Más estricto",IF(P120&gt;O120,"Más permisivo","Igual")),"")</f>
        <v/>
      </c>
      <c r="T120" s="25">
        <f>IF(Q120=1,IF(ABS(O120-P120)=2,1,0),"")</f>
        <v/>
      </c>
      <c r="U120" s="25">
        <f>IF(H120="","","|"&amp;SUBSTITUTE(SUBSTITUTE(TRIM(H120)," |","|"),"| ","|")&amp;"|")</f>
        <v/>
      </c>
      <c r="V120" s="25">
        <f>IF(AND(Q120=1,B120&lt;&gt;""),IF(IFERROR(COUNTIFS(B$3:B120,"="&amp;SUBSTITUTE(SUBSTITUTE(SUBSTITUTE(B120,"~","~~"),"*","~*"),"?","~?"),Q$3:Q120,1),0)=1,MAX(V$2:V119)+1,""),"")</f>
        <v/>
      </c>
      <c r="W120" s="25">
        <f>IF(V120="","",COUNTIFS($B$3:$B$1002,"="&amp;SUBSTITUTE(SUBSTITUTE(SUBSTITUTE(B120,"~","~~"),"*","~*"),"?","~?"),$Q$3:$Q$1002,1)*10000-V120)</f>
        <v/>
      </c>
      <c r="X120" s="25">
        <f>IF(Q120=1,IF(SUBSTITUTE(SUBSTITUTE(SUBSTITUTE(SUBSTITUTE(SUBSTITUTE(SUBSTITUTE(SUBSTITUTE(SUBSTITUTE(SUBSTITUTE(SUBSTITUTE(SUBSTITUTE(SUBSTITUTE(LOWER(TRIM(A120)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120)),"á","a"),"é","e"),"í","i"),"ó","o"),"ú","u"),"ü","u"),"ñ","n"),"à","a"),"è","e"),"ì","i"),"ò","o"),"ù","u")),"")</f>
        <v/>
      </c>
      <c r="Y120" s="25">
        <f>IF(X120="","",IF(IFERROR(COUNTIF(X$3:X120,"="&amp;SUBSTITUTE(SUBSTITUTE(SUBSTITUTE(X120,"~","~~"),"*","~*"),"?","~?")),0)=1,1,""))</f>
        <v/>
      </c>
      <c r="Z120" s="25">
        <f>IF(T120=1,MAX(Z$2:Z119)+1,"")</f>
        <v/>
      </c>
    </row>
    <row r="121">
      <c r="A121">
        <f>IF(A$2=0,"",IFERROR(TRIM(INDEX('Pegar calibracion'!$A$1:$BZ$1001,120,A$2)&amp;""),""))</f>
        <v/>
      </c>
      <c r="B121">
        <f>IF(B$2=0,"",IFERROR(TRIM(INDEX('Pegar calibracion'!$A$1:$BZ$1001,120,B$2)&amp;""),""))</f>
        <v/>
      </c>
      <c r="C121">
        <f>IF(C$2=0,"",IFERROR(TRIM(INDEX('Pegar calibracion'!$A$1:$BZ$1001,120,C$2)&amp;""),""))</f>
        <v/>
      </c>
      <c r="D121">
        <f>IF(D$2=0,"",IFERROR(TRIM(INDEX('Pegar calibracion'!$A$1:$BZ$1001,120,D$2)&amp;""),""))</f>
        <v/>
      </c>
      <c r="E121">
        <f>IF(E$2=0,"",IFERROR(TRIM(INDEX('Pegar calibracion'!$A$1:$BZ$1001,120,E$2)&amp;""),""))</f>
        <v/>
      </c>
      <c r="F121">
        <f>IF(F$2=0,"",IFERROR(TRIM(INDEX('Pegar calibracion'!$A$1:$BZ$1001,120,F$2)&amp;""),""))</f>
        <v/>
      </c>
      <c r="G121">
        <f>IF(G$2=0,"",IFERROR(TRIM(INDEX('Pegar calibracion'!$A$1:$BZ$1001,120,G$2)&amp;""),""))</f>
        <v/>
      </c>
      <c r="H121">
        <f>IF(H$2=0,"",IFERROR(TRIM(INDEX('Pegar calibracion'!$A$1:$BZ$1001,120,H$2)&amp;""),""))</f>
        <v/>
      </c>
      <c r="I121">
        <f>IF(I$2=0,"",IFERROR(TRIM(INDEX('Pegar calibracion'!$A$1:$BZ$1001,120,I$2)&amp;""),""))</f>
        <v/>
      </c>
      <c r="J121">
        <f>IF(J$2=0,"",IFERROR(TRIM(INDEX('Pegar calibracion'!$A$1:$BZ$1001,120,J$2)&amp;""),""))</f>
        <v/>
      </c>
      <c r="K121">
        <f>IF(K$2=0,"",IFERROR(TRIM(INDEX('Pegar calibracion'!$A$1:$BZ$1001,120,K$2)&amp;""),""))</f>
        <v/>
      </c>
      <c r="L121">
        <f>IF(L$2=0,"",IFERROR(TRIM(INDEX('Pegar calibracion'!$A$1:$BZ$1001,120,L$2)&amp;""),""))</f>
        <v/>
      </c>
      <c r="M121" s="25">
        <f>IF(D121="","",SUBSTITUTE(SUBSTITUTE(SUBSTITUTE(SUBSTITUTE(SUBSTITUTE(SUBSTITUTE(SUBSTITUTE(SUBSTITUTE(SUBSTITUTE(SUBSTITUTE(SUBSTITUTE(SUBSTITUTE(LOWER(TRIM(D121)),"á","a"),"é","e"),"í","i"),"ó","o"),"ú","u"),"ü","u"),"ñ","n"),"à","a"),"è","e"),"ì","i"),"ò","o"),"ù","u"))</f>
        <v/>
      </c>
      <c r="N121" s="25">
        <f>IF(F121="","",SUBSTITUTE(SUBSTITUTE(SUBSTITUTE(SUBSTITUTE(SUBSTITUTE(SUBSTITUTE(SUBSTITUTE(SUBSTITUTE(SUBSTITUTE(SUBSTITUTE(SUBSTITUTE(SUBSTITUTE(LOWER(TRIM(F121)),"á","a"),"é","e"),"í","i"),"ó","o"),"ú","u"),"ü","u"),"ñ","n"),"à","a"),"è","e"),"ì","i"),"ò","o"),"ù","u"))</f>
        <v/>
      </c>
      <c r="O121" s="25">
        <f>IF(M121="confiable",2,IF(M121="dudosa",1,IF(M121="no confiable",0,"")))</f>
        <v/>
      </c>
      <c r="P121" s="25">
        <f>IF(N121="confiable",2,IF(N121="dudosa",1,IF(N121="no confiable",0,"")))</f>
        <v/>
      </c>
      <c r="Q121" s="25">
        <f>IF(AND(ISNUMBER(O121),ISNUMBER(P121)),1,"")</f>
        <v/>
      </c>
      <c r="R121" s="25">
        <f>IF(Q121=1,IF(O121=P121,"Sí","No"),"")</f>
        <v/>
      </c>
      <c r="S121" s="25">
        <f>IF(Q121=1,IF(P121&lt;O121,"Más estricto",IF(P121&gt;O121,"Más permisivo","Igual")),"")</f>
        <v/>
      </c>
      <c r="T121" s="25">
        <f>IF(Q121=1,IF(ABS(O121-P121)=2,1,0),"")</f>
        <v/>
      </c>
      <c r="U121" s="25">
        <f>IF(H121="","","|"&amp;SUBSTITUTE(SUBSTITUTE(TRIM(H121)," |","|"),"| ","|")&amp;"|")</f>
        <v/>
      </c>
      <c r="V121" s="25">
        <f>IF(AND(Q121=1,B121&lt;&gt;""),IF(IFERROR(COUNTIFS(B$3:B121,"="&amp;SUBSTITUTE(SUBSTITUTE(SUBSTITUTE(B121,"~","~~"),"*","~*"),"?","~?"),Q$3:Q121,1),0)=1,MAX(V$2:V120)+1,""),"")</f>
        <v/>
      </c>
      <c r="W121" s="25">
        <f>IF(V121="","",COUNTIFS($B$3:$B$1002,"="&amp;SUBSTITUTE(SUBSTITUTE(SUBSTITUTE(B121,"~","~~"),"*","~*"),"?","~?"),$Q$3:$Q$1002,1)*10000-V121)</f>
        <v/>
      </c>
      <c r="X121" s="25">
        <f>IF(Q121=1,IF(SUBSTITUTE(SUBSTITUTE(SUBSTITUTE(SUBSTITUTE(SUBSTITUTE(SUBSTITUTE(SUBSTITUTE(SUBSTITUTE(SUBSTITUTE(SUBSTITUTE(SUBSTITUTE(SUBSTITUTE(LOWER(TRIM(A121)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121)),"á","a"),"é","e"),"í","i"),"ó","o"),"ú","u"),"ü","u"),"ñ","n"),"à","a"),"è","e"),"ì","i"),"ò","o"),"ù","u")),"")</f>
        <v/>
      </c>
      <c r="Y121" s="25">
        <f>IF(X121="","",IF(IFERROR(COUNTIF(X$3:X121,"="&amp;SUBSTITUTE(SUBSTITUTE(SUBSTITUTE(X121,"~","~~"),"*","~*"),"?","~?")),0)=1,1,""))</f>
        <v/>
      </c>
      <c r="Z121" s="25">
        <f>IF(T121=1,MAX(Z$2:Z120)+1,"")</f>
        <v/>
      </c>
    </row>
    <row r="122">
      <c r="A122">
        <f>IF(A$2=0,"",IFERROR(TRIM(INDEX('Pegar calibracion'!$A$1:$BZ$1001,121,A$2)&amp;""),""))</f>
        <v/>
      </c>
      <c r="B122">
        <f>IF(B$2=0,"",IFERROR(TRIM(INDEX('Pegar calibracion'!$A$1:$BZ$1001,121,B$2)&amp;""),""))</f>
        <v/>
      </c>
      <c r="C122">
        <f>IF(C$2=0,"",IFERROR(TRIM(INDEX('Pegar calibracion'!$A$1:$BZ$1001,121,C$2)&amp;""),""))</f>
        <v/>
      </c>
      <c r="D122">
        <f>IF(D$2=0,"",IFERROR(TRIM(INDEX('Pegar calibracion'!$A$1:$BZ$1001,121,D$2)&amp;""),""))</f>
        <v/>
      </c>
      <c r="E122">
        <f>IF(E$2=0,"",IFERROR(TRIM(INDEX('Pegar calibracion'!$A$1:$BZ$1001,121,E$2)&amp;""),""))</f>
        <v/>
      </c>
      <c r="F122">
        <f>IF(F$2=0,"",IFERROR(TRIM(INDEX('Pegar calibracion'!$A$1:$BZ$1001,121,F$2)&amp;""),""))</f>
        <v/>
      </c>
      <c r="G122">
        <f>IF(G$2=0,"",IFERROR(TRIM(INDEX('Pegar calibracion'!$A$1:$BZ$1001,121,G$2)&amp;""),""))</f>
        <v/>
      </c>
      <c r="H122">
        <f>IF(H$2=0,"",IFERROR(TRIM(INDEX('Pegar calibracion'!$A$1:$BZ$1001,121,H$2)&amp;""),""))</f>
        <v/>
      </c>
      <c r="I122">
        <f>IF(I$2=0,"",IFERROR(TRIM(INDEX('Pegar calibracion'!$A$1:$BZ$1001,121,I$2)&amp;""),""))</f>
        <v/>
      </c>
      <c r="J122">
        <f>IF(J$2=0,"",IFERROR(TRIM(INDEX('Pegar calibracion'!$A$1:$BZ$1001,121,J$2)&amp;""),""))</f>
        <v/>
      </c>
      <c r="K122">
        <f>IF(K$2=0,"",IFERROR(TRIM(INDEX('Pegar calibracion'!$A$1:$BZ$1001,121,K$2)&amp;""),""))</f>
        <v/>
      </c>
      <c r="L122">
        <f>IF(L$2=0,"",IFERROR(TRIM(INDEX('Pegar calibracion'!$A$1:$BZ$1001,121,L$2)&amp;""),""))</f>
        <v/>
      </c>
      <c r="M122" s="25">
        <f>IF(D122="","",SUBSTITUTE(SUBSTITUTE(SUBSTITUTE(SUBSTITUTE(SUBSTITUTE(SUBSTITUTE(SUBSTITUTE(SUBSTITUTE(SUBSTITUTE(SUBSTITUTE(SUBSTITUTE(SUBSTITUTE(LOWER(TRIM(D122)),"á","a"),"é","e"),"í","i"),"ó","o"),"ú","u"),"ü","u"),"ñ","n"),"à","a"),"è","e"),"ì","i"),"ò","o"),"ù","u"))</f>
        <v/>
      </c>
      <c r="N122" s="25">
        <f>IF(F122="","",SUBSTITUTE(SUBSTITUTE(SUBSTITUTE(SUBSTITUTE(SUBSTITUTE(SUBSTITUTE(SUBSTITUTE(SUBSTITUTE(SUBSTITUTE(SUBSTITUTE(SUBSTITUTE(SUBSTITUTE(LOWER(TRIM(F122)),"á","a"),"é","e"),"í","i"),"ó","o"),"ú","u"),"ü","u"),"ñ","n"),"à","a"),"è","e"),"ì","i"),"ò","o"),"ù","u"))</f>
        <v/>
      </c>
      <c r="O122" s="25">
        <f>IF(M122="confiable",2,IF(M122="dudosa",1,IF(M122="no confiable",0,"")))</f>
        <v/>
      </c>
      <c r="P122" s="25">
        <f>IF(N122="confiable",2,IF(N122="dudosa",1,IF(N122="no confiable",0,"")))</f>
        <v/>
      </c>
      <c r="Q122" s="25">
        <f>IF(AND(ISNUMBER(O122),ISNUMBER(P122)),1,"")</f>
        <v/>
      </c>
      <c r="R122" s="25">
        <f>IF(Q122=1,IF(O122=P122,"Sí","No"),"")</f>
        <v/>
      </c>
      <c r="S122" s="25">
        <f>IF(Q122=1,IF(P122&lt;O122,"Más estricto",IF(P122&gt;O122,"Más permisivo","Igual")),"")</f>
        <v/>
      </c>
      <c r="T122" s="25">
        <f>IF(Q122=1,IF(ABS(O122-P122)=2,1,0),"")</f>
        <v/>
      </c>
      <c r="U122" s="25">
        <f>IF(H122="","","|"&amp;SUBSTITUTE(SUBSTITUTE(TRIM(H122)," |","|"),"| ","|")&amp;"|")</f>
        <v/>
      </c>
      <c r="V122" s="25">
        <f>IF(AND(Q122=1,B122&lt;&gt;""),IF(IFERROR(COUNTIFS(B$3:B122,"="&amp;SUBSTITUTE(SUBSTITUTE(SUBSTITUTE(B122,"~","~~"),"*","~*"),"?","~?"),Q$3:Q122,1),0)=1,MAX(V$2:V121)+1,""),"")</f>
        <v/>
      </c>
      <c r="W122" s="25">
        <f>IF(V122="","",COUNTIFS($B$3:$B$1002,"="&amp;SUBSTITUTE(SUBSTITUTE(SUBSTITUTE(B122,"~","~~"),"*","~*"),"?","~?"),$Q$3:$Q$1002,1)*10000-V122)</f>
        <v/>
      </c>
      <c r="X122" s="25">
        <f>IF(Q122=1,IF(SUBSTITUTE(SUBSTITUTE(SUBSTITUTE(SUBSTITUTE(SUBSTITUTE(SUBSTITUTE(SUBSTITUTE(SUBSTITUTE(SUBSTITUTE(SUBSTITUTE(SUBSTITUTE(SUBSTITUTE(LOWER(TRIM(A122)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122)),"á","a"),"é","e"),"í","i"),"ó","o"),"ú","u"),"ü","u"),"ñ","n"),"à","a"),"è","e"),"ì","i"),"ò","o"),"ù","u")),"")</f>
        <v/>
      </c>
      <c r="Y122" s="25">
        <f>IF(X122="","",IF(IFERROR(COUNTIF(X$3:X122,"="&amp;SUBSTITUTE(SUBSTITUTE(SUBSTITUTE(X122,"~","~~"),"*","~*"),"?","~?")),0)=1,1,""))</f>
        <v/>
      </c>
      <c r="Z122" s="25">
        <f>IF(T122=1,MAX(Z$2:Z121)+1,"")</f>
        <v/>
      </c>
    </row>
    <row r="123">
      <c r="A123">
        <f>IF(A$2=0,"",IFERROR(TRIM(INDEX('Pegar calibracion'!$A$1:$BZ$1001,122,A$2)&amp;""),""))</f>
        <v/>
      </c>
      <c r="B123">
        <f>IF(B$2=0,"",IFERROR(TRIM(INDEX('Pegar calibracion'!$A$1:$BZ$1001,122,B$2)&amp;""),""))</f>
        <v/>
      </c>
      <c r="C123">
        <f>IF(C$2=0,"",IFERROR(TRIM(INDEX('Pegar calibracion'!$A$1:$BZ$1001,122,C$2)&amp;""),""))</f>
        <v/>
      </c>
      <c r="D123">
        <f>IF(D$2=0,"",IFERROR(TRIM(INDEX('Pegar calibracion'!$A$1:$BZ$1001,122,D$2)&amp;""),""))</f>
        <v/>
      </c>
      <c r="E123">
        <f>IF(E$2=0,"",IFERROR(TRIM(INDEX('Pegar calibracion'!$A$1:$BZ$1001,122,E$2)&amp;""),""))</f>
        <v/>
      </c>
      <c r="F123">
        <f>IF(F$2=0,"",IFERROR(TRIM(INDEX('Pegar calibracion'!$A$1:$BZ$1001,122,F$2)&amp;""),""))</f>
        <v/>
      </c>
      <c r="G123">
        <f>IF(G$2=0,"",IFERROR(TRIM(INDEX('Pegar calibracion'!$A$1:$BZ$1001,122,G$2)&amp;""),""))</f>
        <v/>
      </c>
      <c r="H123">
        <f>IF(H$2=0,"",IFERROR(TRIM(INDEX('Pegar calibracion'!$A$1:$BZ$1001,122,H$2)&amp;""),""))</f>
        <v/>
      </c>
      <c r="I123">
        <f>IF(I$2=0,"",IFERROR(TRIM(INDEX('Pegar calibracion'!$A$1:$BZ$1001,122,I$2)&amp;""),""))</f>
        <v/>
      </c>
      <c r="J123">
        <f>IF(J$2=0,"",IFERROR(TRIM(INDEX('Pegar calibracion'!$A$1:$BZ$1001,122,J$2)&amp;""),""))</f>
        <v/>
      </c>
      <c r="K123">
        <f>IF(K$2=0,"",IFERROR(TRIM(INDEX('Pegar calibracion'!$A$1:$BZ$1001,122,K$2)&amp;""),""))</f>
        <v/>
      </c>
      <c r="L123">
        <f>IF(L$2=0,"",IFERROR(TRIM(INDEX('Pegar calibracion'!$A$1:$BZ$1001,122,L$2)&amp;""),""))</f>
        <v/>
      </c>
      <c r="M123" s="25">
        <f>IF(D123="","",SUBSTITUTE(SUBSTITUTE(SUBSTITUTE(SUBSTITUTE(SUBSTITUTE(SUBSTITUTE(SUBSTITUTE(SUBSTITUTE(SUBSTITUTE(SUBSTITUTE(SUBSTITUTE(SUBSTITUTE(LOWER(TRIM(D123)),"á","a"),"é","e"),"í","i"),"ó","o"),"ú","u"),"ü","u"),"ñ","n"),"à","a"),"è","e"),"ì","i"),"ò","o"),"ù","u"))</f>
        <v/>
      </c>
      <c r="N123" s="25">
        <f>IF(F123="","",SUBSTITUTE(SUBSTITUTE(SUBSTITUTE(SUBSTITUTE(SUBSTITUTE(SUBSTITUTE(SUBSTITUTE(SUBSTITUTE(SUBSTITUTE(SUBSTITUTE(SUBSTITUTE(SUBSTITUTE(LOWER(TRIM(F123)),"á","a"),"é","e"),"í","i"),"ó","o"),"ú","u"),"ü","u"),"ñ","n"),"à","a"),"è","e"),"ì","i"),"ò","o"),"ù","u"))</f>
        <v/>
      </c>
      <c r="O123" s="25">
        <f>IF(M123="confiable",2,IF(M123="dudosa",1,IF(M123="no confiable",0,"")))</f>
        <v/>
      </c>
      <c r="P123" s="25">
        <f>IF(N123="confiable",2,IF(N123="dudosa",1,IF(N123="no confiable",0,"")))</f>
        <v/>
      </c>
      <c r="Q123" s="25">
        <f>IF(AND(ISNUMBER(O123),ISNUMBER(P123)),1,"")</f>
        <v/>
      </c>
      <c r="R123" s="25">
        <f>IF(Q123=1,IF(O123=P123,"Sí","No"),"")</f>
        <v/>
      </c>
      <c r="S123" s="25">
        <f>IF(Q123=1,IF(P123&lt;O123,"Más estricto",IF(P123&gt;O123,"Más permisivo","Igual")),"")</f>
        <v/>
      </c>
      <c r="T123" s="25">
        <f>IF(Q123=1,IF(ABS(O123-P123)=2,1,0),"")</f>
        <v/>
      </c>
      <c r="U123" s="25">
        <f>IF(H123="","","|"&amp;SUBSTITUTE(SUBSTITUTE(TRIM(H123)," |","|"),"| ","|")&amp;"|")</f>
        <v/>
      </c>
      <c r="V123" s="25">
        <f>IF(AND(Q123=1,B123&lt;&gt;""),IF(IFERROR(COUNTIFS(B$3:B123,"="&amp;SUBSTITUTE(SUBSTITUTE(SUBSTITUTE(B123,"~","~~"),"*","~*"),"?","~?"),Q$3:Q123,1),0)=1,MAX(V$2:V122)+1,""),"")</f>
        <v/>
      </c>
      <c r="W123" s="25">
        <f>IF(V123="","",COUNTIFS($B$3:$B$1002,"="&amp;SUBSTITUTE(SUBSTITUTE(SUBSTITUTE(B123,"~","~~"),"*","~*"),"?","~?"),$Q$3:$Q$1002,1)*10000-V123)</f>
        <v/>
      </c>
      <c r="X123" s="25">
        <f>IF(Q123=1,IF(SUBSTITUTE(SUBSTITUTE(SUBSTITUTE(SUBSTITUTE(SUBSTITUTE(SUBSTITUTE(SUBSTITUTE(SUBSTITUTE(SUBSTITUTE(SUBSTITUTE(SUBSTITUTE(SUBSTITUTE(LOWER(TRIM(A123)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123)),"á","a"),"é","e"),"í","i"),"ó","o"),"ú","u"),"ü","u"),"ñ","n"),"à","a"),"è","e"),"ì","i"),"ò","o"),"ù","u")),"")</f>
        <v/>
      </c>
      <c r="Y123" s="25">
        <f>IF(X123="","",IF(IFERROR(COUNTIF(X$3:X123,"="&amp;SUBSTITUTE(SUBSTITUTE(SUBSTITUTE(X123,"~","~~"),"*","~*"),"?","~?")),0)=1,1,""))</f>
        <v/>
      </c>
      <c r="Z123" s="25">
        <f>IF(T123=1,MAX(Z$2:Z122)+1,"")</f>
        <v/>
      </c>
    </row>
    <row r="124">
      <c r="A124">
        <f>IF(A$2=0,"",IFERROR(TRIM(INDEX('Pegar calibracion'!$A$1:$BZ$1001,123,A$2)&amp;""),""))</f>
        <v/>
      </c>
      <c r="B124">
        <f>IF(B$2=0,"",IFERROR(TRIM(INDEX('Pegar calibracion'!$A$1:$BZ$1001,123,B$2)&amp;""),""))</f>
        <v/>
      </c>
      <c r="C124">
        <f>IF(C$2=0,"",IFERROR(TRIM(INDEX('Pegar calibracion'!$A$1:$BZ$1001,123,C$2)&amp;""),""))</f>
        <v/>
      </c>
      <c r="D124">
        <f>IF(D$2=0,"",IFERROR(TRIM(INDEX('Pegar calibracion'!$A$1:$BZ$1001,123,D$2)&amp;""),""))</f>
        <v/>
      </c>
      <c r="E124">
        <f>IF(E$2=0,"",IFERROR(TRIM(INDEX('Pegar calibracion'!$A$1:$BZ$1001,123,E$2)&amp;""),""))</f>
        <v/>
      </c>
      <c r="F124">
        <f>IF(F$2=0,"",IFERROR(TRIM(INDEX('Pegar calibracion'!$A$1:$BZ$1001,123,F$2)&amp;""),""))</f>
        <v/>
      </c>
      <c r="G124">
        <f>IF(G$2=0,"",IFERROR(TRIM(INDEX('Pegar calibracion'!$A$1:$BZ$1001,123,G$2)&amp;""),""))</f>
        <v/>
      </c>
      <c r="H124">
        <f>IF(H$2=0,"",IFERROR(TRIM(INDEX('Pegar calibracion'!$A$1:$BZ$1001,123,H$2)&amp;""),""))</f>
        <v/>
      </c>
      <c r="I124">
        <f>IF(I$2=0,"",IFERROR(TRIM(INDEX('Pegar calibracion'!$A$1:$BZ$1001,123,I$2)&amp;""),""))</f>
        <v/>
      </c>
      <c r="J124">
        <f>IF(J$2=0,"",IFERROR(TRIM(INDEX('Pegar calibracion'!$A$1:$BZ$1001,123,J$2)&amp;""),""))</f>
        <v/>
      </c>
      <c r="K124">
        <f>IF(K$2=0,"",IFERROR(TRIM(INDEX('Pegar calibracion'!$A$1:$BZ$1001,123,K$2)&amp;""),""))</f>
        <v/>
      </c>
      <c r="L124">
        <f>IF(L$2=0,"",IFERROR(TRIM(INDEX('Pegar calibracion'!$A$1:$BZ$1001,123,L$2)&amp;""),""))</f>
        <v/>
      </c>
      <c r="M124" s="25">
        <f>IF(D124="","",SUBSTITUTE(SUBSTITUTE(SUBSTITUTE(SUBSTITUTE(SUBSTITUTE(SUBSTITUTE(SUBSTITUTE(SUBSTITUTE(SUBSTITUTE(SUBSTITUTE(SUBSTITUTE(SUBSTITUTE(LOWER(TRIM(D124)),"á","a"),"é","e"),"í","i"),"ó","o"),"ú","u"),"ü","u"),"ñ","n"),"à","a"),"è","e"),"ì","i"),"ò","o"),"ù","u"))</f>
        <v/>
      </c>
      <c r="N124" s="25">
        <f>IF(F124="","",SUBSTITUTE(SUBSTITUTE(SUBSTITUTE(SUBSTITUTE(SUBSTITUTE(SUBSTITUTE(SUBSTITUTE(SUBSTITUTE(SUBSTITUTE(SUBSTITUTE(SUBSTITUTE(SUBSTITUTE(LOWER(TRIM(F124)),"á","a"),"é","e"),"í","i"),"ó","o"),"ú","u"),"ü","u"),"ñ","n"),"à","a"),"è","e"),"ì","i"),"ò","o"),"ù","u"))</f>
        <v/>
      </c>
      <c r="O124" s="25">
        <f>IF(M124="confiable",2,IF(M124="dudosa",1,IF(M124="no confiable",0,"")))</f>
        <v/>
      </c>
      <c r="P124" s="25">
        <f>IF(N124="confiable",2,IF(N124="dudosa",1,IF(N124="no confiable",0,"")))</f>
        <v/>
      </c>
      <c r="Q124" s="25">
        <f>IF(AND(ISNUMBER(O124),ISNUMBER(P124)),1,"")</f>
        <v/>
      </c>
      <c r="R124" s="25">
        <f>IF(Q124=1,IF(O124=P124,"Sí","No"),"")</f>
        <v/>
      </c>
      <c r="S124" s="25">
        <f>IF(Q124=1,IF(P124&lt;O124,"Más estricto",IF(P124&gt;O124,"Más permisivo","Igual")),"")</f>
        <v/>
      </c>
      <c r="T124" s="25">
        <f>IF(Q124=1,IF(ABS(O124-P124)=2,1,0),"")</f>
        <v/>
      </c>
      <c r="U124" s="25">
        <f>IF(H124="","","|"&amp;SUBSTITUTE(SUBSTITUTE(TRIM(H124)," |","|"),"| ","|")&amp;"|")</f>
        <v/>
      </c>
      <c r="V124" s="25">
        <f>IF(AND(Q124=1,B124&lt;&gt;""),IF(IFERROR(COUNTIFS(B$3:B124,"="&amp;SUBSTITUTE(SUBSTITUTE(SUBSTITUTE(B124,"~","~~"),"*","~*"),"?","~?"),Q$3:Q124,1),0)=1,MAX(V$2:V123)+1,""),"")</f>
        <v/>
      </c>
      <c r="W124" s="25">
        <f>IF(V124="","",COUNTIFS($B$3:$B$1002,"="&amp;SUBSTITUTE(SUBSTITUTE(SUBSTITUTE(B124,"~","~~"),"*","~*"),"?","~?"),$Q$3:$Q$1002,1)*10000-V124)</f>
        <v/>
      </c>
      <c r="X124" s="25">
        <f>IF(Q124=1,IF(SUBSTITUTE(SUBSTITUTE(SUBSTITUTE(SUBSTITUTE(SUBSTITUTE(SUBSTITUTE(SUBSTITUTE(SUBSTITUTE(SUBSTITUTE(SUBSTITUTE(SUBSTITUTE(SUBSTITUTE(LOWER(TRIM(A124)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124)),"á","a"),"é","e"),"í","i"),"ó","o"),"ú","u"),"ü","u"),"ñ","n"),"à","a"),"è","e"),"ì","i"),"ò","o"),"ù","u")),"")</f>
        <v/>
      </c>
      <c r="Y124" s="25">
        <f>IF(X124="","",IF(IFERROR(COUNTIF(X$3:X124,"="&amp;SUBSTITUTE(SUBSTITUTE(SUBSTITUTE(X124,"~","~~"),"*","~*"),"?","~?")),0)=1,1,""))</f>
        <v/>
      </c>
      <c r="Z124" s="25">
        <f>IF(T124=1,MAX(Z$2:Z123)+1,"")</f>
        <v/>
      </c>
    </row>
    <row r="125">
      <c r="A125">
        <f>IF(A$2=0,"",IFERROR(TRIM(INDEX('Pegar calibracion'!$A$1:$BZ$1001,124,A$2)&amp;""),""))</f>
        <v/>
      </c>
      <c r="B125">
        <f>IF(B$2=0,"",IFERROR(TRIM(INDEX('Pegar calibracion'!$A$1:$BZ$1001,124,B$2)&amp;""),""))</f>
        <v/>
      </c>
      <c r="C125">
        <f>IF(C$2=0,"",IFERROR(TRIM(INDEX('Pegar calibracion'!$A$1:$BZ$1001,124,C$2)&amp;""),""))</f>
        <v/>
      </c>
      <c r="D125">
        <f>IF(D$2=0,"",IFERROR(TRIM(INDEX('Pegar calibracion'!$A$1:$BZ$1001,124,D$2)&amp;""),""))</f>
        <v/>
      </c>
      <c r="E125">
        <f>IF(E$2=0,"",IFERROR(TRIM(INDEX('Pegar calibracion'!$A$1:$BZ$1001,124,E$2)&amp;""),""))</f>
        <v/>
      </c>
      <c r="F125">
        <f>IF(F$2=0,"",IFERROR(TRIM(INDEX('Pegar calibracion'!$A$1:$BZ$1001,124,F$2)&amp;""),""))</f>
        <v/>
      </c>
      <c r="G125">
        <f>IF(G$2=0,"",IFERROR(TRIM(INDEX('Pegar calibracion'!$A$1:$BZ$1001,124,G$2)&amp;""),""))</f>
        <v/>
      </c>
      <c r="H125">
        <f>IF(H$2=0,"",IFERROR(TRIM(INDEX('Pegar calibracion'!$A$1:$BZ$1001,124,H$2)&amp;""),""))</f>
        <v/>
      </c>
      <c r="I125">
        <f>IF(I$2=0,"",IFERROR(TRIM(INDEX('Pegar calibracion'!$A$1:$BZ$1001,124,I$2)&amp;""),""))</f>
        <v/>
      </c>
      <c r="J125">
        <f>IF(J$2=0,"",IFERROR(TRIM(INDEX('Pegar calibracion'!$A$1:$BZ$1001,124,J$2)&amp;""),""))</f>
        <v/>
      </c>
      <c r="K125">
        <f>IF(K$2=0,"",IFERROR(TRIM(INDEX('Pegar calibracion'!$A$1:$BZ$1001,124,K$2)&amp;""),""))</f>
        <v/>
      </c>
      <c r="L125">
        <f>IF(L$2=0,"",IFERROR(TRIM(INDEX('Pegar calibracion'!$A$1:$BZ$1001,124,L$2)&amp;""),""))</f>
        <v/>
      </c>
      <c r="M125" s="25">
        <f>IF(D125="","",SUBSTITUTE(SUBSTITUTE(SUBSTITUTE(SUBSTITUTE(SUBSTITUTE(SUBSTITUTE(SUBSTITUTE(SUBSTITUTE(SUBSTITUTE(SUBSTITUTE(SUBSTITUTE(SUBSTITUTE(LOWER(TRIM(D125)),"á","a"),"é","e"),"í","i"),"ó","o"),"ú","u"),"ü","u"),"ñ","n"),"à","a"),"è","e"),"ì","i"),"ò","o"),"ù","u"))</f>
        <v/>
      </c>
      <c r="N125" s="25">
        <f>IF(F125="","",SUBSTITUTE(SUBSTITUTE(SUBSTITUTE(SUBSTITUTE(SUBSTITUTE(SUBSTITUTE(SUBSTITUTE(SUBSTITUTE(SUBSTITUTE(SUBSTITUTE(SUBSTITUTE(SUBSTITUTE(LOWER(TRIM(F125)),"á","a"),"é","e"),"í","i"),"ó","o"),"ú","u"),"ü","u"),"ñ","n"),"à","a"),"è","e"),"ì","i"),"ò","o"),"ù","u"))</f>
        <v/>
      </c>
      <c r="O125" s="25">
        <f>IF(M125="confiable",2,IF(M125="dudosa",1,IF(M125="no confiable",0,"")))</f>
        <v/>
      </c>
      <c r="P125" s="25">
        <f>IF(N125="confiable",2,IF(N125="dudosa",1,IF(N125="no confiable",0,"")))</f>
        <v/>
      </c>
      <c r="Q125" s="25">
        <f>IF(AND(ISNUMBER(O125),ISNUMBER(P125)),1,"")</f>
        <v/>
      </c>
      <c r="R125" s="25">
        <f>IF(Q125=1,IF(O125=P125,"Sí","No"),"")</f>
        <v/>
      </c>
      <c r="S125" s="25">
        <f>IF(Q125=1,IF(P125&lt;O125,"Más estricto",IF(P125&gt;O125,"Más permisivo","Igual")),"")</f>
        <v/>
      </c>
      <c r="T125" s="25">
        <f>IF(Q125=1,IF(ABS(O125-P125)=2,1,0),"")</f>
        <v/>
      </c>
      <c r="U125" s="25">
        <f>IF(H125="","","|"&amp;SUBSTITUTE(SUBSTITUTE(TRIM(H125)," |","|"),"| ","|")&amp;"|")</f>
        <v/>
      </c>
      <c r="V125" s="25">
        <f>IF(AND(Q125=1,B125&lt;&gt;""),IF(IFERROR(COUNTIFS(B$3:B125,"="&amp;SUBSTITUTE(SUBSTITUTE(SUBSTITUTE(B125,"~","~~"),"*","~*"),"?","~?"),Q$3:Q125,1),0)=1,MAX(V$2:V124)+1,""),"")</f>
        <v/>
      </c>
      <c r="W125" s="25">
        <f>IF(V125="","",COUNTIFS($B$3:$B$1002,"="&amp;SUBSTITUTE(SUBSTITUTE(SUBSTITUTE(B125,"~","~~"),"*","~*"),"?","~?"),$Q$3:$Q$1002,1)*10000-V125)</f>
        <v/>
      </c>
      <c r="X125" s="25">
        <f>IF(Q125=1,IF(SUBSTITUTE(SUBSTITUTE(SUBSTITUTE(SUBSTITUTE(SUBSTITUTE(SUBSTITUTE(SUBSTITUTE(SUBSTITUTE(SUBSTITUTE(SUBSTITUTE(SUBSTITUTE(SUBSTITUTE(LOWER(TRIM(A125)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125)),"á","a"),"é","e"),"í","i"),"ó","o"),"ú","u"),"ü","u"),"ñ","n"),"à","a"),"è","e"),"ì","i"),"ò","o"),"ù","u")),"")</f>
        <v/>
      </c>
      <c r="Y125" s="25">
        <f>IF(X125="","",IF(IFERROR(COUNTIF(X$3:X125,"="&amp;SUBSTITUTE(SUBSTITUTE(SUBSTITUTE(X125,"~","~~"),"*","~*"),"?","~?")),0)=1,1,""))</f>
        <v/>
      </c>
      <c r="Z125" s="25">
        <f>IF(T125=1,MAX(Z$2:Z124)+1,"")</f>
        <v/>
      </c>
    </row>
    <row r="126">
      <c r="A126">
        <f>IF(A$2=0,"",IFERROR(TRIM(INDEX('Pegar calibracion'!$A$1:$BZ$1001,125,A$2)&amp;""),""))</f>
        <v/>
      </c>
      <c r="B126">
        <f>IF(B$2=0,"",IFERROR(TRIM(INDEX('Pegar calibracion'!$A$1:$BZ$1001,125,B$2)&amp;""),""))</f>
        <v/>
      </c>
      <c r="C126">
        <f>IF(C$2=0,"",IFERROR(TRIM(INDEX('Pegar calibracion'!$A$1:$BZ$1001,125,C$2)&amp;""),""))</f>
        <v/>
      </c>
      <c r="D126">
        <f>IF(D$2=0,"",IFERROR(TRIM(INDEX('Pegar calibracion'!$A$1:$BZ$1001,125,D$2)&amp;""),""))</f>
        <v/>
      </c>
      <c r="E126">
        <f>IF(E$2=0,"",IFERROR(TRIM(INDEX('Pegar calibracion'!$A$1:$BZ$1001,125,E$2)&amp;""),""))</f>
        <v/>
      </c>
      <c r="F126">
        <f>IF(F$2=0,"",IFERROR(TRIM(INDEX('Pegar calibracion'!$A$1:$BZ$1001,125,F$2)&amp;""),""))</f>
        <v/>
      </c>
      <c r="G126">
        <f>IF(G$2=0,"",IFERROR(TRIM(INDEX('Pegar calibracion'!$A$1:$BZ$1001,125,G$2)&amp;""),""))</f>
        <v/>
      </c>
      <c r="H126">
        <f>IF(H$2=0,"",IFERROR(TRIM(INDEX('Pegar calibracion'!$A$1:$BZ$1001,125,H$2)&amp;""),""))</f>
        <v/>
      </c>
      <c r="I126">
        <f>IF(I$2=0,"",IFERROR(TRIM(INDEX('Pegar calibracion'!$A$1:$BZ$1001,125,I$2)&amp;""),""))</f>
        <v/>
      </c>
      <c r="J126">
        <f>IF(J$2=0,"",IFERROR(TRIM(INDEX('Pegar calibracion'!$A$1:$BZ$1001,125,J$2)&amp;""),""))</f>
        <v/>
      </c>
      <c r="K126">
        <f>IF(K$2=0,"",IFERROR(TRIM(INDEX('Pegar calibracion'!$A$1:$BZ$1001,125,K$2)&amp;""),""))</f>
        <v/>
      </c>
      <c r="L126">
        <f>IF(L$2=0,"",IFERROR(TRIM(INDEX('Pegar calibracion'!$A$1:$BZ$1001,125,L$2)&amp;""),""))</f>
        <v/>
      </c>
      <c r="M126" s="25">
        <f>IF(D126="","",SUBSTITUTE(SUBSTITUTE(SUBSTITUTE(SUBSTITUTE(SUBSTITUTE(SUBSTITUTE(SUBSTITUTE(SUBSTITUTE(SUBSTITUTE(SUBSTITUTE(SUBSTITUTE(SUBSTITUTE(LOWER(TRIM(D126)),"á","a"),"é","e"),"í","i"),"ó","o"),"ú","u"),"ü","u"),"ñ","n"),"à","a"),"è","e"),"ì","i"),"ò","o"),"ù","u"))</f>
        <v/>
      </c>
      <c r="N126" s="25">
        <f>IF(F126="","",SUBSTITUTE(SUBSTITUTE(SUBSTITUTE(SUBSTITUTE(SUBSTITUTE(SUBSTITUTE(SUBSTITUTE(SUBSTITUTE(SUBSTITUTE(SUBSTITUTE(SUBSTITUTE(SUBSTITUTE(LOWER(TRIM(F126)),"á","a"),"é","e"),"í","i"),"ó","o"),"ú","u"),"ü","u"),"ñ","n"),"à","a"),"è","e"),"ì","i"),"ò","o"),"ù","u"))</f>
        <v/>
      </c>
      <c r="O126" s="25">
        <f>IF(M126="confiable",2,IF(M126="dudosa",1,IF(M126="no confiable",0,"")))</f>
        <v/>
      </c>
      <c r="P126" s="25">
        <f>IF(N126="confiable",2,IF(N126="dudosa",1,IF(N126="no confiable",0,"")))</f>
        <v/>
      </c>
      <c r="Q126" s="25">
        <f>IF(AND(ISNUMBER(O126),ISNUMBER(P126)),1,"")</f>
        <v/>
      </c>
      <c r="R126" s="25">
        <f>IF(Q126=1,IF(O126=P126,"Sí","No"),"")</f>
        <v/>
      </c>
      <c r="S126" s="25">
        <f>IF(Q126=1,IF(P126&lt;O126,"Más estricto",IF(P126&gt;O126,"Más permisivo","Igual")),"")</f>
        <v/>
      </c>
      <c r="T126" s="25">
        <f>IF(Q126=1,IF(ABS(O126-P126)=2,1,0),"")</f>
        <v/>
      </c>
      <c r="U126" s="25">
        <f>IF(H126="","","|"&amp;SUBSTITUTE(SUBSTITUTE(TRIM(H126)," |","|"),"| ","|")&amp;"|")</f>
        <v/>
      </c>
      <c r="V126" s="25">
        <f>IF(AND(Q126=1,B126&lt;&gt;""),IF(IFERROR(COUNTIFS(B$3:B126,"="&amp;SUBSTITUTE(SUBSTITUTE(SUBSTITUTE(B126,"~","~~"),"*","~*"),"?","~?"),Q$3:Q126,1),0)=1,MAX(V$2:V125)+1,""),"")</f>
        <v/>
      </c>
      <c r="W126" s="25">
        <f>IF(V126="","",COUNTIFS($B$3:$B$1002,"="&amp;SUBSTITUTE(SUBSTITUTE(SUBSTITUTE(B126,"~","~~"),"*","~*"),"?","~?"),$Q$3:$Q$1002,1)*10000-V126)</f>
        <v/>
      </c>
      <c r="X126" s="25">
        <f>IF(Q126=1,IF(SUBSTITUTE(SUBSTITUTE(SUBSTITUTE(SUBSTITUTE(SUBSTITUTE(SUBSTITUTE(SUBSTITUTE(SUBSTITUTE(SUBSTITUTE(SUBSTITUTE(SUBSTITUTE(SUBSTITUTE(LOWER(TRIM(A126)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126)),"á","a"),"é","e"),"í","i"),"ó","o"),"ú","u"),"ü","u"),"ñ","n"),"à","a"),"è","e"),"ì","i"),"ò","o"),"ù","u")),"")</f>
        <v/>
      </c>
      <c r="Y126" s="25">
        <f>IF(X126="","",IF(IFERROR(COUNTIF(X$3:X126,"="&amp;SUBSTITUTE(SUBSTITUTE(SUBSTITUTE(X126,"~","~~"),"*","~*"),"?","~?")),0)=1,1,""))</f>
        <v/>
      </c>
      <c r="Z126" s="25">
        <f>IF(T126=1,MAX(Z$2:Z125)+1,"")</f>
        <v/>
      </c>
    </row>
    <row r="127">
      <c r="A127">
        <f>IF(A$2=0,"",IFERROR(TRIM(INDEX('Pegar calibracion'!$A$1:$BZ$1001,126,A$2)&amp;""),""))</f>
        <v/>
      </c>
      <c r="B127">
        <f>IF(B$2=0,"",IFERROR(TRIM(INDEX('Pegar calibracion'!$A$1:$BZ$1001,126,B$2)&amp;""),""))</f>
        <v/>
      </c>
      <c r="C127">
        <f>IF(C$2=0,"",IFERROR(TRIM(INDEX('Pegar calibracion'!$A$1:$BZ$1001,126,C$2)&amp;""),""))</f>
        <v/>
      </c>
      <c r="D127">
        <f>IF(D$2=0,"",IFERROR(TRIM(INDEX('Pegar calibracion'!$A$1:$BZ$1001,126,D$2)&amp;""),""))</f>
        <v/>
      </c>
      <c r="E127">
        <f>IF(E$2=0,"",IFERROR(TRIM(INDEX('Pegar calibracion'!$A$1:$BZ$1001,126,E$2)&amp;""),""))</f>
        <v/>
      </c>
      <c r="F127">
        <f>IF(F$2=0,"",IFERROR(TRIM(INDEX('Pegar calibracion'!$A$1:$BZ$1001,126,F$2)&amp;""),""))</f>
        <v/>
      </c>
      <c r="G127">
        <f>IF(G$2=0,"",IFERROR(TRIM(INDEX('Pegar calibracion'!$A$1:$BZ$1001,126,G$2)&amp;""),""))</f>
        <v/>
      </c>
      <c r="H127">
        <f>IF(H$2=0,"",IFERROR(TRIM(INDEX('Pegar calibracion'!$A$1:$BZ$1001,126,H$2)&amp;""),""))</f>
        <v/>
      </c>
      <c r="I127">
        <f>IF(I$2=0,"",IFERROR(TRIM(INDEX('Pegar calibracion'!$A$1:$BZ$1001,126,I$2)&amp;""),""))</f>
        <v/>
      </c>
      <c r="J127">
        <f>IF(J$2=0,"",IFERROR(TRIM(INDEX('Pegar calibracion'!$A$1:$BZ$1001,126,J$2)&amp;""),""))</f>
        <v/>
      </c>
      <c r="K127">
        <f>IF(K$2=0,"",IFERROR(TRIM(INDEX('Pegar calibracion'!$A$1:$BZ$1001,126,K$2)&amp;""),""))</f>
        <v/>
      </c>
      <c r="L127">
        <f>IF(L$2=0,"",IFERROR(TRIM(INDEX('Pegar calibracion'!$A$1:$BZ$1001,126,L$2)&amp;""),""))</f>
        <v/>
      </c>
      <c r="M127" s="25">
        <f>IF(D127="","",SUBSTITUTE(SUBSTITUTE(SUBSTITUTE(SUBSTITUTE(SUBSTITUTE(SUBSTITUTE(SUBSTITUTE(SUBSTITUTE(SUBSTITUTE(SUBSTITUTE(SUBSTITUTE(SUBSTITUTE(LOWER(TRIM(D127)),"á","a"),"é","e"),"í","i"),"ó","o"),"ú","u"),"ü","u"),"ñ","n"),"à","a"),"è","e"),"ì","i"),"ò","o"),"ù","u"))</f>
        <v/>
      </c>
      <c r="N127" s="25">
        <f>IF(F127="","",SUBSTITUTE(SUBSTITUTE(SUBSTITUTE(SUBSTITUTE(SUBSTITUTE(SUBSTITUTE(SUBSTITUTE(SUBSTITUTE(SUBSTITUTE(SUBSTITUTE(SUBSTITUTE(SUBSTITUTE(LOWER(TRIM(F127)),"á","a"),"é","e"),"í","i"),"ó","o"),"ú","u"),"ü","u"),"ñ","n"),"à","a"),"è","e"),"ì","i"),"ò","o"),"ù","u"))</f>
        <v/>
      </c>
      <c r="O127" s="25">
        <f>IF(M127="confiable",2,IF(M127="dudosa",1,IF(M127="no confiable",0,"")))</f>
        <v/>
      </c>
      <c r="P127" s="25">
        <f>IF(N127="confiable",2,IF(N127="dudosa",1,IF(N127="no confiable",0,"")))</f>
        <v/>
      </c>
      <c r="Q127" s="25">
        <f>IF(AND(ISNUMBER(O127),ISNUMBER(P127)),1,"")</f>
        <v/>
      </c>
      <c r="R127" s="25">
        <f>IF(Q127=1,IF(O127=P127,"Sí","No"),"")</f>
        <v/>
      </c>
      <c r="S127" s="25">
        <f>IF(Q127=1,IF(P127&lt;O127,"Más estricto",IF(P127&gt;O127,"Más permisivo","Igual")),"")</f>
        <v/>
      </c>
      <c r="T127" s="25">
        <f>IF(Q127=1,IF(ABS(O127-P127)=2,1,0),"")</f>
        <v/>
      </c>
      <c r="U127" s="25">
        <f>IF(H127="","","|"&amp;SUBSTITUTE(SUBSTITUTE(TRIM(H127)," |","|"),"| ","|")&amp;"|")</f>
        <v/>
      </c>
      <c r="V127" s="25">
        <f>IF(AND(Q127=1,B127&lt;&gt;""),IF(IFERROR(COUNTIFS(B$3:B127,"="&amp;SUBSTITUTE(SUBSTITUTE(SUBSTITUTE(B127,"~","~~"),"*","~*"),"?","~?"),Q$3:Q127,1),0)=1,MAX(V$2:V126)+1,""),"")</f>
        <v/>
      </c>
      <c r="W127" s="25">
        <f>IF(V127="","",COUNTIFS($B$3:$B$1002,"="&amp;SUBSTITUTE(SUBSTITUTE(SUBSTITUTE(B127,"~","~~"),"*","~*"),"?","~?"),$Q$3:$Q$1002,1)*10000-V127)</f>
        <v/>
      </c>
      <c r="X127" s="25">
        <f>IF(Q127=1,IF(SUBSTITUTE(SUBSTITUTE(SUBSTITUTE(SUBSTITUTE(SUBSTITUTE(SUBSTITUTE(SUBSTITUTE(SUBSTITUTE(SUBSTITUTE(SUBSTITUTE(SUBSTITUTE(SUBSTITUTE(LOWER(TRIM(A127)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127)),"á","a"),"é","e"),"í","i"),"ó","o"),"ú","u"),"ü","u"),"ñ","n"),"à","a"),"è","e"),"ì","i"),"ò","o"),"ù","u")),"")</f>
        <v/>
      </c>
      <c r="Y127" s="25">
        <f>IF(X127="","",IF(IFERROR(COUNTIF(X$3:X127,"="&amp;SUBSTITUTE(SUBSTITUTE(SUBSTITUTE(X127,"~","~~"),"*","~*"),"?","~?")),0)=1,1,""))</f>
        <v/>
      </c>
      <c r="Z127" s="25">
        <f>IF(T127=1,MAX(Z$2:Z126)+1,"")</f>
        <v/>
      </c>
    </row>
    <row r="128">
      <c r="A128">
        <f>IF(A$2=0,"",IFERROR(TRIM(INDEX('Pegar calibracion'!$A$1:$BZ$1001,127,A$2)&amp;""),""))</f>
        <v/>
      </c>
      <c r="B128">
        <f>IF(B$2=0,"",IFERROR(TRIM(INDEX('Pegar calibracion'!$A$1:$BZ$1001,127,B$2)&amp;""),""))</f>
        <v/>
      </c>
      <c r="C128">
        <f>IF(C$2=0,"",IFERROR(TRIM(INDEX('Pegar calibracion'!$A$1:$BZ$1001,127,C$2)&amp;""),""))</f>
        <v/>
      </c>
      <c r="D128">
        <f>IF(D$2=0,"",IFERROR(TRIM(INDEX('Pegar calibracion'!$A$1:$BZ$1001,127,D$2)&amp;""),""))</f>
        <v/>
      </c>
      <c r="E128">
        <f>IF(E$2=0,"",IFERROR(TRIM(INDEX('Pegar calibracion'!$A$1:$BZ$1001,127,E$2)&amp;""),""))</f>
        <v/>
      </c>
      <c r="F128">
        <f>IF(F$2=0,"",IFERROR(TRIM(INDEX('Pegar calibracion'!$A$1:$BZ$1001,127,F$2)&amp;""),""))</f>
        <v/>
      </c>
      <c r="G128">
        <f>IF(G$2=0,"",IFERROR(TRIM(INDEX('Pegar calibracion'!$A$1:$BZ$1001,127,G$2)&amp;""),""))</f>
        <v/>
      </c>
      <c r="H128">
        <f>IF(H$2=0,"",IFERROR(TRIM(INDEX('Pegar calibracion'!$A$1:$BZ$1001,127,H$2)&amp;""),""))</f>
        <v/>
      </c>
      <c r="I128">
        <f>IF(I$2=0,"",IFERROR(TRIM(INDEX('Pegar calibracion'!$A$1:$BZ$1001,127,I$2)&amp;""),""))</f>
        <v/>
      </c>
      <c r="J128">
        <f>IF(J$2=0,"",IFERROR(TRIM(INDEX('Pegar calibracion'!$A$1:$BZ$1001,127,J$2)&amp;""),""))</f>
        <v/>
      </c>
      <c r="K128">
        <f>IF(K$2=0,"",IFERROR(TRIM(INDEX('Pegar calibracion'!$A$1:$BZ$1001,127,K$2)&amp;""),""))</f>
        <v/>
      </c>
      <c r="L128">
        <f>IF(L$2=0,"",IFERROR(TRIM(INDEX('Pegar calibracion'!$A$1:$BZ$1001,127,L$2)&amp;""),""))</f>
        <v/>
      </c>
      <c r="M128" s="25">
        <f>IF(D128="","",SUBSTITUTE(SUBSTITUTE(SUBSTITUTE(SUBSTITUTE(SUBSTITUTE(SUBSTITUTE(SUBSTITUTE(SUBSTITUTE(SUBSTITUTE(SUBSTITUTE(SUBSTITUTE(SUBSTITUTE(LOWER(TRIM(D128)),"á","a"),"é","e"),"í","i"),"ó","o"),"ú","u"),"ü","u"),"ñ","n"),"à","a"),"è","e"),"ì","i"),"ò","o"),"ù","u"))</f>
        <v/>
      </c>
      <c r="N128" s="25">
        <f>IF(F128="","",SUBSTITUTE(SUBSTITUTE(SUBSTITUTE(SUBSTITUTE(SUBSTITUTE(SUBSTITUTE(SUBSTITUTE(SUBSTITUTE(SUBSTITUTE(SUBSTITUTE(SUBSTITUTE(SUBSTITUTE(LOWER(TRIM(F128)),"á","a"),"é","e"),"í","i"),"ó","o"),"ú","u"),"ü","u"),"ñ","n"),"à","a"),"è","e"),"ì","i"),"ò","o"),"ù","u"))</f>
        <v/>
      </c>
      <c r="O128" s="25">
        <f>IF(M128="confiable",2,IF(M128="dudosa",1,IF(M128="no confiable",0,"")))</f>
        <v/>
      </c>
      <c r="P128" s="25">
        <f>IF(N128="confiable",2,IF(N128="dudosa",1,IF(N128="no confiable",0,"")))</f>
        <v/>
      </c>
      <c r="Q128" s="25">
        <f>IF(AND(ISNUMBER(O128),ISNUMBER(P128)),1,"")</f>
        <v/>
      </c>
      <c r="R128" s="25">
        <f>IF(Q128=1,IF(O128=P128,"Sí","No"),"")</f>
        <v/>
      </c>
      <c r="S128" s="25">
        <f>IF(Q128=1,IF(P128&lt;O128,"Más estricto",IF(P128&gt;O128,"Más permisivo","Igual")),"")</f>
        <v/>
      </c>
      <c r="T128" s="25">
        <f>IF(Q128=1,IF(ABS(O128-P128)=2,1,0),"")</f>
        <v/>
      </c>
      <c r="U128" s="25">
        <f>IF(H128="","","|"&amp;SUBSTITUTE(SUBSTITUTE(TRIM(H128)," |","|"),"| ","|")&amp;"|")</f>
        <v/>
      </c>
      <c r="V128" s="25">
        <f>IF(AND(Q128=1,B128&lt;&gt;""),IF(IFERROR(COUNTIFS(B$3:B128,"="&amp;SUBSTITUTE(SUBSTITUTE(SUBSTITUTE(B128,"~","~~"),"*","~*"),"?","~?"),Q$3:Q128,1),0)=1,MAX(V$2:V127)+1,""),"")</f>
        <v/>
      </c>
      <c r="W128" s="25">
        <f>IF(V128="","",COUNTIFS($B$3:$B$1002,"="&amp;SUBSTITUTE(SUBSTITUTE(SUBSTITUTE(B128,"~","~~"),"*","~*"),"?","~?"),$Q$3:$Q$1002,1)*10000-V128)</f>
        <v/>
      </c>
      <c r="X128" s="25">
        <f>IF(Q128=1,IF(SUBSTITUTE(SUBSTITUTE(SUBSTITUTE(SUBSTITUTE(SUBSTITUTE(SUBSTITUTE(SUBSTITUTE(SUBSTITUTE(SUBSTITUTE(SUBSTITUTE(SUBSTITUTE(SUBSTITUTE(LOWER(TRIM(A128)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128)),"á","a"),"é","e"),"í","i"),"ó","o"),"ú","u"),"ü","u"),"ñ","n"),"à","a"),"è","e"),"ì","i"),"ò","o"),"ù","u")),"")</f>
        <v/>
      </c>
      <c r="Y128" s="25">
        <f>IF(X128="","",IF(IFERROR(COUNTIF(X$3:X128,"="&amp;SUBSTITUTE(SUBSTITUTE(SUBSTITUTE(X128,"~","~~"),"*","~*"),"?","~?")),0)=1,1,""))</f>
        <v/>
      </c>
      <c r="Z128" s="25">
        <f>IF(T128=1,MAX(Z$2:Z127)+1,"")</f>
        <v/>
      </c>
    </row>
    <row r="129">
      <c r="A129">
        <f>IF(A$2=0,"",IFERROR(TRIM(INDEX('Pegar calibracion'!$A$1:$BZ$1001,128,A$2)&amp;""),""))</f>
        <v/>
      </c>
      <c r="B129">
        <f>IF(B$2=0,"",IFERROR(TRIM(INDEX('Pegar calibracion'!$A$1:$BZ$1001,128,B$2)&amp;""),""))</f>
        <v/>
      </c>
      <c r="C129">
        <f>IF(C$2=0,"",IFERROR(TRIM(INDEX('Pegar calibracion'!$A$1:$BZ$1001,128,C$2)&amp;""),""))</f>
        <v/>
      </c>
      <c r="D129">
        <f>IF(D$2=0,"",IFERROR(TRIM(INDEX('Pegar calibracion'!$A$1:$BZ$1001,128,D$2)&amp;""),""))</f>
        <v/>
      </c>
      <c r="E129">
        <f>IF(E$2=0,"",IFERROR(TRIM(INDEX('Pegar calibracion'!$A$1:$BZ$1001,128,E$2)&amp;""),""))</f>
        <v/>
      </c>
      <c r="F129">
        <f>IF(F$2=0,"",IFERROR(TRIM(INDEX('Pegar calibracion'!$A$1:$BZ$1001,128,F$2)&amp;""),""))</f>
        <v/>
      </c>
      <c r="G129">
        <f>IF(G$2=0,"",IFERROR(TRIM(INDEX('Pegar calibracion'!$A$1:$BZ$1001,128,G$2)&amp;""),""))</f>
        <v/>
      </c>
      <c r="H129">
        <f>IF(H$2=0,"",IFERROR(TRIM(INDEX('Pegar calibracion'!$A$1:$BZ$1001,128,H$2)&amp;""),""))</f>
        <v/>
      </c>
      <c r="I129">
        <f>IF(I$2=0,"",IFERROR(TRIM(INDEX('Pegar calibracion'!$A$1:$BZ$1001,128,I$2)&amp;""),""))</f>
        <v/>
      </c>
      <c r="J129">
        <f>IF(J$2=0,"",IFERROR(TRIM(INDEX('Pegar calibracion'!$A$1:$BZ$1001,128,J$2)&amp;""),""))</f>
        <v/>
      </c>
      <c r="K129">
        <f>IF(K$2=0,"",IFERROR(TRIM(INDEX('Pegar calibracion'!$A$1:$BZ$1001,128,K$2)&amp;""),""))</f>
        <v/>
      </c>
      <c r="L129">
        <f>IF(L$2=0,"",IFERROR(TRIM(INDEX('Pegar calibracion'!$A$1:$BZ$1001,128,L$2)&amp;""),""))</f>
        <v/>
      </c>
      <c r="M129" s="25">
        <f>IF(D129="","",SUBSTITUTE(SUBSTITUTE(SUBSTITUTE(SUBSTITUTE(SUBSTITUTE(SUBSTITUTE(SUBSTITUTE(SUBSTITUTE(SUBSTITUTE(SUBSTITUTE(SUBSTITUTE(SUBSTITUTE(LOWER(TRIM(D129)),"á","a"),"é","e"),"í","i"),"ó","o"),"ú","u"),"ü","u"),"ñ","n"),"à","a"),"è","e"),"ì","i"),"ò","o"),"ù","u"))</f>
        <v/>
      </c>
      <c r="N129" s="25">
        <f>IF(F129="","",SUBSTITUTE(SUBSTITUTE(SUBSTITUTE(SUBSTITUTE(SUBSTITUTE(SUBSTITUTE(SUBSTITUTE(SUBSTITUTE(SUBSTITUTE(SUBSTITUTE(SUBSTITUTE(SUBSTITUTE(LOWER(TRIM(F129)),"á","a"),"é","e"),"í","i"),"ó","o"),"ú","u"),"ü","u"),"ñ","n"),"à","a"),"è","e"),"ì","i"),"ò","o"),"ù","u"))</f>
        <v/>
      </c>
      <c r="O129" s="25">
        <f>IF(M129="confiable",2,IF(M129="dudosa",1,IF(M129="no confiable",0,"")))</f>
        <v/>
      </c>
      <c r="P129" s="25">
        <f>IF(N129="confiable",2,IF(N129="dudosa",1,IF(N129="no confiable",0,"")))</f>
        <v/>
      </c>
      <c r="Q129" s="25">
        <f>IF(AND(ISNUMBER(O129),ISNUMBER(P129)),1,"")</f>
        <v/>
      </c>
      <c r="R129" s="25">
        <f>IF(Q129=1,IF(O129=P129,"Sí","No"),"")</f>
        <v/>
      </c>
      <c r="S129" s="25">
        <f>IF(Q129=1,IF(P129&lt;O129,"Más estricto",IF(P129&gt;O129,"Más permisivo","Igual")),"")</f>
        <v/>
      </c>
      <c r="T129" s="25">
        <f>IF(Q129=1,IF(ABS(O129-P129)=2,1,0),"")</f>
        <v/>
      </c>
      <c r="U129" s="25">
        <f>IF(H129="","","|"&amp;SUBSTITUTE(SUBSTITUTE(TRIM(H129)," |","|"),"| ","|")&amp;"|")</f>
        <v/>
      </c>
      <c r="V129" s="25">
        <f>IF(AND(Q129=1,B129&lt;&gt;""),IF(IFERROR(COUNTIFS(B$3:B129,"="&amp;SUBSTITUTE(SUBSTITUTE(SUBSTITUTE(B129,"~","~~"),"*","~*"),"?","~?"),Q$3:Q129,1),0)=1,MAX(V$2:V128)+1,""),"")</f>
        <v/>
      </c>
      <c r="W129" s="25">
        <f>IF(V129="","",COUNTIFS($B$3:$B$1002,"="&amp;SUBSTITUTE(SUBSTITUTE(SUBSTITUTE(B129,"~","~~"),"*","~*"),"?","~?"),$Q$3:$Q$1002,1)*10000-V129)</f>
        <v/>
      </c>
      <c r="X129" s="25">
        <f>IF(Q129=1,IF(SUBSTITUTE(SUBSTITUTE(SUBSTITUTE(SUBSTITUTE(SUBSTITUTE(SUBSTITUTE(SUBSTITUTE(SUBSTITUTE(SUBSTITUTE(SUBSTITUTE(SUBSTITUTE(SUBSTITUTE(LOWER(TRIM(A129)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129)),"á","a"),"é","e"),"í","i"),"ó","o"),"ú","u"),"ü","u"),"ñ","n"),"à","a"),"è","e"),"ì","i"),"ò","o"),"ù","u")),"")</f>
        <v/>
      </c>
      <c r="Y129" s="25">
        <f>IF(X129="","",IF(IFERROR(COUNTIF(X$3:X129,"="&amp;SUBSTITUTE(SUBSTITUTE(SUBSTITUTE(X129,"~","~~"),"*","~*"),"?","~?")),0)=1,1,""))</f>
        <v/>
      </c>
      <c r="Z129" s="25">
        <f>IF(T129=1,MAX(Z$2:Z128)+1,"")</f>
        <v/>
      </c>
    </row>
    <row r="130">
      <c r="A130">
        <f>IF(A$2=0,"",IFERROR(TRIM(INDEX('Pegar calibracion'!$A$1:$BZ$1001,129,A$2)&amp;""),""))</f>
        <v/>
      </c>
      <c r="B130">
        <f>IF(B$2=0,"",IFERROR(TRIM(INDEX('Pegar calibracion'!$A$1:$BZ$1001,129,B$2)&amp;""),""))</f>
        <v/>
      </c>
      <c r="C130">
        <f>IF(C$2=0,"",IFERROR(TRIM(INDEX('Pegar calibracion'!$A$1:$BZ$1001,129,C$2)&amp;""),""))</f>
        <v/>
      </c>
      <c r="D130">
        <f>IF(D$2=0,"",IFERROR(TRIM(INDEX('Pegar calibracion'!$A$1:$BZ$1001,129,D$2)&amp;""),""))</f>
        <v/>
      </c>
      <c r="E130">
        <f>IF(E$2=0,"",IFERROR(TRIM(INDEX('Pegar calibracion'!$A$1:$BZ$1001,129,E$2)&amp;""),""))</f>
        <v/>
      </c>
      <c r="F130">
        <f>IF(F$2=0,"",IFERROR(TRIM(INDEX('Pegar calibracion'!$A$1:$BZ$1001,129,F$2)&amp;""),""))</f>
        <v/>
      </c>
      <c r="G130">
        <f>IF(G$2=0,"",IFERROR(TRIM(INDEX('Pegar calibracion'!$A$1:$BZ$1001,129,G$2)&amp;""),""))</f>
        <v/>
      </c>
      <c r="H130">
        <f>IF(H$2=0,"",IFERROR(TRIM(INDEX('Pegar calibracion'!$A$1:$BZ$1001,129,H$2)&amp;""),""))</f>
        <v/>
      </c>
      <c r="I130">
        <f>IF(I$2=0,"",IFERROR(TRIM(INDEX('Pegar calibracion'!$A$1:$BZ$1001,129,I$2)&amp;""),""))</f>
        <v/>
      </c>
      <c r="J130">
        <f>IF(J$2=0,"",IFERROR(TRIM(INDEX('Pegar calibracion'!$A$1:$BZ$1001,129,J$2)&amp;""),""))</f>
        <v/>
      </c>
      <c r="K130">
        <f>IF(K$2=0,"",IFERROR(TRIM(INDEX('Pegar calibracion'!$A$1:$BZ$1001,129,K$2)&amp;""),""))</f>
        <v/>
      </c>
      <c r="L130">
        <f>IF(L$2=0,"",IFERROR(TRIM(INDEX('Pegar calibracion'!$A$1:$BZ$1001,129,L$2)&amp;""),""))</f>
        <v/>
      </c>
      <c r="M130" s="25">
        <f>IF(D130="","",SUBSTITUTE(SUBSTITUTE(SUBSTITUTE(SUBSTITUTE(SUBSTITUTE(SUBSTITUTE(SUBSTITUTE(SUBSTITUTE(SUBSTITUTE(SUBSTITUTE(SUBSTITUTE(SUBSTITUTE(LOWER(TRIM(D130)),"á","a"),"é","e"),"í","i"),"ó","o"),"ú","u"),"ü","u"),"ñ","n"),"à","a"),"è","e"),"ì","i"),"ò","o"),"ù","u"))</f>
        <v/>
      </c>
      <c r="N130" s="25">
        <f>IF(F130="","",SUBSTITUTE(SUBSTITUTE(SUBSTITUTE(SUBSTITUTE(SUBSTITUTE(SUBSTITUTE(SUBSTITUTE(SUBSTITUTE(SUBSTITUTE(SUBSTITUTE(SUBSTITUTE(SUBSTITUTE(LOWER(TRIM(F130)),"á","a"),"é","e"),"í","i"),"ó","o"),"ú","u"),"ü","u"),"ñ","n"),"à","a"),"è","e"),"ì","i"),"ò","o"),"ù","u"))</f>
        <v/>
      </c>
      <c r="O130" s="25">
        <f>IF(M130="confiable",2,IF(M130="dudosa",1,IF(M130="no confiable",0,"")))</f>
        <v/>
      </c>
      <c r="P130" s="25">
        <f>IF(N130="confiable",2,IF(N130="dudosa",1,IF(N130="no confiable",0,"")))</f>
        <v/>
      </c>
      <c r="Q130" s="25">
        <f>IF(AND(ISNUMBER(O130),ISNUMBER(P130)),1,"")</f>
        <v/>
      </c>
      <c r="R130" s="25">
        <f>IF(Q130=1,IF(O130=P130,"Sí","No"),"")</f>
        <v/>
      </c>
      <c r="S130" s="25">
        <f>IF(Q130=1,IF(P130&lt;O130,"Más estricto",IF(P130&gt;O130,"Más permisivo","Igual")),"")</f>
        <v/>
      </c>
      <c r="T130" s="25">
        <f>IF(Q130=1,IF(ABS(O130-P130)=2,1,0),"")</f>
        <v/>
      </c>
      <c r="U130" s="25">
        <f>IF(H130="","","|"&amp;SUBSTITUTE(SUBSTITUTE(TRIM(H130)," |","|"),"| ","|")&amp;"|")</f>
        <v/>
      </c>
      <c r="V130" s="25">
        <f>IF(AND(Q130=1,B130&lt;&gt;""),IF(IFERROR(COUNTIFS(B$3:B130,"="&amp;SUBSTITUTE(SUBSTITUTE(SUBSTITUTE(B130,"~","~~"),"*","~*"),"?","~?"),Q$3:Q130,1),0)=1,MAX(V$2:V129)+1,""),"")</f>
        <v/>
      </c>
      <c r="W130" s="25">
        <f>IF(V130="","",COUNTIFS($B$3:$B$1002,"="&amp;SUBSTITUTE(SUBSTITUTE(SUBSTITUTE(B130,"~","~~"),"*","~*"),"?","~?"),$Q$3:$Q$1002,1)*10000-V130)</f>
        <v/>
      </c>
      <c r="X130" s="25">
        <f>IF(Q130=1,IF(SUBSTITUTE(SUBSTITUTE(SUBSTITUTE(SUBSTITUTE(SUBSTITUTE(SUBSTITUTE(SUBSTITUTE(SUBSTITUTE(SUBSTITUTE(SUBSTITUTE(SUBSTITUTE(SUBSTITUTE(LOWER(TRIM(A130)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130)),"á","a"),"é","e"),"í","i"),"ó","o"),"ú","u"),"ü","u"),"ñ","n"),"à","a"),"è","e"),"ì","i"),"ò","o"),"ù","u")),"")</f>
        <v/>
      </c>
      <c r="Y130" s="25">
        <f>IF(X130="","",IF(IFERROR(COUNTIF(X$3:X130,"="&amp;SUBSTITUTE(SUBSTITUTE(SUBSTITUTE(X130,"~","~~"),"*","~*"),"?","~?")),0)=1,1,""))</f>
        <v/>
      </c>
      <c r="Z130" s="25">
        <f>IF(T130=1,MAX(Z$2:Z129)+1,"")</f>
        <v/>
      </c>
    </row>
    <row r="131">
      <c r="A131">
        <f>IF(A$2=0,"",IFERROR(TRIM(INDEX('Pegar calibracion'!$A$1:$BZ$1001,130,A$2)&amp;""),""))</f>
        <v/>
      </c>
      <c r="B131">
        <f>IF(B$2=0,"",IFERROR(TRIM(INDEX('Pegar calibracion'!$A$1:$BZ$1001,130,B$2)&amp;""),""))</f>
        <v/>
      </c>
      <c r="C131">
        <f>IF(C$2=0,"",IFERROR(TRIM(INDEX('Pegar calibracion'!$A$1:$BZ$1001,130,C$2)&amp;""),""))</f>
        <v/>
      </c>
      <c r="D131">
        <f>IF(D$2=0,"",IFERROR(TRIM(INDEX('Pegar calibracion'!$A$1:$BZ$1001,130,D$2)&amp;""),""))</f>
        <v/>
      </c>
      <c r="E131">
        <f>IF(E$2=0,"",IFERROR(TRIM(INDEX('Pegar calibracion'!$A$1:$BZ$1001,130,E$2)&amp;""),""))</f>
        <v/>
      </c>
      <c r="F131">
        <f>IF(F$2=0,"",IFERROR(TRIM(INDEX('Pegar calibracion'!$A$1:$BZ$1001,130,F$2)&amp;""),""))</f>
        <v/>
      </c>
      <c r="G131">
        <f>IF(G$2=0,"",IFERROR(TRIM(INDEX('Pegar calibracion'!$A$1:$BZ$1001,130,G$2)&amp;""),""))</f>
        <v/>
      </c>
      <c r="H131">
        <f>IF(H$2=0,"",IFERROR(TRIM(INDEX('Pegar calibracion'!$A$1:$BZ$1001,130,H$2)&amp;""),""))</f>
        <v/>
      </c>
      <c r="I131">
        <f>IF(I$2=0,"",IFERROR(TRIM(INDEX('Pegar calibracion'!$A$1:$BZ$1001,130,I$2)&amp;""),""))</f>
        <v/>
      </c>
      <c r="J131">
        <f>IF(J$2=0,"",IFERROR(TRIM(INDEX('Pegar calibracion'!$A$1:$BZ$1001,130,J$2)&amp;""),""))</f>
        <v/>
      </c>
      <c r="K131">
        <f>IF(K$2=0,"",IFERROR(TRIM(INDEX('Pegar calibracion'!$A$1:$BZ$1001,130,K$2)&amp;""),""))</f>
        <v/>
      </c>
      <c r="L131">
        <f>IF(L$2=0,"",IFERROR(TRIM(INDEX('Pegar calibracion'!$A$1:$BZ$1001,130,L$2)&amp;""),""))</f>
        <v/>
      </c>
      <c r="M131" s="25">
        <f>IF(D131="","",SUBSTITUTE(SUBSTITUTE(SUBSTITUTE(SUBSTITUTE(SUBSTITUTE(SUBSTITUTE(SUBSTITUTE(SUBSTITUTE(SUBSTITUTE(SUBSTITUTE(SUBSTITUTE(SUBSTITUTE(LOWER(TRIM(D131)),"á","a"),"é","e"),"í","i"),"ó","o"),"ú","u"),"ü","u"),"ñ","n"),"à","a"),"è","e"),"ì","i"),"ò","o"),"ù","u"))</f>
        <v/>
      </c>
      <c r="N131" s="25">
        <f>IF(F131="","",SUBSTITUTE(SUBSTITUTE(SUBSTITUTE(SUBSTITUTE(SUBSTITUTE(SUBSTITUTE(SUBSTITUTE(SUBSTITUTE(SUBSTITUTE(SUBSTITUTE(SUBSTITUTE(SUBSTITUTE(LOWER(TRIM(F131)),"á","a"),"é","e"),"í","i"),"ó","o"),"ú","u"),"ü","u"),"ñ","n"),"à","a"),"è","e"),"ì","i"),"ò","o"),"ù","u"))</f>
        <v/>
      </c>
      <c r="O131" s="25">
        <f>IF(M131="confiable",2,IF(M131="dudosa",1,IF(M131="no confiable",0,"")))</f>
        <v/>
      </c>
      <c r="P131" s="25">
        <f>IF(N131="confiable",2,IF(N131="dudosa",1,IF(N131="no confiable",0,"")))</f>
        <v/>
      </c>
      <c r="Q131" s="25">
        <f>IF(AND(ISNUMBER(O131),ISNUMBER(P131)),1,"")</f>
        <v/>
      </c>
      <c r="R131" s="25">
        <f>IF(Q131=1,IF(O131=P131,"Sí","No"),"")</f>
        <v/>
      </c>
      <c r="S131" s="25">
        <f>IF(Q131=1,IF(P131&lt;O131,"Más estricto",IF(P131&gt;O131,"Más permisivo","Igual")),"")</f>
        <v/>
      </c>
      <c r="T131" s="25">
        <f>IF(Q131=1,IF(ABS(O131-P131)=2,1,0),"")</f>
        <v/>
      </c>
      <c r="U131" s="25">
        <f>IF(H131="","","|"&amp;SUBSTITUTE(SUBSTITUTE(TRIM(H131)," |","|"),"| ","|")&amp;"|")</f>
        <v/>
      </c>
      <c r="V131" s="25">
        <f>IF(AND(Q131=1,B131&lt;&gt;""),IF(IFERROR(COUNTIFS(B$3:B131,"="&amp;SUBSTITUTE(SUBSTITUTE(SUBSTITUTE(B131,"~","~~"),"*","~*"),"?","~?"),Q$3:Q131,1),0)=1,MAX(V$2:V130)+1,""),"")</f>
        <v/>
      </c>
      <c r="W131" s="25">
        <f>IF(V131="","",COUNTIFS($B$3:$B$1002,"="&amp;SUBSTITUTE(SUBSTITUTE(SUBSTITUTE(B131,"~","~~"),"*","~*"),"?","~?"),$Q$3:$Q$1002,1)*10000-V131)</f>
        <v/>
      </c>
      <c r="X131" s="25">
        <f>IF(Q131=1,IF(SUBSTITUTE(SUBSTITUTE(SUBSTITUTE(SUBSTITUTE(SUBSTITUTE(SUBSTITUTE(SUBSTITUTE(SUBSTITUTE(SUBSTITUTE(SUBSTITUTE(SUBSTITUTE(SUBSTITUTE(LOWER(TRIM(A131)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131)),"á","a"),"é","e"),"í","i"),"ó","o"),"ú","u"),"ü","u"),"ñ","n"),"à","a"),"è","e"),"ì","i"),"ò","o"),"ù","u")),"")</f>
        <v/>
      </c>
      <c r="Y131" s="25">
        <f>IF(X131="","",IF(IFERROR(COUNTIF(X$3:X131,"="&amp;SUBSTITUTE(SUBSTITUTE(SUBSTITUTE(X131,"~","~~"),"*","~*"),"?","~?")),0)=1,1,""))</f>
        <v/>
      </c>
      <c r="Z131" s="25">
        <f>IF(T131=1,MAX(Z$2:Z130)+1,"")</f>
        <v/>
      </c>
    </row>
    <row r="132">
      <c r="A132">
        <f>IF(A$2=0,"",IFERROR(TRIM(INDEX('Pegar calibracion'!$A$1:$BZ$1001,131,A$2)&amp;""),""))</f>
        <v/>
      </c>
      <c r="B132">
        <f>IF(B$2=0,"",IFERROR(TRIM(INDEX('Pegar calibracion'!$A$1:$BZ$1001,131,B$2)&amp;""),""))</f>
        <v/>
      </c>
      <c r="C132">
        <f>IF(C$2=0,"",IFERROR(TRIM(INDEX('Pegar calibracion'!$A$1:$BZ$1001,131,C$2)&amp;""),""))</f>
        <v/>
      </c>
      <c r="D132">
        <f>IF(D$2=0,"",IFERROR(TRIM(INDEX('Pegar calibracion'!$A$1:$BZ$1001,131,D$2)&amp;""),""))</f>
        <v/>
      </c>
      <c r="E132">
        <f>IF(E$2=0,"",IFERROR(TRIM(INDEX('Pegar calibracion'!$A$1:$BZ$1001,131,E$2)&amp;""),""))</f>
        <v/>
      </c>
      <c r="F132">
        <f>IF(F$2=0,"",IFERROR(TRIM(INDEX('Pegar calibracion'!$A$1:$BZ$1001,131,F$2)&amp;""),""))</f>
        <v/>
      </c>
      <c r="G132">
        <f>IF(G$2=0,"",IFERROR(TRIM(INDEX('Pegar calibracion'!$A$1:$BZ$1001,131,G$2)&amp;""),""))</f>
        <v/>
      </c>
      <c r="H132">
        <f>IF(H$2=0,"",IFERROR(TRIM(INDEX('Pegar calibracion'!$A$1:$BZ$1001,131,H$2)&amp;""),""))</f>
        <v/>
      </c>
      <c r="I132">
        <f>IF(I$2=0,"",IFERROR(TRIM(INDEX('Pegar calibracion'!$A$1:$BZ$1001,131,I$2)&amp;""),""))</f>
        <v/>
      </c>
      <c r="J132">
        <f>IF(J$2=0,"",IFERROR(TRIM(INDEX('Pegar calibracion'!$A$1:$BZ$1001,131,J$2)&amp;""),""))</f>
        <v/>
      </c>
      <c r="K132">
        <f>IF(K$2=0,"",IFERROR(TRIM(INDEX('Pegar calibracion'!$A$1:$BZ$1001,131,K$2)&amp;""),""))</f>
        <v/>
      </c>
      <c r="L132">
        <f>IF(L$2=0,"",IFERROR(TRIM(INDEX('Pegar calibracion'!$A$1:$BZ$1001,131,L$2)&amp;""),""))</f>
        <v/>
      </c>
      <c r="M132" s="25">
        <f>IF(D132="","",SUBSTITUTE(SUBSTITUTE(SUBSTITUTE(SUBSTITUTE(SUBSTITUTE(SUBSTITUTE(SUBSTITUTE(SUBSTITUTE(SUBSTITUTE(SUBSTITUTE(SUBSTITUTE(SUBSTITUTE(LOWER(TRIM(D132)),"á","a"),"é","e"),"í","i"),"ó","o"),"ú","u"),"ü","u"),"ñ","n"),"à","a"),"è","e"),"ì","i"),"ò","o"),"ù","u"))</f>
        <v/>
      </c>
      <c r="N132" s="25">
        <f>IF(F132="","",SUBSTITUTE(SUBSTITUTE(SUBSTITUTE(SUBSTITUTE(SUBSTITUTE(SUBSTITUTE(SUBSTITUTE(SUBSTITUTE(SUBSTITUTE(SUBSTITUTE(SUBSTITUTE(SUBSTITUTE(LOWER(TRIM(F132)),"á","a"),"é","e"),"í","i"),"ó","o"),"ú","u"),"ü","u"),"ñ","n"),"à","a"),"è","e"),"ì","i"),"ò","o"),"ù","u"))</f>
        <v/>
      </c>
      <c r="O132" s="25">
        <f>IF(M132="confiable",2,IF(M132="dudosa",1,IF(M132="no confiable",0,"")))</f>
        <v/>
      </c>
      <c r="P132" s="25">
        <f>IF(N132="confiable",2,IF(N132="dudosa",1,IF(N132="no confiable",0,"")))</f>
        <v/>
      </c>
      <c r="Q132" s="25">
        <f>IF(AND(ISNUMBER(O132),ISNUMBER(P132)),1,"")</f>
        <v/>
      </c>
      <c r="R132" s="25">
        <f>IF(Q132=1,IF(O132=P132,"Sí","No"),"")</f>
        <v/>
      </c>
      <c r="S132" s="25">
        <f>IF(Q132=1,IF(P132&lt;O132,"Más estricto",IF(P132&gt;O132,"Más permisivo","Igual")),"")</f>
        <v/>
      </c>
      <c r="T132" s="25">
        <f>IF(Q132=1,IF(ABS(O132-P132)=2,1,0),"")</f>
        <v/>
      </c>
      <c r="U132" s="25">
        <f>IF(H132="","","|"&amp;SUBSTITUTE(SUBSTITUTE(TRIM(H132)," |","|"),"| ","|")&amp;"|")</f>
        <v/>
      </c>
      <c r="V132" s="25">
        <f>IF(AND(Q132=1,B132&lt;&gt;""),IF(IFERROR(COUNTIFS(B$3:B132,"="&amp;SUBSTITUTE(SUBSTITUTE(SUBSTITUTE(B132,"~","~~"),"*","~*"),"?","~?"),Q$3:Q132,1),0)=1,MAX(V$2:V131)+1,""),"")</f>
        <v/>
      </c>
      <c r="W132" s="25">
        <f>IF(V132="","",COUNTIFS($B$3:$B$1002,"="&amp;SUBSTITUTE(SUBSTITUTE(SUBSTITUTE(B132,"~","~~"),"*","~*"),"?","~?"),$Q$3:$Q$1002,1)*10000-V132)</f>
        <v/>
      </c>
      <c r="X132" s="25">
        <f>IF(Q132=1,IF(SUBSTITUTE(SUBSTITUTE(SUBSTITUTE(SUBSTITUTE(SUBSTITUTE(SUBSTITUTE(SUBSTITUTE(SUBSTITUTE(SUBSTITUTE(SUBSTITUTE(SUBSTITUTE(SUBSTITUTE(LOWER(TRIM(A132)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132)),"á","a"),"é","e"),"í","i"),"ó","o"),"ú","u"),"ü","u"),"ñ","n"),"à","a"),"è","e"),"ì","i"),"ò","o"),"ù","u")),"")</f>
        <v/>
      </c>
      <c r="Y132" s="25">
        <f>IF(X132="","",IF(IFERROR(COUNTIF(X$3:X132,"="&amp;SUBSTITUTE(SUBSTITUTE(SUBSTITUTE(X132,"~","~~"),"*","~*"),"?","~?")),0)=1,1,""))</f>
        <v/>
      </c>
      <c r="Z132" s="25">
        <f>IF(T132=1,MAX(Z$2:Z131)+1,"")</f>
        <v/>
      </c>
    </row>
    <row r="133">
      <c r="A133">
        <f>IF(A$2=0,"",IFERROR(TRIM(INDEX('Pegar calibracion'!$A$1:$BZ$1001,132,A$2)&amp;""),""))</f>
        <v/>
      </c>
      <c r="B133">
        <f>IF(B$2=0,"",IFERROR(TRIM(INDEX('Pegar calibracion'!$A$1:$BZ$1001,132,B$2)&amp;""),""))</f>
        <v/>
      </c>
      <c r="C133">
        <f>IF(C$2=0,"",IFERROR(TRIM(INDEX('Pegar calibracion'!$A$1:$BZ$1001,132,C$2)&amp;""),""))</f>
        <v/>
      </c>
      <c r="D133">
        <f>IF(D$2=0,"",IFERROR(TRIM(INDEX('Pegar calibracion'!$A$1:$BZ$1001,132,D$2)&amp;""),""))</f>
        <v/>
      </c>
      <c r="E133">
        <f>IF(E$2=0,"",IFERROR(TRIM(INDEX('Pegar calibracion'!$A$1:$BZ$1001,132,E$2)&amp;""),""))</f>
        <v/>
      </c>
      <c r="F133">
        <f>IF(F$2=0,"",IFERROR(TRIM(INDEX('Pegar calibracion'!$A$1:$BZ$1001,132,F$2)&amp;""),""))</f>
        <v/>
      </c>
      <c r="G133">
        <f>IF(G$2=0,"",IFERROR(TRIM(INDEX('Pegar calibracion'!$A$1:$BZ$1001,132,G$2)&amp;""),""))</f>
        <v/>
      </c>
      <c r="H133">
        <f>IF(H$2=0,"",IFERROR(TRIM(INDEX('Pegar calibracion'!$A$1:$BZ$1001,132,H$2)&amp;""),""))</f>
        <v/>
      </c>
      <c r="I133">
        <f>IF(I$2=0,"",IFERROR(TRIM(INDEX('Pegar calibracion'!$A$1:$BZ$1001,132,I$2)&amp;""),""))</f>
        <v/>
      </c>
      <c r="J133">
        <f>IF(J$2=0,"",IFERROR(TRIM(INDEX('Pegar calibracion'!$A$1:$BZ$1001,132,J$2)&amp;""),""))</f>
        <v/>
      </c>
      <c r="K133">
        <f>IF(K$2=0,"",IFERROR(TRIM(INDEX('Pegar calibracion'!$A$1:$BZ$1001,132,K$2)&amp;""),""))</f>
        <v/>
      </c>
      <c r="L133">
        <f>IF(L$2=0,"",IFERROR(TRIM(INDEX('Pegar calibracion'!$A$1:$BZ$1001,132,L$2)&amp;""),""))</f>
        <v/>
      </c>
      <c r="M133" s="25">
        <f>IF(D133="","",SUBSTITUTE(SUBSTITUTE(SUBSTITUTE(SUBSTITUTE(SUBSTITUTE(SUBSTITUTE(SUBSTITUTE(SUBSTITUTE(SUBSTITUTE(SUBSTITUTE(SUBSTITUTE(SUBSTITUTE(LOWER(TRIM(D133)),"á","a"),"é","e"),"í","i"),"ó","o"),"ú","u"),"ü","u"),"ñ","n"),"à","a"),"è","e"),"ì","i"),"ò","o"),"ù","u"))</f>
        <v/>
      </c>
      <c r="N133" s="25">
        <f>IF(F133="","",SUBSTITUTE(SUBSTITUTE(SUBSTITUTE(SUBSTITUTE(SUBSTITUTE(SUBSTITUTE(SUBSTITUTE(SUBSTITUTE(SUBSTITUTE(SUBSTITUTE(SUBSTITUTE(SUBSTITUTE(LOWER(TRIM(F133)),"á","a"),"é","e"),"í","i"),"ó","o"),"ú","u"),"ü","u"),"ñ","n"),"à","a"),"è","e"),"ì","i"),"ò","o"),"ù","u"))</f>
        <v/>
      </c>
      <c r="O133" s="25">
        <f>IF(M133="confiable",2,IF(M133="dudosa",1,IF(M133="no confiable",0,"")))</f>
        <v/>
      </c>
      <c r="P133" s="25">
        <f>IF(N133="confiable",2,IF(N133="dudosa",1,IF(N133="no confiable",0,"")))</f>
        <v/>
      </c>
      <c r="Q133" s="25">
        <f>IF(AND(ISNUMBER(O133),ISNUMBER(P133)),1,"")</f>
        <v/>
      </c>
      <c r="R133" s="25">
        <f>IF(Q133=1,IF(O133=P133,"Sí","No"),"")</f>
        <v/>
      </c>
      <c r="S133" s="25">
        <f>IF(Q133=1,IF(P133&lt;O133,"Más estricto",IF(P133&gt;O133,"Más permisivo","Igual")),"")</f>
        <v/>
      </c>
      <c r="T133" s="25">
        <f>IF(Q133=1,IF(ABS(O133-P133)=2,1,0),"")</f>
        <v/>
      </c>
      <c r="U133" s="25">
        <f>IF(H133="","","|"&amp;SUBSTITUTE(SUBSTITUTE(TRIM(H133)," |","|"),"| ","|")&amp;"|")</f>
        <v/>
      </c>
      <c r="V133" s="25">
        <f>IF(AND(Q133=1,B133&lt;&gt;""),IF(IFERROR(COUNTIFS(B$3:B133,"="&amp;SUBSTITUTE(SUBSTITUTE(SUBSTITUTE(B133,"~","~~"),"*","~*"),"?","~?"),Q$3:Q133,1),0)=1,MAX(V$2:V132)+1,""),"")</f>
        <v/>
      </c>
      <c r="W133" s="25">
        <f>IF(V133="","",COUNTIFS($B$3:$B$1002,"="&amp;SUBSTITUTE(SUBSTITUTE(SUBSTITUTE(B133,"~","~~"),"*","~*"),"?","~?"),$Q$3:$Q$1002,1)*10000-V133)</f>
        <v/>
      </c>
      <c r="X133" s="25">
        <f>IF(Q133=1,IF(SUBSTITUTE(SUBSTITUTE(SUBSTITUTE(SUBSTITUTE(SUBSTITUTE(SUBSTITUTE(SUBSTITUTE(SUBSTITUTE(SUBSTITUTE(SUBSTITUTE(SUBSTITUTE(SUBSTITUTE(LOWER(TRIM(A133)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133)),"á","a"),"é","e"),"í","i"),"ó","o"),"ú","u"),"ü","u"),"ñ","n"),"à","a"),"è","e"),"ì","i"),"ò","o"),"ù","u")),"")</f>
        <v/>
      </c>
      <c r="Y133" s="25">
        <f>IF(X133="","",IF(IFERROR(COUNTIF(X$3:X133,"="&amp;SUBSTITUTE(SUBSTITUTE(SUBSTITUTE(X133,"~","~~"),"*","~*"),"?","~?")),0)=1,1,""))</f>
        <v/>
      </c>
      <c r="Z133" s="25">
        <f>IF(T133=1,MAX(Z$2:Z132)+1,"")</f>
        <v/>
      </c>
    </row>
    <row r="134">
      <c r="A134">
        <f>IF(A$2=0,"",IFERROR(TRIM(INDEX('Pegar calibracion'!$A$1:$BZ$1001,133,A$2)&amp;""),""))</f>
        <v/>
      </c>
      <c r="B134">
        <f>IF(B$2=0,"",IFERROR(TRIM(INDEX('Pegar calibracion'!$A$1:$BZ$1001,133,B$2)&amp;""),""))</f>
        <v/>
      </c>
      <c r="C134">
        <f>IF(C$2=0,"",IFERROR(TRIM(INDEX('Pegar calibracion'!$A$1:$BZ$1001,133,C$2)&amp;""),""))</f>
        <v/>
      </c>
      <c r="D134">
        <f>IF(D$2=0,"",IFERROR(TRIM(INDEX('Pegar calibracion'!$A$1:$BZ$1001,133,D$2)&amp;""),""))</f>
        <v/>
      </c>
      <c r="E134">
        <f>IF(E$2=0,"",IFERROR(TRIM(INDEX('Pegar calibracion'!$A$1:$BZ$1001,133,E$2)&amp;""),""))</f>
        <v/>
      </c>
      <c r="F134">
        <f>IF(F$2=0,"",IFERROR(TRIM(INDEX('Pegar calibracion'!$A$1:$BZ$1001,133,F$2)&amp;""),""))</f>
        <v/>
      </c>
      <c r="G134">
        <f>IF(G$2=0,"",IFERROR(TRIM(INDEX('Pegar calibracion'!$A$1:$BZ$1001,133,G$2)&amp;""),""))</f>
        <v/>
      </c>
      <c r="H134">
        <f>IF(H$2=0,"",IFERROR(TRIM(INDEX('Pegar calibracion'!$A$1:$BZ$1001,133,H$2)&amp;""),""))</f>
        <v/>
      </c>
      <c r="I134">
        <f>IF(I$2=0,"",IFERROR(TRIM(INDEX('Pegar calibracion'!$A$1:$BZ$1001,133,I$2)&amp;""),""))</f>
        <v/>
      </c>
      <c r="J134">
        <f>IF(J$2=0,"",IFERROR(TRIM(INDEX('Pegar calibracion'!$A$1:$BZ$1001,133,J$2)&amp;""),""))</f>
        <v/>
      </c>
      <c r="K134">
        <f>IF(K$2=0,"",IFERROR(TRIM(INDEX('Pegar calibracion'!$A$1:$BZ$1001,133,K$2)&amp;""),""))</f>
        <v/>
      </c>
      <c r="L134">
        <f>IF(L$2=0,"",IFERROR(TRIM(INDEX('Pegar calibracion'!$A$1:$BZ$1001,133,L$2)&amp;""),""))</f>
        <v/>
      </c>
      <c r="M134" s="25">
        <f>IF(D134="","",SUBSTITUTE(SUBSTITUTE(SUBSTITUTE(SUBSTITUTE(SUBSTITUTE(SUBSTITUTE(SUBSTITUTE(SUBSTITUTE(SUBSTITUTE(SUBSTITUTE(SUBSTITUTE(SUBSTITUTE(LOWER(TRIM(D134)),"á","a"),"é","e"),"í","i"),"ó","o"),"ú","u"),"ü","u"),"ñ","n"),"à","a"),"è","e"),"ì","i"),"ò","o"),"ù","u"))</f>
        <v/>
      </c>
      <c r="N134" s="25">
        <f>IF(F134="","",SUBSTITUTE(SUBSTITUTE(SUBSTITUTE(SUBSTITUTE(SUBSTITUTE(SUBSTITUTE(SUBSTITUTE(SUBSTITUTE(SUBSTITUTE(SUBSTITUTE(SUBSTITUTE(SUBSTITUTE(LOWER(TRIM(F134)),"á","a"),"é","e"),"í","i"),"ó","o"),"ú","u"),"ü","u"),"ñ","n"),"à","a"),"è","e"),"ì","i"),"ò","o"),"ù","u"))</f>
        <v/>
      </c>
      <c r="O134" s="25">
        <f>IF(M134="confiable",2,IF(M134="dudosa",1,IF(M134="no confiable",0,"")))</f>
        <v/>
      </c>
      <c r="P134" s="25">
        <f>IF(N134="confiable",2,IF(N134="dudosa",1,IF(N134="no confiable",0,"")))</f>
        <v/>
      </c>
      <c r="Q134" s="25">
        <f>IF(AND(ISNUMBER(O134),ISNUMBER(P134)),1,"")</f>
        <v/>
      </c>
      <c r="R134" s="25">
        <f>IF(Q134=1,IF(O134=P134,"Sí","No"),"")</f>
        <v/>
      </c>
      <c r="S134" s="25">
        <f>IF(Q134=1,IF(P134&lt;O134,"Más estricto",IF(P134&gt;O134,"Más permisivo","Igual")),"")</f>
        <v/>
      </c>
      <c r="T134" s="25">
        <f>IF(Q134=1,IF(ABS(O134-P134)=2,1,0),"")</f>
        <v/>
      </c>
      <c r="U134" s="25">
        <f>IF(H134="","","|"&amp;SUBSTITUTE(SUBSTITUTE(TRIM(H134)," |","|"),"| ","|")&amp;"|")</f>
        <v/>
      </c>
      <c r="V134" s="25">
        <f>IF(AND(Q134=1,B134&lt;&gt;""),IF(IFERROR(COUNTIFS(B$3:B134,"="&amp;SUBSTITUTE(SUBSTITUTE(SUBSTITUTE(B134,"~","~~"),"*","~*"),"?","~?"),Q$3:Q134,1),0)=1,MAX(V$2:V133)+1,""),"")</f>
        <v/>
      </c>
      <c r="W134" s="25">
        <f>IF(V134="","",COUNTIFS($B$3:$B$1002,"="&amp;SUBSTITUTE(SUBSTITUTE(SUBSTITUTE(B134,"~","~~"),"*","~*"),"?","~?"),$Q$3:$Q$1002,1)*10000-V134)</f>
        <v/>
      </c>
      <c r="X134" s="25">
        <f>IF(Q134=1,IF(SUBSTITUTE(SUBSTITUTE(SUBSTITUTE(SUBSTITUTE(SUBSTITUTE(SUBSTITUTE(SUBSTITUTE(SUBSTITUTE(SUBSTITUTE(SUBSTITUTE(SUBSTITUTE(SUBSTITUTE(LOWER(TRIM(A134)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134)),"á","a"),"é","e"),"í","i"),"ó","o"),"ú","u"),"ü","u"),"ñ","n"),"à","a"),"è","e"),"ì","i"),"ò","o"),"ù","u")),"")</f>
        <v/>
      </c>
      <c r="Y134" s="25">
        <f>IF(X134="","",IF(IFERROR(COUNTIF(X$3:X134,"="&amp;SUBSTITUTE(SUBSTITUTE(SUBSTITUTE(X134,"~","~~"),"*","~*"),"?","~?")),0)=1,1,""))</f>
        <v/>
      </c>
      <c r="Z134" s="25">
        <f>IF(T134=1,MAX(Z$2:Z133)+1,"")</f>
        <v/>
      </c>
    </row>
    <row r="135">
      <c r="A135">
        <f>IF(A$2=0,"",IFERROR(TRIM(INDEX('Pegar calibracion'!$A$1:$BZ$1001,134,A$2)&amp;""),""))</f>
        <v/>
      </c>
      <c r="B135">
        <f>IF(B$2=0,"",IFERROR(TRIM(INDEX('Pegar calibracion'!$A$1:$BZ$1001,134,B$2)&amp;""),""))</f>
        <v/>
      </c>
      <c r="C135">
        <f>IF(C$2=0,"",IFERROR(TRIM(INDEX('Pegar calibracion'!$A$1:$BZ$1001,134,C$2)&amp;""),""))</f>
        <v/>
      </c>
      <c r="D135">
        <f>IF(D$2=0,"",IFERROR(TRIM(INDEX('Pegar calibracion'!$A$1:$BZ$1001,134,D$2)&amp;""),""))</f>
        <v/>
      </c>
      <c r="E135">
        <f>IF(E$2=0,"",IFERROR(TRIM(INDEX('Pegar calibracion'!$A$1:$BZ$1001,134,E$2)&amp;""),""))</f>
        <v/>
      </c>
      <c r="F135">
        <f>IF(F$2=0,"",IFERROR(TRIM(INDEX('Pegar calibracion'!$A$1:$BZ$1001,134,F$2)&amp;""),""))</f>
        <v/>
      </c>
      <c r="G135">
        <f>IF(G$2=0,"",IFERROR(TRIM(INDEX('Pegar calibracion'!$A$1:$BZ$1001,134,G$2)&amp;""),""))</f>
        <v/>
      </c>
      <c r="H135">
        <f>IF(H$2=0,"",IFERROR(TRIM(INDEX('Pegar calibracion'!$A$1:$BZ$1001,134,H$2)&amp;""),""))</f>
        <v/>
      </c>
      <c r="I135">
        <f>IF(I$2=0,"",IFERROR(TRIM(INDEX('Pegar calibracion'!$A$1:$BZ$1001,134,I$2)&amp;""),""))</f>
        <v/>
      </c>
      <c r="J135">
        <f>IF(J$2=0,"",IFERROR(TRIM(INDEX('Pegar calibracion'!$A$1:$BZ$1001,134,J$2)&amp;""),""))</f>
        <v/>
      </c>
      <c r="K135">
        <f>IF(K$2=0,"",IFERROR(TRIM(INDEX('Pegar calibracion'!$A$1:$BZ$1001,134,K$2)&amp;""),""))</f>
        <v/>
      </c>
      <c r="L135">
        <f>IF(L$2=0,"",IFERROR(TRIM(INDEX('Pegar calibracion'!$A$1:$BZ$1001,134,L$2)&amp;""),""))</f>
        <v/>
      </c>
      <c r="M135" s="25">
        <f>IF(D135="","",SUBSTITUTE(SUBSTITUTE(SUBSTITUTE(SUBSTITUTE(SUBSTITUTE(SUBSTITUTE(SUBSTITUTE(SUBSTITUTE(SUBSTITUTE(SUBSTITUTE(SUBSTITUTE(SUBSTITUTE(LOWER(TRIM(D135)),"á","a"),"é","e"),"í","i"),"ó","o"),"ú","u"),"ü","u"),"ñ","n"),"à","a"),"è","e"),"ì","i"),"ò","o"),"ù","u"))</f>
        <v/>
      </c>
      <c r="N135" s="25">
        <f>IF(F135="","",SUBSTITUTE(SUBSTITUTE(SUBSTITUTE(SUBSTITUTE(SUBSTITUTE(SUBSTITUTE(SUBSTITUTE(SUBSTITUTE(SUBSTITUTE(SUBSTITUTE(SUBSTITUTE(SUBSTITUTE(LOWER(TRIM(F135)),"á","a"),"é","e"),"í","i"),"ó","o"),"ú","u"),"ü","u"),"ñ","n"),"à","a"),"è","e"),"ì","i"),"ò","o"),"ù","u"))</f>
        <v/>
      </c>
      <c r="O135" s="25">
        <f>IF(M135="confiable",2,IF(M135="dudosa",1,IF(M135="no confiable",0,"")))</f>
        <v/>
      </c>
      <c r="P135" s="25">
        <f>IF(N135="confiable",2,IF(N135="dudosa",1,IF(N135="no confiable",0,"")))</f>
        <v/>
      </c>
      <c r="Q135" s="25">
        <f>IF(AND(ISNUMBER(O135),ISNUMBER(P135)),1,"")</f>
        <v/>
      </c>
      <c r="R135" s="25">
        <f>IF(Q135=1,IF(O135=P135,"Sí","No"),"")</f>
        <v/>
      </c>
      <c r="S135" s="25">
        <f>IF(Q135=1,IF(P135&lt;O135,"Más estricto",IF(P135&gt;O135,"Más permisivo","Igual")),"")</f>
        <v/>
      </c>
      <c r="T135" s="25">
        <f>IF(Q135=1,IF(ABS(O135-P135)=2,1,0),"")</f>
        <v/>
      </c>
      <c r="U135" s="25">
        <f>IF(H135="","","|"&amp;SUBSTITUTE(SUBSTITUTE(TRIM(H135)," |","|"),"| ","|")&amp;"|")</f>
        <v/>
      </c>
      <c r="V135" s="25">
        <f>IF(AND(Q135=1,B135&lt;&gt;""),IF(IFERROR(COUNTIFS(B$3:B135,"="&amp;SUBSTITUTE(SUBSTITUTE(SUBSTITUTE(B135,"~","~~"),"*","~*"),"?","~?"),Q$3:Q135,1),0)=1,MAX(V$2:V134)+1,""),"")</f>
        <v/>
      </c>
      <c r="W135" s="25">
        <f>IF(V135="","",COUNTIFS($B$3:$B$1002,"="&amp;SUBSTITUTE(SUBSTITUTE(SUBSTITUTE(B135,"~","~~"),"*","~*"),"?","~?"),$Q$3:$Q$1002,1)*10000-V135)</f>
        <v/>
      </c>
      <c r="X135" s="25">
        <f>IF(Q135=1,IF(SUBSTITUTE(SUBSTITUTE(SUBSTITUTE(SUBSTITUTE(SUBSTITUTE(SUBSTITUTE(SUBSTITUTE(SUBSTITUTE(SUBSTITUTE(SUBSTITUTE(SUBSTITUTE(SUBSTITUTE(LOWER(TRIM(A135)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135)),"á","a"),"é","e"),"í","i"),"ó","o"),"ú","u"),"ü","u"),"ñ","n"),"à","a"),"è","e"),"ì","i"),"ò","o"),"ù","u")),"")</f>
        <v/>
      </c>
      <c r="Y135" s="25">
        <f>IF(X135="","",IF(IFERROR(COUNTIF(X$3:X135,"="&amp;SUBSTITUTE(SUBSTITUTE(SUBSTITUTE(X135,"~","~~"),"*","~*"),"?","~?")),0)=1,1,""))</f>
        <v/>
      </c>
      <c r="Z135" s="25">
        <f>IF(T135=1,MAX(Z$2:Z134)+1,"")</f>
        <v/>
      </c>
    </row>
    <row r="136">
      <c r="A136">
        <f>IF(A$2=0,"",IFERROR(TRIM(INDEX('Pegar calibracion'!$A$1:$BZ$1001,135,A$2)&amp;""),""))</f>
        <v/>
      </c>
      <c r="B136">
        <f>IF(B$2=0,"",IFERROR(TRIM(INDEX('Pegar calibracion'!$A$1:$BZ$1001,135,B$2)&amp;""),""))</f>
        <v/>
      </c>
      <c r="C136">
        <f>IF(C$2=0,"",IFERROR(TRIM(INDEX('Pegar calibracion'!$A$1:$BZ$1001,135,C$2)&amp;""),""))</f>
        <v/>
      </c>
      <c r="D136">
        <f>IF(D$2=0,"",IFERROR(TRIM(INDEX('Pegar calibracion'!$A$1:$BZ$1001,135,D$2)&amp;""),""))</f>
        <v/>
      </c>
      <c r="E136">
        <f>IF(E$2=0,"",IFERROR(TRIM(INDEX('Pegar calibracion'!$A$1:$BZ$1001,135,E$2)&amp;""),""))</f>
        <v/>
      </c>
      <c r="F136">
        <f>IF(F$2=0,"",IFERROR(TRIM(INDEX('Pegar calibracion'!$A$1:$BZ$1001,135,F$2)&amp;""),""))</f>
        <v/>
      </c>
      <c r="G136">
        <f>IF(G$2=0,"",IFERROR(TRIM(INDEX('Pegar calibracion'!$A$1:$BZ$1001,135,G$2)&amp;""),""))</f>
        <v/>
      </c>
      <c r="H136">
        <f>IF(H$2=0,"",IFERROR(TRIM(INDEX('Pegar calibracion'!$A$1:$BZ$1001,135,H$2)&amp;""),""))</f>
        <v/>
      </c>
      <c r="I136">
        <f>IF(I$2=0,"",IFERROR(TRIM(INDEX('Pegar calibracion'!$A$1:$BZ$1001,135,I$2)&amp;""),""))</f>
        <v/>
      </c>
      <c r="J136">
        <f>IF(J$2=0,"",IFERROR(TRIM(INDEX('Pegar calibracion'!$A$1:$BZ$1001,135,J$2)&amp;""),""))</f>
        <v/>
      </c>
      <c r="K136">
        <f>IF(K$2=0,"",IFERROR(TRIM(INDEX('Pegar calibracion'!$A$1:$BZ$1001,135,K$2)&amp;""),""))</f>
        <v/>
      </c>
      <c r="L136">
        <f>IF(L$2=0,"",IFERROR(TRIM(INDEX('Pegar calibracion'!$A$1:$BZ$1001,135,L$2)&amp;""),""))</f>
        <v/>
      </c>
      <c r="M136" s="25">
        <f>IF(D136="","",SUBSTITUTE(SUBSTITUTE(SUBSTITUTE(SUBSTITUTE(SUBSTITUTE(SUBSTITUTE(SUBSTITUTE(SUBSTITUTE(SUBSTITUTE(SUBSTITUTE(SUBSTITUTE(SUBSTITUTE(LOWER(TRIM(D136)),"á","a"),"é","e"),"í","i"),"ó","o"),"ú","u"),"ü","u"),"ñ","n"),"à","a"),"è","e"),"ì","i"),"ò","o"),"ù","u"))</f>
        <v/>
      </c>
      <c r="N136" s="25">
        <f>IF(F136="","",SUBSTITUTE(SUBSTITUTE(SUBSTITUTE(SUBSTITUTE(SUBSTITUTE(SUBSTITUTE(SUBSTITUTE(SUBSTITUTE(SUBSTITUTE(SUBSTITUTE(SUBSTITUTE(SUBSTITUTE(LOWER(TRIM(F136)),"á","a"),"é","e"),"í","i"),"ó","o"),"ú","u"),"ü","u"),"ñ","n"),"à","a"),"è","e"),"ì","i"),"ò","o"),"ù","u"))</f>
        <v/>
      </c>
      <c r="O136" s="25">
        <f>IF(M136="confiable",2,IF(M136="dudosa",1,IF(M136="no confiable",0,"")))</f>
        <v/>
      </c>
      <c r="P136" s="25">
        <f>IF(N136="confiable",2,IF(N136="dudosa",1,IF(N136="no confiable",0,"")))</f>
        <v/>
      </c>
      <c r="Q136" s="25">
        <f>IF(AND(ISNUMBER(O136),ISNUMBER(P136)),1,"")</f>
        <v/>
      </c>
      <c r="R136" s="25">
        <f>IF(Q136=1,IF(O136=P136,"Sí","No"),"")</f>
        <v/>
      </c>
      <c r="S136" s="25">
        <f>IF(Q136=1,IF(P136&lt;O136,"Más estricto",IF(P136&gt;O136,"Más permisivo","Igual")),"")</f>
        <v/>
      </c>
      <c r="T136" s="25">
        <f>IF(Q136=1,IF(ABS(O136-P136)=2,1,0),"")</f>
        <v/>
      </c>
      <c r="U136" s="25">
        <f>IF(H136="","","|"&amp;SUBSTITUTE(SUBSTITUTE(TRIM(H136)," |","|"),"| ","|")&amp;"|")</f>
        <v/>
      </c>
      <c r="V136" s="25">
        <f>IF(AND(Q136=1,B136&lt;&gt;""),IF(IFERROR(COUNTIFS(B$3:B136,"="&amp;SUBSTITUTE(SUBSTITUTE(SUBSTITUTE(B136,"~","~~"),"*","~*"),"?","~?"),Q$3:Q136,1),0)=1,MAX(V$2:V135)+1,""),"")</f>
        <v/>
      </c>
      <c r="W136" s="25">
        <f>IF(V136="","",COUNTIFS($B$3:$B$1002,"="&amp;SUBSTITUTE(SUBSTITUTE(SUBSTITUTE(B136,"~","~~"),"*","~*"),"?","~?"),$Q$3:$Q$1002,1)*10000-V136)</f>
        <v/>
      </c>
      <c r="X136" s="25">
        <f>IF(Q136=1,IF(SUBSTITUTE(SUBSTITUTE(SUBSTITUTE(SUBSTITUTE(SUBSTITUTE(SUBSTITUTE(SUBSTITUTE(SUBSTITUTE(SUBSTITUTE(SUBSTITUTE(SUBSTITUTE(SUBSTITUTE(LOWER(TRIM(A136)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136)),"á","a"),"é","e"),"í","i"),"ó","o"),"ú","u"),"ü","u"),"ñ","n"),"à","a"),"è","e"),"ì","i"),"ò","o"),"ù","u")),"")</f>
        <v/>
      </c>
      <c r="Y136" s="25">
        <f>IF(X136="","",IF(IFERROR(COUNTIF(X$3:X136,"="&amp;SUBSTITUTE(SUBSTITUTE(SUBSTITUTE(X136,"~","~~"),"*","~*"),"?","~?")),0)=1,1,""))</f>
        <v/>
      </c>
      <c r="Z136" s="25">
        <f>IF(T136=1,MAX(Z$2:Z135)+1,"")</f>
        <v/>
      </c>
    </row>
    <row r="137">
      <c r="A137">
        <f>IF(A$2=0,"",IFERROR(TRIM(INDEX('Pegar calibracion'!$A$1:$BZ$1001,136,A$2)&amp;""),""))</f>
        <v/>
      </c>
      <c r="B137">
        <f>IF(B$2=0,"",IFERROR(TRIM(INDEX('Pegar calibracion'!$A$1:$BZ$1001,136,B$2)&amp;""),""))</f>
        <v/>
      </c>
      <c r="C137">
        <f>IF(C$2=0,"",IFERROR(TRIM(INDEX('Pegar calibracion'!$A$1:$BZ$1001,136,C$2)&amp;""),""))</f>
        <v/>
      </c>
      <c r="D137">
        <f>IF(D$2=0,"",IFERROR(TRIM(INDEX('Pegar calibracion'!$A$1:$BZ$1001,136,D$2)&amp;""),""))</f>
        <v/>
      </c>
      <c r="E137">
        <f>IF(E$2=0,"",IFERROR(TRIM(INDEX('Pegar calibracion'!$A$1:$BZ$1001,136,E$2)&amp;""),""))</f>
        <v/>
      </c>
      <c r="F137">
        <f>IF(F$2=0,"",IFERROR(TRIM(INDEX('Pegar calibracion'!$A$1:$BZ$1001,136,F$2)&amp;""),""))</f>
        <v/>
      </c>
      <c r="G137">
        <f>IF(G$2=0,"",IFERROR(TRIM(INDEX('Pegar calibracion'!$A$1:$BZ$1001,136,G$2)&amp;""),""))</f>
        <v/>
      </c>
      <c r="H137">
        <f>IF(H$2=0,"",IFERROR(TRIM(INDEX('Pegar calibracion'!$A$1:$BZ$1001,136,H$2)&amp;""),""))</f>
        <v/>
      </c>
      <c r="I137">
        <f>IF(I$2=0,"",IFERROR(TRIM(INDEX('Pegar calibracion'!$A$1:$BZ$1001,136,I$2)&amp;""),""))</f>
        <v/>
      </c>
      <c r="J137">
        <f>IF(J$2=0,"",IFERROR(TRIM(INDEX('Pegar calibracion'!$A$1:$BZ$1001,136,J$2)&amp;""),""))</f>
        <v/>
      </c>
      <c r="K137">
        <f>IF(K$2=0,"",IFERROR(TRIM(INDEX('Pegar calibracion'!$A$1:$BZ$1001,136,K$2)&amp;""),""))</f>
        <v/>
      </c>
      <c r="L137">
        <f>IF(L$2=0,"",IFERROR(TRIM(INDEX('Pegar calibracion'!$A$1:$BZ$1001,136,L$2)&amp;""),""))</f>
        <v/>
      </c>
      <c r="M137" s="25">
        <f>IF(D137="","",SUBSTITUTE(SUBSTITUTE(SUBSTITUTE(SUBSTITUTE(SUBSTITUTE(SUBSTITUTE(SUBSTITUTE(SUBSTITUTE(SUBSTITUTE(SUBSTITUTE(SUBSTITUTE(SUBSTITUTE(LOWER(TRIM(D137)),"á","a"),"é","e"),"í","i"),"ó","o"),"ú","u"),"ü","u"),"ñ","n"),"à","a"),"è","e"),"ì","i"),"ò","o"),"ù","u"))</f>
        <v/>
      </c>
      <c r="N137" s="25">
        <f>IF(F137="","",SUBSTITUTE(SUBSTITUTE(SUBSTITUTE(SUBSTITUTE(SUBSTITUTE(SUBSTITUTE(SUBSTITUTE(SUBSTITUTE(SUBSTITUTE(SUBSTITUTE(SUBSTITUTE(SUBSTITUTE(LOWER(TRIM(F137)),"á","a"),"é","e"),"í","i"),"ó","o"),"ú","u"),"ü","u"),"ñ","n"),"à","a"),"è","e"),"ì","i"),"ò","o"),"ù","u"))</f>
        <v/>
      </c>
      <c r="O137" s="25">
        <f>IF(M137="confiable",2,IF(M137="dudosa",1,IF(M137="no confiable",0,"")))</f>
        <v/>
      </c>
      <c r="P137" s="25">
        <f>IF(N137="confiable",2,IF(N137="dudosa",1,IF(N137="no confiable",0,"")))</f>
        <v/>
      </c>
      <c r="Q137" s="25">
        <f>IF(AND(ISNUMBER(O137),ISNUMBER(P137)),1,"")</f>
        <v/>
      </c>
      <c r="R137" s="25">
        <f>IF(Q137=1,IF(O137=P137,"Sí","No"),"")</f>
        <v/>
      </c>
      <c r="S137" s="25">
        <f>IF(Q137=1,IF(P137&lt;O137,"Más estricto",IF(P137&gt;O137,"Más permisivo","Igual")),"")</f>
        <v/>
      </c>
      <c r="T137" s="25">
        <f>IF(Q137=1,IF(ABS(O137-P137)=2,1,0),"")</f>
        <v/>
      </c>
      <c r="U137" s="25">
        <f>IF(H137="","","|"&amp;SUBSTITUTE(SUBSTITUTE(TRIM(H137)," |","|"),"| ","|")&amp;"|")</f>
        <v/>
      </c>
      <c r="V137" s="25">
        <f>IF(AND(Q137=1,B137&lt;&gt;""),IF(IFERROR(COUNTIFS(B$3:B137,"="&amp;SUBSTITUTE(SUBSTITUTE(SUBSTITUTE(B137,"~","~~"),"*","~*"),"?","~?"),Q$3:Q137,1),0)=1,MAX(V$2:V136)+1,""),"")</f>
        <v/>
      </c>
      <c r="W137" s="25">
        <f>IF(V137="","",COUNTIFS($B$3:$B$1002,"="&amp;SUBSTITUTE(SUBSTITUTE(SUBSTITUTE(B137,"~","~~"),"*","~*"),"?","~?"),$Q$3:$Q$1002,1)*10000-V137)</f>
        <v/>
      </c>
      <c r="X137" s="25">
        <f>IF(Q137=1,IF(SUBSTITUTE(SUBSTITUTE(SUBSTITUTE(SUBSTITUTE(SUBSTITUTE(SUBSTITUTE(SUBSTITUTE(SUBSTITUTE(SUBSTITUTE(SUBSTITUTE(SUBSTITUTE(SUBSTITUTE(LOWER(TRIM(A137)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137)),"á","a"),"é","e"),"í","i"),"ó","o"),"ú","u"),"ü","u"),"ñ","n"),"à","a"),"è","e"),"ì","i"),"ò","o"),"ù","u")),"")</f>
        <v/>
      </c>
      <c r="Y137" s="25">
        <f>IF(X137="","",IF(IFERROR(COUNTIF(X$3:X137,"="&amp;SUBSTITUTE(SUBSTITUTE(SUBSTITUTE(X137,"~","~~"),"*","~*"),"?","~?")),0)=1,1,""))</f>
        <v/>
      </c>
      <c r="Z137" s="25">
        <f>IF(T137=1,MAX(Z$2:Z136)+1,"")</f>
        <v/>
      </c>
    </row>
    <row r="138">
      <c r="A138">
        <f>IF(A$2=0,"",IFERROR(TRIM(INDEX('Pegar calibracion'!$A$1:$BZ$1001,137,A$2)&amp;""),""))</f>
        <v/>
      </c>
      <c r="B138">
        <f>IF(B$2=0,"",IFERROR(TRIM(INDEX('Pegar calibracion'!$A$1:$BZ$1001,137,B$2)&amp;""),""))</f>
        <v/>
      </c>
      <c r="C138">
        <f>IF(C$2=0,"",IFERROR(TRIM(INDEX('Pegar calibracion'!$A$1:$BZ$1001,137,C$2)&amp;""),""))</f>
        <v/>
      </c>
      <c r="D138">
        <f>IF(D$2=0,"",IFERROR(TRIM(INDEX('Pegar calibracion'!$A$1:$BZ$1001,137,D$2)&amp;""),""))</f>
        <v/>
      </c>
      <c r="E138">
        <f>IF(E$2=0,"",IFERROR(TRIM(INDEX('Pegar calibracion'!$A$1:$BZ$1001,137,E$2)&amp;""),""))</f>
        <v/>
      </c>
      <c r="F138">
        <f>IF(F$2=0,"",IFERROR(TRIM(INDEX('Pegar calibracion'!$A$1:$BZ$1001,137,F$2)&amp;""),""))</f>
        <v/>
      </c>
      <c r="G138">
        <f>IF(G$2=0,"",IFERROR(TRIM(INDEX('Pegar calibracion'!$A$1:$BZ$1001,137,G$2)&amp;""),""))</f>
        <v/>
      </c>
      <c r="H138">
        <f>IF(H$2=0,"",IFERROR(TRIM(INDEX('Pegar calibracion'!$A$1:$BZ$1001,137,H$2)&amp;""),""))</f>
        <v/>
      </c>
      <c r="I138">
        <f>IF(I$2=0,"",IFERROR(TRIM(INDEX('Pegar calibracion'!$A$1:$BZ$1001,137,I$2)&amp;""),""))</f>
        <v/>
      </c>
      <c r="J138">
        <f>IF(J$2=0,"",IFERROR(TRIM(INDEX('Pegar calibracion'!$A$1:$BZ$1001,137,J$2)&amp;""),""))</f>
        <v/>
      </c>
      <c r="K138">
        <f>IF(K$2=0,"",IFERROR(TRIM(INDEX('Pegar calibracion'!$A$1:$BZ$1001,137,K$2)&amp;""),""))</f>
        <v/>
      </c>
      <c r="L138">
        <f>IF(L$2=0,"",IFERROR(TRIM(INDEX('Pegar calibracion'!$A$1:$BZ$1001,137,L$2)&amp;""),""))</f>
        <v/>
      </c>
      <c r="M138" s="25">
        <f>IF(D138="","",SUBSTITUTE(SUBSTITUTE(SUBSTITUTE(SUBSTITUTE(SUBSTITUTE(SUBSTITUTE(SUBSTITUTE(SUBSTITUTE(SUBSTITUTE(SUBSTITUTE(SUBSTITUTE(SUBSTITUTE(LOWER(TRIM(D138)),"á","a"),"é","e"),"í","i"),"ó","o"),"ú","u"),"ü","u"),"ñ","n"),"à","a"),"è","e"),"ì","i"),"ò","o"),"ù","u"))</f>
        <v/>
      </c>
      <c r="N138" s="25">
        <f>IF(F138="","",SUBSTITUTE(SUBSTITUTE(SUBSTITUTE(SUBSTITUTE(SUBSTITUTE(SUBSTITUTE(SUBSTITUTE(SUBSTITUTE(SUBSTITUTE(SUBSTITUTE(SUBSTITUTE(SUBSTITUTE(LOWER(TRIM(F138)),"á","a"),"é","e"),"í","i"),"ó","o"),"ú","u"),"ü","u"),"ñ","n"),"à","a"),"è","e"),"ì","i"),"ò","o"),"ù","u"))</f>
        <v/>
      </c>
      <c r="O138" s="25">
        <f>IF(M138="confiable",2,IF(M138="dudosa",1,IF(M138="no confiable",0,"")))</f>
        <v/>
      </c>
      <c r="P138" s="25">
        <f>IF(N138="confiable",2,IF(N138="dudosa",1,IF(N138="no confiable",0,"")))</f>
        <v/>
      </c>
      <c r="Q138" s="25">
        <f>IF(AND(ISNUMBER(O138),ISNUMBER(P138)),1,"")</f>
        <v/>
      </c>
      <c r="R138" s="25">
        <f>IF(Q138=1,IF(O138=P138,"Sí","No"),"")</f>
        <v/>
      </c>
      <c r="S138" s="25">
        <f>IF(Q138=1,IF(P138&lt;O138,"Más estricto",IF(P138&gt;O138,"Más permisivo","Igual")),"")</f>
        <v/>
      </c>
      <c r="T138" s="25">
        <f>IF(Q138=1,IF(ABS(O138-P138)=2,1,0),"")</f>
        <v/>
      </c>
      <c r="U138" s="25">
        <f>IF(H138="","","|"&amp;SUBSTITUTE(SUBSTITUTE(TRIM(H138)," |","|"),"| ","|")&amp;"|")</f>
        <v/>
      </c>
      <c r="V138" s="25">
        <f>IF(AND(Q138=1,B138&lt;&gt;""),IF(IFERROR(COUNTIFS(B$3:B138,"="&amp;SUBSTITUTE(SUBSTITUTE(SUBSTITUTE(B138,"~","~~"),"*","~*"),"?","~?"),Q$3:Q138,1),0)=1,MAX(V$2:V137)+1,""),"")</f>
        <v/>
      </c>
      <c r="W138" s="25">
        <f>IF(V138="","",COUNTIFS($B$3:$B$1002,"="&amp;SUBSTITUTE(SUBSTITUTE(SUBSTITUTE(B138,"~","~~"),"*","~*"),"?","~?"),$Q$3:$Q$1002,1)*10000-V138)</f>
        <v/>
      </c>
      <c r="X138" s="25">
        <f>IF(Q138=1,IF(SUBSTITUTE(SUBSTITUTE(SUBSTITUTE(SUBSTITUTE(SUBSTITUTE(SUBSTITUTE(SUBSTITUTE(SUBSTITUTE(SUBSTITUTE(SUBSTITUTE(SUBSTITUTE(SUBSTITUTE(LOWER(TRIM(A138)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138)),"á","a"),"é","e"),"í","i"),"ó","o"),"ú","u"),"ü","u"),"ñ","n"),"à","a"),"è","e"),"ì","i"),"ò","o"),"ù","u")),"")</f>
        <v/>
      </c>
      <c r="Y138" s="25">
        <f>IF(X138="","",IF(IFERROR(COUNTIF(X$3:X138,"="&amp;SUBSTITUTE(SUBSTITUTE(SUBSTITUTE(X138,"~","~~"),"*","~*"),"?","~?")),0)=1,1,""))</f>
        <v/>
      </c>
      <c r="Z138" s="25">
        <f>IF(T138=1,MAX(Z$2:Z137)+1,"")</f>
        <v/>
      </c>
    </row>
    <row r="139">
      <c r="A139">
        <f>IF(A$2=0,"",IFERROR(TRIM(INDEX('Pegar calibracion'!$A$1:$BZ$1001,138,A$2)&amp;""),""))</f>
        <v/>
      </c>
      <c r="B139">
        <f>IF(B$2=0,"",IFERROR(TRIM(INDEX('Pegar calibracion'!$A$1:$BZ$1001,138,B$2)&amp;""),""))</f>
        <v/>
      </c>
      <c r="C139">
        <f>IF(C$2=0,"",IFERROR(TRIM(INDEX('Pegar calibracion'!$A$1:$BZ$1001,138,C$2)&amp;""),""))</f>
        <v/>
      </c>
      <c r="D139">
        <f>IF(D$2=0,"",IFERROR(TRIM(INDEX('Pegar calibracion'!$A$1:$BZ$1001,138,D$2)&amp;""),""))</f>
        <v/>
      </c>
      <c r="E139">
        <f>IF(E$2=0,"",IFERROR(TRIM(INDEX('Pegar calibracion'!$A$1:$BZ$1001,138,E$2)&amp;""),""))</f>
        <v/>
      </c>
      <c r="F139">
        <f>IF(F$2=0,"",IFERROR(TRIM(INDEX('Pegar calibracion'!$A$1:$BZ$1001,138,F$2)&amp;""),""))</f>
        <v/>
      </c>
      <c r="G139">
        <f>IF(G$2=0,"",IFERROR(TRIM(INDEX('Pegar calibracion'!$A$1:$BZ$1001,138,G$2)&amp;""),""))</f>
        <v/>
      </c>
      <c r="H139">
        <f>IF(H$2=0,"",IFERROR(TRIM(INDEX('Pegar calibracion'!$A$1:$BZ$1001,138,H$2)&amp;""),""))</f>
        <v/>
      </c>
      <c r="I139">
        <f>IF(I$2=0,"",IFERROR(TRIM(INDEX('Pegar calibracion'!$A$1:$BZ$1001,138,I$2)&amp;""),""))</f>
        <v/>
      </c>
      <c r="J139">
        <f>IF(J$2=0,"",IFERROR(TRIM(INDEX('Pegar calibracion'!$A$1:$BZ$1001,138,J$2)&amp;""),""))</f>
        <v/>
      </c>
      <c r="K139">
        <f>IF(K$2=0,"",IFERROR(TRIM(INDEX('Pegar calibracion'!$A$1:$BZ$1001,138,K$2)&amp;""),""))</f>
        <v/>
      </c>
      <c r="L139">
        <f>IF(L$2=0,"",IFERROR(TRIM(INDEX('Pegar calibracion'!$A$1:$BZ$1001,138,L$2)&amp;""),""))</f>
        <v/>
      </c>
      <c r="M139" s="25">
        <f>IF(D139="","",SUBSTITUTE(SUBSTITUTE(SUBSTITUTE(SUBSTITUTE(SUBSTITUTE(SUBSTITUTE(SUBSTITUTE(SUBSTITUTE(SUBSTITUTE(SUBSTITUTE(SUBSTITUTE(SUBSTITUTE(LOWER(TRIM(D139)),"á","a"),"é","e"),"í","i"),"ó","o"),"ú","u"),"ü","u"),"ñ","n"),"à","a"),"è","e"),"ì","i"),"ò","o"),"ù","u"))</f>
        <v/>
      </c>
      <c r="N139" s="25">
        <f>IF(F139="","",SUBSTITUTE(SUBSTITUTE(SUBSTITUTE(SUBSTITUTE(SUBSTITUTE(SUBSTITUTE(SUBSTITUTE(SUBSTITUTE(SUBSTITUTE(SUBSTITUTE(SUBSTITUTE(SUBSTITUTE(LOWER(TRIM(F139)),"á","a"),"é","e"),"í","i"),"ó","o"),"ú","u"),"ü","u"),"ñ","n"),"à","a"),"è","e"),"ì","i"),"ò","o"),"ù","u"))</f>
        <v/>
      </c>
      <c r="O139" s="25">
        <f>IF(M139="confiable",2,IF(M139="dudosa",1,IF(M139="no confiable",0,"")))</f>
        <v/>
      </c>
      <c r="P139" s="25">
        <f>IF(N139="confiable",2,IF(N139="dudosa",1,IF(N139="no confiable",0,"")))</f>
        <v/>
      </c>
      <c r="Q139" s="25">
        <f>IF(AND(ISNUMBER(O139),ISNUMBER(P139)),1,"")</f>
        <v/>
      </c>
      <c r="R139" s="25">
        <f>IF(Q139=1,IF(O139=P139,"Sí","No"),"")</f>
        <v/>
      </c>
      <c r="S139" s="25">
        <f>IF(Q139=1,IF(P139&lt;O139,"Más estricto",IF(P139&gt;O139,"Más permisivo","Igual")),"")</f>
        <v/>
      </c>
      <c r="T139" s="25">
        <f>IF(Q139=1,IF(ABS(O139-P139)=2,1,0),"")</f>
        <v/>
      </c>
      <c r="U139" s="25">
        <f>IF(H139="","","|"&amp;SUBSTITUTE(SUBSTITUTE(TRIM(H139)," |","|"),"| ","|")&amp;"|")</f>
        <v/>
      </c>
      <c r="V139" s="25">
        <f>IF(AND(Q139=1,B139&lt;&gt;""),IF(IFERROR(COUNTIFS(B$3:B139,"="&amp;SUBSTITUTE(SUBSTITUTE(SUBSTITUTE(B139,"~","~~"),"*","~*"),"?","~?"),Q$3:Q139,1),0)=1,MAX(V$2:V138)+1,""),"")</f>
        <v/>
      </c>
      <c r="W139" s="25">
        <f>IF(V139="","",COUNTIFS($B$3:$B$1002,"="&amp;SUBSTITUTE(SUBSTITUTE(SUBSTITUTE(B139,"~","~~"),"*","~*"),"?","~?"),$Q$3:$Q$1002,1)*10000-V139)</f>
        <v/>
      </c>
      <c r="X139" s="25">
        <f>IF(Q139=1,IF(SUBSTITUTE(SUBSTITUTE(SUBSTITUTE(SUBSTITUTE(SUBSTITUTE(SUBSTITUTE(SUBSTITUTE(SUBSTITUTE(SUBSTITUTE(SUBSTITUTE(SUBSTITUTE(SUBSTITUTE(LOWER(TRIM(A139)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139)),"á","a"),"é","e"),"í","i"),"ó","o"),"ú","u"),"ü","u"),"ñ","n"),"à","a"),"è","e"),"ì","i"),"ò","o"),"ù","u")),"")</f>
        <v/>
      </c>
      <c r="Y139" s="25">
        <f>IF(X139="","",IF(IFERROR(COUNTIF(X$3:X139,"="&amp;SUBSTITUTE(SUBSTITUTE(SUBSTITUTE(X139,"~","~~"),"*","~*"),"?","~?")),0)=1,1,""))</f>
        <v/>
      </c>
      <c r="Z139" s="25">
        <f>IF(T139=1,MAX(Z$2:Z138)+1,"")</f>
        <v/>
      </c>
    </row>
    <row r="140">
      <c r="A140">
        <f>IF(A$2=0,"",IFERROR(TRIM(INDEX('Pegar calibracion'!$A$1:$BZ$1001,139,A$2)&amp;""),""))</f>
        <v/>
      </c>
      <c r="B140">
        <f>IF(B$2=0,"",IFERROR(TRIM(INDEX('Pegar calibracion'!$A$1:$BZ$1001,139,B$2)&amp;""),""))</f>
        <v/>
      </c>
      <c r="C140">
        <f>IF(C$2=0,"",IFERROR(TRIM(INDEX('Pegar calibracion'!$A$1:$BZ$1001,139,C$2)&amp;""),""))</f>
        <v/>
      </c>
      <c r="D140">
        <f>IF(D$2=0,"",IFERROR(TRIM(INDEX('Pegar calibracion'!$A$1:$BZ$1001,139,D$2)&amp;""),""))</f>
        <v/>
      </c>
      <c r="E140">
        <f>IF(E$2=0,"",IFERROR(TRIM(INDEX('Pegar calibracion'!$A$1:$BZ$1001,139,E$2)&amp;""),""))</f>
        <v/>
      </c>
      <c r="F140">
        <f>IF(F$2=0,"",IFERROR(TRIM(INDEX('Pegar calibracion'!$A$1:$BZ$1001,139,F$2)&amp;""),""))</f>
        <v/>
      </c>
      <c r="G140">
        <f>IF(G$2=0,"",IFERROR(TRIM(INDEX('Pegar calibracion'!$A$1:$BZ$1001,139,G$2)&amp;""),""))</f>
        <v/>
      </c>
      <c r="H140">
        <f>IF(H$2=0,"",IFERROR(TRIM(INDEX('Pegar calibracion'!$A$1:$BZ$1001,139,H$2)&amp;""),""))</f>
        <v/>
      </c>
      <c r="I140">
        <f>IF(I$2=0,"",IFERROR(TRIM(INDEX('Pegar calibracion'!$A$1:$BZ$1001,139,I$2)&amp;""),""))</f>
        <v/>
      </c>
      <c r="J140">
        <f>IF(J$2=0,"",IFERROR(TRIM(INDEX('Pegar calibracion'!$A$1:$BZ$1001,139,J$2)&amp;""),""))</f>
        <v/>
      </c>
      <c r="K140">
        <f>IF(K$2=0,"",IFERROR(TRIM(INDEX('Pegar calibracion'!$A$1:$BZ$1001,139,K$2)&amp;""),""))</f>
        <v/>
      </c>
      <c r="L140">
        <f>IF(L$2=0,"",IFERROR(TRIM(INDEX('Pegar calibracion'!$A$1:$BZ$1001,139,L$2)&amp;""),""))</f>
        <v/>
      </c>
      <c r="M140" s="25">
        <f>IF(D140="","",SUBSTITUTE(SUBSTITUTE(SUBSTITUTE(SUBSTITUTE(SUBSTITUTE(SUBSTITUTE(SUBSTITUTE(SUBSTITUTE(SUBSTITUTE(SUBSTITUTE(SUBSTITUTE(SUBSTITUTE(LOWER(TRIM(D140)),"á","a"),"é","e"),"í","i"),"ó","o"),"ú","u"),"ü","u"),"ñ","n"),"à","a"),"è","e"),"ì","i"),"ò","o"),"ù","u"))</f>
        <v/>
      </c>
      <c r="N140" s="25">
        <f>IF(F140="","",SUBSTITUTE(SUBSTITUTE(SUBSTITUTE(SUBSTITUTE(SUBSTITUTE(SUBSTITUTE(SUBSTITUTE(SUBSTITUTE(SUBSTITUTE(SUBSTITUTE(SUBSTITUTE(SUBSTITUTE(LOWER(TRIM(F140)),"á","a"),"é","e"),"í","i"),"ó","o"),"ú","u"),"ü","u"),"ñ","n"),"à","a"),"è","e"),"ì","i"),"ò","o"),"ù","u"))</f>
        <v/>
      </c>
      <c r="O140" s="25">
        <f>IF(M140="confiable",2,IF(M140="dudosa",1,IF(M140="no confiable",0,"")))</f>
        <v/>
      </c>
      <c r="P140" s="25">
        <f>IF(N140="confiable",2,IF(N140="dudosa",1,IF(N140="no confiable",0,"")))</f>
        <v/>
      </c>
      <c r="Q140" s="25">
        <f>IF(AND(ISNUMBER(O140),ISNUMBER(P140)),1,"")</f>
        <v/>
      </c>
      <c r="R140" s="25">
        <f>IF(Q140=1,IF(O140=P140,"Sí","No"),"")</f>
        <v/>
      </c>
      <c r="S140" s="25">
        <f>IF(Q140=1,IF(P140&lt;O140,"Más estricto",IF(P140&gt;O140,"Más permisivo","Igual")),"")</f>
        <v/>
      </c>
      <c r="T140" s="25">
        <f>IF(Q140=1,IF(ABS(O140-P140)=2,1,0),"")</f>
        <v/>
      </c>
      <c r="U140" s="25">
        <f>IF(H140="","","|"&amp;SUBSTITUTE(SUBSTITUTE(TRIM(H140)," |","|"),"| ","|")&amp;"|")</f>
        <v/>
      </c>
      <c r="V140" s="25">
        <f>IF(AND(Q140=1,B140&lt;&gt;""),IF(IFERROR(COUNTIFS(B$3:B140,"="&amp;SUBSTITUTE(SUBSTITUTE(SUBSTITUTE(B140,"~","~~"),"*","~*"),"?","~?"),Q$3:Q140,1),0)=1,MAX(V$2:V139)+1,""),"")</f>
        <v/>
      </c>
      <c r="W140" s="25">
        <f>IF(V140="","",COUNTIFS($B$3:$B$1002,"="&amp;SUBSTITUTE(SUBSTITUTE(SUBSTITUTE(B140,"~","~~"),"*","~*"),"?","~?"),$Q$3:$Q$1002,1)*10000-V140)</f>
        <v/>
      </c>
      <c r="X140" s="25">
        <f>IF(Q140=1,IF(SUBSTITUTE(SUBSTITUTE(SUBSTITUTE(SUBSTITUTE(SUBSTITUTE(SUBSTITUTE(SUBSTITUTE(SUBSTITUTE(SUBSTITUTE(SUBSTITUTE(SUBSTITUTE(SUBSTITUTE(LOWER(TRIM(A140)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140)),"á","a"),"é","e"),"í","i"),"ó","o"),"ú","u"),"ü","u"),"ñ","n"),"à","a"),"è","e"),"ì","i"),"ò","o"),"ù","u")),"")</f>
        <v/>
      </c>
      <c r="Y140" s="25">
        <f>IF(X140="","",IF(IFERROR(COUNTIF(X$3:X140,"="&amp;SUBSTITUTE(SUBSTITUTE(SUBSTITUTE(X140,"~","~~"),"*","~*"),"?","~?")),0)=1,1,""))</f>
        <v/>
      </c>
      <c r="Z140" s="25">
        <f>IF(T140=1,MAX(Z$2:Z139)+1,"")</f>
        <v/>
      </c>
    </row>
    <row r="141">
      <c r="A141">
        <f>IF(A$2=0,"",IFERROR(TRIM(INDEX('Pegar calibracion'!$A$1:$BZ$1001,140,A$2)&amp;""),""))</f>
        <v/>
      </c>
      <c r="B141">
        <f>IF(B$2=0,"",IFERROR(TRIM(INDEX('Pegar calibracion'!$A$1:$BZ$1001,140,B$2)&amp;""),""))</f>
        <v/>
      </c>
      <c r="C141">
        <f>IF(C$2=0,"",IFERROR(TRIM(INDEX('Pegar calibracion'!$A$1:$BZ$1001,140,C$2)&amp;""),""))</f>
        <v/>
      </c>
      <c r="D141">
        <f>IF(D$2=0,"",IFERROR(TRIM(INDEX('Pegar calibracion'!$A$1:$BZ$1001,140,D$2)&amp;""),""))</f>
        <v/>
      </c>
      <c r="E141">
        <f>IF(E$2=0,"",IFERROR(TRIM(INDEX('Pegar calibracion'!$A$1:$BZ$1001,140,E$2)&amp;""),""))</f>
        <v/>
      </c>
      <c r="F141">
        <f>IF(F$2=0,"",IFERROR(TRIM(INDEX('Pegar calibracion'!$A$1:$BZ$1001,140,F$2)&amp;""),""))</f>
        <v/>
      </c>
      <c r="G141">
        <f>IF(G$2=0,"",IFERROR(TRIM(INDEX('Pegar calibracion'!$A$1:$BZ$1001,140,G$2)&amp;""),""))</f>
        <v/>
      </c>
      <c r="H141">
        <f>IF(H$2=0,"",IFERROR(TRIM(INDEX('Pegar calibracion'!$A$1:$BZ$1001,140,H$2)&amp;""),""))</f>
        <v/>
      </c>
      <c r="I141">
        <f>IF(I$2=0,"",IFERROR(TRIM(INDEX('Pegar calibracion'!$A$1:$BZ$1001,140,I$2)&amp;""),""))</f>
        <v/>
      </c>
      <c r="J141">
        <f>IF(J$2=0,"",IFERROR(TRIM(INDEX('Pegar calibracion'!$A$1:$BZ$1001,140,J$2)&amp;""),""))</f>
        <v/>
      </c>
      <c r="K141">
        <f>IF(K$2=0,"",IFERROR(TRIM(INDEX('Pegar calibracion'!$A$1:$BZ$1001,140,K$2)&amp;""),""))</f>
        <v/>
      </c>
      <c r="L141">
        <f>IF(L$2=0,"",IFERROR(TRIM(INDEX('Pegar calibracion'!$A$1:$BZ$1001,140,L$2)&amp;""),""))</f>
        <v/>
      </c>
      <c r="M141" s="25">
        <f>IF(D141="","",SUBSTITUTE(SUBSTITUTE(SUBSTITUTE(SUBSTITUTE(SUBSTITUTE(SUBSTITUTE(SUBSTITUTE(SUBSTITUTE(SUBSTITUTE(SUBSTITUTE(SUBSTITUTE(SUBSTITUTE(LOWER(TRIM(D141)),"á","a"),"é","e"),"í","i"),"ó","o"),"ú","u"),"ü","u"),"ñ","n"),"à","a"),"è","e"),"ì","i"),"ò","o"),"ù","u"))</f>
        <v/>
      </c>
      <c r="N141" s="25">
        <f>IF(F141="","",SUBSTITUTE(SUBSTITUTE(SUBSTITUTE(SUBSTITUTE(SUBSTITUTE(SUBSTITUTE(SUBSTITUTE(SUBSTITUTE(SUBSTITUTE(SUBSTITUTE(SUBSTITUTE(SUBSTITUTE(LOWER(TRIM(F141)),"á","a"),"é","e"),"í","i"),"ó","o"),"ú","u"),"ü","u"),"ñ","n"),"à","a"),"è","e"),"ì","i"),"ò","o"),"ù","u"))</f>
        <v/>
      </c>
      <c r="O141" s="25">
        <f>IF(M141="confiable",2,IF(M141="dudosa",1,IF(M141="no confiable",0,"")))</f>
        <v/>
      </c>
      <c r="P141" s="25">
        <f>IF(N141="confiable",2,IF(N141="dudosa",1,IF(N141="no confiable",0,"")))</f>
        <v/>
      </c>
      <c r="Q141" s="25">
        <f>IF(AND(ISNUMBER(O141),ISNUMBER(P141)),1,"")</f>
        <v/>
      </c>
      <c r="R141" s="25">
        <f>IF(Q141=1,IF(O141=P141,"Sí","No"),"")</f>
        <v/>
      </c>
      <c r="S141" s="25">
        <f>IF(Q141=1,IF(P141&lt;O141,"Más estricto",IF(P141&gt;O141,"Más permisivo","Igual")),"")</f>
        <v/>
      </c>
      <c r="T141" s="25">
        <f>IF(Q141=1,IF(ABS(O141-P141)=2,1,0),"")</f>
        <v/>
      </c>
      <c r="U141" s="25">
        <f>IF(H141="","","|"&amp;SUBSTITUTE(SUBSTITUTE(TRIM(H141)," |","|"),"| ","|")&amp;"|")</f>
        <v/>
      </c>
      <c r="V141" s="25">
        <f>IF(AND(Q141=1,B141&lt;&gt;""),IF(IFERROR(COUNTIFS(B$3:B141,"="&amp;SUBSTITUTE(SUBSTITUTE(SUBSTITUTE(B141,"~","~~"),"*","~*"),"?","~?"),Q$3:Q141,1),0)=1,MAX(V$2:V140)+1,""),"")</f>
        <v/>
      </c>
      <c r="W141" s="25">
        <f>IF(V141="","",COUNTIFS($B$3:$B$1002,"="&amp;SUBSTITUTE(SUBSTITUTE(SUBSTITUTE(B141,"~","~~"),"*","~*"),"?","~?"),$Q$3:$Q$1002,1)*10000-V141)</f>
        <v/>
      </c>
      <c r="X141" s="25">
        <f>IF(Q141=1,IF(SUBSTITUTE(SUBSTITUTE(SUBSTITUTE(SUBSTITUTE(SUBSTITUTE(SUBSTITUTE(SUBSTITUTE(SUBSTITUTE(SUBSTITUTE(SUBSTITUTE(SUBSTITUTE(SUBSTITUTE(LOWER(TRIM(A141)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141)),"á","a"),"é","e"),"í","i"),"ó","o"),"ú","u"),"ü","u"),"ñ","n"),"à","a"),"è","e"),"ì","i"),"ò","o"),"ù","u")),"")</f>
        <v/>
      </c>
      <c r="Y141" s="25">
        <f>IF(X141="","",IF(IFERROR(COUNTIF(X$3:X141,"="&amp;SUBSTITUTE(SUBSTITUTE(SUBSTITUTE(X141,"~","~~"),"*","~*"),"?","~?")),0)=1,1,""))</f>
        <v/>
      </c>
      <c r="Z141" s="25">
        <f>IF(T141=1,MAX(Z$2:Z140)+1,"")</f>
        <v/>
      </c>
    </row>
    <row r="142">
      <c r="A142">
        <f>IF(A$2=0,"",IFERROR(TRIM(INDEX('Pegar calibracion'!$A$1:$BZ$1001,141,A$2)&amp;""),""))</f>
        <v/>
      </c>
      <c r="B142">
        <f>IF(B$2=0,"",IFERROR(TRIM(INDEX('Pegar calibracion'!$A$1:$BZ$1001,141,B$2)&amp;""),""))</f>
        <v/>
      </c>
      <c r="C142">
        <f>IF(C$2=0,"",IFERROR(TRIM(INDEX('Pegar calibracion'!$A$1:$BZ$1001,141,C$2)&amp;""),""))</f>
        <v/>
      </c>
      <c r="D142">
        <f>IF(D$2=0,"",IFERROR(TRIM(INDEX('Pegar calibracion'!$A$1:$BZ$1001,141,D$2)&amp;""),""))</f>
        <v/>
      </c>
      <c r="E142">
        <f>IF(E$2=0,"",IFERROR(TRIM(INDEX('Pegar calibracion'!$A$1:$BZ$1001,141,E$2)&amp;""),""))</f>
        <v/>
      </c>
      <c r="F142">
        <f>IF(F$2=0,"",IFERROR(TRIM(INDEX('Pegar calibracion'!$A$1:$BZ$1001,141,F$2)&amp;""),""))</f>
        <v/>
      </c>
      <c r="G142">
        <f>IF(G$2=0,"",IFERROR(TRIM(INDEX('Pegar calibracion'!$A$1:$BZ$1001,141,G$2)&amp;""),""))</f>
        <v/>
      </c>
      <c r="H142">
        <f>IF(H$2=0,"",IFERROR(TRIM(INDEX('Pegar calibracion'!$A$1:$BZ$1001,141,H$2)&amp;""),""))</f>
        <v/>
      </c>
      <c r="I142">
        <f>IF(I$2=0,"",IFERROR(TRIM(INDEX('Pegar calibracion'!$A$1:$BZ$1001,141,I$2)&amp;""),""))</f>
        <v/>
      </c>
      <c r="J142">
        <f>IF(J$2=0,"",IFERROR(TRIM(INDEX('Pegar calibracion'!$A$1:$BZ$1001,141,J$2)&amp;""),""))</f>
        <v/>
      </c>
      <c r="K142">
        <f>IF(K$2=0,"",IFERROR(TRIM(INDEX('Pegar calibracion'!$A$1:$BZ$1001,141,K$2)&amp;""),""))</f>
        <v/>
      </c>
      <c r="L142">
        <f>IF(L$2=0,"",IFERROR(TRIM(INDEX('Pegar calibracion'!$A$1:$BZ$1001,141,L$2)&amp;""),""))</f>
        <v/>
      </c>
      <c r="M142" s="25">
        <f>IF(D142="","",SUBSTITUTE(SUBSTITUTE(SUBSTITUTE(SUBSTITUTE(SUBSTITUTE(SUBSTITUTE(SUBSTITUTE(SUBSTITUTE(SUBSTITUTE(SUBSTITUTE(SUBSTITUTE(SUBSTITUTE(LOWER(TRIM(D142)),"á","a"),"é","e"),"í","i"),"ó","o"),"ú","u"),"ü","u"),"ñ","n"),"à","a"),"è","e"),"ì","i"),"ò","o"),"ù","u"))</f>
        <v/>
      </c>
      <c r="N142" s="25">
        <f>IF(F142="","",SUBSTITUTE(SUBSTITUTE(SUBSTITUTE(SUBSTITUTE(SUBSTITUTE(SUBSTITUTE(SUBSTITUTE(SUBSTITUTE(SUBSTITUTE(SUBSTITUTE(SUBSTITUTE(SUBSTITUTE(LOWER(TRIM(F142)),"á","a"),"é","e"),"í","i"),"ó","o"),"ú","u"),"ü","u"),"ñ","n"),"à","a"),"è","e"),"ì","i"),"ò","o"),"ù","u"))</f>
        <v/>
      </c>
      <c r="O142" s="25">
        <f>IF(M142="confiable",2,IF(M142="dudosa",1,IF(M142="no confiable",0,"")))</f>
        <v/>
      </c>
      <c r="P142" s="25">
        <f>IF(N142="confiable",2,IF(N142="dudosa",1,IF(N142="no confiable",0,"")))</f>
        <v/>
      </c>
      <c r="Q142" s="25">
        <f>IF(AND(ISNUMBER(O142),ISNUMBER(P142)),1,"")</f>
        <v/>
      </c>
      <c r="R142" s="25">
        <f>IF(Q142=1,IF(O142=P142,"Sí","No"),"")</f>
        <v/>
      </c>
      <c r="S142" s="25">
        <f>IF(Q142=1,IF(P142&lt;O142,"Más estricto",IF(P142&gt;O142,"Más permisivo","Igual")),"")</f>
        <v/>
      </c>
      <c r="T142" s="25">
        <f>IF(Q142=1,IF(ABS(O142-P142)=2,1,0),"")</f>
        <v/>
      </c>
      <c r="U142" s="25">
        <f>IF(H142="","","|"&amp;SUBSTITUTE(SUBSTITUTE(TRIM(H142)," |","|"),"| ","|")&amp;"|")</f>
        <v/>
      </c>
      <c r="V142" s="25">
        <f>IF(AND(Q142=1,B142&lt;&gt;""),IF(IFERROR(COUNTIFS(B$3:B142,"="&amp;SUBSTITUTE(SUBSTITUTE(SUBSTITUTE(B142,"~","~~"),"*","~*"),"?","~?"),Q$3:Q142,1),0)=1,MAX(V$2:V141)+1,""),"")</f>
        <v/>
      </c>
      <c r="W142" s="25">
        <f>IF(V142="","",COUNTIFS($B$3:$B$1002,"="&amp;SUBSTITUTE(SUBSTITUTE(SUBSTITUTE(B142,"~","~~"),"*","~*"),"?","~?"),$Q$3:$Q$1002,1)*10000-V142)</f>
        <v/>
      </c>
      <c r="X142" s="25">
        <f>IF(Q142=1,IF(SUBSTITUTE(SUBSTITUTE(SUBSTITUTE(SUBSTITUTE(SUBSTITUTE(SUBSTITUTE(SUBSTITUTE(SUBSTITUTE(SUBSTITUTE(SUBSTITUTE(SUBSTITUTE(SUBSTITUTE(LOWER(TRIM(A142)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142)),"á","a"),"é","e"),"í","i"),"ó","o"),"ú","u"),"ü","u"),"ñ","n"),"à","a"),"è","e"),"ì","i"),"ò","o"),"ù","u")),"")</f>
        <v/>
      </c>
      <c r="Y142" s="25">
        <f>IF(X142="","",IF(IFERROR(COUNTIF(X$3:X142,"="&amp;SUBSTITUTE(SUBSTITUTE(SUBSTITUTE(X142,"~","~~"),"*","~*"),"?","~?")),0)=1,1,""))</f>
        <v/>
      </c>
      <c r="Z142" s="25">
        <f>IF(T142=1,MAX(Z$2:Z141)+1,"")</f>
        <v/>
      </c>
    </row>
    <row r="143">
      <c r="A143">
        <f>IF(A$2=0,"",IFERROR(TRIM(INDEX('Pegar calibracion'!$A$1:$BZ$1001,142,A$2)&amp;""),""))</f>
        <v/>
      </c>
      <c r="B143">
        <f>IF(B$2=0,"",IFERROR(TRIM(INDEX('Pegar calibracion'!$A$1:$BZ$1001,142,B$2)&amp;""),""))</f>
        <v/>
      </c>
      <c r="C143">
        <f>IF(C$2=0,"",IFERROR(TRIM(INDEX('Pegar calibracion'!$A$1:$BZ$1001,142,C$2)&amp;""),""))</f>
        <v/>
      </c>
      <c r="D143">
        <f>IF(D$2=0,"",IFERROR(TRIM(INDEX('Pegar calibracion'!$A$1:$BZ$1001,142,D$2)&amp;""),""))</f>
        <v/>
      </c>
      <c r="E143">
        <f>IF(E$2=0,"",IFERROR(TRIM(INDEX('Pegar calibracion'!$A$1:$BZ$1001,142,E$2)&amp;""),""))</f>
        <v/>
      </c>
      <c r="F143">
        <f>IF(F$2=0,"",IFERROR(TRIM(INDEX('Pegar calibracion'!$A$1:$BZ$1001,142,F$2)&amp;""),""))</f>
        <v/>
      </c>
      <c r="G143">
        <f>IF(G$2=0,"",IFERROR(TRIM(INDEX('Pegar calibracion'!$A$1:$BZ$1001,142,G$2)&amp;""),""))</f>
        <v/>
      </c>
      <c r="H143">
        <f>IF(H$2=0,"",IFERROR(TRIM(INDEX('Pegar calibracion'!$A$1:$BZ$1001,142,H$2)&amp;""),""))</f>
        <v/>
      </c>
      <c r="I143">
        <f>IF(I$2=0,"",IFERROR(TRIM(INDEX('Pegar calibracion'!$A$1:$BZ$1001,142,I$2)&amp;""),""))</f>
        <v/>
      </c>
      <c r="J143">
        <f>IF(J$2=0,"",IFERROR(TRIM(INDEX('Pegar calibracion'!$A$1:$BZ$1001,142,J$2)&amp;""),""))</f>
        <v/>
      </c>
      <c r="K143">
        <f>IF(K$2=0,"",IFERROR(TRIM(INDEX('Pegar calibracion'!$A$1:$BZ$1001,142,K$2)&amp;""),""))</f>
        <v/>
      </c>
      <c r="L143">
        <f>IF(L$2=0,"",IFERROR(TRIM(INDEX('Pegar calibracion'!$A$1:$BZ$1001,142,L$2)&amp;""),""))</f>
        <v/>
      </c>
      <c r="M143" s="25">
        <f>IF(D143="","",SUBSTITUTE(SUBSTITUTE(SUBSTITUTE(SUBSTITUTE(SUBSTITUTE(SUBSTITUTE(SUBSTITUTE(SUBSTITUTE(SUBSTITUTE(SUBSTITUTE(SUBSTITUTE(SUBSTITUTE(LOWER(TRIM(D143)),"á","a"),"é","e"),"í","i"),"ó","o"),"ú","u"),"ü","u"),"ñ","n"),"à","a"),"è","e"),"ì","i"),"ò","o"),"ù","u"))</f>
        <v/>
      </c>
      <c r="N143" s="25">
        <f>IF(F143="","",SUBSTITUTE(SUBSTITUTE(SUBSTITUTE(SUBSTITUTE(SUBSTITUTE(SUBSTITUTE(SUBSTITUTE(SUBSTITUTE(SUBSTITUTE(SUBSTITUTE(SUBSTITUTE(SUBSTITUTE(LOWER(TRIM(F143)),"á","a"),"é","e"),"í","i"),"ó","o"),"ú","u"),"ü","u"),"ñ","n"),"à","a"),"è","e"),"ì","i"),"ò","o"),"ù","u"))</f>
        <v/>
      </c>
      <c r="O143" s="25">
        <f>IF(M143="confiable",2,IF(M143="dudosa",1,IF(M143="no confiable",0,"")))</f>
        <v/>
      </c>
      <c r="P143" s="25">
        <f>IF(N143="confiable",2,IF(N143="dudosa",1,IF(N143="no confiable",0,"")))</f>
        <v/>
      </c>
      <c r="Q143" s="25">
        <f>IF(AND(ISNUMBER(O143),ISNUMBER(P143)),1,"")</f>
        <v/>
      </c>
      <c r="R143" s="25">
        <f>IF(Q143=1,IF(O143=P143,"Sí","No"),"")</f>
        <v/>
      </c>
      <c r="S143" s="25">
        <f>IF(Q143=1,IF(P143&lt;O143,"Más estricto",IF(P143&gt;O143,"Más permisivo","Igual")),"")</f>
        <v/>
      </c>
      <c r="T143" s="25">
        <f>IF(Q143=1,IF(ABS(O143-P143)=2,1,0),"")</f>
        <v/>
      </c>
      <c r="U143" s="25">
        <f>IF(H143="","","|"&amp;SUBSTITUTE(SUBSTITUTE(TRIM(H143)," |","|"),"| ","|")&amp;"|")</f>
        <v/>
      </c>
      <c r="V143" s="25">
        <f>IF(AND(Q143=1,B143&lt;&gt;""),IF(IFERROR(COUNTIFS(B$3:B143,"="&amp;SUBSTITUTE(SUBSTITUTE(SUBSTITUTE(B143,"~","~~"),"*","~*"),"?","~?"),Q$3:Q143,1),0)=1,MAX(V$2:V142)+1,""),"")</f>
        <v/>
      </c>
      <c r="W143" s="25">
        <f>IF(V143="","",COUNTIFS($B$3:$B$1002,"="&amp;SUBSTITUTE(SUBSTITUTE(SUBSTITUTE(B143,"~","~~"),"*","~*"),"?","~?"),$Q$3:$Q$1002,1)*10000-V143)</f>
        <v/>
      </c>
      <c r="X143" s="25">
        <f>IF(Q143=1,IF(SUBSTITUTE(SUBSTITUTE(SUBSTITUTE(SUBSTITUTE(SUBSTITUTE(SUBSTITUTE(SUBSTITUTE(SUBSTITUTE(SUBSTITUTE(SUBSTITUTE(SUBSTITUTE(SUBSTITUTE(LOWER(TRIM(A143)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143)),"á","a"),"é","e"),"í","i"),"ó","o"),"ú","u"),"ü","u"),"ñ","n"),"à","a"),"è","e"),"ì","i"),"ò","o"),"ù","u")),"")</f>
        <v/>
      </c>
      <c r="Y143" s="25">
        <f>IF(X143="","",IF(IFERROR(COUNTIF(X$3:X143,"="&amp;SUBSTITUTE(SUBSTITUTE(SUBSTITUTE(X143,"~","~~"),"*","~*"),"?","~?")),0)=1,1,""))</f>
        <v/>
      </c>
      <c r="Z143" s="25">
        <f>IF(T143=1,MAX(Z$2:Z142)+1,"")</f>
        <v/>
      </c>
    </row>
    <row r="144">
      <c r="A144">
        <f>IF(A$2=0,"",IFERROR(TRIM(INDEX('Pegar calibracion'!$A$1:$BZ$1001,143,A$2)&amp;""),""))</f>
        <v/>
      </c>
      <c r="B144">
        <f>IF(B$2=0,"",IFERROR(TRIM(INDEX('Pegar calibracion'!$A$1:$BZ$1001,143,B$2)&amp;""),""))</f>
        <v/>
      </c>
      <c r="C144">
        <f>IF(C$2=0,"",IFERROR(TRIM(INDEX('Pegar calibracion'!$A$1:$BZ$1001,143,C$2)&amp;""),""))</f>
        <v/>
      </c>
      <c r="D144">
        <f>IF(D$2=0,"",IFERROR(TRIM(INDEX('Pegar calibracion'!$A$1:$BZ$1001,143,D$2)&amp;""),""))</f>
        <v/>
      </c>
      <c r="E144">
        <f>IF(E$2=0,"",IFERROR(TRIM(INDEX('Pegar calibracion'!$A$1:$BZ$1001,143,E$2)&amp;""),""))</f>
        <v/>
      </c>
      <c r="F144">
        <f>IF(F$2=0,"",IFERROR(TRIM(INDEX('Pegar calibracion'!$A$1:$BZ$1001,143,F$2)&amp;""),""))</f>
        <v/>
      </c>
      <c r="G144">
        <f>IF(G$2=0,"",IFERROR(TRIM(INDEX('Pegar calibracion'!$A$1:$BZ$1001,143,G$2)&amp;""),""))</f>
        <v/>
      </c>
      <c r="H144">
        <f>IF(H$2=0,"",IFERROR(TRIM(INDEX('Pegar calibracion'!$A$1:$BZ$1001,143,H$2)&amp;""),""))</f>
        <v/>
      </c>
      <c r="I144">
        <f>IF(I$2=0,"",IFERROR(TRIM(INDEX('Pegar calibracion'!$A$1:$BZ$1001,143,I$2)&amp;""),""))</f>
        <v/>
      </c>
      <c r="J144">
        <f>IF(J$2=0,"",IFERROR(TRIM(INDEX('Pegar calibracion'!$A$1:$BZ$1001,143,J$2)&amp;""),""))</f>
        <v/>
      </c>
      <c r="K144">
        <f>IF(K$2=0,"",IFERROR(TRIM(INDEX('Pegar calibracion'!$A$1:$BZ$1001,143,K$2)&amp;""),""))</f>
        <v/>
      </c>
      <c r="L144">
        <f>IF(L$2=0,"",IFERROR(TRIM(INDEX('Pegar calibracion'!$A$1:$BZ$1001,143,L$2)&amp;""),""))</f>
        <v/>
      </c>
      <c r="M144" s="25">
        <f>IF(D144="","",SUBSTITUTE(SUBSTITUTE(SUBSTITUTE(SUBSTITUTE(SUBSTITUTE(SUBSTITUTE(SUBSTITUTE(SUBSTITUTE(SUBSTITUTE(SUBSTITUTE(SUBSTITUTE(SUBSTITUTE(LOWER(TRIM(D144)),"á","a"),"é","e"),"í","i"),"ó","o"),"ú","u"),"ü","u"),"ñ","n"),"à","a"),"è","e"),"ì","i"),"ò","o"),"ù","u"))</f>
        <v/>
      </c>
      <c r="N144" s="25">
        <f>IF(F144="","",SUBSTITUTE(SUBSTITUTE(SUBSTITUTE(SUBSTITUTE(SUBSTITUTE(SUBSTITUTE(SUBSTITUTE(SUBSTITUTE(SUBSTITUTE(SUBSTITUTE(SUBSTITUTE(SUBSTITUTE(LOWER(TRIM(F144)),"á","a"),"é","e"),"í","i"),"ó","o"),"ú","u"),"ü","u"),"ñ","n"),"à","a"),"è","e"),"ì","i"),"ò","o"),"ù","u"))</f>
        <v/>
      </c>
      <c r="O144" s="25">
        <f>IF(M144="confiable",2,IF(M144="dudosa",1,IF(M144="no confiable",0,"")))</f>
        <v/>
      </c>
      <c r="P144" s="25">
        <f>IF(N144="confiable",2,IF(N144="dudosa",1,IF(N144="no confiable",0,"")))</f>
        <v/>
      </c>
      <c r="Q144" s="25">
        <f>IF(AND(ISNUMBER(O144),ISNUMBER(P144)),1,"")</f>
        <v/>
      </c>
      <c r="R144" s="25">
        <f>IF(Q144=1,IF(O144=P144,"Sí","No"),"")</f>
        <v/>
      </c>
      <c r="S144" s="25">
        <f>IF(Q144=1,IF(P144&lt;O144,"Más estricto",IF(P144&gt;O144,"Más permisivo","Igual")),"")</f>
        <v/>
      </c>
      <c r="T144" s="25">
        <f>IF(Q144=1,IF(ABS(O144-P144)=2,1,0),"")</f>
        <v/>
      </c>
      <c r="U144" s="25">
        <f>IF(H144="","","|"&amp;SUBSTITUTE(SUBSTITUTE(TRIM(H144)," |","|"),"| ","|")&amp;"|")</f>
        <v/>
      </c>
      <c r="V144" s="25">
        <f>IF(AND(Q144=1,B144&lt;&gt;""),IF(IFERROR(COUNTIFS(B$3:B144,"="&amp;SUBSTITUTE(SUBSTITUTE(SUBSTITUTE(B144,"~","~~"),"*","~*"),"?","~?"),Q$3:Q144,1),0)=1,MAX(V$2:V143)+1,""),"")</f>
        <v/>
      </c>
      <c r="W144" s="25">
        <f>IF(V144="","",COUNTIFS($B$3:$B$1002,"="&amp;SUBSTITUTE(SUBSTITUTE(SUBSTITUTE(B144,"~","~~"),"*","~*"),"?","~?"),$Q$3:$Q$1002,1)*10000-V144)</f>
        <v/>
      </c>
      <c r="X144" s="25">
        <f>IF(Q144=1,IF(SUBSTITUTE(SUBSTITUTE(SUBSTITUTE(SUBSTITUTE(SUBSTITUTE(SUBSTITUTE(SUBSTITUTE(SUBSTITUTE(SUBSTITUTE(SUBSTITUTE(SUBSTITUTE(SUBSTITUTE(LOWER(TRIM(A144)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144)),"á","a"),"é","e"),"í","i"),"ó","o"),"ú","u"),"ü","u"),"ñ","n"),"à","a"),"è","e"),"ì","i"),"ò","o"),"ù","u")),"")</f>
        <v/>
      </c>
      <c r="Y144" s="25">
        <f>IF(X144="","",IF(IFERROR(COUNTIF(X$3:X144,"="&amp;SUBSTITUTE(SUBSTITUTE(SUBSTITUTE(X144,"~","~~"),"*","~*"),"?","~?")),0)=1,1,""))</f>
        <v/>
      </c>
      <c r="Z144" s="25">
        <f>IF(T144=1,MAX(Z$2:Z143)+1,"")</f>
        <v/>
      </c>
    </row>
    <row r="145">
      <c r="A145">
        <f>IF(A$2=0,"",IFERROR(TRIM(INDEX('Pegar calibracion'!$A$1:$BZ$1001,144,A$2)&amp;""),""))</f>
        <v/>
      </c>
      <c r="B145">
        <f>IF(B$2=0,"",IFERROR(TRIM(INDEX('Pegar calibracion'!$A$1:$BZ$1001,144,B$2)&amp;""),""))</f>
        <v/>
      </c>
      <c r="C145">
        <f>IF(C$2=0,"",IFERROR(TRIM(INDEX('Pegar calibracion'!$A$1:$BZ$1001,144,C$2)&amp;""),""))</f>
        <v/>
      </c>
      <c r="D145">
        <f>IF(D$2=0,"",IFERROR(TRIM(INDEX('Pegar calibracion'!$A$1:$BZ$1001,144,D$2)&amp;""),""))</f>
        <v/>
      </c>
      <c r="E145">
        <f>IF(E$2=0,"",IFERROR(TRIM(INDEX('Pegar calibracion'!$A$1:$BZ$1001,144,E$2)&amp;""),""))</f>
        <v/>
      </c>
      <c r="F145">
        <f>IF(F$2=0,"",IFERROR(TRIM(INDEX('Pegar calibracion'!$A$1:$BZ$1001,144,F$2)&amp;""),""))</f>
        <v/>
      </c>
      <c r="G145">
        <f>IF(G$2=0,"",IFERROR(TRIM(INDEX('Pegar calibracion'!$A$1:$BZ$1001,144,G$2)&amp;""),""))</f>
        <v/>
      </c>
      <c r="H145">
        <f>IF(H$2=0,"",IFERROR(TRIM(INDEX('Pegar calibracion'!$A$1:$BZ$1001,144,H$2)&amp;""),""))</f>
        <v/>
      </c>
      <c r="I145">
        <f>IF(I$2=0,"",IFERROR(TRIM(INDEX('Pegar calibracion'!$A$1:$BZ$1001,144,I$2)&amp;""),""))</f>
        <v/>
      </c>
      <c r="J145">
        <f>IF(J$2=0,"",IFERROR(TRIM(INDEX('Pegar calibracion'!$A$1:$BZ$1001,144,J$2)&amp;""),""))</f>
        <v/>
      </c>
      <c r="K145">
        <f>IF(K$2=0,"",IFERROR(TRIM(INDEX('Pegar calibracion'!$A$1:$BZ$1001,144,K$2)&amp;""),""))</f>
        <v/>
      </c>
      <c r="L145">
        <f>IF(L$2=0,"",IFERROR(TRIM(INDEX('Pegar calibracion'!$A$1:$BZ$1001,144,L$2)&amp;""),""))</f>
        <v/>
      </c>
      <c r="M145" s="25">
        <f>IF(D145="","",SUBSTITUTE(SUBSTITUTE(SUBSTITUTE(SUBSTITUTE(SUBSTITUTE(SUBSTITUTE(SUBSTITUTE(SUBSTITUTE(SUBSTITUTE(SUBSTITUTE(SUBSTITUTE(SUBSTITUTE(LOWER(TRIM(D145)),"á","a"),"é","e"),"í","i"),"ó","o"),"ú","u"),"ü","u"),"ñ","n"),"à","a"),"è","e"),"ì","i"),"ò","o"),"ù","u"))</f>
        <v/>
      </c>
      <c r="N145" s="25">
        <f>IF(F145="","",SUBSTITUTE(SUBSTITUTE(SUBSTITUTE(SUBSTITUTE(SUBSTITUTE(SUBSTITUTE(SUBSTITUTE(SUBSTITUTE(SUBSTITUTE(SUBSTITUTE(SUBSTITUTE(SUBSTITUTE(LOWER(TRIM(F145)),"á","a"),"é","e"),"í","i"),"ó","o"),"ú","u"),"ü","u"),"ñ","n"),"à","a"),"è","e"),"ì","i"),"ò","o"),"ù","u"))</f>
        <v/>
      </c>
      <c r="O145" s="25">
        <f>IF(M145="confiable",2,IF(M145="dudosa",1,IF(M145="no confiable",0,"")))</f>
        <v/>
      </c>
      <c r="P145" s="25">
        <f>IF(N145="confiable",2,IF(N145="dudosa",1,IF(N145="no confiable",0,"")))</f>
        <v/>
      </c>
      <c r="Q145" s="25">
        <f>IF(AND(ISNUMBER(O145),ISNUMBER(P145)),1,"")</f>
        <v/>
      </c>
      <c r="R145" s="25">
        <f>IF(Q145=1,IF(O145=P145,"Sí","No"),"")</f>
        <v/>
      </c>
      <c r="S145" s="25">
        <f>IF(Q145=1,IF(P145&lt;O145,"Más estricto",IF(P145&gt;O145,"Más permisivo","Igual")),"")</f>
        <v/>
      </c>
      <c r="T145" s="25">
        <f>IF(Q145=1,IF(ABS(O145-P145)=2,1,0),"")</f>
        <v/>
      </c>
      <c r="U145" s="25">
        <f>IF(H145="","","|"&amp;SUBSTITUTE(SUBSTITUTE(TRIM(H145)," |","|"),"| ","|")&amp;"|")</f>
        <v/>
      </c>
      <c r="V145" s="25">
        <f>IF(AND(Q145=1,B145&lt;&gt;""),IF(IFERROR(COUNTIFS(B$3:B145,"="&amp;SUBSTITUTE(SUBSTITUTE(SUBSTITUTE(B145,"~","~~"),"*","~*"),"?","~?"),Q$3:Q145,1),0)=1,MAX(V$2:V144)+1,""),"")</f>
        <v/>
      </c>
      <c r="W145" s="25">
        <f>IF(V145="","",COUNTIFS($B$3:$B$1002,"="&amp;SUBSTITUTE(SUBSTITUTE(SUBSTITUTE(B145,"~","~~"),"*","~*"),"?","~?"),$Q$3:$Q$1002,1)*10000-V145)</f>
        <v/>
      </c>
      <c r="X145" s="25">
        <f>IF(Q145=1,IF(SUBSTITUTE(SUBSTITUTE(SUBSTITUTE(SUBSTITUTE(SUBSTITUTE(SUBSTITUTE(SUBSTITUTE(SUBSTITUTE(SUBSTITUTE(SUBSTITUTE(SUBSTITUTE(SUBSTITUTE(LOWER(TRIM(A145)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145)),"á","a"),"é","e"),"í","i"),"ó","o"),"ú","u"),"ü","u"),"ñ","n"),"à","a"),"è","e"),"ì","i"),"ò","o"),"ù","u")),"")</f>
        <v/>
      </c>
      <c r="Y145" s="25">
        <f>IF(X145="","",IF(IFERROR(COUNTIF(X$3:X145,"="&amp;SUBSTITUTE(SUBSTITUTE(SUBSTITUTE(X145,"~","~~"),"*","~*"),"?","~?")),0)=1,1,""))</f>
        <v/>
      </c>
      <c r="Z145" s="25">
        <f>IF(T145=1,MAX(Z$2:Z144)+1,"")</f>
        <v/>
      </c>
    </row>
    <row r="146">
      <c r="A146">
        <f>IF(A$2=0,"",IFERROR(TRIM(INDEX('Pegar calibracion'!$A$1:$BZ$1001,145,A$2)&amp;""),""))</f>
        <v/>
      </c>
      <c r="B146">
        <f>IF(B$2=0,"",IFERROR(TRIM(INDEX('Pegar calibracion'!$A$1:$BZ$1001,145,B$2)&amp;""),""))</f>
        <v/>
      </c>
      <c r="C146">
        <f>IF(C$2=0,"",IFERROR(TRIM(INDEX('Pegar calibracion'!$A$1:$BZ$1001,145,C$2)&amp;""),""))</f>
        <v/>
      </c>
      <c r="D146">
        <f>IF(D$2=0,"",IFERROR(TRIM(INDEX('Pegar calibracion'!$A$1:$BZ$1001,145,D$2)&amp;""),""))</f>
        <v/>
      </c>
      <c r="E146">
        <f>IF(E$2=0,"",IFERROR(TRIM(INDEX('Pegar calibracion'!$A$1:$BZ$1001,145,E$2)&amp;""),""))</f>
        <v/>
      </c>
      <c r="F146">
        <f>IF(F$2=0,"",IFERROR(TRIM(INDEX('Pegar calibracion'!$A$1:$BZ$1001,145,F$2)&amp;""),""))</f>
        <v/>
      </c>
      <c r="G146">
        <f>IF(G$2=0,"",IFERROR(TRIM(INDEX('Pegar calibracion'!$A$1:$BZ$1001,145,G$2)&amp;""),""))</f>
        <v/>
      </c>
      <c r="H146">
        <f>IF(H$2=0,"",IFERROR(TRIM(INDEX('Pegar calibracion'!$A$1:$BZ$1001,145,H$2)&amp;""),""))</f>
        <v/>
      </c>
      <c r="I146">
        <f>IF(I$2=0,"",IFERROR(TRIM(INDEX('Pegar calibracion'!$A$1:$BZ$1001,145,I$2)&amp;""),""))</f>
        <v/>
      </c>
      <c r="J146">
        <f>IF(J$2=0,"",IFERROR(TRIM(INDEX('Pegar calibracion'!$A$1:$BZ$1001,145,J$2)&amp;""),""))</f>
        <v/>
      </c>
      <c r="K146">
        <f>IF(K$2=0,"",IFERROR(TRIM(INDEX('Pegar calibracion'!$A$1:$BZ$1001,145,K$2)&amp;""),""))</f>
        <v/>
      </c>
      <c r="L146">
        <f>IF(L$2=0,"",IFERROR(TRIM(INDEX('Pegar calibracion'!$A$1:$BZ$1001,145,L$2)&amp;""),""))</f>
        <v/>
      </c>
      <c r="M146" s="25">
        <f>IF(D146="","",SUBSTITUTE(SUBSTITUTE(SUBSTITUTE(SUBSTITUTE(SUBSTITUTE(SUBSTITUTE(SUBSTITUTE(SUBSTITUTE(SUBSTITUTE(SUBSTITUTE(SUBSTITUTE(SUBSTITUTE(LOWER(TRIM(D146)),"á","a"),"é","e"),"í","i"),"ó","o"),"ú","u"),"ü","u"),"ñ","n"),"à","a"),"è","e"),"ì","i"),"ò","o"),"ù","u"))</f>
        <v/>
      </c>
      <c r="N146" s="25">
        <f>IF(F146="","",SUBSTITUTE(SUBSTITUTE(SUBSTITUTE(SUBSTITUTE(SUBSTITUTE(SUBSTITUTE(SUBSTITUTE(SUBSTITUTE(SUBSTITUTE(SUBSTITUTE(SUBSTITUTE(SUBSTITUTE(LOWER(TRIM(F146)),"á","a"),"é","e"),"í","i"),"ó","o"),"ú","u"),"ü","u"),"ñ","n"),"à","a"),"è","e"),"ì","i"),"ò","o"),"ù","u"))</f>
        <v/>
      </c>
      <c r="O146" s="25">
        <f>IF(M146="confiable",2,IF(M146="dudosa",1,IF(M146="no confiable",0,"")))</f>
        <v/>
      </c>
      <c r="P146" s="25">
        <f>IF(N146="confiable",2,IF(N146="dudosa",1,IF(N146="no confiable",0,"")))</f>
        <v/>
      </c>
      <c r="Q146" s="25">
        <f>IF(AND(ISNUMBER(O146),ISNUMBER(P146)),1,"")</f>
        <v/>
      </c>
      <c r="R146" s="25">
        <f>IF(Q146=1,IF(O146=P146,"Sí","No"),"")</f>
        <v/>
      </c>
      <c r="S146" s="25">
        <f>IF(Q146=1,IF(P146&lt;O146,"Más estricto",IF(P146&gt;O146,"Más permisivo","Igual")),"")</f>
        <v/>
      </c>
      <c r="T146" s="25">
        <f>IF(Q146=1,IF(ABS(O146-P146)=2,1,0),"")</f>
        <v/>
      </c>
      <c r="U146" s="25">
        <f>IF(H146="","","|"&amp;SUBSTITUTE(SUBSTITUTE(TRIM(H146)," |","|"),"| ","|")&amp;"|")</f>
        <v/>
      </c>
      <c r="V146" s="25">
        <f>IF(AND(Q146=1,B146&lt;&gt;""),IF(IFERROR(COUNTIFS(B$3:B146,"="&amp;SUBSTITUTE(SUBSTITUTE(SUBSTITUTE(B146,"~","~~"),"*","~*"),"?","~?"),Q$3:Q146,1),0)=1,MAX(V$2:V145)+1,""),"")</f>
        <v/>
      </c>
      <c r="W146" s="25">
        <f>IF(V146="","",COUNTIFS($B$3:$B$1002,"="&amp;SUBSTITUTE(SUBSTITUTE(SUBSTITUTE(B146,"~","~~"),"*","~*"),"?","~?"),$Q$3:$Q$1002,1)*10000-V146)</f>
        <v/>
      </c>
      <c r="X146" s="25">
        <f>IF(Q146=1,IF(SUBSTITUTE(SUBSTITUTE(SUBSTITUTE(SUBSTITUTE(SUBSTITUTE(SUBSTITUTE(SUBSTITUTE(SUBSTITUTE(SUBSTITUTE(SUBSTITUTE(SUBSTITUTE(SUBSTITUTE(LOWER(TRIM(A146)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146)),"á","a"),"é","e"),"í","i"),"ó","o"),"ú","u"),"ü","u"),"ñ","n"),"à","a"),"è","e"),"ì","i"),"ò","o"),"ù","u")),"")</f>
        <v/>
      </c>
      <c r="Y146" s="25">
        <f>IF(X146="","",IF(IFERROR(COUNTIF(X$3:X146,"="&amp;SUBSTITUTE(SUBSTITUTE(SUBSTITUTE(X146,"~","~~"),"*","~*"),"?","~?")),0)=1,1,""))</f>
        <v/>
      </c>
      <c r="Z146" s="25">
        <f>IF(T146=1,MAX(Z$2:Z145)+1,"")</f>
        <v/>
      </c>
    </row>
    <row r="147">
      <c r="A147">
        <f>IF(A$2=0,"",IFERROR(TRIM(INDEX('Pegar calibracion'!$A$1:$BZ$1001,146,A$2)&amp;""),""))</f>
        <v/>
      </c>
      <c r="B147">
        <f>IF(B$2=0,"",IFERROR(TRIM(INDEX('Pegar calibracion'!$A$1:$BZ$1001,146,B$2)&amp;""),""))</f>
        <v/>
      </c>
      <c r="C147">
        <f>IF(C$2=0,"",IFERROR(TRIM(INDEX('Pegar calibracion'!$A$1:$BZ$1001,146,C$2)&amp;""),""))</f>
        <v/>
      </c>
      <c r="D147">
        <f>IF(D$2=0,"",IFERROR(TRIM(INDEX('Pegar calibracion'!$A$1:$BZ$1001,146,D$2)&amp;""),""))</f>
        <v/>
      </c>
      <c r="E147">
        <f>IF(E$2=0,"",IFERROR(TRIM(INDEX('Pegar calibracion'!$A$1:$BZ$1001,146,E$2)&amp;""),""))</f>
        <v/>
      </c>
      <c r="F147">
        <f>IF(F$2=0,"",IFERROR(TRIM(INDEX('Pegar calibracion'!$A$1:$BZ$1001,146,F$2)&amp;""),""))</f>
        <v/>
      </c>
      <c r="G147">
        <f>IF(G$2=0,"",IFERROR(TRIM(INDEX('Pegar calibracion'!$A$1:$BZ$1001,146,G$2)&amp;""),""))</f>
        <v/>
      </c>
      <c r="H147">
        <f>IF(H$2=0,"",IFERROR(TRIM(INDEX('Pegar calibracion'!$A$1:$BZ$1001,146,H$2)&amp;""),""))</f>
        <v/>
      </c>
      <c r="I147">
        <f>IF(I$2=0,"",IFERROR(TRIM(INDEX('Pegar calibracion'!$A$1:$BZ$1001,146,I$2)&amp;""),""))</f>
        <v/>
      </c>
      <c r="J147">
        <f>IF(J$2=0,"",IFERROR(TRIM(INDEX('Pegar calibracion'!$A$1:$BZ$1001,146,J$2)&amp;""),""))</f>
        <v/>
      </c>
      <c r="K147">
        <f>IF(K$2=0,"",IFERROR(TRIM(INDEX('Pegar calibracion'!$A$1:$BZ$1001,146,K$2)&amp;""),""))</f>
        <v/>
      </c>
      <c r="L147">
        <f>IF(L$2=0,"",IFERROR(TRIM(INDEX('Pegar calibracion'!$A$1:$BZ$1001,146,L$2)&amp;""),""))</f>
        <v/>
      </c>
      <c r="M147" s="25">
        <f>IF(D147="","",SUBSTITUTE(SUBSTITUTE(SUBSTITUTE(SUBSTITUTE(SUBSTITUTE(SUBSTITUTE(SUBSTITUTE(SUBSTITUTE(SUBSTITUTE(SUBSTITUTE(SUBSTITUTE(SUBSTITUTE(LOWER(TRIM(D147)),"á","a"),"é","e"),"í","i"),"ó","o"),"ú","u"),"ü","u"),"ñ","n"),"à","a"),"è","e"),"ì","i"),"ò","o"),"ù","u"))</f>
        <v/>
      </c>
      <c r="N147" s="25">
        <f>IF(F147="","",SUBSTITUTE(SUBSTITUTE(SUBSTITUTE(SUBSTITUTE(SUBSTITUTE(SUBSTITUTE(SUBSTITUTE(SUBSTITUTE(SUBSTITUTE(SUBSTITUTE(SUBSTITUTE(SUBSTITUTE(LOWER(TRIM(F147)),"á","a"),"é","e"),"í","i"),"ó","o"),"ú","u"),"ü","u"),"ñ","n"),"à","a"),"è","e"),"ì","i"),"ò","o"),"ù","u"))</f>
        <v/>
      </c>
      <c r="O147" s="25">
        <f>IF(M147="confiable",2,IF(M147="dudosa",1,IF(M147="no confiable",0,"")))</f>
        <v/>
      </c>
      <c r="P147" s="25">
        <f>IF(N147="confiable",2,IF(N147="dudosa",1,IF(N147="no confiable",0,"")))</f>
        <v/>
      </c>
      <c r="Q147" s="25">
        <f>IF(AND(ISNUMBER(O147),ISNUMBER(P147)),1,"")</f>
        <v/>
      </c>
      <c r="R147" s="25">
        <f>IF(Q147=1,IF(O147=P147,"Sí","No"),"")</f>
        <v/>
      </c>
      <c r="S147" s="25">
        <f>IF(Q147=1,IF(P147&lt;O147,"Más estricto",IF(P147&gt;O147,"Más permisivo","Igual")),"")</f>
        <v/>
      </c>
      <c r="T147" s="25">
        <f>IF(Q147=1,IF(ABS(O147-P147)=2,1,0),"")</f>
        <v/>
      </c>
      <c r="U147" s="25">
        <f>IF(H147="","","|"&amp;SUBSTITUTE(SUBSTITUTE(TRIM(H147)," |","|"),"| ","|")&amp;"|")</f>
        <v/>
      </c>
      <c r="V147" s="25">
        <f>IF(AND(Q147=1,B147&lt;&gt;""),IF(IFERROR(COUNTIFS(B$3:B147,"="&amp;SUBSTITUTE(SUBSTITUTE(SUBSTITUTE(B147,"~","~~"),"*","~*"),"?","~?"),Q$3:Q147,1),0)=1,MAX(V$2:V146)+1,""),"")</f>
        <v/>
      </c>
      <c r="W147" s="25">
        <f>IF(V147="","",COUNTIFS($B$3:$B$1002,"="&amp;SUBSTITUTE(SUBSTITUTE(SUBSTITUTE(B147,"~","~~"),"*","~*"),"?","~?"),$Q$3:$Q$1002,1)*10000-V147)</f>
        <v/>
      </c>
      <c r="X147" s="25">
        <f>IF(Q147=1,IF(SUBSTITUTE(SUBSTITUTE(SUBSTITUTE(SUBSTITUTE(SUBSTITUTE(SUBSTITUTE(SUBSTITUTE(SUBSTITUTE(SUBSTITUTE(SUBSTITUTE(SUBSTITUTE(SUBSTITUTE(LOWER(TRIM(A147)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147)),"á","a"),"é","e"),"í","i"),"ó","o"),"ú","u"),"ü","u"),"ñ","n"),"à","a"),"è","e"),"ì","i"),"ò","o"),"ù","u")),"")</f>
        <v/>
      </c>
      <c r="Y147" s="25">
        <f>IF(X147="","",IF(IFERROR(COUNTIF(X$3:X147,"="&amp;SUBSTITUTE(SUBSTITUTE(SUBSTITUTE(X147,"~","~~"),"*","~*"),"?","~?")),0)=1,1,""))</f>
        <v/>
      </c>
      <c r="Z147" s="25">
        <f>IF(T147=1,MAX(Z$2:Z146)+1,"")</f>
        <v/>
      </c>
    </row>
    <row r="148">
      <c r="A148">
        <f>IF(A$2=0,"",IFERROR(TRIM(INDEX('Pegar calibracion'!$A$1:$BZ$1001,147,A$2)&amp;""),""))</f>
        <v/>
      </c>
      <c r="B148">
        <f>IF(B$2=0,"",IFERROR(TRIM(INDEX('Pegar calibracion'!$A$1:$BZ$1001,147,B$2)&amp;""),""))</f>
        <v/>
      </c>
      <c r="C148">
        <f>IF(C$2=0,"",IFERROR(TRIM(INDEX('Pegar calibracion'!$A$1:$BZ$1001,147,C$2)&amp;""),""))</f>
        <v/>
      </c>
      <c r="D148">
        <f>IF(D$2=0,"",IFERROR(TRIM(INDEX('Pegar calibracion'!$A$1:$BZ$1001,147,D$2)&amp;""),""))</f>
        <v/>
      </c>
      <c r="E148">
        <f>IF(E$2=0,"",IFERROR(TRIM(INDEX('Pegar calibracion'!$A$1:$BZ$1001,147,E$2)&amp;""),""))</f>
        <v/>
      </c>
      <c r="F148">
        <f>IF(F$2=0,"",IFERROR(TRIM(INDEX('Pegar calibracion'!$A$1:$BZ$1001,147,F$2)&amp;""),""))</f>
        <v/>
      </c>
      <c r="G148">
        <f>IF(G$2=0,"",IFERROR(TRIM(INDEX('Pegar calibracion'!$A$1:$BZ$1001,147,G$2)&amp;""),""))</f>
        <v/>
      </c>
      <c r="H148">
        <f>IF(H$2=0,"",IFERROR(TRIM(INDEX('Pegar calibracion'!$A$1:$BZ$1001,147,H$2)&amp;""),""))</f>
        <v/>
      </c>
      <c r="I148">
        <f>IF(I$2=0,"",IFERROR(TRIM(INDEX('Pegar calibracion'!$A$1:$BZ$1001,147,I$2)&amp;""),""))</f>
        <v/>
      </c>
      <c r="J148">
        <f>IF(J$2=0,"",IFERROR(TRIM(INDEX('Pegar calibracion'!$A$1:$BZ$1001,147,J$2)&amp;""),""))</f>
        <v/>
      </c>
      <c r="K148">
        <f>IF(K$2=0,"",IFERROR(TRIM(INDEX('Pegar calibracion'!$A$1:$BZ$1001,147,K$2)&amp;""),""))</f>
        <v/>
      </c>
      <c r="L148">
        <f>IF(L$2=0,"",IFERROR(TRIM(INDEX('Pegar calibracion'!$A$1:$BZ$1001,147,L$2)&amp;""),""))</f>
        <v/>
      </c>
      <c r="M148" s="25">
        <f>IF(D148="","",SUBSTITUTE(SUBSTITUTE(SUBSTITUTE(SUBSTITUTE(SUBSTITUTE(SUBSTITUTE(SUBSTITUTE(SUBSTITUTE(SUBSTITUTE(SUBSTITUTE(SUBSTITUTE(SUBSTITUTE(LOWER(TRIM(D148)),"á","a"),"é","e"),"í","i"),"ó","o"),"ú","u"),"ü","u"),"ñ","n"),"à","a"),"è","e"),"ì","i"),"ò","o"),"ù","u"))</f>
        <v/>
      </c>
      <c r="N148" s="25">
        <f>IF(F148="","",SUBSTITUTE(SUBSTITUTE(SUBSTITUTE(SUBSTITUTE(SUBSTITUTE(SUBSTITUTE(SUBSTITUTE(SUBSTITUTE(SUBSTITUTE(SUBSTITUTE(SUBSTITUTE(SUBSTITUTE(LOWER(TRIM(F148)),"á","a"),"é","e"),"í","i"),"ó","o"),"ú","u"),"ü","u"),"ñ","n"),"à","a"),"è","e"),"ì","i"),"ò","o"),"ù","u"))</f>
        <v/>
      </c>
      <c r="O148" s="25">
        <f>IF(M148="confiable",2,IF(M148="dudosa",1,IF(M148="no confiable",0,"")))</f>
        <v/>
      </c>
      <c r="P148" s="25">
        <f>IF(N148="confiable",2,IF(N148="dudosa",1,IF(N148="no confiable",0,"")))</f>
        <v/>
      </c>
      <c r="Q148" s="25">
        <f>IF(AND(ISNUMBER(O148),ISNUMBER(P148)),1,"")</f>
        <v/>
      </c>
      <c r="R148" s="25">
        <f>IF(Q148=1,IF(O148=P148,"Sí","No"),"")</f>
        <v/>
      </c>
      <c r="S148" s="25">
        <f>IF(Q148=1,IF(P148&lt;O148,"Más estricto",IF(P148&gt;O148,"Más permisivo","Igual")),"")</f>
        <v/>
      </c>
      <c r="T148" s="25">
        <f>IF(Q148=1,IF(ABS(O148-P148)=2,1,0),"")</f>
        <v/>
      </c>
      <c r="U148" s="25">
        <f>IF(H148="","","|"&amp;SUBSTITUTE(SUBSTITUTE(TRIM(H148)," |","|"),"| ","|")&amp;"|")</f>
        <v/>
      </c>
      <c r="V148" s="25">
        <f>IF(AND(Q148=1,B148&lt;&gt;""),IF(IFERROR(COUNTIFS(B$3:B148,"="&amp;SUBSTITUTE(SUBSTITUTE(SUBSTITUTE(B148,"~","~~"),"*","~*"),"?","~?"),Q$3:Q148,1),0)=1,MAX(V$2:V147)+1,""),"")</f>
        <v/>
      </c>
      <c r="W148" s="25">
        <f>IF(V148="","",COUNTIFS($B$3:$B$1002,"="&amp;SUBSTITUTE(SUBSTITUTE(SUBSTITUTE(B148,"~","~~"),"*","~*"),"?","~?"),$Q$3:$Q$1002,1)*10000-V148)</f>
        <v/>
      </c>
      <c r="X148" s="25">
        <f>IF(Q148=1,IF(SUBSTITUTE(SUBSTITUTE(SUBSTITUTE(SUBSTITUTE(SUBSTITUTE(SUBSTITUTE(SUBSTITUTE(SUBSTITUTE(SUBSTITUTE(SUBSTITUTE(SUBSTITUTE(SUBSTITUTE(LOWER(TRIM(A148)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148)),"á","a"),"é","e"),"í","i"),"ó","o"),"ú","u"),"ü","u"),"ñ","n"),"à","a"),"è","e"),"ì","i"),"ò","o"),"ù","u")),"")</f>
        <v/>
      </c>
      <c r="Y148" s="25">
        <f>IF(X148="","",IF(IFERROR(COUNTIF(X$3:X148,"="&amp;SUBSTITUTE(SUBSTITUTE(SUBSTITUTE(X148,"~","~~"),"*","~*"),"?","~?")),0)=1,1,""))</f>
        <v/>
      </c>
      <c r="Z148" s="25">
        <f>IF(T148=1,MAX(Z$2:Z147)+1,"")</f>
        <v/>
      </c>
    </row>
    <row r="149">
      <c r="A149">
        <f>IF(A$2=0,"",IFERROR(TRIM(INDEX('Pegar calibracion'!$A$1:$BZ$1001,148,A$2)&amp;""),""))</f>
        <v/>
      </c>
      <c r="B149">
        <f>IF(B$2=0,"",IFERROR(TRIM(INDEX('Pegar calibracion'!$A$1:$BZ$1001,148,B$2)&amp;""),""))</f>
        <v/>
      </c>
      <c r="C149">
        <f>IF(C$2=0,"",IFERROR(TRIM(INDEX('Pegar calibracion'!$A$1:$BZ$1001,148,C$2)&amp;""),""))</f>
        <v/>
      </c>
      <c r="D149">
        <f>IF(D$2=0,"",IFERROR(TRIM(INDEX('Pegar calibracion'!$A$1:$BZ$1001,148,D$2)&amp;""),""))</f>
        <v/>
      </c>
      <c r="E149">
        <f>IF(E$2=0,"",IFERROR(TRIM(INDEX('Pegar calibracion'!$A$1:$BZ$1001,148,E$2)&amp;""),""))</f>
        <v/>
      </c>
      <c r="F149">
        <f>IF(F$2=0,"",IFERROR(TRIM(INDEX('Pegar calibracion'!$A$1:$BZ$1001,148,F$2)&amp;""),""))</f>
        <v/>
      </c>
      <c r="G149">
        <f>IF(G$2=0,"",IFERROR(TRIM(INDEX('Pegar calibracion'!$A$1:$BZ$1001,148,G$2)&amp;""),""))</f>
        <v/>
      </c>
      <c r="H149">
        <f>IF(H$2=0,"",IFERROR(TRIM(INDEX('Pegar calibracion'!$A$1:$BZ$1001,148,H$2)&amp;""),""))</f>
        <v/>
      </c>
      <c r="I149">
        <f>IF(I$2=0,"",IFERROR(TRIM(INDEX('Pegar calibracion'!$A$1:$BZ$1001,148,I$2)&amp;""),""))</f>
        <v/>
      </c>
      <c r="J149">
        <f>IF(J$2=0,"",IFERROR(TRIM(INDEX('Pegar calibracion'!$A$1:$BZ$1001,148,J$2)&amp;""),""))</f>
        <v/>
      </c>
      <c r="K149">
        <f>IF(K$2=0,"",IFERROR(TRIM(INDEX('Pegar calibracion'!$A$1:$BZ$1001,148,K$2)&amp;""),""))</f>
        <v/>
      </c>
      <c r="L149">
        <f>IF(L$2=0,"",IFERROR(TRIM(INDEX('Pegar calibracion'!$A$1:$BZ$1001,148,L$2)&amp;""),""))</f>
        <v/>
      </c>
      <c r="M149" s="25">
        <f>IF(D149="","",SUBSTITUTE(SUBSTITUTE(SUBSTITUTE(SUBSTITUTE(SUBSTITUTE(SUBSTITUTE(SUBSTITUTE(SUBSTITUTE(SUBSTITUTE(SUBSTITUTE(SUBSTITUTE(SUBSTITUTE(LOWER(TRIM(D149)),"á","a"),"é","e"),"í","i"),"ó","o"),"ú","u"),"ü","u"),"ñ","n"),"à","a"),"è","e"),"ì","i"),"ò","o"),"ù","u"))</f>
        <v/>
      </c>
      <c r="N149" s="25">
        <f>IF(F149="","",SUBSTITUTE(SUBSTITUTE(SUBSTITUTE(SUBSTITUTE(SUBSTITUTE(SUBSTITUTE(SUBSTITUTE(SUBSTITUTE(SUBSTITUTE(SUBSTITUTE(SUBSTITUTE(SUBSTITUTE(LOWER(TRIM(F149)),"á","a"),"é","e"),"í","i"),"ó","o"),"ú","u"),"ü","u"),"ñ","n"),"à","a"),"è","e"),"ì","i"),"ò","o"),"ù","u"))</f>
        <v/>
      </c>
      <c r="O149" s="25">
        <f>IF(M149="confiable",2,IF(M149="dudosa",1,IF(M149="no confiable",0,"")))</f>
        <v/>
      </c>
      <c r="P149" s="25">
        <f>IF(N149="confiable",2,IF(N149="dudosa",1,IF(N149="no confiable",0,"")))</f>
        <v/>
      </c>
      <c r="Q149" s="25">
        <f>IF(AND(ISNUMBER(O149),ISNUMBER(P149)),1,"")</f>
        <v/>
      </c>
      <c r="R149" s="25">
        <f>IF(Q149=1,IF(O149=P149,"Sí","No"),"")</f>
        <v/>
      </c>
      <c r="S149" s="25">
        <f>IF(Q149=1,IF(P149&lt;O149,"Más estricto",IF(P149&gt;O149,"Más permisivo","Igual")),"")</f>
        <v/>
      </c>
      <c r="T149" s="25">
        <f>IF(Q149=1,IF(ABS(O149-P149)=2,1,0),"")</f>
        <v/>
      </c>
      <c r="U149" s="25">
        <f>IF(H149="","","|"&amp;SUBSTITUTE(SUBSTITUTE(TRIM(H149)," |","|"),"| ","|")&amp;"|")</f>
        <v/>
      </c>
      <c r="V149" s="25">
        <f>IF(AND(Q149=1,B149&lt;&gt;""),IF(IFERROR(COUNTIFS(B$3:B149,"="&amp;SUBSTITUTE(SUBSTITUTE(SUBSTITUTE(B149,"~","~~"),"*","~*"),"?","~?"),Q$3:Q149,1),0)=1,MAX(V$2:V148)+1,""),"")</f>
        <v/>
      </c>
      <c r="W149" s="25">
        <f>IF(V149="","",COUNTIFS($B$3:$B$1002,"="&amp;SUBSTITUTE(SUBSTITUTE(SUBSTITUTE(B149,"~","~~"),"*","~*"),"?","~?"),$Q$3:$Q$1002,1)*10000-V149)</f>
        <v/>
      </c>
      <c r="X149" s="25">
        <f>IF(Q149=1,IF(SUBSTITUTE(SUBSTITUTE(SUBSTITUTE(SUBSTITUTE(SUBSTITUTE(SUBSTITUTE(SUBSTITUTE(SUBSTITUTE(SUBSTITUTE(SUBSTITUTE(SUBSTITUTE(SUBSTITUTE(LOWER(TRIM(A149)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149)),"á","a"),"é","e"),"í","i"),"ó","o"),"ú","u"),"ü","u"),"ñ","n"),"à","a"),"è","e"),"ì","i"),"ò","o"),"ù","u")),"")</f>
        <v/>
      </c>
      <c r="Y149" s="25">
        <f>IF(X149="","",IF(IFERROR(COUNTIF(X$3:X149,"="&amp;SUBSTITUTE(SUBSTITUTE(SUBSTITUTE(X149,"~","~~"),"*","~*"),"?","~?")),0)=1,1,""))</f>
        <v/>
      </c>
      <c r="Z149" s="25">
        <f>IF(T149=1,MAX(Z$2:Z148)+1,"")</f>
        <v/>
      </c>
    </row>
    <row r="150">
      <c r="A150">
        <f>IF(A$2=0,"",IFERROR(TRIM(INDEX('Pegar calibracion'!$A$1:$BZ$1001,149,A$2)&amp;""),""))</f>
        <v/>
      </c>
      <c r="B150">
        <f>IF(B$2=0,"",IFERROR(TRIM(INDEX('Pegar calibracion'!$A$1:$BZ$1001,149,B$2)&amp;""),""))</f>
        <v/>
      </c>
      <c r="C150">
        <f>IF(C$2=0,"",IFERROR(TRIM(INDEX('Pegar calibracion'!$A$1:$BZ$1001,149,C$2)&amp;""),""))</f>
        <v/>
      </c>
      <c r="D150">
        <f>IF(D$2=0,"",IFERROR(TRIM(INDEX('Pegar calibracion'!$A$1:$BZ$1001,149,D$2)&amp;""),""))</f>
        <v/>
      </c>
      <c r="E150">
        <f>IF(E$2=0,"",IFERROR(TRIM(INDEX('Pegar calibracion'!$A$1:$BZ$1001,149,E$2)&amp;""),""))</f>
        <v/>
      </c>
      <c r="F150">
        <f>IF(F$2=0,"",IFERROR(TRIM(INDEX('Pegar calibracion'!$A$1:$BZ$1001,149,F$2)&amp;""),""))</f>
        <v/>
      </c>
      <c r="G150">
        <f>IF(G$2=0,"",IFERROR(TRIM(INDEX('Pegar calibracion'!$A$1:$BZ$1001,149,G$2)&amp;""),""))</f>
        <v/>
      </c>
      <c r="H150">
        <f>IF(H$2=0,"",IFERROR(TRIM(INDEX('Pegar calibracion'!$A$1:$BZ$1001,149,H$2)&amp;""),""))</f>
        <v/>
      </c>
      <c r="I150">
        <f>IF(I$2=0,"",IFERROR(TRIM(INDEX('Pegar calibracion'!$A$1:$BZ$1001,149,I$2)&amp;""),""))</f>
        <v/>
      </c>
      <c r="J150">
        <f>IF(J$2=0,"",IFERROR(TRIM(INDEX('Pegar calibracion'!$A$1:$BZ$1001,149,J$2)&amp;""),""))</f>
        <v/>
      </c>
      <c r="K150">
        <f>IF(K$2=0,"",IFERROR(TRIM(INDEX('Pegar calibracion'!$A$1:$BZ$1001,149,K$2)&amp;""),""))</f>
        <v/>
      </c>
      <c r="L150">
        <f>IF(L$2=0,"",IFERROR(TRIM(INDEX('Pegar calibracion'!$A$1:$BZ$1001,149,L$2)&amp;""),""))</f>
        <v/>
      </c>
      <c r="M150" s="25">
        <f>IF(D150="","",SUBSTITUTE(SUBSTITUTE(SUBSTITUTE(SUBSTITUTE(SUBSTITUTE(SUBSTITUTE(SUBSTITUTE(SUBSTITUTE(SUBSTITUTE(SUBSTITUTE(SUBSTITUTE(SUBSTITUTE(LOWER(TRIM(D150)),"á","a"),"é","e"),"í","i"),"ó","o"),"ú","u"),"ü","u"),"ñ","n"),"à","a"),"è","e"),"ì","i"),"ò","o"),"ù","u"))</f>
        <v/>
      </c>
      <c r="N150" s="25">
        <f>IF(F150="","",SUBSTITUTE(SUBSTITUTE(SUBSTITUTE(SUBSTITUTE(SUBSTITUTE(SUBSTITUTE(SUBSTITUTE(SUBSTITUTE(SUBSTITUTE(SUBSTITUTE(SUBSTITUTE(SUBSTITUTE(LOWER(TRIM(F150)),"á","a"),"é","e"),"í","i"),"ó","o"),"ú","u"),"ü","u"),"ñ","n"),"à","a"),"è","e"),"ì","i"),"ò","o"),"ù","u"))</f>
        <v/>
      </c>
      <c r="O150" s="25">
        <f>IF(M150="confiable",2,IF(M150="dudosa",1,IF(M150="no confiable",0,"")))</f>
        <v/>
      </c>
      <c r="P150" s="25">
        <f>IF(N150="confiable",2,IF(N150="dudosa",1,IF(N150="no confiable",0,"")))</f>
        <v/>
      </c>
      <c r="Q150" s="25">
        <f>IF(AND(ISNUMBER(O150),ISNUMBER(P150)),1,"")</f>
        <v/>
      </c>
      <c r="R150" s="25">
        <f>IF(Q150=1,IF(O150=P150,"Sí","No"),"")</f>
        <v/>
      </c>
      <c r="S150" s="25">
        <f>IF(Q150=1,IF(P150&lt;O150,"Más estricto",IF(P150&gt;O150,"Más permisivo","Igual")),"")</f>
        <v/>
      </c>
      <c r="T150" s="25">
        <f>IF(Q150=1,IF(ABS(O150-P150)=2,1,0),"")</f>
        <v/>
      </c>
      <c r="U150" s="25">
        <f>IF(H150="","","|"&amp;SUBSTITUTE(SUBSTITUTE(TRIM(H150)," |","|"),"| ","|")&amp;"|")</f>
        <v/>
      </c>
      <c r="V150" s="25">
        <f>IF(AND(Q150=1,B150&lt;&gt;""),IF(IFERROR(COUNTIFS(B$3:B150,"="&amp;SUBSTITUTE(SUBSTITUTE(SUBSTITUTE(B150,"~","~~"),"*","~*"),"?","~?"),Q$3:Q150,1),0)=1,MAX(V$2:V149)+1,""),"")</f>
        <v/>
      </c>
      <c r="W150" s="25">
        <f>IF(V150="","",COUNTIFS($B$3:$B$1002,"="&amp;SUBSTITUTE(SUBSTITUTE(SUBSTITUTE(B150,"~","~~"),"*","~*"),"?","~?"),$Q$3:$Q$1002,1)*10000-V150)</f>
        <v/>
      </c>
      <c r="X150" s="25">
        <f>IF(Q150=1,IF(SUBSTITUTE(SUBSTITUTE(SUBSTITUTE(SUBSTITUTE(SUBSTITUTE(SUBSTITUTE(SUBSTITUTE(SUBSTITUTE(SUBSTITUTE(SUBSTITUTE(SUBSTITUTE(SUBSTITUTE(LOWER(TRIM(A150)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150)),"á","a"),"é","e"),"í","i"),"ó","o"),"ú","u"),"ü","u"),"ñ","n"),"à","a"),"è","e"),"ì","i"),"ò","o"),"ù","u")),"")</f>
        <v/>
      </c>
      <c r="Y150" s="25">
        <f>IF(X150="","",IF(IFERROR(COUNTIF(X$3:X150,"="&amp;SUBSTITUTE(SUBSTITUTE(SUBSTITUTE(X150,"~","~~"),"*","~*"),"?","~?")),0)=1,1,""))</f>
        <v/>
      </c>
      <c r="Z150" s="25">
        <f>IF(T150=1,MAX(Z$2:Z149)+1,"")</f>
        <v/>
      </c>
    </row>
    <row r="151">
      <c r="A151">
        <f>IF(A$2=0,"",IFERROR(TRIM(INDEX('Pegar calibracion'!$A$1:$BZ$1001,150,A$2)&amp;""),""))</f>
        <v/>
      </c>
      <c r="B151">
        <f>IF(B$2=0,"",IFERROR(TRIM(INDEX('Pegar calibracion'!$A$1:$BZ$1001,150,B$2)&amp;""),""))</f>
        <v/>
      </c>
      <c r="C151">
        <f>IF(C$2=0,"",IFERROR(TRIM(INDEX('Pegar calibracion'!$A$1:$BZ$1001,150,C$2)&amp;""),""))</f>
        <v/>
      </c>
      <c r="D151">
        <f>IF(D$2=0,"",IFERROR(TRIM(INDEX('Pegar calibracion'!$A$1:$BZ$1001,150,D$2)&amp;""),""))</f>
        <v/>
      </c>
      <c r="E151">
        <f>IF(E$2=0,"",IFERROR(TRIM(INDEX('Pegar calibracion'!$A$1:$BZ$1001,150,E$2)&amp;""),""))</f>
        <v/>
      </c>
      <c r="F151">
        <f>IF(F$2=0,"",IFERROR(TRIM(INDEX('Pegar calibracion'!$A$1:$BZ$1001,150,F$2)&amp;""),""))</f>
        <v/>
      </c>
      <c r="G151">
        <f>IF(G$2=0,"",IFERROR(TRIM(INDEX('Pegar calibracion'!$A$1:$BZ$1001,150,G$2)&amp;""),""))</f>
        <v/>
      </c>
      <c r="H151">
        <f>IF(H$2=0,"",IFERROR(TRIM(INDEX('Pegar calibracion'!$A$1:$BZ$1001,150,H$2)&amp;""),""))</f>
        <v/>
      </c>
      <c r="I151">
        <f>IF(I$2=0,"",IFERROR(TRIM(INDEX('Pegar calibracion'!$A$1:$BZ$1001,150,I$2)&amp;""),""))</f>
        <v/>
      </c>
      <c r="J151">
        <f>IF(J$2=0,"",IFERROR(TRIM(INDEX('Pegar calibracion'!$A$1:$BZ$1001,150,J$2)&amp;""),""))</f>
        <v/>
      </c>
      <c r="K151">
        <f>IF(K$2=0,"",IFERROR(TRIM(INDEX('Pegar calibracion'!$A$1:$BZ$1001,150,K$2)&amp;""),""))</f>
        <v/>
      </c>
      <c r="L151">
        <f>IF(L$2=0,"",IFERROR(TRIM(INDEX('Pegar calibracion'!$A$1:$BZ$1001,150,L$2)&amp;""),""))</f>
        <v/>
      </c>
      <c r="M151" s="25">
        <f>IF(D151="","",SUBSTITUTE(SUBSTITUTE(SUBSTITUTE(SUBSTITUTE(SUBSTITUTE(SUBSTITUTE(SUBSTITUTE(SUBSTITUTE(SUBSTITUTE(SUBSTITUTE(SUBSTITUTE(SUBSTITUTE(LOWER(TRIM(D151)),"á","a"),"é","e"),"í","i"),"ó","o"),"ú","u"),"ü","u"),"ñ","n"),"à","a"),"è","e"),"ì","i"),"ò","o"),"ù","u"))</f>
        <v/>
      </c>
      <c r="N151" s="25">
        <f>IF(F151="","",SUBSTITUTE(SUBSTITUTE(SUBSTITUTE(SUBSTITUTE(SUBSTITUTE(SUBSTITUTE(SUBSTITUTE(SUBSTITUTE(SUBSTITUTE(SUBSTITUTE(SUBSTITUTE(SUBSTITUTE(LOWER(TRIM(F151)),"á","a"),"é","e"),"í","i"),"ó","o"),"ú","u"),"ü","u"),"ñ","n"),"à","a"),"è","e"),"ì","i"),"ò","o"),"ù","u"))</f>
        <v/>
      </c>
      <c r="O151" s="25">
        <f>IF(M151="confiable",2,IF(M151="dudosa",1,IF(M151="no confiable",0,"")))</f>
        <v/>
      </c>
      <c r="P151" s="25">
        <f>IF(N151="confiable",2,IF(N151="dudosa",1,IF(N151="no confiable",0,"")))</f>
        <v/>
      </c>
      <c r="Q151" s="25">
        <f>IF(AND(ISNUMBER(O151),ISNUMBER(P151)),1,"")</f>
        <v/>
      </c>
      <c r="R151" s="25">
        <f>IF(Q151=1,IF(O151=P151,"Sí","No"),"")</f>
        <v/>
      </c>
      <c r="S151" s="25">
        <f>IF(Q151=1,IF(P151&lt;O151,"Más estricto",IF(P151&gt;O151,"Más permisivo","Igual")),"")</f>
        <v/>
      </c>
      <c r="T151" s="25">
        <f>IF(Q151=1,IF(ABS(O151-P151)=2,1,0),"")</f>
        <v/>
      </c>
      <c r="U151" s="25">
        <f>IF(H151="","","|"&amp;SUBSTITUTE(SUBSTITUTE(TRIM(H151)," |","|"),"| ","|")&amp;"|")</f>
        <v/>
      </c>
      <c r="V151" s="25">
        <f>IF(AND(Q151=1,B151&lt;&gt;""),IF(IFERROR(COUNTIFS(B$3:B151,"="&amp;SUBSTITUTE(SUBSTITUTE(SUBSTITUTE(B151,"~","~~"),"*","~*"),"?","~?"),Q$3:Q151,1),0)=1,MAX(V$2:V150)+1,""),"")</f>
        <v/>
      </c>
      <c r="W151" s="25">
        <f>IF(V151="","",COUNTIFS($B$3:$B$1002,"="&amp;SUBSTITUTE(SUBSTITUTE(SUBSTITUTE(B151,"~","~~"),"*","~*"),"?","~?"),$Q$3:$Q$1002,1)*10000-V151)</f>
        <v/>
      </c>
      <c r="X151" s="25">
        <f>IF(Q151=1,IF(SUBSTITUTE(SUBSTITUTE(SUBSTITUTE(SUBSTITUTE(SUBSTITUTE(SUBSTITUTE(SUBSTITUTE(SUBSTITUTE(SUBSTITUTE(SUBSTITUTE(SUBSTITUTE(SUBSTITUTE(LOWER(TRIM(A151)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151)),"á","a"),"é","e"),"í","i"),"ó","o"),"ú","u"),"ü","u"),"ñ","n"),"à","a"),"è","e"),"ì","i"),"ò","o"),"ù","u")),"")</f>
        <v/>
      </c>
      <c r="Y151" s="25">
        <f>IF(X151="","",IF(IFERROR(COUNTIF(X$3:X151,"="&amp;SUBSTITUTE(SUBSTITUTE(SUBSTITUTE(X151,"~","~~"),"*","~*"),"?","~?")),0)=1,1,""))</f>
        <v/>
      </c>
      <c r="Z151" s="25">
        <f>IF(T151=1,MAX(Z$2:Z150)+1,"")</f>
        <v/>
      </c>
    </row>
    <row r="152">
      <c r="A152">
        <f>IF(A$2=0,"",IFERROR(TRIM(INDEX('Pegar calibracion'!$A$1:$BZ$1001,151,A$2)&amp;""),""))</f>
        <v/>
      </c>
      <c r="B152">
        <f>IF(B$2=0,"",IFERROR(TRIM(INDEX('Pegar calibracion'!$A$1:$BZ$1001,151,B$2)&amp;""),""))</f>
        <v/>
      </c>
      <c r="C152">
        <f>IF(C$2=0,"",IFERROR(TRIM(INDEX('Pegar calibracion'!$A$1:$BZ$1001,151,C$2)&amp;""),""))</f>
        <v/>
      </c>
      <c r="D152">
        <f>IF(D$2=0,"",IFERROR(TRIM(INDEX('Pegar calibracion'!$A$1:$BZ$1001,151,D$2)&amp;""),""))</f>
        <v/>
      </c>
      <c r="E152">
        <f>IF(E$2=0,"",IFERROR(TRIM(INDEX('Pegar calibracion'!$A$1:$BZ$1001,151,E$2)&amp;""),""))</f>
        <v/>
      </c>
      <c r="F152">
        <f>IF(F$2=0,"",IFERROR(TRIM(INDEX('Pegar calibracion'!$A$1:$BZ$1001,151,F$2)&amp;""),""))</f>
        <v/>
      </c>
      <c r="G152">
        <f>IF(G$2=0,"",IFERROR(TRIM(INDEX('Pegar calibracion'!$A$1:$BZ$1001,151,G$2)&amp;""),""))</f>
        <v/>
      </c>
      <c r="H152">
        <f>IF(H$2=0,"",IFERROR(TRIM(INDEX('Pegar calibracion'!$A$1:$BZ$1001,151,H$2)&amp;""),""))</f>
        <v/>
      </c>
      <c r="I152">
        <f>IF(I$2=0,"",IFERROR(TRIM(INDEX('Pegar calibracion'!$A$1:$BZ$1001,151,I$2)&amp;""),""))</f>
        <v/>
      </c>
      <c r="J152">
        <f>IF(J$2=0,"",IFERROR(TRIM(INDEX('Pegar calibracion'!$A$1:$BZ$1001,151,J$2)&amp;""),""))</f>
        <v/>
      </c>
      <c r="K152">
        <f>IF(K$2=0,"",IFERROR(TRIM(INDEX('Pegar calibracion'!$A$1:$BZ$1001,151,K$2)&amp;""),""))</f>
        <v/>
      </c>
      <c r="L152">
        <f>IF(L$2=0,"",IFERROR(TRIM(INDEX('Pegar calibracion'!$A$1:$BZ$1001,151,L$2)&amp;""),""))</f>
        <v/>
      </c>
      <c r="M152" s="25">
        <f>IF(D152="","",SUBSTITUTE(SUBSTITUTE(SUBSTITUTE(SUBSTITUTE(SUBSTITUTE(SUBSTITUTE(SUBSTITUTE(SUBSTITUTE(SUBSTITUTE(SUBSTITUTE(SUBSTITUTE(SUBSTITUTE(LOWER(TRIM(D152)),"á","a"),"é","e"),"í","i"),"ó","o"),"ú","u"),"ü","u"),"ñ","n"),"à","a"),"è","e"),"ì","i"),"ò","o"),"ù","u"))</f>
        <v/>
      </c>
      <c r="N152" s="25">
        <f>IF(F152="","",SUBSTITUTE(SUBSTITUTE(SUBSTITUTE(SUBSTITUTE(SUBSTITUTE(SUBSTITUTE(SUBSTITUTE(SUBSTITUTE(SUBSTITUTE(SUBSTITUTE(SUBSTITUTE(SUBSTITUTE(LOWER(TRIM(F152)),"á","a"),"é","e"),"í","i"),"ó","o"),"ú","u"),"ü","u"),"ñ","n"),"à","a"),"è","e"),"ì","i"),"ò","o"),"ù","u"))</f>
        <v/>
      </c>
      <c r="O152" s="25">
        <f>IF(M152="confiable",2,IF(M152="dudosa",1,IF(M152="no confiable",0,"")))</f>
        <v/>
      </c>
      <c r="P152" s="25">
        <f>IF(N152="confiable",2,IF(N152="dudosa",1,IF(N152="no confiable",0,"")))</f>
        <v/>
      </c>
      <c r="Q152" s="25">
        <f>IF(AND(ISNUMBER(O152),ISNUMBER(P152)),1,"")</f>
        <v/>
      </c>
      <c r="R152" s="25">
        <f>IF(Q152=1,IF(O152=P152,"Sí","No"),"")</f>
        <v/>
      </c>
      <c r="S152" s="25">
        <f>IF(Q152=1,IF(P152&lt;O152,"Más estricto",IF(P152&gt;O152,"Más permisivo","Igual")),"")</f>
        <v/>
      </c>
      <c r="T152" s="25">
        <f>IF(Q152=1,IF(ABS(O152-P152)=2,1,0),"")</f>
        <v/>
      </c>
      <c r="U152" s="25">
        <f>IF(H152="","","|"&amp;SUBSTITUTE(SUBSTITUTE(TRIM(H152)," |","|"),"| ","|")&amp;"|")</f>
        <v/>
      </c>
      <c r="V152" s="25">
        <f>IF(AND(Q152=1,B152&lt;&gt;""),IF(IFERROR(COUNTIFS(B$3:B152,"="&amp;SUBSTITUTE(SUBSTITUTE(SUBSTITUTE(B152,"~","~~"),"*","~*"),"?","~?"),Q$3:Q152,1),0)=1,MAX(V$2:V151)+1,""),"")</f>
        <v/>
      </c>
      <c r="W152" s="25">
        <f>IF(V152="","",COUNTIFS($B$3:$B$1002,"="&amp;SUBSTITUTE(SUBSTITUTE(SUBSTITUTE(B152,"~","~~"),"*","~*"),"?","~?"),$Q$3:$Q$1002,1)*10000-V152)</f>
        <v/>
      </c>
      <c r="X152" s="25">
        <f>IF(Q152=1,IF(SUBSTITUTE(SUBSTITUTE(SUBSTITUTE(SUBSTITUTE(SUBSTITUTE(SUBSTITUTE(SUBSTITUTE(SUBSTITUTE(SUBSTITUTE(SUBSTITUTE(SUBSTITUTE(SUBSTITUTE(LOWER(TRIM(A152)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152)),"á","a"),"é","e"),"í","i"),"ó","o"),"ú","u"),"ü","u"),"ñ","n"),"à","a"),"è","e"),"ì","i"),"ò","o"),"ù","u")),"")</f>
        <v/>
      </c>
      <c r="Y152" s="25">
        <f>IF(X152="","",IF(IFERROR(COUNTIF(X$3:X152,"="&amp;SUBSTITUTE(SUBSTITUTE(SUBSTITUTE(X152,"~","~~"),"*","~*"),"?","~?")),0)=1,1,""))</f>
        <v/>
      </c>
      <c r="Z152" s="25">
        <f>IF(T152=1,MAX(Z$2:Z151)+1,"")</f>
        <v/>
      </c>
    </row>
    <row r="153">
      <c r="A153">
        <f>IF(A$2=0,"",IFERROR(TRIM(INDEX('Pegar calibracion'!$A$1:$BZ$1001,152,A$2)&amp;""),""))</f>
        <v/>
      </c>
      <c r="B153">
        <f>IF(B$2=0,"",IFERROR(TRIM(INDEX('Pegar calibracion'!$A$1:$BZ$1001,152,B$2)&amp;""),""))</f>
        <v/>
      </c>
      <c r="C153">
        <f>IF(C$2=0,"",IFERROR(TRIM(INDEX('Pegar calibracion'!$A$1:$BZ$1001,152,C$2)&amp;""),""))</f>
        <v/>
      </c>
      <c r="D153">
        <f>IF(D$2=0,"",IFERROR(TRIM(INDEX('Pegar calibracion'!$A$1:$BZ$1001,152,D$2)&amp;""),""))</f>
        <v/>
      </c>
      <c r="E153">
        <f>IF(E$2=0,"",IFERROR(TRIM(INDEX('Pegar calibracion'!$A$1:$BZ$1001,152,E$2)&amp;""),""))</f>
        <v/>
      </c>
      <c r="F153">
        <f>IF(F$2=0,"",IFERROR(TRIM(INDEX('Pegar calibracion'!$A$1:$BZ$1001,152,F$2)&amp;""),""))</f>
        <v/>
      </c>
      <c r="G153">
        <f>IF(G$2=0,"",IFERROR(TRIM(INDEX('Pegar calibracion'!$A$1:$BZ$1001,152,G$2)&amp;""),""))</f>
        <v/>
      </c>
      <c r="H153">
        <f>IF(H$2=0,"",IFERROR(TRIM(INDEX('Pegar calibracion'!$A$1:$BZ$1001,152,H$2)&amp;""),""))</f>
        <v/>
      </c>
      <c r="I153">
        <f>IF(I$2=0,"",IFERROR(TRIM(INDEX('Pegar calibracion'!$A$1:$BZ$1001,152,I$2)&amp;""),""))</f>
        <v/>
      </c>
      <c r="J153">
        <f>IF(J$2=0,"",IFERROR(TRIM(INDEX('Pegar calibracion'!$A$1:$BZ$1001,152,J$2)&amp;""),""))</f>
        <v/>
      </c>
      <c r="K153">
        <f>IF(K$2=0,"",IFERROR(TRIM(INDEX('Pegar calibracion'!$A$1:$BZ$1001,152,K$2)&amp;""),""))</f>
        <v/>
      </c>
      <c r="L153">
        <f>IF(L$2=0,"",IFERROR(TRIM(INDEX('Pegar calibracion'!$A$1:$BZ$1001,152,L$2)&amp;""),""))</f>
        <v/>
      </c>
      <c r="M153" s="25">
        <f>IF(D153="","",SUBSTITUTE(SUBSTITUTE(SUBSTITUTE(SUBSTITUTE(SUBSTITUTE(SUBSTITUTE(SUBSTITUTE(SUBSTITUTE(SUBSTITUTE(SUBSTITUTE(SUBSTITUTE(SUBSTITUTE(LOWER(TRIM(D153)),"á","a"),"é","e"),"í","i"),"ó","o"),"ú","u"),"ü","u"),"ñ","n"),"à","a"),"è","e"),"ì","i"),"ò","o"),"ù","u"))</f>
        <v/>
      </c>
      <c r="N153" s="25">
        <f>IF(F153="","",SUBSTITUTE(SUBSTITUTE(SUBSTITUTE(SUBSTITUTE(SUBSTITUTE(SUBSTITUTE(SUBSTITUTE(SUBSTITUTE(SUBSTITUTE(SUBSTITUTE(SUBSTITUTE(SUBSTITUTE(LOWER(TRIM(F153)),"á","a"),"é","e"),"í","i"),"ó","o"),"ú","u"),"ü","u"),"ñ","n"),"à","a"),"è","e"),"ì","i"),"ò","o"),"ù","u"))</f>
        <v/>
      </c>
      <c r="O153" s="25">
        <f>IF(M153="confiable",2,IF(M153="dudosa",1,IF(M153="no confiable",0,"")))</f>
        <v/>
      </c>
      <c r="P153" s="25">
        <f>IF(N153="confiable",2,IF(N153="dudosa",1,IF(N153="no confiable",0,"")))</f>
        <v/>
      </c>
      <c r="Q153" s="25">
        <f>IF(AND(ISNUMBER(O153),ISNUMBER(P153)),1,"")</f>
        <v/>
      </c>
      <c r="R153" s="25">
        <f>IF(Q153=1,IF(O153=P153,"Sí","No"),"")</f>
        <v/>
      </c>
      <c r="S153" s="25">
        <f>IF(Q153=1,IF(P153&lt;O153,"Más estricto",IF(P153&gt;O153,"Más permisivo","Igual")),"")</f>
        <v/>
      </c>
      <c r="T153" s="25">
        <f>IF(Q153=1,IF(ABS(O153-P153)=2,1,0),"")</f>
        <v/>
      </c>
      <c r="U153" s="25">
        <f>IF(H153="","","|"&amp;SUBSTITUTE(SUBSTITUTE(TRIM(H153)," |","|"),"| ","|")&amp;"|")</f>
        <v/>
      </c>
      <c r="V153" s="25">
        <f>IF(AND(Q153=1,B153&lt;&gt;""),IF(IFERROR(COUNTIFS(B$3:B153,"="&amp;SUBSTITUTE(SUBSTITUTE(SUBSTITUTE(B153,"~","~~"),"*","~*"),"?","~?"),Q$3:Q153,1),0)=1,MAX(V$2:V152)+1,""),"")</f>
        <v/>
      </c>
      <c r="W153" s="25">
        <f>IF(V153="","",COUNTIFS($B$3:$B$1002,"="&amp;SUBSTITUTE(SUBSTITUTE(SUBSTITUTE(B153,"~","~~"),"*","~*"),"?","~?"),$Q$3:$Q$1002,1)*10000-V153)</f>
        <v/>
      </c>
      <c r="X153" s="25">
        <f>IF(Q153=1,IF(SUBSTITUTE(SUBSTITUTE(SUBSTITUTE(SUBSTITUTE(SUBSTITUTE(SUBSTITUTE(SUBSTITUTE(SUBSTITUTE(SUBSTITUTE(SUBSTITUTE(SUBSTITUTE(SUBSTITUTE(LOWER(TRIM(A153)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153)),"á","a"),"é","e"),"í","i"),"ó","o"),"ú","u"),"ü","u"),"ñ","n"),"à","a"),"è","e"),"ì","i"),"ò","o"),"ù","u")),"")</f>
        <v/>
      </c>
      <c r="Y153" s="25">
        <f>IF(X153="","",IF(IFERROR(COUNTIF(X$3:X153,"="&amp;SUBSTITUTE(SUBSTITUTE(SUBSTITUTE(X153,"~","~~"),"*","~*"),"?","~?")),0)=1,1,""))</f>
        <v/>
      </c>
      <c r="Z153" s="25">
        <f>IF(T153=1,MAX(Z$2:Z152)+1,"")</f>
        <v/>
      </c>
    </row>
    <row r="154">
      <c r="A154">
        <f>IF(A$2=0,"",IFERROR(TRIM(INDEX('Pegar calibracion'!$A$1:$BZ$1001,153,A$2)&amp;""),""))</f>
        <v/>
      </c>
      <c r="B154">
        <f>IF(B$2=0,"",IFERROR(TRIM(INDEX('Pegar calibracion'!$A$1:$BZ$1001,153,B$2)&amp;""),""))</f>
        <v/>
      </c>
      <c r="C154">
        <f>IF(C$2=0,"",IFERROR(TRIM(INDEX('Pegar calibracion'!$A$1:$BZ$1001,153,C$2)&amp;""),""))</f>
        <v/>
      </c>
      <c r="D154">
        <f>IF(D$2=0,"",IFERROR(TRIM(INDEX('Pegar calibracion'!$A$1:$BZ$1001,153,D$2)&amp;""),""))</f>
        <v/>
      </c>
      <c r="E154">
        <f>IF(E$2=0,"",IFERROR(TRIM(INDEX('Pegar calibracion'!$A$1:$BZ$1001,153,E$2)&amp;""),""))</f>
        <v/>
      </c>
      <c r="F154">
        <f>IF(F$2=0,"",IFERROR(TRIM(INDEX('Pegar calibracion'!$A$1:$BZ$1001,153,F$2)&amp;""),""))</f>
        <v/>
      </c>
      <c r="G154">
        <f>IF(G$2=0,"",IFERROR(TRIM(INDEX('Pegar calibracion'!$A$1:$BZ$1001,153,G$2)&amp;""),""))</f>
        <v/>
      </c>
      <c r="H154">
        <f>IF(H$2=0,"",IFERROR(TRIM(INDEX('Pegar calibracion'!$A$1:$BZ$1001,153,H$2)&amp;""),""))</f>
        <v/>
      </c>
      <c r="I154">
        <f>IF(I$2=0,"",IFERROR(TRIM(INDEX('Pegar calibracion'!$A$1:$BZ$1001,153,I$2)&amp;""),""))</f>
        <v/>
      </c>
      <c r="J154">
        <f>IF(J$2=0,"",IFERROR(TRIM(INDEX('Pegar calibracion'!$A$1:$BZ$1001,153,J$2)&amp;""),""))</f>
        <v/>
      </c>
      <c r="K154">
        <f>IF(K$2=0,"",IFERROR(TRIM(INDEX('Pegar calibracion'!$A$1:$BZ$1001,153,K$2)&amp;""),""))</f>
        <v/>
      </c>
      <c r="L154">
        <f>IF(L$2=0,"",IFERROR(TRIM(INDEX('Pegar calibracion'!$A$1:$BZ$1001,153,L$2)&amp;""),""))</f>
        <v/>
      </c>
      <c r="M154" s="25">
        <f>IF(D154="","",SUBSTITUTE(SUBSTITUTE(SUBSTITUTE(SUBSTITUTE(SUBSTITUTE(SUBSTITUTE(SUBSTITUTE(SUBSTITUTE(SUBSTITUTE(SUBSTITUTE(SUBSTITUTE(SUBSTITUTE(LOWER(TRIM(D154)),"á","a"),"é","e"),"í","i"),"ó","o"),"ú","u"),"ü","u"),"ñ","n"),"à","a"),"è","e"),"ì","i"),"ò","o"),"ù","u"))</f>
        <v/>
      </c>
      <c r="N154" s="25">
        <f>IF(F154="","",SUBSTITUTE(SUBSTITUTE(SUBSTITUTE(SUBSTITUTE(SUBSTITUTE(SUBSTITUTE(SUBSTITUTE(SUBSTITUTE(SUBSTITUTE(SUBSTITUTE(SUBSTITUTE(SUBSTITUTE(LOWER(TRIM(F154)),"á","a"),"é","e"),"í","i"),"ó","o"),"ú","u"),"ü","u"),"ñ","n"),"à","a"),"è","e"),"ì","i"),"ò","o"),"ù","u"))</f>
        <v/>
      </c>
      <c r="O154" s="25">
        <f>IF(M154="confiable",2,IF(M154="dudosa",1,IF(M154="no confiable",0,"")))</f>
        <v/>
      </c>
      <c r="P154" s="25">
        <f>IF(N154="confiable",2,IF(N154="dudosa",1,IF(N154="no confiable",0,"")))</f>
        <v/>
      </c>
      <c r="Q154" s="25">
        <f>IF(AND(ISNUMBER(O154),ISNUMBER(P154)),1,"")</f>
        <v/>
      </c>
      <c r="R154" s="25">
        <f>IF(Q154=1,IF(O154=P154,"Sí","No"),"")</f>
        <v/>
      </c>
      <c r="S154" s="25">
        <f>IF(Q154=1,IF(P154&lt;O154,"Más estricto",IF(P154&gt;O154,"Más permisivo","Igual")),"")</f>
        <v/>
      </c>
      <c r="T154" s="25">
        <f>IF(Q154=1,IF(ABS(O154-P154)=2,1,0),"")</f>
        <v/>
      </c>
      <c r="U154" s="25">
        <f>IF(H154="","","|"&amp;SUBSTITUTE(SUBSTITUTE(TRIM(H154)," |","|"),"| ","|")&amp;"|")</f>
        <v/>
      </c>
      <c r="V154" s="25">
        <f>IF(AND(Q154=1,B154&lt;&gt;""),IF(IFERROR(COUNTIFS(B$3:B154,"="&amp;SUBSTITUTE(SUBSTITUTE(SUBSTITUTE(B154,"~","~~"),"*","~*"),"?","~?"),Q$3:Q154,1),0)=1,MAX(V$2:V153)+1,""),"")</f>
        <v/>
      </c>
      <c r="W154" s="25">
        <f>IF(V154="","",COUNTIFS($B$3:$B$1002,"="&amp;SUBSTITUTE(SUBSTITUTE(SUBSTITUTE(B154,"~","~~"),"*","~*"),"?","~?"),$Q$3:$Q$1002,1)*10000-V154)</f>
        <v/>
      </c>
      <c r="X154" s="25">
        <f>IF(Q154=1,IF(SUBSTITUTE(SUBSTITUTE(SUBSTITUTE(SUBSTITUTE(SUBSTITUTE(SUBSTITUTE(SUBSTITUTE(SUBSTITUTE(SUBSTITUTE(SUBSTITUTE(SUBSTITUTE(SUBSTITUTE(LOWER(TRIM(A154)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154)),"á","a"),"é","e"),"í","i"),"ó","o"),"ú","u"),"ü","u"),"ñ","n"),"à","a"),"è","e"),"ì","i"),"ò","o"),"ù","u")),"")</f>
        <v/>
      </c>
      <c r="Y154" s="25">
        <f>IF(X154="","",IF(IFERROR(COUNTIF(X$3:X154,"="&amp;SUBSTITUTE(SUBSTITUTE(SUBSTITUTE(X154,"~","~~"),"*","~*"),"?","~?")),0)=1,1,""))</f>
        <v/>
      </c>
      <c r="Z154" s="25">
        <f>IF(T154=1,MAX(Z$2:Z153)+1,"")</f>
        <v/>
      </c>
    </row>
    <row r="155">
      <c r="A155">
        <f>IF(A$2=0,"",IFERROR(TRIM(INDEX('Pegar calibracion'!$A$1:$BZ$1001,154,A$2)&amp;""),""))</f>
        <v/>
      </c>
      <c r="B155">
        <f>IF(B$2=0,"",IFERROR(TRIM(INDEX('Pegar calibracion'!$A$1:$BZ$1001,154,B$2)&amp;""),""))</f>
        <v/>
      </c>
      <c r="C155">
        <f>IF(C$2=0,"",IFERROR(TRIM(INDEX('Pegar calibracion'!$A$1:$BZ$1001,154,C$2)&amp;""),""))</f>
        <v/>
      </c>
      <c r="D155">
        <f>IF(D$2=0,"",IFERROR(TRIM(INDEX('Pegar calibracion'!$A$1:$BZ$1001,154,D$2)&amp;""),""))</f>
        <v/>
      </c>
      <c r="E155">
        <f>IF(E$2=0,"",IFERROR(TRIM(INDEX('Pegar calibracion'!$A$1:$BZ$1001,154,E$2)&amp;""),""))</f>
        <v/>
      </c>
      <c r="F155">
        <f>IF(F$2=0,"",IFERROR(TRIM(INDEX('Pegar calibracion'!$A$1:$BZ$1001,154,F$2)&amp;""),""))</f>
        <v/>
      </c>
      <c r="G155">
        <f>IF(G$2=0,"",IFERROR(TRIM(INDEX('Pegar calibracion'!$A$1:$BZ$1001,154,G$2)&amp;""),""))</f>
        <v/>
      </c>
      <c r="H155">
        <f>IF(H$2=0,"",IFERROR(TRIM(INDEX('Pegar calibracion'!$A$1:$BZ$1001,154,H$2)&amp;""),""))</f>
        <v/>
      </c>
      <c r="I155">
        <f>IF(I$2=0,"",IFERROR(TRIM(INDEX('Pegar calibracion'!$A$1:$BZ$1001,154,I$2)&amp;""),""))</f>
        <v/>
      </c>
      <c r="J155">
        <f>IF(J$2=0,"",IFERROR(TRIM(INDEX('Pegar calibracion'!$A$1:$BZ$1001,154,J$2)&amp;""),""))</f>
        <v/>
      </c>
      <c r="K155">
        <f>IF(K$2=0,"",IFERROR(TRIM(INDEX('Pegar calibracion'!$A$1:$BZ$1001,154,K$2)&amp;""),""))</f>
        <v/>
      </c>
      <c r="L155">
        <f>IF(L$2=0,"",IFERROR(TRIM(INDEX('Pegar calibracion'!$A$1:$BZ$1001,154,L$2)&amp;""),""))</f>
        <v/>
      </c>
      <c r="M155" s="25">
        <f>IF(D155="","",SUBSTITUTE(SUBSTITUTE(SUBSTITUTE(SUBSTITUTE(SUBSTITUTE(SUBSTITUTE(SUBSTITUTE(SUBSTITUTE(SUBSTITUTE(SUBSTITUTE(SUBSTITUTE(SUBSTITUTE(LOWER(TRIM(D155)),"á","a"),"é","e"),"í","i"),"ó","o"),"ú","u"),"ü","u"),"ñ","n"),"à","a"),"è","e"),"ì","i"),"ò","o"),"ù","u"))</f>
        <v/>
      </c>
      <c r="N155" s="25">
        <f>IF(F155="","",SUBSTITUTE(SUBSTITUTE(SUBSTITUTE(SUBSTITUTE(SUBSTITUTE(SUBSTITUTE(SUBSTITUTE(SUBSTITUTE(SUBSTITUTE(SUBSTITUTE(SUBSTITUTE(SUBSTITUTE(LOWER(TRIM(F155)),"á","a"),"é","e"),"í","i"),"ó","o"),"ú","u"),"ü","u"),"ñ","n"),"à","a"),"è","e"),"ì","i"),"ò","o"),"ù","u"))</f>
        <v/>
      </c>
      <c r="O155" s="25">
        <f>IF(M155="confiable",2,IF(M155="dudosa",1,IF(M155="no confiable",0,"")))</f>
        <v/>
      </c>
      <c r="P155" s="25">
        <f>IF(N155="confiable",2,IF(N155="dudosa",1,IF(N155="no confiable",0,"")))</f>
        <v/>
      </c>
      <c r="Q155" s="25">
        <f>IF(AND(ISNUMBER(O155),ISNUMBER(P155)),1,"")</f>
        <v/>
      </c>
      <c r="R155" s="25">
        <f>IF(Q155=1,IF(O155=P155,"Sí","No"),"")</f>
        <v/>
      </c>
      <c r="S155" s="25">
        <f>IF(Q155=1,IF(P155&lt;O155,"Más estricto",IF(P155&gt;O155,"Más permisivo","Igual")),"")</f>
        <v/>
      </c>
      <c r="T155" s="25">
        <f>IF(Q155=1,IF(ABS(O155-P155)=2,1,0),"")</f>
        <v/>
      </c>
      <c r="U155" s="25">
        <f>IF(H155="","","|"&amp;SUBSTITUTE(SUBSTITUTE(TRIM(H155)," |","|"),"| ","|")&amp;"|")</f>
        <v/>
      </c>
      <c r="V155" s="25">
        <f>IF(AND(Q155=1,B155&lt;&gt;""),IF(IFERROR(COUNTIFS(B$3:B155,"="&amp;SUBSTITUTE(SUBSTITUTE(SUBSTITUTE(B155,"~","~~"),"*","~*"),"?","~?"),Q$3:Q155,1),0)=1,MAX(V$2:V154)+1,""),"")</f>
        <v/>
      </c>
      <c r="W155" s="25">
        <f>IF(V155="","",COUNTIFS($B$3:$B$1002,"="&amp;SUBSTITUTE(SUBSTITUTE(SUBSTITUTE(B155,"~","~~"),"*","~*"),"?","~?"),$Q$3:$Q$1002,1)*10000-V155)</f>
        <v/>
      </c>
      <c r="X155" s="25">
        <f>IF(Q155=1,IF(SUBSTITUTE(SUBSTITUTE(SUBSTITUTE(SUBSTITUTE(SUBSTITUTE(SUBSTITUTE(SUBSTITUTE(SUBSTITUTE(SUBSTITUTE(SUBSTITUTE(SUBSTITUTE(SUBSTITUTE(LOWER(TRIM(A155)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155)),"á","a"),"é","e"),"í","i"),"ó","o"),"ú","u"),"ü","u"),"ñ","n"),"à","a"),"è","e"),"ì","i"),"ò","o"),"ù","u")),"")</f>
        <v/>
      </c>
      <c r="Y155" s="25">
        <f>IF(X155="","",IF(IFERROR(COUNTIF(X$3:X155,"="&amp;SUBSTITUTE(SUBSTITUTE(SUBSTITUTE(X155,"~","~~"),"*","~*"),"?","~?")),0)=1,1,""))</f>
        <v/>
      </c>
      <c r="Z155" s="25">
        <f>IF(T155=1,MAX(Z$2:Z154)+1,"")</f>
        <v/>
      </c>
    </row>
    <row r="156">
      <c r="A156">
        <f>IF(A$2=0,"",IFERROR(TRIM(INDEX('Pegar calibracion'!$A$1:$BZ$1001,155,A$2)&amp;""),""))</f>
        <v/>
      </c>
      <c r="B156">
        <f>IF(B$2=0,"",IFERROR(TRIM(INDEX('Pegar calibracion'!$A$1:$BZ$1001,155,B$2)&amp;""),""))</f>
        <v/>
      </c>
      <c r="C156">
        <f>IF(C$2=0,"",IFERROR(TRIM(INDEX('Pegar calibracion'!$A$1:$BZ$1001,155,C$2)&amp;""),""))</f>
        <v/>
      </c>
      <c r="D156">
        <f>IF(D$2=0,"",IFERROR(TRIM(INDEX('Pegar calibracion'!$A$1:$BZ$1001,155,D$2)&amp;""),""))</f>
        <v/>
      </c>
      <c r="E156">
        <f>IF(E$2=0,"",IFERROR(TRIM(INDEX('Pegar calibracion'!$A$1:$BZ$1001,155,E$2)&amp;""),""))</f>
        <v/>
      </c>
      <c r="F156">
        <f>IF(F$2=0,"",IFERROR(TRIM(INDEX('Pegar calibracion'!$A$1:$BZ$1001,155,F$2)&amp;""),""))</f>
        <v/>
      </c>
      <c r="G156">
        <f>IF(G$2=0,"",IFERROR(TRIM(INDEX('Pegar calibracion'!$A$1:$BZ$1001,155,G$2)&amp;""),""))</f>
        <v/>
      </c>
      <c r="H156">
        <f>IF(H$2=0,"",IFERROR(TRIM(INDEX('Pegar calibracion'!$A$1:$BZ$1001,155,H$2)&amp;""),""))</f>
        <v/>
      </c>
      <c r="I156">
        <f>IF(I$2=0,"",IFERROR(TRIM(INDEX('Pegar calibracion'!$A$1:$BZ$1001,155,I$2)&amp;""),""))</f>
        <v/>
      </c>
      <c r="J156">
        <f>IF(J$2=0,"",IFERROR(TRIM(INDEX('Pegar calibracion'!$A$1:$BZ$1001,155,J$2)&amp;""),""))</f>
        <v/>
      </c>
      <c r="K156">
        <f>IF(K$2=0,"",IFERROR(TRIM(INDEX('Pegar calibracion'!$A$1:$BZ$1001,155,K$2)&amp;""),""))</f>
        <v/>
      </c>
      <c r="L156">
        <f>IF(L$2=0,"",IFERROR(TRIM(INDEX('Pegar calibracion'!$A$1:$BZ$1001,155,L$2)&amp;""),""))</f>
        <v/>
      </c>
      <c r="M156" s="25">
        <f>IF(D156="","",SUBSTITUTE(SUBSTITUTE(SUBSTITUTE(SUBSTITUTE(SUBSTITUTE(SUBSTITUTE(SUBSTITUTE(SUBSTITUTE(SUBSTITUTE(SUBSTITUTE(SUBSTITUTE(SUBSTITUTE(LOWER(TRIM(D156)),"á","a"),"é","e"),"í","i"),"ó","o"),"ú","u"),"ü","u"),"ñ","n"),"à","a"),"è","e"),"ì","i"),"ò","o"),"ù","u"))</f>
        <v/>
      </c>
      <c r="N156" s="25">
        <f>IF(F156="","",SUBSTITUTE(SUBSTITUTE(SUBSTITUTE(SUBSTITUTE(SUBSTITUTE(SUBSTITUTE(SUBSTITUTE(SUBSTITUTE(SUBSTITUTE(SUBSTITUTE(SUBSTITUTE(SUBSTITUTE(LOWER(TRIM(F156)),"á","a"),"é","e"),"í","i"),"ó","o"),"ú","u"),"ü","u"),"ñ","n"),"à","a"),"è","e"),"ì","i"),"ò","o"),"ù","u"))</f>
        <v/>
      </c>
      <c r="O156" s="25">
        <f>IF(M156="confiable",2,IF(M156="dudosa",1,IF(M156="no confiable",0,"")))</f>
        <v/>
      </c>
      <c r="P156" s="25">
        <f>IF(N156="confiable",2,IF(N156="dudosa",1,IF(N156="no confiable",0,"")))</f>
        <v/>
      </c>
      <c r="Q156" s="25">
        <f>IF(AND(ISNUMBER(O156),ISNUMBER(P156)),1,"")</f>
        <v/>
      </c>
      <c r="R156" s="25">
        <f>IF(Q156=1,IF(O156=P156,"Sí","No"),"")</f>
        <v/>
      </c>
      <c r="S156" s="25">
        <f>IF(Q156=1,IF(P156&lt;O156,"Más estricto",IF(P156&gt;O156,"Más permisivo","Igual")),"")</f>
        <v/>
      </c>
      <c r="T156" s="25">
        <f>IF(Q156=1,IF(ABS(O156-P156)=2,1,0),"")</f>
        <v/>
      </c>
      <c r="U156" s="25">
        <f>IF(H156="","","|"&amp;SUBSTITUTE(SUBSTITUTE(TRIM(H156)," |","|"),"| ","|")&amp;"|")</f>
        <v/>
      </c>
      <c r="V156" s="25">
        <f>IF(AND(Q156=1,B156&lt;&gt;""),IF(IFERROR(COUNTIFS(B$3:B156,"="&amp;SUBSTITUTE(SUBSTITUTE(SUBSTITUTE(B156,"~","~~"),"*","~*"),"?","~?"),Q$3:Q156,1),0)=1,MAX(V$2:V155)+1,""),"")</f>
        <v/>
      </c>
      <c r="W156" s="25">
        <f>IF(V156="","",COUNTIFS($B$3:$B$1002,"="&amp;SUBSTITUTE(SUBSTITUTE(SUBSTITUTE(B156,"~","~~"),"*","~*"),"?","~?"),$Q$3:$Q$1002,1)*10000-V156)</f>
        <v/>
      </c>
      <c r="X156" s="25">
        <f>IF(Q156=1,IF(SUBSTITUTE(SUBSTITUTE(SUBSTITUTE(SUBSTITUTE(SUBSTITUTE(SUBSTITUTE(SUBSTITUTE(SUBSTITUTE(SUBSTITUTE(SUBSTITUTE(SUBSTITUTE(SUBSTITUTE(LOWER(TRIM(A156)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156)),"á","a"),"é","e"),"í","i"),"ó","o"),"ú","u"),"ü","u"),"ñ","n"),"à","a"),"è","e"),"ì","i"),"ò","o"),"ù","u")),"")</f>
        <v/>
      </c>
      <c r="Y156" s="25">
        <f>IF(X156="","",IF(IFERROR(COUNTIF(X$3:X156,"="&amp;SUBSTITUTE(SUBSTITUTE(SUBSTITUTE(X156,"~","~~"),"*","~*"),"?","~?")),0)=1,1,""))</f>
        <v/>
      </c>
      <c r="Z156" s="25">
        <f>IF(T156=1,MAX(Z$2:Z155)+1,"")</f>
        <v/>
      </c>
    </row>
    <row r="157">
      <c r="A157">
        <f>IF(A$2=0,"",IFERROR(TRIM(INDEX('Pegar calibracion'!$A$1:$BZ$1001,156,A$2)&amp;""),""))</f>
        <v/>
      </c>
      <c r="B157">
        <f>IF(B$2=0,"",IFERROR(TRIM(INDEX('Pegar calibracion'!$A$1:$BZ$1001,156,B$2)&amp;""),""))</f>
        <v/>
      </c>
      <c r="C157">
        <f>IF(C$2=0,"",IFERROR(TRIM(INDEX('Pegar calibracion'!$A$1:$BZ$1001,156,C$2)&amp;""),""))</f>
        <v/>
      </c>
      <c r="D157">
        <f>IF(D$2=0,"",IFERROR(TRIM(INDEX('Pegar calibracion'!$A$1:$BZ$1001,156,D$2)&amp;""),""))</f>
        <v/>
      </c>
      <c r="E157">
        <f>IF(E$2=0,"",IFERROR(TRIM(INDEX('Pegar calibracion'!$A$1:$BZ$1001,156,E$2)&amp;""),""))</f>
        <v/>
      </c>
      <c r="F157">
        <f>IF(F$2=0,"",IFERROR(TRIM(INDEX('Pegar calibracion'!$A$1:$BZ$1001,156,F$2)&amp;""),""))</f>
        <v/>
      </c>
      <c r="G157">
        <f>IF(G$2=0,"",IFERROR(TRIM(INDEX('Pegar calibracion'!$A$1:$BZ$1001,156,G$2)&amp;""),""))</f>
        <v/>
      </c>
      <c r="H157">
        <f>IF(H$2=0,"",IFERROR(TRIM(INDEX('Pegar calibracion'!$A$1:$BZ$1001,156,H$2)&amp;""),""))</f>
        <v/>
      </c>
      <c r="I157">
        <f>IF(I$2=0,"",IFERROR(TRIM(INDEX('Pegar calibracion'!$A$1:$BZ$1001,156,I$2)&amp;""),""))</f>
        <v/>
      </c>
      <c r="J157">
        <f>IF(J$2=0,"",IFERROR(TRIM(INDEX('Pegar calibracion'!$A$1:$BZ$1001,156,J$2)&amp;""),""))</f>
        <v/>
      </c>
      <c r="K157">
        <f>IF(K$2=0,"",IFERROR(TRIM(INDEX('Pegar calibracion'!$A$1:$BZ$1001,156,K$2)&amp;""),""))</f>
        <v/>
      </c>
      <c r="L157">
        <f>IF(L$2=0,"",IFERROR(TRIM(INDEX('Pegar calibracion'!$A$1:$BZ$1001,156,L$2)&amp;""),""))</f>
        <v/>
      </c>
      <c r="M157" s="25">
        <f>IF(D157="","",SUBSTITUTE(SUBSTITUTE(SUBSTITUTE(SUBSTITUTE(SUBSTITUTE(SUBSTITUTE(SUBSTITUTE(SUBSTITUTE(SUBSTITUTE(SUBSTITUTE(SUBSTITUTE(SUBSTITUTE(LOWER(TRIM(D157)),"á","a"),"é","e"),"í","i"),"ó","o"),"ú","u"),"ü","u"),"ñ","n"),"à","a"),"è","e"),"ì","i"),"ò","o"),"ù","u"))</f>
        <v/>
      </c>
      <c r="N157" s="25">
        <f>IF(F157="","",SUBSTITUTE(SUBSTITUTE(SUBSTITUTE(SUBSTITUTE(SUBSTITUTE(SUBSTITUTE(SUBSTITUTE(SUBSTITUTE(SUBSTITUTE(SUBSTITUTE(SUBSTITUTE(SUBSTITUTE(LOWER(TRIM(F157)),"á","a"),"é","e"),"í","i"),"ó","o"),"ú","u"),"ü","u"),"ñ","n"),"à","a"),"è","e"),"ì","i"),"ò","o"),"ù","u"))</f>
        <v/>
      </c>
      <c r="O157" s="25">
        <f>IF(M157="confiable",2,IF(M157="dudosa",1,IF(M157="no confiable",0,"")))</f>
        <v/>
      </c>
      <c r="P157" s="25">
        <f>IF(N157="confiable",2,IF(N157="dudosa",1,IF(N157="no confiable",0,"")))</f>
        <v/>
      </c>
      <c r="Q157" s="25">
        <f>IF(AND(ISNUMBER(O157),ISNUMBER(P157)),1,"")</f>
        <v/>
      </c>
      <c r="R157" s="25">
        <f>IF(Q157=1,IF(O157=P157,"Sí","No"),"")</f>
        <v/>
      </c>
      <c r="S157" s="25">
        <f>IF(Q157=1,IF(P157&lt;O157,"Más estricto",IF(P157&gt;O157,"Más permisivo","Igual")),"")</f>
        <v/>
      </c>
      <c r="T157" s="25">
        <f>IF(Q157=1,IF(ABS(O157-P157)=2,1,0),"")</f>
        <v/>
      </c>
      <c r="U157" s="25">
        <f>IF(H157="","","|"&amp;SUBSTITUTE(SUBSTITUTE(TRIM(H157)," |","|"),"| ","|")&amp;"|")</f>
        <v/>
      </c>
      <c r="V157" s="25">
        <f>IF(AND(Q157=1,B157&lt;&gt;""),IF(IFERROR(COUNTIFS(B$3:B157,"="&amp;SUBSTITUTE(SUBSTITUTE(SUBSTITUTE(B157,"~","~~"),"*","~*"),"?","~?"),Q$3:Q157,1),0)=1,MAX(V$2:V156)+1,""),"")</f>
        <v/>
      </c>
      <c r="W157" s="25">
        <f>IF(V157="","",COUNTIFS($B$3:$B$1002,"="&amp;SUBSTITUTE(SUBSTITUTE(SUBSTITUTE(B157,"~","~~"),"*","~*"),"?","~?"),$Q$3:$Q$1002,1)*10000-V157)</f>
        <v/>
      </c>
      <c r="X157" s="25">
        <f>IF(Q157=1,IF(SUBSTITUTE(SUBSTITUTE(SUBSTITUTE(SUBSTITUTE(SUBSTITUTE(SUBSTITUTE(SUBSTITUTE(SUBSTITUTE(SUBSTITUTE(SUBSTITUTE(SUBSTITUTE(SUBSTITUTE(LOWER(TRIM(A157)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157)),"á","a"),"é","e"),"í","i"),"ó","o"),"ú","u"),"ü","u"),"ñ","n"),"à","a"),"è","e"),"ì","i"),"ò","o"),"ù","u")),"")</f>
        <v/>
      </c>
      <c r="Y157" s="25">
        <f>IF(X157="","",IF(IFERROR(COUNTIF(X$3:X157,"="&amp;SUBSTITUTE(SUBSTITUTE(SUBSTITUTE(X157,"~","~~"),"*","~*"),"?","~?")),0)=1,1,""))</f>
        <v/>
      </c>
      <c r="Z157" s="25">
        <f>IF(T157=1,MAX(Z$2:Z156)+1,"")</f>
        <v/>
      </c>
    </row>
    <row r="158">
      <c r="A158">
        <f>IF(A$2=0,"",IFERROR(TRIM(INDEX('Pegar calibracion'!$A$1:$BZ$1001,157,A$2)&amp;""),""))</f>
        <v/>
      </c>
      <c r="B158">
        <f>IF(B$2=0,"",IFERROR(TRIM(INDEX('Pegar calibracion'!$A$1:$BZ$1001,157,B$2)&amp;""),""))</f>
        <v/>
      </c>
      <c r="C158">
        <f>IF(C$2=0,"",IFERROR(TRIM(INDEX('Pegar calibracion'!$A$1:$BZ$1001,157,C$2)&amp;""),""))</f>
        <v/>
      </c>
      <c r="D158">
        <f>IF(D$2=0,"",IFERROR(TRIM(INDEX('Pegar calibracion'!$A$1:$BZ$1001,157,D$2)&amp;""),""))</f>
        <v/>
      </c>
      <c r="E158">
        <f>IF(E$2=0,"",IFERROR(TRIM(INDEX('Pegar calibracion'!$A$1:$BZ$1001,157,E$2)&amp;""),""))</f>
        <v/>
      </c>
      <c r="F158">
        <f>IF(F$2=0,"",IFERROR(TRIM(INDEX('Pegar calibracion'!$A$1:$BZ$1001,157,F$2)&amp;""),""))</f>
        <v/>
      </c>
      <c r="G158">
        <f>IF(G$2=0,"",IFERROR(TRIM(INDEX('Pegar calibracion'!$A$1:$BZ$1001,157,G$2)&amp;""),""))</f>
        <v/>
      </c>
      <c r="H158">
        <f>IF(H$2=0,"",IFERROR(TRIM(INDEX('Pegar calibracion'!$A$1:$BZ$1001,157,H$2)&amp;""),""))</f>
        <v/>
      </c>
      <c r="I158">
        <f>IF(I$2=0,"",IFERROR(TRIM(INDEX('Pegar calibracion'!$A$1:$BZ$1001,157,I$2)&amp;""),""))</f>
        <v/>
      </c>
      <c r="J158">
        <f>IF(J$2=0,"",IFERROR(TRIM(INDEX('Pegar calibracion'!$A$1:$BZ$1001,157,J$2)&amp;""),""))</f>
        <v/>
      </c>
      <c r="K158">
        <f>IF(K$2=0,"",IFERROR(TRIM(INDEX('Pegar calibracion'!$A$1:$BZ$1001,157,K$2)&amp;""),""))</f>
        <v/>
      </c>
      <c r="L158">
        <f>IF(L$2=0,"",IFERROR(TRIM(INDEX('Pegar calibracion'!$A$1:$BZ$1001,157,L$2)&amp;""),""))</f>
        <v/>
      </c>
      <c r="M158" s="25">
        <f>IF(D158="","",SUBSTITUTE(SUBSTITUTE(SUBSTITUTE(SUBSTITUTE(SUBSTITUTE(SUBSTITUTE(SUBSTITUTE(SUBSTITUTE(SUBSTITUTE(SUBSTITUTE(SUBSTITUTE(SUBSTITUTE(LOWER(TRIM(D158)),"á","a"),"é","e"),"í","i"),"ó","o"),"ú","u"),"ü","u"),"ñ","n"),"à","a"),"è","e"),"ì","i"),"ò","o"),"ù","u"))</f>
        <v/>
      </c>
      <c r="N158" s="25">
        <f>IF(F158="","",SUBSTITUTE(SUBSTITUTE(SUBSTITUTE(SUBSTITUTE(SUBSTITUTE(SUBSTITUTE(SUBSTITUTE(SUBSTITUTE(SUBSTITUTE(SUBSTITUTE(SUBSTITUTE(SUBSTITUTE(LOWER(TRIM(F158)),"á","a"),"é","e"),"í","i"),"ó","o"),"ú","u"),"ü","u"),"ñ","n"),"à","a"),"è","e"),"ì","i"),"ò","o"),"ù","u"))</f>
        <v/>
      </c>
      <c r="O158" s="25">
        <f>IF(M158="confiable",2,IF(M158="dudosa",1,IF(M158="no confiable",0,"")))</f>
        <v/>
      </c>
      <c r="P158" s="25">
        <f>IF(N158="confiable",2,IF(N158="dudosa",1,IF(N158="no confiable",0,"")))</f>
        <v/>
      </c>
      <c r="Q158" s="25">
        <f>IF(AND(ISNUMBER(O158),ISNUMBER(P158)),1,"")</f>
        <v/>
      </c>
      <c r="R158" s="25">
        <f>IF(Q158=1,IF(O158=P158,"Sí","No"),"")</f>
        <v/>
      </c>
      <c r="S158" s="25">
        <f>IF(Q158=1,IF(P158&lt;O158,"Más estricto",IF(P158&gt;O158,"Más permisivo","Igual")),"")</f>
        <v/>
      </c>
      <c r="T158" s="25">
        <f>IF(Q158=1,IF(ABS(O158-P158)=2,1,0),"")</f>
        <v/>
      </c>
      <c r="U158" s="25">
        <f>IF(H158="","","|"&amp;SUBSTITUTE(SUBSTITUTE(TRIM(H158)," |","|"),"| ","|")&amp;"|")</f>
        <v/>
      </c>
      <c r="V158" s="25">
        <f>IF(AND(Q158=1,B158&lt;&gt;""),IF(IFERROR(COUNTIFS(B$3:B158,"="&amp;SUBSTITUTE(SUBSTITUTE(SUBSTITUTE(B158,"~","~~"),"*","~*"),"?","~?"),Q$3:Q158,1),0)=1,MAX(V$2:V157)+1,""),"")</f>
        <v/>
      </c>
      <c r="W158" s="25">
        <f>IF(V158="","",COUNTIFS($B$3:$B$1002,"="&amp;SUBSTITUTE(SUBSTITUTE(SUBSTITUTE(B158,"~","~~"),"*","~*"),"?","~?"),$Q$3:$Q$1002,1)*10000-V158)</f>
        <v/>
      </c>
      <c r="X158" s="25">
        <f>IF(Q158=1,IF(SUBSTITUTE(SUBSTITUTE(SUBSTITUTE(SUBSTITUTE(SUBSTITUTE(SUBSTITUTE(SUBSTITUTE(SUBSTITUTE(SUBSTITUTE(SUBSTITUTE(SUBSTITUTE(SUBSTITUTE(LOWER(TRIM(A158)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158)),"á","a"),"é","e"),"í","i"),"ó","o"),"ú","u"),"ü","u"),"ñ","n"),"à","a"),"è","e"),"ì","i"),"ò","o"),"ù","u")),"")</f>
        <v/>
      </c>
      <c r="Y158" s="25">
        <f>IF(X158="","",IF(IFERROR(COUNTIF(X$3:X158,"="&amp;SUBSTITUTE(SUBSTITUTE(SUBSTITUTE(X158,"~","~~"),"*","~*"),"?","~?")),0)=1,1,""))</f>
        <v/>
      </c>
      <c r="Z158" s="25">
        <f>IF(T158=1,MAX(Z$2:Z157)+1,"")</f>
        <v/>
      </c>
    </row>
    <row r="159">
      <c r="A159">
        <f>IF(A$2=0,"",IFERROR(TRIM(INDEX('Pegar calibracion'!$A$1:$BZ$1001,158,A$2)&amp;""),""))</f>
        <v/>
      </c>
      <c r="B159">
        <f>IF(B$2=0,"",IFERROR(TRIM(INDEX('Pegar calibracion'!$A$1:$BZ$1001,158,B$2)&amp;""),""))</f>
        <v/>
      </c>
      <c r="C159">
        <f>IF(C$2=0,"",IFERROR(TRIM(INDEX('Pegar calibracion'!$A$1:$BZ$1001,158,C$2)&amp;""),""))</f>
        <v/>
      </c>
      <c r="D159">
        <f>IF(D$2=0,"",IFERROR(TRIM(INDEX('Pegar calibracion'!$A$1:$BZ$1001,158,D$2)&amp;""),""))</f>
        <v/>
      </c>
      <c r="E159">
        <f>IF(E$2=0,"",IFERROR(TRIM(INDEX('Pegar calibracion'!$A$1:$BZ$1001,158,E$2)&amp;""),""))</f>
        <v/>
      </c>
      <c r="F159">
        <f>IF(F$2=0,"",IFERROR(TRIM(INDEX('Pegar calibracion'!$A$1:$BZ$1001,158,F$2)&amp;""),""))</f>
        <v/>
      </c>
      <c r="G159">
        <f>IF(G$2=0,"",IFERROR(TRIM(INDEX('Pegar calibracion'!$A$1:$BZ$1001,158,G$2)&amp;""),""))</f>
        <v/>
      </c>
      <c r="H159">
        <f>IF(H$2=0,"",IFERROR(TRIM(INDEX('Pegar calibracion'!$A$1:$BZ$1001,158,H$2)&amp;""),""))</f>
        <v/>
      </c>
      <c r="I159">
        <f>IF(I$2=0,"",IFERROR(TRIM(INDEX('Pegar calibracion'!$A$1:$BZ$1001,158,I$2)&amp;""),""))</f>
        <v/>
      </c>
      <c r="J159">
        <f>IF(J$2=0,"",IFERROR(TRIM(INDEX('Pegar calibracion'!$A$1:$BZ$1001,158,J$2)&amp;""),""))</f>
        <v/>
      </c>
      <c r="K159">
        <f>IF(K$2=0,"",IFERROR(TRIM(INDEX('Pegar calibracion'!$A$1:$BZ$1001,158,K$2)&amp;""),""))</f>
        <v/>
      </c>
      <c r="L159">
        <f>IF(L$2=0,"",IFERROR(TRIM(INDEX('Pegar calibracion'!$A$1:$BZ$1001,158,L$2)&amp;""),""))</f>
        <v/>
      </c>
      <c r="M159" s="25">
        <f>IF(D159="","",SUBSTITUTE(SUBSTITUTE(SUBSTITUTE(SUBSTITUTE(SUBSTITUTE(SUBSTITUTE(SUBSTITUTE(SUBSTITUTE(SUBSTITUTE(SUBSTITUTE(SUBSTITUTE(SUBSTITUTE(LOWER(TRIM(D159)),"á","a"),"é","e"),"í","i"),"ó","o"),"ú","u"),"ü","u"),"ñ","n"),"à","a"),"è","e"),"ì","i"),"ò","o"),"ù","u"))</f>
        <v/>
      </c>
      <c r="N159" s="25">
        <f>IF(F159="","",SUBSTITUTE(SUBSTITUTE(SUBSTITUTE(SUBSTITUTE(SUBSTITUTE(SUBSTITUTE(SUBSTITUTE(SUBSTITUTE(SUBSTITUTE(SUBSTITUTE(SUBSTITUTE(SUBSTITUTE(LOWER(TRIM(F159)),"á","a"),"é","e"),"í","i"),"ó","o"),"ú","u"),"ü","u"),"ñ","n"),"à","a"),"è","e"),"ì","i"),"ò","o"),"ù","u"))</f>
        <v/>
      </c>
      <c r="O159" s="25">
        <f>IF(M159="confiable",2,IF(M159="dudosa",1,IF(M159="no confiable",0,"")))</f>
        <v/>
      </c>
      <c r="P159" s="25">
        <f>IF(N159="confiable",2,IF(N159="dudosa",1,IF(N159="no confiable",0,"")))</f>
        <v/>
      </c>
      <c r="Q159" s="25">
        <f>IF(AND(ISNUMBER(O159),ISNUMBER(P159)),1,"")</f>
        <v/>
      </c>
      <c r="R159" s="25">
        <f>IF(Q159=1,IF(O159=P159,"Sí","No"),"")</f>
        <v/>
      </c>
      <c r="S159" s="25">
        <f>IF(Q159=1,IF(P159&lt;O159,"Más estricto",IF(P159&gt;O159,"Más permisivo","Igual")),"")</f>
        <v/>
      </c>
      <c r="T159" s="25">
        <f>IF(Q159=1,IF(ABS(O159-P159)=2,1,0),"")</f>
        <v/>
      </c>
      <c r="U159" s="25">
        <f>IF(H159="","","|"&amp;SUBSTITUTE(SUBSTITUTE(TRIM(H159)," |","|"),"| ","|")&amp;"|")</f>
        <v/>
      </c>
      <c r="V159" s="25">
        <f>IF(AND(Q159=1,B159&lt;&gt;""),IF(IFERROR(COUNTIFS(B$3:B159,"="&amp;SUBSTITUTE(SUBSTITUTE(SUBSTITUTE(B159,"~","~~"),"*","~*"),"?","~?"),Q$3:Q159,1),0)=1,MAX(V$2:V158)+1,""),"")</f>
        <v/>
      </c>
      <c r="W159" s="25">
        <f>IF(V159="","",COUNTIFS($B$3:$B$1002,"="&amp;SUBSTITUTE(SUBSTITUTE(SUBSTITUTE(B159,"~","~~"),"*","~*"),"?","~?"),$Q$3:$Q$1002,1)*10000-V159)</f>
        <v/>
      </c>
      <c r="X159" s="25">
        <f>IF(Q159=1,IF(SUBSTITUTE(SUBSTITUTE(SUBSTITUTE(SUBSTITUTE(SUBSTITUTE(SUBSTITUTE(SUBSTITUTE(SUBSTITUTE(SUBSTITUTE(SUBSTITUTE(SUBSTITUTE(SUBSTITUTE(LOWER(TRIM(A159)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159)),"á","a"),"é","e"),"í","i"),"ó","o"),"ú","u"),"ü","u"),"ñ","n"),"à","a"),"è","e"),"ì","i"),"ò","o"),"ù","u")),"")</f>
        <v/>
      </c>
      <c r="Y159" s="25">
        <f>IF(X159="","",IF(IFERROR(COUNTIF(X$3:X159,"="&amp;SUBSTITUTE(SUBSTITUTE(SUBSTITUTE(X159,"~","~~"),"*","~*"),"?","~?")),0)=1,1,""))</f>
        <v/>
      </c>
      <c r="Z159" s="25">
        <f>IF(T159=1,MAX(Z$2:Z158)+1,"")</f>
        <v/>
      </c>
    </row>
    <row r="160">
      <c r="A160">
        <f>IF(A$2=0,"",IFERROR(TRIM(INDEX('Pegar calibracion'!$A$1:$BZ$1001,159,A$2)&amp;""),""))</f>
        <v/>
      </c>
      <c r="B160">
        <f>IF(B$2=0,"",IFERROR(TRIM(INDEX('Pegar calibracion'!$A$1:$BZ$1001,159,B$2)&amp;""),""))</f>
        <v/>
      </c>
      <c r="C160">
        <f>IF(C$2=0,"",IFERROR(TRIM(INDEX('Pegar calibracion'!$A$1:$BZ$1001,159,C$2)&amp;""),""))</f>
        <v/>
      </c>
      <c r="D160">
        <f>IF(D$2=0,"",IFERROR(TRIM(INDEX('Pegar calibracion'!$A$1:$BZ$1001,159,D$2)&amp;""),""))</f>
        <v/>
      </c>
      <c r="E160">
        <f>IF(E$2=0,"",IFERROR(TRIM(INDEX('Pegar calibracion'!$A$1:$BZ$1001,159,E$2)&amp;""),""))</f>
        <v/>
      </c>
      <c r="F160">
        <f>IF(F$2=0,"",IFERROR(TRIM(INDEX('Pegar calibracion'!$A$1:$BZ$1001,159,F$2)&amp;""),""))</f>
        <v/>
      </c>
      <c r="G160">
        <f>IF(G$2=0,"",IFERROR(TRIM(INDEX('Pegar calibracion'!$A$1:$BZ$1001,159,G$2)&amp;""),""))</f>
        <v/>
      </c>
      <c r="H160">
        <f>IF(H$2=0,"",IFERROR(TRIM(INDEX('Pegar calibracion'!$A$1:$BZ$1001,159,H$2)&amp;""),""))</f>
        <v/>
      </c>
      <c r="I160">
        <f>IF(I$2=0,"",IFERROR(TRIM(INDEX('Pegar calibracion'!$A$1:$BZ$1001,159,I$2)&amp;""),""))</f>
        <v/>
      </c>
      <c r="J160">
        <f>IF(J$2=0,"",IFERROR(TRIM(INDEX('Pegar calibracion'!$A$1:$BZ$1001,159,J$2)&amp;""),""))</f>
        <v/>
      </c>
      <c r="K160">
        <f>IF(K$2=0,"",IFERROR(TRIM(INDEX('Pegar calibracion'!$A$1:$BZ$1001,159,K$2)&amp;""),""))</f>
        <v/>
      </c>
      <c r="L160">
        <f>IF(L$2=0,"",IFERROR(TRIM(INDEX('Pegar calibracion'!$A$1:$BZ$1001,159,L$2)&amp;""),""))</f>
        <v/>
      </c>
      <c r="M160" s="25">
        <f>IF(D160="","",SUBSTITUTE(SUBSTITUTE(SUBSTITUTE(SUBSTITUTE(SUBSTITUTE(SUBSTITUTE(SUBSTITUTE(SUBSTITUTE(SUBSTITUTE(SUBSTITUTE(SUBSTITUTE(SUBSTITUTE(LOWER(TRIM(D160)),"á","a"),"é","e"),"í","i"),"ó","o"),"ú","u"),"ü","u"),"ñ","n"),"à","a"),"è","e"),"ì","i"),"ò","o"),"ù","u"))</f>
        <v/>
      </c>
      <c r="N160" s="25">
        <f>IF(F160="","",SUBSTITUTE(SUBSTITUTE(SUBSTITUTE(SUBSTITUTE(SUBSTITUTE(SUBSTITUTE(SUBSTITUTE(SUBSTITUTE(SUBSTITUTE(SUBSTITUTE(SUBSTITUTE(SUBSTITUTE(LOWER(TRIM(F160)),"á","a"),"é","e"),"í","i"),"ó","o"),"ú","u"),"ü","u"),"ñ","n"),"à","a"),"è","e"),"ì","i"),"ò","o"),"ù","u"))</f>
        <v/>
      </c>
      <c r="O160" s="25">
        <f>IF(M160="confiable",2,IF(M160="dudosa",1,IF(M160="no confiable",0,"")))</f>
        <v/>
      </c>
      <c r="P160" s="25">
        <f>IF(N160="confiable",2,IF(N160="dudosa",1,IF(N160="no confiable",0,"")))</f>
        <v/>
      </c>
      <c r="Q160" s="25">
        <f>IF(AND(ISNUMBER(O160),ISNUMBER(P160)),1,"")</f>
        <v/>
      </c>
      <c r="R160" s="25">
        <f>IF(Q160=1,IF(O160=P160,"Sí","No"),"")</f>
        <v/>
      </c>
      <c r="S160" s="25">
        <f>IF(Q160=1,IF(P160&lt;O160,"Más estricto",IF(P160&gt;O160,"Más permisivo","Igual")),"")</f>
        <v/>
      </c>
      <c r="T160" s="25">
        <f>IF(Q160=1,IF(ABS(O160-P160)=2,1,0),"")</f>
        <v/>
      </c>
      <c r="U160" s="25">
        <f>IF(H160="","","|"&amp;SUBSTITUTE(SUBSTITUTE(TRIM(H160)," |","|"),"| ","|")&amp;"|")</f>
        <v/>
      </c>
      <c r="V160" s="25">
        <f>IF(AND(Q160=1,B160&lt;&gt;""),IF(IFERROR(COUNTIFS(B$3:B160,"="&amp;SUBSTITUTE(SUBSTITUTE(SUBSTITUTE(B160,"~","~~"),"*","~*"),"?","~?"),Q$3:Q160,1),0)=1,MAX(V$2:V159)+1,""),"")</f>
        <v/>
      </c>
      <c r="W160" s="25">
        <f>IF(V160="","",COUNTIFS($B$3:$B$1002,"="&amp;SUBSTITUTE(SUBSTITUTE(SUBSTITUTE(B160,"~","~~"),"*","~*"),"?","~?"),$Q$3:$Q$1002,1)*10000-V160)</f>
        <v/>
      </c>
      <c r="X160" s="25">
        <f>IF(Q160=1,IF(SUBSTITUTE(SUBSTITUTE(SUBSTITUTE(SUBSTITUTE(SUBSTITUTE(SUBSTITUTE(SUBSTITUTE(SUBSTITUTE(SUBSTITUTE(SUBSTITUTE(SUBSTITUTE(SUBSTITUTE(LOWER(TRIM(A160)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160)),"á","a"),"é","e"),"í","i"),"ó","o"),"ú","u"),"ü","u"),"ñ","n"),"à","a"),"è","e"),"ì","i"),"ò","o"),"ù","u")),"")</f>
        <v/>
      </c>
      <c r="Y160" s="25">
        <f>IF(X160="","",IF(IFERROR(COUNTIF(X$3:X160,"="&amp;SUBSTITUTE(SUBSTITUTE(SUBSTITUTE(X160,"~","~~"),"*","~*"),"?","~?")),0)=1,1,""))</f>
        <v/>
      </c>
      <c r="Z160" s="25">
        <f>IF(T160=1,MAX(Z$2:Z159)+1,"")</f>
        <v/>
      </c>
    </row>
    <row r="161">
      <c r="A161">
        <f>IF(A$2=0,"",IFERROR(TRIM(INDEX('Pegar calibracion'!$A$1:$BZ$1001,160,A$2)&amp;""),""))</f>
        <v/>
      </c>
      <c r="B161">
        <f>IF(B$2=0,"",IFERROR(TRIM(INDEX('Pegar calibracion'!$A$1:$BZ$1001,160,B$2)&amp;""),""))</f>
        <v/>
      </c>
      <c r="C161">
        <f>IF(C$2=0,"",IFERROR(TRIM(INDEX('Pegar calibracion'!$A$1:$BZ$1001,160,C$2)&amp;""),""))</f>
        <v/>
      </c>
      <c r="D161">
        <f>IF(D$2=0,"",IFERROR(TRIM(INDEX('Pegar calibracion'!$A$1:$BZ$1001,160,D$2)&amp;""),""))</f>
        <v/>
      </c>
      <c r="E161">
        <f>IF(E$2=0,"",IFERROR(TRIM(INDEX('Pegar calibracion'!$A$1:$BZ$1001,160,E$2)&amp;""),""))</f>
        <v/>
      </c>
      <c r="F161">
        <f>IF(F$2=0,"",IFERROR(TRIM(INDEX('Pegar calibracion'!$A$1:$BZ$1001,160,F$2)&amp;""),""))</f>
        <v/>
      </c>
      <c r="G161">
        <f>IF(G$2=0,"",IFERROR(TRIM(INDEX('Pegar calibracion'!$A$1:$BZ$1001,160,G$2)&amp;""),""))</f>
        <v/>
      </c>
      <c r="H161">
        <f>IF(H$2=0,"",IFERROR(TRIM(INDEX('Pegar calibracion'!$A$1:$BZ$1001,160,H$2)&amp;""),""))</f>
        <v/>
      </c>
      <c r="I161">
        <f>IF(I$2=0,"",IFERROR(TRIM(INDEX('Pegar calibracion'!$A$1:$BZ$1001,160,I$2)&amp;""),""))</f>
        <v/>
      </c>
      <c r="J161">
        <f>IF(J$2=0,"",IFERROR(TRIM(INDEX('Pegar calibracion'!$A$1:$BZ$1001,160,J$2)&amp;""),""))</f>
        <v/>
      </c>
      <c r="K161">
        <f>IF(K$2=0,"",IFERROR(TRIM(INDEX('Pegar calibracion'!$A$1:$BZ$1001,160,K$2)&amp;""),""))</f>
        <v/>
      </c>
      <c r="L161">
        <f>IF(L$2=0,"",IFERROR(TRIM(INDEX('Pegar calibracion'!$A$1:$BZ$1001,160,L$2)&amp;""),""))</f>
        <v/>
      </c>
      <c r="M161" s="25">
        <f>IF(D161="","",SUBSTITUTE(SUBSTITUTE(SUBSTITUTE(SUBSTITUTE(SUBSTITUTE(SUBSTITUTE(SUBSTITUTE(SUBSTITUTE(SUBSTITUTE(SUBSTITUTE(SUBSTITUTE(SUBSTITUTE(LOWER(TRIM(D161)),"á","a"),"é","e"),"í","i"),"ó","o"),"ú","u"),"ü","u"),"ñ","n"),"à","a"),"è","e"),"ì","i"),"ò","o"),"ù","u"))</f>
        <v/>
      </c>
      <c r="N161" s="25">
        <f>IF(F161="","",SUBSTITUTE(SUBSTITUTE(SUBSTITUTE(SUBSTITUTE(SUBSTITUTE(SUBSTITUTE(SUBSTITUTE(SUBSTITUTE(SUBSTITUTE(SUBSTITUTE(SUBSTITUTE(SUBSTITUTE(LOWER(TRIM(F161)),"á","a"),"é","e"),"í","i"),"ó","o"),"ú","u"),"ü","u"),"ñ","n"),"à","a"),"è","e"),"ì","i"),"ò","o"),"ù","u"))</f>
        <v/>
      </c>
      <c r="O161" s="25">
        <f>IF(M161="confiable",2,IF(M161="dudosa",1,IF(M161="no confiable",0,"")))</f>
        <v/>
      </c>
      <c r="P161" s="25">
        <f>IF(N161="confiable",2,IF(N161="dudosa",1,IF(N161="no confiable",0,"")))</f>
        <v/>
      </c>
      <c r="Q161" s="25">
        <f>IF(AND(ISNUMBER(O161),ISNUMBER(P161)),1,"")</f>
        <v/>
      </c>
      <c r="R161" s="25">
        <f>IF(Q161=1,IF(O161=P161,"Sí","No"),"")</f>
        <v/>
      </c>
      <c r="S161" s="25">
        <f>IF(Q161=1,IF(P161&lt;O161,"Más estricto",IF(P161&gt;O161,"Más permisivo","Igual")),"")</f>
        <v/>
      </c>
      <c r="T161" s="25">
        <f>IF(Q161=1,IF(ABS(O161-P161)=2,1,0),"")</f>
        <v/>
      </c>
      <c r="U161" s="25">
        <f>IF(H161="","","|"&amp;SUBSTITUTE(SUBSTITUTE(TRIM(H161)," |","|"),"| ","|")&amp;"|")</f>
        <v/>
      </c>
      <c r="V161" s="25">
        <f>IF(AND(Q161=1,B161&lt;&gt;""),IF(IFERROR(COUNTIFS(B$3:B161,"="&amp;SUBSTITUTE(SUBSTITUTE(SUBSTITUTE(B161,"~","~~"),"*","~*"),"?","~?"),Q$3:Q161,1),0)=1,MAX(V$2:V160)+1,""),"")</f>
        <v/>
      </c>
      <c r="W161" s="25">
        <f>IF(V161="","",COUNTIFS($B$3:$B$1002,"="&amp;SUBSTITUTE(SUBSTITUTE(SUBSTITUTE(B161,"~","~~"),"*","~*"),"?","~?"),$Q$3:$Q$1002,1)*10000-V161)</f>
        <v/>
      </c>
      <c r="X161" s="25">
        <f>IF(Q161=1,IF(SUBSTITUTE(SUBSTITUTE(SUBSTITUTE(SUBSTITUTE(SUBSTITUTE(SUBSTITUTE(SUBSTITUTE(SUBSTITUTE(SUBSTITUTE(SUBSTITUTE(SUBSTITUTE(SUBSTITUTE(LOWER(TRIM(A161)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161)),"á","a"),"é","e"),"í","i"),"ó","o"),"ú","u"),"ü","u"),"ñ","n"),"à","a"),"è","e"),"ì","i"),"ò","o"),"ù","u")),"")</f>
        <v/>
      </c>
      <c r="Y161" s="25">
        <f>IF(X161="","",IF(IFERROR(COUNTIF(X$3:X161,"="&amp;SUBSTITUTE(SUBSTITUTE(SUBSTITUTE(X161,"~","~~"),"*","~*"),"?","~?")),0)=1,1,""))</f>
        <v/>
      </c>
      <c r="Z161" s="25">
        <f>IF(T161=1,MAX(Z$2:Z160)+1,"")</f>
        <v/>
      </c>
    </row>
    <row r="162">
      <c r="A162">
        <f>IF(A$2=0,"",IFERROR(TRIM(INDEX('Pegar calibracion'!$A$1:$BZ$1001,161,A$2)&amp;""),""))</f>
        <v/>
      </c>
      <c r="B162">
        <f>IF(B$2=0,"",IFERROR(TRIM(INDEX('Pegar calibracion'!$A$1:$BZ$1001,161,B$2)&amp;""),""))</f>
        <v/>
      </c>
      <c r="C162">
        <f>IF(C$2=0,"",IFERROR(TRIM(INDEX('Pegar calibracion'!$A$1:$BZ$1001,161,C$2)&amp;""),""))</f>
        <v/>
      </c>
      <c r="D162">
        <f>IF(D$2=0,"",IFERROR(TRIM(INDEX('Pegar calibracion'!$A$1:$BZ$1001,161,D$2)&amp;""),""))</f>
        <v/>
      </c>
      <c r="E162">
        <f>IF(E$2=0,"",IFERROR(TRIM(INDEX('Pegar calibracion'!$A$1:$BZ$1001,161,E$2)&amp;""),""))</f>
        <v/>
      </c>
      <c r="F162">
        <f>IF(F$2=0,"",IFERROR(TRIM(INDEX('Pegar calibracion'!$A$1:$BZ$1001,161,F$2)&amp;""),""))</f>
        <v/>
      </c>
      <c r="G162">
        <f>IF(G$2=0,"",IFERROR(TRIM(INDEX('Pegar calibracion'!$A$1:$BZ$1001,161,G$2)&amp;""),""))</f>
        <v/>
      </c>
      <c r="H162">
        <f>IF(H$2=0,"",IFERROR(TRIM(INDEX('Pegar calibracion'!$A$1:$BZ$1001,161,H$2)&amp;""),""))</f>
        <v/>
      </c>
      <c r="I162">
        <f>IF(I$2=0,"",IFERROR(TRIM(INDEX('Pegar calibracion'!$A$1:$BZ$1001,161,I$2)&amp;""),""))</f>
        <v/>
      </c>
      <c r="J162">
        <f>IF(J$2=0,"",IFERROR(TRIM(INDEX('Pegar calibracion'!$A$1:$BZ$1001,161,J$2)&amp;""),""))</f>
        <v/>
      </c>
      <c r="K162">
        <f>IF(K$2=0,"",IFERROR(TRIM(INDEX('Pegar calibracion'!$A$1:$BZ$1001,161,K$2)&amp;""),""))</f>
        <v/>
      </c>
      <c r="L162">
        <f>IF(L$2=0,"",IFERROR(TRIM(INDEX('Pegar calibracion'!$A$1:$BZ$1001,161,L$2)&amp;""),""))</f>
        <v/>
      </c>
      <c r="M162" s="25">
        <f>IF(D162="","",SUBSTITUTE(SUBSTITUTE(SUBSTITUTE(SUBSTITUTE(SUBSTITUTE(SUBSTITUTE(SUBSTITUTE(SUBSTITUTE(SUBSTITUTE(SUBSTITUTE(SUBSTITUTE(SUBSTITUTE(LOWER(TRIM(D162)),"á","a"),"é","e"),"í","i"),"ó","o"),"ú","u"),"ü","u"),"ñ","n"),"à","a"),"è","e"),"ì","i"),"ò","o"),"ù","u"))</f>
        <v/>
      </c>
      <c r="N162" s="25">
        <f>IF(F162="","",SUBSTITUTE(SUBSTITUTE(SUBSTITUTE(SUBSTITUTE(SUBSTITUTE(SUBSTITUTE(SUBSTITUTE(SUBSTITUTE(SUBSTITUTE(SUBSTITUTE(SUBSTITUTE(SUBSTITUTE(LOWER(TRIM(F162)),"á","a"),"é","e"),"í","i"),"ó","o"),"ú","u"),"ü","u"),"ñ","n"),"à","a"),"è","e"),"ì","i"),"ò","o"),"ù","u"))</f>
        <v/>
      </c>
      <c r="O162" s="25">
        <f>IF(M162="confiable",2,IF(M162="dudosa",1,IF(M162="no confiable",0,"")))</f>
        <v/>
      </c>
      <c r="P162" s="25">
        <f>IF(N162="confiable",2,IF(N162="dudosa",1,IF(N162="no confiable",0,"")))</f>
        <v/>
      </c>
      <c r="Q162" s="25">
        <f>IF(AND(ISNUMBER(O162),ISNUMBER(P162)),1,"")</f>
        <v/>
      </c>
      <c r="R162" s="25">
        <f>IF(Q162=1,IF(O162=P162,"Sí","No"),"")</f>
        <v/>
      </c>
      <c r="S162" s="25">
        <f>IF(Q162=1,IF(P162&lt;O162,"Más estricto",IF(P162&gt;O162,"Más permisivo","Igual")),"")</f>
        <v/>
      </c>
      <c r="T162" s="25">
        <f>IF(Q162=1,IF(ABS(O162-P162)=2,1,0),"")</f>
        <v/>
      </c>
      <c r="U162" s="25">
        <f>IF(H162="","","|"&amp;SUBSTITUTE(SUBSTITUTE(TRIM(H162)," |","|"),"| ","|")&amp;"|")</f>
        <v/>
      </c>
      <c r="V162" s="25">
        <f>IF(AND(Q162=1,B162&lt;&gt;""),IF(IFERROR(COUNTIFS(B$3:B162,"="&amp;SUBSTITUTE(SUBSTITUTE(SUBSTITUTE(B162,"~","~~"),"*","~*"),"?","~?"),Q$3:Q162,1),0)=1,MAX(V$2:V161)+1,""),"")</f>
        <v/>
      </c>
      <c r="W162" s="25">
        <f>IF(V162="","",COUNTIFS($B$3:$B$1002,"="&amp;SUBSTITUTE(SUBSTITUTE(SUBSTITUTE(B162,"~","~~"),"*","~*"),"?","~?"),$Q$3:$Q$1002,1)*10000-V162)</f>
        <v/>
      </c>
      <c r="X162" s="25">
        <f>IF(Q162=1,IF(SUBSTITUTE(SUBSTITUTE(SUBSTITUTE(SUBSTITUTE(SUBSTITUTE(SUBSTITUTE(SUBSTITUTE(SUBSTITUTE(SUBSTITUTE(SUBSTITUTE(SUBSTITUTE(SUBSTITUTE(LOWER(TRIM(A162)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162)),"á","a"),"é","e"),"í","i"),"ó","o"),"ú","u"),"ü","u"),"ñ","n"),"à","a"),"è","e"),"ì","i"),"ò","o"),"ù","u")),"")</f>
        <v/>
      </c>
      <c r="Y162" s="25">
        <f>IF(X162="","",IF(IFERROR(COUNTIF(X$3:X162,"="&amp;SUBSTITUTE(SUBSTITUTE(SUBSTITUTE(X162,"~","~~"),"*","~*"),"?","~?")),0)=1,1,""))</f>
        <v/>
      </c>
      <c r="Z162" s="25">
        <f>IF(T162=1,MAX(Z$2:Z161)+1,"")</f>
        <v/>
      </c>
    </row>
    <row r="163">
      <c r="A163">
        <f>IF(A$2=0,"",IFERROR(TRIM(INDEX('Pegar calibracion'!$A$1:$BZ$1001,162,A$2)&amp;""),""))</f>
        <v/>
      </c>
      <c r="B163">
        <f>IF(B$2=0,"",IFERROR(TRIM(INDEX('Pegar calibracion'!$A$1:$BZ$1001,162,B$2)&amp;""),""))</f>
        <v/>
      </c>
      <c r="C163">
        <f>IF(C$2=0,"",IFERROR(TRIM(INDEX('Pegar calibracion'!$A$1:$BZ$1001,162,C$2)&amp;""),""))</f>
        <v/>
      </c>
      <c r="D163">
        <f>IF(D$2=0,"",IFERROR(TRIM(INDEX('Pegar calibracion'!$A$1:$BZ$1001,162,D$2)&amp;""),""))</f>
        <v/>
      </c>
      <c r="E163">
        <f>IF(E$2=0,"",IFERROR(TRIM(INDEX('Pegar calibracion'!$A$1:$BZ$1001,162,E$2)&amp;""),""))</f>
        <v/>
      </c>
      <c r="F163">
        <f>IF(F$2=0,"",IFERROR(TRIM(INDEX('Pegar calibracion'!$A$1:$BZ$1001,162,F$2)&amp;""),""))</f>
        <v/>
      </c>
      <c r="G163">
        <f>IF(G$2=0,"",IFERROR(TRIM(INDEX('Pegar calibracion'!$A$1:$BZ$1001,162,G$2)&amp;""),""))</f>
        <v/>
      </c>
      <c r="H163">
        <f>IF(H$2=0,"",IFERROR(TRIM(INDEX('Pegar calibracion'!$A$1:$BZ$1001,162,H$2)&amp;""),""))</f>
        <v/>
      </c>
      <c r="I163">
        <f>IF(I$2=0,"",IFERROR(TRIM(INDEX('Pegar calibracion'!$A$1:$BZ$1001,162,I$2)&amp;""),""))</f>
        <v/>
      </c>
      <c r="J163">
        <f>IF(J$2=0,"",IFERROR(TRIM(INDEX('Pegar calibracion'!$A$1:$BZ$1001,162,J$2)&amp;""),""))</f>
        <v/>
      </c>
      <c r="K163">
        <f>IF(K$2=0,"",IFERROR(TRIM(INDEX('Pegar calibracion'!$A$1:$BZ$1001,162,K$2)&amp;""),""))</f>
        <v/>
      </c>
      <c r="L163">
        <f>IF(L$2=0,"",IFERROR(TRIM(INDEX('Pegar calibracion'!$A$1:$BZ$1001,162,L$2)&amp;""),""))</f>
        <v/>
      </c>
      <c r="M163" s="25">
        <f>IF(D163="","",SUBSTITUTE(SUBSTITUTE(SUBSTITUTE(SUBSTITUTE(SUBSTITUTE(SUBSTITUTE(SUBSTITUTE(SUBSTITUTE(SUBSTITUTE(SUBSTITUTE(SUBSTITUTE(SUBSTITUTE(LOWER(TRIM(D163)),"á","a"),"é","e"),"í","i"),"ó","o"),"ú","u"),"ü","u"),"ñ","n"),"à","a"),"è","e"),"ì","i"),"ò","o"),"ù","u"))</f>
        <v/>
      </c>
      <c r="N163" s="25">
        <f>IF(F163="","",SUBSTITUTE(SUBSTITUTE(SUBSTITUTE(SUBSTITUTE(SUBSTITUTE(SUBSTITUTE(SUBSTITUTE(SUBSTITUTE(SUBSTITUTE(SUBSTITUTE(SUBSTITUTE(SUBSTITUTE(LOWER(TRIM(F163)),"á","a"),"é","e"),"í","i"),"ó","o"),"ú","u"),"ü","u"),"ñ","n"),"à","a"),"è","e"),"ì","i"),"ò","o"),"ù","u"))</f>
        <v/>
      </c>
      <c r="O163" s="25">
        <f>IF(M163="confiable",2,IF(M163="dudosa",1,IF(M163="no confiable",0,"")))</f>
        <v/>
      </c>
      <c r="P163" s="25">
        <f>IF(N163="confiable",2,IF(N163="dudosa",1,IF(N163="no confiable",0,"")))</f>
        <v/>
      </c>
      <c r="Q163" s="25">
        <f>IF(AND(ISNUMBER(O163),ISNUMBER(P163)),1,"")</f>
        <v/>
      </c>
      <c r="R163" s="25">
        <f>IF(Q163=1,IF(O163=P163,"Sí","No"),"")</f>
        <v/>
      </c>
      <c r="S163" s="25">
        <f>IF(Q163=1,IF(P163&lt;O163,"Más estricto",IF(P163&gt;O163,"Más permisivo","Igual")),"")</f>
        <v/>
      </c>
      <c r="T163" s="25">
        <f>IF(Q163=1,IF(ABS(O163-P163)=2,1,0),"")</f>
        <v/>
      </c>
      <c r="U163" s="25">
        <f>IF(H163="","","|"&amp;SUBSTITUTE(SUBSTITUTE(TRIM(H163)," |","|"),"| ","|")&amp;"|")</f>
        <v/>
      </c>
      <c r="V163" s="25">
        <f>IF(AND(Q163=1,B163&lt;&gt;""),IF(IFERROR(COUNTIFS(B$3:B163,"="&amp;SUBSTITUTE(SUBSTITUTE(SUBSTITUTE(B163,"~","~~"),"*","~*"),"?","~?"),Q$3:Q163,1),0)=1,MAX(V$2:V162)+1,""),"")</f>
        <v/>
      </c>
      <c r="W163" s="25">
        <f>IF(V163="","",COUNTIFS($B$3:$B$1002,"="&amp;SUBSTITUTE(SUBSTITUTE(SUBSTITUTE(B163,"~","~~"),"*","~*"),"?","~?"),$Q$3:$Q$1002,1)*10000-V163)</f>
        <v/>
      </c>
      <c r="X163" s="25">
        <f>IF(Q163=1,IF(SUBSTITUTE(SUBSTITUTE(SUBSTITUTE(SUBSTITUTE(SUBSTITUTE(SUBSTITUTE(SUBSTITUTE(SUBSTITUTE(SUBSTITUTE(SUBSTITUTE(SUBSTITUTE(SUBSTITUTE(LOWER(TRIM(A163)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163)),"á","a"),"é","e"),"í","i"),"ó","o"),"ú","u"),"ü","u"),"ñ","n"),"à","a"),"è","e"),"ì","i"),"ò","o"),"ù","u")),"")</f>
        <v/>
      </c>
      <c r="Y163" s="25">
        <f>IF(X163="","",IF(IFERROR(COUNTIF(X$3:X163,"="&amp;SUBSTITUTE(SUBSTITUTE(SUBSTITUTE(X163,"~","~~"),"*","~*"),"?","~?")),0)=1,1,""))</f>
        <v/>
      </c>
      <c r="Z163" s="25">
        <f>IF(T163=1,MAX(Z$2:Z162)+1,"")</f>
        <v/>
      </c>
    </row>
    <row r="164">
      <c r="A164">
        <f>IF(A$2=0,"",IFERROR(TRIM(INDEX('Pegar calibracion'!$A$1:$BZ$1001,163,A$2)&amp;""),""))</f>
        <v/>
      </c>
      <c r="B164">
        <f>IF(B$2=0,"",IFERROR(TRIM(INDEX('Pegar calibracion'!$A$1:$BZ$1001,163,B$2)&amp;""),""))</f>
        <v/>
      </c>
      <c r="C164">
        <f>IF(C$2=0,"",IFERROR(TRIM(INDEX('Pegar calibracion'!$A$1:$BZ$1001,163,C$2)&amp;""),""))</f>
        <v/>
      </c>
      <c r="D164">
        <f>IF(D$2=0,"",IFERROR(TRIM(INDEX('Pegar calibracion'!$A$1:$BZ$1001,163,D$2)&amp;""),""))</f>
        <v/>
      </c>
      <c r="E164">
        <f>IF(E$2=0,"",IFERROR(TRIM(INDEX('Pegar calibracion'!$A$1:$BZ$1001,163,E$2)&amp;""),""))</f>
        <v/>
      </c>
      <c r="F164">
        <f>IF(F$2=0,"",IFERROR(TRIM(INDEX('Pegar calibracion'!$A$1:$BZ$1001,163,F$2)&amp;""),""))</f>
        <v/>
      </c>
      <c r="G164">
        <f>IF(G$2=0,"",IFERROR(TRIM(INDEX('Pegar calibracion'!$A$1:$BZ$1001,163,G$2)&amp;""),""))</f>
        <v/>
      </c>
      <c r="H164">
        <f>IF(H$2=0,"",IFERROR(TRIM(INDEX('Pegar calibracion'!$A$1:$BZ$1001,163,H$2)&amp;""),""))</f>
        <v/>
      </c>
      <c r="I164">
        <f>IF(I$2=0,"",IFERROR(TRIM(INDEX('Pegar calibracion'!$A$1:$BZ$1001,163,I$2)&amp;""),""))</f>
        <v/>
      </c>
      <c r="J164">
        <f>IF(J$2=0,"",IFERROR(TRIM(INDEX('Pegar calibracion'!$A$1:$BZ$1001,163,J$2)&amp;""),""))</f>
        <v/>
      </c>
      <c r="K164">
        <f>IF(K$2=0,"",IFERROR(TRIM(INDEX('Pegar calibracion'!$A$1:$BZ$1001,163,K$2)&amp;""),""))</f>
        <v/>
      </c>
      <c r="L164">
        <f>IF(L$2=0,"",IFERROR(TRIM(INDEX('Pegar calibracion'!$A$1:$BZ$1001,163,L$2)&amp;""),""))</f>
        <v/>
      </c>
      <c r="M164" s="25">
        <f>IF(D164="","",SUBSTITUTE(SUBSTITUTE(SUBSTITUTE(SUBSTITUTE(SUBSTITUTE(SUBSTITUTE(SUBSTITUTE(SUBSTITUTE(SUBSTITUTE(SUBSTITUTE(SUBSTITUTE(SUBSTITUTE(LOWER(TRIM(D164)),"á","a"),"é","e"),"í","i"),"ó","o"),"ú","u"),"ü","u"),"ñ","n"),"à","a"),"è","e"),"ì","i"),"ò","o"),"ù","u"))</f>
        <v/>
      </c>
      <c r="N164" s="25">
        <f>IF(F164="","",SUBSTITUTE(SUBSTITUTE(SUBSTITUTE(SUBSTITUTE(SUBSTITUTE(SUBSTITUTE(SUBSTITUTE(SUBSTITUTE(SUBSTITUTE(SUBSTITUTE(SUBSTITUTE(SUBSTITUTE(LOWER(TRIM(F164)),"á","a"),"é","e"),"í","i"),"ó","o"),"ú","u"),"ü","u"),"ñ","n"),"à","a"),"è","e"),"ì","i"),"ò","o"),"ù","u"))</f>
        <v/>
      </c>
      <c r="O164" s="25">
        <f>IF(M164="confiable",2,IF(M164="dudosa",1,IF(M164="no confiable",0,"")))</f>
        <v/>
      </c>
      <c r="P164" s="25">
        <f>IF(N164="confiable",2,IF(N164="dudosa",1,IF(N164="no confiable",0,"")))</f>
        <v/>
      </c>
      <c r="Q164" s="25">
        <f>IF(AND(ISNUMBER(O164),ISNUMBER(P164)),1,"")</f>
        <v/>
      </c>
      <c r="R164" s="25">
        <f>IF(Q164=1,IF(O164=P164,"Sí","No"),"")</f>
        <v/>
      </c>
      <c r="S164" s="25">
        <f>IF(Q164=1,IF(P164&lt;O164,"Más estricto",IF(P164&gt;O164,"Más permisivo","Igual")),"")</f>
        <v/>
      </c>
      <c r="T164" s="25">
        <f>IF(Q164=1,IF(ABS(O164-P164)=2,1,0),"")</f>
        <v/>
      </c>
      <c r="U164" s="25">
        <f>IF(H164="","","|"&amp;SUBSTITUTE(SUBSTITUTE(TRIM(H164)," |","|"),"| ","|")&amp;"|")</f>
        <v/>
      </c>
      <c r="V164" s="25">
        <f>IF(AND(Q164=1,B164&lt;&gt;""),IF(IFERROR(COUNTIFS(B$3:B164,"="&amp;SUBSTITUTE(SUBSTITUTE(SUBSTITUTE(B164,"~","~~"),"*","~*"),"?","~?"),Q$3:Q164,1),0)=1,MAX(V$2:V163)+1,""),"")</f>
        <v/>
      </c>
      <c r="W164" s="25">
        <f>IF(V164="","",COUNTIFS($B$3:$B$1002,"="&amp;SUBSTITUTE(SUBSTITUTE(SUBSTITUTE(B164,"~","~~"),"*","~*"),"?","~?"),$Q$3:$Q$1002,1)*10000-V164)</f>
        <v/>
      </c>
      <c r="X164" s="25">
        <f>IF(Q164=1,IF(SUBSTITUTE(SUBSTITUTE(SUBSTITUTE(SUBSTITUTE(SUBSTITUTE(SUBSTITUTE(SUBSTITUTE(SUBSTITUTE(SUBSTITUTE(SUBSTITUTE(SUBSTITUTE(SUBSTITUTE(LOWER(TRIM(A164)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164)),"á","a"),"é","e"),"í","i"),"ó","o"),"ú","u"),"ü","u"),"ñ","n"),"à","a"),"è","e"),"ì","i"),"ò","o"),"ù","u")),"")</f>
        <v/>
      </c>
      <c r="Y164" s="25">
        <f>IF(X164="","",IF(IFERROR(COUNTIF(X$3:X164,"="&amp;SUBSTITUTE(SUBSTITUTE(SUBSTITUTE(X164,"~","~~"),"*","~*"),"?","~?")),0)=1,1,""))</f>
        <v/>
      </c>
      <c r="Z164" s="25">
        <f>IF(T164=1,MAX(Z$2:Z163)+1,"")</f>
        <v/>
      </c>
    </row>
    <row r="165">
      <c r="A165">
        <f>IF(A$2=0,"",IFERROR(TRIM(INDEX('Pegar calibracion'!$A$1:$BZ$1001,164,A$2)&amp;""),""))</f>
        <v/>
      </c>
      <c r="B165">
        <f>IF(B$2=0,"",IFERROR(TRIM(INDEX('Pegar calibracion'!$A$1:$BZ$1001,164,B$2)&amp;""),""))</f>
        <v/>
      </c>
      <c r="C165">
        <f>IF(C$2=0,"",IFERROR(TRIM(INDEX('Pegar calibracion'!$A$1:$BZ$1001,164,C$2)&amp;""),""))</f>
        <v/>
      </c>
      <c r="D165">
        <f>IF(D$2=0,"",IFERROR(TRIM(INDEX('Pegar calibracion'!$A$1:$BZ$1001,164,D$2)&amp;""),""))</f>
        <v/>
      </c>
      <c r="E165">
        <f>IF(E$2=0,"",IFERROR(TRIM(INDEX('Pegar calibracion'!$A$1:$BZ$1001,164,E$2)&amp;""),""))</f>
        <v/>
      </c>
      <c r="F165">
        <f>IF(F$2=0,"",IFERROR(TRIM(INDEX('Pegar calibracion'!$A$1:$BZ$1001,164,F$2)&amp;""),""))</f>
        <v/>
      </c>
      <c r="G165">
        <f>IF(G$2=0,"",IFERROR(TRIM(INDEX('Pegar calibracion'!$A$1:$BZ$1001,164,G$2)&amp;""),""))</f>
        <v/>
      </c>
      <c r="H165">
        <f>IF(H$2=0,"",IFERROR(TRIM(INDEX('Pegar calibracion'!$A$1:$BZ$1001,164,H$2)&amp;""),""))</f>
        <v/>
      </c>
      <c r="I165">
        <f>IF(I$2=0,"",IFERROR(TRIM(INDEX('Pegar calibracion'!$A$1:$BZ$1001,164,I$2)&amp;""),""))</f>
        <v/>
      </c>
      <c r="J165">
        <f>IF(J$2=0,"",IFERROR(TRIM(INDEX('Pegar calibracion'!$A$1:$BZ$1001,164,J$2)&amp;""),""))</f>
        <v/>
      </c>
      <c r="K165">
        <f>IF(K$2=0,"",IFERROR(TRIM(INDEX('Pegar calibracion'!$A$1:$BZ$1001,164,K$2)&amp;""),""))</f>
        <v/>
      </c>
      <c r="L165">
        <f>IF(L$2=0,"",IFERROR(TRIM(INDEX('Pegar calibracion'!$A$1:$BZ$1001,164,L$2)&amp;""),""))</f>
        <v/>
      </c>
      <c r="M165" s="25">
        <f>IF(D165="","",SUBSTITUTE(SUBSTITUTE(SUBSTITUTE(SUBSTITUTE(SUBSTITUTE(SUBSTITUTE(SUBSTITUTE(SUBSTITUTE(SUBSTITUTE(SUBSTITUTE(SUBSTITUTE(SUBSTITUTE(LOWER(TRIM(D165)),"á","a"),"é","e"),"í","i"),"ó","o"),"ú","u"),"ü","u"),"ñ","n"),"à","a"),"è","e"),"ì","i"),"ò","o"),"ù","u"))</f>
        <v/>
      </c>
      <c r="N165" s="25">
        <f>IF(F165="","",SUBSTITUTE(SUBSTITUTE(SUBSTITUTE(SUBSTITUTE(SUBSTITUTE(SUBSTITUTE(SUBSTITUTE(SUBSTITUTE(SUBSTITUTE(SUBSTITUTE(SUBSTITUTE(SUBSTITUTE(LOWER(TRIM(F165)),"á","a"),"é","e"),"í","i"),"ó","o"),"ú","u"),"ü","u"),"ñ","n"),"à","a"),"è","e"),"ì","i"),"ò","o"),"ù","u"))</f>
        <v/>
      </c>
      <c r="O165" s="25">
        <f>IF(M165="confiable",2,IF(M165="dudosa",1,IF(M165="no confiable",0,"")))</f>
        <v/>
      </c>
      <c r="P165" s="25">
        <f>IF(N165="confiable",2,IF(N165="dudosa",1,IF(N165="no confiable",0,"")))</f>
        <v/>
      </c>
      <c r="Q165" s="25">
        <f>IF(AND(ISNUMBER(O165),ISNUMBER(P165)),1,"")</f>
        <v/>
      </c>
      <c r="R165" s="25">
        <f>IF(Q165=1,IF(O165=P165,"Sí","No"),"")</f>
        <v/>
      </c>
      <c r="S165" s="25">
        <f>IF(Q165=1,IF(P165&lt;O165,"Más estricto",IF(P165&gt;O165,"Más permisivo","Igual")),"")</f>
        <v/>
      </c>
      <c r="T165" s="25">
        <f>IF(Q165=1,IF(ABS(O165-P165)=2,1,0),"")</f>
        <v/>
      </c>
      <c r="U165" s="25">
        <f>IF(H165="","","|"&amp;SUBSTITUTE(SUBSTITUTE(TRIM(H165)," |","|"),"| ","|")&amp;"|")</f>
        <v/>
      </c>
      <c r="V165" s="25">
        <f>IF(AND(Q165=1,B165&lt;&gt;""),IF(IFERROR(COUNTIFS(B$3:B165,"="&amp;SUBSTITUTE(SUBSTITUTE(SUBSTITUTE(B165,"~","~~"),"*","~*"),"?","~?"),Q$3:Q165,1),0)=1,MAX(V$2:V164)+1,""),"")</f>
        <v/>
      </c>
      <c r="W165" s="25">
        <f>IF(V165="","",COUNTIFS($B$3:$B$1002,"="&amp;SUBSTITUTE(SUBSTITUTE(SUBSTITUTE(B165,"~","~~"),"*","~*"),"?","~?"),$Q$3:$Q$1002,1)*10000-V165)</f>
        <v/>
      </c>
      <c r="X165" s="25">
        <f>IF(Q165=1,IF(SUBSTITUTE(SUBSTITUTE(SUBSTITUTE(SUBSTITUTE(SUBSTITUTE(SUBSTITUTE(SUBSTITUTE(SUBSTITUTE(SUBSTITUTE(SUBSTITUTE(SUBSTITUTE(SUBSTITUTE(LOWER(TRIM(A165)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165)),"á","a"),"é","e"),"í","i"),"ó","o"),"ú","u"),"ü","u"),"ñ","n"),"à","a"),"è","e"),"ì","i"),"ò","o"),"ù","u")),"")</f>
        <v/>
      </c>
      <c r="Y165" s="25">
        <f>IF(X165="","",IF(IFERROR(COUNTIF(X$3:X165,"="&amp;SUBSTITUTE(SUBSTITUTE(SUBSTITUTE(X165,"~","~~"),"*","~*"),"?","~?")),0)=1,1,""))</f>
        <v/>
      </c>
      <c r="Z165" s="25">
        <f>IF(T165=1,MAX(Z$2:Z164)+1,"")</f>
        <v/>
      </c>
    </row>
    <row r="166">
      <c r="A166">
        <f>IF(A$2=0,"",IFERROR(TRIM(INDEX('Pegar calibracion'!$A$1:$BZ$1001,165,A$2)&amp;""),""))</f>
        <v/>
      </c>
      <c r="B166">
        <f>IF(B$2=0,"",IFERROR(TRIM(INDEX('Pegar calibracion'!$A$1:$BZ$1001,165,B$2)&amp;""),""))</f>
        <v/>
      </c>
      <c r="C166">
        <f>IF(C$2=0,"",IFERROR(TRIM(INDEX('Pegar calibracion'!$A$1:$BZ$1001,165,C$2)&amp;""),""))</f>
        <v/>
      </c>
      <c r="D166">
        <f>IF(D$2=0,"",IFERROR(TRIM(INDEX('Pegar calibracion'!$A$1:$BZ$1001,165,D$2)&amp;""),""))</f>
        <v/>
      </c>
      <c r="E166">
        <f>IF(E$2=0,"",IFERROR(TRIM(INDEX('Pegar calibracion'!$A$1:$BZ$1001,165,E$2)&amp;""),""))</f>
        <v/>
      </c>
      <c r="F166">
        <f>IF(F$2=0,"",IFERROR(TRIM(INDEX('Pegar calibracion'!$A$1:$BZ$1001,165,F$2)&amp;""),""))</f>
        <v/>
      </c>
      <c r="G166">
        <f>IF(G$2=0,"",IFERROR(TRIM(INDEX('Pegar calibracion'!$A$1:$BZ$1001,165,G$2)&amp;""),""))</f>
        <v/>
      </c>
      <c r="H166">
        <f>IF(H$2=0,"",IFERROR(TRIM(INDEX('Pegar calibracion'!$A$1:$BZ$1001,165,H$2)&amp;""),""))</f>
        <v/>
      </c>
      <c r="I166">
        <f>IF(I$2=0,"",IFERROR(TRIM(INDEX('Pegar calibracion'!$A$1:$BZ$1001,165,I$2)&amp;""),""))</f>
        <v/>
      </c>
      <c r="J166">
        <f>IF(J$2=0,"",IFERROR(TRIM(INDEX('Pegar calibracion'!$A$1:$BZ$1001,165,J$2)&amp;""),""))</f>
        <v/>
      </c>
      <c r="K166">
        <f>IF(K$2=0,"",IFERROR(TRIM(INDEX('Pegar calibracion'!$A$1:$BZ$1001,165,K$2)&amp;""),""))</f>
        <v/>
      </c>
      <c r="L166">
        <f>IF(L$2=0,"",IFERROR(TRIM(INDEX('Pegar calibracion'!$A$1:$BZ$1001,165,L$2)&amp;""),""))</f>
        <v/>
      </c>
      <c r="M166" s="25">
        <f>IF(D166="","",SUBSTITUTE(SUBSTITUTE(SUBSTITUTE(SUBSTITUTE(SUBSTITUTE(SUBSTITUTE(SUBSTITUTE(SUBSTITUTE(SUBSTITUTE(SUBSTITUTE(SUBSTITUTE(SUBSTITUTE(LOWER(TRIM(D166)),"á","a"),"é","e"),"í","i"),"ó","o"),"ú","u"),"ü","u"),"ñ","n"),"à","a"),"è","e"),"ì","i"),"ò","o"),"ù","u"))</f>
        <v/>
      </c>
      <c r="N166" s="25">
        <f>IF(F166="","",SUBSTITUTE(SUBSTITUTE(SUBSTITUTE(SUBSTITUTE(SUBSTITUTE(SUBSTITUTE(SUBSTITUTE(SUBSTITUTE(SUBSTITUTE(SUBSTITUTE(SUBSTITUTE(SUBSTITUTE(LOWER(TRIM(F166)),"á","a"),"é","e"),"í","i"),"ó","o"),"ú","u"),"ü","u"),"ñ","n"),"à","a"),"è","e"),"ì","i"),"ò","o"),"ù","u"))</f>
        <v/>
      </c>
      <c r="O166" s="25">
        <f>IF(M166="confiable",2,IF(M166="dudosa",1,IF(M166="no confiable",0,"")))</f>
        <v/>
      </c>
      <c r="P166" s="25">
        <f>IF(N166="confiable",2,IF(N166="dudosa",1,IF(N166="no confiable",0,"")))</f>
        <v/>
      </c>
      <c r="Q166" s="25">
        <f>IF(AND(ISNUMBER(O166),ISNUMBER(P166)),1,"")</f>
        <v/>
      </c>
      <c r="R166" s="25">
        <f>IF(Q166=1,IF(O166=P166,"Sí","No"),"")</f>
        <v/>
      </c>
      <c r="S166" s="25">
        <f>IF(Q166=1,IF(P166&lt;O166,"Más estricto",IF(P166&gt;O166,"Más permisivo","Igual")),"")</f>
        <v/>
      </c>
      <c r="T166" s="25">
        <f>IF(Q166=1,IF(ABS(O166-P166)=2,1,0),"")</f>
        <v/>
      </c>
      <c r="U166" s="25">
        <f>IF(H166="","","|"&amp;SUBSTITUTE(SUBSTITUTE(TRIM(H166)," |","|"),"| ","|")&amp;"|")</f>
        <v/>
      </c>
      <c r="V166" s="25">
        <f>IF(AND(Q166=1,B166&lt;&gt;""),IF(IFERROR(COUNTIFS(B$3:B166,"="&amp;SUBSTITUTE(SUBSTITUTE(SUBSTITUTE(B166,"~","~~"),"*","~*"),"?","~?"),Q$3:Q166,1),0)=1,MAX(V$2:V165)+1,""),"")</f>
        <v/>
      </c>
      <c r="W166" s="25">
        <f>IF(V166="","",COUNTIFS($B$3:$B$1002,"="&amp;SUBSTITUTE(SUBSTITUTE(SUBSTITUTE(B166,"~","~~"),"*","~*"),"?","~?"),$Q$3:$Q$1002,1)*10000-V166)</f>
        <v/>
      </c>
      <c r="X166" s="25">
        <f>IF(Q166=1,IF(SUBSTITUTE(SUBSTITUTE(SUBSTITUTE(SUBSTITUTE(SUBSTITUTE(SUBSTITUTE(SUBSTITUTE(SUBSTITUTE(SUBSTITUTE(SUBSTITUTE(SUBSTITUTE(SUBSTITUTE(LOWER(TRIM(A166)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166)),"á","a"),"é","e"),"í","i"),"ó","o"),"ú","u"),"ü","u"),"ñ","n"),"à","a"),"è","e"),"ì","i"),"ò","o"),"ù","u")),"")</f>
        <v/>
      </c>
      <c r="Y166" s="25">
        <f>IF(X166="","",IF(IFERROR(COUNTIF(X$3:X166,"="&amp;SUBSTITUTE(SUBSTITUTE(SUBSTITUTE(X166,"~","~~"),"*","~*"),"?","~?")),0)=1,1,""))</f>
        <v/>
      </c>
      <c r="Z166" s="25">
        <f>IF(T166=1,MAX(Z$2:Z165)+1,"")</f>
        <v/>
      </c>
    </row>
    <row r="167">
      <c r="A167">
        <f>IF(A$2=0,"",IFERROR(TRIM(INDEX('Pegar calibracion'!$A$1:$BZ$1001,166,A$2)&amp;""),""))</f>
        <v/>
      </c>
      <c r="B167">
        <f>IF(B$2=0,"",IFERROR(TRIM(INDEX('Pegar calibracion'!$A$1:$BZ$1001,166,B$2)&amp;""),""))</f>
        <v/>
      </c>
      <c r="C167">
        <f>IF(C$2=0,"",IFERROR(TRIM(INDEX('Pegar calibracion'!$A$1:$BZ$1001,166,C$2)&amp;""),""))</f>
        <v/>
      </c>
      <c r="D167">
        <f>IF(D$2=0,"",IFERROR(TRIM(INDEX('Pegar calibracion'!$A$1:$BZ$1001,166,D$2)&amp;""),""))</f>
        <v/>
      </c>
      <c r="E167">
        <f>IF(E$2=0,"",IFERROR(TRIM(INDEX('Pegar calibracion'!$A$1:$BZ$1001,166,E$2)&amp;""),""))</f>
        <v/>
      </c>
      <c r="F167">
        <f>IF(F$2=0,"",IFERROR(TRIM(INDEX('Pegar calibracion'!$A$1:$BZ$1001,166,F$2)&amp;""),""))</f>
        <v/>
      </c>
      <c r="G167">
        <f>IF(G$2=0,"",IFERROR(TRIM(INDEX('Pegar calibracion'!$A$1:$BZ$1001,166,G$2)&amp;""),""))</f>
        <v/>
      </c>
      <c r="H167">
        <f>IF(H$2=0,"",IFERROR(TRIM(INDEX('Pegar calibracion'!$A$1:$BZ$1001,166,H$2)&amp;""),""))</f>
        <v/>
      </c>
      <c r="I167">
        <f>IF(I$2=0,"",IFERROR(TRIM(INDEX('Pegar calibracion'!$A$1:$BZ$1001,166,I$2)&amp;""),""))</f>
        <v/>
      </c>
      <c r="J167">
        <f>IF(J$2=0,"",IFERROR(TRIM(INDEX('Pegar calibracion'!$A$1:$BZ$1001,166,J$2)&amp;""),""))</f>
        <v/>
      </c>
      <c r="K167">
        <f>IF(K$2=0,"",IFERROR(TRIM(INDEX('Pegar calibracion'!$A$1:$BZ$1001,166,K$2)&amp;""),""))</f>
        <v/>
      </c>
      <c r="L167">
        <f>IF(L$2=0,"",IFERROR(TRIM(INDEX('Pegar calibracion'!$A$1:$BZ$1001,166,L$2)&amp;""),""))</f>
        <v/>
      </c>
      <c r="M167" s="25">
        <f>IF(D167="","",SUBSTITUTE(SUBSTITUTE(SUBSTITUTE(SUBSTITUTE(SUBSTITUTE(SUBSTITUTE(SUBSTITUTE(SUBSTITUTE(SUBSTITUTE(SUBSTITUTE(SUBSTITUTE(SUBSTITUTE(LOWER(TRIM(D167)),"á","a"),"é","e"),"í","i"),"ó","o"),"ú","u"),"ü","u"),"ñ","n"),"à","a"),"è","e"),"ì","i"),"ò","o"),"ù","u"))</f>
        <v/>
      </c>
      <c r="N167" s="25">
        <f>IF(F167="","",SUBSTITUTE(SUBSTITUTE(SUBSTITUTE(SUBSTITUTE(SUBSTITUTE(SUBSTITUTE(SUBSTITUTE(SUBSTITUTE(SUBSTITUTE(SUBSTITUTE(SUBSTITUTE(SUBSTITUTE(LOWER(TRIM(F167)),"á","a"),"é","e"),"í","i"),"ó","o"),"ú","u"),"ü","u"),"ñ","n"),"à","a"),"è","e"),"ì","i"),"ò","o"),"ù","u"))</f>
        <v/>
      </c>
      <c r="O167" s="25">
        <f>IF(M167="confiable",2,IF(M167="dudosa",1,IF(M167="no confiable",0,"")))</f>
        <v/>
      </c>
      <c r="P167" s="25">
        <f>IF(N167="confiable",2,IF(N167="dudosa",1,IF(N167="no confiable",0,"")))</f>
        <v/>
      </c>
      <c r="Q167" s="25">
        <f>IF(AND(ISNUMBER(O167),ISNUMBER(P167)),1,"")</f>
        <v/>
      </c>
      <c r="R167" s="25">
        <f>IF(Q167=1,IF(O167=P167,"Sí","No"),"")</f>
        <v/>
      </c>
      <c r="S167" s="25">
        <f>IF(Q167=1,IF(P167&lt;O167,"Más estricto",IF(P167&gt;O167,"Más permisivo","Igual")),"")</f>
        <v/>
      </c>
      <c r="T167" s="25">
        <f>IF(Q167=1,IF(ABS(O167-P167)=2,1,0),"")</f>
        <v/>
      </c>
      <c r="U167" s="25">
        <f>IF(H167="","","|"&amp;SUBSTITUTE(SUBSTITUTE(TRIM(H167)," |","|"),"| ","|")&amp;"|")</f>
        <v/>
      </c>
      <c r="V167" s="25">
        <f>IF(AND(Q167=1,B167&lt;&gt;""),IF(IFERROR(COUNTIFS(B$3:B167,"="&amp;SUBSTITUTE(SUBSTITUTE(SUBSTITUTE(B167,"~","~~"),"*","~*"),"?","~?"),Q$3:Q167,1),0)=1,MAX(V$2:V166)+1,""),"")</f>
        <v/>
      </c>
      <c r="W167" s="25">
        <f>IF(V167="","",COUNTIFS($B$3:$B$1002,"="&amp;SUBSTITUTE(SUBSTITUTE(SUBSTITUTE(B167,"~","~~"),"*","~*"),"?","~?"),$Q$3:$Q$1002,1)*10000-V167)</f>
        <v/>
      </c>
      <c r="X167" s="25">
        <f>IF(Q167=1,IF(SUBSTITUTE(SUBSTITUTE(SUBSTITUTE(SUBSTITUTE(SUBSTITUTE(SUBSTITUTE(SUBSTITUTE(SUBSTITUTE(SUBSTITUTE(SUBSTITUTE(SUBSTITUTE(SUBSTITUTE(LOWER(TRIM(A167)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167)),"á","a"),"é","e"),"í","i"),"ó","o"),"ú","u"),"ü","u"),"ñ","n"),"à","a"),"è","e"),"ì","i"),"ò","o"),"ù","u")),"")</f>
        <v/>
      </c>
      <c r="Y167" s="25">
        <f>IF(X167="","",IF(IFERROR(COUNTIF(X$3:X167,"="&amp;SUBSTITUTE(SUBSTITUTE(SUBSTITUTE(X167,"~","~~"),"*","~*"),"?","~?")),0)=1,1,""))</f>
        <v/>
      </c>
      <c r="Z167" s="25">
        <f>IF(T167=1,MAX(Z$2:Z166)+1,"")</f>
        <v/>
      </c>
    </row>
    <row r="168">
      <c r="A168">
        <f>IF(A$2=0,"",IFERROR(TRIM(INDEX('Pegar calibracion'!$A$1:$BZ$1001,167,A$2)&amp;""),""))</f>
        <v/>
      </c>
      <c r="B168">
        <f>IF(B$2=0,"",IFERROR(TRIM(INDEX('Pegar calibracion'!$A$1:$BZ$1001,167,B$2)&amp;""),""))</f>
        <v/>
      </c>
      <c r="C168">
        <f>IF(C$2=0,"",IFERROR(TRIM(INDEX('Pegar calibracion'!$A$1:$BZ$1001,167,C$2)&amp;""),""))</f>
        <v/>
      </c>
      <c r="D168">
        <f>IF(D$2=0,"",IFERROR(TRIM(INDEX('Pegar calibracion'!$A$1:$BZ$1001,167,D$2)&amp;""),""))</f>
        <v/>
      </c>
      <c r="E168">
        <f>IF(E$2=0,"",IFERROR(TRIM(INDEX('Pegar calibracion'!$A$1:$BZ$1001,167,E$2)&amp;""),""))</f>
        <v/>
      </c>
      <c r="F168">
        <f>IF(F$2=0,"",IFERROR(TRIM(INDEX('Pegar calibracion'!$A$1:$BZ$1001,167,F$2)&amp;""),""))</f>
        <v/>
      </c>
      <c r="G168">
        <f>IF(G$2=0,"",IFERROR(TRIM(INDEX('Pegar calibracion'!$A$1:$BZ$1001,167,G$2)&amp;""),""))</f>
        <v/>
      </c>
      <c r="H168">
        <f>IF(H$2=0,"",IFERROR(TRIM(INDEX('Pegar calibracion'!$A$1:$BZ$1001,167,H$2)&amp;""),""))</f>
        <v/>
      </c>
      <c r="I168">
        <f>IF(I$2=0,"",IFERROR(TRIM(INDEX('Pegar calibracion'!$A$1:$BZ$1001,167,I$2)&amp;""),""))</f>
        <v/>
      </c>
      <c r="J168">
        <f>IF(J$2=0,"",IFERROR(TRIM(INDEX('Pegar calibracion'!$A$1:$BZ$1001,167,J$2)&amp;""),""))</f>
        <v/>
      </c>
      <c r="K168">
        <f>IF(K$2=0,"",IFERROR(TRIM(INDEX('Pegar calibracion'!$A$1:$BZ$1001,167,K$2)&amp;""),""))</f>
        <v/>
      </c>
      <c r="L168">
        <f>IF(L$2=0,"",IFERROR(TRIM(INDEX('Pegar calibracion'!$A$1:$BZ$1001,167,L$2)&amp;""),""))</f>
        <v/>
      </c>
      <c r="M168" s="25">
        <f>IF(D168="","",SUBSTITUTE(SUBSTITUTE(SUBSTITUTE(SUBSTITUTE(SUBSTITUTE(SUBSTITUTE(SUBSTITUTE(SUBSTITUTE(SUBSTITUTE(SUBSTITUTE(SUBSTITUTE(SUBSTITUTE(LOWER(TRIM(D168)),"á","a"),"é","e"),"í","i"),"ó","o"),"ú","u"),"ü","u"),"ñ","n"),"à","a"),"è","e"),"ì","i"),"ò","o"),"ù","u"))</f>
        <v/>
      </c>
      <c r="N168" s="25">
        <f>IF(F168="","",SUBSTITUTE(SUBSTITUTE(SUBSTITUTE(SUBSTITUTE(SUBSTITUTE(SUBSTITUTE(SUBSTITUTE(SUBSTITUTE(SUBSTITUTE(SUBSTITUTE(SUBSTITUTE(SUBSTITUTE(LOWER(TRIM(F168)),"á","a"),"é","e"),"í","i"),"ó","o"),"ú","u"),"ü","u"),"ñ","n"),"à","a"),"è","e"),"ì","i"),"ò","o"),"ù","u"))</f>
        <v/>
      </c>
      <c r="O168" s="25">
        <f>IF(M168="confiable",2,IF(M168="dudosa",1,IF(M168="no confiable",0,"")))</f>
        <v/>
      </c>
      <c r="P168" s="25">
        <f>IF(N168="confiable",2,IF(N168="dudosa",1,IF(N168="no confiable",0,"")))</f>
        <v/>
      </c>
      <c r="Q168" s="25">
        <f>IF(AND(ISNUMBER(O168),ISNUMBER(P168)),1,"")</f>
        <v/>
      </c>
      <c r="R168" s="25">
        <f>IF(Q168=1,IF(O168=P168,"Sí","No"),"")</f>
        <v/>
      </c>
      <c r="S168" s="25">
        <f>IF(Q168=1,IF(P168&lt;O168,"Más estricto",IF(P168&gt;O168,"Más permisivo","Igual")),"")</f>
        <v/>
      </c>
      <c r="T168" s="25">
        <f>IF(Q168=1,IF(ABS(O168-P168)=2,1,0),"")</f>
        <v/>
      </c>
      <c r="U168" s="25">
        <f>IF(H168="","","|"&amp;SUBSTITUTE(SUBSTITUTE(TRIM(H168)," |","|"),"| ","|")&amp;"|")</f>
        <v/>
      </c>
      <c r="V168" s="25">
        <f>IF(AND(Q168=1,B168&lt;&gt;""),IF(IFERROR(COUNTIFS(B$3:B168,"="&amp;SUBSTITUTE(SUBSTITUTE(SUBSTITUTE(B168,"~","~~"),"*","~*"),"?","~?"),Q$3:Q168,1),0)=1,MAX(V$2:V167)+1,""),"")</f>
        <v/>
      </c>
      <c r="W168" s="25">
        <f>IF(V168="","",COUNTIFS($B$3:$B$1002,"="&amp;SUBSTITUTE(SUBSTITUTE(SUBSTITUTE(B168,"~","~~"),"*","~*"),"?","~?"),$Q$3:$Q$1002,1)*10000-V168)</f>
        <v/>
      </c>
      <c r="X168" s="25">
        <f>IF(Q168=1,IF(SUBSTITUTE(SUBSTITUTE(SUBSTITUTE(SUBSTITUTE(SUBSTITUTE(SUBSTITUTE(SUBSTITUTE(SUBSTITUTE(SUBSTITUTE(SUBSTITUTE(SUBSTITUTE(SUBSTITUTE(LOWER(TRIM(A168)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168)),"á","a"),"é","e"),"í","i"),"ó","o"),"ú","u"),"ü","u"),"ñ","n"),"à","a"),"è","e"),"ì","i"),"ò","o"),"ù","u")),"")</f>
        <v/>
      </c>
      <c r="Y168" s="25">
        <f>IF(X168="","",IF(IFERROR(COUNTIF(X$3:X168,"="&amp;SUBSTITUTE(SUBSTITUTE(SUBSTITUTE(X168,"~","~~"),"*","~*"),"?","~?")),0)=1,1,""))</f>
        <v/>
      </c>
      <c r="Z168" s="25">
        <f>IF(T168=1,MAX(Z$2:Z167)+1,"")</f>
        <v/>
      </c>
    </row>
    <row r="169">
      <c r="A169">
        <f>IF(A$2=0,"",IFERROR(TRIM(INDEX('Pegar calibracion'!$A$1:$BZ$1001,168,A$2)&amp;""),""))</f>
        <v/>
      </c>
      <c r="B169">
        <f>IF(B$2=0,"",IFERROR(TRIM(INDEX('Pegar calibracion'!$A$1:$BZ$1001,168,B$2)&amp;""),""))</f>
        <v/>
      </c>
      <c r="C169">
        <f>IF(C$2=0,"",IFERROR(TRIM(INDEX('Pegar calibracion'!$A$1:$BZ$1001,168,C$2)&amp;""),""))</f>
        <v/>
      </c>
      <c r="D169">
        <f>IF(D$2=0,"",IFERROR(TRIM(INDEX('Pegar calibracion'!$A$1:$BZ$1001,168,D$2)&amp;""),""))</f>
        <v/>
      </c>
      <c r="E169">
        <f>IF(E$2=0,"",IFERROR(TRIM(INDEX('Pegar calibracion'!$A$1:$BZ$1001,168,E$2)&amp;""),""))</f>
        <v/>
      </c>
      <c r="F169">
        <f>IF(F$2=0,"",IFERROR(TRIM(INDEX('Pegar calibracion'!$A$1:$BZ$1001,168,F$2)&amp;""),""))</f>
        <v/>
      </c>
      <c r="G169">
        <f>IF(G$2=0,"",IFERROR(TRIM(INDEX('Pegar calibracion'!$A$1:$BZ$1001,168,G$2)&amp;""),""))</f>
        <v/>
      </c>
      <c r="H169">
        <f>IF(H$2=0,"",IFERROR(TRIM(INDEX('Pegar calibracion'!$A$1:$BZ$1001,168,H$2)&amp;""),""))</f>
        <v/>
      </c>
      <c r="I169">
        <f>IF(I$2=0,"",IFERROR(TRIM(INDEX('Pegar calibracion'!$A$1:$BZ$1001,168,I$2)&amp;""),""))</f>
        <v/>
      </c>
      <c r="J169">
        <f>IF(J$2=0,"",IFERROR(TRIM(INDEX('Pegar calibracion'!$A$1:$BZ$1001,168,J$2)&amp;""),""))</f>
        <v/>
      </c>
      <c r="K169">
        <f>IF(K$2=0,"",IFERROR(TRIM(INDEX('Pegar calibracion'!$A$1:$BZ$1001,168,K$2)&amp;""),""))</f>
        <v/>
      </c>
      <c r="L169">
        <f>IF(L$2=0,"",IFERROR(TRIM(INDEX('Pegar calibracion'!$A$1:$BZ$1001,168,L$2)&amp;""),""))</f>
        <v/>
      </c>
      <c r="M169" s="25">
        <f>IF(D169="","",SUBSTITUTE(SUBSTITUTE(SUBSTITUTE(SUBSTITUTE(SUBSTITUTE(SUBSTITUTE(SUBSTITUTE(SUBSTITUTE(SUBSTITUTE(SUBSTITUTE(SUBSTITUTE(SUBSTITUTE(LOWER(TRIM(D169)),"á","a"),"é","e"),"í","i"),"ó","o"),"ú","u"),"ü","u"),"ñ","n"),"à","a"),"è","e"),"ì","i"),"ò","o"),"ù","u"))</f>
        <v/>
      </c>
      <c r="N169" s="25">
        <f>IF(F169="","",SUBSTITUTE(SUBSTITUTE(SUBSTITUTE(SUBSTITUTE(SUBSTITUTE(SUBSTITUTE(SUBSTITUTE(SUBSTITUTE(SUBSTITUTE(SUBSTITUTE(SUBSTITUTE(SUBSTITUTE(LOWER(TRIM(F169)),"á","a"),"é","e"),"í","i"),"ó","o"),"ú","u"),"ü","u"),"ñ","n"),"à","a"),"è","e"),"ì","i"),"ò","o"),"ù","u"))</f>
        <v/>
      </c>
      <c r="O169" s="25">
        <f>IF(M169="confiable",2,IF(M169="dudosa",1,IF(M169="no confiable",0,"")))</f>
        <v/>
      </c>
      <c r="P169" s="25">
        <f>IF(N169="confiable",2,IF(N169="dudosa",1,IF(N169="no confiable",0,"")))</f>
        <v/>
      </c>
      <c r="Q169" s="25">
        <f>IF(AND(ISNUMBER(O169),ISNUMBER(P169)),1,"")</f>
        <v/>
      </c>
      <c r="R169" s="25">
        <f>IF(Q169=1,IF(O169=P169,"Sí","No"),"")</f>
        <v/>
      </c>
      <c r="S169" s="25">
        <f>IF(Q169=1,IF(P169&lt;O169,"Más estricto",IF(P169&gt;O169,"Más permisivo","Igual")),"")</f>
        <v/>
      </c>
      <c r="T169" s="25">
        <f>IF(Q169=1,IF(ABS(O169-P169)=2,1,0),"")</f>
        <v/>
      </c>
      <c r="U169" s="25">
        <f>IF(H169="","","|"&amp;SUBSTITUTE(SUBSTITUTE(TRIM(H169)," |","|"),"| ","|")&amp;"|")</f>
        <v/>
      </c>
      <c r="V169" s="25">
        <f>IF(AND(Q169=1,B169&lt;&gt;""),IF(IFERROR(COUNTIFS(B$3:B169,"="&amp;SUBSTITUTE(SUBSTITUTE(SUBSTITUTE(B169,"~","~~"),"*","~*"),"?","~?"),Q$3:Q169,1),0)=1,MAX(V$2:V168)+1,""),"")</f>
        <v/>
      </c>
      <c r="W169" s="25">
        <f>IF(V169="","",COUNTIFS($B$3:$B$1002,"="&amp;SUBSTITUTE(SUBSTITUTE(SUBSTITUTE(B169,"~","~~"),"*","~*"),"?","~?"),$Q$3:$Q$1002,1)*10000-V169)</f>
        <v/>
      </c>
      <c r="X169" s="25">
        <f>IF(Q169=1,IF(SUBSTITUTE(SUBSTITUTE(SUBSTITUTE(SUBSTITUTE(SUBSTITUTE(SUBSTITUTE(SUBSTITUTE(SUBSTITUTE(SUBSTITUTE(SUBSTITUTE(SUBSTITUTE(SUBSTITUTE(LOWER(TRIM(A169)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169)),"á","a"),"é","e"),"í","i"),"ó","o"),"ú","u"),"ü","u"),"ñ","n"),"à","a"),"è","e"),"ì","i"),"ò","o"),"ù","u")),"")</f>
        <v/>
      </c>
      <c r="Y169" s="25">
        <f>IF(X169="","",IF(IFERROR(COUNTIF(X$3:X169,"="&amp;SUBSTITUTE(SUBSTITUTE(SUBSTITUTE(X169,"~","~~"),"*","~*"),"?","~?")),0)=1,1,""))</f>
        <v/>
      </c>
      <c r="Z169" s="25">
        <f>IF(T169=1,MAX(Z$2:Z168)+1,"")</f>
        <v/>
      </c>
    </row>
    <row r="170">
      <c r="A170">
        <f>IF(A$2=0,"",IFERROR(TRIM(INDEX('Pegar calibracion'!$A$1:$BZ$1001,169,A$2)&amp;""),""))</f>
        <v/>
      </c>
      <c r="B170">
        <f>IF(B$2=0,"",IFERROR(TRIM(INDEX('Pegar calibracion'!$A$1:$BZ$1001,169,B$2)&amp;""),""))</f>
        <v/>
      </c>
      <c r="C170">
        <f>IF(C$2=0,"",IFERROR(TRIM(INDEX('Pegar calibracion'!$A$1:$BZ$1001,169,C$2)&amp;""),""))</f>
        <v/>
      </c>
      <c r="D170">
        <f>IF(D$2=0,"",IFERROR(TRIM(INDEX('Pegar calibracion'!$A$1:$BZ$1001,169,D$2)&amp;""),""))</f>
        <v/>
      </c>
      <c r="E170">
        <f>IF(E$2=0,"",IFERROR(TRIM(INDEX('Pegar calibracion'!$A$1:$BZ$1001,169,E$2)&amp;""),""))</f>
        <v/>
      </c>
      <c r="F170">
        <f>IF(F$2=0,"",IFERROR(TRIM(INDEX('Pegar calibracion'!$A$1:$BZ$1001,169,F$2)&amp;""),""))</f>
        <v/>
      </c>
      <c r="G170">
        <f>IF(G$2=0,"",IFERROR(TRIM(INDEX('Pegar calibracion'!$A$1:$BZ$1001,169,G$2)&amp;""),""))</f>
        <v/>
      </c>
      <c r="H170">
        <f>IF(H$2=0,"",IFERROR(TRIM(INDEX('Pegar calibracion'!$A$1:$BZ$1001,169,H$2)&amp;""),""))</f>
        <v/>
      </c>
      <c r="I170">
        <f>IF(I$2=0,"",IFERROR(TRIM(INDEX('Pegar calibracion'!$A$1:$BZ$1001,169,I$2)&amp;""),""))</f>
        <v/>
      </c>
      <c r="J170">
        <f>IF(J$2=0,"",IFERROR(TRIM(INDEX('Pegar calibracion'!$A$1:$BZ$1001,169,J$2)&amp;""),""))</f>
        <v/>
      </c>
      <c r="K170">
        <f>IF(K$2=0,"",IFERROR(TRIM(INDEX('Pegar calibracion'!$A$1:$BZ$1001,169,K$2)&amp;""),""))</f>
        <v/>
      </c>
      <c r="L170">
        <f>IF(L$2=0,"",IFERROR(TRIM(INDEX('Pegar calibracion'!$A$1:$BZ$1001,169,L$2)&amp;""),""))</f>
        <v/>
      </c>
      <c r="M170" s="25">
        <f>IF(D170="","",SUBSTITUTE(SUBSTITUTE(SUBSTITUTE(SUBSTITUTE(SUBSTITUTE(SUBSTITUTE(SUBSTITUTE(SUBSTITUTE(SUBSTITUTE(SUBSTITUTE(SUBSTITUTE(SUBSTITUTE(LOWER(TRIM(D170)),"á","a"),"é","e"),"í","i"),"ó","o"),"ú","u"),"ü","u"),"ñ","n"),"à","a"),"è","e"),"ì","i"),"ò","o"),"ù","u"))</f>
        <v/>
      </c>
      <c r="N170" s="25">
        <f>IF(F170="","",SUBSTITUTE(SUBSTITUTE(SUBSTITUTE(SUBSTITUTE(SUBSTITUTE(SUBSTITUTE(SUBSTITUTE(SUBSTITUTE(SUBSTITUTE(SUBSTITUTE(SUBSTITUTE(SUBSTITUTE(LOWER(TRIM(F170)),"á","a"),"é","e"),"í","i"),"ó","o"),"ú","u"),"ü","u"),"ñ","n"),"à","a"),"è","e"),"ì","i"),"ò","o"),"ù","u"))</f>
        <v/>
      </c>
      <c r="O170" s="25">
        <f>IF(M170="confiable",2,IF(M170="dudosa",1,IF(M170="no confiable",0,"")))</f>
        <v/>
      </c>
      <c r="P170" s="25">
        <f>IF(N170="confiable",2,IF(N170="dudosa",1,IF(N170="no confiable",0,"")))</f>
        <v/>
      </c>
      <c r="Q170" s="25">
        <f>IF(AND(ISNUMBER(O170),ISNUMBER(P170)),1,"")</f>
        <v/>
      </c>
      <c r="R170" s="25">
        <f>IF(Q170=1,IF(O170=P170,"Sí","No"),"")</f>
        <v/>
      </c>
      <c r="S170" s="25">
        <f>IF(Q170=1,IF(P170&lt;O170,"Más estricto",IF(P170&gt;O170,"Más permisivo","Igual")),"")</f>
        <v/>
      </c>
      <c r="T170" s="25">
        <f>IF(Q170=1,IF(ABS(O170-P170)=2,1,0),"")</f>
        <v/>
      </c>
      <c r="U170" s="25">
        <f>IF(H170="","","|"&amp;SUBSTITUTE(SUBSTITUTE(TRIM(H170)," |","|"),"| ","|")&amp;"|")</f>
        <v/>
      </c>
      <c r="V170" s="25">
        <f>IF(AND(Q170=1,B170&lt;&gt;""),IF(IFERROR(COUNTIFS(B$3:B170,"="&amp;SUBSTITUTE(SUBSTITUTE(SUBSTITUTE(B170,"~","~~"),"*","~*"),"?","~?"),Q$3:Q170,1),0)=1,MAX(V$2:V169)+1,""),"")</f>
        <v/>
      </c>
      <c r="W170" s="25">
        <f>IF(V170="","",COUNTIFS($B$3:$B$1002,"="&amp;SUBSTITUTE(SUBSTITUTE(SUBSTITUTE(B170,"~","~~"),"*","~*"),"?","~?"),$Q$3:$Q$1002,1)*10000-V170)</f>
        <v/>
      </c>
      <c r="X170" s="25">
        <f>IF(Q170=1,IF(SUBSTITUTE(SUBSTITUTE(SUBSTITUTE(SUBSTITUTE(SUBSTITUTE(SUBSTITUTE(SUBSTITUTE(SUBSTITUTE(SUBSTITUTE(SUBSTITUTE(SUBSTITUTE(SUBSTITUTE(LOWER(TRIM(A170)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170)),"á","a"),"é","e"),"í","i"),"ó","o"),"ú","u"),"ü","u"),"ñ","n"),"à","a"),"è","e"),"ì","i"),"ò","o"),"ù","u")),"")</f>
        <v/>
      </c>
      <c r="Y170" s="25">
        <f>IF(X170="","",IF(IFERROR(COUNTIF(X$3:X170,"="&amp;SUBSTITUTE(SUBSTITUTE(SUBSTITUTE(X170,"~","~~"),"*","~*"),"?","~?")),0)=1,1,""))</f>
        <v/>
      </c>
      <c r="Z170" s="25">
        <f>IF(T170=1,MAX(Z$2:Z169)+1,"")</f>
        <v/>
      </c>
    </row>
    <row r="171">
      <c r="A171">
        <f>IF(A$2=0,"",IFERROR(TRIM(INDEX('Pegar calibracion'!$A$1:$BZ$1001,170,A$2)&amp;""),""))</f>
        <v/>
      </c>
      <c r="B171">
        <f>IF(B$2=0,"",IFERROR(TRIM(INDEX('Pegar calibracion'!$A$1:$BZ$1001,170,B$2)&amp;""),""))</f>
        <v/>
      </c>
      <c r="C171">
        <f>IF(C$2=0,"",IFERROR(TRIM(INDEX('Pegar calibracion'!$A$1:$BZ$1001,170,C$2)&amp;""),""))</f>
        <v/>
      </c>
      <c r="D171">
        <f>IF(D$2=0,"",IFERROR(TRIM(INDEX('Pegar calibracion'!$A$1:$BZ$1001,170,D$2)&amp;""),""))</f>
        <v/>
      </c>
      <c r="E171">
        <f>IF(E$2=0,"",IFERROR(TRIM(INDEX('Pegar calibracion'!$A$1:$BZ$1001,170,E$2)&amp;""),""))</f>
        <v/>
      </c>
      <c r="F171">
        <f>IF(F$2=0,"",IFERROR(TRIM(INDEX('Pegar calibracion'!$A$1:$BZ$1001,170,F$2)&amp;""),""))</f>
        <v/>
      </c>
      <c r="G171">
        <f>IF(G$2=0,"",IFERROR(TRIM(INDEX('Pegar calibracion'!$A$1:$BZ$1001,170,G$2)&amp;""),""))</f>
        <v/>
      </c>
      <c r="H171">
        <f>IF(H$2=0,"",IFERROR(TRIM(INDEX('Pegar calibracion'!$A$1:$BZ$1001,170,H$2)&amp;""),""))</f>
        <v/>
      </c>
      <c r="I171">
        <f>IF(I$2=0,"",IFERROR(TRIM(INDEX('Pegar calibracion'!$A$1:$BZ$1001,170,I$2)&amp;""),""))</f>
        <v/>
      </c>
      <c r="J171">
        <f>IF(J$2=0,"",IFERROR(TRIM(INDEX('Pegar calibracion'!$A$1:$BZ$1001,170,J$2)&amp;""),""))</f>
        <v/>
      </c>
      <c r="K171">
        <f>IF(K$2=0,"",IFERROR(TRIM(INDEX('Pegar calibracion'!$A$1:$BZ$1001,170,K$2)&amp;""),""))</f>
        <v/>
      </c>
      <c r="L171">
        <f>IF(L$2=0,"",IFERROR(TRIM(INDEX('Pegar calibracion'!$A$1:$BZ$1001,170,L$2)&amp;""),""))</f>
        <v/>
      </c>
      <c r="M171" s="25">
        <f>IF(D171="","",SUBSTITUTE(SUBSTITUTE(SUBSTITUTE(SUBSTITUTE(SUBSTITUTE(SUBSTITUTE(SUBSTITUTE(SUBSTITUTE(SUBSTITUTE(SUBSTITUTE(SUBSTITUTE(SUBSTITUTE(LOWER(TRIM(D171)),"á","a"),"é","e"),"í","i"),"ó","o"),"ú","u"),"ü","u"),"ñ","n"),"à","a"),"è","e"),"ì","i"),"ò","o"),"ù","u"))</f>
        <v/>
      </c>
      <c r="N171" s="25">
        <f>IF(F171="","",SUBSTITUTE(SUBSTITUTE(SUBSTITUTE(SUBSTITUTE(SUBSTITUTE(SUBSTITUTE(SUBSTITUTE(SUBSTITUTE(SUBSTITUTE(SUBSTITUTE(SUBSTITUTE(SUBSTITUTE(LOWER(TRIM(F171)),"á","a"),"é","e"),"í","i"),"ó","o"),"ú","u"),"ü","u"),"ñ","n"),"à","a"),"è","e"),"ì","i"),"ò","o"),"ù","u"))</f>
        <v/>
      </c>
      <c r="O171" s="25">
        <f>IF(M171="confiable",2,IF(M171="dudosa",1,IF(M171="no confiable",0,"")))</f>
        <v/>
      </c>
      <c r="P171" s="25">
        <f>IF(N171="confiable",2,IF(N171="dudosa",1,IF(N171="no confiable",0,"")))</f>
        <v/>
      </c>
      <c r="Q171" s="25">
        <f>IF(AND(ISNUMBER(O171),ISNUMBER(P171)),1,"")</f>
        <v/>
      </c>
      <c r="R171" s="25">
        <f>IF(Q171=1,IF(O171=P171,"Sí","No"),"")</f>
        <v/>
      </c>
      <c r="S171" s="25">
        <f>IF(Q171=1,IF(P171&lt;O171,"Más estricto",IF(P171&gt;O171,"Más permisivo","Igual")),"")</f>
        <v/>
      </c>
      <c r="T171" s="25">
        <f>IF(Q171=1,IF(ABS(O171-P171)=2,1,0),"")</f>
        <v/>
      </c>
      <c r="U171" s="25">
        <f>IF(H171="","","|"&amp;SUBSTITUTE(SUBSTITUTE(TRIM(H171)," |","|"),"| ","|")&amp;"|")</f>
        <v/>
      </c>
      <c r="V171" s="25">
        <f>IF(AND(Q171=1,B171&lt;&gt;""),IF(IFERROR(COUNTIFS(B$3:B171,"="&amp;SUBSTITUTE(SUBSTITUTE(SUBSTITUTE(B171,"~","~~"),"*","~*"),"?","~?"),Q$3:Q171,1),0)=1,MAX(V$2:V170)+1,""),"")</f>
        <v/>
      </c>
      <c r="W171" s="25">
        <f>IF(V171="","",COUNTIFS($B$3:$B$1002,"="&amp;SUBSTITUTE(SUBSTITUTE(SUBSTITUTE(B171,"~","~~"),"*","~*"),"?","~?"),$Q$3:$Q$1002,1)*10000-V171)</f>
        <v/>
      </c>
      <c r="X171" s="25">
        <f>IF(Q171=1,IF(SUBSTITUTE(SUBSTITUTE(SUBSTITUTE(SUBSTITUTE(SUBSTITUTE(SUBSTITUTE(SUBSTITUTE(SUBSTITUTE(SUBSTITUTE(SUBSTITUTE(SUBSTITUTE(SUBSTITUTE(LOWER(TRIM(A171)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171)),"á","a"),"é","e"),"í","i"),"ó","o"),"ú","u"),"ü","u"),"ñ","n"),"à","a"),"è","e"),"ì","i"),"ò","o"),"ù","u")),"")</f>
        <v/>
      </c>
      <c r="Y171" s="25">
        <f>IF(X171="","",IF(IFERROR(COUNTIF(X$3:X171,"="&amp;SUBSTITUTE(SUBSTITUTE(SUBSTITUTE(X171,"~","~~"),"*","~*"),"?","~?")),0)=1,1,""))</f>
        <v/>
      </c>
      <c r="Z171" s="25">
        <f>IF(T171=1,MAX(Z$2:Z170)+1,"")</f>
        <v/>
      </c>
    </row>
    <row r="172">
      <c r="A172">
        <f>IF(A$2=0,"",IFERROR(TRIM(INDEX('Pegar calibracion'!$A$1:$BZ$1001,171,A$2)&amp;""),""))</f>
        <v/>
      </c>
      <c r="B172">
        <f>IF(B$2=0,"",IFERROR(TRIM(INDEX('Pegar calibracion'!$A$1:$BZ$1001,171,B$2)&amp;""),""))</f>
        <v/>
      </c>
      <c r="C172">
        <f>IF(C$2=0,"",IFERROR(TRIM(INDEX('Pegar calibracion'!$A$1:$BZ$1001,171,C$2)&amp;""),""))</f>
        <v/>
      </c>
      <c r="D172">
        <f>IF(D$2=0,"",IFERROR(TRIM(INDEX('Pegar calibracion'!$A$1:$BZ$1001,171,D$2)&amp;""),""))</f>
        <v/>
      </c>
      <c r="E172">
        <f>IF(E$2=0,"",IFERROR(TRIM(INDEX('Pegar calibracion'!$A$1:$BZ$1001,171,E$2)&amp;""),""))</f>
        <v/>
      </c>
      <c r="F172">
        <f>IF(F$2=0,"",IFERROR(TRIM(INDEX('Pegar calibracion'!$A$1:$BZ$1001,171,F$2)&amp;""),""))</f>
        <v/>
      </c>
      <c r="G172">
        <f>IF(G$2=0,"",IFERROR(TRIM(INDEX('Pegar calibracion'!$A$1:$BZ$1001,171,G$2)&amp;""),""))</f>
        <v/>
      </c>
      <c r="H172">
        <f>IF(H$2=0,"",IFERROR(TRIM(INDEX('Pegar calibracion'!$A$1:$BZ$1001,171,H$2)&amp;""),""))</f>
        <v/>
      </c>
      <c r="I172">
        <f>IF(I$2=0,"",IFERROR(TRIM(INDEX('Pegar calibracion'!$A$1:$BZ$1001,171,I$2)&amp;""),""))</f>
        <v/>
      </c>
      <c r="J172">
        <f>IF(J$2=0,"",IFERROR(TRIM(INDEX('Pegar calibracion'!$A$1:$BZ$1001,171,J$2)&amp;""),""))</f>
        <v/>
      </c>
      <c r="K172">
        <f>IF(K$2=0,"",IFERROR(TRIM(INDEX('Pegar calibracion'!$A$1:$BZ$1001,171,K$2)&amp;""),""))</f>
        <v/>
      </c>
      <c r="L172">
        <f>IF(L$2=0,"",IFERROR(TRIM(INDEX('Pegar calibracion'!$A$1:$BZ$1001,171,L$2)&amp;""),""))</f>
        <v/>
      </c>
      <c r="M172" s="25">
        <f>IF(D172="","",SUBSTITUTE(SUBSTITUTE(SUBSTITUTE(SUBSTITUTE(SUBSTITUTE(SUBSTITUTE(SUBSTITUTE(SUBSTITUTE(SUBSTITUTE(SUBSTITUTE(SUBSTITUTE(SUBSTITUTE(LOWER(TRIM(D172)),"á","a"),"é","e"),"í","i"),"ó","o"),"ú","u"),"ü","u"),"ñ","n"),"à","a"),"è","e"),"ì","i"),"ò","o"),"ù","u"))</f>
        <v/>
      </c>
      <c r="N172" s="25">
        <f>IF(F172="","",SUBSTITUTE(SUBSTITUTE(SUBSTITUTE(SUBSTITUTE(SUBSTITUTE(SUBSTITUTE(SUBSTITUTE(SUBSTITUTE(SUBSTITUTE(SUBSTITUTE(SUBSTITUTE(SUBSTITUTE(LOWER(TRIM(F172)),"á","a"),"é","e"),"í","i"),"ó","o"),"ú","u"),"ü","u"),"ñ","n"),"à","a"),"è","e"),"ì","i"),"ò","o"),"ù","u"))</f>
        <v/>
      </c>
      <c r="O172" s="25">
        <f>IF(M172="confiable",2,IF(M172="dudosa",1,IF(M172="no confiable",0,"")))</f>
        <v/>
      </c>
      <c r="P172" s="25">
        <f>IF(N172="confiable",2,IF(N172="dudosa",1,IF(N172="no confiable",0,"")))</f>
        <v/>
      </c>
      <c r="Q172" s="25">
        <f>IF(AND(ISNUMBER(O172),ISNUMBER(P172)),1,"")</f>
        <v/>
      </c>
      <c r="R172" s="25">
        <f>IF(Q172=1,IF(O172=P172,"Sí","No"),"")</f>
        <v/>
      </c>
      <c r="S172" s="25">
        <f>IF(Q172=1,IF(P172&lt;O172,"Más estricto",IF(P172&gt;O172,"Más permisivo","Igual")),"")</f>
        <v/>
      </c>
      <c r="T172" s="25">
        <f>IF(Q172=1,IF(ABS(O172-P172)=2,1,0),"")</f>
        <v/>
      </c>
      <c r="U172" s="25">
        <f>IF(H172="","","|"&amp;SUBSTITUTE(SUBSTITUTE(TRIM(H172)," |","|"),"| ","|")&amp;"|")</f>
        <v/>
      </c>
      <c r="V172" s="25">
        <f>IF(AND(Q172=1,B172&lt;&gt;""),IF(IFERROR(COUNTIFS(B$3:B172,"="&amp;SUBSTITUTE(SUBSTITUTE(SUBSTITUTE(B172,"~","~~"),"*","~*"),"?","~?"),Q$3:Q172,1),0)=1,MAX(V$2:V171)+1,""),"")</f>
        <v/>
      </c>
      <c r="W172" s="25">
        <f>IF(V172="","",COUNTIFS($B$3:$B$1002,"="&amp;SUBSTITUTE(SUBSTITUTE(SUBSTITUTE(B172,"~","~~"),"*","~*"),"?","~?"),$Q$3:$Q$1002,1)*10000-V172)</f>
        <v/>
      </c>
      <c r="X172" s="25">
        <f>IF(Q172=1,IF(SUBSTITUTE(SUBSTITUTE(SUBSTITUTE(SUBSTITUTE(SUBSTITUTE(SUBSTITUTE(SUBSTITUTE(SUBSTITUTE(SUBSTITUTE(SUBSTITUTE(SUBSTITUTE(SUBSTITUTE(LOWER(TRIM(A172)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172)),"á","a"),"é","e"),"í","i"),"ó","o"),"ú","u"),"ü","u"),"ñ","n"),"à","a"),"è","e"),"ì","i"),"ò","o"),"ù","u")),"")</f>
        <v/>
      </c>
      <c r="Y172" s="25">
        <f>IF(X172="","",IF(IFERROR(COUNTIF(X$3:X172,"="&amp;SUBSTITUTE(SUBSTITUTE(SUBSTITUTE(X172,"~","~~"),"*","~*"),"?","~?")),0)=1,1,""))</f>
        <v/>
      </c>
      <c r="Z172" s="25">
        <f>IF(T172=1,MAX(Z$2:Z171)+1,"")</f>
        <v/>
      </c>
    </row>
    <row r="173">
      <c r="A173">
        <f>IF(A$2=0,"",IFERROR(TRIM(INDEX('Pegar calibracion'!$A$1:$BZ$1001,172,A$2)&amp;""),""))</f>
        <v/>
      </c>
      <c r="B173">
        <f>IF(B$2=0,"",IFERROR(TRIM(INDEX('Pegar calibracion'!$A$1:$BZ$1001,172,B$2)&amp;""),""))</f>
        <v/>
      </c>
      <c r="C173">
        <f>IF(C$2=0,"",IFERROR(TRIM(INDEX('Pegar calibracion'!$A$1:$BZ$1001,172,C$2)&amp;""),""))</f>
        <v/>
      </c>
      <c r="D173">
        <f>IF(D$2=0,"",IFERROR(TRIM(INDEX('Pegar calibracion'!$A$1:$BZ$1001,172,D$2)&amp;""),""))</f>
        <v/>
      </c>
      <c r="E173">
        <f>IF(E$2=0,"",IFERROR(TRIM(INDEX('Pegar calibracion'!$A$1:$BZ$1001,172,E$2)&amp;""),""))</f>
        <v/>
      </c>
      <c r="F173">
        <f>IF(F$2=0,"",IFERROR(TRIM(INDEX('Pegar calibracion'!$A$1:$BZ$1001,172,F$2)&amp;""),""))</f>
        <v/>
      </c>
      <c r="G173">
        <f>IF(G$2=0,"",IFERROR(TRIM(INDEX('Pegar calibracion'!$A$1:$BZ$1001,172,G$2)&amp;""),""))</f>
        <v/>
      </c>
      <c r="H173">
        <f>IF(H$2=0,"",IFERROR(TRIM(INDEX('Pegar calibracion'!$A$1:$BZ$1001,172,H$2)&amp;""),""))</f>
        <v/>
      </c>
      <c r="I173">
        <f>IF(I$2=0,"",IFERROR(TRIM(INDEX('Pegar calibracion'!$A$1:$BZ$1001,172,I$2)&amp;""),""))</f>
        <v/>
      </c>
      <c r="J173">
        <f>IF(J$2=0,"",IFERROR(TRIM(INDEX('Pegar calibracion'!$A$1:$BZ$1001,172,J$2)&amp;""),""))</f>
        <v/>
      </c>
      <c r="K173">
        <f>IF(K$2=0,"",IFERROR(TRIM(INDEX('Pegar calibracion'!$A$1:$BZ$1001,172,K$2)&amp;""),""))</f>
        <v/>
      </c>
      <c r="L173">
        <f>IF(L$2=0,"",IFERROR(TRIM(INDEX('Pegar calibracion'!$A$1:$BZ$1001,172,L$2)&amp;""),""))</f>
        <v/>
      </c>
      <c r="M173" s="25">
        <f>IF(D173="","",SUBSTITUTE(SUBSTITUTE(SUBSTITUTE(SUBSTITUTE(SUBSTITUTE(SUBSTITUTE(SUBSTITUTE(SUBSTITUTE(SUBSTITUTE(SUBSTITUTE(SUBSTITUTE(SUBSTITUTE(LOWER(TRIM(D173)),"á","a"),"é","e"),"í","i"),"ó","o"),"ú","u"),"ü","u"),"ñ","n"),"à","a"),"è","e"),"ì","i"),"ò","o"),"ù","u"))</f>
        <v/>
      </c>
      <c r="N173" s="25">
        <f>IF(F173="","",SUBSTITUTE(SUBSTITUTE(SUBSTITUTE(SUBSTITUTE(SUBSTITUTE(SUBSTITUTE(SUBSTITUTE(SUBSTITUTE(SUBSTITUTE(SUBSTITUTE(SUBSTITUTE(SUBSTITUTE(LOWER(TRIM(F173)),"á","a"),"é","e"),"í","i"),"ó","o"),"ú","u"),"ü","u"),"ñ","n"),"à","a"),"è","e"),"ì","i"),"ò","o"),"ù","u"))</f>
        <v/>
      </c>
      <c r="O173" s="25">
        <f>IF(M173="confiable",2,IF(M173="dudosa",1,IF(M173="no confiable",0,"")))</f>
        <v/>
      </c>
      <c r="P173" s="25">
        <f>IF(N173="confiable",2,IF(N173="dudosa",1,IF(N173="no confiable",0,"")))</f>
        <v/>
      </c>
      <c r="Q173" s="25">
        <f>IF(AND(ISNUMBER(O173),ISNUMBER(P173)),1,"")</f>
        <v/>
      </c>
      <c r="R173" s="25">
        <f>IF(Q173=1,IF(O173=P173,"Sí","No"),"")</f>
        <v/>
      </c>
      <c r="S173" s="25">
        <f>IF(Q173=1,IF(P173&lt;O173,"Más estricto",IF(P173&gt;O173,"Más permisivo","Igual")),"")</f>
        <v/>
      </c>
      <c r="T173" s="25">
        <f>IF(Q173=1,IF(ABS(O173-P173)=2,1,0),"")</f>
        <v/>
      </c>
      <c r="U173" s="25">
        <f>IF(H173="","","|"&amp;SUBSTITUTE(SUBSTITUTE(TRIM(H173)," |","|"),"| ","|")&amp;"|")</f>
        <v/>
      </c>
      <c r="V173" s="25">
        <f>IF(AND(Q173=1,B173&lt;&gt;""),IF(IFERROR(COUNTIFS(B$3:B173,"="&amp;SUBSTITUTE(SUBSTITUTE(SUBSTITUTE(B173,"~","~~"),"*","~*"),"?","~?"),Q$3:Q173,1),0)=1,MAX(V$2:V172)+1,""),"")</f>
        <v/>
      </c>
      <c r="W173" s="25">
        <f>IF(V173="","",COUNTIFS($B$3:$B$1002,"="&amp;SUBSTITUTE(SUBSTITUTE(SUBSTITUTE(B173,"~","~~"),"*","~*"),"?","~?"),$Q$3:$Q$1002,1)*10000-V173)</f>
        <v/>
      </c>
      <c r="X173" s="25">
        <f>IF(Q173=1,IF(SUBSTITUTE(SUBSTITUTE(SUBSTITUTE(SUBSTITUTE(SUBSTITUTE(SUBSTITUTE(SUBSTITUTE(SUBSTITUTE(SUBSTITUTE(SUBSTITUTE(SUBSTITUTE(SUBSTITUTE(LOWER(TRIM(A173)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173)),"á","a"),"é","e"),"í","i"),"ó","o"),"ú","u"),"ü","u"),"ñ","n"),"à","a"),"è","e"),"ì","i"),"ò","o"),"ù","u")),"")</f>
        <v/>
      </c>
      <c r="Y173" s="25">
        <f>IF(X173="","",IF(IFERROR(COUNTIF(X$3:X173,"="&amp;SUBSTITUTE(SUBSTITUTE(SUBSTITUTE(X173,"~","~~"),"*","~*"),"?","~?")),0)=1,1,""))</f>
        <v/>
      </c>
      <c r="Z173" s="25">
        <f>IF(T173=1,MAX(Z$2:Z172)+1,"")</f>
        <v/>
      </c>
    </row>
    <row r="174">
      <c r="A174">
        <f>IF(A$2=0,"",IFERROR(TRIM(INDEX('Pegar calibracion'!$A$1:$BZ$1001,173,A$2)&amp;""),""))</f>
        <v/>
      </c>
      <c r="B174">
        <f>IF(B$2=0,"",IFERROR(TRIM(INDEX('Pegar calibracion'!$A$1:$BZ$1001,173,B$2)&amp;""),""))</f>
        <v/>
      </c>
      <c r="C174">
        <f>IF(C$2=0,"",IFERROR(TRIM(INDEX('Pegar calibracion'!$A$1:$BZ$1001,173,C$2)&amp;""),""))</f>
        <v/>
      </c>
      <c r="D174">
        <f>IF(D$2=0,"",IFERROR(TRIM(INDEX('Pegar calibracion'!$A$1:$BZ$1001,173,D$2)&amp;""),""))</f>
        <v/>
      </c>
      <c r="E174">
        <f>IF(E$2=0,"",IFERROR(TRIM(INDEX('Pegar calibracion'!$A$1:$BZ$1001,173,E$2)&amp;""),""))</f>
        <v/>
      </c>
      <c r="F174">
        <f>IF(F$2=0,"",IFERROR(TRIM(INDEX('Pegar calibracion'!$A$1:$BZ$1001,173,F$2)&amp;""),""))</f>
        <v/>
      </c>
      <c r="G174">
        <f>IF(G$2=0,"",IFERROR(TRIM(INDEX('Pegar calibracion'!$A$1:$BZ$1001,173,G$2)&amp;""),""))</f>
        <v/>
      </c>
      <c r="H174">
        <f>IF(H$2=0,"",IFERROR(TRIM(INDEX('Pegar calibracion'!$A$1:$BZ$1001,173,H$2)&amp;""),""))</f>
        <v/>
      </c>
      <c r="I174">
        <f>IF(I$2=0,"",IFERROR(TRIM(INDEX('Pegar calibracion'!$A$1:$BZ$1001,173,I$2)&amp;""),""))</f>
        <v/>
      </c>
      <c r="J174">
        <f>IF(J$2=0,"",IFERROR(TRIM(INDEX('Pegar calibracion'!$A$1:$BZ$1001,173,J$2)&amp;""),""))</f>
        <v/>
      </c>
      <c r="K174">
        <f>IF(K$2=0,"",IFERROR(TRIM(INDEX('Pegar calibracion'!$A$1:$BZ$1001,173,K$2)&amp;""),""))</f>
        <v/>
      </c>
      <c r="L174">
        <f>IF(L$2=0,"",IFERROR(TRIM(INDEX('Pegar calibracion'!$A$1:$BZ$1001,173,L$2)&amp;""),""))</f>
        <v/>
      </c>
      <c r="M174" s="25">
        <f>IF(D174="","",SUBSTITUTE(SUBSTITUTE(SUBSTITUTE(SUBSTITUTE(SUBSTITUTE(SUBSTITUTE(SUBSTITUTE(SUBSTITUTE(SUBSTITUTE(SUBSTITUTE(SUBSTITUTE(SUBSTITUTE(LOWER(TRIM(D174)),"á","a"),"é","e"),"í","i"),"ó","o"),"ú","u"),"ü","u"),"ñ","n"),"à","a"),"è","e"),"ì","i"),"ò","o"),"ù","u"))</f>
        <v/>
      </c>
      <c r="N174" s="25">
        <f>IF(F174="","",SUBSTITUTE(SUBSTITUTE(SUBSTITUTE(SUBSTITUTE(SUBSTITUTE(SUBSTITUTE(SUBSTITUTE(SUBSTITUTE(SUBSTITUTE(SUBSTITUTE(SUBSTITUTE(SUBSTITUTE(LOWER(TRIM(F174)),"á","a"),"é","e"),"í","i"),"ó","o"),"ú","u"),"ü","u"),"ñ","n"),"à","a"),"è","e"),"ì","i"),"ò","o"),"ù","u"))</f>
        <v/>
      </c>
      <c r="O174" s="25">
        <f>IF(M174="confiable",2,IF(M174="dudosa",1,IF(M174="no confiable",0,"")))</f>
        <v/>
      </c>
      <c r="P174" s="25">
        <f>IF(N174="confiable",2,IF(N174="dudosa",1,IF(N174="no confiable",0,"")))</f>
        <v/>
      </c>
      <c r="Q174" s="25">
        <f>IF(AND(ISNUMBER(O174),ISNUMBER(P174)),1,"")</f>
        <v/>
      </c>
      <c r="R174" s="25">
        <f>IF(Q174=1,IF(O174=P174,"Sí","No"),"")</f>
        <v/>
      </c>
      <c r="S174" s="25">
        <f>IF(Q174=1,IF(P174&lt;O174,"Más estricto",IF(P174&gt;O174,"Más permisivo","Igual")),"")</f>
        <v/>
      </c>
      <c r="T174" s="25">
        <f>IF(Q174=1,IF(ABS(O174-P174)=2,1,0),"")</f>
        <v/>
      </c>
      <c r="U174" s="25">
        <f>IF(H174="","","|"&amp;SUBSTITUTE(SUBSTITUTE(TRIM(H174)," |","|"),"| ","|")&amp;"|")</f>
        <v/>
      </c>
      <c r="V174" s="25">
        <f>IF(AND(Q174=1,B174&lt;&gt;""),IF(IFERROR(COUNTIFS(B$3:B174,"="&amp;SUBSTITUTE(SUBSTITUTE(SUBSTITUTE(B174,"~","~~"),"*","~*"),"?","~?"),Q$3:Q174,1),0)=1,MAX(V$2:V173)+1,""),"")</f>
        <v/>
      </c>
      <c r="W174" s="25">
        <f>IF(V174="","",COUNTIFS($B$3:$B$1002,"="&amp;SUBSTITUTE(SUBSTITUTE(SUBSTITUTE(B174,"~","~~"),"*","~*"),"?","~?"),$Q$3:$Q$1002,1)*10000-V174)</f>
        <v/>
      </c>
      <c r="X174" s="25">
        <f>IF(Q174=1,IF(SUBSTITUTE(SUBSTITUTE(SUBSTITUTE(SUBSTITUTE(SUBSTITUTE(SUBSTITUTE(SUBSTITUTE(SUBSTITUTE(SUBSTITUTE(SUBSTITUTE(SUBSTITUTE(SUBSTITUTE(LOWER(TRIM(A174)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174)),"á","a"),"é","e"),"í","i"),"ó","o"),"ú","u"),"ü","u"),"ñ","n"),"à","a"),"è","e"),"ì","i"),"ò","o"),"ù","u")),"")</f>
        <v/>
      </c>
      <c r="Y174" s="25">
        <f>IF(X174="","",IF(IFERROR(COUNTIF(X$3:X174,"="&amp;SUBSTITUTE(SUBSTITUTE(SUBSTITUTE(X174,"~","~~"),"*","~*"),"?","~?")),0)=1,1,""))</f>
        <v/>
      </c>
      <c r="Z174" s="25">
        <f>IF(T174=1,MAX(Z$2:Z173)+1,"")</f>
        <v/>
      </c>
    </row>
    <row r="175">
      <c r="A175">
        <f>IF(A$2=0,"",IFERROR(TRIM(INDEX('Pegar calibracion'!$A$1:$BZ$1001,174,A$2)&amp;""),""))</f>
        <v/>
      </c>
      <c r="B175">
        <f>IF(B$2=0,"",IFERROR(TRIM(INDEX('Pegar calibracion'!$A$1:$BZ$1001,174,B$2)&amp;""),""))</f>
        <v/>
      </c>
      <c r="C175">
        <f>IF(C$2=0,"",IFERROR(TRIM(INDEX('Pegar calibracion'!$A$1:$BZ$1001,174,C$2)&amp;""),""))</f>
        <v/>
      </c>
      <c r="D175">
        <f>IF(D$2=0,"",IFERROR(TRIM(INDEX('Pegar calibracion'!$A$1:$BZ$1001,174,D$2)&amp;""),""))</f>
        <v/>
      </c>
      <c r="E175">
        <f>IF(E$2=0,"",IFERROR(TRIM(INDEX('Pegar calibracion'!$A$1:$BZ$1001,174,E$2)&amp;""),""))</f>
        <v/>
      </c>
      <c r="F175">
        <f>IF(F$2=0,"",IFERROR(TRIM(INDEX('Pegar calibracion'!$A$1:$BZ$1001,174,F$2)&amp;""),""))</f>
        <v/>
      </c>
      <c r="G175">
        <f>IF(G$2=0,"",IFERROR(TRIM(INDEX('Pegar calibracion'!$A$1:$BZ$1001,174,G$2)&amp;""),""))</f>
        <v/>
      </c>
      <c r="H175">
        <f>IF(H$2=0,"",IFERROR(TRIM(INDEX('Pegar calibracion'!$A$1:$BZ$1001,174,H$2)&amp;""),""))</f>
        <v/>
      </c>
      <c r="I175">
        <f>IF(I$2=0,"",IFERROR(TRIM(INDEX('Pegar calibracion'!$A$1:$BZ$1001,174,I$2)&amp;""),""))</f>
        <v/>
      </c>
      <c r="J175">
        <f>IF(J$2=0,"",IFERROR(TRIM(INDEX('Pegar calibracion'!$A$1:$BZ$1001,174,J$2)&amp;""),""))</f>
        <v/>
      </c>
      <c r="K175">
        <f>IF(K$2=0,"",IFERROR(TRIM(INDEX('Pegar calibracion'!$A$1:$BZ$1001,174,K$2)&amp;""),""))</f>
        <v/>
      </c>
      <c r="L175">
        <f>IF(L$2=0,"",IFERROR(TRIM(INDEX('Pegar calibracion'!$A$1:$BZ$1001,174,L$2)&amp;""),""))</f>
        <v/>
      </c>
      <c r="M175" s="25">
        <f>IF(D175="","",SUBSTITUTE(SUBSTITUTE(SUBSTITUTE(SUBSTITUTE(SUBSTITUTE(SUBSTITUTE(SUBSTITUTE(SUBSTITUTE(SUBSTITUTE(SUBSTITUTE(SUBSTITUTE(SUBSTITUTE(LOWER(TRIM(D175)),"á","a"),"é","e"),"í","i"),"ó","o"),"ú","u"),"ü","u"),"ñ","n"),"à","a"),"è","e"),"ì","i"),"ò","o"),"ù","u"))</f>
        <v/>
      </c>
      <c r="N175" s="25">
        <f>IF(F175="","",SUBSTITUTE(SUBSTITUTE(SUBSTITUTE(SUBSTITUTE(SUBSTITUTE(SUBSTITUTE(SUBSTITUTE(SUBSTITUTE(SUBSTITUTE(SUBSTITUTE(SUBSTITUTE(SUBSTITUTE(LOWER(TRIM(F175)),"á","a"),"é","e"),"í","i"),"ó","o"),"ú","u"),"ü","u"),"ñ","n"),"à","a"),"è","e"),"ì","i"),"ò","o"),"ù","u"))</f>
        <v/>
      </c>
      <c r="O175" s="25">
        <f>IF(M175="confiable",2,IF(M175="dudosa",1,IF(M175="no confiable",0,"")))</f>
        <v/>
      </c>
      <c r="P175" s="25">
        <f>IF(N175="confiable",2,IF(N175="dudosa",1,IF(N175="no confiable",0,"")))</f>
        <v/>
      </c>
      <c r="Q175" s="25">
        <f>IF(AND(ISNUMBER(O175),ISNUMBER(P175)),1,"")</f>
        <v/>
      </c>
      <c r="R175" s="25">
        <f>IF(Q175=1,IF(O175=P175,"Sí","No"),"")</f>
        <v/>
      </c>
      <c r="S175" s="25">
        <f>IF(Q175=1,IF(P175&lt;O175,"Más estricto",IF(P175&gt;O175,"Más permisivo","Igual")),"")</f>
        <v/>
      </c>
      <c r="T175" s="25">
        <f>IF(Q175=1,IF(ABS(O175-P175)=2,1,0),"")</f>
        <v/>
      </c>
      <c r="U175" s="25">
        <f>IF(H175="","","|"&amp;SUBSTITUTE(SUBSTITUTE(TRIM(H175)," |","|"),"| ","|")&amp;"|")</f>
        <v/>
      </c>
      <c r="V175" s="25">
        <f>IF(AND(Q175=1,B175&lt;&gt;""),IF(IFERROR(COUNTIFS(B$3:B175,"="&amp;SUBSTITUTE(SUBSTITUTE(SUBSTITUTE(B175,"~","~~"),"*","~*"),"?","~?"),Q$3:Q175,1),0)=1,MAX(V$2:V174)+1,""),"")</f>
        <v/>
      </c>
      <c r="W175" s="25">
        <f>IF(V175="","",COUNTIFS($B$3:$B$1002,"="&amp;SUBSTITUTE(SUBSTITUTE(SUBSTITUTE(B175,"~","~~"),"*","~*"),"?","~?"),$Q$3:$Q$1002,1)*10000-V175)</f>
        <v/>
      </c>
      <c r="X175" s="25">
        <f>IF(Q175=1,IF(SUBSTITUTE(SUBSTITUTE(SUBSTITUTE(SUBSTITUTE(SUBSTITUTE(SUBSTITUTE(SUBSTITUTE(SUBSTITUTE(SUBSTITUTE(SUBSTITUTE(SUBSTITUTE(SUBSTITUTE(LOWER(TRIM(A175)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175)),"á","a"),"é","e"),"í","i"),"ó","o"),"ú","u"),"ü","u"),"ñ","n"),"à","a"),"è","e"),"ì","i"),"ò","o"),"ù","u")),"")</f>
        <v/>
      </c>
      <c r="Y175" s="25">
        <f>IF(X175="","",IF(IFERROR(COUNTIF(X$3:X175,"="&amp;SUBSTITUTE(SUBSTITUTE(SUBSTITUTE(X175,"~","~~"),"*","~*"),"?","~?")),0)=1,1,""))</f>
        <v/>
      </c>
      <c r="Z175" s="25">
        <f>IF(T175=1,MAX(Z$2:Z174)+1,"")</f>
        <v/>
      </c>
    </row>
    <row r="176">
      <c r="A176">
        <f>IF(A$2=0,"",IFERROR(TRIM(INDEX('Pegar calibracion'!$A$1:$BZ$1001,175,A$2)&amp;""),""))</f>
        <v/>
      </c>
      <c r="B176">
        <f>IF(B$2=0,"",IFERROR(TRIM(INDEX('Pegar calibracion'!$A$1:$BZ$1001,175,B$2)&amp;""),""))</f>
        <v/>
      </c>
      <c r="C176">
        <f>IF(C$2=0,"",IFERROR(TRIM(INDEX('Pegar calibracion'!$A$1:$BZ$1001,175,C$2)&amp;""),""))</f>
        <v/>
      </c>
      <c r="D176">
        <f>IF(D$2=0,"",IFERROR(TRIM(INDEX('Pegar calibracion'!$A$1:$BZ$1001,175,D$2)&amp;""),""))</f>
        <v/>
      </c>
      <c r="E176">
        <f>IF(E$2=0,"",IFERROR(TRIM(INDEX('Pegar calibracion'!$A$1:$BZ$1001,175,E$2)&amp;""),""))</f>
        <v/>
      </c>
      <c r="F176">
        <f>IF(F$2=0,"",IFERROR(TRIM(INDEX('Pegar calibracion'!$A$1:$BZ$1001,175,F$2)&amp;""),""))</f>
        <v/>
      </c>
      <c r="G176">
        <f>IF(G$2=0,"",IFERROR(TRIM(INDEX('Pegar calibracion'!$A$1:$BZ$1001,175,G$2)&amp;""),""))</f>
        <v/>
      </c>
      <c r="H176">
        <f>IF(H$2=0,"",IFERROR(TRIM(INDEX('Pegar calibracion'!$A$1:$BZ$1001,175,H$2)&amp;""),""))</f>
        <v/>
      </c>
      <c r="I176">
        <f>IF(I$2=0,"",IFERROR(TRIM(INDEX('Pegar calibracion'!$A$1:$BZ$1001,175,I$2)&amp;""),""))</f>
        <v/>
      </c>
      <c r="J176">
        <f>IF(J$2=0,"",IFERROR(TRIM(INDEX('Pegar calibracion'!$A$1:$BZ$1001,175,J$2)&amp;""),""))</f>
        <v/>
      </c>
      <c r="K176">
        <f>IF(K$2=0,"",IFERROR(TRIM(INDEX('Pegar calibracion'!$A$1:$BZ$1001,175,K$2)&amp;""),""))</f>
        <v/>
      </c>
      <c r="L176">
        <f>IF(L$2=0,"",IFERROR(TRIM(INDEX('Pegar calibracion'!$A$1:$BZ$1001,175,L$2)&amp;""),""))</f>
        <v/>
      </c>
      <c r="M176" s="25">
        <f>IF(D176="","",SUBSTITUTE(SUBSTITUTE(SUBSTITUTE(SUBSTITUTE(SUBSTITUTE(SUBSTITUTE(SUBSTITUTE(SUBSTITUTE(SUBSTITUTE(SUBSTITUTE(SUBSTITUTE(SUBSTITUTE(LOWER(TRIM(D176)),"á","a"),"é","e"),"í","i"),"ó","o"),"ú","u"),"ü","u"),"ñ","n"),"à","a"),"è","e"),"ì","i"),"ò","o"),"ù","u"))</f>
        <v/>
      </c>
      <c r="N176" s="25">
        <f>IF(F176="","",SUBSTITUTE(SUBSTITUTE(SUBSTITUTE(SUBSTITUTE(SUBSTITUTE(SUBSTITUTE(SUBSTITUTE(SUBSTITUTE(SUBSTITUTE(SUBSTITUTE(SUBSTITUTE(SUBSTITUTE(LOWER(TRIM(F176)),"á","a"),"é","e"),"í","i"),"ó","o"),"ú","u"),"ü","u"),"ñ","n"),"à","a"),"è","e"),"ì","i"),"ò","o"),"ù","u"))</f>
        <v/>
      </c>
      <c r="O176" s="25">
        <f>IF(M176="confiable",2,IF(M176="dudosa",1,IF(M176="no confiable",0,"")))</f>
        <v/>
      </c>
      <c r="P176" s="25">
        <f>IF(N176="confiable",2,IF(N176="dudosa",1,IF(N176="no confiable",0,"")))</f>
        <v/>
      </c>
      <c r="Q176" s="25">
        <f>IF(AND(ISNUMBER(O176),ISNUMBER(P176)),1,"")</f>
        <v/>
      </c>
      <c r="R176" s="25">
        <f>IF(Q176=1,IF(O176=P176,"Sí","No"),"")</f>
        <v/>
      </c>
      <c r="S176" s="25">
        <f>IF(Q176=1,IF(P176&lt;O176,"Más estricto",IF(P176&gt;O176,"Más permisivo","Igual")),"")</f>
        <v/>
      </c>
      <c r="T176" s="25">
        <f>IF(Q176=1,IF(ABS(O176-P176)=2,1,0),"")</f>
        <v/>
      </c>
      <c r="U176" s="25">
        <f>IF(H176="","","|"&amp;SUBSTITUTE(SUBSTITUTE(TRIM(H176)," |","|"),"| ","|")&amp;"|")</f>
        <v/>
      </c>
      <c r="V176" s="25">
        <f>IF(AND(Q176=1,B176&lt;&gt;""),IF(IFERROR(COUNTIFS(B$3:B176,"="&amp;SUBSTITUTE(SUBSTITUTE(SUBSTITUTE(B176,"~","~~"),"*","~*"),"?","~?"),Q$3:Q176,1),0)=1,MAX(V$2:V175)+1,""),"")</f>
        <v/>
      </c>
      <c r="W176" s="25">
        <f>IF(V176="","",COUNTIFS($B$3:$B$1002,"="&amp;SUBSTITUTE(SUBSTITUTE(SUBSTITUTE(B176,"~","~~"),"*","~*"),"?","~?"),$Q$3:$Q$1002,1)*10000-V176)</f>
        <v/>
      </c>
      <c r="X176" s="25">
        <f>IF(Q176=1,IF(SUBSTITUTE(SUBSTITUTE(SUBSTITUTE(SUBSTITUTE(SUBSTITUTE(SUBSTITUTE(SUBSTITUTE(SUBSTITUTE(SUBSTITUTE(SUBSTITUTE(SUBSTITUTE(SUBSTITUTE(LOWER(TRIM(A176)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176)),"á","a"),"é","e"),"í","i"),"ó","o"),"ú","u"),"ü","u"),"ñ","n"),"à","a"),"è","e"),"ì","i"),"ò","o"),"ù","u")),"")</f>
        <v/>
      </c>
      <c r="Y176" s="25">
        <f>IF(X176="","",IF(IFERROR(COUNTIF(X$3:X176,"="&amp;SUBSTITUTE(SUBSTITUTE(SUBSTITUTE(X176,"~","~~"),"*","~*"),"?","~?")),0)=1,1,""))</f>
        <v/>
      </c>
      <c r="Z176" s="25">
        <f>IF(T176=1,MAX(Z$2:Z175)+1,"")</f>
        <v/>
      </c>
    </row>
    <row r="177">
      <c r="A177">
        <f>IF(A$2=0,"",IFERROR(TRIM(INDEX('Pegar calibracion'!$A$1:$BZ$1001,176,A$2)&amp;""),""))</f>
        <v/>
      </c>
      <c r="B177">
        <f>IF(B$2=0,"",IFERROR(TRIM(INDEX('Pegar calibracion'!$A$1:$BZ$1001,176,B$2)&amp;""),""))</f>
        <v/>
      </c>
      <c r="C177">
        <f>IF(C$2=0,"",IFERROR(TRIM(INDEX('Pegar calibracion'!$A$1:$BZ$1001,176,C$2)&amp;""),""))</f>
        <v/>
      </c>
      <c r="D177">
        <f>IF(D$2=0,"",IFERROR(TRIM(INDEX('Pegar calibracion'!$A$1:$BZ$1001,176,D$2)&amp;""),""))</f>
        <v/>
      </c>
      <c r="E177">
        <f>IF(E$2=0,"",IFERROR(TRIM(INDEX('Pegar calibracion'!$A$1:$BZ$1001,176,E$2)&amp;""),""))</f>
        <v/>
      </c>
      <c r="F177">
        <f>IF(F$2=0,"",IFERROR(TRIM(INDEX('Pegar calibracion'!$A$1:$BZ$1001,176,F$2)&amp;""),""))</f>
        <v/>
      </c>
      <c r="G177">
        <f>IF(G$2=0,"",IFERROR(TRIM(INDEX('Pegar calibracion'!$A$1:$BZ$1001,176,G$2)&amp;""),""))</f>
        <v/>
      </c>
      <c r="H177">
        <f>IF(H$2=0,"",IFERROR(TRIM(INDEX('Pegar calibracion'!$A$1:$BZ$1001,176,H$2)&amp;""),""))</f>
        <v/>
      </c>
      <c r="I177">
        <f>IF(I$2=0,"",IFERROR(TRIM(INDEX('Pegar calibracion'!$A$1:$BZ$1001,176,I$2)&amp;""),""))</f>
        <v/>
      </c>
      <c r="J177">
        <f>IF(J$2=0,"",IFERROR(TRIM(INDEX('Pegar calibracion'!$A$1:$BZ$1001,176,J$2)&amp;""),""))</f>
        <v/>
      </c>
      <c r="K177">
        <f>IF(K$2=0,"",IFERROR(TRIM(INDEX('Pegar calibracion'!$A$1:$BZ$1001,176,K$2)&amp;""),""))</f>
        <v/>
      </c>
      <c r="L177">
        <f>IF(L$2=0,"",IFERROR(TRIM(INDEX('Pegar calibracion'!$A$1:$BZ$1001,176,L$2)&amp;""),""))</f>
        <v/>
      </c>
      <c r="M177" s="25">
        <f>IF(D177="","",SUBSTITUTE(SUBSTITUTE(SUBSTITUTE(SUBSTITUTE(SUBSTITUTE(SUBSTITUTE(SUBSTITUTE(SUBSTITUTE(SUBSTITUTE(SUBSTITUTE(SUBSTITUTE(SUBSTITUTE(LOWER(TRIM(D177)),"á","a"),"é","e"),"í","i"),"ó","o"),"ú","u"),"ü","u"),"ñ","n"),"à","a"),"è","e"),"ì","i"),"ò","o"),"ù","u"))</f>
        <v/>
      </c>
      <c r="N177" s="25">
        <f>IF(F177="","",SUBSTITUTE(SUBSTITUTE(SUBSTITUTE(SUBSTITUTE(SUBSTITUTE(SUBSTITUTE(SUBSTITUTE(SUBSTITUTE(SUBSTITUTE(SUBSTITUTE(SUBSTITUTE(SUBSTITUTE(LOWER(TRIM(F177)),"á","a"),"é","e"),"í","i"),"ó","o"),"ú","u"),"ü","u"),"ñ","n"),"à","a"),"è","e"),"ì","i"),"ò","o"),"ù","u"))</f>
        <v/>
      </c>
      <c r="O177" s="25">
        <f>IF(M177="confiable",2,IF(M177="dudosa",1,IF(M177="no confiable",0,"")))</f>
        <v/>
      </c>
      <c r="P177" s="25">
        <f>IF(N177="confiable",2,IF(N177="dudosa",1,IF(N177="no confiable",0,"")))</f>
        <v/>
      </c>
      <c r="Q177" s="25">
        <f>IF(AND(ISNUMBER(O177),ISNUMBER(P177)),1,"")</f>
        <v/>
      </c>
      <c r="R177" s="25">
        <f>IF(Q177=1,IF(O177=P177,"Sí","No"),"")</f>
        <v/>
      </c>
      <c r="S177" s="25">
        <f>IF(Q177=1,IF(P177&lt;O177,"Más estricto",IF(P177&gt;O177,"Más permisivo","Igual")),"")</f>
        <v/>
      </c>
      <c r="T177" s="25">
        <f>IF(Q177=1,IF(ABS(O177-P177)=2,1,0),"")</f>
        <v/>
      </c>
      <c r="U177" s="25">
        <f>IF(H177="","","|"&amp;SUBSTITUTE(SUBSTITUTE(TRIM(H177)," |","|"),"| ","|")&amp;"|")</f>
        <v/>
      </c>
      <c r="V177" s="25">
        <f>IF(AND(Q177=1,B177&lt;&gt;""),IF(IFERROR(COUNTIFS(B$3:B177,"="&amp;SUBSTITUTE(SUBSTITUTE(SUBSTITUTE(B177,"~","~~"),"*","~*"),"?","~?"),Q$3:Q177,1),0)=1,MAX(V$2:V176)+1,""),"")</f>
        <v/>
      </c>
      <c r="W177" s="25">
        <f>IF(V177="","",COUNTIFS($B$3:$B$1002,"="&amp;SUBSTITUTE(SUBSTITUTE(SUBSTITUTE(B177,"~","~~"),"*","~*"),"?","~?"),$Q$3:$Q$1002,1)*10000-V177)</f>
        <v/>
      </c>
      <c r="X177" s="25">
        <f>IF(Q177=1,IF(SUBSTITUTE(SUBSTITUTE(SUBSTITUTE(SUBSTITUTE(SUBSTITUTE(SUBSTITUTE(SUBSTITUTE(SUBSTITUTE(SUBSTITUTE(SUBSTITUTE(SUBSTITUTE(SUBSTITUTE(LOWER(TRIM(A177)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177)),"á","a"),"é","e"),"í","i"),"ó","o"),"ú","u"),"ü","u"),"ñ","n"),"à","a"),"è","e"),"ì","i"),"ò","o"),"ù","u")),"")</f>
        <v/>
      </c>
      <c r="Y177" s="25">
        <f>IF(X177="","",IF(IFERROR(COUNTIF(X$3:X177,"="&amp;SUBSTITUTE(SUBSTITUTE(SUBSTITUTE(X177,"~","~~"),"*","~*"),"?","~?")),0)=1,1,""))</f>
        <v/>
      </c>
      <c r="Z177" s="25">
        <f>IF(T177=1,MAX(Z$2:Z176)+1,"")</f>
        <v/>
      </c>
    </row>
    <row r="178">
      <c r="A178">
        <f>IF(A$2=0,"",IFERROR(TRIM(INDEX('Pegar calibracion'!$A$1:$BZ$1001,177,A$2)&amp;""),""))</f>
        <v/>
      </c>
      <c r="B178">
        <f>IF(B$2=0,"",IFERROR(TRIM(INDEX('Pegar calibracion'!$A$1:$BZ$1001,177,B$2)&amp;""),""))</f>
        <v/>
      </c>
      <c r="C178">
        <f>IF(C$2=0,"",IFERROR(TRIM(INDEX('Pegar calibracion'!$A$1:$BZ$1001,177,C$2)&amp;""),""))</f>
        <v/>
      </c>
      <c r="D178">
        <f>IF(D$2=0,"",IFERROR(TRIM(INDEX('Pegar calibracion'!$A$1:$BZ$1001,177,D$2)&amp;""),""))</f>
        <v/>
      </c>
      <c r="E178">
        <f>IF(E$2=0,"",IFERROR(TRIM(INDEX('Pegar calibracion'!$A$1:$BZ$1001,177,E$2)&amp;""),""))</f>
        <v/>
      </c>
      <c r="F178">
        <f>IF(F$2=0,"",IFERROR(TRIM(INDEX('Pegar calibracion'!$A$1:$BZ$1001,177,F$2)&amp;""),""))</f>
        <v/>
      </c>
      <c r="G178">
        <f>IF(G$2=0,"",IFERROR(TRIM(INDEX('Pegar calibracion'!$A$1:$BZ$1001,177,G$2)&amp;""),""))</f>
        <v/>
      </c>
      <c r="H178">
        <f>IF(H$2=0,"",IFERROR(TRIM(INDEX('Pegar calibracion'!$A$1:$BZ$1001,177,H$2)&amp;""),""))</f>
        <v/>
      </c>
      <c r="I178">
        <f>IF(I$2=0,"",IFERROR(TRIM(INDEX('Pegar calibracion'!$A$1:$BZ$1001,177,I$2)&amp;""),""))</f>
        <v/>
      </c>
      <c r="J178">
        <f>IF(J$2=0,"",IFERROR(TRIM(INDEX('Pegar calibracion'!$A$1:$BZ$1001,177,J$2)&amp;""),""))</f>
        <v/>
      </c>
      <c r="K178">
        <f>IF(K$2=0,"",IFERROR(TRIM(INDEX('Pegar calibracion'!$A$1:$BZ$1001,177,K$2)&amp;""),""))</f>
        <v/>
      </c>
      <c r="L178">
        <f>IF(L$2=0,"",IFERROR(TRIM(INDEX('Pegar calibracion'!$A$1:$BZ$1001,177,L$2)&amp;""),""))</f>
        <v/>
      </c>
      <c r="M178" s="25">
        <f>IF(D178="","",SUBSTITUTE(SUBSTITUTE(SUBSTITUTE(SUBSTITUTE(SUBSTITUTE(SUBSTITUTE(SUBSTITUTE(SUBSTITUTE(SUBSTITUTE(SUBSTITUTE(SUBSTITUTE(SUBSTITUTE(LOWER(TRIM(D178)),"á","a"),"é","e"),"í","i"),"ó","o"),"ú","u"),"ü","u"),"ñ","n"),"à","a"),"è","e"),"ì","i"),"ò","o"),"ù","u"))</f>
        <v/>
      </c>
      <c r="N178" s="25">
        <f>IF(F178="","",SUBSTITUTE(SUBSTITUTE(SUBSTITUTE(SUBSTITUTE(SUBSTITUTE(SUBSTITUTE(SUBSTITUTE(SUBSTITUTE(SUBSTITUTE(SUBSTITUTE(SUBSTITUTE(SUBSTITUTE(LOWER(TRIM(F178)),"á","a"),"é","e"),"í","i"),"ó","o"),"ú","u"),"ü","u"),"ñ","n"),"à","a"),"è","e"),"ì","i"),"ò","o"),"ù","u"))</f>
        <v/>
      </c>
      <c r="O178" s="25">
        <f>IF(M178="confiable",2,IF(M178="dudosa",1,IF(M178="no confiable",0,"")))</f>
        <v/>
      </c>
      <c r="P178" s="25">
        <f>IF(N178="confiable",2,IF(N178="dudosa",1,IF(N178="no confiable",0,"")))</f>
        <v/>
      </c>
      <c r="Q178" s="25">
        <f>IF(AND(ISNUMBER(O178),ISNUMBER(P178)),1,"")</f>
        <v/>
      </c>
      <c r="R178" s="25">
        <f>IF(Q178=1,IF(O178=P178,"Sí","No"),"")</f>
        <v/>
      </c>
      <c r="S178" s="25">
        <f>IF(Q178=1,IF(P178&lt;O178,"Más estricto",IF(P178&gt;O178,"Más permisivo","Igual")),"")</f>
        <v/>
      </c>
      <c r="T178" s="25">
        <f>IF(Q178=1,IF(ABS(O178-P178)=2,1,0),"")</f>
        <v/>
      </c>
      <c r="U178" s="25">
        <f>IF(H178="","","|"&amp;SUBSTITUTE(SUBSTITUTE(TRIM(H178)," |","|"),"| ","|")&amp;"|")</f>
        <v/>
      </c>
      <c r="V178" s="25">
        <f>IF(AND(Q178=1,B178&lt;&gt;""),IF(IFERROR(COUNTIFS(B$3:B178,"="&amp;SUBSTITUTE(SUBSTITUTE(SUBSTITUTE(B178,"~","~~"),"*","~*"),"?","~?"),Q$3:Q178,1),0)=1,MAX(V$2:V177)+1,""),"")</f>
        <v/>
      </c>
      <c r="W178" s="25">
        <f>IF(V178="","",COUNTIFS($B$3:$B$1002,"="&amp;SUBSTITUTE(SUBSTITUTE(SUBSTITUTE(B178,"~","~~"),"*","~*"),"?","~?"),$Q$3:$Q$1002,1)*10000-V178)</f>
        <v/>
      </c>
      <c r="X178" s="25">
        <f>IF(Q178=1,IF(SUBSTITUTE(SUBSTITUTE(SUBSTITUTE(SUBSTITUTE(SUBSTITUTE(SUBSTITUTE(SUBSTITUTE(SUBSTITUTE(SUBSTITUTE(SUBSTITUTE(SUBSTITUTE(SUBSTITUTE(LOWER(TRIM(A178)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178)),"á","a"),"é","e"),"í","i"),"ó","o"),"ú","u"),"ü","u"),"ñ","n"),"à","a"),"è","e"),"ì","i"),"ò","o"),"ù","u")),"")</f>
        <v/>
      </c>
      <c r="Y178" s="25">
        <f>IF(X178="","",IF(IFERROR(COUNTIF(X$3:X178,"="&amp;SUBSTITUTE(SUBSTITUTE(SUBSTITUTE(X178,"~","~~"),"*","~*"),"?","~?")),0)=1,1,""))</f>
        <v/>
      </c>
      <c r="Z178" s="25">
        <f>IF(T178=1,MAX(Z$2:Z177)+1,"")</f>
        <v/>
      </c>
    </row>
    <row r="179">
      <c r="A179">
        <f>IF(A$2=0,"",IFERROR(TRIM(INDEX('Pegar calibracion'!$A$1:$BZ$1001,178,A$2)&amp;""),""))</f>
        <v/>
      </c>
      <c r="B179">
        <f>IF(B$2=0,"",IFERROR(TRIM(INDEX('Pegar calibracion'!$A$1:$BZ$1001,178,B$2)&amp;""),""))</f>
        <v/>
      </c>
      <c r="C179">
        <f>IF(C$2=0,"",IFERROR(TRIM(INDEX('Pegar calibracion'!$A$1:$BZ$1001,178,C$2)&amp;""),""))</f>
        <v/>
      </c>
      <c r="D179">
        <f>IF(D$2=0,"",IFERROR(TRIM(INDEX('Pegar calibracion'!$A$1:$BZ$1001,178,D$2)&amp;""),""))</f>
        <v/>
      </c>
      <c r="E179">
        <f>IF(E$2=0,"",IFERROR(TRIM(INDEX('Pegar calibracion'!$A$1:$BZ$1001,178,E$2)&amp;""),""))</f>
        <v/>
      </c>
      <c r="F179">
        <f>IF(F$2=0,"",IFERROR(TRIM(INDEX('Pegar calibracion'!$A$1:$BZ$1001,178,F$2)&amp;""),""))</f>
        <v/>
      </c>
      <c r="G179">
        <f>IF(G$2=0,"",IFERROR(TRIM(INDEX('Pegar calibracion'!$A$1:$BZ$1001,178,G$2)&amp;""),""))</f>
        <v/>
      </c>
      <c r="H179">
        <f>IF(H$2=0,"",IFERROR(TRIM(INDEX('Pegar calibracion'!$A$1:$BZ$1001,178,H$2)&amp;""),""))</f>
        <v/>
      </c>
      <c r="I179">
        <f>IF(I$2=0,"",IFERROR(TRIM(INDEX('Pegar calibracion'!$A$1:$BZ$1001,178,I$2)&amp;""),""))</f>
        <v/>
      </c>
      <c r="J179">
        <f>IF(J$2=0,"",IFERROR(TRIM(INDEX('Pegar calibracion'!$A$1:$BZ$1001,178,J$2)&amp;""),""))</f>
        <v/>
      </c>
      <c r="K179">
        <f>IF(K$2=0,"",IFERROR(TRIM(INDEX('Pegar calibracion'!$A$1:$BZ$1001,178,K$2)&amp;""),""))</f>
        <v/>
      </c>
      <c r="L179">
        <f>IF(L$2=0,"",IFERROR(TRIM(INDEX('Pegar calibracion'!$A$1:$BZ$1001,178,L$2)&amp;""),""))</f>
        <v/>
      </c>
      <c r="M179" s="25">
        <f>IF(D179="","",SUBSTITUTE(SUBSTITUTE(SUBSTITUTE(SUBSTITUTE(SUBSTITUTE(SUBSTITUTE(SUBSTITUTE(SUBSTITUTE(SUBSTITUTE(SUBSTITUTE(SUBSTITUTE(SUBSTITUTE(LOWER(TRIM(D179)),"á","a"),"é","e"),"í","i"),"ó","o"),"ú","u"),"ü","u"),"ñ","n"),"à","a"),"è","e"),"ì","i"),"ò","o"),"ù","u"))</f>
        <v/>
      </c>
      <c r="N179" s="25">
        <f>IF(F179="","",SUBSTITUTE(SUBSTITUTE(SUBSTITUTE(SUBSTITUTE(SUBSTITUTE(SUBSTITUTE(SUBSTITUTE(SUBSTITUTE(SUBSTITUTE(SUBSTITUTE(SUBSTITUTE(SUBSTITUTE(LOWER(TRIM(F179)),"á","a"),"é","e"),"í","i"),"ó","o"),"ú","u"),"ü","u"),"ñ","n"),"à","a"),"è","e"),"ì","i"),"ò","o"),"ù","u"))</f>
        <v/>
      </c>
      <c r="O179" s="25">
        <f>IF(M179="confiable",2,IF(M179="dudosa",1,IF(M179="no confiable",0,"")))</f>
        <v/>
      </c>
      <c r="P179" s="25">
        <f>IF(N179="confiable",2,IF(N179="dudosa",1,IF(N179="no confiable",0,"")))</f>
        <v/>
      </c>
      <c r="Q179" s="25">
        <f>IF(AND(ISNUMBER(O179),ISNUMBER(P179)),1,"")</f>
        <v/>
      </c>
      <c r="R179" s="25">
        <f>IF(Q179=1,IF(O179=P179,"Sí","No"),"")</f>
        <v/>
      </c>
      <c r="S179" s="25">
        <f>IF(Q179=1,IF(P179&lt;O179,"Más estricto",IF(P179&gt;O179,"Más permisivo","Igual")),"")</f>
        <v/>
      </c>
      <c r="T179" s="25">
        <f>IF(Q179=1,IF(ABS(O179-P179)=2,1,0),"")</f>
        <v/>
      </c>
      <c r="U179" s="25">
        <f>IF(H179="","","|"&amp;SUBSTITUTE(SUBSTITUTE(TRIM(H179)," |","|"),"| ","|")&amp;"|")</f>
        <v/>
      </c>
      <c r="V179" s="25">
        <f>IF(AND(Q179=1,B179&lt;&gt;""),IF(IFERROR(COUNTIFS(B$3:B179,"="&amp;SUBSTITUTE(SUBSTITUTE(SUBSTITUTE(B179,"~","~~"),"*","~*"),"?","~?"),Q$3:Q179,1),0)=1,MAX(V$2:V178)+1,""),"")</f>
        <v/>
      </c>
      <c r="W179" s="25">
        <f>IF(V179="","",COUNTIFS($B$3:$B$1002,"="&amp;SUBSTITUTE(SUBSTITUTE(SUBSTITUTE(B179,"~","~~"),"*","~*"),"?","~?"),$Q$3:$Q$1002,1)*10000-V179)</f>
        <v/>
      </c>
      <c r="X179" s="25">
        <f>IF(Q179=1,IF(SUBSTITUTE(SUBSTITUTE(SUBSTITUTE(SUBSTITUTE(SUBSTITUTE(SUBSTITUTE(SUBSTITUTE(SUBSTITUTE(SUBSTITUTE(SUBSTITUTE(SUBSTITUTE(SUBSTITUTE(LOWER(TRIM(A179)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179)),"á","a"),"é","e"),"í","i"),"ó","o"),"ú","u"),"ü","u"),"ñ","n"),"à","a"),"è","e"),"ì","i"),"ò","o"),"ù","u")),"")</f>
        <v/>
      </c>
      <c r="Y179" s="25">
        <f>IF(X179="","",IF(IFERROR(COUNTIF(X$3:X179,"="&amp;SUBSTITUTE(SUBSTITUTE(SUBSTITUTE(X179,"~","~~"),"*","~*"),"?","~?")),0)=1,1,""))</f>
        <v/>
      </c>
      <c r="Z179" s="25">
        <f>IF(T179=1,MAX(Z$2:Z178)+1,"")</f>
        <v/>
      </c>
    </row>
    <row r="180">
      <c r="A180">
        <f>IF(A$2=0,"",IFERROR(TRIM(INDEX('Pegar calibracion'!$A$1:$BZ$1001,179,A$2)&amp;""),""))</f>
        <v/>
      </c>
      <c r="B180">
        <f>IF(B$2=0,"",IFERROR(TRIM(INDEX('Pegar calibracion'!$A$1:$BZ$1001,179,B$2)&amp;""),""))</f>
        <v/>
      </c>
      <c r="C180">
        <f>IF(C$2=0,"",IFERROR(TRIM(INDEX('Pegar calibracion'!$A$1:$BZ$1001,179,C$2)&amp;""),""))</f>
        <v/>
      </c>
      <c r="D180">
        <f>IF(D$2=0,"",IFERROR(TRIM(INDEX('Pegar calibracion'!$A$1:$BZ$1001,179,D$2)&amp;""),""))</f>
        <v/>
      </c>
      <c r="E180">
        <f>IF(E$2=0,"",IFERROR(TRIM(INDEX('Pegar calibracion'!$A$1:$BZ$1001,179,E$2)&amp;""),""))</f>
        <v/>
      </c>
      <c r="F180">
        <f>IF(F$2=0,"",IFERROR(TRIM(INDEX('Pegar calibracion'!$A$1:$BZ$1001,179,F$2)&amp;""),""))</f>
        <v/>
      </c>
      <c r="G180">
        <f>IF(G$2=0,"",IFERROR(TRIM(INDEX('Pegar calibracion'!$A$1:$BZ$1001,179,G$2)&amp;""),""))</f>
        <v/>
      </c>
      <c r="H180">
        <f>IF(H$2=0,"",IFERROR(TRIM(INDEX('Pegar calibracion'!$A$1:$BZ$1001,179,H$2)&amp;""),""))</f>
        <v/>
      </c>
      <c r="I180">
        <f>IF(I$2=0,"",IFERROR(TRIM(INDEX('Pegar calibracion'!$A$1:$BZ$1001,179,I$2)&amp;""),""))</f>
        <v/>
      </c>
      <c r="J180">
        <f>IF(J$2=0,"",IFERROR(TRIM(INDEX('Pegar calibracion'!$A$1:$BZ$1001,179,J$2)&amp;""),""))</f>
        <v/>
      </c>
      <c r="K180">
        <f>IF(K$2=0,"",IFERROR(TRIM(INDEX('Pegar calibracion'!$A$1:$BZ$1001,179,K$2)&amp;""),""))</f>
        <v/>
      </c>
      <c r="L180">
        <f>IF(L$2=0,"",IFERROR(TRIM(INDEX('Pegar calibracion'!$A$1:$BZ$1001,179,L$2)&amp;""),""))</f>
        <v/>
      </c>
      <c r="M180" s="25">
        <f>IF(D180="","",SUBSTITUTE(SUBSTITUTE(SUBSTITUTE(SUBSTITUTE(SUBSTITUTE(SUBSTITUTE(SUBSTITUTE(SUBSTITUTE(SUBSTITUTE(SUBSTITUTE(SUBSTITUTE(SUBSTITUTE(LOWER(TRIM(D180)),"á","a"),"é","e"),"í","i"),"ó","o"),"ú","u"),"ü","u"),"ñ","n"),"à","a"),"è","e"),"ì","i"),"ò","o"),"ù","u"))</f>
        <v/>
      </c>
      <c r="N180" s="25">
        <f>IF(F180="","",SUBSTITUTE(SUBSTITUTE(SUBSTITUTE(SUBSTITUTE(SUBSTITUTE(SUBSTITUTE(SUBSTITUTE(SUBSTITUTE(SUBSTITUTE(SUBSTITUTE(SUBSTITUTE(SUBSTITUTE(LOWER(TRIM(F180)),"á","a"),"é","e"),"í","i"),"ó","o"),"ú","u"),"ü","u"),"ñ","n"),"à","a"),"è","e"),"ì","i"),"ò","o"),"ù","u"))</f>
        <v/>
      </c>
      <c r="O180" s="25">
        <f>IF(M180="confiable",2,IF(M180="dudosa",1,IF(M180="no confiable",0,"")))</f>
        <v/>
      </c>
      <c r="P180" s="25">
        <f>IF(N180="confiable",2,IF(N180="dudosa",1,IF(N180="no confiable",0,"")))</f>
        <v/>
      </c>
      <c r="Q180" s="25">
        <f>IF(AND(ISNUMBER(O180),ISNUMBER(P180)),1,"")</f>
        <v/>
      </c>
      <c r="R180" s="25">
        <f>IF(Q180=1,IF(O180=P180,"Sí","No"),"")</f>
        <v/>
      </c>
      <c r="S180" s="25">
        <f>IF(Q180=1,IF(P180&lt;O180,"Más estricto",IF(P180&gt;O180,"Más permisivo","Igual")),"")</f>
        <v/>
      </c>
      <c r="T180" s="25">
        <f>IF(Q180=1,IF(ABS(O180-P180)=2,1,0),"")</f>
        <v/>
      </c>
      <c r="U180" s="25">
        <f>IF(H180="","","|"&amp;SUBSTITUTE(SUBSTITUTE(TRIM(H180)," |","|"),"| ","|")&amp;"|")</f>
        <v/>
      </c>
      <c r="V180" s="25">
        <f>IF(AND(Q180=1,B180&lt;&gt;""),IF(IFERROR(COUNTIFS(B$3:B180,"="&amp;SUBSTITUTE(SUBSTITUTE(SUBSTITUTE(B180,"~","~~"),"*","~*"),"?","~?"),Q$3:Q180,1),0)=1,MAX(V$2:V179)+1,""),"")</f>
        <v/>
      </c>
      <c r="W180" s="25">
        <f>IF(V180="","",COUNTIFS($B$3:$B$1002,"="&amp;SUBSTITUTE(SUBSTITUTE(SUBSTITUTE(B180,"~","~~"),"*","~*"),"?","~?"),$Q$3:$Q$1002,1)*10000-V180)</f>
        <v/>
      </c>
      <c r="X180" s="25">
        <f>IF(Q180=1,IF(SUBSTITUTE(SUBSTITUTE(SUBSTITUTE(SUBSTITUTE(SUBSTITUTE(SUBSTITUTE(SUBSTITUTE(SUBSTITUTE(SUBSTITUTE(SUBSTITUTE(SUBSTITUTE(SUBSTITUTE(LOWER(TRIM(A180)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180)),"á","a"),"é","e"),"í","i"),"ó","o"),"ú","u"),"ü","u"),"ñ","n"),"à","a"),"è","e"),"ì","i"),"ò","o"),"ù","u")),"")</f>
        <v/>
      </c>
      <c r="Y180" s="25">
        <f>IF(X180="","",IF(IFERROR(COUNTIF(X$3:X180,"="&amp;SUBSTITUTE(SUBSTITUTE(SUBSTITUTE(X180,"~","~~"),"*","~*"),"?","~?")),0)=1,1,""))</f>
        <v/>
      </c>
      <c r="Z180" s="25">
        <f>IF(T180=1,MAX(Z$2:Z179)+1,"")</f>
        <v/>
      </c>
    </row>
    <row r="181">
      <c r="A181">
        <f>IF(A$2=0,"",IFERROR(TRIM(INDEX('Pegar calibracion'!$A$1:$BZ$1001,180,A$2)&amp;""),""))</f>
        <v/>
      </c>
      <c r="B181">
        <f>IF(B$2=0,"",IFERROR(TRIM(INDEX('Pegar calibracion'!$A$1:$BZ$1001,180,B$2)&amp;""),""))</f>
        <v/>
      </c>
      <c r="C181">
        <f>IF(C$2=0,"",IFERROR(TRIM(INDEX('Pegar calibracion'!$A$1:$BZ$1001,180,C$2)&amp;""),""))</f>
        <v/>
      </c>
      <c r="D181">
        <f>IF(D$2=0,"",IFERROR(TRIM(INDEX('Pegar calibracion'!$A$1:$BZ$1001,180,D$2)&amp;""),""))</f>
        <v/>
      </c>
      <c r="E181">
        <f>IF(E$2=0,"",IFERROR(TRIM(INDEX('Pegar calibracion'!$A$1:$BZ$1001,180,E$2)&amp;""),""))</f>
        <v/>
      </c>
      <c r="F181">
        <f>IF(F$2=0,"",IFERROR(TRIM(INDEX('Pegar calibracion'!$A$1:$BZ$1001,180,F$2)&amp;""),""))</f>
        <v/>
      </c>
      <c r="G181">
        <f>IF(G$2=0,"",IFERROR(TRIM(INDEX('Pegar calibracion'!$A$1:$BZ$1001,180,G$2)&amp;""),""))</f>
        <v/>
      </c>
      <c r="H181">
        <f>IF(H$2=0,"",IFERROR(TRIM(INDEX('Pegar calibracion'!$A$1:$BZ$1001,180,H$2)&amp;""),""))</f>
        <v/>
      </c>
      <c r="I181">
        <f>IF(I$2=0,"",IFERROR(TRIM(INDEX('Pegar calibracion'!$A$1:$BZ$1001,180,I$2)&amp;""),""))</f>
        <v/>
      </c>
      <c r="J181">
        <f>IF(J$2=0,"",IFERROR(TRIM(INDEX('Pegar calibracion'!$A$1:$BZ$1001,180,J$2)&amp;""),""))</f>
        <v/>
      </c>
      <c r="K181">
        <f>IF(K$2=0,"",IFERROR(TRIM(INDEX('Pegar calibracion'!$A$1:$BZ$1001,180,K$2)&amp;""),""))</f>
        <v/>
      </c>
      <c r="L181">
        <f>IF(L$2=0,"",IFERROR(TRIM(INDEX('Pegar calibracion'!$A$1:$BZ$1001,180,L$2)&amp;""),""))</f>
        <v/>
      </c>
      <c r="M181" s="25">
        <f>IF(D181="","",SUBSTITUTE(SUBSTITUTE(SUBSTITUTE(SUBSTITUTE(SUBSTITUTE(SUBSTITUTE(SUBSTITUTE(SUBSTITUTE(SUBSTITUTE(SUBSTITUTE(SUBSTITUTE(SUBSTITUTE(LOWER(TRIM(D181)),"á","a"),"é","e"),"í","i"),"ó","o"),"ú","u"),"ü","u"),"ñ","n"),"à","a"),"è","e"),"ì","i"),"ò","o"),"ù","u"))</f>
        <v/>
      </c>
      <c r="N181" s="25">
        <f>IF(F181="","",SUBSTITUTE(SUBSTITUTE(SUBSTITUTE(SUBSTITUTE(SUBSTITUTE(SUBSTITUTE(SUBSTITUTE(SUBSTITUTE(SUBSTITUTE(SUBSTITUTE(SUBSTITUTE(SUBSTITUTE(LOWER(TRIM(F181)),"á","a"),"é","e"),"í","i"),"ó","o"),"ú","u"),"ü","u"),"ñ","n"),"à","a"),"è","e"),"ì","i"),"ò","o"),"ù","u"))</f>
        <v/>
      </c>
      <c r="O181" s="25">
        <f>IF(M181="confiable",2,IF(M181="dudosa",1,IF(M181="no confiable",0,"")))</f>
        <v/>
      </c>
      <c r="P181" s="25">
        <f>IF(N181="confiable",2,IF(N181="dudosa",1,IF(N181="no confiable",0,"")))</f>
        <v/>
      </c>
      <c r="Q181" s="25">
        <f>IF(AND(ISNUMBER(O181),ISNUMBER(P181)),1,"")</f>
        <v/>
      </c>
      <c r="R181" s="25">
        <f>IF(Q181=1,IF(O181=P181,"Sí","No"),"")</f>
        <v/>
      </c>
      <c r="S181" s="25">
        <f>IF(Q181=1,IF(P181&lt;O181,"Más estricto",IF(P181&gt;O181,"Más permisivo","Igual")),"")</f>
        <v/>
      </c>
      <c r="T181" s="25">
        <f>IF(Q181=1,IF(ABS(O181-P181)=2,1,0),"")</f>
        <v/>
      </c>
      <c r="U181" s="25">
        <f>IF(H181="","","|"&amp;SUBSTITUTE(SUBSTITUTE(TRIM(H181)," |","|"),"| ","|")&amp;"|")</f>
        <v/>
      </c>
      <c r="V181" s="25">
        <f>IF(AND(Q181=1,B181&lt;&gt;""),IF(IFERROR(COUNTIFS(B$3:B181,"="&amp;SUBSTITUTE(SUBSTITUTE(SUBSTITUTE(B181,"~","~~"),"*","~*"),"?","~?"),Q$3:Q181,1),0)=1,MAX(V$2:V180)+1,""),"")</f>
        <v/>
      </c>
      <c r="W181" s="25">
        <f>IF(V181="","",COUNTIFS($B$3:$B$1002,"="&amp;SUBSTITUTE(SUBSTITUTE(SUBSTITUTE(B181,"~","~~"),"*","~*"),"?","~?"),$Q$3:$Q$1002,1)*10000-V181)</f>
        <v/>
      </c>
      <c r="X181" s="25">
        <f>IF(Q181=1,IF(SUBSTITUTE(SUBSTITUTE(SUBSTITUTE(SUBSTITUTE(SUBSTITUTE(SUBSTITUTE(SUBSTITUTE(SUBSTITUTE(SUBSTITUTE(SUBSTITUTE(SUBSTITUTE(SUBSTITUTE(LOWER(TRIM(A181)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181)),"á","a"),"é","e"),"í","i"),"ó","o"),"ú","u"),"ü","u"),"ñ","n"),"à","a"),"è","e"),"ì","i"),"ò","o"),"ù","u")),"")</f>
        <v/>
      </c>
      <c r="Y181" s="25">
        <f>IF(X181="","",IF(IFERROR(COUNTIF(X$3:X181,"="&amp;SUBSTITUTE(SUBSTITUTE(SUBSTITUTE(X181,"~","~~"),"*","~*"),"?","~?")),0)=1,1,""))</f>
        <v/>
      </c>
      <c r="Z181" s="25">
        <f>IF(T181=1,MAX(Z$2:Z180)+1,"")</f>
        <v/>
      </c>
    </row>
    <row r="182">
      <c r="A182">
        <f>IF(A$2=0,"",IFERROR(TRIM(INDEX('Pegar calibracion'!$A$1:$BZ$1001,181,A$2)&amp;""),""))</f>
        <v/>
      </c>
      <c r="B182">
        <f>IF(B$2=0,"",IFERROR(TRIM(INDEX('Pegar calibracion'!$A$1:$BZ$1001,181,B$2)&amp;""),""))</f>
        <v/>
      </c>
      <c r="C182">
        <f>IF(C$2=0,"",IFERROR(TRIM(INDEX('Pegar calibracion'!$A$1:$BZ$1001,181,C$2)&amp;""),""))</f>
        <v/>
      </c>
      <c r="D182">
        <f>IF(D$2=0,"",IFERROR(TRIM(INDEX('Pegar calibracion'!$A$1:$BZ$1001,181,D$2)&amp;""),""))</f>
        <v/>
      </c>
      <c r="E182">
        <f>IF(E$2=0,"",IFERROR(TRIM(INDEX('Pegar calibracion'!$A$1:$BZ$1001,181,E$2)&amp;""),""))</f>
        <v/>
      </c>
      <c r="F182">
        <f>IF(F$2=0,"",IFERROR(TRIM(INDEX('Pegar calibracion'!$A$1:$BZ$1001,181,F$2)&amp;""),""))</f>
        <v/>
      </c>
      <c r="G182">
        <f>IF(G$2=0,"",IFERROR(TRIM(INDEX('Pegar calibracion'!$A$1:$BZ$1001,181,G$2)&amp;""),""))</f>
        <v/>
      </c>
      <c r="H182">
        <f>IF(H$2=0,"",IFERROR(TRIM(INDEX('Pegar calibracion'!$A$1:$BZ$1001,181,H$2)&amp;""),""))</f>
        <v/>
      </c>
      <c r="I182">
        <f>IF(I$2=0,"",IFERROR(TRIM(INDEX('Pegar calibracion'!$A$1:$BZ$1001,181,I$2)&amp;""),""))</f>
        <v/>
      </c>
      <c r="J182">
        <f>IF(J$2=0,"",IFERROR(TRIM(INDEX('Pegar calibracion'!$A$1:$BZ$1001,181,J$2)&amp;""),""))</f>
        <v/>
      </c>
      <c r="K182">
        <f>IF(K$2=0,"",IFERROR(TRIM(INDEX('Pegar calibracion'!$A$1:$BZ$1001,181,K$2)&amp;""),""))</f>
        <v/>
      </c>
      <c r="L182">
        <f>IF(L$2=0,"",IFERROR(TRIM(INDEX('Pegar calibracion'!$A$1:$BZ$1001,181,L$2)&amp;""),""))</f>
        <v/>
      </c>
      <c r="M182" s="25">
        <f>IF(D182="","",SUBSTITUTE(SUBSTITUTE(SUBSTITUTE(SUBSTITUTE(SUBSTITUTE(SUBSTITUTE(SUBSTITUTE(SUBSTITUTE(SUBSTITUTE(SUBSTITUTE(SUBSTITUTE(SUBSTITUTE(LOWER(TRIM(D182)),"á","a"),"é","e"),"í","i"),"ó","o"),"ú","u"),"ü","u"),"ñ","n"),"à","a"),"è","e"),"ì","i"),"ò","o"),"ù","u"))</f>
        <v/>
      </c>
      <c r="N182" s="25">
        <f>IF(F182="","",SUBSTITUTE(SUBSTITUTE(SUBSTITUTE(SUBSTITUTE(SUBSTITUTE(SUBSTITUTE(SUBSTITUTE(SUBSTITUTE(SUBSTITUTE(SUBSTITUTE(SUBSTITUTE(SUBSTITUTE(LOWER(TRIM(F182)),"á","a"),"é","e"),"í","i"),"ó","o"),"ú","u"),"ü","u"),"ñ","n"),"à","a"),"è","e"),"ì","i"),"ò","o"),"ù","u"))</f>
        <v/>
      </c>
      <c r="O182" s="25">
        <f>IF(M182="confiable",2,IF(M182="dudosa",1,IF(M182="no confiable",0,"")))</f>
        <v/>
      </c>
      <c r="P182" s="25">
        <f>IF(N182="confiable",2,IF(N182="dudosa",1,IF(N182="no confiable",0,"")))</f>
        <v/>
      </c>
      <c r="Q182" s="25">
        <f>IF(AND(ISNUMBER(O182),ISNUMBER(P182)),1,"")</f>
        <v/>
      </c>
      <c r="R182" s="25">
        <f>IF(Q182=1,IF(O182=P182,"Sí","No"),"")</f>
        <v/>
      </c>
      <c r="S182" s="25">
        <f>IF(Q182=1,IF(P182&lt;O182,"Más estricto",IF(P182&gt;O182,"Más permisivo","Igual")),"")</f>
        <v/>
      </c>
      <c r="T182" s="25">
        <f>IF(Q182=1,IF(ABS(O182-P182)=2,1,0),"")</f>
        <v/>
      </c>
      <c r="U182" s="25">
        <f>IF(H182="","","|"&amp;SUBSTITUTE(SUBSTITUTE(TRIM(H182)," |","|"),"| ","|")&amp;"|")</f>
        <v/>
      </c>
      <c r="V182" s="25">
        <f>IF(AND(Q182=1,B182&lt;&gt;""),IF(IFERROR(COUNTIFS(B$3:B182,"="&amp;SUBSTITUTE(SUBSTITUTE(SUBSTITUTE(B182,"~","~~"),"*","~*"),"?","~?"),Q$3:Q182,1),0)=1,MAX(V$2:V181)+1,""),"")</f>
        <v/>
      </c>
      <c r="W182" s="25">
        <f>IF(V182="","",COUNTIFS($B$3:$B$1002,"="&amp;SUBSTITUTE(SUBSTITUTE(SUBSTITUTE(B182,"~","~~"),"*","~*"),"?","~?"),$Q$3:$Q$1002,1)*10000-V182)</f>
        <v/>
      </c>
      <c r="X182" s="25">
        <f>IF(Q182=1,IF(SUBSTITUTE(SUBSTITUTE(SUBSTITUTE(SUBSTITUTE(SUBSTITUTE(SUBSTITUTE(SUBSTITUTE(SUBSTITUTE(SUBSTITUTE(SUBSTITUTE(SUBSTITUTE(SUBSTITUTE(LOWER(TRIM(A182)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182)),"á","a"),"é","e"),"í","i"),"ó","o"),"ú","u"),"ü","u"),"ñ","n"),"à","a"),"è","e"),"ì","i"),"ò","o"),"ù","u")),"")</f>
        <v/>
      </c>
      <c r="Y182" s="25">
        <f>IF(X182="","",IF(IFERROR(COUNTIF(X$3:X182,"="&amp;SUBSTITUTE(SUBSTITUTE(SUBSTITUTE(X182,"~","~~"),"*","~*"),"?","~?")),0)=1,1,""))</f>
        <v/>
      </c>
      <c r="Z182" s="25">
        <f>IF(T182=1,MAX(Z$2:Z181)+1,"")</f>
        <v/>
      </c>
    </row>
    <row r="183">
      <c r="A183">
        <f>IF(A$2=0,"",IFERROR(TRIM(INDEX('Pegar calibracion'!$A$1:$BZ$1001,182,A$2)&amp;""),""))</f>
        <v/>
      </c>
      <c r="B183">
        <f>IF(B$2=0,"",IFERROR(TRIM(INDEX('Pegar calibracion'!$A$1:$BZ$1001,182,B$2)&amp;""),""))</f>
        <v/>
      </c>
      <c r="C183">
        <f>IF(C$2=0,"",IFERROR(TRIM(INDEX('Pegar calibracion'!$A$1:$BZ$1001,182,C$2)&amp;""),""))</f>
        <v/>
      </c>
      <c r="D183">
        <f>IF(D$2=0,"",IFERROR(TRIM(INDEX('Pegar calibracion'!$A$1:$BZ$1001,182,D$2)&amp;""),""))</f>
        <v/>
      </c>
      <c r="E183">
        <f>IF(E$2=0,"",IFERROR(TRIM(INDEX('Pegar calibracion'!$A$1:$BZ$1001,182,E$2)&amp;""),""))</f>
        <v/>
      </c>
      <c r="F183">
        <f>IF(F$2=0,"",IFERROR(TRIM(INDEX('Pegar calibracion'!$A$1:$BZ$1001,182,F$2)&amp;""),""))</f>
        <v/>
      </c>
      <c r="G183">
        <f>IF(G$2=0,"",IFERROR(TRIM(INDEX('Pegar calibracion'!$A$1:$BZ$1001,182,G$2)&amp;""),""))</f>
        <v/>
      </c>
      <c r="H183">
        <f>IF(H$2=0,"",IFERROR(TRIM(INDEX('Pegar calibracion'!$A$1:$BZ$1001,182,H$2)&amp;""),""))</f>
        <v/>
      </c>
      <c r="I183">
        <f>IF(I$2=0,"",IFERROR(TRIM(INDEX('Pegar calibracion'!$A$1:$BZ$1001,182,I$2)&amp;""),""))</f>
        <v/>
      </c>
      <c r="J183">
        <f>IF(J$2=0,"",IFERROR(TRIM(INDEX('Pegar calibracion'!$A$1:$BZ$1001,182,J$2)&amp;""),""))</f>
        <v/>
      </c>
      <c r="K183">
        <f>IF(K$2=0,"",IFERROR(TRIM(INDEX('Pegar calibracion'!$A$1:$BZ$1001,182,K$2)&amp;""),""))</f>
        <v/>
      </c>
      <c r="L183">
        <f>IF(L$2=0,"",IFERROR(TRIM(INDEX('Pegar calibracion'!$A$1:$BZ$1001,182,L$2)&amp;""),""))</f>
        <v/>
      </c>
      <c r="M183" s="25">
        <f>IF(D183="","",SUBSTITUTE(SUBSTITUTE(SUBSTITUTE(SUBSTITUTE(SUBSTITUTE(SUBSTITUTE(SUBSTITUTE(SUBSTITUTE(SUBSTITUTE(SUBSTITUTE(SUBSTITUTE(SUBSTITUTE(LOWER(TRIM(D183)),"á","a"),"é","e"),"í","i"),"ó","o"),"ú","u"),"ü","u"),"ñ","n"),"à","a"),"è","e"),"ì","i"),"ò","o"),"ù","u"))</f>
        <v/>
      </c>
      <c r="N183" s="25">
        <f>IF(F183="","",SUBSTITUTE(SUBSTITUTE(SUBSTITUTE(SUBSTITUTE(SUBSTITUTE(SUBSTITUTE(SUBSTITUTE(SUBSTITUTE(SUBSTITUTE(SUBSTITUTE(SUBSTITUTE(SUBSTITUTE(LOWER(TRIM(F183)),"á","a"),"é","e"),"í","i"),"ó","o"),"ú","u"),"ü","u"),"ñ","n"),"à","a"),"è","e"),"ì","i"),"ò","o"),"ù","u"))</f>
        <v/>
      </c>
      <c r="O183" s="25">
        <f>IF(M183="confiable",2,IF(M183="dudosa",1,IF(M183="no confiable",0,"")))</f>
        <v/>
      </c>
      <c r="P183" s="25">
        <f>IF(N183="confiable",2,IF(N183="dudosa",1,IF(N183="no confiable",0,"")))</f>
        <v/>
      </c>
      <c r="Q183" s="25">
        <f>IF(AND(ISNUMBER(O183),ISNUMBER(P183)),1,"")</f>
        <v/>
      </c>
      <c r="R183" s="25">
        <f>IF(Q183=1,IF(O183=P183,"Sí","No"),"")</f>
        <v/>
      </c>
      <c r="S183" s="25">
        <f>IF(Q183=1,IF(P183&lt;O183,"Más estricto",IF(P183&gt;O183,"Más permisivo","Igual")),"")</f>
        <v/>
      </c>
      <c r="T183" s="25">
        <f>IF(Q183=1,IF(ABS(O183-P183)=2,1,0),"")</f>
        <v/>
      </c>
      <c r="U183" s="25">
        <f>IF(H183="","","|"&amp;SUBSTITUTE(SUBSTITUTE(TRIM(H183)," |","|"),"| ","|")&amp;"|")</f>
        <v/>
      </c>
      <c r="V183" s="25">
        <f>IF(AND(Q183=1,B183&lt;&gt;""),IF(IFERROR(COUNTIFS(B$3:B183,"="&amp;SUBSTITUTE(SUBSTITUTE(SUBSTITUTE(B183,"~","~~"),"*","~*"),"?","~?"),Q$3:Q183,1),0)=1,MAX(V$2:V182)+1,""),"")</f>
        <v/>
      </c>
      <c r="W183" s="25">
        <f>IF(V183="","",COUNTIFS($B$3:$B$1002,"="&amp;SUBSTITUTE(SUBSTITUTE(SUBSTITUTE(B183,"~","~~"),"*","~*"),"?","~?"),$Q$3:$Q$1002,1)*10000-V183)</f>
        <v/>
      </c>
      <c r="X183" s="25">
        <f>IF(Q183=1,IF(SUBSTITUTE(SUBSTITUTE(SUBSTITUTE(SUBSTITUTE(SUBSTITUTE(SUBSTITUTE(SUBSTITUTE(SUBSTITUTE(SUBSTITUTE(SUBSTITUTE(SUBSTITUTE(SUBSTITUTE(LOWER(TRIM(A183)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183)),"á","a"),"é","e"),"í","i"),"ó","o"),"ú","u"),"ü","u"),"ñ","n"),"à","a"),"è","e"),"ì","i"),"ò","o"),"ù","u")),"")</f>
        <v/>
      </c>
      <c r="Y183" s="25">
        <f>IF(X183="","",IF(IFERROR(COUNTIF(X$3:X183,"="&amp;SUBSTITUTE(SUBSTITUTE(SUBSTITUTE(X183,"~","~~"),"*","~*"),"?","~?")),0)=1,1,""))</f>
        <v/>
      </c>
      <c r="Z183" s="25">
        <f>IF(T183=1,MAX(Z$2:Z182)+1,"")</f>
        <v/>
      </c>
    </row>
    <row r="184">
      <c r="A184">
        <f>IF(A$2=0,"",IFERROR(TRIM(INDEX('Pegar calibracion'!$A$1:$BZ$1001,183,A$2)&amp;""),""))</f>
        <v/>
      </c>
      <c r="B184">
        <f>IF(B$2=0,"",IFERROR(TRIM(INDEX('Pegar calibracion'!$A$1:$BZ$1001,183,B$2)&amp;""),""))</f>
        <v/>
      </c>
      <c r="C184">
        <f>IF(C$2=0,"",IFERROR(TRIM(INDEX('Pegar calibracion'!$A$1:$BZ$1001,183,C$2)&amp;""),""))</f>
        <v/>
      </c>
      <c r="D184">
        <f>IF(D$2=0,"",IFERROR(TRIM(INDEX('Pegar calibracion'!$A$1:$BZ$1001,183,D$2)&amp;""),""))</f>
        <v/>
      </c>
      <c r="E184">
        <f>IF(E$2=0,"",IFERROR(TRIM(INDEX('Pegar calibracion'!$A$1:$BZ$1001,183,E$2)&amp;""),""))</f>
        <v/>
      </c>
      <c r="F184">
        <f>IF(F$2=0,"",IFERROR(TRIM(INDEX('Pegar calibracion'!$A$1:$BZ$1001,183,F$2)&amp;""),""))</f>
        <v/>
      </c>
      <c r="G184">
        <f>IF(G$2=0,"",IFERROR(TRIM(INDEX('Pegar calibracion'!$A$1:$BZ$1001,183,G$2)&amp;""),""))</f>
        <v/>
      </c>
      <c r="H184">
        <f>IF(H$2=0,"",IFERROR(TRIM(INDEX('Pegar calibracion'!$A$1:$BZ$1001,183,H$2)&amp;""),""))</f>
        <v/>
      </c>
      <c r="I184">
        <f>IF(I$2=0,"",IFERROR(TRIM(INDEX('Pegar calibracion'!$A$1:$BZ$1001,183,I$2)&amp;""),""))</f>
        <v/>
      </c>
      <c r="J184">
        <f>IF(J$2=0,"",IFERROR(TRIM(INDEX('Pegar calibracion'!$A$1:$BZ$1001,183,J$2)&amp;""),""))</f>
        <v/>
      </c>
      <c r="K184">
        <f>IF(K$2=0,"",IFERROR(TRIM(INDEX('Pegar calibracion'!$A$1:$BZ$1001,183,K$2)&amp;""),""))</f>
        <v/>
      </c>
      <c r="L184">
        <f>IF(L$2=0,"",IFERROR(TRIM(INDEX('Pegar calibracion'!$A$1:$BZ$1001,183,L$2)&amp;""),""))</f>
        <v/>
      </c>
      <c r="M184" s="25">
        <f>IF(D184="","",SUBSTITUTE(SUBSTITUTE(SUBSTITUTE(SUBSTITUTE(SUBSTITUTE(SUBSTITUTE(SUBSTITUTE(SUBSTITUTE(SUBSTITUTE(SUBSTITUTE(SUBSTITUTE(SUBSTITUTE(LOWER(TRIM(D184)),"á","a"),"é","e"),"í","i"),"ó","o"),"ú","u"),"ü","u"),"ñ","n"),"à","a"),"è","e"),"ì","i"),"ò","o"),"ù","u"))</f>
        <v/>
      </c>
      <c r="N184" s="25">
        <f>IF(F184="","",SUBSTITUTE(SUBSTITUTE(SUBSTITUTE(SUBSTITUTE(SUBSTITUTE(SUBSTITUTE(SUBSTITUTE(SUBSTITUTE(SUBSTITUTE(SUBSTITUTE(SUBSTITUTE(SUBSTITUTE(LOWER(TRIM(F184)),"á","a"),"é","e"),"í","i"),"ó","o"),"ú","u"),"ü","u"),"ñ","n"),"à","a"),"è","e"),"ì","i"),"ò","o"),"ù","u"))</f>
        <v/>
      </c>
      <c r="O184" s="25">
        <f>IF(M184="confiable",2,IF(M184="dudosa",1,IF(M184="no confiable",0,"")))</f>
        <v/>
      </c>
      <c r="P184" s="25">
        <f>IF(N184="confiable",2,IF(N184="dudosa",1,IF(N184="no confiable",0,"")))</f>
        <v/>
      </c>
      <c r="Q184" s="25">
        <f>IF(AND(ISNUMBER(O184),ISNUMBER(P184)),1,"")</f>
        <v/>
      </c>
      <c r="R184" s="25">
        <f>IF(Q184=1,IF(O184=P184,"Sí","No"),"")</f>
        <v/>
      </c>
      <c r="S184" s="25">
        <f>IF(Q184=1,IF(P184&lt;O184,"Más estricto",IF(P184&gt;O184,"Más permisivo","Igual")),"")</f>
        <v/>
      </c>
      <c r="T184" s="25">
        <f>IF(Q184=1,IF(ABS(O184-P184)=2,1,0),"")</f>
        <v/>
      </c>
      <c r="U184" s="25">
        <f>IF(H184="","","|"&amp;SUBSTITUTE(SUBSTITUTE(TRIM(H184)," |","|"),"| ","|")&amp;"|")</f>
        <v/>
      </c>
      <c r="V184" s="25">
        <f>IF(AND(Q184=1,B184&lt;&gt;""),IF(IFERROR(COUNTIFS(B$3:B184,"="&amp;SUBSTITUTE(SUBSTITUTE(SUBSTITUTE(B184,"~","~~"),"*","~*"),"?","~?"),Q$3:Q184,1),0)=1,MAX(V$2:V183)+1,""),"")</f>
        <v/>
      </c>
      <c r="W184" s="25">
        <f>IF(V184="","",COUNTIFS($B$3:$B$1002,"="&amp;SUBSTITUTE(SUBSTITUTE(SUBSTITUTE(B184,"~","~~"),"*","~*"),"?","~?"),$Q$3:$Q$1002,1)*10000-V184)</f>
        <v/>
      </c>
      <c r="X184" s="25">
        <f>IF(Q184=1,IF(SUBSTITUTE(SUBSTITUTE(SUBSTITUTE(SUBSTITUTE(SUBSTITUTE(SUBSTITUTE(SUBSTITUTE(SUBSTITUTE(SUBSTITUTE(SUBSTITUTE(SUBSTITUTE(SUBSTITUTE(LOWER(TRIM(A184)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184)),"á","a"),"é","e"),"í","i"),"ó","o"),"ú","u"),"ü","u"),"ñ","n"),"à","a"),"è","e"),"ì","i"),"ò","o"),"ù","u")),"")</f>
        <v/>
      </c>
      <c r="Y184" s="25">
        <f>IF(X184="","",IF(IFERROR(COUNTIF(X$3:X184,"="&amp;SUBSTITUTE(SUBSTITUTE(SUBSTITUTE(X184,"~","~~"),"*","~*"),"?","~?")),0)=1,1,""))</f>
        <v/>
      </c>
      <c r="Z184" s="25">
        <f>IF(T184=1,MAX(Z$2:Z183)+1,"")</f>
        <v/>
      </c>
    </row>
    <row r="185">
      <c r="A185">
        <f>IF(A$2=0,"",IFERROR(TRIM(INDEX('Pegar calibracion'!$A$1:$BZ$1001,184,A$2)&amp;""),""))</f>
        <v/>
      </c>
      <c r="B185">
        <f>IF(B$2=0,"",IFERROR(TRIM(INDEX('Pegar calibracion'!$A$1:$BZ$1001,184,B$2)&amp;""),""))</f>
        <v/>
      </c>
      <c r="C185">
        <f>IF(C$2=0,"",IFERROR(TRIM(INDEX('Pegar calibracion'!$A$1:$BZ$1001,184,C$2)&amp;""),""))</f>
        <v/>
      </c>
      <c r="D185">
        <f>IF(D$2=0,"",IFERROR(TRIM(INDEX('Pegar calibracion'!$A$1:$BZ$1001,184,D$2)&amp;""),""))</f>
        <v/>
      </c>
      <c r="E185">
        <f>IF(E$2=0,"",IFERROR(TRIM(INDEX('Pegar calibracion'!$A$1:$BZ$1001,184,E$2)&amp;""),""))</f>
        <v/>
      </c>
      <c r="F185">
        <f>IF(F$2=0,"",IFERROR(TRIM(INDEX('Pegar calibracion'!$A$1:$BZ$1001,184,F$2)&amp;""),""))</f>
        <v/>
      </c>
      <c r="G185">
        <f>IF(G$2=0,"",IFERROR(TRIM(INDEX('Pegar calibracion'!$A$1:$BZ$1001,184,G$2)&amp;""),""))</f>
        <v/>
      </c>
      <c r="H185">
        <f>IF(H$2=0,"",IFERROR(TRIM(INDEX('Pegar calibracion'!$A$1:$BZ$1001,184,H$2)&amp;""),""))</f>
        <v/>
      </c>
      <c r="I185">
        <f>IF(I$2=0,"",IFERROR(TRIM(INDEX('Pegar calibracion'!$A$1:$BZ$1001,184,I$2)&amp;""),""))</f>
        <v/>
      </c>
      <c r="J185">
        <f>IF(J$2=0,"",IFERROR(TRIM(INDEX('Pegar calibracion'!$A$1:$BZ$1001,184,J$2)&amp;""),""))</f>
        <v/>
      </c>
      <c r="K185">
        <f>IF(K$2=0,"",IFERROR(TRIM(INDEX('Pegar calibracion'!$A$1:$BZ$1001,184,K$2)&amp;""),""))</f>
        <v/>
      </c>
      <c r="L185">
        <f>IF(L$2=0,"",IFERROR(TRIM(INDEX('Pegar calibracion'!$A$1:$BZ$1001,184,L$2)&amp;""),""))</f>
        <v/>
      </c>
      <c r="M185" s="25">
        <f>IF(D185="","",SUBSTITUTE(SUBSTITUTE(SUBSTITUTE(SUBSTITUTE(SUBSTITUTE(SUBSTITUTE(SUBSTITUTE(SUBSTITUTE(SUBSTITUTE(SUBSTITUTE(SUBSTITUTE(SUBSTITUTE(LOWER(TRIM(D185)),"á","a"),"é","e"),"í","i"),"ó","o"),"ú","u"),"ü","u"),"ñ","n"),"à","a"),"è","e"),"ì","i"),"ò","o"),"ù","u"))</f>
        <v/>
      </c>
      <c r="N185" s="25">
        <f>IF(F185="","",SUBSTITUTE(SUBSTITUTE(SUBSTITUTE(SUBSTITUTE(SUBSTITUTE(SUBSTITUTE(SUBSTITUTE(SUBSTITUTE(SUBSTITUTE(SUBSTITUTE(SUBSTITUTE(SUBSTITUTE(LOWER(TRIM(F185)),"á","a"),"é","e"),"í","i"),"ó","o"),"ú","u"),"ü","u"),"ñ","n"),"à","a"),"è","e"),"ì","i"),"ò","o"),"ù","u"))</f>
        <v/>
      </c>
      <c r="O185" s="25">
        <f>IF(M185="confiable",2,IF(M185="dudosa",1,IF(M185="no confiable",0,"")))</f>
        <v/>
      </c>
      <c r="P185" s="25">
        <f>IF(N185="confiable",2,IF(N185="dudosa",1,IF(N185="no confiable",0,"")))</f>
        <v/>
      </c>
      <c r="Q185" s="25">
        <f>IF(AND(ISNUMBER(O185),ISNUMBER(P185)),1,"")</f>
        <v/>
      </c>
      <c r="R185" s="25">
        <f>IF(Q185=1,IF(O185=P185,"Sí","No"),"")</f>
        <v/>
      </c>
      <c r="S185" s="25">
        <f>IF(Q185=1,IF(P185&lt;O185,"Más estricto",IF(P185&gt;O185,"Más permisivo","Igual")),"")</f>
        <v/>
      </c>
      <c r="T185" s="25">
        <f>IF(Q185=1,IF(ABS(O185-P185)=2,1,0),"")</f>
        <v/>
      </c>
      <c r="U185" s="25">
        <f>IF(H185="","","|"&amp;SUBSTITUTE(SUBSTITUTE(TRIM(H185)," |","|"),"| ","|")&amp;"|")</f>
        <v/>
      </c>
      <c r="V185" s="25">
        <f>IF(AND(Q185=1,B185&lt;&gt;""),IF(IFERROR(COUNTIFS(B$3:B185,"="&amp;SUBSTITUTE(SUBSTITUTE(SUBSTITUTE(B185,"~","~~"),"*","~*"),"?","~?"),Q$3:Q185,1),0)=1,MAX(V$2:V184)+1,""),"")</f>
        <v/>
      </c>
      <c r="W185" s="25">
        <f>IF(V185="","",COUNTIFS($B$3:$B$1002,"="&amp;SUBSTITUTE(SUBSTITUTE(SUBSTITUTE(B185,"~","~~"),"*","~*"),"?","~?"),$Q$3:$Q$1002,1)*10000-V185)</f>
        <v/>
      </c>
      <c r="X185" s="25">
        <f>IF(Q185=1,IF(SUBSTITUTE(SUBSTITUTE(SUBSTITUTE(SUBSTITUTE(SUBSTITUTE(SUBSTITUTE(SUBSTITUTE(SUBSTITUTE(SUBSTITUTE(SUBSTITUTE(SUBSTITUTE(SUBSTITUTE(LOWER(TRIM(A185)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185)),"á","a"),"é","e"),"í","i"),"ó","o"),"ú","u"),"ü","u"),"ñ","n"),"à","a"),"è","e"),"ì","i"),"ò","o"),"ù","u")),"")</f>
        <v/>
      </c>
      <c r="Y185" s="25">
        <f>IF(X185="","",IF(IFERROR(COUNTIF(X$3:X185,"="&amp;SUBSTITUTE(SUBSTITUTE(SUBSTITUTE(X185,"~","~~"),"*","~*"),"?","~?")),0)=1,1,""))</f>
        <v/>
      </c>
      <c r="Z185" s="25">
        <f>IF(T185=1,MAX(Z$2:Z184)+1,"")</f>
        <v/>
      </c>
    </row>
    <row r="186">
      <c r="A186">
        <f>IF(A$2=0,"",IFERROR(TRIM(INDEX('Pegar calibracion'!$A$1:$BZ$1001,185,A$2)&amp;""),""))</f>
        <v/>
      </c>
      <c r="B186">
        <f>IF(B$2=0,"",IFERROR(TRIM(INDEX('Pegar calibracion'!$A$1:$BZ$1001,185,B$2)&amp;""),""))</f>
        <v/>
      </c>
      <c r="C186">
        <f>IF(C$2=0,"",IFERROR(TRIM(INDEX('Pegar calibracion'!$A$1:$BZ$1001,185,C$2)&amp;""),""))</f>
        <v/>
      </c>
      <c r="D186">
        <f>IF(D$2=0,"",IFERROR(TRIM(INDEX('Pegar calibracion'!$A$1:$BZ$1001,185,D$2)&amp;""),""))</f>
        <v/>
      </c>
      <c r="E186">
        <f>IF(E$2=0,"",IFERROR(TRIM(INDEX('Pegar calibracion'!$A$1:$BZ$1001,185,E$2)&amp;""),""))</f>
        <v/>
      </c>
      <c r="F186">
        <f>IF(F$2=0,"",IFERROR(TRIM(INDEX('Pegar calibracion'!$A$1:$BZ$1001,185,F$2)&amp;""),""))</f>
        <v/>
      </c>
      <c r="G186">
        <f>IF(G$2=0,"",IFERROR(TRIM(INDEX('Pegar calibracion'!$A$1:$BZ$1001,185,G$2)&amp;""),""))</f>
        <v/>
      </c>
      <c r="H186">
        <f>IF(H$2=0,"",IFERROR(TRIM(INDEX('Pegar calibracion'!$A$1:$BZ$1001,185,H$2)&amp;""),""))</f>
        <v/>
      </c>
      <c r="I186">
        <f>IF(I$2=0,"",IFERROR(TRIM(INDEX('Pegar calibracion'!$A$1:$BZ$1001,185,I$2)&amp;""),""))</f>
        <v/>
      </c>
      <c r="J186">
        <f>IF(J$2=0,"",IFERROR(TRIM(INDEX('Pegar calibracion'!$A$1:$BZ$1001,185,J$2)&amp;""),""))</f>
        <v/>
      </c>
      <c r="K186">
        <f>IF(K$2=0,"",IFERROR(TRIM(INDEX('Pegar calibracion'!$A$1:$BZ$1001,185,K$2)&amp;""),""))</f>
        <v/>
      </c>
      <c r="L186">
        <f>IF(L$2=0,"",IFERROR(TRIM(INDEX('Pegar calibracion'!$A$1:$BZ$1001,185,L$2)&amp;""),""))</f>
        <v/>
      </c>
      <c r="M186" s="25">
        <f>IF(D186="","",SUBSTITUTE(SUBSTITUTE(SUBSTITUTE(SUBSTITUTE(SUBSTITUTE(SUBSTITUTE(SUBSTITUTE(SUBSTITUTE(SUBSTITUTE(SUBSTITUTE(SUBSTITUTE(SUBSTITUTE(LOWER(TRIM(D186)),"á","a"),"é","e"),"í","i"),"ó","o"),"ú","u"),"ü","u"),"ñ","n"),"à","a"),"è","e"),"ì","i"),"ò","o"),"ù","u"))</f>
        <v/>
      </c>
      <c r="N186" s="25">
        <f>IF(F186="","",SUBSTITUTE(SUBSTITUTE(SUBSTITUTE(SUBSTITUTE(SUBSTITUTE(SUBSTITUTE(SUBSTITUTE(SUBSTITUTE(SUBSTITUTE(SUBSTITUTE(SUBSTITUTE(SUBSTITUTE(LOWER(TRIM(F186)),"á","a"),"é","e"),"í","i"),"ó","o"),"ú","u"),"ü","u"),"ñ","n"),"à","a"),"è","e"),"ì","i"),"ò","o"),"ù","u"))</f>
        <v/>
      </c>
      <c r="O186" s="25">
        <f>IF(M186="confiable",2,IF(M186="dudosa",1,IF(M186="no confiable",0,"")))</f>
        <v/>
      </c>
      <c r="P186" s="25">
        <f>IF(N186="confiable",2,IF(N186="dudosa",1,IF(N186="no confiable",0,"")))</f>
        <v/>
      </c>
      <c r="Q186" s="25">
        <f>IF(AND(ISNUMBER(O186),ISNUMBER(P186)),1,"")</f>
        <v/>
      </c>
      <c r="R186" s="25">
        <f>IF(Q186=1,IF(O186=P186,"Sí","No"),"")</f>
        <v/>
      </c>
      <c r="S186" s="25">
        <f>IF(Q186=1,IF(P186&lt;O186,"Más estricto",IF(P186&gt;O186,"Más permisivo","Igual")),"")</f>
        <v/>
      </c>
      <c r="T186" s="25">
        <f>IF(Q186=1,IF(ABS(O186-P186)=2,1,0),"")</f>
        <v/>
      </c>
      <c r="U186" s="25">
        <f>IF(H186="","","|"&amp;SUBSTITUTE(SUBSTITUTE(TRIM(H186)," |","|"),"| ","|")&amp;"|")</f>
        <v/>
      </c>
      <c r="V186" s="25">
        <f>IF(AND(Q186=1,B186&lt;&gt;""),IF(IFERROR(COUNTIFS(B$3:B186,"="&amp;SUBSTITUTE(SUBSTITUTE(SUBSTITUTE(B186,"~","~~"),"*","~*"),"?","~?"),Q$3:Q186,1),0)=1,MAX(V$2:V185)+1,""),"")</f>
        <v/>
      </c>
      <c r="W186" s="25">
        <f>IF(V186="","",COUNTIFS($B$3:$B$1002,"="&amp;SUBSTITUTE(SUBSTITUTE(SUBSTITUTE(B186,"~","~~"),"*","~*"),"?","~?"),$Q$3:$Q$1002,1)*10000-V186)</f>
        <v/>
      </c>
      <c r="X186" s="25">
        <f>IF(Q186=1,IF(SUBSTITUTE(SUBSTITUTE(SUBSTITUTE(SUBSTITUTE(SUBSTITUTE(SUBSTITUTE(SUBSTITUTE(SUBSTITUTE(SUBSTITUTE(SUBSTITUTE(SUBSTITUTE(SUBSTITUTE(LOWER(TRIM(A186)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186)),"á","a"),"é","e"),"í","i"),"ó","o"),"ú","u"),"ü","u"),"ñ","n"),"à","a"),"è","e"),"ì","i"),"ò","o"),"ù","u")),"")</f>
        <v/>
      </c>
      <c r="Y186" s="25">
        <f>IF(X186="","",IF(IFERROR(COUNTIF(X$3:X186,"="&amp;SUBSTITUTE(SUBSTITUTE(SUBSTITUTE(X186,"~","~~"),"*","~*"),"?","~?")),0)=1,1,""))</f>
        <v/>
      </c>
      <c r="Z186" s="25">
        <f>IF(T186=1,MAX(Z$2:Z185)+1,"")</f>
        <v/>
      </c>
    </row>
    <row r="187">
      <c r="A187">
        <f>IF(A$2=0,"",IFERROR(TRIM(INDEX('Pegar calibracion'!$A$1:$BZ$1001,186,A$2)&amp;""),""))</f>
        <v/>
      </c>
      <c r="B187">
        <f>IF(B$2=0,"",IFERROR(TRIM(INDEX('Pegar calibracion'!$A$1:$BZ$1001,186,B$2)&amp;""),""))</f>
        <v/>
      </c>
      <c r="C187">
        <f>IF(C$2=0,"",IFERROR(TRIM(INDEX('Pegar calibracion'!$A$1:$BZ$1001,186,C$2)&amp;""),""))</f>
        <v/>
      </c>
      <c r="D187">
        <f>IF(D$2=0,"",IFERROR(TRIM(INDEX('Pegar calibracion'!$A$1:$BZ$1001,186,D$2)&amp;""),""))</f>
        <v/>
      </c>
      <c r="E187">
        <f>IF(E$2=0,"",IFERROR(TRIM(INDEX('Pegar calibracion'!$A$1:$BZ$1001,186,E$2)&amp;""),""))</f>
        <v/>
      </c>
      <c r="F187">
        <f>IF(F$2=0,"",IFERROR(TRIM(INDEX('Pegar calibracion'!$A$1:$BZ$1001,186,F$2)&amp;""),""))</f>
        <v/>
      </c>
      <c r="G187">
        <f>IF(G$2=0,"",IFERROR(TRIM(INDEX('Pegar calibracion'!$A$1:$BZ$1001,186,G$2)&amp;""),""))</f>
        <v/>
      </c>
      <c r="H187">
        <f>IF(H$2=0,"",IFERROR(TRIM(INDEX('Pegar calibracion'!$A$1:$BZ$1001,186,H$2)&amp;""),""))</f>
        <v/>
      </c>
      <c r="I187">
        <f>IF(I$2=0,"",IFERROR(TRIM(INDEX('Pegar calibracion'!$A$1:$BZ$1001,186,I$2)&amp;""),""))</f>
        <v/>
      </c>
      <c r="J187">
        <f>IF(J$2=0,"",IFERROR(TRIM(INDEX('Pegar calibracion'!$A$1:$BZ$1001,186,J$2)&amp;""),""))</f>
        <v/>
      </c>
      <c r="K187">
        <f>IF(K$2=0,"",IFERROR(TRIM(INDEX('Pegar calibracion'!$A$1:$BZ$1001,186,K$2)&amp;""),""))</f>
        <v/>
      </c>
      <c r="L187">
        <f>IF(L$2=0,"",IFERROR(TRIM(INDEX('Pegar calibracion'!$A$1:$BZ$1001,186,L$2)&amp;""),""))</f>
        <v/>
      </c>
      <c r="M187" s="25">
        <f>IF(D187="","",SUBSTITUTE(SUBSTITUTE(SUBSTITUTE(SUBSTITUTE(SUBSTITUTE(SUBSTITUTE(SUBSTITUTE(SUBSTITUTE(SUBSTITUTE(SUBSTITUTE(SUBSTITUTE(SUBSTITUTE(LOWER(TRIM(D187)),"á","a"),"é","e"),"í","i"),"ó","o"),"ú","u"),"ü","u"),"ñ","n"),"à","a"),"è","e"),"ì","i"),"ò","o"),"ù","u"))</f>
        <v/>
      </c>
      <c r="N187" s="25">
        <f>IF(F187="","",SUBSTITUTE(SUBSTITUTE(SUBSTITUTE(SUBSTITUTE(SUBSTITUTE(SUBSTITUTE(SUBSTITUTE(SUBSTITUTE(SUBSTITUTE(SUBSTITUTE(SUBSTITUTE(SUBSTITUTE(LOWER(TRIM(F187)),"á","a"),"é","e"),"í","i"),"ó","o"),"ú","u"),"ü","u"),"ñ","n"),"à","a"),"è","e"),"ì","i"),"ò","o"),"ù","u"))</f>
        <v/>
      </c>
      <c r="O187" s="25">
        <f>IF(M187="confiable",2,IF(M187="dudosa",1,IF(M187="no confiable",0,"")))</f>
        <v/>
      </c>
      <c r="P187" s="25">
        <f>IF(N187="confiable",2,IF(N187="dudosa",1,IF(N187="no confiable",0,"")))</f>
        <v/>
      </c>
      <c r="Q187" s="25">
        <f>IF(AND(ISNUMBER(O187),ISNUMBER(P187)),1,"")</f>
        <v/>
      </c>
      <c r="R187" s="25">
        <f>IF(Q187=1,IF(O187=P187,"Sí","No"),"")</f>
        <v/>
      </c>
      <c r="S187" s="25">
        <f>IF(Q187=1,IF(P187&lt;O187,"Más estricto",IF(P187&gt;O187,"Más permisivo","Igual")),"")</f>
        <v/>
      </c>
      <c r="T187" s="25">
        <f>IF(Q187=1,IF(ABS(O187-P187)=2,1,0),"")</f>
        <v/>
      </c>
      <c r="U187" s="25">
        <f>IF(H187="","","|"&amp;SUBSTITUTE(SUBSTITUTE(TRIM(H187)," |","|"),"| ","|")&amp;"|")</f>
        <v/>
      </c>
      <c r="V187" s="25">
        <f>IF(AND(Q187=1,B187&lt;&gt;""),IF(IFERROR(COUNTIFS(B$3:B187,"="&amp;SUBSTITUTE(SUBSTITUTE(SUBSTITUTE(B187,"~","~~"),"*","~*"),"?","~?"),Q$3:Q187,1),0)=1,MAX(V$2:V186)+1,""),"")</f>
        <v/>
      </c>
      <c r="W187" s="25">
        <f>IF(V187="","",COUNTIFS($B$3:$B$1002,"="&amp;SUBSTITUTE(SUBSTITUTE(SUBSTITUTE(B187,"~","~~"),"*","~*"),"?","~?"),$Q$3:$Q$1002,1)*10000-V187)</f>
        <v/>
      </c>
      <c r="X187" s="25">
        <f>IF(Q187=1,IF(SUBSTITUTE(SUBSTITUTE(SUBSTITUTE(SUBSTITUTE(SUBSTITUTE(SUBSTITUTE(SUBSTITUTE(SUBSTITUTE(SUBSTITUTE(SUBSTITUTE(SUBSTITUTE(SUBSTITUTE(LOWER(TRIM(A187)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187)),"á","a"),"é","e"),"í","i"),"ó","o"),"ú","u"),"ü","u"),"ñ","n"),"à","a"),"è","e"),"ì","i"),"ò","o"),"ù","u")),"")</f>
        <v/>
      </c>
      <c r="Y187" s="25">
        <f>IF(X187="","",IF(IFERROR(COUNTIF(X$3:X187,"="&amp;SUBSTITUTE(SUBSTITUTE(SUBSTITUTE(X187,"~","~~"),"*","~*"),"?","~?")),0)=1,1,""))</f>
        <v/>
      </c>
      <c r="Z187" s="25">
        <f>IF(T187=1,MAX(Z$2:Z186)+1,"")</f>
        <v/>
      </c>
    </row>
    <row r="188">
      <c r="A188">
        <f>IF(A$2=0,"",IFERROR(TRIM(INDEX('Pegar calibracion'!$A$1:$BZ$1001,187,A$2)&amp;""),""))</f>
        <v/>
      </c>
      <c r="B188">
        <f>IF(B$2=0,"",IFERROR(TRIM(INDEX('Pegar calibracion'!$A$1:$BZ$1001,187,B$2)&amp;""),""))</f>
        <v/>
      </c>
      <c r="C188">
        <f>IF(C$2=0,"",IFERROR(TRIM(INDEX('Pegar calibracion'!$A$1:$BZ$1001,187,C$2)&amp;""),""))</f>
        <v/>
      </c>
      <c r="D188">
        <f>IF(D$2=0,"",IFERROR(TRIM(INDEX('Pegar calibracion'!$A$1:$BZ$1001,187,D$2)&amp;""),""))</f>
        <v/>
      </c>
      <c r="E188">
        <f>IF(E$2=0,"",IFERROR(TRIM(INDEX('Pegar calibracion'!$A$1:$BZ$1001,187,E$2)&amp;""),""))</f>
        <v/>
      </c>
      <c r="F188">
        <f>IF(F$2=0,"",IFERROR(TRIM(INDEX('Pegar calibracion'!$A$1:$BZ$1001,187,F$2)&amp;""),""))</f>
        <v/>
      </c>
      <c r="G188">
        <f>IF(G$2=0,"",IFERROR(TRIM(INDEX('Pegar calibracion'!$A$1:$BZ$1001,187,G$2)&amp;""),""))</f>
        <v/>
      </c>
      <c r="H188">
        <f>IF(H$2=0,"",IFERROR(TRIM(INDEX('Pegar calibracion'!$A$1:$BZ$1001,187,H$2)&amp;""),""))</f>
        <v/>
      </c>
      <c r="I188">
        <f>IF(I$2=0,"",IFERROR(TRIM(INDEX('Pegar calibracion'!$A$1:$BZ$1001,187,I$2)&amp;""),""))</f>
        <v/>
      </c>
      <c r="J188">
        <f>IF(J$2=0,"",IFERROR(TRIM(INDEX('Pegar calibracion'!$A$1:$BZ$1001,187,J$2)&amp;""),""))</f>
        <v/>
      </c>
      <c r="K188">
        <f>IF(K$2=0,"",IFERROR(TRIM(INDEX('Pegar calibracion'!$A$1:$BZ$1001,187,K$2)&amp;""),""))</f>
        <v/>
      </c>
      <c r="L188">
        <f>IF(L$2=0,"",IFERROR(TRIM(INDEX('Pegar calibracion'!$A$1:$BZ$1001,187,L$2)&amp;""),""))</f>
        <v/>
      </c>
      <c r="M188" s="25">
        <f>IF(D188="","",SUBSTITUTE(SUBSTITUTE(SUBSTITUTE(SUBSTITUTE(SUBSTITUTE(SUBSTITUTE(SUBSTITUTE(SUBSTITUTE(SUBSTITUTE(SUBSTITUTE(SUBSTITUTE(SUBSTITUTE(LOWER(TRIM(D188)),"á","a"),"é","e"),"í","i"),"ó","o"),"ú","u"),"ü","u"),"ñ","n"),"à","a"),"è","e"),"ì","i"),"ò","o"),"ù","u"))</f>
        <v/>
      </c>
      <c r="N188" s="25">
        <f>IF(F188="","",SUBSTITUTE(SUBSTITUTE(SUBSTITUTE(SUBSTITUTE(SUBSTITUTE(SUBSTITUTE(SUBSTITUTE(SUBSTITUTE(SUBSTITUTE(SUBSTITUTE(SUBSTITUTE(SUBSTITUTE(LOWER(TRIM(F188)),"á","a"),"é","e"),"í","i"),"ó","o"),"ú","u"),"ü","u"),"ñ","n"),"à","a"),"è","e"),"ì","i"),"ò","o"),"ù","u"))</f>
        <v/>
      </c>
      <c r="O188" s="25">
        <f>IF(M188="confiable",2,IF(M188="dudosa",1,IF(M188="no confiable",0,"")))</f>
        <v/>
      </c>
      <c r="P188" s="25">
        <f>IF(N188="confiable",2,IF(N188="dudosa",1,IF(N188="no confiable",0,"")))</f>
        <v/>
      </c>
      <c r="Q188" s="25">
        <f>IF(AND(ISNUMBER(O188),ISNUMBER(P188)),1,"")</f>
        <v/>
      </c>
      <c r="R188" s="25">
        <f>IF(Q188=1,IF(O188=P188,"Sí","No"),"")</f>
        <v/>
      </c>
      <c r="S188" s="25">
        <f>IF(Q188=1,IF(P188&lt;O188,"Más estricto",IF(P188&gt;O188,"Más permisivo","Igual")),"")</f>
        <v/>
      </c>
      <c r="T188" s="25">
        <f>IF(Q188=1,IF(ABS(O188-P188)=2,1,0),"")</f>
        <v/>
      </c>
      <c r="U188" s="25">
        <f>IF(H188="","","|"&amp;SUBSTITUTE(SUBSTITUTE(TRIM(H188)," |","|"),"| ","|")&amp;"|")</f>
        <v/>
      </c>
      <c r="V188" s="25">
        <f>IF(AND(Q188=1,B188&lt;&gt;""),IF(IFERROR(COUNTIFS(B$3:B188,"="&amp;SUBSTITUTE(SUBSTITUTE(SUBSTITUTE(B188,"~","~~"),"*","~*"),"?","~?"),Q$3:Q188,1),0)=1,MAX(V$2:V187)+1,""),"")</f>
        <v/>
      </c>
      <c r="W188" s="25">
        <f>IF(V188="","",COUNTIFS($B$3:$B$1002,"="&amp;SUBSTITUTE(SUBSTITUTE(SUBSTITUTE(B188,"~","~~"),"*","~*"),"?","~?"),$Q$3:$Q$1002,1)*10000-V188)</f>
        <v/>
      </c>
      <c r="X188" s="25">
        <f>IF(Q188=1,IF(SUBSTITUTE(SUBSTITUTE(SUBSTITUTE(SUBSTITUTE(SUBSTITUTE(SUBSTITUTE(SUBSTITUTE(SUBSTITUTE(SUBSTITUTE(SUBSTITUTE(SUBSTITUTE(SUBSTITUTE(LOWER(TRIM(A188)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188)),"á","a"),"é","e"),"í","i"),"ó","o"),"ú","u"),"ü","u"),"ñ","n"),"à","a"),"è","e"),"ì","i"),"ò","o"),"ù","u")),"")</f>
        <v/>
      </c>
      <c r="Y188" s="25">
        <f>IF(X188="","",IF(IFERROR(COUNTIF(X$3:X188,"="&amp;SUBSTITUTE(SUBSTITUTE(SUBSTITUTE(X188,"~","~~"),"*","~*"),"?","~?")),0)=1,1,""))</f>
        <v/>
      </c>
      <c r="Z188" s="25">
        <f>IF(T188=1,MAX(Z$2:Z187)+1,"")</f>
        <v/>
      </c>
    </row>
    <row r="189">
      <c r="A189">
        <f>IF(A$2=0,"",IFERROR(TRIM(INDEX('Pegar calibracion'!$A$1:$BZ$1001,188,A$2)&amp;""),""))</f>
        <v/>
      </c>
      <c r="B189">
        <f>IF(B$2=0,"",IFERROR(TRIM(INDEX('Pegar calibracion'!$A$1:$BZ$1001,188,B$2)&amp;""),""))</f>
        <v/>
      </c>
      <c r="C189">
        <f>IF(C$2=0,"",IFERROR(TRIM(INDEX('Pegar calibracion'!$A$1:$BZ$1001,188,C$2)&amp;""),""))</f>
        <v/>
      </c>
      <c r="D189">
        <f>IF(D$2=0,"",IFERROR(TRIM(INDEX('Pegar calibracion'!$A$1:$BZ$1001,188,D$2)&amp;""),""))</f>
        <v/>
      </c>
      <c r="E189">
        <f>IF(E$2=0,"",IFERROR(TRIM(INDEX('Pegar calibracion'!$A$1:$BZ$1001,188,E$2)&amp;""),""))</f>
        <v/>
      </c>
      <c r="F189">
        <f>IF(F$2=0,"",IFERROR(TRIM(INDEX('Pegar calibracion'!$A$1:$BZ$1001,188,F$2)&amp;""),""))</f>
        <v/>
      </c>
      <c r="G189">
        <f>IF(G$2=0,"",IFERROR(TRIM(INDEX('Pegar calibracion'!$A$1:$BZ$1001,188,G$2)&amp;""),""))</f>
        <v/>
      </c>
      <c r="H189">
        <f>IF(H$2=0,"",IFERROR(TRIM(INDEX('Pegar calibracion'!$A$1:$BZ$1001,188,H$2)&amp;""),""))</f>
        <v/>
      </c>
      <c r="I189">
        <f>IF(I$2=0,"",IFERROR(TRIM(INDEX('Pegar calibracion'!$A$1:$BZ$1001,188,I$2)&amp;""),""))</f>
        <v/>
      </c>
      <c r="J189">
        <f>IF(J$2=0,"",IFERROR(TRIM(INDEX('Pegar calibracion'!$A$1:$BZ$1001,188,J$2)&amp;""),""))</f>
        <v/>
      </c>
      <c r="K189">
        <f>IF(K$2=0,"",IFERROR(TRIM(INDEX('Pegar calibracion'!$A$1:$BZ$1001,188,K$2)&amp;""),""))</f>
        <v/>
      </c>
      <c r="L189">
        <f>IF(L$2=0,"",IFERROR(TRIM(INDEX('Pegar calibracion'!$A$1:$BZ$1001,188,L$2)&amp;""),""))</f>
        <v/>
      </c>
      <c r="M189" s="25">
        <f>IF(D189="","",SUBSTITUTE(SUBSTITUTE(SUBSTITUTE(SUBSTITUTE(SUBSTITUTE(SUBSTITUTE(SUBSTITUTE(SUBSTITUTE(SUBSTITUTE(SUBSTITUTE(SUBSTITUTE(SUBSTITUTE(LOWER(TRIM(D189)),"á","a"),"é","e"),"í","i"),"ó","o"),"ú","u"),"ü","u"),"ñ","n"),"à","a"),"è","e"),"ì","i"),"ò","o"),"ù","u"))</f>
        <v/>
      </c>
      <c r="N189" s="25">
        <f>IF(F189="","",SUBSTITUTE(SUBSTITUTE(SUBSTITUTE(SUBSTITUTE(SUBSTITUTE(SUBSTITUTE(SUBSTITUTE(SUBSTITUTE(SUBSTITUTE(SUBSTITUTE(SUBSTITUTE(SUBSTITUTE(LOWER(TRIM(F189)),"á","a"),"é","e"),"í","i"),"ó","o"),"ú","u"),"ü","u"),"ñ","n"),"à","a"),"è","e"),"ì","i"),"ò","o"),"ù","u"))</f>
        <v/>
      </c>
      <c r="O189" s="25">
        <f>IF(M189="confiable",2,IF(M189="dudosa",1,IF(M189="no confiable",0,"")))</f>
        <v/>
      </c>
      <c r="P189" s="25">
        <f>IF(N189="confiable",2,IF(N189="dudosa",1,IF(N189="no confiable",0,"")))</f>
        <v/>
      </c>
      <c r="Q189" s="25">
        <f>IF(AND(ISNUMBER(O189),ISNUMBER(P189)),1,"")</f>
        <v/>
      </c>
      <c r="R189" s="25">
        <f>IF(Q189=1,IF(O189=P189,"Sí","No"),"")</f>
        <v/>
      </c>
      <c r="S189" s="25">
        <f>IF(Q189=1,IF(P189&lt;O189,"Más estricto",IF(P189&gt;O189,"Más permisivo","Igual")),"")</f>
        <v/>
      </c>
      <c r="T189" s="25">
        <f>IF(Q189=1,IF(ABS(O189-P189)=2,1,0),"")</f>
        <v/>
      </c>
      <c r="U189" s="25">
        <f>IF(H189="","","|"&amp;SUBSTITUTE(SUBSTITUTE(TRIM(H189)," |","|"),"| ","|")&amp;"|")</f>
        <v/>
      </c>
      <c r="V189" s="25">
        <f>IF(AND(Q189=1,B189&lt;&gt;""),IF(IFERROR(COUNTIFS(B$3:B189,"="&amp;SUBSTITUTE(SUBSTITUTE(SUBSTITUTE(B189,"~","~~"),"*","~*"),"?","~?"),Q$3:Q189,1),0)=1,MAX(V$2:V188)+1,""),"")</f>
        <v/>
      </c>
      <c r="W189" s="25">
        <f>IF(V189="","",COUNTIFS($B$3:$B$1002,"="&amp;SUBSTITUTE(SUBSTITUTE(SUBSTITUTE(B189,"~","~~"),"*","~*"),"?","~?"),$Q$3:$Q$1002,1)*10000-V189)</f>
        <v/>
      </c>
      <c r="X189" s="25">
        <f>IF(Q189=1,IF(SUBSTITUTE(SUBSTITUTE(SUBSTITUTE(SUBSTITUTE(SUBSTITUTE(SUBSTITUTE(SUBSTITUTE(SUBSTITUTE(SUBSTITUTE(SUBSTITUTE(SUBSTITUTE(SUBSTITUTE(LOWER(TRIM(A189)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189)),"á","a"),"é","e"),"í","i"),"ó","o"),"ú","u"),"ü","u"),"ñ","n"),"à","a"),"è","e"),"ì","i"),"ò","o"),"ù","u")),"")</f>
        <v/>
      </c>
      <c r="Y189" s="25">
        <f>IF(X189="","",IF(IFERROR(COUNTIF(X$3:X189,"="&amp;SUBSTITUTE(SUBSTITUTE(SUBSTITUTE(X189,"~","~~"),"*","~*"),"?","~?")),0)=1,1,""))</f>
        <v/>
      </c>
      <c r="Z189" s="25">
        <f>IF(T189=1,MAX(Z$2:Z188)+1,"")</f>
        <v/>
      </c>
    </row>
    <row r="190">
      <c r="A190">
        <f>IF(A$2=0,"",IFERROR(TRIM(INDEX('Pegar calibracion'!$A$1:$BZ$1001,189,A$2)&amp;""),""))</f>
        <v/>
      </c>
      <c r="B190">
        <f>IF(B$2=0,"",IFERROR(TRIM(INDEX('Pegar calibracion'!$A$1:$BZ$1001,189,B$2)&amp;""),""))</f>
        <v/>
      </c>
      <c r="C190">
        <f>IF(C$2=0,"",IFERROR(TRIM(INDEX('Pegar calibracion'!$A$1:$BZ$1001,189,C$2)&amp;""),""))</f>
        <v/>
      </c>
      <c r="D190">
        <f>IF(D$2=0,"",IFERROR(TRIM(INDEX('Pegar calibracion'!$A$1:$BZ$1001,189,D$2)&amp;""),""))</f>
        <v/>
      </c>
      <c r="E190">
        <f>IF(E$2=0,"",IFERROR(TRIM(INDEX('Pegar calibracion'!$A$1:$BZ$1001,189,E$2)&amp;""),""))</f>
        <v/>
      </c>
      <c r="F190">
        <f>IF(F$2=0,"",IFERROR(TRIM(INDEX('Pegar calibracion'!$A$1:$BZ$1001,189,F$2)&amp;""),""))</f>
        <v/>
      </c>
      <c r="G190">
        <f>IF(G$2=0,"",IFERROR(TRIM(INDEX('Pegar calibracion'!$A$1:$BZ$1001,189,G$2)&amp;""),""))</f>
        <v/>
      </c>
      <c r="H190">
        <f>IF(H$2=0,"",IFERROR(TRIM(INDEX('Pegar calibracion'!$A$1:$BZ$1001,189,H$2)&amp;""),""))</f>
        <v/>
      </c>
      <c r="I190">
        <f>IF(I$2=0,"",IFERROR(TRIM(INDEX('Pegar calibracion'!$A$1:$BZ$1001,189,I$2)&amp;""),""))</f>
        <v/>
      </c>
      <c r="J190">
        <f>IF(J$2=0,"",IFERROR(TRIM(INDEX('Pegar calibracion'!$A$1:$BZ$1001,189,J$2)&amp;""),""))</f>
        <v/>
      </c>
      <c r="K190">
        <f>IF(K$2=0,"",IFERROR(TRIM(INDEX('Pegar calibracion'!$A$1:$BZ$1001,189,K$2)&amp;""),""))</f>
        <v/>
      </c>
      <c r="L190">
        <f>IF(L$2=0,"",IFERROR(TRIM(INDEX('Pegar calibracion'!$A$1:$BZ$1001,189,L$2)&amp;""),""))</f>
        <v/>
      </c>
      <c r="M190" s="25">
        <f>IF(D190="","",SUBSTITUTE(SUBSTITUTE(SUBSTITUTE(SUBSTITUTE(SUBSTITUTE(SUBSTITUTE(SUBSTITUTE(SUBSTITUTE(SUBSTITUTE(SUBSTITUTE(SUBSTITUTE(SUBSTITUTE(LOWER(TRIM(D190)),"á","a"),"é","e"),"í","i"),"ó","o"),"ú","u"),"ü","u"),"ñ","n"),"à","a"),"è","e"),"ì","i"),"ò","o"),"ù","u"))</f>
        <v/>
      </c>
      <c r="N190" s="25">
        <f>IF(F190="","",SUBSTITUTE(SUBSTITUTE(SUBSTITUTE(SUBSTITUTE(SUBSTITUTE(SUBSTITUTE(SUBSTITUTE(SUBSTITUTE(SUBSTITUTE(SUBSTITUTE(SUBSTITUTE(SUBSTITUTE(LOWER(TRIM(F190)),"á","a"),"é","e"),"í","i"),"ó","o"),"ú","u"),"ü","u"),"ñ","n"),"à","a"),"è","e"),"ì","i"),"ò","o"),"ù","u"))</f>
        <v/>
      </c>
      <c r="O190" s="25">
        <f>IF(M190="confiable",2,IF(M190="dudosa",1,IF(M190="no confiable",0,"")))</f>
        <v/>
      </c>
      <c r="P190" s="25">
        <f>IF(N190="confiable",2,IF(N190="dudosa",1,IF(N190="no confiable",0,"")))</f>
        <v/>
      </c>
      <c r="Q190" s="25">
        <f>IF(AND(ISNUMBER(O190),ISNUMBER(P190)),1,"")</f>
        <v/>
      </c>
      <c r="R190" s="25">
        <f>IF(Q190=1,IF(O190=P190,"Sí","No"),"")</f>
        <v/>
      </c>
      <c r="S190" s="25">
        <f>IF(Q190=1,IF(P190&lt;O190,"Más estricto",IF(P190&gt;O190,"Más permisivo","Igual")),"")</f>
        <v/>
      </c>
      <c r="T190" s="25">
        <f>IF(Q190=1,IF(ABS(O190-P190)=2,1,0),"")</f>
        <v/>
      </c>
      <c r="U190" s="25">
        <f>IF(H190="","","|"&amp;SUBSTITUTE(SUBSTITUTE(TRIM(H190)," |","|"),"| ","|")&amp;"|")</f>
        <v/>
      </c>
      <c r="V190" s="25">
        <f>IF(AND(Q190=1,B190&lt;&gt;""),IF(IFERROR(COUNTIFS(B$3:B190,"="&amp;SUBSTITUTE(SUBSTITUTE(SUBSTITUTE(B190,"~","~~"),"*","~*"),"?","~?"),Q$3:Q190,1),0)=1,MAX(V$2:V189)+1,""),"")</f>
        <v/>
      </c>
      <c r="W190" s="25">
        <f>IF(V190="","",COUNTIFS($B$3:$B$1002,"="&amp;SUBSTITUTE(SUBSTITUTE(SUBSTITUTE(B190,"~","~~"),"*","~*"),"?","~?"),$Q$3:$Q$1002,1)*10000-V190)</f>
        <v/>
      </c>
      <c r="X190" s="25">
        <f>IF(Q190=1,IF(SUBSTITUTE(SUBSTITUTE(SUBSTITUTE(SUBSTITUTE(SUBSTITUTE(SUBSTITUTE(SUBSTITUTE(SUBSTITUTE(SUBSTITUTE(SUBSTITUTE(SUBSTITUTE(SUBSTITUTE(LOWER(TRIM(A190)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190)),"á","a"),"é","e"),"í","i"),"ó","o"),"ú","u"),"ü","u"),"ñ","n"),"à","a"),"è","e"),"ì","i"),"ò","o"),"ù","u")),"")</f>
        <v/>
      </c>
      <c r="Y190" s="25">
        <f>IF(X190="","",IF(IFERROR(COUNTIF(X$3:X190,"="&amp;SUBSTITUTE(SUBSTITUTE(SUBSTITUTE(X190,"~","~~"),"*","~*"),"?","~?")),0)=1,1,""))</f>
        <v/>
      </c>
      <c r="Z190" s="25">
        <f>IF(T190=1,MAX(Z$2:Z189)+1,"")</f>
        <v/>
      </c>
    </row>
    <row r="191">
      <c r="A191">
        <f>IF(A$2=0,"",IFERROR(TRIM(INDEX('Pegar calibracion'!$A$1:$BZ$1001,190,A$2)&amp;""),""))</f>
        <v/>
      </c>
      <c r="B191">
        <f>IF(B$2=0,"",IFERROR(TRIM(INDEX('Pegar calibracion'!$A$1:$BZ$1001,190,B$2)&amp;""),""))</f>
        <v/>
      </c>
      <c r="C191">
        <f>IF(C$2=0,"",IFERROR(TRIM(INDEX('Pegar calibracion'!$A$1:$BZ$1001,190,C$2)&amp;""),""))</f>
        <v/>
      </c>
      <c r="D191">
        <f>IF(D$2=0,"",IFERROR(TRIM(INDEX('Pegar calibracion'!$A$1:$BZ$1001,190,D$2)&amp;""),""))</f>
        <v/>
      </c>
      <c r="E191">
        <f>IF(E$2=0,"",IFERROR(TRIM(INDEX('Pegar calibracion'!$A$1:$BZ$1001,190,E$2)&amp;""),""))</f>
        <v/>
      </c>
      <c r="F191">
        <f>IF(F$2=0,"",IFERROR(TRIM(INDEX('Pegar calibracion'!$A$1:$BZ$1001,190,F$2)&amp;""),""))</f>
        <v/>
      </c>
      <c r="G191">
        <f>IF(G$2=0,"",IFERROR(TRIM(INDEX('Pegar calibracion'!$A$1:$BZ$1001,190,G$2)&amp;""),""))</f>
        <v/>
      </c>
      <c r="H191">
        <f>IF(H$2=0,"",IFERROR(TRIM(INDEX('Pegar calibracion'!$A$1:$BZ$1001,190,H$2)&amp;""),""))</f>
        <v/>
      </c>
      <c r="I191">
        <f>IF(I$2=0,"",IFERROR(TRIM(INDEX('Pegar calibracion'!$A$1:$BZ$1001,190,I$2)&amp;""),""))</f>
        <v/>
      </c>
      <c r="J191">
        <f>IF(J$2=0,"",IFERROR(TRIM(INDEX('Pegar calibracion'!$A$1:$BZ$1001,190,J$2)&amp;""),""))</f>
        <v/>
      </c>
      <c r="K191">
        <f>IF(K$2=0,"",IFERROR(TRIM(INDEX('Pegar calibracion'!$A$1:$BZ$1001,190,K$2)&amp;""),""))</f>
        <v/>
      </c>
      <c r="L191">
        <f>IF(L$2=0,"",IFERROR(TRIM(INDEX('Pegar calibracion'!$A$1:$BZ$1001,190,L$2)&amp;""),""))</f>
        <v/>
      </c>
      <c r="M191" s="25">
        <f>IF(D191="","",SUBSTITUTE(SUBSTITUTE(SUBSTITUTE(SUBSTITUTE(SUBSTITUTE(SUBSTITUTE(SUBSTITUTE(SUBSTITUTE(SUBSTITUTE(SUBSTITUTE(SUBSTITUTE(SUBSTITUTE(LOWER(TRIM(D191)),"á","a"),"é","e"),"í","i"),"ó","o"),"ú","u"),"ü","u"),"ñ","n"),"à","a"),"è","e"),"ì","i"),"ò","o"),"ù","u"))</f>
        <v/>
      </c>
      <c r="N191" s="25">
        <f>IF(F191="","",SUBSTITUTE(SUBSTITUTE(SUBSTITUTE(SUBSTITUTE(SUBSTITUTE(SUBSTITUTE(SUBSTITUTE(SUBSTITUTE(SUBSTITUTE(SUBSTITUTE(SUBSTITUTE(SUBSTITUTE(LOWER(TRIM(F191)),"á","a"),"é","e"),"í","i"),"ó","o"),"ú","u"),"ü","u"),"ñ","n"),"à","a"),"è","e"),"ì","i"),"ò","o"),"ù","u"))</f>
        <v/>
      </c>
      <c r="O191" s="25">
        <f>IF(M191="confiable",2,IF(M191="dudosa",1,IF(M191="no confiable",0,"")))</f>
        <v/>
      </c>
      <c r="P191" s="25">
        <f>IF(N191="confiable",2,IF(N191="dudosa",1,IF(N191="no confiable",0,"")))</f>
        <v/>
      </c>
      <c r="Q191" s="25">
        <f>IF(AND(ISNUMBER(O191),ISNUMBER(P191)),1,"")</f>
        <v/>
      </c>
      <c r="R191" s="25">
        <f>IF(Q191=1,IF(O191=P191,"Sí","No"),"")</f>
        <v/>
      </c>
      <c r="S191" s="25">
        <f>IF(Q191=1,IF(P191&lt;O191,"Más estricto",IF(P191&gt;O191,"Más permisivo","Igual")),"")</f>
        <v/>
      </c>
      <c r="T191" s="25">
        <f>IF(Q191=1,IF(ABS(O191-P191)=2,1,0),"")</f>
        <v/>
      </c>
      <c r="U191" s="25">
        <f>IF(H191="","","|"&amp;SUBSTITUTE(SUBSTITUTE(TRIM(H191)," |","|"),"| ","|")&amp;"|")</f>
        <v/>
      </c>
      <c r="V191" s="25">
        <f>IF(AND(Q191=1,B191&lt;&gt;""),IF(IFERROR(COUNTIFS(B$3:B191,"="&amp;SUBSTITUTE(SUBSTITUTE(SUBSTITUTE(B191,"~","~~"),"*","~*"),"?","~?"),Q$3:Q191,1),0)=1,MAX(V$2:V190)+1,""),"")</f>
        <v/>
      </c>
      <c r="W191" s="25">
        <f>IF(V191="","",COUNTIFS($B$3:$B$1002,"="&amp;SUBSTITUTE(SUBSTITUTE(SUBSTITUTE(B191,"~","~~"),"*","~*"),"?","~?"),$Q$3:$Q$1002,1)*10000-V191)</f>
        <v/>
      </c>
      <c r="X191" s="25">
        <f>IF(Q191=1,IF(SUBSTITUTE(SUBSTITUTE(SUBSTITUTE(SUBSTITUTE(SUBSTITUTE(SUBSTITUTE(SUBSTITUTE(SUBSTITUTE(SUBSTITUTE(SUBSTITUTE(SUBSTITUTE(SUBSTITUTE(LOWER(TRIM(A191)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191)),"á","a"),"é","e"),"í","i"),"ó","o"),"ú","u"),"ü","u"),"ñ","n"),"à","a"),"è","e"),"ì","i"),"ò","o"),"ù","u")),"")</f>
        <v/>
      </c>
      <c r="Y191" s="25">
        <f>IF(X191="","",IF(IFERROR(COUNTIF(X$3:X191,"="&amp;SUBSTITUTE(SUBSTITUTE(SUBSTITUTE(X191,"~","~~"),"*","~*"),"?","~?")),0)=1,1,""))</f>
        <v/>
      </c>
      <c r="Z191" s="25">
        <f>IF(T191=1,MAX(Z$2:Z190)+1,"")</f>
        <v/>
      </c>
    </row>
    <row r="192">
      <c r="A192">
        <f>IF(A$2=0,"",IFERROR(TRIM(INDEX('Pegar calibracion'!$A$1:$BZ$1001,191,A$2)&amp;""),""))</f>
        <v/>
      </c>
      <c r="B192">
        <f>IF(B$2=0,"",IFERROR(TRIM(INDEX('Pegar calibracion'!$A$1:$BZ$1001,191,B$2)&amp;""),""))</f>
        <v/>
      </c>
      <c r="C192">
        <f>IF(C$2=0,"",IFERROR(TRIM(INDEX('Pegar calibracion'!$A$1:$BZ$1001,191,C$2)&amp;""),""))</f>
        <v/>
      </c>
      <c r="D192">
        <f>IF(D$2=0,"",IFERROR(TRIM(INDEX('Pegar calibracion'!$A$1:$BZ$1001,191,D$2)&amp;""),""))</f>
        <v/>
      </c>
      <c r="E192">
        <f>IF(E$2=0,"",IFERROR(TRIM(INDEX('Pegar calibracion'!$A$1:$BZ$1001,191,E$2)&amp;""),""))</f>
        <v/>
      </c>
      <c r="F192">
        <f>IF(F$2=0,"",IFERROR(TRIM(INDEX('Pegar calibracion'!$A$1:$BZ$1001,191,F$2)&amp;""),""))</f>
        <v/>
      </c>
      <c r="G192">
        <f>IF(G$2=0,"",IFERROR(TRIM(INDEX('Pegar calibracion'!$A$1:$BZ$1001,191,G$2)&amp;""),""))</f>
        <v/>
      </c>
      <c r="H192">
        <f>IF(H$2=0,"",IFERROR(TRIM(INDEX('Pegar calibracion'!$A$1:$BZ$1001,191,H$2)&amp;""),""))</f>
        <v/>
      </c>
      <c r="I192">
        <f>IF(I$2=0,"",IFERROR(TRIM(INDEX('Pegar calibracion'!$A$1:$BZ$1001,191,I$2)&amp;""),""))</f>
        <v/>
      </c>
      <c r="J192">
        <f>IF(J$2=0,"",IFERROR(TRIM(INDEX('Pegar calibracion'!$A$1:$BZ$1001,191,J$2)&amp;""),""))</f>
        <v/>
      </c>
      <c r="K192">
        <f>IF(K$2=0,"",IFERROR(TRIM(INDEX('Pegar calibracion'!$A$1:$BZ$1001,191,K$2)&amp;""),""))</f>
        <v/>
      </c>
      <c r="L192">
        <f>IF(L$2=0,"",IFERROR(TRIM(INDEX('Pegar calibracion'!$A$1:$BZ$1001,191,L$2)&amp;""),""))</f>
        <v/>
      </c>
      <c r="M192" s="25">
        <f>IF(D192="","",SUBSTITUTE(SUBSTITUTE(SUBSTITUTE(SUBSTITUTE(SUBSTITUTE(SUBSTITUTE(SUBSTITUTE(SUBSTITUTE(SUBSTITUTE(SUBSTITUTE(SUBSTITUTE(SUBSTITUTE(LOWER(TRIM(D192)),"á","a"),"é","e"),"í","i"),"ó","o"),"ú","u"),"ü","u"),"ñ","n"),"à","a"),"è","e"),"ì","i"),"ò","o"),"ù","u"))</f>
        <v/>
      </c>
      <c r="N192" s="25">
        <f>IF(F192="","",SUBSTITUTE(SUBSTITUTE(SUBSTITUTE(SUBSTITUTE(SUBSTITUTE(SUBSTITUTE(SUBSTITUTE(SUBSTITUTE(SUBSTITUTE(SUBSTITUTE(SUBSTITUTE(SUBSTITUTE(LOWER(TRIM(F192)),"á","a"),"é","e"),"í","i"),"ó","o"),"ú","u"),"ü","u"),"ñ","n"),"à","a"),"è","e"),"ì","i"),"ò","o"),"ù","u"))</f>
        <v/>
      </c>
      <c r="O192" s="25">
        <f>IF(M192="confiable",2,IF(M192="dudosa",1,IF(M192="no confiable",0,"")))</f>
        <v/>
      </c>
      <c r="P192" s="25">
        <f>IF(N192="confiable",2,IF(N192="dudosa",1,IF(N192="no confiable",0,"")))</f>
        <v/>
      </c>
      <c r="Q192" s="25">
        <f>IF(AND(ISNUMBER(O192),ISNUMBER(P192)),1,"")</f>
        <v/>
      </c>
      <c r="R192" s="25">
        <f>IF(Q192=1,IF(O192=P192,"Sí","No"),"")</f>
        <v/>
      </c>
      <c r="S192" s="25">
        <f>IF(Q192=1,IF(P192&lt;O192,"Más estricto",IF(P192&gt;O192,"Más permisivo","Igual")),"")</f>
        <v/>
      </c>
      <c r="T192" s="25">
        <f>IF(Q192=1,IF(ABS(O192-P192)=2,1,0),"")</f>
        <v/>
      </c>
      <c r="U192" s="25">
        <f>IF(H192="","","|"&amp;SUBSTITUTE(SUBSTITUTE(TRIM(H192)," |","|"),"| ","|")&amp;"|")</f>
        <v/>
      </c>
      <c r="V192" s="25">
        <f>IF(AND(Q192=1,B192&lt;&gt;""),IF(IFERROR(COUNTIFS(B$3:B192,"="&amp;SUBSTITUTE(SUBSTITUTE(SUBSTITUTE(B192,"~","~~"),"*","~*"),"?","~?"),Q$3:Q192,1),0)=1,MAX(V$2:V191)+1,""),"")</f>
        <v/>
      </c>
      <c r="W192" s="25">
        <f>IF(V192="","",COUNTIFS($B$3:$B$1002,"="&amp;SUBSTITUTE(SUBSTITUTE(SUBSTITUTE(B192,"~","~~"),"*","~*"),"?","~?"),$Q$3:$Q$1002,1)*10000-V192)</f>
        <v/>
      </c>
      <c r="X192" s="25">
        <f>IF(Q192=1,IF(SUBSTITUTE(SUBSTITUTE(SUBSTITUTE(SUBSTITUTE(SUBSTITUTE(SUBSTITUTE(SUBSTITUTE(SUBSTITUTE(SUBSTITUTE(SUBSTITUTE(SUBSTITUTE(SUBSTITUTE(LOWER(TRIM(A192)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192)),"á","a"),"é","e"),"í","i"),"ó","o"),"ú","u"),"ü","u"),"ñ","n"),"à","a"),"è","e"),"ì","i"),"ò","o"),"ù","u")),"")</f>
        <v/>
      </c>
      <c r="Y192" s="25">
        <f>IF(X192="","",IF(IFERROR(COUNTIF(X$3:X192,"="&amp;SUBSTITUTE(SUBSTITUTE(SUBSTITUTE(X192,"~","~~"),"*","~*"),"?","~?")),0)=1,1,""))</f>
        <v/>
      </c>
      <c r="Z192" s="25">
        <f>IF(T192=1,MAX(Z$2:Z191)+1,"")</f>
        <v/>
      </c>
    </row>
    <row r="193">
      <c r="A193">
        <f>IF(A$2=0,"",IFERROR(TRIM(INDEX('Pegar calibracion'!$A$1:$BZ$1001,192,A$2)&amp;""),""))</f>
        <v/>
      </c>
      <c r="B193">
        <f>IF(B$2=0,"",IFERROR(TRIM(INDEX('Pegar calibracion'!$A$1:$BZ$1001,192,B$2)&amp;""),""))</f>
        <v/>
      </c>
      <c r="C193">
        <f>IF(C$2=0,"",IFERROR(TRIM(INDEX('Pegar calibracion'!$A$1:$BZ$1001,192,C$2)&amp;""),""))</f>
        <v/>
      </c>
      <c r="D193">
        <f>IF(D$2=0,"",IFERROR(TRIM(INDEX('Pegar calibracion'!$A$1:$BZ$1001,192,D$2)&amp;""),""))</f>
        <v/>
      </c>
      <c r="E193">
        <f>IF(E$2=0,"",IFERROR(TRIM(INDEX('Pegar calibracion'!$A$1:$BZ$1001,192,E$2)&amp;""),""))</f>
        <v/>
      </c>
      <c r="F193">
        <f>IF(F$2=0,"",IFERROR(TRIM(INDEX('Pegar calibracion'!$A$1:$BZ$1001,192,F$2)&amp;""),""))</f>
        <v/>
      </c>
      <c r="G193">
        <f>IF(G$2=0,"",IFERROR(TRIM(INDEX('Pegar calibracion'!$A$1:$BZ$1001,192,G$2)&amp;""),""))</f>
        <v/>
      </c>
      <c r="H193">
        <f>IF(H$2=0,"",IFERROR(TRIM(INDEX('Pegar calibracion'!$A$1:$BZ$1001,192,H$2)&amp;""),""))</f>
        <v/>
      </c>
      <c r="I193">
        <f>IF(I$2=0,"",IFERROR(TRIM(INDEX('Pegar calibracion'!$A$1:$BZ$1001,192,I$2)&amp;""),""))</f>
        <v/>
      </c>
      <c r="J193">
        <f>IF(J$2=0,"",IFERROR(TRIM(INDEX('Pegar calibracion'!$A$1:$BZ$1001,192,J$2)&amp;""),""))</f>
        <v/>
      </c>
      <c r="K193">
        <f>IF(K$2=0,"",IFERROR(TRIM(INDEX('Pegar calibracion'!$A$1:$BZ$1001,192,K$2)&amp;""),""))</f>
        <v/>
      </c>
      <c r="L193">
        <f>IF(L$2=0,"",IFERROR(TRIM(INDEX('Pegar calibracion'!$A$1:$BZ$1001,192,L$2)&amp;""),""))</f>
        <v/>
      </c>
      <c r="M193" s="25">
        <f>IF(D193="","",SUBSTITUTE(SUBSTITUTE(SUBSTITUTE(SUBSTITUTE(SUBSTITUTE(SUBSTITUTE(SUBSTITUTE(SUBSTITUTE(SUBSTITUTE(SUBSTITUTE(SUBSTITUTE(SUBSTITUTE(LOWER(TRIM(D193)),"á","a"),"é","e"),"í","i"),"ó","o"),"ú","u"),"ü","u"),"ñ","n"),"à","a"),"è","e"),"ì","i"),"ò","o"),"ù","u"))</f>
        <v/>
      </c>
      <c r="N193" s="25">
        <f>IF(F193="","",SUBSTITUTE(SUBSTITUTE(SUBSTITUTE(SUBSTITUTE(SUBSTITUTE(SUBSTITUTE(SUBSTITUTE(SUBSTITUTE(SUBSTITUTE(SUBSTITUTE(SUBSTITUTE(SUBSTITUTE(LOWER(TRIM(F193)),"á","a"),"é","e"),"í","i"),"ó","o"),"ú","u"),"ü","u"),"ñ","n"),"à","a"),"è","e"),"ì","i"),"ò","o"),"ù","u"))</f>
        <v/>
      </c>
      <c r="O193" s="25">
        <f>IF(M193="confiable",2,IF(M193="dudosa",1,IF(M193="no confiable",0,"")))</f>
        <v/>
      </c>
      <c r="P193" s="25">
        <f>IF(N193="confiable",2,IF(N193="dudosa",1,IF(N193="no confiable",0,"")))</f>
        <v/>
      </c>
      <c r="Q193" s="25">
        <f>IF(AND(ISNUMBER(O193),ISNUMBER(P193)),1,"")</f>
        <v/>
      </c>
      <c r="R193" s="25">
        <f>IF(Q193=1,IF(O193=P193,"Sí","No"),"")</f>
        <v/>
      </c>
      <c r="S193" s="25">
        <f>IF(Q193=1,IF(P193&lt;O193,"Más estricto",IF(P193&gt;O193,"Más permisivo","Igual")),"")</f>
        <v/>
      </c>
      <c r="T193" s="25">
        <f>IF(Q193=1,IF(ABS(O193-P193)=2,1,0),"")</f>
        <v/>
      </c>
      <c r="U193" s="25">
        <f>IF(H193="","","|"&amp;SUBSTITUTE(SUBSTITUTE(TRIM(H193)," |","|"),"| ","|")&amp;"|")</f>
        <v/>
      </c>
      <c r="V193" s="25">
        <f>IF(AND(Q193=1,B193&lt;&gt;""),IF(IFERROR(COUNTIFS(B$3:B193,"="&amp;SUBSTITUTE(SUBSTITUTE(SUBSTITUTE(B193,"~","~~"),"*","~*"),"?","~?"),Q$3:Q193,1),0)=1,MAX(V$2:V192)+1,""),"")</f>
        <v/>
      </c>
      <c r="W193" s="25">
        <f>IF(V193="","",COUNTIFS($B$3:$B$1002,"="&amp;SUBSTITUTE(SUBSTITUTE(SUBSTITUTE(B193,"~","~~"),"*","~*"),"?","~?"),$Q$3:$Q$1002,1)*10000-V193)</f>
        <v/>
      </c>
      <c r="X193" s="25">
        <f>IF(Q193=1,IF(SUBSTITUTE(SUBSTITUTE(SUBSTITUTE(SUBSTITUTE(SUBSTITUTE(SUBSTITUTE(SUBSTITUTE(SUBSTITUTE(SUBSTITUTE(SUBSTITUTE(SUBSTITUTE(SUBSTITUTE(LOWER(TRIM(A193)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193)),"á","a"),"é","e"),"í","i"),"ó","o"),"ú","u"),"ü","u"),"ñ","n"),"à","a"),"è","e"),"ì","i"),"ò","o"),"ù","u")),"")</f>
        <v/>
      </c>
      <c r="Y193" s="25">
        <f>IF(X193="","",IF(IFERROR(COUNTIF(X$3:X193,"="&amp;SUBSTITUTE(SUBSTITUTE(SUBSTITUTE(X193,"~","~~"),"*","~*"),"?","~?")),0)=1,1,""))</f>
        <v/>
      </c>
      <c r="Z193" s="25">
        <f>IF(T193=1,MAX(Z$2:Z192)+1,"")</f>
        <v/>
      </c>
    </row>
    <row r="194">
      <c r="A194">
        <f>IF(A$2=0,"",IFERROR(TRIM(INDEX('Pegar calibracion'!$A$1:$BZ$1001,193,A$2)&amp;""),""))</f>
        <v/>
      </c>
      <c r="B194">
        <f>IF(B$2=0,"",IFERROR(TRIM(INDEX('Pegar calibracion'!$A$1:$BZ$1001,193,B$2)&amp;""),""))</f>
        <v/>
      </c>
      <c r="C194">
        <f>IF(C$2=0,"",IFERROR(TRIM(INDEX('Pegar calibracion'!$A$1:$BZ$1001,193,C$2)&amp;""),""))</f>
        <v/>
      </c>
      <c r="D194">
        <f>IF(D$2=0,"",IFERROR(TRIM(INDEX('Pegar calibracion'!$A$1:$BZ$1001,193,D$2)&amp;""),""))</f>
        <v/>
      </c>
      <c r="E194">
        <f>IF(E$2=0,"",IFERROR(TRIM(INDEX('Pegar calibracion'!$A$1:$BZ$1001,193,E$2)&amp;""),""))</f>
        <v/>
      </c>
      <c r="F194">
        <f>IF(F$2=0,"",IFERROR(TRIM(INDEX('Pegar calibracion'!$A$1:$BZ$1001,193,F$2)&amp;""),""))</f>
        <v/>
      </c>
      <c r="G194">
        <f>IF(G$2=0,"",IFERROR(TRIM(INDEX('Pegar calibracion'!$A$1:$BZ$1001,193,G$2)&amp;""),""))</f>
        <v/>
      </c>
      <c r="H194">
        <f>IF(H$2=0,"",IFERROR(TRIM(INDEX('Pegar calibracion'!$A$1:$BZ$1001,193,H$2)&amp;""),""))</f>
        <v/>
      </c>
      <c r="I194">
        <f>IF(I$2=0,"",IFERROR(TRIM(INDEX('Pegar calibracion'!$A$1:$BZ$1001,193,I$2)&amp;""),""))</f>
        <v/>
      </c>
      <c r="J194">
        <f>IF(J$2=0,"",IFERROR(TRIM(INDEX('Pegar calibracion'!$A$1:$BZ$1001,193,J$2)&amp;""),""))</f>
        <v/>
      </c>
      <c r="K194">
        <f>IF(K$2=0,"",IFERROR(TRIM(INDEX('Pegar calibracion'!$A$1:$BZ$1001,193,K$2)&amp;""),""))</f>
        <v/>
      </c>
      <c r="L194">
        <f>IF(L$2=0,"",IFERROR(TRIM(INDEX('Pegar calibracion'!$A$1:$BZ$1001,193,L$2)&amp;""),""))</f>
        <v/>
      </c>
      <c r="M194" s="25">
        <f>IF(D194="","",SUBSTITUTE(SUBSTITUTE(SUBSTITUTE(SUBSTITUTE(SUBSTITUTE(SUBSTITUTE(SUBSTITUTE(SUBSTITUTE(SUBSTITUTE(SUBSTITUTE(SUBSTITUTE(SUBSTITUTE(LOWER(TRIM(D194)),"á","a"),"é","e"),"í","i"),"ó","o"),"ú","u"),"ü","u"),"ñ","n"),"à","a"),"è","e"),"ì","i"),"ò","o"),"ù","u"))</f>
        <v/>
      </c>
      <c r="N194" s="25">
        <f>IF(F194="","",SUBSTITUTE(SUBSTITUTE(SUBSTITUTE(SUBSTITUTE(SUBSTITUTE(SUBSTITUTE(SUBSTITUTE(SUBSTITUTE(SUBSTITUTE(SUBSTITUTE(SUBSTITUTE(SUBSTITUTE(LOWER(TRIM(F194)),"á","a"),"é","e"),"í","i"),"ó","o"),"ú","u"),"ü","u"),"ñ","n"),"à","a"),"è","e"),"ì","i"),"ò","o"),"ù","u"))</f>
        <v/>
      </c>
      <c r="O194" s="25">
        <f>IF(M194="confiable",2,IF(M194="dudosa",1,IF(M194="no confiable",0,"")))</f>
        <v/>
      </c>
      <c r="P194" s="25">
        <f>IF(N194="confiable",2,IF(N194="dudosa",1,IF(N194="no confiable",0,"")))</f>
        <v/>
      </c>
      <c r="Q194" s="25">
        <f>IF(AND(ISNUMBER(O194),ISNUMBER(P194)),1,"")</f>
        <v/>
      </c>
      <c r="R194" s="25">
        <f>IF(Q194=1,IF(O194=P194,"Sí","No"),"")</f>
        <v/>
      </c>
      <c r="S194" s="25">
        <f>IF(Q194=1,IF(P194&lt;O194,"Más estricto",IF(P194&gt;O194,"Más permisivo","Igual")),"")</f>
        <v/>
      </c>
      <c r="T194" s="25">
        <f>IF(Q194=1,IF(ABS(O194-P194)=2,1,0),"")</f>
        <v/>
      </c>
      <c r="U194" s="25">
        <f>IF(H194="","","|"&amp;SUBSTITUTE(SUBSTITUTE(TRIM(H194)," |","|"),"| ","|")&amp;"|")</f>
        <v/>
      </c>
      <c r="V194" s="25">
        <f>IF(AND(Q194=1,B194&lt;&gt;""),IF(IFERROR(COUNTIFS(B$3:B194,"="&amp;SUBSTITUTE(SUBSTITUTE(SUBSTITUTE(B194,"~","~~"),"*","~*"),"?","~?"),Q$3:Q194,1),0)=1,MAX(V$2:V193)+1,""),"")</f>
        <v/>
      </c>
      <c r="W194" s="25">
        <f>IF(V194="","",COUNTIFS($B$3:$B$1002,"="&amp;SUBSTITUTE(SUBSTITUTE(SUBSTITUTE(B194,"~","~~"),"*","~*"),"?","~?"),$Q$3:$Q$1002,1)*10000-V194)</f>
        <v/>
      </c>
      <c r="X194" s="25">
        <f>IF(Q194=1,IF(SUBSTITUTE(SUBSTITUTE(SUBSTITUTE(SUBSTITUTE(SUBSTITUTE(SUBSTITUTE(SUBSTITUTE(SUBSTITUTE(SUBSTITUTE(SUBSTITUTE(SUBSTITUTE(SUBSTITUTE(LOWER(TRIM(A194)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194)),"á","a"),"é","e"),"í","i"),"ó","o"),"ú","u"),"ü","u"),"ñ","n"),"à","a"),"è","e"),"ì","i"),"ò","o"),"ù","u")),"")</f>
        <v/>
      </c>
      <c r="Y194" s="25">
        <f>IF(X194="","",IF(IFERROR(COUNTIF(X$3:X194,"="&amp;SUBSTITUTE(SUBSTITUTE(SUBSTITUTE(X194,"~","~~"),"*","~*"),"?","~?")),0)=1,1,""))</f>
        <v/>
      </c>
      <c r="Z194" s="25">
        <f>IF(T194=1,MAX(Z$2:Z193)+1,"")</f>
        <v/>
      </c>
    </row>
    <row r="195">
      <c r="A195">
        <f>IF(A$2=0,"",IFERROR(TRIM(INDEX('Pegar calibracion'!$A$1:$BZ$1001,194,A$2)&amp;""),""))</f>
        <v/>
      </c>
      <c r="B195">
        <f>IF(B$2=0,"",IFERROR(TRIM(INDEX('Pegar calibracion'!$A$1:$BZ$1001,194,B$2)&amp;""),""))</f>
        <v/>
      </c>
      <c r="C195">
        <f>IF(C$2=0,"",IFERROR(TRIM(INDEX('Pegar calibracion'!$A$1:$BZ$1001,194,C$2)&amp;""),""))</f>
        <v/>
      </c>
      <c r="D195">
        <f>IF(D$2=0,"",IFERROR(TRIM(INDEX('Pegar calibracion'!$A$1:$BZ$1001,194,D$2)&amp;""),""))</f>
        <v/>
      </c>
      <c r="E195">
        <f>IF(E$2=0,"",IFERROR(TRIM(INDEX('Pegar calibracion'!$A$1:$BZ$1001,194,E$2)&amp;""),""))</f>
        <v/>
      </c>
      <c r="F195">
        <f>IF(F$2=0,"",IFERROR(TRIM(INDEX('Pegar calibracion'!$A$1:$BZ$1001,194,F$2)&amp;""),""))</f>
        <v/>
      </c>
      <c r="G195">
        <f>IF(G$2=0,"",IFERROR(TRIM(INDEX('Pegar calibracion'!$A$1:$BZ$1001,194,G$2)&amp;""),""))</f>
        <v/>
      </c>
      <c r="H195">
        <f>IF(H$2=0,"",IFERROR(TRIM(INDEX('Pegar calibracion'!$A$1:$BZ$1001,194,H$2)&amp;""),""))</f>
        <v/>
      </c>
      <c r="I195">
        <f>IF(I$2=0,"",IFERROR(TRIM(INDEX('Pegar calibracion'!$A$1:$BZ$1001,194,I$2)&amp;""),""))</f>
        <v/>
      </c>
      <c r="J195">
        <f>IF(J$2=0,"",IFERROR(TRIM(INDEX('Pegar calibracion'!$A$1:$BZ$1001,194,J$2)&amp;""),""))</f>
        <v/>
      </c>
      <c r="K195">
        <f>IF(K$2=0,"",IFERROR(TRIM(INDEX('Pegar calibracion'!$A$1:$BZ$1001,194,K$2)&amp;""),""))</f>
        <v/>
      </c>
      <c r="L195">
        <f>IF(L$2=0,"",IFERROR(TRIM(INDEX('Pegar calibracion'!$A$1:$BZ$1001,194,L$2)&amp;""),""))</f>
        <v/>
      </c>
      <c r="M195" s="25">
        <f>IF(D195="","",SUBSTITUTE(SUBSTITUTE(SUBSTITUTE(SUBSTITUTE(SUBSTITUTE(SUBSTITUTE(SUBSTITUTE(SUBSTITUTE(SUBSTITUTE(SUBSTITUTE(SUBSTITUTE(SUBSTITUTE(LOWER(TRIM(D195)),"á","a"),"é","e"),"í","i"),"ó","o"),"ú","u"),"ü","u"),"ñ","n"),"à","a"),"è","e"),"ì","i"),"ò","o"),"ù","u"))</f>
        <v/>
      </c>
      <c r="N195" s="25">
        <f>IF(F195="","",SUBSTITUTE(SUBSTITUTE(SUBSTITUTE(SUBSTITUTE(SUBSTITUTE(SUBSTITUTE(SUBSTITUTE(SUBSTITUTE(SUBSTITUTE(SUBSTITUTE(SUBSTITUTE(SUBSTITUTE(LOWER(TRIM(F195)),"á","a"),"é","e"),"í","i"),"ó","o"),"ú","u"),"ü","u"),"ñ","n"),"à","a"),"è","e"),"ì","i"),"ò","o"),"ù","u"))</f>
        <v/>
      </c>
      <c r="O195" s="25">
        <f>IF(M195="confiable",2,IF(M195="dudosa",1,IF(M195="no confiable",0,"")))</f>
        <v/>
      </c>
      <c r="P195" s="25">
        <f>IF(N195="confiable",2,IF(N195="dudosa",1,IF(N195="no confiable",0,"")))</f>
        <v/>
      </c>
      <c r="Q195" s="25">
        <f>IF(AND(ISNUMBER(O195),ISNUMBER(P195)),1,"")</f>
        <v/>
      </c>
      <c r="R195" s="25">
        <f>IF(Q195=1,IF(O195=P195,"Sí","No"),"")</f>
        <v/>
      </c>
      <c r="S195" s="25">
        <f>IF(Q195=1,IF(P195&lt;O195,"Más estricto",IF(P195&gt;O195,"Más permisivo","Igual")),"")</f>
        <v/>
      </c>
      <c r="T195" s="25">
        <f>IF(Q195=1,IF(ABS(O195-P195)=2,1,0),"")</f>
        <v/>
      </c>
      <c r="U195" s="25">
        <f>IF(H195="","","|"&amp;SUBSTITUTE(SUBSTITUTE(TRIM(H195)," |","|"),"| ","|")&amp;"|")</f>
        <v/>
      </c>
      <c r="V195" s="25">
        <f>IF(AND(Q195=1,B195&lt;&gt;""),IF(IFERROR(COUNTIFS(B$3:B195,"="&amp;SUBSTITUTE(SUBSTITUTE(SUBSTITUTE(B195,"~","~~"),"*","~*"),"?","~?"),Q$3:Q195,1),0)=1,MAX(V$2:V194)+1,""),"")</f>
        <v/>
      </c>
      <c r="W195" s="25">
        <f>IF(V195="","",COUNTIFS($B$3:$B$1002,"="&amp;SUBSTITUTE(SUBSTITUTE(SUBSTITUTE(B195,"~","~~"),"*","~*"),"?","~?"),$Q$3:$Q$1002,1)*10000-V195)</f>
        <v/>
      </c>
      <c r="X195" s="25">
        <f>IF(Q195=1,IF(SUBSTITUTE(SUBSTITUTE(SUBSTITUTE(SUBSTITUTE(SUBSTITUTE(SUBSTITUTE(SUBSTITUTE(SUBSTITUTE(SUBSTITUTE(SUBSTITUTE(SUBSTITUTE(SUBSTITUTE(LOWER(TRIM(A195)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195)),"á","a"),"é","e"),"í","i"),"ó","o"),"ú","u"),"ü","u"),"ñ","n"),"à","a"),"è","e"),"ì","i"),"ò","o"),"ù","u")),"")</f>
        <v/>
      </c>
      <c r="Y195" s="25">
        <f>IF(X195="","",IF(IFERROR(COUNTIF(X$3:X195,"="&amp;SUBSTITUTE(SUBSTITUTE(SUBSTITUTE(X195,"~","~~"),"*","~*"),"?","~?")),0)=1,1,""))</f>
        <v/>
      </c>
      <c r="Z195" s="25">
        <f>IF(T195=1,MAX(Z$2:Z194)+1,"")</f>
        <v/>
      </c>
    </row>
    <row r="196">
      <c r="A196">
        <f>IF(A$2=0,"",IFERROR(TRIM(INDEX('Pegar calibracion'!$A$1:$BZ$1001,195,A$2)&amp;""),""))</f>
        <v/>
      </c>
      <c r="B196">
        <f>IF(B$2=0,"",IFERROR(TRIM(INDEX('Pegar calibracion'!$A$1:$BZ$1001,195,B$2)&amp;""),""))</f>
        <v/>
      </c>
      <c r="C196">
        <f>IF(C$2=0,"",IFERROR(TRIM(INDEX('Pegar calibracion'!$A$1:$BZ$1001,195,C$2)&amp;""),""))</f>
        <v/>
      </c>
      <c r="D196">
        <f>IF(D$2=0,"",IFERROR(TRIM(INDEX('Pegar calibracion'!$A$1:$BZ$1001,195,D$2)&amp;""),""))</f>
        <v/>
      </c>
      <c r="E196">
        <f>IF(E$2=0,"",IFERROR(TRIM(INDEX('Pegar calibracion'!$A$1:$BZ$1001,195,E$2)&amp;""),""))</f>
        <v/>
      </c>
      <c r="F196">
        <f>IF(F$2=0,"",IFERROR(TRIM(INDEX('Pegar calibracion'!$A$1:$BZ$1001,195,F$2)&amp;""),""))</f>
        <v/>
      </c>
      <c r="G196">
        <f>IF(G$2=0,"",IFERROR(TRIM(INDEX('Pegar calibracion'!$A$1:$BZ$1001,195,G$2)&amp;""),""))</f>
        <v/>
      </c>
      <c r="H196">
        <f>IF(H$2=0,"",IFERROR(TRIM(INDEX('Pegar calibracion'!$A$1:$BZ$1001,195,H$2)&amp;""),""))</f>
        <v/>
      </c>
      <c r="I196">
        <f>IF(I$2=0,"",IFERROR(TRIM(INDEX('Pegar calibracion'!$A$1:$BZ$1001,195,I$2)&amp;""),""))</f>
        <v/>
      </c>
      <c r="J196">
        <f>IF(J$2=0,"",IFERROR(TRIM(INDEX('Pegar calibracion'!$A$1:$BZ$1001,195,J$2)&amp;""),""))</f>
        <v/>
      </c>
      <c r="K196">
        <f>IF(K$2=0,"",IFERROR(TRIM(INDEX('Pegar calibracion'!$A$1:$BZ$1001,195,K$2)&amp;""),""))</f>
        <v/>
      </c>
      <c r="L196">
        <f>IF(L$2=0,"",IFERROR(TRIM(INDEX('Pegar calibracion'!$A$1:$BZ$1001,195,L$2)&amp;""),""))</f>
        <v/>
      </c>
      <c r="M196" s="25">
        <f>IF(D196="","",SUBSTITUTE(SUBSTITUTE(SUBSTITUTE(SUBSTITUTE(SUBSTITUTE(SUBSTITUTE(SUBSTITUTE(SUBSTITUTE(SUBSTITUTE(SUBSTITUTE(SUBSTITUTE(SUBSTITUTE(LOWER(TRIM(D196)),"á","a"),"é","e"),"í","i"),"ó","o"),"ú","u"),"ü","u"),"ñ","n"),"à","a"),"è","e"),"ì","i"),"ò","o"),"ù","u"))</f>
        <v/>
      </c>
      <c r="N196" s="25">
        <f>IF(F196="","",SUBSTITUTE(SUBSTITUTE(SUBSTITUTE(SUBSTITUTE(SUBSTITUTE(SUBSTITUTE(SUBSTITUTE(SUBSTITUTE(SUBSTITUTE(SUBSTITUTE(SUBSTITUTE(SUBSTITUTE(LOWER(TRIM(F196)),"á","a"),"é","e"),"í","i"),"ó","o"),"ú","u"),"ü","u"),"ñ","n"),"à","a"),"è","e"),"ì","i"),"ò","o"),"ù","u"))</f>
        <v/>
      </c>
      <c r="O196" s="25">
        <f>IF(M196="confiable",2,IF(M196="dudosa",1,IF(M196="no confiable",0,"")))</f>
        <v/>
      </c>
      <c r="P196" s="25">
        <f>IF(N196="confiable",2,IF(N196="dudosa",1,IF(N196="no confiable",0,"")))</f>
        <v/>
      </c>
      <c r="Q196" s="25">
        <f>IF(AND(ISNUMBER(O196),ISNUMBER(P196)),1,"")</f>
        <v/>
      </c>
      <c r="R196" s="25">
        <f>IF(Q196=1,IF(O196=P196,"Sí","No"),"")</f>
        <v/>
      </c>
      <c r="S196" s="25">
        <f>IF(Q196=1,IF(P196&lt;O196,"Más estricto",IF(P196&gt;O196,"Más permisivo","Igual")),"")</f>
        <v/>
      </c>
      <c r="T196" s="25">
        <f>IF(Q196=1,IF(ABS(O196-P196)=2,1,0),"")</f>
        <v/>
      </c>
      <c r="U196" s="25">
        <f>IF(H196="","","|"&amp;SUBSTITUTE(SUBSTITUTE(TRIM(H196)," |","|"),"| ","|")&amp;"|")</f>
        <v/>
      </c>
      <c r="V196" s="25">
        <f>IF(AND(Q196=1,B196&lt;&gt;""),IF(IFERROR(COUNTIFS(B$3:B196,"="&amp;SUBSTITUTE(SUBSTITUTE(SUBSTITUTE(B196,"~","~~"),"*","~*"),"?","~?"),Q$3:Q196,1),0)=1,MAX(V$2:V195)+1,""),"")</f>
        <v/>
      </c>
      <c r="W196" s="25">
        <f>IF(V196="","",COUNTIFS($B$3:$B$1002,"="&amp;SUBSTITUTE(SUBSTITUTE(SUBSTITUTE(B196,"~","~~"),"*","~*"),"?","~?"),$Q$3:$Q$1002,1)*10000-V196)</f>
        <v/>
      </c>
      <c r="X196" s="25">
        <f>IF(Q196=1,IF(SUBSTITUTE(SUBSTITUTE(SUBSTITUTE(SUBSTITUTE(SUBSTITUTE(SUBSTITUTE(SUBSTITUTE(SUBSTITUTE(SUBSTITUTE(SUBSTITUTE(SUBSTITUTE(SUBSTITUTE(LOWER(TRIM(A196)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196)),"á","a"),"é","e"),"í","i"),"ó","o"),"ú","u"),"ü","u"),"ñ","n"),"à","a"),"è","e"),"ì","i"),"ò","o"),"ù","u")),"")</f>
        <v/>
      </c>
      <c r="Y196" s="25">
        <f>IF(X196="","",IF(IFERROR(COUNTIF(X$3:X196,"="&amp;SUBSTITUTE(SUBSTITUTE(SUBSTITUTE(X196,"~","~~"),"*","~*"),"?","~?")),0)=1,1,""))</f>
        <v/>
      </c>
      <c r="Z196" s="25">
        <f>IF(T196=1,MAX(Z$2:Z195)+1,"")</f>
        <v/>
      </c>
    </row>
    <row r="197">
      <c r="A197">
        <f>IF(A$2=0,"",IFERROR(TRIM(INDEX('Pegar calibracion'!$A$1:$BZ$1001,196,A$2)&amp;""),""))</f>
        <v/>
      </c>
      <c r="B197">
        <f>IF(B$2=0,"",IFERROR(TRIM(INDEX('Pegar calibracion'!$A$1:$BZ$1001,196,B$2)&amp;""),""))</f>
        <v/>
      </c>
      <c r="C197">
        <f>IF(C$2=0,"",IFERROR(TRIM(INDEX('Pegar calibracion'!$A$1:$BZ$1001,196,C$2)&amp;""),""))</f>
        <v/>
      </c>
      <c r="D197">
        <f>IF(D$2=0,"",IFERROR(TRIM(INDEX('Pegar calibracion'!$A$1:$BZ$1001,196,D$2)&amp;""),""))</f>
        <v/>
      </c>
      <c r="E197">
        <f>IF(E$2=0,"",IFERROR(TRIM(INDEX('Pegar calibracion'!$A$1:$BZ$1001,196,E$2)&amp;""),""))</f>
        <v/>
      </c>
      <c r="F197">
        <f>IF(F$2=0,"",IFERROR(TRIM(INDEX('Pegar calibracion'!$A$1:$BZ$1001,196,F$2)&amp;""),""))</f>
        <v/>
      </c>
      <c r="G197">
        <f>IF(G$2=0,"",IFERROR(TRIM(INDEX('Pegar calibracion'!$A$1:$BZ$1001,196,G$2)&amp;""),""))</f>
        <v/>
      </c>
      <c r="H197">
        <f>IF(H$2=0,"",IFERROR(TRIM(INDEX('Pegar calibracion'!$A$1:$BZ$1001,196,H$2)&amp;""),""))</f>
        <v/>
      </c>
      <c r="I197">
        <f>IF(I$2=0,"",IFERROR(TRIM(INDEX('Pegar calibracion'!$A$1:$BZ$1001,196,I$2)&amp;""),""))</f>
        <v/>
      </c>
      <c r="J197">
        <f>IF(J$2=0,"",IFERROR(TRIM(INDEX('Pegar calibracion'!$A$1:$BZ$1001,196,J$2)&amp;""),""))</f>
        <v/>
      </c>
      <c r="K197">
        <f>IF(K$2=0,"",IFERROR(TRIM(INDEX('Pegar calibracion'!$A$1:$BZ$1001,196,K$2)&amp;""),""))</f>
        <v/>
      </c>
      <c r="L197">
        <f>IF(L$2=0,"",IFERROR(TRIM(INDEX('Pegar calibracion'!$A$1:$BZ$1001,196,L$2)&amp;""),""))</f>
        <v/>
      </c>
      <c r="M197" s="25">
        <f>IF(D197="","",SUBSTITUTE(SUBSTITUTE(SUBSTITUTE(SUBSTITUTE(SUBSTITUTE(SUBSTITUTE(SUBSTITUTE(SUBSTITUTE(SUBSTITUTE(SUBSTITUTE(SUBSTITUTE(SUBSTITUTE(LOWER(TRIM(D197)),"á","a"),"é","e"),"í","i"),"ó","o"),"ú","u"),"ü","u"),"ñ","n"),"à","a"),"è","e"),"ì","i"),"ò","o"),"ù","u"))</f>
        <v/>
      </c>
      <c r="N197" s="25">
        <f>IF(F197="","",SUBSTITUTE(SUBSTITUTE(SUBSTITUTE(SUBSTITUTE(SUBSTITUTE(SUBSTITUTE(SUBSTITUTE(SUBSTITUTE(SUBSTITUTE(SUBSTITUTE(SUBSTITUTE(SUBSTITUTE(LOWER(TRIM(F197)),"á","a"),"é","e"),"í","i"),"ó","o"),"ú","u"),"ü","u"),"ñ","n"),"à","a"),"è","e"),"ì","i"),"ò","o"),"ù","u"))</f>
        <v/>
      </c>
      <c r="O197" s="25">
        <f>IF(M197="confiable",2,IF(M197="dudosa",1,IF(M197="no confiable",0,"")))</f>
        <v/>
      </c>
      <c r="P197" s="25">
        <f>IF(N197="confiable",2,IF(N197="dudosa",1,IF(N197="no confiable",0,"")))</f>
        <v/>
      </c>
      <c r="Q197" s="25">
        <f>IF(AND(ISNUMBER(O197),ISNUMBER(P197)),1,"")</f>
        <v/>
      </c>
      <c r="R197" s="25">
        <f>IF(Q197=1,IF(O197=P197,"Sí","No"),"")</f>
        <v/>
      </c>
      <c r="S197" s="25">
        <f>IF(Q197=1,IF(P197&lt;O197,"Más estricto",IF(P197&gt;O197,"Más permisivo","Igual")),"")</f>
        <v/>
      </c>
      <c r="T197" s="25">
        <f>IF(Q197=1,IF(ABS(O197-P197)=2,1,0),"")</f>
        <v/>
      </c>
      <c r="U197" s="25">
        <f>IF(H197="","","|"&amp;SUBSTITUTE(SUBSTITUTE(TRIM(H197)," |","|"),"| ","|")&amp;"|")</f>
        <v/>
      </c>
      <c r="V197" s="25">
        <f>IF(AND(Q197=1,B197&lt;&gt;""),IF(IFERROR(COUNTIFS(B$3:B197,"="&amp;SUBSTITUTE(SUBSTITUTE(SUBSTITUTE(B197,"~","~~"),"*","~*"),"?","~?"),Q$3:Q197,1),0)=1,MAX(V$2:V196)+1,""),"")</f>
        <v/>
      </c>
      <c r="W197" s="25">
        <f>IF(V197="","",COUNTIFS($B$3:$B$1002,"="&amp;SUBSTITUTE(SUBSTITUTE(SUBSTITUTE(B197,"~","~~"),"*","~*"),"?","~?"),$Q$3:$Q$1002,1)*10000-V197)</f>
        <v/>
      </c>
      <c r="X197" s="25">
        <f>IF(Q197=1,IF(SUBSTITUTE(SUBSTITUTE(SUBSTITUTE(SUBSTITUTE(SUBSTITUTE(SUBSTITUTE(SUBSTITUTE(SUBSTITUTE(SUBSTITUTE(SUBSTITUTE(SUBSTITUTE(SUBSTITUTE(LOWER(TRIM(A197)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197)),"á","a"),"é","e"),"í","i"),"ó","o"),"ú","u"),"ü","u"),"ñ","n"),"à","a"),"è","e"),"ì","i"),"ò","o"),"ù","u")),"")</f>
        <v/>
      </c>
      <c r="Y197" s="25">
        <f>IF(X197="","",IF(IFERROR(COUNTIF(X$3:X197,"="&amp;SUBSTITUTE(SUBSTITUTE(SUBSTITUTE(X197,"~","~~"),"*","~*"),"?","~?")),0)=1,1,""))</f>
        <v/>
      </c>
      <c r="Z197" s="25">
        <f>IF(T197=1,MAX(Z$2:Z196)+1,"")</f>
        <v/>
      </c>
    </row>
    <row r="198">
      <c r="A198">
        <f>IF(A$2=0,"",IFERROR(TRIM(INDEX('Pegar calibracion'!$A$1:$BZ$1001,197,A$2)&amp;""),""))</f>
        <v/>
      </c>
      <c r="B198">
        <f>IF(B$2=0,"",IFERROR(TRIM(INDEX('Pegar calibracion'!$A$1:$BZ$1001,197,B$2)&amp;""),""))</f>
        <v/>
      </c>
      <c r="C198">
        <f>IF(C$2=0,"",IFERROR(TRIM(INDEX('Pegar calibracion'!$A$1:$BZ$1001,197,C$2)&amp;""),""))</f>
        <v/>
      </c>
      <c r="D198">
        <f>IF(D$2=0,"",IFERROR(TRIM(INDEX('Pegar calibracion'!$A$1:$BZ$1001,197,D$2)&amp;""),""))</f>
        <v/>
      </c>
      <c r="E198">
        <f>IF(E$2=0,"",IFERROR(TRIM(INDEX('Pegar calibracion'!$A$1:$BZ$1001,197,E$2)&amp;""),""))</f>
        <v/>
      </c>
      <c r="F198">
        <f>IF(F$2=0,"",IFERROR(TRIM(INDEX('Pegar calibracion'!$A$1:$BZ$1001,197,F$2)&amp;""),""))</f>
        <v/>
      </c>
      <c r="G198">
        <f>IF(G$2=0,"",IFERROR(TRIM(INDEX('Pegar calibracion'!$A$1:$BZ$1001,197,G$2)&amp;""),""))</f>
        <v/>
      </c>
      <c r="H198">
        <f>IF(H$2=0,"",IFERROR(TRIM(INDEX('Pegar calibracion'!$A$1:$BZ$1001,197,H$2)&amp;""),""))</f>
        <v/>
      </c>
      <c r="I198">
        <f>IF(I$2=0,"",IFERROR(TRIM(INDEX('Pegar calibracion'!$A$1:$BZ$1001,197,I$2)&amp;""),""))</f>
        <v/>
      </c>
      <c r="J198">
        <f>IF(J$2=0,"",IFERROR(TRIM(INDEX('Pegar calibracion'!$A$1:$BZ$1001,197,J$2)&amp;""),""))</f>
        <v/>
      </c>
      <c r="K198">
        <f>IF(K$2=0,"",IFERROR(TRIM(INDEX('Pegar calibracion'!$A$1:$BZ$1001,197,K$2)&amp;""),""))</f>
        <v/>
      </c>
      <c r="L198">
        <f>IF(L$2=0,"",IFERROR(TRIM(INDEX('Pegar calibracion'!$A$1:$BZ$1001,197,L$2)&amp;""),""))</f>
        <v/>
      </c>
      <c r="M198" s="25">
        <f>IF(D198="","",SUBSTITUTE(SUBSTITUTE(SUBSTITUTE(SUBSTITUTE(SUBSTITUTE(SUBSTITUTE(SUBSTITUTE(SUBSTITUTE(SUBSTITUTE(SUBSTITUTE(SUBSTITUTE(SUBSTITUTE(LOWER(TRIM(D198)),"á","a"),"é","e"),"í","i"),"ó","o"),"ú","u"),"ü","u"),"ñ","n"),"à","a"),"è","e"),"ì","i"),"ò","o"),"ù","u"))</f>
        <v/>
      </c>
      <c r="N198" s="25">
        <f>IF(F198="","",SUBSTITUTE(SUBSTITUTE(SUBSTITUTE(SUBSTITUTE(SUBSTITUTE(SUBSTITUTE(SUBSTITUTE(SUBSTITUTE(SUBSTITUTE(SUBSTITUTE(SUBSTITUTE(SUBSTITUTE(LOWER(TRIM(F198)),"á","a"),"é","e"),"í","i"),"ó","o"),"ú","u"),"ü","u"),"ñ","n"),"à","a"),"è","e"),"ì","i"),"ò","o"),"ù","u"))</f>
        <v/>
      </c>
      <c r="O198" s="25">
        <f>IF(M198="confiable",2,IF(M198="dudosa",1,IF(M198="no confiable",0,"")))</f>
        <v/>
      </c>
      <c r="P198" s="25">
        <f>IF(N198="confiable",2,IF(N198="dudosa",1,IF(N198="no confiable",0,"")))</f>
        <v/>
      </c>
      <c r="Q198" s="25">
        <f>IF(AND(ISNUMBER(O198),ISNUMBER(P198)),1,"")</f>
        <v/>
      </c>
      <c r="R198" s="25">
        <f>IF(Q198=1,IF(O198=P198,"Sí","No"),"")</f>
        <v/>
      </c>
      <c r="S198" s="25">
        <f>IF(Q198=1,IF(P198&lt;O198,"Más estricto",IF(P198&gt;O198,"Más permisivo","Igual")),"")</f>
        <v/>
      </c>
      <c r="T198" s="25">
        <f>IF(Q198=1,IF(ABS(O198-P198)=2,1,0),"")</f>
        <v/>
      </c>
      <c r="U198" s="25">
        <f>IF(H198="","","|"&amp;SUBSTITUTE(SUBSTITUTE(TRIM(H198)," |","|"),"| ","|")&amp;"|")</f>
        <v/>
      </c>
      <c r="V198" s="25">
        <f>IF(AND(Q198=1,B198&lt;&gt;""),IF(IFERROR(COUNTIFS(B$3:B198,"="&amp;SUBSTITUTE(SUBSTITUTE(SUBSTITUTE(B198,"~","~~"),"*","~*"),"?","~?"),Q$3:Q198,1),0)=1,MAX(V$2:V197)+1,""),"")</f>
        <v/>
      </c>
      <c r="W198" s="25">
        <f>IF(V198="","",COUNTIFS($B$3:$B$1002,"="&amp;SUBSTITUTE(SUBSTITUTE(SUBSTITUTE(B198,"~","~~"),"*","~*"),"?","~?"),$Q$3:$Q$1002,1)*10000-V198)</f>
        <v/>
      </c>
      <c r="X198" s="25">
        <f>IF(Q198=1,IF(SUBSTITUTE(SUBSTITUTE(SUBSTITUTE(SUBSTITUTE(SUBSTITUTE(SUBSTITUTE(SUBSTITUTE(SUBSTITUTE(SUBSTITUTE(SUBSTITUTE(SUBSTITUTE(SUBSTITUTE(LOWER(TRIM(A198)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198)),"á","a"),"é","e"),"í","i"),"ó","o"),"ú","u"),"ü","u"),"ñ","n"),"à","a"),"è","e"),"ì","i"),"ò","o"),"ù","u")),"")</f>
        <v/>
      </c>
      <c r="Y198" s="25">
        <f>IF(X198="","",IF(IFERROR(COUNTIF(X$3:X198,"="&amp;SUBSTITUTE(SUBSTITUTE(SUBSTITUTE(X198,"~","~~"),"*","~*"),"?","~?")),0)=1,1,""))</f>
        <v/>
      </c>
      <c r="Z198" s="25">
        <f>IF(T198=1,MAX(Z$2:Z197)+1,"")</f>
        <v/>
      </c>
    </row>
    <row r="199">
      <c r="A199">
        <f>IF(A$2=0,"",IFERROR(TRIM(INDEX('Pegar calibracion'!$A$1:$BZ$1001,198,A$2)&amp;""),""))</f>
        <v/>
      </c>
      <c r="B199">
        <f>IF(B$2=0,"",IFERROR(TRIM(INDEX('Pegar calibracion'!$A$1:$BZ$1001,198,B$2)&amp;""),""))</f>
        <v/>
      </c>
      <c r="C199">
        <f>IF(C$2=0,"",IFERROR(TRIM(INDEX('Pegar calibracion'!$A$1:$BZ$1001,198,C$2)&amp;""),""))</f>
        <v/>
      </c>
      <c r="D199">
        <f>IF(D$2=0,"",IFERROR(TRIM(INDEX('Pegar calibracion'!$A$1:$BZ$1001,198,D$2)&amp;""),""))</f>
        <v/>
      </c>
      <c r="E199">
        <f>IF(E$2=0,"",IFERROR(TRIM(INDEX('Pegar calibracion'!$A$1:$BZ$1001,198,E$2)&amp;""),""))</f>
        <v/>
      </c>
      <c r="F199">
        <f>IF(F$2=0,"",IFERROR(TRIM(INDEX('Pegar calibracion'!$A$1:$BZ$1001,198,F$2)&amp;""),""))</f>
        <v/>
      </c>
      <c r="G199">
        <f>IF(G$2=0,"",IFERROR(TRIM(INDEX('Pegar calibracion'!$A$1:$BZ$1001,198,G$2)&amp;""),""))</f>
        <v/>
      </c>
      <c r="H199">
        <f>IF(H$2=0,"",IFERROR(TRIM(INDEX('Pegar calibracion'!$A$1:$BZ$1001,198,H$2)&amp;""),""))</f>
        <v/>
      </c>
      <c r="I199">
        <f>IF(I$2=0,"",IFERROR(TRIM(INDEX('Pegar calibracion'!$A$1:$BZ$1001,198,I$2)&amp;""),""))</f>
        <v/>
      </c>
      <c r="J199">
        <f>IF(J$2=0,"",IFERROR(TRIM(INDEX('Pegar calibracion'!$A$1:$BZ$1001,198,J$2)&amp;""),""))</f>
        <v/>
      </c>
      <c r="K199">
        <f>IF(K$2=0,"",IFERROR(TRIM(INDEX('Pegar calibracion'!$A$1:$BZ$1001,198,K$2)&amp;""),""))</f>
        <v/>
      </c>
      <c r="L199">
        <f>IF(L$2=0,"",IFERROR(TRIM(INDEX('Pegar calibracion'!$A$1:$BZ$1001,198,L$2)&amp;""),""))</f>
        <v/>
      </c>
      <c r="M199" s="25">
        <f>IF(D199="","",SUBSTITUTE(SUBSTITUTE(SUBSTITUTE(SUBSTITUTE(SUBSTITUTE(SUBSTITUTE(SUBSTITUTE(SUBSTITUTE(SUBSTITUTE(SUBSTITUTE(SUBSTITUTE(SUBSTITUTE(LOWER(TRIM(D199)),"á","a"),"é","e"),"í","i"),"ó","o"),"ú","u"),"ü","u"),"ñ","n"),"à","a"),"è","e"),"ì","i"),"ò","o"),"ù","u"))</f>
        <v/>
      </c>
      <c r="N199" s="25">
        <f>IF(F199="","",SUBSTITUTE(SUBSTITUTE(SUBSTITUTE(SUBSTITUTE(SUBSTITUTE(SUBSTITUTE(SUBSTITUTE(SUBSTITUTE(SUBSTITUTE(SUBSTITUTE(SUBSTITUTE(SUBSTITUTE(LOWER(TRIM(F199)),"á","a"),"é","e"),"í","i"),"ó","o"),"ú","u"),"ü","u"),"ñ","n"),"à","a"),"è","e"),"ì","i"),"ò","o"),"ù","u"))</f>
        <v/>
      </c>
      <c r="O199" s="25">
        <f>IF(M199="confiable",2,IF(M199="dudosa",1,IF(M199="no confiable",0,"")))</f>
        <v/>
      </c>
      <c r="P199" s="25">
        <f>IF(N199="confiable",2,IF(N199="dudosa",1,IF(N199="no confiable",0,"")))</f>
        <v/>
      </c>
      <c r="Q199" s="25">
        <f>IF(AND(ISNUMBER(O199),ISNUMBER(P199)),1,"")</f>
        <v/>
      </c>
      <c r="R199" s="25">
        <f>IF(Q199=1,IF(O199=P199,"Sí","No"),"")</f>
        <v/>
      </c>
      <c r="S199" s="25">
        <f>IF(Q199=1,IF(P199&lt;O199,"Más estricto",IF(P199&gt;O199,"Más permisivo","Igual")),"")</f>
        <v/>
      </c>
      <c r="T199" s="25">
        <f>IF(Q199=1,IF(ABS(O199-P199)=2,1,0),"")</f>
        <v/>
      </c>
      <c r="U199" s="25">
        <f>IF(H199="","","|"&amp;SUBSTITUTE(SUBSTITUTE(TRIM(H199)," |","|"),"| ","|")&amp;"|")</f>
        <v/>
      </c>
      <c r="V199" s="25">
        <f>IF(AND(Q199=1,B199&lt;&gt;""),IF(IFERROR(COUNTIFS(B$3:B199,"="&amp;SUBSTITUTE(SUBSTITUTE(SUBSTITUTE(B199,"~","~~"),"*","~*"),"?","~?"),Q$3:Q199,1),0)=1,MAX(V$2:V198)+1,""),"")</f>
        <v/>
      </c>
      <c r="W199" s="25">
        <f>IF(V199="","",COUNTIFS($B$3:$B$1002,"="&amp;SUBSTITUTE(SUBSTITUTE(SUBSTITUTE(B199,"~","~~"),"*","~*"),"?","~?"),$Q$3:$Q$1002,1)*10000-V199)</f>
        <v/>
      </c>
      <c r="X199" s="25">
        <f>IF(Q199=1,IF(SUBSTITUTE(SUBSTITUTE(SUBSTITUTE(SUBSTITUTE(SUBSTITUTE(SUBSTITUTE(SUBSTITUTE(SUBSTITUTE(SUBSTITUTE(SUBSTITUTE(SUBSTITUTE(SUBSTITUTE(LOWER(TRIM(A199)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199)),"á","a"),"é","e"),"í","i"),"ó","o"),"ú","u"),"ü","u"),"ñ","n"),"à","a"),"è","e"),"ì","i"),"ò","o"),"ù","u")),"")</f>
        <v/>
      </c>
      <c r="Y199" s="25">
        <f>IF(X199="","",IF(IFERROR(COUNTIF(X$3:X199,"="&amp;SUBSTITUTE(SUBSTITUTE(SUBSTITUTE(X199,"~","~~"),"*","~*"),"?","~?")),0)=1,1,""))</f>
        <v/>
      </c>
      <c r="Z199" s="25">
        <f>IF(T199=1,MAX(Z$2:Z198)+1,"")</f>
        <v/>
      </c>
    </row>
    <row r="200">
      <c r="A200">
        <f>IF(A$2=0,"",IFERROR(TRIM(INDEX('Pegar calibracion'!$A$1:$BZ$1001,199,A$2)&amp;""),""))</f>
        <v/>
      </c>
      <c r="B200">
        <f>IF(B$2=0,"",IFERROR(TRIM(INDEX('Pegar calibracion'!$A$1:$BZ$1001,199,B$2)&amp;""),""))</f>
        <v/>
      </c>
      <c r="C200">
        <f>IF(C$2=0,"",IFERROR(TRIM(INDEX('Pegar calibracion'!$A$1:$BZ$1001,199,C$2)&amp;""),""))</f>
        <v/>
      </c>
      <c r="D200">
        <f>IF(D$2=0,"",IFERROR(TRIM(INDEX('Pegar calibracion'!$A$1:$BZ$1001,199,D$2)&amp;""),""))</f>
        <v/>
      </c>
      <c r="E200">
        <f>IF(E$2=0,"",IFERROR(TRIM(INDEX('Pegar calibracion'!$A$1:$BZ$1001,199,E$2)&amp;""),""))</f>
        <v/>
      </c>
      <c r="F200">
        <f>IF(F$2=0,"",IFERROR(TRIM(INDEX('Pegar calibracion'!$A$1:$BZ$1001,199,F$2)&amp;""),""))</f>
        <v/>
      </c>
      <c r="G200">
        <f>IF(G$2=0,"",IFERROR(TRIM(INDEX('Pegar calibracion'!$A$1:$BZ$1001,199,G$2)&amp;""),""))</f>
        <v/>
      </c>
      <c r="H200">
        <f>IF(H$2=0,"",IFERROR(TRIM(INDEX('Pegar calibracion'!$A$1:$BZ$1001,199,H$2)&amp;""),""))</f>
        <v/>
      </c>
      <c r="I200">
        <f>IF(I$2=0,"",IFERROR(TRIM(INDEX('Pegar calibracion'!$A$1:$BZ$1001,199,I$2)&amp;""),""))</f>
        <v/>
      </c>
      <c r="J200">
        <f>IF(J$2=0,"",IFERROR(TRIM(INDEX('Pegar calibracion'!$A$1:$BZ$1001,199,J$2)&amp;""),""))</f>
        <v/>
      </c>
      <c r="K200">
        <f>IF(K$2=0,"",IFERROR(TRIM(INDEX('Pegar calibracion'!$A$1:$BZ$1001,199,K$2)&amp;""),""))</f>
        <v/>
      </c>
      <c r="L200">
        <f>IF(L$2=0,"",IFERROR(TRIM(INDEX('Pegar calibracion'!$A$1:$BZ$1001,199,L$2)&amp;""),""))</f>
        <v/>
      </c>
      <c r="M200" s="25">
        <f>IF(D200="","",SUBSTITUTE(SUBSTITUTE(SUBSTITUTE(SUBSTITUTE(SUBSTITUTE(SUBSTITUTE(SUBSTITUTE(SUBSTITUTE(SUBSTITUTE(SUBSTITUTE(SUBSTITUTE(SUBSTITUTE(LOWER(TRIM(D200)),"á","a"),"é","e"),"í","i"),"ó","o"),"ú","u"),"ü","u"),"ñ","n"),"à","a"),"è","e"),"ì","i"),"ò","o"),"ù","u"))</f>
        <v/>
      </c>
      <c r="N200" s="25">
        <f>IF(F200="","",SUBSTITUTE(SUBSTITUTE(SUBSTITUTE(SUBSTITUTE(SUBSTITUTE(SUBSTITUTE(SUBSTITUTE(SUBSTITUTE(SUBSTITUTE(SUBSTITUTE(SUBSTITUTE(SUBSTITUTE(LOWER(TRIM(F200)),"á","a"),"é","e"),"í","i"),"ó","o"),"ú","u"),"ü","u"),"ñ","n"),"à","a"),"è","e"),"ì","i"),"ò","o"),"ù","u"))</f>
        <v/>
      </c>
      <c r="O200" s="25">
        <f>IF(M200="confiable",2,IF(M200="dudosa",1,IF(M200="no confiable",0,"")))</f>
        <v/>
      </c>
      <c r="P200" s="25">
        <f>IF(N200="confiable",2,IF(N200="dudosa",1,IF(N200="no confiable",0,"")))</f>
        <v/>
      </c>
      <c r="Q200" s="25">
        <f>IF(AND(ISNUMBER(O200),ISNUMBER(P200)),1,"")</f>
        <v/>
      </c>
      <c r="R200" s="25">
        <f>IF(Q200=1,IF(O200=P200,"Sí","No"),"")</f>
        <v/>
      </c>
      <c r="S200" s="25">
        <f>IF(Q200=1,IF(P200&lt;O200,"Más estricto",IF(P200&gt;O200,"Más permisivo","Igual")),"")</f>
        <v/>
      </c>
      <c r="T200" s="25">
        <f>IF(Q200=1,IF(ABS(O200-P200)=2,1,0),"")</f>
        <v/>
      </c>
      <c r="U200" s="25">
        <f>IF(H200="","","|"&amp;SUBSTITUTE(SUBSTITUTE(TRIM(H200)," |","|"),"| ","|")&amp;"|")</f>
        <v/>
      </c>
      <c r="V200" s="25">
        <f>IF(AND(Q200=1,B200&lt;&gt;""),IF(IFERROR(COUNTIFS(B$3:B200,"="&amp;SUBSTITUTE(SUBSTITUTE(SUBSTITUTE(B200,"~","~~"),"*","~*"),"?","~?"),Q$3:Q200,1),0)=1,MAX(V$2:V199)+1,""),"")</f>
        <v/>
      </c>
      <c r="W200" s="25">
        <f>IF(V200="","",COUNTIFS($B$3:$B$1002,"="&amp;SUBSTITUTE(SUBSTITUTE(SUBSTITUTE(B200,"~","~~"),"*","~*"),"?","~?"),$Q$3:$Q$1002,1)*10000-V200)</f>
        <v/>
      </c>
      <c r="X200" s="25">
        <f>IF(Q200=1,IF(SUBSTITUTE(SUBSTITUTE(SUBSTITUTE(SUBSTITUTE(SUBSTITUTE(SUBSTITUTE(SUBSTITUTE(SUBSTITUTE(SUBSTITUTE(SUBSTITUTE(SUBSTITUTE(SUBSTITUTE(LOWER(TRIM(A200)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200)),"á","a"),"é","e"),"í","i"),"ó","o"),"ú","u"),"ü","u"),"ñ","n"),"à","a"),"è","e"),"ì","i"),"ò","o"),"ù","u")),"")</f>
        <v/>
      </c>
      <c r="Y200" s="25">
        <f>IF(X200="","",IF(IFERROR(COUNTIF(X$3:X200,"="&amp;SUBSTITUTE(SUBSTITUTE(SUBSTITUTE(X200,"~","~~"),"*","~*"),"?","~?")),0)=1,1,""))</f>
        <v/>
      </c>
      <c r="Z200" s="25">
        <f>IF(T200=1,MAX(Z$2:Z199)+1,"")</f>
        <v/>
      </c>
    </row>
    <row r="201">
      <c r="A201">
        <f>IF(A$2=0,"",IFERROR(TRIM(INDEX('Pegar calibracion'!$A$1:$BZ$1001,200,A$2)&amp;""),""))</f>
        <v/>
      </c>
      <c r="B201">
        <f>IF(B$2=0,"",IFERROR(TRIM(INDEX('Pegar calibracion'!$A$1:$BZ$1001,200,B$2)&amp;""),""))</f>
        <v/>
      </c>
      <c r="C201">
        <f>IF(C$2=0,"",IFERROR(TRIM(INDEX('Pegar calibracion'!$A$1:$BZ$1001,200,C$2)&amp;""),""))</f>
        <v/>
      </c>
      <c r="D201">
        <f>IF(D$2=0,"",IFERROR(TRIM(INDEX('Pegar calibracion'!$A$1:$BZ$1001,200,D$2)&amp;""),""))</f>
        <v/>
      </c>
      <c r="E201">
        <f>IF(E$2=0,"",IFERROR(TRIM(INDEX('Pegar calibracion'!$A$1:$BZ$1001,200,E$2)&amp;""),""))</f>
        <v/>
      </c>
      <c r="F201">
        <f>IF(F$2=0,"",IFERROR(TRIM(INDEX('Pegar calibracion'!$A$1:$BZ$1001,200,F$2)&amp;""),""))</f>
        <v/>
      </c>
      <c r="G201">
        <f>IF(G$2=0,"",IFERROR(TRIM(INDEX('Pegar calibracion'!$A$1:$BZ$1001,200,G$2)&amp;""),""))</f>
        <v/>
      </c>
      <c r="H201">
        <f>IF(H$2=0,"",IFERROR(TRIM(INDEX('Pegar calibracion'!$A$1:$BZ$1001,200,H$2)&amp;""),""))</f>
        <v/>
      </c>
      <c r="I201">
        <f>IF(I$2=0,"",IFERROR(TRIM(INDEX('Pegar calibracion'!$A$1:$BZ$1001,200,I$2)&amp;""),""))</f>
        <v/>
      </c>
      <c r="J201">
        <f>IF(J$2=0,"",IFERROR(TRIM(INDEX('Pegar calibracion'!$A$1:$BZ$1001,200,J$2)&amp;""),""))</f>
        <v/>
      </c>
      <c r="K201">
        <f>IF(K$2=0,"",IFERROR(TRIM(INDEX('Pegar calibracion'!$A$1:$BZ$1001,200,K$2)&amp;""),""))</f>
        <v/>
      </c>
      <c r="L201">
        <f>IF(L$2=0,"",IFERROR(TRIM(INDEX('Pegar calibracion'!$A$1:$BZ$1001,200,L$2)&amp;""),""))</f>
        <v/>
      </c>
      <c r="M201" s="25">
        <f>IF(D201="","",SUBSTITUTE(SUBSTITUTE(SUBSTITUTE(SUBSTITUTE(SUBSTITUTE(SUBSTITUTE(SUBSTITUTE(SUBSTITUTE(SUBSTITUTE(SUBSTITUTE(SUBSTITUTE(SUBSTITUTE(LOWER(TRIM(D201)),"á","a"),"é","e"),"í","i"),"ó","o"),"ú","u"),"ü","u"),"ñ","n"),"à","a"),"è","e"),"ì","i"),"ò","o"),"ù","u"))</f>
        <v/>
      </c>
      <c r="N201" s="25">
        <f>IF(F201="","",SUBSTITUTE(SUBSTITUTE(SUBSTITUTE(SUBSTITUTE(SUBSTITUTE(SUBSTITUTE(SUBSTITUTE(SUBSTITUTE(SUBSTITUTE(SUBSTITUTE(SUBSTITUTE(SUBSTITUTE(LOWER(TRIM(F201)),"á","a"),"é","e"),"í","i"),"ó","o"),"ú","u"),"ü","u"),"ñ","n"),"à","a"),"è","e"),"ì","i"),"ò","o"),"ù","u"))</f>
        <v/>
      </c>
      <c r="O201" s="25">
        <f>IF(M201="confiable",2,IF(M201="dudosa",1,IF(M201="no confiable",0,"")))</f>
        <v/>
      </c>
      <c r="P201" s="25">
        <f>IF(N201="confiable",2,IF(N201="dudosa",1,IF(N201="no confiable",0,"")))</f>
        <v/>
      </c>
      <c r="Q201" s="25">
        <f>IF(AND(ISNUMBER(O201),ISNUMBER(P201)),1,"")</f>
        <v/>
      </c>
      <c r="R201" s="25">
        <f>IF(Q201=1,IF(O201=P201,"Sí","No"),"")</f>
        <v/>
      </c>
      <c r="S201" s="25">
        <f>IF(Q201=1,IF(P201&lt;O201,"Más estricto",IF(P201&gt;O201,"Más permisivo","Igual")),"")</f>
        <v/>
      </c>
      <c r="T201" s="25">
        <f>IF(Q201=1,IF(ABS(O201-P201)=2,1,0),"")</f>
        <v/>
      </c>
      <c r="U201" s="25">
        <f>IF(H201="","","|"&amp;SUBSTITUTE(SUBSTITUTE(TRIM(H201)," |","|"),"| ","|")&amp;"|")</f>
        <v/>
      </c>
      <c r="V201" s="25">
        <f>IF(AND(Q201=1,B201&lt;&gt;""),IF(IFERROR(COUNTIFS(B$3:B201,"="&amp;SUBSTITUTE(SUBSTITUTE(SUBSTITUTE(B201,"~","~~"),"*","~*"),"?","~?"),Q$3:Q201,1),0)=1,MAX(V$2:V200)+1,""),"")</f>
        <v/>
      </c>
      <c r="W201" s="25">
        <f>IF(V201="","",COUNTIFS($B$3:$B$1002,"="&amp;SUBSTITUTE(SUBSTITUTE(SUBSTITUTE(B201,"~","~~"),"*","~*"),"?","~?"),$Q$3:$Q$1002,1)*10000-V201)</f>
        <v/>
      </c>
      <c r="X201" s="25">
        <f>IF(Q201=1,IF(SUBSTITUTE(SUBSTITUTE(SUBSTITUTE(SUBSTITUTE(SUBSTITUTE(SUBSTITUTE(SUBSTITUTE(SUBSTITUTE(SUBSTITUTE(SUBSTITUTE(SUBSTITUTE(SUBSTITUTE(LOWER(TRIM(A201)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201)),"á","a"),"é","e"),"í","i"),"ó","o"),"ú","u"),"ü","u"),"ñ","n"),"à","a"),"è","e"),"ì","i"),"ò","o"),"ù","u")),"")</f>
        <v/>
      </c>
      <c r="Y201" s="25">
        <f>IF(X201="","",IF(IFERROR(COUNTIF(X$3:X201,"="&amp;SUBSTITUTE(SUBSTITUTE(SUBSTITUTE(X201,"~","~~"),"*","~*"),"?","~?")),0)=1,1,""))</f>
        <v/>
      </c>
      <c r="Z201" s="25">
        <f>IF(T201=1,MAX(Z$2:Z200)+1,"")</f>
        <v/>
      </c>
    </row>
    <row r="202">
      <c r="A202">
        <f>IF(A$2=0,"",IFERROR(TRIM(INDEX('Pegar calibracion'!$A$1:$BZ$1001,201,A$2)&amp;""),""))</f>
        <v/>
      </c>
      <c r="B202">
        <f>IF(B$2=0,"",IFERROR(TRIM(INDEX('Pegar calibracion'!$A$1:$BZ$1001,201,B$2)&amp;""),""))</f>
        <v/>
      </c>
      <c r="C202">
        <f>IF(C$2=0,"",IFERROR(TRIM(INDEX('Pegar calibracion'!$A$1:$BZ$1001,201,C$2)&amp;""),""))</f>
        <v/>
      </c>
      <c r="D202">
        <f>IF(D$2=0,"",IFERROR(TRIM(INDEX('Pegar calibracion'!$A$1:$BZ$1001,201,D$2)&amp;""),""))</f>
        <v/>
      </c>
      <c r="E202">
        <f>IF(E$2=0,"",IFERROR(TRIM(INDEX('Pegar calibracion'!$A$1:$BZ$1001,201,E$2)&amp;""),""))</f>
        <v/>
      </c>
      <c r="F202">
        <f>IF(F$2=0,"",IFERROR(TRIM(INDEX('Pegar calibracion'!$A$1:$BZ$1001,201,F$2)&amp;""),""))</f>
        <v/>
      </c>
      <c r="G202">
        <f>IF(G$2=0,"",IFERROR(TRIM(INDEX('Pegar calibracion'!$A$1:$BZ$1001,201,G$2)&amp;""),""))</f>
        <v/>
      </c>
      <c r="H202">
        <f>IF(H$2=0,"",IFERROR(TRIM(INDEX('Pegar calibracion'!$A$1:$BZ$1001,201,H$2)&amp;""),""))</f>
        <v/>
      </c>
      <c r="I202">
        <f>IF(I$2=0,"",IFERROR(TRIM(INDEX('Pegar calibracion'!$A$1:$BZ$1001,201,I$2)&amp;""),""))</f>
        <v/>
      </c>
      <c r="J202">
        <f>IF(J$2=0,"",IFERROR(TRIM(INDEX('Pegar calibracion'!$A$1:$BZ$1001,201,J$2)&amp;""),""))</f>
        <v/>
      </c>
      <c r="K202">
        <f>IF(K$2=0,"",IFERROR(TRIM(INDEX('Pegar calibracion'!$A$1:$BZ$1001,201,K$2)&amp;""),""))</f>
        <v/>
      </c>
      <c r="L202">
        <f>IF(L$2=0,"",IFERROR(TRIM(INDEX('Pegar calibracion'!$A$1:$BZ$1001,201,L$2)&amp;""),""))</f>
        <v/>
      </c>
      <c r="M202" s="25">
        <f>IF(D202="","",SUBSTITUTE(SUBSTITUTE(SUBSTITUTE(SUBSTITUTE(SUBSTITUTE(SUBSTITUTE(SUBSTITUTE(SUBSTITUTE(SUBSTITUTE(SUBSTITUTE(SUBSTITUTE(SUBSTITUTE(LOWER(TRIM(D202)),"á","a"),"é","e"),"í","i"),"ó","o"),"ú","u"),"ü","u"),"ñ","n"),"à","a"),"è","e"),"ì","i"),"ò","o"),"ù","u"))</f>
        <v/>
      </c>
      <c r="N202" s="25">
        <f>IF(F202="","",SUBSTITUTE(SUBSTITUTE(SUBSTITUTE(SUBSTITUTE(SUBSTITUTE(SUBSTITUTE(SUBSTITUTE(SUBSTITUTE(SUBSTITUTE(SUBSTITUTE(SUBSTITUTE(SUBSTITUTE(LOWER(TRIM(F202)),"á","a"),"é","e"),"í","i"),"ó","o"),"ú","u"),"ü","u"),"ñ","n"),"à","a"),"è","e"),"ì","i"),"ò","o"),"ù","u"))</f>
        <v/>
      </c>
      <c r="O202" s="25">
        <f>IF(M202="confiable",2,IF(M202="dudosa",1,IF(M202="no confiable",0,"")))</f>
        <v/>
      </c>
      <c r="P202" s="25">
        <f>IF(N202="confiable",2,IF(N202="dudosa",1,IF(N202="no confiable",0,"")))</f>
        <v/>
      </c>
      <c r="Q202" s="25">
        <f>IF(AND(ISNUMBER(O202),ISNUMBER(P202)),1,"")</f>
        <v/>
      </c>
      <c r="R202" s="25">
        <f>IF(Q202=1,IF(O202=P202,"Sí","No"),"")</f>
        <v/>
      </c>
      <c r="S202" s="25">
        <f>IF(Q202=1,IF(P202&lt;O202,"Más estricto",IF(P202&gt;O202,"Más permisivo","Igual")),"")</f>
        <v/>
      </c>
      <c r="T202" s="25">
        <f>IF(Q202=1,IF(ABS(O202-P202)=2,1,0),"")</f>
        <v/>
      </c>
      <c r="U202" s="25">
        <f>IF(H202="","","|"&amp;SUBSTITUTE(SUBSTITUTE(TRIM(H202)," |","|"),"| ","|")&amp;"|")</f>
        <v/>
      </c>
      <c r="V202" s="25">
        <f>IF(AND(Q202=1,B202&lt;&gt;""),IF(IFERROR(COUNTIFS(B$3:B202,"="&amp;SUBSTITUTE(SUBSTITUTE(SUBSTITUTE(B202,"~","~~"),"*","~*"),"?","~?"),Q$3:Q202,1),0)=1,MAX(V$2:V201)+1,""),"")</f>
        <v/>
      </c>
      <c r="W202" s="25">
        <f>IF(V202="","",COUNTIFS($B$3:$B$1002,"="&amp;SUBSTITUTE(SUBSTITUTE(SUBSTITUTE(B202,"~","~~"),"*","~*"),"?","~?"),$Q$3:$Q$1002,1)*10000-V202)</f>
        <v/>
      </c>
      <c r="X202" s="25">
        <f>IF(Q202=1,IF(SUBSTITUTE(SUBSTITUTE(SUBSTITUTE(SUBSTITUTE(SUBSTITUTE(SUBSTITUTE(SUBSTITUTE(SUBSTITUTE(SUBSTITUTE(SUBSTITUTE(SUBSTITUTE(SUBSTITUTE(LOWER(TRIM(A202)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202)),"á","a"),"é","e"),"í","i"),"ó","o"),"ú","u"),"ü","u"),"ñ","n"),"à","a"),"è","e"),"ì","i"),"ò","o"),"ù","u")),"")</f>
        <v/>
      </c>
      <c r="Y202" s="25">
        <f>IF(X202="","",IF(IFERROR(COUNTIF(X$3:X202,"="&amp;SUBSTITUTE(SUBSTITUTE(SUBSTITUTE(X202,"~","~~"),"*","~*"),"?","~?")),0)=1,1,""))</f>
        <v/>
      </c>
      <c r="Z202" s="25">
        <f>IF(T202=1,MAX(Z$2:Z201)+1,"")</f>
        <v/>
      </c>
    </row>
    <row r="203">
      <c r="A203">
        <f>IF(A$2=0,"",IFERROR(TRIM(INDEX('Pegar calibracion'!$A$1:$BZ$1001,202,A$2)&amp;""),""))</f>
        <v/>
      </c>
      <c r="B203">
        <f>IF(B$2=0,"",IFERROR(TRIM(INDEX('Pegar calibracion'!$A$1:$BZ$1001,202,B$2)&amp;""),""))</f>
        <v/>
      </c>
      <c r="C203">
        <f>IF(C$2=0,"",IFERROR(TRIM(INDEX('Pegar calibracion'!$A$1:$BZ$1001,202,C$2)&amp;""),""))</f>
        <v/>
      </c>
      <c r="D203">
        <f>IF(D$2=0,"",IFERROR(TRIM(INDEX('Pegar calibracion'!$A$1:$BZ$1001,202,D$2)&amp;""),""))</f>
        <v/>
      </c>
      <c r="E203">
        <f>IF(E$2=0,"",IFERROR(TRIM(INDEX('Pegar calibracion'!$A$1:$BZ$1001,202,E$2)&amp;""),""))</f>
        <v/>
      </c>
      <c r="F203">
        <f>IF(F$2=0,"",IFERROR(TRIM(INDEX('Pegar calibracion'!$A$1:$BZ$1001,202,F$2)&amp;""),""))</f>
        <v/>
      </c>
      <c r="G203">
        <f>IF(G$2=0,"",IFERROR(TRIM(INDEX('Pegar calibracion'!$A$1:$BZ$1001,202,G$2)&amp;""),""))</f>
        <v/>
      </c>
      <c r="H203">
        <f>IF(H$2=0,"",IFERROR(TRIM(INDEX('Pegar calibracion'!$A$1:$BZ$1001,202,H$2)&amp;""),""))</f>
        <v/>
      </c>
      <c r="I203">
        <f>IF(I$2=0,"",IFERROR(TRIM(INDEX('Pegar calibracion'!$A$1:$BZ$1001,202,I$2)&amp;""),""))</f>
        <v/>
      </c>
      <c r="J203">
        <f>IF(J$2=0,"",IFERROR(TRIM(INDEX('Pegar calibracion'!$A$1:$BZ$1001,202,J$2)&amp;""),""))</f>
        <v/>
      </c>
      <c r="K203">
        <f>IF(K$2=0,"",IFERROR(TRIM(INDEX('Pegar calibracion'!$A$1:$BZ$1001,202,K$2)&amp;""),""))</f>
        <v/>
      </c>
      <c r="L203">
        <f>IF(L$2=0,"",IFERROR(TRIM(INDEX('Pegar calibracion'!$A$1:$BZ$1001,202,L$2)&amp;""),""))</f>
        <v/>
      </c>
      <c r="M203" s="25">
        <f>IF(D203="","",SUBSTITUTE(SUBSTITUTE(SUBSTITUTE(SUBSTITUTE(SUBSTITUTE(SUBSTITUTE(SUBSTITUTE(SUBSTITUTE(SUBSTITUTE(SUBSTITUTE(SUBSTITUTE(SUBSTITUTE(LOWER(TRIM(D203)),"á","a"),"é","e"),"í","i"),"ó","o"),"ú","u"),"ü","u"),"ñ","n"),"à","a"),"è","e"),"ì","i"),"ò","o"),"ù","u"))</f>
        <v/>
      </c>
      <c r="N203" s="25">
        <f>IF(F203="","",SUBSTITUTE(SUBSTITUTE(SUBSTITUTE(SUBSTITUTE(SUBSTITUTE(SUBSTITUTE(SUBSTITUTE(SUBSTITUTE(SUBSTITUTE(SUBSTITUTE(SUBSTITUTE(SUBSTITUTE(LOWER(TRIM(F203)),"á","a"),"é","e"),"í","i"),"ó","o"),"ú","u"),"ü","u"),"ñ","n"),"à","a"),"è","e"),"ì","i"),"ò","o"),"ù","u"))</f>
        <v/>
      </c>
      <c r="O203" s="25">
        <f>IF(M203="confiable",2,IF(M203="dudosa",1,IF(M203="no confiable",0,"")))</f>
        <v/>
      </c>
      <c r="P203" s="25">
        <f>IF(N203="confiable",2,IF(N203="dudosa",1,IF(N203="no confiable",0,"")))</f>
        <v/>
      </c>
      <c r="Q203" s="25">
        <f>IF(AND(ISNUMBER(O203),ISNUMBER(P203)),1,"")</f>
        <v/>
      </c>
      <c r="R203" s="25">
        <f>IF(Q203=1,IF(O203=P203,"Sí","No"),"")</f>
        <v/>
      </c>
      <c r="S203" s="25">
        <f>IF(Q203=1,IF(P203&lt;O203,"Más estricto",IF(P203&gt;O203,"Más permisivo","Igual")),"")</f>
        <v/>
      </c>
      <c r="T203" s="25">
        <f>IF(Q203=1,IF(ABS(O203-P203)=2,1,0),"")</f>
        <v/>
      </c>
      <c r="U203" s="25">
        <f>IF(H203="","","|"&amp;SUBSTITUTE(SUBSTITUTE(TRIM(H203)," |","|"),"| ","|")&amp;"|")</f>
        <v/>
      </c>
      <c r="V203" s="25">
        <f>IF(AND(Q203=1,B203&lt;&gt;""),IF(IFERROR(COUNTIFS(B$3:B203,"="&amp;SUBSTITUTE(SUBSTITUTE(SUBSTITUTE(B203,"~","~~"),"*","~*"),"?","~?"),Q$3:Q203,1),0)=1,MAX(V$2:V202)+1,""),"")</f>
        <v/>
      </c>
      <c r="W203" s="25">
        <f>IF(V203="","",COUNTIFS($B$3:$B$1002,"="&amp;SUBSTITUTE(SUBSTITUTE(SUBSTITUTE(B203,"~","~~"),"*","~*"),"?","~?"),$Q$3:$Q$1002,1)*10000-V203)</f>
        <v/>
      </c>
      <c r="X203" s="25">
        <f>IF(Q203=1,IF(SUBSTITUTE(SUBSTITUTE(SUBSTITUTE(SUBSTITUTE(SUBSTITUTE(SUBSTITUTE(SUBSTITUTE(SUBSTITUTE(SUBSTITUTE(SUBSTITUTE(SUBSTITUTE(SUBSTITUTE(LOWER(TRIM(A203)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203)),"á","a"),"é","e"),"í","i"),"ó","o"),"ú","u"),"ü","u"),"ñ","n"),"à","a"),"è","e"),"ì","i"),"ò","o"),"ù","u")),"")</f>
        <v/>
      </c>
      <c r="Y203" s="25">
        <f>IF(X203="","",IF(IFERROR(COUNTIF(X$3:X203,"="&amp;SUBSTITUTE(SUBSTITUTE(SUBSTITUTE(X203,"~","~~"),"*","~*"),"?","~?")),0)=1,1,""))</f>
        <v/>
      </c>
      <c r="Z203" s="25">
        <f>IF(T203=1,MAX(Z$2:Z202)+1,"")</f>
        <v/>
      </c>
    </row>
    <row r="204">
      <c r="A204">
        <f>IF(A$2=0,"",IFERROR(TRIM(INDEX('Pegar calibracion'!$A$1:$BZ$1001,203,A$2)&amp;""),""))</f>
        <v/>
      </c>
      <c r="B204">
        <f>IF(B$2=0,"",IFERROR(TRIM(INDEX('Pegar calibracion'!$A$1:$BZ$1001,203,B$2)&amp;""),""))</f>
        <v/>
      </c>
      <c r="C204">
        <f>IF(C$2=0,"",IFERROR(TRIM(INDEX('Pegar calibracion'!$A$1:$BZ$1001,203,C$2)&amp;""),""))</f>
        <v/>
      </c>
      <c r="D204">
        <f>IF(D$2=0,"",IFERROR(TRIM(INDEX('Pegar calibracion'!$A$1:$BZ$1001,203,D$2)&amp;""),""))</f>
        <v/>
      </c>
      <c r="E204">
        <f>IF(E$2=0,"",IFERROR(TRIM(INDEX('Pegar calibracion'!$A$1:$BZ$1001,203,E$2)&amp;""),""))</f>
        <v/>
      </c>
      <c r="F204">
        <f>IF(F$2=0,"",IFERROR(TRIM(INDEX('Pegar calibracion'!$A$1:$BZ$1001,203,F$2)&amp;""),""))</f>
        <v/>
      </c>
      <c r="G204">
        <f>IF(G$2=0,"",IFERROR(TRIM(INDEX('Pegar calibracion'!$A$1:$BZ$1001,203,G$2)&amp;""),""))</f>
        <v/>
      </c>
      <c r="H204">
        <f>IF(H$2=0,"",IFERROR(TRIM(INDEX('Pegar calibracion'!$A$1:$BZ$1001,203,H$2)&amp;""),""))</f>
        <v/>
      </c>
      <c r="I204">
        <f>IF(I$2=0,"",IFERROR(TRIM(INDEX('Pegar calibracion'!$A$1:$BZ$1001,203,I$2)&amp;""),""))</f>
        <v/>
      </c>
      <c r="J204">
        <f>IF(J$2=0,"",IFERROR(TRIM(INDEX('Pegar calibracion'!$A$1:$BZ$1001,203,J$2)&amp;""),""))</f>
        <v/>
      </c>
      <c r="K204">
        <f>IF(K$2=0,"",IFERROR(TRIM(INDEX('Pegar calibracion'!$A$1:$BZ$1001,203,K$2)&amp;""),""))</f>
        <v/>
      </c>
      <c r="L204">
        <f>IF(L$2=0,"",IFERROR(TRIM(INDEX('Pegar calibracion'!$A$1:$BZ$1001,203,L$2)&amp;""),""))</f>
        <v/>
      </c>
      <c r="M204" s="25">
        <f>IF(D204="","",SUBSTITUTE(SUBSTITUTE(SUBSTITUTE(SUBSTITUTE(SUBSTITUTE(SUBSTITUTE(SUBSTITUTE(SUBSTITUTE(SUBSTITUTE(SUBSTITUTE(SUBSTITUTE(SUBSTITUTE(LOWER(TRIM(D204)),"á","a"),"é","e"),"í","i"),"ó","o"),"ú","u"),"ü","u"),"ñ","n"),"à","a"),"è","e"),"ì","i"),"ò","o"),"ù","u"))</f>
        <v/>
      </c>
      <c r="N204" s="25">
        <f>IF(F204="","",SUBSTITUTE(SUBSTITUTE(SUBSTITUTE(SUBSTITUTE(SUBSTITUTE(SUBSTITUTE(SUBSTITUTE(SUBSTITUTE(SUBSTITUTE(SUBSTITUTE(SUBSTITUTE(SUBSTITUTE(LOWER(TRIM(F204)),"á","a"),"é","e"),"í","i"),"ó","o"),"ú","u"),"ü","u"),"ñ","n"),"à","a"),"è","e"),"ì","i"),"ò","o"),"ù","u"))</f>
        <v/>
      </c>
      <c r="O204" s="25">
        <f>IF(M204="confiable",2,IF(M204="dudosa",1,IF(M204="no confiable",0,"")))</f>
        <v/>
      </c>
      <c r="P204" s="25">
        <f>IF(N204="confiable",2,IF(N204="dudosa",1,IF(N204="no confiable",0,"")))</f>
        <v/>
      </c>
      <c r="Q204" s="25">
        <f>IF(AND(ISNUMBER(O204),ISNUMBER(P204)),1,"")</f>
        <v/>
      </c>
      <c r="R204" s="25">
        <f>IF(Q204=1,IF(O204=P204,"Sí","No"),"")</f>
        <v/>
      </c>
      <c r="S204" s="25">
        <f>IF(Q204=1,IF(P204&lt;O204,"Más estricto",IF(P204&gt;O204,"Más permisivo","Igual")),"")</f>
        <v/>
      </c>
      <c r="T204" s="25">
        <f>IF(Q204=1,IF(ABS(O204-P204)=2,1,0),"")</f>
        <v/>
      </c>
      <c r="U204" s="25">
        <f>IF(H204="","","|"&amp;SUBSTITUTE(SUBSTITUTE(TRIM(H204)," |","|"),"| ","|")&amp;"|")</f>
        <v/>
      </c>
      <c r="V204" s="25">
        <f>IF(AND(Q204=1,B204&lt;&gt;""),IF(IFERROR(COUNTIFS(B$3:B204,"="&amp;SUBSTITUTE(SUBSTITUTE(SUBSTITUTE(B204,"~","~~"),"*","~*"),"?","~?"),Q$3:Q204,1),0)=1,MAX(V$2:V203)+1,""),"")</f>
        <v/>
      </c>
      <c r="W204" s="25">
        <f>IF(V204="","",COUNTIFS($B$3:$B$1002,"="&amp;SUBSTITUTE(SUBSTITUTE(SUBSTITUTE(B204,"~","~~"),"*","~*"),"?","~?"),$Q$3:$Q$1002,1)*10000-V204)</f>
        <v/>
      </c>
      <c r="X204" s="25">
        <f>IF(Q204=1,IF(SUBSTITUTE(SUBSTITUTE(SUBSTITUTE(SUBSTITUTE(SUBSTITUTE(SUBSTITUTE(SUBSTITUTE(SUBSTITUTE(SUBSTITUTE(SUBSTITUTE(SUBSTITUTE(SUBSTITUTE(LOWER(TRIM(A204)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204)),"á","a"),"é","e"),"í","i"),"ó","o"),"ú","u"),"ü","u"),"ñ","n"),"à","a"),"è","e"),"ì","i"),"ò","o"),"ù","u")),"")</f>
        <v/>
      </c>
      <c r="Y204" s="25">
        <f>IF(X204="","",IF(IFERROR(COUNTIF(X$3:X204,"="&amp;SUBSTITUTE(SUBSTITUTE(SUBSTITUTE(X204,"~","~~"),"*","~*"),"?","~?")),0)=1,1,""))</f>
        <v/>
      </c>
      <c r="Z204" s="25">
        <f>IF(T204=1,MAX(Z$2:Z203)+1,"")</f>
        <v/>
      </c>
    </row>
    <row r="205">
      <c r="A205">
        <f>IF(A$2=0,"",IFERROR(TRIM(INDEX('Pegar calibracion'!$A$1:$BZ$1001,204,A$2)&amp;""),""))</f>
        <v/>
      </c>
      <c r="B205">
        <f>IF(B$2=0,"",IFERROR(TRIM(INDEX('Pegar calibracion'!$A$1:$BZ$1001,204,B$2)&amp;""),""))</f>
        <v/>
      </c>
      <c r="C205">
        <f>IF(C$2=0,"",IFERROR(TRIM(INDEX('Pegar calibracion'!$A$1:$BZ$1001,204,C$2)&amp;""),""))</f>
        <v/>
      </c>
      <c r="D205">
        <f>IF(D$2=0,"",IFERROR(TRIM(INDEX('Pegar calibracion'!$A$1:$BZ$1001,204,D$2)&amp;""),""))</f>
        <v/>
      </c>
      <c r="E205">
        <f>IF(E$2=0,"",IFERROR(TRIM(INDEX('Pegar calibracion'!$A$1:$BZ$1001,204,E$2)&amp;""),""))</f>
        <v/>
      </c>
      <c r="F205">
        <f>IF(F$2=0,"",IFERROR(TRIM(INDEX('Pegar calibracion'!$A$1:$BZ$1001,204,F$2)&amp;""),""))</f>
        <v/>
      </c>
      <c r="G205">
        <f>IF(G$2=0,"",IFERROR(TRIM(INDEX('Pegar calibracion'!$A$1:$BZ$1001,204,G$2)&amp;""),""))</f>
        <v/>
      </c>
      <c r="H205">
        <f>IF(H$2=0,"",IFERROR(TRIM(INDEX('Pegar calibracion'!$A$1:$BZ$1001,204,H$2)&amp;""),""))</f>
        <v/>
      </c>
      <c r="I205">
        <f>IF(I$2=0,"",IFERROR(TRIM(INDEX('Pegar calibracion'!$A$1:$BZ$1001,204,I$2)&amp;""),""))</f>
        <v/>
      </c>
      <c r="J205">
        <f>IF(J$2=0,"",IFERROR(TRIM(INDEX('Pegar calibracion'!$A$1:$BZ$1001,204,J$2)&amp;""),""))</f>
        <v/>
      </c>
      <c r="K205">
        <f>IF(K$2=0,"",IFERROR(TRIM(INDEX('Pegar calibracion'!$A$1:$BZ$1001,204,K$2)&amp;""),""))</f>
        <v/>
      </c>
      <c r="L205">
        <f>IF(L$2=0,"",IFERROR(TRIM(INDEX('Pegar calibracion'!$A$1:$BZ$1001,204,L$2)&amp;""),""))</f>
        <v/>
      </c>
      <c r="M205" s="25">
        <f>IF(D205="","",SUBSTITUTE(SUBSTITUTE(SUBSTITUTE(SUBSTITUTE(SUBSTITUTE(SUBSTITUTE(SUBSTITUTE(SUBSTITUTE(SUBSTITUTE(SUBSTITUTE(SUBSTITUTE(SUBSTITUTE(LOWER(TRIM(D205)),"á","a"),"é","e"),"í","i"),"ó","o"),"ú","u"),"ü","u"),"ñ","n"),"à","a"),"è","e"),"ì","i"),"ò","o"),"ù","u"))</f>
        <v/>
      </c>
      <c r="N205" s="25">
        <f>IF(F205="","",SUBSTITUTE(SUBSTITUTE(SUBSTITUTE(SUBSTITUTE(SUBSTITUTE(SUBSTITUTE(SUBSTITUTE(SUBSTITUTE(SUBSTITUTE(SUBSTITUTE(SUBSTITUTE(SUBSTITUTE(LOWER(TRIM(F205)),"á","a"),"é","e"),"í","i"),"ó","o"),"ú","u"),"ü","u"),"ñ","n"),"à","a"),"è","e"),"ì","i"),"ò","o"),"ù","u"))</f>
        <v/>
      </c>
      <c r="O205" s="25">
        <f>IF(M205="confiable",2,IF(M205="dudosa",1,IF(M205="no confiable",0,"")))</f>
        <v/>
      </c>
      <c r="P205" s="25">
        <f>IF(N205="confiable",2,IF(N205="dudosa",1,IF(N205="no confiable",0,"")))</f>
        <v/>
      </c>
      <c r="Q205" s="25">
        <f>IF(AND(ISNUMBER(O205),ISNUMBER(P205)),1,"")</f>
        <v/>
      </c>
      <c r="R205" s="25">
        <f>IF(Q205=1,IF(O205=P205,"Sí","No"),"")</f>
        <v/>
      </c>
      <c r="S205" s="25">
        <f>IF(Q205=1,IF(P205&lt;O205,"Más estricto",IF(P205&gt;O205,"Más permisivo","Igual")),"")</f>
        <v/>
      </c>
      <c r="T205" s="25">
        <f>IF(Q205=1,IF(ABS(O205-P205)=2,1,0),"")</f>
        <v/>
      </c>
      <c r="U205" s="25">
        <f>IF(H205="","","|"&amp;SUBSTITUTE(SUBSTITUTE(TRIM(H205)," |","|"),"| ","|")&amp;"|")</f>
        <v/>
      </c>
      <c r="V205" s="25">
        <f>IF(AND(Q205=1,B205&lt;&gt;""),IF(IFERROR(COUNTIFS(B$3:B205,"="&amp;SUBSTITUTE(SUBSTITUTE(SUBSTITUTE(B205,"~","~~"),"*","~*"),"?","~?"),Q$3:Q205,1),0)=1,MAX(V$2:V204)+1,""),"")</f>
        <v/>
      </c>
      <c r="W205" s="25">
        <f>IF(V205="","",COUNTIFS($B$3:$B$1002,"="&amp;SUBSTITUTE(SUBSTITUTE(SUBSTITUTE(B205,"~","~~"),"*","~*"),"?","~?"),$Q$3:$Q$1002,1)*10000-V205)</f>
        <v/>
      </c>
      <c r="X205" s="25">
        <f>IF(Q205=1,IF(SUBSTITUTE(SUBSTITUTE(SUBSTITUTE(SUBSTITUTE(SUBSTITUTE(SUBSTITUTE(SUBSTITUTE(SUBSTITUTE(SUBSTITUTE(SUBSTITUTE(SUBSTITUTE(SUBSTITUTE(LOWER(TRIM(A205)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205)),"á","a"),"é","e"),"í","i"),"ó","o"),"ú","u"),"ü","u"),"ñ","n"),"à","a"),"è","e"),"ì","i"),"ò","o"),"ù","u")),"")</f>
        <v/>
      </c>
      <c r="Y205" s="25">
        <f>IF(X205="","",IF(IFERROR(COUNTIF(X$3:X205,"="&amp;SUBSTITUTE(SUBSTITUTE(SUBSTITUTE(X205,"~","~~"),"*","~*"),"?","~?")),0)=1,1,""))</f>
        <v/>
      </c>
      <c r="Z205" s="25">
        <f>IF(T205=1,MAX(Z$2:Z204)+1,"")</f>
        <v/>
      </c>
    </row>
    <row r="206">
      <c r="A206">
        <f>IF(A$2=0,"",IFERROR(TRIM(INDEX('Pegar calibracion'!$A$1:$BZ$1001,205,A$2)&amp;""),""))</f>
        <v/>
      </c>
      <c r="B206">
        <f>IF(B$2=0,"",IFERROR(TRIM(INDEX('Pegar calibracion'!$A$1:$BZ$1001,205,B$2)&amp;""),""))</f>
        <v/>
      </c>
      <c r="C206">
        <f>IF(C$2=0,"",IFERROR(TRIM(INDEX('Pegar calibracion'!$A$1:$BZ$1001,205,C$2)&amp;""),""))</f>
        <v/>
      </c>
      <c r="D206">
        <f>IF(D$2=0,"",IFERROR(TRIM(INDEX('Pegar calibracion'!$A$1:$BZ$1001,205,D$2)&amp;""),""))</f>
        <v/>
      </c>
      <c r="E206">
        <f>IF(E$2=0,"",IFERROR(TRIM(INDEX('Pegar calibracion'!$A$1:$BZ$1001,205,E$2)&amp;""),""))</f>
        <v/>
      </c>
      <c r="F206">
        <f>IF(F$2=0,"",IFERROR(TRIM(INDEX('Pegar calibracion'!$A$1:$BZ$1001,205,F$2)&amp;""),""))</f>
        <v/>
      </c>
      <c r="G206">
        <f>IF(G$2=0,"",IFERROR(TRIM(INDEX('Pegar calibracion'!$A$1:$BZ$1001,205,G$2)&amp;""),""))</f>
        <v/>
      </c>
      <c r="H206">
        <f>IF(H$2=0,"",IFERROR(TRIM(INDEX('Pegar calibracion'!$A$1:$BZ$1001,205,H$2)&amp;""),""))</f>
        <v/>
      </c>
      <c r="I206">
        <f>IF(I$2=0,"",IFERROR(TRIM(INDEX('Pegar calibracion'!$A$1:$BZ$1001,205,I$2)&amp;""),""))</f>
        <v/>
      </c>
      <c r="J206">
        <f>IF(J$2=0,"",IFERROR(TRIM(INDEX('Pegar calibracion'!$A$1:$BZ$1001,205,J$2)&amp;""),""))</f>
        <v/>
      </c>
      <c r="K206">
        <f>IF(K$2=0,"",IFERROR(TRIM(INDEX('Pegar calibracion'!$A$1:$BZ$1001,205,K$2)&amp;""),""))</f>
        <v/>
      </c>
      <c r="L206">
        <f>IF(L$2=0,"",IFERROR(TRIM(INDEX('Pegar calibracion'!$A$1:$BZ$1001,205,L$2)&amp;""),""))</f>
        <v/>
      </c>
      <c r="M206" s="25">
        <f>IF(D206="","",SUBSTITUTE(SUBSTITUTE(SUBSTITUTE(SUBSTITUTE(SUBSTITUTE(SUBSTITUTE(SUBSTITUTE(SUBSTITUTE(SUBSTITUTE(SUBSTITUTE(SUBSTITUTE(SUBSTITUTE(LOWER(TRIM(D206)),"á","a"),"é","e"),"í","i"),"ó","o"),"ú","u"),"ü","u"),"ñ","n"),"à","a"),"è","e"),"ì","i"),"ò","o"),"ù","u"))</f>
        <v/>
      </c>
      <c r="N206" s="25">
        <f>IF(F206="","",SUBSTITUTE(SUBSTITUTE(SUBSTITUTE(SUBSTITUTE(SUBSTITUTE(SUBSTITUTE(SUBSTITUTE(SUBSTITUTE(SUBSTITUTE(SUBSTITUTE(SUBSTITUTE(SUBSTITUTE(LOWER(TRIM(F206)),"á","a"),"é","e"),"í","i"),"ó","o"),"ú","u"),"ü","u"),"ñ","n"),"à","a"),"è","e"),"ì","i"),"ò","o"),"ù","u"))</f>
        <v/>
      </c>
      <c r="O206" s="25">
        <f>IF(M206="confiable",2,IF(M206="dudosa",1,IF(M206="no confiable",0,"")))</f>
        <v/>
      </c>
      <c r="P206" s="25">
        <f>IF(N206="confiable",2,IF(N206="dudosa",1,IF(N206="no confiable",0,"")))</f>
        <v/>
      </c>
      <c r="Q206" s="25">
        <f>IF(AND(ISNUMBER(O206),ISNUMBER(P206)),1,"")</f>
        <v/>
      </c>
      <c r="R206" s="25">
        <f>IF(Q206=1,IF(O206=P206,"Sí","No"),"")</f>
        <v/>
      </c>
      <c r="S206" s="25">
        <f>IF(Q206=1,IF(P206&lt;O206,"Más estricto",IF(P206&gt;O206,"Más permisivo","Igual")),"")</f>
        <v/>
      </c>
      <c r="T206" s="25">
        <f>IF(Q206=1,IF(ABS(O206-P206)=2,1,0),"")</f>
        <v/>
      </c>
      <c r="U206" s="25">
        <f>IF(H206="","","|"&amp;SUBSTITUTE(SUBSTITUTE(TRIM(H206)," |","|"),"| ","|")&amp;"|")</f>
        <v/>
      </c>
      <c r="V206" s="25">
        <f>IF(AND(Q206=1,B206&lt;&gt;""),IF(IFERROR(COUNTIFS(B$3:B206,"="&amp;SUBSTITUTE(SUBSTITUTE(SUBSTITUTE(B206,"~","~~"),"*","~*"),"?","~?"),Q$3:Q206,1),0)=1,MAX(V$2:V205)+1,""),"")</f>
        <v/>
      </c>
      <c r="W206" s="25">
        <f>IF(V206="","",COUNTIFS($B$3:$B$1002,"="&amp;SUBSTITUTE(SUBSTITUTE(SUBSTITUTE(B206,"~","~~"),"*","~*"),"?","~?"),$Q$3:$Q$1002,1)*10000-V206)</f>
        <v/>
      </c>
      <c r="X206" s="25">
        <f>IF(Q206=1,IF(SUBSTITUTE(SUBSTITUTE(SUBSTITUTE(SUBSTITUTE(SUBSTITUTE(SUBSTITUTE(SUBSTITUTE(SUBSTITUTE(SUBSTITUTE(SUBSTITUTE(SUBSTITUTE(SUBSTITUTE(LOWER(TRIM(A206)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206)),"á","a"),"é","e"),"í","i"),"ó","o"),"ú","u"),"ü","u"),"ñ","n"),"à","a"),"è","e"),"ì","i"),"ò","o"),"ù","u")),"")</f>
        <v/>
      </c>
      <c r="Y206" s="25">
        <f>IF(X206="","",IF(IFERROR(COUNTIF(X$3:X206,"="&amp;SUBSTITUTE(SUBSTITUTE(SUBSTITUTE(X206,"~","~~"),"*","~*"),"?","~?")),0)=1,1,""))</f>
        <v/>
      </c>
      <c r="Z206" s="25">
        <f>IF(T206=1,MAX(Z$2:Z205)+1,"")</f>
        <v/>
      </c>
    </row>
    <row r="207">
      <c r="A207">
        <f>IF(A$2=0,"",IFERROR(TRIM(INDEX('Pegar calibracion'!$A$1:$BZ$1001,206,A$2)&amp;""),""))</f>
        <v/>
      </c>
      <c r="B207">
        <f>IF(B$2=0,"",IFERROR(TRIM(INDEX('Pegar calibracion'!$A$1:$BZ$1001,206,B$2)&amp;""),""))</f>
        <v/>
      </c>
      <c r="C207">
        <f>IF(C$2=0,"",IFERROR(TRIM(INDEX('Pegar calibracion'!$A$1:$BZ$1001,206,C$2)&amp;""),""))</f>
        <v/>
      </c>
      <c r="D207">
        <f>IF(D$2=0,"",IFERROR(TRIM(INDEX('Pegar calibracion'!$A$1:$BZ$1001,206,D$2)&amp;""),""))</f>
        <v/>
      </c>
      <c r="E207">
        <f>IF(E$2=0,"",IFERROR(TRIM(INDEX('Pegar calibracion'!$A$1:$BZ$1001,206,E$2)&amp;""),""))</f>
        <v/>
      </c>
      <c r="F207">
        <f>IF(F$2=0,"",IFERROR(TRIM(INDEX('Pegar calibracion'!$A$1:$BZ$1001,206,F$2)&amp;""),""))</f>
        <v/>
      </c>
      <c r="G207">
        <f>IF(G$2=0,"",IFERROR(TRIM(INDEX('Pegar calibracion'!$A$1:$BZ$1001,206,G$2)&amp;""),""))</f>
        <v/>
      </c>
      <c r="H207">
        <f>IF(H$2=0,"",IFERROR(TRIM(INDEX('Pegar calibracion'!$A$1:$BZ$1001,206,H$2)&amp;""),""))</f>
        <v/>
      </c>
      <c r="I207">
        <f>IF(I$2=0,"",IFERROR(TRIM(INDEX('Pegar calibracion'!$A$1:$BZ$1001,206,I$2)&amp;""),""))</f>
        <v/>
      </c>
      <c r="J207">
        <f>IF(J$2=0,"",IFERROR(TRIM(INDEX('Pegar calibracion'!$A$1:$BZ$1001,206,J$2)&amp;""),""))</f>
        <v/>
      </c>
      <c r="K207">
        <f>IF(K$2=0,"",IFERROR(TRIM(INDEX('Pegar calibracion'!$A$1:$BZ$1001,206,K$2)&amp;""),""))</f>
        <v/>
      </c>
      <c r="L207">
        <f>IF(L$2=0,"",IFERROR(TRIM(INDEX('Pegar calibracion'!$A$1:$BZ$1001,206,L$2)&amp;""),""))</f>
        <v/>
      </c>
      <c r="M207" s="25">
        <f>IF(D207="","",SUBSTITUTE(SUBSTITUTE(SUBSTITUTE(SUBSTITUTE(SUBSTITUTE(SUBSTITUTE(SUBSTITUTE(SUBSTITUTE(SUBSTITUTE(SUBSTITUTE(SUBSTITUTE(SUBSTITUTE(LOWER(TRIM(D207)),"á","a"),"é","e"),"í","i"),"ó","o"),"ú","u"),"ü","u"),"ñ","n"),"à","a"),"è","e"),"ì","i"),"ò","o"),"ù","u"))</f>
        <v/>
      </c>
      <c r="N207" s="25">
        <f>IF(F207="","",SUBSTITUTE(SUBSTITUTE(SUBSTITUTE(SUBSTITUTE(SUBSTITUTE(SUBSTITUTE(SUBSTITUTE(SUBSTITUTE(SUBSTITUTE(SUBSTITUTE(SUBSTITUTE(SUBSTITUTE(LOWER(TRIM(F207)),"á","a"),"é","e"),"í","i"),"ó","o"),"ú","u"),"ü","u"),"ñ","n"),"à","a"),"è","e"),"ì","i"),"ò","o"),"ù","u"))</f>
        <v/>
      </c>
      <c r="O207" s="25">
        <f>IF(M207="confiable",2,IF(M207="dudosa",1,IF(M207="no confiable",0,"")))</f>
        <v/>
      </c>
      <c r="P207" s="25">
        <f>IF(N207="confiable",2,IF(N207="dudosa",1,IF(N207="no confiable",0,"")))</f>
        <v/>
      </c>
      <c r="Q207" s="25">
        <f>IF(AND(ISNUMBER(O207),ISNUMBER(P207)),1,"")</f>
        <v/>
      </c>
      <c r="R207" s="25">
        <f>IF(Q207=1,IF(O207=P207,"Sí","No"),"")</f>
        <v/>
      </c>
      <c r="S207" s="25">
        <f>IF(Q207=1,IF(P207&lt;O207,"Más estricto",IF(P207&gt;O207,"Más permisivo","Igual")),"")</f>
        <v/>
      </c>
      <c r="T207" s="25">
        <f>IF(Q207=1,IF(ABS(O207-P207)=2,1,0),"")</f>
        <v/>
      </c>
      <c r="U207" s="25">
        <f>IF(H207="","","|"&amp;SUBSTITUTE(SUBSTITUTE(TRIM(H207)," |","|"),"| ","|")&amp;"|")</f>
        <v/>
      </c>
      <c r="V207" s="25">
        <f>IF(AND(Q207=1,B207&lt;&gt;""),IF(IFERROR(COUNTIFS(B$3:B207,"="&amp;SUBSTITUTE(SUBSTITUTE(SUBSTITUTE(B207,"~","~~"),"*","~*"),"?","~?"),Q$3:Q207,1),0)=1,MAX(V$2:V206)+1,""),"")</f>
        <v/>
      </c>
      <c r="W207" s="25">
        <f>IF(V207="","",COUNTIFS($B$3:$B$1002,"="&amp;SUBSTITUTE(SUBSTITUTE(SUBSTITUTE(B207,"~","~~"),"*","~*"),"?","~?"),$Q$3:$Q$1002,1)*10000-V207)</f>
        <v/>
      </c>
      <c r="X207" s="25">
        <f>IF(Q207=1,IF(SUBSTITUTE(SUBSTITUTE(SUBSTITUTE(SUBSTITUTE(SUBSTITUTE(SUBSTITUTE(SUBSTITUTE(SUBSTITUTE(SUBSTITUTE(SUBSTITUTE(SUBSTITUTE(SUBSTITUTE(LOWER(TRIM(A207)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207)),"á","a"),"é","e"),"í","i"),"ó","o"),"ú","u"),"ü","u"),"ñ","n"),"à","a"),"è","e"),"ì","i"),"ò","o"),"ù","u")),"")</f>
        <v/>
      </c>
      <c r="Y207" s="25">
        <f>IF(X207="","",IF(IFERROR(COUNTIF(X$3:X207,"="&amp;SUBSTITUTE(SUBSTITUTE(SUBSTITUTE(X207,"~","~~"),"*","~*"),"?","~?")),0)=1,1,""))</f>
        <v/>
      </c>
      <c r="Z207" s="25">
        <f>IF(T207=1,MAX(Z$2:Z206)+1,"")</f>
        <v/>
      </c>
    </row>
    <row r="208">
      <c r="A208">
        <f>IF(A$2=0,"",IFERROR(TRIM(INDEX('Pegar calibracion'!$A$1:$BZ$1001,207,A$2)&amp;""),""))</f>
        <v/>
      </c>
      <c r="B208">
        <f>IF(B$2=0,"",IFERROR(TRIM(INDEX('Pegar calibracion'!$A$1:$BZ$1001,207,B$2)&amp;""),""))</f>
        <v/>
      </c>
      <c r="C208">
        <f>IF(C$2=0,"",IFERROR(TRIM(INDEX('Pegar calibracion'!$A$1:$BZ$1001,207,C$2)&amp;""),""))</f>
        <v/>
      </c>
      <c r="D208">
        <f>IF(D$2=0,"",IFERROR(TRIM(INDEX('Pegar calibracion'!$A$1:$BZ$1001,207,D$2)&amp;""),""))</f>
        <v/>
      </c>
      <c r="E208">
        <f>IF(E$2=0,"",IFERROR(TRIM(INDEX('Pegar calibracion'!$A$1:$BZ$1001,207,E$2)&amp;""),""))</f>
        <v/>
      </c>
      <c r="F208">
        <f>IF(F$2=0,"",IFERROR(TRIM(INDEX('Pegar calibracion'!$A$1:$BZ$1001,207,F$2)&amp;""),""))</f>
        <v/>
      </c>
      <c r="G208">
        <f>IF(G$2=0,"",IFERROR(TRIM(INDEX('Pegar calibracion'!$A$1:$BZ$1001,207,G$2)&amp;""),""))</f>
        <v/>
      </c>
      <c r="H208">
        <f>IF(H$2=0,"",IFERROR(TRIM(INDEX('Pegar calibracion'!$A$1:$BZ$1001,207,H$2)&amp;""),""))</f>
        <v/>
      </c>
      <c r="I208">
        <f>IF(I$2=0,"",IFERROR(TRIM(INDEX('Pegar calibracion'!$A$1:$BZ$1001,207,I$2)&amp;""),""))</f>
        <v/>
      </c>
      <c r="J208">
        <f>IF(J$2=0,"",IFERROR(TRIM(INDEX('Pegar calibracion'!$A$1:$BZ$1001,207,J$2)&amp;""),""))</f>
        <v/>
      </c>
      <c r="K208">
        <f>IF(K$2=0,"",IFERROR(TRIM(INDEX('Pegar calibracion'!$A$1:$BZ$1001,207,K$2)&amp;""),""))</f>
        <v/>
      </c>
      <c r="L208">
        <f>IF(L$2=0,"",IFERROR(TRIM(INDEX('Pegar calibracion'!$A$1:$BZ$1001,207,L$2)&amp;""),""))</f>
        <v/>
      </c>
      <c r="M208" s="25">
        <f>IF(D208="","",SUBSTITUTE(SUBSTITUTE(SUBSTITUTE(SUBSTITUTE(SUBSTITUTE(SUBSTITUTE(SUBSTITUTE(SUBSTITUTE(SUBSTITUTE(SUBSTITUTE(SUBSTITUTE(SUBSTITUTE(LOWER(TRIM(D208)),"á","a"),"é","e"),"í","i"),"ó","o"),"ú","u"),"ü","u"),"ñ","n"),"à","a"),"è","e"),"ì","i"),"ò","o"),"ù","u"))</f>
        <v/>
      </c>
      <c r="N208" s="25">
        <f>IF(F208="","",SUBSTITUTE(SUBSTITUTE(SUBSTITUTE(SUBSTITUTE(SUBSTITUTE(SUBSTITUTE(SUBSTITUTE(SUBSTITUTE(SUBSTITUTE(SUBSTITUTE(SUBSTITUTE(SUBSTITUTE(LOWER(TRIM(F208)),"á","a"),"é","e"),"í","i"),"ó","o"),"ú","u"),"ü","u"),"ñ","n"),"à","a"),"è","e"),"ì","i"),"ò","o"),"ù","u"))</f>
        <v/>
      </c>
      <c r="O208" s="25">
        <f>IF(M208="confiable",2,IF(M208="dudosa",1,IF(M208="no confiable",0,"")))</f>
        <v/>
      </c>
      <c r="P208" s="25">
        <f>IF(N208="confiable",2,IF(N208="dudosa",1,IF(N208="no confiable",0,"")))</f>
        <v/>
      </c>
      <c r="Q208" s="25">
        <f>IF(AND(ISNUMBER(O208),ISNUMBER(P208)),1,"")</f>
        <v/>
      </c>
      <c r="R208" s="25">
        <f>IF(Q208=1,IF(O208=P208,"Sí","No"),"")</f>
        <v/>
      </c>
      <c r="S208" s="25">
        <f>IF(Q208=1,IF(P208&lt;O208,"Más estricto",IF(P208&gt;O208,"Más permisivo","Igual")),"")</f>
        <v/>
      </c>
      <c r="T208" s="25">
        <f>IF(Q208=1,IF(ABS(O208-P208)=2,1,0),"")</f>
        <v/>
      </c>
      <c r="U208" s="25">
        <f>IF(H208="","","|"&amp;SUBSTITUTE(SUBSTITUTE(TRIM(H208)," |","|"),"| ","|")&amp;"|")</f>
        <v/>
      </c>
      <c r="V208" s="25">
        <f>IF(AND(Q208=1,B208&lt;&gt;""),IF(IFERROR(COUNTIFS(B$3:B208,"="&amp;SUBSTITUTE(SUBSTITUTE(SUBSTITUTE(B208,"~","~~"),"*","~*"),"?","~?"),Q$3:Q208,1),0)=1,MAX(V$2:V207)+1,""),"")</f>
        <v/>
      </c>
      <c r="W208" s="25">
        <f>IF(V208="","",COUNTIFS($B$3:$B$1002,"="&amp;SUBSTITUTE(SUBSTITUTE(SUBSTITUTE(B208,"~","~~"),"*","~*"),"?","~?"),$Q$3:$Q$1002,1)*10000-V208)</f>
        <v/>
      </c>
      <c r="X208" s="25">
        <f>IF(Q208=1,IF(SUBSTITUTE(SUBSTITUTE(SUBSTITUTE(SUBSTITUTE(SUBSTITUTE(SUBSTITUTE(SUBSTITUTE(SUBSTITUTE(SUBSTITUTE(SUBSTITUTE(SUBSTITUTE(SUBSTITUTE(LOWER(TRIM(A208)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208)),"á","a"),"é","e"),"í","i"),"ó","o"),"ú","u"),"ü","u"),"ñ","n"),"à","a"),"è","e"),"ì","i"),"ò","o"),"ù","u")),"")</f>
        <v/>
      </c>
      <c r="Y208" s="25">
        <f>IF(X208="","",IF(IFERROR(COUNTIF(X$3:X208,"="&amp;SUBSTITUTE(SUBSTITUTE(SUBSTITUTE(X208,"~","~~"),"*","~*"),"?","~?")),0)=1,1,""))</f>
        <v/>
      </c>
      <c r="Z208" s="25">
        <f>IF(T208=1,MAX(Z$2:Z207)+1,"")</f>
        <v/>
      </c>
    </row>
    <row r="209">
      <c r="A209">
        <f>IF(A$2=0,"",IFERROR(TRIM(INDEX('Pegar calibracion'!$A$1:$BZ$1001,208,A$2)&amp;""),""))</f>
        <v/>
      </c>
      <c r="B209">
        <f>IF(B$2=0,"",IFERROR(TRIM(INDEX('Pegar calibracion'!$A$1:$BZ$1001,208,B$2)&amp;""),""))</f>
        <v/>
      </c>
      <c r="C209">
        <f>IF(C$2=0,"",IFERROR(TRIM(INDEX('Pegar calibracion'!$A$1:$BZ$1001,208,C$2)&amp;""),""))</f>
        <v/>
      </c>
      <c r="D209">
        <f>IF(D$2=0,"",IFERROR(TRIM(INDEX('Pegar calibracion'!$A$1:$BZ$1001,208,D$2)&amp;""),""))</f>
        <v/>
      </c>
      <c r="E209">
        <f>IF(E$2=0,"",IFERROR(TRIM(INDEX('Pegar calibracion'!$A$1:$BZ$1001,208,E$2)&amp;""),""))</f>
        <v/>
      </c>
      <c r="F209">
        <f>IF(F$2=0,"",IFERROR(TRIM(INDEX('Pegar calibracion'!$A$1:$BZ$1001,208,F$2)&amp;""),""))</f>
        <v/>
      </c>
      <c r="G209">
        <f>IF(G$2=0,"",IFERROR(TRIM(INDEX('Pegar calibracion'!$A$1:$BZ$1001,208,G$2)&amp;""),""))</f>
        <v/>
      </c>
      <c r="H209">
        <f>IF(H$2=0,"",IFERROR(TRIM(INDEX('Pegar calibracion'!$A$1:$BZ$1001,208,H$2)&amp;""),""))</f>
        <v/>
      </c>
      <c r="I209">
        <f>IF(I$2=0,"",IFERROR(TRIM(INDEX('Pegar calibracion'!$A$1:$BZ$1001,208,I$2)&amp;""),""))</f>
        <v/>
      </c>
      <c r="J209">
        <f>IF(J$2=0,"",IFERROR(TRIM(INDEX('Pegar calibracion'!$A$1:$BZ$1001,208,J$2)&amp;""),""))</f>
        <v/>
      </c>
      <c r="K209">
        <f>IF(K$2=0,"",IFERROR(TRIM(INDEX('Pegar calibracion'!$A$1:$BZ$1001,208,K$2)&amp;""),""))</f>
        <v/>
      </c>
      <c r="L209">
        <f>IF(L$2=0,"",IFERROR(TRIM(INDEX('Pegar calibracion'!$A$1:$BZ$1001,208,L$2)&amp;""),""))</f>
        <v/>
      </c>
      <c r="M209" s="25">
        <f>IF(D209="","",SUBSTITUTE(SUBSTITUTE(SUBSTITUTE(SUBSTITUTE(SUBSTITUTE(SUBSTITUTE(SUBSTITUTE(SUBSTITUTE(SUBSTITUTE(SUBSTITUTE(SUBSTITUTE(SUBSTITUTE(LOWER(TRIM(D209)),"á","a"),"é","e"),"í","i"),"ó","o"),"ú","u"),"ü","u"),"ñ","n"),"à","a"),"è","e"),"ì","i"),"ò","o"),"ù","u"))</f>
        <v/>
      </c>
      <c r="N209" s="25">
        <f>IF(F209="","",SUBSTITUTE(SUBSTITUTE(SUBSTITUTE(SUBSTITUTE(SUBSTITUTE(SUBSTITUTE(SUBSTITUTE(SUBSTITUTE(SUBSTITUTE(SUBSTITUTE(SUBSTITUTE(SUBSTITUTE(LOWER(TRIM(F209)),"á","a"),"é","e"),"í","i"),"ó","o"),"ú","u"),"ü","u"),"ñ","n"),"à","a"),"è","e"),"ì","i"),"ò","o"),"ù","u"))</f>
        <v/>
      </c>
      <c r="O209" s="25">
        <f>IF(M209="confiable",2,IF(M209="dudosa",1,IF(M209="no confiable",0,"")))</f>
        <v/>
      </c>
      <c r="P209" s="25">
        <f>IF(N209="confiable",2,IF(N209="dudosa",1,IF(N209="no confiable",0,"")))</f>
        <v/>
      </c>
      <c r="Q209" s="25">
        <f>IF(AND(ISNUMBER(O209),ISNUMBER(P209)),1,"")</f>
        <v/>
      </c>
      <c r="R209" s="25">
        <f>IF(Q209=1,IF(O209=P209,"Sí","No"),"")</f>
        <v/>
      </c>
      <c r="S209" s="25">
        <f>IF(Q209=1,IF(P209&lt;O209,"Más estricto",IF(P209&gt;O209,"Más permisivo","Igual")),"")</f>
        <v/>
      </c>
      <c r="T209" s="25">
        <f>IF(Q209=1,IF(ABS(O209-P209)=2,1,0),"")</f>
        <v/>
      </c>
      <c r="U209" s="25">
        <f>IF(H209="","","|"&amp;SUBSTITUTE(SUBSTITUTE(TRIM(H209)," |","|"),"| ","|")&amp;"|")</f>
        <v/>
      </c>
      <c r="V209" s="25">
        <f>IF(AND(Q209=1,B209&lt;&gt;""),IF(IFERROR(COUNTIFS(B$3:B209,"="&amp;SUBSTITUTE(SUBSTITUTE(SUBSTITUTE(B209,"~","~~"),"*","~*"),"?","~?"),Q$3:Q209,1),0)=1,MAX(V$2:V208)+1,""),"")</f>
        <v/>
      </c>
      <c r="W209" s="25">
        <f>IF(V209="","",COUNTIFS($B$3:$B$1002,"="&amp;SUBSTITUTE(SUBSTITUTE(SUBSTITUTE(B209,"~","~~"),"*","~*"),"?","~?"),$Q$3:$Q$1002,1)*10000-V209)</f>
        <v/>
      </c>
      <c r="X209" s="25">
        <f>IF(Q209=1,IF(SUBSTITUTE(SUBSTITUTE(SUBSTITUTE(SUBSTITUTE(SUBSTITUTE(SUBSTITUTE(SUBSTITUTE(SUBSTITUTE(SUBSTITUTE(SUBSTITUTE(SUBSTITUTE(SUBSTITUTE(LOWER(TRIM(A209)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209)),"á","a"),"é","e"),"í","i"),"ó","o"),"ú","u"),"ü","u"),"ñ","n"),"à","a"),"è","e"),"ì","i"),"ò","o"),"ù","u")),"")</f>
        <v/>
      </c>
      <c r="Y209" s="25">
        <f>IF(X209="","",IF(IFERROR(COUNTIF(X$3:X209,"="&amp;SUBSTITUTE(SUBSTITUTE(SUBSTITUTE(X209,"~","~~"),"*","~*"),"?","~?")),0)=1,1,""))</f>
        <v/>
      </c>
      <c r="Z209" s="25">
        <f>IF(T209=1,MAX(Z$2:Z208)+1,"")</f>
        <v/>
      </c>
    </row>
    <row r="210">
      <c r="A210">
        <f>IF(A$2=0,"",IFERROR(TRIM(INDEX('Pegar calibracion'!$A$1:$BZ$1001,209,A$2)&amp;""),""))</f>
        <v/>
      </c>
      <c r="B210">
        <f>IF(B$2=0,"",IFERROR(TRIM(INDEX('Pegar calibracion'!$A$1:$BZ$1001,209,B$2)&amp;""),""))</f>
        <v/>
      </c>
      <c r="C210">
        <f>IF(C$2=0,"",IFERROR(TRIM(INDEX('Pegar calibracion'!$A$1:$BZ$1001,209,C$2)&amp;""),""))</f>
        <v/>
      </c>
      <c r="D210">
        <f>IF(D$2=0,"",IFERROR(TRIM(INDEX('Pegar calibracion'!$A$1:$BZ$1001,209,D$2)&amp;""),""))</f>
        <v/>
      </c>
      <c r="E210">
        <f>IF(E$2=0,"",IFERROR(TRIM(INDEX('Pegar calibracion'!$A$1:$BZ$1001,209,E$2)&amp;""),""))</f>
        <v/>
      </c>
      <c r="F210">
        <f>IF(F$2=0,"",IFERROR(TRIM(INDEX('Pegar calibracion'!$A$1:$BZ$1001,209,F$2)&amp;""),""))</f>
        <v/>
      </c>
      <c r="G210">
        <f>IF(G$2=0,"",IFERROR(TRIM(INDEX('Pegar calibracion'!$A$1:$BZ$1001,209,G$2)&amp;""),""))</f>
        <v/>
      </c>
      <c r="H210">
        <f>IF(H$2=0,"",IFERROR(TRIM(INDEX('Pegar calibracion'!$A$1:$BZ$1001,209,H$2)&amp;""),""))</f>
        <v/>
      </c>
      <c r="I210">
        <f>IF(I$2=0,"",IFERROR(TRIM(INDEX('Pegar calibracion'!$A$1:$BZ$1001,209,I$2)&amp;""),""))</f>
        <v/>
      </c>
      <c r="J210">
        <f>IF(J$2=0,"",IFERROR(TRIM(INDEX('Pegar calibracion'!$A$1:$BZ$1001,209,J$2)&amp;""),""))</f>
        <v/>
      </c>
      <c r="K210">
        <f>IF(K$2=0,"",IFERROR(TRIM(INDEX('Pegar calibracion'!$A$1:$BZ$1001,209,K$2)&amp;""),""))</f>
        <v/>
      </c>
      <c r="L210">
        <f>IF(L$2=0,"",IFERROR(TRIM(INDEX('Pegar calibracion'!$A$1:$BZ$1001,209,L$2)&amp;""),""))</f>
        <v/>
      </c>
      <c r="M210" s="25">
        <f>IF(D210="","",SUBSTITUTE(SUBSTITUTE(SUBSTITUTE(SUBSTITUTE(SUBSTITUTE(SUBSTITUTE(SUBSTITUTE(SUBSTITUTE(SUBSTITUTE(SUBSTITUTE(SUBSTITUTE(SUBSTITUTE(LOWER(TRIM(D210)),"á","a"),"é","e"),"í","i"),"ó","o"),"ú","u"),"ü","u"),"ñ","n"),"à","a"),"è","e"),"ì","i"),"ò","o"),"ù","u"))</f>
        <v/>
      </c>
      <c r="N210" s="25">
        <f>IF(F210="","",SUBSTITUTE(SUBSTITUTE(SUBSTITUTE(SUBSTITUTE(SUBSTITUTE(SUBSTITUTE(SUBSTITUTE(SUBSTITUTE(SUBSTITUTE(SUBSTITUTE(SUBSTITUTE(SUBSTITUTE(LOWER(TRIM(F210)),"á","a"),"é","e"),"í","i"),"ó","o"),"ú","u"),"ü","u"),"ñ","n"),"à","a"),"è","e"),"ì","i"),"ò","o"),"ù","u"))</f>
        <v/>
      </c>
      <c r="O210" s="25">
        <f>IF(M210="confiable",2,IF(M210="dudosa",1,IF(M210="no confiable",0,"")))</f>
        <v/>
      </c>
      <c r="P210" s="25">
        <f>IF(N210="confiable",2,IF(N210="dudosa",1,IF(N210="no confiable",0,"")))</f>
        <v/>
      </c>
      <c r="Q210" s="25">
        <f>IF(AND(ISNUMBER(O210),ISNUMBER(P210)),1,"")</f>
        <v/>
      </c>
      <c r="R210" s="25">
        <f>IF(Q210=1,IF(O210=P210,"Sí","No"),"")</f>
        <v/>
      </c>
      <c r="S210" s="25">
        <f>IF(Q210=1,IF(P210&lt;O210,"Más estricto",IF(P210&gt;O210,"Más permisivo","Igual")),"")</f>
        <v/>
      </c>
      <c r="T210" s="25">
        <f>IF(Q210=1,IF(ABS(O210-P210)=2,1,0),"")</f>
        <v/>
      </c>
      <c r="U210" s="25">
        <f>IF(H210="","","|"&amp;SUBSTITUTE(SUBSTITUTE(TRIM(H210)," |","|"),"| ","|")&amp;"|")</f>
        <v/>
      </c>
      <c r="V210" s="25">
        <f>IF(AND(Q210=1,B210&lt;&gt;""),IF(IFERROR(COUNTIFS(B$3:B210,"="&amp;SUBSTITUTE(SUBSTITUTE(SUBSTITUTE(B210,"~","~~"),"*","~*"),"?","~?"),Q$3:Q210,1),0)=1,MAX(V$2:V209)+1,""),"")</f>
        <v/>
      </c>
      <c r="W210" s="25">
        <f>IF(V210="","",COUNTIFS($B$3:$B$1002,"="&amp;SUBSTITUTE(SUBSTITUTE(SUBSTITUTE(B210,"~","~~"),"*","~*"),"?","~?"),$Q$3:$Q$1002,1)*10000-V210)</f>
        <v/>
      </c>
      <c r="X210" s="25">
        <f>IF(Q210=1,IF(SUBSTITUTE(SUBSTITUTE(SUBSTITUTE(SUBSTITUTE(SUBSTITUTE(SUBSTITUTE(SUBSTITUTE(SUBSTITUTE(SUBSTITUTE(SUBSTITUTE(SUBSTITUTE(SUBSTITUTE(LOWER(TRIM(A210)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210)),"á","a"),"é","e"),"í","i"),"ó","o"),"ú","u"),"ü","u"),"ñ","n"),"à","a"),"è","e"),"ì","i"),"ò","o"),"ù","u")),"")</f>
        <v/>
      </c>
      <c r="Y210" s="25">
        <f>IF(X210="","",IF(IFERROR(COUNTIF(X$3:X210,"="&amp;SUBSTITUTE(SUBSTITUTE(SUBSTITUTE(X210,"~","~~"),"*","~*"),"?","~?")),0)=1,1,""))</f>
        <v/>
      </c>
      <c r="Z210" s="25">
        <f>IF(T210=1,MAX(Z$2:Z209)+1,"")</f>
        <v/>
      </c>
    </row>
    <row r="211">
      <c r="A211">
        <f>IF(A$2=0,"",IFERROR(TRIM(INDEX('Pegar calibracion'!$A$1:$BZ$1001,210,A$2)&amp;""),""))</f>
        <v/>
      </c>
      <c r="B211">
        <f>IF(B$2=0,"",IFERROR(TRIM(INDEX('Pegar calibracion'!$A$1:$BZ$1001,210,B$2)&amp;""),""))</f>
        <v/>
      </c>
      <c r="C211">
        <f>IF(C$2=0,"",IFERROR(TRIM(INDEX('Pegar calibracion'!$A$1:$BZ$1001,210,C$2)&amp;""),""))</f>
        <v/>
      </c>
      <c r="D211">
        <f>IF(D$2=0,"",IFERROR(TRIM(INDEX('Pegar calibracion'!$A$1:$BZ$1001,210,D$2)&amp;""),""))</f>
        <v/>
      </c>
      <c r="E211">
        <f>IF(E$2=0,"",IFERROR(TRIM(INDEX('Pegar calibracion'!$A$1:$BZ$1001,210,E$2)&amp;""),""))</f>
        <v/>
      </c>
      <c r="F211">
        <f>IF(F$2=0,"",IFERROR(TRIM(INDEX('Pegar calibracion'!$A$1:$BZ$1001,210,F$2)&amp;""),""))</f>
        <v/>
      </c>
      <c r="G211">
        <f>IF(G$2=0,"",IFERROR(TRIM(INDEX('Pegar calibracion'!$A$1:$BZ$1001,210,G$2)&amp;""),""))</f>
        <v/>
      </c>
      <c r="H211">
        <f>IF(H$2=0,"",IFERROR(TRIM(INDEX('Pegar calibracion'!$A$1:$BZ$1001,210,H$2)&amp;""),""))</f>
        <v/>
      </c>
      <c r="I211">
        <f>IF(I$2=0,"",IFERROR(TRIM(INDEX('Pegar calibracion'!$A$1:$BZ$1001,210,I$2)&amp;""),""))</f>
        <v/>
      </c>
      <c r="J211">
        <f>IF(J$2=0,"",IFERROR(TRIM(INDEX('Pegar calibracion'!$A$1:$BZ$1001,210,J$2)&amp;""),""))</f>
        <v/>
      </c>
      <c r="K211">
        <f>IF(K$2=0,"",IFERROR(TRIM(INDEX('Pegar calibracion'!$A$1:$BZ$1001,210,K$2)&amp;""),""))</f>
        <v/>
      </c>
      <c r="L211">
        <f>IF(L$2=0,"",IFERROR(TRIM(INDEX('Pegar calibracion'!$A$1:$BZ$1001,210,L$2)&amp;""),""))</f>
        <v/>
      </c>
      <c r="M211" s="25">
        <f>IF(D211="","",SUBSTITUTE(SUBSTITUTE(SUBSTITUTE(SUBSTITUTE(SUBSTITUTE(SUBSTITUTE(SUBSTITUTE(SUBSTITUTE(SUBSTITUTE(SUBSTITUTE(SUBSTITUTE(SUBSTITUTE(LOWER(TRIM(D211)),"á","a"),"é","e"),"í","i"),"ó","o"),"ú","u"),"ü","u"),"ñ","n"),"à","a"),"è","e"),"ì","i"),"ò","o"),"ù","u"))</f>
        <v/>
      </c>
      <c r="N211" s="25">
        <f>IF(F211="","",SUBSTITUTE(SUBSTITUTE(SUBSTITUTE(SUBSTITUTE(SUBSTITUTE(SUBSTITUTE(SUBSTITUTE(SUBSTITUTE(SUBSTITUTE(SUBSTITUTE(SUBSTITUTE(SUBSTITUTE(LOWER(TRIM(F211)),"á","a"),"é","e"),"í","i"),"ó","o"),"ú","u"),"ü","u"),"ñ","n"),"à","a"),"è","e"),"ì","i"),"ò","o"),"ù","u"))</f>
        <v/>
      </c>
      <c r="O211" s="25">
        <f>IF(M211="confiable",2,IF(M211="dudosa",1,IF(M211="no confiable",0,"")))</f>
        <v/>
      </c>
      <c r="P211" s="25">
        <f>IF(N211="confiable",2,IF(N211="dudosa",1,IF(N211="no confiable",0,"")))</f>
        <v/>
      </c>
      <c r="Q211" s="25">
        <f>IF(AND(ISNUMBER(O211),ISNUMBER(P211)),1,"")</f>
        <v/>
      </c>
      <c r="R211" s="25">
        <f>IF(Q211=1,IF(O211=P211,"Sí","No"),"")</f>
        <v/>
      </c>
      <c r="S211" s="25">
        <f>IF(Q211=1,IF(P211&lt;O211,"Más estricto",IF(P211&gt;O211,"Más permisivo","Igual")),"")</f>
        <v/>
      </c>
      <c r="T211" s="25">
        <f>IF(Q211=1,IF(ABS(O211-P211)=2,1,0),"")</f>
        <v/>
      </c>
      <c r="U211" s="25">
        <f>IF(H211="","","|"&amp;SUBSTITUTE(SUBSTITUTE(TRIM(H211)," |","|"),"| ","|")&amp;"|")</f>
        <v/>
      </c>
      <c r="V211" s="25">
        <f>IF(AND(Q211=1,B211&lt;&gt;""),IF(IFERROR(COUNTIFS(B$3:B211,"="&amp;SUBSTITUTE(SUBSTITUTE(SUBSTITUTE(B211,"~","~~"),"*","~*"),"?","~?"),Q$3:Q211,1),0)=1,MAX(V$2:V210)+1,""),"")</f>
        <v/>
      </c>
      <c r="W211" s="25">
        <f>IF(V211="","",COUNTIFS($B$3:$B$1002,"="&amp;SUBSTITUTE(SUBSTITUTE(SUBSTITUTE(B211,"~","~~"),"*","~*"),"?","~?"),$Q$3:$Q$1002,1)*10000-V211)</f>
        <v/>
      </c>
      <c r="X211" s="25">
        <f>IF(Q211=1,IF(SUBSTITUTE(SUBSTITUTE(SUBSTITUTE(SUBSTITUTE(SUBSTITUTE(SUBSTITUTE(SUBSTITUTE(SUBSTITUTE(SUBSTITUTE(SUBSTITUTE(SUBSTITUTE(SUBSTITUTE(LOWER(TRIM(A211)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211)),"á","a"),"é","e"),"í","i"),"ó","o"),"ú","u"),"ü","u"),"ñ","n"),"à","a"),"è","e"),"ì","i"),"ò","o"),"ù","u")),"")</f>
        <v/>
      </c>
      <c r="Y211" s="25">
        <f>IF(X211="","",IF(IFERROR(COUNTIF(X$3:X211,"="&amp;SUBSTITUTE(SUBSTITUTE(SUBSTITUTE(X211,"~","~~"),"*","~*"),"?","~?")),0)=1,1,""))</f>
        <v/>
      </c>
      <c r="Z211" s="25">
        <f>IF(T211=1,MAX(Z$2:Z210)+1,"")</f>
        <v/>
      </c>
    </row>
    <row r="212">
      <c r="A212">
        <f>IF(A$2=0,"",IFERROR(TRIM(INDEX('Pegar calibracion'!$A$1:$BZ$1001,211,A$2)&amp;""),""))</f>
        <v/>
      </c>
      <c r="B212">
        <f>IF(B$2=0,"",IFERROR(TRIM(INDEX('Pegar calibracion'!$A$1:$BZ$1001,211,B$2)&amp;""),""))</f>
        <v/>
      </c>
      <c r="C212">
        <f>IF(C$2=0,"",IFERROR(TRIM(INDEX('Pegar calibracion'!$A$1:$BZ$1001,211,C$2)&amp;""),""))</f>
        <v/>
      </c>
      <c r="D212">
        <f>IF(D$2=0,"",IFERROR(TRIM(INDEX('Pegar calibracion'!$A$1:$BZ$1001,211,D$2)&amp;""),""))</f>
        <v/>
      </c>
      <c r="E212">
        <f>IF(E$2=0,"",IFERROR(TRIM(INDEX('Pegar calibracion'!$A$1:$BZ$1001,211,E$2)&amp;""),""))</f>
        <v/>
      </c>
      <c r="F212">
        <f>IF(F$2=0,"",IFERROR(TRIM(INDEX('Pegar calibracion'!$A$1:$BZ$1001,211,F$2)&amp;""),""))</f>
        <v/>
      </c>
      <c r="G212">
        <f>IF(G$2=0,"",IFERROR(TRIM(INDEX('Pegar calibracion'!$A$1:$BZ$1001,211,G$2)&amp;""),""))</f>
        <v/>
      </c>
      <c r="H212">
        <f>IF(H$2=0,"",IFERROR(TRIM(INDEX('Pegar calibracion'!$A$1:$BZ$1001,211,H$2)&amp;""),""))</f>
        <v/>
      </c>
      <c r="I212">
        <f>IF(I$2=0,"",IFERROR(TRIM(INDEX('Pegar calibracion'!$A$1:$BZ$1001,211,I$2)&amp;""),""))</f>
        <v/>
      </c>
      <c r="J212">
        <f>IF(J$2=0,"",IFERROR(TRIM(INDEX('Pegar calibracion'!$A$1:$BZ$1001,211,J$2)&amp;""),""))</f>
        <v/>
      </c>
      <c r="K212">
        <f>IF(K$2=0,"",IFERROR(TRIM(INDEX('Pegar calibracion'!$A$1:$BZ$1001,211,K$2)&amp;""),""))</f>
        <v/>
      </c>
      <c r="L212">
        <f>IF(L$2=0,"",IFERROR(TRIM(INDEX('Pegar calibracion'!$A$1:$BZ$1001,211,L$2)&amp;""),""))</f>
        <v/>
      </c>
      <c r="M212" s="25">
        <f>IF(D212="","",SUBSTITUTE(SUBSTITUTE(SUBSTITUTE(SUBSTITUTE(SUBSTITUTE(SUBSTITUTE(SUBSTITUTE(SUBSTITUTE(SUBSTITUTE(SUBSTITUTE(SUBSTITUTE(SUBSTITUTE(LOWER(TRIM(D212)),"á","a"),"é","e"),"í","i"),"ó","o"),"ú","u"),"ü","u"),"ñ","n"),"à","a"),"è","e"),"ì","i"),"ò","o"),"ù","u"))</f>
        <v/>
      </c>
      <c r="N212" s="25">
        <f>IF(F212="","",SUBSTITUTE(SUBSTITUTE(SUBSTITUTE(SUBSTITUTE(SUBSTITUTE(SUBSTITUTE(SUBSTITUTE(SUBSTITUTE(SUBSTITUTE(SUBSTITUTE(SUBSTITUTE(SUBSTITUTE(LOWER(TRIM(F212)),"á","a"),"é","e"),"í","i"),"ó","o"),"ú","u"),"ü","u"),"ñ","n"),"à","a"),"è","e"),"ì","i"),"ò","o"),"ù","u"))</f>
        <v/>
      </c>
      <c r="O212" s="25">
        <f>IF(M212="confiable",2,IF(M212="dudosa",1,IF(M212="no confiable",0,"")))</f>
        <v/>
      </c>
      <c r="P212" s="25">
        <f>IF(N212="confiable",2,IF(N212="dudosa",1,IF(N212="no confiable",0,"")))</f>
        <v/>
      </c>
      <c r="Q212" s="25">
        <f>IF(AND(ISNUMBER(O212),ISNUMBER(P212)),1,"")</f>
        <v/>
      </c>
      <c r="R212" s="25">
        <f>IF(Q212=1,IF(O212=P212,"Sí","No"),"")</f>
        <v/>
      </c>
      <c r="S212" s="25">
        <f>IF(Q212=1,IF(P212&lt;O212,"Más estricto",IF(P212&gt;O212,"Más permisivo","Igual")),"")</f>
        <v/>
      </c>
      <c r="T212" s="25">
        <f>IF(Q212=1,IF(ABS(O212-P212)=2,1,0),"")</f>
        <v/>
      </c>
      <c r="U212" s="25">
        <f>IF(H212="","","|"&amp;SUBSTITUTE(SUBSTITUTE(TRIM(H212)," |","|"),"| ","|")&amp;"|")</f>
        <v/>
      </c>
      <c r="V212" s="25">
        <f>IF(AND(Q212=1,B212&lt;&gt;""),IF(IFERROR(COUNTIFS(B$3:B212,"="&amp;SUBSTITUTE(SUBSTITUTE(SUBSTITUTE(B212,"~","~~"),"*","~*"),"?","~?"),Q$3:Q212,1),0)=1,MAX(V$2:V211)+1,""),"")</f>
        <v/>
      </c>
      <c r="W212" s="25">
        <f>IF(V212="","",COUNTIFS($B$3:$B$1002,"="&amp;SUBSTITUTE(SUBSTITUTE(SUBSTITUTE(B212,"~","~~"),"*","~*"),"?","~?"),$Q$3:$Q$1002,1)*10000-V212)</f>
        <v/>
      </c>
      <c r="X212" s="25">
        <f>IF(Q212=1,IF(SUBSTITUTE(SUBSTITUTE(SUBSTITUTE(SUBSTITUTE(SUBSTITUTE(SUBSTITUTE(SUBSTITUTE(SUBSTITUTE(SUBSTITUTE(SUBSTITUTE(SUBSTITUTE(SUBSTITUTE(LOWER(TRIM(A212)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212)),"á","a"),"é","e"),"í","i"),"ó","o"),"ú","u"),"ü","u"),"ñ","n"),"à","a"),"è","e"),"ì","i"),"ò","o"),"ù","u")),"")</f>
        <v/>
      </c>
      <c r="Y212" s="25">
        <f>IF(X212="","",IF(IFERROR(COUNTIF(X$3:X212,"="&amp;SUBSTITUTE(SUBSTITUTE(SUBSTITUTE(X212,"~","~~"),"*","~*"),"?","~?")),0)=1,1,""))</f>
        <v/>
      </c>
      <c r="Z212" s="25">
        <f>IF(T212=1,MAX(Z$2:Z211)+1,"")</f>
        <v/>
      </c>
    </row>
    <row r="213">
      <c r="A213">
        <f>IF(A$2=0,"",IFERROR(TRIM(INDEX('Pegar calibracion'!$A$1:$BZ$1001,212,A$2)&amp;""),""))</f>
        <v/>
      </c>
      <c r="B213">
        <f>IF(B$2=0,"",IFERROR(TRIM(INDEX('Pegar calibracion'!$A$1:$BZ$1001,212,B$2)&amp;""),""))</f>
        <v/>
      </c>
      <c r="C213">
        <f>IF(C$2=0,"",IFERROR(TRIM(INDEX('Pegar calibracion'!$A$1:$BZ$1001,212,C$2)&amp;""),""))</f>
        <v/>
      </c>
      <c r="D213">
        <f>IF(D$2=0,"",IFERROR(TRIM(INDEX('Pegar calibracion'!$A$1:$BZ$1001,212,D$2)&amp;""),""))</f>
        <v/>
      </c>
      <c r="E213">
        <f>IF(E$2=0,"",IFERROR(TRIM(INDEX('Pegar calibracion'!$A$1:$BZ$1001,212,E$2)&amp;""),""))</f>
        <v/>
      </c>
      <c r="F213">
        <f>IF(F$2=0,"",IFERROR(TRIM(INDEX('Pegar calibracion'!$A$1:$BZ$1001,212,F$2)&amp;""),""))</f>
        <v/>
      </c>
      <c r="G213">
        <f>IF(G$2=0,"",IFERROR(TRIM(INDEX('Pegar calibracion'!$A$1:$BZ$1001,212,G$2)&amp;""),""))</f>
        <v/>
      </c>
      <c r="H213">
        <f>IF(H$2=0,"",IFERROR(TRIM(INDEX('Pegar calibracion'!$A$1:$BZ$1001,212,H$2)&amp;""),""))</f>
        <v/>
      </c>
      <c r="I213">
        <f>IF(I$2=0,"",IFERROR(TRIM(INDEX('Pegar calibracion'!$A$1:$BZ$1001,212,I$2)&amp;""),""))</f>
        <v/>
      </c>
      <c r="J213">
        <f>IF(J$2=0,"",IFERROR(TRIM(INDEX('Pegar calibracion'!$A$1:$BZ$1001,212,J$2)&amp;""),""))</f>
        <v/>
      </c>
      <c r="K213">
        <f>IF(K$2=0,"",IFERROR(TRIM(INDEX('Pegar calibracion'!$A$1:$BZ$1001,212,K$2)&amp;""),""))</f>
        <v/>
      </c>
      <c r="L213">
        <f>IF(L$2=0,"",IFERROR(TRIM(INDEX('Pegar calibracion'!$A$1:$BZ$1001,212,L$2)&amp;""),""))</f>
        <v/>
      </c>
      <c r="M213" s="25">
        <f>IF(D213="","",SUBSTITUTE(SUBSTITUTE(SUBSTITUTE(SUBSTITUTE(SUBSTITUTE(SUBSTITUTE(SUBSTITUTE(SUBSTITUTE(SUBSTITUTE(SUBSTITUTE(SUBSTITUTE(SUBSTITUTE(LOWER(TRIM(D213)),"á","a"),"é","e"),"í","i"),"ó","o"),"ú","u"),"ü","u"),"ñ","n"),"à","a"),"è","e"),"ì","i"),"ò","o"),"ù","u"))</f>
        <v/>
      </c>
      <c r="N213" s="25">
        <f>IF(F213="","",SUBSTITUTE(SUBSTITUTE(SUBSTITUTE(SUBSTITUTE(SUBSTITUTE(SUBSTITUTE(SUBSTITUTE(SUBSTITUTE(SUBSTITUTE(SUBSTITUTE(SUBSTITUTE(SUBSTITUTE(LOWER(TRIM(F213)),"á","a"),"é","e"),"í","i"),"ó","o"),"ú","u"),"ü","u"),"ñ","n"),"à","a"),"è","e"),"ì","i"),"ò","o"),"ù","u"))</f>
        <v/>
      </c>
      <c r="O213" s="25">
        <f>IF(M213="confiable",2,IF(M213="dudosa",1,IF(M213="no confiable",0,"")))</f>
        <v/>
      </c>
      <c r="P213" s="25">
        <f>IF(N213="confiable",2,IF(N213="dudosa",1,IF(N213="no confiable",0,"")))</f>
        <v/>
      </c>
      <c r="Q213" s="25">
        <f>IF(AND(ISNUMBER(O213),ISNUMBER(P213)),1,"")</f>
        <v/>
      </c>
      <c r="R213" s="25">
        <f>IF(Q213=1,IF(O213=P213,"Sí","No"),"")</f>
        <v/>
      </c>
      <c r="S213" s="25">
        <f>IF(Q213=1,IF(P213&lt;O213,"Más estricto",IF(P213&gt;O213,"Más permisivo","Igual")),"")</f>
        <v/>
      </c>
      <c r="T213" s="25">
        <f>IF(Q213=1,IF(ABS(O213-P213)=2,1,0),"")</f>
        <v/>
      </c>
      <c r="U213" s="25">
        <f>IF(H213="","","|"&amp;SUBSTITUTE(SUBSTITUTE(TRIM(H213)," |","|"),"| ","|")&amp;"|")</f>
        <v/>
      </c>
      <c r="V213" s="25">
        <f>IF(AND(Q213=1,B213&lt;&gt;""),IF(IFERROR(COUNTIFS(B$3:B213,"="&amp;SUBSTITUTE(SUBSTITUTE(SUBSTITUTE(B213,"~","~~"),"*","~*"),"?","~?"),Q$3:Q213,1),0)=1,MAX(V$2:V212)+1,""),"")</f>
        <v/>
      </c>
      <c r="W213" s="25">
        <f>IF(V213="","",COUNTIFS($B$3:$B$1002,"="&amp;SUBSTITUTE(SUBSTITUTE(SUBSTITUTE(B213,"~","~~"),"*","~*"),"?","~?"),$Q$3:$Q$1002,1)*10000-V213)</f>
        <v/>
      </c>
      <c r="X213" s="25">
        <f>IF(Q213=1,IF(SUBSTITUTE(SUBSTITUTE(SUBSTITUTE(SUBSTITUTE(SUBSTITUTE(SUBSTITUTE(SUBSTITUTE(SUBSTITUTE(SUBSTITUTE(SUBSTITUTE(SUBSTITUTE(SUBSTITUTE(LOWER(TRIM(A213)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213)),"á","a"),"é","e"),"í","i"),"ó","o"),"ú","u"),"ü","u"),"ñ","n"),"à","a"),"è","e"),"ì","i"),"ò","o"),"ù","u")),"")</f>
        <v/>
      </c>
      <c r="Y213" s="25">
        <f>IF(X213="","",IF(IFERROR(COUNTIF(X$3:X213,"="&amp;SUBSTITUTE(SUBSTITUTE(SUBSTITUTE(X213,"~","~~"),"*","~*"),"?","~?")),0)=1,1,""))</f>
        <v/>
      </c>
      <c r="Z213" s="25">
        <f>IF(T213=1,MAX(Z$2:Z212)+1,"")</f>
        <v/>
      </c>
    </row>
    <row r="214">
      <c r="A214">
        <f>IF(A$2=0,"",IFERROR(TRIM(INDEX('Pegar calibracion'!$A$1:$BZ$1001,213,A$2)&amp;""),""))</f>
        <v/>
      </c>
      <c r="B214">
        <f>IF(B$2=0,"",IFERROR(TRIM(INDEX('Pegar calibracion'!$A$1:$BZ$1001,213,B$2)&amp;""),""))</f>
        <v/>
      </c>
      <c r="C214">
        <f>IF(C$2=0,"",IFERROR(TRIM(INDEX('Pegar calibracion'!$A$1:$BZ$1001,213,C$2)&amp;""),""))</f>
        <v/>
      </c>
      <c r="D214">
        <f>IF(D$2=0,"",IFERROR(TRIM(INDEX('Pegar calibracion'!$A$1:$BZ$1001,213,D$2)&amp;""),""))</f>
        <v/>
      </c>
      <c r="E214">
        <f>IF(E$2=0,"",IFERROR(TRIM(INDEX('Pegar calibracion'!$A$1:$BZ$1001,213,E$2)&amp;""),""))</f>
        <v/>
      </c>
      <c r="F214">
        <f>IF(F$2=0,"",IFERROR(TRIM(INDEX('Pegar calibracion'!$A$1:$BZ$1001,213,F$2)&amp;""),""))</f>
        <v/>
      </c>
      <c r="G214">
        <f>IF(G$2=0,"",IFERROR(TRIM(INDEX('Pegar calibracion'!$A$1:$BZ$1001,213,G$2)&amp;""),""))</f>
        <v/>
      </c>
      <c r="H214">
        <f>IF(H$2=0,"",IFERROR(TRIM(INDEX('Pegar calibracion'!$A$1:$BZ$1001,213,H$2)&amp;""),""))</f>
        <v/>
      </c>
      <c r="I214">
        <f>IF(I$2=0,"",IFERROR(TRIM(INDEX('Pegar calibracion'!$A$1:$BZ$1001,213,I$2)&amp;""),""))</f>
        <v/>
      </c>
      <c r="J214">
        <f>IF(J$2=0,"",IFERROR(TRIM(INDEX('Pegar calibracion'!$A$1:$BZ$1001,213,J$2)&amp;""),""))</f>
        <v/>
      </c>
      <c r="K214">
        <f>IF(K$2=0,"",IFERROR(TRIM(INDEX('Pegar calibracion'!$A$1:$BZ$1001,213,K$2)&amp;""),""))</f>
        <v/>
      </c>
      <c r="L214">
        <f>IF(L$2=0,"",IFERROR(TRIM(INDEX('Pegar calibracion'!$A$1:$BZ$1001,213,L$2)&amp;""),""))</f>
        <v/>
      </c>
      <c r="M214" s="25">
        <f>IF(D214="","",SUBSTITUTE(SUBSTITUTE(SUBSTITUTE(SUBSTITUTE(SUBSTITUTE(SUBSTITUTE(SUBSTITUTE(SUBSTITUTE(SUBSTITUTE(SUBSTITUTE(SUBSTITUTE(SUBSTITUTE(LOWER(TRIM(D214)),"á","a"),"é","e"),"í","i"),"ó","o"),"ú","u"),"ü","u"),"ñ","n"),"à","a"),"è","e"),"ì","i"),"ò","o"),"ù","u"))</f>
        <v/>
      </c>
      <c r="N214" s="25">
        <f>IF(F214="","",SUBSTITUTE(SUBSTITUTE(SUBSTITUTE(SUBSTITUTE(SUBSTITUTE(SUBSTITUTE(SUBSTITUTE(SUBSTITUTE(SUBSTITUTE(SUBSTITUTE(SUBSTITUTE(SUBSTITUTE(LOWER(TRIM(F214)),"á","a"),"é","e"),"í","i"),"ó","o"),"ú","u"),"ü","u"),"ñ","n"),"à","a"),"è","e"),"ì","i"),"ò","o"),"ù","u"))</f>
        <v/>
      </c>
      <c r="O214" s="25">
        <f>IF(M214="confiable",2,IF(M214="dudosa",1,IF(M214="no confiable",0,"")))</f>
        <v/>
      </c>
      <c r="P214" s="25">
        <f>IF(N214="confiable",2,IF(N214="dudosa",1,IF(N214="no confiable",0,"")))</f>
        <v/>
      </c>
      <c r="Q214" s="25">
        <f>IF(AND(ISNUMBER(O214),ISNUMBER(P214)),1,"")</f>
        <v/>
      </c>
      <c r="R214" s="25">
        <f>IF(Q214=1,IF(O214=P214,"Sí","No"),"")</f>
        <v/>
      </c>
      <c r="S214" s="25">
        <f>IF(Q214=1,IF(P214&lt;O214,"Más estricto",IF(P214&gt;O214,"Más permisivo","Igual")),"")</f>
        <v/>
      </c>
      <c r="T214" s="25">
        <f>IF(Q214=1,IF(ABS(O214-P214)=2,1,0),"")</f>
        <v/>
      </c>
      <c r="U214" s="25">
        <f>IF(H214="","","|"&amp;SUBSTITUTE(SUBSTITUTE(TRIM(H214)," |","|"),"| ","|")&amp;"|")</f>
        <v/>
      </c>
      <c r="V214" s="25">
        <f>IF(AND(Q214=1,B214&lt;&gt;""),IF(IFERROR(COUNTIFS(B$3:B214,"="&amp;SUBSTITUTE(SUBSTITUTE(SUBSTITUTE(B214,"~","~~"),"*","~*"),"?","~?"),Q$3:Q214,1),0)=1,MAX(V$2:V213)+1,""),"")</f>
        <v/>
      </c>
      <c r="W214" s="25">
        <f>IF(V214="","",COUNTIFS($B$3:$B$1002,"="&amp;SUBSTITUTE(SUBSTITUTE(SUBSTITUTE(B214,"~","~~"),"*","~*"),"?","~?"),$Q$3:$Q$1002,1)*10000-V214)</f>
        <v/>
      </c>
      <c r="X214" s="25">
        <f>IF(Q214=1,IF(SUBSTITUTE(SUBSTITUTE(SUBSTITUTE(SUBSTITUTE(SUBSTITUTE(SUBSTITUTE(SUBSTITUTE(SUBSTITUTE(SUBSTITUTE(SUBSTITUTE(SUBSTITUTE(SUBSTITUTE(LOWER(TRIM(A214)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214)),"á","a"),"é","e"),"í","i"),"ó","o"),"ú","u"),"ü","u"),"ñ","n"),"à","a"),"è","e"),"ì","i"),"ò","o"),"ù","u")),"")</f>
        <v/>
      </c>
      <c r="Y214" s="25">
        <f>IF(X214="","",IF(IFERROR(COUNTIF(X$3:X214,"="&amp;SUBSTITUTE(SUBSTITUTE(SUBSTITUTE(X214,"~","~~"),"*","~*"),"?","~?")),0)=1,1,""))</f>
        <v/>
      </c>
      <c r="Z214" s="25">
        <f>IF(T214=1,MAX(Z$2:Z213)+1,"")</f>
        <v/>
      </c>
    </row>
    <row r="215">
      <c r="A215">
        <f>IF(A$2=0,"",IFERROR(TRIM(INDEX('Pegar calibracion'!$A$1:$BZ$1001,214,A$2)&amp;""),""))</f>
        <v/>
      </c>
      <c r="B215">
        <f>IF(B$2=0,"",IFERROR(TRIM(INDEX('Pegar calibracion'!$A$1:$BZ$1001,214,B$2)&amp;""),""))</f>
        <v/>
      </c>
      <c r="C215">
        <f>IF(C$2=0,"",IFERROR(TRIM(INDEX('Pegar calibracion'!$A$1:$BZ$1001,214,C$2)&amp;""),""))</f>
        <v/>
      </c>
      <c r="D215">
        <f>IF(D$2=0,"",IFERROR(TRIM(INDEX('Pegar calibracion'!$A$1:$BZ$1001,214,D$2)&amp;""),""))</f>
        <v/>
      </c>
      <c r="E215">
        <f>IF(E$2=0,"",IFERROR(TRIM(INDEX('Pegar calibracion'!$A$1:$BZ$1001,214,E$2)&amp;""),""))</f>
        <v/>
      </c>
      <c r="F215">
        <f>IF(F$2=0,"",IFERROR(TRIM(INDEX('Pegar calibracion'!$A$1:$BZ$1001,214,F$2)&amp;""),""))</f>
        <v/>
      </c>
      <c r="G215">
        <f>IF(G$2=0,"",IFERROR(TRIM(INDEX('Pegar calibracion'!$A$1:$BZ$1001,214,G$2)&amp;""),""))</f>
        <v/>
      </c>
      <c r="H215">
        <f>IF(H$2=0,"",IFERROR(TRIM(INDEX('Pegar calibracion'!$A$1:$BZ$1001,214,H$2)&amp;""),""))</f>
        <v/>
      </c>
      <c r="I215">
        <f>IF(I$2=0,"",IFERROR(TRIM(INDEX('Pegar calibracion'!$A$1:$BZ$1001,214,I$2)&amp;""),""))</f>
        <v/>
      </c>
      <c r="J215">
        <f>IF(J$2=0,"",IFERROR(TRIM(INDEX('Pegar calibracion'!$A$1:$BZ$1001,214,J$2)&amp;""),""))</f>
        <v/>
      </c>
      <c r="K215">
        <f>IF(K$2=0,"",IFERROR(TRIM(INDEX('Pegar calibracion'!$A$1:$BZ$1001,214,K$2)&amp;""),""))</f>
        <v/>
      </c>
      <c r="L215">
        <f>IF(L$2=0,"",IFERROR(TRIM(INDEX('Pegar calibracion'!$A$1:$BZ$1001,214,L$2)&amp;""),""))</f>
        <v/>
      </c>
      <c r="M215" s="25">
        <f>IF(D215="","",SUBSTITUTE(SUBSTITUTE(SUBSTITUTE(SUBSTITUTE(SUBSTITUTE(SUBSTITUTE(SUBSTITUTE(SUBSTITUTE(SUBSTITUTE(SUBSTITUTE(SUBSTITUTE(SUBSTITUTE(LOWER(TRIM(D215)),"á","a"),"é","e"),"í","i"),"ó","o"),"ú","u"),"ü","u"),"ñ","n"),"à","a"),"è","e"),"ì","i"),"ò","o"),"ù","u"))</f>
        <v/>
      </c>
      <c r="N215" s="25">
        <f>IF(F215="","",SUBSTITUTE(SUBSTITUTE(SUBSTITUTE(SUBSTITUTE(SUBSTITUTE(SUBSTITUTE(SUBSTITUTE(SUBSTITUTE(SUBSTITUTE(SUBSTITUTE(SUBSTITUTE(SUBSTITUTE(LOWER(TRIM(F215)),"á","a"),"é","e"),"í","i"),"ó","o"),"ú","u"),"ü","u"),"ñ","n"),"à","a"),"è","e"),"ì","i"),"ò","o"),"ù","u"))</f>
        <v/>
      </c>
      <c r="O215" s="25">
        <f>IF(M215="confiable",2,IF(M215="dudosa",1,IF(M215="no confiable",0,"")))</f>
        <v/>
      </c>
      <c r="P215" s="25">
        <f>IF(N215="confiable",2,IF(N215="dudosa",1,IF(N215="no confiable",0,"")))</f>
        <v/>
      </c>
      <c r="Q215" s="25">
        <f>IF(AND(ISNUMBER(O215),ISNUMBER(P215)),1,"")</f>
        <v/>
      </c>
      <c r="R215" s="25">
        <f>IF(Q215=1,IF(O215=P215,"Sí","No"),"")</f>
        <v/>
      </c>
      <c r="S215" s="25">
        <f>IF(Q215=1,IF(P215&lt;O215,"Más estricto",IF(P215&gt;O215,"Más permisivo","Igual")),"")</f>
        <v/>
      </c>
      <c r="T215" s="25">
        <f>IF(Q215=1,IF(ABS(O215-P215)=2,1,0),"")</f>
        <v/>
      </c>
      <c r="U215" s="25">
        <f>IF(H215="","","|"&amp;SUBSTITUTE(SUBSTITUTE(TRIM(H215)," |","|"),"| ","|")&amp;"|")</f>
        <v/>
      </c>
      <c r="V215" s="25">
        <f>IF(AND(Q215=1,B215&lt;&gt;""),IF(IFERROR(COUNTIFS(B$3:B215,"="&amp;SUBSTITUTE(SUBSTITUTE(SUBSTITUTE(B215,"~","~~"),"*","~*"),"?","~?"),Q$3:Q215,1),0)=1,MAX(V$2:V214)+1,""),"")</f>
        <v/>
      </c>
      <c r="W215" s="25">
        <f>IF(V215="","",COUNTIFS($B$3:$B$1002,"="&amp;SUBSTITUTE(SUBSTITUTE(SUBSTITUTE(B215,"~","~~"),"*","~*"),"?","~?"),$Q$3:$Q$1002,1)*10000-V215)</f>
        <v/>
      </c>
      <c r="X215" s="25">
        <f>IF(Q215=1,IF(SUBSTITUTE(SUBSTITUTE(SUBSTITUTE(SUBSTITUTE(SUBSTITUTE(SUBSTITUTE(SUBSTITUTE(SUBSTITUTE(SUBSTITUTE(SUBSTITUTE(SUBSTITUTE(SUBSTITUTE(LOWER(TRIM(A215)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215)),"á","a"),"é","e"),"í","i"),"ó","o"),"ú","u"),"ü","u"),"ñ","n"),"à","a"),"è","e"),"ì","i"),"ò","o"),"ù","u")),"")</f>
        <v/>
      </c>
      <c r="Y215" s="25">
        <f>IF(X215="","",IF(IFERROR(COUNTIF(X$3:X215,"="&amp;SUBSTITUTE(SUBSTITUTE(SUBSTITUTE(X215,"~","~~"),"*","~*"),"?","~?")),0)=1,1,""))</f>
        <v/>
      </c>
      <c r="Z215" s="25">
        <f>IF(T215=1,MAX(Z$2:Z214)+1,"")</f>
        <v/>
      </c>
    </row>
    <row r="216">
      <c r="A216">
        <f>IF(A$2=0,"",IFERROR(TRIM(INDEX('Pegar calibracion'!$A$1:$BZ$1001,215,A$2)&amp;""),""))</f>
        <v/>
      </c>
      <c r="B216">
        <f>IF(B$2=0,"",IFERROR(TRIM(INDEX('Pegar calibracion'!$A$1:$BZ$1001,215,B$2)&amp;""),""))</f>
        <v/>
      </c>
      <c r="C216">
        <f>IF(C$2=0,"",IFERROR(TRIM(INDEX('Pegar calibracion'!$A$1:$BZ$1001,215,C$2)&amp;""),""))</f>
        <v/>
      </c>
      <c r="D216">
        <f>IF(D$2=0,"",IFERROR(TRIM(INDEX('Pegar calibracion'!$A$1:$BZ$1001,215,D$2)&amp;""),""))</f>
        <v/>
      </c>
      <c r="E216">
        <f>IF(E$2=0,"",IFERROR(TRIM(INDEX('Pegar calibracion'!$A$1:$BZ$1001,215,E$2)&amp;""),""))</f>
        <v/>
      </c>
      <c r="F216">
        <f>IF(F$2=0,"",IFERROR(TRIM(INDEX('Pegar calibracion'!$A$1:$BZ$1001,215,F$2)&amp;""),""))</f>
        <v/>
      </c>
      <c r="G216">
        <f>IF(G$2=0,"",IFERROR(TRIM(INDEX('Pegar calibracion'!$A$1:$BZ$1001,215,G$2)&amp;""),""))</f>
        <v/>
      </c>
      <c r="H216">
        <f>IF(H$2=0,"",IFERROR(TRIM(INDEX('Pegar calibracion'!$A$1:$BZ$1001,215,H$2)&amp;""),""))</f>
        <v/>
      </c>
      <c r="I216">
        <f>IF(I$2=0,"",IFERROR(TRIM(INDEX('Pegar calibracion'!$A$1:$BZ$1001,215,I$2)&amp;""),""))</f>
        <v/>
      </c>
      <c r="J216">
        <f>IF(J$2=0,"",IFERROR(TRIM(INDEX('Pegar calibracion'!$A$1:$BZ$1001,215,J$2)&amp;""),""))</f>
        <v/>
      </c>
      <c r="K216">
        <f>IF(K$2=0,"",IFERROR(TRIM(INDEX('Pegar calibracion'!$A$1:$BZ$1001,215,K$2)&amp;""),""))</f>
        <v/>
      </c>
      <c r="L216">
        <f>IF(L$2=0,"",IFERROR(TRIM(INDEX('Pegar calibracion'!$A$1:$BZ$1001,215,L$2)&amp;""),""))</f>
        <v/>
      </c>
      <c r="M216" s="25">
        <f>IF(D216="","",SUBSTITUTE(SUBSTITUTE(SUBSTITUTE(SUBSTITUTE(SUBSTITUTE(SUBSTITUTE(SUBSTITUTE(SUBSTITUTE(SUBSTITUTE(SUBSTITUTE(SUBSTITUTE(SUBSTITUTE(LOWER(TRIM(D216)),"á","a"),"é","e"),"í","i"),"ó","o"),"ú","u"),"ü","u"),"ñ","n"),"à","a"),"è","e"),"ì","i"),"ò","o"),"ù","u"))</f>
        <v/>
      </c>
      <c r="N216" s="25">
        <f>IF(F216="","",SUBSTITUTE(SUBSTITUTE(SUBSTITUTE(SUBSTITUTE(SUBSTITUTE(SUBSTITUTE(SUBSTITUTE(SUBSTITUTE(SUBSTITUTE(SUBSTITUTE(SUBSTITUTE(SUBSTITUTE(LOWER(TRIM(F216)),"á","a"),"é","e"),"í","i"),"ó","o"),"ú","u"),"ü","u"),"ñ","n"),"à","a"),"è","e"),"ì","i"),"ò","o"),"ù","u"))</f>
        <v/>
      </c>
      <c r="O216" s="25">
        <f>IF(M216="confiable",2,IF(M216="dudosa",1,IF(M216="no confiable",0,"")))</f>
        <v/>
      </c>
      <c r="P216" s="25">
        <f>IF(N216="confiable",2,IF(N216="dudosa",1,IF(N216="no confiable",0,"")))</f>
        <v/>
      </c>
      <c r="Q216" s="25">
        <f>IF(AND(ISNUMBER(O216),ISNUMBER(P216)),1,"")</f>
        <v/>
      </c>
      <c r="R216" s="25">
        <f>IF(Q216=1,IF(O216=P216,"Sí","No"),"")</f>
        <v/>
      </c>
      <c r="S216" s="25">
        <f>IF(Q216=1,IF(P216&lt;O216,"Más estricto",IF(P216&gt;O216,"Más permisivo","Igual")),"")</f>
        <v/>
      </c>
      <c r="T216" s="25">
        <f>IF(Q216=1,IF(ABS(O216-P216)=2,1,0),"")</f>
        <v/>
      </c>
      <c r="U216" s="25">
        <f>IF(H216="","","|"&amp;SUBSTITUTE(SUBSTITUTE(TRIM(H216)," |","|"),"| ","|")&amp;"|")</f>
        <v/>
      </c>
      <c r="V216" s="25">
        <f>IF(AND(Q216=1,B216&lt;&gt;""),IF(IFERROR(COUNTIFS(B$3:B216,"="&amp;SUBSTITUTE(SUBSTITUTE(SUBSTITUTE(B216,"~","~~"),"*","~*"),"?","~?"),Q$3:Q216,1),0)=1,MAX(V$2:V215)+1,""),"")</f>
        <v/>
      </c>
      <c r="W216" s="25">
        <f>IF(V216="","",COUNTIFS($B$3:$B$1002,"="&amp;SUBSTITUTE(SUBSTITUTE(SUBSTITUTE(B216,"~","~~"),"*","~*"),"?","~?"),$Q$3:$Q$1002,1)*10000-V216)</f>
        <v/>
      </c>
      <c r="X216" s="25">
        <f>IF(Q216=1,IF(SUBSTITUTE(SUBSTITUTE(SUBSTITUTE(SUBSTITUTE(SUBSTITUTE(SUBSTITUTE(SUBSTITUTE(SUBSTITUTE(SUBSTITUTE(SUBSTITUTE(SUBSTITUTE(SUBSTITUTE(LOWER(TRIM(A216)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216)),"á","a"),"é","e"),"í","i"),"ó","o"),"ú","u"),"ü","u"),"ñ","n"),"à","a"),"è","e"),"ì","i"),"ò","o"),"ù","u")),"")</f>
        <v/>
      </c>
      <c r="Y216" s="25">
        <f>IF(X216="","",IF(IFERROR(COUNTIF(X$3:X216,"="&amp;SUBSTITUTE(SUBSTITUTE(SUBSTITUTE(X216,"~","~~"),"*","~*"),"?","~?")),0)=1,1,""))</f>
        <v/>
      </c>
      <c r="Z216" s="25">
        <f>IF(T216=1,MAX(Z$2:Z215)+1,"")</f>
        <v/>
      </c>
    </row>
    <row r="217">
      <c r="A217">
        <f>IF(A$2=0,"",IFERROR(TRIM(INDEX('Pegar calibracion'!$A$1:$BZ$1001,216,A$2)&amp;""),""))</f>
        <v/>
      </c>
      <c r="B217">
        <f>IF(B$2=0,"",IFERROR(TRIM(INDEX('Pegar calibracion'!$A$1:$BZ$1001,216,B$2)&amp;""),""))</f>
        <v/>
      </c>
      <c r="C217">
        <f>IF(C$2=0,"",IFERROR(TRIM(INDEX('Pegar calibracion'!$A$1:$BZ$1001,216,C$2)&amp;""),""))</f>
        <v/>
      </c>
      <c r="D217">
        <f>IF(D$2=0,"",IFERROR(TRIM(INDEX('Pegar calibracion'!$A$1:$BZ$1001,216,D$2)&amp;""),""))</f>
        <v/>
      </c>
      <c r="E217">
        <f>IF(E$2=0,"",IFERROR(TRIM(INDEX('Pegar calibracion'!$A$1:$BZ$1001,216,E$2)&amp;""),""))</f>
        <v/>
      </c>
      <c r="F217">
        <f>IF(F$2=0,"",IFERROR(TRIM(INDEX('Pegar calibracion'!$A$1:$BZ$1001,216,F$2)&amp;""),""))</f>
        <v/>
      </c>
      <c r="G217">
        <f>IF(G$2=0,"",IFERROR(TRIM(INDEX('Pegar calibracion'!$A$1:$BZ$1001,216,G$2)&amp;""),""))</f>
        <v/>
      </c>
      <c r="H217">
        <f>IF(H$2=0,"",IFERROR(TRIM(INDEX('Pegar calibracion'!$A$1:$BZ$1001,216,H$2)&amp;""),""))</f>
        <v/>
      </c>
      <c r="I217">
        <f>IF(I$2=0,"",IFERROR(TRIM(INDEX('Pegar calibracion'!$A$1:$BZ$1001,216,I$2)&amp;""),""))</f>
        <v/>
      </c>
      <c r="J217">
        <f>IF(J$2=0,"",IFERROR(TRIM(INDEX('Pegar calibracion'!$A$1:$BZ$1001,216,J$2)&amp;""),""))</f>
        <v/>
      </c>
      <c r="K217">
        <f>IF(K$2=0,"",IFERROR(TRIM(INDEX('Pegar calibracion'!$A$1:$BZ$1001,216,K$2)&amp;""),""))</f>
        <v/>
      </c>
      <c r="L217">
        <f>IF(L$2=0,"",IFERROR(TRIM(INDEX('Pegar calibracion'!$A$1:$BZ$1001,216,L$2)&amp;""),""))</f>
        <v/>
      </c>
      <c r="M217" s="25">
        <f>IF(D217="","",SUBSTITUTE(SUBSTITUTE(SUBSTITUTE(SUBSTITUTE(SUBSTITUTE(SUBSTITUTE(SUBSTITUTE(SUBSTITUTE(SUBSTITUTE(SUBSTITUTE(SUBSTITUTE(SUBSTITUTE(LOWER(TRIM(D217)),"á","a"),"é","e"),"í","i"),"ó","o"),"ú","u"),"ü","u"),"ñ","n"),"à","a"),"è","e"),"ì","i"),"ò","o"),"ù","u"))</f>
        <v/>
      </c>
      <c r="N217" s="25">
        <f>IF(F217="","",SUBSTITUTE(SUBSTITUTE(SUBSTITUTE(SUBSTITUTE(SUBSTITUTE(SUBSTITUTE(SUBSTITUTE(SUBSTITUTE(SUBSTITUTE(SUBSTITUTE(SUBSTITUTE(SUBSTITUTE(LOWER(TRIM(F217)),"á","a"),"é","e"),"í","i"),"ó","o"),"ú","u"),"ü","u"),"ñ","n"),"à","a"),"è","e"),"ì","i"),"ò","o"),"ù","u"))</f>
        <v/>
      </c>
      <c r="O217" s="25">
        <f>IF(M217="confiable",2,IF(M217="dudosa",1,IF(M217="no confiable",0,"")))</f>
        <v/>
      </c>
      <c r="P217" s="25">
        <f>IF(N217="confiable",2,IF(N217="dudosa",1,IF(N217="no confiable",0,"")))</f>
        <v/>
      </c>
      <c r="Q217" s="25">
        <f>IF(AND(ISNUMBER(O217),ISNUMBER(P217)),1,"")</f>
        <v/>
      </c>
      <c r="R217" s="25">
        <f>IF(Q217=1,IF(O217=P217,"Sí","No"),"")</f>
        <v/>
      </c>
      <c r="S217" s="25">
        <f>IF(Q217=1,IF(P217&lt;O217,"Más estricto",IF(P217&gt;O217,"Más permisivo","Igual")),"")</f>
        <v/>
      </c>
      <c r="T217" s="25">
        <f>IF(Q217=1,IF(ABS(O217-P217)=2,1,0),"")</f>
        <v/>
      </c>
      <c r="U217" s="25">
        <f>IF(H217="","","|"&amp;SUBSTITUTE(SUBSTITUTE(TRIM(H217)," |","|"),"| ","|")&amp;"|")</f>
        <v/>
      </c>
      <c r="V217" s="25">
        <f>IF(AND(Q217=1,B217&lt;&gt;""),IF(IFERROR(COUNTIFS(B$3:B217,"="&amp;SUBSTITUTE(SUBSTITUTE(SUBSTITUTE(B217,"~","~~"),"*","~*"),"?","~?"),Q$3:Q217,1),0)=1,MAX(V$2:V216)+1,""),"")</f>
        <v/>
      </c>
      <c r="W217" s="25">
        <f>IF(V217="","",COUNTIFS($B$3:$B$1002,"="&amp;SUBSTITUTE(SUBSTITUTE(SUBSTITUTE(B217,"~","~~"),"*","~*"),"?","~?"),$Q$3:$Q$1002,1)*10000-V217)</f>
        <v/>
      </c>
      <c r="X217" s="25">
        <f>IF(Q217=1,IF(SUBSTITUTE(SUBSTITUTE(SUBSTITUTE(SUBSTITUTE(SUBSTITUTE(SUBSTITUTE(SUBSTITUTE(SUBSTITUTE(SUBSTITUTE(SUBSTITUTE(SUBSTITUTE(SUBSTITUTE(LOWER(TRIM(A217)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217)),"á","a"),"é","e"),"í","i"),"ó","o"),"ú","u"),"ü","u"),"ñ","n"),"à","a"),"è","e"),"ì","i"),"ò","o"),"ù","u")),"")</f>
        <v/>
      </c>
      <c r="Y217" s="25">
        <f>IF(X217="","",IF(IFERROR(COUNTIF(X$3:X217,"="&amp;SUBSTITUTE(SUBSTITUTE(SUBSTITUTE(X217,"~","~~"),"*","~*"),"?","~?")),0)=1,1,""))</f>
        <v/>
      </c>
      <c r="Z217" s="25">
        <f>IF(T217=1,MAX(Z$2:Z216)+1,"")</f>
        <v/>
      </c>
    </row>
    <row r="218">
      <c r="A218">
        <f>IF(A$2=0,"",IFERROR(TRIM(INDEX('Pegar calibracion'!$A$1:$BZ$1001,217,A$2)&amp;""),""))</f>
        <v/>
      </c>
      <c r="B218">
        <f>IF(B$2=0,"",IFERROR(TRIM(INDEX('Pegar calibracion'!$A$1:$BZ$1001,217,B$2)&amp;""),""))</f>
        <v/>
      </c>
      <c r="C218">
        <f>IF(C$2=0,"",IFERROR(TRIM(INDEX('Pegar calibracion'!$A$1:$BZ$1001,217,C$2)&amp;""),""))</f>
        <v/>
      </c>
      <c r="D218">
        <f>IF(D$2=0,"",IFERROR(TRIM(INDEX('Pegar calibracion'!$A$1:$BZ$1001,217,D$2)&amp;""),""))</f>
        <v/>
      </c>
      <c r="E218">
        <f>IF(E$2=0,"",IFERROR(TRIM(INDEX('Pegar calibracion'!$A$1:$BZ$1001,217,E$2)&amp;""),""))</f>
        <v/>
      </c>
      <c r="F218">
        <f>IF(F$2=0,"",IFERROR(TRIM(INDEX('Pegar calibracion'!$A$1:$BZ$1001,217,F$2)&amp;""),""))</f>
        <v/>
      </c>
      <c r="G218">
        <f>IF(G$2=0,"",IFERROR(TRIM(INDEX('Pegar calibracion'!$A$1:$BZ$1001,217,G$2)&amp;""),""))</f>
        <v/>
      </c>
      <c r="H218">
        <f>IF(H$2=0,"",IFERROR(TRIM(INDEX('Pegar calibracion'!$A$1:$BZ$1001,217,H$2)&amp;""),""))</f>
        <v/>
      </c>
      <c r="I218">
        <f>IF(I$2=0,"",IFERROR(TRIM(INDEX('Pegar calibracion'!$A$1:$BZ$1001,217,I$2)&amp;""),""))</f>
        <v/>
      </c>
      <c r="J218">
        <f>IF(J$2=0,"",IFERROR(TRIM(INDEX('Pegar calibracion'!$A$1:$BZ$1001,217,J$2)&amp;""),""))</f>
        <v/>
      </c>
      <c r="K218">
        <f>IF(K$2=0,"",IFERROR(TRIM(INDEX('Pegar calibracion'!$A$1:$BZ$1001,217,K$2)&amp;""),""))</f>
        <v/>
      </c>
      <c r="L218">
        <f>IF(L$2=0,"",IFERROR(TRIM(INDEX('Pegar calibracion'!$A$1:$BZ$1001,217,L$2)&amp;""),""))</f>
        <v/>
      </c>
      <c r="M218" s="25">
        <f>IF(D218="","",SUBSTITUTE(SUBSTITUTE(SUBSTITUTE(SUBSTITUTE(SUBSTITUTE(SUBSTITUTE(SUBSTITUTE(SUBSTITUTE(SUBSTITUTE(SUBSTITUTE(SUBSTITUTE(SUBSTITUTE(LOWER(TRIM(D218)),"á","a"),"é","e"),"í","i"),"ó","o"),"ú","u"),"ü","u"),"ñ","n"),"à","a"),"è","e"),"ì","i"),"ò","o"),"ù","u"))</f>
        <v/>
      </c>
      <c r="N218" s="25">
        <f>IF(F218="","",SUBSTITUTE(SUBSTITUTE(SUBSTITUTE(SUBSTITUTE(SUBSTITUTE(SUBSTITUTE(SUBSTITUTE(SUBSTITUTE(SUBSTITUTE(SUBSTITUTE(SUBSTITUTE(SUBSTITUTE(LOWER(TRIM(F218)),"á","a"),"é","e"),"í","i"),"ó","o"),"ú","u"),"ü","u"),"ñ","n"),"à","a"),"è","e"),"ì","i"),"ò","o"),"ù","u"))</f>
        <v/>
      </c>
      <c r="O218" s="25">
        <f>IF(M218="confiable",2,IF(M218="dudosa",1,IF(M218="no confiable",0,"")))</f>
        <v/>
      </c>
      <c r="P218" s="25">
        <f>IF(N218="confiable",2,IF(N218="dudosa",1,IF(N218="no confiable",0,"")))</f>
        <v/>
      </c>
      <c r="Q218" s="25">
        <f>IF(AND(ISNUMBER(O218),ISNUMBER(P218)),1,"")</f>
        <v/>
      </c>
      <c r="R218" s="25">
        <f>IF(Q218=1,IF(O218=P218,"Sí","No"),"")</f>
        <v/>
      </c>
      <c r="S218" s="25">
        <f>IF(Q218=1,IF(P218&lt;O218,"Más estricto",IF(P218&gt;O218,"Más permisivo","Igual")),"")</f>
        <v/>
      </c>
      <c r="T218" s="25">
        <f>IF(Q218=1,IF(ABS(O218-P218)=2,1,0),"")</f>
        <v/>
      </c>
      <c r="U218" s="25">
        <f>IF(H218="","","|"&amp;SUBSTITUTE(SUBSTITUTE(TRIM(H218)," |","|"),"| ","|")&amp;"|")</f>
        <v/>
      </c>
      <c r="V218" s="25">
        <f>IF(AND(Q218=1,B218&lt;&gt;""),IF(IFERROR(COUNTIFS(B$3:B218,"="&amp;SUBSTITUTE(SUBSTITUTE(SUBSTITUTE(B218,"~","~~"),"*","~*"),"?","~?"),Q$3:Q218,1),0)=1,MAX(V$2:V217)+1,""),"")</f>
        <v/>
      </c>
      <c r="W218" s="25">
        <f>IF(V218="","",COUNTIFS($B$3:$B$1002,"="&amp;SUBSTITUTE(SUBSTITUTE(SUBSTITUTE(B218,"~","~~"),"*","~*"),"?","~?"),$Q$3:$Q$1002,1)*10000-V218)</f>
        <v/>
      </c>
      <c r="X218" s="25">
        <f>IF(Q218=1,IF(SUBSTITUTE(SUBSTITUTE(SUBSTITUTE(SUBSTITUTE(SUBSTITUTE(SUBSTITUTE(SUBSTITUTE(SUBSTITUTE(SUBSTITUTE(SUBSTITUTE(SUBSTITUTE(SUBSTITUTE(LOWER(TRIM(A218)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218)),"á","a"),"é","e"),"í","i"),"ó","o"),"ú","u"),"ü","u"),"ñ","n"),"à","a"),"è","e"),"ì","i"),"ò","o"),"ù","u")),"")</f>
        <v/>
      </c>
      <c r="Y218" s="25">
        <f>IF(X218="","",IF(IFERROR(COUNTIF(X$3:X218,"="&amp;SUBSTITUTE(SUBSTITUTE(SUBSTITUTE(X218,"~","~~"),"*","~*"),"?","~?")),0)=1,1,""))</f>
        <v/>
      </c>
      <c r="Z218" s="25">
        <f>IF(T218=1,MAX(Z$2:Z217)+1,"")</f>
        <v/>
      </c>
    </row>
    <row r="219">
      <c r="A219">
        <f>IF(A$2=0,"",IFERROR(TRIM(INDEX('Pegar calibracion'!$A$1:$BZ$1001,218,A$2)&amp;""),""))</f>
        <v/>
      </c>
      <c r="B219">
        <f>IF(B$2=0,"",IFERROR(TRIM(INDEX('Pegar calibracion'!$A$1:$BZ$1001,218,B$2)&amp;""),""))</f>
        <v/>
      </c>
      <c r="C219">
        <f>IF(C$2=0,"",IFERROR(TRIM(INDEX('Pegar calibracion'!$A$1:$BZ$1001,218,C$2)&amp;""),""))</f>
        <v/>
      </c>
      <c r="D219">
        <f>IF(D$2=0,"",IFERROR(TRIM(INDEX('Pegar calibracion'!$A$1:$BZ$1001,218,D$2)&amp;""),""))</f>
        <v/>
      </c>
      <c r="E219">
        <f>IF(E$2=0,"",IFERROR(TRIM(INDEX('Pegar calibracion'!$A$1:$BZ$1001,218,E$2)&amp;""),""))</f>
        <v/>
      </c>
      <c r="F219">
        <f>IF(F$2=0,"",IFERROR(TRIM(INDEX('Pegar calibracion'!$A$1:$BZ$1001,218,F$2)&amp;""),""))</f>
        <v/>
      </c>
      <c r="G219">
        <f>IF(G$2=0,"",IFERROR(TRIM(INDEX('Pegar calibracion'!$A$1:$BZ$1001,218,G$2)&amp;""),""))</f>
        <v/>
      </c>
      <c r="H219">
        <f>IF(H$2=0,"",IFERROR(TRIM(INDEX('Pegar calibracion'!$A$1:$BZ$1001,218,H$2)&amp;""),""))</f>
        <v/>
      </c>
      <c r="I219">
        <f>IF(I$2=0,"",IFERROR(TRIM(INDEX('Pegar calibracion'!$A$1:$BZ$1001,218,I$2)&amp;""),""))</f>
        <v/>
      </c>
      <c r="J219">
        <f>IF(J$2=0,"",IFERROR(TRIM(INDEX('Pegar calibracion'!$A$1:$BZ$1001,218,J$2)&amp;""),""))</f>
        <v/>
      </c>
      <c r="K219">
        <f>IF(K$2=0,"",IFERROR(TRIM(INDEX('Pegar calibracion'!$A$1:$BZ$1001,218,K$2)&amp;""),""))</f>
        <v/>
      </c>
      <c r="L219">
        <f>IF(L$2=0,"",IFERROR(TRIM(INDEX('Pegar calibracion'!$A$1:$BZ$1001,218,L$2)&amp;""),""))</f>
        <v/>
      </c>
      <c r="M219" s="25">
        <f>IF(D219="","",SUBSTITUTE(SUBSTITUTE(SUBSTITUTE(SUBSTITUTE(SUBSTITUTE(SUBSTITUTE(SUBSTITUTE(SUBSTITUTE(SUBSTITUTE(SUBSTITUTE(SUBSTITUTE(SUBSTITUTE(LOWER(TRIM(D219)),"á","a"),"é","e"),"í","i"),"ó","o"),"ú","u"),"ü","u"),"ñ","n"),"à","a"),"è","e"),"ì","i"),"ò","o"),"ù","u"))</f>
        <v/>
      </c>
      <c r="N219" s="25">
        <f>IF(F219="","",SUBSTITUTE(SUBSTITUTE(SUBSTITUTE(SUBSTITUTE(SUBSTITUTE(SUBSTITUTE(SUBSTITUTE(SUBSTITUTE(SUBSTITUTE(SUBSTITUTE(SUBSTITUTE(SUBSTITUTE(LOWER(TRIM(F219)),"á","a"),"é","e"),"í","i"),"ó","o"),"ú","u"),"ü","u"),"ñ","n"),"à","a"),"è","e"),"ì","i"),"ò","o"),"ù","u"))</f>
        <v/>
      </c>
      <c r="O219" s="25">
        <f>IF(M219="confiable",2,IF(M219="dudosa",1,IF(M219="no confiable",0,"")))</f>
        <v/>
      </c>
      <c r="P219" s="25">
        <f>IF(N219="confiable",2,IF(N219="dudosa",1,IF(N219="no confiable",0,"")))</f>
        <v/>
      </c>
      <c r="Q219" s="25">
        <f>IF(AND(ISNUMBER(O219),ISNUMBER(P219)),1,"")</f>
        <v/>
      </c>
      <c r="R219" s="25">
        <f>IF(Q219=1,IF(O219=P219,"Sí","No"),"")</f>
        <v/>
      </c>
      <c r="S219" s="25">
        <f>IF(Q219=1,IF(P219&lt;O219,"Más estricto",IF(P219&gt;O219,"Más permisivo","Igual")),"")</f>
        <v/>
      </c>
      <c r="T219" s="25">
        <f>IF(Q219=1,IF(ABS(O219-P219)=2,1,0),"")</f>
        <v/>
      </c>
      <c r="U219" s="25">
        <f>IF(H219="","","|"&amp;SUBSTITUTE(SUBSTITUTE(TRIM(H219)," |","|"),"| ","|")&amp;"|")</f>
        <v/>
      </c>
      <c r="V219" s="25">
        <f>IF(AND(Q219=1,B219&lt;&gt;""),IF(IFERROR(COUNTIFS(B$3:B219,"="&amp;SUBSTITUTE(SUBSTITUTE(SUBSTITUTE(B219,"~","~~"),"*","~*"),"?","~?"),Q$3:Q219,1),0)=1,MAX(V$2:V218)+1,""),"")</f>
        <v/>
      </c>
      <c r="W219" s="25">
        <f>IF(V219="","",COUNTIFS($B$3:$B$1002,"="&amp;SUBSTITUTE(SUBSTITUTE(SUBSTITUTE(B219,"~","~~"),"*","~*"),"?","~?"),$Q$3:$Q$1002,1)*10000-V219)</f>
        <v/>
      </c>
      <c r="X219" s="25">
        <f>IF(Q219=1,IF(SUBSTITUTE(SUBSTITUTE(SUBSTITUTE(SUBSTITUTE(SUBSTITUTE(SUBSTITUTE(SUBSTITUTE(SUBSTITUTE(SUBSTITUTE(SUBSTITUTE(SUBSTITUTE(SUBSTITUTE(LOWER(TRIM(A219)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219)),"á","a"),"é","e"),"í","i"),"ó","o"),"ú","u"),"ü","u"),"ñ","n"),"à","a"),"è","e"),"ì","i"),"ò","o"),"ù","u")),"")</f>
        <v/>
      </c>
      <c r="Y219" s="25">
        <f>IF(X219="","",IF(IFERROR(COUNTIF(X$3:X219,"="&amp;SUBSTITUTE(SUBSTITUTE(SUBSTITUTE(X219,"~","~~"),"*","~*"),"?","~?")),0)=1,1,""))</f>
        <v/>
      </c>
      <c r="Z219" s="25">
        <f>IF(T219=1,MAX(Z$2:Z218)+1,"")</f>
        <v/>
      </c>
    </row>
    <row r="220">
      <c r="A220">
        <f>IF(A$2=0,"",IFERROR(TRIM(INDEX('Pegar calibracion'!$A$1:$BZ$1001,219,A$2)&amp;""),""))</f>
        <v/>
      </c>
      <c r="B220">
        <f>IF(B$2=0,"",IFERROR(TRIM(INDEX('Pegar calibracion'!$A$1:$BZ$1001,219,B$2)&amp;""),""))</f>
        <v/>
      </c>
      <c r="C220">
        <f>IF(C$2=0,"",IFERROR(TRIM(INDEX('Pegar calibracion'!$A$1:$BZ$1001,219,C$2)&amp;""),""))</f>
        <v/>
      </c>
      <c r="D220">
        <f>IF(D$2=0,"",IFERROR(TRIM(INDEX('Pegar calibracion'!$A$1:$BZ$1001,219,D$2)&amp;""),""))</f>
        <v/>
      </c>
      <c r="E220">
        <f>IF(E$2=0,"",IFERROR(TRIM(INDEX('Pegar calibracion'!$A$1:$BZ$1001,219,E$2)&amp;""),""))</f>
        <v/>
      </c>
      <c r="F220">
        <f>IF(F$2=0,"",IFERROR(TRIM(INDEX('Pegar calibracion'!$A$1:$BZ$1001,219,F$2)&amp;""),""))</f>
        <v/>
      </c>
      <c r="G220">
        <f>IF(G$2=0,"",IFERROR(TRIM(INDEX('Pegar calibracion'!$A$1:$BZ$1001,219,G$2)&amp;""),""))</f>
        <v/>
      </c>
      <c r="H220">
        <f>IF(H$2=0,"",IFERROR(TRIM(INDEX('Pegar calibracion'!$A$1:$BZ$1001,219,H$2)&amp;""),""))</f>
        <v/>
      </c>
      <c r="I220">
        <f>IF(I$2=0,"",IFERROR(TRIM(INDEX('Pegar calibracion'!$A$1:$BZ$1001,219,I$2)&amp;""),""))</f>
        <v/>
      </c>
      <c r="J220">
        <f>IF(J$2=0,"",IFERROR(TRIM(INDEX('Pegar calibracion'!$A$1:$BZ$1001,219,J$2)&amp;""),""))</f>
        <v/>
      </c>
      <c r="K220">
        <f>IF(K$2=0,"",IFERROR(TRIM(INDEX('Pegar calibracion'!$A$1:$BZ$1001,219,K$2)&amp;""),""))</f>
        <v/>
      </c>
      <c r="L220">
        <f>IF(L$2=0,"",IFERROR(TRIM(INDEX('Pegar calibracion'!$A$1:$BZ$1001,219,L$2)&amp;""),""))</f>
        <v/>
      </c>
      <c r="M220" s="25">
        <f>IF(D220="","",SUBSTITUTE(SUBSTITUTE(SUBSTITUTE(SUBSTITUTE(SUBSTITUTE(SUBSTITUTE(SUBSTITUTE(SUBSTITUTE(SUBSTITUTE(SUBSTITUTE(SUBSTITUTE(SUBSTITUTE(LOWER(TRIM(D220)),"á","a"),"é","e"),"í","i"),"ó","o"),"ú","u"),"ü","u"),"ñ","n"),"à","a"),"è","e"),"ì","i"),"ò","o"),"ù","u"))</f>
        <v/>
      </c>
      <c r="N220" s="25">
        <f>IF(F220="","",SUBSTITUTE(SUBSTITUTE(SUBSTITUTE(SUBSTITUTE(SUBSTITUTE(SUBSTITUTE(SUBSTITUTE(SUBSTITUTE(SUBSTITUTE(SUBSTITUTE(SUBSTITUTE(SUBSTITUTE(LOWER(TRIM(F220)),"á","a"),"é","e"),"í","i"),"ó","o"),"ú","u"),"ü","u"),"ñ","n"),"à","a"),"è","e"),"ì","i"),"ò","o"),"ù","u"))</f>
        <v/>
      </c>
      <c r="O220" s="25">
        <f>IF(M220="confiable",2,IF(M220="dudosa",1,IF(M220="no confiable",0,"")))</f>
        <v/>
      </c>
      <c r="P220" s="25">
        <f>IF(N220="confiable",2,IF(N220="dudosa",1,IF(N220="no confiable",0,"")))</f>
        <v/>
      </c>
      <c r="Q220" s="25">
        <f>IF(AND(ISNUMBER(O220),ISNUMBER(P220)),1,"")</f>
        <v/>
      </c>
      <c r="R220" s="25">
        <f>IF(Q220=1,IF(O220=P220,"Sí","No"),"")</f>
        <v/>
      </c>
      <c r="S220" s="25">
        <f>IF(Q220=1,IF(P220&lt;O220,"Más estricto",IF(P220&gt;O220,"Más permisivo","Igual")),"")</f>
        <v/>
      </c>
      <c r="T220" s="25">
        <f>IF(Q220=1,IF(ABS(O220-P220)=2,1,0),"")</f>
        <v/>
      </c>
      <c r="U220" s="25">
        <f>IF(H220="","","|"&amp;SUBSTITUTE(SUBSTITUTE(TRIM(H220)," |","|"),"| ","|")&amp;"|")</f>
        <v/>
      </c>
      <c r="V220" s="25">
        <f>IF(AND(Q220=1,B220&lt;&gt;""),IF(IFERROR(COUNTIFS(B$3:B220,"="&amp;SUBSTITUTE(SUBSTITUTE(SUBSTITUTE(B220,"~","~~"),"*","~*"),"?","~?"),Q$3:Q220,1),0)=1,MAX(V$2:V219)+1,""),"")</f>
        <v/>
      </c>
      <c r="W220" s="25">
        <f>IF(V220="","",COUNTIFS($B$3:$B$1002,"="&amp;SUBSTITUTE(SUBSTITUTE(SUBSTITUTE(B220,"~","~~"),"*","~*"),"?","~?"),$Q$3:$Q$1002,1)*10000-V220)</f>
        <v/>
      </c>
      <c r="X220" s="25">
        <f>IF(Q220=1,IF(SUBSTITUTE(SUBSTITUTE(SUBSTITUTE(SUBSTITUTE(SUBSTITUTE(SUBSTITUTE(SUBSTITUTE(SUBSTITUTE(SUBSTITUTE(SUBSTITUTE(SUBSTITUTE(SUBSTITUTE(LOWER(TRIM(A220)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220)),"á","a"),"é","e"),"í","i"),"ó","o"),"ú","u"),"ü","u"),"ñ","n"),"à","a"),"è","e"),"ì","i"),"ò","o"),"ù","u")),"")</f>
        <v/>
      </c>
      <c r="Y220" s="25">
        <f>IF(X220="","",IF(IFERROR(COUNTIF(X$3:X220,"="&amp;SUBSTITUTE(SUBSTITUTE(SUBSTITUTE(X220,"~","~~"),"*","~*"),"?","~?")),0)=1,1,""))</f>
        <v/>
      </c>
      <c r="Z220" s="25">
        <f>IF(T220=1,MAX(Z$2:Z219)+1,"")</f>
        <v/>
      </c>
    </row>
    <row r="221">
      <c r="A221">
        <f>IF(A$2=0,"",IFERROR(TRIM(INDEX('Pegar calibracion'!$A$1:$BZ$1001,220,A$2)&amp;""),""))</f>
        <v/>
      </c>
      <c r="B221">
        <f>IF(B$2=0,"",IFERROR(TRIM(INDEX('Pegar calibracion'!$A$1:$BZ$1001,220,B$2)&amp;""),""))</f>
        <v/>
      </c>
      <c r="C221">
        <f>IF(C$2=0,"",IFERROR(TRIM(INDEX('Pegar calibracion'!$A$1:$BZ$1001,220,C$2)&amp;""),""))</f>
        <v/>
      </c>
      <c r="D221">
        <f>IF(D$2=0,"",IFERROR(TRIM(INDEX('Pegar calibracion'!$A$1:$BZ$1001,220,D$2)&amp;""),""))</f>
        <v/>
      </c>
      <c r="E221">
        <f>IF(E$2=0,"",IFERROR(TRIM(INDEX('Pegar calibracion'!$A$1:$BZ$1001,220,E$2)&amp;""),""))</f>
        <v/>
      </c>
      <c r="F221">
        <f>IF(F$2=0,"",IFERROR(TRIM(INDEX('Pegar calibracion'!$A$1:$BZ$1001,220,F$2)&amp;""),""))</f>
        <v/>
      </c>
      <c r="G221">
        <f>IF(G$2=0,"",IFERROR(TRIM(INDEX('Pegar calibracion'!$A$1:$BZ$1001,220,G$2)&amp;""),""))</f>
        <v/>
      </c>
      <c r="H221">
        <f>IF(H$2=0,"",IFERROR(TRIM(INDEX('Pegar calibracion'!$A$1:$BZ$1001,220,H$2)&amp;""),""))</f>
        <v/>
      </c>
      <c r="I221">
        <f>IF(I$2=0,"",IFERROR(TRIM(INDEX('Pegar calibracion'!$A$1:$BZ$1001,220,I$2)&amp;""),""))</f>
        <v/>
      </c>
      <c r="J221">
        <f>IF(J$2=0,"",IFERROR(TRIM(INDEX('Pegar calibracion'!$A$1:$BZ$1001,220,J$2)&amp;""),""))</f>
        <v/>
      </c>
      <c r="K221">
        <f>IF(K$2=0,"",IFERROR(TRIM(INDEX('Pegar calibracion'!$A$1:$BZ$1001,220,K$2)&amp;""),""))</f>
        <v/>
      </c>
      <c r="L221">
        <f>IF(L$2=0,"",IFERROR(TRIM(INDEX('Pegar calibracion'!$A$1:$BZ$1001,220,L$2)&amp;""),""))</f>
        <v/>
      </c>
      <c r="M221" s="25">
        <f>IF(D221="","",SUBSTITUTE(SUBSTITUTE(SUBSTITUTE(SUBSTITUTE(SUBSTITUTE(SUBSTITUTE(SUBSTITUTE(SUBSTITUTE(SUBSTITUTE(SUBSTITUTE(SUBSTITUTE(SUBSTITUTE(LOWER(TRIM(D221)),"á","a"),"é","e"),"í","i"),"ó","o"),"ú","u"),"ü","u"),"ñ","n"),"à","a"),"è","e"),"ì","i"),"ò","o"),"ù","u"))</f>
        <v/>
      </c>
      <c r="N221" s="25">
        <f>IF(F221="","",SUBSTITUTE(SUBSTITUTE(SUBSTITUTE(SUBSTITUTE(SUBSTITUTE(SUBSTITUTE(SUBSTITUTE(SUBSTITUTE(SUBSTITUTE(SUBSTITUTE(SUBSTITUTE(SUBSTITUTE(LOWER(TRIM(F221)),"á","a"),"é","e"),"í","i"),"ó","o"),"ú","u"),"ü","u"),"ñ","n"),"à","a"),"è","e"),"ì","i"),"ò","o"),"ù","u"))</f>
        <v/>
      </c>
      <c r="O221" s="25">
        <f>IF(M221="confiable",2,IF(M221="dudosa",1,IF(M221="no confiable",0,"")))</f>
        <v/>
      </c>
      <c r="P221" s="25">
        <f>IF(N221="confiable",2,IF(N221="dudosa",1,IF(N221="no confiable",0,"")))</f>
        <v/>
      </c>
      <c r="Q221" s="25">
        <f>IF(AND(ISNUMBER(O221),ISNUMBER(P221)),1,"")</f>
        <v/>
      </c>
      <c r="R221" s="25">
        <f>IF(Q221=1,IF(O221=P221,"Sí","No"),"")</f>
        <v/>
      </c>
      <c r="S221" s="25">
        <f>IF(Q221=1,IF(P221&lt;O221,"Más estricto",IF(P221&gt;O221,"Más permisivo","Igual")),"")</f>
        <v/>
      </c>
      <c r="T221" s="25">
        <f>IF(Q221=1,IF(ABS(O221-P221)=2,1,0),"")</f>
        <v/>
      </c>
      <c r="U221" s="25">
        <f>IF(H221="","","|"&amp;SUBSTITUTE(SUBSTITUTE(TRIM(H221)," |","|"),"| ","|")&amp;"|")</f>
        <v/>
      </c>
      <c r="V221" s="25">
        <f>IF(AND(Q221=1,B221&lt;&gt;""),IF(IFERROR(COUNTIFS(B$3:B221,"="&amp;SUBSTITUTE(SUBSTITUTE(SUBSTITUTE(B221,"~","~~"),"*","~*"),"?","~?"),Q$3:Q221,1),0)=1,MAX(V$2:V220)+1,""),"")</f>
        <v/>
      </c>
      <c r="W221" s="25">
        <f>IF(V221="","",COUNTIFS($B$3:$B$1002,"="&amp;SUBSTITUTE(SUBSTITUTE(SUBSTITUTE(B221,"~","~~"),"*","~*"),"?","~?"),$Q$3:$Q$1002,1)*10000-V221)</f>
        <v/>
      </c>
      <c r="X221" s="25">
        <f>IF(Q221=1,IF(SUBSTITUTE(SUBSTITUTE(SUBSTITUTE(SUBSTITUTE(SUBSTITUTE(SUBSTITUTE(SUBSTITUTE(SUBSTITUTE(SUBSTITUTE(SUBSTITUTE(SUBSTITUTE(SUBSTITUTE(LOWER(TRIM(A221)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221)),"á","a"),"é","e"),"í","i"),"ó","o"),"ú","u"),"ü","u"),"ñ","n"),"à","a"),"è","e"),"ì","i"),"ò","o"),"ù","u")),"")</f>
        <v/>
      </c>
      <c r="Y221" s="25">
        <f>IF(X221="","",IF(IFERROR(COUNTIF(X$3:X221,"="&amp;SUBSTITUTE(SUBSTITUTE(SUBSTITUTE(X221,"~","~~"),"*","~*"),"?","~?")),0)=1,1,""))</f>
        <v/>
      </c>
      <c r="Z221" s="25">
        <f>IF(T221=1,MAX(Z$2:Z220)+1,"")</f>
        <v/>
      </c>
    </row>
    <row r="222">
      <c r="A222">
        <f>IF(A$2=0,"",IFERROR(TRIM(INDEX('Pegar calibracion'!$A$1:$BZ$1001,221,A$2)&amp;""),""))</f>
        <v/>
      </c>
      <c r="B222">
        <f>IF(B$2=0,"",IFERROR(TRIM(INDEX('Pegar calibracion'!$A$1:$BZ$1001,221,B$2)&amp;""),""))</f>
        <v/>
      </c>
      <c r="C222">
        <f>IF(C$2=0,"",IFERROR(TRIM(INDEX('Pegar calibracion'!$A$1:$BZ$1001,221,C$2)&amp;""),""))</f>
        <v/>
      </c>
      <c r="D222">
        <f>IF(D$2=0,"",IFERROR(TRIM(INDEX('Pegar calibracion'!$A$1:$BZ$1001,221,D$2)&amp;""),""))</f>
        <v/>
      </c>
      <c r="E222">
        <f>IF(E$2=0,"",IFERROR(TRIM(INDEX('Pegar calibracion'!$A$1:$BZ$1001,221,E$2)&amp;""),""))</f>
        <v/>
      </c>
      <c r="F222">
        <f>IF(F$2=0,"",IFERROR(TRIM(INDEX('Pegar calibracion'!$A$1:$BZ$1001,221,F$2)&amp;""),""))</f>
        <v/>
      </c>
      <c r="G222">
        <f>IF(G$2=0,"",IFERROR(TRIM(INDEX('Pegar calibracion'!$A$1:$BZ$1001,221,G$2)&amp;""),""))</f>
        <v/>
      </c>
      <c r="H222">
        <f>IF(H$2=0,"",IFERROR(TRIM(INDEX('Pegar calibracion'!$A$1:$BZ$1001,221,H$2)&amp;""),""))</f>
        <v/>
      </c>
      <c r="I222">
        <f>IF(I$2=0,"",IFERROR(TRIM(INDEX('Pegar calibracion'!$A$1:$BZ$1001,221,I$2)&amp;""),""))</f>
        <v/>
      </c>
      <c r="J222">
        <f>IF(J$2=0,"",IFERROR(TRIM(INDEX('Pegar calibracion'!$A$1:$BZ$1001,221,J$2)&amp;""),""))</f>
        <v/>
      </c>
      <c r="K222">
        <f>IF(K$2=0,"",IFERROR(TRIM(INDEX('Pegar calibracion'!$A$1:$BZ$1001,221,K$2)&amp;""),""))</f>
        <v/>
      </c>
      <c r="L222">
        <f>IF(L$2=0,"",IFERROR(TRIM(INDEX('Pegar calibracion'!$A$1:$BZ$1001,221,L$2)&amp;""),""))</f>
        <v/>
      </c>
      <c r="M222" s="25">
        <f>IF(D222="","",SUBSTITUTE(SUBSTITUTE(SUBSTITUTE(SUBSTITUTE(SUBSTITUTE(SUBSTITUTE(SUBSTITUTE(SUBSTITUTE(SUBSTITUTE(SUBSTITUTE(SUBSTITUTE(SUBSTITUTE(LOWER(TRIM(D222)),"á","a"),"é","e"),"í","i"),"ó","o"),"ú","u"),"ü","u"),"ñ","n"),"à","a"),"è","e"),"ì","i"),"ò","o"),"ù","u"))</f>
        <v/>
      </c>
      <c r="N222" s="25">
        <f>IF(F222="","",SUBSTITUTE(SUBSTITUTE(SUBSTITUTE(SUBSTITUTE(SUBSTITUTE(SUBSTITUTE(SUBSTITUTE(SUBSTITUTE(SUBSTITUTE(SUBSTITUTE(SUBSTITUTE(SUBSTITUTE(LOWER(TRIM(F222)),"á","a"),"é","e"),"í","i"),"ó","o"),"ú","u"),"ü","u"),"ñ","n"),"à","a"),"è","e"),"ì","i"),"ò","o"),"ù","u"))</f>
        <v/>
      </c>
      <c r="O222" s="25">
        <f>IF(M222="confiable",2,IF(M222="dudosa",1,IF(M222="no confiable",0,"")))</f>
        <v/>
      </c>
      <c r="P222" s="25">
        <f>IF(N222="confiable",2,IF(N222="dudosa",1,IF(N222="no confiable",0,"")))</f>
        <v/>
      </c>
      <c r="Q222" s="25">
        <f>IF(AND(ISNUMBER(O222),ISNUMBER(P222)),1,"")</f>
        <v/>
      </c>
      <c r="R222" s="25">
        <f>IF(Q222=1,IF(O222=P222,"Sí","No"),"")</f>
        <v/>
      </c>
      <c r="S222" s="25">
        <f>IF(Q222=1,IF(P222&lt;O222,"Más estricto",IF(P222&gt;O222,"Más permisivo","Igual")),"")</f>
        <v/>
      </c>
      <c r="T222" s="25">
        <f>IF(Q222=1,IF(ABS(O222-P222)=2,1,0),"")</f>
        <v/>
      </c>
      <c r="U222" s="25">
        <f>IF(H222="","","|"&amp;SUBSTITUTE(SUBSTITUTE(TRIM(H222)," |","|"),"| ","|")&amp;"|")</f>
        <v/>
      </c>
      <c r="V222" s="25">
        <f>IF(AND(Q222=1,B222&lt;&gt;""),IF(IFERROR(COUNTIFS(B$3:B222,"="&amp;SUBSTITUTE(SUBSTITUTE(SUBSTITUTE(B222,"~","~~"),"*","~*"),"?","~?"),Q$3:Q222,1),0)=1,MAX(V$2:V221)+1,""),"")</f>
        <v/>
      </c>
      <c r="W222" s="25">
        <f>IF(V222="","",COUNTIFS($B$3:$B$1002,"="&amp;SUBSTITUTE(SUBSTITUTE(SUBSTITUTE(B222,"~","~~"),"*","~*"),"?","~?"),$Q$3:$Q$1002,1)*10000-V222)</f>
        <v/>
      </c>
      <c r="X222" s="25">
        <f>IF(Q222=1,IF(SUBSTITUTE(SUBSTITUTE(SUBSTITUTE(SUBSTITUTE(SUBSTITUTE(SUBSTITUTE(SUBSTITUTE(SUBSTITUTE(SUBSTITUTE(SUBSTITUTE(SUBSTITUTE(SUBSTITUTE(LOWER(TRIM(A222)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222)),"á","a"),"é","e"),"í","i"),"ó","o"),"ú","u"),"ü","u"),"ñ","n"),"à","a"),"è","e"),"ì","i"),"ò","o"),"ù","u")),"")</f>
        <v/>
      </c>
      <c r="Y222" s="25">
        <f>IF(X222="","",IF(IFERROR(COUNTIF(X$3:X222,"="&amp;SUBSTITUTE(SUBSTITUTE(SUBSTITUTE(X222,"~","~~"),"*","~*"),"?","~?")),0)=1,1,""))</f>
        <v/>
      </c>
      <c r="Z222" s="25">
        <f>IF(T222=1,MAX(Z$2:Z221)+1,"")</f>
        <v/>
      </c>
    </row>
    <row r="223">
      <c r="A223">
        <f>IF(A$2=0,"",IFERROR(TRIM(INDEX('Pegar calibracion'!$A$1:$BZ$1001,222,A$2)&amp;""),""))</f>
        <v/>
      </c>
      <c r="B223">
        <f>IF(B$2=0,"",IFERROR(TRIM(INDEX('Pegar calibracion'!$A$1:$BZ$1001,222,B$2)&amp;""),""))</f>
        <v/>
      </c>
      <c r="C223">
        <f>IF(C$2=0,"",IFERROR(TRIM(INDEX('Pegar calibracion'!$A$1:$BZ$1001,222,C$2)&amp;""),""))</f>
        <v/>
      </c>
      <c r="D223">
        <f>IF(D$2=0,"",IFERROR(TRIM(INDEX('Pegar calibracion'!$A$1:$BZ$1001,222,D$2)&amp;""),""))</f>
        <v/>
      </c>
      <c r="E223">
        <f>IF(E$2=0,"",IFERROR(TRIM(INDEX('Pegar calibracion'!$A$1:$BZ$1001,222,E$2)&amp;""),""))</f>
        <v/>
      </c>
      <c r="F223">
        <f>IF(F$2=0,"",IFERROR(TRIM(INDEX('Pegar calibracion'!$A$1:$BZ$1001,222,F$2)&amp;""),""))</f>
        <v/>
      </c>
      <c r="G223">
        <f>IF(G$2=0,"",IFERROR(TRIM(INDEX('Pegar calibracion'!$A$1:$BZ$1001,222,G$2)&amp;""),""))</f>
        <v/>
      </c>
      <c r="H223">
        <f>IF(H$2=0,"",IFERROR(TRIM(INDEX('Pegar calibracion'!$A$1:$BZ$1001,222,H$2)&amp;""),""))</f>
        <v/>
      </c>
      <c r="I223">
        <f>IF(I$2=0,"",IFERROR(TRIM(INDEX('Pegar calibracion'!$A$1:$BZ$1001,222,I$2)&amp;""),""))</f>
        <v/>
      </c>
      <c r="J223">
        <f>IF(J$2=0,"",IFERROR(TRIM(INDEX('Pegar calibracion'!$A$1:$BZ$1001,222,J$2)&amp;""),""))</f>
        <v/>
      </c>
      <c r="K223">
        <f>IF(K$2=0,"",IFERROR(TRIM(INDEX('Pegar calibracion'!$A$1:$BZ$1001,222,K$2)&amp;""),""))</f>
        <v/>
      </c>
      <c r="L223">
        <f>IF(L$2=0,"",IFERROR(TRIM(INDEX('Pegar calibracion'!$A$1:$BZ$1001,222,L$2)&amp;""),""))</f>
        <v/>
      </c>
      <c r="M223" s="25">
        <f>IF(D223="","",SUBSTITUTE(SUBSTITUTE(SUBSTITUTE(SUBSTITUTE(SUBSTITUTE(SUBSTITUTE(SUBSTITUTE(SUBSTITUTE(SUBSTITUTE(SUBSTITUTE(SUBSTITUTE(SUBSTITUTE(LOWER(TRIM(D223)),"á","a"),"é","e"),"í","i"),"ó","o"),"ú","u"),"ü","u"),"ñ","n"),"à","a"),"è","e"),"ì","i"),"ò","o"),"ù","u"))</f>
        <v/>
      </c>
      <c r="N223" s="25">
        <f>IF(F223="","",SUBSTITUTE(SUBSTITUTE(SUBSTITUTE(SUBSTITUTE(SUBSTITUTE(SUBSTITUTE(SUBSTITUTE(SUBSTITUTE(SUBSTITUTE(SUBSTITUTE(SUBSTITUTE(SUBSTITUTE(LOWER(TRIM(F223)),"á","a"),"é","e"),"í","i"),"ó","o"),"ú","u"),"ü","u"),"ñ","n"),"à","a"),"è","e"),"ì","i"),"ò","o"),"ù","u"))</f>
        <v/>
      </c>
      <c r="O223" s="25">
        <f>IF(M223="confiable",2,IF(M223="dudosa",1,IF(M223="no confiable",0,"")))</f>
        <v/>
      </c>
      <c r="P223" s="25">
        <f>IF(N223="confiable",2,IF(N223="dudosa",1,IF(N223="no confiable",0,"")))</f>
        <v/>
      </c>
      <c r="Q223" s="25">
        <f>IF(AND(ISNUMBER(O223),ISNUMBER(P223)),1,"")</f>
        <v/>
      </c>
      <c r="R223" s="25">
        <f>IF(Q223=1,IF(O223=P223,"Sí","No"),"")</f>
        <v/>
      </c>
      <c r="S223" s="25">
        <f>IF(Q223=1,IF(P223&lt;O223,"Más estricto",IF(P223&gt;O223,"Más permisivo","Igual")),"")</f>
        <v/>
      </c>
      <c r="T223" s="25">
        <f>IF(Q223=1,IF(ABS(O223-P223)=2,1,0),"")</f>
        <v/>
      </c>
      <c r="U223" s="25">
        <f>IF(H223="","","|"&amp;SUBSTITUTE(SUBSTITUTE(TRIM(H223)," |","|"),"| ","|")&amp;"|")</f>
        <v/>
      </c>
      <c r="V223" s="25">
        <f>IF(AND(Q223=1,B223&lt;&gt;""),IF(IFERROR(COUNTIFS(B$3:B223,"="&amp;SUBSTITUTE(SUBSTITUTE(SUBSTITUTE(B223,"~","~~"),"*","~*"),"?","~?"),Q$3:Q223,1),0)=1,MAX(V$2:V222)+1,""),"")</f>
        <v/>
      </c>
      <c r="W223" s="25">
        <f>IF(V223="","",COUNTIFS($B$3:$B$1002,"="&amp;SUBSTITUTE(SUBSTITUTE(SUBSTITUTE(B223,"~","~~"),"*","~*"),"?","~?"),$Q$3:$Q$1002,1)*10000-V223)</f>
        <v/>
      </c>
      <c r="X223" s="25">
        <f>IF(Q223=1,IF(SUBSTITUTE(SUBSTITUTE(SUBSTITUTE(SUBSTITUTE(SUBSTITUTE(SUBSTITUTE(SUBSTITUTE(SUBSTITUTE(SUBSTITUTE(SUBSTITUTE(SUBSTITUTE(SUBSTITUTE(LOWER(TRIM(A223)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223)),"á","a"),"é","e"),"í","i"),"ó","o"),"ú","u"),"ü","u"),"ñ","n"),"à","a"),"è","e"),"ì","i"),"ò","o"),"ù","u")),"")</f>
        <v/>
      </c>
      <c r="Y223" s="25">
        <f>IF(X223="","",IF(IFERROR(COUNTIF(X$3:X223,"="&amp;SUBSTITUTE(SUBSTITUTE(SUBSTITUTE(X223,"~","~~"),"*","~*"),"?","~?")),0)=1,1,""))</f>
        <v/>
      </c>
      <c r="Z223" s="25">
        <f>IF(T223=1,MAX(Z$2:Z222)+1,"")</f>
        <v/>
      </c>
    </row>
    <row r="224">
      <c r="A224">
        <f>IF(A$2=0,"",IFERROR(TRIM(INDEX('Pegar calibracion'!$A$1:$BZ$1001,223,A$2)&amp;""),""))</f>
        <v/>
      </c>
      <c r="B224">
        <f>IF(B$2=0,"",IFERROR(TRIM(INDEX('Pegar calibracion'!$A$1:$BZ$1001,223,B$2)&amp;""),""))</f>
        <v/>
      </c>
      <c r="C224">
        <f>IF(C$2=0,"",IFERROR(TRIM(INDEX('Pegar calibracion'!$A$1:$BZ$1001,223,C$2)&amp;""),""))</f>
        <v/>
      </c>
      <c r="D224">
        <f>IF(D$2=0,"",IFERROR(TRIM(INDEX('Pegar calibracion'!$A$1:$BZ$1001,223,D$2)&amp;""),""))</f>
        <v/>
      </c>
      <c r="E224">
        <f>IF(E$2=0,"",IFERROR(TRIM(INDEX('Pegar calibracion'!$A$1:$BZ$1001,223,E$2)&amp;""),""))</f>
        <v/>
      </c>
      <c r="F224">
        <f>IF(F$2=0,"",IFERROR(TRIM(INDEX('Pegar calibracion'!$A$1:$BZ$1001,223,F$2)&amp;""),""))</f>
        <v/>
      </c>
      <c r="G224">
        <f>IF(G$2=0,"",IFERROR(TRIM(INDEX('Pegar calibracion'!$A$1:$BZ$1001,223,G$2)&amp;""),""))</f>
        <v/>
      </c>
      <c r="H224">
        <f>IF(H$2=0,"",IFERROR(TRIM(INDEX('Pegar calibracion'!$A$1:$BZ$1001,223,H$2)&amp;""),""))</f>
        <v/>
      </c>
      <c r="I224">
        <f>IF(I$2=0,"",IFERROR(TRIM(INDEX('Pegar calibracion'!$A$1:$BZ$1001,223,I$2)&amp;""),""))</f>
        <v/>
      </c>
      <c r="J224">
        <f>IF(J$2=0,"",IFERROR(TRIM(INDEX('Pegar calibracion'!$A$1:$BZ$1001,223,J$2)&amp;""),""))</f>
        <v/>
      </c>
      <c r="K224">
        <f>IF(K$2=0,"",IFERROR(TRIM(INDEX('Pegar calibracion'!$A$1:$BZ$1001,223,K$2)&amp;""),""))</f>
        <v/>
      </c>
      <c r="L224">
        <f>IF(L$2=0,"",IFERROR(TRIM(INDEX('Pegar calibracion'!$A$1:$BZ$1001,223,L$2)&amp;""),""))</f>
        <v/>
      </c>
      <c r="M224" s="25">
        <f>IF(D224="","",SUBSTITUTE(SUBSTITUTE(SUBSTITUTE(SUBSTITUTE(SUBSTITUTE(SUBSTITUTE(SUBSTITUTE(SUBSTITUTE(SUBSTITUTE(SUBSTITUTE(SUBSTITUTE(SUBSTITUTE(LOWER(TRIM(D224)),"á","a"),"é","e"),"í","i"),"ó","o"),"ú","u"),"ü","u"),"ñ","n"),"à","a"),"è","e"),"ì","i"),"ò","o"),"ù","u"))</f>
        <v/>
      </c>
      <c r="N224" s="25">
        <f>IF(F224="","",SUBSTITUTE(SUBSTITUTE(SUBSTITUTE(SUBSTITUTE(SUBSTITUTE(SUBSTITUTE(SUBSTITUTE(SUBSTITUTE(SUBSTITUTE(SUBSTITUTE(SUBSTITUTE(SUBSTITUTE(LOWER(TRIM(F224)),"á","a"),"é","e"),"í","i"),"ó","o"),"ú","u"),"ü","u"),"ñ","n"),"à","a"),"è","e"),"ì","i"),"ò","o"),"ù","u"))</f>
        <v/>
      </c>
      <c r="O224" s="25">
        <f>IF(M224="confiable",2,IF(M224="dudosa",1,IF(M224="no confiable",0,"")))</f>
        <v/>
      </c>
      <c r="P224" s="25">
        <f>IF(N224="confiable",2,IF(N224="dudosa",1,IF(N224="no confiable",0,"")))</f>
        <v/>
      </c>
      <c r="Q224" s="25">
        <f>IF(AND(ISNUMBER(O224),ISNUMBER(P224)),1,"")</f>
        <v/>
      </c>
      <c r="R224" s="25">
        <f>IF(Q224=1,IF(O224=P224,"Sí","No"),"")</f>
        <v/>
      </c>
      <c r="S224" s="25">
        <f>IF(Q224=1,IF(P224&lt;O224,"Más estricto",IF(P224&gt;O224,"Más permisivo","Igual")),"")</f>
        <v/>
      </c>
      <c r="T224" s="25">
        <f>IF(Q224=1,IF(ABS(O224-P224)=2,1,0),"")</f>
        <v/>
      </c>
      <c r="U224" s="25">
        <f>IF(H224="","","|"&amp;SUBSTITUTE(SUBSTITUTE(TRIM(H224)," |","|"),"| ","|")&amp;"|")</f>
        <v/>
      </c>
      <c r="V224" s="25">
        <f>IF(AND(Q224=1,B224&lt;&gt;""),IF(IFERROR(COUNTIFS(B$3:B224,"="&amp;SUBSTITUTE(SUBSTITUTE(SUBSTITUTE(B224,"~","~~"),"*","~*"),"?","~?"),Q$3:Q224,1),0)=1,MAX(V$2:V223)+1,""),"")</f>
        <v/>
      </c>
      <c r="W224" s="25">
        <f>IF(V224="","",COUNTIFS($B$3:$B$1002,"="&amp;SUBSTITUTE(SUBSTITUTE(SUBSTITUTE(B224,"~","~~"),"*","~*"),"?","~?"),$Q$3:$Q$1002,1)*10000-V224)</f>
        <v/>
      </c>
      <c r="X224" s="25">
        <f>IF(Q224=1,IF(SUBSTITUTE(SUBSTITUTE(SUBSTITUTE(SUBSTITUTE(SUBSTITUTE(SUBSTITUTE(SUBSTITUTE(SUBSTITUTE(SUBSTITUTE(SUBSTITUTE(SUBSTITUTE(SUBSTITUTE(LOWER(TRIM(A224)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224)),"á","a"),"é","e"),"í","i"),"ó","o"),"ú","u"),"ü","u"),"ñ","n"),"à","a"),"è","e"),"ì","i"),"ò","o"),"ù","u")),"")</f>
        <v/>
      </c>
      <c r="Y224" s="25">
        <f>IF(X224="","",IF(IFERROR(COUNTIF(X$3:X224,"="&amp;SUBSTITUTE(SUBSTITUTE(SUBSTITUTE(X224,"~","~~"),"*","~*"),"?","~?")),0)=1,1,""))</f>
        <v/>
      </c>
      <c r="Z224" s="25">
        <f>IF(T224=1,MAX(Z$2:Z223)+1,"")</f>
        <v/>
      </c>
    </row>
    <row r="225">
      <c r="A225">
        <f>IF(A$2=0,"",IFERROR(TRIM(INDEX('Pegar calibracion'!$A$1:$BZ$1001,224,A$2)&amp;""),""))</f>
        <v/>
      </c>
      <c r="B225">
        <f>IF(B$2=0,"",IFERROR(TRIM(INDEX('Pegar calibracion'!$A$1:$BZ$1001,224,B$2)&amp;""),""))</f>
        <v/>
      </c>
      <c r="C225">
        <f>IF(C$2=0,"",IFERROR(TRIM(INDEX('Pegar calibracion'!$A$1:$BZ$1001,224,C$2)&amp;""),""))</f>
        <v/>
      </c>
      <c r="D225">
        <f>IF(D$2=0,"",IFERROR(TRIM(INDEX('Pegar calibracion'!$A$1:$BZ$1001,224,D$2)&amp;""),""))</f>
        <v/>
      </c>
      <c r="E225">
        <f>IF(E$2=0,"",IFERROR(TRIM(INDEX('Pegar calibracion'!$A$1:$BZ$1001,224,E$2)&amp;""),""))</f>
        <v/>
      </c>
      <c r="F225">
        <f>IF(F$2=0,"",IFERROR(TRIM(INDEX('Pegar calibracion'!$A$1:$BZ$1001,224,F$2)&amp;""),""))</f>
        <v/>
      </c>
      <c r="G225">
        <f>IF(G$2=0,"",IFERROR(TRIM(INDEX('Pegar calibracion'!$A$1:$BZ$1001,224,G$2)&amp;""),""))</f>
        <v/>
      </c>
      <c r="H225">
        <f>IF(H$2=0,"",IFERROR(TRIM(INDEX('Pegar calibracion'!$A$1:$BZ$1001,224,H$2)&amp;""),""))</f>
        <v/>
      </c>
      <c r="I225">
        <f>IF(I$2=0,"",IFERROR(TRIM(INDEX('Pegar calibracion'!$A$1:$BZ$1001,224,I$2)&amp;""),""))</f>
        <v/>
      </c>
      <c r="J225">
        <f>IF(J$2=0,"",IFERROR(TRIM(INDEX('Pegar calibracion'!$A$1:$BZ$1001,224,J$2)&amp;""),""))</f>
        <v/>
      </c>
      <c r="K225">
        <f>IF(K$2=0,"",IFERROR(TRIM(INDEX('Pegar calibracion'!$A$1:$BZ$1001,224,K$2)&amp;""),""))</f>
        <v/>
      </c>
      <c r="L225">
        <f>IF(L$2=0,"",IFERROR(TRIM(INDEX('Pegar calibracion'!$A$1:$BZ$1001,224,L$2)&amp;""),""))</f>
        <v/>
      </c>
      <c r="M225" s="25">
        <f>IF(D225="","",SUBSTITUTE(SUBSTITUTE(SUBSTITUTE(SUBSTITUTE(SUBSTITUTE(SUBSTITUTE(SUBSTITUTE(SUBSTITUTE(SUBSTITUTE(SUBSTITUTE(SUBSTITUTE(SUBSTITUTE(LOWER(TRIM(D225)),"á","a"),"é","e"),"í","i"),"ó","o"),"ú","u"),"ü","u"),"ñ","n"),"à","a"),"è","e"),"ì","i"),"ò","o"),"ù","u"))</f>
        <v/>
      </c>
      <c r="N225" s="25">
        <f>IF(F225="","",SUBSTITUTE(SUBSTITUTE(SUBSTITUTE(SUBSTITUTE(SUBSTITUTE(SUBSTITUTE(SUBSTITUTE(SUBSTITUTE(SUBSTITUTE(SUBSTITUTE(SUBSTITUTE(SUBSTITUTE(LOWER(TRIM(F225)),"á","a"),"é","e"),"í","i"),"ó","o"),"ú","u"),"ü","u"),"ñ","n"),"à","a"),"è","e"),"ì","i"),"ò","o"),"ù","u"))</f>
        <v/>
      </c>
      <c r="O225" s="25">
        <f>IF(M225="confiable",2,IF(M225="dudosa",1,IF(M225="no confiable",0,"")))</f>
        <v/>
      </c>
      <c r="P225" s="25">
        <f>IF(N225="confiable",2,IF(N225="dudosa",1,IF(N225="no confiable",0,"")))</f>
        <v/>
      </c>
      <c r="Q225" s="25">
        <f>IF(AND(ISNUMBER(O225),ISNUMBER(P225)),1,"")</f>
        <v/>
      </c>
      <c r="R225" s="25">
        <f>IF(Q225=1,IF(O225=P225,"Sí","No"),"")</f>
        <v/>
      </c>
      <c r="S225" s="25">
        <f>IF(Q225=1,IF(P225&lt;O225,"Más estricto",IF(P225&gt;O225,"Más permisivo","Igual")),"")</f>
        <v/>
      </c>
      <c r="T225" s="25">
        <f>IF(Q225=1,IF(ABS(O225-P225)=2,1,0),"")</f>
        <v/>
      </c>
      <c r="U225" s="25">
        <f>IF(H225="","","|"&amp;SUBSTITUTE(SUBSTITUTE(TRIM(H225)," |","|"),"| ","|")&amp;"|")</f>
        <v/>
      </c>
      <c r="V225" s="25">
        <f>IF(AND(Q225=1,B225&lt;&gt;""),IF(IFERROR(COUNTIFS(B$3:B225,"="&amp;SUBSTITUTE(SUBSTITUTE(SUBSTITUTE(B225,"~","~~"),"*","~*"),"?","~?"),Q$3:Q225,1),0)=1,MAX(V$2:V224)+1,""),"")</f>
        <v/>
      </c>
      <c r="W225" s="25">
        <f>IF(V225="","",COUNTIFS($B$3:$B$1002,"="&amp;SUBSTITUTE(SUBSTITUTE(SUBSTITUTE(B225,"~","~~"),"*","~*"),"?","~?"),$Q$3:$Q$1002,1)*10000-V225)</f>
        <v/>
      </c>
      <c r="X225" s="25">
        <f>IF(Q225=1,IF(SUBSTITUTE(SUBSTITUTE(SUBSTITUTE(SUBSTITUTE(SUBSTITUTE(SUBSTITUTE(SUBSTITUTE(SUBSTITUTE(SUBSTITUTE(SUBSTITUTE(SUBSTITUTE(SUBSTITUTE(LOWER(TRIM(A225)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225)),"á","a"),"é","e"),"í","i"),"ó","o"),"ú","u"),"ü","u"),"ñ","n"),"à","a"),"è","e"),"ì","i"),"ò","o"),"ù","u")),"")</f>
        <v/>
      </c>
      <c r="Y225" s="25">
        <f>IF(X225="","",IF(IFERROR(COUNTIF(X$3:X225,"="&amp;SUBSTITUTE(SUBSTITUTE(SUBSTITUTE(X225,"~","~~"),"*","~*"),"?","~?")),0)=1,1,""))</f>
        <v/>
      </c>
      <c r="Z225" s="25">
        <f>IF(T225=1,MAX(Z$2:Z224)+1,"")</f>
        <v/>
      </c>
    </row>
    <row r="226">
      <c r="A226">
        <f>IF(A$2=0,"",IFERROR(TRIM(INDEX('Pegar calibracion'!$A$1:$BZ$1001,225,A$2)&amp;""),""))</f>
        <v/>
      </c>
      <c r="B226">
        <f>IF(B$2=0,"",IFERROR(TRIM(INDEX('Pegar calibracion'!$A$1:$BZ$1001,225,B$2)&amp;""),""))</f>
        <v/>
      </c>
      <c r="C226">
        <f>IF(C$2=0,"",IFERROR(TRIM(INDEX('Pegar calibracion'!$A$1:$BZ$1001,225,C$2)&amp;""),""))</f>
        <v/>
      </c>
      <c r="D226">
        <f>IF(D$2=0,"",IFERROR(TRIM(INDEX('Pegar calibracion'!$A$1:$BZ$1001,225,D$2)&amp;""),""))</f>
        <v/>
      </c>
      <c r="E226">
        <f>IF(E$2=0,"",IFERROR(TRIM(INDEX('Pegar calibracion'!$A$1:$BZ$1001,225,E$2)&amp;""),""))</f>
        <v/>
      </c>
      <c r="F226">
        <f>IF(F$2=0,"",IFERROR(TRIM(INDEX('Pegar calibracion'!$A$1:$BZ$1001,225,F$2)&amp;""),""))</f>
        <v/>
      </c>
      <c r="G226">
        <f>IF(G$2=0,"",IFERROR(TRIM(INDEX('Pegar calibracion'!$A$1:$BZ$1001,225,G$2)&amp;""),""))</f>
        <v/>
      </c>
      <c r="H226">
        <f>IF(H$2=0,"",IFERROR(TRIM(INDEX('Pegar calibracion'!$A$1:$BZ$1001,225,H$2)&amp;""),""))</f>
        <v/>
      </c>
      <c r="I226">
        <f>IF(I$2=0,"",IFERROR(TRIM(INDEX('Pegar calibracion'!$A$1:$BZ$1001,225,I$2)&amp;""),""))</f>
        <v/>
      </c>
      <c r="J226">
        <f>IF(J$2=0,"",IFERROR(TRIM(INDEX('Pegar calibracion'!$A$1:$BZ$1001,225,J$2)&amp;""),""))</f>
        <v/>
      </c>
      <c r="K226">
        <f>IF(K$2=0,"",IFERROR(TRIM(INDEX('Pegar calibracion'!$A$1:$BZ$1001,225,K$2)&amp;""),""))</f>
        <v/>
      </c>
      <c r="L226">
        <f>IF(L$2=0,"",IFERROR(TRIM(INDEX('Pegar calibracion'!$A$1:$BZ$1001,225,L$2)&amp;""),""))</f>
        <v/>
      </c>
      <c r="M226" s="25">
        <f>IF(D226="","",SUBSTITUTE(SUBSTITUTE(SUBSTITUTE(SUBSTITUTE(SUBSTITUTE(SUBSTITUTE(SUBSTITUTE(SUBSTITUTE(SUBSTITUTE(SUBSTITUTE(SUBSTITUTE(SUBSTITUTE(LOWER(TRIM(D226)),"á","a"),"é","e"),"í","i"),"ó","o"),"ú","u"),"ü","u"),"ñ","n"),"à","a"),"è","e"),"ì","i"),"ò","o"),"ù","u"))</f>
        <v/>
      </c>
      <c r="N226" s="25">
        <f>IF(F226="","",SUBSTITUTE(SUBSTITUTE(SUBSTITUTE(SUBSTITUTE(SUBSTITUTE(SUBSTITUTE(SUBSTITUTE(SUBSTITUTE(SUBSTITUTE(SUBSTITUTE(SUBSTITUTE(SUBSTITUTE(LOWER(TRIM(F226)),"á","a"),"é","e"),"í","i"),"ó","o"),"ú","u"),"ü","u"),"ñ","n"),"à","a"),"è","e"),"ì","i"),"ò","o"),"ù","u"))</f>
        <v/>
      </c>
      <c r="O226" s="25">
        <f>IF(M226="confiable",2,IF(M226="dudosa",1,IF(M226="no confiable",0,"")))</f>
        <v/>
      </c>
      <c r="P226" s="25">
        <f>IF(N226="confiable",2,IF(N226="dudosa",1,IF(N226="no confiable",0,"")))</f>
        <v/>
      </c>
      <c r="Q226" s="25">
        <f>IF(AND(ISNUMBER(O226),ISNUMBER(P226)),1,"")</f>
        <v/>
      </c>
      <c r="R226" s="25">
        <f>IF(Q226=1,IF(O226=P226,"Sí","No"),"")</f>
        <v/>
      </c>
      <c r="S226" s="25">
        <f>IF(Q226=1,IF(P226&lt;O226,"Más estricto",IF(P226&gt;O226,"Más permisivo","Igual")),"")</f>
        <v/>
      </c>
      <c r="T226" s="25">
        <f>IF(Q226=1,IF(ABS(O226-P226)=2,1,0),"")</f>
        <v/>
      </c>
      <c r="U226" s="25">
        <f>IF(H226="","","|"&amp;SUBSTITUTE(SUBSTITUTE(TRIM(H226)," |","|"),"| ","|")&amp;"|")</f>
        <v/>
      </c>
      <c r="V226" s="25">
        <f>IF(AND(Q226=1,B226&lt;&gt;""),IF(IFERROR(COUNTIFS(B$3:B226,"="&amp;SUBSTITUTE(SUBSTITUTE(SUBSTITUTE(B226,"~","~~"),"*","~*"),"?","~?"),Q$3:Q226,1),0)=1,MAX(V$2:V225)+1,""),"")</f>
        <v/>
      </c>
      <c r="W226" s="25">
        <f>IF(V226="","",COUNTIFS($B$3:$B$1002,"="&amp;SUBSTITUTE(SUBSTITUTE(SUBSTITUTE(B226,"~","~~"),"*","~*"),"?","~?"),$Q$3:$Q$1002,1)*10000-V226)</f>
        <v/>
      </c>
      <c r="X226" s="25">
        <f>IF(Q226=1,IF(SUBSTITUTE(SUBSTITUTE(SUBSTITUTE(SUBSTITUTE(SUBSTITUTE(SUBSTITUTE(SUBSTITUTE(SUBSTITUTE(SUBSTITUTE(SUBSTITUTE(SUBSTITUTE(SUBSTITUTE(LOWER(TRIM(A226)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226)),"á","a"),"é","e"),"í","i"),"ó","o"),"ú","u"),"ü","u"),"ñ","n"),"à","a"),"è","e"),"ì","i"),"ò","o"),"ù","u")),"")</f>
        <v/>
      </c>
      <c r="Y226" s="25">
        <f>IF(X226="","",IF(IFERROR(COUNTIF(X$3:X226,"="&amp;SUBSTITUTE(SUBSTITUTE(SUBSTITUTE(X226,"~","~~"),"*","~*"),"?","~?")),0)=1,1,""))</f>
        <v/>
      </c>
      <c r="Z226" s="25">
        <f>IF(T226=1,MAX(Z$2:Z225)+1,"")</f>
        <v/>
      </c>
    </row>
    <row r="227">
      <c r="A227">
        <f>IF(A$2=0,"",IFERROR(TRIM(INDEX('Pegar calibracion'!$A$1:$BZ$1001,226,A$2)&amp;""),""))</f>
        <v/>
      </c>
      <c r="B227">
        <f>IF(B$2=0,"",IFERROR(TRIM(INDEX('Pegar calibracion'!$A$1:$BZ$1001,226,B$2)&amp;""),""))</f>
        <v/>
      </c>
      <c r="C227">
        <f>IF(C$2=0,"",IFERROR(TRIM(INDEX('Pegar calibracion'!$A$1:$BZ$1001,226,C$2)&amp;""),""))</f>
        <v/>
      </c>
      <c r="D227">
        <f>IF(D$2=0,"",IFERROR(TRIM(INDEX('Pegar calibracion'!$A$1:$BZ$1001,226,D$2)&amp;""),""))</f>
        <v/>
      </c>
      <c r="E227">
        <f>IF(E$2=0,"",IFERROR(TRIM(INDEX('Pegar calibracion'!$A$1:$BZ$1001,226,E$2)&amp;""),""))</f>
        <v/>
      </c>
      <c r="F227">
        <f>IF(F$2=0,"",IFERROR(TRIM(INDEX('Pegar calibracion'!$A$1:$BZ$1001,226,F$2)&amp;""),""))</f>
        <v/>
      </c>
      <c r="G227">
        <f>IF(G$2=0,"",IFERROR(TRIM(INDEX('Pegar calibracion'!$A$1:$BZ$1001,226,G$2)&amp;""),""))</f>
        <v/>
      </c>
      <c r="H227">
        <f>IF(H$2=0,"",IFERROR(TRIM(INDEX('Pegar calibracion'!$A$1:$BZ$1001,226,H$2)&amp;""),""))</f>
        <v/>
      </c>
      <c r="I227">
        <f>IF(I$2=0,"",IFERROR(TRIM(INDEX('Pegar calibracion'!$A$1:$BZ$1001,226,I$2)&amp;""),""))</f>
        <v/>
      </c>
      <c r="J227">
        <f>IF(J$2=0,"",IFERROR(TRIM(INDEX('Pegar calibracion'!$A$1:$BZ$1001,226,J$2)&amp;""),""))</f>
        <v/>
      </c>
      <c r="K227">
        <f>IF(K$2=0,"",IFERROR(TRIM(INDEX('Pegar calibracion'!$A$1:$BZ$1001,226,K$2)&amp;""),""))</f>
        <v/>
      </c>
      <c r="L227">
        <f>IF(L$2=0,"",IFERROR(TRIM(INDEX('Pegar calibracion'!$A$1:$BZ$1001,226,L$2)&amp;""),""))</f>
        <v/>
      </c>
      <c r="M227" s="25">
        <f>IF(D227="","",SUBSTITUTE(SUBSTITUTE(SUBSTITUTE(SUBSTITUTE(SUBSTITUTE(SUBSTITUTE(SUBSTITUTE(SUBSTITUTE(SUBSTITUTE(SUBSTITUTE(SUBSTITUTE(SUBSTITUTE(LOWER(TRIM(D227)),"á","a"),"é","e"),"í","i"),"ó","o"),"ú","u"),"ü","u"),"ñ","n"),"à","a"),"è","e"),"ì","i"),"ò","o"),"ù","u"))</f>
        <v/>
      </c>
      <c r="N227" s="25">
        <f>IF(F227="","",SUBSTITUTE(SUBSTITUTE(SUBSTITUTE(SUBSTITUTE(SUBSTITUTE(SUBSTITUTE(SUBSTITUTE(SUBSTITUTE(SUBSTITUTE(SUBSTITUTE(SUBSTITUTE(SUBSTITUTE(LOWER(TRIM(F227)),"á","a"),"é","e"),"í","i"),"ó","o"),"ú","u"),"ü","u"),"ñ","n"),"à","a"),"è","e"),"ì","i"),"ò","o"),"ù","u"))</f>
        <v/>
      </c>
      <c r="O227" s="25">
        <f>IF(M227="confiable",2,IF(M227="dudosa",1,IF(M227="no confiable",0,"")))</f>
        <v/>
      </c>
      <c r="P227" s="25">
        <f>IF(N227="confiable",2,IF(N227="dudosa",1,IF(N227="no confiable",0,"")))</f>
        <v/>
      </c>
      <c r="Q227" s="25">
        <f>IF(AND(ISNUMBER(O227),ISNUMBER(P227)),1,"")</f>
        <v/>
      </c>
      <c r="R227" s="25">
        <f>IF(Q227=1,IF(O227=P227,"Sí","No"),"")</f>
        <v/>
      </c>
      <c r="S227" s="25">
        <f>IF(Q227=1,IF(P227&lt;O227,"Más estricto",IF(P227&gt;O227,"Más permisivo","Igual")),"")</f>
        <v/>
      </c>
      <c r="T227" s="25">
        <f>IF(Q227=1,IF(ABS(O227-P227)=2,1,0),"")</f>
        <v/>
      </c>
      <c r="U227" s="25">
        <f>IF(H227="","","|"&amp;SUBSTITUTE(SUBSTITUTE(TRIM(H227)," |","|"),"| ","|")&amp;"|")</f>
        <v/>
      </c>
      <c r="V227" s="25">
        <f>IF(AND(Q227=1,B227&lt;&gt;""),IF(IFERROR(COUNTIFS(B$3:B227,"="&amp;SUBSTITUTE(SUBSTITUTE(SUBSTITUTE(B227,"~","~~"),"*","~*"),"?","~?"),Q$3:Q227,1),0)=1,MAX(V$2:V226)+1,""),"")</f>
        <v/>
      </c>
      <c r="W227" s="25">
        <f>IF(V227="","",COUNTIFS($B$3:$B$1002,"="&amp;SUBSTITUTE(SUBSTITUTE(SUBSTITUTE(B227,"~","~~"),"*","~*"),"?","~?"),$Q$3:$Q$1002,1)*10000-V227)</f>
        <v/>
      </c>
      <c r="X227" s="25">
        <f>IF(Q227=1,IF(SUBSTITUTE(SUBSTITUTE(SUBSTITUTE(SUBSTITUTE(SUBSTITUTE(SUBSTITUTE(SUBSTITUTE(SUBSTITUTE(SUBSTITUTE(SUBSTITUTE(SUBSTITUTE(SUBSTITUTE(LOWER(TRIM(A227)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227)),"á","a"),"é","e"),"í","i"),"ó","o"),"ú","u"),"ü","u"),"ñ","n"),"à","a"),"è","e"),"ì","i"),"ò","o"),"ù","u")),"")</f>
        <v/>
      </c>
      <c r="Y227" s="25">
        <f>IF(X227="","",IF(IFERROR(COUNTIF(X$3:X227,"="&amp;SUBSTITUTE(SUBSTITUTE(SUBSTITUTE(X227,"~","~~"),"*","~*"),"?","~?")),0)=1,1,""))</f>
        <v/>
      </c>
      <c r="Z227" s="25">
        <f>IF(T227=1,MAX(Z$2:Z226)+1,"")</f>
        <v/>
      </c>
    </row>
    <row r="228">
      <c r="A228">
        <f>IF(A$2=0,"",IFERROR(TRIM(INDEX('Pegar calibracion'!$A$1:$BZ$1001,227,A$2)&amp;""),""))</f>
        <v/>
      </c>
      <c r="B228">
        <f>IF(B$2=0,"",IFERROR(TRIM(INDEX('Pegar calibracion'!$A$1:$BZ$1001,227,B$2)&amp;""),""))</f>
        <v/>
      </c>
      <c r="C228">
        <f>IF(C$2=0,"",IFERROR(TRIM(INDEX('Pegar calibracion'!$A$1:$BZ$1001,227,C$2)&amp;""),""))</f>
        <v/>
      </c>
      <c r="D228">
        <f>IF(D$2=0,"",IFERROR(TRIM(INDEX('Pegar calibracion'!$A$1:$BZ$1001,227,D$2)&amp;""),""))</f>
        <v/>
      </c>
      <c r="E228">
        <f>IF(E$2=0,"",IFERROR(TRIM(INDEX('Pegar calibracion'!$A$1:$BZ$1001,227,E$2)&amp;""),""))</f>
        <v/>
      </c>
      <c r="F228">
        <f>IF(F$2=0,"",IFERROR(TRIM(INDEX('Pegar calibracion'!$A$1:$BZ$1001,227,F$2)&amp;""),""))</f>
        <v/>
      </c>
      <c r="G228">
        <f>IF(G$2=0,"",IFERROR(TRIM(INDEX('Pegar calibracion'!$A$1:$BZ$1001,227,G$2)&amp;""),""))</f>
        <v/>
      </c>
      <c r="H228">
        <f>IF(H$2=0,"",IFERROR(TRIM(INDEX('Pegar calibracion'!$A$1:$BZ$1001,227,H$2)&amp;""),""))</f>
        <v/>
      </c>
      <c r="I228">
        <f>IF(I$2=0,"",IFERROR(TRIM(INDEX('Pegar calibracion'!$A$1:$BZ$1001,227,I$2)&amp;""),""))</f>
        <v/>
      </c>
      <c r="J228">
        <f>IF(J$2=0,"",IFERROR(TRIM(INDEX('Pegar calibracion'!$A$1:$BZ$1001,227,J$2)&amp;""),""))</f>
        <v/>
      </c>
      <c r="K228">
        <f>IF(K$2=0,"",IFERROR(TRIM(INDEX('Pegar calibracion'!$A$1:$BZ$1001,227,K$2)&amp;""),""))</f>
        <v/>
      </c>
      <c r="L228">
        <f>IF(L$2=0,"",IFERROR(TRIM(INDEX('Pegar calibracion'!$A$1:$BZ$1001,227,L$2)&amp;""),""))</f>
        <v/>
      </c>
      <c r="M228" s="25">
        <f>IF(D228="","",SUBSTITUTE(SUBSTITUTE(SUBSTITUTE(SUBSTITUTE(SUBSTITUTE(SUBSTITUTE(SUBSTITUTE(SUBSTITUTE(SUBSTITUTE(SUBSTITUTE(SUBSTITUTE(SUBSTITUTE(LOWER(TRIM(D228)),"á","a"),"é","e"),"í","i"),"ó","o"),"ú","u"),"ü","u"),"ñ","n"),"à","a"),"è","e"),"ì","i"),"ò","o"),"ù","u"))</f>
        <v/>
      </c>
      <c r="N228" s="25">
        <f>IF(F228="","",SUBSTITUTE(SUBSTITUTE(SUBSTITUTE(SUBSTITUTE(SUBSTITUTE(SUBSTITUTE(SUBSTITUTE(SUBSTITUTE(SUBSTITUTE(SUBSTITUTE(SUBSTITUTE(SUBSTITUTE(LOWER(TRIM(F228)),"á","a"),"é","e"),"í","i"),"ó","o"),"ú","u"),"ü","u"),"ñ","n"),"à","a"),"è","e"),"ì","i"),"ò","o"),"ù","u"))</f>
        <v/>
      </c>
      <c r="O228" s="25">
        <f>IF(M228="confiable",2,IF(M228="dudosa",1,IF(M228="no confiable",0,"")))</f>
        <v/>
      </c>
      <c r="P228" s="25">
        <f>IF(N228="confiable",2,IF(N228="dudosa",1,IF(N228="no confiable",0,"")))</f>
        <v/>
      </c>
      <c r="Q228" s="25">
        <f>IF(AND(ISNUMBER(O228),ISNUMBER(P228)),1,"")</f>
        <v/>
      </c>
      <c r="R228" s="25">
        <f>IF(Q228=1,IF(O228=P228,"Sí","No"),"")</f>
        <v/>
      </c>
      <c r="S228" s="25">
        <f>IF(Q228=1,IF(P228&lt;O228,"Más estricto",IF(P228&gt;O228,"Más permisivo","Igual")),"")</f>
        <v/>
      </c>
      <c r="T228" s="25">
        <f>IF(Q228=1,IF(ABS(O228-P228)=2,1,0),"")</f>
        <v/>
      </c>
      <c r="U228" s="25">
        <f>IF(H228="","","|"&amp;SUBSTITUTE(SUBSTITUTE(TRIM(H228)," |","|"),"| ","|")&amp;"|")</f>
        <v/>
      </c>
      <c r="V228" s="25">
        <f>IF(AND(Q228=1,B228&lt;&gt;""),IF(IFERROR(COUNTIFS(B$3:B228,"="&amp;SUBSTITUTE(SUBSTITUTE(SUBSTITUTE(B228,"~","~~"),"*","~*"),"?","~?"),Q$3:Q228,1),0)=1,MAX(V$2:V227)+1,""),"")</f>
        <v/>
      </c>
      <c r="W228" s="25">
        <f>IF(V228="","",COUNTIFS($B$3:$B$1002,"="&amp;SUBSTITUTE(SUBSTITUTE(SUBSTITUTE(B228,"~","~~"),"*","~*"),"?","~?"),$Q$3:$Q$1002,1)*10000-V228)</f>
        <v/>
      </c>
      <c r="X228" s="25">
        <f>IF(Q228=1,IF(SUBSTITUTE(SUBSTITUTE(SUBSTITUTE(SUBSTITUTE(SUBSTITUTE(SUBSTITUTE(SUBSTITUTE(SUBSTITUTE(SUBSTITUTE(SUBSTITUTE(SUBSTITUTE(SUBSTITUTE(LOWER(TRIM(A228)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228)),"á","a"),"é","e"),"í","i"),"ó","o"),"ú","u"),"ü","u"),"ñ","n"),"à","a"),"è","e"),"ì","i"),"ò","o"),"ù","u")),"")</f>
        <v/>
      </c>
      <c r="Y228" s="25">
        <f>IF(X228="","",IF(IFERROR(COUNTIF(X$3:X228,"="&amp;SUBSTITUTE(SUBSTITUTE(SUBSTITUTE(X228,"~","~~"),"*","~*"),"?","~?")),0)=1,1,""))</f>
        <v/>
      </c>
      <c r="Z228" s="25">
        <f>IF(T228=1,MAX(Z$2:Z227)+1,"")</f>
        <v/>
      </c>
    </row>
    <row r="229">
      <c r="A229">
        <f>IF(A$2=0,"",IFERROR(TRIM(INDEX('Pegar calibracion'!$A$1:$BZ$1001,228,A$2)&amp;""),""))</f>
        <v/>
      </c>
      <c r="B229">
        <f>IF(B$2=0,"",IFERROR(TRIM(INDEX('Pegar calibracion'!$A$1:$BZ$1001,228,B$2)&amp;""),""))</f>
        <v/>
      </c>
      <c r="C229">
        <f>IF(C$2=0,"",IFERROR(TRIM(INDEX('Pegar calibracion'!$A$1:$BZ$1001,228,C$2)&amp;""),""))</f>
        <v/>
      </c>
      <c r="D229">
        <f>IF(D$2=0,"",IFERROR(TRIM(INDEX('Pegar calibracion'!$A$1:$BZ$1001,228,D$2)&amp;""),""))</f>
        <v/>
      </c>
      <c r="E229">
        <f>IF(E$2=0,"",IFERROR(TRIM(INDEX('Pegar calibracion'!$A$1:$BZ$1001,228,E$2)&amp;""),""))</f>
        <v/>
      </c>
      <c r="F229">
        <f>IF(F$2=0,"",IFERROR(TRIM(INDEX('Pegar calibracion'!$A$1:$BZ$1001,228,F$2)&amp;""),""))</f>
        <v/>
      </c>
      <c r="G229">
        <f>IF(G$2=0,"",IFERROR(TRIM(INDEX('Pegar calibracion'!$A$1:$BZ$1001,228,G$2)&amp;""),""))</f>
        <v/>
      </c>
      <c r="H229">
        <f>IF(H$2=0,"",IFERROR(TRIM(INDEX('Pegar calibracion'!$A$1:$BZ$1001,228,H$2)&amp;""),""))</f>
        <v/>
      </c>
      <c r="I229">
        <f>IF(I$2=0,"",IFERROR(TRIM(INDEX('Pegar calibracion'!$A$1:$BZ$1001,228,I$2)&amp;""),""))</f>
        <v/>
      </c>
      <c r="J229">
        <f>IF(J$2=0,"",IFERROR(TRIM(INDEX('Pegar calibracion'!$A$1:$BZ$1001,228,J$2)&amp;""),""))</f>
        <v/>
      </c>
      <c r="K229">
        <f>IF(K$2=0,"",IFERROR(TRIM(INDEX('Pegar calibracion'!$A$1:$BZ$1001,228,K$2)&amp;""),""))</f>
        <v/>
      </c>
      <c r="L229">
        <f>IF(L$2=0,"",IFERROR(TRIM(INDEX('Pegar calibracion'!$A$1:$BZ$1001,228,L$2)&amp;""),""))</f>
        <v/>
      </c>
      <c r="M229" s="25">
        <f>IF(D229="","",SUBSTITUTE(SUBSTITUTE(SUBSTITUTE(SUBSTITUTE(SUBSTITUTE(SUBSTITUTE(SUBSTITUTE(SUBSTITUTE(SUBSTITUTE(SUBSTITUTE(SUBSTITUTE(SUBSTITUTE(LOWER(TRIM(D229)),"á","a"),"é","e"),"í","i"),"ó","o"),"ú","u"),"ü","u"),"ñ","n"),"à","a"),"è","e"),"ì","i"),"ò","o"),"ù","u"))</f>
        <v/>
      </c>
      <c r="N229" s="25">
        <f>IF(F229="","",SUBSTITUTE(SUBSTITUTE(SUBSTITUTE(SUBSTITUTE(SUBSTITUTE(SUBSTITUTE(SUBSTITUTE(SUBSTITUTE(SUBSTITUTE(SUBSTITUTE(SUBSTITUTE(SUBSTITUTE(LOWER(TRIM(F229)),"á","a"),"é","e"),"í","i"),"ó","o"),"ú","u"),"ü","u"),"ñ","n"),"à","a"),"è","e"),"ì","i"),"ò","o"),"ù","u"))</f>
        <v/>
      </c>
      <c r="O229" s="25">
        <f>IF(M229="confiable",2,IF(M229="dudosa",1,IF(M229="no confiable",0,"")))</f>
        <v/>
      </c>
      <c r="P229" s="25">
        <f>IF(N229="confiable",2,IF(N229="dudosa",1,IF(N229="no confiable",0,"")))</f>
        <v/>
      </c>
      <c r="Q229" s="25">
        <f>IF(AND(ISNUMBER(O229),ISNUMBER(P229)),1,"")</f>
        <v/>
      </c>
      <c r="R229" s="25">
        <f>IF(Q229=1,IF(O229=P229,"Sí","No"),"")</f>
        <v/>
      </c>
      <c r="S229" s="25">
        <f>IF(Q229=1,IF(P229&lt;O229,"Más estricto",IF(P229&gt;O229,"Más permisivo","Igual")),"")</f>
        <v/>
      </c>
      <c r="T229" s="25">
        <f>IF(Q229=1,IF(ABS(O229-P229)=2,1,0),"")</f>
        <v/>
      </c>
      <c r="U229" s="25">
        <f>IF(H229="","","|"&amp;SUBSTITUTE(SUBSTITUTE(TRIM(H229)," |","|"),"| ","|")&amp;"|")</f>
        <v/>
      </c>
      <c r="V229" s="25">
        <f>IF(AND(Q229=1,B229&lt;&gt;""),IF(IFERROR(COUNTIFS(B$3:B229,"="&amp;SUBSTITUTE(SUBSTITUTE(SUBSTITUTE(B229,"~","~~"),"*","~*"),"?","~?"),Q$3:Q229,1),0)=1,MAX(V$2:V228)+1,""),"")</f>
        <v/>
      </c>
      <c r="W229" s="25">
        <f>IF(V229="","",COUNTIFS($B$3:$B$1002,"="&amp;SUBSTITUTE(SUBSTITUTE(SUBSTITUTE(B229,"~","~~"),"*","~*"),"?","~?"),$Q$3:$Q$1002,1)*10000-V229)</f>
        <v/>
      </c>
      <c r="X229" s="25">
        <f>IF(Q229=1,IF(SUBSTITUTE(SUBSTITUTE(SUBSTITUTE(SUBSTITUTE(SUBSTITUTE(SUBSTITUTE(SUBSTITUTE(SUBSTITUTE(SUBSTITUTE(SUBSTITUTE(SUBSTITUTE(SUBSTITUTE(LOWER(TRIM(A229)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229)),"á","a"),"é","e"),"í","i"),"ó","o"),"ú","u"),"ü","u"),"ñ","n"),"à","a"),"è","e"),"ì","i"),"ò","o"),"ù","u")),"")</f>
        <v/>
      </c>
      <c r="Y229" s="25">
        <f>IF(X229="","",IF(IFERROR(COUNTIF(X$3:X229,"="&amp;SUBSTITUTE(SUBSTITUTE(SUBSTITUTE(X229,"~","~~"),"*","~*"),"?","~?")),0)=1,1,""))</f>
        <v/>
      </c>
      <c r="Z229" s="25">
        <f>IF(T229=1,MAX(Z$2:Z228)+1,"")</f>
        <v/>
      </c>
    </row>
    <row r="230">
      <c r="A230">
        <f>IF(A$2=0,"",IFERROR(TRIM(INDEX('Pegar calibracion'!$A$1:$BZ$1001,229,A$2)&amp;""),""))</f>
        <v/>
      </c>
      <c r="B230">
        <f>IF(B$2=0,"",IFERROR(TRIM(INDEX('Pegar calibracion'!$A$1:$BZ$1001,229,B$2)&amp;""),""))</f>
        <v/>
      </c>
      <c r="C230">
        <f>IF(C$2=0,"",IFERROR(TRIM(INDEX('Pegar calibracion'!$A$1:$BZ$1001,229,C$2)&amp;""),""))</f>
        <v/>
      </c>
      <c r="D230">
        <f>IF(D$2=0,"",IFERROR(TRIM(INDEX('Pegar calibracion'!$A$1:$BZ$1001,229,D$2)&amp;""),""))</f>
        <v/>
      </c>
      <c r="E230">
        <f>IF(E$2=0,"",IFERROR(TRIM(INDEX('Pegar calibracion'!$A$1:$BZ$1001,229,E$2)&amp;""),""))</f>
        <v/>
      </c>
      <c r="F230">
        <f>IF(F$2=0,"",IFERROR(TRIM(INDEX('Pegar calibracion'!$A$1:$BZ$1001,229,F$2)&amp;""),""))</f>
        <v/>
      </c>
      <c r="G230">
        <f>IF(G$2=0,"",IFERROR(TRIM(INDEX('Pegar calibracion'!$A$1:$BZ$1001,229,G$2)&amp;""),""))</f>
        <v/>
      </c>
      <c r="H230">
        <f>IF(H$2=0,"",IFERROR(TRIM(INDEX('Pegar calibracion'!$A$1:$BZ$1001,229,H$2)&amp;""),""))</f>
        <v/>
      </c>
      <c r="I230">
        <f>IF(I$2=0,"",IFERROR(TRIM(INDEX('Pegar calibracion'!$A$1:$BZ$1001,229,I$2)&amp;""),""))</f>
        <v/>
      </c>
      <c r="J230">
        <f>IF(J$2=0,"",IFERROR(TRIM(INDEX('Pegar calibracion'!$A$1:$BZ$1001,229,J$2)&amp;""),""))</f>
        <v/>
      </c>
      <c r="K230">
        <f>IF(K$2=0,"",IFERROR(TRIM(INDEX('Pegar calibracion'!$A$1:$BZ$1001,229,K$2)&amp;""),""))</f>
        <v/>
      </c>
      <c r="L230">
        <f>IF(L$2=0,"",IFERROR(TRIM(INDEX('Pegar calibracion'!$A$1:$BZ$1001,229,L$2)&amp;""),""))</f>
        <v/>
      </c>
      <c r="M230" s="25">
        <f>IF(D230="","",SUBSTITUTE(SUBSTITUTE(SUBSTITUTE(SUBSTITUTE(SUBSTITUTE(SUBSTITUTE(SUBSTITUTE(SUBSTITUTE(SUBSTITUTE(SUBSTITUTE(SUBSTITUTE(SUBSTITUTE(LOWER(TRIM(D230)),"á","a"),"é","e"),"í","i"),"ó","o"),"ú","u"),"ü","u"),"ñ","n"),"à","a"),"è","e"),"ì","i"),"ò","o"),"ù","u"))</f>
        <v/>
      </c>
      <c r="N230" s="25">
        <f>IF(F230="","",SUBSTITUTE(SUBSTITUTE(SUBSTITUTE(SUBSTITUTE(SUBSTITUTE(SUBSTITUTE(SUBSTITUTE(SUBSTITUTE(SUBSTITUTE(SUBSTITUTE(SUBSTITUTE(SUBSTITUTE(LOWER(TRIM(F230)),"á","a"),"é","e"),"í","i"),"ó","o"),"ú","u"),"ü","u"),"ñ","n"),"à","a"),"è","e"),"ì","i"),"ò","o"),"ù","u"))</f>
        <v/>
      </c>
      <c r="O230" s="25">
        <f>IF(M230="confiable",2,IF(M230="dudosa",1,IF(M230="no confiable",0,"")))</f>
        <v/>
      </c>
      <c r="P230" s="25">
        <f>IF(N230="confiable",2,IF(N230="dudosa",1,IF(N230="no confiable",0,"")))</f>
        <v/>
      </c>
      <c r="Q230" s="25">
        <f>IF(AND(ISNUMBER(O230),ISNUMBER(P230)),1,"")</f>
        <v/>
      </c>
      <c r="R230" s="25">
        <f>IF(Q230=1,IF(O230=P230,"Sí","No"),"")</f>
        <v/>
      </c>
      <c r="S230" s="25">
        <f>IF(Q230=1,IF(P230&lt;O230,"Más estricto",IF(P230&gt;O230,"Más permisivo","Igual")),"")</f>
        <v/>
      </c>
      <c r="T230" s="25">
        <f>IF(Q230=1,IF(ABS(O230-P230)=2,1,0),"")</f>
        <v/>
      </c>
      <c r="U230" s="25">
        <f>IF(H230="","","|"&amp;SUBSTITUTE(SUBSTITUTE(TRIM(H230)," |","|"),"| ","|")&amp;"|")</f>
        <v/>
      </c>
      <c r="V230" s="25">
        <f>IF(AND(Q230=1,B230&lt;&gt;""),IF(IFERROR(COUNTIFS(B$3:B230,"="&amp;SUBSTITUTE(SUBSTITUTE(SUBSTITUTE(B230,"~","~~"),"*","~*"),"?","~?"),Q$3:Q230,1),0)=1,MAX(V$2:V229)+1,""),"")</f>
        <v/>
      </c>
      <c r="W230" s="25">
        <f>IF(V230="","",COUNTIFS($B$3:$B$1002,"="&amp;SUBSTITUTE(SUBSTITUTE(SUBSTITUTE(B230,"~","~~"),"*","~*"),"?","~?"),$Q$3:$Q$1002,1)*10000-V230)</f>
        <v/>
      </c>
      <c r="X230" s="25">
        <f>IF(Q230=1,IF(SUBSTITUTE(SUBSTITUTE(SUBSTITUTE(SUBSTITUTE(SUBSTITUTE(SUBSTITUTE(SUBSTITUTE(SUBSTITUTE(SUBSTITUTE(SUBSTITUTE(SUBSTITUTE(SUBSTITUTE(LOWER(TRIM(A230)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230)),"á","a"),"é","e"),"í","i"),"ó","o"),"ú","u"),"ü","u"),"ñ","n"),"à","a"),"è","e"),"ì","i"),"ò","o"),"ù","u")),"")</f>
        <v/>
      </c>
      <c r="Y230" s="25">
        <f>IF(X230="","",IF(IFERROR(COUNTIF(X$3:X230,"="&amp;SUBSTITUTE(SUBSTITUTE(SUBSTITUTE(X230,"~","~~"),"*","~*"),"?","~?")),0)=1,1,""))</f>
        <v/>
      </c>
      <c r="Z230" s="25">
        <f>IF(T230=1,MAX(Z$2:Z229)+1,"")</f>
        <v/>
      </c>
    </row>
    <row r="231">
      <c r="A231">
        <f>IF(A$2=0,"",IFERROR(TRIM(INDEX('Pegar calibracion'!$A$1:$BZ$1001,230,A$2)&amp;""),""))</f>
        <v/>
      </c>
      <c r="B231">
        <f>IF(B$2=0,"",IFERROR(TRIM(INDEX('Pegar calibracion'!$A$1:$BZ$1001,230,B$2)&amp;""),""))</f>
        <v/>
      </c>
      <c r="C231">
        <f>IF(C$2=0,"",IFERROR(TRIM(INDEX('Pegar calibracion'!$A$1:$BZ$1001,230,C$2)&amp;""),""))</f>
        <v/>
      </c>
      <c r="D231">
        <f>IF(D$2=0,"",IFERROR(TRIM(INDEX('Pegar calibracion'!$A$1:$BZ$1001,230,D$2)&amp;""),""))</f>
        <v/>
      </c>
      <c r="E231">
        <f>IF(E$2=0,"",IFERROR(TRIM(INDEX('Pegar calibracion'!$A$1:$BZ$1001,230,E$2)&amp;""),""))</f>
        <v/>
      </c>
      <c r="F231">
        <f>IF(F$2=0,"",IFERROR(TRIM(INDEX('Pegar calibracion'!$A$1:$BZ$1001,230,F$2)&amp;""),""))</f>
        <v/>
      </c>
      <c r="G231">
        <f>IF(G$2=0,"",IFERROR(TRIM(INDEX('Pegar calibracion'!$A$1:$BZ$1001,230,G$2)&amp;""),""))</f>
        <v/>
      </c>
      <c r="H231">
        <f>IF(H$2=0,"",IFERROR(TRIM(INDEX('Pegar calibracion'!$A$1:$BZ$1001,230,H$2)&amp;""),""))</f>
        <v/>
      </c>
      <c r="I231">
        <f>IF(I$2=0,"",IFERROR(TRIM(INDEX('Pegar calibracion'!$A$1:$BZ$1001,230,I$2)&amp;""),""))</f>
        <v/>
      </c>
      <c r="J231">
        <f>IF(J$2=0,"",IFERROR(TRIM(INDEX('Pegar calibracion'!$A$1:$BZ$1001,230,J$2)&amp;""),""))</f>
        <v/>
      </c>
      <c r="K231">
        <f>IF(K$2=0,"",IFERROR(TRIM(INDEX('Pegar calibracion'!$A$1:$BZ$1001,230,K$2)&amp;""),""))</f>
        <v/>
      </c>
      <c r="L231">
        <f>IF(L$2=0,"",IFERROR(TRIM(INDEX('Pegar calibracion'!$A$1:$BZ$1001,230,L$2)&amp;""),""))</f>
        <v/>
      </c>
      <c r="M231" s="25">
        <f>IF(D231="","",SUBSTITUTE(SUBSTITUTE(SUBSTITUTE(SUBSTITUTE(SUBSTITUTE(SUBSTITUTE(SUBSTITUTE(SUBSTITUTE(SUBSTITUTE(SUBSTITUTE(SUBSTITUTE(SUBSTITUTE(LOWER(TRIM(D231)),"á","a"),"é","e"),"í","i"),"ó","o"),"ú","u"),"ü","u"),"ñ","n"),"à","a"),"è","e"),"ì","i"),"ò","o"),"ù","u"))</f>
        <v/>
      </c>
      <c r="N231" s="25">
        <f>IF(F231="","",SUBSTITUTE(SUBSTITUTE(SUBSTITUTE(SUBSTITUTE(SUBSTITUTE(SUBSTITUTE(SUBSTITUTE(SUBSTITUTE(SUBSTITUTE(SUBSTITUTE(SUBSTITUTE(SUBSTITUTE(LOWER(TRIM(F231)),"á","a"),"é","e"),"í","i"),"ó","o"),"ú","u"),"ü","u"),"ñ","n"),"à","a"),"è","e"),"ì","i"),"ò","o"),"ù","u"))</f>
        <v/>
      </c>
      <c r="O231" s="25">
        <f>IF(M231="confiable",2,IF(M231="dudosa",1,IF(M231="no confiable",0,"")))</f>
        <v/>
      </c>
      <c r="P231" s="25">
        <f>IF(N231="confiable",2,IF(N231="dudosa",1,IF(N231="no confiable",0,"")))</f>
        <v/>
      </c>
      <c r="Q231" s="25">
        <f>IF(AND(ISNUMBER(O231),ISNUMBER(P231)),1,"")</f>
        <v/>
      </c>
      <c r="R231" s="25">
        <f>IF(Q231=1,IF(O231=P231,"Sí","No"),"")</f>
        <v/>
      </c>
      <c r="S231" s="25">
        <f>IF(Q231=1,IF(P231&lt;O231,"Más estricto",IF(P231&gt;O231,"Más permisivo","Igual")),"")</f>
        <v/>
      </c>
      <c r="T231" s="25">
        <f>IF(Q231=1,IF(ABS(O231-P231)=2,1,0),"")</f>
        <v/>
      </c>
      <c r="U231" s="25">
        <f>IF(H231="","","|"&amp;SUBSTITUTE(SUBSTITUTE(TRIM(H231)," |","|"),"| ","|")&amp;"|")</f>
        <v/>
      </c>
      <c r="V231" s="25">
        <f>IF(AND(Q231=1,B231&lt;&gt;""),IF(IFERROR(COUNTIFS(B$3:B231,"="&amp;SUBSTITUTE(SUBSTITUTE(SUBSTITUTE(B231,"~","~~"),"*","~*"),"?","~?"),Q$3:Q231,1),0)=1,MAX(V$2:V230)+1,""),"")</f>
        <v/>
      </c>
      <c r="W231" s="25">
        <f>IF(V231="","",COUNTIFS($B$3:$B$1002,"="&amp;SUBSTITUTE(SUBSTITUTE(SUBSTITUTE(B231,"~","~~"),"*","~*"),"?","~?"),$Q$3:$Q$1002,1)*10000-V231)</f>
        <v/>
      </c>
      <c r="X231" s="25">
        <f>IF(Q231=1,IF(SUBSTITUTE(SUBSTITUTE(SUBSTITUTE(SUBSTITUTE(SUBSTITUTE(SUBSTITUTE(SUBSTITUTE(SUBSTITUTE(SUBSTITUTE(SUBSTITUTE(SUBSTITUTE(SUBSTITUTE(LOWER(TRIM(A231)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231)),"á","a"),"é","e"),"í","i"),"ó","o"),"ú","u"),"ü","u"),"ñ","n"),"à","a"),"è","e"),"ì","i"),"ò","o"),"ù","u")),"")</f>
        <v/>
      </c>
      <c r="Y231" s="25">
        <f>IF(X231="","",IF(IFERROR(COUNTIF(X$3:X231,"="&amp;SUBSTITUTE(SUBSTITUTE(SUBSTITUTE(X231,"~","~~"),"*","~*"),"?","~?")),0)=1,1,""))</f>
        <v/>
      </c>
      <c r="Z231" s="25">
        <f>IF(T231=1,MAX(Z$2:Z230)+1,"")</f>
        <v/>
      </c>
    </row>
    <row r="232">
      <c r="A232">
        <f>IF(A$2=0,"",IFERROR(TRIM(INDEX('Pegar calibracion'!$A$1:$BZ$1001,231,A$2)&amp;""),""))</f>
        <v/>
      </c>
      <c r="B232">
        <f>IF(B$2=0,"",IFERROR(TRIM(INDEX('Pegar calibracion'!$A$1:$BZ$1001,231,B$2)&amp;""),""))</f>
        <v/>
      </c>
      <c r="C232">
        <f>IF(C$2=0,"",IFERROR(TRIM(INDEX('Pegar calibracion'!$A$1:$BZ$1001,231,C$2)&amp;""),""))</f>
        <v/>
      </c>
      <c r="D232">
        <f>IF(D$2=0,"",IFERROR(TRIM(INDEX('Pegar calibracion'!$A$1:$BZ$1001,231,D$2)&amp;""),""))</f>
        <v/>
      </c>
      <c r="E232">
        <f>IF(E$2=0,"",IFERROR(TRIM(INDEX('Pegar calibracion'!$A$1:$BZ$1001,231,E$2)&amp;""),""))</f>
        <v/>
      </c>
      <c r="F232">
        <f>IF(F$2=0,"",IFERROR(TRIM(INDEX('Pegar calibracion'!$A$1:$BZ$1001,231,F$2)&amp;""),""))</f>
        <v/>
      </c>
      <c r="G232">
        <f>IF(G$2=0,"",IFERROR(TRIM(INDEX('Pegar calibracion'!$A$1:$BZ$1001,231,G$2)&amp;""),""))</f>
        <v/>
      </c>
      <c r="H232">
        <f>IF(H$2=0,"",IFERROR(TRIM(INDEX('Pegar calibracion'!$A$1:$BZ$1001,231,H$2)&amp;""),""))</f>
        <v/>
      </c>
      <c r="I232">
        <f>IF(I$2=0,"",IFERROR(TRIM(INDEX('Pegar calibracion'!$A$1:$BZ$1001,231,I$2)&amp;""),""))</f>
        <v/>
      </c>
      <c r="J232">
        <f>IF(J$2=0,"",IFERROR(TRIM(INDEX('Pegar calibracion'!$A$1:$BZ$1001,231,J$2)&amp;""),""))</f>
        <v/>
      </c>
      <c r="K232">
        <f>IF(K$2=0,"",IFERROR(TRIM(INDEX('Pegar calibracion'!$A$1:$BZ$1001,231,K$2)&amp;""),""))</f>
        <v/>
      </c>
      <c r="L232">
        <f>IF(L$2=0,"",IFERROR(TRIM(INDEX('Pegar calibracion'!$A$1:$BZ$1001,231,L$2)&amp;""),""))</f>
        <v/>
      </c>
      <c r="M232" s="25">
        <f>IF(D232="","",SUBSTITUTE(SUBSTITUTE(SUBSTITUTE(SUBSTITUTE(SUBSTITUTE(SUBSTITUTE(SUBSTITUTE(SUBSTITUTE(SUBSTITUTE(SUBSTITUTE(SUBSTITUTE(SUBSTITUTE(LOWER(TRIM(D232)),"á","a"),"é","e"),"í","i"),"ó","o"),"ú","u"),"ü","u"),"ñ","n"),"à","a"),"è","e"),"ì","i"),"ò","o"),"ù","u"))</f>
        <v/>
      </c>
      <c r="N232" s="25">
        <f>IF(F232="","",SUBSTITUTE(SUBSTITUTE(SUBSTITUTE(SUBSTITUTE(SUBSTITUTE(SUBSTITUTE(SUBSTITUTE(SUBSTITUTE(SUBSTITUTE(SUBSTITUTE(SUBSTITUTE(SUBSTITUTE(LOWER(TRIM(F232)),"á","a"),"é","e"),"í","i"),"ó","o"),"ú","u"),"ü","u"),"ñ","n"),"à","a"),"è","e"),"ì","i"),"ò","o"),"ù","u"))</f>
        <v/>
      </c>
      <c r="O232" s="25">
        <f>IF(M232="confiable",2,IF(M232="dudosa",1,IF(M232="no confiable",0,"")))</f>
        <v/>
      </c>
      <c r="P232" s="25">
        <f>IF(N232="confiable",2,IF(N232="dudosa",1,IF(N232="no confiable",0,"")))</f>
        <v/>
      </c>
      <c r="Q232" s="25">
        <f>IF(AND(ISNUMBER(O232),ISNUMBER(P232)),1,"")</f>
        <v/>
      </c>
      <c r="R232" s="25">
        <f>IF(Q232=1,IF(O232=P232,"Sí","No"),"")</f>
        <v/>
      </c>
      <c r="S232" s="25">
        <f>IF(Q232=1,IF(P232&lt;O232,"Más estricto",IF(P232&gt;O232,"Más permisivo","Igual")),"")</f>
        <v/>
      </c>
      <c r="T232" s="25">
        <f>IF(Q232=1,IF(ABS(O232-P232)=2,1,0),"")</f>
        <v/>
      </c>
      <c r="U232" s="25">
        <f>IF(H232="","","|"&amp;SUBSTITUTE(SUBSTITUTE(TRIM(H232)," |","|"),"| ","|")&amp;"|")</f>
        <v/>
      </c>
      <c r="V232" s="25">
        <f>IF(AND(Q232=1,B232&lt;&gt;""),IF(IFERROR(COUNTIFS(B$3:B232,"="&amp;SUBSTITUTE(SUBSTITUTE(SUBSTITUTE(B232,"~","~~"),"*","~*"),"?","~?"),Q$3:Q232,1),0)=1,MAX(V$2:V231)+1,""),"")</f>
        <v/>
      </c>
      <c r="W232" s="25">
        <f>IF(V232="","",COUNTIFS($B$3:$B$1002,"="&amp;SUBSTITUTE(SUBSTITUTE(SUBSTITUTE(B232,"~","~~"),"*","~*"),"?","~?"),$Q$3:$Q$1002,1)*10000-V232)</f>
        <v/>
      </c>
      <c r="X232" s="25">
        <f>IF(Q232=1,IF(SUBSTITUTE(SUBSTITUTE(SUBSTITUTE(SUBSTITUTE(SUBSTITUTE(SUBSTITUTE(SUBSTITUTE(SUBSTITUTE(SUBSTITUTE(SUBSTITUTE(SUBSTITUTE(SUBSTITUTE(LOWER(TRIM(A232)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232)),"á","a"),"é","e"),"í","i"),"ó","o"),"ú","u"),"ü","u"),"ñ","n"),"à","a"),"è","e"),"ì","i"),"ò","o"),"ù","u")),"")</f>
        <v/>
      </c>
      <c r="Y232" s="25">
        <f>IF(X232="","",IF(IFERROR(COUNTIF(X$3:X232,"="&amp;SUBSTITUTE(SUBSTITUTE(SUBSTITUTE(X232,"~","~~"),"*","~*"),"?","~?")),0)=1,1,""))</f>
        <v/>
      </c>
      <c r="Z232" s="25">
        <f>IF(T232=1,MAX(Z$2:Z231)+1,"")</f>
        <v/>
      </c>
    </row>
    <row r="233">
      <c r="A233">
        <f>IF(A$2=0,"",IFERROR(TRIM(INDEX('Pegar calibracion'!$A$1:$BZ$1001,232,A$2)&amp;""),""))</f>
        <v/>
      </c>
      <c r="B233">
        <f>IF(B$2=0,"",IFERROR(TRIM(INDEX('Pegar calibracion'!$A$1:$BZ$1001,232,B$2)&amp;""),""))</f>
        <v/>
      </c>
      <c r="C233">
        <f>IF(C$2=0,"",IFERROR(TRIM(INDEX('Pegar calibracion'!$A$1:$BZ$1001,232,C$2)&amp;""),""))</f>
        <v/>
      </c>
      <c r="D233">
        <f>IF(D$2=0,"",IFERROR(TRIM(INDEX('Pegar calibracion'!$A$1:$BZ$1001,232,D$2)&amp;""),""))</f>
        <v/>
      </c>
      <c r="E233">
        <f>IF(E$2=0,"",IFERROR(TRIM(INDEX('Pegar calibracion'!$A$1:$BZ$1001,232,E$2)&amp;""),""))</f>
        <v/>
      </c>
      <c r="F233">
        <f>IF(F$2=0,"",IFERROR(TRIM(INDEX('Pegar calibracion'!$A$1:$BZ$1001,232,F$2)&amp;""),""))</f>
        <v/>
      </c>
      <c r="G233">
        <f>IF(G$2=0,"",IFERROR(TRIM(INDEX('Pegar calibracion'!$A$1:$BZ$1001,232,G$2)&amp;""),""))</f>
        <v/>
      </c>
      <c r="H233">
        <f>IF(H$2=0,"",IFERROR(TRIM(INDEX('Pegar calibracion'!$A$1:$BZ$1001,232,H$2)&amp;""),""))</f>
        <v/>
      </c>
      <c r="I233">
        <f>IF(I$2=0,"",IFERROR(TRIM(INDEX('Pegar calibracion'!$A$1:$BZ$1001,232,I$2)&amp;""),""))</f>
        <v/>
      </c>
      <c r="J233">
        <f>IF(J$2=0,"",IFERROR(TRIM(INDEX('Pegar calibracion'!$A$1:$BZ$1001,232,J$2)&amp;""),""))</f>
        <v/>
      </c>
      <c r="K233">
        <f>IF(K$2=0,"",IFERROR(TRIM(INDEX('Pegar calibracion'!$A$1:$BZ$1001,232,K$2)&amp;""),""))</f>
        <v/>
      </c>
      <c r="L233">
        <f>IF(L$2=0,"",IFERROR(TRIM(INDEX('Pegar calibracion'!$A$1:$BZ$1001,232,L$2)&amp;""),""))</f>
        <v/>
      </c>
      <c r="M233" s="25">
        <f>IF(D233="","",SUBSTITUTE(SUBSTITUTE(SUBSTITUTE(SUBSTITUTE(SUBSTITUTE(SUBSTITUTE(SUBSTITUTE(SUBSTITUTE(SUBSTITUTE(SUBSTITUTE(SUBSTITUTE(SUBSTITUTE(LOWER(TRIM(D233)),"á","a"),"é","e"),"í","i"),"ó","o"),"ú","u"),"ü","u"),"ñ","n"),"à","a"),"è","e"),"ì","i"),"ò","o"),"ù","u"))</f>
        <v/>
      </c>
      <c r="N233" s="25">
        <f>IF(F233="","",SUBSTITUTE(SUBSTITUTE(SUBSTITUTE(SUBSTITUTE(SUBSTITUTE(SUBSTITUTE(SUBSTITUTE(SUBSTITUTE(SUBSTITUTE(SUBSTITUTE(SUBSTITUTE(SUBSTITUTE(LOWER(TRIM(F233)),"á","a"),"é","e"),"í","i"),"ó","o"),"ú","u"),"ü","u"),"ñ","n"),"à","a"),"è","e"),"ì","i"),"ò","o"),"ù","u"))</f>
        <v/>
      </c>
      <c r="O233" s="25">
        <f>IF(M233="confiable",2,IF(M233="dudosa",1,IF(M233="no confiable",0,"")))</f>
        <v/>
      </c>
      <c r="P233" s="25">
        <f>IF(N233="confiable",2,IF(N233="dudosa",1,IF(N233="no confiable",0,"")))</f>
        <v/>
      </c>
      <c r="Q233" s="25">
        <f>IF(AND(ISNUMBER(O233),ISNUMBER(P233)),1,"")</f>
        <v/>
      </c>
      <c r="R233" s="25">
        <f>IF(Q233=1,IF(O233=P233,"Sí","No"),"")</f>
        <v/>
      </c>
      <c r="S233" s="25">
        <f>IF(Q233=1,IF(P233&lt;O233,"Más estricto",IF(P233&gt;O233,"Más permisivo","Igual")),"")</f>
        <v/>
      </c>
      <c r="T233" s="25">
        <f>IF(Q233=1,IF(ABS(O233-P233)=2,1,0),"")</f>
        <v/>
      </c>
      <c r="U233" s="25">
        <f>IF(H233="","","|"&amp;SUBSTITUTE(SUBSTITUTE(TRIM(H233)," |","|"),"| ","|")&amp;"|")</f>
        <v/>
      </c>
      <c r="V233" s="25">
        <f>IF(AND(Q233=1,B233&lt;&gt;""),IF(IFERROR(COUNTIFS(B$3:B233,"="&amp;SUBSTITUTE(SUBSTITUTE(SUBSTITUTE(B233,"~","~~"),"*","~*"),"?","~?"),Q$3:Q233,1),0)=1,MAX(V$2:V232)+1,""),"")</f>
        <v/>
      </c>
      <c r="W233" s="25">
        <f>IF(V233="","",COUNTIFS($B$3:$B$1002,"="&amp;SUBSTITUTE(SUBSTITUTE(SUBSTITUTE(B233,"~","~~"),"*","~*"),"?","~?"),$Q$3:$Q$1002,1)*10000-V233)</f>
        <v/>
      </c>
      <c r="X233" s="25">
        <f>IF(Q233=1,IF(SUBSTITUTE(SUBSTITUTE(SUBSTITUTE(SUBSTITUTE(SUBSTITUTE(SUBSTITUTE(SUBSTITUTE(SUBSTITUTE(SUBSTITUTE(SUBSTITUTE(SUBSTITUTE(SUBSTITUTE(LOWER(TRIM(A233)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233)),"á","a"),"é","e"),"í","i"),"ó","o"),"ú","u"),"ü","u"),"ñ","n"),"à","a"),"è","e"),"ì","i"),"ò","o"),"ù","u")),"")</f>
        <v/>
      </c>
      <c r="Y233" s="25">
        <f>IF(X233="","",IF(IFERROR(COUNTIF(X$3:X233,"="&amp;SUBSTITUTE(SUBSTITUTE(SUBSTITUTE(X233,"~","~~"),"*","~*"),"?","~?")),0)=1,1,""))</f>
        <v/>
      </c>
      <c r="Z233" s="25">
        <f>IF(T233=1,MAX(Z$2:Z232)+1,"")</f>
        <v/>
      </c>
    </row>
    <row r="234">
      <c r="A234">
        <f>IF(A$2=0,"",IFERROR(TRIM(INDEX('Pegar calibracion'!$A$1:$BZ$1001,233,A$2)&amp;""),""))</f>
        <v/>
      </c>
      <c r="B234">
        <f>IF(B$2=0,"",IFERROR(TRIM(INDEX('Pegar calibracion'!$A$1:$BZ$1001,233,B$2)&amp;""),""))</f>
        <v/>
      </c>
      <c r="C234">
        <f>IF(C$2=0,"",IFERROR(TRIM(INDEX('Pegar calibracion'!$A$1:$BZ$1001,233,C$2)&amp;""),""))</f>
        <v/>
      </c>
      <c r="D234">
        <f>IF(D$2=0,"",IFERROR(TRIM(INDEX('Pegar calibracion'!$A$1:$BZ$1001,233,D$2)&amp;""),""))</f>
        <v/>
      </c>
      <c r="E234">
        <f>IF(E$2=0,"",IFERROR(TRIM(INDEX('Pegar calibracion'!$A$1:$BZ$1001,233,E$2)&amp;""),""))</f>
        <v/>
      </c>
      <c r="F234">
        <f>IF(F$2=0,"",IFERROR(TRIM(INDEX('Pegar calibracion'!$A$1:$BZ$1001,233,F$2)&amp;""),""))</f>
        <v/>
      </c>
      <c r="G234">
        <f>IF(G$2=0,"",IFERROR(TRIM(INDEX('Pegar calibracion'!$A$1:$BZ$1001,233,G$2)&amp;""),""))</f>
        <v/>
      </c>
      <c r="H234">
        <f>IF(H$2=0,"",IFERROR(TRIM(INDEX('Pegar calibracion'!$A$1:$BZ$1001,233,H$2)&amp;""),""))</f>
        <v/>
      </c>
      <c r="I234">
        <f>IF(I$2=0,"",IFERROR(TRIM(INDEX('Pegar calibracion'!$A$1:$BZ$1001,233,I$2)&amp;""),""))</f>
        <v/>
      </c>
      <c r="J234">
        <f>IF(J$2=0,"",IFERROR(TRIM(INDEX('Pegar calibracion'!$A$1:$BZ$1001,233,J$2)&amp;""),""))</f>
        <v/>
      </c>
      <c r="K234">
        <f>IF(K$2=0,"",IFERROR(TRIM(INDEX('Pegar calibracion'!$A$1:$BZ$1001,233,K$2)&amp;""),""))</f>
        <v/>
      </c>
      <c r="L234">
        <f>IF(L$2=0,"",IFERROR(TRIM(INDEX('Pegar calibracion'!$A$1:$BZ$1001,233,L$2)&amp;""),""))</f>
        <v/>
      </c>
      <c r="M234" s="25">
        <f>IF(D234="","",SUBSTITUTE(SUBSTITUTE(SUBSTITUTE(SUBSTITUTE(SUBSTITUTE(SUBSTITUTE(SUBSTITUTE(SUBSTITUTE(SUBSTITUTE(SUBSTITUTE(SUBSTITUTE(SUBSTITUTE(LOWER(TRIM(D234)),"á","a"),"é","e"),"í","i"),"ó","o"),"ú","u"),"ü","u"),"ñ","n"),"à","a"),"è","e"),"ì","i"),"ò","o"),"ù","u"))</f>
        <v/>
      </c>
      <c r="N234" s="25">
        <f>IF(F234="","",SUBSTITUTE(SUBSTITUTE(SUBSTITUTE(SUBSTITUTE(SUBSTITUTE(SUBSTITUTE(SUBSTITUTE(SUBSTITUTE(SUBSTITUTE(SUBSTITUTE(SUBSTITUTE(SUBSTITUTE(LOWER(TRIM(F234)),"á","a"),"é","e"),"í","i"),"ó","o"),"ú","u"),"ü","u"),"ñ","n"),"à","a"),"è","e"),"ì","i"),"ò","o"),"ù","u"))</f>
        <v/>
      </c>
      <c r="O234" s="25">
        <f>IF(M234="confiable",2,IF(M234="dudosa",1,IF(M234="no confiable",0,"")))</f>
        <v/>
      </c>
      <c r="P234" s="25">
        <f>IF(N234="confiable",2,IF(N234="dudosa",1,IF(N234="no confiable",0,"")))</f>
        <v/>
      </c>
      <c r="Q234" s="25">
        <f>IF(AND(ISNUMBER(O234),ISNUMBER(P234)),1,"")</f>
        <v/>
      </c>
      <c r="R234" s="25">
        <f>IF(Q234=1,IF(O234=P234,"Sí","No"),"")</f>
        <v/>
      </c>
      <c r="S234" s="25">
        <f>IF(Q234=1,IF(P234&lt;O234,"Más estricto",IF(P234&gt;O234,"Más permisivo","Igual")),"")</f>
        <v/>
      </c>
      <c r="T234" s="25">
        <f>IF(Q234=1,IF(ABS(O234-P234)=2,1,0),"")</f>
        <v/>
      </c>
      <c r="U234" s="25">
        <f>IF(H234="","","|"&amp;SUBSTITUTE(SUBSTITUTE(TRIM(H234)," |","|"),"| ","|")&amp;"|")</f>
        <v/>
      </c>
      <c r="V234" s="25">
        <f>IF(AND(Q234=1,B234&lt;&gt;""),IF(IFERROR(COUNTIFS(B$3:B234,"="&amp;SUBSTITUTE(SUBSTITUTE(SUBSTITUTE(B234,"~","~~"),"*","~*"),"?","~?"),Q$3:Q234,1),0)=1,MAX(V$2:V233)+1,""),"")</f>
        <v/>
      </c>
      <c r="W234" s="25">
        <f>IF(V234="","",COUNTIFS($B$3:$B$1002,"="&amp;SUBSTITUTE(SUBSTITUTE(SUBSTITUTE(B234,"~","~~"),"*","~*"),"?","~?"),$Q$3:$Q$1002,1)*10000-V234)</f>
        <v/>
      </c>
      <c r="X234" s="25">
        <f>IF(Q234=1,IF(SUBSTITUTE(SUBSTITUTE(SUBSTITUTE(SUBSTITUTE(SUBSTITUTE(SUBSTITUTE(SUBSTITUTE(SUBSTITUTE(SUBSTITUTE(SUBSTITUTE(SUBSTITUTE(SUBSTITUTE(LOWER(TRIM(A234)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234)),"á","a"),"é","e"),"í","i"),"ó","o"),"ú","u"),"ü","u"),"ñ","n"),"à","a"),"è","e"),"ì","i"),"ò","o"),"ù","u")),"")</f>
        <v/>
      </c>
      <c r="Y234" s="25">
        <f>IF(X234="","",IF(IFERROR(COUNTIF(X$3:X234,"="&amp;SUBSTITUTE(SUBSTITUTE(SUBSTITUTE(X234,"~","~~"),"*","~*"),"?","~?")),0)=1,1,""))</f>
        <v/>
      </c>
      <c r="Z234" s="25">
        <f>IF(T234=1,MAX(Z$2:Z233)+1,"")</f>
        <v/>
      </c>
    </row>
    <row r="235">
      <c r="A235">
        <f>IF(A$2=0,"",IFERROR(TRIM(INDEX('Pegar calibracion'!$A$1:$BZ$1001,234,A$2)&amp;""),""))</f>
        <v/>
      </c>
      <c r="B235">
        <f>IF(B$2=0,"",IFERROR(TRIM(INDEX('Pegar calibracion'!$A$1:$BZ$1001,234,B$2)&amp;""),""))</f>
        <v/>
      </c>
      <c r="C235">
        <f>IF(C$2=0,"",IFERROR(TRIM(INDEX('Pegar calibracion'!$A$1:$BZ$1001,234,C$2)&amp;""),""))</f>
        <v/>
      </c>
      <c r="D235">
        <f>IF(D$2=0,"",IFERROR(TRIM(INDEX('Pegar calibracion'!$A$1:$BZ$1001,234,D$2)&amp;""),""))</f>
        <v/>
      </c>
      <c r="E235">
        <f>IF(E$2=0,"",IFERROR(TRIM(INDEX('Pegar calibracion'!$A$1:$BZ$1001,234,E$2)&amp;""),""))</f>
        <v/>
      </c>
      <c r="F235">
        <f>IF(F$2=0,"",IFERROR(TRIM(INDEX('Pegar calibracion'!$A$1:$BZ$1001,234,F$2)&amp;""),""))</f>
        <v/>
      </c>
      <c r="G235">
        <f>IF(G$2=0,"",IFERROR(TRIM(INDEX('Pegar calibracion'!$A$1:$BZ$1001,234,G$2)&amp;""),""))</f>
        <v/>
      </c>
      <c r="H235">
        <f>IF(H$2=0,"",IFERROR(TRIM(INDEX('Pegar calibracion'!$A$1:$BZ$1001,234,H$2)&amp;""),""))</f>
        <v/>
      </c>
      <c r="I235">
        <f>IF(I$2=0,"",IFERROR(TRIM(INDEX('Pegar calibracion'!$A$1:$BZ$1001,234,I$2)&amp;""),""))</f>
        <v/>
      </c>
      <c r="J235">
        <f>IF(J$2=0,"",IFERROR(TRIM(INDEX('Pegar calibracion'!$A$1:$BZ$1001,234,J$2)&amp;""),""))</f>
        <v/>
      </c>
      <c r="K235">
        <f>IF(K$2=0,"",IFERROR(TRIM(INDEX('Pegar calibracion'!$A$1:$BZ$1001,234,K$2)&amp;""),""))</f>
        <v/>
      </c>
      <c r="L235">
        <f>IF(L$2=0,"",IFERROR(TRIM(INDEX('Pegar calibracion'!$A$1:$BZ$1001,234,L$2)&amp;""),""))</f>
        <v/>
      </c>
      <c r="M235" s="25">
        <f>IF(D235="","",SUBSTITUTE(SUBSTITUTE(SUBSTITUTE(SUBSTITUTE(SUBSTITUTE(SUBSTITUTE(SUBSTITUTE(SUBSTITUTE(SUBSTITUTE(SUBSTITUTE(SUBSTITUTE(SUBSTITUTE(LOWER(TRIM(D235)),"á","a"),"é","e"),"í","i"),"ó","o"),"ú","u"),"ü","u"),"ñ","n"),"à","a"),"è","e"),"ì","i"),"ò","o"),"ù","u"))</f>
        <v/>
      </c>
      <c r="N235" s="25">
        <f>IF(F235="","",SUBSTITUTE(SUBSTITUTE(SUBSTITUTE(SUBSTITUTE(SUBSTITUTE(SUBSTITUTE(SUBSTITUTE(SUBSTITUTE(SUBSTITUTE(SUBSTITUTE(SUBSTITUTE(SUBSTITUTE(LOWER(TRIM(F235)),"á","a"),"é","e"),"í","i"),"ó","o"),"ú","u"),"ü","u"),"ñ","n"),"à","a"),"è","e"),"ì","i"),"ò","o"),"ù","u"))</f>
        <v/>
      </c>
      <c r="O235" s="25">
        <f>IF(M235="confiable",2,IF(M235="dudosa",1,IF(M235="no confiable",0,"")))</f>
        <v/>
      </c>
      <c r="P235" s="25">
        <f>IF(N235="confiable",2,IF(N235="dudosa",1,IF(N235="no confiable",0,"")))</f>
        <v/>
      </c>
      <c r="Q235" s="25">
        <f>IF(AND(ISNUMBER(O235),ISNUMBER(P235)),1,"")</f>
        <v/>
      </c>
      <c r="R235" s="25">
        <f>IF(Q235=1,IF(O235=P235,"Sí","No"),"")</f>
        <v/>
      </c>
      <c r="S235" s="25">
        <f>IF(Q235=1,IF(P235&lt;O235,"Más estricto",IF(P235&gt;O235,"Más permisivo","Igual")),"")</f>
        <v/>
      </c>
      <c r="T235" s="25">
        <f>IF(Q235=1,IF(ABS(O235-P235)=2,1,0),"")</f>
        <v/>
      </c>
      <c r="U235" s="25">
        <f>IF(H235="","","|"&amp;SUBSTITUTE(SUBSTITUTE(TRIM(H235)," |","|"),"| ","|")&amp;"|")</f>
        <v/>
      </c>
      <c r="V235" s="25">
        <f>IF(AND(Q235=1,B235&lt;&gt;""),IF(IFERROR(COUNTIFS(B$3:B235,"="&amp;SUBSTITUTE(SUBSTITUTE(SUBSTITUTE(B235,"~","~~"),"*","~*"),"?","~?"),Q$3:Q235,1),0)=1,MAX(V$2:V234)+1,""),"")</f>
        <v/>
      </c>
      <c r="W235" s="25">
        <f>IF(V235="","",COUNTIFS($B$3:$B$1002,"="&amp;SUBSTITUTE(SUBSTITUTE(SUBSTITUTE(B235,"~","~~"),"*","~*"),"?","~?"),$Q$3:$Q$1002,1)*10000-V235)</f>
        <v/>
      </c>
      <c r="X235" s="25">
        <f>IF(Q235=1,IF(SUBSTITUTE(SUBSTITUTE(SUBSTITUTE(SUBSTITUTE(SUBSTITUTE(SUBSTITUTE(SUBSTITUTE(SUBSTITUTE(SUBSTITUTE(SUBSTITUTE(SUBSTITUTE(SUBSTITUTE(LOWER(TRIM(A235)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235)),"á","a"),"é","e"),"í","i"),"ó","o"),"ú","u"),"ü","u"),"ñ","n"),"à","a"),"è","e"),"ì","i"),"ò","o"),"ù","u")),"")</f>
        <v/>
      </c>
      <c r="Y235" s="25">
        <f>IF(X235="","",IF(IFERROR(COUNTIF(X$3:X235,"="&amp;SUBSTITUTE(SUBSTITUTE(SUBSTITUTE(X235,"~","~~"),"*","~*"),"?","~?")),0)=1,1,""))</f>
        <v/>
      </c>
      <c r="Z235" s="25">
        <f>IF(T235=1,MAX(Z$2:Z234)+1,"")</f>
        <v/>
      </c>
    </row>
    <row r="236">
      <c r="A236">
        <f>IF(A$2=0,"",IFERROR(TRIM(INDEX('Pegar calibracion'!$A$1:$BZ$1001,235,A$2)&amp;""),""))</f>
        <v/>
      </c>
      <c r="B236">
        <f>IF(B$2=0,"",IFERROR(TRIM(INDEX('Pegar calibracion'!$A$1:$BZ$1001,235,B$2)&amp;""),""))</f>
        <v/>
      </c>
      <c r="C236">
        <f>IF(C$2=0,"",IFERROR(TRIM(INDEX('Pegar calibracion'!$A$1:$BZ$1001,235,C$2)&amp;""),""))</f>
        <v/>
      </c>
      <c r="D236">
        <f>IF(D$2=0,"",IFERROR(TRIM(INDEX('Pegar calibracion'!$A$1:$BZ$1001,235,D$2)&amp;""),""))</f>
        <v/>
      </c>
      <c r="E236">
        <f>IF(E$2=0,"",IFERROR(TRIM(INDEX('Pegar calibracion'!$A$1:$BZ$1001,235,E$2)&amp;""),""))</f>
        <v/>
      </c>
      <c r="F236">
        <f>IF(F$2=0,"",IFERROR(TRIM(INDEX('Pegar calibracion'!$A$1:$BZ$1001,235,F$2)&amp;""),""))</f>
        <v/>
      </c>
      <c r="G236">
        <f>IF(G$2=0,"",IFERROR(TRIM(INDEX('Pegar calibracion'!$A$1:$BZ$1001,235,G$2)&amp;""),""))</f>
        <v/>
      </c>
      <c r="H236">
        <f>IF(H$2=0,"",IFERROR(TRIM(INDEX('Pegar calibracion'!$A$1:$BZ$1001,235,H$2)&amp;""),""))</f>
        <v/>
      </c>
      <c r="I236">
        <f>IF(I$2=0,"",IFERROR(TRIM(INDEX('Pegar calibracion'!$A$1:$BZ$1001,235,I$2)&amp;""),""))</f>
        <v/>
      </c>
      <c r="J236">
        <f>IF(J$2=0,"",IFERROR(TRIM(INDEX('Pegar calibracion'!$A$1:$BZ$1001,235,J$2)&amp;""),""))</f>
        <v/>
      </c>
      <c r="K236">
        <f>IF(K$2=0,"",IFERROR(TRIM(INDEX('Pegar calibracion'!$A$1:$BZ$1001,235,K$2)&amp;""),""))</f>
        <v/>
      </c>
      <c r="L236">
        <f>IF(L$2=0,"",IFERROR(TRIM(INDEX('Pegar calibracion'!$A$1:$BZ$1001,235,L$2)&amp;""),""))</f>
        <v/>
      </c>
      <c r="M236" s="25">
        <f>IF(D236="","",SUBSTITUTE(SUBSTITUTE(SUBSTITUTE(SUBSTITUTE(SUBSTITUTE(SUBSTITUTE(SUBSTITUTE(SUBSTITUTE(SUBSTITUTE(SUBSTITUTE(SUBSTITUTE(SUBSTITUTE(LOWER(TRIM(D236)),"á","a"),"é","e"),"í","i"),"ó","o"),"ú","u"),"ü","u"),"ñ","n"),"à","a"),"è","e"),"ì","i"),"ò","o"),"ù","u"))</f>
        <v/>
      </c>
      <c r="N236" s="25">
        <f>IF(F236="","",SUBSTITUTE(SUBSTITUTE(SUBSTITUTE(SUBSTITUTE(SUBSTITUTE(SUBSTITUTE(SUBSTITUTE(SUBSTITUTE(SUBSTITUTE(SUBSTITUTE(SUBSTITUTE(SUBSTITUTE(LOWER(TRIM(F236)),"á","a"),"é","e"),"í","i"),"ó","o"),"ú","u"),"ü","u"),"ñ","n"),"à","a"),"è","e"),"ì","i"),"ò","o"),"ù","u"))</f>
        <v/>
      </c>
      <c r="O236" s="25">
        <f>IF(M236="confiable",2,IF(M236="dudosa",1,IF(M236="no confiable",0,"")))</f>
        <v/>
      </c>
      <c r="P236" s="25">
        <f>IF(N236="confiable",2,IF(N236="dudosa",1,IF(N236="no confiable",0,"")))</f>
        <v/>
      </c>
      <c r="Q236" s="25">
        <f>IF(AND(ISNUMBER(O236),ISNUMBER(P236)),1,"")</f>
        <v/>
      </c>
      <c r="R236" s="25">
        <f>IF(Q236=1,IF(O236=P236,"Sí","No"),"")</f>
        <v/>
      </c>
      <c r="S236" s="25">
        <f>IF(Q236=1,IF(P236&lt;O236,"Más estricto",IF(P236&gt;O236,"Más permisivo","Igual")),"")</f>
        <v/>
      </c>
      <c r="T236" s="25">
        <f>IF(Q236=1,IF(ABS(O236-P236)=2,1,0),"")</f>
        <v/>
      </c>
      <c r="U236" s="25">
        <f>IF(H236="","","|"&amp;SUBSTITUTE(SUBSTITUTE(TRIM(H236)," |","|"),"| ","|")&amp;"|")</f>
        <v/>
      </c>
      <c r="V236" s="25">
        <f>IF(AND(Q236=1,B236&lt;&gt;""),IF(IFERROR(COUNTIFS(B$3:B236,"="&amp;SUBSTITUTE(SUBSTITUTE(SUBSTITUTE(B236,"~","~~"),"*","~*"),"?","~?"),Q$3:Q236,1),0)=1,MAX(V$2:V235)+1,""),"")</f>
        <v/>
      </c>
      <c r="W236" s="25">
        <f>IF(V236="","",COUNTIFS($B$3:$B$1002,"="&amp;SUBSTITUTE(SUBSTITUTE(SUBSTITUTE(B236,"~","~~"),"*","~*"),"?","~?"),$Q$3:$Q$1002,1)*10000-V236)</f>
        <v/>
      </c>
      <c r="X236" s="25">
        <f>IF(Q236=1,IF(SUBSTITUTE(SUBSTITUTE(SUBSTITUTE(SUBSTITUTE(SUBSTITUTE(SUBSTITUTE(SUBSTITUTE(SUBSTITUTE(SUBSTITUTE(SUBSTITUTE(SUBSTITUTE(SUBSTITUTE(LOWER(TRIM(A236)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236)),"á","a"),"é","e"),"í","i"),"ó","o"),"ú","u"),"ü","u"),"ñ","n"),"à","a"),"è","e"),"ì","i"),"ò","o"),"ù","u")),"")</f>
        <v/>
      </c>
      <c r="Y236" s="25">
        <f>IF(X236="","",IF(IFERROR(COUNTIF(X$3:X236,"="&amp;SUBSTITUTE(SUBSTITUTE(SUBSTITUTE(X236,"~","~~"),"*","~*"),"?","~?")),0)=1,1,""))</f>
        <v/>
      </c>
      <c r="Z236" s="25">
        <f>IF(T236=1,MAX(Z$2:Z235)+1,"")</f>
        <v/>
      </c>
    </row>
    <row r="237">
      <c r="A237">
        <f>IF(A$2=0,"",IFERROR(TRIM(INDEX('Pegar calibracion'!$A$1:$BZ$1001,236,A$2)&amp;""),""))</f>
        <v/>
      </c>
      <c r="B237">
        <f>IF(B$2=0,"",IFERROR(TRIM(INDEX('Pegar calibracion'!$A$1:$BZ$1001,236,B$2)&amp;""),""))</f>
        <v/>
      </c>
      <c r="C237">
        <f>IF(C$2=0,"",IFERROR(TRIM(INDEX('Pegar calibracion'!$A$1:$BZ$1001,236,C$2)&amp;""),""))</f>
        <v/>
      </c>
      <c r="D237">
        <f>IF(D$2=0,"",IFERROR(TRIM(INDEX('Pegar calibracion'!$A$1:$BZ$1001,236,D$2)&amp;""),""))</f>
        <v/>
      </c>
      <c r="E237">
        <f>IF(E$2=0,"",IFERROR(TRIM(INDEX('Pegar calibracion'!$A$1:$BZ$1001,236,E$2)&amp;""),""))</f>
        <v/>
      </c>
      <c r="F237">
        <f>IF(F$2=0,"",IFERROR(TRIM(INDEX('Pegar calibracion'!$A$1:$BZ$1001,236,F$2)&amp;""),""))</f>
        <v/>
      </c>
      <c r="G237">
        <f>IF(G$2=0,"",IFERROR(TRIM(INDEX('Pegar calibracion'!$A$1:$BZ$1001,236,G$2)&amp;""),""))</f>
        <v/>
      </c>
      <c r="H237">
        <f>IF(H$2=0,"",IFERROR(TRIM(INDEX('Pegar calibracion'!$A$1:$BZ$1001,236,H$2)&amp;""),""))</f>
        <v/>
      </c>
      <c r="I237">
        <f>IF(I$2=0,"",IFERROR(TRIM(INDEX('Pegar calibracion'!$A$1:$BZ$1001,236,I$2)&amp;""),""))</f>
        <v/>
      </c>
      <c r="J237">
        <f>IF(J$2=0,"",IFERROR(TRIM(INDEX('Pegar calibracion'!$A$1:$BZ$1001,236,J$2)&amp;""),""))</f>
        <v/>
      </c>
      <c r="K237">
        <f>IF(K$2=0,"",IFERROR(TRIM(INDEX('Pegar calibracion'!$A$1:$BZ$1001,236,K$2)&amp;""),""))</f>
        <v/>
      </c>
      <c r="L237">
        <f>IF(L$2=0,"",IFERROR(TRIM(INDEX('Pegar calibracion'!$A$1:$BZ$1001,236,L$2)&amp;""),""))</f>
        <v/>
      </c>
      <c r="M237" s="25">
        <f>IF(D237="","",SUBSTITUTE(SUBSTITUTE(SUBSTITUTE(SUBSTITUTE(SUBSTITUTE(SUBSTITUTE(SUBSTITUTE(SUBSTITUTE(SUBSTITUTE(SUBSTITUTE(SUBSTITUTE(SUBSTITUTE(LOWER(TRIM(D237)),"á","a"),"é","e"),"í","i"),"ó","o"),"ú","u"),"ü","u"),"ñ","n"),"à","a"),"è","e"),"ì","i"),"ò","o"),"ù","u"))</f>
        <v/>
      </c>
      <c r="N237" s="25">
        <f>IF(F237="","",SUBSTITUTE(SUBSTITUTE(SUBSTITUTE(SUBSTITUTE(SUBSTITUTE(SUBSTITUTE(SUBSTITUTE(SUBSTITUTE(SUBSTITUTE(SUBSTITUTE(SUBSTITUTE(SUBSTITUTE(LOWER(TRIM(F237)),"á","a"),"é","e"),"í","i"),"ó","o"),"ú","u"),"ü","u"),"ñ","n"),"à","a"),"è","e"),"ì","i"),"ò","o"),"ù","u"))</f>
        <v/>
      </c>
      <c r="O237" s="25">
        <f>IF(M237="confiable",2,IF(M237="dudosa",1,IF(M237="no confiable",0,"")))</f>
        <v/>
      </c>
      <c r="P237" s="25">
        <f>IF(N237="confiable",2,IF(N237="dudosa",1,IF(N237="no confiable",0,"")))</f>
        <v/>
      </c>
      <c r="Q237" s="25">
        <f>IF(AND(ISNUMBER(O237),ISNUMBER(P237)),1,"")</f>
        <v/>
      </c>
      <c r="R237" s="25">
        <f>IF(Q237=1,IF(O237=P237,"Sí","No"),"")</f>
        <v/>
      </c>
      <c r="S237" s="25">
        <f>IF(Q237=1,IF(P237&lt;O237,"Más estricto",IF(P237&gt;O237,"Más permisivo","Igual")),"")</f>
        <v/>
      </c>
      <c r="T237" s="25">
        <f>IF(Q237=1,IF(ABS(O237-P237)=2,1,0),"")</f>
        <v/>
      </c>
      <c r="U237" s="25">
        <f>IF(H237="","","|"&amp;SUBSTITUTE(SUBSTITUTE(TRIM(H237)," |","|"),"| ","|")&amp;"|")</f>
        <v/>
      </c>
      <c r="V237" s="25">
        <f>IF(AND(Q237=1,B237&lt;&gt;""),IF(IFERROR(COUNTIFS(B$3:B237,"="&amp;SUBSTITUTE(SUBSTITUTE(SUBSTITUTE(B237,"~","~~"),"*","~*"),"?","~?"),Q$3:Q237,1),0)=1,MAX(V$2:V236)+1,""),"")</f>
        <v/>
      </c>
      <c r="W237" s="25">
        <f>IF(V237="","",COUNTIFS($B$3:$B$1002,"="&amp;SUBSTITUTE(SUBSTITUTE(SUBSTITUTE(B237,"~","~~"),"*","~*"),"?","~?"),$Q$3:$Q$1002,1)*10000-V237)</f>
        <v/>
      </c>
      <c r="X237" s="25">
        <f>IF(Q237=1,IF(SUBSTITUTE(SUBSTITUTE(SUBSTITUTE(SUBSTITUTE(SUBSTITUTE(SUBSTITUTE(SUBSTITUTE(SUBSTITUTE(SUBSTITUTE(SUBSTITUTE(SUBSTITUTE(SUBSTITUTE(LOWER(TRIM(A237)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237)),"á","a"),"é","e"),"í","i"),"ó","o"),"ú","u"),"ü","u"),"ñ","n"),"à","a"),"è","e"),"ì","i"),"ò","o"),"ù","u")),"")</f>
        <v/>
      </c>
      <c r="Y237" s="25">
        <f>IF(X237="","",IF(IFERROR(COUNTIF(X$3:X237,"="&amp;SUBSTITUTE(SUBSTITUTE(SUBSTITUTE(X237,"~","~~"),"*","~*"),"?","~?")),0)=1,1,""))</f>
        <v/>
      </c>
      <c r="Z237" s="25">
        <f>IF(T237=1,MAX(Z$2:Z236)+1,"")</f>
        <v/>
      </c>
    </row>
    <row r="238">
      <c r="A238">
        <f>IF(A$2=0,"",IFERROR(TRIM(INDEX('Pegar calibracion'!$A$1:$BZ$1001,237,A$2)&amp;""),""))</f>
        <v/>
      </c>
      <c r="B238">
        <f>IF(B$2=0,"",IFERROR(TRIM(INDEX('Pegar calibracion'!$A$1:$BZ$1001,237,B$2)&amp;""),""))</f>
        <v/>
      </c>
      <c r="C238">
        <f>IF(C$2=0,"",IFERROR(TRIM(INDEX('Pegar calibracion'!$A$1:$BZ$1001,237,C$2)&amp;""),""))</f>
        <v/>
      </c>
      <c r="D238">
        <f>IF(D$2=0,"",IFERROR(TRIM(INDEX('Pegar calibracion'!$A$1:$BZ$1001,237,D$2)&amp;""),""))</f>
        <v/>
      </c>
      <c r="E238">
        <f>IF(E$2=0,"",IFERROR(TRIM(INDEX('Pegar calibracion'!$A$1:$BZ$1001,237,E$2)&amp;""),""))</f>
        <v/>
      </c>
      <c r="F238">
        <f>IF(F$2=0,"",IFERROR(TRIM(INDEX('Pegar calibracion'!$A$1:$BZ$1001,237,F$2)&amp;""),""))</f>
        <v/>
      </c>
      <c r="G238">
        <f>IF(G$2=0,"",IFERROR(TRIM(INDEX('Pegar calibracion'!$A$1:$BZ$1001,237,G$2)&amp;""),""))</f>
        <v/>
      </c>
      <c r="H238">
        <f>IF(H$2=0,"",IFERROR(TRIM(INDEX('Pegar calibracion'!$A$1:$BZ$1001,237,H$2)&amp;""),""))</f>
        <v/>
      </c>
      <c r="I238">
        <f>IF(I$2=0,"",IFERROR(TRIM(INDEX('Pegar calibracion'!$A$1:$BZ$1001,237,I$2)&amp;""),""))</f>
        <v/>
      </c>
      <c r="J238">
        <f>IF(J$2=0,"",IFERROR(TRIM(INDEX('Pegar calibracion'!$A$1:$BZ$1001,237,J$2)&amp;""),""))</f>
        <v/>
      </c>
      <c r="K238">
        <f>IF(K$2=0,"",IFERROR(TRIM(INDEX('Pegar calibracion'!$A$1:$BZ$1001,237,K$2)&amp;""),""))</f>
        <v/>
      </c>
      <c r="L238">
        <f>IF(L$2=0,"",IFERROR(TRIM(INDEX('Pegar calibracion'!$A$1:$BZ$1001,237,L$2)&amp;""),""))</f>
        <v/>
      </c>
      <c r="M238" s="25">
        <f>IF(D238="","",SUBSTITUTE(SUBSTITUTE(SUBSTITUTE(SUBSTITUTE(SUBSTITUTE(SUBSTITUTE(SUBSTITUTE(SUBSTITUTE(SUBSTITUTE(SUBSTITUTE(SUBSTITUTE(SUBSTITUTE(LOWER(TRIM(D238)),"á","a"),"é","e"),"í","i"),"ó","o"),"ú","u"),"ü","u"),"ñ","n"),"à","a"),"è","e"),"ì","i"),"ò","o"),"ù","u"))</f>
        <v/>
      </c>
      <c r="N238" s="25">
        <f>IF(F238="","",SUBSTITUTE(SUBSTITUTE(SUBSTITUTE(SUBSTITUTE(SUBSTITUTE(SUBSTITUTE(SUBSTITUTE(SUBSTITUTE(SUBSTITUTE(SUBSTITUTE(SUBSTITUTE(SUBSTITUTE(LOWER(TRIM(F238)),"á","a"),"é","e"),"í","i"),"ó","o"),"ú","u"),"ü","u"),"ñ","n"),"à","a"),"è","e"),"ì","i"),"ò","o"),"ù","u"))</f>
        <v/>
      </c>
      <c r="O238" s="25">
        <f>IF(M238="confiable",2,IF(M238="dudosa",1,IF(M238="no confiable",0,"")))</f>
        <v/>
      </c>
      <c r="P238" s="25">
        <f>IF(N238="confiable",2,IF(N238="dudosa",1,IF(N238="no confiable",0,"")))</f>
        <v/>
      </c>
      <c r="Q238" s="25">
        <f>IF(AND(ISNUMBER(O238),ISNUMBER(P238)),1,"")</f>
        <v/>
      </c>
      <c r="R238" s="25">
        <f>IF(Q238=1,IF(O238=P238,"Sí","No"),"")</f>
        <v/>
      </c>
      <c r="S238" s="25">
        <f>IF(Q238=1,IF(P238&lt;O238,"Más estricto",IF(P238&gt;O238,"Más permisivo","Igual")),"")</f>
        <v/>
      </c>
      <c r="T238" s="25">
        <f>IF(Q238=1,IF(ABS(O238-P238)=2,1,0),"")</f>
        <v/>
      </c>
      <c r="U238" s="25">
        <f>IF(H238="","","|"&amp;SUBSTITUTE(SUBSTITUTE(TRIM(H238)," |","|"),"| ","|")&amp;"|")</f>
        <v/>
      </c>
      <c r="V238" s="25">
        <f>IF(AND(Q238=1,B238&lt;&gt;""),IF(IFERROR(COUNTIFS(B$3:B238,"="&amp;SUBSTITUTE(SUBSTITUTE(SUBSTITUTE(B238,"~","~~"),"*","~*"),"?","~?"),Q$3:Q238,1),0)=1,MAX(V$2:V237)+1,""),"")</f>
        <v/>
      </c>
      <c r="W238" s="25">
        <f>IF(V238="","",COUNTIFS($B$3:$B$1002,"="&amp;SUBSTITUTE(SUBSTITUTE(SUBSTITUTE(B238,"~","~~"),"*","~*"),"?","~?"),$Q$3:$Q$1002,1)*10000-V238)</f>
        <v/>
      </c>
      <c r="X238" s="25">
        <f>IF(Q238=1,IF(SUBSTITUTE(SUBSTITUTE(SUBSTITUTE(SUBSTITUTE(SUBSTITUTE(SUBSTITUTE(SUBSTITUTE(SUBSTITUTE(SUBSTITUTE(SUBSTITUTE(SUBSTITUTE(SUBSTITUTE(LOWER(TRIM(A238)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238)),"á","a"),"é","e"),"í","i"),"ó","o"),"ú","u"),"ü","u"),"ñ","n"),"à","a"),"è","e"),"ì","i"),"ò","o"),"ù","u")),"")</f>
        <v/>
      </c>
      <c r="Y238" s="25">
        <f>IF(X238="","",IF(IFERROR(COUNTIF(X$3:X238,"="&amp;SUBSTITUTE(SUBSTITUTE(SUBSTITUTE(X238,"~","~~"),"*","~*"),"?","~?")),0)=1,1,""))</f>
        <v/>
      </c>
      <c r="Z238" s="25">
        <f>IF(T238=1,MAX(Z$2:Z237)+1,"")</f>
        <v/>
      </c>
    </row>
    <row r="239">
      <c r="A239">
        <f>IF(A$2=0,"",IFERROR(TRIM(INDEX('Pegar calibracion'!$A$1:$BZ$1001,238,A$2)&amp;""),""))</f>
        <v/>
      </c>
      <c r="B239">
        <f>IF(B$2=0,"",IFERROR(TRIM(INDEX('Pegar calibracion'!$A$1:$BZ$1001,238,B$2)&amp;""),""))</f>
        <v/>
      </c>
      <c r="C239">
        <f>IF(C$2=0,"",IFERROR(TRIM(INDEX('Pegar calibracion'!$A$1:$BZ$1001,238,C$2)&amp;""),""))</f>
        <v/>
      </c>
      <c r="D239">
        <f>IF(D$2=0,"",IFERROR(TRIM(INDEX('Pegar calibracion'!$A$1:$BZ$1001,238,D$2)&amp;""),""))</f>
        <v/>
      </c>
      <c r="E239">
        <f>IF(E$2=0,"",IFERROR(TRIM(INDEX('Pegar calibracion'!$A$1:$BZ$1001,238,E$2)&amp;""),""))</f>
        <v/>
      </c>
      <c r="F239">
        <f>IF(F$2=0,"",IFERROR(TRIM(INDEX('Pegar calibracion'!$A$1:$BZ$1001,238,F$2)&amp;""),""))</f>
        <v/>
      </c>
      <c r="G239">
        <f>IF(G$2=0,"",IFERROR(TRIM(INDEX('Pegar calibracion'!$A$1:$BZ$1001,238,G$2)&amp;""),""))</f>
        <v/>
      </c>
      <c r="H239">
        <f>IF(H$2=0,"",IFERROR(TRIM(INDEX('Pegar calibracion'!$A$1:$BZ$1001,238,H$2)&amp;""),""))</f>
        <v/>
      </c>
      <c r="I239">
        <f>IF(I$2=0,"",IFERROR(TRIM(INDEX('Pegar calibracion'!$A$1:$BZ$1001,238,I$2)&amp;""),""))</f>
        <v/>
      </c>
      <c r="J239">
        <f>IF(J$2=0,"",IFERROR(TRIM(INDEX('Pegar calibracion'!$A$1:$BZ$1001,238,J$2)&amp;""),""))</f>
        <v/>
      </c>
      <c r="K239">
        <f>IF(K$2=0,"",IFERROR(TRIM(INDEX('Pegar calibracion'!$A$1:$BZ$1001,238,K$2)&amp;""),""))</f>
        <v/>
      </c>
      <c r="L239">
        <f>IF(L$2=0,"",IFERROR(TRIM(INDEX('Pegar calibracion'!$A$1:$BZ$1001,238,L$2)&amp;""),""))</f>
        <v/>
      </c>
      <c r="M239" s="25">
        <f>IF(D239="","",SUBSTITUTE(SUBSTITUTE(SUBSTITUTE(SUBSTITUTE(SUBSTITUTE(SUBSTITUTE(SUBSTITUTE(SUBSTITUTE(SUBSTITUTE(SUBSTITUTE(SUBSTITUTE(SUBSTITUTE(LOWER(TRIM(D239)),"á","a"),"é","e"),"í","i"),"ó","o"),"ú","u"),"ü","u"),"ñ","n"),"à","a"),"è","e"),"ì","i"),"ò","o"),"ù","u"))</f>
        <v/>
      </c>
      <c r="N239" s="25">
        <f>IF(F239="","",SUBSTITUTE(SUBSTITUTE(SUBSTITUTE(SUBSTITUTE(SUBSTITUTE(SUBSTITUTE(SUBSTITUTE(SUBSTITUTE(SUBSTITUTE(SUBSTITUTE(SUBSTITUTE(SUBSTITUTE(LOWER(TRIM(F239)),"á","a"),"é","e"),"í","i"),"ó","o"),"ú","u"),"ü","u"),"ñ","n"),"à","a"),"è","e"),"ì","i"),"ò","o"),"ù","u"))</f>
        <v/>
      </c>
      <c r="O239" s="25">
        <f>IF(M239="confiable",2,IF(M239="dudosa",1,IF(M239="no confiable",0,"")))</f>
        <v/>
      </c>
      <c r="P239" s="25">
        <f>IF(N239="confiable",2,IF(N239="dudosa",1,IF(N239="no confiable",0,"")))</f>
        <v/>
      </c>
      <c r="Q239" s="25">
        <f>IF(AND(ISNUMBER(O239),ISNUMBER(P239)),1,"")</f>
        <v/>
      </c>
      <c r="R239" s="25">
        <f>IF(Q239=1,IF(O239=P239,"Sí","No"),"")</f>
        <v/>
      </c>
      <c r="S239" s="25">
        <f>IF(Q239=1,IF(P239&lt;O239,"Más estricto",IF(P239&gt;O239,"Más permisivo","Igual")),"")</f>
        <v/>
      </c>
      <c r="T239" s="25">
        <f>IF(Q239=1,IF(ABS(O239-P239)=2,1,0),"")</f>
        <v/>
      </c>
      <c r="U239" s="25">
        <f>IF(H239="","","|"&amp;SUBSTITUTE(SUBSTITUTE(TRIM(H239)," |","|"),"| ","|")&amp;"|")</f>
        <v/>
      </c>
      <c r="V239" s="25">
        <f>IF(AND(Q239=1,B239&lt;&gt;""),IF(IFERROR(COUNTIFS(B$3:B239,"="&amp;SUBSTITUTE(SUBSTITUTE(SUBSTITUTE(B239,"~","~~"),"*","~*"),"?","~?"),Q$3:Q239,1),0)=1,MAX(V$2:V238)+1,""),"")</f>
        <v/>
      </c>
      <c r="W239" s="25">
        <f>IF(V239="","",COUNTIFS($B$3:$B$1002,"="&amp;SUBSTITUTE(SUBSTITUTE(SUBSTITUTE(B239,"~","~~"),"*","~*"),"?","~?"),$Q$3:$Q$1002,1)*10000-V239)</f>
        <v/>
      </c>
      <c r="X239" s="25">
        <f>IF(Q239=1,IF(SUBSTITUTE(SUBSTITUTE(SUBSTITUTE(SUBSTITUTE(SUBSTITUTE(SUBSTITUTE(SUBSTITUTE(SUBSTITUTE(SUBSTITUTE(SUBSTITUTE(SUBSTITUTE(SUBSTITUTE(LOWER(TRIM(A239)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239)),"á","a"),"é","e"),"í","i"),"ó","o"),"ú","u"),"ü","u"),"ñ","n"),"à","a"),"è","e"),"ì","i"),"ò","o"),"ù","u")),"")</f>
        <v/>
      </c>
      <c r="Y239" s="25">
        <f>IF(X239="","",IF(IFERROR(COUNTIF(X$3:X239,"="&amp;SUBSTITUTE(SUBSTITUTE(SUBSTITUTE(X239,"~","~~"),"*","~*"),"?","~?")),0)=1,1,""))</f>
        <v/>
      </c>
      <c r="Z239" s="25">
        <f>IF(T239=1,MAX(Z$2:Z238)+1,"")</f>
        <v/>
      </c>
    </row>
    <row r="240">
      <c r="A240">
        <f>IF(A$2=0,"",IFERROR(TRIM(INDEX('Pegar calibracion'!$A$1:$BZ$1001,239,A$2)&amp;""),""))</f>
        <v/>
      </c>
      <c r="B240">
        <f>IF(B$2=0,"",IFERROR(TRIM(INDEX('Pegar calibracion'!$A$1:$BZ$1001,239,B$2)&amp;""),""))</f>
        <v/>
      </c>
      <c r="C240">
        <f>IF(C$2=0,"",IFERROR(TRIM(INDEX('Pegar calibracion'!$A$1:$BZ$1001,239,C$2)&amp;""),""))</f>
        <v/>
      </c>
      <c r="D240">
        <f>IF(D$2=0,"",IFERROR(TRIM(INDEX('Pegar calibracion'!$A$1:$BZ$1001,239,D$2)&amp;""),""))</f>
        <v/>
      </c>
      <c r="E240">
        <f>IF(E$2=0,"",IFERROR(TRIM(INDEX('Pegar calibracion'!$A$1:$BZ$1001,239,E$2)&amp;""),""))</f>
        <v/>
      </c>
      <c r="F240">
        <f>IF(F$2=0,"",IFERROR(TRIM(INDEX('Pegar calibracion'!$A$1:$BZ$1001,239,F$2)&amp;""),""))</f>
        <v/>
      </c>
      <c r="G240">
        <f>IF(G$2=0,"",IFERROR(TRIM(INDEX('Pegar calibracion'!$A$1:$BZ$1001,239,G$2)&amp;""),""))</f>
        <v/>
      </c>
      <c r="H240">
        <f>IF(H$2=0,"",IFERROR(TRIM(INDEX('Pegar calibracion'!$A$1:$BZ$1001,239,H$2)&amp;""),""))</f>
        <v/>
      </c>
      <c r="I240">
        <f>IF(I$2=0,"",IFERROR(TRIM(INDEX('Pegar calibracion'!$A$1:$BZ$1001,239,I$2)&amp;""),""))</f>
        <v/>
      </c>
      <c r="J240">
        <f>IF(J$2=0,"",IFERROR(TRIM(INDEX('Pegar calibracion'!$A$1:$BZ$1001,239,J$2)&amp;""),""))</f>
        <v/>
      </c>
      <c r="K240">
        <f>IF(K$2=0,"",IFERROR(TRIM(INDEX('Pegar calibracion'!$A$1:$BZ$1001,239,K$2)&amp;""),""))</f>
        <v/>
      </c>
      <c r="L240">
        <f>IF(L$2=0,"",IFERROR(TRIM(INDEX('Pegar calibracion'!$A$1:$BZ$1001,239,L$2)&amp;""),""))</f>
        <v/>
      </c>
      <c r="M240" s="25">
        <f>IF(D240="","",SUBSTITUTE(SUBSTITUTE(SUBSTITUTE(SUBSTITUTE(SUBSTITUTE(SUBSTITUTE(SUBSTITUTE(SUBSTITUTE(SUBSTITUTE(SUBSTITUTE(SUBSTITUTE(SUBSTITUTE(LOWER(TRIM(D240)),"á","a"),"é","e"),"í","i"),"ó","o"),"ú","u"),"ü","u"),"ñ","n"),"à","a"),"è","e"),"ì","i"),"ò","o"),"ù","u"))</f>
        <v/>
      </c>
      <c r="N240" s="25">
        <f>IF(F240="","",SUBSTITUTE(SUBSTITUTE(SUBSTITUTE(SUBSTITUTE(SUBSTITUTE(SUBSTITUTE(SUBSTITUTE(SUBSTITUTE(SUBSTITUTE(SUBSTITUTE(SUBSTITUTE(SUBSTITUTE(LOWER(TRIM(F240)),"á","a"),"é","e"),"í","i"),"ó","o"),"ú","u"),"ü","u"),"ñ","n"),"à","a"),"è","e"),"ì","i"),"ò","o"),"ù","u"))</f>
        <v/>
      </c>
      <c r="O240" s="25">
        <f>IF(M240="confiable",2,IF(M240="dudosa",1,IF(M240="no confiable",0,"")))</f>
        <v/>
      </c>
      <c r="P240" s="25">
        <f>IF(N240="confiable",2,IF(N240="dudosa",1,IF(N240="no confiable",0,"")))</f>
        <v/>
      </c>
      <c r="Q240" s="25">
        <f>IF(AND(ISNUMBER(O240),ISNUMBER(P240)),1,"")</f>
        <v/>
      </c>
      <c r="R240" s="25">
        <f>IF(Q240=1,IF(O240=P240,"Sí","No"),"")</f>
        <v/>
      </c>
      <c r="S240" s="25">
        <f>IF(Q240=1,IF(P240&lt;O240,"Más estricto",IF(P240&gt;O240,"Más permisivo","Igual")),"")</f>
        <v/>
      </c>
      <c r="T240" s="25">
        <f>IF(Q240=1,IF(ABS(O240-P240)=2,1,0),"")</f>
        <v/>
      </c>
      <c r="U240" s="25">
        <f>IF(H240="","","|"&amp;SUBSTITUTE(SUBSTITUTE(TRIM(H240)," |","|"),"| ","|")&amp;"|")</f>
        <v/>
      </c>
      <c r="V240" s="25">
        <f>IF(AND(Q240=1,B240&lt;&gt;""),IF(IFERROR(COUNTIFS(B$3:B240,"="&amp;SUBSTITUTE(SUBSTITUTE(SUBSTITUTE(B240,"~","~~"),"*","~*"),"?","~?"),Q$3:Q240,1),0)=1,MAX(V$2:V239)+1,""),"")</f>
        <v/>
      </c>
      <c r="W240" s="25">
        <f>IF(V240="","",COUNTIFS($B$3:$B$1002,"="&amp;SUBSTITUTE(SUBSTITUTE(SUBSTITUTE(B240,"~","~~"),"*","~*"),"?","~?"),$Q$3:$Q$1002,1)*10000-V240)</f>
        <v/>
      </c>
      <c r="X240" s="25">
        <f>IF(Q240=1,IF(SUBSTITUTE(SUBSTITUTE(SUBSTITUTE(SUBSTITUTE(SUBSTITUTE(SUBSTITUTE(SUBSTITUTE(SUBSTITUTE(SUBSTITUTE(SUBSTITUTE(SUBSTITUTE(SUBSTITUTE(LOWER(TRIM(A240)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240)),"á","a"),"é","e"),"í","i"),"ó","o"),"ú","u"),"ü","u"),"ñ","n"),"à","a"),"è","e"),"ì","i"),"ò","o"),"ù","u")),"")</f>
        <v/>
      </c>
      <c r="Y240" s="25">
        <f>IF(X240="","",IF(IFERROR(COUNTIF(X$3:X240,"="&amp;SUBSTITUTE(SUBSTITUTE(SUBSTITUTE(X240,"~","~~"),"*","~*"),"?","~?")),0)=1,1,""))</f>
        <v/>
      </c>
      <c r="Z240" s="25">
        <f>IF(T240=1,MAX(Z$2:Z239)+1,"")</f>
        <v/>
      </c>
    </row>
    <row r="241">
      <c r="A241">
        <f>IF(A$2=0,"",IFERROR(TRIM(INDEX('Pegar calibracion'!$A$1:$BZ$1001,240,A$2)&amp;""),""))</f>
        <v/>
      </c>
      <c r="B241">
        <f>IF(B$2=0,"",IFERROR(TRIM(INDEX('Pegar calibracion'!$A$1:$BZ$1001,240,B$2)&amp;""),""))</f>
        <v/>
      </c>
      <c r="C241">
        <f>IF(C$2=0,"",IFERROR(TRIM(INDEX('Pegar calibracion'!$A$1:$BZ$1001,240,C$2)&amp;""),""))</f>
        <v/>
      </c>
      <c r="D241">
        <f>IF(D$2=0,"",IFERROR(TRIM(INDEX('Pegar calibracion'!$A$1:$BZ$1001,240,D$2)&amp;""),""))</f>
        <v/>
      </c>
      <c r="E241">
        <f>IF(E$2=0,"",IFERROR(TRIM(INDEX('Pegar calibracion'!$A$1:$BZ$1001,240,E$2)&amp;""),""))</f>
        <v/>
      </c>
      <c r="F241">
        <f>IF(F$2=0,"",IFERROR(TRIM(INDEX('Pegar calibracion'!$A$1:$BZ$1001,240,F$2)&amp;""),""))</f>
        <v/>
      </c>
      <c r="G241">
        <f>IF(G$2=0,"",IFERROR(TRIM(INDEX('Pegar calibracion'!$A$1:$BZ$1001,240,G$2)&amp;""),""))</f>
        <v/>
      </c>
      <c r="H241">
        <f>IF(H$2=0,"",IFERROR(TRIM(INDEX('Pegar calibracion'!$A$1:$BZ$1001,240,H$2)&amp;""),""))</f>
        <v/>
      </c>
      <c r="I241">
        <f>IF(I$2=0,"",IFERROR(TRIM(INDEX('Pegar calibracion'!$A$1:$BZ$1001,240,I$2)&amp;""),""))</f>
        <v/>
      </c>
      <c r="J241">
        <f>IF(J$2=0,"",IFERROR(TRIM(INDEX('Pegar calibracion'!$A$1:$BZ$1001,240,J$2)&amp;""),""))</f>
        <v/>
      </c>
      <c r="K241">
        <f>IF(K$2=0,"",IFERROR(TRIM(INDEX('Pegar calibracion'!$A$1:$BZ$1001,240,K$2)&amp;""),""))</f>
        <v/>
      </c>
      <c r="L241">
        <f>IF(L$2=0,"",IFERROR(TRIM(INDEX('Pegar calibracion'!$A$1:$BZ$1001,240,L$2)&amp;""),""))</f>
        <v/>
      </c>
      <c r="M241" s="25">
        <f>IF(D241="","",SUBSTITUTE(SUBSTITUTE(SUBSTITUTE(SUBSTITUTE(SUBSTITUTE(SUBSTITUTE(SUBSTITUTE(SUBSTITUTE(SUBSTITUTE(SUBSTITUTE(SUBSTITUTE(SUBSTITUTE(LOWER(TRIM(D241)),"á","a"),"é","e"),"í","i"),"ó","o"),"ú","u"),"ü","u"),"ñ","n"),"à","a"),"è","e"),"ì","i"),"ò","o"),"ù","u"))</f>
        <v/>
      </c>
      <c r="N241" s="25">
        <f>IF(F241="","",SUBSTITUTE(SUBSTITUTE(SUBSTITUTE(SUBSTITUTE(SUBSTITUTE(SUBSTITUTE(SUBSTITUTE(SUBSTITUTE(SUBSTITUTE(SUBSTITUTE(SUBSTITUTE(SUBSTITUTE(LOWER(TRIM(F241)),"á","a"),"é","e"),"í","i"),"ó","o"),"ú","u"),"ü","u"),"ñ","n"),"à","a"),"è","e"),"ì","i"),"ò","o"),"ù","u"))</f>
        <v/>
      </c>
      <c r="O241" s="25">
        <f>IF(M241="confiable",2,IF(M241="dudosa",1,IF(M241="no confiable",0,"")))</f>
        <v/>
      </c>
      <c r="P241" s="25">
        <f>IF(N241="confiable",2,IF(N241="dudosa",1,IF(N241="no confiable",0,"")))</f>
        <v/>
      </c>
      <c r="Q241" s="25">
        <f>IF(AND(ISNUMBER(O241),ISNUMBER(P241)),1,"")</f>
        <v/>
      </c>
      <c r="R241" s="25">
        <f>IF(Q241=1,IF(O241=P241,"Sí","No"),"")</f>
        <v/>
      </c>
      <c r="S241" s="25">
        <f>IF(Q241=1,IF(P241&lt;O241,"Más estricto",IF(P241&gt;O241,"Más permisivo","Igual")),"")</f>
        <v/>
      </c>
      <c r="T241" s="25">
        <f>IF(Q241=1,IF(ABS(O241-P241)=2,1,0),"")</f>
        <v/>
      </c>
      <c r="U241" s="25">
        <f>IF(H241="","","|"&amp;SUBSTITUTE(SUBSTITUTE(TRIM(H241)," |","|"),"| ","|")&amp;"|")</f>
        <v/>
      </c>
      <c r="V241" s="25">
        <f>IF(AND(Q241=1,B241&lt;&gt;""),IF(IFERROR(COUNTIFS(B$3:B241,"="&amp;SUBSTITUTE(SUBSTITUTE(SUBSTITUTE(B241,"~","~~"),"*","~*"),"?","~?"),Q$3:Q241,1),0)=1,MAX(V$2:V240)+1,""),"")</f>
        <v/>
      </c>
      <c r="W241" s="25">
        <f>IF(V241="","",COUNTIFS($B$3:$B$1002,"="&amp;SUBSTITUTE(SUBSTITUTE(SUBSTITUTE(B241,"~","~~"),"*","~*"),"?","~?"),$Q$3:$Q$1002,1)*10000-V241)</f>
        <v/>
      </c>
      <c r="X241" s="25">
        <f>IF(Q241=1,IF(SUBSTITUTE(SUBSTITUTE(SUBSTITUTE(SUBSTITUTE(SUBSTITUTE(SUBSTITUTE(SUBSTITUTE(SUBSTITUTE(SUBSTITUTE(SUBSTITUTE(SUBSTITUTE(SUBSTITUTE(LOWER(TRIM(A241)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241)),"á","a"),"é","e"),"í","i"),"ó","o"),"ú","u"),"ü","u"),"ñ","n"),"à","a"),"è","e"),"ì","i"),"ò","o"),"ù","u")),"")</f>
        <v/>
      </c>
      <c r="Y241" s="25">
        <f>IF(X241="","",IF(IFERROR(COUNTIF(X$3:X241,"="&amp;SUBSTITUTE(SUBSTITUTE(SUBSTITUTE(X241,"~","~~"),"*","~*"),"?","~?")),0)=1,1,""))</f>
        <v/>
      </c>
      <c r="Z241" s="25">
        <f>IF(T241=1,MAX(Z$2:Z240)+1,"")</f>
        <v/>
      </c>
    </row>
    <row r="242">
      <c r="A242">
        <f>IF(A$2=0,"",IFERROR(TRIM(INDEX('Pegar calibracion'!$A$1:$BZ$1001,241,A$2)&amp;""),""))</f>
        <v/>
      </c>
      <c r="B242">
        <f>IF(B$2=0,"",IFERROR(TRIM(INDEX('Pegar calibracion'!$A$1:$BZ$1001,241,B$2)&amp;""),""))</f>
        <v/>
      </c>
      <c r="C242">
        <f>IF(C$2=0,"",IFERROR(TRIM(INDEX('Pegar calibracion'!$A$1:$BZ$1001,241,C$2)&amp;""),""))</f>
        <v/>
      </c>
      <c r="D242">
        <f>IF(D$2=0,"",IFERROR(TRIM(INDEX('Pegar calibracion'!$A$1:$BZ$1001,241,D$2)&amp;""),""))</f>
        <v/>
      </c>
      <c r="E242">
        <f>IF(E$2=0,"",IFERROR(TRIM(INDEX('Pegar calibracion'!$A$1:$BZ$1001,241,E$2)&amp;""),""))</f>
        <v/>
      </c>
      <c r="F242">
        <f>IF(F$2=0,"",IFERROR(TRIM(INDEX('Pegar calibracion'!$A$1:$BZ$1001,241,F$2)&amp;""),""))</f>
        <v/>
      </c>
      <c r="G242">
        <f>IF(G$2=0,"",IFERROR(TRIM(INDEX('Pegar calibracion'!$A$1:$BZ$1001,241,G$2)&amp;""),""))</f>
        <v/>
      </c>
      <c r="H242">
        <f>IF(H$2=0,"",IFERROR(TRIM(INDEX('Pegar calibracion'!$A$1:$BZ$1001,241,H$2)&amp;""),""))</f>
        <v/>
      </c>
      <c r="I242">
        <f>IF(I$2=0,"",IFERROR(TRIM(INDEX('Pegar calibracion'!$A$1:$BZ$1001,241,I$2)&amp;""),""))</f>
        <v/>
      </c>
      <c r="J242">
        <f>IF(J$2=0,"",IFERROR(TRIM(INDEX('Pegar calibracion'!$A$1:$BZ$1001,241,J$2)&amp;""),""))</f>
        <v/>
      </c>
      <c r="K242">
        <f>IF(K$2=0,"",IFERROR(TRIM(INDEX('Pegar calibracion'!$A$1:$BZ$1001,241,K$2)&amp;""),""))</f>
        <v/>
      </c>
      <c r="L242">
        <f>IF(L$2=0,"",IFERROR(TRIM(INDEX('Pegar calibracion'!$A$1:$BZ$1001,241,L$2)&amp;""),""))</f>
        <v/>
      </c>
      <c r="M242" s="25">
        <f>IF(D242="","",SUBSTITUTE(SUBSTITUTE(SUBSTITUTE(SUBSTITUTE(SUBSTITUTE(SUBSTITUTE(SUBSTITUTE(SUBSTITUTE(SUBSTITUTE(SUBSTITUTE(SUBSTITUTE(SUBSTITUTE(LOWER(TRIM(D242)),"á","a"),"é","e"),"í","i"),"ó","o"),"ú","u"),"ü","u"),"ñ","n"),"à","a"),"è","e"),"ì","i"),"ò","o"),"ù","u"))</f>
        <v/>
      </c>
      <c r="N242" s="25">
        <f>IF(F242="","",SUBSTITUTE(SUBSTITUTE(SUBSTITUTE(SUBSTITUTE(SUBSTITUTE(SUBSTITUTE(SUBSTITUTE(SUBSTITUTE(SUBSTITUTE(SUBSTITUTE(SUBSTITUTE(SUBSTITUTE(LOWER(TRIM(F242)),"á","a"),"é","e"),"í","i"),"ó","o"),"ú","u"),"ü","u"),"ñ","n"),"à","a"),"è","e"),"ì","i"),"ò","o"),"ù","u"))</f>
        <v/>
      </c>
      <c r="O242" s="25">
        <f>IF(M242="confiable",2,IF(M242="dudosa",1,IF(M242="no confiable",0,"")))</f>
        <v/>
      </c>
      <c r="P242" s="25">
        <f>IF(N242="confiable",2,IF(N242="dudosa",1,IF(N242="no confiable",0,"")))</f>
        <v/>
      </c>
      <c r="Q242" s="25">
        <f>IF(AND(ISNUMBER(O242),ISNUMBER(P242)),1,"")</f>
        <v/>
      </c>
      <c r="R242" s="25">
        <f>IF(Q242=1,IF(O242=P242,"Sí","No"),"")</f>
        <v/>
      </c>
      <c r="S242" s="25">
        <f>IF(Q242=1,IF(P242&lt;O242,"Más estricto",IF(P242&gt;O242,"Más permisivo","Igual")),"")</f>
        <v/>
      </c>
      <c r="T242" s="25">
        <f>IF(Q242=1,IF(ABS(O242-P242)=2,1,0),"")</f>
        <v/>
      </c>
      <c r="U242" s="25">
        <f>IF(H242="","","|"&amp;SUBSTITUTE(SUBSTITUTE(TRIM(H242)," |","|"),"| ","|")&amp;"|")</f>
        <v/>
      </c>
      <c r="V242" s="25">
        <f>IF(AND(Q242=1,B242&lt;&gt;""),IF(IFERROR(COUNTIFS(B$3:B242,"="&amp;SUBSTITUTE(SUBSTITUTE(SUBSTITUTE(B242,"~","~~"),"*","~*"),"?","~?"),Q$3:Q242,1),0)=1,MAX(V$2:V241)+1,""),"")</f>
        <v/>
      </c>
      <c r="W242" s="25">
        <f>IF(V242="","",COUNTIFS($B$3:$B$1002,"="&amp;SUBSTITUTE(SUBSTITUTE(SUBSTITUTE(B242,"~","~~"),"*","~*"),"?","~?"),$Q$3:$Q$1002,1)*10000-V242)</f>
        <v/>
      </c>
      <c r="X242" s="25">
        <f>IF(Q242=1,IF(SUBSTITUTE(SUBSTITUTE(SUBSTITUTE(SUBSTITUTE(SUBSTITUTE(SUBSTITUTE(SUBSTITUTE(SUBSTITUTE(SUBSTITUTE(SUBSTITUTE(SUBSTITUTE(SUBSTITUTE(LOWER(TRIM(A242)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242)),"á","a"),"é","e"),"í","i"),"ó","o"),"ú","u"),"ü","u"),"ñ","n"),"à","a"),"è","e"),"ì","i"),"ò","o"),"ù","u")),"")</f>
        <v/>
      </c>
      <c r="Y242" s="25">
        <f>IF(X242="","",IF(IFERROR(COUNTIF(X$3:X242,"="&amp;SUBSTITUTE(SUBSTITUTE(SUBSTITUTE(X242,"~","~~"),"*","~*"),"?","~?")),0)=1,1,""))</f>
        <v/>
      </c>
      <c r="Z242" s="25">
        <f>IF(T242=1,MAX(Z$2:Z241)+1,"")</f>
        <v/>
      </c>
    </row>
    <row r="243">
      <c r="A243">
        <f>IF(A$2=0,"",IFERROR(TRIM(INDEX('Pegar calibracion'!$A$1:$BZ$1001,242,A$2)&amp;""),""))</f>
        <v/>
      </c>
      <c r="B243">
        <f>IF(B$2=0,"",IFERROR(TRIM(INDEX('Pegar calibracion'!$A$1:$BZ$1001,242,B$2)&amp;""),""))</f>
        <v/>
      </c>
      <c r="C243">
        <f>IF(C$2=0,"",IFERROR(TRIM(INDEX('Pegar calibracion'!$A$1:$BZ$1001,242,C$2)&amp;""),""))</f>
        <v/>
      </c>
      <c r="D243">
        <f>IF(D$2=0,"",IFERROR(TRIM(INDEX('Pegar calibracion'!$A$1:$BZ$1001,242,D$2)&amp;""),""))</f>
        <v/>
      </c>
      <c r="E243">
        <f>IF(E$2=0,"",IFERROR(TRIM(INDEX('Pegar calibracion'!$A$1:$BZ$1001,242,E$2)&amp;""),""))</f>
        <v/>
      </c>
      <c r="F243">
        <f>IF(F$2=0,"",IFERROR(TRIM(INDEX('Pegar calibracion'!$A$1:$BZ$1001,242,F$2)&amp;""),""))</f>
        <v/>
      </c>
      <c r="G243">
        <f>IF(G$2=0,"",IFERROR(TRIM(INDEX('Pegar calibracion'!$A$1:$BZ$1001,242,G$2)&amp;""),""))</f>
        <v/>
      </c>
      <c r="H243">
        <f>IF(H$2=0,"",IFERROR(TRIM(INDEX('Pegar calibracion'!$A$1:$BZ$1001,242,H$2)&amp;""),""))</f>
        <v/>
      </c>
      <c r="I243">
        <f>IF(I$2=0,"",IFERROR(TRIM(INDEX('Pegar calibracion'!$A$1:$BZ$1001,242,I$2)&amp;""),""))</f>
        <v/>
      </c>
      <c r="J243">
        <f>IF(J$2=0,"",IFERROR(TRIM(INDEX('Pegar calibracion'!$A$1:$BZ$1001,242,J$2)&amp;""),""))</f>
        <v/>
      </c>
      <c r="K243">
        <f>IF(K$2=0,"",IFERROR(TRIM(INDEX('Pegar calibracion'!$A$1:$BZ$1001,242,K$2)&amp;""),""))</f>
        <v/>
      </c>
      <c r="L243">
        <f>IF(L$2=0,"",IFERROR(TRIM(INDEX('Pegar calibracion'!$A$1:$BZ$1001,242,L$2)&amp;""),""))</f>
        <v/>
      </c>
      <c r="M243" s="25">
        <f>IF(D243="","",SUBSTITUTE(SUBSTITUTE(SUBSTITUTE(SUBSTITUTE(SUBSTITUTE(SUBSTITUTE(SUBSTITUTE(SUBSTITUTE(SUBSTITUTE(SUBSTITUTE(SUBSTITUTE(SUBSTITUTE(LOWER(TRIM(D243)),"á","a"),"é","e"),"í","i"),"ó","o"),"ú","u"),"ü","u"),"ñ","n"),"à","a"),"è","e"),"ì","i"),"ò","o"),"ù","u"))</f>
        <v/>
      </c>
      <c r="N243" s="25">
        <f>IF(F243="","",SUBSTITUTE(SUBSTITUTE(SUBSTITUTE(SUBSTITUTE(SUBSTITUTE(SUBSTITUTE(SUBSTITUTE(SUBSTITUTE(SUBSTITUTE(SUBSTITUTE(SUBSTITUTE(SUBSTITUTE(LOWER(TRIM(F243)),"á","a"),"é","e"),"í","i"),"ó","o"),"ú","u"),"ü","u"),"ñ","n"),"à","a"),"è","e"),"ì","i"),"ò","o"),"ù","u"))</f>
        <v/>
      </c>
      <c r="O243" s="25">
        <f>IF(M243="confiable",2,IF(M243="dudosa",1,IF(M243="no confiable",0,"")))</f>
        <v/>
      </c>
      <c r="P243" s="25">
        <f>IF(N243="confiable",2,IF(N243="dudosa",1,IF(N243="no confiable",0,"")))</f>
        <v/>
      </c>
      <c r="Q243" s="25">
        <f>IF(AND(ISNUMBER(O243),ISNUMBER(P243)),1,"")</f>
        <v/>
      </c>
      <c r="R243" s="25">
        <f>IF(Q243=1,IF(O243=P243,"Sí","No"),"")</f>
        <v/>
      </c>
      <c r="S243" s="25">
        <f>IF(Q243=1,IF(P243&lt;O243,"Más estricto",IF(P243&gt;O243,"Más permisivo","Igual")),"")</f>
        <v/>
      </c>
      <c r="T243" s="25">
        <f>IF(Q243=1,IF(ABS(O243-P243)=2,1,0),"")</f>
        <v/>
      </c>
      <c r="U243" s="25">
        <f>IF(H243="","","|"&amp;SUBSTITUTE(SUBSTITUTE(TRIM(H243)," |","|"),"| ","|")&amp;"|")</f>
        <v/>
      </c>
      <c r="V243" s="25">
        <f>IF(AND(Q243=1,B243&lt;&gt;""),IF(IFERROR(COUNTIFS(B$3:B243,"="&amp;SUBSTITUTE(SUBSTITUTE(SUBSTITUTE(B243,"~","~~"),"*","~*"),"?","~?"),Q$3:Q243,1),0)=1,MAX(V$2:V242)+1,""),"")</f>
        <v/>
      </c>
      <c r="W243" s="25">
        <f>IF(V243="","",COUNTIFS($B$3:$B$1002,"="&amp;SUBSTITUTE(SUBSTITUTE(SUBSTITUTE(B243,"~","~~"),"*","~*"),"?","~?"),$Q$3:$Q$1002,1)*10000-V243)</f>
        <v/>
      </c>
      <c r="X243" s="25">
        <f>IF(Q243=1,IF(SUBSTITUTE(SUBSTITUTE(SUBSTITUTE(SUBSTITUTE(SUBSTITUTE(SUBSTITUTE(SUBSTITUTE(SUBSTITUTE(SUBSTITUTE(SUBSTITUTE(SUBSTITUTE(SUBSTITUTE(LOWER(TRIM(A243)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243)),"á","a"),"é","e"),"í","i"),"ó","o"),"ú","u"),"ü","u"),"ñ","n"),"à","a"),"è","e"),"ì","i"),"ò","o"),"ù","u")),"")</f>
        <v/>
      </c>
      <c r="Y243" s="25">
        <f>IF(X243="","",IF(IFERROR(COUNTIF(X$3:X243,"="&amp;SUBSTITUTE(SUBSTITUTE(SUBSTITUTE(X243,"~","~~"),"*","~*"),"?","~?")),0)=1,1,""))</f>
        <v/>
      </c>
      <c r="Z243" s="25">
        <f>IF(T243=1,MAX(Z$2:Z242)+1,"")</f>
        <v/>
      </c>
    </row>
    <row r="244">
      <c r="A244">
        <f>IF(A$2=0,"",IFERROR(TRIM(INDEX('Pegar calibracion'!$A$1:$BZ$1001,243,A$2)&amp;""),""))</f>
        <v/>
      </c>
      <c r="B244">
        <f>IF(B$2=0,"",IFERROR(TRIM(INDEX('Pegar calibracion'!$A$1:$BZ$1001,243,B$2)&amp;""),""))</f>
        <v/>
      </c>
      <c r="C244">
        <f>IF(C$2=0,"",IFERROR(TRIM(INDEX('Pegar calibracion'!$A$1:$BZ$1001,243,C$2)&amp;""),""))</f>
        <v/>
      </c>
      <c r="D244">
        <f>IF(D$2=0,"",IFERROR(TRIM(INDEX('Pegar calibracion'!$A$1:$BZ$1001,243,D$2)&amp;""),""))</f>
        <v/>
      </c>
      <c r="E244">
        <f>IF(E$2=0,"",IFERROR(TRIM(INDEX('Pegar calibracion'!$A$1:$BZ$1001,243,E$2)&amp;""),""))</f>
        <v/>
      </c>
      <c r="F244">
        <f>IF(F$2=0,"",IFERROR(TRIM(INDEX('Pegar calibracion'!$A$1:$BZ$1001,243,F$2)&amp;""),""))</f>
        <v/>
      </c>
      <c r="G244">
        <f>IF(G$2=0,"",IFERROR(TRIM(INDEX('Pegar calibracion'!$A$1:$BZ$1001,243,G$2)&amp;""),""))</f>
        <v/>
      </c>
      <c r="H244">
        <f>IF(H$2=0,"",IFERROR(TRIM(INDEX('Pegar calibracion'!$A$1:$BZ$1001,243,H$2)&amp;""),""))</f>
        <v/>
      </c>
      <c r="I244">
        <f>IF(I$2=0,"",IFERROR(TRIM(INDEX('Pegar calibracion'!$A$1:$BZ$1001,243,I$2)&amp;""),""))</f>
        <v/>
      </c>
      <c r="J244">
        <f>IF(J$2=0,"",IFERROR(TRIM(INDEX('Pegar calibracion'!$A$1:$BZ$1001,243,J$2)&amp;""),""))</f>
        <v/>
      </c>
      <c r="K244">
        <f>IF(K$2=0,"",IFERROR(TRIM(INDEX('Pegar calibracion'!$A$1:$BZ$1001,243,K$2)&amp;""),""))</f>
        <v/>
      </c>
      <c r="L244">
        <f>IF(L$2=0,"",IFERROR(TRIM(INDEX('Pegar calibracion'!$A$1:$BZ$1001,243,L$2)&amp;""),""))</f>
        <v/>
      </c>
      <c r="M244" s="25">
        <f>IF(D244="","",SUBSTITUTE(SUBSTITUTE(SUBSTITUTE(SUBSTITUTE(SUBSTITUTE(SUBSTITUTE(SUBSTITUTE(SUBSTITUTE(SUBSTITUTE(SUBSTITUTE(SUBSTITUTE(SUBSTITUTE(LOWER(TRIM(D244)),"á","a"),"é","e"),"í","i"),"ó","o"),"ú","u"),"ü","u"),"ñ","n"),"à","a"),"è","e"),"ì","i"),"ò","o"),"ù","u"))</f>
        <v/>
      </c>
      <c r="N244" s="25">
        <f>IF(F244="","",SUBSTITUTE(SUBSTITUTE(SUBSTITUTE(SUBSTITUTE(SUBSTITUTE(SUBSTITUTE(SUBSTITUTE(SUBSTITUTE(SUBSTITUTE(SUBSTITUTE(SUBSTITUTE(SUBSTITUTE(LOWER(TRIM(F244)),"á","a"),"é","e"),"í","i"),"ó","o"),"ú","u"),"ü","u"),"ñ","n"),"à","a"),"è","e"),"ì","i"),"ò","o"),"ù","u"))</f>
        <v/>
      </c>
      <c r="O244" s="25">
        <f>IF(M244="confiable",2,IF(M244="dudosa",1,IF(M244="no confiable",0,"")))</f>
        <v/>
      </c>
      <c r="P244" s="25">
        <f>IF(N244="confiable",2,IF(N244="dudosa",1,IF(N244="no confiable",0,"")))</f>
        <v/>
      </c>
      <c r="Q244" s="25">
        <f>IF(AND(ISNUMBER(O244),ISNUMBER(P244)),1,"")</f>
        <v/>
      </c>
      <c r="R244" s="25">
        <f>IF(Q244=1,IF(O244=P244,"Sí","No"),"")</f>
        <v/>
      </c>
      <c r="S244" s="25">
        <f>IF(Q244=1,IF(P244&lt;O244,"Más estricto",IF(P244&gt;O244,"Más permisivo","Igual")),"")</f>
        <v/>
      </c>
      <c r="T244" s="25">
        <f>IF(Q244=1,IF(ABS(O244-P244)=2,1,0),"")</f>
        <v/>
      </c>
      <c r="U244" s="25">
        <f>IF(H244="","","|"&amp;SUBSTITUTE(SUBSTITUTE(TRIM(H244)," |","|"),"| ","|")&amp;"|")</f>
        <v/>
      </c>
      <c r="V244" s="25">
        <f>IF(AND(Q244=1,B244&lt;&gt;""),IF(IFERROR(COUNTIFS(B$3:B244,"="&amp;SUBSTITUTE(SUBSTITUTE(SUBSTITUTE(B244,"~","~~"),"*","~*"),"?","~?"),Q$3:Q244,1),0)=1,MAX(V$2:V243)+1,""),"")</f>
        <v/>
      </c>
      <c r="W244" s="25">
        <f>IF(V244="","",COUNTIFS($B$3:$B$1002,"="&amp;SUBSTITUTE(SUBSTITUTE(SUBSTITUTE(B244,"~","~~"),"*","~*"),"?","~?"),$Q$3:$Q$1002,1)*10000-V244)</f>
        <v/>
      </c>
      <c r="X244" s="25">
        <f>IF(Q244=1,IF(SUBSTITUTE(SUBSTITUTE(SUBSTITUTE(SUBSTITUTE(SUBSTITUTE(SUBSTITUTE(SUBSTITUTE(SUBSTITUTE(SUBSTITUTE(SUBSTITUTE(SUBSTITUTE(SUBSTITUTE(LOWER(TRIM(A244)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244)),"á","a"),"é","e"),"í","i"),"ó","o"),"ú","u"),"ü","u"),"ñ","n"),"à","a"),"è","e"),"ì","i"),"ò","o"),"ù","u")),"")</f>
        <v/>
      </c>
      <c r="Y244" s="25">
        <f>IF(X244="","",IF(IFERROR(COUNTIF(X$3:X244,"="&amp;SUBSTITUTE(SUBSTITUTE(SUBSTITUTE(X244,"~","~~"),"*","~*"),"?","~?")),0)=1,1,""))</f>
        <v/>
      </c>
      <c r="Z244" s="25">
        <f>IF(T244=1,MAX(Z$2:Z243)+1,"")</f>
        <v/>
      </c>
    </row>
    <row r="245">
      <c r="A245">
        <f>IF(A$2=0,"",IFERROR(TRIM(INDEX('Pegar calibracion'!$A$1:$BZ$1001,244,A$2)&amp;""),""))</f>
        <v/>
      </c>
      <c r="B245">
        <f>IF(B$2=0,"",IFERROR(TRIM(INDEX('Pegar calibracion'!$A$1:$BZ$1001,244,B$2)&amp;""),""))</f>
        <v/>
      </c>
      <c r="C245">
        <f>IF(C$2=0,"",IFERROR(TRIM(INDEX('Pegar calibracion'!$A$1:$BZ$1001,244,C$2)&amp;""),""))</f>
        <v/>
      </c>
      <c r="D245">
        <f>IF(D$2=0,"",IFERROR(TRIM(INDEX('Pegar calibracion'!$A$1:$BZ$1001,244,D$2)&amp;""),""))</f>
        <v/>
      </c>
      <c r="E245">
        <f>IF(E$2=0,"",IFERROR(TRIM(INDEX('Pegar calibracion'!$A$1:$BZ$1001,244,E$2)&amp;""),""))</f>
        <v/>
      </c>
      <c r="F245">
        <f>IF(F$2=0,"",IFERROR(TRIM(INDEX('Pegar calibracion'!$A$1:$BZ$1001,244,F$2)&amp;""),""))</f>
        <v/>
      </c>
      <c r="G245">
        <f>IF(G$2=0,"",IFERROR(TRIM(INDEX('Pegar calibracion'!$A$1:$BZ$1001,244,G$2)&amp;""),""))</f>
        <v/>
      </c>
      <c r="H245">
        <f>IF(H$2=0,"",IFERROR(TRIM(INDEX('Pegar calibracion'!$A$1:$BZ$1001,244,H$2)&amp;""),""))</f>
        <v/>
      </c>
      <c r="I245">
        <f>IF(I$2=0,"",IFERROR(TRIM(INDEX('Pegar calibracion'!$A$1:$BZ$1001,244,I$2)&amp;""),""))</f>
        <v/>
      </c>
      <c r="J245">
        <f>IF(J$2=0,"",IFERROR(TRIM(INDEX('Pegar calibracion'!$A$1:$BZ$1001,244,J$2)&amp;""),""))</f>
        <v/>
      </c>
      <c r="K245">
        <f>IF(K$2=0,"",IFERROR(TRIM(INDEX('Pegar calibracion'!$A$1:$BZ$1001,244,K$2)&amp;""),""))</f>
        <v/>
      </c>
      <c r="L245">
        <f>IF(L$2=0,"",IFERROR(TRIM(INDEX('Pegar calibracion'!$A$1:$BZ$1001,244,L$2)&amp;""),""))</f>
        <v/>
      </c>
      <c r="M245" s="25">
        <f>IF(D245="","",SUBSTITUTE(SUBSTITUTE(SUBSTITUTE(SUBSTITUTE(SUBSTITUTE(SUBSTITUTE(SUBSTITUTE(SUBSTITUTE(SUBSTITUTE(SUBSTITUTE(SUBSTITUTE(SUBSTITUTE(LOWER(TRIM(D245)),"á","a"),"é","e"),"í","i"),"ó","o"),"ú","u"),"ü","u"),"ñ","n"),"à","a"),"è","e"),"ì","i"),"ò","o"),"ù","u"))</f>
        <v/>
      </c>
      <c r="N245" s="25">
        <f>IF(F245="","",SUBSTITUTE(SUBSTITUTE(SUBSTITUTE(SUBSTITUTE(SUBSTITUTE(SUBSTITUTE(SUBSTITUTE(SUBSTITUTE(SUBSTITUTE(SUBSTITUTE(SUBSTITUTE(SUBSTITUTE(LOWER(TRIM(F245)),"á","a"),"é","e"),"í","i"),"ó","o"),"ú","u"),"ü","u"),"ñ","n"),"à","a"),"è","e"),"ì","i"),"ò","o"),"ù","u"))</f>
        <v/>
      </c>
      <c r="O245" s="25">
        <f>IF(M245="confiable",2,IF(M245="dudosa",1,IF(M245="no confiable",0,"")))</f>
        <v/>
      </c>
      <c r="P245" s="25">
        <f>IF(N245="confiable",2,IF(N245="dudosa",1,IF(N245="no confiable",0,"")))</f>
        <v/>
      </c>
      <c r="Q245" s="25">
        <f>IF(AND(ISNUMBER(O245),ISNUMBER(P245)),1,"")</f>
        <v/>
      </c>
      <c r="R245" s="25">
        <f>IF(Q245=1,IF(O245=P245,"Sí","No"),"")</f>
        <v/>
      </c>
      <c r="S245" s="25">
        <f>IF(Q245=1,IF(P245&lt;O245,"Más estricto",IF(P245&gt;O245,"Más permisivo","Igual")),"")</f>
        <v/>
      </c>
      <c r="T245" s="25">
        <f>IF(Q245=1,IF(ABS(O245-P245)=2,1,0),"")</f>
        <v/>
      </c>
      <c r="U245" s="25">
        <f>IF(H245="","","|"&amp;SUBSTITUTE(SUBSTITUTE(TRIM(H245)," |","|"),"| ","|")&amp;"|")</f>
        <v/>
      </c>
      <c r="V245" s="25">
        <f>IF(AND(Q245=1,B245&lt;&gt;""),IF(IFERROR(COUNTIFS(B$3:B245,"="&amp;SUBSTITUTE(SUBSTITUTE(SUBSTITUTE(B245,"~","~~"),"*","~*"),"?","~?"),Q$3:Q245,1),0)=1,MAX(V$2:V244)+1,""),"")</f>
        <v/>
      </c>
      <c r="W245" s="25">
        <f>IF(V245="","",COUNTIFS($B$3:$B$1002,"="&amp;SUBSTITUTE(SUBSTITUTE(SUBSTITUTE(B245,"~","~~"),"*","~*"),"?","~?"),$Q$3:$Q$1002,1)*10000-V245)</f>
        <v/>
      </c>
      <c r="X245" s="25">
        <f>IF(Q245=1,IF(SUBSTITUTE(SUBSTITUTE(SUBSTITUTE(SUBSTITUTE(SUBSTITUTE(SUBSTITUTE(SUBSTITUTE(SUBSTITUTE(SUBSTITUTE(SUBSTITUTE(SUBSTITUTE(SUBSTITUTE(LOWER(TRIM(A245)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245)),"á","a"),"é","e"),"í","i"),"ó","o"),"ú","u"),"ü","u"),"ñ","n"),"à","a"),"è","e"),"ì","i"),"ò","o"),"ù","u")),"")</f>
        <v/>
      </c>
      <c r="Y245" s="25">
        <f>IF(X245="","",IF(IFERROR(COUNTIF(X$3:X245,"="&amp;SUBSTITUTE(SUBSTITUTE(SUBSTITUTE(X245,"~","~~"),"*","~*"),"?","~?")),0)=1,1,""))</f>
        <v/>
      </c>
      <c r="Z245" s="25">
        <f>IF(T245=1,MAX(Z$2:Z244)+1,"")</f>
        <v/>
      </c>
    </row>
    <row r="246">
      <c r="A246">
        <f>IF(A$2=0,"",IFERROR(TRIM(INDEX('Pegar calibracion'!$A$1:$BZ$1001,245,A$2)&amp;""),""))</f>
        <v/>
      </c>
      <c r="B246">
        <f>IF(B$2=0,"",IFERROR(TRIM(INDEX('Pegar calibracion'!$A$1:$BZ$1001,245,B$2)&amp;""),""))</f>
        <v/>
      </c>
      <c r="C246">
        <f>IF(C$2=0,"",IFERROR(TRIM(INDEX('Pegar calibracion'!$A$1:$BZ$1001,245,C$2)&amp;""),""))</f>
        <v/>
      </c>
      <c r="D246">
        <f>IF(D$2=0,"",IFERROR(TRIM(INDEX('Pegar calibracion'!$A$1:$BZ$1001,245,D$2)&amp;""),""))</f>
        <v/>
      </c>
      <c r="E246">
        <f>IF(E$2=0,"",IFERROR(TRIM(INDEX('Pegar calibracion'!$A$1:$BZ$1001,245,E$2)&amp;""),""))</f>
        <v/>
      </c>
      <c r="F246">
        <f>IF(F$2=0,"",IFERROR(TRIM(INDEX('Pegar calibracion'!$A$1:$BZ$1001,245,F$2)&amp;""),""))</f>
        <v/>
      </c>
      <c r="G246">
        <f>IF(G$2=0,"",IFERROR(TRIM(INDEX('Pegar calibracion'!$A$1:$BZ$1001,245,G$2)&amp;""),""))</f>
        <v/>
      </c>
      <c r="H246">
        <f>IF(H$2=0,"",IFERROR(TRIM(INDEX('Pegar calibracion'!$A$1:$BZ$1001,245,H$2)&amp;""),""))</f>
        <v/>
      </c>
      <c r="I246">
        <f>IF(I$2=0,"",IFERROR(TRIM(INDEX('Pegar calibracion'!$A$1:$BZ$1001,245,I$2)&amp;""),""))</f>
        <v/>
      </c>
      <c r="J246">
        <f>IF(J$2=0,"",IFERROR(TRIM(INDEX('Pegar calibracion'!$A$1:$BZ$1001,245,J$2)&amp;""),""))</f>
        <v/>
      </c>
      <c r="K246">
        <f>IF(K$2=0,"",IFERROR(TRIM(INDEX('Pegar calibracion'!$A$1:$BZ$1001,245,K$2)&amp;""),""))</f>
        <v/>
      </c>
      <c r="L246">
        <f>IF(L$2=0,"",IFERROR(TRIM(INDEX('Pegar calibracion'!$A$1:$BZ$1001,245,L$2)&amp;""),""))</f>
        <v/>
      </c>
      <c r="M246" s="25">
        <f>IF(D246="","",SUBSTITUTE(SUBSTITUTE(SUBSTITUTE(SUBSTITUTE(SUBSTITUTE(SUBSTITUTE(SUBSTITUTE(SUBSTITUTE(SUBSTITUTE(SUBSTITUTE(SUBSTITUTE(SUBSTITUTE(LOWER(TRIM(D246)),"á","a"),"é","e"),"í","i"),"ó","o"),"ú","u"),"ü","u"),"ñ","n"),"à","a"),"è","e"),"ì","i"),"ò","o"),"ù","u"))</f>
        <v/>
      </c>
      <c r="N246" s="25">
        <f>IF(F246="","",SUBSTITUTE(SUBSTITUTE(SUBSTITUTE(SUBSTITUTE(SUBSTITUTE(SUBSTITUTE(SUBSTITUTE(SUBSTITUTE(SUBSTITUTE(SUBSTITUTE(SUBSTITUTE(SUBSTITUTE(LOWER(TRIM(F246)),"á","a"),"é","e"),"í","i"),"ó","o"),"ú","u"),"ü","u"),"ñ","n"),"à","a"),"è","e"),"ì","i"),"ò","o"),"ù","u"))</f>
        <v/>
      </c>
      <c r="O246" s="25">
        <f>IF(M246="confiable",2,IF(M246="dudosa",1,IF(M246="no confiable",0,"")))</f>
        <v/>
      </c>
      <c r="P246" s="25">
        <f>IF(N246="confiable",2,IF(N246="dudosa",1,IF(N246="no confiable",0,"")))</f>
        <v/>
      </c>
      <c r="Q246" s="25">
        <f>IF(AND(ISNUMBER(O246),ISNUMBER(P246)),1,"")</f>
        <v/>
      </c>
      <c r="R246" s="25">
        <f>IF(Q246=1,IF(O246=P246,"Sí","No"),"")</f>
        <v/>
      </c>
      <c r="S246" s="25">
        <f>IF(Q246=1,IF(P246&lt;O246,"Más estricto",IF(P246&gt;O246,"Más permisivo","Igual")),"")</f>
        <v/>
      </c>
      <c r="T246" s="25">
        <f>IF(Q246=1,IF(ABS(O246-P246)=2,1,0),"")</f>
        <v/>
      </c>
      <c r="U246" s="25">
        <f>IF(H246="","","|"&amp;SUBSTITUTE(SUBSTITUTE(TRIM(H246)," |","|"),"| ","|")&amp;"|")</f>
        <v/>
      </c>
      <c r="V246" s="25">
        <f>IF(AND(Q246=1,B246&lt;&gt;""),IF(IFERROR(COUNTIFS(B$3:B246,"="&amp;SUBSTITUTE(SUBSTITUTE(SUBSTITUTE(B246,"~","~~"),"*","~*"),"?","~?"),Q$3:Q246,1),0)=1,MAX(V$2:V245)+1,""),"")</f>
        <v/>
      </c>
      <c r="W246" s="25">
        <f>IF(V246="","",COUNTIFS($B$3:$B$1002,"="&amp;SUBSTITUTE(SUBSTITUTE(SUBSTITUTE(B246,"~","~~"),"*","~*"),"?","~?"),$Q$3:$Q$1002,1)*10000-V246)</f>
        <v/>
      </c>
      <c r="X246" s="25">
        <f>IF(Q246=1,IF(SUBSTITUTE(SUBSTITUTE(SUBSTITUTE(SUBSTITUTE(SUBSTITUTE(SUBSTITUTE(SUBSTITUTE(SUBSTITUTE(SUBSTITUTE(SUBSTITUTE(SUBSTITUTE(SUBSTITUTE(LOWER(TRIM(A246)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246)),"á","a"),"é","e"),"í","i"),"ó","o"),"ú","u"),"ü","u"),"ñ","n"),"à","a"),"è","e"),"ì","i"),"ò","o"),"ù","u")),"")</f>
        <v/>
      </c>
      <c r="Y246" s="25">
        <f>IF(X246="","",IF(IFERROR(COUNTIF(X$3:X246,"="&amp;SUBSTITUTE(SUBSTITUTE(SUBSTITUTE(X246,"~","~~"),"*","~*"),"?","~?")),0)=1,1,""))</f>
        <v/>
      </c>
      <c r="Z246" s="25">
        <f>IF(T246=1,MAX(Z$2:Z245)+1,"")</f>
        <v/>
      </c>
    </row>
    <row r="247">
      <c r="A247">
        <f>IF(A$2=0,"",IFERROR(TRIM(INDEX('Pegar calibracion'!$A$1:$BZ$1001,246,A$2)&amp;""),""))</f>
        <v/>
      </c>
      <c r="B247">
        <f>IF(B$2=0,"",IFERROR(TRIM(INDEX('Pegar calibracion'!$A$1:$BZ$1001,246,B$2)&amp;""),""))</f>
        <v/>
      </c>
      <c r="C247">
        <f>IF(C$2=0,"",IFERROR(TRIM(INDEX('Pegar calibracion'!$A$1:$BZ$1001,246,C$2)&amp;""),""))</f>
        <v/>
      </c>
      <c r="D247">
        <f>IF(D$2=0,"",IFERROR(TRIM(INDEX('Pegar calibracion'!$A$1:$BZ$1001,246,D$2)&amp;""),""))</f>
        <v/>
      </c>
      <c r="E247">
        <f>IF(E$2=0,"",IFERROR(TRIM(INDEX('Pegar calibracion'!$A$1:$BZ$1001,246,E$2)&amp;""),""))</f>
        <v/>
      </c>
      <c r="F247">
        <f>IF(F$2=0,"",IFERROR(TRIM(INDEX('Pegar calibracion'!$A$1:$BZ$1001,246,F$2)&amp;""),""))</f>
        <v/>
      </c>
      <c r="G247">
        <f>IF(G$2=0,"",IFERROR(TRIM(INDEX('Pegar calibracion'!$A$1:$BZ$1001,246,G$2)&amp;""),""))</f>
        <v/>
      </c>
      <c r="H247">
        <f>IF(H$2=0,"",IFERROR(TRIM(INDEX('Pegar calibracion'!$A$1:$BZ$1001,246,H$2)&amp;""),""))</f>
        <v/>
      </c>
      <c r="I247">
        <f>IF(I$2=0,"",IFERROR(TRIM(INDEX('Pegar calibracion'!$A$1:$BZ$1001,246,I$2)&amp;""),""))</f>
        <v/>
      </c>
      <c r="J247">
        <f>IF(J$2=0,"",IFERROR(TRIM(INDEX('Pegar calibracion'!$A$1:$BZ$1001,246,J$2)&amp;""),""))</f>
        <v/>
      </c>
      <c r="K247">
        <f>IF(K$2=0,"",IFERROR(TRIM(INDEX('Pegar calibracion'!$A$1:$BZ$1001,246,K$2)&amp;""),""))</f>
        <v/>
      </c>
      <c r="L247">
        <f>IF(L$2=0,"",IFERROR(TRIM(INDEX('Pegar calibracion'!$A$1:$BZ$1001,246,L$2)&amp;""),""))</f>
        <v/>
      </c>
      <c r="M247" s="25">
        <f>IF(D247="","",SUBSTITUTE(SUBSTITUTE(SUBSTITUTE(SUBSTITUTE(SUBSTITUTE(SUBSTITUTE(SUBSTITUTE(SUBSTITUTE(SUBSTITUTE(SUBSTITUTE(SUBSTITUTE(SUBSTITUTE(LOWER(TRIM(D247)),"á","a"),"é","e"),"í","i"),"ó","o"),"ú","u"),"ü","u"),"ñ","n"),"à","a"),"è","e"),"ì","i"),"ò","o"),"ù","u"))</f>
        <v/>
      </c>
      <c r="N247" s="25">
        <f>IF(F247="","",SUBSTITUTE(SUBSTITUTE(SUBSTITUTE(SUBSTITUTE(SUBSTITUTE(SUBSTITUTE(SUBSTITUTE(SUBSTITUTE(SUBSTITUTE(SUBSTITUTE(SUBSTITUTE(SUBSTITUTE(LOWER(TRIM(F247)),"á","a"),"é","e"),"í","i"),"ó","o"),"ú","u"),"ü","u"),"ñ","n"),"à","a"),"è","e"),"ì","i"),"ò","o"),"ù","u"))</f>
        <v/>
      </c>
      <c r="O247" s="25">
        <f>IF(M247="confiable",2,IF(M247="dudosa",1,IF(M247="no confiable",0,"")))</f>
        <v/>
      </c>
      <c r="P247" s="25">
        <f>IF(N247="confiable",2,IF(N247="dudosa",1,IF(N247="no confiable",0,"")))</f>
        <v/>
      </c>
      <c r="Q247" s="25">
        <f>IF(AND(ISNUMBER(O247),ISNUMBER(P247)),1,"")</f>
        <v/>
      </c>
      <c r="R247" s="25">
        <f>IF(Q247=1,IF(O247=P247,"Sí","No"),"")</f>
        <v/>
      </c>
      <c r="S247" s="25">
        <f>IF(Q247=1,IF(P247&lt;O247,"Más estricto",IF(P247&gt;O247,"Más permisivo","Igual")),"")</f>
        <v/>
      </c>
      <c r="T247" s="25">
        <f>IF(Q247=1,IF(ABS(O247-P247)=2,1,0),"")</f>
        <v/>
      </c>
      <c r="U247" s="25">
        <f>IF(H247="","","|"&amp;SUBSTITUTE(SUBSTITUTE(TRIM(H247)," |","|"),"| ","|")&amp;"|")</f>
        <v/>
      </c>
      <c r="V247" s="25">
        <f>IF(AND(Q247=1,B247&lt;&gt;""),IF(IFERROR(COUNTIFS(B$3:B247,"="&amp;SUBSTITUTE(SUBSTITUTE(SUBSTITUTE(B247,"~","~~"),"*","~*"),"?","~?"),Q$3:Q247,1),0)=1,MAX(V$2:V246)+1,""),"")</f>
        <v/>
      </c>
      <c r="W247" s="25">
        <f>IF(V247="","",COUNTIFS($B$3:$B$1002,"="&amp;SUBSTITUTE(SUBSTITUTE(SUBSTITUTE(B247,"~","~~"),"*","~*"),"?","~?"),$Q$3:$Q$1002,1)*10000-V247)</f>
        <v/>
      </c>
      <c r="X247" s="25">
        <f>IF(Q247=1,IF(SUBSTITUTE(SUBSTITUTE(SUBSTITUTE(SUBSTITUTE(SUBSTITUTE(SUBSTITUTE(SUBSTITUTE(SUBSTITUTE(SUBSTITUTE(SUBSTITUTE(SUBSTITUTE(SUBSTITUTE(LOWER(TRIM(A247)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247)),"á","a"),"é","e"),"í","i"),"ó","o"),"ú","u"),"ü","u"),"ñ","n"),"à","a"),"è","e"),"ì","i"),"ò","o"),"ù","u")),"")</f>
        <v/>
      </c>
      <c r="Y247" s="25">
        <f>IF(X247="","",IF(IFERROR(COUNTIF(X$3:X247,"="&amp;SUBSTITUTE(SUBSTITUTE(SUBSTITUTE(X247,"~","~~"),"*","~*"),"?","~?")),0)=1,1,""))</f>
        <v/>
      </c>
      <c r="Z247" s="25">
        <f>IF(T247=1,MAX(Z$2:Z246)+1,"")</f>
        <v/>
      </c>
    </row>
    <row r="248">
      <c r="A248">
        <f>IF(A$2=0,"",IFERROR(TRIM(INDEX('Pegar calibracion'!$A$1:$BZ$1001,247,A$2)&amp;""),""))</f>
        <v/>
      </c>
      <c r="B248">
        <f>IF(B$2=0,"",IFERROR(TRIM(INDEX('Pegar calibracion'!$A$1:$BZ$1001,247,B$2)&amp;""),""))</f>
        <v/>
      </c>
      <c r="C248">
        <f>IF(C$2=0,"",IFERROR(TRIM(INDEX('Pegar calibracion'!$A$1:$BZ$1001,247,C$2)&amp;""),""))</f>
        <v/>
      </c>
      <c r="D248">
        <f>IF(D$2=0,"",IFERROR(TRIM(INDEX('Pegar calibracion'!$A$1:$BZ$1001,247,D$2)&amp;""),""))</f>
        <v/>
      </c>
      <c r="E248">
        <f>IF(E$2=0,"",IFERROR(TRIM(INDEX('Pegar calibracion'!$A$1:$BZ$1001,247,E$2)&amp;""),""))</f>
        <v/>
      </c>
      <c r="F248">
        <f>IF(F$2=0,"",IFERROR(TRIM(INDEX('Pegar calibracion'!$A$1:$BZ$1001,247,F$2)&amp;""),""))</f>
        <v/>
      </c>
      <c r="G248">
        <f>IF(G$2=0,"",IFERROR(TRIM(INDEX('Pegar calibracion'!$A$1:$BZ$1001,247,G$2)&amp;""),""))</f>
        <v/>
      </c>
      <c r="H248">
        <f>IF(H$2=0,"",IFERROR(TRIM(INDEX('Pegar calibracion'!$A$1:$BZ$1001,247,H$2)&amp;""),""))</f>
        <v/>
      </c>
      <c r="I248">
        <f>IF(I$2=0,"",IFERROR(TRIM(INDEX('Pegar calibracion'!$A$1:$BZ$1001,247,I$2)&amp;""),""))</f>
        <v/>
      </c>
      <c r="J248">
        <f>IF(J$2=0,"",IFERROR(TRIM(INDEX('Pegar calibracion'!$A$1:$BZ$1001,247,J$2)&amp;""),""))</f>
        <v/>
      </c>
      <c r="K248">
        <f>IF(K$2=0,"",IFERROR(TRIM(INDEX('Pegar calibracion'!$A$1:$BZ$1001,247,K$2)&amp;""),""))</f>
        <v/>
      </c>
      <c r="L248">
        <f>IF(L$2=0,"",IFERROR(TRIM(INDEX('Pegar calibracion'!$A$1:$BZ$1001,247,L$2)&amp;""),""))</f>
        <v/>
      </c>
      <c r="M248" s="25">
        <f>IF(D248="","",SUBSTITUTE(SUBSTITUTE(SUBSTITUTE(SUBSTITUTE(SUBSTITUTE(SUBSTITUTE(SUBSTITUTE(SUBSTITUTE(SUBSTITUTE(SUBSTITUTE(SUBSTITUTE(SUBSTITUTE(LOWER(TRIM(D248)),"á","a"),"é","e"),"í","i"),"ó","o"),"ú","u"),"ü","u"),"ñ","n"),"à","a"),"è","e"),"ì","i"),"ò","o"),"ù","u"))</f>
        <v/>
      </c>
      <c r="N248" s="25">
        <f>IF(F248="","",SUBSTITUTE(SUBSTITUTE(SUBSTITUTE(SUBSTITUTE(SUBSTITUTE(SUBSTITUTE(SUBSTITUTE(SUBSTITUTE(SUBSTITUTE(SUBSTITUTE(SUBSTITUTE(SUBSTITUTE(LOWER(TRIM(F248)),"á","a"),"é","e"),"í","i"),"ó","o"),"ú","u"),"ü","u"),"ñ","n"),"à","a"),"è","e"),"ì","i"),"ò","o"),"ù","u"))</f>
        <v/>
      </c>
      <c r="O248" s="25">
        <f>IF(M248="confiable",2,IF(M248="dudosa",1,IF(M248="no confiable",0,"")))</f>
        <v/>
      </c>
      <c r="P248" s="25">
        <f>IF(N248="confiable",2,IF(N248="dudosa",1,IF(N248="no confiable",0,"")))</f>
        <v/>
      </c>
      <c r="Q248" s="25">
        <f>IF(AND(ISNUMBER(O248),ISNUMBER(P248)),1,"")</f>
        <v/>
      </c>
      <c r="R248" s="25">
        <f>IF(Q248=1,IF(O248=P248,"Sí","No"),"")</f>
        <v/>
      </c>
      <c r="S248" s="25">
        <f>IF(Q248=1,IF(P248&lt;O248,"Más estricto",IF(P248&gt;O248,"Más permisivo","Igual")),"")</f>
        <v/>
      </c>
      <c r="T248" s="25">
        <f>IF(Q248=1,IF(ABS(O248-P248)=2,1,0),"")</f>
        <v/>
      </c>
      <c r="U248" s="25">
        <f>IF(H248="","","|"&amp;SUBSTITUTE(SUBSTITUTE(TRIM(H248)," |","|"),"| ","|")&amp;"|")</f>
        <v/>
      </c>
      <c r="V248" s="25">
        <f>IF(AND(Q248=1,B248&lt;&gt;""),IF(IFERROR(COUNTIFS(B$3:B248,"="&amp;SUBSTITUTE(SUBSTITUTE(SUBSTITUTE(B248,"~","~~"),"*","~*"),"?","~?"),Q$3:Q248,1),0)=1,MAX(V$2:V247)+1,""),"")</f>
        <v/>
      </c>
      <c r="W248" s="25">
        <f>IF(V248="","",COUNTIFS($B$3:$B$1002,"="&amp;SUBSTITUTE(SUBSTITUTE(SUBSTITUTE(B248,"~","~~"),"*","~*"),"?","~?"),$Q$3:$Q$1002,1)*10000-V248)</f>
        <v/>
      </c>
      <c r="X248" s="25">
        <f>IF(Q248=1,IF(SUBSTITUTE(SUBSTITUTE(SUBSTITUTE(SUBSTITUTE(SUBSTITUTE(SUBSTITUTE(SUBSTITUTE(SUBSTITUTE(SUBSTITUTE(SUBSTITUTE(SUBSTITUTE(SUBSTITUTE(LOWER(TRIM(A248)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248)),"á","a"),"é","e"),"í","i"),"ó","o"),"ú","u"),"ü","u"),"ñ","n"),"à","a"),"è","e"),"ì","i"),"ò","o"),"ù","u")),"")</f>
        <v/>
      </c>
      <c r="Y248" s="25">
        <f>IF(X248="","",IF(IFERROR(COUNTIF(X$3:X248,"="&amp;SUBSTITUTE(SUBSTITUTE(SUBSTITUTE(X248,"~","~~"),"*","~*"),"?","~?")),0)=1,1,""))</f>
        <v/>
      </c>
      <c r="Z248" s="25">
        <f>IF(T248=1,MAX(Z$2:Z247)+1,"")</f>
        <v/>
      </c>
    </row>
    <row r="249">
      <c r="A249">
        <f>IF(A$2=0,"",IFERROR(TRIM(INDEX('Pegar calibracion'!$A$1:$BZ$1001,248,A$2)&amp;""),""))</f>
        <v/>
      </c>
      <c r="B249">
        <f>IF(B$2=0,"",IFERROR(TRIM(INDEX('Pegar calibracion'!$A$1:$BZ$1001,248,B$2)&amp;""),""))</f>
        <v/>
      </c>
      <c r="C249">
        <f>IF(C$2=0,"",IFERROR(TRIM(INDEX('Pegar calibracion'!$A$1:$BZ$1001,248,C$2)&amp;""),""))</f>
        <v/>
      </c>
      <c r="D249">
        <f>IF(D$2=0,"",IFERROR(TRIM(INDEX('Pegar calibracion'!$A$1:$BZ$1001,248,D$2)&amp;""),""))</f>
        <v/>
      </c>
      <c r="E249">
        <f>IF(E$2=0,"",IFERROR(TRIM(INDEX('Pegar calibracion'!$A$1:$BZ$1001,248,E$2)&amp;""),""))</f>
        <v/>
      </c>
      <c r="F249">
        <f>IF(F$2=0,"",IFERROR(TRIM(INDEX('Pegar calibracion'!$A$1:$BZ$1001,248,F$2)&amp;""),""))</f>
        <v/>
      </c>
      <c r="G249">
        <f>IF(G$2=0,"",IFERROR(TRIM(INDEX('Pegar calibracion'!$A$1:$BZ$1001,248,G$2)&amp;""),""))</f>
        <v/>
      </c>
      <c r="H249">
        <f>IF(H$2=0,"",IFERROR(TRIM(INDEX('Pegar calibracion'!$A$1:$BZ$1001,248,H$2)&amp;""),""))</f>
        <v/>
      </c>
      <c r="I249">
        <f>IF(I$2=0,"",IFERROR(TRIM(INDEX('Pegar calibracion'!$A$1:$BZ$1001,248,I$2)&amp;""),""))</f>
        <v/>
      </c>
      <c r="J249">
        <f>IF(J$2=0,"",IFERROR(TRIM(INDEX('Pegar calibracion'!$A$1:$BZ$1001,248,J$2)&amp;""),""))</f>
        <v/>
      </c>
      <c r="K249">
        <f>IF(K$2=0,"",IFERROR(TRIM(INDEX('Pegar calibracion'!$A$1:$BZ$1001,248,K$2)&amp;""),""))</f>
        <v/>
      </c>
      <c r="L249">
        <f>IF(L$2=0,"",IFERROR(TRIM(INDEX('Pegar calibracion'!$A$1:$BZ$1001,248,L$2)&amp;""),""))</f>
        <v/>
      </c>
      <c r="M249" s="25">
        <f>IF(D249="","",SUBSTITUTE(SUBSTITUTE(SUBSTITUTE(SUBSTITUTE(SUBSTITUTE(SUBSTITUTE(SUBSTITUTE(SUBSTITUTE(SUBSTITUTE(SUBSTITUTE(SUBSTITUTE(SUBSTITUTE(LOWER(TRIM(D249)),"á","a"),"é","e"),"í","i"),"ó","o"),"ú","u"),"ü","u"),"ñ","n"),"à","a"),"è","e"),"ì","i"),"ò","o"),"ù","u"))</f>
        <v/>
      </c>
      <c r="N249" s="25">
        <f>IF(F249="","",SUBSTITUTE(SUBSTITUTE(SUBSTITUTE(SUBSTITUTE(SUBSTITUTE(SUBSTITUTE(SUBSTITUTE(SUBSTITUTE(SUBSTITUTE(SUBSTITUTE(SUBSTITUTE(SUBSTITUTE(LOWER(TRIM(F249)),"á","a"),"é","e"),"í","i"),"ó","o"),"ú","u"),"ü","u"),"ñ","n"),"à","a"),"è","e"),"ì","i"),"ò","o"),"ù","u"))</f>
        <v/>
      </c>
      <c r="O249" s="25">
        <f>IF(M249="confiable",2,IF(M249="dudosa",1,IF(M249="no confiable",0,"")))</f>
        <v/>
      </c>
      <c r="P249" s="25">
        <f>IF(N249="confiable",2,IF(N249="dudosa",1,IF(N249="no confiable",0,"")))</f>
        <v/>
      </c>
      <c r="Q249" s="25">
        <f>IF(AND(ISNUMBER(O249),ISNUMBER(P249)),1,"")</f>
        <v/>
      </c>
      <c r="R249" s="25">
        <f>IF(Q249=1,IF(O249=P249,"Sí","No"),"")</f>
        <v/>
      </c>
      <c r="S249" s="25">
        <f>IF(Q249=1,IF(P249&lt;O249,"Más estricto",IF(P249&gt;O249,"Más permisivo","Igual")),"")</f>
        <v/>
      </c>
      <c r="T249" s="25">
        <f>IF(Q249=1,IF(ABS(O249-P249)=2,1,0),"")</f>
        <v/>
      </c>
      <c r="U249" s="25">
        <f>IF(H249="","","|"&amp;SUBSTITUTE(SUBSTITUTE(TRIM(H249)," |","|"),"| ","|")&amp;"|")</f>
        <v/>
      </c>
      <c r="V249" s="25">
        <f>IF(AND(Q249=1,B249&lt;&gt;""),IF(IFERROR(COUNTIFS(B$3:B249,"="&amp;SUBSTITUTE(SUBSTITUTE(SUBSTITUTE(B249,"~","~~"),"*","~*"),"?","~?"),Q$3:Q249,1),0)=1,MAX(V$2:V248)+1,""),"")</f>
        <v/>
      </c>
      <c r="W249" s="25">
        <f>IF(V249="","",COUNTIFS($B$3:$B$1002,"="&amp;SUBSTITUTE(SUBSTITUTE(SUBSTITUTE(B249,"~","~~"),"*","~*"),"?","~?"),$Q$3:$Q$1002,1)*10000-V249)</f>
        <v/>
      </c>
      <c r="X249" s="25">
        <f>IF(Q249=1,IF(SUBSTITUTE(SUBSTITUTE(SUBSTITUTE(SUBSTITUTE(SUBSTITUTE(SUBSTITUTE(SUBSTITUTE(SUBSTITUTE(SUBSTITUTE(SUBSTITUTE(SUBSTITUTE(SUBSTITUTE(LOWER(TRIM(A249)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249)),"á","a"),"é","e"),"í","i"),"ó","o"),"ú","u"),"ü","u"),"ñ","n"),"à","a"),"è","e"),"ì","i"),"ò","o"),"ù","u")),"")</f>
        <v/>
      </c>
      <c r="Y249" s="25">
        <f>IF(X249="","",IF(IFERROR(COUNTIF(X$3:X249,"="&amp;SUBSTITUTE(SUBSTITUTE(SUBSTITUTE(X249,"~","~~"),"*","~*"),"?","~?")),0)=1,1,""))</f>
        <v/>
      </c>
      <c r="Z249" s="25">
        <f>IF(T249=1,MAX(Z$2:Z248)+1,"")</f>
        <v/>
      </c>
    </row>
    <row r="250">
      <c r="A250">
        <f>IF(A$2=0,"",IFERROR(TRIM(INDEX('Pegar calibracion'!$A$1:$BZ$1001,249,A$2)&amp;""),""))</f>
        <v/>
      </c>
      <c r="B250">
        <f>IF(B$2=0,"",IFERROR(TRIM(INDEX('Pegar calibracion'!$A$1:$BZ$1001,249,B$2)&amp;""),""))</f>
        <v/>
      </c>
      <c r="C250">
        <f>IF(C$2=0,"",IFERROR(TRIM(INDEX('Pegar calibracion'!$A$1:$BZ$1001,249,C$2)&amp;""),""))</f>
        <v/>
      </c>
      <c r="D250">
        <f>IF(D$2=0,"",IFERROR(TRIM(INDEX('Pegar calibracion'!$A$1:$BZ$1001,249,D$2)&amp;""),""))</f>
        <v/>
      </c>
      <c r="E250">
        <f>IF(E$2=0,"",IFERROR(TRIM(INDEX('Pegar calibracion'!$A$1:$BZ$1001,249,E$2)&amp;""),""))</f>
        <v/>
      </c>
      <c r="F250">
        <f>IF(F$2=0,"",IFERROR(TRIM(INDEX('Pegar calibracion'!$A$1:$BZ$1001,249,F$2)&amp;""),""))</f>
        <v/>
      </c>
      <c r="G250">
        <f>IF(G$2=0,"",IFERROR(TRIM(INDEX('Pegar calibracion'!$A$1:$BZ$1001,249,G$2)&amp;""),""))</f>
        <v/>
      </c>
      <c r="H250">
        <f>IF(H$2=0,"",IFERROR(TRIM(INDEX('Pegar calibracion'!$A$1:$BZ$1001,249,H$2)&amp;""),""))</f>
        <v/>
      </c>
      <c r="I250">
        <f>IF(I$2=0,"",IFERROR(TRIM(INDEX('Pegar calibracion'!$A$1:$BZ$1001,249,I$2)&amp;""),""))</f>
        <v/>
      </c>
      <c r="J250">
        <f>IF(J$2=0,"",IFERROR(TRIM(INDEX('Pegar calibracion'!$A$1:$BZ$1001,249,J$2)&amp;""),""))</f>
        <v/>
      </c>
      <c r="K250">
        <f>IF(K$2=0,"",IFERROR(TRIM(INDEX('Pegar calibracion'!$A$1:$BZ$1001,249,K$2)&amp;""),""))</f>
        <v/>
      </c>
      <c r="L250">
        <f>IF(L$2=0,"",IFERROR(TRIM(INDEX('Pegar calibracion'!$A$1:$BZ$1001,249,L$2)&amp;""),""))</f>
        <v/>
      </c>
      <c r="M250" s="25">
        <f>IF(D250="","",SUBSTITUTE(SUBSTITUTE(SUBSTITUTE(SUBSTITUTE(SUBSTITUTE(SUBSTITUTE(SUBSTITUTE(SUBSTITUTE(SUBSTITUTE(SUBSTITUTE(SUBSTITUTE(SUBSTITUTE(LOWER(TRIM(D250)),"á","a"),"é","e"),"í","i"),"ó","o"),"ú","u"),"ü","u"),"ñ","n"),"à","a"),"è","e"),"ì","i"),"ò","o"),"ù","u"))</f>
        <v/>
      </c>
      <c r="N250" s="25">
        <f>IF(F250="","",SUBSTITUTE(SUBSTITUTE(SUBSTITUTE(SUBSTITUTE(SUBSTITUTE(SUBSTITUTE(SUBSTITUTE(SUBSTITUTE(SUBSTITUTE(SUBSTITUTE(SUBSTITUTE(SUBSTITUTE(LOWER(TRIM(F250)),"á","a"),"é","e"),"í","i"),"ó","o"),"ú","u"),"ü","u"),"ñ","n"),"à","a"),"è","e"),"ì","i"),"ò","o"),"ù","u"))</f>
        <v/>
      </c>
      <c r="O250" s="25">
        <f>IF(M250="confiable",2,IF(M250="dudosa",1,IF(M250="no confiable",0,"")))</f>
        <v/>
      </c>
      <c r="P250" s="25">
        <f>IF(N250="confiable",2,IF(N250="dudosa",1,IF(N250="no confiable",0,"")))</f>
        <v/>
      </c>
      <c r="Q250" s="25">
        <f>IF(AND(ISNUMBER(O250),ISNUMBER(P250)),1,"")</f>
        <v/>
      </c>
      <c r="R250" s="25">
        <f>IF(Q250=1,IF(O250=P250,"Sí","No"),"")</f>
        <v/>
      </c>
      <c r="S250" s="25">
        <f>IF(Q250=1,IF(P250&lt;O250,"Más estricto",IF(P250&gt;O250,"Más permisivo","Igual")),"")</f>
        <v/>
      </c>
      <c r="T250" s="25">
        <f>IF(Q250=1,IF(ABS(O250-P250)=2,1,0),"")</f>
        <v/>
      </c>
      <c r="U250" s="25">
        <f>IF(H250="","","|"&amp;SUBSTITUTE(SUBSTITUTE(TRIM(H250)," |","|"),"| ","|")&amp;"|")</f>
        <v/>
      </c>
      <c r="V250" s="25">
        <f>IF(AND(Q250=1,B250&lt;&gt;""),IF(IFERROR(COUNTIFS(B$3:B250,"="&amp;SUBSTITUTE(SUBSTITUTE(SUBSTITUTE(B250,"~","~~"),"*","~*"),"?","~?"),Q$3:Q250,1),0)=1,MAX(V$2:V249)+1,""),"")</f>
        <v/>
      </c>
      <c r="W250" s="25">
        <f>IF(V250="","",COUNTIFS($B$3:$B$1002,"="&amp;SUBSTITUTE(SUBSTITUTE(SUBSTITUTE(B250,"~","~~"),"*","~*"),"?","~?"),$Q$3:$Q$1002,1)*10000-V250)</f>
        <v/>
      </c>
      <c r="X250" s="25">
        <f>IF(Q250=1,IF(SUBSTITUTE(SUBSTITUTE(SUBSTITUTE(SUBSTITUTE(SUBSTITUTE(SUBSTITUTE(SUBSTITUTE(SUBSTITUTE(SUBSTITUTE(SUBSTITUTE(SUBSTITUTE(SUBSTITUTE(LOWER(TRIM(A250)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250)),"á","a"),"é","e"),"í","i"),"ó","o"),"ú","u"),"ü","u"),"ñ","n"),"à","a"),"è","e"),"ì","i"),"ò","o"),"ù","u")),"")</f>
        <v/>
      </c>
      <c r="Y250" s="25">
        <f>IF(X250="","",IF(IFERROR(COUNTIF(X$3:X250,"="&amp;SUBSTITUTE(SUBSTITUTE(SUBSTITUTE(X250,"~","~~"),"*","~*"),"?","~?")),0)=1,1,""))</f>
        <v/>
      </c>
      <c r="Z250" s="25">
        <f>IF(T250=1,MAX(Z$2:Z249)+1,"")</f>
        <v/>
      </c>
    </row>
    <row r="251">
      <c r="A251">
        <f>IF(A$2=0,"",IFERROR(TRIM(INDEX('Pegar calibracion'!$A$1:$BZ$1001,250,A$2)&amp;""),""))</f>
        <v/>
      </c>
      <c r="B251">
        <f>IF(B$2=0,"",IFERROR(TRIM(INDEX('Pegar calibracion'!$A$1:$BZ$1001,250,B$2)&amp;""),""))</f>
        <v/>
      </c>
      <c r="C251">
        <f>IF(C$2=0,"",IFERROR(TRIM(INDEX('Pegar calibracion'!$A$1:$BZ$1001,250,C$2)&amp;""),""))</f>
        <v/>
      </c>
      <c r="D251">
        <f>IF(D$2=0,"",IFERROR(TRIM(INDEX('Pegar calibracion'!$A$1:$BZ$1001,250,D$2)&amp;""),""))</f>
        <v/>
      </c>
      <c r="E251">
        <f>IF(E$2=0,"",IFERROR(TRIM(INDEX('Pegar calibracion'!$A$1:$BZ$1001,250,E$2)&amp;""),""))</f>
        <v/>
      </c>
      <c r="F251">
        <f>IF(F$2=0,"",IFERROR(TRIM(INDEX('Pegar calibracion'!$A$1:$BZ$1001,250,F$2)&amp;""),""))</f>
        <v/>
      </c>
      <c r="G251">
        <f>IF(G$2=0,"",IFERROR(TRIM(INDEX('Pegar calibracion'!$A$1:$BZ$1001,250,G$2)&amp;""),""))</f>
        <v/>
      </c>
      <c r="H251">
        <f>IF(H$2=0,"",IFERROR(TRIM(INDEX('Pegar calibracion'!$A$1:$BZ$1001,250,H$2)&amp;""),""))</f>
        <v/>
      </c>
      <c r="I251">
        <f>IF(I$2=0,"",IFERROR(TRIM(INDEX('Pegar calibracion'!$A$1:$BZ$1001,250,I$2)&amp;""),""))</f>
        <v/>
      </c>
      <c r="J251">
        <f>IF(J$2=0,"",IFERROR(TRIM(INDEX('Pegar calibracion'!$A$1:$BZ$1001,250,J$2)&amp;""),""))</f>
        <v/>
      </c>
      <c r="K251">
        <f>IF(K$2=0,"",IFERROR(TRIM(INDEX('Pegar calibracion'!$A$1:$BZ$1001,250,K$2)&amp;""),""))</f>
        <v/>
      </c>
      <c r="L251">
        <f>IF(L$2=0,"",IFERROR(TRIM(INDEX('Pegar calibracion'!$A$1:$BZ$1001,250,L$2)&amp;""),""))</f>
        <v/>
      </c>
      <c r="M251" s="25">
        <f>IF(D251="","",SUBSTITUTE(SUBSTITUTE(SUBSTITUTE(SUBSTITUTE(SUBSTITUTE(SUBSTITUTE(SUBSTITUTE(SUBSTITUTE(SUBSTITUTE(SUBSTITUTE(SUBSTITUTE(SUBSTITUTE(LOWER(TRIM(D251)),"á","a"),"é","e"),"í","i"),"ó","o"),"ú","u"),"ü","u"),"ñ","n"),"à","a"),"è","e"),"ì","i"),"ò","o"),"ù","u"))</f>
        <v/>
      </c>
      <c r="N251" s="25">
        <f>IF(F251="","",SUBSTITUTE(SUBSTITUTE(SUBSTITUTE(SUBSTITUTE(SUBSTITUTE(SUBSTITUTE(SUBSTITUTE(SUBSTITUTE(SUBSTITUTE(SUBSTITUTE(SUBSTITUTE(SUBSTITUTE(LOWER(TRIM(F251)),"á","a"),"é","e"),"í","i"),"ó","o"),"ú","u"),"ü","u"),"ñ","n"),"à","a"),"è","e"),"ì","i"),"ò","o"),"ù","u"))</f>
        <v/>
      </c>
      <c r="O251" s="25">
        <f>IF(M251="confiable",2,IF(M251="dudosa",1,IF(M251="no confiable",0,"")))</f>
        <v/>
      </c>
      <c r="P251" s="25">
        <f>IF(N251="confiable",2,IF(N251="dudosa",1,IF(N251="no confiable",0,"")))</f>
        <v/>
      </c>
      <c r="Q251" s="25">
        <f>IF(AND(ISNUMBER(O251),ISNUMBER(P251)),1,"")</f>
        <v/>
      </c>
      <c r="R251" s="25">
        <f>IF(Q251=1,IF(O251=P251,"Sí","No"),"")</f>
        <v/>
      </c>
      <c r="S251" s="25">
        <f>IF(Q251=1,IF(P251&lt;O251,"Más estricto",IF(P251&gt;O251,"Más permisivo","Igual")),"")</f>
        <v/>
      </c>
      <c r="T251" s="25">
        <f>IF(Q251=1,IF(ABS(O251-P251)=2,1,0),"")</f>
        <v/>
      </c>
      <c r="U251" s="25">
        <f>IF(H251="","","|"&amp;SUBSTITUTE(SUBSTITUTE(TRIM(H251)," |","|"),"| ","|")&amp;"|")</f>
        <v/>
      </c>
      <c r="V251" s="25">
        <f>IF(AND(Q251=1,B251&lt;&gt;""),IF(IFERROR(COUNTIFS(B$3:B251,"="&amp;SUBSTITUTE(SUBSTITUTE(SUBSTITUTE(B251,"~","~~"),"*","~*"),"?","~?"),Q$3:Q251,1),0)=1,MAX(V$2:V250)+1,""),"")</f>
        <v/>
      </c>
      <c r="W251" s="25">
        <f>IF(V251="","",COUNTIFS($B$3:$B$1002,"="&amp;SUBSTITUTE(SUBSTITUTE(SUBSTITUTE(B251,"~","~~"),"*","~*"),"?","~?"),$Q$3:$Q$1002,1)*10000-V251)</f>
        <v/>
      </c>
      <c r="X251" s="25">
        <f>IF(Q251=1,IF(SUBSTITUTE(SUBSTITUTE(SUBSTITUTE(SUBSTITUTE(SUBSTITUTE(SUBSTITUTE(SUBSTITUTE(SUBSTITUTE(SUBSTITUTE(SUBSTITUTE(SUBSTITUTE(SUBSTITUTE(LOWER(TRIM(A251)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251)),"á","a"),"é","e"),"í","i"),"ó","o"),"ú","u"),"ü","u"),"ñ","n"),"à","a"),"è","e"),"ì","i"),"ò","o"),"ù","u")),"")</f>
        <v/>
      </c>
      <c r="Y251" s="25">
        <f>IF(X251="","",IF(IFERROR(COUNTIF(X$3:X251,"="&amp;SUBSTITUTE(SUBSTITUTE(SUBSTITUTE(X251,"~","~~"),"*","~*"),"?","~?")),0)=1,1,""))</f>
        <v/>
      </c>
      <c r="Z251" s="25">
        <f>IF(T251=1,MAX(Z$2:Z250)+1,"")</f>
        <v/>
      </c>
    </row>
    <row r="252">
      <c r="A252">
        <f>IF(A$2=0,"",IFERROR(TRIM(INDEX('Pegar calibracion'!$A$1:$BZ$1001,251,A$2)&amp;""),""))</f>
        <v/>
      </c>
      <c r="B252">
        <f>IF(B$2=0,"",IFERROR(TRIM(INDEX('Pegar calibracion'!$A$1:$BZ$1001,251,B$2)&amp;""),""))</f>
        <v/>
      </c>
      <c r="C252">
        <f>IF(C$2=0,"",IFERROR(TRIM(INDEX('Pegar calibracion'!$A$1:$BZ$1001,251,C$2)&amp;""),""))</f>
        <v/>
      </c>
      <c r="D252">
        <f>IF(D$2=0,"",IFERROR(TRIM(INDEX('Pegar calibracion'!$A$1:$BZ$1001,251,D$2)&amp;""),""))</f>
        <v/>
      </c>
      <c r="E252">
        <f>IF(E$2=0,"",IFERROR(TRIM(INDEX('Pegar calibracion'!$A$1:$BZ$1001,251,E$2)&amp;""),""))</f>
        <v/>
      </c>
      <c r="F252">
        <f>IF(F$2=0,"",IFERROR(TRIM(INDEX('Pegar calibracion'!$A$1:$BZ$1001,251,F$2)&amp;""),""))</f>
        <v/>
      </c>
      <c r="G252">
        <f>IF(G$2=0,"",IFERROR(TRIM(INDEX('Pegar calibracion'!$A$1:$BZ$1001,251,G$2)&amp;""),""))</f>
        <v/>
      </c>
      <c r="H252">
        <f>IF(H$2=0,"",IFERROR(TRIM(INDEX('Pegar calibracion'!$A$1:$BZ$1001,251,H$2)&amp;""),""))</f>
        <v/>
      </c>
      <c r="I252">
        <f>IF(I$2=0,"",IFERROR(TRIM(INDEX('Pegar calibracion'!$A$1:$BZ$1001,251,I$2)&amp;""),""))</f>
        <v/>
      </c>
      <c r="J252">
        <f>IF(J$2=0,"",IFERROR(TRIM(INDEX('Pegar calibracion'!$A$1:$BZ$1001,251,J$2)&amp;""),""))</f>
        <v/>
      </c>
      <c r="K252">
        <f>IF(K$2=0,"",IFERROR(TRIM(INDEX('Pegar calibracion'!$A$1:$BZ$1001,251,K$2)&amp;""),""))</f>
        <v/>
      </c>
      <c r="L252">
        <f>IF(L$2=0,"",IFERROR(TRIM(INDEX('Pegar calibracion'!$A$1:$BZ$1001,251,L$2)&amp;""),""))</f>
        <v/>
      </c>
      <c r="M252" s="25">
        <f>IF(D252="","",SUBSTITUTE(SUBSTITUTE(SUBSTITUTE(SUBSTITUTE(SUBSTITUTE(SUBSTITUTE(SUBSTITUTE(SUBSTITUTE(SUBSTITUTE(SUBSTITUTE(SUBSTITUTE(SUBSTITUTE(LOWER(TRIM(D252)),"á","a"),"é","e"),"í","i"),"ó","o"),"ú","u"),"ü","u"),"ñ","n"),"à","a"),"è","e"),"ì","i"),"ò","o"),"ù","u"))</f>
        <v/>
      </c>
      <c r="N252" s="25">
        <f>IF(F252="","",SUBSTITUTE(SUBSTITUTE(SUBSTITUTE(SUBSTITUTE(SUBSTITUTE(SUBSTITUTE(SUBSTITUTE(SUBSTITUTE(SUBSTITUTE(SUBSTITUTE(SUBSTITUTE(SUBSTITUTE(LOWER(TRIM(F252)),"á","a"),"é","e"),"í","i"),"ó","o"),"ú","u"),"ü","u"),"ñ","n"),"à","a"),"è","e"),"ì","i"),"ò","o"),"ù","u"))</f>
        <v/>
      </c>
      <c r="O252" s="25">
        <f>IF(M252="confiable",2,IF(M252="dudosa",1,IF(M252="no confiable",0,"")))</f>
        <v/>
      </c>
      <c r="P252" s="25">
        <f>IF(N252="confiable",2,IF(N252="dudosa",1,IF(N252="no confiable",0,"")))</f>
        <v/>
      </c>
      <c r="Q252" s="25">
        <f>IF(AND(ISNUMBER(O252),ISNUMBER(P252)),1,"")</f>
        <v/>
      </c>
      <c r="R252" s="25">
        <f>IF(Q252=1,IF(O252=P252,"Sí","No"),"")</f>
        <v/>
      </c>
      <c r="S252" s="25">
        <f>IF(Q252=1,IF(P252&lt;O252,"Más estricto",IF(P252&gt;O252,"Más permisivo","Igual")),"")</f>
        <v/>
      </c>
      <c r="T252" s="25">
        <f>IF(Q252=1,IF(ABS(O252-P252)=2,1,0),"")</f>
        <v/>
      </c>
      <c r="U252" s="25">
        <f>IF(H252="","","|"&amp;SUBSTITUTE(SUBSTITUTE(TRIM(H252)," |","|"),"| ","|")&amp;"|")</f>
        <v/>
      </c>
      <c r="V252" s="25">
        <f>IF(AND(Q252=1,B252&lt;&gt;""),IF(IFERROR(COUNTIFS(B$3:B252,"="&amp;SUBSTITUTE(SUBSTITUTE(SUBSTITUTE(B252,"~","~~"),"*","~*"),"?","~?"),Q$3:Q252,1),0)=1,MAX(V$2:V251)+1,""),"")</f>
        <v/>
      </c>
      <c r="W252" s="25">
        <f>IF(V252="","",COUNTIFS($B$3:$B$1002,"="&amp;SUBSTITUTE(SUBSTITUTE(SUBSTITUTE(B252,"~","~~"),"*","~*"),"?","~?"),$Q$3:$Q$1002,1)*10000-V252)</f>
        <v/>
      </c>
      <c r="X252" s="25">
        <f>IF(Q252=1,IF(SUBSTITUTE(SUBSTITUTE(SUBSTITUTE(SUBSTITUTE(SUBSTITUTE(SUBSTITUTE(SUBSTITUTE(SUBSTITUTE(SUBSTITUTE(SUBSTITUTE(SUBSTITUTE(SUBSTITUTE(LOWER(TRIM(A252)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252)),"á","a"),"é","e"),"í","i"),"ó","o"),"ú","u"),"ü","u"),"ñ","n"),"à","a"),"è","e"),"ì","i"),"ò","o"),"ù","u")),"")</f>
        <v/>
      </c>
      <c r="Y252" s="25">
        <f>IF(X252="","",IF(IFERROR(COUNTIF(X$3:X252,"="&amp;SUBSTITUTE(SUBSTITUTE(SUBSTITUTE(X252,"~","~~"),"*","~*"),"?","~?")),0)=1,1,""))</f>
        <v/>
      </c>
      <c r="Z252" s="25">
        <f>IF(T252=1,MAX(Z$2:Z251)+1,"")</f>
        <v/>
      </c>
    </row>
    <row r="253">
      <c r="A253">
        <f>IF(A$2=0,"",IFERROR(TRIM(INDEX('Pegar calibracion'!$A$1:$BZ$1001,252,A$2)&amp;""),""))</f>
        <v/>
      </c>
      <c r="B253">
        <f>IF(B$2=0,"",IFERROR(TRIM(INDEX('Pegar calibracion'!$A$1:$BZ$1001,252,B$2)&amp;""),""))</f>
        <v/>
      </c>
      <c r="C253">
        <f>IF(C$2=0,"",IFERROR(TRIM(INDEX('Pegar calibracion'!$A$1:$BZ$1001,252,C$2)&amp;""),""))</f>
        <v/>
      </c>
      <c r="D253">
        <f>IF(D$2=0,"",IFERROR(TRIM(INDEX('Pegar calibracion'!$A$1:$BZ$1001,252,D$2)&amp;""),""))</f>
        <v/>
      </c>
      <c r="E253">
        <f>IF(E$2=0,"",IFERROR(TRIM(INDEX('Pegar calibracion'!$A$1:$BZ$1001,252,E$2)&amp;""),""))</f>
        <v/>
      </c>
      <c r="F253">
        <f>IF(F$2=0,"",IFERROR(TRIM(INDEX('Pegar calibracion'!$A$1:$BZ$1001,252,F$2)&amp;""),""))</f>
        <v/>
      </c>
      <c r="G253">
        <f>IF(G$2=0,"",IFERROR(TRIM(INDEX('Pegar calibracion'!$A$1:$BZ$1001,252,G$2)&amp;""),""))</f>
        <v/>
      </c>
      <c r="H253">
        <f>IF(H$2=0,"",IFERROR(TRIM(INDEX('Pegar calibracion'!$A$1:$BZ$1001,252,H$2)&amp;""),""))</f>
        <v/>
      </c>
      <c r="I253">
        <f>IF(I$2=0,"",IFERROR(TRIM(INDEX('Pegar calibracion'!$A$1:$BZ$1001,252,I$2)&amp;""),""))</f>
        <v/>
      </c>
      <c r="J253">
        <f>IF(J$2=0,"",IFERROR(TRIM(INDEX('Pegar calibracion'!$A$1:$BZ$1001,252,J$2)&amp;""),""))</f>
        <v/>
      </c>
      <c r="K253">
        <f>IF(K$2=0,"",IFERROR(TRIM(INDEX('Pegar calibracion'!$A$1:$BZ$1001,252,K$2)&amp;""),""))</f>
        <v/>
      </c>
      <c r="L253">
        <f>IF(L$2=0,"",IFERROR(TRIM(INDEX('Pegar calibracion'!$A$1:$BZ$1001,252,L$2)&amp;""),""))</f>
        <v/>
      </c>
      <c r="M253" s="25">
        <f>IF(D253="","",SUBSTITUTE(SUBSTITUTE(SUBSTITUTE(SUBSTITUTE(SUBSTITUTE(SUBSTITUTE(SUBSTITUTE(SUBSTITUTE(SUBSTITUTE(SUBSTITUTE(SUBSTITUTE(SUBSTITUTE(LOWER(TRIM(D253)),"á","a"),"é","e"),"í","i"),"ó","o"),"ú","u"),"ü","u"),"ñ","n"),"à","a"),"è","e"),"ì","i"),"ò","o"),"ù","u"))</f>
        <v/>
      </c>
      <c r="N253" s="25">
        <f>IF(F253="","",SUBSTITUTE(SUBSTITUTE(SUBSTITUTE(SUBSTITUTE(SUBSTITUTE(SUBSTITUTE(SUBSTITUTE(SUBSTITUTE(SUBSTITUTE(SUBSTITUTE(SUBSTITUTE(SUBSTITUTE(LOWER(TRIM(F253)),"á","a"),"é","e"),"í","i"),"ó","o"),"ú","u"),"ü","u"),"ñ","n"),"à","a"),"è","e"),"ì","i"),"ò","o"),"ù","u"))</f>
        <v/>
      </c>
      <c r="O253" s="25">
        <f>IF(M253="confiable",2,IF(M253="dudosa",1,IF(M253="no confiable",0,"")))</f>
        <v/>
      </c>
      <c r="P253" s="25">
        <f>IF(N253="confiable",2,IF(N253="dudosa",1,IF(N253="no confiable",0,"")))</f>
        <v/>
      </c>
      <c r="Q253" s="25">
        <f>IF(AND(ISNUMBER(O253),ISNUMBER(P253)),1,"")</f>
        <v/>
      </c>
      <c r="R253" s="25">
        <f>IF(Q253=1,IF(O253=P253,"Sí","No"),"")</f>
        <v/>
      </c>
      <c r="S253" s="25">
        <f>IF(Q253=1,IF(P253&lt;O253,"Más estricto",IF(P253&gt;O253,"Más permisivo","Igual")),"")</f>
        <v/>
      </c>
      <c r="T253" s="25">
        <f>IF(Q253=1,IF(ABS(O253-P253)=2,1,0),"")</f>
        <v/>
      </c>
      <c r="U253" s="25">
        <f>IF(H253="","","|"&amp;SUBSTITUTE(SUBSTITUTE(TRIM(H253)," |","|"),"| ","|")&amp;"|")</f>
        <v/>
      </c>
      <c r="V253" s="25">
        <f>IF(AND(Q253=1,B253&lt;&gt;""),IF(IFERROR(COUNTIFS(B$3:B253,"="&amp;SUBSTITUTE(SUBSTITUTE(SUBSTITUTE(B253,"~","~~"),"*","~*"),"?","~?"),Q$3:Q253,1),0)=1,MAX(V$2:V252)+1,""),"")</f>
        <v/>
      </c>
      <c r="W253" s="25">
        <f>IF(V253="","",COUNTIFS($B$3:$B$1002,"="&amp;SUBSTITUTE(SUBSTITUTE(SUBSTITUTE(B253,"~","~~"),"*","~*"),"?","~?"),$Q$3:$Q$1002,1)*10000-V253)</f>
        <v/>
      </c>
      <c r="X253" s="25">
        <f>IF(Q253=1,IF(SUBSTITUTE(SUBSTITUTE(SUBSTITUTE(SUBSTITUTE(SUBSTITUTE(SUBSTITUTE(SUBSTITUTE(SUBSTITUTE(SUBSTITUTE(SUBSTITUTE(SUBSTITUTE(SUBSTITUTE(LOWER(TRIM(A253)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253)),"á","a"),"é","e"),"í","i"),"ó","o"),"ú","u"),"ü","u"),"ñ","n"),"à","a"),"è","e"),"ì","i"),"ò","o"),"ù","u")),"")</f>
        <v/>
      </c>
      <c r="Y253" s="25">
        <f>IF(X253="","",IF(IFERROR(COUNTIF(X$3:X253,"="&amp;SUBSTITUTE(SUBSTITUTE(SUBSTITUTE(X253,"~","~~"),"*","~*"),"?","~?")),0)=1,1,""))</f>
        <v/>
      </c>
      <c r="Z253" s="25">
        <f>IF(T253=1,MAX(Z$2:Z252)+1,"")</f>
        <v/>
      </c>
    </row>
    <row r="254">
      <c r="A254">
        <f>IF(A$2=0,"",IFERROR(TRIM(INDEX('Pegar calibracion'!$A$1:$BZ$1001,253,A$2)&amp;""),""))</f>
        <v/>
      </c>
      <c r="B254">
        <f>IF(B$2=0,"",IFERROR(TRIM(INDEX('Pegar calibracion'!$A$1:$BZ$1001,253,B$2)&amp;""),""))</f>
        <v/>
      </c>
      <c r="C254">
        <f>IF(C$2=0,"",IFERROR(TRIM(INDEX('Pegar calibracion'!$A$1:$BZ$1001,253,C$2)&amp;""),""))</f>
        <v/>
      </c>
      <c r="D254">
        <f>IF(D$2=0,"",IFERROR(TRIM(INDEX('Pegar calibracion'!$A$1:$BZ$1001,253,D$2)&amp;""),""))</f>
        <v/>
      </c>
      <c r="E254">
        <f>IF(E$2=0,"",IFERROR(TRIM(INDEX('Pegar calibracion'!$A$1:$BZ$1001,253,E$2)&amp;""),""))</f>
        <v/>
      </c>
      <c r="F254">
        <f>IF(F$2=0,"",IFERROR(TRIM(INDEX('Pegar calibracion'!$A$1:$BZ$1001,253,F$2)&amp;""),""))</f>
        <v/>
      </c>
      <c r="G254">
        <f>IF(G$2=0,"",IFERROR(TRIM(INDEX('Pegar calibracion'!$A$1:$BZ$1001,253,G$2)&amp;""),""))</f>
        <v/>
      </c>
      <c r="H254">
        <f>IF(H$2=0,"",IFERROR(TRIM(INDEX('Pegar calibracion'!$A$1:$BZ$1001,253,H$2)&amp;""),""))</f>
        <v/>
      </c>
      <c r="I254">
        <f>IF(I$2=0,"",IFERROR(TRIM(INDEX('Pegar calibracion'!$A$1:$BZ$1001,253,I$2)&amp;""),""))</f>
        <v/>
      </c>
      <c r="J254">
        <f>IF(J$2=0,"",IFERROR(TRIM(INDEX('Pegar calibracion'!$A$1:$BZ$1001,253,J$2)&amp;""),""))</f>
        <v/>
      </c>
      <c r="K254">
        <f>IF(K$2=0,"",IFERROR(TRIM(INDEX('Pegar calibracion'!$A$1:$BZ$1001,253,K$2)&amp;""),""))</f>
        <v/>
      </c>
      <c r="L254">
        <f>IF(L$2=0,"",IFERROR(TRIM(INDEX('Pegar calibracion'!$A$1:$BZ$1001,253,L$2)&amp;""),""))</f>
        <v/>
      </c>
      <c r="M254" s="25">
        <f>IF(D254="","",SUBSTITUTE(SUBSTITUTE(SUBSTITUTE(SUBSTITUTE(SUBSTITUTE(SUBSTITUTE(SUBSTITUTE(SUBSTITUTE(SUBSTITUTE(SUBSTITUTE(SUBSTITUTE(SUBSTITUTE(LOWER(TRIM(D254)),"á","a"),"é","e"),"í","i"),"ó","o"),"ú","u"),"ü","u"),"ñ","n"),"à","a"),"è","e"),"ì","i"),"ò","o"),"ù","u"))</f>
        <v/>
      </c>
      <c r="N254" s="25">
        <f>IF(F254="","",SUBSTITUTE(SUBSTITUTE(SUBSTITUTE(SUBSTITUTE(SUBSTITUTE(SUBSTITUTE(SUBSTITUTE(SUBSTITUTE(SUBSTITUTE(SUBSTITUTE(SUBSTITUTE(SUBSTITUTE(LOWER(TRIM(F254)),"á","a"),"é","e"),"í","i"),"ó","o"),"ú","u"),"ü","u"),"ñ","n"),"à","a"),"è","e"),"ì","i"),"ò","o"),"ù","u"))</f>
        <v/>
      </c>
      <c r="O254" s="25">
        <f>IF(M254="confiable",2,IF(M254="dudosa",1,IF(M254="no confiable",0,"")))</f>
        <v/>
      </c>
      <c r="P254" s="25">
        <f>IF(N254="confiable",2,IF(N254="dudosa",1,IF(N254="no confiable",0,"")))</f>
        <v/>
      </c>
      <c r="Q254" s="25">
        <f>IF(AND(ISNUMBER(O254),ISNUMBER(P254)),1,"")</f>
        <v/>
      </c>
      <c r="R254" s="25">
        <f>IF(Q254=1,IF(O254=P254,"Sí","No"),"")</f>
        <v/>
      </c>
      <c r="S254" s="25">
        <f>IF(Q254=1,IF(P254&lt;O254,"Más estricto",IF(P254&gt;O254,"Más permisivo","Igual")),"")</f>
        <v/>
      </c>
      <c r="T254" s="25">
        <f>IF(Q254=1,IF(ABS(O254-P254)=2,1,0),"")</f>
        <v/>
      </c>
      <c r="U254" s="25">
        <f>IF(H254="","","|"&amp;SUBSTITUTE(SUBSTITUTE(TRIM(H254)," |","|"),"| ","|")&amp;"|")</f>
        <v/>
      </c>
      <c r="V254" s="25">
        <f>IF(AND(Q254=1,B254&lt;&gt;""),IF(IFERROR(COUNTIFS(B$3:B254,"="&amp;SUBSTITUTE(SUBSTITUTE(SUBSTITUTE(B254,"~","~~"),"*","~*"),"?","~?"),Q$3:Q254,1),0)=1,MAX(V$2:V253)+1,""),"")</f>
        <v/>
      </c>
      <c r="W254" s="25">
        <f>IF(V254="","",COUNTIFS($B$3:$B$1002,"="&amp;SUBSTITUTE(SUBSTITUTE(SUBSTITUTE(B254,"~","~~"),"*","~*"),"?","~?"),$Q$3:$Q$1002,1)*10000-V254)</f>
        <v/>
      </c>
      <c r="X254" s="25">
        <f>IF(Q254=1,IF(SUBSTITUTE(SUBSTITUTE(SUBSTITUTE(SUBSTITUTE(SUBSTITUTE(SUBSTITUTE(SUBSTITUTE(SUBSTITUTE(SUBSTITUTE(SUBSTITUTE(SUBSTITUTE(SUBSTITUTE(LOWER(TRIM(A254)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254)),"á","a"),"é","e"),"í","i"),"ó","o"),"ú","u"),"ü","u"),"ñ","n"),"à","a"),"è","e"),"ì","i"),"ò","o"),"ù","u")),"")</f>
        <v/>
      </c>
      <c r="Y254" s="25">
        <f>IF(X254="","",IF(IFERROR(COUNTIF(X$3:X254,"="&amp;SUBSTITUTE(SUBSTITUTE(SUBSTITUTE(X254,"~","~~"),"*","~*"),"?","~?")),0)=1,1,""))</f>
        <v/>
      </c>
      <c r="Z254" s="25">
        <f>IF(T254=1,MAX(Z$2:Z253)+1,"")</f>
        <v/>
      </c>
    </row>
    <row r="255">
      <c r="A255">
        <f>IF(A$2=0,"",IFERROR(TRIM(INDEX('Pegar calibracion'!$A$1:$BZ$1001,254,A$2)&amp;""),""))</f>
        <v/>
      </c>
      <c r="B255">
        <f>IF(B$2=0,"",IFERROR(TRIM(INDEX('Pegar calibracion'!$A$1:$BZ$1001,254,B$2)&amp;""),""))</f>
        <v/>
      </c>
      <c r="C255">
        <f>IF(C$2=0,"",IFERROR(TRIM(INDEX('Pegar calibracion'!$A$1:$BZ$1001,254,C$2)&amp;""),""))</f>
        <v/>
      </c>
      <c r="D255">
        <f>IF(D$2=0,"",IFERROR(TRIM(INDEX('Pegar calibracion'!$A$1:$BZ$1001,254,D$2)&amp;""),""))</f>
        <v/>
      </c>
      <c r="E255">
        <f>IF(E$2=0,"",IFERROR(TRIM(INDEX('Pegar calibracion'!$A$1:$BZ$1001,254,E$2)&amp;""),""))</f>
        <v/>
      </c>
      <c r="F255">
        <f>IF(F$2=0,"",IFERROR(TRIM(INDEX('Pegar calibracion'!$A$1:$BZ$1001,254,F$2)&amp;""),""))</f>
        <v/>
      </c>
      <c r="G255">
        <f>IF(G$2=0,"",IFERROR(TRIM(INDEX('Pegar calibracion'!$A$1:$BZ$1001,254,G$2)&amp;""),""))</f>
        <v/>
      </c>
      <c r="H255">
        <f>IF(H$2=0,"",IFERROR(TRIM(INDEX('Pegar calibracion'!$A$1:$BZ$1001,254,H$2)&amp;""),""))</f>
        <v/>
      </c>
      <c r="I255">
        <f>IF(I$2=0,"",IFERROR(TRIM(INDEX('Pegar calibracion'!$A$1:$BZ$1001,254,I$2)&amp;""),""))</f>
        <v/>
      </c>
      <c r="J255">
        <f>IF(J$2=0,"",IFERROR(TRIM(INDEX('Pegar calibracion'!$A$1:$BZ$1001,254,J$2)&amp;""),""))</f>
        <v/>
      </c>
      <c r="K255">
        <f>IF(K$2=0,"",IFERROR(TRIM(INDEX('Pegar calibracion'!$A$1:$BZ$1001,254,K$2)&amp;""),""))</f>
        <v/>
      </c>
      <c r="L255">
        <f>IF(L$2=0,"",IFERROR(TRIM(INDEX('Pegar calibracion'!$A$1:$BZ$1001,254,L$2)&amp;""),""))</f>
        <v/>
      </c>
      <c r="M255" s="25">
        <f>IF(D255="","",SUBSTITUTE(SUBSTITUTE(SUBSTITUTE(SUBSTITUTE(SUBSTITUTE(SUBSTITUTE(SUBSTITUTE(SUBSTITUTE(SUBSTITUTE(SUBSTITUTE(SUBSTITUTE(SUBSTITUTE(LOWER(TRIM(D255)),"á","a"),"é","e"),"í","i"),"ó","o"),"ú","u"),"ü","u"),"ñ","n"),"à","a"),"è","e"),"ì","i"),"ò","o"),"ù","u"))</f>
        <v/>
      </c>
      <c r="N255" s="25">
        <f>IF(F255="","",SUBSTITUTE(SUBSTITUTE(SUBSTITUTE(SUBSTITUTE(SUBSTITUTE(SUBSTITUTE(SUBSTITUTE(SUBSTITUTE(SUBSTITUTE(SUBSTITUTE(SUBSTITUTE(SUBSTITUTE(LOWER(TRIM(F255)),"á","a"),"é","e"),"í","i"),"ó","o"),"ú","u"),"ü","u"),"ñ","n"),"à","a"),"è","e"),"ì","i"),"ò","o"),"ù","u"))</f>
        <v/>
      </c>
      <c r="O255" s="25">
        <f>IF(M255="confiable",2,IF(M255="dudosa",1,IF(M255="no confiable",0,"")))</f>
        <v/>
      </c>
      <c r="P255" s="25">
        <f>IF(N255="confiable",2,IF(N255="dudosa",1,IF(N255="no confiable",0,"")))</f>
        <v/>
      </c>
      <c r="Q255" s="25">
        <f>IF(AND(ISNUMBER(O255),ISNUMBER(P255)),1,"")</f>
        <v/>
      </c>
      <c r="R255" s="25">
        <f>IF(Q255=1,IF(O255=P255,"Sí","No"),"")</f>
        <v/>
      </c>
      <c r="S255" s="25">
        <f>IF(Q255=1,IF(P255&lt;O255,"Más estricto",IF(P255&gt;O255,"Más permisivo","Igual")),"")</f>
        <v/>
      </c>
      <c r="T255" s="25">
        <f>IF(Q255=1,IF(ABS(O255-P255)=2,1,0),"")</f>
        <v/>
      </c>
      <c r="U255" s="25">
        <f>IF(H255="","","|"&amp;SUBSTITUTE(SUBSTITUTE(TRIM(H255)," |","|"),"| ","|")&amp;"|")</f>
        <v/>
      </c>
      <c r="V255" s="25">
        <f>IF(AND(Q255=1,B255&lt;&gt;""),IF(IFERROR(COUNTIFS(B$3:B255,"="&amp;SUBSTITUTE(SUBSTITUTE(SUBSTITUTE(B255,"~","~~"),"*","~*"),"?","~?"),Q$3:Q255,1),0)=1,MAX(V$2:V254)+1,""),"")</f>
        <v/>
      </c>
      <c r="W255" s="25">
        <f>IF(V255="","",COUNTIFS($B$3:$B$1002,"="&amp;SUBSTITUTE(SUBSTITUTE(SUBSTITUTE(B255,"~","~~"),"*","~*"),"?","~?"),$Q$3:$Q$1002,1)*10000-V255)</f>
        <v/>
      </c>
      <c r="X255" s="25">
        <f>IF(Q255=1,IF(SUBSTITUTE(SUBSTITUTE(SUBSTITUTE(SUBSTITUTE(SUBSTITUTE(SUBSTITUTE(SUBSTITUTE(SUBSTITUTE(SUBSTITUTE(SUBSTITUTE(SUBSTITUTE(SUBSTITUTE(LOWER(TRIM(A255)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255)),"á","a"),"é","e"),"í","i"),"ó","o"),"ú","u"),"ü","u"),"ñ","n"),"à","a"),"è","e"),"ì","i"),"ò","o"),"ù","u")),"")</f>
        <v/>
      </c>
      <c r="Y255" s="25">
        <f>IF(X255="","",IF(IFERROR(COUNTIF(X$3:X255,"="&amp;SUBSTITUTE(SUBSTITUTE(SUBSTITUTE(X255,"~","~~"),"*","~*"),"?","~?")),0)=1,1,""))</f>
        <v/>
      </c>
      <c r="Z255" s="25">
        <f>IF(T255=1,MAX(Z$2:Z254)+1,"")</f>
        <v/>
      </c>
    </row>
    <row r="256">
      <c r="A256">
        <f>IF(A$2=0,"",IFERROR(TRIM(INDEX('Pegar calibracion'!$A$1:$BZ$1001,255,A$2)&amp;""),""))</f>
        <v/>
      </c>
      <c r="B256">
        <f>IF(B$2=0,"",IFERROR(TRIM(INDEX('Pegar calibracion'!$A$1:$BZ$1001,255,B$2)&amp;""),""))</f>
        <v/>
      </c>
      <c r="C256">
        <f>IF(C$2=0,"",IFERROR(TRIM(INDEX('Pegar calibracion'!$A$1:$BZ$1001,255,C$2)&amp;""),""))</f>
        <v/>
      </c>
      <c r="D256">
        <f>IF(D$2=0,"",IFERROR(TRIM(INDEX('Pegar calibracion'!$A$1:$BZ$1001,255,D$2)&amp;""),""))</f>
        <v/>
      </c>
      <c r="E256">
        <f>IF(E$2=0,"",IFERROR(TRIM(INDEX('Pegar calibracion'!$A$1:$BZ$1001,255,E$2)&amp;""),""))</f>
        <v/>
      </c>
      <c r="F256">
        <f>IF(F$2=0,"",IFERROR(TRIM(INDEX('Pegar calibracion'!$A$1:$BZ$1001,255,F$2)&amp;""),""))</f>
        <v/>
      </c>
      <c r="G256">
        <f>IF(G$2=0,"",IFERROR(TRIM(INDEX('Pegar calibracion'!$A$1:$BZ$1001,255,G$2)&amp;""),""))</f>
        <v/>
      </c>
      <c r="H256">
        <f>IF(H$2=0,"",IFERROR(TRIM(INDEX('Pegar calibracion'!$A$1:$BZ$1001,255,H$2)&amp;""),""))</f>
        <v/>
      </c>
      <c r="I256">
        <f>IF(I$2=0,"",IFERROR(TRIM(INDEX('Pegar calibracion'!$A$1:$BZ$1001,255,I$2)&amp;""),""))</f>
        <v/>
      </c>
      <c r="J256">
        <f>IF(J$2=0,"",IFERROR(TRIM(INDEX('Pegar calibracion'!$A$1:$BZ$1001,255,J$2)&amp;""),""))</f>
        <v/>
      </c>
      <c r="K256">
        <f>IF(K$2=0,"",IFERROR(TRIM(INDEX('Pegar calibracion'!$A$1:$BZ$1001,255,K$2)&amp;""),""))</f>
        <v/>
      </c>
      <c r="L256">
        <f>IF(L$2=0,"",IFERROR(TRIM(INDEX('Pegar calibracion'!$A$1:$BZ$1001,255,L$2)&amp;""),""))</f>
        <v/>
      </c>
      <c r="M256" s="25">
        <f>IF(D256="","",SUBSTITUTE(SUBSTITUTE(SUBSTITUTE(SUBSTITUTE(SUBSTITUTE(SUBSTITUTE(SUBSTITUTE(SUBSTITUTE(SUBSTITUTE(SUBSTITUTE(SUBSTITUTE(SUBSTITUTE(LOWER(TRIM(D256)),"á","a"),"é","e"),"í","i"),"ó","o"),"ú","u"),"ü","u"),"ñ","n"),"à","a"),"è","e"),"ì","i"),"ò","o"),"ù","u"))</f>
        <v/>
      </c>
      <c r="N256" s="25">
        <f>IF(F256="","",SUBSTITUTE(SUBSTITUTE(SUBSTITUTE(SUBSTITUTE(SUBSTITUTE(SUBSTITUTE(SUBSTITUTE(SUBSTITUTE(SUBSTITUTE(SUBSTITUTE(SUBSTITUTE(SUBSTITUTE(LOWER(TRIM(F256)),"á","a"),"é","e"),"í","i"),"ó","o"),"ú","u"),"ü","u"),"ñ","n"),"à","a"),"è","e"),"ì","i"),"ò","o"),"ù","u"))</f>
        <v/>
      </c>
      <c r="O256" s="25">
        <f>IF(M256="confiable",2,IF(M256="dudosa",1,IF(M256="no confiable",0,"")))</f>
        <v/>
      </c>
      <c r="P256" s="25">
        <f>IF(N256="confiable",2,IF(N256="dudosa",1,IF(N256="no confiable",0,"")))</f>
        <v/>
      </c>
      <c r="Q256" s="25">
        <f>IF(AND(ISNUMBER(O256),ISNUMBER(P256)),1,"")</f>
        <v/>
      </c>
      <c r="R256" s="25">
        <f>IF(Q256=1,IF(O256=P256,"Sí","No"),"")</f>
        <v/>
      </c>
      <c r="S256" s="25">
        <f>IF(Q256=1,IF(P256&lt;O256,"Más estricto",IF(P256&gt;O256,"Más permisivo","Igual")),"")</f>
        <v/>
      </c>
      <c r="T256" s="25">
        <f>IF(Q256=1,IF(ABS(O256-P256)=2,1,0),"")</f>
        <v/>
      </c>
      <c r="U256" s="25">
        <f>IF(H256="","","|"&amp;SUBSTITUTE(SUBSTITUTE(TRIM(H256)," |","|"),"| ","|")&amp;"|")</f>
        <v/>
      </c>
      <c r="V256" s="25">
        <f>IF(AND(Q256=1,B256&lt;&gt;""),IF(IFERROR(COUNTIFS(B$3:B256,"="&amp;SUBSTITUTE(SUBSTITUTE(SUBSTITUTE(B256,"~","~~"),"*","~*"),"?","~?"),Q$3:Q256,1),0)=1,MAX(V$2:V255)+1,""),"")</f>
        <v/>
      </c>
      <c r="W256" s="25">
        <f>IF(V256="","",COUNTIFS($B$3:$B$1002,"="&amp;SUBSTITUTE(SUBSTITUTE(SUBSTITUTE(B256,"~","~~"),"*","~*"),"?","~?"),$Q$3:$Q$1002,1)*10000-V256)</f>
        <v/>
      </c>
      <c r="X256" s="25">
        <f>IF(Q256=1,IF(SUBSTITUTE(SUBSTITUTE(SUBSTITUTE(SUBSTITUTE(SUBSTITUTE(SUBSTITUTE(SUBSTITUTE(SUBSTITUTE(SUBSTITUTE(SUBSTITUTE(SUBSTITUTE(SUBSTITUTE(LOWER(TRIM(A256)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256)),"á","a"),"é","e"),"í","i"),"ó","o"),"ú","u"),"ü","u"),"ñ","n"),"à","a"),"è","e"),"ì","i"),"ò","o"),"ù","u")),"")</f>
        <v/>
      </c>
      <c r="Y256" s="25">
        <f>IF(X256="","",IF(IFERROR(COUNTIF(X$3:X256,"="&amp;SUBSTITUTE(SUBSTITUTE(SUBSTITUTE(X256,"~","~~"),"*","~*"),"?","~?")),0)=1,1,""))</f>
        <v/>
      </c>
      <c r="Z256" s="25">
        <f>IF(T256=1,MAX(Z$2:Z255)+1,"")</f>
        <v/>
      </c>
    </row>
    <row r="257">
      <c r="A257">
        <f>IF(A$2=0,"",IFERROR(TRIM(INDEX('Pegar calibracion'!$A$1:$BZ$1001,256,A$2)&amp;""),""))</f>
        <v/>
      </c>
      <c r="B257">
        <f>IF(B$2=0,"",IFERROR(TRIM(INDEX('Pegar calibracion'!$A$1:$BZ$1001,256,B$2)&amp;""),""))</f>
        <v/>
      </c>
      <c r="C257">
        <f>IF(C$2=0,"",IFERROR(TRIM(INDEX('Pegar calibracion'!$A$1:$BZ$1001,256,C$2)&amp;""),""))</f>
        <v/>
      </c>
      <c r="D257">
        <f>IF(D$2=0,"",IFERROR(TRIM(INDEX('Pegar calibracion'!$A$1:$BZ$1001,256,D$2)&amp;""),""))</f>
        <v/>
      </c>
      <c r="E257">
        <f>IF(E$2=0,"",IFERROR(TRIM(INDEX('Pegar calibracion'!$A$1:$BZ$1001,256,E$2)&amp;""),""))</f>
        <v/>
      </c>
      <c r="F257">
        <f>IF(F$2=0,"",IFERROR(TRIM(INDEX('Pegar calibracion'!$A$1:$BZ$1001,256,F$2)&amp;""),""))</f>
        <v/>
      </c>
      <c r="G257">
        <f>IF(G$2=0,"",IFERROR(TRIM(INDEX('Pegar calibracion'!$A$1:$BZ$1001,256,G$2)&amp;""),""))</f>
        <v/>
      </c>
      <c r="H257">
        <f>IF(H$2=0,"",IFERROR(TRIM(INDEX('Pegar calibracion'!$A$1:$BZ$1001,256,H$2)&amp;""),""))</f>
        <v/>
      </c>
      <c r="I257">
        <f>IF(I$2=0,"",IFERROR(TRIM(INDEX('Pegar calibracion'!$A$1:$BZ$1001,256,I$2)&amp;""),""))</f>
        <v/>
      </c>
      <c r="J257">
        <f>IF(J$2=0,"",IFERROR(TRIM(INDEX('Pegar calibracion'!$A$1:$BZ$1001,256,J$2)&amp;""),""))</f>
        <v/>
      </c>
      <c r="K257">
        <f>IF(K$2=0,"",IFERROR(TRIM(INDEX('Pegar calibracion'!$A$1:$BZ$1001,256,K$2)&amp;""),""))</f>
        <v/>
      </c>
      <c r="L257">
        <f>IF(L$2=0,"",IFERROR(TRIM(INDEX('Pegar calibracion'!$A$1:$BZ$1001,256,L$2)&amp;""),""))</f>
        <v/>
      </c>
      <c r="M257" s="25">
        <f>IF(D257="","",SUBSTITUTE(SUBSTITUTE(SUBSTITUTE(SUBSTITUTE(SUBSTITUTE(SUBSTITUTE(SUBSTITUTE(SUBSTITUTE(SUBSTITUTE(SUBSTITUTE(SUBSTITUTE(SUBSTITUTE(LOWER(TRIM(D257)),"á","a"),"é","e"),"í","i"),"ó","o"),"ú","u"),"ü","u"),"ñ","n"),"à","a"),"è","e"),"ì","i"),"ò","o"),"ù","u"))</f>
        <v/>
      </c>
      <c r="N257" s="25">
        <f>IF(F257="","",SUBSTITUTE(SUBSTITUTE(SUBSTITUTE(SUBSTITUTE(SUBSTITUTE(SUBSTITUTE(SUBSTITUTE(SUBSTITUTE(SUBSTITUTE(SUBSTITUTE(SUBSTITUTE(SUBSTITUTE(LOWER(TRIM(F257)),"á","a"),"é","e"),"í","i"),"ó","o"),"ú","u"),"ü","u"),"ñ","n"),"à","a"),"è","e"),"ì","i"),"ò","o"),"ù","u"))</f>
        <v/>
      </c>
      <c r="O257" s="25">
        <f>IF(M257="confiable",2,IF(M257="dudosa",1,IF(M257="no confiable",0,"")))</f>
        <v/>
      </c>
      <c r="P257" s="25">
        <f>IF(N257="confiable",2,IF(N257="dudosa",1,IF(N257="no confiable",0,"")))</f>
        <v/>
      </c>
      <c r="Q257" s="25">
        <f>IF(AND(ISNUMBER(O257),ISNUMBER(P257)),1,"")</f>
        <v/>
      </c>
      <c r="R257" s="25">
        <f>IF(Q257=1,IF(O257=P257,"Sí","No"),"")</f>
        <v/>
      </c>
      <c r="S257" s="25">
        <f>IF(Q257=1,IF(P257&lt;O257,"Más estricto",IF(P257&gt;O257,"Más permisivo","Igual")),"")</f>
        <v/>
      </c>
      <c r="T257" s="25">
        <f>IF(Q257=1,IF(ABS(O257-P257)=2,1,0),"")</f>
        <v/>
      </c>
      <c r="U257" s="25">
        <f>IF(H257="","","|"&amp;SUBSTITUTE(SUBSTITUTE(TRIM(H257)," |","|"),"| ","|")&amp;"|")</f>
        <v/>
      </c>
      <c r="V257" s="25">
        <f>IF(AND(Q257=1,B257&lt;&gt;""),IF(IFERROR(COUNTIFS(B$3:B257,"="&amp;SUBSTITUTE(SUBSTITUTE(SUBSTITUTE(B257,"~","~~"),"*","~*"),"?","~?"),Q$3:Q257,1),0)=1,MAX(V$2:V256)+1,""),"")</f>
        <v/>
      </c>
      <c r="W257" s="25">
        <f>IF(V257="","",COUNTIFS($B$3:$B$1002,"="&amp;SUBSTITUTE(SUBSTITUTE(SUBSTITUTE(B257,"~","~~"),"*","~*"),"?","~?"),$Q$3:$Q$1002,1)*10000-V257)</f>
        <v/>
      </c>
      <c r="X257" s="25">
        <f>IF(Q257=1,IF(SUBSTITUTE(SUBSTITUTE(SUBSTITUTE(SUBSTITUTE(SUBSTITUTE(SUBSTITUTE(SUBSTITUTE(SUBSTITUTE(SUBSTITUTE(SUBSTITUTE(SUBSTITUTE(SUBSTITUTE(LOWER(TRIM(A257)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257)),"á","a"),"é","e"),"í","i"),"ó","o"),"ú","u"),"ü","u"),"ñ","n"),"à","a"),"è","e"),"ì","i"),"ò","o"),"ù","u")),"")</f>
        <v/>
      </c>
      <c r="Y257" s="25">
        <f>IF(X257="","",IF(IFERROR(COUNTIF(X$3:X257,"="&amp;SUBSTITUTE(SUBSTITUTE(SUBSTITUTE(X257,"~","~~"),"*","~*"),"?","~?")),0)=1,1,""))</f>
        <v/>
      </c>
      <c r="Z257" s="25">
        <f>IF(T257=1,MAX(Z$2:Z256)+1,"")</f>
        <v/>
      </c>
    </row>
    <row r="258">
      <c r="A258">
        <f>IF(A$2=0,"",IFERROR(TRIM(INDEX('Pegar calibracion'!$A$1:$BZ$1001,257,A$2)&amp;""),""))</f>
        <v/>
      </c>
      <c r="B258">
        <f>IF(B$2=0,"",IFERROR(TRIM(INDEX('Pegar calibracion'!$A$1:$BZ$1001,257,B$2)&amp;""),""))</f>
        <v/>
      </c>
      <c r="C258">
        <f>IF(C$2=0,"",IFERROR(TRIM(INDEX('Pegar calibracion'!$A$1:$BZ$1001,257,C$2)&amp;""),""))</f>
        <v/>
      </c>
      <c r="D258">
        <f>IF(D$2=0,"",IFERROR(TRIM(INDEX('Pegar calibracion'!$A$1:$BZ$1001,257,D$2)&amp;""),""))</f>
        <v/>
      </c>
      <c r="E258">
        <f>IF(E$2=0,"",IFERROR(TRIM(INDEX('Pegar calibracion'!$A$1:$BZ$1001,257,E$2)&amp;""),""))</f>
        <v/>
      </c>
      <c r="F258">
        <f>IF(F$2=0,"",IFERROR(TRIM(INDEX('Pegar calibracion'!$A$1:$BZ$1001,257,F$2)&amp;""),""))</f>
        <v/>
      </c>
      <c r="G258">
        <f>IF(G$2=0,"",IFERROR(TRIM(INDEX('Pegar calibracion'!$A$1:$BZ$1001,257,G$2)&amp;""),""))</f>
        <v/>
      </c>
      <c r="H258">
        <f>IF(H$2=0,"",IFERROR(TRIM(INDEX('Pegar calibracion'!$A$1:$BZ$1001,257,H$2)&amp;""),""))</f>
        <v/>
      </c>
      <c r="I258">
        <f>IF(I$2=0,"",IFERROR(TRIM(INDEX('Pegar calibracion'!$A$1:$BZ$1001,257,I$2)&amp;""),""))</f>
        <v/>
      </c>
      <c r="J258">
        <f>IF(J$2=0,"",IFERROR(TRIM(INDEX('Pegar calibracion'!$A$1:$BZ$1001,257,J$2)&amp;""),""))</f>
        <v/>
      </c>
      <c r="K258">
        <f>IF(K$2=0,"",IFERROR(TRIM(INDEX('Pegar calibracion'!$A$1:$BZ$1001,257,K$2)&amp;""),""))</f>
        <v/>
      </c>
      <c r="L258">
        <f>IF(L$2=0,"",IFERROR(TRIM(INDEX('Pegar calibracion'!$A$1:$BZ$1001,257,L$2)&amp;""),""))</f>
        <v/>
      </c>
      <c r="M258" s="25">
        <f>IF(D258="","",SUBSTITUTE(SUBSTITUTE(SUBSTITUTE(SUBSTITUTE(SUBSTITUTE(SUBSTITUTE(SUBSTITUTE(SUBSTITUTE(SUBSTITUTE(SUBSTITUTE(SUBSTITUTE(SUBSTITUTE(LOWER(TRIM(D258)),"á","a"),"é","e"),"í","i"),"ó","o"),"ú","u"),"ü","u"),"ñ","n"),"à","a"),"è","e"),"ì","i"),"ò","o"),"ù","u"))</f>
        <v/>
      </c>
      <c r="N258" s="25">
        <f>IF(F258="","",SUBSTITUTE(SUBSTITUTE(SUBSTITUTE(SUBSTITUTE(SUBSTITUTE(SUBSTITUTE(SUBSTITUTE(SUBSTITUTE(SUBSTITUTE(SUBSTITUTE(SUBSTITUTE(SUBSTITUTE(LOWER(TRIM(F258)),"á","a"),"é","e"),"í","i"),"ó","o"),"ú","u"),"ü","u"),"ñ","n"),"à","a"),"è","e"),"ì","i"),"ò","o"),"ù","u"))</f>
        <v/>
      </c>
      <c r="O258" s="25">
        <f>IF(M258="confiable",2,IF(M258="dudosa",1,IF(M258="no confiable",0,"")))</f>
        <v/>
      </c>
      <c r="P258" s="25">
        <f>IF(N258="confiable",2,IF(N258="dudosa",1,IF(N258="no confiable",0,"")))</f>
        <v/>
      </c>
      <c r="Q258" s="25">
        <f>IF(AND(ISNUMBER(O258),ISNUMBER(P258)),1,"")</f>
        <v/>
      </c>
      <c r="R258" s="25">
        <f>IF(Q258=1,IF(O258=P258,"Sí","No"),"")</f>
        <v/>
      </c>
      <c r="S258" s="25">
        <f>IF(Q258=1,IF(P258&lt;O258,"Más estricto",IF(P258&gt;O258,"Más permisivo","Igual")),"")</f>
        <v/>
      </c>
      <c r="T258" s="25">
        <f>IF(Q258=1,IF(ABS(O258-P258)=2,1,0),"")</f>
        <v/>
      </c>
      <c r="U258" s="25">
        <f>IF(H258="","","|"&amp;SUBSTITUTE(SUBSTITUTE(TRIM(H258)," |","|"),"| ","|")&amp;"|")</f>
        <v/>
      </c>
      <c r="V258" s="25">
        <f>IF(AND(Q258=1,B258&lt;&gt;""),IF(IFERROR(COUNTIFS(B$3:B258,"="&amp;SUBSTITUTE(SUBSTITUTE(SUBSTITUTE(B258,"~","~~"),"*","~*"),"?","~?"),Q$3:Q258,1),0)=1,MAX(V$2:V257)+1,""),"")</f>
        <v/>
      </c>
      <c r="W258" s="25">
        <f>IF(V258="","",COUNTIFS($B$3:$B$1002,"="&amp;SUBSTITUTE(SUBSTITUTE(SUBSTITUTE(B258,"~","~~"),"*","~*"),"?","~?"),$Q$3:$Q$1002,1)*10000-V258)</f>
        <v/>
      </c>
      <c r="X258" s="25">
        <f>IF(Q258=1,IF(SUBSTITUTE(SUBSTITUTE(SUBSTITUTE(SUBSTITUTE(SUBSTITUTE(SUBSTITUTE(SUBSTITUTE(SUBSTITUTE(SUBSTITUTE(SUBSTITUTE(SUBSTITUTE(SUBSTITUTE(LOWER(TRIM(A258)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258)),"á","a"),"é","e"),"í","i"),"ó","o"),"ú","u"),"ü","u"),"ñ","n"),"à","a"),"è","e"),"ì","i"),"ò","o"),"ù","u")),"")</f>
        <v/>
      </c>
      <c r="Y258" s="25">
        <f>IF(X258="","",IF(IFERROR(COUNTIF(X$3:X258,"="&amp;SUBSTITUTE(SUBSTITUTE(SUBSTITUTE(X258,"~","~~"),"*","~*"),"?","~?")),0)=1,1,""))</f>
        <v/>
      </c>
      <c r="Z258" s="25">
        <f>IF(T258=1,MAX(Z$2:Z257)+1,"")</f>
        <v/>
      </c>
    </row>
    <row r="259">
      <c r="A259">
        <f>IF(A$2=0,"",IFERROR(TRIM(INDEX('Pegar calibracion'!$A$1:$BZ$1001,258,A$2)&amp;""),""))</f>
        <v/>
      </c>
      <c r="B259">
        <f>IF(B$2=0,"",IFERROR(TRIM(INDEX('Pegar calibracion'!$A$1:$BZ$1001,258,B$2)&amp;""),""))</f>
        <v/>
      </c>
      <c r="C259">
        <f>IF(C$2=0,"",IFERROR(TRIM(INDEX('Pegar calibracion'!$A$1:$BZ$1001,258,C$2)&amp;""),""))</f>
        <v/>
      </c>
      <c r="D259">
        <f>IF(D$2=0,"",IFERROR(TRIM(INDEX('Pegar calibracion'!$A$1:$BZ$1001,258,D$2)&amp;""),""))</f>
        <v/>
      </c>
      <c r="E259">
        <f>IF(E$2=0,"",IFERROR(TRIM(INDEX('Pegar calibracion'!$A$1:$BZ$1001,258,E$2)&amp;""),""))</f>
        <v/>
      </c>
      <c r="F259">
        <f>IF(F$2=0,"",IFERROR(TRIM(INDEX('Pegar calibracion'!$A$1:$BZ$1001,258,F$2)&amp;""),""))</f>
        <v/>
      </c>
      <c r="G259">
        <f>IF(G$2=0,"",IFERROR(TRIM(INDEX('Pegar calibracion'!$A$1:$BZ$1001,258,G$2)&amp;""),""))</f>
        <v/>
      </c>
      <c r="H259">
        <f>IF(H$2=0,"",IFERROR(TRIM(INDEX('Pegar calibracion'!$A$1:$BZ$1001,258,H$2)&amp;""),""))</f>
        <v/>
      </c>
      <c r="I259">
        <f>IF(I$2=0,"",IFERROR(TRIM(INDEX('Pegar calibracion'!$A$1:$BZ$1001,258,I$2)&amp;""),""))</f>
        <v/>
      </c>
      <c r="J259">
        <f>IF(J$2=0,"",IFERROR(TRIM(INDEX('Pegar calibracion'!$A$1:$BZ$1001,258,J$2)&amp;""),""))</f>
        <v/>
      </c>
      <c r="K259">
        <f>IF(K$2=0,"",IFERROR(TRIM(INDEX('Pegar calibracion'!$A$1:$BZ$1001,258,K$2)&amp;""),""))</f>
        <v/>
      </c>
      <c r="L259">
        <f>IF(L$2=0,"",IFERROR(TRIM(INDEX('Pegar calibracion'!$A$1:$BZ$1001,258,L$2)&amp;""),""))</f>
        <v/>
      </c>
      <c r="M259" s="25">
        <f>IF(D259="","",SUBSTITUTE(SUBSTITUTE(SUBSTITUTE(SUBSTITUTE(SUBSTITUTE(SUBSTITUTE(SUBSTITUTE(SUBSTITUTE(SUBSTITUTE(SUBSTITUTE(SUBSTITUTE(SUBSTITUTE(LOWER(TRIM(D259)),"á","a"),"é","e"),"í","i"),"ó","o"),"ú","u"),"ü","u"),"ñ","n"),"à","a"),"è","e"),"ì","i"),"ò","o"),"ù","u"))</f>
        <v/>
      </c>
      <c r="N259" s="25">
        <f>IF(F259="","",SUBSTITUTE(SUBSTITUTE(SUBSTITUTE(SUBSTITUTE(SUBSTITUTE(SUBSTITUTE(SUBSTITUTE(SUBSTITUTE(SUBSTITUTE(SUBSTITUTE(SUBSTITUTE(SUBSTITUTE(LOWER(TRIM(F259)),"á","a"),"é","e"),"í","i"),"ó","o"),"ú","u"),"ü","u"),"ñ","n"),"à","a"),"è","e"),"ì","i"),"ò","o"),"ù","u"))</f>
        <v/>
      </c>
      <c r="O259" s="25">
        <f>IF(M259="confiable",2,IF(M259="dudosa",1,IF(M259="no confiable",0,"")))</f>
        <v/>
      </c>
      <c r="P259" s="25">
        <f>IF(N259="confiable",2,IF(N259="dudosa",1,IF(N259="no confiable",0,"")))</f>
        <v/>
      </c>
      <c r="Q259" s="25">
        <f>IF(AND(ISNUMBER(O259),ISNUMBER(P259)),1,"")</f>
        <v/>
      </c>
      <c r="R259" s="25">
        <f>IF(Q259=1,IF(O259=P259,"Sí","No"),"")</f>
        <v/>
      </c>
      <c r="S259" s="25">
        <f>IF(Q259=1,IF(P259&lt;O259,"Más estricto",IF(P259&gt;O259,"Más permisivo","Igual")),"")</f>
        <v/>
      </c>
      <c r="T259" s="25">
        <f>IF(Q259=1,IF(ABS(O259-P259)=2,1,0),"")</f>
        <v/>
      </c>
      <c r="U259" s="25">
        <f>IF(H259="","","|"&amp;SUBSTITUTE(SUBSTITUTE(TRIM(H259)," |","|"),"| ","|")&amp;"|")</f>
        <v/>
      </c>
      <c r="V259" s="25">
        <f>IF(AND(Q259=1,B259&lt;&gt;""),IF(IFERROR(COUNTIFS(B$3:B259,"="&amp;SUBSTITUTE(SUBSTITUTE(SUBSTITUTE(B259,"~","~~"),"*","~*"),"?","~?"),Q$3:Q259,1),0)=1,MAX(V$2:V258)+1,""),"")</f>
        <v/>
      </c>
      <c r="W259" s="25">
        <f>IF(V259="","",COUNTIFS($B$3:$B$1002,"="&amp;SUBSTITUTE(SUBSTITUTE(SUBSTITUTE(B259,"~","~~"),"*","~*"),"?","~?"),$Q$3:$Q$1002,1)*10000-V259)</f>
        <v/>
      </c>
      <c r="X259" s="25">
        <f>IF(Q259=1,IF(SUBSTITUTE(SUBSTITUTE(SUBSTITUTE(SUBSTITUTE(SUBSTITUTE(SUBSTITUTE(SUBSTITUTE(SUBSTITUTE(SUBSTITUTE(SUBSTITUTE(SUBSTITUTE(SUBSTITUTE(LOWER(TRIM(A259)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259)),"á","a"),"é","e"),"í","i"),"ó","o"),"ú","u"),"ü","u"),"ñ","n"),"à","a"),"è","e"),"ì","i"),"ò","o"),"ù","u")),"")</f>
        <v/>
      </c>
      <c r="Y259" s="25">
        <f>IF(X259="","",IF(IFERROR(COUNTIF(X$3:X259,"="&amp;SUBSTITUTE(SUBSTITUTE(SUBSTITUTE(X259,"~","~~"),"*","~*"),"?","~?")),0)=1,1,""))</f>
        <v/>
      </c>
      <c r="Z259" s="25">
        <f>IF(T259=1,MAX(Z$2:Z258)+1,"")</f>
        <v/>
      </c>
    </row>
    <row r="260">
      <c r="A260">
        <f>IF(A$2=0,"",IFERROR(TRIM(INDEX('Pegar calibracion'!$A$1:$BZ$1001,259,A$2)&amp;""),""))</f>
        <v/>
      </c>
      <c r="B260">
        <f>IF(B$2=0,"",IFERROR(TRIM(INDEX('Pegar calibracion'!$A$1:$BZ$1001,259,B$2)&amp;""),""))</f>
        <v/>
      </c>
      <c r="C260">
        <f>IF(C$2=0,"",IFERROR(TRIM(INDEX('Pegar calibracion'!$A$1:$BZ$1001,259,C$2)&amp;""),""))</f>
        <v/>
      </c>
      <c r="D260">
        <f>IF(D$2=0,"",IFERROR(TRIM(INDEX('Pegar calibracion'!$A$1:$BZ$1001,259,D$2)&amp;""),""))</f>
        <v/>
      </c>
      <c r="E260">
        <f>IF(E$2=0,"",IFERROR(TRIM(INDEX('Pegar calibracion'!$A$1:$BZ$1001,259,E$2)&amp;""),""))</f>
        <v/>
      </c>
      <c r="F260">
        <f>IF(F$2=0,"",IFERROR(TRIM(INDEX('Pegar calibracion'!$A$1:$BZ$1001,259,F$2)&amp;""),""))</f>
        <v/>
      </c>
      <c r="G260">
        <f>IF(G$2=0,"",IFERROR(TRIM(INDEX('Pegar calibracion'!$A$1:$BZ$1001,259,G$2)&amp;""),""))</f>
        <v/>
      </c>
      <c r="H260">
        <f>IF(H$2=0,"",IFERROR(TRIM(INDEX('Pegar calibracion'!$A$1:$BZ$1001,259,H$2)&amp;""),""))</f>
        <v/>
      </c>
      <c r="I260">
        <f>IF(I$2=0,"",IFERROR(TRIM(INDEX('Pegar calibracion'!$A$1:$BZ$1001,259,I$2)&amp;""),""))</f>
        <v/>
      </c>
      <c r="J260">
        <f>IF(J$2=0,"",IFERROR(TRIM(INDEX('Pegar calibracion'!$A$1:$BZ$1001,259,J$2)&amp;""),""))</f>
        <v/>
      </c>
      <c r="K260">
        <f>IF(K$2=0,"",IFERROR(TRIM(INDEX('Pegar calibracion'!$A$1:$BZ$1001,259,K$2)&amp;""),""))</f>
        <v/>
      </c>
      <c r="L260">
        <f>IF(L$2=0,"",IFERROR(TRIM(INDEX('Pegar calibracion'!$A$1:$BZ$1001,259,L$2)&amp;""),""))</f>
        <v/>
      </c>
      <c r="M260" s="25">
        <f>IF(D260="","",SUBSTITUTE(SUBSTITUTE(SUBSTITUTE(SUBSTITUTE(SUBSTITUTE(SUBSTITUTE(SUBSTITUTE(SUBSTITUTE(SUBSTITUTE(SUBSTITUTE(SUBSTITUTE(SUBSTITUTE(LOWER(TRIM(D260)),"á","a"),"é","e"),"í","i"),"ó","o"),"ú","u"),"ü","u"),"ñ","n"),"à","a"),"è","e"),"ì","i"),"ò","o"),"ù","u"))</f>
        <v/>
      </c>
      <c r="N260" s="25">
        <f>IF(F260="","",SUBSTITUTE(SUBSTITUTE(SUBSTITUTE(SUBSTITUTE(SUBSTITUTE(SUBSTITUTE(SUBSTITUTE(SUBSTITUTE(SUBSTITUTE(SUBSTITUTE(SUBSTITUTE(SUBSTITUTE(LOWER(TRIM(F260)),"á","a"),"é","e"),"í","i"),"ó","o"),"ú","u"),"ü","u"),"ñ","n"),"à","a"),"è","e"),"ì","i"),"ò","o"),"ù","u"))</f>
        <v/>
      </c>
      <c r="O260" s="25">
        <f>IF(M260="confiable",2,IF(M260="dudosa",1,IF(M260="no confiable",0,"")))</f>
        <v/>
      </c>
      <c r="P260" s="25">
        <f>IF(N260="confiable",2,IF(N260="dudosa",1,IF(N260="no confiable",0,"")))</f>
        <v/>
      </c>
      <c r="Q260" s="25">
        <f>IF(AND(ISNUMBER(O260),ISNUMBER(P260)),1,"")</f>
        <v/>
      </c>
      <c r="R260" s="25">
        <f>IF(Q260=1,IF(O260=P260,"Sí","No"),"")</f>
        <v/>
      </c>
      <c r="S260" s="25">
        <f>IF(Q260=1,IF(P260&lt;O260,"Más estricto",IF(P260&gt;O260,"Más permisivo","Igual")),"")</f>
        <v/>
      </c>
      <c r="T260" s="25">
        <f>IF(Q260=1,IF(ABS(O260-P260)=2,1,0),"")</f>
        <v/>
      </c>
      <c r="U260" s="25">
        <f>IF(H260="","","|"&amp;SUBSTITUTE(SUBSTITUTE(TRIM(H260)," |","|"),"| ","|")&amp;"|")</f>
        <v/>
      </c>
      <c r="V260" s="25">
        <f>IF(AND(Q260=1,B260&lt;&gt;""),IF(IFERROR(COUNTIFS(B$3:B260,"="&amp;SUBSTITUTE(SUBSTITUTE(SUBSTITUTE(B260,"~","~~"),"*","~*"),"?","~?"),Q$3:Q260,1),0)=1,MAX(V$2:V259)+1,""),"")</f>
        <v/>
      </c>
      <c r="W260" s="25">
        <f>IF(V260="","",COUNTIFS($B$3:$B$1002,"="&amp;SUBSTITUTE(SUBSTITUTE(SUBSTITUTE(B260,"~","~~"),"*","~*"),"?","~?"),$Q$3:$Q$1002,1)*10000-V260)</f>
        <v/>
      </c>
      <c r="X260" s="25">
        <f>IF(Q260=1,IF(SUBSTITUTE(SUBSTITUTE(SUBSTITUTE(SUBSTITUTE(SUBSTITUTE(SUBSTITUTE(SUBSTITUTE(SUBSTITUTE(SUBSTITUTE(SUBSTITUTE(SUBSTITUTE(SUBSTITUTE(LOWER(TRIM(A260)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260)),"á","a"),"é","e"),"í","i"),"ó","o"),"ú","u"),"ü","u"),"ñ","n"),"à","a"),"è","e"),"ì","i"),"ò","o"),"ù","u")),"")</f>
        <v/>
      </c>
      <c r="Y260" s="25">
        <f>IF(X260="","",IF(IFERROR(COUNTIF(X$3:X260,"="&amp;SUBSTITUTE(SUBSTITUTE(SUBSTITUTE(X260,"~","~~"),"*","~*"),"?","~?")),0)=1,1,""))</f>
        <v/>
      </c>
      <c r="Z260" s="25">
        <f>IF(T260=1,MAX(Z$2:Z259)+1,"")</f>
        <v/>
      </c>
    </row>
    <row r="261">
      <c r="A261">
        <f>IF(A$2=0,"",IFERROR(TRIM(INDEX('Pegar calibracion'!$A$1:$BZ$1001,260,A$2)&amp;""),""))</f>
        <v/>
      </c>
      <c r="B261">
        <f>IF(B$2=0,"",IFERROR(TRIM(INDEX('Pegar calibracion'!$A$1:$BZ$1001,260,B$2)&amp;""),""))</f>
        <v/>
      </c>
      <c r="C261">
        <f>IF(C$2=0,"",IFERROR(TRIM(INDEX('Pegar calibracion'!$A$1:$BZ$1001,260,C$2)&amp;""),""))</f>
        <v/>
      </c>
      <c r="D261">
        <f>IF(D$2=0,"",IFERROR(TRIM(INDEX('Pegar calibracion'!$A$1:$BZ$1001,260,D$2)&amp;""),""))</f>
        <v/>
      </c>
      <c r="E261">
        <f>IF(E$2=0,"",IFERROR(TRIM(INDEX('Pegar calibracion'!$A$1:$BZ$1001,260,E$2)&amp;""),""))</f>
        <v/>
      </c>
      <c r="F261">
        <f>IF(F$2=0,"",IFERROR(TRIM(INDEX('Pegar calibracion'!$A$1:$BZ$1001,260,F$2)&amp;""),""))</f>
        <v/>
      </c>
      <c r="G261">
        <f>IF(G$2=0,"",IFERROR(TRIM(INDEX('Pegar calibracion'!$A$1:$BZ$1001,260,G$2)&amp;""),""))</f>
        <v/>
      </c>
      <c r="H261">
        <f>IF(H$2=0,"",IFERROR(TRIM(INDEX('Pegar calibracion'!$A$1:$BZ$1001,260,H$2)&amp;""),""))</f>
        <v/>
      </c>
      <c r="I261">
        <f>IF(I$2=0,"",IFERROR(TRIM(INDEX('Pegar calibracion'!$A$1:$BZ$1001,260,I$2)&amp;""),""))</f>
        <v/>
      </c>
      <c r="J261">
        <f>IF(J$2=0,"",IFERROR(TRIM(INDEX('Pegar calibracion'!$A$1:$BZ$1001,260,J$2)&amp;""),""))</f>
        <v/>
      </c>
      <c r="K261">
        <f>IF(K$2=0,"",IFERROR(TRIM(INDEX('Pegar calibracion'!$A$1:$BZ$1001,260,K$2)&amp;""),""))</f>
        <v/>
      </c>
      <c r="L261">
        <f>IF(L$2=0,"",IFERROR(TRIM(INDEX('Pegar calibracion'!$A$1:$BZ$1001,260,L$2)&amp;""),""))</f>
        <v/>
      </c>
      <c r="M261" s="25">
        <f>IF(D261="","",SUBSTITUTE(SUBSTITUTE(SUBSTITUTE(SUBSTITUTE(SUBSTITUTE(SUBSTITUTE(SUBSTITUTE(SUBSTITUTE(SUBSTITUTE(SUBSTITUTE(SUBSTITUTE(SUBSTITUTE(LOWER(TRIM(D261)),"á","a"),"é","e"),"í","i"),"ó","o"),"ú","u"),"ü","u"),"ñ","n"),"à","a"),"è","e"),"ì","i"),"ò","o"),"ù","u"))</f>
        <v/>
      </c>
      <c r="N261" s="25">
        <f>IF(F261="","",SUBSTITUTE(SUBSTITUTE(SUBSTITUTE(SUBSTITUTE(SUBSTITUTE(SUBSTITUTE(SUBSTITUTE(SUBSTITUTE(SUBSTITUTE(SUBSTITUTE(SUBSTITUTE(SUBSTITUTE(LOWER(TRIM(F261)),"á","a"),"é","e"),"í","i"),"ó","o"),"ú","u"),"ü","u"),"ñ","n"),"à","a"),"è","e"),"ì","i"),"ò","o"),"ù","u"))</f>
        <v/>
      </c>
      <c r="O261" s="25">
        <f>IF(M261="confiable",2,IF(M261="dudosa",1,IF(M261="no confiable",0,"")))</f>
        <v/>
      </c>
      <c r="P261" s="25">
        <f>IF(N261="confiable",2,IF(N261="dudosa",1,IF(N261="no confiable",0,"")))</f>
        <v/>
      </c>
      <c r="Q261" s="25">
        <f>IF(AND(ISNUMBER(O261),ISNUMBER(P261)),1,"")</f>
        <v/>
      </c>
      <c r="R261" s="25">
        <f>IF(Q261=1,IF(O261=P261,"Sí","No"),"")</f>
        <v/>
      </c>
      <c r="S261" s="25">
        <f>IF(Q261=1,IF(P261&lt;O261,"Más estricto",IF(P261&gt;O261,"Más permisivo","Igual")),"")</f>
        <v/>
      </c>
      <c r="T261" s="25">
        <f>IF(Q261=1,IF(ABS(O261-P261)=2,1,0),"")</f>
        <v/>
      </c>
      <c r="U261" s="25">
        <f>IF(H261="","","|"&amp;SUBSTITUTE(SUBSTITUTE(TRIM(H261)," |","|"),"| ","|")&amp;"|")</f>
        <v/>
      </c>
      <c r="V261" s="25">
        <f>IF(AND(Q261=1,B261&lt;&gt;""),IF(IFERROR(COUNTIFS(B$3:B261,"="&amp;SUBSTITUTE(SUBSTITUTE(SUBSTITUTE(B261,"~","~~"),"*","~*"),"?","~?"),Q$3:Q261,1),0)=1,MAX(V$2:V260)+1,""),"")</f>
        <v/>
      </c>
      <c r="W261" s="25">
        <f>IF(V261="","",COUNTIFS($B$3:$B$1002,"="&amp;SUBSTITUTE(SUBSTITUTE(SUBSTITUTE(B261,"~","~~"),"*","~*"),"?","~?"),$Q$3:$Q$1002,1)*10000-V261)</f>
        <v/>
      </c>
      <c r="X261" s="25">
        <f>IF(Q261=1,IF(SUBSTITUTE(SUBSTITUTE(SUBSTITUTE(SUBSTITUTE(SUBSTITUTE(SUBSTITUTE(SUBSTITUTE(SUBSTITUTE(SUBSTITUTE(SUBSTITUTE(SUBSTITUTE(SUBSTITUTE(LOWER(TRIM(A261)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261)),"á","a"),"é","e"),"í","i"),"ó","o"),"ú","u"),"ü","u"),"ñ","n"),"à","a"),"è","e"),"ì","i"),"ò","o"),"ù","u")),"")</f>
        <v/>
      </c>
      <c r="Y261" s="25">
        <f>IF(X261="","",IF(IFERROR(COUNTIF(X$3:X261,"="&amp;SUBSTITUTE(SUBSTITUTE(SUBSTITUTE(X261,"~","~~"),"*","~*"),"?","~?")),0)=1,1,""))</f>
        <v/>
      </c>
      <c r="Z261" s="25">
        <f>IF(T261=1,MAX(Z$2:Z260)+1,"")</f>
        <v/>
      </c>
    </row>
    <row r="262">
      <c r="A262">
        <f>IF(A$2=0,"",IFERROR(TRIM(INDEX('Pegar calibracion'!$A$1:$BZ$1001,261,A$2)&amp;""),""))</f>
        <v/>
      </c>
      <c r="B262">
        <f>IF(B$2=0,"",IFERROR(TRIM(INDEX('Pegar calibracion'!$A$1:$BZ$1001,261,B$2)&amp;""),""))</f>
        <v/>
      </c>
      <c r="C262">
        <f>IF(C$2=0,"",IFERROR(TRIM(INDEX('Pegar calibracion'!$A$1:$BZ$1001,261,C$2)&amp;""),""))</f>
        <v/>
      </c>
      <c r="D262">
        <f>IF(D$2=0,"",IFERROR(TRIM(INDEX('Pegar calibracion'!$A$1:$BZ$1001,261,D$2)&amp;""),""))</f>
        <v/>
      </c>
      <c r="E262">
        <f>IF(E$2=0,"",IFERROR(TRIM(INDEX('Pegar calibracion'!$A$1:$BZ$1001,261,E$2)&amp;""),""))</f>
        <v/>
      </c>
      <c r="F262">
        <f>IF(F$2=0,"",IFERROR(TRIM(INDEX('Pegar calibracion'!$A$1:$BZ$1001,261,F$2)&amp;""),""))</f>
        <v/>
      </c>
      <c r="G262">
        <f>IF(G$2=0,"",IFERROR(TRIM(INDEX('Pegar calibracion'!$A$1:$BZ$1001,261,G$2)&amp;""),""))</f>
        <v/>
      </c>
      <c r="H262">
        <f>IF(H$2=0,"",IFERROR(TRIM(INDEX('Pegar calibracion'!$A$1:$BZ$1001,261,H$2)&amp;""),""))</f>
        <v/>
      </c>
      <c r="I262">
        <f>IF(I$2=0,"",IFERROR(TRIM(INDEX('Pegar calibracion'!$A$1:$BZ$1001,261,I$2)&amp;""),""))</f>
        <v/>
      </c>
      <c r="J262">
        <f>IF(J$2=0,"",IFERROR(TRIM(INDEX('Pegar calibracion'!$A$1:$BZ$1001,261,J$2)&amp;""),""))</f>
        <v/>
      </c>
      <c r="K262">
        <f>IF(K$2=0,"",IFERROR(TRIM(INDEX('Pegar calibracion'!$A$1:$BZ$1001,261,K$2)&amp;""),""))</f>
        <v/>
      </c>
      <c r="L262">
        <f>IF(L$2=0,"",IFERROR(TRIM(INDEX('Pegar calibracion'!$A$1:$BZ$1001,261,L$2)&amp;""),""))</f>
        <v/>
      </c>
      <c r="M262" s="25">
        <f>IF(D262="","",SUBSTITUTE(SUBSTITUTE(SUBSTITUTE(SUBSTITUTE(SUBSTITUTE(SUBSTITUTE(SUBSTITUTE(SUBSTITUTE(SUBSTITUTE(SUBSTITUTE(SUBSTITUTE(SUBSTITUTE(LOWER(TRIM(D262)),"á","a"),"é","e"),"í","i"),"ó","o"),"ú","u"),"ü","u"),"ñ","n"),"à","a"),"è","e"),"ì","i"),"ò","o"),"ù","u"))</f>
        <v/>
      </c>
      <c r="N262" s="25">
        <f>IF(F262="","",SUBSTITUTE(SUBSTITUTE(SUBSTITUTE(SUBSTITUTE(SUBSTITUTE(SUBSTITUTE(SUBSTITUTE(SUBSTITUTE(SUBSTITUTE(SUBSTITUTE(SUBSTITUTE(SUBSTITUTE(LOWER(TRIM(F262)),"á","a"),"é","e"),"í","i"),"ó","o"),"ú","u"),"ü","u"),"ñ","n"),"à","a"),"è","e"),"ì","i"),"ò","o"),"ù","u"))</f>
        <v/>
      </c>
      <c r="O262" s="25">
        <f>IF(M262="confiable",2,IF(M262="dudosa",1,IF(M262="no confiable",0,"")))</f>
        <v/>
      </c>
      <c r="P262" s="25">
        <f>IF(N262="confiable",2,IF(N262="dudosa",1,IF(N262="no confiable",0,"")))</f>
        <v/>
      </c>
      <c r="Q262" s="25">
        <f>IF(AND(ISNUMBER(O262),ISNUMBER(P262)),1,"")</f>
        <v/>
      </c>
      <c r="R262" s="25">
        <f>IF(Q262=1,IF(O262=P262,"Sí","No"),"")</f>
        <v/>
      </c>
      <c r="S262" s="25">
        <f>IF(Q262=1,IF(P262&lt;O262,"Más estricto",IF(P262&gt;O262,"Más permisivo","Igual")),"")</f>
        <v/>
      </c>
      <c r="T262" s="25">
        <f>IF(Q262=1,IF(ABS(O262-P262)=2,1,0),"")</f>
        <v/>
      </c>
      <c r="U262" s="25">
        <f>IF(H262="","","|"&amp;SUBSTITUTE(SUBSTITUTE(TRIM(H262)," |","|"),"| ","|")&amp;"|")</f>
        <v/>
      </c>
      <c r="V262" s="25">
        <f>IF(AND(Q262=1,B262&lt;&gt;""),IF(IFERROR(COUNTIFS(B$3:B262,"="&amp;SUBSTITUTE(SUBSTITUTE(SUBSTITUTE(B262,"~","~~"),"*","~*"),"?","~?"),Q$3:Q262,1),0)=1,MAX(V$2:V261)+1,""),"")</f>
        <v/>
      </c>
      <c r="W262" s="25">
        <f>IF(V262="","",COUNTIFS($B$3:$B$1002,"="&amp;SUBSTITUTE(SUBSTITUTE(SUBSTITUTE(B262,"~","~~"),"*","~*"),"?","~?"),$Q$3:$Q$1002,1)*10000-V262)</f>
        <v/>
      </c>
      <c r="X262" s="25">
        <f>IF(Q262=1,IF(SUBSTITUTE(SUBSTITUTE(SUBSTITUTE(SUBSTITUTE(SUBSTITUTE(SUBSTITUTE(SUBSTITUTE(SUBSTITUTE(SUBSTITUTE(SUBSTITUTE(SUBSTITUTE(SUBSTITUTE(LOWER(TRIM(A262)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262)),"á","a"),"é","e"),"í","i"),"ó","o"),"ú","u"),"ü","u"),"ñ","n"),"à","a"),"è","e"),"ì","i"),"ò","o"),"ù","u")),"")</f>
        <v/>
      </c>
      <c r="Y262" s="25">
        <f>IF(X262="","",IF(IFERROR(COUNTIF(X$3:X262,"="&amp;SUBSTITUTE(SUBSTITUTE(SUBSTITUTE(X262,"~","~~"),"*","~*"),"?","~?")),0)=1,1,""))</f>
        <v/>
      </c>
      <c r="Z262" s="25">
        <f>IF(T262=1,MAX(Z$2:Z261)+1,"")</f>
        <v/>
      </c>
    </row>
    <row r="263">
      <c r="A263">
        <f>IF(A$2=0,"",IFERROR(TRIM(INDEX('Pegar calibracion'!$A$1:$BZ$1001,262,A$2)&amp;""),""))</f>
        <v/>
      </c>
      <c r="B263">
        <f>IF(B$2=0,"",IFERROR(TRIM(INDEX('Pegar calibracion'!$A$1:$BZ$1001,262,B$2)&amp;""),""))</f>
        <v/>
      </c>
      <c r="C263">
        <f>IF(C$2=0,"",IFERROR(TRIM(INDEX('Pegar calibracion'!$A$1:$BZ$1001,262,C$2)&amp;""),""))</f>
        <v/>
      </c>
      <c r="D263">
        <f>IF(D$2=0,"",IFERROR(TRIM(INDEX('Pegar calibracion'!$A$1:$BZ$1001,262,D$2)&amp;""),""))</f>
        <v/>
      </c>
      <c r="E263">
        <f>IF(E$2=0,"",IFERROR(TRIM(INDEX('Pegar calibracion'!$A$1:$BZ$1001,262,E$2)&amp;""),""))</f>
        <v/>
      </c>
      <c r="F263">
        <f>IF(F$2=0,"",IFERROR(TRIM(INDEX('Pegar calibracion'!$A$1:$BZ$1001,262,F$2)&amp;""),""))</f>
        <v/>
      </c>
      <c r="G263">
        <f>IF(G$2=0,"",IFERROR(TRIM(INDEX('Pegar calibracion'!$A$1:$BZ$1001,262,G$2)&amp;""),""))</f>
        <v/>
      </c>
      <c r="H263">
        <f>IF(H$2=0,"",IFERROR(TRIM(INDEX('Pegar calibracion'!$A$1:$BZ$1001,262,H$2)&amp;""),""))</f>
        <v/>
      </c>
      <c r="I263">
        <f>IF(I$2=0,"",IFERROR(TRIM(INDEX('Pegar calibracion'!$A$1:$BZ$1001,262,I$2)&amp;""),""))</f>
        <v/>
      </c>
      <c r="J263">
        <f>IF(J$2=0,"",IFERROR(TRIM(INDEX('Pegar calibracion'!$A$1:$BZ$1001,262,J$2)&amp;""),""))</f>
        <v/>
      </c>
      <c r="K263">
        <f>IF(K$2=0,"",IFERROR(TRIM(INDEX('Pegar calibracion'!$A$1:$BZ$1001,262,K$2)&amp;""),""))</f>
        <v/>
      </c>
      <c r="L263">
        <f>IF(L$2=0,"",IFERROR(TRIM(INDEX('Pegar calibracion'!$A$1:$BZ$1001,262,L$2)&amp;""),""))</f>
        <v/>
      </c>
      <c r="M263" s="25">
        <f>IF(D263="","",SUBSTITUTE(SUBSTITUTE(SUBSTITUTE(SUBSTITUTE(SUBSTITUTE(SUBSTITUTE(SUBSTITUTE(SUBSTITUTE(SUBSTITUTE(SUBSTITUTE(SUBSTITUTE(SUBSTITUTE(LOWER(TRIM(D263)),"á","a"),"é","e"),"í","i"),"ó","o"),"ú","u"),"ü","u"),"ñ","n"),"à","a"),"è","e"),"ì","i"),"ò","o"),"ù","u"))</f>
        <v/>
      </c>
      <c r="N263" s="25">
        <f>IF(F263="","",SUBSTITUTE(SUBSTITUTE(SUBSTITUTE(SUBSTITUTE(SUBSTITUTE(SUBSTITUTE(SUBSTITUTE(SUBSTITUTE(SUBSTITUTE(SUBSTITUTE(SUBSTITUTE(SUBSTITUTE(LOWER(TRIM(F263)),"á","a"),"é","e"),"í","i"),"ó","o"),"ú","u"),"ü","u"),"ñ","n"),"à","a"),"è","e"),"ì","i"),"ò","o"),"ù","u"))</f>
        <v/>
      </c>
      <c r="O263" s="25">
        <f>IF(M263="confiable",2,IF(M263="dudosa",1,IF(M263="no confiable",0,"")))</f>
        <v/>
      </c>
      <c r="P263" s="25">
        <f>IF(N263="confiable",2,IF(N263="dudosa",1,IF(N263="no confiable",0,"")))</f>
        <v/>
      </c>
      <c r="Q263" s="25">
        <f>IF(AND(ISNUMBER(O263),ISNUMBER(P263)),1,"")</f>
        <v/>
      </c>
      <c r="R263" s="25">
        <f>IF(Q263=1,IF(O263=P263,"Sí","No"),"")</f>
        <v/>
      </c>
      <c r="S263" s="25">
        <f>IF(Q263=1,IF(P263&lt;O263,"Más estricto",IF(P263&gt;O263,"Más permisivo","Igual")),"")</f>
        <v/>
      </c>
      <c r="T263" s="25">
        <f>IF(Q263=1,IF(ABS(O263-P263)=2,1,0),"")</f>
        <v/>
      </c>
      <c r="U263" s="25">
        <f>IF(H263="","","|"&amp;SUBSTITUTE(SUBSTITUTE(TRIM(H263)," |","|"),"| ","|")&amp;"|")</f>
        <v/>
      </c>
      <c r="V263" s="25">
        <f>IF(AND(Q263=1,B263&lt;&gt;""),IF(IFERROR(COUNTIFS(B$3:B263,"="&amp;SUBSTITUTE(SUBSTITUTE(SUBSTITUTE(B263,"~","~~"),"*","~*"),"?","~?"),Q$3:Q263,1),0)=1,MAX(V$2:V262)+1,""),"")</f>
        <v/>
      </c>
      <c r="W263" s="25">
        <f>IF(V263="","",COUNTIFS($B$3:$B$1002,"="&amp;SUBSTITUTE(SUBSTITUTE(SUBSTITUTE(B263,"~","~~"),"*","~*"),"?","~?"),$Q$3:$Q$1002,1)*10000-V263)</f>
        <v/>
      </c>
      <c r="X263" s="25">
        <f>IF(Q263=1,IF(SUBSTITUTE(SUBSTITUTE(SUBSTITUTE(SUBSTITUTE(SUBSTITUTE(SUBSTITUTE(SUBSTITUTE(SUBSTITUTE(SUBSTITUTE(SUBSTITUTE(SUBSTITUTE(SUBSTITUTE(LOWER(TRIM(A263)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263)),"á","a"),"é","e"),"í","i"),"ó","o"),"ú","u"),"ü","u"),"ñ","n"),"à","a"),"è","e"),"ì","i"),"ò","o"),"ù","u")),"")</f>
        <v/>
      </c>
      <c r="Y263" s="25">
        <f>IF(X263="","",IF(IFERROR(COUNTIF(X$3:X263,"="&amp;SUBSTITUTE(SUBSTITUTE(SUBSTITUTE(X263,"~","~~"),"*","~*"),"?","~?")),0)=1,1,""))</f>
        <v/>
      </c>
      <c r="Z263" s="25">
        <f>IF(T263=1,MAX(Z$2:Z262)+1,"")</f>
        <v/>
      </c>
    </row>
    <row r="264">
      <c r="A264">
        <f>IF(A$2=0,"",IFERROR(TRIM(INDEX('Pegar calibracion'!$A$1:$BZ$1001,263,A$2)&amp;""),""))</f>
        <v/>
      </c>
      <c r="B264">
        <f>IF(B$2=0,"",IFERROR(TRIM(INDEX('Pegar calibracion'!$A$1:$BZ$1001,263,B$2)&amp;""),""))</f>
        <v/>
      </c>
      <c r="C264">
        <f>IF(C$2=0,"",IFERROR(TRIM(INDEX('Pegar calibracion'!$A$1:$BZ$1001,263,C$2)&amp;""),""))</f>
        <v/>
      </c>
      <c r="D264">
        <f>IF(D$2=0,"",IFERROR(TRIM(INDEX('Pegar calibracion'!$A$1:$BZ$1001,263,D$2)&amp;""),""))</f>
        <v/>
      </c>
      <c r="E264">
        <f>IF(E$2=0,"",IFERROR(TRIM(INDEX('Pegar calibracion'!$A$1:$BZ$1001,263,E$2)&amp;""),""))</f>
        <v/>
      </c>
      <c r="F264">
        <f>IF(F$2=0,"",IFERROR(TRIM(INDEX('Pegar calibracion'!$A$1:$BZ$1001,263,F$2)&amp;""),""))</f>
        <v/>
      </c>
      <c r="G264">
        <f>IF(G$2=0,"",IFERROR(TRIM(INDEX('Pegar calibracion'!$A$1:$BZ$1001,263,G$2)&amp;""),""))</f>
        <v/>
      </c>
      <c r="H264">
        <f>IF(H$2=0,"",IFERROR(TRIM(INDEX('Pegar calibracion'!$A$1:$BZ$1001,263,H$2)&amp;""),""))</f>
        <v/>
      </c>
      <c r="I264">
        <f>IF(I$2=0,"",IFERROR(TRIM(INDEX('Pegar calibracion'!$A$1:$BZ$1001,263,I$2)&amp;""),""))</f>
        <v/>
      </c>
      <c r="J264">
        <f>IF(J$2=0,"",IFERROR(TRIM(INDEX('Pegar calibracion'!$A$1:$BZ$1001,263,J$2)&amp;""),""))</f>
        <v/>
      </c>
      <c r="K264">
        <f>IF(K$2=0,"",IFERROR(TRIM(INDEX('Pegar calibracion'!$A$1:$BZ$1001,263,K$2)&amp;""),""))</f>
        <v/>
      </c>
      <c r="L264">
        <f>IF(L$2=0,"",IFERROR(TRIM(INDEX('Pegar calibracion'!$A$1:$BZ$1001,263,L$2)&amp;""),""))</f>
        <v/>
      </c>
      <c r="M264" s="25">
        <f>IF(D264="","",SUBSTITUTE(SUBSTITUTE(SUBSTITUTE(SUBSTITUTE(SUBSTITUTE(SUBSTITUTE(SUBSTITUTE(SUBSTITUTE(SUBSTITUTE(SUBSTITUTE(SUBSTITUTE(SUBSTITUTE(LOWER(TRIM(D264)),"á","a"),"é","e"),"í","i"),"ó","o"),"ú","u"),"ü","u"),"ñ","n"),"à","a"),"è","e"),"ì","i"),"ò","o"),"ù","u"))</f>
        <v/>
      </c>
      <c r="N264" s="25">
        <f>IF(F264="","",SUBSTITUTE(SUBSTITUTE(SUBSTITUTE(SUBSTITUTE(SUBSTITUTE(SUBSTITUTE(SUBSTITUTE(SUBSTITUTE(SUBSTITUTE(SUBSTITUTE(SUBSTITUTE(SUBSTITUTE(LOWER(TRIM(F264)),"á","a"),"é","e"),"í","i"),"ó","o"),"ú","u"),"ü","u"),"ñ","n"),"à","a"),"è","e"),"ì","i"),"ò","o"),"ù","u"))</f>
        <v/>
      </c>
      <c r="O264" s="25">
        <f>IF(M264="confiable",2,IF(M264="dudosa",1,IF(M264="no confiable",0,"")))</f>
        <v/>
      </c>
      <c r="P264" s="25">
        <f>IF(N264="confiable",2,IF(N264="dudosa",1,IF(N264="no confiable",0,"")))</f>
        <v/>
      </c>
      <c r="Q264" s="25">
        <f>IF(AND(ISNUMBER(O264),ISNUMBER(P264)),1,"")</f>
        <v/>
      </c>
      <c r="R264" s="25">
        <f>IF(Q264=1,IF(O264=P264,"Sí","No"),"")</f>
        <v/>
      </c>
      <c r="S264" s="25">
        <f>IF(Q264=1,IF(P264&lt;O264,"Más estricto",IF(P264&gt;O264,"Más permisivo","Igual")),"")</f>
        <v/>
      </c>
      <c r="T264" s="25">
        <f>IF(Q264=1,IF(ABS(O264-P264)=2,1,0),"")</f>
        <v/>
      </c>
      <c r="U264" s="25">
        <f>IF(H264="","","|"&amp;SUBSTITUTE(SUBSTITUTE(TRIM(H264)," |","|"),"| ","|")&amp;"|")</f>
        <v/>
      </c>
      <c r="V264" s="25">
        <f>IF(AND(Q264=1,B264&lt;&gt;""),IF(IFERROR(COUNTIFS(B$3:B264,"="&amp;SUBSTITUTE(SUBSTITUTE(SUBSTITUTE(B264,"~","~~"),"*","~*"),"?","~?"),Q$3:Q264,1),0)=1,MAX(V$2:V263)+1,""),"")</f>
        <v/>
      </c>
      <c r="W264" s="25">
        <f>IF(V264="","",COUNTIFS($B$3:$B$1002,"="&amp;SUBSTITUTE(SUBSTITUTE(SUBSTITUTE(B264,"~","~~"),"*","~*"),"?","~?"),$Q$3:$Q$1002,1)*10000-V264)</f>
        <v/>
      </c>
      <c r="X264" s="25">
        <f>IF(Q264=1,IF(SUBSTITUTE(SUBSTITUTE(SUBSTITUTE(SUBSTITUTE(SUBSTITUTE(SUBSTITUTE(SUBSTITUTE(SUBSTITUTE(SUBSTITUTE(SUBSTITUTE(SUBSTITUTE(SUBSTITUTE(LOWER(TRIM(A264)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264)),"á","a"),"é","e"),"í","i"),"ó","o"),"ú","u"),"ü","u"),"ñ","n"),"à","a"),"è","e"),"ì","i"),"ò","o"),"ù","u")),"")</f>
        <v/>
      </c>
      <c r="Y264" s="25">
        <f>IF(X264="","",IF(IFERROR(COUNTIF(X$3:X264,"="&amp;SUBSTITUTE(SUBSTITUTE(SUBSTITUTE(X264,"~","~~"),"*","~*"),"?","~?")),0)=1,1,""))</f>
        <v/>
      </c>
      <c r="Z264" s="25">
        <f>IF(T264=1,MAX(Z$2:Z263)+1,"")</f>
        <v/>
      </c>
    </row>
    <row r="265">
      <c r="A265">
        <f>IF(A$2=0,"",IFERROR(TRIM(INDEX('Pegar calibracion'!$A$1:$BZ$1001,264,A$2)&amp;""),""))</f>
        <v/>
      </c>
      <c r="B265">
        <f>IF(B$2=0,"",IFERROR(TRIM(INDEX('Pegar calibracion'!$A$1:$BZ$1001,264,B$2)&amp;""),""))</f>
        <v/>
      </c>
      <c r="C265">
        <f>IF(C$2=0,"",IFERROR(TRIM(INDEX('Pegar calibracion'!$A$1:$BZ$1001,264,C$2)&amp;""),""))</f>
        <v/>
      </c>
      <c r="D265">
        <f>IF(D$2=0,"",IFERROR(TRIM(INDEX('Pegar calibracion'!$A$1:$BZ$1001,264,D$2)&amp;""),""))</f>
        <v/>
      </c>
      <c r="E265">
        <f>IF(E$2=0,"",IFERROR(TRIM(INDEX('Pegar calibracion'!$A$1:$BZ$1001,264,E$2)&amp;""),""))</f>
        <v/>
      </c>
      <c r="F265">
        <f>IF(F$2=0,"",IFERROR(TRIM(INDEX('Pegar calibracion'!$A$1:$BZ$1001,264,F$2)&amp;""),""))</f>
        <v/>
      </c>
      <c r="G265">
        <f>IF(G$2=0,"",IFERROR(TRIM(INDEX('Pegar calibracion'!$A$1:$BZ$1001,264,G$2)&amp;""),""))</f>
        <v/>
      </c>
      <c r="H265">
        <f>IF(H$2=0,"",IFERROR(TRIM(INDEX('Pegar calibracion'!$A$1:$BZ$1001,264,H$2)&amp;""),""))</f>
        <v/>
      </c>
      <c r="I265">
        <f>IF(I$2=0,"",IFERROR(TRIM(INDEX('Pegar calibracion'!$A$1:$BZ$1001,264,I$2)&amp;""),""))</f>
        <v/>
      </c>
      <c r="J265">
        <f>IF(J$2=0,"",IFERROR(TRIM(INDEX('Pegar calibracion'!$A$1:$BZ$1001,264,J$2)&amp;""),""))</f>
        <v/>
      </c>
      <c r="K265">
        <f>IF(K$2=0,"",IFERROR(TRIM(INDEX('Pegar calibracion'!$A$1:$BZ$1001,264,K$2)&amp;""),""))</f>
        <v/>
      </c>
      <c r="L265">
        <f>IF(L$2=0,"",IFERROR(TRIM(INDEX('Pegar calibracion'!$A$1:$BZ$1001,264,L$2)&amp;""),""))</f>
        <v/>
      </c>
      <c r="M265" s="25">
        <f>IF(D265="","",SUBSTITUTE(SUBSTITUTE(SUBSTITUTE(SUBSTITUTE(SUBSTITUTE(SUBSTITUTE(SUBSTITUTE(SUBSTITUTE(SUBSTITUTE(SUBSTITUTE(SUBSTITUTE(SUBSTITUTE(LOWER(TRIM(D265)),"á","a"),"é","e"),"í","i"),"ó","o"),"ú","u"),"ü","u"),"ñ","n"),"à","a"),"è","e"),"ì","i"),"ò","o"),"ù","u"))</f>
        <v/>
      </c>
      <c r="N265" s="25">
        <f>IF(F265="","",SUBSTITUTE(SUBSTITUTE(SUBSTITUTE(SUBSTITUTE(SUBSTITUTE(SUBSTITUTE(SUBSTITUTE(SUBSTITUTE(SUBSTITUTE(SUBSTITUTE(SUBSTITUTE(SUBSTITUTE(LOWER(TRIM(F265)),"á","a"),"é","e"),"í","i"),"ó","o"),"ú","u"),"ü","u"),"ñ","n"),"à","a"),"è","e"),"ì","i"),"ò","o"),"ù","u"))</f>
        <v/>
      </c>
      <c r="O265" s="25">
        <f>IF(M265="confiable",2,IF(M265="dudosa",1,IF(M265="no confiable",0,"")))</f>
        <v/>
      </c>
      <c r="P265" s="25">
        <f>IF(N265="confiable",2,IF(N265="dudosa",1,IF(N265="no confiable",0,"")))</f>
        <v/>
      </c>
      <c r="Q265" s="25">
        <f>IF(AND(ISNUMBER(O265),ISNUMBER(P265)),1,"")</f>
        <v/>
      </c>
      <c r="R265" s="25">
        <f>IF(Q265=1,IF(O265=P265,"Sí","No"),"")</f>
        <v/>
      </c>
      <c r="S265" s="25">
        <f>IF(Q265=1,IF(P265&lt;O265,"Más estricto",IF(P265&gt;O265,"Más permisivo","Igual")),"")</f>
        <v/>
      </c>
      <c r="T265" s="25">
        <f>IF(Q265=1,IF(ABS(O265-P265)=2,1,0),"")</f>
        <v/>
      </c>
      <c r="U265" s="25">
        <f>IF(H265="","","|"&amp;SUBSTITUTE(SUBSTITUTE(TRIM(H265)," |","|"),"| ","|")&amp;"|")</f>
        <v/>
      </c>
      <c r="V265" s="25">
        <f>IF(AND(Q265=1,B265&lt;&gt;""),IF(IFERROR(COUNTIFS(B$3:B265,"="&amp;SUBSTITUTE(SUBSTITUTE(SUBSTITUTE(B265,"~","~~"),"*","~*"),"?","~?"),Q$3:Q265,1),0)=1,MAX(V$2:V264)+1,""),"")</f>
        <v/>
      </c>
      <c r="W265" s="25">
        <f>IF(V265="","",COUNTIFS($B$3:$B$1002,"="&amp;SUBSTITUTE(SUBSTITUTE(SUBSTITUTE(B265,"~","~~"),"*","~*"),"?","~?"),$Q$3:$Q$1002,1)*10000-V265)</f>
        <v/>
      </c>
      <c r="X265" s="25">
        <f>IF(Q265=1,IF(SUBSTITUTE(SUBSTITUTE(SUBSTITUTE(SUBSTITUTE(SUBSTITUTE(SUBSTITUTE(SUBSTITUTE(SUBSTITUTE(SUBSTITUTE(SUBSTITUTE(SUBSTITUTE(SUBSTITUTE(LOWER(TRIM(A265)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265)),"á","a"),"é","e"),"í","i"),"ó","o"),"ú","u"),"ü","u"),"ñ","n"),"à","a"),"è","e"),"ì","i"),"ò","o"),"ù","u")),"")</f>
        <v/>
      </c>
      <c r="Y265" s="25">
        <f>IF(X265="","",IF(IFERROR(COUNTIF(X$3:X265,"="&amp;SUBSTITUTE(SUBSTITUTE(SUBSTITUTE(X265,"~","~~"),"*","~*"),"?","~?")),0)=1,1,""))</f>
        <v/>
      </c>
      <c r="Z265" s="25">
        <f>IF(T265=1,MAX(Z$2:Z264)+1,"")</f>
        <v/>
      </c>
    </row>
    <row r="266">
      <c r="A266">
        <f>IF(A$2=0,"",IFERROR(TRIM(INDEX('Pegar calibracion'!$A$1:$BZ$1001,265,A$2)&amp;""),""))</f>
        <v/>
      </c>
      <c r="B266">
        <f>IF(B$2=0,"",IFERROR(TRIM(INDEX('Pegar calibracion'!$A$1:$BZ$1001,265,B$2)&amp;""),""))</f>
        <v/>
      </c>
      <c r="C266">
        <f>IF(C$2=0,"",IFERROR(TRIM(INDEX('Pegar calibracion'!$A$1:$BZ$1001,265,C$2)&amp;""),""))</f>
        <v/>
      </c>
      <c r="D266">
        <f>IF(D$2=0,"",IFERROR(TRIM(INDEX('Pegar calibracion'!$A$1:$BZ$1001,265,D$2)&amp;""),""))</f>
        <v/>
      </c>
      <c r="E266">
        <f>IF(E$2=0,"",IFERROR(TRIM(INDEX('Pegar calibracion'!$A$1:$BZ$1001,265,E$2)&amp;""),""))</f>
        <v/>
      </c>
      <c r="F266">
        <f>IF(F$2=0,"",IFERROR(TRIM(INDEX('Pegar calibracion'!$A$1:$BZ$1001,265,F$2)&amp;""),""))</f>
        <v/>
      </c>
      <c r="G266">
        <f>IF(G$2=0,"",IFERROR(TRIM(INDEX('Pegar calibracion'!$A$1:$BZ$1001,265,G$2)&amp;""),""))</f>
        <v/>
      </c>
      <c r="H266">
        <f>IF(H$2=0,"",IFERROR(TRIM(INDEX('Pegar calibracion'!$A$1:$BZ$1001,265,H$2)&amp;""),""))</f>
        <v/>
      </c>
      <c r="I266">
        <f>IF(I$2=0,"",IFERROR(TRIM(INDEX('Pegar calibracion'!$A$1:$BZ$1001,265,I$2)&amp;""),""))</f>
        <v/>
      </c>
      <c r="J266">
        <f>IF(J$2=0,"",IFERROR(TRIM(INDEX('Pegar calibracion'!$A$1:$BZ$1001,265,J$2)&amp;""),""))</f>
        <v/>
      </c>
      <c r="K266">
        <f>IF(K$2=0,"",IFERROR(TRIM(INDEX('Pegar calibracion'!$A$1:$BZ$1001,265,K$2)&amp;""),""))</f>
        <v/>
      </c>
      <c r="L266">
        <f>IF(L$2=0,"",IFERROR(TRIM(INDEX('Pegar calibracion'!$A$1:$BZ$1001,265,L$2)&amp;""),""))</f>
        <v/>
      </c>
      <c r="M266" s="25">
        <f>IF(D266="","",SUBSTITUTE(SUBSTITUTE(SUBSTITUTE(SUBSTITUTE(SUBSTITUTE(SUBSTITUTE(SUBSTITUTE(SUBSTITUTE(SUBSTITUTE(SUBSTITUTE(SUBSTITUTE(SUBSTITUTE(LOWER(TRIM(D266)),"á","a"),"é","e"),"í","i"),"ó","o"),"ú","u"),"ü","u"),"ñ","n"),"à","a"),"è","e"),"ì","i"),"ò","o"),"ù","u"))</f>
        <v/>
      </c>
      <c r="N266" s="25">
        <f>IF(F266="","",SUBSTITUTE(SUBSTITUTE(SUBSTITUTE(SUBSTITUTE(SUBSTITUTE(SUBSTITUTE(SUBSTITUTE(SUBSTITUTE(SUBSTITUTE(SUBSTITUTE(SUBSTITUTE(SUBSTITUTE(LOWER(TRIM(F266)),"á","a"),"é","e"),"í","i"),"ó","o"),"ú","u"),"ü","u"),"ñ","n"),"à","a"),"è","e"),"ì","i"),"ò","o"),"ù","u"))</f>
        <v/>
      </c>
      <c r="O266" s="25">
        <f>IF(M266="confiable",2,IF(M266="dudosa",1,IF(M266="no confiable",0,"")))</f>
        <v/>
      </c>
      <c r="P266" s="25">
        <f>IF(N266="confiable",2,IF(N266="dudosa",1,IF(N266="no confiable",0,"")))</f>
        <v/>
      </c>
      <c r="Q266" s="25">
        <f>IF(AND(ISNUMBER(O266),ISNUMBER(P266)),1,"")</f>
        <v/>
      </c>
      <c r="R266" s="25">
        <f>IF(Q266=1,IF(O266=P266,"Sí","No"),"")</f>
        <v/>
      </c>
      <c r="S266" s="25">
        <f>IF(Q266=1,IF(P266&lt;O266,"Más estricto",IF(P266&gt;O266,"Más permisivo","Igual")),"")</f>
        <v/>
      </c>
      <c r="T266" s="25">
        <f>IF(Q266=1,IF(ABS(O266-P266)=2,1,0),"")</f>
        <v/>
      </c>
      <c r="U266" s="25">
        <f>IF(H266="","","|"&amp;SUBSTITUTE(SUBSTITUTE(TRIM(H266)," |","|"),"| ","|")&amp;"|")</f>
        <v/>
      </c>
      <c r="V266" s="25">
        <f>IF(AND(Q266=1,B266&lt;&gt;""),IF(IFERROR(COUNTIFS(B$3:B266,"="&amp;SUBSTITUTE(SUBSTITUTE(SUBSTITUTE(B266,"~","~~"),"*","~*"),"?","~?"),Q$3:Q266,1),0)=1,MAX(V$2:V265)+1,""),"")</f>
        <v/>
      </c>
      <c r="W266" s="25">
        <f>IF(V266="","",COUNTIFS($B$3:$B$1002,"="&amp;SUBSTITUTE(SUBSTITUTE(SUBSTITUTE(B266,"~","~~"),"*","~*"),"?","~?"),$Q$3:$Q$1002,1)*10000-V266)</f>
        <v/>
      </c>
      <c r="X266" s="25">
        <f>IF(Q266=1,IF(SUBSTITUTE(SUBSTITUTE(SUBSTITUTE(SUBSTITUTE(SUBSTITUTE(SUBSTITUTE(SUBSTITUTE(SUBSTITUTE(SUBSTITUTE(SUBSTITUTE(SUBSTITUTE(SUBSTITUTE(LOWER(TRIM(A266)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266)),"á","a"),"é","e"),"í","i"),"ó","o"),"ú","u"),"ü","u"),"ñ","n"),"à","a"),"è","e"),"ì","i"),"ò","o"),"ù","u")),"")</f>
        <v/>
      </c>
      <c r="Y266" s="25">
        <f>IF(X266="","",IF(IFERROR(COUNTIF(X$3:X266,"="&amp;SUBSTITUTE(SUBSTITUTE(SUBSTITUTE(X266,"~","~~"),"*","~*"),"?","~?")),0)=1,1,""))</f>
        <v/>
      </c>
      <c r="Z266" s="25">
        <f>IF(T266=1,MAX(Z$2:Z265)+1,"")</f>
        <v/>
      </c>
    </row>
    <row r="267">
      <c r="A267">
        <f>IF(A$2=0,"",IFERROR(TRIM(INDEX('Pegar calibracion'!$A$1:$BZ$1001,266,A$2)&amp;""),""))</f>
        <v/>
      </c>
      <c r="B267">
        <f>IF(B$2=0,"",IFERROR(TRIM(INDEX('Pegar calibracion'!$A$1:$BZ$1001,266,B$2)&amp;""),""))</f>
        <v/>
      </c>
      <c r="C267">
        <f>IF(C$2=0,"",IFERROR(TRIM(INDEX('Pegar calibracion'!$A$1:$BZ$1001,266,C$2)&amp;""),""))</f>
        <v/>
      </c>
      <c r="D267">
        <f>IF(D$2=0,"",IFERROR(TRIM(INDEX('Pegar calibracion'!$A$1:$BZ$1001,266,D$2)&amp;""),""))</f>
        <v/>
      </c>
      <c r="E267">
        <f>IF(E$2=0,"",IFERROR(TRIM(INDEX('Pegar calibracion'!$A$1:$BZ$1001,266,E$2)&amp;""),""))</f>
        <v/>
      </c>
      <c r="F267">
        <f>IF(F$2=0,"",IFERROR(TRIM(INDEX('Pegar calibracion'!$A$1:$BZ$1001,266,F$2)&amp;""),""))</f>
        <v/>
      </c>
      <c r="G267">
        <f>IF(G$2=0,"",IFERROR(TRIM(INDEX('Pegar calibracion'!$A$1:$BZ$1001,266,G$2)&amp;""),""))</f>
        <v/>
      </c>
      <c r="H267">
        <f>IF(H$2=0,"",IFERROR(TRIM(INDEX('Pegar calibracion'!$A$1:$BZ$1001,266,H$2)&amp;""),""))</f>
        <v/>
      </c>
      <c r="I267">
        <f>IF(I$2=0,"",IFERROR(TRIM(INDEX('Pegar calibracion'!$A$1:$BZ$1001,266,I$2)&amp;""),""))</f>
        <v/>
      </c>
      <c r="J267">
        <f>IF(J$2=0,"",IFERROR(TRIM(INDEX('Pegar calibracion'!$A$1:$BZ$1001,266,J$2)&amp;""),""))</f>
        <v/>
      </c>
      <c r="K267">
        <f>IF(K$2=0,"",IFERROR(TRIM(INDEX('Pegar calibracion'!$A$1:$BZ$1001,266,K$2)&amp;""),""))</f>
        <v/>
      </c>
      <c r="L267">
        <f>IF(L$2=0,"",IFERROR(TRIM(INDEX('Pegar calibracion'!$A$1:$BZ$1001,266,L$2)&amp;""),""))</f>
        <v/>
      </c>
      <c r="M267" s="25">
        <f>IF(D267="","",SUBSTITUTE(SUBSTITUTE(SUBSTITUTE(SUBSTITUTE(SUBSTITUTE(SUBSTITUTE(SUBSTITUTE(SUBSTITUTE(SUBSTITUTE(SUBSTITUTE(SUBSTITUTE(SUBSTITUTE(LOWER(TRIM(D267)),"á","a"),"é","e"),"í","i"),"ó","o"),"ú","u"),"ü","u"),"ñ","n"),"à","a"),"è","e"),"ì","i"),"ò","o"),"ù","u"))</f>
        <v/>
      </c>
      <c r="N267" s="25">
        <f>IF(F267="","",SUBSTITUTE(SUBSTITUTE(SUBSTITUTE(SUBSTITUTE(SUBSTITUTE(SUBSTITUTE(SUBSTITUTE(SUBSTITUTE(SUBSTITUTE(SUBSTITUTE(SUBSTITUTE(SUBSTITUTE(LOWER(TRIM(F267)),"á","a"),"é","e"),"í","i"),"ó","o"),"ú","u"),"ü","u"),"ñ","n"),"à","a"),"è","e"),"ì","i"),"ò","o"),"ù","u"))</f>
        <v/>
      </c>
      <c r="O267" s="25">
        <f>IF(M267="confiable",2,IF(M267="dudosa",1,IF(M267="no confiable",0,"")))</f>
        <v/>
      </c>
      <c r="P267" s="25">
        <f>IF(N267="confiable",2,IF(N267="dudosa",1,IF(N267="no confiable",0,"")))</f>
        <v/>
      </c>
      <c r="Q267" s="25">
        <f>IF(AND(ISNUMBER(O267),ISNUMBER(P267)),1,"")</f>
        <v/>
      </c>
      <c r="R267" s="25">
        <f>IF(Q267=1,IF(O267=P267,"Sí","No"),"")</f>
        <v/>
      </c>
      <c r="S267" s="25">
        <f>IF(Q267=1,IF(P267&lt;O267,"Más estricto",IF(P267&gt;O267,"Más permisivo","Igual")),"")</f>
        <v/>
      </c>
      <c r="T267" s="25">
        <f>IF(Q267=1,IF(ABS(O267-P267)=2,1,0),"")</f>
        <v/>
      </c>
      <c r="U267" s="25">
        <f>IF(H267="","","|"&amp;SUBSTITUTE(SUBSTITUTE(TRIM(H267)," |","|"),"| ","|")&amp;"|")</f>
        <v/>
      </c>
      <c r="V267" s="25">
        <f>IF(AND(Q267=1,B267&lt;&gt;""),IF(IFERROR(COUNTIFS(B$3:B267,"="&amp;SUBSTITUTE(SUBSTITUTE(SUBSTITUTE(B267,"~","~~"),"*","~*"),"?","~?"),Q$3:Q267,1),0)=1,MAX(V$2:V266)+1,""),"")</f>
        <v/>
      </c>
      <c r="W267" s="25">
        <f>IF(V267="","",COUNTIFS($B$3:$B$1002,"="&amp;SUBSTITUTE(SUBSTITUTE(SUBSTITUTE(B267,"~","~~"),"*","~*"),"?","~?"),$Q$3:$Q$1002,1)*10000-V267)</f>
        <v/>
      </c>
      <c r="X267" s="25">
        <f>IF(Q267=1,IF(SUBSTITUTE(SUBSTITUTE(SUBSTITUTE(SUBSTITUTE(SUBSTITUTE(SUBSTITUTE(SUBSTITUTE(SUBSTITUTE(SUBSTITUTE(SUBSTITUTE(SUBSTITUTE(SUBSTITUTE(LOWER(TRIM(A267)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267)),"á","a"),"é","e"),"í","i"),"ó","o"),"ú","u"),"ü","u"),"ñ","n"),"à","a"),"è","e"),"ì","i"),"ò","o"),"ù","u")),"")</f>
        <v/>
      </c>
      <c r="Y267" s="25">
        <f>IF(X267="","",IF(IFERROR(COUNTIF(X$3:X267,"="&amp;SUBSTITUTE(SUBSTITUTE(SUBSTITUTE(X267,"~","~~"),"*","~*"),"?","~?")),0)=1,1,""))</f>
        <v/>
      </c>
      <c r="Z267" s="25">
        <f>IF(T267=1,MAX(Z$2:Z266)+1,"")</f>
        <v/>
      </c>
    </row>
    <row r="268">
      <c r="A268">
        <f>IF(A$2=0,"",IFERROR(TRIM(INDEX('Pegar calibracion'!$A$1:$BZ$1001,267,A$2)&amp;""),""))</f>
        <v/>
      </c>
      <c r="B268">
        <f>IF(B$2=0,"",IFERROR(TRIM(INDEX('Pegar calibracion'!$A$1:$BZ$1001,267,B$2)&amp;""),""))</f>
        <v/>
      </c>
      <c r="C268">
        <f>IF(C$2=0,"",IFERROR(TRIM(INDEX('Pegar calibracion'!$A$1:$BZ$1001,267,C$2)&amp;""),""))</f>
        <v/>
      </c>
      <c r="D268">
        <f>IF(D$2=0,"",IFERROR(TRIM(INDEX('Pegar calibracion'!$A$1:$BZ$1001,267,D$2)&amp;""),""))</f>
        <v/>
      </c>
      <c r="E268">
        <f>IF(E$2=0,"",IFERROR(TRIM(INDEX('Pegar calibracion'!$A$1:$BZ$1001,267,E$2)&amp;""),""))</f>
        <v/>
      </c>
      <c r="F268">
        <f>IF(F$2=0,"",IFERROR(TRIM(INDEX('Pegar calibracion'!$A$1:$BZ$1001,267,F$2)&amp;""),""))</f>
        <v/>
      </c>
      <c r="G268">
        <f>IF(G$2=0,"",IFERROR(TRIM(INDEX('Pegar calibracion'!$A$1:$BZ$1001,267,G$2)&amp;""),""))</f>
        <v/>
      </c>
      <c r="H268">
        <f>IF(H$2=0,"",IFERROR(TRIM(INDEX('Pegar calibracion'!$A$1:$BZ$1001,267,H$2)&amp;""),""))</f>
        <v/>
      </c>
      <c r="I268">
        <f>IF(I$2=0,"",IFERROR(TRIM(INDEX('Pegar calibracion'!$A$1:$BZ$1001,267,I$2)&amp;""),""))</f>
        <v/>
      </c>
      <c r="J268">
        <f>IF(J$2=0,"",IFERROR(TRIM(INDEX('Pegar calibracion'!$A$1:$BZ$1001,267,J$2)&amp;""),""))</f>
        <v/>
      </c>
      <c r="K268">
        <f>IF(K$2=0,"",IFERROR(TRIM(INDEX('Pegar calibracion'!$A$1:$BZ$1001,267,K$2)&amp;""),""))</f>
        <v/>
      </c>
      <c r="L268">
        <f>IF(L$2=0,"",IFERROR(TRIM(INDEX('Pegar calibracion'!$A$1:$BZ$1001,267,L$2)&amp;""),""))</f>
        <v/>
      </c>
      <c r="M268" s="25">
        <f>IF(D268="","",SUBSTITUTE(SUBSTITUTE(SUBSTITUTE(SUBSTITUTE(SUBSTITUTE(SUBSTITUTE(SUBSTITUTE(SUBSTITUTE(SUBSTITUTE(SUBSTITUTE(SUBSTITUTE(SUBSTITUTE(LOWER(TRIM(D268)),"á","a"),"é","e"),"í","i"),"ó","o"),"ú","u"),"ü","u"),"ñ","n"),"à","a"),"è","e"),"ì","i"),"ò","o"),"ù","u"))</f>
        <v/>
      </c>
      <c r="N268" s="25">
        <f>IF(F268="","",SUBSTITUTE(SUBSTITUTE(SUBSTITUTE(SUBSTITUTE(SUBSTITUTE(SUBSTITUTE(SUBSTITUTE(SUBSTITUTE(SUBSTITUTE(SUBSTITUTE(SUBSTITUTE(SUBSTITUTE(LOWER(TRIM(F268)),"á","a"),"é","e"),"í","i"),"ó","o"),"ú","u"),"ü","u"),"ñ","n"),"à","a"),"è","e"),"ì","i"),"ò","o"),"ù","u"))</f>
        <v/>
      </c>
      <c r="O268" s="25">
        <f>IF(M268="confiable",2,IF(M268="dudosa",1,IF(M268="no confiable",0,"")))</f>
        <v/>
      </c>
      <c r="P268" s="25">
        <f>IF(N268="confiable",2,IF(N268="dudosa",1,IF(N268="no confiable",0,"")))</f>
        <v/>
      </c>
      <c r="Q268" s="25">
        <f>IF(AND(ISNUMBER(O268),ISNUMBER(P268)),1,"")</f>
        <v/>
      </c>
      <c r="R268" s="25">
        <f>IF(Q268=1,IF(O268=P268,"Sí","No"),"")</f>
        <v/>
      </c>
      <c r="S268" s="25">
        <f>IF(Q268=1,IF(P268&lt;O268,"Más estricto",IF(P268&gt;O268,"Más permisivo","Igual")),"")</f>
        <v/>
      </c>
      <c r="T268" s="25">
        <f>IF(Q268=1,IF(ABS(O268-P268)=2,1,0),"")</f>
        <v/>
      </c>
      <c r="U268" s="25">
        <f>IF(H268="","","|"&amp;SUBSTITUTE(SUBSTITUTE(TRIM(H268)," |","|"),"| ","|")&amp;"|")</f>
        <v/>
      </c>
      <c r="V268" s="25">
        <f>IF(AND(Q268=1,B268&lt;&gt;""),IF(IFERROR(COUNTIFS(B$3:B268,"="&amp;SUBSTITUTE(SUBSTITUTE(SUBSTITUTE(B268,"~","~~"),"*","~*"),"?","~?"),Q$3:Q268,1),0)=1,MAX(V$2:V267)+1,""),"")</f>
        <v/>
      </c>
      <c r="W268" s="25">
        <f>IF(V268="","",COUNTIFS($B$3:$B$1002,"="&amp;SUBSTITUTE(SUBSTITUTE(SUBSTITUTE(B268,"~","~~"),"*","~*"),"?","~?"),$Q$3:$Q$1002,1)*10000-V268)</f>
        <v/>
      </c>
      <c r="X268" s="25">
        <f>IF(Q268=1,IF(SUBSTITUTE(SUBSTITUTE(SUBSTITUTE(SUBSTITUTE(SUBSTITUTE(SUBSTITUTE(SUBSTITUTE(SUBSTITUTE(SUBSTITUTE(SUBSTITUTE(SUBSTITUTE(SUBSTITUTE(LOWER(TRIM(A268)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268)),"á","a"),"é","e"),"í","i"),"ó","o"),"ú","u"),"ü","u"),"ñ","n"),"à","a"),"è","e"),"ì","i"),"ò","o"),"ù","u")),"")</f>
        <v/>
      </c>
      <c r="Y268" s="25">
        <f>IF(X268="","",IF(IFERROR(COUNTIF(X$3:X268,"="&amp;SUBSTITUTE(SUBSTITUTE(SUBSTITUTE(X268,"~","~~"),"*","~*"),"?","~?")),0)=1,1,""))</f>
        <v/>
      </c>
      <c r="Z268" s="25">
        <f>IF(T268=1,MAX(Z$2:Z267)+1,"")</f>
        <v/>
      </c>
    </row>
    <row r="269">
      <c r="A269">
        <f>IF(A$2=0,"",IFERROR(TRIM(INDEX('Pegar calibracion'!$A$1:$BZ$1001,268,A$2)&amp;""),""))</f>
        <v/>
      </c>
      <c r="B269">
        <f>IF(B$2=0,"",IFERROR(TRIM(INDEX('Pegar calibracion'!$A$1:$BZ$1001,268,B$2)&amp;""),""))</f>
        <v/>
      </c>
      <c r="C269">
        <f>IF(C$2=0,"",IFERROR(TRIM(INDEX('Pegar calibracion'!$A$1:$BZ$1001,268,C$2)&amp;""),""))</f>
        <v/>
      </c>
      <c r="D269">
        <f>IF(D$2=0,"",IFERROR(TRIM(INDEX('Pegar calibracion'!$A$1:$BZ$1001,268,D$2)&amp;""),""))</f>
        <v/>
      </c>
      <c r="E269">
        <f>IF(E$2=0,"",IFERROR(TRIM(INDEX('Pegar calibracion'!$A$1:$BZ$1001,268,E$2)&amp;""),""))</f>
        <v/>
      </c>
      <c r="F269">
        <f>IF(F$2=0,"",IFERROR(TRIM(INDEX('Pegar calibracion'!$A$1:$BZ$1001,268,F$2)&amp;""),""))</f>
        <v/>
      </c>
      <c r="G269">
        <f>IF(G$2=0,"",IFERROR(TRIM(INDEX('Pegar calibracion'!$A$1:$BZ$1001,268,G$2)&amp;""),""))</f>
        <v/>
      </c>
      <c r="H269">
        <f>IF(H$2=0,"",IFERROR(TRIM(INDEX('Pegar calibracion'!$A$1:$BZ$1001,268,H$2)&amp;""),""))</f>
        <v/>
      </c>
      <c r="I269">
        <f>IF(I$2=0,"",IFERROR(TRIM(INDEX('Pegar calibracion'!$A$1:$BZ$1001,268,I$2)&amp;""),""))</f>
        <v/>
      </c>
      <c r="J269">
        <f>IF(J$2=0,"",IFERROR(TRIM(INDEX('Pegar calibracion'!$A$1:$BZ$1001,268,J$2)&amp;""),""))</f>
        <v/>
      </c>
      <c r="K269">
        <f>IF(K$2=0,"",IFERROR(TRIM(INDEX('Pegar calibracion'!$A$1:$BZ$1001,268,K$2)&amp;""),""))</f>
        <v/>
      </c>
      <c r="L269">
        <f>IF(L$2=0,"",IFERROR(TRIM(INDEX('Pegar calibracion'!$A$1:$BZ$1001,268,L$2)&amp;""),""))</f>
        <v/>
      </c>
      <c r="M269" s="25">
        <f>IF(D269="","",SUBSTITUTE(SUBSTITUTE(SUBSTITUTE(SUBSTITUTE(SUBSTITUTE(SUBSTITUTE(SUBSTITUTE(SUBSTITUTE(SUBSTITUTE(SUBSTITUTE(SUBSTITUTE(SUBSTITUTE(LOWER(TRIM(D269)),"á","a"),"é","e"),"í","i"),"ó","o"),"ú","u"),"ü","u"),"ñ","n"),"à","a"),"è","e"),"ì","i"),"ò","o"),"ù","u"))</f>
        <v/>
      </c>
      <c r="N269" s="25">
        <f>IF(F269="","",SUBSTITUTE(SUBSTITUTE(SUBSTITUTE(SUBSTITUTE(SUBSTITUTE(SUBSTITUTE(SUBSTITUTE(SUBSTITUTE(SUBSTITUTE(SUBSTITUTE(SUBSTITUTE(SUBSTITUTE(LOWER(TRIM(F269)),"á","a"),"é","e"),"í","i"),"ó","o"),"ú","u"),"ü","u"),"ñ","n"),"à","a"),"è","e"),"ì","i"),"ò","o"),"ù","u"))</f>
        <v/>
      </c>
      <c r="O269" s="25">
        <f>IF(M269="confiable",2,IF(M269="dudosa",1,IF(M269="no confiable",0,"")))</f>
        <v/>
      </c>
      <c r="P269" s="25">
        <f>IF(N269="confiable",2,IF(N269="dudosa",1,IF(N269="no confiable",0,"")))</f>
        <v/>
      </c>
      <c r="Q269" s="25">
        <f>IF(AND(ISNUMBER(O269),ISNUMBER(P269)),1,"")</f>
        <v/>
      </c>
      <c r="R269" s="25">
        <f>IF(Q269=1,IF(O269=P269,"Sí","No"),"")</f>
        <v/>
      </c>
      <c r="S269" s="25">
        <f>IF(Q269=1,IF(P269&lt;O269,"Más estricto",IF(P269&gt;O269,"Más permisivo","Igual")),"")</f>
        <v/>
      </c>
      <c r="T269" s="25">
        <f>IF(Q269=1,IF(ABS(O269-P269)=2,1,0),"")</f>
        <v/>
      </c>
      <c r="U269" s="25">
        <f>IF(H269="","","|"&amp;SUBSTITUTE(SUBSTITUTE(TRIM(H269)," |","|"),"| ","|")&amp;"|")</f>
        <v/>
      </c>
      <c r="V269" s="25">
        <f>IF(AND(Q269=1,B269&lt;&gt;""),IF(IFERROR(COUNTIFS(B$3:B269,"="&amp;SUBSTITUTE(SUBSTITUTE(SUBSTITUTE(B269,"~","~~"),"*","~*"),"?","~?"),Q$3:Q269,1),0)=1,MAX(V$2:V268)+1,""),"")</f>
        <v/>
      </c>
      <c r="W269" s="25">
        <f>IF(V269="","",COUNTIFS($B$3:$B$1002,"="&amp;SUBSTITUTE(SUBSTITUTE(SUBSTITUTE(B269,"~","~~"),"*","~*"),"?","~?"),$Q$3:$Q$1002,1)*10000-V269)</f>
        <v/>
      </c>
      <c r="X269" s="25">
        <f>IF(Q269=1,IF(SUBSTITUTE(SUBSTITUTE(SUBSTITUTE(SUBSTITUTE(SUBSTITUTE(SUBSTITUTE(SUBSTITUTE(SUBSTITUTE(SUBSTITUTE(SUBSTITUTE(SUBSTITUTE(SUBSTITUTE(LOWER(TRIM(A269)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269)),"á","a"),"é","e"),"í","i"),"ó","o"),"ú","u"),"ü","u"),"ñ","n"),"à","a"),"è","e"),"ì","i"),"ò","o"),"ù","u")),"")</f>
        <v/>
      </c>
      <c r="Y269" s="25">
        <f>IF(X269="","",IF(IFERROR(COUNTIF(X$3:X269,"="&amp;SUBSTITUTE(SUBSTITUTE(SUBSTITUTE(X269,"~","~~"),"*","~*"),"?","~?")),0)=1,1,""))</f>
        <v/>
      </c>
      <c r="Z269" s="25">
        <f>IF(T269=1,MAX(Z$2:Z268)+1,"")</f>
        <v/>
      </c>
    </row>
    <row r="270">
      <c r="A270">
        <f>IF(A$2=0,"",IFERROR(TRIM(INDEX('Pegar calibracion'!$A$1:$BZ$1001,269,A$2)&amp;""),""))</f>
        <v/>
      </c>
      <c r="B270">
        <f>IF(B$2=0,"",IFERROR(TRIM(INDEX('Pegar calibracion'!$A$1:$BZ$1001,269,B$2)&amp;""),""))</f>
        <v/>
      </c>
      <c r="C270">
        <f>IF(C$2=0,"",IFERROR(TRIM(INDEX('Pegar calibracion'!$A$1:$BZ$1001,269,C$2)&amp;""),""))</f>
        <v/>
      </c>
      <c r="D270">
        <f>IF(D$2=0,"",IFERROR(TRIM(INDEX('Pegar calibracion'!$A$1:$BZ$1001,269,D$2)&amp;""),""))</f>
        <v/>
      </c>
      <c r="E270">
        <f>IF(E$2=0,"",IFERROR(TRIM(INDEX('Pegar calibracion'!$A$1:$BZ$1001,269,E$2)&amp;""),""))</f>
        <v/>
      </c>
      <c r="F270">
        <f>IF(F$2=0,"",IFERROR(TRIM(INDEX('Pegar calibracion'!$A$1:$BZ$1001,269,F$2)&amp;""),""))</f>
        <v/>
      </c>
      <c r="G270">
        <f>IF(G$2=0,"",IFERROR(TRIM(INDEX('Pegar calibracion'!$A$1:$BZ$1001,269,G$2)&amp;""),""))</f>
        <v/>
      </c>
      <c r="H270">
        <f>IF(H$2=0,"",IFERROR(TRIM(INDEX('Pegar calibracion'!$A$1:$BZ$1001,269,H$2)&amp;""),""))</f>
        <v/>
      </c>
      <c r="I270">
        <f>IF(I$2=0,"",IFERROR(TRIM(INDEX('Pegar calibracion'!$A$1:$BZ$1001,269,I$2)&amp;""),""))</f>
        <v/>
      </c>
      <c r="J270">
        <f>IF(J$2=0,"",IFERROR(TRIM(INDEX('Pegar calibracion'!$A$1:$BZ$1001,269,J$2)&amp;""),""))</f>
        <v/>
      </c>
      <c r="K270">
        <f>IF(K$2=0,"",IFERROR(TRIM(INDEX('Pegar calibracion'!$A$1:$BZ$1001,269,K$2)&amp;""),""))</f>
        <v/>
      </c>
      <c r="L270">
        <f>IF(L$2=0,"",IFERROR(TRIM(INDEX('Pegar calibracion'!$A$1:$BZ$1001,269,L$2)&amp;""),""))</f>
        <v/>
      </c>
      <c r="M270" s="25">
        <f>IF(D270="","",SUBSTITUTE(SUBSTITUTE(SUBSTITUTE(SUBSTITUTE(SUBSTITUTE(SUBSTITUTE(SUBSTITUTE(SUBSTITUTE(SUBSTITUTE(SUBSTITUTE(SUBSTITUTE(SUBSTITUTE(LOWER(TRIM(D270)),"á","a"),"é","e"),"í","i"),"ó","o"),"ú","u"),"ü","u"),"ñ","n"),"à","a"),"è","e"),"ì","i"),"ò","o"),"ù","u"))</f>
        <v/>
      </c>
      <c r="N270" s="25">
        <f>IF(F270="","",SUBSTITUTE(SUBSTITUTE(SUBSTITUTE(SUBSTITUTE(SUBSTITUTE(SUBSTITUTE(SUBSTITUTE(SUBSTITUTE(SUBSTITUTE(SUBSTITUTE(SUBSTITUTE(SUBSTITUTE(LOWER(TRIM(F270)),"á","a"),"é","e"),"í","i"),"ó","o"),"ú","u"),"ü","u"),"ñ","n"),"à","a"),"è","e"),"ì","i"),"ò","o"),"ù","u"))</f>
        <v/>
      </c>
      <c r="O270" s="25">
        <f>IF(M270="confiable",2,IF(M270="dudosa",1,IF(M270="no confiable",0,"")))</f>
        <v/>
      </c>
      <c r="P270" s="25">
        <f>IF(N270="confiable",2,IF(N270="dudosa",1,IF(N270="no confiable",0,"")))</f>
        <v/>
      </c>
      <c r="Q270" s="25">
        <f>IF(AND(ISNUMBER(O270),ISNUMBER(P270)),1,"")</f>
        <v/>
      </c>
      <c r="R270" s="25">
        <f>IF(Q270=1,IF(O270=P270,"Sí","No"),"")</f>
        <v/>
      </c>
      <c r="S270" s="25">
        <f>IF(Q270=1,IF(P270&lt;O270,"Más estricto",IF(P270&gt;O270,"Más permisivo","Igual")),"")</f>
        <v/>
      </c>
      <c r="T270" s="25">
        <f>IF(Q270=1,IF(ABS(O270-P270)=2,1,0),"")</f>
        <v/>
      </c>
      <c r="U270" s="25">
        <f>IF(H270="","","|"&amp;SUBSTITUTE(SUBSTITUTE(TRIM(H270)," |","|"),"| ","|")&amp;"|")</f>
        <v/>
      </c>
      <c r="V270" s="25">
        <f>IF(AND(Q270=1,B270&lt;&gt;""),IF(IFERROR(COUNTIFS(B$3:B270,"="&amp;SUBSTITUTE(SUBSTITUTE(SUBSTITUTE(B270,"~","~~"),"*","~*"),"?","~?"),Q$3:Q270,1),0)=1,MAX(V$2:V269)+1,""),"")</f>
        <v/>
      </c>
      <c r="W270" s="25">
        <f>IF(V270="","",COUNTIFS($B$3:$B$1002,"="&amp;SUBSTITUTE(SUBSTITUTE(SUBSTITUTE(B270,"~","~~"),"*","~*"),"?","~?"),$Q$3:$Q$1002,1)*10000-V270)</f>
        <v/>
      </c>
      <c r="X270" s="25">
        <f>IF(Q270=1,IF(SUBSTITUTE(SUBSTITUTE(SUBSTITUTE(SUBSTITUTE(SUBSTITUTE(SUBSTITUTE(SUBSTITUTE(SUBSTITUTE(SUBSTITUTE(SUBSTITUTE(SUBSTITUTE(SUBSTITUTE(LOWER(TRIM(A270)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270)),"á","a"),"é","e"),"í","i"),"ó","o"),"ú","u"),"ü","u"),"ñ","n"),"à","a"),"è","e"),"ì","i"),"ò","o"),"ù","u")),"")</f>
        <v/>
      </c>
      <c r="Y270" s="25">
        <f>IF(X270="","",IF(IFERROR(COUNTIF(X$3:X270,"="&amp;SUBSTITUTE(SUBSTITUTE(SUBSTITUTE(X270,"~","~~"),"*","~*"),"?","~?")),0)=1,1,""))</f>
        <v/>
      </c>
      <c r="Z270" s="25">
        <f>IF(T270=1,MAX(Z$2:Z269)+1,"")</f>
        <v/>
      </c>
    </row>
    <row r="271">
      <c r="A271">
        <f>IF(A$2=0,"",IFERROR(TRIM(INDEX('Pegar calibracion'!$A$1:$BZ$1001,270,A$2)&amp;""),""))</f>
        <v/>
      </c>
      <c r="B271">
        <f>IF(B$2=0,"",IFERROR(TRIM(INDEX('Pegar calibracion'!$A$1:$BZ$1001,270,B$2)&amp;""),""))</f>
        <v/>
      </c>
      <c r="C271">
        <f>IF(C$2=0,"",IFERROR(TRIM(INDEX('Pegar calibracion'!$A$1:$BZ$1001,270,C$2)&amp;""),""))</f>
        <v/>
      </c>
      <c r="D271">
        <f>IF(D$2=0,"",IFERROR(TRIM(INDEX('Pegar calibracion'!$A$1:$BZ$1001,270,D$2)&amp;""),""))</f>
        <v/>
      </c>
      <c r="E271">
        <f>IF(E$2=0,"",IFERROR(TRIM(INDEX('Pegar calibracion'!$A$1:$BZ$1001,270,E$2)&amp;""),""))</f>
        <v/>
      </c>
      <c r="F271">
        <f>IF(F$2=0,"",IFERROR(TRIM(INDEX('Pegar calibracion'!$A$1:$BZ$1001,270,F$2)&amp;""),""))</f>
        <v/>
      </c>
      <c r="G271">
        <f>IF(G$2=0,"",IFERROR(TRIM(INDEX('Pegar calibracion'!$A$1:$BZ$1001,270,G$2)&amp;""),""))</f>
        <v/>
      </c>
      <c r="H271">
        <f>IF(H$2=0,"",IFERROR(TRIM(INDEX('Pegar calibracion'!$A$1:$BZ$1001,270,H$2)&amp;""),""))</f>
        <v/>
      </c>
      <c r="I271">
        <f>IF(I$2=0,"",IFERROR(TRIM(INDEX('Pegar calibracion'!$A$1:$BZ$1001,270,I$2)&amp;""),""))</f>
        <v/>
      </c>
      <c r="J271">
        <f>IF(J$2=0,"",IFERROR(TRIM(INDEX('Pegar calibracion'!$A$1:$BZ$1001,270,J$2)&amp;""),""))</f>
        <v/>
      </c>
      <c r="K271">
        <f>IF(K$2=0,"",IFERROR(TRIM(INDEX('Pegar calibracion'!$A$1:$BZ$1001,270,K$2)&amp;""),""))</f>
        <v/>
      </c>
      <c r="L271">
        <f>IF(L$2=0,"",IFERROR(TRIM(INDEX('Pegar calibracion'!$A$1:$BZ$1001,270,L$2)&amp;""),""))</f>
        <v/>
      </c>
      <c r="M271" s="25">
        <f>IF(D271="","",SUBSTITUTE(SUBSTITUTE(SUBSTITUTE(SUBSTITUTE(SUBSTITUTE(SUBSTITUTE(SUBSTITUTE(SUBSTITUTE(SUBSTITUTE(SUBSTITUTE(SUBSTITUTE(SUBSTITUTE(LOWER(TRIM(D271)),"á","a"),"é","e"),"í","i"),"ó","o"),"ú","u"),"ü","u"),"ñ","n"),"à","a"),"è","e"),"ì","i"),"ò","o"),"ù","u"))</f>
        <v/>
      </c>
      <c r="N271" s="25">
        <f>IF(F271="","",SUBSTITUTE(SUBSTITUTE(SUBSTITUTE(SUBSTITUTE(SUBSTITUTE(SUBSTITUTE(SUBSTITUTE(SUBSTITUTE(SUBSTITUTE(SUBSTITUTE(SUBSTITUTE(SUBSTITUTE(LOWER(TRIM(F271)),"á","a"),"é","e"),"í","i"),"ó","o"),"ú","u"),"ü","u"),"ñ","n"),"à","a"),"è","e"),"ì","i"),"ò","o"),"ù","u"))</f>
        <v/>
      </c>
      <c r="O271" s="25">
        <f>IF(M271="confiable",2,IF(M271="dudosa",1,IF(M271="no confiable",0,"")))</f>
        <v/>
      </c>
      <c r="P271" s="25">
        <f>IF(N271="confiable",2,IF(N271="dudosa",1,IF(N271="no confiable",0,"")))</f>
        <v/>
      </c>
      <c r="Q271" s="25">
        <f>IF(AND(ISNUMBER(O271),ISNUMBER(P271)),1,"")</f>
        <v/>
      </c>
      <c r="R271" s="25">
        <f>IF(Q271=1,IF(O271=P271,"Sí","No"),"")</f>
        <v/>
      </c>
      <c r="S271" s="25">
        <f>IF(Q271=1,IF(P271&lt;O271,"Más estricto",IF(P271&gt;O271,"Más permisivo","Igual")),"")</f>
        <v/>
      </c>
      <c r="T271" s="25">
        <f>IF(Q271=1,IF(ABS(O271-P271)=2,1,0),"")</f>
        <v/>
      </c>
      <c r="U271" s="25">
        <f>IF(H271="","","|"&amp;SUBSTITUTE(SUBSTITUTE(TRIM(H271)," |","|"),"| ","|")&amp;"|")</f>
        <v/>
      </c>
      <c r="V271" s="25">
        <f>IF(AND(Q271=1,B271&lt;&gt;""),IF(IFERROR(COUNTIFS(B$3:B271,"="&amp;SUBSTITUTE(SUBSTITUTE(SUBSTITUTE(B271,"~","~~"),"*","~*"),"?","~?"),Q$3:Q271,1),0)=1,MAX(V$2:V270)+1,""),"")</f>
        <v/>
      </c>
      <c r="W271" s="25">
        <f>IF(V271="","",COUNTIFS($B$3:$B$1002,"="&amp;SUBSTITUTE(SUBSTITUTE(SUBSTITUTE(B271,"~","~~"),"*","~*"),"?","~?"),$Q$3:$Q$1002,1)*10000-V271)</f>
        <v/>
      </c>
      <c r="X271" s="25">
        <f>IF(Q271=1,IF(SUBSTITUTE(SUBSTITUTE(SUBSTITUTE(SUBSTITUTE(SUBSTITUTE(SUBSTITUTE(SUBSTITUTE(SUBSTITUTE(SUBSTITUTE(SUBSTITUTE(SUBSTITUTE(SUBSTITUTE(LOWER(TRIM(A271)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271)),"á","a"),"é","e"),"í","i"),"ó","o"),"ú","u"),"ü","u"),"ñ","n"),"à","a"),"è","e"),"ì","i"),"ò","o"),"ù","u")),"")</f>
        <v/>
      </c>
      <c r="Y271" s="25">
        <f>IF(X271="","",IF(IFERROR(COUNTIF(X$3:X271,"="&amp;SUBSTITUTE(SUBSTITUTE(SUBSTITUTE(X271,"~","~~"),"*","~*"),"?","~?")),0)=1,1,""))</f>
        <v/>
      </c>
      <c r="Z271" s="25">
        <f>IF(T271=1,MAX(Z$2:Z270)+1,"")</f>
        <v/>
      </c>
    </row>
    <row r="272">
      <c r="A272">
        <f>IF(A$2=0,"",IFERROR(TRIM(INDEX('Pegar calibracion'!$A$1:$BZ$1001,271,A$2)&amp;""),""))</f>
        <v/>
      </c>
      <c r="B272">
        <f>IF(B$2=0,"",IFERROR(TRIM(INDEX('Pegar calibracion'!$A$1:$BZ$1001,271,B$2)&amp;""),""))</f>
        <v/>
      </c>
      <c r="C272">
        <f>IF(C$2=0,"",IFERROR(TRIM(INDEX('Pegar calibracion'!$A$1:$BZ$1001,271,C$2)&amp;""),""))</f>
        <v/>
      </c>
      <c r="D272">
        <f>IF(D$2=0,"",IFERROR(TRIM(INDEX('Pegar calibracion'!$A$1:$BZ$1001,271,D$2)&amp;""),""))</f>
        <v/>
      </c>
      <c r="E272">
        <f>IF(E$2=0,"",IFERROR(TRIM(INDEX('Pegar calibracion'!$A$1:$BZ$1001,271,E$2)&amp;""),""))</f>
        <v/>
      </c>
      <c r="F272">
        <f>IF(F$2=0,"",IFERROR(TRIM(INDEX('Pegar calibracion'!$A$1:$BZ$1001,271,F$2)&amp;""),""))</f>
        <v/>
      </c>
      <c r="G272">
        <f>IF(G$2=0,"",IFERROR(TRIM(INDEX('Pegar calibracion'!$A$1:$BZ$1001,271,G$2)&amp;""),""))</f>
        <v/>
      </c>
      <c r="H272">
        <f>IF(H$2=0,"",IFERROR(TRIM(INDEX('Pegar calibracion'!$A$1:$BZ$1001,271,H$2)&amp;""),""))</f>
        <v/>
      </c>
      <c r="I272">
        <f>IF(I$2=0,"",IFERROR(TRIM(INDEX('Pegar calibracion'!$A$1:$BZ$1001,271,I$2)&amp;""),""))</f>
        <v/>
      </c>
      <c r="J272">
        <f>IF(J$2=0,"",IFERROR(TRIM(INDEX('Pegar calibracion'!$A$1:$BZ$1001,271,J$2)&amp;""),""))</f>
        <v/>
      </c>
      <c r="K272">
        <f>IF(K$2=0,"",IFERROR(TRIM(INDEX('Pegar calibracion'!$A$1:$BZ$1001,271,K$2)&amp;""),""))</f>
        <v/>
      </c>
      <c r="L272">
        <f>IF(L$2=0,"",IFERROR(TRIM(INDEX('Pegar calibracion'!$A$1:$BZ$1001,271,L$2)&amp;""),""))</f>
        <v/>
      </c>
      <c r="M272" s="25">
        <f>IF(D272="","",SUBSTITUTE(SUBSTITUTE(SUBSTITUTE(SUBSTITUTE(SUBSTITUTE(SUBSTITUTE(SUBSTITUTE(SUBSTITUTE(SUBSTITUTE(SUBSTITUTE(SUBSTITUTE(SUBSTITUTE(LOWER(TRIM(D272)),"á","a"),"é","e"),"í","i"),"ó","o"),"ú","u"),"ü","u"),"ñ","n"),"à","a"),"è","e"),"ì","i"),"ò","o"),"ù","u"))</f>
        <v/>
      </c>
      <c r="N272" s="25">
        <f>IF(F272="","",SUBSTITUTE(SUBSTITUTE(SUBSTITUTE(SUBSTITUTE(SUBSTITUTE(SUBSTITUTE(SUBSTITUTE(SUBSTITUTE(SUBSTITUTE(SUBSTITUTE(SUBSTITUTE(SUBSTITUTE(LOWER(TRIM(F272)),"á","a"),"é","e"),"í","i"),"ó","o"),"ú","u"),"ü","u"),"ñ","n"),"à","a"),"è","e"),"ì","i"),"ò","o"),"ù","u"))</f>
        <v/>
      </c>
      <c r="O272" s="25">
        <f>IF(M272="confiable",2,IF(M272="dudosa",1,IF(M272="no confiable",0,"")))</f>
        <v/>
      </c>
      <c r="P272" s="25">
        <f>IF(N272="confiable",2,IF(N272="dudosa",1,IF(N272="no confiable",0,"")))</f>
        <v/>
      </c>
      <c r="Q272" s="25">
        <f>IF(AND(ISNUMBER(O272),ISNUMBER(P272)),1,"")</f>
        <v/>
      </c>
      <c r="R272" s="25">
        <f>IF(Q272=1,IF(O272=P272,"Sí","No"),"")</f>
        <v/>
      </c>
      <c r="S272" s="25">
        <f>IF(Q272=1,IF(P272&lt;O272,"Más estricto",IF(P272&gt;O272,"Más permisivo","Igual")),"")</f>
        <v/>
      </c>
      <c r="T272" s="25">
        <f>IF(Q272=1,IF(ABS(O272-P272)=2,1,0),"")</f>
        <v/>
      </c>
      <c r="U272" s="25">
        <f>IF(H272="","","|"&amp;SUBSTITUTE(SUBSTITUTE(TRIM(H272)," |","|"),"| ","|")&amp;"|")</f>
        <v/>
      </c>
      <c r="V272" s="25">
        <f>IF(AND(Q272=1,B272&lt;&gt;""),IF(IFERROR(COUNTIFS(B$3:B272,"="&amp;SUBSTITUTE(SUBSTITUTE(SUBSTITUTE(B272,"~","~~"),"*","~*"),"?","~?"),Q$3:Q272,1),0)=1,MAX(V$2:V271)+1,""),"")</f>
        <v/>
      </c>
      <c r="W272" s="25">
        <f>IF(V272="","",COUNTIFS($B$3:$B$1002,"="&amp;SUBSTITUTE(SUBSTITUTE(SUBSTITUTE(B272,"~","~~"),"*","~*"),"?","~?"),$Q$3:$Q$1002,1)*10000-V272)</f>
        <v/>
      </c>
      <c r="X272" s="25">
        <f>IF(Q272=1,IF(SUBSTITUTE(SUBSTITUTE(SUBSTITUTE(SUBSTITUTE(SUBSTITUTE(SUBSTITUTE(SUBSTITUTE(SUBSTITUTE(SUBSTITUTE(SUBSTITUTE(SUBSTITUTE(SUBSTITUTE(LOWER(TRIM(A272)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272)),"á","a"),"é","e"),"í","i"),"ó","o"),"ú","u"),"ü","u"),"ñ","n"),"à","a"),"è","e"),"ì","i"),"ò","o"),"ù","u")),"")</f>
        <v/>
      </c>
      <c r="Y272" s="25">
        <f>IF(X272="","",IF(IFERROR(COUNTIF(X$3:X272,"="&amp;SUBSTITUTE(SUBSTITUTE(SUBSTITUTE(X272,"~","~~"),"*","~*"),"?","~?")),0)=1,1,""))</f>
        <v/>
      </c>
      <c r="Z272" s="25">
        <f>IF(T272=1,MAX(Z$2:Z271)+1,"")</f>
        <v/>
      </c>
    </row>
    <row r="273">
      <c r="A273">
        <f>IF(A$2=0,"",IFERROR(TRIM(INDEX('Pegar calibracion'!$A$1:$BZ$1001,272,A$2)&amp;""),""))</f>
        <v/>
      </c>
      <c r="B273">
        <f>IF(B$2=0,"",IFERROR(TRIM(INDEX('Pegar calibracion'!$A$1:$BZ$1001,272,B$2)&amp;""),""))</f>
        <v/>
      </c>
      <c r="C273">
        <f>IF(C$2=0,"",IFERROR(TRIM(INDEX('Pegar calibracion'!$A$1:$BZ$1001,272,C$2)&amp;""),""))</f>
        <v/>
      </c>
      <c r="D273">
        <f>IF(D$2=0,"",IFERROR(TRIM(INDEX('Pegar calibracion'!$A$1:$BZ$1001,272,D$2)&amp;""),""))</f>
        <v/>
      </c>
      <c r="E273">
        <f>IF(E$2=0,"",IFERROR(TRIM(INDEX('Pegar calibracion'!$A$1:$BZ$1001,272,E$2)&amp;""),""))</f>
        <v/>
      </c>
      <c r="F273">
        <f>IF(F$2=0,"",IFERROR(TRIM(INDEX('Pegar calibracion'!$A$1:$BZ$1001,272,F$2)&amp;""),""))</f>
        <v/>
      </c>
      <c r="G273">
        <f>IF(G$2=0,"",IFERROR(TRIM(INDEX('Pegar calibracion'!$A$1:$BZ$1001,272,G$2)&amp;""),""))</f>
        <v/>
      </c>
      <c r="H273">
        <f>IF(H$2=0,"",IFERROR(TRIM(INDEX('Pegar calibracion'!$A$1:$BZ$1001,272,H$2)&amp;""),""))</f>
        <v/>
      </c>
      <c r="I273">
        <f>IF(I$2=0,"",IFERROR(TRIM(INDEX('Pegar calibracion'!$A$1:$BZ$1001,272,I$2)&amp;""),""))</f>
        <v/>
      </c>
      <c r="J273">
        <f>IF(J$2=0,"",IFERROR(TRIM(INDEX('Pegar calibracion'!$A$1:$BZ$1001,272,J$2)&amp;""),""))</f>
        <v/>
      </c>
      <c r="K273">
        <f>IF(K$2=0,"",IFERROR(TRIM(INDEX('Pegar calibracion'!$A$1:$BZ$1001,272,K$2)&amp;""),""))</f>
        <v/>
      </c>
      <c r="L273">
        <f>IF(L$2=0,"",IFERROR(TRIM(INDEX('Pegar calibracion'!$A$1:$BZ$1001,272,L$2)&amp;""),""))</f>
        <v/>
      </c>
      <c r="M273" s="25">
        <f>IF(D273="","",SUBSTITUTE(SUBSTITUTE(SUBSTITUTE(SUBSTITUTE(SUBSTITUTE(SUBSTITUTE(SUBSTITUTE(SUBSTITUTE(SUBSTITUTE(SUBSTITUTE(SUBSTITUTE(SUBSTITUTE(LOWER(TRIM(D273)),"á","a"),"é","e"),"í","i"),"ó","o"),"ú","u"),"ü","u"),"ñ","n"),"à","a"),"è","e"),"ì","i"),"ò","o"),"ù","u"))</f>
        <v/>
      </c>
      <c r="N273" s="25">
        <f>IF(F273="","",SUBSTITUTE(SUBSTITUTE(SUBSTITUTE(SUBSTITUTE(SUBSTITUTE(SUBSTITUTE(SUBSTITUTE(SUBSTITUTE(SUBSTITUTE(SUBSTITUTE(SUBSTITUTE(SUBSTITUTE(LOWER(TRIM(F273)),"á","a"),"é","e"),"í","i"),"ó","o"),"ú","u"),"ü","u"),"ñ","n"),"à","a"),"è","e"),"ì","i"),"ò","o"),"ù","u"))</f>
        <v/>
      </c>
      <c r="O273" s="25">
        <f>IF(M273="confiable",2,IF(M273="dudosa",1,IF(M273="no confiable",0,"")))</f>
        <v/>
      </c>
      <c r="P273" s="25">
        <f>IF(N273="confiable",2,IF(N273="dudosa",1,IF(N273="no confiable",0,"")))</f>
        <v/>
      </c>
      <c r="Q273" s="25">
        <f>IF(AND(ISNUMBER(O273),ISNUMBER(P273)),1,"")</f>
        <v/>
      </c>
      <c r="R273" s="25">
        <f>IF(Q273=1,IF(O273=P273,"Sí","No"),"")</f>
        <v/>
      </c>
      <c r="S273" s="25">
        <f>IF(Q273=1,IF(P273&lt;O273,"Más estricto",IF(P273&gt;O273,"Más permisivo","Igual")),"")</f>
        <v/>
      </c>
      <c r="T273" s="25">
        <f>IF(Q273=1,IF(ABS(O273-P273)=2,1,0),"")</f>
        <v/>
      </c>
      <c r="U273" s="25">
        <f>IF(H273="","","|"&amp;SUBSTITUTE(SUBSTITUTE(TRIM(H273)," |","|"),"| ","|")&amp;"|")</f>
        <v/>
      </c>
      <c r="V273" s="25">
        <f>IF(AND(Q273=1,B273&lt;&gt;""),IF(IFERROR(COUNTIFS(B$3:B273,"="&amp;SUBSTITUTE(SUBSTITUTE(SUBSTITUTE(B273,"~","~~"),"*","~*"),"?","~?"),Q$3:Q273,1),0)=1,MAX(V$2:V272)+1,""),"")</f>
        <v/>
      </c>
      <c r="W273" s="25">
        <f>IF(V273="","",COUNTIFS($B$3:$B$1002,"="&amp;SUBSTITUTE(SUBSTITUTE(SUBSTITUTE(B273,"~","~~"),"*","~*"),"?","~?"),$Q$3:$Q$1002,1)*10000-V273)</f>
        <v/>
      </c>
      <c r="X273" s="25">
        <f>IF(Q273=1,IF(SUBSTITUTE(SUBSTITUTE(SUBSTITUTE(SUBSTITUTE(SUBSTITUTE(SUBSTITUTE(SUBSTITUTE(SUBSTITUTE(SUBSTITUTE(SUBSTITUTE(SUBSTITUTE(SUBSTITUTE(LOWER(TRIM(A273)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273)),"á","a"),"é","e"),"í","i"),"ó","o"),"ú","u"),"ü","u"),"ñ","n"),"à","a"),"è","e"),"ì","i"),"ò","o"),"ù","u")),"")</f>
        <v/>
      </c>
      <c r="Y273" s="25">
        <f>IF(X273="","",IF(IFERROR(COUNTIF(X$3:X273,"="&amp;SUBSTITUTE(SUBSTITUTE(SUBSTITUTE(X273,"~","~~"),"*","~*"),"?","~?")),0)=1,1,""))</f>
        <v/>
      </c>
      <c r="Z273" s="25">
        <f>IF(T273=1,MAX(Z$2:Z272)+1,"")</f>
        <v/>
      </c>
    </row>
    <row r="274">
      <c r="A274">
        <f>IF(A$2=0,"",IFERROR(TRIM(INDEX('Pegar calibracion'!$A$1:$BZ$1001,273,A$2)&amp;""),""))</f>
        <v/>
      </c>
      <c r="B274">
        <f>IF(B$2=0,"",IFERROR(TRIM(INDEX('Pegar calibracion'!$A$1:$BZ$1001,273,B$2)&amp;""),""))</f>
        <v/>
      </c>
      <c r="C274">
        <f>IF(C$2=0,"",IFERROR(TRIM(INDEX('Pegar calibracion'!$A$1:$BZ$1001,273,C$2)&amp;""),""))</f>
        <v/>
      </c>
      <c r="D274">
        <f>IF(D$2=0,"",IFERROR(TRIM(INDEX('Pegar calibracion'!$A$1:$BZ$1001,273,D$2)&amp;""),""))</f>
        <v/>
      </c>
      <c r="E274">
        <f>IF(E$2=0,"",IFERROR(TRIM(INDEX('Pegar calibracion'!$A$1:$BZ$1001,273,E$2)&amp;""),""))</f>
        <v/>
      </c>
      <c r="F274">
        <f>IF(F$2=0,"",IFERROR(TRIM(INDEX('Pegar calibracion'!$A$1:$BZ$1001,273,F$2)&amp;""),""))</f>
        <v/>
      </c>
      <c r="G274">
        <f>IF(G$2=0,"",IFERROR(TRIM(INDEX('Pegar calibracion'!$A$1:$BZ$1001,273,G$2)&amp;""),""))</f>
        <v/>
      </c>
      <c r="H274">
        <f>IF(H$2=0,"",IFERROR(TRIM(INDEX('Pegar calibracion'!$A$1:$BZ$1001,273,H$2)&amp;""),""))</f>
        <v/>
      </c>
      <c r="I274">
        <f>IF(I$2=0,"",IFERROR(TRIM(INDEX('Pegar calibracion'!$A$1:$BZ$1001,273,I$2)&amp;""),""))</f>
        <v/>
      </c>
      <c r="J274">
        <f>IF(J$2=0,"",IFERROR(TRIM(INDEX('Pegar calibracion'!$A$1:$BZ$1001,273,J$2)&amp;""),""))</f>
        <v/>
      </c>
      <c r="K274">
        <f>IF(K$2=0,"",IFERROR(TRIM(INDEX('Pegar calibracion'!$A$1:$BZ$1001,273,K$2)&amp;""),""))</f>
        <v/>
      </c>
      <c r="L274">
        <f>IF(L$2=0,"",IFERROR(TRIM(INDEX('Pegar calibracion'!$A$1:$BZ$1001,273,L$2)&amp;""),""))</f>
        <v/>
      </c>
      <c r="M274" s="25">
        <f>IF(D274="","",SUBSTITUTE(SUBSTITUTE(SUBSTITUTE(SUBSTITUTE(SUBSTITUTE(SUBSTITUTE(SUBSTITUTE(SUBSTITUTE(SUBSTITUTE(SUBSTITUTE(SUBSTITUTE(SUBSTITUTE(LOWER(TRIM(D274)),"á","a"),"é","e"),"í","i"),"ó","o"),"ú","u"),"ü","u"),"ñ","n"),"à","a"),"è","e"),"ì","i"),"ò","o"),"ù","u"))</f>
        <v/>
      </c>
      <c r="N274" s="25">
        <f>IF(F274="","",SUBSTITUTE(SUBSTITUTE(SUBSTITUTE(SUBSTITUTE(SUBSTITUTE(SUBSTITUTE(SUBSTITUTE(SUBSTITUTE(SUBSTITUTE(SUBSTITUTE(SUBSTITUTE(SUBSTITUTE(LOWER(TRIM(F274)),"á","a"),"é","e"),"í","i"),"ó","o"),"ú","u"),"ü","u"),"ñ","n"),"à","a"),"è","e"),"ì","i"),"ò","o"),"ù","u"))</f>
        <v/>
      </c>
      <c r="O274" s="25">
        <f>IF(M274="confiable",2,IF(M274="dudosa",1,IF(M274="no confiable",0,"")))</f>
        <v/>
      </c>
      <c r="P274" s="25">
        <f>IF(N274="confiable",2,IF(N274="dudosa",1,IF(N274="no confiable",0,"")))</f>
        <v/>
      </c>
      <c r="Q274" s="25">
        <f>IF(AND(ISNUMBER(O274),ISNUMBER(P274)),1,"")</f>
        <v/>
      </c>
      <c r="R274" s="25">
        <f>IF(Q274=1,IF(O274=P274,"Sí","No"),"")</f>
        <v/>
      </c>
      <c r="S274" s="25">
        <f>IF(Q274=1,IF(P274&lt;O274,"Más estricto",IF(P274&gt;O274,"Más permisivo","Igual")),"")</f>
        <v/>
      </c>
      <c r="T274" s="25">
        <f>IF(Q274=1,IF(ABS(O274-P274)=2,1,0),"")</f>
        <v/>
      </c>
      <c r="U274" s="25">
        <f>IF(H274="","","|"&amp;SUBSTITUTE(SUBSTITUTE(TRIM(H274)," |","|"),"| ","|")&amp;"|")</f>
        <v/>
      </c>
      <c r="V274" s="25">
        <f>IF(AND(Q274=1,B274&lt;&gt;""),IF(IFERROR(COUNTIFS(B$3:B274,"="&amp;SUBSTITUTE(SUBSTITUTE(SUBSTITUTE(B274,"~","~~"),"*","~*"),"?","~?"),Q$3:Q274,1),0)=1,MAX(V$2:V273)+1,""),"")</f>
        <v/>
      </c>
      <c r="W274" s="25">
        <f>IF(V274="","",COUNTIFS($B$3:$B$1002,"="&amp;SUBSTITUTE(SUBSTITUTE(SUBSTITUTE(B274,"~","~~"),"*","~*"),"?","~?"),$Q$3:$Q$1002,1)*10000-V274)</f>
        <v/>
      </c>
      <c r="X274" s="25">
        <f>IF(Q274=1,IF(SUBSTITUTE(SUBSTITUTE(SUBSTITUTE(SUBSTITUTE(SUBSTITUTE(SUBSTITUTE(SUBSTITUTE(SUBSTITUTE(SUBSTITUTE(SUBSTITUTE(SUBSTITUTE(SUBSTITUTE(LOWER(TRIM(A274)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274)),"á","a"),"é","e"),"í","i"),"ó","o"),"ú","u"),"ü","u"),"ñ","n"),"à","a"),"è","e"),"ì","i"),"ò","o"),"ù","u")),"")</f>
        <v/>
      </c>
      <c r="Y274" s="25">
        <f>IF(X274="","",IF(IFERROR(COUNTIF(X$3:X274,"="&amp;SUBSTITUTE(SUBSTITUTE(SUBSTITUTE(X274,"~","~~"),"*","~*"),"?","~?")),0)=1,1,""))</f>
        <v/>
      </c>
      <c r="Z274" s="25">
        <f>IF(T274=1,MAX(Z$2:Z273)+1,"")</f>
        <v/>
      </c>
    </row>
    <row r="275">
      <c r="A275">
        <f>IF(A$2=0,"",IFERROR(TRIM(INDEX('Pegar calibracion'!$A$1:$BZ$1001,274,A$2)&amp;""),""))</f>
        <v/>
      </c>
      <c r="B275">
        <f>IF(B$2=0,"",IFERROR(TRIM(INDEX('Pegar calibracion'!$A$1:$BZ$1001,274,B$2)&amp;""),""))</f>
        <v/>
      </c>
      <c r="C275">
        <f>IF(C$2=0,"",IFERROR(TRIM(INDEX('Pegar calibracion'!$A$1:$BZ$1001,274,C$2)&amp;""),""))</f>
        <v/>
      </c>
      <c r="D275">
        <f>IF(D$2=0,"",IFERROR(TRIM(INDEX('Pegar calibracion'!$A$1:$BZ$1001,274,D$2)&amp;""),""))</f>
        <v/>
      </c>
      <c r="E275">
        <f>IF(E$2=0,"",IFERROR(TRIM(INDEX('Pegar calibracion'!$A$1:$BZ$1001,274,E$2)&amp;""),""))</f>
        <v/>
      </c>
      <c r="F275">
        <f>IF(F$2=0,"",IFERROR(TRIM(INDEX('Pegar calibracion'!$A$1:$BZ$1001,274,F$2)&amp;""),""))</f>
        <v/>
      </c>
      <c r="G275">
        <f>IF(G$2=0,"",IFERROR(TRIM(INDEX('Pegar calibracion'!$A$1:$BZ$1001,274,G$2)&amp;""),""))</f>
        <v/>
      </c>
      <c r="H275">
        <f>IF(H$2=0,"",IFERROR(TRIM(INDEX('Pegar calibracion'!$A$1:$BZ$1001,274,H$2)&amp;""),""))</f>
        <v/>
      </c>
      <c r="I275">
        <f>IF(I$2=0,"",IFERROR(TRIM(INDEX('Pegar calibracion'!$A$1:$BZ$1001,274,I$2)&amp;""),""))</f>
        <v/>
      </c>
      <c r="J275">
        <f>IF(J$2=0,"",IFERROR(TRIM(INDEX('Pegar calibracion'!$A$1:$BZ$1001,274,J$2)&amp;""),""))</f>
        <v/>
      </c>
      <c r="K275">
        <f>IF(K$2=0,"",IFERROR(TRIM(INDEX('Pegar calibracion'!$A$1:$BZ$1001,274,K$2)&amp;""),""))</f>
        <v/>
      </c>
      <c r="L275">
        <f>IF(L$2=0,"",IFERROR(TRIM(INDEX('Pegar calibracion'!$A$1:$BZ$1001,274,L$2)&amp;""),""))</f>
        <v/>
      </c>
      <c r="M275" s="25">
        <f>IF(D275="","",SUBSTITUTE(SUBSTITUTE(SUBSTITUTE(SUBSTITUTE(SUBSTITUTE(SUBSTITUTE(SUBSTITUTE(SUBSTITUTE(SUBSTITUTE(SUBSTITUTE(SUBSTITUTE(SUBSTITUTE(LOWER(TRIM(D275)),"á","a"),"é","e"),"í","i"),"ó","o"),"ú","u"),"ü","u"),"ñ","n"),"à","a"),"è","e"),"ì","i"),"ò","o"),"ù","u"))</f>
        <v/>
      </c>
      <c r="N275" s="25">
        <f>IF(F275="","",SUBSTITUTE(SUBSTITUTE(SUBSTITUTE(SUBSTITUTE(SUBSTITUTE(SUBSTITUTE(SUBSTITUTE(SUBSTITUTE(SUBSTITUTE(SUBSTITUTE(SUBSTITUTE(SUBSTITUTE(LOWER(TRIM(F275)),"á","a"),"é","e"),"í","i"),"ó","o"),"ú","u"),"ü","u"),"ñ","n"),"à","a"),"è","e"),"ì","i"),"ò","o"),"ù","u"))</f>
        <v/>
      </c>
      <c r="O275" s="25">
        <f>IF(M275="confiable",2,IF(M275="dudosa",1,IF(M275="no confiable",0,"")))</f>
        <v/>
      </c>
      <c r="P275" s="25">
        <f>IF(N275="confiable",2,IF(N275="dudosa",1,IF(N275="no confiable",0,"")))</f>
        <v/>
      </c>
      <c r="Q275" s="25">
        <f>IF(AND(ISNUMBER(O275),ISNUMBER(P275)),1,"")</f>
        <v/>
      </c>
      <c r="R275" s="25">
        <f>IF(Q275=1,IF(O275=P275,"Sí","No"),"")</f>
        <v/>
      </c>
      <c r="S275" s="25">
        <f>IF(Q275=1,IF(P275&lt;O275,"Más estricto",IF(P275&gt;O275,"Más permisivo","Igual")),"")</f>
        <v/>
      </c>
      <c r="T275" s="25">
        <f>IF(Q275=1,IF(ABS(O275-P275)=2,1,0),"")</f>
        <v/>
      </c>
      <c r="U275" s="25">
        <f>IF(H275="","","|"&amp;SUBSTITUTE(SUBSTITUTE(TRIM(H275)," |","|"),"| ","|")&amp;"|")</f>
        <v/>
      </c>
      <c r="V275" s="25">
        <f>IF(AND(Q275=1,B275&lt;&gt;""),IF(IFERROR(COUNTIFS(B$3:B275,"="&amp;SUBSTITUTE(SUBSTITUTE(SUBSTITUTE(B275,"~","~~"),"*","~*"),"?","~?"),Q$3:Q275,1),0)=1,MAX(V$2:V274)+1,""),"")</f>
        <v/>
      </c>
      <c r="W275" s="25">
        <f>IF(V275="","",COUNTIFS($B$3:$B$1002,"="&amp;SUBSTITUTE(SUBSTITUTE(SUBSTITUTE(B275,"~","~~"),"*","~*"),"?","~?"),$Q$3:$Q$1002,1)*10000-V275)</f>
        <v/>
      </c>
      <c r="X275" s="25">
        <f>IF(Q275=1,IF(SUBSTITUTE(SUBSTITUTE(SUBSTITUTE(SUBSTITUTE(SUBSTITUTE(SUBSTITUTE(SUBSTITUTE(SUBSTITUTE(SUBSTITUTE(SUBSTITUTE(SUBSTITUTE(SUBSTITUTE(LOWER(TRIM(A275)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275)),"á","a"),"é","e"),"í","i"),"ó","o"),"ú","u"),"ü","u"),"ñ","n"),"à","a"),"è","e"),"ì","i"),"ò","o"),"ù","u")),"")</f>
        <v/>
      </c>
      <c r="Y275" s="25">
        <f>IF(X275="","",IF(IFERROR(COUNTIF(X$3:X275,"="&amp;SUBSTITUTE(SUBSTITUTE(SUBSTITUTE(X275,"~","~~"),"*","~*"),"?","~?")),0)=1,1,""))</f>
        <v/>
      </c>
      <c r="Z275" s="25">
        <f>IF(T275=1,MAX(Z$2:Z274)+1,"")</f>
        <v/>
      </c>
    </row>
    <row r="276">
      <c r="A276">
        <f>IF(A$2=0,"",IFERROR(TRIM(INDEX('Pegar calibracion'!$A$1:$BZ$1001,275,A$2)&amp;""),""))</f>
        <v/>
      </c>
      <c r="B276">
        <f>IF(B$2=0,"",IFERROR(TRIM(INDEX('Pegar calibracion'!$A$1:$BZ$1001,275,B$2)&amp;""),""))</f>
        <v/>
      </c>
      <c r="C276">
        <f>IF(C$2=0,"",IFERROR(TRIM(INDEX('Pegar calibracion'!$A$1:$BZ$1001,275,C$2)&amp;""),""))</f>
        <v/>
      </c>
      <c r="D276">
        <f>IF(D$2=0,"",IFERROR(TRIM(INDEX('Pegar calibracion'!$A$1:$BZ$1001,275,D$2)&amp;""),""))</f>
        <v/>
      </c>
      <c r="E276">
        <f>IF(E$2=0,"",IFERROR(TRIM(INDEX('Pegar calibracion'!$A$1:$BZ$1001,275,E$2)&amp;""),""))</f>
        <v/>
      </c>
      <c r="F276">
        <f>IF(F$2=0,"",IFERROR(TRIM(INDEX('Pegar calibracion'!$A$1:$BZ$1001,275,F$2)&amp;""),""))</f>
        <v/>
      </c>
      <c r="G276">
        <f>IF(G$2=0,"",IFERROR(TRIM(INDEX('Pegar calibracion'!$A$1:$BZ$1001,275,G$2)&amp;""),""))</f>
        <v/>
      </c>
      <c r="H276">
        <f>IF(H$2=0,"",IFERROR(TRIM(INDEX('Pegar calibracion'!$A$1:$BZ$1001,275,H$2)&amp;""),""))</f>
        <v/>
      </c>
      <c r="I276">
        <f>IF(I$2=0,"",IFERROR(TRIM(INDEX('Pegar calibracion'!$A$1:$BZ$1001,275,I$2)&amp;""),""))</f>
        <v/>
      </c>
      <c r="J276">
        <f>IF(J$2=0,"",IFERROR(TRIM(INDEX('Pegar calibracion'!$A$1:$BZ$1001,275,J$2)&amp;""),""))</f>
        <v/>
      </c>
      <c r="K276">
        <f>IF(K$2=0,"",IFERROR(TRIM(INDEX('Pegar calibracion'!$A$1:$BZ$1001,275,K$2)&amp;""),""))</f>
        <v/>
      </c>
      <c r="L276">
        <f>IF(L$2=0,"",IFERROR(TRIM(INDEX('Pegar calibracion'!$A$1:$BZ$1001,275,L$2)&amp;""),""))</f>
        <v/>
      </c>
      <c r="M276" s="25">
        <f>IF(D276="","",SUBSTITUTE(SUBSTITUTE(SUBSTITUTE(SUBSTITUTE(SUBSTITUTE(SUBSTITUTE(SUBSTITUTE(SUBSTITUTE(SUBSTITUTE(SUBSTITUTE(SUBSTITUTE(SUBSTITUTE(LOWER(TRIM(D276)),"á","a"),"é","e"),"í","i"),"ó","o"),"ú","u"),"ü","u"),"ñ","n"),"à","a"),"è","e"),"ì","i"),"ò","o"),"ù","u"))</f>
        <v/>
      </c>
      <c r="N276" s="25">
        <f>IF(F276="","",SUBSTITUTE(SUBSTITUTE(SUBSTITUTE(SUBSTITUTE(SUBSTITUTE(SUBSTITUTE(SUBSTITUTE(SUBSTITUTE(SUBSTITUTE(SUBSTITUTE(SUBSTITUTE(SUBSTITUTE(LOWER(TRIM(F276)),"á","a"),"é","e"),"í","i"),"ó","o"),"ú","u"),"ü","u"),"ñ","n"),"à","a"),"è","e"),"ì","i"),"ò","o"),"ù","u"))</f>
        <v/>
      </c>
      <c r="O276" s="25">
        <f>IF(M276="confiable",2,IF(M276="dudosa",1,IF(M276="no confiable",0,"")))</f>
        <v/>
      </c>
      <c r="P276" s="25">
        <f>IF(N276="confiable",2,IF(N276="dudosa",1,IF(N276="no confiable",0,"")))</f>
        <v/>
      </c>
      <c r="Q276" s="25">
        <f>IF(AND(ISNUMBER(O276),ISNUMBER(P276)),1,"")</f>
        <v/>
      </c>
      <c r="R276" s="25">
        <f>IF(Q276=1,IF(O276=P276,"Sí","No"),"")</f>
        <v/>
      </c>
      <c r="S276" s="25">
        <f>IF(Q276=1,IF(P276&lt;O276,"Más estricto",IF(P276&gt;O276,"Más permisivo","Igual")),"")</f>
        <v/>
      </c>
      <c r="T276" s="25">
        <f>IF(Q276=1,IF(ABS(O276-P276)=2,1,0),"")</f>
        <v/>
      </c>
      <c r="U276" s="25">
        <f>IF(H276="","","|"&amp;SUBSTITUTE(SUBSTITUTE(TRIM(H276)," |","|"),"| ","|")&amp;"|")</f>
        <v/>
      </c>
      <c r="V276" s="25">
        <f>IF(AND(Q276=1,B276&lt;&gt;""),IF(IFERROR(COUNTIFS(B$3:B276,"="&amp;SUBSTITUTE(SUBSTITUTE(SUBSTITUTE(B276,"~","~~"),"*","~*"),"?","~?"),Q$3:Q276,1),0)=1,MAX(V$2:V275)+1,""),"")</f>
        <v/>
      </c>
      <c r="W276" s="25">
        <f>IF(V276="","",COUNTIFS($B$3:$B$1002,"="&amp;SUBSTITUTE(SUBSTITUTE(SUBSTITUTE(B276,"~","~~"),"*","~*"),"?","~?"),$Q$3:$Q$1002,1)*10000-V276)</f>
        <v/>
      </c>
      <c r="X276" s="25">
        <f>IF(Q276=1,IF(SUBSTITUTE(SUBSTITUTE(SUBSTITUTE(SUBSTITUTE(SUBSTITUTE(SUBSTITUTE(SUBSTITUTE(SUBSTITUTE(SUBSTITUTE(SUBSTITUTE(SUBSTITUTE(SUBSTITUTE(LOWER(TRIM(A276)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276)),"á","a"),"é","e"),"í","i"),"ó","o"),"ú","u"),"ü","u"),"ñ","n"),"à","a"),"è","e"),"ì","i"),"ò","o"),"ù","u")),"")</f>
        <v/>
      </c>
      <c r="Y276" s="25">
        <f>IF(X276="","",IF(IFERROR(COUNTIF(X$3:X276,"="&amp;SUBSTITUTE(SUBSTITUTE(SUBSTITUTE(X276,"~","~~"),"*","~*"),"?","~?")),0)=1,1,""))</f>
        <v/>
      </c>
      <c r="Z276" s="25">
        <f>IF(T276=1,MAX(Z$2:Z275)+1,"")</f>
        <v/>
      </c>
    </row>
    <row r="277">
      <c r="A277">
        <f>IF(A$2=0,"",IFERROR(TRIM(INDEX('Pegar calibracion'!$A$1:$BZ$1001,276,A$2)&amp;""),""))</f>
        <v/>
      </c>
      <c r="B277">
        <f>IF(B$2=0,"",IFERROR(TRIM(INDEX('Pegar calibracion'!$A$1:$BZ$1001,276,B$2)&amp;""),""))</f>
        <v/>
      </c>
      <c r="C277">
        <f>IF(C$2=0,"",IFERROR(TRIM(INDEX('Pegar calibracion'!$A$1:$BZ$1001,276,C$2)&amp;""),""))</f>
        <v/>
      </c>
      <c r="D277">
        <f>IF(D$2=0,"",IFERROR(TRIM(INDEX('Pegar calibracion'!$A$1:$BZ$1001,276,D$2)&amp;""),""))</f>
        <v/>
      </c>
      <c r="E277">
        <f>IF(E$2=0,"",IFERROR(TRIM(INDEX('Pegar calibracion'!$A$1:$BZ$1001,276,E$2)&amp;""),""))</f>
        <v/>
      </c>
      <c r="F277">
        <f>IF(F$2=0,"",IFERROR(TRIM(INDEX('Pegar calibracion'!$A$1:$BZ$1001,276,F$2)&amp;""),""))</f>
        <v/>
      </c>
      <c r="G277">
        <f>IF(G$2=0,"",IFERROR(TRIM(INDEX('Pegar calibracion'!$A$1:$BZ$1001,276,G$2)&amp;""),""))</f>
        <v/>
      </c>
      <c r="H277">
        <f>IF(H$2=0,"",IFERROR(TRIM(INDEX('Pegar calibracion'!$A$1:$BZ$1001,276,H$2)&amp;""),""))</f>
        <v/>
      </c>
      <c r="I277">
        <f>IF(I$2=0,"",IFERROR(TRIM(INDEX('Pegar calibracion'!$A$1:$BZ$1001,276,I$2)&amp;""),""))</f>
        <v/>
      </c>
      <c r="J277">
        <f>IF(J$2=0,"",IFERROR(TRIM(INDEX('Pegar calibracion'!$A$1:$BZ$1001,276,J$2)&amp;""),""))</f>
        <v/>
      </c>
      <c r="K277">
        <f>IF(K$2=0,"",IFERROR(TRIM(INDEX('Pegar calibracion'!$A$1:$BZ$1001,276,K$2)&amp;""),""))</f>
        <v/>
      </c>
      <c r="L277">
        <f>IF(L$2=0,"",IFERROR(TRIM(INDEX('Pegar calibracion'!$A$1:$BZ$1001,276,L$2)&amp;""),""))</f>
        <v/>
      </c>
      <c r="M277" s="25">
        <f>IF(D277="","",SUBSTITUTE(SUBSTITUTE(SUBSTITUTE(SUBSTITUTE(SUBSTITUTE(SUBSTITUTE(SUBSTITUTE(SUBSTITUTE(SUBSTITUTE(SUBSTITUTE(SUBSTITUTE(SUBSTITUTE(LOWER(TRIM(D277)),"á","a"),"é","e"),"í","i"),"ó","o"),"ú","u"),"ü","u"),"ñ","n"),"à","a"),"è","e"),"ì","i"),"ò","o"),"ù","u"))</f>
        <v/>
      </c>
      <c r="N277" s="25">
        <f>IF(F277="","",SUBSTITUTE(SUBSTITUTE(SUBSTITUTE(SUBSTITUTE(SUBSTITUTE(SUBSTITUTE(SUBSTITUTE(SUBSTITUTE(SUBSTITUTE(SUBSTITUTE(SUBSTITUTE(SUBSTITUTE(LOWER(TRIM(F277)),"á","a"),"é","e"),"í","i"),"ó","o"),"ú","u"),"ü","u"),"ñ","n"),"à","a"),"è","e"),"ì","i"),"ò","o"),"ù","u"))</f>
        <v/>
      </c>
      <c r="O277" s="25">
        <f>IF(M277="confiable",2,IF(M277="dudosa",1,IF(M277="no confiable",0,"")))</f>
        <v/>
      </c>
      <c r="P277" s="25">
        <f>IF(N277="confiable",2,IF(N277="dudosa",1,IF(N277="no confiable",0,"")))</f>
        <v/>
      </c>
      <c r="Q277" s="25">
        <f>IF(AND(ISNUMBER(O277),ISNUMBER(P277)),1,"")</f>
        <v/>
      </c>
      <c r="R277" s="25">
        <f>IF(Q277=1,IF(O277=P277,"Sí","No"),"")</f>
        <v/>
      </c>
      <c r="S277" s="25">
        <f>IF(Q277=1,IF(P277&lt;O277,"Más estricto",IF(P277&gt;O277,"Más permisivo","Igual")),"")</f>
        <v/>
      </c>
      <c r="T277" s="25">
        <f>IF(Q277=1,IF(ABS(O277-P277)=2,1,0),"")</f>
        <v/>
      </c>
      <c r="U277" s="25">
        <f>IF(H277="","","|"&amp;SUBSTITUTE(SUBSTITUTE(TRIM(H277)," |","|"),"| ","|")&amp;"|")</f>
        <v/>
      </c>
      <c r="V277" s="25">
        <f>IF(AND(Q277=1,B277&lt;&gt;""),IF(IFERROR(COUNTIFS(B$3:B277,"="&amp;SUBSTITUTE(SUBSTITUTE(SUBSTITUTE(B277,"~","~~"),"*","~*"),"?","~?"),Q$3:Q277,1),0)=1,MAX(V$2:V276)+1,""),"")</f>
        <v/>
      </c>
      <c r="W277" s="25">
        <f>IF(V277="","",COUNTIFS($B$3:$B$1002,"="&amp;SUBSTITUTE(SUBSTITUTE(SUBSTITUTE(B277,"~","~~"),"*","~*"),"?","~?"),$Q$3:$Q$1002,1)*10000-V277)</f>
        <v/>
      </c>
      <c r="X277" s="25">
        <f>IF(Q277=1,IF(SUBSTITUTE(SUBSTITUTE(SUBSTITUTE(SUBSTITUTE(SUBSTITUTE(SUBSTITUTE(SUBSTITUTE(SUBSTITUTE(SUBSTITUTE(SUBSTITUTE(SUBSTITUTE(SUBSTITUTE(LOWER(TRIM(A277)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277)),"á","a"),"é","e"),"í","i"),"ó","o"),"ú","u"),"ü","u"),"ñ","n"),"à","a"),"è","e"),"ì","i"),"ò","o"),"ù","u")),"")</f>
        <v/>
      </c>
      <c r="Y277" s="25">
        <f>IF(X277="","",IF(IFERROR(COUNTIF(X$3:X277,"="&amp;SUBSTITUTE(SUBSTITUTE(SUBSTITUTE(X277,"~","~~"),"*","~*"),"?","~?")),0)=1,1,""))</f>
        <v/>
      </c>
      <c r="Z277" s="25">
        <f>IF(T277=1,MAX(Z$2:Z276)+1,"")</f>
        <v/>
      </c>
    </row>
    <row r="278">
      <c r="A278">
        <f>IF(A$2=0,"",IFERROR(TRIM(INDEX('Pegar calibracion'!$A$1:$BZ$1001,277,A$2)&amp;""),""))</f>
        <v/>
      </c>
      <c r="B278">
        <f>IF(B$2=0,"",IFERROR(TRIM(INDEX('Pegar calibracion'!$A$1:$BZ$1001,277,B$2)&amp;""),""))</f>
        <v/>
      </c>
      <c r="C278">
        <f>IF(C$2=0,"",IFERROR(TRIM(INDEX('Pegar calibracion'!$A$1:$BZ$1001,277,C$2)&amp;""),""))</f>
        <v/>
      </c>
      <c r="D278">
        <f>IF(D$2=0,"",IFERROR(TRIM(INDEX('Pegar calibracion'!$A$1:$BZ$1001,277,D$2)&amp;""),""))</f>
        <v/>
      </c>
      <c r="E278">
        <f>IF(E$2=0,"",IFERROR(TRIM(INDEX('Pegar calibracion'!$A$1:$BZ$1001,277,E$2)&amp;""),""))</f>
        <v/>
      </c>
      <c r="F278">
        <f>IF(F$2=0,"",IFERROR(TRIM(INDEX('Pegar calibracion'!$A$1:$BZ$1001,277,F$2)&amp;""),""))</f>
        <v/>
      </c>
      <c r="G278">
        <f>IF(G$2=0,"",IFERROR(TRIM(INDEX('Pegar calibracion'!$A$1:$BZ$1001,277,G$2)&amp;""),""))</f>
        <v/>
      </c>
      <c r="H278">
        <f>IF(H$2=0,"",IFERROR(TRIM(INDEX('Pegar calibracion'!$A$1:$BZ$1001,277,H$2)&amp;""),""))</f>
        <v/>
      </c>
      <c r="I278">
        <f>IF(I$2=0,"",IFERROR(TRIM(INDEX('Pegar calibracion'!$A$1:$BZ$1001,277,I$2)&amp;""),""))</f>
        <v/>
      </c>
      <c r="J278">
        <f>IF(J$2=0,"",IFERROR(TRIM(INDEX('Pegar calibracion'!$A$1:$BZ$1001,277,J$2)&amp;""),""))</f>
        <v/>
      </c>
      <c r="K278">
        <f>IF(K$2=0,"",IFERROR(TRIM(INDEX('Pegar calibracion'!$A$1:$BZ$1001,277,K$2)&amp;""),""))</f>
        <v/>
      </c>
      <c r="L278">
        <f>IF(L$2=0,"",IFERROR(TRIM(INDEX('Pegar calibracion'!$A$1:$BZ$1001,277,L$2)&amp;""),""))</f>
        <v/>
      </c>
      <c r="M278" s="25">
        <f>IF(D278="","",SUBSTITUTE(SUBSTITUTE(SUBSTITUTE(SUBSTITUTE(SUBSTITUTE(SUBSTITUTE(SUBSTITUTE(SUBSTITUTE(SUBSTITUTE(SUBSTITUTE(SUBSTITUTE(SUBSTITUTE(LOWER(TRIM(D278)),"á","a"),"é","e"),"í","i"),"ó","o"),"ú","u"),"ü","u"),"ñ","n"),"à","a"),"è","e"),"ì","i"),"ò","o"),"ù","u"))</f>
        <v/>
      </c>
      <c r="N278" s="25">
        <f>IF(F278="","",SUBSTITUTE(SUBSTITUTE(SUBSTITUTE(SUBSTITUTE(SUBSTITUTE(SUBSTITUTE(SUBSTITUTE(SUBSTITUTE(SUBSTITUTE(SUBSTITUTE(SUBSTITUTE(SUBSTITUTE(LOWER(TRIM(F278)),"á","a"),"é","e"),"í","i"),"ó","o"),"ú","u"),"ü","u"),"ñ","n"),"à","a"),"è","e"),"ì","i"),"ò","o"),"ù","u"))</f>
        <v/>
      </c>
      <c r="O278" s="25">
        <f>IF(M278="confiable",2,IF(M278="dudosa",1,IF(M278="no confiable",0,"")))</f>
        <v/>
      </c>
      <c r="P278" s="25">
        <f>IF(N278="confiable",2,IF(N278="dudosa",1,IF(N278="no confiable",0,"")))</f>
        <v/>
      </c>
      <c r="Q278" s="25">
        <f>IF(AND(ISNUMBER(O278),ISNUMBER(P278)),1,"")</f>
        <v/>
      </c>
      <c r="R278" s="25">
        <f>IF(Q278=1,IF(O278=P278,"Sí","No"),"")</f>
        <v/>
      </c>
      <c r="S278" s="25">
        <f>IF(Q278=1,IF(P278&lt;O278,"Más estricto",IF(P278&gt;O278,"Más permisivo","Igual")),"")</f>
        <v/>
      </c>
      <c r="T278" s="25">
        <f>IF(Q278=1,IF(ABS(O278-P278)=2,1,0),"")</f>
        <v/>
      </c>
      <c r="U278" s="25">
        <f>IF(H278="","","|"&amp;SUBSTITUTE(SUBSTITUTE(TRIM(H278)," |","|"),"| ","|")&amp;"|")</f>
        <v/>
      </c>
      <c r="V278" s="25">
        <f>IF(AND(Q278=1,B278&lt;&gt;""),IF(IFERROR(COUNTIFS(B$3:B278,"="&amp;SUBSTITUTE(SUBSTITUTE(SUBSTITUTE(B278,"~","~~"),"*","~*"),"?","~?"),Q$3:Q278,1),0)=1,MAX(V$2:V277)+1,""),"")</f>
        <v/>
      </c>
      <c r="W278" s="25">
        <f>IF(V278="","",COUNTIFS($B$3:$B$1002,"="&amp;SUBSTITUTE(SUBSTITUTE(SUBSTITUTE(B278,"~","~~"),"*","~*"),"?","~?"),$Q$3:$Q$1002,1)*10000-V278)</f>
        <v/>
      </c>
      <c r="X278" s="25">
        <f>IF(Q278=1,IF(SUBSTITUTE(SUBSTITUTE(SUBSTITUTE(SUBSTITUTE(SUBSTITUTE(SUBSTITUTE(SUBSTITUTE(SUBSTITUTE(SUBSTITUTE(SUBSTITUTE(SUBSTITUTE(SUBSTITUTE(LOWER(TRIM(A278)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278)),"á","a"),"é","e"),"í","i"),"ó","o"),"ú","u"),"ü","u"),"ñ","n"),"à","a"),"è","e"),"ì","i"),"ò","o"),"ù","u")),"")</f>
        <v/>
      </c>
      <c r="Y278" s="25">
        <f>IF(X278="","",IF(IFERROR(COUNTIF(X$3:X278,"="&amp;SUBSTITUTE(SUBSTITUTE(SUBSTITUTE(X278,"~","~~"),"*","~*"),"?","~?")),0)=1,1,""))</f>
        <v/>
      </c>
      <c r="Z278" s="25">
        <f>IF(T278=1,MAX(Z$2:Z277)+1,"")</f>
        <v/>
      </c>
    </row>
    <row r="279">
      <c r="A279">
        <f>IF(A$2=0,"",IFERROR(TRIM(INDEX('Pegar calibracion'!$A$1:$BZ$1001,278,A$2)&amp;""),""))</f>
        <v/>
      </c>
      <c r="B279">
        <f>IF(B$2=0,"",IFERROR(TRIM(INDEX('Pegar calibracion'!$A$1:$BZ$1001,278,B$2)&amp;""),""))</f>
        <v/>
      </c>
      <c r="C279">
        <f>IF(C$2=0,"",IFERROR(TRIM(INDEX('Pegar calibracion'!$A$1:$BZ$1001,278,C$2)&amp;""),""))</f>
        <v/>
      </c>
      <c r="D279">
        <f>IF(D$2=0,"",IFERROR(TRIM(INDEX('Pegar calibracion'!$A$1:$BZ$1001,278,D$2)&amp;""),""))</f>
        <v/>
      </c>
      <c r="E279">
        <f>IF(E$2=0,"",IFERROR(TRIM(INDEX('Pegar calibracion'!$A$1:$BZ$1001,278,E$2)&amp;""),""))</f>
        <v/>
      </c>
      <c r="F279">
        <f>IF(F$2=0,"",IFERROR(TRIM(INDEX('Pegar calibracion'!$A$1:$BZ$1001,278,F$2)&amp;""),""))</f>
        <v/>
      </c>
      <c r="G279">
        <f>IF(G$2=0,"",IFERROR(TRIM(INDEX('Pegar calibracion'!$A$1:$BZ$1001,278,G$2)&amp;""),""))</f>
        <v/>
      </c>
      <c r="H279">
        <f>IF(H$2=0,"",IFERROR(TRIM(INDEX('Pegar calibracion'!$A$1:$BZ$1001,278,H$2)&amp;""),""))</f>
        <v/>
      </c>
      <c r="I279">
        <f>IF(I$2=0,"",IFERROR(TRIM(INDEX('Pegar calibracion'!$A$1:$BZ$1001,278,I$2)&amp;""),""))</f>
        <v/>
      </c>
      <c r="J279">
        <f>IF(J$2=0,"",IFERROR(TRIM(INDEX('Pegar calibracion'!$A$1:$BZ$1001,278,J$2)&amp;""),""))</f>
        <v/>
      </c>
      <c r="K279">
        <f>IF(K$2=0,"",IFERROR(TRIM(INDEX('Pegar calibracion'!$A$1:$BZ$1001,278,K$2)&amp;""),""))</f>
        <v/>
      </c>
      <c r="L279">
        <f>IF(L$2=0,"",IFERROR(TRIM(INDEX('Pegar calibracion'!$A$1:$BZ$1001,278,L$2)&amp;""),""))</f>
        <v/>
      </c>
      <c r="M279" s="25">
        <f>IF(D279="","",SUBSTITUTE(SUBSTITUTE(SUBSTITUTE(SUBSTITUTE(SUBSTITUTE(SUBSTITUTE(SUBSTITUTE(SUBSTITUTE(SUBSTITUTE(SUBSTITUTE(SUBSTITUTE(SUBSTITUTE(LOWER(TRIM(D279)),"á","a"),"é","e"),"í","i"),"ó","o"),"ú","u"),"ü","u"),"ñ","n"),"à","a"),"è","e"),"ì","i"),"ò","o"),"ù","u"))</f>
        <v/>
      </c>
      <c r="N279" s="25">
        <f>IF(F279="","",SUBSTITUTE(SUBSTITUTE(SUBSTITUTE(SUBSTITUTE(SUBSTITUTE(SUBSTITUTE(SUBSTITUTE(SUBSTITUTE(SUBSTITUTE(SUBSTITUTE(SUBSTITUTE(SUBSTITUTE(LOWER(TRIM(F279)),"á","a"),"é","e"),"í","i"),"ó","o"),"ú","u"),"ü","u"),"ñ","n"),"à","a"),"è","e"),"ì","i"),"ò","o"),"ù","u"))</f>
        <v/>
      </c>
      <c r="O279" s="25">
        <f>IF(M279="confiable",2,IF(M279="dudosa",1,IF(M279="no confiable",0,"")))</f>
        <v/>
      </c>
      <c r="P279" s="25">
        <f>IF(N279="confiable",2,IF(N279="dudosa",1,IF(N279="no confiable",0,"")))</f>
        <v/>
      </c>
      <c r="Q279" s="25">
        <f>IF(AND(ISNUMBER(O279),ISNUMBER(P279)),1,"")</f>
        <v/>
      </c>
      <c r="R279" s="25">
        <f>IF(Q279=1,IF(O279=P279,"Sí","No"),"")</f>
        <v/>
      </c>
      <c r="S279" s="25">
        <f>IF(Q279=1,IF(P279&lt;O279,"Más estricto",IF(P279&gt;O279,"Más permisivo","Igual")),"")</f>
        <v/>
      </c>
      <c r="T279" s="25">
        <f>IF(Q279=1,IF(ABS(O279-P279)=2,1,0),"")</f>
        <v/>
      </c>
      <c r="U279" s="25">
        <f>IF(H279="","","|"&amp;SUBSTITUTE(SUBSTITUTE(TRIM(H279)," |","|"),"| ","|")&amp;"|")</f>
        <v/>
      </c>
      <c r="V279" s="25">
        <f>IF(AND(Q279=1,B279&lt;&gt;""),IF(IFERROR(COUNTIFS(B$3:B279,"="&amp;SUBSTITUTE(SUBSTITUTE(SUBSTITUTE(B279,"~","~~"),"*","~*"),"?","~?"),Q$3:Q279,1),0)=1,MAX(V$2:V278)+1,""),"")</f>
        <v/>
      </c>
      <c r="W279" s="25">
        <f>IF(V279="","",COUNTIFS($B$3:$B$1002,"="&amp;SUBSTITUTE(SUBSTITUTE(SUBSTITUTE(B279,"~","~~"),"*","~*"),"?","~?"),$Q$3:$Q$1002,1)*10000-V279)</f>
        <v/>
      </c>
      <c r="X279" s="25">
        <f>IF(Q279=1,IF(SUBSTITUTE(SUBSTITUTE(SUBSTITUTE(SUBSTITUTE(SUBSTITUTE(SUBSTITUTE(SUBSTITUTE(SUBSTITUTE(SUBSTITUTE(SUBSTITUTE(SUBSTITUTE(SUBSTITUTE(LOWER(TRIM(A279)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279)),"á","a"),"é","e"),"í","i"),"ó","o"),"ú","u"),"ü","u"),"ñ","n"),"à","a"),"è","e"),"ì","i"),"ò","o"),"ù","u")),"")</f>
        <v/>
      </c>
      <c r="Y279" s="25">
        <f>IF(X279="","",IF(IFERROR(COUNTIF(X$3:X279,"="&amp;SUBSTITUTE(SUBSTITUTE(SUBSTITUTE(X279,"~","~~"),"*","~*"),"?","~?")),0)=1,1,""))</f>
        <v/>
      </c>
      <c r="Z279" s="25">
        <f>IF(T279=1,MAX(Z$2:Z278)+1,"")</f>
        <v/>
      </c>
    </row>
    <row r="280">
      <c r="A280">
        <f>IF(A$2=0,"",IFERROR(TRIM(INDEX('Pegar calibracion'!$A$1:$BZ$1001,279,A$2)&amp;""),""))</f>
        <v/>
      </c>
      <c r="B280">
        <f>IF(B$2=0,"",IFERROR(TRIM(INDEX('Pegar calibracion'!$A$1:$BZ$1001,279,B$2)&amp;""),""))</f>
        <v/>
      </c>
      <c r="C280">
        <f>IF(C$2=0,"",IFERROR(TRIM(INDEX('Pegar calibracion'!$A$1:$BZ$1001,279,C$2)&amp;""),""))</f>
        <v/>
      </c>
      <c r="D280">
        <f>IF(D$2=0,"",IFERROR(TRIM(INDEX('Pegar calibracion'!$A$1:$BZ$1001,279,D$2)&amp;""),""))</f>
        <v/>
      </c>
      <c r="E280">
        <f>IF(E$2=0,"",IFERROR(TRIM(INDEX('Pegar calibracion'!$A$1:$BZ$1001,279,E$2)&amp;""),""))</f>
        <v/>
      </c>
      <c r="F280">
        <f>IF(F$2=0,"",IFERROR(TRIM(INDEX('Pegar calibracion'!$A$1:$BZ$1001,279,F$2)&amp;""),""))</f>
        <v/>
      </c>
      <c r="G280">
        <f>IF(G$2=0,"",IFERROR(TRIM(INDEX('Pegar calibracion'!$A$1:$BZ$1001,279,G$2)&amp;""),""))</f>
        <v/>
      </c>
      <c r="H280">
        <f>IF(H$2=0,"",IFERROR(TRIM(INDEX('Pegar calibracion'!$A$1:$BZ$1001,279,H$2)&amp;""),""))</f>
        <v/>
      </c>
      <c r="I280">
        <f>IF(I$2=0,"",IFERROR(TRIM(INDEX('Pegar calibracion'!$A$1:$BZ$1001,279,I$2)&amp;""),""))</f>
        <v/>
      </c>
      <c r="J280">
        <f>IF(J$2=0,"",IFERROR(TRIM(INDEX('Pegar calibracion'!$A$1:$BZ$1001,279,J$2)&amp;""),""))</f>
        <v/>
      </c>
      <c r="K280">
        <f>IF(K$2=0,"",IFERROR(TRIM(INDEX('Pegar calibracion'!$A$1:$BZ$1001,279,K$2)&amp;""),""))</f>
        <v/>
      </c>
      <c r="L280">
        <f>IF(L$2=0,"",IFERROR(TRIM(INDEX('Pegar calibracion'!$A$1:$BZ$1001,279,L$2)&amp;""),""))</f>
        <v/>
      </c>
      <c r="M280" s="25">
        <f>IF(D280="","",SUBSTITUTE(SUBSTITUTE(SUBSTITUTE(SUBSTITUTE(SUBSTITUTE(SUBSTITUTE(SUBSTITUTE(SUBSTITUTE(SUBSTITUTE(SUBSTITUTE(SUBSTITUTE(SUBSTITUTE(LOWER(TRIM(D280)),"á","a"),"é","e"),"í","i"),"ó","o"),"ú","u"),"ü","u"),"ñ","n"),"à","a"),"è","e"),"ì","i"),"ò","o"),"ù","u"))</f>
        <v/>
      </c>
      <c r="N280" s="25">
        <f>IF(F280="","",SUBSTITUTE(SUBSTITUTE(SUBSTITUTE(SUBSTITUTE(SUBSTITUTE(SUBSTITUTE(SUBSTITUTE(SUBSTITUTE(SUBSTITUTE(SUBSTITUTE(SUBSTITUTE(SUBSTITUTE(LOWER(TRIM(F280)),"á","a"),"é","e"),"í","i"),"ó","o"),"ú","u"),"ü","u"),"ñ","n"),"à","a"),"è","e"),"ì","i"),"ò","o"),"ù","u"))</f>
        <v/>
      </c>
      <c r="O280" s="25">
        <f>IF(M280="confiable",2,IF(M280="dudosa",1,IF(M280="no confiable",0,"")))</f>
        <v/>
      </c>
      <c r="P280" s="25">
        <f>IF(N280="confiable",2,IF(N280="dudosa",1,IF(N280="no confiable",0,"")))</f>
        <v/>
      </c>
      <c r="Q280" s="25">
        <f>IF(AND(ISNUMBER(O280),ISNUMBER(P280)),1,"")</f>
        <v/>
      </c>
      <c r="R280" s="25">
        <f>IF(Q280=1,IF(O280=P280,"Sí","No"),"")</f>
        <v/>
      </c>
      <c r="S280" s="25">
        <f>IF(Q280=1,IF(P280&lt;O280,"Más estricto",IF(P280&gt;O280,"Más permisivo","Igual")),"")</f>
        <v/>
      </c>
      <c r="T280" s="25">
        <f>IF(Q280=1,IF(ABS(O280-P280)=2,1,0),"")</f>
        <v/>
      </c>
      <c r="U280" s="25">
        <f>IF(H280="","","|"&amp;SUBSTITUTE(SUBSTITUTE(TRIM(H280)," |","|"),"| ","|")&amp;"|")</f>
        <v/>
      </c>
      <c r="V280" s="25">
        <f>IF(AND(Q280=1,B280&lt;&gt;""),IF(IFERROR(COUNTIFS(B$3:B280,"="&amp;SUBSTITUTE(SUBSTITUTE(SUBSTITUTE(B280,"~","~~"),"*","~*"),"?","~?"),Q$3:Q280,1),0)=1,MAX(V$2:V279)+1,""),"")</f>
        <v/>
      </c>
      <c r="W280" s="25">
        <f>IF(V280="","",COUNTIFS($B$3:$B$1002,"="&amp;SUBSTITUTE(SUBSTITUTE(SUBSTITUTE(B280,"~","~~"),"*","~*"),"?","~?"),$Q$3:$Q$1002,1)*10000-V280)</f>
        <v/>
      </c>
      <c r="X280" s="25">
        <f>IF(Q280=1,IF(SUBSTITUTE(SUBSTITUTE(SUBSTITUTE(SUBSTITUTE(SUBSTITUTE(SUBSTITUTE(SUBSTITUTE(SUBSTITUTE(SUBSTITUTE(SUBSTITUTE(SUBSTITUTE(SUBSTITUTE(LOWER(TRIM(A280)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280)),"á","a"),"é","e"),"í","i"),"ó","o"),"ú","u"),"ü","u"),"ñ","n"),"à","a"),"è","e"),"ì","i"),"ò","o"),"ù","u")),"")</f>
        <v/>
      </c>
      <c r="Y280" s="25">
        <f>IF(X280="","",IF(IFERROR(COUNTIF(X$3:X280,"="&amp;SUBSTITUTE(SUBSTITUTE(SUBSTITUTE(X280,"~","~~"),"*","~*"),"?","~?")),0)=1,1,""))</f>
        <v/>
      </c>
      <c r="Z280" s="25">
        <f>IF(T280=1,MAX(Z$2:Z279)+1,"")</f>
        <v/>
      </c>
    </row>
    <row r="281">
      <c r="A281">
        <f>IF(A$2=0,"",IFERROR(TRIM(INDEX('Pegar calibracion'!$A$1:$BZ$1001,280,A$2)&amp;""),""))</f>
        <v/>
      </c>
      <c r="B281">
        <f>IF(B$2=0,"",IFERROR(TRIM(INDEX('Pegar calibracion'!$A$1:$BZ$1001,280,B$2)&amp;""),""))</f>
        <v/>
      </c>
      <c r="C281">
        <f>IF(C$2=0,"",IFERROR(TRIM(INDEX('Pegar calibracion'!$A$1:$BZ$1001,280,C$2)&amp;""),""))</f>
        <v/>
      </c>
      <c r="D281">
        <f>IF(D$2=0,"",IFERROR(TRIM(INDEX('Pegar calibracion'!$A$1:$BZ$1001,280,D$2)&amp;""),""))</f>
        <v/>
      </c>
      <c r="E281">
        <f>IF(E$2=0,"",IFERROR(TRIM(INDEX('Pegar calibracion'!$A$1:$BZ$1001,280,E$2)&amp;""),""))</f>
        <v/>
      </c>
      <c r="F281">
        <f>IF(F$2=0,"",IFERROR(TRIM(INDEX('Pegar calibracion'!$A$1:$BZ$1001,280,F$2)&amp;""),""))</f>
        <v/>
      </c>
      <c r="G281">
        <f>IF(G$2=0,"",IFERROR(TRIM(INDEX('Pegar calibracion'!$A$1:$BZ$1001,280,G$2)&amp;""),""))</f>
        <v/>
      </c>
      <c r="H281">
        <f>IF(H$2=0,"",IFERROR(TRIM(INDEX('Pegar calibracion'!$A$1:$BZ$1001,280,H$2)&amp;""),""))</f>
        <v/>
      </c>
      <c r="I281">
        <f>IF(I$2=0,"",IFERROR(TRIM(INDEX('Pegar calibracion'!$A$1:$BZ$1001,280,I$2)&amp;""),""))</f>
        <v/>
      </c>
      <c r="J281">
        <f>IF(J$2=0,"",IFERROR(TRIM(INDEX('Pegar calibracion'!$A$1:$BZ$1001,280,J$2)&amp;""),""))</f>
        <v/>
      </c>
      <c r="K281">
        <f>IF(K$2=0,"",IFERROR(TRIM(INDEX('Pegar calibracion'!$A$1:$BZ$1001,280,K$2)&amp;""),""))</f>
        <v/>
      </c>
      <c r="L281">
        <f>IF(L$2=0,"",IFERROR(TRIM(INDEX('Pegar calibracion'!$A$1:$BZ$1001,280,L$2)&amp;""),""))</f>
        <v/>
      </c>
      <c r="M281" s="25">
        <f>IF(D281="","",SUBSTITUTE(SUBSTITUTE(SUBSTITUTE(SUBSTITUTE(SUBSTITUTE(SUBSTITUTE(SUBSTITUTE(SUBSTITUTE(SUBSTITUTE(SUBSTITUTE(SUBSTITUTE(SUBSTITUTE(LOWER(TRIM(D281)),"á","a"),"é","e"),"í","i"),"ó","o"),"ú","u"),"ü","u"),"ñ","n"),"à","a"),"è","e"),"ì","i"),"ò","o"),"ù","u"))</f>
        <v/>
      </c>
      <c r="N281" s="25">
        <f>IF(F281="","",SUBSTITUTE(SUBSTITUTE(SUBSTITUTE(SUBSTITUTE(SUBSTITUTE(SUBSTITUTE(SUBSTITUTE(SUBSTITUTE(SUBSTITUTE(SUBSTITUTE(SUBSTITUTE(SUBSTITUTE(LOWER(TRIM(F281)),"á","a"),"é","e"),"í","i"),"ó","o"),"ú","u"),"ü","u"),"ñ","n"),"à","a"),"è","e"),"ì","i"),"ò","o"),"ù","u"))</f>
        <v/>
      </c>
      <c r="O281" s="25">
        <f>IF(M281="confiable",2,IF(M281="dudosa",1,IF(M281="no confiable",0,"")))</f>
        <v/>
      </c>
      <c r="P281" s="25">
        <f>IF(N281="confiable",2,IF(N281="dudosa",1,IF(N281="no confiable",0,"")))</f>
        <v/>
      </c>
      <c r="Q281" s="25">
        <f>IF(AND(ISNUMBER(O281),ISNUMBER(P281)),1,"")</f>
        <v/>
      </c>
      <c r="R281" s="25">
        <f>IF(Q281=1,IF(O281=P281,"Sí","No"),"")</f>
        <v/>
      </c>
      <c r="S281" s="25">
        <f>IF(Q281=1,IF(P281&lt;O281,"Más estricto",IF(P281&gt;O281,"Más permisivo","Igual")),"")</f>
        <v/>
      </c>
      <c r="T281" s="25">
        <f>IF(Q281=1,IF(ABS(O281-P281)=2,1,0),"")</f>
        <v/>
      </c>
      <c r="U281" s="25">
        <f>IF(H281="","","|"&amp;SUBSTITUTE(SUBSTITUTE(TRIM(H281)," |","|"),"| ","|")&amp;"|")</f>
        <v/>
      </c>
      <c r="V281" s="25">
        <f>IF(AND(Q281=1,B281&lt;&gt;""),IF(IFERROR(COUNTIFS(B$3:B281,"="&amp;SUBSTITUTE(SUBSTITUTE(SUBSTITUTE(B281,"~","~~"),"*","~*"),"?","~?"),Q$3:Q281,1),0)=1,MAX(V$2:V280)+1,""),"")</f>
        <v/>
      </c>
      <c r="W281" s="25">
        <f>IF(V281="","",COUNTIFS($B$3:$B$1002,"="&amp;SUBSTITUTE(SUBSTITUTE(SUBSTITUTE(B281,"~","~~"),"*","~*"),"?","~?"),$Q$3:$Q$1002,1)*10000-V281)</f>
        <v/>
      </c>
      <c r="X281" s="25">
        <f>IF(Q281=1,IF(SUBSTITUTE(SUBSTITUTE(SUBSTITUTE(SUBSTITUTE(SUBSTITUTE(SUBSTITUTE(SUBSTITUTE(SUBSTITUTE(SUBSTITUTE(SUBSTITUTE(SUBSTITUTE(SUBSTITUTE(LOWER(TRIM(A281)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281)),"á","a"),"é","e"),"í","i"),"ó","o"),"ú","u"),"ü","u"),"ñ","n"),"à","a"),"è","e"),"ì","i"),"ò","o"),"ù","u")),"")</f>
        <v/>
      </c>
      <c r="Y281" s="25">
        <f>IF(X281="","",IF(IFERROR(COUNTIF(X$3:X281,"="&amp;SUBSTITUTE(SUBSTITUTE(SUBSTITUTE(X281,"~","~~"),"*","~*"),"?","~?")),0)=1,1,""))</f>
        <v/>
      </c>
      <c r="Z281" s="25">
        <f>IF(T281=1,MAX(Z$2:Z280)+1,"")</f>
        <v/>
      </c>
    </row>
    <row r="282">
      <c r="A282">
        <f>IF(A$2=0,"",IFERROR(TRIM(INDEX('Pegar calibracion'!$A$1:$BZ$1001,281,A$2)&amp;""),""))</f>
        <v/>
      </c>
      <c r="B282">
        <f>IF(B$2=0,"",IFERROR(TRIM(INDEX('Pegar calibracion'!$A$1:$BZ$1001,281,B$2)&amp;""),""))</f>
        <v/>
      </c>
      <c r="C282">
        <f>IF(C$2=0,"",IFERROR(TRIM(INDEX('Pegar calibracion'!$A$1:$BZ$1001,281,C$2)&amp;""),""))</f>
        <v/>
      </c>
      <c r="D282">
        <f>IF(D$2=0,"",IFERROR(TRIM(INDEX('Pegar calibracion'!$A$1:$BZ$1001,281,D$2)&amp;""),""))</f>
        <v/>
      </c>
      <c r="E282">
        <f>IF(E$2=0,"",IFERROR(TRIM(INDEX('Pegar calibracion'!$A$1:$BZ$1001,281,E$2)&amp;""),""))</f>
        <v/>
      </c>
      <c r="F282">
        <f>IF(F$2=0,"",IFERROR(TRIM(INDEX('Pegar calibracion'!$A$1:$BZ$1001,281,F$2)&amp;""),""))</f>
        <v/>
      </c>
      <c r="G282">
        <f>IF(G$2=0,"",IFERROR(TRIM(INDEX('Pegar calibracion'!$A$1:$BZ$1001,281,G$2)&amp;""),""))</f>
        <v/>
      </c>
      <c r="H282">
        <f>IF(H$2=0,"",IFERROR(TRIM(INDEX('Pegar calibracion'!$A$1:$BZ$1001,281,H$2)&amp;""),""))</f>
        <v/>
      </c>
      <c r="I282">
        <f>IF(I$2=0,"",IFERROR(TRIM(INDEX('Pegar calibracion'!$A$1:$BZ$1001,281,I$2)&amp;""),""))</f>
        <v/>
      </c>
      <c r="J282">
        <f>IF(J$2=0,"",IFERROR(TRIM(INDEX('Pegar calibracion'!$A$1:$BZ$1001,281,J$2)&amp;""),""))</f>
        <v/>
      </c>
      <c r="K282">
        <f>IF(K$2=0,"",IFERROR(TRIM(INDEX('Pegar calibracion'!$A$1:$BZ$1001,281,K$2)&amp;""),""))</f>
        <v/>
      </c>
      <c r="L282">
        <f>IF(L$2=0,"",IFERROR(TRIM(INDEX('Pegar calibracion'!$A$1:$BZ$1001,281,L$2)&amp;""),""))</f>
        <v/>
      </c>
      <c r="M282" s="25">
        <f>IF(D282="","",SUBSTITUTE(SUBSTITUTE(SUBSTITUTE(SUBSTITUTE(SUBSTITUTE(SUBSTITUTE(SUBSTITUTE(SUBSTITUTE(SUBSTITUTE(SUBSTITUTE(SUBSTITUTE(SUBSTITUTE(LOWER(TRIM(D282)),"á","a"),"é","e"),"í","i"),"ó","o"),"ú","u"),"ü","u"),"ñ","n"),"à","a"),"è","e"),"ì","i"),"ò","o"),"ù","u"))</f>
        <v/>
      </c>
      <c r="N282" s="25">
        <f>IF(F282="","",SUBSTITUTE(SUBSTITUTE(SUBSTITUTE(SUBSTITUTE(SUBSTITUTE(SUBSTITUTE(SUBSTITUTE(SUBSTITUTE(SUBSTITUTE(SUBSTITUTE(SUBSTITUTE(SUBSTITUTE(LOWER(TRIM(F282)),"á","a"),"é","e"),"í","i"),"ó","o"),"ú","u"),"ü","u"),"ñ","n"),"à","a"),"è","e"),"ì","i"),"ò","o"),"ù","u"))</f>
        <v/>
      </c>
      <c r="O282" s="25">
        <f>IF(M282="confiable",2,IF(M282="dudosa",1,IF(M282="no confiable",0,"")))</f>
        <v/>
      </c>
      <c r="P282" s="25">
        <f>IF(N282="confiable",2,IF(N282="dudosa",1,IF(N282="no confiable",0,"")))</f>
        <v/>
      </c>
      <c r="Q282" s="25">
        <f>IF(AND(ISNUMBER(O282),ISNUMBER(P282)),1,"")</f>
        <v/>
      </c>
      <c r="R282" s="25">
        <f>IF(Q282=1,IF(O282=P282,"Sí","No"),"")</f>
        <v/>
      </c>
      <c r="S282" s="25">
        <f>IF(Q282=1,IF(P282&lt;O282,"Más estricto",IF(P282&gt;O282,"Más permisivo","Igual")),"")</f>
        <v/>
      </c>
      <c r="T282" s="25">
        <f>IF(Q282=1,IF(ABS(O282-P282)=2,1,0),"")</f>
        <v/>
      </c>
      <c r="U282" s="25">
        <f>IF(H282="","","|"&amp;SUBSTITUTE(SUBSTITUTE(TRIM(H282)," |","|"),"| ","|")&amp;"|")</f>
        <v/>
      </c>
      <c r="V282" s="25">
        <f>IF(AND(Q282=1,B282&lt;&gt;""),IF(IFERROR(COUNTIFS(B$3:B282,"="&amp;SUBSTITUTE(SUBSTITUTE(SUBSTITUTE(B282,"~","~~"),"*","~*"),"?","~?"),Q$3:Q282,1),0)=1,MAX(V$2:V281)+1,""),"")</f>
        <v/>
      </c>
      <c r="W282" s="25">
        <f>IF(V282="","",COUNTIFS($B$3:$B$1002,"="&amp;SUBSTITUTE(SUBSTITUTE(SUBSTITUTE(B282,"~","~~"),"*","~*"),"?","~?"),$Q$3:$Q$1002,1)*10000-V282)</f>
        <v/>
      </c>
      <c r="X282" s="25">
        <f>IF(Q282=1,IF(SUBSTITUTE(SUBSTITUTE(SUBSTITUTE(SUBSTITUTE(SUBSTITUTE(SUBSTITUTE(SUBSTITUTE(SUBSTITUTE(SUBSTITUTE(SUBSTITUTE(SUBSTITUTE(SUBSTITUTE(LOWER(TRIM(A282)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282)),"á","a"),"é","e"),"í","i"),"ó","o"),"ú","u"),"ü","u"),"ñ","n"),"à","a"),"è","e"),"ì","i"),"ò","o"),"ù","u")),"")</f>
        <v/>
      </c>
      <c r="Y282" s="25">
        <f>IF(X282="","",IF(IFERROR(COUNTIF(X$3:X282,"="&amp;SUBSTITUTE(SUBSTITUTE(SUBSTITUTE(X282,"~","~~"),"*","~*"),"?","~?")),0)=1,1,""))</f>
        <v/>
      </c>
      <c r="Z282" s="25">
        <f>IF(T282=1,MAX(Z$2:Z281)+1,"")</f>
        <v/>
      </c>
    </row>
    <row r="283">
      <c r="A283">
        <f>IF(A$2=0,"",IFERROR(TRIM(INDEX('Pegar calibracion'!$A$1:$BZ$1001,282,A$2)&amp;""),""))</f>
        <v/>
      </c>
      <c r="B283">
        <f>IF(B$2=0,"",IFERROR(TRIM(INDEX('Pegar calibracion'!$A$1:$BZ$1001,282,B$2)&amp;""),""))</f>
        <v/>
      </c>
      <c r="C283">
        <f>IF(C$2=0,"",IFERROR(TRIM(INDEX('Pegar calibracion'!$A$1:$BZ$1001,282,C$2)&amp;""),""))</f>
        <v/>
      </c>
      <c r="D283">
        <f>IF(D$2=0,"",IFERROR(TRIM(INDEX('Pegar calibracion'!$A$1:$BZ$1001,282,D$2)&amp;""),""))</f>
        <v/>
      </c>
      <c r="E283">
        <f>IF(E$2=0,"",IFERROR(TRIM(INDEX('Pegar calibracion'!$A$1:$BZ$1001,282,E$2)&amp;""),""))</f>
        <v/>
      </c>
      <c r="F283">
        <f>IF(F$2=0,"",IFERROR(TRIM(INDEX('Pegar calibracion'!$A$1:$BZ$1001,282,F$2)&amp;""),""))</f>
        <v/>
      </c>
      <c r="G283">
        <f>IF(G$2=0,"",IFERROR(TRIM(INDEX('Pegar calibracion'!$A$1:$BZ$1001,282,G$2)&amp;""),""))</f>
        <v/>
      </c>
      <c r="H283">
        <f>IF(H$2=0,"",IFERROR(TRIM(INDEX('Pegar calibracion'!$A$1:$BZ$1001,282,H$2)&amp;""),""))</f>
        <v/>
      </c>
      <c r="I283">
        <f>IF(I$2=0,"",IFERROR(TRIM(INDEX('Pegar calibracion'!$A$1:$BZ$1001,282,I$2)&amp;""),""))</f>
        <v/>
      </c>
      <c r="J283">
        <f>IF(J$2=0,"",IFERROR(TRIM(INDEX('Pegar calibracion'!$A$1:$BZ$1001,282,J$2)&amp;""),""))</f>
        <v/>
      </c>
      <c r="K283">
        <f>IF(K$2=0,"",IFERROR(TRIM(INDEX('Pegar calibracion'!$A$1:$BZ$1001,282,K$2)&amp;""),""))</f>
        <v/>
      </c>
      <c r="L283">
        <f>IF(L$2=0,"",IFERROR(TRIM(INDEX('Pegar calibracion'!$A$1:$BZ$1001,282,L$2)&amp;""),""))</f>
        <v/>
      </c>
      <c r="M283" s="25">
        <f>IF(D283="","",SUBSTITUTE(SUBSTITUTE(SUBSTITUTE(SUBSTITUTE(SUBSTITUTE(SUBSTITUTE(SUBSTITUTE(SUBSTITUTE(SUBSTITUTE(SUBSTITUTE(SUBSTITUTE(SUBSTITUTE(LOWER(TRIM(D283)),"á","a"),"é","e"),"í","i"),"ó","o"),"ú","u"),"ü","u"),"ñ","n"),"à","a"),"è","e"),"ì","i"),"ò","o"),"ù","u"))</f>
        <v/>
      </c>
      <c r="N283" s="25">
        <f>IF(F283="","",SUBSTITUTE(SUBSTITUTE(SUBSTITUTE(SUBSTITUTE(SUBSTITUTE(SUBSTITUTE(SUBSTITUTE(SUBSTITUTE(SUBSTITUTE(SUBSTITUTE(SUBSTITUTE(SUBSTITUTE(LOWER(TRIM(F283)),"á","a"),"é","e"),"í","i"),"ó","o"),"ú","u"),"ü","u"),"ñ","n"),"à","a"),"è","e"),"ì","i"),"ò","o"),"ù","u"))</f>
        <v/>
      </c>
      <c r="O283" s="25">
        <f>IF(M283="confiable",2,IF(M283="dudosa",1,IF(M283="no confiable",0,"")))</f>
        <v/>
      </c>
      <c r="P283" s="25">
        <f>IF(N283="confiable",2,IF(N283="dudosa",1,IF(N283="no confiable",0,"")))</f>
        <v/>
      </c>
      <c r="Q283" s="25">
        <f>IF(AND(ISNUMBER(O283),ISNUMBER(P283)),1,"")</f>
        <v/>
      </c>
      <c r="R283" s="25">
        <f>IF(Q283=1,IF(O283=P283,"Sí","No"),"")</f>
        <v/>
      </c>
      <c r="S283" s="25">
        <f>IF(Q283=1,IF(P283&lt;O283,"Más estricto",IF(P283&gt;O283,"Más permisivo","Igual")),"")</f>
        <v/>
      </c>
      <c r="T283" s="25">
        <f>IF(Q283=1,IF(ABS(O283-P283)=2,1,0),"")</f>
        <v/>
      </c>
      <c r="U283" s="25">
        <f>IF(H283="","","|"&amp;SUBSTITUTE(SUBSTITUTE(TRIM(H283)," |","|"),"| ","|")&amp;"|")</f>
        <v/>
      </c>
      <c r="V283" s="25">
        <f>IF(AND(Q283=1,B283&lt;&gt;""),IF(IFERROR(COUNTIFS(B$3:B283,"="&amp;SUBSTITUTE(SUBSTITUTE(SUBSTITUTE(B283,"~","~~"),"*","~*"),"?","~?"),Q$3:Q283,1),0)=1,MAX(V$2:V282)+1,""),"")</f>
        <v/>
      </c>
      <c r="W283" s="25">
        <f>IF(V283="","",COUNTIFS($B$3:$B$1002,"="&amp;SUBSTITUTE(SUBSTITUTE(SUBSTITUTE(B283,"~","~~"),"*","~*"),"?","~?"),$Q$3:$Q$1002,1)*10000-V283)</f>
        <v/>
      </c>
      <c r="X283" s="25">
        <f>IF(Q283=1,IF(SUBSTITUTE(SUBSTITUTE(SUBSTITUTE(SUBSTITUTE(SUBSTITUTE(SUBSTITUTE(SUBSTITUTE(SUBSTITUTE(SUBSTITUTE(SUBSTITUTE(SUBSTITUTE(SUBSTITUTE(LOWER(TRIM(A283)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283)),"á","a"),"é","e"),"í","i"),"ó","o"),"ú","u"),"ü","u"),"ñ","n"),"à","a"),"è","e"),"ì","i"),"ò","o"),"ù","u")),"")</f>
        <v/>
      </c>
      <c r="Y283" s="25">
        <f>IF(X283="","",IF(IFERROR(COUNTIF(X$3:X283,"="&amp;SUBSTITUTE(SUBSTITUTE(SUBSTITUTE(X283,"~","~~"),"*","~*"),"?","~?")),0)=1,1,""))</f>
        <v/>
      </c>
      <c r="Z283" s="25">
        <f>IF(T283=1,MAX(Z$2:Z282)+1,"")</f>
        <v/>
      </c>
    </row>
    <row r="284">
      <c r="A284">
        <f>IF(A$2=0,"",IFERROR(TRIM(INDEX('Pegar calibracion'!$A$1:$BZ$1001,283,A$2)&amp;""),""))</f>
        <v/>
      </c>
      <c r="B284">
        <f>IF(B$2=0,"",IFERROR(TRIM(INDEX('Pegar calibracion'!$A$1:$BZ$1001,283,B$2)&amp;""),""))</f>
        <v/>
      </c>
      <c r="C284">
        <f>IF(C$2=0,"",IFERROR(TRIM(INDEX('Pegar calibracion'!$A$1:$BZ$1001,283,C$2)&amp;""),""))</f>
        <v/>
      </c>
      <c r="D284">
        <f>IF(D$2=0,"",IFERROR(TRIM(INDEX('Pegar calibracion'!$A$1:$BZ$1001,283,D$2)&amp;""),""))</f>
        <v/>
      </c>
      <c r="E284">
        <f>IF(E$2=0,"",IFERROR(TRIM(INDEX('Pegar calibracion'!$A$1:$BZ$1001,283,E$2)&amp;""),""))</f>
        <v/>
      </c>
      <c r="F284">
        <f>IF(F$2=0,"",IFERROR(TRIM(INDEX('Pegar calibracion'!$A$1:$BZ$1001,283,F$2)&amp;""),""))</f>
        <v/>
      </c>
      <c r="G284">
        <f>IF(G$2=0,"",IFERROR(TRIM(INDEX('Pegar calibracion'!$A$1:$BZ$1001,283,G$2)&amp;""),""))</f>
        <v/>
      </c>
      <c r="H284">
        <f>IF(H$2=0,"",IFERROR(TRIM(INDEX('Pegar calibracion'!$A$1:$BZ$1001,283,H$2)&amp;""),""))</f>
        <v/>
      </c>
      <c r="I284">
        <f>IF(I$2=0,"",IFERROR(TRIM(INDEX('Pegar calibracion'!$A$1:$BZ$1001,283,I$2)&amp;""),""))</f>
        <v/>
      </c>
      <c r="J284">
        <f>IF(J$2=0,"",IFERROR(TRIM(INDEX('Pegar calibracion'!$A$1:$BZ$1001,283,J$2)&amp;""),""))</f>
        <v/>
      </c>
      <c r="K284">
        <f>IF(K$2=0,"",IFERROR(TRIM(INDEX('Pegar calibracion'!$A$1:$BZ$1001,283,K$2)&amp;""),""))</f>
        <v/>
      </c>
      <c r="L284">
        <f>IF(L$2=0,"",IFERROR(TRIM(INDEX('Pegar calibracion'!$A$1:$BZ$1001,283,L$2)&amp;""),""))</f>
        <v/>
      </c>
      <c r="M284" s="25">
        <f>IF(D284="","",SUBSTITUTE(SUBSTITUTE(SUBSTITUTE(SUBSTITUTE(SUBSTITUTE(SUBSTITUTE(SUBSTITUTE(SUBSTITUTE(SUBSTITUTE(SUBSTITUTE(SUBSTITUTE(SUBSTITUTE(LOWER(TRIM(D284)),"á","a"),"é","e"),"í","i"),"ó","o"),"ú","u"),"ü","u"),"ñ","n"),"à","a"),"è","e"),"ì","i"),"ò","o"),"ù","u"))</f>
        <v/>
      </c>
      <c r="N284" s="25">
        <f>IF(F284="","",SUBSTITUTE(SUBSTITUTE(SUBSTITUTE(SUBSTITUTE(SUBSTITUTE(SUBSTITUTE(SUBSTITUTE(SUBSTITUTE(SUBSTITUTE(SUBSTITUTE(SUBSTITUTE(SUBSTITUTE(LOWER(TRIM(F284)),"á","a"),"é","e"),"í","i"),"ó","o"),"ú","u"),"ü","u"),"ñ","n"),"à","a"),"è","e"),"ì","i"),"ò","o"),"ù","u"))</f>
        <v/>
      </c>
      <c r="O284" s="25">
        <f>IF(M284="confiable",2,IF(M284="dudosa",1,IF(M284="no confiable",0,"")))</f>
        <v/>
      </c>
      <c r="P284" s="25">
        <f>IF(N284="confiable",2,IF(N284="dudosa",1,IF(N284="no confiable",0,"")))</f>
        <v/>
      </c>
      <c r="Q284" s="25">
        <f>IF(AND(ISNUMBER(O284),ISNUMBER(P284)),1,"")</f>
        <v/>
      </c>
      <c r="R284" s="25">
        <f>IF(Q284=1,IF(O284=P284,"Sí","No"),"")</f>
        <v/>
      </c>
      <c r="S284" s="25">
        <f>IF(Q284=1,IF(P284&lt;O284,"Más estricto",IF(P284&gt;O284,"Más permisivo","Igual")),"")</f>
        <v/>
      </c>
      <c r="T284" s="25">
        <f>IF(Q284=1,IF(ABS(O284-P284)=2,1,0),"")</f>
        <v/>
      </c>
      <c r="U284" s="25">
        <f>IF(H284="","","|"&amp;SUBSTITUTE(SUBSTITUTE(TRIM(H284)," |","|"),"| ","|")&amp;"|")</f>
        <v/>
      </c>
      <c r="V284" s="25">
        <f>IF(AND(Q284=1,B284&lt;&gt;""),IF(IFERROR(COUNTIFS(B$3:B284,"="&amp;SUBSTITUTE(SUBSTITUTE(SUBSTITUTE(B284,"~","~~"),"*","~*"),"?","~?"),Q$3:Q284,1),0)=1,MAX(V$2:V283)+1,""),"")</f>
        <v/>
      </c>
      <c r="W284" s="25">
        <f>IF(V284="","",COUNTIFS($B$3:$B$1002,"="&amp;SUBSTITUTE(SUBSTITUTE(SUBSTITUTE(B284,"~","~~"),"*","~*"),"?","~?"),$Q$3:$Q$1002,1)*10000-V284)</f>
        <v/>
      </c>
      <c r="X284" s="25">
        <f>IF(Q284=1,IF(SUBSTITUTE(SUBSTITUTE(SUBSTITUTE(SUBSTITUTE(SUBSTITUTE(SUBSTITUTE(SUBSTITUTE(SUBSTITUTE(SUBSTITUTE(SUBSTITUTE(SUBSTITUTE(SUBSTITUTE(LOWER(TRIM(A284)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284)),"á","a"),"é","e"),"í","i"),"ó","o"),"ú","u"),"ü","u"),"ñ","n"),"à","a"),"è","e"),"ì","i"),"ò","o"),"ù","u")),"")</f>
        <v/>
      </c>
      <c r="Y284" s="25">
        <f>IF(X284="","",IF(IFERROR(COUNTIF(X$3:X284,"="&amp;SUBSTITUTE(SUBSTITUTE(SUBSTITUTE(X284,"~","~~"),"*","~*"),"?","~?")),0)=1,1,""))</f>
        <v/>
      </c>
      <c r="Z284" s="25">
        <f>IF(T284=1,MAX(Z$2:Z283)+1,"")</f>
        <v/>
      </c>
    </row>
    <row r="285">
      <c r="A285">
        <f>IF(A$2=0,"",IFERROR(TRIM(INDEX('Pegar calibracion'!$A$1:$BZ$1001,284,A$2)&amp;""),""))</f>
        <v/>
      </c>
      <c r="B285">
        <f>IF(B$2=0,"",IFERROR(TRIM(INDEX('Pegar calibracion'!$A$1:$BZ$1001,284,B$2)&amp;""),""))</f>
        <v/>
      </c>
      <c r="C285">
        <f>IF(C$2=0,"",IFERROR(TRIM(INDEX('Pegar calibracion'!$A$1:$BZ$1001,284,C$2)&amp;""),""))</f>
        <v/>
      </c>
      <c r="D285">
        <f>IF(D$2=0,"",IFERROR(TRIM(INDEX('Pegar calibracion'!$A$1:$BZ$1001,284,D$2)&amp;""),""))</f>
        <v/>
      </c>
      <c r="E285">
        <f>IF(E$2=0,"",IFERROR(TRIM(INDEX('Pegar calibracion'!$A$1:$BZ$1001,284,E$2)&amp;""),""))</f>
        <v/>
      </c>
      <c r="F285">
        <f>IF(F$2=0,"",IFERROR(TRIM(INDEX('Pegar calibracion'!$A$1:$BZ$1001,284,F$2)&amp;""),""))</f>
        <v/>
      </c>
      <c r="G285">
        <f>IF(G$2=0,"",IFERROR(TRIM(INDEX('Pegar calibracion'!$A$1:$BZ$1001,284,G$2)&amp;""),""))</f>
        <v/>
      </c>
      <c r="H285">
        <f>IF(H$2=0,"",IFERROR(TRIM(INDEX('Pegar calibracion'!$A$1:$BZ$1001,284,H$2)&amp;""),""))</f>
        <v/>
      </c>
      <c r="I285">
        <f>IF(I$2=0,"",IFERROR(TRIM(INDEX('Pegar calibracion'!$A$1:$BZ$1001,284,I$2)&amp;""),""))</f>
        <v/>
      </c>
      <c r="J285">
        <f>IF(J$2=0,"",IFERROR(TRIM(INDEX('Pegar calibracion'!$A$1:$BZ$1001,284,J$2)&amp;""),""))</f>
        <v/>
      </c>
      <c r="K285">
        <f>IF(K$2=0,"",IFERROR(TRIM(INDEX('Pegar calibracion'!$A$1:$BZ$1001,284,K$2)&amp;""),""))</f>
        <v/>
      </c>
      <c r="L285">
        <f>IF(L$2=0,"",IFERROR(TRIM(INDEX('Pegar calibracion'!$A$1:$BZ$1001,284,L$2)&amp;""),""))</f>
        <v/>
      </c>
      <c r="M285" s="25">
        <f>IF(D285="","",SUBSTITUTE(SUBSTITUTE(SUBSTITUTE(SUBSTITUTE(SUBSTITUTE(SUBSTITUTE(SUBSTITUTE(SUBSTITUTE(SUBSTITUTE(SUBSTITUTE(SUBSTITUTE(SUBSTITUTE(LOWER(TRIM(D285)),"á","a"),"é","e"),"í","i"),"ó","o"),"ú","u"),"ü","u"),"ñ","n"),"à","a"),"è","e"),"ì","i"),"ò","o"),"ù","u"))</f>
        <v/>
      </c>
      <c r="N285" s="25">
        <f>IF(F285="","",SUBSTITUTE(SUBSTITUTE(SUBSTITUTE(SUBSTITUTE(SUBSTITUTE(SUBSTITUTE(SUBSTITUTE(SUBSTITUTE(SUBSTITUTE(SUBSTITUTE(SUBSTITUTE(SUBSTITUTE(LOWER(TRIM(F285)),"á","a"),"é","e"),"í","i"),"ó","o"),"ú","u"),"ü","u"),"ñ","n"),"à","a"),"è","e"),"ì","i"),"ò","o"),"ù","u"))</f>
        <v/>
      </c>
      <c r="O285" s="25">
        <f>IF(M285="confiable",2,IF(M285="dudosa",1,IF(M285="no confiable",0,"")))</f>
        <v/>
      </c>
      <c r="P285" s="25">
        <f>IF(N285="confiable",2,IF(N285="dudosa",1,IF(N285="no confiable",0,"")))</f>
        <v/>
      </c>
      <c r="Q285" s="25">
        <f>IF(AND(ISNUMBER(O285),ISNUMBER(P285)),1,"")</f>
        <v/>
      </c>
      <c r="R285" s="25">
        <f>IF(Q285=1,IF(O285=P285,"Sí","No"),"")</f>
        <v/>
      </c>
      <c r="S285" s="25">
        <f>IF(Q285=1,IF(P285&lt;O285,"Más estricto",IF(P285&gt;O285,"Más permisivo","Igual")),"")</f>
        <v/>
      </c>
      <c r="T285" s="25">
        <f>IF(Q285=1,IF(ABS(O285-P285)=2,1,0),"")</f>
        <v/>
      </c>
      <c r="U285" s="25">
        <f>IF(H285="","","|"&amp;SUBSTITUTE(SUBSTITUTE(TRIM(H285)," |","|"),"| ","|")&amp;"|")</f>
        <v/>
      </c>
      <c r="V285" s="25">
        <f>IF(AND(Q285=1,B285&lt;&gt;""),IF(IFERROR(COUNTIFS(B$3:B285,"="&amp;SUBSTITUTE(SUBSTITUTE(SUBSTITUTE(B285,"~","~~"),"*","~*"),"?","~?"),Q$3:Q285,1),0)=1,MAX(V$2:V284)+1,""),"")</f>
        <v/>
      </c>
      <c r="W285" s="25">
        <f>IF(V285="","",COUNTIFS($B$3:$B$1002,"="&amp;SUBSTITUTE(SUBSTITUTE(SUBSTITUTE(B285,"~","~~"),"*","~*"),"?","~?"),$Q$3:$Q$1002,1)*10000-V285)</f>
        <v/>
      </c>
      <c r="X285" s="25">
        <f>IF(Q285=1,IF(SUBSTITUTE(SUBSTITUTE(SUBSTITUTE(SUBSTITUTE(SUBSTITUTE(SUBSTITUTE(SUBSTITUTE(SUBSTITUTE(SUBSTITUTE(SUBSTITUTE(SUBSTITUTE(SUBSTITUTE(LOWER(TRIM(A285)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285)),"á","a"),"é","e"),"í","i"),"ó","o"),"ú","u"),"ü","u"),"ñ","n"),"à","a"),"è","e"),"ì","i"),"ò","o"),"ù","u")),"")</f>
        <v/>
      </c>
      <c r="Y285" s="25">
        <f>IF(X285="","",IF(IFERROR(COUNTIF(X$3:X285,"="&amp;SUBSTITUTE(SUBSTITUTE(SUBSTITUTE(X285,"~","~~"),"*","~*"),"?","~?")),0)=1,1,""))</f>
        <v/>
      </c>
      <c r="Z285" s="25">
        <f>IF(T285=1,MAX(Z$2:Z284)+1,"")</f>
        <v/>
      </c>
    </row>
    <row r="286">
      <c r="A286">
        <f>IF(A$2=0,"",IFERROR(TRIM(INDEX('Pegar calibracion'!$A$1:$BZ$1001,285,A$2)&amp;""),""))</f>
        <v/>
      </c>
      <c r="B286">
        <f>IF(B$2=0,"",IFERROR(TRIM(INDEX('Pegar calibracion'!$A$1:$BZ$1001,285,B$2)&amp;""),""))</f>
        <v/>
      </c>
      <c r="C286">
        <f>IF(C$2=0,"",IFERROR(TRIM(INDEX('Pegar calibracion'!$A$1:$BZ$1001,285,C$2)&amp;""),""))</f>
        <v/>
      </c>
      <c r="D286">
        <f>IF(D$2=0,"",IFERROR(TRIM(INDEX('Pegar calibracion'!$A$1:$BZ$1001,285,D$2)&amp;""),""))</f>
        <v/>
      </c>
      <c r="E286">
        <f>IF(E$2=0,"",IFERROR(TRIM(INDEX('Pegar calibracion'!$A$1:$BZ$1001,285,E$2)&amp;""),""))</f>
        <v/>
      </c>
      <c r="F286">
        <f>IF(F$2=0,"",IFERROR(TRIM(INDEX('Pegar calibracion'!$A$1:$BZ$1001,285,F$2)&amp;""),""))</f>
        <v/>
      </c>
      <c r="G286">
        <f>IF(G$2=0,"",IFERROR(TRIM(INDEX('Pegar calibracion'!$A$1:$BZ$1001,285,G$2)&amp;""),""))</f>
        <v/>
      </c>
      <c r="H286">
        <f>IF(H$2=0,"",IFERROR(TRIM(INDEX('Pegar calibracion'!$A$1:$BZ$1001,285,H$2)&amp;""),""))</f>
        <v/>
      </c>
      <c r="I286">
        <f>IF(I$2=0,"",IFERROR(TRIM(INDEX('Pegar calibracion'!$A$1:$BZ$1001,285,I$2)&amp;""),""))</f>
        <v/>
      </c>
      <c r="J286">
        <f>IF(J$2=0,"",IFERROR(TRIM(INDEX('Pegar calibracion'!$A$1:$BZ$1001,285,J$2)&amp;""),""))</f>
        <v/>
      </c>
      <c r="K286">
        <f>IF(K$2=0,"",IFERROR(TRIM(INDEX('Pegar calibracion'!$A$1:$BZ$1001,285,K$2)&amp;""),""))</f>
        <v/>
      </c>
      <c r="L286">
        <f>IF(L$2=0,"",IFERROR(TRIM(INDEX('Pegar calibracion'!$A$1:$BZ$1001,285,L$2)&amp;""),""))</f>
        <v/>
      </c>
      <c r="M286" s="25">
        <f>IF(D286="","",SUBSTITUTE(SUBSTITUTE(SUBSTITUTE(SUBSTITUTE(SUBSTITUTE(SUBSTITUTE(SUBSTITUTE(SUBSTITUTE(SUBSTITUTE(SUBSTITUTE(SUBSTITUTE(SUBSTITUTE(LOWER(TRIM(D286)),"á","a"),"é","e"),"í","i"),"ó","o"),"ú","u"),"ü","u"),"ñ","n"),"à","a"),"è","e"),"ì","i"),"ò","o"),"ù","u"))</f>
        <v/>
      </c>
      <c r="N286" s="25">
        <f>IF(F286="","",SUBSTITUTE(SUBSTITUTE(SUBSTITUTE(SUBSTITUTE(SUBSTITUTE(SUBSTITUTE(SUBSTITUTE(SUBSTITUTE(SUBSTITUTE(SUBSTITUTE(SUBSTITUTE(SUBSTITUTE(LOWER(TRIM(F286)),"á","a"),"é","e"),"í","i"),"ó","o"),"ú","u"),"ü","u"),"ñ","n"),"à","a"),"è","e"),"ì","i"),"ò","o"),"ù","u"))</f>
        <v/>
      </c>
      <c r="O286" s="25">
        <f>IF(M286="confiable",2,IF(M286="dudosa",1,IF(M286="no confiable",0,"")))</f>
        <v/>
      </c>
      <c r="P286" s="25">
        <f>IF(N286="confiable",2,IF(N286="dudosa",1,IF(N286="no confiable",0,"")))</f>
        <v/>
      </c>
      <c r="Q286" s="25">
        <f>IF(AND(ISNUMBER(O286),ISNUMBER(P286)),1,"")</f>
        <v/>
      </c>
      <c r="R286" s="25">
        <f>IF(Q286=1,IF(O286=P286,"Sí","No"),"")</f>
        <v/>
      </c>
      <c r="S286" s="25">
        <f>IF(Q286=1,IF(P286&lt;O286,"Más estricto",IF(P286&gt;O286,"Más permisivo","Igual")),"")</f>
        <v/>
      </c>
      <c r="T286" s="25">
        <f>IF(Q286=1,IF(ABS(O286-P286)=2,1,0),"")</f>
        <v/>
      </c>
      <c r="U286" s="25">
        <f>IF(H286="","","|"&amp;SUBSTITUTE(SUBSTITUTE(TRIM(H286)," |","|"),"| ","|")&amp;"|")</f>
        <v/>
      </c>
      <c r="V286" s="25">
        <f>IF(AND(Q286=1,B286&lt;&gt;""),IF(IFERROR(COUNTIFS(B$3:B286,"="&amp;SUBSTITUTE(SUBSTITUTE(SUBSTITUTE(B286,"~","~~"),"*","~*"),"?","~?"),Q$3:Q286,1),0)=1,MAX(V$2:V285)+1,""),"")</f>
        <v/>
      </c>
      <c r="W286" s="25">
        <f>IF(V286="","",COUNTIFS($B$3:$B$1002,"="&amp;SUBSTITUTE(SUBSTITUTE(SUBSTITUTE(B286,"~","~~"),"*","~*"),"?","~?"),$Q$3:$Q$1002,1)*10000-V286)</f>
        <v/>
      </c>
      <c r="X286" s="25">
        <f>IF(Q286=1,IF(SUBSTITUTE(SUBSTITUTE(SUBSTITUTE(SUBSTITUTE(SUBSTITUTE(SUBSTITUTE(SUBSTITUTE(SUBSTITUTE(SUBSTITUTE(SUBSTITUTE(SUBSTITUTE(SUBSTITUTE(LOWER(TRIM(A286)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286)),"á","a"),"é","e"),"í","i"),"ó","o"),"ú","u"),"ü","u"),"ñ","n"),"à","a"),"è","e"),"ì","i"),"ò","o"),"ù","u")),"")</f>
        <v/>
      </c>
      <c r="Y286" s="25">
        <f>IF(X286="","",IF(IFERROR(COUNTIF(X$3:X286,"="&amp;SUBSTITUTE(SUBSTITUTE(SUBSTITUTE(X286,"~","~~"),"*","~*"),"?","~?")),0)=1,1,""))</f>
        <v/>
      </c>
      <c r="Z286" s="25">
        <f>IF(T286=1,MAX(Z$2:Z285)+1,"")</f>
        <v/>
      </c>
    </row>
    <row r="287">
      <c r="A287">
        <f>IF(A$2=0,"",IFERROR(TRIM(INDEX('Pegar calibracion'!$A$1:$BZ$1001,286,A$2)&amp;""),""))</f>
        <v/>
      </c>
      <c r="B287">
        <f>IF(B$2=0,"",IFERROR(TRIM(INDEX('Pegar calibracion'!$A$1:$BZ$1001,286,B$2)&amp;""),""))</f>
        <v/>
      </c>
      <c r="C287">
        <f>IF(C$2=0,"",IFERROR(TRIM(INDEX('Pegar calibracion'!$A$1:$BZ$1001,286,C$2)&amp;""),""))</f>
        <v/>
      </c>
      <c r="D287">
        <f>IF(D$2=0,"",IFERROR(TRIM(INDEX('Pegar calibracion'!$A$1:$BZ$1001,286,D$2)&amp;""),""))</f>
        <v/>
      </c>
      <c r="E287">
        <f>IF(E$2=0,"",IFERROR(TRIM(INDEX('Pegar calibracion'!$A$1:$BZ$1001,286,E$2)&amp;""),""))</f>
        <v/>
      </c>
      <c r="F287">
        <f>IF(F$2=0,"",IFERROR(TRIM(INDEX('Pegar calibracion'!$A$1:$BZ$1001,286,F$2)&amp;""),""))</f>
        <v/>
      </c>
      <c r="G287">
        <f>IF(G$2=0,"",IFERROR(TRIM(INDEX('Pegar calibracion'!$A$1:$BZ$1001,286,G$2)&amp;""),""))</f>
        <v/>
      </c>
      <c r="H287">
        <f>IF(H$2=0,"",IFERROR(TRIM(INDEX('Pegar calibracion'!$A$1:$BZ$1001,286,H$2)&amp;""),""))</f>
        <v/>
      </c>
      <c r="I287">
        <f>IF(I$2=0,"",IFERROR(TRIM(INDEX('Pegar calibracion'!$A$1:$BZ$1001,286,I$2)&amp;""),""))</f>
        <v/>
      </c>
      <c r="J287">
        <f>IF(J$2=0,"",IFERROR(TRIM(INDEX('Pegar calibracion'!$A$1:$BZ$1001,286,J$2)&amp;""),""))</f>
        <v/>
      </c>
      <c r="K287">
        <f>IF(K$2=0,"",IFERROR(TRIM(INDEX('Pegar calibracion'!$A$1:$BZ$1001,286,K$2)&amp;""),""))</f>
        <v/>
      </c>
      <c r="L287">
        <f>IF(L$2=0,"",IFERROR(TRIM(INDEX('Pegar calibracion'!$A$1:$BZ$1001,286,L$2)&amp;""),""))</f>
        <v/>
      </c>
      <c r="M287" s="25">
        <f>IF(D287="","",SUBSTITUTE(SUBSTITUTE(SUBSTITUTE(SUBSTITUTE(SUBSTITUTE(SUBSTITUTE(SUBSTITUTE(SUBSTITUTE(SUBSTITUTE(SUBSTITUTE(SUBSTITUTE(SUBSTITUTE(LOWER(TRIM(D287)),"á","a"),"é","e"),"í","i"),"ó","o"),"ú","u"),"ü","u"),"ñ","n"),"à","a"),"è","e"),"ì","i"),"ò","o"),"ù","u"))</f>
        <v/>
      </c>
      <c r="N287" s="25">
        <f>IF(F287="","",SUBSTITUTE(SUBSTITUTE(SUBSTITUTE(SUBSTITUTE(SUBSTITUTE(SUBSTITUTE(SUBSTITUTE(SUBSTITUTE(SUBSTITUTE(SUBSTITUTE(SUBSTITUTE(SUBSTITUTE(LOWER(TRIM(F287)),"á","a"),"é","e"),"í","i"),"ó","o"),"ú","u"),"ü","u"),"ñ","n"),"à","a"),"è","e"),"ì","i"),"ò","o"),"ù","u"))</f>
        <v/>
      </c>
      <c r="O287" s="25">
        <f>IF(M287="confiable",2,IF(M287="dudosa",1,IF(M287="no confiable",0,"")))</f>
        <v/>
      </c>
      <c r="P287" s="25">
        <f>IF(N287="confiable",2,IF(N287="dudosa",1,IF(N287="no confiable",0,"")))</f>
        <v/>
      </c>
      <c r="Q287" s="25">
        <f>IF(AND(ISNUMBER(O287),ISNUMBER(P287)),1,"")</f>
        <v/>
      </c>
      <c r="R287" s="25">
        <f>IF(Q287=1,IF(O287=P287,"Sí","No"),"")</f>
        <v/>
      </c>
      <c r="S287" s="25">
        <f>IF(Q287=1,IF(P287&lt;O287,"Más estricto",IF(P287&gt;O287,"Más permisivo","Igual")),"")</f>
        <v/>
      </c>
      <c r="T287" s="25">
        <f>IF(Q287=1,IF(ABS(O287-P287)=2,1,0),"")</f>
        <v/>
      </c>
      <c r="U287" s="25">
        <f>IF(H287="","","|"&amp;SUBSTITUTE(SUBSTITUTE(TRIM(H287)," |","|"),"| ","|")&amp;"|")</f>
        <v/>
      </c>
      <c r="V287" s="25">
        <f>IF(AND(Q287=1,B287&lt;&gt;""),IF(IFERROR(COUNTIFS(B$3:B287,"="&amp;SUBSTITUTE(SUBSTITUTE(SUBSTITUTE(B287,"~","~~"),"*","~*"),"?","~?"),Q$3:Q287,1),0)=1,MAX(V$2:V286)+1,""),"")</f>
        <v/>
      </c>
      <c r="W287" s="25">
        <f>IF(V287="","",COUNTIFS($B$3:$B$1002,"="&amp;SUBSTITUTE(SUBSTITUTE(SUBSTITUTE(B287,"~","~~"),"*","~*"),"?","~?"),$Q$3:$Q$1002,1)*10000-V287)</f>
        <v/>
      </c>
      <c r="X287" s="25">
        <f>IF(Q287=1,IF(SUBSTITUTE(SUBSTITUTE(SUBSTITUTE(SUBSTITUTE(SUBSTITUTE(SUBSTITUTE(SUBSTITUTE(SUBSTITUTE(SUBSTITUTE(SUBSTITUTE(SUBSTITUTE(SUBSTITUTE(LOWER(TRIM(A287)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287)),"á","a"),"é","e"),"í","i"),"ó","o"),"ú","u"),"ü","u"),"ñ","n"),"à","a"),"è","e"),"ì","i"),"ò","o"),"ù","u")),"")</f>
        <v/>
      </c>
      <c r="Y287" s="25">
        <f>IF(X287="","",IF(IFERROR(COUNTIF(X$3:X287,"="&amp;SUBSTITUTE(SUBSTITUTE(SUBSTITUTE(X287,"~","~~"),"*","~*"),"?","~?")),0)=1,1,""))</f>
        <v/>
      </c>
      <c r="Z287" s="25">
        <f>IF(T287=1,MAX(Z$2:Z286)+1,"")</f>
        <v/>
      </c>
    </row>
    <row r="288">
      <c r="A288">
        <f>IF(A$2=0,"",IFERROR(TRIM(INDEX('Pegar calibracion'!$A$1:$BZ$1001,287,A$2)&amp;""),""))</f>
        <v/>
      </c>
      <c r="B288">
        <f>IF(B$2=0,"",IFERROR(TRIM(INDEX('Pegar calibracion'!$A$1:$BZ$1001,287,B$2)&amp;""),""))</f>
        <v/>
      </c>
      <c r="C288">
        <f>IF(C$2=0,"",IFERROR(TRIM(INDEX('Pegar calibracion'!$A$1:$BZ$1001,287,C$2)&amp;""),""))</f>
        <v/>
      </c>
      <c r="D288">
        <f>IF(D$2=0,"",IFERROR(TRIM(INDEX('Pegar calibracion'!$A$1:$BZ$1001,287,D$2)&amp;""),""))</f>
        <v/>
      </c>
      <c r="E288">
        <f>IF(E$2=0,"",IFERROR(TRIM(INDEX('Pegar calibracion'!$A$1:$BZ$1001,287,E$2)&amp;""),""))</f>
        <v/>
      </c>
      <c r="F288">
        <f>IF(F$2=0,"",IFERROR(TRIM(INDEX('Pegar calibracion'!$A$1:$BZ$1001,287,F$2)&amp;""),""))</f>
        <v/>
      </c>
      <c r="G288">
        <f>IF(G$2=0,"",IFERROR(TRIM(INDEX('Pegar calibracion'!$A$1:$BZ$1001,287,G$2)&amp;""),""))</f>
        <v/>
      </c>
      <c r="H288">
        <f>IF(H$2=0,"",IFERROR(TRIM(INDEX('Pegar calibracion'!$A$1:$BZ$1001,287,H$2)&amp;""),""))</f>
        <v/>
      </c>
      <c r="I288">
        <f>IF(I$2=0,"",IFERROR(TRIM(INDEX('Pegar calibracion'!$A$1:$BZ$1001,287,I$2)&amp;""),""))</f>
        <v/>
      </c>
      <c r="J288">
        <f>IF(J$2=0,"",IFERROR(TRIM(INDEX('Pegar calibracion'!$A$1:$BZ$1001,287,J$2)&amp;""),""))</f>
        <v/>
      </c>
      <c r="K288">
        <f>IF(K$2=0,"",IFERROR(TRIM(INDEX('Pegar calibracion'!$A$1:$BZ$1001,287,K$2)&amp;""),""))</f>
        <v/>
      </c>
      <c r="L288">
        <f>IF(L$2=0,"",IFERROR(TRIM(INDEX('Pegar calibracion'!$A$1:$BZ$1001,287,L$2)&amp;""),""))</f>
        <v/>
      </c>
      <c r="M288" s="25">
        <f>IF(D288="","",SUBSTITUTE(SUBSTITUTE(SUBSTITUTE(SUBSTITUTE(SUBSTITUTE(SUBSTITUTE(SUBSTITUTE(SUBSTITUTE(SUBSTITUTE(SUBSTITUTE(SUBSTITUTE(SUBSTITUTE(LOWER(TRIM(D288)),"á","a"),"é","e"),"í","i"),"ó","o"),"ú","u"),"ü","u"),"ñ","n"),"à","a"),"è","e"),"ì","i"),"ò","o"),"ù","u"))</f>
        <v/>
      </c>
      <c r="N288" s="25">
        <f>IF(F288="","",SUBSTITUTE(SUBSTITUTE(SUBSTITUTE(SUBSTITUTE(SUBSTITUTE(SUBSTITUTE(SUBSTITUTE(SUBSTITUTE(SUBSTITUTE(SUBSTITUTE(SUBSTITUTE(SUBSTITUTE(LOWER(TRIM(F288)),"á","a"),"é","e"),"í","i"),"ó","o"),"ú","u"),"ü","u"),"ñ","n"),"à","a"),"è","e"),"ì","i"),"ò","o"),"ù","u"))</f>
        <v/>
      </c>
      <c r="O288" s="25">
        <f>IF(M288="confiable",2,IF(M288="dudosa",1,IF(M288="no confiable",0,"")))</f>
        <v/>
      </c>
      <c r="P288" s="25">
        <f>IF(N288="confiable",2,IF(N288="dudosa",1,IF(N288="no confiable",0,"")))</f>
        <v/>
      </c>
      <c r="Q288" s="25">
        <f>IF(AND(ISNUMBER(O288),ISNUMBER(P288)),1,"")</f>
        <v/>
      </c>
      <c r="R288" s="25">
        <f>IF(Q288=1,IF(O288=P288,"Sí","No"),"")</f>
        <v/>
      </c>
      <c r="S288" s="25">
        <f>IF(Q288=1,IF(P288&lt;O288,"Más estricto",IF(P288&gt;O288,"Más permisivo","Igual")),"")</f>
        <v/>
      </c>
      <c r="T288" s="25">
        <f>IF(Q288=1,IF(ABS(O288-P288)=2,1,0),"")</f>
        <v/>
      </c>
      <c r="U288" s="25">
        <f>IF(H288="","","|"&amp;SUBSTITUTE(SUBSTITUTE(TRIM(H288)," |","|"),"| ","|")&amp;"|")</f>
        <v/>
      </c>
      <c r="V288" s="25">
        <f>IF(AND(Q288=1,B288&lt;&gt;""),IF(IFERROR(COUNTIFS(B$3:B288,"="&amp;SUBSTITUTE(SUBSTITUTE(SUBSTITUTE(B288,"~","~~"),"*","~*"),"?","~?"),Q$3:Q288,1),0)=1,MAX(V$2:V287)+1,""),"")</f>
        <v/>
      </c>
      <c r="W288" s="25">
        <f>IF(V288="","",COUNTIFS($B$3:$B$1002,"="&amp;SUBSTITUTE(SUBSTITUTE(SUBSTITUTE(B288,"~","~~"),"*","~*"),"?","~?"),$Q$3:$Q$1002,1)*10000-V288)</f>
        <v/>
      </c>
      <c r="X288" s="25">
        <f>IF(Q288=1,IF(SUBSTITUTE(SUBSTITUTE(SUBSTITUTE(SUBSTITUTE(SUBSTITUTE(SUBSTITUTE(SUBSTITUTE(SUBSTITUTE(SUBSTITUTE(SUBSTITUTE(SUBSTITUTE(SUBSTITUTE(LOWER(TRIM(A288)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288)),"á","a"),"é","e"),"í","i"),"ó","o"),"ú","u"),"ü","u"),"ñ","n"),"à","a"),"è","e"),"ì","i"),"ò","o"),"ù","u")),"")</f>
        <v/>
      </c>
      <c r="Y288" s="25">
        <f>IF(X288="","",IF(IFERROR(COUNTIF(X$3:X288,"="&amp;SUBSTITUTE(SUBSTITUTE(SUBSTITUTE(X288,"~","~~"),"*","~*"),"?","~?")),0)=1,1,""))</f>
        <v/>
      </c>
      <c r="Z288" s="25">
        <f>IF(T288=1,MAX(Z$2:Z287)+1,"")</f>
        <v/>
      </c>
    </row>
    <row r="289">
      <c r="A289">
        <f>IF(A$2=0,"",IFERROR(TRIM(INDEX('Pegar calibracion'!$A$1:$BZ$1001,288,A$2)&amp;""),""))</f>
        <v/>
      </c>
      <c r="B289">
        <f>IF(B$2=0,"",IFERROR(TRIM(INDEX('Pegar calibracion'!$A$1:$BZ$1001,288,B$2)&amp;""),""))</f>
        <v/>
      </c>
      <c r="C289">
        <f>IF(C$2=0,"",IFERROR(TRIM(INDEX('Pegar calibracion'!$A$1:$BZ$1001,288,C$2)&amp;""),""))</f>
        <v/>
      </c>
      <c r="D289">
        <f>IF(D$2=0,"",IFERROR(TRIM(INDEX('Pegar calibracion'!$A$1:$BZ$1001,288,D$2)&amp;""),""))</f>
        <v/>
      </c>
      <c r="E289">
        <f>IF(E$2=0,"",IFERROR(TRIM(INDEX('Pegar calibracion'!$A$1:$BZ$1001,288,E$2)&amp;""),""))</f>
        <v/>
      </c>
      <c r="F289">
        <f>IF(F$2=0,"",IFERROR(TRIM(INDEX('Pegar calibracion'!$A$1:$BZ$1001,288,F$2)&amp;""),""))</f>
        <v/>
      </c>
      <c r="G289">
        <f>IF(G$2=0,"",IFERROR(TRIM(INDEX('Pegar calibracion'!$A$1:$BZ$1001,288,G$2)&amp;""),""))</f>
        <v/>
      </c>
      <c r="H289">
        <f>IF(H$2=0,"",IFERROR(TRIM(INDEX('Pegar calibracion'!$A$1:$BZ$1001,288,H$2)&amp;""),""))</f>
        <v/>
      </c>
      <c r="I289">
        <f>IF(I$2=0,"",IFERROR(TRIM(INDEX('Pegar calibracion'!$A$1:$BZ$1001,288,I$2)&amp;""),""))</f>
        <v/>
      </c>
      <c r="J289">
        <f>IF(J$2=0,"",IFERROR(TRIM(INDEX('Pegar calibracion'!$A$1:$BZ$1001,288,J$2)&amp;""),""))</f>
        <v/>
      </c>
      <c r="K289">
        <f>IF(K$2=0,"",IFERROR(TRIM(INDEX('Pegar calibracion'!$A$1:$BZ$1001,288,K$2)&amp;""),""))</f>
        <v/>
      </c>
      <c r="L289">
        <f>IF(L$2=0,"",IFERROR(TRIM(INDEX('Pegar calibracion'!$A$1:$BZ$1001,288,L$2)&amp;""),""))</f>
        <v/>
      </c>
      <c r="M289" s="25">
        <f>IF(D289="","",SUBSTITUTE(SUBSTITUTE(SUBSTITUTE(SUBSTITUTE(SUBSTITUTE(SUBSTITUTE(SUBSTITUTE(SUBSTITUTE(SUBSTITUTE(SUBSTITUTE(SUBSTITUTE(SUBSTITUTE(LOWER(TRIM(D289)),"á","a"),"é","e"),"í","i"),"ó","o"),"ú","u"),"ü","u"),"ñ","n"),"à","a"),"è","e"),"ì","i"),"ò","o"),"ù","u"))</f>
        <v/>
      </c>
      <c r="N289" s="25">
        <f>IF(F289="","",SUBSTITUTE(SUBSTITUTE(SUBSTITUTE(SUBSTITUTE(SUBSTITUTE(SUBSTITUTE(SUBSTITUTE(SUBSTITUTE(SUBSTITUTE(SUBSTITUTE(SUBSTITUTE(SUBSTITUTE(LOWER(TRIM(F289)),"á","a"),"é","e"),"í","i"),"ó","o"),"ú","u"),"ü","u"),"ñ","n"),"à","a"),"è","e"),"ì","i"),"ò","o"),"ù","u"))</f>
        <v/>
      </c>
      <c r="O289" s="25">
        <f>IF(M289="confiable",2,IF(M289="dudosa",1,IF(M289="no confiable",0,"")))</f>
        <v/>
      </c>
      <c r="P289" s="25">
        <f>IF(N289="confiable",2,IF(N289="dudosa",1,IF(N289="no confiable",0,"")))</f>
        <v/>
      </c>
      <c r="Q289" s="25">
        <f>IF(AND(ISNUMBER(O289),ISNUMBER(P289)),1,"")</f>
        <v/>
      </c>
      <c r="R289" s="25">
        <f>IF(Q289=1,IF(O289=P289,"Sí","No"),"")</f>
        <v/>
      </c>
      <c r="S289" s="25">
        <f>IF(Q289=1,IF(P289&lt;O289,"Más estricto",IF(P289&gt;O289,"Más permisivo","Igual")),"")</f>
        <v/>
      </c>
      <c r="T289" s="25">
        <f>IF(Q289=1,IF(ABS(O289-P289)=2,1,0),"")</f>
        <v/>
      </c>
      <c r="U289" s="25">
        <f>IF(H289="","","|"&amp;SUBSTITUTE(SUBSTITUTE(TRIM(H289)," |","|"),"| ","|")&amp;"|")</f>
        <v/>
      </c>
      <c r="V289" s="25">
        <f>IF(AND(Q289=1,B289&lt;&gt;""),IF(IFERROR(COUNTIFS(B$3:B289,"="&amp;SUBSTITUTE(SUBSTITUTE(SUBSTITUTE(B289,"~","~~"),"*","~*"),"?","~?"),Q$3:Q289,1),0)=1,MAX(V$2:V288)+1,""),"")</f>
        <v/>
      </c>
      <c r="W289" s="25">
        <f>IF(V289="","",COUNTIFS($B$3:$B$1002,"="&amp;SUBSTITUTE(SUBSTITUTE(SUBSTITUTE(B289,"~","~~"),"*","~*"),"?","~?"),$Q$3:$Q$1002,1)*10000-V289)</f>
        <v/>
      </c>
      <c r="X289" s="25">
        <f>IF(Q289=1,IF(SUBSTITUTE(SUBSTITUTE(SUBSTITUTE(SUBSTITUTE(SUBSTITUTE(SUBSTITUTE(SUBSTITUTE(SUBSTITUTE(SUBSTITUTE(SUBSTITUTE(SUBSTITUTE(SUBSTITUTE(LOWER(TRIM(A289)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289)),"á","a"),"é","e"),"í","i"),"ó","o"),"ú","u"),"ü","u"),"ñ","n"),"à","a"),"è","e"),"ì","i"),"ò","o"),"ù","u")),"")</f>
        <v/>
      </c>
      <c r="Y289" s="25">
        <f>IF(X289="","",IF(IFERROR(COUNTIF(X$3:X289,"="&amp;SUBSTITUTE(SUBSTITUTE(SUBSTITUTE(X289,"~","~~"),"*","~*"),"?","~?")),0)=1,1,""))</f>
        <v/>
      </c>
      <c r="Z289" s="25">
        <f>IF(T289=1,MAX(Z$2:Z288)+1,"")</f>
        <v/>
      </c>
    </row>
    <row r="290">
      <c r="A290">
        <f>IF(A$2=0,"",IFERROR(TRIM(INDEX('Pegar calibracion'!$A$1:$BZ$1001,289,A$2)&amp;""),""))</f>
        <v/>
      </c>
      <c r="B290">
        <f>IF(B$2=0,"",IFERROR(TRIM(INDEX('Pegar calibracion'!$A$1:$BZ$1001,289,B$2)&amp;""),""))</f>
        <v/>
      </c>
      <c r="C290">
        <f>IF(C$2=0,"",IFERROR(TRIM(INDEX('Pegar calibracion'!$A$1:$BZ$1001,289,C$2)&amp;""),""))</f>
        <v/>
      </c>
      <c r="D290">
        <f>IF(D$2=0,"",IFERROR(TRIM(INDEX('Pegar calibracion'!$A$1:$BZ$1001,289,D$2)&amp;""),""))</f>
        <v/>
      </c>
      <c r="E290">
        <f>IF(E$2=0,"",IFERROR(TRIM(INDEX('Pegar calibracion'!$A$1:$BZ$1001,289,E$2)&amp;""),""))</f>
        <v/>
      </c>
      <c r="F290">
        <f>IF(F$2=0,"",IFERROR(TRIM(INDEX('Pegar calibracion'!$A$1:$BZ$1001,289,F$2)&amp;""),""))</f>
        <v/>
      </c>
      <c r="G290">
        <f>IF(G$2=0,"",IFERROR(TRIM(INDEX('Pegar calibracion'!$A$1:$BZ$1001,289,G$2)&amp;""),""))</f>
        <v/>
      </c>
      <c r="H290">
        <f>IF(H$2=0,"",IFERROR(TRIM(INDEX('Pegar calibracion'!$A$1:$BZ$1001,289,H$2)&amp;""),""))</f>
        <v/>
      </c>
      <c r="I290">
        <f>IF(I$2=0,"",IFERROR(TRIM(INDEX('Pegar calibracion'!$A$1:$BZ$1001,289,I$2)&amp;""),""))</f>
        <v/>
      </c>
      <c r="J290">
        <f>IF(J$2=0,"",IFERROR(TRIM(INDEX('Pegar calibracion'!$A$1:$BZ$1001,289,J$2)&amp;""),""))</f>
        <v/>
      </c>
      <c r="K290">
        <f>IF(K$2=0,"",IFERROR(TRIM(INDEX('Pegar calibracion'!$A$1:$BZ$1001,289,K$2)&amp;""),""))</f>
        <v/>
      </c>
      <c r="L290">
        <f>IF(L$2=0,"",IFERROR(TRIM(INDEX('Pegar calibracion'!$A$1:$BZ$1001,289,L$2)&amp;""),""))</f>
        <v/>
      </c>
      <c r="M290" s="25">
        <f>IF(D290="","",SUBSTITUTE(SUBSTITUTE(SUBSTITUTE(SUBSTITUTE(SUBSTITUTE(SUBSTITUTE(SUBSTITUTE(SUBSTITUTE(SUBSTITUTE(SUBSTITUTE(SUBSTITUTE(SUBSTITUTE(LOWER(TRIM(D290)),"á","a"),"é","e"),"í","i"),"ó","o"),"ú","u"),"ü","u"),"ñ","n"),"à","a"),"è","e"),"ì","i"),"ò","o"),"ù","u"))</f>
        <v/>
      </c>
      <c r="N290" s="25">
        <f>IF(F290="","",SUBSTITUTE(SUBSTITUTE(SUBSTITUTE(SUBSTITUTE(SUBSTITUTE(SUBSTITUTE(SUBSTITUTE(SUBSTITUTE(SUBSTITUTE(SUBSTITUTE(SUBSTITUTE(SUBSTITUTE(LOWER(TRIM(F290)),"á","a"),"é","e"),"í","i"),"ó","o"),"ú","u"),"ü","u"),"ñ","n"),"à","a"),"è","e"),"ì","i"),"ò","o"),"ù","u"))</f>
        <v/>
      </c>
      <c r="O290" s="25">
        <f>IF(M290="confiable",2,IF(M290="dudosa",1,IF(M290="no confiable",0,"")))</f>
        <v/>
      </c>
      <c r="P290" s="25">
        <f>IF(N290="confiable",2,IF(N290="dudosa",1,IF(N290="no confiable",0,"")))</f>
        <v/>
      </c>
      <c r="Q290" s="25">
        <f>IF(AND(ISNUMBER(O290),ISNUMBER(P290)),1,"")</f>
        <v/>
      </c>
      <c r="R290" s="25">
        <f>IF(Q290=1,IF(O290=P290,"Sí","No"),"")</f>
        <v/>
      </c>
      <c r="S290" s="25">
        <f>IF(Q290=1,IF(P290&lt;O290,"Más estricto",IF(P290&gt;O290,"Más permisivo","Igual")),"")</f>
        <v/>
      </c>
      <c r="T290" s="25">
        <f>IF(Q290=1,IF(ABS(O290-P290)=2,1,0),"")</f>
        <v/>
      </c>
      <c r="U290" s="25">
        <f>IF(H290="","","|"&amp;SUBSTITUTE(SUBSTITUTE(TRIM(H290)," |","|"),"| ","|")&amp;"|")</f>
        <v/>
      </c>
      <c r="V290" s="25">
        <f>IF(AND(Q290=1,B290&lt;&gt;""),IF(IFERROR(COUNTIFS(B$3:B290,"="&amp;SUBSTITUTE(SUBSTITUTE(SUBSTITUTE(B290,"~","~~"),"*","~*"),"?","~?"),Q$3:Q290,1),0)=1,MAX(V$2:V289)+1,""),"")</f>
        <v/>
      </c>
      <c r="W290" s="25">
        <f>IF(V290="","",COUNTIFS($B$3:$B$1002,"="&amp;SUBSTITUTE(SUBSTITUTE(SUBSTITUTE(B290,"~","~~"),"*","~*"),"?","~?"),$Q$3:$Q$1002,1)*10000-V290)</f>
        <v/>
      </c>
      <c r="X290" s="25">
        <f>IF(Q290=1,IF(SUBSTITUTE(SUBSTITUTE(SUBSTITUTE(SUBSTITUTE(SUBSTITUTE(SUBSTITUTE(SUBSTITUTE(SUBSTITUTE(SUBSTITUTE(SUBSTITUTE(SUBSTITUTE(SUBSTITUTE(LOWER(TRIM(A290)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290)),"á","a"),"é","e"),"í","i"),"ó","o"),"ú","u"),"ü","u"),"ñ","n"),"à","a"),"è","e"),"ì","i"),"ò","o"),"ù","u")),"")</f>
        <v/>
      </c>
      <c r="Y290" s="25">
        <f>IF(X290="","",IF(IFERROR(COUNTIF(X$3:X290,"="&amp;SUBSTITUTE(SUBSTITUTE(SUBSTITUTE(X290,"~","~~"),"*","~*"),"?","~?")),0)=1,1,""))</f>
        <v/>
      </c>
      <c r="Z290" s="25">
        <f>IF(T290=1,MAX(Z$2:Z289)+1,"")</f>
        <v/>
      </c>
    </row>
    <row r="291">
      <c r="A291">
        <f>IF(A$2=0,"",IFERROR(TRIM(INDEX('Pegar calibracion'!$A$1:$BZ$1001,290,A$2)&amp;""),""))</f>
        <v/>
      </c>
      <c r="B291">
        <f>IF(B$2=0,"",IFERROR(TRIM(INDEX('Pegar calibracion'!$A$1:$BZ$1001,290,B$2)&amp;""),""))</f>
        <v/>
      </c>
      <c r="C291">
        <f>IF(C$2=0,"",IFERROR(TRIM(INDEX('Pegar calibracion'!$A$1:$BZ$1001,290,C$2)&amp;""),""))</f>
        <v/>
      </c>
      <c r="D291">
        <f>IF(D$2=0,"",IFERROR(TRIM(INDEX('Pegar calibracion'!$A$1:$BZ$1001,290,D$2)&amp;""),""))</f>
        <v/>
      </c>
      <c r="E291">
        <f>IF(E$2=0,"",IFERROR(TRIM(INDEX('Pegar calibracion'!$A$1:$BZ$1001,290,E$2)&amp;""),""))</f>
        <v/>
      </c>
      <c r="F291">
        <f>IF(F$2=0,"",IFERROR(TRIM(INDEX('Pegar calibracion'!$A$1:$BZ$1001,290,F$2)&amp;""),""))</f>
        <v/>
      </c>
      <c r="G291">
        <f>IF(G$2=0,"",IFERROR(TRIM(INDEX('Pegar calibracion'!$A$1:$BZ$1001,290,G$2)&amp;""),""))</f>
        <v/>
      </c>
      <c r="H291">
        <f>IF(H$2=0,"",IFERROR(TRIM(INDEX('Pegar calibracion'!$A$1:$BZ$1001,290,H$2)&amp;""),""))</f>
        <v/>
      </c>
      <c r="I291">
        <f>IF(I$2=0,"",IFERROR(TRIM(INDEX('Pegar calibracion'!$A$1:$BZ$1001,290,I$2)&amp;""),""))</f>
        <v/>
      </c>
      <c r="J291">
        <f>IF(J$2=0,"",IFERROR(TRIM(INDEX('Pegar calibracion'!$A$1:$BZ$1001,290,J$2)&amp;""),""))</f>
        <v/>
      </c>
      <c r="K291">
        <f>IF(K$2=0,"",IFERROR(TRIM(INDEX('Pegar calibracion'!$A$1:$BZ$1001,290,K$2)&amp;""),""))</f>
        <v/>
      </c>
      <c r="L291">
        <f>IF(L$2=0,"",IFERROR(TRIM(INDEX('Pegar calibracion'!$A$1:$BZ$1001,290,L$2)&amp;""),""))</f>
        <v/>
      </c>
      <c r="M291" s="25">
        <f>IF(D291="","",SUBSTITUTE(SUBSTITUTE(SUBSTITUTE(SUBSTITUTE(SUBSTITUTE(SUBSTITUTE(SUBSTITUTE(SUBSTITUTE(SUBSTITUTE(SUBSTITUTE(SUBSTITUTE(SUBSTITUTE(LOWER(TRIM(D291)),"á","a"),"é","e"),"í","i"),"ó","o"),"ú","u"),"ü","u"),"ñ","n"),"à","a"),"è","e"),"ì","i"),"ò","o"),"ù","u"))</f>
        <v/>
      </c>
      <c r="N291" s="25">
        <f>IF(F291="","",SUBSTITUTE(SUBSTITUTE(SUBSTITUTE(SUBSTITUTE(SUBSTITUTE(SUBSTITUTE(SUBSTITUTE(SUBSTITUTE(SUBSTITUTE(SUBSTITUTE(SUBSTITUTE(SUBSTITUTE(LOWER(TRIM(F291)),"á","a"),"é","e"),"í","i"),"ó","o"),"ú","u"),"ü","u"),"ñ","n"),"à","a"),"è","e"),"ì","i"),"ò","o"),"ù","u"))</f>
        <v/>
      </c>
      <c r="O291" s="25">
        <f>IF(M291="confiable",2,IF(M291="dudosa",1,IF(M291="no confiable",0,"")))</f>
        <v/>
      </c>
      <c r="P291" s="25">
        <f>IF(N291="confiable",2,IF(N291="dudosa",1,IF(N291="no confiable",0,"")))</f>
        <v/>
      </c>
      <c r="Q291" s="25">
        <f>IF(AND(ISNUMBER(O291),ISNUMBER(P291)),1,"")</f>
        <v/>
      </c>
      <c r="R291" s="25">
        <f>IF(Q291=1,IF(O291=P291,"Sí","No"),"")</f>
        <v/>
      </c>
      <c r="S291" s="25">
        <f>IF(Q291=1,IF(P291&lt;O291,"Más estricto",IF(P291&gt;O291,"Más permisivo","Igual")),"")</f>
        <v/>
      </c>
      <c r="T291" s="25">
        <f>IF(Q291=1,IF(ABS(O291-P291)=2,1,0),"")</f>
        <v/>
      </c>
      <c r="U291" s="25">
        <f>IF(H291="","","|"&amp;SUBSTITUTE(SUBSTITUTE(TRIM(H291)," |","|"),"| ","|")&amp;"|")</f>
        <v/>
      </c>
      <c r="V291" s="25">
        <f>IF(AND(Q291=1,B291&lt;&gt;""),IF(IFERROR(COUNTIFS(B$3:B291,"="&amp;SUBSTITUTE(SUBSTITUTE(SUBSTITUTE(B291,"~","~~"),"*","~*"),"?","~?"),Q$3:Q291,1),0)=1,MAX(V$2:V290)+1,""),"")</f>
        <v/>
      </c>
      <c r="W291" s="25">
        <f>IF(V291="","",COUNTIFS($B$3:$B$1002,"="&amp;SUBSTITUTE(SUBSTITUTE(SUBSTITUTE(B291,"~","~~"),"*","~*"),"?","~?"),$Q$3:$Q$1002,1)*10000-V291)</f>
        <v/>
      </c>
      <c r="X291" s="25">
        <f>IF(Q291=1,IF(SUBSTITUTE(SUBSTITUTE(SUBSTITUTE(SUBSTITUTE(SUBSTITUTE(SUBSTITUTE(SUBSTITUTE(SUBSTITUTE(SUBSTITUTE(SUBSTITUTE(SUBSTITUTE(SUBSTITUTE(LOWER(TRIM(A291)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291)),"á","a"),"é","e"),"í","i"),"ó","o"),"ú","u"),"ü","u"),"ñ","n"),"à","a"),"è","e"),"ì","i"),"ò","o"),"ù","u")),"")</f>
        <v/>
      </c>
      <c r="Y291" s="25">
        <f>IF(X291="","",IF(IFERROR(COUNTIF(X$3:X291,"="&amp;SUBSTITUTE(SUBSTITUTE(SUBSTITUTE(X291,"~","~~"),"*","~*"),"?","~?")),0)=1,1,""))</f>
        <v/>
      </c>
      <c r="Z291" s="25">
        <f>IF(T291=1,MAX(Z$2:Z290)+1,"")</f>
        <v/>
      </c>
    </row>
    <row r="292">
      <c r="A292">
        <f>IF(A$2=0,"",IFERROR(TRIM(INDEX('Pegar calibracion'!$A$1:$BZ$1001,291,A$2)&amp;""),""))</f>
        <v/>
      </c>
      <c r="B292">
        <f>IF(B$2=0,"",IFERROR(TRIM(INDEX('Pegar calibracion'!$A$1:$BZ$1001,291,B$2)&amp;""),""))</f>
        <v/>
      </c>
      <c r="C292">
        <f>IF(C$2=0,"",IFERROR(TRIM(INDEX('Pegar calibracion'!$A$1:$BZ$1001,291,C$2)&amp;""),""))</f>
        <v/>
      </c>
      <c r="D292">
        <f>IF(D$2=0,"",IFERROR(TRIM(INDEX('Pegar calibracion'!$A$1:$BZ$1001,291,D$2)&amp;""),""))</f>
        <v/>
      </c>
      <c r="E292">
        <f>IF(E$2=0,"",IFERROR(TRIM(INDEX('Pegar calibracion'!$A$1:$BZ$1001,291,E$2)&amp;""),""))</f>
        <v/>
      </c>
      <c r="F292">
        <f>IF(F$2=0,"",IFERROR(TRIM(INDEX('Pegar calibracion'!$A$1:$BZ$1001,291,F$2)&amp;""),""))</f>
        <v/>
      </c>
      <c r="G292">
        <f>IF(G$2=0,"",IFERROR(TRIM(INDEX('Pegar calibracion'!$A$1:$BZ$1001,291,G$2)&amp;""),""))</f>
        <v/>
      </c>
      <c r="H292">
        <f>IF(H$2=0,"",IFERROR(TRIM(INDEX('Pegar calibracion'!$A$1:$BZ$1001,291,H$2)&amp;""),""))</f>
        <v/>
      </c>
      <c r="I292">
        <f>IF(I$2=0,"",IFERROR(TRIM(INDEX('Pegar calibracion'!$A$1:$BZ$1001,291,I$2)&amp;""),""))</f>
        <v/>
      </c>
      <c r="J292">
        <f>IF(J$2=0,"",IFERROR(TRIM(INDEX('Pegar calibracion'!$A$1:$BZ$1001,291,J$2)&amp;""),""))</f>
        <v/>
      </c>
      <c r="K292">
        <f>IF(K$2=0,"",IFERROR(TRIM(INDEX('Pegar calibracion'!$A$1:$BZ$1001,291,K$2)&amp;""),""))</f>
        <v/>
      </c>
      <c r="L292">
        <f>IF(L$2=0,"",IFERROR(TRIM(INDEX('Pegar calibracion'!$A$1:$BZ$1001,291,L$2)&amp;""),""))</f>
        <v/>
      </c>
      <c r="M292" s="25">
        <f>IF(D292="","",SUBSTITUTE(SUBSTITUTE(SUBSTITUTE(SUBSTITUTE(SUBSTITUTE(SUBSTITUTE(SUBSTITUTE(SUBSTITUTE(SUBSTITUTE(SUBSTITUTE(SUBSTITUTE(SUBSTITUTE(LOWER(TRIM(D292)),"á","a"),"é","e"),"í","i"),"ó","o"),"ú","u"),"ü","u"),"ñ","n"),"à","a"),"è","e"),"ì","i"),"ò","o"),"ù","u"))</f>
        <v/>
      </c>
      <c r="N292" s="25">
        <f>IF(F292="","",SUBSTITUTE(SUBSTITUTE(SUBSTITUTE(SUBSTITUTE(SUBSTITUTE(SUBSTITUTE(SUBSTITUTE(SUBSTITUTE(SUBSTITUTE(SUBSTITUTE(SUBSTITUTE(SUBSTITUTE(LOWER(TRIM(F292)),"á","a"),"é","e"),"í","i"),"ó","o"),"ú","u"),"ü","u"),"ñ","n"),"à","a"),"è","e"),"ì","i"),"ò","o"),"ù","u"))</f>
        <v/>
      </c>
      <c r="O292" s="25">
        <f>IF(M292="confiable",2,IF(M292="dudosa",1,IF(M292="no confiable",0,"")))</f>
        <v/>
      </c>
      <c r="P292" s="25">
        <f>IF(N292="confiable",2,IF(N292="dudosa",1,IF(N292="no confiable",0,"")))</f>
        <v/>
      </c>
      <c r="Q292" s="25">
        <f>IF(AND(ISNUMBER(O292),ISNUMBER(P292)),1,"")</f>
        <v/>
      </c>
      <c r="R292" s="25">
        <f>IF(Q292=1,IF(O292=P292,"Sí","No"),"")</f>
        <v/>
      </c>
      <c r="S292" s="25">
        <f>IF(Q292=1,IF(P292&lt;O292,"Más estricto",IF(P292&gt;O292,"Más permisivo","Igual")),"")</f>
        <v/>
      </c>
      <c r="T292" s="25">
        <f>IF(Q292=1,IF(ABS(O292-P292)=2,1,0),"")</f>
        <v/>
      </c>
      <c r="U292" s="25">
        <f>IF(H292="","","|"&amp;SUBSTITUTE(SUBSTITUTE(TRIM(H292)," |","|"),"| ","|")&amp;"|")</f>
        <v/>
      </c>
      <c r="V292" s="25">
        <f>IF(AND(Q292=1,B292&lt;&gt;""),IF(IFERROR(COUNTIFS(B$3:B292,"="&amp;SUBSTITUTE(SUBSTITUTE(SUBSTITUTE(B292,"~","~~"),"*","~*"),"?","~?"),Q$3:Q292,1),0)=1,MAX(V$2:V291)+1,""),"")</f>
        <v/>
      </c>
      <c r="W292" s="25">
        <f>IF(V292="","",COUNTIFS($B$3:$B$1002,"="&amp;SUBSTITUTE(SUBSTITUTE(SUBSTITUTE(B292,"~","~~"),"*","~*"),"?","~?"),$Q$3:$Q$1002,1)*10000-V292)</f>
        <v/>
      </c>
      <c r="X292" s="25">
        <f>IF(Q292=1,IF(SUBSTITUTE(SUBSTITUTE(SUBSTITUTE(SUBSTITUTE(SUBSTITUTE(SUBSTITUTE(SUBSTITUTE(SUBSTITUTE(SUBSTITUTE(SUBSTITUTE(SUBSTITUTE(SUBSTITUTE(LOWER(TRIM(A292)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292)),"á","a"),"é","e"),"í","i"),"ó","o"),"ú","u"),"ü","u"),"ñ","n"),"à","a"),"è","e"),"ì","i"),"ò","o"),"ù","u")),"")</f>
        <v/>
      </c>
      <c r="Y292" s="25">
        <f>IF(X292="","",IF(IFERROR(COUNTIF(X$3:X292,"="&amp;SUBSTITUTE(SUBSTITUTE(SUBSTITUTE(X292,"~","~~"),"*","~*"),"?","~?")),0)=1,1,""))</f>
        <v/>
      </c>
      <c r="Z292" s="25">
        <f>IF(T292=1,MAX(Z$2:Z291)+1,"")</f>
        <v/>
      </c>
    </row>
    <row r="293">
      <c r="A293">
        <f>IF(A$2=0,"",IFERROR(TRIM(INDEX('Pegar calibracion'!$A$1:$BZ$1001,292,A$2)&amp;""),""))</f>
        <v/>
      </c>
      <c r="B293">
        <f>IF(B$2=0,"",IFERROR(TRIM(INDEX('Pegar calibracion'!$A$1:$BZ$1001,292,B$2)&amp;""),""))</f>
        <v/>
      </c>
      <c r="C293">
        <f>IF(C$2=0,"",IFERROR(TRIM(INDEX('Pegar calibracion'!$A$1:$BZ$1001,292,C$2)&amp;""),""))</f>
        <v/>
      </c>
      <c r="D293">
        <f>IF(D$2=0,"",IFERROR(TRIM(INDEX('Pegar calibracion'!$A$1:$BZ$1001,292,D$2)&amp;""),""))</f>
        <v/>
      </c>
      <c r="E293">
        <f>IF(E$2=0,"",IFERROR(TRIM(INDEX('Pegar calibracion'!$A$1:$BZ$1001,292,E$2)&amp;""),""))</f>
        <v/>
      </c>
      <c r="F293">
        <f>IF(F$2=0,"",IFERROR(TRIM(INDEX('Pegar calibracion'!$A$1:$BZ$1001,292,F$2)&amp;""),""))</f>
        <v/>
      </c>
      <c r="G293">
        <f>IF(G$2=0,"",IFERROR(TRIM(INDEX('Pegar calibracion'!$A$1:$BZ$1001,292,G$2)&amp;""),""))</f>
        <v/>
      </c>
      <c r="H293">
        <f>IF(H$2=0,"",IFERROR(TRIM(INDEX('Pegar calibracion'!$A$1:$BZ$1001,292,H$2)&amp;""),""))</f>
        <v/>
      </c>
      <c r="I293">
        <f>IF(I$2=0,"",IFERROR(TRIM(INDEX('Pegar calibracion'!$A$1:$BZ$1001,292,I$2)&amp;""),""))</f>
        <v/>
      </c>
      <c r="J293">
        <f>IF(J$2=0,"",IFERROR(TRIM(INDEX('Pegar calibracion'!$A$1:$BZ$1001,292,J$2)&amp;""),""))</f>
        <v/>
      </c>
      <c r="K293">
        <f>IF(K$2=0,"",IFERROR(TRIM(INDEX('Pegar calibracion'!$A$1:$BZ$1001,292,K$2)&amp;""),""))</f>
        <v/>
      </c>
      <c r="L293">
        <f>IF(L$2=0,"",IFERROR(TRIM(INDEX('Pegar calibracion'!$A$1:$BZ$1001,292,L$2)&amp;""),""))</f>
        <v/>
      </c>
      <c r="M293" s="25">
        <f>IF(D293="","",SUBSTITUTE(SUBSTITUTE(SUBSTITUTE(SUBSTITUTE(SUBSTITUTE(SUBSTITUTE(SUBSTITUTE(SUBSTITUTE(SUBSTITUTE(SUBSTITUTE(SUBSTITUTE(SUBSTITUTE(LOWER(TRIM(D293)),"á","a"),"é","e"),"í","i"),"ó","o"),"ú","u"),"ü","u"),"ñ","n"),"à","a"),"è","e"),"ì","i"),"ò","o"),"ù","u"))</f>
        <v/>
      </c>
      <c r="N293" s="25">
        <f>IF(F293="","",SUBSTITUTE(SUBSTITUTE(SUBSTITUTE(SUBSTITUTE(SUBSTITUTE(SUBSTITUTE(SUBSTITUTE(SUBSTITUTE(SUBSTITUTE(SUBSTITUTE(SUBSTITUTE(SUBSTITUTE(LOWER(TRIM(F293)),"á","a"),"é","e"),"í","i"),"ó","o"),"ú","u"),"ü","u"),"ñ","n"),"à","a"),"è","e"),"ì","i"),"ò","o"),"ù","u"))</f>
        <v/>
      </c>
      <c r="O293" s="25">
        <f>IF(M293="confiable",2,IF(M293="dudosa",1,IF(M293="no confiable",0,"")))</f>
        <v/>
      </c>
      <c r="P293" s="25">
        <f>IF(N293="confiable",2,IF(N293="dudosa",1,IF(N293="no confiable",0,"")))</f>
        <v/>
      </c>
      <c r="Q293" s="25">
        <f>IF(AND(ISNUMBER(O293),ISNUMBER(P293)),1,"")</f>
        <v/>
      </c>
      <c r="R293" s="25">
        <f>IF(Q293=1,IF(O293=P293,"Sí","No"),"")</f>
        <v/>
      </c>
      <c r="S293" s="25">
        <f>IF(Q293=1,IF(P293&lt;O293,"Más estricto",IF(P293&gt;O293,"Más permisivo","Igual")),"")</f>
        <v/>
      </c>
      <c r="T293" s="25">
        <f>IF(Q293=1,IF(ABS(O293-P293)=2,1,0),"")</f>
        <v/>
      </c>
      <c r="U293" s="25">
        <f>IF(H293="","","|"&amp;SUBSTITUTE(SUBSTITUTE(TRIM(H293)," |","|"),"| ","|")&amp;"|")</f>
        <v/>
      </c>
      <c r="V293" s="25">
        <f>IF(AND(Q293=1,B293&lt;&gt;""),IF(IFERROR(COUNTIFS(B$3:B293,"="&amp;SUBSTITUTE(SUBSTITUTE(SUBSTITUTE(B293,"~","~~"),"*","~*"),"?","~?"),Q$3:Q293,1),0)=1,MAX(V$2:V292)+1,""),"")</f>
        <v/>
      </c>
      <c r="W293" s="25">
        <f>IF(V293="","",COUNTIFS($B$3:$B$1002,"="&amp;SUBSTITUTE(SUBSTITUTE(SUBSTITUTE(B293,"~","~~"),"*","~*"),"?","~?"),$Q$3:$Q$1002,1)*10000-V293)</f>
        <v/>
      </c>
      <c r="X293" s="25">
        <f>IF(Q293=1,IF(SUBSTITUTE(SUBSTITUTE(SUBSTITUTE(SUBSTITUTE(SUBSTITUTE(SUBSTITUTE(SUBSTITUTE(SUBSTITUTE(SUBSTITUTE(SUBSTITUTE(SUBSTITUTE(SUBSTITUTE(LOWER(TRIM(A293)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293)),"á","a"),"é","e"),"í","i"),"ó","o"),"ú","u"),"ü","u"),"ñ","n"),"à","a"),"è","e"),"ì","i"),"ò","o"),"ù","u")),"")</f>
        <v/>
      </c>
      <c r="Y293" s="25">
        <f>IF(X293="","",IF(IFERROR(COUNTIF(X$3:X293,"="&amp;SUBSTITUTE(SUBSTITUTE(SUBSTITUTE(X293,"~","~~"),"*","~*"),"?","~?")),0)=1,1,""))</f>
        <v/>
      </c>
      <c r="Z293" s="25">
        <f>IF(T293=1,MAX(Z$2:Z292)+1,"")</f>
        <v/>
      </c>
    </row>
    <row r="294">
      <c r="A294">
        <f>IF(A$2=0,"",IFERROR(TRIM(INDEX('Pegar calibracion'!$A$1:$BZ$1001,293,A$2)&amp;""),""))</f>
        <v/>
      </c>
      <c r="B294">
        <f>IF(B$2=0,"",IFERROR(TRIM(INDEX('Pegar calibracion'!$A$1:$BZ$1001,293,B$2)&amp;""),""))</f>
        <v/>
      </c>
      <c r="C294">
        <f>IF(C$2=0,"",IFERROR(TRIM(INDEX('Pegar calibracion'!$A$1:$BZ$1001,293,C$2)&amp;""),""))</f>
        <v/>
      </c>
      <c r="D294">
        <f>IF(D$2=0,"",IFERROR(TRIM(INDEX('Pegar calibracion'!$A$1:$BZ$1001,293,D$2)&amp;""),""))</f>
        <v/>
      </c>
      <c r="E294">
        <f>IF(E$2=0,"",IFERROR(TRIM(INDEX('Pegar calibracion'!$A$1:$BZ$1001,293,E$2)&amp;""),""))</f>
        <v/>
      </c>
      <c r="F294">
        <f>IF(F$2=0,"",IFERROR(TRIM(INDEX('Pegar calibracion'!$A$1:$BZ$1001,293,F$2)&amp;""),""))</f>
        <v/>
      </c>
      <c r="G294">
        <f>IF(G$2=0,"",IFERROR(TRIM(INDEX('Pegar calibracion'!$A$1:$BZ$1001,293,G$2)&amp;""),""))</f>
        <v/>
      </c>
      <c r="H294">
        <f>IF(H$2=0,"",IFERROR(TRIM(INDEX('Pegar calibracion'!$A$1:$BZ$1001,293,H$2)&amp;""),""))</f>
        <v/>
      </c>
      <c r="I294">
        <f>IF(I$2=0,"",IFERROR(TRIM(INDEX('Pegar calibracion'!$A$1:$BZ$1001,293,I$2)&amp;""),""))</f>
        <v/>
      </c>
      <c r="J294">
        <f>IF(J$2=0,"",IFERROR(TRIM(INDEX('Pegar calibracion'!$A$1:$BZ$1001,293,J$2)&amp;""),""))</f>
        <v/>
      </c>
      <c r="K294">
        <f>IF(K$2=0,"",IFERROR(TRIM(INDEX('Pegar calibracion'!$A$1:$BZ$1001,293,K$2)&amp;""),""))</f>
        <v/>
      </c>
      <c r="L294">
        <f>IF(L$2=0,"",IFERROR(TRIM(INDEX('Pegar calibracion'!$A$1:$BZ$1001,293,L$2)&amp;""),""))</f>
        <v/>
      </c>
      <c r="M294" s="25">
        <f>IF(D294="","",SUBSTITUTE(SUBSTITUTE(SUBSTITUTE(SUBSTITUTE(SUBSTITUTE(SUBSTITUTE(SUBSTITUTE(SUBSTITUTE(SUBSTITUTE(SUBSTITUTE(SUBSTITUTE(SUBSTITUTE(LOWER(TRIM(D294)),"á","a"),"é","e"),"í","i"),"ó","o"),"ú","u"),"ü","u"),"ñ","n"),"à","a"),"è","e"),"ì","i"),"ò","o"),"ù","u"))</f>
        <v/>
      </c>
      <c r="N294" s="25">
        <f>IF(F294="","",SUBSTITUTE(SUBSTITUTE(SUBSTITUTE(SUBSTITUTE(SUBSTITUTE(SUBSTITUTE(SUBSTITUTE(SUBSTITUTE(SUBSTITUTE(SUBSTITUTE(SUBSTITUTE(SUBSTITUTE(LOWER(TRIM(F294)),"á","a"),"é","e"),"í","i"),"ó","o"),"ú","u"),"ü","u"),"ñ","n"),"à","a"),"è","e"),"ì","i"),"ò","o"),"ù","u"))</f>
        <v/>
      </c>
      <c r="O294" s="25">
        <f>IF(M294="confiable",2,IF(M294="dudosa",1,IF(M294="no confiable",0,"")))</f>
        <v/>
      </c>
      <c r="P294" s="25">
        <f>IF(N294="confiable",2,IF(N294="dudosa",1,IF(N294="no confiable",0,"")))</f>
        <v/>
      </c>
      <c r="Q294" s="25">
        <f>IF(AND(ISNUMBER(O294),ISNUMBER(P294)),1,"")</f>
        <v/>
      </c>
      <c r="R294" s="25">
        <f>IF(Q294=1,IF(O294=P294,"Sí","No"),"")</f>
        <v/>
      </c>
      <c r="S294" s="25">
        <f>IF(Q294=1,IF(P294&lt;O294,"Más estricto",IF(P294&gt;O294,"Más permisivo","Igual")),"")</f>
        <v/>
      </c>
      <c r="T294" s="25">
        <f>IF(Q294=1,IF(ABS(O294-P294)=2,1,0),"")</f>
        <v/>
      </c>
      <c r="U294" s="25">
        <f>IF(H294="","","|"&amp;SUBSTITUTE(SUBSTITUTE(TRIM(H294)," |","|"),"| ","|")&amp;"|")</f>
        <v/>
      </c>
      <c r="V294" s="25">
        <f>IF(AND(Q294=1,B294&lt;&gt;""),IF(IFERROR(COUNTIFS(B$3:B294,"="&amp;SUBSTITUTE(SUBSTITUTE(SUBSTITUTE(B294,"~","~~"),"*","~*"),"?","~?"),Q$3:Q294,1),0)=1,MAX(V$2:V293)+1,""),"")</f>
        <v/>
      </c>
      <c r="W294" s="25">
        <f>IF(V294="","",COUNTIFS($B$3:$B$1002,"="&amp;SUBSTITUTE(SUBSTITUTE(SUBSTITUTE(B294,"~","~~"),"*","~*"),"?","~?"),$Q$3:$Q$1002,1)*10000-V294)</f>
        <v/>
      </c>
      <c r="X294" s="25">
        <f>IF(Q294=1,IF(SUBSTITUTE(SUBSTITUTE(SUBSTITUTE(SUBSTITUTE(SUBSTITUTE(SUBSTITUTE(SUBSTITUTE(SUBSTITUTE(SUBSTITUTE(SUBSTITUTE(SUBSTITUTE(SUBSTITUTE(LOWER(TRIM(A294)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294)),"á","a"),"é","e"),"í","i"),"ó","o"),"ú","u"),"ü","u"),"ñ","n"),"à","a"),"è","e"),"ì","i"),"ò","o"),"ù","u")),"")</f>
        <v/>
      </c>
      <c r="Y294" s="25">
        <f>IF(X294="","",IF(IFERROR(COUNTIF(X$3:X294,"="&amp;SUBSTITUTE(SUBSTITUTE(SUBSTITUTE(X294,"~","~~"),"*","~*"),"?","~?")),0)=1,1,""))</f>
        <v/>
      </c>
      <c r="Z294" s="25">
        <f>IF(T294=1,MAX(Z$2:Z293)+1,"")</f>
        <v/>
      </c>
    </row>
    <row r="295">
      <c r="A295">
        <f>IF(A$2=0,"",IFERROR(TRIM(INDEX('Pegar calibracion'!$A$1:$BZ$1001,294,A$2)&amp;""),""))</f>
        <v/>
      </c>
      <c r="B295">
        <f>IF(B$2=0,"",IFERROR(TRIM(INDEX('Pegar calibracion'!$A$1:$BZ$1001,294,B$2)&amp;""),""))</f>
        <v/>
      </c>
      <c r="C295">
        <f>IF(C$2=0,"",IFERROR(TRIM(INDEX('Pegar calibracion'!$A$1:$BZ$1001,294,C$2)&amp;""),""))</f>
        <v/>
      </c>
      <c r="D295">
        <f>IF(D$2=0,"",IFERROR(TRIM(INDEX('Pegar calibracion'!$A$1:$BZ$1001,294,D$2)&amp;""),""))</f>
        <v/>
      </c>
      <c r="E295">
        <f>IF(E$2=0,"",IFERROR(TRIM(INDEX('Pegar calibracion'!$A$1:$BZ$1001,294,E$2)&amp;""),""))</f>
        <v/>
      </c>
      <c r="F295">
        <f>IF(F$2=0,"",IFERROR(TRIM(INDEX('Pegar calibracion'!$A$1:$BZ$1001,294,F$2)&amp;""),""))</f>
        <v/>
      </c>
      <c r="G295">
        <f>IF(G$2=0,"",IFERROR(TRIM(INDEX('Pegar calibracion'!$A$1:$BZ$1001,294,G$2)&amp;""),""))</f>
        <v/>
      </c>
      <c r="H295">
        <f>IF(H$2=0,"",IFERROR(TRIM(INDEX('Pegar calibracion'!$A$1:$BZ$1001,294,H$2)&amp;""),""))</f>
        <v/>
      </c>
      <c r="I295">
        <f>IF(I$2=0,"",IFERROR(TRIM(INDEX('Pegar calibracion'!$A$1:$BZ$1001,294,I$2)&amp;""),""))</f>
        <v/>
      </c>
      <c r="J295">
        <f>IF(J$2=0,"",IFERROR(TRIM(INDEX('Pegar calibracion'!$A$1:$BZ$1001,294,J$2)&amp;""),""))</f>
        <v/>
      </c>
      <c r="K295">
        <f>IF(K$2=0,"",IFERROR(TRIM(INDEX('Pegar calibracion'!$A$1:$BZ$1001,294,K$2)&amp;""),""))</f>
        <v/>
      </c>
      <c r="L295">
        <f>IF(L$2=0,"",IFERROR(TRIM(INDEX('Pegar calibracion'!$A$1:$BZ$1001,294,L$2)&amp;""),""))</f>
        <v/>
      </c>
      <c r="M295" s="25">
        <f>IF(D295="","",SUBSTITUTE(SUBSTITUTE(SUBSTITUTE(SUBSTITUTE(SUBSTITUTE(SUBSTITUTE(SUBSTITUTE(SUBSTITUTE(SUBSTITUTE(SUBSTITUTE(SUBSTITUTE(SUBSTITUTE(LOWER(TRIM(D295)),"á","a"),"é","e"),"í","i"),"ó","o"),"ú","u"),"ü","u"),"ñ","n"),"à","a"),"è","e"),"ì","i"),"ò","o"),"ù","u"))</f>
        <v/>
      </c>
      <c r="N295" s="25">
        <f>IF(F295="","",SUBSTITUTE(SUBSTITUTE(SUBSTITUTE(SUBSTITUTE(SUBSTITUTE(SUBSTITUTE(SUBSTITUTE(SUBSTITUTE(SUBSTITUTE(SUBSTITUTE(SUBSTITUTE(SUBSTITUTE(LOWER(TRIM(F295)),"á","a"),"é","e"),"í","i"),"ó","o"),"ú","u"),"ü","u"),"ñ","n"),"à","a"),"è","e"),"ì","i"),"ò","o"),"ù","u"))</f>
        <v/>
      </c>
      <c r="O295" s="25">
        <f>IF(M295="confiable",2,IF(M295="dudosa",1,IF(M295="no confiable",0,"")))</f>
        <v/>
      </c>
      <c r="P295" s="25">
        <f>IF(N295="confiable",2,IF(N295="dudosa",1,IF(N295="no confiable",0,"")))</f>
        <v/>
      </c>
      <c r="Q295" s="25">
        <f>IF(AND(ISNUMBER(O295),ISNUMBER(P295)),1,"")</f>
        <v/>
      </c>
      <c r="R295" s="25">
        <f>IF(Q295=1,IF(O295=P295,"Sí","No"),"")</f>
        <v/>
      </c>
      <c r="S295" s="25">
        <f>IF(Q295=1,IF(P295&lt;O295,"Más estricto",IF(P295&gt;O295,"Más permisivo","Igual")),"")</f>
        <v/>
      </c>
      <c r="T295" s="25">
        <f>IF(Q295=1,IF(ABS(O295-P295)=2,1,0),"")</f>
        <v/>
      </c>
      <c r="U295" s="25">
        <f>IF(H295="","","|"&amp;SUBSTITUTE(SUBSTITUTE(TRIM(H295)," |","|"),"| ","|")&amp;"|")</f>
        <v/>
      </c>
      <c r="V295" s="25">
        <f>IF(AND(Q295=1,B295&lt;&gt;""),IF(IFERROR(COUNTIFS(B$3:B295,"="&amp;SUBSTITUTE(SUBSTITUTE(SUBSTITUTE(B295,"~","~~"),"*","~*"),"?","~?"),Q$3:Q295,1),0)=1,MAX(V$2:V294)+1,""),"")</f>
        <v/>
      </c>
      <c r="W295" s="25">
        <f>IF(V295="","",COUNTIFS($B$3:$B$1002,"="&amp;SUBSTITUTE(SUBSTITUTE(SUBSTITUTE(B295,"~","~~"),"*","~*"),"?","~?"),$Q$3:$Q$1002,1)*10000-V295)</f>
        <v/>
      </c>
      <c r="X295" s="25">
        <f>IF(Q295=1,IF(SUBSTITUTE(SUBSTITUTE(SUBSTITUTE(SUBSTITUTE(SUBSTITUTE(SUBSTITUTE(SUBSTITUTE(SUBSTITUTE(SUBSTITUTE(SUBSTITUTE(SUBSTITUTE(SUBSTITUTE(LOWER(TRIM(A295)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295)),"á","a"),"é","e"),"í","i"),"ó","o"),"ú","u"),"ü","u"),"ñ","n"),"à","a"),"è","e"),"ì","i"),"ò","o"),"ù","u")),"")</f>
        <v/>
      </c>
      <c r="Y295" s="25">
        <f>IF(X295="","",IF(IFERROR(COUNTIF(X$3:X295,"="&amp;SUBSTITUTE(SUBSTITUTE(SUBSTITUTE(X295,"~","~~"),"*","~*"),"?","~?")),0)=1,1,""))</f>
        <v/>
      </c>
      <c r="Z295" s="25">
        <f>IF(T295=1,MAX(Z$2:Z294)+1,"")</f>
        <v/>
      </c>
    </row>
    <row r="296">
      <c r="A296">
        <f>IF(A$2=0,"",IFERROR(TRIM(INDEX('Pegar calibracion'!$A$1:$BZ$1001,295,A$2)&amp;""),""))</f>
        <v/>
      </c>
      <c r="B296">
        <f>IF(B$2=0,"",IFERROR(TRIM(INDEX('Pegar calibracion'!$A$1:$BZ$1001,295,B$2)&amp;""),""))</f>
        <v/>
      </c>
      <c r="C296">
        <f>IF(C$2=0,"",IFERROR(TRIM(INDEX('Pegar calibracion'!$A$1:$BZ$1001,295,C$2)&amp;""),""))</f>
        <v/>
      </c>
      <c r="D296">
        <f>IF(D$2=0,"",IFERROR(TRIM(INDEX('Pegar calibracion'!$A$1:$BZ$1001,295,D$2)&amp;""),""))</f>
        <v/>
      </c>
      <c r="E296">
        <f>IF(E$2=0,"",IFERROR(TRIM(INDEX('Pegar calibracion'!$A$1:$BZ$1001,295,E$2)&amp;""),""))</f>
        <v/>
      </c>
      <c r="F296">
        <f>IF(F$2=0,"",IFERROR(TRIM(INDEX('Pegar calibracion'!$A$1:$BZ$1001,295,F$2)&amp;""),""))</f>
        <v/>
      </c>
      <c r="G296">
        <f>IF(G$2=0,"",IFERROR(TRIM(INDEX('Pegar calibracion'!$A$1:$BZ$1001,295,G$2)&amp;""),""))</f>
        <v/>
      </c>
      <c r="H296">
        <f>IF(H$2=0,"",IFERROR(TRIM(INDEX('Pegar calibracion'!$A$1:$BZ$1001,295,H$2)&amp;""),""))</f>
        <v/>
      </c>
      <c r="I296">
        <f>IF(I$2=0,"",IFERROR(TRIM(INDEX('Pegar calibracion'!$A$1:$BZ$1001,295,I$2)&amp;""),""))</f>
        <v/>
      </c>
      <c r="J296">
        <f>IF(J$2=0,"",IFERROR(TRIM(INDEX('Pegar calibracion'!$A$1:$BZ$1001,295,J$2)&amp;""),""))</f>
        <v/>
      </c>
      <c r="K296">
        <f>IF(K$2=0,"",IFERROR(TRIM(INDEX('Pegar calibracion'!$A$1:$BZ$1001,295,K$2)&amp;""),""))</f>
        <v/>
      </c>
      <c r="L296">
        <f>IF(L$2=0,"",IFERROR(TRIM(INDEX('Pegar calibracion'!$A$1:$BZ$1001,295,L$2)&amp;""),""))</f>
        <v/>
      </c>
      <c r="M296" s="25">
        <f>IF(D296="","",SUBSTITUTE(SUBSTITUTE(SUBSTITUTE(SUBSTITUTE(SUBSTITUTE(SUBSTITUTE(SUBSTITUTE(SUBSTITUTE(SUBSTITUTE(SUBSTITUTE(SUBSTITUTE(SUBSTITUTE(LOWER(TRIM(D296)),"á","a"),"é","e"),"í","i"),"ó","o"),"ú","u"),"ü","u"),"ñ","n"),"à","a"),"è","e"),"ì","i"),"ò","o"),"ù","u"))</f>
        <v/>
      </c>
      <c r="N296" s="25">
        <f>IF(F296="","",SUBSTITUTE(SUBSTITUTE(SUBSTITUTE(SUBSTITUTE(SUBSTITUTE(SUBSTITUTE(SUBSTITUTE(SUBSTITUTE(SUBSTITUTE(SUBSTITUTE(SUBSTITUTE(SUBSTITUTE(LOWER(TRIM(F296)),"á","a"),"é","e"),"í","i"),"ó","o"),"ú","u"),"ü","u"),"ñ","n"),"à","a"),"è","e"),"ì","i"),"ò","o"),"ù","u"))</f>
        <v/>
      </c>
      <c r="O296" s="25">
        <f>IF(M296="confiable",2,IF(M296="dudosa",1,IF(M296="no confiable",0,"")))</f>
        <v/>
      </c>
      <c r="P296" s="25">
        <f>IF(N296="confiable",2,IF(N296="dudosa",1,IF(N296="no confiable",0,"")))</f>
        <v/>
      </c>
      <c r="Q296" s="25">
        <f>IF(AND(ISNUMBER(O296),ISNUMBER(P296)),1,"")</f>
        <v/>
      </c>
      <c r="R296" s="25">
        <f>IF(Q296=1,IF(O296=P296,"Sí","No"),"")</f>
        <v/>
      </c>
      <c r="S296" s="25">
        <f>IF(Q296=1,IF(P296&lt;O296,"Más estricto",IF(P296&gt;O296,"Más permisivo","Igual")),"")</f>
        <v/>
      </c>
      <c r="T296" s="25">
        <f>IF(Q296=1,IF(ABS(O296-P296)=2,1,0),"")</f>
        <v/>
      </c>
      <c r="U296" s="25">
        <f>IF(H296="","","|"&amp;SUBSTITUTE(SUBSTITUTE(TRIM(H296)," |","|"),"| ","|")&amp;"|")</f>
        <v/>
      </c>
      <c r="V296" s="25">
        <f>IF(AND(Q296=1,B296&lt;&gt;""),IF(IFERROR(COUNTIFS(B$3:B296,"="&amp;SUBSTITUTE(SUBSTITUTE(SUBSTITUTE(B296,"~","~~"),"*","~*"),"?","~?"),Q$3:Q296,1),0)=1,MAX(V$2:V295)+1,""),"")</f>
        <v/>
      </c>
      <c r="W296" s="25">
        <f>IF(V296="","",COUNTIFS($B$3:$B$1002,"="&amp;SUBSTITUTE(SUBSTITUTE(SUBSTITUTE(B296,"~","~~"),"*","~*"),"?","~?"),$Q$3:$Q$1002,1)*10000-V296)</f>
        <v/>
      </c>
      <c r="X296" s="25">
        <f>IF(Q296=1,IF(SUBSTITUTE(SUBSTITUTE(SUBSTITUTE(SUBSTITUTE(SUBSTITUTE(SUBSTITUTE(SUBSTITUTE(SUBSTITUTE(SUBSTITUTE(SUBSTITUTE(SUBSTITUTE(SUBSTITUTE(LOWER(TRIM(A296)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296)),"á","a"),"é","e"),"í","i"),"ó","o"),"ú","u"),"ü","u"),"ñ","n"),"à","a"),"è","e"),"ì","i"),"ò","o"),"ù","u")),"")</f>
        <v/>
      </c>
      <c r="Y296" s="25">
        <f>IF(X296="","",IF(IFERROR(COUNTIF(X$3:X296,"="&amp;SUBSTITUTE(SUBSTITUTE(SUBSTITUTE(X296,"~","~~"),"*","~*"),"?","~?")),0)=1,1,""))</f>
        <v/>
      </c>
      <c r="Z296" s="25">
        <f>IF(T296=1,MAX(Z$2:Z295)+1,"")</f>
        <v/>
      </c>
    </row>
    <row r="297">
      <c r="A297">
        <f>IF(A$2=0,"",IFERROR(TRIM(INDEX('Pegar calibracion'!$A$1:$BZ$1001,296,A$2)&amp;""),""))</f>
        <v/>
      </c>
      <c r="B297">
        <f>IF(B$2=0,"",IFERROR(TRIM(INDEX('Pegar calibracion'!$A$1:$BZ$1001,296,B$2)&amp;""),""))</f>
        <v/>
      </c>
      <c r="C297">
        <f>IF(C$2=0,"",IFERROR(TRIM(INDEX('Pegar calibracion'!$A$1:$BZ$1001,296,C$2)&amp;""),""))</f>
        <v/>
      </c>
      <c r="D297">
        <f>IF(D$2=0,"",IFERROR(TRIM(INDEX('Pegar calibracion'!$A$1:$BZ$1001,296,D$2)&amp;""),""))</f>
        <v/>
      </c>
      <c r="E297">
        <f>IF(E$2=0,"",IFERROR(TRIM(INDEX('Pegar calibracion'!$A$1:$BZ$1001,296,E$2)&amp;""),""))</f>
        <v/>
      </c>
      <c r="F297">
        <f>IF(F$2=0,"",IFERROR(TRIM(INDEX('Pegar calibracion'!$A$1:$BZ$1001,296,F$2)&amp;""),""))</f>
        <v/>
      </c>
      <c r="G297">
        <f>IF(G$2=0,"",IFERROR(TRIM(INDEX('Pegar calibracion'!$A$1:$BZ$1001,296,G$2)&amp;""),""))</f>
        <v/>
      </c>
      <c r="H297">
        <f>IF(H$2=0,"",IFERROR(TRIM(INDEX('Pegar calibracion'!$A$1:$BZ$1001,296,H$2)&amp;""),""))</f>
        <v/>
      </c>
      <c r="I297">
        <f>IF(I$2=0,"",IFERROR(TRIM(INDEX('Pegar calibracion'!$A$1:$BZ$1001,296,I$2)&amp;""),""))</f>
        <v/>
      </c>
      <c r="J297">
        <f>IF(J$2=0,"",IFERROR(TRIM(INDEX('Pegar calibracion'!$A$1:$BZ$1001,296,J$2)&amp;""),""))</f>
        <v/>
      </c>
      <c r="K297">
        <f>IF(K$2=0,"",IFERROR(TRIM(INDEX('Pegar calibracion'!$A$1:$BZ$1001,296,K$2)&amp;""),""))</f>
        <v/>
      </c>
      <c r="L297">
        <f>IF(L$2=0,"",IFERROR(TRIM(INDEX('Pegar calibracion'!$A$1:$BZ$1001,296,L$2)&amp;""),""))</f>
        <v/>
      </c>
      <c r="M297" s="25">
        <f>IF(D297="","",SUBSTITUTE(SUBSTITUTE(SUBSTITUTE(SUBSTITUTE(SUBSTITUTE(SUBSTITUTE(SUBSTITUTE(SUBSTITUTE(SUBSTITUTE(SUBSTITUTE(SUBSTITUTE(SUBSTITUTE(LOWER(TRIM(D297)),"á","a"),"é","e"),"í","i"),"ó","o"),"ú","u"),"ü","u"),"ñ","n"),"à","a"),"è","e"),"ì","i"),"ò","o"),"ù","u"))</f>
        <v/>
      </c>
      <c r="N297" s="25">
        <f>IF(F297="","",SUBSTITUTE(SUBSTITUTE(SUBSTITUTE(SUBSTITUTE(SUBSTITUTE(SUBSTITUTE(SUBSTITUTE(SUBSTITUTE(SUBSTITUTE(SUBSTITUTE(SUBSTITUTE(SUBSTITUTE(LOWER(TRIM(F297)),"á","a"),"é","e"),"í","i"),"ó","o"),"ú","u"),"ü","u"),"ñ","n"),"à","a"),"è","e"),"ì","i"),"ò","o"),"ù","u"))</f>
        <v/>
      </c>
      <c r="O297" s="25">
        <f>IF(M297="confiable",2,IF(M297="dudosa",1,IF(M297="no confiable",0,"")))</f>
        <v/>
      </c>
      <c r="P297" s="25">
        <f>IF(N297="confiable",2,IF(N297="dudosa",1,IF(N297="no confiable",0,"")))</f>
        <v/>
      </c>
      <c r="Q297" s="25">
        <f>IF(AND(ISNUMBER(O297),ISNUMBER(P297)),1,"")</f>
        <v/>
      </c>
      <c r="R297" s="25">
        <f>IF(Q297=1,IF(O297=P297,"Sí","No"),"")</f>
        <v/>
      </c>
      <c r="S297" s="25">
        <f>IF(Q297=1,IF(P297&lt;O297,"Más estricto",IF(P297&gt;O297,"Más permisivo","Igual")),"")</f>
        <v/>
      </c>
      <c r="T297" s="25">
        <f>IF(Q297=1,IF(ABS(O297-P297)=2,1,0),"")</f>
        <v/>
      </c>
      <c r="U297" s="25">
        <f>IF(H297="","","|"&amp;SUBSTITUTE(SUBSTITUTE(TRIM(H297)," |","|"),"| ","|")&amp;"|")</f>
        <v/>
      </c>
      <c r="V297" s="25">
        <f>IF(AND(Q297=1,B297&lt;&gt;""),IF(IFERROR(COUNTIFS(B$3:B297,"="&amp;SUBSTITUTE(SUBSTITUTE(SUBSTITUTE(B297,"~","~~"),"*","~*"),"?","~?"),Q$3:Q297,1),0)=1,MAX(V$2:V296)+1,""),"")</f>
        <v/>
      </c>
      <c r="W297" s="25">
        <f>IF(V297="","",COUNTIFS($B$3:$B$1002,"="&amp;SUBSTITUTE(SUBSTITUTE(SUBSTITUTE(B297,"~","~~"),"*","~*"),"?","~?"),$Q$3:$Q$1002,1)*10000-V297)</f>
        <v/>
      </c>
      <c r="X297" s="25">
        <f>IF(Q297=1,IF(SUBSTITUTE(SUBSTITUTE(SUBSTITUTE(SUBSTITUTE(SUBSTITUTE(SUBSTITUTE(SUBSTITUTE(SUBSTITUTE(SUBSTITUTE(SUBSTITUTE(SUBSTITUTE(SUBSTITUTE(LOWER(TRIM(A297)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297)),"á","a"),"é","e"),"í","i"),"ó","o"),"ú","u"),"ü","u"),"ñ","n"),"à","a"),"è","e"),"ì","i"),"ò","o"),"ù","u")),"")</f>
        <v/>
      </c>
      <c r="Y297" s="25">
        <f>IF(X297="","",IF(IFERROR(COUNTIF(X$3:X297,"="&amp;SUBSTITUTE(SUBSTITUTE(SUBSTITUTE(X297,"~","~~"),"*","~*"),"?","~?")),0)=1,1,""))</f>
        <v/>
      </c>
      <c r="Z297" s="25">
        <f>IF(T297=1,MAX(Z$2:Z296)+1,"")</f>
        <v/>
      </c>
    </row>
    <row r="298">
      <c r="A298">
        <f>IF(A$2=0,"",IFERROR(TRIM(INDEX('Pegar calibracion'!$A$1:$BZ$1001,297,A$2)&amp;""),""))</f>
        <v/>
      </c>
      <c r="B298">
        <f>IF(B$2=0,"",IFERROR(TRIM(INDEX('Pegar calibracion'!$A$1:$BZ$1001,297,B$2)&amp;""),""))</f>
        <v/>
      </c>
      <c r="C298">
        <f>IF(C$2=0,"",IFERROR(TRIM(INDEX('Pegar calibracion'!$A$1:$BZ$1001,297,C$2)&amp;""),""))</f>
        <v/>
      </c>
      <c r="D298">
        <f>IF(D$2=0,"",IFERROR(TRIM(INDEX('Pegar calibracion'!$A$1:$BZ$1001,297,D$2)&amp;""),""))</f>
        <v/>
      </c>
      <c r="E298">
        <f>IF(E$2=0,"",IFERROR(TRIM(INDEX('Pegar calibracion'!$A$1:$BZ$1001,297,E$2)&amp;""),""))</f>
        <v/>
      </c>
      <c r="F298">
        <f>IF(F$2=0,"",IFERROR(TRIM(INDEX('Pegar calibracion'!$A$1:$BZ$1001,297,F$2)&amp;""),""))</f>
        <v/>
      </c>
      <c r="G298">
        <f>IF(G$2=0,"",IFERROR(TRIM(INDEX('Pegar calibracion'!$A$1:$BZ$1001,297,G$2)&amp;""),""))</f>
        <v/>
      </c>
      <c r="H298">
        <f>IF(H$2=0,"",IFERROR(TRIM(INDEX('Pegar calibracion'!$A$1:$BZ$1001,297,H$2)&amp;""),""))</f>
        <v/>
      </c>
      <c r="I298">
        <f>IF(I$2=0,"",IFERROR(TRIM(INDEX('Pegar calibracion'!$A$1:$BZ$1001,297,I$2)&amp;""),""))</f>
        <v/>
      </c>
      <c r="J298">
        <f>IF(J$2=0,"",IFERROR(TRIM(INDEX('Pegar calibracion'!$A$1:$BZ$1001,297,J$2)&amp;""),""))</f>
        <v/>
      </c>
      <c r="K298">
        <f>IF(K$2=0,"",IFERROR(TRIM(INDEX('Pegar calibracion'!$A$1:$BZ$1001,297,K$2)&amp;""),""))</f>
        <v/>
      </c>
      <c r="L298">
        <f>IF(L$2=0,"",IFERROR(TRIM(INDEX('Pegar calibracion'!$A$1:$BZ$1001,297,L$2)&amp;""),""))</f>
        <v/>
      </c>
      <c r="M298" s="25">
        <f>IF(D298="","",SUBSTITUTE(SUBSTITUTE(SUBSTITUTE(SUBSTITUTE(SUBSTITUTE(SUBSTITUTE(SUBSTITUTE(SUBSTITUTE(SUBSTITUTE(SUBSTITUTE(SUBSTITUTE(SUBSTITUTE(LOWER(TRIM(D298)),"á","a"),"é","e"),"í","i"),"ó","o"),"ú","u"),"ü","u"),"ñ","n"),"à","a"),"è","e"),"ì","i"),"ò","o"),"ù","u"))</f>
        <v/>
      </c>
      <c r="N298" s="25">
        <f>IF(F298="","",SUBSTITUTE(SUBSTITUTE(SUBSTITUTE(SUBSTITUTE(SUBSTITUTE(SUBSTITUTE(SUBSTITUTE(SUBSTITUTE(SUBSTITUTE(SUBSTITUTE(SUBSTITUTE(SUBSTITUTE(LOWER(TRIM(F298)),"á","a"),"é","e"),"í","i"),"ó","o"),"ú","u"),"ü","u"),"ñ","n"),"à","a"),"è","e"),"ì","i"),"ò","o"),"ù","u"))</f>
        <v/>
      </c>
      <c r="O298" s="25">
        <f>IF(M298="confiable",2,IF(M298="dudosa",1,IF(M298="no confiable",0,"")))</f>
        <v/>
      </c>
      <c r="P298" s="25">
        <f>IF(N298="confiable",2,IF(N298="dudosa",1,IF(N298="no confiable",0,"")))</f>
        <v/>
      </c>
      <c r="Q298" s="25">
        <f>IF(AND(ISNUMBER(O298),ISNUMBER(P298)),1,"")</f>
        <v/>
      </c>
      <c r="R298" s="25">
        <f>IF(Q298=1,IF(O298=P298,"Sí","No"),"")</f>
        <v/>
      </c>
      <c r="S298" s="25">
        <f>IF(Q298=1,IF(P298&lt;O298,"Más estricto",IF(P298&gt;O298,"Más permisivo","Igual")),"")</f>
        <v/>
      </c>
      <c r="T298" s="25">
        <f>IF(Q298=1,IF(ABS(O298-P298)=2,1,0),"")</f>
        <v/>
      </c>
      <c r="U298" s="25">
        <f>IF(H298="","","|"&amp;SUBSTITUTE(SUBSTITUTE(TRIM(H298)," |","|"),"| ","|")&amp;"|")</f>
        <v/>
      </c>
      <c r="V298" s="25">
        <f>IF(AND(Q298=1,B298&lt;&gt;""),IF(IFERROR(COUNTIFS(B$3:B298,"="&amp;SUBSTITUTE(SUBSTITUTE(SUBSTITUTE(B298,"~","~~"),"*","~*"),"?","~?"),Q$3:Q298,1),0)=1,MAX(V$2:V297)+1,""),"")</f>
        <v/>
      </c>
      <c r="W298" s="25">
        <f>IF(V298="","",COUNTIFS($B$3:$B$1002,"="&amp;SUBSTITUTE(SUBSTITUTE(SUBSTITUTE(B298,"~","~~"),"*","~*"),"?","~?"),$Q$3:$Q$1002,1)*10000-V298)</f>
        <v/>
      </c>
      <c r="X298" s="25">
        <f>IF(Q298=1,IF(SUBSTITUTE(SUBSTITUTE(SUBSTITUTE(SUBSTITUTE(SUBSTITUTE(SUBSTITUTE(SUBSTITUTE(SUBSTITUTE(SUBSTITUTE(SUBSTITUTE(SUBSTITUTE(SUBSTITUTE(LOWER(TRIM(A298)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298)),"á","a"),"é","e"),"í","i"),"ó","o"),"ú","u"),"ü","u"),"ñ","n"),"à","a"),"è","e"),"ì","i"),"ò","o"),"ù","u")),"")</f>
        <v/>
      </c>
      <c r="Y298" s="25">
        <f>IF(X298="","",IF(IFERROR(COUNTIF(X$3:X298,"="&amp;SUBSTITUTE(SUBSTITUTE(SUBSTITUTE(X298,"~","~~"),"*","~*"),"?","~?")),0)=1,1,""))</f>
        <v/>
      </c>
      <c r="Z298" s="25">
        <f>IF(T298=1,MAX(Z$2:Z297)+1,"")</f>
        <v/>
      </c>
    </row>
    <row r="299">
      <c r="A299">
        <f>IF(A$2=0,"",IFERROR(TRIM(INDEX('Pegar calibracion'!$A$1:$BZ$1001,298,A$2)&amp;""),""))</f>
        <v/>
      </c>
      <c r="B299">
        <f>IF(B$2=0,"",IFERROR(TRIM(INDEX('Pegar calibracion'!$A$1:$BZ$1001,298,B$2)&amp;""),""))</f>
        <v/>
      </c>
      <c r="C299">
        <f>IF(C$2=0,"",IFERROR(TRIM(INDEX('Pegar calibracion'!$A$1:$BZ$1001,298,C$2)&amp;""),""))</f>
        <v/>
      </c>
      <c r="D299">
        <f>IF(D$2=0,"",IFERROR(TRIM(INDEX('Pegar calibracion'!$A$1:$BZ$1001,298,D$2)&amp;""),""))</f>
        <v/>
      </c>
      <c r="E299">
        <f>IF(E$2=0,"",IFERROR(TRIM(INDEX('Pegar calibracion'!$A$1:$BZ$1001,298,E$2)&amp;""),""))</f>
        <v/>
      </c>
      <c r="F299">
        <f>IF(F$2=0,"",IFERROR(TRIM(INDEX('Pegar calibracion'!$A$1:$BZ$1001,298,F$2)&amp;""),""))</f>
        <v/>
      </c>
      <c r="G299">
        <f>IF(G$2=0,"",IFERROR(TRIM(INDEX('Pegar calibracion'!$A$1:$BZ$1001,298,G$2)&amp;""),""))</f>
        <v/>
      </c>
      <c r="H299">
        <f>IF(H$2=0,"",IFERROR(TRIM(INDEX('Pegar calibracion'!$A$1:$BZ$1001,298,H$2)&amp;""),""))</f>
        <v/>
      </c>
      <c r="I299">
        <f>IF(I$2=0,"",IFERROR(TRIM(INDEX('Pegar calibracion'!$A$1:$BZ$1001,298,I$2)&amp;""),""))</f>
        <v/>
      </c>
      <c r="J299">
        <f>IF(J$2=0,"",IFERROR(TRIM(INDEX('Pegar calibracion'!$A$1:$BZ$1001,298,J$2)&amp;""),""))</f>
        <v/>
      </c>
      <c r="K299">
        <f>IF(K$2=0,"",IFERROR(TRIM(INDEX('Pegar calibracion'!$A$1:$BZ$1001,298,K$2)&amp;""),""))</f>
        <v/>
      </c>
      <c r="L299">
        <f>IF(L$2=0,"",IFERROR(TRIM(INDEX('Pegar calibracion'!$A$1:$BZ$1001,298,L$2)&amp;""),""))</f>
        <v/>
      </c>
      <c r="M299" s="25">
        <f>IF(D299="","",SUBSTITUTE(SUBSTITUTE(SUBSTITUTE(SUBSTITUTE(SUBSTITUTE(SUBSTITUTE(SUBSTITUTE(SUBSTITUTE(SUBSTITUTE(SUBSTITUTE(SUBSTITUTE(SUBSTITUTE(LOWER(TRIM(D299)),"á","a"),"é","e"),"í","i"),"ó","o"),"ú","u"),"ü","u"),"ñ","n"),"à","a"),"è","e"),"ì","i"),"ò","o"),"ù","u"))</f>
        <v/>
      </c>
      <c r="N299" s="25">
        <f>IF(F299="","",SUBSTITUTE(SUBSTITUTE(SUBSTITUTE(SUBSTITUTE(SUBSTITUTE(SUBSTITUTE(SUBSTITUTE(SUBSTITUTE(SUBSTITUTE(SUBSTITUTE(SUBSTITUTE(SUBSTITUTE(LOWER(TRIM(F299)),"á","a"),"é","e"),"í","i"),"ó","o"),"ú","u"),"ü","u"),"ñ","n"),"à","a"),"è","e"),"ì","i"),"ò","o"),"ù","u"))</f>
        <v/>
      </c>
      <c r="O299" s="25">
        <f>IF(M299="confiable",2,IF(M299="dudosa",1,IF(M299="no confiable",0,"")))</f>
        <v/>
      </c>
      <c r="P299" s="25">
        <f>IF(N299="confiable",2,IF(N299="dudosa",1,IF(N299="no confiable",0,"")))</f>
        <v/>
      </c>
      <c r="Q299" s="25">
        <f>IF(AND(ISNUMBER(O299),ISNUMBER(P299)),1,"")</f>
        <v/>
      </c>
      <c r="R299" s="25">
        <f>IF(Q299=1,IF(O299=P299,"Sí","No"),"")</f>
        <v/>
      </c>
      <c r="S299" s="25">
        <f>IF(Q299=1,IF(P299&lt;O299,"Más estricto",IF(P299&gt;O299,"Más permisivo","Igual")),"")</f>
        <v/>
      </c>
      <c r="T299" s="25">
        <f>IF(Q299=1,IF(ABS(O299-P299)=2,1,0),"")</f>
        <v/>
      </c>
      <c r="U299" s="25">
        <f>IF(H299="","","|"&amp;SUBSTITUTE(SUBSTITUTE(TRIM(H299)," |","|"),"| ","|")&amp;"|")</f>
        <v/>
      </c>
      <c r="V299" s="25">
        <f>IF(AND(Q299=1,B299&lt;&gt;""),IF(IFERROR(COUNTIFS(B$3:B299,"="&amp;SUBSTITUTE(SUBSTITUTE(SUBSTITUTE(B299,"~","~~"),"*","~*"),"?","~?"),Q$3:Q299,1),0)=1,MAX(V$2:V298)+1,""),"")</f>
        <v/>
      </c>
      <c r="W299" s="25">
        <f>IF(V299="","",COUNTIFS($B$3:$B$1002,"="&amp;SUBSTITUTE(SUBSTITUTE(SUBSTITUTE(B299,"~","~~"),"*","~*"),"?","~?"),$Q$3:$Q$1002,1)*10000-V299)</f>
        <v/>
      </c>
      <c r="X299" s="25">
        <f>IF(Q299=1,IF(SUBSTITUTE(SUBSTITUTE(SUBSTITUTE(SUBSTITUTE(SUBSTITUTE(SUBSTITUTE(SUBSTITUTE(SUBSTITUTE(SUBSTITUTE(SUBSTITUTE(SUBSTITUTE(SUBSTITUTE(LOWER(TRIM(A299)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299)),"á","a"),"é","e"),"í","i"),"ó","o"),"ú","u"),"ü","u"),"ñ","n"),"à","a"),"è","e"),"ì","i"),"ò","o"),"ù","u")),"")</f>
        <v/>
      </c>
      <c r="Y299" s="25">
        <f>IF(X299="","",IF(IFERROR(COUNTIF(X$3:X299,"="&amp;SUBSTITUTE(SUBSTITUTE(SUBSTITUTE(X299,"~","~~"),"*","~*"),"?","~?")),0)=1,1,""))</f>
        <v/>
      </c>
      <c r="Z299" s="25">
        <f>IF(T299=1,MAX(Z$2:Z298)+1,"")</f>
        <v/>
      </c>
    </row>
    <row r="300">
      <c r="A300">
        <f>IF(A$2=0,"",IFERROR(TRIM(INDEX('Pegar calibracion'!$A$1:$BZ$1001,299,A$2)&amp;""),""))</f>
        <v/>
      </c>
      <c r="B300">
        <f>IF(B$2=0,"",IFERROR(TRIM(INDEX('Pegar calibracion'!$A$1:$BZ$1001,299,B$2)&amp;""),""))</f>
        <v/>
      </c>
      <c r="C300">
        <f>IF(C$2=0,"",IFERROR(TRIM(INDEX('Pegar calibracion'!$A$1:$BZ$1001,299,C$2)&amp;""),""))</f>
        <v/>
      </c>
      <c r="D300">
        <f>IF(D$2=0,"",IFERROR(TRIM(INDEX('Pegar calibracion'!$A$1:$BZ$1001,299,D$2)&amp;""),""))</f>
        <v/>
      </c>
      <c r="E300">
        <f>IF(E$2=0,"",IFERROR(TRIM(INDEX('Pegar calibracion'!$A$1:$BZ$1001,299,E$2)&amp;""),""))</f>
        <v/>
      </c>
      <c r="F300">
        <f>IF(F$2=0,"",IFERROR(TRIM(INDEX('Pegar calibracion'!$A$1:$BZ$1001,299,F$2)&amp;""),""))</f>
        <v/>
      </c>
      <c r="G300">
        <f>IF(G$2=0,"",IFERROR(TRIM(INDEX('Pegar calibracion'!$A$1:$BZ$1001,299,G$2)&amp;""),""))</f>
        <v/>
      </c>
      <c r="H300">
        <f>IF(H$2=0,"",IFERROR(TRIM(INDEX('Pegar calibracion'!$A$1:$BZ$1001,299,H$2)&amp;""),""))</f>
        <v/>
      </c>
      <c r="I300">
        <f>IF(I$2=0,"",IFERROR(TRIM(INDEX('Pegar calibracion'!$A$1:$BZ$1001,299,I$2)&amp;""),""))</f>
        <v/>
      </c>
      <c r="J300">
        <f>IF(J$2=0,"",IFERROR(TRIM(INDEX('Pegar calibracion'!$A$1:$BZ$1001,299,J$2)&amp;""),""))</f>
        <v/>
      </c>
      <c r="K300">
        <f>IF(K$2=0,"",IFERROR(TRIM(INDEX('Pegar calibracion'!$A$1:$BZ$1001,299,K$2)&amp;""),""))</f>
        <v/>
      </c>
      <c r="L300">
        <f>IF(L$2=0,"",IFERROR(TRIM(INDEX('Pegar calibracion'!$A$1:$BZ$1001,299,L$2)&amp;""),""))</f>
        <v/>
      </c>
      <c r="M300" s="25">
        <f>IF(D300="","",SUBSTITUTE(SUBSTITUTE(SUBSTITUTE(SUBSTITUTE(SUBSTITUTE(SUBSTITUTE(SUBSTITUTE(SUBSTITUTE(SUBSTITUTE(SUBSTITUTE(SUBSTITUTE(SUBSTITUTE(LOWER(TRIM(D300)),"á","a"),"é","e"),"í","i"),"ó","o"),"ú","u"),"ü","u"),"ñ","n"),"à","a"),"è","e"),"ì","i"),"ò","o"),"ù","u"))</f>
        <v/>
      </c>
      <c r="N300" s="25">
        <f>IF(F300="","",SUBSTITUTE(SUBSTITUTE(SUBSTITUTE(SUBSTITUTE(SUBSTITUTE(SUBSTITUTE(SUBSTITUTE(SUBSTITUTE(SUBSTITUTE(SUBSTITUTE(SUBSTITUTE(SUBSTITUTE(LOWER(TRIM(F300)),"á","a"),"é","e"),"í","i"),"ó","o"),"ú","u"),"ü","u"),"ñ","n"),"à","a"),"è","e"),"ì","i"),"ò","o"),"ù","u"))</f>
        <v/>
      </c>
      <c r="O300" s="25">
        <f>IF(M300="confiable",2,IF(M300="dudosa",1,IF(M300="no confiable",0,"")))</f>
        <v/>
      </c>
      <c r="P300" s="25">
        <f>IF(N300="confiable",2,IF(N300="dudosa",1,IF(N300="no confiable",0,"")))</f>
        <v/>
      </c>
      <c r="Q300" s="25">
        <f>IF(AND(ISNUMBER(O300),ISNUMBER(P300)),1,"")</f>
        <v/>
      </c>
      <c r="R300" s="25">
        <f>IF(Q300=1,IF(O300=P300,"Sí","No"),"")</f>
        <v/>
      </c>
      <c r="S300" s="25">
        <f>IF(Q300=1,IF(P300&lt;O300,"Más estricto",IF(P300&gt;O300,"Más permisivo","Igual")),"")</f>
        <v/>
      </c>
      <c r="T300" s="25">
        <f>IF(Q300=1,IF(ABS(O300-P300)=2,1,0),"")</f>
        <v/>
      </c>
      <c r="U300" s="25">
        <f>IF(H300="","","|"&amp;SUBSTITUTE(SUBSTITUTE(TRIM(H300)," |","|"),"| ","|")&amp;"|")</f>
        <v/>
      </c>
      <c r="V300" s="25">
        <f>IF(AND(Q300=1,B300&lt;&gt;""),IF(IFERROR(COUNTIFS(B$3:B300,"="&amp;SUBSTITUTE(SUBSTITUTE(SUBSTITUTE(B300,"~","~~"),"*","~*"),"?","~?"),Q$3:Q300,1),0)=1,MAX(V$2:V299)+1,""),"")</f>
        <v/>
      </c>
      <c r="W300" s="25">
        <f>IF(V300="","",COUNTIFS($B$3:$B$1002,"="&amp;SUBSTITUTE(SUBSTITUTE(SUBSTITUTE(B300,"~","~~"),"*","~*"),"?","~?"),$Q$3:$Q$1002,1)*10000-V300)</f>
        <v/>
      </c>
      <c r="X300" s="25">
        <f>IF(Q300=1,IF(SUBSTITUTE(SUBSTITUTE(SUBSTITUTE(SUBSTITUTE(SUBSTITUTE(SUBSTITUTE(SUBSTITUTE(SUBSTITUTE(SUBSTITUTE(SUBSTITUTE(SUBSTITUTE(SUBSTITUTE(LOWER(TRIM(A300)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300)),"á","a"),"é","e"),"í","i"),"ó","o"),"ú","u"),"ü","u"),"ñ","n"),"à","a"),"è","e"),"ì","i"),"ò","o"),"ù","u")),"")</f>
        <v/>
      </c>
      <c r="Y300" s="25">
        <f>IF(X300="","",IF(IFERROR(COUNTIF(X$3:X300,"="&amp;SUBSTITUTE(SUBSTITUTE(SUBSTITUTE(X300,"~","~~"),"*","~*"),"?","~?")),0)=1,1,""))</f>
        <v/>
      </c>
      <c r="Z300" s="25">
        <f>IF(T300=1,MAX(Z$2:Z299)+1,"")</f>
        <v/>
      </c>
    </row>
    <row r="301">
      <c r="A301">
        <f>IF(A$2=0,"",IFERROR(TRIM(INDEX('Pegar calibracion'!$A$1:$BZ$1001,300,A$2)&amp;""),""))</f>
        <v/>
      </c>
      <c r="B301">
        <f>IF(B$2=0,"",IFERROR(TRIM(INDEX('Pegar calibracion'!$A$1:$BZ$1001,300,B$2)&amp;""),""))</f>
        <v/>
      </c>
      <c r="C301">
        <f>IF(C$2=0,"",IFERROR(TRIM(INDEX('Pegar calibracion'!$A$1:$BZ$1001,300,C$2)&amp;""),""))</f>
        <v/>
      </c>
      <c r="D301">
        <f>IF(D$2=0,"",IFERROR(TRIM(INDEX('Pegar calibracion'!$A$1:$BZ$1001,300,D$2)&amp;""),""))</f>
        <v/>
      </c>
      <c r="E301">
        <f>IF(E$2=0,"",IFERROR(TRIM(INDEX('Pegar calibracion'!$A$1:$BZ$1001,300,E$2)&amp;""),""))</f>
        <v/>
      </c>
      <c r="F301">
        <f>IF(F$2=0,"",IFERROR(TRIM(INDEX('Pegar calibracion'!$A$1:$BZ$1001,300,F$2)&amp;""),""))</f>
        <v/>
      </c>
      <c r="G301">
        <f>IF(G$2=0,"",IFERROR(TRIM(INDEX('Pegar calibracion'!$A$1:$BZ$1001,300,G$2)&amp;""),""))</f>
        <v/>
      </c>
      <c r="H301">
        <f>IF(H$2=0,"",IFERROR(TRIM(INDEX('Pegar calibracion'!$A$1:$BZ$1001,300,H$2)&amp;""),""))</f>
        <v/>
      </c>
      <c r="I301">
        <f>IF(I$2=0,"",IFERROR(TRIM(INDEX('Pegar calibracion'!$A$1:$BZ$1001,300,I$2)&amp;""),""))</f>
        <v/>
      </c>
      <c r="J301">
        <f>IF(J$2=0,"",IFERROR(TRIM(INDEX('Pegar calibracion'!$A$1:$BZ$1001,300,J$2)&amp;""),""))</f>
        <v/>
      </c>
      <c r="K301">
        <f>IF(K$2=0,"",IFERROR(TRIM(INDEX('Pegar calibracion'!$A$1:$BZ$1001,300,K$2)&amp;""),""))</f>
        <v/>
      </c>
      <c r="L301">
        <f>IF(L$2=0,"",IFERROR(TRIM(INDEX('Pegar calibracion'!$A$1:$BZ$1001,300,L$2)&amp;""),""))</f>
        <v/>
      </c>
      <c r="M301" s="25">
        <f>IF(D301="","",SUBSTITUTE(SUBSTITUTE(SUBSTITUTE(SUBSTITUTE(SUBSTITUTE(SUBSTITUTE(SUBSTITUTE(SUBSTITUTE(SUBSTITUTE(SUBSTITUTE(SUBSTITUTE(SUBSTITUTE(LOWER(TRIM(D301)),"á","a"),"é","e"),"í","i"),"ó","o"),"ú","u"),"ü","u"),"ñ","n"),"à","a"),"è","e"),"ì","i"),"ò","o"),"ù","u"))</f>
        <v/>
      </c>
      <c r="N301" s="25">
        <f>IF(F301="","",SUBSTITUTE(SUBSTITUTE(SUBSTITUTE(SUBSTITUTE(SUBSTITUTE(SUBSTITUTE(SUBSTITUTE(SUBSTITUTE(SUBSTITUTE(SUBSTITUTE(SUBSTITUTE(SUBSTITUTE(LOWER(TRIM(F301)),"á","a"),"é","e"),"í","i"),"ó","o"),"ú","u"),"ü","u"),"ñ","n"),"à","a"),"è","e"),"ì","i"),"ò","o"),"ù","u"))</f>
        <v/>
      </c>
      <c r="O301" s="25">
        <f>IF(M301="confiable",2,IF(M301="dudosa",1,IF(M301="no confiable",0,"")))</f>
        <v/>
      </c>
      <c r="P301" s="25">
        <f>IF(N301="confiable",2,IF(N301="dudosa",1,IF(N301="no confiable",0,"")))</f>
        <v/>
      </c>
      <c r="Q301" s="25">
        <f>IF(AND(ISNUMBER(O301),ISNUMBER(P301)),1,"")</f>
        <v/>
      </c>
      <c r="R301" s="25">
        <f>IF(Q301=1,IF(O301=P301,"Sí","No"),"")</f>
        <v/>
      </c>
      <c r="S301" s="25">
        <f>IF(Q301=1,IF(P301&lt;O301,"Más estricto",IF(P301&gt;O301,"Más permisivo","Igual")),"")</f>
        <v/>
      </c>
      <c r="T301" s="25">
        <f>IF(Q301=1,IF(ABS(O301-P301)=2,1,0),"")</f>
        <v/>
      </c>
      <c r="U301" s="25">
        <f>IF(H301="","","|"&amp;SUBSTITUTE(SUBSTITUTE(TRIM(H301)," |","|"),"| ","|")&amp;"|")</f>
        <v/>
      </c>
      <c r="V301" s="25">
        <f>IF(AND(Q301=1,B301&lt;&gt;""),IF(IFERROR(COUNTIFS(B$3:B301,"="&amp;SUBSTITUTE(SUBSTITUTE(SUBSTITUTE(B301,"~","~~"),"*","~*"),"?","~?"),Q$3:Q301,1),0)=1,MAX(V$2:V300)+1,""),"")</f>
        <v/>
      </c>
      <c r="W301" s="25">
        <f>IF(V301="","",COUNTIFS($B$3:$B$1002,"="&amp;SUBSTITUTE(SUBSTITUTE(SUBSTITUTE(B301,"~","~~"),"*","~*"),"?","~?"),$Q$3:$Q$1002,1)*10000-V301)</f>
        <v/>
      </c>
      <c r="X301" s="25">
        <f>IF(Q301=1,IF(SUBSTITUTE(SUBSTITUTE(SUBSTITUTE(SUBSTITUTE(SUBSTITUTE(SUBSTITUTE(SUBSTITUTE(SUBSTITUTE(SUBSTITUTE(SUBSTITUTE(SUBSTITUTE(SUBSTITUTE(LOWER(TRIM(A301)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301)),"á","a"),"é","e"),"í","i"),"ó","o"),"ú","u"),"ü","u"),"ñ","n"),"à","a"),"è","e"),"ì","i"),"ò","o"),"ù","u")),"")</f>
        <v/>
      </c>
      <c r="Y301" s="25">
        <f>IF(X301="","",IF(IFERROR(COUNTIF(X$3:X301,"="&amp;SUBSTITUTE(SUBSTITUTE(SUBSTITUTE(X301,"~","~~"),"*","~*"),"?","~?")),0)=1,1,""))</f>
        <v/>
      </c>
      <c r="Z301" s="25">
        <f>IF(T301=1,MAX(Z$2:Z300)+1,"")</f>
        <v/>
      </c>
    </row>
    <row r="302">
      <c r="A302">
        <f>IF(A$2=0,"",IFERROR(TRIM(INDEX('Pegar calibracion'!$A$1:$BZ$1001,301,A$2)&amp;""),""))</f>
        <v/>
      </c>
      <c r="B302">
        <f>IF(B$2=0,"",IFERROR(TRIM(INDEX('Pegar calibracion'!$A$1:$BZ$1001,301,B$2)&amp;""),""))</f>
        <v/>
      </c>
      <c r="C302">
        <f>IF(C$2=0,"",IFERROR(TRIM(INDEX('Pegar calibracion'!$A$1:$BZ$1001,301,C$2)&amp;""),""))</f>
        <v/>
      </c>
      <c r="D302">
        <f>IF(D$2=0,"",IFERROR(TRIM(INDEX('Pegar calibracion'!$A$1:$BZ$1001,301,D$2)&amp;""),""))</f>
        <v/>
      </c>
      <c r="E302">
        <f>IF(E$2=0,"",IFERROR(TRIM(INDEX('Pegar calibracion'!$A$1:$BZ$1001,301,E$2)&amp;""),""))</f>
        <v/>
      </c>
      <c r="F302">
        <f>IF(F$2=0,"",IFERROR(TRIM(INDEX('Pegar calibracion'!$A$1:$BZ$1001,301,F$2)&amp;""),""))</f>
        <v/>
      </c>
      <c r="G302">
        <f>IF(G$2=0,"",IFERROR(TRIM(INDEX('Pegar calibracion'!$A$1:$BZ$1001,301,G$2)&amp;""),""))</f>
        <v/>
      </c>
      <c r="H302">
        <f>IF(H$2=0,"",IFERROR(TRIM(INDEX('Pegar calibracion'!$A$1:$BZ$1001,301,H$2)&amp;""),""))</f>
        <v/>
      </c>
      <c r="I302">
        <f>IF(I$2=0,"",IFERROR(TRIM(INDEX('Pegar calibracion'!$A$1:$BZ$1001,301,I$2)&amp;""),""))</f>
        <v/>
      </c>
      <c r="J302">
        <f>IF(J$2=0,"",IFERROR(TRIM(INDEX('Pegar calibracion'!$A$1:$BZ$1001,301,J$2)&amp;""),""))</f>
        <v/>
      </c>
      <c r="K302">
        <f>IF(K$2=0,"",IFERROR(TRIM(INDEX('Pegar calibracion'!$A$1:$BZ$1001,301,K$2)&amp;""),""))</f>
        <v/>
      </c>
      <c r="L302">
        <f>IF(L$2=0,"",IFERROR(TRIM(INDEX('Pegar calibracion'!$A$1:$BZ$1001,301,L$2)&amp;""),""))</f>
        <v/>
      </c>
      <c r="M302" s="25">
        <f>IF(D302="","",SUBSTITUTE(SUBSTITUTE(SUBSTITUTE(SUBSTITUTE(SUBSTITUTE(SUBSTITUTE(SUBSTITUTE(SUBSTITUTE(SUBSTITUTE(SUBSTITUTE(SUBSTITUTE(SUBSTITUTE(LOWER(TRIM(D302)),"á","a"),"é","e"),"í","i"),"ó","o"),"ú","u"),"ü","u"),"ñ","n"),"à","a"),"è","e"),"ì","i"),"ò","o"),"ù","u"))</f>
        <v/>
      </c>
      <c r="N302" s="25">
        <f>IF(F302="","",SUBSTITUTE(SUBSTITUTE(SUBSTITUTE(SUBSTITUTE(SUBSTITUTE(SUBSTITUTE(SUBSTITUTE(SUBSTITUTE(SUBSTITUTE(SUBSTITUTE(SUBSTITUTE(SUBSTITUTE(LOWER(TRIM(F302)),"á","a"),"é","e"),"í","i"),"ó","o"),"ú","u"),"ü","u"),"ñ","n"),"à","a"),"è","e"),"ì","i"),"ò","o"),"ù","u"))</f>
        <v/>
      </c>
      <c r="O302" s="25">
        <f>IF(M302="confiable",2,IF(M302="dudosa",1,IF(M302="no confiable",0,"")))</f>
        <v/>
      </c>
      <c r="P302" s="25">
        <f>IF(N302="confiable",2,IF(N302="dudosa",1,IF(N302="no confiable",0,"")))</f>
        <v/>
      </c>
      <c r="Q302" s="25">
        <f>IF(AND(ISNUMBER(O302),ISNUMBER(P302)),1,"")</f>
        <v/>
      </c>
      <c r="R302" s="25">
        <f>IF(Q302=1,IF(O302=P302,"Sí","No"),"")</f>
        <v/>
      </c>
      <c r="S302" s="25">
        <f>IF(Q302=1,IF(P302&lt;O302,"Más estricto",IF(P302&gt;O302,"Más permisivo","Igual")),"")</f>
        <v/>
      </c>
      <c r="T302" s="25">
        <f>IF(Q302=1,IF(ABS(O302-P302)=2,1,0),"")</f>
        <v/>
      </c>
      <c r="U302" s="25">
        <f>IF(H302="","","|"&amp;SUBSTITUTE(SUBSTITUTE(TRIM(H302)," |","|"),"| ","|")&amp;"|")</f>
        <v/>
      </c>
      <c r="V302" s="25">
        <f>IF(AND(Q302=1,B302&lt;&gt;""),IF(IFERROR(COUNTIFS(B$3:B302,"="&amp;SUBSTITUTE(SUBSTITUTE(SUBSTITUTE(B302,"~","~~"),"*","~*"),"?","~?"),Q$3:Q302,1),0)=1,MAX(V$2:V301)+1,""),"")</f>
        <v/>
      </c>
      <c r="W302" s="25">
        <f>IF(V302="","",COUNTIFS($B$3:$B$1002,"="&amp;SUBSTITUTE(SUBSTITUTE(SUBSTITUTE(B302,"~","~~"),"*","~*"),"?","~?"),$Q$3:$Q$1002,1)*10000-V302)</f>
        <v/>
      </c>
      <c r="X302" s="25">
        <f>IF(Q302=1,IF(SUBSTITUTE(SUBSTITUTE(SUBSTITUTE(SUBSTITUTE(SUBSTITUTE(SUBSTITUTE(SUBSTITUTE(SUBSTITUTE(SUBSTITUTE(SUBSTITUTE(SUBSTITUTE(SUBSTITUTE(LOWER(TRIM(A302)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302)),"á","a"),"é","e"),"í","i"),"ó","o"),"ú","u"),"ü","u"),"ñ","n"),"à","a"),"è","e"),"ì","i"),"ò","o"),"ù","u")),"")</f>
        <v/>
      </c>
      <c r="Y302" s="25">
        <f>IF(X302="","",IF(IFERROR(COUNTIF(X$3:X302,"="&amp;SUBSTITUTE(SUBSTITUTE(SUBSTITUTE(X302,"~","~~"),"*","~*"),"?","~?")),0)=1,1,""))</f>
        <v/>
      </c>
      <c r="Z302" s="25">
        <f>IF(T302=1,MAX(Z$2:Z301)+1,"")</f>
        <v/>
      </c>
    </row>
    <row r="303">
      <c r="A303">
        <f>IF(A$2=0,"",IFERROR(TRIM(INDEX('Pegar calibracion'!$A$1:$BZ$1001,302,A$2)&amp;""),""))</f>
        <v/>
      </c>
      <c r="B303">
        <f>IF(B$2=0,"",IFERROR(TRIM(INDEX('Pegar calibracion'!$A$1:$BZ$1001,302,B$2)&amp;""),""))</f>
        <v/>
      </c>
      <c r="C303">
        <f>IF(C$2=0,"",IFERROR(TRIM(INDEX('Pegar calibracion'!$A$1:$BZ$1001,302,C$2)&amp;""),""))</f>
        <v/>
      </c>
      <c r="D303">
        <f>IF(D$2=0,"",IFERROR(TRIM(INDEX('Pegar calibracion'!$A$1:$BZ$1001,302,D$2)&amp;""),""))</f>
        <v/>
      </c>
      <c r="E303">
        <f>IF(E$2=0,"",IFERROR(TRIM(INDEX('Pegar calibracion'!$A$1:$BZ$1001,302,E$2)&amp;""),""))</f>
        <v/>
      </c>
      <c r="F303">
        <f>IF(F$2=0,"",IFERROR(TRIM(INDEX('Pegar calibracion'!$A$1:$BZ$1001,302,F$2)&amp;""),""))</f>
        <v/>
      </c>
      <c r="G303">
        <f>IF(G$2=0,"",IFERROR(TRIM(INDEX('Pegar calibracion'!$A$1:$BZ$1001,302,G$2)&amp;""),""))</f>
        <v/>
      </c>
      <c r="H303">
        <f>IF(H$2=0,"",IFERROR(TRIM(INDEX('Pegar calibracion'!$A$1:$BZ$1001,302,H$2)&amp;""),""))</f>
        <v/>
      </c>
      <c r="I303">
        <f>IF(I$2=0,"",IFERROR(TRIM(INDEX('Pegar calibracion'!$A$1:$BZ$1001,302,I$2)&amp;""),""))</f>
        <v/>
      </c>
      <c r="J303">
        <f>IF(J$2=0,"",IFERROR(TRIM(INDEX('Pegar calibracion'!$A$1:$BZ$1001,302,J$2)&amp;""),""))</f>
        <v/>
      </c>
      <c r="K303">
        <f>IF(K$2=0,"",IFERROR(TRIM(INDEX('Pegar calibracion'!$A$1:$BZ$1001,302,K$2)&amp;""),""))</f>
        <v/>
      </c>
      <c r="L303">
        <f>IF(L$2=0,"",IFERROR(TRIM(INDEX('Pegar calibracion'!$A$1:$BZ$1001,302,L$2)&amp;""),""))</f>
        <v/>
      </c>
      <c r="M303" s="25">
        <f>IF(D303="","",SUBSTITUTE(SUBSTITUTE(SUBSTITUTE(SUBSTITUTE(SUBSTITUTE(SUBSTITUTE(SUBSTITUTE(SUBSTITUTE(SUBSTITUTE(SUBSTITUTE(SUBSTITUTE(SUBSTITUTE(LOWER(TRIM(D303)),"á","a"),"é","e"),"í","i"),"ó","o"),"ú","u"),"ü","u"),"ñ","n"),"à","a"),"è","e"),"ì","i"),"ò","o"),"ù","u"))</f>
        <v/>
      </c>
      <c r="N303" s="25">
        <f>IF(F303="","",SUBSTITUTE(SUBSTITUTE(SUBSTITUTE(SUBSTITUTE(SUBSTITUTE(SUBSTITUTE(SUBSTITUTE(SUBSTITUTE(SUBSTITUTE(SUBSTITUTE(SUBSTITUTE(SUBSTITUTE(LOWER(TRIM(F303)),"á","a"),"é","e"),"í","i"),"ó","o"),"ú","u"),"ü","u"),"ñ","n"),"à","a"),"è","e"),"ì","i"),"ò","o"),"ù","u"))</f>
        <v/>
      </c>
      <c r="O303" s="25">
        <f>IF(M303="confiable",2,IF(M303="dudosa",1,IF(M303="no confiable",0,"")))</f>
        <v/>
      </c>
      <c r="P303" s="25">
        <f>IF(N303="confiable",2,IF(N303="dudosa",1,IF(N303="no confiable",0,"")))</f>
        <v/>
      </c>
      <c r="Q303" s="25">
        <f>IF(AND(ISNUMBER(O303),ISNUMBER(P303)),1,"")</f>
        <v/>
      </c>
      <c r="R303" s="25">
        <f>IF(Q303=1,IF(O303=P303,"Sí","No"),"")</f>
        <v/>
      </c>
      <c r="S303" s="25">
        <f>IF(Q303=1,IF(P303&lt;O303,"Más estricto",IF(P303&gt;O303,"Más permisivo","Igual")),"")</f>
        <v/>
      </c>
      <c r="T303" s="25">
        <f>IF(Q303=1,IF(ABS(O303-P303)=2,1,0),"")</f>
        <v/>
      </c>
      <c r="U303" s="25">
        <f>IF(H303="","","|"&amp;SUBSTITUTE(SUBSTITUTE(TRIM(H303)," |","|"),"| ","|")&amp;"|")</f>
        <v/>
      </c>
      <c r="V303" s="25">
        <f>IF(AND(Q303=1,B303&lt;&gt;""),IF(IFERROR(COUNTIFS(B$3:B303,"="&amp;SUBSTITUTE(SUBSTITUTE(SUBSTITUTE(B303,"~","~~"),"*","~*"),"?","~?"),Q$3:Q303,1),0)=1,MAX(V$2:V302)+1,""),"")</f>
        <v/>
      </c>
      <c r="W303" s="25">
        <f>IF(V303="","",COUNTIFS($B$3:$B$1002,"="&amp;SUBSTITUTE(SUBSTITUTE(SUBSTITUTE(B303,"~","~~"),"*","~*"),"?","~?"),$Q$3:$Q$1002,1)*10000-V303)</f>
        <v/>
      </c>
      <c r="X303" s="25">
        <f>IF(Q303=1,IF(SUBSTITUTE(SUBSTITUTE(SUBSTITUTE(SUBSTITUTE(SUBSTITUTE(SUBSTITUTE(SUBSTITUTE(SUBSTITUTE(SUBSTITUTE(SUBSTITUTE(SUBSTITUTE(SUBSTITUTE(LOWER(TRIM(A303)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303)),"á","a"),"é","e"),"í","i"),"ó","o"),"ú","u"),"ü","u"),"ñ","n"),"à","a"),"è","e"),"ì","i"),"ò","o"),"ù","u")),"")</f>
        <v/>
      </c>
      <c r="Y303" s="25">
        <f>IF(X303="","",IF(IFERROR(COUNTIF(X$3:X303,"="&amp;SUBSTITUTE(SUBSTITUTE(SUBSTITUTE(X303,"~","~~"),"*","~*"),"?","~?")),0)=1,1,""))</f>
        <v/>
      </c>
      <c r="Z303" s="25">
        <f>IF(T303=1,MAX(Z$2:Z302)+1,"")</f>
        <v/>
      </c>
    </row>
    <row r="304">
      <c r="A304">
        <f>IF(A$2=0,"",IFERROR(TRIM(INDEX('Pegar calibracion'!$A$1:$BZ$1001,303,A$2)&amp;""),""))</f>
        <v/>
      </c>
      <c r="B304">
        <f>IF(B$2=0,"",IFERROR(TRIM(INDEX('Pegar calibracion'!$A$1:$BZ$1001,303,B$2)&amp;""),""))</f>
        <v/>
      </c>
      <c r="C304">
        <f>IF(C$2=0,"",IFERROR(TRIM(INDEX('Pegar calibracion'!$A$1:$BZ$1001,303,C$2)&amp;""),""))</f>
        <v/>
      </c>
      <c r="D304">
        <f>IF(D$2=0,"",IFERROR(TRIM(INDEX('Pegar calibracion'!$A$1:$BZ$1001,303,D$2)&amp;""),""))</f>
        <v/>
      </c>
      <c r="E304">
        <f>IF(E$2=0,"",IFERROR(TRIM(INDEX('Pegar calibracion'!$A$1:$BZ$1001,303,E$2)&amp;""),""))</f>
        <v/>
      </c>
      <c r="F304">
        <f>IF(F$2=0,"",IFERROR(TRIM(INDEX('Pegar calibracion'!$A$1:$BZ$1001,303,F$2)&amp;""),""))</f>
        <v/>
      </c>
      <c r="G304">
        <f>IF(G$2=0,"",IFERROR(TRIM(INDEX('Pegar calibracion'!$A$1:$BZ$1001,303,G$2)&amp;""),""))</f>
        <v/>
      </c>
      <c r="H304">
        <f>IF(H$2=0,"",IFERROR(TRIM(INDEX('Pegar calibracion'!$A$1:$BZ$1001,303,H$2)&amp;""),""))</f>
        <v/>
      </c>
      <c r="I304">
        <f>IF(I$2=0,"",IFERROR(TRIM(INDEX('Pegar calibracion'!$A$1:$BZ$1001,303,I$2)&amp;""),""))</f>
        <v/>
      </c>
      <c r="J304">
        <f>IF(J$2=0,"",IFERROR(TRIM(INDEX('Pegar calibracion'!$A$1:$BZ$1001,303,J$2)&amp;""),""))</f>
        <v/>
      </c>
      <c r="K304">
        <f>IF(K$2=0,"",IFERROR(TRIM(INDEX('Pegar calibracion'!$A$1:$BZ$1001,303,K$2)&amp;""),""))</f>
        <v/>
      </c>
      <c r="L304">
        <f>IF(L$2=0,"",IFERROR(TRIM(INDEX('Pegar calibracion'!$A$1:$BZ$1001,303,L$2)&amp;""),""))</f>
        <v/>
      </c>
      <c r="M304" s="25">
        <f>IF(D304="","",SUBSTITUTE(SUBSTITUTE(SUBSTITUTE(SUBSTITUTE(SUBSTITUTE(SUBSTITUTE(SUBSTITUTE(SUBSTITUTE(SUBSTITUTE(SUBSTITUTE(SUBSTITUTE(SUBSTITUTE(LOWER(TRIM(D304)),"á","a"),"é","e"),"í","i"),"ó","o"),"ú","u"),"ü","u"),"ñ","n"),"à","a"),"è","e"),"ì","i"),"ò","o"),"ù","u"))</f>
        <v/>
      </c>
      <c r="N304" s="25">
        <f>IF(F304="","",SUBSTITUTE(SUBSTITUTE(SUBSTITUTE(SUBSTITUTE(SUBSTITUTE(SUBSTITUTE(SUBSTITUTE(SUBSTITUTE(SUBSTITUTE(SUBSTITUTE(SUBSTITUTE(SUBSTITUTE(LOWER(TRIM(F304)),"á","a"),"é","e"),"í","i"),"ó","o"),"ú","u"),"ü","u"),"ñ","n"),"à","a"),"è","e"),"ì","i"),"ò","o"),"ù","u"))</f>
        <v/>
      </c>
      <c r="O304" s="25">
        <f>IF(M304="confiable",2,IF(M304="dudosa",1,IF(M304="no confiable",0,"")))</f>
        <v/>
      </c>
      <c r="P304" s="25">
        <f>IF(N304="confiable",2,IF(N304="dudosa",1,IF(N304="no confiable",0,"")))</f>
        <v/>
      </c>
      <c r="Q304" s="25">
        <f>IF(AND(ISNUMBER(O304),ISNUMBER(P304)),1,"")</f>
        <v/>
      </c>
      <c r="R304" s="25">
        <f>IF(Q304=1,IF(O304=P304,"Sí","No"),"")</f>
        <v/>
      </c>
      <c r="S304" s="25">
        <f>IF(Q304=1,IF(P304&lt;O304,"Más estricto",IF(P304&gt;O304,"Más permisivo","Igual")),"")</f>
        <v/>
      </c>
      <c r="T304" s="25">
        <f>IF(Q304=1,IF(ABS(O304-P304)=2,1,0),"")</f>
        <v/>
      </c>
      <c r="U304" s="25">
        <f>IF(H304="","","|"&amp;SUBSTITUTE(SUBSTITUTE(TRIM(H304)," |","|"),"| ","|")&amp;"|")</f>
        <v/>
      </c>
      <c r="V304" s="25">
        <f>IF(AND(Q304=1,B304&lt;&gt;""),IF(IFERROR(COUNTIFS(B$3:B304,"="&amp;SUBSTITUTE(SUBSTITUTE(SUBSTITUTE(B304,"~","~~"),"*","~*"),"?","~?"),Q$3:Q304,1),0)=1,MAX(V$2:V303)+1,""),"")</f>
        <v/>
      </c>
      <c r="W304" s="25">
        <f>IF(V304="","",COUNTIFS($B$3:$B$1002,"="&amp;SUBSTITUTE(SUBSTITUTE(SUBSTITUTE(B304,"~","~~"),"*","~*"),"?","~?"),$Q$3:$Q$1002,1)*10000-V304)</f>
        <v/>
      </c>
      <c r="X304" s="25">
        <f>IF(Q304=1,IF(SUBSTITUTE(SUBSTITUTE(SUBSTITUTE(SUBSTITUTE(SUBSTITUTE(SUBSTITUTE(SUBSTITUTE(SUBSTITUTE(SUBSTITUTE(SUBSTITUTE(SUBSTITUTE(SUBSTITUTE(LOWER(TRIM(A304)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304)),"á","a"),"é","e"),"í","i"),"ó","o"),"ú","u"),"ü","u"),"ñ","n"),"à","a"),"è","e"),"ì","i"),"ò","o"),"ù","u")),"")</f>
        <v/>
      </c>
      <c r="Y304" s="25">
        <f>IF(X304="","",IF(IFERROR(COUNTIF(X$3:X304,"="&amp;SUBSTITUTE(SUBSTITUTE(SUBSTITUTE(X304,"~","~~"),"*","~*"),"?","~?")),0)=1,1,""))</f>
        <v/>
      </c>
      <c r="Z304" s="25">
        <f>IF(T304=1,MAX(Z$2:Z303)+1,"")</f>
        <v/>
      </c>
    </row>
    <row r="305">
      <c r="A305">
        <f>IF(A$2=0,"",IFERROR(TRIM(INDEX('Pegar calibracion'!$A$1:$BZ$1001,304,A$2)&amp;""),""))</f>
        <v/>
      </c>
      <c r="B305">
        <f>IF(B$2=0,"",IFERROR(TRIM(INDEX('Pegar calibracion'!$A$1:$BZ$1001,304,B$2)&amp;""),""))</f>
        <v/>
      </c>
      <c r="C305">
        <f>IF(C$2=0,"",IFERROR(TRIM(INDEX('Pegar calibracion'!$A$1:$BZ$1001,304,C$2)&amp;""),""))</f>
        <v/>
      </c>
      <c r="D305">
        <f>IF(D$2=0,"",IFERROR(TRIM(INDEX('Pegar calibracion'!$A$1:$BZ$1001,304,D$2)&amp;""),""))</f>
        <v/>
      </c>
      <c r="E305">
        <f>IF(E$2=0,"",IFERROR(TRIM(INDEX('Pegar calibracion'!$A$1:$BZ$1001,304,E$2)&amp;""),""))</f>
        <v/>
      </c>
      <c r="F305">
        <f>IF(F$2=0,"",IFERROR(TRIM(INDEX('Pegar calibracion'!$A$1:$BZ$1001,304,F$2)&amp;""),""))</f>
        <v/>
      </c>
      <c r="G305">
        <f>IF(G$2=0,"",IFERROR(TRIM(INDEX('Pegar calibracion'!$A$1:$BZ$1001,304,G$2)&amp;""),""))</f>
        <v/>
      </c>
      <c r="H305">
        <f>IF(H$2=0,"",IFERROR(TRIM(INDEX('Pegar calibracion'!$A$1:$BZ$1001,304,H$2)&amp;""),""))</f>
        <v/>
      </c>
      <c r="I305">
        <f>IF(I$2=0,"",IFERROR(TRIM(INDEX('Pegar calibracion'!$A$1:$BZ$1001,304,I$2)&amp;""),""))</f>
        <v/>
      </c>
      <c r="J305">
        <f>IF(J$2=0,"",IFERROR(TRIM(INDEX('Pegar calibracion'!$A$1:$BZ$1001,304,J$2)&amp;""),""))</f>
        <v/>
      </c>
      <c r="K305">
        <f>IF(K$2=0,"",IFERROR(TRIM(INDEX('Pegar calibracion'!$A$1:$BZ$1001,304,K$2)&amp;""),""))</f>
        <v/>
      </c>
      <c r="L305">
        <f>IF(L$2=0,"",IFERROR(TRIM(INDEX('Pegar calibracion'!$A$1:$BZ$1001,304,L$2)&amp;""),""))</f>
        <v/>
      </c>
      <c r="M305" s="25">
        <f>IF(D305="","",SUBSTITUTE(SUBSTITUTE(SUBSTITUTE(SUBSTITUTE(SUBSTITUTE(SUBSTITUTE(SUBSTITUTE(SUBSTITUTE(SUBSTITUTE(SUBSTITUTE(SUBSTITUTE(SUBSTITUTE(LOWER(TRIM(D305)),"á","a"),"é","e"),"í","i"),"ó","o"),"ú","u"),"ü","u"),"ñ","n"),"à","a"),"è","e"),"ì","i"),"ò","o"),"ù","u"))</f>
        <v/>
      </c>
      <c r="N305" s="25">
        <f>IF(F305="","",SUBSTITUTE(SUBSTITUTE(SUBSTITUTE(SUBSTITUTE(SUBSTITUTE(SUBSTITUTE(SUBSTITUTE(SUBSTITUTE(SUBSTITUTE(SUBSTITUTE(SUBSTITUTE(SUBSTITUTE(LOWER(TRIM(F305)),"á","a"),"é","e"),"í","i"),"ó","o"),"ú","u"),"ü","u"),"ñ","n"),"à","a"),"è","e"),"ì","i"),"ò","o"),"ù","u"))</f>
        <v/>
      </c>
      <c r="O305" s="25">
        <f>IF(M305="confiable",2,IF(M305="dudosa",1,IF(M305="no confiable",0,"")))</f>
        <v/>
      </c>
      <c r="P305" s="25">
        <f>IF(N305="confiable",2,IF(N305="dudosa",1,IF(N305="no confiable",0,"")))</f>
        <v/>
      </c>
      <c r="Q305" s="25">
        <f>IF(AND(ISNUMBER(O305),ISNUMBER(P305)),1,"")</f>
        <v/>
      </c>
      <c r="R305" s="25">
        <f>IF(Q305=1,IF(O305=P305,"Sí","No"),"")</f>
        <v/>
      </c>
      <c r="S305" s="25">
        <f>IF(Q305=1,IF(P305&lt;O305,"Más estricto",IF(P305&gt;O305,"Más permisivo","Igual")),"")</f>
        <v/>
      </c>
      <c r="T305" s="25">
        <f>IF(Q305=1,IF(ABS(O305-P305)=2,1,0),"")</f>
        <v/>
      </c>
      <c r="U305" s="25">
        <f>IF(H305="","","|"&amp;SUBSTITUTE(SUBSTITUTE(TRIM(H305)," |","|"),"| ","|")&amp;"|")</f>
        <v/>
      </c>
      <c r="V305" s="25">
        <f>IF(AND(Q305=1,B305&lt;&gt;""),IF(IFERROR(COUNTIFS(B$3:B305,"="&amp;SUBSTITUTE(SUBSTITUTE(SUBSTITUTE(B305,"~","~~"),"*","~*"),"?","~?"),Q$3:Q305,1),0)=1,MAX(V$2:V304)+1,""),"")</f>
        <v/>
      </c>
      <c r="W305" s="25">
        <f>IF(V305="","",COUNTIFS($B$3:$B$1002,"="&amp;SUBSTITUTE(SUBSTITUTE(SUBSTITUTE(B305,"~","~~"),"*","~*"),"?","~?"),$Q$3:$Q$1002,1)*10000-V305)</f>
        <v/>
      </c>
      <c r="X305" s="25">
        <f>IF(Q305=1,IF(SUBSTITUTE(SUBSTITUTE(SUBSTITUTE(SUBSTITUTE(SUBSTITUTE(SUBSTITUTE(SUBSTITUTE(SUBSTITUTE(SUBSTITUTE(SUBSTITUTE(SUBSTITUTE(SUBSTITUTE(LOWER(TRIM(A305)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305)),"á","a"),"é","e"),"í","i"),"ó","o"),"ú","u"),"ü","u"),"ñ","n"),"à","a"),"è","e"),"ì","i"),"ò","o"),"ù","u")),"")</f>
        <v/>
      </c>
      <c r="Y305" s="25">
        <f>IF(X305="","",IF(IFERROR(COUNTIF(X$3:X305,"="&amp;SUBSTITUTE(SUBSTITUTE(SUBSTITUTE(X305,"~","~~"),"*","~*"),"?","~?")),0)=1,1,""))</f>
        <v/>
      </c>
      <c r="Z305" s="25">
        <f>IF(T305=1,MAX(Z$2:Z304)+1,"")</f>
        <v/>
      </c>
    </row>
    <row r="306">
      <c r="A306">
        <f>IF(A$2=0,"",IFERROR(TRIM(INDEX('Pegar calibracion'!$A$1:$BZ$1001,305,A$2)&amp;""),""))</f>
        <v/>
      </c>
      <c r="B306">
        <f>IF(B$2=0,"",IFERROR(TRIM(INDEX('Pegar calibracion'!$A$1:$BZ$1001,305,B$2)&amp;""),""))</f>
        <v/>
      </c>
      <c r="C306">
        <f>IF(C$2=0,"",IFERROR(TRIM(INDEX('Pegar calibracion'!$A$1:$BZ$1001,305,C$2)&amp;""),""))</f>
        <v/>
      </c>
      <c r="D306">
        <f>IF(D$2=0,"",IFERROR(TRIM(INDEX('Pegar calibracion'!$A$1:$BZ$1001,305,D$2)&amp;""),""))</f>
        <v/>
      </c>
      <c r="E306">
        <f>IF(E$2=0,"",IFERROR(TRIM(INDEX('Pegar calibracion'!$A$1:$BZ$1001,305,E$2)&amp;""),""))</f>
        <v/>
      </c>
      <c r="F306">
        <f>IF(F$2=0,"",IFERROR(TRIM(INDEX('Pegar calibracion'!$A$1:$BZ$1001,305,F$2)&amp;""),""))</f>
        <v/>
      </c>
      <c r="G306">
        <f>IF(G$2=0,"",IFERROR(TRIM(INDEX('Pegar calibracion'!$A$1:$BZ$1001,305,G$2)&amp;""),""))</f>
        <v/>
      </c>
      <c r="H306">
        <f>IF(H$2=0,"",IFERROR(TRIM(INDEX('Pegar calibracion'!$A$1:$BZ$1001,305,H$2)&amp;""),""))</f>
        <v/>
      </c>
      <c r="I306">
        <f>IF(I$2=0,"",IFERROR(TRIM(INDEX('Pegar calibracion'!$A$1:$BZ$1001,305,I$2)&amp;""),""))</f>
        <v/>
      </c>
      <c r="J306">
        <f>IF(J$2=0,"",IFERROR(TRIM(INDEX('Pegar calibracion'!$A$1:$BZ$1001,305,J$2)&amp;""),""))</f>
        <v/>
      </c>
      <c r="K306">
        <f>IF(K$2=0,"",IFERROR(TRIM(INDEX('Pegar calibracion'!$A$1:$BZ$1001,305,K$2)&amp;""),""))</f>
        <v/>
      </c>
      <c r="L306">
        <f>IF(L$2=0,"",IFERROR(TRIM(INDEX('Pegar calibracion'!$A$1:$BZ$1001,305,L$2)&amp;""),""))</f>
        <v/>
      </c>
      <c r="M306" s="25">
        <f>IF(D306="","",SUBSTITUTE(SUBSTITUTE(SUBSTITUTE(SUBSTITUTE(SUBSTITUTE(SUBSTITUTE(SUBSTITUTE(SUBSTITUTE(SUBSTITUTE(SUBSTITUTE(SUBSTITUTE(SUBSTITUTE(LOWER(TRIM(D306)),"á","a"),"é","e"),"í","i"),"ó","o"),"ú","u"),"ü","u"),"ñ","n"),"à","a"),"è","e"),"ì","i"),"ò","o"),"ù","u"))</f>
        <v/>
      </c>
      <c r="N306" s="25">
        <f>IF(F306="","",SUBSTITUTE(SUBSTITUTE(SUBSTITUTE(SUBSTITUTE(SUBSTITUTE(SUBSTITUTE(SUBSTITUTE(SUBSTITUTE(SUBSTITUTE(SUBSTITUTE(SUBSTITUTE(SUBSTITUTE(LOWER(TRIM(F306)),"á","a"),"é","e"),"í","i"),"ó","o"),"ú","u"),"ü","u"),"ñ","n"),"à","a"),"è","e"),"ì","i"),"ò","o"),"ù","u"))</f>
        <v/>
      </c>
      <c r="O306" s="25">
        <f>IF(M306="confiable",2,IF(M306="dudosa",1,IF(M306="no confiable",0,"")))</f>
        <v/>
      </c>
      <c r="P306" s="25">
        <f>IF(N306="confiable",2,IF(N306="dudosa",1,IF(N306="no confiable",0,"")))</f>
        <v/>
      </c>
      <c r="Q306" s="25">
        <f>IF(AND(ISNUMBER(O306),ISNUMBER(P306)),1,"")</f>
        <v/>
      </c>
      <c r="R306" s="25">
        <f>IF(Q306=1,IF(O306=P306,"Sí","No"),"")</f>
        <v/>
      </c>
      <c r="S306" s="25">
        <f>IF(Q306=1,IF(P306&lt;O306,"Más estricto",IF(P306&gt;O306,"Más permisivo","Igual")),"")</f>
        <v/>
      </c>
      <c r="T306" s="25">
        <f>IF(Q306=1,IF(ABS(O306-P306)=2,1,0),"")</f>
        <v/>
      </c>
      <c r="U306" s="25">
        <f>IF(H306="","","|"&amp;SUBSTITUTE(SUBSTITUTE(TRIM(H306)," |","|"),"| ","|")&amp;"|")</f>
        <v/>
      </c>
      <c r="V306" s="25">
        <f>IF(AND(Q306=1,B306&lt;&gt;""),IF(IFERROR(COUNTIFS(B$3:B306,"="&amp;SUBSTITUTE(SUBSTITUTE(SUBSTITUTE(B306,"~","~~"),"*","~*"),"?","~?"),Q$3:Q306,1),0)=1,MAX(V$2:V305)+1,""),"")</f>
        <v/>
      </c>
      <c r="W306" s="25">
        <f>IF(V306="","",COUNTIFS($B$3:$B$1002,"="&amp;SUBSTITUTE(SUBSTITUTE(SUBSTITUTE(B306,"~","~~"),"*","~*"),"?","~?"),$Q$3:$Q$1002,1)*10000-V306)</f>
        <v/>
      </c>
      <c r="X306" s="25">
        <f>IF(Q306=1,IF(SUBSTITUTE(SUBSTITUTE(SUBSTITUTE(SUBSTITUTE(SUBSTITUTE(SUBSTITUTE(SUBSTITUTE(SUBSTITUTE(SUBSTITUTE(SUBSTITUTE(SUBSTITUTE(SUBSTITUTE(LOWER(TRIM(A306)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306)),"á","a"),"é","e"),"í","i"),"ó","o"),"ú","u"),"ü","u"),"ñ","n"),"à","a"),"è","e"),"ì","i"),"ò","o"),"ù","u")),"")</f>
        <v/>
      </c>
      <c r="Y306" s="25">
        <f>IF(X306="","",IF(IFERROR(COUNTIF(X$3:X306,"="&amp;SUBSTITUTE(SUBSTITUTE(SUBSTITUTE(X306,"~","~~"),"*","~*"),"?","~?")),0)=1,1,""))</f>
        <v/>
      </c>
      <c r="Z306" s="25">
        <f>IF(T306=1,MAX(Z$2:Z305)+1,"")</f>
        <v/>
      </c>
    </row>
    <row r="307">
      <c r="A307">
        <f>IF(A$2=0,"",IFERROR(TRIM(INDEX('Pegar calibracion'!$A$1:$BZ$1001,306,A$2)&amp;""),""))</f>
        <v/>
      </c>
      <c r="B307">
        <f>IF(B$2=0,"",IFERROR(TRIM(INDEX('Pegar calibracion'!$A$1:$BZ$1001,306,B$2)&amp;""),""))</f>
        <v/>
      </c>
      <c r="C307">
        <f>IF(C$2=0,"",IFERROR(TRIM(INDEX('Pegar calibracion'!$A$1:$BZ$1001,306,C$2)&amp;""),""))</f>
        <v/>
      </c>
      <c r="D307">
        <f>IF(D$2=0,"",IFERROR(TRIM(INDEX('Pegar calibracion'!$A$1:$BZ$1001,306,D$2)&amp;""),""))</f>
        <v/>
      </c>
      <c r="E307">
        <f>IF(E$2=0,"",IFERROR(TRIM(INDEX('Pegar calibracion'!$A$1:$BZ$1001,306,E$2)&amp;""),""))</f>
        <v/>
      </c>
      <c r="F307">
        <f>IF(F$2=0,"",IFERROR(TRIM(INDEX('Pegar calibracion'!$A$1:$BZ$1001,306,F$2)&amp;""),""))</f>
        <v/>
      </c>
      <c r="G307">
        <f>IF(G$2=0,"",IFERROR(TRIM(INDEX('Pegar calibracion'!$A$1:$BZ$1001,306,G$2)&amp;""),""))</f>
        <v/>
      </c>
      <c r="H307">
        <f>IF(H$2=0,"",IFERROR(TRIM(INDEX('Pegar calibracion'!$A$1:$BZ$1001,306,H$2)&amp;""),""))</f>
        <v/>
      </c>
      <c r="I307">
        <f>IF(I$2=0,"",IFERROR(TRIM(INDEX('Pegar calibracion'!$A$1:$BZ$1001,306,I$2)&amp;""),""))</f>
        <v/>
      </c>
      <c r="J307">
        <f>IF(J$2=0,"",IFERROR(TRIM(INDEX('Pegar calibracion'!$A$1:$BZ$1001,306,J$2)&amp;""),""))</f>
        <v/>
      </c>
      <c r="K307">
        <f>IF(K$2=0,"",IFERROR(TRIM(INDEX('Pegar calibracion'!$A$1:$BZ$1001,306,K$2)&amp;""),""))</f>
        <v/>
      </c>
      <c r="L307">
        <f>IF(L$2=0,"",IFERROR(TRIM(INDEX('Pegar calibracion'!$A$1:$BZ$1001,306,L$2)&amp;""),""))</f>
        <v/>
      </c>
      <c r="M307" s="25">
        <f>IF(D307="","",SUBSTITUTE(SUBSTITUTE(SUBSTITUTE(SUBSTITUTE(SUBSTITUTE(SUBSTITUTE(SUBSTITUTE(SUBSTITUTE(SUBSTITUTE(SUBSTITUTE(SUBSTITUTE(SUBSTITUTE(LOWER(TRIM(D307)),"á","a"),"é","e"),"í","i"),"ó","o"),"ú","u"),"ü","u"),"ñ","n"),"à","a"),"è","e"),"ì","i"),"ò","o"),"ù","u"))</f>
        <v/>
      </c>
      <c r="N307" s="25">
        <f>IF(F307="","",SUBSTITUTE(SUBSTITUTE(SUBSTITUTE(SUBSTITUTE(SUBSTITUTE(SUBSTITUTE(SUBSTITUTE(SUBSTITUTE(SUBSTITUTE(SUBSTITUTE(SUBSTITUTE(SUBSTITUTE(LOWER(TRIM(F307)),"á","a"),"é","e"),"í","i"),"ó","o"),"ú","u"),"ü","u"),"ñ","n"),"à","a"),"è","e"),"ì","i"),"ò","o"),"ù","u"))</f>
        <v/>
      </c>
      <c r="O307" s="25">
        <f>IF(M307="confiable",2,IF(M307="dudosa",1,IF(M307="no confiable",0,"")))</f>
        <v/>
      </c>
      <c r="P307" s="25">
        <f>IF(N307="confiable",2,IF(N307="dudosa",1,IF(N307="no confiable",0,"")))</f>
        <v/>
      </c>
      <c r="Q307" s="25">
        <f>IF(AND(ISNUMBER(O307),ISNUMBER(P307)),1,"")</f>
        <v/>
      </c>
      <c r="R307" s="25">
        <f>IF(Q307=1,IF(O307=P307,"Sí","No"),"")</f>
        <v/>
      </c>
      <c r="S307" s="25">
        <f>IF(Q307=1,IF(P307&lt;O307,"Más estricto",IF(P307&gt;O307,"Más permisivo","Igual")),"")</f>
        <v/>
      </c>
      <c r="T307" s="25">
        <f>IF(Q307=1,IF(ABS(O307-P307)=2,1,0),"")</f>
        <v/>
      </c>
      <c r="U307" s="25">
        <f>IF(H307="","","|"&amp;SUBSTITUTE(SUBSTITUTE(TRIM(H307)," |","|"),"| ","|")&amp;"|")</f>
        <v/>
      </c>
      <c r="V307" s="25">
        <f>IF(AND(Q307=1,B307&lt;&gt;""),IF(IFERROR(COUNTIFS(B$3:B307,"="&amp;SUBSTITUTE(SUBSTITUTE(SUBSTITUTE(B307,"~","~~"),"*","~*"),"?","~?"),Q$3:Q307,1),0)=1,MAX(V$2:V306)+1,""),"")</f>
        <v/>
      </c>
      <c r="W307" s="25">
        <f>IF(V307="","",COUNTIFS($B$3:$B$1002,"="&amp;SUBSTITUTE(SUBSTITUTE(SUBSTITUTE(B307,"~","~~"),"*","~*"),"?","~?"),$Q$3:$Q$1002,1)*10000-V307)</f>
        <v/>
      </c>
      <c r="X307" s="25">
        <f>IF(Q307=1,IF(SUBSTITUTE(SUBSTITUTE(SUBSTITUTE(SUBSTITUTE(SUBSTITUTE(SUBSTITUTE(SUBSTITUTE(SUBSTITUTE(SUBSTITUTE(SUBSTITUTE(SUBSTITUTE(SUBSTITUTE(LOWER(TRIM(A307)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307)),"á","a"),"é","e"),"í","i"),"ó","o"),"ú","u"),"ü","u"),"ñ","n"),"à","a"),"è","e"),"ì","i"),"ò","o"),"ù","u")),"")</f>
        <v/>
      </c>
      <c r="Y307" s="25">
        <f>IF(X307="","",IF(IFERROR(COUNTIF(X$3:X307,"="&amp;SUBSTITUTE(SUBSTITUTE(SUBSTITUTE(X307,"~","~~"),"*","~*"),"?","~?")),0)=1,1,""))</f>
        <v/>
      </c>
      <c r="Z307" s="25">
        <f>IF(T307=1,MAX(Z$2:Z306)+1,"")</f>
        <v/>
      </c>
    </row>
    <row r="308">
      <c r="A308">
        <f>IF(A$2=0,"",IFERROR(TRIM(INDEX('Pegar calibracion'!$A$1:$BZ$1001,307,A$2)&amp;""),""))</f>
        <v/>
      </c>
      <c r="B308">
        <f>IF(B$2=0,"",IFERROR(TRIM(INDEX('Pegar calibracion'!$A$1:$BZ$1001,307,B$2)&amp;""),""))</f>
        <v/>
      </c>
      <c r="C308">
        <f>IF(C$2=0,"",IFERROR(TRIM(INDEX('Pegar calibracion'!$A$1:$BZ$1001,307,C$2)&amp;""),""))</f>
        <v/>
      </c>
      <c r="D308">
        <f>IF(D$2=0,"",IFERROR(TRIM(INDEX('Pegar calibracion'!$A$1:$BZ$1001,307,D$2)&amp;""),""))</f>
        <v/>
      </c>
      <c r="E308">
        <f>IF(E$2=0,"",IFERROR(TRIM(INDEX('Pegar calibracion'!$A$1:$BZ$1001,307,E$2)&amp;""),""))</f>
        <v/>
      </c>
      <c r="F308">
        <f>IF(F$2=0,"",IFERROR(TRIM(INDEX('Pegar calibracion'!$A$1:$BZ$1001,307,F$2)&amp;""),""))</f>
        <v/>
      </c>
      <c r="G308">
        <f>IF(G$2=0,"",IFERROR(TRIM(INDEX('Pegar calibracion'!$A$1:$BZ$1001,307,G$2)&amp;""),""))</f>
        <v/>
      </c>
      <c r="H308">
        <f>IF(H$2=0,"",IFERROR(TRIM(INDEX('Pegar calibracion'!$A$1:$BZ$1001,307,H$2)&amp;""),""))</f>
        <v/>
      </c>
      <c r="I308">
        <f>IF(I$2=0,"",IFERROR(TRIM(INDEX('Pegar calibracion'!$A$1:$BZ$1001,307,I$2)&amp;""),""))</f>
        <v/>
      </c>
      <c r="J308">
        <f>IF(J$2=0,"",IFERROR(TRIM(INDEX('Pegar calibracion'!$A$1:$BZ$1001,307,J$2)&amp;""),""))</f>
        <v/>
      </c>
      <c r="K308">
        <f>IF(K$2=0,"",IFERROR(TRIM(INDEX('Pegar calibracion'!$A$1:$BZ$1001,307,K$2)&amp;""),""))</f>
        <v/>
      </c>
      <c r="L308">
        <f>IF(L$2=0,"",IFERROR(TRIM(INDEX('Pegar calibracion'!$A$1:$BZ$1001,307,L$2)&amp;""),""))</f>
        <v/>
      </c>
      <c r="M308" s="25">
        <f>IF(D308="","",SUBSTITUTE(SUBSTITUTE(SUBSTITUTE(SUBSTITUTE(SUBSTITUTE(SUBSTITUTE(SUBSTITUTE(SUBSTITUTE(SUBSTITUTE(SUBSTITUTE(SUBSTITUTE(SUBSTITUTE(LOWER(TRIM(D308)),"á","a"),"é","e"),"í","i"),"ó","o"),"ú","u"),"ü","u"),"ñ","n"),"à","a"),"è","e"),"ì","i"),"ò","o"),"ù","u"))</f>
        <v/>
      </c>
      <c r="N308" s="25">
        <f>IF(F308="","",SUBSTITUTE(SUBSTITUTE(SUBSTITUTE(SUBSTITUTE(SUBSTITUTE(SUBSTITUTE(SUBSTITUTE(SUBSTITUTE(SUBSTITUTE(SUBSTITUTE(SUBSTITUTE(SUBSTITUTE(LOWER(TRIM(F308)),"á","a"),"é","e"),"í","i"),"ó","o"),"ú","u"),"ü","u"),"ñ","n"),"à","a"),"è","e"),"ì","i"),"ò","o"),"ù","u"))</f>
        <v/>
      </c>
      <c r="O308" s="25">
        <f>IF(M308="confiable",2,IF(M308="dudosa",1,IF(M308="no confiable",0,"")))</f>
        <v/>
      </c>
      <c r="P308" s="25">
        <f>IF(N308="confiable",2,IF(N308="dudosa",1,IF(N308="no confiable",0,"")))</f>
        <v/>
      </c>
      <c r="Q308" s="25">
        <f>IF(AND(ISNUMBER(O308),ISNUMBER(P308)),1,"")</f>
        <v/>
      </c>
      <c r="R308" s="25">
        <f>IF(Q308=1,IF(O308=P308,"Sí","No"),"")</f>
        <v/>
      </c>
      <c r="S308" s="25">
        <f>IF(Q308=1,IF(P308&lt;O308,"Más estricto",IF(P308&gt;O308,"Más permisivo","Igual")),"")</f>
        <v/>
      </c>
      <c r="T308" s="25">
        <f>IF(Q308=1,IF(ABS(O308-P308)=2,1,0),"")</f>
        <v/>
      </c>
      <c r="U308" s="25">
        <f>IF(H308="","","|"&amp;SUBSTITUTE(SUBSTITUTE(TRIM(H308)," |","|"),"| ","|")&amp;"|")</f>
        <v/>
      </c>
      <c r="V308" s="25">
        <f>IF(AND(Q308=1,B308&lt;&gt;""),IF(IFERROR(COUNTIFS(B$3:B308,"="&amp;SUBSTITUTE(SUBSTITUTE(SUBSTITUTE(B308,"~","~~"),"*","~*"),"?","~?"),Q$3:Q308,1),0)=1,MAX(V$2:V307)+1,""),"")</f>
        <v/>
      </c>
      <c r="W308" s="25">
        <f>IF(V308="","",COUNTIFS($B$3:$B$1002,"="&amp;SUBSTITUTE(SUBSTITUTE(SUBSTITUTE(B308,"~","~~"),"*","~*"),"?","~?"),$Q$3:$Q$1002,1)*10000-V308)</f>
        <v/>
      </c>
      <c r="X308" s="25">
        <f>IF(Q308=1,IF(SUBSTITUTE(SUBSTITUTE(SUBSTITUTE(SUBSTITUTE(SUBSTITUTE(SUBSTITUTE(SUBSTITUTE(SUBSTITUTE(SUBSTITUTE(SUBSTITUTE(SUBSTITUTE(SUBSTITUTE(LOWER(TRIM(A308)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308)),"á","a"),"é","e"),"í","i"),"ó","o"),"ú","u"),"ü","u"),"ñ","n"),"à","a"),"è","e"),"ì","i"),"ò","o"),"ù","u")),"")</f>
        <v/>
      </c>
      <c r="Y308" s="25">
        <f>IF(X308="","",IF(IFERROR(COUNTIF(X$3:X308,"="&amp;SUBSTITUTE(SUBSTITUTE(SUBSTITUTE(X308,"~","~~"),"*","~*"),"?","~?")),0)=1,1,""))</f>
        <v/>
      </c>
      <c r="Z308" s="25">
        <f>IF(T308=1,MAX(Z$2:Z307)+1,"")</f>
        <v/>
      </c>
    </row>
    <row r="309">
      <c r="A309">
        <f>IF(A$2=0,"",IFERROR(TRIM(INDEX('Pegar calibracion'!$A$1:$BZ$1001,308,A$2)&amp;""),""))</f>
        <v/>
      </c>
      <c r="B309">
        <f>IF(B$2=0,"",IFERROR(TRIM(INDEX('Pegar calibracion'!$A$1:$BZ$1001,308,B$2)&amp;""),""))</f>
        <v/>
      </c>
      <c r="C309">
        <f>IF(C$2=0,"",IFERROR(TRIM(INDEX('Pegar calibracion'!$A$1:$BZ$1001,308,C$2)&amp;""),""))</f>
        <v/>
      </c>
      <c r="D309">
        <f>IF(D$2=0,"",IFERROR(TRIM(INDEX('Pegar calibracion'!$A$1:$BZ$1001,308,D$2)&amp;""),""))</f>
        <v/>
      </c>
      <c r="E309">
        <f>IF(E$2=0,"",IFERROR(TRIM(INDEX('Pegar calibracion'!$A$1:$BZ$1001,308,E$2)&amp;""),""))</f>
        <v/>
      </c>
      <c r="F309">
        <f>IF(F$2=0,"",IFERROR(TRIM(INDEX('Pegar calibracion'!$A$1:$BZ$1001,308,F$2)&amp;""),""))</f>
        <v/>
      </c>
      <c r="G309">
        <f>IF(G$2=0,"",IFERROR(TRIM(INDEX('Pegar calibracion'!$A$1:$BZ$1001,308,G$2)&amp;""),""))</f>
        <v/>
      </c>
      <c r="H309">
        <f>IF(H$2=0,"",IFERROR(TRIM(INDEX('Pegar calibracion'!$A$1:$BZ$1001,308,H$2)&amp;""),""))</f>
        <v/>
      </c>
      <c r="I309">
        <f>IF(I$2=0,"",IFERROR(TRIM(INDEX('Pegar calibracion'!$A$1:$BZ$1001,308,I$2)&amp;""),""))</f>
        <v/>
      </c>
      <c r="J309">
        <f>IF(J$2=0,"",IFERROR(TRIM(INDEX('Pegar calibracion'!$A$1:$BZ$1001,308,J$2)&amp;""),""))</f>
        <v/>
      </c>
      <c r="K309">
        <f>IF(K$2=0,"",IFERROR(TRIM(INDEX('Pegar calibracion'!$A$1:$BZ$1001,308,K$2)&amp;""),""))</f>
        <v/>
      </c>
      <c r="L309">
        <f>IF(L$2=0,"",IFERROR(TRIM(INDEX('Pegar calibracion'!$A$1:$BZ$1001,308,L$2)&amp;""),""))</f>
        <v/>
      </c>
      <c r="M309" s="25">
        <f>IF(D309="","",SUBSTITUTE(SUBSTITUTE(SUBSTITUTE(SUBSTITUTE(SUBSTITUTE(SUBSTITUTE(SUBSTITUTE(SUBSTITUTE(SUBSTITUTE(SUBSTITUTE(SUBSTITUTE(SUBSTITUTE(LOWER(TRIM(D309)),"á","a"),"é","e"),"í","i"),"ó","o"),"ú","u"),"ü","u"),"ñ","n"),"à","a"),"è","e"),"ì","i"),"ò","o"),"ù","u"))</f>
        <v/>
      </c>
      <c r="N309" s="25">
        <f>IF(F309="","",SUBSTITUTE(SUBSTITUTE(SUBSTITUTE(SUBSTITUTE(SUBSTITUTE(SUBSTITUTE(SUBSTITUTE(SUBSTITUTE(SUBSTITUTE(SUBSTITUTE(SUBSTITUTE(SUBSTITUTE(LOWER(TRIM(F309)),"á","a"),"é","e"),"í","i"),"ó","o"),"ú","u"),"ü","u"),"ñ","n"),"à","a"),"è","e"),"ì","i"),"ò","o"),"ù","u"))</f>
        <v/>
      </c>
      <c r="O309" s="25">
        <f>IF(M309="confiable",2,IF(M309="dudosa",1,IF(M309="no confiable",0,"")))</f>
        <v/>
      </c>
      <c r="P309" s="25">
        <f>IF(N309="confiable",2,IF(N309="dudosa",1,IF(N309="no confiable",0,"")))</f>
        <v/>
      </c>
      <c r="Q309" s="25">
        <f>IF(AND(ISNUMBER(O309),ISNUMBER(P309)),1,"")</f>
        <v/>
      </c>
      <c r="R309" s="25">
        <f>IF(Q309=1,IF(O309=P309,"Sí","No"),"")</f>
        <v/>
      </c>
      <c r="S309" s="25">
        <f>IF(Q309=1,IF(P309&lt;O309,"Más estricto",IF(P309&gt;O309,"Más permisivo","Igual")),"")</f>
        <v/>
      </c>
      <c r="T309" s="25">
        <f>IF(Q309=1,IF(ABS(O309-P309)=2,1,0),"")</f>
        <v/>
      </c>
      <c r="U309" s="25">
        <f>IF(H309="","","|"&amp;SUBSTITUTE(SUBSTITUTE(TRIM(H309)," |","|"),"| ","|")&amp;"|")</f>
        <v/>
      </c>
      <c r="V309" s="25">
        <f>IF(AND(Q309=1,B309&lt;&gt;""),IF(IFERROR(COUNTIFS(B$3:B309,"="&amp;SUBSTITUTE(SUBSTITUTE(SUBSTITUTE(B309,"~","~~"),"*","~*"),"?","~?"),Q$3:Q309,1),0)=1,MAX(V$2:V308)+1,""),"")</f>
        <v/>
      </c>
      <c r="W309" s="25">
        <f>IF(V309="","",COUNTIFS($B$3:$B$1002,"="&amp;SUBSTITUTE(SUBSTITUTE(SUBSTITUTE(B309,"~","~~"),"*","~*"),"?","~?"),$Q$3:$Q$1002,1)*10000-V309)</f>
        <v/>
      </c>
      <c r="X309" s="25">
        <f>IF(Q309=1,IF(SUBSTITUTE(SUBSTITUTE(SUBSTITUTE(SUBSTITUTE(SUBSTITUTE(SUBSTITUTE(SUBSTITUTE(SUBSTITUTE(SUBSTITUTE(SUBSTITUTE(SUBSTITUTE(SUBSTITUTE(LOWER(TRIM(A309)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309)),"á","a"),"é","e"),"í","i"),"ó","o"),"ú","u"),"ü","u"),"ñ","n"),"à","a"),"è","e"),"ì","i"),"ò","o"),"ù","u")),"")</f>
        <v/>
      </c>
      <c r="Y309" s="25">
        <f>IF(X309="","",IF(IFERROR(COUNTIF(X$3:X309,"="&amp;SUBSTITUTE(SUBSTITUTE(SUBSTITUTE(X309,"~","~~"),"*","~*"),"?","~?")),0)=1,1,""))</f>
        <v/>
      </c>
      <c r="Z309" s="25">
        <f>IF(T309=1,MAX(Z$2:Z308)+1,"")</f>
        <v/>
      </c>
    </row>
    <row r="310">
      <c r="A310">
        <f>IF(A$2=0,"",IFERROR(TRIM(INDEX('Pegar calibracion'!$A$1:$BZ$1001,309,A$2)&amp;""),""))</f>
        <v/>
      </c>
      <c r="B310">
        <f>IF(B$2=0,"",IFERROR(TRIM(INDEX('Pegar calibracion'!$A$1:$BZ$1001,309,B$2)&amp;""),""))</f>
        <v/>
      </c>
      <c r="C310">
        <f>IF(C$2=0,"",IFERROR(TRIM(INDEX('Pegar calibracion'!$A$1:$BZ$1001,309,C$2)&amp;""),""))</f>
        <v/>
      </c>
      <c r="D310">
        <f>IF(D$2=0,"",IFERROR(TRIM(INDEX('Pegar calibracion'!$A$1:$BZ$1001,309,D$2)&amp;""),""))</f>
        <v/>
      </c>
      <c r="E310">
        <f>IF(E$2=0,"",IFERROR(TRIM(INDEX('Pegar calibracion'!$A$1:$BZ$1001,309,E$2)&amp;""),""))</f>
        <v/>
      </c>
      <c r="F310">
        <f>IF(F$2=0,"",IFERROR(TRIM(INDEX('Pegar calibracion'!$A$1:$BZ$1001,309,F$2)&amp;""),""))</f>
        <v/>
      </c>
      <c r="G310">
        <f>IF(G$2=0,"",IFERROR(TRIM(INDEX('Pegar calibracion'!$A$1:$BZ$1001,309,G$2)&amp;""),""))</f>
        <v/>
      </c>
      <c r="H310">
        <f>IF(H$2=0,"",IFERROR(TRIM(INDEX('Pegar calibracion'!$A$1:$BZ$1001,309,H$2)&amp;""),""))</f>
        <v/>
      </c>
      <c r="I310">
        <f>IF(I$2=0,"",IFERROR(TRIM(INDEX('Pegar calibracion'!$A$1:$BZ$1001,309,I$2)&amp;""),""))</f>
        <v/>
      </c>
      <c r="J310">
        <f>IF(J$2=0,"",IFERROR(TRIM(INDEX('Pegar calibracion'!$A$1:$BZ$1001,309,J$2)&amp;""),""))</f>
        <v/>
      </c>
      <c r="K310">
        <f>IF(K$2=0,"",IFERROR(TRIM(INDEX('Pegar calibracion'!$A$1:$BZ$1001,309,K$2)&amp;""),""))</f>
        <v/>
      </c>
      <c r="L310">
        <f>IF(L$2=0,"",IFERROR(TRIM(INDEX('Pegar calibracion'!$A$1:$BZ$1001,309,L$2)&amp;""),""))</f>
        <v/>
      </c>
      <c r="M310" s="25">
        <f>IF(D310="","",SUBSTITUTE(SUBSTITUTE(SUBSTITUTE(SUBSTITUTE(SUBSTITUTE(SUBSTITUTE(SUBSTITUTE(SUBSTITUTE(SUBSTITUTE(SUBSTITUTE(SUBSTITUTE(SUBSTITUTE(LOWER(TRIM(D310)),"á","a"),"é","e"),"í","i"),"ó","o"),"ú","u"),"ü","u"),"ñ","n"),"à","a"),"è","e"),"ì","i"),"ò","o"),"ù","u"))</f>
        <v/>
      </c>
      <c r="N310" s="25">
        <f>IF(F310="","",SUBSTITUTE(SUBSTITUTE(SUBSTITUTE(SUBSTITUTE(SUBSTITUTE(SUBSTITUTE(SUBSTITUTE(SUBSTITUTE(SUBSTITUTE(SUBSTITUTE(SUBSTITUTE(SUBSTITUTE(LOWER(TRIM(F310)),"á","a"),"é","e"),"í","i"),"ó","o"),"ú","u"),"ü","u"),"ñ","n"),"à","a"),"è","e"),"ì","i"),"ò","o"),"ù","u"))</f>
        <v/>
      </c>
      <c r="O310" s="25">
        <f>IF(M310="confiable",2,IF(M310="dudosa",1,IF(M310="no confiable",0,"")))</f>
        <v/>
      </c>
      <c r="P310" s="25">
        <f>IF(N310="confiable",2,IF(N310="dudosa",1,IF(N310="no confiable",0,"")))</f>
        <v/>
      </c>
      <c r="Q310" s="25">
        <f>IF(AND(ISNUMBER(O310),ISNUMBER(P310)),1,"")</f>
        <v/>
      </c>
      <c r="R310" s="25">
        <f>IF(Q310=1,IF(O310=P310,"Sí","No"),"")</f>
        <v/>
      </c>
      <c r="S310" s="25">
        <f>IF(Q310=1,IF(P310&lt;O310,"Más estricto",IF(P310&gt;O310,"Más permisivo","Igual")),"")</f>
        <v/>
      </c>
      <c r="T310" s="25">
        <f>IF(Q310=1,IF(ABS(O310-P310)=2,1,0),"")</f>
        <v/>
      </c>
      <c r="U310" s="25">
        <f>IF(H310="","","|"&amp;SUBSTITUTE(SUBSTITUTE(TRIM(H310)," |","|"),"| ","|")&amp;"|")</f>
        <v/>
      </c>
      <c r="V310" s="25">
        <f>IF(AND(Q310=1,B310&lt;&gt;""),IF(IFERROR(COUNTIFS(B$3:B310,"="&amp;SUBSTITUTE(SUBSTITUTE(SUBSTITUTE(B310,"~","~~"),"*","~*"),"?","~?"),Q$3:Q310,1),0)=1,MAX(V$2:V309)+1,""),"")</f>
        <v/>
      </c>
      <c r="W310" s="25">
        <f>IF(V310="","",COUNTIFS($B$3:$B$1002,"="&amp;SUBSTITUTE(SUBSTITUTE(SUBSTITUTE(B310,"~","~~"),"*","~*"),"?","~?"),$Q$3:$Q$1002,1)*10000-V310)</f>
        <v/>
      </c>
      <c r="X310" s="25">
        <f>IF(Q310=1,IF(SUBSTITUTE(SUBSTITUTE(SUBSTITUTE(SUBSTITUTE(SUBSTITUTE(SUBSTITUTE(SUBSTITUTE(SUBSTITUTE(SUBSTITUTE(SUBSTITUTE(SUBSTITUTE(SUBSTITUTE(LOWER(TRIM(A310)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310)),"á","a"),"é","e"),"í","i"),"ó","o"),"ú","u"),"ü","u"),"ñ","n"),"à","a"),"è","e"),"ì","i"),"ò","o"),"ù","u")),"")</f>
        <v/>
      </c>
      <c r="Y310" s="25">
        <f>IF(X310="","",IF(IFERROR(COUNTIF(X$3:X310,"="&amp;SUBSTITUTE(SUBSTITUTE(SUBSTITUTE(X310,"~","~~"),"*","~*"),"?","~?")),0)=1,1,""))</f>
        <v/>
      </c>
      <c r="Z310" s="25">
        <f>IF(T310=1,MAX(Z$2:Z309)+1,"")</f>
        <v/>
      </c>
    </row>
    <row r="311">
      <c r="A311">
        <f>IF(A$2=0,"",IFERROR(TRIM(INDEX('Pegar calibracion'!$A$1:$BZ$1001,310,A$2)&amp;""),""))</f>
        <v/>
      </c>
      <c r="B311">
        <f>IF(B$2=0,"",IFERROR(TRIM(INDEX('Pegar calibracion'!$A$1:$BZ$1001,310,B$2)&amp;""),""))</f>
        <v/>
      </c>
      <c r="C311">
        <f>IF(C$2=0,"",IFERROR(TRIM(INDEX('Pegar calibracion'!$A$1:$BZ$1001,310,C$2)&amp;""),""))</f>
        <v/>
      </c>
      <c r="D311">
        <f>IF(D$2=0,"",IFERROR(TRIM(INDEX('Pegar calibracion'!$A$1:$BZ$1001,310,D$2)&amp;""),""))</f>
        <v/>
      </c>
      <c r="E311">
        <f>IF(E$2=0,"",IFERROR(TRIM(INDEX('Pegar calibracion'!$A$1:$BZ$1001,310,E$2)&amp;""),""))</f>
        <v/>
      </c>
      <c r="F311">
        <f>IF(F$2=0,"",IFERROR(TRIM(INDEX('Pegar calibracion'!$A$1:$BZ$1001,310,F$2)&amp;""),""))</f>
        <v/>
      </c>
      <c r="G311">
        <f>IF(G$2=0,"",IFERROR(TRIM(INDEX('Pegar calibracion'!$A$1:$BZ$1001,310,G$2)&amp;""),""))</f>
        <v/>
      </c>
      <c r="H311">
        <f>IF(H$2=0,"",IFERROR(TRIM(INDEX('Pegar calibracion'!$A$1:$BZ$1001,310,H$2)&amp;""),""))</f>
        <v/>
      </c>
      <c r="I311">
        <f>IF(I$2=0,"",IFERROR(TRIM(INDEX('Pegar calibracion'!$A$1:$BZ$1001,310,I$2)&amp;""),""))</f>
        <v/>
      </c>
      <c r="J311">
        <f>IF(J$2=0,"",IFERROR(TRIM(INDEX('Pegar calibracion'!$A$1:$BZ$1001,310,J$2)&amp;""),""))</f>
        <v/>
      </c>
      <c r="K311">
        <f>IF(K$2=0,"",IFERROR(TRIM(INDEX('Pegar calibracion'!$A$1:$BZ$1001,310,K$2)&amp;""),""))</f>
        <v/>
      </c>
      <c r="L311">
        <f>IF(L$2=0,"",IFERROR(TRIM(INDEX('Pegar calibracion'!$A$1:$BZ$1001,310,L$2)&amp;""),""))</f>
        <v/>
      </c>
      <c r="M311" s="25">
        <f>IF(D311="","",SUBSTITUTE(SUBSTITUTE(SUBSTITUTE(SUBSTITUTE(SUBSTITUTE(SUBSTITUTE(SUBSTITUTE(SUBSTITUTE(SUBSTITUTE(SUBSTITUTE(SUBSTITUTE(SUBSTITUTE(LOWER(TRIM(D311)),"á","a"),"é","e"),"í","i"),"ó","o"),"ú","u"),"ü","u"),"ñ","n"),"à","a"),"è","e"),"ì","i"),"ò","o"),"ù","u"))</f>
        <v/>
      </c>
      <c r="N311" s="25">
        <f>IF(F311="","",SUBSTITUTE(SUBSTITUTE(SUBSTITUTE(SUBSTITUTE(SUBSTITUTE(SUBSTITUTE(SUBSTITUTE(SUBSTITUTE(SUBSTITUTE(SUBSTITUTE(SUBSTITUTE(SUBSTITUTE(LOWER(TRIM(F311)),"á","a"),"é","e"),"í","i"),"ó","o"),"ú","u"),"ü","u"),"ñ","n"),"à","a"),"è","e"),"ì","i"),"ò","o"),"ù","u"))</f>
        <v/>
      </c>
      <c r="O311" s="25">
        <f>IF(M311="confiable",2,IF(M311="dudosa",1,IF(M311="no confiable",0,"")))</f>
        <v/>
      </c>
      <c r="P311" s="25">
        <f>IF(N311="confiable",2,IF(N311="dudosa",1,IF(N311="no confiable",0,"")))</f>
        <v/>
      </c>
      <c r="Q311" s="25">
        <f>IF(AND(ISNUMBER(O311),ISNUMBER(P311)),1,"")</f>
        <v/>
      </c>
      <c r="R311" s="25">
        <f>IF(Q311=1,IF(O311=P311,"Sí","No"),"")</f>
        <v/>
      </c>
      <c r="S311" s="25">
        <f>IF(Q311=1,IF(P311&lt;O311,"Más estricto",IF(P311&gt;O311,"Más permisivo","Igual")),"")</f>
        <v/>
      </c>
      <c r="T311" s="25">
        <f>IF(Q311=1,IF(ABS(O311-P311)=2,1,0),"")</f>
        <v/>
      </c>
      <c r="U311" s="25">
        <f>IF(H311="","","|"&amp;SUBSTITUTE(SUBSTITUTE(TRIM(H311)," |","|"),"| ","|")&amp;"|")</f>
        <v/>
      </c>
      <c r="V311" s="25">
        <f>IF(AND(Q311=1,B311&lt;&gt;""),IF(IFERROR(COUNTIFS(B$3:B311,"="&amp;SUBSTITUTE(SUBSTITUTE(SUBSTITUTE(B311,"~","~~"),"*","~*"),"?","~?"),Q$3:Q311,1),0)=1,MAX(V$2:V310)+1,""),"")</f>
        <v/>
      </c>
      <c r="W311" s="25">
        <f>IF(V311="","",COUNTIFS($B$3:$B$1002,"="&amp;SUBSTITUTE(SUBSTITUTE(SUBSTITUTE(B311,"~","~~"),"*","~*"),"?","~?"),$Q$3:$Q$1002,1)*10000-V311)</f>
        <v/>
      </c>
      <c r="X311" s="25">
        <f>IF(Q311=1,IF(SUBSTITUTE(SUBSTITUTE(SUBSTITUTE(SUBSTITUTE(SUBSTITUTE(SUBSTITUTE(SUBSTITUTE(SUBSTITUTE(SUBSTITUTE(SUBSTITUTE(SUBSTITUTE(SUBSTITUTE(LOWER(TRIM(A311)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311)),"á","a"),"é","e"),"í","i"),"ó","o"),"ú","u"),"ü","u"),"ñ","n"),"à","a"),"è","e"),"ì","i"),"ò","o"),"ù","u")),"")</f>
        <v/>
      </c>
      <c r="Y311" s="25">
        <f>IF(X311="","",IF(IFERROR(COUNTIF(X$3:X311,"="&amp;SUBSTITUTE(SUBSTITUTE(SUBSTITUTE(X311,"~","~~"),"*","~*"),"?","~?")),0)=1,1,""))</f>
        <v/>
      </c>
      <c r="Z311" s="25">
        <f>IF(T311=1,MAX(Z$2:Z310)+1,"")</f>
        <v/>
      </c>
    </row>
    <row r="312">
      <c r="A312">
        <f>IF(A$2=0,"",IFERROR(TRIM(INDEX('Pegar calibracion'!$A$1:$BZ$1001,311,A$2)&amp;""),""))</f>
        <v/>
      </c>
      <c r="B312">
        <f>IF(B$2=0,"",IFERROR(TRIM(INDEX('Pegar calibracion'!$A$1:$BZ$1001,311,B$2)&amp;""),""))</f>
        <v/>
      </c>
      <c r="C312">
        <f>IF(C$2=0,"",IFERROR(TRIM(INDEX('Pegar calibracion'!$A$1:$BZ$1001,311,C$2)&amp;""),""))</f>
        <v/>
      </c>
      <c r="D312">
        <f>IF(D$2=0,"",IFERROR(TRIM(INDEX('Pegar calibracion'!$A$1:$BZ$1001,311,D$2)&amp;""),""))</f>
        <v/>
      </c>
      <c r="E312">
        <f>IF(E$2=0,"",IFERROR(TRIM(INDEX('Pegar calibracion'!$A$1:$BZ$1001,311,E$2)&amp;""),""))</f>
        <v/>
      </c>
      <c r="F312">
        <f>IF(F$2=0,"",IFERROR(TRIM(INDEX('Pegar calibracion'!$A$1:$BZ$1001,311,F$2)&amp;""),""))</f>
        <v/>
      </c>
      <c r="G312">
        <f>IF(G$2=0,"",IFERROR(TRIM(INDEX('Pegar calibracion'!$A$1:$BZ$1001,311,G$2)&amp;""),""))</f>
        <v/>
      </c>
      <c r="H312">
        <f>IF(H$2=0,"",IFERROR(TRIM(INDEX('Pegar calibracion'!$A$1:$BZ$1001,311,H$2)&amp;""),""))</f>
        <v/>
      </c>
      <c r="I312">
        <f>IF(I$2=0,"",IFERROR(TRIM(INDEX('Pegar calibracion'!$A$1:$BZ$1001,311,I$2)&amp;""),""))</f>
        <v/>
      </c>
      <c r="J312">
        <f>IF(J$2=0,"",IFERROR(TRIM(INDEX('Pegar calibracion'!$A$1:$BZ$1001,311,J$2)&amp;""),""))</f>
        <v/>
      </c>
      <c r="K312">
        <f>IF(K$2=0,"",IFERROR(TRIM(INDEX('Pegar calibracion'!$A$1:$BZ$1001,311,K$2)&amp;""),""))</f>
        <v/>
      </c>
      <c r="L312">
        <f>IF(L$2=0,"",IFERROR(TRIM(INDEX('Pegar calibracion'!$A$1:$BZ$1001,311,L$2)&amp;""),""))</f>
        <v/>
      </c>
      <c r="M312" s="25">
        <f>IF(D312="","",SUBSTITUTE(SUBSTITUTE(SUBSTITUTE(SUBSTITUTE(SUBSTITUTE(SUBSTITUTE(SUBSTITUTE(SUBSTITUTE(SUBSTITUTE(SUBSTITUTE(SUBSTITUTE(SUBSTITUTE(LOWER(TRIM(D312)),"á","a"),"é","e"),"í","i"),"ó","o"),"ú","u"),"ü","u"),"ñ","n"),"à","a"),"è","e"),"ì","i"),"ò","o"),"ù","u"))</f>
        <v/>
      </c>
      <c r="N312" s="25">
        <f>IF(F312="","",SUBSTITUTE(SUBSTITUTE(SUBSTITUTE(SUBSTITUTE(SUBSTITUTE(SUBSTITUTE(SUBSTITUTE(SUBSTITUTE(SUBSTITUTE(SUBSTITUTE(SUBSTITUTE(SUBSTITUTE(LOWER(TRIM(F312)),"á","a"),"é","e"),"í","i"),"ó","o"),"ú","u"),"ü","u"),"ñ","n"),"à","a"),"è","e"),"ì","i"),"ò","o"),"ù","u"))</f>
        <v/>
      </c>
      <c r="O312" s="25">
        <f>IF(M312="confiable",2,IF(M312="dudosa",1,IF(M312="no confiable",0,"")))</f>
        <v/>
      </c>
      <c r="P312" s="25">
        <f>IF(N312="confiable",2,IF(N312="dudosa",1,IF(N312="no confiable",0,"")))</f>
        <v/>
      </c>
      <c r="Q312" s="25">
        <f>IF(AND(ISNUMBER(O312),ISNUMBER(P312)),1,"")</f>
        <v/>
      </c>
      <c r="R312" s="25">
        <f>IF(Q312=1,IF(O312=P312,"Sí","No"),"")</f>
        <v/>
      </c>
      <c r="S312" s="25">
        <f>IF(Q312=1,IF(P312&lt;O312,"Más estricto",IF(P312&gt;O312,"Más permisivo","Igual")),"")</f>
        <v/>
      </c>
      <c r="T312" s="25">
        <f>IF(Q312=1,IF(ABS(O312-P312)=2,1,0),"")</f>
        <v/>
      </c>
      <c r="U312" s="25">
        <f>IF(H312="","","|"&amp;SUBSTITUTE(SUBSTITUTE(TRIM(H312)," |","|"),"| ","|")&amp;"|")</f>
        <v/>
      </c>
      <c r="V312" s="25">
        <f>IF(AND(Q312=1,B312&lt;&gt;""),IF(IFERROR(COUNTIFS(B$3:B312,"="&amp;SUBSTITUTE(SUBSTITUTE(SUBSTITUTE(B312,"~","~~"),"*","~*"),"?","~?"),Q$3:Q312,1),0)=1,MAX(V$2:V311)+1,""),"")</f>
        <v/>
      </c>
      <c r="W312" s="25">
        <f>IF(V312="","",COUNTIFS($B$3:$B$1002,"="&amp;SUBSTITUTE(SUBSTITUTE(SUBSTITUTE(B312,"~","~~"),"*","~*"),"?","~?"),$Q$3:$Q$1002,1)*10000-V312)</f>
        <v/>
      </c>
      <c r="X312" s="25">
        <f>IF(Q312=1,IF(SUBSTITUTE(SUBSTITUTE(SUBSTITUTE(SUBSTITUTE(SUBSTITUTE(SUBSTITUTE(SUBSTITUTE(SUBSTITUTE(SUBSTITUTE(SUBSTITUTE(SUBSTITUTE(SUBSTITUTE(LOWER(TRIM(A312)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312)),"á","a"),"é","e"),"í","i"),"ó","o"),"ú","u"),"ü","u"),"ñ","n"),"à","a"),"è","e"),"ì","i"),"ò","o"),"ù","u")),"")</f>
        <v/>
      </c>
      <c r="Y312" s="25">
        <f>IF(X312="","",IF(IFERROR(COUNTIF(X$3:X312,"="&amp;SUBSTITUTE(SUBSTITUTE(SUBSTITUTE(X312,"~","~~"),"*","~*"),"?","~?")),0)=1,1,""))</f>
        <v/>
      </c>
      <c r="Z312" s="25">
        <f>IF(T312=1,MAX(Z$2:Z311)+1,"")</f>
        <v/>
      </c>
    </row>
    <row r="313">
      <c r="A313">
        <f>IF(A$2=0,"",IFERROR(TRIM(INDEX('Pegar calibracion'!$A$1:$BZ$1001,312,A$2)&amp;""),""))</f>
        <v/>
      </c>
      <c r="B313">
        <f>IF(B$2=0,"",IFERROR(TRIM(INDEX('Pegar calibracion'!$A$1:$BZ$1001,312,B$2)&amp;""),""))</f>
        <v/>
      </c>
      <c r="C313">
        <f>IF(C$2=0,"",IFERROR(TRIM(INDEX('Pegar calibracion'!$A$1:$BZ$1001,312,C$2)&amp;""),""))</f>
        <v/>
      </c>
      <c r="D313">
        <f>IF(D$2=0,"",IFERROR(TRIM(INDEX('Pegar calibracion'!$A$1:$BZ$1001,312,D$2)&amp;""),""))</f>
        <v/>
      </c>
      <c r="E313">
        <f>IF(E$2=0,"",IFERROR(TRIM(INDEX('Pegar calibracion'!$A$1:$BZ$1001,312,E$2)&amp;""),""))</f>
        <v/>
      </c>
      <c r="F313">
        <f>IF(F$2=0,"",IFERROR(TRIM(INDEX('Pegar calibracion'!$A$1:$BZ$1001,312,F$2)&amp;""),""))</f>
        <v/>
      </c>
      <c r="G313">
        <f>IF(G$2=0,"",IFERROR(TRIM(INDEX('Pegar calibracion'!$A$1:$BZ$1001,312,G$2)&amp;""),""))</f>
        <v/>
      </c>
      <c r="H313">
        <f>IF(H$2=0,"",IFERROR(TRIM(INDEX('Pegar calibracion'!$A$1:$BZ$1001,312,H$2)&amp;""),""))</f>
        <v/>
      </c>
      <c r="I313">
        <f>IF(I$2=0,"",IFERROR(TRIM(INDEX('Pegar calibracion'!$A$1:$BZ$1001,312,I$2)&amp;""),""))</f>
        <v/>
      </c>
      <c r="J313">
        <f>IF(J$2=0,"",IFERROR(TRIM(INDEX('Pegar calibracion'!$A$1:$BZ$1001,312,J$2)&amp;""),""))</f>
        <v/>
      </c>
      <c r="K313">
        <f>IF(K$2=0,"",IFERROR(TRIM(INDEX('Pegar calibracion'!$A$1:$BZ$1001,312,K$2)&amp;""),""))</f>
        <v/>
      </c>
      <c r="L313">
        <f>IF(L$2=0,"",IFERROR(TRIM(INDEX('Pegar calibracion'!$A$1:$BZ$1001,312,L$2)&amp;""),""))</f>
        <v/>
      </c>
      <c r="M313" s="25">
        <f>IF(D313="","",SUBSTITUTE(SUBSTITUTE(SUBSTITUTE(SUBSTITUTE(SUBSTITUTE(SUBSTITUTE(SUBSTITUTE(SUBSTITUTE(SUBSTITUTE(SUBSTITUTE(SUBSTITUTE(SUBSTITUTE(LOWER(TRIM(D313)),"á","a"),"é","e"),"í","i"),"ó","o"),"ú","u"),"ü","u"),"ñ","n"),"à","a"),"è","e"),"ì","i"),"ò","o"),"ù","u"))</f>
        <v/>
      </c>
      <c r="N313" s="25">
        <f>IF(F313="","",SUBSTITUTE(SUBSTITUTE(SUBSTITUTE(SUBSTITUTE(SUBSTITUTE(SUBSTITUTE(SUBSTITUTE(SUBSTITUTE(SUBSTITUTE(SUBSTITUTE(SUBSTITUTE(SUBSTITUTE(LOWER(TRIM(F313)),"á","a"),"é","e"),"í","i"),"ó","o"),"ú","u"),"ü","u"),"ñ","n"),"à","a"),"è","e"),"ì","i"),"ò","o"),"ù","u"))</f>
        <v/>
      </c>
      <c r="O313" s="25">
        <f>IF(M313="confiable",2,IF(M313="dudosa",1,IF(M313="no confiable",0,"")))</f>
        <v/>
      </c>
      <c r="P313" s="25">
        <f>IF(N313="confiable",2,IF(N313="dudosa",1,IF(N313="no confiable",0,"")))</f>
        <v/>
      </c>
      <c r="Q313" s="25">
        <f>IF(AND(ISNUMBER(O313),ISNUMBER(P313)),1,"")</f>
        <v/>
      </c>
      <c r="R313" s="25">
        <f>IF(Q313=1,IF(O313=P313,"Sí","No"),"")</f>
        <v/>
      </c>
      <c r="S313" s="25">
        <f>IF(Q313=1,IF(P313&lt;O313,"Más estricto",IF(P313&gt;O313,"Más permisivo","Igual")),"")</f>
        <v/>
      </c>
      <c r="T313" s="25">
        <f>IF(Q313=1,IF(ABS(O313-P313)=2,1,0),"")</f>
        <v/>
      </c>
      <c r="U313" s="25">
        <f>IF(H313="","","|"&amp;SUBSTITUTE(SUBSTITUTE(TRIM(H313)," |","|"),"| ","|")&amp;"|")</f>
        <v/>
      </c>
      <c r="V313" s="25">
        <f>IF(AND(Q313=1,B313&lt;&gt;""),IF(IFERROR(COUNTIFS(B$3:B313,"="&amp;SUBSTITUTE(SUBSTITUTE(SUBSTITUTE(B313,"~","~~"),"*","~*"),"?","~?"),Q$3:Q313,1),0)=1,MAX(V$2:V312)+1,""),"")</f>
        <v/>
      </c>
      <c r="W313" s="25">
        <f>IF(V313="","",COUNTIFS($B$3:$B$1002,"="&amp;SUBSTITUTE(SUBSTITUTE(SUBSTITUTE(B313,"~","~~"),"*","~*"),"?","~?"),$Q$3:$Q$1002,1)*10000-V313)</f>
        <v/>
      </c>
      <c r="X313" s="25">
        <f>IF(Q313=1,IF(SUBSTITUTE(SUBSTITUTE(SUBSTITUTE(SUBSTITUTE(SUBSTITUTE(SUBSTITUTE(SUBSTITUTE(SUBSTITUTE(SUBSTITUTE(SUBSTITUTE(SUBSTITUTE(SUBSTITUTE(LOWER(TRIM(A313)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313)),"á","a"),"é","e"),"í","i"),"ó","o"),"ú","u"),"ü","u"),"ñ","n"),"à","a"),"è","e"),"ì","i"),"ò","o"),"ù","u")),"")</f>
        <v/>
      </c>
      <c r="Y313" s="25">
        <f>IF(X313="","",IF(IFERROR(COUNTIF(X$3:X313,"="&amp;SUBSTITUTE(SUBSTITUTE(SUBSTITUTE(X313,"~","~~"),"*","~*"),"?","~?")),0)=1,1,""))</f>
        <v/>
      </c>
      <c r="Z313" s="25">
        <f>IF(T313=1,MAX(Z$2:Z312)+1,"")</f>
        <v/>
      </c>
    </row>
    <row r="314">
      <c r="A314">
        <f>IF(A$2=0,"",IFERROR(TRIM(INDEX('Pegar calibracion'!$A$1:$BZ$1001,313,A$2)&amp;""),""))</f>
        <v/>
      </c>
      <c r="B314">
        <f>IF(B$2=0,"",IFERROR(TRIM(INDEX('Pegar calibracion'!$A$1:$BZ$1001,313,B$2)&amp;""),""))</f>
        <v/>
      </c>
      <c r="C314">
        <f>IF(C$2=0,"",IFERROR(TRIM(INDEX('Pegar calibracion'!$A$1:$BZ$1001,313,C$2)&amp;""),""))</f>
        <v/>
      </c>
      <c r="D314">
        <f>IF(D$2=0,"",IFERROR(TRIM(INDEX('Pegar calibracion'!$A$1:$BZ$1001,313,D$2)&amp;""),""))</f>
        <v/>
      </c>
      <c r="E314">
        <f>IF(E$2=0,"",IFERROR(TRIM(INDEX('Pegar calibracion'!$A$1:$BZ$1001,313,E$2)&amp;""),""))</f>
        <v/>
      </c>
      <c r="F314">
        <f>IF(F$2=0,"",IFERROR(TRIM(INDEX('Pegar calibracion'!$A$1:$BZ$1001,313,F$2)&amp;""),""))</f>
        <v/>
      </c>
      <c r="G314">
        <f>IF(G$2=0,"",IFERROR(TRIM(INDEX('Pegar calibracion'!$A$1:$BZ$1001,313,G$2)&amp;""),""))</f>
        <v/>
      </c>
      <c r="H314">
        <f>IF(H$2=0,"",IFERROR(TRIM(INDEX('Pegar calibracion'!$A$1:$BZ$1001,313,H$2)&amp;""),""))</f>
        <v/>
      </c>
      <c r="I314">
        <f>IF(I$2=0,"",IFERROR(TRIM(INDEX('Pegar calibracion'!$A$1:$BZ$1001,313,I$2)&amp;""),""))</f>
        <v/>
      </c>
      <c r="J314">
        <f>IF(J$2=0,"",IFERROR(TRIM(INDEX('Pegar calibracion'!$A$1:$BZ$1001,313,J$2)&amp;""),""))</f>
        <v/>
      </c>
      <c r="K314">
        <f>IF(K$2=0,"",IFERROR(TRIM(INDEX('Pegar calibracion'!$A$1:$BZ$1001,313,K$2)&amp;""),""))</f>
        <v/>
      </c>
      <c r="L314">
        <f>IF(L$2=0,"",IFERROR(TRIM(INDEX('Pegar calibracion'!$A$1:$BZ$1001,313,L$2)&amp;""),""))</f>
        <v/>
      </c>
      <c r="M314" s="25">
        <f>IF(D314="","",SUBSTITUTE(SUBSTITUTE(SUBSTITUTE(SUBSTITUTE(SUBSTITUTE(SUBSTITUTE(SUBSTITUTE(SUBSTITUTE(SUBSTITUTE(SUBSTITUTE(SUBSTITUTE(SUBSTITUTE(LOWER(TRIM(D314)),"á","a"),"é","e"),"í","i"),"ó","o"),"ú","u"),"ü","u"),"ñ","n"),"à","a"),"è","e"),"ì","i"),"ò","o"),"ù","u"))</f>
        <v/>
      </c>
      <c r="N314" s="25">
        <f>IF(F314="","",SUBSTITUTE(SUBSTITUTE(SUBSTITUTE(SUBSTITUTE(SUBSTITUTE(SUBSTITUTE(SUBSTITUTE(SUBSTITUTE(SUBSTITUTE(SUBSTITUTE(SUBSTITUTE(SUBSTITUTE(LOWER(TRIM(F314)),"á","a"),"é","e"),"í","i"),"ó","o"),"ú","u"),"ü","u"),"ñ","n"),"à","a"),"è","e"),"ì","i"),"ò","o"),"ù","u"))</f>
        <v/>
      </c>
      <c r="O314" s="25">
        <f>IF(M314="confiable",2,IF(M314="dudosa",1,IF(M314="no confiable",0,"")))</f>
        <v/>
      </c>
      <c r="P314" s="25">
        <f>IF(N314="confiable",2,IF(N314="dudosa",1,IF(N314="no confiable",0,"")))</f>
        <v/>
      </c>
      <c r="Q314" s="25">
        <f>IF(AND(ISNUMBER(O314),ISNUMBER(P314)),1,"")</f>
        <v/>
      </c>
      <c r="R314" s="25">
        <f>IF(Q314=1,IF(O314=P314,"Sí","No"),"")</f>
        <v/>
      </c>
      <c r="S314" s="25">
        <f>IF(Q314=1,IF(P314&lt;O314,"Más estricto",IF(P314&gt;O314,"Más permisivo","Igual")),"")</f>
        <v/>
      </c>
      <c r="T314" s="25">
        <f>IF(Q314=1,IF(ABS(O314-P314)=2,1,0),"")</f>
        <v/>
      </c>
      <c r="U314" s="25">
        <f>IF(H314="","","|"&amp;SUBSTITUTE(SUBSTITUTE(TRIM(H314)," |","|"),"| ","|")&amp;"|")</f>
        <v/>
      </c>
      <c r="V314" s="25">
        <f>IF(AND(Q314=1,B314&lt;&gt;""),IF(IFERROR(COUNTIFS(B$3:B314,"="&amp;SUBSTITUTE(SUBSTITUTE(SUBSTITUTE(B314,"~","~~"),"*","~*"),"?","~?"),Q$3:Q314,1),0)=1,MAX(V$2:V313)+1,""),"")</f>
        <v/>
      </c>
      <c r="W314" s="25">
        <f>IF(V314="","",COUNTIFS($B$3:$B$1002,"="&amp;SUBSTITUTE(SUBSTITUTE(SUBSTITUTE(B314,"~","~~"),"*","~*"),"?","~?"),$Q$3:$Q$1002,1)*10000-V314)</f>
        <v/>
      </c>
      <c r="X314" s="25">
        <f>IF(Q314=1,IF(SUBSTITUTE(SUBSTITUTE(SUBSTITUTE(SUBSTITUTE(SUBSTITUTE(SUBSTITUTE(SUBSTITUTE(SUBSTITUTE(SUBSTITUTE(SUBSTITUTE(SUBSTITUTE(SUBSTITUTE(LOWER(TRIM(A314)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314)),"á","a"),"é","e"),"í","i"),"ó","o"),"ú","u"),"ü","u"),"ñ","n"),"à","a"),"è","e"),"ì","i"),"ò","o"),"ù","u")),"")</f>
        <v/>
      </c>
      <c r="Y314" s="25">
        <f>IF(X314="","",IF(IFERROR(COUNTIF(X$3:X314,"="&amp;SUBSTITUTE(SUBSTITUTE(SUBSTITUTE(X314,"~","~~"),"*","~*"),"?","~?")),0)=1,1,""))</f>
        <v/>
      </c>
      <c r="Z314" s="25">
        <f>IF(T314=1,MAX(Z$2:Z313)+1,"")</f>
        <v/>
      </c>
    </row>
    <row r="315">
      <c r="A315">
        <f>IF(A$2=0,"",IFERROR(TRIM(INDEX('Pegar calibracion'!$A$1:$BZ$1001,314,A$2)&amp;""),""))</f>
        <v/>
      </c>
      <c r="B315">
        <f>IF(B$2=0,"",IFERROR(TRIM(INDEX('Pegar calibracion'!$A$1:$BZ$1001,314,B$2)&amp;""),""))</f>
        <v/>
      </c>
      <c r="C315">
        <f>IF(C$2=0,"",IFERROR(TRIM(INDEX('Pegar calibracion'!$A$1:$BZ$1001,314,C$2)&amp;""),""))</f>
        <v/>
      </c>
      <c r="D315">
        <f>IF(D$2=0,"",IFERROR(TRIM(INDEX('Pegar calibracion'!$A$1:$BZ$1001,314,D$2)&amp;""),""))</f>
        <v/>
      </c>
      <c r="E315">
        <f>IF(E$2=0,"",IFERROR(TRIM(INDEX('Pegar calibracion'!$A$1:$BZ$1001,314,E$2)&amp;""),""))</f>
        <v/>
      </c>
      <c r="F315">
        <f>IF(F$2=0,"",IFERROR(TRIM(INDEX('Pegar calibracion'!$A$1:$BZ$1001,314,F$2)&amp;""),""))</f>
        <v/>
      </c>
      <c r="G315">
        <f>IF(G$2=0,"",IFERROR(TRIM(INDEX('Pegar calibracion'!$A$1:$BZ$1001,314,G$2)&amp;""),""))</f>
        <v/>
      </c>
      <c r="H315">
        <f>IF(H$2=0,"",IFERROR(TRIM(INDEX('Pegar calibracion'!$A$1:$BZ$1001,314,H$2)&amp;""),""))</f>
        <v/>
      </c>
      <c r="I315">
        <f>IF(I$2=0,"",IFERROR(TRIM(INDEX('Pegar calibracion'!$A$1:$BZ$1001,314,I$2)&amp;""),""))</f>
        <v/>
      </c>
      <c r="J315">
        <f>IF(J$2=0,"",IFERROR(TRIM(INDEX('Pegar calibracion'!$A$1:$BZ$1001,314,J$2)&amp;""),""))</f>
        <v/>
      </c>
      <c r="K315">
        <f>IF(K$2=0,"",IFERROR(TRIM(INDEX('Pegar calibracion'!$A$1:$BZ$1001,314,K$2)&amp;""),""))</f>
        <v/>
      </c>
      <c r="L315">
        <f>IF(L$2=0,"",IFERROR(TRIM(INDEX('Pegar calibracion'!$A$1:$BZ$1001,314,L$2)&amp;""),""))</f>
        <v/>
      </c>
      <c r="M315" s="25">
        <f>IF(D315="","",SUBSTITUTE(SUBSTITUTE(SUBSTITUTE(SUBSTITUTE(SUBSTITUTE(SUBSTITUTE(SUBSTITUTE(SUBSTITUTE(SUBSTITUTE(SUBSTITUTE(SUBSTITUTE(SUBSTITUTE(LOWER(TRIM(D315)),"á","a"),"é","e"),"í","i"),"ó","o"),"ú","u"),"ü","u"),"ñ","n"),"à","a"),"è","e"),"ì","i"),"ò","o"),"ù","u"))</f>
        <v/>
      </c>
      <c r="N315" s="25">
        <f>IF(F315="","",SUBSTITUTE(SUBSTITUTE(SUBSTITUTE(SUBSTITUTE(SUBSTITUTE(SUBSTITUTE(SUBSTITUTE(SUBSTITUTE(SUBSTITUTE(SUBSTITUTE(SUBSTITUTE(SUBSTITUTE(LOWER(TRIM(F315)),"á","a"),"é","e"),"í","i"),"ó","o"),"ú","u"),"ü","u"),"ñ","n"),"à","a"),"è","e"),"ì","i"),"ò","o"),"ù","u"))</f>
        <v/>
      </c>
      <c r="O315" s="25">
        <f>IF(M315="confiable",2,IF(M315="dudosa",1,IF(M315="no confiable",0,"")))</f>
        <v/>
      </c>
      <c r="P315" s="25">
        <f>IF(N315="confiable",2,IF(N315="dudosa",1,IF(N315="no confiable",0,"")))</f>
        <v/>
      </c>
      <c r="Q315" s="25">
        <f>IF(AND(ISNUMBER(O315),ISNUMBER(P315)),1,"")</f>
        <v/>
      </c>
      <c r="R315" s="25">
        <f>IF(Q315=1,IF(O315=P315,"Sí","No"),"")</f>
        <v/>
      </c>
      <c r="S315" s="25">
        <f>IF(Q315=1,IF(P315&lt;O315,"Más estricto",IF(P315&gt;O315,"Más permisivo","Igual")),"")</f>
        <v/>
      </c>
      <c r="T315" s="25">
        <f>IF(Q315=1,IF(ABS(O315-P315)=2,1,0),"")</f>
        <v/>
      </c>
      <c r="U315" s="25">
        <f>IF(H315="","","|"&amp;SUBSTITUTE(SUBSTITUTE(TRIM(H315)," |","|"),"| ","|")&amp;"|")</f>
        <v/>
      </c>
      <c r="V315" s="25">
        <f>IF(AND(Q315=1,B315&lt;&gt;""),IF(IFERROR(COUNTIFS(B$3:B315,"="&amp;SUBSTITUTE(SUBSTITUTE(SUBSTITUTE(B315,"~","~~"),"*","~*"),"?","~?"),Q$3:Q315,1),0)=1,MAX(V$2:V314)+1,""),"")</f>
        <v/>
      </c>
      <c r="W315" s="25">
        <f>IF(V315="","",COUNTIFS($B$3:$B$1002,"="&amp;SUBSTITUTE(SUBSTITUTE(SUBSTITUTE(B315,"~","~~"),"*","~*"),"?","~?"),$Q$3:$Q$1002,1)*10000-V315)</f>
        <v/>
      </c>
      <c r="X315" s="25">
        <f>IF(Q315=1,IF(SUBSTITUTE(SUBSTITUTE(SUBSTITUTE(SUBSTITUTE(SUBSTITUTE(SUBSTITUTE(SUBSTITUTE(SUBSTITUTE(SUBSTITUTE(SUBSTITUTE(SUBSTITUTE(SUBSTITUTE(LOWER(TRIM(A315)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315)),"á","a"),"é","e"),"í","i"),"ó","o"),"ú","u"),"ü","u"),"ñ","n"),"à","a"),"è","e"),"ì","i"),"ò","o"),"ù","u")),"")</f>
        <v/>
      </c>
      <c r="Y315" s="25">
        <f>IF(X315="","",IF(IFERROR(COUNTIF(X$3:X315,"="&amp;SUBSTITUTE(SUBSTITUTE(SUBSTITUTE(X315,"~","~~"),"*","~*"),"?","~?")),0)=1,1,""))</f>
        <v/>
      </c>
      <c r="Z315" s="25">
        <f>IF(T315=1,MAX(Z$2:Z314)+1,"")</f>
        <v/>
      </c>
    </row>
    <row r="316">
      <c r="A316">
        <f>IF(A$2=0,"",IFERROR(TRIM(INDEX('Pegar calibracion'!$A$1:$BZ$1001,315,A$2)&amp;""),""))</f>
        <v/>
      </c>
      <c r="B316">
        <f>IF(B$2=0,"",IFERROR(TRIM(INDEX('Pegar calibracion'!$A$1:$BZ$1001,315,B$2)&amp;""),""))</f>
        <v/>
      </c>
      <c r="C316">
        <f>IF(C$2=0,"",IFERROR(TRIM(INDEX('Pegar calibracion'!$A$1:$BZ$1001,315,C$2)&amp;""),""))</f>
        <v/>
      </c>
      <c r="D316">
        <f>IF(D$2=0,"",IFERROR(TRIM(INDEX('Pegar calibracion'!$A$1:$BZ$1001,315,D$2)&amp;""),""))</f>
        <v/>
      </c>
      <c r="E316">
        <f>IF(E$2=0,"",IFERROR(TRIM(INDEX('Pegar calibracion'!$A$1:$BZ$1001,315,E$2)&amp;""),""))</f>
        <v/>
      </c>
      <c r="F316">
        <f>IF(F$2=0,"",IFERROR(TRIM(INDEX('Pegar calibracion'!$A$1:$BZ$1001,315,F$2)&amp;""),""))</f>
        <v/>
      </c>
      <c r="G316">
        <f>IF(G$2=0,"",IFERROR(TRIM(INDEX('Pegar calibracion'!$A$1:$BZ$1001,315,G$2)&amp;""),""))</f>
        <v/>
      </c>
      <c r="H316">
        <f>IF(H$2=0,"",IFERROR(TRIM(INDEX('Pegar calibracion'!$A$1:$BZ$1001,315,H$2)&amp;""),""))</f>
        <v/>
      </c>
      <c r="I316">
        <f>IF(I$2=0,"",IFERROR(TRIM(INDEX('Pegar calibracion'!$A$1:$BZ$1001,315,I$2)&amp;""),""))</f>
        <v/>
      </c>
      <c r="J316">
        <f>IF(J$2=0,"",IFERROR(TRIM(INDEX('Pegar calibracion'!$A$1:$BZ$1001,315,J$2)&amp;""),""))</f>
        <v/>
      </c>
      <c r="K316">
        <f>IF(K$2=0,"",IFERROR(TRIM(INDEX('Pegar calibracion'!$A$1:$BZ$1001,315,K$2)&amp;""),""))</f>
        <v/>
      </c>
      <c r="L316">
        <f>IF(L$2=0,"",IFERROR(TRIM(INDEX('Pegar calibracion'!$A$1:$BZ$1001,315,L$2)&amp;""),""))</f>
        <v/>
      </c>
      <c r="M316" s="25">
        <f>IF(D316="","",SUBSTITUTE(SUBSTITUTE(SUBSTITUTE(SUBSTITUTE(SUBSTITUTE(SUBSTITUTE(SUBSTITUTE(SUBSTITUTE(SUBSTITUTE(SUBSTITUTE(SUBSTITUTE(SUBSTITUTE(LOWER(TRIM(D316)),"á","a"),"é","e"),"í","i"),"ó","o"),"ú","u"),"ü","u"),"ñ","n"),"à","a"),"è","e"),"ì","i"),"ò","o"),"ù","u"))</f>
        <v/>
      </c>
      <c r="N316" s="25">
        <f>IF(F316="","",SUBSTITUTE(SUBSTITUTE(SUBSTITUTE(SUBSTITUTE(SUBSTITUTE(SUBSTITUTE(SUBSTITUTE(SUBSTITUTE(SUBSTITUTE(SUBSTITUTE(SUBSTITUTE(SUBSTITUTE(LOWER(TRIM(F316)),"á","a"),"é","e"),"í","i"),"ó","o"),"ú","u"),"ü","u"),"ñ","n"),"à","a"),"è","e"),"ì","i"),"ò","o"),"ù","u"))</f>
        <v/>
      </c>
      <c r="O316" s="25">
        <f>IF(M316="confiable",2,IF(M316="dudosa",1,IF(M316="no confiable",0,"")))</f>
        <v/>
      </c>
      <c r="P316" s="25">
        <f>IF(N316="confiable",2,IF(N316="dudosa",1,IF(N316="no confiable",0,"")))</f>
        <v/>
      </c>
      <c r="Q316" s="25">
        <f>IF(AND(ISNUMBER(O316),ISNUMBER(P316)),1,"")</f>
        <v/>
      </c>
      <c r="R316" s="25">
        <f>IF(Q316=1,IF(O316=P316,"Sí","No"),"")</f>
        <v/>
      </c>
      <c r="S316" s="25">
        <f>IF(Q316=1,IF(P316&lt;O316,"Más estricto",IF(P316&gt;O316,"Más permisivo","Igual")),"")</f>
        <v/>
      </c>
      <c r="T316" s="25">
        <f>IF(Q316=1,IF(ABS(O316-P316)=2,1,0),"")</f>
        <v/>
      </c>
      <c r="U316" s="25">
        <f>IF(H316="","","|"&amp;SUBSTITUTE(SUBSTITUTE(TRIM(H316)," |","|"),"| ","|")&amp;"|")</f>
        <v/>
      </c>
      <c r="V316" s="25">
        <f>IF(AND(Q316=1,B316&lt;&gt;""),IF(IFERROR(COUNTIFS(B$3:B316,"="&amp;SUBSTITUTE(SUBSTITUTE(SUBSTITUTE(B316,"~","~~"),"*","~*"),"?","~?"),Q$3:Q316,1),0)=1,MAX(V$2:V315)+1,""),"")</f>
        <v/>
      </c>
      <c r="W316" s="25">
        <f>IF(V316="","",COUNTIFS($B$3:$B$1002,"="&amp;SUBSTITUTE(SUBSTITUTE(SUBSTITUTE(B316,"~","~~"),"*","~*"),"?","~?"),$Q$3:$Q$1002,1)*10000-V316)</f>
        <v/>
      </c>
      <c r="X316" s="25">
        <f>IF(Q316=1,IF(SUBSTITUTE(SUBSTITUTE(SUBSTITUTE(SUBSTITUTE(SUBSTITUTE(SUBSTITUTE(SUBSTITUTE(SUBSTITUTE(SUBSTITUTE(SUBSTITUTE(SUBSTITUTE(SUBSTITUTE(LOWER(TRIM(A316)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316)),"á","a"),"é","e"),"í","i"),"ó","o"),"ú","u"),"ü","u"),"ñ","n"),"à","a"),"è","e"),"ì","i"),"ò","o"),"ù","u")),"")</f>
        <v/>
      </c>
      <c r="Y316" s="25">
        <f>IF(X316="","",IF(IFERROR(COUNTIF(X$3:X316,"="&amp;SUBSTITUTE(SUBSTITUTE(SUBSTITUTE(X316,"~","~~"),"*","~*"),"?","~?")),0)=1,1,""))</f>
        <v/>
      </c>
      <c r="Z316" s="25">
        <f>IF(T316=1,MAX(Z$2:Z315)+1,"")</f>
        <v/>
      </c>
    </row>
    <row r="317">
      <c r="A317">
        <f>IF(A$2=0,"",IFERROR(TRIM(INDEX('Pegar calibracion'!$A$1:$BZ$1001,316,A$2)&amp;""),""))</f>
        <v/>
      </c>
      <c r="B317">
        <f>IF(B$2=0,"",IFERROR(TRIM(INDEX('Pegar calibracion'!$A$1:$BZ$1001,316,B$2)&amp;""),""))</f>
        <v/>
      </c>
      <c r="C317">
        <f>IF(C$2=0,"",IFERROR(TRIM(INDEX('Pegar calibracion'!$A$1:$BZ$1001,316,C$2)&amp;""),""))</f>
        <v/>
      </c>
      <c r="D317">
        <f>IF(D$2=0,"",IFERROR(TRIM(INDEX('Pegar calibracion'!$A$1:$BZ$1001,316,D$2)&amp;""),""))</f>
        <v/>
      </c>
      <c r="E317">
        <f>IF(E$2=0,"",IFERROR(TRIM(INDEX('Pegar calibracion'!$A$1:$BZ$1001,316,E$2)&amp;""),""))</f>
        <v/>
      </c>
      <c r="F317">
        <f>IF(F$2=0,"",IFERROR(TRIM(INDEX('Pegar calibracion'!$A$1:$BZ$1001,316,F$2)&amp;""),""))</f>
        <v/>
      </c>
      <c r="G317">
        <f>IF(G$2=0,"",IFERROR(TRIM(INDEX('Pegar calibracion'!$A$1:$BZ$1001,316,G$2)&amp;""),""))</f>
        <v/>
      </c>
      <c r="H317">
        <f>IF(H$2=0,"",IFERROR(TRIM(INDEX('Pegar calibracion'!$A$1:$BZ$1001,316,H$2)&amp;""),""))</f>
        <v/>
      </c>
      <c r="I317">
        <f>IF(I$2=0,"",IFERROR(TRIM(INDEX('Pegar calibracion'!$A$1:$BZ$1001,316,I$2)&amp;""),""))</f>
        <v/>
      </c>
      <c r="J317">
        <f>IF(J$2=0,"",IFERROR(TRIM(INDEX('Pegar calibracion'!$A$1:$BZ$1001,316,J$2)&amp;""),""))</f>
        <v/>
      </c>
      <c r="K317">
        <f>IF(K$2=0,"",IFERROR(TRIM(INDEX('Pegar calibracion'!$A$1:$BZ$1001,316,K$2)&amp;""),""))</f>
        <v/>
      </c>
      <c r="L317">
        <f>IF(L$2=0,"",IFERROR(TRIM(INDEX('Pegar calibracion'!$A$1:$BZ$1001,316,L$2)&amp;""),""))</f>
        <v/>
      </c>
      <c r="M317" s="25">
        <f>IF(D317="","",SUBSTITUTE(SUBSTITUTE(SUBSTITUTE(SUBSTITUTE(SUBSTITUTE(SUBSTITUTE(SUBSTITUTE(SUBSTITUTE(SUBSTITUTE(SUBSTITUTE(SUBSTITUTE(SUBSTITUTE(LOWER(TRIM(D317)),"á","a"),"é","e"),"í","i"),"ó","o"),"ú","u"),"ü","u"),"ñ","n"),"à","a"),"è","e"),"ì","i"),"ò","o"),"ù","u"))</f>
        <v/>
      </c>
      <c r="N317" s="25">
        <f>IF(F317="","",SUBSTITUTE(SUBSTITUTE(SUBSTITUTE(SUBSTITUTE(SUBSTITUTE(SUBSTITUTE(SUBSTITUTE(SUBSTITUTE(SUBSTITUTE(SUBSTITUTE(SUBSTITUTE(SUBSTITUTE(LOWER(TRIM(F317)),"á","a"),"é","e"),"í","i"),"ó","o"),"ú","u"),"ü","u"),"ñ","n"),"à","a"),"è","e"),"ì","i"),"ò","o"),"ù","u"))</f>
        <v/>
      </c>
      <c r="O317" s="25">
        <f>IF(M317="confiable",2,IF(M317="dudosa",1,IF(M317="no confiable",0,"")))</f>
        <v/>
      </c>
      <c r="P317" s="25">
        <f>IF(N317="confiable",2,IF(N317="dudosa",1,IF(N317="no confiable",0,"")))</f>
        <v/>
      </c>
      <c r="Q317" s="25">
        <f>IF(AND(ISNUMBER(O317),ISNUMBER(P317)),1,"")</f>
        <v/>
      </c>
      <c r="R317" s="25">
        <f>IF(Q317=1,IF(O317=P317,"Sí","No"),"")</f>
        <v/>
      </c>
      <c r="S317" s="25">
        <f>IF(Q317=1,IF(P317&lt;O317,"Más estricto",IF(P317&gt;O317,"Más permisivo","Igual")),"")</f>
        <v/>
      </c>
      <c r="T317" s="25">
        <f>IF(Q317=1,IF(ABS(O317-P317)=2,1,0),"")</f>
        <v/>
      </c>
      <c r="U317" s="25">
        <f>IF(H317="","","|"&amp;SUBSTITUTE(SUBSTITUTE(TRIM(H317)," |","|"),"| ","|")&amp;"|")</f>
        <v/>
      </c>
      <c r="V317" s="25">
        <f>IF(AND(Q317=1,B317&lt;&gt;""),IF(IFERROR(COUNTIFS(B$3:B317,"="&amp;SUBSTITUTE(SUBSTITUTE(SUBSTITUTE(B317,"~","~~"),"*","~*"),"?","~?"),Q$3:Q317,1),0)=1,MAX(V$2:V316)+1,""),"")</f>
        <v/>
      </c>
      <c r="W317" s="25">
        <f>IF(V317="","",COUNTIFS($B$3:$B$1002,"="&amp;SUBSTITUTE(SUBSTITUTE(SUBSTITUTE(B317,"~","~~"),"*","~*"),"?","~?"),$Q$3:$Q$1002,1)*10000-V317)</f>
        <v/>
      </c>
      <c r="X317" s="25">
        <f>IF(Q317=1,IF(SUBSTITUTE(SUBSTITUTE(SUBSTITUTE(SUBSTITUTE(SUBSTITUTE(SUBSTITUTE(SUBSTITUTE(SUBSTITUTE(SUBSTITUTE(SUBSTITUTE(SUBSTITUTE(SUBSTITUTE(LOWER(TRIM(A317)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317)),"á","a"),"é","e"),"í","i"),"ó","o"),"ú","u"),"ü","u"),"ñ","n"),"à","a"),"è","e"),"ì","i"),"ò","o"),"ù","u")),"")</f>
        <v/>
      </c>
      <c r="Y317" s="25">
        <f>IF(X317="","",IF(IFERROR(COUNTIF(X$3:X317,"="&amp;SUBSTITUTE(SUBSTITUTE(SUBSTITUTE(X317,"~","~~"),"*","~*"),"?","~?")),0)=1,1,""))</f>
        <v/>
      </c>
      <c r="Z317" s="25">
        <f>IF(T317=1,MAX(Z$2:Z316)+1,"")</f>
        <v/>
      </c>
    </row>
    <row r="318">
      <c r="A318">
        <f>IF(A$2=0,"",IFERROR(TRIM(INDEX('Pegar calibracion'!$A$1:$BZ$1001,317,A$2)&amp;""),""))</f>
        <v/>
      </c>
      <c r="B318">
        <f>IF(B$2=0,"",IFERROR(TRIM(INDEX('Pegar calibracion'!$A$1:$BZ$1001,317,B$2)&amp;""),""))</f>
        <v/>
      </c>
      <c r="C318">
        <f>IF(C$2=0,"",IFERROR(TRIM(INDEX('Pegar calibracion'!$A$1:$BZ$1001,317,C$2)&amp;""),""))</f>
        <v/>
      </c>
      <c r="D318">
        <f>IF(D$2=0,"",IFERROR(TRIM(INDEX('Pegar calibracion'!$A$1:$BZ$1001,317,D$2)&amp;""),""))</f>
        <v/>
      </c>
      <c r="E318">
        <f>IF(E$2=0,"",IFERROR(TRIM(INDEX('Pegar calibracion'!$A$1:$BZ$1001,317,E$2)&amp;""),""))</f>
        <v/>
      </c>
      <c r="F318">
        <f>IF(F$2=0,"",IFERROR(TRIM(INDEX('Pegar calibracion'!$A$1:$BZ$1001,317,F$2)&amp;""),""))</f>
        <v/>
      </c>
      <c r="G318">
        <f>IF(G$2=0,"",IFERROR(TRIM(INDEX('Pegar calibracion'!$A$1:$BZ$1001,317,G$2)&amp;""),""))</f>
        <v/>
      </c>
      <c r="H318">
        <f>IF(H$2=0,"",IFERROR(TRIM(INDEX('Pegar calibracion'!$A$1:$BZ$1001,317,H$2)&amp;""),""))</f>
        <v/>
      </c>
      <c r="I318">
        <f>IF(I$2=0,"",IFERROR(TRIM(INDEX('Pegar calibracion'!$A$1:$BZ$1001,317,I$2)&amp;""),""))</f>
        <v/>
      </c>
      <c r="J318">
        <f>IF(J$2=0,"",IFERROR(TRIM(INDEX('Pegar calibracion'!$A$1:$BZ$1001,317,J$2)&amp;""),""))</f>
        <v/>
      </c>
      <c r="K318">
        <f>IF(K$2=0,"",IFERROR(TRIM(INDEX('Pegar calibracion'!$A$1:$BZ$1001,317,K$2)&amp;""),""))</f>
        <v/>
      </c>
      <c r="L318">
        <f>IF(L$2=0,"",IFERROR(TRIM(INDEX('Pegar calibracion'!$A$1:$BZ$1001,317,L$2)&amp;""),""))</f>
        <v/>
      </c>
      <c r="M318" s="25">
        <f>IF(D318="","",SUBSTITUTE(SUBSTITUTE(SUBSTITUTE(SUBSTITUTE(SUBSTITUTE(SUBSTITUTE(SUBSTITUTE(SUBSTITUTE(SUBSTITUTE(SUBSTITUTE(SUBSTITUTE(SUBSTITUTE(LOWER(TRIM(D318)),"á","a"),"é","e"),"í","i"),"ó","o"),"ú","u"),"ü","u"),"ñ","n"),"à","a"),"è","e"),"ì","i"),"ò","o"),"ù","u"))</f>
        <v/>
      </c>
      <c r="N318" s="25">
        <f>IF(F318="","",SUBSTITUTE(SUBSTITUTE(SUBSTITUTE(SUBSTITUTE(SUBSTITUTE(SUBSTITUTE(SUBSTITUTE(SUBSTITUTE(SUBSTITUTE(SUBSTITUTE(SUBSTITUTE(SUBSTITUTE(LOWER(TRIM(F318)),"á","a"),"é","e"),"í","i"),"ó","o"),"ú","u"),"ü","u"),"ñ","n"),"à","a"),"è","e"),"ì","i"),"ò","o"),"ù","u"))</f>
        <v/>
      </c>
      <c r="O318" s="25">
        <f>IF(M318="confiable",2,IF(M318="dudosa",1,IF(M318="no confiable",0,"")))</f>
        <v/>
      </c>
      <c r="P318" s="25">
        <f>IF(N318="confiable",2,IF(N318="dudosa",1,IF(N318="no confiable",0,"")))</f>
        <v/>
      </c>
      <c r="Q318" s="25">
        <f>IF(AND(ISNUMBER(O318),ISNUMBER(P318)),1,"")</f>
        <v/>
      </c>
      <c r="R318" s="25">
        <f>IF(Q318=1,IF(O318=P318,"Sí","No"),"")</f>
        <v/>
      </c>
      <c r="S318" s="25">
        <f>IF(Q318=1,IF(P318&lt;O318,"Más estricto",IF(P318&gt;O318,"Más permisivo","Igual")),"")</f>
        <v/>
      </c>
      <c r="T318" s="25">
        <f>IF(Q318=1,IF(ABS(O318-P318)=2,1,0),"")</f>
        <v/>
      </c>
      <c r="U318" s="25">
        <f>IF(H318="","","|"&amp;SUBSTITUTE(SUBSTITUTE(TRIM(H318)," |","|"),"| ","|")&amp;"|")</f>
        <v/>
      </c>
      <c r="V318" s="25">
        <f>IF(AND(Q318=1,B318&lt;&gt;""),IF(IFERROR(COUNTIFS(B$3:B318,"="&amp;SUBSTITUTE(SUBSTITUTE(SUBSTITUTE(B318,"~","~~"),"*","~*"),"?","~?"),Q$3:Q318,1),0)=1,MAX(V$2:V317)+1,""),"")</f>
        <v/>
      </c>
      <c r="W318" s="25">
        <f>IF(V318="","",COUNTIFS($B$3:$B$1002,"="&amp;SUBSTITUTE(SUBSTITUTE(SUBSTITUTE(B318,"~","~~"),"*","~*"),"?","~?"),$Q$3:$Q$1002,1)*10000-V318)</f>
        <v/>
      </c>
      <c r="X318" s="25">
        <f>IF(Q318=1,IF(SUBSTITUTE(SUBSTITUTE(SUBSTITUTE(SUBSTITUTE(SUBSTITUTE(SUBSTITUTE(SUBSTITUTE(SUBSTITUTE(SUBSTITUTE(SUBSTITUTE(SUBSTITUTE(SUBSTITUTE(LOWER(TRIM(A318)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318)),"á","a"),"é","e"),"í","i"),"ó","o"),"ú","u"),"ü","u"),"ñ","n"),"à","a"),"è","e"),"ì","i"),"ò","o"),"ù","u")),"")</f>
        <v/>
      </c>
      <c r="Y318" s="25">
        <f>IF(X318="","",IF(IFERROR(COUNTIF(X$3:X318,"="&amp;SUBSTITUTE(SUBSTITUTE(SUBSTITUTE(X318,"~","~~"),"*","~*"),"?","~?")),0)=1,1,""))</f>
        <v/>
      </c>
      <c r="Z318" s="25">
        <f>IF(T318=1,MAX(Z$2:Z317)+1,"")</f>
        <v/>
      </c>
    </row>
    <row r="319">
      <c r="A319">
        <f>IF(A$2=0,"",IFERROR(TRIM(INDEX('Pegar calibracion'!$A$1:$BZ$1001,318,A$2)&amp;""),""))</f>
        <v/>
      </c>
      <c r="B319">
        <f>IF(B$2=0,"",IFERROR(TRIM(INDEX('Pegar calibracion'!$A$1:$BZ$1001,318,B$2)&amp;""),""))</f>
        <v/>
      </c>
      <c r="C319">
        <f>IF(C$2=0,"",IFERROR(TRIM(INDEX('Pegar calibracion'!$A$1:$BZ$1001,318,C$2)&amp;""),""))</f>
        <v/>
      </c>
      <c r="D319">
        <f>IF(D$2=0,"",IFERROR(TRIM(INDEX('Pegar calibracion'!$A$1:$BZ$1001,318,D$2)&amp;""),""))</f>
        <v/>
      </c>
      <c r="E319">
        <f>IF(E$2=0,"",IFERROR(TRIM(INDEX('Pegar calibracion'!$A$1:$BZ$1001,318,E$2)&amp;""),""))</f>
        <v/>
      </c>
      <c r="F319">
        <f>IF(F$2=0,"",IFERROR(TRIM(INDEX('Pegar calibracion'!$A$1:$BZ$1001,318,F$2)&amp;""),""))</f>
        <v/>
      </c>
      <c r="G319">
        <f>IF(G$2=0,"",IFERROR(TRIM(INDEX('Pegar calibracion'!$A$1:$BZ$1001,318,G$2)&amp;""),""))</f>
        <v/>
      </c>
      <c r="H319">
        <f>IF(H$2=0,"",IFERROR(TRIM(INDEX('Pegar calibracion'!$A$1:$BZ$1001,318,H$2)&amp;""),""))</f>
        <v/>
      </c>
      <c r="I319">
        <f>IF(I$2=0,"",IFERROR(TRIM(INDEX('Pegar calibracion'!$A$1:$BZ$1001,318,I$2)&amp;""),""))</f>
        <v/>
      </c>
      <c r="J319">
        <f>IF(J$2=0,"",IFERROR(TRIM(INDEX('Pegar calibracion'!$A$1:$BZ$1001,318,J$2)&amp;""),""))</f>
        <v/>
      </c>
      <c r="K319">
        <f>IF(K$2=0,"",IFERROR(TRIM(INDEX('Pegar calibracion'!$A$1:$BZ$1001,318,K$2)&amp;""),""))</f>
        <v/>
      </c>
      <c r="L319">
        <f>IF(L$2=0,"",IFERROR(TRIM(INDEX('Pegar calibracion'!$A$1:$BZ$1001,318,L$2)&amp;""),""))</f>
        <v/>
      </c>
      <c r="M319" s="25">
        <f>IF(D319="","",SUBSTITUTE(SUBSTITUTE(SUBSTITUTE(SUBSTITUTE(SUBSTITUTE(SUBSTITUTE(SUBSTITUTE(SUBSTITUTE(SUBSTITUTE(SUBSTITUTE(SUBSTITUTE(SUBSTITUTE(LOWER(TRIM(D319)),"á","a"),"é","e"),"í","i"),"ó","o"),"ú","u"),"ü","u"),"ñ","n"),"à","a"),"è","e"),"ì","i"),"ò","o"),"ù","u"))</f>
        <v/>
      </c>
      <c r="N319" s="25">
        <f>IF(F319="","",SUBSTITUTE(SUBSTITUTE(SUBSTITUTE(SUBSTITUTE(SUBSTITUTE(SUBSTITUTE(SUBSTITUTE(SUBSTITUTE(SUBSTITUTE(SUBSTITUTE(SUBSTITUTE(SUBSTITUTE(LOWER(TRIM(F319)),"á","a"),"é","e"),"í","i"),"ó","o"),"ú","u"),"ü","u"),"ñ","n"),"à","a"),"è","e"),"ì","i"),"ò","o"),"ù","u"))</f>
        <v/>
      </c>
      <c r="O319" s="25">
        <f>IF(M319="confiable",2,IF(M319="dudosa",1,IF(M319="no confiable",0,"")))</f>
        <v/>
      </c>
      <c r="P319" s="25">
        <f>IF(N319="confiable",2,IF(N319="dudosa",1,IF(N319="no confiable",0,"")))</f>
        <v/>
      </c>
      <c r="Q319" s="25">
        <f>IF(AND(ISNUMBER(O319),ISNUMBER(P319)),1,"")</f>
        <v/>
      </c>
      <c r="R319" s="25">
        <f>IF(Q319=1,IF(O319=P319,"Sí","No"),"")</f>
        <v/>
      </c>
      <c r="S319" s="25">
        <f>IF(Q319=1,IF(P319&lt;O319,"Más estricto",IF(P319&gt;O319,"Más permisivo","Igual")),"")</f>
        <v/>
      </c>
      <c r="T319" s="25">
        <f>IF(Q319=1,IF(ABS(O319-P319)=2,1,0),"")</f>
        <v/>
      </c>
      <c r="U319" s="25">
        <f>IF(H319="","","|"&amp;SUBSTITUTE(SUBSTITUTE(TRIM(H319)," |","|"),"| ","|")&amp;"|")</f>
        <v/>
      </c>
      <c r="V319" s="25">
        <f>IF(AND(Q319=1,B319&lt;&gt;""),IF(IFERROR(COUNTIFS(B$3:B319,"="&amp;SUBSTITUTE(SUBSTITUTE(SUBSTITUTE(B319,"~","~~"),"*","~*"),"?","~?"),Q$3:Q319,1),0)=1,MAX(V$2:V318)+1,""),"")</f>
        <v/>
      </c>
      <c r="W319" s="25">
        <f>IF(V319="","",COUNTIFS($B$3:$B$1002,"="&amp;SUBSTITUTE(SUBSTITUTE(SUBSTITUTE(B319,"~","~~"),"*","~*"),"?","~?"),$Q$3:$Q$1002,1)*10000-V319)</f>
        <v/>
      </c>
      <c r="X319" s="25">
        <f>IF(Q319=1,IF(SUBSTITUTE(SUBSTITUTE(SUBSTITUTE(SUBSTITUTE(SUBSTITUTE(SUBSTITUTE(SUBSTITUTE(SUBSTITUTE(SUBSTITUTE(SUBSTITUTE(SUBSTITUTE(SUBSTITUTE(LOWER(TRIM(A319)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319)),"á","a"),"é","e"),"í","i"),"ó","o"),"ú","u"),"ü","u"),"ñ","n"),"à","a"),"è","e"),"ì","i"),"ò","o"),"ù","u")),"")</f>
        <v/>
      </c>
      <c r="Y319" s="25">
        <f>IF(X319="","",IF(IFERROR(COUNTIF(X$3:X319,"="&amp;SUBSTITUTE(SUBSTITUTE(SUBSTITUTE(X319,"~","~~"),"*","~*"),"?","~?")),0)=1,1,""))</f>
        <v/>
      </c>
      <c r="Z319" s="25">
        <f>IF(T319=1,MAX(Z$2:Z318)+1,"")</f>
        <v/>
      </c>
    </row>
    <row r="320">
      <c r="A320">
        <f>IF(A$2=0,"",IFERROR(TRIM(INDEX('Pegar calibracion'!$A$1:$BZ$1001,319,A$2)&amp;""),""))</f>
        <v/>
      </c>
      <c r="B320">
        <f>IF(B$2=0,"",IFERROR(TRIM(INDEX('Pegar calibracion'!$A$1:$BZ$1001,319,B$2)&amp;""),""))</f>
        <v/>
      </c>
      <c r="C320">
        <f>IF(C$2=0,"",IFERROR(TRIM(INDEX('Pegar calibracion'!$A$1:$BZ$1001,319,C$2)&amp;""),""))</f>
        <v/>
      </c>
      <c r="D320">
        <f>IF(D$2=0,"",IFERROR(TRIM(INDEX('Pegar calibracion'!$A$1:$BZ$1001,319,D$2)&amp;""),""))</f>
        <v/>
      </c>
      <c r="E320">
        <f>IF(E$2=0,"",IFERROR(TRIM(INDEX('Pegar calibracion'!$A$1:$BZ$1001,319,E$2)&amp;""),""))</f>
        <v/>
      </c>
      <c r="F320">
        <f>IF(F$2=0,"",IFERROR(TRIM(INDEX('Pegar calibracion'!$A$1:$BZ$1001,319,F$2)&amp;""),""))</f>
        <v/>
      </c>
      <c r="G320">
        <f>IF(G$2=0,"",IFERROR(TRIM(INDEX('Pegar calibracion'!$A$1:$BZ$1001,319,G$2)&amp;""),""))</f>
        <v/>
      </c>
      <c r="H320">
        <f>IF(H$2=0,"",IFERROR(TRIM(INDEX('Pegar calibracion'!$A$1:$BZ$1001,319,H$2)&amp;""),""))</f>
        <v/>
      </c>
      <c r="I320">
        <f>IF(I$2=0,"",IFERROR(TRIM(INDEX('Pegar calibracion'!$A$1:$BZ$1001,319,I$2)&amp;""),""))</f>
        <v/>
      </c>
      <c r="J320">
        <f>IF(J$2=0,"",IFERROR(TRIM(INDEX('Pegar calibracion'!$A$1:$BZ$1001,319,J$2)&amp;""),""))</f>
        <v/>
      </c>
      <c r="K320">
        <f>IF(K$2=0,"",IFERROR(TRIM(INDEX('Pegar calibracion'!$A$1:$BZ$1001,319,K$2)&amp;""),""))</f>
        <v/>
      </c>
      <c r="L320">
        <f>IF(L$2=0,"",IFERROR(TRIM(INDEX('Pegar calibracion'!$A$1:$BZ$1001,319,L$2)&amp;""),""))</f>
        <v/>
      </c>
      <c r="M320" s="25">
        <f>IF(D320="","",SUBSTITUTE(SUBSTITUTE(SUBSTITUTE(SUBSTITUTE(SUBSTITUTE(SUBSTITUTE(SUBSTITUTE(SUBSTITUTE(SUBSTITUTE(SUBSTITUTE(SUBSTITUTE(SUBSTITUTE(LOWER(TRIM(D320)),"á","a"),"é","e"),"í","i"),"ó","o"),"ú","u"),"ü","u"),"ñ","n"),"à","a"),"è","e"),"ì","i"),"ò","o"),"ù","u"))</f>
        <v/>
      </c>
      <c r="N320" s="25">
        <f>IF(F320="","",SUBSTITUTE(SUBSTITUTE(SUBSTITUTE(SUBSTITUTE(SUBSTITUTE(SUBSTITUTE(SUBSTITUTE(SUBSTITUTE(SUBSTITUTE(SUBSTITUTE(SUBSTITUTE(SUBSTITUTE(LOWER(TRIM(F320)),"á","a"),"é","e"),"í","i"),"ó","o"),"ú","u"),"ü","u"),"ñ","n"),"à","a"),"è","e"),"ì","i"),"ò","o"),"ù","u"))</f>
        <v/>
      </c>
      <c r="O320" s="25">
        <f>IF(M320="confiable",2,IF(M320="dudosa",1,IF(M320="no confiable",0,"")))</f>
        <v/>
      </c>
      <c r="P320" s="25">
        <f>IF(N320="confiable",2,IF(N320="dudosa",1,IF(N320="no confiable",0,"")))</f>
        <v/>
      </c>
      <c r="Q320" s="25">
        <f>IF(AND(ISNUMBER(O320),ISNUMBER(P320)),1,"")</f>
        <v/>
      </c>
      <c r="R320" s="25">
        <f>IF(Q320=1,IF(O320=P320,"Sí","No"),"")</f>
        <v/>
      </c>
      <c r="S320" s="25">
        <f>IF(Q320=1,IF(P320&lt;O320,"Más estricto",IF(P320&gt;O320,"Más permisivo","Igual")),"")</f>
        <v/>
      </c>
      <c r="T320" s="25">
        <f>IF(Q320=1,IF(ABS(O320-P320)=2,1,0),"")</f>
        <v/>
      </c>
      <c r="U320" s="25">
        <f>IF(H320="","","|"&amp;SUBSTITUTE(SUBSTITUTE(TRIM(H320)," |","|"),"| ","|")&amp;"|")</f>
        <v/>
      </c>
      <c r="V320" s="25">
        <f>IF(AND(Q320=1,B320&lt;&gt;""),IF(IFERROR(COUNTIFS(B$3:B320,"="&amp;SUBSTITUTE(SUBSTITUTE(SUBSTITUTE(B320,"~","~~"),"*","~*"),"?","~?"),Q$3:Q320,1),0)=1,MAX(V$2:V319)+1,""),"")</f>
        <v/>
      </c>
      <c r="W320" s="25">
        <f>IF(V320="","",COUNTIFS($B$3:$B$1002,"="&amp;SUBSTITUTE(SUBSTITUTE(SUBSTITUTE(B320,"~","~~"),"*","~*"),"?","~?"),$Q$3:$Q$1002,1)*10000-V320)</f>
        <v/>
      </c>
      <c r="X320" s="25">
        <f>IF(Q320=1,IF(SUBSTITUTE(SUBSTITUTE(SUBSTITUTE(SUBSTITUTE(SUBSTITUTE(SUBSTITUTE(SUBSTITUTE(SUBSTITUTE(SUBSTITUTE(SUBSTITUTE(SUBSTITUTE(SUBSTITUTE(LOWER(TRIM(A320)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320)),"á","a"),"é","e"),"í","i"),"ó","o"),"ú","u"),"ü","u"),"ñ","n"),"à","a"),"è","e"),"ì","i"),"ò","o"),"ù","u")),"")</f>
        <v/>
      </c>
      <c r="Y320" s="25">
        <f>IF(X320="","",IF(IFERROR(COUNTIF(X$3:X320,"="&amp;SUBSTITUTE(SUBSTITUTE(SUBSTITUTE(X320,"~","~~"),"*","~*"),"?","~?")),0)=1,1,""))</f>
        <v/>
      </c>
      <c r="Z320" s="25">
        <f>IF(T320=1,MAX(Z$2:Z319)+1,"")</f>
        <v/>
      </c>
    </row>
    <row r="321">
      <c r="A321">
        <f>IF(A$2=0,"",IFERROR(TRIM(INDEX('Pegar calibracion'!$A$1:$BZ$1001,320,A$2)&amp;""),""))</f>
        <v/>
      </c>
      <c r="B321">
        <f>IF(B$2=0,"",IFERROR(TRIM(INDEX('Pegar calibracion'!$A$1:$BZ$1001,320,B$2)&amp;""),""))</f>
        <v/>
      </c>
      <c r="C321">
        <f>IF(C$2=0,"",IFERROR(TRIM(INDEX('Pegar calibracion'!$A$1:$BZ$1001,320,C$2)&amp;""),""))</f>
        <v/>
      </c>
      <c r="D321">
        <f>IF(D$2=0,"",IFERROR(TRIM(INDEX('Pegar calibracion'!$A$1:$BZ$1001,320,D$2)&amp;""),""))</f>
        <v/>
      </c>
      <c r="E321">
        <f>IF(E$2=0,"",IFERROR(TRIM(INDEX('Pegar calibracion'!$A$1:$BZ$1001,320,E$2)&amp;""),""))</f>
        <v/>
      </c>
      <c r="F321">
        <f>IF(F$2=0,"",IFERROR(TRIM(INDEX('Pegar calibracion'!$A$1:$BZ$1001,320,F$2)&amp;""),""))</f>
        <v/>
      </c>
      <c r="G321">
        <f>IF(G$2=0,"",IFERROR(TRIM(INDEX('Pegar calibracion'!$A$1:$BZ$1001,320,G$2)&amp;""),""))</f>
        <v/>
      </c>
      <c r="H321">
        <f>IF(H$2=0,"",IFERROR(TRIM(INDEX('Pegar calibracion'!$A$1:$BZ$1001,320,H$2)&amp;""),""))</f>
        <v/>
      </c>
      <c r="I321">
        <f>IF(I$2=0,"",IFERROR(TRIM(INDEX('Pegar calibracion'!$A$1:$BZ$1001,320,I$2)&amp;""),""))</f>
        <v/>
      </c>
      <c r="J321">
        <f>IF(J$2=0,"",IFERROR(TRIM(INDEX('Pegar calibracion'!$A$1:$BZ$1001,320,J$2)&amp;""),""))</f>
        <v/>
      </c>
      <c r="K321">
        <f>IF(K$2=0,"",IFERROR(TRIM(INDEX('Pegar calibracion'!$A$1:$BZ$1001,320,K$2)&amp;""),""))</f>
        <v/>
      </c>
      <c r="L321">
        <f>IF(L$2=0,"",IFERROR(TRIM(INDEX('Pegar calibracion'!$A$1:$BZ$1001,320,L$2)&amp;""),""))</f>
        <v/>
      </c>
      <c r="M321" s="25">
        <f>IF(D321="","",SUBSTITUTE(SUBSTITUTE(SUBSTITUTE(SUBSTITUTE(SUBSTITUTE(SUBSTITUTE(SUBSTITUTE(SUBSTITUTE(SUBSTITUTE(SUBSTITUTE(SUBSTITUTE(SUBSTITUTE(LOWER(TRIM(D321)),"á","a"),"é","e"),"í","i"),"ó","o"),"ú","u"),"ü","u"),"ñ","n"),"à","a"),"è","e"),"ì","i"),"ò","o"),"ù","u"))</f>
        <v/>
      </c>
      <c r="N321" s="25">
        <f>IF(F321="","",SUBSTITUTE(SUBSTITUTE(SUBSTITUTE(SUBSTITUTE(SUBSTITUTE(SUBSTITUTE(SUBSTITUTE(SUBSTITUTE(SUBSTITUTE(SUBSTITUTE(SUBSTITUTE(SUBSTITUTE(LOWER(TRIM(F321)),"á","a"),"é","e"),"í","i"),"ó","o"),"ú","u"),"ü","u"),"ñ","n"),"à","a"),"è","e"),"ì","i"),"ò","o"),"ù","u"))</f>
        <v/>
      </c>
      <c r="O321" s="25">
        <f>IF(M321="confiable",2,IF(M321="dudosa",1,IF(M321="no confiable",0,"")))</f>
        <v/>
      </c>
      <c r="P321" s="25">
        <f>IF(N321="confiable",2,IF(N321="dudosa",1,IF(N321="no confiable",0,"")))</f>
        <v/>
      </c>
      <c r="Q321" s="25">
        <f>IF(AND(ISNUMBER(O321),ISNUMBER(P321)),1,"")</f>
        <v/>
      </c>
      <c r="R321" s="25">
        <f>IF(Q321=1,IF(O321=P321,"Sí","No"),"")</f>
        <v/>
      </c>
      <c r="S321" s="25">
        <f>IF(Q321=1,IF(P321&lt;O321,"Más estricto",IF(P321&gt;O321,"Más permisivo","Igual")),"")</f>
        <v/>
      </c>
      <c r="T321" s="25">
        <f>IF(Q321=1,IF(ABS(O321-P321)=2,1,0),"")</f>
        <v/>
      </c>
      <c r="U321" s="25">
        <f>IF(H321="","","|"&amp;SUBSTITUTE(SUBSTITUTE(TRIM(H321)," |","|"),"| ","|")&amp;"|")</f>
        <v/>
      </c>
      <c r="V321" s="25">
        <f>IF(AND(Q321=1,B321&lt;&gt;""),IF(IFERROR(COUNTIFS(B$3:B321,"="&amp;SUBSTITUTE(SUBSTITUTE(SUBSTITUTE(B321,"~","~~"),"*","~*"),"?","~?"),Q$3:Q321,1),0)=1,MAX(V$2:V320)+1,""),"")</f>
        <v/>
      </c>
      <c r="W321" s="25">
        <f>IF(V321="","",COUNTIFS($B$3:$B$1002,"="&amp;SUBSTITUTE(SUBSTITUTE(SUBSTITUTE(B321,"~","~~"),"*","~*"),"?","~?"),$Q$3:$Q$1002,1)*10000-V321)</f>
        <v/>
      </c>
      <c r="X321" s="25">
        <f>IF(Q321=1,IF(SUBSTITUTE(SUBSTITUTE(SUBSTITUTE(SUBSTITUTE(SUBSTITUTE(SUBSTITUTE(SUBSTITUTE(SUBSTITUTE(SUBSTITUTE(SUBSTITUTE(SUBSTITUTE(SUBSTITUTE(LOWER(TRIM(A321)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321)),"á","a"),"é","e"),"í","i"),"ó","o"),"ú","u"),"ü","u"),"ñ","n"),"à","a"),"è","e"),"ì","i"),"ò","o"),"ù","u")),"")</f>
        <v/>
      </c>
      <c r="Y321" s="25">
        <f>IF(X321="","",IF(IFERROR(COUNTIF(X$3:X321,"="&amp;SUBSTITUTE(SUBSTITUTE(SUBSTITUTE(X321,"~","~~"),"*","~*"),"?","~?")),0)=1,1,""))</f>
        <v/>
      </c>
      <c r="Z321" s="25">
        <f>IF(T321=1,MAX(Z$2:Z320)+1,"")</f>
        <v/>
      </c>
    </row>
    <row r="322">
      <c r="A322">
        <f>IF(A$2=0,"",IFERROR(TRIM(INDEX('Pegar calibracion'!$A$1:$BZ$1001,321,A$2)&amp;""),""))</f>
        <v/>
      </c>
      <c r="B322">
        <f>IF(B$2=0,"",IFERROR(TRIM(INDEX('Pegar calibracion'!$A$1:$BZ$1001,321,B$2)&amp;""),""))</f>
        <v/>
      </c>
      <c r="C322">
        <f>IF(C$2=0,"",IFERROR(TRIM(INDEX('Pegar calibracion'!$A$1:$BZ$1001,321,C$2)&amp;""),""))</f>
        <v/>
      </c>
      <c r="D322">
        <f>IF(D$2=0,"",IFERROR(TRIM(INDEX('Pegar calibracion'!$A$1:$BZ$1001,321,D$2)&amp;""),""))</f>
        <v/>
      </c>
      <c r="E322">
        <f>IF(E$2=0,"",IFERROR(TRIM(INDEX('Pegar calibracion'!$A$1:$BZ$1001,321,E$2)&amp;""),""))</f>
        <v/>
      </c>
      <c r="F322">
        <f>IF(F$2=0,"",IFERROR(TRIM(INDEX('Pegar calibracion'!$A$1:$BZ$1001,321,F$2)&amp;""),""))</f>
        <v/>
      </c>
      <c r="G322">
        <f>IF(G$2=0,"",IFERROR(TRIM(INDEX('Pegar calibracion'!$A$1:$BZ$1001,321,G$2)&amp;""),""))</f>
        <v/>
      </c>
      <c r="H322">
        <f>IF(H$2=0,"",IFERROR(TRIM(INDEX('Pegar calibracion'!$A$1:$BZ$1001,321,H$2)&amp;""),""))</f>
        <v/>
      </c>
      <c r="I322">
        <f>IF(I$2=0,"",IFERROR(TRIM(INDEX('Pegar calibracion'!$A$1:$BZ$1001,321,I$2)&amp;""),""))</f>
        <v/>
      </c>
      <c r="J322">
        <f>IF(J$2=0,"",IFERROR(TRIM(INDEX('Pegar calibracion'!$A$1:$BZ$1001,321,J$2)&amp;""),""))</f>
        <v/>
      </c>
      <c r="K322">
        <f>IF(K$2=0,"",IFERROR(TRIM(INDEX('Pegar calibracion'!$A$1:$BZ$1001,321,K$2)&amp;""),""))</f>
        <v/>
      </c>
      <c r="L322">
        <f>IF(L$2=0,"",IFERROR(TRIM(INDEX('Pegar calibracion'!$A$1:$BZ$1001,321,L$2)&amp;""),""))</f>
        <v/>
      </c>
      <c r="M322" s="25">
        <f>IF(D322="","",SUBSTITUTE(SUBSTITUTE(SUBSTITUTE(SUBSTITUTE(SUBSTITUTE(SUBSTITUTE(SUBSTITUTE(SUBSTITUTE(SUBSTITUTE(SUBSTITUTE(SUBSTITUTE(SUBSTITUTE(LOWER(TRIM(D322)),"á","a"),"é","e"),"í","i"),"ó","o"),"ú","u"),"ü","u"),"ñ","n"),"à","a"),"è","e"),"ì","i"),"ò","o"),"ù","u"))</f>
        <v/>
      </c>
      <c r="N322" s="25">
        <f>IF(F322="","",SUBSTITUTE(SUBSTITUTE(SUBSTITUTE(SUBSTITUTE(SUBSTITUTE(SUBSTITUTE(SUBSTITUTE(SUBSTITUTE(SUBSTITUTE(SUBSTITUTE(SUBSTITUTE(SUBSTITUTE(LOWER(TRIM(F322)),"á","a"),"é","e"),"í","i"),"ó","o"),"ú","u"),"ü","u"),"ñ","n"),"à","a"),"è","e"),"ì","i"),"ò","o"),"ù","u"))</f>
        <v/>
      </c>
      <c r="O322" s="25">
        <f>IF(M322="confiable",2,IF(M322="dudosa",1,IF(M322="no confiable",0,"")))</f>
        <v/>
      </c>
      <c r="P322" s="25">
        <f>IF(N322="confiable",2,IF(N322="dudosa",1,IF(N322="no confiable",0,"")))</f>
        <v/>
      </c>
      <c r="Q322" s="25">
        <f>IF(AND(ISNUMBER(O322),ISNUMBER(P322)),1,"")</f>
        <v/>
      </c>
      <c r="R322" s="25">
        <f>IF(Q322=1,IF(O322=P322,"Sí","No"),"")</f>
        <v/>
      </c>
      <c r="S322" s="25">
        <f>IF(Q322=1,IF(P322&lt;O322,"Más estricto",IF(P322&gt;O322,"Más permisivo","Igual")),"")</f>
        <v/>
      </c>
      <c r="T322" s="25">
        <f>IF(Q322=1,IF(ABS(O322-P322)=2,1,0),"")</f>
        <v/>
      </c>
      <c r="U322" s="25">
        <f>IF(H322="","","|"&amp;SUBSTITUTE(SUBSTITUTE(TRIM(H322)," |","|"),"| ","|")&amp;"|")</f>
        <v/>
      </c>
      <c r="V322" s="25">
        <f>IF(AND(Q322=1,B322&lt;&gt;""),IF(IFERROR(COUNTIFS(B$3:B322,"="&amp;SUBSTITUTE(SUBSTITUTE(SUBSTITUTE(B322,"~","~~"),"*","~*"),"?","~?"),Q$3:Q322,1),0)=1,MAX(V$2:V321)+1,""),"")</f>
        <v/>
      </c>
      <c r="W322" s="25">
        <f>IF(V322="","",COUNTIFS($B$3:$B$1002,"="&amp;SUBSTITUTE(SUBSTITUTE(SUBSTITUTE(B322,"~","~~"),"*","~*"),"?","~?"),$Q$3:$Q$1002,1)*10000-V322)</f>
        <v/>
      </c>
      <c r="X322" s="25">
        <f>IF(Q322=1,IF(SUBSTITUTE(SUBSTITUTE(SUBSTITUTE(SUBSTITUTE(SUBSTITUTE(SUBSTITUTE(SUBSTITUTE(SUBSTITUTE(SUBSTITUTE(SUBSTITUTE(SUBSTITUTE(SUBSTITUTE(LOWER(TRIM(A322)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322)),"á","a"),"é","e"),"í","i"),"ó","o"),"ú","u"),"ü","u"),"ñ","n"),"à","a"),"è","e"),"ì","i"),"ò","o"),"ù","u")),"")</f>
        <v/>
      </c>
      <c r="Y322" s="25">
        <f>IF(X322="","",IF(IFERROR(COUNTIF(X$3:X322,"="&amp;SUBSTITUTE(SUBSTITUTE(SUBSTITUTE(X322,"~","~~"),"*","~*"),"?","~?")),0)=1,1,""))</f>
        <v/>
      </c>
      <c r="Z322" s="25">
        <f>IF(T322=1,MAX(Z$2:Z321)+1,"")</f>
        <v/>
      </c>
    </row>
    <row r="323">
      <c r="A323">
        <f>IF(A$2=0,"",IFERROR(TRIM(INDEX('Pegar calibracion'!$A$1:$BZ$1001,322,A$2)&amp;""),""))</f>
        <v/>
      </c>
      <c r="B323">
        <f>IF(B$2=0,"",IFERROR(TRIM(INDEX('Pegar calibracion'!$A$1:$BZ$1001,322,B$2)&amp;""),""))</f>
        <v/>
      </c>
      <c r="C323">
        <f>IF(C$2=0,"",IFERROR(TRIM(INDEX('Pegar calibracion'!$A$1:$BZ$1001,322,C$2)&amp;""),""))</f>
        <v/>
      </c>
      <c r="D323">
        <f>IF(D$2=0,"",IFERROR(TRIM(INDEX('Pegar calibracion'!$A$1:$BZ$1001,322,D$2)&amp;""),""))</f>
        <v/>
      </c>
      <c r="E323">
        <f>IF(E$2=0,"",IFERROR(TRIM(INDEX('Pegar calibracion'!$A$1:$BZ$1001,322,E$2)&amp;""),""))</f>
        <v/>
      </c>
      <c r="F323">
        <f>IF(F$2=0,"",IFERROR(TRIM(INDEX('Pegar calibracion'!$A$1:$BZ$1001,322,F$2)&amp;""),""))</f>
        <v/>
      </c>
      <c r="G323">
        <f>IF(G$2=0,"",IFERROR(TRIM(INDEX('Pegar calibracion'!$A$1:$BZ$1001,322,G$2)&amp;""),""))</f>
        <v/>
      </c>
      <c r="H323">
        <f>IF(H$2=0,"",IFERROR(TRIM(INDEX('Pegar calibracion'!$A$1:$BZ$1001,322,H$2)&amp;""),""))</f>
        <v/>
      </c>
      <c r="I323">
        <f>IF(I$2=0,"",IFERROR(TRIM(INDEX('Pegar calibracion'!$A$1:$BZ$1001,322,I$2)&amp;""),""))</f>
        <v/>
      </c>
      <c r="J323">
        <f>IF(J$2=0,"",IFERROR(TRIM(INDEX('Pegar calibracion'!$A$1:$BZ$1001,322,J$2)&amp;""),""))</f>
        <v/>
      </c>
      <c r="K323">
        <f>IF(K$2=0,"",IFERROR(TRIM(INDEX('Pegar calibracion'!$A$1:$BZ$1001,322,K$2)&amp;""),""))</f>
        <v/>
      </c>
      <c r="L323">
        <f>IF(L$2=0,"",IFERROR(TRIM(INDEX('Pegar calibracion'!$A$1:$BZ$1001,322,L$2)&amp;""),""))</f>
        <v/>
      </c>
      <c r="M323" s="25">
        <f>IF(D323="","",SUBSTITUTE(SUBSTITUTE(SUBSTITUTE(SUBSTITUTE(SUBSTITUTE(SUBSTITUTE(SUBSTITUTE(SUBSTITUTE(SUBSTITUTE(SUBSTITUTE(SUBSTITUTE(SUBSTITUTE(LOWER(TRIM(D323)),"á","a"),"é","e"),"í","i"),"ó","o"),"ú","u"),"ü","u"),"ñ","n"),"à","a"),"è","e"),"ì","i"),"ò","o"),"ù","u"))</f>
        <v/>
      </c>
      <c r="N323" s="25">
        <f>IF(F323="","",SUBSTITUTE(SUBSTITUTE(SUBSTITUTE(SUBSTITUTE(SUBSTITUTE(SUBSTITUTE(SUBSTITUTE(SUBSTITUTE(SUBSTITUTE(SUBSTITUTE(SUBSTITUTE(SUBSTITUTE(LOWER(TRIM(F323)),"á","a"),"é","e"),"í","i"),"ó","o"),"ú","u"),"ü","u"),"ñ","n"),"à","a"),"è","e"),"ì","i"),"ò","o"),"ù","u"))</f>
        <v/>
      </c>
      <c r="O323" s="25">
        <f>IF(M323="confiable",2,IF(M323="dudosa",1,IF(M323="no confiable",0,"")))</f>
        <v/>
      </c>
      <c r="P323" s="25">
        <f>IF(N323="confiable",2,IF(N323="dudosa",1,IF(N323="no confiable",0,"")))</f>
        <v/>
      </c>
      <c r="Q323" s="25">
        <f>IF(AND(ISNUMBER(O323),ISNUMBER(P323)),1,"")</f>
        <v/>
      </c>
      <c r="R323" s="25">
        <f>IF(Q323=1,IF(O323=P323,"Sí","No"),"")</f>
        <v/>
      </c>
      <c r="S323" s="25">
        <f>IF(Q323=1,IF(P323&lt;O323,"Más estricto",IF(P323&gt;O323,"Más permisivo","Igual")),"")</f>
        <v/>
      </c>
      <c r="T323" s="25">
        <f>IF(Q323=1,IF(ABS(O323-P323)=2,1,0),"")</f>
        <v/>
      </c>
      <c r="U323" s="25">
        <f>IF(H323="","","|"&amp;SUBSTITUTE(SUBSTITUTE(TRIM(H323)," |","|"),"| ","|")&amp;"|")</f>
        <v/>
      </c>
      <c r="V323" s="25">
        <f>IF(AND(Q323=1,B323&lt;&gt;""),IF(IFERROR(COUNTIFS(B$3:B323,"="&amp;SUBSTITUTE(SUBSTITUTE(SUBSTITUTE(B323,"~","~~"),"*","~*"),"?","~?"),Q$3:Q323,1),0)=1,MAX(V$2:V322)+1,""),"")</f>
        <v/>
      </c>
      <c r="W323" s="25">
        <f>IF(V323="","",COUNTIFS($B$3:$B$1002,"="&amp;SUBSTITUTE(SUBSTITUTE(SUBSTITUTE(B323,"~","~~"),"*","~*"),"?","~?"),$Q$3:$Q$1002,1)*10000-V323)</f>
        <v/>
      </c>
      <c r="X323" s="25">
        <f>IF(Q323=1,IF(SUBSTITUTE(SUBSTITUTE(SUBSTITUTE(SUBSTITUTE(SUBSTITUTE(SUBSTITUTE(SUBSTITUTE(SUBSTITUTE(SUBSTITUTE(SUBSTITUTE(SUBSTITUTE(SUBSTITUTE(LOWER(TRIM(A323)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323)),"á","a"),"é","e"),"í","i"),"ó","o"),"ú","u"),"ü","u"),"ñ","n"),"à","a"),"è","e"),"ì","i"),"ò","o"),"ù","u")),"")</f>
        <v/>
      </c>
      <c r="Y323" s="25">
        <f>IF(X323="","",IF(IFERROR(COUNTIF(X$3:X323,"="&amp;SUBSTITUTE(SUBSTITUTE(SUBSTITUTE(X323,"~","~~"),"*","~*"),"?","~?")),0)=1,1,""))</f>
        <v/>
      </c>
      <c r="Z323" s="25">
        <f>IF(T323=1,MAX(Z$2:Z322)+1,"")</f>
        <v/>
      </c>
    </row>
    <row r="324">
      <c r="A324">
        <f>IF(A$2=0,"",IFERROR(TRIM(INDEX('Pegar calibracion'!$A$1:$BZ$1001,323,A$2)&amp;""),""))</f>
        <v/>
      </c>
      <c r="B324">
        <f>IF(B$2=0,"",IFERROR(TRIM(INDEX('Pegar calibracion'!$A$1:$BZ$1001,323,B$2)&amp;""),""))</f>
        <v/>
      </c>
      <c r="C324">
        <f>IF(C$2=0,"",IFERROR(TRIM(INDEX('Pegar calibracion'!$A$1:$BZ$1001,323,C$2)&amp;""),""))</f>
        <v/>
      </c>
      <c r="D324">
        <f>IF(D$2=0,"",IFERROR(TRIM(INDEX('Pegar calibracion'!$A$1:$BZ$1001,323,D$2)&amp;""),""))</f>
        <v/>
      </c>
      <c r="E324">
        <f>IF(E$2=0,"",IFERROR(TRIM(INDEX('Pegar calibracion'!$A$1:$BZ$1001,323,E$2)&amp;""),""))</f>
        <v/>
      </c>
      <c r="F324">
        <f>IF(F$2=0,"",IFERROR(TRIM(INDEX('Pegar calibracion'!$A$1:$BZ$1001,323,F$2)&amp;""),""))</f>
        <v/>
      </c>
      <c r="G324">
        <f>IF(G$2=0,"",IFERROR(TRIM(INDEX('Pegar calibracion'!$A$1:$BZ$1001,323,G$2)&amp;""),""))</f>
        <v/>
      </c>
      <c r="H324">
        <f>IF(H$2=0,"",IFERROR(TRIM(INDEX('Pegar calibracion'!$A$1:$BZ$1001,323,H$2)&amp;""),""))</f>
        <v/>
      </c>
      <c r="I324">
        <f>IF(I$2=0,"",IFERROR(TRIM(INDEX('Pegar calibracion'!$A$1:$BZ$1001,323,I$2)&amp;""),""))</f>
        <v/>
      </c>
      <c r="J324">
        <f>IF(J$2=0,"",IFERROR(TRIM(INDEX('Pegar calibracion'!$A$1:$BZ$1001,323,J$2)&amp;""),""))</f>
        <v/>
      </c>
      <c r="K324">
        <f>IF(K$2=0,"",IFERROR(TRIM(INDEX('Pegar calibracion'!$A$1:$BZ$1001,323,K$2)&amp;""),""))</f>
        <v/>
      </c>
      <c r="L324">
        <f>IF(L$2=0,"",IFERROR(TRIM(INDEX('Pegar calibracion'!$A$1:$BZ$1001,323,L$2)&amp;""),""))</f>
        <v/>
      </c>
      <c r="M324" s="25">
        <f>IF(D324="","",SUBSTITUTE(SUBSTITUTE(SUBSTITUTE(SUBSTITUTE(SUBSTITUTE(SUBSTITUTE(SUBSTITUTE(SUBSTITUTE(SUBSTITUTE(SUBSTITUTE(SUBSTITUTE(SUBSTITUTE(LOWER(TRIM(D324)),"á","a"),"é","e"),"í","i"),"ó","o"),"ú","u"),"ü","u"),"ñ","n"),"à","a"),"è","e"),"ì","i"),"ò","o"),"ù","u"))</f>
        <v/>
      </c>
      <c r="N324" s="25">
        <f>IF(F324="","",SUBSTITUTE(SUBSTITUTE(SUBSTITUTE(SUBSTITUTE(SUBSTITUTE(SUBSTITUTE(SUBSTITUTE(SUBSTITUTE(SUBSTITUTE(SUBSTITUTE(SUBSTITUTE(SUBSTITUTE(LOWER(TRIM(F324)),"á","a"),"é","e"),"í","i"),"ó","o"),"ú","u"),"ü","u"),"ñ","n"),"à","a"),"è","e"),"ì","i"),"ò","o"),"ù","u"))</f>
        <v/>
      </c>
      <c r="O324" s="25">
        <f>IF(M324="confiable",2,IF(M324="dudosa",1,IF(M324="no confiable",0,"")))</f>
        <v/>
      </c>
      <c r="P324" s="25">
        <f>IF(N324="confiable",2,IF(N324="dudosa",1,IF(N324="no confiable",0,"")))</f>
        <v/>
      </c>
      <c r="Q324" s="25">
        <f>IF(AND(ISNUMBER(O324),ISNUMBER(P324)),1,"")</f>
        <v/>
      </c>
      <c r="R324" s="25">
        <f>IF(Q324=1,IF(O324=P324,"Sí","No"),"")</f>
        <v/>
      </c>
      <c r="S324" s="25">
        <f>IF(Q324=1,IF(P324&lt;O324,"Más estricto",IF(P324&gt;O324,"Más permisivo","Igual")),"")</f>
        <v/>
      </c>
      <c r="T324" s="25">
        <f>IF(Q324=1,IF(ABS(O324-P324)=2,1,0),"")</f>
        <v/>
      </c>
      <c r="U324" s="25">
        <f>IF(H324="","","|"&amp;SUBSTITUTE(SUBSTITUTE(TRIM(H324)," |","|"),"| ","|")&amp;"|")</f>
        <v/>
      </c>
      <c r="V324" s="25">
        <f>IF(AND(Q324=1,B324&lt;&gt;""),IF(IFERROR(COUNTIFS(B$3:B324,"="&amp;SUBSTITUTE(SUBSTITUTE(SUBSTITUTE(B324,"~","~~"),"*","~*"),"?","~?"),Q$3:Q324,1),0)=1,MAX(V$2:V323)+1,""),"")</f>
        <v/>
      </c>
      <c r="W324" s="25">
        <f>IF(V324="","",COUNTIFS($B$3:$B$1002,"="&amp;SUBSTITUTE(SUBSTITUTE(SUBSTITUTE(B324,"~","~~"),"*","~*"),"?","~?"),$Q$3:$Q$1002,1)*10000-V324)</f>
        <v/>
      </c>
      <c r="X324" s="25">
        <f>IF(Q324=1,IF(SUBSTITUTE(SUBSTITUTE(SUBSTITUTE(SUBSTITUTE(SUBSTITUTE(SUBSTITUTE(SUBSTITUTE(SUBSTITUTE(SUBSTITUTE(SUBSTITUTE(SUBSTITUTE(SUBSTITUTE(LOWER(TRIM(A324)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324)),"á","a"),"é","e"),"í","i"),"ó","o"),"ú","u"),"ü","u"),"ñ","n"),"à","a"),"è","e"),"ì","i"),"ò","o"),"ù","u")),"")</f>
        <v/>
      </c>
      <c r="Y324" s="25">
        <f>IF(X324="","",IF(IFERROR(COUNTIF(X$3:X324,"="&amp;SUBSTITUTE(SUBSTITUTE(SUBSTITUTE(X324,"~","~~"),"*","~*"),"?","~?")),0)=1,1,""))</f>
        <v/>
      </c>
      <c r="Z324" s="25">
        <f>IF(T324=1,MAX(Z$2:Z323)+1,"")</f>
        <v/>
      </c>
    </row>
    <row r="325">
      <c r="A325">
        <f>IF(A$2=0,"",IFERROR(TRIM(INDEX('Pegar calibracion'!$A$1:$BZ$1001,324,A$2)&amp;""),""))</f>
        <v/>
      </c>
      <c r="B325">
        <f>IF(B$2=0,"",IFERROR(TRIM(INDEX('Pegar calibracion'!$A$1:$BZ$1001,324,B$2)&amp;""),""))</f>
        <v/>
      </c>
      <c r="C325">
        <f>IF(C$2=0,"",IFERROR(TRIM(INDEX('Pegar calibracion'!$A$1:$BZ$1001,324,C$2)&amp;""),""))</f>
        <v/>
      </c>
      <c r="D325">
        <f>IF(D$2=0,"",IFERROR(TRIM(INDEX('Pegar calibracion'!$A$1:$BZ$1001,324,D$2)&amp;""),""))</f>
        <v/>
      </c>
      <c r="E325">
        <f>IF(E$2=0,"",IFERROR(TRIM(INDEX('Pegar calibracion'!$A$1:$BZ$1001,324,E$2)&amp;""),""))</f>
        <v/>
      </c>
      <c r="F325">
        <f>IF(F$2=0,"",IFERROR(TRIM(INDEX('Pegar calibracion'!$A$1:$BZ$1001,324,F$2)&amp;""),""))</f>
        <v/>
      </c>
      <c r="G325">
        <f>IF(G$2=0,"",IFERROR(TRIM(INDEX('Pegar calibracion'!$A$1:$BZ$1001,324,G$2)&amp;""),""))</f>
        <v/>
      </c>
      <c r="H325">
        <f>IF(H$2=0,"",IFERROR(TRIM(INDEX('Pegar calibracion'!$A$1:$BZ$1001,324,H$2)&amp;""),""))</f>
        <v/>
      </c>
      <c r="I325">
        <f>IF(I$2=0,"",IFERROR(TRIM(INDEX('Pegar calibracion'!$A$1:$BZ$1001,324,I$2)&amp;""),""))</f>
        <v/>
      </c>
      <c r="J325">
        <f>IF(J$2=0,"",IFERROR(TRIM(INDEX('Pegar calibracion'!$A$1:$BZ$1001,324,J$2)&amp;""),""))</f>
        <v/>
      </c>
      <c r="K325">
        <f>IF(K$2=0,"",IFERROR(TRIM(INDEX('Pegar calibracion'!$A$1:$BZ$1001,324,K$2)&amp;""),""))</f>
        <v/>
      </c>
      <c r="L325">
        <f>IF(L$2=0,"",IFERROR(TRIM(INDEX('Pegar calibracion'!$A$1:$BZ$1001,324,L$2)&amp;""),""))</f>
        <v/>
      </c>
      <c r="M325" s="25">
        <f>IF(D325="","",SUBSTITUTE(SUBSTITUTE(SUBSTITUTE(SUBSTITUTE(SUBSTITUTE(SUBSTITUTE(SUBSTITUTE(SUBSTITUTE(SUBSTITUTE(SUBSTITUTE(SUBSTITUTE(SUBSTITUTE(LOWER(TRIM(D325)),"á","a"),"é","e"),"í","i"),"ó","o"),"ú","u"),"ü","u"),"ñ","n"),"à","a"),"è","e"),"ì","i"),"ò","o"),"ù","u"))</f>
        <v/>
      </c>
      <c r="N325" s="25">
        <f>IF(F325="","",SUBSTITUTE(SUBSTITUTE(SUBSTITUTE(SUBSTITUTE(SUBSTITUTE(SUBSTITUTE(SUBSTITUTE(SUBSTITUTE(SUBSTITUTE(SUBSTITUTE(SUBSTITUTE(SUBSTITUTE(LOWER(TRIM(F325)),"á","a"),"é","e"),"í","i"),"ó","o"),"ú","u"),"ü","u"),"ñ","n"),"à","a"),"è","e"),"ì","i"),"ò","o"),"ù","u"))</f>
        <v/>
      </c>
      <c r="O325" s="25">
        <f>IF(M325="confiable",2,IF(M325="dudosa",1,IF(M325="no confiable",0,"")))</f>
        <v/>
      </c>
      <c r="P325" s="25">
        <f>IF(N325="confiable",2,IF(N325="dudosa",1,IF(N325="no confiable",0,"")))</f>
        <v/>
      </c>
      <c r="Q325" s="25">
        <f>IF(AND(ISNUMBER(O325),ISNUMBER(P325)),1,"")</f>
        <v/>
      </c>
      <c r="R325" s="25">
        <f>IF(Q325=1,IF(O325=P325,"Sí","No"),"")</f>
        <v/>
      </c>
      <c r="S325" s="25">
        <f>IF(Q325=1,IF(P325&lt;O325,"Más estricto",IF(P325&gt;O325,"Más permisivo","Igual")),"")</f>
        <v/>
      </c>
      <c r="T325" s="25">
        <f>IF(Q325=1,IF(ABS(O325-P325)=2,1,0),"")</f>
        <v/>
      </c>
      <c r="U325" s="25">
        <f>IF(H325="","","|"&amp;SUBSTITUTE(SUBSTITUTE(TRIM(H325)," |","|"),"| ","|")&amp;"|")</f>
        <v/>
      </c>
      <c r="V325" s="25">
        <f>IF(AND(Q325=1,B325&lt;&gt;""),IF(IFERROR(COUNTIFS(B$3:B325,"="&amp;SUBSTITUTE(SUBSTITUTE(SUBSTITUTE(B325,"~","~~"),"*","~*"),"?","~?"),Q$3:Q325,1),0)=1,MAX(V$2:V324)+1,""),"")</f>
        <v/>
      </c>
      <c r="W325" s="25">
        <f>IF(V325="","",COUNTIFS($B$3:$B$1002,"="&amp;SUBSTITUTE(SUBSTITUTE(SUBSTITUTE(B325,"~","~~"),"*","~*"),"?","~?"),$Q$3:$Q$1002,1)*10000-V325)</f>
        <v/>
      </c>
      <c r="X325" s="25">
        <f>IF(Q325=1,IF(SUBSTITUTE(SUBSTITUTE(SUBSTITUTE(SUBSTITUTE(SUBSTITUTE(SUBSTITUTE(SUBSTITUTE(SUBSTITUTE(SUBSTITUTE(SUBSTITUTE(SUBSTITUTE(SUBSTITUTE(LOWER(TRIM(A325)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325)),"á","a"),"é","e"),"í","i"),"ó","o"),"ú","u"),"ü","u"),"ñ","n"),"à","a"),"è","e"),"ì","i"),"ò","o"),"ù","u")),"")</f>
        <v/>
      </c>
      <c r="Y325" s="25">
        <f>IF(X325="","",IF(IFERROR(COUNTIF(X$3:X325,"="&amp;SUBSTITUTE(SUBSTITUTE(SUBSTITUTE(X325,"~","~~"),"*","~*"),"?","~?")),0)=1,1,""))</f>
        <v/>
      </c>
      <c r="Z325" s="25">
        <f>IF(T325=1,MAX(Z$2:Z324)+1,"")</f>
        <v/>
      </c>
    </row>
    <row r="326">
      <c r="A326">
        <f>IF(A$2=0,"",IFERROR(TRIM(INDEX('Pegar calibracion'!$A$1:$BZ$1001,325,A$2)&amp;""),""))</f>
        <v/>
      </c>
      <c r="B326">
        <f>IF(B$2=0,"",IFERROR(TRIM(INDEX('Pegar calibracion'!$A$1:$BZ$1001,325,B$2)&amp;""),""))</f>
        <v/>
      </c>
      <c r="C326">
        <f>IF(C$2=0,"",IFERROR(TRIM(INDEX('Pegar calibracion'!$A$1:$BZ$1001,325,C$2)&amp;""),""))</f>
        <v/>
      </c>
      <c r="D326">
        <f>IF(D$2=0,"",IFERROR(TRIM(INDEX('Pegar calibracion'!$A$1:$BZ$1001,325,D$2)&amp;""),""))</f>
        <v/>
      </c>
      <c r="E326">
        <f>IF(E$2=0,"",IFERROR(TRIM(INDEX('Pegar calibracion'!$A$1:$BZ$1001,325,E$2)&amp;""),""))</f>
        <v/>
      </c>
      <c r="F326">
        <f>IF(F$2=0,"",IFERROR(TRIM(INDEX('Pegar calibracion'!$A$1:$BZ$1001,325,F$2)&amp;""),""))</f>
        <v/>
      </c>
      <c r="G326">
        <f>IF(G$2=0,"",IFERROR(TRIM(INDEX('Pegar calibracion'!$A$1:$BZ$1001,325,G$2)&amp;""),""))</f>
        <v/>
      </c>
      <c r="H326">
        <f>IF(H$2=0,"",IFERROR(TRIM(INDEX('Pegar calibracion'!$A$1:$BZ$1001,325,H$2)&amp;""),""))</f>
        <v/>
      </c>
      <c r="I326">
        <f>IF(I$2=0,"",IFERROR(TRIM(INDEX('Pegar calibracion'!$A$1:$BZ$1001,325,I$2)&amp;""),""))</f>
        <v/>
      </c>
      <c r="J326">
        <f>IF(J$2=0,"",IFERROR(TRIM(INDEX('Pegar calibracion'!$A$1:$BZ$1001,325,J$2)&amp;""),""))</f>
        <v/>
      </c>
      <c r="K326">
        <f>IF(K$2=0,"",IFERROR(TRIM(INDEX('Pegar calibracion'!$A$1:$BZ$1001,325,K$2)&amp;""),""))</f>
        <v/>
      </c>
      <c r="L326">
        <f>IF(L$2=0,"",IFERROR(TRIM(INDEX('Pegar calibracion'!$A$1:$BZ$1001,325,L$2)&amp;""),""))</f>
        <v/>
      </c>
      <c r="M326" s="25">
        <f>IF(D326="","",SUBSTITUTE(SUBSTITUTE(SUBSTITUTE(SUBSTITUTE(SUBSTITUTE(SUBSTITUTE(SUBSTITUTE(SUBSTITUTE(SUBSTITUTE(SUBSTITUTE(SUBSTITUTE(SUBSTITUTE(LOWER(TRIM(D326)),"á","a"),"é","e"),"í","i"),"ó","o"),"ú","u"),"ü","u"),"ñ","n"),"à","a"),"è","e"),"ì","i"),"ò","o"),"ù","u"))</f>
        <v/>
      </c>
      <c r="N326" s="25">
        <f>IF(F326="","",SUBSTITUTE(SUBSTITUTE(SUBSTITUTE(SUBSTITUTE(SUBSTITUTE(SUBSTITUTE(SUBSTITUTE(SUBSTITUTE(SUBSTITUTE(SUBSTITUTE(SUBSTITUTE(SUBSTITUTE(LOWER(TRIM(F326)),"á","a"),"é","e"),"í","i"),"ó","o"),"ú","u"),"ü","u"),"ñ","n"),"à","a"),"è","e"),"ì","i"),"ò","o"),"ù","u"))</f>
        <v/>
      </c>
      <c r="O326" s="25">
        <f>IF(M326="confiable",2,IF(M326="dudosa",1,IF(M326="no confiable",0,"")))</f>
        <v/>
      </c>
      <c r="P326" s="25">
        <f>IF(N326="confiable",2,IF(N326="dudosa",1,IF(N326="no confiable",0,"")))</f>
        <v/>
      </c>
      <c r="Q326" s="25">
        <f>IF(AND(ISNUMBER(O326),ISNUMBER(P326)),1,"")</f>
        <v/>
      </c>
      <c r="R326" s="25">
        <f>IF(Q326=1,IF(O326=P326,"Sí","No"),"")</f>
        <v/>
      </c>
      <c r="S326" s="25">
        <f>IF(Q326=1,IF(P326&lt;O326,"Más estricto",IF(P326&gt;O326,"Más permisivo","Igual")),"")</f>
        <v/>
      </c>
      <c r="T326" s="25">
        <f>IF(Q326=1,IF(ABS(O326-P326)=2,1,0),"")</f>
        <v/>
      </c>
      <c r="U326" s="25">
        <f>IF(H326="","","|"&amp;SUBSTITUTE(SUBSTITUTE(TRIM(H326)," |","|"),"| ","|")&amp;"|")</f>
        <v/>
      </c>
      <c r="V326" s="25">
        <f>IF(AND(Q326=1,B326&lt;&gt;""),IF(IFERROR(COUNTIFS(B$3:B326,"="&amp;SUBSTITUTE(SUBSTITUTE(SUBSTITUTE(B326,"~","~~"),"*","~*"),"?","~?"),Q$3:Q326,1),0)=1,MAX(V$2:V325)+1,""),"")</f>
        <v/>
      </c>
      <c r="W326" s="25">
        <f>IF(V326="","",COUNTIFS($B$3:$B$1002,"="&amp;SUBSTITUTE(SUBSTITUTE(SUBSTITUTE(B326,"~","~~"),"*","~*"),"?","~?"),$Q$3:$Q$1002,1)*10000-V326)</f>
        <v/>
      </c>
      <c r="X326" s="25">
        <f>IF(Q326=1,IF(SUBSTITUTE(SUBSTITUTE(SUBSTITUTE(SUBSTITUTE(SUBSTITUTE(SUBSTITUTE(SUBSTITUTE(SUBSTITUTE(SUBSTITUTE(SUBSTITUTE(SUBSTITUTE(SUBSTITUTE(LOWER(TRIM(A326)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326)),"á","a"),"é","e"),"í","i"),"ó","o"),"ú","u"),"ü","u"),"ñ","n"),"à","a"),"è","e"),"ì","i"),"ò","o"),"ù","u")),"")</f>
        <v/>
      </c>
      <c r="Y326" s="25">
        <f>IF(X326="","",IF(IFERROR(COUNTIF(X$3:X326,"="&amp;SUBSTITUTE(SUBSTITUTE(SUBSTITUTE(X326,"~","~~"),"*","~*"),"?","~?")),0)=1,1,""))</f>
        <v/>
      </c>
      <c r="Z326" s="25">
        <f>IF(T326=1,MAX(Z$2:Z325)+1,"")</f>
        <v/>
      </c>
    </row>
    <row r="327">
      <c r="A327">
        <f>IF(A$2=0,"",IFERROR(TRIM(INDEX('Pegar calibracion'!$A$1:$BZ$1001,326,A$2)&amp;""),""))</f>
        <v/>
      </c>
      <c r="B327">
        <f>IF(B$2=0,"",IFERROR(TRIM(INDEX('Pegar calibracion'!$A$1:$BZ$1001,326,B$2)&amp;""),""))</f>
        <v/>
      </c>
      <c r="C327">
        <f>IF(C$2=0,"",IFERROR(TRIM(INDEX('Pegar calibracion'!$A$1:$BZ$1001,326,C$2)&amp;""),""))</f>
        <v/>
      </c>
      <c r="D327">
        <f>IF(D$2=0,"",IFERROR(TRIM(INDEX('Pegar calibracion'!$A$1:$BZ$1001,326,D$2)&amp;""),""))</f>
        <v/>
      </c>
      <c r="E327">
        <f>IF(E$2=0,"",IFERROR(TRIM(INDEX('Pegar calibracion'!$A$1:$BZ$1001,326,E$2)&amp;""),""))</f>
        <v/>
      </c>
      <c r="F327">
        <f>IF(F$2=0,"",IFERROR(TRIM(INDEX('Pegar calibracion'!$A$1:$BZ$1001,326,F$2)&amp;""),""))</f>
        <v/>
      </c>
      <c r="G327">
        <f>IF(G$2=0,"",IFERROR(TRIM(INDEX('Pegar calibracion'!$A$1:$BZ$1001,326,G$2)&amp;""),""))</f>
        <v/>
      </c>
      <c r="H327">
        <f>IF(H$2=0,"",IFERROR(TRIM(INDEX('Pegar calibracion'!$A$1:$BZ$1001,326,H$2)&amp;""),""))</f>
        <v/>
      </c>
      <c r="I327">
        <f>IF(I$2=0,"",IFERROR(TRIM(INDEX('Pegar calibracion'!$A$1:$BZ$1001,326,I$2)&amp;""),""))</f>
        <v/>
      </c>
      <c r="J327">
        <f>IF(J$2=0,"",IFERROR(TRIM(INDEX('Pegar calibracion'!$A$1:$BZ$1001,326,J$2)&amp;""),""))</f>
        <v/>
      </c>
      <c r="K327">
        <f>IF(K$2=0,"",IFERROR(TRIM(INDEX('Pegar calibracion'!$A$1:$BZ$1001,326,K$2)&amp;""),""))</f>
        <v/>
      </c>
      <c r="L327">
        <f>IF(L$2=0,"",IFERROR(TRIM(INDEX('Pegar calibracion'!$A$1:$BZ$1001,326,L$2)&amp;""),""))</f>
        <v/>
      </c>
      <c r="M327" s="25">
        <f>IF(D327="","",SUBSTITUTE(SUBSTITUTE(SUBSTITUTE(SUBSTITUTE(SUBSTITUTE(SUBSTITUTE(SUBSTITUTE(SUBSTITUTE(SUBSTITUTE(SUBSTITUTE(SUBSTITUTE(SUBSTITUTE(LOWER(TRIM(D327)),"á","a"),"é","e"),"í","i"),"ó","o"),"ú","u"),"ü","u"),"ñ","n"),"à","a"),"è","e"),"ì","i"),"ò","o"),"ù","u"))</f>
        <v/>
      </c>
      <c r="N327" s="25">
        <f>IF(F327="","",SUBSTITUTE(SUBSTITUTE(SUBSTITUTE(SUBSTITUTE(SUBSTITUTE(SUBSTITUTE(SUBSTITUTE(SUBSTITUTE(SUBSTITUTE(SUBSTITUTE(SUBSTITUTE(SUBSTITUTE(LOWER(TRIM(F327)),"á","a"),"é","e"),"í","i"),"ó","o"),"ú","u"),"ü","u"),"ñ","n"),"à","a"),"è","e"),"ì","i"),"ò","o"),"ù","u"))</f>
        <v/>
      </c>
      <c r="O327" s="25">
        <f>IF(M327="confiable",2,IF(M327="dudosa",1,IF(M327="no confiable",0,"")))</f>
        <v/>
      </c>
      <c r="P327" s="25">
        <f>IF(N327="confiable",2,IF(N327="dudosa",1,IF(N327="no confiable",0,"")))</f>
        <v/>
      </c>
      <c r="Q327" s="25">
        <f>IF(AND(ISNUMBER(O327),ISNUMBER(P327)),1,"")</f>
        <v/>
      </c>
      <c r="R327" s="25">
        <f>IF(Q327=1,IF(O327=P327,"Sí","No"),"")</f>
        <v/>
      </c>
      <c r="S327" s="25">
        <f>IF(Q327=1,IF(P327&lt;O327,"Más estricto",IF(P327&gt;O327,"Más permisivo","Igual")),"")</f>
        <v/>
      </c>
      <c r="T327" s="25">
        <f>IF(Q327=1,IF(ABS(O327-P327)=2,1,0),"")</f>
        <v/>
      </c>
      <c r="U327" s="25">
        <f>IF(H327="","","|"&amp;SUBSTITUTE(SUBSTITUTE(TRIM(H327)," |","|"),"| ","|")&amp;"|")</f>
        <v/>
      </c>
      <c r="V327" s="25">
        <f>IF(AND(Q327=1,B327&lt;&gt;""),IF(IFERROR(COUNTIFS(B$3:B327,"="&amp;SUBSTITUTE(SUBSTITUTE(SUBSTITUTE(B327,"~","~~"),"*","~*"),"?","~?"),Q$3:Q327,1),0)=1,MAX(V$2:V326)+1,""),"")</f>
        <v/>
      </c>
      <c r="W327" s="25">
        <f>IF(V327="","",COUNTIFS($B$3:$B$1002,"="&amp;SUBSTITUTE(SUBSTITUTE(SUBSTITUTE(B327,"~","~~"),"*","~*"),"?","~?"),$Q$3:$Q$1002,1)*10000-V327)</f>
        <v/>
      </c>
      <c r="X327" s="25">
        <f>IF(Q327=1,IF(SUBSTITUTE(SUBSTITUTE(SUBSTITUTE(SUBSTITUTE(SUBSTITUTE(SUBSTITUTE(SUBSTITUTE(SUBSTITUTE(SUBSTITUTE(SUBSTITUTE(SUBSTITUTE(SUBSTITUTE(LOWER(TRIM(A327)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327)),"á","a"),"é","e"),"í","i"),"ó","o"),"ú","u"),"ü","u"),"ñ","n"),"à","a"),"è","e"),"ì","i"),"ò","o"),"ù","u")),"")</f>
        <v/>
      </c>
      <c r="Y327" s="25">
        <f>IF(X327="","",IF(IFERROR(COUNTIF(X$3:X327,"="&amp;SUBSTITUTE(SUBSTITUTE(SUBSTITUTE(X327,"~","~~"),"*","~*"),"?","~?")),0)=1,1,""))</f>
        <v/>
      </c>
      <c r="Z327" s="25">
        <f>IF(T327=1,MAX(Z$2:Z326)+1,"")</f>
        <v/>
      </c>
    </row>
    <row r="328">
      <c r="A328">
        <f>IF(A$2=0,"",IFERROR(TRIM(INDEX('Pegar calibracion'!$A$1:$BZ$1001,327,A$2)&amp;""),""))</f>
        <v/>
      </c>
      <c r="B328">
        <f>IF(B$2=0,"",IFERROR(TRIM(INDEX('Pegar calibracion'!$A$1:$BZ$1001,327,B$2)&amp;""),""))</f>
        <v/>
      </c>
      <c r="C328">
        <f>IF(C$2=0,"",IFERROR(TRIM(INDEX('Pegar calibracion'!$A$1:$BZ$1001,327,C$2)&amp;""),""))</f>
        <v/>
      </c>
      <c r="D328">
        <f>IF(D$2=0,"",IFERROR(TRIM(INDEX('Pegar calibracion'!$A$1:$BZ$1001,327,D$2)&amp;""),""))</f>
        <v/>
      </c>
      <c r="E328">
        <f>IF(E$2=0,"",IFERROR(TRIM(INDEX('Pegar calibracion'!$A$1:$BZ$1001,327,E$2)&amp;""),""))</f>
        <v/>
      </c>
      <c r="F328">
        <f>IF(F$2=0,"",IFERROR(TRIM(INDEX('Pegar calibracion'!$A$1:$BZ$1001,327,F$2)&amp;""),""))</f>
        <v/>
      </c>
      <c r="G328">
        <f>IF(G$2=0,"",IFERROR(TRIM(INDEX('Pegar calibracion'!$A$1:$BZ$1001,327,G$2)&amp;""),""))</f>
        <v/>
      </c>
      <c r="H328">
        <f>IF(H$2=0,"",IFERROR(TRIM(INDEX('Pegar calibracion'!$A$1:$BZ$1001,327,H$2)&amp;""),""))</f>
        <v/>
      </c>
      <c r="I328">
        <f>IF(I$2=0,"",IFERROR(TRIM(INDEX('Pegar calibracion'!$A$1:$BZ$1001,327,I$2)&amp;""),""))</f>
        <v/>
      </c>
      <c r="J328">
        <f>IF(J$2=0,"",IFERROR(TRIM(INDEX('Pegar calibracion'!$A$1:$BZ$1001,327,J$2)&amp;""),""))</f>
        <v/>
      </c>
      <c r="K328">
        <f>IF(K$2=0,"",IFERROR(TRIM(INDEX('Pegar calibracion'!$A$1:$BZ$1001,327,K$2)&amp;""),""))</f>
        <v/>
      </c>
      <c r="L328">
        <f>IF(L$2=0,"",IFERROR(TRIM(INDEX('Pegar calibracion'!$A$1:$BZ$1001,327,L$2)&amp;""),""))</f>
        <v/>
      </c>
      <c r="M328" s="25">
        <f>IF(D328="","",SUBSTITUTE(SUBSTITUTE(SUBSTITUTE(SUBSTITUTE(SUBSTITUTE(SUBSTITUTE(SUBSTITUTE(SUBSTITUTE(SUBSTITUTE(SUBSTITUTE(SUBSTITUTE(SUBSTITUTE(LOWER(TRIM(D328)),"á","a"),"é","e"),"í","i"),"ó","o"),"ú","u"),"ü","u"),"ñ","n"),"à","a"),"è","e"),"ì","i"),"ò","o"),"ù","u"))</f>
        <v/>
      </c>
      <c r="N328" s="25">
        <f>IF(F328="","",SUBSTITUTE(SUBSTITUTE(SUBSTITUTE(SUBSTITUTE(SUBSTITUTE(SUBSTITUTE(SUBSTITUTE(SUBSTITUTE(SUBSTITUTE(SUBSTITUTE(SUBSTITUTE(SUBSTITUTE(LOWER(TRIM(F328)),"á","a"),"é","e"),"í","i"),"ó","o"),"ú","u"),"ü","u"),"ñ","n"),"à","a"),"è","e"),"ì","i"),"ò","o"),"ù","u"))</f>
        <v/>
      </c>
      <c r="O328" s="25">
        <f>IF(M328="confiable",2,IF(M328="dudosa",1,IF(M328="no confiable",0,"")))</f>
        <v/>
      </c>
      <c r="P328" s="25">
        <f>IF(N328="confiable",2,IF(N328="dudosa",1,IF(N328="no confiable",0,"")))</f>
        <v/>
      </c>
      <c r="Q328" s="25">
        <f>IF(AND(ISNUMBER(O328),ISNUMBER(P328)),1,"")</f>
        <v/>
      </c>
      <c r="R328" s="25">
        <f>IF(Q328=1,IF(O328=P328,"Sí","No"),"")</f>
        <v/>
      </c>
      <c r="S328" s="25">
        <f>IF(Q328=1,IF(P328&lt;O328,"Más estricto",IF(P328&gt;O328,"Más permisivo","Igual")),"")</f>
        <v/>
      </c>
      <c r="T328" s="25">
        <f>IF(Q328=1,IF(ABS(O328-P328)=2,1,0),"")</f>
        <v/>
      </c>
      <c r="U328" s="25">
        <f>IF(H328="","","|"&amp;SUBSTITUTE(SUBSTITUTE(TRIM(H328)," |","|"),"| ","|")&amp;"|")</f>
        <v/>
      </c>
      <c r="V328" s="25">
        <f>IF(AND(Q328=1,B328&lt;&gt;""),IF(IFERROR(COUNTIFS(B$3:B328,"="&amp;SUBSTITUTE(SUBSTITUTE(SUBSTITUTE(B328,"~","~~"),"*","~*"),"?","~?"),Q$3:Q328,1),0)=1,MAX(V$2:V327)+1,""),"")</f>
        <v/>
      </c>
      <c r="W328" s="25">
        <f>IF(V328="","",COUNTIFS($B$3:$B$1002,"="&amp;SUBSTITUTE(SUBSTITUTE(SUBSTITUTE(B328,"~","~~"),"*","~*"),"?","~?"),$Q$3:$Q$1002,1)*10000-V328)</f>
        <v/>
      </c>
      <c r="X328" s="25">
        <f>IF(Q328=1,IF(SUBSTITUTE(SUBSTITUTE(SUBSTITUTE(SUBSTITUTE(SUBSTITUTE(SUBSTITUTE(SUBSTITUTE(SUBSTITUTE(SUBSTITUTE(SUBSTITUTE(SUBSTITUTE(SUBSTITUTE(LOWER(TRIM(A328)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328)),"á","a"),"é","e"),"í","i"),"ó","o"),"ú","u"),"ü","u"),"ñ","n"),"à","a"),"è","e"),"ì","i"),"ò","o"),"ù","u")),"")</f>
        <v/>
      </c>
      <c r="Y328" s="25">
        <f>IF(X328="","",IF(IFERROR(COUNTIF(X$3:X328,"="&amp;SUBSTITUTE(SUBSTITUTE(SUBSTITUTE(X328,"~","~~"),"*","~*"),"?","~?")),0)=1,1,""))</f>
        <v/>
      </c>
      <c r="Z328" s="25">
        <f>IF(T328=1,MAX(Z$2:Z327)+1,"")</f>
        <v/>
      </c>
    </row>
    <row r="329">
      <c r="A329">
        <f>IF(A$2=0,"",IFERROR(TRIM(INDEX('Pegar calibracion'!$A$1:$BZ$1001,328,A$2)&amp;""),""))</f>
        <v/>
      </c>
      <c r="B329">
        <f>IF(B$2=0,"",IFERROR(TRIM(INDEX('Pegar calibracion'!$A$1:$BZ$1001,328,B$2)&amp;""),""))</f>
        <v/>
      </c>
      <c r="C329">
        <f>IF(C$2=0,"",IFERROR(TRIM(INDEX('Pegar calibracion'!$A$1:$BZ$1001,328,C$2)&amp;""),""))</f>
        <v/>
      </c>
      <c r="D329">
        <f>IF(D$2=0,"",IFERROR(TRIM(INDEX('Pegar calibracion'!$A$1:$BZ$1001,328,D$2)&amp;""),""))</f>
        <v/>
      </c>
      <c r="E329">
        <f>IF(E$2=0,"",IFERROR(TRIM(INDEX('Pegar calibracion'!$A$1:$BZ$1001,328,E$2)&amp;""),""))</f>
        <v/>
      </c>
      <c r="F329">
        <f>IF(F$2=0,"",IFERROR(TRIM(INDEX('Pegar calibracion'!$A$1:$BZ$1001,328,F$2)&amp;""),""))</f>
        <v/>
      </c>
      <c r="G329">
        <f>IF(G$2=0,"",IFERROR(TRIM(INDEX('Pegar calibracion'!$A$1:$BZ$1001,328,G$2)&amp;""),""))</f>
        <v/>
      </c>
      <c r="H329">
        <f>IF(H$2=0,"",IFERROR(TRIM(INDEX('Pegar calibracion'!$A$1:$BZ$1001,328,H$2)&amp;""),""))</f>
        <v/>
      </c>
      <c r="I329">
        <f>IF(I$2=0,"",IFERROR(TRIM(INDEX('Pegar calibracion'!$A$1:$BZ$1001,328,I$2)&amp;""),""))</f>
        <v/>
      </c>
      <c r="J329">
        <f>IF(J$2=0,"",IFERROR(TRIM(INDEX('Pegar calibracion'!$A$1:$BZ$1001,328,J$2)&amp;""),""))</f>
        <v/>
      </c>
      <c r="K329">
        <f>IF(K$2=0,"",IFERROR(TRIM(INDEX('Pegar calibracion'!$A$1:$BZ$1001,328,K$2)&amp;""),""))</f>
        <v/>
      </c>
      <c r="L329">
        <f>IF(L$2=0,"",IFERROR(TRIM(INDEX('Pegar calibracion'!$A$1:$BZ$1001,328,L$2)&amp;""),""))</f>
        <v/>
      </c>
      <c r="M329" s="25">
        <f>IF(D329="","",SUBSTITUTE(SUBSTITUTE(SUBSTITUTE(SUBSTITUTE(SUBSTITUTE(SUBSTITUTE(SUBSTITUTE(SUBSTITUTE(SUBSTITUTE(SUBSTITUTE(SUBSTITUTE(SUBSTITUTE(LOWER(TRIM(D329)),"á","a"),"é","e"),"í","i"),"ó","o"),"ú","u"),"ü","u"),"ñ","n"),"à","a"),"è","e"),"ì","i"),"ò","o"),"ù","u"))</f>
        <v/>
      </c>
      <c r="N329" s="25">
        <f>IF(F329="","",SUBSTITUTE(SUBSTITUTE(SUBSTITUTE(SUBSTITUTE(SUBSTITUTE(SUBSTITUTE(SUBSTITUTE(SUBSTITUTE(SUBSTITUTE(SUBSTITUTE(SUBSTITUTE(SUBSTITUTE(LOWER(TRIM(F329)),"á","a"),"é","e"),"í","i"),"ó","o"),"ú","u"),"ü","u"),"ñ","n"),"à","a"),"è","e"),"ì","i"),"ò","o"),"ù","u"))</f>
        <v/>
      </c>
      <c r="O329" s="25">
        <f>IF(M329="confiable",2,IF(M329="dudosa",1,IF(M329="no confiable",0,"")))</f>
        <v/>
      </c>
      <c r="P329" s="25">
        <f>IF(N329="confiable",2,IF(N329="dudosa",1,IF(N329="no confiable",0,"")))</f>
        <v/>
      </c>
      <c r="Q329" s="25">
        <f>IF(AND(ISNUMBER(O329),ISNUMBER(P329)),1,"")</f>
        <v/>
      </c>
      <c r="R329" s="25">
        <f>IF(Q329=1,IF(O329=P329,"Sí","No"),"")</f>
        <v/>
      </c>
      <c r="S329" s="25">
        <f>IF(Q329=1,IF(P329&lt;O329,"Más estricto",IF(P329&gt;O329,"Más permisivo","Igual")),"")</f>
        <v/>
      </c>
      <c r="T329" s="25">
        <f>IF(Q329=1,IF(ABS(O329-P329)=2,1,0),"")</f>
        <v/>
      </c>
      <c r="U329" s="25">
        <f>IF(H329="","","|"&amp;SUBSTITUTE(SUBSTITUTE(TRIM(H329)," |","|"),"| ","|")&amp;"|")</f>
        <v/>
      </c>
      <c r="V329" s="25">
        <f>IF(AND(Q329=1,B329&lt;&gt;""),IF(IFERROR(COUNTIFS(B$3:B329,"="&amp;SUBSTITUTE(SUBSTITUTE(SUBSTITUTE(B329,"~","~~"),"*","~*"),"?","~?"),Q$3:Q329,1),0)=1,MAX(V$2:V328)+1,""),"")</f>
        <v/>
      </c>
      <c r="W329" s="25">
        <f>IF(V329="","",COUNTIFS($B$3:$B$1002,"="&amp;SUBSTITUTE(SUBSTITUTE(SUBSTITUTE(B329,"~","~~"),"*","~*"),"?","~?"),$Q$3:$Q$1002,1)*10000-V329)</f>
        <v/>
      </c>
      <c r="X329" s="25">
        <f>IF(Q329=1,IF(SUBSTITUTE(SUBSTITUTE(SUBSTITUTE(SUBSTITUTE(SUBSTITUTE(SUBSTITUTE(SUBSTITUTE(SUBSTITUTE(SUBSTITUTE(SUBSTITUTE(SUBSTITUTE(SUBSTITUTE(LOWER(TRIM(A329)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329)),"á","a"),"é","e"),"í","i"),"ó","o"),"ú","u"),"ü","u"),"ñ","n"),"à","a"),"è","e"),"ì","i"),"ò","o"),"ù","u")),"")</f>
        <v/>
      </c>
      <c r="Y329" s="25">
        <f>IF(X329="","",IF(IFERROR(COUNTIF(X$3:X329,"="&amp;SUBSTITUTE(SUBSTITUTE(SUBSTITUTE(X329,"~","~~"),"*","~*"),"?","~?")),0)=1,1,""))</f>
        <v/>
      </c>
      <c r="Z329" s="25">
        <f>IF(T329=1,MAX(Z$2:Z328)+1,"")</f>
        <v/>
      </c>
    </row>
    <row r="330">
      <c r="A330">
        <f>IF(A$2=0,"",IFERROR(TRIM(INDEX('Pegar calibracion'!$A$1:$BZ$1001,329,A$2)&amp;""),""))</f>
        <v/>
      </c>
      <c r="B330">
        <f>IF(B$2=0,"",IFERROR(TRIM(INDEX('Pegar calibracion'!$A$1:$BZ$1001,329,B$2)&amp;""),""))</f>
        <v/>
      </c>
      <c r="C330">
        <f>IF(C$2=0,"",IFERROR(TRIM(INDEX('Pegar calibracion'!$A$1:$BZ$1001,329,C$2)&amp;""),""))</f>
        <v/>
      </c>
      <c r="D330">
        <f>IF(D$2=0,"",IFERROR(TRIM(INDEX('Pegar calibracion'!$A$1:$BZ$1001,329,D$2)&amp;""),""))</f>
        <v/>
      </c>
      <c r="E330">
        <f>IF(E$2=0,"",IFERROR(TRIM(INDEX('Pegar calibracion'!$A$1:$BZ$1001,329,E$2)&amp;""),""))</f>
        <v/>
      </c>
      <c r="F330">
        <f>IF(F$2=0,"",IFERROR(TRIM(INDEX('Pegar calibracion'!$A$1:$BZ$1001,329,F$2)&amp;""),""))</f>
        <v/>
      </c>
      <c r="G330">
        <f>IF(G$2=0,"",IFERROR(TRIM(INDEX('Pegar calibracion'!$A$1:$BZ$1001,329,G$2)&amp;""),""))</f>
        <v/>
      </c>
      <c r="H330">
        <f>IF(H$2=0,"",IFERROR(TRIM(INDEX('Pegar calibracion'!$A$1:$BZ$1001,329,H$2)&amp;""),""))</f>
        <v/>
      </c>
      <c r="I330">
        <f>IF(I$2=0,"",IFERROR(TRIM(INDEX('Pegar calibracion'!$A$1:$BZ$1001,329,I$2)&amp;""),""))</f>
        <v/>
      </c>
      <c r="J330">
        <f>IF(J$2=0,"",IFERROR(TRIM(INDEX('Pegar calibracion'!$A$1:$BZ$1001,329,J$2)&amp;""),""))</f>
        <v/>
      </c>
      <c r="K330">
        <f>IF(K$2=0,"",IFERROR(TRIM(INDEX('Pegar calibracion'!$A$1:$BZ$1001,329,K$2)&amp;""),""))</f>
        <v/>
      </c>
      <c r="L330">
        <f>IF(L$2=0,"",IFERROR(TRIM(INDEX('Pegar calibracion'!$A$1:$BZ$1001,329,L$2)&amp;""),""))</f>
        <v/>
      </c>
      <c r="M330" s="25">
        <f>IF(D330="","",SUBSTITUTE(SUBSTITUTE(SUBSTITUTE(SUBSTITUTE(SUBSTITUTE(SUBSTITUTE(SUBSTITUTE(SUBSTITUTE(SUBSTITUTE(SUBSTITUTE(SUBSTITUTE(SUBSTITUTE(LOWER(TRIM(D330)),"á","a"),"é","e"),"í","i"),"ó","o"),"ú","u"),"ü","u"),"ñ","n"),"à","a"),"è","e"),"ì","i"),"ò","o"),"ù","u"))</f>
        <v/>
      </c>
      <c r="N330" s="25">
        <f>IF(F330="","",SUBSTITUTE(SUBSTITUTE(SUBSTITUTE(SUBSTITUTE(SUBSTITUTE(SUBSTITUTE(SUBSTITUTE(SUBSTITUTE(SUBSTITUTE(SUBSTITUTE(SUBSTITUTE(SUBSTITUTE(LOWER(TRIM(F330)),"á","a"),"é","e"),"í","i"),"ó","o"),"ú","u"),"ü","u"),"ñ","n"),"à","a"),"è","e"),"ì","i"),"ò","o"),"ù","u"))</f>
        <v/>
      </c>
      <c r="O330" s="25">
        <f>IF(M330="confiable",2,IF(M330="dudosa",1,IF(M330="no confiable",0,"")))</f>
        <v/>
      </c>
      <c r="P330" s="25">
        <f>IF(N330="confiable",2,IF(N330="dudosa",1,IF(N330="no confiable",0,"")))</f>
        <v/>
      </c>
      <c r="Q330" s="25">
        <f>IF(AND(ISNUMBER(O330),ISNUMBER(P330)),1,"")</f>
        <v/>
      </c>
      <c r="R330" s="25">
        <f>IF(Q330=1,IF(O330=P330,"Sí","No"),"")</f>
        <v/>
      </c>
      <c r="S330" s="25">
        <f>IF(Q330=1,IF(P330&lt;O330,"Más estricto",IF(P330&gt;O330,"Más permisivo","Igual")),"")</f>
        <v/>
      </c>
      <c r="T330" s="25">
        <f>IF(Q330=1,IF(ABS(O330-P330)=2,1,0),"")</f>
        <v/>
      </c>
      <c r="U330" s="25">
        <f>IF(H330="","","|"&amp;SUBSTITUTE(SUBSTITUTE(TRIM(H330)," |","|"),"| ","|")&amp;"|")</f>
        <v/>
      </c>
      <c r="V330" s="25">
        <f>IF(AND(Q330=1,B330&lt;&gt;""),IF(IFERROR(COUNTIFS(B$3:B330,"="&amp;SUBSTITUTE(SUBSTITUTE(SUBSTITUTE(B330,"~","~~"),"*","~*"),"?","~?"),Q$3:Q330,1),0)=1,MAX(V$2:V329)+1,""),"")</f>
        <v/>
      </c>
      <c r="W330" s="25">
        <f>IF(V330="","",COUNTIFS($B$3:$B$1002,"="&amp;SUBSTITUTE(SUBSTITUTE(SUBSTITUTE(B330,"~","~~"),"*","~*"),"?","~?"),$Q$3:$Q$1002,1)*10000-V330)</f>
        <v/>
      </c>
      <c r="X330" s="25">
        <f>IF(Q330=1,IF(SUBSTITUTE(SUBSTITUTE(SUBSTITUTE(SUBSTITUTE(SUBSTITUTE(SUBSTITUTE(SUBSTITUTE(SUBSTITUTE(SUBSTITUTE(SUBSTITUTE(SUBSTITUTE(SUBSTITUTE(LOWER(TRIM(A330)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330)),"á","a"),"é","e"),"í","i"),"ó","o"),"ú","u"),"ü","u"),"ñ","n"),"à","a"),"è","e"),"ì","i"),"ò","o"),"ù","u")),"")</f>
        <v/>
      </c>
      <c r="Y330" s="25">
        <f>IF(X330="","",IF(IFERROR(COUNTIF(X$3:X330,"="&amp;SUBSTITUTE(SUBSTITUTE(SUBSTITUTE(X330,"~","~~"),"*","~*"),"?","~?")),0)=1,1,""))</f>
        <v/>
      </c>
      <c r="Z330" s="25">
        <f>IF(T330=1,MAX(Z$2:Z329)+1,"")</f>
        <v/>
      </c>
    </row>
    <row r="331">
      <c r="A331">
        <f>IF(A$2=0,"",IFERROR(TRIM(INDEX('Pegar calibracion'!$A$1:$BZ$1001,330,A$2)&amp;""),""))</f>
        <v/>
      </c>
      <c r="B331">
        <f>IF(B$2=0,"",IFERROR(TRIM(INDEX('Pegar calibracion'!$A$1:$BZ$1001,330,B$2)&amp;""),""))</f>
        <v/>
      </c>
      <c r="C331">
        <f>IF(C$2=0,"",IFERROR(TRIM(INDEX('Pegar calibracion'!$A$1:$BZ$1001,330,C$2)&amp;""),""))</f>
        <v/>
      </c>
      <c r="D331">
        <f>IF(D$2=0,"",IFERROR(TRIM(INDEX('Pegar calibracion'!$A$1:$BZ$1001,330,D$2)&amp;""),""))</f>
        <v/>
      </c>
      <c r="E331">
        <f>IF(E$2=0,"",IFERROR(TRIM(INDEX('Pegar calibracion'!$A$1:$BZ$1001,330,E$2)&amp;""),""))</f>
        <v/>
      </c>
      <c r="F331">
        <f>IF(F$2=0,"",IFERROR(TRIM(INDEX('Pegar calibracion'!$A$1:$BZ$1001,330,F$2)&amp;""),""))</f>
        <v/>
      </c>
      <c r="G331">
        <f>IF(G$2=0,"",IFERROR(TRIM(INDEX('Pegar calibracion'!$A$1:$BZ$1001,330,G$2)&amp;""),""))</f>
        <v/>
      </c>
      <c r="H331">
        <f>IF(H$2=0,"",IFERROR(TRIM(INDEX('Pegar calibracion'!$A$1:$BZ$1001,330,H$2)&amp;""),""))</f>
        <v/>
      </c>
      <c r="I331">
        <f>IF(I$2=0,"",IFERROR(TRIM(INDEX('Pegar calibracion'!$A$1:$BZ$1001,330,I$2)&amp;""),""))</f>
        <v/>
      </c>
      <c r="J331">
        <f>IF(J$2=0,"",IFERROR(TRIM(INDEX('Pegar calibracion'!$A$1:$BZ$1001,330,J$2)&amp;""),""))</f>
        <v/>
      </c>
      <c r="K331">
        <f>IF(K$2=0,"",IFERROR(TRIM(INDEX('Pegar calibracion'!$A$1:$BZ$1001,330,K$2)&amp;""),""))</f>
        <v/>
      </c>
      <c r="L331">
        <f>IF(L$2=0,"",IFERROR(TRIM(INDEX('Pegar calibracion'!$A$1:$BZ$1001,330,L$2)&amp;""),""))</f>
        <v/>
      </c>
      <c r="M331" s="25">
        <f>IF(D331="","",SUBSTITUTE(SUBSTITUTE(SUBSTITUTE(SUBSTITUTE(SUBSTITUTE(SUBSTITUTE(SUBSTITUTE(SUBSTITUTE(SUBSTITUTE(SUBSTITUTE(SUBSTITUTE(SUBSTITUTE(LOWER(TRIM(D331)),"á","a"),"é","e"),"í","i"),"ó","o"),"ú","u"),"ü","u"),"ñ","n"),"à","a"),"è","e"),"ì","i"),"ò","o"),"ù","u"))</f>
        <v/>
      </c>
      <c r="N331" s="25">
        <f>IF(F331="","",SUBSTITUTE(SUBSTITUTE(SUBSTITUTE(SUBSTITUTE(SUBSTITUTE(SUBSTITUTE(SUBSTITUTE(SUBSTITUTE(SUBSTITUTE(SUBSTITUTE(SUBSTITUTE(SUBSTITUTE(LOWER(TRIM(F331)),"á","a"),"é","e"),"í","i"),"ó","o"),"ú","u"),"ü","u"),"ñ","n"),"à","a"),"è","e"),"ì","i"),"ò","o"),"ù","u"))</f>
        <v/>
      </c>
      <c r="O331" s="25">
        <f>IF(M331="confiable",2,IF(M331="dudosa",1,IF(M331="no confiable",0,"")))</f>
        <v/>
      </c>
      <c r="P331" s="25">
        <f>IF(N331="confiable",2,IF(N331="dudosa",1,IF(N331="no confiable",0,"")))</f>
        <v/>
      </c>
      <c r="Q331" s="25">
        <f>IF(AND(ISNUMBER(O331),ISNUMBER(P331)),1,"")</f>
        <v/>
      </c>
      <c r="R331" s="25">
        <f>IF(Q331=1,IF(O331=P331,"Sí","No"),"")</f>
        <v/>
      </c>
      <c r="S331" s="25">
        <f>IF(Q331=1,IF(P331&lt;O331,"Más estricto",IF(P331&gt;O331,"Más permisivo","Igual")),"")</f>
        <v/>
      </c>
      <c r="T331" s="25">
        <f>IF(Q331=1,IF(ABS(O331-P331)=2,1,0),"")</f>
        <v/>
      </c>
      <c r="U331" s="25">
        <f>IF(H331="","","|"&amp;SUBSTITUTE(SUBSTITUTE(TRIM(H331)," |","|"),"| ","|")&amp;"|")</f>
        <v/>
      </c>
      <c r="V331" s="25">
        <f>IF(AND(Q331=1,B331&lt;&gt;""),IF(IFERROR(COUNTIFS(B$3:B331,"="&amp;SUBSTITUTE(SUBSTITUTE(SUBSTITUTE(B331,"~","~~"),"*","~*"),"?","~?"),Q$3:Q331,1),0)=1,MAX(V$2:V330)+1,""),"")</f>
        <v/>
      </c>
      <c r="W331" s="25">
        <f>IF(V331="","",COUNTIFS($B$3:$B$1002,"="&amp;SUBSTITUTE(SUBSTITUTE(SUBSTITUTE(B331,"~","~~"),"*","~*"),"?","~?"),$Q$3:$Q$1002,1)*10000-V331)</f>
        <v/>
      </c>
      <c r="X331" s="25">
        <f>IF(Q331=1,IF(SUBSTITUTE(SUBSTITUTE(SUBSTITUTE(SUBSTITUTE(SUBSTITUTE(SUBSTITUTE(SUBSTITUTE(SUBSTITUTE(SUBSTITUTE(SUBSTITUTE(SUBSTITUTE(SUBSTITUTE(LOWER(TRIM(A331)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331)),"á","a"),"é","e"),"í","i"),"ó","o"),"ú","u"),"ü","u"),"ñ","n"),"à","a"),"è","e"),"ì","i"),"ò","o"),"ù","u")),"")</f>
        <v/>
      </c>
      <c r="Y331" s="25">
        <f>IF(X331="","",IF(IFERROR(COUNTIF(X$3:X331,"="&amp;SUBSTITUTE(SUBSTITUTE(SUBSTITUTE(X331,"~","~~"),"*","~*"),"?","~?")),0)=1,1,""))</f>
        <v/>
      </c>
      <c r="Z331" s="25">
        <f>IF(T331=1,MAX(Z$2:Z330)+1,"")</f>
        <v/>
      </c>
    </row>
    <row r="332">
      <c r="A332">
        <f>IF(A$2=0,"",IFERROR(TRIM(INDEX('Pegar calibracion'!$A$1:$BZ$1001,331,A$2)&amp;""),""))</f>
        <v/>
      </c>
      <c r="B332">
        <f>IF(B$2=0,"",IFERROR(TRIM(INDEX('Pegar calibracion'!$A$1:$BZ$1001,331,B$2)&amp;""),""))</f>
        <v/>
      </c>
      <c r="C332">
        <f>IF(C$2=0,"",IFERROR(TRIM(INDEX('Pegar calibracion'!$A$1:$BZ$1001,331,C$2)&amp;""),""))</f>
        <v/>
      </c>
      <c r="D332">
        <f>IF(D$2=0,"",IFERROR(TRIM(INDEX('Pegar calibracion'!$A$1:$BZ$1001,331,D$2)&amp;""),""))</f>
        <v/>
      </c>
      <c r="E332">
        <f>IF(E$2=0,"",IFERROR(TRIM(INDEX('Pegar calibracion'!$A$1:$BZ$1001,331,E$2)&amp;""),""))</f>
        <v/>
      </c>
      <c r="F332">
        <f>IF(F$2=0,"",IFERROR(TRIM(INDEX('Pegar calibracion'!$A$1:$BZ$1001,331,F$2)&amp;""),""))</f>
        <v/>
      </c>
      <c r="G332">
        <f>IF(G$2=0,"",IFERROR(TRIM(INDEX('Pegar calibracion'!$A$1:$BZ$1001,331,G$2)&amp;""),""))</f>
        <v/>
      </c>
      <c r="H332">
        <f>IF(H$2=0,"",IFERROR(TRIM(INDEX('Pegar calibracion'!$A$1:$BZ$1001,331,H$2)&amp;""),""))</f>
        <v/>
      </c>
      <c r="I332">
        <f>IF(I$2=0,"",IFERROR(TRIM(INDEX('Pegar calibracion'!$A$1:$BZ$1001,331,I$2)&amp;""),""))</f>
        <v/>
      </c>
      <c r="J332">
        <f>IF(J$2=0,"",IFERROR(TRIM(INDEX('Pegar calibracion'!$A$1:$BZ$1001,331,J$2)&amp;""),""))</f>
        <v/>
      </c>
      <c r="K332">
        <f>IF(K$2=0,"",IFERROR(TRIM(INDEX('Pegar calibracion'!$A$1:$BZ$1001,331,K$2)&amp;""),""))</f>
        <v/>
      </c>
      <c r="L332">
        <f>IF(L$2=0,"",IFERROR(TRIM(INDEX('Pegar calibracion'!$A$1:$BZ$1001,331,L$2)&amp;""),""))</f>
        <v/>
      </c>
      <c r="M332" s="25">
        <f>IF(D332="","",SUBSTITUTE(SUBSTITUTE(SUBSTITUTE(SUBSTITUTE(SUBSTITUTE(SUBSTITUTE(SUBSTITUTE(SUBSTITUTE(SUBSTITUTE(SUBSTITUTE(SUBSTITUTE(SUBSTITUTE(LOWER(TRIM(D332)),"á","a"),"é","e"),"í","i"),"ó","o"),"ú","u"),"ü","u"),"ñ","n"),"à","a"),"è","e"),"ì","i"),"ò","o"),"ù","u"))</f>
        <v/>
      </c>
      <c r="N332" s="25">
        <f>IF(F332="","",SUBSTITUTE(SUBSTITUTE(SUBSTITUTE(SUBSTITUTE(SUBSTITUTE(SUBSTITUTE(SUBSTITUTE(SUBSTITUTE(SUBSTITUTE(SUBSTITUTE(SUBSTITUTE(SUBSTITUTE(LOWER(TRIM(F332)),"á","a"),"é","e"),"í","i"),"ó","o"),"ú","u"),"ü","u"),"ñ","n"),"à","a"),"è","e"),"ì","i"),"ò","o"),"ù","u"))</f>
        <v/>
      </c>
      <c r="O332" s="25">
        <f>IF(M332="confiable",2,IF(M332="dudosa",1,IF(M332="no confiable",0,"")))</f>
        <v/>
      </c>
      <c r="P332" s="25">
        <f>IF(N332="confiable",2,IF(N332="dudosa",1,IF(N332="no confiable",0,"")))</f>
        <v/>
      </c>
      <c r="Q332" s="25">
        <f>IF(AND(ISNUMBER(O332),ISNUMBER(P332)),1,"")</f>
        <v/>
      </c>
      <c r="R332" s="25">
        <f>IF(Q332=1,IF(O332=P332,"Sí","No"),"")</f>
        <v/>
      </c>
      <c r="S332" s="25">
        <f>IF(Q332=1,IF(P332&lt;O332,"Más estricto",IF(P332&gt;O332,"Más permisivo","Igual")),"")</f>
        <v/>
      </c>
      <c r="T332" s="25">
        <f>IF(Q332=1,IF(ABS(O332-P332)=2,1,0),"")</f>
        <v/>
      </c>
      <c r="U332" s="25">
        <f>IF(H332="","","|"&amp;SUBSTITUTE(SUBSTITUTE(TRIM(H332)," |","|"),"| ","|")&amp;"|")</f>
        <v/>
      </c>
      <c r="V332" s="25">
        <f>IF(AND(Q332=1,B332&lt;&gt;""),IF(IFERROR(COUNTIFS(B$3:B332,"="&amp;SUBSTITUTE(SUBSTITUTE(SUBSTITUTE(B332,"~","~~"),"*","~*"),"?","~?"),Q$3:Q332,1),0)=1,MAX(V$2:V331)+1,""),"")</f>
        <v/>
      </c>
      <c r="W332" s="25">
        <f>IF(V332="","",COUNTIFS($B$3:$B$1002,"="&amp;SUBSTITUTE(SUBSTITUTE(SUBSTITUTE(B332,"~","~~"),"*","~*"),"?","~?"),$Q$3:$Q$1002,1)*10000-V332)</f>
        <v/>
      </c>
      <c r="X332" s="25">
        <f>IF(Q332=1,IF(SUBSTITUTE(SUBSTITUTE(SUBSTITUTE(SUBSTITUTE(SUBSTITUTE(SUBSTITUTE(SUBSTITUTE(SUBSTITUTE(SUBSTITUTE(SUBSTITUTE(SUBSTITUTE(SUBSTITUTE(LOWER(TRIM(A332)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332)),"á","a"),"é","e"),"í","i"),"ó","o"),"ú","u"),"ü","u"),"ñ","n"),"à","a"),"è","e"),"ì","i"),"ò","o"),"ù","u")),"")</f>
        <v/>
      </c>
      <c r="Y332" s="25">
        <f>IF(X332="","",IF(IFERROR(COUNTIF(X$3:X332,"="&amp;SUBSTITUTE(SUBSTITUTE(SUBSTITUTE(X332,"~","~~"),"*","~*"),"?","~?")),0)=1,1,""))</f>
        <v/>
      </c>
      <c r="Z332" s="25">
        <f>IF(T332=1,MAX(Z$2:Z331)+1,"")</f>
        <v/>
      </c>
    </row>
    <row r="333">
      <c r="A333">
        <f>IF(A$2=0,"",IFERROR(TRIM(INDEX('Pegar calibracion'!$A$1:$BZ$1001,332,A$2)&amp;""),""))</f>
        <v/>
      </c>
      <c r="B333">
        <f>IF(B$2=0,"",IFERROR(TRIM(INDEX('Pegar calibracion'!$A$1:$BZ$1001,332,B$2)&amp;""),""))</f>
        <v/>
      </c>
      <c r="C333">
        <f>IF(C$2=0,"",IFERROR(TRIM(INDEX('Pegar calibracion'!$A$1:$BZ$1001,332,C$2)&amp;""),""))</f>
        <v/>
      </c>
      <c r="D333">
        <f>IF(D$2=0,"",IFERROR(TRIM(INDEX('Pegar calibracion'!$A$1:$BZ$1001,332,D$2)&amp;""),""))</f>
        <v/>
      </c>
      <c r="E333">
        <f>IF(E$2=0,"",IFERROR(TRIM(INDEX('Pegar calibracion'!$A$1:$BZ$1001,332,E$2)&amp;""),""))</f>
        <v/>
      </c>
      <c r="F333">
        <f>IF(F$2=0,"",IFERROR(TRIM(INDEX('Pegar calibracion'!$A$1:$BZ$1001,332,F$2)&amp;""),""))</f>
        <v/>
      </c>
      <c r="G333">
        <f>IF(G$2=0,"",IFERROR(TRIM(INDEX('Pegar calibracion'!$A$1:$BZ$1001,332,G$2)&amp;""),""))</f>
        <v/>
      </c>
      <c r="H333">
        <f>IF(H$2=0,"",IFERROR(TRIM(INDEX('Pegar calibracion'!$A$1:$BZ$1001,332,H$2)&amp;""),""))</f>
        <v/>
      </c>
      <c r="I333">
        <f>IF(I$2=0,"",IFERROR(TRIM(INDEX('Pegar calibracion'!$A$1:$BZ$1001,332,I$2)&amp;""),""))</f>
        <v/>
      </c>
      <c r="J333">
        <f>IF(J$2=0,"",IFERROR(TRIM(INDEX('Pegar calibracion'!$A$1:$BZ$1001,332,J$2)&amp;""),""))</f>
        <v/>
      </c>
      <c r="K333">
        <f>IF(K$2=0,"",IFERROR(TRIM(INDEX('Pegar calibracion'!$A$1:$BZ$1001,332,K$2)&amp;""),""))</f>
        <v/>
      </c>
      <c r="L333">
        <f>IF(L$2=0,"",IFERROR(TRIM(INDEX('Pegar calibracion'!$A$1:$BZ$1001,332,L$2)&amp;""),""))</f>
        <v/>
      </c>
      <c r="M333" s="25">
        <f>IF(D333="","",SUBSTITUTE(SUBSTITUTE(SUBSTITUTE(SUBSTITUTE(SUBSTITUTE(SUBSTITUTE(SUBSTITUTE(SUBSTITUTE(SUBSTITUTE(SUBSTITUTE(SUBSTITUTE(SUBSTITUTE(LOWER(TRIM(D333)),"á","a"),"é","e"),"í","i"),"ó","o"),"ú","u"),"ü","u"),"ñ","n"),"à","a"),"è","e"),"ì","i"),"ò","o"),"ù","u"))</f>
        <v/>
      </c>
      <c r="N333" s="25">
        <f>IF(F333="","",SUBSTITUTE(SUBSTITUTE(SUBSTITUTE(SUBSTITUTE(SUBSTITUTE(SUBSTITUTE(SUBSTITUTE(SUBSTITUTE(SUBSTITUTE(SUBSTITUTE(SUBSTITUTE(SUBSTITUTE(LOWER(TRIM(F333)),"á","a"),"é","e"),"í","i"),"ó","o"),"ú","u"),"ü","u"),"ñ","n"),"à","a"),"è","e"),"ì","i"),"ò","o"),"ù","u"))</f>
        <v/>
      </c>
      <c r="O333" s="25">
        <f>IF(M333="confiable",2,IF(M333="dudosa",1,IF(M333="no confiable",0,"")))</f>
        <v/>
      </c>
      <c r="P333" s="25">
        <f>IF(N333="confiable",2,IF(N333="dudosa",1,IF(N333="no confiable",0,"")))</f>
        <v/>
      </c>
      <c r="Q333" s="25">
        <f>IF(AND(ISNUMBER(O333),ISNUMBER(P333)),1,"")</f>
        <v/>
      </c>
      <c r="R333" s="25">
        <f>IF(Q333=1,IF(O333=P333,"Sí","No"),"")</f>
        <v/>
      </c>
      <c r="S333" s="25">
        <f>IF(Q333=1,IF(P333&lt;O333,"Más estricto",IF(P333&gt;O333,"Más permisivo","Igual")),"")</f>
        <v/>
      </c>
      <c r="T333" s="25">
        <f>IF(Q333=1,IF(ABS(O333-P333)=2,1,0),"")</f>
        <v/>
      </c>
      <c r="U333" s="25">
        <f>IF(H333="","","|"&amp;SUBSTITUTE(SUBSTITUTE(TRIM(H333)," |","|"),"| ","|")&amp;"|")</f>
        <v/>
      </c>
      <c r="V333" s="25">
        <f>IF(AND(Q333=1,B333&lt;&gt;""),IF(IFERROR(COUNTIFS(B$3:B333,"="&amp;SUBSTITUTE(SUBSTITUTE(SUBSTITUTE(B333,"~","~~"),"*","~*"),"?","~?"),Q$3:Q333,1),0)=1,MAX(V$2:V332)+1,""),"")</f>
        <v/>
      </c>
      <c r="W333" s="25">
        <f>IF(V333="","",COUNTIFS($B$3:$B$1002,"="&amp;SUBSTITUTE(SUBSTITUTE(SUBSTITUTE(B333,"~","~~"),"*","~*"),"?","~?"),$Q$3:$Q$1002,1)*10000-V333)</f>
        <v/>
      </c>
      <c r="X333" s="25">
        <f>IF(Q333=1,IF(SUBSTITUTE(SUBSTITUTE(SUBSTITUTE(SUBSTITUTE(SUBSTITUTE(SUBSTITUTE(SUBSTITUTE(SUBSTITUTE(SUBSTITUTE(SUBSTITUTE(SUBSTITUTE(SUBSTITUTE(LOWER(TRIM(A333)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333)),"á","a"),"é","e"),"í","i"),"ó","o"),"ú","u"),"ü","u"),"ñ","n"),"à","a"),"è","e"),"ì","i"),"ò","o"),"ù","u")),"")</f>
        <v/>
      </c>
      <c r="Y333" s="25">
        <f>IF(X333="","",IF(IFERROR(COUNTIF(X$3:X333,"="&amp;SUBSTITUTE(SUBSTITUTE(SUBSTITUTE(X333,"~","~~"),"*","~*"),"?","~?")),0)=1,1,""))</f>
        <v/>
      </c>
      <c r="Z333" s="25">
        <f>IF(T333=1,MAX(Z$2:Z332)+1,"")</f>
        <v/>
      </c>
    </row>
    <row r="334">
      <c r="A334">
        <f>IF(A$2=0,"",IFERROR(TRIM(INDEX('Pegar calibracion'!$A$1:$BZ$1001,333,A$2)&amp;""),""))</f>
        <v/>
      </c>
      <c r="B334">
        <f>IF(B$2=0,"",IFERROR(TRIM(INDEX('Pegar calibracion'!$A$1:$BZ$1001,333,B$2)&amp;""),""))</f>
        <v/>
      </c>
      <c r="C334">
        <f>IF(C$2=0,"",IFERROR(TRIM(INDEX('Pegar calibracion'!$A$1:$BZ$1001,333,C$2)&amp;""),""))</f>
        <v/>
      </c>
      <c r="D334">
        <f>IF(D$2=0,"",IFERROR(TRIM(INDEX('Pegar calibracion'!$A$1:$BZ$1001,333,D$2)&amp;""),""))</f>
        <v/>
      </c>
      <c r="E334">
        <f>IF(E$2=0,"",IFERROR(TRIM(INDEX('Pegar calibracion'!$A$1:$BZ$1001,333,E$2)&amp;""),""))</f>
        <v/>
      </c>
      <c r="F334">
        <f>IF(F$2=0,"",IFERROR(TRIM(INDEX('Pegar calibracion'!$A$1:$BZ$1001,333,F$2)&amp;""),""))</f>
        <v/>
      </c>
      <c r="G334">
        <f>IF(G$2=0,"",IFERROR(TRIM(INDEX('Pegar calibracion'!$A$1:$BZ$1001,333,G$2)&amp;""),""))</f>
        <v/>
      </c>
      <c r="H334">
        <f>IF(H$2=0,"",IFERROR(TRIM(INDEX('Pegar calibracion'!$A$1:$BZ$1001,333,H$2)&amp;""),""))</f>
        <v/>
      </c>
      <c r="I334">
        <f>IF(I$2=0,"",IFERROR(TRIM(INDEX('Pegar calibracion'!$A$1:$BZ$1001,333,I$2)&amp;""),""))</f>
        <v/>
      </c>
      <c r="J334">
        <f>IF(J$2=0,"",IFERROR(TRIM(INDEX('Pegar calibracion'!$A$1:$BZ$1001,333,J$2)&amp;""),""))</f>
        <v/>
      </c>
      <c r="K334">
        <f>IF(K$2=0,"",IFERROR(TRIM(INDEX('Pegar calibracion'!$A$1:$BZ$1001,333,K$2)&amp;""),""))</f>
        <v/>
      </c>
      <c r="L334">
        <f>IF(L$2=0,"",IFERROR(TRIM(INDEX('Pegar calibracion'!$A$1:$BZ$1001,333,L$2)&amp;""),""))</f>
        <v/>
      </c>
      <c r="M334" s="25">
        <f>IF(D334="","",SUBSTITUTE(SUBSTITUTE(SUBSTITUTE(SUBSTITUTE(SUBSTITUTE(SUBSTITUTE(SUBSTITUTE(SUBSTITUTE(SUBSTITUTE(SUBSTITUTE(SUBSTITUTE(SUBSTITUTE(LOWER(TRIM(D334)),"á","a"),"é","e"),"í","i"),"ó","o"),"ú","u"),"ü","u"),"ñ","n"),"à","a"),"è","e"),"ì","i"),"ò","o"),"ù","u"))</f>
        <v/>
      </c>
      <c r="N334" s="25">
        <f>IF(F334="","",SUBSTITUTE(SUBSTITUTE(SUBSTITUTE(SUBSTITUTE(SUBSTITUTE(SUBSTITUTE(SUBSTITUTE(SUBSTITUTE(SUBSTITUTE(SUBSTITUTE(SUBSTITUTE(SUBSTITUTE(LOWER(TRIM(F334)),"á","a"),"é","e"),"í","i"),"ó","o"),"ú","u"),"ü","u"),"ñ","n"),"à","a"),"è","e"),"ì","i"),"ò","o"),"ù","u"))</f>
        <v/>
      </c>
      <c r="O334" s="25">
        <f>IF(M334="confiable",2,IF(M334="dudosa",1,IF(M334="no confiable",0,"")))</f>
        <v/>
      </c>
      <c r="P334" s="25">
        <f>IF(N334="confiable",2,IF(N334="dudosa",1,IF(N334="no confiable",0,"")))</f>
        <v/>
      </c>
      <c r="Q334" s="25">
        <f>IF(AND(ISNUMBER(O334),ISNUMBER(P334)),1,"")</f>
        <v/>
      </c>
      <c r="R334" s="25">
        <f>IF(Q334=1,IF(O334=P334,"Sí","No"),"")</f>
        <v/>
      </c>
      <c r="S334" s="25">
        <f>IF(Q334=1,IF(P334&lt;O334,"Más estricto",IF(P334&gt;O334,"Más permisivo","Igual")),"")</f>
        <v/>
      </c>
      <c r="T334" s="25">
        <f>IF(Q334=1,IF(ABS(O334-P334)=2,1,0),"")</f>
        <v/>
      </c>
      <c r="U334" s="25">
        <f>IF(H334="","","|"&amp;SUBSTITUTE(SUBSTITUTE(TRIM(H334)," |","|"),"| ","|")&amp;"|")</f>
        <v/>
      </c>
      <c r="V334" s="25">
        <f>IF(AND(Q334=1,B334&lt;&gt;""),IF(IFERROR(COUNTIFS(B$3:B334,"="&amp;SUBSTITUTE(SUBSTITUTE(SUBSTITUTE(B334,"~","~~"),"*","~*"),"?","~?"),Q$3:Q334,1),0)=1,MAX(V$2:V333)+1,""),"")</f>
        <v/>
      </c>
      <c r="W334" s="25">
        <f>IF(V334="","",COUNTIFS($B$3:$B$1002,"="&amp;SUBSTITUTE(SUBSTITUTE(SUBSTITUTE(B334,"~","~~"),"*","~*"),"?","~?"),$Q$3:$Q$1002,1)*10000-V334)</f>
        <v/>
      </c>
      <c r="X334" s="25">
        <f>IF(Q334=1,IF(SUBSTITUTE(SUBSTITUTE(SUBSTITUTE(SUBSTITUTE(SUBSTITUTE(SUBSTITUTE(SUBSTITUTE(SUBSTITUTE(SUBSTITUTE(SUBSTITUTE(SUBSTITUTE(SUBSTITUTE(LOWER(TRIM(A334)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334)),"á","a"),"é","e"),"í","i"),"ó","o"),"ú","u"),"ü","u"),"ñ","n"),"à","a"),"è","e"),"ì","i"),"ò","o"),"ù","u")),"")</f>
        <v/>
      </c>
      <c r="Y334" s="25">
        <f>IF(X334="","",IF(IFERROR(COUNTIF(X$3:X334,"="&amp;SUBSTITUTE(SUBSTITUTE(SUBSTITUTE(X334,"~","~~"),"*","~*"),"?","~?")),0)=1,1,""))</f>
        <v/>
      </c>
      <c r="Z334" s="25">
        <f>IF(T334=1,MAX(Z$2:Z333)+1,"")</f>
        <v/>
      </c>
    </row>
    <row r="335">
      <c r="A335">
        <f>IF(A$2=0,"",IFERROR(TRIM(INDEX('Pegar calibracion'!$A$1:$BZ$1001,334,A$2)&amp;""),""))</f>
        <v/>
      </c>
      <c r="B335">
        <f>IF(B$2=0,"",IFERROR(TRIM(INDEX('Pegar calibracion'!$A$1:$BZ$1001,334,B$2)&amp;""),""))</f>
        <v/>
      </c>
      <c r="C335">
        <f>IF(C$2=0,"",IFERROR(TRIM(INDEX('Pegar calibracion'!$A$1:$BZ$1001,334,C$2)&amp;""),""))</f>
        <v/>
      </c>
      <c r="D335">
        <f>IF(D$2=0,"",IFERROR(TRIM(INDEX('Pegar calibracion'!$A$1:$BZ$1001,334,D$2)&amp;""),""))</f>
        <v/>
      </c>
      <c r="E335">
        <f>IF(E$2=0,"",IFERROR(TRIM(INDEX('Pegar calibracion'!$A$1:$BZ$1001,334,E$2)&amp;""),""))</f>
        <v/>
      </c>
      <c r="F335">
        <f>IF(F$2=0,"",IFERROR(TRIM(INDEX('Pegar calibracion'!$A$1:$BZ$1001,334,F$2)&amp;""),""))</f>
        <v/>
      </c>
      <c r="G335">
        <f>IF(G$2=0,"",IFERROR(TRIM(INDEX('Pegar calibracion'!$A$1:$BZ$1001,334,G$2)&amp;""),""))</f>
        <v/>
      </c>
      <c r="H335">
        <f>IF(H$2=0,"",IFERROR(TRIM(INDEX('Pegar calibracion'!$A$1:$BZ$1001,334,H$2)&amp;""),""))</f>
        <v/>
      </c>
      <c r="I335">
        <f>IF(I$2=0,"",IFERROR(TRIM(INDEX('Pegar calibracion'!$A$1:$BZ$1001,334,I$2)&amp;""),""))</f>
        <v/>
      </c>
      <c r="J335">
        <f>IF(J$2=0,"",IFERROR(TRIM(INDEX('Pegar calibracion'!$A$1:$BZ$1001,334,J$2)&amp;""),""))</f>
        <v/>
      </c>
      <c r="K335">
        <f>IF(K$2=0,"",IFERROR(TRIM(INDEX('Pegar calibracion'!$A$1:$BZ$1001,334,K$2)&amp;""),""))</f>
        <v/>
      </c>
      <c r="L335">
        <f>IF(L$2=0,"",IFERROR(TRIM(INDEX('Pegar calibracion'!$A$1:$BZ$1001,334,L$2)&amp;""),""))</f>
        <v/>
      </c>
      <c r="M335" s="25">
        <f>IF(D335="","",SUBSTITUTE(SUBSTITUTE(SUBSTITUTE(SUBSTITUTE(SUBSTITUTE(SUBSTITUTE(SUBSTITUTE(SUBSTITUTE(SUBSTITUTE(SUBSTITUTE(SUBSTITUTE(SUBSTITUTE(LOWER(TRIM(D335)),"á","a"),"é","e"),"í","i"),"ó","o"),"ú","u"),"ü","u"),"ñ","n"),"à","a"),"è","e"),"ì","i"),"ò","o"),"ù","u"))</f>
        <v/>
      </c>
      <c r="N335" s="25">
        <f>IF(F335="","",SUBSTITUTE(SUBSTITUTE(SUBSTITUTE(SUBSTITUTE(SUBSTITUTE(SUBSTITUTE(SUBSTITUTE(SUBSTITUTE(SUBSTITUTE(SUBSTITUTE(SUBSTITUTE(SUBSTITUTE(LOWER(TRIM(F335)),"á","a"),"é","e"),"í","i"),"ó","o"),"ú","u"),"ü","u"),"ñ","n"),"à","a"),"è","e"),"ì","i"),"ò","o"),"ù","u"))</f>
        <v/>
      </c>
      <c r="O335" s="25">
        <f>IF(M335="confiable",2,IF(M335="dudosa",1,IF(M335="no confiable",0,"")))</f>
        <v/>
      </c>
      <c r="P335" s="25">
        <f>IF(N335="confiable",2,IF(N335="dudosa",1,IF(N335="no confiable",0,"")))</f>
        <v/>
      </c>
      <c r="Q335" s="25">
        <f>IF(AND(ISNUMBER(O335),ISNUMBER(P335)),1,"")</f>
        <v/>
      </c>
      <c r="R335" s="25">
        <f>IF(Q335=1,IF(O335=P335,"Sí","No"),"")</f>
        <v/>
      </c>
      <c r="S335" s="25">
        <f>IF(Q335=1,IF(P335&lt;O335,"Más estricto",IF(P335&gt;O335,"Más permisivo","Igual")),"")</f>
        <v/>
      </c>
      <c r="T335" s="25">
        <f>IF(Q335=1,IF(ABS(O335-P335)=2,1,0),"")</f>
        <v/>
      </c>
      <c r="U335" s="25">
        <f>IF(H335="","","|"&amp;SUBSTITUTE(SUBSTITUTE(TRIM(H335)," |","|"),"| ","|")&amp;"|")</f>
        <v/>
      </c>
      <c r="V335" s="25">
        <f>IF(AND(Q335=1,B335&lt;&gt;""),IF(IFERROR(COUNTIFS(B$3:B335,"="&amp;SUBSTITUTE(SUBSTITUTE(SUBSTITUTE(B335,"~","~~"),"*","~*"),"?","~?"),Q$3:Q335,1),0)=1,MAX(V$2:V334)+1,""),"")</f>
        <v/>
      </c>
      <c r="W335" s="25">
        <f>IF(V335="","",COUNTIFS($B$3:$B$1002,"="&amp;SUBSTITUTE(SUBSTITUTE(SUBSTITUTE(B335,"~","~~"),"*","~*"),"?","~?"),$Q$3:$Q$1002,1)*10000-V335)</f>
        <v/>
      </c>
      <c r="X335" s="25">
        <f>IF(Q335=1,IF(SUBSTITUTE(SUBSTITUTE(SUBSTITUTE(SUBSTITUTE(SUBSTITUTE(SUBSTITUTE(SUBSTITUTE(SUBSTITUTE(SUBSTITUTE(SUBSTITUTE(SUBSTITUTE(SUBSTITUTE(LOWER(TRIM(A335)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335)),"á","a"),"é","e"),"í","i"),"ó","o"),"ú","u"),"ü","u"),"ñ","n"),"à","a"),"è","e"),"ì","i"),"ò","o"),"ù","u")),"")</f>
        <v/>
      </c>
      <c r="Y335" s="25">
        <f>IF(X335="","",IF(IFERROR(COUNTIF(X$3:X335,"="&amp;SUBSTITUTE(SUBSTITUTE(SUBSTITUTE(X335,"~","~~"),"*","~*"),"?","~?")),0)=1,1,""))</f>
        <v/>
      </c>
      <c r="Z335" s="25">
        <f>IF(T335=1,MAX(Z$2:Z334)+1,"")</f>
        <v/>
      </c>
    </row>
    <row r="336">
      <c r="A336">
        <f>IF(A$2=0,"",IFERROR(TRIM(INDEX('Pegar calibracion'!$A$1:$BZ$1001,335,A$2)&amp;""),""))</f>
        <v/>
      </c>
      <c r="B336">
        <f>IF(B$2=0,"",IFERROR(TRIM(INDEX('Pegar calibracion'!$A$1:$BZ$1001,335,B$2)&amp;""),""))</f>
        <v/>
      </c>
      <c r="C336">
        <f>IF(C$2=0,"",IFERROR(TRIM(INDEX('Pegar calibracion'!$A$1:$BZ$1001,335,C$2)&amp;""),""))</f>
        <v/>
      </c>
      <c r="D336">
        <f>IF(D$2=0,"",IFERROR(TRIM(INDEX('Pegar calibracion'!$A$1:$BZ$1001,335,D$2)&amp;""),""))</f>
        <v/>
      </c>
      <c r="E336">
        <f>IF(E$2=0,"",IFERROR(TRIM(INDEX('Pegar calibracion'!$A$1:$BZ$1001,335,E$2)&amp;""),""))</f>
        <v/>
      </c>
      <c r="F336">
        <f>IF(F$2=0,"",IFERROR(TRIM(INDEX('Pegar calibracion'!$A$1:$BZ$1001,335,F$2)&amp;""),""))</f>
        <v/>
      </c>
      <c r="G336">
        <f>IF(G$2=0,"",IFERROR(TRIM(INDEX('Pegar calibracion'!$A$1:$BZ$1001,335,G$2)&amp;""),""))</f>
        <v/>
      </c>
      <c r="H336">
        <f>IF(H$2=0,"",IFERROR(TRIM(INDEX('Pegar calibracion'!$A$1:$BZ$1001,335,H$2)&amp;""),""))</f>
        <v/>
      </c>
      <c r="I336">
        <f>IF(I$2=0,"",IFERROR(TRIM(INDEX('Pegar calibracion'!$A$1:$BZ$1001,335,I$2)&amp;""),""))</f>
        <v/>
      </c>
      <c r="J336">
        <f>IF(J$2=0,"",IFERROR(TRIM(INDEX('Pegar calibracion'!$A$1:$BZ$1001,335,J$2)&amp;""),""))</f>
        <v/>
      </c>
      <c r="K336">
        <f>IF(K$2=0,"",IFERROR(TRIM(INDEX('Pegar calibracion'!$A$1:$BZ$1001,335,K$2)&amp;""),""))</f>
        <v/>
      </c>
      <c r="L336">
        <f>IF(L$2=0,"",IFERROR(TRIM(INDEX('Pegar calibracion'!$A$1:$BZ$1001,335,L$2)&amp;""),""))</f>
        <v/>
      </c>
      <c r="M336" s="25">
        <f>IF(D336="","",SUBSTITUTE(SUBSTITUTE(SUBSTITUTE(SUBSTITUTE(SUBSTITUTE(SUBSTITUTE(SUBSTITUTE(SUBSTITUTE(SUBSTITUTE(SUBSTITUTE(SUBSTITUTE(SUBSTITUTE(LOWER(TRIM(D336)),"á","a"),"é","e"),"í","i"),"ó","o"),"ú","u"),"ü","u"),"ñ","n"),"à","a"),"è","e"),"ì","i"),"ò","o"),"ù","u"))</f>
        <v/>
      </c>
      <c r="N336" s="25">
        <f>IF(F336="","",SUBSTITUTE(SUBSTITUTE(SUBSTITUTE(SUBSTITUTE(SUBSTITUTE(SUBSTITUTE(SUBSTITUTE(SUBSTITUTE(SUBSTITUTE(SUBSTITUTE(SUBSTITUTE(SUBSTITUTE(LOWER(TRIM(F336)),"á","a"),"é","e"),"í","i"),"ó","o"),"ú","u"),"ü","u"),"ñ","n"),"à","a"),"è","e"),"ì","i"),"ò","o"),"ù","u"))</f>
        <v/>
      </c>
      <c r="O336" s="25">
        <f>IF(M336="confiable",2,IF(M336="dudosa",1,IF(M336="no confiable",0,"")))</f>
        <v/>
      </c>
      <c r="P336" s="25">
        <f>IF(N336="confiable",2,IF(N336="dudosa",1,IF(N336="no confiable",0,"")))</f>
        <v/>
      </c>
      <c r="Q336" s="25">
        <f>IF(AND(ISNUMBER(O336),ISNUMBER(P336)),1,"")</f>
        <v/>
      </c>
      <c r="R336" s="25">
        <f>IF(Q336=1,IF(O336=P336,"Sí","No"),"")</f>
        <v/>
      </c>
      <c r="S336" s="25">
        <f>IF(Q336=1,IF(P336&lt;O336,"Más estricto",IF(P336&gt;O336,"Más permisivo","Igual")),"")</f>
        <v/>
      </c>
      <c r="T336" s="25">
        <f>IF(Q336=1,IF(ABS(O336-P336)=2,1,0),"")</f>
        <v/>
      </c>
      <c r="U336" s="25">
        <f>IF(H336="","","|"&amp;SUBSTITUTE(SUBSTITUTE(TRIM(H336)," |","|"),"| ","|")&amp;"|")</f>
        <v/>
      </c>
      <c r="V336" s="25">
        <f>IF(AND(Q336=1,B336&lt;&gt;""),IF(IFERROR(COUNTIFS(B$3:B336,"="&amp;SUBSTITUTE(SUBSTITUTE(SUBSTITUTE(B336,"~","~~"),"*","~*"),"?","~?"),Q$3:Q336,1),0)=1,MAX(V$2:V335)+1,""),"")</f>
        <v/>
      </c>
      <c r="W336" s="25">
        <f>IF(V336="","",COUNTIFS($B$3:$B$1002,"="&amp;SUBSTITUTE(SUBSTITUTE(SUBSTITUTE(B336,"~","~~"),"*","~*"),"?","~?"),$Q$3:$Q$1002,1)*10000-V336)</f>
        <v/>
      </c>
      <c r="X336" s="25">
        <f>IF(Q336=1,IF(SUBSTITUTE(SUBSTITUTE(SUBSTITUTE(SUBSTITUTE(SUBSTITUTE(SUBSTITUTE(SUBSTITUTE(SUBSTITUTE(SUBSTITUTE(SUBSTITUTE(SUBSTITUTE(SUBSTITUTE(LOWER(TRIM(A336)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336)),"á","a"),"é","e"),"í","i"),"ó","o"),"ú","u"),"ü","u"),"ñ","n"),"à","a"),"è","e"),"ì","i"),"ò","o"),"ù","u")),"")</f>
        <v/>
      </c>
      <c r="Y336" s="25">
        <f>IF(X336="","",IF(IFERROR(COUNTIF(X$3:X336,"="&amp;SUBSTITUTE(SUBSTITUTE(SUBSTITUTE(X336,"~","~~"),"*","~*"),"?","~?")),0)=1,1,""))</f>
        <v/>
      </c>
      <c r="Z336" s="25">
        <f>IF(T336=1,MAX(Z$2:Z335)+1,"")</f>
        <v/>
      </c>
    </row>
    <row r="337">
      <c r="A337">
        <f>IF(A$2=0,"",IFERROR(TRIM(INDEX('Pegar calibracion'!$A$1:$BZ$1001,336,A$2)&amp;""),""))</f>
        <v/>
      </c>
      <c r="B337">
        <f>IF(B$2=0,"",IFERROR(TRIM(INDEX('Pegar calibracion'!$A$1:$BZ$1001,336,B$2)&amp;""),""))</f>
        <v/>
      </c>
      <c r="C337">
        <f>IF(C$2=0,"",IFERROR(TRIM(INDEX('Pegar calibracion'!$A$1:$BZ$1001,336,C$2)&amp;""),""))</f>
        <v/>
      </c>
      <c r="D337">
        <f>IF(D$2=0,"",IFERROR(TRIM(INDEX('Pegar calibracion'!$A$1:$BZ$1001,336,D$2)&amp;""),""))</f>
        <v/>
      </c>
      <c r="E337">
        <f>IF(E$2=0,"",IFERROR(TRIM(INDEX('Pegar calibracion'!$A$1:$BZ$1001,336,E$2)&amp;""),""))</f>
        <v/>
      </c>
      <c r="F337">
        <f>IF(F$2=0,"",IFERROR(TRIM(INDEX('Pegar calibracion'!$A$1:$BZ$1001,336,F$2)&amp;""),""))</f>
        <v/>
      </c>
      <c r="G337">
        <f>IF(G$2=0,"",IFERROR(TRIM(INDEX('Pegar calibracion'!$A$1:$BZ$1001,336,G$2)&amp;""),""))</f>
        <v/>
      </c>
      <c r="H337">
        <f>IF(H$2=0,"",IFERROR(TRIM(INDEX('Pegar calibracion'!$A$1:$BZ$1001,336,H$2)&amp;""),""))</f>
        <v/>
      </c>
      <c r="I337">
        <f>IF(I$2=0,"",IFERROR(TRIM(INDEX('Pegar calibracion'!$A$1:$BZ$1001,336,I$2)&amp;""),""))</f>
        <v/>
      </c>
      <c r="J337">
        <f>IF(J$2=0,"",IFERROR(TRIM(INDEX('Pegar calibracion'!$A$1:$BZ$1001,336,J$2)&amp;""),""))</f>
        <v/>
      </c>
      <c r="K337">
        <f>IF(K$2=0,"",IFERROR(TRIM(INDEX('Pegar calibracion'!$A$1:$BZ$1001,336,K$2)&amp;""),""))</f>
        <v/>
      </c>
      <c r="L337">
        <f>IF(L$2=0,"",IFERROR(TRIM(INDEX('Pegar calibracion'!$A$1:$BZ$1001,336,L$2)&amp;""),""))</f>
        <v/>
      </c>
      <c r="M337" s="25">
        <f>IF(D337="","",SUBSTITUTE(SUBSTITUTE(SUBSTITUTE(SUBSTITUTE(SUBSTITUTE(SUBSTITUTE(SUBSTITUTE(SUBSTITUTE(SUBSTITUTE(SUBSTITUTE(SUBSTITUTE(SUBSTITUTE(LOWER(TRIM(D337)),"á","a"),"é","e"),"í","i"),"ó","o"),"ú","u"),"ü","u"),"ñ","n"),"à","a"),"è","e"),"ì","i"),"ò","o"),"ù","u"))</f>
        <v/>
      </c>
      <c r="N337" s="25">
        <f>IF(F337="","",SUBSTITUTE(SUBSTITUTE(SUBSTITUTE(SUBSTITUTE(SUBSTITUTE(SUBSTITUTE(SUBSTITUTE(SUBSTITUTE(SUBSTITUTE(SUBSTITUTE(SUBSTITUTE(SUBSTITUTE(LOWER(TRIM(F337)),"á","a"),"é","e"),"í","i"),"ó","o"),"ú","u"),"ü","u"),"ñ","n"),"à","a"),"è","e"),"ì","i"),"ò","o"),"ù","u"))</f>
        <v/>
      </c>
      <c r="O337" s="25">
        <f>IF(M337="confiable",2,IF(M337="dudosa",1,IF(M337="no confiable",0,"")))</f>
        <v/>
      </c>
      <c r="P337" s="25">
        <f>IF(N337="confiable",2,IF(N337="dudosa",1,IF(N337="no confiable",0,"")))</f>
        <v/>
      </c>
      <c r="Q337" s="25">
        <f>IF(AND(ISNUMBER(O337),ISNUMBER(P337)),1,"")</f>
        <v/>
      </c>
      <c r="R337" s="25">
        <f>IF(Q337=1,IF(O337=P337,"Sí","No"),"")</f>
        <v/>
      </c>
      <c r="S337" s="25">
        <f>IF(Q337=1,IF(P337&lt;O337,"Más estricto",IF(P337&gt;O337,"Más permisivo","Igual")),"")</f>
        <v/>
      </c>
      <c r="T337" s="25">
        <f>IF(Q337=1,IF(ABS(O337-P337)=2,1,0),"")</f>
        <v/>
      </c>
      <c r="U337" s="25">
        <f>IF(H337="","","|"&amp;SUBSTITUTE(SUBSTITUTE(TRIM(H337)," |","|"),"| ","|")&amp;"|")</f>
        <v/>
      </c>
      <c r="V337" s="25">
        <f>IF(AND(Q337=1,B337&lt;&gt;""),IF(IFERROR(COUNTIFS(B$3:B337,"="&amp;SUBSTITUTE(SUBSTITUTE(SUBSTITUTE(B337,"~","~~"),"*","~*"),"?","~?"),Q$3:Q337,1),0)=1,MAX(V$2:V336)+1,""),"")</f>
        <v/>
      </c>
      <c r="W337" s="25">
        <f>IF(V337="","",COUNTIFS($B$3:$B$1002,"="&amp;SUBSTITUTE(SUBSTITUTE(SUBSTITUTE(B337,"~","~~"),"*","~*"),"?","~?"),$Q$3:$Q$1002,1)*10000-V337)</f>
        <v/>
      </c>
      <c r="X337" s="25">
        <f>IF(Q337=1,IF(SUBSTITUTE(SUBSTITUTE(SUBSTITUTE(SUBSTITUTE(SUBSTITUTE(SUBSTITUTE(SUBSTITUTE(SUBSTITUTE(SUBSTITUTE(SUBSTITUTE(SUBSTITUTE(SUBSTITUTE(LOWER(TRIM(A337)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337)),"á","a"),"é","e"),"í","i"),"ó","o"),"ú","u"),"ü","u"),"ñ","n"),"à","a"),"è","e"),"ì","i"),"ò","o"),"ù","u")),"")</f>
        <v/>
      </c>
      <c r="Y337" s="25">
        <f>IF(X337="","",IF(IFERROR(COUNTIF(X$3:X337,"="&amp;SUBSTITUTE(SUBSTITUTE(SUBSTITUTE(X337,"~","~~"),"*","~*"),"?","~?")),0)=1,1,""))</f>
        <v/>
      </c>
      <c r="Z337" s="25">
        <f>IF(T337=1,MAX(Z$2:Z336)+1,"")</f>
        <v/>
      </c>
    </row>
    <row r="338">
      <c r="A338">
        <f>IF(A$2=0,"",IFERROR(TRIM(INDEX('Pegar calibracion'!$A$1:$BZ$1001,337,A$2)&amp;""),""))</f>
        <v/>
      </c>
      <c r="B338">
        <f>IF(B$2=0,"",IFERROR(TRIM(INDEX('Pegar calibracion'!$A$1:$BZ$1001,337,B$2)&amp;""),""))</f>
        <v/>
      </c>
      <c r="C338">
        <f>IF(C$2=0,"",IFERROR(TRIM(INDEX('Pegar calibracion'!$A$1:$BZ$1001,337,C$2)&amp;""),""))</f>
        <v/>
      </c>
      <c r="D338">
        <f>IF(D$2=0,"",IFERROR(TRIM(INDEX('Pegar calibracion'!$A$1:$BZ$1001,337,D$2)&amp;""),""))</f>
        <v/>
      </c>
      <c r="E338">
        <f>IF(E$2=0,"",IFERROR(TRIM(INDEX('Pegar calibracion'!$A$1:$BZ$1001,337,E$2)&amp;""),""))</f>
        <v/>
      </c>
      <c r="F338">
        <f>IF(F$2=0,"",IFERROR(TRIM(INDEX('Pegar calibracion'!$A$1:$BZ$1001,337,F$2)&amp;""),""))</f>
        <v/>
      </c>
      <c r="G338">
        <f>IF(G$2=0,"",IFERROR(TRIM(INDEX('Pegar calibracion'!$A$1:$BZ$1001,337,G$2)&amp;""),""))</f>
        <v/>
      </c>
      <c r="H338">
        <f>IF(H$2=0,"",IFERROR(TRIM(INDEX('Pegar calibracion'!$A$1:$BZ$1001,337,H$2)&amp;""),""))</f>
        <v/>
      </c>
      <c r="I338">
        <f>IF(I$2=0,"",IFERROR(TRIM(INDEX('Pegar calibracion'!$A$1:$BZ$1001,337,I$2)&amp;""),""))</f>
        <v/>
      </c>
      <c r="J338">
        <f>IF(J$2=0,"",IFERROR(TRIM(INDEX('Pegar calibracion'!$A$1:$BZ$1001,337,J$2)&amp;""),""))</f>
        <v/>
      </c>
      <c r="K338">
        <f>IF(K$2=0,"",IFERROR(TRIM(INDEX('Pegar calibracion'!$A$1:$BZ$1001,337,K$2)&amp;""),""))</f>
        <v/>
      </c>
      <c r="L338">
        <f>IF(L$2=0,"",IFERROR(TRIM(INDEX('Pegar calibracion'!$A$1:$BZ$1001,337,L$2)&amp;""),""))</f>
        <v/>
      </c>
      <c r="M338" s="25">
        <f>IF(D338="","",SUBSTITUTE(SUBSTITUTE(SUBSTITUTE(SUBSTITUTE(SUBSTITUTE(SUBSTITUTE(SUBSTITUTE(SUBSTITUTE(SUBSTITUTE(SUBSTITUTE(SUBSTITUTE(SUBSTITUTE(LOWER(TRIM(D338)),"á","a"),"é","e"),"í","i"),"ó","o"),"ú","u"),"ü","u"),"ñ","n"),"à","a"),"è","e"),"ì","i"),"ò","o"),"ù","u"))</f>
        <v/>
      </c>
      <c r="N338" s="25">
        <f>IF(F338="","",SUBSTITUTE(SUBSTITUTE(SUBSTITUTE(SUBSTITUTE(SUBSTITUTE(SUBSTITUTE(SUBSTITUTE(SUBSTITUTE(SUBSTITUTE(SUBSTITUTE(SUBSTITUTE(SUBSTITUTE(LOWER(TRIM(F338)),"á","a"),"é","e"),"í","i"),"ó","o"),"ú","u"),"ü","u"),"ñ","n"),"à","a"),"è","e"),"ì","i"),"ò","o"),"ù","u"))</f>
        <v/>
      </c>
      <c r="O338" s="25">
        <f>IF(M338="confiable",2,IF(M338="dudosa",1,IF(M338="no confiable",0,"")))</f>
        <v/>
      </c>
      <c r="P338" s="25">
        <f>IF(N338="confiable",2,IF(N338="dudosa",1,IF(N338="no confiable",0,"")))</f>
        <v/>
      </c>
      <c r="Q338" s="25">
        <f>IF(AND(ISNUMBER(O338),ISNUMBER(P338)),1,"")</f>
        <v/>
      </c>
      <c r="R338" s="25">
        <f>IF(Q338=1,IF(O338=P338,"Sí","No"),"")</f>
        <v/>
      </c>
      <c r="S338" s="25">
        <f>IF(Q338=1,IF(P338&lt;O338,"Más estricto",IF(P338&gt;O338,"Más permisivo","Igual")),"")</f>
        <v/>
      </c>
      <c r="T338" s="25">
        <f>IF(Q338=1,IF(ABS(O338-P338)=2,1,0),"")</f>
        <v/>
      </c>
      <c r="U338" s="25">
        <f>IF(H338="","","|"&amp;SUBSTITUTE(SUBSTITUTE(TRIM(H338)," |","|"),"| ","|")&amp;"|")</f>
        <v/>
      </c>
      <c r="V338" s="25">
        <f>IF(AND(Q338=1,B338&lt;&gt;""),IF(IFERROR(COUNTIFS(B$3:B338,"="&amp;SUBSTITUTE(SUBSTITUTE(SUBSTITUTE(B338,"~","~~"),"*","~*"),"?","~?"),Q$3:Q338,1),0)=1,MAX(V$2:V337)+1,""),"")</f>
        <v/>
      </c>
      <c r="W338" s="25">
        <f>IF(V338="","",COUNTIFS($B$3:$B$1002,"="&amp;SUBSTITUTE(SUBSTITUTE(SUBSTITUTE(B338,"~","~~"),"*","~*"),"?","~?"),$Q$3:$Q$1002,1)*10000-V338)</f>
        <v/>
      </c>
      <c r="X338" s="25">
        <f>IF(Q338=1,IF(SUBSTITUTE(SUBSTITUTE(SUBSTITUTE(SUBSTITUTE(SUBSTITUTE(SUBSTITUTE(SUBSTITUTE(SUBSTITUTE(SUBSTITUTE(SUBSTITUTE(SUBSTITUTE(SUBSTITUTE(LOWER(TRIM(A338)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338)),"á","a"),"é","e"),"í","i"),"ó","o"),"ú","u"),"ü","u"),"ñ","n"),"à","a"),"è","e"),"ì","i"),"ò","o"),"ù","u")),"")</f>
        <v/>
      </c>
      <c r="Y338" s="25">
        <f>IF(X338="","",IF(IFERROR(COUNTIF(X$3:X338,"="&amp;SUBSTITUTE(SUBSTITUTE(SUBSTITUTE(X338,"~","~~"),"*","~*"),"?","~?")),0)=1,1,""))</f>
        <v/>
      </c>
      <c r="Z338" s="25">
        <f>IF(T338=1,MAX(Z$2:Z337)+1,"")</f>
        <v/>
      </c>
    </row>
    <row r="339">
      <c r="A339">
        <f>IF(A$2=0,"",IFERROR(TRIM(INDEX('Pegar calibracion'!$A$1:$BZ$1001,338,A$2)&amp;""),""))</f>
        <v/>
      </c>
      <c r="B339">
        <f>IF(B$2=0,"",IFERROR(TRIM(INDEX('Pegar calibracion'!$A$1:$BZ$1001,338,B$2)&amp;""),""))</f>
        <v/>
      </c>
      <c r="C339">
        <f>IF(C$2=0,"",IFERROR(TRIM(INDEX('Pegar calibracion'!$A$1:$BZ$1001,338,C$2)&amp;""),""))</f>
        <v/>
      </c>
      <c r="D339">
        <f>IF(D$2=0,"",IFERROR(TRIM(INDEX('Pegar calibracion'!$A$1:$BZ$1001,338,D$2)&amp;""),""))</f>
        <v/>
      </c>
      <c r="E339">
        <f>IF(E$2=0,"",IFERROR(TRIM(INDEX('Pegar calibracion'!$A$1:$BZ$1001,338,E$2)&amp;""),""))</f>
        <v/>
      </c>
      <c r="F339">
        <f>IF(F$2=0,"",IFERROR(TRIM(INDEX('Pegar calibracion'!$A$1:$BZ$1001,338,F$2)&amp;""),""))</f>
        <v/>
      </c>
      <c r="G339">
        <f>IF(G$2=0,"",IFERROR(TRIM(INDEX('Pegar calibracion'!$A$1:$BZ$1001,338,G$2)&amp;""),""))</f>
        <v/>
      </c>
      <c r="H339">
        <f>IF(H$2=0,"",IFERROR(TRIM(INDEX('Pegar calibracion'!$A$1:$BZ$1001,338,H$2)&amp;""),""))</f>
        <v/>
      </c>
      <c r="I339">
        <f>IF(I$2=0,"",IFERROR(TRIM(INDEX('Pegar calibracion'!$A$1:$BZ$1001,338,I$2)&amp;""),""))</f>
        <v/>
      </c>
      <c r="J339">
        <f>IF(J$2=0,"",IFERROR(TRIM(INDEX('Pegar calibracion'!$A$1:$BZ$1001,338,J$2)&amp;""),""))</f>
        <v/>
      </c>
      <c r="K339">
        <f>IF(K$2=0,"",IFERROR(TRIM(INDEX('Pegar calibracion'!$A$1:$BZ$1001,338,K$2)&amp;""),""))</f>
        <v/>
      </c>
      <c r="L339">
        <f>IF(L$2=0,"",IFERROR(TRIM(INDEX('Pegar calibracion'!$A$1:$BZ$1001,338,L$2)&amp;""),""))</f>
        <v/>
      </c>
      <c r="M339" s="25">
        <f>IF(D339="","",SUBSTITUTE(SUBSTITUTE(SUBSTITUTE(SUBSTITUTE(SUBSTITUTE(SUBSTITUTE(SUBSTITUTE(SUBSTITUTE(SUBSTITUTE(SUBSTITUTE(SUBSTITUTE(SUBSTITUTE(LOWER(TRIM(D339)),"á","a"),"é","e"),"í","i"),"ó","o"),"ú","u"),"ü","u"),"ñ","n"),"à","a"),"è","e"),"ì","i"),"ò","o"),"ù","u"))</f>
        <v/>
      </c>
      <c r="N339" s="25">
        <f>IF(F339="","",SUBSTITUTE(SUBSTITUTE(SUBSTITUTE(SUBSTITUTE(SUBSTITUTE(SUBSTITUTE(SUBSTITUTE(SUBSTITUTE(SUBSTITUTE(SUBSTITUTE(SUBSTITUTE(SUBSTITUTE(LOWER(TRIM(F339)),"á","a"),"é","e"),"í","i"),"ó","o"),"ú","u"),"ü","u"),"ñ","n"),"à","a"),"è","e"),"ì","i"),"ò","o"),"ù","u"))</f>
        <v/>
      </c>
      <c r="O339" s="25">
        <f>IF(M339="confiable",2,IF(M339="dudosa",1,IF(M339="no confiable",0,"")))</f>
        <v/>
      </c>
      <c r="P339" s="25">
        <f>IF(N339="confiable",2,IF(N339="dudosa",1,IF(N339="no confiable",0,"")))</f>
        <v/>
      </c>
      <c r="Q339" s="25">
        <f>IF(AND(ISNUMBER(O339),ISNUMBER(P339)),1,"")</f>
        <v/>
      </c>
      <c r="R339" s="25">
        <f>IF(Q339=1,IF(O339=P339,"Sí","No"),"")</f>
        <v/>
      </c>
      <c r="S339" s="25">
        <f>IF(Q339=1,IF(P339&lt;O339,"Más estricto",IF(P339&gt;O339,"Más permisivo","Igual")),"")</f>
        <v/>
      </c>
      <c r="T339" s="25">
        <f>IF(Q339=1,IF(ABS(O339-P339)=2,1,0),"")</f>
        <v/>
      </c>
      <c r="U339" s="25">
        <f>IF(H339="","","|"&amp;SUBSTITUTE(SUBSTITUTE(TRIM(H339)," |","|"),"| ","|")&amp;"|")</f>
        <v/>
      </c>
      <c r="V339" s="25">
        <f>IF(AND(Q339=1,B339&lt;&gt;""),IF(IFERROR(COUNTIFS(B$3:B339,"="&amp;SUBSTITUTE(SUBSTITUTE(SUBSTITUTE(B339,"~","~~"),"*","~*"),"?","~?"),Q$3:Q339,1),0)=1,MAX(V$2:V338)+1,""),"")</f>
        <v/>
      </c>
      <c r="W339" s="25">
        <f>IF(V339="","",COUNTIFS($B$3:$B$1002,"="&amp;SUBSTITUTE(SUBSTITUTE(SUBSTITUTE(B339,"~","~~"),"*","~*"),"?","~?"),$Q$3:$Q$1002,1)*10000-V339)</f>
        <v/>
      </c>
      <c r="X339" s="25">
        <f>IF(Q339=1,IF(SUBSTITUTE(SUBSTITUTE(SUBSTITUTE(SUBSTITUTE(SUBSTITUTE(SUBSTITUTE(SUBSTITUTE(SUBSTITUTE(SUBSTITUTE(SUBSTITUTE(SUBSTITUTE(SUBSTITUTE(LOWER(TRIM(A339)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339)),"á","a"),"é","e"),"í","i"),"ó","o"),"ú","u"),"ü","u"),"ñ","n"),"à","a"),"è","e"),"ì","i"),"ò","o"),"ù","u")),"")</f>
        <v/>
      </c>
      <c r="Y339" s="25">
        <f>IF(X339="","",IF(IFERROR(COUNTIF(X$3:X339,"="&amp;SUBSTITUTE(SUBSTITUTE(SUBSTITUTE(X339,"~","~~"),"*","~*"),"?","~?")),0)=1,1,""))</f>
        <v/>
      </c>
      <c r="Z339" s="25">
        <f>IF(T339=1,MAX(Z$2:Z338)+1,"")</f>
        <v/>
      </c>
    </row>
    <row r="340">
      <c r="A340">
        <f>IF(A$2=0,"",IFERROR(TRIM(INDEX('Pegar calibracion'!$A$1:$BZ$1001,339,A$2)&amp;""),""))</f>
        <v/>
      </c>
      <c r="B340">
        <f>IF(B$2=0,"",IFERROR(TRIM(INDEX('Pegar calibracion'!$A$1:$BZ$1001,339,B$2)&amp;""),""))</f>
        <v/>
      </c>
      <c r="C340">
        <f>IF(C$2=0,"",IFERROR(TRIM(INDEX('Pegar calibracion'!$A$1:$BZ$1001,339,C$2)&amp;""),""))</f>
        <v/>
      </c>
      <c r="D340">
        <f>IF(D$2=0,"",IFERROR(TRIM(INDEX('Pegar calibracion'!$A$1:$BZ$1001,339,D$2)&amp;""),""))</f>
        <v/>
      </c>
      <c r="E340">
        <f>IF(E$2=0,"",IFERROR(TRIM(INDEX('Pegar calibracion'!$A$1:$BZ$1001,339,E$2)&amp;""),""))</f>
        <v/>
      </c>
      <c r="F340">
        <f>IF(F$2=0,"",IFERROR(TRIM(INDEX('Pegar calibracion'!$A$1:$BZ$1001,339,F$2)&amp;""),""))</f>
        <v/>
      </c>
      <c r="G340">
        <f>IF(G$2=0,"",IFERROR(TRIM(INDEX('Pegar calibracion'!$A$1:$BZ$1001,339,G$2)&amp;""),""))</f>
        <v/>
      </c>
      <c r="H340">
        <f>IF(H$2=0,"",IFERROR(TRIM(INDEX('Pegar calibracion'!$A$1:$BZ$1001,339,H$2)&amp;""),""))</f>
        <v/>
      </c>
      <c r="I340">
        <f>IF(I$2=0,"",IFERROR(TRIM(INDEX('Pegar calibracion'!$A$1:$BZ$1001,339,I$2)&amp;""),""))</f>
        <v/>
      </c>
      <c r="J340">
        <f>IF(J$2=0,"",IFERROR(TRIM(INDEX('Pegar calibracion'!$A$1:$BZ$1001,339,J$2)&amp;""),""))</f>
        <v/>
      </c>
      <c r="K340">
        <f>IF(K$2=0,"",IFERROR(TRIM(INDEX('Pegar calibracion'!$A$1:$BZ$1001,339,K$2)&amp;""),""))</f>
        <v/>
      </c>
      <c r="L340">
        <f>IF(L$2=0,"",IFERROR(TRIM(INDEX('Pegar calibracion'!$A$1:$BZ$1001,339,L$2)&amp;""),""))</f>
        <v/>
      </c>
      <c r="M340" s="25">
        <f>IF(D340="","",SUBSTITUTE(SUBSTITUTE(SUBSTITUTE(SUBSTITUTE(SUBSTITUTE(SUBSTITUTE(SUBSTITUTE(SUBSTITUTE(SUBSTITUTE(SUBSTITUTE(SUBSTITUTE(SUBSTITUTE(LOWER(TRIM(D340)),"á","a"),"é","e"),"í","i"),"ó","o"),"ú","u"),"ü","u"),"ñ","n"),"à","a"),"è","e"),"ì","i"),"ò","o"),"ù","u"))</f>
        <v/>
      </c>
      <c r="N340" s="25">
        <f>IF(F340="","",SUBSTITUTE(SUBSTITUTE(SUBSTITUTE(SUBSTITUTE(SUBSTITUTE(SUBSTITUTE(SUBSTITUTE(SUBSTITUTE(SUBSTITUTE(SUBSTITUTE(SUBSTITUTE(SUBSTITUTE(LOWER(TRIM(F340)),"á","a"),"é","e"),"í","i"),"ó","o"),"ú","u"),"ü","u"),"ñ","n"),"à","a"),"è","e"),"ì","i"),"ò","o"),"ù","u"))</f>
        <v/>
      </c>
      <c r="O340" s="25">
        <f>IF(M340="confiable",2,IF(M340="dudosa",1,IF(M340="no confiable",0,"")))</f>
        <v/>
      </c>
      <c r="P340" s="25">
        <f>IF(N340="confiable",2,IF(N340="dudosa",1,IF(N340="no confiable",0,"")))</f>
        <v/>
      </c>
      <c r="Q340" s="25">
        <f>IF(AND(ISNUMBER(O340),ISNUMBER(P340)),1,"")</f>
        <v/>
      </c>
      <c r="R340" s="25">
        <f>IF(Q340=1,IF(O340=P340,"Sí","No"),"")</f>
        <v/>
      </c>
      <c r="S340" s="25">
        <f>IF(Q340=1,IF(P340&lt;O340,"Más estricto",IF(P340&gt;O340,"Más permisivo","Igual")),"")</f>
        <v/>
      </c>
      <c r="T340" s="25">
        <f>IF(Q340=1,IF(ABS(O340-P340)=2,1,0),"")</f>
        <v/>
      </c>
      <c r="U340" s="25">
        <f>IF(H340="","","|"&amp;SUBSTITUTE(SUBSTITUTE(TRIM(H340)," |","|"),"| ","|")&amp;"|")</f>
        <v/>
      </c>
      <c r="V340" s="25">
        <f>IF(AND(Q340=1,B340&lt;&gt;""),IF(IFERROR(COUNTIFS(B$3:B340,"="&amp;SUBSTITUTE(SUBSTITUTE(SUBSTITUTE(B340,"~","~~"),"*","~*"),"?","~?"),Q$3:Q340,1),0)=1,MAX(V$2:V339)+1,""),"")</f>
        <v/>
      </c>
      <c r="W340" s="25">
        <f>IF(V340="","",COUNTIFS($B$3:$B$1002,"="&amp;SUBSTITUTE(SUBSTITUTE(SUBSTITUTE(B340,"~","~~"),"*","~*"),"?","~?"),$Q$3:$Q$1002,1)*10000-V340)</f>
        <v/>
      </c>
      <c r="X340" s="25">
        <f>IF(Q340=1,IF(SUBSTITUTE(SUBSTITUTE(SUBSTITUTE(SUBSTITUTE(SUBSTITUTE(SUBSTITUTE(SUBSTITUTE(SUBSTITUTE(SUBSTITUTE(SUBSTITUTE(SUBSTITUTE(SUBSTITUTE(LOWER(TRIM(A340)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340)),"á","a"),"é","e"),"í","i"),"ó","o"),"ú","u"),"ü","u"),"ñ","n"),"à","a"),"è","e"),"ì","i"),"ò","o"),"ù","u")),"")</f>
        <v/>
      </c>
      <c r="Y340" s="25">
        <f>IF(X340="","",IF(IFERROR(COUNTIF(X$3:X340,"="&amp;SUBSTITUTE(SUBSTITUTE(SUBSTITUTE(X340,"~","~~"),"*","~*"),"?","~?")),0)=1,1,""))</f>
        <v/>
      </c>
      <c r="Z340" s="25">
        <f>IF(T340=1,MAX(Z$2:Z339)+1,"")</f>
        <v/>
      </c>
    </row>
    <row r="341">
      <c r="A341">
        <f>IF(A$2=0,"",IFERROR(TRIM(INDEX('Pegar calibracion'!$A$1:$BZ$1001,340,A$2)&amp;""),""))</f>
        <v/>
      </c>
      <c r="B341">
        <f>IF(B$2=0,"",IFERROR(TRIM(INDEX('Pegar calibracion'!$A$1:$BZ$1001,340,B$2)&amp;""),""))</f>
        <v/>
      </c>
      <c r="C341">
        <f>IF(C$2=0,"",IFERROR(TRIM(INDEX('Pegar calibracion'!$A$1:$BZ$1001,340,C$2)&amp;""),""))</f>
        <v/>
      </c>
      <c r="D341">
        <f>IF(D$2=0,"",IFERROR(TRIM(INDEX('Pegar calibracion'!$A$1:$BZ$1001,340,D$2)&amp;""),""))</f>
        <v/>
      </c>
      <c r="E341">
        <f>IF(E$2=0,"",IFERROR(TRIM(INDEX('Pegar calibracion'!$A$1:$BZ$1001,340,E$2)&amp;""),""))</f>
        <v/>
      </c>
      <c r="F341">
        <f>IF(F$2=0,"",IFERROR(TRIM(INDEX('Pegar calibracion'!$A$1:$BZ$1001,340,F$2)&amp;""),""))</f>
        <v/>
      </c>
      <c r="G341">
        <f>IF(G$2=0,"",IFERROR(TRIM(INDEX('Pegar calibracion'!$A$1:$BZ$1001,340,G$2)&amp;""),""))</f>
        <v/>
      </c>
      <c r="H341">
        <f>IF(H$2=0,"",IFERROR(TRIM(INDEX('Pegar calibracion'!$A$1:$BZ$1001,340,H$2)&amp;""),""))</f>
        <v/>
      </c>
      <c r="I341">
        <f>IF(I$2=0,"",IFERROR(TRIM(INDEX('Pegar calibracion'!$A$1:$BZ$1001,340,I$2)&amp;""),""))</f>
        <v/>
      </c>
      <c r="J341">
        <f>IF(J$2=0,"",IFERROR(TRIM(INDEX('Pegar calibracion'!$A$1:$BZ$1001,340,J$2)&amp;""),""))</f>
        <v/>
      </c>
      <c r="K341">
        <f>IF(K$2=0,"",IFERROR(TRIM(INDEX('Pegar calibracion'!$A$1:$BZ$1001,340,K$2)&amp;""),""))</f>
        <v/>
      </c>
      <c r="L341">
        <f>IF(L$2=0,"",IFERROR(TRIM(INDEX('Pegar calibracion'!$A$1:$BZ$1001,340,L$2)&amp;""),""))</f>
        <v/>
      </c>
      <c r="M341" s="25">
        <f>IF(D341="","",SUBSTITUTE(SUBSTITUTE(SUBSTITUTE(SUBSTITUTE(SUBSTITUTE(SUBSTITUTE(SUBSTITUTE(SUBSTITUTE(SUBSTITUTE(SUBSTITUTE(SUBSTITUTE(SUBSTITUTE(LOWER(TRIM(D341)),"á","a"),"é","e"),"í","i"),"ó","o"),"ú","u"),"ü","u"),"ñ","n"),"à","a"),"è","e"),"ì","i"),"ò","o"),"ù","u"))</f>
        <v/>
      </c>
      <c r="N341" s="25">
        <f>IF(F341="","",SUBSTITUTE(SUBSTITUTE(SUBSTITUTE(SUBSTITUTE(SUBSTITUTE(SUBSTITUTE(SUBSTITUTE(SUBSTITUTE(SUBSTITUTE(SUBSTITUTE(SUBSTITUTE(SUBSTITUTE(LOWER(TRIM(F341)),"á","a"),"é","e"),"í","i"),"ó","o"),"ú","u"),"ü","u"),"ñ","n"),"à","a"),"è","e"),"ì","i"),"ò","o"),"ù","u"))</f>
        <v/>
      </c>
      <c r="O341" s="25">
        <f>IF(M341="confiable",2,IF(M341="dudosa",1,IF(M341="no confiable",0,"")))</f>
        <v/>
      </c>
      <c r="P341" s="25">
        <f>IF(N341="confiable",2,IF(N341="dudosa",1,IF(N341="no confiable",0,"")))</f>
        <v/>
      </c>
      <c r="Q341" s="25">
        <f>IF(AND(ISNUMBER(O341),ISNUMBER(P341)),1,"")</f>
        <v/>
      </c>
      <c r="R341" s="25">
        <f>IF(Q341=1,IF(O341=P341,"Sí","No"),"")</f>
        <v/>
      </c>
      <c r="S341" s="25">
        <f>IF(Q341=1,IF(P341&lt;O341,"Más estricto",IF(P341&gt;O341,"Más permisivo","Igual")),"")</f>
        <v/>
      </c>
      <c r="T341" s="25">
        <f>IF(Q341=1,IF(ABS(O341-P341)=2,1,0),"")</f>
        <v/>
      </c>
      <c r="U341" s="25">
        <f>IF(H341="","","|"&amp;SUBSTITUTE(SUBSTITUTE(TRIM(H341)," |","|"),"| ","|")&amp;"|")</f>
        <v/>
      </c>
      <c r="V341" s="25">
        <f>IF(AND(Q341=1,B341&lt;&gt;""),IF(IFERROR(COUNTIFS(B$3:B341,"="&amp;SUBSTITUTE(SUBSTITUTE(SUBSTITUTE(B341,"~","~~"),"*","~*"),"?","~?"),Q$3:Q341,1),0)=1,MAX(V$2:V340)+1,""),"")</f>
        <v/>
      </c>
      <c r="W341" s="25">
        <f>IF(V341="","",COUNTIFS($B$3:$B$1002,"="&amp;SUBSTITUTE(SUBSTITUTE(SUBSTITUTE(B341,"~","~~"),"*","~*"),"?","~?"),$Q$3:$Q$1002,1)*10000-V341)</f>
        <v/>
      </c>
      <c r="X341" s="25">
        <f>IF(Q341=1,IF(SUBSTITUTE(SUBSTITUTE(SUBSTITUTE(SUBSTITUTE(SUBSTITUTE(SUBSTITUTE(SUBSTITUTE(SUBSTITUTE(SUBSTITUTE(SUBSTITUTE(SUBSTITUTE(SUBSTITUTE(LOWER(TRIM(A341)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341)),"á","a"),"é","e"),"í","i"),"ó","o"),"ú","u"),"ü","u"),"ñ","n"),"à","a"),"è","e"),"ì","i"),"ò","o"),"ù","u")),"")</f>
        <v/>
      </c>
      <c r="Y341" s="25">
        <f>IF(X341="","",IF(IFERROR(COUNTIF(X$3:X341,"="&amp;SUBSTITUTE(SUBSTITUTE(SUBSTITUTE(X341,"~","~~"),"*","~*"),"?","~?")),0)=1,1,""))</f>
        <v/>
      </c>
      <c r="Z341" s="25">
        <f>IF(T341=1,MAX(Z$2:Z340)+1,"")</f>
        <v/>
      </c>
    </row>
    <row r="342">
      <c r="A342">
        <f>IF(A$2=0,"",IFERROR(TRIM(INDEX('Pegar calibracion'!$A$1:$BZ$1001,341,A$2)&amp;""),""))</f>
        <v/>
      </c>
      <c r="B342">
        <f>IF(B$2=0,"",IFERROR(TRIM(INDEX('Pegar calibracion'!$A$1:$BZ$1001,341,B$2)&amp;""),""))</f>
        <v/>
      </c>
      <c r="C342">
        <f>IF(C$2=0,"",IFERROR(TRIM(INDEX('Pegar calibracion'!$A$1:$BZ$1001,341,C$2)&amp;""),""))</f>
        <v/>
      </c>
      <c r="D342">
        <f>IF(D$2=0,"",IFERROR(TRIM(INDEX('Pegar calibracion'!$A$1:$BZ$1001,341,D$2)&amp;""),""))</f>
        <v/>
      </c>
      <c r="E342">
        <f>IF(E$2=0,"",IFERROR(TRIM(INDEX('Pegar calibracion'!$A$1:$BZ$1001,341,E$2)&amp;""),""))</f>
        <v/>
      </c>
      <c r="F342">
        <f>IF(F$2=0,"",IFERROR(TRIM(INDEX('Pegar calibracion'!$A$1:$BZ$1001,341,F$2)&amp;""),""))</f>
        <v/>
      </c>
      <c r="G342">
        <f>IF(G$2=0,"",IFERROR(TRIM(INDEX('Pegar calibracion'!$A$1:$BZ$1001,341,G$2)&amp;""),""))</f>
        <v/>
      </c>
      <c r="H342">
        <f>IF(H$2=0,"",IFERROR(TRIM(INDEX('Pegar calibracion'!$A$1:$BZ$1001,341,H$2)&amp;""),""))</f>
        <v/>
      </c>
      <c r="I342">
        <f>IF(I$2=0,"",IFERROR(TRIM(INDEX('Pegar calibracion'!$A$1:$BZ$1001,341,I$2)&amp;""),""))</f>
        <v/>
      </c>
      <c r="J342">
        <f>IF(J$2=0,"",IFERROR(TRIM(INDEX('Pegar calibracion'!$A$1:$BZ$1001,341,J$2)&amp;""),""))</f>
        <v/>
      </c>
      <c r="K342">
        <f>IF(K$2=0,"",IFERROR(TRIM(INDEX('Pegar calibracion'!$A$1:$BZ$1001,341,K$2)&amp;""),""))</f>
        <v/>
      </c>
      <c r="L342">
        <f>IF(L$2=0,"",IFERROR(TRIM(INDEX('Pegar calibracion'!$A$1:$BZ$1001,341,L$2)&amp;""),""))</f>
        <v/>
      </c>
      <c r="M342" s="25">
        <f>IF(D342="","",SUBSTITUTE(SUBSTITUTE(SUBSTITUTE(SUBSTITUTE(SUBSTITUTE(SUBSTITUTE(SUBSTITUTE(SUBSTITUTE(SUBSTITUTE(SUBSTITUTE(SUBSTITUTE(SUBSTITUTE(LOWER(TRIM(D342)),"á","a"),"é","e"),"í","i"),"ó","o"),"ú","u"),"ü","u"),"ñ","n"),"à","a"),"è","e"),"ì","i"),"ò","o"),"ù","u"))</f>
        <v/>
      </c>
      <c r="N342" s="25">
        <f>IF(F342="","",SUBSTITUTE(SUBSTITUTE(SUBSTITUTE(SUBSTITUTE(SUBSTITUTE(SUBSTITUTE(SUBSTITUTE(SUBSTITUTE(SUBSTITUTE(SUBSTITUTE(SUBSTITUTE(SUBSTITUTE(LOWER(TRIM(F342)),"á","a"),"é","e"),"í","i"),"ó","o"),"ú","u"),"ü","u"),"ñ","n"),"à","a"),"è","e"),"ì","i"),"ò","o"),"ù","u"))</f>
        <v/>
      </c>
      <c r="O342" s="25">
        <f>IF(M342="confiable",2,IF(M342="dudosa",1,IF(M342="no confiable",0,"")))</f>
        <v/>
      </c>
      <c r="P342" s="25">
        <f>IF(N342="confiable",2,IF(N342="dudosa",1,IF(N342="no confiable",0,"")))</f>
        <v/>
      </c>
      <c r="Q342" s="25">
        <f>IF(AND(ISNUMBER(O342),ISNUMBER(P342)),1,"")</f>
        <v/>
      </c>
      <c r="R342" s="25">
        <f>IF(Q342=1,IF(O342=P342,"Sí","No"),"")</f>
        <v/>
      </c>
      <c r="S342" s="25">
        <f>IF(Q342=1,IF(P342&lt;O342,"Más estricto",IF(P342&gt;O342,"Más permisivo","Igual")),"")</f>
        <v/>
      </c>
      <c r="T342" s="25">
        <f>IF(Q342=1,IF(ABS(O342-P342)=2,1,0),"")</f>
        <v/>
      </c>
      <c r="U342" s="25">
        <f>IF(H342="","","|"&amp;SUBSTITUTE(SUBSTITUTE(TRIM(H342)," |","|"),"| ","|")&amp;"|")</f>
        <v/>
      </c>
      <c r="V342" s="25">
        <f>IF(AND(Q342=1,B342&lt;&gt;""),IF(IFERROR(COUNTIFS(B$3:B342,"="&amp;SUBSTITUTE(SUBSTITUTE(SUBSTITUTE(B342,"~","~~"),"*","~*"),"?","~?"),Q$3:Q342,1),0)=1,MAX(V$2:V341)+1,""),"")</f>
        <v/>
      </c>
      <c r="W342" s="25">
        <f>IF(V342="","",COUNTIFS($B$3:$B$1002,"="&amp;SUBSTITUTE(SUBSTITUTE(SUBSTITUTE(B342,"~","~~"),"*","~*"),"?","~?"),$Q$3:$Q$1002,1)*10000-V342)</f>
        <v/>
      </c>
      <c r="X342" s="25">
        <f>IF(Q342=1,IF(SUBSTITUTE(SUBSTITUTE(SUBSTITUTE(SUBSTITUTE(SUBSTITUTE(SUBSTITUTE(SUBSTITUTE(SUBSTITUTE(SUBSTITUTE(SUBSTITUTE(SUBSTITUTE(SUBSTITUTE(LOWER(TRIM(A342)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342)),"á","a"),"é","e"),"í","i"),"ó","o"),"ú","u"),"ü","u"),"ñ","n"),"à","a"),"è","e"),"ì","i"),"ò","o"),"ù","u")),"")</f>
        <v/>
      </c>
      <c r="Y342" s="25">
        <f>IF(X342="","",IF(IFERROR(COUNTIF(X$3:X342,"="&amp;SUBSTITUTE(SUBSTITUTE(SUBSTITUTE(X342,"~","~~"),"*","~*"),"?","~?")),0)=1,1,""))</f>
        <v/>
      </c>
      <c r="Z342" s="25">
        <f>IF(T342=1,MAX(Z$2:Z341)+1,"")</f>
        <v/>
      </c>
    </row>
    <row r="343">
      <c r="A343">
        <f>IF(A$2=0,"",IFERROR(TRIM(INDEX('Pegar calibracion'!$A$1:$BZ$1001,342,A$2)&amp;""),""))</f>
        <v/>
      </c>
      <c r="B343">
        <f>IF(B$2=0,"",IFERROR(TRIM(INDEX('Pegar calibracion'!$A$1:$BZ$1001,342,B$2)&amp;""),""))</f>
        <v/>
      </c>
      <c r="C343">
        <f>IF(C$2=0,"",IFERROR(TRIM(INDEX('Pegar calibracion'!$A$1:$BZ$1001,342,C$2)&amp;""),""))</f>
        <v/>
      </c>
      <c r="D343">
        <f>IF(D$2=0,"",IFERROR(TRIM(INDEX('Pegar calibracion'!$A$1:$BZ$1001,342,D$2)&amp;""),""))</f>
        <v/>
      </c>
      <c r="E343">
        <f>IF(E$2=0,"",IFERROR(TRIM(INDEX('Pegar calibracion'!$A$1:$BZ$1001,342,E$2)&amp;""),""))</f>
        <v/>
      </c>
      <c r="F343">
        <f>IF(F$2=0,"",IFERROR(TRIM(INDEX('Pegar calibracion'!$A$1:$BZ$1001,342,F$2)&amp;""),""))</f>
        <v/>
      </c>
      <c r="G343">
        <f>IF(G$2=0,"",IFERROR(TRIM(INDEX('Pegar calibracion'!$A$1:$BZ$1001,342,G$2)&amp;""),""))</f>
        <v/>
      </c>
      <c r="H343">
        <f>IF(H$2=0,"",IFERROR(TRIM(INDEX('Pegar calibracion'!$A$1:$BZ$1001,342,H$2)&amp;""),""))</f>
        <v/>
      </c>
      <c r="I343">
        <f>IF(I$2=0,"",IFERROR(TRIM(INDEX('Pegar calibracion'!$A$1:$BZ$1001,342,I$2)&amp;""),""))</f>
        <v/>
      </c>
      <c r="J343">
        <f>IF(J$2=0,"",IFERROR(TRIM(INDEX('Pegar calibracion'!$A$1:$BZ$1001,342,J$2)&amp;""),""))</f>
        <v/>
      </c>
      <c r="K343">
        <f>IF(K$2=0,"",IFERROR(TRIM(INDEX('Pegar calibracion'!$A$1:$BZ$1001,342,K$2)&amp;""),""))</f>
        <v/>
      </c>
      <c r="L343">
        <f>IF(L$2=0,"",IFERROR(TRIM(INDEX('Pegar calibracion'!$A$1:$BZ$1001,342,L$2)&amp;""),""))</f>
        <v/>
      </c>
      <c r="M343" s="25">
        <f>IF(D343="","",SUBSTITUTE(SUBSTITUTE(SUBSTITUTE(SUBSTITUTE(SUBSTITUTE(SUBSTITUTE(SUBSTITUTE(SUBSTITUTE(SUBSTITUTE(SUBSTITUTE(SUBSTITUTE(SUBSTITUTE(LOWER(TRIM(D343)),"á","a"),"é","e"),"í","i"),"ó","o"),"ú","u"),"ü","u"),"ñ","n"),"à","a"),"è","e"),"ì","i"),"ò","o"),"ù","u"))</f>
        <v/>
      </c>
      <c r="N343" s="25">
        <f>IF(F343="","",SUBSTITUTE(SUBSTITUTE(SUBSTITUTE(SUBSTITUTE(SUBSTITUTE(SUBSTITUTE(SUBSTITUTE(SUBSTITUTE(SUBSTITUTE(SUBSTITUTE(SUBSTITUTE(SUBSTITUTE(LOWER(TRIM(F343)),"á","a"),"é","e"),"í","i"),"ó","o"),"ú","u"),"ü","u"),"ñ","n"),"à","a"),"è","e"),"ì","i"),"ò","o"),"ù","u"))</f>
        <v/>
      </c>
      <c r="O343" s="25">
        <f>IF(M343="confiable",2,IF(M343="dudosa",1,IF(M343="no confiable",0,"")))</f>
        <v/>
      </c>
      <c r="P343" s="25">
        <f>IF(N343="confiable",2,IF(N343="dudosa",1,IF(N343="no confiable",0,"")))</f>
        <v/>
      </c>
      <c r="Q343" s="25">
        <f>IF(AND(ISNUMBER(O343),ISNUMBER(P343)),1,"")</f>
        <v/>
      </c>
      <c r="R343" s="25">
        <f>IF(Q343=1,IF(O343=P343,"Sí","No"),"")</f>
        <v/>
      </c>
      <c r="S343" s="25">
        <f>IF(Q343=1,IF(P343&lt;O343,"Más estricto",IF(P343&gt;O343,"Más permisivo","Igual")),"")</f>
        <v/>
      </c>
      <c r="T343" s="25">
        <f>IF(Q343=1,IF(ABS(O343-P343)=2,1,0),"")</f>
        <v/>
      </c>
      <c r="U343" s="25">
        <f>IF(H343="","","|"&amp;SUBSTITUTE(SUBSTITUTE(TRIM(H343)," |","|"),"| ","|")&amp;"|")</f>
        <v/>
      </c>
      <c r="V343" s="25">
        <f>IF(AND(Q343=1,B343&lt;&gt;""),IF(IFERROR(COUNTIFS(B$3:B343,"="&amp;SUBSTITUTE(SUBSTITUTE(SUBSTITUTE(B343,"~","~~"),"*","~*"),"?","~?"),Q$3:Q343,1),0)=1,MAX(V$2:V342)+1,""),"")</f>
        <v/>
      </c>
      <c r="W343" s="25">
        <f>IF(V343="","",COUNTIFS($B$3:$B$1002,"="&amp;SUBSTITUTE(SUBSTITUTE(SUBSTITUTE(B343,"~","~~"),"*","~*"),"?","~?"),$Q$3:$Q$1002,1)*10000-V343)</f>
        <v/>
      </c>
      <c r="X343" s="25">
        <f>IF(Q343=1,IF(SUBSTITUTE(SUBSTITUTE(SUBSTITUTE(SUBSTITUTE(SUBSTITUTE(SUBSTITUTE(SUBSTITUTE(SUBSTITUTE(SUBSTITUTE(SUBSTITUTE(SUBSTITUTE(SUBSTITUTE(LOWER(TRIM(A343)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343)),"á","a"),"é","e"),"í","i"),"ó","o"),"ú","u"),"ü","u"),"ñ","n"),"à","a"),"è","e"),"ì","i"),"ò","o"),"ù","u")),"")</f>
        <v/>
      </c>
      <c r="Y343" s="25">
        <f>IF(X343="","",IF(IFERROR(COUNTIF(X$3:X343,"="&amp;SUBSTITUTE(SUBSTITUTE(SUBSTITUTE(X343,"~","~~"),"*","~*"),"?","~?")),0)=1,1,""))</f>
        <v/>
      </c>
      <c r="Z343" s="25">
        <f>IF(T343=1,MAX(Z$2:Z342)+1,"")</f>
        <v/>
      </c>
    </row>
    <row r="344">
      <c r="A344">
        <f>IF(A$2=0,"",IFERROR(TRIM(INDEX('Pegar calibracion'!$A$1:$BZ$1001,343,A$2)&amp;""),""))</f>
        <v/>
      </c>
      <c r="B344">
        <f>IF(B$2=0,"",IFERROR(TRIM(INDEX('Pegar calibracion'!$A$1:$BZ$1001,343,B$2)&amp;""),""))</f>
        <v/>
      </c>
      <c r="C344">
        <f>IF(C$2=0,"",IFERROR(TRIM(INDEX('Pegar calibracion'!$A$1:$BZ$1001,343,C$2)&amp;""),""))</f>
        <v/>
      </c>
      <c r="D344">
        <f>IF(D$2=0,"",IFERROR(TRIM(INDEX('Pegar calibracion'!$A$1:$BZ$1001,343,D$2)&amp;""),""))</f>
        <v/>
      </c>
      <c r="E344">
        <f>IF(E$2=0,"",IFERROR(TRIM(INDEX('Pegar calibracion'!$A$1:$BZ$1001,343,E$2)&amp;""),""))</f>
        <v/>
      </c>
      <c r="F344">
        <f>IF(F$2=0,"",IFERROR(TRIM(INDEX('Pegar calibracion'!$A$1:$BZ$1001,343,F$2)&amp;""),""))</f>
        <v/>
      </c>
      <c r="G344">
        <f>IF(G$2=0,"",IFERROR(TRIM(INDEX('Pegar calibracion'!$A$1:$BZ$1001,343,G$2)&amp;""),""))</f>
        <v/>
      </c>
      <c r="H344">
        <f>IF(H$2=0,"",IFERROR(TRIM(INDEX('Pegar calibracion'!$A$1:$BZ$1001,343,H$2)&amp;""),""))</f>
        <v/>
      </c>
      <c r="I344">
        <f>IF(I$2=0,"",IFERROR(TRIM(INDEX('Pegar calibracion'!$A$1:$BZ$1001,343,I$2)&amp;""),""))</f>
        <v/>
      </c>
      <c r="J344">
        <f>IF(J$2=0,"",IFERROR(TRIM(INDEX('Pegar calibracion'!$A$1:$BZ$1001,343,J$2)&amp;""),""))</f>
        <v/>
      </c>
      <c r="K344">
        <f>IF(K$2=0,"",IFERROR(TRIM(INDEX('Pegar calibracion'!$A$1:$BZ$1001,343,K$2)&amp;""),""))</f>
        <v/>
      </c>
      <c r="L344">
        <f>IF(L$2=0,"",IFERROR(TRIM(INDEX('Pegar calibracion'!$A$1:$BZ$1001,343,L$2)&amp;""),""))</f>
        <v/>
      </c>
      <c r="M344" s="25">
        <f>IF(D344="","",SUBSTITUTE(SUBSTITUTE(SUBSTITUTE(SUBSTITUTE(SUBSTITUTE(SUBSTITUTE(SUBSTITUTE(SUBSTITUTE(SUBSTITUTE(SUBSTITUTE(SUBSTITUTE(SUBSTITUTE(LOWER(TRIM(D344)),"á","a"),"é","e"),"í","i"),"ó","o"),"ú","u"),"ü","u"),"ñ","n"),"à","a"),"è","e"),"ì","i"),"ò","o"),"ù","u"))</f>
        <v/>
      </c>
      <c r="N344" s="25">
        <f>IF(F344="","",SUBSTITUTE(SUBSTITUTE(SUBSTITUTE(SUBSTITUTE(SUBSTITUTE(SUBSTITUTE(SUBSTITUTE(SUBSTITUTE(SUBSTITUTE(SUBSTITUTE(SUBSTITUTE(SUBSTITUTE(LOWER(TRIM(F344)),"á","a"),"é","e"),"í","i"),"ó","o"),"ú","u"),"ü","u"),"ñ","n"),"à","a"),"è","e"),"ì","i"),"ò","o"),"ù","u"))</f>
        <v/>
      </c>
      <c r="O344" s="25">
        <f>IF(M344="confiable",2,IF(M344="dudosa",1,IF(M344="no confiable",0,"")))</f>
        <v/>
      </c>
      <c r="P344" s="25">
        <f>IF(N344="confiable",2,IF(N344="dudosa",1,IF(N344="no confiable",0,"")))</f>
        <v/>
      </c>
      <c r="Q344" s="25">
        <f>IF(AND(ISNUMBER(O344),ISNUMBER(P344)),1,"")</f>
        <v/>
      </c>
      <c r="R344" s="25">
        <f>IF(Q344=1,IF(O344=P344,"Sí","No"),"")</f>
        <v/>
      </c>
      <c r="S344" s="25">
        <f>IF(Q344=1,IF(P344&lt;O344,"Más estricto",IF(P344&gt;O344,"Más permisivo","Igual")),"")</f>
        <v/>
      </c>
      <c r="T344" s="25">
        <f>IF(Q344=1,IF(ABS(O344-P344)=2,1,0),"")</f>
        <v/>
      </c>
      <c r="U344" s="25">
        <f>IF(H344="","","|"&amp;SUBSTITUTE(SUBSTITUTE(TRIM(H344)," |","|"),"| ","|")&amp;"|")</f>
        <v/>
      </c>
      <c r="V344" s="25">
        <f>IF(AND(Q344=1,B344&lt;&gt;""),IF(IFERROR(COUNTIFS(B$3:B344,"="&amp;SUBSTITUTE(SUBSTITUTE(SUBSTITUTE(B344,"~","~~"),"*","~*"),"?","~?"),Q$3:Q344,1),0)=1,MAX(V$2:V343)+1,""),"")</f>
        <v/>
      </c>
      <c r="W344" s="25">
        <f>IF(V344="","",COUNTIFS($B$3:$B$1002,"="&amp;SUBSTITUTE(SUBSTITUTE(SUBSTITUTE(B344,"~","~~"),"*","~*"),"?","~?"),$Q$3:$Q$1002,1)*10000-V344)</f>
        <v/>
      </c>
      <c r="X344" s="25">
        <f>IF(Q344=1,IF(SUBSTITUTE(SUBSTITUTE(SUBSTITUTE(SUBSTITUTE(SUBSTITUTE(SUBSTITUTE(SUBSTITUTE(SUBSTITUTE(SUBSTITUTE(SUBSTITUTE(SUBSTITUTE(SUBSTITUTE(LOWER(TRIM(A344)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344)),"á","a"),"é","e"),"í","i"),"ó","o"),"ú","u"),"ü","u"),"ñ","n"),"à","a"),"è","e"),"ì","i"),"ò","o"),"ù","u")),"")</f>
        <v/>
      </c>
      <c r="Y344" s="25">
        <f>IF(X344="","",IF(IFERROR(COUNTIF(X$3:X344,"="&amp;SUBSTITUTE(SUBSTITUTE(SUBSTITUTE(X344,"~","~~"),"*","~*"),"?","~?")),0)=1,1,""))</f>
        <v/>
      </c>
      <c r="Z344" s="25">
        <f>IF(T344=1,MAX(Z$2:Z343)+1,"")</f>
        <v/>
      </c>
    </row>
    <row r="345">
      <c r="A345">
        <f>IF(A$2=0,"",IFERROR(TRIM(INDEX('Pegar calibracion'!$A$1:$BZ$1001,344,A$2)&amp;""),""))</f>
        <v/>
      </c>
      <c r="B345">
        <f>IF(B$2=0,"",IFERROR(TRIM(INDEX('Pegar calibracion'!$A$1:$BZ$1001,344,B$2)&amp;""),""))</f>
        <v/>
      </c>
      <c r="C345">
        <f>IF(C$2=0,"",IFERROR(TRIM(INDEX('Pegar calibracion'!$A$1:$BZ$1001,344,C$2)&amp;""),""))</f>
        <v/>
      </c>
      <c r="D345">
        <f>IF(D$2=0,"",IFERROR(TRIM(INDEX('Pegar calibracion'!$A$1:$BZ$1001,344,D$2)&amp;""),""))</f>
        <v/>
      </c>
      <c r="E345">
        <f>IF(E$2=0,"",IFERROR(TRIM(INDEX('Pegar calibracion'!$A$1:$BZ$1001,344,E$2)&amp;""),""))</f>
        <v/>
      </c>
      <c r="F345">
        <f>IF(F$2=0,"",IFERROR(TRIM(INDEX('Pegar calibracion'!$A$1:$BZ$1001,344,F$2)&amp;""),""))</f>
        <v/>
      </c>
      <c r="G345">
        <f>IF(G$2=0,"",IFERROR(TRIM(INDEX('Pegar calibracion'!$A$1:$BZ$1001,344,G$2)&amp;""),""))</f>
        <v/>
      </c>
      <c r="H345">
        <f>IF(H$2=0,"",IFERROR(TRIM(INDEX('Pegar calibracion'!$A$1:$BZ$1001,344,H$2)&amp;""),""))</f>
        <v/>
      </c>
      <c r="I345">
        <f>IF(I$2=0,"",IFERROR(TRIM(INDEX('Pegar calibracion'!$A$1:$BZ$1001,344,I$2)&amp;""),""))</f>
        <v/>
      </c>
      <c r="J345">
        <f>IF(J$2=0,"",IFERROR(TRIM(INDEX('Pegar calibracion'!$A$1:$BZ$1001,344,J$2)&amp;""),""))</f>
        <v/>
      </c>
      <c r="K345">
        <f>IF(K$2=0,"",IFERROR(TRIM(INDEX('Pegar calibracion'!$A$1:$BZ$1001,344,K$2)&amp;""),""))</f>
        <v/>
      </c>
      <c r="L345">
        <f>IF(L$2=0,"",IFERROR(TRIM(INDEX('Pegar calibracion'!$A$1:$BZ$1001,344,L$2)&amp;""),""))</f>
        <v/>
      </c>
      <c r="M345" s="25">
        <f>IF(D345="","",SUBSTITUTE(SUBSTITUTE(SUBSTITUTE(SUBSTITUTE(SUBSTITUTE(SUBSTITUTE(SUBSTITUTE(SUBSTITUTE(SUBSTITUTE(SUBSTITUTE(SUBSTITUTE(SUBSTITUTE(LOWER(TRIM(D345)),"á","a"),"é","e"),"í","i"),"ó","o"),"ú","u"),"ü","u"),"ñ","n"),"à","a"),"è","e"),"ì","i"),"ò","o"),"ù","u"))</f>
        <v/>
      </c>
      <c r="N345" s="25">
        <f>IF(F345="","",SUBSTITUTE(SUBSTITUTE(SUBSTITUTE(SUBSTITUTE(SUBSTITUTE(SUBSTITUTE(SUBSTITUTE(SUBSTITUTE(SUBSTITUTE(SUBSTITUTE(SUBSTITUTE(SUBSTITUTE(LOWER(TRIM(F345)),"á","a"),"é","e"),"í","i"),"ó","o"),"ú","u"),"ü","u"),"ñ","n"),"à","a"),"è","e"),"ì","i"),"ò","o"),"ù","u"))</f>
        <v/>
      </c>
      <c r="O345" s="25">
        <f>IF(M345="confiable",2,IF(M345="dudosa",1,IF(M345="no confiable",0,"")))</f>
        <v/>
      </c>
      <c r="P345" s="25">
        <f>IF(N345="confiable",2,IF(N345="dudosa",1,IF(N345="no confiable",0,"")))</f>
        <v/>
      </c>
      <c r="Q345" s="25">
        <f>IF(AND(ISNUMBER(O345),ISNUMBER(P345)),1,"")</f>
        <v/>
      </c>
      <c r="R345" s="25">
        <f>IF(Q345=1,IF(O345=P345,"Sí","No"),"")</f>
        <v/>
      </c>
      <c r="S345" s="25">
        <f>IF(Q345=1,IF(P345&lt;O345,"Más estricto",IF(P345&gt;O345,"Más permisivo","Igual")),"")</f>
        <v/>
      </c>
      <c r="T345" s="25">
        <f>IF(Q345=1,IF(ABS(O345-P345)=2,1,0),"")</f>
        <v/>
      </c>
      <c r="U345" s="25">
        <f>IF(H345="","","|"&amp;SUBSTITUTE(SUBSTITUTE(TRIM(H345)," |","|"),"| ","|")&amp;"|")</f>
        <v/>
      </c>
      <c r="V345" s="25">
        <f>IF(AND(Q345=1,B345&lt;&gt;""),IF(IFERROR(COUNTIFS(B$3:B345,"="&amp;SUBSTITUTE(SUBSTITUTE(SUBSTITUTE(B345,"~","~~"),"*","~*"),"?","~?"),Q$3:Q345,1),0)=1,MAX(V$2:V344)+1,""),"")</f>
        <v/>
      </c>
      <c r="W345" s="25">
        <f>IF(V345="","",COUNTIFS($B$3:$B$1002,"="&amp;SUBSTITUTE(SUBSTITUTE(SUBSTITUTE(B345,"~","~~"),"*","~*"),"?","~?"),$Q$3:$Q$1002,1)*10000-V345)</f>
        <v/>
      </c>
      <c r="X345" s="25">
        <f>IF(Q345=1,IF(SUBSTITUTE(SUBSTITUTE(SUBSTITUTE(SUBSTITUTE(SUBSTITUTE(SUBSTITUTE(SUBSTITUTE(SUBSTITUTE(SUBSTITUTE(SUBSTITUTE(SUBSTITUTE(SUBSTITUTE(LOWER(TRIM(A345)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345)),"á","a"),"é","e"),"í","i"),"ó","o"),"ú","u"),"ü","u"),"ñ","n"),"à","a"),"è","e"),"ì","i"),"ò","o"),"ù","u")),"")</f>
        <v/>
      </c>
      <c r="Y345" s="25">
        <f>IF(X345="","",IF(IFERROR(COUNTIF(X$3:X345,"="&amp;SUBSTITUTE(SUBSTITUTE(SUBSTITUTE(X345,"~","~~"),"*","~*"),"?","~?")),0)=1,1,""))</f>
        <v/>
      </c>
      <c r="Z345" s="25">
        <f>IF(T345=1,MAX(Z$2:Z344)+1,"")</f>
        <v/>
      </c>
    </row>
    <row r="346">
      <c r="A346">
        <f>IF(A$2=0,"",IFERROR(TRIM(INDEX('Pegar calibracion'!$A$1:$BZ$1001,345,A$2)&amp;""),""))</f>
        <v/>
      </c>
      <c r="B346">
        <f>IF(B$2=0,"",IFERROR(TRIM(INDEX('Pegar calibracion'!$A$1:$BZ$1001,345,B$2)&amp;""),""))</f>
        <v/>
      </c>
      <c r="C346">
        <f>IF(C$2=0,"",IFERROR(TRIM(INDEX('Pegar calibracion'!$A$1:$BZ$1001,345,C$2)&amp;""),""))</f>
        <v/>
      </c>
      <c r="D346">
        <f>IF(D$2=0,"",IFERROR(TRIM(INDEX('Pegar calibracion'!$A$1:$BZ$1001,345,D$2)&amp;""),""))</f>
        <v/>
      </c>
      <c r="E346">
        <f>IF(E$2=0,"",IFERROR(TRIM(INDEX('Pegar calibracion'!$A$1:$BZ$1001,345,E$2)&amp;""),""))</f>
        <v/>
      </c>
      <c r="F346">
        <f>IF(F$2=0,"",IFERROR(TRIM(INDEX('Pegar calibracion'!$A$1:$BZ$1001,345,F$2)&amp;""),""))</f>
        <v/>
      </c>
      <c r="G346">
        <f>IF(G$2=0,"",IFERROR(TRIM(INDEX('Pegar calibracion'!$A$1:$BZ$1001,345,G$2)&amp;""),""))</f>
        <v/>
      </c>
      <c r="H346">
        <f>IF(H$2=0,"",IFERROR(TRIM(INDEX('Pegar calibracion'!$A$1:$BZ$1001,345,H$2)&amp;""),""))</f>
        <v/>
      </c>
      <c r="I346">
        <f>IF(I$2=0,"",IFERROR(TRIM(INDEX('Pegar calibracion'!$A$1:$BZ$1001,345,I$2)&amp;""),""))</f>
        <v/>
      </c>
      <c r="J346">
        <f>IF(J$2=0,"",IFERROR(TRIM(INDEX('Pegar calibracion'!$A$1:$BZ$1001,345,J$2)&amp;""),""))</f>
        <v/>
      </c>
      <c r="K346">
        <f>IF(K$2=0,"",IFERROR(TRIM(INDEX('Pegar calibracion'!$A$1:$BZ$1001,345,K$2)&amp;""),""))</f>
        <v/>
      </c>
      <c r="L346">
        <f>IF(L$2=0,"",IFERROR(TRIM(INDEX('Pegar calibracion'!$A$1:$BZ$1001,345,L$2)&amp;""),""))</f>
        <v/>
      </c>
      <c r="M346" s="25">
        <f>IF(D346="","",SUBSTITUTE(SUBSTITUTE(SUBSTITUTE(SUBSTITUTE(SUBSTITUTE(SUBSTITUTE(SUBSTITUTE(SUBSTITUTE(SUBSTITUTE(SUBSTITUTE(SUBSTITUTE(SUBSTITUTE(LOWER(TRIM(D346)),"á","a"),"é","e"),"í","i"),"ó","o"),"ú","u"),"ü","u"),"ñ","n"),"à","a"),"è","e"),"ì","i"),"ò","o"),"ù","u"))</f>
        <v/>
      </c>
      <c r="N346" s="25">
        <f>IF(F346="","",SUBSTITUTE(SUBSTITUTE(SUBSTITUTE(SUBSTITUTE(SUBSTITUTE(SUBSTITUTE(SUBSTITUTE(SUBSTITUTE(SUBSTITUTE(SUBSTITUTE(SUBSTITUTE(SUBSTITUTE(LOWER(TRIM(F346)),"á","a"),"é","e"),"í","i"),"ó","o"),"ú","u"),"ü","u"),"ñ","n"),"à","a"),"è","e"),"ì","i"),"ò","o"),"ù","u"))</f>
        <v/>
      </c>
      <c r="O346" s="25">
        <f>IF(M346="confiable",2,IF(M346="dudosa",1,IF(M346="no confiable",0,"")))</f>
        <v/>
      </c>
      <c r="P346" s="25">
        <f>IF(N346="confiable",2,IF(N346="dudosa",1,IF(N346="no confiable",0,"")))</f>
        <v/>
      </c>
      <c r="Q346" s="25">
        <f>IF(AND(ISNUMBER(O346),ISNUMBER(P346)),1,"")</f>
        <v/>
      </c>
      <c r="R346" s="25">
        <f>IF(Q346=1,IF(O346=P346,"Sí","No"),"")</f>
        <v/>
      </c>
      <c r="S346" s="25">
        <f>IF(Q346=1,IF(P346&lt;O346,"Más estricto",IF(P346&gt;O346,"Más permisivo","Igual")),"")</f>
        <v/>
      </c>
      <c r="T346" s="25">
        <f>IF(Q346=1,IF(ABS(O346-P346)=2,1,0),"")</f>
        <v/>
      </c>
      <c r="U346" s="25">
        <f>IF(H346="","","|"&amp;SUBSTITUTE(SUBSTITUTE(TRIM(H346)," |","|"),"| ","|")&amp;"|")</f>
        <v/>
      </c>
      <c r="V346" s="25">
        <f>IF(AND(Q346=1,B346&lt;&gt;""),IF(IFERROR(COUNTIFS(B$3:B346,"="&amp;SUBSTITUTE(SUBSTITUTE(SUBSTITUTE(B346,"~","~~"),"*","~*"),"?","~?"),Q$3:Q346,1),0)=1,MAX(V$2:V345)+1,""),"")</f>
        <v/>
      </c>
      <c r="W346" s="25">
        <f>IF(V346="","",COUNTIFS($B$3:$B$1002,"="&amp;SUBSTITUTE(SUBSTITUTE(SUBSTITUTE(B346,"~","~~"),"*","~*"),"?","~?"),$Q$3:$Q$1002,1)*10000-V346)</f>
        <v/>
      </c>
      <c r="X346" s="25">
        <f>IF(Q346=1,IF(SUBSTITUTE(SUBSTITUTE(SUBSTITUTE(SUBSTITUTE(SUBSTITUTE(SUBSTITUTE(SUBSTITUTE(SUBSTITUTE(SUBSTITUTE(SUBSTITUTE(SUBSTITUTE(SUBSTITUTE(LOWER(TRIM(A346)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346)),"á","a"),"é","e"),"í","i"),"ó","o"),"ú","u"),"ü","u"),"ñ","n"),"à","a"),"è","e"),"ì","i"),"ò","o"),"ù","u")),"")</f>
        <v/>
      </c>
      <c r="Y346" s="25">
        <f>IF(X346="","",IF(IFERROR(COUNTIF(X$3:X346,"="&amp;SUBSTITUTE(SUBSTITUTE(SUBSTITUTE(X346,"~","~~"),"*","~*"),"?","~?")),0)=1,1,""))</f>
        <v/>
      </c>
      <c r="Z346" s="25">
        <f>IF(T346=1,MAX(Z$2:Z345)+1,"")</f>
        <v/>
      </c>
    </row>
    <row r="347">
      <c r="A347">
        <f>IF(A$2=0,"",IFERROR(TRIM(INDEX('Pegar calibracion'!$A$1:$BZ$1001,346,A$2)&amp;""),""))</f>
        <v/>
      </c>
      <c r="B347">
        <f>IF(B$2=0,"",IFERROR(TRIM(INDEX('Pegar calibracion'!$A$1:$BZ$1001,346,B$2)&amp;""),""))</f>
        <v/>
      </c>
      <c r="C347">
        <f>IF(C$2=0,"",IFERROR(TRIM(INDEX('Pegar calibracion'!$A$1:$BZ$1001,346,C$2)&amp;""),""))</f>
        <v/>
      </c>
      <c r="D347">
        <f>IF(D$2=0,"",IFERROR(TRIM(INDEX('Pegar calibracion'!$A$1:$BZ$1001,346,D$2)&amp;""),""))</f>
        <v/>
      </c>
      <c r="E347">
        <f>IF(E$2=0,"",IFERROR(TRIM(INDEX('Pegar calibracion'!$A$1:$BZ$1001,346,E$2)&amp;""),""))</f>
        <v/>
      </c>
      <c r="F347">
        <f>IF(F$2=0,"",IFERROR(TRIM(INDEX('Pegar calibracion'!$A$1:$BZ$1001,346,F$2)&amp;""),""))</f>
        <v/>
      </c>
      <c r="G347">
        <f>IF(G$2=0,"",IFERROR(TRIM(INDEX('Pegar calibracion'!$A$1:$BZ$1001,346,G$2)&amp;""),""))</f>
        <v/>
      </c>
      <c r="H347">
        <f>IF(H$2=0,"",IFERROR(TRIM(INDEX('Pegar calibracion'!$A$1:$BZ$1001,346,H$2)&amp;""),""))</f>
        <v/>
      </c>
      <c r="I347">
        <f>IF(I$2=0,"",IFERROR(TRIM(INDEX('Pegar calibracion'!$A$1:$BZ$1001,346,I$2)&amp;""),""))</f>
        <v/>
      </c>
      <c r="J347">
        <f>IF(J$2=0,"",IFERROR(TRIM(INDEX('Pegar calibracion'!$A$1:$BZ$1001,346,J$2)&amp;""),""))</f>
        <v/>
      </c>
      <c r="K347">
        <f>IF(K$2=0,"",IFERROR(TRIM(INDEX('Pegar calibracion'!$A$1:$BZ$1001,346,K$2)&amp;""),""))</f>
        <v/>
      </c>
      <c r="L347">
        <f>IF(L$2=0,"",IFERROR(TRIM(INDEX('Pegar calibracion'!$A$1:$BZ$1001,346,L$2)&amp;""),""))</f>
        <v/>
      </c>
      <c r="M347" s="25">
        <f>IF(D347="","",SUBSTITUTE(SUBSTITUTE(SUBSTITUTE(SUBSTITUTE(SUBSTITUTE(SUBSTITUTE(SUBSTITUTE(SUBSTITUTE(SUBSTITUTE(SUBSTITUTE(SUBSTITUTE(SUBSTITUTE(LOWER(TRIM(D347)),"á","a"),"é","e"),"í","i"),"ó","o"),"ú","u"),"ü","u"),"ñ","n"),"à","a"),"è","e"),"ì","i"),"ò","o"),"ù","u"))</f>
        <v/>
      </c>
      <c r="N347" s="25">
        <f>IF(F347="","",SUBSTITUTE(SUBSTITUTE(SUBSTITUTE(SUBSTITUTE(SUBSTITUTE(SUBSTITUTE(SUBSTITUTE(SUBSTITUTE(SUBSTITUTE(SUBSTITUTE(SUBSTITUTE(SUBSTITUTE(LOWER(TRIM(F347)),"á","a"),"é","e"),"í","i"),"ó","o"),"ú","u"),"ü","u"),"ñ","n"),"à","a"),"è","e"),"ì","i"),"ò","o"),"ù","u"))</f>
        <v/>
      </c>
      <c r="O347" s="25">
        <f>IF(M347="confiable",2,IF(M347="dudosa",1,IF(M347="no confiable",0,"")))</f>
        <v/>
      </c>
      <c r="P347" s="25">
        <f>IF(N347="confiable",2,IF(N347="dudosa",1,IF(N347="no confiable",0,"")))</f>
        <v/>
      </c>
      <c r="Q347" s="25">
        <f>IF(AND(ISNUMBER(O347),ISNUMBER(P347)),1,"")</f>
        <v/>
      </c>
      <c r="R347" s="25">
        <f>IF(Q347=1,IF(O347=P347,"Sí","No"),"")</f>
        <v/>
      </c>
      <c r="S347" s="25">
        <f>IF(Q347=1,IF(P347&lt;O347,"Más estricto",IF(P347&gt;O347,"Más permisivo","Igual")),"")</f>
        <v/>
      </c>
      <c r="T347" s="25">
        <f>IF(Q347=1,IF(ABS(O347-P347)=2,1,0),"")</f>
        <v/>
      </c>
      <c r="U347" s="25">
        <f>IF(H347="","","|"&amp;SUBSTITUTE(SUBSTITUTE(TRIM(H347)," |","|"),"| ","|")&amp;"|")</f>
        <v/>
      </c>
      <c r="V347" s="25">
        <f>IF(AND(Q347=1,B347&lt;&gt;""),IF(IFERROR(COUNTIFS(B$3:B347,"="&amp;SUBSTITUTE(SUBSTITUTE(SUBSTITUTE(B347,"~","~~"),"*","~*"),"?","~?"),Q$3:Q347,1),0)=1,MAX(V$2:V346)+1,""),"")</f>
        <v/>
      </c>
      <c r="W347" s="25">
        <f>IF(V347="","",COUNTIFS($B$3:$B$1002,"="&amp;SUBSTITUTE(SUBSTITUTE(SUBSTITUTE(B347,"~","~~"),"*","~*"),"?","~?"),$Q$3:$Q$1002,1)*10000-V347)</f>
        <v/>
      </c>
      <c r="X347" s="25">
        <f>IF(Q347=1,IF(SUBSTITUTE(SUBSTITUTE(SUBSTITUTE(SUBSTITUTE(SUBSTITUTE(SUBSTITUTE(SUBSTITUTE(SUBSTITUTE(SUBSTITUTE(SUBSTITUTE(SUBSTITUTE(SUBSTITUTE(LOWER(TRIM(A347)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347)),"á","a"),"é","e"),"í","i"),"ó","o"),"ú","u"),"ü","u"),"ñ","n"),"à","a"),"è","e"),"ì","i"),"ò","o"),"ù","u")),"")</f>
        <v/>
      </c>
      <c r="Y347" s="25">
        <f>IF(X347="","",IF(IFERROR(COUNTIF(X$3:X347,"="&amp;SUBSTITUTE(SUBSTITUTE(SUBSTITUTE(X347,"~","~~"),"*","~*"),"?","~?")),0)=1,1,""))</f>
        <v/>
      </c>
      <c r="Z347" s="25">
        <f>IF(T347=1,MAX(Z$2:Z346)+1,"")</f>
        <v/>
      </c>
    </row>
    <row r="348">
      <c r="A348">
        <f>IF(A$2=0,"",IFERROR(TRIM(INDEX('Pegar calibracion'!$A$1:$BZ$1001,347,A$2)&amp;""),""))</f>
        <v/>
      </c>
      <c r="B348">
        <f>IF(B$2=0,"",IFERROR(TRIM(INDEX('Pegar calibracion'!$A$1:$BZ$1001,347,B$2)&amp;""),""))</f>
        <v/>
      </c>
      <c r="C348">
        <f>IF(C$2=0,"",IFERROR(TRIM(INDEX('Pegar calibracion'!$A$1:$BZ$1001,347,C$2)&amp;""),""))</f>
        <v/>
      </c>
      <c r="D348">
        <f>IF(D$2=0,"",IFERROR(TRIM(INDEX('Pegar calibracion'!$A$1:$BZ$1001,347,D$2)&amp;""),""))</f>
        <v/>
      </c>
      <c r="E348">
        <f>IF(E$2=0,"",IFERROR(TRIM(INDEX('Pegar calibracion'!$A$1:$BZ$1001,347,E$2)&amp;""),""))</f>
        <v/>
      </c>
      <c r="F348">
        <f>IF(F$2=0,"",IFERROR(TRIM(INDEX('Pegar calibracion'!$A$1:$BZ$1001,347,F$2)&amp;""),""))</f>
        <v/>
      </c>
      <c r="G348">
        <f>IF(G$2=0,"",IFERROR(TRIM(INDEX('Pegar calibracion'!$A$1:$BZ$1001,347,G$2)&amp;""),""))</f>
        <v/>
      </c>
      <c r="H348">
        <f>IF(H$2=0,"",IFERROR(TRIM(INDEX('Pegar calibracion'!$A$1:$BZ$1001,347,H$2)&amp;""),""))</f>
        <v/>
      </c>
      <c r="I348">
        <f>IF(I$2=0,"",IFERROR(TRIM(INDEX('Pegar calibracion'!$A$1:$BZ$1001,347,I$2)&amp;""),""))</f>
        <v/>
      </c>
      <c r="J348">
        <f>IF(J$2=0,"",IFERROR(TRIM(INDEX('Pegar calibracion'!$A$1:$BZ$1001,347,J$2)&amp;""),""))</f>
        <v/>
      </c>
      <c r="K348">
        <f>IF(K$2=0,"",IFERROR(TRIM(INDEX('Pegar calibracion'!$A$1:$BZ$1001,347,K$2)&amp;""),""))</f>
        <v/>
      </c>
      <c r="L348">
        <f>IF(L$2=0,"",IFERROR(TRIM(INDEX('Pegar calibracion'!$A$1:$BZ$1001,347,L$2)&amp;""),""))</f>
        <v/>
      </c>
      <c r="M348" s="25">
        <f>IF(D348="","",SUBSTITUTE(SUBSTITUTE(SUBSTITUTE(SUBSTITUTE(SUBSTITUTE(SUBSTITUTE(SUBSTITUTE(SUBSTITUTE(SUBSTITUTE(SUBSTITUTE(SUBSTITUTE(SUBSTITUTE(LOWER(TRIM(D348)),"á","a"),"é","e"),"í","i"),"ó","o"),"ú","u"),"ü","u"),"ñ","n"),"à","a"),"è","e"),"ì","i"),"ò","o"),"ù","u"))</f>
        <v/>
      </c>
      <c r="N348" s="25">
        <f>IF(F348="","",SUBSTITUTE(SUBSTITUTE(SUBSTITUTE(SUBSTITUTE(SUBSTITUTE(SUBSTITUTE(SUBSTITUTE(SUBSTITUTE(SUBSTITUTE(SUBSTITUTE(SUBSTITUTE(SUBSTITUTE(LOWER(TRIM(F348)),"á","a"),"é","e"),"í","i"),"ó","o"),"ú","u"),"ü","u"),"ñ","n"),"à","a"),"è","e"),"ì","i"),"ò","o"),"ù","u"))</f>
        <v/>
      </c>
      <c r="O348" s="25">
        <f>IF(M348="confiable",2,IF(M348="dudosa",1,IF(M348="no confiable",0,"")))</f>
        <v/>
      </c>
      <c r="P348" s="25">
        <f>IF(N348="confiable",2,IF(N348="dudosa",1,IF(N348="no confiable",0,"")))</f>
        <v/>
      </c>
      <c r="Q348" s="25">
        <f>IF(AND(ISNUMBER(O348),ISNUMBER(P348)),1,"")</f>
        <v/>
      </c>
      <c r="R348" s="25">
        <f>IF(Q348=1,IF(O348=P348,"Sí","No"),"")</f>
        <v/>
      </c>
      <c r="S348" s="25">
        <f>IF(Q348=1,IF(P348&lt;O348,"Más estricto",IF(P348&gt;O348,"Más permisivo","Igual")),"")</f>
        <v/>
      </c>
      <c r="T348" s="25">
        <f>IF(Q348=1,IF(ABS(O348-P348)=2,1,0),"")</f>
        <v/>
      </c>
      <c r="U348" s="25">
        <f>IF(H348="","","|"&amp;SUBSTITUTE(SUBSTITUTE(TRIM(H348)," |","|"),"| ","|")&amp;"|")</f>
        <v/>
      </c>
      <c r="V348" s="25">
        <f>IF(AND(Q348=1,B348&lt;&gt;""),IF(IFERROR(COUNTIFS(B$3:B348,"="&amp;SUBSTITUTE(SUBSTITUTE(SUBSTITUTE(B348,"~","~~"),"*","~*"),"?","~?"),Q$3:Q348,1),0)=1,MAX(V$2:V347)+1,""),"")</f>
        <v/>
      </c>
      <c r="W348" s="25">
        <f>IF(V348="","",COUNTIFS($B$3:$B$1002,"="&amp;SUBSTITUTE(SUBSTITUTE(SUBSTITUTE(B348,"~","~~"),"*","~*"),"?","~?"),$Q$3:$Q$1002,1)*10000-V348)</f>
        <v/>
      </c>
      <c r="X348" s="25">
        <f>IF(Q348=1,IF(SUBSTITUTE(SUBSTITUTE(SUBSTITUTE(SUBSTITUTE(SUBSTITUTE(SUBSTITUTE(SUBSTITUTE(SUBSTITUTE(SUBSTITUTE(SUBSTITUTE(SUBSTITUTE(SUBSTITUTE(LOWER(TRIM(A348)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348)),"á","a"),"é","e"),"í","i"),"ó","o"),"ú","u"),"ü","u"),"ñ","n"),"à","a"),"è","e"),"ì","i"),"ò","o"),"ù","u")),"")</f>
        <v/>
      </c>
      <c r="Y348" s="25">
        <f>IF(X348="","",IF(IFERROR(COUNTIF(X$3:X348,"="&amp;SUBSTITUTE(SUBSTITUTE(SUBSTITUTE(X348,"~","~~"),"*","~*"),"?","~?")),0)=1,1,""))</f>
        <v/>
      </c>
      <c r="Z348" s="25">
        <f>IF(T348=1,MAX(Z$2:Z347)+1,"")</f>
        <v/>
      </c>
    </row>
    <row r="349">
      <c r="A349">
        <f>IF(A$2=0,"",IFERROR(TRIM(INDEX('Pegar calibracion'!$A$1:$BZ$1001,348,A$2)&amp;""),""))</f>
        <v/>
      </c>
      <c r="B349">
        <f>IF(B$2=0,"",IFERROR(TRIM(INDEX('Pegar calibracion'!$A$1:$BZ$1001,348,B$2)&amp;""),""))</f>
        <v/>
      </c>
      <c r="C349">
        <f>IF(C$2=0,"",IFERROR(TRIM(INDEX('Pegar calibracion'!$A$1:$BZ$1001,348,C$2)&amp;""),""))</f>
        <v/>
      </c>
      <c r="D349">
        <f>IF(D$2=0,"",IFERROR(TRIM(INDEX('Pegar calibracion'!$A$1:$BZ$1001,348,D$2)&amp;""),""))</f>
        <v/>
      </c>
      <c r="E349">
        <f>IF(E$2=0,"",IFERROR(TRIM(INDEX('Pegar calibracion'!$A$1:$BZ$1001,348,E$2)&amp;""),""))</f>
        <v/>
      </c>
      <c r="F349">
        <f>IF(F$2=0,"",IFERROR(TRIM(INDEX('Pegar calibracion'!$A$1:$BZ$1001,348,F$2)&amp;""),""))</f>
        <v/>
      </c>
      <c r="G349">
        <f>IF(G$2=0,"",IFERROR(TRIM(INDEX('Pegar calibracion'!$A$1:$BZ$1001,348,G$2)&amp;""),""))</f>
        <v/>
      </c>
      <c r="H349">
        <f>IF(H$2=0,"",IFERROR(TRIM(INDEX('Pegar calibracion'!$A$1:$BZ$1001,348,H$2)&amp;""),""))</f>
        <v/>
      </c>
      <c r="I349">
        <f>IF(I$2=0,"",IFERROR(TRIM(INDEX('Pegar calibracion'!$A$1:$BZ$1001,348,I$2)&amp;""),""))</f>
        <v/>
      </c>
      <c r="J349">
        <f>IF(J$2=0,"",IFERROR(TRIM(INDEX('Pegar calibracion'!$A$1:$BZ$1001,348,J$2)&amp;""),""))</f>
        <v/>
      </c>
      <c r="K349">
        <f>IF(K$2=0,"",IFERROR(TRIM(INDEX('Pegar calibracion'!$A$1:$BZ$1001,348,K$2)&amp;""),""))</f>
        <v/>
      </c>
      <c r="L349">
        <f>IF(L$2=0,"",IFERROR(TRIM(INDEX('Pegar calibracion'!$A$1:$BZ$1001,348,L$2)&amp;""),""))</f>
        <v/>
      </c>
      <c r="M349" s="25">
        <f>IF(D349="","",SUBSTITUTE(SUBSTITUTE(SUBSTITUTE(SUBSTITUTE(SUBSTITUTE(SUBSTITUTE(SUBSTITUTE(SUBSTITUTE(SUBSTITUTE(SUBSTITUTE(SUBSTITUTE(SUBSTITUTE(LOWER(TRIM(D349)),"á","a"),"é","e"),"í","i"),"ó","o"),"ú","u"),"ü","u"),"ñ","n"),"à","a"),"è","e"),"ì","i"),"ò","o"),"ù","u"))</f>
        <v/>
      </c>
      <c r="N349" s="25">
        <f>IF(F349="","",SUBSTITUTE(SUBSTITUTE(SUBSTITUTE(SUBSTITUTE(SUBSTITUTE(SUBSTITUTE(SUBSTITUTE(SUBSTITUTE(SUBSTITUTE(SUBSTITUTE(SUBSTITUTE(SUBSTITUTE(LOWER(TRIM(F349)),"á","a"),"é","e"),"í","i"),"ó","o"),"ú","u"),"ü","u"),"ñ","n"),"à","a"),"è","e"),"ì","i"),"ò","o"),"ù","u"))</f>
        <v/>
      </c>
      <c r="O349" s="25">
        <f>IF(M349="confiable",2,IF(M349="dudosa",1,IF(M349="no confiable",0,"")))</f>
        <v/>
      </c>
      <c r="P349" s="25">
        <f>IF(N349="confiable",2,IF(N349="dudosa",1,IF(N349="no confiable",0,"")))</f>
        <v/>
      </c>
      <c r="Q349" s="25">
        <f>IF(AND(ISNUMBER(O349),ISNUMBER(P349)),1,"")</f>
        <v/>
      </c>
      <c r="R349" s="25">
        <f>IF(Q349=1,IF(O349=P349,"Sí","No"),"")</f>
        <v/>
      </c>
      <c r="S349" s="25">
        <f>IF(Q349=1,IF(P349&lt;O349,"Más estricto",IF(P349&gt;O349,"Más permisivo","Igual")),"")</f>
        <v/>
      </c>
      <c r="T349" s="25">
        <f>IF(Q349=1,IF(ABS(O349-P349)=2,1,0),"")</f>
        <v/>
      </c>
      <c r="U349" s="25">
        <f>IF(H349="","","|"&amp;SUBSTITUTE(SUBSTITUTE(TRIM(H349)," |","|"),"| ","|")&amp;"|")</f>
        <v/>
      </c>
      <c r="V349" s="25">
        <f>IF(AND(Q349=1,B349&lt;&gt;""),IF(IFERROR(COUNTIFS(B$3:B349,"="&amp;SUBSTITUTE(SUBSTITUTE(SUBSTITUTE(B349,"~","~~"),"*","~*"),"?","~?"),Q$3:Q349,1),0)=1,MAX(V$2:V348)+1,""),"")</f>
        <v/>
      </c>
      <c r="W349" s="25">
        <f>IF(V349="","",COUNTIFS($B$3:$B$1002,"="&amp;SUBSTITUTE(SUBSTITUTE(SUBSTITUTE(B349,"~","~~"),"*","~*"),"?","~?"),$Q$3:$Q$1002,1)*10000-V349)</f>
        <v/>
      </c>
      <c r="X349" s="25">
        <f>IF(Q349=1,IF(SUBSTITUTE(SUBSTITUTE(SUBSTITUTE(SUBSTITUTE(SUBSTITUTE(SUBSTITUTE(SUBSTITUTE(SUBSTITUTE(SUBSTITUTE(SUBSTITUTE(SUBSTITUTE(SUBSTITUTE(LOWER(TRIM(A349)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349)),"á","a"),"é","e"),"í","i"),"ó","o"),"ú","u"),"ü","u"),"ñ","n"),"à","a"),"è","e"),"ì","i"),"ò","o"),"ù","u")),"")</f>
        <v/>
      </c>
      <c r="Y349" s="25">
        <f>IF(X349="","",IF(IFERROR(COUNTIF(X$3:X349,"="&amp;SUBSTITUTE(SUBSTITUTE(SUBSTITUTE(X349,"~","~~"),"*","~*"),"?","~?")),0)=1,1,""))</f>
        <v/>
      </c>
      <c r="Z349" s="25">
        <f>IF(T349=1,MAX(Z$2:Z348)+1,"")</f>
        <v/>
      </c>
    </row>
    <row r="350">
      <c r="A350">
        <f>IF(A$2=0,"",IFERROR(TRIM(INDEX('Pegar calibracion'!$A$1:$BZ$1001,349,A$2)&amp;""),""))</f>
        <v/>
      </c>
      <c r="B350">
        <f>IF(B$2=0,"",IFERROR(TRIM(INDEX('Pegar calibracion'!$A$1:$BZ$1001,349,B$2)&amp;""),""))</f>
        <v/>
      </c>
      <c r="C350">
        <f>IF(C$2=0,"",IFERROR(TRIM(INDEX('Pegar calibracion'!$A$1:$BZ$1001,349,C$2)&amp;""),""))</f>
        <v/>
      </c>
      <c r="D350">
        <f>IF(D$2=0,"",IFERROR(TRIM(INDEX('Pegar calibracion'!$A$1:$BZ$1001,349,D$2)&amp;""),""))</f>
        <v/>
      </c>
      <c r="E350">
        <f>IF(E$2=0,"",IFERROR(TRIM(INDEX('Pegar calibracion'!$A$1:$BZ$1001,349,E$2)&amp;""),""))</f>
        <v/>
      </c>
      <c r="F350">
        <f>IF(F$2=0,"",IFERROR(TRIM(INDEX('Pegar calibracion'!$A$1:$BZ$1001,349,F$2)&amp;""),""))</f>
        <v/>
      </c>
      <c r="G350">
        <f>IF(G$2=0,"",IFERROR(TRIM(INDEX('Pegar calibracion'!$A$1:$BZ$1001,349,G$2)&amp;""),""))</f>
        <v/>
      </c>
      <c r="H350">
        <f>IF(H$2=0,"",IFERROR(TRIM(INDEX('Pegar calibracion'!$A$1:$BZ$1001,349,H$2)&amp;""),""))</f>
        <v/>
      </c>
      <c r="I350">
        <f>IF(I$2=0,"",IFERROR(TRIM(INDEX('Pegar calibracion'!$A$1:$BZ$1001,349,I$2)&amp;""),""))</f>
        <v/>
      </c>
      <c r="J350">
        <f>IF(J$2=0,"",IFERROR(TRIM(INDEX('Pegar calibracion'!$A$1:$BZ$1001,349,J$2)&amp;""),""))</f>
        <v/>
      </c>
      <c r="K350">
        <f>IF(K$2=0,"",IFERROR(TRIM(INDEX('Pegar calibracion'!$A$1:$BZ$1001,349,K$2)&amp;""),""))</f>
        <v/>
      </c>
      <c r="L350">
        <f>IF(L$2=0,"",IFERROR(TRIM(INDEX('Pegar calibracion'!$A$1:$BZ$1001,349,L$2)&amp;""),""))</f>
        <v/>
      </c>
      <c r="M350" s="25">
        <f>IF(D350="","",SUBSTITUTE(SUBSTITUTE(SUBSTITUTE(SUBSTITUTE(SUBSTITUTE(SUBSTITUTE(SUBSTITUTE(SUBSTITUTE(SUBSTITUTE(SUBSTITUTE(SUBSTITUTE(SUBSTITUTE(LOWER(TRIM(D350)),"á","a"),"é","e"),"í","i"),"ó","o"),"ú","u"),"ü","u"),"ñ","n"),"à","a"),"è","e"),"ì","i"),"ò","o"),"ù","u"))</f>
        <v/>
      </c>
      <c r="N350" s="25">
        <f>IF(F350="","",SUBSTITUTE(SUBSTITUTE(SUBSTITUTE(SUBSTITUTE(SUBSTITUTE(SUBSTITUTE(SUBSTITUTE(SUBSTITUTE(SUBSTITUTE(SUBSTITUTE(SUBSTITUTE(SUBSTITUTE(LOWER(TRIM(F350)),"á","a"),"é","e"),"í","i"),"ó","o"),"ú","u"),"ü","u"),"ñ","n"),"à","a"),"è","e"),"ì","i"),"ò","o"),"ù","u"))</f>
        <v/>
      </c>
      <c r="O350" s="25">
        <f>IF(M350="confiable",2,IF(M350="dudosa",1,IF(M350="no confiable",0,"")))</f>
        <v/>
      </c>
      <c r="P350" s="25">
        <f>IF(N350="confiable",2,IF(N350="dudosa",1,IF(N350="no confiable",0,"")))</f>
        <v/>
      </c>
      <c r="Q350" s="25">
        <f>IF(AND(ISNUMBER(O350),ISNUMBER(P350)),1,"")</f>
        <v/>
      </c>
      <c r="R350" s="25">
        <f>IF(Q350=1,IF(O350=P350,"Sí","No"),"")</f>
        <v/>
      </c>
      <c r="S350" s="25">
        <f>IF(Q350=1,IF(P350&lt;O350,"Más estricto",IF(P350&gt;O350,"Más permisivo","Igual")),"")</f>
        <v/>
      </c>
      <c r="T350" s="25">
        <f>IF(Q350=1,IF(ABS(O350-P350)=2,1,0),"")</f>
        <v/>
      </c>
      <c r="U350" s="25">
        <f>IF(H350="","","|"&amp;SUBSTITUTE(SUBSTITUTE(TRIM(H350)," |","|"),"| ","|")&amp;"|")</f>
        <v/>
      </c>
      <c r="V350" s="25">
        <f>IF(AND(Q350=1,B350&lt;&gt;""),IF(IFERROR(COUNTIFS(B$3:B350,"="&amp;SUBSTITUTE(SUBSTITUTE(SUBSTITUTE(B350,"~","~~"),"*","~*"),"?","~?"),Q$3:Q350,1),0)=1,MAX(V$2:V349)+1,""),"")</f>
        <v/>
      </c>
      <c r="W350" s="25">
        <f>IF(V350="","",COUNTIFS($B$3:$B$1002,"="&amp;SUBSTITUTE(SUBSTITUTE(SUBSTITUTE(B350,"~","~~"),"*","~*"),"?","~?"),$Q$3:$Q$1002,1)*10000-V350)</f>
        <v/>
      </c>
      <c r="X350" s="25">
        <f>IF(Q350=1,IF(SUBSTITUTE(SUBSTITUTE(SUBSTITUTE(SUBSTITUTE(SUBSTITUTE(SUBSTITUTE(SUBSTITUTE(SUBSTITUTE(SUBSTITUTE(SUBSTITUTE(SUBSTITUTE(SUBSTITUTE(LOWER(TRIM(A350)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350)),"á","a"),"é","e"),"í","i"),"ó","o"),"ú","u"),"ü","u"),"ñ","n"),"à","a"),"è","e"),"ì","i"),"ò","o"),"ù","u")),"")</f>
        <v/>
      </c>
      <c r="Y350" s="25">
        <f>IF(X350="","",IF(IFERROR(COUNTIF(X$3:X350,"="&amp;SUBSTITUTE(SUBSTITUTE(SUBSTITUTE(X350,"~","~~"),"*","~*"),"?","~?")),0)=1,1,""))</f>
        <v/>
      </c>
      <c r="Z350" s="25">
        <f>IF(T350=1,MAX(Z$2:Z349)+1,"")</f>
        <v/>
      </c>
    </row>
    <row r="351">
      <c r="A351">
        <f>IF(A$2=0,"",IFERROR(TRIM(INDEX('Pegar calibracion'!$A$1:$BZ$1001,350,A$2)&amp;""),""))</f>
        <v/>
      </c>
      <c r="B351">
        <f>IF(B$2=0,"",IFERROR(TRIM(INDEX('Pegar calibracion'!$A$1:$BZ$1001,350,B$2)&amp;""),""))</f>
        <v/>
      </c>
      <c r="C351">
        <f>IF(C$2=0,"",IFERROR(TRIM(INDEX('Pegar calibracion'!$A$1:$BZ$1001,350,C$2)&amp;""),""))</f>
        <v/>
      </c>
      <c r="D351">
        <f>IF(D$2=0,"",IFERROR(TRIM(INDEX('Pegar calibracion'!$A$1:$BZ$1001,350,D$2)&amp;""),""))</f>
        <v/>
      </c>
      <c r="E351">
        <f>IF(E$2=0,"",IFERROR(TRIM(INDEX('Pegar calibracion'!$A$1:$BZ$1001,350,E$2)&amp;""),""))</f>
        <v/>
      </c>
      <c r="F351">
        <f>IF(F$2=0,"",IFERROR(TRIM(INDEX('Pegar calibracion'!$A$1:$BZ$1001,350,F$2)&amp;""),""))</f>
        <v/>
      </c>
      <c r="G351">
        <f>IF(G$2=0,"",IFERROR(TRIM(INDEX('Pegar calibracion'!$A$1:$BZ$1001,350,G$2)&amp;""),""))</f>
        <v/>
      </c>
      <c r="H351">
        <f>IF(H$2=0,"",IFERROR(TRIM(INDEX('Pegar calibracion'!$A$1:$BZ$1001,350,H$2)&amp;""),""))</f>
        <v/>
      </c>
      <c r="I351">
        <f>IF(I$2=0,"",IFERROR(TRIM(INDEX('Pegar calibracion'!$A$1:$BZ$1001,350,I$2)&amp;""),""))</f>
        <v/>
      </c>
      <c r="J351">
        <f>IF(J$2=0,"",IFERROR(TRIM(INDEX('Pegar calibracion'!$A$1:$BZ$1001,350,J$2)&amp;""),""))</f>
        <v/>
      </c>
      <c r="K351">
        <f>IF(K$2=0,"",IFERROR(TRIM(INDEX('Pegar calibracion'!$A$1:$BZ$1001,350,K$2)&amp;""),""))</f>
        <v/>
      </c>
      <c r="L351">
        <f>IF(L$2=0,"",IFERROR(TRIM(INDEX('Pegar calibracion'!$A$1:$BZ$1001,350,L$2)&amp;""),""))</f>
        <v/>
      </c>
      <c r="M351" s="25">
        <f>IF(D351="","",SUBSTITUTE(SUBSTITUTE(SUBSTITUTE(SUBSTITUTE(SUBSTITUTE(SUBSTITUTE(SUBSTITUTE(SUBSTITUTE(SUBSTITUTE(SUBSTITUTE(SUBSTITUTE(SUBSTITUTE(LOWER(TRIM(D351)),"á","a"),"é","e"),"í","i"),"ó","o"),"ú","u"),"ü","u"),"ñ","n"),"à","a"),"è","e"),"ì","i"),"ò","o"),"ù","u"))</f>
        <v/>
      </c>
      <c r="N351" s="25">
        <f>IF(F351="","",SUBSTITUTE(SUBSTITUTE(SUBSTITUTE(SUBSTITUTE(SUBSTITUTE(SUBSTITUTE(SUBSTITUTE(SUBSTITUTE(SUBSTITUTE(SUBSTITUTE(SUBSTITUTE(SUBSTITUTE(LOWER(TRIM(F351)),"á","a"),"é","e"),"í","i"),"ó","o"),"ú","u"),"ü","u"),"ñ","n"),"à","a"),"è","e"),"ì","i"),"ò","o"),"ù","u"))</f>
        <v/>
      </c>
      <c r="O351" s="25">
        <f>IF(M351="confiable",2,IF(M351="dudosa",1,IF(M351="no confiable",0,"")))</f>
        <v/>
      </c>
      <c r="P351" s="25">
        <f>IF(N351="confiable",2,IF(N351="dudosa",1,IF(N351="no confiable",0,"")))</f>
        <v/>
      </c>
      <c r="Q351" s="25">
        <f>IF(AND(ISNUMBER(O351),ISNUMBER(P351)),1,"")</f>
        <v/>
      </c>
      <c r="R351" s="25">
        <f>IF(Q351=1,IF(O351=P351,"Sí","No"),"")</f>
        <v/>
      </c>
      <c r="S351" s="25">
        <f>IF(Q351=1,IF(P351&lt;O351,"Más estricto",IF(P351&gt;O351,"Más permisivo","Igual")),"")</f>
        <v/>
      </c>
      <c r="T351" s="25">
        <f>IF(Q351=1,IF(ABS(O351-P351)=2,1,0),"")</f>
        <v/>
      </c>
      <c r="U351" s="25">
        <f>IF(H351="","","|"&amp;SUBSTITUTE(SUBSTITUTE(TRIM(H351)," |","|"),"| ","|")&amp;"|")</f>
        <v/>
      </c>
      <c r="V351" s="25">
        <f>IF(AND(Q351=1,B351&lt;&gt;""),IF(IFERROR(COUNTIFS(B$3:B351,"="&amp;SUBSTITUTE(SUBSTITUTE(SUBSTITUTE(B351,"~","~~"),"*","~*"),"?","~?"),Q$3:Q351,1),0)=1,MAX(V$2:V350)+1,""),"")</f>
        <v/>
      </c>
      <c r="W351" s="25">
        <f>IF(V351="","",COUNTIFS($B$3:$B$1002,"="&amp;SUBSTITUTE(SUBSTITUTE(SUBSTITUTE(B351,"~","~~"),"*","~*"),"?","~?"),$Q$3:$Q$1002,1)*10000-V351)</f>
        <v/>
      </c>
      <c r="X351" s="25">
        <f>IF(Q351=1,IF(SUBSTITUTE(SUBSTITUTE(SUBSTITUTE(SUBSTITUTE(SUBSTITUTE(SUBSTITUTE(SUBSTITUTE(SUBSTITUTE(SUBSTITUTE(SUBSTITUTE(SUBSTITUTE(SUBSTITUTE(LOWER(TRIM(A351)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351)),"á","a"),"é","e"),"í","i"),"ó","o"),"ú","u"),"ü","u"),"ñ","n"),"à","a"),"è","e"),"ì","i"),"ò","o"),"ù","u")),"")</f>
        <v/>
      </c>
      <c r="Y351" s="25">
        <f>IF(X351="","",IF(IFERROR(COUNTIF(X$3:X351,"="&amp;SUBSTITUTE(SUBSTITUTE(SUBSTITUTE(X351,"~","~~"),"*","~*"),"?","~?")),0)=1,1,""))</f>
        <v/>
      </c>
      <c r="Z351" s="25">
        <f>IF(T351=1,MAX(Z$2:Z350)+1,"")</f>
        <v/>
      </c>
    </row>
    <row r="352">
      <c r="A352">
        <f>IF(A$2=0,"",IFERROR(TRIM(INDEX('Pegar calibracion'!$A$1:$BZ$1001,351,A$2)&amp;""),""))</f>
        <v/>
      </c>
      <c r="B352">
        <f>IF(B$2=0,"",IFERROR(TRIM(INDEX('Pegar calibracion'!$A$1:$BZ$1001,351,B$2)&amp;""),""))</f>
        <v/>
      </c>
      <c r="C352">
        <f>IF(C$2=0,"",IFERROR(TRIM(INDEX('Pegar calibracion'!$A$1:$BZ$1001,351,C$2)&amp;""),""))</f>
        <v/>
      </c>
      <c r="D352">
        <f>IF(D$2=0,"",IFERROR(TRIM(INDEX('Pegar calibracion'!$A$1:$BZ$1001,351,D$2)&amp;""),""))</f>
        <v/>
      </c>
      <c r="E352">
        <f>IF(E$2=0,"",IFERROR(TRIM(INDEX('Pegar calibracion'!$A$1:$BZ$1001,351,E$2)&amp;""),""))</f>
        <v/>
      </c>
      <c r="F352">
        <f>IF(F$2=0,"",IFERROR(TRIM(INDEX('Pegar calibracion'!$A$1:$BZ$1001,351,F$2)&amp;""),""))</f>
        <v/>
      </c>
      <c r="G352">
        <f>IF(G$2=0,"",IFERROR(TRIM(INDEX('Pegar calibracion'!$A$1:$BZ$1001,351,G$2)&amp;""),""))</f>
        <v/>
      </c>
      <c r="H352">
        <f>IF(H$2=0,"",IFERROR(TRIM(INDEX('Pegar calibracion'!$A$1:$BZ$1001,351,H$2)&amp;""),""))</f>
        <v/>
      </c>
      <c r="I352">
        <f>IF(I$2=0,"",IFERROR(TRIM(INDEX('Pegar calibracion'!$A$1:$BZ$1001,351,I$2)&amp;""),""))</f>
        <v/>
      </c>
      <c r="J352">
        <f>IF(J$2=0,"",IFERROR(TRIM(INDEX('Pegar calibracion'!$A$1:$BZ$1001,351,J$2)&amp;""),""))</f>
        <v/>
      </c>
      <c r="K352">
        <f>IF(K$2=0,"",IFERROR(TRIM(INDEX('Pegar calibracion'!$A$1:$BZ$1001,351,K$2)&amp;""),""))</f>
        <v/>
      </c>
      <c r="L352">
        <f>IF(L$2=0,"",IFERROR(TRIM(INDEX('Pegar calibracion'!$A$1:$BZ$1001,351,L$2)&amp;""),""))</f>
        <v/>
      </c>
      <c r="M352" s="25">
        <f>IF(D352="","",SUBSTITUTE(SUBSTITUTE(SUBSTITUTE(SUBSTITUTE(SUBSTITUTE(SUBSTITUTE(SUBSTITUTE(SUBSTITUTE(SUBSTITUTE(SUBSTITUTE(SUBSTITUTE(SUBSTITUTE(LOWER(TRIM(D352)),"á","a"),"é","e"),"í","i"),"ó","o"),"ú","u"),"ü","u"),"ñ","n"),"à","a"),"è","e"),"ì","i"),"ò","o"),"ù","u"))</f>
        <v/>
      </c>
      <c r="N352" s="25">
        <f>IF(F352="","",SUBSTITUTE(SUBSTITUTE(SUBSTITUTE(SUBSTITUTE(SUBSTITUTE(SUBSTITUTE(SUBSTITUTE(SUBSTITUTE(SUBSTITUTE(SUBSTITUTE(SUBSTITUTE(SUBSTITUTE(LOWER(TRIM(F352)),"á","a"),"é","e"),"í","i"),"ó","o"),"ú","u"),"ü","u"),"ñ","n"),"à","a"),"è","e"),"ì","i"),"ò","o"),"ù","u"))</f>
        <v/>
      </c>
      <c r="O352" s="25">
        <f>IF(M352="confiable",2,IF(M352="dudosa",1,IF(M352="no confiable",0,"")))</f>
        <v/>
      </c>
      <c r="P352" s="25">
        <f>IF(N352="confiable",2,IF(N352="dudosa",1,IF(N352="no confiable",0,"")))</f>
        <v/>
      </c>
      <c r="Q352" s="25">
        <f>IF(AND(ISNUMBER(O352),ISNUMBER(P352)),1,"")</f>
        <v/>
      </c>
      <c r="R352" s="25">
        <f>IF(Q352=1,IF(O352=P352,"Sí","No"),"")</f>
        <v/>
      </c>
      <c r="S352" s="25">
        <f>IF(Q352=1,IF(P352&lt;O352,"Más estricto",IF(P352&gt;O352,"Más permisivo","Igual")),"")</f>
        <v/>
      </c>
      <c r="T352" s="25">
        <f>IF(Q352=1,IF(ABS(O352-P352)=2,1,0),"")</f>
        <v/>
      </c>
      <c r="U352" s="25">
        <f>IF(H352="","","|"&amp;SUBSTITUTE(SUBSTITUTE(TRIM(H352)," |","|"),"| ","|")&amp;"|")</f>
        <v/>
      </c>
      <c r="V352" s="25">
        <f>IF(AND(Q352=1,B352&lt;&gt;""),IF(IFERROR(COUNTIFS(B$3:B352,"="&amp;SUBSTITUTE(SUBSTITUTE(SUBSTITUTE(B352,"~","~~"),"*","~*"),"?","~?"),Q$3:Q352,1),0)=1,MAX(V$2:V351)+1,""),"")</f>
        <v/>
      </c>
      <c r="W352" s="25">
        <f>IF(V352="","",COUNTIFS($B$3:$B$1002,"="&amp;SUBSTITUTE(SUBSTITUTE(SUBSTITUTE(B352,"~","~~"),"*","~*"),"?","~?"),$Q$3:$Q$1002,1)*10000-V352)</f>
        <v/>
      </c>
      <c r="X352" s="25">
        <f>IF(Q352=1,IF(SUBSTITUTE(SUBSTITUTE(SUBSTITUTE(SUBSTITUTE(SUBSTITUTE(SUBSTITUTE(SUBSTITUTE(SUBSTITUTE(SUBSTITUTE(SUBSTITUTE(SUBSTITUTE(SUBSTITUTE(LOWER(TRIM(A352)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352)),"á","a"),"é","e"),"í","i"),"ó","o"),"ú","u"),"ü","u"),"ñ","n"),"à","a"),"è","e"),"ì","i"),"ò","o"),"ù","u")),"")</f>
        <v/>
      </c>
      <c r="Y352" s="25">
        <f>IF(X352="","",IF(IFERROR(COUNTIF(X$3:X352,"="&amp;SUBSTITUTE(SUBSTITUTE(SUBSTITUTE(X352,"~","~~"),"*","~*"),"?","~?")),0)=1,1,""))</f>
        <v/>
      </c>
      <c r="Z352" s="25">
        <f>IF(T352=1,MAX(Z$2:Z351)+1,"")</f>
        <v/>
      </c>
    </row>
    <row r="353">
      <c r="A353">
        <f>IF(A$2=0,"",IFERROR(TRIM(INDEX('Pegar calibracion'!$A$1:$BZ$1001,352,A$2)&amp;""),""))</f>
        <v/>
      </c>
      <c r="B353">
        <f>IF(B$2=0,"",IFERROR(TRIM(INDEX('Pegar calibracion'!$A$1:$BZ$1001,352,B$2)&amp;""),""))</f>
        <v/>
      </c>
      <c r="C353">
        <f>IF(C$2=0,"",IFERROR(TRIM(INDEX('Pegar calibracion'!$A$1:$BZ$1001,352,C$2)&amp;""),""))</f>
        <v/>
      </c>
      <c r="D353">
        <f>IF(D$2=0,"",IFERROR(TRIM(INDEX('Pegar calibracion'!$A$1:$BZ$1001,352,D$2)&amp;""),""))</f>
        <v/>
      </c>
      <c r="E353">
        <f>IF(E$2=0,"",IFERROR(TRIM(INDEX('Pegar calibracion'!$A$1:$BZ$1001,352,E$2)&amp;""),""))</f>
        <v/>
      </c>
      <c r="F353">
        <f>IF(F$2=0,"",IFERROR(TRIM(INDEX('Pegar calibracion'!$A$1:$BZ$1001,352,F$2)&amp;""),""))</f>
        <v/>
      </c>
      <c r="G353">
        <f>IF(G$2=0,"",IFERROR(TRIM(INDEX('Pegar calibracion'!$A$1:$BZ$1001,352,G$2)&amp;""),""))</f>
        <v/>
      </c>
      <c r="H353">
        <f>IF(H$2=0,"",IFERROR(TRIM(INDEX('Pegar calibracion'!$A$1:$BZ$1001,352,H$2)&amp;""),""))</f>
        <v/>
      </c>
      <c r="I353">
        <f>IF(I$2=0,"",IFERROR(TRIM(INDEX('Pegar calibracion'!$A$1:$BZ$1001,352,I$2)&amp;""),""))</f>
        <v/>
      </c>
      <c r="J353">
        <f>IF(J$2=0,"",IFERROR(TRIM(INDEX('Pegar calibracion'!$A$1:$BZ$1001,352,J$2)&amp;""),""))</f>
        <v/>
      </c>
      <c r="K353">
        <f>IF(K$2=0,"",IFERROR(TRIM(INDEX('Pegar calibracion'!$A$1:$BZ$1001,352,K$2)&amp;""),""))</f>
        <v/>
      </c>
      <c r="L353">
        <f>IF(L$2=0,"",IFERROR(TRIM(INDEX('Pegar calibracion'!$A$1:$BZ$1001,352,L$2)&amp;""),""))</f>
        <v/>
      </c>
      <c r="M353" s="25">
        <f>IF(D353="","",SUBSTITUTE(SUBSTITUTE(SUBSTITUTE(SUBSTITUTE(SUBSTITUTE(SUBSTITUTE(SUBSTITUTE(SUBSTITUTE(SUBSTITUTE(SUBSTITUTE(SUBSTITUTE(SUBSTITUTE(LOWER(TRIM(D353)),"á","a"),"é","e"),"í","i"),"ó","o"),"ú","u"),"ü","u"),"ñ","n"),"à","a"),"è","e"),"ì","i"),"ò","o"),"ù","u"))</f>
        <v/>
      </c>
      <c r="N353" s="25">
        <f>IF(F353="","",SUBSTITUTE(SUBSTITUTE(SUBSTITUTE(SUBSTITUTE(SUBSTITUTE(SUBSTITUTE(SUBSTITUTE(SUBSTITUTE(SUBSTITUTE(SUBSTITUTE(SUBSTITUTE(SUBSTITUTE(LOWER(TRIM(F353)),"á","a"),"é","e"),"í","i"),"ó","o"),"ú","u"),"ü","u"),"ñ","n"),"à","a"),"è","e"),"ì","i"),"ò","o"),"ù","u"))</f>
        <v/>
      </c>
      <c r="O353" s="25">
        <f>IF(M353="confiable",2,IF(M353="dudosa",1,IF(M353="no confiable",0,"")))</f>
        <v/>
      </c>
      <c r="P353" s="25">
        <f>IF(N353="confiable",2,IF(N353="dudosa",1,IF(N353="no confiable",0,"")))</f>
        <v/>
      </c>
      <c r="Q353" s="25">
        <f>IF(AND(ISNUMBER(O353),ISNUMBER(P353)),1,"")</f>
        <v/>
      </c>
      <c r="R353" s="25">
        <f>IF(Q353=1,IF(O353=P353,"Sí","No"),"")</f>
        <v/>
      </c>
      <c r="S353" s="25">
        <f>IF(Q353=1,IF(P353&lt;O353,"Más estricto",IF(P353&gt;O353,"Más permisivo","Igual")),"")</f>
        <v/>
      </c>
      <c r="T353" s="25">
        <f>IF(Q353=1,IF(ABS(O353-P353)=2,1,0),"")</f>
        <v/>
      </c>
      <c r="U353" s="25">
        <f>IF(H353="","","|"&amp;SUBSTITUTE(SUBSTITUTE(TRIM(H353)," |","|"),"| ","|")&amp;"|")</f>
        <v/>
      </c>
      <c r="V353" s="25">
        <f>IF(AND(Q353=1,B353&lt;&gt;""),IF(IFERROR(COUNTIFS(B$3:B353,"="&amp;SUBSTITUTE(SUBSTITUTE(SUBSTITUTE(B353,"~","~~"),"*","~*"),"?","~?"),Q$3:Q353,1),0)=1,MAX(V$2:V352)+1,""),"")</f>
        <v/>
      </c>
      <c r="W353" s="25">
        <f>IF(V353="","",COUNTIFS($B$3:$B$1002,"="&amp;SUBSTITUTE(SUBSTITUTE(SUBSTITUTE(B353,"~","~~"),"*","~*"),"?","~?"),$Q$3:$Q$1002,1)*10000-V353)</f>
        <v/>
      </c>
      <c r="X353" s="25">
        <f>IF(Q353=1,IF(SUBSTITUTE(SUBSTITUTE(SUBSTITUTE(SUBSTITUTE(SUBSTITUTE(SUBSTITUTE(SUBSTITUTE(SUBSTITUTE(SUBSTITUTE(SUBSTITUTE(SUBSTITUTE(SUBSTITUTE(LOWER(TRIM(A353)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353)),"á","a"),"é","e"),"í","i"),"ó","o"),"ú","u"),"ü","u"),"ñ","n"),"à","a"),"è","e"),"ì","i"),"ò","o"),"ù","u")),"")</f>
        <v/>
      </c>
      <c r="Y353" s="25">
        <f>IF(X353="","",IF(IFERROR(COUNTIF(X$3:X353,"="&amp;SUBSTITUTE(SUBSTITUTE(SUBSTITUTE(X353,"~","~~"),"*","~*"),"?","~?")),0)=1,1,""))</f>
        <v/>
      </c>
      <c r="Z353" s="25">
        <f>IF(T353=1,MAX(Z$2:Z352)+1,"")</f>
        <v/>
      </c>
    </row>
    <row r="354">
      <c r="A354">
        <f>IF(A$2=0,"",IFERROR(TRIM(INDEX('Pegar calibracion'!$A$1:$BZ$1001,353,A$2)&amp;""),""))</f>
        <v/>
      </c>
      <c r="B354">
        <f>IF(B$2=0,"",IFERROR(TRIM(INDEX('Pegar calibracion'!$A$1:$BZ$1001,353,B$2)&amp;""),""))</f>
        <v/>
      </c>
      <c r="C354">
        <f>IF(C$2=0,"",IFERROR(TRIM(INDEX('Pegar calibracion'!$A$1:$BZ$1001,353,C$2)&amp;""),""))</f>
        <v/>
      </c>
      <c r="D354">
        <f>IF(D$2=0,"",IFERROR(TRIM(INDEX('Pegar calibracion'!$A$1:$BZ$1001,353,D$2)&amp;""),""))</f>
        <v/>
      </c>
      <c r="E354">
        <f>IF(E$2=0,"",IFERROR(TRIM(INDEX('Pegar calibracion'!$A$1:$BZ$1001,353,E$2)&amp;""),""))</f>
        <v/>
      </c>
      <c r="F354">
        <f>IF(F$2=0,"",IFERROR(TRIM(INDEX('Pegar calibracion'!$A$1:$BZ$1001,353,F$2)&amp;""),""))</f>
        <v/>
      </c>
      <c r="G354">
        <f>IF(G$2=0,"",IFERROR(TRIM(INDEX('Pegar calibracion'!$A$1:$BZ$1001,353,G$2)&amp;""),""))</f>
        <v/>
      </c>
      <c r="H354">
        <f>IF(H$2=0,"",IFERROR(TRIM(INDEX('Pegar calibracion'!$A$1:$BZ$1001,353,H$2)&amp;""),""))</f>
        <v/>
      </c>
      <c r="I354">
        <f>IF(I$2=0,"",IFERROR(TRIM(INDEX('Pegar calibracion'!$A$1:$BZ$1001,353,I$2)&amp;""),""))</f>
        <v/>
      </c>
      <c r="J354">
        <f>IF(J$2=0,"",IFERROR(TRIM(INDEX('Pegar calibracion'!$A$1:$BZ$1001,353,J$2)&amp;""),""))</f>
        <v/>
      </c>
      <c r="K354">
        <f>IF(K$2=0,"",IFERROR(TRIM(INDEX('Pegar calibracion'!$A$1:$BZ$1001,353,K$2)&amp;""),""))</f>
        <v/>
      </c>
      <c r="L354">
        <f>IF(L$2=0,"",IFERROR(TRIM(INDEX('Pegar calibracion'!$A$1:$BZ$1001,353,L$2)&amp;""),""))</f>
        <v/>
      </c>
      <c r="M354" s="25">
        <f>IF(D354="","",SUBSTITUTE(SUBSTITUTE(SUBSTITUTE(SUBSTITUTE(SUBSTITUTE(SUBSTITUTE(SUBSTITUTE(SUBSTITUTE(SUBSTITUTE(SUBSTITUTE(SUBSTITUTE(SUBSTITUTE(LOWER(TRIM(D354)),"á","a"),"é","e"),"í","i"),"ó","o"),"ú","u"),"ü","u"),"ñ","n"),"à","a"),"è","e"),"ì","i"),"ò","o"),"ù","u"))</f>
        <v/>
      </c>
      <c r="N354" s="25">
        <f>IF(F354="","",SUBSTITUTE(SUBSTITUTE(SUBSTITUTE(SUBSTITUTE(SUBSTITUTE(SUBSTITUTE(SUBSTITUTE(SUBSTITUTE(SUBSTITUTE(SUBSTITUTE(SUBSTITUTE(SUBSTITUTE(LOWER(TRIM(F354)),"á","a"),"é","e"),"í","i"),"ó","o"),"ú","u"),"ü","u"),"ñ","n"),"à","a"),"è","e"),"ì","i"),"ò","o"),"ù","u"))</f>
        <v/>
      </c>
      <c r="O354" s="25">
        <f>IF(M354="confiable",2,IF(M354="dudosa",1,IF(M354="no confiable",0,"")))</f>
        <v/>
      </c>
      <c r="P354" s="25">
        <f>IF(N354="confiable",2,IF(N354="dudosa",1,IF(N354="no confiable",0,"")))</f>
        <v/>
      </c>
      <c r="Q354" s="25">
        <f>IF(AND(ISNUMBER(O354),ISNUMBER(P354)),1,"")</f>
        <v/>
      </c>
      <c r="R354" s="25">
        <f>IF(Q354=1,IF(O354=P354,"Sí","No"),"")</f>
        <v/>
      </c>
      <c r="S354" s="25">
        <f>IF(Q354=1,IF(P354&lt;O354,"Más estricto",IF(P354&gt;O354,"Más permisivo","Igual")),"")</f>
        <v/>
      </c>
      <c r="T354" s="25">
        <f>IF(Q354=1,IF(ABS(O354-P354)=2,1,0),"")</f>
        <v/>
      </c>
      <c r="U354" s="25">
        <f>IF(H354="","","|"&amp;SUBSTITUTE(SUBSTITUTE(TRIM(H354)," |","|"),"| ","|")&amp;"|")</f>
        <v/>
      </c>
      <c r="V354" s="25">
        <f>IF(AND(Q354=1,B354&lt;&gt;""),IF(IFERROR(COUNTIFS(B$3:B354,"="&amp;SUBSTITUTE(SUBSTITUTE(SUBSTITUTE(B354,"~","~~"),"*","~*"),"?","~?"),Q$3:Q354,1),0)=1,MAX(V$2:V353)+1,""),"")</f>
        <v/>
      </c>
      <c r="W354" s="25">
        <f>IF(V354="","",COUNTIFS($B$3:$B$1002,"="&amp;SUBSTITUTE(SUBSTITUTE(SUBSTITUTE(B354,"~","~~"),"*","~*"),"?","~?"),$Q$3:$Q$1002,1)*10000-V354)</f>
        <v/>
      </c>
      <c r="X354" s="25">
        <f>IF(Q354=1,IF(SUBSTITUTE(SUBSTITUTE(SUBSTITUTE(SUBSTITUTE(SUBSTITUTE(SUBSTITUTE(SUBSTITUTE(SUBSTITUTE(SUBSTITUTE(SUBSTITUTE(SUBSTITUTE(SUBSTITUTE(LOWER(TRIM(A354)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354)),"á","a"),"é","e"),"í","i"),"ó","o"),"ú","u"),"ü","u"),"ñ","n"),"à","a"),"è","e"),"ì","i"),"ò","o"),"ù","u")),"")</f>
        <v/>
      </c>
      <c r="Y354" s="25">
        <f>IF(X354="","",IF(IFERROR(COUNTIF(X$3:X354,"="&amp;SUBSTITUTE(SUBSTITUTE(SUBSTITUTE(X354,"~","~~"),"*","~*"),"?","~?")),0)=1,1,""))</f>
        <v/>
      </c>
      <c r="Z354" s="25">
        <f>IF(T354=1,MAX(Z$2:Z353)+1,"")</f>
        <v/>
      </c>
    </row>
    <row r="355">
      <c r="A355">
        <f>IF(A$2=0,"",IFERROR(TRIM(INDEX('Pegar calibracion'!$A$1:$BZ$1001,354,A$2)&amp;""),""))</f>
        <v/>
      </c>
      <c r="B355">
        <f>IF(B$2=0,"",IFERROR(TRIM(INDEX('Pegar calibracion'!$A$1:$BZ$1001,354,B$2)&amp;""),""))</f>
        <v/>
      </c>
      <c r="C355">
        <f>IF(C$2=0,"",IFERROR(TRIM(INDEX('Pegar calibracion'!$A$1:$BZ$1001,354,C$2)&amp;""),""))</f>
        <v/>
      </c>
      <c r="D355">
        <f>IF(D$2=0,"",IFERROR(TRIM(INDEX('Pegar calibracion'!$A$1:$BZ$1001,354,D$2)&amp;""),""))</f>
        <v/>
      </c>
      <c r="E355">
        <f>IF(E$2=0,"",IFERROR(TRIM(INDEX('Pegar calibracion'!$A$1:$BZ$1001,354,E$2)&amp;""),""))</f>
        <v/>
      </c>
      <c r="F355">
        <f>IF(F$2=0,"",IFERROR(TRIM(INDEX('Pegar calibracion'!$A$1:$BZ$1001,354,F$2)&amp;""),""))</f>
        <v/>
      </c>
      <c r="G355">
        <f>IF(G$2=0,"",IFERROR(TRIM(INDEX('Pegar calibracion'!$A$1:$BZ$1001,354,G$2)&amp;""),""))</f>
        <v/>
      </c>
      <c r="H355">
        <f>IF(H$2=0,"",IFERROR(TRIM(INDEX('Pegar calibracion'!$A$1:$BZ$1001,354,H$2)&amp;""),""))</f>
        <v/>
      </c>
      <c r="I355">
        <f>IF(I$2=0,"",IFERROR(TRIM(INDEX('Pegar calibracion'!$A$1:$BZ$1001,354,I$2)&amp;""),""))</f>
        <v/>
      </c>
      <c r="J355">
        <f>IF(J$2=0,"",IFERROR(TRIM(INDEX('Pegar calibracion'!$A$1:$BZ$1001,354,J$2)&amp;""),""))</f>
        <v/>
      </c>
      <c r="K355">
        <f>IF(K$2=0,"",IFERROR(TRIM(INDEX('Pegar calibracion'!$A$1:$BZ$1001,354,K$2)&amp;""),""))</f>
        <v/>
      </c>
      <c r="L355">
        <f>IF(L$2=0,"",IFERROR(TRIM(INDEX('Pegar calibracion'!$A$1:$BZ$1001,354,L$2)&amp;""),""))</f>
        <v/>
      </c>
      <c r="M355" s="25">
        <f>IF(D355="","",SUBSTITUTE(SUBSTITUTE(SUBSTITUTE(SUBSTITUTE(SUBSTITUTE(SUBSTITUTE(SUBSTITUTE(SUBSTITUTE(SUBSTITUTE(SUBSTITUTE(SUBSTITUTE(SUBSTITUTE(LOWER(TRIM(D355)),"á","a"),"é","e"),"í","i"),"ó","o"),"ú","u"),"ü","u"),"ñ","n"),"à","a"),"è","e"),"ì","i"),"ò","o"),"ù","u"))</f>
        <v/>
      </c>
      <c r="N355" s="25">
        <f>IF(F355="","",SUBSTITUTE(SUBSTITUTE(SUBSTITUTE(SUBSTITUTE(SUBSTITUTE(SUBSTITUTE(SUBSTITUTE(SUBSTITUTE(SUBSTITUTE(SUBSTITUTE(SUBSTITUTE(SUBSTITUTE(LOWER(TRIM(F355)),"á","a"),"é","e"),"í","i"),"ó","o"),"ú","u"),"ü","u"),"ñ","n"),"à","a"),"è","e"),"ì","i"),"ò","o"),"ù","u"))</f>
        <v/>
      </c>
      <c r="O355" s="25">
        <f>IF(M355="confiable",2,IF(M355="dudosa",1,IF(M355="no confiable",0,"")))</f>
        <v/>
      </c>
      <c r="P355" s="25">
        <f>IF(N355="confiable",2,IF(N355="dudosa",1,IF(N355="no confiable",0,"")))</f>
        <v/>
      </c>
      <c r="Q355" s="25">
        <f>IF(AND(ISNUMBER(O355),ISNUMBER(P355)),1,"")</f>
        <v/>
      </c>
      <c r="R355" s="25">
        <f>IF(Q355=1,IF(O355=P355,"Sí","No"),"")</f>
        <v/>
      </c>
      <c r="S355" s="25">
        <f>IF(Q355=1,IF(P355&lt;O355,"Más estricto",IF(P355&gt;O355,"Más permisivo","Igual")),"")</f>
        <v/>
      </c>
      <c r="T355" s="25">
        <f>IF(Q355=1,IF(ABS(O355-P355)=2,1,0),"")</f>
        <v/>
      </c>
      <c r="U355" s="25">
        <f>IF(H355="","","|"&amp;SUBSTITUTE(SUBSTITUTE(TRIM(H355)," |","|"),"| ","|")&amp;"|")</f>
        <v/>
      </c>
      <c r="V355" s="25">
        <f>IF(AND(Q355=1,B355&lt;&gt;""),IF(IFERROR(COUNTIFS(B$3:B355,"="&amp;SUBSTITUTE(SUBSTITUTE(SUBSTITUTE(B355,"~","~~"),"*","~*"),"?","~?"),Q$3:Q355,1),0)=1,MAX(V$2:V354)+1,""),"")</f>
        <v/>
      </c>
      <c r="W355" s="25">
        <f>IF(V355="","",COUNTIFS($B$3:$B$1002,"="&amp;SUBSTITUTE(SUBSTITUTE(SUBSTITUTE(B355,"~","~~"),"*","~*"),"?","~?"),$Q$3:$Q$1002,1)*10000-V355)</f>
        <v/>
      </c>
      <c r="X355" s="25">
        <f>IF(Q355=1,IF(SUBSTITUTE(SUBSTITUTE(SUBSTITUTE(SUBSTITUTE(SUBSTITUTE(SUBSTITUTE(SUBSTITUTE(SUBSTITUTE(SUBSTITUTE(SUBSTITUTE(SUBSTITUTE(SUBSTITUTE(LOWER(TRIM(A355)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355)),"á","a"),"é","e"),"í","i"),"ó","o"),"ú","u"),"ü","u"),"ñ","n"),"à","a"),"è","e"),"ì","i"),"ò","o"),"ù","u")),"")</f>
        <v/>
      </c>
      <c r="Y355" s="25">
        <f>IF(X355="","",IF(IFERROR(COUNTIF(X$3:X355,"="&amp;SUBSTITUTE(SUBSTITUTE(SUBSTITUTE(X355,"~","~~"),"*","~*"),"?","~?")),0)=1,1,""))</f>
        <v/>
      </c>
      <c r="Z355" s="25">
        <f>IF(T355=1,MAX(Z$2:Z354)+1,"")</f>
        <v/>
      </c>
    </row>
    <row r="356">
      <c r="A356">
        <f>IF(A$2=0,"",IFERROR(TRIM(INDEX('Pegar calibracion'!$A$1:$BZ$1001,355,A$2)&amp;""),""))</f>
        <v/>
      </c>
      <c r="B356">
        <f>IF(B$2=0,"",IFERROR(TRIM(INDEX('Pegar calibracion'!$A$1:$BZ$1001,355,B$2)&amp;""),""))</f>
        <v/>
      </c>
      <c r="C356">
        <f>IF(C$2=0,"",IFERROR(TRIM(INDEX('Pegar calibracion'!$A$1:$BZ$1001,355,C$2)&amp;""),""))</f>
        <v/>
      </c>
      <c r="D356">
        <f>IF(D$2=0,"",IFERROR(TRIM(INDEX('Pegar calibracion'!$A$1:$BZ$1001,355,D$2)&amp;""),""))</f>
        <v/>
      </c>
      <c r="E356">
        <f>IF(E$2=0,"",IFERROR(TRIM(INDEX('Pegar calibracion'!$A$1:$BZ$1001,355,E$2)&amp;""),""))</f>
        <v/>
      </c>
      <c r="F356">
        <f>IF(F$2=0,"",IFERROR(TRIM(INDEX('Pegar calibracion'!$A$1:$BZ$1001,355,F$2)&amp;""),""))</f>
        <v/>
      </c>
      <c r="G356">
        <f>IF(G$2=0,"",IFERROR(TRIM(INDEX('Pegar calibracion'!$A$1:$BZ$1001,355,G$2)&amp;""),""))</f>
        <v/>
      </c>
      <c r="H356">
        <f>IF(H$2=0,"",IFERROR(TRIM(INDEX('Pegar calibracion'!$A$1:$BZ$1001,355,H$2)&amp;""),""))</f>
        <v/>
      </c>
      <c r="I356">
        <f>IF(I$2=0,"",IFERROR(TRIM(INDEX('Pegar calibracion'!$A$1:$BZ$1001,355,I$2)&amp;""),""))</f>
        <v/>
      </c>
      <c r="J356">
        <f>IF(J$2=0,"",IFERROR(TRIM(INDEX('Pegar calibracion'!$A$1:$BZ$1001,355,J$2)&amp;""),""))</f>
        <v/>
      </c>
      <c r="K356">
        <f>IF(K$2=0,"",IFERROR(TRIM(INDEX('Pegar calibracion'!$A$1:$BZ$1001,355,K$2)&amp;""),""))</f>
        <v/>
      </c>
      <c r="L356">
        <f>IF(L$2=0,"",IFERROR(TRIM(INDEX('Pegar calibracion'!$A$1:$BZ$1001,355,L$2)&amp;""),""))</f>
        <v/>
      </c>
      <c r="M356" s="25">
        <f>IF(D356="","",SUBSTITUTE(SUBSTITUTE(SUBSTITUTE(SUBSTITUTE(SUBSTITUTE(SUBSTITUTE(SUBSTITUTE(SUBSTITUTE(SUBSTITUTE(SUBSTITUTE(SUBSTITUTE(SUBSTITUTE(LOWER(TRIM(D356)),"á","a"),"é","e"),"í","i"),"ó","o"),"ú","u"),"ü","u"),"ñ","n"),"à","a"),"è","e"),"ì","i"),"ò","o"),"ù","u"))</f>
        <v/>
      </c>
      <c r="N356" s="25">
        <f>IF(F356="","",SUBSTITUTE(SUBSTITUTE(SUBSTITUTE(SUBSTITUTE(SUBSTITUTE(SUBSTITUTE(SUBSTITUTE(SUBSTITUTE(SUBSTITUTE(SUBSTITUTE(SUBSTITUTE(SUBSTITUTE(LOWER(TRIM(F356)),"á","a"),"é","e"),"í","i"),"ó","o"),"ú","u"),"ü","u"),"ñ","n"),"à","a"),"è","e"),"ì","i"),"ò","o"),"ù","u"))</f>
        <v/>
      </c>
      <c r="O356" s="25">
        <f>IF(M356="confiable",2,IF(M356="dudosa",1,IF(M356="no confiable",0,"")))</f>
        <v/>
      </c>
      <c r="P356" s="25">
        <f>IF(N356="confiable",2,IF(N356="dudosa",1,IF(N356="no confiable",0,"")))</f>
        <v/>
      </c>
      <c r="Q356" s="25">
        <f>IF(AND(ISNUMBER(O356),ISNUMBER(P356)),1,"")</f>
        <v/>
      </c>
      <c r="R356" s="25">
        <f>IF(Q356=1,IF(O356=P356,"Sí","No"),"")</f>
        <v/>
      </c>
      <c r="S356" s="25">
        <f>IF(Q356=1,IF(P356&lt;O356,"Más estricto",IF(P356&gt;O356,"Más permisivo","Igual")),"")</f>
        <v/>
      </c>
      <c r="T356" s="25">
        <f>IF(Q356=1,IF(ABS(O356-P356)=2,1,0),"")</f>
        <v/>
      </c>
      <c r="U356" s="25">
        <f>IF(H356="","","|"&amp;SUBSTITUTE(SUBSTITUTE(TRIM(H356)," |","|"),"| ","|")&amp;"|")</f>
        <v/>
      </c>
      <c r="V356" s="25">
        <f>IF(AND(Q356=1,B356&lt;&gt;""),IF(IFERROR(COUNTIFS(B$3:B356,"="&amp;SUBSTITUTE(SUBSTITUTE(SUBSTITUTE(B356,"~","~~"),"*","~*"),"?","~?"),Q$3:Q356,1),0)=1,MAX(V$2:V355)+1,""),"")</f>
        <v/>
      </c>
      <c r="W356" s="25">
        <f>IF(V356="","",COUNTIFS($B$3:$B$1002,"="&amp;SUBSTITUTE(SUBSTITUTE(SUBSTITUTE(B356,"~","~~"),"*","~*"),"?","~?"),$Q$3:$Q$1002,1)*10000-V356)</f>
        <v/>
      </c>
      <c r="X356" s="25">
        <f>IF(Q356=1,IF(SUBSTITUTE(SUBSTITUTE(SUBSTITUTE(SUBSTITUTE(SUBSTITUTE(SUBSTITUTE(SUBSTITUTE(SUBSTITUTE(SUBSTITUTE(SUBSTITUTE(SUBSTITUTE(SUBSTITUTE(LOWER(TRIM(A356)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356)),"á","a"),"é","e"),"í","i"),"ó","o"),"ú","u"),"ü","u"),"ñ","n"),"à","a"),"è","e"),"ì","i"),"ò","o"),"ù","u")),"")</f>
        <v/>
      </c>
      <c r="Y356" s="25">
        <f>IF(X356="","",IF(IFERROR(COUNTIF(X$3:X356,"="&amp;SUBSTITUTE(SUBSTITUTE(SUBSTITUTE(X356,"~","~~"),"*","~*"),"?","~?")),0)=1,1,""))</f>
        <v/>
      </c>
      <c r="Z356" s="25">
        <f>IF(T356=1,MAX(Z$2:Z355)+1,"")</f>
        <v/>
      </c>
    </row>
    <row r="357">
      <c r="A357">
        <f>IF(A$2=0,"",IFERROR(TRIM(INDEX('Pegar calibracion'!$A$1:$BZ$1001,356,A$2)&amp;""),""))</f>
        <v/>
      </c>
      <c r="B357">
        <f>IF(B$2=0,"",IFERROR(TRIM(INDEX('Pegar calibracion'!$A$1:$BZ$1001,356,B$2)&amp;""),""))</f>
        <v/>
      </c>
      <c r="C357">
        <f>IF(C$2=0,"",IFERROR(TRIM(INDEX('Pegar calibracion'!$A$1:$BZ$1001,356,C$2)&amp;""),""))</f>
        <v/>
      </c>
      <c r="D357">
        <f>IF(D$2=0,"",IFERROR(TRIM(INDEX('Pegar calibracion'!$A$1:$BZ$1001,356,D$2)&amp;""),""))</f>
        <v/>
      </c>
      <c r="E357">
        <f>IF(E$2=0,"",IFERROR(TRIM(INDEX('Pegar calibracion'!$A$1:$BZ$1001,356,E$2)&amp;""),""))</f>
        <v/>
      </c>
      <c r="F357">
        <f>IF(F$2=0,"",IFERROR(TRIM(INDEX('Pegar calibracion'!$A$1:$BZ$1001,356,F$2)&amp;""),""))</f>
        <v/>
      </c>
      <c r="G357">
        <f>IF(G$2=0,"",IFERROR(TRIM(INDEX('Pegar calibracion'!$A$1:$BZ$1001,356,G$2)&amp;""),""))</f>
        <v/>
      </c>
      <c r="H357">
        <f>IF(H$2=0,"",IFERROR(TRIM(INDEX('Pegar calibracion'!$A$1:$BZ$1001,356,H$2)&amp;""),""))</f>
        <v/>
      </c>
      <c r="I357">
        <f>IF(I$2=0,"",IFERROR(TRIM(INDEX('Pegar calibracion'!$A$1:$BZ$1001,356,I$2)&amp;""),""))</f>
        <v/>
      </c>
      <c r="J357">
        <f>IF(J$2=0,"",IFERROR(TRIM(INDEX('Pegar calibracion'!$A$1:$BZ$1001,356,J$2)&amp;""),""))</f>
        <v/>
      </c>
      <c r="K357">
        <f>IF(K$2=0,"",IFERROR(TRIM(INDEX('Pegar calibracion'!$A$1:$BZ$1001,356,K$2)&amp;""),""))</f>
        <v/>
      </c>
      <c r="L357">
        <f>IF(L$2=0,"",IFERROR(TRIM(INDEX('Pegar calibracion'!$A$1:$BZ$1001,356,L$2)&amp;""),""))</f>
        <v/>
      </c>
      <c r="M357" s="25">
        <f>IF(D357="","",SUBSTITUTE(SUBSTITUTE(SUBSTITUTE(SUBSTITUTE(SUBSTITUTE(SUBSTITUTE(SUBSTITUTE(SUBSTITUTE(SUBSTITUTE(SUBSTITUTE(SUBSTITUTE(SUBSTITUTE(LOWER(TRIM(D357)),"á","a"),"é","e"),"í","i"),"ó","o"),"ú","u"),"ü","u"),"ñ","n"),"à","a"),"è","e"),"ì","i"),"ò","o"),"ù","u"))</f>
        <v/>
      </c>
      <c r="N357" s="25">
        <f>IF(F357="","",SUBSTITUTE(SUBSTITUTE(SUBSTITUTE(SUBSTITUTE(SUBSTITUTE(SUBSTITUTE(SUBSTITUTE(SUBSTITUTE(SUBSTITUTE(SUBSTITUTE(SUBSTITUTE(SUBSTITUTE(LOWER(TRIM(F357)),"á","a"),"é","e"),"í","i"),"ó","o"),"ú","u"),"ü","u"),"ñ","n"),"à","a"),"è","e"),"ì","i"),"ò","o"),"ù","u"))</f>
        <v/>
      </c>
      <c r="O357" s="25">
        <f>IF(M357="confiable",2,IF(M357="dudosa",1,IF(M357="no confiable",0,"")))</f>
        <v/>
      </c>
      <c r="P357" s="25">
        <f>IF(N357="confiable",2,IF(N357="dudosa",1,IF(N357="no confiable",0,"")))</f>
        <v/>
      </c>
      <c r="Q357" s="25">
        <f>IF(AND(ISNUMBER(O357),ISNUMBER(P357)),1,"")</f>
        <v/>
      </c>
      <c r="R357" s="25">
        <f>IF(Q357=1,IF(O357=P357,"Sí","No"),"")</f>
        <v/>
      </c>
      <c r="S357" s="25">
        <f>IF(Q357=1,IF(P357&lt;O357,"Más estricto",IF(P357&gt;O357,"Más permisivo","Igual")),"")</f>
        <v/>
      </c>
      <c r="T357" s="25">
        <f>IF(Q357=1,IF(ABS(O357-P357)=2,1,0),"")</f>
        <v/>
      </c>
      <c r="U357" s="25">
        <f>IF(H357="","","|"&amp;SUBSTITUTE(SUBSTITUTE(TRIM(H357)," |","|"),"| ","|")&amp;"|")</f>
        <v/>
      </c>
      <c r="V357" s="25">
        <f>IF(AND(Q357=1,B357&lt;&gt;""),IF(IFERROR(COUNTIFS(B$3:B357,"="&amp;SUBSTITUTE(SUBSTITUTE(SUBSTITUTE(B357,"~","~~"),"*","~*"),"?","~?"),Q$3:Q357,1),0)=1,MAX(V$2:V356)+1,""),"")</f>
        <v/>
      </c>
      <c r="W357" s="25">
        <f>IF(V357="","",COUNTIFS($B$3:$B$1002,"="&amp;SUBSTITUTE(SUBSTITUTE(SUBSTITUTE(B357,"~","~~"),"*","~*"),"?","~?"),$Q$3:$Q$1002,1)*10000-V357)</f>
        <v/>
      </c>
      <c r="X357" s="25">
        <f>IF(Q357=1,IF(SUBSTITUTE(SUBSTITUTE(SUBSTITUTE(SUBSTITUTE(SUBSTITUTE(SUBSTITUTE(SUBSTITUTE(SUBSTITUTE(SUBSTITUTE(SUBSTITUTE(SUBSTITUTE(SUBSTITUTE(LOWER(TRIM(A357)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357)),"á","a"),"é","e"),"í","i"),"ó","o"),"ú","u"),"ü","u"),"ñ","n"),"à","a"),"è","e"),"ì","i"),"ò","o"),"ù","u")),"")</f>
        <v/>
      </c>
      <c r="Y357" s="25">
        <f>IF(X357="","",IF(IFERROR(COUNTIF(X$3:X357,"="&amp;SUBSTITUTE(SUBSTITUTE(SUBSTITUTE(X357,"~","~~"),"*","~*"),"?","~?")),0)=1,1,""))</f>
        <v/>
      </c>
      <c r="Z357" s="25">
        <f>IF(T357=1,MAX(Z$2:Z356)+1,"")</f>
        <v/>
      </c>
    </row>
    <row r="358">
      <c r="A358">
        <f>IF(A$2=0,"",IFERROR(TRIM(INDEX('Pegar calibracion'!$A$1:$BZ$1001,357,A$2)&amp;""),""))</f>
        <v/>
      </c>
      <c r="B358">
        <f>IF(B$2=0,"",IFERROR(TRIM(INDEX('Pegar calibracion'!$A$1:$BZ$1001,357,B$2)&amp;""),""))</f>
        <v/>
      </c>
      <c r="C358">
        <f>IF(C$2=0,"",IFERROR(TRIM(INDEX('Pegar calibracion'!$A$1:$BZ$1001,357,C$2)&amp;""),""))</f>
        <v/>
      </c>
      <c r="D358">
        <f>IF(D$2=0,"",IFERROR(TRIM(INDEX('Pegar calibracion'!$A$1:$BZ$1001,357,D$2)&amp;""),""))</f>
        <v/>
      </c>
      <c r="E358">
        <f>IF(E$2=0,"",IFERROR(TRIM(INDEX('Pegar calibracion'!$A$1:$BZ$1001,357,E$2)&amp;""),""))</f>
        <v/>
      </c>
      <c r="F358">
        <f>IF(F$2=0,"",IFERROR(TRIM(INDEX('Pegar calibracion'!$A$1:$BZ$1001,357,F$2)&amp;""),""))</f>
        <v/>
      </c>
      <c r="G358">
        <f>IF(G$2=0,"",IFERROR(TRIM(INDEX('Pegar calibracion'!$A$1:$BZ$1001,357,G$2)&amp;""),""))</f>
        <v/>
      </c>
      <c r="H358">
        <f>IF(H$2=0,"",IFERROR(TRIM(INDEX('Pegar calibracion'!$A$1:$BZ$1001,357,H$2)&amp;""),""))</f>
        <v/>
      </c>
      <c r="I358">
        <f>IF(I$2=0,"",IFERROR(TRIM(INDEX('Pegar calibracion'!$A$1:$BZ$1001,357,I$2)&amp;""),""))</f>
        <v/>
      </c>
      <c r="J358">
        <f>IF(J$2=0,"",IFERROR(TRIM(INDEX('Pegar calibracion'!$A$1:$BZ$1001,357,J$2)&amp;""),""))</f>
        <v/>
      </c>
      <c r="K358">
        <f>IF(K$2=0,"",IFERROR(TRIM(INDEX('Pegar calibracion'!$A$1:$BZ$1001,357,K$2)&amp;""),""))</f>
        <v/>
      </c>
      <c r="L358">
        <f>IF(L$2=0,"",IFERROR(TRIM(INDEX('Pegar calibracion'!$A$1:$BZ$1001,357,L$2)&amp;""),""))</f>
        <v/>
      </c>
      <c r="M358" s="25">
        <f>IF(D358="","",SUBSTITUTE(SUBSTITUTE(SUBSTITUTE(SUBSTITUTE(SUBSTITUTE(SUBSTITUTE(SUBSTITUTE(SUBSTITUTE(SUBSTITUTE(SUBSTITUTE(SUBSTITUTE(SUBSTITUTE(LOWER(TRIM(D358)),"á","a"),"é","e"),"í","i"),"ó","o"),"ú","u"),"ü","u"),"ñ","n"),"à","a"),"è","e"),"ì","i"),"ò","o"),"ù","u"))</f>
        <v/>
      </c>
      <c r="N358" s="25">
        <f>IF(F358="","",SUBSTITUTE(SUBSTITUTE(SUBSTITUTE(SUBSTITUTE(SUBSTITUTE(SUBSTITUTE(SUBSTITUTE(SUBSTITUTE(SUBSTITUTE(SUBSTITUTE(SUBSTITUTE(SUBSTITUTE(LOWER(TRIM(F358)),"á","a"),"é","e"),"í","i"),"ó","o"),"ú","u"),"ü","u"),"ñ","n"),"à","a"),"è","e"),"ì","i"),"ò","o"),"ù","u"))</f>
        <v/>
      </c>
      <c r="O358" s="25">
        <f>IF(M358="confiable",2,IF(M358="dudosa",1,IF(M358="no confiable",0,"")))</f>
        <v/>
      </c>
      <c r="P358" s="25">
        <f>IF(N358="confiable",2,IF(N358="dudosa",1,IF(N358="no confiable",0,"")))</f>
        <v/>
      </c>
      <c r="Q358" s="25">
        <f>IF(AND(ISNUMBER(O358),ISNUMBER(P358)),1,"")</f>
        <v/>
      </c>
      <c r="R358" s="25">
        <f>IF(Q358=1,IF(O358=P358,"Sí","No"),"")</f>
        <v/>
      </c>
      <c r="S358" s="25">
        <f>IF(Q358=1,IF(P358&lt;O358,"Más estricto",IF(P358&gt;O358,"Más permisivo","Igual")),"")</f>
        <v/>
      </c>
      <c r="T358" s="25">
        <f>IF(Q358=1,IF(ABS(O358-P358)=2,1,0),"")</f>
        <v/>
      </c>
      <c r="U358" s="25">
        <f>IF(H358="","","|"&amp;SUBSTITUTE(SUBSTITUTE(TRIM(H358)," |","|"),"| ","|")&amp;"|")</f>
        <v/>
      </c>
      <c r="V358" s="25">
        <f>IF(AND(Q358=1,B358&lt;&gt;""),IF(IFERROR(COUNTIFS(B$3:B358,"="&amp;SUBSTITUTE(SUBSTITUTE(SUBSTITUTE(B358,"~","~~"),"*","~*"),"?","~?"),Q$3:Q358,1),0)=1,MAX(V$2:V357)+1,""),"")</f>
        <v/>
      </c>
      <c r="W358" s="25">
        <f>IF(V358="","",COUNTIFS($B$3:$B$1002,"="&amp;SUBSTITUTE(SUBSTITUTE(SUBSTITUTE(B358,"~","~~"),"*","~*"),"?","~?"),$Q$3:$Q$1002,1)*10000-V358)</f>
        <v/>
      </c>
      <c r="X358" s="25">
        <f>IF(Q358=1,IF(SUBSTITUTE(SUBSTITUTE(SUBSTITUTE(SUBSTITUTE(SUBSTITUTE(SUBSTITUTE(SUBSTITUTE(SUBSTITUTE(SUBSTITUTE(SUBSTITUTE(SUBSTITUTE(SUBSTITUTE(LOWER(TRIM(A358)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358)),"á","a"),"é","e"),"í","i"),"ó","o"),"ú","u"),"ü","u"),"ñ","n"),"à","a"),"è","e"),"ì","i"),"ò","o"),"ù","u")),"")</f>
        <v/>
      </c>
      <c r="Y358" s="25">
        <f>IF(X358="","",IF(IFERROR(COUNTIF(X$3:X358,"="&amp;SUBSTITUTE(SUBSTITUTE(SUBSTITUTE(X358,"~","~~"),"*","~*"),"?","~?")),0)=1,1,""))</f>
        <v/>
      </c>
      <c r="Z358" s="25">
        <f>IF(T358=1,MAX(Z$2:Z357)+1,"")</f>
        <v/>
      </c>
    </row>
    <row r="359">
      <c r="A359">
        <f>IF(A$2=0,"",IFERROR(TRIM(INDEX('Pegar calibracion'!$A$1:$BZ$1001,358,A$2)&amp;""),""))</f>
        <v/>
      </c>
      <c r="B359">
        <f>IF(B$2=0,"",IFERROR(TRIM(INDEX('Pegar calibracion'!$A$1:$BZ$1001,358,B$2)&amp;""),""))</f>
        <v/>
      </c>
      <c r="C359">
        <f>IF(C$2=0,"",IFERROR(TRIM(INDEX('Pegar calibracion'!$A$1:$BZ$1001,358,C$2)&amp;""),""))</f>
        <v/>
      </c>
      <c r="D359">
        <f>IF(D$2=0,"",IFERROR(TRIM(INDEX('Pegar calibracion'!$A$1:$BZ$1001,358,D$2)&amp;""),""))</f>
        <v/>
      </c>
      <c r="E359">
        <f>IF(E$2=0,"",IFERROR(TRIM(INDEX('Pegar calibracion'!$A$1:$BZ$1001,358,E$2)&amp;""),""))</f>
        <v/>
      </c>
      <c r="F359">
        <f>IF(F$2=0,"",IFERROR(TRIM(INDEX('Pegar calibracion'!$A$1:$BZ$1001,358,F$2)&amp;""),""))</f>
        <v/>
      </c>
      <c r="G359">
        <f>IF(G$2=0,"",IFERROR(TRIM(INDEX('Pegar calibracion'!$A$1:$BZ$1001,358,G$2)&amp;""),""))</f>
        <v/>
      </c>
      <c r="H359">
        <f>IF(H$2=0,"",IFERROR(TRIM(INDEX('Pegar calibracion'!$A$1:$BZ$1001,358,H$2)&amp;""),""))</f>
        <v/>
      </c>
      <c r="I359">
        <f>IF(I$2=0,"",IFERROR(TRIM(INDEX('Pegar calibracion'!$A$1:$BZ$1001,358,I$2)&amp;""),""))</f>
        <v/>
      </c>
      <c r="J359">
        <f>IF(J$2=0,"",IFERROR(TRIM(INDEX('Pegar calibracion'!$A$1:$BZ$1001,358,J$2)&amp;""),""))</f>
        <v/>
      </c>
      <c r="K359">
        <f>IF(K$2=0,"",IFERROR(TRIM(INDEX('Pegar calibracion'!$A$1:$BZ$1001,358,K$2)&amp;""),""))</f>
        <v/>
      </c>
      <c r="L359">
        <f>IF(L$2=0,"",IFERROR(TRIM(INDEX('Pegar calibracion'!$A$1:$BZ$1001,358,L$2)&amp;""),""))</f>
        <v/>
      </c>
      <c r="M359" s="25">
        <f>IF(D359="","",SUBSTITUTE(SUBSTITUTE(SUBSTITUTE(SUBSTITUTE(SUBSTITUTE(SUBSTITUTE(SUBSTITUTE(SUBSTITUTE(SUBSTITUTE(SUBSTITUTE(SUBSTITUTE(SUBSTITUTE(LOWER(TRIM(D359)),"á","a"),"é","e"),"í","i"),"ó","o"),"ú","u"),"ü","u"),"ñ","n"),"à","a"),"è","e"),"ì","i"),"ò","o"),"ù","u"))</f>
        <v/>
      </c>
      <c r="N359" s="25">
        <f>IF(F359="","",SUBSTITUTE(SUBSTITUTE(SUBSTITUTE(SUBSTITUTE(SUBSTITUTE(SUBSTITUTE(SUBSTITUTE(SUBSTITUTE(SUBSTITUTE(SUBSTITUTE(SUBSTITUTE(SUBSTITUTE(LOWER(TRIM(F359)),"á","a"),"é","e"),"í","i"),"ó","o"),"ú","u"),"ü","u"),"ñ","n"),"à","a"),"è","e"),"ì","i"),"ò","o"),"ù","u"))</f>
        <v/>
      </c>
      <c r="O359" s="25">
        <f>IF(M359="confiable",2,IF(M359="dudosa",1,IF(M359="no confiable",0,"")))</f>
        <v/>
      </c>
      <c r="P359" s="25">
        <f>IF(N359="confiable",2,IF(N359="dudosa",1,IF(N359="no confiable",0,"")))</f>
        <v/>
      </c>
      <c r="Q359" s="25">
        <f>IF(AND(ISNUMBER(O359),ISNUMBER(P359)),1,"")</f>
        <v/>
      </c>
      <c r="R359" s="25">
        <f>IF(Q359=1,IF(O359=P359,"Sí","No"),"")</f>
        <v/>
      </c>
      <c r="S359" s="25">
        <f>IF(Q359=1,IF(P359&lt;O359,"Más estricto",IF(P359&gt;O359,"Más permisivo","Igual")),"")</f>
        <v/>
      </c>
      <c r="T359" s="25">
        <f>IF(Q359=1,IF(ABS(O359-P359)=2,1,0),"")</f>
        <v/>
      </c>
      <c r="U359" s="25">
        <f>IF(H359="","","|"&amp;SUBSTITUTE(SUBSTITUTE(TRIM(H359)," |","|"),"| ","|")&amp;"|")</f>
        <v/>
      </c>
      <c r="V359" s="25">
        <f>IF(AND(Q359=1,B359&lt;&gt;""),IF(IFERROR(COUNTIFS(B$3:B359,"="&amp;SUBSTITUTE(SUBSTITUTE(SUBSTITUTE(B359,"~","~~"),"*","~*"),"?","~?"),Q$3:Q359,1),0)=1,MAX(V$2:V358)+1,""),"")</f>
        <v/>
      </c>
      <c r="W359" s="25">
        <f>IF(V359="","",COUNTIFS($B$3:$B$1002,"="&amp;SUBSTITUTE(SUBSTITUTE(SUBSTITUTE(B359,"~","~~"),"*","~*"),"?","~?"),$Q$3:$Q$1002,1)*10000-V359)</f>
        <v/>
      </c>
      <c r="X359" s="25">
        <f>IF(Q359=1,IF(SUBSTITUTE(SUBSTITUTE(SUBSTITUTE(SUBSTITUTE(SUBSTITUTE(SUBSTITUTE(SUBSTITUTE(SUBSTITUTE(SUBSTITUTE(SUBSTITUTE(SUBSTITUTE(SUBSTITUTE(LOWER(TRIM(A359)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359)),"á","a"),"é","e"),"í","i"),"ó","o"),"ú","u"),"ü","u"),"ñ","n"),"à","a"),"è","e"),"ì","i"),"ò","o"),"ù","u")),"")</f>
        <v/>
      </c>
      <c r="Y359" s="25">
        <f>IF(X359="","",IF(IFERROR(COUNTIF(X$3:X359,"="&amp;SUBSTITUTE(SUBSTITUTE(SUBSTITUTE(X359,"~","~~"),"*","~*"),"?","~?")),0)=1,1,""))</f>
        <v/>
      </c>
      <c r="Z359" s="25">
        <f>IF(T359=1,MAX(Z$2:Z358)+1,"")</f>
        <v/>
      </c>
    </row>
    <row r="360">
      <c r="A360">
        <f>IF(A$2=0,"",IFERROR(TRIM(INDEX('Pegar calibracion'!$A$1:$BZ$1001,359,A$2)&amp;""),""))</f>
        <v/>
      </c>
      <c r="B360">
        <f>IF(B$2=0,"",IFERROR(TRIM(INDEX('Pegar calibracion'!$A$1:$BZ$1001,359,B$2)&amp;""),""))</f>
        <v/>
      </c>
      <c r="C360">
        <f>IF(C$2=0,"",IFERROR(TRIM(INDEX('Pegar calibracion'!$A$1:$BZ$1001,359,C$2)&amp;""),""))</f>
        <v/>
      </c>
      <c r="D360">
        <f>IF(D$2=0,"",IFERROR(TRIM(INDEX('Pegar calibracion'!$A$1:$BZ$1001,359,D$2)&amp;""),""))</f>
        <v/>
      </c>
      <c r="E360">
        <f>IF(E$2=0,"",IFERROR(TRIM(INDEX('Pegar calibracion'!$A$1:$BZ$1001,359,E$2)&amp;""),""))</f>
        <v/>
      </c>
      <c r="F360">
        <f>IF(F$2=0,"",IFERROR(TRIM(INDEX('Pegar calibracion'!$A$1:$BZ$1001,359,F$2)&amp;""),""))</f>
        <v/>
      </c>
      <c r="G360">
        <f>IF(G$2=0,"",IFERROR(TRIM(INDEX('Pegar calibracion'!$A$1:$BZ$1001,359,G$2)&amp;""),""))</f>
        <v/>
      </c>
      <c r="H360">
        <f>IF(H$2=0,"",IFERROR(TRIM(INDEX('Pegar calibracion'!$A$1:$BZ$1001,359,H$2)&amp;""),""))</f>
        <v/>
      </c>
      <c r="I360">
        <f>IF(I$2=0,"",IFERROR(TRIM(INDEX('Pegar calibracion'!$A$1:$BZ$1001,359,I$2)&amp;""),""))</f>
        <v/>
      </c>
      <c r="J360">
        <f>IF(J$2=0,"",IFERROR(TRIM(INDEX('Pegar calibracion'!$A$1:$BZ$1001,359,J$2)&amp;""),""))</f>
        <v/>
      </c>
      <c r="K360">
        <f>IF(K$2=0,"",IFERROR(TRIM(INDEX('Pegar calibracion'!$A$1:$BZ$1001,359,K$2)&amp;""),""))</f>
        <v/>
      </c>
      <c r="L360">
        <f>IF(L$2=0,"",IFERROR(TRIM(INDEX('Pegar calibracion'!$A$1:$BZ$1001,359,L$2)&amp;""),""))</f>
        <v/>
      </c>
      <c r="M360" s="25">
        <f>IF(D360="","",SUBSTITUTE(SUBSTITUTE(SUBSTITUTE(SUBSTITUTE(SUBSTITUTE(SUBSTITUTE(SUBSTITUTE(SUBSTITUTE(SUBSTITUTE(SUBSTITUTE(SUBSTITUTE(SUBSTITUTE(LOWER(TRIM(D360)),"á","a"),"é","e"),"í","i"),"ó","o"),"ú","u"),"ü","u"),"ñ","n"),"à","a"),"è","e"),"ì","i"),"ò","o"),"ù","u"))</f>
        <v/>
      </c>
      <c r="N360" s="25">
        <f>IF(F360="","",SUBSTITUTE(SUBSTITUTE(SUBSTITUTE(SUBSTITUTE(SUBSTITUTE(SUBSTITUTE(SUBSTITUTE(SUBSTITUTE(SUBSTITUTE(SUBSTITUTE(SUBSTITUTE(SUBSTITUTE(LOWER(TRIM(F360)),"á","a"),"é","e"),"í","i"),"ó","o"),"ú","u"),"ü","u"),"ñ","n"),"à","a"),"è","e"),"ì","i"),"ò","o"),"ù","u"))</f>
        <v/>
      </c>
      <c r="O360" s="25">
        <f>IF(M360="confiable",2,IF(M360="dudosa",1,IF(M360="no confiable",0,"")))</f>
        <v/>
      </c>
      <c r="P360" s="25">
        <f>IF(N360="confiable",2,IF(N360="dudosa",1,IF(N360="no confiable",0,"")))</f>
        <v/>
      </c>
      <c r="Q360" s="25">
        <f>IF(AND(ISNUMBER(O360),ISNUMBER(P360)),1,"")</f>
        <v/>
      </c>
      <c r="R360" s="25">
        <f>IF(Q360=1,IF(O360=P360,"Sí","No"),"")</f>
        <v/>
      </c>
      <c r="S360" s="25">
        <f>IF(Q360=1,IF(P360&lt;O360,"Más estricto",IF(P360&gt;O360,"Más permisivo","Igual")),"")</f>
        <v/>
      </c>
      <c r="T360" s="25">
        <f>IF(Q360=1,IF(ABS(O360-P360)=2,1,0),"")</f>
        <v/>
      </c>
      <c r="U360" s="25">
        <f>IF(H360="","","|"&amp;SUBSTITUTE(SUBSTITUTE(TRIM(H360)," |","|"),"| ","|")&amp;"|")</f>
        <v/>
      </c>
      <c r="V360" s="25">
        <f>IF(AND(Q360=1,B360&lt;&gt;""),IF(IFERROR(COUNTIFS(B$3:B360,"="&amp;SUBSTITUTE(SUBSTITUTE(SUBSTITUTE(B360,"~","~~"),"*","~*"),"?","~?"),Q$3:Q360,1),0)=1,MAX(V$2:V359)+1,""),"")</f>
        <v/>
      </c>
      <c r="W360" s="25">
        <f>IF(V360="","",COUNTIFS($B$3:$B$1002,"="&amp;SUBSTITUTE(SUBSTITUTE(SUBSTITUTE(B360,"~","~~"),"*","~*"),"?","~?"),$Q$3:$Q$1002,1)*10000-V360)</f>
        <v/>
      </c>
      <c r="X360" s="25">
        <f>IF(Q360=1,IF(SUBSTITUTE(SUBSTITUTE(SUBSTITUTE(SUBSTITUTE(SUBSTITUTE(SUBSTITUTE(SUBSTITUTE(SUBSTITUTE(SUBSTITUTE(SUBSTITUTE(SUBSTITUTE(SUBSTITUTE(LOWER(TRIM(A360)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360)),"á","a"),"é","e"),"í","i"),"ó","o"),"ú","u"),"ü","u"),"ñ","n"),"à","a"),"è","e"),"ì","i"),"ò","o"),"ù","u")),"")</f>
        <v/>
      </c>
      <c r="Y360" s="25">
        <f>IF(X360="","",IF(IFERROR(COUNTIF(X$3:X360,"="&amp;SUBSTITUTE(SUBSTITUTE(SUBSTITUTE(X360,"~","~~"),"*","~*"),"?","~?")),0)=1,1,""))</f>
        <v/>
      </c>
      <c r="Z360" s="25">
        <f>IF(T360=1,MAX(Z$2:Z359)+1,"")</f>
        <v/>
      </c>
    </row>
    <row r="361">
      <c r="A361">
        <f>IF(A$2=0,"",IFERROR(TRIM(INDEX('Pegar calibracion'!$A$1:$BZ$1001,360,A$2)&amp;""),""))</f>
        <v/>
      </c>
      <c r="B361">
        <f>IF(B$2=0,"",IFERROR(TRIM(INDEX('Pegar calibracion'!$A$1:$BZ$1001,360,B$2)&amp;""),""))</f>
        <v/>
      </c>
      <c r="C361">
        <f>IF(C$2=0,"",IFERROR(TRIM(INDEX('Pegar calibracion'!$A$1:$BZ$1001,360,C$2)&amp;""),""))</f>
        <v/>
      </c>
      <c r="D361">
        <f>IF(D$2=0,"",IFERROR(TRIM(INDEX('Pegar calibracion'!$A$1:$BZ$1001,360,D$2)&amp;""),""))</f>
        <v/>
      </c>
      <c r="E361">
        <f>IF(E$2=0,"",IFERROR(TRIM(INDEX('Pegar calibracion'!$A$1:$BZ$1001,360,E$2)&amp;""),""))</f>
        <v/>
      </c>
      <c r="F361">
        <f>IF(F$2=0,"",IFERROR(TRIM(INDEX('Pegar calibracion'!$A$1:$BZ$1001,360,F$2)&amp;""),""))</f>
        <v/>
      </c>
      <c r="G361">
        <f>IF(G$2=0,"",IFERROR(TRIM(INDEX('Pegar calibracion'!$A$1:$BZ$1001,360,G$2)&amp;""),""))</f>
        <v/>
      </c>
      <c r="H361">
        <f>IF(H$2=0,"",IFERROR(TRIM(INDEX('Pegar calibracion'!$A$1:$BZ$1001,360,H$2)&amp;""),""))</f>
        <v/>
      </c>
      <c r="I361">
        <f>IF(I$2=0,"",IFERROR(TRIM(INDEX('Pegar calibracion'!$A$1:$BZ$1001,360,I$2)&amp;""),""))</f>
        <v/>
      </c>
      <c r="J361">
        <f>IF(J$2=0,"",IFERROR(TRIM(INDEX('Pegar calibracion'!$A$1:$BZ$1001,360,J$2)&amp;""),""))</f>
        <v/>
      </c>
      <c r="K361">
        <f>IF(K$2=0,"",IFERROR(TRIM(INDEX('Pegar calibracion'!$A$1:$BZ$1001,360,K$2)&amp;""),""))</f>
        <v/>
      </c>
      <c r="L361">
        <f>IF(L$2=0,"",IFERROR(TRIM(INDEX('Pegar calibracion'!$A$1:$BZ$1001,360,L$2)&amp;""),""))</f>
        <v/>
      </c>
      <c r="M361" s="25">
        <f>IF(D361="","",SUBSTITUTE(SUBSTITUTE(SUBSTITUTE(SUBSTITUTE(SUBSTITUTE(SUBSTITUTE(SUBSTITUTE(SUBSTITUTE(SUBSTITUTE(SUBSTITUTE(SUBSTITUTE(SUBSTITUTE(LOWER(TRIM(D361)),"á","a"),"é","e"),"í","i"),"ó","o"),"ú","u"),"ü","u"),"ñ","n"),"à","a"),"è","e"),"ì","i"),"ò","o"),"ù","u"))</f>
        <v/>
      </c>
      <c r="N361" s="25">
        <f>IF(F361="","",SUBSTITUTE(SUBSTITUTE(SUBSTITUTE(SUBSTITUTE(SUBSTITUTE(SUBSTITUTE(SUBSTITUTE(SUBSTITUTE(SUBSTITUTE(SUBSTITUTE(SUBSTITUTE(SUBSTITUTE(LOWER(TRIM(F361)),"á","a"),"é","e"),"í","i"),"ó","o"),"ú","u"),"ü","u"),"ñ","n"),"à","a"),"è","e"),"ì","i"),"ò","o"),"ù","u"))</f>
        <v/>
      </c>
      <c r="O361" s="25">
        <f>IF(M361="confiable",2,IF(M361="dudosa",1,IF(M361="no confiable",0,"")))</f>
        <v/>
      </c>
      <c r="P361" s="25">
        <f>IF(N361="confiable",2,IF(N361="dudosa",1,IF(N361="no confiable",0,"")))</f>
        <v/>
      </c>
      <c r="Q361" s="25">
        <f>IF(AND(ISNUMBER(O361),ISNUMBER(P361)),1,"")</f>
        <v/>
      </c>
      <c r="R361" s="25">
        <f>IF(Q361=1,IF(O361=P361,"Sí","No"),"")</f>
        <v/>
      </c>
      <c r="S361" s="25">
        <f>IF(Q361=1,IF(P361&lt;O361,"Más estricto",IF(P361&gt;O361,"Más permisivo","Igual")),"")</f>
        <v/>
      </c>
      <c r="T361" s="25">
        <f>IF(Q361=1,IF(ABS(O361-P361)=2,1,0),"")</f>
        <v/>
      </c>
      <c r="U361" s="25">
        <f>IF(H361="","","|"&amp;SUBSTITUTE(SUBSTITUTE(TRIM(H361)," |","|"),"| ","|")&amp;"|")</f>
        <v/>
      </c>
      <c r="V361" s="25">
        <f>IF(AND(Q361=1,B361&lt;&gt;""),IF(IFERROR(COUNTIFS(B$3:B361,"="&amp;SUBSTITUTE(SUBSTITUTE(SUBSTITUTE(B361,"~","~~"),"*","~*"),"?","~?"),Q$3:Q361,1),0)=1,MAX(V$2:V360)+1,""),"")</f>
        <v/>
      </c>
      <c r="W361" s="25">
        <f>IF(V361="","",COUNTIFS($B$3:$B$1002,"="&amp;SUBSTITUTE(SUBSTITUTE(SUBSTITUTE(B361,"~","~~"),"*","~*"),"?","~?"),$Q$3:$Q$1002,1)*10000-V361)</f>
        <v/>
      </c>
      <c r="X361" s="25">
        <f>IF(Q361=1,IF(SUBSTITUTE(SUBSTITUTE(SUBSTITUTE(SUBSTITUTE(SUBSTITUTE(SUBSTITUTE(SUBSTITUTE(SUBSTITUTE(SUBSTITUTE(SUBSTITUTE(SUBSTITUTE(SUBSTITUTE(LOWER(TRIM(A361)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361)),"á","a"),"é","e"),"í","i"),"ó","o"),"ú","u"),"ü","u"),"ñ","n"),"à","a"),"è","e"),"ì","i"),"ò","o"),"ù","u")),"")</f>
        <v/>
      </c>
      <c r="Y361" s="25">
        <f>IF(X361="","",IF(IFERROR(COUNTIF(X$3:X361,"="&amp;SUBSTITUTE(SUBSTITUTE(SUBSTITUTE(X361,"~","~~"),"*","~*"),"?","~?")),0)=1,1,""))</f>
        <v/>
      </c>
      <c r="Z361" s="25">
        <f>IF(T361=1,MAX(Z$2:Z360)+1,"")</f>
        <v/>
      </c>
    </row>
    <row r="362">
      <c r="A362">
        <f>IF(A$2=0,"",IFERROR(TRIM(INDEX('Pegar calibracion'!$A$1:$BZ$1001,361,A$2)&amp;""),""))</f>
        <v/>
      </c>
      <c r="B362">
        <f>IF(B$2=0,"",IFERROR(TRIM(INDEX('Pegar calibracion'!$A$1:$BZ$1001,361,B$2)&amp;""),""))</f>
        <v/>
      </c>
      <c r="C362">
        <f>IF(C$2=0,"",IFERROR(TRIM(INDEX('Pegar calibracion'!$A$1:$BZ$1001,361,C$2)&amp;""),""))</f>
        <v/>
      </c>
      <c r="D362">
        <f>IF(D$2=0,"",IFERROR(TRIM(INDEX('Pegar calibracion'!$A$1:$BZ$1001,361,D$2)&amp;""),""))</f>
        <v/>
      </c>
      <c r="E362">
        <f>IF(E$2=0,"",IFERROR(TRIM(INDEX('Pegar calibracion'!$A$1:$BZ$1001,361,E$2)&amp;""),""))</f>
        <v/>
      </c>
      <c r="F362">
        <f>IF(F$2=0,"",IFERROR(TRIM(INDEX('Pegar calibracion'!$A$1:$BZ$1001,361,F$2)&amp;""),""))</f>
        <v/>
      </c>
      <c r="G362">
        <f>IF(G$2=0,"",IFERROR(TRIM(INDEX('Pegar calibracion'!$A$1:$BZ$1001,361,G$2)&amp;""),""))</f>
        <v/>
      </c>
      <c r="H362">
        <f>IF(H$2=0,"",IFERROR(TRIM(INDEX('Pegar calibracion'!$A$1:$BZ$1001,361,H$2)&amp;""),""))</f>
        <v/>
      </c>
      <c r="I362">
        <f>IF(I$2=0,"",IFERROR(TRIM(INDEX('Pegar calibracion'!$A$1:$BZ$1001,361,I$2)&amp;""),""))</f>
        <v/>
      </c>
      <c r="J362">
        <f>IF(J$2=0,"",IFERROR(TRIM(INDEX('Pegar calibracion'!$A$1:$BZ$1001,361,J$2)&amp;""),""))</f>
        <v/>
      </c>
      <c r="K362">
        <f>IF(K$2=0,"",IFERROR(TRIM(INDEX('Pegar calibracion'!$A$1:$BZ$1001,361,K$2)&amp;""),""))</f>
        <v/>
      </c>
      <c r="L362">
        <f>IF(L$2=0,"",IFERROR(TRIM(INDEX('Pegar calibracion'!$A$1:$BZ$1001,361,L$2)&amp;""),""))</f>
        <v/>
      </c>
      <c r="M362" s="25">
        <f>IF(D362="","",SUBSTITUTE(SUBSTITUTE(SUBSTITUTE(SUBSTITUTE(SUBSTITUTE(SUBSTITUTE(SUBSTITUTE(SUBSTITUTE(SUBSTITUTE(SUBSTITUTE(SUBSTITUTE(SUBSTITUTE(LOWER(TRIM(D362)),"á","a"),"é","e"),"í","i"),"ó","o"),"ú","u"),"ü","u"),"ñ","n"),"à","a"),"è","e"),"ì","i"),"ò","o"),"ù","u"))</f>
        <v/>
      </c>
      <c r="N362" s="25">
        <f>IF(F362="","",SUBSTITUTE(SUBSTITUTE(SUBSTITUTE(SUBSTITUTE(SUBSTITUTE(SUBSTITUTE(SUBSTITUTE(SUBSTITUTE(SUBSTITUTE(SUBSTITUTE(SUBSTITUTE(SUBSTITUTE(LOWER(TRIM(F362)),"á","a"),"é","e"),"í","i"),"ó","o"),"ú","u"),"ü","u"),"ñ","n"),"à","a"),"è","e"),"ì","i"),"ò","o"),"ù","u"))</f>
        <v/>
      </c>
      <c r="O362" s="25">
        <f>IF(M362="confiable",2,IF(M362="dudosa",1,IF(M362="no confiable",0,"")))</f>
        <v/>
      </c>
      <c r="P362" s="25">
        <f>IF(N362="confiable",2,IF(N362="dudosa",1,IF(N362="no confiable",0,"")))</f>
        <v/>
      </c>
      <c r="Q362" s="25">
        <f>IF(AND(ISNUMBER(O362),ISNUMBER(P362)),1,"")</f>
        <v/>
      </c>
      <c r="R362" s="25">
        <f>IF(Q362=1,IF(O362=P362,"Sí","No"),"")</f>
        <v/>
      </c>
      <c r="S362" s="25">
        <f>IF(Q362=1,IF(P362&lt;O362,"Más estricto",IF(P362&gt;O362,"Más permisivo","Igual")),"")</f>
        <v/>
      </c>
      <c r="T362" s="25">
        <f>IF(Q362=1,IF(ABS(O362-P362)=2,1,0),"")</f>
        <v/>
      </c>
      <c r="U362" s="25">
        <f>IF(H362="","","|"&amp;SUBSTITUTE(SUBSTITUTE(TRIM(H362)," |","|"),"| ","|")&amp;"|")</f>
        <v/>
      </c>
      <c r="V362" s="25">
        <f>IF(AND(Q362=1,B362&lt;&gt;""),IF(IFERROR(COUNTIFS(B$3:B362,"="&amp;SUBSTITUTE(SUBSTITUTE(SUBSTITUTE(B362,"~","~~"),"*","~*"),"?","~?"),Q$3:Q362,1),0)=1,MAX(V$2:V361)+1,""),"")</f>
        <v/>
      </c>
      <c r="W362" s="25">
        <f>IF(V362="","",COUNTIFS($B$3:$B$1002,"="&amp;SUBSTITUTE(SUBSTITUTE(SUBSTITUTE(B362,"~","~~"),"*","~*"),"?","~?"),$Q$3:$Q$1002,1)*10000-V362)</f>
        <v/>
      </c>
      <c r="X362" s="25">
        <f>IF(Q362=1,IF(SUBSTITUTE(SUBSTITUTE(SUBSTITUTE(SUBSTITUTE(SUBSTITUTE(SUBSTITUTE(SUBSTITUTE(SUBSTITUTE(SUBSTITUTE(SUBSTITUTE(SUBSTITUTE(SUBSTITUTE(LOWER(TRIM(A362)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362)),"á","a"),"é","e"),"í","i"),"ó","o"),"ú","u"),"ü","u"),"ñ","n"),"à","a"),"è","e"),"ì","i"),"ò","o"),"ù","u")),"")</f>
        <v/>
      </c>
      <c r="Y362" s="25">
        <f>IF(X362="","",IF(IFERROR(COUNTIF(X$3:X362,"="&amp;SUBSTITUTE(SUBSTITUTE(SUBSTITUTE(X362,"~","~~"),"*","~*"),"?","~?")),0)=1,1,""))</f>
        <v/>
      </c>
      <c r="Z362" s="25">
        <f>IF(T362=1,MAX(Z$2:Z361)+1,"")</f>
        <v/>
      </c>
    </row>
    <row r="363">
      <c r="A363">
        <f>IF(A$2=0,"",IFERROR(TRIM(INDEX('Pegar calibracion'!$A$1:$BZ$1001,362,A$2)&amp;""),""))</f>
        <v/>
      </c>
      <c r="B363">
        <f>IF(B$2=0,"",IFERROR(TRIM(INDEX('Pegar calibracion'!$A$1:$BZ$1001,362,B$2)&amp;""),""))</f>
        <v/>
      </c>
      <c r="C363">
        <f>IF(C$2=0,"",IFERROR(TRIM(INDEX('Pegar calibracion'!$A$1:$BZ$1001,362,C$2)&amp;""),""))</f>
        <v/>
      </c>
      <c r="D363">
        <f>IF(D$2=0,"",IFERROR(TRIM(INDEX('Pegar calibracion'!$A$1:$BZ$1001,362,D$2)&amp;""),""))</f>
        <v/>
      </c>
      <c r="E363">
        <f>IF(E$2=0,"",IFERROR(TRIM(INDEX('Pegar calibracion'!$A$1:$BZ$1001,362,E$2)&amp;""),""))</f>
        <v/>
      </c>
      <c r="F363">
        <f>IF(F$2=0,"",IFERROR(TRIM(INDEX('Pegar calibracion'!$A$1:$BZ$1001,362,F$2)&amp;""),""))</f>
        <v/>
      </c>
      <c r="G363">
        <f>IF(G$2=0,"",IFERROR(TRIM(INDEX('Pegar calibracion'!$A$1:$BZ$1001,362,G$2)&amp;""),""))</f>
        <v/>
      </c>
      <c r="H363">
        <f>IF(H$2=0,"",IFERROR(TRIM(INDEX('Pegar calibracion'!$A$1:$BZ$1001,362,H$2)&amp;""),""))</f>
        <v/>
      </c>
      <c r="I363">
        <f>IF(I$2=0,"",IFERROR(TRIM(INDEX('Pegar calibracion'!$A$1:$BZ$1001,362,I$2)&amp;""),""))</f>
        <v/>
      </c>
      <c r="J363">
        <f>IF(J$2=0,"",IFERROR(TRIM(INDEX('Pegar calibracion'!$A$1:$BZ$1001,362,J$2)&amp;""),""))</f>
        <v/>
      </c>
      <c r="K363">
        <f>IF(K$2=0,"",IFERROR(TRIM(INDEX('Pegar calibracion'!$A$1:$BZ$1001,362,K$2)&amp;""),""))</f>
        <v/>
      </c>
      <c r="L363">
        <f>IF(L$2=0,"",IFERROR(TRIM(INDEX('Pegar calibracion'!$A$1:$BZ$1001,362,L$2)&amp;""),""))</f>
        <v/>
      </c>
      <c r="M363" s="25">
        <f>IF(D363="","",SUBSTITUTE(SUBSTITUTE(SUBSTITUTE(SUBSTITUTE(SUBSTITUTE(SUBSTITUTE(SUBSTITUTE(SUBSTITUTE(SUBSTITUTE(SUBSTITUTE(SUBSTITUTE(SUBSTITUTE(LOWER(TRIM(D363)),"á","a"),"é","e"),"í","i"),"ó","o"),"ú","u"),"ü","u"),"ñ","n"),"à","a"),"è","e"),"ì","i"),"ò","o"),"ù","u"))</f>
        <v/>
      </c>
      <c r="N363" s="25">
        <f>IF(F363="","",SUBSTITUTE(SUBSTITUTE(SUBSTITUTE(SUBSTITUTE(SUBSTITUTE(SUBSTITUTE(SUBSTITUTE(SUBSTITUTE(SUBSTITUTE(SUBSTITUTE(SUBSTITUTE(SUBSTITUTE(LOWER(TRIM(F363)),"á","a"),"é","e"),"í","i"),"ó","o"),"ú","u"),"ü","u"),"ñ","n"),"à","a"),"è","e"),"ì","i"),"ò","o"),"ù","u"))</f>
        <v/>
      </c>
      <c r="O363" s="25">
        <f>IF(M363="confiable",2,IF(M363="dudosa",1,IF(M363="no confiable",0,"")))</f>
        <v/>
      </c>
      <c r="P363" s="25">
        <f>IF(N363="confiable",2,IF(N363="dudosa",1,IF(N363="no confiable",0,"")))</f>
        <v/>
      </c>
      <c r="Q363" s="25">
        <f>IF(AND(ISNUMBER(O363),ISNUMBER(P363)),1,"")</f>
        <v/>
      </c>
      <c r="R363" s="25">
        <f>IF(Q363=1,IF(O363=P363,"Sí","No"),"")</f>
        <v/>
      </c>
      <c r="S363" s="25">
        <f>IF(Q363=1,IF(P363&lt;O363,"Más estricto",IF(P363&gt;O363,"Más permisivo","Igual")),"")</f>
        <v/>
      </c>
      <c r="T363" s="25">
        <f>IF(Q363=1,IF(ABS(O363-P363)=2,1,0),"")</f>
        <v/>
      </c>
      <c r="U363" s="25">
        <f>IF(H363="","","|"&amp;SUBSTITUTE(SUBSTITUTE(TRIM(H363)," |","|"),"| ","|")&amp;"|")</f>
        <v/>
      </c>
      <c r="V363" s="25">
        <f>IF(AND(Q363=1,B363&lt;&gt;""),IF(IFERROR(COUNTIFS(B$3:B363,"="&amp;SUBSTITUTE(SUBSTITUTE(SUBSTITUTE(B363,"~","~~"),"*","~*"),"?","~?"),Q$3:Q363,1),0)=1,MAX(V$2:V362)+1,""),"")</f>
        <v/>
      </c>
      <c r="W363" s="25">
        <f>IF(V363="","",COUNTIFS($B$3:$B$1002,"="&amp;SUBSTITUTE(SUBSTITUTE(SUBSTITUTE(B363,"~","~~"),"*","~*"),"?","~?"),$Q$3:$Q$1002,1)*10000-V363)</f>
        <v/>
      </c>
      <c r="X363" s="25">
        <f>IF(Q363=1,IF(SUBSTITUTE(SUBSTITUTE(SUBSTITUTE(SUBSTITUTE(SUBSTITUTE(SUBSTITUTE(SUBSTITUTE(SUBSTITUTE(SUBSTITUTE(SUBSTITUTE(SUBSTITUTE(SUBSTITUTE(LOWER(TRIM(A363)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363)),"á","a"),"é","e"),"í","i"),"ó","o"),"ú","u"),"ü","u"),"ñ","n"),"à","a"),"è","e"),"ì","i"),"ò","o"),"ù","u")),"")</f>
        <v/>
      </c>
      <c r="Y363" s="25">
        <f>IF(X363="","",IF(IFERROR(COUNTIF(X$3:X363,"="&amp;SUBSTITUTE(SUBSTITUTE(SUBSTITUTE(X363,"~","~~"),"*","~*"),"?","~?")),0)=1,1,""))</f>
        <v/>
      </c>
      <c r="Z363" s="25">
        <f>IF(T363=1,MAX(Z$2:Z362)+1,"")</f>
        <v/>
      </c>
    </row>
    <row r="364">
      <c r="A364">
        <f>IF(A$2=0,"",IFERROR(TRIM(INDEX('Pegar calibracion'!$A$1:$BZ$1001,363,A$2)&amp;""),""))</f>
        <v/>
      </c>
      <c r="B364">
        <f>IF(B$2=0,"",IFERROR(TRIM(INDEX('Pegar calibracion'!$A$1:$BZ$1001,363,B$2)&amp;""),""))</f>
        <v/>
      </c>
      <c r="C364">
        <f>IF(C$2=0,"",IFERROR(TRIM(INDEX('Pegar calibracion'!$A$1:$BZ$1001,363,C$2)&amp;""),""))</f>
        <v/>
      </c>
      <c r="D364">
        <f>IF(D$2=0,"",IFERROR(TRIM(INDEX('Pegar calibracion'!$A$1:$BZ$1001,363,D$2)&amp;""),""))</f>
        <v/>
      </c>
      <c r="E364">
        <f>IF(E$2=0,"",IFERROR(TRIM(INDEX('Pegar calibracion'!$A$1:$BZ$1001,363,E$2)&amp;""),""))</f>
        <v/>
      </c>
      <c r="F364">
        <f>IF(F$2=0,"",IFERROR(TRIM(INDEX('Pegar calibracion'!$A$1:$BZ$1001,363,F$2)&amp;""),""))</f>
        <v/>
      </c>
      <c r="G364">
        <f>IF(G$2=0,"",IFERROR(TRIM(INDEX('Pegar calibracion'!$A$1:$BZ$1001,363,G$2)&amp;""),""))</f>
        <v/>
      </c>
      <c r="H364">
        <f>IF(H$2=0,"",IFERROR(TRIM(INDEX('Pegar calibracion'!$A$1:$BZ$1001,363,H$2)&amp;""),""))</f>
        <v/>
      </c>
      <c r="I364">
        <f>IF(I$2=0,"",IFERROR(TRIM(INDEX('Pegar calibracion'!$A$1:$BZ$1001,363,I$2)&amp;""),""))</f>
        <v/>
      </c>
      <c r="J364">
        <f>IF(J$2=0,"",IFERROR(TRIM(INDEX('Pegar calibracion'!$A$1:$BZ$1001,363,J$2)&amp;""),""))</f>
        <v/>
      </c>
      <c r="K364">
        <f>IF(K$2=0,"",IFERROR(TRIM(INDEX('Pegar calibracion'!$A$1:$BZ$1001,363,K$2)&amp;""),""))</f>
        <v/>
      </c>
      <c r="L364">
        <f>IF(L$2=0,"",IFERROR(TRIM(INDEX('Pegar calibracion'!$A$1:$BZ$1001,363,L$2)&amp;""),""))</f>
        <v/>
      </c>
      <c r="M364" s="25">
        <f>IF(D364="","",SUBSTITUTE(SUBSTITUTE(SUBSTITUTE(SUBSTITUTE(SUBSTITUTE(SUBSTITUTE(SUBSTITUTE(SUBSTITUTE(SUBSTITUTE(SUBSTITUTE(SUBSTITUTE(SUBSTITUTE(LOWER(TRIM(D364)),"á","a"),"é","e"),"í","i"),"ó","o"),"ú","u"),"ü","u"),"ñ","n"),"à","a"),"è","e"),"ì","i"),"ò","o"),"ù","u"))</f>
        <v/>
      </c>
      <c r="N364" s="25">
        <f>IF(F364="","",SUBSTITUTE(SUBSTITUTE(SUBSTITUTE(SUBSTITUTE(SUBSTITUTE(SUBSTITUTE(SUBSTITUTE(SUBSTITUTE(SUBSTITUTE(SUBSTITUTE(SUBSTITUTE(SUBSTITUTE(LOWER(TRIM(F364)),"á","a"),"é","e"),"í","i"),"ó","o"),"ú","u"),"ü","u"),"ñ","n"),"à","a"),"è","e"),"ì","i"),"ò","o"),"ù","u"))</f>
        <v/>
      </c>
      <c r="O364" s="25">
        <f>IF(M364="confiable",2,IF(M364="dudosa",1,IF(M364="no confiable",0,"")))</f>
        <v/>
      </c>
      <c r="P364" s="25">
        <f>IF(N364="confiable",2,IF(N364="dudosa",1,IF(N364="no confiable",0,"")))</f>
        <v/>
      </c>
      <c r="Q364" s="25">
        <f>IF(AND(ISNUMBER(O364),ISNUMBER(P364)),1,"")</f>
        <v/>
      </c>
      <c r="R364" s="25">
        <f>IF(Q364=1,IF(O364=P364,"Sí","No"),"")</f>
        <v/>
      </c>
      <c r="S364" s="25">
        <f>IF(Q364=1,IF(P364&lt;O364,"Más estricto",IF(P364&gt;O364,"Más permisivo","Igual")),"")</f>
        <v/>
      </c>
      <c r="T364" s="25">
        <f>IF(Q364=1,IF(ABS(O364-P364)=2,1,0),"")</f>
        <v/>
      </c>
      <c r="U364" s="25">
        <f>IF(H364="","","|"&amp;SUBSTITUTE(SUBSTITUTE(TRIM(H364)," |","|"),"| ","|")&amp;"|")</f>
        <v/>
      </c>
      <c r="V364" s="25">
        <f>IF(AND(Q364=1,B364&lt;&gt;""),IF(IFERROR(COUNTIFS(B$3:B364,"="&amp;SUBSTITUTE(SUBSTITUTE(SUBSTITUTE(B364,"~","~~"),"*","~*"),"?","~?"),Q$3:Q364,1),0)=1,MAX(V$2:V363)+1,""),"")</f>
        <v/>
      </c>
      <c r="W364" s="25">
        <f>IF(V364="","",COUNTIFS($B$3:$B$1002,"="&amp;SUBSTITUTE(SUBSTITUTE(SUBSTITUTE(B364,"~","~~"),"*","~*"),"?","~?"),$Q$3:$Q$1002,1)*10000-V364)</f>
        <v/>
      </c>
      <c r="X364" s="25">
        <f>IF(Q364=1,IF(SUBSTITUTE(SUBSTITUTE(SUBSTITUTE(SUBSTITUTE(SUBSTITUTE(SUBSTITUTE(SUBSTITUTE(SUBSTITUTE(SUBSTITUTE(SUBSTITUTE(SUBSTITUTE(SUBSTITUTE(LOWER(TRIM(A364)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364)),"á","a"),"é","e"),"í","i"),"ó","o"),"ú","u"),"ü","u"),"ñ","n"),"à","a"),"è","e"),"ì","i"),"ò","o"),"ù","u")),"")</f>
        <v/>
      </c>
      <c r="Y364" s="25">
        <f>IF(X364="","",IF(IFERROR(COUNTIF(X$3:X364,"="&amp;SUBSTITUTE(SUBSTITUTE(SUBSTITUTE(X364,"~","~~"),"*","~*"),"?","~?")),0)=1,1,""))</f>
        <v/>
      </c>
      <c r="Z364" s="25">
        <f>IF(T364=1,MAX(Z$2:Z363)+1,"")</f>
        <v/>
      </c>
    </row>
    <row r="365">
      <c r="A365">
        <f>IF(A$2=0,"",IFERROR(TRIM(INDEX('Pegar calibracion'!$A$1:$BZ$1001,364,A$2)&amp;""),""))</f>
        <v/>
      </c>
      <c r="B365">
        <f>IF(B$2=0,"",IFERROR(TRIM(INDEX('Pegar calibracion'!$A$1:$BZ$1001,364,B$2)&amp;""),""))</f>
        <v/>
      </c>
      <c r="C365">
        <f>IF(C$2=0,"",IFERROR(TRIM(INDEX('Pegar calibracion'!$A$1:$BZ$1001,364,C$2)&amp;""),""))</f>
        <v/>
      </c>
      <c r="D365">
        <f>IF(D$2=0,"",IFERROR(TRIM(INDEX('Pegar calibracion'!$A$1:$BZ$1001,364,D$2)&amp;""),""))</f>
        <v/>
      </c>
      <c r="E365">
        <f>IF(E$2=0,"",IFERROR(TRIM(INDEX('Pegar calibracion'!$A$1:$BZ$1001,364,E$2)&amp;""),""))</f>
        <v/>
      </c>
      <c r="F365">
        <f>IF(F$2=0,"",IFERROR(TRIM(INDEX('Pegar calibracion'!$A$1:$BZ$1001,364,F$2)&amp;""),""))</f>
        <v/>
      </c>
      <c r="G365">
        <f>IF(G$2=0,"",IFERROR(TRIM(INDEX('Pegar calibracion'!$A$1:$BZ$1001,364,G$2)&amp;""),""))</f>
        <v/>
      </c>
      <c r="H365">
        <f>IF(H$2=0,"",IFERROR(TRIM(INDEX('Pegar calibracion'!$A$1:$BZ$1001,364,H$2)&amp;""),""))</f>
        <v/>
      </c>
      <c r="I365">
        <f>IF(I$2=0,"",IFERROR(TRIM(INDEX('Pegar calibracion'!$A$1:$BZ$1001,364,I$2)&amp;""),""))</f>
        <v/>
      </c>
      <c r="J365">
        <f>IF(J$2=0,"",IFERROR(TRIM(INDEX('Pegar calibracion'!$A$1:$BZ$1001,364,J$2)&amp;""),""))</f>
        <v/>
      </c>
      <c r="K365">
        <f>IF(K$2=0,"",IFERROR(TRIM(INDEX('Pegar calibracion'!$A$1:$BZ$1001,364,K$2)&amp;""),""))</f>
        <v/>
      </c>
      <c r="L365">
        <f>IF(L$2=0,"",IFERROR(TRIM(INDEX('Pegar calibracion'!$A$1:$BZ$1001,364,L$2)&amp;""),""))</f>
        <v/>
      </c>
      <c r="M365" s="25">
        <f>IF(D365="","",SUBSTITUTE(SUBSTITUTE(SUBSTITUTE(SUBSTITUTE(SUBSTITUTE(SUBSTITUTE(SUBSTITUTE(SUBSTITUTE(SUBSTITUTE(SUBSTITUTE(SUBSTITUTE(SUBSTITUTE(LOWER(TRIM(D365)),"á","a"),"é","e"),"í","i"),"ó","o"),"ú","u"),"ü","u"),"ñ","n"),"à","a"),"è","e"),"ì","i"),"ò","o"),"ù","u"))</f>
        <v/>
      </c>
      <c r="N365" s="25">
        <f>IF(F365="","",SUBSTITUTE(SUBSTITUTE(SUBSTITUTE(SUBSTITUTE(SUBSTITUTE(SUBSTITUTE(SUBSTITUTE(SUBSTITUTE(SUBSTITUTE(SUBSTITUTE(SUBSTITUTE(SUBSTITUTE(LOWER(TRIM(F365)),"á","a"),"é","e"),"í","i"),"ó","o"),"ú","u"),"ü","u"),"ñ","n"),"à","a"),"è","e"),"ì","i"),"ò","o"),"ù","u"))</f>
        <v/>
      </c>
      <c r="O365" s="25">
        <f>IF(M365="confiable",2,IF(M365="dudosa",1,IF(M365="no confiable",0,"")))</f>
        <v/>
      </c>
      <c r="P365" s="25">
        <f>IF(N365="confiable",2,IF(N365="dudosa",1,IF(N365="no confiable",0,"")))</f>
        <v/>
      </c>
      <c r="Q365" s="25">
        <f>IF(AND(ISNUMBER(O365),ISNUMBER(P365)),1,"")</f>
        <v/>
      </c>
      <c r="R365" s="25">
        <f>IF(Q365=1,IF(O365=P365,"Sí","No"),"")</f>
        <v/>
      </c>
      <c r="S365" s="25">
        <f>IF(Q365=1,IF(P365&lt;O365,"Más estricto",IF(P365&gt;O365,"Más permisivo","Igual")),"")</f>
        <v/>
      </c>
      <c r="T365" s="25">
        <f>IF(Q365=1,IF(ABS(O365-P365)=2,1,0),"")</f>
        <v/>
      </c>
      <c r="U365" s="25">
        <f>IF(H365="","","|"&amp;SUBSTITUTE(SUBSTITUTE(TRIM(H365)," |","|"),"| ","|")&amp;"|")</f>
        <v/>
      </c>
      <c r="V365" s="25">
        <f>IF(AND(Q365=1,B365&lt;&gt;""),IF(IFERROR(COUNTIFS(B$3:B365,"="&amp;SUBSTITUTE(SUBSTITUTE(SUBSTITUTE(B365,"~","~~"),"*","~*"),"?","~?"),Q$3:Q365,1),0)=1,MAX(V$2:V364)+1,""),"")</f>
        <v/>
      </c>
      <c r="W365" s="25">
        <f>IF(V365="","",COUNTIFS($B$3:$B$1002,"="&amp;SUBSTITUTE(SUBSTITUTE(SUBSTITUTE(B365,"~","~~"),"*","~*"),"?","~?"),$Q$3:$Q$1002,1)*10000-V365)</f>
        <v/>
      </c>
      <c r="X365" s="25">
        <f>IF(Q365=1,IF(SUBSTITUTE(SUBSTITUTE(SUBSTITUTE(SUBSTITUTE(SUBSTITUTE(SUBSTITUTE(SUBSTITUTE(SUBSTITUTE(SUBSTITUTE(SUBSTITUTE(SUBSTITUTE(SUBSTITUTE(LOWER(TRIM(A365)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365)),"á","a"),"é","e"),"í","i"),"ó","o"),"ú","u"),"ü","u"),"ñ","n"),"à","a"),"è","e"),"ì","i"),"ò","o"),"ù","u")),"")</f>
        <v/>
      </c>
      <c r="Y365" s="25">
        <f>IF(X365="","",IF(IFERROR(COUNTIF(X$3:X365,"="&amp;SUBSTITUTE(SUBSTITUTE(SUBSTITUTE(X365,"~","~~"),"*","~*"),"?","~?")),0)=1,1,""))</f>
        <v/>
      </c>
      <c r="Z365" s="25">
        <f>IF(T365=1,MAX(Z$2:Z364)+1,"")</f>
        <v/>
      </c>
    </row>
    <row r="366">
      <c r="A366">
        <f>IF(A$2=0,"",IFERROR(TRIM(INDEX('Pegar calibracion'!$A$1:$BZ$1001,365,A$2)&amp;""),""))</f>
        <v/>
      </c>
      <c r="B366">
        <f>IF(B$2=0,"",IFERROR(TRIM(INDEX('Pegar calibracion'!$A$1:$BZ$1001,365,B$2)&amp;""),""))</f>
        <v/>
      </c>
      <c r="C366">
        <f>IF(C$2=0,"",IFERROR(TRIM(INDEX('Pegar calibracion'!$A$1:$BZ$1001,365,C$2)&amp;""),""))</f>
        <v/>
      </c>
      <c r="D366">
        <f>IF(D$2=0,"",IFERROR(TRIM(INDEX('Pegar calibracion'!$A$1:$BZ$1001,365,D$2)&amp;""),""))</f>
        <v/>
      </c>
      <c r="E366">
        <f>IF(E$2=0,"",IFERROR(TRIM(INDEX('Pegar calibracion'!$A$1:$BZ$1001,365,E$2)&amp;""),""))</f>
        <v/>
      </c>
      <c r="F366">
        <f>IF(F$2=0,"",IFERROR(TRIM(INDEX('Pegar calibracion'!$A$1:$BZ$1001,365,F$2)&amp;""),""))</f>
        <v/>
      </c>
      <c r="G366">
        <f>IF(G$2=0,"",IFERROR(TRIM(INDEX('Pegar calibracion'!$A$1:$BZ$1001,365,G$2)&amp;""),""))</f>
        <v/>
      </c>
      <c r="H366">
        <f>IF(H$2=0,"",IFERROR(TRIM(INDEX('Pegar calibracion'!$A$1:$BZ$1001,365,H$2)&amp;""),""))</f>
        <v/>
      </c>
      <c r="I366">
        <f>IF(I$2=0,"",IFERROR(TRIM(INDEX('Pegar calibracion'!$A$1:$BZ$1001,365,I$2)&amp;""),""))</f>
        <v/>
      </c>
      <c r="J366">
        <f>IF(J$2=0,"",IFERROR(TRIM(INDEX('Pegar calibracion'!$A$1:$BZ$1001,365,J$2)&amp;""),""))</f>
        <v/>
      </c>
      <c r="K366">
        <f>IF(K$2=0,"",IFERROR(TRIM(INDEX('Pegar calibracion'!$A$1:$BZ$1001,365,K$2)&amp;""),""))</f>
        <v/>
      </c>
      <c r="L366">
        <f>IF(L$2=0,"",IFERROR(TRIM(INDEX('Pegar calibracion'!$A$1:$BZ$1001,365,L$2)&amp;""),""))</f>
        <v/>
      </c>
      <c r="M366" s="25">
        <f>IF(D366="","",SUBSTITUTE(SUBSTITUTE(SUBSTITUTE(SUBSTITUTE(SUBSTITUTE(SUBSTITUTE(SUBSTITUTE(SUBSTITUTE(SUBSTITUTE(SUBSTITUTE(SUBSTITUTE(SUBSTITUTE(LOWER(TRIM(D366)),"á","a"),"é","e"),"í","i"),"ó","o"),"ú","u"),"ü","u"),"ñ","n"),"à","a"),"è","e"),"ì","i"),"ò","o"),"ù","u"))</f>
        <v/>
      </c>
      <c r="N366" s="25">
        <f>IF(F366="","",SUBSTITUTE(SUBSTITUTE(SUBSTITUTE(SUBSTITUTE(SUBSTITUTE(SUBSTITUTE(SUBSTITUTE(SUBSTITUTE(SUBSTITUTE(SUBSTITUTE(SUBSTITUTE(SUBSTITUTE(LOWER(TRIM(F366)),"á","a"),"é","e"),"í","i"),"ó","o"),"ú","u"),"ü","u"),"ñ","n"),"à","a"),"è","e"),"ì","i"),"ò","o"),"ù","u"))</f>
        <v/>
      </c>
      <c r="O366" s="25">
        <f>IF(M366="confiable",2,IF(M366="dudosa",1,IF(M366="no confiable",0,"")))</f>
        <v/>
      </c>
      <c r="P366" s="25">
        <f>IF(N366="confiable",2,IF(N366="dudosa",1,IF(N366="no confiable",0,"")))</f>
        <v/>
      </c>
      <c r="Q366" s="25">
        <f>IF(AND(ISNUMBER(O366),ISNUMBER(P366)),1,"")</f>
        <v/>
      </c>
      <c r="R366" s="25">
        <f>IF(Q366=1,IF(O366=P366,"Sí","No"),"")</f>
        <v/>
      </c>
      <c r="S366" s="25">
        <f>IF(Q366=1,IF(P366&lt;O366,"Más estricto",IF(P366&gt;O366,"Más permisivo","Igual")),"")</f>
        <v/>
      </c>
      <c r="T366" s="25">
        <f>IF(Q366=1,IF(ABS(O366-P366)=2,1,0),"")</f>
        <v/>
      </c>
      <c r="U366" s="25">
        <f>IF(H366="","","|"&amp;SUBSTITUTE(SUBSTITUTE(TRIM(H366)," |","|"),"| ","|")&amp;"|")</f>
        <v/>
      </c>
      <c r="V366" s="25">
        <f>IF(AND(Q366=1,B366&lt;&gt;""),IF(IFERROR(COUNTIFS(B$3:B366,"="&amp;SUBSTITUTE(SUBSTITUTE(SUBSTITUTE(B366,"~","~~"),"*","~*"),"?","~?"),Q$3:Q366,1),0)=1,MAX(V$2:V365)+1,""),"")</f>
        <v/>
      </c>
      <c r="W366" s="25">
        <f>IF(V366="","",COUNTIFS($B$3:$B$1002,"="&amp;SUBSTITUTE(SUBSTITUTE(SUBSTITUTE(B366,"~","~~"),"*","~*"),"?","~?"),$Q$3:$Q$1002,1)*10000-V366)</f>
        <v/>
      </c>
      <c r="X366" s="25">
        <f>IF(Q366=1,IF(SUBSTITUTE(SUBSTITUTE(SUBSTITUTE(SUBSTITUTE(SUBSTITUTE(SUBSTITUTE(SUBSTITUTE(SUBSTITUTE(SUBSTITUTE(SUBSTITUTE(SUBSTITUTE(SUBSTITUTE(LOWER(TRIM(A366)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366)),"á","a"),"é","e"),"í","i"),"ó","o"),"ú","u"),"ü","u"),"ñ","n"),"à","a"),"è","e"),"ì","i"),"ò","o"),"ù","u")),"")</f>
        <v/>
      </c>
      <c r="Y366" s="25">
        <f>IF(X366="","",IF(IFERROR(COUNTIF(X$3:X366,"="&amp;SUBSTITUTE(SUBSTITUTE(SUBSTITUTE(X366,"~","~~"),"*","~*"),"?","~?")),0)=1,1,""))</f>
        <v/>
      </c>
      <c r="Z366" s="25">
        <f>IF(T366=1,MAX(Z$2:Z365)+1,"")</f>
        <v/>
      </c>
    </row>
    <row r="367">
      <c r="A367">
        <f>IF(A$2=0,"",IFERROR(TRIM(INDEX('Pegar calibracion'!$A$1:$BZ$1001,366,A$2)&amp;""),""))</f>
        <v/>
      </c>
      <c r="B367">
        <f>IF(B$2=0,"",IFERROR(TRIM(INDEX('Pegar calibracion'!$A$1:$BZ$1001,366,B$2)&amp;""),""))</f>
        <v/>
      </c>
      <c r="C367">
        <f>IF(C$2=0,"",IFERROR(TRIM(INDEX('Pegar calibracion'!$A$1:$BZ$1001,366,C$2)&amp;""),""))</f>
        <v/>
      </c>
      <c r="D367">
        <f>IF(D$2=0,"",IFERROR(TRIM(INDEX('Pegar calibracion'!$A$1:$BZ$1001,366,D$2)&amp;""),""))</f>
        <v/>
      </c>
      <c r="E367">
        <f>IF(E$2=0,"",IFERROR(TRIM(INDEX('Pegar calibracion'!$A$1:$BZ$1001,366,E$2)&amp;""),""))</f>
        <v/>
      </c>
      <c r="F367">
        <f>IF(F$2=0,"",IFERROR(TRIM(INDEX('Pegar calibracion'!$A$1:$BZ$1001,366,F$2)&amp;""),""))</f>
        <v/>
      </c>
      <c r="G367">
        <f>IF(G$2=0,"",IFERROR(TRIM(INDEX('Pegar calibracion'!$A$1:$BZ$1001,366,G$2)&amp;""),""))</f>
        <v/>
      </c>
      <c r="H367">
        <f>IF(H$2=0,"",IFERROR(TRIM(INDEX('Pegar calibracion'!$A$1:$BZ$1001,366,H$2)&amp;""),""))</f>
        <v/>
      </c>
      <c r="I367">
        <f>IF(I$2=0,"",IFERROR(TRIM(INDEX('Pegar calibracion'!$A$1:$BZ$1001,366,I$2)&amp;""),""))</f>
        <v/>
      </c>
      <c r="J367">
        <f>IF(J$2=0,"",IFERROR(TRIM(INDEX('Pegar calibracion'!$A$1:$BZ$1001,366,J$2)&amp;""),""))</f>
        <v/>
      </c>
      <c r="K367">
        <f>IF(K$2=0,"",IFERROR(TRIM(INDEX('Pegar calibracion'!$A$1:$BZ$1001,366,K$2)&amp;""),""))</f>
        <v/>
      </c>
      <c r="L367">
        <f>IF(L$2=0,"",IFERROR(TRIM(INDEX('Pegar calibracion'!$A$1:$BZ$1001,366,L$2)&amp;""),""))</f>
        <v/>
      </c>
      <c r="M367" s="25">
        <f>IF(D367="","",SUBSTITUTE(SUBSTITUTE(SUBSTITUTE(SUBSTITUTE(SUBSTITUTE(SUBSTITUTE(SUBSTITUTE(SUBSTITUTE(SUBSTITUTE(SUBSTITUTE(SUBSTITUTE(SUBSTITUTE(LOWER(TRIM(D367)),"á","a"),"é","e"),"í","i"),"ó","o"),"ú","u"),"ü","u"),"ñ","n"),"à","a"),"è","e"),"ì","i"),"ò","o"),"ù","u"))</f>
        <v/>
      </c>
      <c r="N367" s="25">
        <f>IF(F367="","",SUBSTITUTE(SUBSTITUTE(SUBSTITUTE(SUBSTITUTE(SUBSTITUTE(SUBSTITUTE(SUBSTITUTE(SUBSTITUTE(SUBSTITUTE(SUBSTITUTE(SUBSTITUTE(SUBSTITUTE(LOWER(TRIM(F367)),"á","a"),"é","e"),"í","i"),"ó","o"),"ú","u"),"ü","u"),"ñ","n"),"à","a"),"è","e"),"ì","i"),"ò","o"),"ù","u"))</f>
        <v/>
      </c>
      <c r="O367" s="25">
        <f>IF(M367="confiable",2,IF(M367="dudosa",1,IF(M367="no confiable",0,"")))</f>
        <v/>
      </c>
      <c r="P367" s="25">
        <f>IF(N367="confiable",2,IF(N367="dudosa",1,IF(N367="no confiable",0,"")))</f>
        <v/>
      </c>
      <c r="Q367" s="25">
        <f>IF(AND(ISNUMBER(O367),ISNUMBER(P367)),1,"")</f>
        <v/>
      </c>
      <c r="R367" s="25">
        <f>IF(Q367=1,IF(O367=P367,"Sí","No"),"")</f>
        <v/>
      </c>
      <c r="S367" s="25">
        <f>IF(Q367=1,IF(P367&lt;O367,"Más estricto",IF(P367&gt;O367,"Más permisivo","Igual")),"")</f>
        <v/>
      </c>
      <c r="T367" s="25">
        <f>IF(Q367=1,IF(ABS(O367-P367)=2,1,0),"")</f>
        <v/>
      </c>
      <c r="U367" s="25">
        <f>IF(H367="","","|"&amp;SUBSTITUTE(SUBSTITUTE(TRIM(H367)," |","|"),"| ","|")&amp;"|")</f>
        <v/>
      </c>
      <c r="V367" s="25">
        <f>IF(AND(Q367=1,B367&lt;&gt;""),IF(IFERROR(COUNTIFS(B$3:B367,"="&amp;SUBSTITUTE(SUBSTITUTE(SUBSTITUTE(B367,"~","~~"),"*","~*"),"?","~?"),Q$3:Q367,1),0)=1,MAX(V$2:V366)+1,""),"")</f>
        <v/>
      </c>
      <c r="W367" s="25">
        <f>IF(V367="","",COUNTIFS($B$3:$B$1002,"="&amp;SUBSTITUTE(SUBSTITUTE(SUBSTITUTE(B367,"~","~~"),"*","~*"),"?","~?"),$Q$3:$Q$1002,1)*10000-V367)</f>
        <v/>
      </c>
      <c r="X367" s="25">
        <f>IF(Q367=1,IF(SUBSTITUTE(SUBSTITUTE(SUBSTITUTE(SUBSTITUTE(SUBSTITUTE(SUBSTITUTE(SUBSTITUTE(SUBSTITUTE(SUBSTITUTE(SUBSTITUTE(SUBSTITUTE(SUBSTITUTE(LOWER(TRIM(A367)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367)),"á","a"),"é","e"),"í","i"),"ó","o"),"ú","u"),"ü","u"),"ñ","n"),"à","a"),"è","e"),"ì","i"),"ò","o"),"ù","u")),"")</f>
        <v/>
      </c>
      <c r="Y367" s="25">
        <f>IF(X367="","",IF(IFERROR(COUNTIF(X$3:X367,"="&amp;SUBSTITUTE(SUBSTITUTE(SUBSTITUTE(X367,"~","~~"),"*","~*"),"?","~?")),0)=1,1,""))</f>
        <v/>
      </c>
      <c r="Z367" s="25">
        <f>IF(T367=1,MAX(Z$2:Z366)+1,"")</f>
        <v/>
      </c>
    </row>
    <row r="368">
      <c r="A368">
        <f>IF(A$2=0,"",IFERROR(TRIM(INDEX('Pegar calibracion'!$A$1:$BZ$1001,367,A$2)&amp;""),""))</f>
        <v/>
      </c>
      <c r="B368">
        <f>IF(B$2=0,"",IFERROR(TRIM(INDEX('Pegar calibracion'!$A$1:$BZ$1001,367,B$2)&amp;""),""))</f>
        <v/>
      </c>
      <c r="C368">
        <f>IF(C$2=0,"",IFERROR(TRIM(INDEX('Pegar calibracion'!$A$1:$BZ$1001,367,C$2)&amp;""),""))</f>
        <v/>
      </c>
      <c r="D368">
        <f>IF(D$2=0,"",IFERROR(TRIM(INDEX('Pegar calibracion'!$A$1:$BZ$1001,367,D$2)&amp;""),""))</f>
        <v/>
      </c>
      <c r="E368">
        <f>IF(E$2=0,"",IFERROR(TRIM(INDEX('Pegar calibracion'!$A$1:$BZ$1001,367,E$2)&amp;""),""))</f>
        <v/>
      </c>
      <c r="F368">
        <f>IF(F$2=0,"",IFERROR(TRIM(INDEX('Pegar calibracion'!$A$1:$BZ$1001,367,F$2)&amp;""),""))</f>
        <v/>
      </c>
      <c r="G368">
        <f>IF(G$2=0,"",IFERROR(TRIM(INDEX('Pegar calibracion'!$A$1:$BZ$1001,367,G$2)&amp;""),""))</f>
        <v/>
      </c>
      <c r="H368">
        <f>IF(H$2=0,"",IFERROR(TRIM(INDEX('Pegar calibracion'!$A$1:$BZ$1001,367,H$2)&amp;""),""))</f>
        <v/>
      </c>
      <c r="I368">
        <f>IF(I$2=0,"",IFERROR(TRIM(INDEX('Pegar calibracion'!$A$1:$BZ$1001,367,I$2)&amp;""),""))</f>
        <v/>
      </c>
      <c r="J368">
        <f>IF(J$2=0,"",IFERROR(TRIM(INDEX('Pegar calibracion'!$A$1:$BZ$1001,367,J$2)&amp;""),""))</f>
        <v/>
      </c>
      <c r="K368">
        <f>IF(K$2=0,"",IFERROR(TRIM(INDEX('Pegar calibracion'!$A$1:$BZ$1001,367,K$2)&amp;""),""))</f>
        <v/>
      </c>
      <c r="L368">
        <f>IF(L$2=0,"",IFERROR(TRIM(INDEX('Pegar calibracion'!$A$1:$BZ$1001,367,L$2)&amp;""),""))</f>
        <v/>
      </c>
      <c r="M368" s="25">
        <f>IF(D368="","",SUBSTITUTE(SUBSTITUTE(SUBSTITUTE(SUBSTITUTE(SUBSTITUTE(SUBSTITUTE(SUBSTITUTE(SUBSTITUTE(SUBSTITUTE(SUBSTITUTE(SUBSTITUTE(SUBSTITUTE(LOWER(TRIM(D368)),"á","a"),"é","e"),"í","i"),"ó","o"),"ú","u"),"ü","u"),"ñ","n"),"à","a"),"è","e"),"ì","i"),"ò","o"),"ù","u"))</f>
        <v/>
      </c>
      <c r="N368" s="25">
        <f>IF(F368="","",SUBSTITUTE(SUBSTITUTE(SUBSTITUTE(SUBSTITUTE(SUBSTITUTE(SUBSTITUTE(SUBSTITUTE(SUBSTITUTE(SUBSTITUTE(SUBSTITUTE(SUBSTITUTE(SUBSTITUTE(LOWER(TRIM(F368)),"á","a"),"é","e"),"í","i"),"ó","o"),"ú","u"),"ü","u"),"ñ","n"),"à","a"),"è","e"),"ì","i"),"ò","o"),"ù","u"))</f>
        <v/>
      </c>
      <c r="O368" s="25">
        <f>IF(M368="confiable",2,IF(M368="dudosa",1,IF(M368="no confiable",0,"")))</f>
        <v/>
      </c>
      <c r="P368" s="25">
        <f>IF(N368="confiable",2,IF(N368="dudosa",1,IF(N368="no confiable",0,"")))</f>
        <v/>
      </c>
      <c r="Q368" s="25">
        <f>IF(AND(ISNUMBER(O368),ISNUMBER(P368)),1,"")</f>
        <v/>
      </c>
      <c r="R368" s="25">
        <f>IF(Q368=1,IF(O368=P368,"Sí","No"),"")</f>
        <v/>
      </c>
      <c r="S368" s="25">
        <f>IF(Q368=1,IF(P368&lt;O368,"Más estricto",IF(P368&gt;O368,"Más permisivo","Igual")),"")</f>
        <v/>
      </c>
      <c r="T368" s="25">
        <f>IF(Q368=1,IF(ABS(O368-P368)=2,1,0),"")</f>
        <v/>
      </c>
      <c r="U368" s="25">
        <f>IF(H368="","","|"&amp;SUBSTITUTE(SUBSTITUTE(TRIM(H368)," |","|"),"| ","|")&amp;"|")</f>
        <v/>
      </c>
      <c r="V368" s="25">
        <f>IF(AND(Q368=1,B368&lt;&gt;""),IF(IFERROR(COUNTIFS(B$3:B368,"="&amp;SUBSTITUTE(SUBSTITUTE(SUBSTITUTE(B368,"~","~~"),"*","~*"),"?","~?"),Q$3:Q368,1),0)=1,MAX(V$2:V367)+1,""),"")</f>
        <v/>
      </c>
      <c r="W368" s="25">
        <f>IF(V368="","",COUNTIFS($B$3:$B$1002,"="&amp;SUBSTITUTE(SUBSTITUTE(SUBSTITUTE(B368,"~","~~"),"*","~*"),"?","~?"),$Q$3:$Q$1002,1)*10000-V368)</f>
        <v/>
      </c>
      <c r="X368" s="25">
        <f>IF(Q368=1,IF(SUBSTITUTE(SUBSTITUTE(SUBSTITUTE(SUBSTITUTE(SUBSTITUTE(SUBSTITUTE(SUBSTITUTE(SUBSTITUTE(SUBSTITUTE(SUBSTITUTE(SUBSTITUTE(SUBSTITUTE(LOWER(TRIM(A368)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368)),"á","a"),"é","e"),"í","i"),"ó","o"),"ú","u"),"ü","u"),"ñ","n"),"à","a"),"è","e"),"ì","i"),"ò","o"),"ù","u")),"")</f>
        <v/>
      </c>
      <c r="Y368" s="25">
        <f>IF(X368="","",IF(IFERROR(COUNTIF(X$3:X368,"="&amp;SUBSTITUTE(SUBSTITUTE(SUBSTITUTE(X368,"~","~~"),"*","~*"),"?","~?")),0)=1,1,""))</f>
        <v/>
      </c>
      <c r="Z368" s="25">
        <f>IF(T368=1,MAX(Z$2:Z367)+1,"")</f>
        <v/>
      </c>
    </row>
    <row r="369">
      <c r="A369">
        <f>IF(A$2=0,"",IFERROR(TRIM(INDEX('Pegar calibracion'!$A$1:$BZ$1001,368,A$2)&amp;""),""))</f>
        <v/>
      </c>
      <c r="B369">
        <f>IF(B$2=0,"",IFERROR(TRIM(INDEX('Pegar calibracion'!$A$1:$BZ$1001,368,B$2)&amp;""),""))</f>
        <v/>
      </c>
      <c r="C369">
        <f>IF(C$2=0,"",IFERROR(TRIM(INDEX('Pegar calibracion'!$A$1:$BZ$1001,368,C$2)&amp;""),""))</f>
        <v/>
      </c>
      <c r="D369">
        <f>IF(D$2=0,"",IFERROR(TRIM(INDEX('Pegar calibracion'!$A$1:$BZ$1001,368,D$2)&amp;""),""))</f>
        <v/>
      </c>
      <c r="E369">
        <f>IF(E$2=0,"",IFERROR(TRIM(INDEX('Pegar calibracion'!$A$1:$BZ$1001,368,E$2)&amp;""),""))</f>
        <v/>
      </c>
      <c r="F369">
        <f>IF(F$2=0,"",IFERROR(TRIM(INDEX('Pegar calibracion'!$A$1:$BZ$1001,368,F$2)&amp;""),""))</f>
        <v/>
      </c>
      <c r="G369">
        <f>IF(G$2=0,"",IFERROR(TRIM(INDEX('Pegar calibracion'!$A$1:$BZ$1001,368,G$2)&amp;""),""))</f>
        <v/>
      </c>
      <c r="H369">
        <f>IF(H$2=0,"",IFERROR(TRIM(INDEX('Pegar calibracion'!$A$1:$BZ$1001,368,H$2)&amp;""),""))</f>
        <v/>
      </c>
      <c r="I369">
        <f>IF(I$2=0,"",IFERROR(TRIM(INDEX('Pegar calibracion'!$A$1:$BZ$1001,368,I$2)&amp;""),""))</f>
        <v/>
      </c>
      <c r="J369">
        <f>IF(J$2=0,"",IFERROR(TRIM(INDEX('Pegar calibracion'!$A$1:$BZ$1001,368,J$2)&amp;""),""))</f>
        <v/>
      </c>
      <c r="K369">
        <f>IF(K$2=0,"",IFERROR(TRIM(INDEX('Pegar calibracion'!$A$1:$BZ$1001,368,K$2)&amp;""),""))</f>
        <v/>
      </c>
      <c r="L369">
        <f>IF(L$2=0,"",IFERROR(TRIM(INDEX('Pegar calibracion'!$A$1:$BZ$1001,368,L$2)&amp;""),""))</f>
        <v/>
      </c>
      <c r="M369" s="25">
        <f>IF(D369="","",SUBSTITUTE(SUBSTITUTE(SUBSTITUTE(SUBSTITUTE(SUBSTITUTE(SUBSTITUTE(SUBSTITUTE(SUBSTITUTE(SUBSTITUTE(SUBSTITUTE(SUBSTITUTE(SUBSTITUTE(LOWER(TRIM(D369)),"á","a"),"é","e"),"í","i"),"ó","o"),"ú","u"),"ü","u"),"ñ","n"),"à","a"),"è","e"),"ì","i"),"ò","o"),"ù","u"))</f>
        <v/>
      </c>
      <c r="N369" s="25">
        <f>IF(F369="","",SUBSTITUTE(SUBSTITUTE(SUBSTITUTE(SUBSTITUTE(SUBSTITUTE(SUBSTITUTE(SUBSTITUTE(SUBSTITUTE(SUBSTITUTE(SUBSTITUTE(SUBSTITUTE(SUBSTITUTE(LOWER(TRIM(F369)),"á","a"),"é","e"),"í","i"),"ó","o"),"ú","u"),"ü","u"),"ñ","n"),"à","a"),"è","e"),"ì","i"),"ò","o"),"ù","u"))</f>
        <v/>
      </c>
      <c r="O369" s="25">
        <f>IF(M369="confiable",2,IF(M369="dudosa",1,IF(M369="no confiable",0,"")))</f>
        <v/>
      </c>
      <c r="P369" s="25">
        <f>IF(N369="confiable",2,IF(N369="dudosa",1,IF(N369="no confiable",0,"")))</f>
        <v/>
      </c>
      <c r="Q369" s="25">
        <f>IF(AND(ISNUMBER(O369),ISNUMBER(P369)),1,"")</f>
        <v/>
      </c>
      <c r="R369" s="25">
        <f>IF(Q369=1,IF(O369=P369,"Sí","No"),"")</f>
        <v/>
      </c>
      <c r="S369" s="25">
        <f>IF(Q369=1,IF(P369&lt;O369,"Más estricto",IF(P369&gt;O369,"Más permisivo","Igual")),"")</f>
        <v/>
      </c>
      <c r="T369" s="25">
        <f>IF(Q369=1,IF(ABS(O369-P369)=2,1,0),"")</f>
        <v/>
      </c>
      <c r="U369" s="25">
        <f>IF(H369="","","|"&amp;SUBSTITUTE(SUBSTITUTE(TRIM(H369)," |","|"),"| ","|")&amp;"|")</f>
        <v/>
      </c>
      <c r="V369" s="25">
        <f>IF(AND(Q369=1,B369&lt;&gt;""),IF(IFERROR(COUNTIFS(B$3:B369,"="&amp;SUBSTITUTE(SUBSTITUTE(SUBSTITUTE(B369,"~","~~"),"*","~*"),"?","~?"),Q$3:Q369,1),0)=1,MAX(V$2:V368)+1,""),"")</f>
        <v/>
      </c>
      <c r="W369" s="25">
        <f>IF(V369="","",COUNTIFS($B$3:$B$1002,"="&amp;SUBSTITUTE(SUBSTITUTE(SUBSTITUTE(B369,"~","~~"),"*","~*"),"?","~?"),$Q$3:$Q$1002,1)*10000-V369)</f>
        <v/>
      </c>
      <c r="X369" s="25">
        <f>IF(Q369=1,IF(SUBSTITUTE(SUBSTITUTE(SUBSTITUTE(SUBSTITUTE(SUBSTITUTE(SUBSTITUTE(SUBSTITUTE(SUBSTITUTE(SUBSTITUTE(SUBSTITUTE(SUBSTITUTE(SUBSTITUTE(LOWER(TRIM(A369)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369)),"á","a"),"é","e"),"í","i"),"ó","o"),"ú","u"),"ü","u"),"ñ","n"),"à","a"),"è","e"),"ì","i"),"ò","o"),"ù","u")),"")</f>
        <v/>
      </c>
      <c r="Y369" s="25">
        <f>IF(X369="","",IF(IFERROR(COUNTIF(X$3:X369,"="&amp;SUBSTITUTE(SUBSTITUTE(SUBSTITUTE(X369,"~","~~"),"*","~*"),"?","~?")),0)=1,1,""))</f>
        <v/>
      </c>
      <c r="Z369" s="25">
        <f>IF(T369=1,MAX(Z$2:Z368)+1,"")</f>
        <v/>
      </c>
    </row>
    <row r="370">
      <c r="A370">
        <f>IF(A$2=0,"",IFERROR(TRIM(INDEX('Pegar calibracion'!$A$1:$BZ$1001,369,A$2)&amp;""),""))</f>
        <v/>
      </c>
      <c r="B370">
        <f>IF(B$2=0,"",IFERROR(TRIM(INDEX('Pegar calibracion'!$A$1:$BZ$1001,369,B$2)&amp;""),""))</f>
        <v/>
      </c>
      <c r="C370">
        <f>IF(C$2=0,"",IFERROR(TRIM(INDEX('Pegar calibracion'!$A$1:$BZ$1001,369,C$2)&amp;""),""))</f>
        <v/>
      </c>
      <c r="D370">
        <f>IF(D$2=0,"",IFERROR(TRIM(INDEX('Pegar calibracion'!$A$1:$BZ$1001,369,D$2)&amp;""),""))</f>
        <v/>
      </c>
      <c r="E370">
        <f>IF(E$2=0,"",IFERROR(TRIM(INDEX('Pegar calibracion'!$A$1:$BZ$1001,369,E$2)&amp;""),""))</f>
        <v/>
      </c>
      <c r="F370">
        <f>IF(F$2=0,"",IFERROR(TRIM(INDEX('Pegar calibracion'!$A$1:$BZ$1001,369,F$2)&amp;""),""))</f>
        <v/>
      </c>
      <c r="G370">
        <f>IF(G$2=0,"",IFERROR(TRIM(INDEX('Pegar calibracion'!$A$1:$BZ$1001,369,G$2)&amp;""),""))</f>
        <v/>
      </c>
      <c r="H370">
        <f>IF(H$2=0,"",IFERROR(TRIM(INDEX('Pegar calibracion'!$A$1:$BZ$1001,369,H$2)&amp;""),""))</f>
        <v/>
      </c>
      <c r="I370">
        <f>IF(I$2=0,"",IFERROR(TRIM(INDEX('Pegar calibracion'!$A$1:$BZ$1001,369,I$2)&amp;""),""))</f>
        <v/>
      </c>
      <c r="J370">
        <f>IF(J$2=0,"",IFERROR(TRIM(INDEX('Pegar calibracion'!$A$1:$BZ$1001,369,J$2)&amp;""),""))</f>
        <v/>
      </c>
      <c r="K370">
        <f>IF(K$2=0,"",IFERROR(TRIM(INDEX('Pegar calibracion'!$A$1:$BZ$1001,369,K$2)&amp;""),""))</f>
        <v/>
      </c>
      <c r="L370">
        <f>IF(L$2=0,"",IFERROR(TRIM(INDEX('Pegar calibracion'!$A$1:$BZ$1001,369,L$2)&amp;""),""))</f>
        <v/>
      </c>
      <c r="M370" s="25">
        <f>IF(D370="","",SUBSTITUTE(SUBSTITUTE(SUBSTITUTE(SUBSTITUTE(SUBSTITUTE(SUBSTITUTE(SUBSTITUTE(SUBSTITUTE(SUBSTITUTE(SUBSTITUTE(SUBSTITUTE(SUBSTITUTE(LOWER(TRIM(D370)),"á","a"),"é","e"),"í","i"),"ó","o"),"ú","u"),"ü","u"),"ñ","n"),"à","a"),"è","e"),"ì","i"),"ò","o"),"ù","u"))</f>
        <v/>
      </c>
      <c r="N370" s="25">
        <f>IF(F370="","",SUBSTITUTE(SUBSTITUTE(SUBSTITUTE(SUBSTITUTE(SUBSTITUTE(SUBSTITUTE(SUBSTITUTE(SUBSTITUTE(SUBSTITUTE(SUBSTITUTE(SUBSTITUTE(SUBSTITUTE(LOWER(TRIM(F370)),"á","a"),"é","e"),"í","i"),"ó","o"),"ú","u"),"ü","u"),"ñ","n"),"à","a"),"è","e"),"ì","i"),"ò","o"),"ù","u"))</f>
        <v/>
      </c>
      <c r="O370" s="25">
        <f>IF(M370="confiable",2,IF(M370="dudosa",1,IF(M370="no confiable",0,"")))</f>
        <v/>
      </c>
      <c r="P370" s="25">
        <f>IF(N370="confiable",2,IF(N370="dudosa",1,IF(N370="no confiable",0,"")))</f>
        <v/>
      </c>
      <c r="Q370" s="25">
        <f>IF(AND(ISNUMBER(O370),ISNUMBER(P370)),1,"")</f>
        <v/>
      </c>
      <c r="R370" s="25">
        <f>IF(Q370=1,IF(O370=P370,"Sí","No"),"")</f>
        <v/>
      </c>
      <c r="S370" s="25">
        <f>IF(Q370=1,IF(P370&lt;O370,"Más estricto",IF(P370&gt;O370,"Más permisivo","Igual")),"")</f>
        <v/>
      </c>
      <c r="T370" s="25">
        <f>IF(Q370=1,IF(ABS(O370-P370)=2,1,0),"")</f>
        <v/>
      </c>
      <c r="U370" s="25">
        <f>IF(H370="","","|"&amp;SUBSTITUTE(SUBSTITUTE(TRIM(H370)," |","|"),"| ","|")&amp;"|")</f>
        <v/>
      </c>
      <c r="V370" s="25">
        <f>IF(AND(Q370=1,B370&lt;&gt;""),IF(IFERROR(COUNTIFS(B$3:B370,"="&amp;SUBSTITUTE(SUBSTITUTE(SUBSTITUTE(B370,"~","~~"),"*","~*"),"?","~?"),Q$3:Q370,1),0)=1,MAX(V$2:V369)+1,""),"")</f>
        <v/>
      </c>
      <c r="W370" s="25">
        <f>IF(V370="","",COUNTIFS($B$3:$B$1002,"="&amp;SUBSTITUTE(SUBSTITUTE(SUBSTITUTE(B370,"~","~~"),"*","~*"),"?","~?"),$Q$3:$Q$1002,1)*10000-V370)</f>
        <v/>
      </c>
      <c r="X370" s="25">
        <f>IF(Q370=1,IF(SUBSTITUTE(SUBSTITUTE(SUBSTITUTE(SUBSTITUTE(SUBSTITUTE(SUBSTITUTE(SUBSTITUTE(SUBSTITUTE(SUBSTITUTE(SUBSTITUTE(SUBSTITUTE(SUBSTITUTE(LOWER(TRIM(A370)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370)),"á","a"),"é","e"),"í","i"),"ó","o"),"ú","u"),"ü","u"),"ñ","n"),"à","a"),"è","e"),"ì","i"),"ò","o"),"ù","u")),"")</f>
        <v/>
      </c>
      <c r="Y370" s="25">
        <f>IF(X370="","",IF(IFERROR(COUNTIF(X$3:X370,"="&amp;SUBSTITUTE(SUBSTITUTE(SUBSTITUTE(X370,"~","~~"),"*","~*"),"?","~?")),0)=1,1,""))</f>
        <v/>
      </c>
      <c r="Z370" s="25">
        <f>IF(T370=1,MAX(Z$2:Z369)+1,"")</f>
        <v/>
      </c>
    </row>
    <row r="371">
      <c r="A371">
        <f>IF(A$2=0,"",IFERROR(TRIM(INDEX('Pegar calibracion'!$A$1:$BZ$1001,370,A$2)&amp;""),""))</f>
        <v/>
      </c>
      <c r="B371">
        <f>IF(B$2=0,"",IFERROR(TRIM(INDEX('Pegar calibracion'!$A$1:$BZ$1001,370,B$2)&amp;""),""))</f>
        <v/>
      </c>
      <c r="C371">
        <f>IF(C$2=0,"",IFERROR(TRIM(INDEX('Pegar calibracion'!$A$1:$BZ$1001,370,C$2)&amp;""),""))</f>
        <v/>
      </c>
      <c r="D371">
        <f>IF(D$2=0,"",IFERROR(TRIM(INDEX('Pegar calibracion'!$A$1:$BZ$1001,370,D$2)&amp;""),""))</f>
        <v/>
      </c>
      <c r="E371">
        <f>IF(E$2=0,"",IFERROR(TRIM(INDEX('Pegar calibracion'!$A$1:$BZ$1001,370,E$2)&amp;""),""))</f>
        <v/>
      </c>
      <c r="F371">
        <f>IF(F$2=0,"",IFERROR(TRIM(INDEX('Pegar calibracion'!$A$1:$BZ$1001,370,F$2)&amp;""),""))</f>
        <v/>
      </c>
      <c r="G371">
        <f>IF(G$2=0,"",IFERROR(TRIM(INDEX('Pegar calibracion'!$A$1:$BZ$1001,370,G$2)&amp;""),""))</f>
        <v/>
      </c>
      <c r="H371">
        <f>IF(H$2=0,"",IFERROR(TRIM(INDEX('Pegar calibracion'!$A$1:$BZ$1001,370,H$2)&amp;""),""))</f>
        <v/>
      </c>
      <c r="I371">
        <f>IF(I$2=0,"",IFERROR(TRIM(INDEX('Pegar calibracion'!$A$1:$BZ$1001,370,I$2)&amp;""),""))</f>
        <v/>
      </c>
      <c r="J371">
        <f>IF(J$2=0,"",IFERROR(TRIM(INDEX('Pegar calibracion'!$A$1:$BZ$1001,370,J$2)&amp;""),""))</f>
        <v/>
      </c>
      <c r="K371">
        <f>IF(K$2=0,"",IFERROR(TRIM(INDEX('Pegar calibracion'!$A$1:$BZ$1001,370,K$2)&amp;""),""))</f>
        <v/>
      </c>
      <c r="L371">
        <f>IF(L$2=0,"",IFERROR(TRIM(INDEX('Pegar calibracion'!$A$1:$BZ$1001,370,L$2)&amp;""),""))</f>
        <v/>
      </c>
      <c r="M371" s="25">
        <f>IF(D371="","",SUBSTITUTE(SUBSTITUTE(SUBSTITUTE(SUBSTITUTE(SUBSTITUTE(SUBSTITUTE(SUBSTITUTE(SUBSTITUTE(SUBSTITUTE(SUBSTITUTE(SUBSTITUTE(SUBSTITUTE(LOWER(TRIM(D371)),"á","a"),"é","e"),"í","i"),"ó","o"),"ú","u"),"ü","u"),"ñ","n"),"à","a"),"è","e"),"ì","i"),"ò","o"),"ù","u"))</f>
        <v/>
      </c>
      <c r="N371" s="25">
        <f>IF(F371="","",SUBSTITUTE(SUBSTITUTE(SUBSTITUTE(SUBSTITUTE(SUBSTITUTE(SUBSTITUTE(SUBSTITUTE(SUBSTITUTE(SUBSTITUTE(SUBSTITUTE(SUBSTITUTE(SUBSTITUTE(LOWER(TRIM(F371)),"á","a"),"é","e"),"í","i"),"ó","o"),"ú","u"),"ü","u"),"ñ","n"),"à","a"),"è","e"),"ì","i"),"ò","o"),"ù","u"))</f>
        <v/>
      </c>
      <c r="O371" s="25">
        <f>IF(M371="confiable",2,IF(M371="dudosa",1,IF(M371="no confiable",0,"")))</f>
        <v/>
      </c>
      <c r="P371" s="25">
        <f>IF(N371="confiable",2,IF(N371="dudosa",1,IF(N371="no confiable",0,"")))</f>
        <v/>
      </c>
      <c r="Q371" s="25">
        <f>IF(AND(ISNUMBER(O371),ISNUMBER(P371)),1,"")</f>
        <v/>
      </c>
      <c r="R371" s="25">
        <f>IF(Q371=1,IF(O371=P371,"Sí","No"),"")</f>
        <v/>
      </c>
      <c r="S371" s="25">
        <f>IF(Q371=1,IF(P371&lt;O371,"Más estricto",IF(P371&gt;O371,"Más permisivo","Igual")),"")</f>
        <v/>
      </c>
      <c r="T371" s="25">
        <f>IF(Q371=1,IF(ABS(O371-P371)=2,1,0),"")</f>
        <v/>
      </c>
      <c r="U371" s="25">
        <f>IF(H371="","","|"&amp;SUBSTITUTE(SUBSTITUTE(TRIM(H371)," |","|"),"| ","|")&amp;"|")</f>
        <v/>
      </c>
      <c r="V371" s="25">
        <f>IF(AND(Q371=1,B371&lt;&gt;""),IF(IFERROR(COUNTIFS(B$3:B371,"="&amp;SUBSTITUTE(SUBSTITUTE(SUBSTITUTE(B371,"~","~~"),"*","~*"),"?","~?"),Q$3:Q371,1),0)=1,MAX(V$2:V370)+1,""),"")</f>
        <v/>
      </c>
      <c r="W371" s="25">
        <f>IF(V371="","",COUNTIFS($B$3:$B$1002,"="&amp;SUBSTITUTE(SUBSTITUTE(SUBSTITUTE(B371,"~","~~"),"*","~*"),"?","~?"),$Q$3:$Q$1002,1)*10000-V371)</f>
        <v/>
      </c>
      <c r="X371" s="25">
        <f>IF(Q371=1,IF(SUBSTITUTE(SUBSTITUTE(SUBSTITUTE(SUBSTITUTE(SUBSTITUTE(SUBSTITUTE(SUBSTITUTE(SUBSTITUTE(SUBSTITUTE(SUBSTITUTE(SUBSTITUTE(SUBSTITUTE(LOWER(TRIM(A371)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371)),"á","a"),"é","e"),"í","i"),"ó","o"),"ú","u"),"ü","u"),"ñ","n"),"à","a"),"è","e"),"ì","i"),"ò","o"),"ù","u")),"")</f>
        <v/>
      </c>
      <c r="Y371" s="25">
        <f>IF(X371="","",IF(IFERROR(COUNTIF(X$3:X371,"="&amp;SUBSTITUTE(SUBSTITUTE(SUBSTITUTE(X371,"~","~~"),"*","~*"),"?","~?")),0)=1,1,""))</f>
        <v/>
      </c>
      <c r="Z371" s="25">
        <f>IF(T371=1,MAX(Z$2:Z370)+1,"")</f>
        <v/>
      </c>
    </row>
    <row r="372">
      <c r="A372">
        <f>IF(A$2=0,"",IFERROR(TRIM(INDEX('Pegar calibracion'!$A$1:$BZ$1001,371,A$2)&amp;""),""))</f>
        <v/>
      </c>
      <c r="B372">
        <f>IF(B$2=0,"",IFERROR(TRIM(INDEX('Pegar calibracion'!$A$1:$BZ$1001,371,B$2)&amp;""),""))</f>
        <v/>
      </c>
      <c r="C372">
        <f>IF(C$2=0,"",IFERROR(TRIM(INDEX('Pegar calibracion'!$A$1:$BZ$1001,371,C$2)&amp;""),""))</f>
        <v/>
      </c>
      <c r="D372">
        <f>IF(D$2=0,"",IFERROR(TRIM(INDEX('Pegar calibracion'!$A$1:$BZ$1001,371,D$2)&amp;""),""))</f>
        <v/>
      </c>
      <c r="E372">
        <f>IF(E$2=0,"",IFERROR(TRIM(INDEX('Pegar calibracion'!$A$1:$BZ$1001,371,E$2)&amp;""),""))</f>
        <v/>
      </c>
      <c r="F372">
        <f>IF(F$2=0,"",IFERROR(TRIM(INDEX('Pegar calibracion'!$A$1:$BZ$1001,371,F$2)&amp;""),""))</f>
        <v/>
      </c>
      <c r="G372">
        <f>IF(G$2=0,"",IFERROR(TRIM(INDEX('Pegar calibracion'!$A$1:$BZ$1001,371,G$2)&amp;""),""))</f>
        <v/>
      </c>
      <c r="H372">
        <f>IF(H$2=0,"",IFERROR(TRIM(INDEX('Pegar calibracion'!$A$1:$BZ$1001,371,H$2)&amp;""),""))</f>
        <v/>
      </c>
      <c r="I372">
        <f>IF(I$2=0,"",IFERROR(TRIM(INDEX('Pegar calibracion'!$A$1:$BZ$1001,371,I$2)&amp;""),""))</f>
        <v/>
      </c>
      <c r="J372">
        <f>IF(J$2=0,"",IFERROR(TRIM(INDEX('Pegar calibracion'!$A$1:$BZ$1001,371,J$2)&amp;""),""))</f>
        <v/>
      </c>
      <c r="K372">
        <f>IF(K$2=0,"",IFERROR(TRIM(INDEX('Pegar calibracion'!$A$1:$BZ$1001,371,K$2)&amp;""),""))</f>
        <v/>
      </c>
      <c r="L372">
        <f>IF(L$2=0,"",IFERROR(TRIM(INDEX('Pegar calibracion'!$A$1:$BZ$1001,371,L$2)&amp;""),""))</f>
        <v/>
      </c>
      <c r="M372" s="25">
        <f>IF(D372="","",SUBSTITUTE(SUBSTITUTE(SUBSTITUTE(SUBSTITUTE(SUBSTITUTE(SUBSTITUTE(SUBSTITUTE(SUBSTITUTE(SUBSTITUTE(SUBSTITUTE(SUBSTITUTE(SUBSTITUTE(LOWER(TRIM(D372)),"á","a"),"é","e"),"í","i"),"ó","o"),"ú","u"),"ü","u"),"ñ","n"),"à","a"),"è","e"),"ì","i"),"ò","o"),"ù","u"))</f>
        <v/>
      </c>
      <c r="N372" s="25">
        <f>IF(F372="","",SUBSTITUTE(SUBSTITUTE(SUBSTITUTE(SUBSTITUTE(SUBSTITUTE(SUBSTITUTE(SUBSTITUTE(SUBSTITUTE(SUBSTITUTE(SUBSTITUTE(SUBSTITUTE(SUBSTITUTE(LOWER(TRIM(F372)),"á","a"),"é","e"),"í","i"),"ó","o"),"ú","u"),"ü","u"),"ñ","n"),"à","a"),"è","e"),"ì","i"),"ò","o"),"ù","u"))</f>
        <v/>
      </c>
      <c r="O372" s="25">
        <f>IF(M372="confiable",2,IF(M372="dudosa",1,IF(M372="no confiable",0,"")))</f>
        <v/>
      </c>
      <c r="P372" s="25">
        <f>IF(N372="confiable",2,IF(N372="dudosa",1,IF(N372="no confiable",0,"")))</f>
        <v/>
      </c>
      <c r="Q372" s="25">
        <f>IF(AND(ISNUMBER(O372),ISNUMBER(P372)),1,"")</f>
        <v/>
      </c>
      <c r="R372" s="25">
        <f>IF(Q372=1,IF(O372=P372,"Sí","No"),"")</f>
        <v/>
      </c>
      <c r="S372" s="25">
        <f>IF(Q372=1,IF(P372&lt;O372,"Más estricto",IF(P372&gt;O372,"Más permisivo","Igual")),"")</f>
        <v/>
      </c>
      <c r="T372" s="25">
        <f>IF(Q372=1,IF(ABS(O372-P372)=2,1,0),"")</f>
        <v/>
      </c>
      <c r="U372" s="25">
        <f>IF(H372="","","|"&amp;SUBSTITUTE(SUBSTITUTE(TRIM(H372)," |","|"),"| ","|")&amp;"|")</f>
        <v/>
      </c>
      <c r="V372" s="25">
        <f>IF(AND(Q372=1,B372&lt;&gt;""),IF(IFERROR(COUNTIFS(B$3:B372,"="&amp;SUBSTITUTE(SUBSTITUTE(SUBSTITUTE(B372,"~","~~"),"*","~*"),"?","~?"),Q$3:Q372,1),0)=1,MAX(V$2:V371)+1,""),"")</f>
        <v/>
      </c>
      <c r="W372" s="25">
        <f>IF(V372="","",COUNTIFS($B$3:$B$1002,"="&amp;SUBSTITUTE(SUBSTITUTE(SUBSTITUTE(B372,"~","~~"),"*","~*"),"?","~?"),$Q$3:$Q$1002,1)*10000-V372)</f>
        <v/>
      </c>
      <c r="X372" s="25">
        <f>IF(Q372=1,IF(SUBSTITUTE(SUBSTITUTE(SUBSTITUTE(SUBSTITUTE(SUBSTITUTE(SUBSTITUTE(SUBSTITUTE(SUBSTITUTE(SUBSTITUTE(SUBSTITUTE(SUBSTITUTE(SUBSTITUTE(LOWER(TRIM(A372)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372)),"á","a"),"é","e"),"í","i"),"ó","o"),"ú","u"),"ü","u"),"ñ","n"),"à","a"),"è","e"),"ì","i"),"ò","o"),"ù","u")),"")</f>
        <v/>
      </c>
      <c r="Y372" s="25">
        <f>IF(X372="","",IF(IFERROR(COUNTIF(X$3:X372,"="&amp;SUBSTITUTE(SUBSTITUTE(SUBSTITUTE(X372,"~","~~"),"*","~*"),"?","~?")),0)=1,1,""))</f>
        <v/>
      </c>
      <c r="Z372" s="25">
        <f>IF(T372=1,MAX(Z$2:Z371)+1,"")</f>
        <v/>
      </c>
    </row>
    <row r="373">
      <c r="A373">
        <f>IF(A$2=0,"",IFERROR(TRIM(INDEX('Pegar calibracion'!$A$1:$BZ$1001,372,A$2)&amp;""),""))</f>
        <v/>
      </c>
      <c r="B373">
        <f>IF(B$2=0,"",IFERROR(TRIM(INDEX('Pegar calibracion'!$A$1:$BZ$1001,372,B$2)&amp;""),""))</f>
        <v/>
      </c>
      <c r="C373">
        <f>IF(C$2=0,"",IFERROR(TRIM(INDEX('Pegar calibracion'!$A$1:$BZ$1001,372,C$2)&amp;""),""))</f>
        <v/>
      </c>
      <c r="D373">
        <f>IF(D$2=0,"",IFERROR(TRIM(INDEX('Pegar calibracion'!$A$1:$BZ$1001,372,D$2)&amp;""),""))</f>
        <v/>
      </c>
      <c r="E373">
        <f>IF(E$2=0,"",IFERROR(TRIM(INDEX('Pegar calibracion'!$A$1:$BZ$1001,372,E$2)&amp;""),""))</f>
        <v/>
      </c>
      <c r="F373">
        <f>IF(F$2=0,"",IFERROR(TRIM(INDEX('Pegar calibracion'!$A$1:$BZ$1001,372,F$2)&amp;""),""))</f>
        <v/>
      </c>
      <c r="G373">
        <f>IF(G$2=0,"",IFERROR(TRIM(INDEX('Pegar calibracion'!$A$1:$BZ$1001,372,G$2)&amp;""),""))</f>
        <v/>
      </c>
      <c r="H373">
        <f>IF(H$2=0,"",IFERROR(TRIM(INDEX('Pegar calibracion'!$A$1:$BZ$1001,372,H$2)&amp;""),""))</f>
        <v/>
      </c>
      <c r="I373">
        <f>IF(I$2=0,"",IFERROR(TRIM(INDEX('Pegar calibracion'!$A$1:$BZ$1001,372,I$2)&amp;""),""))</f>
        <v/>
      </c>
      <c r="J373">
        <f>IF(J$2=0,"",IFERROR(TRIM(INDEX('Pegar calibracion'!$A$1:$BZ$1001,372,J$2)&amp;""),""))</f>
        <v/>
      </c>
      <c r="K373">
        <f>IF(K$2=0,"",IFERROR(TRIM(INDEX('Pegar calibracion'!$A$1:$BZ$1001,372,K$2)&amp;""),""))</f>
        <v/>
      </c>
      <c r="L373">
        <f>IF(L$2=0,"",IFERROR(TRIM(INDEX('Pegar calibracion'!$A$1:$BZ$1001,372,L$2)&amp;""),""))</f>
        <v/>
      </c>
      <c r="M373" s="25">
        <f>IF(D373="","",SUBSTITUTE(SUBSTITUTE(SUBSTITUTE(SUBSTITUTE(SUBSTITUTE(SUBSTITUTE(SUBSTITUTE(SUBSTITUTE(SUBSTITUTE(SUBSTITUTE(SUBSTITUTE(SUBSTITUTE(LOWER(TRIM(D373)),"á","a"),"é","e"),"í","i"),"ó","o"),"ú","u"),"ü","u"),"ñ","n"),"à","a"),"è","e"),"ì","i"),"ò","o"),"ù","u"))</f>
        <v/>
      </c>
      <c r="N373" s="25">
        <f>IF(F373="","",SUBSTITUTE(SUBSTITUTE(SUBSTITUTE(SUBSTITUTE(SUBSTITUTE(SUBSTITUTE(SUBSTITUTE(SUBSTITUTE(SUBSTITUTE(SUBSTITUTE(SUBSTITUTE(SUBSTITUTE(LOWER(TRIM(F373)),"á","a"),"é","e"),"í","i"),"ó","o"),"ú","u"),"ü","u"),"ñ","n"),"à","a"),"è","e"),"ì","i"),"ò","o"),"ù","u"))</f>
        <v/>
      </c>
      <c r="O373" s="25">
        <f>IF(M373="confiable",2,IF(M373="dudosa",1,IF(M373="no confiable",0,"")))</f>
        <v/>
      </c>
      <c r="P373" s="25">
        <f>IF(N373="confiable",2,IF(N373="dudosa",1,IF(N373="no confiable",0,"")))</f>
        <v/>
      </c>
      <c r="Q373" s="25">
        <f>IF(AND(ISNUMBER(O373),ISNUMBER(P373)),1,"")</f>
        <v/>
      </c>
      <c r="R373" s="25">
        <f>IF(Q373=1,IF(O373=P373,"Sí","No"),"")</f>
        <v/>
      </c>
      <c r="S373" s="25">
        <f>IF(Q373=1,IF(P373&lt;O373,"Más estricto",IF(P373&gt;O373,"Más permisivo","Igual")),"")</f>
        <v/>
      </c>
      <c r="T373" s="25">
        <f>IF(Q373=1,IF(ABS(O373-P373)=2,1,0),"")</f>
        <v/>
      </c>
      <c r="U373" s="25">
        <f>IF(H373="","","|"&amp;SUBSTITUTE(SUBSTITUTE(TRIM(H373)," |","|"),"| ","|")&amp;"|")</f>
        <v/>
      </c>
      <c r="V373" s="25">
        <f>IF(AND(Q373=1,B373&lt;&gt;""),IF(IFERROR(COUNTIFS(B$3:B373,"="&amp;SUBSTITUTE(SUBSTITUTE(SUBSTITUTE(B373,"~","~~"),"*","~*"),"?","~?"),Q$3:Q373,1),0)=1,MAX(V$2:V372)+1,""),"")</f>
        <v/>
      </c>
      <c r="W373" s="25">
        <f>IF(V373="","",COUNTIFS($B$3:$B$1002,"="&amp;SUBSTITUTE(SUBSTITUTE(SUBSTITUTE(B373,"~","~~"),"*","~*"),"?","~?"),$Q$3:$Q$1002,1)*10000-V373)</f>
        <v/>
      </c>
      <c r="X373" s="25">
        <f>IF(Q373=1,IF(SUBSTITUTE(SUBSTITUTE(SUBSTITUTE(SUBSTITUTE(SUBSTITUTE(SUBSTITUTE(SUBSTITUTE(SUBSTITUTE(SUBSTITUTE(SUBSTITUTE(SUBSTITUTE(SUBSTITUTE(LOWER(TRIM(A373)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373)),"á","a"),"é","e"),"í","i"),"ó","o"),"ú","u"),"ü","u"),"ñ","n"),"à","a"),"è","e"),"ì","i"),"ò","o"),"ù","u")),"")</f>
        <v/>
      </c>
      <c r="Y373" s="25">
        <f>IF(X373="","",IF(IFERROR(COUNTIF(X$3:X373,"="&amp;SUBSTITUTE(SUBSTITUTE(SUBSTITUTE(X373,"~","~~"),"*","~*"),"?","~?")),0)=1,1,""))</f>
        <v/>
      </c>
      <c r="Z373" s="25">
        <f>IF(T373=1,MAX(Z$2:Z372)+1,"")</f>
        <v/>
      </c>
    </row>
    <row r="374">
      <c r="A374">
        <f>IF(A$2=0,"",IFERROR(TRIM(INDEX('Pegar calibracion'!$A$1:$BZ$1001,373,A$2)&amp;""),""))</f>
        <v/>
      </c>
      <c r="B374">
        <f>IF(B$2=0,"",IFERROR(TRIM(INDEX('Pegar calibracion'!$A$1:$BZ$1001,373,B$2)&amp;""),""))</f>
        <v/>
      </c>
      <c r="C374">
        <f>IF(C$2=0,"",IFERROR(TRIM(INDEX('Pegar calibracion'!$A$1:$BZ$1001,373,C$2)&amp;""),""))</f>
        <v/>
      </c>
      <c r="D374">
        <f>IF(D$2=0,"",IFERROR(TRIM(INDEX('Pegar calibracion'!$A$1:$BZ$1001,373,D$2)&amp;""),""))</f>
        <v/>
      </c>
      <c r="E374">
        <f>IF(E$2=0,"",IFERROR(TRIM(INDEX('Pegar calibracion'!$A$1:$BZ$1001,373,E$2)&amp;""),""))</f>
        <v/>
      </c>
      <c r="F374">
        <f>IF(F$2=0,"",IFERROR(TRIM(INDEX('Pegar calibracion'!$A$1:$BZ$1001,373,F$2)&amp;""),""))</f>
        <v/>
      </c>
      <c r="G374">
        <f>IF(G$2=0,"",IFERROR(TRIM(INDEX('Pegar calibracion'!$A$1:$BZ$1001,373,G$2)&amp;""),""))</f>
        <v/>
      </c>
      <c r="H374">
        <f>IF(H$2=0,"",IFERROR(TRIM(INDEX('Pegar calibracion'!$A$1:$BZ$1001,373,H$2)&amp;""),""))</f>
        <v/>
      </c>
      <c r="I374">
        <f>IF(I$2=0,"",IFERROR(TRIM(INDEX('Pegar calibracion'!$A$1:$BZ$1001,373,I$2)&amp;""),""))</f>
        <v/>
      </c>
      <c r="J374">
        <f>IF(J$2=0,"",IFERROR(TRIM(INDEX('Pegar calibracion'!$A$1:$BZ$1001,373,J$2)&amp;""),""))</f>
        <v/>
      </c>
      <c r="K374">
        <f>IF(K$2=0,"",IFERROR(TRIM(INDEX('Pegar calibracion'!$A$1:$BZ$1001,373,K$2)&amp;""),""))</f>
        <v/>
      </c>
      <c r="L374">
        <f>IF(L$2=0,"",IFERROR(TRIM(INDEX('Pegar calibracion'!$A$1:$BZ$1001,373,L$2)&amp;""),""))</f>
        <v/>
      </c>
      <c r="M374" s="25">
        <f>IF(D374="","",SUBSTITUTE(SUBSTITUTE(SUBSTITUTE(SUBSTITUTE(SUBSTITUTE(SUBSTITUTE(SUBSTITUTE(SUBSTITUTE(SUBSTITUTE(SUBSTITUTE(SUBSTITUTE(SUBSTITUTE(LOWER(TRIM(D374)),"á","a"),"é","e"),"í","i"),"ó","o"),"ú","u"),"ü","u"),"ñ","n"),"à","a"),"è","e"),"ì","i"),"ò","o"),"ù","u"))</f>
        <v/>
      </c>
      <c r="N374" s="25">
        <f>IF(F374="","",SUBSTITUTE(SUBSTITUTE(SUBSTITUTE(SUBSTITUTE(SUBSTITUTE(SUBSTITUTE(SUBSTITUTE(SUBSTITUTE(SUBSTITUTE(SUBSTITUTE(SUBSTITUTE(SUBSTITUTE(LOWER(TRIM(F374)),"á","a"),"é","e"),"í","i"),"ó","o"),"ú","u"),"ü","u"),"ñ","n"),"à","a"),"è","e"),"ì","i"),"ò","o"),"ù","u"))</f>
        <v/>
      </c>
      <c r="O374" s="25">
        <f>IF(M374="confiable",2,IF(M374="dudosa",1,IF(M374="no confiable",0,"")))</f>
        <v/>
      </c>
      <c r="P374" s="25">
        <f>IF(N374="confiable",2,IF(N374="dudosa",1,IF(N374="no confiable",0,"")))</f>
        <v/>
      </c>
      <c r="Q374" s="25">
        <f>IF(AND(ISNUMBER(O374),ISNUMBER(P374)),1,"")</f>
        <v/>
      </c>
      <c r="R374" s="25">
        <f>IF(Q374=1,IF(O374=P374,"Sí","No"),"")</f>
        <v/>
      </c>
      <c r="S374" s="25">
        <f>IF(Q374=1,IF(P374&lt;O374,"Más estricto",IF(P374&gt;O374,"Más permisivo","Igual")),"")</f>
        <v/>
      </c>
      <c r="T374" s="25">
        <f>IF(Q374=1,IF(ABS(O374-P374)=2,1,0),"")</f>
        <v/>
      </c>
      <c r="U374" s="25">
        <f>IF(H374="","","|"&amp;SUBSTITUTE(SUBSTITUTE(TRIM(H374)," |","|"),"| ","|")&amp;"|")</f>
        <v/>
      </c>
      <c r="V374" s="25">
        <f>IF(AND(Q374=1,B374&lt;&gt;""),IF(IFERROR(COUNTIFS(B$3:B374,"="&amp;SUBSTITUTE(SUBSTITUTE(SUBSTITUTE(B374,"~","~~"),"*","~*"),"?","~?"),Q$3:Q374,1),0)=1,MAX(V$2:V373)+1,""),"")</f>
        <v/>
      </c>
      <c r="W374" s="25">
        <f>IF(V374="","",COUNTIFS($B$3:$B$1002,"="&amp;SUBSTITUTE(SUBSTITUTE(SUBSTITUTE(B374,"~","~~"),"*","~*"),"?","~?"),$Q$3:$Q$1002,1)*10000-V374)</f>
        <v/>
      </c>
      <c r="X374" s="25">
        <f>IF(Q374=1,IF(SUBSTITUTE(SUBSTITUTE(SUBSTITUTE(SUBSTITUTE(SUBSTITUTE(SUBSTITUTE(SUBSTITUTE(SUBSTITUTE(SUBSTITUTE(SUBSTITUTE(SUBSTITUTE(SUBSTITUTE(LOWER(TRIM(A374)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374)),"á","a"),"é","e"),"í","i"),"ó","o"),"ú","u"),"ü","u"),"ñ","n"),"à","a"),"è","e"),"ì","i"),"ò","o"),"ù","u")),"")</f>
        <v/>
      </c>
      <c r="Y374" s="25">
        <f>IF(X374="","",IF(IFERROR(COUNTIF(X$3:X374,"="&amp;SUBSTITUTE(SUBSTITUTE(SUBSTITUTE(X374,"~","~~"),"*","~*"),"?","~?")),0)=1,1,""))</f>
        <v/>
      </c>
      <c r="Z374" s="25">
        <f>IF(T374=1,MAX(Z$2:Z373)+1,"")</f>
        <v/>
      </c>
    </row>
    <row r="375">
      <c r="A375">
        <f>IF(A$2=0,"",IFERROR(TRIM(INDEX('Pegar calibracion'!$A$1:$BZ$1001,374,A$2)&amp;""),""))</f>
        <v/>
      </c>
      <c r="B375">
        <f>IF(B$2=0,"",IFERROR(TRIM(INDEX('Pegar calibracion'!$A$1:$BZ$1001,374,B$2)&amp;""),""))</f>
        <v/>
      </c>
      <c r="C375">
        <f>IF(C$2=0,"",IFERROR(TRIM(INDEX('Pegar calibracion'!$A$1:$BZ$1001,374,C$2)&amp;""),""))</f>
        <v/>
      </c>
      <c r="D375">
        <f>IF(D$2=0,"",IFERROR(TRIM(INDEX('Pegar calibracion'!$A$1:$BZ$1001,374,D$2)&amp;""),""))</f>
        <v/>
      </c>
      <c r="E375">
        <f>IF(E$2=0,"",IFERROR(TRIM(INDEX('Pegar calibracion'!$A$1:$BZ$1001,374,E$2)&amp;""),""))</f>
        <v/>
      </c>
      <c r="F375">
        <f>IF(F$2=0,"",IFERROR(TRIM(INDEX('Pegar calibracion'!$A$1:$BZ$1001,374,F$2)&amp;""),""))</f>
        <v/>
      </c>
      <c r="G375">
        <f>IF(G$2=0,"",IFERROR(TRIM(INDEX('Pegar calibracion'!$A$1:$BZ$1001,374,G$2)&amp;""),""))</f>
        <v/>
      </c>
      <c r="H375">
        <f>IF(H$2=0,"",IFERROR(TRIM(INDEX('Pegar calibracion'!$A$1:$BZ$1001,374,H$2)&amp;""),""))</f>
        <v/>
      </c>
      <c r="I375">
        <f>IF(I$2=0,"",IFERROR(TRIM(INDEX('Pegar calibracion'!$A$1:$BZ$1001,374,I$2)&amp;""),""))</f>
        <v/>
      </c>
      <c r="J375">
        <f>IF(J$2=0,"",IFERROR(TRIM(INDEX('Pegar calibracion'!$A$1:$BZ$1001,374,J$2)&amp;""),""))</f>
        <v/>
      </c>
      <c r="K375">
        <f>IF(K$2=0,"",IFERROR(TRIM(INDEX('Pegar calibracion'!$A$1:$BZ$1001,374,K$2)&amp;""),""))</f>
        <v/>
      </c>
      <c r="L375">
        <f>IF(L$2=0,"",IFERROR(TRIM(INDEX('Pegar calibracion'!$A$1:$BZ$1001,374,L$2)&amp;""),""))</f>
        <v/>
      </c>
      <c r="M375" s="25">
        <f>IF(D375="","",SUBSTITUTE(SUBSTITUTE(SUBSTITUTE(SUBSTITUTE(SUBSTITUTE(SUBSTITUTE(SUBSTITUTE(SUBSTITUTE(SUBSTITUTE(SUBSTITUTE(SUBSTITUTE(SUBSTITUTE(LOWER(TRIM(D375)),"á","a"),"é","e"),"í","i"),"ó","o"),"ú","u"),"ü","u"),"ñ","n"),"à","a"),"è","e"),"ì","i"),"ò","o"),"ù","u"))</f>
        <v/>
      </c>
      <c r="N375" s="25">
        <f>IF(F375="","",SUBSTITUTE(SUBSTITUTE(SUBSTITUTE(SUBSTITUTE(SUBSTITUTE(SUBSTITUTE(SUBSTITUTE(SUBSTITUTE(SUBSTITUTE(SUBSTITUTE(SUBSTITUTE(SUBSTITUTE(LOWER(TRIM(F375)),"á","a"),"é","e"),"í","i"),"ó","o"),"ú","u"),"ü","u"),"ñ","n"),"à","a"),"è","e"),"ì","i"),"ò","o"),"ù","u"))</f>
        <v/>
      </c>
      <c r="O375" s="25">
        <f>IF(M375="confiable",2,IF(M375="dudosa",1,IF(M375="no confiable",0,"")))</f>
        <v/>
      </c>
      <c r="P375" s="25">
        <f>IF(N375="confiable",2,IF(N375="dudosa",1,IF(N375="no confiable",0,"")))</f>
        <v/>
      </c>
      <c r="Q375" s="25">
        <f>IF(AND(ISNUMBER(O375),ISNUMBER(P375)),1,"")</f>
        <v/>
      </c>
      <c r="R375" s="25">
        <f>IF(Q375=1,IF(O375=P375,"Sí","No"),"")</f>
        <v/>
      </c>
      <c r="S375" s="25">
        <f>IF(Q375=1,IF(P375&lt;O375,"Más estricto",IF(P375&gt;O375,"Más permisivo","Igual")),"")</f>
        <v/>
      </c>
      <c r="T375" s="25">
        <f>IF(Q375=1,IF(ABS(O375-P375)=2,1,0),"")</f>
        <v/>
      </c>
      <c r="U375" s="25">
        <f>IF(H375="","","|"&amp;SUBSTITUTE(SUBSTITUTE(TRIM(H375)," |","|"),"| ","|")&amp;"|")</f>
        <v/>
      </c>
      <c r="V375" s="25">
        <f>IF(AND(Q375=1,B375&lt;&gt;""),IF(IFERROR(COUNTIFS(B$3:B375,"="&amp;SUBSTITUTE(SUBSTITUTE(SUBSTITUTE(B375,"~","~~"),"*","~*"),"?","~?"),Q$3:Q375,1),0)=1,MAX(V$2:V374)+1,""),"")</f>
        <v/>
      </c>
      <c r="W375" s="25">
        <f>IF(V375="","",COUNTIFS($B$3:$B$1002,"="&amp;SUBSTITUTE(SUBSTITUTE(SUBSTITUTE(B375,"~","~~"),"*","~*"),"?","~?"),$Q$3:$Q$1002,1)*10000-V375)</f>
        <v/>
      </c>
      <c r="X375" s="25">
        <f>IF(Q375=1,IF(SUBSTITUTE(SUBSTITUTE(SUBSTITUTE(SUBSTITUTE(SUBSTITUTE(SUBSTITUTE(SUBSTITUTE(SUBSTITUTE(SUBSTITUTE(SUBSTITUTE(SUBSTITUTE(SUBSTITUTE(LOWER(TRIM(A375)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375)),"á","a"),"é","e"),"í","i"),"ó","o"),"ú","u"),"ü","u"),"ñ","n"),"à","a"),"è","e"),"ì","i"),"ò","o"),"ù","u")),"")</f>
        <v/>
      </c>
      <c r="Y375" s="25">
        <f>IF(X375="","",IF(IFERROR(COUNTIF(X$3:X375,"="&amp;SUBSTITUTE(SUBSTITUTE(SUBSTITUTE(X375,"~","~~"),"*","~*"),"?","~?")),0)=1,1,""))</f>
        <v/>
      </c>
      <c r="Z375" s="25">
        <f>IF(T375=1,MAX(Z$2:Z374)+1,"")</f>
        <v/>
      </c>
    </row>
    <row r="376">
      <c r="A376">
        <f>IF(A$2=0,"",IFERROR(TRIM(INDEX('Pegar calibracion'!$A$1:$BZ$1001,375,A$2)&amp;""),""))</f>
        <v/>
      </c>
      <c r="B376">
        <f>IF(B$2=0,"",IFERROR(TRIM(INDEX('Pegar calibracion'!$A$1:$BZ$1001,375,B$2)&amp;""),""))</f>
        <v/>
      </c>
      <c r="C376">
        <f>IF(C$2=0,"",IFERROR(TRIM(INDEX('Pegar calibracion'!$A$1:$BZ$1001,375,C$2)&amp;""),""))</f>
        <v/>
      </c>
      <c r="D376">
        <f>IF(D$2=0,"",IFERROR(TRIM(INDEX('Pegar calibracion'!$A$1:$BZ$1001,375,D$2)&amp;""),""))</f>
        <v/>
      </c>
      <c r="E376">
        <f>IF(E$2=0,"",IFERROR(TRIM(INDEX('Pegar calibracion'!$A$1:$BZ$1001,375,E$2)&amp;""),""))</f>
        <v/>
      </c>
      <c r="F376">
        <f>IF(F$2=0,"",IFERROR(TRIM(INDEX('Pegar calibracion'!$A$1:$BZ$1001,375,F$2)&amp;""),""))</f>
        <v/>
      </c>
      <c r="G376">
        <f>IF(G$2=0,"",IFERROR(TRIM(INDEX('Pegar calibracion'!$A$1:$BZ$1001,375,G$2)&amp;""),""))</f>
        <v/>
      </c>
      <c r="H376">
        <f>IF(H$2=0,"",IFERROR(TRIM(INDEX('Pegar calibracion'!$A$1:$BZ$1001,375,H$2)&amp;""),""))</f>
        <v/>
      </c>
      <c r="I376">
        <f>IF(I$2=0,"",IFERROR(TRIM(INDEX('Pegar calibracion'!$A$1:$BZ$1001,375,I$2)&amp;""),""))</f>
        <v/>
      </c>
      <c r="J376">
        <f>IF(J$2=0,"",IFERROR(TRIM(INDEX('Pegar calibracion'!$A$1:$BZ$1001,375,J$2)&amp;""),""))</f>
        <v/>
      </c>
      <c r="K376">
        <f>IF(K$2=0,"",IFERROR(TRIM(INDEX('Pegar calibracion'!$A$1:$BZ$1001,375,K$2)&amp;""),""))</f>
        <v/>
      </c>
      <c r="L376">
        <f>IF(L$2=0,"",IFERROR(TRIM(INDEX('Pegar calibracion'!$A$1:$BZ$1001,375,L$2)&amp;""),""))</f>
        <v/>
      </c>
      <c r="M376" s="25">
        <f>IF(D376="","",SUBSTITUTE(SUBSTITUTE(SUBSTITUTE(SUBSTITUTE(SUBSTITUTE(SUBSTITUTE(SUBSTITUTE(SUBSTITUTE(SUBSTITUTE(SUBSTITUTE(SUBSTITUTE(SUBSTITUTE(LOWER(TRIM(D376)),"á","a"),"é","e"),"í","i"),"ó","o"),"ú","u"),"ü","u"),"ñ","n"),"à","a"),"è","e"),"ì","i"),"ò","o"),"ù","u"))</f>
        <v/>
      </c>
      <c r="N376" s="25">
        <f>IF(F376="","",SUBSTITUTE(SUBSTITUTE(SUBSTITUTE(SUBSTITUTE(SUBSTITUTE(SUBSTITUTE(SUBSTITUTE(SUBSTITUTE(SUBSTITUTE(SUBSTITUTE(SUBSTITUTE(SUBSTITUTE(LOWER(TRIM(F376)),"á","a"),"é","e"),"í","i"),"ó","o"),"ú","u"),"ü","u"),"ñ","n"),"à","a"),"è","e"),"ì","i"),"ò","o"),"ù","u"))</f>
        <v/>
      </c>
      <c r="O376" s="25">
        <f>IF(M376="confiable",2,IF(M376="dudosa",1,IF(M376="no confiable",0,"")))</f>
        <v/>
      </c>
      <c r="P376" s="25">
        <f>IF(N376="confiable",2,IF(N376="dudosa",1,IF(N376="no confiable",0,"")))</f>
        <v/>
      </c>
      <c r="Q376" s="25">
        <f>IF(AND(ISNUMBER(O376),ISNUMBER(P376)),1,"")</f>
        <v/>
      </c>
      <c r="R376" s="25">
        <f>IF(Q376=1,IF(O376=P376,"Sí","No"),"")</f>
        <v/>
      </c>
      <c r="S376" s="25">
        <f>IF(Q376=1,IF(P376&lt;O376,"Más estricto",IF(P376&gt;O376,"Más permisivo","Igual")),"")</f>
        <v/>
      </c>
      <c r="T376" s="25">
        <f>IF(Q376=1,IF(ABS(O376-P376)=2,1,0),"")</f>
        <v/>
      </c>
      <c r="U376" s="25">
        <f>IF(H376="","","|"&amp;SUBSTITUTE(SUBSTITUTE(TRIM(H376)," |","|"),"| ","|")&amp;"|")</f>
        <v/>
      </c>
      <c r="V376" s="25">
        <f>IF(AND(Q376=1,B376&lt;&gt;""),IF(IFERROR(COUNTIFS(B$3:B376,"="&amp;SUBSTITUTE(SUBSTITUTE(SUBSTITUTE(B376,"~","~~"),"*","~*"),"?","~?"),Q$3:Q376,1),0)=1,MAX(V$2:V375)+1,""),"")</f>
        <v/>
      </c>
      <c r="W376" s="25">
        <f>IF(V376="","",COUNTIFS($B$3:$B$1002,"="&amp;SUBSTITUTE(SUBSTITUTE(SUBSTITUTE(B376,"~","~~"),"*","~*"),"?","~?"),$Q$3:$Q$1002,1)*10000-V376)</f>
        <v/>
      </c>
      <c r="X376" s="25">
        <f>IF(Q376=1,IF(SUBSTITUTE(SUBSTITUTE(SUBSTITUTE(SUBSTITUTE(SUBSTITUTE(SUBSTITUTE(SUBSTITUTE(SUBSTITUTE(SUBSTITUTE(SUBSTITUTE(SUBSTITUTE(SUBSTITUTE(LOWER(TRIM(A376)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376)),"á","a"),"é","e"),"í","i"),"ó","o"),"ú","u"),"ü","u"),"ñ","n"),"à","a"),"è","e"),"ì","i"),"ò","o"),"ù","u")),"")</f>
        <v/>
      </c>
      <c r="Y376" s="25">
        <f>IF(X376="","",IF(IFERROR(COUNTIF(X$3:X376,"="&amp;SUBSTITUTE(SUBSTITUTE(SUBSTITUTE(X376,"~","~~"),"*","~*"),"?","~?")),0)=1,1,""))</f>
        <v/>
      </c>
      <c r="Z376" s="25">
        <f>IF(T376=1,MAX(Z$2:Z375)+1,"")</f>
        <v/>
      </c>
    </row>
    <row r="377">
      <c r="A377">
        <f>IF(A$2=0,"",IFERROR(TRIM(INDEX('Pegar calibracion'!$A$1:$BZ$1001,376,A$2)&amp;""),""))</f>
        <v/>
      </c>
      <c r="B377">
        <f>IF(B$2=0,"",IFERROR(TRIM(INDEX('Pegar calibracion'!$A$1:$BZ$1001,376,B$2)&amp;""),""))</f>
        <v/>
      </c>
      <c r="C377">
        <f>IF(C$2=0,"",IFERROR(TRIM(INDEX('Pegar calibracion'!$A$1:$BZ$1001,376,C$2)&amp;""),""))</f>
        <v/>
      </c>
      <c r="D377">
        <f>IF(D$2=0,"",IFERROR(TRIM(INDEX('Pegar calibracion'!$A$1:$BZ$1001,376,D$2)&amp;""),""))</f>
        <v/>
      </c>
      <c r="E377">
        <f>IF(E$2=0,"",IFERROR(TRIM(INDEX('Pegar calibracion'!$A$1:$BZ$1001,376,E$2)&amp;""),""))</f>
        <v/>
      </c>
      <c r="F377">
        <f>IF(F$2=0,"",IFERROR(TRIM(INDEX('Pegar calibracion'!$A$1:$BZ$1001,376,F$2)&amp;""),""))</f>
        <v/>
      </c>
      <c r="G377">
        <f>IF(G$2=0,"",IFERROR(TRIM(INDEX('Pegar calibracion'!$A$1:$BZ$1001,376,G$2)&amp;""),""))</f>
        <v/>
      </c>
      <c r="H377">
        <f>IF(H$2=0,"",IFERROR(TRIM(INDEX('Pegar calibracion'!$A$1:$BZ$1001,376,H$2)&amp;""),""))</f>
        <v/>
      </c>
      <c r="I377">
        <f>IF(I$2=0,"",IFERROR(TRIM(INDEX('Pegar calibracion'!$A$1:$BZ$1001,376,I$2)&amp;""),""))</f>
        <v/>
      </c>
      <c r="J377">
        <f>IF(J$2=0,"",IFERROR(TRIM(INDEX('Pegar calibracion'!$A$1:$BZ$1001,376,J$2)&amp;""),""))</f>
        <v/>
      </c>
      <c r="K377">
        <f>IF(K$2=0,"",IFERROR(TRIM(INDEX('Pegar calibracion'!$A$1:$BZ$1001,376,K$2)&amp;""),""))</f>
        <v/>
      </c>
      <c r="L377">
        <f>IF(L$2=0,"",IFERROR(TRIM(INDEX('Pegar calibracion'!$A$1:$BZ$1001,376,L$2)&amp;""),""))</f>
        <v/>
      </c>
      <c r="M377" s="25">
        <f>IF(D377="","",SUBSTITUTE(SUBSTITUTE(SUBSTITUTE(SUBSTITUTE(SUBSTITUTE(SUBSTITUTE(SUBSTITUTE(SUBSTITUTE(SUBSTITUTE(SUBSTITUTE(SUBSTITUTE(SUBSTITUTE(LOWER(TRIM(D377)),"á","a"),"é","e"),"í","i"),"ó","o"),"ú","u"),"ü","u"),"ñ","n"),"à","a"),"è","e"),"ì","i"),"ò","o"),"ù","u"))</f>
        <v/>
      </c>
      <c r="N377" s="25">
        <f>IF(F377="","",SUBSTITUTE(SUBSTITUTE(SUBSTITUTE(SUBSTITUTE(SUBSTITUTE(SUBSTITUTE(SUBSTITUTE(SUBSTITUTE(SUBSTITUTE(SUBSTITUTE(SUBSTITUTE(SUBSTITUTE(LOWER(TRIM(F377)),"á","a"),"é","e"),"í","i"),"ó","o"),"ú","u"),"ü","u"),"ñ","n"),"à","a"),"è","e"),"ì","i"),"ò","o"),"ù","u"))</f>
        <v/>
      </c>
      <c r="O377" s="25">
        <f>IF(M377="confiable",2,IF(M377="dudosa",1,IF(M377="no confiable",0,"")))</f>
        <v/>
      </c>
      <c r="P377" s="25">
        <f>IF(N377="confiable",2,IF(N377="dudosa",1,IF(N377="no confiable",0,"")))</f>
        <v/>
      </c>
      <c r="Q377" s="25">
        <f>IF(AND(ISNUMBER(O377),ISNUMBER(P377)),1,"")</f>
        <v/>
      </c>
      <c r="R377" s="25">
        <f>IF(Q377=1,IF(O377=P377,"Sí","No"),"")</f>
        <v/>
      </c>
      <c r="S377" s="25">
        <f>IF(Q377=1,IF(P377&lt;O377,"Más estricto",IF(P377&gt;O377,"Más permisivo","Igual")),"")</f>
        <v/>
      </c>
      <c r="T377" s="25">
        <f>IF(Q377=1,IF(ABS(O377-P377)=2,1,0),"")</f>
        <v/>
      </c>
      <c r="U377" s="25">
        <f>IF(H377="","","|"&amp;SUBSTITUTE(SUBSTITUTE(TRIM(H377)," |","|"),"| ","|")&amp;"|")</f>
        <v/>
      </c>
      <c r="V377" s="25">
        <f>IF(AND(Q377=1,B377&lt;&gt;""),IF(IFERROR(COUNTIFS(B$3:B377,"="&amp;SUBSTITUTE(SUBSTITUTE(SUBSTITUTE(B377,"~","~~"),"*","~*"),"?","~?"),Q$3:Q377,1),0)=1,MAX(V$2:V376)+1,""),"")</f>
        <v/>
      </c>
      <c r="W377" s="25">
        <f>IF(V377="","",COUNTIFS($B$3:$B$1002,"="&amp;SUBSTITUTE(SUBSTITUTE(SUBSTITUTE(B377,"~","~~"),"*","~*"),"?","~?"),$Q$3:$Q$1002,1)*10000-V377)</f>
        <v/>
      </c>
      <c r="X377" s="25">
        <f>IF(Q377=1,IF(SUBSTITUTE(SUBSTITUTE(SUBSTITUTE(SUBSTITUTE(SUBSTITUTE(SUBSTITUTE(SUBSTITUTE(SUBSTITUTE(SUBSTITUTE(SUBSTITUTE(SUBSTITUTE(SUBSTITUTE(LOWER(TRIM(A377)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377)),"á","a"),"é","e"),"í","i"),"ó","o"),"ú","u"),"ü","u"),"ñ","n"),"à","a"),"è","e"),"ì","i"),"ò","o"),"ù","u")),"")</f>
        <v/>
      </c>
      <c r="Y377" s="25">
        <f>IF(X377="","",IF(IFERROR(COUNTIF(X$3:X377,"="&amp;SUBSTITUTE(SUBSTITUTE(SUBSTITUTE(X377,"~","~~"),"*","~*"),"?","~?")),0)=1,1,""))</f>
        <v/>
      </c>
      <c r="Z377" s="25">
        <f>IF(T377=1,MAX(Z$2:Z376)+1,"")</f>
        <v/>
      </c>
    </row>
    <row r="378">
      <c r="A378">
        <f>IF(A$2=0,"",IFERROR(TRIM(INDEX('Pegar calibracion'!$A$1:$BZ$1001,377,A$2)&amp;""),""))</f>
        <v/>
      </c>
      <c r="B378">
        <f>IF(B$2=0,"",IFERROR(TRIM(INDEX('Pegar calibracion'!$A$1:$BZ$1001,377,B$2)&amp;""),""))</f>
        <v/>
      </c>
      <c r="C378">
        <f>IF(C$2=0,"",IFERROR(TRIM(INDEX('Pegar calibracion'!$A$1:$BZ$1001,377,C$2)&amp;""),""))</f>
        <v/>
      </c>
      <c r="D378">
        <f>IF(D$2=0,"",IFERROR(TRIM(INDEX('Pegar calibracion'!$A$1:$BZ$1001,377,D$2)&amp;""),""))</f>
        <v/>
      </c>
      <c r="E378">
        <f>IF(E$2=0,"",IFERROR(TRIM(INDEX('Pegar calibracion'!$A$1:$BZ$1001,377,E$2)&amp;""),""))</f>
        <v/>
      </c>
      <c r="F378">
        <f>IF(F$2=0,"",IFERROR(TRIM(INDEX('Pegar calibracion'!$A$1:$BZ$1001,377,F$2)&amp;""),""))</f>
        <v/>
      </c>
      <c r="G378">
        <f>IF(G$2=0,"",IFERROR(TRIM(INDEX('Pegar calibracion'!$A$1:$BZ$1001,377,G$2)&amp;""),""))</f>
        <v/>
      </c>
      <c r="H378">
        <f>IF(H$2=0,"",IFERROR(TRIM(INDEX('Pegar calibracion'!$A$1:$BZ$1001,377,H$2)&amp;""),""))</f>
        <v/>
      </c>
      <c r="I378">
        <f>IF(I$2=0,"",IFERROR(TRIM(INDEX('Pegar calibracion'!$A$1:$BZ$1001,377,I$2)&amp;""),""))</f>
        <v/>
      </c>
      <c r="J378">
        <f>IF(J$2=0,"",IFERROR(TRIM(INDEX('Pegar calibracion'!$A$1:$BZ$1001,377,J$2)&amp;""),""))</f>
        <v/>
      </c>
      <c r="K378">
        <f>IF(K$2=0,"",IFERROR(TRIM(INDEX('Pegar calibracion'!$A$1:$BZ$1001,377,K$2)&amp;""),""))</f>
        <v/>
      </c>
      <c r="L378">
        <f>IF(L$2=0,"",IFERROR(TRIM(INDEX('Pegar calibracion'!$A$1:$BZ$1001,377,L$2)&amp;""),""))</f>
        <v/>
      </c>
      <c r="M378" s="25">
        <f>IF(D378="","",SUBSTITUTE(SUBSTITUTE(SUBSTITUTE(SUBSTITUTE(SUBSTITUTE(SUBSTITUTE(SUBSTITUTE(SUBSTITUTE(SUBSTITUTE(SUBSTITUTE(SUBSTITUTE(SUBSTITUTE(LOWER(TRIM(D378)),"á","a"),"é","e"),"í","i"),"ó","o"),"ú","u"),"ü","u"),"ñ","n"),"à","a"),"è","e"),"ì","i"),"ò","o"),"ù","u"))</f>
        <v/>
      </c>
      <c r="N378" s="25">
        <f>IF(F378="","",SUBSTITUTE(SUBSTITUTE(SUBSTITUTE(SUBSTITUTE(SUBSTITUTE(SUBSTITUTE(SUBSTITUTE(SUBSTITUTE(SUBSTITUTE(SUBSTITUTE(SUBSTITUTE(SUBSTITUTE(LOWER(TRIM(F378)),"á","a"),"é","e"),"í","i"),"ó","o"),"ú","u"),"ü","u"),"ñ","n"),"à","a"),"è","e"),"ì","i"),"ò","o"),"ù","u"))</f>
        <v/>
      </c>
      <c r="O378" s="25">
        <f>IF(M378="confiable",2,IF(M378="dudosa",1,IF(M378="no confiable",0,"")))</f>
        <v/>
      </c>
      <c r="P378" s="25">
        <f>IF(N378="confiable",2,IF(N378="dudosa",1,IF(N378="no confiable",0,"")))</f>
        <v/>
      </c>
      <c r="Q378" s="25">
        <f>IF(AND(ISNUMBER(O378),ISNUMBER(P378)),1,"")</f>
        <v/>
      </c>
      <c r="R378" s="25">
        <f>IF(Q378=1,IF(O378=P378,"Sí","No"),"")</f>
        <v/>
      </c>
      <c r="S378" s="25">
        <f>IF(Q378=1,IF(P378&lt;O378,"Más estricto",IF(P378&gt;O378,"Más permisivo","Igual")),"")</f>
        <v/>
      </c>
      <c r="T378" s="25">
        <f>IF(Q378=1,IF(ABS(O378-P378)=2,1,0),"")</f>
        <v/>
      </c>
      <c r="U378" s="25">
        <f>IF(H378="","","|"&amp;SUBSTITUTE(SUBSTITUTE(TRIM(H378)," |","|"),"| ","|")&amp;"|")</f>
        <v/>
      </c>
      <c r="V378" s="25">
        <f>IF(AND(Q378=1,B378&lt;&gt;""),IF(IFERROR(COUNTIFS(B$3:B378,"="&amp;SUBSTITUTE(SUBSTITUTE(SUBSTITUTE(B378,"~","~~"),"*","~*"),"?","~?"),Q$3:Q378,1),0)=1,MAX(V$2:V377)+1,""),"")</f>
        <v/>
      </c>
      <c r="W378" s="25">
        <f>IF(V378="","",COUNTIFS($B$3:$B$1002,"="&amp;SUBSTITUTE(SUBSTITUTE(SUBSTITUTE(B378,"~","~~"),"*","~*"),"?","~?"),$Q$3:$Q$1002,1)*10000-V378)</f>
        <v/>
      </c>
      <c r="X378" s="25">
        <f>IF(Q378=1,IF(SUBSTITUTE(SUBSTITUTE(SUBSTITUTE(SUBSTITUTE(SUBSTITUTE(SUBSTITUTE(SUBSTITUTE(SUBSTITUTE(SUBSTITUTE(SUBSTITUTE(SUBSTITUTE(SUBSTITUTE(LOWER(TRIM(A378)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378)),"á","a"),"é","e"),"í","i"),"ó","o"),"ú","u"),"ü","u"),"ñ","n"),"à","a"),"è","e"),"ì","i"),"ò","o"),"ù","u")),"")</f>
        <v/>
      </c>
      <c r="Y378" s="25">
        <f>IF(X378="","",IF(IFERROR(COUNTIF(X$3:X378,"="&amp;SUBSTITUTE(SUBSTITUTE(SUBSTITUTE(X378,"~","~~"),"*","~*"),"?","~?")),0)=1,1,""))</f>
        <v/>
      </c>
      <c r="Z378" s="25">
        <f>IF(T378=1,MAX(Z$2:Z377)+1,"")</f>
        <v/>
      </c>
    </row>
    <row r="379">
      <c r="A379">
        <f>IF(A$2=0,"",IFERROR(TRIM(INDEX('Pegar calibracion'!$A$1:$BZ$1001,378,A$2)&amp;""),""))</f>
        <v/>
      </c>
      <c r="B379">
        <f>IF(B$2=0,"",IFERROR(TRIM(INDEX('Pegar calibracion'!$A$1:$BZ$1001,378,B$2)&amp;""),""))</f>
        <v/>
      </c>
      <c r="C379">
        <f>IF(C$2=0,"",IFERROR(TRIM(INDEX('Pegar calibracion'!$A$1:$BZ$1001,378,C$2)&amp;""),""))</f>
        <v/>
      </c>
      <c r="D379">
        <f>IF(D$2=0,"",IFERROR(TRIM(INDEX('Pegar calibracion'!$A$1:$BZ$1001,378,D$2)&amp;""),""))</f>
        <v/>
      </c>
      <c r="E379">
        <f>IF(E$2=0,"",IFERROR(TRIM(INDEX('Pegar calibracion'!$A$1:$BZ$1001,378,E$2)&amp;""),""))</f>
        <v/>
      </c>
      <c r="F379">
        <f>IF(F$2=0,"",IFERROR(TRIM(INDEX('Pegar calibracion'!$A$1:$BZ$1001,378,F$2)&amp;""),""))</f>
        <v/>
      </c>
      <c r="G379">
        <f>IF(G$2=0,"",IFERROR(TRIM(INDEX('Pegar calibracion'!$A$1:$BZ$1001,378,G$2)&amp;""),""))</f>
        <v/>
      </c>
      <c r="H379">
        <f>IF(H$2=0,"",IFERROR(TRIM(INDEX('Pegar calibracion'!$A$1:$BZ$1001,378,H$2)&amp;""),""))</f>
        <v/>
      </c>
      <c r="I379">
        <f>IF(I$2=0,"",IFERROR(TRIM(INDEX('Pegar calibracion'!$A$1:$BZ$1001,378,I$2)&amp;""),""))</f>
        <v/>
      </c>
      <c r="J379">
        <f>IF(J$2=0,"",IFERROR(TRIM(INDEX('Pegar calibracion'!$A$1:$BZ$1001,378,J$2)&amp;""),""))</f>
        <v/>
      </c>
      <c r="K379">
        <f>IF(K$2=0,"",IFERROR(TRIM(INDEX('Pegar calibracion'!$A$1:$BZ$1001,378,K$2)&amp;""),""))</f>
        <v/>
      </c>
      <c r="L379">
        <f>IF(L$2=0,"",IFERROR(TRIM(INDEX('Pegar calibracion'!$A$1:$BZ$1001,378,L$2)&amp;""),""))</f>
        <v/>
      </c>
      <c r="M379" s="25">
        <f>IF(D379="","",SUBSTITUTE(SUBSTITUTE(SUBSTITUTE(SUBSTITUTE(SUBSTITUTE(SUBSTITUTE(SUBSTITUTE(SUBSTITUTE(SUBSTITUTE(SUBSTITUTE(SUBSTITUTE(SUBSTITUTE(LOWER(TRIM(D379)),"á","a"),"é","e"),"í","i"),"ó","o"),"ú","u"),"ü","u"),"ñ","n"),"à","a"),"è","e"),"ì","i"),"ò","o"),"ù","u"))</f>
        <v/>
      </c>
      <c r="N379" s="25">
        <f>IF(F379="","",SUBSTITUTE(SUBSTITUTE(SUBSTITUTE(SUBSTITUTE(SUBSTITUTE(SUBSTITUTE(SUBSTITUTE(SUBSTITUTE(SUBSTITUTE(SUBSTITUTE(SUBSTITUTE(SUBSTITUTE(LOWER(TRIM(F379)),"á","a"),"é","e"),"í","i"),"ó","o"),"ú","u"),"ü","u"),"ñ","n"),"à","a"),"è","e"),"ì","i"),"ò","o"),"ù","u"))</f>
        <v/>
      </c>
      <c r="O379" s="25">
        <f>IF(M379="confiable",2,IF(M379="dudosa",1,IF(M379="no confiable",0,"")))</f>
        <v/>
      </c>
      <c r="P379" s="25">
        <f>IF(N379="confiable",2,IF(N379="dudosa",1,IF(N379="no confiable",0,"")))</f>
        <v/>
      </c>
      <c r="Q379" s="25">
        <f>IF(AND(ISNUMBER(O379),ISNUMBER(P379)),1,"")</f>
        <v/>
      </c>
      <c r="R379" s="25">
        <f>IF(Q379=1,IF(O379=P379,"Sí","No"),"")</f>
        <v/>
      </c>
      <c r="S379" s="25">
        <f>IF(Q379=1,IF(P379&lt;O379,"Más estricto",IF(P379&gt;O379,"Más permisivo","Igual")),"")</f>
        <v/>
      </c>
      <c r="T379" s="25">
        <f>IF(Q379=1,IF(ABS(O379-P379)=2,1,0),"")</f>
        <v/>
      </c>
      <c r="U379" s="25">
        <f>IF(H379="","","|"&amp;SUBSTITUTE(SUBSTITUTE(TRIM(H379)," |","|"),"| ","|")&amp;"|")</f>
        <v/>
      </c>
      <c r="V379" s="25">
        <f>IF(AND(Q379=1,B379&lt;&gt;""),IF(IFERROR(COUNTIFS(B$3:B379,"="&amp;SUBSTITUTE(SUBSTITUTE(SUBSTITUTE(B379,"~","~~"),"*","~*"),"?","~?"),Q$3:Q379,1),0)=1,MAX(V$2:V378)+1,""),"")</f>
        <v/>
      </c>
      <c r="W379" s="25">
        <f>IF(V379="","",COUNTIFS($B$3:$B$1002,"="&amp;SUBSTITUTE(SUBSTITUTE(SUBSTITUTE(B379,"~","~~"),"*","~*"),"?","~?"),$Q$3:$Q$1002,1)*10000-V379)</f>
        <v/>
      </c>
      <c r="X379" s="25">
        <f>IF(Q379=1,IF(SUBSTITUTE(SUBSTITUTE(SUBSTITUTE(SUBSTITUTE(SUBSTITUTE(SUBSTITUTE(SUBSTITUTE(SUBSTITUTE(SUBSTITUTE(SUBSTITUTE(SUBSTITUTE(SUBSTITUTE(LOWER(TRIM(A379)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379)),"á","a"),"é","e"),"í","i"),"ó","o"),"ú","u"),"ü","u"),"ñ","n"),"à","a"),"è","e"),"ì","i"),"ò","o"),"ù","u")),"")</f>
        <v/>
      </c>
      <c r="Y379" s="25">
        <f>IF(X379="","",IF(IFERROR(COUNTIF(X$3:X379,"="&amp;SUBSTITUTE(SUBSTITUTE(SUBSTITUTE(X379,"~","~~"),"*","~*"),"?","~?")),0)=1,1,""))</f>
        <v/>
      </c>
      <c r="Z379" s="25">
        <f>IF(T379=1,MAX(Z$2:Z378)+1,"")</f>
        <v/>
      </c>
    </row>
    <row r="380">
      <c r="A380">
        <f>IF(A$2=0,"",IFERROR(TRIM(INDEX('Pegar calibracion'!$A$1:$BZ$1001,379,A$2)&amp;""),""))</f>
        <v/>
      </c>
      <c r="B380">
        <f>IF(B$2=0,"",IFERROR(TRIM(INDEX('Pegar calibracion'!$A$1:$BZ$1001,379,B$2)&amp;""),""))</f>
        <v/>
      </c>
      <c r="C380">
        <f>IF(C$2=0,"",IFERROR(TRIM(INDEX('Pegar calibracion'!$A$1:$BZ$1001,379,C$2)&amp;""),""))</f>
        <v/>
      </c>
      <c r="D380">
        <f>IF(D$2=0,"",IFERROR(TRIM(INDEX('Pegar calibracion'!$A$1:$BZ$1001,379,D$2)&amp;""),""))</f>
        <v/>
      </c>
      <c r="E380">
        <f>IF(E$2=0,"",IFERROR(TRIM(INDEX('Pegar calibracion'!$A$1:$BZ$1001,379,E$2)&amp;""),""))</f>
        <v/>
      </c>
      <c r="F380">
        <f>IF(F$2=0,"",IFERROR(TRIM(INDEX('Pegar calibracion'!$A$1:$BZ$1001,379,F$2)&amp;""),""))</f>
        <v/>
      </c>
      <c r="G380">
        <f>IF(G$2=0,"",IFERROR(TRIM(INDEX('Pegar calibracion'!$A$1:$BZ$1001,379,G$2)&amp;""),""))</f>
        <v/>
      </c>
      <c r="H380">
        <f>IF(H$2=0,"",IFERROR(TRIM(INDEX('Pegar calibracion'!$A$1:$BZ$1001,379,H$2)&amp;""),""))</f>
        <v/>
      </c>
      <c r="I380">
        <f>IF(I$2=0,"",IFERROR(TRIM(INDEX('Pegar calibracion'!$A$1:$BZ$1001,379,I$2)&amp;""),""))</f>
        <v/>
      </c>
      <c r="J380">
        <f>IF(J$2=0,"",IFERROR(TRIM(INDEX('Pegar calibracion'!$A$1:$BZ$1001,379,J$2)&amp;""),""))</f>
        <v/>
      </c>
      <c r="K380">
        <f>IF(K$2=0,"",IFERROR(TRIM(INDEX('Pegar calibracion'!$A$1:$BZ$1001,379,K$2)&amp;""),""))</f>
        <v/>
      </c>
      <c r="L380">
        <f>IF(L$2=0,"",IFERROR(TRIM(INDEX('Pegar calibracion'!$A$1:$BZ$1001,379,L$2)&amp;""),""))</f>
        <v/>
      </c>
      <c r="M380" s="25">
        <f>IF(D380="","",SUBSTITUTE(SUBSTITUTE(SUBSTITUTE(SUBSTITUTE(SUBSTITUTE(SUBSTITUTE(SUBSTITUTE(SUBSTITUTE(SUBSTITUTE(SUBSTITUTE(SUBSTITUTE(SUBSTITUTE(LOWER(TRIM(D380)),"á","a"),"é","e"),"í","i"),"ó","o"),"ú","u"),"ü","u"),"ñ","n"),"à","a"),"è","e"),"ì","i"),"ò","o"),"ù","u"))</f>
        <v/>
      </c>
      <c r="N380" s="25">
        <f>IF(F380="","",SUBSTITUTE(SUBSTITUTE(SUBSTITUTE(SUBSTITUTE(SUBSTITUTE(SUBSTITUTE(SUBSTITUTE(SUBSTITUTE(SUBSTITUTE(SUBSTITUTE(SUBSTITUTE(SUBSTITUTE(LOWER(TRIM(F380)),"á","a"),"é","e"),"í","i"),"ó","o"),"ú","u"),"ü","u"),"ñ","n"),"à","a"),"è","e"),"ì","i"),"ò","o"),"ù","u"))</f>
        <v/>
      </c>
      <c r="O380" s="25">
        <f>IF(M380="confiable",2,IF(M380="dudosa",1,IF(M380="no confiable",0,"")))</f>
        <v/>
      </c>
      <c r="P380" s="25">
        <f>IF(N380="confiable",2,IF(N380="dudosa",1,IF(N380="no confiable",0,"")))</f>
        <v/>
      </c>
      <c r="Q380" s="25">
        <f>IF(AND(ISNUMBER(O380),ISNUMBER(P380)),1,"")</f>
        <v/>
      </c>
      <c r="R380" s="25">
        <f>IF(Q380=1,IF(O380=P380,"Sí","No"),"")</f>
        <v/>
      </c>
      <c r="S380" s="25">
        <f>IF(Q380=1,IF(P380&lt;O380,"Más estricto",IF(P380&gt;O380,"Más permisivo","Igual")),"")</f>
        <v/>
      </c>
      <c r="T380" s="25">
        <f>IF(Q380=1,IF(ABS(O380-P380)=2,1,0),"")</f>
        <v/>
      </c>
      <c r="U380" s="25">
        <f>IF(H380="","","|"&amp;SUBSTITUTE(SUBSTITUTE(TRIM(H380)," |","|"),"| ","|")&amp;"|")</f>
        <v/>
      </c>
      <c r="V380" s="25">
        <f>IF(AND(Q380=1,B380&lt;&gt;""),IF(IFERROR(COUNTIFS(B$3:B380,"="&amp;SUBSTITUTE(SUBSTITUTE(SUBSTITUTE(B380,"~","~~"),"*","~*"),"?","~?"),Q$3:Q380,1),0)=1,MAX(V$2:V379)+1,""),"")</f>
        <v/>
      </c>
      <c r="W380" s="25">
        <f>IF(V380="","",COUNTIFS($B$3:$B$1002,"="&amp;SUBSTITUTE(SUBSTITUTE(SUBSTITUTE(B380,"~","~~"),"*","~*"),"?","~?"),$Q$3:$Q$1002,1)*10000-V380)</f>
        <v/>
      </c>
      <c r="X380" s="25">
        <f>IF(Q380=1,IF(SUBSTITUTE(SUBSTITUTE(SUBSTITUTE(SUBSTITUTE(SUBSTITUTE(SUBSTITUTE(SUBSTITUTE(SUBSTITUTE(SUBSTITUTE(SUBSTITUTE(SUBSTITUTE(SUBSTITUTE(LOWER(TRIM(A380)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380)),"á","a"),"é","e"),"í","i"),"ó","o"),"ú","u"),"ü","u"),"ñ","n"),"à","a"),"è","e"),"ì","i"),"ò","o"),"ù","u")),"")</f>
        <v/>
      </c>
      <c r="Y380" s="25">
        <f>IF(X380="","",IF(IFERROR(COUNTIF(X$3:X380,"="&amp;SUBSTITUTE(SUBSTITUTE(SUBSTITUTE(X380,"~","~~"),"*","~*"),"?","~?")),0)=1,1,""))</f>
        <v/>
      </c>
      <c r="Z380" s="25">
        <f>IF(T380=1,MAX(Z$2:Z379)+1,"")</f>
        <v/>
      </c>
    </row>
    <row r="381">
      <c r="A381">
        <f>IF(A$2=0,"",IFERROR(TRIM(INDEX('Pegar calibracion'!$A$1:$BZ$1001,380,A$2)&amp;""),""))</f>
        <v/>
      </c>
      <c r="B381">
        <f>IF(B$2=0,"",IFERROR(TRIM(INDEX('Pegar calibracion'!$A$1:$BZ$1001,380,B$2)&amp;""),""))</f>
        <v/>
      </c>
      <c r="C381">
        <f>IF(C$2=0,"",IFERROR(TRIM(INDEX('Pegar calibracion'!$A$1:$BZ$1001,380,C$2)&amp;""),""))</f>
        <v/>
      </c>
      <c r="D381">
        <f>IF(D$2=0,"",IFERROR(TRIM(INDEX('Pegar calibracion'!$A$1:$BZ$1001,380,D$2)&amp;""),""))</f>
        <v/>
      </c>
      <c r="E381">
        <f>IF(E$2=0,"",IFERROR(TRIM(INDEX('Pegar calibracion'!$A$1:$BZ$1001,380,E$2)&amp;""),""))</f>
        <v/>
      </c>
      <c r="F381">
        <f>IF(F$2=0,"",IFERROR(TRIM(INDEX('Pegar calibracion'!$A$1:$BZ$1001,380,F$2)&amp;""),""))</f>
        <v/>
      </c>
      <c r="G381">
        <f>IF(G$2=0,"",IFERROR(TRIM(INDEX('Pegar calibracion'!$A$1:$BZ$1001,380,G$2)&amp;""),""))</f>
        <v/>
      </c>
      <c r="H381">
        <f>IF(H$2=0,"",IFERROR(TRIM(INDEX('Pegar calibracion'!$A$1:$BZ$1001,380,H$2)&amp;""),""))</f>
        <v/>
      </c>
      <c r="I381">
        <f>IF(I$2=0,"",IFERROR(TRIM(INDEX('Pegar calibracion'!$A$1:$BZ$1001,380,I$2)&amp;""),""))</f>
        <v/>
      </c>
      <c r="J381">
        <f>IF(J$2=0,"",IFERROR(TRIM(INDEX('Pegar calibracion'!$A$1:$BZ$1001,380,J$2)&amp;""),""))</f>
        <v/>
      </c>
      <c r="K381">
        <f>IF(K$2=0,"",IFERROR(TRIM(INDEX('Pegar calibracion'!$A$1:$BZ$1001,380,K$2)&amp;""),""))</f>
        <v/>
      </c>
      <c r="L381">
        <f>IF(L$2=0,"",IFERROR(TRIM(INDEX('Pegar calibracion'!$A$1:$BZ$1001,380,L$2)&amp;""),""))</f>
        <v/>
      </c>
      <c r="M381" s="25">
        <f>IF(D381="","",SUBSTITUTE(SUBSTITUTE(SUBSTITUTE(SUBSTITUTE(SUBSTITUTE(SUBSTITUTE(SUBSTITUTE(SUBSTITUTE(SUBSTITUTE(SUBSTITUTE(SUBSTITUTE(SUBSTITUTE(LOWER(TRIM(D381)),"á","a"),"é","e"),"í","i"),"ó","o"),"ú","u"),"ü","u"),"ñ","n"),"à","a"),"è","e"),"ì","i"),"ò","o"),"ù","u"))</f>
        <v/>
      </c>
      <c r="N381" s="25">
        <f>IF(F381="","",SUBSTITUTE(SUBSTITUTE(SUBSTITUTE(SUBSTITUTE(SUBSTITUTE(SUBSTITUTE(SUBSTITUTE(SUBSTITUTE(SUBSTITUTE(SUBSTITUTE(SUBSTITUTE(SUBSTITUTE(LOWER(TRIM(F381)),"á","a"),"é","e"),"í","i"),"ó","o"),"ú","u"),"ü","u"),"ñ","n"),"à","a"),"è","e"),"ì","i"),"ò","o"),"ù","u"))</f>
        <v/>
      </c>
      <c r="O381" s="25">
        <f>IF(M381="confiable",2,IF(M381="dudosa",1,IF(M381="no confiable",0,"")))</f>
        <v/>
      </c>
      <c r="P381" s="25">
        <f>IF(N381="confiable",2,IF(N381="dudosa",1,IF(N381="no confiable",0,"")))</f>
        <v/>
      </c>
      <c r="Q381" s="25">
        <f>IF(AND(ISNUMBER(O381),ISNUMBER(P381)),1,"")</f>
        <v/>
      </c>
      <c r="R381" s="25">
        <f>IF(Q381=1,IF(O381=P381,"Sí","No"),"")</f>
        <v/>
      </c>
      <c r="S381" s="25">
        <f>IF(Q381=1,IF(P381&lt;O381,"Más estricto",IF(P381&gt;O381,"Más permisivo","Igual")),"")</f>
        <v/>
      </c>
      <c r="T381" s="25">
        <f>IF(Q381=1,IF(ABS(O381-P381)=2,1,0),"")</f>
        <v/>
      </c>
      <c r="U381" s="25">
        <f>IF(H381="","","|"&amp;SUBSTITUTE(SUBSTITUTE(TRIM(H381)," |","|"),"| ","|")&amp;"|")</f>
        <v/>
      </c>
      <c r="V381" s="25">
        <f>IF(AND(Q381=1,B381&lt;&gt;""),IF(IFERROR(COUNTIFS(B$3:B381,"="&amp;SUBSTITUTE(SUBSTITUTE(SUBSTITUTE(B381,"~","~~"),"*","~*"),"?","~?"),Q$3:Q381,1),0)=1,MAX(V$2:V380)+1,""),"")</f>
        <v/>
      </c>
      <c r="W381" s="25">
        <f>IF(V381="","",COUNTIFS($B$3:$B$1002,"="&amp;SUBSTITUTE(SUBSTITUTE(SUBSTITUTE(B381,"~","~~"),"*","~*"),"?","~?"),$Q$3:$Q$1002,1)*10000-V381)</f>
        <v/>
      </c>
      <c r="X381" s="25">
        <f>IF(Q381=1,IF(SUBSTITUTE(SUBSTITUTE(SUBSTITUTE(SUBSTITUTE(SUBSTITUTE(SUBSTITUTE(SUBSTITUTE(SUBSTITUTE(SUBSTITUTE(SUBSTITUTE(SUBSTITUTE(SUBSTITUTE(LOWER(TRIM(A381)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381)),"á","a"),"é","e"),"í","i"),"ó","o"),"ú","u"),"ü","u"),"ñ","n"),"à","a"),"è","e"),"ì","i"),"ò","o"),"ù","u")),"")</f>
        <v/>
      </c>
      <c r="Y381" s="25">
        <f>IF(X381="","",IF(IFERROR(COUNTIF(X$3:X381,"="&amp;SUBSTITUTE(SUBSTITUTE(SUBSTITUTE(X381,"~","~~"),"*","~*"),"?","~?")),0)=1,1,""))</f>
        <v/>
      </c>
      <c r="Z381" s="25">
        <f>IF(T381=1,MAX(Z$2:Z380)+1,"")</f>
        <v/>
      </c>
    </row>
    <row r="382">
      <c r="A382">
        <f>IF(A$2=0,"",IFERROR(TRIM(INDEX('Pegar calibracion'!$A$1:$BZ$1001,381,A$2)&amp;""),""))</f>
        <v/>
      </c>
      <c r="B382">
        <f>IF(B$2=0,"",IFERROR(TRIM(INDEX('Pegar calibracion'!$A$1:$BZ$1001,381,B$2)&amp;""),""))</f>
        <v/>
      </c>
      <c r="C382">
        <f>IF(C$2=0,"",IFERROR(TRIM(INDEX('Pegar calibracion'!$A$1:$BZ$1001,381,C$2)&amp;""),""))</f>
        <v/>
      </c>
      <c r="D382">
        <f>IF(D$2=0,"",IFERROR(TRIM(INDEX('Pegar calibracion'!$A$1:$BZ$1001,381,D$2)&amp;""),""))</f>
        <v/>
      </c>
      <c r="E382">
        <f>IF(E$2=0,"",IFERROR(TRIM(INDEX('Pegar calibracion'!$A$1:$BZ$1001,381,E$2)&amp;""),""))</f>
        <v/>
      </c>
      <c r="F382">
        <f>IF(F$2=0,"",IFERROR(TRIM(INDEX('Pegar calibracion'!$A$1:$BZ$1001,381,F$2)&amp;""),""))</f>
        <v/>
      </c>
      <c r="G382">
        <f>IF(G$2=0,"",IFERROR(TRIM(INDEX('Pegar calibracion'!$A$1:$BZ$1001,381,G$2)&amp;""),""))</f>
        <v/>
      </c>
      <c r="H382">
        <f>IF(H$2=0,"",IFERROR(TRIM(INDEX('Pegar calibracion'!$A$1:$BZ$1001,381,H$2)&amp;""),""))</f>
        <v/>
      </c>
      <c r="I382">
        <f>IF(I$2=0,"",IFERROR(TRIM(INDEX('Pegar calibracion'!$A$1:$BZ$1001,381,I$2)&amp;""),""))</f>
        <v/>
      </c>
      <c r="J382">
        <f>IF(J$2=0,"",IFERROR(TRIM(INDEX('Pegar calibracion'!$A$1:$BZ$1001,381,J$2)&amp;""),""))</f>
        <v/>
      </c>
      <c r="K382">
        <f>IF(K$2=0,"",IFERROR(TRIM(INDEX('Pegar calibracion'!$A$1:$BZ$1001,381,K$2)&amp;""),""))</f>
        <v/>
      </c>
      <c r="L382">
        <f>IF(L$2=0,"",IFERROR(TRIM(INDEX('Pegar calibracion'!$A$1:$BZ$1001,381,L$2)&amp;""),""))</f>
        <v/>
      </c>
      <c r="M382" s="25">
        <f>IF(D382="","",SUBSTITUTE(SUBSTITUTE(SUBSTITUTE(SUBSTITUTE(SUBSTITUTE(SUBSTITUTE(SUBSTITUTE(SUBSTITUTE(SUBSTITUTE(SUBSTITUTE(SUBSTITUTE(SUBSTITUTE(LOWER(TRIM(D382)),"á","a"),"é","e"),"í","i"),"ó","o"),"ú","u"),"ü","u"),"ñ","n"),"à","a"),"è","e"),"ì","i"),"ò","o"),"ù","u"))</f>
        <v/>
      </c>
      <c r="N382" s="25">
        <f>IF(F382="","",SUBSTITUTE(SUBSTITUTE(SUBSTITUTE(SUBSTITUTE(SUBSTITUTE(SUBSTITUTE(SUBSTITUTE(SUBSTITUTE(SUBSTITUTE(SUBSTITUTE(SUBSTITUTE(SUBSTITUTE(LOWER(TRIM(F382)),"á","a"),"é","e"),"í","i"),"ó","o"),"ú","u"),"ü","u"),"ñ","n"),"à","a"),"è","e"),"ì","i"),"ò","o"),"ù","u"))</f>
        <v/>
      </c>
      <c r="O382" s="25">
        <f>IF(M382="confiable",2,IF(M382="dudosa",1,IF(M382="no confiable",0,"")))</f>
        <v/>
      </c>
      <c r="P382" s="25">
        <f>IF(N382="confiable",2,IF(N382="dudosa",1,IF(N382="no confiable",0,"")))</f>
        <v/>
      </c>
      <c r="Q382" s="25">
        <f>IF(AND(ISNUMBER(O382),ISNUMBER(P382)),1,"")</f>
        <v/>
      </c>
      <c r="R382" s="25">
        <f>IF(Q382=1,IF(O382=P382,"Sí","No"),"")</f>
        <v/>
      </c>
      <c r="S382" s="25">
        <f>IF(Q382=1,IF(P382&lt;O382,"Más estricto",IF(P382&gt;O382,"Más permisivo","Igual")),"")</f>
        <v/>
      </c>
      <c r="T382" s="25">
        <f>IF(Q382=1,IF(ABS(O382-P382)=2,1,0),"")</f>
        <v/>
      </c>
      <c r="U382" s="25">
        <f>IF(H382="","","|"&amp;SUBSTITUTE(SUBSTITUTE(TRIM(H382)," |","|"),"| ","|")&amp;"|")</f>
        <v/>
      </c>
      <c r="V382" s="25">
        <f>IF(AND(Q382=1,B382&lt;&gt;""),IF(IFERROR(COUNTIFS(B$3:B382,"="&amp;SUBSTITUTE(SUBSTITUTE(SUBSTITUTE(B382,"~","~~"),"*","~*"),"?","~?"),Q$3:Q382,1),0)=1,MAX(V$2:V381)+1,""),"")</f>
        <v/>
      </c>
      <c r="W382" s="25">
        <f>IF(V382="","",COUNTIFS($B$3:$B$1002,"="&amp;SUBSTITUTE(SUBSTITUTE(SUBSTITUTE(B382,"~","~~"),"*","~*"),"?","~?"),$Q$3:$Q$1002,1)*10000-V382)</f>
        <v/>
      </c>
      <c r="X382" s="25">
        <f>IF(Q382=1,IF(SUBSTITUTE(SUBSTITUTE(SUBSTITUTE(SUBSTITUTE(SUBSTITUTE(SUBSTITUTE(SUBSTITUTE(SUBSTITUTE(SUBSTITUTE(SUBSTITUTE(SUBSTITUTE(SUBSTITUTE(LOWER(TRIM(A382)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382)),"á","a"),"é","e"),"í","i"),"ó","o"),"ú","u"),"ü","u"),"ñ","n"),"à","a"),"è","e"),"ì","i"),"ò","o"),"ù","u")),"")</f>
        <v/>
      </c>
      <c r="Y382" s="25">
        <f>IF(X382="","",IF(IFERROR(COUNTIF(X$3:X382,"="&amp;SUBSTITUTE(SUBSTITUTE(SUBSTITUTE(X382,"~","~~"),"*","~*"),"?","~?")),0)=1,1,""))</f>
        <v/>
      </c>
      <c r="Z382" s="25">
        <f>IF(T382=1,MAX(Z$2:Z381)+1,"")</f>
        <v/>
      </c>
    </row>
    <row r="383">
      <c r="A383">
        <f>IF(A$2=0,"",IFERROR(TRIM(INDEX('Pegar calibracion'!$A$1:$BZ$1001,382,A$2)&amp;""),""))</f>
        <v/>
      </c>
      <c r="B383">
        <f>IF(B$2=0,"",IFERROR(TRIM(INDEX('Pegar calibracion'!$A$1:$BZ$1001,382,B$2)&amp;""),""))</f>
        <v/>
      </c>
      <c r="C383">
        <f>IF(C$2=0,"",IFERROR(TRIM(INDEX('Pegar calibracion'!$A$1:$BZ$1001,382,C$2)&amp;""),""))</f>
        <v/>
      </c>
      <c r="D383">
        <f>IF(D$2=0,"",IFERROR(TRIM(INDEX('Pegar calibracion'!$A$1:$BZ$1001,382,D$2)&amp;""),""))</f>
        <v/>
      </c>
      <c r="E383">
        <f>IF(E$2=0,"",IFERROR(TRIM(INDEX('Pegar calibracion'!$A$1:$BZ$1001,382,E$2)&amp;""),""))</f>
        <v/>
      </c>
      <c r="F383">
        <f>IF(F$2=0,"",IFERROR(TRIM(INDEX('Pegar calibracion'!$A$1:$BZ$1001,382,F$2)&amp;""),""))</f>
        <v/>
      </c>
      <c r="G383">
        <f>IF(G$2=0,"",IFERROR(TRIM(INDEX('Pegar calibracion'!$A$1:$BZ$1001,382,G$2)&amp;""),""))</f>
        <v/>
      </c>
      <c r="H383">
        <f>IF(H$2=0,"",IFERROR(TRIM(INDEX('Pegar calibracion'!$A$1:$BZ$1001,382,H$2)&amp;""),""))</f>
        <v/>
      </c>
      <c r="I383">
        <f>IF(I$2=0,"",IFERROR(TRIM(INDEX('Pegar calibracion'!$A$1:$BZ$1001,382,I$2)&amp;""),""))</f>
        <v/>
      </c>
      <c r="J383">
        <f>IF(J$2=0,"",IFERROR(TRIM(INDEX('Pegar calibracion'!$A$1:$BZ$1001,382,J$2)&amp;""),""))</f>
        <v/>
      </c>
      <c r="K383">
        <f>IF(K$2=0,"",IFERROR(TRIM(INDEX('Pegar calibracion'!$A$1:$BZ$1001,382,K$2)&amp;""),""))</f>
        <v/>
      </c>
      <c r="L383">
        <f>IF(L$2=0,"",IFERROR(TRIM(INDEX('Pegar calibracion'!$A$1:$BZ$1001,382,L$2)&amp;""),""))</f>
        <v/>
      </c>
      <c r="M383" s="25">
        <f>IF(D383="","",SUBSTITUTE(SUBSTITUTE(SUBSTITUTE(SUBSTITUTE(SUBSTITUTE(SUBSTITUTE(SUBSTITUTE(SUBSTITUTE(SUBSTITUTE(SUBSTITUTE(SUBSTITUTE(SUBSTITUTE(LOWER(TRIM(D383)),"á","a"),"é","e"),"í","i"),"ó","o"),"ú","u"),"ü","u"),"ñ","n"),"à","a"),"è","e"),"ì","i"),"ò","o"),"ù","u"))</f>
        <v/>
      </c>
      <c r="N383" s="25">
        <f>IF(F383="","",SUBSTITUTE(SUBSTITUTE(SUBSTITUTE(SUBSTITUTE(SUBSTITUTE(SUBSTITUTE(SUBSTITUTE(SUBSTITUTE(SUBSTITUTE(SUBSTITUTE(SUBSTITUTE(SUBSTITUTE(LOWER(TRIM(F383)),"á","a"),"é","e"),"í","i"),"ó","o"),"ú","u"),"ü","u"),"ñ","n"),"à","a"),"è","e"),"ì","i"),"ò","o"),"ù","u"))</f>
        <v/>
      </c>
      <c r="O383" s="25">
        <f>IF(M383="confiable",2,IF(M383="dudosa",1,IF(M383="no confiable",0,"")))</f>
        <v/>
      </c>
      <c r="P383" s="25">
        <f>IF(N383="confiable",2,IF(N383="dudosa",1,IF(N383="no confiable",0,"")))</f>
        <v/>
      </c>
      <c r="Q383" s="25">
        <f>IF(AND(ISNUMBER(O383),ISNUMBER(P383)),1,"")</f>
        <v/>
      </c>
      <c r="R383" s="25">
        <f>IF(Q383=1,IF(O383=P383,"Sí","No"),"")</f>
        <v/>
      </c>
      <c r="S383" s="25">
        <f>IF(Q383=1,IF(P383&lt;O383,"Más estricto",IF(P383&gt;O383,"Más permisivo","Igual")),"")</f>
        <v/>
      </c>
      <c r="T383" s="25">
        <f>IF(Q383=1,IF(ABS(O383-P383)=2,1,0),"")</f>
        <v/>
      </c>
      <c r="U383" s="25">
        <f>IF(H383="","","|"&amp;SUBSTITUTE(SUBSTITUTE(TRIM(H383)," |","|"),"| ","|")&amp;"|")</f>
        <v/>
      </c>
      <c r="V383" s="25">
        <f>IF(AND(Q383=1,B383&lt;&gt;""),IF(IFERROR(COUNTIFS(B$3:B383,"="&amp;SUBSTITUTE(SUBSTITUTE(SUBSTITUTE(B383,"~","~~"),"*","~*"),"?","~?"),Q$3:Q383,1),0)=1,MAX(V$2:V382)+1,""),"")</f>
        <v/>
      </c>
      <c r="W383" s="25">
        <f>IF(V383="","",COUNTIFS($B$3:$B$1002,"="&amp;SUBSTITUTE(SUBSTITUTE(SUBSTITUTE(B383,"~","~~"),"*","~*"),"?","~?"),$Q$3:$Q$1002,1)*10000-V383)</f>
        <v/>
      </c>
      <c r="X383" s="25">
        <f>IF(Q383=1,IF(SUBSTITUTE(SUBSTITUTE(SUBSTITUTE(SUBSTITUTE(SUBSTITUTE(SUBSTITUTE(SUBSTITUTE(SUBSTITUTE(SUBSTITUTE(SUBSTITUTE(SUBSTITUTE(SUBSTITUTE(LOWER(TRIM(A383)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383)),"á","a"),"é","e"),"í","i"),"ó","o"),"ú","u"),"ü","u"),"ñ","n"),"à","a"),"è","e"),"ì","i"),"ò","o"),"ù","u")),"")</f>
        <v/>
      </c>
      <c r="Y383" s="25">
        <f>IF(X383="","",IF(IFERROR(COUNTIF(X$3:X383,"="&amp;SUBSTITUTE(SUBSTITUTE(SUBSTITUTE(X383,"~","~~"),"*","~*"),"?","~?")),0)=1,1,""))</f>
        <v/>
      </c>
      <c r="Z383" s="25">
        <f>IF(T383=1,MAX(Z$2:Z382)+1,"")</f>
        <v/>
      </c>
    </row>
    <row r="384">
      <c r="A384">
        <f>IF(A$2=0,"",IFERROR(TRIM(INDEX('Pegar calibracion'!$A$1:$BZ$1001,383,A$2)&amp;""),""))</f>
        <v/>
      </c>
      <c r="B384">
        <f>IF(B$2=0,"",IFERROR(TRIM(INDEX('Pegar calibracion'!$A$1:$BZ$1001,383,B$2)&amp;""),""))</f>
        <v/>
      </c>
      <c r="C384">
        <f>IF(C$2=0,"",IFERROR(TRIM(INDEX('Pegar calibracion'!$A$1:$BZ$1001,383,C$2)&amp;""),""))</f>
        <v/>
      </c>
      <c r="D384">
        <f>IF(D$2=0,"",IFERROR(TRIM(INDEX('Pegar calibracion'!$A$1:$BZ$1001,383,D$2)&amp;""),""))</f>
        <v/>
      </c>
      <c r="E384">
        <f>IF(E$2=0,"",IFERROR(TRIM(INDEX('Pegar calibracion'!$A$1:$BZ$1001,383,E$2)&amp;""),""))</f>
        <v/>
      </c>
      <c r="F384">
        <f>IF(F$2=0,"",IFERROR(TRIM(INDEX('Pegar calibracion'!$A$1:$BZ$1001,383,F$2)&amp;""),""))</f>
        <v/>
      </c>
      <c r="G384">
        <f>IF(G$2=0,"",IFERROR(TRIM(INDEX('Pegar calibracion'!$A$1:$BZ$1001,383,G$2)&amp;""),""))</f>
        <v/>
      </c>
      <c r="H384">
        <f>IF(H$2=0,"",IFERROR(TRIM(INDEX('Pegar calibracion'!$A$1:$BZ$1001,383,H$2)&amp;""),""))</f>
        <v/>
      </c>
      <c r="I384">
        <f>IF(I$2=0,"",IFERROR(TRIM(INDEX('Pegar calibracion'!$A$1:$BZ$1001,383,I$2)&amp;""),""))</f>
        <v/>
      </c>
      <c r="J384">
        <f>IF(J$2=0,"",IFERROR(TRIM(INDEX('Pegar calibracion'!$A$1:$BZ$1001,383,J$2)&amp;""),""))</f>
        <v/>
      </c>
      <c r="K384">
        <f>IF(K$2=0,"",IFERROR(TRIM(INDEX('Pegar calibracion'!$A$1:$BZ$1001,383,K$2)&amp;""),""))</f>
        <v/>
      </c>
      <c r="L384">
        <f>IF(L$2=0,"",IFERROR(TRIM(INDEX('Pegar calibracion'!$A$1:$BZ$1001,383,L$2)&amp;""),""))</f>
        <v/>
      </c>
      <c r="M384" s="25">
        <f>IF(D384="","",SUBSTITUTE(SUBSTITUTE(SUBSTITUTE(SUBSTITUTE(SUBSTITUTE(SUBSTITUTE(SUBSTITUTE(SUBSTITUTE(SUBSTITUTE(SUBSTITUTE(SUBSTITUTE(SUBSTITUTE(LOWER(TRIM(D384)),"á","a"),"é","e"),"í","i"),"ó","o"),"ú","u"),"ü","u"),"ñ","n"),"à","a"),"è","e"),"ì","i"),"ò","o"),"ù","u"))</f>
        <v/>
      </c>
      <c r="N384" s="25">
        <f>IF(F384="","",SUBSTITUTE(SUBSTITUTE(SUBSTITUTE(SUBSTITUTE(SUBSTITUTE(SUBSTITUTE(SUBSTITUTE(SUBSTITUTE(SUBSTITUTE(SUBSTITUTE(SUBSTITUTE(SUBSTITUTE(LOWER(TRIM(F384)),"á","a"),"é","e"),"í","i"),"ó","o"),"ú","u"),"ü","u"),"ñ","n"),"à","a"),"è","e"),"ì","i"),"ò","o"),"ù","u"))</f>
        <v/>
      </c>
      <c r="O384" s="25">
        <f>IF(M384="confiable",2,IF(M384="dudosa",1,IF(M384="no confiable",0,"")))</f>
        <v/>
      </c>
      <c r="P384" s="25">
        <f>IF(N384="confiable",2,IF(N384="dudosa",1,IF(N384="no confiable",0,"")))</f>
        <v/>
      </c>
      <c r="Q384" s="25">
        <f>IF(AND(ISNUMBER(O384),ISNUMBER(P384)),1,"")</f>
        <v/>
      </c>
      <c r="R384" s="25">
        <f>IF(Q384=1,IF(O384=P384,"Sí","No"),"")</f>
        <v/>
      </c>
      <c r="S384" s="25">
        <f>IF(Q384=1,IF(P384&lt;O384,"Más estricto",IF(P384&gt;O384,"Más permisivo","Igual")),"")</f>
        <v/>
      </c>
      <c r="T384" s="25">
        <f>IF(Q384=1,IF(ABS(O384-P384)=2,1,0),"")</f>
        <v/>
      </c>
      <c r="U384" s="25">
        <f>IF(H384="","","|"&amp;SUBSTITUTE(SUBSTITUTE(TRIM(H384)," |","|"),"| ","|")&amp;"|")</f>
        <v/>
      </c>
      <c r="V384" s="25">
        <f>IF(AND(Q384=1,B384&lt;&gt;""),IF(IFERROR(COUNTIFS(B$3:B384,"="&amp;SUBSTITUTE(SUBSTITUTE(SUBSTITUTE(B384,"~","~~"),"*","~*"),"?","~?"),Q$3:Q384,1),0)=1,MAX(V$2:V383)+1,""),"")</f>
        <v/>
      </c>
      <c r="W384" s="25">
        <f>IF(V384="","",COUNTIFS($B$3:$B$1002,"="&amp;SUBSTITUTE(SUBSTITUTE(SUBSTITUTE(B384,"~","~~"),"*","~*"),"?","~?"),$Q$3:$Q$1002,1)*10000-V384)</f>
        <v/>
      </c>
      <c r="X384" s="25">
        <f>IF(Q384=1,IF(SUBSTITUTE(SUBSTITUTE(SUBSTITUTE(SUBSTITUTE(SUBSTITUTE(SUBSTITUTE(SUBSTITUTE(SUBSTITUTE(SUBSTITUTE(SUBSTITUTE(SUBSTITUTE(SUBSTITUTE(LOWER(TRIM(A384)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384)),"á","a"),"é","e"),"í","i"),"ó","o"),"ú","u"),"ü","u"),"ñ","n"),"à","a"),"è","e"),"ì","i"),"ò","o"),"ù","u")),"")</f>
        <v/>
      </c>
      <c r="Y384" s="25">
        <f>IF(X384="","",IF(IFERROR(COUNTIF(X$3:X384,"="&amp;SUBSTITUTE(SUBSTITUTE(SUBSTITUTE(X384,"~","~~"),"*","~*"),"?","~?")),0)=1,1,""))</f>
        <v/>
      </c>
      <c r="Z384" s="25">
        <f>IF(T384=1,MAX(Z$2:Z383)+1,"")</f>
        <v/>
      </c>
    </row>
    <row r="385">
      <c r="A385">
        <f>IF(A$2=0,"",IFERROR(TRIM(INDEX('Pegar calibracion'!$A$1:$BZ$1001,384,A$2)&amp;""),""))</f>
        <v/>
      </c>
      <c r="B385">
        <f>IF(B$2=0,"",IFERROR(TRIM(INDEX('Pegar calibracion'!$A$1:$BZ$1001,384,B$2)&amp;""),""))</f>
        <v/>
      </c>
      <c r="C385">
        <f>IF(C$2=0,"",IFERROR(TRIM(INDEX('Pegar calibracion'!$A$1:$BZ$1001,384,C$2)&amp;""),""))</f>
        <v/>
      </c>
      <c r="D385">
        <f>IF(D$2=0,"",IFERROR(TRIM(INDEX('Pegar calibracion'!$A$1:$BZ$1001,384,D$2)&amp;""),""))</f>
        <v/>
      </c>
      <c r="E385">
        <f>IF(E$2=0,"",IFERROR(TRIM(INDEX('Pegar calibracion'!$A$1:$BZ$1001,384,E$2)&amp;""),""))</f>
        <v/>
      </c>
      <c r="F385">
        <f>IF(F$2=0,"",IFERROR(TRIM(INDEX('Pegar calibracion'!$A$1:$BZ$1001,384,F$2)&amp;""),""))</f>
        <v/>
      </c>
      <c r="G385">
        <f>IF(G$2=0,"",IFERROR(TRIM(INDEX('Pegar calibracion'!$A$1:$BZ$1001,384,G$2)&amp;""),""))</f>
        <v/>
      </c>
      <c r="H385">
        <f>IF(H$2=0,"",IFERROR(TRIM(INDEX('Pegar calibracion'!$A$1:$BZ$1001,384,H$2)&amp;""),""))</f>
        <v/>
      </c>
      <c r="I385">
        <f>IF(I$2=0,"",IFERROR(TRIM(INDEX('Pegar calibracion'!$A$1:$BZ$1001,384,I$2)&amp;""),""))</f>
        <v/>
      </c>
      <c r="J385">
        <f>IF(J$2=0,"",IFERROR(TRIM(INDEX('Pegar calibracion'!$A$1:$BZ$1001,384,J$2)&amp;""),""))</f>
        <v/>
      </c>
      <c r="K385">
        <f>IF(K$2=0,"",IFERROR(TRIM(INDEX('Pegar calibracion'!$A$1:$BZ$1001,384,K$2)&amp;""),""))</f>
        <v/>
      </c>
      <c r="L385">
        <f>IF(L$2=0,"",IFERROR(TRIM(INDEX('Pegar calibracion'!$A$1:$BZ$1001,384,L$2)&amp;""),""))</f>
        <v/>
      </c>
      <c r="M385" s="25">
        <f>IF(D385="","",SUBSTITUTE(SUBSTITUTE(SUBSTITUTE(SUBSTITUTE(SUBSTITUTE(SUBSTITUTE(SUBSTITUTE(SUBSTITUTE(SUBSTITUTE(SUBSTITUTE(SUBSTITUTE(SUBSTITUTE(LOWER(TRIM(D385)),"á","a"),"é","e"),"í","i"),"ó","o"),"ú","u"),"ü","u"),"ñ","n"),"à","a"),"è","e"),"ì","i"),"ò","o"),"ù","u"))</f>
        <v/>
      </c>
      <c r="N385" s="25">
        <f>IF(F385="","",SUBSTITUTE(SUBSTITUTE(SUBSTITUTE(SUBSTITUTE(SUBSTITUTE(SUBSTITUTE(SUBSTITUTE(SUBSTITUTE(SUBSTITUTE(SUBSTITUTE(SUBSTITUTE(SUBSTITUTE(LOWER(TRIM(F385)),"á","a"),"é","e"),"í","i"),"ó","o"),"ú","u"),"ü","u"),"ñ","n"),"à","a"),"è","e"),"ì","i"),"ò","o"),"ù","u"))</f>
        <v/>
      </c>
      <c r="O385" s="25">
        <f>IF(M385="confiable",2,IF(M385="dudosa",1,IF(M385="no confiable",0,"")))</f>
        <v/>
      </c>
      <c r="P385" s="25">
        <f>IF(N385="confiable",2,IF(N385="dudosa",1,IF(N385="no confiable",0,"")))</f>
        <v/>
      </c>
      <c r="Q385" s="25">
        <f>IF(AND(ISNUMBER(O385),ISNUMBER(P385)),1,"")</f>
        <v/>
      </c>
      <c r="R385" s="25">
        <f>IF(Q385=1,IF(O385=P385,"Sí","No"),"")</f>
        <v/>
      </c>
      <c r="S385" s="25">
        <f>IF(Q385=1,IF(P385&lt;O385,"Más estricto",IF(P385&gt;O385,"Más permisivo","Igual")),"")</f>
        <v/>
      </c>
      <c r="T385" s="25">
        <f>IF(Q385=1,IF(ABS(O385-P385)=2,1,0),"")</f>
        <v/>
      </c>
      <c r="U385" s="25">
        <f>IF(H385="","","|"&amp;SUBSTITUTE(SUBSTITUTE(TRIM(H385)," |","|"),"| ","|")&amp;"|")</f>
        <v/>
      </c>
      <c r="V385" s="25">
        <f>IF(AND(Q385=1,B385&lt;&gt;""),IF(IFERROR(COUNTIFS(B$3:B385,"="&amp;SUBSTITUTE(SUBSTITUTE(SUBSTITUTE(B385,"~","~~"),"*","~*"),"?","~?"),Q$3:Q385,1),0)=1,MAX(V$2:V384)+1,""),"")</f>
        <v/>
      </c>
      <c r="W385" s="25">
        <f>IF(V385="","",COUNTIFS($B$3:$B$1002,"="&amp;SUBSTITUTE(SUBSTITUTE(SUBSTITUTE(B385,"~","~~"),"*","~*"),"?","~?"),$Q$3:$Q$1002,1)*10000-V385)</f>
        <v/>
      </c>
      <c r="X385" s="25">
        <f>IF(Q385=1,IF(SUBSTITUTE(SUBSTITUTE(SUBSTITUTE(SUBSTITUTE(SUBSTITUTE(SUBSTITUTE(SUBSTITUTE(SUBSTITUTE(SUBSTITUTE(SUBSTITUTE(SUBSTITUTE(SUBSTITUTE(LOWER(TRIM(A385)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385)),"á","a"),"é","e"),"í","i"),"ó","o"),"ú","u"),"ü","u"),"ñ","n"),"à","a"),"è","e"),"ì","i"),"ò","o"),"ù","u")),"")</f>
        <v/>
      </c>
      <c r="Y385" s="25">
        <f>IF(X385="","",IF(IFERROR(COUNTIF(X$3:X385,"="&amp;SUBSTITUTE(SUBSTITUTE(SUBSTITUTE(X385,"~","~~"),"*","~*"),"?","~?")),0)=1,1,""))</f>
        <v/>
      </c>
      <c r="Z385" s="25">
        <f>IF(T385=1,MAX(Z$2:Z384)+1,"")</f>
        <v/>
      </c>
    </row>
    <row r="386">
      <c r="A386">
        <f>IF(A$2=0,"",IFERROR(TRIM(INDEX('Pegar calibracion'!$A$1:$BZ$1001,385,A$2)&amp;""),""))</f>
        <v/>
      </c>
      <c r="B386">
        <f>IF(B$2=0,"",IFERROR(TRIM(INDEX('Pegar calibracion'!$A$1:$BZ$1001,385,B$2)&amp;""),""))</f>
        <v/>
      </c>
      <c r="C386">
        <f>IF(C$2=0,"",IFERROR(TRIM(INDEX('Pegar calibracion'!$A$1:$BZ$1001,385,C$2)&amp;""),""))</f>
        <v/>
      </c>
      <c r="D386">
        <f>IF(D$2=0,"",IFERROR(TRIM(INDEX('Pegar calibracion'!$A$1:$BZ$1001,385,D$2)&amp;""),""))</f>
        <v/>
      </c>
      <c r="E386">
        <f>IF(E$2=0,"",IFERROR(TRIM(INDEX('Pegar calibracion'!$A$1:$BZ$1001,385,E$2)&amp;""),""))</f>
        <v/>
      </c>
      <c r="F386">
        <f>IF(F$2=0,"",IFERROR(TRIM(INDEX('Pegar calibracion'!$A$1:$BZ$1001,385,F$2)&amp;""),""))</f>
        <v/>
      </c>
      <c r="G386">
        <f>IF(G$2=0,"",IFERROR(TRIM(INDEX('Pegar calibracion'!$A$1:$BZ$1001,385,G$2)&amp;""),""))</f>
        <v/>
      </c>
      <c r="H386">
        <f>IF(H$2=0,"",IFERROR(TRIM(INDEX('Pegar calibracion'!$A$1:$BZ$1001,385,H$2)&amp;""),""))</f>
        <v/>
      </c>
      <c r="I386">
        <f>IF(I$2=0,"",IFERROR(TRIM(INDEX('Pegar calibracion'!$A$1:$BZ$1001,385,I$2)&amp;""),""))</f>
        <v/>
      </c>
      <c r="J386">
        <f>IF(J$2=0,"",IFERROR(TRIM(INDEX('Pegar calibracion'!$A$1:$BZ$1001,385,J$2)&amp;""),""))</f>
        <v/>
      </c>
      <c r="K386">
        <f>IF(K$2=0,"",IFERROR(TRIM(INDEX('Pegar calibracion'!$A$1:$BZ$1001,385,K$2)&amp;""),""))</f>
        <v/>
      </c>
      <c r="L386">
        <f>IF(L$2=0,"",IFERROR(TRIM(INDEX('Pegar calibracion'!$A$1:$BZ$1001,385,L$2)&amp;""),""))</f>
        <v/>
      </c>
      <c r="M386" s="25">
        <f>IF(D386="","",SUBSTITUTE(SUBSTITUTE(SUBSTITUTE(SUBSTITUTE(SUBSTITUTE(SUBSTITUTE(SUBSTITUTE(SUBSTITUTE(SUBSTITUTE(SUBSTITUTE(SUBSTITUTE(SUBSTITUTE(LOWER(TRIM(D386)),"á","a"),"é","e"),"í","i"),"ó","o"),"ú","u"),"ü","u"),"ñ","n"),"à","a"),"è","e"),"ì","i"),"ò","o"),"ù","u"))</f>
        <v/>
      </c>
      <c r="N386" s="25">
        <f>IF(F386="","",SUBSTITUTE(SUBSTITUTE(SUBSTITUTE(SUBSTITUTE(SUBSTITUTE(SUBSTITUTE(SUBSTITUTE(SUBSTITUTE(SUBSTITUTE(SUBSTITUTE(SUBSTITUTE(SUBSTITUTE(LOWER(TRIM(F386)),"á","a"),"é","e"),"í","i"),"ó","o"),"ú","u"),"ü","u"),"ñ","n"),"à","a"),"è","e"),"ì","i"),"ò","o"),"ù","u"))</f>
        <v/>
      </c>
      <c r="O386" s="25">
        <f>IF(M386="confiable",2,IF(M386="dudosa",1,IF(M386="no confiable",0,"")))</f>
        <v/>
      </c>
      <c r="P386" s="25">
        <f>IF(N386="confiable",2,IF(N386="dudosa",1,IF(N386="no confiable",0,"")))</f>
        <v/>
      </c>
      <c r="Q386" s="25">
        <f>IF(AND(ISNUMBER(O386),ISNUMBER(P386)),1,"")</f>
        <v/>
      </c>
      <c r="R386" s="25">
        <f>IF(Q386=1,IF(O386=P386,"Sí","No"),"")</f>
        <v/>
      </c>
      <c r="S386" s="25">
        <f>IF(Q386=1,IF(P386&lt;O386,"Más estricto",IF(P386&gt;O386,"Más permisivo","Igual")),"")</f>
        <v/>
      </c>
      <c r="T386" s="25">
        <f>IF(Q386=1,IF(ABS(O386-P386)=2,1,0),"")</f>
        <v/>
      </c>
      <c r="U386" s="25">
        <f>IF(H386="","","|"&amp;SUBSTITUTE(SUBSTITUTE(TRIM(H386)," |","|"),"| ","|")&amp;"|")</f>
        <v/>
      </c>
      <c r="V386" s="25">
        <f>IF(AND(Q386=1,B386&lt;&gt;""),IF(IFERROR(COUNTIFS(B$3:B386,"="&amp;SUBSTITUTE(SUBSTITUTE(SUBSTITUTE(B386,"~","~~"),"*","~*"),"?","~?"),Q$3:Q386,1),0)=1,MAX(V$2:V385)+1,""),"")</f>
        <v/>
      </c>
      <c r="W386" s="25">
        <f>IF(V386="","",COUNTIFS($B$3:$B$1002,"="&amp;SUBSTITUTE(SUBSTITUTE(SUBSTITUTE(B386,"~","~~"),"*","~*"),"?","~?"),$Q$3:$Q$1002,1)*10000-V386)</f>
        <v/>
      </c>
      <c r="X386" s="25">
        <f>IF(Q386=1,IF(SUBSTITUTE(SUBSTITUTE(SUBSTITUTE(SUBSTITUTE(SUBSTITUTE(SUBSTITUTE(SUBSTITUTE(SUBSTITUTE(SUBSTITUTE(SUBSTITUTE(SUBSTITUTE(SUBSTITUTE(LOWER(TRIM(A386)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386)),"á","a"),"é","e"),"í","i"),"ó","o"),"ú","u"),"ü","u"),"ñ","n"),"à","a"),"è","e"),"ì","i"),"ò","o"),"ù","u")),"")</f>
        <v/>
      </c>
      <c r="Y386" s="25">
        <f>IF(X386="","",IF(IFERROR(COUNTIF(X$3:X386,"="&amp;SUBSTITUTE(SUBSTITUTE(SUBSTITUTE(X386,"~","~~"),"*","~*"),"?","~?")),0)=1,1,""))</f>
        <v/>
      </c>
      <c r="Z386" s="25">
        <f>IF(T386=1,MAX(Z$2:Z385)+1,"")</f>
        <v/>
      </c>
    </row>
    <row r="387">
      <c r="A387">
        <f>IF(A$2=0,"",IFERROR(TRIM(INDEX('Pegar calibracion'!$A$1:$BZ$1001,386,A$2)&amp;""),""))</f>
        <v/>
      </c>
      <c r="B387">
        <f>IF(B$2=0,"",IFERROR(TRIM(INDEX('Pegar calibracion'!$A$1:$BZ$1001,386,B$2)&amp;""),""))</f>
        <v/>
      </c>
      <c r="C387">
        <f>IF(C$2=0,"",IFERROR(TRIM(INDEX('Pegar calibracion'!$A$1:$BZ$1001,386,C$2)&amp;""),""))</f>
        <v/>
      </c>
      <c r="D387">
        <f>IF(D$2=0,"",IFERROR(TRIM(INDEX('Pegar calibracion'!$A$1:$BZ$1001,386,D$2)&amp;""),""))</f>
        <v/>
      </c>
      <c r="E387">
        <f>IF(E$2=0,"",IFERROR(TRIM(INDEX('Pegar calibracion'!$A$1:$BZ$1001,386,E$2)&amp;""),""))</f>
        <v/>
      </c>
      <c r="F387">
        <f>IF(F$2=0,"",IFERROR(TRIM(INDEX('Pegar calibracion'!$A$1:$BZ$1001,386,F$2)&amp;""),""))</f>
        <v/>
      </c>
      <c r="G387">
        <f>IF(G$2=0,"",IFERROR(TRIM(INDEX('Pegar calibracion'!$A$1:$BZ$1001,386,G$2)&amp;""),""))</f>
        <v/>
      </c>
      <c r="H387">
        <f>IF(H$2=0,"",IFERROR(TRIM(INDEX('Pegar calibracion'!$A$1:$BZ$1001,386,H$2)&amp;""),""))</f>
        <v/>
      </c>
      <c r="I387">
        <f>IF(I$2=0,"",IFERROR(TRIM(INDEX('Pegar calibracion'!$A$1:$BZ$1001,386,I$2)&amp;""),""))</f>
        <v/>
      </c>
      <c r="J387">
        <f>IF(J$2=0,"",IFERROR(TRIM(INDEX('Pegar calibracion'!$A$1:$BZ$1001,386,J$2)&amp;""),""))</f>
        <v/>
      </c>
      <c r="K387">
        <f>IF(K$2=0,"",IFERROR(TRIM(INDEX('Pegar calibracion'!$A$1:$BZ$1001,386,K$2)&amp;""),""))</f>
        <v/>
      </c>
      <c r="L387">
        <f>IF(L$2=0,"",IFERROR(TRIM(INDEX('Pegar calibracion'!$A$1:$BZ$1001,386,L$2)&amp;""),""))</f>
        <v/>
      </c>
      <c r="M387" s="25">
        <f>IF(D387="","",SUBSTITUTE(SUBSTITUTE(SUBSTITUTE(SUBSTITUTE(SUBSTITUTE(SUBSTITUTE(SUBSTITUTE(SUBSTITUTE(SUBSTITUTE(SUBSTITUTE(SUBSTITUTE(SUBSTITUTE(LOWER(TRIM(D387)),"á","a"),"é","e"),"í","i"),"ó","o"),"ú","u"),"ü","u"),"ñ","n"),"à","a"),"è","e"),"ì","i"),"ò","o"),"ù","u"))</f>
        <v/>
      </c>
      <c r="N387" s="25">
        <f>IF(F387="","",SUBSTITUTE(SUBSTITUTE(SUBSTITUTE(SUBSTITUTE(SUBSTITUTE(SUBSTITUTE(SUBSTITUTE(SUBSTITUTE(SUBSTITUTE(SUBSTITUTE(SUBSTITUTE(SUBSTITUTE(LOWER(TRIM(F387)),"á","a"),"é","e"),"í","i"),"ó","o"),"ú","u"),"ü","u"),"ñ","n"),"à","a"),"è","e"),"ì","i"),"ò","o"),"ù","u"))</f>
        <v/>
      </c>
      <c r="O387" s="25">
        <f>IF(M387="confiable",2,IF(M387="dudosa",1,IF(M387="no confiable",0,"")))</f>
        <v/>
      </c>
      <c r="P387" s="25">
        <f>IF(N387="confiable",2,IF(N387="dudosa",1,IF(N387="no confiable",0,"")))</f>
        <v/>
      </c>
      <c r="Q387" s="25">
        <f>IF(AND(ISNUMBER(O387),ISNUMBER(P387)),1,"")</f>
        <v/>
      </c>
      <c r="R387" s="25">
        <f>IF(Q387=1,IF(O387=P387,"Sí","No"),"")</f>
        <v/>
      </c>
      <c r="S387" s="25">
        <f>IF(Q387=1,IF(P387&lt;O387,"Más estricto",IF(P387&gt;O387,"Más permisivo","Igual")),"")</f>
        <v/>
      </c>
      <c r="T387" s="25">
        <f>IF(Q387=1,IF(ABS(O387-P387)=2,1,0),"")</f>
        <v/>
      </c>
      <c r="U387" s="25">
        <f>IF(H387="","","|"&amp;SUBSTITUTE(SUBSTITUTE(TRIM(H387)," |","|"),"| ","|")&amp;"|")</f>
        <v/>
      </c>
      <c r="V387" s="25">
        <f>IF(AND(Q387=1,B387&lt;&gt;""),IF(IFERROR(COUNTIFS(B$3:B387,"="&amp;SUBSTITUTE(SUBSTITUTE(SUBSTITUTE(B387,"~","~~"),"*","~*"),"?","~?"),Q$3:Q387,1),0)=1,MAX(V$2:V386)+1,""),"")</f>
        <v/>
      </c>
      <c r="W387" s="25">
        <f>IF(V387="","",COUNTIFS($B$3:$B$1002,"="&amp;SUBSTITUTE(SUBSTITUTE(SUBSTITUTE(B387,"~","~~"),"*","~*"),"?","~?"),$Q$3:$Q$1002,1)*10000-V387)</f>
        <v/>
      </c>
      <c r="X387" s="25">
        <f>IF(Q387=1,IF(SUBSTITUTE(SUBSTITUTE(SUBSTITUTE(SUBSTITUTE(SUBSTITUTE(SUBSTITUTE(SUBSTITUTE(SUBSTITUTE(SUBSTITUTE(SUBSTITUTE(SUBSTITUTE(SUBSTITUTE(LOWER(TRIM(A387)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387)),"á","a"),"é","e"),"í","i"),"ó","o"),"ú","u"),"ü","u"),"ñ","n"),"à","a"),"è","e"),"ì","i"),"ò","o"),"ù","u")),"")</f>
        <v/>
      </c>
      <c r="Y387" s="25">
        <f>IF(X387="","",IF(IFERROR(COUNTIF(X$3:X387,"="&amp;SUBSTITUTE(SUBSTITUTE(SUBSTITUTE(X387,"~","~~"),"*","~*"),"?","~?")),0)=1,1,""))</f>
        <v/>
      </c>
      <c r="Z387" s="25">
        <f>IF(T387=1,MAX(Z$2:Z386)+1,"")</f>
        <v/>
      </c>
    </row>
    <row r="388">
      <c r="A388">
        <f>IF(A$2=0,"",IFERROR(TRIM(INDEX('Pegar calibracion'!$A$1:$BZ$1001,387,A$2)&amp;""),""))</f>
        <v/>
      </c>
      <c r="B388">
        <f>IF(B$2=0,"",IFERROR(TRIM(INDEX('Pegar calibracion'!$A$1:$BZ$1001,387,B$2)&amp;""),""))</f>
        <v/>
      </c>
      <c r="C388">
        <f>IF(C$2=0,"",IFERROR(TRIM(INDEX('Pegar calibracion'!$A$1:$BZ$1001,387,C$2)&amp;""),""))</f>
        <v/>
      </c>
      <c r="D388">
        <f>IF(D$2=0,"",IFERROR(TRIM(INDEX('Pegar calibracion'!$A$1:$BZ$1001,387,D$2)&amp;""),""))</f>
        <v/>
      </c>
      <c r="E388">
        <f>IF(E$2=0,"",IFERROR(TRIM(INDEX('Pegar calibracion'!$A$1:$BZ$1001,387,E$2)&amp;""),""))</f>
        <v/>
      </c>
      <c r="F388">
        <f>IF(F$2=0,"",IFERROR(TRIM(INDEX('Pegar calibracion'!$A$1:$BZ$1001,387,F$2)&amp;""),""))</f>
        <v/>
      </c>
      <c r="G388">
        <f>IF(G$2=0,"",IFERROR(TRIM(INDEX('Pegar calibracion'!$A$1:$BZ$1001,387,G$2)&amp;""),""))</f>
        <v/>
      </c>
      <c r="H388">
        <f>IF(H$2=0,"",IFERROR(TRIM(INDEX('Pegar calibracion'!$A$1:$BZ$1001,387,H$2)&amp;""),""))</f>
        <v/>
      </c>
      <c r="I388">
        <f>IF(I$2=0,"",IFERROR(TRIM(INDEX('Pegar calibracion'!$A$1:$BZ$1001,387,I$2)&amp;""),""))</f>
        <v/>
      </c>
      <c r="J388">
        <f>IF(J$2=0,"",IFERROR(TRIM(INDEX('Pegar calibracion'!$A$1:$BZ$1001,387,J$2)&amp;""),""))</f>
        <v/>
      </c>
      <c r="K388">
        <f>IF(K$2=0,"",IFERROR(TRIM(INDEX('Pegar calibracion'!$A$1:$BZ$1001,387,K$2)&amp;""),""))</f>
        <v/>
      </c>
      <c r="L388">
        <f>IF(L$2=0,"",IFERROR(TRIM(INDEX('Pegar calibracion'!$A$1:$BZ$1001,387,L$2)&amp;""),""))</f>
        <v/>
      </c>
      <c r="M388" s="25">
        <f>IF(D388="","",SUBSTITUTE(SUBSTITUTE(SUBSTITUTE(SUBSTITUTE(SUBSTITUTE(SUBSTITUTE(SUBSTITUTE(SUBSTITUTE(SUBSTITUTE(SUBSTITUTE(SUBSTITUTE(SUBSTITUTE(LOWER(TRIM(D388)),"á","a"),"é","e"),"í","i"),"ó","o"),"ú","u"),"ü","u"),"ñ","n"),"à","a"),"è","e"),"ì","i"),"ò","o"),"ù","u"))</f>
        <v/>
      </c>
      <c r="N388" s="25">
        <f>IF(F388="","",SUBSTITUTE(SUBSTITUTE(SUBSTITUTE(SUBSTITUTE(SUBSTITUTE(SUBSTITUTE(SUBSTITUTE(SUBSTITUTE(SUBSTITUTE(SUBSTITUTE(SUBSTITUTE(SUBSTITUTE(LOWER(TRIM(F388)),"á","a"),"é","e"),"í","i"),"ó","o"),"ú","u"),"ü","u"),"ñ","n"),"à","a"),"è","e"),"ì","i"),"ò","o"),"ù","u"))</f>
        <v/>
      </c>
      <c r="O388" s="25">
        <f>IF(M388="confiable",2,IF(M388="dudosa",1,IF(M388="no confiable",0,"")))</f>
        <v/>
      </c>
      <c r="P388" s="25">
        <f>IF(N388="confiable",2,IF(N388="dudosa",1,IF(N388="no confiable",0,"")))</f>
        <v/>
      </c>
      <c r="Q388" s="25">
        <f>IF(AND(ISNUMBER(O388),ISNUMBER(P388)),1,"")</f>
        <v/>
      </c>
      <c r="R388" s="25">
        <f>IF(Q388=1,IF(O388=P388,"Sí","No"),"")</f>
        <v/>
      </c>
      <c r="S388" s="25">
        <f>IF(Q388=1,IF(P388&lt;O388,"Más estricto",IF(P388&gt;O388,"Más permisivo","Igual")),"")</f>
        <v/>
      </c>
      <c r="T388" s="25">
        <f>IF(Q388=1,IF(ABS(O388-P388)=2,1,0),"")</f>
        <v/>
      </c>
      <c r="U388" s="25">
        <f>IF(H388="","","|"&amp;SUBSTITUTE(SUBSTITUTE(TRIM(H388)," |","|"),"| ","|")&amp;"|")</f>
        <v/>
      </c>
      <c r="V388" s="25">
        <f>IF(AND(Q388=1,B388&lt;&gt;""),IF(IFERROR(COUNTIFS(B$3:B388,"="&amp;SUBSTITUTE(SUBSTITUTE(SUBSTITUTE(B388,"~","~~"),"*","~*"),"?","~?"),Q$3:Q388,1),0)=1,MAX(V$2:V387)+1,""),"")</f>
        <v/>
      </c>
      <c r="W388" s="25">
        <f>IF(V388="","",COUNTIFS($B$3:$B$1002,"="&amp;SUBSTITUTE(SUBSTITUTE(SUBSTITUTE(B388,"~","~~"),"*","~*"),"?","~?"),$Q$3:$Q$1002,1)*10000-V388)</f>
        <v/>
      </c>
      <c r="X388" s="25">
        <f>IF(Q388=1,IF(SUBSTITUTE(SUBSTITUTE(SUBSTITUTE(SUBSTITUTE(SUBSTITUTE(SUBSTITUTE(SUBSTITUTE(SUBSTITUTE(SUBSTITUTE(SUBSTITUTE(SUBSTITUTE(SUBSTITUTE(LOWER(TRIM(A388)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388)),"á","a"),"é","e"),"í","i"),"ó","o"),"ú","u"),"ü","u"),"ñ","n"),"à","a"),"è","e"),"ì","i"),"ò","o"),"ù","u")),"")</f>
        <v/>
      </c>
      <c r="Y388" s="25">
        <f>IF(X388="","",IF(IFERROR(COUNTIF(X$3:X388,"="&amp;SUBSTITUTE(SUBSTITUTE(SUBSTITUTE(X388,"~","~~"),"*","~*"),"?","~?")),0)=1,1,""))</f>
        <v/>
      </c>
      <c r="Z388" s="25">
        <f>IF(T388=1,MAX(Z$2:Z387)+1,"")</f>
        <v/>
      </c>
    </row>
    <row r="389">
      <c r="A389">
        <f>IF(A$2=0,"",IFERROR(TRIM(INDEX('Pegar calibracion'!$A$1:$BZ$1001,388,A$2)&amp;""),""))</f>
        <v/>
      </c>
      <c r="B389">
        <f>IF(B$2=0,"",IFERROR(TRIM(INDEX('Pegar calibracion'!$A$1:$BZ$1001,388,B$2)&amp;""),""))</f>
        <v/>
      </c>
      <c r="C389">
        <f>IF(C$2=0,"",IFERROR(TRIM(INDEX('Pegar calibracion'!$A$1:$BZ$1001,388,C$2)&amp;""),""))</f>
        <v/>
      </c>
      <c r="D389">
        <f>IF(D$2=0,"",IFERROR(TRIM(INDEX('Pegar calibracion'!$A$1:$BZ$1001,388,D$2)&amp;""),""))</f>
        <v/>
      </c>
      <c r="E389">
        <f>IF(E$2=0,"",IFERROR(TRIM(INDEX('Pegar calibracion'!$A$1:$BZ$1001,388,E$2)&amp;""),""))</f>
        <v/>
      </c>
      <c r="F389">
        <f>IF(F$2=0,"",IFERROR(TRIM(INDEX('Pegar calibracion'!$A$1:$BZ$1001,388,F$2)&amp;""),""))</f>
        <v/>
      </c>
      <c r="G389">
        <f>IF(G$2=0,"",IFERROR(TRIM(INDEX('Pegar calibracion'!$A$1:$BZ$1001,388,G$2)&amp;""),""))</f>
        <v/>
      </c>
      <c r="H389">
        <f>IF(H$2=0,"",IFERROR(TRIM(INDEX('Pegar calibracion'!$A$1:$BZ$1001,388,H$2)&amp;""),""))</f>
        <v/>
      </c>
      <c r="I389">
        <f>IF(I$2=0,"",IFERROR(TRIM(INDEX('Pegar calibracion'!$A$1:$BZ$1001,388,I$2)&amp;""),""))</f>
        <v/>
      </c>
      <c r="J389">
        <f>IF(J$2=0,"",IFERROR(TRIM(INDEX('Pegar calibracion'!$A$1:$BZ$1001,388,J$2)&amp;""),""))</f>
        <v/>
      </c>
      <c r="K389">
        <f>IF(K$2=0,"",IFERROR(TRIM(INDEX('Pegar calibracion'!$A$1:$BZ$1001,388,K$2)&amp;""),""))</f>
        <v/>
      </c>
      <c r="L389">
        <f>IF(L$2=0,"",IFERROR(TRIM(INDEX('Pegar calibracion'!$A$1:$BZ$1001,388,L$2)&amp;""),""))</f>
        <v/>
      </c>
      <c r="M389" s="25">
        <f>IF(D389="","",SUBSTITUTE(SUBSTITUTE(SUBSTITUTE(SUBSTITUTE(SUBSTITUTE(SUBSTITUTE(SUBSTITUTE(SUBSTITUTE(SUBSTITUTE(SUBSTITUTE(SUBSTITUTE(SUBSTITUTE(LOWER(TRIM(D389)),"á","a"),"é","e"),"í","i"),"ó","o"),"ú","u"),"ü","u"),"ñ","n"),"à","a"),"è","e"),"ì","i"),"ò","o"),"ù","u"))</f>
        <v/>
      </c>
      <c r="N389" s="25">
        <f>IF(F389="","",SUBSTITUTE(SUBSTITUTE(SUBSTITUTE(SUBSTITUTE(SUBSTITUTE(SUBSTITUTE(SUBSTITUTE(SUBSTITUTE(SUBSTITUTE(SUBSTITUTE(SUBSTITUTE(SUBSTITUTE(LOWER(TRIM(F389)),"á","a"),"é","e"),"í","i"),"ó","o"),"ú","u"),"ü","u"),"ñ","n"),"à","a"),"è","e"),"ì","i"),"ò","o"),"ù","u"))</f>
        <v/>
      </c>
      <c r="O389" s="25">
        <f>IF(M389="confiable",2,IF(M389="dudosa",1,IF(M389="no confiable",0,"")))</f>
        <v/>
      </c>
      <c r="P389" s="25">
        <f>IF(N389="confiable",2,IF(N389="dudosa",1,IF(N389="no confiable",0,"")))</f>
        <v/>
      </c>
      <c r="Q389" s="25">
        <f>IF(AND(ISNUMBER(O389),ISNUMBER(P389)),1,"")</f>
        <v/>
      </c>
      <c r="R389" s="25">
        <f>IF(Q389=1,IF(O389=P389,"Sí","No"),"")</f>
        <v/>
      </c>
      <c r="S389" s="25">
        <f>IF(Q389=1,IF(P389&lt;O389,"Más estricto",IF(P389&gt;O389,"Más permisivo","Igual")),"")</f>
        <v/>
      </c>
      <c r="T389" s="25">
        <f>IF(Q389=1,IF(ABS(O389-P389)=2,1,0),"")</f>
        <v/>
      </c>
      <c r="U389" s="25">
        <f>IF(H389="","","|"&amp;SUBSTITUTE(SUBSTITUTE(TRIM(H389)," |","|"),"| ","|")&amp;"|")</f>
        <v/>
      </c>
      <c r="V389" s="25">
        <f>IF(AND(Q389=1,B389&lt;&gt;""),IF(IFERROR(COUNTIFS(B$3:B389,"="&amp;SUBSTITUTE(SUBSTITUTE(SUBSTITUTE(B389,"~","~~"),"*","~*"),"?","~?"),Q$3:Q389,1),0)=1,MAX(V$2:V388)+1,""),"")</f>
        <v/>
      </c>
      <c r="W389" s="25">
        <f>IF(V389="","",COUNTIFS($B$3:$B$1002,"="&amp;SUBSTITUTE(SUBSTITUTE(SUBSTITUTE(B389,"~","~~"),"*","~*"),"?","~?"),$Q$3:$Q$1002,1)*10000-V389)</f>
        <v/>
      </c>
      <c r="X389" s="25">
        <f>IF(Q389=1,IF(SUBSTITUTE(SUBSTITUTE(SUBSTITUTE(SUBSTITUTE(SUBSTITUTE(SUBSTITUTE(SUBSTITUTE(SUBSTITUTE(SUBSTITUTE(SUBSTITUTE(SUBSTITUTE(SUBSTITUTE(LOWER(TRIM(A389)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389)),"á","a"),"é","e"),"í","i"),"ó","o"),"ú","u"),"ü","u"),"ñ","n"),"à","a"),"è","e"),"ì","i"),"ò","o"),"ù","u")),"")</f>
        <v/>
      </c>
      <c r="Y389" s="25">
        <f>IF(X389="","",IF(IFERROR(COUNTIF(X$3:X389,"="&amp;SUBSTITUTE(SUBSTITUTE(SUBSTITUTE(X389,"~","~~"),"*","~*"),"?","~?")),0)=1,1,""))</f>
        <v/>
      </c>
      <c r="Z389" s="25">
        <f>IF(T389=1,MAX(Z$2:Z388)+1,"")</f>
        <v/>
      </c>
    </row>
    <row r="390">
      <c r="A390">
        <f>IF(A$2=0,"",IFERROR(TRIM(INDEX('Pegar calibracion'!$A$1:$BZ$1001,389,A$2)&amp;""),""))</f>
        <v/>
      </c>
      <c r="B390">
        <f>IF(B$2=0,"",IFERROR(TRIM(INDEX('Pegar calibracion'!$A$1:$BZ$1001,389,B$2)&amp;""),""))</f>
        <v/>
      </c>
      <c r="C390">
        <f>IF(C$2=0,"",IFERROR(TRIM(INDEX('Pegar calibracion'!$A$1:$BZ$1001,389,C$2)&amp;""),""))</f>
        <v/>
      </c>
      <c r="D390">
        <f>IF(D$2=0,"",IFERROR(TRIM(INDEX('Pegar calibracion'!$A$1:$BZ$1001,389,D$2)&amp;""),""))</f>
        <v/>
      </c>
      <c r="E390">
        <f>IF(E$2=0,"",IFERROR(TRIM(INDEX('Pegar calibracion'!$A$1:$BZ$1001,389,E$2)&amp;""),""))</f>
        <v/>
      </c>
      <c r="F390">
        <f>IF(F$2=0,"",IFERROR(TRIM(INDEX('Pegar calibracion'!$A$1:$BZ$1001,389,F$2)&amp;""),""))</f>
        <v/>
      </c>
      <c r="G390">
        <f>IF(G$2=0,"",IFERROR(TRIM(INDEX('Pegar calibracion'!$A$1:$BZ$1001,389,G$2)&amp;""),""))</f>
        <v/>
      </c>
      <c r="H390">
        <f>IF(H$2=0,"",IFERROR(TRIM(INDEX('Pegar calibracion'!$A$1:$BZ$1001,389,H$2)&amp;""),""))</f>
        <v/>
      </c>
      <c r="I390">
        <f>IF(I$2=0,"",IFERROR(TRIM(INDEX('Pegar calibracion'!$A$1:$BZ$1001,389,I$2)&amp;""),""))</f>
        <v/>
      </c>
      <c r="J390">
        <f>IF(J$2=0,"",IFERROR(TRIM(INDEX('Pegar calibracion'!$A$1:$BZ$1001,389,J$2)&amp;""),""))</f>
        <v/>
      </c>
      <c r="K390">
        <f>IF(K$2=0,"",IFERROR(TRIM(INDEX('Pegar calibracion'!$A$1:$BZ$1001,389,K$2)&amp;""),""))</f>
        <v/>
      </c>
      <c r="L390">
        <f>IF(L$2=0,"",IFERROR(TRIM(INDEX('Pegar calibracion'!$A$1:$BZ$1001,389,L$2)&amp;""),""))</f>
        <v/>
      </c>
      <c r="M390" s="25">
        <f>IF(D390="","",SUBSTITUTE(SUBSTITUTE(SUBSTITUTE(SUBSTITUTE(SUBSTITUTE(SUBSTITUTE(SUBSTITUTE(SUBSTITUTE(SUBSTITUTE(SUBSTITUTE(SUBSTITUTE(SUBSTITUTE(LOWER(TRIM(D390)),"á","a"),"é","e"),"í","i"),"ó","o"),"ú","u"),"ü","u"),"ñ","n"),"à","a"),"è","e"),"ì","i"),"ò","o"),"ù","u"))</f>
        <v/>
      </c>
      <c r="N390" s="25">
        <f>IF(F390="","",SUBSTITUTE(SUBSTITUTE(SUBSTITUTE(SUBSTITUTE(SUBSTITUTE(SUBSTITUTE(SUBSTITUTE(SUBSTITUTE(SUBSTITUTE(SUBSTITUTE(SUBSTITUTE(SUBSTITUTE(LOWER(TRIM(F390)),"á","a"),"é","e"),"í","i"),"ó","o"),"ú","u"),"ü","u"),"ñ","n"),"à","a"),"è","e"),"ì","i"),"ò","o"),"ù","u"))</f>
        <v/>
      </c>
      <c r="O390" s="25">
        <f>IF(M390="confiable",2,IF(M390="dudosa",1,IF(M390="no confiable",0,"")))</f>
        <v/>
      </c>
      <c r="P390" s="25">
        <f>IF(N390="confiable",2,IF(N390="dudosa",1,IF(N390="no confiable",0,"")))</f>
        <v/>
      </c>
      <c r="Q390" s="25">
        <f>IF(AND(ISNUMBER(O390),ISNUMBER(P390)),1,"")</f>
        <v/>
      </c>
      <c r="R390" s="25">
        <f>IF(Q390=1,IF(O390=P390,"Sí","No"),"")</f>
        <v/>
      </c>
      <c r="S390" s="25">
        <f>IF(Q390=1,IF(P390&lt;O390,"Más estricto",IF(P390&gt;O390,"Más permisivo","Igual")),"")</f>
        <v/>
      </c>
      <c r="T390" s="25">
        <f>IF(Q390=1,IF(ABS(O390-P390)=2,1,0),"")</f>
        <v/>
      </c>
      <c r="U390" s="25">
        <f>IF(H390="","","|"&amp;SUBSTITUTE(SUBSTITUTE(TRIM(H390)," |","|"),"| ","|")&amp;"|")</f>
        <v/>
      </c>
      <c r="V390" s="25">
        <f>IF(AND(Q390=1,B390&lt;&gt;""),IF(IFERROR(COUNTIFS(B$3:B390,"="&amp;SUBSTITUTE(SUBSTITUTE(SUBSTITUTE(B390,"~","~~"),"*","~*"),"?","~?"),Q$3:Q390,1),0)=1,MAX(V$2:V389)+1,""),"")</f>
        <v/>
      </c>
      <c r="W390" s="25">
        <f>IF(V390="","",COUNTIFS($B$3:$B$1002,"="&amp;SUBSTITUTE(SUBSTITUTE(SUBSTITUTE(B390,"~","~~"),"*","~*"),"?","~?"),$Q$3:$Q$1002,1)*10000-V390)</f>
        <v/>
      </c>
      <c r="X390" s="25">
        <f>IF(Q390=1,IF(SUBSTITUTE(SUBSTITUTE(SUBSTITUTE(SUBSTITUTE(SUBSTITUTE(SUBSTITUTE(SUBSTITUTE(SUBSTITUTE(SUBSTITUTE(SUBSTITUTE(SUBSTITUTE(SUBSTITUTE(LOWER(TRIM(A390)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390)),"á","a"),"é","e"),"í","i"),"ó","o"),"ú","u"),"ü","u"),"ñ","n"),"à","a"),"è","e"),"ì","i"),"ò","o"),"ù","u")),"")</f>
        <v/>
      </c>
      <c r="Y390" s="25">
        <f>IF(X390="","",IF(IFERROR(COUNTIF(X$3:X390,"="&amp;SUBSTITUTE(SUBSTITUTE(SUBSTITUTE(X390,"~","~~"),"*","~*"),"?","~?")),0)=1,1,""))</f>
        <v/>
      </c>
      <c r="Z390" s="25">
        <f>IF(T390=1,MAX(Z$2:Z389)+1,"")</f>
        <v/>
      </c>
    </row>
    <row r="391">
      <c r="A391">
        <f>IF(A$2=0,"",IFERROR(TRIM(INDEX('Pegar calibracion'!$A$1:$BZ$1001,390,A$2)&amp;""),""))</f>
        <v/>
      </c>
      <c r="B391">
        <f>IF(B$2=0,"",IFERROR(TRIM(INDEX('Pegar calibracion'!$A$1:$BZ$1001,390,B$2)&amp;""),""))</f>
        <v/>
      </c>
      <c r="C391">
        <f>IF(C$2=0,"",IFERROR(TRIM(INDEX('Pegar calibracion'!$A$1:$BZ$1001,390,C$2)&amp;""),""))</f>
        <v/>
      </c>
      <c r="D391">
        <f>IF(D$2=0,"",IFERROR(TRIM(INDEX('Pegar calibracion'!$A$1:$BZ$1001,390,D$2)&amp;""),""))</f>
        <v/>
      </c>
      <c r="E391">
        <f>IF(E$2=0,"",IFERROR(TRIM(INDEX('Pegar calibracion'!$A$1:$BZ$1001,390,E$2)&amp;""),""))</f>
        <v/>
      </c>
      <c r="F391">
        <f>IF(F$2=0,"",IFERROR(TRIM(INDEX('Pegar calibracion'!$A$1:$BZ$1001,390,F$2)&amp;""),""))</f>
        <v/>
      </c>
      <c r="G391">
        <f>IF(G$2=0,"",IFERROR(TRIM(INDEX('Pegar calibracion'!$A$1:$BZ$1001,390,G$2)&amp;""),""))</f>
        <v/>
      </c>
      <c r="H391">
        <f>IF(H$2=0,"",IFERROR(TRIM(INDEX('Pegar calibracion'!$A$1:$BZ$1001,390,H$2)&amp;""),""))</f>
        <v/>
      </c>
      <c r="I391">
        <f>IF(I$2=0,"",IFERROR(TRIM(INDEX('Pegar calibracion'!$A$1:$BZ$1001,390,I$2)&amp;""),""))</f>
        <v/>
      </c>
      <c r="J391">
        <f>IF(J$2=0,"",IFERROR(TRIM(INDEX('Pegar calibracion'!$A$1:$BZ$1001,390,J$2)&amp;""),""))</f>
        <v/>
      </c>
      <c r="K391">
        <f>IF(K$2=0,"",IFERROR(TRIM(INDEX('Pegar calibracion'!$A$1:$BZ$1001,390,K$2)&amp;""),""))</f>
        <v/>
      </c>
      <c r="L391">
        <f>IF(L$2=0,"",IFERROR(TRIM(INDEX('Pegar calibracion'!$A$1:$BZ$1001,390,L$2)&amp;""),""))</f>
        <v/>
      </c>
      <c r="M391" s="25">
        <f>IF(D391="","",SUBSTITUTE(SUBSTITUTE(SUBSTITUTE(SUBSTITUTE(SUBSTITUTE(SUBSTITUTE(SUBSTITUTE(SUBSTITUTE(SUBSTITUTE(SUBSTITUTE(SUBSTITUTE(SUBSTITUTE(LOWER(TRIM(D391)),"á","a"),"é","e"),"í","i"),"ó","o"),"ú","u"),"ü","u"),"ñ","n"),"à","a"),"è","e"),"ì","i"),"ò","o"),"ù","u"))</f>
        <v/>
      </c>
      <c r="N391" s="25">
        <f>IF(F391="","",SUBSTITUTE(SUBSTITUTE(SUBSTITUTE(SUBSTITUTE(SUBSTITUTE(SUBSTITUTE(SUBSTITUTE(SUBSTITUTE(SUBSTITUTE(SUBSTITUTE(SUBSTITUTE(SUBSTITUTE(LOWER(TRIM(F391)),"á","a"),"é","e"),"í","i"),"ó","o"),"ú","u"),"ü","u"),"ñ","n"),"à","a"),"è","e"),"ì","i"),"ò","o"),"ù","u"))</f>
        <v/>
      </c>
      <c r="O391" s="25">
        <f>IF(M391="confiable",2,IF(M391="dudosa",1,IF(M391="no confiable",0,"")))</f>
        <v/>
      </c>
      <c r="P391" s="25">
        <f>IF(N391="confiable",2,IF(N391="dudosa",1,IF(N391="no confiable",0,"")))</f>
        <v/>
      </c>
      <c r="Q391" s="25">
        <f>IF(AND(ISNUMBER(O391),ISNUMBER(P391)),1,"")</f>
        <v/>
      </c>
      <c r="R391" s="25">
        <f>IF(Q391=1,IF(O391=P391,"Sí","No"),"")</f>
        <v/>
      </c>
      <c r="S391" s="25">
        <f>IF(Q391=1,IF(P391&lt;O391,"Más estricto",IF(P391&gt;O391,"Más permisivo","Igual")),"")</f>
        <v/>
      </c>
      <c r="T391" s="25">
        <f>IF(Q391=1,IF(ABS(O391-P391)=2,1,0),"")</f>
        <v/>
      </c>
      <c r="U391" s="25">
        <f>IF(H391="","","|"&amp;SUBSTITUTE(SUBSTITUTE(TRIM(H391)," |","|"),"| ","|")&amp;"|")</f>
        <v/>
      </c>
      <c r="V391" s="25">
        <f>IF(AND(Q391=1,B391&lt;&gt;""),IF(IFERROR(COUNTIFS(B$3:B391,"="&amp;SUBSTITUTE(SUBSTITUTE(SUBSTITUTE(B391,"~","~~"),"*","~*"),"?","~?"),Q$3:Q391,1),0)=1,MAX(V$2:V390)+1,""),"")</f>
        <v/>
      </c>
      <c r="W391" s="25">
        <f>IF(V391="","",COUNTIFS($B$3:$B$1002,"="&amp;SUBSTITUTE(SUBSTITUTE(SUBSTITUTE(B391,"~","~~"),"*","~*"),"?","~?"),$Q$3:$Q$1002,1)*10000-V391)</f>
        <v/>
      </c>
      <c r="X391" s="25">
        <f>IF(Q391=1,IF(SUBSTITUTE(SUBSTITUTE(SUBSTITUTE(SUBSTITUTE(SUBSTITUTE(SUBSTITUTE(SUBSTITUTE(SUBSTITUTE(SUBSTITUTE(SUBSTITUTE(SUBSTITUTE(SUBSTITUTE(LOWER(TRIM(A391)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391)),"á","a"),"é","e"),"í","i"),"ó","o"),"ú","u"),"ü","u"),"ñ","n"),"à","a"),"è","e"),"ì","i"),"ò","o"),"ù","u")),"")</f>
        <v/>
      </c>
      <c r="Y391" s="25">
        <f>IF(X391="","",IF(IFERROR(COUNTIF(X$3:X391,"="&amp;SUBSTITUTE(SUBSTITUTE(SUBSTITUTE(X391,"~","~~"),"*","~*"),"?","~?")),0)=1,1,""))</f>
        <v/>
      </c>
      <c r="Z391" s="25">
        <f>IF(T391=1,MAX(Z$2:Z390)+1,"")</f>
        <v/>
      </c>
    </row>
    <row r="392">
      <c r="A392">
        <f>IF(A$2=0,"",IFERROR(TRIM(INDEX('Pegar calibracion'!$A$1:$BZ$1001,391,A$2)&amp;""),""))</f>
        <v/>
      </c>
      <c r="B392">
        <f>IF(B$2=0,"",IFERROR(TRIM(INDEX('Pegar calibracion'!$A$1:$BZ$1001,391,B$2)&amp;""),""))</f>
        <v/>
      </c>
      <c r="C392">
        <f>IF(C$2=0,"",IFERROR(TRIM(INDEX('Pegar calibracion'!$A$1:$BZ$1001,391,C$2)&amp;""),""))</f>
        <v/>
      </c>
      <c r="D392">
        <f>IF(D$2=0,"",IFERROR(TRIM(INDEX('Pegar calibracion'!$A$1:$BZ$1001,391,D$2)&amp;""),""))</f>
        <v/>
      </c>
      <c r="E392">
        <f>IF(E$2=0,"",IFERROR(TRIM(INDEX('Pegar calibracion'!$A$1:$BZ$1001,391,E$2)&amp;""),""))</f>
        <v/>
      </c>
      <c r="F392">
        <f>IF(F$2=0,"",IFERROR(TRIM(INDEX('Pegar calibracion'!$A$1:$BZ$1001,391,F$2)&amp;""),""))</f>
        <v/>
      </c>
      <c r="G392">
        <f>IF(G$2=0,"",IFERROR(TRIM(INDEX('Pegar calibracion'!$A$1:$BZ$1001,391,G$2)&amp;""),""))</f>
        <v/>
      </c>
      <c r="H392">
        <f>IF(H$2=0,"",IFERROR(TRIM(INDEX('Pegar calibracion'!$A$1:$BZ$1001,391,H$2)&amp;""),""))</f>
        <v/>
      </c>
      <c r="I392">
        <f>IF(I$2=0,"",IFERROR(TRIM(INDEX('Pegar calibracion'!$A$1:$BZ$1001,391,I$2)&amp;""),""))</f>
        <v/>
      </c>
      <c r="J392">
        <f>IF(J$2=0,"",IFERROR(TRIM(INDEX('Pegar calibracion'!$A$1:$BZ$1001,391,J$2)&amp;""),""))</f>
        <v/>
      </c>
      <c r="K392">
        <f>IF(K$2=0,"",IFERROR(TRIM(INDEX('Pegar calibracion'!$A$1:$BZ$1001,391,K$2)&amp;""),""))</f>
        <v/>
      </c>
      <c r="L392">
        <f>IF(L$2=0,"",IFERROR(TRIM(INDEX('Pegar calibracion'!$A$1:$BZ$1001,391,L$2)&amp;""),""))</f>
        <v/>
      </c>
      <c r="M392" s="25">
        <f>IF(D392="","",SUBSTITUTE(SUBSTITUTE(SUBSTITUTE(SUBSTITUTE(SUBSTITUTE(SUBSTITUTE(SUBSTITUTE(SUBSTITUTE(SUBSTITUTE(SUBSTITUTE(SUBSTITUTE(SUBSTITUTE(LOWER(TRIM(D392)),"á","a"),"é","e"),"í","i"),"ó","o"),"ú","u"),"ü","u"),"ñ","n"),"à","a"),"è","e"),"ì","i"),"ò","o"),"ù","u"))</f>
        <v/>
      </c>
      <c r="N392" s="25">
        <f>IF(F392="","",SUBSTITUTE(SUBSTITUTE(SUBSTITUTE(SUBSTITUTE(SUBSTITUTE(SUBSTITUTE(SUBSTITUTE(SUBSTITUTE(SUBSTITUTE(SUBSTITUTE(SUBSTITUTE(SUBSTITUTE(LOWER(TRIM(F392)),"á","a"),"é","e"),"í","i"),"ó","o"),"ú","u"),"ü","u"),"ñ","n"),"à","a"),"è","e"),"ì","i"),"ò","o"),"ù","u"))</f>
        <v/>
      </c>
      <c r="O392" s="25">
        <f>IF(M392="confiable",2,IF(M392="dudosa",1,IF(M392="no confiable",0,"")))</f>
        <v/>
      </c>
      <c r="P392" s="25">
        <f>IF(N392="confiable",2,IF(N392="dudosa",1,IF(N392="no confiable",0,"")))</f>
        <v/>
      </c>
      <c r="Q392" s="25">
        <f>IF(AND(ISNUMBER(O392),ISNUMBER(P392)),1,"")</f>
        <v/>
      </c>
      <c r="R392" s="25">
        <f>IF(Q392=1,IF(O392=P392,"Sí","No"),"")</f>
        <v/>
      </c>
      <c r="S392" s="25">
        <f>IF(Q392=1,IF(P392&lt;O392,"Más estricto",IF(P392&gt;O392,"Más permisivo","Igual")),"")</f>
        <v/>
      </c>
      <c r="T392" s="25">
        <f>IF(Q392=1,IF(ABS(O392-P392)=2,1,0),"")</f>
        <v/>
      </c>
      <c r="U392" s="25">
        <f>IF(H392="","","|"&amp;SUBSTITUTE(SUBSTITUTE(TRIM(H392)," |","|"),"| ","|")&amp;"|")</f>
        <v/>
      </c>
      <c r="V392" s="25">
        <f>IF(AND(Q392=1,B392&lt;&gt;""),IF(IFERROR(COUNTIFS(B$3:B392,"="&amp;SUBSTITUTE(SUBSTITUTE(SUBSTITUTE(B392,"~","~~"),"*","~*"),"?","~?"),Q$3:Q392,1),0)=1,MAX(V$2:V391)+1,""),"")</f>
        <v/>
      </c>
      <c r="W392" s="25">
        <f>IF(V392="","",COUNTIFS($B$3:$B$1002,"="&amp;SUBSTITUTE(SUBSTITUTE(SUBSTITUTE(B392,"~","~~"),"*","~*"),"?","~?"),$Q$3:$Q$1002,1)*10000-V392)</f>
        <v/>
      </c>
      <c r="X392" s="25">
        <f>IF(Q392=1,IF(SUBSTITUTE(SUBSTITUTE(SUBSTITUTE(SUBSTITUTE(SUBSTITUTE(SUBSTITUTE(SUBSTITUTE(SUBSTITUTE(SUBSTITUTE(SUBSTITUTE(SUBSTITUTE(SUBSTITUTE(LOWER(TRIM(A392)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392)),"á","a"),"é","e"),"í","i"),"ó","o"),"ú","u"),"ü","u"),"ñ","n"),"à","a"),"è","e"),"ì","i"),"ò","o"),"ù","u")),"")</f>
        <v/>
      </c>
      <c r="Y392" s="25">
        <f>IF(X392="","",IF(IFERROR(COUNTIF(X$3:X392,"="&amp;SUBSTITUTE(SUBSTITUTE(SUBSTITUTE(X392,"~","~~"),"*","~*"),"?","~?")),0)=1,1,""))</f>
        <v/>
      </c>
      <c r="Z392" s="25">
        <f>IF(T392=1,MAX(Z$2:Z391)+1,"")</f>
        <v/>
      </c>
    </row>
    <row r="393">
      <c r="A393">
        <f>IF(A$2=0,"",IFERROR(TRIM(INDEX('Pegar calibracion'!$A$1:$BZ$1001,392,A$2)&amp;""),""))</f>
        <v/>
      </c>
      <c r="B393">
        <f>IF(B$2=0,"",IFERROR(TRIM(INDEX('Pegar calibracion'!$A$1:$BZ$1001,392,B$2)&amp;""),""))</f>
        <v/>
      </c>
      <c r="C393">
        <f>IF(C$2=0,"",IFERROR(TRIM(INDEX('Pegar calibracion'!$A$1:$BZ$1001,392,C$2)&amp;""),""))</f>
        <v/>
      </c>
      <c r="D393">
        <f>IF(D$2=0,"",IFERROR(TRIM(INDEX('Pegar calibracion'!$A$1:$BZ$1001,392,D$2)&amp;""),""))</f>
        <v/>
      </c>
      <c r="E393">
        <f>IF(E$2=0,"",IFERROR(TRIM(INDEX('Pegar calibracion'!$A$1:$BZ$1001,392,E$2)&amp;""),""))</f>
        <v/>
      </c>
      <c r="F393">
        <f>IF(F$2=0,"",IFERROR(TRIM(INDEX('Pegar calibracion'!$A$1:$BZ$1001,392,F$2)&amp;""),""))</f>
        <v/>
      </c>
      <c r="G393">
        <f>IF(G$2=0,"",IFERROR(TRIM(INDEX('Pegar calibracion'!$A$1:$BZ$1001,392,G$2)&amp;""),""))</f>
        <v/>
      </c>
      <c r="H393">
        <f>IF(H$2=0,"",IFERROR(TRIM(INDEX('Pegar calibracion'!$A$1:$BZ$1001,392,H$2)&amp;""),""))</f>
        <v/>
      </c>
      <c r="I393">
        <f>IF(I$2=0,"",IFERROR(TRIM(INDEX('Pegar calibracion'!$A$1:$BZ$1001,392,I$2)&amp;""),""))</f>
        <v/>
      </c>
      <c r="J393">
        <f>IF(J$2=0,"",IFERROR(TRIM(INDEX('Pegar calibracion'!$A$1:$BZ$1001,392,J$2)&amp;""),""))</f>
        <v/>
      </c>
      <c r="K393">
        <f>IF(K$2=0,"",IFERROR(TRIM(INDEX('Pegar calibracion'!$A$1:$BZ$1001,392,K$2)&amp;""),""))</f>
        <v/>
      </c>
      <c r="L393">
        <f>IF(L$2=0,"",IFERROR(TRIM(INDEX('Pegar calibracion'!$A$1:$BZ$1001,392,L$2)&amp;""),""))</f>
        <v/>
      </c>
      <c r="M393" s="25">
        <f>IF(D393="","",SUBSTITUTE(SUBSTITUTE(SUBSTITUTE(SUBSTITUTE(SUBSTITUTE(SUBSTITUTE(SUBSTITUTE(SUBSTITUTE(SUBSTITUTE(SUBSTITUTE(SUBSTITUTE(SUBSTITUTE(LOWER(TRIM(D393)),"á","a"),"é","e"),"í","i"),"ó","o"),"ú","u"),"ü","u"),"ñ","n"),"à","a"),"è","e"),"ì","i"),"ò","o"),"ù","u"))</f>
        <v/>
      </c>
      <c r="N393" s="25">
        <f>IF(F393="","",SUBSTITUTE(SUBSTITUTE(SUBSTITUTE(SUBSTITUTE(SUBSTITUTE(SUBSTITUTE(SUBSTITUTE(SUBSTITUTE(SUBSTITUTE(SUBSTITUTE(SUBSTITUTE(SUBSTITUTE(LOWER(TRIM(F393)),"á","a"),"é","e"),"í","i"),"ó","o"),"ú","u"),"ü","u"),"ñ","n"),"à","a"),"è","e"),"ì","i"),"ò","o"),"ù","u"))</f>
        <v/>
      </c>
      <c r="O393" s="25">
        <f>IF(M393="confiable",2,IF(M393="dudosa",1,IF(M393="no confiable",0,"")))</f>
        <v/>
      </c>
      <c r="P393" s="25">
        <f>IF(N393="confiable",2,IF(N393="dudosa",1,IF(N393="no confiable",0,"")))</f>
        <v/>
      </c>
      <c r="Q393" s="25">
        <f>IF(AND(ISNUMBER(O393),ISNUMBER(P393)),1,"")</f>
        <v/>
      </c>
      <c r="R393" s="25">
        <f>IF(Q393=1,IF(O393=P393,"Sí","No"),"")</f>
        <v/>
      </c>
      <c r="S393" s="25">
        <f>IF(Q393=1,IF(P393&lt;O393,"Más estricto",IF(P393&gt;O393,"Más permisivo","Igual")),"")</f>
        <v/>
      </c>
      <c r="T393" s="25">
        <f>IF(Q393=1,IF(ABS(O393-P393)=2,1,0),"")</f>
        <v/>
      </c>
      <c r="U393" s="25">
        <f>IF(H393="","","|"&amp;SUBSTITUTE(SUBSTITUTE(TRIM(H393)," |","|"),"| ","|")&amp;"|")</f>
        <v/>
      </c>
      <c r="V393" s="25">
        <f>IF(AND(Q393=1,B393&lt;&gt;""),IF(IFERROR(COUNTIFS(B$3:B393,"="&amp;SUBSTITUTE(SUBSTITUTE(SUBSTITUTE(B393,"~","~~"),"*","~*"),"?","~?"),Q$3:Q393,1),0)=1,MAX(V$2:V392)+1,""),"")</f>
        <v/>
      </c>
      <c r="W393" s="25">
        <f>IF(V393="","",COUNTIFS($B$3:$B$1002,"="&amp;SUBSTITUTE(SUBSTITUTE(SUBSTITUTE(B393,"~","~~"),"*","~*"),"?","~?"),$Q$3:$Q$1002,1)*10000-V393)</f>
        <v/>
      </c>
      <c r="X393" s="25">
        <f>IF(Q393=1,IF(SUBSTITUTE(SUBSTITUTE(SUBSTITUTE(SUBSTITUTE(SUBSTITUTE(SUBSTITUTE(SUBSTITUTE(SUBSTITUTE(SUBSTITUTE(SUBSTITUTE(SUBSTITUTE(SUBSTITUTE(LOWER(TRIM(A393)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393)),"á","a"),"é","e"),"í","i"),"ó","o"),"ú","u"),"ü","u"),"ñ","n"),"à","a"),"è","e"),"ì","i"),"ò","o"),"ù","u")),"")</f>
        <v/>
      </c>
      <c r="Y393" s="25">
        <f>IF(X393="","",IF(IFERROR(COUNTIF(X$3:X393,"="&amp;SUBSTITUTE(SUBSTITUTE(SUBSTITUTE(X393,"~","~~"),"*","~*"),"?","~?")),0)=1,1,""))</f>
        <v/>
      </c>
      <c r="Z393" s="25">
        <f>IF(T393=1,MAX(Z$2:Z392)+1,"")</f>
        <v/>
      </c>
    </row>
    <row r="394">
      <c r="A394">
        <f>IF(A$2=0,"",IFERROR(TRIM(INDEX('Pegar calibracion'!$A$1:$BZ$1001,393,A$2)&amp;""),""))</f>
        <v/>
      </c>
      <c r="B394">
        <f>IF(B$2=0,"",IFERROR(TRIM(INDEX('Pegar calibracion'!$A$1:$BZ$1001,393,B$2)&amp;""),""))</f>
        <v/>
      </c>
      <c r="C394">
        <f>IF(C$2=0,"",IFERROR(TRIM(INDEX('Pegar calibracion'!$A$1:$BZ$1001,393,C$2)&amp;""),""))</f>
        <v/>
      </c>
      <c r="D394">
        <f>IF(D$2=0,"",IFERROR(TRIM(INDEX('Pegar calibracion'!$A$1:$BZ$1001,393,D$2)&amp;""),""))</f>
        <v/>
      </c>
      <c r="E394">
        <f>IF(E$2=0,"",IFERROR(TRIM(INDEX('Pegar calibracion'!$A$1:$BZ$1001,393,E$2)&amp;""),""))</f>
        <v/>
      </c>
      <c r="F394">
        <f>IF(F$2=0,"",IFERROR(TRIM(INDEX('Pegar calibracion'!$A$1:$BZ$1001,393,F$2)&amp;""),""))</f>
        <v/>
      </c>
      <c r="G394">
        <f>IF(G$2=0,"",IFERROR(TRIM(INDEX('Pegar calibracion'!$A$1:$BZ$1001,393,G$2)&amp;""),""))</f>
        <v/>
      </c>
      <c r="H394">
        <f>IF(H$2=0,"",IFERROR(TRIM(INDEX('Pegar calibracion'!$A$1:$BZ$1001,393,H$2)&amp;""),""))</f>
        <v/>
      </c>
      <c r="I394">
        <f>IF(I$2=0,"",IFERROR(TRIM(INDEX('Pegar calibracion'!$A$1:$BZ$1001,393,I$2)&amp;""),""))</f>
        <v/>
      </c>
      <c r="J394">
        <f>IF(J$2=0,"",IFERROR(TRIM(INDEX('Pegar calibracion'!$A$1:$BZ$1001,393,J$2)&amp;""),""))</f>
        <v/>
      </c>
      <c r="K394">
        <f>IF(K$2=0,"",IFERROR(TRIM(INDEX('Pegar calibracion'!$A$1:$BZ$1001,393,K$2)&amp;""),""))</f>
        <v/>
      </c>
      <c r="L394">
        <f>IF(L$2=0,"",IFERROR(TRIM(INDEX('Pegar calibracion'!$A$1:$BZ$1001,393,L$2)&amp;""),""))</f>
        <v/>
      </c>
      <c r="M394" s="25">
        <f>IF(D394="","",SUBSTITUTE(SUBSTITUTE(SUBSTITUTE(SUBSTITUTE(SUBSTITUTE(SUBSTITUTE(SUBSTITUTE(SUBSTITUTE(SUBSTITUTE(SUBSTITUTE(SUBSTITUTE(SUBSTITUTE(LOWER(TRIM(D394)),"á","a"),"é","e"),"í","i"),"ó","o"),"ú","u"),"ü","u"),"ñ","n"),"à","a"),"è","e"),"ì","i"),"ò","o"),"ù","u"))</f>
        <v/>
      </c>
      <c r="N394" s="25">
        <f>IF(F394="","",SUBSTITUTE(SUBSTITUTE(SUBSTITUTE(SUBSTITUTE(SUBSTITUTE(SUBSTITUTE(SUBSTITUTE(SUBSTITUTE(SUBSTITUTE(SUBSTITUTE(SUBSTITUTE(SUBSTITUTE(LOWER(TRIM(F394)),"á","a"),"é","e"),"í","i"),"ó","o"),"ú","u"),"ü","u"),"ñ","n"),"à","a"),"è","e"),"ì","i"),"ò","o"),"ù","u"))</f>
        <v/>
      </c>
      <c r="O394" s="25">
        <f>IF(M394="confiable",2,IF(M394="dudosa",1,IF(M394="no confiable",0,"")))</f>
        <v/>
      </c>
      <c r="P394" s="25">
        <f>IF(N394="confiable",2,IF(N394="dudosa",1,IF(N394="no confiable",0,"")))</f>
        <v/>
      </c>
      <c r="Q394" s="25">
        <f>IF(AND(ISNUMBER(O394),ISNUMBER(P394)),1,"")</f>
        <v/>
      </c>
      <c r="R394" s="25">
        <f>IF(Q394=1,IF(O394=P394,"Sí","No"),"")</f>
        <v/>
      </c>
      <c r="S394" s="25">
        <f>IF(Q394=1,IF(P394&lt;O394,"Más estricto",IF(P394&gt;O394,"Más permisivo","Igual")),"")</f>
        <v/>
      </c>
      <c r="T394" s="25">
        <f>IF(Q394=1,IF(ABS(O394-P394)=2,1,0),"")</f>
        <v/>
      </c>
      <c r="U394" s="25">
        <f>IF(H394="","","|"&amp;SUBSTITUTE(SUBSTITUTE(TRIM(H394)," |","|"),"| ","|")&amp;"|")</f>
        <v/>
      </c>
      <c r="V394" s="25">
        <f>IF(AND(Q394=1,B394&lt;&gt;""),IF(IFERROR(COUNTIFS(B$3:B394,"="&amp;SUBSTITUTE(SUBSTITUTE(SUBSTITUTE(B394,"~","~~"),"*","~*"),"?","~?"),Q$3:Q394,1),0)=1,MAX(V$2:V393)+1,""),"")</f>
        <v/>
      </c>
      <c r="W394" s="25">
        <f>IF(V394="","",COUNTIFS($B$3:$B$1002,"="&amp;SUBSTITUTE(SUBSTITUTE(SUBSTITUTE(B394,"~","~~"),"*","~*"),"?","~?"),$Q$3:$Q$1002,1)*10000-V394)</f>
        <v/>
      </c>
      <c r="X394" s="25">
        <f>IF(Q394=1,IF(SUBSTITUTE(SUBSTITUTE(SUBSTITUTE(SUBSTITUTE(SUBSTITUTE(SUBSTITUTE(SUBSTITUTE(SUBSTITUTE(SUBSTITUTE(SUBSTITUTE(SUBSTITUTE(SUBSTITUTE(LOWER(TRIM(A394)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394)),"á","a"),"é","e"),"í","i"),"ó","o"),"ú","u"),"ü","u"),"ñ","n"),"à","a"),"è","e"),"ì","i"),"ò","o"),"ù","u")),"")</f>
        <v/>
      </c>
      <c r="Y394" s="25">
        <f>IF(X394="","",IF(IFERROR(COUNTIF(X$3:X394,"="&amp;SUBSTITUTE(SUBSTITUTE(SUBSTITUTE(X394,"~","~~"),"*","~*"),"?","~?")),0)=1,1,""))</f>
        <v/>
      </c>
      <c r="Z394" s="25">
        <f>IF(T394=1,MAX(Z$2:Z393)+1,"")</f>
        <v/>
      </c>
    </row>
    <row r="395">
      <c r="A395">
        <f>IF(A$2=0,"",IFERROR(TRIM(INDEX('Pegar calibracion'!$A$1:$BZ$1001,394,A$2)&amp;""),""))</f>
        <v/>
      </c>
      <c r="B395">
        <f>IF(B$2=0,"",IFERROR(TRIM(INDEX('Pegar calibracion'!$A$1:$BZ$1001,394,B$2)&amp;""),""))</f>
        <v/>
      </c>
      <c r="C395">
        <f>IF(C$2=0,"",IFERROR(TRIM(INDEX('Pegar calibracion'!$A$1:$BZ$1001,394,C$2)&amp;""),""))</f>
        <v/>
      </c>
      <c r="D395">
        <f>IF(D$2=0,"",IFERROR(TRIM(INDEX('Pegar calibracion'!$A$1:$BZ$1001,394,D$2)&amp;""),""))</f>
        <v/>
      </c>
      <c r="E395">
        <f>IF(E$2=0,"",IFERROR(TRIM(INDEX('Pegar calibracion'!$A$1:$BZ$1001,394,E$2)&amp;""),""))</f>
        <v/>
      </c>
      <c r="F395">
        <f>IF(F$2=0,"",IFERROR(TRIM(INDEX('Pegar calibracion'!$A$1:$BZ$1001,394,F$2)&amp;""),""))</f>
        <v/>
      </c>
      <c r="G395">
        <f>IF(G$2=0,"",IFERROR(TRIM(INDEX('Pegar calibracion'!$A$1:$BZ$1001,394,G$2)&amp;""),""))</f>
        <v/>
      </c>
      <c r="H395">
        <f>IF(H$2=0,"",IFERROR(TRIM(INDEX('Pegar calibracion'!$A$1:$BZ$1001,394,H$2)&amp;""),""))</f>
        <v/>
      </c>
      <c r="I395">
        <f>IF(I$2=0,"",IFERROR(TRIM(INDEX('Pegar calibracion'!$A$1:$BZ$1001,394,I$2)&amp;""),""))</f>
        <v/>
      </c>
      <c r="J395">
        <f>IF(J$2=0,"",IFERROR(TRIM(INDEX('Pegar calibracion'!$A$1:$BZ$1001,394,J$2)&amp;""),""))</f>
        <v/>
      </c>
      <c r="K395">
        <f>IF(K$2=0,"",IFERROR(TRIM(INDEX('Pegar calibracion'!$A$1:$BZ$1001,394,K$2)&amp;""),""))</f>
        <v/>
      </c>
      <c r="L395">
        <f>IF(L$2=0,"",IFERROR(TRIM(INDEX('Pegar calibracion'!$A$1:$BZ$1001,394,L$2)&amp;""),""))</f>
        <v/>
      </c>
      <c r="M395" s="25">
        <f>IF(D395="","",SUBSTITUTE(SUBSTITUTE(SUBSTITUTE(SUBSTITUTE(SUBSTITUTE(SUBSTITUTE(SUBSTITUTE(SUBSTITUTE(SUBSTITUTE(SUBSTITUTE(SUBSTITUTE(SUBSTITUTE(LOWER(TRIM(D395)),"á","a"),"é","e"),"í","i"),"ó","o"),"ú","u"),"ü","u"),"ñ","n"),"à","a"),"è","e"),"ì","i"),"ò","o"),"ù","u"))</f>
        <v/>
      </c>
      <c r="N395" s="25">
        <f>IF(F395="","",SUBSTITUTE(SUBSTITUTE(SUBSTITUTE(SUBSTITUTE(SUBSTITUTE(SUBSTITUTE(SUBSTITUTE(SUBSTITUTE(SUBSTITUTE(SUBSTITUTE(SUBSTITUTE(SUBSTITUTE(LOWER(TRIM(F395)),"á","a"),"é","e"),"í","i"),"ó","o"),"ú","u"),"ü","u"),"ñ","n"),"à","a"),"è","e"),"ì","i"),"ò","o"),"ù","u"))</f>
        <v/>
      </c>
      <c r="O395" s="25">
        <f>IF(M395="confiable",2,IF(M395="dudosa",1,IF(M395="no confiable",0,"")))</f>
        <v/>
      </c>
      <c r="P395" s="25">
        <f>IF(N395="confiable",2,IF(N395="dudosa",1,IF(N395="no confiable",0,"")))</f>
        <v/>
      </c>
      <c r="Q395" s="25">
        <f>IF(AND(ISNUMBER(O395),ISNUMBER(P395)),1,"")</f>
        <v/>
      </c>
      <c r="R395" s="25">
        <f>IF(Q395=1,IF(O395=P395,"Sí","No"),"")</f>
        <v/>
      </c>
      <c r="S395" s="25">
        <f>IF(Q395=1,IF(P395&lt;O395,"Más estricto",IF(P395&gt;O395,"Más permisivo","Igual")),"")</f>
        <v/>
      </c>
      <c r="T395" s="25">
        <f>IF(Q395=1,IF(ABS(O395-P395)=2,1,0),"")</f>
        <v/>
      </c>
      <c r="U395" s="25">
        <f>IF(H395="","","|"&amp;SUBSTITUTE(SUBSTITUTE(TRIM(H395)," |","|"),"| ","|")&amp;"|")</f>
        <v/>
      </c>
      <c r="V395" s="25">
        <f>IF(AND(Q395=1,B395&lt;&gt;""),IF(IFERROR(COUNTIFS(B$3:B395,"="&amp;SUBSTITUTE(SUBSTITUTE(SUBSTITUTE(B395,"~","~~"),"*","~*"),"?","~?"),Q$3:Q395,1),0)=1,MAX(V$2:V394)+1,""),"")</f>
        <v/>
      </c>
      <c r="W395" s="25">
        <f>IF(V395="","",COUNTIFS($B$3:$B$1002,"="&amp;SUBSTITUTE(SUBSTITUTE(SUBSTITUTE(B395,"~","~~"),"*","~*"),"?","~?"),$Q$3:$Q$1002,1)*10000-V395)</f>
        <v/>
      </c>
      <c r="X395" s="25">
        <f>IF(Q395=1,IF(SUBSTITUTE(SUBSTITUTE(SUBSTITUTE(SUBSTITUTE(SUBSTITUTE(SUBSTITUTE(SUBSTITUTE(SUBSTITUTE(SUBSTITUTE(SUBSTITUTE(SUBSTITUTE(SUBSTITUTE(LOWER(TRIM(A395)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395)),"á","a"),"é","e"),"í","i"),"ó","o"),"ú","u"),"ü","u"),"ñ","n"),"à","a"),"è","e"),"ì","i"),"ò","o"),"ù","u")),"")</f>
        <v/>
      </c>
      <c r="Y395" s="25">
        <f>IF(X395="","",IF(IFERROR(COUNTIF(X$3:X395,"="&amp;SUBSTITUTE(SUBSTITUTE(SUBSTITUTE(X395,"~","~~"),"*","~*"),"?","~?")),0)=1,1,""))</f>
        <v/>
      </c>
      <c r="Z395" s="25">
        <f>IF(T395=1,MAX(Z$2:Z394)+1,"")</f>
        <v/>
      </c>
    </row>
    <row r="396">
      <c r="A396">
        <f>IF(A$2=0,"",IFERROR(TRIM(INDEX('Pegar calibracion'!$A$1:$BZ$1001,395,A$2)&amp;""),""))</f>
        <v/>
      </c>
      <c r="B396">
        <f>IF(B$2=0,"",IFERROR(TRIM(INDEX('Pegar calibracion'!$A$1:$BZ$1001,395,B$2)&amp;""),""))</f>
        <v/>
      </c>
      <c r="C396">
        <f>IF(C$2=0,"",IFERROR(TRIM(INDEX('Pegar calibracion'!$A$1:$BZ$1001,395,C$2)&amp;""),""))</f>
        <v/>
      </c>
      <c r="D396">
        <f>IF(D$2=0,"",IFERROR(TRIM(INDEX('Pegar calibracion'!$A$1:$BZ$1001,395,D$2)&amp;""),""))</f>
        <v/>
      </c>
      <c r="E396">
        <f>IF(E$2=0,"",IFERROR(TRIM(INDEX('Pegar calibracion'!$A$1:$BZ$1001,395,E$2)&amp;""),""))</f>
        <v/>
      </c>
      <c r="F396">
        <f>IF(F$2=0,"",IFERROR(TRIM(INDEX('Pegar calibracion'!$A$1:$BZ$1001,395,F$2)&amp;""),""))</f>
        <v/>
      </c>
      <c r="G396">
        <f>IF(G$2=0,"",IFERROR(TRIM(INDEX('Pegar calibracion'!$A$1:$BZ$1001,395,G$2)&amp;""),""))</f>
        <v/>
      </c>
      <c r="H396">
        <f>IF(H$2=0,"",IFERROR(TRIM(INDEX('Pegar calibracion'!$A$1:$BZ$1001,395,H$2)&amp;""),""))</f>
        <v/>
      </c>
      <c r="I396">
        <f>IF(I$2=0,"",IFERROR(TRIM(INDEX('Pegar calibracion'!$A$1:$BZ$1001,395,I$2)&amp;""),""))</f>
        <v/>
      </c>
      <c r="J396">
        <f>IF(J$2=0,"",IFERROR(TRIM(INDEX('Pegar calibracion'!$A$1:$BZ$1001,395,J$2)&amp;""),""))</f>
        <v/>
      </c>
      <c r="K396">
        <f>IF(K$2=0,"",IFERROR(TRIM(INDEX('Pegar calibracion'!$A$1:$BZ$1001,395,K$2)&amp;""),""))</f>
        <v/>
      </c>
      <c r="L396">
        <f>IF(L$2=0,"",IFERROR(TRIM(INDEX('Pegar calibracion'!$A$1:$BZ$1001,395,L$2)&amp;""),""))</f>
        <v/>
      </c>
      <c r="M396" s="25">
        <f>IF(D396="","",SUBSTITUTE(SUBSTITUTE(SUBSTITUTE(SUBSTITUTE(SUBSTITUTE(SUBSTITUTE(SUBSTITUTE(SUBSTITUTE(SUBSTITUTE(SUBSTITUTE(SUBSTITUTE(SUBSTITUTE(LOWER(TRIM(D396)),"á","a"),"é","e"),"í","i"),"ó","o"),"ú","u"),"ü","u"),"ñ","n"),"à","a"),"è","e"),"ì","i"),"ò","o"),"ù","u"))</f>
        <v/>
      </c>
      <c r="N396" s="25">
        <f>IF(F396="","",SUBSTITUTE(SUBSTITUTE(SUBSTITUTE(SUBSTITUTE(SUBSTITUTE(SUBSTITUTE(SUBSTITUTE(SUBSTITUTE(SUBSTITUTE(SUBSTITUTE(SUBSTITUTE(SUBSTITUTE(LOWER(TRIM(F396)),"á","a"),"é","e"),"í","i"),"ó","o"),"ú","u"),"ü","u"),"ñ","n"),"à","a"),"è","e"),"ì","i"),"ò","o"),"ù","u"))</f>
        <v/>
      </c>
      <c r="O396" s="25">
        <f>IF(M396="confiable",2,IF(M396="dudosa",1,IF(M396="no confiable",0,"")))</f>
        <v/>
      </c>
      <c r="P396" s="25">
        <f>IF(N396="confiable",2,IF(N396="dudosa",1,IF(N396="no confiable",0,"")))</f>
        <v/>
      </c>
      <c r="Q396" s="25">
        <f>IF(AND(ISNUMBER(O396),ISNUMBER(P396)),1,"")</f>
        <v/>
      </c>
      <c r="R396" s="25">
        <f>IF(Q396=1,IF(O396=P396,"Sí","No"),"")</f>
        <v/>
      </c>
      <c r="S396" s="25">
        <f>IF(Q396=1,IF(P396&lt;O396,"Más estricto",IF(P396&gt;O396,"Más permisivo","Igual")),"")</f>
        <v/>
      </c>
      <c r="T396" s="25">
        <f>IF(Q396=1,IF(ABS(O396-P396)=2,1,0),"")</f>
        <v/>
      </c>
      <c r="U396" s="25">
        <f>IF(H396="","","|"&amp;SUBSTITUTE(SUBSTITUTE(TRIM(H396)," |","|"),"| ","|")&amp;"|")</f>
        <v/>
      </c>
      <c r="V396" s="25">
        <f>IF(AND(Q396=1,B396&lt;&gt;""),IF(IFERROR(COUNTIFS(B$3:B396,"="&amp;SUBSTITUTE(SUBSTITUTE(SUBSTITUTE(B396,"~","~~"),"*","~*"),"?","~?"),Q$3:Q396,1),0)=1,MAX(V$2:V395)+1,""),"")</f>
        <v/>
      </c>
      <c r="W396" s="25">
        <f>IF(V396="","",COUNTIFS($B$3:$B$1002,"="&amp;SUBSTITUTE(SUBSTITUTE(SUBSTITUTE(B396,"~","~~"),"*","~*"),"?","~?"),$Q$3:$Q$1002,1)*10000-V396)</f>
        <v/>
      </c>
      <c r="X396" s="25">
        <f>IF(Q396=1,IF(SUBSTITUTE(SUBSTITUTE(SUBSTITUTE(SUBSTITUTE(SUBSTITUTE(SUBSTITUTE(SUBSTITUTE(SUBSTITUTE(SUBSTITUTE(SUBSTITUTE(SUBSTITUTE(SUBSTITUTE(LOWER(TRIM(A396)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396)),"á","a"),"é","e"),"í","i"),"ó","o"),"ú","u"),"ü","u"),"ñ","n"),"à","a"),"è","e"),"ì","i"),"ò","o"),"ù","u")),"")</f>
        <v/>
      </c>
      <c r="Y396" s="25">
        <f>IF(X396="","",IF(IFERROR(COUNTIF(X$3:X396,"="&amp;SUBSTITUTE(SUBSTITUTE(SUBSTITUTE(X396,"~","~~"),"*","~*"),"?","~?")),0)=1,1,""))</f>
        <v/>
      </c>
      <c r="Z396" s="25">
        <f>IF(T396=1,MAX(Z$2:Z395)+1,"")</f>
        <v/>
      </c>
    </row>
    <row r="397">
      <c r="A397">
        <f>IF(A$2=0,"",IFERROR(TRIM(INDEX('Pegar calibracion'!$A$1:$BZ$1001,396,A$2)&amp;""),""))</f>
        <v/>
      </c>
      <c r="B397">
        <f>IF(B$2=0,"",IFERROR(TRIM(INDEX('Pegar calibracion'!$A$1:$BZ$1001,396,B$2)&amp;""),""))</f>
        <v/>
      </c>
      <c r="C397">
        <f>IF(C$2=0,"",IFERROR(TRIM(INDEX('Pegar calibracion'!$A$1:$BZ$1001,396,C$2)&amp;""),""))</f>
        <v/>
      </c>
      <c r="D397">
        <f>IF(D$2=0,"",IFERROR(TRIM(INDEX('Pegar calibracion'!$A$1:$BZ$1001,396,D$2)&amp;""),""))</f>
        <v/>
      </c>
      <c r="E397">
        <f>IF(E$2=0,"",IFERROR(TRIM(INDEX('Pegar calibracion'!$A$1:$BZ$1001,396,E$2)&amp;""),""))</f>
        <v/>
      </c>
      <c r="F397">
        <f>IF(F$2=0,"",IFERROR(TRIM(INDEX('Pegar calibracion'!$A$1:$BZ$1001,396,F$2)&amp;""),""))</f>
        <v/>
      </c>
      <c r="G397">
        <f>IF(G$2=0,"",IFERROR(TRIM(INDEX('Pegar calibracion'!$A$1:$BZ$1001,396,G$2)&amp;""),""))</f>
        <v/>
      </c>
      <c r="H397">
        <f>IF(H$2=0,"",IFERROR(TRIM(INDEX('Pegar calibracion'!$A$1:$BZ$1001,396,H$2)&amp;""),""))</f>
        <v/>
      </c>
      <c r="I397">
        <f>IF(I$2=0,"",IFERROR(TRIM(INDEX('Pegar calibracion'!$A$1:$BZ$1001,396,I$2)&amp;""),""))</f>
        <v/>
      </c>
      <c r="J397">
        <f>IF(J$2=0,"",IFERROR(TRIM(INDEX('Pegar calibracion'!$A$1:$BZ$1001,396,J$2)&amp;""),""))</f>
        <v/>
      </c>
      <c r="K397">
        <f>IF(K$2=0,"",IFERROR(TRIM(INDEX('Pegar calibracion'!$A$1:$BZ$1001,396,K$2)&amp;""),""))</f>
        <v/>
      </c>
      <c r="L397">
        <f>IF(L$2=0,"",IFERROR(TRIM(INDEX('Pegar calibracion'!$A$1:$BZ$1001,396,L$2)&amp;""),""))</f>
        <v/>
      </c>
      <c r="M397" s="25">
        <f>IF(D397="","",SUBSTITUTE(SUBSTITUTE(SUBSTITUTE(SUBSTITUTE(SUBSTITUTE(SUBSTITUTE(SUBSTITUTE(SUBSTITUTE(SUBSTITUTE(SUBSTITUTE(SUBSTITUTE(SUBSTITUTE(LOWER(TRIM(D397)),"á","a"),"é","e"),"í","i"),"ó","o"),"ú","u"),"ü","u"),"ñ","n"),"à","a"),"è","e"),"ì","i"),"ò","o"),"ù","u"))</f>
        <v/>
      </c>
      <c r="N397" s="25">
        <f>IF(F397="","",SUBSTITUTE(SUBSTITUTE(SUBSTITUTE(SUBSTITUTE(SUBSTITUTE(SUBSTITUTE(SUBSTITUTE(SUBSTITUTE(SUBSTITUTE(SUBSTITUTE(SUBSTITUTE(SUBSTITUTE(LOWER(TRIM(F397)),"á","a"),"é","e"),"í","i"),"ó","o"),"ú","u"),"ü","u"),"ñ","n"),"à","a"),"è","e"),"ì","i"),"ò","o"),"ù","u"))</f>
        <v/>
      </c>
      <c r="O397" s="25">
        <f>IF(M397="confiable",2,IF(M397="dudosa",1,IF(M397="no confiable",0,"")))</f>
        <v/>
      </c>
      <c r="P397" s="25">
        <f>IF(N397="confiable",2,IF(N397="dudosa",1,IF(N397="no confiable",0,"")))</f>
        <v/>
      </c>
      <c r="Q397" s="25">
        <f>IF(AND(ISNUMBER(O397),ISNUMBER(P397)),1,"")</f>
        <v/>
      </c>
      <c r="R397" s="25">
        <f>IF(Q397=1,IF(O397=P397,"Sí","No"),"")</f>
        <v/>
      </c>
      <c r="S397" s="25">
        <f>IF(Q397=1,IF(P397&lt;O397,"Más estricto",IF(P397&gt;O397,"Más permisivo","Igual")),"")</f>
        <v/>
      </c>
      <c r="T397" s="25">
        <f>IF(Q397=1,IF(ABS(O397-P397)=2,1,0),"")</f>
        <v/>
      </c>
      <c r="U397" s="25">
        <f>IF(H397="","","|"&amp;SUBSTITUTE(SUBSTITUTE(TRIM(H397)," |","|"),"| ","|")&amp;"|")</f>
        <v/>
      </c>
      <c r="V397" s="25">
        <f>IF(AND(Q397=1,B397&lt;&gt;""),IF(IFERROR(COUNTIFS(B$3:B397,"="&amp;SUBSTITUTE(SUBSTITUTE(SUBSTITUTE(B397,"~","~~"),"*","~*"),"?","~?"),Q$3:Q397,1),0)=1,MAX(V$2:V396)+1,""),"")</f>
        <v/>
      </c>
      <c r="W397" s="25">
        <f>IF(V397="","",COUNTIFS($B$3:$B$1002,"="&amp;SUBSTITUTE(SUBSTITUTE(SUBSTITUTE(B397,"~","~~"),"*","~*"),"?","~?"),$Q$3:$Q$1002,1)*10000-V397)</f>
        <v/>
      </c>
      <c r="X397" s="25">
        <f>IF(Q397=1,IF(SUBSTITUTE(SUBSTITUTE(SUBSTITUTE(SUBSTITUTE(SUBSTITUTE(SUBSTITUTE(SUBSTITUTE(SUBSTITUTE(SUBSTITUTE(SUBSTITUTE(SUBSTITUTE(SUBSTITUTE(LOWER(TRIM(A397)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397)),"á","a"),"é","e"),"í","i"),"ó","o"),"ú","u"),"ü","u"),"ñ","n"),"à","a"),"è","e"),"ì","i"),"ò","o"),"ù","u")),"")</f>
        <v/>
      </c>
      <c r="Y397" s="25">
        <f>IF(X397="","",IF(IFERROR(COUNTIF(X$3:X397,"="&amp;SUBSTITUTE(SUBSTITUTE(SUBSTITUTE(X397,"~","~~"),"*","~*"),"?","~?")),0)=1,1,""))</f>
        <v/>
      </c>
      <c r="Z397" s="25">
        <f>IF(T397=1,MAX(Z$2:Z396)+1,"")</f>
        <v/>
      </c>
    </row>
    <row r="398">
      <c r="A398">
        <f>IF(A$2=0,"",IFERROR(TRIM(INDEX('Pegar calibracion'!$A$1:$BZ$1001,397,A$2)&amp;""),""))</f>
        <v/>
      </c>
      <c r="B398">
        <f>IF(B$2=0,"",IFERROR(TRIM(INDEX('Pegar calibracion'!$A$1:$BZ$1001,397,B$2)&amp;""),""))</f>
        <v/>
      </c>
      <c r="C398">
        <f>IF(C$2=0,"",IFERROR(TRIM(INDEX('Pegar calibracion'!$A$1:$BZ$1001,397,C$2)&amp;""),""))</f>
        <v/>
      </c>
      <c r="D398">
        <f>IF(D$2=0,"",IFERROR(TRIM(INDEX('Pegar calibracion'!$A$1:$BZ$1001,397,D$2)&amp;""),""))</f>
        <v/>
      </c>
      <c r="E398">
        <f>IF(E$2=0,"",IFERROR(TRIM(INDEX('Pegar calibracion'!$A$1:$BZ$1001,397,E$2)&amp;""),""))</f>
        <v/>
      </c>
      <c r="F398">
        <f>IF(F$2=0,"",IFERROR(TRIM(INDEX('Pegar calibracion'!$A$1:$BZ$1001,397,F$2)&amp;""),""))</f>
        <v/>
      </c>
      <c r="G398">
        <f>IF(G$2=0,"",IFERROR(TRIM(INDEX('Pegar calibracion'!$A$1:$BZ$1001,397,G$2)&amp;""),""))</f>
        <v/>
      </c>
      <c r="H398">
        <f>IF(H$2=0,"",IFERROR(TRIM(INDEX('Pegar calibracion'!$A$1:$BZ$1001,397,H$2)&amp;""),""))</f>
        <v/>
      </c>
      <c r="I398">
        <f>IF(I$2=0,"",IFERROR(TRIM(INDEX('Pegar calibracion'!$A$1:$BZ$1001,397,I$2)&amp;""),""))</f>
        <v/>
      </c>
      <c r="J398">
        <f>IF(J$2=0,"",IFERROR(TRIM(INDEX('Pegar calibracion'!$A$1:$BZ$1001,397,J$2)&amp;""),""))</f>
        <v/>
      </c>
      <c r="K398">
        <f>IF(K$2=0,"",IFERROR(TRIM(INDEX('Pegar calibracion'!$A$1:$BZ$1001,397,K$2)&amp;""),""))</f>
        <v/>
      </c>
      <c r="L398">
        <f>IF(L$2=0,"",IFERROR(TRIM(INDEX('Pegar calibracion'!$A$1:$BZ$1001,397,L$2)&amp;""),""))</f>
        <v/>
      </c>
      <c r="M398" s="25">
        <f>IF(D398="","",SUBSTITUTE(SUBSTITUTE(SUBSTITUTE(SUBSTITUTE(SUBSTITUTE(SUBSTITUTE(SUBSTITUTE(SUBSTITUTE(SUBSTITUTE(SUBSTITUTE(SUBSTITUTE(SUBSTITUTE(LOWER(TRIM(D398)),"á","a"),"é","e"),"í","i"),"ó","o"),"ú","u"),"ü","u"),"ñ","n"),"à","a"),"è","e"),"ì","i"),"ò","o"),"ù","u"))</f>
        <v/>
      </c>
      <c r="N398" s="25">
        <f>IF(F398="","",SUBSTITUTE(SUBSTITUTE(SUBSTITUTE(SUBSTITUTE(SUBSTITUTE(SUBSTITUTE(SUBSTITUTE(SUBSTITUTE(SUBSTITUTE(SUBSTITUTE(SUBSTITUTE(SUBSTITUTE(LOWER(TRIM(F398)),"á","a"),"é","e"),"í","i"),"ó","o"),"ú","u"),"ü","u"),"ñ","n"),"à","a"),"è","e"),"ì","i"),"ò","o"),"ù","u"))</f>
        <v/>
      </c>
      <c r="O398" s="25">
        <f>IF(M398="confiable",2,IF(M398="dudosa",1,IF(M398="no confiable",0,"")))</f>
        <v/>
      </c>
      <c r="P398" s="25">
        <f>IF(N398="confiable",2,IF(N398="dudosa",1,IF(N398="no confiable",0,"")))</f>
        <v/>
      </c>
      <c r="Q398" s="25">
        <f>IF(AND(ISNUMBER(O398),ISNUMBER(P398)),1,"")</f>
        <v/>
      </c>
      <c r="R398" s="25">
        <f>IF(Q398=1,IF(O398=P398,"Sí","No"),"")</f>
        <v/>
      </c>
      <c r="S398" s="25">
        <f>IF(Q398=1,IF(P398&lt;O398,"Más estricto",IF(P398&gt;O398,"Más permisivo","Igual")),"")</f>
        <v/>
      </c>
      <c r="T398" s="25">
        <f>IF(Q398=1,IF(ABS(O398-P398)=2,1,0),"")</f>
        <v/>
      </c>
      <c r="U398" s="25">
        <f>IF(H398="","","|"&amp;SUBSTITUTE(SUBSTITUTE(TRIM(H398)," |","|"),"| ","|")&amp;"|")</f>
        <v/>
      </c>
      <c r="V398" s="25">
        <f>IF(AND(Q398=1,B398&lt;&gt;""),IF(IFERROR(COUNTIFS(B$3:B398,"="&amp;SUBSTITUTE(SUBSTITUTE(SUBSTITUTE(B398,"~","~~"),"*","~*"),"?","~?"),Q$3:Q398,1),0)=1,MAX(V$2:V397)+1,""),"")</f>
        <v/>
      </c>
      <c r="W398" s="25">
        <f>IF(V398="","",COUNTIFS($B$3:$B$1002,"="&amp;SUBSTITUTE(SUBSTITUTE(SUBSTITUTE(B398,"~","~~"),"*","~*"),"?","~?"),$Q$3:$Q$1002,1)*10000-V398)</f>
        <v/>
      </c>
      <c r="X398" s="25">
        <f>IF(Q398=1,IF(SUBSTITUTE(SUBSTITUTE(SUBSTITUTE(SUBSTITUTE(SUBSTITUTE(SUBSTITUTE(SUBSTITUTE(SUBSTITUTE(SUBSTITUTE(SUBSTITUTE(SUBSTITUTE(SUBSTITUTE(LOWER(TRIM(A398)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398)),"á","a"),"é","e"),"í","i"),"ó","o"),"ú","u"),"ü","u"),"ñ","n"),"à","a"),"è","e"),"ì","i"),"ò","o"),"ù","u")),"")</f>
        <v/>
      </c>
      <c r="Y398" s="25">
        <f>IF(X398="","",IF(IFERROR(COUNTIF(X$3:X398,"="&amp;SUBSTITUTE(SUBSTITUTE(SUBSTITUTE(X398,"~","~~"),"*","~*"),"?","~?")),0)=1,1,""))</f>
        <v/>
      </c>
      <c r="Z398" s="25">
        <f>IF(T398=1,MAX(Z$2:Z397)+1,"")</f>
        <v/>
      </c>
    </row>
    <row r="399">
      <c r="A399">
        <f>IF(A$2=0,"",IFERROR(TRIM(INDEX('Pegar calibracion'!$A$1:$BZ$1001,398,A$2)&amp;""),""))</f>
        <v/>
      </c>
      <c r="B399">
        <f>IF(B$2=0,"",IFERROR(TRIM(INDEX('Pegar calibracion'!$A$1:$BZ$1001,398,B$2)&amp;""),""))</f>
        <v/>
      </c>
      <c r="C399">
        <f>IF(C$2=0,"",IFERROR(TRIM(INDEX('Pegar calibracion'!$A$1:$BZ$1001,398,C$2)&amp;""),""))</f>
        <v/>
      </c>
      <c r="D399">
        <f>IF(D$2=0,"",IFERROR(TRIM(INDEX('Pegar calibracion'!$A$1:$BZ$1001,398,D$2)&amp;""),""))</f>
        <v/>
      </c>
      <c r="E399">
        <f>IF(E$2=0,"",IFERROR(TRIM(INDEX('Pegar calibracion'!$A$1:$BZ$1001,398,E$2)&amp;""),""))</f>
        <v/>
      </c>
      <c r="F399">
        <f>IF(F$2=0,"",IFERROR(TRIM(INDEX('Pegar calibracion'!$A$1:$BZ$1001,398,F$2)&amp;""),""))</f>
        <v/>
      </c>
      <c r="G399">
        <f>IF(G$2=0,"",IFERROR(TRIM(INDEX('Pegar calibracion'!$A$1:$BZ$1001,398,G$2)&amp;""),""))</f>
        <v/>
      </c>
      <c r="H399">
        <f>IF(H$2=0,"",IFERROR(TRIM(INDEX('Pegar calibracion'!$A$1:$BZ$1001,398,H$2)&amp;""),""))</f>
        <v/>
      </c>
      <c r="I399">
        <f>IF(I$2=0,"",IFERROR(TRIM(INDEX('Pegar calibracion'!$A$1:$BZ$1001,398,I$2)&amp;""),""))</f>
        <v/>
      </c>
      <c r="J399">
        <f>IF(J$2=0,"",IFERROR(TRIM(INDEX('Pegar calibracion'!$A$1:$BZ$1001,398,J$2)&amp;""),""))</f>
        <v/>
      </c>
      <c r="K399">
        <f>IF(K$2=0,"",IFERROR(TRIM(INDEX('Pegar calibracion'!$A$1:$BZ$1001,398,K$2)&amp;""),""))</f>
        <v/>
      </c>
      <c r="L399">
        <f>IF(L$2=0,"",IFERROR(TRIM(INDEX('Pegar calibracion'!$A$1:$BZ$1001,398,L$2)&amp;""),""))</f>
        <v/>
      </c>
      <c r="M399" s="25">
        <f>IF(D399="","",SUBSTITUTE(SUBSTITUTE(SUBSTITUTE(SUBSTITUTE(SUBSTITUTE(SUBSTITUTE(SUBSTITUTE(SUBSTITUTE(SUBSTITUTE(SUBSTITUTE(SUBSTITUTE(SUBSTITUTE(LOWER(TRIM(D399)),"á","a"),"é","e"),"í","i"),"ó","o"),"ú","u"),"ü","u"),"ñ","n"),"à","a"),"è","e"),"ì","i"),"ò","o"),"ù","u"))</f>
        <v/>
      </c>
      <c r="N399" s="25">
        <f>IF(F399="","",SUBSTITUTE(SUBSTITUTE(SUBSTITUTE(SUBSTITUTE(SUBSTITUTE(SUBSTITUTE(SUBSTITUTE(SUBSTITUTE(SUBSTITUTE(SUBSTITUTE(SUBSTITUTE(SUBSTITUTE(LOWER(TRIM(F399)),"á","a"),"é","e"),"í","i"),"ó","o"),"ú","u"),"ü","u"),"ñ","n"),"à","a"),"è","e"),"ì","i"),"ò","o"),"ù","u"))</f>
        <v/>
      </c>
      <c r="O399" s="25">
        <f>IF(M399="confiable",2,IF(M399="dudosa",1,IF(M399="no confiable",0,"")))</f>
        <v/>
      </c>
      <c r="P399" s="25">
        <f>IF(N399="confiable",2,IF(N399="dudosa",1,IF(N399="no confiable",0,"")))</f>
        <v/>
      </c>
      <c r="Q399" s="25">
        <f>IF(AND(ISNUMBER(O399),ISNUMBER(P399)),1,"")</f>
        <v/>
      </c>
      <c r="R399" s="25">
        <f>IF(Q399=1,IF(O399=P399,"Sí","No"),"")</f>
        <v/>
      </c>
      <c r="S399" s="25">
        <f>IF(Q399=1,IF(P399&lt;O399,"Más estricto",IF(P399&gt;O399,"Más permisivo","Igual")),"")</f>
        <v/>
      </c>
      <c r="T399" s="25">
        <f>IF(Q399=1,IF(ABS(O399-P399)=2,1,0),"")</f>
        <v/>
      </c>
      <c r="U399" s="25">
        <f>IF(H399="","","|"&amp;SUBSTITUTE(SUBSTITUTE(TRIM(H399)," |","|"),"| ","|")&amp;"|")</f>
        <v/>
      </c>
      <c r="V399" s="25">
        <f>IF(AND(Q399=1,B399&lt;&gt;""),IF(IFERROR(COUNTIFS(B$3:B399,"="&amp;SUBSTITUTE(SUBSTITUTE(SUBSTITUTE(B399,"~","~~"),"*","~*"),"?","~?"),Q$3:Q399,1),0)=1,MAX(V$2:V398)+1,""),"")</f>
        <v/>
      </c>
      <c r="W399" s="25">
        <f>IF(V399="","",COUNTIFS($B$3:$B$1002,"="&amp;SUBSTITUTE(SUBSTITUTE(SUBSTITUTE(B399,"~","~~"),"*","~*"),"?","~?"),$Q$3:$Q$1002,1)*10000-V399)</f>
        <v/>
      </c>
      <c r="X399" s="25">
        <f>IF(Q399=1,IF(SUBSTITUTE(SUBSTITUTE(SUBSTITUTE(SUBSTITUTE(SUBSTITUTE(SUBSTITUTE(SUBSTITUTE(SUBSTITUTE(SUBSTITUTE(SUBSTITUTE(SUBSTITUTE(SUBSTITUTE(LOWER(TRIM(A399)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399)),"á","a"),"é","e"),"í","i"),"ó","o"),"ú","u"),"ü","u"),"ñ","n"),"à","a"),"è","e"),"ì","i"),"ò","o"),"ù","u")),"")</f>
        <v/>
      </c>
      <c r="Y399" s="25">
        <f>IF(X399="","",IF(IFERROR(COUNTIF(X$3:X399,"="&amp;SUBSTITUTE(SUBSTITUTE(SUBSTITUTE(X399,"~","~~"),"*","~*"),"?","~?")),0)=1,1,""))</f>
        <v/>
      </c>
      <c r="Z399" s="25">
        <f>IF(T399=1,MAX(Z$2:Z398)+1,"")</f>
        <v/>
      </c>
    </row>
    <row r="400">
      <c r="A400">
        <f>IF(A$2=0,"",IFERROR(TRIM(INDEX('Pegar calibracion'!$A$1:$BZ$1001,399,A$2)&amp;""),""))</f>
        <v/>
      </c>
      <c r="B400">
        <f>IF(B$2=0,"",IFERROR(TRIM(INDEX('Pegar calibracion'!$A$1:$BZ$1001,399,B$2)&amp;""),""))</f>
        <v/>
      </c>
      <c r="C400">
        <f>IF(C$2=0,"",IFERROR(TRIM(INDEX('Pegar calibracion'!$A$1:$BZ$1001,399,C$2)&amp;""),""))</f>
        <v/>
      </c>
      <c r="D400">
        <f>IF(D$2=0,"",IFERROR(TRIM(INDEX('Pegar calibracion'!$A$1:$BZ$1001,399,D$2)&amp;""),""))</f>
        <v/>
      </c>
      <c r="E400">
        <f>IF(E$2=0,"",IFERROR(TRIM(INDEX('Pegar calibracion'!$A$1:$BZ$1001,399,E$2)&amp;""),""))</f>
        <v/>
      </c>
      <c r="F400">
        <f>IF(F$2=0,"",IFERROR(TRIM(INDEX('Pegar calibracion'!$A$1:$BZ$1001,399,F$2)&amp;""),""))</f>
        <v/>
      </c>
      <c r="G400">
        <f>IF(G$2=0,"",IFERROR(TRIM(INDEX('Pegar calibracion'!$A$1:$BZ$1001,399,G$2)&amp;""),""))</f>
        <v/>
      </c>
      <c r="H400">
        <f>IF(H$2=0,"",IFERROR(TRIM(INDEX('Pegar calibracion'!$A$1:$BZ$1001,399,H$2)&amp;""),""))</f>
        <v/>
      </c>
      <c r="I400">
        <f>IF(I$2=0,"",IFERROR(TRIM(INDEX('Pegar calibracion'!$A$1:$BZ$1001,399,I$2)&amp;""),""))</f>
        <v/>
      </c>
      <c r="J400">
        <f>IF(J$2=0,"",IFERROR(TRIM(INDEX('Pegar calibracion'!$A$1:$BZ$1001,399,J$2)&amp;""),""))</f>
        <v/>
      </c>
      <c r="K400">
        <f>IF(K$2=0,"",IFERROR(TRIM(INDEX('Pegar calibracion'!$A$1:$BZ$1001,399,K$2)&amp;""),""))</f>
        <v/>
      </c>
      <c r="L400">
        <f>IF(L$2=0,"",IFERROR(TRIM(INDEX('Pegar calibracion'!$A$1:$BZ$1001,399,L$2)&amp;""),""))</f>
        <v/>
      </c>
      <c r="M400" s="25">
        <f>IF(D400="","",SUBSTITUTE(SUBSTITUTE(SUBSTITUTE(SUBSTITUTE(SUBSTITUTE(SUBSTITUTE(SUBSTITUTE(SUBSTITUTE(SUBSTITUTE(SUBSTITUTE(SUBSTITUTE(SUBSTITUTE(LOWER(TRIM(D400)),"á","a"),"é","e"),"í","i"),"ó","o"),"ú","u"),"ü","u"),"ñ","n"),"à","a"),"è","e"),"ì","i"),"ò","o"),"ù","u"))</f>
        <v/>
      </c>
      <c r="N400" s="25">
        <f>IF(F400="","",SUBSTITUTE(SUBSTITUTE(SUBSTITUTE(SUBSTITUTE(SUBSTITUTE(SUBSTITUTE(SUBSTITUTE(SUBSTITUTE(SUBSTITUTE(SUBSTITUTE(SUBSTITUTE(SUBSTITUTE(LOWER(TRIM(F400)),"á","a"),"é","e"),"í","i"),"ó","o"),"ú","u"),"ü","u"),"ñ","n"),"à","a"),"è","e"),"ì","i"),"ò","o"),"ù","u"))</f>
        <v/>
      </c>
      <c r="O400" s="25">
        <f>IF(M400="confiable",2,IF(M400="dudosa",1,IF(M400="no confiable",0,"")))</f>
        <v/>
      </c>
      <c r="P400" s="25">
        <f>IF(N400="confiable",2,IF(N400="dudosa",1,IF(N400="no confiable",0,"")))</f>
        <v/>
      </c>
      <c r="Q400" s="25">
        <f>IF(AND(ISNUMBER(O400),ISNUMBER(P400)),1,"")</f>
        <v/>
      </c>
      <c r="R400" s="25">
        <f>IF(Q400=1,IF(O400=P400,"Sí","No"),"")</f>
        <v/>
      </c>
      <c r="S400" s="25">
        <f>IF(Q400=1,IF(P400&lt;O400,"Más estricto",IF(P400&gt;O400,"Más permisivo","Igual")),"")</f>
        <v/>
      </c>
      <c r="T400" s="25">
        <f>IF(Q400=1,IF(ABS(O400-P400)=2,1,0),"")</f>
        <v/>
      </c>
      <c r="U400" s="25">
        <f>IF(H400="","","|"&amp;SUBSTITUTE(SUBSTITUTE(TRIM(H400)," |","|"),"| ","|")&amp;"|")</f>
        <v/>
      </c>
      <c r="V400" s="25">
        <f>IF(AND(Q400=1,B400&lt;&gt;""),IF(IFERROR(COUNTIFS(B$3:B400,"="&amp;SUBSTITUTE(SUBSTITUTE(SUBSTITUTE(B400,"~","~~"),"*","~*"),"?","~?"),Q$3:Q400,1),0)=1,MAX(V$2:V399)+1,""),"")</f>
        <v/>
      </c>
      <c r="W400" s="25">
        <f>IF(V400="","",COUNTIFS($B$3:$B$1002,"="&amp;SUBSTITUTE(SUBSTITUTE(SUBSTITUTE(B400,"~","~~"),"*","~*"),"?","~?"),$Q$3:$Q$1002,1)*10000-V400)</f>
        <v/>
      </c>
      <c r="X400" s="25">
        <f>IF(Q400=1,IF(SUBSTITUTE(SUBSTITUTE(SUBSTITUTE(SUBSTITUTE(SUBSTITUTE(SUBSTITUTE(SUBSTITUTE(SUBSTITUTE(SUBSTITUTE(SUBSTITUTE(SUBSTITUTE(SUBSTITUTE(LOWER(TRIM(A400)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400)),"á","a"),"é","e"),"í","i"),"ó","o"),"ú","u"),"ü","u"),"ñ","n"),"à","a"),"è","e"),"ì","i"),"ò","o"),"ù","u")),"")</f>
        <v/>
      </c>
      <c r="Y400" s="25">
        <f>IF(X400="","",IF(IFERROR(COUNTIF(X$3:X400,"="&amp;SUBSTITUTE(SUBSTITUTE(SUBSTITUTE(X400,"~","~~"),"*","~*"),"?","~?")),0)=1,1,""))</f>
        <v/>
      </c>
      <c r="Z400" s="25">
        <f>IF(T400=1,MAX(Z$2:Z399)+1,"")</f>
        <v/>
      </c>
    </row>
    <row r="401">
      <c r="A401">
        <f>IF(A$2=0,"",IFERROR(TRIM(INDEX('Pegar calibracion'!$A$1:$BZ$1001,400,A$2)&amp;""),""))</f>
        <v/>
      </c>
      <c r="B401">
        <f>IF(B$2=0,"",IFERROR(TRIM(INDEX('Pegar calibracion'!$A$1:$BZ$1001,400,B$2)&amp;""),""))</f>
        <v/>
      </c>
      <c r="C401">
        <f>IF(C$2=0,"",IFERROR(TRIM(INDEX('Pegar calibracion'!$A$1:$BZ$1001,400,C$2)&amp;""),""))</f>
        <v/>
      </c>
      <c r="D401">
        <f>IF(D$2=0,"",IFERROR(TRIM(INDEX('Pegar calibracion'!$A$1:$BZ$1001,400,D$2)&amp;""),""))</f>
        <v/>
      </c>
      <c r="E401">
        <f>IF(E$2=0,"",IFERROR(TRIM(INDEX('Pegar calibracion'!$A$1:$BZ$1001,400,E$2)&amp;""),""))</f>
        <v/>
      </c>
      <c r="F401">
        <f>IF(F$2=0,"",IFERROR(TRIM(INDEX('Pegar calibracion'!$A$1:$BZ$1001,400,F$2)&amp;""),""))</f>
        <v/>
      </c>
      <c r="G401">
        <f>IF(G$2=0,"",IFERROR(TRIM(INDEX('Pegar calibracion'!$A$1:$BZ$1001,400,G$2)&amp;""),""))</f>
        <v/>
      </c>
      <c r="H401">
        <f>IF(H$2=0,"",IFERROR(TRIM(INDEX('Pegar calibracion'!$A$1:$BZ$1001,400,H$2)&amp;""),""))</f>
        <v/>
      </c>
      <c r="I401">
        <f>IF(I$2=0,"",IFERROR(TRIM(INDEX('Pegar calibracion'!$A$1:$BZ$1001,400,I$2)&amp;""),""))</f>
        <v/>
      </c>
      <c r="J401">
        <f>IF(J$2=0,"",IFERROR(TRIM(INDEX('Pegar calibracion'!$A$1:$BZ$1001,400,J$2)&amp;""),""))</f>
        <v/>
      </c>
      <c r="K401">
        <f>IF(K$2=0,"",IFERROR(TRIM(INDEX('Pegar calibracion'!$A$1:$BZ$1001,400,K$2)&amp;""),""))</f>
        <v/>
      </c>
      <c r="L401">
        <f>IF(L$2=0,"",IFERROR(TRIM(INDEX('Pegar calibracion'!$A$1:$BZ$1001,400,L$2)&amp;""),""))</f>
        <v/>
      </c>
      <c r="M401" s="25">
        <f>IF(D401="","",SUBSTITUTE(SUBSTITUTE(SUBSTITUTE(SUBSTITUTE(SUBSTITUTE(SUBSTITUTE(SUBSTITUTE(SUBSTITUTE(SUBSTITUTE(SUBSTITUTE(SUBSTITUTE(SUBSTITUTE(LOWER(TRIM(D401)),"á","a"),"é","e"),"í","i"),"ó","o"),"ú","u"),"ü","u"),"ñ","n"),"à","a"),"è","e"),"ì","i"),"ò","o"),"ù","u"))</f>
        <v/>
      </c>
      <c r="N401" s="25">
        <f>IF(F401="","",SUBSTITUTE(SUBSTITUTE(SUBSTITUTE(SUBSTITUTE(SUBSTITUTE(SUBSTITUTE(SUBSTITUTE(SUBSTITUTE(SUBSTITUTE(SUBSTITUTE(SUBSTITUTE(SUBSTITUTE(LOWER(TRIM(F401)),"á","a"),"é","e"),"í","i"),"ó","o"),"ú","u"),"ü","u"),"ñ","n"),"à","a"),"è","e"),"ì","i"),"ò","o"),"ù","u"))</f>
        <v/>
      </c>
      <c r="O401" s="25">
        <f>IF(M401="confiable",2,IF(M401="dudosa",1,IF(M401="no confiable",0,"")))</f>
        <v/>
      </c>
      <c r="P401" s="25">
        <f>IF(N401="confiable",2,IF(N401="dudosa",1,IF(N401="no confiable",0,"")))</f>
        <v/>
      </c>
      <c r="Q401" s="25">
        <f>IF(AND(ISNUMBER(O401),ISNUMBER(P401)),1,"")</f>
        <v/>
      </c>
      <c r="R401" s="25">
        <f>IF(Q401=1,IF(O401=P401,"Sí","No"),"")</f>
        <v/>
      </c>
      <c r="S401" s="25">
        <f>IF(Q401=1,IF(P401&lt;O401,"Más estricto",IF(P401&gt;O401,"Más permisivo","Igual")),"")</f>
        <v/>
      </c>
      <c r="T401" s="25">
        <f>IF(Q401=1,IF(ABS(O401-P401)=2,1,0),"")</f>
        <v/>
      </c>
      <c r="U401" s="25">
        <f>IF(H401="","","|"&amp;SUBSTITUTE(SUBSTITUTE(TRIM(H401)," |","|"),"| ","|")&amp;"|")</f>
        <v/>
      </c>
      <c r="V401" s="25">
        <f>IF(AND(Q401=1,B401&lt;&gt;""),IF(IFERROR(COUNTIFS(B$3:B401,"="&amp;SUBSTITUTE(SUBSTITUTE(SUBSTITUTE(B401,"~","~~"),"*","~*"),"?","~?"),Q$3:Q401,1),0)=1,MAX(V$2:V400)+1,""),"")</f>
        <v/>
      </c>
      <c r="W401" s="25">
        <f>IF(V401="","",COUNTIFS($B$3:$B$1002,"="&amp;SUBSTITUTE(SUBSTITUTE(SUBSTITUTE(B401,"~","~~"),"*","~*"),"?","~?"),$Q$3:$Q$1002,1)*10000-V401)</f>
        <v/>
      </c>
      <c r="X401" s="25">
        <f>IF(Q401=1,IF(SUBSTITUTE(SUBSTITUTE(SUBSTITUTE(SUBSTITUTE(SUBSTITUTE(SUBSTITUTE(SUBSTITUTE(SUBSTITUTE(SUBSTITUTE(SUBSTITUTE(SUBSTITUTE(SUBSTITUTE(LOWER(TRIM(A401)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401)),"á","a"),"é","e"),"í","i"),"ó","o"),"ú","u"),"ü","u"),"ñ","n"),"à","a"),"è","e"),"ì","i"),"ò","o"),"ù","u")),"")</f>
        <v/>
      </c>
      <c r="Y401" s="25">
        <f>IF(X401="","",IF(IFERROR(COUNTIF(X$3:X401,"="&amp;SUBSTITUTE(SUBSTITUTE(SUBSTITUTE(X401,"~","~~"),"*","~*"),"?","~?")),0)=1,1,""))</f>
        <v/>
      </c>
      <c r="Z401" s="25">
        <f>IF(T401=1,MAX(Z$2:Z400)+1,"")</f>
        <v/>
      </c>
    </row>
    <row r="402">
      <c r="A402">
        <f>IF(A$2=0,"",IFERROR(TRIM(INDEX('Pegar calibracion'!$A$1:$BZ$1001,401,A$2)&amp;""),""))</f>
        <v/>
      </c>
      <c r="B402">
        <f>IF(B$2=0,"",IFERROR(TRIM(INDEX('Pegar calibracion'!$A$1:$BZ$1001,401,B$2)&amp;""),""))</f>
        <v/>
      </c>
      <c r="C402">
        <f>IF(C$2=0,"",IFERROR(TRIM(INDEX('Pegar calibracion'!$A$1:$BZ$1001,401,C$2)&amp;""),""))</f>
        <v/>
      </c>
      <c r="D402">
        <f>IF(D$2=0,"",IFERROR(TRIM(INDEX('Pegar calibracion'!$A$1:$BZ$1001,401,D$2)&amp;""),""))</f>
        <v/>
      </c>
      <c r="E402">
        <f>IF(E$2=0,"",IFERROR(TRIM(INDEX('Pegar calibracion'!$A$1:$BZ$1001,401,E$2)&amp;""),""))</f>
        <v/>
      </c>
      <c r="F402">
        <f>IF(F$2=0,"",IFERROR(TRIM(INDEX('Pegar calibracion'!$A$1:$BZ$1001,401,F$2)&amp;""),""))</f>
        <v/>
      </c>
      <c r="G402">
        <f>IF(G$2=0,"",IFERROR(TRIM(INDEX('Pegar calibracion'!$A$1:$BZ$1001,401,G$2)&amp;""),""))</f>
        <v/>
      </c>
      <c r="H402">
        <f>IF(H$2=0,"",IFERROR(TRIM(INDEX('Pegar calibracion'!$A$1:$BZ$1001,401,H$2)&amp;""),""))</f>
        <v/>
      </c>
      <c r="I402">
        <f>IF(I$2=0,"",IFERROR(TRIM(INDEX('Pegar calibracion'!$A$1:$BZ$1001,401,I$2)&amp;""),""))</f>
        <v/>
      </c>
      <c r="J402">
        <f>IF(J$2=0,"",IFERROR(TRIM(INDEX('Pegar calibracion'!$A$1:$BZ$1001,401,J$2)&amp;""),""))</f>
        <v/>
      </c>
      <c r="K402">
        <f>IF(K$2=0,"",IFERROR(TRIM(INDEX('Pegar calibracion'!$A$1:$BZ$1001,401,K$2)&amp;""),""))</f>
        <v/>
      </c>
      <c r="L402">
        <f>IF(L$2=0,"",IFERROR(TRIM(INDEX('Pegar calibracion'!$A$1:$BZ$1001,401,L$2)&amp;""),""))</f>
        <v/>
      </c>
      <c r="M402" s="25">
        <f>IF(D402="","",SUBSTITUTE(SUBSTITUTE(SUBSTITUTE(SUBSTITUTE(SUBSTITUTE(SUBSTITUTE(SUBSTITUTE(SUBSTITUTE(SUBSTITUTE(SUBSTITUTE(SUBSTITUTE(SUBSTITUTE(LOWER(TRIM(D402)),"á","a"),"é","e"),"í","i"),"ó","o"),"ú","u"),"ü","u"),"ñ","n"),"à","a"),"è","e"),"ì","i"),"ò","o"),"ù","u"))</f>
        <v/>
      </c>
      <c r="N402" s="25">
        <f>IF(F402="","",SUBSTITUTE(SUBSTITUTE(SUBSTITUTE(SUBSTITUTE(SUBSTITUTE(SUBSTITUTE(SUBSTITUTE(SUBSTITUTE(SUBSTITUTE(SUBSTITUTE(SUBSTITUTE(SUBSTITUTE(LOWER(TRIM(F402)),"á","a"),"é","e"),"í","i"),"ó","o"),"ú","u"),"ü","u"),"ñ","n"),"à","a"),"è","e"),"ì","i"),"ò","o"),"ù","u"))</f>
        <v/>
      </c>
      <c r="O402" s="25">
        <f>IF(M402="confiable",2,IF(M402="dudosa",1,IF(M402="no confiable",0,"")))</f>
        <v/>
      </c>
      <c r="P402" s="25">
        <f>IF(N402="confiable",2,IF(N402="dudosa",1,IF(N402="no confiable",0,"")))</f>
        <v/>
      </c>
      <c r="Q402" s="25">
        <f>IF(AND(ISNUMBER(O402),ISNUMBER(P402)),1,"")</f>
        <v/>
      </c>
      <c r="R402" s="25">
        <f>IF(Q402=1,IF(O402=P402,"Sí","No"),"")</f>
        <v/>
      </c>
      <c r="S402" s="25">
        <f>IF(Q402=1,IF(P402&lt;O402,"Más estricto",IF(P402&gt;O402,"Más permisivo","Igual")),"")</f>
        <v/>
      </c>
      <c r="T402" s="25">
        <f>IF(Q402=1,IF(ABS(O402-P402)=2,1,0),"")</f>
        <v/>
      </c>
      <c r="U402" s="25">
        <f>IF(H402="","","|"&amp;SUBSTITUTE(SUBSTITUTE(TRIM(H402)," |","|"),"| ","|")&amp;"|")</f>
        <v/>
      </c>
      <c r="V402" s="25">
        <f>IF(AND(Q402=1,B402&lt;&gt;""),IF(IFERROR(COUNTIFS(B$3:B402,"="&amp;SUBSTITUTE(SUBSTITUTE(SUBSTITUTE(B402,"~","~~"),"*","~*"),"?","~?"),Q$3:Q402,1),0)=1,MAX(V$2:V401)+1,""),"")</f>
        <v/>
      </c>
      <c r="W402" s="25">
        <f>IF(V402="","",COUNTIFS($B$3:$B$1002,"="&amp;SUBSTITUTE(SUBSTITUTE(SUBSTITUTE(B402,"~","~~"),"*","~*"),"?","~?"),$Q$3:$Q$1002,1)*10000-V402)</f>
        <v/>
      </c>
      <c r="X402" s="25">
        <f>IF(Q402=1,IF(SUBSTITUTE(SUBSTITUTE(SUBSTITUTE(SUBSTITUTE(SUBSTITUTE(SUBSTITUTE(SUBSTITUTE(SUBSTITUTE(SUBSTITUTE(SUBSTITUTE(SUBSTITUTE(SUBSTITUTE(LOWER(TRIM(A402)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402)),"á","a"),"é","e"),"í","i"),"ó","o"),"ú","u"),"ü","u"),"ñ","n"),"à","a"),"è","e"),"ì","i"),"ò","o"),"ù","u")),"")</f>
        <v/>
      </c>
      <c r="Y402" s="25">
        <f>IF(X402="","",IF(IFERROR(COUNTIF(X$3:X402,"="&amp;SUBSTITUTE(SUBSTITUTE(SUBSTITUTE(X402,"~","~~"),"*","~*"),"?","~?")),0)=1,1,""))</f>
        <v/>
      </c>
      <c r="Z402" s="25">
        <f>IF(T402=1,MAX(Z$2:Z401)+1,"")</f>
        <v/>
      </c>
    </row>
    <row r="403">
      <c r="A403">
        <f>IF(A$2=0,"",IFERROR(TRIM(INDEX('Pegar calibracion'!$A$1:$BZ$1001,402,A$2)&amp;""),""))</f>
        <v/>
      </c>
      <c r="B403">
        <f>IF(B$2=0,"",IFERROR(TRIM(INDEX('Pegar calibracion'!$A$1:$BZ$1001,402,B$2)&amp;""),""))</f>
        <v/>
      </c>
      <c r="C403">
        <f>IF(C$2=0,"",IFERROR(TRIM(INDEX('Pegar calibracion'!$A$1:$BZ$1001,402,C$2)&amp;""),""))</f>
        <v/>
      </c>
      <c r="D403">
        <f>IF(D$2=0,"",IFERROR(TRIM(INDEX('Pegar calibracion'!$A$1:$BZ$1001,402,D$2)&amp;""),""))</f>
        <v/>
      </c>
      <c r="E403">
        <f>IF(E$2=0,"",IFERROR(TRIM(INDEX('Pegar calibracion'!$A$1:$BZ$1001,402,E$2)&amp;""),""))</f>
        <v/>
      </c>
      <c r="F403">
        <f>IF(F$2=0,"",IFERROR(TRIM(INDEX('Pegar calibracion'!$A$1:$BZ$1001,402,F$2)&amp;""),""))</f>
        <v/>
      </c>
      <c r="G403">
        <f>IF(G$2=0,"",IFERROR(TRIM(INDEX('Pegar calibracion'!$A$1:$BZ$1001,402,G$2)&amp;""),""))</f>
        <v/>
      </c>
      <c r="H403">
        <f>IF(H$2=0,"",IFERROR(TRIM(INDEX('Pegar calibracion'!$A$1:$BZ$1001,402,H$2)&amp;""),""))</f>
        <v/>
      </c>
      <c r="I403">
        <f>IF(I$2=0,"",IFERROR(TRIM(INDEX('Pegar calibracion'!$A$1:$BZ$1001,402,I$2)&amp;""),""))</f>
        <v/>
      </c>
      <c r="J403">
        <f>IF(J$2=0,"",IFERROR(TRIM(INDEX('Pegar calibracion'!$A$1:$BZ$1001,402,J$2)&amp;""),""))</f>
        <v/>
      </c>
      <c r="K403">
        <f>IF(K$2=0,"",IFERROR(TRIM(INDEX('Pegar calibracion'!$A$1:$BZ$1001,402,K$2)&amp;""),""))</f>
        <v/>
      </c>
      <c r="L403">
        <f>IF(L$2=0,"",IFERROR(TRIM(INDEX('Pegar calibracion'!$A$1:$BZ$1001,402,L$2)&amp;""),""))</f>
        <v/>
      </c>
      <c r="M403" s="25">
        <f>IF(D403="","",SUBSTITUTE(SUBSTITUTE(SUBSTITUTE(SUBSTITUTE(SUBSTITUTE(SUBSTITUTE(SUBSTITUTE(SUBSTITUTE(SUBSTITUTE(SUBSTITUTE(SUBSTITUTE(SUBSTITUTE(LOWER(TRIM(D403)),"á","a"),"é","e"),"í","i"),"ó","o"),"ú","u"),"ü","u"),"ñ","n"),"à","a"),"è","e"),"ì","i"),"ò","o"),"ù","u"))</f>
        <v/>
      </c>
      <c r="N403" s="25">
        <f>IF(F403="","",SUBSTITUTE(SUBSTITUTE(SUBSTITUTE(SUBSTITUTE(SUBSTITUTE(SUBSTITUTE(SUBSTITUTE(SUBSTITUTE(SUBSTITUTE(SUBSTITUTE(SUBSTITUTE(SUBSTITUTE(LOWER(TRIM(F403)),"á","a"),"é","e"),"í","i"),"ó","o"),"ú","u"),"ü","u"),"ñ","n"),"à","a"),"è","e"),"ì","i"),"ò","o"),"ù","u"))</f>
        <v/>
      </c>
      <c r="O403" s="25">
        <f>IF(M403="confiable",2,IF(M403="dudosa",1,IF(M403="no confiable",0,"")))</f>
        <v/>
      </c>
      <c r="P403" s="25">
        <f>IF(N403="confiable",2,IF(N403="dudosa",1,IF(N403="no confiable",0,"")))</f>
        <v/>
      </c>
      <c r="Q403" s="25">
        <f>IF(AND(ISNUMBER(O403),ISNUMBER(P403)),1,"")</f>
        <v/>
      </c>
      <c r="R403" s="25">
        <f>IF(Q403=1,IF(O403=P403,"Sí","No"),"")</f>
        <v/>
      </c>
      <c r="S403" s="25">
        <f>IF(Q403=1,IF(P403&lt;O403,"Más estricto",IF(P403&gt;O403,"Más permisivo","Igual")),"")</f>
        <v/>
      </c>
      <c r="T403" s="25">
        <f>IF(Q403=1,IF(ABS(O403-P403)=2,1,0),"")</f>
        <v/>
      </c>
      <c r="U403" s="25">
        <f>IF(H403="","","|"&amp;SUBSTITUTE(SUBSTITUTE(TRIM(H403)," |","|"),"| ","|")&amp;"|")</f>
        <v/>
      </c>
      <c r="V403" s="25">
        <f>IF(AND(Q403=1,B403&lt;&gt;""),IF(IFERROR(COUNTIFS(B$3:B403,"="&amp;SUBSTITUTE(SUBSTITUTE(SUBSTITUTE(B403,"~","~~"),"*","~*"),"?","~?"),Q$3:Q403,1),0)=1,MAX(V$2:V402)+1,""),"")</f>
        <v/>
      </c>
      <c r="W403" s="25">
        <f>IF(V403="","",COUNTIFS($B$3:$B$1002,"="&amp;SUBSTITUTE(SUBSTITUTE(SUBSTITUTE(B403,"~","~~"),"*","~*"),"?","~?"),$Q$3:$Q$1002,1)*10000-V403)</f>
        <v/>
      </c>
      <c r="X403" s="25">
        <f>IF(Q403=1,IF(SUBSTITUTE(SUBSTITUTE(SUBSTITUTE(SUBSTITUTE(SUBSTITUTE(SUBSTITUTE(SUBSTITUTE(SUBSTITUTE(SUBSTITUTE(SUBSTITUTE(SUBSTITUTE(SUBSTITUTE(LOWER(TRIM(A403)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403)),"á","a"),"é","e"),"í","i"),"ó","o"),"ú","u"),"ü","u"),"ñ","n"),"à","a"),"è","e"),"ì","i"),"ò","o"),"ù","u")),"")</f>
        <v/>
      </c>
      <c r="Y403" s="25">
        <f>IF(X403="","",IF(IFERROR(COUNTIF(X$3:X403,"="&amp;SUBSTITUTE(SUBSTITUTE(SUBSTITUTE(X403,"~","~~"),"*","~*"),"?","~?")),0)=1,1,""))</f>
        <v/>
      </c>
      <c r="Z403" s="25">
        <f>IF(T403=1,MAX(Z$2:Z402)+1,"")</f>
        <v/>
      </c>
    </row>
    <row r="404">
      <c r="A404">
        <f>IF(A$2=0,"",IFERROR(TRIM(INDEX('Pegar calibracion'!$A$1:$BZ$1001,403,A$2)&amp;""),""))</f>
        <v/>
      </c>
      <c r="B404">
        <f>IF(B$2=0,"",IFERROR(TRIM(INDEX('Pegar calibracion'!$A$1:$BZ$1001,403,B$2)&amp;""),""))</f>
        <v/>
      </c>
      <c r="C404">
        <f>IF(C$2=0,"",IFERROR(TRIM(INDEX('Pegar calibracion'!$A$1:$BZ$1001,403,C$2)&amp;""),""))</f>
        <v/>
      </c>
      <c r="D404">
        <f>IF(D$2=0,"",IFERROR(TRIM(INDEX('Pegar calibracion'!$A$1:$BZ$1001,403,D$2)&amp;""),""))</f>
        <v/>
      </c>
      <c r="E404">
        <f>IF(E$2=0,"",IFERROR(TRIM(INDEX('Pegar calibracion'!$A$1:$BZ$1001,403,E$2)&amp;""),""))</f>
        <v/>
      </c>
      <c r="F404">
        <f>IF(F$2=0,"",IFERROR(TRIM(INDEX('Pegar calibracion'!$A$1:$BZ$1001,403,F$2)&amp;""),""))</f>
        <v/>
      </c>
      <c r="G404">
        <f>IF(G$2=0,"",IFERROR(TRIM(INDEX('Pegar calibracion'!$A$1:$BZ$1001,403,G$2)&amp;""),""))</f>
        <v/>
      </c>
      <c r="H404">
        <f>IF(H$2=0,"",IFERROR(TRIM(INDEX('Pegar calibracion'!$A$1:$BZ$1001,403,H$2)&amp;""),""))</f>
        <v/>
      </c>
      <c r="I404">
        <f>IF(I$2=0,"",IFERROR(TRIM(INDEX('Pegar calibracion'!$A$1:$BZ$1001,403,I$2)&amp;""),""))</f>
        <v/>
      </c>
      <c r="J404">
        <f>IF(J$2=0,"",IFERROR(TRIM(INDEX('Pegar calibracion'!$A$1:$BZ$1001,403,J$2)&amp;""),""))</f>
        <v/>
      </c>
      <c r="K404">
        <f>IF(K$2=0,"",IFERROR(TRIM(INDEX('Pegar calibracion'!$A$1:$BZ$1001,403,K$2)&amp;""),""))</f>
        <v/>
      </c>
      <c r="L404">
        <f>IF(L$2=0,"",IFERROR(TRIM(INDEX('Pegar calibracion'!$A$1:$BZ$1001,403,L$2)&amp;""),""))</f>
        <v/>
      </c>
      <c r="M404" s="25">
        <f>IF(D404="","",SUBSTITUTE(SUBSTITUTE(SUBSTITUTE(SUBSTITUTE(SUBSTITUTE(SUBSTITUTE(SUBSTITUTE(SUBSTITUTE(SUBSTITUTE(SUBSTITUTE(SUBSTITUTE(SUBSTITUTE(LOWER(TRIM(D404)),"á","a"),"é","e"),"í","i"),"ó","o"),"ú","u"),"ü","u"),"ñ","n"),"à","a"),"è","e"),"ì","i"),"ò","o"),"ù","u"))</f>
        <v/>
      </c>
      <c r="N404" s="25">
        <f>IF(F404="","",SUBSTITUTE(SUBSTITUTE(SUBSTITUTE(SUBSTITUTE(SUBSTITUTE(SUBSTITUTE(SUBSTITUTE(SUBSTITUTE(SUBSTITUTE(SUBSTITUTE(SUBSTITUTE(SUBSTITUTE(LOWER(TRIM(F404)),"á","a"),"é","e"),"í","i"),"ó","o"),"ú","u"),"ü","u"),"ñ","n"),"à","a"),"è","e"),"ì","i"),"ò","o"),"ù","u"))</f>
        <v/>
      </c>
      <c r="O404" s="25">
        <f>IF(M404="confiable",2,IF(M404="dudosa",1,IF(M404="no confiable",0,"")))</f>
        <v/>
      </c>
      <c r="P404" s="25">
        <f>IF(N404="confiable",2,IF(N404="dudosa",1,IF(N404="no confiable",0,"")))</f>
        <v/>
      </c>
      <c r="Q404" s="25">
        <f>IF(AND(ISNUMBER(O404),ISNUMBER(P404)),1,"")</f>
        <v/>
      </c>
      <c r="R404" s="25">
        <f>IF(Q404=1,IF(O404=P404,"Sí","No"),"")</f>
        <v/>
      </c>
      <c r="S404" s="25">
        <f>IF(Q404=1,IF(P404&lt;O404,"Más estricto",IF(P404&gt;O404,"Más permisivo","Igual")),"")</f>
        <v/>
      </c>
      <c r="T404" s="25">
        <f>IF(Q404=1,IF(ABS(O404-P404)=2,1,0),"")</f>
        <v/>
      </c>
      <c r="U404" s="25">
        <f>IF(H404="","","|"&amp;SUBSTITUTE(SUBSTITUTE(TRIM(H404)," |","|"),"| ","|")&amp;"|")</f>
        <v/>
      </c>
      <c r="V404" s="25">
        <f>IF(AND(Q404=1,B404&lt;&gt;""),IF(IFERROR(COUNTIFS(B$3:B404,"="&amp;SUBSTITUTE(SUBSTITUTE(SUBSTITUTE(B404,"~","~~"),"*","~*"),"?","~?"),Q$3:Q404,1),0)=1,MAX(V$2:V403)+1,""),"")</f>
        <v/>
      </c>
      <c r="W404" s="25">
        <f>IF(V404="","",COUNTIFS($B$3:$B$1002,"="&amp;SUBSTITUTE(SUBSTITUTE(SUBSTITUTE(B404,"~","~~"),"*","~*"),"?","~?"),$Q$3:$Q$1002,1)*10000-V404)</f>
        <v/>
      </c>
      <c r="X404" s="25">
        <f>IF(Q404=1,IF(SUBSTITUTE(SUBSTITUTE(SUBSTITUTE(SUBSTITUTE(SUBSTITUTE(SUBSTITUTE(SUBSTITUTE(SUBSTITUTE(SUBSTITUTE(SUBSTITUTE(SUBSTITUTE(SUBSTITUTE(LOWER(TRIM(A404)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404)),"á","a"),"é","e"),"í","i"),"ó","o"),"ú","u"),"ü","u"),"ñ","n"),"à","a"),"è","e"),"ì","i"),"ò","o"),"ù","u")),"")</f>
        <v/>
      </c>
      <c r="Y404" s="25">
        <f>IF(X404="","",IF(IFERROR(COUNTIF(X$3:X404,"="&amp;SUBSTITUTE(SUBSTITUTE(SUBSTITUTE(X404,"~","~~"),"*","~*"),"?","~?")),0)=1,1,""))</f>
        <v/>
      </c>
      <c r="Z404" s="25">
        <f>IF(T404=1,MAX(Z$2:Z403)+1,"")</f>
        <v/>
      </c>
    </row>
    <row r="405">
      <c r="A405">
        <f>IF(A$2=0,"",IFERROR(TRIM(INDEX('Pegar calibracion'!$A$1:$BZ$1001,404,A$2)&amp;""),""))</f>
        <v/>
      </c>
      <c r="B405">
        <f>IF(B$2=0,"",IFERROR(TRIM(INDEX('Pegar calibracion'!$A$1:$BZ$1001,404,B$2)&amp;""),""))</f>
        <v/>
      </c>
      <c r="C405">
        <f>IF(C$2=0,"",IFERROR(TRIM(INDEX('Pegar calibracion'!$A$1:$BZ$1001,404,C$2)&amp;""),""))</f>
        <v/>
      </c>
      <c r="D405">
        <f>IF(D$2=0,"",IFERROR(TRIM(INDEX('Pegar calibracion'!$A$1:$BZ$1001,404,D$2)&amp;""),""))</f>
        <v/>
      </c>
      <c r="E405">
        <f>IF(E$2=0,"",IFERROR(TRIM(INDEX('Pegar calibracion'!$A$1:$BZ$1001,404,E$2)&amp;""),""))</f>
        <v/>
      </c>
      <c r="F405">
        <f>IF(F$2=0,"",IFERROR(TRIM(INDEX('Pegar calibracion'!$A$1:$BZ$1001,404,F$2)&amp;""),""))</f>
        <v/>
      </c>
      <c r="G405">
        <f>IF(G$2=0,"",IFERROR(TRIM(INDEX('Pegar calibracion'!$A$1:$BZ$1001,404,G$2)&amp;""),""))</f>
        <v/>
      </c>
      <c r="H405">
        <f>IF(H$2=0,"",IFERROR(TRIM(INDEX('Pegar calibracion'!$A$1:$BZ$1001,404,H$2)&amp;""),""))</f>
        <v/>
      </c>
      <c r="I405">
        <f>IF(I$2=0,"",IFERROR(TRIM(INDEX('Pegar calibracion'!$A$1:$BZ$1001,404,I$2)&amp;""),""))</f>
        <v/>
      </c>
      <c r="J405">
        <f>IF(J$2=0,"",IFERROR(TRIM(INDEX('Pegar calibracion'!$A$1:$BZ$1001,404,J$2)&amp;""),""))</f>
        <v/>
      </c>
      <c r="K405">
        <f>IF(K$2=0,"",IFERROR(TRIM(INDEX('Pegar calibracion'!$A$1:$BZ$1001,404,K$2)&amp;""),""))</f>
        <v/>
      </c>
      <c r="L405">
        <f>IF(L$2=0,"",IFERROR(TRIM(INDEX('Pegar calibracion'!$A$1:$BZ$1001,404,L$2)&amp;""),""))</f>
        <v/>
      </c>
      <c r="M405" s="25">
        <f>IF(D405="","",SUBSTITUTE(SUBSTITUTE(SUBSTITUTE(SUBSTITUTE(SUBSTITUTE(SUBSTITUTE(SUBSTITUTE(SUBSTITUTE(SUBSTITUTE(SUBSTITUTE(SUBSTITUTE(SUBSTITUTE(LOWER(TRIM(D405)),"á","a"),"é","e"),"í","i"),"ó","o"),"ú","u"),"ü","u"),"ñ","n"),"à","a"),"è","e"),"ì","i"),"ò","o"),"ù","u"))</f>
        <v/>
      </c>
      <c r="N405" s="25">
        <f>IF(F405="","",SUBSTITUTE(SUBSTITUTE(SUBSTITUTE(SUBSTITUTE(SUBSTITUTE(SUBSTITUTE(SUBSTITUTE(SUBSTITUTE(SUBSTITUTE(SUBSTITUTE(SUBSTITUTE(SUBSTITUTE(LOWER(TRIM(F405)),"á","a"),"é","e"),"í","i"),"ó","o"),"ú","u"),"ü","u"),"ñ","n"),"à","a"),"è","e"),"ì","i"),"ò","o"),"ù","u"))</f>
        <v/>
      </c>
      <c r="O405" s="25">
        <f>IF(M405="confiable",2,IF(M405="dudosa",1,IF(M405="no confiable",0,"")))</f>
        <v/>
      </c>
      <c r="P405" s="25">
        <f>IF(N405="confiable",2,IF(N405="dudosa",1,IF(N405="no confiable",0,"")))</f>
        <v/>
      </c>
      <c r="Q405" s="25">
        <f>IF(AND(ISNUMBER(O405),ISNUMBER(P405)),1,"")</f>
        <v/>
      </c>
      <c r="R405" s="25">
        <f>IF(Q405=1,IF(O405=P405,"Sí","No"),"")</f>
        <v/>
      </c>
      <c r="S405" s="25">
        <f>IF(Q405=1,IF(P405&lt;O405,"Más estricto",IF(P405&gt;O405,"Más permisivo","Igual")),"")</f>
        <v/>
      </c>
      <c r="T405" s="25">
        <f>IF(Q405=1,IF(ABS(O405-P405)=2,1,0),"")</f>
        <v/>
      </c>
      <c r="U405" s="25">
        <f>IF(H405="","","|"&amp;SUBSTITUTE(SUBSTITUTE(TRIM(H405)," |","|"),"| ","|")&amp;"|")</f>
        <v/>
      </c>
      <c r="V405" s="25">
        <f>IF(AND(Q405=1,B405&lt;&gt;""),IF(IFERROR(COUNTIFS(B$3:B405,"="&amp;SUBSTITUTE(SUBSTITUTE(SUBSTITUTE(B405,"~","~~"),"*","~*"),"?","~?"),Q$3:Q405,1),0)=1,MAX(V$2:V404)+1,""),"")</f>
        <v/>
      </c>
      <c r="W405" s="25">
        <f>IF(V405="","",COUNTIFS($B$3:$B$1002,"="&amp;SUBSTITUTE(SUBSTITUTE(SUBSTITUTE(B405,"~","~~"),"*","~*"),"?","~?"),$Q$3:$Q$1002,1)*10000-V405)</f>
        <v/>
      </c>
      <c r="X405" s="25">
        <f>IF(Q405=1,IF(SUBSTITUTE(SUBSTITUTE(SUBSTITUTE(SUBSTITUTE(SUBSTITUTE(SUBSTITUTE(SUBSTITUTE(SUBSTITUTE(SUBSTITUTE(SUBSTITUTE(SUBSTITUTE(SUBSTITUTE(LOWER(TRIM(A405)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405)),"á","a"),"é","e"),"í","i"),"ó","o"),"ú","u"),"ü","u"),"ñ","n"),"à","a"),"è","e"),"ì","i"),"ò","o"),"ù","u")),"")</f>
        <v/>
      </c>
      <c r="Y405" s="25">
        <f>IF(X405="","",IF(IFERROR(COUNTIF(X$3:X405,"="&amp;SUBSTITUTE(SUBSTITUTE(SUBSTITUTE(X405,"~","~~"),"*","~*"),"?","~?")),0)=1,1,""))</f>
        <v/>
      </c>
      <c r="Z405" s="25">
        <f>IF(T405=1,MAX(Z$2:Z404)+1,"")</f>
        <v/>
      </c>
    </row>
    <row r="406">
      <c r="A406">
        <f>IF(A$2=0,"",IFERROR(TRIM(INDEX('Pegar calibracion'!$A$1:$BZ$1001,405,A$2)&amp;""),""))</f>
        <v/>
      </c>
      <c r="B406">
        <f>IF(B$2=0,"",IFERROR(TRIM(INDEX('Pegar calibracion'!$A$1:$BZ$1001,405,B$2)&amp;""),""))</f>
        <v/>
      </c>
      <c r="C406">
        <f>IF(C$2=0,"",IFERROR(TRIM(INDEX('Pegar calibracion'!$A$1:$BZ$1001,405,C$2)&amp;""),""))</f>
        <v/>
      </c>
      <c r="D406">
        <f>IF(D$2=0,"",IFERROR(TRIM(INDEX('Pegar calibracion'!$A$1:$BZ$1001,405,D$2)&amp;""),""))</f>
        <v/>
      </c>
      <c r="E406">
        <f>IF(E$2=0,"",IFERROR(TRIM(INDEX('Pegar calibracion'!$A$1:$BZ$1001,405,E$2)&amp;""),""))</f>
        <v/>
      </c>
      <c r="F406">
        <f>IF(F$2=0,"",IFERROR(TRIM(INDEX('Pegar calibracion'!$A$1:$BZ$1001,405,F$2)&amp;""),""))</f>
        <v/>
      </c>
      <c r="G406">
        <f>IF(G$2=0,"",IFERROR(TRIM(INDEX('Pegar calibracion'!$A$1:$BZ$1001,405,G$2)&amp;""),""))</f>
        <v/>
      </c>
      <c r="H406">
        <f>IF(H$2=0,"",IFERROR(TRIM(INDEX('Pegar calibracion'!$A$1:$BZ$1001,405,H$2)&amp;""),""))</f>
        <v/>
      </c>
      <c r="I406">
        <f>IF(I$2=0,"",IFERROR(TRIM(INDEX('Pegar calibracion'!$A$1:$BZ$1001,405,I$2)&amp;""),""))</f>
        <v/>
      </c>
      <c r="J406">
        <f>IF(J$2=0,"",IFERROR(TRIM(INDEX('Pegar calibracion'!$A$1:$BZ$1001,405,J$2)&amp;""),""))</f>
        <v/>
      </c>
      <c r="K406">
        <f>IF(K$2=0,"",IFERROR(TRIM(INDEX('Pegar calibracion'!$A$1:$BZ$1001,405,K$2)&amp;""),""))</f>
        <v/>
      </c>
      <c r="L406">
        <f>IF(L$2=0,"",IFERROR(TRIM(INDEX('Pegar calibracion'!$A$1:$BZ$1001,405,L$2)&amp;""),""))</f>
        <v/>
      </c>
      <c r="M406" s="25">
        <f>IF(D406="","",SUBSTITUTE(SUBSTITUTE(SUBSTITUTE(SUBSTITUTE(SUBSTITUTE(SUBSTITUTE(SUBSTITUTE(SUBSTITUTE(SUBSTITUTE(SUBSTITUTE(SUBSTITUTE(SUBSTITUTE(LOWER(TRIM(D406)),"á","a"),"é","e"),"í","i"),"ó","o"),"ú","u"),"ü","u"),"ñ","n"),"à","a"),"è","e"),"ì","i"),"ò","o"),"ù","u"))</f>
        <v/>
      </c>
      <c r="N406" s="25">
        <f>IF(F406="","",SUBSTITUTE(SUBSTITUTE(SUBSTITUTE(SUBSTITUTE(SUBSTITUTE(SUBSTITUTE(SUBSTITUTE(SUBSTITUTE(SUBSTITUTE(SUBSTITUTE(SUBSTITUTE(SUBSTITUTE(LOWER(TRIM(F406)),"á","a"),"é","e"),"í","i"),"ó","o"),"ú","u"),"ü","u"),"ñ","n"),"à","a"),"è","e"),"ì","i"),"ò","o"),"ù","u"))</f>
        <v/>
      </c>
      <c r="O406" s="25">
        <f>IF(M406="confiable",2,IF(M406="dudosa",1,IF(M406="no confiable",0,"")))</f>
        <v/>
      </c>
      <c r="P406" s="25">
        <f>IF(N406="confiable",2,IF(N406="dudosa",1,IF(N406="no confiable",0,"")))</f>
        <v/>
      </c>
      <c r="Q406" s="25">
        <f>IF(AND(ISNUMBER(O406),ISNUMBER(P406)),1,"")</f>
        <v/>
      </c>
      <c r="R406" s="25">
        <f>IF(Q406=1,IF(O406=P406,"Sí","No"),"")</f>
        <v/>
      </c>
      <c r="S406" s="25">
        <f>IF(Q406=1,IF(P406&lt;O406,"Más estricto",IF(P406&gt;O406,"Más permisivo","Igual")),"")</f>
        <v/>
      </c>
      <c r="T406" s="25">
        <f>IF(Q406=1,IF(ABS(O406-P406)=2,1,0),"")</f>
        <v/>
      </c>
      <c r="U406" s="25">
        <f>IF(H406="","","|"&amp;SUBSTITUTE(SUBSTITUTE(TRIM(H406)," |","|"),"| ","|")&amp;"|")</f>
        <v/>
      </c>
      <c r="V406" s="25">
        <f>IF(AND(Q406=1,B406&lt;&gt;""),IF(IFERROR(COUNTIFS(B$3:B406,"="&amp;SUBSTITUTE(SUBSTITUTE(SUBSTITUTE(B406,"~","~~"),"*","~*"),"?","~?"),Q$3:Q406,1),0)=1,MAX(V$2:V405)+1,""),"")</f>
        <v/>
      </c>
      <c r="W406" s="25">
        <f>IF(V406="","",COUNTIFS($B$3:$B$1002,"="&amp;SUBSTITUTE(SUBSTITUTE(SUBSTITUTE(B406,"~","~~"),"*","~*"),"?","~?"),$Q$3:$Q$1002,1)*10000-V406)</f>
        <v/>
      </c>
      <c r="X406" s="25">
        <f>IF(Q406=1,IF(SUBSTITUTE(SUBSTITUTE(SUBSTITUTE(SUBSTITUTE(SUBSTITUTE(SUBSTITUTE(SUBSTITUTE(SUBSTITUTE(SUBSTITUTE(SUBSTITUTE(SUBSTITUTE(SUBSTITUTE(LOWER(TRIM(A406)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406)),"á","a"),"é","e"),"í","i"),"ó","o"),"ú","u"),"ü","u"),"ñ","n"),"à","a"),"è","e"),"ì","i"),"ò","o"),"ù","u")),"")</f>
        <v/>
      </c>
      <c r="Y406" s="25">
        <f>IF(X406="","",IF(IFERROR(COUNTIF(X$3:X406,"="&amp;SUBSTITUTE(SUBSTITUTE(SUBSTITUTE(X406,"~","~~"),"*","~*"),"?","~?")),0)=1,1,""))</f>
        <v/>
      </c>
      <c r="Z406" s="25">
        <f>IF(T406=1,MAX(Z$2:Z405)+1,"")</f>
        <v/>
      </c>
    </row>
    <row r="407">
      <c r="A407">
        <f>IF(A$2=0,"",IFERROR(TRIM(INDEX('Pegar calibracion'!$A$1:$BZ$1001,406,A$2)&amp;""),""))</f>
        <v/>
      </c>
      <c r="B407">
        <f>IF(B$2=0,"",IFERROR(TRIM(INDEX('Pegar calibracion'!$A$1:$BZ$1001,406,B$2)&amp;""),""))</f>
        <v/>
      </c>
      <c r="C407">
        <f>IF(C$2=0,"",IFERROR(TRIM(INDEX('Pegar calibracion'!$A$1:$BZ$1001,406,C$2)&amp;""),""))</f>
        <v/>
      </c>
      <c r="D407">
        <f>IF(D$2=0,"",IFERROR(TRIM(INDEX('Pegar calibracion'!$A$1:$BZ$1001,406,D$2)&amp;""),""))</f>
        <v/>
      </c>
      <c r="E407">
        <f>IF(E$2=0,"",IFERROR(TRIM(INDEX('Pegar calibracion'!$A$1:$BZ$1001,406,E$2)&amp;""),""))</f>
        <v/>
      </c>
      <c r="F407">
        <f>IF(F$2=0,"",IFERROR(TRIM(INDEX('Pegar calibracion'!$A$1:$BZ$1001,406,F$2)&amp;""),""))</f>
        <v/>
      </c>
      <c r="G407">
        <f>IF(G$2=0,"",IFERROR(TRIM(INDEX('Pegar calibracion'!$A$1:$BZ$1001,406,G$2)&amp;""),""))</f>
        <v/>
      </c>
      <c r="H407">
        <f>IF(H$2=0,"",IFERROR(TRIM(INDEX('Pegar calibracion'!$A$1:$BZ$1001,406,H$2)&amp;""),""))</f>
        <v/>
      </c>
      <c r="I407">
        <f>IF(I$2=0,"",IFERROR(TRIM(INDEX('Pegar calibracion'!$A$1:$BZ$1001,406,I$2)&amp;""),""))</f>
        <v/>
      </c>
      <c r="J407">
        <f>IF(J$2=0,"",IFERROR(TRIM(INDEX('Pegar calibracion'!$A$1:$BZ$1001,406,J$2)&amp;""),""))</f>
        <v/>
      </c>
      <c r="K407">
        <f>IF(K$2=0,"",IFERROR(TRIM(INDEX('Pegar calibracion'!$A$1:$BZ$1001,406,K$2)&amp;""),""))</f>
        <v/>
      </c>
      <c r="L407">
        <f>IF(L$2=0,"",IFERROR(TRIM(INDEX('Pegar calibracion'!$A$1:$BZ$1001,406,L$2)&amp;""),""))</f>
        <v/>
      </c>
      <c r="M407" s="25">
        <f>IF(D407="","",SUBSTITUTE(SUBSTITUTE(SUBSTITUTE(SUBSTITUTE(SUBSTITUTE(SUBSTITUTE(SUBSTITUTE(SUBSTITUTE(SUBSTITUTE(SUBSTITUTE(SUBSTITUTE(SUBSTITUTE(LOWER(TRIM(D407)),"á","a"),"é","e"),"í","i"),"ó","o"),"ú","u"),"ü","u"),"ñ","n"),"à","a"),"è","e"),"ì","i"),"ò","o"),"ù","u"))</f>
        <v/>
      </c>
      <c r="N407" s="25">
        <f>IF(F407="","",SUBSTITUTE(SUBSTITUTE(SUBSTITUTE(SUBSTITUTE(SUBSTITUTE(SUBSTITUTE(SUBSTITUTE(SUBSTITUTE(SUBSTITUTE(SUBSTITUTE(SUBSTITUTE(SUBSTITUTE(LOWER(TRIM(F407)),"á","a"),"é","e"),"í","i"),"ó","o"),"ú","u"),"ü","u"),"ñ","n"),"à","a"),"è","e"),"ì","i"),"ò","o"),"ù","u"))</f>
        <v/>
      </c>
      <c r="O407" s="25">
        <f>IF(M407="confiable",2,IF(M407="dudosa",1,IF(M407="no confiable",0,"")))</f>
        <v/>
      </c>
      <c r="P407" s="25">
        <f>IF(N407="confiable",2,IF(N407="dudosa",1,IF(N407="no confiable",0,"")))</f>
        <v/>
      </c>
      <c r="Q407" s="25">
        <f>IF(AND(ISNUMBER(O407),ISNUMBER(P407)),1,"")</f>
        <v/>
      </c>
      <c r="R407" s="25">
        <f>IF(Q407=1,IF(O407=P407,"Sí","No"),"")</f>
        <v/>
      </c>
      <c r="S407" s="25">
        <f>IF(Q407=1,IF(P407&lt;O407,"Más estricto",IF(P407&gt;O407,"Más permisivo","Igual")),"")</f>
        <v/>
      </c>
      <c r="T407" s="25">
        <f>IF(Q407=1,IF(ABS(O407-P407)=2,1,0),"")</f>
        <v/>
      </c>
      <c r="U407" s="25">
        <f>IF(H407="","","|"&amp;SUBSTITUTE(SUBSTITUTE(TRIM(H407)," |","|"),"| ","|")&amp;"|")</f>
        <v/>
      </c>
      <c r="V407" s="25">
        <f>IF(AND(Q407=1,B407&lt;&gt;""),IF(IFERROR(COUNTIFS(B$3:B407,"="&amp;SUBSTITUTE(SUBSTITUTE(SUBSTITUTE(B407,"~","~~"),"*","~*"),"?","~?"),Q$3:Q407,1),0)=1,MAX(V$2:V406)+1,""),"")</f>
        <v/>
      </c>
      <c r="W407" s="25">
        <f>IF(V407="","",COUNTIFS($B$3:$B$1002,"="&amp;SUBSTITUTE(SUBSTITUTE(SUBSTITUTE(B407,"~","~~"),"*","~*"),"?","~?"),$Q$3:$Q$1002,1)*10000-V407)</f>
        <v/>
      </c>
      <c r="X407" s="25">
        <f>IF(Q407=1,IF(SUBSTITUTE(SUBSTITUTE(SUBSTITUTE(SUBSTITUTE(SUBSTITUTE(SUBSTITUTE(SUBSTITUTE(SUBSTITUTE(SUBSTITUTE(SUBSTITUTE(SUBSTITUTE(SUBSTITUTE(LOWER(TRIM(A407)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407)),"á","a"),"é","e"),"í","i"),"ó","o"),"ú","u"),"ü","u"),"ñ","n"),"à","a"),"è","e"),"ì","i"),"ò","o"),"ù","u")),"")</f>
        <v/>
      </c>
      <c r="Y407" s="25">
        <f>IF(X407="","",IF(IFERROR(COUNTIF(X$3:X407,"="&amp;SUBSTITUTE(SUBSTITUTE(SUBSTITUTE(X407,"~","~~"),"*","~*"),"?","~?")),0)=1,1,""))</f>
        <v/>
      </c>
      <c r="Z407" s="25">
        <f>IF(T407=1,MAX(Z$2:Z406)+1,"")</f>
        <v/>
      </c>
    </row>
    <row r="408">
      <c r="A408">
        <f>IF(A$2=0,"",IFERROR(TRIM(INDEX('Pegar calibracion'!$A$1:$BZ$1001,407,A$2)&amp;""),""))</f>
        <v/>
      </c>
      <c r="B408">
        <f>IF(B$2=0,"",IFERROR(TRIM(INDEX('Pegar calibracion'!$A$1:$BZ$1001,407,B$2)&amp;""),""))</f>
        <v/>
      </c>
      <c r="C408">
        <f>IF(C$2=0,"",IFERROR(TRIM(INDEX('Pegar calibracion'!$A$1:$BZ$1001,407,C$2)&amp;""),""))</f>
        <v/>
      </c>
      <c r="D408">
        <f>IF(D$2=0,"",IFERROR(TRIM(INDEX('Pegar calibracion'!$A$1:$BZ$1001,407,D$2)&amp;""),""))</f>
        <v/>
      </c>
      <c r="E408">
        <f>IF(E$2=0,"",IFERROR(TRIM(INDEX('Pegar calibracion'!$A$1:$BZ$1001,407,E$2)&amp;""),""))</f>
        <v/>
      </c>
      <c r="F408">
        <f>IF(F$2=0,"",IFERROR(TRIM(INDEX('Pegar calibracion'!$A$1:$BZ$1001,407,F$2)&amp;""),""))</f>
        <v/>
      </c>
      <c r="G408">
        <f>IF(G$2=0,"",IFERROR(TRIM(INDEX('Pegar calibracion'!$A$1:$BZ$1001,407,G$2)&amp;""),""))</f>
        <v/>
      </c>
      <c r="H408">
        <f>IF(H$2=0,"",IFERROR(TRIM(INDEX('Pegar calibracion'!$A$1:$BZ$1001,407,H$2)&amp;""),""))</f>
        <v/>
      </c>
      <c r="I408">
        <f>IF(I$2=0,"",IFERROR(TRIM(INDEX('Pegar calibracion'!$A$1:$BZ$1001,407,I$2)&amp;""),""))</f>
        <v/>
      </c>
      <c r="J408">
        <f>IF(J$2=0,"",IFERROR(TRIM(INDEX('Pegar calibracion'!$A$1:$BZ$1001,407,J$2)&amp;""),""))</f>
        <v/>
      </c>
      <c r="K408">
        <f>IF(K$2=0,"",IFERROR(TRIM(INDEX('Pegar calibracion'!$A$1:$BZ$1001,407,K$2)&amp;""),""))</f>
        <v/>
      </c>
      <c r="L408">
        <f>IF(L$2=0,"",IFERROR(TRIM(INDEX('Pegar calibracion'!$A$1:$BZ$1001,407,L$2)&amp;""),""))</f>
        <v/>
      </c>
      <c r="M408" s="25">
        <f>IF(D408="","",SUBSTITUTE(SUBSTITUTE(SUBSTITUTE(SUBSTITUTE(SUBSTITUTE(SUBSTITUTE(SUBSTITUTE(SUBSTITUTE(SUBSTITUTE(SUBSTITUTE(SUBSTITUTE(SUBSTITUTE(LOWER(TRIM(D408)),"á","a"),"é","e"),"í","i"),"ó","o"),"ú","u"),"ü","u"),"ñ","n"),"à","a"),"è","e"),"ì","i"),"ò","o"),"ù","u"))</f>
        <v/>
      </c>
      <c r="N408" s="25">
        <f>IF(F408="","",SUBSTITUTE(SUBSTITUTE(SUBSTITUTE(SUBSTITUTE(SUBSTITUTE(SUBSTITUTE(SUBSTITUTE(SUBSTITUTE(SUBSTITUTE(SUBSTITUTE(SUBSTITUTE(SUBSTITUTE(LOWER(TRIM(F408)),"á","a"),"é","e"),"í","i"),"ó","o"),"ú","u"),"ü","u"),"ñ","n"),"à","a"),"è","e"),"ì","i"),"ò","o"),"ù","u"))</f>
        <v/>
      </c>
      <c r="O408" s="25">
        <f>IF(M408="confiable",2,IF(M408="dudosa",1,IF(M408="no confiable",0,"")))</f>
        <v/>
      </c>
      <c r="P408" s="25">
        <f>IF(N408="confiable",2,IF(N408="dudosa",1,IF(N408="no confiable",0,"")))</f>
        <v/>
      </c>
      <c r="Q408" s="25">
        <f>IF(AND(ISNUMBER(O408),ISNUMBER(P408)),1,"")</f>
        <v/>
      </c>
      <c r="R408" s="25">
        <f>IF(Q408=1,IF(O408=P408,"Sí","No"),"")</f>
        <v/>
      </c>
      <c r="S408" s="25">
        <f>IF(Q408=1,IF(P408&lt;O408,"Más estricto",IF(P408&gt;O408,"Más permisivo","Igual")),"")</f>
        <v/>
      </c>
      <c r="T408" s="25">
        <f>IF(Q408=1,IF(ABS(O408-P408)=2,1,0),"")</f>
        <v/>
      </c>
      <c r="U408" s="25">
        <f>IF(H408="","","|"&amp;SUBSTITUTE(SUBSTITUTE(TRIM(H408)," |","|"),"| ","|")&amp;"|")</f>
        <v/>
      </c>
      <c r="V408" s="25">
        <f>IF(AND(Q408=1,B408&lt;&gt;""),IF(IFERROR(COUNTIFS(B$3:B408,"="&amp;SUBSTITUTE(SUBSTITUTE(SUBSTITUTE(B408,"~","~~"),"*","~*"),"?","~?"),Q$3:Q408,1),0)=1,MAX(V$2:V407)+1,""),"")</f>
        <v/>
      </c>
      <c r="W408" s="25">
        <f>IF(V408="","",COUNTIFS($B$3:$B$1002,"="&amp;SUBSTITUTE(SUBSTITUTE(SUBSTITUTE(B408,"~","~~"),"*","~*"),"?","~?"),$Q$3:$Q$1002,1)*10000-V408)</f>
        <v/>
      </c>
      <c r="X408" s="25">
        <f>IF(Q408=1,IF(SUBSTITUTE(SUBSTITUTE(SUBSTITUTE(SUBSTITUTE(SUBSTITUTE(SUBSTITUTE(SUBSTITUTE(SUBSTITUTE(SUBSTITUTE(SUBSTITUTE(SUBSTITUTE(SUBSTITUTE(LOWER(TRIM(A408)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408)),"á","a"),"é","e"),"í","i"),"ó","o"),"ú","u"),"ü","u"),"ñ","n"),"à","a"),"è","e"),"ì","i"),"ò","o"),"ù","u")),"")</f>
        <v/>
      </c>
      <c r="Y408" s="25">
        <f>IF(X408="","",IF(IFERROR(COUNTIF(X$3:X408,"="&amp;SUBSTITUTE(SUBSTITUTE(SUBSTITUTE(X408,"~","~~"),"*","~*"),"?","~?")),0)=1,1,""))</f>
        <v/>
      </c>
      <c r="Z408" s="25">
        <f>IF(T408=1,MAX(Z$2:Z407)+1,"")</f>
        <v/>
      </c>
    </row>
    <row r="409">
      <c r="A409">
        <f>IF(A$2=0,"",IFERROR(TRIM(INDEX('Pegar calibracion'!$A$1:$BZ$1001,408,A$2)&amp;""),""))</f>
        <v/>
      </c>
      <c r="B409">
        <f>IF(B$2=0,"",IFERROR(TRIM(INDEX('Pegar calibracion'!$A$1:$BZ$1001,408,B$2)&amp;""),""))</f>
        <v/>
      </c>
      <c r="C409">
        <f>IF(C$2=0,"",IFERROR(TRIM(INDEX('Pegar calibracion'!$A$1:$BZ$1001,408,C$2)&amp;""),""))</f>
        <v/>
      </c>
      <c r="D409">
        <f>IF(D$2=0,"",IFERROR(TRIM(INDEX('Pegar calibracion'!$A$1:$BZ$1001,408,D$2)&amp;""),""))</f>
        <v/>
      </c>
      <c r="E409">
        <f>IF(E$2=0,"",IFERROR(TRIM(INDEX('Pegar calibracion'!$A$1:$BZ$1001,408,E$2)&amp;""),""))</f>
        <v/>
      </c>
      <c r="F409">
        <f>IF(F$2=0,"",IFERROR(TRIM(INDEX('Pegar calibracion'!$A$1:$BZ$1001,408,F$2)&amp;""),""))</f>
        <v/>
      </c>
      <c r="G409">
        <f>IF(G$2=0,"",IFERROR(TRIM(INDEX('Pegar calibracion'!$A$1:$BZ$1001,408,G$2)&amp;""),""))</f>
        <v/>
      </c>
      <c r="H409">
        <f>IF(H$2=0,"",IFERROR(TRIM(INDEX('Pegar calibracion'!$A$1:$BZ$1001,408,H$2)&amp;""),""))</f>
        <v/>
      </c>
      <c r="I409">
        <f>IF(I$2=0,"",IFERROR(TRIM(INDEX('Pegar calibracion'!$A$1:$BZ$1001,408,I$2)&amp;""),""))</f>
        <v/>
      </c>
      <c r="J409">
        <f>IF(J$2=0,"",IFERROR(TRIM(INDEX('Pegar calibracion'!$A$1:$BZ$1001,408,J$2)&amp;""),""))</f>
        <v/>
      </c>
      <c r="K409">
        <f>IF(K$2=0,"",IFERROR(TRIM(INDEX('Pegar calibracion'!$A$1:$BZ$1001,408,K$2)&amp;""),""))</f>
        <v/>
      </c>
      <c r="L409">
        <f>IF(L$2=0,"",IFERROR(TRIM(INDEX('Pegar calibracion'!$A$1:$BZ$1001,408,L$2)&amp;""),""))</f>
        <v/>
      </c>
      <c r="M409" s="25">
        <f>IF(D409="","",SUBSTITUTE(SUBSTITUTE(SUBSTITUTE(SUBSTITUTE(SUBSTITUTE(SUBSTITUTE(SUBSTITUTE(SUBSTITUTE(SUBSTITUTE(SUBSTITUTE(SUBSTITUTE(SUBSTITUTE(LOWER(TRIM(D409)),"á","a"),"é","e"),"í","i"),"ó","o"),"ú","u"),"ü","u"),"ñ","n"),"à","a"),"è","e"),"ì","i"),"ò","o"),"ù","u"))</f>
        <v/>
      </c>
      <c r="N409" s="25">
        <f>IF(F409="","",SUBSTITUTE(SUBSTITUTE(SUBSTITUTE(SUBSTITUTE(SUBSTITUTE(SUBSTITUTE(SUBSTITUTE(SUBSTITUTE(SUBSTITUTE(SUBSTITUTE(SUBSTITUTE(SUBSTITUTE(LOWER(TRIM(F409)),"á","a"),"é","e"),"í","i"),"ó","o"),"ú","u"),"ü","u"),"ñ","n"),"à","a"),"è","e"),"ì","i"),"ò","o"),"ù","u"))</f>
        <v/>
      </c>
      <c r="O409" s="25">
        <f>IF(M409="confiable",2,IF(M409="dudosa",1,IF(M409="no confiable",0,"")))</f>
        <v/>
      </c>
      <c r="P409" s="25">
        <f>IF(N409="confiable",2,IF(N409="dudosa",1,IF(N409="no confiable",0,"")))</f>
        <v/>
      </c>
      <c r="Q409" s="25">
        <f>IF(AND(ISNUMBER(O409),ISNUMBER(P409)),1,"")</f>
        <v/>
      </c>
      <c r="R409" s="25">
        <f>IF(Q409=1,IF(O409=P409,"Sí","No"),"")</f>
        <v/>
      </c>
      <c r="S409" s="25">
        <f>IF(Q409=1,IF(P409&lt;O409,"Más estricto",IF(P409&gt;O409,"Más permisivo","Igual")),"")</f>
        <v/>
      </c>
      <c r="T409" s="25">
        <f>IF(Q409=1,IF(ABS(O409-P409)=2,1,0),"")</f>
        <v/>
      </c>
      <c r="U409" s="25">
        <f>IF(H409="","","|"&amp;SUBSTITUTE(SUBSTITUTE(TRIM(H409)," |","|"),"| ","|")&amp;"|")</f>
        <v/>
      </c>
      <c r="V409" s="25">
        <f>IF(AND(Q409=1,B409&lt;&gt;""),IF(IFERROR(COUNTIFS(B$3:B409,"="&amp;SUBSTITUTE(SUBSTITUTE(SUBSTITUTE(B409,"~","~~"),"*","~*"),"?","~?"),Q$3:Q409,1),0)=1,MAX(V$2:V408)+1,""),"")</f>
        <v/>
      </c>
      <c r="W409" s="25">
        <f>IF(V409="","",COUNTIFS($B$3:$B$1002,"="&amp;SUBSTITUTE(SUBSTITUTE(SUBSTITUTE(B409,"~","~~"),"*","~*"),"?","~?"),$Q$3:$Q$1002,1)*10000-V409)</f>
        <v/>
      </c>
      <c r="X409" s="25">
        <f>IF(Q409=1,IF(SUBSTITUTE(SUBSTITUTE(SUBSTITUTE(SUBSTITUTE(SUBSTITUTE(SUBSTITUTE(SUBSTITUTE(SUBSTITUTE(SUBSTITUTE(SUBSTITUTE(SUBSTITUTE(SUBSTITUTE(LOWER(TRIM(A409)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409)),"á","a"),"é","e"),"í","i"),"ó","o"),"ú","u"),"ü","u"),"ñ","n"),"à","a"),"è","e"),"ì","i"),"ò","o"),"ù","u")),"")</f>
        <v/>
      </c>
      <c r="Y409" s="25">
        <f>IF(X409="","",IF(IFERROR(COUNTIF(X$3:X409,"="&amp;SUBSTITUTE(SUBSTITUTE(SUBSTITUTE(X409,"~","~~"),"*","~*"),"?","~?")),0)=1,1,""))</f>
        <v/>
      </c>
      <c r="Z409" s="25">
        <f>IF(T409=1,MAX(Z$2:Z408)+1,"")</f>
        <v/>
      </c>
    </row>
    <row r="410">
      <c r="A410">
        <f>IF(A$2=0,"",IFERROR(TRIM(INDEX('Pegar calibracion'!$A$1:$BZ$1001,409,A$2)&amp;""),""))</f>
        <v/>
      </c>
      <c r="B410">
        <f>IF(B$2=0,"",IFERROR(TRIM(INDEX('Pegar calibracion'!$A$1:$BZ$1001,409,B$2)&amp;""),""))</f>
        <v/>
      </c>
      <c r="C410">
        <f>IF(C$2=0,"",IFERROR(TRIM(INDEX('Pegar calibracion'!$A$1:$BZ$1001,409,C$2)&amp;""),""))</f>
        <v/>
      </c>
      <c r="D410">
        <f>IF(D$2=0,"",IFERROR(TRIM(INDEX('Pegar calibracion'!$A$1:$BZ$1001,409,D$2)&amp;""),""))</f>
        <v/>
      </c>
      <c r="E410">
        <f>IF(E$2=0,"",IFERROR(TRIM(INDEX('Pegar calibracion'!$A$1:$BZ$1001,409,E$2)&amp;""),""))</f>
        <v/>
      </c>
      <c r="F410">
        <f>IF(F$2=0,"",IFERROR(TRIM(INDEX('Pegar calibracion'!$A$1:$BZ$1001,409,F$2)&amp;""),""))</f>
        <v/>
      </c>
      <c r="G410">
        <f>IF(G$2=0,"",IFERROR(TRIM(INDEX('Pegar calibracion'!$A$1:$BZ$1001,409,G$2)&amp;""),""))</f>
        <v/>
      </c>
      <c r="H410">
        <f>IF(H$2=0,"",IFERROR(TRIM(INDEX('Pegar calibracion'!$A$1:$BZ$1001,409,H$2)&amp;""),""))</f>
        <v/>
      </c>
      <c r="I410">
        <f>IF(I$2=0,"",IFERROR(TRIM(INDEX('Pegar calibracion'!$A$1:$BZ$1001,409,I$2)&amp;""),""))</f>
        <v/>
      </c>
      <c r="J410">
        <f>IF(J$2=0,"",IFERROR(TRIM(INDEX('Pegar calibracion'!$A$1:$BZ$1001,409,J$2)&amp;""),""))</f>
        <v/>
      </c>
      <c r="K410">
        <f>IF(K$2=0,"",IFERROR(TRIM(INDEX('Pegar calibracion'!$A$1:$BZ$1001,409,K$2)&amp;""),""))</f>
        <v/>
      </c>
      <c r="L410">
        <f>IF(L$2=0,"",IFERROR(TRIM(INDEX('Pegar calibracion'!$A$1:$BZ$1001,409,L$2)&amp;""),""))</f>
        <v/>
      </c>
      <c r="M410" s="25">
        <f>IF(D410="","",SUBSTITUTE(SUBSTITUTE(SUBSTITUTE(SUBSTITUTE(SUBSTITUTE(SUBSTITUTE(SUBSTITUTE(SUBSTITUTE(SUBSTITUTE(SUBSTITUTE(SUBSTITUTE(SUBSTITUTE(LOWER(TRIM(D410)),"á","a"),"é","e"),"í","i"),"ó","o"),"ú","u"),"ü","u"),"ñ","n"),"à","a"),"è","e"),"ì","i"),"ò","o"),"ù","u"))</f>
        <v/>
      </c>
      <c r="N410" s="25">
        <f>IF(F410="","",SUBSTITUTE(SUBSTITUTE(SUBSTITUTE(SUBSTITUTE(SUBSTITUTE(SUBSTITUTE(SUBSTITUTE(SUBSTITUTE(SUBSTITUTE(SUBSTITUTE(SUBSTITUTE(SUBSTITUTE(LOWER(TRIM(F410)),"á","a"),"é","e"),"í","i"),"ó","o"),"ú","u"),"ü","u"),"ñ","n"),"à","a"),"è","e"),"ì","i"),"ò","o"),"ù","u"))</f>
        <v/>
      </c>
      <c r="O410" s="25">
        <f>IF(M410="confiable",2,IF(M410="dudosa",1,IF(M410="no confiable",0,"")))</f>
        <v/>
      </c>
      <c r="P410" s="25">
        <f>IF(N410="confiable",2,IF(N410="dudosa",1,IF(N410="no confiable",0,"")))</f>
        <v/>
      </c>
      <c r="Q410" s="25">
        <f>IF(AND(ISNUMBER(O410),ISNUMBER(P410)),1,"")</f>
        <v/>
      </c>
      <c r="R410" s="25">
        <f>IF(Q410=1,IF(O410=P410,"Sí","No"),"")</f>
        <v/>
      </c>
      <c r="S410" s="25">
        <f>IF(Q410=1,IF(P410&lt;O410,"Más estricto",IF(P410&gt;O410,"Más permisivo","Igual")),"")</f>
        <v/>
      </c>
      <c r="T410" s="25">
        <f>IF(Q410=1,IF(ABS(O410-P410)=2,1,0),"")</f>
        <v/>
      </c>
      <c r="U410" s="25">
        <f>IF(H410="","","|"&amp;SUBSTITUTE(SUBSTITUTE(TRIM(H410)," |","|"),"| ","|")&amp;"|")</f>
        <v/>
      </c>
      <c r="V410" s="25">
        <f>IF(AND(Q410=1,B410&lt;&gt;""),IF(IFERROR(COUNTIFS(B$3:B410,"="&amp;SUBSTITUTE(SUBSTITUTE(SUBSTITUTE(B410,"~","~~"),"*","~*"),"?","~?"),Q$3:Q410,1),0)=1,MAX(V$2:V409)+1,""),"")</f>
        <v/>
      </c>
      <c r="W410" s="25">
        <f>IF(V410="","",COUNTIFS($B$3:$B$1002,"="&amp;SUBSTITUTE(SUBSTITUTE(SUBSTITUTE(B410,"~","~~"),"*","~*"),"?","~?"),$Q$3:$Q$1002,1)*10000-V410)</f>
        <v/>
      </c>
      <c r="X410" s="25">
        <f>IF(Q410=1,IF(SUBSTITUTE(SUBSTITUTE(SUBSTITUTE(SUBSTITUTE(SUBSTITUTE(SUBSTITUTE(SUBSTITUTE(SUBSTITUTE(SUBSTITUTE(SUBSTITUTE(SUBSTITUTE(SUBSTITUTE(LOWER(TRIM(A410)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410)),"á","a"),"é","e"),"í","i"),"ó","o"),"ú","u"),"ü","u"),"ñ","n"),"à","a"),"è","e"),"ì","i"),"ò","o"),"ù","u")),"")</f>
        <v/>
      </c>
      <c r="Y410" s="25">
        <f>IF(X410="","",IF(IFERROR(COUNTIF(X$3:X410,"="&amp;SUBSTITUTE(SUBSTITUTE(SUBSTITUTE(X410,"~","~~"),"*","~*"),"?","~?")),0)=1,1,""))</f>
        <v/>
      </c>
      <c r="Z410" s="25">
        <f>IF(T410=1,MAX(Z$2:Z409)+1,"")</f>
        <v/>
      </c>
    </row>
    <row r="411">
      <c r="A411">
        <f>IF(A$2=0,"",IFERROR(TRIM(INDEX('Pegar calibracion'!$A$1:$BZ$1001,410,A$2)&amp;""),""))</f>
        <v/>
      </c>
      <c r="B411">
        <f>IF(B$2=0,"",IFERROR(TRIM(INDEX('Pegar calibracion'!$A$1:$BZ$1001,410,B$2)&amp;""),""))</f>
        <v/>
      </c>
      <c r="C411">
        <f>IF(C$2=0,"",IFERROR(TRIM(INDEX('Pegar calibracion'!$A$1:$BZ$1001,410,C$2)&amp;""),""))</f>
        <v/>
      </c>
      <c r="D411">
        <f>IF(D$2=0,"",IFERROR(TRIM(INDEX('Pegar calibracion'!$A$1:$BZ$1001,410,D$2)&amp;""),""))</f>
        <v/>
      </c>
      <c r="E411">
        <f>IF(E$2=0,"",IFERROR(TRIM(INDEX('Pegar calibracion'!$A$1:$BZ$1001,410,E$2)&amp;""),""))</f>
        <v/>
      </c>
      <c r="F411">
        <f>IF(F$2=0,"",IFERROR(TRIM(INDEX('Pegar calibracion'!$A$1:$BZ$1001,410,F$2)&amp;""),""))</f>
        <v/>
      </c>
      <c r="G411">
        <f>IF(G$2=0,"",IFERROR(TRIM(INDEX('Pegar calibracion'!$A$1:$BZ$1001,410,G$2)&amp;""),""))</f>
        <v/>
      </c>
      <c r="H411">
        <f>IF(H$2=0,"",IFERROR(TRIM(INDEX('Pegar calibracion'!$A$1:$BZ$1001,410,H$2)&amp;""),""))</f>
        <v/>
      </c>
      <c r="I411">
        <f>IF(I$2=0,"",IFERROR(TRIM(INDEX('Pegar calibracion'!$A$1:$BZ$1001,410,I$2)&amp;""),""))</f>
        <v/>
      </c>
      <c r="J411">
        <f>IF(J$2=0,"",IFERROR(TRIM(INDEX('Pegar calibracion'!$A$1:$BZ$1001,410,J$2)&amp;""),""))</f>
        <v/>
      </c>
      <c r="K411">
        <f>IF(K$2=0,"",IFERROR(TRIM(INDEX('Pegar calibracion'!$A$1:$BZ$1001,410,K$2)&amp;""),""))</f>
        <v/>
      </c>
      <c r="L411">
        <f>IF(L$2=0,"",IFERROR(TRIM(INDEX('Pegar calibracion'!$A$1:$BZ$1001,410,L$2)&amp;""),""))</f>
        <v/>
      </c>
      <c r="M411" s="25">
        <f>IF(D411="","",SUBSTITUTE(SUBSTITUTE(SUBSTITUTE(SUBSTITUTE(SUBSTITUTE(SUBSTITUTE(SUBSTITUTE(SUBSTITUTE(SUBSTITUTE(SUBSTITUTE(SUBSTITUTE(SUBSTITUTE(LOWER(TRIM(D411)),"á","a"),"é","e"),"í","i"),"ó","o"),"ú","u"),"ü","u"),"ñ","n"),"à","a"),"è","e"),"ì","i"),"ò","o"),"ù","u"))</f>
        <v/>
      </c>
      <c r="N411" s="25">
        <f>IF(F411="","",SUBSTITUTE(SUBSTITUTE(SUBSTITUTE(SUBSTITUTE(SUBSTITUTE(SUBSTITUTE(SUBSTITUTE(SUBSTITUTE(SUBSTITUTE(SUBSTITUTE(SUBSTITUTE(SUBSTITUTE(LOWER(TRIM(F411)),"á","a"),"é","e"),"í","i"),"ó","o"),"ú","u"),"ü","u"),"ñ","n"),"à","a"),"è","e"),"ì","i"),"ò","o"),"ù","u"))</f>
        <v/>
      </c>
      <c r="O411" s="25">
        <f>IF(M411="confiable",2,IF(M411="dudosa",1,IF(M411="no confiable",0,"")))</f>
        <v/>
      </c>
      <c r="P411" s="25">
        <f>IF(N411="confiable",2,IF(N411="dudosa",1,IF(N411="no confiable",0,"")))</f>
        <v/>
      </c>
      <c r="Q411" s="25">
        <f>IF(AND(ISNUMBER(O411),ISNUMBER(P411)),1,"")</f>
        <v/>
      </c>
      <c r="R411" s="25">
        <f>IF(Q411=1,IF(O411=P411,"Sí","No"),"")</f>
        <v/>
      </c>
      <c r="S411" s="25">
        <f>IF(Q411=1,IF(P411&lt;O411,"Más estricto",IF(P411&gt;O411,"Más permisivo","Igual")),"")</f>
        <v/>
      </c>
      <c r="T411" s="25">
        <f>IF(Q411=1,IF(ABS(O411-P411)=2,1,0),"")</f>
        <v/>
      </c>
      <c r="U411" s="25">
        <f>IF(H411="","","|"&amp;SUBSTITUTE(SUBSTITUTE(TRIM(H411)," |","|"),"| ","|")&amp;"|")</f>
        <v/>
      </c>
      <c r="V411" s="25">
        <f>IF(AND(Q411=1,B411&lt;&gt;""),IF(IFERROR(COUNTIFS(B$3:B411,"="&amp;SUBSTITUTE(SUBSTITUTE(SUBSTITUTE(B411,"~","~~"),"*","~*"),"?","~?"),Q$3:Q411,1),0)=1,MAX(V$2:V410)+1,""),"")</f>
        <v/>
      </c>
      <c r="W411" s="25">
        <f>IF(V411="","",COUNTIFS($B$3:$B$1002,"="&amp;SUBSTITUTE(SUBSTITUTE(SUBSTITUTE(B411,"~","~~"),"*","~*"),"?","~?"),$Q$3:$Q$1002,1)*10000-V411)</f>
        <v/>
      </c>
      <c r="X411" s="25">
        <f>IF(Q411=1,IF(SUBSTITUTE(SUBSTITUTE(SUBSTITUTE(SUBSTITUTE(SUBSTITUTE(SUBSTITUTE(SUBSTITUTE(SUBSTITUTE(SUBSTITUTE(SUBSTITUTE(SUBSTITUTE(SUBSTITUTE(LOWER(TRIM(A411)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411)),"á","a"),"é","e"),"í","i"),"ó","o"),"ú","u"),"ü","u"),"ñ","n"),"à","a"),"è","e"),"ì","i"),"ò","o"),"ù","u")),"")</f>
        <v/>
      </c>
      <c r="Y411" s="25">
        <f>IF(X411="","",IF(IFERROR(COUNTIF(X$3:X411,"="&amp;SUBSTITUTE(SUBSTITUTE(SUBSTITUTE(X411,"~","~~"),"*","~*"),"?","~?")),0)=1,1,""))</f>
        <v/>
      </c>
      <c r="Z411" s="25">
        <f>IF(T411=1,MAX(Z$2:Z410)+1,"")</f>
        <v/>
      </c>
    </row>
    <row r="412">
      <c r="A412">
        <f>IF(A$2=0,"",IFERROR(TRIM(INDEX('Pegar calibracion'!$A$1:$BZ$1001,411,A$2)&amp;""),""))</f>
        <v/>
      </c>
      <c r="B412">
        <f>IF(B$2=0,"",IFERROR(TRIM(INDEX('Pegar calibracion'!$A$1:$BZ$1001,411,B$2)&amp;""),""))</f>
        <v/>
      </c>
      <c r="C412">
        <f>IF(C$2=0,"",IFERROR(TRIM(INDEX('Pegar calibracion'!$A$1:$BZ$1001,411,C$2)&amp;""),""))</f>
        <v/>
      </c>
      <c r="D412">
        <f>IF(D$2=0,"",IFERROR(TRIM(INDEX('Pegar calibracion'!$A$1:$BZ$1001,411,D$2)&amp;""),""))</f>
        <v/>
      </c>
      <c r="E412">
        <f>IF(E$2=0,"",IFERROR(TRIM(INDEX('Pegar calibracion'!$A$1:$BZ$1001,411,E$2)&amp;""),""))</f>
        <v/>
      </c>
      <c r="F412">
        <f>IF(F$2=0,"",IFERROR(TRIM(INDEX('Pegar calibracion'!$A$1:$BZ$1001,411,F$2)&amp;""),""))</f>
        <v/>
      </c>
      <c r="G412">
        <f>IF(G$2=0,"",IFERROR(TRIM(INDEX('Pegar calibracion'!$A$1:$BZ$1001,411,G$2)&amp;""),""))</f>
        <v/>
      </c>
      <c r="H412">
        <f>IF(H$2=0,"",IFERROR(TRIM(INDEX('Pegar calibracion'!$A$1:$BZ$1001,411,H$2)&amp;""),""))</f>
        <v/>
      </c>
      <c r="I412">
        <f>IF(I$2=0,"",IFERROR(TRIM(INDEX('Pegar calibracion'!$A$1:$BZ$1001,411,I$2)&amp;""),""))</f>
        <v/>
      </c>
      <c r="J412">
        <f>IF(J$2=0,"",IFERROR(TRIM(INDEX('Pegar calibracion'!$A$1:$BZ$1001,411,J$2)&amp;""),""))</f>
        <v/>
      </c>
      <c r="K412">
        <f>IF(K$2=0,"",IFERROR(TRIM(INDEX('Pegar calibracion'!$A$1:$BZ$1001,411,K$2)&amp;""),""))</f>
        <v/>
      </c>
      <c r="L412">
        <f>IF(L$2=0,"",IFERROR(TRIM(INDEX('Pegar calibracion'!$A$1:$BZ$1001,411,L$2)&amp;""),""))</f>
        <v/>
      </c>
      <c r="M412" s="25">
        <f>IF(D412="","",SUBSTITUTE(SUBSTITUTE(SUBSTITUTE(SUBSTITUTE(SUBSTITUTE(SUBSTITUTE(SUBSTITUTE(SUBSTITUTE(SUBSTITUTE(SUBSTITUTE(SUBSTITUTE(SUBSTITUTE(LOWER(TRIM(D412)),"á","a"),"é","e"),"í","i"),"ó","o"),"ú","u"),"ü","u"),"ñ","n"),"à","a"),"è","e"),"ì","i"),"ò","o"),"ù","u"))</f>
        <v/>
      </c>
      <c r="N412" s="25">
        <f>IF(F412="","",SUBSTITUTE(SUBSTITUTE(SUBSTITUTE(SUBSTITUTE(SUBSTITUTE(SUBSTITUTE(SUBSTITUTE(SUBSTITUTE(SUBSTITUTE(SUBSTITUTE(SUBSTITUTE(SUBSTITUTE(LOWER(TRIM(F412)),"á","a"),"é","e"),"í","i"),"ó","o"),"ú","u"),"ü","u"),"ñ","n"),"à","a"),"è","e"),"ì","i"),"ò","o"),"ù","u"))</f>
        <v/>
      </c>
      <c r="O412" s="25">
        <f>IF(M412="confiable",2,IF(M412="dudosa",1,IF(M412="no confiable",0,"")))</f>
        <v/>
      </c>
      <c r="P412" s="25">
        <f>IF(N412="confiable",2,IF(N412="dudosa",1,IF(N412="no confiable",0,"")))</f>
        <v/>
      </c>
      <c r="Q412" s="25">
        <f>IF(AND(ISNUMBER(O412),ISNUMBER(P412)),1,"")</f>
        <v/>
      </c>
      <c r="R412" s="25">
        <f>IF(Q412=1,IF(O412=P412,"Sí","No"),"")</f>
        <v/>
      </c>
      <c r="S412" s="25">
        <f>IF(Q412=1,IF(P412&lt;O412,"Más estricto",IF(P412&gt;O412,"Más permisivo","Igual")),"")</f>
        <v/>
      </c>
      <c r="T412" s="25">
        <f>IF(Q412=1,IF(ABS(O412-P412)=2,1,0),"")</f>
        <v/>
      </c>
      <c r="U412" s="25">
        <f>IF(H412="","","|"&amp;SUBSTITUTE(SUBSTITUTE(TRIM(H412)," |","|"),"| ","|")&amp;"|")</f>
        <v/>
      </c>
      <c r="V412" s="25">
        <f>IF(AND(Q412=1,B412&lt;&gt;""),IF(IFERROR(COUNTIFS(B$3:B412,"="&amp;SUBSTITUTE(SUBSTITUTE(SUBSTITUTE(B412,"~","~~"),"*","~*"),"?","~?"),Q$3:Q412,1),0)=1,MAX(V$2:V411)+1,""),"")</f>
        <v/>
      </c>
      <c r="W412" s="25">
        <f>IF(V412="","",COUNTIFS($B$3:$B$1002,"="&amp;SUBSTITUTE(SUBSTITUTE(SUBSTITUTE(B412,"~","~~"),"*","~*"),"?","~?"),$Q$3:$Q$1002,1)*10000-V412)</f>
        <v/>
      </c>
      <c r="X412" s="25">
        <f>IF(Q412=1,IF(SUBSTITUTE(SUBSTITUTE(SUBSTITUTE(SUBSTITUTE(SUBSTITUTE(SUBSTITUTE(SUBSTITUTE(SUBSTITUTE(SUBSTITUTE(SUBSTITUTE(SUBSTITUTE(SUBSTITUTE(LOWER(TRIM(A412)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412)),"á","a"),"é","e"),"í","i"),"ó","o"),"ú","u"),"ü","u"),"ñ","n"),"à","a"),"è","e"),"ì","i"),"ò","o"),"ù","u")),"")</f>
        <v/>
      </c>
      <c r="Y412" s="25">
        <f>IF(X412="","",IF(IFERROR(COUNTIF(X$3:X412,"="&amp;SUBSTITUTE(SUBSTITUTE(SUBSTITUTE(X412,"~","~~"),"*","~*"),"?","~?")),0)=1,1,""))</f>
        <v/>
      </c>
      <c r="Z412" s="25">
        <f>IF(T412=1,MAX(Z$2:Z411)+1,"")</f>
        <v/>
      </c>
    </row>
    <row r="413">
      <c r="A413">
        <f>IF(A$2=0,"",IFERROR(TRIM(INDEX('Pegar calibracion'!$A$1:$BZ$1001,412,A$2)&amp;""),""))</f>
        <v/>
      </c>
      <c r="B413">
        <f>IF(B$2=0,"",IFERROR(TRIM(INDEX('Pegar calibracion'!$A$1:$BZ$1001,412,B$2)&amp;""),""))</f>
        <v/>
      </c>
      <c r="C413">
        <f>IF(C$2=0,"",IFERROR(TRIM(INDEX('Pegar calibracion'!$A$1:$BZ$1001,412,C$2)&amp;""),""))</f>
        <v/>
      </c>
      <c r="D413">
        <f>IF(D$2=0,"",IFERROR(TRIM(INDEX('Pegar calibracion'!$A$1:$BZ$1001,412,D$2)&amp;""),""))</f>
        <v/>
      </c>
      <c r="E413">
        <f>IF(E$2=0,"",IFERROR(TRIM(INDEX('Pegar calibracion'!$A$1:$BZ$1001,412,E$2)&amp;""),""))</f>
        <v/>
      </c>
      <c r="F413">
        <f>IF(F$2=0,"",IFERROR(TRIM(INDEX('Pegar calibracion'!$A$1:$BZ$1001,412,F$2)&amp;""),""))</f>
        <v/>
      </c>
      <c r="G413">
        <f>IF(G$2=0,"",IFERROR(TRIM(INDEX('Pegar calibracion'!$A$1:$BZ$1001,412,G$2)&amp;""),""))</f>
        <v/>
      </c>
      <c r="H413">
        <f>IF(H$2=0,"",IFERROR(TRIM(INDEX('Pegar calibracion'!$A$1:$BZ$1001,412,H$2)&amp;""),""))</f>
        <v/>
      </c>
      <c r="I413">
        <f>IF(I$2=0,"",IFERROR(TRIM(INDEX('Pegar calibracion'!$A$1:$BZ$1001,412,I$2)&amp;""),""))</f>
        <v/>
      </c>
      <c r="J413">
        <f>IF(J$2=0,"",IFERROR(TRIM(INDEX('Pegar calibracion'!$A$1:$BZ$1001,412,J$2)&amp;""),""))</f>
        <v/>
      </c>
      <c r="K413">
        <f>IF(K$2=0,"",IFERROR(TRIM(INDEX('Pegar calibracion'!$A$1:$BZ$1001,412,K$2)&amp;""),""))</f>
        <v/>
      </c>
      <c r="L413">
        <f>IF(L$2=0,"",IFERROR(TRIM(INDEX('Pegar calibracion'!$A$1:$BZ$1001,412,L$2)&amp;""),""))</f>
        <v/>
      </c>
      <c r="M413" s="25">
        <f>IF(D413="","",SUBSTITUTE(SUBSTITUTE(SUBSTITUTE(SUBSTITUTE(SUBSTITUTE(SUBSTITUTE(SUBSTITUTE(SUBSTITUTE(SUBSTITUTE(SUBSTITUTE(SUBSTITUTE(SUBSTITUTE(LOWER(TRIM(D413)),"á","a"),"é","e"),"í","i"),"ó","o"),"ú","u"),"ü","u"),"ñ","n"),"à","a"),"è","e"),"ì","i"),"ò","o"),"ù","u"))</f>
        <v/>
      </c>
      <c r="N413" s="25">
        <f>IF(F413="","",SUBSTITUTE(SUBSTITUTE(SUBSTITUTE(SUBSTITUTE(SUBSTITUTE(SUBSTITUTE(SUBSTITUTE(SUBSTITUTE(SUBSTITUTE(SUBSTITUTE(SUBSTITUTE(SUBSTITUTE(LOWER(TRIM(F413)),"á","a"),"é","e"),"í","i"),"ó","o"),"ú","u"),"ü","u"),"ñ","n"),"à","a"),"è","e"),"ì","i"),"ò","o"),"ù","u"))</f>
        <v/>
      </c>
      <c r="O413" s="25">
        <f>IF(M413="confiable",2,IF(M413="dudosa",1,IF(M413="no confiable",0,"")))</f>
        <v/>
      </c>
      <c r="P413" s="25">
        <f>IF(N413="confiable",2,IF(N413="dudosa",1,IF(N413="no confiable",0,"")))</f>
        <v/>
      </c>
      <c r="Q413" s="25">
        <f>IF(AND(ISNUMBER(O413),ISNUMBER(P413)),1,"")</f>
        <v/>
      </c>
      <c r="R413" s="25">
        <f>IF(Q413=1,IF(O413=P413,"Sí","No"),"")</f>
        <v/>
      </c>
      <c r="S413" s="25">
        <f>IF(Q413=1,IF(P413&lt;O413,"Más estricto",IF(P413&gt;O413,"Más permisivo","Igual")),"")</f>
        <v/>
      </c>
      <c r="T413" s="25">
        <f>IF(Q413=1,IF(ABS(O413-P413)=2,1,0),"")</f>
        <v/>
      </c>
      <c r="U413" s="25">
        <f>IF(H413="","","|"&amp;SUBSTITUTE(SUBSTITUTE(TRIM(H413)," |","|"),"| ","|")&amp;"|")</f>
        <v/>
      </c>
      <c r="V413" s="25">
        <f>IF(AND(Q413=1,B413&lt;&gt;""),IF(IFERROR(COUNTIFS(B$3:B413,"="&amp;SUBSTITUTE(SUBSTITUTE(SUBSTITUTE(B413,"~","~~"),"*","~*"),"?","~?"),Q$3:Q413,1),0)=1,MAX(V$2:V412)+1,""),"")</f>
        <v/>
      </c>
      <c r="W413" s="25">
        <f>IF(V413="","",COUNTIFS($B$3:$B$1002,"="&amp;SUBSTITUTE(SUBSTITUTE(SUBSTITUTE(B413,"~","~~"),"*","~*"),"?","~?"),$Q$3:$Q$1002,1)*10000-V413)</f>
        <v/>
      </c>
      <c r="X413" s="25">
        <f>IF(Q413=1,IF(SUBSTITUTE(SUBSTITUTE(SUBSTITUTE(SUBSTITUTE(SUBSTITUTE(SUBSTITUTE(SUBSTITUTE(SUBSTITUTE(SUBSTITUTE(SUBSTITUTE(SUBSTITUTE(SUBSTITUTE(LOWER(TRIM(A413)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413)),"á","a"),"é","e"),"í","i"),"ó","o"),"ú","u"),"ü","u"),"ñ","n"),"à","a"),"è","e"),"ì","i"),"ò","o"),"ù","u")),"")</f>
        <v/>
      </c>
      <c r="Y413" s="25">
        <f>IF(X413="","",IF(IFERROR(COUNTIF(X$3:X413,"="&amp;SUBSTITUTE(SUBSTITUTE(SUBSTITUTE(X413,"~","~~"),"*","~*"),"?","~?")),0)=1,1,""))</f>
        <v/>
      </c>
      <c r="Z413" s="25">
        <f>IF(T413=1,MAX(Z$2:Z412)+1,"")</f>
        <v/>
      </c>
    </row>
    <row r="414">
      <c r="A414">
        <f>IF(A$2=0,"",IFERROR(TRIM(INDEX('Pegar calibracion'!$A$1:$BZ$1001,413,A$2)&amp;""),""))</f>
        <v/>
      </c>
      <c r="B414">
        <f>IF(B$2=0,"",IFERROR(TRIM(INDEX('Pegar calibracion'!$A$1:$BZ$1001,413,B$2)&amp;""),""))</f>
        <v/>
      </c>
      <c r="C414">
        <f>IF(C$2=0,"",IFERROR(TRIM(INDEX('Pegar calibracion'!$A$1:$BZ$1001,413,C$2)&amp;""),""))</f>
        <v/>
      </c>
      <c r="D414">
        <f>IF(D$2=0,"",IFERROR(TRIM(INDEX('Pegar calibracion'!$A$1:$BZ$1001,413,D$2)&amp;""),""))</f>
        <v/>
      </c>
      <c r="E414">
        <f>IF(E$2=0,"",IFERROR(TRIM(INDEX('Pegar calibracion'!$A$1:$BZ$1001,413,E$2)&amp;""),""))</f>
        <v/>
      </c>
      <c r="F414">
        <f>IF(F$2=0,"",IFERROR(TRIM(INDEX('Pegar calibracion'!$A$1:$BZ$1001,413,F$2)&amp;""),""))</f>
        <v/>
      </c>
      <c r="G414">
        <f>IF(G$2=0,"",IFERROR(TRIM(INDEX('Pegar calibracion'!$A$1:$BZ$1001,413,G$2)&amp;""),""))</f>
        <v/>
      </c>
      <c r="H414">
        <f>IF(H$2=0,"",IFERROR(TRIM(INDEX('Pegar calibracion'!$A$1:$BZ$1001,413,H$2)&amp;""),""))</f>
        <v/>
      </c>
      <c r="I414">
        <f>IF(I$2=0,"",IFERROR(TRIM(INDEX('Pegar calibracion'!$A$1:$BZ$1001,413,I$2)&amp;""),""))</f>
        <v/>
      </c>
      <c r="J414">
        <f>IF(J$2=0,"",IFERROR(TRIM(INDEX('Pegar calibracion'!$A$1:$BZ$1001,413,J$2)&amp;""),""))</f>
        <v/>
      </c>
      <c r="K414">
        <f>IF(K$2=0,"",IFERROR(TRIM(INDEX('Pegar calibracion'!$A$1:$BZ$1001,413,K$2)&amp;""),""))</f>
        <v/>
      </c>
      <c r="L414">
        <f>IF(L$2=0,"",IFERROR(TRIM(INDEX('Pegar calibracion'!$A$1:$BZ$1001,413,L$2)&amp;""),""))</f>
        <v/>
      </c>
      <c r="M414" s="25">
        <f>IF(D414="","",SUBSTITUTE(SUBSTITUTE(SUBSTITUTE(SUBSTITUTE(SUBSTITUTE(SUBSTITUTE(SUBSTITUTE(SUBSTITUTE(SUBSTITUTE(SUBSTITUTE(SUBSTITUTE(SUBSTITUTE(LOWER(TRIM(D414)),"á","a"),"é","e"),"í","i"),"ó","o"),"ú","u"),"ü","u"),"ñ","n"),"à","a"),"è","e"),"ì","i"),"ò","o"),"ù","u"))</f>
        <v/>
      </c>
      <c r="N414" s="25">
        <f>IF(F414="","",SUBSTITUTE(SUBSTITUTE(SUBSTITUTE(SUBSTITUTE(SUBSTITUTE(SUBSTITUTE(SUBSTITUTE(SUBSTITUTE(SUBSTITUTE(SUBSTITUTE(SUBSTITUTE(SUBSTITUTE(LOWER(TRIM(F414)),"á","a"),"é","e"),"í","i"),"ó","o"),"ú","u"),"ü","u"),"ñ","n"),"à","a"),"è","e"),"ì","i"),"ò","o"),"ù","u"))</f>
        <v/>
      </c>
      <c r="O414" s="25">
        <f>IF(M414="confiable",2,IF(M414="dudosa",1,IF(M414="no confiable",0,"")))</f>
        <v/>
      </c>
      <c r="P414" s="25">
        <f>IF(N414="confiable",2,IF(N414="dudosa",1,IF(N414="no confiable",0,"")))</f>
        <v/>
      </c>
      <c r="Q414" s="25">
        <f>IF(AND(ISNUMBER(O414),ISNUMBER(P414)),1,"")</f>
        <v/>
      </c>
      <c r="R414" s="25">
        <f>IF(Q414=1,IF(O414=P414,"Sí","No"),"")</f>
        <v/>
      </c>
      <c r="S414" s="25">
        <f>IF(Q414=1,IF(P414&lt;O414,"Más estricto",IF(P414&gt;O414,"Más permisivo","Igual")),"")</f>
        <v/>
      </c>
      <c r="T414" s="25">
        <f>IF(Q414=1,IF(ABS(O414-P414)=2,1,0),"")</f>
        <v/>
      </c>
      <c r="U414" s="25">
        <f>IF(H414="","","|"&amp;SUBSTITUTE(SUBSTITUTE(TRIM(H414)," |","|"),"| ","|")&amp;"|")</f>
        <v/>
      </c>
      <c r="V414" s="25">
        <f>IF(AND(Q414=1,B414&lt;&gt;""),IF(IFERROR(COUNTIFS(B$3:B414,"="&amp;SUBSTITUTE(SUBSTITUTE(SUBSTITUTE(B414,"~","~~"),"*","~*"),"?","~?"),Q$3:Q414,1),0)=1,MAX(V$2:V413)+1,""),"")</f>
        <v/>
      </c>
      <c r="W414" s="25">
        <f>IF(V414="","",COUNTIFS($B$3:$B$1002,"="&amp;SUBSTITUTE(SUBSTITUTE(SUBSTITUTE(B414,"~","~~"),"*","~*"),"?","~?"),$Q$3:$Q$1002,1)*10000-V414)</f>
        <v/>
      </c>
      <c r="X414" s="25">
        <f>IF(Q414=1,IF(SUBSTITUTE(SUBSTITUTE(SUBSTITUTE(SUBSTITUTE(SUBSTITUTE(SUBSTITUTE(SUBSTITUTE(SUBSTITUTE(SUBSTITUTE(SUBSTITUTE(SUBSTITUTE(SUBSTITUTE(LOWER(TRIM(A414)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414)),"á","a"),"é","e"),"í","i"),"ó","o"),"ú","u"),"ü","u"),"ñ","n"),"à","a"),"è","e"),"ì","i"),"ò","o"),"ù","u")),"")</f>
        <v/>
      </c>
      <c r="Y414" s="25">
        <f>IF(X414="","",IF(IFERROR(COUNTIF(X$3:X414,"="&amp;SUBSTITUTE(SUBSTITUTE(SUBSTITUTE(X414,"~","~~"),"*","~*"),"?","~?")),0)=1,1,""))</f>
        <v/>
      </c>
      <c r="Z414" s="25">
        <f>IF(T414=1,MAX(Z$2:Z413)+1,"")</f>
        <v/>
      </c>
    </row>
    <row r="415">
      <c r="A415">
        <f>IF(A$2=0,"",IFERROR(TRIM(INDEX('Pegar calibracion'!$A$1:$BZ$1001,414,A$2)&amp;""),""))</f>
        <v/>
      </c>
      <c r="B415">
        <f>IF(B$2=0,"",IFERROR(TRIM(INDEX('Pegar calibracion'!$A$1:$BZ$1001,414,B$2)&amp;""),""))</f>
        <v/>
      </c>
      <c r="C415">
        <f>IF(C$2=0,"",IFERROR(TRIM(INDEX('Pegar calibracion'!$A$1:$BZ$1001,414,C$2)&amp;""),""))</f>
        <v/>
      </c>
      <c r="D415">
        <f>IF(D$2=0,"",IFERROR(TRIM(INDEX('Pegar calibracion'!$A$1:$BZ$1001,414,D$2)&amp;""),""))</f>
        <v/>
      </c>
      <c r="E415">
        <f>IF(E$2=0,"",IFERROR(TRIM(INDEX('Pegar calibracion'!$A$1:$BZ$1001,414,E$2)&amp;""),""))</f>
        <v/>
      </c>
      <c r="F415">
        <f>IF(F$2=0,"",IFERROR(TRIM(INDEX('Pegar calibracion'!$A$1:$BZ$1001,414,F$2)&amp;""),""))</f>
        <v/>
      </c>
      <c r="G415">
        <f>IF(G$2=0,"",IFERROR(TRIM(INDEX('Pegar calibracion'!$A$1:$BZ$1001,414,G$2)&amp;""),""))</f>
        <v/>
      </c>
      <c r="H415">
        <f>IF(H$2=0,"",IFERROR(TRIM(INDEX('Pegar calibracion'!$A$1:$BZ$1001,414,H$2)&amp;""),""))</f>
        <v/>
      </c>
      <c r="I415">
        <f>IF(I$2=0,"",IFERROR(TRIM(INDEX('Pegar calibracion'!$A$1:$BZ$1001,414,I$2)&amp;""),""))</f>
        <v/>
      </c>
      <c r="J415">
        <f>IF(J$2=0,"",IFERROR(TRIM(INDEX('Pegar calibracion'!$A$1:$BZ$1001,414,J$2)&amp;""),""))</f>
        <v/>
      </c>
      <c r="K415">
        <f>IF(K$2=0,"",IFERROR(TRIM(INDEX('Pegar calibracion'!$A$1:$BZ$1001,414,K$2)&amp;""),""))</f>
        <v/>
      </c>
      <c r="L415">
        <f>IF(L$2=0,"",IFERROR(TRIM(INDEX('Pegar calibracion'!$A$1:$BZ$1001,414,L$2)&amp;""),""))</f>
        <v/>
      </c>
      <c r="M415" s="25">
        <f>IF(D415="","",SUBSTITUTE(SUBSTITUTE(SUBSTITUTE(SUBSTITUTE(SUBSTITUTE(SUBSTITUTE(SUBSTITUTE(SUBSTITUTE(SUBSTITUTE(SUBSTITUTE(SUBSTITUTE(SUBSTITUTE(LOWER(TRIM(D415)),"á","a"),"é","e"),"í","i"),"ó","o"),"ú","u"),"ü","u"),"ñ","n"),"à","a"),"è","e"),"ì","i"),"ò","o"),"ù","u"))</f>
        <v/>
      </c>
      <c r="N415" s="25">
        <f>IF(F415="","",SUBSTITUTE(SUBSTITUTE(SUBSTITUTE(SUBSTITUTE(SUBSTITUTE(SUBSTITUTE(SUBSTITUTE(SUBSTITUTE(SUBSTITUTE(SUBSTITUTE(SUBSTITUTE(SUBSTITUTE(LOWER(TRIM(F415)),"á","a"),"é","e"),"í","i"),"ó","o"),"ú","u"),"ü","u"),"ñ","n"),"à","a"),"è","e"),"ì","i"),"ò","o"),"ù","u"))</f>
        <v/>
      </c>
      <c r="O415" s="25">
        <f>IF(M415="confiable",2,IF(M415="dudosa",1,IF(M415="no confiable",0,"")))</f>
        <v/>
      </c>
      <c r="P415" s="25">
        <f>IF(N415="confiable",2,IF(N415="dudosa",1,IF(N415="no confiable",0,"")))</f>
        <v/>
      </c>
      <c r="Q415" s="25">
        <f>IF(AND(ISNUMBER(O415),ISNUMBER(P415)),1,"")</f>
        <v/>
      </c>
      <c r="R415" s="25">
        <f>IF(Q415=1,IF(O415=P415,"Sí","No"),"")</f>
        <v/>
      </c>
      <c r="S415" s="25">
        <f>IF(Q415=1,IF(P415&lt;O415,"Más estricto",IF(P415&gt;O415,"Más permisivo","Igual")),"")</f>
        <v/>
      </c>
      <c r="T415" s="25">
        <f>IF(Q415=1,IF(ABS(O415-P415)=2,1,0),"")</f>
        <v/>
      </c>
      <c r="U415" s="25">
        <f>IF(H415="","","|"&amp;SUBSTITUTE(SUBSTITUTE(TRIM(H415)," |","|"),"| ","|")&amp;"|")</f>
        <v/>
      </c>
      <c r="V415" s="25">
        <f>IF(AND(Q415=1,B415&lt;&gt;""),IF(IFERROR(COUNTIFS(B$3:B415,"="&amp;SUBSTITUTE(SUBSTITUTE(SUBSTITUTE(B415,"~","~~"),"*","~*"),"?","~?"),Q$3:Q415,1),0)=1,MAX(V$2:V414)+1,""),"")</f>
        <v/>
      </c>
      <c r="W415" s="25">
        <f>IF(V415="","",COUNTIFS($B$3:$B$1002,"="&amp;SUBSTITUTE(SUBSTITUTE(SUBSTITUTE(B415,"~","~~"),"*","~*"),"?","~?"),$Q$3:$Q$1002,1)*10000-V415)</f>
        <v/>
      </c>
      <c r="X415" s="25">
        <f>IF(Q415=1,IF(SUBSTITUTE(SUBSTITUTE(SUBSTITUTE(SUBSTITUTE(SUBSTITUTE(SUBSTITUTE(SUBSTITUTE(SUBSTITUTE(SUBSTITUTE(SUBSTITUTE(SUBSTITUTE(SUBSTITUTE(LOWER(TRIM(A415)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415)),"á","a"),"é","e"),"í","i"),"ó","o"),"ú","u"),"ü","u"),"ñ","n"),"à","a"),"è","e"),"ì","i"),"ò","o"),"ù","u")),"")</f>
        <v/>
      </c>
      <c r="Y415" s="25">
        <f>IF(X415="","",IF(IFERROR(COUNTIF(X$3:X415,"="&amp;SUBSTITUTE(SUBSTITUTE(SUBSTITUTE(X415,"~","~~"),"*","~*"),"?","~?")),0)=1,1,""))</f>
        <v/>
      </c>
      <c r="Z415" s="25">
        <f>IF(T415=1,MAX(Z$2:Z414)+1,"")</f>
        <v/>
      </c>
    </row>
    <row r="416">
      <c r="A416">
        <f>IF(A$2=0,"",IFERROR(TRIM(INDEX('Pegar calibracion'!$A$1:$BZ$1001,415,A$2)&amp;""),""))</f>
        <v/>
      </c>
      <c r="B416">
        <f>IF(B$2=0,"",IFERROR(TRIM(INDEX('Pegar calibracion'!$A$1:$BZ$1001,415,B$2)&amp;""),""))</f>
        <v/>
      </c>
      <c r="C416">
        <f>IF(C$2=0,"",IFERROR(TRIM(INDEX('Pegar calibracion'!$A$1:$BZ$1001,415,C$2)&amp;""),""))</f>
        <v/>
      </c>
      <c r="D416">
        <f>IF(D$2=0,"",IFERROR(TRIM(INDEX('Pegar calibracion'!$A$1:$BZ$1001,415,D$2)&amp;""),""))</f>
        <v/>
      </c>
      <c r="E416">
        <f>IF(E$2=0,"",IFERROR(TRIM(INDEX('Pegar calibracion'!$A$1:$BZ$1001,415,E$2)&amp;""),""))</f>
        <v/>
      </c>
      <c r="F416">
        <f>IF(F$2=0,"",IFERROR(TRIM(INDEX('Pegar calibracion'!$A$1:$BZ$1001,415,F$2)&amp;""),""))</f>
        <v/>
      </c>
      <c r="G416">
        <f>IF(G$2=0,"",IFERROR(TRIM(INDEX('Pegar calibracion'!$A$1:$BZ$1001,415,G$2)&amp;""),""))</f>
        <v/>
      </c>
      <c r="H416">
        <f>IF(H$2=0,"",IFERROR(TRIM(INDEX('Pegar calibracion'!$A$1:$BZ$1001,415,H$2)&amp;""),""))</f>
        <v/>
      </c>
      <c r="I416">
        <f>IF(I$2=0,"",IFERROR(TRIM(INDEX('Pegar calibracion'!$A$1:$BZ$1001,415,I$2)&amp;""),""))</f>
        <v/>
      </c>
      <c r="J416">
        <f>IF(J$2=0,"",IFERROR(TRIM(INDEX('Pegar calibracion'!$A$1:$BZ$1001,415,J$2)&amp;""),""))</f>
        <v/>
      </c>
      <c r="K416">
        <f>IF(K$2=0,"",IFERROR(TRIM(INDEX('Pegar calibracion'!$A$1:$BZ$1001,415,K$2)&amp;""),""))</f>
        <v/>
      </c>
      <c r="L416">
        <f>IF(L$2=0,"",IFERROR(TRIM(INDEX('Pegar calibracion'!$A$1:$BZ$1001,415,L$2)&amp;""),""))</f>
        <v/>
      </c>
      <c r="M416" s="25">
        <f>IF(D416="","",SUBSTITUTE(SUBSTITUTE(SUBSTITUTE(SUBSTITUTE(SUBSTITUTE(SUBSTITUTE(SUBSTITUTE(SUBSTITUTE(SUBSTITUTE(SUBSTITUTE(SUBSTITUTE(SUBSTITUTE(LOWER(TRIM(D416)),"á","a"),"é","e"),"í","i"),"ó","o"),"ú","u"),"ü","u"),"ñ","n"),"à","a"),"è","e"),"ì","i"),"ò","o"),"ù","u"))</f>
        <v/>
      </c>
      <c r="N416" s="25">
        <f>IF(F416="","",SUBSTITUTE(SUBSTITUTE(SUBSTITUTE(SUBSTITUTE(SUBSTITUTE(SUBSTITUTE(SUBSTITUTE(SUBSTITUTE(SUBSTITUTE(SUBSTITUTE(SUBSTITUTE(SUBSTITUTE(LOWER(TRIM(F416)),"á","a"),"é","e"),"í","i"),"ó","o"),"ú","u"),"ü","u"),"ñ","n"),"à","a"),"è","e"),"ì","i"),"ò","o"),"ù","u"))</f>
        <v/>
      </c>
      <c r="O416" s="25">
        <f>IF(M416="confiable",2,IF(M416="dudosa",1,IF(M416="no confiable",0,"")))</f>
        <v/>
      </c>
      <c r="P416" s="25">
        <f>IF(N416="confiable",2,IF(N416="dudosa",1,IF(N416="no confiable",0,"")))</f>
        <v/>
      </c>
      <c r="Q416" s="25">
        <f>IF(AND(ISNUMBER(O416),ISNUMBER(P416)),1,"")</f>
        <v/>
      </c>
      <c r="R416" s="25">
        <f>IF(Q416=1,IF(O416=P416,"Sí","No"),"")</f>
        <v/>
      </c>
      <c r="S416" s="25">
        <f>IF(Q416=1,IF(P416&lt;O416,"Más estricto",IF(P416&gt;O416,"Más permisivo","Igual")),"")</f>
        <v/>
      </c>
      <c r="T416" s="25">
        <f>IF(Q416=1,IF(ABS(O416-P416)=2,1,0),"")</f>
        <v/>
      </c>
      <c r="U416" s="25">
        <f>IF(H416="","","|"&amp;SUBSTITUTE(SUBSTITUTE(TRIM(H416)," |","|"),"| ","|")&amp;"|")</f>
        <v/>
      </c>
      <c r="V416" s="25">
        <f>IF(AND(Q416=1,B416&lt;&gt;""),IF(IFERROR(COUNTIFS(B$3:B416,"="&amp;SUBSTITUTE(SUBSTITUTE(SUBSTITUTE(B416,"~","~~"),"*","~*"),"?","~?"),Q$3:Q416,1),0)=1,MAX(V$2:V415)+1,""),"")</f>
        <v/>
      </c>
      <c r="W416" s="25">
        <f>IF(V416="","",COUNTIFS($B$3:$B$1002,"="&amp;SUBSTITUTE(SUBSTITUTE(SUBSTITUTE(B416,"~","~~"),"*","~*"),"?","~?"),$Q$3:$Q$1002,1)*10000-V416)</f>
        <v/>
      </c>
      <c r="X416" s="25">
        <f>IF(Q416=1,IF(SUBSTITUTE(SUBSTITUTE(SUBSTITUTE(SUBSTITUTE(SUBSTITUTE(SUBSTITUTE(SUBSTITUTE(SUBSTITUTE(SUBSTITUTE(SUBSTITUTE(SUBSTITUTE(SUBSTITUTE(LOWER(TRIM(A416)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416)),"á","a"),"é","e"),"í","i"),"ó","o"),"ú","u"),"ü","u"),"ñ","n"),"à","a"),"è","e"),"ì","i"),"ò","o"),"ù","u")),"")</f>
        <v/>
      </c>
      <c r="Y416" s="25">
        <f>IF(X416="","",IF(IFERROR(COUNTIF(X$3:X416,"="&amp;SUBSTITUTE(SUBSTITUTE(SUBSTITUTE(X416,"~","~~"),"*","~*"),"?","~?")),0)=1,1,""))</f>
        <v/>
      </c>
      <c r="Z416" s="25">
        <f>IF(T416=1,MAX(Z$2:Z415)+1,"")</f>
        <v/>
      </c>
    </row>
    <row r="417">
      <c r="A417">
        <f>IF(A$2=0,"",IFERROR(TRIM(INDEX('Pegar calibracion'!$A$1:$BZ$1001,416,A$2)&amp;""),""))</f>
        <v/>
      </c>
      <c r="B417">
        <f>IF(B$2=0,"",IFERROR(TRIM(INDEX('Pegar calibracion'!$A$1:$BZ$1001,416,B$2)&amp;""),""))</f>
        <v/>
      </c>
      <c r="C417">
        <f>IF(C$2=0,"",IFERROR(TRIM(INDEX('Pegar calibracion'!$A$1:$BZ$1001,416,C$2)&amp;""),""))</f>
        <v/>
      </c>
      <c r="D417">
        <f>IF(D$2=0,"",IFERROR(TRIM(INDEX('Pegar calibracion'!$A$1:$BZ$1001,416,D$2)&amp;""),""))</f>
        <v/>
      </c>
      <c r="E417">
        <f>IF(E$2=0,"",IFERROR(TRIM(INDEX('Pegar calibracion'!$A$1:$BZ$1001,416,E$2)&amp;""),""))</f>
        <v/>
      </c>
      <c r="F417">
        <f>IF(F$2=0,"",IFERROR(TRIM(INDEX('Pegar calibracion'!$A$1:$BZ$1001,416,F$2)&amp;""),""))</f>
        <v/>
      </c>
      <c r="G417">
        <f>IF(G$2=0,"",IFERROR(TRIM(INDEX('Pegar calibracion'!$A$1:$BZ$1001,416,G$2)&amp;""),""))</f>
        <v/>
      </c>
      <c r="H417">
        <f>IF(H$2=0,"",IFERROR(TRIM(INDEX('Pegar calibracion'!$A$1:$BZ$1001,416,H$2)&amp;""),""))</f>
        <v/>
      </c>
      <c r="I417">
        <f>IF(I$2=0,"",IFERROR(TRIM(INDEX('Pegar calibracion'!$A$1:$BZ$1001,416,I$2)&amp;""),""))</f>
        <v/>
      </c>
      <c r="J417">
        <f>IF(J$2=0,"",IFERROR(TRIM(INDEX('Pegar calibracion'!$A$1:$BZ$1001,416,J$2)&amp;""),""))</f>
        <v/>
      </c>
      <c r="K417">
        <f>IF(K$2=0,"",IFERROR(TRIM(INDEX('Pegar calibracion'!$A$1:$BZ$1001,416,K$2)&amp;""),""))</f>
        <v/>
      </c>
      <c r="L417">
        <f>IF(L$2=0,"",IFERROR(TRIM(INDEX('Pegar calibracion'!$A$1:$BZ$1001,416,L$2)&amp;""),""))</f>
        <v/>
      </c>
      <c r="M417" s="25">
        <f>IF(D417="","",SUBSTITUTE(SUBSTITUTE(SUBSTITUTE(SUBSTITUTE(SUBSTITUTE(SUBSTITUTE(SUBSTITUTE(SUBSTITUTE(SUBSTITUTE(SUBSTITUTE(SUBSTITUTE(SUBSTITUTE(LOWER(TRIM(D417)),"á","a"),"é","e"),"í","i"),"ó","o"),"ú","u"),"ü","u"),"ñ","n"),"à","a"),"è","e"),"ì","i"),"ò","o"),"ù","u"))</f>
        <v/>
      </c>
      <c r="N417" s="25">
        <f>IF(F417="","",SUBSTITUTE(SUBSTITUTE(SUBSTITUTE(SUBSTITUTE(SUBSTITUTE(SUBSTITUTE(SUBSTITUTE(SUBSTITUTE(SUBSTITUTE(SUBSTITUTE(SUBSTITUTE(SUBSTITUTE(LOWER(TRIM(F417)),"á","a"),"é","e"),"í","i"),"ó","o"),"ú","u"),"ü","u"),"ñ","n"),"à","a"),"è","e"),"ì","i"),"ò","o"),"ù","u"))</f>
        <v/>
      </c>
      <c r="O417" s="25">
        <f>IF(M417="confiable",2,IF(M417="dudosa",1,IF(M417="no confiable",0,"")))</f>
        <v/>
      </c>
      <c r="P417" s="25">
        <f>IF(N417="confiable",2,IF(N417="dudosa",1,IF(N417="no confiable",0,"")))</f>
        <v/>
      </c>
      <c r="Q417" s="25">
        <f>IF(AND(ISNUMBER(O417),ISNUMBER(P417)),1,"")</f>
        <v/>
      </c>
      <c r="R417" s="25">
        <f>IF(Q417=1,IF(O417=P417,"Sí","No"),"")</f>
        <v/>
      </c>
      <c r="S417" s="25">
        <f>IF(Q417=1,IF(P417&lt;O417,"Más estricto",IF(P417&gt;O417,"Más permisivo","Igual")),"")</f>
        <v/>
      </c>
      <c r="T417" s="25">
        <f>IF(Q417=1,IF(ABS(O417-P417)=2,1,0),"")</f>
        <v/>
      </c>
      <c r="U417" s="25">
        <f>IF(H417="","","|"&amp;SUBSTITUTE(SUBSTITUTE(TRIM(H417)," |","|"),"| ","|")&amp;"|")</f>
        <v/>
      </c>
      <c r="V417" s="25">
        <f>IF(AND(Q417=1,B417&lt;&gt;""),IF(IFERROR(COUNTIFS(B$3:B417,"="&amp;SUBSTITUTE(SUBSTITUTE(SUBSTITUTE(B417,"~","~~"),"*","~*"),"?","~?"),Q$3:Q417,1),0)=1,MAX(V$2:V416)+1,""),"")</f>
        <v/>
      </c>
      <c r="W417" s="25">
        <f>IF(V417="","",COUNTIFS($B$3:$B$1002,"="&amp;SUBSTITUTE(SUBSTITUTE(SUBSTITUTE(B417,"~","~~"),"*","~*"),"?","~?"),$Q$3:$Q$1002,1)*10000-V417)</f>
        <v/>
      </c>
      <c r="X417" s="25">
        <f>IF(Q417=1,IF(SUBSTITUTE(SUBSTITUTE(SUBSTITUTE(SUBSTITUTE(SUBSTITUTE(SUBSTITUTE(SUBSTITUTE(SUBSTITUTE(SUBSTITUTE(SUBSTITUTE(SUBSTITUTE(SUBSTITUTE(LOWER(TRIM(A417)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417)),"á","a"),"é","e"),"í","i"),"ó","o"),"ú","u"),"ü","u"),"ñ","n"),"à","a"),"è","e"),"ì","i"),"ò","o"),"ù","u")),"")</f>
        <v/>
      </c>
      <c r="Y417" s="25">
        <f>IF(X417="","",IF(IFERROR(COUNTIF(X$3:X417,"="&amp;SUBSTITUTE(SUBSTITUTE(SUBSTITUTE(X417,"~","~~"),"*","~*"),"?","~?")),0)=1,1,""))</f>
        <v/>
      </c>
      <c r="Z417" s="25">
        <f>IF(T417=1,MAX(Z$2:Z416)+1,"")</f>
        <v/>
      </c>
    </row>
    <row r="418">
      <c r="A418">
        <f>IF(A$2=0,"",IFERROR(TRIM(INDEX('Pegar calibracion'!$A$1:$BZ$1001,417,A$2)&amp;""),""))</f>
        <v/>
      </c>
      <c r="B418">
        <f>IF(B$2=0,"",IFERROR(TRIM(INDEX('Pegar calibracion'!$A$1:$BZ$1001,417,B$2)&amp;""),""))</f>
        <v/>
      </c>
      <c r="C418">
        <f>IF(C$2=0,"",IFERROR(TRIM(INDEX('Pegar calibracion'!$A$1:$BZ$1001,417,C$2)&amp;""),""))</f>
        <v/>
      </c>
      <c r="D418">
        <f>IF(D$2=0,"",IFERROR(TRIM(INDEX('Pegar calibracion'!$A$1:$BZ$1001,417,D$2)&amp;""),""))</f>
        <v/>
      </c>
      <c r="E418">
        <f>IF(E$2=0,"",IFERROR(TRIM(INDEX('Pegar calibracion'!$A$1:$BZ$1001,417,E$2)&amp;""),""))</f>
        <v/>
      </c>
      <c r="F418">
        <f>IF(F$2=0,"",IFERROR(TRIM(INDEX('Pegar calibracion'!$A$1:$BZ$1001,417,F$2)&amp;""),""))</f>
        <v/>
      </c>
      <c r="G418">
        <f>IF(G$2=0,"",IFERROR(TRIM(INDEX('Pegar calibracion'!$A$1:$BZ$1001,417,G$2)&amp;""),""))</f>
        <v/>
      </c>
      <c r="H418">
        <f>IF(H$2=0,"",IFERROR(TRIM(INDEX('Pegar calibracion'!$A$1:$BZ$1001,417,H$2)&amp;""),""))</f>
        <v/>
      </c>
      <c r="I418">
        <f>IF(I$2=0,"",IFERROR(TRIM(INDEX('Pegar calibracion'!$A$1:$BZ$1001,417,I$2)&amp;""),""))</f>
        <v/>
      </c>
      <c r="J418">
        <f>IF(J$2=0,"",IFERROR(TRIM(INDEX('Pegar calibracion'!$A$1:$BZ$1001,417,J$2)&amp;""),""))</f>
        <v/>
      </c>
      <c r="K418">
        <f>IF(K$2=0,"",IFERROR(TRIM(INDEX('Pegar calibracion'!$A$1:$BZ$1001,417,K$2)&amp;""),""))</f>
        <v/>
      </c>
      <c r="L418">
        <f>IF(L$2=0,"",IFERROR(TRIM(INDEX('Pegar calibracion'!$A$1:$BZ$1001,417,L$2)&amp;""),""))</f>
        <v/>
      </c>
      <c r="M418" s="25">
        <f>IF(D418="","",SUBSTITUTE(SUBSTITUTE(SUBSTITUTE(SUBSTITUTE(SUBSTITUTE(SUBSTITUTE(SUBSTITUTE(SUBSTITUTE(SUBSTITUTE(SUBSTITUTE(SUBSTITUTE(SUBSTITUTE(LOWER(TRIM(D418)),"á","a"),"é","e"),"í","i"),"ó","o"),"ú","u"),"ü","u"),"ñ","n"),"à","a"),"è","e"),"ì","i"),"ò","o"),"ù","u"))</f>
        <v/>
      </c>
      <c r="N418" s="25">
        <f>IF(F418="","",SUBSTITUTE(SUBSTITUTE(SUBSTITUTE(SUBSTITUTE(SUBSTITUTE(SUBSTITUTE(SUBSTITUTE(SUBSTITUTE(SUBSTITUTE(SUBSTITUTE(SUBSTITUTE(SUBSTITUTE(LOWER(TRIM(F418)),"á","a"),"é","e"),"í","i"),"ó","o"),"ú","u"),"ü","u"),"ñ","n"),"à","a"),"è","e"),"ì","i"),"ò","o"),"ù","u"))</f>
        <v/>
      </c>
      <c r="O418" s="25">
        <f>IF(M418="confiable",2,IF(M418="dudosa",1,IF(M418="no confiable",0,"")))</f>
        <v/>
      </c>
      <c r="P418" s="25">
        <f>IF(N418="confiable",2,IF(N418="dudosa",1,IF(N418="no confiable",0,"")))</f>
        <v/>
      </c>
      <c r="Q418" s="25">
        <f>IF(AND(ISNUMBER(O418),ISNUMBER(P418)),1,"")</f>
        <v/>
      </c>
      <c r="R418" s="25">
        <f>IF(Q418=1,IF(O418=P418,"Sí","No"),"")</f>
        <v/>
      </c>
      <c r="S418" s="25">
        <f>IF(Q418=1,IF(P418&lt;O418,"Más estricto",IF(P418&gt;O418,"Más permisivo","Igual")),"")</f>
        <v/>
      </c>
      <c r="T418" s="25">
        <f>IF(Q418=1,IF(ABS(O418-P418)=2,1,0),"")</f>
        <v/>
      </c>
      <c r="U418" s="25">
        <f>IF(H418="","","|"&amp;SUBSTITUTE(SUBSTITUTE(TRIM(H418)," |","|"),"| ","|")&amp;"|")</f>
        <v/>
      </c>
      <c r="V418" s="25">
        <f>IF(AND(Q418=1,B418&lt;&gt;""),IF(IFERROR(COUNTIFS(B$3:B418,"="&amp;SUBSTITUTE(SUBSTITUTE(SUBSTITUTE(B418,"~","~~"),"*","~*"),"?","~?"),Q$3:Q418,1),0)=1,MAX(V$2:V417)+1,""),"")</f>
        <v/>
      </c>
      <c r="W418" s="25">
        <f>IF(V418="","",COUNTIFS($B$3:$B$1002,"="&amp;SUBSTITUTE(SUBSTITUTE(SUBSTITUTE(B418,"~","~~"),"*","~*"),"?","~?"),$Q$3:$Q$1002,1)*10000-V418)</f>
        <v/>
      </c>
      <c r="X418" s="25">
        <f>IF(Q418=1,IF(SUBSTITUTE(SUBSTITUTE(SUBSTITUTE(SUBSTITUTE(SUBSTITUTE(SUBSTITUTE(SUBSTITUTE(SUBSTITUTE(SUBSTITUTE(SUBSTITUTE(SUBSTITUTE(SUBSTITUTE(LOWER(TRIM(A418)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418)),"á","a"),"é","e"),"í","i"),"ó","o"),"ú","u"),"ü","u"),"ñ","n"),"à","a"),"è","e"),"ì","i"),"ò","o"),"ù","u")),"")</f>
        <v/>
      </c>
      <c r="Y418" s="25">
        <f>IF(X418="","",IF(IFERROR(COUNTIF(X$3:X418,"="&amp;SUBSTITUTE(SUBSTITUTE(SUBSTITUTE(X418,"~","~~"),"*","~*"),"?","~?")),0)=1,1,""))</f>
        <v/>
      </c>
      <c r="Z418" s="25">
        <f>IF(T418=1,MAX(Z$2:Z417)+1,"")</f>
        <v/>
      </c>
    </row>
    <row r="419">
      <c r="A419">
        <f>IF(A$2=0,"",IFERROR(TRIM(INDEX('Pegar calibracion'!$A$1:$BZ$1001,418,A$2)&amp;""),""))</f>
        <v/>
      </c>
      <c r="B419">
        <f>IF(B$2=0,"",IFERROR(TRIM(INDEX('Pegar calibracion'!$A$1:$BZ$1001,418,B$2)&amp;""),""))</f>
        <v/>
      </c>
      <c r="C419">
        <f>IF(C$2=0,"",IFERROR(TRIM(INDEX('Pegar calibracion'!$A$1:$BZ$1001,418,C$2)&amp;""),""))</f>
        <v/>
      </c>
      <c r="D419">
        <f>IF(D$2=0,"",IFERROR(TRIM(INDEX('Pegar calibracion'!$A$1:$BZ$1001,418,D$2)&amp;""),""))</f>
        <v/>
      </c>
      <c r="E419">
        <f>IF(E$2=0,"",IFERROR(TRIM(INDEX('Pegar calibracion'!$A$1:$BZ$1001,418,E$2)&amp;""),""))</f>
        <v/>
      </c>
      <c r="F419">
        <f>IF(F$2=0,"",IFERROR(TRIM(INDEX('Pegar calibracion'!$A$1:$BZ$1001,418,F$2)&amp;""),""))</f>
        <v/>
      </c>
      <c r="G419">
        <f>IF(G$2=0,"",IFERROR(TRIM(INDEX('Pegar calibracion'!$A$1:$BZ$1001,418,G$2)&amp;""),""))</f>
        <v/>
      </c>
      <c r="H419">
        <f>IF(H$2=0,"",IFERROR(TRIM(INDEX('Pegar calibracion'!$A$1:$BZ$1001,418,H$2)&amp;""),""))</f>
        <v/>
      </c>
      <c r="I419">
        <f>IF(I$2=0,"",IFERROR(TRIM(INDEX('Pegar calibracion'!$A$1:$BZ$1001,418,I$2)&amp;""),""))</f>
        <v/>
      </c>
      <c r="J419">
        <f>IF(J$2=0,"",IFERROR(TRIM(INDEX('Pegar calibracion'!$A$1:$BZ$1001,418,J$2)&amp;""),""))</f>
        <v/>
      </c>
      <c r="K419">
        <f>IF(K$2=0,"",IFERROR(TRIM(INDEX('Pegar calibracion'!$A$1:$BZ$1001,418,K$2)&amp;""),""))</f>
        <v/>
      </c>
      <c r="L419">
        <f>IF(L$2=0,"",IFERROR(TRIM(INDEX('Pegar calibracion'!$A$1:$BZ$1001,418,L$2)&amp;""),""))</f>
        <v/>
      </c>
      <c r="M419" s="25">
        <f>IF(D419="","",SUBSTITUTE(SUBSTITUTE(SUBSTITUTE(SUBSTITUTE(SUBSTITUTE(SUBSTITUTE(SUBSTITUTE(SUBSTITUTE(SUBSTITUTE(SUBSTITUTE(SUBSTITUTE(SUBSTITUTE(LOWER(TRIM(D419)),"á","a"),"é","e"),"í","i"),"ó","o"),"ú","u"),"ü","u"),"ñ","n"),"à","a"),"è","e"),"ì","i"),"ò","o"),"ù","u"))</f>
        <v/>
      </c>
      <c r="N419" s="25">
        <f>IF(F419="","",SUBSTITUTE(SUBSTITUTE(SUBSTITUTE(SUBSTITUTE(SUBSTITUTE(SUBSTITUTE(SUBSTITUTE(SUBSTITUTE(SUBSTITUTE(SUBSTITUTE(SUBSTITUTE(SUBSTITUTE(LOWER(TRIM(F419)),"á","a"),"é","e"),"í","i"),"ó","o"),"ú","u"),"ü","u"),"ñ","n"),"à","a"),"è","e"),"ì","i"),"ò","o"),"ù","u"))</f>
        <v/>
      </c>
      <c r="O419" s="25">
        <f>IF(M419="confiable",2,IF(M419="dudosa",1,IF(M419="no confiable",0,"")))</f>
        <v/>
      </c>
      <c r="P419" s="25">
        <f>IF(N419="confiable",2,IF(N419="dudosa",1,IF(N419="no confiable",0,"")))</f>
        <v/>
      </c>
      <c r="Q419" s="25">
        <f>IF(AND(ISNUMBER(O419),ISNUMBER(P419)),1,"")</f>
        <v/>
      </c>
      <c r="R419" s="25">
        <f>IF(Q419=1,IF(O419=P419,"Sí","No"),"")</f>
        <v/>
      </c>
      <c r="S419" s="25">
        <f>IF(Q419=1,IF(P419&lt;O419,"Más estricto",IF(P419&gt;O419,"Más permisivo","Igual")),"")</f>
        <v/>
      </c>
      <c r="T419" s="25">
        <f>IF(Q419=1,IF(ABS(O419-P419)=2,1,0),"")</f>
        <v/>
      </c>
      <c r="U419" s="25">
        <f>IF(H419="","","|"&amp;SUBSTITUTE(SUBSTITUTE(TRIM(H419)," |","|"),"| ","|")&amp;"|")</f>
        <v/>
      </c>
      <c r="V419" s="25">
        <f>IF(AND(Q419=1,B419&lt;&gt;""),IF(IFERROR(COUNTIFS(B$3:B419,"="&amp;SUBSTITUTE(SUBSTITUTE(SUBSTITUTE(B419,"~","~~"),"*","~*"),"?","~?"),Q$3:Q419,1),0)=1,MAX(V$2:V418)+1,""),"")</f>
        <v/>
      </c>
      <c r="W419" s="25">
        <f>IF(V419="","",COUNTIFS($B$3:$B$1002,"="&amp;SUBSTITUTE(SUBSTITUTE(SUBSTITUTE(B419,"~","~~"),"*","~*"),"?","~?"),$Q$3:$Q$1002,1)*10000-V419)</f>
        <v/>
      </c>
      <c r="X419" s="25">
        <f>IF(Q419=1,IF(SUBSTITUTE(SUBSTITUTE(SUBSTITUTE(SUBSTITUTE(SUBSTITUTE(SUBSTITUTE(SUBSTITUTE(SUBSTITUTE(SUBSTITUTE(SUBSTITUTE(SUBSTITUTE(SUBSTITUTE(LOWER(TRIM(A419)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419)),"á","a"),"é","e"),"í","i"),"ó","o"),"ú","u"),"ü","u"),"ñ","n"),"à","a"),"è","e"),"ì","i"),"ò","o"),"ù","u")),"")</f>
        <v/>
      </c>
      <c r="Y419" s="25">
        <f>IF(X419="","",IF(IFERROR(COUNTIF(X$3:X419,"="&amp;SUBSTITUTE(SUBSTITUTE(SUBSTITUTE(X419,"~","~~"),"*","~*"),"?","~?")),0)=1,1,""))</f>
        <v/>
      </c>
      <c r="Z419" s="25">
        <f>IF(T419=1,MAX(Z$2:Z418)+1,"")</f>
        <v/>
      </c>
    </row>
    <row r="420">
      <c r="A420">
        <f>IF(A$2=0,"",IFERROR(TRIM(INDEX('Pegar calibracion'!$A$1:$BZ$1001,419,A$2)&amp;""),""))</f>
        <v/>
      </c>
      <c r="B420">
        <f>IF(B$2=0,"",IFERROR(TRIM(INDEX('Pegar calibracion'!$A$1:$BZ$1001,419,B$2)&amp;""),""))</f>
        <v/>
      </c>
      <c r="C420">
        <f>IF(C$2=0,"",IFERROR(TRIM(INDEX('Pegar calibracion'!$A$1:$BZ$1001,419,C$2)&amp;""),""))</f>
        <v/>
      </c>
      <c r="D420">
        <f>IF(D$2=0,"",IFERROR(TRIM(INDEX('Pegar calibracion'!$A$1:$BZ$1001,419,D$2)&amp;""),""))</f>
        <v/>
      </c>
      <c r="E420">
        <f>IF(E$2=0,"",IFERROR(TRIM(INDEX('Pegar calibracion'!$A$1:$BZ$1001,419,E$2)&amp;""),""))</f>
        <v/>
      </c>
      <c r="F420">
        <f>IF(F$2=0,"",IFERROR(TRIM(INDEX('Pegar calibracion'!$A$1:$BZ$1001,419,F$2)&amp;""),""))</f>
        <v/>
      </c>
      <c r="G420">
        <f>IF(G$2=0,"",IFERROR(TRIM(INDEX('Pegar calibracion'!$A$1:$BZ$1001,419,G$2)&amp;""),""))</f>
        <v/>
      </c>
      <c r="H420">
        <f>IF(H$2=0,"",IFERROR(TRIM(INDEX('Pegar calibracion'!$A$1:$BZ$1001,419,H$2)&amp;""),""))</f>
        <v/>
      </c>
      <c r="I420">
        <f>IF(I$2=0,"",IFERROR(TRIM(INDEX('Pegar calibracion'!$A$1:$BZ$1001,419,I$2)&amp;""),""))</f>
        <v/>
      </c>
      <c r="J420">
        <f>IF(J$2=0,"",IFERROR(TRIM(INDEX('Pegar calibracion'!$A$1:$BZ$1001,419,J$2)&amp;""),""))</f>
        <v/>
      </c>
      <c r="K420">
        <f>IF(K$2=0,"",IFERROR(TRIM(INDEX('Pegar calibracion'!$A$1:$BZ$1001,419,K$2)&amp;""),""))</f>
        <v/>
      </c>
      <c r="L420">
        <f>IF(L$2=0,"",IFERROR(TRIM(INDEX('Pegar calibracion'!$A$1:$BZ$1001,419,L$2)&amp;""),""))</f>
        <v/>
      </c>
      <c r="M420" s="25">
        <f>IF(D420="","",SUBSTITUTE(SUBSTITUTE(SUBSTITUTE(SUBSTITUTE(SUBSTITUTE(SUBSTITUTE(SUBSTITUTE(SUBSTITUTE(SUBSTITUTE(SUBSTITUTE(SUBSTITUTE(SUBSTITUTE(LOWER(TRIM(D420)),"á","a"),"é","e"),"í","i"),"ó","o"),"ú","u"),"ü","u"),"ñ","n"),"à","a"),"è","e"),"ì","i"),"ò","o"),"ù","u"))</f>
        <v/>
      </c>
      <c r="N420" s="25">
        <f>IF(F420="","",SUBSTITUTE(SUBSTITUTE(SUBSTITUTE(SUBSTITUTE(SUBSTITUTE(SUBSTITUTE(SUBSTITUTE(SUBSTITUTE(SUBSTITUTE(SUBSTITUTE(SUBSTITUTE(SUBSTITUTE(LOWER(TRIM(F420)),"á","a"),"é","e"),"í","i"),"ó","o"),"ú","u"),"ü","u"),"ñ","n"),"à","a"),"è","e"),"ì","i"),"ò","o"),"ù","u"))</f>
        <v/>
      </c>
      <c r="O420" s="25">
        <f>IF(M420="confiable",2,IF(M420="dudosa",1,IF(M420="no confiable",0,"")))</f>
        <v/>
      </c>
      <c r="P420" s="25">
        <f>IF(N420="confiable",2,IF(N420="dudosa",1,IF(N420="no confiable",0,"")))</f>
        <v/>
      </c>
      <c r="Q420" s="25">
        <f>IF(AND(ISNUMBER(O420),ISNUMBER(P420)),1,"")</f>
        <v/>
      </c>
      <c r="R420" s="25">
        <f>IF(Q420=1,IF(O420=P420,"Sí","No"),"")</f>
        <v/>
      </c>
      <c r="S420" s="25">
        <f>IF(Q420=1,IF(P420&lt;O420,"Más estricto",IF(P420&gt;O420,"Más permisivo","Igual")),"")</f>
        <v/>
      </c>
      <c r="T420" s="25">
        <f>IF(Q420=1,IF(ABS(O420-P420)=2,1,0),"")</f>
        <v/>
      </c>
      <c r="U420" s="25">
        <f>IF(H420="","","|"&amp;SUBSTITUTE(SUBSTITUTE(TRIM(H420)," |","|"),"| ","|")&amp;"|")</f>
        <v/>
      </c>
      <c r="V420" s="25">
        <f>IF(AND(Q420=1,B420&lt;&gt;""),IF(IFERROR(COUNTIFS(B$3:B420,"="&amp;SUBSTITUTE(SUBSTITUTE(SUBSTITUTE(B420,"~","~~"),"*","~*"),"?","~?"),Q$3:Q420,1),0)=1,MAX(V$2:V419)+1,""),"")</f>
        <v/>
      </c>
      <c r="W420" s="25">
        <f>IF(V420="","",COUNTIFS($B$3:$B$1002,"="&amp;SUBSTITUTE(SUBSTITUTE(SUBSTITUTE(B420,"~","~~"),"*","~*"),"?","~?"),$Q$3:$Q$1002,1)*10000-V420)</f>
        <v/>
      </c>
      <c r="X420" s="25">
        <f>IF(Q420=1,IF(SUBSTITUTE(SUBSTITUTE(SUBSTITUTE(SUBSTITUTE(SUBSTITUTE(SUBSTITUTE(SUBSTITUTE(SUBSTITUTE(SUBSTITUTE(SUBSTITUTE(SUBSTITUTE(SUBSTITUTE(LOWER(TRIM(A420)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420)),"á","a"),"é","e"),"í","i"),"ó","o"),"ú","u"),"ü","u"),"ñ","n"),"à","a"),"è","e"),"ì","i"),"ò","o"),"ù","u")),"")</f>
        <v/>
      </c>
      <c r="Y420" s="25">
        <f>IF(X420="","",IF(IFERROR(COUNTIF(X$3:X420,"="&amp;SUBSTITUTE(SUBSTITUTE(SUBSTITUTE(X420,"~","~~"),"*","~*"),"?","~?")),0)=1,1,""))</f>
        <v/>
      </c>
      <c r="Z420" s="25">
        <f>IF(T420=1,MAX(Z$2:Z419)+1,"")</f>
        <v/>
      </c>
    </row>
    <row r="421">
      <c r="A421">
        <f>IF(A$2=0,"",IFERROR(TRIM(INDEX('Pegar calibracion'!$A$1:$BZ$1001,420,A$2)&amp;""),""))</f>
        <v/>
      </c>
      <c r="B421">
        <f>IF(B$2=0,"",IFERROR(TRIM(INDEX('Pegar calibracion'!$A$1:$BZ$1001,420,B$2)&amp;""),""))</f>
        <v/>
      </c>
      <c r="C421">
        <f>IF(C$2=0,"",IFERROR(TRIM(INDEX('Pegar calibracion'!$A$1:$BZ$1001,420,C$2)&amp;""),""))</f>
        <v/>
      </c>
      <c r="D421">
        <f>IF(D$2=0,"",IFERROR(TRIM(INDEX('Pegar calibracion'!$A$1:$BZ$1001,420,D$2)&amp;""),""))</f>
        <v/>
      </c>
      <c r="E421">
        <f>IF(E$2=0,"",IFERROR(TRIM(INDEX('Pegar calibracion'!$A$1:$BZ$1001,420,E$2)&amp;""),""))</f>
        <v/>
      </c>
      <c r="F421">
        <f>IF(F$2=0,"",IFERROR(TRIM(INDEX('Pegar calibracion'!$A$1:$BZ$1001,420,F$2)&amp;""),""))</f>
        <v/>
      </c>
      <c r="G421">
        <f>IF(G$2=0,"",IFERROR(TRIM(INDEX('Pegar calibracion'!$A$1:$BZ$1001,420,G$2)&amp;""),""))</f>
        <v/>
      </c>
      <c r="H421">
        <f>IF(H$2=0,"",IFERROR(TRIM(INDEX('Pegar calibracion'!$A$1:$BZ$1001,420,H$2)&amp;""),""))</f>
        <v/>
      </c>
      <c r="I421">
        <f>IF(I$2=0,"",IFERROR(TRIM(INDEX('Pegar calibracion'!$A$1:$BZ$1001,420,I$2)&amp;""),""))</f>
        <v/>
      </c>
      <c r="J421">
        <f>IF(J$2=0,"",IFERROR(TRIM(INDEX('Pegar calibracion'!$A$1:$BZ$1001,420,J$2)&amp;""),""))</f>
        <v/>
      </c>
      <c r="K421">
        <f>IF(K$2=0,"",IFERROR(TRIM(INDEX('Pegar calibracion'!$A$1:$BZ$1001,420,K$2)&amp;""),""))</f>
        <v/>
      </c>
      <c r="L421">
        <f>IF(L$2=0,"",IFERROR(TRIM(INDEX('Pegar calibracion'!$A$1:$BZ$1001,420,L$2)&amp;""),""))</f>
        <v/>
      </c>
      <c r="M421" s="25">
        <f>IF(D421="","",SUBSTITUTE(SUBSTITUTE(SUBSTITUTE(SUBSTITUTE(SUBSTITUTE(SUBSTITUTE(SUBSTITUTE(SUBSTITUTE(SUBSTITUTE(SUBSTITUTE(SUBSTITUTE(SUBSTITUTE(LOWER(TRIM(D421)),"á","a"),"é","e"),"í","i"),"ó","o"),"ú","u"),"ü","u"),"ñ","n"),"à","a"),"è","e"),"ì","i"),"ò","o"),"ù","u"))</f>
        <v/>
      </c>
      <c r="N421" s="25">
        <f>IF(F421="","",SUBSTITUTE(SUBSTITUTE(SUBSTITUTE(SUBSTITUTE(SUBSTITUTE(SUBSTITUTE(SUBSTITUTE(SUBSTITUTE(SUBSTITUTE(SUBSTITUTE(SUBSTITUTE(SUBSTITUTE(LOWER(TRIM(F421)),"á","a"),"é","e"),"í","i"),"ó","o"),"ú","u"),"ü","u"),"ñ","n"),"à","a"),"è","e"),"ì","i"),"ò","o"),"ù","u"))</f>
        <v/>
      </c>
      <c r="O421" s="25">
        <f>IF(M421="confiable",2,IF(M421="dudosa",1,IF(M421="no confiable",0,"")))</f>
        <v/>
      </c>
      <c r="P421" s="25">
        <f>IF(N421="confiable",2,IF(N421="dudosa",1,IF(N421="no confiable",0,"")))</f>
        <v/>
      </c>
      <c r="Q421" s="25">
        <f>IF(AND(ISNUMBER(O421),ISNUMBER(P421)),1,"")</f>
        <v/>
      </c>
      <c r="R421" s="25">
        <f>IF(Q421=1,IF(O421=P421,"Sí","No"),"")</f>
        <v/>
      </c>
      <c r="S421" s="25">
        <f>IF(Q421=1,IF(P421&lt;O421,"Más estricto",IF(P421&gt;O421,"Más permisivo","Igual")),"")</f>
        <v/>
      </c>
      <c r="T421" s="25">
        <f>IF(Q421=1,IF(ABS(O421-P421)=2,1,0),"")</f>
        <v/>
      </c>
      <c r="U421" s="25">
        <f>IF(H421="","","|"&amp;SUBSTITUTE(SUBSTITUTE(TRIM(H421)," |","|"),"| ","|")&amp;"|")</f>
        <v/>
      </c>
      <c r="V421" s="25">
        <f>IF(AND(Q421=1,B421&lt;&gt;""),IF(IFERROR(COUNTIFS(B$3:B421,"="&amp;SUBSTITUTE(SUBSTITUTE(SUBSTITUTE(B421,"~","~~"),"*","~*"),"?","~?"),Q$3:Q421,1),0)=1,MAX(V$2:V420)+1,""),"")</f>
        <v/>
      </c>
      <c r="W421" s="25">
        <f>IF(V421="","",COUNTIFS($B$3:$B$1002,"="&amp;SUBSTITUTE(SUBSTITUTE(SUBSTITUTE(B421,"~","~~"),"*","~*"),"?","~?"),$Q$3:$Q$1002,1)*10000-V421)</f>
        <v/>
      </c>
      <c r="X421" s="25">
        <f>IF(Q421=1,IF(SUBSTITUTE(SUBSTITUTE(SUBSTITUTE(SUBSTITUTE(SUBSTITUTE(SUBSTITUTE(SUBSTITUTE(SUBSTITUTE(SUBSTITUTE(SUBSTITUTE(SUBSTITUTE(SUBSTITUTE(LOWER(TRIM(A421)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421)),"á","a"),"é","e"),"í","i"),"ó","o"),"ú","u"),"ü","u"),"ñ","n"),"à","a"),"è","e"),"ì","i"),"ò","o"),"ù","u")),"")</f>
        <v/>
      </c>
      <c r="Y421" s="25">
        <f>IF(X421="","",IF(IFERROR(COUNTIF(X$3:X421,"="&amp;SUBSTITUTE(SUBSTITUTE(SUBSTITUTE(X421,"~","~~"),"*","~*"),"?","~?")),0)=1,1,""))</f>
        <v/>
      </c>
      <c r="Z421" s="25">
        <f>IF(T421=1,MAX(Z$2:Z420)+1,"")</f>
        <v/>
      </c>
    </row>
    <row r="422">
      <c r="A422">
        <f>IF(A$2=0,"",IFERROR(TRIM(INDEX('Pegar calibracion'!$A$1:$BZ$1001,421,A$2)&amp;""),""))</f>
        <v/>
      </c>
      <c r="B422">
        <f>IF(B$2=0,"",IFERROR(TRIM(INDEX('Pegar calibracion'!$A$1:$BZ$1001,421,B$2)&amp;""),""))</f>
        <v/>
      </c>
      <c r="C422">
        <f>IF(C$2=0,"",IFERROR(TRIM(INDEX('Pegar calibracion'!$A$1:$BZ$1001,421,C$2)&amp;""),""))</f>
        <v/>
      </c>
      <c r="D422">
        <f>IF(D$2=0,"",IFERROR(TRIM(INDEX('Pegar calibracion'!$A$1:$BZ$1001,421,D$2)&amp;""),""))</f>
        <v/>
      </c>
      <c r="E422">
        <f>IF(E$2=0,"",IFERROR(TRIM(INDEX('Pegar calibracion'!$A$1:$BZ$1001,421,E$2)&amp;""),""))</f>
        <v/>
      </c>
      <c r="F422">
        <f>IF(F$2=0,"",IFERROR(TRIM(INDEX('Pegar calibracion'!$A$1:$BZ$1001,421,F$2)&amp;""),""))</f>
        <v/>
      </c>
      <c r="G422">
        <f>IF(G$2=0,"",IFERROR(TRIM(INDEX('Pegar calibracion'!$A$1:$BZ$1001,421,G$2)&amp;""),""))</f>
        <v/>
      </c>
      <c r="H422">
        <f>IF(H$2=0,"",IFERROR(TRIM(INDEX('Pegar calibracion'!$A$1:$BZ$1001,421,H$2)&amp;""),""))</f>
        <v/>
      </c>
      <c r="I422">
        <f>IF(I$2=0,"",IFERROR(TRIM(INDEX('Pegar calibracion'!$A$1:$BZ$1001,421,I$2)&amp;""),""))</f>
        <v/>
      </c>
      <c r="J422">
        <f>IF(J$2=0,"",IFERROR(TRIM(INDEX('Pegar calibracion'!$A$1:$BZ$1001,421,J$2)&amp;""),""))</f>
        <v/>
      </c>
      <c r="K422">
        <f>IF(K$2=0,"",IFERROR(TRIM(INDEX('Pegar calibracion'!$A$1:$BZ$1001,421,K$2)&amp;""),""))</f>
        <v/>
      </c>
      <c r="L422">
        <f>IF(L$2=0,"",IFERROR(TRIM(INDEX('Pegar calibracion'!$A$1:$BZ$1001,421,L$2)&amp;""),""))</f>
        <v/>
      </c>
      <c r="M422" s="25">
        <f>IF(D422="","",SUBSTITUTE(SUBSTITUTE(SUBSTITUTE(SUBSTITUTE(SUBSTITUTE(SUBSTITUTE(SUBSTITUTE(SUBSTITUTE(SUBSTITUTE(SUBSTITUTE(SUBSTITUTE(SUBSTITUTE(LOWER(TRIM(D422)),"á","a"),"é","e"),"í","i"),"ó","o"),"ú","u"),"ü","u"),"ñ","n"),"à","a"),"è","e"),"ì","i"),"ò","o"),"ù","u"))</f>
        <v/>
      </c>
      <c r="N422" s="25">
        <f>IF(F422="","",SUBSTITUTE(SUBSTITUTE(SUBSTITUTE(SUBSTITUTE(SUBSTITUTE(SUBSTITUTE(SUBSTITUTE(SUBSTITUTE(SUBSTITUTE(SUBSTITUTE(SUBSTITUTE(SUBSTITUTE(LOWER(TRIM(F422)),"á","a"),"é","e"),"í","i"),"ó","o"),"ú","u"),"ü","u"),"ñ","n"),"à","a"),"è","e"),"ì","i"),"ò","o"),"ù","u"))</f>
        <v/>
      </c>
      <c r="O422" s="25">
        <f>IF(M422="confiable",2,IF(M422="dudosa",1,IF(M422="no confiable",0,"")))</f>
        <v/>
      </c>
      <c r="P422" s="25">
        <f>IF(N422="confiable",2,IF(N422="dudosa",1,IF(N422="no confiable",0,"")))</f>
        <v/>
      </c>
      <c r="Q422" s="25">
        <f>IF(AND(ISNUMBER(O422),ISNUMBER(P422)),1,"")</f>
        <v/>
      </c>
      <c r="R422" s="25">
        <f>IF(Q422=1,IF(O422=P422,"Sí","No"),"")</f>
        <v/>
      </c>
      <c r="S422" s="25">
        <f>IF(Q422=1,IF(P422&lt;O422,"Más estricto",IF(P422&gt;O422,"Más permisivo","Igual")),"")</f>
        <v/>
      </c>
      <c r="T422" s="25">
        <f>IF(Q422=1,IF(ABS(O422-P422)=2,1,0),"")</f>
        <v/>
      </c>
      <c r="U422" s="25">
        <f>IF(H422="","","|"&amp;SUBSTITUTE(SUBSTITUTE(TRIM(H422)," |","|"),"| ","|")&amp;"|")</f>
        <v/>
      </c>
      <c r="V422" s="25">
        <f>IF(AND(Q422=1,B422&lt;&gt;""),IF(IFERROR(COUNTIFS(B$3:B422,"="&amp;SUBSTITUTE(SUBSTITUTE(SUBSTITUTE(B422,"~","~~"),"*","~*"),"?","~?"),Q$3:Q422,1),0)=1,MAX(V$2:V421)+1,""),"")</f>
        <v/>
      </c>
      <c r="W422" s="25">
        <f>IF(V422="","",COUNTIFS($B$3:$B$1002,"="&amp;SUBSTITUTE(SUBSTITUTE(SUBSTITUTE(B422,"~","~~"),"*","~*"),"?","~?"),$Q$3:$Q$1002,1)*10000-V422)</f>
        <v/>
      </c>
      <c r="X422" s="25">
        <f>IF(Q422=1,IF(SUBSTITUTE(SUBSTITUTE(SUBSTITUTE(SUBSTITUTE(SUBSTITUTE(SUBSTITUTE(SUBSTITUTE(SUBSTITUTE(SUBSTITUTE(SUBSTITUTE(SUBSTITUTE(SUBSTITUTE(LOWER(TRIM(A422)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422)),"á","a"),"é","e"),"í","i"),"ó","o"),"ú","u"),"ü","u"),"ñ","n"),"à","a"),"è","e"),"ì","i"),"ò","o"),"ù","u")),"")</f>
        <v/>
      </c>
      <c r="Y422" s="25">
        <f>IF(X422="","",IF(IFERROR(COUNTIF(X$3:X422,"="&amp;SUBSTITUTE(SUBSTITUTE(SUBSTITUTE(X422,"~","~~"),"*","~*"),"?","~?")),0)=1,1,""))</f>
        <v/>
      </c>
      <c r="Z422" s="25">
        <f>IF(T422=1,MAX(Z$2:Z421)+1,"")</f>
        <v/>
      </c>
    </row>
    <row r="423">
      <c r="A423">
        <f>IF(A$2=0,"",IFERROR(TRIM(INDEX('Pegar calibracion'!$A$1:$BZ$1001,422,A$2)&amp;""),""))</f>
        <v/>
      </c>
      <c r="B423">
        <f>IF(B$2=0,"",IFERROR(TRIM(INDEX('Pegar calibracion'!$A$1:$BZ$1001,422,B$2)&amp;""),""))</f>
        <v/>
      </c>
      <c r="C423">
        <f>IF(C$2=0,"",IFERROR(TRIM(INDEX('Pegar calibracion'!$A$1:$BZ$1001,422,C$2)&amp;""),""))</f>
        <v/>
      </c>
      <c r="D423">
        <f>IF(D$2=0,"",IFERROR(TRIM(INDEX('Pegar calibracion'!$A$1:$BZ$1001,422,D$2)&amp;""),""))</f>
        <v/>
      </c>
      <c r="E423">
        <f>IF(E$2=0,"",IFERROR(TRIM(INDEX('Pegar calibracion'!$A$1:$BZ$1001,422,E$2)&amp;""),""))</f>
        <v/>
      </c>
      <c r="F423">
        <f>IF(F$2=0,"",IFERROR(TRIM(INDEX('Pegar calibracion'!$A$1:$BZ$1001,422,F$2)&amp;""),""))</f>
        <v/>
      </c>
      <c r="G423">
        <f>IF(G$2=0,"",IFERROR(TRIM(INDEX('Pegar calibracion'!$A$1:$BZ$1001,422,G$2)&amp;""),""))</f>
        <v/>
      </c>
      <c r="H423">
        <f>IF(H$2=0,"",IFERROR(TRIM(INDEX('Pegar calibracion'!$A$1:$BZ$1001,422,H$2)&amp;""),""))</f>
        <v/>
      </c>
      <c r="I423">
        <f>IF(I$2=0,"",IFERROR(TRIM(INDEX('Pegar calibracion'!$A$1:$BZ$1001,422,I$2)&amp;""),""))</f>
        <v/>
      </c>
      <c r="J423">
        <f>IF(J$2=0,"",IFERROR(TRIM(INDEX('Pegar calibracion'!$A$1:$BZ$1001,422,J$2)&amp;""),""))</f>
        <v/>
      </c>
      <c r="K423">
        <f>IF(K$2=0,"",IFERROR(TRIM(INDEX('Pegar calibracion'!$A$1:$BZ$1001,422,K$2)&amp;""),""))</f>
        <v/>
      </c>
      <c r="L423">
        <f>IF(L$2=0,"",IFERROR(TRIM(INDEX('Pegar calibracion'!$A$1:$BZ$1001,422,L$2)&amp;""),""))</f>
        <v/>
      </c>
      <c r="M423" s="25">
        <f>IF(D423="","",SUBSTITUTE(SUBSTITUTE(SUBSTITUTE(SUBSTITUTE(SUBSTITUTE(SUBSTITUTE(SUBSTITUTE(SUBSTITUTE(SUBSTITUTE(SUBSTITUTE(SUBSTITUTE(SUBSTITUTE(LOWER(TRIM(D423)),"á","a"),"é","e"),"í","i"),"ó","o"),"ú","u"),"ü","u"),"ñ","n"),"à","a"),"è","e"),"ì","i"),"ò","o"),"ù","u"))</f>
        <v/>
      </c>
      <c r="N423" s="25">
        <f>IF(F423="","",SUBSTITUTE(SUBSTITUTE(SUBSTITUTE(SUBSTITUTE(SUBSTITUTE(SUBSTITUTE(SUBSTITUTE(SUBSTITUTE(SUBSTITUTE(SUBSTITUTE(SUBSTITUTE(SUBSTITUTE(LOWER(TRIM(F423)),"á","a"),"é","e"),"í","i"),"ó","o"),"ú","u"),"ü","u"),"ñ","n"),"à","a"),"è","e"),"ì","i"),"ò","o"),"ù","u"))</f>
        <v/>
      </c>
      <c r="O423" s="25">
        <f>IF(M423="confiable",2,IF(M423="dudosa",1,IF(M423="no confiable",0,"")))</f>
        <v/>
      </c>
      <c r="P423" s="25">
        <f>IF(N423="confiable",2,IF(N423="dudosa",1,IF(N423="no confiable",0,"")))</f>
        <v/>
      </c>
      <c r="Q423" s="25">
        <f>IF(AND(ISNUMBER(O423),ISNUMBER(P423)),1,"")</f>
        <v/>
      </c>
      <c r="R423" s="25">
        <f>IF(Q423=1,IF(O423=P423,"Sí","No"),"")</f>
        <v/>
      </c>
      <c r="S423" s="25">
        <f>IF(Q423=1,IF(P423&lt;O423,"Más estricto",IF(P423&gt;O423,"Más permisivo","Igual")),"")</f>
        <v/>
      </c>
      <c r="T423" s="25">
        <f>IF(Q423=1,IF(ABS(O423-P423)=2,1,0),"")</f>
        <v/>
      </c>
      <c r="U423" s="25">
        <f>IF(H423="","","|"&amp;SUBSTITUTE(SUBSTITUTE(TRIM(H423)," |","|"),"| ","|")&amp;"|")</f>
        <v/>
      </c>
      <c r="V423" s="25">
        <f>IF(AND(Q423=1,B423&lt;&gt;""),IF(IFERROR(COUNTIFS(B$3:B423,"="&amp;SUBSTITUTE(SUBSTITUTE(SUBSTITUTE(B423,"~","~~"),"*","~*"),"?","~?"),Q$3:Q423,1),0)=1,MAX(V$2:V422)+1,""),"")</f>
        <v/>
      </c>
      <c r="W423" s="25">
        <f>IF(V423="","",COUNTIFS($B$3:$B$1002,"="&amp;SUBSTITUTE(SUBSTITUTE(SUBSTITUTE(B423,"~","~~"),"*","~*"),"?","~?"),$Q$3:$Q$1002,1)*10000-V423)</f>
        <v/>
      </c>
      <c r="X423" s="25">
        <f>IF(Q423=1,IF(SUBSTITUTE(SUBSTITUTE(SUBSTITUTE(SUBSTITUTE(SUBSTITUTE(SUBSTITUTE(SUBSTITUTE(SUBSTITUTE(SUBSTITUTE(SUBSTITUTE(SUBSTITUTE(SUBSTITUTE(LOWER(TRIM(A423)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423)),"á","a"),"é","e"),"í","i"),"ó","o"),"ú","u"),"ü","u"),"ñ","n"),"à","a"),"è","e"),"ì","i"),"ò","o"),"ù","u")),"")</f>
        <v/>
      </c>
      <c r="Y423" s="25">
        <f>IF(X423="","",IF(IFERROR(COUNTIF(X$3:X423,"="&amp;SUBSTITUTE(SUBSTITUTE(SUBSTITUTE(X423,"~","~~"),"*","~*"),"?","~?")),0)=1,1,""))</f>
        <v/>
      </c>
      <c r="Z423" s="25">
        <f>IF(T423=1,MAX(Z$2:Z422)+1,"")</f>
        <v/>
      </c>
    </row>
    <row r="424">
      <c r="A424">
        <f>IF(A$2=0,"",IFERROR(TRIM(INDEX('Pegar calibracion'!$A$1:$BZ$1001,423,A$2)&amp;""),""))</f>
        <v/>
      </c>
      <c r="B424">
        <f>IF(B$2=0,"",IFERROR(TRIM(INDEX('Pegar calibracion'!$A$1:$BZ$1001,423,B$2)&amp;""),""))</f>
        <v/>
      </c>
      <c r="C424">
        <f>IF(C$2=0,"",IFERROR(TRIM(INDEX('Pegar calibracion'!$A$1:$BZ$1001,423,C$2)&amp;""),""))</f>
        <v/>
      </c>
      <c r="D424">
        <f>IF(D$2=0,"",IFERROR(TRIM(INDEX('Pegar calibracion'!$A$1:$BZ$1001,423,D$2)&amp;""),""))</f>
        <v/>
      </c>
      <c r="E424">
        <f>IF(E$2=0,"",IFERROR(TRIM(INDEX('Pegar calibracion'!$A$1:$BZ$1001,423,E$2)&amp;""),""))</f>
        <v/>
      </c>
      <c r="F424">
        <f>IF(F$2=0,"",IFERROR(TRIM(INDEX('Pegar calibracion'!$A$1:$BZ$1001,423,F$2)&amp;""),""))</f>
        <v/>
      </c>
      <c r="G424">
        <f>IF(G$2=0,"",IFERROR(TRIM(INDEX('Pegar calibracion'!$A$1:$BZ$1001,423,G$2)&amp;""),""))</f>
        <v/>
      </c>
      <c r="H424">
        <f>IF(H$2=0,"",IFERROR(TRIM(INDEX('Pegar calibracion'!$A$1:$BZ$1001,423,H$2)&amp;""),""))</f>
        <v/>
      </c>
      <c r="I424">
        <f>IF(I$2=0,"",IFERROR(TRIM(INDEX('Pegar calibracion'!$A$1:$BZ$1001,423,I$2)&amp;""),""))</f>
        <v/>
      </c>
      <c r="J424">
        <f>IF(J$2=0,"",IFERROR(TRIM(INDEX('Pegar calibracion'!$A$1:$BZ$1001,423,J$2)&amp;""),""))</f>
        <v/>
      </c>
      <c r="K424">
        <f>IF(K$2=0,"",IFERROR(TRIM(INDEX('Pegar calibracion'!$A$1:$BZ$1001,423,K$2)&amp;""),""))</f>
        <v/>
      </c>
      <c r="L424">
        <f>IF(L$2=0,"",IFERROR(TRIM(INDEX('Pegar calibracion'!$A$1:$BZ$1001,423,L$2)&amp;""),""))</f>
        <v/>
      </c>
      <c r="M424" s="25">
        <f>IF(D424="","",SUBSTITUTE(SUBSTITUTE(SUBSTITUTE(SUBSTITUTE(SUBSTITUTE(SUBSTITUTE(SUBSTITUTE(SUBSTITUTE(SUBSTITUTE(SUBSTITUTE(SUBSTITUTE(SUBSTITUTE(LOWER(TRIM(D424)),"á","a"),"é","e"),"í","i"),"ó","o"),"ú","u"),"ü","u"),"ñ","n"),"à","a"),"è","e"),"ì","i"),"ò","o"),"ù","u"))</f>
        <v/>
      </c>
      <c r="N424" s="25">
        <f>IF(F424="","",SUBSTITUTE(SUBSTITUTE(SUBSTITUTE(SUBSTITUTE(SUBSTITUTE(SUBSTITUTE(SUBSTITUTE(SUBSTITUTE(SUBSTITUTE(SUBSTITUTE(SUBSTITUTE(SUBSTITUTE(LOWER(TRIM(F424)),"á","a"),"é","e"),"í","i"),"ó","o"),"ú","u"),"ü","u"),"ñ","n"),"à","a"),"è","e"),"ì","i"),"ò","o"),"ù","u"))</f>
        <v/>
      </c>
      <c r="O424" s="25">
        <f>IF(M424="confiable",2,IF(M424="dudosa",1,IF(M424="no confiable",0,"")))</f>
        <v/>
      </c>
      <c r="P424" s="25">
        <f>IF(N424="confiable",2,IF(N424="dudosa",1,IF(N424="no confiable",0,"")))</f>
        <v/>
      </c>
      <c r="Q424" s="25">
        <f>IF(AND(ISNUMBER(O424),ISNUMBER(P424)),1,"")</f>
        <v/>
      </c>
      <c r="R424" s="25">
        <f>IF(Q424=1,IF(O424=P424,"Sí","No"),"")</f>
        <v/>
      </c>
      <c r="S424" s="25">
        <f>IF(Q424=1,IF(P424&lt;O424,"Más estricto",IF(P424&gt;O424,"Más permisivo","Igual")),"")</f>
        <v/>
      </c>
      <c r="T424" s="25">
        <f>IF(Q424=1,IF(ABS(O424-P424)=2,1,0),"")</f>
        <v/>
      </c>
      <c r="U424" s="25">
        <f>IF(H424="","","|"&amp;SUBSTITUTE(SUBSTITUTE(TRIM(H424)," |","|"),"| ","|")&amp;"|")</f>
        <v/>
      </c>
      <c r="V424" s="25">
        <f>IF(AND(Q424=1,B424&lt;&gt;""),IF(IFERROR(COUNTIFS(B$3:B424,"="&amp;SUBSTITUTE(SUBSTITUTE(SUBSTITUTE(B424,"~","~~"),"*","~*"),"?","~?"),Q$3:Q424,1),0)=1,MAX(V$2:V423)+1,""),"")</f>
        <v/>
      </c>
      <c r="W424" s="25">
        <f>IF(V424="","",COUNTIFS($B$3:$B$1002,"="&amp;SUBSTITUTE(SUBSTITUTE(SUBSTITUTE(B424,"~","~~"),"*","~*"),"?","~?"),$Q$3:$Q$1002,1)*10000-V424)</f>
        <v/>
      </c>
      <c r="X424" s="25">
        <f>IF(Q424=1,IF(SUBSTITUTE(SUBSTITUTE(SUBSTITUTE(SUBSTITUTE(SUBSTITUTE(SUBSTITUTE(SUBSTITUTE(SUBSTITUTE(SUBSTITUTE(SUBSTITUTE(SUBSTITUTE(SUBSTITUTE(LOWER(TRIM(A424)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424)),"á","a"),"é","e"),"í","i"),"ó","o"),"ú","u"),"ü","u"),"ñ","n"),"à","a"),"è","e"),"ì","i"),"ò","o"),"ù","u")),"")</f>
        <v/>
      </c>
      <c r="Y424" s="25">
        <f>IF(X424="","",IF(IFERROR(COUNTIF(X$3:X424,"="&amp;SUBSTITUTE(SUBSTITUTE(SUBSTITUTE(X424,"~","~~"),"*","~*"),"?","~?")),0)=1,1,""))</f>
        <v/>
      </c>
      <c r="Z424" s="25">
        <f>IF(T424=1,MAX(Z$2:Z423)+1,"")</f>
        <v/>
      </c>
    </row>
    <row r="425">
      <c r="A425">
        <f>IF(A$2=0,"",IFERROR(TRIM(INDEX('Pegar calibracion'!$A$1:$BZ$1001,424,A$2)&amp;""),""))</f>
        <v/>
      </c>
      <c r="B425">
        <f>IF(B$2=0,"",IFERROR(TRIM(INDEX('Pegar calibracion'!$A$1:$BZ$1001,424,B$2)&amp;""),""))</f>
        <v/>
      </c>
      <c r="C425">
        <f>IF(C$2=0,"",IFERROR(TRIM(INDEX('Pegar calibracion'!$A$1:$BZ$1001,424,C$2)&amp;""),""))</f>
        <v/>
      </c>
      <c r="D425">
        <f>IF(D$2=0,"",IFERROR(TRIM(INDEX('Pegar calibracion'!$A$1:$BZ$1001,424,D$2)&amp;""),""))</f>
        <v/>
      </c>
      <c r="E425">
        <f>IF(E$2=0,"",IFERROR(TRIM(INDEX('Pegar calibracion'!$A$1:$BZ$1001,424,E$2)&amp;""),""))</f>
        <v/>
      </c>
      <c r="F425">
        <f>IF(F$2=0,"",IFERROR(TRIM(INDEX('Pegar calibracion'!$A$1:$BZ$1001,424,F$2)&amp;""),""))</f>
        <v/>
      </c>
      <c r="G425">
        <f>IF(G$2=0,"",IFERROR(TRIM(INDEX('Pegar calibracion'!$A$1:$BZ$1001,424,G$2)&amp;""),""))</f>
        <v/>
      </c>
      <c r="H425">
        <f>IF(H$2=0,"",IFERROR(TRIM(INDEX('Pegar calibracion'!$A$1:$BZ$1001,424,H$2)&amp;""),""))</f>
        <v/>
      </c>
      <c r="I425">
        <f>IF(I$2=0,"",IFERROR(TRIM(INDEX('Pegar calibracion'!$A$1:$BZ$1001,424,I$2)&amp;""),""))</f>
        <v/>
      </c>
      <c r="J425">
        <f>IF(J$2=0,"",IFERROR(TRIM(INDEX('Pegar calibracion'!$A$1:$BZ$1001,424,J$2)&amp;""),""))</f>
        <v/>
      </c>
      <c r="K425">
        <f>IF(K$2=0,"",IFERROR(TRIM(INDEX('Pegar calibracion'!$A$1:$BZ$1001,424,K$2)&amp;""),""))</f>
        <v/>
      </c>
      <c r="L425">
        <f>IF(L$2=0,"",IFERROR(TRIM(INDEX('Pegar calibracion'!$A$1:$BZ$1001,424,L$2)&amp;""),""))</f>
        <v/>
      </c>
      <c r="M425" s="25">
        <f>IF(D425="","",SUBSTITUTE(SUBSTITUTE(SUBSTITUTE(SUBSTITUTE(SUBSTITUTE(SUBSTITUTE(SUBSTITUTE(SUBSTITUTE(SUBSTITUTE(SUBSTITUTE(SUBSTITUTE(SUBSTITUTE(LOWER(TRIM(D425)),"á","a"),"é","e"),"í","i"),"ó","o"),"ú","u"),"ü","u"),"ñ","n"),"à","a"),"è","e"),"ì","i"),"ò","o"),"ù","u"))</f>
        <v/>
      </c>
      <c r="N425" s="25">
        <f>IF(F425="","",SUBSTITUTE(SUBSTITUTE(SUBSTITUTE(SUBSTITUTE(SUBSTITUTE(SUBSTITUTE(SUBSTITUTE(SUBSTITUTE(SUBSTITUTE(SUBSTITUTE(SUBSTITUTE(SUBSTITUTE(LOWER(TRIM(F425)),"á","a"),"é","e"),"í","i"),"ó","o"),"ú","u"),"ü","u"),"ñ","n"),"à","a"),"è","e"),"ì","i"),"ò","o"),"ù","u"))</f>
        <v/>
      </c>
      <c r="O425" s="25">
        <f>IF(M425="confiable",2,IF(M425="dudosa",1,IF(M425="no confiable",0,"")))</f>
        <v/>
      </c>
      <c r="P425" s="25">
        <f>IF(N425="confiable",2,IF(N425="dudosa",1,IF(N425="no confiable",0,"")))</f>
        <v/>
      </c>
      <c r="Q425" s="25">
        <f>IF(AND(ISNUMBER(O425),ISNUMBER(P425)),1,"")</f>
        <v/>
      </c>
      <c r="R425" s="25">
        <f>IF(Q425=1,IF(O425=P425,"Sí","No"),"")</f>
        <v/>
      </c>
      <c r="S425" s="25">
        <f>IF(Q425=1,IF(P425&lt;O425,"Más estricto",IF(P425&gt;O425,"Más permisivo","Igual")),"")</f>
        <v/>
      </c>
      <c r="T425" s="25">
        <f>IF(Q425=1,IF(ABS(O425-P425)=2,1,0),"")</f>
        <v/>
      </c>
      <c r="U425" s="25">
        <f>IF(H425="","","|"&amp;SUBSTITUTE(SUBSTITUTE(TRIM(H425)," |","|"),"| ","|")&amp;"|")</f>
        <v/>
      </c>
      <c r="V425" s="25">
        <f>IF(AND(Q425=1,B425&lt;&gt;""),IF(IFERROR(COUNTIFS(B$3:B425,"="&amp;SUBSTITUTE(SUBSTITUTE(SUBSTITUTE(B425,"~","~~"),"*","~*"),"?","~?"),Q$3:Q425,1),0)=1,MAX(V$2:V424)+1,""),"")</f>
        <v/>
      </c>
      <c r="W425" s="25">
        <f>IF(V425="","",COUNTIFS($B$3:$B$1002,"="&amp;SUBSTITUTE(SUBSTITUTE(SUBSTITUTE(B425,"~","~~"),"*","~*"),"?","~?"),$Q$3:$Q$1002,1)*10000-V425)</f>
        <v/>
      </c>
      <c r="X425" s="25">
        <f>IF(Q425=1,IF(SUBSTITUTE(SUBSTITUTE(SUBSTITUTE(SUBSTITUTE(SUBSTITUTE(SUBSTITUTE(SUBSTITUTE(SUBSTITUTE(SUBSTITUTE(SUBSTITUTE(SUBSTITUTE(SUBSTITUTE(LOWER(TRIM(A425)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425)),"á","a"),"é","e"),"í","i"),"ó","o"),"ú","u"),"ü","u"),"ñ","n"),"à","a"),"è","e"),"ì","i"),"ò","o"),"ù","u")),"")</f>
        <v/>
      </c>
      <c r="Y425" s="25">
        <f>IF(X425="","",IF(IFERROR(COUNTIF(X$3:X425,"="&amp;SUBSTITUTE(SUBSTITUTE(SUBSTITUTE(X425,"~","~~"),"*","~*"),"?","~?")),0)=1,1,""))</f>
        <v/>
      </c>
      <c r="Z425" s="25">
        <f>IF(T425=1,MAX(Z$2:Z424)+1,"")</f>
        <v/>
      </c>
    </row>
    <row r="426">
      <c r="A426">
        <f>IF(A$2=0,"",IFERROR(TRIM(INDEX('Pegar calibracion'!$A$1:$BZ$1001,425,A$2)&amp;""),""))</f>
        <v/>
      </c>
      <c r="B426">
        <f>IF(B$2=0,"",IFERROR(TRIM(INDEX('Pegar calibracion'!$A$1:$BZ$1001,425,B$2)&amp;""),""))</f>
        <v/>
      </c>
      <c r="C426">
        <f>IF(C$2=0,"",IFERROR(TRIM(INDEX('Pegar calibracion'!$A$1:$BZ$1001,425,C$2)&amp;""),""))</f>
        <v/>
      </c>
      <c r="D426">
        <f>IF(D$2=0,"",IFERROR(TRIM(INDEX('Pegar calibracion'!$A$1:$BZ$1001,425,D$2)&amp;""),""))</f>
        <v/>
      </c>
      <c r="E426">
        <f>IF(E$2=0,"",IFERROR(TRIM(INDEX('Pegar calibracion'!$A$1:$BZ$1001,425,E$2)&amp;""),""))</f>
        <v/>
      </c>
      <c r="F426">
        <f>IF(F$2=0,"",IFERROR(TRIM(INDEX('Pegar calibracion'!$A$1:$BZ$1001,425,F$2)&amp;""),""))</f>
        <v/>
      </c>
      <c r="G426">
        <f>IF(G$2=0,"",IFERROR(TRIM(INDEX('Pegar calibracion'!$A$1:$BZ$1001,425,G$2)&amp;""),""))</f>
        <v/>
      </c>
      <c r="H426">
        <f>IF(H$2=0,"",IFERROR(TRIM(INDEX('Pegar calibracion'!$A$1:$BZ$1001,425,H$2)&amp;""),""))</f>
        <v/>
      </c>
      <c r="I426">
        <f>IF(I$2=0,"",IFERROR(TRIM(INDEX('Pegar calibracion'!$A$1:$BZ$1001,425,I$2)&amp;""),""))</f>
        <v/>
      </c>
      <c r="J426">
        <f>IF(J$2=0,"",IFERROR(TRIM(INDEX('Pegar calibracion'!$A$1:$BZ$1001,425,J$2)&amp;""),""))</f>
        <v/>
      </c>
      <c r="K426">
        <f>IF(K$2=0,"",IFERROR(TRIM(INDEX('Pegar calibracion'!$A$1:$BZ$1001,425,K$2)&amp;""),""))</f>
        <v/>
      </c>
      <c r="L426">
        <f>IF(L$2=0,"",IFERROR(TRIM(INDEX('Pegar calibracion'!$A$1:$BZ$1001,425,L$2)&amp;""),""))</f>
        <v/>
      </c>
      <c r="M426" s="25">
        <f>IF(D426="","",SUBSTITUTE(SUBSTITUTE(SUBSTITUTE(SUBSTITUTE(SUBSTITUTE(SUBSTITUTE(SUBSTITUTE(SUBSTITUTE(SUBSTITUTE(SUBSTITUTE(SUBSTITUTE(SUBSTITUTE(LOWER(TRIM(D426)),"á","a"),"é","e"),"í","i"),"ó","o"),"ú","u"),"ü","u"),"ñ","n"),"à","a"),"è","e"),"ì","i"),"ò","o"),"ù","u"))</f>
        <v/>
      </c>
      <c r="N426" s="25">
        <f>IF(F426="","",SUBSTITUTE(SUBSTITUTE(SUBSTITUTE(SUBSTITUTE(SUBSTITUTE(SUBSTITUTE(SUBSTITUTE(SUBSTITUTE(SUBSTITUTE(SUBSTITUTE(SUBSTITUTE(SUBSTITUTE(LOWER(TRIM(F426)),"á","a"),"é","e"),"í","i"),"ó","o"),"ú","u"),"ü","u"),"ñ","n"),"à","a"),"è","e"),"ì","i"),"ò","o"),"ù","u"))</f>
        <v/>
      </c>
      <c r="O426" s="25">
        <f>IF(M426="confiable",2,IF(M426="dudosa",1,IF(M426="no confiable",0,"")))</f>
        <v/>
      </c>
      <c r="P426" s="25">
        <f>IF(N426="confiable",2,IF(N426="dudosa",1,IF(N426="no confiable",0,"")))</f>
        <v/>
      </c>
      <c r="Q426" s="25">
        <f>IF(AND(ISNUMBER(O426),ISNUMBER(P426)),1,"")</f>
        <v/>
      </c>
      <c r="R426" s="25">
        <f>IF(Q426=1,IF(O426=P426,"Sí","No"),"")</f>
        <v/>
      </c>
      <c r="S426" s="25">
        <f>IF(Q426=1,IF(P426&lt;O426,"Más estricto",IF(P426&gt;O426,"Más permisivo","Igual")),"")</f>
        <v/>
      </c>
      <c r="T426" s="25">
        <f>IF(Q426=1,IF(ABS(O426-P426)=2,1,0),"")</f>
        <v/>
      </c>
      <c r="U426" s="25">
        <f>IF(H426="","","|"&amp;SUBSTITUTE(SUBSTITUTE(TRIM(H426)," |","|"),"| ","|")&amp;"|")</f>
        <v/>
      </c>
      <c r="V426" s="25">
        <f>IF(AND(Q426=1,B426&lt;&gt;""),IF(IFERROR(COUNTIFS(B$3:B426,"="&amp;SUBSTITUTE(SUBSTITUTE(SUBSTITUTE(B426,"~","~~"),"*","~*"),"?","~?"),Q$3:Q426,1),0)=1,MAX(V$2:V425)+1,""),"")</f>
        <v/>
      </c>
      <c r="W426" s="25">
        <f>IF(V426="","",COUNTIFS($B$3:$B$1002,"="&amp;SUBSTITUTE(SUBSTITUTE(SUBSTITUTE(B426,"~","~~"),"*","~*"),"?","~?"),$Q$3:$Q$1002,1)*10000-V426)</f>
        <v/>
      </c>
      <c r="X426" s="25">
        <f>IF(Q426=1,IF(SUBSTITUTE(SUBSTITUTE(SUBSTITUTE(SUBSTITUTE(SUBSTITUTE(SUBSTITUTE(SUBSTITUTE(SUBSTITUTE(SUBSTITUTE(SUBSTITUTE(SUBSTITUTE(SUBSTITUTE(LOWER(TRIM(A426)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426)),"á","a"),"é","e"),"í","i"),"ó","o"),"ú","u"),"ü","u"),"ñ","n"),"à","a"),"è","e"),"ì","i"),"ò","o"),"ù","u")),"")</f>
        <v/>
      </c>
      <c r="Y426" s="25">
        <f>IF(X426="","",IF(IFERROR(COUNTIF(X$3:X426,"="&amp;SUBSTITUTE(SUBSTITUTE(SUBSTITUTE(X426,"~","~~"),"*","~*"),"?","~?")),0)=1,1,""))</f>
        <v/>
      </c>
      <c r="Z426" s="25">
        <f>IF(T426=1,MAX(Z$2:Z425)+1,"")</f>
        <v/>
      </c>
    </row>
    <row r="427">
      <c r="A427">
        <f>IF(A$2=0,"",IFERROR(TRIM(INDEX('Pegar calibracion'!$A$1:$BZ$1001,426,A$2)&amp;""),""))</f>
        <v/>
      </c>
      <c r="B427">
        <f>IF(B$2=0,"",IFERROR(TRIM(INDEX('Pegar calibracion'!$A$1:$BZ$1001,426,B$2)&amp;""),""))</f>
        <v/>
      </c>
      <c r="C427">
        <f>IF(C$2=0,"",IFERROR(TRIM(INDEX('Pegar calibracion'!$A$1:$BZ$1001,426,C$2)&amp;""),""))</f>
        <v/>
      </c>
      <c r="D427">
        <f>IF(D$2=0,"",IFERROR(TRIM(INDEX('Pegar calibracion'!$A$1:$BZ$1001,426,D$2)&amp;""),""))</f>
        <v/>
      </c>
      <c r="E427">
        <f>IF(E$2=0,"",IFERROR(TRIM(INDEX('Pegar calibracion'!$A$1:$BZ$1001,426,E$2)&amp;""),""))</f>
        <v/>
      </c>
      <c r="F427">
        <f>IF(F$2=0,"",IFERROR(TRIM(INDEX('Pegar calibracion'!$A$1:$BZ$1001,426,F$2)&amp;""),""))</f>
        <v/>
      </c>
      <c r="G427">
        <f>IF(G$2=0,"",IFERROR(TRIM(INDEX('Pegar calibracion'!$A$1:$BZ$1001,426,G$2)&amp;""),""))</f>
        <v/>
      </c>
      <c r="H427">
        <f>IF(H$2=0,"",IFERROR(TRIM(INDEX('Pegar calibracion'!$A$1:$BZ$1001,426,H$2)&amp;""),""))</f>
        <v/>
      </c>
      <c r="I427">
        <f>IF(I$2=0,"",IFERROR(TRIM(INDEX('Pegar calibracion'!$A$1:$BZ$1001,426,I$2)&amp;""),""))</f>
        <v/>
      </c>
      <c r="J427">
        <f>IF(J$2=0,"",IFERROR(TRIM(INDEX('Pegar calibracion'!$A$1:$BZ$1001,426,J$2)&amp;""),""))</f>
        <v/>
      </c>
      <c r="K427">
        <f>IF(K$2=0,"",IFERROR(TRIM(INDEX('Pegar calibracion'!$A$1:$BZ$1001,426,K$2)&amp;""),""))</f>
        <v/>
      </c>
      <c r="L427">
        <f>IF(L$2=0,"",IFERROR(TRIM(INDEX('Pegar calibracion'!$A$1:$BZ$1001,426,L$2)&amp;""),""))</f>
        <v/>
      </c>
      <c r="M427" s="25">
        <f>IF(D427="","",SUBSTITUTE(SUBSTITUTE(SUBSTITUTE(SUBSTITUTE(SUBSTITUTE(SUBSTITUTE(SUBSTITUTE(SUBSTITUTE(SUBSTITUTE(SUBSTITUTE(SUBSTITUTE(SUBSTITUTE(LOWER(TRIM(D427)),"á","a"),"é","e"),"í","i"),"ó","o"),"ú","u"),"ü","u"),"ñ","n"),"à","a"),"è","e"),"ì","i"),"ò","o"),"ù","u"))</f>
        <v/>
      </c>
      <c r="N427" s="25">
        <f>IF(F427="","",SUBSTITUTE(SUBSTITUTE(SUBSTITUTE(SUBSTITUTE(SUBSTITUTE(SUBSTITUTE(SUBSTITUTE(SUBSTITUTE(SUBSTITUTE(SUBSTITUTE(SUBSTITUTE(SUBSTITUTE(LOWER(TRIM(F427)),"á","a"),"é","e"),"í","i"),"ó","o"),"ú","u"),"ü","u"),"ñ","n"),"à","a"),"è","e"),"ì","i"),"ò","o"),"ù","u"))</f>
        <v/>
      </c>
      <c r="O427" s="25">
        <f>IF(M427="confiable",2,IF(M427="dudosa",1,IF(M427="no confiable",0,"")))</f>
        <v/>
      </c>
      <c r="P427" s="25">
        <f>IF(N427="confiable",2,IF(N427="dudosa",1,IF(N427="no confiable",0,"")))</f>
        <v/>
      </c>
      <c r="Q427" s="25">
        <f>IF(AND(ISNUMBER(O427),ISNUMBER(P427)),1,"")</f>
        <v/>
      </c>
      <c r="R427" s="25">
        <f>IF(Q427=1,IF(O427=P427,"Sí","No"),"")</f>
        <v/>
      </c>
      <c r="S427" s="25">
        <f>IF(Q427=1,IF(P427&lt;O427,"Más estricto",IF(P427&gt;O427,"Más permisivo","Igual")),"")</f>
        <v/>
      </c>
      <c r="T427" s="25">
        <f>IF(Q427=1,IF(ABS(O427-P427)=2,1,0),"")</f>
        <v/>
      </c>
      <c r="U427" s="25">
        <f>IF(H427="","","|"&amp;SUBSTITUTE(SUBSTITUTE(TRIM(H427)," |","|"),"| ","|")&amp;"|")</f>
        <v/>
      </c>
      <c r="V427" s="25">
        <f>IF(AND(Q427=1,B427&lt;&gt;""),IF(IFERROR(COUNTIFS(B$3:B427,"="&amp;SUBSTITUTE(SUBSTITUTE(SUBSTITUTE(B427,"~","~~"),"*","~*"),"?","~?"),Q$3:Q427,1),0)=1,MAX(V$2:V426)+1,""),"")</f>
        <v/>
      </c>
      <c r="W427" s="25">
        <f>IF(V427="","",COUNTIFS($B$3:$B$1002,"="&amp;SUBSTITUTE(SUBSTITUTE(SUBSTITUTE(B427,"~","~~"),"*","~*"),"?","~?"),$Q$3:$Q$1002,1)*10000-V427)</f>
        <v/>
      </c>
      <c r="X427" s="25">
        <f>IF(Q427=1,IF(SUBSTITUTE(SUBSTITUTE(SUBSTITUTE(SUBSTITUTE(SUBSTITUTE(SUBSTITUTE(SUBSTITUTE(SUBSTITUTE(SUBSTITUTE(SUBSTITUTE(SUBSTITUTE(SUBSTITUTE(LOWER(TRIM(A427)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427)),"á","a"),"é","e"),"í","i"),"ó","o"),"ú","u"),"ü","u"),"ñ","n"),"à","a"),"è","e"),"ì","i"),"ò","o"),"ù","u")),"")</f>
        <v/>
      </c>
      <c r="Y427" s="25">
        <f>IF(X427="","",IF(IFERROR(COUNTIF(X$3:X427,"="&amp;SUBSTITUTE(SUBSTITUTE(SUBSTITUTE(X427,"~","~~"),"*","~*"),"?","~?")),0)=1,1,""))</f>
        <v/>
      </c>
      <c r="Z427" s="25">
        <f>IF(T427=1,MAX(Z$2:Z426)+1,"")</f>
        <v/>
      </c>
    </row>
    <row r="428">
      <c r="A428">
        <f>IF(A$2=0,"",IFERROR(TRIM(INDEX('Pegar calibracion'!$A$1:$BZ$1001,427,A$2)&amp;""),""))</f>
        <v/>
      </c>
      <c r="B428">
        <f>IF(B$2=0,"",IFERROR(TRIM(INDEX('Pegar calibracion'!$A$1:$BZ$1001,427,B$2)&amp;""),""))</f>
        <v/>
      </c>
      <c r="C428">
        <f>IF(C$2=0,"",IFERROR(TRIM(INDEX('Pegar calibracion'!$A$1:$BZ$1001,427,C$2)&amp;""),""))</f>
        <v/>
      </c>
      <c r="D428">
        <f>IF(D$2=0,"",IFERROR(TRIM(INDEX('Pegar calibracion'!$A$1:$BZ$1001,427,D$2)&amp;""),""))</f>
        <v/>
      </c>
      <c r="E428">
        <f>IF(E$2=0,"",IFERROR(TRIM(INDEX('Pegar calibracion'!$A$1:$BZ$1001,427,E$2)&amp;""),""))</f>
        <v/>
      </c>
      <c r="F428">
        <f>IF(F$2=0,"",IFERROR(TRIM(INDEX('Pegar calibracion'!$A$1:$BZ$1001,427,F$2)&amp;""),""))</f>
        <v/>
      </c>
      <c r="G428">
        <f>IF(G$2=0,"",IFERROR(TRIM(INDEX('Pegar calibracion'!$A$1:$BZ$1001,427,G$2)&amp;""),""))</f>
        <v/>
      </c>
      <c r="H428">
        <f>IF(H$2=0,"",IFERROR(TRIM(INDEX('Pegar calibracion'!$A$1:$BZ$1001,427,H$2)&amp;""),""))</f>
        <v/>
      </c>
      <c r="I428">
        <f>IF(I$2=0,"",IFERROR(TRIM(INDEX('Pegar calibracion'!$A$1:$BZ$1001,427,I$2)&amp;""),""))</f>
        <v/>
      </c>
      <c r="J428">
        <f>IF(J$2=0,"",IFERROR(TRIM(INDEX('Pegar calibracion'!$A$1:$BZ$1001,427,J$2)&amp;""),""))</f>
        <v/>
      </c>
      <c r="K428">
        <f>IF(K$2=0,"",IFERROR(TRIM(INDEX('Pegar calibracion'!$A$1:$BZ$1001,427,K$2)&amp;""),""))</f>
        <v/>
      </c>
      <c r="L428">
        <f>IF(L$2=0,"",IFERROR(TRIM(INDEX('Pegar calibracion'!$A$1:$BZ$1001,427,L$2)&amp;""),""))</f>
        <v/>
      </c>
      <c r="M428" s="25">
        <f>IF(D428="","",SUBSTITUTE(SUBSTITUTE(SUBSTITUTE(SUBSTITUTE(SUBSTITUTE(SUBSTITUTE(SUBSTITUTE(SUBSTITUTE(SUBSTITUTE(SUBSTITUTE(SUBSTITUTE(SUBSTITUTE(LOWER(TRIM(D428)),"á","a"),"é","e"),"í","i"),"ó","o"),"ú","u"),"ü","u"),"ñ","n"),"à","a"),"è","e"),"ì","i"),"ò","o"),"ù","u"))</f>
        <v/>
      </c>
      <c r="N428" s="25">
        <f>IF(F428="","",SUBSTITUTE(SUBSTITUTE(SUBSTITUTE(SUBSTITUTE(SUBSTITUTE(SUBSTITUTE(SUBSTITUTE(SUBSTITUTE(SUBSTITUTE(SUBSTITUTE(SUBSTITUTE(SUBSTITUTE(LOWER(TRIM(F428)),"á","a"),"é","e"),"í","i"),"ó","o"),"ú","u"),"ü","u"),"ñ","n"),"à","a"),"è","e"),"ì","i"),"ò","o"),"ù","u"))</f>
        <v/>
      </c>
      <c r="O428" s="25">
        <f>IF(M428="confiable",2,IF(M428="dudosa",1,IF(M428="no confiable",0,"")))</f>
        <v/>
      </c>
      <c r="P428" s="25">
        <f>IF(N428="confiable",2,IF(N428="dudosa",1,IF(N428="no confiable",0,"")))</f>
        <v/>
      </c>
      <c r="Q428" s="25">
        <f>IF(AND(ISNUMBER(O428),ISNUMBER(P428)),1,"")</f>
        <v/>
      </c>
      <c r="R428" s="25">
        <f>IF(Q428=1,IF(O428=P428,"Sí","No"),"")</f>
        <v/>
      </c>
      <c r="S428" s="25">
        <f>IF(Q428=1,IF(P428&lt;O428,"Más estricto",IF(P428&gt;O428,"Más permisivo","Igual")),"")</f>
        <v/>
      </c>
      <c r="T428" s="25">
        <f>IF(Q428=1,IF(ABS(O428-P428)=2,1,0),"")</f>
        <v/>
      </c>
      <c r="U428" s="25">
        <f>IF(H428="","","|"&amp;SUBSTITUTE(SUBSTITUTE(TRIM(H428)," |","|"),"| ","|")&amp;"|")</f>
        <v/>
      </c>
      <c r="V428" s="25">
        <f>IF(AND(Q428=1,B428&lt;&gt;""),IF(IFERROR(COUNTIFS(B$3:B428,"="&amp;SUBSTITUTE(SUBSTITUTE(SUBSTITUTE(B428,"~","~~"),"*","~*"),"?","~?"),Q$3:Q428,1),0)=1,MAX(V$2:V427)+1,""),"")</f>
        <v/>
      </c>
      <c r="W428" s="25">
        <f>IF(V428="","",COUNTIFS($B$3:$B$1002,"="&amp;SUBSTITUTE(SUBSTITUTE(SUBSTITUTE(B428,"~","~~"),"*","~*"),"?","~?"),$Q$3:$Q$1002,1)*10000-V428)</f>
        <v/>
      </c>
      <c r="X428" s="25">
        <f>IF(Q428=1,IF(SUBSTITUTE(SUBSTITUTE(SUBSTITUTE(SUBSTITUTE(SUBSTITUTE(SUBSTITUTE(SUBSTITUTE(SUBSTITUTE(SUBSTITUTE(SUBSTITUTE(SUBSTITUTE(SUBSTITUTE(LOWER(TRIM(A428)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428)),"á","a"),"é","e"),"í","i"),"ó","o"),"ú","u"),"ü","u"),"ñ","n"),"à","a"),"è","e"),"ì","i"),"ò","o"),"ù","u")),"")</f>
        <v/>
      </c>
      <c r="Y428" s="25">
        <f>IF(X428="","",IF(IFERROR(COUNTIF(X$3:X428,"="&amp;SUBSTITUTE(SUBSTITUTE(SUBSTITUTE(X428,"~","~~"),"*","~*"),"?","~?")),0)=1,1,""))</f>
        <v/>
      </c>
      <c r="Z428" s="25">
        <f>IF(T428=1,MAX(Z$2:Z427)+1,"")</f>
        <v/>
      </c>
    </row>
    <row r="429">
      <c r="A429">
        <f>IF(A$2=0,"",IFERROR(TRIM(INDEX('Pegar calibracion'!$A$1:$BZ$1001,428,A$2)&amp;""),""))</f>
        <v/>
      </c>
      <c r="B429">
        <f>IF(B$2=0,"",IFERROR(TRIM(INDEX('Pegar calibracion'!$A$1:$BZ$1001,428,B$2)&amp;""),""))</f>
        <v/>
      </c>
      <c r="C429">
        <f>IF(C$2=0,"",IFERROR(TRIM(INDEX('Pegar calibracion'!$A$1:$BZ$1001,428,C$2)&amp;""),""))</f>
        <v/>
      </c>
      <c r="D429">
        <f>IF(D$2=0,"",IFERROR(TRIM(INDEX('Pegar calibracion'!$A$1:$BZ$1001,428,D$2)&amp;""),""))</f>
        <v/>
      </c>
      <c r="E429">
        <f>IF(E$2=0,"",IFERROR(TRIM(INDEX('Pegar calibracion'!$A$1:$BZ$1001,428,E$2)&amp;""),""))</f>
        <v/>
      </c>
      <c r="F429">
        <f>IF(F$2=0,"",IFERROR(TRIM(INDEX('Pegar calibracion'!$A$1:$BZ$1001,428,F$2)&amp;""),""))</f>
        <v/>
      </c>
      <c r="G429">
        <f>IF(G$2=0,"",IFERROR(TRIM(INDEX('Pegar calibracion'!$A$1:$BZ$1001,428,G$2)&amp;""),""))</f>
        <v/>
      </c>
      <c r="H429">
        <f>IF(H$2=0,"",IFERROR(TRIM(INDEX('Pegar calibracion'!$A$1:$BZ$1001,428,H$2)&amp;""),""))</f>
        <v/>
      </c>
      <c r="I429">
        <f>IF(I$2=0,"",IFERROR(TRIM(INDEX('Pegar calibracion'!$A$1:$BZ$1001,428,I$2)&amp;""),""))</f>
        <v/>
      </c>
      <c r="J429">
        <f>IF(J$2=0,"",IFERROR(TRIM(INDEX('Pegar calibracion'!$A$1:$BZ$1001,428,J$2)&amp;""),""))</f>
        <v/>
      </c>
      <c r="K429">
        <f>IF(K$2=0,"",IFERROR(TRIM(INDEX('Pegar calibracion'!$A$1:$BZ$1001,428,K$2)&amp;""),""))</f>
        <v/>
      </c>
      <c r="L429">
        <f>IF(L$2=0,"",IFERROR(TRIM(INDEX('Pegar calibracion'!$A$1:$BZ$1001,428,L$2)&amp;""),""))</f>
        <v/>
      </c>
      <c r="M429" s="25">
        <f>IF(D429="","",SUBSTITUTE(SUBSTITUTE(SUBSTITUTE(SUBSTITUTE(SUBSTITUTE(SUBSTITUTE(SUBSTITUTE(SUBSTITUTE(SUBSTITUTE(SUBSTITUTE(SUBSTITUTE(SUBSTITUTE(LOWER(TRIM(D429)),"á","a"),"é","e"),"í","i"),"ó","o"),"ú","u"),"ü","u"),"ñ","n"),"à","a"),"è","e"),"ì","i"),"ò","o"),"ù","u"))</f>
        <v/>
      </c>
      <c r="N429" s="25">
        <f>IF(F429="","",SUBSTITUTE(SUBSTITUTE(SUBSTITUTE(SUBSTITUTE(SUBSTITUTE(SUBSTITUTE(SUBSTITUTE(SUBSTITUTE(SUBSTITUTE(SUBSTITUTE(SUBSTITUTE(SUBSTITUTE(LOWER(TRIM(F429)),"á","a"),"é","e"),"í","i"),"ó","o"),"ú","u"),"ü","u"),"ñ","n"),"à","a"),"è","e"),"ì","i"),"ò","o"),"ù","u"))</f>
        <v/>
      </c>
      <c r="O429" s="25">
        <f>IF(M429="confiable",2,IF(M429="dudosa",1,IF(M429="no confiable",0,"")))</f>
        <v/>
      </c>
      <c r="P429" s="25">
        <f>IF(N429="confiable",2,IF(N429="dudosa",1,IF(N429="no confiable",0,"")))</f>
        <v/>
      </c>
      <c r="Q429" s="25">
        <f>IF(AND(ISNUMBER(O429),ISNUMBER(P429)),1,"")</f>
        <v/>
      </c>
      <c r="R429" s="25">
        <f>IF(Q429=1,IF(O429=P429,"Sí","No"),"")</f>
        <v/>
      </c>
      <c r="S429" s="25">
        <f>IF(Q429=1,IF(P429&lt;O429,"Más estricto",IF(P429&gt;O429,"Más permisivo","Igual")),"")</f>
        <v/>
      </c>
      <c r="T429" s="25">
        <f>IF(Q429=1,IF(ABS(O429-P429)=2,1,0),"")</f>
        <v/>
      </c>
      <c r="U429" s="25">
        <f>IF(H429="","","|"&amp;SUBSTITUTE(SUBSTITUTE(TRIM(H429)," |","|"),"| ","|")&amp;"|")</f>
        <v/>
      </c>
      <c r="V429" s="25">
        <f>IF(AND(Q429=1,B429&lt;&gt;""),IF(IFERROR(COUNTIFS(B$3:B429,"="&amp;SUBSTITUTE(SUBSTITUTE(SUBSTITUTE(B429,"~","~~"),"*","~*"),"?","~?"),Q$3:Q429,1),0)=1,MAX(V$2:V428)+1,""),"")</f>
        <v/>
      </c>
      <c r="W429" s="25">
        <f>IF(V429="","",COUNTIFS($B$3:$B$1002,"="&amp;SUBSTITUTE(SUBSTITUTE(SUBSTITUTE(B429,"~","~~"),"*","~*"),"?","~?"),$Q$3:$Q$1002,1)*10000-V429)</f>
        <v/>
      </c>
      <c r="X429" s="25">
        <f>IF(Q429=1,IF(SUBSTITUTE(SUBSTITUTE(SUBSTITUTE(SUBSTITUTE(SUBSTITUTE(SUBSTITUTE(SUBSTITUTE(SUBSTITUTE(SUBSTITUTE(SUBSTITUTE(SUBSTITUTE(SUBSTITUTE(LOWER(TRIM(A429)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429)),"á","a"),"é","e"),"í","i"),"ó","o"),"ú","u"),"ü","u"),"ñ","n"),"à","a"),"è","e"),"ì","i"),"ò","o"),"ù","u")),"")</f>
        <v/>
      </c>
      <c r="Y429" s="25">
        <f>IF(X429="","",IF(IFERROR(COUNTIF(X$3:X429,"="&amp;SUBSTITUTE(SUBSTITUTE(SUBSTITUTE(X429,"~","~~"),"*","~*"),"?","~?")),0)=1,1,""))</f>
        <v/>
      </c>
      <c r="Z429" s="25">
        <f>IF(T429=1,MAX(Z$2:Z428)+1,"")</f>
        <v/>
      </c>
    </row>
    <row r="430">
      <c r="A430">
        <f>IF(A$2=0,"",IFERROR(TRIM(INDEX('Pegar calibracion'!$A$1:$BZ$1001,429,A$2)&amp;""),""))</f>
        <v/>
      </c>
      <c r="B430">
        <f>IF(B$2=0,"",IFERROR(TRIM(INDEX('Pegar calibracion'!$A$1:$BZ$1001,429,B$2)&amp;""),""))</f>
        <v/>
      </c>
      <c r="C430">
        <f>IF(C$2=0,"",IFERROR(TRIM(INDEX('Pegar calibracion'!$A$1:$BZ$1001,429,C$2)&amp;""),""))</f>
        <v/>
      </c>
      <c r="D430">
        <f>IF(D$2=0,"",IFERROR(TRIM(INDEX('Pegar calibracion'!$A$1:$BZ$1001,429,D$2)&amp;""),""))</f>
        <v/>
      </c>
      <c r="E430">
        <f>IF(E$2=0,"",IFERROR(TRIM(INDEX('Pegar calibracion'!$A$1:$BZ$1001,429,E$2)&amp;""),""))</f>
        <v/>
      </c>
      <c r="F430">
        <f>IF(F$2=0,"",IFERROR(TRIM(INDEX('Pegar calibracion'!$A$1:$BZ$1001,429,F$2)&amp;""),""))</f>
        <v/>
      </c>
      <c r="G430">
        <f>IF(G$2=0,"",IFERROR(TRIM(INDEX('Pegar calibracion'!$A$1:$BZ$1001,429,G$2)&amp;""),""))</f>
        <v/>
      </c>
      <c r="H430">
        <f>IF(H$2=0,"",IFERROR(TRIM(INDEX('Pegar calibracion'!$A$1:$BZ$1001,429,H$2)&amp;""),""))</f>
        <v/>
      </c>
      <c r="I430">
        <f>IF(I$2=0,"",IFERROR(TRIM(INDEX('Pegar calibracion'!$A$1:$BZ$1001,429,I$2)&amp;""),""))</f>
        <v/>
      </c>
      <c r="J430">
        <f>IF(J$2=0,"",IFERROR(TRIM(INDEX('Pegar calibracion'!$A$1:$BZ$1001,429,J$2)&amp;""),""))</f>
        <v/>
      </c>
      <c r="K430">
        <f>IF(K$2=0,"",IFERROR(TRIM(INDEX('Pegar calibracion'!$A$1:$BZ$1001,429,K$2)&amp;""),""))</f>
        <v/>
      </c>
      <c r="L430">
        <f>IF(L$2=0,"",IFERROR(TRIM(INDEX('Pegar calibracion'!$A$1:$BZ$1001,429,L$2)&amp;""),""))</f>
        <v/>
      </c>
      <c r="M430" s="25">
        <f>IF(D430="","",SUBSTITUTE(SUBSTITUTE(SUBSTITUTE(SUBSTITUTE(SUBSTITUTE(SUBSTITUTE(SUBSTITUTE(SUBSTITUTE(SUBSTITUTE(SUBSTITUTE(SUBSTITUTE(SUBSTITUTE(LOWER(TRIM(D430)),"á","a"),"é","e"),"í","i"),"ó","o"),"ú","u"),"ü","u"),"ñ","n"),"à","a"),"è","e"),"ì","i"),"ò","o"),"ù","u"))</f>
        <v/>
      </c>
      <c r="N430" s="25">
        <f>IF(F430="","",SUBSTITUTE(SUBSTITUTE(SUBSTITUTE(SUBSTITUTE(SUBSTITUTE(SUBSTITUTE(SUBSTITUTE(SUBSTITUTE(SUBSTITUTE(SUBSTITUTE(SUBSTITUTE(SUBSTITUTE(LOWER(TRIM(F430)),"á","a"),"é","e"),"í","i"),"ó","o"),"ú","u"),"ü","u"),"ñ","n"),"à","a"),"è","e"),"ì","i"),"ò","o"),"ù","u"))</f>
        <v/>
      </c>
      <c r="O430" s="25">
        <f>IF(M430="confiable",2,IF(M430="dudosa",1,IF(M430="no confiable",0,"")))</f>
        <v/>
      </c>
      <c r="P430" s="25">
        <f>IF(N430="confiable",2,IF(N430="dudosa",1,IF(N430="no confiable",0,"")))</f>
        <v/>
      </c>
      <c r="Q430" s="25">
        <f>IF(AND(ISNUMBER(O430),ISNUMBER(P430)),1,"")</f>
        <v/>
      </c>
      <c r="R430" s="25">
        <f>IF(Q430=1,IF(O430=P430,"Sí","No"),"")</f>
        <v/>
      </c>
      <c r="S430" s="25">
        <f>IF(Q430=1,IF(P430&lt;O430,"Más estricto",IF(P430&gt;O430,"Más permisivo","Igual")),"")</f>
        <v/>
      </c>
      <c r="T430" s="25">
        <f>IF(Q430=1,IF(ABS(O430-P430)=2,1,0),"")</f>
        <v/>
      </c>
      <c r="U430" s="25">
        <f>IF(H430="","","|"&amp;SUBSTITUTE(SUBSTITUTE(TRIM(H430)," |","|"),"| ","|")&amp;"|")</f>
        <v/>
      </c>
      <c r="V430" s="25">
        <f>IF(AND(Q430=1,B430&lt;&gt;""),IF(IFERROR(COUNTIFS(B$3:B430,"="&amp;SUBSTITUTE(SUBSTITUTE(SUBSTITUTE(B430,"~","~~"),"*","~*"),"?","~?"),Q$3:Q430,1),0)=1,MAX(V$2:V429)+1,""),"")</f>
        <v/>
      </c>
      <c r="W430" s="25">
        <f>IF(V430="","",COUNTIFS($B$3:$B$1002,"="&amp;SUBSTITUTE(SUBSTITUTE(SUBSTITUTE(B430,"~","~~"),"*","~*"),"?","~?"),$Q$3:$Q$1002,1)*10000-V430)</f>
        <v/>
      </c>
      <c r="X430" s="25">
        <f>IF(Q430=1,IF(SUBSTITUTE(SUBSTITUTE(SUBSTITUTE(SUBSTITUTE(SUBSTITUTE(SUBSTITUTE(SUBSTITUTE(SUBSTITUTE(SUBSTITUTE(SUBSTITUTE(SUBSTITUTE(SUBSTITUTE(LOWER(TRIM(A430)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430)),"á","a"),"é","e"),"í","i"),"ó","o"),"ú","u"),"ü","u"),"ñ","n"),"à","a"),"è","e"),"ì","i"),"ò","o"),"ù","u")),"")</f>
        <v/>
      </c>
      <c r="Y430" s="25">
        <f>IF(X430="","",IF(IFERROR(COUNTIF(X$3:X430,"="&amp;SUBSTITUTE(SUBSTITUTE(SUBSTITUTE(X430,"~","~~"),"*","~*"),"?","~?")),0)=1,1,""))</f>
        <v/>
      </c>
      <c r="Z430" s="25">
        <f>IF(T430=1,MAX(Z$2:Z429)+1,"")</f>
        <v/>
      </c>
    </row>
    <row r="431">
      <c r="A431">
        <f>IF(A$2=0,"",IFERROR(TRIM(INDEX('Pegar calibracion'!$A$1:$BZ$1001,430,A$2)&amp;""),""))</f>
        <v/>
      </c>
      <c r="B431">
        <f>IF(B$2=0,"",IFERROR(TRIM(INDEX('Pegar calibracion'!$A$1:$BZ$1001,430,B$2)&amp;""),""))</f>
        <v/>
      </c>
      <c r="C431">
        <f>IF(C$2=0,"",IFERROR(TRIM(INDEX('Pegar calibracion'!$A$1:$BZ$1001,430,C$2)&amp;""),""))</f>
        <v/>
      </c>
      <c r="D431">
        <f>IF(D$2=0,"",IFERROR(TRIM(INDEX('Pegar calibracion'!$A$1:$BZ$1001,430,D$2)&amp;""),""))</f>
        <v/>
      </c>
      <c r="E431">
        <f>IF(E$2=0,"",IFERROR(TRIM(INDEX('Pegar calibracion'!$A$1:$BZ$1001,430,E$2)&amp;""),""))</f>
        <v/>
      </c>
      <c r="F431">
        <f>IF(F$2=0,"",IFERROR(TRIM(INDEX('Pegar calibracion'!$A$1:$BZ$1001,430,F$2)&amp;""),""))</f>
        <v/>
      </c>
      <c r="G431">
        <f>IF(G$2=0,"",IFERROR(TRIM(INDEX('Pegar calibracion'!$A$1:$BZ$1001,430,G$2)&amp;""),""))</f>
        <v/>
      </c>
      <c r="H431">
        <f>IF(H$2=0,"",IFERROR(TRIM(INDEX('Pegar calibracion'!$A$1:$BZ$1001,430,H$2)&amp;""),""))</f>
        <v/>
      </c>
      <c r="I431">
        <f>IF(I$2=0,"",IFERROR(TRIM(INDEX('Pegar calibracion'!$A$1:$BZ$1001,430,I$2)&amp;""),""))</f>
        <v/>
      </c>
      <c r="J431">
        <f>IF(J$2=0,"",IFERROR(TRIM(INDEX('Pegar calibracion'!$A$1:$BZ$1001,430,J$2)&amp;""),""))</f>
        <v/>
      </c>
      <c r="K431">
        <f>IF(K$2=0,"",IFERROR(TRIM(INDEX('Pegar calibracion'!$A$1:$BZ$1001,430,K$2)&amp;""),""))</f>
        <v/>
      </c>
      <c r="L431">
        <f>IF(L$2=0,"",IFERROR(TRIM(INDEX('Pegar calibracion'!$A$1:$BZ$1001,430,L$2)&amp;""),""))</f>
        <v/>
      </c>
      <c r="M431" s="25">
        <f>IF(D431="","",SUBSTITUTE(SUBSTITUTE(SUBSTITUTE(SUBSTITUTE(SUBSTITUTE(SUBSTITUTE(SUBSTITUTE(SUBSTITUTE(SUBSTITUTE(SUBSTITUTE(SUBSTITUTE(SUBSTITUTE(LOWER(TRIM(D431)),"á","a"),"é","e"),"í","i"),"ó","o"),"ú","u"),"ü","u"),"ñ","n"),"à","a"),"è","e"),"ì","i"),"ò","o"),"ù","u"))</f>
        <v/>
      </c>
      <c r="N431" s="25">
        <f>IF(F431="","",SUBSTITUTE(SUBSTITUTE(SUBSTITUTE(SUBSTITUTE(SUBSTITUTE(SUBSTITUTE(SUBSTITUTE(SUBSTITUTE(SUBSTITUTE(SUBSTITUTE(SUBSTITUTE(SUBSTITUTE(LOWER(TRIM(F431)),"á","a"),"é","e"),"í","i"),"ó","o"),"ú","u"),"ü","u"),"ñ","n"),"à","a"),"è","e"),"ì","i"),"ò","o"),"ù","u"))</f>
        <v/>
      </c>
      <c r="O431" s="25">
        <f>IF(M431="confiable",2,IF(M431="dudosa",1,IF(M431="no confiable",0,"")))</f>
        <v/>
      </c>
      <c r="P431" s="25">
        <f>IF(N431="confiable",2,IF(N431="dudosa",1,IF(N431="no confiable",0,"")))</f>
        <v/>
      </c>
      <c r="Q431" s="25">
        <f>IF(AND(ISNUMBER(O431),ISNUMBER(P431)),1,"")</f>
        <v/>
      </c>
      <c r="R431" s="25">
        <f>IF(Q431=1,IF(O431=P431,"Sí","No"),"")</f>
        <v/>
      </c>
      <c r="S431" s="25">
        <f>IF(Q431=1,IF(P431&lt;O431,"Más estricto",IF(P431&gt;O431,"Más permisivo","Igual")),"")</f>
        <v/>
      </c>
      <c r="T431" s="25">
        <f>IF(Q431=1,IF(ABS(O431-P431)=2,1,0),"")</f>
        <v/>
      </c>
      <c r="U431" s="25">
        <f>IF(H431="","","|"&amp;SUBSTITUTE(SUBSTITUTE(TRIM(H431)," |","|"),"| ","|")&amp;"|")</f>
        <v/>
      </c>
      <c r="V431" s="25">
        <f>IF(AND(Q431=1,B431&lt;&gt;""),IF(IFERROR(COUNTIFS(B$3:B431,"="&amp;SUBSTITUTE(SUBSTITUTE(SUBSTITUTE(B431,"~","~~"),"*","~*"),"?","~?"),Q$3:Q431,1),0)=1,MAX(V$2:V430)+1,""),"")</f>
        <v/>
      </c>
      <c r="W431" s="25">
        <f>IF(V431="","",COUNTIFS($B$3:$B$1002,"="&amp;SUBSTITUTE(SUBSTITUTE(SUBSTITUTE(B431,"~","~~"),"*","~*"),"?","~?"),$Q$3:$Q$1002,1)*10000-V431)</f>
        <v/>
      </c>
      <c r="X431" s="25">
        <f>IF(Q431=1,IF(SUBSTITUTE(SUBSTITUTE(SUBSTITUTE(SUBSTITUTE(SUBSTITUTE(SUBSTITUTE(SUBSTITUTE(SUBSTITUTE(SUBSTITUTE(SUBSTITUTE(SUBSTITUTE(SUBSTITUTE(LOWER(TRIM(A431)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431)),"á","a"),"é","e"),"í","i"),"ó","o"),"ú","u"),"ü","u"),"ñ","n"),"à","a"),"è","e"),"ì","i"),"ò","o"),"ù","u")),"")</f>
        <v/>
      </c>
      <c r="Y431" s="25">
        <f>IF(X431="","",IF(IFERROR(COUNTIF(X$3:X431,"="&amp;SUBSTITUTE(SUBSTITUTE(SUBSTITUTE(X431,"~","~~"),"*","~*"),"?","~?")),0)=1,1,""))</f>
        <v/>
      </c>
      <c r="Z431" s="25">
        <f>IF(T431=1,MAX(Z$2:Z430)+1,"")</f>
        <v/>
      </c>
    </row>
    <row r="432">
      <c r="A432">
        <f>IF(A$2=0,"",IFERROR(TRIM(INDEX('Pegar calibracion'!$A$1:$BZ$1001,431,A$2)&amp;""),""))</f>
        <v/>
      </c>
      <c r="B432">
        <f>IF(B$2=0,"",IFERROR(TRIM(INDEX('Pegar calibracion'!$A$1:$BZ$1001,431,B$2)&amp;""),""))</f>
        <v/>
      </c>
      <c r="C432">
        <f>IF(C$2=0,"",IFERROR(TRIM(INDEX('Pegar calibracion'!$A$1:$BZ$1001,431,C$2)&amp;""),""))</f>
        <v/>
      </c>
      <c r="D432">
        <f>IF(D$2=0,"",IFERROR(TRIM(INDEX('Pegar calibracion'!$A$1:$BZ$1001,431,D$2)&amp;""),""))</f>
        <v/>
      </c>
      <c r="E432">
        <f>IF(E$2=0,"",IFERROR(TRIM(INDEX('Pegar calibracion'!$A$1:$BZ$1001,431,E$2)&amp;""),""))</f>
        <v/>
      </c>
      <c r="F432">
        <f>IF(F$2=0,"",IFERROR(TRIM(INDEX('Pegar calibracion'!$A$1:$BZ$1001,431,F$2)&amp;""),""))</f>
        <v/>
      </c>
      <c r="G432">
        <f>IF(G$2=0,"",IFERROR(TRIM(INDEX('Pegar calibracion'!$A$1:$BZ$1001,431,G$2)&amp;""),""))</f>
        <v/>
      </c>
      <c r="H432">
        <f>IF(H$2=0,"",IFERROR(TRIM(INDEX('Pegar calibracion'!$A$1:$BZ$1001,431,H$2)&amp;""),""))</f>
        <v/>
      </c>
      <c r="I432">
        <f>IF(I$2=0,"",IFERROR(TRIM(INDEX('Pegar calibracion'!$A$1:$BZ$1001,431,I$2)&amp;""),""))</f>
        <v/>
      </c>
      <c r="J432">
        <f>IF(J$2=0,"",IFERROR(TRIM(INDEX('Pegar calibracion'!$A$1:$BZ$1001,431,J$2)&amp;""),""))</f>
        <v/>
      </c>
      <c r="K432">
        <f>IF(K$2=0,"",IFERROR(TRIM(INDEX('Pegar calibracion'!$A$1:$BZ$1001,431,K$2)&amp;""),""))</f>
        <v/>
      </c>
      <c r="L432">
        <f>IF(L$2=0,"",IFERROR(TRIM(INDEX('Pegar calibracion'!$A$1:$BZ$1001,431,L$2)&amp;""),""))</f>
        <v/>
      </c>
      <c r="M432" s="25">
        <f>IF(D432="","",SUBSTITUTE(SUBSTITUTE(SUBSTITUTE(SUBSTITUTE(SUBSTITUTE(SUBSTITUTE(SUBSTITUTE(SUBSTITUTE(SUBSTITUTE(SUBSTITUTE(SUBSTITUTE(SUBSTITUTE(LOWER(TRIM(D432)),"á","a"),"é","e"),"í","i"),"ó","o"),"ú","u"),"ü","u"),"ñ","n"),"à","a"),"è","e"),"ì","i"),"ò","o"),"ù","u"))</f>
        <v/>
      </c>
      <c r="N432" s="25">
        <f>IF(F432="","",SUBSTITUTE(SUBSTITUTE(SUBSTITUTE(SUBSTITUTE(SUBSTITUTE(SUBSTITUTE(SUBSTITUTE(SUBSTITUTE(SUBSTITUTE(SUBSTITUTE(SUBSTITUTE(SUBSTITUTE(LOWER(TRIM(F432)),"á","a"),"é","e"),"í","i"),"ó","o"),"ú","u"),"ü","u"),"ñ","n"),"à","a"),"è","e"),"ì","i"),"ò","o"),"ù","u"))</f>
        <v/>
      </c>
      <c r="O432" s="25">
        <f>IF(M432="confiable",2,IF(M432="dudosa",1,IF(M432="no confiable",0,"")))</f>
        <v/>
      </c>
      <c r="P432" s="25">
        <f>IF(N432="confiable",2,IF(N432="dudosa",1,IF(N432="no confiable",0,"")))</f>
        <v/>
      </c>
      <c r="Q432" s="25">
        <f>IF(AND(ISNUMBER(O432),ISNUMBER(P432)),1,"")</f>
        <v/>
      </c>
      <c r="R432" s="25">
        <f>IF(Q432=1,IF(O432=P432,"Sí","No"),"")</f>
        <v/>
      </c>
      <c r="S432" s="25">
        <f>IF(Q432=1,IF(P432&lt;O432,"Más estricto",IF(P432&gt;O432,"Más permisivo","Igual")),"")</f>
        <v/>
      </c>
      <c r="T432" s="25">
        <f>IF(Q432=1,IF(ABS(O432-P432)=2,1,0),"")</f>
        <v/>
      </c>
      <c r="U432" s="25">
        <f>IF(H432="","","|"&amp;SUBSTITUTE(SUBSTITUTE(TRIM(H432)," |","|"),"| ","|")&amp;"|")</f>
        <v/>
      </c>
      <c r="V432" s="25">
        <f>IF(AND(Q432=1,B432&lt;&gt;""),IF(IFERROR(COUNTIFS(B$3:B432,"="&amp;SUBSTITUTE(SUBSTITUTE(SUBSTITUTE(B432,"~","~~"),"*","~*"),"?","~?"),Q$3:Q432,1),0)=1,MAX(V$2:V431)+1,""),"")</f>
        <v/>
      </c>
      <c r="W432" s="25">
        <f>IF(V432="","",COUNTIFS($B$3:$B$1002,"="&amp;SUBSTITUTE(SUBSTITUTE(SUBSTITUTE(B432,"~","~~"),"*","~*"),"?","~?"),$Q$3:$Q$1002,1)*10000-V432)</f>
        <v/>
      </c>
      <c r="X432" s="25">
        <f>IF(Q432=1,IF(SUBSTITUTE(SUBSTITUTE(SUBSTITUTE(SUBSTITUTE(SUBSTITUTE(SUBSTITUTE(SUBSTITUTE(SUBSTITUTE(SUBSTITUTE(SUBSTITUTE(SUBSTITUTE(SUBSTITUTE(LOWER(TRIM(A432)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432)),"á","a"),"é","e"),"í","i"),"ó","o"),"ú","u"),"ü","u"),"ñ","n"),"à","a"),"è","e"),"ì","i"),"ò","o"),"ù","u")),"")</f>
        <v/>
      </c>
      <c r="Y432" s="25">
        <f>IF(X432="","",IF(IFERROR(COUNTIF(X$3:X432,"="&amp;SUBSTITUTE(SUBSTITUTE(SUBSTITUTE(X432,"~","~~"),"*","~*"),"?","~?")),0)=1,1,""))</f>
        <v/>
      </c>
      <c r="Z432" s="25">
        <f>IF(T432=1,MAX(Z$2:Z431)+1,"")</f>
        <v/>
      </c>
    </row>
    <row r="433">
      <c r="A433">
        <f>IF(A$2=0,"",IFERROR(TRIM(INDEX('Pegar calibracion'!$A$1:$BZ$1001,432,A$2)&amp;""),""))</f>
        <v/>
      </c>
      <c r="B433">
        <f>IF(B$2=0,"",IFERROR(TRIM(INDEX('Pegar calibracion'!$A$1:$BZ$1001,432,B$2)&amp;""),""))</f>
        <v/>
      </c>
      <c r="C433">
        <f>IF(C$2=0,"",IFERROR(TRIM(INDEX('Pegar calibracion'!$A$1:$BZ$1001,432,C$2)&amp;""),""))</f>
        <v/>
      </c>
      <c r="D433">
        <f>IF(D$2=0,"",IFERROR(TRIM(INDEX('Pegar calibracion'!$A$1:$BZ$1001,432,D$2)&amp;""),""))</f>
        <v/>
      </c>
      <c r="E433">
        <f>IF(E$2=0,"",IFERROR(TRIM(INDEX('Pegar calibracion'!$A$1:$BZ$1001,432,E$2)&amp;""),""))</f>
        <v/>
      </c>
      <c r="F433">
        <f>IF(F$2=0,"",IFERROR(TRIM(INDEX('Pegar calibracion'!$A$1:$BZ$1001,432,F$2)&amp;""),""))</f>
        <v/>
      </c>
      <c r="G433">
        <f>IF(G$2=0,"",IFERROR(TRIM(INDEX('Pegar calibracion'!$A$1:$BZ$1001,432,G$2)&amp;""),""))</f>
        <v/>
      </c>
      <c r="H433">
        <f>IF(H$2=0,"",IFERROR(TRIM(INDEX('Pegar calibracion'!$A$1:$BZ$1001,432,H$2)&amp;""),""))</f>
        <v/>
      </c>
      <c r="I433">
        <f>IF(I$2=0,"",IFERROR(TRIM(INDEX('Pegar calibracion'!$A$1:$BZ$1001,432,I$2)&amp;""),""))</f>
        <v/>
      </c>
      <c r="J433">
        <f>IF(J$2=0,"",IFERROR(TRIM(INDEX('Pegar calibracion'!$A$1:$BZ$1001,432,J$2)&amp;""),""))</f>
        <v/>
      </c>
      <c r="K433">
        <f>IF(K$2=0,"",IFERROR(TRIM(INDEX('Pegar calibracion'!$A$1:$BZ$1001,432,K$2)&amp;""),""))</f>
        <v/>
      </c>
      <c r="L433">
        <f>IF(L$2=0,"",IFERROR(TRIM(INDEX('Pegar calibracion'!$A$1:$BZ$1001,432,L$2)&amp;""),""))</f>
        <v/>
      </c>
      <c r="M433" s="25">
        <f>IF(D433="","",SUBSTITUTE(SUBSTITUTE(SUBSTITUTE(SUBSTITUTE(SUBSTITUTE(SUBSTITUTE(SUBSTITUTE(SUBSTITUTE(SUBSTITUTE(SUBSTITUTE(SUBSTITUTE(SUBSTITUTE(LOWER(TRIM(D433)),"á","a"),"é","e"),"í","i"),"ó","o"),"ú","u"),"ü","u"),"ñ","n"),"à","a"),"è","e"),"ì","i"),"ò","o"),"ù","u"))</f>
        <v/>
      </c>
      <c r="N433" s="25">
        <f>IF(F433="","",SUBSTITUTE(SUBSTITUTE(SUBSTITUTE(SUBSTITUTE(SUBSTITUTE(SUBSTITUTE(SUBSTITUTE(SUBSTITUTE(SUBSTITUTE(SUBSTITUTE(SUBSTITUTE(SUBSTITUTE(LOWER(TRIM(F433)),"á","a"),"é","e"),"í","i"),"ó","o"),"ú","u"),"ü","u"),"ñ","n"),"à","a"),"è","e"),"ì","i"),"ò","o"),"ù","u"))</f>
        <v/>
      </c>
      <c r="O433" s="25">
        <f>IF(M433="confiable",2,IF(M433="dudosa",1,IF(M433="no confiable",0,"")))</f>
        <v/>
      </c>
      <c r="P433" s="25">
        <f>IF(N433="confiable",2,IF(N433="dudosa",1,IF(N433="no confiable",0,"")))</f>
        <v/>
      </c>
      <c r="Q433" s="25">
        <f>IF(AND(ISNUMBER(O433),ISNUMBER(P433)),1,"")</f>
        <v/>
      </c>
      <c r="R433" s="25">
        <f>IF(Q433=1,IF(O433=P433,"Sí","No"),"")</f>
        <v/>
      </c>
      <c r="S433" s="25">
        <f>IF(Q433=1,IF(P433&lt;O433,"Más estricto",IF(P433&gt;O433,"Más permisivo","Igual")),"")</f>
        <v/>
      </c>
      <c r="T433" s="25">
        <f>IF(Q433=1,IF(ABS(O433-P433)=2,1,0),"")</f>
        <v/>
      </c>
      <c r="U433" s="25">
        <f>IF(H433="","","|"&amp;SUBSTITUTE(SUBSTITUTE(TRIM(H433)," |","|"),"| ","|")&amp;"|")</f>
        <v/>
      </c>
      <c r="V433" s="25">
        <f>IF(AND(Q433=1,B433&lt;&gt;""),IF(IFERROR(COUNTIFS(B$3:B433,"="&amp;SUBSTITUTE(SUBSTITUTE(SUBSTITUTE(B433,"~","~~"),"*","~*"),"?","~?"),Q$3:Q433,1),0)=1,MAX(V$2:V432)+1,""),"")</f>
        <v/>
      </c>
      <c r="W433" s="25">
        <f>IF(V433="","",COUNTIFS($B$3:$B$1002,"="&amp;SUBSTITUTE(SUBSTITUTE(SUBSTITUTE(B433,"~","~~"),"*","~*"),"?","~?"),$Q$3:$Q$1002,1)*10000-V433)</f>
        <v/>
      </c>
      <c r="X433" s="25">
        <f>IF(Q433=1,IF(SUBSTITUTE(SUBSTITUTE(SUBSTITUTE(SUBSTITUTE(SUBSTITUTE(SUBSTITUTE(SUBSTITUTE(SUBSTITUTE(SUBSTITUTE(SUBSTITUTE(SUBSTITUTE(SUBSTITUTE(LOWER(TRIM(A433)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433)),"á","a"),"é","e"),"í","i"),"ó","o"),"ú","u"),"ü","u"),"ñ","n"),"à","a"),"è","e"),"ì","i"),"ò","o"),"ù","u")),"")</f>
        <v/>
      </c>
      <c r="Y433" s="25">
        <f>IF(X433="","",IF(IFERROR(COUNTIF(X$3:X433,"="&amp;SUBSTITUTE(SUBSTITUTE(SUBSTITUTE(X433,"~","~~"),"*","~*"),"?","~?")),0)=1,1,""))</f>
        <v/>
      </c>
      <c r="Z433" s="25">
        <f>IF(T433=1,MAX(Z$2:Z432)+1,"")</f>
        <v/>
      </c>
    </row>
    <row r="434">
      <c r="A434">
        <f>IF(A$2=0,"",IFERROR(TRIM(INDEX('Pegar calibracion'!$A$1:$BZ$1001,433,A$2)&amp;""),""))</f>
        <v/>
      </c>
      <c r="B434">
        <f>IF(B$2=0,"",IFERROR(TRIM(INDEX('Pegar calibracion'!$A$1:$BZ$1001,433,B$2)&amp;""),""))</f>
        <v/>
      </c>
      <c r="C434">
        <f>IF(C$2=0,"",IFERROR(TRIM(INDEX('Pegar calibracion'!$A$1:$BZ$1001,433,C$2)&amp;""),""))</f>
        <v/>
      </c>
      <c r="D434">
        <f>IF(D$2=0,"",IFERROR(TRIM(INDEX('Pegar calibracion'!$A$1:$BZ$1001,433,D$2)&amp;""),""))</f>
        <v/>
      </c>
      <c r="E434">
        <f>IF(E$2=0,"",IFERROR(TRIM(INDEX('Pegar calibracion'!$A$1:$BZ$1001,433,E$2)&amp;""),""))</f>
        <v/>
      </c>
      <c r="F434">
        <f>IF(F$2=0,"",IFERROR(TRIM(INDEX('Pegar calibracion'!$A$1:$BZ$1001,433,F$2)&amp;""),""))</f>
        <v/>
      </c>
      <c r="G434">
        <f>IF(G$2=0,"",IFERROR(TRIM(INDEX('Pegar calibracion'!$A$1:$BZ$1001,433,G$2)&amp;""),""))</f>
        <v/>
      </c>
      <c r="H434">
        <f>IF(H$2=0,"",IFERROR(TRIM(INDEX('Pegar calibracion'!$A$1:$BZ$1001,433,H$2)&amp;""),""))</f>
        <v/>
      </c>
      <c r="I434">
        <f>IF(I$2=0,"",IFERROR(TRIM(INDEX('Pegar calibracion'!$A$1:$BZ$1001,433,I$2)&amp;""),""))</f>
        <v/>
      </c>
      <c r="J434">
        <f>IF(J$2=0,"",IFERROR(TRIM(INDEX('Pegar calibracion'!$A$1:$BZ$1001,433,J$2)&amp;""),""))</f>
        <v/>
      </c>
      <c r="K434">
        <f>IF(K$2=0,"",IFERROR(TRIM(INDEX('Pegar calibracion'!$A$1:$BZ$1001,433,K$2)&amp;""),""))</f>
        <v/>
      </c>
      <c r="L434">
        <f>IF(L$2=0,"",IFERROR(TRIM(INDEX('Pegar calibracion'!$A$1:$BZ$1001,433,L$2)&amp;""),""))</f>
        <v/>
      </c>
      <c r="M434" s="25">
        <f>IF(D434="","",SUBSTITUTE(SUBSTITUTE(SUBSTITUTE(SUBSTITUTE(SUBSTITUTE(SUBSTITUTE(SUBSTITUTE(SUBSTITUTE(SUBSTITUTE(SUBSTITUTE(SUBSTITUTE(SUBSTITUTE(LOWER(TRIM(D434)),"á","a"),"é","e"),"í","i"),"ó","o"),"ú","u"),"ü","u"),"ñ","n"),"à","a"),"è","e"),"ì","i"),"ò","o"),"ù","u"))</f>
        <v/>
      </c>
      <c r="N434" s="25">
        <f>IF(F434="","",SUBSTITUTE(SUBSTITUTE(SUBSTITUTE(SUBSTITUTE(SUBSTITUTE(SUBSTITUTE(SUBSTITUTE(SUBSTITUTE(SUBSTITUTE(SUBSTITUTE(SUBSTITUTE(SUBSTITUTE(LOWER(TRIM(F434)),"á","a"),"é","e"),"í","i"),"ó","o"),"ú","u"),"ü","u"),"ñ","n"),"à","a"),"è","e"),"ì","i"),"ò","o"),"ù","u"))</f>
        <v/>
      </c>
      <c r="O434" s="25">
        <f>IF(M434="confiable",2,IF(M434="dudosa",1,IF(M434="no confiable",0,"")))</f>
        <v/>
      </c>
      <c r="P434" s="25">
        <f>IF(N434="confiable",2,IF(N434="dudosa",1,IF(N434="no confiable",0,"")))</f>
        <v/>
      </c>
      <c r="Q434" s="25">
        <f>IF(AND(ISNUMBER(O434),ISNUMBER(P434)),1,"")</f>
        <v/>
      </c>
      <c r="R434" s="25">
        <f>IF(Q434=1,IF(O434=P434,"Sí","No"),"")</f>
        <v/>
      </c>
      <c r="S434" s="25">
        <f>IF(Q434=1,IF(P434&lt;O434,"Más estricto",IF(P434&gt;O434,"Más permisivo","Igual")),"")</f>
        <v/>
      </c>
      <c r="T434" s="25">
        <f>IF(Q434=1,IF(ABS(O434-P434)=2,1,0),"")</f>
        <v/>
      </c>
      <c r="U434" s="25">
        <f>IF(H434="","","|"&amp;SUBSTITUTE(SUBSTITUTE(TRIM(H434)," |","|"),"| ","|")&amp;"|")</f>
        <v/>
      </c>
      <c r="V434" s="25">
        <f>IF(AND(Q434=1,B434&lt;&gt;""),IF(IFERROR(COUNTIFS(B$3:B434,"="&amp;SUBSTITUTE(SUBSTITUTE(SUBSTITUTE(B434,"~","~~"),"*","~*"),"?","~?"),Q$3:Q434,1),0)=1,MAX(V$2:V433)+1,""),"")</f>
        <v/>
      </c>
      <c r="W434" s="25">
        <f>IF(V434="","",COUNTIFS($B$3:$B$1002,"="&amp;SUBSTITUTE(SUBSTITUTE(SUBSTITUTE(B434,"~","~~"),"*","~*"),"?","~?"),$Q$3:$Q$1002,1)*10000-V434)</f>
        <v/>
      </c>
      <c r="X434" s="25">
        <f>IF(Q434=1,IF(SUBSTITUTE(SUBSTITUTE(SUBSTITUTE(SUBSTITUTE(SUBSTITUTE(SUBSTITUTE(SUBSTITUTE(SUBSTITUTE(SUBSTITUTE(SUBSTITUTE(SUBSTITUTE(SUBSTITUTE(LOWER(TRIM(A434)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434)),"á","a"),"é","e"),"í","i"),"ó","o"),"ú","u"),"ü","u"),"ñ","n"),"à","a"),"è","e"),"ì","i"),"ò","o"),"ù","u")),"")</f>
        <v/>
      </c>
      <c r="Y434" s="25">
        <f>IF(X434="","",IF(IFERROR(COUNTIF(X$3:X434,"="&amp;SUBSTITUTE(SUBSTITUTE(SUBSTITUTE(X434,"~","~~"),"*","~*"),"?","~?")),0)=1,1,""))</f>
        <v/>
      </c>
      <c r="Z434" s="25">
        <f>IF(T434=1,MAX(Z$2:Z433)+1,"")</f>
        <v/>
      </c>
    </row>
    <row r="435">
      <c r="A435">
        <f>IF(A$2=0,"",IFERROR(TRIM(INDEX('Pegar calibracion'!$A$1:$BZ$1001,434,A$2)&amp;""),""))</f>
        <v/>
      </c>
      <c r="B435">
        <f>IF(B$2=0,"",IFERROR(TRIM(INDEX('Pegar calibracion'!$A$1:$BZ$1001,434,B$2)&amp;""),""))</f>
        <v/>
      </c>
      <c r="C435">
        <f>IF(C$2=0,"",IFERROR(TRIM(INDEX('Pegar calibracion'!$A$1:$BZ$1001,434,C$2)&amp;""),""))</f>
        <v/>
      </c>
      <c r="D435">
        <f>IF(D$2=0,"",IFERROR(TRIM(INDEX('Pegar calibracion'!$A$1:$BZ$1001,434,D$2)&amp;""),""))</f>
        <v/>
      </c>
      <c r="E435">
        <f>IF(E$2=0,"",IFERROR(TRIM(INDEX('Pegar calibracion'!$A$1:$BZ$1001,434,E$2)&amp;""),""))</f>
        <v/>
      </c>
      <c r="F435">
        <f>IF(F$2=0,"",IFERROR(TRIM(INDEX('Pegar calibracion'!$A$1:$BZ$1001,434,F$2)&amp;""),""))</f>
        <v/>
      </c>
      <c r="G435">
        <f>IF(G$2=0,"",IFERROR(TRIM(INDEX('Pegar calibracion'!$A$1:$BZ$1001,434,G$2)&amp;""),""))</f>
        <v/>
      </c>
      <c r="H435">
        <f>IF(H$2=0,"",IFERROR(TRIM(INDEX('Pegar calibracion'!$A$1:$BZ$1001,434,H$2)&amp;""),""))</f>
        <v/>
      </c>
      <c r="I435">
        <f>IF(I$2=0,"",IFERROR(TRIM(INDEX('Pegar calibracion'!$A$1:$BZ$1001,434,I$2)&amp;""),""))</f>
        <v/>
      </c>
      <c r="J435">
        <f>IF(J$2=0,"",IFERROR(TRIM(INDEX('Pegar calibracion'!$A$1:$BZ$1001,434,J$2)&amp;""),""))</f>
        <v/>
      </c>
      <c r="K435">
        <f>IF(K$2=0,"",IFERROR(TRIM(INDEX('Pegar calibracion'!$A$1:$BZ$1001,434,K$2)&amp;""),""))</f>
        <v/>
      </c>
      <c r="L435">
        <f>IF(L$2=0,"",IFERROR(TRIM(INDEX('Pegar calibracion'!$A$1:$BZ$1001,434,L$2)&amp;""),""))</f>
        <v/>
      </c>
      <c r="M435" s="25">
        <f>IF(D435="","",SUBSTITUTE(SUBSTITUTE(SUBSTITUTE(SUBSTITUTE(SUBSTITUTE(SUBSTITUTE(SUBSTITUTE(SUBSTITUTE(SUBSTITUTE(SUBSTITUTE(SUBSTITUTE(SUBSTITUTE(LOWER(TRIM(D435)),"á","a"),"é","e"),"í","i"),"ó","o"),"ú","u"),"ü","u"),"ñ","n"),"à","a"),"è","e"),"ì","i"),"ò","o"),"ù","u"))</f>
        <v/>
      </c>
      <c r="N435" s="25">
        <f>IF(F435="","",SUBSTITUTE(SUBSTITUTE(SUBSTITUTE(SUBSTITUTE(SUBSTITUTE(SUBSTITUTE(SUBSTITUTE(SUBSTITUTE(SUBSTITUTE(SUBSTITUTE(SUBSTITUTE(SUBSTITUTE(LOWER(TRIM(F435)),"á","a"),"é","e"),"í","i"),"ó","o"),"ú","u"),"ü","u"),"ñ","n"),"à","a"),"è","e"),"ì","i"),"ò","o"),"ù","u"))</f>
        <v/>
      </c>
      <c r="O435" s="25">
        <f>IF(M435="confiable",2,IF(M435="dudosa",1,IF(M435="no confiable",0,"")))</f>
        <v/>
      </c>
      <c r="P435" s="25">
        <f>IF(N435="confiable",2,IF(N435="dudosa",1,IF(N435="no confiable",0,"")))</f>
        <v/>
      </c>
      <c r="Q435" s="25">
        <f>IF(AND(ISNUMBER(O435),ISNUMBER(P435)),1,"")</f>
        <v/>
      </c>
      <c r="R435" s="25">
        <f>IF(Q435=1,IF(O435=P435,"Sí","No"),"")</f>
        <v/>
      </c>
      <c r="S435" s="25">
        <f>IF(Q435=1,IF(P435&lt;O435,"Más estricto",IF(P435&gt;O435,"Más permisivo","Igual")),"")</f>
        <v/>
      </c>
      <c r="T435" s="25">
        <f>IF(Q435=1,IF(ABS(O435-P435)=2,1,0),"")</f>
        <v/>
      </c>
      <c r="U435" s="25">
        <f>IF(H435="","","|"&amp;SUBSTITUTE(SUBSTITUTE(TRIM(H435)," |","|"),"| ","|")&amp;"|")</f>
        <v/>
      </c>
      <c r="V435" s="25">
        <f>IF(AND(Q435=1,B435&lt;&gt;""),IF(IFERROR(COUNTIFS(B$3:B435,"="&amp;SUBSTITUTE(SUBSTITUTE(SUBSTITUTE(B435,"~","~~"),"*","~*"),"?","~?"),Q$3:Q435,1),0)=1,MAX(V$2:V434)+1,""),"")</f>
        <v/>
      </c>
      <c r="W435" s="25">
        <f>IF(V435="","",COUNTIFS($B$3:$B$1002,"="&amp;SUBSTITUTE(SUBSTITUTE(SUBSTITUTE(B435,"~","~~"),"*","~*"),"?","~?"),$Q$3:$Q$1002,1)*10000-V435)</f>
        <v/>
      </c>
      <c r="X435" s="25">
        <f>IF(Q435=1,IF(SUBSTITUTE(SUBSTITUTE(SUBSTITUTE(SUBSTITUTE(SUBSTITUTE(SUBSTITUTE(SUBSTITUTE(SUBSTITUTE(SUBSTITUTE(SUBSTITUTE(SUBSTITUTE(SUBSTITUTE(LOWER(TRIM(A435)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435)),"á","a"),"é","e"),"í","i"),"ó","o"),"ú","u"),"ü","u"),"ñ","n"),"à","a"),"è","e"),"ì","i"),"ò","o"),"ù","u")),"")</f>
        <v/>
      </c>
      <c r="Y435" s="25">
        <f>IF(X435="","",IF(IFERROR(COUNTIF(X$3:X435,"="&amp;SUBSTITUTE(SUBSTITUTE(SUBSTITUTE(X435,"~","~~"),"*","~*"),"?","~?")),0)=1,1,""))</f>
        <v/>
      </c>
      <c r="Z435" s="25">
        <f>IF(T435=1,MAX(Z$2:Z434)+1,"")</f>
        <v/>
      </c>
    </row>
    <row r="436">
      <c r="A436">
        <f>IF(A$2=0,"",IFERROR(TRIM(INDEX('Pegar calibracion'!$A$1:$BZ$1001,435,A$2)&amp;""),""))</f>
        <v/>
      </c>
      <c r="B436">
        <f>IF(B$2=0,"",IFERROR(TRIM(INDEX('Pegar calibracion'!$A$1:$BZ$1001,435,B$2)&amp;""),""))</f>
        <v/>
      </c>
      <c r="C436">
        <f>IF(C$2=0,"",IFERROR(TRIM(INDEX('Pegar calibracion'!$A$1:$BZ$1001,435,C$2)&amp;""),""))</f>
        <v/>
      </c>
      <c r="D436">
        <f>IF(D$2=0,"",IFERROR(TRIM(INDEX('Pegar calibracion'!$A$1:$BZ$1001,435,D$2)&amp;""),""))</f>
        <v/>
      </c>
      <c r="E436">
        <f>IF(E$2=0,"",IFERROR(TRIM(INDEX('Pegar calibracion'!$A$1:$BZ$1001,435,E$2)&amp;""),""))</f>
        <v/>
      </c>
      <c r="F436">
        <f>IF(F$2=0,"",IFERROR(TRIM(INDEX('Pegar calibracion'!$A$1:$BZ$1001,435,F$2)&amp;""),""))</f>
        <v/>
      </c>
      <c r="G436">
        <f>IF(G$2=0,"",IFERROR(TRIM(INDEX('Pegar calibracion'!$A$1:$BZ$1001,435,G$2)&amp;""),""))</f>
        <v/>
      </c>
      <c r="H436">
        <f>IF(H$2=0,"",IFERROR(TRIM(INDEX('Pegar calibracion'!$A$1:$BZ$1001,435,H$2)&amp;""),""))</f>
        <v/>
      </c>
      <c r="I436">
        <f>IF(I$2=0,"",IFERROR(TRIM(INDEX('Pegar calibracion'!$A$1:$BZ$1001,435,I$2)&amp;""),""))</f>
        <v/>
      </c>
      <c r="J436">
        <f>IF(J$2=0,"",IFERROR(TRIM(INDEX('Pegar calibracion'!$A$1:$BZ$1001,435,J$2)&amp;""),""))</f>
        <v/>
      </c>
      <c r="K436">
        <f>IF(K$2=0,"",IFERROR(TRIM(INDEX('Pegar calibracion'!$A$1:$BZ$1001,435,K$2)&amp;""),""))</f>
        <v/>
      </c>
      <c r="L436">
        <f>IF(L$2=0,"",IFERROR(TRIM(INDEX('Pegar calibracion'!$A$1:$BZ$1001,435,L$2)&amp;""),""))</f>
        <v/>
      </c>
      <c r="M436" s="25">
        <f>IF(D436="","",SUBSTITUTE(SUBSTITUTE(SUBSTITUTE(SUBSTITUTE(SUBSTITUTE(SUBSTITUTE(SUBSTITUTE(SUBSTITUTE(SUBSTITUTE(SUBSTITUTE(SUBSTITUTE(SUBSTITUTE(LOWER(TRIM(D436)),"á","a"),"é","e"),"í","i"),"ó","o"),"ú","u"),"ü","u"),"ñ","n"),"à","a"),"è","e"),"ì","i"),"ò","o"),"ù","u"))</f>
        <v/>
      </c>
      <c r="N436" s="25">
        <f>IF(F436="","",SUBSTITUTE(SUBSTITUTE(SUBSTITUTE(SUBSTITUTE(SUBSTITUTE(SUBSTITUTE(SUBSTITUTE(SUBSTITUTE(SUBSTITUTE(SUBSTITUTE(SUBSTITUTE(SUBSTITUTE(LOWER(TRIM(F436)),"á","a"),"é","e"),"í","i"),"ó","o"),"ú","u"),"ü","u"),"ñ","n"),"à","a"),"è","e"),"ì","i"),"ò","o"),"ù","u"))</f>
        <v/>
      </c>
      <c r="O436" s="25">
        <f>IF(M436="confiable",2,IF(M436="dudosa",1,IF(M436="no confiable",0,"")))</f>
        <v/>
      </c>
      <c r="P436" s="25">
        <f>IF(N436="confiable",2,IF(N436="dudosa",1,IF(N436="no confiable",0,"")))</f>
        <v/>
      </c>
      <c r="Q436" s="25">
        <f>IF(AND(ISNUMBER(O436),ISNUMBER(P436)),1,"")</f>
        <v/>
      </c>
      <c r="R436" s="25">
        <f>IF(Q436=1,IF(O436=P436,"Sí","No"),"")</f>
        <v/>
      </c>
      <c r="S436" s="25">
        <f>IF(Q436=1,IF(P436&lt;O436,"Más estricto",IF(P436&gt;O436,"Más permisivo","Igual")),"")</f>
        <v/>
      </c>
      <c r="T436" s="25">
        <f>IF(Q436=1,IF(ABS(O436-P436)=2,1,0),"")</f>
        <v/>
      </c>
      <c r="U436" s="25">
        <f>IF(H436="","","|"&amp;SUBSTITUTE(SUBSTITUTE(TRIM(H436)," |","|"),"| ","|")&amp;"|")</f>
        <v/>
      </c>
      <c r="V436" s="25">
        <f>IF(AND(Q436=1,B436&lt;&gt;""),IF(IFERROR(COUNTIFS(B$3:B436,"="&amp;SUBSTITUTE(SUBSTITUTE(SUBSTITUTE(B436,"~","~~"),"*","~*"),"?","~?"),Q$3:Q436,1),0)=1,MAX(V$2:V435)+1,""),"")</f>
        <v/>
      </c>
      <c r="W436" s="25">
        <f>IF(V436="","",COUNTIFS($B$3:$B$1002,"="&amp;SUBSTITUTE(SUBSTITUTE(SUBSTITUTE(B436,"~","~~"),"*","~*"),"?","~?"),$Q$3:$Q$1002,1)*10000-V436)</f>
        <v/>
      </c>
      <c r="X436" s="25">
        <f>IF(Q436=1,IF(SUBSTITUTE(SUBSTITUTE(SUBSTITUTE(SUBSTITUTE(SUBSTITUTE(SUBSTITUTE(SUBSTITUTE(SUBSTITUTE(SUBSTITUTE(SUBSTITUTE(SUBSTITUTE(SUBSTITUTE(LOWER(TRIM(A436)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436)),"á","a"),"é","e"),"í","i"),"ó","o"),"ú","u"),"ü","u"),"ñ","n"),"à","a"),"è","e"),"ì","i"),"ò","o"),"ù","u")),"")</f>
        <v/>
      </c>
      <c r="Y436" s="25">
        <f>IF(X436="","",IF(IFERROR(COUNTIF(X$3:X436,"="&amp;SUBSTITUTE(SUBSTITUTE(SUBSTITUTE(X436,"~","~~"),"*","~*"),"?","~?")),0)=1,1,""))</f>
        <v/>
      </c>
      <c r="Z436" s="25">
        <f>IF(T436=1,MAX(Z$2:Z435)+1,"")</f>
        <v/>
      </c>
    </row>
    <row r="437">
      <c r="A437">
        <f>IF(A$2=0,"",IFERROR(TRIM(INDEX('Pegar calibracion'!$A$1:$BZ$1001,436,A$2)&amp;""),""))</f>
        <v/>
      </c>
      <c r="B437">
        <f>IF(B$2=0,"",IFERROR(TRIM(INDEX('Pegar calibracion'!$A$1:$BZ$1001,436,B$2)&amp;""),""))</f>
        <v/>
      </c>
      <c r="C437">
        <f>IF(C$2=0,"",IFERROR(TRIM(INDEX('Pegar calibracion'!$A$1:$BZ$1001,436,C$2)&amp;""),""))</f>
        <v/>
      </c>
      <c r="D437">
        <f>IF(D$2=0,"",IFERROR(TRIM(INDEX('Pegar calibracion'!$A$1:$BZ$1001,436,D$2)&amp;""),""))</f>
        <v/>
      </c>
      <c r="E437">
        <f>IF(E$2=0,"",IFERROR(TRIM(INDEX('Pegar calibracion'!$A$1:$BZ$1001,436,E$2)&amp;""),""))</f>
        <v/>
      </c>
      <c r="F437">
        <f>IF(F$2=0,"",IFERROR(TRIM(INDEX('Pegar calibracion'!$A$1:$BZ$1001,436,F$2)&amp;""),""))</f>
        <v/>
      </c>
      <c r="G437">
        <f>IF(G$2=0,"",IFERROR(TRIM(INDEX('Pegar calibracion'!$A$1:$BZ$1001,436,G$2)&amp;""),""))</f>
        <v/>
      </c>
      <c r="H437">
        <f>IF(H$2=0,"",IFERROR(TRIM(INDEX('Pegar calibracion'!$A$1:$BZ$1001,436,H$2)&amp;""),""))</f>
        <v/>
      </c>
      <c r="I437">
        <f>IF(I$2=0,"",IFERROR(TRIM(INDEX('Pegar calibracion'!$A$1:$BZ$1001,436,I$2)&amp;""),""))</f>
        <v/>
      </c>
      <c r="J437">
        <f>IF(J$2=0,"",IFERROR(TRIM(INDEX('Pegar calibracion'!$A$1:$BZ$1001,436,J$2)&amp;""),""))</f>
        <v/>
      </c>
      <c r="K437">
        <f>IF(K$2=0,"",IFERROR(TRIM(INDEX('Pegar calibracion'!$A$1:$BZ$1001,436,K$2)&amp;""),""))</f>
        <v/>
      </c>
      <c r="L437">
        <f>IF(L$2=0,"",IFERROR(TRIM(INDEX('Pegar calibracion'!$A$1:$BZ$1001,436,L$2)&amp;""),""))</f>
        <v/>
      </c>
      <c r="M437" s="25">
        <f>IF(D437="","",SUBSTITUTE(SUBSTITUTE(SUBSTITUTE(SUBSTITUTE(SUBSTITUTE(SUBSTITUTE(SUBSTITUTE(SUBSTITUTE(SUBSTITUTE(SUBSTITUTE(SUBSTITUTE(SUBSTITUTE(LOWER(TRIM(D437)),"á","a"),"é","e"),"í","i"),"ó","o"),"ú","u"),"ü","u"),"ñ","n"),"à","a"),"è","e"),"ì","i"),"ò","o"),"ù","u"))</f>
        <v/>
      </c>
      <c r="N437" s="25">
        <f>IF(F437="","",SUBSTITUTE(SUBSTITUTE(SUBSTITUTE(SUBSTITUTE(SUBSTITUTE(SUBSTITUTE(SUBSTITUTE(SUBSTITUTE(SUBSTITUTE(SUBSTITUTE(SUBSTITUTE(SUBSTITUTE(LOWER(TRIM(F437)),"á","a"),"é","e"),"í","i"),"ó","o"),"ú","u"),"ü","u"),"ñ","n"),"à","a"),"è","e"),"ì","i"),"ò","o"),"ù","u"))</f>
        <v/>
      </c>
      <c r="O437" s="25">
        <f>IF(M437="confiable",2,IF(M437="dudosa",1,IF(M437="no confiable",0,"")))</f>
        <v/>
      </c>
      <c r="P437" s="25">
        <f>IF(N437="confiable",2,IF(N437="dudosa",1,IF(N437="no confiable",0,"")))</f>
        <v/>
      </c>
      <c r="Q437" s="25">
        <f>IF(AND(ISNUMBER(O437),ISNUMBER(P437)),1,"")</f>
        <v/>
      </c>
      <c r="R437" s="25">
        <f>IF(Q437=1,IF(O437=P437,"Sí","No"),"")</f>
        <v/>
      </c>
      <c r="S437" s="25">
        <f>IF(Q437=1,IF(P437&lt;O437,"Más estricto",IF(P437&gt;O437,"Más permisivo","Igual")),"")</f>
        <v/>
      </c>
      <c r="T437" s="25">
        <f>IF(Q437=1,IF(ABS(O437-P437)=2,1,0),"")</f>
        <v/>
      </c>
      <c r="U437" s="25">
        <f>IF(H437="","","|"&amp;SUBSTITUTE(SUBSTITUTE(TRIM(H437)," |","|"),"| ","|")&amp;"|")</f>
        <v/>
      </c>
      <c r="V437" s="25">
        <f>IF(AND(Q437=1,B437&lt;&gt;""),IF(IFERROR(COUNTIFS(B$3:B437,"="&amp;SUBSTITUTE(SUBSTITUTE(SUBSTITUTE(B437,"~","~~"),"*","~*"),"?","~?"),Q$3:Q437,1),0)=1,MAX(V$2:V436)+1,""),"")</f>
        <v/>
      </c>
      <c r="W437" s="25">
        <f>IF(V437="","",COUNTIFS($B$3:$B$1002,"="&amp;SUBSTITUTE(SUBSTITUTE(SUBSTITUTE(B437,"~","~~"),"*","~*"),"?","~?"),$Q$3:$Q$1002,1)*10000-V437)</f>
        <v/>
      </c>
      <c r="X437" s="25">
        <f>IF(Q437=1,IF(SUBSTITUTE(SUBSTITUTE(SUBSTITUTE(SUBSTITUTE(SUBSTITUTE(SUBSTITUTE(SUBSTITUTE(SUBSTITUTE(SUBSTITUTE(SUBSTITUTE(SUBSTITUTE(SUBSTITUTE(LOWER(TRIM(A437)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437)),"á","a"),"é","e"),"í","i"),"ó","o"),"ú","u"),"ü","u"),"ñ","n"),"à","a"),"è","e"),"ì","i"),"ò","o"),"ù","u")),"")</f>
        <v/>
      </c>
      <c r="Y437" s="25">
        <f>IF(X437="","",IF(IFERROR(COUNTIF(X$3:X437,"="&amp;SUBSTITUTE(SUBSTITUTE(SUBSTITUTE(X437,"~","~~"),"*","~*"),"?","~?")),0)=1,1,""))</f>
        <v/>
      </c>
      <c r="Z437" s="25">
        <f>IF(T437=1,MAX(Z$2:Z436)+1,"")</f>
        <v/>
      </c>
    </row>
    <row r="438">
      <c r="A438">
        <f>IF(A$2=0,"",IFERROR(TRIM(INDEX('Pegar calibracion'!$A$1:$BZ$1001,437,A$2)&amp;""),""))</f>
        <v/>
      </c>
      <c r="B438">
        <f>IF(B$2=0,"",IFERROR(TRIM(INDEX('Pegar calibracion'!$A$1:$BZ$1001,437,B$2)&amp;""),""))</f>
        <v/>
      </c>
      <c r="C438">
        <f>IF(C$2=0,"",IFERROR(TRIM(INDEX('Pegar calibracion'!$A$1:$BZ$1001,437,C$2)&amp;""),""))</f>
        <v/>
      </c>
      <c r="D438">
        <f>IF(D$2=0,"",IFERROR(TRIM(INDEX('Pegar calibracion'!$A$1:$BZ$1001,437,D$2)&amp;""),""))</f>
        <v/>
      </c>
      <c r="E438">
        <f>IF(E$2=0,"",IFERROR(TRIM(INDEX('Pegar calibracion'!$A$1:$BZ$1001,437,E$2)&amp;""),""))</f>
        <v/>
      </c>
      <c r="F438">
        <f>IF(F$2=0,"",IFERROR(TRIM(INDEX('Pegar calibracion'!$A$1:$BZ$1001,437,F$2)&amp;""),""))</f>
        <v/>
      </c>
      <c r="G438">
        <f>IF(G$2=0,"",IFERROR(TRIM(INDEX('Pegar calibracion'!$A$1:$BZ$1001,437,G$2)&amp;""),""))</f>
        <v/>
      </c>
      <c r="H438">
        <f>IF(H$2=0,"",IFERROR(TRIM(INDEX('Pegar calibracion'!$A$1:$BZ$1001,437,H$2)&amp;""),""))</f>
        <v/>
      </c>
      <c r="I438">
        <f>IF(I$2=0,"",IFERROR(TRIM(INDEX('Pegar calibracion'!$A$1:$BZ$1001,437,I$2)&amp;""),""))</f>
        <v/>
      </c>
      <c r="J438">
        <f>IF(J$2=0,"",IFERROR(TRIM(INDEX('Pegar calibracion'!$A$1:$BZ$1001,437,J$2)&amp;""),""))</f>
        <v/>
      </c>
      <c r="K438">
        <f>IF(K$2=0,"",IFERROR(TRIM(INDEX('Pegar calibracion'!$A$1:$BZ$1001,437,K$2)&amp;""),""))</f>
        <v/>
      </c>
      <c r="L438">
        <f>IF(L$2=0,"",IFERROR(TRIM(INDEX('Pegar calibracion'!$A$1:$BZ$1001,437,L$2)&amp;""),""))</f>
        <v/>
      </c>
      <c r="M438" s="25">
        <f>IF(D438="","",SUBSTITUTE(SUBSTITUTE(SUBSTITUTE(SUBSTITUTE(SUBSTITUTE(SUBSTITUTE(SUBSTITUTE(SUBSTITUTE(SUBSTITUTE(SUBSTITUTE(SUBSTITUTE(SUBSTITUTE(LOWER(TRIM(D438)),"á","a"),"é","e"),"í","i"),"ó","o"),"ú","u"),"ü","u"),"ñ","n"),"à","a"),"è","e"),"ì","i"),"ò","o"),"ù","u"))</f>
        <v/>
      </c>
      <c r="N438" s="25">
        <f>IF(F438="","",SUBSTITUTE(SUBSTITUTE(SUBSTITUTE(SUBSTITUTE(SUBSTITUTE(SUBSTITUTE(SUBSTITUTE(SUBSTITUTE(SUBSTITUTE(SUBSTITUTE(SUBSTITUTE(SUBSTITUTE(LOWER(TRIM(F438)),"á","a"),"é","e"),"í","i"),"ó","o"),"ú","u"),"ü","u"),"ñ","n"),"à","a"),"è","e"),"ì","i"),"ò","o"),"ù","u"))</f>
        <v/>
      </c>
      <c r="O438" s="25">
        <f>IF(M438="confiable",2,IF(M438="dudosa",1,IF(M438="no confiable",0,"")))</f>
        <v/>
      </c>
      <c r="P438" s="25">
        <f>IF(N438="confiable",2,IF(N438="dudosa",1,IF(N438="no confiable",0,"")))</f>
        <v/>
      </c>
      <c r="Q438" s="25">
        <f>IF(AND(ISNUMBER(O438),ISNUMBER(P438)),1,"")</f>
        <v/>
      </c>
      <c r="R438" s="25">
        <f>IF(Q438=1,IF(O438=P438,"Sí","No"),"")</f>
        <v/>
      </c>
      <c r="S438" s="25">
        <f>IF(Q438=1,IF(P438&lt;O438,"Más estricto",IF(P438&gt;O438,"Más permisivo","Igual")),"")</f>
        <v/>
      </c>
      <c r="T438" s="25">
        <f>IF(Q438=1,IF(ABS(O438-P438)=2,1,0),"")</f>
        <v/>
      </c>
      <c r="U438" s="25">
        <f>IF(H438="","","|"&amp;SUBSTITUTE(SUBSTITUTE(TRIM(H438)," |","|"),"| ","|")&amp;"|")</f>
        <v/>
      </c>
      <c r="V438" s="25">
        <f>IF(AND(Q438=1,B438&lt;&gt;""),IF(IFERROR(COUNTIFS(B$3:B438,"="&amp;SUBSTITUTE(SUBSTITUTE(SUBSTITUTE(B438,"~","~~"),"*","~*"),"?","~?"),Q$3:Q438,1),0)=1,MAX(V$2:V437)+1,""),"")</f>
        <v/>
      </c>
      <c r="W438" s="25">
        <f>IF(V438="","",COUNTIFS($B$3:$B$1002,"="&amp;SUBSTITUTE(SUBSTITUTE(SUBSTITUTE(B438,"~","~~"),"*","~*"),"?","~?"),$Q$3:$Q$1002,1)*10000-V438)</f>
        <v/>
      </c>
      <c r="X438" s="25">
        <f>IF(Q438=1,IF(SUBSTITUTE(SUBSTITUTE(SUBSTITUTE(SUBSTITUTE(SUBSTITUTE(SUBSTITUTE(SUBSTITUTE(SUBSTITUTE(SUBSTITUTE(SUBSTITUTE(SUBSTITUTE(SUBSTITUTE(LOWER(TRIM(A438)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438)),"á","a"),"é","e"),"í","i"),"ó","o"),"ú","u"),"ü","u"),"ñ","n"),"à","a"),"è","e"),"ì","i"),"ò","o"),"ù","u")),"")</f>
        <v/>
      </c>
      <c r="Y438" s="25">
        <f>IF(X438="","",IF(IFERROR(COUNTIF(X$3:X438,"="&amp;SUBSTITUTE(SUBSTITUTE(SUBSTITUTE(X438,"~","~~"),"*","~*"),"?","~?")),0)=1,1,""))</f>
        <v/>
      </c>
      <c r="Z438" s="25">
        <f>IF(T438=1,MAX(Z$2:Z437)+1,"")</f>
        <v/>
      </c>
    </row>
    <row r="439">
      <c r="A439">
        <f>IF(A$2=0,"",IFERROR(TRIM(INDEX('Pegar calibracion'!$A$1:$BZ$1001,438,A$2)&amp;""),""))</f>
        <v/>
      </c>
      <c r="B439">
        <f>IF(B$2=0,"",IFERROR(TRIM(INDEX('Pegar calibracion'!$A$1:$BZ$1001,438,B$2)&amp;""),""))</f>
        <v/>
      </c>
      <c r="C439">
        <f>IF(C$2=0,"",IFERROR(TRIM(INDEX('Pegar calibracion'!$A$1:$BZ$1001,438,C$2)&amp;""),""))</f>
        <v/>
      </c>
      <c r="D439">
        <f>IF(D$2=0,"",IFERROR(TRIM(INDEX('Pegar calibracion'!$A$1:$BZ$1001,438,D$2)&amp;""),""))</f>
        <v/>
      </c>
      <c r="E439">
        <f>IF(E$2=0,"",IFERROR(TRIM(INDEX('Pegar calibracion'!$A$1:$BZ$1001,438,E$2)&amp;""),""))</f>
        <v/>
      </c>
      <c r="F439">
        <f>IF(F$2=0,"",IFERROR(TRIM(INDEX('Pegar calibracion'!$A$1:$BZ$1001,438,F$2)&amp;""),""))</f>
        <v/>
      </c>
      <c r="G439">
        <f>IF(G$2=0,"",IFERROR(TRIM(INDEX('Pegar calibracion'!$A$1:$BZ$1001,438,G$2)&amp;""),""))</f>
        <v/>
      </c>
      <c r="H439">
        <f>IF(H$2=0,"",IFERROR(TRIM(INDEX('Pegar calibracion'!$A$1:$BZ$1001,438,H$2)&amp;""),""))</f>
        <v/>
      </c>
      <c r="I439">
        <f>IF(I$2=0,"",IFERROR(TRIM(INDEX('Pegar calibracion'!$A$1:$BZ$1001,438,I$2)&amp;""),""))</f>
        <v/>
      </c>
      <c r="J439">
        <f>IF(J$2=0,"",IFERROR(TRIM(INDEX('Pegar calibracion'!$A$1:$BZ$1001,438,J$2)&amp;""),""))</f>
        <v/>
      </c>
      <c r="K439">
        <f>IF(K$2=0,"",IFERROR(TRIM(INDEX('Pegar calibracion'!$A$1:$BZ$1001,438,K$2)&amp;""),""))</f>
        <v/>
      </c>
      <c r="L439">
        <f>IF(L$2=0,"",IFERROR(TRIM(INDEX('Pegar calibracion'!$A$1:$BZ$1001,438,L$2)&amp;""),""))</f>
        <v/>
      </c>
      <c r="M439" s="25">
        <f>IF(D439="","",SUBSTITUTE(SUBSTITUTE(SUBSTITUTE(SUBSTITUTE(SUBSTITUTE(SUBSTITUTE(SUBSTITUTE(SUBSTITUTE(SUBSTITUTE(SUBSTITUTE(SUBSTITUTE(SUBSTITUTE(LOWER(TRIM(D439)),"á","a"),"é","e"),"í","i"),"ó","o"),"ú","u"),"ü","u"),"ñ","n"),"à","a"),"è","e"),"ì","i"),"ò","o"),"ù","u"))</f>
        <v/>
      </c>
      <c r="N439" s="25">
        <f>IF(F439="","",SUBSTITUTE(SUBSTITUTE(SUBSTITUTE(SUBSTITUTE(SUBSTITUTE(SUBSTITUTE(SUBSTITUTE(SUBSTITUTE(SUBSTITUTE(SUBSTITUTE(SUBSTITUTE(SUBSTITUTE(LOWER(TRIM(F439)),"á","a"),"é","e"),"í","i"),"ó","o"),"ú","u"),"ü","u"),"ñ","n"),"à","a"),"è","e"),"ì","i"),"ò","o"),"ù","u"))</f>
        <v/>
      </c>
      <c r="O439" s="25">
        <f>IF(M439="confiable",2,IF(M439="dudosa",1,IF(M439="no confiable",0,"")))</f>
        <v/>
      </c>
      <c r="P439" s="25">
        <f>IF(N439="confiable",2,IF(N439="dudosa",1,IF(N439="no confiable",0,"")))</f>
        <v/>
      </c>
      <c r="Q439" s="25">
        <f>IF(AND(ISNUMBER(O439),ISNUMBER(P439)),1,"")</f>
        <v/>
      </c>
      <c r="R439" s="25">
        <f>IF(Q439=1,IF(O439=P439,"Sí","No"),"")</f>
        <v/>
      </c>
      <c r="S439" s="25">
        <f>IF(Q439=1,IF(P439&lt;O439,"Más estricto",IF(P439&gt;O439,"Más permisivo","Igual")),"")</f>
        <v/>
      </c>
      <c r="T439" s="25">
        <f>IF(Q439=1,IF(ABS(O439-P439)=2,1,0),"")</f>
        <v/>
      </c>
      <c r="U439" s="25">
        <f>IF(H439="","","|"&amp;SUBSTITUTE(SUBSTITUTE(TRIM(H439)," |","|"),"| ","|")&amp;"|")</f>
        <v/>
      </c>
      <c r="V439" s="25">
        <f>IF(AND(Q439=1,B439&lt;&gt;""),IF(IFERROR(COUNTIFS(B$3:B439,"="&amp;SUBSTITUTE(SUBSTITUTE(SUBSTITUTE(B439,"~","~~"),"*","~*"),"?","~?"),Q$3:Q439,1),0)=1,MAX(V$2:V438)+1,""),"")</f>
        <v/>
      </c>
      <c r="W439" s="25">
        <f>IF(V439="","",COUNTIFS($B$3:$B$1002,"="&amp;SUBSTITUTE(SUBSTITUTE(SUBSTITUTE(B439,"~","~~"),"*","~*"),"?","~?"),$Q$3:$Q$1002,1)*10000-V439)</f>
        <v/>
      </c>
      <c r="X439" s="25">
        <f>IF(Q439=1,IF(SUBSTITUTE(SUBSTITUTE(SUBSTITUTE(SUBSTITUTE(SUBSTITUTE(SUBSTITUTE(SUBSTITUTE(SUBSTITUTE(SUBSTITUTE(SUBSTITUTE(SUBSTITUTE(SUBSTITUTE(LOWER(TRIM(A439)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439)),"á","a"),"é","e"),"í","i"),"ó","o"),"ú","u"),"ü","u"),"ñ","n"),"à","a"),"è","e"),"ì","i"),"ò","o"),"ù","u")),"")</f>
        <v/>
      </c>
      <c r="Y439" s="25">
        <f>IF(X439="","",IF(IFERROR(COUNTIF(X$3:X439,"="&amp;SUBSTITUTE(SUBSTITUTE(SUBSTITUTE(X439,"~","~~"),"*","~*"),"?","~?")),0)=1,1,""))</f>
        <v/>
      </c>
      <c r="Z439" s="25">
        <f>IF(T439=1,MAX(Z$2:Z438)+1,"")</f>
        <v/>
      </c>
    </row>
    <row r="440">
      <c r="A440">
        <f>IF(A$2=0,"",IFERROR(TRIM(INDEX('Pegar calibracion'!$A$1:$BZ$1001,439,A$2)&amp;""),""))</f>
        <v/>
      </c>
      <c r="B440">
        <f>IF(B$2=0,"",IFERROR(TRIM(INDEX('Pegar calibracion'!$A$1:$BZ$1001,439,B$2)&amp;""),""))</f>
        <v/>
      </c>
      <c r="C440">
        <f>IF(C$2=0,"",IFERROR(TRIM(INDEX('Pegar calibracion'!$A$1:$BZ$1001,439,C$2)&amp;""),""))</f>
        <v/>
      </c>
      <c r="D440">
        <f>IF(D$2=0,"",IFERROR(TRIM(INDEX('Pegar calibracion'!$A$1:$BZ$1001,439,D$2)&amp;""),""))</f>
        <v/>
      </c>
      <c r="E440">
        <f>IF(E$2=0,"",IFERROR(TRIM(INDEX('Pegar calibracion'!$A$1:$BZ$1001,439,E$2)&amp;""),""))</f>
        <v/>
      </c>
      <c r="F440">
        <f>IF(F$2=0,"",IFERROR(TRIM(INDEX('Pegar calibracion'!$A$1:$BZ$1001,439,F$2)&amp;""),""))</f>
        <v/>
      </c>
      <c r="G440">
        <f>IF(G$2=0,"",IFERROR(TRIM(INDEX('Pegar calibracion'!$A$1:$BZ$1001,439,G$2)&amp;""),""))</f>
        <v/>
      </c>
      <c r="H440">
        <f>IF(H$2=0,"",IFERROR(TRIM(INDEX('Pegar calibracion'!$A$1:$BZ$1001,439,H$2)&amp;""),""))</f>
        <v/>
      </c>
      <c r="I440">
        <f>IF(I$2=0,"",IFERROR(TRIM(INDEX('Pegar calibracion'!$A$1:$BZ$1001,439,I$2)&amp;""),""))</f>
        <v/>
      </c>
      <c r="J440">
        <f>IF(J$2=0,"",IFERROR(TRIM(INDEX('Pegar calibracion'!$A$1:$BZ$1001,439,J$2)&amp;""),""))</f>
        <v/>
      </c>
      <c r="K440">
        <f>IF(K$2=0,"",IFERROR(TRIM(INDEX('Pegar calibracion'!$A$1:$BZ$1001,439,K$2)&amp;""),""))</f>
        <v/>
      </c>
      <c r="L440">
        <f>IF(L$2=0,"",IFERROR(TRIM(INDEX('Pegar calibracion'!$A$1:$BZ$1001,439,L$2)&amp;""),""))</f>
        <v/>
      </c>
      <c r="M440" s="25">
        <f>IF(D440="","",SUBSTITUTE(SUBSTITUTE(SUBSTITUTE(SUBSTITUTE(SUBSTITUTE(SUBSTITUTE(SUBSTITUTE(SUBSTITUTE(SUBSTITUTE(SUBSTITUTE(SUBSTITUTE(SUBSTITUTE(LOWER(TRIM(D440)),"á","a"),"é","e"),"í","i"),"ó","o"),"ú","u"),"ü","u"),"ñ","n"),"à","a"),"è","e"),"ì","i"),"ò","o"),"ù","u"))</f>
        <v/>
      </c>
      <c r="N440" s="25">
        <f>IF(F440="","",SUBSTITUTE(SUBSTITUTE(SUBSTITUTE(SUBSTITUTE(SUBSTITUTE(SUBSTITUTE(SUBSTITUTE(SUBSTITUTE(SUBSTITUTE(SUBSTITUTE(SUBSTITUTE(SUBSTITUTE(LOWER(TRIM(F440)),"á","a"),"é","e"),"í","i"),"ó","o"),"ú","u"),"ü","u"),"ñ","n"),"à","a"),"è","e"),"ì","i"),"ò","o"),"ù","u"))</f>
        <v/>
      </c>
      <c r="O440" s="25">
        <f>IF(M440="confiable",2,IF(M440="dudosa",1,IF(M440="no confiable",0,"")))</f>
        <v/>
      </c>
      <c r="P440" s="25">
        <f>IF(N440="confiable",2,IF(N440="dudosa",1,IF(N440="no confiable",0,"")))</f>
        <v/>
      </c>
      <c r="Q440" s="25">
        <f>IF(AND(ISNUMBER(O440),ISNUMBER(P440)),1,"")</f>
        <v/>
      </c>
      <c r="R440" s="25">
        <f>IF(Q440=1,IF(O440=P440,"Sí","No"),"")</f>
        <v/>
      </c>
      <c r="S440" s="25">
        <f>IF(Q440=1,IF(P440&lt;O440,"Más estricto",IF(P440&gt;O440,"Más permisivo","Igual")),"")</f>
        <v/>
      </c>
      <c r="T440" s="25">
        <f>IF(Q440=1,IF(ABS(O440-P440)=2,1,0),"")</f>
        <v/>
      </c>
      <c r="U440" s="25">
        <f>IF(H440="","","|"&amp;SUBSTITUTE(SUBSTITUTE(TRIM(H440)," |","|"),"| ","|")&amp;"|")</f>
        <v/>
      </c>
      <c r="V440" s="25">
        <f>IF(AND(Q440=1,B440&lt;&gt;""),IF(IFERROR(COUNTIFS(B$3:B440,"="&amp;SUBSTITUTE(SUBSTITUTE(SUBSTITUTE(B440,"~","~~"),"*","~*"),"?","~?"),Q$3:Q440,1),0)=1,MAX(V$2:V439)+1,""),"")</f>
        <v/>
      </c>
      <c r="W440" s="25">
        <f>IF(V440="","",COUNTIFS($B$3:$B$1002,"="&amp;SUBSTITUTE(SUBSTITUTE(SUBSTITUTE(B440,"~","~~"),"*","~*"),"?","~?"),$Q$3:$Q$1002,1)*10000-V440)</f>
        <v/>
      </c>
      <c r="X440" s="25">
        <f>IF(Q440=1,IF(SUBSTITUTE(SUBSTITUTE(SUBSTITUTE(SUBSTITUTE(SUBSTITUTE(SUBSTITUTE(SUBSTITUTE(SUBSTITUTE(SUBSTITUTE(SUBSTITUTE(SUBSTITUTE(SUBSTITUTE(LOWER(TRIM(A440)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440)),"á","a"),"é","e"),"í","i"),"ó","o"),"ú","u"),"ü","u"),"ñ","n"),"à","a"),"è","e"),"ì","i"),"ò","o"),"ù","u")),"")</f>
        <v/>
      </c>
      <c r="Y440" s="25">
        <f>IF(X440="","",IF(IFERROR(COUNTIF(X$3:X440,"="&amp;SUBSTITUTE(SUBSTITUTE(SUBSTITUTE(X440,"~","~~"),"*","~*"),"?","~?")),0)=1,1,""))</f>
        <v/>
      </c>
      <c r="Z440" s="25">
        <f>IF(T440=1,MAX(Z$2:Z439)+1,"")</f>
        <v/>
      </c>
    </row>
    <row r="441">
      <c r="A441">
        <f>IF(A$2=0,"",IFERROR(TRIM(INDEX('Pegar calibracion'!$A$1:$BZ$1001,440,A$2)&amp;""),""))</f>
        <v/>
      </c>
      <c r="B441">
        <f>IF(B$2=0,"",IFERROR(TRIM(INDEX('Pegar calibracion'!$A$1:$BZ$1001,440,B$2)&amp;""),""))</f>
        <v/>
      </c>
      <c r="C441">
        <f>IF(C$2=0,"",IFERROR(TRIM(INDEX('Pegar calibracion'!$A$1:$BZ$1001,440,C$2)&amp;""),""))</f>
        <v/>
      </c>
      <c r="D441">
        <f>IF(D$2=0,"",IFERROR(TRIM(INDEX('Pegar calibracion'!$A$1:$BZ$1001,440,D$2)&amp;""),""))</f>
        <v/>
      </c>
      <c r="E441">
        <f>IF(E$2=0,"",IFERROR(TRIM(INDEX('Pegar calibracion'!$A$1:$BZ$1001,440,E$2)&amp;""),""))</f>
        <v/>
      </c>
      <c r="F441">
        <f>IF(F$2=0,"",IFERROR(TRIM(INDEX('Pegar calibracion'!$A$1:$BZ$1001,440,F$2)&amp;""),""))</f>
        <v/>
      </c>
      <c r="G441">
        <f>IF(G$2=0,"",IFERROR(TRIM(INDEX('Pegar calibracion'!$A$1:$BZ$1001,440,G$2)&amp;""),""))</f>
        <v/>
      </c>
      <c r="H441">
        <f>IF(H$2=0,"",IFERROR(TRIM(INDEX('Pegar calibracion'!$A$1:$BZ$1001,440,H$2)&amp;""),""))</f>
        <v/>
      </c>
      <c r="I441">
        <f>IF(I$2=0,"",IFERROR(TRIM(INDEX('Pegar calibracion'!$A$1:$BZ$1001,440,I$2)&amp;""),""))</f>
        <v/>
      </c>
      <c r="J441">
        <f>IF(J$2=0,"",IFERROR(TRIM(INDEX('Pegar calibracion'!$A$1:$BZ$1001,440,J$2)&amp;""),""))</f>
        <v/>
      </c>
      <c r="K441">
        <f>IF(K$2=0,"",IFERROR(TRIM(INDEX('Pegar calibracion'!$A$1:$BZ$1001,440,K$2)&amp;""),""))</f>
        <v/>
      </c>
      <c r="L441">
        <f>IF(L$2=0,"",IFERROR(TRIM(INDEX('Pegar calibracion'!$A$1:$BZ$1001,440,L$2)&amp;""),""))</f>
        <v/>
      </c>
      <c r="M441" s="25">
        <f>IF(D441="","",SUBSTITUTE(SUBSTITUTE(SUBSTITUTE(SUBSTITUTE(SUBSTITUTE(SUBSTITUTE(SUBSTITUTE(SUBSTITUTE(SUBSTITUTE(SUBSTITUTE(SUBSTITUTE(SUBSTITUTE(LOWER(TRIM(D441)),"á","a"),"é","e"),"í","i"),"ó","o"),"ú","u"),"ü","u"),"ñ","n"),"à","a"),"è","e"),"ì","i"),"ò","o"),"ù","u"))</f>
        <v/>
      </c>
      <c r="N441" s="25">
        <f>IF(F441="","",SUBSTITUTE(SUBSTITUTE(SUBSTITUTE(SUBSTITUTE(SUBSTITUTE(SUBSTITUTE(SUBSTITUTE(SUBSTITUTE(SUBSTITUTE(SUBSTITUTE(SUBSTITUTE(SUBSTITUTE(LOWER(TRIM(F441)),"á","a"),"é","e"),"í","i"),"ó","o"),"ú","u"),"ü","u"),"ñ","n"),"à","a"),"è","e"),"ì","i"),"ò","o"),"ù","u"))</f>
        <v/>
      </c>
      <c r="O441" s="25">
        <f>IF(M441="confiable",2,IF(M441="dudosa",1,IF(M441="no confiable",0,"")))</f>
        <v/>
      </c>
      <c r="P441" s="25">
        <f>IF(N441="confiable",2,IF(N441="dudosa",1,IF(N441="no confiable",0,"")))</f>
        <v/>
      </c>
      <c r="Q441" s="25">
        <f>IF(AND(ISNUMBER(O441),ISNUMBER(P441)),1,"")</f>
        <v/>
      </c>
      <c r="R441" s="25">
        <f>IF(Q441=1,IF(O441=P441,"Sí","No"),"")</f>
        <v/>
      </c>
      <c r="S441" s="25">
        <f>IF(Q441=1,IF(P441&lt;O441,"Más estricto",IF(P441&gt;O441,"Más permisivo","Igual")),"")</f>
        <v/>
      </c>
      <c r="T441" s="25">
        <f>IF(Q441=1,IF(ABS(O441-P441)=2,1,0),"")</f>
        <v/>
      </c>
      <c r="U441" s="25">
        <f>IF(H441="","","|"&amp;SUBSTITUTE(SUBSTITUTE(TRIM(H441)," |","|"),"| ","|")&amp;"|")</f>
        <v/>
      </c>
      <c r="V441" s="25">
        <f>IF(AND(Q441=1,B441&lt;&gt;""),IF(IFERROR(COUNTIFS(B$3:B441,"="&amp;SUBSTITUTE(SUBSTITUTE(SUBSTITUTE(B441,"~","~~"),"*","~*"),"?","~?"),Q$3:Q441,1),0)=1,MAX(V$2:V440)+1,""),"")</f>
        <v/>
      </c>
      <c r="W441" s="25">
        <f>IF(V441="","",COUNTIFS($B$3:$B$1002,"="&amp;SUBSTITUTE(SUBSTITUTE(SUBSTITUTE(B441,"~","~~"),"*","~*"),"?","~?"),$Q$3:$Q$1002,1)*10000-V441)</f>
        <v/>
      </c>
      <c r="X441" s="25">
        <f>IF(Q441=1,IF(SUBSTITUTE(SUBSTITUTE(SUBSTITUTE(SUBSTITUTE(SUBSTITUTE(SUBSTITUTE(SUBSTITUTE(SUBSTITUTE(SUBSTITUTE(SUBSTITUTE(SUBSTITUTE(SUBSTITUTE(LOWER(TRIM(A441)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441)),"á","a"),"é","e"),"í","i"),"ó","o"),"ú","u"),"ü","u"),"ñ","n"),"à","a"),"è","e"),"ì","i"),"ò","o"),"ù","u")),"")</f>
        <v/>
      </c>
      <c r="Y441" s="25">
        <f>IF(X441="","",IF(IFERROR(COUNTIF(X$3:X441,"="&amp;SUBSTITUTE(SUBSTITUTE(SUBSTITUTE(X441,"~","~~"),"*","~*"),"?","~?")),0)=1,1,""))</f>
        <v/>
      </c>
      <c r="Z441" s="25">
        <f>IF(T441=1,MAX(Z$2:Z440)+1,"")</f>
        <v/>
      </c>
    </row>
    <row r="442">
      <c r="A442">
        <f>IF(A$2=0,"",IFERROR(TRIM(INDEX('Pegar calibracion'!$A$1:$BZ$1001,441,A$2)&amp;""),""))</f>
        <v/>
      </c>
      <c r="B442">
        <f>IF(B$2=0,"",IFERROR(TRIM(INDEX('Pegar calibracion'!$A$1:$BZ$1001,441,B$2)&amp;""),""))</f>
        <v/>
      </c>
      <c r="C442">
        <f>IF(C$2=0,"",IFERROR(TRIM(INDEX('Pegar calibracion'!$A$1:$BZ$1001,441,C$2)&amp;""),""))</f>
        <v/>
      </c>
      <c r="D442">
        <f>IF(D$2=0,"",IFERROR(TRIM(INDEX('Pegar calibracion'!$A$1:$BZ$1001,441,D$2)&amp;""),""))</f>
        <v/>
      </c>
      <c r="E442">
        <f>IF(E$2=0,"",IFERROR(TRIM(INDEX('Pegar calibracion'!$A$1:$BZ$1001,441,E$2)&amp;""),""))</f>
        <v/>
      </c>
      <c r="F442">
        <f>IF(F$2=0,"",IFERROR(TRIM(INDEX('Pegar calibracion'!$A$1:$BZ$1001,441,F$2)&amp;""),""))</f>
        <v/>
      </c>
      <c r="G442">
        <f>IF(G$2=0,"",IFERROR(TRIM(INDEX('Pegar calibracion'!$A$1:$BZ$1001,441,G$2)&amp;""),""))</f>
        <v/>
      </c>
      <c r="H442">
        <f>IF(H$2=0,"",IFERROR(TRIM(INDEX('Pegar calibracion'!$A$1:$BZ$1001,441,H$2)&amp;""),""))</f>
        <v/>
      </c>
      <c r="I442">
        <f>IF(I$2=0,"",IFERROR(TRIM(INDEX('Pegar calibracion'!$A$1:$BZ$1001,441,I$2)&amp;""),""))</f>
        <v/>
      </c>
      <c r="J442">
        <f>IF(J$2=0,"",IFERROR(TRIM(INDEX('Pegar calibracion'!$A$1:$BZ$1001,441,J$2)&amp;""),""))</f>
        <v/>
      </c>
      <c r="K442">
        <f>IF(K$2=0,"",IFERROR(TRIM(INDEX('Pegar calibracion'!$A$1:$BZ$1001,441,K$2)&amp;""),""))</f>
        <v/>
      </c>
      <c r="L442">
        <f>IF(L$2=0,"",IFERROR(TRIM(INDEX('Pegar calibracion'!$A$1:$BZ$1001,441,L$2)&amp;""),""))</f>
        <v/>
      </c>
      <c r="M442" s="25">
        <f>IF(D442="","",SUBSTITUTE(SUBSTITUTE(SUBSTITUTE(SUBSTITUTE(SUBSTITUTE(SUBSTITUTE(SUBSTITUTE(SUBSTITUTE(SUBSTITUTE(SUBSTITUTE(SUBSTITUTE(SUBSTITUTE(LOWER(TRIM(D442)),"á","a"),"é","e"),"í","i"),"ó","o"),"ú","u"),"ü","u"),"ñ","n"),"à","a"),"è","e"),"ì","i"),"ò","o"),"ù","u"))</f>
        <v/>
      </c>
      <c r="N442" s="25">
        <f>IF(F442="","",SUBSTITUTE(SUBSTITUTE(SUBSTITUTE(SUBSTITUTE(SUBSTITUTE(SUBSTITUTE(SUBSTITUTE(SUBSTITUTE(SUBSTITUTE(SUBSTITUTE(SUBSTITUTE(SUBSTITUTE(LOWER(TRIM(F442)),"á","a"),"é","e"),"í","i"),"ó","o"),"ú","u"),"ü","u"),"ñ","n"),"à","a"),"è","e"),"ì","i"),"ò","o"),"ù","u"))</f>
        <v/>
      </c>
      <c r="O442" s="25">
        <f>IF(M442="confiable",2,IF(M442="dudosa",1,IF(M442="no confiable",0,"")))</f>
        <v/>
      </c>
      <c r="P442" s="25">
        <f>IF(N442="confiable",2,IF(N442="dudosa",1,IF(N442="no confiable",0,"")))</f>
        <v/>
      </c>
      <c r="Q442" s="25">
        <f>IF(AND(ISNUMBER(O442),ISNUMBER(P442)),1,"")</f>
        <v/>
      </c>
      <c r="R442" s="25">
        <f>IF(Q442=1,IF(O442=P442,"Sí","No"),"")</f>
        <v/>
      </c>
      <c r="S442" s="25">
        <f>IF(Q442=1,IF(P442&lt;O442,"Más estricto",IF(P442&gt;O442,"Más permisivo","Igual")),"")</f>
        <v/>
      </c>
      <c r="T442" s="25">
        <f>IF(Q442=1,IF(ABS(O442-P442)=2,1,0),"")</f>
        <v/>
      </c>
      <c r="U442" s="25">
        <f>IF(H442="","","|"&amp;SUBSTITUTE(SUBSTITUTE(TRIM(H442)," |","|"),"| ","|")&amp;"|")</f>
        <v/>
      </c>
      <c r="V442" s="25">
        <f>IF(AND(Q442=1,B442&lt;&gt;""),IF(IFERROR(COUNTIFS(B$3:B442,"="&amp;SUBSTITUTE(SUBSTITUTE(SUBSTITUTE(B442,"~","~~"),"*","~*"),"?","~?"),Q$3:Q442,1),0)=1,MAX(V$2:V441)+1,""),"")</f>
        <v/>
      </c>
      <c r="W442" s="25">
        <f>IF(V442="","",COUNTIFS($B$3:$B$1002,"="&amp;SUBSTITUTE(SUBSTITUTE(SUBSTITUTE(B442,"~","~~"),"*","~*"),"?","~?"),$Q$3:$Q$1002,1)*10000-V442)</f>
        <v/>
      </c>
      <c r="X442" s="25">
        <f>IF(Q442=1,IF(SUBSTITUTE(SUBSTITUTE(SUBSTITUTE(SUBSTITUTE(SUBSTITUTE(SUBSTITUTE(SUBSTITUTE(SUBSTITUTE(SUBSTITUTE(SUBSTITUTE(SUBSTITUTE(SUBSTITUTE(LOWER(TRIM(A442)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442)),"á","a"),"é","e"),"í","i"),"ó","o"),"ú","u"),"ü","u"),"ñ","n"),"à","a"),"è","e"),"ì","i"),"ò","o"),"ù","u")),"")</f>
        <v/>
      </c>
      <c r="Y442" s="25">
        <f>IF(X442="","",IF(IFERROR(COUNTIF(X$3:X442,"="&amp;SUBSTITUTE(SUBSTITUTE(SUBSTITUTE(X442,"~","~~"),"*","~*"),"?","~?")),0)=1,1,""))</f>
        <v/>
      </c>
      <c r="Z442" s="25">
        <f>IF(T442=1,MAX(Z$2:Z441)+1,"")</f>
        <v/>
      </c>
    </row>
    <row r="443">
      <c r="A443">
        <f>IF(A$2=0,"",IFERROR(TRIM(INDEX('Pegar calibracion'!$A$1:$BZ$1001,442,A$2)&amp;""),""))</f>
        <v/>
      </c>
      <c r="B443">
        <f>IF(B$2=0,"",IFERROR(TRIM(INDEX('Pegar calibracion'!$A$1:$BZ$1001,442,B$2)&amp;""),""))</f>
        <v/>
      </c>
      <c r="C443">
        <f>IF(C$2=0,"",IFERROR(TRIM(INDEX('Pegar calibracion'!$A$1:$BZ$1001,442,C$2)&amp;""),""))</f>
        <v/>
      </c>
      <c r="D443">
        <f>IF(D$2=0,"",IFERROR(TRIM(INDEX('Pegar calibracion'!$A$1:$BZ$1001,442,D$2)&amp;""),""))</f>
        <v/>
      </c>
      <c r="E443">
        <f>IF(E$2=0,"",IFERROR(TRIM(INDEX('Pegar calibracion'!$A$1:$BZ$1001,442,E$2)&amp;""),""))</f>
        <v/>
      </c>
      <c r="F443">
        <f>IF(F$2=0,"",IFERROR(TRIM(INDEX('Pegar calibracion'!$A$1:$BZ$1001,442,F$2)&amp;""),""))</f>
        <v/>
      </c>
      <c r="G443">
        <f>IF(G$2=0,"",IFERROR(TRIM(INDEX('Pegar calibracion'!$A$1:$BZ$1001,442,G$2)&amp;""),""))</f>
        <v/>
      </c>
      <c r="H443">
        <f>IF(H$2=0,"",IFERROR(TRIM(INDEX('Pegar calibracion'!$A$1:$BZ$1001,442,H$2)&amp;""),""))</f>
        <v/>
      </c>
      <c r="I443">
        <f>IF(I$2=0,"",IFERROR(TRIM(INDEX('Pegar calibracion'!$A$1:$BZ$1001,442,I$2)&amp;""),""))</f>
        <v/>
      </c>
      <c r="J443">
        <f>IF(J$2=0,"",IFERROR(TRIM(INDEX('Pegar calibracion'!$A$1:$BZ$1001,442,J$2)&amp;""),""))</f>
        <v/>
      </c>
      <c r="K443">
        <f>IF(K$2=0,"",IFERROR(TRIM(INDEX('Pegar calibracion'!$A$1:$BZ$1001,442,K$2)&amp;""),""))</f>
        <v/>
      </c>
      <c r="L443">
        <f>IF(L$2=0,"",IFERROR(TRIM(INDEX('Pegar calibracion'!$A$1:$BZ$1001,442,L$2)&amp;""),""))</f>
        <v/>
      </c>
      <c r="M443" s="25">
        <f>IF(D443="","",SUBSTITUTE(SUBSTITUTE(SUBSTITUTE(SUBSTITUTE(SUBSTITUTE(SUBSTITUTE(SUBSTITUTE(SUBSTITUTE(SUBSTITUTE(SUBSTITUTE(SUBSTITUTE(SUBSTITUTE(LOWER(TRIM(D443)),"á","a"),"é","e"),"í","i"),"ó","o"),"ú","u"),"ü","u"),"ñ","n"),"à","a"),"è","e"),"ì","i"),"ò","o"),"ù","u"))</f>
        <v/>
      </c>
      <c r="N443" s="25">
        <f>IF(F443="","",SUBSTITUTE(SUBSTITUTE(SUBSTITUTE(SUBSTITUTE(SUBSTITUTE(SUBSTITUTE(SUBSTITUTE(SUBSTITUTE(SUBSTITUTE(SUBSTITUTE(SUBSTITUTE(SUBSTITUTE(LOWER(TRIM(F443)),"á","a"),"é","e"),"í","i"),"ó","o"),"ú","u"),"ü","u"),"ñ","n"),"à","a"),"è","e"),"ì","i"),"ò","o"),"ù","u"))</f>
        <v/>
      </c>
      <c r="O443" s="25">
        <f>IF(M443="confiable",2,IF(M443="dudosa",1,IF(M443="no confiable",0,"")))</f>
        <v/>
      </c>
      <c r="P443" s="25">
        <f>IF(N443="confiable",2,IF(N443="dudosa",1,IF(N443="no confiable",0,"")))</f>
        <v/>
      </c>
      <c r="Q443" s="25">
        <f>IF(AND(ISNUMBER(O443),ISNUMBER(P443)),1,"")</f>
        <v/>
      </c>
      <c r="R443" s="25">
        <f>IF(Q443=1,IF(O443=P443,"Sí","No"),"")</f>
        <v/>
      </c>
      <c r="S443" s="25">
        <f>IF(Q443=1,IF(P443&lt;O443,"Más estricto",IF(P443&gt;O443,"Más permisivo","Igual")),"")</f>
        <v/>
      </c>
      <c r="T443" s="25">
        <f>IF(Q443=1,IF(ABS(O443-P443)=2,1,0),"")</f>
        <v/>
      </c>
      <c r="U443" s="25">
        <f>IF(H443="","","|"&amp;SUBSTITUTE(SUBSTITUTE(TRIM(H443)," |","|"),"| ","|")&amp;"|")</f>
        <v/>
      </c>
      <c r="V443" s="25">
        <f>IF(AND(Q443=1,B443&lt;&gt;""),IF(IFERROR(COUNTIFS(B$3:B443,"="&amp;SUBSTITUTE(SUBSTITUTE(SUBSTITUTE(B443,"~","~~"),"*","~*"),"?","~?"),Q$3:Q443,1),0)=1,MAX(V$2:V442)+1,""),"")</f>
        <v/>
      </c>
      <c r="W443" s="25">
        <f>IF(V443="","",COUNTIFS($B$3:$B$1002,"="&amp;SUBSTITUTE(SUBSTITUTE(SUBSTITUTE(B443,"~","~~"),"*","~*"),"?","~?"),$Q$3:$Q$1002,1)*10000-V443)</f>
        <v/>
      </c>
      <c r="X443" s="25">
        <f>IF(Q443=1,IF(SUBSTITUTE(SUBSTITUTE(SUBSTITUTE(SUBSTITUTE(SUBSTITUTE(SUBSTITUTE(SUBSTITUTE(SUBSTITUTE(SUBSTITUTE(SUBSTITUTE(SUBSTITUTE(SUBSTITUTE(LOWER(TRIM(A443)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443)),"á","a"),"é","e"),"í","i"),"ó","o"),"ú","u"),"ü","u"),"ñ","n"),"à","a"),"è","e"),"ì","i"),"ò","o"),"ù","u")),"")</f>
        <v/>
      </c>
      <c r="Y443" s="25">
        <f>IF(X443="","",IF(IFERROR(COUNTIF(X$3:X443,"="&amp;SUBSTITUTE(SUBSTITUTE(SUBSTITUTE(X443,"~","~~"),"*","~*"),"?","~?")),0)=1,1,""))</f>
        <v/>
      </c>
      <c r="Z443" s="25">
        <f>IF(T443=1,MAX(Z$2:Z442)+1,"")</f>
        <v/>
      </c>
    </row>
    <row r="444">
      <c r="A444">
        <f>IF(A$2=0,"",IFERROR(TRIM(INDEX('Pegar calibracion'!$A$1:$BZ$1001,443,A$2)&amp;""),""))</f>
        <v/>
      </c>
      <c r="B444">
        <f>IF(B$2=0,"",IFERROR(TRIM(INDEX('Pegar calibracion'!$A$1:$BZ$1001,443,B$2)&amp;""),""))</f>
        <v/>
      </c>
      <c r="C444">
        <f>IF(C$2=0,"",IFERROR(TRIM(INDEX('Pegar calibracion'!$A$1:$BZ$1001,443,C$2)&amp;""),""))</f>
        <v/>
      </c>
      <c r="D444">
        <f>IF(D$2=0,"",IFERROR(TRIM(INDEX('Pegar calibracion'!$A$1:$BZ$1001,443,D$2)&amp;""),""))</f>
        <v/>
      </c>
      <c r="E444">
        <f>IF(E$2=0,"",IFERROR(TRIM(INDEX('Pegar calibracion'!$A$1:$BZ$1001,443,E$2)&amp;""),""))</f>
        <v/>
      </c>
      <c r="F444">
        <f>IF(F$2=0,"",IFERROR(TRIM(INDEX('Pegar calibracion'!$A$1:$BZ$1001,443,F$2)&amp;""),""))</f>
        <v/>
      </c>
      <c r="G444">
        <f>IF(G$2=0,"",IFERROR(TRIM(INDEX('Pegar calibracion'!$A$1:$BZ$1001,443,G$2)&amp;""),""))</f>
        <v/>
      </c>
      <c r="H444">
        <f>IF(H$2=0,"",IFERROR(TRIM(INDEX('Pegar calibracion'!$A$1:$BZ$1001,443,H$2)&amp;""),""))</f>
        <v/>
      </c>
      <c r="I444">
        <f>IF(I$2=0,"",IFERROR(TRIM(INDEX('Pegar calibracion'!$A$1:$BZ$1001,443,I$2)&amp;""),""))</f>
        <v/>
      </c>
      <c r="J444">
        <f>IF(J$2=0,"",IFERROR(TRIM(INDEX('Pegar calibracion'!$A$1:$BZ$1001,443,J$2)&amp;""),""))</f>
        <v/>
      </c>
      <c r="K444">
        <f>IF(K$2=0,"",IFERROR(TRIM(INDEX('Pegar calibracion'!$A$1:$BZ$1001,443,K$2)&amp;""),""))</f>
        <v/>
      </c>
      <c r="L444">
        <f>IF(L$2=0,"",IFERROR(TRIM(INDEX('Pegar calibracion'!$A$1:$BZ$1001,443,L$2)&amp;""),""))</f>
        <v/>
      </c>
      <c r="M444" s="25">
        <f>IF(D444="","",SUBSTITUTE(SUBSTITUTE(SUBSTITUTE(SUBSTITUTE(SUBSTITUTE(SUBSTITUTE(SUBSTITUTE(SUBSTITUTE(SUBSTITUTE(SUBSTITUTE(SUBSTITUTE(SUBSTITUTE(LOWER(TRIM(D444)),"á","a"),"é","e"),"í","i"),"ó","o"),"ú","u"),"ü","u"),"ñ","n"),"à","a"),"è","e"),"ì","i"),"ò","o"),"ù","u"))</f>
        <v/>
      </c>
      <c r="N444" s="25">
        <f>IF(F444="","",SUBSTITUTE(SUBSTITUTE(SUBSTITUTE(SUBSTITUTE(SUBSTITUTE(SUBSTITUTE(SUBSTITUTE(SUBSTITUTE(SUBSTITUTE(SUBSTITUTE(SUBSTITUTE(SUBSTITUTE(LOWER(TRIM(F444)),"á","a"),"é","e"),"í","i"),"ó","o"),"ú","u"),"ü","u"),"ñ","n"),"à","a"),"è","e"),"ì","i"),"ò","o"),"ù","u"))</f>
        <v/>
      </c>
      <c r="O444" s="25">
        <f>IF(M444="confiable",2,IF(M444="dudosa",1,IF(M444="no confiable",0,"")))</f>
        <v/>
      </c>
      <c r="P444" s="25">
        <f>IF(N444="confiable",2,IF(N444="dudosa",1,IF(N444="no confiable",0,"")))</f>
        <v/>
      </c>
      <c r="Q444" s="25">
        <f>IF(AND(ISNUMBER(O444),ISNUMBER(P444)),1,"")</f>
        <v/>
      </c>
      <c r="R444" s="25">
        <f>IF(Q444=1,IF(O444=P444,"Sí","No"),"")</f>
        <v/>
      </c>
      <c r="S444" s="25">
        <f>IF(Q444=1,IF(P444&lt;O444,"Más estricto",IF(P444&gt;O444,"Más permisivo","Igual")),"")</f>
        <v/>
      </c>
      <c r="T444" s="25">
        <f>IF(Q444=1,IF(ABS(O444-P444)=2,1,0),"")</f>
        <v/>
      </c>
      <c r="U444" s="25">
        <f>IF(H444="","","|"&amp;SUBSTITUTE(SUBSTITUTE(TRIM(H444)," |","|"),"| ","|")&amp;"|")</f>
        <v/>
      </c>
      <c r="V444" s="25">
        <f>IF(AND(Q444=1,B444&lt;&gt;""),IF(IFERROR(COUNTIFS(B$3:B444,"="&amp;SUBSTITUTE(SUBSTITUTE(SUBSTITUTE(B444,"~","~~"),"*","~*"),"?","~?"),Q$3:Q444,1),0)=1,MAX(V$2:V443)+1,""),"")</f>
        <v/>
      </c>
      <c r="W444" s="25">
        <f>IF(V444="","",COUNTIFS($B$3:$B$1002,"="&amp;SUBSTITUTE(SUBSTITUTE(SUBSTITUTE(B444,"~","~~"),"*","~*"),"?","~?"),$Q$3:$Q$1002,1)*10000-V444)</f>
        <v/>
      </c>
      <c r="X444" s="25">
        <f>IF(Q444=1,IF(SUBSTITUTE(SUBSTITUTE(SUBSTITUTE(SUBSTITUTE(SUBSTITUTE(SUBSTITUTE(SUBSTITUTE(SUBSTITUTE(SUBSTITUTE(SUBSTITUTE(SUBSTITUTE(SUBSTITUTE(LOWER(TRIM(A444)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444)),"á","a"),"é","e"),"í","i"),"ó","o"),"ú","u"),"ü","u"),"ñ","n"),"à","a"),"è","e"),"ì","i"),"ò","o"),"ù","u")),"")</f>
        <v/>
      </c>
      <c r="Y444" s="25">
        <f>IF(X444="","",IF(IFERROR(COUNTIF(X$3:X444,"="&amp;SUBSTITUTE(SUBSTITUTE(SUBSTITUTE(X444,"~","~~"),"*","~*"),"?","~?")),0)=1,1,""))</f>
        <v/>
      </c>
      <c r="Z444" s="25">
        <f>IF(T444=1,MAX(Z$2:Z443)+1,"")</f>
        <v/>
      </c>
    </row>
    <row r="445">
      <c r="A445">
        <f>IF(A$2=0,"",IFERROR(TRIM(INDEX('Pegar calibracion'!$A$1:$BZ$1001,444,A$2)&amp;""),""))</f>
        <v/>
      </c>
      <c r="B445">
        <f>IF(B$2=0,"",IFERROR(TRIM(INDEX('Pegar calibracion'!$A$1:$BZ$1001,444,B$2)&amp;""),""))</f>
        <v/>
      </c>
      <c r="C445">
        <f>IF(C$2=0,"",IFERROR(TRIM(INDEX('Pegar calibracion'!$A$1:$BZ$1001,444,C$2)&amp;""),""))</f>
        <v/>
      </c>
      <c r="D445">
        <f>IF(D$2=0,"",IFERROR(TRIM(INDEX('Pegar calibracion'!$A$1:$BZ$1001,444,D$2)&amp;""),""))</f>
        <v/>
      </c>
      <c r="E445">
        <f>IF(E$2=0,"",IFERROR(TRIM(INDEX('Pegar calibracion'!$A$1:$BZ$1001,444,E$2)&amp;""),""))</f>
        <v/>
      </c>
      <c r="F445">
        <f>IF(F$2=0,"",IFERROR(TRIM(INDEX('Pegar calibracion'!$A$1:$BZ$1001,444,F$2)&amp;""),""))</f>
        <v/>
      </c>
      <c r="G445">
        <f>IF(G$2=0,"",IFERROR(TRIM(INDEX('Pegar calibracion'!$A$1:$BZ$1001,444,G$2)&amp;""),""))</f>
        <v/>
      </c>
      <c r="H445">
        <f>IF(H$2=0,"",IFERROR(TRIM(INDEX('Pegar calibracion'!$A$1:$BZ$1001,444,H$2)&amp;""),""))</f>
        <v/>
      </c>
      <c r="I445">
        <f>IF(I$2=0,"",IFERROR(TRIM(INDEX('Pegar calibracion'!$A$1:$BZ$1001,444,I$2)&amp;""),""))</f>
        <v/>
      </c>
      <c r="J445">
        <f>IF(J$2=0,"",IFERROR(TRIM(INDEX('Pegar calibracion'!$A$1:$BZ$1001,444,J$2)&amp;""),""))</f>
        <v/>
      </c>
      <c r="K445">
        <f>IF(K$2=0,"",IFERROR(TRIM(INDEX('Pegar calibracion'!$A$1:$BZ$1001,444,K$2)&amp;""),""))</f>
        <v/>
      </c>
      <c r="L445">
        <f>IF(L$2=0,"",IFERROR(TRIM(INDEX('Pegar calibracion'!$A$1:$BZ$1001,444,L$2)&amp;""),""))</f>
        <v/>
      </c>
      <c r="M445" s="25">
        <f>IF(D445="","",SUBSTITUTE(SUBSTITUTE(SUBSTITUTE(SUBSTITUTE(SUBSTITUTE(SUBSTITUTE(SUBSTITUTE(SUBSTITUTE(SUBSTITUTE(SUBSTITUTE(SUBSTITUTE(SUBSTITUTE(LOWER(TRIM(D445)),"á","a"),"é","e"),"í","i"),"ó","o"),"ú","u"),"ü","u"),"ñ","n"),"à","a"),"è","e"),"ì","i"),"ò","o"),"ù","u"))</f>
        <v/>
      </c>
      <c r="N445" s="25">
        <f>IF(F445="","",SUBSTITUTE(SUBSTITUTE(SUBSTITUTE(SUBSTITUTE(SUBSTITUTE(SUBSTITUTE(SUBSTITUTE(SUBSTITUTE(SUBSTITUTE(SUBSTITUTE(SUBSTITUTE(SUBSTITUTE(LOWER(TRIM(F445)),"á","a"),"é","e"),"í","i"),"ó","o"),"ú","u"),"ü","u"),"ñ","n"),"à","a"),"è","e"),"ì","i"),"ò","o"),"ù","u"))</f>
        <v/>
      </c>
      <c r="O445" s="25">
        <f>IF(M445="confiable",2,IF(M445="dudosa",1,IF(M445="no confiable",0,"")))</f>
        <v/>
      </c>
      <c r="P445" s="25">
        <f>IF(N445="confiable",2,IF(N445="dudosa",1,IF(N445="no confiable",0,"")))</f>
        <v/>
      </c>
      <c r="Q445" s="25">
        <f>IF(AND(ISNUMBER(O445),ISNUMBER(P445)),1,"")</f>
        <v/>
      </c>
      <c r="R445" s="25">
        <f>IF(Q445=1,IF(O445=P445,"Sí","No"),"")</f>
        <v/>
      </c>
      <c r="S445" s="25">
        <f>IF(Q445=1,IF(P445&lt;O445,"Más estricto",IF(P445&gt;O445,"Más permisivo","Igual")),"")</f>
        <v/>
      </c>
      <c r="T445" s="25">
        <f>IF(Q445=1,IF(ABS(O445-P445)=2,1,0),"")</f>
        <v/>
      </c>
      <c r="U445" s="25">
        <f>IF(H445="","","|"&amp;SUBSTITUTE(SUBSTITUTE(TRIM(H445)," |","|"),"| ","|")&amp;"|")</f>
        <v/>
      </c>
      <c r="V445" s="25">
        <f>IF(AND(Q445=1,B445&lt;&gt;""),IF(IFERROR(COUNTIFS(B$3:B445,"="&amp;SUBSTITUTE(SUBSTITUTE(SUBSTITUTE(B445,"~","~~"),"*","~*"),"?","~?"),Q$3:Q445,1),0)=1,MAX(V$2:V444)+1,""),"")</f>
        <v/>
      </c>
      <c r="W445" s="25">
        <f>IF(V445="","",COUNTIFS($B$3:$B$1002,"="&amp;SUBSTITUTE(SUBSTITUTE(SUBSTITUTE(B445,"~","~~"),"*","~*"),"?","~?"),$Q$3:$Q$1002,1)*10000-V445)</f>
        <v/>
      </c>
      <c r="X445" s="25">
        <f>IF(Q445=1,IF(SUBSTITUTE(SUBSTITUTE(SUBSTITUTE(SUBSTITUTE(SUBSTITUTE(SUBSTITUTE(SUBSTITUTE(SUBSTITUTE(SUBSTITUTE(SUBSTITUTE(SUBSTITUTE(SUBSTITUTE(LOWER(TRIM(A445)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445)),"á","a"),"é","e"),"í","i"),"ó","o"),"ú","u"),"ü","u"),"ñ","n"),"à","a"),"è","e"),"ì","i"),"ò","o"),"ù","u")),"")</f>
        <v/>
      </c>
      <c r="Y445" s="25">
        <f>IF(X445="","",IF(IFERROR(COUNTIF(X$3:X445,"="&amp;SUBSTITUTE(SUBSTITUTE(SUBSTITUTE(X445,"~","~~"),"*","~*"),"?","~?")),0)=1,1,""))</f>
        <v/>
      </c>
      <c r="Z445" s="25">
        <f>IF(T445=1,MAX(Z$2:Z444)+1,"")</f>
        <v/>
      </c>
    </row>
    <row r="446">
      <c r="A446">
        <f>IF(A$2=0,"",IFERROR(TRIM(INDEX('Pegar calibracion'!$A$1:$BZ$1001,445,A$2)&amp;""),""))</f>
        <v/>
      </c>
      <c r="B446">
        <f>IF(B$2=0,"",IFERROR(TRIM(INDEX('Pegar calibracion'!$A$1:$BZ$1001,445,B$2)&amp;""),""))</f>
        <v/>
      </c>
      <c r="C446">
        <f>IF(C$2=0,"",IFERROR(TRIM(INDEX('Pegar calibracion'!$A$1:$BZ$1001,445,C$2)&amp;""),""))</f>
        <v/>
      </c>
      <c r="D446">
        <f>IF(D$2=0,"",IFERROR(TRIM(INDEX('Pegar calibracion'!$A$1:$BZ$1001,445,D$2)&amp;""),""))</f>
        <v/>
      </c>
      <c r="E446">
        <f>IF(E$2=0,"",IFERROR(TRIM(INDEX('Pegar calibracion'!$A$1:$BZ$1001,445,E$2)&amp;""),""))</f>
        <v/>
      </c>
      <c r="F446">
        <f>IF(F$2=0,"",IFERROR(TRIM(INDEX('Pegar calibracion'!$A$1:$BZ$1001,445,F$2)&amp;""),""))</f>
        <v/>
      </c>
      <c r="G446">
        <f>IF(G$2=0,"",IFERROR(TRIM(INDEX('Pegar calibracion'!$A$1:$BZ$1001,445,G$2)&amp;""),""))</f>
        <v/>
      </c>
      <c r="H446">
        <f>IF(H$2=0,"",IFERROR(TRIM(INDEX('Pegar calibracion'!$A$1:$BZ$1001,445,H$2)&amp;""),""))</f>
        <v/>
      </c>
      <c r="I446">
        <f>IF(I$2=0,"",IFERROR(TRIM(INDEX('Pegar calibracion'!$A$1:$BZ$1001,445,I$2)&amp;""),""))</f>
        <v/>
      </c>
      <c r="J446">
        <f>IF(J$2=0,"",IFERROR(TRIM(INDEX('Pegar calibracion'!$A$1:$BZ$1001,445,J$2)&amp;""),""))</f>
        <v/>
      </c>
      <c r="K446">
        <f>IF(K$2=0,"",IFERROR(TRIM(INDEX('Pegar calibracion'!$A$1:$BZ$1001,445,K$2)&amp;""),""))</f>
        <v/>
      </c>
      <c r="L446">
        <f>IF(L$2=0,"",IFERROR(TRIM(INDEX('Pegar calibracion'!$A$1:$BZ$1001,445,L$2)&amp;""),""))</f>
        <v/>
      </c>
      <c r="M446" s="25">
        <f>IF(D446="","",SUBSTITUTE(SUBSTITUTE(SUBSTITUTE(SUBSTITUTE(SUBSTITUTE(SUBSTITUTE(SUBSTITUTE(SUBSTITUTE(SUBSTITUTE(SUBSTITUTE(SUBSTITUTE(SUBSTITUTE(LOWER(TRIM(D446)),"á","a"),"é","e"),"í","i"),"ó","o"),"ú","u"),"ü","u"),"ñ","n"),"à","a"),"è","e"),"ì","i"),"ò","o"),"ù","u"))</f>
        <v/>
      </c>
      <c r="N446" s="25">
        <f>IF(F446="","",SUBSTITUTE(SUBSTITUTE(SUBSTITUTE(SUBSTITUTE(SUBSTITUTE(SUBSTITUTE(SUBSTITUTE(SUBSTITUTE(SUBSTITUTE(SUBSTITUTE(SUBSTITUTE(SUBSTITUTE(LOWER(TRIM(F446)),"á","a"),"é","e"),"í","i"),"ó","o"),"ú","u"),"ü","u"),"ñ","n"),"à","a"),"è","e"),"ì","i"),"ò","o"),"ù","u"))</f>
        <v/>
      </c>
      <c r="O446" s="25">
        <f>IF(M446="confiable",2,IF(M446="dudosa",1,IF(M446="no confiable",0,"")))</f>
        <v/>
      </c>
      <c r="P446" s="25">
        <f>IF(N446="confiable",2,IF(N446="dudosa",1,IF(N446="no confiable",0,"")))</f>
        <v/>
      </c>
      <c r="Q446" s="25">
        <f>IF(AND(ISNUMBER(O446),ISNUMBER(P446)),1,"")</f>
        <v/>
      </c>
      <c r="R446" s="25">
        <f>IF(Q446=1,IF(O446=P446,"Sí","No"),"")</f>
        <v/>
      </c>
      <c r="S446" s="25">
        <f>IF(Q446=1,IF(P446&lt;O446,"Más estricto",IF(P446&gt;O446,"Más permisivo","Igual")),"")</f>
        <v/>
      </c>
      <c r="T446" s="25">
        <f>IF(Q446=1,IF(ABS(O446-P446)=2,1,0),"")</f>
        <v/>
      </c>
      <c r="U446" s="25">
        <f>IF(H446="","","|"&amp;SUBSTITUTE(SUBSTITUTE(TRIM(H446)," |","|"),"| ","|")&amp;"|")</f>
        <v/>
      </c>
      <c r="V446" s="25">
        <f>IF(AND(Q446=1,B446&lt;&gt;""),IF(IFERROR(COUNTIFS(B$3:B446,"="&amp;SUBSTITUTE(SUBSTITUTE(SUBSTITUTE(B446,"~","~~"),"*","~*"),"?","~?"),Q$3:Q446,1),0)=1,MAX(V$2:V445)+1,""),"")</f>
        <v/>
      </c>
      <c r="W446" s="25">
        <f>IF(V446="","",COUNTIFS($B$3:$B$1002,"="&amp;SUBSTITUTE(SUBSTITUTE(SUBSTITUTE(B446,"~","~~"),"*","~*"),"?","~?"),$Q$3:$Q$1002,1)*10000-V446)</f>
        <v/>
      </c>
      <c r="X446" s="25">
        <f>IF(Q446=1,IF(SUBSTITUTE(SUBSTITUTE(SUBSTITUTE(SUBSTITUTE(SUBSTITUTE(SUBSTITUTE(SUBSTITUTE(SUBSTITUTE(SUBSTITUTE(SUBSTITUTE(SUBSTITUTE(SUBSTITUTE(LOWER(TRIM(A446)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446)),"á","a"),"é","e"),"í","i"),"ó","o"),"ú","u"),"ü","u"),"ñ","n"),"à","a"),"è","e"),"ì","i"),"ò","o"),"ù","u")),"")</f>
        <v/>
      </c>
      <c r="Y446" s="25">
        <f>IF(X446="","",IF(IFERROR(COUNTIF(X$3:X446,"="&amp;SUBSTITUTE(SUBSTITUTE(SUBSTITUTE(X446,"~","~~"),"*","~*"),"?","~?")),0)=1,1,""))</f>
        <v/>
      </c>
      <c r="Z446" s="25">
        <f>IF(T446=1,MAX(Z$2:Z445)+1,"")</f>
        <v/>
      </c>
    </row>
    <row r="447">
      <c r="A447">
        <f>IF(A$2=0,"",IFERROR(TRIM(INDEX('Pegar calibracion'!$A$1:$BZ$1001,446,A$2)&amp;""),""))</f>
        <v/>
      </c>
      <c r="B447">
        <f>IF(B$2=0,"",IFERROR(TRIM(INDEX('Pegar calibracion'!$A$1:$BZ$1001,446,B$2)&amp;""),""))</f>
        <v/>
      </c>
      <c r="C447">
        <f>IF(C$2=0,"",IFERROR(TRIM(INDEX('Pegar calibracion'!$A$1:$BZ$1001,446,C$2)&amp;""),""))</f>
        <v/>
      </c>
      <c r="D447">
        <f>IF(D$2=0,"",IFERROR(TRIM(INDEX('Pegar calibracion'!$A$1:$BZ$1001,446,D$2)&amp;""),""))</f>
        <v/>
      </c>
      <c r="E447">
        <f>IF(E$2=0,"",IFERROR(TRIM(INDEX('Pegar calibracion'!$A$1:$BZ$1001,446,E$2)&amp;""),""))</f>
        <v/>
      </c>
      <c r="F447">
        <f>IF(F$2=0,"",IFERROR(TRIM(INDEX('Pegar calibracion'!$A$1:$BZ$1001,446,F$2)&amp;""),""))</f>
        <v/>
      </c>
      <c r="G447">
        <f>IF(G$2=0,"",IFERROR(TRIM(INDEX('Pegar calibracion'!$A$1:$BZ$1001,446,G$2)&amp;""),""))</f>
        <v/>
      </c>
      <c r="H447">
        <f>IF(H$2=0,"",IFERROR(TRIM(INDEX('Pegar calibracion'!$A$1:$BZ$1001,446,H$2)&amp;""),""))</f>
        <v/>
      </c>
      <c r="I447">
        <f>IF(I$2=0,"",IFERROR(TRIM(INDEX('Pegar calibracion'!$A$1:$BZ$1001,446,I$2)&amp;""),""))</f>
        <v/>
      </c>
      <c r="J447">
        <f>IF(J$2=0,"",IFERROR(TRIM(INDEX('Pegar calibracion'!$A$1:$BZ$1001,446,J$2)&amp;""),""))</f>
        <v/>
      </c>
      <c r="K447">
        <f>IF(K$2=0,"",IFERROR(TRIM(INDEX('Pegar calibracion'!$A$1:$BZ$1001,446,K$2)&amp;""),""))</f>
        <v/>
      </c>
      <c r="L447">
        <f>IF(L$2=0,"",IFERROR(TRIM(INDEX('Pegar calibracion'!$A$1:$BZ$1001,446,L$2)&amp;""),""))</f>
        <v/>
      </c>
      <c r="M447" s="25">
        <f>IF(D447="","",SUBSTITUTE(SUBSTITUTE(SUBSTITUTE(SUBSTITUTE(SUBSTITUTE(SUBSTITUTE(SUBSTITUTE(SUBSTITUTE(SUBSTITUTE(SUBSTITUTE(SUBSTITUTE(SUBSTITUTE(LOWER(TRIM(D447)),"á","a"),"é","e"),"í","i"),"ó","o"),"ú","u"),"ü","u"),"ñ","n"),"à","a"),"è","e"),"ì","i"),"ò","o"),"ù","u"))</f>
        <v/>
      </c>
      <c r="N447" s="25">
        <f>IF(F447="","",SUBSTITUTE(SUBSTITUTE(SUBSTITUTE(SUBSTITUTE(SUBSTITUTE(SUBSTITUTE(SUBSTITUTE(SUBSTITUTE(SUBSTITUTE(SUBSTITUTE(SUBSTITUTE(SUBSTITUTE(LOWER(TRIM(F447)),"á","a"),"é","e"),"í","i"),"ó","o"),"ú","u"),"ü","u"),"ñ","n"),"à","a"),"è","e"),"ì","i"),"ò","o"),"ù","u"))</f>
        <v/>
      </c>
      <c r="O447" s="25">
        <f>IF(M447="confiable",2,IF(M447="dudosa",1,IF(M447="no confiable",0,"")))</f>
        <v/>
      </c>
      <c r="P447" s="25">
        <f>IF(N447="confiable",2,IF(N447="dudosa",1,IF(N447="no confiable",0,"")))</f>
        <v/>
      </c>
      <c r="Q447" s="25">
        <f>IF(AND(ISNUMBER(O447),ISNUMBER(P447)),1,"")</f>
        <v/>
      </c>
      <c r="R447" s="25">
        <f>IF(Q447=1,IF(O447=P447,"Sí","No"),"")</f>
        <v/>
      </c>
      <c r="S447" s="25">
        <f>IF(Q447=1,IF(P447&lt;O447,"Más estricto",IF(P447&gt;O447,"Más permisivo","Igual")),"")</f>
        <v/>
      </c>
      <c r="T447" s="25">
        <f>IF(Q447=1,IF(ABS(O447-P447)=2,1,0),"")</f>
        <v/>
      </c>
      <c r="U447" s="25">
        <f>IF(H447="","","|"&amp;SUBSTITUTE(SUBSTITUTE(TRIM(H447)," |","|"),"| ","|")&amp;"|")</f>
        <v/>
      </c>
      <c r="V447" s="25">
        <f>IF(AND(Q447=1,B447&lt;&gt;""),IF(IFERROR(COUNTIFS(B$3:B447,"="&amp;SUBSTITUTE(SUBSTITUTE(SUBSTITUTE(B447,"~","~~"),"*","~*"),"?","~?"),Q$3:Q447,1),0)=1,MAX(V$2:V446)+1,""),"")</f>
        <v/>
      </c>
      <c r="W447" s="25">
        <f>IF(V447="","",COUNTIFS($B$3:$B$1002,"="&amp;SUBSTITUTE(SUBSTITUTE(SUBSTITUTE(B447,"~","~~"),"*","~*"),"?","~?"),$Q$3:$Q$1002,1)*10000-V447)</f>
        <v/>
      </c>
      <c r="X447" s="25">
        <f>IF(Q447=1,IF(SUBSTITUTE(SUBSTITUTE(SUBSTITUTE(SUBSTITUTE(SUBSTITUTE(SUBSTITUTE(SUBSTITUTE(SUBSTITUTE(SUBSTITUTE(SUBSTITUTE(SUBSTITUTE(SUBSTITUTE(LOWER(TRIM(A447)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447)),"á","a"),"é","e"),"í","i"),"ó","o"),"ú","u"),"ü","u"),"ñ","n"),"à","a"),"è","e"),"ì","i"),"ò","o"),"ù","u")),"")</f>
        <v/>
      </c>
      <c r="Y447" s="25">
        <f>IF(X447="","",IF(IFERROR(COUNTIF(X$3:X447,"="&amp;SUBSTITUTE(SUBSTITUTE(SUBSTITUTE(X447,"~","~~"),"*","~*"),"?","~?")),0)=1,1,""))</f>
        <v/>
      </c>
      <c r="Z447" s="25">
        <f>IF(T447=1,MAX(Z$2:Z446)+1,"")</f>
        <v/>
      </c>
    </row>
    <row r="448">
      <c r="A448">
        <f>IF(A$2=0,"",IFERROR(TRIM(INDEX('Pegar calibracion'!$A$1:$BZ$1001,447,A$2)&amp;""),""))</f>
        <v/>
      </c>
      <c r="B448">
        <f>IF(B$2=0,"",IFERROR(TRIM(INDEX('Pegar calibracion'!$A$1:$BZ$1001,447,B$2)&amp;""),""))</f>
        <v/>
      </c>
      <c r="C448">
        <f>IF(C$2=0,"",IFERROR(TRIM(INDEX('Pegar calibracion'!$A$1:$BZ$1001,447,C$2)&amp;""),""))</f>
        <v/>
      </c>
      <c r="D448">
        <f>IF(D$2=0,"",IFERROR(TRIM(INDEX('Pegar calibracion'!$A$1:$BZ$1001,447,D$2)&amp;""),""))</f>
        <v/>
      </c>
      <c r="E448">
        <f>IF(E$2=0,"",IFERROR(TRIM(INDEX('Pegar calibracion'!$A$1:$BZ$1001,447,E$2)&amp;""),""))</f>
        <v/>
      </c>
      <c r="F448">
        <f>IF(F$2=0,"",IFERROR(TRIM(INDEX('Pegar calibracion'!$A$1:$BZ$1001,447,F$2)&amp;""),""))</f>
        <v/>
      </c>
      <c r="G448">
        <f>IF(G$2=0,"",IFERROR(TRIM(INDEX('Pegar calibracion'!$A$1:$BZ$1001,447,G$2)&amp;""),""))</f>
        <v/>
      </c>
      <c r="H448">
        <f>IF(H$2=0,"",IFERROR(TRIM(INDEX('Pegar calibracion'!$A$1:$BZ$1001,447,H$2)&amp;""),""))</f>
        <v/>
      </c>
      <c r="I448">
        <f>IF(I$2=0,"",IFERROR(TRIM(INDEX('Pegar calibracion'!$A$1:$BZ$1001,447,I$2)&amp;""),""))</f>
        <v/>
      </c>
      <c r="J448">
        <f>IF(J$2=0,"",IFERROR(TRIM(INDEX('Pegar calibracion'!$A$1:$BZ$1001,447,J$2)&amp;""),""))</f>
        <v/>
      </c>
      <c r="K448">
        <f>IF(K$2=0,"",IFERROR(TRIM(INDEX('Pegar calibracion'!$A$1:$BZ$1001,447,K$2)&amp;""),""))</f>
        <v/>
      </c>
      <c r="L448">
        <f>IF(L$2=0,"",IFERROR(TRIM(INDEX('Pegar calibracion'!$A$1:$BZ$1001,447,L$2)&amp;""),""))</f>
        <v/>
      </c>
      <c r="M448" s="25">
        <f>IF(D448="","",SUBSTITUTE(SUBSTITUTE(SUBSTITUTE(SUBSTITUTE(SUBSTITUTE(SUBSTITUTE(SUBSTITUTE(SUBSTITUTE(SUBSTITUTE(SUBSTITUTE(SUBSTITUTE(SUBSTITUTE(LOWER(TRIM(D448)),"á","a"),"é","e"),"í","i"),"ó","o"),"ú","u"),"ü","u"),"ñ","n"),"à","a"),"è","e"),"ì","i"),"ò","o"),"ù","u"))</f>
        <v/>
      </c>
      <c r="N448" s="25">
        <f>IF(F448="","",SUBSTITUTE(SUBSTITUTE(SUBSTITUTE(SUBSTITUTE(SUBSTITUTE(SUBSTITUTE(SUBSTITUTE(SUBSTITUTE(SUBSTITUTE(SUBSTITUTE(SUBSTITUTE(SUBSTITUTE(LOWER(TRIM(F448)),"á","a"),"é","e"),"í","i"),"ó","o"),"ú","u"),"ü","u"),"ñ","n"),"à","a"),"è","e"),"ì","i"),"ò","o"),"ù","u"))</f>
        <v/>
      </c>
      <c r="O448" s="25">
        <f>IF(M448="confiable",2,IF(M448="dudosa",1,IF(M448="no confiable",0,"")))</f>
        <v/>
      </c>
      <c r="P448" s="25">
        <f>IF(N448="confiable",2,IF(N448="dudosa",1,IF(N448="no confiable",0,"")))</f>
        <v/>
      </c>
      <c r="Q448" s="25">
        <f>IF(AND(ISNUMBER(O448),ISNUMBER(P448)),1,"")</f>
        <v/>
      </c>
      <c r="R448" s="25">
        <f>IF(Q448=1,IF(O448=P448,"Sí","No"),"")</f>
        <v/>
      </c>
      <c r="S448" s="25">
        <f>IF(Q448=1,IF(P448&lt;O448,"Más estricto",IF(P448&gt;O448,"Más permisivo","Igual")),"")</f>
        <v/>
      </c>
      <c r="T448" s="25">
        <f>IF(Q448=1,IF(ABS(O448-P448)=2,1,0),"")</f>
        <v/>
      </c>
      <c r="U448" s="25">
        <f>IF(H448="","","|"&amp;SUBSTITUTE(SUBSTITUTE(TRIM(H448)," |","|"),"| ","|")&amp;"|")</f>
        <v/>
      </c>
      <c r="V448" s="25">
        <f>IF(AND(Q448=1,B448&lt;&gt;""),IF(IFERROR(COUNTIFS(B$3:B448,"="&amp;SUBSTITUTE(SUBSTITUTE(SUBSTITUTE(B448,"~","~~"),"*","~*"),"?","~?"),Q$3:Q448,1),0)=1,MAX(V$2:V447)+1,""),"")</f>
        <v/>
      </c>
      <c r="W448" s="25">
        <f>IF(V448="","",COUNTIFS($B$3:$B$1002,"="&amp;SUBSTITUTE(SUBSTITUTE(SUBSTITUTE(B448,"~","~~"),"*","~*"),"?","~?"),$Q$3:$Q$1002,1)*10000-V448)</f>
        <v/>
      </c>
      <c r="X448" s="25">
        <f>IF(Q448=1,IF(SUBSTITUTE(SUBSTITUTE(SUBSTITUTE(SUBSTITUTE(SUBSTITUTE(SUBSTITUTE(SUBSTITUTE(SUBSTITUTE(SUBSTITUTE(SUBSTITUTE(SUBSTITUTE(SUBSTITUTE(LOWER(TRIM(A448)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448)),"á","a"),"é","e"),"í","i"),"ó","o"),"ú","u"),"ü","u"),"ñ","n"),"à","a"),"è","e"),"ì","i"),"ò","o"),"ù","u")),"")</f>
        <v/>
      </c>
      <c r="Y448" s="25">
        <f>IF(X448="","",IF(IFERROR(COUNTIF(X$3:X448,"="&amp;SUBSTITUTE(SUBSTITUTE(SUBSTITUTE(X448,"~","~~"),"*","~*"),"?","~?")),0)=1,1,""))</f>
        <v/>
      </c>
      <c r="Z448" s="25">
        <f>IF(T448=1,MAX(Z$2:Z447)+1,"")</f>
        <v/>
      </c>
    </row>
    <row r="449">
      <c r="A449">
        <f>IF(A$2=0,"",IFERROR(TRIM(INDEX('Pegar calibracion'!$A$1:$BZ$1001,448,A$2)&amp;""),""))</f>
        <v/>
      </c>
      <c r="B449">
        <f>IF(B$2=0,"",IFERROR(TRIM(INDEX('Pegar calibracion'!$A$1:$BZ$1001,448,B$2)&amp;""),""))</f>
        <v/>
      </c>
      <c r="C449">
        <f>IF(C$2=0,"",IFERROR(TRIM(INDEX('Pegar calibracion'!$A$1:$BZ$1001,448,C$2)&amp;""),""))</f>
        <v/>
      </c>
      <c r="D449">
        <f>IF(D$2=0,"",IFERROR(TRIM(INDEX('Pegar calibracion'!$A$1:$BZ$1001,448,D$2)&amp;""),""))</f>
        <v/>
      </c>
      <c r="E449">
        <f>IF(E$2=0,"",IFERROR(TRIM(INDEX('Pegar calibracion'!$A$1:$BZ$1001,448,E$2)&amp;""),""))</f>
        <v/>
      </c>
      <c r="F449">
        <f>IF(F$2=0,"",IFERROR(TRIM(INDEX('Pegar calibracion'!$A$1:$BZ$1001,448,F$2)&amp;""),""))</f>
        <v/>
      </c>
      <c r="G449">
        <f>IF(G$2=0,"",IFERROR(TRIM(INDEX('Pegar calibracion'!$A$1:$BZ$1001,448,G$2)&amp;""),""))</f>
        <v/>
      </c>
      <c r="H449">
        <f>IF(H$2=0,"",IFERROR(TRIM(INDEX('Pegar calibracion'!$A$1:$BZ$1001,448,H$2)&amp;""),""))</f>
        <v/>
      </c>
      <c r="I449">
        <f>IF(I$2=0,"",IFERROR(TRIM(INDEX('Pegar calibracion'!$A$1:$BZ$1001,448,I$2)&amp;""),""))</f>
        <v/>
      </c>
      <c r="J449">
        <f>IF(J$2=0,"",IFERROR(TRIM(INDEX('Pegar calibracion'!$A$1:$BZ$1001,448,J$2)&amp;""),""))</f>
        <v/>
      </c>
      <c r="K449">
        <f>IF(K$2=0,"",IFERROR(TRIM(INDEX('Pegar calibracion'!$A$1:$BZ$1001,448,K$2)&amp;""),""))</f>
        <v/>
      </c>
      <c r="L449">
        <f>IF(L$2=0,"",IFERROR(TRIM(INDEX('Pegar calibracion'!$A$1:$BZ$1001,448,L$2)&amp;""),""))</f>
        <v/>
      </c>
      <c r="M449" s="25">
        <f>IF(D449="","",SUBSTITUTE(SUBSTITUTE(SUBSTITUTE(SUBSTITUTE(SUBSTITUTE(SUBSTITUTE(SUBSTITUTE(SUBSTITUTE(SUBSTITUTE(SUBSTITUTE(SUBSTITUTE(SUBSTITUTE(LOWER(TRIM(D449)),"á","a"),"é","e"),"í","i"),"ó","o"),"ú","u"),"ü","u"),"ñ","n"),"à","a"),"è","e"),"ì","i"),"ò","o"),"ù","u"))</f>
        <v/>
      </c>
      <c r="N449" s="25">
        <f>IF(F449="","",SUBSTITUTE(SUBSTITUTE(SUBSTITUTE(SUBSTITUTE(SUBSTITUTE(SUBSTITUTE(SUBSTITUTE(SUBSTITUTE(SUBSTITUTE(SUBSTITUTE(SUBSTITUTE(SUBSTITUTE(LOWER(TRIM(F449)),"á","a"),"é","e"),"í","i"),"ó","o"),"ú","u"),"ü","u"),"ñ","n"),"à","a"),"è","e"),"ì","i"),"ò","o"),"ù","u"))</f>
        <v/>
      </c>
      <c r="O449" s="25">
        <f>IF(M449="confiable",2,IF(M449="dudosa",1,IF(M449="no confiable",0,"")))</f>
        <v/>
      </c>
      <c r="P449" s="25">
        <f>IF(N449="confiable",2,IF(N449="dudosa",1,IF(N449="no confiable",0,"")))</f>
        <v/>
      </c>
      <c r="Q449" s="25">
        <f>IF(AND(ISNUMBER(O449),ISNUMBER(P449)),1,"")</f>
        <v/>
      </c>
      <c r="R449" s="25">
        <f>IF(Q449=1,IF(O449=P449,"Sí","No"),"")</f>
        <v/>
      </c>
      <c r="S449" s="25">
        <f>IF(Q449=1,IF(P449&lt;O449,"Más estricto",IF(P449&gt;O449,"Más permisivo","Igual")),"")</f>
        <v/>
      </c>
      <c r="T449" s="25">
        <f>IF(Q449=1,IF(ABS(O449-P449)=2,1,0),"")</f>
        <v/>
      </c>
      <c r="U449" s="25">
        <f>IF(H449="","","|"&amp;SUBSTITUTE(SUBSTITUTE(TRIM(H449)," |","|"),"| ","|")&amp;"|")</f>
        <v/>
      </c>
      <c r="V449" s="25">
        <f>IF(AND(Q449=1,B449&lt;&gt;""),IF(IFERROR(COUNTIFS(B$3:B449,"="&amp;SUBSTITUTE(SUBSTITUTE(SUBSTITUTE(B449,"~","~~"),"*","~*"),"?","~?"),Q$3:Q449,1),0)=1,MAX(V$2:V448)+1,""),"")</f>
        <v/>
      </c>
      <c r="W449" s="25">
        <f>IF(V449="","",COUNTIFS($B$3:$B$1002,"="&amp;SUBSTITUTE(SUBSTITUTE(SUBSTITUTE(B449,"~","~~"),"*","~*"),"?","~?"),$Q$3:$Q$1002,1)*10000-V449)</f>
        <v/>
      </c>
      <c r="X449" s="25">
        <f>IF(Q449=1,IF(SUBSTITUTE(SUBSTITUTE(SUBSTITUTE(SUBSTITUTE(SUBSTITUTE(SUBSTITUTE(SUBSTITUTE(SUBSTITUTE(SUBSTITUTE(SUBSTITUTE(SUBSTITUTE(SUBSTITUTE(LOWER(TRIM(A449)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449)),"á","a"),"é","e"),"í","i"),"ó","o"),"ú","u"),"ü","u"),"ñ","n"),"à","a"),"è","e"),"ì","i"),"ò","o"),"ù","u")),"")</f>
        <v/>
      </c>
      <c r="Y449" s="25">
        <f>IF(X449="","",IF(IFERROR(COUNTIF(X$3:X449,"="&amp;SUBSTITUTE(SUBSTITUTE(SUBSTITUTE(X449,"~","~~"),"*","~*"),"?","~?")),0)=1,1,""))</f>
        <v/>
      </c>
      <c r="Z449" s="25">
        <f>IF(T449=1,MAX(Z$2:Z448)+1,"")</f>
        <v/>
      </c>
    </row>
    <row r="450">
      <c r="A450">
        <f>IF(A$2=0,"",IFERROR(TRIM(INDEX('Pegar calibracion'!$A$1:$BZ$1001,449,A$2)&amp;""),""))</f>
        <v/>
      </c>
      <c r="B450">
        <f>IF(B$2=0,"",IFERROR(TRIM(INDEX('Pegar calibracion'!$A$1:$BZ$1001,449,B$2)&amp;""),""))</f>
        <v/>
      </c>
      <c r="C450">
        <f>IF(C$2=0,"",IFERROR(TRIM(INDEX('Pegar calibracion'!$A$1:$BZ$1001,449,C$2)&amp;""),""))</f>
        <v/>
      </c>
      <c r="D450">
        <f>IF(D$2=0,"",IFERROR(TRIM(INDEX('Pegar calibracion'!$A$1:$BZ$1001,449,D$2)&amp;""),""))</f>
        <v/>
      </c>
      <c r="E450">
        <f>IF(E$2=0,"",IFERROR(TRIM(INDEX('Pegar calibracion'!$A$1:$BZ$1001,449,E$2)&amp;""),""))</f>
        <v/>
      </c>
      <c r="F450">
        <f>IF(F$2=0,"",IFERROR(TRIM(INDEX('Pegar calibracion'!$A$1:$BZ$1001,449,F$2)&amp;""),""))</f>
        <v/>
      </c>
      <c r="G450">
        <f>IF(G$2=0,"",IFERROR(TRIM(INDEX('Pegar calibracion'!$A$1:$BZ$1001,449,G$2)&amp;""),""))</f>
        <v/>
      </c>
      <c r="H450">
        <f>IF(H$2=0,"",IFERROR(TRIM(INDEX('Pegar calibracion'!$A$1:$BZ$1001,449,H$2)&amp;""),""))</f>
        <v/>
      </c>
      <c r="I450">
        <f>IF(I$2=0,"",IFERROR(TRIM(INDEX('Pegar calibracion'!$A$1:$BZ$1001,449,I$2)&amp;""),""))</f>
        <v/>
      </c>
      <c r="J450">
        <f>IF(J$2=0,"",IFERROR(TRIM(INDEX('Pegar calibracion'!$A$1:$BZ$1001,449,J$2)&amp;""),""))</f>
        <v/>
      </c>
      <c r="K450">
        <f>IF(K$2=0,"",IFERROR(TRIM(INDEX('Pegar calibracion'!$A$1:$BZ$1001,449,K$2)&amp;""),""))</f>
        <v/>
      </c>
      <c r="L450">
        <f>IF(L$2=0,"",IFERROR(TRIM(INDEX('Pegar calibracion'!$A$1:$BZ$1001,449,L$2)&amp;""),""))</f>
        <v/>
      </c>
      <c r="M450" s="25">
        <f>IF(D450="","",SUBSTITUTE(SUBSTITUTE(SUBSTITUTE(SUBSTITUTE(SUBSTITUTE(SUBSTITUTE(SUBSTITUTE(SUBSTITUTE(SUBSTITUTE(SUBSTITUTE(SUBSTITUTE(SUBSTITUTE(LOWER(TRIM(D450)),"á","a"),"é","e"),"í","i"),"ó","o"),"ú","u"),"ü","u"),"ñ","n"),"à","a"),"è","e"),"ì","i"),"ò","o"),"ù","u"))</f>
        <v/>
      </c>
      <c r="N450" s="25">
        <f>IF(F450="","",SUBSTITUTE(SUBSTITUTE(SUBSTITUTE(SUBSTITUTE(SUBSTITUTE(SUBSTITUTE(SUBSTITUTE(SUBSTITUTE(SUBSTITUTE(SUBSTITUTE(SUBSTITUTE(SUBSTITUTE(LOWER(TRIM(F450)),"á","a"),"é","e"),"í","i"),"ó","o"),"ú","u"),"ü","u"),"ñ","n"),"à","a"),"è","e"),"ì","i"),"ò","o"),"ù","u"))</f>
        <v/>
      </c>
      <c r="O450" s="25">
        <f>IF(M450="confiable",2,IF(M450="dudosa",1,IF(M450="no confiable",0,"")))</f>
        <v/>
      </c>
      <c r="P450" s="25">
        <f>IF(N450="confiable",2,IF(N450="dudosa",1,IF(N450="no confiable",0,"")))</f>
        <v/>
      </c>
      <c r="Q450" s="25">
        <f>IF(AND(ISNUMBER(O450),ISNUMBER(P450)),1,"")</f>
        <v/>
      </c>
      <c r="R450" s="25">
        <f>IF(Q450=1,IF(O450=P450,"Sí","No"),"")</f>
        <v/>
      </c>
      <c r="S450" s="25">
        <f>IF(Q450=1,IF(P450&lt;O450,"Más estricto",IF(P450&gt;O450,"Más permisivo","Igual")),"")</f>
        <v/>
      </c>
      <c r="T450" s="25">
        <f>IF(Q450=1,IF(ABS(O450-P450)=2,1,0),"")</f>
        <v/>
      </c>
      <c r="U450" s="25">
        <f>IF(H450="","","|"&amp;SUBSTITUTE(SUBSTITUTE(TRIM(H450)," |","|"),"| ","|")&amp;"|")</f>
        <v/>
      </c>
      <c r="V450" s="25">
        <f>IF(AND(Q450=1,B450&lt;&gt;""),IF(IFERROR(COUNTIFS(B$3:B450,"="&amp;SUBSTITUTE(SUBSTITUTE(SUBSTITUTE(B450,"~","~~"),"*","~*"),"?","~?"),Q$3:Q450,1),0)=1,MAX(V$2:V449)+1,""),"")</f>
        <v/>
      </c>
      <c r="W450" s="25">
        <f>IF(V450="","",COUNTIFS($B$3:$B$1002,"="&amp;SUBSTITUTE(SUBSTITUTE(SUBSTITUTE(B450,"~","~~"),"*","~*"),"?","~?"),$Q$3:$Q$1002,1)*10000-V450)</f>
        <v/>
      </c>
      <c r="X450" s="25">
        <f>IF(Q450=1,IF(SUBSTITUTE(SUBSTITUTE(SUBSTITUTE(SUBSTITUTE(SUBSTITUTE(SUBSTITUTE(SUBSTITUTE(SUBSTITUTE(SUBSTITUTE(SUBSTITUTE(SUBSTITUTE(SUBSTITUTE(LOWER(TRIM(A450)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450)),"á","a"),"é","e"),"í","i"),"ó","o"),"ú","u"),"ü","u"),"ñ","n"),"à","a"),"è","e"),"ì","i"),"ò","o"),"ù","u")),"")</f>
        <v/>
      </c>
      <c r="Y450" s="25">
        <f>IF(X450="","",IF(IFERROR(COUNTIF(X$3:X450,"="&amp;SUBSTITUTE(SUBSTITUTE(SUBSTITUTE(X450,"~","~~"),"*","~*"),"?","~?")),0)=1,1,""))</f>
        <v/>
      </c>
      <c r="Z450" s="25">
        <f>IF(T450=1,MAX(Z$2:Z449)+1,"")</f>
        <v/>
      </c>
    </row>
    <row r="451">
      <c r="A451">
        <f>IF(A$2=0,"",IFERROR(TRIM(INDEX('Pegar calibracion'!$A$1:$BZ$1001,450,A$2)&amp;""),""))</f>
        <v/>
      </c>
      <c r="B451">
        <f>IF(B$2=0,"",IFERROR(TRIM(INDEX('Pegar calibracion'!$A$1:$BZ$1001,450,B$2)&amp;""),""))</f>
        <v/>
      </c>
      <c r="C451">
        <f>IF(C$2=0,"",IFERROR(TRIM(INDEX('Pegar calibracion'!$A$1:$BZ$1001,450,C$2)&amp;""),""))</f>
        <v/>
      </c>
      <c r="D451">
        <f>IF(D$2=0,"",IFERROR(TRIM(INDEX('Pegar calibracion'!$A$1:$BZ$1001,450,D$2)&amp;""),""))</f>
        <v/>
      </c>
      <c r="E451">
        <f>IF(E$2=0,"",IFERROR(TRIM(INDEX('Pegar calibracion'!$A$1:$BZ$1001,450,E$2)&amp;""),""))</f>
        <v/>
      </c>
      <c r="F451">
        <f>IF(F$2=0,"",IFERROR(TRIM(INDEX('Pegar calibracion'!$A$1:$BZ$1001,450,F$2)&amp;""),""))</f>
        <v/>
      </c>
      <c r="G451">
        <f>IF(G$2=0,"",IFERROR(TRIM(INDEX('Pegar calibracion'!$A$1:$BZ$1001,450,G$2)&amp;""),""))</f>
        <v/>
      </c>
      <c r="H451">
        <f>IF(H$2=0,"",IFERROR(TRIM(INDEX('Pegar calibracion'!$A$1:$BZ$1001,450,H$2)&amp;""),""))</f>
        <v/>
      </c>
      <c r="I451">
        <f>IF(I$2=0,"",IFERROR(TRIM(INDEX('Pegar calibracion'!$A$1:$BZ$1001,450,I$2)&amp;""),""))</f>
        <v/>
      </c>
      <c r="J451">
        <f>IF(J$2=0,"",IFERROR(TRIM(INDEX('Pegar calibracion'!$A$1:$BZ$1001,450,J$2)&amp;""),""))</f>
        <v/>
      </c>
      <c r="K451">
        <f>IF(K$2=0,"",IFERROR(TRIM(INDEX('Pegar calibracion'!$A$1:$BZ$1001,450,K$2)&amp;""),""))</f>
        <v/>
      </c>
      <c r="L451">
        <f>IF(L$2=0,"",IFERROR(TRIM(INDEX('Pegar calibracion'!$A$1:$BZ$1001,450,L$2)&amp;""),""))</f>
        <v/>
      </c>
      <c r="M451" s="25">
        <f>IF(D451="","",SUBSTITUTE(SUBSTITUTE(SUBSTITUTE(SUBSTITUTE(SUBSTITUTE(SUBSTITUTE(SUBSTITUTE(SUBSTITUTE(SUBSTITUTE(SUBSTITUTE(SUBSTITUTE(SUBSTITUTE(LOWER(TRIM(D451)),"á","a"),"é","e"),"í","i"),"ó","o"),"ú","u"),"ü","u"),"ñ","n"),"à","a"),"è","e"),"ì","i"),"ò","o"),"ù","u"))</f>
        <v/>
      </c>
      <c r="N451" s="25">
        <f>IF(F451="","",SUBSTITUTE(SUBSTITUTE(SUBSTITUTE(SUBSTITUTE(SUBSTITUTE(SUBSTITUTE(SUBSTITUTE(SUBSTITUTE(SUBSTITUTE(SUBSTITUTE(SUBSTITUTE(SUBSTITUTE(LOWER(TRIM(F451)),"á","a"),"é","e"),"í","i"),"ó","o"),"ú","u"),"ü","u"),"ñ","n"),"à","a"),"è","e"),"ì","i"),"ò","o"),"ù","u"))</f>
        <v/>
      </c>
      <c r="O451" s="25">
        <f>IF(M451="confiable",2,IF(M451="dudosa",1,IF(M451="no confiable",0,"")))</f>
        <v/>
      </c>
      <c r="P451" s="25">
        <f>IF(N451="confiable",2,IF(N451="dudosa",1,IF(N451="no confiable",0,"")))</f>
        <v/>
      </c>
      <c r="Q451" s="25">
        <f>IF(AND(ISNUMBER(O451),ISNUMBER(P451)),1,"")</f>
        <v/>
      </c>
      <c r="R451" s="25">
        <f>IF(Q451=1,IF(O451=P451,"Sí","No"),"")</f>
        <v/>
      </c>
      <c r="S451" s="25">
        <f>IF(Q451=1,IF(P451&lt;O451,"Más estricto",IF(P451&gt;O451,"Más permisivo","Igual")),"")</f>
        <v/>
      </c>
      <c r="T451" s="25">
        <f>IF(Q451=1,IF(ABS(O451-P451)=2,1,0),"")</f>
        <v/>
      </c>
      <c r="U451" s="25">
        <f>IF(H451="","","|"&amp;SUBSTITUTE(SUBSTITUTE(TRIM(H451)," |","|"),"| ","|")&amp;"|")</f>
        <v/>
      </c>
      <c r="V451" s="25">
        <f>IF(AND(Q451=1,B451&lt;&gt;""),IF(IFERROR(COUNTIFS(B$3:B451,"="&amp;SUBSTITUTE(SUBSTITUTE(SUBSTITUTE(B451,"~","~~"),"*","~*"),"?","~?"),Q$3:Q451,1),0)=1,MAX(V$2:V450)+1,""),"")</f>
        <v/>
      </c>
      <c r="W451" s="25">
        <f>IF(V451="","",COUNTIFS($B$3:$B$1002,"="&amp;SUBSTITUTE(SUBSTITUTE(SUBSTITUTE(B451,"~","~~"),"*","~*"),"?","~?"),$Q$3:$Q$1002,1)*10000-V451)</f>
        <v/>
      </c>
      <c r="X451" s="25">
        <f>IF(Q451=1,IF(SUBSTITUTE(SUBSTITUTE(SUBSTITUTE(SUBSTITUTE(SUBSTITUTE(SUBSTITUTE(SUBSTITUTE(SUBSTITUTE(SUBSTITUTE(SUBSTITUTE(SUBSTITUTE(SUBSTITUTE(LOWER(TRIM(A451)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451)),"á","a"),"é","e"),"í","i"),"ó","o"),"ú","u"),"ü","u"),"ñ","n"),"à","a"),"è","e"),"ì","i"),"ò","o"),"ù","u")),"")</f>
        <v/>
      </c>
      <c r="Y451" s="25">
        <f>IF(X451="","",IF(IFERROR(COUNTIF(X$3:X451,"="&amp;SUBSTITUTE(SUBSTITUTE(SUBSTITUTE(X451,"~","~~"),"*","~*"),"?","~?")),0)=1,1,""))</f>
        <v/>
      </c>
      <c r="Z451" s="25">
        <f>IF(T451=1,MAX(Z$2:Z450)+1,"")</f>
        <v/>
      </c>
    </row>
    <row r="452">
      <c r="A452">
        <f>IF(A$2=0,"",IFERROR(TRIM(INDEX('Pegar calibracion'!$A$1:$BZ$1001,451,A$2)&amp;""),""))</f>
        <v/>
      </c>
      <c r="B452">
        <f>IF(B$2=0,"",IFERROR(TRIM(INDEX('Pegar calibracion'!$A$1:$BZ$1001,451,B$2)&amp;""),""))</f>
        <v/>
      </c>
      <c r="C452">
        <f>IF(C$2=0,"",IFERROR(TRIM(INDEX('Pegar calibracion'!$A$1:$BZ$1001,451,C$2)&amp;""),""))</f>
        <v/>
      </c>
      <c r="D452">
        <f>IF(D$2=0,"",IFERROR(TRIM(INDEX('Pegar calibracion'!$A$1:$BZ$1001,451,D$2)&amp;""),""))</f>
        <v/>
      </c>
      <c r="E452">
        <f>IF(E$2=0,"",IFERROR(TRIM(INDEX('Pegar calibracion'!$A$1:$BZ$1001,451,E$2)&amp;""),""))</f>
        <v/>
      </c>
      <c r="F452">
        <f>IF(F$2=0,"",IFERROR(TRIM(INDEX('Pegar calibracion'!$A$1:$BZ$1001,451,F$2)&amp;""),""))</f>
        <v/>
      </c>
      <c r="G452">
        <f>IF(G$2=0,"",IFERROR(TRIM(INDEX('Pegar calibracion'!$A$1:$BZ$1001,451,G$2)&amp;""),""))</f>
        <v/>
      </c>
      <c r="H452">
        <f>IF(H$2=0,"",IFERROR(TRIM(INDEX('Pegar calibracion'!$A$1:$BZ$1001,451,H$2)&amp;""),""))</f>
        <v/>
      </c>
      <c r="I452">
        <f>IF(I$2=0,"",IFERROR(TRIM(INDEX('Pegar calibracion'!$A$1:$BZ$1001,451,I$2)&amp;""),""))</f>
        <v/>
      </c>
      <c r="J452">
        <f>IF(J$2=0,"",IFERROR(TRIM(INDEX('Pegar calibracion'!$A$1:$BZ$1001,451,J$2)&amp;""),""))</f>
        <v/>
      </c>
      <c r="K452">
        <f>IF(K$2=0,"",IFERROR(TRIM(INDEX('Pegar calibracion'!$A$1:$BZ$1001,451,K$2)&amp;""),""))</f>
        <v/>
      </c>
      <c r="L452">
        <f>IF(L$2=0,"",IFERROR(TRIM(INDEX('Pegar calibracion'!$A$1:$BZ$1001,451,L$2)&amp;""),""))</f>
        <v/>
      </c>
      <c r="M452" s="25">
        <f>IF(D452="","",SUBSTITUTE(SUBSTITUTE(SUBSTITUTE(SUBSTITUTE(SUBSTITUTE(SUBSTITUTE(SUBSTITUTE(SUBSTITUTE(SUBSTITUTE(SUBSTITUTE(SUBSTITUTE(SUBSTITUTE(LOWER(TRIM(D452)),"á","a"),"é","e"),"í","i"),"ó","o"),"ú","u"),"ü","u"),"ñ","n"),"à","a"),"è","e"),"ì","i"),"ò","o"),"ù","u"))</f>
        <v/>
      </c>
      <c r="N452" s="25">
        <f>IF(F452="","",SUBSTITUTE(SUBSTITUTE(SUBSTITUTE(SUBSTITUTE(SUBSTITUTE(SUBSTITUTE(SUBSTITUTE(SUBSTITUTE(SUBSTITUTE(SUBSTITUTE(SUBSTITUTE(SUBSTITUTE(LOWER(TRIM(F452)),"á","a"),"é","e"),"í","i"),"ó","o"),"ú","u"),"ü","u"),"ñ","n"),"à","a"),"è","e"),"ì","i"),"ò","o"),"ù","u"))</f>
        <v/>
      </c>
      <c r="O452" s="25">
        <f>IF(M452="confiable",2,IF(M452="dudosa",1,IF(M452="no confiable",0,"")))</f>
        <v/>
      </c>
      <c r="P452" s="25">
        <f>IF(N452="confiable",2,IF(N452="dudosa",1,IF(N452="no confiable",0,"")))</f>
        <v/>
      </c>
      <c r="Q452" s="25">
        <f>IF(AND(ISNUMBER(O452),ISNUMBER(P452)),1,"")</f>
        <v/>
      </c>
      <c r="R452" s="25">
        <f>IF(Q452=1,IF(O452=P452,"Sí","No"),"")</f>
        <v/>
      </c>
      <c r="S452" s="25">
        <f>IF(Q452=1,IF(P452&lt;O452,"Más estricto",IF(P452&gt;O452,"Más permisivo","Igual")),"")</f>
        <v/>
      </c>
      <c r="T452" s="25">
        <f>IF(Q452=1,IF(ABS(O452-P452)=2,1,0),"")</f>
        <v/>
      </c>
      <c r="U452" s="25">
        <f>IF(H452="","","|"&amp;SUBSTITUTE(SUBSTITUTE(TRIM(H452)," |","|"),"| ","|")&amp;"|")</f>
        <v/>
      </c>
      <c r="V452" s="25">
        <f>IF(AND(Q452=1,B452&lt;&gt;""),IF(IFERROR(COUNTIFS(B$3:B452,"="&amp;SUBSTITUTE(SUBSTITUTE(SUBSTITUTE(B452,"~","~~"),"*","~*"),"?","~?"),Q$3:Q452,1),0)=1,MAX(V$2:V451)+1,""),"")</f>
        <v/>
      </c>
      <c r="W452" s="25">
        <f>IF(V452="","",COUNTIFS($B$3:$B$1002,"="&amp;SUBSTITUTE(SUBSTITUTE(SUBSTITUTE(B452,"~","~~"),"*","~*"),"?","~?"),$Q$3:$Q$1002,1)*10000-V452)</f>
        <v/>
      </c>
      <c r="X452" s="25">
        <f>IF(Q452=1,IF(SUBSTITUTE(SUBSTITUTE(SUBSTITUTE(SUBSTITUTE(SUBSTITUTE(SUBSTITUTE(SUBSTITUTE(SUBSTITUTE(SUBSTITUTE(SUBSTITUTE(SUBSTITUTE(SUBSTITUTE(LOWER(TRIM(A452)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452)),"á","a"),"é","e"),"í","i"),"ó","o"),"ú","u"),"ü","u"),"ñ","n"),"à","a"),"è","e"),"ì","i"),"ò","o"),"ù","u")),"")</f>
        <v/>
      </c>
      <c r="Y452" s="25">
        <f>IF(X452="","",IF(IFERROR(COUNTIF(X$3:X452,"="&amp;SUBSTITUTE(SUBSTITUTE(SUBSTITUTE(X452,"~","~~"),"*","~*"),"?","~?")),0)=1,1,""))</f>
        <v/>
      </c>
      <c r="Z452" s="25">
        <f>IF(T452=1,MAX(Z$2:Z451)+1,"")</f>
        <v/>
      </c>
    </row>
    <row r="453">
      <c r="A453">
        <f>IF(A$2=0,"",IFERROR(TRIM(INDEX('Pegar calibracion'!$A$1:$BZ$1001,452,A$2)&amp;""),""))</f>
        <v/>
      </c>
      <c r="B453">
        <f>IF(B$2=0,"",IFERROR(TRIM(INDEX('Pegar calibracion'!$A$1:$BZ$1001,452,B$2)&amp;""),""))</f>
        <v/>
      </c>
      <c r="C453">
        <f>IF(C$2=0,"",IFERROR(TRIM(INDEX('Pegar calibracion'!$A$1:$BZ$1001,452,C$2)&amp;""),""))</f>
        <v/>
      </c>
      <c r="D453">
        <f>IF(D$2=0,"",IFERROR(TRIM(INDEX('Pegar calibracion'!$A$1:$BZ$1001,452,D$2)&amp;""),""))</f>
        <v/>
      </c>
      <c r="E453">
        <f>IF(E$2=0,"",IFERROR(TRIM(INDEX('Pegar calibracion'!$A$1:$BZ$1001,452,E$2)&amp;""),""))</f>
        <v/>
      </c>
      <c r="F453">
        <f>IF(F$2=0,"",IFERROR(TRIM(INDEX('Pegar calibracion'!$A$1:$BZ$1001,452,F$2)&amp;""),""))</f>
        <v/>
      </c>
      <c r="G453">
        <f>IF(G$2=0,"",IFERROR(TRIM(INDEX('Pegar calibracion'!$A$1:$BZ$1001,452,G$2)&amp;""),""))</f>
        <v/>
      </c>
      <c r="H453">
        <f>IF(H$2=0,"",IFERROR(TRIM(INDEX('Pegar calibracion'!$A$1:$BZ$1001,452,H$2)&amp;""),""))</f>
        <v/>
      </c>
      <c r="I453">
        <f>IF(I$2=0,"",IFERROR(TRIM(INDEX('Pegar calibracion'!$A$1:$BZ$1001,452,I$2)&amp;""),""))</f>
        <v/>
      </c>
      <c r="J453">
        <f>IF(J$2=0,"",IFERROR(TRIM(INDEX('Pegar calibracion'!$A$1:$BZ$1001,452,J$2)&amp;""),""))</f>
        <v/>
      </c>
      <c r="K453">
        <f>IF(K$2=0,"",IFERROR(TRIM(INDEX('Pegar calibracion'!$A$1:$BZ$1001,452,K$2)&amp;""),""))</f>
        <v/>
      </c>
      <c r="L453">
        <f>IF(L$2=0,"",IFERROR(TRIM(INDEX('Pegar calibracion'!$A$1:$BZ$1001,452,L$2)&amp;""),""))</f>
        <v/>
      </c>
      <c r="M453" s="25">
        <f>IF(D453="","",SUBSTITUTE(SUBSTITUTE(SUBSTITUTE(SUBSTITUTE(SUBSTITUTE(SUBSTITUTE(SUBSTITUTE(SUBSTITUTE(SUBSTITUTE(SUBSTITUTE(SUBSTITUTE(SUBSTITUTE(LOWER(TRIM(D453)),"á","a"),"é","e"),"í","i"),"ó","o"),"ú","u"),"ü","u"),"ñ","n"),"à","a"),"è","e"),"ì","i"),"ò","o"),"ù","u"))</f>
        <v/>
      </c>
      <c r="N453" s="25">
        <f>IF(F453="","",SUBSTITUTE(SUBSTITUTE(SUBSTITUTE(SUBSTITUTE(SUBSTITUTE(SUBSTITUTE(SUBSTITUTE(SUBSTITUTE(SUBSTITUTE(SUBSTITUTE(SUBSTITUTE(SUBSTITUTE(LOWER(TRIM(F453)),"á","a"),"é","e"),"í","i"),"ó","o"),"ú","u"),"ü","u"),"ñ","n"),"à","a"),"è","e"),"ì","i"),"ò","o"),"ù","u"))</f>
        <v/>
      </c>
      <c r="O453" s="25">
        <f>IF(M453="confiable",2,IF(M453="dudosa",1,IF(M453="no confiable",0,"")))</f>
        <v/>
      </c>
      <c r="P453" s="25">
        <f>IF(N453="confiable",2,IF(N453="dudosa",1,IF(N453="no confiable",0,"")))</f>
        <v/>
      </c>
      <c r="Q453" s="25">
        <f>IF(AND(ISNUMBER(O453),ISNUMBER(P453)),1,"")</f>
        <v/>
      </c>
      <c r="R453" s="25">
        <f>IF(Q453=1,IF(O453=P453,"Sí","No"),"")</f>
        <v/>
      </c>
      <c r="S453" s="25">
        <f>IF(Q453=1,IF(P453&lt;O453,"Más estricto",IF(P453&gt;O453,"Más permisivo","Igual")),"")</f>
        <v/>
      </c>
      <c r="T453" s="25">
        <f>IF(Q453=1,IF(ABS(O453-P453)=2,1,0),"")</f>
        <v/>
      </c>
      <c r="U453" s="25">
        <f>IF(H453="","","|"&amp;SUBSTITUTE(SUBSTITUTE(TRIM(H453)," |","|"),"| ","|")&amp;"|")</f>
        <v/>
      </c>
      <c r="V453" s="25">
        <f>IF(AND(Q453=1,B453&lt;&gt;""),IF(IFERROR(COUNTIFS(B$3:B453,"="&amp;SUBSTITUTE(SUBSTITUTE(SUBSTITUTE(B453,"~","~~"),"*","~*"),"?","~?"),Q$3:Q453,1),0)=1,MAX(V$2:V452)+1,""),"")</f>
        <v/>
      </c>
      <c r="W453" s="25">
        <f>IF(V453="","",COUNTIFS($B$3:$B$1002,"="&amp;SUBSTITUTE(SUBSTITUTE(SUBSTITUTE(B453,"~","~~"),"*","~*"),"?","~?"),$Q$3:$Q$1002,1)*10000-V453)</f>
        <v/>
      </c>
      <c r="X453" s="25">
        <f>IF(Q453=1,IF(SUBSTITUTE(SUBSTITUTE(SUBSTITUTE(SUBSTITUTE(SUBSTITUTE(SUBSTITUTE(SUBSTITUTE(SUBSTITUTE(SUBSTITUTE(SUBSTITUTE(SUBSTITUTE(SUBSTITUTE(LOWER(TRIM(A453)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453)),"á","a"),"é","e"),"í","i"),"ó","o"),"ú","u"),"ü","u"),"ñ","n"),"à","a"),"è","e"),"ì","i"),"ò","o"),"ù","u")),"")</f>
        <v/>
      </c>
      <c r="Y453" s="25">
        <f>IF(X453="","",IF(IFERROR(COUNTIF(X$3:X453,"="&amp;SUBSTITUTE(SUBSTITUTE(SUBSTITUTE(X453,"~","~~"),"*","~*"),"?","~?")),0)=1,1,""))</f>
        <v/>
      </c>
      <c r="Z453" s="25">
        <f>IF(T453=1,MAX(Z$2:Z452)+1,"")</f>
        <v/>
      </c>
    </row>
    <row r="454">
      <c r="A454">
        <f>IF(A$2=0,"",IFERROR(TRIM(INDEX('Pegar calibracion'!$A$1:$BZ$1001,453,A$2)&amp;""),""))</f>
        <v/>
      </c>
      <c r="B454">
        <f>IF(B$2=0,"",IFERROR(TRIM(INDEX('Pegar calibracion'!$A$1:$BZ$1001,453,B$2)&amp;""),""))</f>
        <v/>
      </c>
      <c r="C454">
        <f>IF(C$2=0,"",IFERROR(TRIM(INDEX('Pegar calibracion'!$A$1:$BZ$1001,453,C$2)&amp;""),""))</f>
        <v/>
      </c>
      <c r="D454">
        <f>IF(D$2=0,"",IFERROR(TRIM(INDEX('Pegar calibracion'!$A$1:$BZ$1001,453,D$2)&amp;""),""))</f>
        <v/>
      </c>
      <c r="E454">
        <f>IF(E$2=0,"",IFERROR(TRIM(INDEX('Pegar calibracion'!$A$1:$BZ$1001,453,E$2)&amp;""),""))</f>
        <v/>
      </c>
      <c r="F454">
        <f>IF(F$2=0,"",IFERROR(TRIM(INDEX('Pegar calibracion'!$A$1:$BZ$1001,453,F$2)&amp;""),""))</f>
        <v/>
      </c>
      <c r="G454">
        <f>IF(G$2=0,"",IFERROR(TRIM(INDEX('Pegar calibracion'!$A$1:$BZ$1001,453,G$2)&amp;""),""))</f>
        <v/>
      </c>
      <c r="H454">
        <f>IF(H$2=0,"",IFERROR(TRIM(INDEX('Pegar calibracion'!$A$1:$BZ$1001,453,H$2)&amp;""),""))</f>
        <v/>
      </c>
      <c r="I454">
        <f>IF(I$2=0,"",IFERROR(TRIM(INDEX('Pegar calibracion'!$A$1:$BZ$1001,453,I$2)&amp;""),""))</f>
        <v/>
      </c>
      <c r="J454">
        <f>IF(J$2=0,"",IFERROR(TRIM(INDEX('Pegar calibracion'!$A$1:$BZ$1001,453,J$2)&amp;""),""))</f>
        <v/>
      </c>
      <c r="K454">
        <f>IF(K$2=0,"",IFERROR(TRIM(INDEX('Pegar calibracion'!$A$1:$BZ$1001,453,K$2)&amp;""),""))</f>
        <v/>
      </c>
      <c r="L454">
        <f>IF(L$2=0,"",IFERROR(TRIM(INDEX('Pegar calibracion'!$A$1:$BZ$1001,453,L$2)&amp;""),""))</f>
        <v/>
      </c>
      <c r="M454" s="25">
        <f>IF(D454="","",SUBSTITUTE(SUBSTITUTE(SUBSTITUTE(SUBSTITUTE(SUBSTITUTE(SUBSTITUTE(SUBSTITUTE(SUBSTITUTE(SUBSTITUTE(SUBSTITUTE(SUBSTITUTE(SUBSTITUTE(LOWER(TRIM(D454)),"á","a"),"é","e"),"í","i"),"ó","o"),"ú","u"),"ü","u"),"ñ","n"),"à","a"),"è","e"),"ì","i"),"ò","o"),"ù","u"))</f>
        <v/>
      </c>
      <c r="N454" s="25">
        <f>IF(F454="","",SUBSTITUTE(SUBSTITUTE(SUBSTITUTE(SUBSTITUTE(SUBSTITUTE(SUBSTITUTE(SUBSTITUTE(SUBSTITUTE(SUBSTITUTE(SUBSTITUTE(SUBSTITUTE(SUBSTITUTE(LOWER(TRIM(F454)),"á","a"),"é","e"),"í","i"),"ó","o"),"ú","u"),"ü","u"),"ñ","n"),"à","a"),"è","e"),"ì","i"),"ò","o"),"ù","u"))</f>
        <v/>
      </c>
      <c r="O454" s="25">
        <f>IF(M454="confiable",2,IF(M454="dudosa",1,IF(M454="no confiable",0,"")))</f>
        <v/>
      </c>
      <c r="P454" s="25">
        <f>IF(N454="confiable",2,IF(N454="dudosa",1,IF(N454="no confiable",0,"")))</f>
        <v/>
      </c>
      <c r="Q454" s="25">
        <f>IF(AND(ISNUMBER(O454),ISNUMBER(P454)),1,"")</f>
        <v/>
      </c>
      <c r="R454" s="25">
        <f>IF(Q454=1,IF(O454=P454,"Sí","No"),"")</f>
        <v/>
      </c>
      <c r="S454" s="25">
        <f>IF(Q454=1,IF(P454&lt;O454,"Más estricto",IF(P454&gt;O454,"Más permisivo","Igual")),"")</f>
        <v/>
      </c>
      <c r="T454" s="25">
        <f>IF(Q454=1,IF(ABS(O454-P454)=2,1,0),"")</f>
        <v/>
      </c>
      <c r="U454" s="25">
        <f>IF(H454="","","|"&amp;SUBSTITUTE(SUBSTITUTE(TRIM(H454)," |","|"),"| ","|")&amp;"|")</f>
        <v/>
      </c>
      <c r="V454" s="25">
        <f>IF(AND(Q454=1,B454&lt;&gt;""),IF(IFERROR(COUNTIFS(B$3:B454,"="&amp;SUBSTITUTE(SUBSTITUTE(SUBSTITUTE(B454,"~","~~"),"*","~*"),"?","~?"),Q$3:Q454,1),0)=1,MAX(V$2:V453)+1,""),"")</f>
        <v/>
      </c>
      <c r="W454" s="25">
        <f>IF(V454="","",COUNTIFS($B$3:$B$1002,"="&amp;SUBSTITUTE(SUBSTITUTE(SUBSTITUTE(B454,"~","~~"),"*","~*"),"?","~?"),$Q$3:$Q$1002,1)*10000-V454)</f>
        <v/>
      </c>
      <c r="X454" s="25">
        <f>IF(Q454=1,IF(SUBSTITUTE(SUBSTITUTE(SUBSTITUTE(SUBSTITUTE(SUBSTITUTE(SUBSTITUTE(SUBSTITUTE(SUBSTITUTE(SUBSTITUTE(SUBSTITUTE(SUBSTITUTE(SUBSTITUTE(LOWER(TRIM(A454)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454)),"á","a"),"é","e"),"í","i"),"ó","o"),"ú","u"),"ü","u"),"ñ","n"),"à","a"),"è","e"),"ì","i"),"ò","o"),"ù","u")),"")</f>
        <v/>
      </c>
      <c r="Y454" s="25">
        <f>IF(X454="","",IF(IFERROR(COUNTIF(X$3:X454,"="&amp;SUBSTITUTE(SUBSTITUTE(SUBSTITUTE(X454,"~","~~"),"*","~*"),"?","~?")),0)=1,1,""))</f>
        <v/>
      </c>
      <c r="Z454" s="25">
        <f>IF(T454=1,MAX(Z$2:Z453)+1,"")</f>
        <v/>
      </c>
    </row>
    <row r="455">
      <c r="A455">
        <f>IF(A$2=0,"",IFERROR(TRIM(INDEX('Pegar calibracion'!$A$1:$BZ$1001,454,A$2)&amp;""),""))</f>
        <v/>
      </c>
      <c r="B455">
        <f>IF(B$2=0,"",IFERROR(TRIM(INDEX('Pegar calibracion'!$A$1:$BZ$1001,454,B$2)&amp;""),""))</f>
        <v/>
      </c>
      <c r="C455">
        <f>IF(C$2=0,"",IFERROR(TRIM(INDEX('Pegar calibracion'!$A$1:$BZ$1001,454,C$2)&amp;""),""))</f>
        <v/>
      </c>
      <c r="D455">
        <f>IF(D$2=0,"",IFERROR(TRIM(INDEX('Pegar calibracion'!$A$1:$BZ$1001,454,D$2)&amp;""),""))</f>
        <v/>
      </c>
      <c r="E455">
        <f>IF(E$2=0,"",IFERROR(TRIM(INDEX('Pegar calibracion'!$A$1:$BZ$1001,454,E$2)&amp;""),""))</f>
        <v/>
      </c>
      <c r="F455">
        <f>IF(F$2=0,"",IFERROR(TRIM(INDEX('Pegar calibracion'!$A$1:$BZ$1001,454,F$2)&amp;""),""))</f>
        <v/>
      </c>
      <c r="G455">
        <f>IF(G$2=0,"",IFERROR(TRIM(INDEX('Pegar calibracion'!$A$1:$BZ$1001,454,G$2)&amp;""),""))</f>
        <v/>
      </c>
      <c r="H455">
        <f>IF(H$2=0,"",IFERROR(TRIM(INDEX('Pegar calibracion'!$A$1:$BZ$1001,454,H$2)&amp;""),""))</f>
        <v/>
      </c>
      <c r="I455">
        <f>IF(I$2=0,"",IFERROR(TRIM(INDEX('Pegar calibracion'!$A$1:$BZ$1001,454,I$2)&amp;""),""))</f>
        <v/>
      </c>
      <c r="J455">
        <f>IF(J$2=0,"",IFERROR(TRIM(INDEX('Pegar calibracion'!$A$1:$BZ$1001,454,J$2)&amp;""),""))</f>
        <v/>
      </c>
      <c r="K455">
        <f>IF(K$2=0,"",IFERROR(TRIM(INDEX('Pegar calibracion'!$A$1:$BZ$1001,454,K$2)&amp;""),""))</f>
        <v/>
      </c>
      <c r="L455">
        <f>IF(L$2=0,"",IFERROR(TRIM(INDEX('Pegar calibracion'!$A$1:$BZ$1001,454,L$2)&amp;""),""))</f>
        <v/>
      </c>
      <c r="M455" s="25">
        <f>IF(D455="","",SUBSTITUTE(SUBSTITUTE(SUBSTITUTE(SUBSTITUTE(SUBSTITUTE(SUBSTITUTE(SUBSTITUTE(SUBSTITUTE(SUBSTITUTE(SUBSTITUTE(SUBSTITUTE(SUBSTITUTE(LOWER(TRIM(D455)),"á","a"),"é","e"),"í","i"),"ó","o"),"ú","u"),"ü","u"),"ñ","n"),"à","a"),"è","e"),"ì","i"),"ò","o"),"ù","u"))</f>
        <v/>
      </c>
      <c r="N455" s="25">
        <f>IF(F455="","",SUBSTITUTE(SUBSTITUTE(SUBSTITUTE(SUBSTITUTE(SUBSTITUTE(SUBSTITUTE(SUBSTITUTE(SUBSTITUTE(SUBSTITUTE(SUBSTITUTE(SUBSTITUTE(SUBSTITUTE(LOWER(TRIM(F455)),"á","a"),"é","e"),"í","i"),"ó","o"),"ú","u"),"ü","u"),"ñ","n"),"à","a"),"è","e"),"ì","i"),"ò","o"),"ù","u"))</f>
        <v/>
      </c>
      <c r="O455" s="25">
        <f>IF(M455="confiable",2,IF(M455="dudosa",1,IF(M455="no confiable",0,"")))</f>
        <v/>
      </c>
      <c r="P455" s="25">
        <f>IF(N455="confiable",2,IF(N455="dudosa",1,IF(N455="no confiable",0,"")))</f>
        <v/>
      </c>
      <c r="Q455" s="25">
        <f>IF(AND(ISNUMBER(O455),ISNUMBER(P455)),1,"")</f>
        <v/>
      </c>
      <c r="R455" s="25">
        <f>IF(Q455=1,IF(O455=P455,"Sí","No"),"")</f>
        <v/>
      </c>
      <c r="S455" s="25">
        <f>IF(Q455=1,IF(P455&lt;O455,"Más estricto",IF(P455&gt;O455,"Más permisivo","Igual")),"")</f>
        <v/>
      </c>
      <c r="T455" s="25">
        <f>IF(Q455=1,IF(ABS(O455-P455)=2,1,0),"")</f>
        <v/>
      </c>
      <c r="U455" s="25">
        <f>IF(H455="","","|"&amp;SUBSTITUTE(SUBSTITUTE(TRIM(H455)," |","|"),"| ","|")&amp;"|")</f>
        <v/>
      </c>
      <c r="V455" s="25">
        <f>IF(AND(Q455=1,B455&lt;&gt;""),IF(IFERROR(COUNTIFS(B$3:B455,"="&amp;SUBSTITUTE(SUBSTITUTE(SUBSTITUTE(B455,"~","~~"),"*","~*"),"?","~?"),Q$3:Q455,1),0)=1,MAX(V$2:V454)+1,""),"")</f>
        <v/>
      </c>
      <c r="W455" s="25">
        <f>IF(V455="","",COUNTIFS($B$3:$B$1002,"="&amp;SUBSTITUTE(SUBSTITUTE(SUBSTITUTE(B455,"~","~~"),"*","~*"),"?","~?"),$Q$3:$Q$1002,1)*10000-V455)</f>
        <v/>
      </c>
      <c r="X455" s="25">
        <f>IF(Q455=1,IF(SUBSTITUTE(SUBSTITUTE(SUBSTITUTE(SUBSTITUTE(SUBSTITUTE(SUBSTITUTE(SUBSTITUTE(SUBSTITUTE(SUBSTITUTE(SUBSTITUTE(SUBSTITUTE(SUBSTITUTE(LOWER(TRIM(A455)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455)),"á","a"),"é","e"),"í","i"),"ó","o"),"ú","u"),"ü","u"),"ñ","n"),"à","a"),"è","e"),"ì","i"),"ò","o"),"ù","u")),"")</f>
        <v/>
      </c>
      <c r="Y455" s="25">
        <f>IF(X455="","",IF(IFERROR(COUNTIF(X$3:X455,"="&amp;SUBSTITUTE(SUBSTITUTE(SUBSTITUTE(X455,"~","~~"),"*","~*"),"?","~?")),0)=1,1,""))</f>
        <v/>
      </c>
      <c r="Z455" s="25">
        <f>IF(T455=1,MAX(Z$2:Z454)+1,"")</f>
        <v/>
      </c>
    </row>
    <row r="456">
      <c r="A456">
        <f>IF(A$2=0,"",IFERROR(TRIM(INDEX('Pegar calibracion'!$A$1:$BZ$1001,455,A$2)&amp;""),""))</f>
        <v/>
      </c>
      <c r="B456">
        <f>IF(B$2=0,"",IFERROR(TRIM(INDEX('Pegar calibracion'!$A$1:$BZ$1001,455,B$2)&amp;""),""))</f>
        <v/>
      </c>
      <c r="C456">
        <f>IF(C$2=0,"",IFERROR(TRIM(INDEX('Pegar calibracion'!$A$1:$BZ$1001,455,C$2)&amp;""),""))</f>
        <v/>
      </c>
      <c r="D456">
        <f>IF(D$2=0,"",IFERROR(TRIM(INDEX('Pegar calibracion'!$A$1:$BZ$1001,455,D$2)&amp;""),""))</f>
        <v/>
      </c>
      <c r="E456">
        <f>IF(E$2=0,"",IFERROR(TRIM(INDEX('Pegar calibracion'!$A$1:$BZ$1001,455,E$2)&amp;""),""))</f>
        <v/>
      </c>
      <c r="F456">
        <f>IF(F$2=0,"",IFERROR(TRIM(INDEX('Pegar calibracion'!$A$1:$BZ$1001,455,F$2)&amp;""),""))</f>
        <v/>
      </c>
      <c r="G456">
        <f>IF(G$2=0,"",IFERROR(TRIM(INDEX('Pegar calibracion'!$A$1:$BZ$1001,455,G$2)&amp;""),""))</f>
        <v/>
      </c>
      <c r="H456">
        <f>IF(H$2=0,"",IFERROR(TRIM(INDEX('Pegar calibracion'!$A$1:$BZ$1001,455,H$2)&amp;""),""))</f>
        <v/>
      </c>
      <c r="I456">
        <f>IF(I$2=0,"",IFERROR(TRIM(INDEX('Pegar calibracion'!$A$1:$BZ$1001,455,I$2)&amp;""),""))</f>
        <v/>
      </c>
      <c r="J456">
        <f>IF(J$2=0,"",IFERROR(TRIM(INDEX('Pegar calibracion'!$A$1:$BZ$1001,455,J$2)&amp;""),""))</f>
        <v/>
      </c>
      <c r="K456">
        <f>IF(K$2=0,"",IFERROR(TRIM(INDEX('Pegar calibracion'!$A$1:$BZ$1001,455,K$2)&amp;""),""))</f>
        <v/>
      </c>
      <c r="L456">
        <f>IF(L$2=0,"",IFERROR(TRIM(INDEX('Pegar calibracion'!$A$1:$BZ$1001,455,L$2)&amp;""),""))</f>
        <v/>
      </c>
      <c r="M456" s="25">
        <f>IF(D456="","",SUBSTITUTE(SUBSTITUTE(SUBSTITUTE(SUBSTITUTE(SUBSTITUTE(SUBSTITUTE(SUBSTITUTE(SUBSTITUTE(SUBSTITUTE(SUBSTITUTE(SUBSTITUTE(SUBSTITUTE(LOWER(TRIM(D456)),"á","a"),"é","e"),"í","i"),"ó","o"),"ú","u"),"ü","u"),"ñ","n"),"à","a"),"è","e"),"ì","i"),"ò","o"),"ù","u"))</f>
        <v/>
      </c>
      <c r="N456" s="25">
        <f>IF(F456="","",SUBSTITUTE(SUBSTITUTE(SUBSTITUTE(SUBSTITUTE(SUBSTITUTE(SUBSTITUTE(SUBSTITUTE(SUBSTITUTE(SUBSTITUTE(SUBSTITUTE(SUBSTITUTE(SUBSTITUTE(LOWER(TRIM(F456)),"á","a"),"é","e"),"í","i"),"ó","o"),"ú","u"),"ü","u"),"ñ","n"),"à","a"),"è","e"),"ì","i"),"ò","o"),"ù","u"))</f>
        <v/>
      </c>
      <c r="O456" s="25">
        <f>IF(M456="confiable",2,IF(M456="dudosa",1,IF(M456="no confiable",0,"")))</f>
        <v/>
      </c>
      <c r="P456" s="25">
        <f>IF(N456="confiable",2,IF(N456="dudosa",1,IF(N456="no confiable",0,"")))</f>
        <v/>
      </c>
      <c r="Q456" s="25">
        <f>IF(AND(ISNUMBER(O456),ISNUMBER(P456)),1,"")</f>
        <v/>
      </c>
      <c r="R456" s="25">
        <f>IF(Q456=1,IF(O456=P456,"Sí","No"),"")</f>
        <v/>
      </c>
      <c r="S456" s="25">
        <f>IF(Q456=1,IF(P456&lt;O456,"Más estricto",IF(P456&gt;O456,"Más permisivo","Igual")),"")</f>
        <v/>
      </c>
      <c r="T456" s="25">
        <f>IF(Q456=1,IF(ABS(O456-P456)=2,1,0),"")</f>
        <v/>
      </c>
      <c r="U456" s="25">
        <f>IF(H456="","","|"&amp;SUBSTITUTE(SUBSTITUTE(TRIM(H456)," |","|"),"| ","|")&amp;"|")</f>
        <v/>
      </c>
      <c r="V456" s="25">
        <f>IF(AND(Q456=1,B456&lt;&gt;""),IF(IFERROR(COUNTIFS(B$3:B456,"="&amp;SUBSTITUTE(SUBSTITUTE(SUBSTITUTE(B456,"~","~~"),"*","~*"),"?","~?"),Q$3:Q456,1),0)=1,MAX(V$2:V455)+1,""),"")</f>
        <v/>
      </c>
      <c r="W456" s="25">
        <f>IF(V456="","",COUNTIFS($B$3:$B$1002,"="&amp;SUBSTITUTE(SUBSTITUTE(SUBSTITUTE(B456,"~","~~"),"*","~*"),"?","~?"),$Q$3:$Q$1002,1)*10000-V456)</f>
        <v/>
      </c>
      <c r="X456" s="25">
        <f>IF(Q456=1,IF(SUBSTITUTE(SUBSTITUTE(SUBSTITUTE(SUBSTITUTE(SUBSTITUTE(SUBSTITUTE(SUBSTITUTE(SUBSTITUTE(SUBSTITUTE(SUBSTITUTE(SUBSTITUTE(SUBSTITUTE(LOWER(TRIM(A456)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456)),"á","a"),"é","e"),"í","i"),"ó","o"),"ú","u"),"ü","u"),"ñ","n"),"à","a"),"è","e"),"ì","i"),"ò","o"),"ù","u")),"")</f>
        <v/>
      </c>
      <c r="Y456" s="25">
        <f>IF(X456="","",IF(IFERROR(COUNTIF(X$3:X456,"="&amp;SUBSTITUTE(SUBSTITUTE(SUBSTITUTE(X456,"~","~~"),"*","~*"),"?","~?")),0)=1,1,""))</f>
        <v/>
      </c>
      <c r="Z456" s="25">
        <f>IF(T456=1,MAX(Z$2:Z455)+1,"")</f>
        <v/>
      </c>
    </row>
    <row r="457">
      <c r="A457">
        <f>IF(A$2=0,"",IFERROR(TRIM(INDEX('Pegar calibracion'!$A$1:$BZ$1001,456,A$2)&amp;""),""))</f>
        <v/>
      </c>
      <c r="B457">
        <f>IF(B$2=0,"",IFERROR(TRIM(INDEX('Pegar calibracion'!$A$1:$BZ$1001,456,B$2)&amp;""),""))</f>
        <v/>
      </c>
      <c r="C457">
        <f>IF(C$2=0,"",IFERROR(TRIM(INDEX('Pegar calibracion'!$A$1:$BZ$1001,456,C$2)&amp;""),""))</f>
        <v/>
      </c>
      <c r="D457">
        <f>IF(D$2=0,"",IFERROR(TRIM(INDEX('Pegar calibracion'!$A$1:$BZ$1001,456,D$2)&amp;""),""))</f>
        <v/>
      </c>
      <c r="E457">
        <f>IF(E$2=0,"",IFERROR(TRIM(INDEX('Pegar calibracion'!$A$1:$BZ$1001,456,E$2)&amp;""),""))</f>
        <v/>
      </c>
      <c r="F457">
        <f>IF(F$2=0,"",IFERROR(TRIM(INDEX('Pegar calibracion'!$A$1:$BZ$1001,456,F$2)&amp;""),""))</f>
        <v/>
      </c>
      <c r="G457">
        <f>IF(G$2=0,"",IFERROR(TRIM(INDEX('Pegar calibracion'!$A$1:$BZ$1001,456,G$2)&amp;""),""))</f>
        <v/>
      </c>
      <c r="H457">
        <f>IF(H$2=0,"",IFERROR(TRIM(INDEX('Pegar calibracion'!$A$1:$BZ$1001,456,H$2)&amp;""),""))</f>
        <v/>
      </c>
      <c r="I457">
        <f>IF(I$2=0,"",IFERROR(TRIM(INDEX('Pegar calibracion'!$A$1:$BZ$1001,456,I$2)&amp;""),""))</f>
        <v/>
      </c>
      <c r="J457">
        <f>IF(J$2=0,"",IFERROR(TRIM(INDEX('Pegar calibracion'!$A$1:$BZ$1001,456,J$2)&amp;""),""))</f>
        <v/>
      </c>
      <c r="K457">
        <f>IF(K$2=0,"",IFERROR(TRIM(INDEX('Pegar calibracion'!$A$1:$BZ$1001,456,K$2)&amp;""),""))</f>
        <v/>
      </c>
      <c r="L457">
        <f>IF(L$2=0,"",IFERROR(TRIM(INDEX('Pegar calibracion'!$A$1:$BZ$1001,456,L$2)&amp;""),""))</f>
        <v/>
      </c>
      <c r="M457" s="25">
        <f>IF(D457="","",SUBSTITUTE(SUBSTITUTE(SUBSTITUTE(SUBSTITUTE(SUBSTITUTE(SUBSTITUTE(SUBSTITUTE(SUBSTITUTE(SUBSTITUTE(SUBSTITUTE(SUBSTITUTE(SUBSTITUTE(LOWER(TRIM(D457)),"á","a"),"é","e"),"í","i"),"ó","o"),"ú","u"),"ü","u"),"ñ","n"),"à","a"),"è","e"),"ì","i"),"ò","o"),"ù","u"))</f>
        <v/>
      </c>
      <c r="N457" s="25">
        <f>IF(F457="","",SUBSTITUTE(SUBSTITUTE(SUBSTITUTE(SUBSTITUTE(SUBSTITUTE(SUBSTITUTE(SUBSTITUTE(SUBSTITUTE(SUBSTITUTE(SUBSTITUTE(SUBSTITUTE(SUBSTITUTE(LOWER(TRIM(F457)),"á","a"),"é","e"),"í","i"),"ó","o"),"ú","u"),"ü","u"),"ñ","n"),"à","a"),"è","e"),"ì","i"),"ò","o"),"ù","u"))</f>
        <v/>
      </c>
      <c r="O457" s="25">
        <f>IF(M457="confiable",2,IF(M457="dudosa",1,IF(M457="no confiable",0,"")))</f>
        <v/>
      </c>
      <c r="P457" s="25">
        <f>IF(N457="confiable",2,IF(N457="dudosa",1,IF(N457="no confiable",0,"")))</f>
        <v/>
      </c>
      <c r="Q457" s="25">
        <f>IF(AND(ISNUMBER(O457),ISNUMBER(P457)),1,"")</f>
        <v/>
      </c>
      <c r="R457" s="25">
        <f>IF(Q457=1,IF(O457=P457,"Sí","No"),"")</f>
        <v/>
      </c>
      <c r="S457" s="25">
        <f>IF(Q457=1,IF(P457&lt;O457,"Más estricto",IF(P457&gt;O457,"Más permisivo","Igual")),"")</f>
        <v/>
      </c>
      <c r="T457" s="25">
        <f>IF(Q457=1,IF(ABS(O457-P457)=2,1,0),"")</f>
        <v/>
      </c>
      <c r="U457" s="25">
        <f>IF(H457="","","|"&amp;SUBSTITUTE(SUBSTITUTE(TRIM(H457)," |","|"),"| ","|")&amp;"|")</f>
        <v/>
      </c>
      <c r="V457" s="25">
        <f>IF(AND(Q457=1,B457&lt;&gt;""),IF(IFERROR(COUNTIFS(B$3:B457,"="&amp;SUBSTITUTE(SUBSTITUTE(SUBSTITUTE(B457,"~","~~"),"*","~*"),"?","~?"),Q$3:Q457,1),0)=1,MAX(V$2:V456)+1,""),"")</f>
        <v/>
      </c>
      <c r="W457" s="25">
        <f>IF(V457="","",COUNTIFS($B$3:$B$1002,"="&amp;SUBSTITUTE(SUBSTITUTE(SUBSTITUTE(B457,"~","~~"),"*","~*"),"?","~?"),$Q$3:$Q$1002,1)*10000-V457)</f>
        <v/>
      </c>
      <c r="X457" s="25">
        <f>IF(Q457=1,IF(SUBSTITUTE(SUBSTITUTE(SUBSTITUTE(SUBSTITUTE(SUBSTITUTE(SUBSTITUTE(SUBSTITUTE(SUBSTITUTE(SUBSTITUTE(SUBSTITUTE(SUBSTITUTE(SUBSTITUTE(LOWER(TRIM(A457)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457)),"á","a"),"é","e"),"í","i"),"ó","o"),"ú","u"),"ü","u"),"ñ","n"),"à","a"),"è","e"),"ì","i"),"ò","o"),"ù","u")),"")</f>
        <v/>
      </c>
      <c r="Y457" s="25">
        <f>IF(X457="","",IF(IFERROR(COUNTIF(X$3:X457,"="&amp;SUBSTITUTE(SUBSTITUTE(SUBSTITUTE(X457,"~","~~"),"*","~*"),"?","~?")),0)=1,1,""))</f>
        <v/>
      </c>
      <c r="Z457" s="25">
        <f>IF(T457=1,MAX(Z$2:Z456)+1,"")</f>
        <v/>
      </c>
    </row>
    <row r="458">
      <c r="A458">
        <f>IF(A$2=0,"",IFERROR(TRIM(INDEX('Pegar calibracion'!$A$1:$BZ$1001,457,A$2)&amp;""),""))</f>
        <v/>
      </c>
      <c r="B458">
        <f>IF(B$2=0,"",IFERROR(TRIM(INDEX('Pegar calibracion'!$A$1:$BZ$1001,457,B$2)&amp;""),""))</f>
        <v/>
      </c>
      <c r="C458">
        <f>IF(C$2=0,"",IFERROR(TRIM(INDEX('Pegar calibracion'!$A$1:$BZ$1001,457,C$2)&amp;""),""))</f>
        <v/>
      </c>
      <c r="D458">
        <f>IF(D$2=0,"",IFERROR(TRIM(INDEX('Pegar calibracion'!$A$1:$BZ$1001,457,D$2)&amp;""),""))</f>
        <v/>
      </c>
      <c r="E458">
        <f>IF(E$2=0,"",IFERROR(TRIM(INDEX('Pegar calibracion'!$A$1:$BZ$1001,457,E$2)&amp;""),""))</f>
        <v/>
      </c>
      <c r="F458">
        <f>IF(F$2=0,"",IFERROR(TRIM(INDEX('Pegar calibracion'!$A$1:$BZ$1001,457,F$2)&amp;""),""))</f>
        <v/>
      </c>
      <c r="G458">
        <f>IF(G$2=0,"",IFERROR(TRIM(INDEX('Pegar calibracion'!$A$1:$BZ$1001,457,G$2)&amp;""),""))</f>
        <v/>
      </c>
      <c r="H458">
        <f>IF(H$2=0,"",IFERROR(TRIM(INDEX('Pegar calibracion'!$A$1:$BZ$1001,457,H$2)&amp;""),""))</f>
        <v/>
      </c>
      <c r="I458">
        <f>IF(I$2=0,"",IFERROR(TRIM(INDEX('Pegar calibracion'!$A$1:$BZ$1001,457,I$2)&amp;""),""))</f>
        <v/>
      </c>
      <c r="J458">
        <f>IF(J$2=0,"",IFERROR(TRIM(INDEX('Pegar calibracion'!$A$1:$BZ$1001,457,J$2)&amp;""),""))</f>
        <v/>
      </c>
      <c r="K458">
        <f>IF(K$2=0,"",IFERROR(TRIM(INDEX('Pegar calibracion'!$A$1:$BZ$1001,457,K$2)&amp;""),""))</f>
        <v/>
      </c>
      <c r="L458">
        <f>IF(L$2=0,"",IFERROR(TRIM(INDEX('Pegar calibracion'!$A$1:$BZ$1001,457,L$2)&amp;""),""))</f>
        <v/>
      </c>
      <c r="M458" s="25">
        <f>IF(D458="","",SUBSTITUTE(SUBSTITUTE(SUBSTITUTE(SUBSTITUTE(SUBSTITUTE(SUBSTITUTE(SUBSTITUTE(SUBSTITUTE(SUBSTITUTE(SUBSTITUTE(SUBSTITUTE(SUBSTITUTE(LOWER(TRIM(D458)),"á","a"),"é","e"),"í","i"),"ó","o"),"ú","u"),"ü","u"),"ñ","n"),"à","a"),"è","e"),"ì","i"),"ò","o"),"ù","u"))</f>
        <v/>
      </c>
      <c r="N458" s="25">
        <f>IF(F458="","",SUBSTITUTE(SUBSTITUTE(SUBSTITUTE(SUBSTITUTE(SUBSTITUTE(SUBSTITUTE(SUBSTITUTE(SUBSTITUTE(SUBSTITUTE(SUBSTITUTE(SUBSTITUTE(SUBSTITUTE(LOWER(TRIM(F458)),"á","a"),"é","e"),"í","i"),"ó","o"),"ú","u"),"ü","u"),"ñ","n"),"à","a"),"è","e"),"ì","i"),"ò","o"),"ù","u"))</f>
        <v/>
      </c>
      <c r="O458" s="25">
        <f>IF(M458="confiable",2,IF(M458="dudosa",1,IF(M458="no confiable",0,"")))</f>
        <v/>
      </c>
      <c r="P458" s="25">
        <f>IF(N458="confiable",2,IF(N458="dudosa",1,IF(N458="no confiable",0,"")))</f>
        <v/>
      </c>
      <c r="Q458" s="25">
        <f>IF(AND(ISNUMBER(O458),ISNUMBER(P458)),1,"")</f>
        <v/>
      </c>
      <c r="R458" s="25">
        <f>IF(Q458=1,IF(O458=P458,"Sí","No"),"")</f>
        <v/>
      </c>
      <c r="S458" s="25">
        <f>IF(Q458=1,IF(P458&lt;O458,"Más estricto",IF(P458&gt;O458,"Más permisivo","Igual")),"")</f>
        <v/>
      </c>
      <c r="T458" s="25">
        <f>IF(Q458=1,IF(ABS(O458-P458)=2,1,0),"")</f>
        <v/>
      </c>
      <c r="U458" s="25">
        <f>IF(H458="","","|"&amp;SUBSTITUTE(SUBSTITUTE(TRIM(H458)," |","|"),"| ","|")&amp;"|")</f>
        <v/>
      </c>
      <c r="V458" s="25">
        <f>IF(AND(Q458=1,B458&lt;&gt;""),IF(IFERROR(COUNTIFS(B$3:B458,"="&amp;SUBSTITUTE(SUBSTITUTE(SUBSTITUTE(B458,"~","~~"),"*","~*"),"?","~?"),Q$3:Q458,1),0)=1,MAX(V$2:V457)+1,""),"")</f>
        <v/>
      </c>
      <c r="W458" s="25">
        <f>IF(V458="","",COUNTIFS($B$3:$B$1002,"="&amp;SUBSTITUTE(SUBSTITUTE(SUBSTITUTE(B458,"~","~~"),"*","~*"),"?","~?"),$Q$3:$Q$1002,1)*10000-V458)</f>
        <v/>
      </c>
      <c r="X458" s="25">
        <f>IF(Q458=1,IF(SUBSTITUTE(SUBSTITUTE(SUBSTITUTE(SUBSTITUTE(SUBSTITUTE(SUBSTITUTE(SUBSTITUTE(SUBSTITUTE(SUBSTITUTE(SUBSTITUTE(SUBSTITUTE(SUBSTITUTE(LOWER(TRIM(A458)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458)),"á","a"),"é","e"),"í","i"),"ó","o"),"ú","u"),"ü","u"),"ñ","n"),"à","a"),"è","e"),"ì","i"),"ò","o"),"ù","u")),"")</f>
        <v/>
      </c>
      <c r="Y458" s="25">
        <f>IF(X458="","",IF(IFERROR(COUNTIF(X$3:X458,"="&amp;SUBSTITUTE(SUBSTITUTE(SUBSTITUTE(X458,"~","~~"),"*","~*"),"?","~?")),0)=1,1,""))</f>
        <v/>
      </c>
      <c r="Z458" s="25">
        <f>IF(T458=1,MAX(Z$2:Z457)+1,"")</f>
        <v/>
      </c>
    </row>
    <row r="459">
      <c r="A459">
        <f>IF(A$2=0,"",IFERROR(TRIM(INDEX('Pegar calibracion'!$A$1:$BZ$1001,458,A$2)&amp;""),""))</f>
        <v/>
      </c>
      <c r="B459">
        <f>IF(B$2=0,"",IFERROR(TRIM(INDEX('Pegar calibracion'!$A$1:$BZ$1001,458,B$2)&amp;""),""))</f>
        <v/>
      </c>
      <c r="C459">
        <f>IF(C$2=0,"",IFERROR(TRIM(INDEX('Pegar calibracion'!$A$1:$BZ$1001,458,C$2)&amp;""),""))</f>
        <v/>
      </c>
      <c r="D459">
        <f>IF(D$2=0,"",IFERROR(TRIM(INDEX('Pegar calibracion'!$A$1:$BZ$1001,458,D$2)&amp;""),""))</f>
        <v/>
      </c>
      <c r="E459">
        <f>IF(E$2=0,"",IFERROR(TRIM(INDEX('Pegar calibracion'!$A$1:$BZ$1001,458,E$2)&amp;""),""))</f>
        <v/>
      </c>
      <c r="F459">
        <f>IF(F$2=0,"",IFERROR(TRIM(INDEX('Pegar calibracion'!$A$1:$BZ$1001,458,F$2)&amp;""),""))</f>
        <v/>
      </c>
      <c r="G459">
        <f>IF(G$2=0,"",IFERROR(TRIM(INDEX('Pegar calibracion'!$A$1:$BZ$1001,458,G$2)&amp;""),""))</f>
        <v/>
      </c>
      <c r="H459">
        <f>IF(H$2=0,"",IFERROR(TRIM(INDEX('Pegar calibracion'!$A$1:$BZ$1001,458,H$2)&amp;""),""))</f>
        <v/>
      </c>
      <c r="I459">
        <f>IF(I$2=0,"",IFERROR(TRIM(INDEX('Pegar calibracion'!$A$1:$BZ$1001,458,I$2)&amp;""),""))</f>
        <v/>
      </c>
      <c r="J459">
        <f>IF(J$2=0,"",IFERROR(TRIM(INDEX('Pegar calibracion'!$A$1:$BZ$1001,458,J$2)&amp;""),""))</f>
        <v/>
      </c>
      <c r="K459">
        <f>IF(K$2=0,"",IFERROR(TRIM(INDEX('Pegar calibracion'!$A$1:$BZ$1001,458,K$2)&amp;""),""))</f>
        <v/>
      </c>
      <c r="L459">
        <f>IF(L$2=0,"",IFERROR(TRIM(INDEX('Pegar calibracion'!$A$1:$BZ$1001,458,L$2)&amp;""),""))</f>
        <v/>
      </c>
      <c r="M459" s="25">
        <f>IF(D459="","",SUBSTITUTE(SUBSTITUTE(SUBSTITUTE(SUBSTITUTE(SUBSTITUTE(SUBSTITUTE(SUBSTITUTE(SUBSTITUTE(SUBSTITUTE(SUBSTITUTE(SUBSTITUTE(SUBSTITUTE(LOWER(TRIM(D459)),"á","a"),"é","e"),"í","i"),"ó","o"),"ú","u"),"ü","u"),"ñ","n"),"à","a"),"è","e"),"ì","i"),"ò","o"),"ù","u"))</f>
        <v/>
      </c>
      <c r="N459" s="25">
        <f>IF(F459="","",SUBSTITUTE(SUBSTITUTE(SUBSTITUTE(SUBSTITUTE(SUBSTITUTE(SUBSTITUTE(SUBSTITUTE(SUBSTITUTE(SUBSTITUTE(SUBSTITUTE(SUBSTITUTE(SUBSTITUTE(LOWER(TRIM(F459)),"á","a"),"é","e"),"í","i"),"ó","o"),"ú","u"),"ü","u"),"ñ","n"),"à","a"),"è","e"),"ì","i"),"ò","o"),"ù","u"))</f>
        <v/>
      </c>
      <c r="O459" s="25">
        <f>IF(M459="confiable",2,IF(M459="dudosa",1,IF(M459="no confiable",0,"")))</f>
        <v/>
      </c>
      <c r="P459" s="25">
        <f>IF(N459="confiable",2,IF(N459="dudosa",1,IF(N459="no confiable",0,"")))</f>
        <v/>
      </c>
      <c r="Q459" s="25">
        <f>IF(AND(ISNUMBER(O459),ISNUMBER(P459)),1,"")</f>
        <v/>
      </c>
      <c r="R459" s="25">
        <f>IF(Q459=1,IF(O459=P459,"Sí","No"),"")</f>
        <v/>
      </c>
      <c r="S459" s="25">
        <f>IF(Q459=1,IF(P459&lt;O459,"Más estricto",IF(P459&gt;O459,"Más permisivo","Igual")),"")</f>
        <v/>
      </c>
      <c r="T459" s="25">
        <f>IF(Q459=1,IF(ABS(O459-P459)=2,1,0),"")</f>
        <v/>
      </c>
      <c r="U459" s="25">
        <f>IF(H459="","","|"&amp;SUBSTITUTE(SUBSTITUTE(TRIM(H459)," |","|"),"| ","|")&amp;"|")</f>
        <v/>
      </c>
      <c r="V459" s="25">
        <f>IF(AND(Q459=1,B459&lt;&gt;""),IF(IFERROR(COUNTIFS(B$3:B459,"="&amp;SUBSTITUTE(SUBSTITUTE(SUBSTITUTE(B459,"~","~~"),"*","~*"),"?","~?"),Q$3:Q459,1),0)=1,MAX(V$2:V458)+1,""),"")</f>
        <v/>
      </c>
      <c r="W459" s="25">
        <f>IF(V459="","",COUNTIFS($B$3:$B$1002,"="&amp;SUBSTITUTE(SUBSTITUTE(SUBSTITUTE(B459,"~","~~"),"*","~*"),"?","~?"),$Q$3:$Q$1002,1)*10000-V459)</f>
        <v/>
      </c>
      <c r="X459" s="25">
        <f>IF(Q459=1,IF(SUBSTITUTE(SUBSTITUTE(SUBSTITUTE(SUBSTITUTE(SUBSTITUTE(SUBSTITUTE(SUBSTITUTE(SUBSTITUTE(SUBSTITUTE(SUBSTITUTE(SUBSTITUTE(SUBSTITUTE(LOWER(TRIM(A459)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459)),"á","a"),"é","e"),"í","i"),"ó","o"),"ú","u"),"ü","u"),"ñ","n"),"à","a"),"è","e"),"ì","i"),"ò","o"),"ù","u")),"")</f>
        <v/>
      </c>
      <c r="Y459" s="25">
        <f>IF(X459="","",IF(IFERROR(COUNTIF(X$3:X459,"="&amp;SUBSTITUTE(SUBSTITUTE(SUBSTITUTE(X459,"~","~~"),"*","~*"),"?","~?")),0)=1,1,""))</f>
        <v/>
      </c>
      <c r="Z459" s="25">
        <f>IF(T459=1,MAX(Z$2:Z458)+1,"")</f>
        <v/>
      </c>
    </row>
    <row r="460">
      <c r="A460">
        <f>IF(A$2=0,"",IFERROR(TRIM(INDEX('Pegar calibracion'!$A$1:$BZ$1001,459,A$2)&amp;""),""))</f>
        <v/>
      </c>
      <c r="B460">
        <f>IF(B$2=0,"",IFERROR(TRIM(INDEX('Pegar calibracion'!$A$1:$BZ$1001,459,B$2)&amp;""),""))</f>
        <v/>
      </c>
      <c r="C460">
        <f>IF(C$2=0,"",IFERROR(TRIM(INDEX('Pegar calibracion'!$A$1:$BZ$1001,459,C$2)&amp;""),""))</f>
        <v/>
      </c>
      <c r="D460">
        <f>IF(D$2=0,"",IFERROR(TRIM(INDEX('Pegar calibracion'!$A$1:$BZ$1001,459,D$2)&amp;""),""))</f>
        <v/>
      </c>
      <c r="E460">
        <f>IF(E$2=0,"",IFERROR(TRIM(INDEX('Pegar calibracion'!$A$1:$BZ$1001,459,E$2)&amp;""),""))</f>
        <v/>
      </c>
      <c r="F460">
        <f>IF(F$2=0,"",IFERROR(TRIM(INDEX('Pegar calibracion'!$A$1:$BZ$1001,459,F$2)&amp;""),""))</f>
        <v/>
      </c>
      <c r="G460">
        <f>IF(G$2=0,"",IFERROR(TRIM(INDEX('Pegar calibracion'!$A$1:$BZ$1001,459,G$2)&amp;""),""))</f>
        <v/>
      </c>
      <c r="H460">
        <f>IF(H$2=0,"",IFERROR(TRIM(INDEX('Pegar calibracion'!$A$1:$BZ$1001,459,H$2)&amp;""),""))</f>
        <v/>
      </c>
      <c r="I460">
        <f>IF(I$2=0,"",IFERROR(TRIM(INDEX('Pegar calibracion'!$A$1:$BZ$1001,459,I$2)&amp;""),""))</f>
        <v/>
      </c>
      <c r="J460">
        <f>IF(J$2=0,"",IFERROR(TRIM(INDEX('Pegar calibracion'!$A$1:$BZ$1001,459,J$2)&amp;""),""))</f>
        <v/>
      </c>
      <c r="K460">
        <f>IF(K$2=0,"",IFERROR(TRIM(INDEX('Pegar calibracion'!$A$1:$BZ$1001,459,K$2)&amp;""),""))</f>
        <v/>
      </c>
      <c r="L460">
        <f>IF(L$2=0,"",IFERROR(TRIM(INDEX('Pegar calibracion'!$A$1:$BZ$1001,459,L$2)&amp;""),""))</f>
        <v/>
      </c>
      <c r="M460" s="25">
        <f>IF(D460="","",SUBSTITUTE(SUBSTITUTE(SUBSTITUTE(SUBSTITUTE(SUBSTITUTE(SUBSTITUTE(SUBSTITUTE(SUBSTITUTE(SUBSTITUTE(SUBSTITUTE(SUBSTITUTE(SUBSTITUTE(LOWER(TRIM(D460)),"á","a"),"é","e"),"í","i"),"ó","o"),"ú","u"),"ü","u"),"ñ","n"),"à","a"),"è","e"),"ì","i"),"ò","o"),"ù","u"))</f>
        <v/>
      </c>
      <c r="N460" s="25">
        <f>IF(F460="","",SUBSTITUTE(SUBSTITUTE(SUBSTITUTE(SUBSTITUTE(SUBSTITUTE(SUBSTITUTE(SUBSTITUTE(SUBSTITUTE(SUBSTITUTE(SUBSTITUTE(SUBSTITUTE(SUBSTITUTE(LOWER(TRIM(F460)),"á","a"),"é","e"),"í","i"),"ó","o"),"ú","u"),"ü","u"),"ñ","n"),"à","a"),"è","e"),"ì","i"),"ò","o"),"ù","u"))</f>
        <v/>
      </c>
      <c r="O460" s="25">
        <f>IF(M460="confiable",2,IF(M460="dudosa",1,IF(M460="no confiable",0,"")))</f>
        <v/>
      </c>
      <c r="P460" s="25">
        <f>IF(N460="confiable",2,IF(N460="dudosa",1,IF(N460="no confiable",0,"")))</f>
        <v/>
      </c>
      <c r="Q460" s="25">
        <f>IF(AND(ISNUMBER(O460),ISNUMBER(P460)),1,"")</f>
        <v/>
      </c>
      <c r="R460" s="25">
        <f>IF(Q460=1,IF(O460=P460,"Sí","No"),"")</f>
        <v/>
      </c>
      <c r="S460" s="25">
        <f>IF(Q460=1,IF(P460&lt;O460,"Más estricto",IF(P460&gt;O460,"Más permisivo","Igual")),"")</f>
        <v/>
      </c>
      <c r="T460" s="25">
        <f>IF(Q460=1,IF(ABS(O460-P460)=2,1,0),"")</f>
        <v/>
      </c>
      <c r="U460" s="25">
        <f>IF(H460="","","|"&amp;SUBSTITUTE(SUBSTITUTE(TRIM(H460)," |","|"),"| ","|")&amp;"|")</f>
        <v/>
      </c>
      <c r="V460" s="25">
        <f>IF(AND(Q460=1,B460&lt;&gt;""),IF(IFERROR(COUNTIFS(B$3:B460,"="&amp;SUBSTITUTE(SUBSTITUTE(SUBSTITUTE(B460,"~","~~"),"*","~*"),"?","~?"),Q$3:Q460,1),0)=1,MAX(V$2:V459)+1,""),"")</f>
        <v/>
      </c>
      <c r="W460" s="25">
        <f>IF(V460="","",COUNTIFS($B$3:$B$1002,"="&amp;SUBSTITUTE(SUBSTITUTE(SUBSTITUTE(B460,"~","~~"),"*","~*"),"?","~?"),$Q$3:$Q$1002,1)*10000-V460)</f>
        <v/>
      </c>
      <c r="X460" s="25">
        <f>IF(Q460=1,IF(SUBSTITUTE(SUBSTITUTE(SUBSTITUTE(SUBSTITUTE(SUBSTITUTE(SUBSTITUTE(SUBSTITUTE(SUBSTITUTE(SUBSTITUTE(SUBSTITUTE(SUBSTITUTE(SUBSTITUTE(LOWER(TRIM(A460)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460)),"á","a"),"é","e"),"í","i"),"ó","o"),"ú","u"),"ü","u"),"ñ","n"),"à","a"),"è","e"),"ì","i"),"ò","o"),"ù","u")),"")</f>
        <v/>
      </c>
      <c r="Y460" s="25">
        <f>IF(X460="","",IF(IFERROR(COUNTIF(X$3:X460,"="&amp;SUBSTITUTE(SUBSTITUTE(SUBSTITUTE(X460,"~","~~"),"*","~*"),"?","~?")),0)=1,1,""))</f>
        <v/>
      </c>
      <c r="Z460" s="25">
        <f>IF(T460=1,MAX(Z$2:Z459)+1,"")</f>
        <v/>
      </c>
    </row>
    <row r="461">
      <c r="A461">
        <f>IF(A$2=0,"",IFERROR(TRIM(INDEX('Pegar calibracion'!$A$1:$BZ$1001,460,A$2)&amp;""),""))</f>
        <v/>
      </c>
      <c r="B461">
        <f>IF(B$2=0,"",IFERROR(TRIM(INDEX('Pegar calibracion'!$A$1:$BZ$1001,460,B$2)&amp;""),""))</f>
        <v/>
      </c>
      <c r="C461">
        <f>IF(C$2=0,"",IFERROR(TRIM(INDEX('Pegar calibracion'!$A$1:$BZ$1001,460,C$2)&amp;""),""))</f>
        <v/>
      </c>
      <c r="D461">
        <f>IF(D$2=0,"",IFERROR(TRIM(INDEX('Pegar calibracion'!$A$1:$BZ$1001,460,D$2)&amp;""),""))</f>
        <v/>
      </c>
      <c r="E461">
        <f>IF(E$2=0,"",IFERROR(TRIM(INDEX('Pegar calibracion'!$A$1:$BZ$1001,460,E$2)&amp;""),""))</f>
        <v/>
      </c>
      <c r="F461">
        <f>IF(F$2=0,"",IFERROR(TRIM(INDEX('Pegar calibracion'!$A$1:$BZ$1001,460,F$2)&amp;""),""))</f>
        <v/>
      </c>
      <c r="G461">
        <f>IF(G$2=0,"",IFERROR(TRIM(INDEX('Pegar calibracion'!$A$1:$BZ$1001,460,G$2)&amp;""),""))</f>
        <v/>
      </c>
      <c r="H461">
        <f>IF(H$2=0,"",IFERROR(TRIM(INDEX('Pegar calibracion'!$A$1:$BZ$1001,460,H$2)&amp;""),""))</f>
        <v/>
      </c>
      <c r="I461">
        <f>IF(I$2=0,"",IFERROR(TRIM(INDEX('Pegar calibracion'!$A$1:$BZ$1001,460,I$2)&amp;""),""))</f>
        <v/>
      </c>
      <c r="J461">
        <f>IF(J$2=0,"",IFERROR(TRIM(INDEX('Pegar calibracion'!$A$1:$BZ$1001,460,J$2)&amp;""),""))</f>
        <v/>
      </c>
      <c r="K461">
        <f>IF(K$2=0,"",IFERROR(TRIM(INDEX('Pegar calibracion'!$A$1:$BZ$1001,460,K$2)&amp;""),""))</f>
        <v/>
      </c>
      <c r="L461">
        <f>IF(L$2=0,"",IFERROR(TRIM(INDEX('Pegar calibracion'!$A$1:$BZ$1001,460,L$2)&amp;""),""))</f>
        <v/>
      </c>
      <c r="M461" s="25">
        <f>IF(D461="","",SUBSTITUTE(SUBSTITUTE(SUBSTITUTE(SUBSTITUTE(SUBSTITUTE(SUBSTITUTE(SUBSTITUTE(SUBSTITUTE(SUBSTITUTE(SUBSTITUTE(SUBSTITUTE(SUBSTITUTE(LOWER(TRIM(D461)),"á","a"),"é","e"),"í","i"),"ó","o"),"ú","u"),"ü","u"),"ñ","n"),"à","a"),"è","e"),"ì","i"),"ò","o"),"ù","u"))</f>
        <v/>
      </c>
      <c r="N461" s="25">
        <f>IF(F461="","",SUBSTITUTE(SUBSTITUTE(SUBSTITUTE(SUBSTITUTE(SUBSTITUTE(SUBSTITUTE(SUBSTITUTE(SUBSTITUTE(SUBSTITUTE(SUBSTITUTE(SUBSTITUTE(SUBSTITUTE(LOWER(TRIM(F461)),"á","a"),"é","e"),"í","i"),"ó","o"),"ú","u"),"ü","u"),"ñ","n"),"à","a"),"è","e"),"ì","i"),"ò","o"),"ù","u"))</f>
        <v/>
      </c>
      <c r="O461" s="25">
        <f>IF(M461="confiable",2,IF(M461="dudosa",1,IF(M461="no confiable",0,"")))</f>
        <v/>
      </c>
      <c r="P461" s="25">
        <f>IF(N461="confiable",2,IF(N461="dudosa",1,IF(N461="no confiable",0,"")))</f>
        <v/>
      </c>
      <c r="Q461" s="25">
        <f>IF(AND(ISNUMBER(O461),ISNUMBER(P461)),1,"")</f>
        <v/>
      </c>
      <c r="R461" s="25">
        <f>IF(Q461=1,IF(O461=P461,"Sí","No"),"")</f>
        <v/>
      </c>
      <c r="S461" s="25">
        <f>IF(Q461=1,IF(P461&lt;O461,"Más estricto",IF(P461&gt;O461,"Más permisivo","Igual")),"")</f>
        <v/>
      </c>
      <c r="T461" s="25">
        <f>IF(Q461=1,IF(ABS(O461-P461)=2,1,0),"")</f>
        <v/>
      </c>
      <c r="U461" s="25">
        <f>IF(H461="","","|"&amp;SUBSTITUTE(SUBSTITUTE(TRIM(H461)," |","|"),"| ","|")&amp;"|")</f>
        <v/>
      </c>
      <c r="V461" s="25">
        <f>IF(AND(Q461=1,B461&lt;&gt;""),IF(IFERROR(COUNTIFS(B$3:B461,"="&amp;SUBSTITUTE(SUBSTITUTE(SUBSTITUTE(B461,"~","~~"),"*","~*"),"?","~?"),Q$3:Q461,1),0)=1,MAX(V$2:V460)+1,""),"")</f>
        <v/>
      </c>
      <c r="W461" s="25">
        <f>IF(V461="","",COUNTIFS($B$3:$B$1002,"="&amp;SUBSTITUTE(SUBSTITUTE(SUBSTITUTE(B461,"~","~~"),"*","~*"),"?","~?"),$Q$3:$Q$1002,1)*10000-V461)</f>
        <v/>
      </c>
      <c r="X461" s="25">
        <f>IF(Q461=1,IF(SUBSTITUTE(SUBSTITUTE(SUBSTITUTE(SUBSTITUTE(SUBSTITUTE(SUBSTITUTE(SUBSTITUTE(SUBSTITUTE(SUBSTITUTE(SUBSTITUTE(SUBSTITUTE(SUBSTITUTE(LOWER(TRIM(A461)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461)),"á","a"),"é","e"),"í","i"),"ó","o"),"ú","u"),"ü","u"),"ñ","n"),"à","a"),"è","e"),"ì","i"),"ò","o"),"ù","u")),"")</f>
        <v/>
      </c>
      <c r="Y461" s="25">
        <f>IF(X461="","",IF(IFERROR(COUNTIF(X$3:X461,"="&amp;SUBSTITUTE(SUBSTITUTE(SUBSTITUTE(X461,"~","~~"),"*","~*"),"?","~?")),0)=1,1,""))</f>
        <v/>
      </c>
      <c r="Z461" s="25">
        <f>IF(T461=1,MAX(Z$2:Z460)+1,"")</f>
        <v/>
      </c>
    </row>
    <row r="462">
      <c r="A462">
        <f>IF(A$2=0,"",IFERROR(TRIM(INDEX('Pegar calibracion'!$A$1:$BZ$1001,461,A$2)&amp;""),""))</f>
        <v/>
      </c>
      <c r="B462">
        <f>IF(B$2=0,"",IFERROR(TRIM(INDEX('Pegar calibracion'!$A$1:$BZ$1001,461,B$2)&amp;""),""))</f>
        <v/>
      </c>
      <c r="C462">
        <f>IF(C$2=0,"",IFERROR(TRIM(INDEX('Pegar calibracion'!$A$1:$BZ$1001,461,C$2)&amp;""),""))</f>
        <v/>
      </c>
      <c r="D462">
        <f>IF(D$2=0,"",IFERROR(TRIM(INDEX('Pegar calibracion'!$A$1:$BZ$1001,461,D$2)&amp;""),""))</f>
        <v/>
      </c>
      <c r="E462">
        <f>IF(E$2=0,"",IFERROR(TRIM(INDEX('Pegar calibracion'!$A$1:$BZ$1001,461,E$2)&amp;""),""))</f>
        <v/>
      </c>
      <c r="F462">
        <f>IF(F$2=0,"",IFERROR(TRIM(INDEX('Pegar calibracion'!$A$1:$BZ$1001,461,F$2)&amp;""),""))</f>
        <v/>
      </c>
      <c r="G462">
        <f>IF(G$2=0,"",IFERROR(TRIM(INDEX('Pegar calibracion'!$A$1:$BZ$1001,461,G$2)&amp;""),""))</f>
        <v/>
      </c>
      <c r="H462">
        <f>IF(H$2=0,"",IFERROR(TRIM(INDEX('Pegar calibracion'!$A$1:$BZ$1001,461,H$2)&amp;""),""))</f>
        <v/>
      </c>
      <c r="I462">
        <f>IF(I$2=0,"",IFERROR(TRIM(INDEX('Pegar calibracion'!$A$1:$BZ$1001,461,I$2)&amp;""),""))</f>
        <v/>
      </c>
      <c r="J462">
        <f>IF(J$2=0,"",IFERROR(TRIM(INDEX('Pegar calibracion'!$A$1:$BZ$1001,461,J$2)&amp;""),""))</f>
        <v/>
      </c>
      <c r="K462">
        <f>IF(K$2=0,"",IFERROR(TRIM(INDEX('Pegar calibracion'!$A$1:$BZ$1001,461,K$2)&amp;""),""))</f>
        <v/>
      </c>
      <c r="L462">
        <f>IF(L$2=0,"",IFERROR(TRIM(INDEX('Pegar calibracion'!$A$1:$BZ$1001,461,L$2)&amp;""),""))</f>
        <v/>
      </c>
      <c r="M462" s="25">
        <f>IF(D462="","",SUBSTITUTE(SUBSTITUTE(SUBSTITUTE(SUBSTITUTE(SUBSTITUTE(SUBSTITUTE(SUBSTITUTE(SUBSTITUTE(SUBSTITUTE(SUBSTITUTE(SUBSTITUTE(SUBSTITUTE(LOWER(TRIM(D462)),"á","a"),"é","e"),"í","i"),"ó","o"),"ú","u"),"ü","u"),"ñ","n"),"à","a"),"è","e"),"ì","i"),"ò","o"),"ù","u"))</f>
        <v/>
      </c>
      <c r="N462" s="25">
        <f>IF(F462="","",SUBSTITUTE(SUBSTITUTE(SUBSTITUTE(SUBSTITUTE(SUBSTITUTE(SUBSTITUTE(SUBSTITUTE(SUBSTITUTE(SUBSTITUTE(SUBSTITUTE(SUBSTITUTE(SUBSTITUTE(LOWER(TRIM(F462)),"á","a"),"é","e"),"í","i"),"ó","o"),"ú","u"),"ü","u"),"ñ","n"),"à","a"),"è","e"),"ì","i"),"ò","o"),"ù","u"))</f>
        <v/>
      </c>
      <c r="O462" s="25">
        <f>IF(M462="confiable",2,IF(M462="dudosa",1,IF(M462="no confiable",0,"")))</f>
        <v/>
      </c>
      <c r="P462" s="25">
        <f>IF(N462="confiable",2,IF(N462="dudosa",1,IF(N462="no confiable",0,"")))</f>
        <v/>
      </c>
      <c r="Q462" s="25">
        <f>IF(AND(ISNUMBER(O462),ISNUMBER(P462)),1,"")</f>
        <v/>
      </c>
      <c r="R462" s="25">
        <f>IF(Q462=1,IF(O462=P462,"Sí","No"),"")</f>
        <v/>
      </c>
      <c r="S462" s="25">
        <f>IF(Q462=1,IF(P462&lt;O462,"Más estricto",IF(P462&gt;O462,"Más permisivo","Igual")),"")</f>
        <v/>
      </c>
      <c r="T462" s="25">
        <f>IF(Q462=1,IF(ABS(O462-P462)=2,1,0),"")</f>
        <v/>
      </c>
      <c r="U462" s="25">
        <f>IF(H462="","","|"&amp;SUBSTITUTE(SUBSTITUTE(TRIM(H462)," |","|"),"| ","|")&amp;"|")</f>
        <v/>
      </c>
      <c r="V462" s="25">
        <f>IF(AND(Q462=1,B462&lt;&gt;""),IF(IFERROR(COUNTIFS(B$3:B462,"="&amp;SUBSTITUTE(SUBSTITUTE(SUBSTITUTE(B462,"~","~~"),"*","~*"),"?","~?"),Q$3:Q462,1),0)=1,MAX(V$2:V461)+1,""),"")</f>
        <v/>
      </c>
      <c r="W462" s="25">
        <f>IF(V462="","",COUNTIFS($B$3:$B$1002,"="&amp;SUBSTITUTE(SUBSTITUTE(SUBSTITUTE(B462,"~","~~"),"*","~*"),"?","~?"),$Q$3:$Q$1002,1)*10000-V462)</f>
        <v/>
      </c>
      <c r="X462" s="25">
        <f>IF(Q462=1,IF(SUBSTITUTE(SUBSTITUTE(SUBSTITUTE(SUBSTITUTE(SUBSTITUTE(SUBSTITUTE(SUBSTITUTE(SUBSTITUTE(SUBSTITUTE(SUBSTITUTE(SUBSTITUTE(SUBSTITUTE(LOWER(TRIM(A462)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462)),"á","a"),"é","e"),"í","i"),"ó","o"),"ú","u"),"ü","u"),"ñ","n"),"à","a"),"è","e"),"ì","i"),"ò","o"),"ù","u")),"")</f>
        <v/>
      </c>
      <c r="Y462" s="25">
        <f>IF(X462="","",IF(IFERROR(COUNTIF(X$3:X462,"="&amp;SUBSTITUTE(SUBSTITUTE(SUBSTITUTE(X462,"~","~~"),"*","~*"),"?","~?")),0)=1,1,""))</f>
        <v/>
      </c>
      <c r="Z462" s="25">
        <f>IF(T462=1,MAX(Z$2:Z461)+1,"")</f>
        <v/>
      </c>
    </row>
    <row r="463">
      <c r="A463">
        <f>IF(A$2=0,"",IFERROR(TRIM(INDEX('Pegar calibracion'!$A$1:$BZ$1001,462,A$2)&amp;""),""))</f>
        <v/>
      </c>
      <c r="B463">
        <f>IF(B$2=0,"",IFERROR(TRIM(INDEX('Pegar calibracion'!$A$1:$BZ$1001,462,B$2)&amp;""),""))</f>
        <v/>
      </c>
      <c r="C463">
        <f>IF(C$2=0,"",IFERROR(TRIM(INDEX('Pegar calibracion'!$A$1:$BZ$1001,462,C$2)&amp;""),""))</f>
        <v/>
      </c>
      <c r="D463">
        <f>IF(D$2=0,"",IFERROR(TRIM(INDEX('Pegar calibracion'!$A$1:$BZ$1001,462,D$2)&amp;""),""))</f>
        <v/>
      </c>
      <c r="E463">
        <f>IF(E$2=0,"",IFERROR(TRIM(INDEX('Pegar calibracion'!$A$1:$BZ$1001,462,E$2)&amp;""),""))</f>
        <v/>
      </c>
      <c r="F463">
        <f>IF(F$2=0,"",IFERROR(TRIM(INDEX('Pegar calibracion'!$A$1:$BZ$1001,462,F$2)&amp;""),""))</f>
        <v/>
      </c>
      <c r="G463">
        <f>IF(G$2=0,"",IFERROR(TRIM(INDEX('Pegar calibracion'!$A$1:$BZ$1001,462,G$2)&amp;""),""))</f>
        <v/>
      </c>
      <c r="H463">
        <f>IF(H$2=0,"",IFERROR(TRIM(INDEX('Pegar calibracion'!$A$1:$BZ$1001,462,H$2)&amp;""),""))</f>
        <v/>
      </c>
      <c r="I463">
        <f>IF(I$2=0,"",IFERROR(TRIM(INDEX('Pegar calibracion'!$A$1:$BZ$1001,462,I$2)&amp;""),""))</f>
        <v/>
      </c>
      <c r="J463">
        <f>IF(J$2=0,"",IFERROR(TRIM(INDEX('Pegar calibracion'!$A$1:$BZ$1001,462,J$2)&amp;""),""))</f>
        <v/>
      </c>
      <c r="K463">
        <f>IF(K$2=0,"",IFERROR(TRIM(INDEX('Pegar calibracion'!$A$1:$BZ$1001,462,K$2)&amp;""),""))</f>
        <v/>
      </c>
      <c r="L463">
        <f>IF(L$2=0,"",IFERROR(TRIM(INDEX('Pegar calibracion'!$A$1:$BZ$1001,462,L$2)&amp;""),""))</f>
        <v/>
      </c>
      <c r="M463" s="25">
        <f>IF(D463="","",SUBSTITUTE(SUBSTITUTE(SUBSTITUTE(SUBSTITUTE(SUBSTITUTE(SUBSTITUTE(SUBSTITUTE(SUBSTITUTE(SUBSTITUTE(SUBSTITUTE(SUBSTITUTE(SUBSTITUTE(LOWER(TRIM(D463)),"á","a"),"é","e"),"í","i"),"ó","o"),"ú","u"),"ü","u"),"ñ","n"),"à","a"),"è","e"),"ì","i"),"ò","o"),"ù","u"))</f>
        <v/>
      </c>
      <c r="N463" s="25">
        <f>IF(F463="","",SUBSTITUTE(SUBSTITUTE(SUBSTITUTE(SUBSTITUTE(SUBSTITUTE(SUBSTITUTE(SUBSTITUTE(SUBSTITUTE(SUBSTITUTE(SUBSTITUTE(SUBSTITUTE(SUBSTITUTE(LOWER(TRIM(F463)),"á","a"),"é","e"),"í","i"),"ó","o"),"ú","u"),"ü","u"),"ñ","n"),"à","a"),"è","e"),"ì","i"),"ò","o"),"ù","u"))</f>
        <v/>
      </c>
      <c r="O463" s="25">
        <f>IF(M463="confiable",2,IF(M463="dudosa",1,IF(M463="no confiable",0,"")))</f>
        <v/>
      </c>
      <c r="P463" s="25">
        <f>IF(N463="confiable",2,IF(N463="dudosa",1,IF(N463="no confiable",0,"")))</f>
        <v/>
      </c>
      <c r="Q463" s="25">
        <f>IF(AND(ISNUMBER(O463),ISNUMBER(P463)),1,"")</f>
        <v/>
      </c>
      <c r="R463" s="25">
        <f>IF(Q463=1,IF(O463=P463,"Sí","No"),"")</f>
        <v/>
      </c>
      <c r="S463" s="25">
        <f>IF(Q463=1,IF(P463&lt;O463,"Más estricto",IF(P463&gt;O463,"Más permisivo","Igual")),"")</f>
        <v/>
      </c>
      <c r="T463" s="25">
        <f>IF(Q463=1,IF(ABS(O463-P463)=2,1,0),"")</f>
        <v/>
      </c>
      <c r="U463" s="25">
        <f>IF(H463="","","|"&amp;SUBSTITUTE(SUBSTITUTE(TRIM(H463)," |","|"),"| ","|")&amp;"|")</f>
        <v/>
      </c>
      <c r="V463" s="25">
        <f>IF(AND(Q463=1,B463&lt;&gt;""),IF(IFERROR(COUNTIFS(B$3:B463,"="&amp;SUBSTITUTE(SUBSTITUTE(SUBSTITUTE(B463,"~","~~"),"*","~*"),"?","~?"),Q$3:Q463,1),0)=1,MAX(V$2:V462)+1,""),"")</f>
        <v/>
      </c>
      <c r="W463" s="25">
        <f>IF(V463="","",COUNTIFS($B$3:$B$1002,"="&amp;SUBSTITUTE(SUBSTITUTE(SUBSTITUTE(B463,"~","~~"),"*","~*"),"?","~?"),$Q$3:$Q$1002,1)*10000-V463)</f>
        <v/>
      </c>
      <c r="X463" s="25">
        <f>IF(Q463=1,IF(SUBSTITUTE(SUBSTITUTE(SUBSTITUTE(SUBSTITUTE(SUBSTITUTE(SUBSTITUTE(SUBSTITUTE(SUBSTITUTE(SUBSTITUTE(SUBSTITUTE(SUBSTITUTE(SUBSTITUTE(LOWER(TRIM(A463)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463)),"á","a"),"é","e"),"í","i"),"ó","o"),"ú","u"),"ü","u"),"ñ","n"),"à","a"),"è","e"),"ì","i"),"ò","o"),"ù","u")),"")</f>
        <v/>
      </c>
      <c r="Y463" s="25">
        <f>IF(X463="","",IF(IFERROR(COUNTIF(X$3:X463,"="&amp;SUBSTITUTE(SUBSTITUTE(SUBSTITUTE(X463,"~","~~"),"*","~*"),"?","~?")),0)=1,1,""))</f>
        <v/>
      </c>
      <c r="Z463" s="25">
        <f>IF(T463=1,MAX(Z$2:Z462)+1,"")</f>
        <v/>
      </c>
    </row>
    <row r="464">
      <c r="A464">
        <f>IF(A$2=0,"",IFERROR(TRIM(INDEX('Pegar calibracion'!$A$1:$BZ$1001,463,A$2)&amp;""),""))</f>
        <v/>
      </c>
      <c r="B464">
        <f>IF(B$2=0,"",IFERROR(TRIM(INDEX('Pegar calibracion'!$A$1:$BZ$1001,463,B$2)&amp;""),""))</f>
        <v/>
      </c>
      <c r="C464">
        <f>IF(C$2=0,"",IFERROR(TRIM(INDEX('Pegar calibracion'!$A$1:$BZ$1001,463,C$2)&amp;""),""))</f>
        <v/>
      </c>
      <c r="D464">
        <f>IF(D$2=0,"",IFERROR(TRIM(INDEX('Pegar calibracion'!$A$1:$BZ$1001,463,D$2)&amp;""),""))</f>
        <v/>
      </c>
      <c r="E464">
        <f>IF(E$2=0,"",IFERROR(TRIM(INDEX('Pegar calibracion'!$A$1:$BZ$1001,463,E$2)&amp;""),""))</f>
        <v/>
      </c>
      <c r="F464">
        <f>IF(F$2=0,"",IFERROR(TRIM(INDEX('Pegar calibracion'!$A$1:$BZ$1001,463,F$2)&amp;""),""))</f>
        <v/>
      </c>
      <c r="G464">
        <f>IF(G$2=0,"",IFERROR(TRIM(INDEX('Pegar calibracion'!$A$1:$BZ$1001,463,G$2)&amp;""),""))</f>
        <v/>
      </c>
      <c r="H464">
        <f>IF(H$2=0,"",IFERROR(TRIM(INDEX('Pegar calibracion'!$A$1:$BZ$1001,463,H$2)&amp;""),""))</f>
        <v/>
      </c>
      <c r="I464">
        <f>IF(I$2=0,"",IFERROR(TRIM(INDEX('Pegar calibracion'!$A$1:$BZ$1001,463,I$2)&amp;""),""))</f>
        <v/>
      </c>
      <c r="J464">
        <f>IF(J$2=0,"",IFERROR(TRIM(INDEX('Pegar calibracion'!$A$1:$BZ$1001,463,J$2)&amp;""),""))</f>
        <v/>
      </c>
      <c r="K464">
        <f>IF(K$2=0,"",IFERROR(TRIM(INDEX('Pegar calibracion'!$A$1:$BZ$1001,463,K$2)&amp;""),""))</f>
        <v/>
      </c>
      <c r="L464">
        <f>IF(L$2=0,"",IFERROR(TRIM(INDEX('Pegar calibracion'!$A$1:$BZ$1001,463,L$2)&amp;""),""))</f>
        <v/>
      </c>
      <c r="M464" s="25">
        <f>IF(D464="","",SUBSTITUTE(SUBSTITUTE(SUBSTITUTE(SUBSTITUTE(SUBSTITUTE(SUBSTITUTE(SUBSTITUTE(SUBSTITUTE(SUBSTITUTE(SUBSTITUTE(SUBSTITUTE(SUBSTITUTE(LOWER(TRIM(D464)),"á","a"),"é","e"),"í","i"),"ó","o"),"ú","u"),"ü","u"),"ñ","n"),"à","a"),"è","e"),"ì","i"),"ò","o"),"ù","u"))</f>
        <v/>
      </c>
      <c r="N464" s="25">
        <f>IF(F464="","",SUBSTITUTE(SUBSTITUTE(SUBSTITUTE(SUBSTITUTE(SUBSTITUTE(SUBSTITUTE(SUBSTITUTE(SUBSTITUTE(SUBSTITUTE(SUBSTITUTE(SUBSTITUTE(SUBSTITUTE(LOWER(TRIM(F464)),"á","a"),"é","e"),"í","i"),"ó","o"),"ú","u"),"ü","u"),"ñ","n"),"à","a"),"è","e"),"ì","i"),"ò","o"),"ù","u"))</f>
        <v/>
      </c>
      <c r="O464" s="25">
        <f>IF(M464="confiable",2,IF(M464="dudosa",1,IF(M464="no confiable",0,"")))</f>
        <v/>
      </c>
      <c r="P464" s="25">
        <f>IF(N464="confiable",2,IF(N464="dudosa",1,IF(N464="no confiable",0,"")))</f>
        <v/>
      </c>
      <c r="Q464" s="25">
        <f>IF(AND(ISNUMBER(O464),ISNUMBER(P464)),1,"")</f>
        <v/>
      </c>
      <c r="R464" s="25">
        <f>IF(Q464=1,IF(O464=P464,"Sí","No"),"")</f>
        <v/>
      </c>
      <c r="S464" s="25">
        <f>IF(Q464=1,IF(P464&lt;O464,"Más estricto",IF(P464&gt;O464,"Más permisivo","Igual")),"")</f>
        <v/>
      </c>
      <c r="T464" s="25">
        <f>IF(Q464=1,IF(ABS(O464-P464)=2,1,0),"")</f>
        <v/>
      </c>
      <c r="U464" s="25">
        <f>IF(H464="","","|"&amp;SUBSTITUTE(SUBSTITUTE(TRIM(H464)," |","|"),"| ","|")&amp;"|")</f>
        <v/>
      </c>
      <c r="V464" s="25">
        <f>IF(AND(Q464=1,B464&lt;&gt;""),IF(IFERROR(COUNTIFS(B$3:B464,"="&amp;SUBSTITUTE(SUBSTITUTE(SUBSTITUTE(B464,"~","~~"),"*","~*"),"?","~?"),Q$3:Q464,1),0)=1,MAX(V$2:V463)+1,""),"")</f>
        <v/>
      </c>
      <c r="W464" s="25">
        <f>IF(V464="","",COUNTIFS($B$3:$B$1002,"="&amp;SUBSTITUTE(SUBSTITUTE(SUBSTITUTE(B464,"~","~~"),"*","~*"),"?","~?"),$Q$3:$Q$1002,1)*10000-V464)</f>
        <v/>
      </c>
      <c r="X464" s="25">
        <f>IF(Q464=1,IF(SUBSTITUTE(SUBSTITUTE(SUBSTITUTE(SUBSTITUTE(SUBSTITUTE(SUBSTITUTE(SUBSTITUTE(SUBSTITUTE(SUBSTITUTE(SUBSTITUTE(SUBSTITUTE(SUBSTITUTE(LOWER(TRIM(A464)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464)),"á","a"),"é","e"),"í","i"),"ó","o"),"ú","u"),"ü","u"),"ñ","n"),"à","a"),"è","e"),"ì","i"),"ò","o"),"ù","u")),"")</f>
        <v/>
      </c>
      <c r="Y464" s="25">
        <f>IF(X464="","",IF(IFERROR(COUNTIF(X$3:X464,"="&amp;SUBSTITUTE(SUBSTITUTE(SUBSTITUTE(X464,"~","~~"),"*","~*"),"?","~?")),0)=1,1,""))</f>
        <v/>
      </c>
      <c r="Z464" s="25">
        <f>IF(T464=1,MAX(Z$2:Z463)+1,"")</f>
        <v/>
      </c>
    </row>
    <row r="465">
      <c r="A465">
        <f>IF(A$2=0,"",IFERROR(TRIM(INDEX('Pegar calibracion'!$A$1:$BZ$1001,464,A$2)&amp;""),""))</f>
        <v/>
      </c>
      <c r="B465">
        <f>IF(B$2=0,"",IFERROR(TRIM(INDEX('Pegar calibracion'!$A$1:$BZ$1001,464,B$2)&amp;""),""))</f>
        <v/>
      </c>
      <c r="C465">
        <f>IF(C$2=0,"",IFERROR(TRIM(INDEX('Pegar calibracion'!$A$1:$BZ$1001,464,C$2)&amp;""),""))</f>
        <v/>
      </c>
      <c r="D465">
        <f>IF(D$2=0,"",IFERROR(TRIM(INDEX('Pegar calibracion'!$A$1:$BZ$1001,464,D$2)&amp;""),""))</f>
        <v/>
      </c>
      <c r="E465">
        <f>IF(E$2=0,"",IFERROR(TRIM(INDEX('Pegar calibracion'!$A$1:$BZ$1001,464,E$2)&amp;""),""))</f>
        <v/>
      </c>
      <c r="F465">
        <f>IF(F$2=0,"",IFERROR(TRIM(INDEX('Pegar calibracion'!$A$1:$BZ$1001,464,F$2)&amp;""),""))</f>
        <v/>
      </c>
      <c r="G465">
        <f>IF(G$2=0,"",IFERROR(TRIM(INDEX('Pegar calibracion'!$A$1:$BZ$1001,464,G$2)&amp;""),""))</f>
        <v/>
      </c>
      <c r="H465">
        <f>IF(H$2=0,"",IFERROR(TRIM(INDEX('Pegar calibracion'!$A$1:$BZ$1001,464,H$2)&amp;""),""))</f>
        <v/>
      </c>
      <c r="I465">
        <f>IF(I$2=0,"",IFERROR(TRIM(INDEX('Pegar calibracion'!$A$1:$BZ$1001,464,I$2)&amp;""),""))</f>
        <v/>
      </c>
      <c r="J465">
        <f>IF(J$2=0,"",IFERROR(TRIM(INDEX('Pegar calibracion'!$A$1:$BZ$1001,464,J$2)&amp;""),""))</f>
        <v/>
      </c>
      <c r="K465">
        <f>IF(K$2=0,"",IFERROR(TRIM(INDEX('Pegar calibracion'!$A$1:$BZ$1001,464,K$2)&amp;""),""))</f>
        <v/>
      </c>
      <c r="L465">
        <f>IF(L$2=0,"",IFERROR(TRIM(INDEX('Pegar calibracion'!$A$1:$BZ$1001,464,L$2)&amp;""),""))</f>
        <v/>
      </c>
      <c r="M465" s="25">
        <f>IF(D465="","",SUBSTITUTE(SUBSTITUTE(SUBSTITUTE(SUBSTITUTE(SUBSTITUTE(SUBSTITUTE(SUBSTITUTE(SUBSTITUTE(SUBSTITUTE(SUBSTITUTE(SUBSTITUTE(SUBSTITUTE(LOWER(TRIM(D465)),"á","a"),"é","e"),"í","i"),"ó","o"),"ú","u"),"ü","u"),"ñ","n"),"à","a"),"è","e"),"ì","i"),"ò","o"),"ù","u"))</f>
        <v/>
      </c>
      <c r="N465" s="25">
        <f>IF(F465="","",SUBSTITUTE(SUBSTITUTE(SUBSTITUTE(SUBSTITUTE(SUBSTITUTE(SUBSTITUTE(SUBSTITUTE(SUBSTITUTE(SUBSTITUTE(SUBSTITUTE(SUBSTITUTE(SUBSTITUTE(LOWER(TRIM(F465)),"á","a"),"é","e"),"í","i"),"ó","o"),"ú","u"),"ü","u"),"ñ","n"),"à","a"),"è","e"),"ì","i"),"ò","o"),"ù","u"))</f>
        <v/>
      </c>
      <c r="O465" s="25">
        <f>IF(M465="confiable",2,IF(M465="dudosa",1,IF(M465="no confiable",0,"")))</f>
        <v/>
      </c>
      <c r="P465" s="25">
        <f>IF(N465="confiable",2,IF(N465="dudosa",1,IF(N465="no confiable",0,"")))</f>
        <v/>
      </c>
      <c r="Q465" s="25">
        <f>IF(AND(ISNUMBER(O465),ISNUMBER(P465)),1,"")</f>
        <v/>
      </c>
      <c r="R465" s="25">
        <f>IF(Q465=1,IF(O465=P465,"Sí","No"),"")</f>
        <v/>
      </c>
      <c r="S465" s="25">
        <f>IF(Q465=1,IF(P465&lt;O465,"Más estricto",IF(P465&gt;O465,"Más permisivo","Igual")),"")</f>
        <v/>
      </c>
      <c r="T465" s="25">
        <f>IF(Q465=1,IF(ABS(O465-P465)=2,1,0),"")</f>
        <v/>
      </c>
      <c r="U465" s="25">
        <f>IF(H465="","","|"&amp;SUBSTITUTE(SUBSTITUTE(TRIM(H465)," |","|"),"| ","|")&amp;"|")</f>
        <v/>
      </c>
      <c r="V465" s="25">
        <f>IF(AND(Q465=1,B465&lt;&gt;""),IF(IFERROR(COUNTIFS(B$3:B465,"="&amp;SUBSTITUTE(SUBSTITUTE(SUBSTITUTE(B465,"~","~~"),"*","~*"),"?","~?"),Q$3:Q465,1),0)=1,MAX(V$2:V464)+1,""),"")</f>
        <v/>
      </c>
      <c r="W465" s="25">
        <f>IF(V465="","",COUNTIFS($B$3:$B$1002,"="&amp;SUBSTITUTE(SUBSTITUTE(SUBSTITUTE(B465,"~","~~"),"*","~*"),"?","~?"),$Q$3:$Q$1002,1)*10000-V465)</f>
        <v/>
      </c>
      <c r="X465" s="25">
        <f>IF(Q465=1,IF(SUBSTITUTE(SUBSTITUTE(SUBSTITUTE(SUBSTITUTE(SUBSTITUTE(SUBSTITUTE(SUBSTITUTE(SUBSTITUTE(SUBSTITUTE(SUBSTITUTE(SUBSTITUTE(SUBSTITUTE(LOWER(TRIM(A465)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465)),"á","a"),"é","e"),"í","i"),"ó","o"),"ú","u"),"ü","u"),"ñ","n"),"à","a"),"è","e"),"ì","i"),"ò","o"),"ù","u")),"")</f>
        <v/>
      </c>
      <c r="Y465" s="25">
        <f>IF(X465="","",IF(IFERROR(COUNTIF(X$3:X465,"="&amp;SUBSTITUTE(SUBSTITUTE(SUBSTITUTE(X465,"~","~~"),"*","~*"),"?","~?")),0)=1,1,""))</f>
        <v/>
      </c>
      <c r="Z465" s="25">
        <f>IF(T465=1,MAX(Z$2:Z464)+1,"")</f>
        <v/>
      </c>
    </row>
    <row r="466">
      <c r="A466">
        <f>IF(A$2=0,"",IFERROR(TRIM(INDEX('Pegar calibracion'!$A$1:$BZ$1001,465,A$2)&amp;""),""))</f>
        <v/>
      </c>
      <c r="B466">
        <f>IF(B$2=0,"",IFERROR(TRIM(INDEX('Pegar calibracion'!$A$1:$BZ$1001,465,B$2)&amp;""),""))</f>
        <v/>
      </c>
      <c r="C466">
        <f>IF(C$2=0,"",IFERROR(TRIM(INDEX('Pegar calibracion'!$A$1:$BZ$1001,465,C$2)&amp;""),""))</f>
        <v/>
      </c>
      <c r="D466">
        <f>IF(D$2=0,"",IFERROR(TRIM(INDEX('Pegar calibracion'!$A$1:$BZ$1001,465,D$2)&amp;""),""))</f>
        <v/>
      </c>
      <c r="E466">
        <f>IF(E$2=0,"",IFERROR(TRIM(INDEX('Pegar calibracion'!$A$1:$BZ$1001,465,E$2)&amp;""),""))</f>
        <v/>
      </c>
      <c r="F466">
        <f>IF(F$2=0,"",IFERROR(TRIM(INDEX('Pegar calibracion'!$A$1:$BZ$1001,465,F$2)&amp;""),""))</f>
        <v/>
      </c>
      <c r="G466">
        <f>IF(G$2=0,"",IFERROR(TRIM(INDEX('Pegar calibracion'!$A$1:$BZ$1001,465,G$2)&amp;""),""))</f>
        <v/>
      </c>
      <c r="H466">
        <f>IF(H$2=0,"",IFERROR(TRIM(INDEX('Pegar calibracion'!$A$1:$BZ$1001,465,H$2)&amp;""),""))</f>
        <v/>
      </c>
      <c r="I466">
        <f>IF(I$2=0,"",IFERROR(TRIM(INDEX('Pegar calibracion'!$A$1:$BZ$1001,465,I$2)&amp;""),""))</f>
        <v/>
      </c>
      <c r="J466">
        <f>IF(J$2=0,"",IFERROR(TRIM(INDEX('Pegar calibracion'!$A$1:$BZ$1001,465,J$2)&amp;""),""))</f>
        <v/>
      </c>
      <c r="K466">
        <f>IF(K$2=0,"",IFERROR(TRIM(INDEX('Pegar calibracion'!$A$1:$BZ$1001,465,K$2)&amp;""),""))</f>
        <v/>
      </c>
      <c r="L466">
        <f>IF(L$2=0,"",IFERROR(TRIM(INDEX('Pegar calibracion'!$A$1:$BZ$1001,465,L$2)&amp;""),""))</f>
        <v/>
      </c>
      <c r="M466" s="25">
        <f>IF(D466="","",SUBSTITUTE(SUBSTITUTE(SUBSTITUTE(SUBSTITUTE(SUBSTITUTE(SUBSTITUTE(SUBSTITUTE(SUBSTITUTE(SUBSTITUTE(SUBSTITUTE(SUBSTITUTE(SUBSTITUTE(LOWER(TRIM(D466)),"á","a"),"é","e"),"í","i"),"ó","o"),"ú","u"),"ü","u"),"ñ","n"),"à","a"),"è","e"),"ì","i"),"ò","o"),"ù","u"))</f>
        <v/>
      </c>
      <c r="N466" s="25">
        <f>IF(F466="","",SUBSTITUTE(SUBSTITUTE(SUBSTITUTE(SUBSTITUTE(SUBSTITUTE(SUBSTITUTE(SUBSTITUTE(SUBSTITUTE(SUBSTITUTE(SUBSTITUTE(SUBSTITUTE(SUBSTITUTE(LOWER(TRIM(F466)),"á","a"),"é","e"),"í","i"),"ó","o"),"ú","u"),"ü","u"),"ñ","n"),"à","a"),"è","e"),"ì","i"),"ò","o"),"ù","u"))</f>
        <v/>
      </c>
      <c r="O466" s="25">
        <f>IF(M466="confiable",2,IF(M466="dudosa",1,IF(M466="no confiable",0,"")))</f>
        <v/>
      </c>
      <c r="P466" s="25">
        <f>IF(N466="confiable",2,IF(N466="dudosa",1,IF(N466="no confiable",0,"")))</f>
        <v/>
      </c>
      <c r="Q466" s="25">
        <f>IF(AND(ISNUMBER(O466),ISNUMBER(P466)),1,"")</f>
        <v/>
      </c>
      <c r="R466" s="25">
        <f>IF(Q466=1,IF(O466=P466,"Sí","No"),"")</f>
        <v/>
      </c>
      <c r="S466" s="25">
        <f>IF(Q466=1,IF(P466&lt;O466,"Más estricto",IF(P466&gt;O466,"Más permisivo","Igual")),"")</f>
        <v/>
      </c>
      <c r="T466" s="25">
        <f>IF(Q466=1,IF(ABS(O466-P466)=2,1,0),"")</f>
        <v/>
      </c>
      <c r="U466" s="25">
        <f>IF(H466="","","|"&amp;SUBSTITUTE(SUBSTITUTE(TRIM(H466)," |","|"),"| ","|")&amp;"|")</f>
        <v/>
      </c>
      <c r="V466" s="25">
        <f>IF(AND(Q466=1,B466&lt;&gt;""),IF(IFERROR(COUNTIFS(B$3:B466,"="&amp;SUBSTITUTE(SUBSTITUTE(SUBSTITUTE(B466,"~","~~"),"*","~*"),"?","~?"),Q$3:Q466,1),0)=1,MAX(V$2:V465)+1,""),"")</f>
        <v/>
      </c>
      <c r="W466" s="25">
        <f>IF(V466="","",COUNTIFS($B$3:$B$1002,"="&amp;SUBSTITUTE(SUBSTITUTE(SUBSTITUTE(B466,"~","~~"),"*","~*"),"?","~?"),$Q$3:$Q$1002,1)*10000-V466)</f>
        <v/>
      </c>
      <c r="X466" s="25">
        <f>IF(Q466=1,IF(SUBSTITUTE(SUBSTITUTE(SUBSTITUTE(SUBSTITUTE(SUBSTITUTE(SUBSTITUTE(SUBSTITUTE(SUBSTITUTE(SUBSTITUTE(SUBSTITUTE(SUBSTITUTE(SUBSTITUTE(LOWER(TRIM(A466)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466)),"á","a"),"é","e"),"í","i"),"ó","o"),"ú","u"),"ü","u"),"ñ","n"),"à","a"),"è","e"),"ì","i"),"ò","o"),"ù","u")),"")</f>
        <v/>
      </c>
      <c r="Y466" s="25">
        <f>IF(X466="","",IF(IFERROR(COUNTIF(X$3:X466,"="&amp;SUBSTITUTE(SUBSTITUTE(SUBSTITUTE(X466,"~","~~"),"*","~*"),"?","~?")),0)=1,1,""))</f>
        <v/>
      </c>
      <c r="Z466" s="25">
        <f>IF(T466=1,MAX(Z$2:Z465)+1,"")</f>
        <v/>
      </c>
    </row>
    <row r="467">
      <c r="A467">
        <f>IF(A$2=0,"",IFERROR(TRIM(INDEX('Pegar calibracion'!$A$1:$BZ$1001,466,A$2)&amp;""),""))</f>
        <v/>
      </c>
      <c r="B467">
        <f>IF(B$2=0,"",IFERROR(TRIM(INDEX('Pegar calibracion'!$A$1:$BZ$1001,466,B$2)&amp;""),""))</f>
        <v/>
      </c>
      <c r="C467">
        <f>IF(C$2=0,"",IFERROR(TRIM(INDEX('Pegar calibracion'!$A$1:$BZ$1001,466,C$2)&amp;""),""))</f>
        <v/>
      </c>
      <c r="D467">
        <f>IF(D$2=0,"",IFERROR(TRIM(INDEX('Pegar calibracion'!$A$1:$BZ$1001,466,D$2)&amp;""),""))</f>
        <v/>
      </c>
      <c r="E467">
        <f>IF(E$2=0,"",IFERROR(TRIM(INDEX('Pegar calibracion'!$A$1:$BZ$1001,466,E$2)&amp;""),""))</f>
        <v/>
      </c>
      <c r="F467">
        <f>IF(F$2=0,"",IFERROR(TRIM(INDEX('Pegar calibracion'!$A$1:$BZ$1001,466,F$2)&amp;""),""))</f>
        <v/>
      </c>
      <c r="G467">
        <f>IF(G$2=0,"",IFERROR(TRIM(INDEX('Pegar calibracion'!$A$1:$BZ$1001,466,G$2)&amp;""),""))</f>
        <v/>
      </c>
      <c r="H467">
        <f>IF(H$2=0,"",IFERROR(TRIM(INDEX('Pegar calibracion'!$A$1:$BZ$1001,466,H$2)&amp;""),""))</f>
        <v/>
      </c>
      <c r="I467">
        <f>IF(I$2=0,"",IFERROR(TRIM(INDEX('Pegar calibracion'!$A$1:$BZ$1001,466,I$2)&amp;""),""))</f>
        <v/>
      </c>
      <c r="J467">
        <f>IF(J$2=0,"",IFERROR(TRIM(INDEX('Pegar calibracion'!$A$1:$BZ$1001,466,J$2)&amp;""),""))</f>
        <v/>
      </c>
      <c r="K467">
        <f>IF(K$2=0,"",IFERROR(TRIM(INDEX('Pegar calibracion'!$A$1:$BZ$1001,466,K$2)&amp;""),""))</f>
        <v/>
      </c>
      <c r="L467">
        <f>IF(L$2=0,"",IFERROR(TRIM(INDEX('Pegar calibracion'!$A$1:$BZ$1001,466,L$2)&amp;""),""))</f>
        <v/>
      </c>
      <c r="M467" s="25">
        <f>IF(D467="","",SUBSTITUTE(SUBSTITUTE(SUBSTITUTE(SUBSTITUTE(SUBSTITUTE(SUBSTITUTE(SUBSTITUTE(SUBSTITUTE(SUBSTITUTE(SUBSTITUTE(SUBSTITUTE(SUBSTITUTE(LOWER(TRIM(D467)),"á","a"),"é","e"),"í","i"),"ó","o"),"ú","u"),"ü","u"),"ñ","n"),"à","a"),"è","e"),"ì","i"),"ò","o"),"ù","u"))</f>
        <v/>
      </c>
      <c r="N467" s="25">
        <f>IF(F467="","",SUBSTITUTE(SUBSTITUTE(SUBSTITUTE(SUBSTITUTE(SUBSTITUTE(SUBSTITUTE(SUBSTITUTE(SUBSTITUTE(SUBSTITUTE(SUBSTITUTE(SUBSTITUTE(SUBSTITUTE(LOWER(TRIM(F467)),"á","a"),"é","e"),"í","i"),"ó","o"),"ú","u"),"ü","u"),"ñ","n"),"à","a"),"è","e"),"ì","i"),"ò","o"),"ù","u"))</f>
        <v/>
      </c>
      <c r="O467" s="25">
        <f>IF(M467="confiable",2,IF(M467="dudosa",1,IF(M467="no confiable",0,"")))</f>
        <v/>
      </c>
      <c r="P467" s="25">
        <f>IF(N467="confiable",2,IF(N467="dudosa",1,IF(N467="no confiable",0,"")))</f>
        <v/>
      </c>
      <c r="Q467" s="25">
        <f>IF(AND(ISNUMBER(O467),ISNUMBER(P467)),1,"")</f>
        <v/>
      </c>
      <c r="R467" s="25">
        <f>IF(Q467=1,IF(O467=P467,"Sí","No"),"")</f>
        <v/>
      </c>
      <c r="S467" s="25">
        <f>IF(Q467=1,IF(P467&lt;O467,"Más estricto",IF(P467&gt;O467,"Más permisivo","Igual")),"")</f>
        <v/>
      </c>
      <c r="T467" s="25">
        <f>IF(Q467=1,IF(ABS(O467-P467)=2,1,0),"")</f>
        <v/>
      </c>
      <c r="U467" s="25">
        <f>IF(H467="","","|"&amp;SUBSTITUTE(SUBSTITUTE(TRIM(H467)," |","|"),"| ","|")&amp;"|")</f>
        <v/>
      </c>
      <c r="V467" s="25">
        <f>IF(AND(Q467=1,B467&lt;&gt;""),IF(IFERROR(COUNTIFS(B$3:B467,"="&amp;SUBSTITUTE(SUBSTITUTE(SUBSTITUTE(B467,"~","~~"),"*","~*"),"?","~?"),Q$3:Q467,1),0)=1,MAX(V$2:V466)+1,""),"")</f>
        <v/>
      </c>
      <c r="W467" s="25">
        <f>IF(V467="","",COUNTIFS($B$3:$B$1002,"="&amp;SUBSTITUTE(SUBSTITUTE(SUBSTITUTE(B467,"~","~~"),"*","~*"),"?","~?"),$Q$3:$Q$1002,1)*10000-V467)</f>
        <v/>
      </c>
      <c r="X467" s="25">
        <f>IF(Q467=1,IF(SUBSTITUTE(SUBSTITUTE(SUBSTITUTE(SUBSTITUTE(SUBSTITUTE(SUBSTITUTE(SUBSTITUTE(SUBSTITUTE(SUBSTITUTE(SUBSTITUTE(SUBSTITUTE(SUBSTITUTE(LOWER(TRIM(A467)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467)),"á","a"),"é","e"),"í","i"),"ó","o"),"ú","u"),"ü","u"),"ñ","n"),"à","a"),"è","e"),"ì","i"),"ò","o"),"ù","u")),"")</f>
        <v/>
      </c>
      <c r="Y467" s="25">
        <f>IF(X467="","",IF(IFERROR(COUNTIF(X$3:X467,"="&amp;SUBSTITUTE(SUBSTITUTE(SUBSTITUTE(X467,"~","~~"),"*","~*"),"?","~?")),0)=1,1,""))</f>
        <v/>
      </c>
      <c r="Z467" s="25">
        <f>IF(T467=1,MAX(Z$2:Z466)+1,"")</f>
        <v/>
      </c>
    </row>
    <row r="468">
      <c r="A468">
        <f>IF(A$2=0,"",IFERROR(TRIM(INDEX('Pegar calibracion'!$A$1:$BZ$1001,467,A$2)&amp;""),""))</f>
        <v/>
      </c>
      <c r="B468">
        <f>IF(B$2=0,"",IFERROR(TRIM(INDEX('Pegar calibracion'!$A$1:$BZ$1001,467,B$2)&amp;""),""))</f>
        <v/>
      </c>
      <c r="C468">
        <f>IF(C$2=0,"",IFERROR(TRIM(INDEX('Pegar calibracion'!$A$1:$BZ$1001,467,C$2)&amp;""),""))</f>
        <v/>
      </c>
      <c r="D468">
        <f>IF(D$2=0,"",IFERROR(TRIM(INDEX('Pegar calibracion'!$A$1:$BZ$1001,467,D$2)&amp;""),""))</f>
        <v/>
      </c>
      <c r="E468">
        <f>IF(E$2=0,"",IFERROR(TRIM(INDEX('Pegar calibracion'!$A$1:$BZ$1001,467,E$2)&amp;""),""))</f>
        <v/>
      </c>
      <c r="F468">
        <f>IF(F$2=0,"",IFERROR(TRIM(INDEX('Pegar calibracion'!$A$1:$BZ$1001,467,F$2)&amp;""),""))</f>
        <v/>
      </c>
      <c r="G468">
        <f>IF(G$2=0,"",IFERROR(TRIM(INDEX('Pegar calibracion'!$A$1:$BZ$1001,467,G$2)&amp;""),""))</f>
        <v/>
      </c>
      <c r="H468">
        <f>IF(H$2=0,"",IFERROR(TRIM(INDEX('Pegar calibracion'!$A$1:$BZ$1001,467,H$2)&amp;""),""))</f>
        <v/>
      </c>
      <c r="I468">
        <f>IF(I$2=0,"",IFERROR(TRIM(INDEX('Pegar calibracion'!$A$1:$BZ$1001,467,I$2)&amp;""),""))</f>
        <v/>
      </c>
      <c r="J468">
        <f>IF(J$2=0,"",IFERROR(TRIM(INDEX('Pegar calibracion'!$A$1:$BZ$1001,467,J$2)&amp;""),""))</f>
        <v/>
      </c>
      <c r="K468">
        <f>IF(K$2=0,"",IFERROR(TRIM(INDEX('Pegar calibracion'!$A$1:$BZ$1001,467,K$2)&amp;""),""))</f>
        <v/>
      </c>
      <c r="L468">
        <f>IF(L$2=0,"",IFERROR(TRIM(INDEX('Pegar calibracion'!$A$1:$BZ$1001,467,L$2)&amp;""),""))</f>
        <v/>
      </c>
      <c r="M468" s="25">
        <f>IF(D468="","",SUBSTITUTE(SUBSTITUTE(SUBSTITUTE(SUBSTITUTE(SUBSTITUTE(SUBSTITUTE(SUBSTITUTE(SUBSTITUTE(SUBSTITUTE(SUBSTITUTE(SUBSTITUTE(SUBSTITUTE(LOWER(TRIM(D468)),"á","a"),"é","e"),"í","i"),"ó","o"),"ú","u"),"ü","u"),"ñ","n"),"à","a"),"è","e"),"ì","i"),"ò","o"),"ù","u"))</f>
        <v/>
      </c>
      <c r="N468" s="25">
        <f>IF(F468="","",SUBSTITUTE(SUBSTITUTE(SUBSTITUTE(SUBSTITUTE(SUBSTITUTE(SUBSTITUTE(SUBSTITUTE(SUBSTITUTE(SUBSTITUTE(SUBSTITUTE(SUBSTITUTE(SUBSTITUTE(LOWER(TRIM(F468)),"á","a"),"é","e"),"í","i"),"ó","o"),"ú","u"),"ü","u"),"ñ","n"),"à","a"),"è","e"),"ì","i"),"ò","o"),"ù","u"))</f>
        <v/>
      </c>
      <c r="O468" s="25">
        <f>IF(M468="confiable",2,IF(M468="dudosa",1,IF(M468="no confiable",0,"")))</f>
        <v/>
      </c>
      <c r="P468" s="25">
        <f>IF(N468="confiable",2,IF(N468="dudosa",1,IF(N468="no confiable",0,"")))</f>
        <v/>
      </c>
      <c r="Q468" s="25">
        <f>IF(AND(ISNUMBER(O468),ISNUMBER(P468)),1,"")</f>
        <v/>
      </c>
      <c r="R468" s="25">
        <f>IF(Q468=1,IF(O468=P468,"Sí","No"),"")</f>
        <v/>
      </c>
      <c r="S468" s="25">
        <f>IF(Q468=1,IF(P468&lt;O468,"Más estricto",IF(P468&gt;O468,"Más permisivo","Igual")),"")</f>
        <v/>
      </c>
      <c r="T468" s="25">
        <f>IF(Q468=1,IF(ABS(O468-P468)=2,1,0),"")</f>
        <v/>
      </c>
      <c r="U468" s="25">
        <f>IF(H468="","","|"&amp;SUBSTITUTE(SUBSTITUTE(TRIM(H468)," |","|"),"| ","|")&amp;"|")</f>
        <v/>
      </c>
      <c r="V468" s="25">
        <f>IF(AND(Q468=1,B468&lt;&gt;""),IF(IFERROR(COUNTIFS(B$3:B468,"="&amp;SUBSTITUTE(SUBSTITUTE(SUBSTITUTE(B468,"~","~~"),"*","~*"),"?","~?"),Q$3:Q468,1),0)=1,MAX(V$2:V467)+1,""),"")</f>
        <v/>
      </c>
      <c r="W468" s="25">
        <f>IF(V468="","",COUNTIFS($B$3:$B$1002,"="&amp;SUBSTITUTE(SUBSTITUTE(SUBSTITUTE(B468,"~","~~"),"*","~*"),"?","~?"),$Q$3:$Q$1002,1)*10000-V468)</f>
        <v/>
      </c>
      <c r="X468" s="25">
        <f>IF(Q468=1,IF(SUBSTITUTE(SUBSTITUTE(SUBSTITUTE(SUBSTITUTE(SUBSTITUTE(SUBSTITUTE(SUBSTITUTE(SUBSTITUTE(SUBSTITUTE(SUBSTITUTE(SUBSTITUTE(SUBSTITUTE(LOWER(TRIM(A468)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468)),"á","a"),"é","e"),"í","i"),"ó","o"),"ú","u"),"ü","u"),"ñ","n"),"à","a"),"è","e"),"ì","i"),"ò","o"),"ù","u")),"")</f>
        <v/>
      </c>
      <c r="Y468" s="25">
        <f>IF(X468="","",IF(IFERROR(COUNTIF(X$3:X468,"="&amp;SUBSTITUTE(SUBSTITUTE(SUBSTITUTE(X468,"~","~~"),"*","~*"),"?","~?")),0)=1,1,""))</f>
        <v/>
      </c>
      <c r="Z468" s="25">
        <f>IF(T468=1,MAX(Z$2:Z467)+1,"")</f>
        <v/>
      </c>
    </row>
    <row r="469">
      <c r="A469">
        <f>IF(A$2=0,"",IFERROR(TRIM(INDEX('Pegar calibracion'!$A$1:$BZ$1001,468,A$2)&amp;""),""))</f>
        <v/>
      </c>
      <c r="B469">
        <f>IF(B$2=0,"",IFERROR(TRIM(INDEX('Pegar calibracion'!$A$1:$BZ$1001,468,B$2)&amp;""),""))</f>
        <v/>
      </c>
      <c r="C469">
        <f>IF(C$2=0,"",IFERROR(TRIM(INDEX('Pegar calibracion'!$A$1:$BZ$1001,468,C$2)&amp;""),""))</f>
        <v/>
      </c>
      <c r="D469">
        <f>IF(D$2=0,"",IFERROR(TRIM(INDEX('Pegar calibracion'!$A$1:$BZ$1001,468,D$2)&amp;""),""))</f>
        <v/>
      </c>
      <c r="E469">
        <f>IF(E$2=0,"",IFERROR(TRIM(INDEX('Pegar calibracion'!$A$1:$BZ$1001,468,E$2)&amp;""),""))</f>
        <v/>
      </c>
      <c r="F469">
        <f>IF(F$2=0,"",IFERROR(TRIM(INDEX('Pegar calibracion'!$A$1:$BZ$1001,468,F$2)&amp;""),""))</f>
        <v/>
      </c>
      <c r="G469">
        <f>IF(G$2=0,"",IFERROR(TRIM(INDEX('Pegar calibracion'!$A$1:$BZ$1001,468,G$2)&amp;""),""))</f>
        <v/>
      </c>
      <c r="H469">
        <f>IF(H$2=0,"",IFERROR(TRIM(INDEX('Pegar calibracion'!$A$1:$BZ$1001,468,H$2)&amp;""),""))</f>
        <v/>
      </c>
      <c r="I469">
        <f>IF(I$2=0,"",IFERROR(TRIM(INDEX('Pegar calibracion'!$A$1:$BZ$1001,468,I$2)&amp;""),""))</f>
        <v/>
      </c>
      <c r="J469">
        <f>IF(J$2=0,"",IFERROR(TRIM(INDEX('Pegar calibracion'!$A$1:$BZ$1001,468,J$2)&amp;""),""))</f>
        <v/>
      </c>
      <c r="K469">
        <f>IF(K$2=0,"",IFERROR(TRIM(INDEX('Pegar calibracion'!$A$1:$BZ$1001,468,K$2)&amp;""),""))</f>
        <v/>
      </c>
      <c r="L469">
        <f>IF(L$2=0,"",IFERROR(TRIM(INDEX('Pegar calibracion'!$A$1:$BZ$1001,468,L$2)&amp;""),""))</f>
        <v/>
      </c>
      <c r="M469" s="25">
        <f>IF(D469="","",SUBSTITUTE(SUBSTITUTE(SUBSTITUTE(SUBSTITUTE(SUBSTITUTE(SUBSTITUTE(SUBSTITUTE(SUBSTITUTE(SUBSTITUTE(SUBSTITUTE(SUBSTITUTE(SUBSTITUTE(LOWER(TRIM(D469)),"á","a"),"é","e"),"í","i"),"ó","o"),"ú","u"),"ü","u"),"ñ","n"),"à","a"),"è","e"),"ì","i"),"ò","o"),"ù","u"))</f>
        <v/>
      </c>
      <c r="N469" s="25">
        <f>IF(F469="","",SUBSTITUTE(SUBSTITUTE(SUBSTITUTE(SUBSTITUTE(SUBSTITUTE(SUBSTITUTE(SUBSTITUTE(SUBSTITUTE(SUBSTITUTE(SUBSTITUTE(SUBSTITUTE(SUBSTITUTE(LOWER(TRIM(F469)),"á","a"),"é","e"),"í","i"),"ó","o"),"ú","u"),"ü","u"),"ñ","n"),"à","a"),"è","e"),"ì","i"),"ò","o"),"ù","u"))</f>
        <v/>
      </c>
      <c r="O469" s="25">
        <f>IF(M469="confiable",2,IF(M469="dudosa",1,IF(M469="no confiable",0,"")))</f>
        <v/>
      </c>
      <c r="P469" s="25">
        <f>IF(N469="confiable",2,IF(N469="dudosa",1,IF(N469="no confiable",0,"")))</f>
        <v/>
      </c>
      <c r="Q469" s="25">
        <f>IF(AND(ISNUMBER(O469),ISNUMBER(P469)),1,"")</f>
        <v/>
      </c>
      <c r="R469" s="25">
        <f>IF(Q469=1,IF(O469=P469,"Sí","No"),"")</f>
        <v/>
      </c>
      <c r="S469" s="25">
        <f>IF(Q469=1,IF(P469&lt;O469,"Más estricto",IF(P469&gt;O469,"Más permisivo","Igual")),"")</f>
        <v/>
      </c>
      <c r="T469" s="25">
        <f>IF(Q469=1,IF(ABS(O469-P469)=2,1,0),"")</f>
        <v/>
      </c>
      <c r="U469" s="25">
        <f>IF(H469="","","|"&amp;SUBSTITUTE(SUBSTITUTE(TRIM(H469)," |","|"),"| ","|")&amp;"|")</f>
        <v/>
      </c>
      <c r="V469" s="25">
        <f>IF(AND(Q469=1,B469&lt;&gt;""),IF(IFERROR(COUNTIFS(B$3:B469,"="&amp;SUBSTITUTE(SUBSTITUTE(SUBSTITUTE(B469,"~","~~"),"*","~*"),"?","~?"),Q$3:Q469,1),0)=1,MAX(V$2:V468)+1,""),"")</f>
        <v/>
      </c>
      <c r="W469" s="25">
        <f>IF(V469="","",COUNTIFS($B$3:$B$1002,"="&amp;SUBSTITUTE(SUBSTITUTE(SUBSTITUTE(B469,"~","~~"),"*","~*"),"?","~?"),$Q$3:$Q$1002,1)*10000-V469)</f>
        <v/>
      </c>
      <c r="X469" s="25">
        <f>IF(Q469=1,IF(SUBSTITUTE(SUBSTITUTE(SUBSTITUTE(SUBSTITUTE(SUBSTITUTE(SUBSTITUTE(SUBSTITUTE(SUBSTITUTE(SUBSTITUTE(SUBSTITUTE(SUBSTITUTE(SUBSTITUTE(LOWER(TRIM(A469)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469)),"á","a"),"é","e"),"í","i"),"ó","o"),"ú","u"),"ü","u"),"ñ","n"),"à","a"),"è","e"),"ì","i"),"ò","o"),"ù","u")),"")</f>
        <v/>
      </c>
      <c r="Y469" s="25">
        <f>IF(X469="","",IF(IFERROR(COUNTIF(X$3:X469,"="&amp;SUBSTITUTE(SUBSTITUTE(SUBSTITUTE(X469,"~","~~"),"*","~*"),"?","~?")),0)=1,1,""))</f>
        <v/>
      </c>
      <c r="Z469" s="25">
        <f>IF(T469=1,MAX(Z$2:Z468)+1,"")</f>
        <v/>
      </c>
    </row>
    <row r="470">
      <c r="A470">
        <f>IF(A$2=0,"",IFERROR(TRIM(INDEX('Pegar calibracion'!$A$1:$BZ$1001,469,A$2)&amp;""),""))</f>
        <v/>
      </c>
      <c r="B470">
        <f>IF(B$2=0,"",IFERROR(TRIM(INDEX('Pegar calibracion'!$A$1:$BZ$1001,469,B$2)&amp;""),""))</f>
        <v/>
      </c>
      <c r="C470">
        <f>IF(C$2=0,"",IFERROR(TRIM(INDEX('Pegar calibracion'!$A$1:$BZ$1001,469,C$2)&amp;""),""))</f>
        <v/>
      </c>
      <c r="D470">
        <f>IF(D$2=0,"",IFERROR(TRIM(INDEX('Pegar calibracion'!$A$1:$BZ$1001,469,D$2)&amp;""),""))</f>
        <v/>
      </c>
      <c r="E470">
        <f>IF(E$2=0,"",IFERROR(TRIM(INDEX('Pegar calibracion'!$A$1:$BZ$1001,469,E$2)&amp;""),""))</f>
        <v/>
      </c>
      <c r="F470">
        <f>IF(F$2=0,"",IFERROR(TRIM(INDEX('Pegar calibracion'!$A$1:$BZ$1001,469,F$2)&amp;""),""))</f>
        <v/>
      </c>
      <c r="G470">
        <f>IF(G$2=0,"",IFERROR(TRIM(INDEX('Pegar calibracion'!$A$1:$BZ$1001,469,G$2)&amp;""),""))</f>
        <v/>
      </c>
      <c r="H470">
        <f>IF(H$2=0,"",IFERROR(TRIM(INDEX('Pegar calibracion'!$A$1:$BZ$1001,469,H$2)&amp;""),""))</f>
        <v/>
      </c>
      <c r="I470">
        <f>IF(I$2=0,"",IFERROR(TRIM(INDEX('Pegar calibracion'!$A$1:$BZ$1001,469,I$2)&amp;""),""))</f>
        <v/>
      </c>
      <c r="J470">
        <f>IF(J$2=0,"",IFERROR(TRIM(INDEX('Pegar calibracion'!$A$1:$BZ$1001,469,J$2)&amp;""),""))</f>
        <v/>
      </c>
      <c r="K470">
        <f>IF(K$2=0,"",IFERROR(TRIM(INDEX('Pegar calibracion'!$A$1:$BZ$1001,469,K$2)&amp;""),""))</f>
        <v/>
      </c>
      <c r="L470">
        <f>IF(L$2=0,"",IFERROR(TRIM(INDEX('Pegar calibracion'!$A$1:$BZ$1001,469,L$2)&amp;""),""))</f>
        <v/>
      </c>
      <c r="M470" s="25">
        <f>IF(D470="","",SUBSTITUTE(SUBSTITUTE(SUBSTITUTE(SUBSTITUTE(SUBSTITUTE(SUBSTITUTE(SUBSTITUTE(SUBSTITUTE(SUBSTITUTE(SUBSTITUTE(SUBSTITUTE(SUBSTITUTE(LOWER(TRIM(D470)),"á","a"),"é","e"),"í","i"),"ó","o"),"ú","u"),"ü","u"),"ñ","n"),"à","a"),"è","e"),"ì","i"),"ò","o"),"ù","u"))</f>
        <v/>
      </c>
      <c r="N470" s="25">
        <f>IF(F470="","",SUBSTITUTE(SUBSTITUTE(SUBSTITUTE(SUBSTITUTE(SUBSTITUTE(SUBSTITUTE(SUBSTITUTE(SUBSTITUTE(SUBSTITUTE(SUBSTITUTE(SUBSTITUTE(SUBSTITUTE(LOWER(TRIM(F470)),"á","a"),"é","e"),"í","i"),"ó","o"),"ú","u"),"ü","u"),"ñ","n"),"à","a"),"è","e"),"ì","i"),"ò","o"),"ù","u"))</f>
        <v/>
      </c>
      <c r="O470" s="25">
        <f>IF(M470="confiable",2,IF(M470="dudosa",1,IF(M470="no confiable",0,"")))</f>
        <v/>
      </c>
      <c r="P470" s="25">
        <f>IF(N470="confiable",2,IF(N470="dudosa",1,IF(N470="no confiable",0,"")))</f>
        <v/>
      </c>
      <c r="Q470" s="25">
        <f>IF(AND(ISNUMBER(O470),ISNUMBER(P470)),1,"")</f>
        <v/>
      </c>
      <c r="R470" s="25">
        <f>IF(Q470=1,IF(O470=P470,"Sí","No"),"")</f>
        <v/>
      </c>
      <c r="S470" s="25">
        <f>IF(Q470=1,IF(P470&lt;O470,"Más estricto",IF(P470&gt;O470,"Más permisivo","Igual")),"")</f>
        <v/>
      </c>
      <c r="T470" s="25">
        <f>IF(Q470=1,IF(ABS(O470-P470)=2,1,0),"")</f>
        <v/>
      </c>
      <c r="U470" s="25">
        <f>IF(H470="","","|"&amp;SUBSTITUTE(SUBSTITUTE(TRIM(H470)," |","|"),"| ","|")&amp;"|")</f>
        <v/>
      </c>
      <c r="V470" s="25">
        <f>IF(AND(Q470=1,B470&lt;&gt;""),IF(IFERROR(COUNTIFS(B$3:B470,"="&amp;SUBSTITUTE(SUBSTITUTE(SUBSTITUTE(B470,"~","~~"),"*","~*"),"?","~?"),Q$3:Q470,1),0)=1,MAX(V$2:V469)+1,""),"")</f>
        <v/>
      </c>
      <c r="W470" s="25">
        <f>IF(V470="","",COUNTIFS($B$3:$B$1002,"="&amp;SUBSTITUTE(SUBSTITUTE(SUBSTITUTE(B470,"~","~~"),"*","~*"),"?","~?"),$Q$3:$Q$1002,1)*10000-V470)</f>
        <v/>
      </c>
      <c r="X470" s="25">
        <f>IF(Q470=1,IF(SUBSTITUTE(SUBSTITUTE(SUBSTITUTE(SUBSTITUTE(SUBSTITUTE(SUBSTITUTE(SUBSTITUTE(SUBSTITUTE(SUBSTITUTE(SUBSTITUTE(SUBSTITUTE(SUBSTITUTE(LOWER(TRIM(A470)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470)),"á","a"),"é","e"),"í","i"),"ó","o"),"ú","u"),"ü","u"),"ñ","n"),"à","a"),"è","e"),"ì","i"),"ò","o"),"ù","u")),"")</f>
        <v/>
      </c>
      <c r="Y470" s="25">
        <f>IF(X470="","",IF(IFERROR(COUNTIF(X$3:X470,"="&amp;SUBSTITUTE(SUBSTITUTE(SUBSTITUTE(X470,"~","~~"),"*","~*"),"?","~?")),0)=1,1,""))</f>
        <v/>
      </c>
      <c r="Z470" s="25">
        <f>IF(T470=1,MAX(Z$2:Z469)+1,"")</f>
        <v/>
      </c>
    </row>
    <row r="471">
      <c r="A471">
        <f>IF(A$2=0,"",IFERROR(TRIM(INDEX('Pegar calibracion'!$A$1:$BZ$1001,470,A$2)&amp;""),""))</f>
        <v/>
      </c>
      <c r="B471">
        <f>IF(B$2=0,"",IFERROR(TRIM(INDEX('Pegar calibracion'!$A$1:$BZ$1001,470,B$2)&amp;""),""))</f>
        <v/>
      </c>
      <c r="C471">
        <f>IF(C$2=0,"",IFERROR(TRIM(INDEX('Pegar calibracion'!$A$1:$BZ$1001,470,C$2)&amp;""),""))</f>
        <v/>
      </c>
      <c r="D471">
        <f>IF(D$2=0,"",IFERROR(TRIM(INDEX('Pegar calibracion'!$A$1:$BZ$1001,470,D$2)&amp;""),""))</f>
        <v/>
      </c>
      <c r="E471">
        <f>IF(E$2=0,"",IFERROR(TRIM(INDEX('Pegar calibracion'!$A$1:$BZ$1001,470,E$2)&amp;""),""))</f>
        <v/>
      </c>
      <c r="F471">
        <f>IF(F$2=0,"",IFERROR(TRIM(INDEX('Pegar calibracion'!$A$1:$BZ$1001,470,F$2)&amp;""),""))</f>
        <v/>
      </c>
      <c r="G471">
        <f>IF(G$2=0,"",IFERROR(TRIM(INDEX('Pegar calibracion'!$A$1:$BZ$1001,470,G$2)&amp;""),""))</f>
        <v/>
      </c>
      <c r="H471">
        <f>IF(H$2=0,"",IFERROR(TRIM(INDEX('Pegar calibracion'!$A$1:$BZ$1001,470,H$2)&amp;""),""))</f>
        <v/>
      </c>
      <c r="I471">
        <f>IF(I$2=0,"",IFERROR(TRIM(INDEX('Pegar calibracion'!$A$1:$BZ$1001,470,I$2)&amp;""),""))</f>
        <v/>
      </c>
      <c r="J471">
        <f>IF(J$2=0,"",IFERROR(TRIM(INDEX('Pegar calibracion'!$A$1:$BZ$1001,470,J$2)&amp;""),""))</f>
        <v/>
      </c>
      <c r="K471">
        <f>IF(K$2=0,"",IFERROR(TRIM(INDEX('Pegar calibracion'!$A$1:$BZ$1001,470,K$2)&amp;""),""))</f>
        <v/>
      </c>
      <c r="L471">
        <f>IF(L$2=0,"",IFERROR(TRIM(INDEX('Pegar calibracion'!$A$1:$BZ$1001,470,L$2)&amp;""),""))</f>
        <v/>
      </c>
      <c r="M471" s="25">
        <f>IF(D471="","",SUBSTITUTE(SUBSTITUTE(SUBSTITUTE(SUBSTITUTE(SUBSTITUTE(SUBSTITUTE(SUBSTITUTE(SUBSTITUTE(SUBSTITUTE(SUBSTITUTE(SUBSTITUTE(SUBSTITUTE(LOWER(TRIM(D471)),"á","a"),"é","e"),"í","i"),"ó","o"),"ú","u"),"ü","u"),"ñ","n"),"à","a"),"è","e"),"ì","i"),"ò","o"),"ù","u"))</f>
        <v/>
      </c>
      <c r="N471" s="25">
        <f>IF(F471="","",SUBSTITUTE(SUBSTITUTE(SUBSTITUTE(SUBSTITUTE(SUBSTITUTE(SUBSTITUTE(SUBSTITUTE(SUBSTITUTE(SUBSTITUTE(SUBSTITUTE(SUBSTITUTE(SUBSTITUTE(LOWER(TRIM(F471)),"á","a"),"é","e"),"í","i"),"ó","o"),"ú","u"),"ü","u"),"ñ","n"),"à","a"),"è","e"),"ì","i"),"ò","o"),"ù","u"))</f>
        <v/>
      </c>
      <c r="O471" s="25">
        <f>IF(M471="confiable",2,IF(M471="dudosa",1,IF(M471="no confiable",0,"")))</f>
        <v/>
      </c>
      <c r="P471" s="25">
        <f>IF(N471="confiable",2,IF(N471="dudosa",1,IF(N471="no confiable",0,"")))</f>
        <v/>
      </c>
      <c r="Q471" s="25">
        <f>IF(AND(ISNUMBER(O471),ISNUMBER(P471)),1,"")</f>
        <v/>
      </c>
      <c r="R471" s="25">
        <f>IF(Q471=1,IF(O471=P471,"Sí","No"),"")</f>
        <v/>
      </c>
      <c r="S471" s="25">
        <f>IF(Q471=1,IF(P471&lt;O471,"Más estricto",IF(P471&gt;O471,"Más permisivo","Igual")),"")</f>
        <v/>
      </c>
      <c r="T471" s="25">
        <f>IF(Q471=1,IF(ABS(O471-P471)=2,1,0),"")</f>
        <v/>
      </c>
      <c r="U471" s="25">
        <f>IF(H471="","","|"&amp;SUBSTITUTE(SUBSTITUTE(TRIM(H471)," |","|"),"| ","|")&amp;"|")</f>
        <v/>
      </c>
      <c r="V471" s="25">
        <f>IF(AND(Q471=1,B471&lt;&gt;""),IF(IFERROR(COUNTIFS(B$3:B471,"="&amp;SUBSTITUTE(SUBSTITUTE(SUBSTITUTE(B471,"~","~~"),"*","~*"),"?","~?"),Q$3:Q471,1),0)=1,MAX(V$2:V470)+1,""),"")</f>
        <v/>
      </c>
      <c r="W471" s="25">
        <f>IF(V471="","",COUNTIFS($B$3:$B$1002,"="&amp;SUBSTITUTE(SUBSTITUTE(SUBSTITUTE(B471,"~","~~"),"*","~*"),"?","~?"),$Q$3:$Q$1002,1)*10000-V471)</f>
        <v/>
      </c>
      <c r="X471" s="25">
        <f>IF(Q471=1,IF(SUBSTITUTE(SUBSTITUTE(SUBSTITUTE(SUBSTITUTE(SUBSTITUTE(SUBSTITUTE(SUBSTITUTE(SUBSTITUTE(SUBSTITUTE(SUBSTITUTE(SUBSTITUTE(SUBSTITUTE(LOWER(TRIM(A471)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471)),"á","a"),"é","e"),"í","i"),"ó","o"),"ú","u"),"ü","u"),"ñ","n"),"à","a"),"è","e"),"ì","i"),"ò","o"),"ù","u")),"")</f>
        <v/>
      </c>
      <c r="Y471" s="25">
        <f>IF(X471="","",IF(IFERROR(COUNTIF(X$3:X471,"="&amp;SUBSTITUTE(SUBSTITUTE(SUBSTITUTE(X471,"~","~~"),"*","~*"),"?","~?")),0)=1,1,""))</f>
        <v/>
      </c>
      <c r="Z471" s="25">
        <f>IF(T471=1,MAX(Z$2:Z470)+1,"")</f>
        <v/>
      </c>
    </row>
    <row r="472">
      <c r="A472">
        <f>IF(A$2=0,"",IFERROR(TRIM(INDEX('Pegar calibracion'!$A$1:$BZ$1001,471,A$2)&amp;""),""))</f>
        <v/>
      </c>
      <c r="B472">
        <f>IF(B$2=0,"",IFERROR(TRIM(INDEX('Pegar calibracion'!$A$1:$BZ$1001,471,B$2)&amp;""),""))</f>
        <v/>
      </c>
      <c r="C472">
        <f>IF(C$2=0,"",IFERROR(TRIM(INDEX('Pegar calibracion'!$A$1:$BZ$1001,471,C$2)&amp;""),""))</f>
        <v/>
      </c>
      <c r="D472">
        <f>IF(D$2=0,"",IFERROR(TRIM(INDEX('Pegar calibracion'!$A$1:$BZ$1001,471,D$2)&amp;""),""))</f>
        <v/>
      </c>
      <c r="E472">
        <f>IF(E$2=0,"",IFERROR(TRIM(INDEX('Pegar calibracion'!$A$1:$BZ$1001,471,E$2)&amp;""),""))</f>
        <v/>
      </c>
      <c r="F472">
        <f>IF(F$2=0,"",IFERROR(TRIM(INDEX('Pegar calibracion'!$A$1:$BZ$1001,471,F$2)&amp;""),""))</f>
        <v/>
      </c>
      <c r="G472">
        <f>IF(G$2=0,"",IFERROR(TRIM(INDEX('Pegar calibracion'!$A$1:$BZ$1001,471,G$2)&amp;""),""))</f>
        <v/>
      </c>
      <c r="H472">
        <f>IF(H$2=0,"",IFERROR(TRIM(INDEX('Pegar calibracion'!$A$1:$BZ$1001,471,H$2)&amp;""),""))</f>
        <v/>
      </c>
      <c r="I472">
        <f>IF(I$2=0,"",IFERROR(TRIM(INDEX('Pegar calibracion'!$A$1:$BZ$1001,471,I$2)&amp;""),""))</f>
        <v/>
      </c>
      <c r="J472">
        <f>IF(J$2=0,"",IFERROR(TRIM(INDEX('Pegar calibracion'!$A$1:$BZ$1001,471,J$2)&amp;""),""))</f>
        <v/>
      </c>
      <c r="K472">
        <f>IF(K$2=0,"",IFERROR(TRIM(INDEX('Pegar calibracion'!$A$1:$BZ$1001,471,K$2)&amp;""),""))</f>
        <v/>
      </c>
      <c r="L472">
        <f>IF(L$2=0,"",IFERROR(TRIM(INDEX('Pegar calibracion'!$A$1:$BZ$1001,471,L$2)&amp;""),""))</f>
        <v/>
      </c>
      <c r="M472" s="25">
        <f>IF(D472="","",SUBSTITUTE(SUBSTITUTE(SUBSTITUTE(SUBSTITUTE(SUBSTITUTE(SUBSTITUTE(SUBSTITUTE(SUBSTITUTE(SUBSTITUTE(SUBSTITUTE(SUBSTITUTE(SUBSTITUTE(LOWER(TRIM(D472)),"á","a"),"é","e"),"í","i"),"ó","o"),"ú","u"),"ü","u"),"ñ","n"),"à","a"),"è","e"),"ì","i"),"ò","o"),"ù","u"))</f>
        <v/>
      </c>
      <c r="N472" s="25">
        <f>IF(F472="","",SUBSTITUTE(SUBSTITUTE(SUBSTITUTE(SUBSTITUTE(SUBSTITUTE(SUBSTITUTE(SUBSTITUTE(SUBSTITUTE(SUBSTITUTE(SUBSTITUTE(SUBSTITUTE(SUBSTITUTE(LOWER(TRIM(F472)),"á","a"),"é","e"),"í","i"),"ó","o"),"ú","u"),"ü","u"),"ñ","n"),"à","a"),"è","e"),"ì","i"),"ò","o"),"ù","u"))</f>
        <v/>
      </c>
      <c r="O472" s="25">
        <f>IF(M472="confiable",2,IF(M472="dudosa",1,IF(M472="no confiable",0,"")))</f>
        <v/>
      </c>
      <c r="P472" s="25">
        <f>IF(N472="confiable",2,IF(N472="dudosa",1,IF(N472="no confiable",0,"")))</f>
        <v/>
      </c>
      <c r="Q472" s="25">
        <f>IF(AND(ISNUMBER(O472),ISNUMBER(P472)),1,"")</f>
        <v/>
      </c>
      <c r="R472" s="25">
        <f>IF(Q472=1,IF(O472=P472,"Sí","No"),"")</f>
        <v/>
      </c>
      <c r="S472" s="25">
        <f>IF(Q472=1,IF(P472&lt;O472,"Más estricto",IF(P472&gt;O472,"Más permisivo","Igual")),"")</f>
        <v/>
      </c>
      <c r="T472" s="25">
        <f>IF(Q472=1,IF(ABS(O472-P472)=2,1,0),"")</f>
        <v/>
      </c>
      <c r="U472" s="25">
        <f>IF(H472="","","|"&amp;SUBSTITUTE(SUBSTITUTE(TRIM(H472)," |","|"),"| ","|")&amp;"|")</f>
        <v/>
      </c>
      <c r="V472" s="25">
        <f>IF(AND(Q472=1,B472&lt;&gt;""),IF(IFERROR(COUNTIFS(B$3:B472,"="&amp;SUBSTITUTE(SUBSTITUTE(SUBSTITUTE(B472,"~","~~"),"*","~*"),"?","~?"),Q$3:Q472,1),0)=1,MAX(V$2:V471)+1,""),"")</f>
        <v/>
      </c>
      <c r="W472" s="25">
        <f>IF(V472="","",COUNTIFS($B$3:$B$1002,"="&amp;SUBSTITUTE(SUBSTITUTE(SUBSTITUTE(B472,"~","~~"),"*","~*"),"?","~?"),$Q$3:$Q$1002,1)*10000-V472)</f>
        <v/>
      </c>
      <c r="X472" s="25">
        <f>IF(Q472=1,IF(SUBSTITUTE(SUBSTITUTE(SUBSTITUTE(SUBSTITUTE(SUBSTITUTE(SUBSTITUTE(SUBSTITUTE(SUBSTITUTE(SUBSTITUTE(SUBSTITUTE(SUBSTITUTE(SUBSTITUTE(LOWER(TRIM(A472)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472)),"á","a"),"é","e"),"í","i"),"ó","o"),"ú","u"),"ü","u"),"ñ","n"),"à","a"),"è","e"),"ì","i"),"ò","o"),"ù","u")),"")</f>
        <v/>
      </c>
      <c r="Y472" s="25">
        <f>IF(X472="","",IF(IFERROR(COUNTIF(X$3:X472,"="&amp;SUBSTITUTE(SUBSTITUTE(SUBSTITUTE(X472,"~","~~"),"*","~*"),"?","~?")),0)=1,1,""))</f>
        <v/>
      </c>
      <c r="Z472" s="25">
        <f>IF(T472=1,MAX(Z$2:Z471)+1,"")</f>
        <v/>
      </c>
    </row>
    <row r="473">
      <c r="A473">
        <f>IF(A$2=0,"",IFERROR(TRIM(INDEX('Pegar calibracion'!$A$1:$BZ$1001,472,A$2)&amp;""),""))</f>
        <v/>
      </c>
      <c r="B473">
        <f>IF(B$2=0,"",IFERROR(TRIM(INDEX('Pegar calibracion'!$A$1:$BZ$1001,472,B$2)&amp;""),""))</f>
        <v/>
      </c>
      <c r="C473">
        <f>IF(C$2=0,"",IFERROR(TRIM(INDEX('Pegar calibracion'!$A$1:$BZ$1001,472,C$2)&amp;""),""))</f>
        <v/>
      </c>
      <c r="D473">
        <f>IF(D$2=0,"",IFERROR(TRIM(INDEX('Pegar calibracion'!$A$1:$BZ$1001,472,D$2)&amp;""),""))</f>
        <v/>
      </c>
      <c r="E473">
        <f>IF(E$2=0,"",IFERROR(TRIM(INDEX('Pegar calibracion'!$A$1:$BZ$1001,472,E$2)&amp;""),""))</f>
        <v/>
      </c>
      <c r="F473">
        <f>IF(F$2=0,"",IFERROR(TRIM(INDEX('Pegar calibracion'!$A$1:$BZ$1001,472,F$2)&amp;""),""))</f>
        <v/>
      </c>
      <c r="G473">
        <f>IF(G$2=0,"",IFERROR(TRIM(INDEX('Pegar calibracion'!$A$1:$BZ$1001,472,G$2)&amp;""),""))</f>
        <v/>
      </c>
      <c r="H473">
        <f>IF(H$2=0,"",IFERROR(TRIM(INDEX('Pegar calibracion'!$A$1:$BZ$1001,472,H$2)&amp;""),""))</f>
        <v/>
      </c>
      <c r="I473">
        <f>IF(I$2=0,"",IFERROR(TRIM(INDEX('Pegar calibracion'!$A$1:$BZ$1001,472,I$2)&amp;""),""))</f>
        <v/>
      </c>
      <c r="J473">
        <f>IF(J$2=0,"",IFERROR(TRIM(INDEX('Pegar calibracion'!$A$1:$BZ$1001,472,J$2)&amp;""),""))</f>
        <v/>
      </c>
      <c r="K473">
        <f>IF(K$2=0,"",IFERROR(TRIM(INDEX('Pegar calibracion'!$A$1:$BZ$1001,472,K$2)&amp;""),""))</f>
        <v/>
      </c>
      <c r="L473">
        <f>IF(L$2=0,"",IFERROR(TRIM(INDEX('Pegar calibracion'!$A$1:$BZ$1001,472,L$2)&amp;""),""))</f>
        <v/>
      </c>
      <c r="M473" s="25">
        <f>IF(D473="","",SUBSTITUTE(SUBSTITUTE(SUBSTITUTE(SUBSTITUTE(SUBSTITUTE(SUBSTITUTE(SUBSTITUTE(SUBSTITUTE(SUBSTITUTE(SUBSTITUTE(SUBSTITUTE(SUBSTITUTE(LOWER(TRIM(D473)),"á","a"),"é","e"),"í","i"),"ó","o"),"ú","u"),"ü","u"),"ñ","n"),"à","a"),"è","e"),"ì","i"),"ò","o"),"ù","u"))</f>
        <v/>
      </c>
      <c r="N473" s="25">
        <f>IF(F473="","",SUBSTITUTE(SUBSTITUTE(SUBSTITUTE(SUBSTITUTE(SUBSTITUTE(SUBSTITUTE(SUBSTITUTE(SUBSTITUTE(SUBSTITUTE(SUBSTITUTE(SUBSTITUTE(SUBSTITUTE(LOWER(TRIM(F473)),"á","a"),"é","e"),"í","i"),"ó","o"),"ú","u"),"ü","u"),"ñ","n"),"à","a"),"è","e"),"ì","i"),"ò","o"),"ù","u"))</f>
        <v/>
      </c>
      <c r="O473" s="25">
        <f>IF(M473="confiable",2,IF(M473="dudosa",1,IF(M473="no confiable",0,"")))</f>
        <v/>
      </c>
      <c r="P473" s="25">
        <f>IF(N473="confiable",2,IF(N473="dudosa",1,IF(N473="no confiable",0,"")))</f>
        <v/>
      </c>
      <c r="Q473" s="25">
        <f>IF(AND(ISNUMBER(O473),ISNUMBER(P473)),1,"")</f>
        <v/>
      </c>
      <c r="R473" s="25">
        <f>IF(Q473=1,IF(O473=P473,"Sí","No"),"")</f>
        <v/>
      </c>
      <c r="S473" s="25">
        <f>IF(Q473=1,IF(P473&lt;O473,"Más estricto",IF(P473&gt;O473,"Más permisivo","Igual")),"")</f>
        <v/>
      </c>
      <c r="T473" s="25">
        <f>IF(Q473=1,IF(ABS(O473-P473)=2,1,0),"")</f>
        <v/>
      </c>
      <c r="U473" s="25">
        <f>IF(H473="","","|"&amp;SUBSTITUTE(SUBSTITUTE(TRIM(H473)," |","|"),"| ","|")&amp;"|")</f>
        <v/>
      </c>
      <c r="V473" s="25">
        <f>IF(AND(Q473=1,B473&lt;&gt;""),IF(IFERROR(COUNTIFS(B$3:B473,"="&amp;SUBSTITUTE(SUBSTITUTE(SUBSTITUTE(B473,"~","~~"),"*","~*"),"?","~?"),Q$3:Q473,1),0)=1,MAX(V$2:V472)+1,""),"")</f>
        <v/>
      </c>
      <c r="W473" s="25">
        <f>IF(V473="","",COUNTIFS($B$3:$B$1002,"="&amp;SUBSTITUTE(SUBSTITUTE(SUBSTITUTE(B473,"~","~~"),"*","~*"),"?","~?"),$Q$3:$Q$1002,1)*10000-V473)</f>
        <v/>
      </c>
      <c r="X473" s="25">
        <f>IF(Q473=1,IF(SUBSTITUTE(SUBSTITUTE(SUBSTITUTE(SUBSTITUTE(SUBSTITUTE(SUBSTITUTE(SUBSTITUTE(SUBSTITUTE(SUBSTITUTE(SUBSTITUTE(SUBSTITUTE(SUBSTITUTE(LOWER(TRIM(A473)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473)),"á","a"),"é","e"),"í","i"),"ó","o"),"ú","u"),"ü","u"),"ñ","n"),"à","a"),"è","e"),"ì","i"),"ò","o"),"ù","u")),"")</f>
        <v/>
      </c>
      <c r="Y473" s="25">
        <f>IF(X473="","",IF(IFERROR(COUNTIF(X$3:X473,"="&amp;SUBSTITUTE(SUBSTITUTE(SUBSTITUTE(X473,"~","~~"),"*","~*"),"?","~?")),0)=1,1,""))</f>
        <v/>
      </c>
      <c r="Z473" s="25">
        <f>IF(T473=1,MAX(Z$2:Z472)+1,"")</f>
        <v/>
      </c>
    </row>
    <row r="474">
      <c r="A474">
        <f>IF(A$2=0,"",IFERROR(TRIM(INDEX('Pegar calibracion'!$A$1:$BZ$1001,473,A$2)&amp;""),""))</f>
        <v/>
      </c>
      <c r="B474">
        <f>IF(B$2=0,"",IFERROR(TRIM(INDEX('Pegar calibracion'!$A$1:$BZ$1001,473,B$2)&amp;""),""))</f>
        <v/>
      </c>
      <c r="C474">
        <f>IF(C$2=0,"",IFERROR(TRIM(INDEX('Pegar calibracion'!$A$1:$BZ$1001,473,C$2)&amp;""),""))</f>
        <v/>
      </c>
      <c r="D474">
        <f>IF(D$2=0,"",IFERROR(TRIM(INDEX('Pegar calibracion'!$A$1:$BZ$1001,473,D$2)&amp;""),""))</f>
        <v/>
      </c>
      <c r="E474">
        <f>IF(E$2=0,"",IFERROR(TRIM(INDEX('Pegar calibracion'!$A$1:$BZ$1001,473,E$2)&amp;""),""))</f>
        <v/>
      </c>
      <c r="F474">
        <f>IF(F$2=0,"",IFERROR(TRIM(INDEX('Pegar calibracion'!$A$1:$BZ$1001,473,F$2)&amp;""),""))</f>
        <v/>
      </c>
      <c r="G474">
        <f>IF(G$2=0,"",IFERROR(TRIM(INDEX('Pegar calibracion'!$A$1:$BZ$1001,473,G$2)&amp;""),""))</f>
        <v/>
      </c>
      <c r="H474">
        <f>IF(H$2=0,"",IFERROR(TRIM(INDEX('Pegar calibracion'!$A$1:$BZ$1001,473,H$2)&amp;""),""))</f>
        <v/>
      </c>
      <c r="I474">
        <f>IF(I$2=0,"",IFERROR(TRIM(INDEX('Pegar calibracion'!$A$1:$BZ$1001,473,I$2)&amp;""),""))</f>
        <v/>
      </c>
      <c r="J474">
        <f>IF(J$2=0,"",IFERROR(TRIM(INDEX('Pegar calibracion'!$A$1:$BZ$1001,473,J$2)&amp;""),""))</f>
        <v/>
      </c>
      <c r="K474">
        <f>IF(K$2=0,"",IFERROR(TRIM(INDEX('Pegar calibracion'!$A$1:$BZ$1001,473,K$2)&amp;""),""))</f>
        <v/>
      </c>
      <c r="L474">
        <f>IF(L$2=0,"",IFERROR(TRIM(INDEX('Pegar calibracion'!$A$1:$BZ$1001,473,L$2)&amp;""),""))</f>
        <v/>
      </c>
      <c r="M474" s="25">
        <f>IF(D474="","",SUBSTITUTE(SUBSTITUTE(SUBSTITUTE(SUBSTITUTE(SUBSTITUTE(SUBSTITUTE(SUBSTITUTE(SUBSTITUTE(SUBSTITUTE(SUBSTITUTE(SUBSTITUTE(SUBSTITUTE(LOWER(TRIM(D474)),"á","a"),"é","e"),"í","i"),"ó","o"),"ú","u"),"ü","u"),"ñ","n"),"à","a"),"è","e"),"ì","i"),"ò","o"),"ù","u"))</f>
        <v/>
      </c>
      <c r="N474" s="25">
        <f>IF(F474="","",SUBSTITUTE(SUBSTITUTE(SUBSTITUTE(SUBSTITUTE(SUBSTITUTE(SUBSTITUTE(SUBSTITUTE(SUBSTITUTE(SUBSTITUTE(SUBSTITUTE(SUBSTITUTE(SUBSTITUTE(LOWER(TRIM(F474)),"á","a"),"é","e"),"í","i"),"ó","o"),"ú","u"),"ü","u"),"ñ","n"),"à","a"),"è","e"),"ì","i"),"ò","o"),"ù","u"))</f>
        <v/>
      </c>
      <c r="O474" s="25">
        <f>IF(M474="confiable",2,IF(M474="dudosa",1,IF(M474="no confiable",0,"")))</f>
        <v/>
      </c>
      <c r="P474" s="25">
        <f>IF(N474="confiable",2,IF(N474="dudosa",1,IF(N474="no confiable",0,"")))</f>
        <v/>
      </c>
      <c r="Q474" s="25">
        <f>IF(AND(ISNUMBER(O474),ISNUMBER(P474)),1,"")</f>
        <v/>
      </c>
      <c r="R474" s="25">
        <f>IF(Q474=1,IF(O474=P474,"Sí","No"),"")</f>
        <v/>
      </c>
      <c r="S474" s="25">
        <f>IF(Q474=1,IF(P474&lt;O474,"Más estricto",IF(P474&gt;O474,"Más permisivo","Igual")),"")</f>
        <v/>
      </c>
      <c r="T474" s="25">
        <f>IF(Q474=1,IF(ABS(O474-P474)=2,1,0),"")</f>
        <v/>
      </c>
      <c r="U474" s="25">
        <f>IF(H474="","","|"&amp;SUBSTITUTE(SUBSTITUTE(TRIM(H474)," |","|"),"| ","|")&amp;"|")</f>
        <v/>
      </c>
      <c r="V474" s="25">
        <f>IF(AND(Q474=1,B474&lt;&gt;""),IF(IFERROR(COUNTIFS(B$3:B474,"="&amp;SUBSTITUTE(SUBSTITUTE(SUBSTITUTE(B474,"~","~~"),"*","~*"),"?","~?"),Q$3:Q474,1),0)=1,MAX(V$2:V473)+1,""),"")</f>
        <v/>
      </c>
      <c r="W474" s="25">
        <f>IF(V474="","",COUNTIFS($B$3:$B$1002,"="&amp;SUBSTITUTE(SUBSTITUTE(SUBSTITUTE(B474,"~","~~"),"*","~*"),"?","~?"),$Q$3:$Q$1002,1)*10000-V474)</f>
        <v/>
      </c>
      <c r="X474" s="25">
        <f>IF(Q474=1,IF(SUBSTITUTE(SUBSTITUTE(SUBSTITUTE(SUBSTITUTE(SUBSTITUTE(SUBSTITUTE(SUBSTITUTE(SUBSTITUTE(SUBSTITUTE(SUBSTITUTE(SUBSTITUTE(SUBSTITUTE(LOWER(TRIM(A474)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474)),"á","a"),"é","e"),"í","i"),"ó","o"),"ú","u"),"ü","u"),"ñ","n"),"à","a"),"è","e"),"ì","i"),"ò","o"),"ù","u")),"")</f>
        <v/>
      </c>
      <c r="Y474" s="25">
        <f>IF(X474="","",IF(IFERROR(COUNTIF(X$3:X474,"="&amp;SUBSTITUTE(SUBSTITUTE(SUBSTITUTE(X474,"~","~~"),"*","~*"),"?","~?")),0)=1,1,""))</f>
        <v/>
      </c>
      <c r="Z474" s="25">
        <f>IF(T474=1,MAX(Z$2:Z473)+1,"")</f>
        <v/>
      </c>
    </row>
    <row r="475">
      <c r="A475">
        <f>IF(A$2=0,"",IFERROR(TRIM(INDEX('Pegar calibracion'!$A$1:$BZ$1001,474,A$2)&amp;""),""))</f>
        <v/>
      </c>
      <c r="B475">
        <f>IF(B$2=0,"",IFERROR(TRIM(INDEX('Pegar calibracion'!$A$1:$BZ$1001,474,B$2)&amp;""),""))</f>
        <v/>
      </c>
      <c r="C475">
        <f>IF(C$2=0,"",IFERROR(TRIM(INDEX('Pegar calibracion'!$A$1:$BZ$1001,474,C$2)&amp;""),""))</f>
        <v/>
      </c>
      <c r="D475">
        <f>IF(D$2=0,"",IFERROR(TRIM(INDEX('Pegar calibracion'!$A$1:$BZ$1001,474,D$2)&amp;""),""))</f>
        <v/>
      </c>
      <c r="E475">
        <f>IF(E$2=0,"",IFERROR(TRIM(INDEX('Pegar calibracion'!$A$1:$BZ$1001,474,E$2)&amp;""),""))</f>
        <v/>
      </c>
      <c r="F475">
        <f>IF(F$2=0,"",IFERROR(TRIM(INDEX('Pegar calibracion'!$A$1:$BZ$1001,474,F$2)&amp;""),""))</f>
        <v/>
      </c>
      <c r="G475">
        <f>IF(G$2=0,"",IFERROR(TRIM(INDEX('Pegar calibracion'!$A$1:$BZ$1001,474,G$2)&amp;""),""))</f>
        <v/>
      </c>
      <c r="H475">
        <f>IF(H$2=0,"",IFERROR(TRIM(INDEX('Pegar calibracion'!$A$1:$BZ$1001,474,H$2)&amp;""),""))</f>
        <v/>
      </c>
      <c r="I475">
        <f>IF(I$2=0,"",IFERROR(TRIM(INDEX('Pegar calibracion'!$A$1:$BZ$1001,474,I$2)&amp;""),""))</f>
        <v/>
      </c>
      <c r="J475">
        <f>IF(J$2=0,"",IFERROR(TRIM(INDEX('Pegar calibracion'!$A$1:$BZ$1001,474,J$2)&amp;""),""))</f>
        <v/>
      </c>
      <c r="K475">
        <f>IF(K$2=0,"",IFERROR(TRIM(INDEX('Pegar calibracion'!$A$1:$BZ$1001,474,K$2)&amp;""),""))</f>
        <v/>
      </c>
      <c r="L475">
        <f>IF(L$2=0,"",IFERROR(TRIM(INDEX('Pegar calibracion'!$A$1:$BZ$1001,474,L$2)&amp;""),""))</f>
        <v/>
      </c>
      <c r="M475" s="25">
        <f>IF(D475="","",SUBSTITUTE(SUBSTITUTE(SUBSTITUTE(SUBSTITUTE(SUBSTITUTE(SUBSTITUTE(SUBSTITUTE(SUBSTITUTE(SUBSTITUTE(SUBSTITUTE(SUBSTITUTE(SUBSTITUTE(LOWER(TRIM(D475)),"á","a"),"é","e"),"í","i"),"ó","o"),"ú","u"),"ü","u"),"ñ","n"),"à","a"),"è","e"),"ì","i"),"ò","o"),"ù","u"))</f>
        <v/>
      </c>
      <c r="N475" s="25">
        <f>IF(F475="","",SUBSTITUTE(SUBSTITUTE(SUBSTITUTE(SUBSTITUTE(SUBSTITUTE(SUBSTITUTE(SUBSTITUTE(SUBSTITUTE(SUBSTITUTE(SUBSTITUTE(SUBSTITUTE(SUBSTITUTE(LOWER(TRIM(F475)),"á","a"),"é","e"),"í","i"),"ó","o"),"ú","u"),"ü","u"),"ñ","n"),"à","a"),"è","e"),"ì","i"),"ò","o"),"ù","u"))</f>
        <v/>
      </c>
      <c r="O475" s="25">
        <f>IF(M475="confiable",2,IF(M475="dudosa",1,IF(M475="no confiable",0,"")))</f>
        <v/>
      </c>
      <c r="P475" s="25">
        <f>IF(N475="confiable",2,IF(N475="dudosa",1,IF(N475="no confiable",0,"")))</f>
        <v/>
      </c>
      <c r="Q475" s="25">
        <f>IF(AND(ISNUMBER(O475),ISNUMBER(P475)),1,"")</f>
        <v/>
      </c>
      <c r="R475" s="25">
        <f>IF(Q475=1,IF(O475=P475,"Sí","No"),"")</f>
        <v/>
      </c>
      <c r="S475" s="25">
        <f>IF(Q475=1,IF(P475&lt;O475,"Más estricto",IF(P475&gt;O475,"Más permisivo","Igual")),"")</f>
        <v/>
      </c>
      <c r="T475" s="25">
        <f>IF(Q475=1,IF(ABS(O475-P475)=2,1,0),"")</f>
        <v/>
      </c>
      <c r="U475" s="25">
        <f>IF(H475="","","|"&amp;SUBSTITUTE(SUBSTITUTE(TRIM(H475)," |","|"),"| ","|")&amp;"|")</f>
        <v/>
      </c>
      <c r="V475" s="25">
        <f>IF(AND(Q475=1,B475&lt;&gt;""),IF(IFERROR(COUNTIFS(B$3:B475,"="&amp;SUBSTITUTE(SUBSTITUTE(SUBSTITUTE(B475,"~","~~"),"*","~*"),"?","~?"),Q$3:Q475,1),0)=1,MAX(V$2:V474)+1,""),"")</f>
        <v/>
      </c>
      <c r="W475" s="25">
        <f>IF(V475="","",COUNTIFS($B$3:$B$1002,"="&amp;SUBSTITUTE(SUBSTITUTE(SUBSTITUTE(B475,"~","~~"),"*","~*"),"?","~?"),$Q$3:$Q$1002,1)*10000-V475)</f>
        <v/>
      </c>
      <c r="X475" s="25">
        <f>IF(Q475=1,IF(SUBSTITUTE(SUBSTITUTE(SUBSTITUTE(SUBSTITUTE(SUBSTITUTE(SUBSTITUTE(SUBSTITUTE(SUBSTITUTE(SUBSTITUTE(SUBSTITUTE(SUBSTITUTE(SUBSTITUTE(LOWER(TRIM(A475)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475)),"á","a"),"é","e"),"í","i"),"ó","o"),"ú","u"),"ü","u"),"ñ","n"),"à","a"),"è","e"),"ì","i"),"ò","o"),"ù","u")),"")</f>
        <v/>
      </c>
      <c r="Y475" s="25">
        <f>IF(X475="","",IF(IFERROR(COUNTIF(X$3:X475,"="&amp;SUBSTITUTE(SUBSTITUTE(SUBSTITUTE(X475,"~","~~"),"*","~*"),"?","~?")),0)=1,1,""))</f>
        <v/>
      </c>
      <c r="Z475" s="25">
        <f>IF(T475=1,MAX(Z$2:Z474)+1,"")</f>
        <v/>
      </c>
    </row>
    <row r="476">
      <c r="A476">
        <f>IF(A$2=0,"",IFERROR(TRIM(INDEX('Pegar calibracion'!$A$1:$BZ$1001,475,A$2)&amp;""),""))</f>
        <v/>
      </c>
      <c r="B476">
        <f>IF(B$2=0,"",IFERROR(TRIM(INDEX('Pegar calibracion'!$A$1:$BZ$1001,475,B$2)&amp;""),""))</f>
        <v/>
      </c>
      <c r="C476">
        <f>IF(C$2=0,"",IFERROR(TRIM(INDEX('Pegar calibracion'!$A$1:$BZ$1001,475,C$2)&amp;""),""))</f>
        <v/>
      </c>
      <c r="D476">
        <f>IF(D$2=0,"",IFERROR(TRIM(INDEX('Pegar calibracion'!$A$1:$BZ$1001,475,D$2)&amp;""),""))</f>
        <v/>
      </c>
      <c r="E476">
        <f>IF(E$2=0,"",IFERROR(TRIM(INDEX('Pegar calibracion'!$A$1:$BZ$1001,475,E$2)&amp;""),""))</f>
        <v/>
      </c>
      <c r="F476">
        <f>IF(F$2=0,"",IFERROR(TRIM(INDEX('Pegar calibracion'!$A$1:$BZ$1001,475,F$2)&amp;""),""))</f>
        <v/>
      </c>
      <c r="G476">
        <f>IF(G$2=0,"",IFERROR(TRIM(INDEX('Pegar calibracion'!$A$1:$BZ$1001,475,G$2)&amp;""),""))</f>
        <v/>
      </c>
      <c r="H476">
        <f>IF(H$2=0,"",IFERROR(TRIM(INDEX('Pegar calibracion'!$A$1:$BZ$1001,475,H$2)&amp;""),""))</f>
        <v/>
      </c>
      <c r="I476">
        <f>IF(I$2=0,"",IFERROR(TRIM(INDEX('Pegar calibracion'!$A$1:$BZ$1001,475,I$2)&amp;""),""))</f>
        <v/>
      </c>
      <c r="J476">
        <f>IF(J$2=0,"",IFERROR(TRIM(INDEX('Pegar calibracion'!$A$1:$BZ$1001,475,J$2)&amp;""),""))</f>
        <v/>
      </c>
      <c r="K476">
        <f>IF(K$2=0,"",IFERROR(TRIM(INDEX('Pegar calibracion'!$A$1:$BZ$1001,475,K$2)&amp;""),""))</f>
        <v/>
      </c>
      <c r="L476">
        <f>IF(L$2=0,"",IFERROR(TRIM(INDEX('Pegar calibracion'!$A$1:$BZ$1001,475,L$2)&amp;""),""))</f>
        <v/>
      </c>
      <c r="M476" s="25">
        <f>IF(D476="","",SUBSTITUTE(SUBSTITUTE(SUBSTITUTE(SUBSTITUTE(SUBSTITUTE(SUBSTITUTE(SUBSTITUTE(SUBSTITUTE(SUBSTITUTE(SUBSTITUTE(SUBSTITUTE(SUBSTITUTE(LOWER(TRIM(D476)),"á","a"),"é","e"),"í","i"),"ó","o"),"ú","u"),"ü","u"),"ñ","n"),"à","a"),"è","e"),"ì","i"),"ò","o"),"ù","u"))</f>
        <v/>
      </c>
      <c r="N476" s="25">
        <f>IF(F476="","",SUBSTITUTE(SUBSTITUTE(SUBSTITUTE(SUBSTITUTE(SUBSTITUTE(SUBSTITUTE(SUBSTITUTE(SUBSTITUTE(SUBSTITUTE(SUBSTITUTE(SUBSTITUTE(SUBSTITUTE(LOWER(TRIM(F476)),"á","a"),"é","e"),"í","i"),"ó","o"),"ú","u"),"ü","u"),"ñ","n"),"à","a"),"è","e"),"ì","i"),"ò","o"),"ù","u"))</f>
        <v/>
      </c>
      <c r="O476" s="25">
        <f>IF(M476="confiable",2,IF(M476="dudosa",1,IF(M476="no confiable",0,"")))</f>
        <v/>
      </c>
      <c r="P476" s="25">
        <f>IF(N476="confiable",2,IF(N476="dudosa",1,IF(N476="no confiable",0,"")))</f>
        <v/>
      </c>
      <c r="Q476" s="25">
        <f>IF(AND(ISNUMBER(O476),ISNUMBER(P476)),1,"")</f>
        <v/>
      </c>
      <c r="R476" s="25">
        <f>IF(Q476=1,IF(O476=P476,"Sí","No"),"")</f>
        <v/>
      </c>
      <c r="S476" s="25">
        <f>IF(Q476=1,IF(P476&lt;O476,"Más estricto",IF(P476&gt;O476,"Más permisivo","Igual")),"")</f>
        <v/>
      </c>
      <c r="T476" s="25">
        <f>IF(Q476=1,IF(ABS(O476-P476)=2,1,0),"")</f>
        <v/>
      </c>
      <c r="U476" s="25">
        <f>IF(H476="","","|"&amp;SUBSTITUTE(SUBSTITUTE(TRIM(H476)," |","|"),"| ","|")&amp;"|")</f>
        <v/>
      </c>
      <c r="V476" s="25">
        <f>IF(AND(Q476=1,B476&lt;&gt;""),IF(IFERROR(COUNTIFS(B$3:B476,"="&amp;SUBSTITUTE(SUBSTITUTE(SUBSTITUTE(B476,"~","~~"),"*","~*"),"?","~?"),Q$3:Q476,1),0)=1,MAX(V$2:V475)+1,""),"")</f>
        <v/>
      </c>
      <c r="W476" s="25">
        <f>IF(V476="","",COUNTIFS($B$3:$B$1002,"="&amp;SUBSTITUTE(SUBSTITUTE(SUBSTITUTE(B476,"~","~~"),"*","~*"),"?","~?"),$Q$3:$Q$1002,1)*10000-V476)</f>
        <v/>
      </c>
      <c r="X476" s="25">
        <f>IF(Q476=1,IF(SUBSTITUTE(SUBSTITUTE(SUBSTITUTE(SUBSTITUTE(SUBSTITUTE(SUBSTITUTE(SUBSTITUTE(SUBSTITUTE(SUBSTITUTE(SUBSTITUTE(SUBSTITUTE(SUBSTITUTE(LOWER(TRIM(A476)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476)),"á","a"),"é","e"),"í","i"),"ó","o"),"ú","u"),"ü","u"),"ñ","n"),"à","a"),"è","e"),"ì","i"),"ò","o"),"ù","u")),"")</f>
        <v/>
      </c>
      <c r="Y476" s="25">
        <f>IF(X476="","",IF(IFERROR(COUNTIF(X$3:X476,"="&amp;SUBSTITUTE(SUBSTITUTE(SUBSTITUTE(X476,"~","~~"),"*","~*"),"?","~?")),0)=1,1,""))</f>
        <v/>
      </c>
      <c r="Z476" s="25">
        <f>IF(T476=1,MAX(Z$2:Z475)+1,"")</f>
        <v/>
      </c>
    </row>
    <row r="477">
      <c r="A477">
        <f>IF(A$2=0,"",IFERROR(TRIM(INDEX('Pegar calibracion'!$A$1:$BZ$1001,476,A$2)&amp;""),""))</f>
        <v/>
      </c>
      <c r="B477">
        <f>IF(B$2=0,"",IFERROR(TRIM(INDEX('Pegar calibracion'!$A$1:$BZ$1001,476,B$2)&amp;""),""))</f>
        <v/>
      </c>
      <c r="C477">
        <f>IF(C$2=0,"",IFERROR(TRIM(INDEX('Pegar calibracion'!$A$1:$BZ$1001,476,C$2)&amp;""),""))</f>
        <v/>
      </c>
      <c r="D477">
        <f>IF(D$2=0,"",IFERROR(TRIM(INDEX('Pegar calibracion'!$A$1:$BZ$1001,476,D$2)&amp;""),""))</f>
        <v/>
      </c>
      <c r="E477">
        <f>IF(E$2=0,"",IFERROR(TRIM(INDEX('Pegar calibracion'!$A$1:$BZ$1001,476,E$2)&amp;""),""))</f>
        <v/>
      </c>
      <c r="F477">
        <f>IF(F$2=0,"",IFERROR(TRIM(INDEX('Pegar calibracion'!$A$1:$BZ$1001,476,F$2)&amp;""),""))</f>
        <v/>
      </c>
      <c r="G477">
        <f>IF(G$2=0,"",IFERROR(TRIM(INDEX('Pegar calibracion'!$A$1:$BZ$1001,476,G$2)&amp;""),""))</f>
        <v/>
      </c>
      <c r="H477">
        <f>IF(H$2=0,"",IFERROR(TRIM(INDEX('Pegar calibracion'!$A$1:$BZ$1001,476,H$2)&amp;""),""))</f>
        <v/>
      </c>
      <c r="I477">
        <f>IF(I$2=0,"",IFERROR(TRIM(INDEX('Pegar calibracion'!$A$1:$BZ$1001,476,I$2)&amp;""),""))</f>
        <v/>
      </c>
      <c r="J477">
        <f>IF(J$2=0,"",IFERROR(TRIM(INDEX('Pegar calibracion'!$A$1:$BZ$1001,476,J$2)&amp;""),""))</f>
        <v/>
      </c>
      <c r="K477">
        <f>IF(K$2=0,"",IFERROR(TRIM(INDEX('Pegar calibracion'!$A$1:$BZ$1001,476,K$2)&amp;""),""))</f>
        <v/>
      </c>
      <c r="L477">
        <f>IF(L$2=0,"",IFERROR(TRIM(INDEX('Pegar calibracion'!$A$1:$BZ$1001,476,L$2)&amp;""),""))</f>
        <v/>
      </c>
      <c r="M477" s="25">
        <f>IF(D477="","",SUBSTITUTE(SUBSTITUTE(SUBSTITUTE(SUBSTITUTE(SUBSTITUTE(SUBSTITUTE(SUBSTITUTE(SUBSTITUTE(SUBSTITUTE(SUBSTITUTE(SUBSTITUTE(SUBSTITUTE(LOWER(TRIM(D477)),"á","a"),"é","e"),"í","i"),"ó","o"),"ú","u"),"ü","u"),"ñ","n"),"à","a"),"è","e"),"ì","i"),"ò","o"),"ù","u"))</f>
        <v/>
      </c>
      <c r="N477" s="25">
        <f>IF(F477="","",SUBSTITUTE(SUBSTITUTE(SUBSTITUTE(SUBSTITUTE(SUBSTITUTE(SUBSTITUTE(SUBSTITUTE(SUBSTITUTE(SUBSTITUTE(SUBSTITUTE(SUBSTITUTE(SUBSTITUTE(LOWER(TRIM(F477)),"á","a"),"é","e"),"í","i"),"ó","o"),"ú","u"),"ü","u"),"ñ","n"),"à","a"),"è","e"),"ì","i"),"ò","o"),"ù","u"))</f>
        <v/>
      </c>
      <c r="O477" s="25">
        <f>IF(M477="confiable",2,IF(M477="dudosa",1,IF(M477="no confiable",0,"")))</f>
        <v/>
      </c>
      <c r="P477" s="25">
        <f>IF(N477="confiable",2,IF(N477="dudosa",1,IF(N477="no confiable",0,"")))</f>
        <v/>
      </c>
      <c r="Q477" s="25">
        <f>IF(AND(ISNUMBER(O477),ISNUMBER(P477)),1,"")</f>
        <v/>
      </c>
      <c r="R477" s="25">
        <f>IF(Q477=1,IF(O477=P477,"Sí","No"),"")</f>
        <v/>
      </c>
      <c r="S477" s="25">
        <f>IF(Q477=1,IF(P477&lt;O477,"Más estricto",IF(P477&gt;O477,"Más permisivo","Igual")),"")</f>
        <v/>
      </c>
      <c r="T477" s="25">
        <f>IF(Q477=1,IF(ABS(O477-P477)=2,1,0),"")</f>
        <v/>
      </c>
      <c r="U477" s="25">
        <f>IF(H477="","","|"&amp;SUBSTITUTE(SUBSTITUTE(TRIM(H477)," |","|"),"| ","|")&amp;"|")</f>
        <v/>
      </c>
      <c r="V477" s="25">
        <f>IF(AND(Q477=1,B477&lt;&gt;""),IF(IFERROR(COUNTIFS(B$3:B477,"="&amp;SUBSTITUTE(SUBSTITUTE(SUBSTITUTE(B477,"~","~~"),"*","~*"),"?","~?"),Q$3:Q477,1),0)=1,MAX(V$2:V476)+1,""),"")</f>
        <v/>
      </c>
      <c r="W477" s="25">
        <f>IF(V477="","",COUNTIFS($B$3:$B$1002,"="&amp;SUBSTITUTE(SUBSTITUTE(SUBSTITUTE(B477,"~","~~"),"*","~*"),"?","~?"),$Q$3:$Q$1002,1)*10000-V477)</f>
        <v/>
      </c>
      <c r="X477" s="25">
        <f>IF(Q477=1,IF(SUBSTITUTE(SUBSTITUTE(SUBSTITUTE(SUBSTITUTE(SUBSTITUTE(SUBSTITUTE(SUBSTITUTE(SUBSTITUTE(SUBSTITUTE(SUBSTITUTE(SUBSTITUTE(SUBSTITUTE(LOWER(TRIM(A477)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477)),"á","a"),"é","e"),"í","i"),"ó","o"),"ú","u"),"ü","u"),"ñ","n"),"à","a"),"è","e"),"ì","i"),"ò","o"),"ù","u")),"")</f>
        <v/>
      </c>
      <c r="Y477" s="25">
        <f>IF(X477="","",IF(IFERROR(COUNTIF(X$3:X477,"="&amp;SUBSTITUTE(SUBSTITUTE(SUBSTITUTE(X477,"~","~~"),"*","~*"),"?","~?")),0)=1,1,""))</f>
        <v/>
      </c>
      <c r="Z477" s="25">
        <f>IF(T477=1,MAX(Z$2:Z476)+1,"")</f>
        <v/>
      </c>
    </row>
    <row r="478">
      <c r="A478">
        <f>IF(A$2=0,"",IFERROR(TRIM(INDEX('Pegar calibracion'!$A$1:$BZ$1001,477,A$2)&amp;""),""))</f>
        <v/>
      </c>
      <c r="B478">
        <f>IF(B$2=0,"",IFERROR(TRIM(INDEX('Pegar calibracion'!$A$1:$BZ$1001,477,B$2)&amp;""),""))</f>
        <v/>
      </c>
      <c r="C478">
        <f>IF(C$2=0,"",IFERROR(TRIM(INDEX('Pegar calibracion'!$A$1:$BZ$1001,477,C$2)&amp;""),""))</f>
        <v/>
      </c>
      <c r="D478">
        <f>IF(D$2=0,"",IFERROR(TRIM(INDEX('Pegar calibracion'!$A$1:$BZ$1001,477,D$2)&amp;""),""))</f>
        <v/>
      </c>
      <c r="E478">
        <f>IF(E$2=0,"",IFERROR(TRIM(INDEX('Pegar calibracion'!$A$1:$BZ$1001,477,E$2)&amp;""),""))</f>
        <v/>
      </c>
      <c r="F478">
        <f>IF(F$2=0,"",IFERROR(TRIM(INDEX('Pegar calibracion'!$A$1:$BZ$1001,477,F$2)&amp;""),""))</f>
        <v/>
      </c>
      <c r="G478">
        <f>IF(G$2=0,"",IFERROR(TRIM(INDEX('Pegar calibracion'!$A$1:$BZ$1001,477,G$2)&amp;""),""))</f>
        <v/>
      </c>
      <c r="H478">
        <f>IF(H$2=0,"",IFERROR(TRIM(INDEX('Pegar calibracion'!$A$1:$BZ$1001,477,H$2)&amp;""),""))</f>
        <v/>
      </c>
      <c r="I478">
        <f>IF(I$2=0,"",IFERROR(TRIM(INDEX('Pegar calibracion'!$A$1:$BZ$1001,477,I$2)&amp;""),""))</f>
        <v/>
      </c>
      <c r="J478">
        <f>IF(J$2=0,"",IFERROR(TRIM(INDEX('Pegar calibracion'!$A$1:$BZ$1001,477,J$2)&amp;""),""))</f>
        <v/>
      </c>
      <c r="K478">
        <f>IF(K$2=0,"",IFERROR(TRIM(INDEX('Pegar calibracion'!$A$1:$BZ$1001,477,K$2)&amp;""),""))</f>
        <v/>
      </c>
      <c r="L478">
        <f>IF(L$2=0,"",IFERROR(TRIM(INDEX('Pegar calibracion'!$A$1:$BZ$1001,477,L$2)&amp;""),""))</f>
        <v/>
      </c>
      <c r="M478" s="25">
        <f>IF(D478="","",SUBSTITUTE(SUBSTITUTE(SUBSTITUTE(SUBSTITUTE(SUBSTITUTE(SUBSTITUTE(SUBSTITUTE(SUBSTITUTE(SUBSTITUTE(SUBSTITUTE(SUBSTITUTE(SUBSTITUTE(LOWER(TRIM(D478)),"á","a"),"é","e"),"í","i"),"ó","o"),"ú","u"),"ü","u"),"ñ","n"),"à","a"),"è","e"),"ì","i"),"ò","o"),"ù","u"))</f>
        <v/>
      </c>
      <c r="N478" s="25">
        <f>IF(F478="","",SUBSTITUTE(SUBSTITUTE(SUBSTITUTE(SUBSTITUTE(SUBSTITUTE(SUBSTITUTE(SUBSTITUTE(SUBSTITUTE(SUBSTITUTE(SUBSTITUTE(SUBSTITUTE(SUBSTITUTE(LOWER(TRIM(F478)),"á","a"),"é","e"),"í","i"),"ó","o"),"ú","u"),"ü","u"),"ñ","n"),"à","a"),"è","e"),"ì","i"),"ò","o"),"ù","u"))</f>
        <v/>
      </c>
      <c r="O478" s="25">
        <f>IF(M478="confiable",2,IF(M478="dudosa",1,IF(M478="no confiable",0,"")))</f>
        <v/>
      </c>
      <c r="P478" s="25">
        <f>IF(N478="confiable",2,IF(N478="dudosa",1,IF(N478="no confiable",0,"")))</f>
        <v/>
      </c>
      <c r="Q478" s="25">
        <f>IF(AND(ISNUMBER(O478),ISNUMBER(P478)),1,"")</f>
        <v/>
      </c>
      <c r="R478" s="25">
        <f>IF(Q478=1,IF(O478=P478,"Sí","No"),"")</f>
        <v/>
      </c>
      <c r="S478" s="25">
        <f>IF(Q478=1,IF(P478&lt;O478,"Más estricto",IF(P478&gt;O478,"Más permisivo","Igual")),"")</f>
        <v/>
      </c>
      <c r="T478" s="25">
        <f>IF(Q478=1,IF(ABS(O478-P478)=2,1,0),"")</f>
        <v/>
      </c>
      <c r="U478" s="25">
        <f>IF(H478="","","|"&amp;SUBSTITUTE(SUBSTITUTE(TRIM(H478)," |","|"),"| ","|")&amp;"|")</f>
        <v/>
      </c>
      <c r="V478" s="25">
        <f>IF(AND(Q478=1,B478&lt;&gt;""),IF(IFERROR(COUNTIFS(B$3:B478,"="&amp;SUBSTITUTE(SUBSTITUTE(SUBSTITUTE(B478,"~","~~"),"*","~*"),"?","~?"),Q$3:Q478,1),0)=1,MAX(V$2:V477)+1,""),"")</f>
        <v/>
      </c>
      <c r="W478" s="25">
        <f>IF(V478="","",COUNTIFS($B$3:$B$1002,"="&amp;SUBSTITUTE(SUBSTITUTE(SUBSTITUTE(B478,"~","~~"),"*","~*"),"?","~?"),$Q$3:$Q$1002,1)*10000-V478)</f>
        <v/>
      </c>
      <c r="X478" s="25">
        <f>IF(Q478=1,IF(SUBSTITUTE(SUBSTITUTE(SUBSTITUTE(SUBSTITUTE(SUBSTITUTE(SUBSTITUTE(SUBSTITUTE(SUBSTITUTE(SUBSTITUTE(SUBSTITUTE(SUBSTITUTE(SUBSTITUTE(LOWER(TRIM(A478)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478)),"á","a"),"é","e"),"í","i"),"ó","o"),"ú","u"),"ü","u"),"ñ","n"),"à","a"),"è","e"),"ì","i"),"ò","o"),"ù","u")),"")</f>
        <v/>
      </c>
      <c r="Y478" s="25">
        <f>IF(X478="","",IF(IFERROR(COUNTIF(X$3:X478,"="&amp;SUBSTITUTE(SUBSTITUTE(SUBSTITUTE(X478,"~","~~"),"*","~*"),"?","~?")),0)=1,1,""))</f>
        <v/>
      </c>
      <c r="Z478" s="25">
        <f>IF(T478=1,MAX(Z$2:Z477)+1,"")</f>
        <v/>
      </c>
    </row>
    <row r="479">
      <c r="A479">
        <f>IF(A$2=0,"",IFERROR(TRIM(INDEX('Pegar calibracion'!$A$1:$BZ$1001,478,A$2)&amp;""),""))</f>
        <v/>
      </c>
      <c r="B479">
        <f>IF(B$2=0,"",IFERROR(TRIM(INDEX('Pegar calibracion'!$A$1:$BZ$1001,478,B$2)&amp;""),""))</f>
        <v/>
      </c>
      <c r="C479">
        <f>IF(C$2=0,"",IFERROR(TRIM(INDEX('Pegar calibracion'!$A$1:$BZ$1001,478,C$2)&amp;""),""))</f>
        <v/>
      </c>
      <c r="D479">
        <f>IF(D$2=0,"",IFERROR(TRIM(INDEX('Pegar calibracion'!$A$1:$BZ$1001,478,D$2)&amp;""),""))</f>
        <v/>
      </c>
      <c r="E479">
        <f>IF(E$2=0,"",IFERROR(TRIM(INDEX('Pegar calibracion'!$A$1:$BZ$1001,478,E$2)&amp;""),""))</f>
        <v/>
      </c>
      <c r="F479">
        <f>IF(F$2=0,"",IFERROR(TRIM(INDEX('Pegar calibracion'!$A$1:$BZ$1001,478,F$2)&amp;""),""))</f>
        <v/>
      </c>
      <c r="G479">
        <f>IF(G$2=0,"",IFERROR(TRIM(INDEX('Pegar calibracion'!$A$1:$BZ$1001,478,G$2)&amp;""),""))</f>
        <v/>
      </c>
      <c r="H479">
        <f>IF(H$2=0,"",IFERROR(TRIM(INDEX('Pegar calibracion'!$A$1:$BZ$1001,478,H$2)&amp;""),""))</f>
        <v/>
      </c>
      <c r="I479">
        <f>IF(I$2=0,"",IFERROR(TRIM(INDEX('Pegar calibracion'!$A$1:$BZ$1001,478,I$2)&amp;""),""))</f>
        <v/>
      </c>
      <c r="J479">
        <f>IF(J$2=0,"",IFERROR(TRIM(INDEX('Pegar calibracion'!$A$1:$BZ$1001,478,J$2)&amp;""),""))</f>
        <v/>
      </c>
      <c r="K479">
        <f>IF(K$2=0,"",IFERROR(TRIM(INDEX('Pegar calibracion'!$A$1:$BZ$1001,478,K$2)&amp;""),""))</f>
        <v/>
      </c>
      <c r="L479">
        <f>IF(L$2=0,"",IFERROR(TRIM(INDEX('Pegar calibracion'!$A$1:$BZ$1001,478,L$2)&amp;""),""))</f>
        <v/>
      </c>
      <c r="M479" s="25">
        <f>IF(D479="","",SUBSTITUTE(SUBSTITUTE(SUBSTITUTE(SUBSTITUTE(SUBSTITUTE(SUBSTITUTE(SUBSTITUTE(SUBSTITUTE(SUBSTITUTE(SUBSTITUTE(SUBSTITUTE(SUBSTITUTE(LOWER(TRIM(D479)),"á","a"),"é","e"),"í","i"),"ó","o"),"ú","u"),"ü","u"),"ñ","n"),"à","a"),"è","e"),"ì","i"),"ò","o"),"ù","u"))</f>
        <v/>
      </c>
      <c r="N479" s="25">
        <f>IF(F479="","",SUBSTITUTE(SUBSTITUTE(SUBSTITUTE(SUBSTITUTE(SUBSTITUTE(SUBSTITUTE(SUBSTITUTE(SUBSTITUTE(SUBSTITUTE(SUBSTITUTE(SUBSTITUTE(SUBSTITUTE(LOWER(TRIM(F479)),"á","a"),"é","e"),"í","i"),"ó","o"),"ú","u"),"ü","u"),"ñ","n"),"à","a"),"è","e"),"ì","i"),"ò","o"),"ù","u"))</f>
        <v/>
      </c>
      <c r="O479" s="25">
        <f>IF(M479="confiable",2,IF(M479="dudosa",1,IF(M479="no confiable",0,"")))</f>
        <v/>
      </c>
      <c r="P479" s="25">
        <f>IF(N479="confiable",2,IF(N479="dudosa",1,IF(N479="no confiable",0,"")))</f>
        <v/>
      </c>
      <c r="Q479" s="25">
        <f>IF(AND(ISNUMBER(O479),ISNUMBER(P479)),1,"")</f>
        <v/>
      </c>
      <c r="R479" s="25">
        <f>IF(Q479=1,IF(O479=P479,"Sí","No"),"")</f>
        <v/>
      </c>
      <c r="S479" s="25">
        <f>IF(Q479=1,IF(P479&lt;O479,"Más estricto",IF(P479&gt;O479,"Más permisivo","Igual")),"")</f>
        <v/>
      </c>
      <c r="T479" s="25">
        <f>IF(Q479=1,IF(ABS(O479-P479)=2,1,0),"")</f>
        <v/>
      </c>
      <c r="U479" s="25">
        <f>IF(H479="","","|"&amp;SUBSTITUTE(SUBSTITUTE(TRIM(H479)," |","|"),"| ","|")&amp;"|")</f>
        <v/>
      </c>
      <c r="V479" s="25">
        <f>IF(AND(Q479=1,B479&lt;&gt;""),IF(IFERROR(COUNTIFS(B$3:B479,"="&amp;SUBSTITUTE(SUBSTITUTE(SUBSTITUTE(B479,"~","~~"),"*","~*"),"?","~?"),Q$3:Q479,1),0)=1,MAX(V$2:V478)+1,""),"")</f>
        <v/>
      </c>
      <c r="W479" s="25">
        <f>IF(V479="","",COUNTIFS($B$3:$B$1002,"="&amp;SUBSTITUTE(SUBSTITUTE(SUBSTITUTE(B479,"~","~~"),"*","~*"),"?","~?"),$Q$3:$Q$1002,1)*10000-V479)</f>
        <v/>
      </c>
      <c r="X479" s="25">
        <f>IF(Q479=1,IF(SUBSTITUTE(SUBSTITUTE(SUBSTITUTE(SUBSTITUTE(SUBSTITUTE(SUBSTITUTE(SUBSTITUTE(SUBSTITUTE(SUBSTITUTE(SUBSTITUTE(SUBSTITUTE(SUBSTITUTE(LOWER(TRIM(A479)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479)),"á","a"),"é","e"),"í","i"),"ó","o"),"ú","u"),"ü","u"),"ñ","n"),"à","a"),"è","e"),"ì","i"),"ò","o"),"ù","u")),"")</f>
        <v/>
      </c>
      <c r="Y479" s="25">
        <f>IF(X479="","",IF(IFERROR(COUNTIF(X$3:X479,"="&amp;SUBSTITUTE(SUBSTITUTE(SUBSTITUTE(X479,"~","~~"),"*","~*"),"?","~?")),0)=1,1,""))</f>
        <v/>
      </c>
      <c r="Z479" s="25">
        <f>IF(T479=1,MAX(Z$2:Z478)+1,"")</f>
        <v/>
      </c>
    </row>
    <row r="480">
      <c r="A480">
        <f>IF(A$2=0,"",IFERROR(TRIM(INDEX('Pegar calibracion'!$A$1:$BZ$1001,479,A$2)&amp;""),""))</f>
        <v/>
      </c>
      <c r="B480">
        <f>IF(B$2=0,"",IFERROR(TRIM(INDEX('Pegar calibracion'!$A$1:$BZ$1001,479,B$2)&amp;""),""))</f>
        <v/>
      </c>
      <c r="C480">
        <f>IF(C$2=0,"",IFERROR(TRIM(INDEX('Pegar calibracion'!$A$1:$BZ$1001,479,C$2)&amp;""),""))</f>
        <v/>
      </c>
      <c r="D480">
        <f>IF(D$2=0,"",IFERROR(TRIM(INDEX('Pegar calibracion'!$A$1:$BZ$1001,479,D$2)&amp;""),""))</f>
        <v/>
      </c>
      <c r="E480">
        <f>IF(E$2=0,"",IFERROR(TRIM(INDEX('Pegar calibracion'!$A$1:$BZ$1001,479,E$2)&amp;""),""))</f>
        <v/>
      </c>
      <c r="F480">
        <f>IF(F$2=0,"",IFERROR(TRIM(INDEX('Pegar calibracion'!$A$1:$BZ$1001,479,F$2)&amp;""),""))</f>
        <v/>
      </c>
      <c r="G480">
        <f>IF(G$2=0,"",IFERROR(TRIM(INDEX('Pegar calibracion'!$A$1:$BZ$1001,479,G$2)&amp;""),""))</f>
        <v/>
      </c>
      <c r="H480">
        <f>IF(H$2=0,"",IFERROR(TRIM(INDEX('Pegar calibracion'!$A$1:$BZ$1001,479,H$2)&amp;""),""))</f>
        <v/>
      </c>
      <c r="I480">
        <f>IF(I$2=0,"",IFERROR(TRIM(INDEX('Pegar calibracion'!$A$1:$BZ$1001,479,I$2)&amp;""),""))</f>
        <v/>
      </c>
      <c r="J480">
        <f>IF(J$2=0,"",IFERROR(TRIM(INDEX('Pegar calibracion'!$A$1:$BZ$1001,479,J$2)&amp;""),""))</f>
        <v/>
      </c>
      <c r="K480">
        <f>IF(K$2=0,"",IFERROR(TRIM(INDEX('Pegar calibracion'!$A$1:$BZ$1001,479,K$2)&amp;""),""))</f>
        <v/>
      </c>
      <c r="L480">
        <f>IF(L$2=0,"",IFERROR(TRIM(INDEX('Pegar calibracion'!$A$1:$BZ$1001,479,L$2)&amp;""),""))</f>
        <v/>
      </c>
      <c r="M480" s="25">
        <f>IF(D480="","",SUBSTITUTE(SUBSTITUTE(SUBSTITUTE(SUBSTITUTE(SUBSTITUTE(SUBSTITUTE(SUBSTITUTE(SUBSTITUTE(SUBSTITUTE(SUBSTITUTE(SUBSTITUTE(SUBSTITUTE(LOWER(TRIM(D480)),"á","a"),"é","e"),"í","i"),"ó","o"),"ú","u"),"ü","u"),"ñ","n"),"à","a"),"è","e"),"ì","i"),"ò","o"),"ù","u"))</f>
        <v/>
      </c>
      <c r="N480" s="25">
        <f>IF(F480="","",SUBSTITUTE(SUBSTITUTE(SUBSTITUTE(SUBSTITUTE(SUBSTITUTE(SUBSTITUTE(SUBSTITUTE(SUBSTITUTE(SUBSTITUTE(SUBSTITUTE(SUBSTITUTE(SUBSTITUTE(LOWER(TRIM(F480)),"á","a"),"é","e"),"í","i"),"ó","o"),"ú","u"),"ü","u"),"ñ","n"),"à","a"),"è","e"),"ì","i"),"ò","o"),"ù","u"))</f>
        <v/>
      </c>
      <c r="O480" s="25">
        <f>IF(M480="confiable",2,IF(M480="dudosa",1,IF(M480="no confiable",0,"")))</f>
        <v/>
      </c>
      <c r="P480" s="25">
        <f>IF(N480="confiable",2,IF(N480="dudosa",1,IF(N480="no confiable",0,"")))</f>
        <v/>
      </c>
      <c r="Q480" s="25">
        <f>IF(AND(ISNUMBER(O480),ISNUMBER(P480)),1,"")</f>
        <v/>
      </c>
      <c r="R480" s="25">
        <f>IF(Q480=1,IF(O480=P480,"Sí","No"),"")</f>
        <v/>
      </c>
      <c r="S480" s="25">
        <f>IF(Q480=1,IF(P480&lt;O480,"Más estricto",IF(P480&gt;O480,"Más permisivo","Igual")),"")</f>
        <v/>
      </c>
      <c r="T480" s="25">
        <f>IF(Q480=1,IF(ABS(O480-P480)=2,1,0),"")</f>
        <v/>
      </c>
      <c r="U480" s="25">
        <f>IF(H480="","","|"&amp;SUBSTITUTE(SUBSTITUTE(TRIM(H480)," |","|"),"| ","|")&amp;"|")</f>
        <v/>
      </c>
      <c r="V480" s="25">
        <f>IF(AND(Q480=1,B480&lt;&gt;""),IF(IFERROR(COUNTIFS(B$3:B480,"="&amp;SUBSTITUTE(SUBSTITUTE(SUBSTITUTE(B480,"~","~~"),"*","~*"),"?","~?"),Q$3:Q480,1),0)=1,MAX(V$2:V479)+1,""),"")</f>
        <v/>
      </c>
      <c r="W480" s="25">
        <f>IF(V480="","",COUNTIFS($B$3:$B$1002,"="&amp;SUBSTITUTE(SUBSTITUTE(SUBSTITUTE(B480,"~","~~"),"*","~*"),"?","~?"),$Q$3:$Q$1002,1)*10000-V480)</f>
        <v/>
      </c>
      <c r="X480" s="25">
        <f>IF(Q480=1,IF(SUBSTITUTE(SUBSTITUTE(SUBSTITUTE(SUBSTITUTE(SUBSTITUTE(SUBSTITUTE(SUBSTITUTE(SUBSTITUTE(SUBSTITUTE(SUBSTITUTE(SUBSTITUTE(SUBSTITUTE(LOWER(TRIM(A480)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480)),"á","a"),"é","e"),"í","i"),"ó","o"),"ú","u"),"ü","u"),"ñ","n"),"à","a"),"è","e"),"ì","i"),"ò","o"),"ù","u")),"")</f>
        <v/>
      </c>
      <c r="Y480" s="25">
        <f>IF(X480="","",IF(IFERROR(COUNTIF(X$3:X480,"="&amp;SUBSTITUTE(SUBSTITUTE(SUBSTITUTE(X480,"~","~~"),"*","~*"),"?","~?")),0)=1,1,""))</f>
        <v/>
      </c>
      <c r="Z480" s="25">
        <f>IF(T480=1,MAX(Z$2:Z479)+1,"")</f>
        <v/>
      </c>
    </row>
    <row r="481">
      <c r="A481">
        <f>IF(A$2=0,"",IFERROR(TRIM(INDEX('Pegar calibracion'!$A$1:$BZ$1001,480,A$2)&amp;""),""))</f>
        <v/>
      </c>
      <c r="B481">
        <f>IF(B$2=0,"",IFERROR(TRIM(INDEX('Pegar calibracion'!$A$1:$BZ$1001,480,B$2)&amp;""),""))</f>
        <v/>
      </c>
      <c r="C481">
        <f>IF(C$2=0,"",IFERROR(TRIM(INDEX('Pegar calibracion'!$A$1:$BZ$1001,480,C$2)&amp;""),""))</f>
        <v/>
      </c>
      <c r="D481">
        <f>IF(D$2=0,"",IFERROR(TRIM(INDEX('Pegar calibracion'!$A$1:$BZ$1001,480,D$2)&amp;""),""))</f>
        <v/>
      </c>
      <c r="E481">
        <f>IF(E$2=0,"",IFERROR(TRIM(INDEX('Pegar calibracion'!$A$1:$BZ$1001,480,E$2)&amp;""),""))</f>
        <v/>
      </c>
      <c r="F481">
        <f>IF(F$2=0,"",IFERROR(TRIM(INDEX('Pegar calibracion'!$A$1:$BZ$1001,480,F$2)&amp;""),""))</f>
        <v/>
      </c>
      <c r="G481">
        <f>IF(G$2=0,"",IFERROR(TRIM(INDEX('Pegar calibracion'!$A$1:$BZ$1001,480,G$2)&amp;""),""))</f>
        <v/>
      </c>
      <c r="H481">
        <f>IF(H$2=0,"",IFERROR(TRIM(INDEX('Pegar calibracion'!$A$1:$BZ$1001,480,H$2)&amp;""),""))</f>
        <v/>
      </c>
      <c r="I481">
        <f>IF(I$2=0,"",IFERROR(TRIM(INDEX('Pegar calibracion'!$A$1:$BZ$1001,480,I$2)&amp;""),""))</f>
        <v/>
      </c>
      <c r="J481">
        <f>IF(J$2=0,"",IFERROR(TRIM(INDEX('Pegar calibracion'!$A$1:$BZ$1001,480,J$2)&amp;""),""))</f>
        <v/>
      </c>
      <c r="K481">
        <f>IF(K$2=0,"",IFERROR(TRIM(INDEX('Pegar calibracion'!$A$1:$BZ$1001,480,K$2)&amp;""),""))</f>
        <v/>
      </c>
      <c r="L481">
        <f>IF(L$2=0,"",IFERROR(TRIM(INDEX('Pegar calibracion'!$A$1:$BZ$1001,480,L$2)&amp;""),""))</f>
        <v/>
      </c>
      <c r="M481" s="25">
        <f>IF(D481="","",SUBSTITUTE(SUBSTITUTE(SUBSTITUTE(SUBSTITUTE(SUBSTITUTE(SUBSTITUTE(SUBSTITUTE(SUBSTITUTE(SUBSTITUTE(SUBSTITUTE(SUBSTITUTE(SUBSTITUTE(LOWER(TRIM(D481)),"á","a"),"é","e"),"í","i"),"ó","o"),"ú","u"),"ü","u"),"ñ","n"),"à","a"),"è","e"),"ì","i"),"ò","o"),"ù","u"))</f>
        <v/>
      </c>
      <c r="N481" s="25">
        <f>IF(F481="","",SUBSTITUTE(SUBSTITUTE(SUBSTITUTE(SUBSTITUTE(SUBSTITUTE(SUBSTITUTE(SUBSTITUTE(SUBSTITUTE(SUBSTITUTE(SUBSTITUTE(SUBSTITUTE(SUBSTITUTE(LOWER(TRIM(F481)),"á","a"),"é","e"),"í","i"),"ó","o"),"ú","u"),"ü","u"),"ñ","n"),"à","a"),"è","e"),"ì","i"),"ò","o"),"ù","u"))</f>
        <v/>
      </c>
      <c r="O481" s="25">
        <f>IF(M481="confiable",2,IF(M481="dudosa",1,IF(M481="no confiable",0,"")))</f>
        <v/>
      </c>
      <c r="P481" s="25">
        <f>IF(N481="confiable",2,IF(N481="dudosa",1,IF(N481="no confiable",0,"")))</f>
        <v/>
      </c>
      <c r="Q481" s="25">
        <f>IF(AND(ISNUMBER(O481),ISNUMBER(P481)),1,"")</f>
        <v/>
      </c>
      <c r="R481" s="25">
        <f>IF(Q481=1,IF(O481=P481,"Sí","No"),"")</f>
        <v/>
      </c>
      <c r="S481" s="25">
        <f>IF(Q481=1,IF(P481&lt;O481,"Más estricto",IF(P481&gt;O481,"Más permisivo","Igual")),"")</f>
        <v/>
      </c>
      <c r="T481" s="25">
        <f>IF(Q481=1,IF(ABS(O481-P481)=2,1,0),"")</f>
        <v/>
      </c>
      <c r="U481" s="25">
        <f>IF(H481="","","|"&amp;SUBSTITUTE(SUBSTITUTE(TRIM(H481)," |","|"),"| ","|")&amp;"|")</f>
        <v/>
      </c>
      <c r="V481" s="25">
        <f>IF(AND(Q481=1,B481&lt;&gt;""),IF(IFERROR(COUNTIFS(B$3:B481,"="&amp;SUBSTITUTE(SUBSTITUTE(SUBSTITUTE(B481,"~","~~"),"*","~*"),"?","~?"),Q$3:Q481,1),0)=1,MAX(V$2:V480)+1,""),"")</f>
        <v/>
      </c>
      <c r="W481" s="25">
        <f>IF(V481="","",COUNTIFS($B$3:$B$1002,"="&amp;SUBSTITUTE(SUBSTITUTE(SUBSTITUTE(B481,"~","~~"),"*","~*"),"?","~?"),$Q$3:$Q$1002,1)*10000-V481)</f>
        <v/>
      </c>
      <c r="X481" s="25">
        <f>IF(Q481=1,IF(SUBSTITUTE(SUBSTITUTE(SUBSTITUTE(SUBSTITUTE(SUBSTITUTE(SUBSTITUTE(SUBSTITUTE(SUBSTITUTE(SUBSTITUTE(SUBSTITUTE(SUBSTITUTE(SUBSTITUTE(LOWER(TRIM(A481)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481)),"á","a"),"é","e"),"í","i"),"ó","o"),"ú","u"),"ü","u"),"ñ","n"),"à","a"),"è","e"),"ì","i"),"ò","o"),"ù","u")),"")</f>
        <v/>
      </c>
      <c r="Y481" s="25">
        <f>IF(X481="","",IF(IFERROR(COUNTIF(X$3:X481,"="&amp;SUBSTITUTE(SUBSTITUTE(SUBSTITUTE(X481,"~","~~"),"*","~*"),"?","~?")),0)=1,1,""))</f>
        <v/>
      </c>
      <c r="Z481" s="25">
        <f>IF(T481=1,MAX(Z$2:Z480)+1,"")</f>
        <v/>
      </c>
    </row>
    <row r="482">
      <c r="A482">
        <f>IF(A$2=0,"",IFERROR(TRIM(INDEX('Pegar calibracion'!$A$1:$BZ$1001,481,A$2)&amp;""),""))</f>
        <v/>
      </c>
      <c r="B482">
        <f>IF(B$2=0,"",IFERROR(TRIM(INDEX('Pegar calibracion'!$A$1:$BZ$1001,481,B$2)&amp;""),""))</f>
        <v/>
      </c>
      <c r="C482">
        <f>IF(C$2=0,"",IFERROR(TRIM(INDEX('Pegar calibracion'!$A$1:$BZ$1001,481,C$2)&amp;""),""))</f>
        <v/>
      </c>
      <c r="D482">
        <f>IF(D$2=0,"",IFERROR(TRIM(INDEX('Pegar calibracion'!$A$1:$BZ$1001,481,D$2)&amp;""),""))</f>
        <v/>
      </c>
      <c r="E482">
        <f>IF(E$2=0,"",IFERROR(TRIM(INDEX('Pegar calibracion'!$A$1:$BZ$1001,481,E$2)&amp;""),""))</f>
        <v/>
      </c>
      <c r="F482">
        <f>IF(F$2=0,"",IFERROR(TRIM(INDEX('Pegar calibracion'!$A$1:$BZ$1001,481,F$2)&amp;""),""))</f>
        <v/>
      </c>
      <c r="G482">
        <f>IF(G$2=0,"",IFERROR(TRIM(INDEX('Pegar calibracion'!$A$1:$BZ$1001,481,G$2)&amp;""),""))</f>
        <v/>
      </c>
      <c r="H482">
        <f>IF(H$2=0,"",IFERROR(TRIM(INDEX('Pegar calibracion'!$A$1:$BZ$1001,481,H$2)&amp;""),""))</f>
        <v/>
      </c>
      <c r="I482">
        <f>IF(I$2=0,"",IFERROR(TRIM(INDEX('Pegar calibracion'!$A$1:$BZ$1001,481,I$2)&amp;""),""))</f>
        <v/>
      </c>
      <c r="J482">
        <f>IF(J$2=0,"",IFERROR(TRIM(INDEX('Pegar calibracion'!$A$1:$BZ$1001,481,J$2)&amp;""),""))</f>
        <v/>
      </c>
      <c r="K482">
        <f>IF(K$2=0,"",IFERROR(TRIM(INDEX('Pegar calibracion'!$A$1:$BZ$1001,481,K$2)&amp;""),""))</f>
        <v/>
      </c>
      <c r="L482">
        <f>IF(L$2=0,"",IFERROR(TRIM(INDEX('Pegar calibracion'!$A$1:$BZ$1001,481,L$2)&amp;""),""))</f>
        <v/>
      </c>
      <c r="M482" s="25">
        <f>IF(D482="","",SUBSTITUTE(SUBSTITUTE(SUBSTITUTE(SUBSTITUTE(SUBSTITUTE(SUBSTITUTE(SUBSTITUTE(SUBSTITUTE(SUBSTITUTE(SUBSTITUTE(SUBSTITUTE(SUBSTITUTE(LOWER(TRIM(D482)),"á","a"),"é","e"),"í","i"),"ó","o"),"ú","u"),"ü","u"),"ñ","n"),"à","a"),"è","e"),"ì","i"),"ò","o"),"ù","u"))</f>
        <v/>
      </c>
      <c r="N482" s="25">
        <f>IF(F482="","",SUBSTITUTE(SUBSTITUTE(SUBSTITUTE(SUBSTITUTE(SUBSTITUTE(SUBSTITUTE(SUBSTITUTE(SUBSTITUTE(SUBSTITUTE(SUBSTITUTE(SUBSTITUTE(SUBSTITUTE(LOWER(TRIM(F482)),"á","a"),"é","e"),"í","i"),"ó","o"),"ú","u"),"ü","u"),"ñ","n"),"à","a"),"è","e"),"ì","i"),"ò","o"),"ù","u"))</f>
        <v/>
      </c>
      <c r="O482" s="25">
        <f>IF(M482="confiable",2,IF(M482="dudosa",1,IF(M482="no confiable",0,"")))</f>
        <v/>
      </c>
      <c r="P482" s="25">
        <f>IF(N482="confiable",2,IF(N482="dudosa",1,IF(N482="no confiable",0,"")))</f>
        <v/>
      </c>
      <c r="Q482" s="25">
        <f>IF(AND(ISNUMBER(O482),ISNUMBER(P482)),1,"")</f>
        <v/>
      </c>
      <c r="R482" s="25">
        <f>IF(Q482=1,IF(O482=P482,"Sí","No"),"")</f>
        <v/>
      </c>
      <c r="S482" s="25">
        <f>IF(Q482=1,IF(P482&lt;O482,"Más estricto",IF(P482&gt;O482,"Más permisivo","Igual")),"")</f>
        <v/>
      </c>
      <c r="T482" s="25">
        <f>IF(Q482=1,IF(ABS(O482-P482)=2,1,0),"")</f>
        <v/>
      </c>
      <c r="U482" s="25">
        <f>IF(H482="","","|"&amp;SUBSTITUTE(SUBSTITUTE(TRIM(H482)," |","|"),"| ","|")&amp;"|")</f>
        <v/>
      </c>
      <c r="V482" s="25">
        <f>IF(AND(Q482=1,B482&lt;&gt;""),IF(IFERROR(COUNTIFS(B$3:B482,"="&amp;SUBSTITUTE(SUBSTITUTE(SUBSTITUTE(B482,"~","~~"),"*","~*"),"?","~?"),Q$3:Q482,1),0)=1,MAX(V$2:V481)+1,""),"")</f>
        <v/>
      </c>
      <c r="W482" s="25">
        <f>IF(V482="","",COUNTIFS($B$3:$B$1002,"="&amp;SUBSTITUTE(SUBSTITUTE(SUBSTITUTE(B482,"~","~~"),"*","~*"),"?","~?"),$Q$3:$Q$1002,1)*10000-V482)</f>
        <v/>
      </c>
      <c r="X482" s="25">
        <f>IF(Q482=1,IF(SUBSTITUTE(SUBSTITUTE(SUBSTITUTE(SUBSTITUTE(SUBSTITUTE(SUBSTITUTE(SUBSTITUTE(SUBSTITUTE(SUBSTITUTE(SUBSTITUTE(SUBSTITUTE(SUBSTITUTE(LOWER(TRIM(A482)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482)),"á","a"),"é","e"),"í","i"),"ó","o"),"ú","u"),"ü","u"),"ñ","n"),"à","a"),"è","e"),"ì","i"),"ò","o"),"ù","u")),"")</f>
        <v/>
      </c>
      <c r="Y482" s="25">
        <f>IF(X482="","",IF(IFERROR(COUNTIF(X$3:X482,"="&amp;SUBSTITUTE(SUBSTITUTE(SUBSTITUTE(X482,"~","~~"),"*","~*"),"?","~?")),0)=1,1,""))</f>
        <v/>
      </c>
      <c r="Z482" s="25">
        <f>IF(T482=1,MAX(Z$2:Z481)+1,"")</f>
        <v/>
      </c>
    </row>
    <row r="483">
      <c r="A483">
        <f>IF(A$2=0,"",IFERROR(TRIM(INDEX('Pegar calibracion'!$A$1:$BZ$1001,482,A$2)&amp;""),""))</f>
        <v/>
      </c>
      <c r="B483">
        <f>IF(B$2=0,"",IFERROR(TRIM(INDEX('Pegar calibracion'!$A$1:$BZ$1001,482,B$2)&amp;""),""))</f>
        <v/>
      </c>
      <c r="C483">
        <f>IF(C$2=0,"",IFERROR(TRIM(INDEX('Pegar calibracion'!$A$1:$BZ$1001,482,C$2)&amp;""),""))</f>
        <v/>
      </c>
      <c r="D483">
        <f>IF(D$2=0,"",IFERROR(TRIM(INDEX('Pegar calibracion'!$A$1:$BZ$1001,482,D$2)&amp;""),""))</f>
        <v/>
      </c>
      <c r="E483">
        <f>IF(E$2=0,"",IFERROR(TRIM(INDEX('Pegar calibracion'!$A$1:$BZ$1001,482,E$2)&amp;""),""))</f>
        <v/>
      </c>
      <c r="F483">
        <f>IF(F$2=0,"",IFERROR(TRIM(INDEX('Pegar calibracion'!$A$1:$BZ$1001,482,F$2)&amp;""),""))</f>
        <v/>
      </c>
      <c r="G483">
        <f>IF(G$2=0,"",IFERROR(TRIM(INDEX('Pegar calibracion'!$A$1:$BZ$1001,482,G$2)&amp;""),""))</f>
        <v/>
      </c>
      <c r="H483">
        <f>IF(H$2=0,"",IFERROR(TRIM(INDEX('Pegar calibracion'!$A$1:$BZ$1001,482,H$2)&amp;""),""))</f>
        <v/>
      </c>
      <c r="I483">
        <f>IF(I$2=0,"",IFERROR(TRIM(INDEX('Pegar calibracion'!$A$1:$BZ$1001,482,I$2)&amp;""),""))</f>
        <v/>
      </c>
      <c r="J483">
        <f>IF(J$2=0,"",IFERROR(TRIM(INDEX('Pegar calibracion'!$A$1:$BZ$1001,482,J$2)&amp;""),""))</f>
        <v/>
      </c>
      <c r="K483">
        <f>IF(K$2=0,"",IFERROR(TRIM(INDEX('Pegar calibracion'!$A$1:$BZ$1001,482,K$2)&amp;""),""))</f>
        <v/>
      </c>
      <c r="L483">
        <f>IF(L$2=0,"",IFERROR(TRIM(INDEX('Pegar calibracion'!$A$1:$BZ$1001,482,L$2)&amp;""),""))</f>
        <v/>
      </c>
      <c r="M483" s="25">
        <f>IF(D483="","",SUBSTITUTE(SUBSTITUTE(SUBSTITUTE(SUBSTITUTE(SUBSTITUTE(SUBSTITUTE(SUBSTITUTE(SUBSTITUTE(SUBSTITUTE(SUBSTITUTE(SUBSTITUTE(SUBSTITUTE(LOWER(TRIM(D483)),"á","a"),"é","e"),"í","i"),"ó","o"),"ú","u"),"ü","u"),"ñ","n"),"à","a"),"è","e"),"ì","i"),"ò","o"),"ù","u"))</f>
        <v/>
      </c>
      <c r="N483" s="25">
        <f>IF(F483="","",SUBSTITUTE(SUBSTITUTE(SUBSTITUTE(SUBSTITUTE(SUBSTITUTE(SUBSTITUTE(SUBSTITUTE(SUBSTITUTE(SUBSTITUTE(SUBSTITUTE(SUBSTITUTE(SUBSTITUTE(LOWER(TRIM(F483)),"á","a"),"é","e"),"í","i"),"ó","o"),"ú","u"),"ü","u"),"ñ","n"),"à","a"),"è","e"),"ì","i"),"ò","o"),"ù","u"))</f>
        <v/>
      </c>
      <c r="O483" s="25">
        <f>IF(M483="confiable",2,IF(M483="dudosa",1,IF(M483="no confiable",0,"")))</f>
        <v/>
      </c>
      <c r="P483" s="25">
        <f>IF(N483="confiable",2,IF(N483="dudosa",1,IF(N483="no confiable",0,"")))</f>
        <v/>
      </c>
      <c r="Q483" s="25">
        <f>IF(AND(ISNUMBER(O483),ISNUMBER(P483)),1,"")</f>
        <v/>
      </c>
      <c r="R483" s="25">
        <f>IF(Q483=1,IF(O483=P483,"Sí","No"),"")</f>
        <v/>
      </c>
      <c r="S483" s="25">
        <f>IF(Q483=1,IF(P483&lt;O483,"Más estricto",IF(P483&gt;O483,"Más permisivo","Igual")),"")</f>
        <v/>
      </c>
      <c r="T483" s="25">
        <f>IF(Q483=1,IF(ABS(O483-P483)=2,1,0),"")</f>
        <v/>
      </c>
      <c r="U483" s="25">
        <f>IF(H483="","","|"&amp;SUBSTITUTE(SUBSTITUTE(TRIM(H483)," |","|"),"| ","|")&amp;"|")</f>
        <v/>
      </c>
      <c r="V483" s="25">
        <f>IF(AND(Q483=1,B483&lt;&gt;""),IF(IFERROR(COUNTIFS(B$3:B483,"="&amp;SUBSTITUTE(SUBSTITUTE(SUBSTITUTE(B483,"~","~~"),"*","~*"),"?","~?"),Q$3:Q483,1),0)=1,MAX(V$2:V482)+1,""),"")</f>
        <v/>
      </c>
      <c r="W483" s="25">
        <f>IF(V483="","",COUNTIFS($B$3:$B$1002,"="&amp;SUBSTITUTE(SUBSTITUTE(SUBSTITUTE(B483,"~","~~"),"*","~*"),"?","~?"),$Q$3:$Q$1002,1)*10000-V483)</f>
        <v/>
      </c>
      <c r="X483" s="25">
        <f>IF(Q483=1,IF(SUBSTITUTE(SUBSTITUTE(SUBSTITUTE(SUBSTITUTE(SUBSTITUTE(SUBSTITUTE(SUBSTITUTE(SUBSTITUTE(SUBSTITUTE(SUBSTITUTE(SUBSTITUTE(SUBSTITUTE(LOWER(TRIM(A483)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483)),"á","a"),"é","e"),"í","i"),"ó","o"),"ú","u"),"ü","u"),"ñ","n"),"à","a"),"è","e"),"ì","i"),"ò","o"),"ù","u")),"")</f>
        <v/>
      </c>
      <c r="Y483" s="25">
        <f>IF(X483="","",IF(IFERROR(COUNTIF(X$3:X483,"="&amp;SUBSTITUTE(SUBSTITUTE(SUBSTITUTE(X483,"~","~~"),"*","~*"),"?","~?")),0)=1,1,""))</f>
        <v/>
      </c>
      <c r="Z483" s="25">
        <f>IF(T483=1,MAX(Z$2:Z482)+1,"")</f>
        <v/>
      </c>
    </row>
    <row r="484">
      <c r="A484">
        <f>IF(A$2=0,"",IFERROR(TRIM(INDEX('Pegar calibracion'!$A$1:$BZ$1001,483,A$2)&amp;""),""))</f>
        <v/>
      </c>
      <c r="B484">
        <f>IF(B$2=0,"",IFERROR(TRIM(INDEX('Pegar calibracion'!$A$1:$BZ$1001,483,B$2)&amp;""),""))</f>
        <v/>
      </c>
      <c r="C484">
        <f>IF(C$2=0,"",IFERROR(TRIM(INDEX('Pegar calibracion'!$A$1:$BZ$1001,483,C$2)&amp;""),""))</f>
        <v/>
      </c>
      <c r="D484">
        <f>IF(D$2=0,"",IFERROR(TRIM(INDEX('Pegar calibracion'!$A$1:$BZ$1001,483,D$2)&amp;""),""))</f>
        <v/>
      </c>
      <c r="E484">
        <f>IF(E$2=0,"",IFERROR(TRIM(INDEX('Pegar calibracion'!$A$1:$BZ$1001,483,E$2)&amp;""),""))</f>
        <v/>
      </c>
      <c r="F484">
        <f>IF(F$2=0,"",IFERROR(TRIM(INDEX('Pegar calibracion'!$A$1:$BZ$1001,483,F$2)&amp;""),""))</f>
        <v/>
      </c>
      <c r="G484">
        <f>IF(G$2=0,"",IFERROR(TRIM(INDEX('Pegar calibracion'!$A$1:$BZ$1001,483,G$2)&amp;""),""))</f>
        <v/>
      </c>
      <c r="H484">
        <f>IF(H$2=0,"",IFERROR(TRIM(INDEX('Pegar calibracion'!$A$1:$BZ$1001,483,H$2)&amp;""),""))</f>
        <v/>
      </c>
      <c r="I484">
        <f>IF(I$2=0,"",IFERROR(TRIM(INDEX('Pegar calibracion'!$A$1:$BZ$1001,483,I$2)&amp;""),""))</f>
        <v/>
      </c>
      <c r="J484">
        <f>IF(J$2=0,"",IFERROR(TRIM(INDEX('Pegar calibracion'!$A$1:$BZ$1001,483,J$2)&amp;""),""))</f>
        <v/>
      </c>
      <c r="K484">
        <f>IF(K$2=0,"",IFERROR(TRIM(INDEX('Pegar calibracion'!$A$1:$BZ$1001,483,K$2)&amp;""),""))</f>
        <v/>
      </c>
      <c r="L484">
        <f>IF(L$2=0,"",IFERROR(TRIM(INDEX('Pegar calibracion'!$A$1:$BZ$1001,483,L$2)&amp;""),""))</f>
        <v/>
      </c>
      <c r="M484" s="25">
        <f>IF(D484="","",SUBSTITUTE(SUBSTITUTE(SUBSTITUTE(SUBSTITUTE(SUBSTITUTE(SUBSTITUTE(SUBSTITUTE(SUBSTITUTE(SUBSTITUTE(SUBSTITUTE(SUBSTITUTE(SUBSTITUTE(LOWER(TRIM(D484)),"á","a"),"é","e"),"í","i"),"ó","o"),"ú","u"),"ü","u"),"ñ","n"),"à","a"),"è","e"),"ì","i"),"ò","o"),"ù","u"))</f>
        <v/>
      </c>
      <c r="N484" s="25">
        <f>IF(F484="","",SUBSTITUTE(SUBSTITUTE(SUBSTITUTE(SUBSTITUTE(SUBSTITUTE(SUBSTITUTE(SUBSTITUTE(SUBSTITUTE(SUBSTITUTE(SUBSTITUTE(SUBSTITUTE(SUBSTITUTE(LOWER(TRIM(F484)),"á","a"),"é","e"),"í","i"),"ó","o"),"ú","u"),"ü","u"),"ñ","n"),"à","a"),"è","e"),"ì","i"),"ò","o"),"ù","u"))</f>
        <v/>
      </c>
      <c r="O484" s="25">
        <f>IF(M484="confiable",2,IF(M484="dudosa",1,IF(M484="no confiable",0,"")))</f>
        <v/>
      </c>
      <c r="P484" s="25">
        <f>IF(N484="confiable",2,IF(N484="dudosa",1,IF(N484="no confiable",0,"")))</f>
        <v/>
      </c>
      <c r="Q484" s="25">
        <f>IF(AND(ISNUMBER(O484),ISNUMBER(P484)),1,"")</f>
        <v/>
      </c>
      <c r="R484" s="25">
        <f>IF(Q484=1,IF(O484=P484,"Sí","No"),"")</f>
        <v/>
      </c>
      <c r="S484" s="25">
        <f>IF(Q484=1,IF(P484&lt;O484,"Más estricto",IF(P484&gt;O484,"Más permisivo","Igual")),"")</f>
        <v/>
      </c>
      <c r="T484" s="25">
        <f>IF(Q484=1,IF(ABS(O484-P484)=2,1,0),"")</f>
        <v/>
      </c>
      <c r="U484" s="25">
        <f>IF(H484="","","|"&amp;SUBSTITUTE(SUBSTITUTE(TRIM(H484)," |","|"),"| ","|")&amp;"|")</f>
        <v/>
      </c>
      <c r="V484" s="25">
        <f>IF(AND(Q484=1,B484&lt;&gt;""),IF(IFERROR(COUNTIFS(B$3:B484,"="&amp;SUBSTITUTE(SUBSTITUTE(SUBSTITUTE(B484,"~","~~"),"*","~*"),"?","~?"),Q$3:Q484,1),0)=1,MAX(V$2:V483)+1,""),"")</f>
        <v/>
      </c>
      <c r="W484" s="25">
        <f>IF(V484="","",COUNTIFS($B$3:$B$1002,"="&amp;SUBSTITUTE(SUBSTITUTE(SUBSTITUTE(B484,"~","~~"),"*","~*"),"?","~?"),$Q$3:$Q$1002,1)*10000-V484)</f>
        <v/>
      </c>
      <c r="X484" s="25">
        <f>IF(Q484=1,IF(SUBSTITUTE(SUBSTITUTE(SUBSTITUTE(SUBSTITUTE(SUBSTITUTE(SUBSTITUTE(SUBSTITUTE(SUBSTITUTE(SUBSTITUTE(SUBSTITUTE(SUBSTITUTE(SUBSTITUTE(LOWER(TRIM(A484)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484)),"á","a"),"é","e"),"í","i"),"ó","o"),"ú","u"),"ü","u"),"ñ","n"),"à","a"),"è","e"),"ì","i"),"ò","o"),"ù","u")),"")</f>
        <v/>
      </c>
      <c r="Y484" s="25">
        <f>IF(X484="","",IF(IFERROR(COUNTIF(X$3:X484,"="&amp;SUBSTITUTE(SUBSTITUTE(SUBSTITUTE(X484,"~","~~"),"*","~*"),"?","~?")),0)=1,1,""))</f>
        <v/>
      </c>
      <c r="Z484" s="25">
        <f>IF(T484=1,MAX(Z$2:Z483)+1,"")</f>
        <v/>
      </c>
    </row>
    <row r="485">
      <c r="A485">
        <f>IF(A$2=0,"",IFERROR(TRIM(INDEX('Pegar calibracion'!$A$1:$BZ$1001,484,A$2)&amp;""),""))</f>
        <v/>
      </c>
      <c r="B485">
        <f>IF(B$2=0,"",IFERROR(TRIM(INDEX('Pegar calibracion'!$A$1:$BZ$1001,484,B$2)&amp;""),""))</f>
        <v/>
      </c>
      <c r="C485">
        <f>IF(C$2=0,"",IFERROR(TRIM(INDEX('Pegar calibracion'!$A$1:$BZ$1001,484,C$2)&amp;""),""))</f>
        <v/>
      </c>
      <c r="D485">
        <f>IF(D$2=0,"",IFERROR(TRIM(INDEX('Pegar calibracion'!$A$1:$BZ$1001,484,D$2)&amp;""),""))</f>
        <v/>
      </c>
      <c r="E485">
        <f>IF(E$2=0,"",IFERROR(TRIM(INDEX('Pegar calibracion'!$A$1:$BZ$1001,484,E$2)&amp;""),""))</f>
        <v/>
      </c>
      <c r="F485">
        <f>IF(F$2=0,"",IFERROR(TRIM(INDEX('Pegar calibracion'!$A$1:$BZ$1001,484,F$2)&amp;""),""))</f>
        <v/>
      </c>
      <c r="G485">
        <f>IF(G$2=0,"",IFERROR(TRIM(INDEX('Pegar calibracion'!$A$1:$BZ$1001,484,G$2)&amp;""),""))</f>
        <v/>
      </c>
      <c r="H485">
        <f>IF(H$2=0,"",IFERROR(TRIM(INDEX('Pegar calibracion'!$A$1:$BZ$1001,484,H$2)&amp;""),""))</f>
        <v/>
      </c>
      <c r="I485">
        <f>IF(I$2=0,"",IFERROR(TRIM(INDEX('Pegar calibracion'!$A$1:$BZ$1001,484,I$2)&amp;""),""))</f>
        <v/>
      </c>
      <c r="J485">
        <f>IF(J$2=0,"",IFERROR(TRIM(INDEX('Pegar calibracion'!$A$1:$BZ$1001,484,J$2)&amp;""),""))</f>
        <v/>
      </c>
      <c r="K485">
        <f>IF(K$2=0,"",IFERROR(TRIM(INDEX('Pegar calibracion'!$A$1:$BZ$1001,484,K$2)&amp;""),""))</f>
        <v/>
      </c>
      <c r="L485">
        <f>IF(L$2=0,"",IFERROR(TRIM(INDEX('Pegar calibracion'!$A$1:$BZ$1001,484,L$2)&amp;""),""))</f>
        <v/>
      </c>
      <c r="M485" s="25">
        <f>IF(D485="","",SUBSTITUTE(SUBSTITUTE(SUBSTITUTE(SUBSTITUTE(SUBSTITUTE(SUBSTITUTE(SUBSTITUTE(SUBSTITUTE(SUBSTITUTE(SUBSTITUTE(SUBSTITUTE(SUBSTITUTE(LOWER(TRIM(D485)),"á","a"),"é","e"),"í","i"),"ó","o"),"ú","u"),"ü","u"),"ñ","n"),"à","a"),"è","e"),"ì","i"),"ò","o"),"ù","u"))</f>
        <v/>
      </c>
      <c r="N485" s="25">
        <f>IF(F485="","",SUBSTITUTE(SUBSTITUTE(SUBSTITUTE(SUBSTITUTE(SUBSTITUTE(SUBSTITUTE(SUBSTITUTE(SUBSTITUTE(SUBSTITUTE(SUBSTITUTE(SUBSTITUTE(SUBSTITUTE(LOWER(TRIM(F485)),"á","a"),"é","e"),"í","i"),"ó","o"),"ú","u"),"ü","u"),"ñ","n"),"à","a"),"è","e"),"ì","i"),"ò","o"),"ù","u"))</f>
        <v/>
      </c>
      <c r="O485" s="25">
        <f>IF(M485="confiable",2,IF(M485="dudosa",1,IF(M485="no confiable",0,"")))</f>
        <v/>
      </c>
      <c r="P485" s="25">
        <f>IF(N485="confiable",2,IF(N485="dudosa",1,IF(N485="no confiable",0,"")))</f>
        <v/>
      </c>
      <c r="Q485" s="25">
        <f>IF(AND(ISNUMBER(O485),ISNUMBER(P485)),1,"")</f>
        <v/>
      </c>
      <c r="R485" s="25">
        <f>IF(Q485=1,IF(O485=P485,"Sí","No"),"")</f>
        <v/>
      </c>
      <c r="S485" s="25">
        <f>IF(Q485=1,IF(P485&lt;O485,"Más estricto",IF(P485&gt;O485,"Más permisivo","Igual")),"")</f>
        <v/>
      </c>
      <c r="T485" s="25">
        <f>IF(Q485=1,IF(ABS(O485-P485)=2,1,0),"")</f>
        <v/>
      </c>
      <c r="U485" s="25">
        <f>IF(H485="","","|"&amp;SUBSTITUTE(SUBSTITUTE(TRIM(H485)," |","|"),"| ","|")&amp;"|")</f>
        <v/>
      </c>
      <c r="V485" s="25">
        <f>IF(AND(Q485=1,B485&lt;&gt;""),IF(IFERROR(COUNTIFS(B$3:B485,"="&amp;SUBSTITUTE(SUBSTITUTE(SUBSTITUTE(B485,"~","~~"),"*","~*"),"?","~?"),Q$3:Q485,1),0)=1,MAX(V$2:V484)+1,""),"")</f>
        <v/>
      </c>
      <c r="W485" s="25">
        <f>IF(V485="","",COUNTIFS($B$3:$B$1002,"="&amp;SUBSTITUTE(SUBSTITUTE(SUBSTITUTE(B485,"~","~~"),"*","~*"),"?","~?"),$Q$3:$Q$1002,1)*10000-V485)</f>
        <v/>
      </c>
      <c r="X485" s="25">
        <f>IF(Q485=1,IF(SUBSTITUTE(SUBSTITUTE(SUBSTITUTE(SUBSTITUTE(SUBSTITUTE(SUBSTITUTE(SUBSTITUTE(SUBSTITUTE(SUBSTITUTE(SUBSTITUTE(SUBSTITUTE(SUBSTITUTE(LOWER(TRIM(A485)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485)),"á","a"),"é","e"),"í","i"),"ó","o"),"ú","u"),"ü","u"),"ñ","n"),"à","a"),"è","e"),"ì","i"),"ò","o"),"ù","u")),"")</f>
        <v/>
      </c>
      <c r="Y485" s="25">
        <f>IF(X485="","",IF(IFERROR(COUNTIF(X$3:X485,"="&amp;SUBSTITUTE(SUBSTITUTE(SUBSTITUTE(X485,"~","~~"),"*","~*"),"?","~?")),0)=1,1,""))</f>
        <v/>
      </c>
      <c r="Z485" s="25">
        <f>IF(T485=1,MAX(Z$2:Z484)+1,"")</f>
        <v/>
      </c>
    </row>
    <row r="486">
      <c r="A486">
        <f>IF(A$2=0,"",IFERROR(TRIM(INDEX('Pegar calibracion'!$A$1:$BZ$1001,485,A$2)&amp;""),""))</f>
        <v/>
      </c>
      <c r="B486">
        <f>IF(B$2=0,"",IFERROR(TRIM(INDEX('Pegar calibracion'!$A$1:$BZ$1001,485,B$2)&amp;""),""))</f>
        <v/>
      </c>
      <c r="C486">
        <f>IF(C$2=0,"",IFERROR(TRIM(INDEX('Pegar calibracion'!$A$1:$BZ$1001,485,C$2)&amp;""),""))</f>
        <v/>
      </c>
      <c r="D486">
        <f>IF(D$2=0,"",IFERROR(TRIM(INDEX('Pegar calibracion'!$A$1:$BZ$1001,485,D$2)&amp;""),""))</f>
        <v/>
      </c>
      <c r="E486">
        <f>IF(E$2=0,"",IFERROR(TRIM(INDEX('Pegar calibracion'!$A$1:$BZ$1001,485,E$2)&amp;""),""))</f>
        <v/>
      </c>
      <c r="F486">
        <f>IF(F$2=0,"",IFERROR(TRIM(INDEX('Pegar calibracion'!$A$1:$BZ$1001,485,F$2)&amp;""),""))</f>
        <v/>
      </c>
      <c r="G486">
        <f>IF(G$2=0,"",IFERROR(TRIM(INDEX('Pegar calibracion'!$A$1:$BZ$1001,485,G$2)&amp;""),""))</f>
        <v/>
      </c>
      <c r="H486">
        <f>IF(H$2=0,"",IFERROR(TRIM(INDEX('Pegar calibracion'!$A$1:$BZ$1001,485,H$2)&amp;""),""))</f>
        <v/>
      </c>
      <c r="I486">
        <f>IF(I$2=0,"",IFERROR(TRIM(INDEX('Pegar calibracion'!$A$1:$BZ$1001,485,I$2)&amp;""),""))</f>
        <v/>
      </c>
      <c r="J486">
        <f>IF(J$2=0,"",IFERROR(TRIM(INDEX('Pegar calibracion'!$A$1:$BZ$1001,485,J$2)&amp;""),""))</f>
        <v/>
      </c>
      <c r="K486">
        <f>IF(K$2=0,"",IFERROR(TRIM(INDEX('Pegar calibracion'!$A$1:$BZ$1001,485,K$2)&amp;""),""))</f>
        <v/>
      </c>
      <c r="L486">
        <f>IF(L$2=0,"",IFERROR(TRIM(INDEX('Pegar calibracion'!$A$1:$BZ$1001,485,L$2)&amp;""),""))</f>
        <v/>
      </c>
      <c r="M486" s="25">
        <f>IF(D486="","",SUBSTITUTE(SUBSTITUTE(SUBSTITUTE(SUBSTITUTE(SUBSTITUTE(SUBSTITUTE(SUBSTITUTE(SUBSTITUTE(SUBSTITUTE(SUBSTITUTE(SUBSTITUTE(SUBSTITUTE(LOWER(TRIM(D486)),"á","a"),"é","e"),"í","i"),"ó","o"),"ú","u"),"ü","u"),"ñ","n"),"à","a"),"è","e"),"ì","i"),"ò","o"),"ù","u"))</f>
        <v/>
      </c>
      <c r="N486" s="25">
        <f>IF(F486="","",SUBSTITUTE(SUBSTITUTE(SUBSTITUTE(SUBSTITUTE(SUBSTITUTE(SUBSTITUTE(SUBSTITUTE(SUBSTITUTE(SUBSTITUTE(SUBSTITUTE(SUBSTITUTE(SUBSTITUTE(LOWER(TRIM(F486)),"á","a"),"é","e"),"í","i"),"ó","o"),"ú","u"),"ü","u"),"ñ","n"),"à","a"),"è","e"),"ì","i"),"ò","o"),"ù","u"))</f>
        <v/>
      </c>
      <c r="O486" s="25">
        <f>IF(M486="confiable",2,IF(M486="dudosa",1,IF(M486="no confiable",0,"")))</f>
        <v/>
      </c>
      <c r="P486" s="25">
        <f>IF(N486="confiable",2,IF(N486="dudosa",1,IF(N486="no confiable",0,"")))</f>
        <v/>
      </c>
      <c r="Q486" s="25">
        <f>IF(AND(ISNUMBER(O486),ISNUMBER(P486)),1,"")</f>
        <v/>
      </c>
      <c r="R486" s="25">
        <f>IF(Q486=1,IF(O486=P486,"Sí","No"),"")</f>
        <v/>
      </c>
      <c r="S486" s="25">
        <f>IF(Q486=1,IF(P486&lt;O486,"Más estricto",IF(P486&gt;O486,"Más permisivo","Igual")),"")</f>
        <v/>
      </c>
      <c r="T486" s="25">
        <f>IF(Q486=1,IF(ABS(O486-P486)=2,1,0),"")</f>
        <v/>
      </c>
      <c r="U486" s="25">
        <f>IF(H486="","","|"&amp;SUBSTITUTE(SUBSTITUTE(TRIM(H486)," |","|"),"| ","|")&amp;"|")</f>
        <v/>
      </c>
      <c r="V486" s="25">
        <f>IF(AND(Q486=1,B486&lt;&gt;""),IF(IFERROR(COUNTIFS(B$3:B486,"="&amp;SUBSTITUTE(SUBSTITUTE(SUBSTITUTE(B486,"~","~~"),"*","~*"),"?","~?"),Q$3:Q486,1),0)=1,MAX(V$2:V485)+1,""),"")</f>
        <v/>
      </c>
      <c r="W486" s="25">
        <f>IF(V486="","",COUNTIFS($B$3:$B$1002,"="&amp;SUBSTITUTE(SUBSTITUTE(SUBSTITUTE(B486,"~","~~"),"*","~*"),"?","~?"),$Q$3:$Q$1002,1)*10000-V486)</f>
        <v/>
      </c>
      <c r="X486" s="25">
        <f>IF(Q486=1,IF(SUBSTITUTE(SUBSTITUTE(SUBSTITUTE(SUBSTITUTE(SUBSTITUTE(SUBSTITUTE(SUBSTITUTE(SUBSTITUTE(SUBSTITUTE(SUBSTITUTE(SUBSTITUTE(SUBSTITUTE(LOWER(TRIM(A486)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486)),"á","a"),"é","e"),"í","i"),"ó","o"),"ú","u"),"ü","u"),"ñ","n"),"à","a"),"è","e"),"ì","i"),"ò","o"),"ù","u")),"")</f>
        <v/>
      </c>
      <c r="Y486" s="25">
        <f>IF(X486="","",IF(IFERROR(COUNTIF(X$3:X486,"="&amp;SUBSTITUTE(SUBSTITUTE(SUBSTITUTE(X486,"~","~~"),"*","~*"),"?","~?")),0)=1,1,""))</f>
        <v/>
      </c>
      <c r="Z486" s="25">
        <f>IF(T486=1,MAX(Z$2:Z485)+1,"")</f>
        <v/>
      </c>
    </row>
    <row r="487">
      <c r="A487">
        <f>IF(A$2=0,"",IFERROR(TRIM(INDEX('Pegar calibracion'!$A$1:$BZ$1001,486,A$2)&amp;""),""))</f>
        <v/>
      </c>
      <c r="B487">
        <f>IF(B$2=0,"",IFERROR(TRIM(INDEX('Pegar calibracion'!$A$1:$BZ$1001,486,B$2)&amp;""),""))</f>
        <v/>
      </c>
      <c r="C487">
        <f>IF(C$2=0,"",IFERROR(TRIM(INDEX('Pegar calibracion'!$A$1:$BZ$1001,486,C$2)&amp;""),""))</f>
        <v/>
      </c>
      <c r="D487">
        <f>IF(D$2=0,"",IFERROR(TRIM(INDEX('Pegar calibracion'!$A$1:$BZ$1001,486,D$2)&amp;""),""))</f>
        <v/>
      </c>
      <c r="E487">
        <f>IF(E$2=0,"",IFERROR(TRIM(INDEX('Pegar calibracion'!$A$1:$BZ$1001,486,E$2)&amp;""),""))</f>
        <v/>
      </c>
      <c r="F487">
        <f>IF(F$2=0,"",IFERROR(TRIM(INDEX('Pegar calibracion'!$A$1:$BZ$1001,486,F$2)&amp;""),""))</f>
        <v/>
      </c>
      <c r="G487">
        <f>IF(G$2=0,"",IFERROR(TRIM(INDEX('Pegar calibracion'!$A$1:$BZ$1001,486,G$2)&amp;""),""))</f>
        <v/>
      </c>
      <c r="H487">
        <f>IF(H$2=0,"",IFERROR(TRIM(INDEX('Pegar calibracion'!$A$1:$BZ$1001,486,H$2)&amp;""),""))</f>
        <v/>
      </c>
      <c r="I487">
        <f>IF(I$2=0,"",IFERROR(TRIM(INDEX('Pegar calibracion'!$A$1:$BZ$1001,486,I$2)&amp;""),""))</f>
        <v/>
      </c>
      <c r="J487">
        <f>IF(J$2=0,"",IFERROR(TRIM(INDEX('Pegar calibracion'!$A$1:$BZ$1001,486,J$2)&amp;""),""))</f>
        <v/>
      </c>
      <c r="K487">
        <f>IF(K$2=0,"",IFERROR(TRIM(INDEX('Pegar calibracion'!$A$1:$BZ$1001,486,K$2)&amp;""),""))</f>
        <v/>
      </c>
      <c r="L487">
        <f>IF(L$2=0,"",IFERROR(TRIM(INDEX('Pegar calibracion'!$A$1:$BZ$1001,486,L$2)&amp;""),""))</f>
        <v/>
      </c>
      <c r="M487" s="25">
        <f>IF(D487="","",SUBSTITUTE(SUBSTITUTE(SUBSTITUTE(SUBSTITUTE(SUBSTITUTE(SUBSTITUTE(SUBSTITUTE(SUBSTITUTE(SUBSTITUTE(SUBSTITUTE(SUBSTITUTE(SUBSTITUTE(LOWER(TRIM(D487)),"á","a"),"é","e"),"í","i"),"ó","o"),"ú","u"),"ü","u"),"ñ","n"),"à","a"),"è","e"),"ì","i"),"ò","o"),"ù","u"))</f>
        <v/>
      </c>
      <c r="N487" s="25">
        <f>IF(F487="","",SUBSTITUTE(SUBSTITUTE(SUBSTITUTE(SUBSTITUTE(SUBSTITUTE(SUBSTITUTE(SUBSTITUTE(SUBSTITUTE(SUBSTITUTE(SUBSTITUTE(SUBSTITUTE(SUBSTITUTE(LOWER(TRIM(F487)),"á","a"),"é","e"),"í","i"),"ó","o"),"ú","u"),"ü","u"),"ñ","n"),"à","a"),"è","e"),"ì","i"),"ò","o"),"ù","u"))</f>
        <v/>
      </c>
      <c r="O487" s="25">
        <f>IF(M487="confiable",2,IF(M487="dudosa",1,IF(M487="no confiable",0,"")))</f>
        <v/>
      </c>
      <c r="P487" s="25">
        <f>IF(N487="confiable",2,IF(N487="dudosa",1,IF(N487="no confiable",0,"")))</f>
        <v/>
      </c>
      <c r="Q487" s="25">
        <f>IF(AND(ISNUMBER(O487),ISNUMBER(P487)),1,"")</f>
        <v/>
      </c>
      <c r="R487" s="25">
        <f>IF(Q487=1,IF(O487=P487,"Sí","No"),"")</f>
        <v/>
      </c>
      <c r="S487" s="25">
        <f>IF(Q487=1,IF(P487&lt;O487,"Más estricto",IF(P487&gt;O487,"Más permisivo","Igual")),"")</f>
        <v/>
      </c>
      <c r="T487" s="25">
        <f>IF(Q487=1,IF(ABS(O487-P487)=2,1,0),"")</f>
        <v/>
      </c>
      <c r="U487" s="25">
        <f>IF(H487="","","|"&amp;SUBSTITUTE(SUBSTITUTE(TRIM(H487)," |","|"),"| ","|")&amp;"|")</f>
        <v/>
      </c>
      <c r="V487" s="25">
        <f>IF(AND(Q487=1,B487&lt;&gt;""),IF(IFERROR(COUNTIFS(B$3:B487,"="&amp;SUBSTITUTE(SUBSTITUTE(SUBSTITUTE(B487,"~","~~"),"*","~*"),"?","~?"),Q$3:Q487,1),0)=1,MAX(V$2:V486)+1,""),"")</f>
        <v/>
      </c>
      <c r="W487" s="25">
        <f>IF(V487="","",COUNTIFS($B$3:$B$1002,"="&amp;SUBSTITUTE(SUBSTITUTE(SUBSTITUTE(B487,"~","~~"),"*","~*"),"?","~?"),$Q$3:$Q$1002,1)*10000-V487)</f>
        <v/>
      </c>
      <c r="X487" s="25">
        <f>IF(Q487=1,IF(SUBSTITUTE(SUBSTITUTE(SUBSTITUTE(SUBSTITUTE(SUBSTITUTE(SUBSTITUTE(SUBSTITUTE(SUBSTITUTE(SUBSTITUTE(SUBSTITUTE(SUBSTITUTE(SUBSTITUTE(LOWER(TRIM(A487)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487)),"á","a"),"é","e"),"í","i"),"ó","o"),"ú","u"),"ü","u"),"ñ","n"),"à","a"),"è","e"),"ì","i"),"ò","o"),"ù","u")),"")</f>
        <v/>
      </c>
      <c r="Y487" s="25">
        <f>IF(X487="","",IF(IFERROR(COUNTIF(X$3:X487,"="&amp;SUBSTITUTE(SUBSTITUTE(SUBSTITUTE(X487,"~","~~"),"*","~*"),"?","~?")),0)=1,1,""))</f>
        <v/>
      </c>
      <c r="Z487" s="25">
        <f>IF(T487=1,MAX(Z$2:Z486)+1,"")</f>
        <v/>
      </c>
    </row>
    <row r="488">
      <c r="A488">
        <f>IF(A$2=0,"",IFERROR(TRIM(INDEX('Pegar calibracion'!$A$1:$BZ$1001,487,A$2)&amp;""),""))</f>
        <v/>
      </c>
      <c r="B488">
        <f>IF(B$2=0,"",IFERROR(TRIM(INDEX('Pegar calibracion'!$A$1:$BZ$1001,487,B$2)&amp;""),""))</f>
        <v/>
      </c>
      <c r="C488">
        <f>IF(C$2=0,"",IFERROR(TRIM(INDEX('Pegar calibracion'!$A$1:$BZ$1001,487,C$2)&amp;""),""))</f>
        <v/>
      </c>
      <c r="D488">
        <f>IF(D$2=0,"",IFERROR(TRIM(INDEX('Pegar calibracion'!$A$1:$BZ$1001,487,D$2)&amp;""),""))</f>
        <v/>
      </c>
      <c r="E488">
        <f>IF(E$2=0,"",IFERROR(TRIM(INDEX('Pegar calibracion'!$A$1:$BZ$1001,487,E$2)&amp;""),""))</f>
        <v/>
      </c>
      <c r="F488">
        <f>IF(F$2=0,"",IFERROR(TRIM(INDEX('Pegar calibracion'!$A$1:$BZ$1001,487,F$2)&amp;""),""))</f>
        <v/>
      </c>
      <c r="G488">
        <f>IF(G$2=0,"",IFERROR(TRIM(INDEX('Pegar calibracion'!$A$1:$BZ$1001,487,G$2)&amp;""),""))</f>
        <v/>
      </c>
      <c r="H488">
        <f>IF(H$2=0,"",IFERROR(TRIM(INDEX('Pegar calibracion'!$A$1:$BZ$1001,487,H$2)&amp;""),""))</f>
        <v/>
      </c>
      <c r="I488">
        <f>IF(I$2=0,"",IFERROR(TRIM(INDEX('Pegar calibracion'!$A$1:$BZ$1001,487,I$2)&amp;""),""))</f>
        <v/>
      </c>
      <c r="J488">
        <f>IF(J$2=0,"",IFERROR(TRIM(INDEX('Pegar calibracion'!$A$1:$BZ$1001,487,J$2)&amp;""),""))</f>
        <v/>
      </c>
      <c r="K488">
        <f>IF(K$2=0,"",IFERROR(TRIM(INDEX('Pegar calibracion'!$A$1:$BZ$1001,487,K$2)&amp;""),""))</f>
        <v/>
      </c>
      <c r="L488">
        <f>IF(L$2=0,"",IFERROR(TRIM(INDEX('Pegar calibracion'!$A$1:$BZ$1001,487,L$2)&amp;""),""))</f>
        <v/>
      </c>
      <c r="M488" s="25">
        <f>IF(D488="","",SUBSTITUTE(SUBSTITUTE(SUBSTITUTE(SUBSTITUTE(SUBSTITUTE(SUBSTITUTE(SUBSTITUTE(SUBSTITUTE(SUBSTITUTE(SUBSTITUTE(SUBSTITUTE(SUBSTITUTE(LOWER(TRIM(D488)),"á","a"),"é","e"),"í","i"),"ó","o"),"ú","u"),"ü","u"),"ñ","n"),"à","a"),"è","e"),"ì","i"),"ò","o"),"ù","u"))</f>
        <v/>
      </c>
      <c r="N488" s="25">
        <f>IF(F488="","",SUBSTITUTE(SUBSTITUTE(SUBSTITUTE(SUBSTITUTE(SUBSTITUTE(SUBSTITUTE(SUBSTITUTE(SUBSTITUTE(SUBSTITUTE(SUBSTITUTE(SUBSTITUTE(SUBSTITUTE(LOWER(TRIM(F488)),"á","a"),"é","e"),"í","i"),"ó","o"),"ú","u"),"ü","u"),"ñ","n"),"à","a"),"è","e"),"ì","i"),"ò","o"),"ù","u"))</f>
        <v/>
      </c>
      <c r="O488" s="25">
        <f>IF(M488="confiable",2,IF(M488="dudosa",1,IF(M488="no confiable",0,"")))</f>
        <v/>
      </c>
      <c r="P488" s="25">
        <f>IF(N488="confiable",2,IF(N488="dudosa",1,IF(N488="no confiable",0,"")))</f>
        <v/>
      </c>
      <c r="Q488" s="25">
        <f>IF(AND(ISNUMBER(O488),ISNUMBER(P488)),1,"")</f>
        <v/>
      </c>
      <c r="R488" s="25">
        <f>IF(Q488=1,IF(O488=P488,"Sí","No"),"")</f>
        <v/>
      </c>
      <c r="S488" s="25">
        <f>IF(Q488=1,IF(P488&lt;O488,"Más estricto",IF(P488&gt;O488,"Más permisivo","Igual")),"")</f>
        <v/>
      </c>
      <c r="T488" s="25">
        <f>IF(Q488=1,IF(ABS(O488-P488)=2,1,0),"")</f>
        <v/>
      </c>
      <c r="U488" s="25">
        <f>IF(H488="","","|"&amp;SUBSTITUTE(SUBSTITUTE(TRIM(H488)," |","|"),"| ","|")&amp;"|")</f>
        <v/>
      </c>
      <c r="V488" s="25">
        <f>IF(AND(Q488=1,B488&lt;&gt;""),IF(IFERROR(COUNTIFS(B$3:B488,"="&amp;SUBSTITUTE(SUBSTITUTE(SUBSTITUTE(B488,"~","~~"),"*","~*"),"?","~?"),Q$3:Q488,1),0)=1,MAX(V$2:V487)+1,""),"")</f>
        <v/>
      </c>
      <c r="W488" s="25">
        <f>IF(V488="","",COUNTIFS($B$3:$B$1002,"="&amp;SUBSTITUTE(SUBSTITUTE(SUBSTITUTE(B488,"~","~~"),"*","~*"),"?","~?"),$Q$3:$Q$1002,1)*10000-V488)</f>
        <v/>
      </c>
      <c r="X488" s="25">
        <f>IF(Q488=1,IF(SUBSTITUTE(SUBSTITUTE(SUBSTITUTE(SUBSTITUTE(SUBSTITUTE(SUBSTITUTE(SUBSTITUTE(SUBSTITUTE(SUBSTITUTE(SUBSTITUTE(SUBSTITUTE(SUBSTITUTE(LOWER(TRIM(A488)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488)),"á","a"),"é","e"),"í","i"),"ó","o"),"ú","u"),"ü","u"),"ñ","n"),"à","a"),"è","e"),"ì","i"),"ò","o"),"ù","u")),"")</f>
        <v/>
      </c>
      <c r="Y488" s="25">
        <f>IF(X488="","",IF(IFERROR(COUNTIF(X$3:X488,"="&amp;SUBSTITUTE(SUBSTITUTE(SUBSTITUTE(X488,"~","~~"),"*","~*"),"?","~?")),0)=1,1,""))</f>
        <v/>
      </c>
      <c r="Z488" s="25">
        <f>IF(T488=1,MAX(Z$2:Z487)+1,"")</f>
        <v/>
      </c>
    </row>
    <row r="489">
      <c r="A489">
        <f>IF(A$2=0,"",IFERROR(TRIM(INDEX('Pegar calibracion'!$A$1:$BZ$1001,488,A$2)&amp;""),""))</f>
        <v/>
      </c>
      <c r="B489">
        <f>IF(B$2=0,"",IFERROR(TRIM(INDEX('Pegar calibracion'!$A$1:$BZ$1001,488,B$2)&amp;""),""))</f>
        <v/>
      </c>
      <c r="C489">
        <f>IF(C$2=0,"",IFERROR(TRIM(INDEX('Pegar calibracion'!$A$1:$BZ$1001,488,C$2)&amp;""),""))</f>
        <v/>
      </c>
      <c r="D489">
        <f>IF(D$2=0,"",IFERROR(TRIM(INDEX('Pegar calibracion'!$A$1:$BZ$1001,488,D$2)&amp;""),""))</f>
        <v/>
      </c>
      <c r="E489">
        <f>IF(E$2=0,"",IFERROR(TRIM(INDEX('Pegar calibracion'!$A$1:$BZ$1001,488,E$2)&amp;""),""))</f>
        <v/>
      </c>
      <c r="F489">
        <f>IF(F$2=0,"",IFERROR(TRIM(INDEX('Pegar calibracion'!$A$1:$BZ$1001,488,F$2)&amp;""),""))</f>
        <v/>
      </c>
      <c r="G489">
        <f>IF(G$2=0,"",IFERROR(TRIM(INDEX('Pegar calibracion'!$A$1:$BZ$1001,488,G$2)&amp;""),""))</f>
        <v/>
      </c>
      <c r="H489">
        <f>IF(H$2=0,"",IFERROR(TRIM(INDEX('Pegar calibracion'!$A$1:$BZ$1001,488,H$2)&amp;""),""))</f>
        <v/>
      </c>
      <c r="I489">
        <f>IF(I$2=0,"",IFERROR(TRIM(INDEX('Pegar calibracion'!$A$1:$BZ$1001,488,I$2)&amp;""),""))</f>
        <v/>
      </c>
      <c r="J489">
        <f>IF(J$2=0,"",IFERROR(TRIM(INDEX('Pegar calibracion'!$A$1:$BZ$1001,488,J$2)&amp;""),""))</f>
        <v/>
      </c>
      <c r="K489">
        <f>IF(K$2=0,"",IFERROR(TRIM(INDEX('Pegar calibracion'!$A$1:$BZ$1001,488,K$2)&amp;""),""))</f>
        <v/>
      </c>
      <c r="L489">
        <f>IF(L$2=0,"",IFERROR(TRIM(INDEX('Pegar calibracion'!$A$1:$BZ$1001,488,L$2)&amp;""),""))</f>
        <v/>
      </c>
      <c r="M489" s="25">
        <f>IF(D489="","",SUBSTITUTE(SUBSTITUTE(SUBSTITUTE(SUBSTITUTE(SUBSTITUTE(SUBSTITUTE(SUBSTITUTE(SUBSTITUTE(SUBSTITUTE(SUBSTITUTE(SUBSTITUTE(SUBSTITUTE(LOWER(TRIM(D489)),"á","a"),"é","e"),"í","i"),"ó","o"),"ú","u"),"ü","u"),"ñ","n"),"à","a"),"è","e"),"ì","i"),"ò","o"),"ù","u"))</f>
        <v/>
      </c>
      <c r="N489" s="25">
        <f>IF(F489="","",SUBSTITUTE(SUBSTITUTE(SUBSTITUTE(SUBSTITUTE(SUBSTITUTE(SUBSTITUTE(SUBSTITUTE(SUBSTITUTE(SUBSTITUTE(SUBSTITUTE(SUBSTITUTE(SUBSTITUTE(LOWER(TRIM(F489)),"á","a"),"é","e"),"í","i"),"ó","o"),"ú","u"),"ü","u"),"ñ","n"),"à","a"),"è","e"),"ì","i"),"ò","o"),"ù","u"))</f>
        <v/>
      </c>
      <c r="O489" s="25">
        <f>IF(M489="confiable",2,IF(M489="dudosa",1,IF(M489="no confiable",0,"")))</f>
        <v/>
      </c>
      <c r="P489" s="25">
        <f>IF(N489="confiable",2,IF(N489="dudosa",1,IF(N489="no confiable",0,"")))</f>
        <v/>
      </c>
      <c r="Q489" s="25">
        <f>IF(AND(ISNUMBER(O489),ISNUMBER(P489)),1,"")</f>
        <v/>
      </c>
      <c r="R489" s="25">
        <f>IF(Q489=1,IF(O489=P489,"Sí","No"),"")</f>
        <v/>
      </c>
      <c r="S489" s="25">
        <f>IF(Q489=1,IF(P489&lt;O489,"Más estricto",IF(P489&gt;O489,"Más permisivo","Igual")),"")</f>
        <v/>
      </c>
      <c r="T489" s="25">
        <f>IF(Q489=1,IF(ABS(O489-P489)=2,1,0),"")</f>
        <v/>
      </c>
      <c r="U489" s="25">
        <f>IF(H489="","","|"&amp;SUBSTITUTE(SUBSTITUTE(TRIM(H489)," |","|"),"| ","|")&amp;"|")</f>
        <v/>
      </c>
      <c r="V489" s="25">
        <f>IF(AND(Q489=1,B489&lt;&gt;""),IF(IFERROR(COUNTIFS(B$3:B489,"="&amp;SUBSTITUTE(SUBSTITUTE(SUBSTITUTE(B489,"~","~~"),"*","~*"),"?","~?"),Q$3:Q489,1),0)=1,MAX(V$2:V488)+1,""),"")</f>
        <v/>
      </c>
      <c r="W489" s="25">
        <f>IF(V489="","",COUNTIFS($B$3:$B$1002,"="&amp;SUBSTITUTE(SUBSTITUTE(SUBSTITUTE(B489,"~","~~"),"*","~*"),"?","~?"),$Q$3:$Q$1002,1)*10000-V489)</f>
        <v/>
      </c>
      <c r="X489" s="25">
        <f>IF(Q489=1,IF(SUBSTITUTE(SUBSTITUTE(SUBSTITUTE(SUBSTITUTE(SUBSTITUTE(SUBSTITUTE(SUBSTITUTE(SUBSTITUTE(SUBSTITUTE(SUBSTITUTE(SUBSTITUTE(SUBSTITUTE(LOWER(TRIM(A489)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489)),"á","a"),"é","e"),"í","i"),"ó","o"),"ú","u"),"ü","u"),"ñ","n"),"à","a"),"è","e"),"ì","i"),"ò","o"),"ù","u")),"")</f>
        <v/>
      </c>
      <c r="Y489" s="25">
        <f>IF(X489="","",IF(IFERROR(COUNTIF(X$3:X489,"="&amp;SUBSTITUTE(SUBSTITUTE(SUBSTITUTE(X489,"~","~~"),"*","~*"),"?","~?")),0)=1,1,""))</f>
        <v/>
      </c>
      <c r="Z489" s="25">
        <f>IF(T489=1,MAX(Z$2:Z488)+1,"")</f>
        <v/>
      </c>
    </row>
    <row r="490">
      <c r="A490">
        <f>IF(A$2=0,"",IFERROR(TRIM(INDEX('Pegar calibracion'!$A$1:$BZ$1001,489,A$2)&amp;""),""))</f>
        <v/>
      </c>
      <c r="B490">
        <f>IF(B$2=0,"",IFERROR(TRIM(INDEX('Pegar calibracion'!$A$1:$BZ$1001,489,B$2)&amp;""),""))</f>
        <v/>
      </c>
      <c r="C490">
        <f>IF(C$2=0,"",IFERROR(TRIM(INDEX('Pegar calibracion'!$A$1:$BZ$1001,489,C$2)&amp;""),""))</f>
        <v/>
      </c>
      <c r="D490">
        <f>IF(D$2=0,"",IFERROR(TRIM(INDEX('Pegar calibracion'!$A$1:$BZ$1001,489,D$2)&amp;""),""))</f>
        <v/>
      </c>
      <c r="E490">
        <f>IF(E$2=0,"",IFERROR(TRIM(INDEX('Pegar calibracion'!$A$1:$BZ$1001,489,E$2)&amp;""),""))</f>
        <v/>
      </c>
      <c r="F490">
        <f>IF(F$2=0,"",IFERROR(TRIM(INDEX('Pegar calibracion'!$A$1:$BZ$1001,489,F$2)&amp;""),""))</f>
        <v/>
      </c>
      <c r="G490">
        <f>IF(G$2=0,"",IFERROR(TRIM(INDEX('Pegar calibracion'!$A$1:$BZ$1001,489,G$2)&amp;""),""))</f>
        <v/>
      </c>
      <c r="H490">
        <f>IF(H$2=0,"",IFERROR(TRIM(INDEX('Pegar calibracion'!$A$1:$BZ$1001,489,H$2)&amp;""),""))</f>
        <v/>
      </c>
      <c r="I490">
        <f>IF(I$2=0,"",IFERROR(TRIM(INDEX('Pegar calibracion'!$A$1:$BZ$1001,489,I$2)&amp;""),""))</f>
        <v/>
      </c>
      <c r="J490">
        <f>IF(J$2=0,"",IFERROR(TRIM(INDEX('Pegar calibracion'!$A$1:$BZ$1001,489,J$2)&amp;""),""))</f>
        <v/>
      </c>
      <c r="K490">
        <f>IF(K$2=0,"",IFERROR(TRIM(INDEX('Pegar calibracion'!$A$1:$BZ$1001,489,K$2)&amp;""),""))</f>
        <v/>
      </c>
      <c r="L490">
        <f>IF(L$2=0,"",IFERROR(TRIM(INDEX('Pegar calibracion'!$A$1:$BZ$1001,489,L$2)&amp;""),""))</f>
        <v/>
      </c>
      <c r="M490" s="25">
        <f>IF(D490="","",SUBSTITUTE(SUBSTITUTE(SUBSTITUTE(SUBSTITUTE(SUBSTITUTE(SUBSTITUTE(SUBSTITUTE(SUBSTITUTE(SUBSTITUTE(SUBSTITUTE(SUBSTITUTE(SUBSTITUTE(LOWER(TRIM(D490)),"á","a"),"é","e"),"í","i"),"ó","o"),"ú","u"),"ü","u"),"ñ","n"),"à","a"),"è","e"),"ì","i"),"ò","o"),"ù","u"))</f>
        <v/>
      </c>
      <c r="N490" s="25">
        <f>IF(F490="","",SUBSTITUTE(SUBSTITUTE(SUBSTITUTE(SUBSTITUTE(SUBSTITUTE(SUBSTITUTE(SUBSTITUTE(SUBSTITUTE(SUBSTITUTE(SUBSTITUTE(SUBSTITUTE(SUBSTITUTE(LOWER(TRIM(F490)),"á","a"),"é","e"),"í","i"),"ó","o"),"ú","u"),"ü","u"),"ñ","n"),"à","a"),"è","e"),"ì","i"),"ò","o"),"ù","u"))</f>
        <v/>
      </c>
      <c r="O490" s="25">
        <f>IF(M490="confiable",2,IF(M490="dudosa",1,IF(M490="no confiable",0,"")))</f>
        <v/>
      </c>
      <c r="P490" s="25">
        <f>IF(N490="confiable",2,IF(N490="dudosa",1,IF(N490="no confiable",0,"")))</f>
        <v/>
      </c>
      <c r="Q490" s="25">
        <f>IF(AND(ISNUMBER(O490),ISNUMBER(P490)),1,"")</f>
        <v/>
      </c>
      <c r="R490" s="25">
        <f>IF(Q490=1,IF(O490=P490,"Sí","No"),"")</f>
        <v/>
      </c>
      <c r="S490" s="25">
        <f>IF(Q490=1,IF(P490&lt;O490,"Más estricto",IF(P490&gt;O490,"Más permisivo","Igual")),"")</f>
        <v/>
      </c>
      <c r="T490" s="25">
        <f>IF(Q490=1,IF(ABS(O490-P490)=2,1,0),"")</f>
        <v/>
      </c>
      <c r="U490" s="25">
        <f>IF(H490="","","|"&amp;SUBSTITUTE(SUBSTITUTE(TRIM(H490)," |","|"),"| ","|")&amp;"|")</f>
        <v/>
      </c>
      <c r="V490" s="25">
        <f>IF(AND(Q490=1,B490&lt;&gt;""),IF(IFERROR(COUNTIFS(B$3:B490,"="&amp;SUBSTITUTE(SUBSTITUTE(SUBSTITUTE(B490,"~","~~"),"*","~*"),"?","~?"),Q$3:Q490,1),0)=1,MAX(V$2:V489)+1,""),"")</f>
        <v/>
      </c>
      <c r="W490" s="25">
        <f>IF(V490="","",COUNTIFS($B$3:$B$1002,"="&amp;SUBSTITUTE(SUBSTITUTE(SUBSTITUTE(B490,"~","~~"),"*","~*"),"?","~?"),$Q$3:$Q$1002,1)*10000-V490)</f>
        <v/>
      </c>
      <c r="X490" s="25">
        <f>IF(Q490=1,IF(SUBSTITUTE(SUBSTITUTE(SUBSTITUTE(SUBSTITUTE(SUBSTITUTE(SUBSTITUTE(SUBSTITUTE(SUBSTITUTE(SUBSTITUTE(SUBSTITUTE(SUBSTITUTE(SUBSTITUTE(LOWER(TRIM(A490)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490)),"á","a"),"é","e"),"í","i"),"ó","o"),"ú","u"),"ü","u"),"ñ","n"),"à","a"),"è","e"),"ì","i"),"ò","o"),"ù","u")),"")</f>
        <v/>
      </c>
      <c r="Y490" s="25">
        <f>IF(X490="","",IF(IFERROR(COUNTIF(X$3:X490,"="&amp;SUBSTITUTE(SUBSTITUTE(SUBSTITUTE(X490,"~","~~"),"*","~*"),"?","~?")),0)=1,1,""))</f>
        <v/>
      </c>
      <c r="Z490" s="25">
        <f>IF(T490=1,MAX(Z$2:Z489)+1,"")</f>
        <v/>
      </c>
    </row>
    <row r="491">
      <c r="A491">
        <f>IF(A$2=0,"",IFERROR(TRIM(INDEX('Pegar calibracion'!$A$1:$BZ$1001,490,A$2)&amp;""),""))</f>
        <v/>
      </c>
      <c r="B491">
        <f>IF(B$2=0,"",IFERROR(TRIM(INDEX('Pegar calibracion'!$A$1:$BZ$1001,490,B$2)&amp;""),""))</f>
        <v/>
      </c>
      <c r="C491">
        <f>IF(C$2=0,"",IFERROR(TRIM(INDEX('Pegar calibracion'!$A$1:$BZ$1001,490,C$2)&amp;""),""))</f>
        <v/>
      </c>
      <c r="D491">
        <f>IF(D$2=0,"",IFERROR(TRIM(INDEX('Pegar calibracion'!$A$1:$BZ$1001,490,D$2)&amp;""),""))</f>
        <v/>
      </c>
      <c r="E491">
        <f>IF(E$2=0,"",IFERROR(TRIM(INDEX('Pegar calibracion'!$A$1:$BZ$1001,490,E$2)&amp;""),""))</f>
        <v/>
      </c>
      <c r="F491">
        <f>IF(F$2=0,"",IFERROR(TRIM(INDEX('Pegar calibracion'!$A$1:$BZ$1001,490,F$2)&amp;""),""))</f>
        <v/>
      </c>
      <c r="G491">
        <f>IF(G$2=0,"",IFERROR(TRIM(INDEX('Pegar calibracion'!$A$1:$BZ$1001,490,G$2)&amp;""),""))</f>
        <v/>
      </c>
      <c r="H491">
        <f>IF(H$2=0,"",IFERROR(TRIM(INDEX('Pegar calibracion'!$A$1:$BZ$1001,490,H$2)&amp;""),""))</f>
        <v/>
      </c>
      <c r="I491">
        <f>IF(I$2=0,"",IFERROR(TRIM(INDEX('Pegar calibracion'!$A$1:$BZ$1001,490,I$2)&amp;""),""))</f>
        <v/>
      </c>
      <c r="J491">
        <f>IF(J$2=0,"",IFERROR(TRIM(INDEX('Pegar calibracion'!$A$1:$BZ$1001,490,J$2)&amp;""),""))</f>
        <v/>
      </c>
      <c r="K491">
        <f>IF(K$2=0,"",IFERROR(TRIM(INDEX('Pegar calibracion'!$A$1:$BZ$1001,490,K$2)&amp;""),""))</f>
        <v/>
      </c>
      <c r="L491">
        <f>IF(L$2=0,"",IFERROR(TRIM(INDEX('Pegar calibracion'!$A$1:$BZ$1001,490,L$2)&amp;""),""))</f>
        <v/>
      </c>
      <c r="M491" s="25">
        <f>IF(D491="","",SUBSTITUTE(SUBSTITUTE(SUBSTITUTE(SUBSTITUTE(SUBSTITUTE(SUBSTITUTE(SUBSTITUTE(SUBSTITUTE(SUBSTITUTE(SUBSTITUTE(SUBSTITUTE(SUBSTITUTE(LOWER(TRIM(D491)),"á","a"),"é","e"),"í","i"),"ó","o"),"ú","u"),"ü","u"),"ñ","n"),"à","a"),"è","e"),"ì","i"),"ò","o"),"ù","u"))</f>
        <v/>
      </c>
      <c r="N491" s="25">
        <f>IF(F491="","",SUBSTITUTE(SUBSTITUTE(SUBSTITUTE(SUBSTITUTE(SUBSTITUTE(SUBSTITUTE(SUBSTITUTE(SUBSTITUTE(SUBSTITUTE(SUBSTITUTE(SUBSTITUTE(SUBSTITUTE(LOWER(TRIM(F491)),"á","a"),"é","e"),"í","i"),"ó","o"),"ú","u"),"ü","u"),"ñ","n"),"à","a"),"è","e"),"ì","i"),"ò","o"),"ù","u"))</f>
        <v/>
      </c>
      <c r="O491" s="25">
        <f>IF(M491="confiable",2,IF(M491="dudosa",1,IF(M491="no confiable",0,"")))</f>
        <v/>
      </c>
      <c r="P491" s="25">
        <f>IF(N491="confiable",2,IF(N491="dudosa",1,IF(N491="no confiable",0,"")))</f>
        <v/>
      </c>
      <c r="Q491" s="25">
        <f>IF(AND(ISNUMBER(O491),ISNUMBER(P491)),1,"")</f>
        <v/>
      </c>
      <c r="R491" s="25">
        <f>IF(Q491=1,IF(O491=P491,"Sí","No"),"")</f>
        <v/>
      </c>
      <c r="S491" s="25">
        <f>IF(Q491=1,IF(P491&lt;O491,"Más estricto",IF(P491&gt;O491,"Más permisivo","Igual")),"")</f>
        <v/>
      </c>
      <c r="T491" s="25">
        <f>IF(Q491=1,IF(ABS(O491-P491)=2,1,0),"")</f>
        <v/>
      </c>
      <c r="U491" s="25">
        <f>IF(H491="","","|"&amp;SUBSTITUTE(SUBSTITUTE(TRIM(H491)," |","|"),"| ","|")&amp;"|")</f>
        <v/>
      </c>
      <c r="V491" s="25">
        <f>IF(AND(Q491=1,B491&lt;&gt;""),IF(IFERROR(COUNTIFS(B$3:B491,"="&amp;SUBSTITUTE(SUBSTITUTE(SUBSTITUTE(B491,"~","~~"),"*","~*"),"?","~?"),Q$3:Q491,1),0)=1,MAX(V$2:V490)+1,""),"")</f>
        <v/>
      </c>
      <c r="W491" s="25">
        <f>IF(V491="","",COUNTIFS($B$3:$B$1002,"="&amp;SUBSTITUTE(SUBSTITUTE(SUBSTITUTE(B491,"~","~~"),"*","~*"),"?","~?"),$Q$3:$Q$1002,1)*10000-V491)</f>
        <v/>
      </c>
      <c r="X491" s="25">
        <f>IF(Q491=1,IF(SUBSTITUTE(SUBSTITUTE(SUBSTITUTE(SUBSTITUTE(SUBSTITUTE(SUBSTITUTE(SUBSTITUTE(SUBSTITUTE(SUBSTITUTE(SUBSTITUTE(SUBSTITUTE(SUBSTITUTE(LOWER(TRIM(A491)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491)),"á","a"),"é","e"),"í","i"),"ó","o"),"ú","u"),"ü","u"),"ñ","n"),"à","a"),"è","e"),"ì","i"),"ò","o"),"ù","u")),"")</f>
        <v/>
      </c>
      <c r="Y491" s="25">
        <f>IF(X491="","",IF(IFERROR(COUNTIF(X$3:X491,"="&amp;SUBSTITUTE(SUBSTITUTE(SUBSTITUTE(X491,"~","~~"),"*","~*"),"?","~?")),0)=1,1,""))</f>
        <v/>
      </c>
      <c r="Z491" s="25">
        <f>IF(T491=1,MAX(Z$2:Z490)+1,"")</f>
        <v/>
      </c>
    </row>
    <row r="492">
      <c r="A492">
        <f>IF(A$2=0,"",IFERROR(TRIM(INDEX('Pegar calibracion'!$A$1:$BZ$1001,491,A$2)&amp;""),""))</f>
        <v/>
      </c>
      <c r="B492">
        <f>IF(B$2=0,"",IFERROR(TRIM(INDEX('Pegar calibracion'!$A$1:$BZ$1001,491,B$2)&amp;""),""))</f>
        <v/>
      </c>
      <c r="C492">
        <f>IF(C$2=0,"",IFERROR(TRIM(INDEX('Pegar calibracion'!$A$1:$BZ$1001,491,C$2)&amp;""),""))</f>
        <v/>
      </c>
      <c r="D492">
        <f>IF(D$2=0,"",IFERROR(TRIM(INDEX('Pegar calibracion'!$A$1:$BZ$1001,491,D$2)&amp;""),""))</f>
        <v/>
      </c>
      <c r="E492">
        <f>IF(E$2=0,"",IFERROR(TRIM(INDEX('Pegar calibracion'!$A$1:$BZ$1001,491,E$2)&amp;""),""))</f>
        <v/>
      </c>
      <c r="F492">
        <f>IF(F$2=0,"",IFERROR(TRIM(INDEX('Pegar calibracion'!$A$1:$BZ$1001,491,F$2)&amp;""),""))</f>
        <v/>
      </c>
      <c r="G492">
        <f>IF(G$2=0,"",IFERROR(TRIM(INDEX('Pegar calibracion'!$A$1:$BZ$1001,491,G$2)&amp;""),""))</f>
        <v/>
      </c>
      <c r="H492">
        <f>IF(H$2=0,"",IFERROR(TRIM(INDEX('Pegar calibracion'!$A$1:$BZ$1001,491,H$2)&amp;""),""))</f>
        <v/>
      </c>
      <c r="I492">
        <f>IF(I$2=0,"",IFERROR(TRIM(INDEX('Pegar calibracion'!$A$1:$BZ$1001,491,I$2)&amp;""),""))</f>
        <v/>
      </c>
      <c r="J492">
        <f>IF(J$2=0,"",IFERROR(TRIM(INDEX('Pegar calibracion'!$A$1:$BZ$1001,491,J$2)&amp;""),""))</f>
        <v/>
      </c>
      <c r="K492">
        <f>IF(K$2=0,"",IFERROR(TRIM(INDEX('Pegar calibracion'!$A$1:$BZ$1001,491,K$2)&amp;""),""))</f>
        <v/>
      </c>
      <c r="L492">
        <f>IF(L$2=0,"",IFERROR(TRIM(INDEX('Pegar calibracion'!$A$1:$BZ$1001,491,L$2)&amp;""),""))</f>
        <v/>
      </c>
      <c r="M492" s="25">
        <f>IF(D492="","",SUBSTITUTE(SUBSTITUTE(SUBSTITUTE(SUBSTITUTE(SUBSTITUTE(SUBSTITUTE(SUBSTITUTE(SUBSTITUTE(SUBSTITUTE(SUBSTITUTE(SUBSTITUTE(SUBSTITUTE(LOWER(TRIM(D492)),"á","a"),"é","e"),"í","i"),"ó","o"),"ú","u"),"ü","u"),"ñ","n"),"à","a"),"è","e"),"ì","i"),"ò","o"),"ù","u"))</f>
        <v/>
      </c>
      <c r="N492" s="25">
        <f>IF(F492="","",SUBSTITUTE(SUBSTITUTE(SUBSTITUTE(SUBSTITUTE(SUBSTITUTE(SUBSTITUTE(SUBSTITUTE(SUBSTITUTE(SUBSTITUTE(SUBSTITUTE(SUBSTITUTE(SUBSTITUTE(LOWER(TRIM(F492)),"á","a"),"é","e"),"í","i"),"ó","o"),"ú","u"),"ü","u"),"ñ","n"),"à","a"),"è","e"),"ì","i"),"ò","o"),"ù","u"))</f>
        <v/>
      </c>
      <c r="O492" s="25">
        <f>IF(M492="confiable",2,IF(M492="dudosa",1,IF(M492="no confiable",0,"")))</f>
        <v/>
      </c>
      <c r="P492" s="25">
        <f>IF(N492="confiable",2,IF(N492="dudosa",1,IF(N492="no confiable",0,"")))</f>
        <v/>
      </c>
      <c r="Q492" s="25">
        <f>IF(AND(ISNUMBER(O492),ISNUMBER(P492)),1,"")</f>
        <v/>
      </c>
      <c r="R492" s="25">
        <f>IF(Q492=1,IF(O492=P492,"Sí","No"),"")</f>
        <v/>
      </c>
      <c r="S492" s="25">
        <f>IF(Q492=1,IF(P492&lt;O492,"Más estricto",IF(P492&gt;O492,"Más permisivo","Igual")),"")</f>
        <v/>
      </c>
      <c r="T492" s="25">
        <f>IF(Q492=1,IF(ABS(O492-P492)=2,1,0),"")</f>
        <v/>
      </c>
      <c r="U492" s="25">
        <f>IF(H492="","","|"&amp;SUBSTITUTE(SUBSTITUTE(TRIM(H492)," |","|"),"| ","|")&amp;"|")</f>
        <v/>
      </c>
      <c r="V492" s="25">
        <f>IF(AND(Q492=1,B492&lt;&gt;""),IF(IFERROR(COUNTIFS(B$3:B492,"="&amp;SUBSTITUTE(SUBSTITUTE(SUBSTITUTE(B492,"~","~~"),"*","~*"),"?","~?"),Q$3:Q492,1),0)=1,MAX(V$2:V491)+1,""),"")</f>
        <v/>
      </c>
      <c r="W492" s="25">
        <f>IF(V492="","",COUNTIFS($B$3:$B$1002,"="&amp;SUBSTITUTE(SUBSTITUTE(SUBSTITUTE(B492,"~","~~"),"*","~*"),"?","~?"),$Q$3:$Q$1002,1)*10000-V492)</f>
        <v/>
      </c>
      <c r="X492" s="25">
        <f>IF(Q492=1,IF(SUBSTITUTE(SUBSTITUTE(SUBSTITUTE(SUBSTITUTE(SUBSTITUTE(SUBSTITUTE(SUBSTITUTE(SUBSTITUTE(SUBSTITUTE(SUBSTITUTE(SUBSTITUTE(SUBSTITUTE(LOWER(TRIM(A492)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492)),"á","a"),"é","e"),"í","i"),"ó","o"),"ú","u"),"ü","u"),"ñ","n"),"à","a"),"è","e"),"ì","i"),"ò","o"),"ù","u")),"")</f>
        <v/>
      </c>
      <c r="Y492" s="25">
        <f>IF(X492="","",IF(IFERROR(COUNTIF(X$3:X492,"="&amp;SUBSTITUTE(SUBSTITUTE(SUBSTITUTE(X492,"~","~~"),"*","~*"),"?","~?")),0)=1,1,""))</f>
        <v/>
      </c>
      <c r="Z492" s="25">
        <f>IF(T492=1,MAX(Z$2:Z491)+1,"")</f>
        <v/>
      </c>
    </row>
    <row r="493">
      <c r="A493">
        <f>IF(A$2=0,"",IFERROR(TRIM(INDEX('Pegar calibracion'!$A$1:$BZ$1001,492,A$2)&amp;""),""))</f>
        <v/>
      </c>
      <c r="B493">
        <f>IF(B$2=0,"",IFERROR(TRIM(INDEX('Pegar calibracion'!$A$1:$BZ$1001,492,B$2)&amp;""),""))</f>
        <v/>
      </c>
      <c r="C493">
        <f>IF(C$2=0,"",IFERROR(TRIM(INDEX('Pegar calibracion'!$A$1:$BZ$1001,492,C$2)&amp;""),""))</f>
        <v/>
      </c>
      <c r="D493">
        <f>IF(D$2=0,"",IFERROR(TRIM(INDEX('Pegar calibracion'!$A$1:$BZ$1001,492,D$2)&amp;""),""))</f>
        <v/>
      </c>
      <c r="E493">
        <f>IF(E$2=0,"",IFERROR(TRIM(INDEX('Pegar calibracion'!$A$1:$BZ$1001,492,E$2)&amp;""),""))</f>
        <v/>
      </c>
      <c r="F493">
        <f>IF(F$2=0,"",IFERROR(TRIM(INDEX('Pegar calibracion'!$A$1:$BZ$1001,492,F$2)&amp;""),""))</f>
        <v/>
      </c>
      <c r="G493">
        <f>IF(G$2=0,"",IFERROR(TRIM(INDEX('Pegar calibracion'!$A$1:$BZ$1001,492,G$2)&amp;""),""))</f>
        <v/>
      </c>
      <c r="H493">
        <f>IF(H$2=0,"",IFERROR(TRIM(INDEX('Pegar calibracion'!$A$1:$BZ$1001,492,H$2)&amp;""),""))</f>
        <v/>
      </c>
      <c r="I493">
        <f>IF(I$2=0,"",IFERROR(TRIM(INDEX('Pegar calibracion'!$A$1:$BZ$1001,492,I$2)&amp;""),""))</f>
        <v/>
      </c>
      <c r="J493">
        <f>IF(J$2=0,"",IFERROR(TRIM(INDEX('Pegar calibracion'!$A$1:$BZ$1001,492,J$2)&amp;""),""))</f>
        <v/>
      </c>
      <c r="K493">
        <f>IF(K$2=0,"",IFERROR(TRIM(INDEX('Pegar calibracion'!$A$1:$BZ$1001,492,K$2)&amp;""),""))</f>
        <v/>
      </c>
      <c r="L493">
        <f>IF(L$2=0,"",IFERROR(TRIM(INDEX('Pegar calibracion'!$A$1:$BZ$1001,492,L$2)&amp;""),""))</f>
        <v/>
      </c>
      <c r="M493" s="25">
        <f>IF(D493="","",SUBSTITUTE(SUBSTITUTE(SUBSTITUTE(SUBSTITUTE(SUBSTITUTE(SUBSTITUTE(SUBSTITUTE(SUBSTITUTE(SUBSTITUTE(SUBSTITUTE(SUBSTITUTE(SUBSTITUTE(LOWER(TRIM(D493)),"á","a"),"é","e"),"í","i"),"ó","o"),"ú","u"),"ü","u"),"ñ","n"),"à","a"),"è","e"),"ì","i"),"ò","o"),"ù","u"))</f>
        <v/>
      </c>
      <c r="N493" s="25">
        <f>IF(F493="","",SUBSTITUTE(SUBSTITUTE(SUBSTITUTE(SUBSTITUTE(SUBSTITUTE(SUBSTITUTE(SUBSTITUTE(SUBSTITUTE(SUBSTITUTE(SUBSTITUTE(SUBSTITUTE(SUBSTITUTE(LOWER(TRIM(F493)),"á","a"),"é","e"),"í","i"),"ó","o"),"ú","u"),"ü","u"),"ñ","n"),"à","a"),"è","e"),"ì","i"),"ò","o"),"ù","u"))</f>
        <v/>
      </c>
      <c r="O493" s="25">
        <f>IF(M493="confiable",2,IF(M493="dudosa",1,IF(M493="no confiable",0,"")))</f>
        <v/>
      </c>
      <c r="P493" s="25">
        <f>IF(N493="confiable",2,IF(N493="dudosa",1,IF(N493="no confiable",0,"")))</f>
        <v/>
      </c>
      <c r="Q493" s="25">
        <f>IF(AND(ISNUMBER(O493),ISNUMBER(P493)),1,"")</f>
        <v/>
      </c>
      <c r="R493" s="25">
        <f>IF(Q493=1,IF(O493=P493,"Sí","No"),"")</f>
        <v/>
      </c>
      <c r="S493" s="25">
        <f>IF(Q493=1,IF(P493&lt;O493,"Más estricto",IF(P493&gt;O493,"Más permisivo","Igual")),"")</f>
        <v/>
      </c>
      <c r="T493" s="25">
        <f>IF(Q493=1,IF(ABS(O493-P493)=2,1,0),"")</f>
        <v/>
      </c>
      <c r="U493" s="25">
        <f>IF(H493="","","|"&amp;SUBSTITUTE(SUBSTITUTE(TRIM(H493)," |","|"),"| ","|")&amp;"|")</f>
        <v/>
      </c>
      <c r="V493" s="25">
        <f>IF(AND(Q493=1,B493&lt;&gt;""),IF(IFERROR(COUNTIFS(B$3:B493,"="&amp;SUBSTITUTE(SUBSTITUTE(SUBSTITUTE(B493,"~","~~"),"*","~*"),"?","~?"),Q$3:Q493,1),0)=1,MAX(V$2:V492)+1,""),"")</f>
        <v/>
      </c>
      <c r="W493" s="25">
        <f>IF(V493="","",COUNTIFS($B$3:$B$1002,"="&amp;SUBSTITUTE(SUBSTITUTE(SUBSTITUTE(B493,"~","~~"),"*","~*"),"?","~?"),$Q$3:$Q$1002,1)*10000-V493)</f>
        <v/>
      </c>
      <c r="X493" s="25">
        <f>IF(Q493=1,IF(SUBSTITUTE(SUBSTITUTE(SUBSTITUTE(SUBSTITUTE(SUBSTITUTE(SUBSTITUTE(SUBSTITUTE(SUBSTITUTE(SUBSTITUTE(SUBSTITUTE(SUBSTITUTE(SUBSTITUTE(LOWER(TRIM(A493)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493)),"á","a"),"é","e"),"í","i"),"ó","o"),"ú","u"),"ü","u"),"ñ","n"),"à","a"),"è","e"),"ì","i"),"ò","o"),"ù","u")),"")</f>
        <v/>
      </c>
      <c r="Y493" s="25">
        <f>IF(X493="","",IF(IFERROR(COUNTIF(X$3:X493,"="&amp;SUBSTITUTE(SUBSTITUTE(SUBSTITUTE(X493,"~","~~"),"*","~*"),"?","~?")),0)=1,1,""))</f>
        <v/>
      </c>
      <c r="Z493" s="25">
        <f>IF(T493=1,MAX(Z$2:Z492)+1,"")</f>
        <v/>
      </c>
    </row>
    <row r="494">
      <c r="A494">
        <f>IF(A$2=0,"",IFERROR(TRIM(INDEX('Pegar calibracion'!$A$1:$BZ$1001,493,A$2)&amp;""),""))</f>
        <v/>
      </c>
      <c r="B494">
        <f>IF(B$2=0,"",IFERROR(TRIM(INDEX('Pegar calibracion'!$A$1:$BZ$1001,493,B$2)&amp;""),""))</f>
        <v/>
      </c>
      <c r="C494">
        <f>IF(C$2=0,"",IFERROR(TRIM(INDEX('Pegar calibracion'!$A$1:$BZ$1001,493,C$2)&amp;""),""))</f>
        <v/>
      </c>
      <c r="D494">
        <f>IF(D$2=0,"",IFERROR(TRIM(INDEX('Pegar calibracion'!$A$1:$BZ$1001,493,D$2)&amp;""),""))</f>
        <v/>
      </c>
      <c r="E494">
        <f>IF(E$2=0,"",IFERROR(TRIM(INDEX('Pegar calibracion'!$A$1:$BZ$1001,493,E$2)&amp;""),""))</f>
        <v/>
      </c>
      <c r="F494">
        <f>IF(F$2=0,"",IFERROR(TRIM(INDEX('Pegar calibracion'!$A$1:$BZ$1001,493,F$2)&amp;""),""))</f>
        <v/>
      </c>
      <c r="G494">
        <f>IF(G$2=0,"",IFERROR(TRIM(INDEX('Pegar calibracion'!$A$1:$BZ$1001,493,G$2)&amp;""),""))</f>
        <v/>
      </c>
      <c r="H494">
        <f>IF(H$2=0,"",IFERROR(TRIM(INDEX('Pegar calibracion'!$A$1:$BZ$1001,493,H$2)&amp;""),""))</f>
        <v/>
      </c>
      <c r="I494">
        <f>IF(I$2=0,"",IFERROR(TRIM(INDEX('Pegar calibracion'!$A$1:$BZ$1001,493,I$2)&amp;""),""))</f>
        <v/>
      </c>
      <c r="J494">
        <f>IF(J$2=0,"",IFERROR(TRIM(INDEX('Pegar calibracion'!$A$1:$BZ$1001,493,J$2)&amp;""),""))</f>
        <v/>
      </c>
      <c r="K494">
        <f>IF(K$2=0,"",IFERROR(TRIM(INDEX('Pegar calibracion'!$A$1:$BZ$1001,493,K$2)&amp;""),""))</f>
        <v/>
      </c>
      <c r="L494">
        <f>IF(L$2=0,"",IFERROR(TRIM(INDEX('Pegar calibracion'!$A$1:$BZ$1001,493,L$2)&amp;""),""))</f>
        <v/>
      </c>
      <c r="M494" s="25">
        <f>IF(D494="","",SUBSTITUTE(SUBSTITUTE(SUBSTITUTE(SUBSTITUTE(SUBSTITUTE(SUBSTITUTE(SUBSTITUTE(SUBSTITUTE(SUBSTITUTE(SUBSTITUTE(SUBSTITUTE(SUBSTITUTE(LOWER(TRIM(D494)),"á","a"),"é","e"),"í","i"),"ó","o"),"ú","u"),"ü","u"),"ñ","n"),"à","a"),"è","e"),"ì","i"),"ò","o"),"ù","u"))</f>
        <v/>
      </c>
      <c r="N494" s="25">
        <f>IF(F494="","",SUBSTITUTE(SUBSTITUTE(SUBSTITUTE(SUBSTITUTE(SUBSTITUTE(SUBSTITUTE(SUBSTITUTE(SUBSTITUTE(SUBSTITUTE(SUBSTITUTE(SUBSTITUTE(SUBSTITUTE(LOWER(TRIM(F494)),"á","a"),"é","e"),"í","i"),"ó","o"),"ú","u"),"ü","u"),"ñ","n"),"à","a"),"è","e"),"ì","i"),"ò","o"),"ù","u"))</f>
        <v/>
      </c>
      <c r="O494" s="25">
        <f>IF(M494="confiable",2,IF(M494="dudosa",1,IF(M494="no confiable",0,"")))</f>
        <v/>
      </c>
      <c r="P494" s="25">
        <f>IF(N494="confiable",2,IF(N494="dudosa",1,IF(N494="no confiable",0,"")))</f>
        <v/>
      </c>
      <c r="Q494" s="25">
        <f>IF(AND(ISNUMBER(O494),ISNUMBER(P494)),1,"")</f>
        <v/>
      </c>
      <c r="R494" s="25">
        <f>IF(Q494=1,IF(O494=P494,"Sí","No"),"")</f>
        <v/>
      </c>
      <c r="S494" s="25">
        <f>IF(Q494=1,IF(P494&lt;O494,"Más estricto",IF(P494&gt;O494,"Más permisivo","Igual")),"")</f>
        <v/>
      </c>
      <c r="T494" s="25">
        <f>IF(Q494=1,IF(ABS(O494-P494)=2,1,0),"")</f>
        <v/>
      </c>
      <c r="U494" s="25">
        <f>IF(H494="","","|"&amp;SUBSTITUTE(SUBSTITUTE(TRIM(H494)," |","|"),"| ","|")&amp;"|")</f>
        <v/>
      </c>
      <c r="V494" s="25">
        <f>IF(AND(Q494=1,B494&lt;&gt;""),IF(IFERROR(COUNTIFS(B$3:B494,"="&amp;SUBSTITUTE(SUBSTITUTE(SUBSTITUTE(B494,"~","~~"),"*","~*"),"?","~?"),Q$3:Q494,1),0)=1,MAX(V$2:V493)+1,""),"")</f>
        <v/>
      </c>
      <c r="W494" s="25">
        <f>IF(V494="","",COUNTIFS($B$3:$B$1002,"="&amp;SUBSTITUTE(SUBSTITUTE(SUBSTITUTE(B494,"~","~~"),"*","~*"),"?","~?"),$Q$3:$Q$1002,1)*10000-V494)</f>
        <v/>
      </c>
      <c r="X494" s="25">
        <f>IF(Q494=1,IF(SUBSTITUTE(SUBSTITUTE(SUBSTITUTE(SUBSTITUTE(SUBSTITUTE(SUBSTITUTE(SUBSTITUTE(SUBSTITUTE(SUBSTITUTE(SUBSTITUTE(SUBSTITUTE(SUBSTITUTE(LOWER(TRIM(A494)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494)),"á","a"),"é","e"),"í","i"),"ó","o"),"ú","u"),"ü","u"),"ñ","n"),"à","a"),"è","e"),"ì","i"),"ò","o"),"ù","u")),"")</f>
        <v/>
      </c>
      <c r="Y494" s="25">
        <f>IF(X494="","",IF(IFERROR(COUNTIF(X$3:X494,"="&amp;SUBSTITUTE(SUBSTITUTE(SUBSTITUTE(X494,"~","~~"),"*","~*"),"?","~?")),0)=1,1,""))</f>
        <v/>
      </c>
      <c r="Z494" s="25">
        <f>IF(T494=1,MAX(Z$2:Z493)+1,"")</f>
        <v/>
      </c>
    </row>
    <row r="495">
      <c r="A495">
        <f>IF(A$2=0,"",IFERROR(TRIM(INDEX('Pegar calibracion'!$A$1:$BZ$1001,494,A$2)&amp;""),""))</f>
        <v/>
      </c>
      <c r="B495">
        <f>IF(B$2=0,"",IFERROR(TRIM(INDEX('Pegar calibracion'!$A$1:$BZ$1001,494,B$2)&amp;""),""))</f>
        <v/>
      </c>
      <c r="C495">
        <f>IF(C$2=0,"",IFERROR(TRIM(INDEX('Pegar calibracion'!$A$1:$BZ$1001,494,C$2)&amp;""),""))</f>
        <v/>
      </c>
      <c r="D495">
        <f>IF(D$2=0,"",IFERROR(TRIM(INDEX('Pegar calibracion'!$A$1:$BZ$1001,494,D$2)&amp;""),""))</f>
        <v/>
      </c>
      <c r="E495">
        <f>IF(E$2=0,"",IFERROR(TRIM(INDEX('Pegar calibracion'!$A$1:$BZ$1001,494,E$2)&amp;""),""))</f>
        <v/>
      </c>
      <c r="F495">
        <f>IF(F$2=0,"",IFERROR(TRIM(INDEX('Pegar calibracion'!$A$1:$BZ$1001,494,F$2)&amp;""),""))</f>
        <v/>
      </c>
      <c r="G495">
        <f>IF(G$2=0,"",IFERROR(TRIM(INDEX('Pegar calibracion'!$A$1:$BZ$1001,494,G$2)&amp;""),""))</f>
        <v/>
      </c>
      <c r="H495">
        <f>IF(H$2=0,"",IFERROR(TRIM(INDEX('Pegar calibracion'!$A$1:$BZ$1001,494,H$2)&amp;""),""))</f>
        <v/>
      </c>
      <c r="I495">
        <f>IF(I$2=0,"",IFERROR(TRIM(INDEX('Pegar calibracion'!$A$1:$BZ$1001,494,I$2)&amp;""),""))</f>
        <v/>
      </c>
      <c r="J495">
        <f>IF(J$2=0,"",IFERROR(TRIM(INDEX('Pegar calibracion'!$A$1:$BZ$1001,494,J$2)&amp;""),""))</f>
        <v/>
      </c>
      <c r="K495">
        <f>IF(K$2=0,"",IFERROR(TRIM(INDEX('Pegar calibracion'!$A$1:$BZ$1001,494,K$2)&amp;""),""))</f>
        <v/>
      </c>
      <c r="L495">
        <f>IF(L$2=0,"",IFERROR(TRIM(INDEX('Pegar calibracion'!$A$1:$BZ$1001,494,L$2)&amp;""),""))</f>
        <v/>
      </c>
      <c r="M495" s="25">
        <f>IF(D495="","",SUBSTITUTE(SUBSTITUTE(SUBSTITUTE(SUBSTITUTE(SUBSTITUTE(SUBSTITUTE(SUBSTITUTE(SUBSTITUTE(SUBSTITUTE(SUBSTITUTE(SUBSTITUTE(SUBSTITUTE(LOWER(TRIM(D495)),"á","a"),"é","e"),"í","i"),"ó","o"),"ú","u"),"ü","u"),"ñ","n"),"à","a"),"è","e"),"ì","i"),"ò","o"),"ù","u"))</f>
        <v/>
      </c>
      <c r="N495" s="25">
        <f>IF(F495="","",SUBSTITUTE(SUBSTITUTE(SUBSTITUTE(SUBSTITUTE(SUBSTITUTE(SUBSTITUTE(SUBSTITUTE(SUBSTITUTE(SUBSTITUTE(SUBSTITUTE(SUBSTITUTE(SUBSTITUTE(LOWER(TRIM(F495)),"á","a"),"é","e"),"í","i"),"ó","o"),"ú","u"),"ü","u"),"ñ","n"),"à","a"),"è","e"),"ì","i"),"ò","o"),"ù","u"))</f>
        <v/>
      </c>
      <c r="O495" s="25">
        <f>IF(M495="confiable",2,IF(M495="dudosa",1,IF(M495="no confiable",0,"")))</f>
        <v/>
      </c>
      <c r="P495" s="25">
        <f>IF(N495="confiable",2,IF(N495="dudosa",1,IF(N495="no confiable",0,"")))</f>
        <v/>
      </c>
      <c r="Q495" s="25">
        <f>IF(AND(ISNUMBER(O495),ISNUMBER(P495)),1,"")</f>
        <v/>
      </c>
      <c r="R495" s="25">
        <f>IF(Q495=1,IF(O495=P495,"Sí","No"),"")</f>
        <v/>
      </c>
      <c r="S495" s="25">
        <f>IF(Q495=1,IF(P495&lt;O495,"Más estricto",IF(P495&gt;O495,"Más permisivo","Igual")),"")</f>
        <v/>
      </c>
      <c r="T495" s="25">
        <f>IF(Q495=1,IF(ABS(O495-P495)=2,1,0),"")</f>
        <v/>
      </c>
      <c r="U495" s="25">
        <f>IF(H495="","","|"&amp;SUBSTITUTE(SUBSTITUTE(TRIM(H495)," |","|"),"| ","|")&amp;"|")</f>
        <v/>
      </c>
      <c r="V495" s="25">
        <f>IF(AND(Q495=1,B495&lt;&gt;""),IF(IFERROR(COUNTIFS(B$3:B495,"="&amp;SUBSTITUTE(SUBSTITUTE(SUBSTITUTE(B495,"~","~~"),"*","~*"),"?","~?"),Q$3:Q495,1),0)=1,MAX(V$2:V494)+1,""),"")</f>
        <v/>
      </c>
      <c r="W495" s="25">
        <f>IF(V495="","",COUNTIFS($B$3:$B$1002,"="&amp;SUBSTITUTE(SUBSTITUTE(SUBSTITUTE(B495,"~","~~"),"*","~*"),"?","~?"),$Q$3:$Q$1002,1)*10000-V495)</f>
        <v/>
      </c>
      <c r="X495" s="25">
        <f>IF(Q495=1,IF(SUBSTITUTE(SUBSTITUTE(SUBSTITUTE(SUBSTITUTE(SUBSTITUTE(SUBSTITUTE(SUBSTITUTE(SUBSTITUTE(SUBSTITUTE(SUBSTITUTE(SUBSTITUTE(SUBSTITUTE(LOWER(TRIM(A495)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495)),"á","a"),"é","e"),"í","i"),"ó","o"),"ú","u"),"ü","u"),"ñ","n"),"à","a"),"è","e"),"ì","i"),"ò","o"),"ù","u")),"")</f>
        <v/>
      </c>
      <c r="Y495" s="25">
        <f>IF(X495="","",IF(IFERROR(COUNTIF(X$3:X495,"="&amp;SUBSTITUTE(SUBSTITUTE(SUBSTITUTE(X495,"~","~~"),"*","~*"),"?","~?")),0)=1,1,""))</f>
        <v/>
      </c>
      <c r="Z495" s="25">
        <f>IF(T495=1,MAX(Z$2:Z494)+1,"")</f>
        <v/>
      </c>
    </row>
    <row r="496">
      <c r="A496">
        <f>IF(A$2=0,"",IFERROR(TRIM(INDEX('Pegar calibracion'!$A$1:$BZ$1001,495,A$2)&amp;""),""))</f>
        <v/>
      </c>
      <c r="B496">
        <f>IF(B$2=0,"",IFERROR(TRIM(INDEX('Pegar calibracion'!$A$1:$BZ$1001,495,B$2)&amp;""),""))</f>
        <v/>
      </c>
      <c r="C496">
        <f>IF(C$2=0,"",IFERROR(TRIM(INDEX('Pegar calibracion'!$A$1:$BZ$1001,495,C$2)&amp;""),""))</f>
        <v/>
      </c>
      <c r="D496">
        <f>IF(D$2=0,"",IFERROR(TRIM(INDEX('Pegar calibracion'!$A$1:$BZ$1001,495,D$2)&amp;""),""))</f>
        <v/>
      </c>
      <c r="E496">
        <f>IF(E$2=0,"",IFERROR(TRIM(INDEX('Pegar calibracion'!$A$1:$BZ$1001,495,E$2)&amp;""),""))</f>
        <v/>
      </c>
      <c r="F496">
        <f>IF(F$2=0,"",IFERROR(TRIM(INDEX('Pegar calibracion'!$A$1:$BZ$1001,495,F$2)&amp;""),""))</f>
        <v/>
      </c>
      <c r="G496">
        <f>IF(G$2=0,"",IFERROR(TRIM(INDEX('Pegar calibracion'!$A$1:$BZ$1001,495,G$2)&amp;""),""))</f>
        <v/>
      </c>
      <c r="H496">
        <f>IF(H$2=0,"",IFERROR(TRIM(INDEX('Pegar calibracion'!$A$1:$BZ$1001,495,H$2)&amp;""),""))</f>
        <v/>
      </c>
      <c r="I496">
        <f>IF(I$2=0,"",IFERROR(TRIM(INDEX('Pegar calibracion'!$A$1:$BZ$1001,495,I$2)&amp;""),""))</f>
        <v/>
      </c>
      <c r="J496">
        <f>IF(J$2=0,"",IFERROR(TRIM(INDEX('Pegar calibracion'!$A$1:$BZ$1001,495,J$2)&amp;""),""))</f>
        <v/>
      </c>
      <c r="K496">
        <f>IF(K$2=0,"",IFERROR(TRIM(INDEX('Pegar calibracion'!$A$1:$BZ$1001,495,K$2)&amp;""),""))</f>
        <v/>
      </c>
      <c r="L496">
        <f>IF(L$2=0,"",IFERROR(TRIM(INDEX('Pegar calibracion'!$A$1:$BZ$1001,495,L$2)&amp;""),""))</f>
        <v/>
      </c>
      <c r="M496" s="25">
        <f>IF(D496="","",SUBSTITUTE(SUBSTITUTE(SUBSTITUTE(SUBSTITUTE(SUBSTITUTE(SUBSTITUTE(SUBSTITUTE(SUBSTITUTE(SUBSTITUTE(SUBSTITUTE(SUBSTITUTE(SUBSTITUTE(LOWER(TRIM(D496)),"á","a"),"é","e"),"í","i"),"ó","o"),"ú","u"),"ü","u"),"ñ","n"),"à","a"),"è","e"),"ì","i"),"ò","o"),"ù","u"))</f>
        <v/>
      </c>
      <c r="N496" s="25">
        <f>IF(F496="","",SUBSTITUTE(SUBSTITUTE(SUBSTITUTE(SUBSTITUTE(SUBSTITUTE(SUBSTITUTE(SUBSTITUTE(SUBSTITUTE(SUBSTITUTE(SUBSTITUTE(SUBSTITUTE(SUBSTITUTE(LOWER(TRIM(F496)),"á","a"),"é","e"),"í","i"),"ó","o"),"ú","u"),"ü","u"),"ñ","n"),"à","a"),"è","e"),"ì","i"),"ò","o"),"ù","u"))</f>
        <v/>
      </c>
      <c r="O496" s="25">
        <f>IF(M496="confiable",2,IF(M496="dudosa",1,IF(M496="no confiable",0,"")))</f>
        <v/>
      </c>
      <c r="P496" s="25">
        <f>IF(N496="confiable",2,IF(N496="dudosa",1,IF(N496="no confiable",0,"")))</f>
        <v/>
      </c>
      <c r="Q496" s="25">
        <f>IF(AND(ISNUMBER(O496),ISNUMBER(P496)),1,"")</f>
        <v/>
      </c>
      <c r="R496" s="25">
        <f>IF(Q496=1,IF(O496=P496,"Sí","No"),"")</f>
        <v/>
      </c>
      <c r="S496" s="25">
        <f>IF(Q496=1,IF(P496&lt;O496,"Más estricto",IF(P496&gt;O496,"Más permisivo","Igual")),"")</f>
        <v/>
      </c>
      <c r="T496" s="25">
        <f>IF(Q496=1,IF(ABS(O496-P496)=2,1,0),"")</f>
        <v/>
      </c>
      <c r="U496" s="25">
        <f>IF(H496="","","|"&amp;SUBSTITUTE(SUBSTITUTE(TRIM(H496)," |","|"),"| ","|")&amp;"|")</f>
        <v/>
      </c>
      <c r="V496" s="25">
        <f>IF(AND(Q496=1,B496&lt;&gt;""),IF(IFERROR(COUNTIFS(B$3:B496,"="&amp;SUBSTITUTE(SUBSTITUTE(SUBSTITUTE(B496,"~","~~"),"*","~*"),"?","~?"),Q$3:Q496,1),0)=1,MAX(V$2:V495)+1,""),"")</f>
        <v/>
      </c>
      <c r="W496" s="25">
        <f>IF(V496="","",COUNTIFS($B$3:$B$1002,"="&amp;SUBSTITUTE(SUBSTITUTE(SUBSTITUTE(B496,"~","~~"),"*","~*"),"?","~?"),$Q$3:$Q$1002,1)*10000-V496)</f>
        <v/>
      </c>
      <c r="X496" s="25">
        <f>IF(Q496=1,IF(SUBSTITUTE(SUBSTITUTE(SUBSTITUTE(SUBSTITUTE(SUBSTITUTE(SUBSTITUTE(SUBSTITUTE(SUBSTITUTE(SUBSTITUTE(SUBSTITUTE(SUBSTITUTE(SUBSTITUTE(LOWER(TRIM(A496)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496)),"á","a"),"é","e"),"í","i"),"ó","o"),"ú","u"),"ü","u"),"ñ","n"),"à","a"),"è","e"),"ì","i"),"ò","o"),"ù","u")),"")</f>
        <v/>
      </c>
      <c r="Y496" s="25">
        <f>IF(X496="","",IF(IFERROR(COUNTIF(X$3:X496,"="&amp;SUBSTITUTE(SUBSTITUTE(SUBSTITUTE(X496,"~","~~"),"*","~*"),"?","~?")),0)=1,1,""))</f>
        <v/>
      </c>
      <c r="Z496" s="25">
        <f>IF(T496=1,MAX(Z$2:Z495)+1,"")</f>
        <v/>
      </c>
    </row>
    <row r="497">
      <c r="A497">
        <f>IF(A$2=0,"",IFERROR(TRIM(INDEX('Pegar calibracion'!$A$1:$BZ$1001,496,A$2)&amp;""),""))</f>
        <v/>
      </c>
      <c r="B497">
        <f>IF(B$2=0,"",IFERROR(TRIM(INDEX('Pegar calibracion'!$A$1:$BZ$1001,496,B$2)&amp;""),""))</f>
        <v/>
      </c>
      <c r="C497">
        <f>IF(C$2=0,"",IFERROR(TRIM(INDEX('Pegar calibracion'!$A$1:$BZ$1001,496,C$2)&amp;""),""))</f>
        <v/>
      </c>
      <c r="D497">
        <f>IF(D$2=0,"",IFERROR(TRIM(INDEX('Pegar calibracion'!$A$1:$BZ$1001,496,D$2)&amp;""),""))</f>
        <v/>
      </c>
      <c r="E497">
        <f>IF(E$2=0,"",IFERROR(TRIM(INDEX('Pegar calibracion'!$A$1:$BZ$1001,496,E$2)&amp;""),""))</f>
        <v/>
      </c>
      <c r="F497">
        <f>IF(F$2=0,"",IFERROR(TRIM(INDEX('Pegar calibracion'!$A$1:$BZ$1001,496,F$2)&amp;""),""))</f>
        <v/>
      </c>
      <c r="G497">
        <f>IF(G$2=0,"",IFERROR(TRIM(INDEX('Pegar calibracion'!$A$1:$BZ$1001,496,G$2)&amp;""),""))</f>
        <v/>
      </c>
      <c r="H497">
        <f>IF(H$2=0,"",IFERROR(TRIM(INDEX('Pegar calibracion'!$A$1:$BZ$1001,496,H$2)&amp;""),""))</f>
        <v/>
      </c>
      <c r="I497">
        <f>IF(I$2=0,"",IFERROR(TRIM(INDEX('Pegar calibracion'!$A$1:$BZ$1001,496,I$2)&amp;""),""))</f>
        <v/>
      </c>
      <c r="J497">
        <f>IF(J$2=0,"",IFERROR(TRIM(INDEX('Pegar calibracion'!$A$1:$BZ$1001,496,J$2)&amp;""),""))</f>
        <v/>
      </c>
      <c r="K497">
        <f>IF(K$2=0,"",IFERROR(TRIM(INDEX('Pegar calibracion'!$A$1:$BZ$1001,496,K$2)&amp;""),""))</f>
        <v/>
      </c>
      <c r="L497">
        <f>IF(L$2=0,"",IFERROR(TRIM(INDEX('Pegar calibracion'!$A$1:$BZ$1001,496,L$2)&amp;""),""))</f>
        <v/>
      </c>
      <c r="M497" s="25">
        <f>IF(D497="","",SUBSTITUTE(SUBSTITUTE(SUBSTITUTE(SUBSTITUTE(SUBSTITUTE(SUBSTITUTE(SUBSTITUTE(SUBSTITUTE(SUBSTITUTE(SUBSTITUTE(SUBSTITUTE(SUBSTITUTE(LOWER(TRIM(D497)),"á","a"),"é","e"),"í","i"),"ó","o"),"ú","u"),"ü","u"),"ñ","n"),"à","a"),"è","e"),"ì","i"),"ò","o"),"ù","u"))</f>
        <v/>
      </c>
      <c r="N497" s="25">
        <f>IF(F497="","",SUBSTITUTE(SUBSTITUTE(SUBSTITUTE(SUBSTITUTE(SUBSTITUTE(SUBSTITUTE(SUBSTITUTE(SUBSTITUTE(SUBSTITUTE(SUBSTITUTE(SUBSTITUTE(SUBSTITUTE(LOWER(TRIM(F497)),"á","a"),"é","e"),"í","i"),"ó","o"),"ú","u"),"ü","u"),"ñ","n"),"à","a"),"è","e"),"ì","i"),"ò","o"),"ù","u"))</f>
        <v/>
      </c>
      <c r="O497" s="25">
        <f>IF(M497="confiable",2,IF(M497="dudosa",1,IF(M497="no confiable",0,"")))</f>
        <v/>
      </c>
      <c r="P497" s="25">
        <f>IF(N497="confiable",2,IF(N497="dudosa",1,IF(N497="no confiable",0,"")))</f>
        <v/>
      </c>
      <c r="Q497" s="25">
        <f>IF(AND(ISNUMBER(O497),ISNUMBER(P497)),1,"")</f>
        <v/>
      </c>
      <c r="R497" s="25">
        <f>IF(Q497=1,IF(O497=P497,"Sí","No"),"")</f>
        <v/>
      </c>
      <c r="S497" s="25">
        <f>IF(Q497=1,IF(P497&lt;O497,"Más estricto",IF(P497&gt;O497,"Más permisivo","Igual")),"")</f>
        <v/>
      </c>
      <c r="T497" s="25">
        <f>IF(Q497=1,IF(ABS(O497-P497)=2,1,0),"")</f>
        <v/>
      </c>
      <c r="U497" s="25">
        <f>IF(H497="","","|"&amp;SUBSTITUTE(SUBSTITUTE(TRIM(H497)," |","|"),"| ","|")&amp;"|")</f>
        <v/>
      </c>
      <c r="V497" s="25">
        <f>IF(AND(Q497=1,B497&lt;&gt;""),IF(IFERROR(COUNTIFS(B$3:B497,"="&amp;SUBSTITUTE(SUBSTITUTE(SUBSTITUTE(B497,"~","~~"),"*","~*"),"?","~?"),Q$3:Q497,1),0)=1,MAX(V$2:V496)+1,""),"")</f>
        <v/>
      </c>
      <c r="W497" s="25">
        <f>IF(V497="","",COUNTIFS($B$3:$B$1002,"="&amp;SUBSTITUTE(SUBSTITUTE(SUBSTITUTE(B497,"~","~~"),"*","~*"),"?","~?"),$Q$3:$Q$1002,1)*10000-V497)</f>
        <v/>
      </c>
      <c r="X497" s="25">
        <f>IF(Q497=1,IF(SUBSTITUTE(SUBSTITUTE(SUBSTITUTE(SUBSTITUTE(SUBSTITUTE(SUBSTITUTE(SUBSTITUTE(SUBSTITUTE(SUBSTITUTE(SUBSTITUTE(SUBSTITUTE(SUBSTITUTE(LOWER(TRIM(A497)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497)),"á","a"),"é","e"),"í","i"),"ó","o"),"ú","u"),"ü","u"),"ñ","n"),"à","a"),"è","e"),"ì","i"),"ò","o"),"ù","u")),"")</f>
        <v/>
      </c>
      <c r="Y497" s="25">
        <f>IF(X497="","",IF(IFERROR(COUNTIF(X$3:X497,"="&amp;SUBSTITUTE(SUBSTITUTE(SUBSTITUTE(X497,"~","~~"),"*","~*"),"?","~?")),0)=1,1,""))</f>
        <v/>
      </c>
      <c r="Z497" s="25">
        <f>IF(T497=1,MAX(Z$2:Z496)+1,"")</f>
        <v/>
      </c>
    </row>
    <row r="498">
      <c r="A498">
        <f>IF(A$2=0,"",IFERROR(TRIM(INDEX('Pegar calibracion'!$A$1:$BZ$1001,497,A$2)&amp;""),""))</f>
        <v/>
      </c>
      <c r="B498">
        <f>IF(B$2=0,"",IFERROR(TRIM(INDEX('Pegar calibracion'!$A$1:$BZ$1001,497,B$2)&amp;""),""))</f>
        <v/>
      </c>
      <c r="C498">
        <f>IF(C$2=0,"",IFERROR(TRIM(INDEX('Pegar calibracion'!$A$1:$BZ$1001,497,C$2)&amp;""),""))</f>
        <v/>
      </c>
      <c r="D498">
        <f>IF(D$2=0,"",IFERROR(TRIM(INDEX('Pegar calibracion'!$A$1:$BZ$1001,497,D$2)&amp;""),""))</f>
        <v/>
      </c>
      <c r="E498">
        <f>IF(E$2=0,"",IFERROR(TRIM(INDEX('Pegar calibracion'!$A$1:$BZ$1001,497,E$2)&amp;""),""))</f>
        <v/>
      </c>
      <c r="F498">
        <f>IF(F$2=0,"",IFERROR(TRIM(INDEX('Pegar calibracion'!$A$1:$BZ$1001,497,F$2)&amp;""),""))</f>
        <v/>
      </c>
      <c r="G498">
        <f>IF(G$2=0,"",IFERROR(TRIM(INDEX('Pegar calibracion'!$A$1:$BZ$1001,497,G$2)&amp;""),""))</f>
        <v/>
      </c>
      <c r="H498">
        <f>IF(H$2=0,"",IFERROR(TRIM(INDEX('Pegar calibracion'!$A$1:$BZ$1001,497,H$2)&amp;""),""))</f>
        <v/>
      </c>
      <c r="I498">
        <f>IF(I$2=0,"",IFERROR(TRIM(INDEX('Pegar calibracion'!$A$1:$BZ$1001,497,I$2)&amp;""),""))</f>
        <v/>
      </c>
      <c r="J498">
        <f>IF(J$2=0,"",IFERROR(TRIM(INDEX('Pegar calibracion'!$A$1:$BZ$1001,497,J$2)&amp;""),""))</f>
        <v/>
      </c>
      <c r="K498">
        <f>IF(K$2=0,"",IFERROR(TRIM(INDEX('Pegar calibracion'!$A$1:$BZ$1001,497,K$2)&amp;""),""))</f>
        <v/>
      </c>
      <c r="L498">
        <f>IF(L$2=0,"",IFERROR(TRIM(INDEX('Pegar calibracion'!$A$1:$BZ$1001,497,L$2)&amp;""),""))</f>
        <v/>
      </c>
      <c r="M498" s="25">
        <f>IF(D498="","",SUBSTITUTE(SUBSTITUTE(SUBSTITUTE(SUBSTITUTE(SUBSTITUTE(SUBSTITUTE(SUBSTITUTE(SUBSTITUTE(SUBSTITUTE(SUBSTITUTE(SUBSTITUTE(SUBSTITUTE(LOWER(TRIM(D498)),"á","a"),"é","e"),"í","i"),"ó","o"),"ú","u"),"ü","u"),"ñ","n"),"à","a"),"è","e"),"ì","i"),"ò","o"),"ù","u"))</f>
        <v/>
      </c>
      <c r="N498" s="25">
        <f>IF(F498="","",SUBSTITUTE(SUBSTITUTE(SUBSTITUTE(SUBSTITUTE(SUBSTITUTE(SUBSTITUTE(SUBSTITUTE(SUBSTITUTE(SUBSTITUTE(SUBSTITUTE(SUBSTITUTE(SUBSTITUTE(LOWER(TRIM(F498)),"á","a"),"é","e"),"í","i"),"ó","o"),"ú","u"),"ü","u"),"ñ","n"),"à","a"),"è","e"),"ì","i"),"ò","o"),"ù","u"))</f>
        <v/>
      </c>
      <c r="O498" s="25">
        <f>IF(M498="confiable",2,IF(M498="dudosa",1,IF(M498="no confiable",0,"")))</f>
        <v/>
      </c>
      <c r="P498" s="25">
        <f>IF(N498="confiable",2,IF(N498="dudosa",1,IF(N498="no confiable",0,"")))</f>
        <v/>
      </c>
      <c r="Q498" s="25">
        <f>IF(AND(ISNUMBER(O498),ISNUMBER(P498)),1,"")</f>
        <v/>
      </c>
      <c r="R498" s="25">
        <f>IF(Q498=1,IF(O498=P498,"Sí","No"),"")</f>
        <v/>
      </c>
      <c r="S498" s="25">
        <f>IF(Q498=1,IF(P498&lt;O498,"Más estricto",IF(P498&gt;O498,"Más permisivo","Igual")),"")</f>
        <v/>
      </c>
      <c r="T498" s="25">
        <f>IF(Q498=1,IF(ABS(O498-P498)=2,1,0),"")</f>
        <v/>
      </c>
      <c r="U498" s="25">
        <f>IF(H498="","","|"&amp;SUBSTITUTE(SUBSTITUTE(TRIM(H498)," |","|"),"| ","|")&amp;"|")</f>
        <v/>
      </c>
      <c r="V498" s="25">
        <f>IF(AND(Q498=1,B498&lt;&gt;""),IF(IFERROR(COUNTIFS(B$3:B498,"="&amp;SUBSTITUTE(SUBSTITUTE(SUBSTITUTE(B498,"~","~~"),"*","~*"),"?","~?"),Q$3:Q498,1),0)=1,MAX(V$2:V497)+1,""),"")</f>
        <v/>
      </c>
      <c r="W498" s="25">
        <f>IF(V498="","",COUNTIFS($B$3:$B$1002,"="&amp;SUBSTITUTE(SUBSTITUTE(SUBSTITUTE(B498,"~","~~"),"*","~*"),"?","~?"),$Q$3:$Q$1002,1)*10000-V498)</f>
        <v/>
      </c>
      <c r="X498" s="25">
        <f>IF(Q498=1,IF(SUBSTITUTE(SUBSTITUTE(SUBSTITUTE(SUBSTITUTE(SUBSTITUTE(SUBSTITUTE(SUBSTITUTE(SUBSTITUTE(SUBSTITUTE(SUBSTITUTE(SUBSTITUTE(SUBSTITUTE(LOWER(TRIM(A498)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498)),"á","a"),"é","e"),"í","i"),"ó","o"),"ú","u"),"ü","u"),"ñ","n"),"à","a"),"è","e"),"ì","i"),"ò","o"),"ù","u")),"")</f>
        <v/>
      </c>
      <c r="Y498" s="25">
        <f>IF(X498="","",IF(IFERROR(COUNTIF(X$3:X498,"="&amp;SUBSTITUTE(SUBSTITUTE(SUBSTITUTE(X498,"~","~~"),"*","~*"),"?","~?")),0)=1,1,""))</f>
        <v/>
      </c>
      <c r="Z498" s="25">
        <f>IF(T498=1,MAX(Z$2:Z497)+1,"")</f>
        <v/>
      </c>
    </row>
    <row r="499">
      <c r="A499">
        <f>IF(A$2=0,"",IFERROR(TRIM(INDEX('Pegar calibracion'!$A$1:$BZ$1001,498,A$2)&amp;""),""))</f>
        <v/>
      </c>
      <c r="B499">
        <f>IF(B$2=0,"",IFERROR(TRIM(INDEX('Pegar calibracion'!$A$1:$BZ$1001,498,B$2)&amp;""),""))</f>
        <v/>
      </c>
      <c r="C499">
        <f>IF(C$2=0,"",IFERROR(TRIM(INDEX('Pegar calibracion'!$A$1:$BZ$1001,498,C$2)&amp;""),""))</f>
        <v/>
      </c>
      <c r="D499">
        <f>IF(D$2=0,"",IFERROR(TRIM(INDEX('Pegar calibracion'!$A$1:$BZ$1001,498,D$2)&amp;""),""))</f>
        <v/>
      </c>
      <c r="E499">
        <f>IF(E$2=0,"",IFERROR(TRIM(INDEX('Pegar calibracion'!$A$1:$BZ$1001,498,E$2)&amp;""),""))</f>
        <v/>
      </c>
      <c r="F499">
        <f>IF(F$2=0,"",IFERROR(TRIM(INDEX('Pegar calibracion'!$A$1:$BZ$1001,498,F$2)&amp;""),""))</f>
        <v/>
      </c>
      <c r="G499">
        <f>IF(G$2=0,"",IFERROR(TRIM(INDEX('Pegar calibracion'!$A$1:$BZ$1001,498,G$2)&amp;""),""))</f>
        <v/>
      </c>
      <c r="H499">
        <f>IF(H$2=0,"",IFERROR(TRIM(INDEX('Pegar calibracion'!$A$1:$BZ$1001,498,H$2)&amp;""),""))</f>
        <v/>
      </c>
      <c r="I499">
        <f>IF(I$2=0,"",IFERROR(TRIM(INDEX('Pegar calibracion'!$A$1:$BZ$1001,498,I$2)&amp;""),""))</f>
        <v/>
      </c>
      <c r="J499">
        <f>IF(J$2=0,"",IFERROR(TRIM(INDEX('Pegar calibracion'!$A$1:$BZ$1001,498,J$2)&amp;""),""))</f>
        <v/>
      </c>
      <c r="K499">
        <f>IF(K$2=0,"",IFERROR(TRIM(INDEX('Pegar calibracion'!$A$1:$BZ$1001,498,K$2)&amp;""),""))</f>
        <v/>
      </c>
      <c r="L499">
        <f>IF(L$2=0,"",IFERROR(TRIM(INDEX('Pegar calibracion'!$A$1:$BZ$1001,498,L$2)&amp;""),""))</f>
        <v/>
      </c>
      <c r="M499" s="25">
        <f>IF(D499="","",SUBSTITUTE(SUBSTITUTE(SUBSTITUTE(SUBSTITUTE(SUBSTITUTE(SUBSTITUTE(SUBSTITUTE(SUBSTITUTE(SUBSTITUTE(SUBSTITUTE(SUBSTITUTE(SUBSTITUTE(LOWER(TRIM(D499)),"á","a"),"é","e"),"í","i"),"ó","o"),"ú","u"),"ü","u"),"ñ","n"),"à","a"),"è","e"),"ì","i"),"ò","o"),"ù","u"))</f>
        <v/>
      </c>
      <c r="N499" s="25">
        <f>IF(F499="","",SUBSTITUTE(SUBSTITUTE(SUBSTITUTE(SUBSTITUTE(SUBSTITUTE(SUBSTITUTE(SUBSTITUTE(SUBSTITUTE(SUBSTITUTE(SUBSTITUTE(SUBSTITUTE(SUBSTITUTE(LOWER(TRIM(F499)),"á","a"),"é","e"),"í","i"),"ó","o"),"ú","u"),"ü","u"),"ñ","n"),"à","a"),"è","e"),"ì","i"),"ò","o"),"ù","u"))</f>
        <v/>
      </c>
      <c r="O499" s="25">
        <f>IF(M499="confiable",2,IF(M499="dudosa",1,IF(M499="no confiable",0,"")))</f>
        <v/>
      </c>
      <c r="P499" s="25">
        <f>IF(N499="confiable",2,IF(N499="dudosa",1,IF(N499="no confiable",0,"")))</f>
        <v/>
      </c>
      <c r="Q499" s="25">
        <f>IF(AND(ISNUMBER(O499),ISNUMBER(P499)),1,"")</f>
        <v/>
      </c>
      <c r="R499" s="25">
        <f>IF(Q499=1,IF(O499=P499,"Sí","No"),"")</f>
        <v/>
      </c>
      <c r="S499" s="25">
        <f>IF(Q499=1,IF(P499&lt;O499,"Más estricto",IF(P499&gt;O499,"Más permisivo","Igual")),"")</f>
        <v/>
      </c>
      <c r="T499" s="25">
        <f>IF(Q499=1,IF(ABS(O499-P499)=2,1,0),"")</f>
        <v/>
      </c>
      <c r="U499" s="25">
        <f>IF(H499="","","|"&amp;SUBSTITUTE(SUBSTITUTE(TRIM(H499)," |","|"),"| ","|")&amp;"|")</f>
        <v/>
      </c>
      <c r="V499" s="25">
        <f>IF(AND(Q499=1,B499&lt;&gt;""),IF(IFERROR(COUNTIFS(B$3:B499,"="&amp;SUBSTITUTE(SUBSTITUTE(SUBSTITUTE(B499,"~","~~"),"*","~*"),"?","~?"),Q$3:Q499,1),0)=1,MAX(V$2:V498)+1,""),"")</f>
        <v/>
      </c>
      <c r="W499" s="25">
        <f>IF(V499="","",COUNTIFS($B$3:$B$1002,"="&amp;SUBSTITUTE(SUBSTITUTE(SUBSTITUTE(B499,"~","~~"),"*","~*"),"?","~?"),$Q$3:$Q$1002,1)*10000-V499)</f>
        <v/>
      </c>
      <c r="X499" s="25">
        <f>IF(Q499=1,IF(SUBSTITUTE(SUBSTITUTE(SUBSTITUTE(SUBSTITUTE(SUBSTITUTE(SUBSTITUTE(SUBSTITUTE(SUBSTITUTE(SUBSTITUTE(SUBSTITUTE(SUBSTITUTE(SUBSTITUTE(LOWER(TRIM(A499)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499)),"á","a"),"é","e"),"í","i"),"ó","o"),"ú","u"),"ü","u"),"ñ","n"),"à","a"),"è","e"),"ì","i"),"ò","o"),"ù","u")),"")</f>
        <v/>
      </c>
      <c r="Y499" s="25">
        <f>IF(X499="","",IF(IFERROR(COUNTIF(X$3:X499,"="&amp;SUBSTITUTE(SUBSTITUTE(SUBSTITUTE(X499,"~","~~"),"*","~*"),"?","~?")),0)=1,1,""))</f>
        <v/>
      </c>
      <c r="Z499" s="25">
        <f>IF(T499=1,MAX(Z$2:Z498)+1,"")</f>
        <v/>
      </c>
    </row>
    <row r="500">
      <c r="A500">
        <f>IF(A$2=0,"",IFERROR(TRIM(INDEX('Pegar calibracion'!$A$1:$BZ$1001,499,A$2)&amp;""),""))</f>
        <v/>
      </c>
      <c r="B500">
        <f>IF(B$2=0,"",IFERROR(TRIM(INDEX('Pegar calibracion'!$A$1:$BZ$1001,499,B$2)&amp;""),""))</f>
        <v/>
      </c>
      <c r="C500">
        <f>IF(C$2=0,"",IFERROR(TRIM(INDEX('Pegar calibracion'!$A$1:$BZ$1001,499,C$2)&amp;""),""))</f>
        <v/>
      </c>
      <c r="D500">
        <f>IF(D$2=0,"",IFERROR(TRIM(INDEX('Pegar calibracion'!$A$1:$BZ$1001,499,D$2)&amp;""),""))</f>
        <v/>
      </c>
      <c r="E500">
        <f>IF(E$2=0,"",IFERROR(TRIM(INDEX('Pegar calibracion'!$A$1:$BZ$1001,499,E$2)&amp;""),""))</f>
        <v/>
      </c>
      <c r="F500">
        <f>IF(F$2=0,"",IFERROR(TRIM(INDEX('Pegar calibracion'!$A$1:$BZ$1001,499,F$2)&amp;""),""))</f>
        <v/>
      </c>
      <c r="G500">
        <f>IF(G$2=0,"",IFERROR(TRIM(INDEX('Pegar calibracion'!$A$1:$BZ$1001,499,G$2)&amp;""),""))</f>
        <v/>
      </c>
      <c r="H500">
        <f>IF(H$2=0,"",IFERROR(TRIM(INDEX('Pegar calibracion'!$A$1:$BZ$1001,499,H$2)&amp;""),""))</f>
        <v/>
      </c>
      <c r="I500">
        <f>IF(I$2=0,"",IFERROR(TRIM(INDEX('Pegar calibracion'!$A$1:$BZ$1001,499,I$2)&amp;""),""))</f>
        <v/>
      </c>
      <c r="J500">
        <f>IF(J$2=0,"",IFERROR(TRIM(INDEX('Pegar calibracion'!$A$1:$BZ$1001,499,J$2)&amp;""),""))</f>
        <v/>
      </c>
      <c r="K500">
        <f>IF(K$2=0,"",IFERROR(TRIM(INDEX('Pegar calibracion'!$A$1:$BZ$1001,499,K$2)&amp;""),""))</f>
        <v/>
      </c>
      <c r="L500">
        <f>IF(L$2=0,"",IFERROR(TRIM(INDEX('Pegar calibracion'!$A$1:$BZ$1001,499,L$2)&amp;""),""))</f>
        <v/>
      </c>
      <c r="M500" s="25">
        <f>IF(D500="","",SUBSTITUTE(SUBSTITUTE(SUBSTITUTE(SUBSTITUTE(SUBSTITUTE(SUBSTITUTE(SUBSTITUTE(SUBSTITUTE(SUBSTITUTE(SUBSTITUTE(SUBSTITUTE(SUBSTITUTE(LOWER(TRIM(D500)),"á","a"),"é","e"),"í","i"),"ó","o"),"ú","u"),"ü","u"),"ñ","n"),"à","a"),"è","e"),"ì","i"),"ò","o"),"ù","u"))</f>
        <v/>
      </c>
      <c r="N500" s="25">
        <f>IF(F500="","",SUBSTITUTE(SUBSTITUTE(SUBSTITUTE(SUBSTITUTE(SUBSTITUTE(SUBSTITUTE(SUBSTITUTE(SUBSTITUTE(SUBSTITUTE(SUBSTITUTE(SUBSTITUTE(SUBSTITUTE(LOWER(TRIM(F500)),"á","a"),"é","e"),"í","i"),"ó","o"),"ú","u"),"ü","u"),"ñ","n"),"à","a"),"è","e"),"ì","i"),"ò","o"),"ù","u"))</f>
        <v/>
      </c>
      <c r="O500" s="25">
        <f>IF(M500="confiable",2,IF(M500="dudosa",1,IF(M500="no confiable",0,"")))</f>
        <v/>
      </c>
      <c r="P500" s="25">
        <f>IF(N500="confiable",2,IF(N500="dudosa",1,IF(N500="no confiable",0,"")))</f>
        <v/>
      </c>
      <c r="Q500" s="25">
        <f>IF(AND(ISNUMBER(O500),ISNUMBER(P500)),1,"")</f>
        <v/>
      </c>
      <c r="R500" s="25">
        <f>IF(Q500=1,IF(O500=P500,"Sí","No"),"")</f>
        <v/>
      </c>
      <c r="S500" s="25">
        <f>IF(Q500=1,IF(P500&lt;O500,"Más estricto",IF(P500&gt;O500,"Más permisivo","Igual")),"")</f>
        <v/>
      </c>
      <c r="T500" s="25">
        <f>IF(Q500=1,IF(ABS(O500-P500)=2,1,0),"")</f>
        <v/>
      </c>
      <c r="U500" s="25">
        <f>IF(H500="","","|"&amp;SUBSTITUTE(SUBSTITUTE(TRIM(H500)," |","|"),"| ","|")&amp;"|")</f>
        <v/>
      </c>
      <c r="V500" s="25">
        <f>IF(AND(Q500=1,B500&lt;&gt;""),IF(IFERROR(COUNTIFS(B$3:B500,"="&amp;SUBSTITUTE(SUBSTITUTE(SUBSTITUTE(B500,"~","~~"),"*","~*"),"?","~?"),Q$3:Q500,1),0)=1,MAX(V$2:V499)+1,""),"")</f>
        <v/>
      </c>
      <c r="W500" s="25">
        <f>IF(V500="","",COUNTIFS($B$3:$B$1002,"="&amp;SUBSTITUTE(SUBSTITUTE(SUBSTITUTE(B500,"~","~~"),"*","~*"),"?","~?"),$Q$3:$Q$1002,1)*10000-V500)</f>
        <v/>
      </c>
      <c r="X500" s="25">
        <f>IF(Q500=1,IF(SUBSTITUTE(SUBSTITUTE(SUBSTITUTE(SUBSTITUTE(SUBSTITUTE(SUBSTITUTE(SUBSTITUTE(SUBSTITUTE(SUBSTITUTE(SUBSTITUTE(SUBSTITUTE(SUBSTITUTE(LOWER(TRIM(A500)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500)),"á","a"),"é","e"),"í","i"),"ó","o"),"ú","u"),"ü","u"),"ñ","n"),"à","a"),"è","e"),"ì","i"),"ò","o"),"ù","u")),"")</f>
        <v/>
      </c>
      <c r="Y500" s="25">
        <f>IF(X500="","",IF(IFERROR(COUNTIF(X$3:X500,"="&amp;SUBSTITUTE(SUBSTITUTE(SUBSTITUTE(X500,"~","~~"),"*","~*"),"?","~?")),0)=1,1,""))</f>
        <v/>
      </c>
      <c r="Z500" s="25">
        <f>IF(T500=1,MAX(Z$2:Z499)+1,"")</f>
        <v/>
      </c>
    </row>
    <row r="501">
      <c r="A501">
        <f>IF(A$2=0,"",IFERROR(TRIM(INDEX('Pegar calibracion'!$A$1:$BZ$1001,500,A$2)&amp;""),""))</f>
        <v/>
      </c>
      <c r="B501">
        <f>IF(B$2=0,"",IFERROR(TRIM(INDEX('Pegar calibracion'!$A$1:$BZ$1001,500,B$2)&amp;""),""))</f>
        <v/>
      </c>
      <c r="C501">
        <f>IF(C$2=0,"",IFERROR(TRIM(INDEX('Pegar calibracion'!$A$1:$BZ$1001,500,C$2)&amp;""),""))</f>
        <v/>
      </c>
      <c r="D501">
        <f>IF(D$2=0,"",IFERROR(TRIM(INDEX('Pegar calibracion'!$A$1:$BZ$1001,500,D$2)&amp;""),""))</f>
        <v/>
      </c>
      <c r="E501">
        <f>IF(E$2=0,"",IFERROR(TRIM(INDEX('Pegar calibracion'!$A$1:$BZ$1001,500,E$2)&amp;""),""))</f>
        <v/>
      </c>
      <c r="F501">
        <f>IF(F$2=0,"",IFERROR(TRIM(INDEX('Pegar calibracion'!$A$1:$BZ$1001,500,F$2)&amp;""),""))</f>
        <v/>
      </c>
      <c r="G501">
        <f>IF(G$2=0,"",IFERROR(TRIM(INDEX('Pegar calibracion'!$A$1:$BZ$1001,500,G$2)&amp;""),""))</f>
        <v/>
      </c>
      <c r="H501">
        <f>IF(H$2=0,"",IFERROR(TRIM(INDEX('Pegar calibracion'!$A$1:$BZ$1001,500,H$2)&amp;""),""))</f>
        <v/>
      </c>
      <c r="I501">
        <f>IF(I$2=0,"",IFERROR(TRIM(INDEX('Pegar calibracion'!$A$1:$BZ$1001,500,I$2)&amp;""),""))</f>
        <v/>
      </c>
      <c r="J501">
        <f>IF(J$2=0,"",IFERROR(TRIM(INDEX('Pegar calibracion'!$A$1:$BZ$1001,500,J$2)&amp;""),""))</f>
        <v/>
      </c>
      <c r="K501">
        <f>IF(K$2=0,"",IFERROR(TRIM(INDEX('Pegar calibracion'!$A$1:$BZ$1001,500,K$2)&amp;""),""))</f>
        <v/>
      </c>
      <c r="L501">
        <f>IF(L$2=0,"",IFERROR(TRIM(INDEX('Pegar calibracion'!$A$1:$BZ$1001,500,L$2)&amp;""),""))</f>
        <v/>
      </c>
      <c r="M501" s="25">
        <f>IF(D501="","",SUBSTITUTE(SUBSTITUTE(SUBSTITUTE(SUBSTITUTE(SUBSTITUTE(SUBSTITUTE(SUBSTITUTE(SUBSTITUTE(SUBSTITUTE(SUBSTITUTE(SUBSTITUTE(SUBSTITUTE(LOWER(TRIM(D501)),"á","a"),"é","e"),"í","i"),"ó","o"),"ú","u"),"ü","u"),"ñ","n"),"à","a"),"è","e"),"ì","i"),"ò","o"),"ù","u"))</f>
        <v/>
      </c>
      <c r="N501" s="25">
        <f>IF(F501="","",SUBSTITUTE(SUBSTITUTE(SUBSTITUTE(SUBSTITUTE(SUBSTITUTE(SUBSTITUTE(SUBSTITUTE(SUBSTITUTE(SUBSTITUTE(SUBSTITUTE(SUBSTITUTE(SUBSTITUTE(LOWER(TRIM(F501)),"á","a"),"é","e"),"í","i"),"ó","o"),"ú","u"),"ü","u"),"ñ","n"),"à","a"),"è","e"),"ì","i"),"ò","o"),"ù","u"))</f>
        <v/>
      </c>
      <c r="O501" s="25">
        <f>IF(M501="confiable",2,IF(M501="dudosa",1,IF(M501="no confiable",0,"")))</f>
        <v/>
      </c>
      <c r="P501" s="25">
        <f>IF(N501="confiable",2,IF(N501="dudosa",1,IF(N501="no confiable",0,"")))</f>
        <v/>
      </c>
      <c r="Q501" s="25">
        <f>IF(AND(ISNUMBER(O501),ISNUMBER(P501)),1,"")</f>
        <v/>
      </c>
      <c r="R501" s="25">
        <f>IF(Q501=1,IF(O501=P501,"Sí","No"),"")</f>
        <v/>
      </c>
      <c r="S501" s="25">
        <f>IF(Q501=1,IF(P501&lt;O501,"Más estricto",IF(P501&gt;O501,"Más permisivo","Igual")),"")</f>
        <v/>
      </c>
      <c r="T501" s="25">
        <f>IF(Q501=1,IF(ABS(O501-P501)=2,1,0),"")</f>
        <v/>
      </c>
      <c r="U501" s="25">
        <f>IF(H501="","","|"&amp;SUBSTITUTE(SUBSTITUTE(TRIM(H501)," |","|"),"| ","|")&amp;"|")</f>
        <v/>
      </c>
      <c r="V501" s="25">
        <f>IF(AND(Q501=1,B501&lt;&gt;""),IF(IFERROR(COUNTIFS(B$3:B501,"="&amp;SUBSTITUTE(SUBSTITUTE(SUBSTITUTE(B501,"~","~~"),"*","~*"),"?","~?"),Q$3:Q501,1),0)=1,MAX(V$2:V500)+1,""),"")</f>
        <v/>
      </c>
      <c r="W501" s="25">
        <f>IF(V501="","",COUNTIFS($B$3:$B$1002,"="&amp;SUBSTITUTE(SUBSTITUTE(SUBSTITUTE(B501,"~","~~"),"*","~*"),"?","~?"),$Q$3:$Q$1002,1)*10000-V501)</f>
        <v/>
      </c>
      <c r="X501" s="25">
        <f>IF(Q501=1,IF(SUBSTITUTE(SUBSTITUTE(SUBSTITUTE(SUBSTITUTE(SUBSTITUTE(SUBSTITUTE(SUBSTITUTE(SUBSTITUTE(SUBSTITUTE(SUBSTITUTE(SUBSTITUTE(SUBSTITUTE(LOWER(TRIM(A501)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501)),"á","a"),"é","e"),"í","i"),"ó","o"),"ú","u"),"ü","u"),"ñ","n"),"à","a"),"è","e"),"ì","i"),"ò","o"),"ù","u")),"")</f>
        <v/>
      </c>
      <c r="Y501" s="25">
        <f>IF(X501="","",IF(IFERROR(COUNTIF(X$3:X501,"="&amp;SUBSTITUTE(SUBSTITUTE(SUBSTITUTE(X501,"~","~~"),"*","~*"),"?","~?")),0)=1,1,""))</f>
        <v/>
      </c>
      <c r="Z501" s="25">
        <f>IF(T501=1,MAX(Z$2:Z500)+1,"")</f>
        <v/>
      </c>
    </row>
    <row r="502">
      <c r="A502">
        <f>IF(A$2=0,"",IFERROR(TRIM(INDEX('Pegar calibracion'!$A$1:$BZ$1001,501,A$2)&amp;""),""))</f>
        <v/>
      </c>
      <c r="B502">
        <f>IF(B$2=0,"",IFERROR(TRIM(INDEX('Pegar calibracion'!$A$1:$BZ$1001,501,B$2)&amp;""),""))</f>
        <v/>
      </c>
      <c r="C502">
        <f>IF(C$2=0,"",IFERROR(TRIM(INDEX('Pegar calibracion'!$A$1:$BZ$1001,501,C$2)&amp;""),""))</f>
        <v/>
      </c>
      <c r="D502">
        <f>IF(D$2=0,"",IFERROR(TRIM(INDEX('Pegar calibracion'!$A$1:$BZ$1001,501,D$2)&amp;""),""))</f>
        <v/>
      </c>
      <c r="E502">
        <f>IF(E$2=0,"",IFERROR(TRIM(INDEX('Pegar calibracion'!$A$1:$BZ$1001,501,E$2)&amp;""),""))</f>
        <v/>
      </c>
      <c r="F502">
        <f>IF(F$2=0,"",IFERROR(TRIM(INDEX('Pegar calibracion'!$A$1:$BZ$1001,501,F$2)&amp;""),""))</f>
        <v/>
      </c>
      <c r="G502">
        <f>IF(G$2=0,"",IFERROR(TRIM(INDEX('Pegar calibracion'!$A$1:$BZ$1001,501,G$2)&amp;""),""))</f>
        <v/>
      </c>
      <c r="H502">
        <f>IF(H$2=0,"",IFERROR(TRIM(INDEX('Pegar calibracion'!$A$1:$BZ$1001,501,H$2)&amp;""),""))</f>
        <v/>
      </c>
      <c r="I502">
        <f>IF(I$2=0,"",IFERROR(TRIM(INDEX('Pegar calibracion'!$A$1:$BZ$1001,501,I$2)&amp;""),""))</f>
        <v/>
      </c>
      <c r="J502">
        <f>IF(J$2=0,"",IFERROR(TRIM(INDEX('Pegar calibracion'!$A$1:$BZ$1001,501,J$2)&amp;""),""))</f>
        <v/>
      </c>
      <c r="K502">
        <f>IF(K$2=0,"",IFERROR(TRIM(INDEX('Pegar calibracion'!$A$1:$BZ$1001,501,K$2)&amp;""),""))</f>
        <v/>
      </c>
      <c r="L502">
        <f>IF(L$2=0,"",IFERROR(TRIM(INDEX('Pegar calibracion'!$A$1:$BZ$1001,501,L$2)&amp;""),""))</f>
        <v/>
      </c>
      <c r="M502" s="25">
        <f>IF(D502="","",SUBSTITUTE(SUBSTITUTE(SUBSTITUTE(SUBSTITUTE(SUBSTITUTE(SUBSTITUTE(SUBSTITUTE(SUBSTITUTE(SUBSTITUTE(SUBSTITUTE(SUBSTITUTE(SUBSTITUTE(LOWER(TRIM(D502)),"á","a"),"é","e"),"í","i"),"ó","o"),"ú","u"),"ü","u"),"ñ","n"),"à","a"),"è","e"),"ì","i"),"ò","o"),"ù","u"))</f>
        <v/>
      </c>
      <c r="N502" s="25">
        <f>IF(F502="","",SUBSTITUTE(SUBSTITUTE(SUBSTITUTE(SUBSTITUTE(SUBSTITUTE(SUBSTITUTE(SUBSTITUTE(SUBSTITUTE(SUBSTITUTE(SUBSTITUTE(SUBSTITUTE(SUBSTITUTE(LOWER(TRIM(F502)),"á","a"),"é","e"),"í","i"),"ó","o"),"ú","u"),"ü","u"),"ñ","n"),"à","a"),"è","e"),"ì","i"),"ò","o"),"ù","u"))</f>
        <v/>
      </c>
      <c r="O502" s="25">
        <f>IF(M502="confiable",2,IF(M502="dudosa",1,IF(M502="no confiable",0,"")))</f>
        <v/>
      </c>
      <c r="P502" s="25">
        <f>IF(N502="confiable",2,IF(N502="dudosa",1,IF(N502="no confiable",0,"")))</f>
        <v/>
      </c>
      <c r="Q502" s="25">
        <f>IF(AND(ISNUMBER(O502),ISNUMBER(P502)),1,"")</f>
        <v/>
      </c>
      <c r="R502" s="25">
        <f>IF(Q502=1,IF(O502=P502,"Sí","No"),"")</f>
        <v/>
      </c>
      <c r="S502" s="25">
        <f>IF(Q502=1,IF(P502&lt;O502,"Más estricto",IF(P502&gt;O502,"Más permisivo","Igual")),"")</f>
        <v/>
      </c>
      <c r="T502" s="25">
        <f>IF(Q502=1,IF(ABS(O502-P502)=2,1,0),"")</f>
        <v/>
      </c>
      <c r="U502" s="25">
        <f>IF(H502="","","|"&amp;SUBSTITUTE(SUBSTITUTE(TRIM(H502)," |","|"),"| ","|")&amp;"|")</f>
        <v/>
      </c>
      <c r="V502" s="25">
        <f>IF(AND(Q502=1,B502&lt;&gt;""),IF(IFERROR(COUNTIFS(B$3:B502,"="&amp;SUBSTITUTE(SUBSTITUTE(SUBSTITUTE(B502,"~","~~"),"*","~*"),"?","~?"),Q$3:Q502,1),0)=1,MAX(V$2:V501)+1,""),"")</f>
        <v/>
      </c>
      <c r="W502" s="25">
        <f>IF(V502="","",COUNTIFS($B$3:$B$1002,"="&amp;SUBSTITUTE(SUBSTITUTE(SUBSTITUTE(B502,"~","~~"),"*","~*"),"?","~?"),$Q$3:$Q$1002,1)*10000-V502)</f>
        <v/>
      </c>
      <c r="X502" s="25">
        <f>IF(Q502=1,IF(SUBSTITUTE(SUBSTITUTE(SUBSTITUTE(SUBSTITUTE(SUBSTITUTE(SUBSTITUTE(SUBSTITUTE(SUBSTITUTE(SUBSTITUTE(SUBSTITUTE(SUBSTITUTE(SUBSTITUTE(LOWER(TRIM(A502)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502)),"á","a"),"é","e"),"í","i"),"ó","o"),"ú","u"),"ü","u"),"ñ","n"),"à","a"),"è","e"),"ì","i"),"ò","o"),"ù","u")),"")</f>
        <v/>
      </c>
      <c r="Y502" s="25">
        <f>IF(X502="","",IF(IFERROR(COUNTIF(X$3:X502,"="&amp;SUBSTITUTE(SUBSTITUTE(SUBSTITUTE(X502,"~","~~"),"*","~*"),"?","~?")),0)=1,1,""))</f>
        <v/>
      </c>
      <c r="Z502" s="25">
        <f>IF(T502=1,MAX(Z$2:Z501)+1,"")</f>
        <v/>
      </c>
    </row>
    <row r="503">
      <c r="A503">
        <f>IF(A$2=0,"",IFERROR(TRIM(INDEX('Pegar calibracion'!$A$1:$BZ$1001,502,A$2)&amp;""),""))</f>
        <v/>
      </c>
      <c r="B503">
        <f>IF(B$2=0,"",IFERROR(TRIM(INDEX('Pegar calibracion'!$A$1:$BZ$1001,502,B$2)&amp;""),""))</f>
        <v/>
      </c>
      <c r="C503">
        <f>IF(C$2=0,"",IFERROR(TRIM(INDEX('Pegar calibracion'!$A$1:$BZ$1001,502,C$2)&amp;""),""))</f>
        <v/>
      </c>
      <c r="D503">
        <f>IF(D$2=0,"",IFERROR(TRIM(INDEX('Pegar calibracion'!$A$1:$BZ$1001,502,D$2)&amp;""),""))</f>
        <v/>
      </c>
      <c r="E503">
        <f>IF(E$2=0,"",IFERROR(TRIM(INDEX('Pegar calibracion'!$A$1:$BZ$1001,502,E$2)&amp;""),""))</f>
        <v/>
      </c>
      <c r="F503">
        <f>IF(F$2=0,"",IFERROR(TRIM(INDEX('Pegar calibracion'!$A$1:$BZ$1001,502,F$2)&amp;""),""))</f>
        <v/>
      </c>
      <c r="G503">
        <f>IF(G$2=0,"",IFERROR(TRIM(INDEX('Pegar calibracion'!$A$1:$BZ$1001,502,G$2)&amp;""),""))</f>
        <v/>
      </c>
      <c r="H503">
        <f>IF(H$2=0,"",IFERROR(TRIM(INDEX('Pegar calibracion'!$A$1:$BZ$1001,502,H$2)&amp;""),""))</f>
        <v/>
      </c>
      <c r="I503">
        <f>IF(I$2=0,"",IFERROR(TRIM(INDEX('Pegar calibracion'!$A$1:$BZ$1001,502,I$2)&amp;""),""))</f>
        <v/>
      </c>
      <c r="J503">
        <f>IF(J$2=0,"",IFERROR(TRIM(INDEX('Pegar calibracion'!$A$1:$BZ$1001,502,J$2)&amp;""),""))</f>
        <v/>
      </c>
      <c r="K503">
        <f>IF(K$2=0,"",IFERROR(TRIM(INDEX('Pegar calibracion'!$A$1:$BZ$1001,502,K$2)&amp;""),""))</f>
        <v/>
      </c>
      <c r="L503">
        <f>IF(L$2=0,"",IFERROR(TRIM(INDEX('Pegar calibracion'!$A$1:$BZ$1001,502,L$2)&amp;""),""))</f>
        <v/>
      </c>
      <c r="M503" s="25">
        <f>IF(D503="","",SUBSTITUTE(SUBSTITUTE(SUBSTITUTE(SUBSTITUTE(SUBSTITUTE(SUBSTITUTE(SUBSTITUTE(SUBSTITUTE(SUBSTITUTE(SUBSTITUTE(SUBSTITUTE(SUBSTITUTE(LOWER(TRIM(D503)),"á","a"),"é","e"),"í","i"),"ó","o"),"ú","u"),"ü","u"),"ñ","n"),"à","a"),"è","e"),"ì","i"),"ò","o"),"ù","u"))</f>
        <v/>
      </c>
      <c r="N503" s="25">
        <f>IF(F503="","",SUBSTITUTE(SUBSTITUTE(SUBSTITUTE(SUBSTITUTE(SUBSTITUTE(SUBSTITUTE(SUBSTITUTE(SUBSTITUTE(SUBSTITUTE(SUBSTITUTE(SUBSTITUTE(SUBSTITUTE(LOWER(TRIM(F503)),"á","a"),"é","e"),"í","i"),"ó","o"),"ú","u"),"ü","u"),"ñ","n"),"à","a"),"è","e"),"ì","i"),"ò","o"),"ù","u"))</f>
        <v/>
      </c>
      <c r="O503" s="25">
        <f>IF(M503="confiable",2,IF(M503="dudosa",1,IF(M503="no confiable",0,"")))</f>
        <v/>
      </c>
      <c r="P503" s="25">
        <f>IF(N503="confiable",2,IF(N503="dudosa",1,IF(N503="no confiable",0,"")))</f>
        <v/>
      </c>
      <c r="Q503" s="25">
        <f>IF(AND(ISNUMBER(O503),ISNUMBER(P503)),1,"")</f>
        <v/>
      </c>
      <c r="R503" s="25">
        <f>IF(Q503=1,IF(O503=P503,"Sí","No"),"")</f>
        <v/>
      </c>
      <c r="S503" s="25">
        <f>IF(Q503=1,IF(P503&lt;O503,"Más estricto",IF(P503&gt;O503,"Más permisivo","Igual")),"")</f>
        <v/>
      </c>
      <c r="T503" s="25">
        <f>IF(Q503=1,IF(ABS(O503-P503)=2,1,0),"")</f>
        <v/>
      </c>
      <c r="U503" s="25">
        <f>IF(H503="","","|"&amp;SUBSTITUTE(SUBSTITUTE(TRIM(H503)," |","|"),"| ","|")&amp;"|")</f>
        <v/>
      </c>
      <c r="V503" s="25">
        <f>IF(AND(Q503=1,B503&lt;&gt;""),IF(IFERROR(COUNTIFS(B$3:B503,"="&amp;SUBSTITUTE(SUBSTITUTE(SUBSTITUTE(B503,"~","~~"),"*","~*"),"?","~?"),Q$3:Q503,1),0)=1,MAX(V$2:V502)+1,""),"")</f>
        <v/>
      </c>
      <c r="W503" s="25">
        <f>IF(V503="","",COUNTIFS($B$3:$B$1002,"="&amp;SUBSTITUTE(SUBSTITUTE(SUBSTITUTE(B503,"~","~~"),"*","~*"),"?","~?"),$Q$3:$Q$1002,1)*10000-V503)</f>
        <v/>
      </c>
      <c r="X503" s="25">
        <f>IF(Q503=1,IF(SUBSTITUTE(SUBSTITUTE(SUBSTITUTE(SUBSTITUTE(SUBSTITUTE(SUBSTITUTE(SUBSTITUTE(SUBSTITUTE(SUBSTITUTE(SUBSTITUTE(SUBSTITUTE(SUBSTITUTE(LOWER(TRIM(A503)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503)),"á","a"),"é","e"),"í","i"),"ó","o"),"ú","u"),"ü","u"),"ñ","n"),"à","a"),"è","e"),"ì","i"),"ò","o"),"ù","u")),"")</f>
        <v/>
      </c>
      <c r="Y503" s="25">
        <f>IF(X503="","",IF(IFERROR(COUNTIF(X$3:X503,"="&amp;SUBSTITUTE(SUBSTITUTE(SUBSTITUTE(X503,"~","~~"),"*","~*"),"?","~?")),0)=1,1,""))</f>
        <v/>
      </c>
      <c r="Z503" s="25">
        <f>IF(T503=1,MAX(Z$2:Z502)+1,"")</f>
        <v/>
      </c>
    </row>
    <row r="504">
      <c r="A504">
        <f>IF(A$2=0,"",IFERROR(TRIM(INDEX('Pegar calibracion'!$A$1:$BZ$1001,503,A$2)&amp;""),""))</f>
        <v/>
      </c>
      <c r="B504">
        <f>IF(B$2=0,"",IFERROR(TRIM(INDEX('Pegar calibracion'!$A$1:$BZ$1001,503,B$2)&amp;""),""))</f>
        <v/>
      </c>
      <c r="C504">
        <f>IF(C$2=0,"",IFERROR(TRIM(INDEX('Pegar calibracion'!$A$1:$BZ$1001,503,C$2)&amp;""),""))</f>
        <v/>
      </c>
      <c r="D504">
        <f>IF(D$2=0,"",IFERROR(TRIM(INDEX('Pegar calibracion'!$A$1:$BZ$1001,503,D$2)&amp;""),""))</f>
        <v/>
      </c>
      <c r="E504">
        <f>IF(E$2=0,"",IFERROR(TRIM(INDEX('Pegar calibracion'!$A$1:$BZ$1001,503,E$2)&amp;""),""))</f>
        <v/>
      </c>
      <c r="F504">
        <f>IF(F$2=0,"",IFERROR(TRIM(INDEX('Pegar calibracion'!$A$1:$BZ$1001,503,F$2)&amp;""),""))</f>
        <v/>
      </c>
      <c r="G504">
        <f>IF(G$2=0,"",IFERROR(TRIM(INDEX('Pegar calibracion'!$A$1:$BZ$1001,503,G$2)&amp;""),""))</f>
        <v/>
      </c>
      <c r="H504">
        <f>IF(H$2=0,"",IFERROR(TRIM(INDEX('Pegar calibracion'!$A$1:$BZ$1001,503,H$2)&amp;""),""))</f>
        <v/>
      </c>
      <c r="I504">
        <f>IF(I$2=0,"",IFERROR(TRIM(INDEX('Pegar calibracion'!$A$1:$BZ$1001,503,I$2)&amp;""),""))</f>
        <v/>
      </c>
      <c r="J504">
        <f>IF(J$2=0,"",IFERROR(TRIM(INDEX('Pegar calibracion'!$A$1:$BZ$1001,503,J$2)&amp;""),""))</f>
        <v/>
      </c>
      <c r="K504">
        <f>IF(K$2=0,"",IFERROR(TRIM(INDEX('Pegar calibracion'!$A$1:$BZ$1001,503,K$2)&amp;""),""))</f>
        <v/>
      </c>
      <c r="L504">
        <f>IF(L$2=0,"",IFERROR(TRIM(INDEX('Pegar calibracion'!$A$1:$BZ$1001,503,L$2)&amp;""),""))</f>
        <v/>
      </c>
      <c r="M504" s="25">
        <f>IF(D504="","",SUBSTITUTE(SUBSTITUTE(SUBSTITUTE(SUBSTITUTE(SUBSTITUTE(SUBSTITUTE(SUBSTITUTE(SUBSTITUTE(SUBSTITUTE(SUBSTITUTE(SUBSTITUTE(SUBSTITUTE(LOWER(TRIM(D504)),"á","a"),"é","e"),"í","i"),"ó","o"),"ú","u"),"ü","u"),"ñ","n"),"à","a"),"è","e"),"ì","i"),"ò","o"),"ù","u"))</f>
        <v/>
      </c>
      <c r="N504" s="25">
        <f>IF(F504="","",SUBSTITUTE(SUBSTITUTE(SUBSTITUTE(SUBSTITUTE(SUBSTITUTE(SUBSTITUTE(SUBSTITUTE(SUBSTITUTE(SUBSTITUTE(SUBSTITUTE(SUBSTITUTE(SUBSTITUTE(LOWER(TRIM(F504)),"á","a"),"é","e"),"í","i"),"ó","o"),"ú","u"),"ü","u"),"ñ","n"),"à","a"),"è","e"),"ì","i"),"ò","o"),"ù","u"))</f>
        <v/>
      </c>
      <c r="O504" s="25">
        <f>IF(M504="confiable",2,IF(M504="dudosa",1,IF(M504="no confiable",0,"")))</f>
        <v/>
      </c>
      <c r="P504" s="25">
        <f>IF(N504="confiable",2,IF(N504="dudosa",1,IF(N504="no confiable",0,"")))</f>
        <v/>
      </c>
      <c r="Q504" s="25">
        <f>IF(AND(ISNUMBER(O504),ISNUMBER(P504)),1,"")</f>
        <v/>
      </c>
      <c r="R504" s="25">
        <f>IF(Q504=1,IF(O504=P504,"Sí","No"),"")</f>
        <v/>
      </c>
      <c r="S504" s="25">
        <f>IF(Q504=1,IF(P504&lt;O504,"Más estricto",IF(P504&gt;O504,"Más permisivo","Igual")),"")</f>
        <v/>
      </c>
      <c r="T504" s="25">
        <f>IF(Q504=1,IF(ABS(O504-P504)=2,1,0),"")</f>
        <v/>
      </c>
      <c r="U504" s="25">
        <f>IF(H504="","","|"&amp;SUBSTITUTE(SUBSTITUTE(TRIM(H504)," |","|"),"| ","|")&amp;"|")</f>
        <v/>
      </c>
      <c r="V504" s="25">
        <f>IF(AND(Q504=1,B504&lt;&gt;""),IF(IFERROR(COUNTIFS(B$3:B504,"="&amp;SUBSTITUTE(SUBSTITUTE(SUBSTITUTE(B504,"~","~~"),"*","~*"),"?","~?"),Q$3:Q504,1),0)=1,MAX(V$2:V503)+1,""),"")</f>
        <v/>
      </c>
      <c r="W504" s="25">
        <f>IF(V504="","",COUNTIFS($B$3:$B$1002,"="&amp;SUBSTITUTE(SUBSTITUTE(SUBSTITUTE(B504,"~","~~"),"*","~*"),"?","~?"),$Q$3:$Q$1002,1)*10000-V504)</f>
        <v/>
      </c>
      <c r="X504" s="25">
        <f>IF(Q504=1,IF(SUBSTITUTE(SUBSTITUTE(SUBSTITUTE(SUBSTITUTE(SUBSTITUTE(SUBSTITUTE(SUBSTITUTE(SUBSTITUTE(SUBSTITUTE(SUBSTITUTE(SUBSTITUTE(SUBSTITUTE(LOWER(TRIM(A504)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504)),"á","a"),"é","e"),"í","i"),"ó","o"),"ú","u"),"ü","u"),"ñ","n"),"à","a"),"è","e"),"ì","i"),"ò","o"),"ù","u")),"")</f>
        <v/>
      </c>
      <c r="Y504" s="25">
        <f>IF(X504="","",IF(IFERROR(COUNTIF(X$3:X504,"="&amp;SUBSTITUTE(SUBSTITUTE(SUBSTITUTE(X504,"~","~~"),"*","~*"),"?","~?")),0)=1,1,""))</f>
        <v/>
      </c>
      <c r="Z504" s="25">
        <f>IF(T504=1,MAX(Z$2:Z503)+1,"")</f>
        <v/>
      </c>
    </row>
    <row r="505">
      <c r="A505">
        <f>IF(A$2=0,"",IFERROR(TRIM(INDEX('Pegar calibracion'!$A$1:$BZ$1001,504,A$2)&amp;""),""))</f>
        <v/>
      </c>
      <c r="B505">
        <f>IF(B$2=0,"",IFERROR(TRIM(INDEX('Pegar calibracion'!$A$1:$BZ$1001,504,B$2)&amp;""),""))</f>
        <v/>
      </c>
      <c r="C505">
        <f>IF(C$2=0,"",IFERROR(TRIM(INDEX('Pegar calibracion'!$A$1:$BZ$1001,504,C$2)&amp;""),""))</f>
        <v/>
      </c>
      <c r="D505">
        <f>IF(D$2=0,"",IFERROR(TRIM(INDEX('Pegar calibracion'!$A$1:$BZ$1001,504,D$2)&amp;""),""))</f>
        <v/>
      </c>
      <c r="E505">
        <f>IF(E$2=0,"",IFERROR(TRIM(INDEX('Pegar calibracion'!$A$1:$BZ$1001,504,E$2)&amp;""),""))</f>
        <v/>
      </c>
      <c r="F505">
        <f>IF(F$2=0,"",IFERROR(TRIM(INDEX('Pegar calibracion'!$A$1:$BZ$1001,504,F$2)&amp;""),""))</f>
        <v/>
      </c>
      <c r="G505">
        <f>IF(G$2=0,"",IFERROR(TRIM(INDEX('Pegar calibracion'!$A$1:$BZ$1001,504,G$2)&amp;""),""))</f>
        <v/>
      </c>
      <c r="H505">
        <f>IF(H$2=0,"",IFERROR(TRIM(INDEX('Pegar calibracion'!$A$1:$BZ$1001,504,H$2)&amp;""),""))</f>
        <v/>
      </c>
      <c r="I505">
        <f>IF(I$2=0,"",IFERROR(TRIM(INDEX('Pegar calibracion'!$A$1:$BZ$1001,504,I$2)&amp;""),""))</f>
        <v/>
      </c>
      <c r="J505">
        <f>IF(J$2=0,"",IFERROR(TRIM(INDEX('Pegar calibracion'!$A$1:$BZ$1001,504,J$2)&amp;""),""))</f>
        <v/>
      </c>
      <c r="K505">
        <f>IF(K$2=0,"",IFERROR(TRIM(INDEX('Pegar calibracion'!$A$1:$BZ$1001,504,K$2)&amp;""),""))</f>
        <v/>
      </c>
      <c r="L505">
        <f>IF(L$2=0,"",IFERROR(TRIM(INDEX('Pegar calibracion'!$A$1:$BZ$1001,504,L$2)&amp;""),""))</f>
        <v/>
      </c>
      <c r="M505" s="25">
        <f>IF(D505="","",SUBSTITUTE(SUBSTITUTE(SUBSTITUTE(SUBSTITUTE(SUBSTITUTE(SUBSTITUTE(SUBSTITUTE(SUBSTITUTE(SUBSTITUTE(SUBSTITUTE(SUBSTITUTE(SUBSTITUTE(LOWER(TRIM(D505)),"á","a"),"é","e"),"í","i"),"ó","o"),"ú","u"),"ü","u"),"ñ","n"),"à","a"),"è","e"),"ì","i"),"ò","o"),"ù","u"))</f>
        <v/>
      </c>
      <c r="N505" s="25">
        <f>IF(F505="","",SUBSTITUTE(SUBSTITUTE(SUBSTITUTE(SUBSTITUTE(SUBSTITUTE(SUBSTITUTE(SUBSTITUTE(SUBSTITUTE(SUBSTITUTE(SUBSTITUTE(SUBSTITUTE(SUBSTITUTE(LOWER(TRIM(F505)),"á","a"),"é","e"),"í","i"),"ó","o"),"ú","u"),"ü","u"),"ñ","n"),"à","a"),"è","e"),"ì","i"),"ò","o"),"ù","u"))</f>
        <v/>
      </c>
      <c r="O505" s="25">
        <f>IF(M505="confiable",2,IF(M505="dudosa",1,IF(M505="no confiable",0,"")))</f>
        <v/>
      </c>
      <c r="P505" s="25">
        <f>IF(N505="confiable",2,IF(N505="dudosa",1,IF(N505="no confiable",0,"")))</f>
        <v/>
      </c>
      <c r="Q505" s="25">
        <f>IF(AND(ISNUMBER(O505),ISNUMBER(P505)),1,"")</f>
        <v/>
      </c>
      <c r="R505" s="25">
        <f>IF(Q505=1,IF(O505=P505,"Sí","No"),"")</f>
        <v/>
      </c>
      <c r="S505" s="25">
        <f>IF(Q505=1,IF(P505&lt;O505,"Más estricto",IF(P505&gt;O505,"Más permisivo","Igual")),"")</f>
        <v/>
      </c>
      <c r="T505" s="25">
        <f>IF(Q505=1,IF(ABS(O505-P505)=2,1,0),"")</f>
        <v/>
      </c>
      <c r="U505" s="25">
        <f>IF(H505="","","|"&amp;SUBSTITUTE(SUBSTITUTE(TRIM(H505)," |","|"),"| ","|")&amp;"|")</f>
        <v/>
      </c>
      <c r="V505" s="25">
        <f>IF(AND(Q505=1,B505&lt;&gt;""),IF(IFERROR(COUNTIFS(B$3:B505,"="&amp;SUBSTITUTE(SUBSTITUTE(SUBSTITUTE(B505,"~","~~"),"*","~*"),"?","~?"),Q$3:Q505,1),0)=1,MAX(V$2:V504)+1,""),"")</f>
        <v/>
      </c>
      <c r="W505" s="25">
        <f>IF(V505="","",COUNTIFS($B$3:$B$1002,"="&amp;SUBSTITUTE(SUBSTITUTE(SUBSTITUTE(B505,"~","~~"),"*","~*"),"?","~?"),$Q$3:$Q$1002,1)*10000-V505)</f>
        <v/>
      </c>
      <c r="X505" s="25">
        <f>IF(Q505=1,IF(SUBSTITUTE(SUBSTITUTE(SUBSTITUTE(SUBSTITUTE(SUBSTITUTE(SUBSTITUTE(SUBSTITUTE(SUBSTITUTE(SUBSTITUTE(SUBSTITUTE(SUBSTITUTE(SUBSTITUTE(LOWER(TRIM(A505)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505)),"á","a"),"é","e"),"í","i"),"ó","o"),"ú","u"),"ü","u"),"ñ","n"),"à","a"),"è","e"),"ì","i"),"ò","o"),"ù","u")),"")</f>
        <v/>
      </c>
      <c r="Y505" s="25">
        <f>IF(X505="","",IF(IFERROR(COUNTIF(X$3:X505,"="&amp;SUBSTITUTE(SUBSTITUTE(SUBSTITUTE(X505,"~","~~"),"*","~*"),"?","~?")),0)=1,1,""))</f>
        <v/>
      </c>
      <c r="Z505" s="25">
        <f>IF(T505=1,MAX(Z$2:Z504)+1,"")</f>
        <v/>
      </c>
    </row>
    <row r="506">
      <c r="A506">
        <f>IF(A$2=0,"",IFERROR(TRIM(INDEX('Pegar calibracion'!$A$1:$BZ$1001,505,A$2)&amp;""),""))</f>
        <v/>
      </c>
      <c r="B506">
        <f>IF(B$2=0,"",IFERROR(TRIM(INDEX('Pegar calibracion'!$A$1:$BZ$1001,505,B$2)&amp;""),""))</f>
        <v/>
      </c>
      <c r="C506">
        <f>IF(C$2=0,"",IFERROR(TRIM(INDEX('Pegar calibracion'!$A$1:$BZ$1001,505,C$2)&amp;""),""))</f>
        <v/>
      </c>
      <c r="D506">
        <f>IF(D$2=0,"",IFERROR(TRIM(INDEX('Pegar calibracion'!$A$1:$BZ$1001,505,D$2)&amp;""),""))</f>
        <v/>
      </c>
      <c r="E506">
        <f>IF(E$2=0,"",IFERROR(TRIM(INDEX('Pegar calibracion'!$A$1:$BZ$1001,505,E$2)&amp;""),""))</f>
        <v/>
      </c>
      <c r="F506">
        <f>IF(F$2=0,"",IFERROR(TRIM(INDEX('Pegar calibracion'!$A$1:$BZ$1001,505,F$2)&amp;""),""))</f>
        <v/>
      </c>
      <c r="G506">
        <f>IF(G$2=0,"",IFERROR(TRIM(INDEX('Pegar calibracion'!$A$1:$BZ$1001,505,G$2)&amp;""),""))</f>
        <v/>
      </c>
      <c r="H506">
        <f>IF(H$2=0,"",IFERROR(TRIM(INDEX('Pegar calibracion'!$A$1:$BZ$1001,505,H$2)&amp;""),""))</f>
        <v/>
      </c>
      <c r="I506">
        <f>IF(I$2=0,"",IFERROR(TRIM(INDEX('Pegar calibracion'!$A$1:$BZ$1001,505,I$2)&amp;""),""))</f>
        <v/>
      </c>
      <c r="J506">
        <f>IF(J$2=0,"",IFERROR(TRIM(INDEX('Pegar calibracion'!$A$1:$BZ$1001,505,J$2)&amp;""),""))</f>
        <v/>
      </c>
      <c r="K506">
        <f>IF(K$2=0,"",IFERROR(TRIM(INDEX('Pegar calibracion'!$A$1:$BZ$1001,505,K$2)&amp;""),""))</f>
        <v/>
      </c>
      <c r="L506">
        <f>IF(L$2=0,"",IFERROR(TRIM(INDEX('Pegar calibracion'!$A$1:$BZ$1001,505,L$2)&amp;""),""))</f>
        <v/>
      </c>
      <c r="M506" s="25">
        <f>IF(D506="","",SUBSTITUTE(SUBSTITUTE(SUBSTITUTE(SUBSTITUTE(SUBSTITUTE(SUBSTITUTE(SUBSTITUTE(SUBSTITUTE(SUBSTITUTE(SUBSTITUTE(SUBSTITUTE(SUBSTITUTE(LOWER(TRIM(D506)),"á","a"),"é","e"),"í","i"),"ó","o"),"ú","u"),"ü","u"),"ñ","n"),"à","a"),"è","e"),"ì","i"),"ò","o"),"ù","u"))</f>
        <v/>
      </c>
      <c r="N506" s="25">
        <f>IF(F506="","",SUBSTITUTE(SUBSTITUTE(SUBSTITUTE(SUBSTITUTE(SUBSTITUTE(SUBSTITUTE(SUBSTITUTE(SUBSTITUTE(SUBSTITUTE(SUBSTITUTE(SUBSTITUTE(SUBSTITUTE(LOWER(TRIM(F506)),"á","a"),"é","e"),"í","i"),"ó","o"),"ú","u"),"ü","u"),"ñ","n"),"à","a"),"è","e"),"ì","i"),"ò","o"),"ù","u"))</f>
        <v/>
      </c>
      <c r="O506" s="25">
        <f>IF(M506="confiable",2,IF(M506="dudosa",1,IF(M506="no confiable",0,"")))</f>
        <v/>
      </c>
      <c r="P506" s="25">
        <f>IF(N506="confiable",2,IF(N506="dudosa",1,IF(N506="no confiable",0,"")))</f>
        <v/>
      </c>
      <c r="Q506" s="25">
        <f>IF(AND(ISNUMBER(O506),ISNUMBER(P506)),1,"")</f>
        <v/>
      </c>
      <c r="R506" s="25">
        <f>IF(Q506=1,IF(O506=P506,"Sí","No"),"")</f>
        <v/>
      </c>
      <c r="S506" s="25">
        <f>IF(Q506=1,IF(P506&lt;O506,"Más estricto",IF(P506&gt;O506,"Más permisivo","Igual")),"")</f>
        <v/>
      </c>
      <c r="T506" s="25">
        <f>IF(Q506=1,IF(ABS(O506-P506)=2,1,0),"")</f>
        <v/>
      </c>
      <c r="U506" s="25">
        <f>IF(H506="","","|"&amp;SUBSTITUTE(SUBSTITUTE(TRIM(H506)," |","|"),"| ","|")&amp;"|")</f>
        <v/>
      </c>
      <c r="V506" s="25">
        <f>IF(AND(Q506=1,B506&lt;&gt;""),IF(IFERROR(COUNTIFS(B$3:B506,"="&amp;SUBSTITUTE(SUBSTITUTE(SUBSTITUTE(B506,"~","~~"),"*","~*"),"?","~?"),Q$3:Q506,1),0)=1,MAX(V$2:V505)+1,""),"")</f>
        <v/>
      </c>
      <c r="W506" s="25">
        <f>IF(V506="","",COUNTIFS($B$3:$B$1002,"="&amp;SUBSTITUTE(SUBSTITUTE(SUBSTITUTE(B506,"~","~~"),"*","~*"),"?","~?"),$Q$3:$Q$1002,1)*10000-V506)</f>
        <v/>
      </c>
      <c r="X506" s="25">
        <f>IF(Q506=1,IF(SUBSTITUTE(SUBSTITUTE(SUBSTITUTE(SUBSTITUTE(SUBSTITUTE(SUBSTITUTE(SUBSTITUTE(SUBSTITUTE(SUBSTITUTE(SUBSTITUTE(SUBSTITUTE(SUBSTITUTE(LOWER(TRIM(A506)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506)),"á","a"),"é","e"),"í","i"),"ó","o"),"ú","u"),"ü","u"),"ñ","n"),"à","a"),"è","e"),"ì","i"),"ò","o"),"ù","u")),"")</f>
        <v/>
      </c>
      <c r="Y506" s="25">
        <f>IF(X506="","",IF(IFERROR(COUNTIF(X$3:X506,"="&amp;SUBSTITUTE(SUBSTITUTE(SUBSTITUTE(X506,"~","~~"),"*","~*"),"?","~?")),0)=1,1,""))</f>
        <v/>
      </c>
      <c r="Z506" s="25">
        <f>IF(T506=1,MAX(Z$2:Z505)+1,"")</f>
        <v/>
      </c>
    </row>
    <row r="507">
      <c r="A507">
        <f>IF(A$2=0,"",IFERROR(TRIM(INDEX('Pegar calibracion'!$A$1:$BZ$1001,506,A$2)&amp;""),""))</f>
        <v/>
      </c>
      <c r="B507">
        <f>IF(B$2=0,"",IFERROR(TRIM(INDEX('Pegar calibracion'!$A$1:$BZ$1001,506,B$2)&amp;""),""))</f>
        <v/>
      </c>
      <c r="C507">
        <f>IF(C$2=0,"",IFERROR(TRIM(INDEX('Pegar calibracion'!$A$1:$BZ$1001,506,C$2)&amp;""),""))</f>
        <v/>
      </c>
      <c r="D507">
        <f>IF(D$2=0,"",IFERROR(TRIM(INDEX('Pegar calibracion'!$A$1:$BZ$1001,506,D$2)&amp;""),""))</f>
        <v/>
      </c>
      <c r="E507">
        <f>IF(E$2=0,"",IFERROR(TRIM(INDEX('Pegar calibracion'!$A$1:$BZ$1001,506,E$2)&amp;""),""))</f>
        <v/>
      </c>
      <c r="F507">
        <f>IF(F$2=0,"",IFERROR(TRIM(INDEX('Pegar calibracion'!$A$1:$BZ$1001,506,F$2)&amp;""),""))</f>
        <v/>
      </c>
      <c r="G507">
        <f>IF(G$2=0,"",IFERROR(TRIM(INDEX('Pegar calibracion'!$A$1:$BZ$1001,506,G$2)&amp;""),""))</f>
        <v/>
      </c>
      <c r="H507">
        <f>IF(H$2=0,"",IFERROR(TRIM(INDEX('Pegar calibracion'!$A$1:$BZ$1001,506,H$2)&amp;""),""))</f>
        <v/>
      </c>
      <c r="I507">
        <f>IF(I$2=0,"",IFERROR(TRIM(INDEX('Pegar calibracion'!$A$1:$BZ$1001,506,I$2)&amp;""),""))</f>
        <v/>
      </c>
      <c r="J507">
        <f>IF(J$2=0,"",IFERROR(TRIM(INDEX('Pegar calibracion'!$A$1:$BZ$1001,506,J$2)&amp;""),""))</f>
        <v/>
      </c>
      <c r="K507">
        <f>IF(K$2=0,"",IFERROR(TRIM(INDEX('Pegar calibracion'!$A$1:$BZ$1001,506,K$2)&amp;""),""))</f>
        <v/>
      </c>
      <c r="L507">
        <f>IF(L$2=0,"",IFERROR(TRIM(INDEX('Pegar calibracion'!$A$1:$BZ$1001,506,L$2)&amp;""),""))</f>
        <v/>
      </c>
      <c r="M507" s="25">
        <f>IF(D507="","",SUBSTITUTE(SUBSTITUTE(SUBSTITUTE(SUBSTITUTE(SUBSTITUTE(SUBSTITUTE(SUBSTITUTE(SUBSTITUTE(SUBSTITUTE(SUBSTITUTE(SUBSTITUTE(SUBSTITUTE(LOWER(TRIM(D507)),"á","a"),"é","e"),"í","i"),"ó","o"),"ú","u"),"ü","u"),"ñ","n"),"à","a"),"è","e"),"ì","i"),"ò","o"),"ù","u"))</f>
        <v/>
      </c>
      <c r="N507" s="25">
        <f>IF(F507="","",SUBSTITUTE(SUBSTITUTE(SUBSTITUTE(SUBSTITUTE(SUBSTITUTE(SUBSTITUTE(SUBSTITUTE(SUBSTITUTE(SUBSTITUTE(SUBSTITUTE(SUBSTITUTE(SUBSTITUTE(LOWER(TRIM(F507)),"á","a"),"é","e"),"í","i"),"ó","o"),"ú","u"),"ü","u"),"ñ","n"),"à","a"),"è","e"),"ì","i"),"ò","o"),"ù","u"))</f>
        <v/>
      </c>
      <c r="O507" s="25">
        <f>IF(M507="confiable",2,IF(M507="dudosa",1,IF(M507="no confiable",0,"")))</f>
        <v/>
      </c>
      <c r="P507" s="25">
        <f>IF(N507="confiable",2,IF(N507="dudosa",1,IF(N507="no confiable",0,"")))</f>
        <v/>
      </c>
      <c r="Q507" s="25">
        <f>IF(AND(ISNUMBER(O507),ISNUMBER(P507)),1,"")</f>
        <v/>
      </c>
      <c r="R507" s="25">
        <f>IF(Q507=1,IF(O507=P507,"Sí","No"),"")</f>
        <v/>
      </c>
      <c r="S507" s="25">
        <f>IF(Q507=1,IF(P507&lt;O507,"Más estricto",IF(P507&gt;O507,"Más permisivo","Igual")),"")</f>
        <v/>
      </c>
      <c r="T507" s="25">
        <f>IF(Q507=1,IF(ABS(O507-P507)=2,1,0),"")</f>
        <v/>
      </c>
      <c r="U507" s="25">
        <f>IF(H507="","","|"&amp;SUBSTITUTE(SUBSTITUTE(TRIM(H507)," |","|"),"| ","|")&amp;"|")</f>
        <v/>
      </c>
      <c r="V507" s="25">
        <f>IF(AND(Q507=1,B507&lt;&gt;""),IF(IFERROR(COUNTIFS(B$3:B507,"="&amp;SUBSTITUTE(SUBSTITUTE(SUBSTITUTE(B507,"~","~~"),"*","~*"),"?","~?"),Q$3:Q507,1),0)=1,MAX(V$2:V506)+1,""),"")</f>
        <v/>
      </c>
      <c r="W507" s="25">
        <f>IF(V507="","",COUNTIFS($B$3:$B$1002,"="&amp;SUBSTITUTE(SUBSTITUTE(SUBSTITUTE(B507,"~","~~"),"*","~*"),"?","~?"),$Q$3:$Q$1002,1)*10000-V507)</f>
        <v/>
      </c>
      <c r="X507" s="25">
        <f>IF(Q507=1,IF(SUBSTITUTE(SUBSTITUTE(SUBSTITUTE(SUBSTITUTE(SUBSTITUTE(SUBSTITUTE(SUBSTITUTE(SUBSTITUTE(SUBSTITUTE(SUBSTITUTE(SUBSTITUTE(SUBSTITUTE(LOWER(TRIM(A507)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507)),"á","a"),"é","e"),"í","i"),"ó","o"),"ú","u"),"ü","u"),"ñ","n"),"à","a"),"è","e"),"ì","i"),"ò","o"),"ù","u")),"")</f>
        <v/>
      </c>
      <c r="Y507" s="25">
        <f>IF(X507="","",IF(IFERROR(COUNTIF(X$3:X507,"="&amp;SUBSTITUTE(SUBSTITUTE(SUBSTITUTE(X507,"~","~~"),"*","~*"),"?","~?")),0)=1,1,""))</f>
        <v/>
      </c>
      <c r="Z507" s="25">
        <f>IF(T507=1,MAX(Z$2:Z506)+1,"")</f>
        <v/>
      </c>
    </row>
    <row r="508">
      <c r="A508">
        <f>IF(A$2=0,"",IFERROR(TRIM(INDEX('Pegar calibracion'!$A$1:$BZ$1001,507,A$2)&amp;""),""))</f>
        <v/>
      </c>
      <c r="B508">
        <f>IF(B$2=0,"",IFERROR(TRIM(INDEX('Pegar calibracion'!$A$1:$BZ$1001,507,B$2)&amp;""),""))</f>
        <v/>
      </c>
      <c r="C508">
        <f>IF(C$2=0,"",IFERROR(TRIM(INDEX('Pegar calibracion'!$A$1:$BZ$1001,507,C$2)&amp;""),""))</f>
        <v/>
      </c>
      <c r="D508">
        <f>IF(D$2=0,"",IFERROR(TRIM(INDEX('Pegar calibracion'!$A$1:$BZ$1001,507,D$2)&amp;""),""))</f>
        <v/>
      </c>
      <c r="E508">
        <f>IF(E$2=0,"",IFERROR(TRIM(INDEX('Pegar calibracion'!$A$1:$BZ$1001,507,E$2)&amp;""),""))</f>
        <v/>
      </c>
      <c r="F508">
        <f>IF(F$2=0,"",IFERROR(TRIM(INDEX('Pegar calibracion'!$A$1:$BZ$1001,507,F$2)&amp;""),""))</f>
        <v/>
      </c>
      <c r="G508">
        <f>IF(G$2=0,"",IFERROR(TRIM(INDEX('Pegar calibracion'!$A$1:$BZ$1001,507,G$2)&amp;""),""))</f>
        <v/>
      </c>
      <c r="H508">
        <f>IF(H$2=0,"",IFERROR(TRIM(INDEX('Pegar calibracion'!$A$1:$BZ$1001,507,H$2)&amp;""),""))</f>
        <v/>
      </c>
      <c r="I508">
        <f>IF(I$2=0,"",IFERROR(TRIM(INDEX('Pegar calibracion'!$A$1:$BZ$1001,507,I$2)&amp;""),""))</f>
        <v/>
      </c>
      <c r="J508">
        <f>IF(J$2=0,"",IFERROR(TRIM(INDEX('Pegar calibracion'!$A$1:$BZ$1001,507,J$2)&amp;""),""))</f>
        <v/>
      </c>
      <c r="K508">
        <f>IF(K$2=0,"",IFERROR(TRIM(INDEX('Pegar calibracion'!$A$1:$BZ$1001,507,K$2)&amp;""),""))</f>
        <v/>
      </c>
      <c r="L508">
        <f>IF(L$2=0,"",IFERROR(TRIM(INDEX('Pegar calibracion'!$A$1:$BZ$1001,507,L$2)&amp;""),""))</f>
        <v/>
      </c>
      <c r="M508" s="25">
        <f>IF(D508="","",SUBSTITUTE(SUBSTITUTE(SUBSTITUTE(SUBSTITUTE(SUBSTITUTE(SUBSTITUTE(SUBSTITUTE(SUBSTITUTE(SUBSTITUTE(SUBSTITUTE(SUBSTITUTE(SUBSTITUTE(LOWER(TRIM(D508)),"á","a"),"é","e"),"í","i"),"ó","o"),"ú","u"),"ü","u"),"ñ","n"),"à","a"),"è","e"),"ì","i"),"ò","o"),"ù","u"))</f>
        <v/>
      </c>
      <c r="N508" s="25">
        <f>IF(F508="","",SUBSTITUTE(SUBSTITUTE(SUBSTITUTE(SUBSTITUTE(SUBSTITUTE(SUBSTITUTE(SUBSTITUTE(SUBSTITUTE(SUBSTITUTE(SUBSTITUTE(SUBSTITUTE(SUBSTITUTE(LOWER(TRIM(F508)),"á","a"),"é","e"),"í","i"),"ó","o"),"ú","u"),"ü","u"),"ñ","n"),"à","a"),"è","e"),"ì","i"),"ò","o"),"ù","u"))</f>
        <v/>
      </c>
      <c r="O508" s="25">
        <f>IF(M508="confiable",2,IF(M508="dudosa",1,IF(M508="no confiable",0,"")))</f>
        <v/>
      </c>
      <c r="P508" s="25">
        <f>IF(N508="confiable",2,IF(N508="dudosa",1,IF(N508="no confiable",0,"")))</f>
        <v/>
      </c>
      <c r="Q508" s="25">
        <f>IF(AND(ISNUMBER(O508),ISNUMBER(P508)),1,"")</f>
        <v/>
      </c>
      <c r="R508" s="25">
        <f>IF(Q508=1,IF(O508=P508,"Sí","No"),"")</f>
        <v/>
      </c>
      <c r="S508" s="25">
        <f>IF(Q508=1,IF(P508&lt;O508,"Más estricto",IF(P508&gt;O508,"Más permisivo","Igual")),"")</f>
        <v/>
      </c>
      <c r="T508" s="25">
        <f>IF(Q508=1,IF(ABS(O508-P508)=2,1,0),"")</f>
        <v/>
      </c>
      <c r="U508" s="25">
        <f>IF(H508="","","|"&amp;SUBSTITUTE(SUBSTITUTE(TRIM(H508)," |","|"),"| ","|")&amp;"|")</f>
        <v/>
      </c>
      <c r="V508" s="25">
        <f>IF(AND(Q508=1,B508&lt;&gt;""),IF(IFERROR(COUNTIFS(B$3:B508,"="&amp;SUBSTITUTE(SUBSTITUTE(SUBSTITUTE(B508,"~","~~"),"*","~*"),"?","~?"),Q$3:Q508,1),0)=1,MAX(V$2:V507)+1,""),"")</f>
        <v/>
      </c>
      <c r="W508" s="25">
        <f>IF(V508="","",COUNTIFS($B$3:$B$1002,"="&amp;SUBSTITUTE(SUBSTITUTE(SUBSTITUTE(B508,"~","~~"),"*","~*"),"?","~?"),$Q$3:$Q$1002,1)*10000-V508)</f>
        <v/>
      </c>
      <c r="X508" s="25">
        <f>IF(Q508=1,IF(SUBSTITUTE(SUBSTITUTE(SUBSTITUTE(SUBSTITUTE(SUBSTITUTE(SUBSTITUTE(SUBSTITUTE(SUBSTITUTE(SUBSTITUTE(SUBSTITUTE(SUBSTITUTE(SUBSTITUTE(LOWER(TRIM(A508)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508)),"á","a"),"é","e"),"í","i"),"ó","o"),"ú","u"),"ü","u"),"ñ","n"),"à","a"),"è","e"),"ì","i"),"ò","o"),"ù","u")),"")</f>
        <v/>
      </c>
      <c r="Y508" s="25">
        <f>IF(X508="","",IF(IFERROR(COUNTIF(X$3:X508,"="&amp;SUBSTITUTE(SUBSTITUTE(SUBSTITUTE(X508,"~","~~"),"*","~*"),"?","~?")),0)=1,1,""))</f>
        <v/>
      </c>
      <c r="Z508" s="25">
        <f>IF(T508=1,MAX(Z$2:Z507)+1,"")</f>
        <v/>
      </c>
    </row>
    <row r="509">
      <c r="A509">
        <f>IF(A$2=0,"",IFERROR(TRIM(INDEX('Pegar calibracion'!$A$1:$BZ$1001,508,A$2)&amp;""),""))</f>
        <v/>
      </c>
      <c r="B509">
        <f>IF(B$2=0,"",IFERROR(TRIM(INDEX('Pegar calibracion'!$A$1:$BZ$1001,508,B$2)&amp;""),""))</f>
        <v/>
      </c>
      <c r="C509">
        <f>IF(C$2=0,"",IFERROR(TRIM(INDEX('Pegar calibracion'!$A$1:$BZ$1001,508,C$2)&amp;""),""))</f>
        <v/>
      </c>
      <c r="D509">
        <f>IF(D$2=0,"",IFERROR(TRIM(INDEX('Pegar calibracion'!$A$1:$BZ$1001,508,D$2)&amp;""),""))</f>
        <v/>
      </c>
      <c r="E509">
        <f>IF(E$2=0,"",IFERROR(TRIM(INDEX('Pegar calibracion'!$A$1:$BZ$1001,508,E$2)&amp;""),""))</f>
        <v/>
      </c>
      <c r="F509">
        <f>IF(F$2=0,"",IFERROR(TRIM(INDEX('Pegar calibracion'!$A$1:$BZ$1001,508,F$2)&amp;""),""))</f>
        <v/>
      </c>
      <c r="G509">
        <f>IF(G$2=0,"",IFERROR(TRIM(INDEX('Pegar calibracion'!$A$1:$BZ$1001,508,G$2)&amp;""),""))</f>
        <v/>
      </c>
      <c r="H509">
        <f>IF(H$2=0,"",IFERROR(TRIM(INDEX('Pegar calibracion'!$A$1:$BZ$1001,508,H$2)&amp;""),""))</f>
        <v/>
      </c>
      <c r="I509">
        <f>IF(I$2=0,"",IFERROR(TRIM(INDEX('Pegar calibracion'!$A$1:$BZ$1001,508,I$2)&amp;""),""))</f>
        <v/>
      </c>
      <c r="J509">
        <f>IF(J$2=0,"",IFERROR(TRIM(INDEX('Pegar calibracion'!$A$1:$BZ$1001,508,J$2)&amp;""),""))</f>
        <v/>
      </c>
      <c r="K509">
        <f>IF(K$2=0,"",IFERROR(TRIM(INDEX('Pegar calibracion'!$A$1:$BZ$1001,508,K$2)&amp;""),""))</f>
        <v/>
      </c>
      <c r="L509">
        <f>IF(L$2=0,"",IFERROR(TRIM(INDEX('Pegar calibracion'!$A$1:$BZ$1001,508,L$2)&amp;""),""))</f>
        <v/>
      </c>
      <c r="M509" s="25">
        <f>IF(D509="","",SUBSTITUTE(SUBSTITUTE(SUBSTITUTE(SUBSTITUTE(SUBSTITUTE(SUBSTITUTE(SUBSTITUTE(SUBSTITUTE(SUBSTITUTE(SUBSTITUTE(SUBSTITUTE(SUBSTITUTE(LOWER(TRIM(D509)),"á","a"),"é","e"),"í","i"),"ó","o"),"ú","u"),"ü","u"),"ñ","n"),"à","a"),"è","e"),"ì","i"),"ò","o"),"ù","u"))</f>
        <v/>
      </c>
      <c r="N509" s="25">
        <f>IF(F509="","",SUBSTITUTE(SUBSTITUTE(SUBSTITUTE(SUBSTITUTE(SUBSTITUTE(SUBSTITUTE(SUBSTITUTE(SUBSTITUTE(SUBSTITUTE(SUBSTITUTE(SUBSTITUTE(SUBSTITUTE(LOWER(TRIM(F509)),"á","a"),"é","e"),"í","i"),"ó","o"),"ú","u"),"ü","u"),"ñ","n"),"à","a"),"è","e"),"ì","i"),"ò","o"),"ù","u"))</f>
        <v/>
      </c>
      <c r="O509" s="25">
        <f>IF(M509="confiable",2,IF(M509="dudosa",1,IF(M509="no confiable",0,"")))</f>
        <v/>
      </c>
      <c r="P509" s="25">
        <f>IF(N509="confiable",2,IF(N509="dudosa",1,IF(N509="no confiable",0,"")))</f>
        <v/>
      </c>
      <c r="Q509" s="25">
        <f>IF(AND(ISNUMBER(O509),ISNUMBER(P509)),1,"")</f>
        <v/>
      </c>
      <c r="R509" s="25">
        <f>IF(Q509=1,IF(O509=P509,"Sí","No"),"")</f>
        <v/>
      </c>
      <c r="S509" s="25">
        <f>IF(Q509=1,IF(P509&lt;O509,"Más estricto",IF(P509&gt;O509,"Más permisivo","Igual")),"")</f>
        <v/>
      </c>
      <c r="T509" s="25">
        <f>IF(Q509=1,IF(ABS(O509-P509)=2,1,0),"")</f>
        <v/>
      </c>
      <c r="U509" s="25">
        <f>IF(H509="","","|"&amp;SUBSTITUTE(SUBSTITUTE(TRIM(H509)," |","|"),"| ","|")&amp;"|")</f>
        <v/>
      </c>
      <c r="V509" s="25">
        <f>IF(AND(Q509=1,B509&lt;&gt;""),IF(IFERROR(COUNTIFS(B$3:B509,"="&amp;SUBSTITUTE(SUBSTITUTE(SUBSTITUTE(B509,"~","~~"),"*","~*"),"?","~?"),Q$3:Q509,1),0)=1,MAX(V$2:V508)+1,""),"")</f>
        <v/>
      </c>
      <c r="W509" s="25">
        <f>IF(V509="","",COUNTIFS($B$3:$B$1002,"="&amp;SUBSTITUTE(SUBSTITUTE(SUBSTITUTE(B509,"~","~~"),"*","~*"),"?","~?"),$Q$3:$Q$1002,1)*10000-V509)</f>
        <v/>
      </c>
      <c r="X509" s="25">
        <f>IF(Q509=1,IF(SUBSTITUTE(SUBSTITUTE(SUBSTITUTE(SUBSTITUTE(SUBSTITUTE(SUBSTITUTE(SUBSTITUTE(SUBSTITUTE(SUBSTITUTE(SUBSTITUTE(SUBSTITUTE(SUBSTITUTE(LOWER(TRIM(A509)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509)),"á","a"),"é","e"),"í","i"),"ó","o"),"ú","u"),"ü","u"),"ñ","n"),"à","a"),"è","e"),"ì","i"),"ò","o"),"ù","u")),"")</f>
        <v/>
      </c>
      <c r="Y509" s="25">
        <f>IF(X509="","",IF(IFERROR(COUNTIF(X$3:X509,"="&amp;SUBSTITUTE(SUBSTITUTE(SUBSTITUTE(X509,"~","~~"),"*","~*"),"?","~?")),0)=1,1,""))</f>
        <v/>
      </c>
      <c r="Z509" s="25">
        <f>IF(T509=1,MAX(Z$2:Z508)+1,"")</f>
        <v/>
      </c>
    </row>
    <row r="510">
      <c r="A510">
        <f>IF(A$2=0,"",IFERROR(TRIM(INDEX('Pegar calibracion'!$A$1:$BZ$1001,509,A$2)&amp;""),""))</f>
        <v/>
      </c>
      <c r="B510">
        <f>IF(B$2=0,"",IFERROR(TRIM(INDEX('Pegar calibracion'!$A$1:$BZ$1001,509,B$2)&amp;""),""))</f>
        <v/>
      </c>
      <c r="C510">
        <f>IF(C$2=0,"",IFERROR(TRIM(INDEX('Pegar calibracion'!$A$1:$BZ$1001,509,C$2)&amp;""),""))</f>
        <v/>
      </c>
      <c r="D510">
        <f>IF(D$2=0,"",IFERROR(TRIM(INDEX('Pegar calibracion'!$A$1:$BZ$1001,509,D$2)&amp;""),""))</f>
        <v/>
      </c>
      <c r="E510">
        <f>IF(E$2=0,"",IFERROR(TRIM(INDEX('Pegar calibracion'!$A$1:$BZ$1001,509,E$2)&amp;""),""))</f>
        <v/>
      </c>
      <c r="F510">
        <f>IF(F$2=0,"",IFERROR(TRIM(INDEX('Pegar calibracion'!$A$1:$BZ$1001,509,F$2)&amp;""),""))</f>
        <v/>
      </c>
      <c r="G510">
        <f>IF(G$2=0,"",IFERROR(TRIM(INDEX('Pegar calibracion'!$A$1:$BZ$1001,509,G$2)&amp;""),""))</f>
        <v/>
      </c>
      <c r="H510">
        <f>IF(H$2=0,"",IFERROR(TRIM(INDEX('Pegar calibracion'!$A$1:$BZ$1001,509,H$2)&amp;""),""))</f>
        <v/>
      </c>
      <c r="I510">
        <f>IF(I$2=0,"",IFERROR(TRIM(INDEX('Pegar calibracion'!$A$1:$BZ$1001,509,I$2)&amp;""),""))</f>
        <v/>
      </c>
      <c r="J510">
        <f>IF(J$2=0,"",IFERROR(TRIM(INDEX('Pegar calibracion'!$A$1:$BZ$1001,509,J$2)&amp;""),""))</f>
        <v/>
      </c>
      <c r="K510">
        <f>IF(K$2=0,"",IFERROR(TRIM(INDEX('Pegar calibracion'!$A$1:$BZ$1001,509,K$2)&amp;""),""))</f>
        <v/>
      </c>
      <c r="L510">
        <f>IF(L$2=0,"",IFERROR(TRIM(INDEX('Pegar calibracion'!$A$1:$BZ$1001,509,L$2)&amp;""),""))</f>
        <v/>
      </c>
      <c r="M510" s="25">
        <f>IF(D510="","",SUBSTITUTE(SUBSTITUTE(SUBSTITUTE(SUBSTITUTE(SUBSTITUTE(SUBSTITUTE(SUBSTITUTE(SUBSTITUTE(SUBSTITUTE(SUBSTITUTE(SUBSTITUTE(SUBSTITUTE(LOWER(TRIM(D510)),"á","a"),"é","e"),"í","i"),"ó","o"),"ú","u"),"ü","u"),"ñ","n"),"à","a"),"è","e"),"ì","i"),"ò","o"),"ù","u"))</f>
        <v/>
      </c>
      <c r="N510" s="25">
        <f>IF(F510="","",SUBSTITUTE(SUBSTITUTE(SUBSTITUTE(SUBSTITUTE(SUBSTITUTE(SUBSTITUTE(SUBSTITUTE(SUBSTITUTE(SUBSTITUTE(SUBSTITUTE(SUBSTITUTE(SUBSTITUTE(LOWER(TRIM(F510)),"á","a"),"é","e"),"í","i"),"ó","o"),"ú","u"),"ü","u"),"ñ","n"),"à","a"),"è","e"),"ì","i"),"ò","o"),"ù","u"))</f>
        <v/>
      </c>
      <c r="O510" s="25">
        <f>IF(M510="confiable",2,IF(M510="dudosa",1,IF(M510="no confiable",0,"")))</f>
        <v/>
      </c>
      <c r="P510" s="25">
        <f>IF(N510="confiable",2,IF(N510="dudosa",1,IF(N510="no confiable",0,"")))</f>
        <v/>
      </c>
      <c r="Q510" s="25">
        <f>IF(AND(ISNUMBER(O510),ISNUMBER(P510)),1,"")</f>
        <v/>
      </c>
      <c r="R510" s="25">
        <f>IF(Q510=1,IF(O510=P510,"Sí","No"),"")</f>
        <v/>
      </c>
      <c r="S510" s="25">
        <f>IF(Q510=1,IF(P510&lt;O510,"Más estricto",IF(P510&gt;O510,"Más permisivo","Igual")),"")</f>
        <v/>
      </c>
      <c r="T510" s="25">
        <f>IF(Q510=1,IF(ABS(O510-P510)=2,1,0),"")</f>
        <v/>
      </c>
      <c r="U510" s="25">
        <f>IF(H510="","","|"&amp;SUBSTITUTE(SUBSTITUTE(TRIM(H510)," |","|"),"| ","|")&amp;"|")</f>
        <v/>
      </c>
      <c r="V510" s="25">
        <f>IF(AND(Q510=1,B510&lt;&gt;""),IF(IFERROR(COUNTIFS(B$3:B510,"="&amp;SUBSTITUTE(SUBSTITUTE(SUBSTITUTE(B510,"~","~~"),"*","~*"),"?","~?"),Q$3:Q510,1),0)=1,MAX(V$2:V509)+1,""),"")</f>
        <v/>
      </c>
      <c r="W510" s="25">
        <f>IF(V510="","",COUNTIFS($B$3:$B$1002,"="&amp;SUBSTITUTE(SUBSTITUTE(SUBSTITUTE(B510,"~","~~"),"*","~*"),"?","~?"),$Q$3:$Q$1002,1)*10000-V510)</f>
        <v/>
      </c>
      <c r="X510" s="25">
        <f>IF(Q510=1,IF(SUBSTITUTE(SUBSTITUTE(SUBSTITUTE(SUBSTITUTE(SUBSTITUTE(SUBSTITUTE(SUBSTITUTE(SUBSTITUTE(SUBSTITUTE(SUBSTITUTE(SUBSTITUTE(SUBSTITUTE(LOWER(TRIM(A510)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510)),"á","a"),"é","e"),"í","i"),"ó","o"),"ú","u"),"ü","u"),"ñ","n"),"à","a"),"è","e"),"ì","i"),"ò","o"),"ù","u")),"")</f>
        <v/>
      </c>
      <c r="Y510" s="25">
        <f>IF(X510="","",IF(IFERROR(COUNTIF(X$3:X510,"="&amp;SUBSTITUTE(SUBSTITUTE(SUBSTITUTE(X510,"~","~~"),"*","~*"),"?","~?")),0)=1,1,""))</f>
        <v/>
      </c>
      <c r="Z510" s="25">
        <f>IF(T510=1,MAX(Z$2:Z509)+1,"")</f>
        <v/>
      </c>
    </row>
    <row r="511">
      <c r="A511">
        <f>IF(A$2=0,"",IFERROR(TRIM(INDEX('Pegar calibracion'!$A$1:$BZ$1001,510,A$2)&amp;""),""))</f>
        <v/>
      </c>
      <c r="B511">
        <f>IF(B$2=0,"",IFERROR(TRIM(INDEX('Pegar calibracion'!$A$1:$BZ$1001,510,B$2)&amp;""),""))</f>
        <v/>
      </c>
      <c r="C511">
        <f>IF(C$2=0,"",IFERROR(TRIM(INDEX('Pegar calibracion'!$A$1:$BZ$1001,510,C$2)&amp;""),""))</f>
        <v/>
      </c>
      <c r="D511">
        <f>IF(D$2=0,"",IFERROR(TRIM(INDEX('Pegar calibracion'!$A$1:$BZ$1001,510,D$2)&amp;""),""))</f>
        <v/>
      </c>
      <c r="E511">
        <f>IF(E$2=0,"",IFERROR(TRIM(INDEX('Pegar calibracion'!$A$1:$BZ$1001,510,E$2)&amp;""),""))</f>
        <v/>
      </c>
      <c r="F511">
        <f>IF(F$2=0,"",IFERROR(TRIM(INDEX('Pegar calibracion'!$A$1:$BZ$1001,510,F$2)&amp;""),""))</f>
        <v/>
      </c>
      <c r="G511">
        <f>IF(G$2=0,"",IFERROR(TRIM(INDEX('Pegar calibracion'!$A$1:$BZ$1001,510,G$2)&amp;""),""))</f>
        <v/>
      </c>
      <c r="H511">
        <f>IF(H$2=0,"",IFERROR(TRIM(INDEX('Pegar calibracion'!$A$1:$BZ$1001,510,H$2)&amp;""),""))</f>
        <v/>
      </c>
      <c r="I511">
        <f>IF(I$2=0,"",IFERROR(TRIM(INDEX('Pegar calibracion'!$A$1:$BZ$1001,510,I$2)&amp;""),""))</f>
        <v/>
      </c>
      <c r="J511">
        <f>IF(J$2=0,"",IFERROR(TRIM(INDEX('Pegar calibracion'!$A$1:$BZ$1001,510,J$2)&amp;""),""))</f>
        <v/>
      </c>
      <c r="K511">
        <f>IF(K$2=0,"",IFERROR(TRIM(INDEX('Pegar calibracion'!$A$1:$BZ$1001,510,K$2)&amp;""),""))</f>
        <v/>
      </c>
      <c r="L511">
        <f>IF(L$2=0,"",IFERROR(TRIM(INDEX('Pegar calibracion'!$A$1:$BZ$1001,510,L$2)&amp;""),""))</f>
        <v/>
      </c>
      <c r="M511" s="25">
        <f>IF(D511="","",SUBSTITUTE(SUBSTITUTE(SUBSTITUTE(SUBSTITUTE(SUBSTITUTE(SUBSTITUTE(SUBSTITUTE(SUBSTITUTE(SUBSTITUTE(SUBSTITUTE(SUBSTITUTE(SUBSTITUTE(LOWER(TRIM(D511)),"á","a"),"é","e"),"í","i"),"ó","o"),"ú","u"),"ü","u"),"ñ","n"),"à","a"),"è","e"),"ì","i"),"ò","o"),"ù","u"))</f>
        <v/>
      </c>
      <c r="N511" s="25">
        <f>IF(F511="","",SUBSTITUTE(SUBSTITUTE(SUBSTITUTE(SUBSTITUTE(SUBSTITUTE(SUBSTITUTE(SUBSTITUTE(SUBSTITUTE(SUBSTITUTE(SUBSTITUTE(SUBSTITUTE(SUBSTITUTE(LOWER(TRIM(F511)),"á","a"),"é","e"),"í","i"),"ó","o"),"ú","u"),"ü","u"),"ñ","n"),"à","a"),"è","e"),"ì","i"),"ò","o"),"ù","u"))</f>
        <v/>
      </c>
      <c r="O511" s="25">
        <f>IF(M511="confiable",2,IF(M511="dudosa",1,IF(M511="no confiable",0,"")))</f>
        <v/>
      </c>
      <c r="P511" s="25">
        <f>IF(N511="confiable",2,IF(N511="dudosa",1,IF(N511="no confiable",0,"")))</f>
        <v/>
      </c>
      <c r="Q511" s="25">
        <f>IF(AND(ISNUMBER(O511),ISNUMBER(P511)),1,"")</f>
        <v/>
      </c>
      <c r="R511" s="25">
        <f>IF(Q511=1,IF(O511=P511,"Sí","No"),"")</f>
        <v/>
      </c>
      <c r="S511" s="25">
        <f>IF(Q511=1,IF(P511&lt;O511,"Más estricto",IF(P511&gt;O511,"Más permisivo","Igual")),"")</f>
        <v/>
      </c>
      <c r="T511" s="25">
        <f>IF(Q511=1,IF(ABS(O511-P511)=2,1,0),"")</f>
        <v/>
      </c>
      <c r="U511" s="25">
        <f>IF(H511="","","|"&amp;SUBSTITUTE(SUBSTITUTE(TRIM(H511)," |","|"),"| ","|")&amp;"|")</f>
        <v/>
      </c>
      <c r="V511" s="25">
        <f>IF(AND(Q511=1,B511&lt;&gt;""),IF(IFERROR(COUNTIFS(B$3:B511,"="&amp;SUBSTITUTE(SUBSTITUTE(SUBSTITUTE(B511,"~","~~"),"*","~*"),"?","~?"),Q$3:Q511,1),0)=1,MAX(V$2:V510)+1,""),"")</f>
        <v/>
      </c>
      <c r="W511" s="25">
        <f>IF(V511="","",COUNTIFS($B$3:$B$1002,"="&amp;SUBSTITUTE(SUBSTITUTE(SUBSTITUTE(B511,"~","~~"),"*","~*"),"?","~?"),$Q$3:$Q$1002,1)*10000-V511)</f>
        <v/>
      </c>
      <c r="X511" s="25">
        <f>IF(Q511=1,IF(SUBSTITUTE(SUBSTITUTE(SUBSTITUTE(SUBSTITUTE(SUBSTITUTE(SUBSTITUTE(SUBSTITUTE(SUBSTITUTE(SUBSTITUTE(SUBSTITUTE(SUBSTITUTE(SUBSTITUTE(LOWER(TRIM(A511)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511)),"á","a"),"é","e"),"í","i"),"ó","o"),"ú","u"),"ü","u"),"ñ","n"),"à","a"),"è","e"),"ì","i"),"ò","o"),"ù","u")),"")</f>
        <v/>
      </c>
      <c r="Y511" s="25">
        <f>IF(X511="","",IF(IFERROR(COUNTIF(X$3:X511,"="&amp;SUBSTITUTE(SUBSTITUTE(SUBSTITUTE(X511,"~","~~"),"*","~*"),"?","~?")),0)=1,1,""))</f>
        <v/>
      </c>
      <c r="Z511" s="25">
        <f>IF(T511=1,MAX(Z$2:Z510)+1,"")</f>
        <v/>
      </c>
    </row>
    <row r="512">
      <c r="A512">
        <f>IF(A$2=0,"",IFERROR(TRIM(INDEX('Pegar calibracion'!$A$1:$BZ$1001,511,A$2)&amp;""),""))</f>
        <v/>
      </c>
      <c r="B512">
        <f>IF(B$2=0,"",IFERROR(TRIM(INDEX('Pegar calibracion'!$A$1:$BZ$1001,511,B$2)&amp;""),""))</f>
        <v/>
      </c>
      <c r="C512">
        <f>IF(C$2=0,"",IFERROR(TRIM(INDEX('Pegar calibracion'!$A$1:$BZ$1001,511,C$2)&amp;""),""))</f>
        <v/>
      </c>
      <c r="D512">
        <f>IF(D$2=0,"",IFERROR(TRIM(INDEX('Pegar calibracion'!$A$1:$BZ$1001,511,D$2)&amp;""),""))</f>
        <v/>
      </c>
      <c r="E512">
        <f>IF(E$2=0,"",IFERROR(TRIM(INDEX('Pegar calibracion'!$A$1:$BZ$1001,511,E$2)&amp;""),""))</f>
        <v/>
      </c>
      <c r="F512">
        <f>IF(F$2=0,"",IFERROR(TRIM(INDEX('Pegar calibracion'!$A$1:$BZ$1001,511,F$2)&amp;""),""))</f>
        <v/>
      </c>
      <c r="G512">
        <f>IF(G$2=0,"",IFERROR(TRIM(INDEX('Pegar calibracion'!$A$1:$BZ$1001,511,G$2)&amp;""),""))</f>
        <v/>
      </c>
      <c r="H512">
        <f>IF(H$2=0,"",IFERROR(TRIM(INDEX('Pegar calibracion'!$A$1:$BZ$1001,511,H$2)&amp;""),""))</f>
        <v/>
      </c>
      <c r="I512">
        <f>IF(I$2=0,"",IFERROR(TRIM(INDEX('Pegar calibracion'!$A$1:$BZ$1001,511,I$2)&amp;""),""))</f>
        <v/>
      </c>
      <c r="J512">
        <f>IF(J$2=0,"",IFERROR(TRIM(INDEX('Pegar calibracion'!$A$1:$BZ$1001,511,J$2)&amp;""),""))</f>
        <v/>
      </c>
      <c r="K512">
        <f>IF(K$2=0,"",IFERROR(TRIM(INDEX('Pegar calibracion'!$A$1:$BZ$1001,511,K$2)&amp;""),""))</f>
        <v/>
      </c>
      <c r="L512">
        <f>IF(L$2=0,"",IFERROR(TRIM(INDEX('Pegar calibracion'!$A$1:$BZ$1001,511,L$2)&amp;""),""))</f>
        <v/>
      </c>
      <c r="M512" s="25">
        <f>IF(D512="","",SUBSTITUTE(SUBSTITUTE(SUBSTITUTE(SUBSTITUTE(SUBSTITUTE(SUBSTITUTE(SUBSTITUTE(SUBSTITUTE(SUBSTITUTE(SUBSTITUTE(SUBSTITUTE(SUBSTITUTE(LOWER(TRIM(D512)),"á","a"),"é","e"),"í","i"),"ó","o"),"ú","u"),"ü","u"),"ñ","n"),"à","a"),"è","e"),"ì","i"),"ò","o"),"ù","u"))</f>
        <v/>
      </c>
      <c r="N512" s="25">
        <f>IF(F512="","",SUBSTITUTE(SUBSTITUTE(SUBSTITUTE(SUBSTITUTE(SUBSTITUTE(SUBSTITUTE(SUBSTITUTE(SUBSTITUTE(SUBSTITUTE(SUBSTITUTE(SUBSTITUTE(SUBSTITUTE(LOWER(TRIM(F512)),"á","a"),"é","e"),"í","i"),"ó","o"),"ú","u"),"ü","u"),"ñ","n"),"à","a"),"è","e"),"ì","i"),"ò","o"),"ù","u"))</f>
        <v/>
      </c>
      <c r="O512" s="25">
        <f>IF(M512="confiable",2,IF(M512="dudosa",1,IF(M512="no confiable",0,"")))</f>
        <v/>
      </c>
      <c r="P512" s="25">
        <f>IF(N512="confiable",2,IF(N512="dudosa",1,IF(N512="no confiable",0,"")))</f>
        <v/>
      </c>
      <c r="Q512" s="25">
        <f>IF(AND(ISNUMBER(O512),ISNUMBER(P512)),1,"")</f>
        <v/>
      </c>
      <c r="R512" s="25">
        <f>IF(Q512=1,IF(O512=P512,"Sí","No"),"")</f>
        <v/>
      </c>
      <c r="S512" s="25">
        <f>IF(Q512=1,IF(P512&lt;O512,"Más estricto",IF(P512&gt;O512,"Más permisivo","Igual")),"")</f>
        <v/>
      </c>
      <c r="T512" s="25">
        <f>IF(Q512=1,IF(ABS(O512-P512)=2,1,0),"")</f>
        <v/>
      </c>
      <c r="U512" s="25">
        <f>IF(H512="","","|"&amp;SUBSTITUTE(SUBSTITUTE(TRIM(H512)," |","|"),"| ","|")&amp;"|")</f>
        <v/>
      </c>
      <c r="V512" s="25">
        <f>IF(AND(Q512=1,B512&lt;&gt;""),IF(IFERROR(COUNTIFS(B$3:B512,"="&amp;SUBSTITUTE(SUBSTITUTE(SUBSTITUTE(B512,"~","~~"),"*","~*"),"?","~?"),Q$3:Q512,1),0)=1,MAX(V$2:V511)+1,""),"")</f>
        <v/>
      </c>
      <c r="W512" s="25">
        <f>IF(V512="","",COUNTIFS($B$3:$B$1002,"="&amp;SUBSTITUTE(SUBSTITUTE(SUBSTITUTE(B512,"~","~~"),"*","~*"),"?","~?"),$Q$3:$Q$1002,1)*10000-V512)</f>
        <v/>
      </c>
      <c r="X512" s="25">
        <f>IF(Q512=1,IF(SUBSTITUTE(SUBSTITUTE(SUBSTITUTE(SUBSTITUTE(SUBSTITUTE(SUBSTITUTE(SUBSTITUTE(SUBSTITUTE(SUBSTITUTE(SUBSTITUTE(SUBSTITUTE(SUBSTITUTE(LOWER(TRIM(A512)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512)),"á","a"),"é","e"),"í","i"),"ó","o"),"ú","u"),"ü","u"),"ñ","n"),"à","a"),"è","e"),"ì","i"),"ò","o"),"ù","u")),"")</f>
        <v/>
      </c>
      <c r="Y512" s="25">
        <f>IF(X512="","",IF(IFERROR(COUNTIF(X$3:X512,"="&amp;SUBSTITUTE(SUBSTITUTE(SUBSTITUTE(X512,"~","~~"),"*","~*"),"?","~?")),0)=1,1,""))</f>
        <v/>
      </c>
      <c r="Z512" s="25">
        <f>IF(T512=1,MAX(Z$2:Z511)+1,"")</f>
        <v/>
      </c>
    </row>
    <row r="513">
      <c r="A513">
        <f>IF(A$2=0,"",IFERROR(TRIM(INDEX('Pegar calibracion'!$A$1:$BZ$1001,512,A$2)&amp;""),""))</f>
        <v/>
      </c>
      <c r="B513">
        <f>IF(B$2=0,"",IFERROR(TRIM(INDEX('Pegar calibracion'!$A$1:$BZ$1001,512,B$2)&amp;""),""))</f>
        <v/>
      </c>
      <c r="C513">
        <f>IF(C$2=0,"",IFERROR(TRIM(INDEX('Pegar calibracion'!$A$1:$BZ$1001,512,C$2)&amp;""),""))</f>
        <v/>
      </c>
      <c r="D513">
        <f>IF(D$2=0,"",IFERROR(TRIM(INDEX('Pegar calibracion'!$A$1:$BZ$1001,512,D$2)&amp;""),""))</f>
        <v/>
      </c>
      <c r="E513">
        <f>IF(E$2=0,"",IFERROR(TRIM(INDEX('Pegar calibracion'!$A$1:$BZ$1001,512,E$2)&amp;""),""))</f>
        <v/>
      </c>
      <c r="F513">
        <f>IF(F$2=0,"",IFERROR(TRIM(INDEX('Pegar calibracion'!$A$1:$BZ$1001,512,F$2)&amp;""),""))</f>
        <v/>
      </c>
      <c r="G513">
        <f>IF(G$2=0,"",IFERROR(TRIM(INDEX('Pegar calibracion'!$A$1:$BZ$1001,512,G$2)&amp;""),""))</f>
        <v/>
      </c>
      <c r="H513">
        <f>IF(H$2=0,"",IFERROR(TRIM(INDEX('Pegar calibracion'!$A$1:$BZ$1001,512,H$2)&amp;""),""))</f>
        <v/>
      </c>
      <c r="I513">
        <f>IF(I$2=0,"",IFERROR(TRIM(INDEX('Pegar calibracion'!$A$1:$BZ$1001,512,I$2)&amp;""),""))</f>
        <v/>
      </c>
      <c r="J513">
        <f>IF(J$2=0,"",IFERROR(TRIM(INDEX('Pegar calibracion'!$A$1:$BZ$1001,512,J$2)&amp;""),""))</f>
        <v/>
      </c>
      <c r="K513">
        <f>IF(K$2=0,"",IFERROR(TRIM(INDEX('Pegar calibracion'!$A$1:$BZ$1001,512,K$2)&amp;""),""))</f>
        <v/>
      </c>
      <c r="L513">
        <f>IF(L$2=0,"",IFERROR(TRIM(INDEX('Pegar calibracion'!$A$1:$BZ$1001,512,L$2)&amp;""),""))</f>
        <v/>
      </c>
      <c r="M513" s="25">
        <f>IF(D513="","",SUBSTITUTE(SUBSTITUTE(SUBSTITUTE(SUBSTITUTE(SUBSTITUTE(SUBSTITUTE(SUBSTITUTE(SUBSTITUTE(SUBSTITUTE(SUBSTITUTE(SUBSTITUTE(SUBSTITUTE(LOWER(TRIM(D513)),"á","a"),"é","e"),"í","i"),"ó","o"),"ú","u"),"ü","u"),"ñ","n"),"à","a"),"è","e"),"ì","i"),"ò","o"),"ù","u"))</f>
        <v/>
      </c>
      <c r="N513" s="25">
        <f>IF(F513="","",SUBSTITUTE(SUBSTITUTE(SUBSTITUTE(SUBSTITUTE(SUBSTITUTE(SUBSTITUTE(SUBSTITUTE(SUBSTITUTE(SUBSTITUTE(SUBSTITUTE(SUBSTITUTE(SUBSTITUTE(LOWER(TRIM(F513)),"á","a"),"é","e"),"í","i"),"ó","o"),"ú","u"),"ü","u"),"ñ","n"),"à","a"),"è","e"),"ì","i"),"ò","o"),"ù","u"))</f>
        <v/>
      </c>
      <c r="O513" s="25">
        <f>IF(M513="confiable",2,IF(M513="dudosa",1,IF(M513="no confiable",0,"")))</f>
        <v/>
      </c>
      <c r="P513" s="25">
        <f>IF(N513="confiable",2,IF(N513="dudosa",1,IF(N513="no confiable",0,"")))</f>
        <v/>
      </c>
      <c r="Q513" s="25">
        <f>IF(AND(ISNUMBER(O513),ISNUMBER(P513)),1,"")</f>
        <v/>
      </c>
      <c r="R513" s="25">
        <f>IF(Q513=1,IF(O513=P513,"Sí","No"),"")</f>
        <v/>
      </c>
      <c r="S513" s="25">
        <f>IF(Q513=1,IF(P513&lt;O513,"Más estricto",IF(P513&gt;O513,"Más permisivo","Igual")),"")</f>
        <v/>
      </c>
      <c r="T513" s="25">
        <f>IF(Q513=1,IF(ABS(O513-P513)=2,1,0),"")</f>
        <v/>
      </c>
      <c r="U513" s="25">
        <f>IF(H513="","","|"&amp;SUBSTITUTE(SUBSTITUTE(TRIM(H513)," |","|"),"| ","|")&amp;"|")</f>
        <v/>
      </c>
      <c r="V513" s="25">
        <f>IF(AND(Q513=1,B513&lt;&gt;""),IF(IFERROR(COUNTIFS(B$3:B513,"="&amp;SUBSTITUTE(SUBSTITUTE(SUBSTITUTE(B513,"~","~~"),"*","~*"),"?","~?"),Q$3:Q513,1),0)=1,MAX(V$2:V512)+1,""),"")</f>
        <v/>
      </c>
      <c r="W513" s="25">
        <f>IF(V513="","",COUNTIFS($B$3:$B$1002,"="&amp;SUBSTITUTE(SUBSTITUTE(SUBSTITUTE(B513,"~","~~"),"*","~*"),"?","~?"),$Q$3:$Q$1002,1)*10000-V513)</f>
        <v/>
      </c>
      <c r="X513" s="25">
        <f>IF(Q513=1,IF(SUBSTITUTE(SUBSTITUTE(SUBSTITUTE(SUBSTITUTE(SUBSTITUTE(SUBSTITUTE(SUBSTITUTE(SUBSTITUTE(SUBSTITUTE(SUBSTITUTE(SUBSTITUTE(SUBSTITUTE(LOWER(TRIM(A513)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513)),"á","a"),"é","e"),"í","i"),"ó","o"),"ú","u"),"ü","u"),"ñ","n"),"à","a"),"è","e"),"ì","i"),"ò","o"),"ù","u")),"")</f>
        <v/>
      </c>
      <c r="Y513" s="25">
        <f>IF(X513="","",IF(IFERROR(COUNTIF(X$3:X513,"="&amp;SUBSTITUTE(SUBSTITUTE(SUBSTITUTE(X513,"~","~~"),"*","~*"),"?","~?")),0)=1,1,""))</f>
        <v/>
      </c>
      <c r="Z513" s="25">
        <f>IF(T513=1,MAX(Z$2:Z512)+1,"")</f>
        <v/>
      </c>
    </row>
    <row r="514">
      <c r="A514">
        <f>IF(A$2=0,"",IFERROR(TRIM(INDEX('Pegar calibracion'!$A$1:$BZ$1001,513,A$2)&amp;""),""))</f>
        <v/>
      </c>
      <c r="B514">
        <f>IF(B$2=0,"",IFERROR(TRIM(INDEX('Pegar calibracion'!$A$1:$BZ$1001,513,B$2)&amp;""),""))</f>
        <v/>
      </c>
      <c r="C514">
        <f>IF(C$2=0,"",IFERROR(TRIM(INDEX('Pegar calibracion'!$A$1:$BZ$1001,513,C$2)&amp;""),""))</f>
        <v/>
      </c>
      <c r="D514">
        <f>IF(D$2=0,"",IFERROR(TRIM(INDEX('Pegar calibracion'!$A$1:$BZ$1001,513,D$2)&amp;""),""))</f>
        <v/>
      </c>
      <c r="E514">
        <f>IF(E$2=0,"",IFERROR(TRIM(INDEX('Pegar calibracion'!$A$1:$BZ$1001,513,E$2)&amp;""),""))</f>
        <v/>
      </c>
      <c r="F514">
        <f>IF(F$2=0,"",IFERROR(TRIM(INDEX('Pegar calibracion'!$A$1:$BZ$1001,513,F$2)&amp;""),""))</f>
        <v/>
      </c>
      <c r="G514">
        <f>IF(G$2=0,"",IFERROR(TRIM(INDEX('Pegar calibracion'!$A$1:$BZ$1001,513,G$2)&amp;""),""))</f>
        <v/>
      </c>
      <c r="H514">
        <f>IF(H$2=0,"",IFERROR(TRIM(INDEX('Pegar calibracion'!$A$1:$BZ$1001,513,H$2)&amp;""),""))</f>
        <v/>
      </c>
      <c r="I514">
        <f>IF(I$2=0,"",IFERROR(TRIM(INDEX('Pegar calibracion'!$A$1:$BZ$1001,513,I$2)&amp;""),""))</f>
        <v/>
      </c>
      <c r="J514">
        <f>IF(J$2=0,"",IFERROR(TRIM(INDEX('Pegar calibracion'!$A$1:$BZ$1001,513,J$2)&amp;""),""))</f>
        <v/>
      </c>
      <c r="K514">
        <f>IF(K$2=0,"",IFERROR(TRIM(INDEX('Pegar calibracion'!$A$1:$BZ$1001,513,K$2)&amp;""),""))</f>
        <v/>
      </c>
      <c r="L514">
        <f>IF(L$2=0,"",IFERROR(TRIM(INDEX('Pegar calibracion'!$A$1:$BZ$1001,513,L$2)&amp;""),""))</f>
        <v/>
      </c>
      <c r="M514" s="25">
        <f>IF(D514="","",SUBSTITUTE(SUBSTITUTE(SUBSTITUTE(SUBSTITUTE(SUBSTITUTE(SUBSTITUTE(SUBSTITUTE(SUBSTITUTE(SUBSTITUTE(SUBSTITUTE(SUBSTITUTE(SUBSTITUTE(LOWER(TRIM(D514)),"á","a"),"é","e"),"í","i"),"ó","o"),"ú","u"),"ü","u"),"ñ","n"),"à","a"),"è","e"),"ì","i"),"ò","o"),"ù","u"))</f>
        <v/>
      </c>
      <c r="N514" s="25">
        <f>IF(F514="","",SUBSTITUTE(SUBSTITUTE(SUBSTITUTE(SUBSTITUTE(SUBSTITUTE(SUBSTITUTE(SUBSTITUTE(SUBSTITUTE(SUBSTITUTE(SUBSTITUTE(SUBSTITUTE(SUBSTITUTE(LOWER(TRIM(F514)),"á","a"),"é","e"),"í","i"),"ó","o"),"ú","u"),"ü","u"),"ñ","n"),"à","a"),"è","e"),"ì","i"),"ò","o"),"ù","u"))</f>
        <v/>
      </c>
      <c r="O514" s="25">
        <f>IF(M514="confiable",2,IF(M514="dudosa",1,IF(M514="no confiable",0,"")))</f>
        <v/>
      </c>
      <c r="P514" s="25">
        <f>IF(N514="confiable",2,IF(N514="dudosa",1,IF(N514="no confiable",0,"")))</f>
        <v/>
      </c>
      <c r="Q514" s="25">
        <f>IF(AND(ISNUMBER(O514),ISNUMBER(P514)),1,"")</f>
        <v/>
      </c>
      <c r="R514" s="25">
        <f>IF(Q514=1,IF(O514=P514,"Sí","No"),"")</f>
        <v/>
      </c>
      <c r="S514" s="25">
        <f>IF(Q514=1,IF(P514&lt;O514,"Más estricto",IF(P514&gt;O514,"Más permisivo","Igual")),"")</f>
        <v/>
      </c>
      <c r="T514" s="25">
        <f>IF(Q514=1,IF(ABS(O514-P514)=2,1,0),"")</f>
        <v/>
      </c>
      <c r="U514" s="25">
        <f>IF(H514="","","|"&amp;SUBSTITUTE(SUBSTITUTE(TRIM(H514)," |","|"),"| ","|")&amp;"|")</f>
        <v/>
      </c>
      <c r="V514" s="25">
        <f>IF(AND(Q514=1,B514&lt;&gt;""),IF(IFERROR(COUNTIFS(B$3:B514,"="&amp;SUBSTITUTE(SUBSTITUTE(SUBSTITUTE(B514,"~","~~"),"*","~*"),"?","~?"),Q$3:Q514,1),0)=1,MAX(V$2:V513)+1,""),"")</f>
        <v/>
      </c>
      <c r="W514" s="25">
        <f>IF(V514="","",COUNTIFS($B$3:$B$1002,"="&amp;SUBSTITUTE(SUBSTITUTE(SUBSTITUTE(B514,"~","~~"),"*","~*"),"?","~?"),$Q$3:$Q$1002,1)*10000-V514)</f>
        <v/>
      </c>
      <c r="X514" s="25">
        <f>IF(Q514=1,IF(SUBSTITUTE(SUBSTITUTE(SUBSTITUTE(SUBSTITUTE(SUBSTITUTE(SUBSTITUTE(SUBSTITUTE(SUBSTITUTE(SUBSTITUTE(SUBSTITUTE(SUBSTITUTE(SUBSTITUTE(LOWER(TRIM(A514)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514)),"á","a"),"é","e"),"í","i"),"ó","o"),"ú","u"),"ü","u"),"ñ","n"),"à","a"),"è","e"),"ì","i"),"ò","o"),"ù","u")),"")</f>
        <v/>
      </c>
      <c r="Y514" s="25">
        <f>IF(X514="","",IF(IFERROR(COUNTIF(X$3:X514,"="&amp;SUBSTITUTE(SUBSTITUTE(SUBSTITUTE(X514,"~","~~"),"*","~*"),"?","~?")),0)=1,1,""))</f>
        <v/>
      </c>
      <c r="Z514" s="25">
        <f>IF(T514=1,MAX(Z$2:Z513)+1,"")</f>
        <v/>
      </c>
    </row>
    <row r="515">
      <c r="A515">
        <f>IF(A$2=0,"",IFERROR(TRIM(INDEX('Pegar calibracion'!$A$1:$BZ$1001,514,A$2)&amp;""),""))</f>
        <v/>
      </c>
      <c r="B515">
        <f>IF(B$2=0,"",IFERROR(TRIM(INDEX('Pegar calibracion'!$A$1:$BZ$1001,514,B$2)&amp;""),""))</f>
        <v/>
      </c>
      <c r="C515">
        <f>IF(C$2=0,"",IFERROR(TRIM(INDEX('Pegar calibracion'!$A$1:$BZ$1001,514,C$2)&amp;""),""))</f>
        <v/>
      </c>
      <c r="D515">
        <f>IF(D$2=0,"",IFERROR(TRIM(INDEX('Pegar calibracion'!$A$1:$BZ$1001,514,D$2)&amp;""),""))</f>
        <v/>
      </c>
      <c r="E515">
        <f>IF(E$2=0,"",IFERROR(TRIM(INDEX('Pegar calibracion'!$A$1:$BZ$1001,514,E$2)&amp;""),""))</f>
        <v/>
      </c>
      <c r="F515">
        <f>IF(F$2=0,"",IFERROR(TRIM(INDEX('Pegar calibracion'!$A$1:$BZ$1001,514,F$2)&amp;""),""))</f>
        <v/>
      </c>
      <c r="G515">
        <f>IF(G$2=0,"",IFERROR(TRIM(INDEX('Pegar calibracion'!$A$1:$BZ$1001,514,G$2)&amp;""),""))</f>
        <v/>
      </c>
      <c r="H515">
        <f>IF(H$2=0,"",IFERROR(TRIM(INDEX('Pegar calibracion'!$A$1:$BZ$1001,514,H$2)&amp;""),""))</f>
        <v/>
      </c>
      <c r="I515">
        <f>IF(I$2=0,"",IFERROR(TRIM(INDEX('Pegar calibracion'!$A$1:$BZ$1001,514,I$2)&amp;""),""))</f>
        <v/>
      </c>
      <c r="J515">
        <f>IF(J$2=0,"",IFERROR(TRIM(INDEX('Pegar calibracion'!$A$1:$BZ$1001,514,J$2)&amp;""),""))</f>
        <v/>
      </c>
      <c r="K515">
        <f>IF(K$2=0,"",IFERROR(TRIM(INDEX('Pegar calibracion'!$A$1:$BZ$1001,514,K$2)&amp;""),""))</f>
        <v/>
      </c>
      <c r="L515">
        <f>IF(L$2=0,"",IFERROR(TRIM(INDEX('Pegar calibracion'!$A$1:$BZ$1001,514,L$2)&amp;""),""))</f>
        <v/>
      </c>
      <c r="M515" s="25">
        <f>IF(D515="","",SUBSTITUTE(SUBSTITUTE(SUBSTITUTE(SUBSTITUTE(SUBSTITUTE(SUBSTITUTE(SUBSTITUTE(SUBSTITUTE(SUBSTITUTE(SUBSTITUTE(SUBSTITUTE(SUBSTITUTE(LOWER(TRIM(D515)),"á","a"),"é","e"),"í","i"),"ó","o"),"ú","u"),"ü","u"),"ñ","n"),"à","a"),"è","e"),"ì","i"),"ò","o"),"ù","u"))</f>
        <v/>
      </c>
      <c r="N515" s="25">
        <f>IF(F515="","",SUBSTITUTE(SUBSTITUTE(SUBSTITUTE(SUBSTITUTE(SUBSTITUTE(SUBSTITUTE(SUBSTITUTE(SUBSTITUTE(SUBSTITUTE(SUBSTITUTE(SUBSTITUTE(SUBSTITUTE(LOWER(TRIM(F515)),"á","a"),"é","e"),"í","i"),"ó","o"),"ú","u"),"ü","u"),"ñ","n"),"à","a"),"è","e"),"ì","i"),"ò","o"),"ù","u"))</f>
        <v/>
      </c>
      <c r="O515" s="25">
        <f>IF(M515="confiable",2,IF(M515="dudosa",1,IF(M515="no confiable",0,"")))</f>
        <v/>
      </c>
      <c r="P515" s="25">
        <f>IF(N515="confiable",2,IF(N515="dudosa",1,IF(N515="no confiable",0,"")))</f>
        <v/>
      </c>
      <c r="Q515" s="25">
        <f>IF(AND(ISNUMBER(O515),ISNUMBER(P515)),1,"")</f>
        <v/>
      </c>
      <c r="R515" s="25">
        <f>IF(Q515=1,IF(O515=P515,"Sí","No"),"")</f>
        <v/>
      </c>
      <c r="S515" s="25">
        <f>IF(Q515=1,IF(P515&lt;O515,"Más estricto",IF(P515&gt;O515,"Más permisivo","Igual")),"")</f>
        <v/>
      </c>
      <c r="T515" s="25">
        <f>IF(Q515=1,IF(ABS(O515-P515)=2,1,0),"")</f>
        <v/>
      </c>
      <c r="U515" s="25">
        <f>IF(H515="","","|"&amp;SUBSTITUTE(SUBSTITUTE(TRIM(H515)," |","|"),"| ","|")&amp;"|")</f>
        <v/>
      </c>
      <c r="V515" s="25">
        <f>IF(AND(Q515=1,B515&lt;&gt;""),IF(IFERROR(COUNTIFS(B$3:B515,"="&amp;SUBSTITUTE(SUBSTITUTE(SUBSTITUTE(B515,"~","~~"),"*","~*"),"?","~?"),Q$3:Q515,1),0)=1,MAX(V$2:V514)+1,""),"")</f>
        <v/>
      </c>
      <c r="W515" s="25">
        <f>IF(V515="","",COUNTIFS($B$3:$B$1002,"="&amp;SUBSTITUTE(SUBSTITUTE(SUBSTITUTE(B515,"~","~~"),"*","~*"),"?","~?"),$Q$3:$Q$1002,1)*10000-V515)</f>
        <v/>
      </c>
      <c r="X515" s="25">
        <f>IF(Q515=1,IF(SUBSTITUTE(SUBSTITUTE(SUBSTITUTE(SUBSTITUTE(SUBSTITUTE(SUBSTITUTE(SUBSTITUTE(SUBSTITUTE(SUBSTITUTE(SUBSTITUTE(SUBSTITUTE(SUBSTITUTE(LOWER(TRIM(A515)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515)),"á","a"),"é","e"),"í","i"),"ó","o"),"ú","u"),"ü","u"),"ñ","n"),"à","a"),"è","e"),"ì","i"),"ò","o"),"ù","u")),"")</f>
        <v/>
      </c>
      <c r="Y515" s="25">
        <f>IF(X515="","",IF(IFERROR(COUNTIF(X$3:X515,"="&amp;SUBSTITUTE(SUBSTITUTE(SUBSTITUTE(X515,"~","~~"),"*","~*"),"?","~?")),0)=1,1,""))</f>
        <v/>
      </c>
      <c r="Z515" s="25">
        <f>IF(T515=1,MAX(Z$2:Z514)+1,"")</f>
        <v/>
      </c>
    </row>
    <row r="516">
      <c r="A516">
        <f>IF(A$2=0,"",IFERROR(TRIM(INDEX('Pegar calibracion'!$A$1:$BZ$1001,515,A$2)&amp;""),""))</f>
        <v/>
      </c>
      <c r="B516">
        <f>IF(B$2=0,"",IFERROR(TRIM(INDEX('Pegar calibracion'!$A$1:$BZ$1001,515,B$2)&amp;""),""))</f>
        <v/>
      </c>
      <c r="C516">
        <f>IF(C$2=0,"",IFERROR(TRIM(INDEX('Pegar calibracion'!$A$1:$BZ$1001,515,C$2)&amp;""),""))</f>
        <v/>
      </c>
      <c r="D516">
        <f>IF(D$2=0,"",IFERROR(TRIM(INDEX('Pegar calibracion'!$A$1:$BZ$1001,515,D$2)&amp;""),""))</f>
        <v/>
      </c>
      <c r="E516">
        <f>IF(E$2=0,"",IFERROR(TRIM(INDEX('Pegar calibracion'!$A$1:$BZ$1001,515,E$2)&amp;""),""))</f>
        <v/>
      </c>
      <c r="F516">
        <f>IF(F$2=0,"",IFERROR(TRIM(INDEX('Pegar calibracion'!$A$1:$BZ$1001,515,F$2)&amp;""),""))</f>
        <v/>
      </c>
      <c r="G516">
        <f>IF(G$2=0,"",IFERROR(TRIM(INDEX('Pegar calibracion'!$A$1:$BZ$1001,515,G$2)&amp;""),""))</f>
        <v/>
      </c>
      <c r="H516">
        <f>IF(H$2=0,"",IFERROR(TRIM(INDEX('Pegar calibracion'!$A$1:$BZ$1001,515,H$2)&amp;""),""))</f>
        <v/>
      </c>
      <c r="I516">
        <f>IF(I$2=0,"",IFERROR(TRIM(INDEX('Pegar calibracion'!$A$1:$BZ$1001,515,I$2)&amp;""),""))</f>
        <v/>
      </c>
      <c r="J516">
        <f>IF(J$2=0,"",IFERROR(TRIM(INDEX('Pegar calibracion'!$A$1:$BZ$1001,515,J$2)&amp;""),""))</f>
        <v/>
      </c>
      <c r="K516">
        <f>IF(K$2=0,"",IFERROR(TRIM(INDEX('Pegar calibracion'!$A$1:$BZ$1001,515,K$2)&amp;""),""))</f>
        <v/>
      </c>
      <c r="L516">
        <f>IF(L$2=0,"",IFERROR(TRIM(INDEX('Pegar calibracion'!$A$1:$BZ$1001,515,L$2)&amp;""),""))</f>
        <v/>
      </c>
      <c r="M516" s="25">
        <f>IF(D516="","",SUBSTITUTE(SUBSTITUTE(SUBSTITUTE(SUBSTITUTE(SUBSTITUTE(SUBSTITUTE(SUBSTITUTE(SUBSTITUTE(SUBSTITUTE(SUBSTITUTE(SUBSTITUTE(SUBSTITUTE(LOWER(TRIM(D516)),"á","a"),"é","e"),"í","i"),"ó","o"),"ú","u"),"ü","u"),"ñ","n"),"à","a"),"è","e"),"ì","i"),"ò","o"),"ù","u"))</f>
        <v/>
      </c>
      <c r="N516" s="25">
        <f>IF(F516="","",SUBSTITUTE(SUBSTITUTE(SUBSTITUTE(SUBSTITUTE(SUBSTITUTE(SUBSTITUTE(SUBSTITUTE(SUBSTITUTE(SUBSTITUTE(SUBSTITUTE(SUBSTITUTE(SUBSTITUTE(LOWER(TRIM(F516)),"á","a"),"é","e"),"í","i"),"ó","o"),"ú","u"),"ü","u"),"ñ","n"),"à","a"),"è","e"),"ì","i"),"ò","o"),"ù","u"))</f>
        <v/>
      </c>
      <c r="O516" s="25">
        <f>IF(M516="confiable",2,IF(M516="dudosa",1,IF(M516="no confiable",0,"")))</f>
        <v/>
      </c>
      <c r="P516" s="25">
        <f>IF(N516="confiable",2,IF(N516="dudosa",1,IF(N516="no confiable",0,"")))</f>
        <v/>
      </c>
      <c r="Q516" s="25">
        <f>IF(AND(ISNUMBER(O516),ISNUMBER(P516)),1,"")</f>
        <v/>
      </c>
      <c r="R516" s="25">
        <f>IF(Q516=1,IF(O516=P516,"Sí","No"),"")</f>
        <v/>
      </c>
      <c r="S516" s="25">
        <f>IF(Q516=1,IF(P516&lt;O516,"Más estricto",IF(P516&gt;O516,"Más permisivo","Igual")),"")</f>
        <v/>
      </c>
      <c r="T516" s="25">
        <f>IF(Q516=1,IF(ABS(O516-P516)=2,1,0),"")</f>
        <v/>
      </c>
      <c r="U516" s="25">
        <f>IF(H516="","","|"&amp;SUBSTITUTE(SUBSTITUTE(TRIM(H516)," |","|"),"| ","|")&amp;"|")</f>
        <v/>
      </c>
      <c r="V516" s="25">
        <f>IF(AND(Q516=1,B516&lt;&gt;""),IF(IFERROR(COUNTIFS(B$3:B516,"="&amp;SUBSTITUTE(SUBSTITUTE(SUBSTITUTE(B516,"~","~~"),"*","~*"),"?","~?"),Q$3:Q516,1),0)=1,MAX(V$2:V515)+1,""),"")</f>
        <v/>
      </c>
      <c r="W516" s="25">
        <f>IF(V516="","",COUNTIFS($B$3:$B$1002,"="&amp;SUBSTITUTE(SUBSTITUTE(SUBSTITUTE(B516,"~","~~"),"*","~*"),"?","~?"),$Q$3:$Q$1002,1)*10000-V516)</f>
        <v/>
      </c>
      <c r="X516" s="25">
        <f>IF(Q516=1,IF(SUBSTITUTE(SUBSTITUTE(SUBSTITUTE(SUBSTITUTE(SUBSTITUTE(SUBSTITUTE(SUBSTITUTE(SUBSTITUTE(SUBSTITUTE(SUBSTITUTE(SUBSTITUTE(SUBSTITUTE(LOWER(TRIM(A516)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516)),"á","a"),"é","e"),"í","i"),"ó","o"),"ú","u"),"ü","u"),"ñ","n"),"à","a"),"è","e"),"ì","i"),"ò","o"),"ù","u")),"")</f>
        <v/>
      </c>
      <c r="Y516" s="25">
        <f>IF(X516="","",IF(IFERROR(COUNTIF(X$3:X516,"="&amp;SUBSTITUTE(SUBSTITUTE(SUBSTITUTE(X516,"~","~~"),"*","~*"),"?","~?")),0)=1,1,""))</f>
        <v/>
      </c>
      <c r="Z516" s="25">
        <f>IF(T516=1,MAX(Z$2:Z515)+1,"")</f>
        <v/>
      </c>
    </row>
    <row r="517">
      <c r="A517">
        <f>IF(A$2=0,"",IFERROR(TRIM(INDEX('Pegar calibracion'!$A$1:$BZ$1001,516,A$2)&amp;""),""))</f>
        <v/>
      </c>
      <c r="B517">
        <f>IF(B$2=0,"",IFERROR(TRIM(INDEX('Pegar calibracion'!$A$1:$BZ$1001,516,B$2)&amp;""),""))</f>
        <v/>
      </c>
      <c r="C517">
        <f>IF(C$2=0,"",IFERROR(TRIM(INDEX('Pegar calibracion'!$A$1:$BZ$1001,516,C$2)&amp;""),""))</f>
        <v/>
      </c>
      <c r="D517">
        <f>IF(D$2=0,"",IFERROR(TRIM(INDEX('Pegar calibracion'!$A$1:$BZ$1001,516,D$2)&amp;""),""))</f>
        <v/>
      </c>
      <c r="E517">
        <f>IF(E$2=0,"",IFERROR(TRIM(INDEX('Pegar calibracion'!$A$1:$BZ$1001,516,E$2)&amp;""),""))</f>
        <v/>
      </c>
      <c r="F517">
        <f>IF(F$2=0,"",IFERROR(TRIM(INDEX('Pegar calibracion'!$A$1:$BZ$1001,516,F$2)&amp;""),""))</f>
        <v/>
      </c>
      <c r="G517">
        <f>IF(G$2=0,"",IFERROR(TRIM(INDEX('Pegar calibracion'!$A$1:$BZ$1001,516,G$2)&amp;""),""))</f>
        <v/>
      </c>
      <c r="H517">
        <f>IF(H$2=0,"",IFERROR(TRIM(INDEX('Pegar calibracion'!$A$1:$BZ$1001,516,H$2)&amp;""),""))</f>
        <v/>
      </c>
      <c r="I517">
        <f>IF(I$2=0,"",IFERROR(TRIM(INDEX('Pegar calibracion'!$A$1:$BZ$1001,516,I$2)&amp;""),""))</f>
        <v/>
      </c>
      <c r="J517">
        <f>IF(J$2=0,"",IFERROR(TRIM(INDEX('Pegar calibracion'!$A$1:$BZ$1001,516,J$2)&amp;""),""))</f>
        <v/>
      </c>
      <c r="K517">
        <f>IF(K$2=0,"",IFERROR(TRIM(INDEX('Pegar calibracion'!$A$1:$BZ$1001,516,K$2)&amp;""),""))</f>
        <v/>
      </c>
      <c r="L517">
        <f>IF(L$2=0,"",IFERROR(TRIM(INDEX('Pegar calibracion'!$A$1:$BZ$1001,516,L$2)&amp;""),""))</f>
        <v/>
      </c>
      <c r="M517" s="25">
        <f>IF(D517="","",SUBSTITUTE(SUBSTITUTE(SUBSTITUTE(SUBSTITUTE(SUBSTITUTE(SUBSTITUTE(SUBSTITUTE(SUBSTITUTE(SUBSTITUTE(SUBSTITUTE(SUBSTITUTE(SUBSTITUTE(LOWER(TRIM(D517)),"á","a"),"é","e"),"í","i"),"ó","o"),"ú","u"),"ü","u"),"ñ","n"),"à","a"),"è","e"),"ì","i"),"ò","o"),"ù","u"))</f>
        <v/>
      </c>
      <c r="N517" s="25">
        <f>IF(F517="","",SUBSTITUTE(SUBSTITUTE(SUBSTITUTE(SUBSTITUTE(SUBSTITUTE(SUBSTITUTE(SUBSTITUTE(SUBSTITUTE(SUBSTITUTE(SUBSTITUTE(SUBSTITUTE(SUBSTITUTE(LOWER(TRIM(F517)),"á","a"),"é","e"),"í","i"),"ó","o"),"ú","u"),"ü","u"),"ñ","n"),"à","a"),"è","e"),"ì","i"),"ò","o"),"ù","u"))</f>
        <v/>
      </c>
      <c r="O517" s="25">
        <f>IF(M517="confiable",2,IF(M517="dudosa",1,IF(M517="no confiable",0,"")))</f>
        <v/>
      </c>
      <c r="P517" s="25">
        <f>IF(N517="confiable",2,IF(N517="dudosa",1,IF(N517="no confiable",0,"")))</f>
        <v/>
      </c>
      <c r="Q517" s="25">
        <f>IF(AND(ISNUMBER(O517),ISNUMBER(P517)),1,"")</f>
        <v/>
      </c>
      <c r="R517" s="25">
        <f>IF(Q517=1,IF(O517=P517,"Sí","No"),"")</f>
        <v/>
      </c>
      <c r="S517" s="25">
        <f>IF(Q517=1,IF(P517&lt;O517,"Más estricto",IF(P517&gt;O517,"Más permisivo","Igual")),"")</f>
        <v/>
      </c>
      <c r="T517" s="25">
        <f>IF(Q517=1,IF(ABS(O517-P517)=2,1,0),"")</f>
        <v/>
      </c>
      <c r="U517" s="25">
        <f>IF(H517="","","|"&amp;SUBSTITUTE(SUBSTITUTE(TRIM(H517)," |","|"),"| ","|")&amp;"|")</f>
        <v/>
      </c>
      <c r="V517" s="25">
        <f>IF(AND(Q517=1,B517&lt;&gt;""),IF(IFERROR(COUNTIFS(B$3:B517,"="&amp;SUBSTITUTE(SUBSTITUTE(SUBSTITUTE(B517,"~","~~"),"*","~*"),"?","~?"),Q$3:Q517,1),0)=1,MAX(V$2:V516)+1,""),"")</f>
        <v/>
      </c>
      <c r="W517" s="25">
        <f>IF(V517="","",COUNTIFS($B$3:$B$1002,"="&amp;SUBSTITUTE(SUBSTITUTE(SUBSTITUTE(B517,"~","~~"),"*","~*"),"?","~?"),$Q$3:$Q$1002,1)*10000-V517)</f>
        <v/>
      </c>
      <c r="X517" s="25">
        <f>IF(Q517=1,IF(SUBSTITUTE(SUBSTITUTE(SUBSTITUTE(SUBSTITUTE(SUBSTITUTE(SUBSTITUTE(SUBSTITUTE(SUBSTITUTE(SUBSTITUTE(SUBSTITUTE(SUBSTITUTE(SUBSTITUTE(LOWER(TRIM(A517)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517)),"á","a"),"é","e"),"í","i"),"ó","o"),"ú","u"),"ü","u"),"ñ","n"),"à","a"),"è","e"),"ì","i"),"ò","o"),"ù","u")),"")</f>
        <v/>
      </c>
      <c r="Y517" s="25">
        <f>IF(X517="","",IF(IFERROR(COUNTIF(X$3:X517,"="&amp;SUBSTITUTE(SUBSTITUTE(SUBSTITUTE(X517,"~","~~"),"*","~*"),"?","~?")),0)=1,1,""))</f>
        <v/>
      </c>
      <c r="Z517" s="25">
        <f>IF(T517=1,MAX(Z$2:Z516)+1,"")</f>
        <v/>
      </c>
    </row>
    <row r="518">
      <c r="A518">
        <f>IF(A$2=0,"",IFERROR(TRIM(INDEX('Pegar calibracion'!$A$1:$BZ$1001,517,A$2)&amp;""),""))</f>
        <v/>
      </c>
      <c r="B518">
        <f>IF(B$2=0,"",IFERROR(TRIM(INDEX('Pegar calibracion'!$A$1:$BZ$1001,517,B$2)&amp;""),""))</f>
        <v/>
      </c>
      <c r="C518">
        <f>IF(C$2=0,"",IFERROR(TRIM(INDEX('Pegar calibracion'!$A$1:$BZ$1001,517,C$2)&amp;""),""))</f>
        <v/>
      </c>
      <c r="D518">
        <f>IF(D$2=0,"",IFERROR(TRIM(INDEX('Pegar calibracion'!$A$1:$BZ$1001,517,D$2)&amp;""),""))</f>
        <v/>
      </c>
      <c r="E518">
        <f>IF(E$2=0,"",IFERROR(TRIM(INDEX('Pegar calibracion'!$A$1:$BZ$1001,517,E$2)&amp;""),""))</f>
        <v/>
      </c>
      <c r="F518">
        <f>IF(F$2=0,"",IFERROR(TRIM(INDEX('Pegar calibracion'!$A$1:$BZ$1001,517,F$2)&amp;""),""))</f>
        <v/>
      </c>
      <c r="G518">
        <f>IF(G$2=0,"",IFERROR(TRIM(INDEX('Pegar calibracion'!$A$1:$BZ$1001,517,G$2)&amp;""),""))</f>
        <v/>
      </c>
      <c r="H518">
        <f>IF(H$2=0,"",IFERROR(TRIM(INDEX('Pegar calibracion'!$A$1:$BZ$1001,517,H$2)&amp;""),""))</f>
        <v/>
      </c>
      <c r="I518">
        <f>IF(I$2=0,"",IFERROR(TRIM(INDEX('Pegar calibracion'!$A$1:$BZ$1001,517,I$2)&amp;""),""))</f>
        <v/>
      </c>
      <c r="J518">
        <f>IF(J$2=0,"",IFERROR(TRIM(INDEX('Pegar calibracion'!$A$1:$BZ$1001,517,J$2)&amp;""),""))</f>
        <v/>
      </c>
      <c r="K518">
        <f>IF(K$2=0,"",IFERROR(TRIM(INDEX('Pegar calibracion'!$A$1:$BZ$1001,517,K$2)&amp;""),""))</f>
        <v/>
      </c>
      <c r="L518">
        <f>IF(L$2=0,"",IFERROR(TRIM(INDEX('Pegar calibracion'!$A$1:$BZ$1001,517,L$2)&amp;""),""))</f>
        <v/>
      </c>
      <c r="M518" s="25">
        <f>IF(D518="","",SUBSTITUTE(SUBSTITUTE(SUBSTITUTE(SUBSTITUTE(SUBSTITUTE(SUBSTITUTE(SUBSTITUTE(SUBSTITUTE(SUBSTITUTE(SUBSTITUTE(SUBSTITUTE(SUBSTITUTE(LOWER(TRIM(D518)),"á","a"),"é","e"),"í","i"),"ó","o"),"ú","u"),"ü","u"),"ñ","n"),"à","a"),"è","e"),"ì","i"),"ò","o"),"ù","u"))</f>
        <v/>
      </c>
      <c r="N518" s="25">
        <f>IF(F518="","",SUBSTITUTE(SUBSTITUTE(SUBSTITUTE(SUBSTITUTE(SUBSTITUTE(SUBSTITUTE(SUBSTITUTE(SUBSTITUTE(SUBSTITUTE(SUBSTITUTE(SUBSTITUTE(SUBSTITUTE(LOWER(TRIM(F518)),"á","a"),"é","e"),"í","i"),"ó","o"),"ú","u"),"ü","u"),"ñ","n"),"à","a"),"è","e"),"ì","i"),"ò","o"),"ù","u"))</f>
        <v/>
      </c>
      <c r="O518" s="25">
        <f>IF(M518="confiable",2,IF(M518="dudosa",1,IF(M518="no confiable",0,"")))</f>
        <v/>
      </c>
      <c r="P518" s="25">
        <f>IF(N518="confiable",2,IF(N518="dudosa",1,IF(N518="no confiable",0,"")))</f>
        <v/>
      </c>
      <c r="Q518" s="25">
        <f>IF(AND(ISNUMBER(O518),ISNUMBER(P518)),1,"")</f>
        <v/>
      </c>
      <c r="R518" s="25">
        <f>IF(Q518=1,IF(O518=P518,"Sí","No"),"")</f>
        <v/>
      </c>
      <c r="S518" s="25">
        <f>IF(Q518=1,IF(P518&lt;O518,"Más estricto",IF(P518&gt;O518,"Más permisivo","Igual")),"")</f>
        <v/>
      </c>
      <c r="T518" s="25">
        <f>IF(Q518=1,IF(ABS(O518-P518)=2,1,0),"")</f>
        <v/>
      </c>
      <c r="U518" s="25">
        <f>IF(H518="","","|"&amp;SUBSTITUTE(SUBSTITUTE(TRIM(H518)," |","|"),"| ","|")&amp;"|")</f>
        <v/>
      </c>
      <c r="V518" s="25">
        <f>IF(AND(Q518=1,B518&lt;&gt;""),IF(IFERROR(COUNTIFS(B$3:B518,"="&amp;SUBSTITUTE(SUBSTITUTE(SUBSTITUTE(B518,"~","~~"),"*","~*"),"?","~?"),Q$3:Q518,1),0)=1,MAX(V$2:V517)+1,""),"")</f>
        <v/>
      </c>
      <c r="W518" s="25">
        <f>IF(V518="","",COUNTIFS($B$3:$B$1002,"="&amp;SUBSTITUTE(SUBSTITUTE(SUBSTITUTE(B518,"~","~~"),"*","~*"),"?","~?"),$Q$3:$Q$1002,1)*10000-V518)</f>
        <v/>
      </c>
      <c r="X518" s="25">
        <f>IF(Q518=1,IF(SUBSTITUTE(SUBSTITUTE(SUBSTITUTE(SUBSTITUTE(SUBSTITUTE(SUBSTITUTE(SUBSTITUTE(SUBSTITUTE(SUBSTITUTE(SUBSTITUTE(SUBSTITUTE(SUBSTITUTE(LOWER(TRIM(A518)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518)),"á","a"),"é","e"),"í","i"),"ó","o"),"ú","u"),"ü","u"),"ñ","n"),"à","a"),"è","e"),"ì","i"),"ò","o"),"ù","u")),"")</f>
        <v/>
      </c>
      <c r="Y518" s="25">
        <f>IF(X518="","",IF(IFERROR(COUNTIF(X$3:X518,"="&amp;SUBSTITUTE(SUBSTITUTE(SUBSTITUTE(X518,"~","~~"),"*","~*"),"?","~?")),0)=1,1,""))</f>
        <v/>
      </c>
      <c r="Z518" s="25">
        <f>IF(T518=1,MAX(Z$2:Z517)+1,"")</f>
        <v/>
      </c>
    </row>
    <row r="519">
      <c r="A519">
        <f>IF(A$2=0,"",IFERROR(TRIM(INDEX('Pegar calibracion'!$A$1:$BZ$1001,518,A$2)&amp;""),""))</f>
        <v/>
      </c>
      <c r="B519">
        <f>IF(B$2=0,"",IFERROR(TRIM(INDEX('Pegar calibracion'!$A$1:$BZ$1001,518,B$2)&amp;""),""))</f>
        <v/>
      </c>
      <c r="C519">
        <f>IF(C$2=0,"",IFERROR(TRIM(INDEX('Pegar calibracion'!$A$1:$BZ$1001,518,C$2)&amp;""),""))</f>
        <v/>
      </c>
      <c r="D519">
        <f>IF(D$2=0,"",IFERROR(TRIM(INDEX('Pegar calibracion'!$A$1:$BZ$1001,518,D$2)&amp;""),""))</f>
        <v/>
      </c>
      <c r="E519">
        <f>IF(E$2=0,"",IFERROR(TRIM(INDEX('Pegar calibracion'!$A$1:$BZ$1001,518,E$2)&amp;""),""))</f>
        <v/>
      </c>
      <c r="F519">
        <f>IF(F$2=0,"",IFERROR(TRIM(INDEX('Pegar calibracion'!$A$1:$BZ$1001,518,F$2)&amp;""),""))</f>
        <v/>
      </c>
      <c r="G519">
        <f>IF(G$2=0,"",IFERROR(TRIM(INDEX('Pegar calibracion'!$A$1:$BZ$1001,518,G$2)&amp;""),""))</f>
        <v/>
      </c>
      <c r="H519">
        <f>IF(H$2=0,"",IFERROR(TRIM(INDEX('Pegar calibracion'!$A$1:$BZ$1001,518,H$2)&amp;""),""))</f>
        <v/>
      </c>
      <c r="I519">
        <f>IF(I$2=0,"",IFERROR(TRIM(INDEX('Pegar calibracion'!$A$1:$BZ$1001,518,I$2)&amp;""),""))</f>
        <v/>
      </c>
      <c r="J519">
        <f>IF(J$2=0,"",IFERROR(TRIM(INDEX('Pegar calibracion'!$A$1:$BZ$1001,518,J$2)&amp;""),""))</f>
        <v/>
      </c>
      <c r="K519">
        <f>IF(K$2=0,"",IFERROR(TRIM(INDEX('Pegar calibracion'!$A$1:$BZ$1001,518,K$2)&amp;""),""))</f>
        <v/>
      </c>
      <c r="L519">
        <f>IF(L$2=0,"",IFERROR(TRIM(INDEX('Pegar calibracion'!$A$1:$BZ$1001,518,L$2)&amp;""),""))</f>
        <v/>
      </c>
      <c r="M519" s="25">
        <f>IF(D519="","",SUBSTITUTE(SUBSTITUTE(SUBSTITUTE(SUBSTITUTE(SUBSTITUTE(SUBSTITUTE(SUBSTITUTE(SUBSTITUTE(SUBSTITUTE(SUBSTITUTE(SUBSTITUTE(SUBSTITUTE(LOWER(TRIM(D519)),"á","a"),"é","e"),"í","i"),"ó","o"),"ú","u"),"ü","u"),"ñ","n"),"à","a"),"è","e"),"ì","i"),"ò","o"),"ù","u"))</f>
        <v/>
      </c>
      <c r="N519" s="25">
        <f>IF(F519="","",SUBSTITUTE(SUBSTITUTE(SUBSTITUTE(SUBSTITUTE(SUBSTITUTE(SUBSTITUTE(SUBSTITUTE(SUBSTITUTE(SUBSTITUTE(SUBSTITUTE(SUBSTITUTE(SUBSTITUTE(LOWER(TRIM(F519)),"á","a"),"é","e"),"í","i"),"ó","o"),"ú","u"),"ü","u"),"ñ","n"),"à","a"),"è","e"),"ì","i"),"ò","o"),"ù","u"))</f>
        <v/>
      </c>
      <c r="O519" s="25">
        <f>IF(M519="confiable",2,IF(M519="dudosa",1,IF(M519="no confiable",0,"")))</f>
        <v/>
      </c>
      <c r="P519" s="25">
        <f>IF(N519="confiable",2,IF(N519="dudosa",1,IF(N519="no confiable",0,"")))</f>
        <v/>
      </c>
      <c r="Q519" s="25">
        <f>IF(AND(ISNUMBER(O519),ISNUMBER(P519)),1,"")</f>
        <v/>
      </c>
      <c r="R519" s="25">
        <f>IF(Q519=1,IF(O519=P519,"Sí","No"),"")</f>
        <v/>
      </c>
      <c r="S519" s="25">
        <f>IF(Q519=1,IF(P519&lt;O519,"Más estricto",IF(P519&gt;O519,"Más permisivo","Igual")),"")</f>
        <v/>
      </c>
      <c r="T519" s="25">
        <f>IF(Q519=1,IF(ABS(O519-P519)=2,1,0),"")</f>
        <v/>
      </c>
      <c r="U519" s="25">
        <f>IF(H519="","","|"&amp;SUBSTITUTE(SUBSTITUTE(TRIM(H519)," |","|"),"| ","|")&amp;"|")</f>
        <v/>
      </c>
      <c r="V519" s="25">
        <f>IF(AND(Q519=1,B519&lt;&gt;""),IF(IFERROR(COUNTIFS(B$3:B519,"="&amp;SUBSTITUTE(SUBSTITUTE(SUBSTITUTE(B519,"~","~~"),"*","~*"),"?","~?"),Q$3:Q519,1),0)=1,MAX(V$2:V518)+1,""),"")</f>
        <v/>
      </c>
      <c r="W519" s="25">
        <f>IF(V519="","",COUNTIFS($B$3:$B$1002,"="&amp;SUBSTITUTE(SUBSTITUTE(SUBSTITUTE(B519,"~","~~"),"*","~*"),"?","~?"),$Q$3:$Q$1002,1)*10000-V519)</f>
        <v/>
      </c>
      <c r="X519" s="25">
        <f>IF(Q519=1,IF(SUBSTITUTE(SUBSTITUTE(SUBSTITUTE(SUBSTITUTE(SUBSTITUTE(SUBSTITUTE(SUBSTITUTE(SUBSTITUTE(SUBSTITUTE(SUBSTITUTE(SUBSTITUTE(SUBSTITUTE(LOWER(TRIM(A519)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519)),"á","a"),"é","e"),"í","i"),"ó","o"),"ú","u"),"ü","u"),"ñ","n"),"à","a"),"è","e"),"ì","i"),"ò","o"),"ù","u")),"")</f>
        <v/>
      </c>
      <c r="Y519" s="25">
        <f>IF(X519="","",IF(IFERROR(COUNTIF(X$3:X519,"="&amp;SUBSTITUTE(SUBSTITUTE(SUBSTITUTE(X519,"~","~~"),"*","~*"),"?","~?")),0)=1,1,""))</f>
        <v/>
      </c>
      <c r="Z519" s="25">
        <f>IF(T519=1,MAX(Z$2:Z518)+1,"")</f>
        <v/>
      </c>
    </row>
    <row r="520">
      <c r="A520">
        <f>IF(A$2=0,"",IFERROR(TRIM(INDEX('Pegar calibracion'!$A$1:$BZ$1001,519,A$2)&amp;""),""))</f>
        <v/>
      </c>
      <c r="B520">
        <f>IF(B$2=0,"",IFERROR(TRIM(INDEX('Pegar calibracion'!$A$1:$BZ$1001,519,B$2)&amp;""),""))</f>
        <v/>
      </c>
      <c r="C520">
        <f>IF(C$2=0,"",IFERROR(TRIM(INDEX('Pegar calibracion'!$A$1:$BZ$1001,519,C$2)&amp;""),""))</f>
        <v/>
      </c>
      <c r="D520">
        <f>IF(D$2=0,"",IFERROR(TRIM(INDEX('Pegar calibracion'!$A$1:$BZ$1001,519,D$2)&amp;""),""))</f>
        <v/>
      </c>
      <c r="E520">
        <f>IF(E$2=0,"",IFERROR(TRIM(INDEX('Pegar calibracion'!$A$1:$BZ$1001,519,E$2)&amp;""),""))</f>
        <v/>
      </c>
      <c r="F520">
        <f>IF(F$2=0,"",IFERROR(TRIM(INDEX('Pegar calibracion'!$A$1:$BZ$1001,519,F$2)&amp;""),""))</f>
        <v/>
      </c>
      <c r="G520">
        <f>IF(G$2=0,"",IFERROR(TRIM(INDEX('Pegar calibracion'!$A$1:$BZ$1001,519,G$2)&amp;""),""))</f>
        <v/>
      </c>
      <c r="H520">
        <f>IF(H$2=0,"",IFERROR(TRIM(INDEX('Pegar calibracion'!$A$1:$BZ$1001,519,H$2)&amp;""),""))</f>
        <v/>
      </c>
      <c r="I520">
        <f>IF(I$2=0,"",IFERROR(TRIM(INDEX('Pegar calibracion'!$A$1:$BZ$1001,519,I$2)&amp;""),""))</f>
        <v/>
      </c>
      <c r="J520">
        <f>IF(J$2=0,"",IFERROR(TRIM(INDEX('Pegar calibracion'!$A$1:$BZ$1001,519,J$2)&amp;""),""))</f>
        <v/>
      </c>
      <c r="K520">
        <f>IF(K$2=0,"",IFERROR(TRIM(INDEX('Pegar calibracion'!$A$1:$BZ$1001,519,K$2)&amp;""),""))</f>
        <v/>
      </c>
      <c r="L520">
        <f>IF(L$2=0,"",IFERROR(TRIM(INDEX('Pegar calibracion'!$A$1:$BZ$1001,519,L$2)&amp;""),""))</f>
        <v/>
      </c>
      <c r="M520" s="25">
        <f>IF(D520="","",SUBSTITUTE(SUBSTITUTE(SUBSTITUTE(SUBSTITUTE(SUBSTITUTE(SUBSTITUTE(SUBSTITUTE(SUBSTITUTE(SUBSTITUTE(SUBSTITUTE(SUBSTITUTE(SUBSTITUTE(LOWER(TRIM(D520)),"á","a"),"é","e"),"í","i"),"ó","o"),"ú","u"),"ü","u"),"ñ","n"),"à","a"),"è","e"),"ì","i"),"ò","o"),"ù","u"))</f>
        <v/>
      </c>
      <c r="N520" s="25">
        <f>IF(F520="","",SUBSTITUTE(SUBSTITUTE(SUBSTITUTE(SUBSTITUTE(SUBSTITUTE(SUBSTITUTE(SUBSTITUTE(SUBSTITUTE(SUBSTITUTE(SUBSTITUTE(SUBSTITUTE(SUBSTITUTE(LOWER(TRIM(F520)),"á","a"),"é","e"),"í","i"),"ó","o"),"ú","u"),"ü","u"),"ñ","n"),"à","a"),"è","e"),"ì","i"),"ò","o"),"ù","u"))</f>
        <v/>
      </c>
      <c r="O520" s="25">
        <f>IF(M520="confiable",2,IF(M520="dudosa",1,IF(M520="no confiable",0,"")))</f>
        <v/>
      </c>
      <c r="P520" s="25">
        <f>IF(N520="confiable",2,IF(N520="dudosa",1,IF(N520="no confiable",0,"")))</f>
        <v/>
      </c>
      <c r="Q520" s="25">
        <f>IF(AND(ISNUMBER(O520),ISNUMBER(P520)),1,"")</f>
        <v/>
      </c>
      <c r="R520" s="25">
        <f>IF(Q520=1,IF(O520=P520,"Sí","No"),"")</f>
        <v/>
      </c>
      <c r="S520" s="25">
        <f>IF(Q520=1,IF(P520&lt;O520,"Más estricto",IF(P520&gt;O520,"Más permisivo","Igual")),"")</f>
        <v/>
      </c>
      <c r="T520" s="25">
        <f>IF(Q520=1,IF(ABS(O520-P520)=2,1,0),"")</f>
        <v/>
      </c>
      <c r="U520" s="25">
        <f>IF(H520="","","|"&amp;SUBSTITUTE(SUBSTITUTE(TRIM(H520)," |","|"),"| ","|")&amp;"|")</f>
        <v/>
      </c>
      <c r="V520" s="25">
        <f>IF(AND(Q520=1,B520&lt;&gt;""),IF(IFERROR(COUNTIFS(B$3:B520,"="&amp;SUBSTITUTE(SUBSTITUTE(SUBSTITUTE(B520,"~","~~"),"*","~*"),"?","~?"),Q$3:Q520,1),0)=1,MAX(V$2:V519)+1,""),"")</f>
        <v/>
      </c>
      <c r="W520" s="25">
        <f>IF(V520="","",COUNTIFS($B$3:$B$1002,"="&amp;SUBSTITUTE(SUBSTITUTE(SUBSTITUTE(B520,"~","~~"),"*","~*"),"?","~?"),$Q$3:$Q$1002,1)*10000-V520)</f>
        <v/>
      </c>
      <c r="X520" s="25">
        <f>IF(Q520=1,IF(SUBSTITUTE(SUBSTITUTE(SUBSTITUTE(SUBSTITUTE(SUBSTITUTE(SUBSTITUTE(SUBSTITUTE(SUBSTITUTE(SUBSTITUTE(SUBSTITUTE(SUBSTITUTE(SUBSTITUTE(LOWER(TRIM(A520)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520)),"á","a"),"é","e"),"í","i"),"ó","o"),"ú","u"),"ü","u"),"ñ","n"),"à","a"),"è","e"),"ì","i"),"ò","o"),"ù","u")),"")</f>
        <v/>
      </c>
      <c r="Y520" s="25">
        <f>IF(X520="","",IF(IFERROR(COUNTIF(X$3:X520,"="&amp;SUBSTITUTE(SUBSTITUTE(SUBSTITUTE(X520,"~","~~"),"*","~*"),"?","~?")),0)=1,1,""))</f>
        <v/>
      </c>
      <c r="Z520" s="25">
        <f>IF(T520=1,MAX(Z$2:Z519)+1,"")</f>
        <v/>
      </c>
    </row>
    <row r="521">
      <c r="A521">
        <f>IF(A$2=0,"",IFERROR(TRIM(INDEX('Pegar calibracion'!$A$1:$BZ$1001,520,A$2)&amp;""),""))</f>
        <v/>
      </c>
      <c r="B521">
        <f>IF(B$2=0,"",IFERROR(TRIM(INDEX('Pegar calibracion'!$A$1:$BZ$1001,520,B$2)&amp;""),""))</f>
        <v/>
      </c>
      <c r="C521">
        <f>IF(C$2=0,"",IFERROR(TRIM(INDEX('Pegar calibracion'!$A$1:$BZ$1001,520,C$2)&amp;""),""))</f>
        <v/>
      </c>
      <c r="D521">
        <f>IF(D$2=0,"",IFERROR(TRIM(INDEX('Pegar calibracion'!$A$1:$BZ$1001,520,D$2)&amp;""),""))</f>
        <v/>
      </c>
      <c r="E521">
        <f>IF(E$2=0,"",IFERROR(TRIM(INDEX('Pegar calibracion'!$A$1:$BZ$1001,520,E$2)&amp;""),""))</f>
        <v/>
      </c>
      <c r="F521">
        <f>IF(F$2=0,"",IFERROR(TRIM(INDEX('Pegar calibracion'!$A$1:$BZ$1001,520,F$2)&amp;""),""))</f>
        <v/>
      </c>
      <c r="G521">
        <f>IF(G$2=0,"",IFERROR(TRIM(INDEX('Pegar calibracion'!$A$1:$BZ$1001,520,G$2)&amp;""),""))</f>
        <v/>
      </c>
      <c r="H521">
        <f>IF(H$2=0,"",IFERROR(TRIM(INDEX('Pegar calibracion'!$A$1:$BZ$1001,520,H$2)&amp;""),""))</f>
        <v/>
      </c>
      <c r="I521">
        <f>IF(I$2=0,"",IFERROR(TRIM(INDEX('Pegar calibracion'!$A$1:$BZ$1001,520,I$2)&amp;""),""))</f>
        <v/>
      </c>
      <c r="J521">
        <f>IF(J$2=0,"",IFERROR(TRIM(INDEX('Pegar calibracion'!$A$1:$BZ$1001,520,J$2)&amp;""),""))</f>
        <v/>
      </c>
      <c r="K521">
        <f>IF(K$2=0,"",IFERROR(TRIM(INDEX('Pegar calibracion'!$A$1:$BZ$1001,520,K$2)&amp;""),""))</f>
        <v/>
      </c>
      <c r="L521">
        <f>IF(L$2=0,"",IFERROR(TRIM(INDEX('Pegar calibracion'!$A$1:$BZ$1001,520,L$2)&amp;""),""))</f>
        <v/>
      </c>
      <c r="M521" s="25">
        <f>IF(D521="","",SUBSTITUTE(SUBSTITUTE(SUBSTITUTE(SUBSTITUTE(SUBSTITUTE(SUBSTITUTE(SUBSTITUTE(SUBSTITUTE(SUBSTITUTE(SUBSTITUTE(SUBSTITUTE(SUBSTITUTE(LOWER(TRIM(D521)),"á","a"),"é","e"),"í","i"),"ó","o"),"ú","u"),"ü","u"),"ñ","n"),"à","a"),"è","e"),"ì","i"),"ò","o"),"ù","u"))</f>
        <v/>
      </c>
      <c r="N521" s="25">
        <f>IF(F521="","",SUBSTITUTE(SUBSTITUTE(SUBSTITUTE(SUBSTITUTE(SUBSTITUTE(SUBSTITUTE(SUBSTITUTE(SUBSTITUTE(SUBSTITUTE(SUBSTITUTE(SUBSTITUTE(SUBSTITUTE(LOWER(TRIM(F521)),"á","a"),"é","e"),"í","i"),"ó","o"),"ú","u"),"ü","u"),"ñ","n"),"à","a"),"è","e"),"ì","i"),"ò","o"),"ù","u"))</f>
        <v/>
      </c>
      <c r="O521" s="25">
        <f>IF(M521="confiable",2,IF(M521="dudosa",1,IF(M521="no confiable",0,"")))</f>
        <v/>
      </c>
      <c r="P521" s="25">
        <f>IF(N521="confiable",2,IF(N521="dudosa",1,IF(N521="no confiable",0,"")))</f>
        <v/>
      </c>
      <c r="Q521" s="25">
        <f>IF(AND(ISNUMBER(O521),ISNUMBER(P521)),1,"")</f>
        <v/>
      </c>
      <c r="R521" s="25">
        <f>IF(Q521=1,IF(O521=P521,"Sí","No"),"")</f>
        <v/>
      </c>
      <c r="S521" s="25">
        <f>IF(Q521=1,IF(P521&lt;O521,"Más estricto",IF(P521&gt;O521,"Más permisivo","Igual")),"")</f>
        <v/>
      </c>
      <c r="T521" s="25">
        <f>IF(Q521=1,IF(ABS(O521-P521)=2,1,0),"")</f>
        <v/>
      </c>
      <c r="U521" s="25">
        <f>IF(H521="","","|"&amp;SUBSTITUTE(SUBSTITUTE(TRIM(H521)," |","|"),"| ","|")&amp;"|")</f>
        <v/>
      </c>
      <c r="V521" s="25">
        <f>IF(AND(Q521=1,B521&lt;&gt;""),IF(IFERROR(COUNTIFS(B$3:B521,"="&amp;SUBSTITUTE(SUBSTITUTE(SUBSTITUTE(B521,"~","~~"),"*","~*"),"?","~?"),Q$3:Q521,1),0)=1,MAX(V$2:V520)+1,""),"")</f>
        <v/>
      </c>
      <c r="W521" s="25">
        <f>IF(V521="","",COUNTIFS($B$3:$B$1002,"="&amp;SUBSTITUTE(SUBSTITUTE(SUBSTITUTE(B521,"~","~~"),"*","~*"),"?","~?"),$Q$3:$Q$1002,1)*10000-V521)</f>
        <v/>
      </c>
      <c r="X521" s="25">
        <f>IF(Q521=1,IF(SUBSTITUTE(SUBSTITUTE(SUBSTITUTE(SUBSTITUTE(SUBSTITUTE(SUBSTITUTE(SUBSTITUTE(SUBSTITUTE(SUBSTITUTE(SUBSTITUTE(SUBSTITUTE(SUBSTITUTE(LOWER(TRIM(A521)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521)),"á","a"),"é","e"),"í","i"),"ó","o"),"ú","u"),"ü","u"),"ñ","n"),"à","a"),"è","e"),"ì","i"),"ò","o"),"ù","u")),"")</f>
        <v/>
      </c>
      <c r="Y521" s="25">
        <f>IF(X521="","",IF(IFERROR(COUNTIF(X$3:X521,"="&amp;SUBSTITUTE(SUBSTITUTE(SUBSTITUTE(X521,"~","~~"),"*","~*"),"?","~?")),0)=1,1,""))</f>
        <v/>
      </c>
      <c r="Z521" s="25">
        <f>IF(T521=1,MAX(Z$2:Z520)+1,"")</f>
        <v/>
      </c>
    </row>
    <row r="522">
      <c r="A522">
        <f>IF(A$2=0,"",IFERROR(TRIM(INDEX('Pegar calibracion'!$A$1:$BZ$1001,521,A$2)&amp;""),""))</f>
        <v/>
      </c>
      <c r="B522">
        <f>IF(B$2=0,"",IFERROR(TRIM(INDEX('Pegar calibracion'!$A$1:$BZ$1001,521,B$2)&amp;""),""))</f>
        <v/>
      </c>
      <c r="C522">
        <f>IF(C$2=0,"",IFERROR(TRIM(INDEX('Pegar calibracion'!$A$1:$BZ$1001,521,C$2)&amp;""),""))</f>
        <v/>
      </c>
      <c r="D522">
        <f>IF(D$2=0,"",IFERROR(TRIM(INDEX('Pegar calibracion'!$A$1:$BZ$1001,521,D$2)&amp;""),""))</f>
        <v/>
      </c>
      <c r="E522">
        <f>IF(E$2=0,"",IFERROR(TRIM(INDEX('Pegar calibracion'!$A$1:$BZ$1001,521,E$2)&amp;""),""))</f>
        <v/>
      </c>
      <c r="F522">
        <f>IF(F$2=0,"",IFERROR(TRIM(INDEX('Pegar calibracion'!$A$1:$BZ$1001,521,F$2)&amp;""),""))</f>
        <v/>
      </c>
      <c r="G522">
        <f>IF(G$2=0,"",IFERROR(TRIM(INDEX('Pegar calibracion'!$A$1:$BZ$1001,521,G$2)&amp;""),""))</f>
        <v/>
      </c>
      <c r="H522">
        <f>IF(H$2=0,"",IFERROR(TRIM(INDEX('Pegar calibracion'!$A$1:$BZ$1001,521,H$2)&amp;""),""))</f>
        <v/>
      </c>
      <c r="I522">
        <f>IF(I$2=0,"",IFERROR(TRIM(INDEX('Pegar calibracion'!$A$1:$BZ$1001,521,I$2)&amp;""),""))</f>
        <v/>
      </c>
      <c r="J522">
        <f>IF(J$2=0,"",IFERROR(TRIM(INDEX('Pegar calibracion'!$A$1:$BZ$1001,521,J$2)&amp;""),""))</f>
        <v/>
      </c>
      <c r="K522">
        <f>IF(K$2=0,"",IFERROR(TRIM(INDEX('Pegar calibracion'!$A$1:$BZ$1001,521,K$2)&amp;""),""))</f>
        <v/>
      </c>
      <c r="L522">
        <f>IF(L$2=0,"",IFERROR(TRIM(INDEX('Pegar calibracion'!$A$1:$BZ$1001,521,L$2)&amp;""),""))</f>
        <v/>
      </c>
      <c r="M522" s="25">
        <f>IF(D522="","",SUBSTITUTE(SUBSTITUTE(SUBSTITUTE(SUBSTITUTE(SUBSTITUTE(SUBSTITUTE(SUBSTITUTE(SUBSTITUTE(SUBSTITUTE(SUBSTITUTE(SUBSTITUTE(SUBSTITUTE(LOWER(TRIM(D522)),"á","a"),"é","e"),"í","i"),"ó","o"),"ú","u"),"ü","u"),"ñ","n"),"à","a"),"è","e"),"ì","i"),"ò","o"),"ù","u"))</f>
        <v/>
      </c>
      <c r="N522" s="25">
        <f>IF(F522="","",SUBSTITUTE(SUBSTITUTE(SUBSTITUTE(SUBSTITUTE(SUBSTITUTE(SUBSTITUTE(SUBSTITUTE(SUBSTITUTE(SUBSTITUTE(SUBSTITUTE(SUBSTITUTE(SUBSTITUTE(LOWER(TRIM(F522)),"á","a"),"é","e"),"í","i"),"ó","o"),"ú","u"),"ü","u"),"ñ","n"),"à","a"),"è","e"),"ì","i"),"ò","o"),"ù","u"))</f>
        <v/>
      </c>
      <c r="O522" s="25">
        <f>IF(M522="confiable",2,IF(M522="dudosa",1,IF(M522="no confiable",0,"")))</f>
        <v/>
      </c>
      <c r="P522" s="25">
        <f>IF(N522="confiable",2,IF(N522="dudosa",1,IF(N522="no confiable",0,"")))</f>
        <v/>
      </c>
      <c r="Q522" s="25">
        <f>IF(AND(ISNUMBER(O522),ISNUMBER(P522)),1,"")</f>
        <v/>
      </c>
      <c r="R522" s="25">
        <f>IF(Q522=1,IF(O522=P522,"Sí","No"),"")</f>
        <v/>
      </c>
      <c r="S522" s="25">
        <f>IF(Q522=1,IF(P522&lt;O522,"Más estricto",IF(P522&gt;O522,"Más permisivo","Igual")),"")</f>
        <v/>
      </c>
      <c r="T522" s="25">
        <f>IF(Q522=1,IF(ABS(O522-P522)=2,1,0),"")</f>
        <v/>
      </c>
      <c r="U522" s="25">
        <f>IF(H522="","","|"&amp;SUBSTITUTE(SUBSTITUTE(TRIM(H522)," |","|"),"| ","|")&amp;"|")</f>
        <v/>
      </c>
      <c r="V522" s="25">
        <f>IF(AND(Q522=1,B522&lt;&gt;""),IF(IFERROR(COUNTIFS(B$3:B522,"="&amp;SUBSTITUTE(SUBSTITUTE(SUBSTITUTE(B522,"~","~~"),"*","~*"),"?","~?"),Q$3:Q522,1),0)=1,MAX(V$2:V521)+1,""),"")</f>
        <v/>
      </c>
      <c r="W522" s="25">
        <f>IF(V522="","",COUNTIFS($B$3:$B$1002,"="&amp;SUBSTITUTE(SUBSTITUTE(SUBSTITUTE(B522,"~","~~"),"*","~*"),"?","~?"),$Q$3:$Q$1002,1)*10000-V522)</f>
        <v/>
      </c>
      <c r="X522" s="25">
        <f>IF(Q522=1,IF(SUBSTITUTE(SUBSTITUTE(SUBSTITUTE(SUBSTITUTE(SUBSTITUTE(SUBSTITUTE(SUBSTITUTE(SUBSTITUTE(SUBSTITUTE(SUBSTITUTE(SUBSTITUTE(SUBSTITUTE(LOWER(TRIM(A522)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522)),"á","a"),"é","e"),"í","i"),"ó","o"),"ú","u"),"ü","u"),"ñ","n"),"à","a"),"è","e"),"ì","i"),"ò","o"),"ù","u")),"")</f>
        <v/>
      </c>
      <c r="Y522" s="25">
        <f>IF(X522="","",IF(IFERROR(COUNTIF(X$3:X522,"="&amp;SUBSTITUTE(SUBSTITUTE(SUBSTITUTE(X522,"~","~~"),"*","~*"),"?","~?")),0)=1,1,""))</f>
        <v/>
      </c>
      <c r="Z522" s="25">
        <f>IF(T522=1,MAX(Z$2:Z521)+1,"")</f>
        <v/>
      </c>
    </row>
    <row r="523">
      <c r="A523">
        <f>IF(A$2=0,"",IFERROR(TRIM(INDEX('Pegar calibracion'!$A$1:$BZ$1001,522,A$2)&amp;""),""))</f>
        <v/>
      </c>
      <c r="B523">
        <f>IF(B$2=0,"",IFERROR(TRIM(INDEX('Pegar calibracion'!$A$1:$BZ$1001,522,B$2)&amp;""),""))</f>
        <v/>
      </c>
      <c r="C523">
        <f>IF(C$2=0,"",IFERROR(TRIM(INDEX('Pegar calibracion'!$A$1:$BZ$1001,522,C$2)&amp;""),""))</f>
        <v/>
      </c>
      <c r="D523">
        <f>IF(D$2=0,"",IFERROR(TRIM(INDEX('Pegar calibracion'!$A$1:$BZ$1001,522,D$2)&amp;""),""))</f>
        <v/>
      </c>
      <c r="E523">
        <f>IF(E$2=0,"",IFERROR(TRIM(INDEX('Pegar calibracion'!$A$1:$BZ$1001,522,E$2)&amp;""),""))</f>
        <v/>
      </c>
      <c r="F523">
        <f>IF(F$2=0,"",IFERROR(TRIM(INDEX('Pegar calibracion'!$A$1:$BZ$1001,522,F$2)&amp;""),""))</f>
        <v/>
      </c>
      <c r="G523">
        <f>IF(G$2=0,"",IFERROR(TRIM(INDEX('Pegar calibracion'!$A$1:$BZ$1001,522,G$2)&amp;""),""))</f>
        <v/>
      </c>
      <c r="H523">
        <f>IF(H$2=0,"",IFERROR(TRIM(INDEX('Pegar calibracion'!$A$1:$BZ$1001,522,H$2)&amp;""),""))</f>
        <v/>
      </c>
      <c r="I523">
        <f>IF(I$2=0,"",IFERROR(TRIM(INDEX('Pegar calibracion'!$A$1:$BZ$1001,522,I$2)&amp;""),""))</f>
        <v/>
      </c>
      <c r="J523">
        <f>IF(J$2=0,"",IFERROR(TRIM(INDEX('Pegar calibracion'!$A$1:$BZ$1001,522,J$2)&amp;""),""))</f>
        <v/>
      </c>
      <c r="K523">
        <f>IF(K$2=0,"",IFERROR(TRIM(INDEX('Pegar calibracion'!$A$1:$BZ$1001,522,K$2)&amp;""),""))</f>
        <v/>
      </c>
      <c r="L523">
        <f>IF(L$2=0,"",IFERROR(TRIM(INDEX('Pegar calibracion'!$A$1:$BZ$1001,522,L$2)&amp;""),""))</f>
        <v/>
      </c>
      <c r="M523" s="25">
        <f>IF(D523="","",SUBSTITUTE(SUBSTITUTE(SUBSTITUTE(SUBSTITUTE(SUBSTITUTE(SUBSTITUTE(SUBSTITUTE(SUBSTITUTE(SUBSTITUTE(SUBSTITUTE(SUBSTITUTE(SUBSTITUTE(LOWER(TRIM(D523)),"á","a"),"é","e"),"í","i"),"ó","o"),"ú","u"),"ü","u"),"ñ","n"),"à","a"),"è","e"),"ì","i"),"ò","o"),"ù","u"))</f>
        <v/>
      </c>
      <c r="N523" s="25">
        <f>IF(F523="","",SUBSTITUTE(SUBSTITUTE(SUBSTITUTE(SUBSTITUTE(SUBSTITUTE(SUBSTITUTE(SUBSTITUTE(SUBSTITUTE(SUBSTITUTE(SUBSTITUTE(SUBSTITUTE(SUBSTITUTE(LOWER(TRIM(F523)),"á","a"),"é","e"),"í","i"),"ó","o"),"ú","u"),"ü","u"),"ñ","n"),"à","a"),"è","e"),"ì","i"),"ò","o"),"ù","u"))</f>
        <v/>
      </c>
      <c r="O523" s="25">
        <f>IF(M523="confiable",2,IF(M523="dudosa",1,IF(M523="no confiable",0,"")))</f>
        <v/>
      </c>
      <c r="P523" s="25">
        <f>IF(N523="confiable",2,IF(N523="dudosa",1,IF(N523="no confiable",0,"")))</f>
        <v/>
      </c>
      <c r="Q523" s="25">
        <f>IF(AND(ISNUMBER(O523),ISNUMBER(P523)),1,"")</f>
        <v/>
      </c>
      <c r="R523" s="25">
        <f>IF(Q523=1,IF(O523=P523,"Sí","No"),"")</f>
        <v/>
      </c>
      <c r="S523" s="25">
        <f>IF(Q523=1,IF(P523&lt;O523,"Más estricto",IF(P523&gt;O523,"Más permisivo","Igual")),"")</f>
        <v/>
      </c>
      <c r="T523" s="25">
        <f>IF(Q523=1,IF(ABS(O523-P523)=2,1,0),"")</f>
        <v/>
      </c>
      <c r="U523" s="25">
        <f>IF(H523="","","|"&amp;SUBSTITUTE(SUBSTITUTE(TRIM(H523)," |","|"),"| ","|")&amp;"|")</f>
        <v/>
      </c>
      <c r="V523" s="25">
        <f>IF(AND(Q523=1,B523&lt;&gt;""),IF(IFERROR(COUNTIFS(B$3:B523,"="&amp;SUBSTITUTE(SUBSTITUTE(SUBSTITUTE(B523,"~","~~"),"*","~*"),"?","~?"),Q$3:Q523,1),0)=1,MAX(V$2:V522)+1,""),"")</f>
        <v/>
      </c>
      <c r="W523" s="25">
        <f>IF(V523="","",COUNTIFS($B$3:$B$1002,"="&amp;SUBSTITUTE(SUBSTITUTE(SUBSTITUTE(B523,"~","~~"),"*","~*"),"?","~?"),$Q$3:$Q$1002,1)*10000-V523)</f>
        <v/>
      </c>
      <c r="X523" s="25">
        <f>IF(Q523=1,IF(SUBSTITUTE(SUBSTITUTE(SUBSTITUTE(SUBSTITUTE(SUBSTITUTE(SUBSTITUTE(SUBSTITUTE(SUBSTITUTE(SUBSTITUTE(SUBSTITUTE(SUBSTITUTE(SUBSTITUTE(LOWER(TRIM(A523)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523)),"á","a"),"é","e"),"í","i"),"ó","o"),"ú","u"),"ü","u"),"ñ","n"),"à","a"),"è","e"),"ì","i"),"ò","o"),"ù","u")),"")</f>
        <v/>
      </c>
      <c r="Y523" s="25">
        <f>IF(X523="","",IF(IFERROR(COUNTIF(X$3:X523,"="&amp;SUBSTITUTE(SUBSTITUTE(SUBSTITUTE(X523,"~","~~"),"*","~*"),"?","~?")),0)=1,1,""))</f>
        <v/>
      </c>
      <c r="Z523" s="25">
        <f>IF(T523=1,MAX(Z$2:Z522)+1,"")</f>
        <v/>
      </c>
    </row>
    <row r="524">
      <c r="A524">
        <f>IF(A$2=0,"",IFERROR(TRIM(INDEX('Pegar calibracion'!$A$1:$BZ$1001,523,A$2)&amp;""),""))</f>
        <v/>
      </c>
      <c r="B524">
        <f>IF(B$2=0,"",IFERROR(TRIM(INDEX('Pegar calibracion'!$A$1:$BZ$1001,523,B$2)&amp;""),""))</f>
        <v/>
      </c>
      <c r="C524">
        <f>IF(C$2=0,"",IFERROR(TRIM(INDEX('Pegar calibracion'!$A$1:$BZ$1001,523,C$2)&amp;""),""))</f>
        <v/>
      </c>
      <c r="D524">
        <f>IF(D$2=0,"",IFERROR(TRIM(INDEX('Pegar calibracion'!$A$1:$BZ$1001,523,D$2)&amp;""),""))</f>
        <v/>
      </c>
      <c r="E524">
        <f>IF(E$2=0,"",IFERROR(TRIM(INDEX('Pegar calibracion'!$A$1:$BZ$1001,523,E$2)&amp;""),""))</f>
        <v/>
      </c>
      <c r="F524">
        <f>IF(F$2=0,"",IFERROR(TRIM(INDEX('Pegar calibracion'!$A$1:$BZ$1001,523,F$2)&amp;""),""))</f>
        <v/>
      </c>
      <c r="G524">
        <f>IF(G$2=0,"",IFERROR(TRIM(INDEX('Pegar calibracion'!$A$1:$BZ$1001,523,G$2)&amp;""),""))</f>
        <v/>
      </c>
      <c r="H524">
        <f>IF(H$2=0,"",IFERROR(TRIM(INDEX('Pegar calibracion'!$A$1:$BZ$1001,523,H$2)&amp;""),""))</f>
        <v/>
      </c>
      <c r="I524">
        <f>IF(I$2=0,"",IFERROR(TRIM(INDEX('Pegar calibracion'!$A$1:$BZ$1001,523,I$2)&amp;""),""))</f>
        <v/>
      </c>
      <c r="J524">
        <f>IF(J$2=0,"",IFERROR(TRIM(INDEX('Pegar calibracion'!$A$1:$BZ$1001,523,J$2)&amp;""),""))</f>
        <v/>
      </c>
      <c r="K524">
        <f>IF(K$2=0,"",IFERROR(TRIM(INDEX('Pegar calibracion'!$A$1:$BZ$1001,523,K$2)&amp;""),""))</f>
        <v/>
      </c>
      <c r="L524">
        <f>IF(L$2=0,"",IFERROR(TRIM(INDEX('Pegar calibracion'!$A$1:$BZ$1001,523,L$2)&amp;""),""))</f>
        <v/>
      </c>
      <c r="M524" s="25">
        <f>IF(D524="","",SUBSTITUTE(SUBSTITUTE(SUBSTITUTE(SUBSTITUTE(SUBSTITUTE(SUBSTITUTE(SUBSTITUTE(SUBSTITUTE(SUBSTITUTE(SUBSTITUTE(SUBSTITUTE(SUBSTITUTE(LOWER(TRIM(D524)),"á","a"),"é","e"),"í","i"),"ó","o"),"ú","u"),"ü","u"),"ñ","n"),"à","a"),"è","e"),"ì","i"),"ò","o"),"ù","u"))</f>
        <v/>
      </c>
      <c r="N524" s="25">
        <f>IF(F524="","",SUBSTITUTE(SUBSTITUTE(SUBSTITUTE(SUBSTITUTE(SUBSTITUTE(SUBSTITUTE(SUBSTITUTE(SUBSTITUTE(SUBSTITUTE(SUBSTITUTE(SUBSTITUTE(SUBSTITUTE(LOWER(TRIM(F524)),"á","a"),"é","e"),"í","i"),"ó","o"),"ú","u"),"ü","u"),"ñ","n"),"à","a"),"è","e"),"ì","i"),"ò","o"),"ù","u"))</f>
        <v/>
      </c>
      <c r="O524" s="25">
        <f>IF(M524="confiable",2,IF(M524="dudosa",1,IF(M524="no confiable",0,"")))</f>
        <v/>
      </c>
      <c r="P524" s="25">
        <f>IF(N524="confiable",2,IF(N524="dudosa",1,IF(N524="no confiable",0,"")))</f>
        <v/>
      </c>
      <c r="Q524" s="25">
        <f>IF(AND(ISNUMBER(O524),ISNUMBER(P524)),1,"")</f>
        <v/>
      </c>
      <c r="R524" s="25">
        <f>IF(Q524=1,IF(O524=P524,"Sí","No"),"")</f>
        <v/>
      </c>
      <c r="S524" s="25">
        <f>IF(Q524=1,IF(P524&lt;O524,"Más estricto",IF(P524&gt;O524,"Más permisivo","Igual")),"")</f>
        <v/>
      </c>
      <c r="T524" s="25">
        <f>IF(Q524=1,IF(ABS(O524-P524)=2,1,0),"")</f>
        <v/>
      </c>
      <c r="U524" s="25">
        <f>IF(H524="","","|"&amp;SUBSTITUTE(SUBSTITUTE(TRIM(H524)," |","|"),"| ","|")&amp;"|")</f>
        <v/>
      </c>
      <c r="V524" s="25">
        <f>IF(AND(Q524=1,B524&lt;&gt;""),IF(IFERROR(COUNTIFS(B$3:B524,"="&amp;SUBSTITUTE(SUBSTITUTE(SUBSTITUTE(B524,"~","~~"),"*","~*"),"?","~?"),Q$3:Q524,1),0)=1,MAX(V$2:V523)+1,""),"")</f>
        <v/>
      </c>
      <c r="W524" s="25">
        <f>IF(V524="","",COUNTIFS($B$3:$B$1002,"="&amp;SUBSTITUTE(SUBSTITUTE(SUBSTITUTE(B524,"~","~~"),"*","~*"),"?","~?"),$Q$3:$Q$1002,1)*10000-V524)</f>
        <v/>
      </c>
      <c r="X524" s="25">
        <f>IF(Q524=1,IF(SUBSTITUTE(SUBSTITUTE(SUBSTITUTE(SUBSTITUTE(SUBSTITUTE(SUBSTITUTE(SUBSTITUTE(SUBSTITUTE(SUBSTITUTE(SUBSTITUTE(SUBSTITUTE(SUBSTITUTE(LOWER(TRIM(A524)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524)),"á","a"),"é","e"),"í","i"),"ó","o"),"ú","u"),"ü","u"),"ñ","n"),"à","a"),"è","e"),"ì","i"),"ò","o"),"ù","u")),"")</f>
        <v/>
      </c>
      <c r="Y524" s="25">
        <f>IF(X524="","",IF(IFERROR(COUNTIF(X$3:X524,"="&amp;SUBSTITUTE(SUBSTITUTE(SUBSTITUTE(X524,"~","~~"),"*","~*"),"?","~?")),0)=1,1,""))</f>
        <v/>
      </c>
      <c r="Z524" s="25">
        <f>IF(T524=1,MAX(Z$2:Z523)+1,"")</f>
        <v/>
      </c>
    </row>
    <row r="525">
      <c r="A525">
        <f>IF(A$2=0,"",IFERROR(TRIM(INDEX('Pegar calibracion'!$A$1:$BZ$1001,524,A$2)&amp;""),""))</f>
        <v/>
      </c>
      <c r="B525">
        <f>IF(B$2=0,"",IFERROR(TRIM(INDEX('Pegar calibracion'!$A$1:$BZ$1001,524,B$2)&amp;""),""))</f>
        <v/>
      </c>
      <c r="C525">
        <f>IF(C$2=0,"",IFERROR(TRIM(INDEX('Pegar calibracion'!$A$1:$BZ$1001,524,C$2)&amp;""),""))</f>
        <v/>
      </c>
      <c r="D525">
        <f>IF(D$2=0,"",IFERROR(TRIM(INDEX('Pegar calibracion'!$A$1:$BZ$1001,524,D$2)&amp;""),""))</f>
        <v/>
      </c>
      <c r="E525">
        <f>IF(E$2=0,"",IFERROR(TRIM(INDEX('Pegar calibracion'!$A$1:$BZ$1001,524,E$2)&amp;""),""))</f>
        <v/>
      </c>
      <c r="F525">
        <f>IF(F$2=0,"",IFERROR(TRIM(INDEX('Pegar calibracion'!$A$1:$BZ$1001,524,F$2)&amp;""),""))</f>
        <v/>
      </c>
      <c r="G525">
        <f>IF(G$2=0,"",IFERROR(TRIM(INDEX('Pegar calibracion'!$A$1:$BZ$1001,524,G$2)&amp;""),""))</f>
        <v/>
      </c>
      <c r="H525">
        <f>IF(H$2=0,"",IFERROR(TRIM(INDEX('Pegar calibracion'!$A$1:$BZ$1001,524,H$2)&amp;""),""))</f>
        <v/>
      </c>
      <c r="I525">
        <f>IF(I$2=0,"",IFERROR(TRIM(INDEX('Pegar calibracion'!$A$1:$BZ$1001,524,I$2)&amp;""),""))</f>
        <v/>
      </c>
      <c r="J525">
        <f>IF(J$2=0,"",IFERROR(TRIM(INDEX('Pegar calibracion'!$A$1:$BZ$1001,524,J$2)&amp;""),""))</f>
        <v/>
      </c>
      <c r="K525">
        <f>IF(K$2=0,"",IFERROR(TRIM(INDEX('Pegar calibracion'!$A$1:$BZ$1001,524,K$2)&amp;""),""))</f>
        <v/>
      </c>
      <c r="L525">
        <f>IF(L$2=0,"",IFERROR(TRIM(INDEX('Pegar calibracion'!$A$1:$BZ$1001,524,L$2)&amp;""),""))</f>
        <v/>
      </c>
      <c r="M525" s="25">
        <f>IF(D525="","",SUBSTITUTE(SUBSTITUTE(SUBSTITUTE(SUBSTITUTE(SUBSTITUTE(SUBSTITUTE(SUBSTITUTE(SUBSTITUTE(SUBSTITUTE(SUBSTITUTE(SUBSTITUTE(SUBSTITUTE(LOWER(TRIM(D525)),"á","a"),"é","e"),"í","i"),"ó","o"),"ú","u"),"ü","u"),"ñ","n"),"à","a"),"è","e"),"ì","i"),"ò","o"),"ù","u"))</f>
        <v/>
      </c>
      <c r="N525" s="25">
        <f>IF(F525="","",SUBSTITUTE(SUBSTITUTE(SUBSTITUTE(SUBSTITUTE(SUBSTITUTE(SUBSTITUTE(SUBSTITUTE(SUBSTITUTE(SUBSTITUTE(SUBSTITUTE(SUBSTITUTE(SUBSTITUTE(LOWER(TRIM(F525)),"á","a"),"é","e"),"í","i"),"ó","o"),"ú","u"),"ü","u"),"ñ","n"),"à","a"),"è","e"),"ì","i"),"ò","o"),"ù","u"))</f>
        <v/>
      </c>
      <c r="O525" s="25">
        <f>IF(M525="confiable",2,IF(M525="dudosa",1,IF(M525="no confiable",0,"")))</f>
        <v/>
      </c>
      <c r="P525" s="25">
        <f>IF(N525="confiable",2,IF(N525="dudosa",1,IF(N525="no confiable",0,"")))</f>
        <v/>
      </c>
      <c r="Q525" s="25">
        <f>IF(AND(ISNUMBER(O525),ISNUMBER(P525)),1,"")</f>
        <v/>
      </c>
      <c r="R525" s="25">
        <f>IF(Q525=1,IF(O525=P525,"Sí","No"),"")</f>
        <v/>
      </c>
      <c r="S525" s="25">
        <f>IF(Q525=1,IF(P525&lt;O525,"Más estricto",IF(P525&gt;O525,"Más permisivo","Igual")),"")</f>
        <v/>
      </c>
      <c r="T525" s="25">
        <f>IF(Q525=1,IF(ABS(O525-P525)=2,1,0),"")</f>
        <v/>
      </c>
      <c r="U525" s="25">
        <f>IF(H525="","","|"&amp;SUBSTITUTE(SUBSTITUTE(TRIM(H525)," |","|"),"| ","|")&amp;"|")</f>
        <v/>
      </c>
      <c r="V525" s="25">
        <f>IF(AND(Q525=1,B525&lt;&gt;""),IF(IFERROR(COUNTIFS(B$3:B525,"="&amp;SUBSTITUTE(SUBSTITUTE(SUBSTITUTE(B525,"~","~~"),"*","~*"),"?","~?"),Q$3:Q525,1),0)=1,MAX(V$2:V524)+1,""),"")</f>
        <v/>
      </c>
      <c r="W525" s="25">
        <f>IF(V525="","",COUNTIFS($B$3:$B$1002,"="&amp;SUBSTITUTE(SUBSTITUTE(SUBSTITUTE(B525,"~","~~"),"*","~*"),"?","~?"),$Q$3:$Q$1002,1)*10000-V525)</f>
        <v/>
      </c>
      <c r="X525" s="25">
        <f>IF(Q525=1,IF(SUBSTITUTE(SUBSTITUTE(SUBSTITUTE(SUBSTITUTE(SUBSTITUTE(SUBSTITUTE(SUBSTITUTE(SUBSTITUTE(SUBSTITUTE(SUBSTITUTE(SUBSTITUTE(SUBSTITUTE(LOWER(TRIM(A525)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525)),"á","a"),"é","e"),"í","i"),"ó","o"),"ú","u"),"ü","u"),"ñ","n"),"à","a"),"è","e"),"ì","i"),"ò","o"),"ù","u")),"")</f>
        <v/>
      </c>
      <c r="Y525" s="25">
        <f>IF(X525="","",IF(IFERROR(COUNTIF(X$3:X525,"="&amp;SUBSTITUTE(SUBSTITUTE(SUBSTITUTE(X525,"~","~~"),"*","~*"),"?","~?")),0)=1,1,""))</f>
        <v/>
      </c>
      <c r="Z525" s="25">
        <f>IF(T525=1,MAX(Z$2:Z524)+1,"")</f>
        <v/>
      </c>
    </row>
    <row r="526">
      <c r="A526">
        <f>IF(A$2=0,"",IFERROR(TRIM(INDEX('Pegar calibracion'!$A$1:$BZ$1001,525,A$2)&amp;""),""))</f>
        <v/>
      </c>
      <c r="B526">
        <f>IF(B$2=0,"",IFERROR(TRIM(INDEX('Pegar calibracion'!$A$1:$BZ$1001,525,B$2)&amp;""),""))</f>
        <v/>
      </c>
      <c r="C526">
        <f>IF(C$2=0,"",IFERROR(TRIM(INDEX('Pegar calibracion'!$A$1:$BZ$1001,525,C$2)&amp;""),""))</f>
        <v/>
      </c>
      <c r="D526">
        <f>IF(D$2=0,"",IFERROR(TRIM(INDEX('Pegar calibracion'!$A$1:$BZ$1001,525,D$2)&amp;""),""))</f>
        <v/>
      </c>
      <c r="E526">
        <f>IF(E$2=0,"",IFERROR(TRIM(INDEX('Pegar calibracion'!$A$1:$BZ$1001,525,E$2)&amp;""),""))</f>
        <v/>
      </c>
      <c r="F526">
        <f>IF(F$2=0,"",IFERROR(TRIM(INDEX('Pegar calibracion'!$A$1:$BZ$1001,525,F$2)&amp;""),""))</f>
        <v/>
      </c>
      <c r="G526">
        <f>IF(G$2=0,"",IFERROR(TRIM(INDEX('Pegar calibracion'!$A$1:$BZ$1001,525,G$2)&amp;""),""))</f>
        <v/>
      </c>
      <c r="H526">
        <f>IF(H$2=0,"",IFERROR(TRIM(INDEX('Pegar calibracion'!$A$1:$BZ$1001,525,H$2)&amp;""),""))</f>
        <v/>
      </c>
      <c r="I526">
        <f>IF(I$2=0,"",IFERROR(TRIM(INDEX('Pegar calibracion'!$A$1:$BZ$1001,525,I$2)&amp;""),""))</f>
        <v/>
      </c>
      <c r="J526">
        <f>IF(J$2=0,"",IFERROR(TRIM(INDEX('Pegar calibracion'!$A$1:$BZ$1001,525,J$2)&amp;""),""))</f>
        <v/>
      </c>
      <c r="K526">
        <f>IF(K$2=0,"",IFERROR(TRIM(INDEX('Pegar calibracion'!$A$1:$BZ$1001,525,K$2)&amp;""),""))</f>
        <v/>
      </c>
      <c r="L526">
        <f>IF(L$2=0,"",IFERROR(TRIM(INDEX('Pegar calibracion'!$A$1:$BZ$1001,525,L$2)&amp;""),""))</f>
        <v/>
      </c>
      <c r="M526" s="25">
        <f>IF(D526="","",SUBSTITUTE(SUBSTITUTE(SUBSTITUTE(SUBSTITUTE(SUBSTITUTE(SUBSTITUTE(SUBSTITUTE(SUBSTITUTE(SUBSTITUTE(SUBSTITUTE(SUBSTITUTE(SUBSTITUTE(LOWER(TRIM(D526)),"á","a"),"é","e"),"í","i"),"ó","o"),"ú","u"),"ü","u"),"ñ","n"),"à","a"),"è","e"),"ì","i"),"ò","o"),"ù","u"))</f>
        <v/>
      </c>
      <c r="N526" s="25">
        <f>IF(F526="","",SUBSTITUTE(SUBSTITUTE(SUBSTITUTE(SUBSTITUTE(SUBSTITUTE(SUBSTITUTE(SUBSTITUTE(SUBSTITUTE(SUBSTITUTE(SUBSTITUTE(SUBSTITUTE(SUBSTITUTE(LOWER(TRIM(F526)),"á","a"),"é","e"),"í","i"),"ó","o"),"ú","u"),"ü","u"),"ñ","n"),"à","a"),"è","e"),"ì","i"),"ò","o"),"ù","u"))</f>
        <v/>
      </c>
      <c r="O526" s="25">
        <f>IF(M526="confiable",2,IF(M526="dudosa",1,IF(M526="no confiable",0,"")))</f>
        <v/>
      </c>
      <c r="P526" s="25">
        <f>IF(N526="confiable",2,IF(N526="dudosa",1,IF(N526="no confiable",0,"")))</f>
        <v/>
      </c>
      <c r="Q526" s="25">
        <f>IF(AND(ISNUMBER(O526),ISNUMBER(P526)),1,"")</f>
        <v/>
      </c>
      <c r="R526" s="25">
        <f>IF(Q526=1,IF(O526=P526,"Sí","No"),"")</f>
        <v/>
      </c>
      <c r="S526" s="25">
        <f>IF(Q526=1,IF(P526&lt;O526,"Más estricto",IF(P526&gt;O526,"Más permisivo","Igual")),"")</f>
        <v/>
      </c>
      <c r="T526" s="25">
        <f>IF(Q526=1,IF(ABS(O526-P526)=2,1,0),"")</f>
        <v/>
      </c>
      <c r="U526" s="25">
        <f>IF(H526="","","|"&amp;SUBSTITUTE(SUBSTITUTE(TRIM(H526)," |","|"),"| ","|")&amp;"|")</f>
        <v/>
      </c>
      <c r="V526" s="25">
        <f>IF(AND(Q526=1,B526&lt;&gt;""),IF(IFERROR(COUNTIFS(B$3:B526,"="&amp;SUBSTITUTE(SUBSTITUTE(SUBSTITUTE(B526,"~","~~"),"*","~*"),"?","~?"),Q$3:Q526,1),0)=1,MAX(V$2:V525)+1,""),"")</f>
        <v/>
      </c>
      <c r="W526" s="25">
        <f>IF(V526="","",COUNTIFS($B$3:$B$1002,"="&amp;SUBSTITUTE(SUBSTITUTE(SUBSTITUTE(B526,"~","~~"),"*","~*"),"?","~?"),$Q$3:$Q$1002,1)*10000-V526)</f>
        <v/>
      </c>
      <c r="X526" s="25">
        <f>IF(Q526=1,IF(SUBSTITUTE(SUBSTITUTE(SUBSTITUTE(SUBSTITUTE(SUBSTITUTE(SUBSTITUTE(SUBSTITUTE(SUBSTITUTE(SUBSTITUTE(SUBSTITUTE(SUBSTITUTE(SUBSTITUTE(LOWER(TRIM(A526)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526)),"á","a"),"é","e"),"í","i"),"ó","o"),"ú","u"),"ü","u"),"ñ","n"),"à","a"),"è","e"),"ì","i"),"ò","o"),"ù","u")),"")</f>
        <v/>
      </c>
      <c r="Y526" s="25">
        <f>IF(X526="","",IF(IFERROR(COUNTIF(X$3:X526,"="&amp;SUBSTITUTE(SUBSTITUTE(SUBSTITUTE(X526,"~","~~"),"*","~*"),"?","~?")),0)=1,1,""))</f>
        <v/>
      </c>
      <c r="Z526" s="25">
        <f>IF(T526=1,MAX(Z$2:Z525)+1,"")</f>
        <v/>
      </c>
    </row>
    <row r="527">
      <c r="A527">
        <f>IF(A$2=0,"",IFERROR(TRIM(INDEX('Pegar calibracion'!$A$1:$BZ$1001,526,A$2)&amp;""),""))</f>
        <v/>
      </c>
      <c r="B527">
        <f>IF(B$2=0,"",IFERROR(TRIM(INDEX('Pegar calibracion'!$A$1:$BZ$1001,526,B$2)&amp;""),""))</f>
        <v/>
      </c>
      <c r="C527">
        <f>IF(C$2=0,"",IFERROR(TRIM(INDEX('Pegar calibracion'!$A$1:$BZ$1001,526,C$2)&amp;""),""))</f>
        <v/>
      </c>
      <c r="D527">
        <f>IF(D$2=0,"",IFERROR(TRIM(INDEX('Pegar calibracion'!$A$1:$BZ$1001,526,D$2)&amp;""),""))</f>
        <v/>
      </c>
      <c r="E527">
        <f>IF(E$2=0,"",IFERROR(TRIM(INDEX('Pegar calibracion'!$A$1:$BZ$1001,526,E$2)&amp;""),""))</f>
        <v/>
      </c>
      <c r="F527">
        <f>IF(F$2=0,"",IFERROR(TRIM(INDEX('Pegar calibracion'!$A$1:$BZ$1001,526,F$2)&amp;""),""))</f>
        <v/>
      </c>
      <c r="G527">
        <f>IF(G$2=0,"",IFERROR(TRIM(INDEX('Pegar calibracion'!$A$1:$BZ$1001,526,G$2)&amp;""),""))</f>
        <v/>
      </c>
      <c r="H527">
        <f>IF(H$2=0,"",IFERROR(TRIM(INDEX('Pegar calibracion'!$A$1:$BZ$1001,526,H$2)&amp;""),""))</f>
        <v/>
      </c>
      <c r="I527">
        <f>IF(I$2=0,"",IFERROR(TRIM(INDEX('Pegar calibracion'!$A$1:$BZ$1001,526,I$2)&amp;""),""))</f>
        <v/>
      </c>
      <c r="J527">
        <f>IF(J$2=0,"",IFERROR(TRIM(INDEX('Pegar calibracion'!$A$1:$BZ$1001,526,J$2)&amp;""),""))</f>
        <v/>
      </c>
      <c r="K527">
        <f>IF(K$2=0,"",IFERROR(TRIM(INDEX('Pegar calibracion'!$A$1:$BZ$1001,526,K$2)&amp;""),""))</f>
        <v/>
      </c>
      <c r="L527">
        <f>IF(L$2=0,"",IFERROR(TRIM(INDEX('Pegar calibracion'!$A$1:$BZ$1001,526,L$2)&amp;""),""))</f>
        <v/>
      </c>
      <c r="M527" s="25">
        <f>IF(D527="","",SUBSTITUTE(SUBSTITUTE(SUBSTITUTE(SUBSTITUTE(SUBSTITUTE(SUBSTITUTE(SUBSTITUTE(SUBSTITUTE(SUBSTITUTE(SUBSTITUTE(SUBSTITUTE(SUBSTITUTE(LOWER(TRIM(D527)),"á","a"),"é","e"),"í","i"),"ó","o"),"ú","u"),"ü","u"),"ñ","n"),"à","a"),"è","e"),"ì","i"),"ò","o"),"ù","u"))</f>
        <v/>
      </c>
      <c r="N527" s="25">
        <f>IF(F527="","",SUBSTITUTE(SUBSTITUTE(SUBSTITUTE(SUBSTITUTE(SUBSTITUTE(SUBSTITUTE(SUBSTITUTE(SUBSTITUTE(SUBSTITUTE(SUBSTITUTE(SUBSTITUTE(SUBSTITUTE(LOWER(TRIM(F527)),"á","a"),"é","e"),"í","i"),"ó","o"),"ú","u"),"ü","u"),"ñ","n"),"à","a"),"è","e"),"ì","i"),"ò","o"),"ù","u"))</f>
        <v/>
      </c>
      <c r="O527" s="25">
        <f>IF(M527="confiable",2,IF(M527="dudosa",1,IF(M527="no confiable",0,"")))</f>
        <v/>
      </c>
      <c r="P527" s="25">
        <f>IF(N527="confiable",2,IF(N527="dudosa",1,IF(N527="no confiable",0,"")))</f>
        <v/>
      </c>
      <c r="Q527" s="25">
        <f>IF(AND(ISNUMBER(O527),ISNUMBER(P527)),1,"")</f>
        <v/>
      </c>
      <c r="R527" s="25">
        <f>IF(Q527=1,IF(O527=P527,"Sí","No"),"")</f>
        <v/>
      </c>
      <c r="S527" s="25">
        <f>IF(Q527=1,IF(P527&lt;O527,"Más estricto",IF(P527&gt;O527,"Más permisivo","Igual")),"")</f>
        <v/>
      </c>
      <c r="T527" s="25">
        <f>IF(Q527=1,IF(ABS(O527-P527)=2,1,0),"")</f>
        <v/>
      </c>
      <c r="U527" s="25">
        <f>IF(H527="","","|"&amp;SUBSTITUTE(SUBSTITUTE(TRIM(H527)," |","|"),"| ","|")&amp;"|")</f>
        <v/>
      </c>
      <c r="V527" s="25">
        <f>IF(AND(Q527=1,B527&lt;&gt;""),IF(IFERROR(COUNTIFS(B$3:B527,"="&amp;SUBSTITUTE(SUBSTITUTE(SUBSTITUTE(B527,"~","~~"),"*","~*"),"?","~?"),Q$3:Q527,1),0)=1,MAX(V$2:V526)+1,""),"")</f>
        <v/>
      </c>
      <c r="W527" s="25">
        <f>IF(V527="","",COUNTIFS($B$3:$B$1002,"="&amp;SUBSTITUTE(SUBSTITUTE(SUBSTITUTE(B527,"~","~~"),"*","~*"),"?","~?"),$Q$3:$Q$1002,1)*10000-V527)</f>
        <v/>
      </c>
      <c r="X527" s="25">
        <f>IF(Q527=1,IF(SUBSTITUTE(SUBSTITUTE(SUBSTITUTE(SUBSTITUTE(SUBSTITUTE(SUBSTITUTE(SUBSTITUTE(SUBSTITUTE(SUBSTITUTE(SUBSTITUTE(SUBSTITUTE(SUBSTITUTE(LOWER(TRIM(A527)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527)),"á","a"),"é","e"),"í","i"),"ó","o"),"ú","u"),"ü","u"),"ñ","n"),"à","a"),"è","e"),"ì","i"),"ò","o"),"ù","u")),"")</f>
        <v/>
      </c>
      <c r="Y527" s="25">
        <f>IF(X527="","",IF(IFERROR(COUNTIF(X$3:X527,"="&amp;SUBSTITUTE(SUBSTITUTE(SUBSTITUTE(X527,"~","~~"),"*","~*"),"?","~?")),0)=1,1,""))</f>
        <v/>
      </c>
      <c r="Z527" s="25">
        <f>IF(T527=1,MAX(Z$2:Z526)+1,"")</f>
        <v/>
      </c>
    </row>
    <row r="528">
      <c r="A528">
        <f>IF(A$2=0,"",IFERROR(TRIM(INDEX('Pegar calibracion'!$A$1:$BZ$1001,527,A$2)&amp;""),""))</f>
        <v/>
      </c>
      <c r="B528">
        <f>IF(B$2=0,"",IFERROR(TRIM(INDEX('Pegar calibracion'!$A$1:$BZ$1001,527,B$2)&amp;""),""))</f>
        <v/>
      </c>
      <c r="C528">
        <f>IF(C$2=0,"",IFERROR(TRIM(INDEX('Pegar calibracion'!$A$1:$BZ$1001,527,C$2)&amp;""),""))</f>
        <v/>
      </c>
      <c r="D528">
        <f>IF(D$2=0,"",IFERROR(TRIM(INDEX('Pegar calibracion'!$A$1:$BZ$1001,527,D$2)&amp;""),""))</f>
        <v/>
      </c>
      <c r="E528">
        <f>IF(E$2=0,"",IFERROR(TRIM(INDEX('Pegar calibracion'!$A$1:$BZ$1001,527,E$2)&amp;""),""))</f>
        <v/>
      </c>
      <c r="F528">
        <f>IF(F$2=0,"",IFERROR(TRIM(INDEX('Pegar calibracion'!$A$1:$BZ$1001,527,F$2)&amp;""),""))</f>
        <v/>
      </c>
      <c r="G528">
        <f>IF(G$2=0,"",IFERROR(TRIM(INDEX('Pegar calibracion'!$A$1:$BZ$1001,527,G$2)&amp;""),""))</f>
        <v/>
      </c>
      <c r="H528">
        <f>IF(H$2=0,"",IFERROR(TRIM(INDEX('Pegar calibracion'!$A$1:$BZ$1001,527,H$2)&amp;""),""))</f>
        <v/>
      </c>
      <c r="I528">
        <f>IF(I$2=0,"",IFERROR(TRIM(INDEX('Pegar calibracion'!$A$1:$BZ$1001,527,I$2)&amp;""),""))</f>
        <v/>
      </c>
      <c r="J528">
        <f>IF(J$2=0,"",IFERROR(TRIM(INDEX('Pegar calibracion'!$A$1:$BZ$1001,527,J$2)&amp;""),""))</f>
        <v/>
      </c>
      <c r="K528">
        <f>IF(K$2=0,"",IFERROR(TRIM(INDEX('Pegar calibracion'!$A$1:$BZ$1001,527,K$2)&amp;""),""))</f>
        <v/>
      </c>
      <c r="L528">
        <f>IF(L$2=0,"",IFERROR(TRIM(INDEX('Pegar calibracion'!$A$1:$BZ$1001,527,L$2)&amp;""),""))</f>
        <v/>
      </c>
      <c r="M528" s="25">
        <f>IF(D528="","",SUBSTITUTE(SUBSTITUTE(SUBSTITUTE(SUBSTITUTE(SUBSTITUTE(SUBSTITUTE(SUBSTITUTE(SUBSTITUTE(SUBSTITUTE(SUBSTITUTE(SUBSTITUTE(SUBSTITUTE(LOWER(TRIM(D528)),"á","a"),"é","e"),"í","i"),"ó","o"),"ú","u"),"ü","u"),"ñ","n"),"à","a"),"è","e"),"ì","i"),"ò","o"),"ù","u"))</f>
        <v/>
      </c>
      <c r="N528" s="25">
        <f>IF(F528="","",SUBSTITUTE(SUBSTITUTE(SUBSTITUTE(SUBSTITUTE(SUBSTITUTE(SUBSTITUTE(SUBSTITUTE(SUBSTITUTE(SUBSTITUTE(SUBSTITUTE(SUBSTITUTE(SUBSTITUTE(LOWER(TRIM(F528)),"á","a"),"é","e"),"í","i"),"ó","o"),"ú","u"),"ü","u"),"ñ","n"),"à","a"),"è","e"),"ì","i"),"ò","o"),"ù","u"))</f>
        <v/>
      </c>
      <c r="O528" s="25">
        <f>IF(M528="confiable",2,IF(M528="dudosa",1,IF(M528="no confiable",0,"")))</f>
        <v/>
      </c>
      <c r="P528" s="25">
        <f>IF(N528="confiable",2,IF(N528="dudosa",1,IF(N528="no confiable",0,"")))</f>
        <v/>
      </c>
      <c r="Q528" s="25">
        <f>IF(AND(ISNUMBER(O528),ISNUMBER(P528)),1,"")</f>
        <v/>
      </c>
      <c r="R528" s="25">
        <f>IF(Q528=1,IF(O528=P528,"Sí","No"),"")</f>
        <v/>
      </c>
      <c r="S528" s="25">
        <f>IF(Q528=1,IF(P528&lt;O528,"Más estricto",IF(P528&gt;O528,"Más permisivo","Igual")),"")</f>
        <v/>
      </c>
      <c r="T528" s="25">
        <f>IF(Q528=1,IF(ABS(O528-P528)=2,1,0),"")</f>
        <v/>
      </c>
      <c r="U528" s="25">
        <f>IF(H528="","","|"&amp;SUBSTITUTE(SUBSTITUTE(TRIM(H528)," |","|"),"| ","|")&amp;"|")</f>
        <v/>
      </c>
      <c r="V528" s="25">
        <f>IF(AND(Q528=1,B528&lt;&gt;""),IF(IFERROR(COUNTIFS(B$3:B528,"="&amp;SUBSTITUTE(SUBSTITUTE(SUBSTITUTE(B528,"~","~~"),"*","~*"),"?","~?"),Q$3:Q528,1),0)=1,MAX(V$2:V527)+1,""),"")</f>
        <v/>
      </c>
      <c r="W528" s="25">
        <f>IF(V528="","",COUNTIFS($B$3:$B$1002,"="&amp;SUBSTITUTE(SUBSTITUTE(SUBSTITUTE(B528,"~","~~"),"*","~*"),"?","~?"),$Q$3:$Q$1002,1)*10000-V528)</f>
        <v/>
      </c>
      <c r="X528" s="25">
        <f>IF(Q528=1,IF(SUBSTITUTE(SUBSTITUTE(SUBSTITUTE(SUBSTITUTE(SUBSTITUTE(SUBSTITUTE(SUBSTITUTE(SUBSTITUTE(SUBSTITUTE(SUBSTITUTE(SUBSTITUTE(SUBSTITUTE(LOWER(TRIM(A528)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528)),"á","a"),"é","e"),"í","i"),"ó","o"),"ú","u"),"ü","u"),"ñ","n"),"à","a"),"è","e"),"ì","i"),"ò","o"),"ù","u")),"")</f>
        <v/>
      </c>
      <c r="Y528" s="25">
        <f>IF(X528="","",IF(IFERROR(COUNTIF(X$3:X528,"="&amp;SUBSTITUTE(SUBSTITUTE(SUBSTITUTE(X528,"~","~~"),"*","~*"),"?","~?")),0)=1,1,""))</f>
        <v/>
      </c>
      <c r="Z528" s="25">
        <f>IF(T528=1,MAX(Z$2:Z527)+1,"")</f>
        <v/>
      </c>
    </row>
    <row r="529">
      <c r="A529">
        <f>IF(A$2=0,"",IFERROR(TRIM(INDEX('Pegar calibracion'!$A$1:$BZ$1001,528,A$2)&amp;""),""))</f>
        <v/>
      </c>
      <c r="B529">
        <f>IF(B$2=0,"",IFERROR(TRIM(INDEX('Pegar calibracion'!$A$1:$BZ$1001,528,B$2)&amp;""),""))</f>
        <v/>
      </c>
      <c r="C529">
        <f>IF(C$2=0,"",IFERROR(TRIM(INDEX('Pegar calibracion'!$A$1:$BZ$1001,528,C$2)&amp;""),""))</f>
        <v/>
      </c>
      <c r="D529">
        <f>IF(D$2=0,"",IFERROR(TRIM(INDEX('Pegar calibracion'!$A$1:$BZ$1001,528,D$2)&amp;""),""))</f>
        <v/>
      </c>
      <c r="E529">
        <f>IF(E$2=0,"",IFERROR(TRIM(INDEX('Pegar calibracion'!$A$1:$BZ$1001,528,E$2)&amp;""),""))</f>
        <v/>
      </c>
      <c r="F529">
        <f>IF(F$2=0,"",IFERROR(TRIM(INDEX('Pegar calibracion'!$A$1:$BZ$1001,528,F$2)&amp;""),""))</f>
        <v/>
      </c>
      <c r="G529">
        <f>IF(G$2=0,"",IFERROR(TRIM(INDEX('Pegar calibracion'!$A$1:$BZ$1001,528,G$2)&amp;""),""))</f>
        <v/>
      </c>
      <c r="H529">
        <f>IF(H$2=0,"",IFERROR(TRIM(INDEX('Pegar calibracion'!$A$1:$BZ$1001,528,H$2)&amp;""),""))</f>
        <v/>
      </c>
      <c r="I529">
        <f>IF(I$2=0,"",IFERROR(TRIM(INDEX('Pegar calibracion'!$A$1:$BZ$1001,528,I$2)&amp;""),""))</f>
        <v/>
      </c>
      <c r="J529">
        <f>IF(J$2=0,"",IFERROR(TRIM(INDEX('Pegar calibracion'!$A$1:$BZ$1001,528,J$2)&amp;""),""))</f>
        <v/>
      </c>
      <c r="K529">
        <f>IF(K$2=0,"",IFERROR(TRIM(INDEX('Pegar calibracion'!$A$1:$BZ$1001,528,K$2)&amp;""),""))</f>
        <v/>
      </c>
      <c r="L529">
        <f>IF(L$2=0,"",IFERROR(TRIM(INDEX('Pegar calibracion'!$A$1:$BZ$1001,528,L$2)&amp;""),""))</f>
        <v/>
      </c>
      <c r="M529" s="25">
        <f>IF(D529="","",SUBSTITUTE(SUBSTITUTE(SUBSTITUTE(SUBSTITUTE(SUBSTITUTE(SUBSTITUTE(SUBSTITUTE(SUBSTITUTE(SUBSTITUTE(SUBSTITUTE(SUBSTITUTE(SUBSTITUTE(LOWER(TRIM(D529)),"á","a"),"é","e"),"í","i"),"ó","o"),"ú","u"),"ü","u"),"ñ","n"),"à","a"),"è","e"),"ì","i"),"ò","o"),"ù","u"))</f>
        <v/>
      </c>
      <c r="N529" s="25">
        <f>IF(F529="","",SUBSTITUTE(SUBSTITUTE(SUBSTITUTE(SUBSTITUTE(SUBSTITUTE(SUBSTITUTE(SUBSTITUTE(SUBSTITUTE(SUBSTITUTE(SUBSTITUTE(SUBSTITUTE(SUBSTITUTE(LOWER(TRIM(F529)),"á","a"),"é","e"),"í","i"),"ó","o"),"ú","u"),"ü","u"),"ñ","n"),"à","a"),"è","e"),"ì","i"),"ò","o"),"ù","u"))</f>
        <v/>
      </c>
      <c r="O529" s="25">
        <f>IF(M529="confiable",2,IF(M529="dudosa",1,IF(M529="no confiable",0,"")))</f>
        <v/>
      </c>
      <c r="P529" s="25">
        <f>IF(N529="confiable",2,IF(N529="dudosa",1,IF(N529="no confiable",0,"")))</f>
        <v/>
      </c>
      <c r="Q529" s="25">
        <f>IF(AND(ISNUMBER(O529),ISNUMBER(P529)),1,"")</f>
        <v/>
      </c>
      <c r="R529" s="25">
        <f>IF(Q529=1,IF(O529=P529,"Sí","No"),"")</f>
        <v/>
      </c>
      <c r="S529" s="25">
        <f>IF(Q529=1,IF(P529&lt;O529,"Más estricto",IF(P529&gt;O529,"Más permisivo","Igual")),"")</f>
        <v/>
      </c>
      <c r="T529" s="25">
        <f>IF(Q529=1,IF(ABS(O529-P529)=2,1,0),"")</f>
        <v/>
      </c>
      <c r="U529" s="25">
        <f>IF(H529="","","|"&amp;SUBSTITUTE(SUBSTITUTE(TRIM(H529)," |","|"),"| ","|")&amp;"|")</f>
        <v/>
      </c>
      <c r="V529" s="25">
        <f>IF(AND(Q529=1,B529&lt;&gt;""),IF(IFERROR(COUNTIFS(B$3:B529,"="&amp;SUBSTITUTE(SUBSTITUTE(SUBSTITUTE(B529,"~","~~"),"*","~*"),"?","~?"),Q$3:Q529,1),0)=1,MAX(V$2:V528)+1,""),"")</f>
        <v/>
      </c>
      <c r="W529" s="25">
        <f>IF(V529="","",COUNTIFS($B$3:$B$1002,"="&amp;SUBSTITUTE(SUBSTITUTE(SUBSTITUTE(B529,"~","~~"),"*","~*"),"?","~?"),$Q$3:$Q$1002,1)*10000-V529)</f>
        <v/>
      </c>
      <c r="X529" s="25">
        <f>IF(Q529=1,IF(SUBSTITUTE(SUBSTITUTE(SUBSTITUTE(SUBSTITUTE(SUBSTITUTE(SUBSTITUTE(SUBSTITUTE(SUBSTITUTE(SUBSTITUTE(SUBSTITUTE(SUBSTITUTE(SUBSTITUTE(LOWER(TRIM(A529)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529)),"á","a"),"é","e"),"í","i"),"ó","o"),"ú","u"),"ü","u"),"ñ","n"),"à","a"),"è","e"),"ì","i"),"ò","o"),"ù","u")),"")</f>
        <v/>
      </c>
      <c r="Y529" s="25">
        <f>IF(X529="","",IF(IFERROR(COUNTIF(X$3:X529,"="&amp;SUBSTITUTE(SUBSTITUTE(SUBSTITUTE(X529,"~","~~"),"*","~*"),"?","~?")),0)=1,1,""))</f>
        <v/>
      </c>
      <c r="Z529" s="25">
        <f>IF(T529=1,MAX(Z$2:Z528)+1,"")</f>
        <v/>
      </c>
    </row>
    <row r="530">
      <c r="A530">
        <f>IF(A$2=0,"",IFERROR(TRIM(INDEX('Pegar calibracion'!$A$1:$BZ$1001,529,A$2)&amp;""),""))</f>
        <v/>
      </c>
      <c r="B530">
        <f>IF(B$2=0,"",IFERROR(TRIM(INDEX('Pegar calibracion'!$A$1:$BZ$1001,529,B$2)&amp;""),""))</f>
        <v/>
      </c>
      <c r="C530">
        <f>IF(C$2=0,"",IFERROR(TRIM(INDEX('Pegar calibracion'!$A$1:$BZ$1001,529,C$2)&amp;""),""))</f>
        <v/>
      </c>
      <c r="D530">
        <f>IF(D$2=0,"",IFERROR(TRIM(INDEX('Pegar calibracion'!$A$1:$BZ$1001,529,D$2)&amp;""),""))</f>
        <v/>
      </c>
      <c r="E530">
        <f>IF(E$2=0,"",IFERROR(TRIM(INDEX('Pegar calibracion'!$A$1:$BZ$1001,529,E$2)&amp;""),""))</f>
        <v/>
      </c>
      <c r="F530">
        <f>IF(F$2=0,"",IFERROR(TRIM(INDEX('Pegar calibracion'!$A$1:$BZ$1001,529,F$2)&amp;""),""))</f>
        <v/>
      </c>
      <c r="G530">
        <f>IF(G$2=0,"",IFERROR(TRIM(INDEX('Pegar calibracion'!$A$1:$BZ$1001,529,G$2)&amp;""),""))</f>
        <v/>
      </c>
      <c r="H530">
        <f>IF(H$2=0,"",IFERROR(TRIM(INDEX('Pegar calibracion'!$A$1:$BZ$1001,529,H$2)&amp;""),""))</f>
        <v/>
      </c>
      <c r="I530">
        <f>IF(I$2=0,"",IFERROR(TRIM(INDEX('Pegar calibracion'!$A$1:$BZ$1001,529,I$2)&amp;""),""))</f>
        <v/>
      </c>
      <c r="J530">
        <f>IF(J$2=0,"",IFERROR(TRIM(INDEX('Pegar calibracion'!$A$1:$BZ$1001,529,J$2)&amp;""),""))</f>
        <v/>
      </c>
      <c r="K530">
        <f>IF(K$2=0,"",IFERROR(TRIM(INDEX('Pegar calibracion'!$A$1:$BZ$1001,529,K$2)&amp;""),""))</f>
        <v/>
      </c>
      <c r="L530">
        <f>IF(L$2=0,"",IFERROR(TRIM(INDEX('Pegar calibracion'!$A$1:$BZ$1001,529,L$2)&amp;""),""))</f>
        <v/>
      </c>
      <c r="M530" s="25">
        <f>IF(D530="","",SUBSTITUTE(SUBSTITUTE(SUBSTITUTE(SUBSTITUTE(SUBSTITUTE(SUBSTITUTE(SUBSTITUTE(SUBSTITUTE(SUBSTITUTE(SUBSTITUTE(SUBSTITUTE(SUBSTITUTE(LOWER(TRIM(D530)),"á","a"),"é","e"),"í","i"),"ó","o"),"ú","u"),"ü","u"),"ñ","n"),"à","a"),"è","e"),"ì","i"),"ò","o"),"ù","u"))</f>
        <v/>
      </c>
      <c r="N530" s="25">
        <f>IF(F530="","",SUBSTITUTE(SUBSTITUTE(SUBSTITUTE(SUBSTITUTE(SUBSTITUTE(SUBSTITUTE(SUBSTITUTE(SUBSTITUTE(SUBSTITUTE(SUBSTITUTE(SUBSTITUTE(SUBSTITUTE(LOWER(TRIM(F530)),"á","a"),"é","e"),"í","i"),"ó","o"),"ú","u"),"ü","u"),"ñ","n"),"à","a"),"è","e"),"ì","i"),"ò","o"),"ù","u"))</f>
        <v/>
      </c>
      <c r="O530" s="25">
        <f>IF(M530="confiable",2,IF(M530="dudosa",1,IF(M530="no confiable",0,"")))</f>
        <v/>
      </c>
      <c r="P530" s="25">
        <f>IF(N530="confiable",2,IF(N530="dudosa",1,IF(N530="no confiable",0,"")))</f>
        <v/>
      </c>
      <c r="Q530" s="25">
        <f>IF(AND(ISNUMBER(O530),ISNUMBER(P530)),1,"")</f>
        <v/>
      </c>
      <c r="R530" s="25">
        <f>IF(Q530=1,IF(O530=P530,"Sí","No"),"")</f>
        <v/>
      </c>
      <c r="S530" s="25">
        <f>IF(Q530=1,IF(P530&lt;O530,"Más estricto",IF(P530&gt;O530,"Más permisivo","Igual")),"")</f>
        <v/>
      </c>
      <c r="T530" s="25">
        <f>IF(Q530=1,IF(ABS(O530-P530)=2,1,0),"")</f>
        <v/>
      </c>
      <c r="U530" s="25">
        <f>IF(H530="","","|"&amp;SUBSTITUTE(SUBSTITUTE(TRIM(H530)," |","|"),"| ","|")&amp;"|")</f>
        <v/>
      </c>
      <c r="V530" s="25">
        <f>IF(AND(Q530=1,B530&lt;&gt;""),IF(IFERROR(COUNTIFS(B$3:B530,"="&amp;SUBSTITUTE(SUBSTITUTE(SUBSTITUTE(B530,"~","~~"),"*","~*"),"?","~?"),Q$3:Q530,1),0)=1,MAX(V$2:V529)+1,""),"")</f>
        <v/>
      </c>
      <c r="W530" s="25">
        <f>IF(V530="","",COUNTIFS($B$3:$B$1002,"="&amp;SUBSTITUTE(SUBSTITUTE(SUBSTITUTE(B530,"~","~~"),"*","~*"),"?","~?"),$Q$3:$Q$1002,1)*10000-V530)</f>
        <v/>
      </c>
      <c r="X530" s="25">
        <f>IF(Q530=1,IF(SUBSTITUTE(SUBSTITUTE(SUBSTITUTE(SUBSTITUTE(SUBSTITUTE(SUBSTITUTE(SUBSTITUTE(SUBSTITUTE(SUBSTITUTE(SUBSTITUTE(SUBSTITUTE(SUBSTITUTE(LOWER(TRIM(A530)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530)),"á","a"),"é","e"),"í","i"),"ó","o"),"ú","u"),"ü","u"),"ñ","n"),"à","a"),"è","e"),"ì","i"),"ò","o"),"ù","u")),"")</f>
        <v/>
      </c>
      <c r="Y530" s="25">
        <f>IF(X530="","",IF(IFERROR(COUNTIF(X$3:X530,"="&amp;SUBSTITUTE(SUBSTITUTE(SUBSTITUTE(X530,"~","~~"),"*","~*"),"?","~?")),0)=1,1,""))</f>
        <v/>
      </c>
      <c r="Z530" s="25">
        <f>IF(T530=1,MAX(Z$2:Z529)+1,"")</f>
        <v/>
      </c>
    </row>
    <row r="531">
      <c r="A531">
        <f>IF(A$2=0,"",IFERROR(TRIM(INDEX('Pegar calibracion'!$A$1:$BZ$1001,530,A$2)&amp;""),""))</f>
        <v/>
      </c>
      <c r="B531">
        <f>IF(B$2=0,"",IFERROR(TRIM(INDEX('Pegar calibracion'!$A$1:$BZ$1001,530,B$2)&amp;""),""))</f>
        <v/>
      </c>
      <c r="C531">
        <f>IF(C$2=0,"",IFERROR(TRIM(INDEX('Pegar calibracion'!$A$1:$BZ$1001,530,C$2)&amp;""),""))</f>
        <v/>
      </c>
      <c r="D531">
        <f>IF(D$2=0,"",IFERROR(TRIM(INDEX('Pegar calibracion'!$A$1:$BZ$1001,530,D$2)&amp;""),""))</f>
        <v/>
      </c>
      <c r="E531">
        <f>IF(E$2=0,"",IFERROR(TRIM(INDEX('Pegar calibracion'!$A$1:$BZ$1001,530,E$2)&amp;""),""))</f>
        <v/>
      </c>
      <c r="F531">
        <f>IF(F$2=0,"",IFERROR(TRIM(INDEX('Pegar calibracion'!$A$1:$BZ$1001,530,F$2)&amp;""),""))</f>
        <v/>
      </c>
      <c r="G531">
        <f>IF(G$2=0,"",IFERROR(TRIM(INDEX('Pegar calibracion'!$A$1:$BZ$1001,530,G$2)&amp;""),""))</f>
        <v/>
      </c>
      <c r="H531">
        <f>IF(H$2=0,"",IFERROR(TRIM(INDEX('Pegar calibracion'!$A$1:$BZ$1001,530,H$2)&amp;""),""))</f>
        <v/>
      </c>
      <c r="I531">
        <f>IF(I$2=0,"",IFERROR(TRIM(INDEX('Pegar calibracion'!$A$1:$BZ$1001,530,I$2)&amp;""),""))</f>
        <v/>
      </c>
      <c r="J531">
        <f>IF(J$2=0,"",IFERROR(TRIM(INDEX('Pegar calibracion'!$A$1:$BZ$1001,530,J$2)&amp;""),""))</f>
        <v/>
      </c>
      <c r="K531">
        <f>IF(K$2=0,"",IFERROR(TRIM(INDEX('Pegar calibracion'!$A$1:$BZ$1001,530,K$2)&amp;""),""))</f>
        <v/>
      </c>
      <c r="L531">
        <f>IF(L$2=0,"",IFERROR(TRIM(INDEX('Pegar calibracion'!$A$1:$BZ$1001,530,L$2)&amp;""),""))</f>
        <v/>
      </c>
      <c r="M531" s="25">
        <f>IF(D531="","",SUBSTITUTE(SUBSTITUTE(SUBSTITUTE(SUBSTITUTE(SUBSTITUTE(SUBSTITUTE(SUBSTITUTE(SUBSTITUTE(SUBSTITUTE(SUBSTITUTE(SUBSTITUTE(SUBSTITUTE(LOWER(TRIM(D531)),"á","a"),"é","e"),"í","i"),"ó","o"),"ú","u"),"ü","u"),"ñ","n"),"à","a"),"è","e"),"ì","i"),"ò","o"),"ù","u"))</f>
        <v/>
      </c>
      <c r="N531" s="25">
        <f>IF(F531="","",SUBSTITUTE(SUBSTITUTE(SUBSTITUTE(SUBSTITUTE(SUBSTITUTE(SUBSTITUTE(SUBSTITUTE(SUBSTITUTE(SUBSTITUTE(SUBSTITUTE(SUBSTITUTE(SUBSTITUTE(LOWER(TRIM(F531)),"á","a"),"é","e"),"í","i"),"ó","o"),"ú","u"),"ü","u"),"ñ","n"),"à","a"),"è","e"),"ì","i"),"ò","o"),"ù","u"))</f>
        <v/>
      </c>
      <c r="O531" s="25">
        <f>IF(M531="confiable",2,IF(M531="dudosa",1,IF(M531="no confiable",0,"")))</f>
        <v/>
      </c>
      <c r="P531" s="25">
        <f>IF(N531="confiable",2,IF(N531="dudosa",1,IF(N531="no confiable",0,"")))</f>
        <v/>
      </c>
      <c r="Q531" s="25">
        <f>IF(AND(ISNUMBER(O531),ISNUMBER(P531)),1,"")</f>
        <v/>
      </c>
      <c r="R531" s="25">
        <f>IF(Q531=1,IF(O531=P531,"Sí","No"),"")</f>
        <v/>
      </c>
      <c r="S531" s="25">
        <f>IF(Q531=1,IF(P531&lt;O531,"Más estricto",IF(P531&gt;O531,"Más permisivo","Igual")),"")</f>
        <v/>
      </c>
      <c r="T531" s="25">
        <f>IF(Q531=1,IF(ABS(O531-P531)=2,1,0),"")</f>
        <v/>
      </c>
      <c r="U531" s="25">
        <f>IF(H531="","","|"&amp;SUBSTITUTE(SUBSTITUTE(TRIM(H531)," |","|"),"| ","|")&amp;"|")</f>
        <v/>
      </c>
      <c r="V531" s="25">
        <f>IF(AND(Q531=1,B531&lt;&gt;""),IF(IFERROR(COUNTIFS(B$3:B531,"="&amp;SUBSTITUTE(SUBSTITUTE(SUBSTITUTE(B531,"~","~~"),"*","~*"),"?","~?"),Q$3:Q531,1),0)=1,MAX(V$2:V530)+1,""),"")</f>
        <v/>
      </c>
      <c r="W531" s="25">
        <f>IF(V531="","",COUNTIFS($B$3:$B$1002,"="&amp;SUBSTITUTE(SUBSTITUTE(SUBSTITUTE(B531,"~","~~"),"*","~*"),"?","~?"),$Q$3:$Q$1002,1)*10000-V531)</f>
        <v/>
      </c>
      <c r="X531" s="25">
        <f>IF(Q531=1,IF(SUBSTITUTE(SUBSTITUTE(SUBSTITUTE(SUBSTITUTE(SUBSTITUTE(SUBSTITUTE(SUBSTITUTE(SUBSTITUTE(SUBSTITUTE(SUBSTITUTE(SUBSTITUTE(SUBSTITUTE(LOWER(TRIM(A531)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531)),"á","a"),"é","e"),"í","i"),"ó","o"),"ú","u"),"ü","u"),"ñ","n"),"à","a"),"è","e"),"ì","i"),"ò","o"),"ù","u")),"")</f>
        <v/>
      </c>
      <c r="Y531" s="25">
        <f>IF(X531="","",IF(IFERROR(COUNTIF(X$3:X531,"="&amp;SUBSTITUTE(SUBSTITUTE(SUBSTITUTE(X531,"~","~~"),"*","~*"),"?","~?")),0)=1,1,""))</f>
        <v/>
      </c>
      <c r="Z531" s="25">
        <f>IF(T531=1,MAX(Z$2:Z530)+1,"")</f>
        <v/>
      </c>
    </row>
    <row r="532">
      <c r="A532">
        <f>IF(A$2=0,"",IFERROR(TRIM(INDEX('Pegar calibracion'!$A$1:$BZ$1001,531,A$2)&amp;""),""))</f>
        <v/>
      </c>
      <c r="B532">
        <f>IF(B$2=0,"",IFERROR(TRIM(INDEX('Pegar calibracion'!$A$1:$BZ$1001,531,B$2)&amp;""),""))</f>
        <v/>
      </c>
      <c r="C532">
        <f>IF(C$2=0,"",IFERROR(TRIM(INDEX('Pegar calibracion'!$A$1:$BZ$1001,531,C$2)&amp;""),""))</f>
        <v/>
      </c>
      <c r="D532">
        <f>IF(D$2=0,"",IFERROR(TRIM(INDEX('Pegar calibracion'!$A$1:$BZ$1001,531,D$2)&amp;""),""))</f>
        <v/>
      </c>
      <c r="E532">
        <f>IF(E$2=0,"",IFERROR(TRIM(INDEX('Pegar calibracion'!$A$1:$BZ$1001,531,E$2)&amp;""),""))</f>
        <v/>
      </c>
      <c r="F532">
        <f>IF(F$2=0,"",IFERROR(TRIM(INDEX('Pegar calibracion'!$A$1:$BZ$1001,531,F$2)&amp;""),""))</f>
        <v/>
      </c>
      <c r="G532">
        <f>IF(G$2=0,"",IFERROR(TRIM(INDEX('Pegar calibracion'!$A$1:$BZ$1001,531,G$2)&amp;""),""))</f>
        <v/>
      </c>
      <c r="H532">
        <f>IF(H$2=0,"",IFERROR(TRIM(INDEX('Pegar calibracion'!$A$1:$BZ$1001,531,H$2)&amp;""),""))</f>
        <v/>
      </c>
      <c r="I532">
        <f>IF(I$2=0,"",IFERROR(TRIM(INDEX('Pegar calibracion'!$A$1:$BZ$1001,531,I$2)&amp;""),""))</f>
        <v/>
      </c>
      <c r="J532">
        <f>IF(J$2=0,"",IFERROR(TRIM(INDEX('Pegar calibracion'!$A$1:$BZ$1001,531,J$2)&amp;""),""))</f>
        <v/>
      </c>
      <c r="K532">
        <f>IF(K$2=0,"",IFERROR(TRIM(INDEX('Pegar calibracion'!$A$1:$BZ$1001,531,K$2)&amp;""),""))</f>
        <v/>
      </c>
      <c r="L532">
        <f>IF(L$2=0,"",IFERROR(TRIM(INDEX('Pegar calibracion'!$A$1:$BZ$1001,531,L$2)&amp;""),""))</f>
        <v/>
      </c>
      <c r="M532" s="25">
        <f>IF(D532="","",SUBSTITUTE(SUBSTITUTE(SUBSTITUTE(SUBSTITUTE(SUBSTITUTE(SUBSTITUTE(SUBSTITUTE(SUBSTITUTE(SUBSTITUTE(SUBSTITUTE(SUBSTITUTE(SUBSTITUTE(LOWER(TRIM(D532)),"á","a"),"é","e"),"í","i"),"ó","o"),"ú","u"),"ü","u"),"ñ","n"),"à","a"),"è","e"),"ì","i"),"ò","o"),"ù","u"))</f>
        <v/>
      </c>
      <c r="N532" s="25">
        <f>IF(F532="","",SUBSTITUTE(SUBSTITUTE(SUBSTITUTE(SUBSTITUTE(SUBSTITUTE(SUBSTITUTE(SUBSTITUTE(SUBSTITUTE(SUBSTITUTE(SUBSTITUTE(SUBSTITUTE(SUBSTITUTE(LOWER(TRIM(F532)),"á","a"),"é","e"),"í","i"),"ó","o"),"ú","u"),"ü","u"),"ñ","n"),"à","a"),"è","e"),"ì","i"),"ò","o"),"ù","u"))</f>
        <v/>
      </c>
      <c r="O532" s="25">
        <f>IF(M532="confiable",2,IF(M532="dudosa",1,IF(M532="no confiable",0,"")))</f>
        <v/>
      </c>
      <c r="P532" s="25">
        <f>IF(N532="confiable",2,IF(N532="dudosa",1,IF(N532="no confiable",0,"")))</f>
        <v/>
      </c>
      <c r="Q532" s="25">
        <f>IF(AND(ISNUMBER(O532),ISNUMBER(P532)),1,"")</f>
        <v/>
      </c>
      <c r="R532" s="25">
        <f>IF(Q532=1,IF(O532=P532,"Sí","No"),"")</f>
        <v/>
      </c>
      <c r="S532" s="25">
        <f>IF(Q532=1,IF(P532&lt;O532,"Más estricto",IF(P532&gt;O532,"Más permisivo","Igual")),"")</f>
        <v/>
      </c>
      <c r="T532" s="25">
        <f>IF(Q532=1,IF(ABS(O532-P532)=2,1,0),"")</f>
        <v/>
      </c>
      <c r="U532" s="25">
        <f>IF(H532="","","|"&amp;SUBSTITUTE(SUBSTITUTE(TRIM(H532)," |","|"),"| ","|")&amp;"|")</f>
        <v/>
      </c>
      <c r="V532" s="25">
        <f>IF(AND(Q532=1,B532&lt;&gt;""),IF(IFERROR(COUNTIFS(B$3:B532,"="&amp;SUBSTITUTE(SUBSTITUTE(SUBSTITUTE(B532,"~","~~"),"*","~*"),"?","~?"),Q$3:Q532,1),0)=1,MAX(V$2:V531)+1,""),"")</f>
        <v/>
      </c>
      <c r="W532" s="25">
        <f>IF(V532="","",COUNTIFS($B$3:$B$1002,"="&amp;SUBSTITUTE(SUBSTITUTE(SUBSTITUTE(B532,"~","~~"),"*","~*"),"?","~?"),$Q$3:$Q$1002,1)*10000-V532)</f>
        <v/>
      </c>
      <c r="X532" s="25">
        <f>IF(Q532=1,IF(SUBSTITUTE(SUBSTITUTE(SUBSTITUTE(SUBSTITUTE(SUBSTITUTE(SUBSTITUTE(SUBSTITUTE(SUBSTITUTE(SUBSTITUTE(SUBSTITUTE(SUBSTITUTE(SUBSTITUTE(LOWER(TRIM(A532)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532)),"á","a"),"é","e"),"í","i"),"ó","o"),"ú","u"),"ü","u"),"ñ","n"),"à","a"),"è","e"),"ì","i"),"ò","o"),"ù","u")),"")</f>
        <v/>
      </c>
      <c r="Y532" s="25">
        <f>IF(X532="","",IF(IFERROR(COUNTIF(X$3:X532,"="&amp;SUBSTITUTE(SUBSTITUTE(SUBSTITUTE(X532,"~","~~"),"*","~*"),"?","~?")),0)=1,1,""))</f>
        <v/>
      </c>
      <c r="Z532" s="25">
        <f>IF(T532=1,MAX(Z$2:Z531)+1,"")</f>
        <v/>
      </c>
    </row>
    <row r="533">
      <c r="A533">
        <f>IF(A$2=0,"",IFERROR(TRIM(INDEX('Pegar calibracion'!$A$1:$BZ$1001,532,A$2)&amp;""),""))</f>
        <v/>
      </c>
      <c r="B533">
        <f>IF(B$2=0,"",IFERROR(TRIM(INDEX('Pegar calibracion'!$A$1:$BZ$1001,532,B$2)&amp;""),""))</f>
        <v/>
      </c>
      <c r="C533">
        <f>IF(C$2=0,"",IFERROR(TRIM(INDEX('Pegar calibracion'!$A$1:$BZ$1001,532,C$2)&amp;""),""))</f>
        <v/>
      </c>
      <c r="D533">
        <f>IF(D$2=0,"",IFERROR(TRIM(INDEX('Pegar calibracion'!$A$1:$BZ$1001,532,D$2)&amp;""),""))</f>
        <v/>
      </c>
      <c r="E533">
        <f>IF(E$2=0,"",IFERROR(TRIM(INDEX('Pegar calibracion'!$A$1:$BZ$1001,532,E$2)&amp;""),""))</f>
        <v/>
      </c>
      <c r="F533">
        <f>IF(F$2=0,"",IFERROR(TRIM(INDEX('Pegar calibracion'!$A$1:$BZ$1001,532,F$2)&amp;""),""))</f>
        <v/>
      </c>
      <c r="G533">
        <f>IF(G$2=0,"",IFERROR(TRIM(INDEX('Pegar calibracion'!$A$1:$BZ$1001,532,G$2)&amp;""),""))</f>
        <v/>
      </c>
      <c r="H533">
        <f>IF(H$2=0,"",IFERROR(TRIM(INDEX('Pegar calibracion'!$A$1:$BZ$1001,532,H$2)&amp;""),""))</f>
        <v/>
      </c>
      <c r="I533">
        <f>IF(I$2=0,"",IFERROR(TRIM(INDEX('Pegar calibracion'!$A$1:$BZ$1001,532,I$2)&amp;""),""))</f>
        <v/>
      </c>
      <c r="J533">
        <f>IF(J$2=0,"",IFERROR(TRIM(INDEX('Pegar calibracion'!$A$1:$BZ$1001,532,J$2)&amp;""),""))</f>
        <v/>
      </c>
      <c r="K533">
        <f>IF(K$2=0,"",IFERROR(TRIM(INDEX('Pegar calibracion'!$A$1:$BZ$1001,532,K$2)&amp;""),""))</f>
        <v/>
      </c>
      <c r="L533">
        <f>IF(L$2=0,"",IFERROR(TRIM(INDEX('Pegar calibracion'!$A$1:$BZ$1001,532,L$2)&amp;""),""))</f>
        <v/>
      </c>
      <c r="M533" s="25">
        <f>IF(D533="","",SUBSTITUTE(SUBSTITUTE(SUBSTITUTE(SUBSTITUTE(SUBSTITUTE(SUBSTITUTE(SUBSTITUTE(SUBSTITUTE(SUBSTITUTE(SUBSTITUTE(SUBSTITUTE(SUBSTITUTE(LOWER(TRIM(D533)),"á","a"),"é","e"),"í","i"),"ó","o"),"ú","u"),"ü","u"),"ñ","n"),"à","a"),"è","e"),"ì","i"),"ò","o"),"ù","u"))</f>
        <v/>
      </c>
      <c r="N533" s="25">
        <f>IF(F533="","",SUBSTITUTE(SUBSTITUTE(SUBSTITUTE(SUBSTITUTE(SUBSTITUTE(SUBSTITUTE(SUBSTITUTE(SUBSTITUTE(SUBSTITUTE(SUBSTITUTE(SUBSTITUTE(SUBSTITUTE(LOWER(TRIM(F533)),"á","a"),"é","e"),"í","i"),"ó","o"),"ú","u"),"ü","u"),"ñ","n"),"à","a"),"è","e"),"ì","i"),"ò","o"),"ù","u"))</f>
        <v/>
      </c>
      <c r="O533" s="25">
        <f>IF(M533="confiable",2,IF(M533="dudosa",1,IF(M533="no confiable",0,"")))</f>
        <v/>
      </c>
      <c r="P533" s="25">
        <f>IF(N533="confiable",2,IF(N533="dudosa",1,IF(N533="no confiable",0,"")))</f>
        <v/>
      </c>
      <c r="Q533" s="25">
        <f>IF(AND(ISNUMBER(O533),ISNUMBER(P533)),1,"")</f>
        <v/>
      </c>
      <c r="R533" s="25">
        <f>IF(Q533=1,IF(O533=P533,"Sí","No"),"")</f>
        <v/>
      </c>
      <c r="S533" s="25">
        <f>IF(Q533=1,IF(P533&lt;O533,"Más estricto",IF(P533&gt;O533,"Más permisivo","Igual")),"")</f>
        <v/>
      </c>
      <c r="T533" s="25">
        <f>IF(Q533=1,IF(ABS(O533-P533)=2,1,0),"")</f>
        <v/>
      </c>
      <c r="U533" s="25">
        <f>IF(H533="","","|"&amp;SUBSTITUTE(SUBSTITUTE(TRIM(H533)," |","|"),"| ","|")&amp;"|")</f>
        <v/>
      </c>
      <c r="V533" s="25">
        <f>IF(AND(Q533=1,B533&lt;&gt;""),IF(IFERROR(COUNTIFS(B$3:B533,"="&amp;SUBSTITUTE(SUBSTITUTE(SUBSTITUTE(B533,"~","~~"),"*","~*"),"?","~?"),Q$3:Q533,1),0)=1,MAX(V$2:V532)+1,""),"")</f>
        <v/>
      </c>
      <c r="W533" s="25">
        <f>IF(V533="","",COUNTIFS($B$3:$B$1002,"="&amp;SUBSTITUTE(SUBSTITUTE(SUBSTITUTE(B533,"~","~~"),"*","~*"),"?","~?"),$Q$3:$Q$1002,1)*10000-V533)</f>
        <v/>
      </c>
      <c r="X533" s="25">
        <f>IF(Q533=1,IF(SUBSTITUTE(SUBSTITUTE(SUBSTITUTE(SUBSTITUTE(SUBSTITUTE(SUBSTITUTE(SUBSTITUTE(SUBSTITUTE(SUBSTITUTE(SUBSTITUTE(SUBSTITUTE(SUBSTITUTE(LOWER(TRIM(A533)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533)),"á","a"),"é","e"),"í","i"),"ó","o"),"ú","u"),"ü","u"),"ñ","n"),"à","a"),"è","e"),"ì","i"),"ò","o"),"ù","u")),"")</f>
        <v/>
      </c>
      <c r="Y533" s="25">
        <f>IF(X533="","",IF(IFERROR(COUNTIF(X$3:X533,"="&amp;SUBSTITUTE(SUBSTITUTE(SUBSTITUTE(X533,"~","~~"),"*","~*"),"?","~?")),0)=1,1,""))</f>
        <v/>
      </c>
      <c r="Z533" s="25">
        <f>IF(T533=1,MAX(Z$2:Z532)+1,"")</f>
        <v/>
      </c>
    </row>
    <row r="534">
      <c r="A534">
        <f>IF(A$2=0,"",IFERROR(TRIM(INDEX('Pegar calibracion'!$A$1:$BZ$1001,533,A$2)&amp;""),""))</f>
        <v/>
      </c>
      <c r="B534">
        <f>IF(B$2=0,"",IFERROR(TRIM(INDEX('Pegar calibracion'!$A$1:$BZ$1001,533,B$2)&amp;""),""))</f>
        <v/>
      </c>
      <c r="C534">
        <f>IF(C$2=0,"",IFERROR(TRIM(INDEX('Pegar calibracion'!$A$1:$BZ$1001,533,C$2)&amp;""),""))</f>
        <v/>
      </c>
      <c r="D534">
        <f>IF(D$2=0,"",IFERROR(TRIM(INDEX('Pegar calibracion'!$A$1:$BZ$1001,533,D$2)&amp;""),""))</f>
        <v/>
      </c>
      <c r="E534">
        <f>IF(E$2=0,"",IFERROR(TRIM(INDEX('Pegar calibracion'!$A$1:$BZ$1001,533,E$2)&amp;""),""))</f>
        <v/>
      </c>
      <c r="F534">
        <f>IF(F$2=0,"",IFERROR(TRIM(INDEX('Pegar calibracion'!$A$1:$BZ$1001,533,F$2)&amp;""),""))</f>
        <v/>
      </c>
      <c r="G534">
        <f>IF(G$2=0,"",IFERROR(TRIM(INDEX('Pegar calibracion'!$A$1:$BZ$1001,533,G$2)&amp;""),""))</f>
        <v/>
      </c>
      <c r="H534">
        <f>IF(H$2=0,"",IFERROR(TRIM(INDEX('Pegar calibracion'!$A$1:$BZ$1001,533,H$2)&amp;""),""))</f>
        <v/>
      </c>
      <c r="I534">
        <f>IF(I$2=0,"",IFERROR(TRIM(INDEX('Pegar calibracion'!$A$1:$BZ$1001,533,I$2)&amp;""),""))</f>
        <v/>
      </c>
      <c r="J534">
        <f>IF(J$2=0,"",IFERROR(TRIM(INDEX('Pegar calibracion'!$A$1:$BZ$1001,533,J$2)&amp;""),""))</f>
        <v/>
      </c>
      <c r="K534">
        <f>IF(K$2=0,"",IFERROR(TRIM(INDEX('Pegar calibracion'!$A$1:$BZ$1001,533,K$2)&amp;""),""))</f>
        <v/>
      </c>
      <c r="L534">
        <f>IF(L$2=0,"",IFERROR(TRIM(INDEX('Pegar calibracion'!$A$1:$BZ$1001,533,L$2)&amp;""),""))</f>
        <v/>
      </c>
      <c r="M534" s="25">
        <f>IF(D534="","",SUBSTITUTE(SUBSTITUTE(SUBSTITUTE(SUBSTITUTE(SUBSTITUTE(SUBSTITUTE(SUBSTITUTE(SUBSTITUTE(SUBSTITUTE(SUBSTITUTE(SUBSTITUTE(SUBSTITUTE(LOWER(TRIM(D534)),"á","a"),"é","e"),"í","i"),"ó","o"),"ú","u"),"ü","u"),"ñ","n"),"à","a"),"è","e"),"ì","i"),"ò","o"),"ù","u"))</f>
        <v/>
      </c>
      <c r="N534" s="25">
        <f>IF(F534="","",SUBSTITUTE(SUBSTITUTE(SUBSTITUTE(SUBSTITUTE(SUBSTITUTE(SUBSTITUTE(SUBSTITUTE(SUBSTITUTE(SUBSTITUTE(SUBSTITUTE(SUBSTITUTE(SUBSTITUTE(LOWER(TRIM(F534)),"á","a"),"é","e"),"í","i"),"ó","o"),"ú","u"),"ü","u"),"ñ","n"),"à","a"),"è","e"),"ì","i"),"ò","o"),"ù","u"))</f>
        <v/>
      </c>
      <c r="O534" s="25">
        <f>IF(M534="confiable",2,IF(M534="dudosa",1,IF(M534="no confiable",0,"")))</f>
        <v/>
      </c>
      <c r="P534" s="25">
        <f>IF(N534="confiable",2,IF(N534="dudosa",1,IF(N534="no confiable",0,"")))</f>
        <v/>
      </c>
      <c r="Q534" s="25">
        <f>IF(AND(ISNUMBER(O534),ISNUMBER(P534)),1,"")</f>
        <v/>
      </c>
      <c r="R534" s="25">
        <f>IF(Q534=1,IF(O534=P534,"Sí","No"),"")</f>
        <v/>
      </c>
      <c r="S534" s="25">
        <f>IF(Q534=1,IF(P534&lt;O534,"Más estricto",IF(P534&gt;O534,"Más permisivo","Igual")),"")</f>
        <v/>
      </c>
      <c r="T534" s="25">
        <f>IF(Q534=1,IF(ABS(O534-P534)=2,1,0),"")</f>
        <v/>
      </c>
      <c r="U534" s="25">
        <f>IF(H534="","","|"&amp;SUBSTITUTE(SUBSTITUTE(TRIM(H534)," |","|"),"| ","|")&amp;"|")</f>
        <v/>
      </c>
      <c r="V534" s="25">
        <f>IF(AND(Q534=1,B534&lt;&gt;""),IF(IFERROR(COUNTIFS(B$3:B534,"="&amp;SUBSTITUTE(SUBSTITUTE(SUBSTITUTE(B534,"~","~~"),"*","~*"),"?","~?"),Q$3:Q534,1),0)=1,MAX(V$2:V533)+1,""),"")</f>
        <v/>
      </c>
      <c r="W534" s="25">
        <f>IF(V534="","",COUNTIFS($B$3:$B$1002,"="&amp;SUBSTITUTE(SUBSTITUTE(SUBSTITUTE(B534,"~","~~"),"*","~*"),"?","~?"),$Q$3:$Q$1002,1)*10000-V534)</f>
        <v/>
      </c>
      <c r="X534" s="25">
        <f>IF(Q534=1,IF(SUBSTITUTE(SUBSTITUTE(SUBSTITUTE(SUBSTITUTE(SUBSTITUTE(SUBSTITUTE(SUBSTITUTE(SUBSTITUTE(SUBSTITUTE(SUBSTITUTE(SUBSTITUTE(SUBSTITUTE(LOWER(TRIM(A534)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534)),"á","a"),"é","e"),"í","i"),"ó","o"),"ú","u"),"ü","u"),"ñ","n"),"à","a"),"è","e"),"ì","i"),"ò","o"),"ù","u")),"")</f>
        <v/>
      </c>
      <c r="Y534" s="25">
        <f>IF(X534="","",IF(IFERROR(COUNTIF(X$3:X534,"="&amp;SUBSTITUTE(SUBSTITUTE(SUBSTITUTE(X534,"~","~~"),"*","~*"),"?","~?")),0)=1,1,""))</f>
        <v/>
      </c>
      <c r="Z534" s="25">
        <f>IF(T534=1,MAX(Z$2:Z533)+1,"")</f>
        <v/>
      </c>
    </row>
    <row r="535">
      <c r="A535">
        <f>IF(A$2=0,"",IFERROR(TRIM(INDEX('Pegar calibracion'!$A$1:$BZ$1001,534,A$2)&amp;""),""))</f>
        <v/>
      </c>
      <c r="B535">
        <f>IF(B$2=0,"",IFERROR(TRIM(INDEX('Pegar calibracion'!$A$1:$BZ$1001,534,B$2)&amp;""),""))</f>
        <v/>
      </c>
      <c r="C535">
        <f>IF(C$2=0,"",IFERROR(TRIM(INDEX('Pegar calibracion'!$A$1:$BZ$1001,534,C$2)&amp;""),""))</f>
        <v/>
      </c>
      <c r="D535">
        <f>IF(D$2=0,"",IFERROR(TRIM(INDEX('Pegar calibracion'!$A$1:$BZ$1001,534,D$2)&amp;""),""))</f>
        <v/>
      </c>
      <c r="E535">
        <f>IF(E$2=0,"",IFERROR(TRIM(INDEX('Pegar calibracion'!$A$1:$BZ$1001,534,E$2)&amp;""),""))</f>
        <v/>
      </c>
      <c r="F535">
        <f>IF(F$2=0,"",IFERROR(TRIM(INDEX('Pegar calibracion'!$A$1:$BZ$1001,534,F$2)&amp;""),""))</f>
        <v/>
      </c>
      <c r="G535">
        <f>IF(G$2=0,"",IFERROR(TRIM(INDEX('Pegar calibracion'!$A$1:$BZ$1001,534,G$2)&amp;""),""))</f>
        <v/>
      </c>
      <c r="H535">
        <f>IF(H$2=0,"",IFERROR(TRIM(INDEX('Pegar calibracion'!$A$1:$BZ$1001,534,H$2)&amp;""),""))</f>
        <v/>
      </c>
      <c r="I535">
        <f>IF(I$2=0,"",IFERROR(TRIM(INDEX('Pegar calibracion'!$A$1:$BZ$1001,534,I$2)&amp;""),""))</f>
        <v/>
      </c>
      <c r="J535">
        <f>IF(J$2=0,"",IFERROR(TRIM(INDEX('Pegar calibracion'!$A$1:$BZ$1001,534,J$2)&amp;""),""))</f>
        <v/>
      </c>
      <c r="K535">
        <f>IF(K$2=0,"",IFERROR(TRIM(INDEX('Pegar calibracion'!$A$1:$BZ$1001,534,K$2)&amp;""),""))</f>
        <v/>
      </c>
      <c r="L535">
        <f>IF(L$2=0,"",IFERROR(TRIM(INDEX('Pegar calibracion'!$A$1:$BZ$1001,534,L$2)&amp;""),""))</f>
        <v/>
      </c>
      <c r="M535" s="25">
        <f>IF(D535="","",SUBSTITUTE(SUBSTITUTE(SUBSTITUTE(SUBSTITUTE(SUBSTITUTE(SUBSTITUTE(SUBSTITUTE(SUBSTITUTE(SUBSTITUTE(SUBSTITUTE(SUBSTITUTE(SUBSTITUTE(LOWER(TRIM(D535)),"á","a"),"é","e"),"í","i"),"ó","o"),"ú","u"),"ü","u"),"ñ","n"),"à","a"),"è","e"),"ì","i"),"ò","o"),"ù","u"))</f>
        <v/>
      </c>
      <c r="N535" s="25">
        <f>IF(F535="","",SUBSTITUTE(SUBSTITUTE(SUBSTITUTE(SUBSTITUTE(SUBSTITUTE(SUBSTITUTE(SUBSTITUTE(SUBSTITUTE(SUBSTITUTE(SUBSTITUTE(SUBSTITUTE(SUBSTITUTE(LOWER(TRIM(F535)),"á","a"),"é","e"),"í","i"),"ó","o"),"ú","u"),"ü","u"),"ñ","n"),"à","a"),"è","e"),"ì","i"),"ò","o"),"ù","u"))</f>
        <v/>
      </c>
      <c r="O535" s="25">
        <f>IF(M535="confiable",2,IF(M535="dudosa",1,IF(M535="no confiable",0,"")))</f>
        <v/>
      </c>
      <c r="P535" s="25">
        <f>IF(N535="confiable",2,IF(N535="dudosa",1,IF(N535="no confiable",0,"")))</f>
        <v/>
      </c>
      <c r="Q535" s="25">
        <f>IF(AND(ISNUMBER(O535),ISNUMBER(P535)),1,"")</f>
        <v/>
      </c>
      <c r="R535" s="25">
        <f>IF(Q535=1,IF(O535=P535,"Sí","No"),"")</f>
        <v/>
      </c>
      <c r="S535" s="25">
        <f>IF(Q535=1,IF(P535&lt;O535,"Más estricto",IF(P535&gt;O535,"Más permisivo","Igual")),"")</f>
        <v/>
      </c>
      <c r="T535" s="25">
        <f>IF(Q535=1,IF(ABS(O535-P535)=2,1,0),"")</f>
        <v/>
      </c>
      <c r="U535" s="25">
        <f>IF(H535="","","|"&amp;SUBSTITUTE(SUBSTITUTE(TRIM(H535)," |","|"),"| ","|")&amp;"|")</f>
        <v/>
      </c>
      <c r="V535" s="25">
        <f>IF(AND(Q535=1,B535&lt;&gt;""),IF(IFERROR(COUNTIFS(B$3:B535,"="&amp;SUBSTITUTE(SUBSTITUTE(SUBSTITUTE(B535,"~","~~"),"*","~*"),"?","~?"),Q$3:Q535,1),0)=1,MAX(V$2:V534)+1,""),"")</f>
        <v/>
      </c>
      <c r="W535" s="25">
        <f>IF(V535="","",COUNTIFS($B$3:$B$1002,"="&amp;SUBSTITUTE(SUBSTITUTE(SUBSTITUTE(B535,"~","~~"),"*","~*"),"?","~?"),$Q$3:$Q$1002,1)*10000-V535)</f>
        <v/>
      </c>
      <c r="X535" s="25">
        <f>IF(Q535=1,IF(SUBSTITUTE(SUBSTITUTE(SUBSTITUTE(SUBSTITUTE(SUBSTITUTE(SUBSTITUTE(SUBSTITUTE(SUBSTITUTE(SUBSTITUTE(SUBSTITUTE(SUBSTITUTE(SUBSTITUTE(LOWER(TRIM(A535)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535)),"á","a"),"é","e"),"í","i"),"ó","o"),"ú","u"),"ü","u"),"ñ","n"),"à","a"),"è","e"),"ì","i"),"ò","o"),"ù","u")),"")</f>
        <v/>
      </c>
      <c r="Y535" s="25">
        <f>IF(X535="","",IF(IFERROR(COUNTIF(X$3:X535,"="&amp;SUBSTITUTE(SUBSTITUTE(SUBSTITUTE(X535,"~","~~"),"*","~*"),"?","~?")),0)=1,1,""))</f>
        <v/>
      </c>
      <c r="Z535" s="25">
        <f>IF(T535=1,MAX(Z$2:Z534)+1,"")</f>
        <v/>
      </c>
    </row>
    <row r="536">
      <c r="A536">
        <f>IF(A$2=0,"",IFERROR(TRIM(INDEX('Pegar calibracion'!$A$1:$BZ$1001,535,A$2)&amp;""),""))</f>
        <v/>
      </c>
      <c r="B536">
        <f>IF(B$2=0,"",IFERROR(TRIM(INDEX('Pegar calibracion'!$A$1:$BZ$1001,535,B$2)&amp;""),""))</f>
        <v/>
      </c>
      <c r="C536">
        <f>IF(C$2=0,"",IFERROR(TRIM(INDEX('Pegar calibracion'!$A$1:$BZ$1001,535,C$2)&amp;""),""))</f>
        <v/>
      </c>
      <c r="D536">
        <f>IF(D$2=0,"",IFERROR(TRIM(INDEX('Pegar calibracion'!$A$1:$BZ$1001,535,D$2)&amp;""),""))</f>
        <v/>
      </c>
      <c r="E536">
        <f>IF(E$2=0,"",IFERROR(TRIM(INDEX('Pegar calibracion'!$A$1:$BZ$1001,535,E$2)&amp;""),""))</f>
        <v/>
      </c>
      <c r="F536">
        <f>IF(F$2=0,"",IFERROR(TRIM(INDEX('Pegar calibracion'!$A$1:$BZ$1001,535,F$2)&amp;""),""))</f>
        <v/>
      </c>
      <c r="G536">
        <f>IF(G$2=0,"",IFERROR(TRIM(INDEX('Pegar calibracion'!$A$1:$BZ$1001,535,G$2)&amp;""),""))</f>
        <v/>
      </c>
      <c r="H536">
        <f>IF(H$2=0,"",IFERROR(TRIM(INDEX('Pegar calibracion'!$A$1:$BZ$1001,535,H$2)&amp;""),""))</f>
        <v/>
      </c>
      <c r="I536">
        <f>IF(I$2=0,"",IFERROR(TRIM(INDEX('Pegar calibracion'!$A$1:$BZ$1001,535,I$2)&amp;""),""))</f>
        <v/>
      </c>
      <c r="J536">
        <f>IF(J$2=0,"",IFERROR(TRIM(INDEX('Pegar calibracion'!$A$1:$BZ$1001,535,J$2)&amp;""),""))</f>
        <v/>
      </c>
      <c r="K536">
        <f>IF(K$2=0,"",IFERROR(TRIM(INDEX('Pegar calibracion'!$A$1:$BZ$1001,535,K$2)&amp;""),""))</f>
        <v/>
      </c>
      <c r="L536">
        <f>IF(L$2=0,"",IFERROR(TRIM(INDEX('Pegar calibracion'!$A$1:$BZ$1001,535,L$2)&amp;""),""))</f>
        <v/>
      </c>
      <c r="M536" s="25">
        <f>IF(D536="","",SUBSTITUTE(SUBSTITUTE(SUBSTITUTE(SUBSTITUTE(SUBSTITUTE(SUBSTITUTE(SUBSTITUTE(SUBSTITUTE(SUBSTITUTE(SUBSTITUTE(SUBSTITUTE(SUBSTITUTE(LOWER(TRIM(D536)),"á","a"),"é","e"),"í","i"),"ó","o"),"ú","u"),"ü","u"),"ñ","n"),"à","a"),"è","e"),"ì","i"),"ò","o"),"ù","u"))</f>
        <v/>
      </c>
      <c r="N536" s="25">
        <f>IF(F536="","",SUBSTITUTE(SUBSTITUTE(SUBSTITUTE(SUBSTITUTE(SUBSTITUTE(SUBSTITUTE(SUBSTITUTE(SUBSTITUTE(SUBSTITUTE(SUBSTITUTE(SUBSTITUTE(SUBSTITUTE(LOWER(TRIM(F536)),"á","a"),"é","e"),"í","i"),"ó","o"),"ú","u"),"ü","u"),"ñ","n"),"à","a"),"è","e"),"ì","i"),"ò","o"),"ù","u"))</f>
        <v/>
      </c>
      <c r="O536" s="25">
        <f>IF(M536="confiable",2,IF(M536="dudosa",1,IF(M536="no confiable",0,"")))</f>
        <v/>
      </c>
      <c r="P536" s="25">
        <f>IF(N536="confiable",2,IF(N536="dudosa",1,IF(N536="no confiable",0,"")))</f>
        <v/>
      </c>
      <c r="Q536" s="25">
        <f>IF(AND(ISNUMBER(O536),ISNUMBER(P536)),1,"")</f>
        <v/>
      </c>
      <c r="R536" s="25">
        <f>IF(Q536=1,IF(O536=P536,"Sí","No"),"")</f>
        <v/>
      </c>
      <c r="S536" s="25">
        <f>IF(Q536=1,IF(P536&lt;O536,"Más estricto",IF(P536&gt;O536,"Más permisivo","Igual")),"")</f>
        <v/>
      </c>
      <c r="T536" s="25">
        <f>IF(Q536=1,IF(ABS(O536-P536)=2,1,0),"")</f>
        <v/>
      </c>
      <c r="U536" s="25">
        <f>IF(H536="","","|"&amp;SUBSTITUTE(SUBSTITUTE(TRIM(H536)," |","|"),"| ","|")&amp;"|")</f>
        <v/>
      </c>
      <c r="V536" s="25">
        <f>IF(AND(Q536=1,B536&lt;&gt;""),IF(IFERROR(COUNTIFS(B$3:B536,"="&amp;SUBSTITUTE(SUBSTITUTE(SUBSTITUTE(B536,"~","~~"),"*","~*"),"?","~?"),Q$3:Q536,1),0)=1,MAX(V$2:V535)+1,""),"")</f>
        <v/>
      </c>
      <c r="W536" s="25">
        <f>IF(V536="","",COUNTIFS($B$3:$B$1002,"="&amp;SUBSTITUTE(SUBSTITUTE(SUBSTITUTE(B536,"~","~~"),"*","~*"),"?","~?"),$Q$3:$Q$1002,1)*10000-V536)</f>
        <v/>
      </c>
      <c r="X536" s="25">
        <f>IF(Q536=1,IF(SUBSTITUTE(SUBSTITUTE(SUBSTITUTE(SUBSTITUTE(SUBSTITUTE(SUBSTITUTE(SUBSTITUTE(SUBSTITUTE(SUBSTITUTE(SUBSTITUTE(SUBSTITUTE(SUBSTITUTE(LOWER(TRIM(A536)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536)),"á","a"),"é","e"),"í","i"),"ó","o"),"ú","u"),"ü","u"),"ñ","n"),"à","a"),"è","e"),"ì","i"),"ò","o"),"ù","u")),"")</f>
        <v/>
      </c>
      <c r="Y536" s="25">
        <f>IF(X536="","",IF(IFERROR(COUNTIF(X$3:X536,"="&amp;SUBSTITUTE(SUBSTITUTE(SUBSTITUTE(X536,"~","~~"),"*","~*"),"?","~?")),0)=1,1,""))</f>
        <v/>
      </c>
      <c r="Z536" s="25">
        <f>IF(T536=1,MAX(Z$2:Z535)+1,"")</f>
        <v/>
      </c>
    </row>
    <row r="537">
      <c r="A537">
        <f>IF(A$2=0,"",IFERROR(TRIM(INDEX('Pegar calibracion'!$A$1:$BZ$1001,536,A$2)&amp;""),""))</f>
        <v/>
      </c>
      <c r="B537">
        <f>IF(B$2=0,"",IFERROR(TRIM(INDEX('Pegar calibracion'!$A$1:$BZ$1001,536,B$2)&amp;""),""))</f>
        <v/>
      </c>
      <c r="C537">
        <f>IF(C$2=0,"",IFERROR(TRIM(INDEX('Pegar calibracion'!$A$1:$BZ$1001,536,C$2)&amp;""),""))</f>
        <v/>
      </c>
      <c r="D537">
        <f>IF(D$2=0,"",IFERROR(TRIM(INDEX('Pegar calibracion'!$A$1:$BZ$1001,536,D$2)&amp;""),""))</f>
        <v/>
      </c>
      <c r="E537">
        <f>IF(E$2=0,"",IFERROR(TRIM(INDEX('Pegar calibracion'!$A$1:$BZ$1001,536,E$2)&amp;""),""))</f>
        <v/>
      </c>
      <c r="F537">
        <f>IF(F$2=0,"",IFERROR(TRIM(INDEX('Pegar calibracion'!$A$1:$BZ$1001,536,F$2)&amp;""),""))</f>
        <v/>
      </c>
      <c r="G537">
        <f>IF(G$2=0,"",IFERROR(TRIM(INDEX('Pegar calibracion'!$A$1:$BZ$1001,536,G$2)&amp;""),""))</f>
        <v/>
      </c>
      <c r="H537">
        <f>IF(H$2=0,"",IFERROR(TRIM(INDEX('Pegar calibracion'!$A$1:$BZ$1001,536,H$2)&amp;""),""))</f>
        <v/>
      </c>
      <c r="I537">
        <f>IF(I$2=0,"",IFERROR(TRIM(INDEX('Pegar calibracion'!$A$1:$BZ$1001,536,I$2)&amp;""),""))</f>
        <v/>
      </c>
      <c r="J537">
        <f>IF(J$2=0,"",IFERROR(TRIM(INDEX('Pegar calibracion'!$A$1:$BZ$1001,536,J$2)&amp;""),""))</f>
        <v/>
      </c>
      <c r="K537">
        <f>IF(K$2=0,"",IFERROR(TRIM(INDEX('Pegar calibracion'!$A$1:$BZ$1001,536,K$2)&amp;""),""))</f>
        <v/>
      </c>
      <c r="L537">
        <f>IF(L$2=0,"",IFERROR(TRIM(INDEX('Pegar calibracion'!$A$1:$BZ$1001,536,L$2)&amp;""),""))</f>
        <v/>
      </c>
      <c r="M537" s="25">
        <f>IF(D537="","",SUBSTITUTE(SUBSTITUTE(SUBSTITUTE(SUBSTITUTE(SUBSTITUTE(SUBSTITUTE(SUBSTITUTE(SUBSTITUTE(SUBSTITUTE(SUBSTITUTE(SUBSTITUTE(SUBSTITUTE(LOWER(TRIM(D537)),"á","a"),"é","e"),"í","i"),"ó","o"),"ú","u"),"ü","u"),"ñ","n"),"à","a"),"è","e"),"ì","i"),"ò","o"),"ù","u"))</f>
        <v/>
      </c>
      <c r="N537" s="25">
        <f>IF(F537="","",SUBSTITUTE(SUBSTITUTE(SUBSTITUTE(SUBSTITUTE(SUBSTITUTE(SUBSTITUTE(SUBSTITUTE(SUBSTITUTE(SUBSTITUTE(SUBSTITUTE(SUBSTITUTE(SUBSTITUTE(LOWER(TRIM(F537)),"á","a"),"é","e"),"í","i"),"ó","o"),"ú","u"),"ü","u"),"ñ","n"),"à","a"),"è","e"),"ì","i"),"ò","o"),"ù","u"))</f>
        <v/>
      </c>
      <c r="O537" s="25">
        <f>IF(M537="confiable",2,IF(M537="dudosa",1,IF(M537="no confiable",0,"")))</f>
        <v/>
      </c>
      <c r="P537" s="25">
        <f>IF(N537="confiable",2,IF(N537="dudosa",1,IF(N537="no confiable",0,"")))</f>
        <v/>
      </c>
      <c r="Q537" s="25">
        <f>IF(AND(ISNUMBER(O537),ISNUMBER(P537)),1,"")</f>
        <v/>
      </c>
      <c r="R537" s="25">
        <f>IF(Q537=1,IF(O537=P537,"Sí","No"),"")</f>
        <v/>
      </c>
      <c r="S537" s="25">
        <f>IF(Q537=1,IF(P537&lt;O537,"Más estricto",IF(P537&gt;O537,"Más permisivo","Igual")),"")</f>
        <v/>
      </c>
      <c r="T537" s="25">
        <f>IF(Q537=1,IF(ABS(O537-P537)=2,1,0),"")</f>
        <v/>
      </c>
      <c r="U537" s="25">
        <f>IF(H537="","","|"&amp;SUBSTITUTE(SUBSTITUTE(TRIM(H537)," |","|"),"| ","|")&amp;"|")</f>
        <v/>
      </c>
      <c r="V537" s="25">
        <f>IF(AND(Q537=1,B537&lt;&gt;""),IF(IFERROR(COUNTIFS(B$3:B537,"="&amp;SUBSTITUTE(SUBSTITUTE(SUBSTITUTE(B537,"~","~~"),"*","~*"),"?","~?"),Q$3:Q537,1),0)=1,MAX(V$2:V536)+1,""),"")</f>
        <v/>
      </c>
      <c r="W537" s="25">
        <f>IF(V537="","",COUNTIFS($B$3:$B$1002,"="&amp;SUBSTITUTE(SUBSTITUTE(SUBSTITUTE(B537,"~","~~"),"*","~*"),"?","~?"),$Q$3:$Q$1002,1)*10000-V537)</f>
        <v/>
      </c>
      <c r="X537" s="25">
        <f>IF(Q537=1,IF(SUBSTITUTE(SUBSTITUTE(SUBSTITUTE(SUBSTITUTE(SUBSTITUTE(SUBSTITUTE(SUBSTITUTE(SUBSTITUTE(SUBSTITUTE(SUBSTITUTE(SUBSTITUTE(SUBSTITUTE(LOWER(TRIM(A537)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537)),"á","a"),"é","e"),"í","i"),"ó","o"),"ú","u"),"ü","u"),"ñ","n"),"à","a"),"è","e"),"ì","i"),"ò","o"),"ù","u")),"")</f>
        <v/>
      </c>
      <c r="Y537" s="25">
        <f>IF(X537="","",IF(IFERROR(COUNTIF(X$3:X537,"="&amp;SUBSTITUTE(SUBSTITUTE(SUBSTITUTE(X537,"~","~~"),"*","~*"),"?","~?")),0)=1,1,""))</f>
        <v/>
      </c>
      <c r="Z537" s="25">
        <f>IF(T537=1,MAX(Z$2:Z536)+1,"")</f>
        <v/>
      </c>
    </row>
    <row r="538">
      <c r="A538">
        <f>IF(A$2=0,"",IFERROR(TRIM(INDEX('Pegar calibracion'!$A$1:$BZ$1001,537,A$2)&amp;""),""))</f>
        <v/>
      </c>
      <c r="B538">
        <f>IF(B$2=0,"",IFERROR(TRIM(INDEX('Pegar calibracion'!$A$1:$BZ$1001,537,B$2)&amp;""),""))</f>
        <v/>
      </c>
      <c r="C538">
        <f>IF(C$2=0,"",IFERROR(TRIM(INDEX('Pegar calibracion'!$A$1:$BZ$1001,537,C$2)&amp;""),""))</f>
        <v/>
      </c>
      <c r="D538">
        <f>IF(D$2=0,"",IFERROR(TRIM(INDEX('Pegar calibracion'!$A$1:$BZ$1001,537,D$2)&amp;""),""))</f>
        <v/>
      </c>
      <c r="E538">
        <f>IF(E$2=0,"",IFERROR(TRIM(INDEX('Pegar calibracion'!$A$1:$BZ$1001,537,E$2)&amp;""),""))</f>
        <v/>
      </c>
      <c r="F538">
        <f>IF(F$2=0,"",IFERROR(TRIM(INDEX('Pegar calibracion'!$A$1:$BZ$1001,537,F$2)&amp;""),""))</f>
        <v/>
      </c>
      <c r="G538">
        <f>IF(G$2=0,"",IFERROR(TRIM(INDEX('Pegar calibracion'!$A$1:$BZ$1001,537,G$2)&amp;""),""))</f>
        <v/>
      </c>
      <c r="H538">
        <f>IF(H$2=0,"",IFERROR(TRIM(INDEX('Pegar calibracion'!$A$1:$BZ$1001,537,H$2)&amp;""),""))</f>
        <v/>
      </c>
      <c r="I538">
        <f>IF(I$2=0,"",IFERROR(TRIM(INDEX('Pegar calibracion'!$A$1:$BZ$1001,537,I$2)&amp;""),""))</f>
        <v/>
      </c>
      <c r="J538">
        <f>IF(J$2=0,"",IFERROR(TRIM(INDEX('Pegar calibracion'!$A$1:$BZ$1001,537,J$2)&amp;""),""))</f>
        <v/>
      </c>
      <c r="K538">
        <f>IF(K$2=0,"",IFERROR(TRIM(INDEX('Pegar calibracion'!$A$1:$BZ$1001,537,K$2)&amp;""),""))</f>
        <v/>
      </c>
      <c r="L538">
        <f>IF(L$2=0,"",IFERROR(TRIM(INDEX('Pegar calibracion'!$A$1:$BZ$1001,537,L$2)&amp;""),""))</f>
        <v/>
      </c>
      <c r="M538" s="25">
        <f>IF(D538="","",SUBSTITUTE(SUBSTITUTE(SUBSTITUTE(SUBSTITUTE(SUBSTITUTE(SUBSTITUTE(SUBSTITUTE(SUBSTITUTE(SUBSTITUTE(SUBSTITUTE(SUBSTITUTE(SUBSTITUTE(LOWER(TRIM(D538)),"á","a"),"é","e"),"í","i"),"ó","o"),"ú","u"),"ü","u"),"ñ","n"),"à","a"),"è","e"),"ì","i"),"ò","o"),"ù","u"))</f>
        <v/>
      </c>
      <c r="N538" s="25">
        <f>IF(F538="","",SUBSTITUTE(SUBSTITUTE(SUBSTITUTE(SUBSTITUTE(SUBSTITUTE(SUBSTITUTE(SUBSTITUTE(SUBSTITUTE(SUBSTITUTE(SUBSTITUTE(SUBSTITUTE(SUBSTITUTE(LOWER(TRIM(F538)),"á","a"),"é","e"),"í","i"),"ó","o"),"ú","u"),"ü","u"),"ñ","n"),"à","a"),"è","e"),"ì","i"),"ò","o"),"ù","u"))</f>
        <v/>
      </c>
      <c r="O538" s="25">
        <f>IF(M538="confiable",2,IF(M538="dudosa",1,IF(M538="no confiable",0,"")))</f>
        <v/>
      </c>
      <c r="P538" s="25">
        <f>IF(N538="confiable",2,IF(N538="dudosa",1,IF(N538="no confiable",0,"")))</f>
        <v/>
      </c>
      <c r="Q538" s="25">
        <f>IF(AND(ISNUMBER(O538),ISNUMBER(P538)),1,"")</f>
        <v/>
      </c>
      <c r="R538" s="25">
        <f>IF(Q538=1,IF(O538=P538,"Sí","No"),"")</f>
        <v/>
      </c>
      <c r="S538" s="25">
        <f>IF(Q538=1,IF(P538&lt;O538,"Más estricto",IF(P538&gt;O538,"Más permisivo","Igual")),"")</f>
        <v/>
      </c>
      <c r="T538" s="25">
        <f>IF(Q538=1,IF(ABS(O538-P538)=2,1,0),"")</f>
        <v/>
      </c>
      <c r="U538" s="25">
        <f>IF(H538="","","|"&amp;SUBSTITUTE(SUBSTITUTE(TRIM(H538)," |","|"),"| ","|")&amp;"|")</f>
        <v/>
      </c>
      <c r="V538" s="25">
        <f>IF(AND(Q538=1,B538&lt;&gt;""),IF(IFERROR(COUNTIFS(B$3:B538,"="&amp;SUBSTITUTE(SUBSTITUTE(SUBSTITUTE(B538,"~","~~"),"*","~*"),"?","~?"),Q$3:Q538,1),0)=1,MAX(V$2:V537)+1,""),"")</f>
        <v/>
      </c>
      <c r="W538" s="25">
        <f>IF(V538="","",COUNTIFS($B$3:$B$1002,"="&amp;SUBSTITUTE(SUBSTITUTE(SUBSTITUTE(B538,"~","~~"),"*","~*"),"?","~?"),$Q$3:$Q$1002,1)*10000-V538)</f>
        <v/>
      </c>
      <c r="X538" s="25">
        <f>IF(Q538=1,IF(SUBSTITUTE(SUBSTITUTE(SUBSTITUTE(SUBSTITUTE(SUBSTITUTE(SUBSTITUTE(SUBSTITUTE(SUBSTITUTE(SUBSTITUTE(SUBSTITUTE(SUBSTITUTE(SUBSTITUTE(LOWER(TRIM(A538)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538)),"á","a"),"é","e"),"í","i"),"ó","o"),"ú","u"),"ü","u"),"ñ","n"),"à","a"),"è","e"),"ì","i"),"ò","o"),"ù","u")),"")</f>
        <v/>
      </c>
      <c r="Y538" s="25">
        <f>IF(X538="","",IF(IFERROR(COUNTIF(X$3:X538,"="&amp;SUBSTITUTE(SUBSTITUTE(SUBSTITUTE(X538,"~","~~"),"*","~*"),"?","~?")),0)=1,1,""))</f>
        <v/>
      </c>
      <c r="Z538" s="25">
        <f>IF(T538=1,MAX(Z$2:Z537)+1,"")</f>
        <v/>
      </c>
    </row>
    <row r="539">
      <c r="A539">
        <f>IF(A$2=0,"",IFERROR(TRIM(INDEX('Pegar calibracion'!$A$1:$BZ$1001,538,A$2)&amp;""),""))</f>
        <v/>
      </c>
      <c r="B539">
        <f>IF(B$2=0,"",IFERROR(TRIM(INDEX('Pegar calibracion'!$A$1:$BZ$1001,538,B$2)&amp;""),""))</f>
        <v/>
      </c>
      <c r="C539">
        <f>IF(C$2=0,"",IFERROR(TRIM(INDEX('Pegar calibracion'!$A$1:$BZ$1001,538,C$2)&amp;""),""))</f>
        <v/>
      </c>
      <c r="D539">
        <f>IF(D$2=0,"",IFERROR(TRIM(INDEX('Pegar calibracion'!$A$1:$BZ$1001,538,D$2)&amp;""),""))</f>
        <v/>
      </c>
      <c r="E539">
        <f>IF(E$2=0,"",IFERROR(TRIM(INDEX('Pegar calibracion'!$A$1:$BZ$1001,538,E$2)&amp;""),""))</f>
        <v/>
      </c>
      <c r="F539">
        <f>IF(F$2=0,"",IFERROR(TRIM(INDEX('Pegar calibracion'!$A$1:$BZ$1001,538,F$2)&amp;""),""))</f>
        <v/>
      </c>
      <c r="G539">
        <f>IF(G$2=0,"",IFERROR(TRIM(INDEX('Pegar calibracion'!$A$1:$BZ$1001,538,G$2)&amp;""),""))</f>
        <v/>
      </c>
      <c r="H539">
        <f>IF(H$2=0,"",IFERROR(TRIM(INDEX('Pegar calibracion'!$A$1:$BZ$1001,538,H$2)&amp;""),""))</f>
        <v/>
      </c>
      <c r="I539">
        <f>IF(I$2=0,"",IFERROR(TRIM(INDEX('Pegar calibracion'!$A$1:$BZ$1001,538,I$2)&amp;""),""))</f>
        <v/>
      </c>
      <c r="J539">
        <f>IF(J$2=0,"",IFERROR(TRIM(INDEX('Pegar calibracion'!$A$1:$BZ$1001,538,J$2)&amp;""),""))</f>
        <v/>
      </c>
      <c r="K539">
        <f>IF(K$2=0,"",IFERROR(TRIM(INDEX('Pegar calibracion'!$A$1:$BZ$1001,538,K$2)&amp;""),""))</f>
        <v/>
      </c>
      <c r="L539">
        <f>IF(L$2=0,"",IFERROR(TRIM(INDEX('Pegar calibracion'!$A$1:$BZ$1001,538,L$2)&amp;""),""))</f>
        <v/>
      </c>
      <c r="M539" s="25">
        <f>IF(D539="","",SUBSTITUTE(SUBSTITUTE(SUBSTITUTE(SUBSTITUTE(SUBSTITUTE(SUBSTITUTE(SUBSTITUTE(SUBSTITUTE(SUBSTITUTE(SUBSTITUTE(SUBSTITUTE(SUBSTITUTE(LOWER(TRIM(D539)),"á","a"),"é","e"),"í","i"),"ó","o"),"ú","u"),"ü","u"),"ñ","n"),"à","a"),"è","e"),"ì","i"),"ò","o"),"ù","u"))</f>
        <v/>
      </c>
      <c r="N539" s="25">
        <f>IF(F539="","",SUBSTITUTE(SUBSTITUTE(SUBSTITUTE(SUBSTITUTE(SUBSTITUTE(SUBSTITUTE(SUBSTITUTE(SUBSTITUTE(SUBSTITUTE(SUBSTITUTE(SUBSTITUTE(SUBSTITUTE(LOWER(TRIM(F539)),"á","a"),"é","e"),"í","i"),"ó","o"),"ú","u"),"ü","u"),"ñ","n"),"à","a"),"è","e"),"ì","i"),"ò","o"),"ù","u"))</f>
        <v/>
      </c>
      <c r="O539" s="25">
        <f>IF(M539="confiable",2,IF(M539="dudosa",1,IF(M539="no confiable",0,"")))</f>
        <v/>
      </c>
      <c r="P539" s="25">
        <f>IF(N539="confiable",2,IF(N539="dudosa",1,IF(N539="no confiable",0,"")))</f>
        <v/>
      </c>
      <c r="Q539" s="25">
        <f>IF(AND(ISNUMBER(O539),ISNUMBER(P539)),1,"")</f>
        <v/>
      </c>
      <c r="R539" s="25">
        <f>IF(Q539=1,IF(O539=P539,"Sí","No"),"")</f>
        <v/>
      </c>
      <c r="S539" s="25">
        <f>IF(Q539=1,IF(P539&lt;O539,"Más estricto",IF(P539&gt;O539,"Más permisivo","Igual")),"")</f>
        <v/>
      </c>
      <c r="T539" s="25">
        <f>IF(Q539=1,IF(ABS(O539-P539)=2,1,0),"")</f>
        <v/>
      </c>
      <c r="U539" s="25">
        <f>IF(H539="","","|"&amp;SUBSTITUTE(SUBSTITUTE(TRIM(H539)," |","|"),"| ","|")&amp;"|")</f>
        <v/>
      </c>
      <c r="V539" s="25">
        <f>IF(AND(Q539=1,B539&lt;&gt;""),IF(IFERROR(COUNTIFS(B$3:B539,"="&amp;SUBSTITUTE(SUBSTITUTE(SUBSTITUTE(B539,"~","~~"),"*","~*"),"?","~?"),Q$3:Q539,1),0)=1,MAX(V$2:V538)+1,""),"")</f>
        <v/>
      </c>
      <c r="W539" s="25">
        <f>IF(V539="","",COUNTIFS($B$3:$B$1002,"="&amp;SUBSTITUTE(SUBSTITUTE(SUBSTITUTE(B539,"~","~~"),"*","~*"),"?","~?"),$Q$3:$Q$1002,1)*10000-V539)</f>
        <v/>
      </c>
      <c r="X539" s="25">
        <f>IF(Q539=1,IF(SUBSTITUTE(SUBSTITUTE(SUBSTITUTE(SUBSTITUTE(SUBSTITUTE(SUBSTITUTE(SUBSTITUTE(SUBSTITUTE(SUBSTITUTE(SUBSTITUTE(SUBSTITUTE(SUBSTITUTE(LOWER(TRIM(A539)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539)),"á","a"),"é","e"),"í","i"),"ó","o"),"ú","u"),"ü","u"),"ñ","n"),"à","a"),"è","e"),"ì","i"),"ò","o"),"ù","u")),"")</f>
        <v/>
      </c>
      <c r="Y539" s="25">
        <f>IF(X539="","",IF(IFERROR(COUNTIF(X$3:X539,"="&amp;SUBSTITUTE(SUBSTITUTE(SUBSTITUTE(X539,"~","~~"),"*","~*"),"?","~?")),0)=1,1,""))</f>
        <v/>
      </c>
      <c r="Z539" s="25">
        <f>IF(T539=1,MAX(Z$2:Z538)+1,"")</f>
        <v/>
      </c>
    </row>
    <row r="540">
      <c r="A540">
        <f>IF(A$2=0,"",IFERROR(TRIM(INDEX('Pegar calibracion'!$A$1:$BZ$1001,539,A$2)&amp;""),""))</f>
        <v/>
      </c>
      <c r="B540">
        <f>IF(B$2=0,"",IFERROR(TRIM(INDEX('Pegar calibracion'!$A$1:$BZ$1001,539,B$2)&amp;""),""))</f>
        <v/>
      </c>
      <c r="C540">
        <f>IF(C$2=0,"",IFERROR(TRIM(INDEX('Pegar calibracion'!$A$1:$BZ$1001,539,C$2)&amp;""),""))</f>
        <v/>
      </c>
      <c r="D540">
        <f>IF(D$2=0,"",IFERROR(TRIM(INDEX('Pegar calibracion'!$A$1:$BZ$1001,539,D$2)&amp;""),""))</f>
        <v/>
      </c>
      <c r="E540">
        <f>IF(E$2=0,"",IFERROR(TRIM(INDEX('Pegar calibracion'!$A$1:$BZ$1001,539,E$2)&amp;""),""))</f>
        <v/>
      </c>
      <c r="F540">
        <f>IF(F$2=0,"",IFERROR(TRIM(INDEX('Pegar calibracion'!$A$1:$BZ$1001,539,F$2)&amp;""),""))</f>
        <v/>
      </c>
      <c r="G540">
        <f>IF(G$2=0,"",IFERROR(TRIM(INDEX('Pegar calibracion'!$A$1:$BZ$1001,539,G$2)&amp;""),""))</f>
        <v/>
      </c>
      <c r="H540">
        <f>IF(H$2=0,"",IFERROR(TRIM(INDEX('Pegar calibracion'!$A$1:$BZ$1001,539,H$2)&amp;""),""))</f>
        <v/>
      </c>
      <c r="I540">
        <f>IF(I$2=0,"",IFERROR(TRIM(INDEX('Pegar calibracion'!$A$1:$BZ$1001,539,I$2)&amp;""),""))</f>
        <v/>
      </c>
      <c r="J540">
        <f>IF(J$2=0,"",IFERROR(TRIM(INDEX('Pegar calibracion'!$A$1:$BZ$1001,539,J$2)&amp;""),""))</f>
        <v/>
      </c>
      <c r="K540">
        <f>IF(K$2=0,"",IFERROR(TRIM(INDEX('Pegar calibracion'!$A$1:$BZ$1001,539,K$2)&amp;""),""))</f>
        <v/>
      </c>
      <c r="L540">
        <f>IF(L$2=0,"",IFERROR(TRIM(INDEX('Pegar calibracion'!$A$1:$BZ$1001,539,L$2)&amp;""),""))</f>
        <v/>
      </c>
      <c r="M540" s="25">
        <f>IF(D540="","",SUBSTITUTE(SUBSTITUTE(SUBSTITUTE(SUBSTITUTE(SUBSTITUTE(SUBSTITUTE(SUBSTITUTE(SUBSTITUTE(SUBSTITUTE(SUBSTITUTE(SUBSTITUTE(SUBSTITUTE(LOWER(TRIM(D540)),"á","a"),"é","e"),"í","i"),"ó","o"),"ú","u"),"ü","u"),"ñ","n"),"à","a"),"è","e"),"ì","i"),"ò","o"),"ù","u"))</f>
        <v/>
      </c>
      <c r="N540" s="25">
        <f>IF(F540="","",SUBSTITUTE(SUBSTITUTE(SUBSTITUTE(SUBSTITUTE(SUBSTITUTE(SUBSTITUTE(SUBSTITUTE(SUBSTITUTE(SUBSTITUTE(SUBSTITUTE(SUBSTITUTE(SUBSTITUTE(LOWER(TRIM(F540)),"á","a"),"é","e"),"í","i"),"ó","o"),"ú","u"),"ü","u"),"ñ","n"),"à","a"),"è","e"),"ì","i"),"ò","o"),"ù","u"))</f>
        <v/>
      </c>
      <c r="O540" s="25">
        <f>IF(M540="confiable",2,IF(M540="dudosa",1,IF(M540="no confiable",0,"")))</f>
        <v/>
      </c>
      <c r="P540" s="25">
        <f>IF(N540="confiable",2,IF(N540="dudosa",1,IF(N540="no confiable",0,"")))</f>
        <v/>
      </c>
      <c r="Q540" s="25">
        <f>IF(AND(ISNUMBER(O540),ISNUMBER(P540)),1,"")</f>
        <v/>
      </c>
      <c r="R540" s="25">
        <f>IF(Q540=1,IF(O540=P540,"Sí","No"),"")</f>
        <v/>
      </c>
      <c r="S540" s="25">
        <f>IF(Q540=1,IF(P540&lt;O540,"Más estricto",IF(P540&gt;O540,"Más permisivo","Igual")),"")</f>
        <v/>
      </c>
      <c r="T540" s="25">
        <f>IF(Q540=1,IF(ABS(O540-P540)=2,1,0),"")</f>
        <v/>
      </c>
      <c r="U540" s="25">
        <f>IF(H540="","","|"&amp;SUBSTITUTE(SUBSTITUTE(TRIM(H540)," |","|"),"| ","|")&amp;"|")</f>
        <v/>
      </c>
      <c r="V540" s="25">
        <f>IF(AND(Q540=1,B540&lt;&gt;""),IF(IFERROR(COUNTIFS(B$3:B540,"="&amp;SUBSTITUTE(SUBSTITUTE(SUBSTITUTE(B540,"~","~~"),"*","~*"),"?","~?"),Q$3:Q540,1),0)=1,MAX(V$2:V539)+1,""),"")</f>
        <v/>
      </c>
      <c r="W540" s="25">
        <f>IF(V540="","",COUNTIFS($B$3:$B$1002,"="&amp;SUBSTITUTE(SUBSTITUTE(SUBSTITUTE(B540,"~","~~"),"*","~*"),"?","~?"),$Q$3:$Q$1002,1)*10000-V540)</f>
        <v/>
      </c>
      <c r="X540" s="25">
        <f>IF(Q540=1,IF(SUBSTITUTE(SUBSTITUTE(SUBSTITUTE(SUBSTITUTE(SUBSTITUTE(SUBSTITUTE(SUBSTITUTE(SUBSTITUTE(SUBSTITUTE(SUBSTITUTE(SUBSTITUTE(SUBSTITUTE(LOWER(TRIM(A540)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540)),"á","a"),"é","e"),"í","i"),"ó","o"),"ú","u"),"ü","u"),"ñ","n"),"à","a"),"è","e"),"ì","i"),"ò","o"),"ù","u")),"")</f>
        <v/>
      </c>
      <c r="Y540" s="25">
        <f>IF(X540="","",IF(IFERROR(COUNTIF(X$3:X540,"="&amp;SUBSTITUTE(SUBSTITUTE(SUBSTITUTE(X540,"~","~~"),"*","~*"),"?","~?")),0)=1,1,""))</f>
        <v/>
      </c>
      <c r="Z540" s="25">
        <f>IF(T540=1,MAX(Z$2:Z539)+1,"")</f>
        <v/>
      </c>
    </row>
    <row r="541">
      <c r="A541">
        <f>IF(A$2=0,"",IFERROR(TRIM(INDEX('Pegar calibracion'!$A$1:$BZ$1001,540,A$2)&amp;""),""))</f>
        <v/>
      </c>
      <c r="B541">
        <f>IF(B$2=0,"",IFERROR(TRIM(INDEX('Pegar calibracion'!$A$1:$BZ$1001,540,B$2)&amp;""),""))</f>
        <v/>
      </c>
      <c r="C541">
        <f>IF(C$2=0,"",IFERROR(TRIM(INDEX('Pegar calibracion'!$A$1:$BZ$1001,540,C$2)&amp;""),""))</f>
        <v/>
      </c>
      <c r="D541">
        <f>IF(D$2=0,"",IFERROR(TRIM(INDEX('Pegar calibracion'!$A$1:$BZ$1001,540,D$2)&amp;""),""))</f>
        <v/>
      </c>
      <c r="E541">
        <f>IF(E$2=0,"",IFERROR(TRIM(INDEX('Pegar calibracion'!$A$1:$BZ$1001,540,E$2)&amp;""),""))</f>
        <v/>
      </c>
      <c r="F541">
        <f>IF(F$2=0,"",IFERROR(TRIM(INDEX('Pegar calibracion'!$A$1:$BZ$1001,540,F$2)&amp;""),""))</f>
        <v/>
      </c>
      <c r="G541">
        <f>IF(G$2=0,"",IFERROR(TRIM(INDEX('Pegar calibracion'!$A$1:$BZ$1001,540,G$2)&amp;""),""))</f>
        <v/>
      </c>
      <c r="H541">
        <f>IF(H$2=0,"",IFERROR(TRIM(INDEX('Pegar calibracion'!$A$1:$BZ$1001,540,H$2)&amp;""),""))</f>
        <v/>
      </c>
      <c r="I541">
        <f>IF(I$2=0,"",IFERROR(TRIM(INDEX('Pegar calibracion'!$A$1:$BZ$1001,540,I$2)&amp;""),""))</f>
        <v/>
      </c>
      <c r="J541">
        <f>IF(J$2=0,"",IFERROR(TRIM(INDEX('Pegar calibracion'!$A$1:$BZ$1001,540,J$2)&amp;""),""))</f>
        <v/>
      </c>
      <c r="K541">
        <f>IF(K$2=0,"",IFERROR(TRIM(INDEX('Pegar calibracion'!$A$1:$BZ$1001,540,K$2)&amp;""),""))</f>
        <v/>
      </c>
      <c r="L541">
        <f>IF(L$2=0,"",IFERROR(TRIM(INDEX('Pegar calibracion'!$A$1:$BZ$1001,540,L$2)&amp;""),""))</f>
        <v/>
      </c>
      <c r="M541" s="25">
        <f>IF(D541="","",SUBSTITUTE(SUBSTITUTE(SUBSTITUTE(SUBSTITUTE(SUBSTITUTE(SUBSTITUTE(SUBSTITUTE(SUBSTITUTE(SUBSTITUTE(SUBSTITUTE(SUBSTITUTE(SUBSTITUTE(LOWER(TRIM(D541)),"á","a"),"é","e"),"í","i"),"ó","o"),"ú","u"),"ü","u"),"ñ","n"),"à","a"),"è","e"),"ì","i"),"ò","o"),"ù","u"))</f>
        <v/>
      </c>
      <c r="N541" s="25">
        <f>IF(F541="","",SUBSTITUTE(SUBSTITUTE(SUBSTITUTE(SUBSTITUTE(SUBSTITUTE(SUBSTITUTE(SUBSTITUTE(SUBSTITUTE(SUBSTITUTE(SUBSTITUTE(SUBSTITUTE(SUBSTITUTE(LOWER(TRIM(F541)),"á","a"),"é","e"),"í","i"),"ó","o"),"ú","u"),"ü","u"),"ñ","n"),"à","a"),"è","e"),"ì","i"),"ò","o"),"ù","u"))</f>
        <v/>
      </c>
      <c r="O541" s="25">
        <f>IF(M541="confiable",2,IF(M541="dudosa",1,IF(M541="no confiable",0,"")))</f>
        <v/>
      </c>
      <c r="P541" s="25">
        <f>IF(N541="confiable",2,IF(N541="dudosa",1,IF(N541="no confiable",0,"")))</f>
        <v/>
      </c>
      <c r="Q541" s="25">
        <f>IF(AND(ISNUMBER(O541),ISNUMBER(P541)),1,"")</f>
        <v/>
      </c>
      <c r="R541" s="25">
        <f>IF(Q541=1,IF(O541=P541,"Sí","No"),"")</f>
        <v/>
      </c>
      <c r="S541" s="25">
        <f>IF(Q541=1,IF(P541&lt;O541,"Más estricto",IF(P541&gt;O541,"Más permisivo","Igual")),"")</f>
        <v/>
      </c>
      <c r="T541" s="25">
        <f>IF(Q541=1,IF(ABS(O541-P541)=2,1,0),"")</f>
        <v/>
      </c>
      <c r="U541" s="25">
        <f>IF(H541="","","|"&amp;SUBSTITUTE(SUBSTITUTE(TRIM(H541)," |","|"),"| ","|")&amp;"|")</f>
        <v/>
      </c>
      <c r="V541" s="25">
        <f>IF(AND(Q541=1,B541&lt;&gt;""),IF(IFERROR(COUNTIFS(B$3:B541,"="&amp;SUBSTITUTE(SUBSTITUTE(SUBSTITUTE(B541,"~","~~"),"*","~*"),"?","~?"),Q$3:Q541,1),0)=1,MAX(V$2:V540)+1,""),"")</f>
        <v/>
      </c>
      <c r="W541" s="25">
        <f>IF(V541="","",COUNTIFS($B$3:$B$1002,"="&amp;SUBSTITUTE(SUBSTITUTE(SUBSTITUTE(B541,"~","~~"),"*","~*"),"?","~?"),$Q$3:$Q$1002,1)*10000-V541)</f>
        <v/>
      </c>
      <c r="X541" s="25">
        <f>IF(Q541=1,IF(SUBSTITUTE(SUBSTITUTE(SUBSTITUTE(SUBSTITUTE(SUBSTITUTE(SUBSTITUTE(SUBSTITUTE(SUBSTITUTE(SUBSTITUTE(SUBSTITUTE(SUBSTITUTE(SUBSTITUTE(LOWER(TRIM(A541)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541)),"á","a"),"é","e"),"í","i"),"ó","o"),"ú","u"),"ü","u"),"ñ","n"),"à","a"),"è","e"),"ì","i"),"ò","o"),"ù","u")),"")</f>
        <v/>
      </c>
      <c r="Y541" s="25">
        <f>IF(X541="","",IF(IFERROR(COUNTIF(X$3:X541,"="&amp;SUBSTITUTE(SUBSTITUTE(SUBSTITUTE(X541,"~","~~"),"*","~*"),"?","~?")),0)=1,1,""))</f>
        <v/>
      </c>
      <c r="Z541" s="25">
        <f>IF(T541=1,MAX(Z$2:Z540)+1,"")</f>
        <v/>
      </c>
    </row>
    <row r="542">
      <c r="A542">
        <f>IF(A$2=0,"",IFERROR(TRIM(INDEX('Pegar calibracion'!$A$1:$BZ$1001,541,A$2)&amp;""),""))</f>
        <v/>
      </c>
      <c r="B542">
        <f>IF(B$2=0,"",IFERROR(TRIM(INDEX('Pegar calibracion'!$A$1:$BZ$1001,541,B$2)&amp;""),""))</f>
        <v/>
      </c>
      <c r="C542">
        <f>IF(C$2=0,"",IFERROR(TRIM(INDEX('Pegar calibracion'!$A$1:$BZ$1001,541,C$2)&amp;""),""))</f>
        <v/>
      </c>
      <c r="D542">
        <f>IF(D$2=0,"",IFERROR(TRIM(INDEX('Pegar calibracion'!$A$1:$BZ$1001,541,D$2)&amp;""),""))</f>
        <v/>
      </c>
      <c r="E542">
        <f>IF(E$2=0,"",IFERROR(TRIM(INDEX('Pegar calibracion'!$A$1:$BZ$1001,541,E$2)&amp;""),""))</f>
        <v/>
      </c>
      <c r="F542">
        <f>IF(F$2=0,"",IFERROR(TRIM(INDEX('Pegar calibracion'!$A$1:$BZ$1001,541,F$2)&amp;""),""))</f>
        <v/>
      </c>
      <c r="G542">
        <f>IF(G$2=0,"",IFERROR(TRIM(INDEX('Pegar calibracion'!$A$1:$BZ$1001,541,G$2)&amp;""),""))</f>
        <v/>
      </c>
      <c r="H542">
        <f>IF(H$2=0,"",IFERROR(TRIM(INDEX('Pegar calibracion'!$A$1:$BZ$1001,541,H$2)&amp;""),""))</f>
        <v/>
      </c>
      <c r="I542">
        <f>IF(I$2=0,"",IFERROR(TRIM(INDEX('Pegar calibracion'!$A$1:$BZ$1001,541,I$2)&amp;""),""))</f>
        <v/>
      </c>
      <c r="J542">
        <f>IF(J$2=0,"",IFERROR(TRIM(INDEX('Pegar calibracion'!$A$1:$BZ$1001,541,J$2)&amp;""),""))</f>
        <v/>
      </c>
      <c r="K542">
        <f>IF(K$2=0,"",IFERROR(TRIM(INDEX('Pegar calibracion'!$A$1:$BZ$1001,541,K$2)&amp;""),""))</f>
        <v/>
      </c>
      <c r="L542">
        <f>IF(L$2=0,"",IFERROR(TRIM(INDEX('Pegar calibracion'!$A$1:$BZ$1001,541,L$2)&amp;""),""))</f>
        <v/>
      </c>
      <c r="M542" s="25">
        <f>IF(D542="","",SUBSTITUTE(SUBSTITUTE(SUBSTITUTE(SUBSTITUTE(SUBSTITUTE(SUBSTITUTE(SUBSTITUTE(SUBSTITUTE(SUBSTITUTE(SUBSTITUTE(SUBSTITUTE(SUBSTITUTE(LOWER(TRIM(D542)),"á","a"),"é","e"),"í","i"),"ó","o"),"ú","u"),"ü","u"),"ñ","n"),"à","a"),"è","e"),"ì","i"),"ò","o"),"ù","u"))</f>
        <v/>
      </c>
      <c r="N542" s="25">
        <f>IF(F542="","",SUBSTITUTE(SUBSTITUTE(SUBSTITUTE(SUBSTITUTE(SUBSTITUTE(SUBSTITUTE(SUBSTITUTE(SUBSTITUTE(SUBSTITUTE(SUBSTITUTE(SUBSTITUTE(SUBSTITUTE(LOWER(TRIM(F542)),"á","a"),"é","e"),"í","i"),"ó","o"),"ú","u"),"ü","u"),"ñ","n"),"à","a"),"è","e"),"ì","i"),"ò","o"),"ù","u"))</f>
        <v/>
      </c>
      <c r="O542" s="25">
        <f>IF(M542="confiable",2,IF(M542="dudosa",1,IF(M542="no confiable",0,"")))</f>
        <v/>
      </c>
      <c r="P542" s="25">
        <f>IF(N542="confiable",2,IF(N542="dudosa",1,IF(N542="no confiable",0,"")))</f>
        <v/>
      </c>
      <c r="Q542" s="25">
        <f>IF(AND(ISNUMBER(O542),ISNUMBER(P542)),1,"")</f>
        <v/>
      </c>
      <c r="R542" s="25">
        <f>IF(Q542=1,IF(O542=P542,"Sí","No"),"")</f>
        <v/>
      </c>
      <c r="S542" s="25">
        <f>IF(Q542=1,IF(P542&lt;O542,"Más estricto",IF(P542&gt;O542,"Más permisivo","Igual")),"")</f>
        <v/>
      </c>
      <c r="T542" s="25">
        <f>IF(Q542=1,IF(ABS(O542-P542)=2,1,0),"")</f>
        <v/>
      </c>
      <c r="U542" s="25">
        <f>IF(H542="","","|"&amp;SUBSTITUTE(SUBSTITUTE(TRIM(H542)," |","|"),"| ","|")&amp;"|")</f>
        <v/>
      </c>
      <c r="V542" s="25">
        <f>IF(AND(Q542=1,B542&lt;&gt;""),IF(IFERROR(COUNTIFS(B$3:B542,"="&amp;SUBSTITUTE(SUBSTITUTE(SUBSTITUTE(B542,"~","~~"),"*","~*"),"?","~?"),Q$3:Q542,1),0)=1,MAX(V$2:V541)+1,""),"")</f>
        <v/>
      </c>
      <c r="W542" s="25">
        <f>IF(V542="","",COUNTIFS($B$3:$B$1002,"="&amp;SUBSTITUTE(SUBSTITUTE(SUBSTITUTE(B542,"~","~~"),"*","~*"),"?","~?"),$Q$3:$Q$1002,1)*10000-V542)</f>
        <v/>
      </c>
      <c r="X542" s="25">
        <f>IF(Q542=1,IF(SUBSTITUTE(SUBSTITUTE(SUBSTITUTE(SUBSTITUTE(SUBSTITUTE(SUBSTITUTE(SUBSTITUTE(SUBSTITUTE(SUBSTITUTE(SUBSTITUTE(SUBSTITUTE(SUBSTITUTE(LOWER(TRIM(A542)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542)),"á","a"),"é","e"),"í","i"),"ó","o"),"ú","u"),"ü","u"),"ñ","n"),"à","a"),"è","e"),"ì","i"),"ò","o"),"ù","u")),"")</f>
        <v/>
      </c>
      <c r="Y542" s="25">
        <f>IF(X542="","",IF(IFERROR(COUNTIF(X$3:X542,"="&amp;SUBSTITUTE(SUBSTITUTE(SUBSTITUTE(X542,"~","~~"),"*","~*"),"?","~?")),0)=1,1,""))</f>
        <v/>
      </c>
      <c r="Z542" s="25">
        <f>IF(T542=1,MAX(Z$2:Z541)+1,"")</f>
        <v/>
      </c>
    </row>
    <row r="543">
      <c r="A543">
        <f>IF(A$2=0,"",IFERROR(TRIM(INDEX('Pegar calibracion'!$A$1:$BZ$1001,542,A$2)&amp;""),""))</f>
        <v/>
      </c>
      <c r="B543">
        <f>IF(B$2=0,"",IFERROR(TRIM(INDEX('Pegar calibracion'!$A$1:$BZ$1001,542,B$2)&amp;""),""))</f>
        <v/>
      </c>
      <c r="C543">
        <f>IF(C$2=0,"",IFERROR(TRIM(INDEX('Pegar calibracion'!$A$1:$BZ$1001,542,C$2)&amp;""),""))</f>
        <v/>
      </c>
      <c r="D543">
        <f>IF(D$2=0,"",IFERROR(TRIM(INDEX('Pegar calibracion'!$A$1:$BZ$1001,542,D$2)&amp;""),""))</f>
        <v/>
      </c>
      <c r="E543">
        <f>IF(E$2=0,"",IFERROR(TRIM(INDEX('Pegar calibracion'!$A$1:$BZ$1001,542,E$2)&amp;""),""))</f>
        <v/>
      </c>
      <c r="F543">
        <f>IF(F$2=0,"",IFERROR(TRIM(INDEX('Pegar calibracion'!$A$1:$BZ$1001,542,F$2)&amp;""),""))</f>
        <v/>
      </c>
      <c r="G543">
        <f>IF(G$2=0,"",IFERROR(TRIM(INDEX('Pegar calibracion'!$A$1:$BZ$1001,542,G$2)&amp;""),""))</f>
        <v/>
      </c>
      <c r="H543">
        <f>IF(H$2=0,"",IFERROR(TRIM(INDEX('Pegar calibracion'!$A$1:$BZ$1001,542,H$2)&amp;""),""))</f>
        <v/>
      </c>
      <c r="I543">
        <f>IF(I$2=0,"",IFERROR(TRIM(INDEX('Pegar calibracion'!$A$1:$BZ$1001,542,I$2)&amp;""),""))</f>
        <v/>
      </c>
      <c r="J543">
        <f>IF(J$2=0,"",IFERROR(TRIM(INDEX('Pegar calibracion'!$A$1:$BZ$1001,542,J$2)&amp;""),""))</f>
        <v/>
      </c>
      <c r="K543">
        <f>IF(K$2=0,"",IFERROR(TRIM(INDEX('Pegar calibracion'!$A$1:$BZ$1001,542,K$2)&amp;""),""))</f>
        <v/>
      </c>
      <c r="L543">
        <f>IF(L$2=0,"",IFERROR(TRIM(INDEX('Pegar calibracion'!$A$1:$BZ$1001,542,L$2)&amp;""),""))</f>
        <v/>
      </c>
      <c r="M543" s="25">
        <f>IF(D543="","",SUBSTITUTE(SUBSTITUTE(SUBSTITUTE(SUBSTITUTE(SUBSTITUTE(SUBSTITUTE(SUBSTITUTE(SUBSTITUTE(SUBSTITUTE(SUBSTITUTE(SUBSTITUTE(SUBSTITUTE(LOWER(TRIM(D543)),"á","a"),"é","e"),"í","i"),"ó","o"),"ú","u"),"ü","u"),"ñ","n"),"à","a"),"è","e"),"ì","i"),"ò","o"),"ù","u"))</f>
        <v/>
      </c>
      <c r="N543" s="25">
        <f>IF(F543="","",SUBSTITUTE(SUBSTITUTE(SUBSTITUTE(SUBSTITUTE(SUBSTITUTE(SUBSTITUTE(SUBSTITUTE(SUBSTITUTE(SUBSTITUTE(SUBSTITUTE(SUBSTITUTE(SUBSTITUTE(LOWER(TRIM(F543)),"á","a"),"é","e"),"í","i"),"ó","o"),"ú","u"),"ü","u"),"ñ","n"),"à","a"),"è","e"),"ì","i"),"ò","o"),"ù","u"))</f>
        <v/>
      </c>
      <c r="O543" s="25">
        <f>IF(M543="confiable",2,IF(M543="dudosa",1,IF(M543="no confiable",0,"")))</f>
        <v/>
      </c>
      <c r="P543" s="25">
        <f>IF(N543="confiable",2,IF(N543="dudosa",1,IF(N543="no confiable",0,"")))</f>
        <v/>
      </c>
      <c r="Q543" s="25">
        <f>IF(AND(ISNUMBER(O543),ISNUMBER(P543)),1,"")</f>
        <v/>
      </c>
      <c r="R543" s="25">
        <f>IF(Q543=1,IF(O543=P543,"Sí","No"),"")</f>
        <v/>
      </c>
      <c r="S543" s="25">
        <f>IF(Q543=1,IF(P543&lt;O543,"Más estricto",IF(P543&gt;O543,"Más permisivo","Igual")),"")</f>
        <v/>
      </c>
      <c r="T543" s="25">
        <f>IF(Q543=1,IF(ABS(O543-P543)=2,1,0),"")</f>
        <v/>
      </c>
      <c r="U543" s="25">
        <f>IF(H543="","","|"&amp;SUBSTITUTE(SUBSTITUTE(TRIM(H543)," |","|"),"| ","|")&amp;"|")</f>
        <v/>
      </c>
      <c r="V543" s="25">
        <f>IF(AND(Q543=1,B543&lt;&gt;""),IF(IFERROR(COUNTIFS(B$3:B543,"="&amp;SUBSTITUTE(SUBSTITUTE(SUBSTITUTE(B543,"~","~~"),"*","~*"),"?","~?"),Q$3:Q543,1),0)=1,MAX(V$2:V542)+1,""),"")</f>
        <v/>
      </c>
      <c r="W543" s="25">
        <f>IF(V543="","",COUNTIFS($B$3:$B$1002,"="&amp;SUBSTITUTE(SUBSTITUTE(SUBSTITUTE(B543,"~","~~"),"*","~*"),"?","~?"),$Q$3:$Q$1002,1)*10000-V543)</f>
        <v/>
      </c>
      <c r="X543" s="25">
        <f>IF(Q543=1,IF(SUBSTITUTE(SUBSTITUTE(SUBSTITUTE(SUBSTITUTE(SUBSTITUTE(SUBSTITUTE(SUBSTITUTE(SUBSTITUTE(SUBSTITUTE(SUBSTITUTE(SUBSTITUTE(SUBSTITUTE(LOWER(TRIM(A543)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543)),"á","a"),"é","e"),"í","i"),"ó","o"),"ú","u"),"ü","u"),"ñ","n"),"à","a"),"è","e"),"ì","i"),"ò","o"),"ù","u")),"")</f>
        <v/>
      </c>
      <c r="Y543" s="25">
        <f>IF(X543="","",IF(IFERROR(COUNTIF(X$3:X543,"="&amp;SUBSTITUTE(SUBSTITUTE(SUBSTITUTE(X543,"~","~~"),"*","~*"),"?","~?")),0)=1,1,""))</f>
        <v/>
      </c>
      <c r="Z543" s="25">
        <f>IF(T543=1,MAX(Z$2:Z542)+1,"")</f>
        <v/>
      </c>
    </row>
    <row r="544">
      <c r="A544">
        <f>IF(A$2=0,"",IFERROR(TRIM(INDEX('Pegar calibracion'!$A$1:$BZ$1001,543,A$2)&amp;""),""))</f>
        <v/>
      </c>
      <c r="B544">
        <f>IF(B$2=0,"",IFERROR(TRIM(INDEX('Pegar calibracion'!$A$1:$BZ$1001,543,B$2)&amp;""),""))</f>
        <v/>
      </c>
      <c r="C544">
        <f>IF(C$2=0,"",IFERROR(TRIM(INDEX('Pegar calibracion'!$A$1:$BZ$1001,543,C$2)&amp;""),""))</f>
        <v/>
      </c>
      <c r="D544">
        <f>IF(D$2=0,"",IFERROR(TRIM(INDEX('Pegar calibracion'!$A$1:$BZ$1001,543,D$2)&amp;""),""))</f>
        <v/>
      </c>
      <c r="E544">
        <f>IF(E$2=0,"",IFERROR(TRIM(INDEX('Pegar calibracion'!$A$1:$BZ$1001,543,E$2)&amp;""),""))</f>
        <v/>
      </c>
      <c r="F544">
        <f>IF(F$2=0,"",IFERROR(TRIM(INDEX('Pegar calibracion'!$A$1:$BZ$1001,543,F$2)&amp;""),""))</f>
        <v/>
      </c>
      <c r="G544">
        <f>IF(G$2=0,"",IFERROR(TRIM(INDEX('Pegar calibracion'!$A$1:$BZ$1001,543,G$2)&amp;""),""))</f>
        <v/>
      </c>
      <c r="H544">
        <f>IF(H$2=0,"",IFERROR(TRIM(INDEX('Pegar calibracion'!$A$1:$BZ$1001,543,H$2)&amp;""),""))</f>
        <v/>
      </c>
      <c r="I544">
        <f>IF(I$2=0,"",IFERROR(TRIM(INDEX('Pegar calibracion'!$A$1:$BZ$1001,543,I$2)&amp;""),""))</f>
        <v/>
      </c>
      <c r="J544">
        <f>IF(J$2=0,"",IFERROR(TRIM(INDEX('Pegar calibracion'!$A$1:$BZ$1001,543,J$2)&amp;""),""))</f>
        <v/>
      </c>
      <c r="K544">
        <f>IF(K$2=0,"",IFERROR(TRIM(INDEX('Pegar calibracion'!$A$1:$BZ$1001,543,K$2)&amp;""),""))</f>
        <v/>
      </c>
      <c r="L544">
        <f>IF(L$2=0,"",IFERROR(TRIM(INDEX('Pegar calibracion'!$A$1:$BZ$1001,543,L$2)&amp;""),""))</f>
        <v/>
      </c>
      <c r="M544" s="25">
        <f>IF(D544="","",SUBSTITUTE(SUBSTITUTE(SUBSTITUTE(SUBSTITUTE(SUBSTITUTE(SUBSTITUTE(SUBSTITUTE(SUBSTITUTE(SUBSTITUTE(SUBSTITUTE(SUBSTITUTE(SUBSTITUTE(LOWER(TRIM(D544)),"á","a"),"é","e"),"í","i"),"ó","o"),"ú","u"),"ü","u"),"ñ","n"),"à","a"),"è","e"),"ì","i"),"ò","o"),"ù","u"))</f>
        <v/>
      </c>
      <c r="N544" s="25">
        <f>IF(F544="","",SUBSTITUTE(SUBSTITUTE(SUBSTITUTE(SUBSTITUTE(SUBSTITUTE(SUBSTITUTE(SUBSTITUTE(SUBSTITUTE(SUBSTITUTE(SUBSTITUTE(SUBSTITUTE(SUBSTITUTE(LOWER(TRIM(F544)),"á","a"),"é","e"),"í","i"),"ó","o"),"ú","u"),"ü","u"),"ñ","n"),"à","a"),"è","e"),"ì","i"),"ò","o"),"ù","u"))</f>
        <v/>
      </c>
      <c r="O544" s="25">
        <f>IF(M544="confiable",2,IF(M544="dudosa",1,IF(M544="no confiable",0,"")))</f>
        <v/>
      </c>
      <c r="P544" s="25">
        <f>IF(N544="confiable",2,IF(N544="dudosa",1,IF(N544="no confiable",0,"")))</f>
        <v/>
      </c>
      <c r="Q544" s="25">
        <f>IF(AND(ISNUMBER(O544),ISNUMBER(P544)),1,"")</f>
        <v/>
      </c>
      <c r="R544" s="25">
        <f>IF(Q544=1,IF(O544=P544,"Sí","No"),"")</f>
        <v/>
      </c>
      <c r="S544" s="25">
        <f>IF(Q544=1,IF(P544&lt;O544,"Más estricto",IF(P544&gt;O544,"Más permisivo","Igual")),"")</f>
        <v/>
      </c>
      <c r="T544" s="25">
        <f>IF(Q544=1,IF(ABS(O544-P544)=2,1,0),"")</f>
        <v/>
      </c>
      <c r="U544" s="25">
        <f>IF(H544="","","|"&amp;SUBSTITUTE(SUBSTITUTE(TRIM(H544)," |","|"),"| ","|")&amp;"|")</f>
        <v/>
      </c>
      <c r="V544" s="25">
        <f>IF(AND(Q544=1,B544&lt;&gt;""),IF(IFERROR(COUNTIFS(B$3:B544,"="&amp;SUBSTITUTE(SUBSTITUTE(SUBSTITUTE(B544,"~","~~"),"*","~*"),"?","~?"),Q$3:Q544,1),0)=1,MAX(V$2:V543)+1,""),"")</f>
        <v/>
      </c>
      <c r="W544" s="25">
        <f>IF(V544="","",COUNTIFS($B$3:$B$1002,"="&amp;SUBSTITUTE(SUBSTITUTE(SUBSTITUTE(B544,"~","~~"),"*","~*"),"?","~?"),$Q$3:$Q$1002,1)*10000-V544)</f>
        <v/>
      </c>
      <c r="X544" s="25">
        <f>IF(Q544=1,IF(SUBSTITUTE(SUBSTITUTE(SUBSTITUTE(SUBSTITUTE(SUBSTITUTE(SUBSTITUTE(SUBSTITUTE(SUBSTITUTE(SUBSTITUTE(SUBSTITUTE(SUBSTITUTE(SUBSTITUTE(LOWER(TRIM(A544)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544)),"á","a"),"é","e"),"í","i"),"ó","o"),"ú","u"),"ü","u"),"ñ","n"),"à","a"),"è","e"),"ì","i"),"ò","o"),"ù","u")),"")</f>
        <v/>
      </c>
      <c r="Y544" s="25">
        <f>IF(X544="","",IF(IFERROR(COUNTIF(X$3:X544,"="&amp;SUBSTITUTE(SUBSTITUTE(SUBSTITUTE(X544,"~","~~"),"*","~*"),"?","~?")),0)=1,1,""))</f>
        <v/>
      </c>
      <c r="Z544" s="25">
        <f>IF(T544=1,MAX(Z$2:Z543)+1,"")</f>
        <v/>
      </c>
    </row>
    <row r="545">
      <c r="A545">
        <f>IF(A$2=0,"",IFERROR(TRIM(INDEX('Pegar calibracion'!$A$1:$BZ$1001,544,A$2)&amp;""),""))</f>
        <v/>
      </c>
      <c r="B545">
        <f>IF(B$2=0,"",IFERROR(TRIM(INDEX('Pegar calibracion'!$A$1:$BZ$1001,544,B$2)&amp;""),""))</f>
        <v/>
      </c>
      <c r="C545">
        <f>IF(C$2=0,"",IFERROR(TRIM(INDEX('Pegar calibracion'!$A$1:$BZ$1001,544,C$2)&amp;""),""))</f>
        <v/>
      </c>
      <c r="D545">
        <f>IF(D$2=0,"",IFERROR(TRIM(INDEX('Pegar calibracion'!$A$1:$BZ$1001,544,D$2)&amp;""),""))</f>
        <v/>
      </c>
      <c r="E545">
        <f>IF(E$2=0,"",IFERROR(TRIM(INDEX('Pegar calibracion'!$A$1:$BZ$1001,544,E$2)&amp;""),""))</f>
        <v/>
      </c>
      <c r="F545">
        <f>IF(F$2=0,"",IFERROR(TRIM(INDEX('Pegar calibracion'!$A$1:$BZ$1001,544,F$2)&amp;""),""))</f>
        <v/>
      </c>
      <c r="G545">
        <f>IF(G$2=0,"",IFERROR(TRIM(INDEX('Pegar calibracion'!$A$1:$BZ$1001,544,G$2)&amp;""),""))</f>
        <v/>
      </c>
      <c r="H545">
        <f>IF(H$2=0,"",IFERROR(TRIM(INDEX('Pegar calibracion'!$A$1:$BZ$1001,544,H$2)&amp;""),""))</f>
        <v/>
      </c>
      <c r="I545">
        <f>IF(I$2=0,"",IFERROR(TRIM(INDEX('Pegar calibracion'!$A$1:$BZ$1001,544,I$2)&amp;""),""))</f>
        <v/>
      </c>
      <c r="J545">
        <f>IF(J$2=0,"",IFERROR(TRIM(INDEX('Pegar calibracion'!$A$1:$BZ$1001,544,J$2)&amp;""),""))</f>
        <v/>
      </c>
      <c r="K545">
        <f>IF(K$2=0,"",IFERROR(TRIM(INDEX('Pegar calibracion'!$A$1:$BZ$1001,544,K$2)&amp;""),""))</f>
        <v/>
      </c>
      <c r="L545">
        <f>IF(L$2=0,"",IFERROR(TRIM(INDEX('Pegar calibracion'!$A$1:$BZ$1001,544,L$2)&amp;""),""))</f>
        <v/>
      </c>
      <c r="M545" s="25">
        <f>IF(D545="","",SUBSTITUTE(SUBSTITUTE(SUBSTITUTE(SUBSTITUTE(SUBSTITUTE(SUBSTITUTE(SUBSTITUTE(SUBSTITUTE(SUBSTITUTE(SUBSTITUTE(SUBSTITUTE(SUBSTITUTE(LOWER(TRIM(D545)),"á","a"),"é","e"),"í","i"),"ó","o"),"ú","u"),"ü","u"),"ñ","n"),"à","a"),"è","e"),"ì","i"),"ò","o"),"ù","u"))</f>
        <v/>
      </c>
      <c r="N545" s="25">
        <f>IF(F545="","",SUBSTITUTE(SUBSTITUTE(SUBSTITUTE(SUBSTITUTE(SUBSTITUTE(SUBSTITUTE(SUBSTITUTE(SUBSTITUTE(SUBSTITUTE(SUBSTITUTE(SUBSTITUTE(SUBSTITUTE(LOWER(TRIM(F545)),"á","a"),"é","e"),"í","i"),"ó","o"),"ú","u"),"ü","u"),"ñ","n"),"à","a"),"è","e"),"ì","i"),"ò","o"),"ù","u"))</f>
        <v/>
      </c>
      <c r="O545" s="25">
        <f>IF(M545="confiable",2,IF(M545="dudosa",1,IF(M545="no confiable",0,"")))</f>
        <v/>
      </c>
      <c r="P545" s="25">
        <f>IF(N545="confiable",2,IF(N545="dudosa",1,IF(N545="no confiable",0,"")))</f>
        <v/>
      </c>
      <c r="Q545" s="25">
        <f>IF(AND(ISNUMBER(O545),ISNUMBER(P545)),1,"")</f>
        <v/>
      </c>
      <c r="R545" s="25">
        <f>IF(Q545=1,IF(O545=P545,"Sí","No"),"")</f>
        <v/>
      </c>
      <c r="S545" s="25">
        <f>IF(Q545=1,IF(P545&lt;O545,"Más estricto",IF(P545&gt;O545,"Más permisivo","Igual")),"")</f>
        <v/>
      </c>
      <c r="T545" s="25">
        <f>IF(Q545=1,IF(ABS(O545-P545)=2,1,0),"")</f>
        <v/>
      </c>
      <c r="U545" s="25">
        <f>IF(H545="","","|"&amp;SUBSTITUTE(SUBSTITUTE(TRIM(H545)," |","|"),"| ","|")&amp;"|")</f>
        <v/>
      </c>
      <c r="V545" s="25">
        <f>IF(AND(Q545=1,B545&lt;&gt;""),IF(IFERROR(COUNTIFS(B$3:B545,"="&amp;SUBSTITUTE(SUBSTITUTE(SUBSTITUTE(B545,"~","~~"),"*","~*"),"?","~?"),Q$3:Q545,1),0)=1,MAX(V$2:V544)+1,""),"")</f>
        <v/>
      </c>
      <c r="W545" s="25">
        <f>IF(V545="","",COUNTIFS($B$3:$B$1002,"="&amp;SUBSTITUTE(SUBSTITUTE(SUBSTITUTE(B545,"~","~~"),"*","~*"),"?","~?"),$Q$3:$Q$1002,1)*10000-V545)</f>
        <v/>
      </c>
      <c r="X545" s="25">
        <f>IF(Q545=1,IF(SUBSTITUTE(SUBSTITUTE(SUBSTITUTE(SUBSTITUTE(SUBSTITUTE(SUBSTITUTE(SUBSTITUTE(SUBSTITUTE(SUBSTITUTE(SUBSTITUTE(SUBSTITUTE(SUBSTITUTE(LOWER(TRIM(A545)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545)),"á","a"),"é","e"),"í","i"),"ó","o"),"ú","u"),"ü","u"),"ñ","n"),"à","a"),"è","e"),"ì","i"),"ò","o"),"ù","u")),"")</f>
        <v/>
      </c>
      <c r="Y545" s="25">
        <f>IF(X545="","",IF(IFERROR(COUNTIF(X$3:X545,"="&amp;SUBSTITUTE(SUBSTITUTE(SUBSTITUTE(X545,"~","~~"),"*","~*"),"?","~?")),0)=1,1,""))</f>
        <v/>
      </c>
      <c r="Z545" s="25">
        <f>IF(T545=1,MAX(Z$2:Z544)+1,"")</f>
        <v/>
      </c>
    </row>
    <row r="546">
      <c r="A546">
        <f>IF(A$2=0,"",IFERROR(TRIM(INDEX('Pegar calibracion'!$A$1:$BZ$1001,545,A$2)&amp;""),""))</f>
        <v/>
      </c>
      <c r="B546">
        <f>IF(B$2=0,"",IFERROR(TRIM(INDEX('Pegar calibracion'!$A$1:$BZ$1001,545,B$2)&amp;""),""))</f>
        <v/>
      </c>
      <c r="C546">
        <f>IF(C$2=0,"",IFERROR(TRIM(INDEX('Pegar calibracion'!$A$1:$BZ$1001,545,C$2)&amp;""),""))</f>
        <v/>
      </c>
      <c r="D546">
        <f>IF(D$2=0,"",IFERROR(TRIM(INDEX('Pegar calibracion'!$A$1:$BZ$1001,545,D$2)&amp;""),""))</f>
        <v/>
      </c>
      <c r="E546">
        <f>IF(E$2=0,"",IFERROR(TRIM(INDEX('Pegar calibracion'!$A$1:$BZ$1001,545,E$2)&amp;""),""))</f>
        <v/>
      </c>
      <c r="F546">
        <f>IF(F$2=0,"",IFERROR(TRIM(INDEX('Pegar calibracion'!$A$1:$BZ$1001,545,F$2)&amp;""),""))</f>
        <v/>
      </c>
      <c r="G546">
        <f>IF(G$2=0,"",IFERROR(TRIM(INDEX('Pegar calibracion'!$A$1:$BZ$1001,545,G$2)&amp;""),""))</f>
        <v/>
      </c>
      <c r="H546">
        <f>IF(H$2=0,"",IFERROR(TRIM(INDEX('Pegar calibracion'!$A$1:$BZ$1001,545,H$2)&amp;""),""))</f>
        <v/>
      </c>
      <c r="I546">
        <f>IF(I$2=0,"",IFERROR(TRIM(INDEX('Pegar calibracion'!$A$1:$BZ$1001,545,I$2)&amp;""),""))</f>
        <v/>
      </c>
      <c r="J546">
        <f>IF(J$2=0,"",IFERROR(TRIM(INDEX('Pegar calibracion'!$A$1:$BZ$1001,545,J$2)&amp;""),""))</f>
        <v/>
      </c>
      <c r="K546">
        <f>IF(K$2=0,"",IFERROR(TRIM(INDEX('Pegar calibracion'!$A$1:$BZ$1001,545,K$2)&amp;""),""))</f>
        <v/>
      </c>
      <c r="L546">
        <f>IF(L$2=0,"",IFERROR(TRIM(INDEX('Pegar calibracion'!$A$1:$BZ$1001,545,L$2)&amp;""),""))</f>
        <v/>
      </c>
      <c r="M546" s="25">
        <f>IF(D546="","",SUBSTITUTE(SUBSTITUTE(SUBSTITUTE(SUBSTITUTE(SUBSTITUTE(SUBSTITUTE(SUBSTITUTE(SUBSTITUTE(SUBSTITUTE(SUBSTITUTE(SUBSTITUTE(SUBSTITUTE(LOWER(TRIM(D546)),"á","a"),"é","e"),"í","i"),"ó","o"),"ú","u"),"ü","u"),"ñ","n"),"à","a"),"è","e"),"ì","i"),"ò","o"),"ù","u"))</f>
        <v/>
      </c>
      <c r="N546" s="25">
        <f>IF(F546="","",SUBSTITUTE(SUBSTITUTE(SUBSTITUTE(SUBSTITUTE(SUBSTITUTE(SUBSTITUTE(SUBSTITUTE(SUBSTITUTE(SUBSTITUTE(SUBSTITUTE(SUBSTITUTE(SUBSTITUTE(LOWER(TRIM(F546)),"á","a"),"é","e"),"í","i"),"ó","o"),"ú","u"),"ü","u"),"ñ","n"),"à","a"),"è","e"),"ì","i"),"ò","o"),"ù","u"))</f>
        <v/>
      </c>
      <c r="O546" s="25">
        <f>IF(M546="confiable",2,IF(M546="dudosa",1,IF(M546="no confiable",0,"")))</f>
        <v/>
      </c>
      <c r="P546" s="25">
        <f>IF(N546="confiable",2,IF(N546="dudosa",1,IF(N546="no confiable",0,"")))</f>
        <v/>
      </c>
      <c r="Q546" s="25">
        <f>IF(AND(ISNUMBER(O546),ISNUMBER(P546)),1,"")</f>
        <v/>
      </c>
      <c r="R546" s="25">
        <f>IF(Q546=1,IF(O546=P546,"Sí","No"),"")</f>
        <v/>
      </c>
      <c r="S546" s="25">
        <f>IF(Q546=1,IF(P546&lt;O546,"Más estricto",IF(P546&gt;O546,"Más permisivo","Igual")),"")</f>
        <v/>
      </c>
      <c r="T546" s="25">
        <f>IF(Q546=1,IF(ABS(O546-P546)=2,1,0),"")</f>
        <v/>
      </c>
      <c r="U546" s="25">
        <f>IF(H546="","","|"&amp;SUBSTITUTE(SUBSTITUTE(TRIM(H546)," |","|"),"| ","|")&amp;"|")</f>
        <v/>
      </c>
      <c r="V546" s="25">
        <f>IF(AND(Q546=1,B546&lt;&gt;""),IF(IFERROR(COUNTIFS(B$3:B546,"="&amp;SUBSTITUTE(SUBSTITUTE(SUBSTITUTE(B546,"~","~~"),"*","~*"),"?","~?"),Q$3:Q546,1),0)=1,MAX(V$2:V545)+1,""),"")</f>
        <v/>
      </c>
      <c r="W546" s="25">
        <f>IF(V546="","",COUNTIFS($B$3:$B$1002,"="&amp;SUBSTITUTE(SUBSTITUTE(SUBSTITUTE(B546,"~","~~"),"*","~*"),"?","~?"),$Q$3:$Q$1002,1)*10000-V546)</f>
        <v/>
      </c>
      <c r="X546" s="25">
        <f>IF(Q546=1,IF(SUBSTITUTE(SUBSTITUTE(SUBSTITUTE(SUBSTITUTE(SUBSTITUTE(SUBSTITUTE(SUBSTITUTE(SUBSTITUTE(SUBSTITUTE(SUBSTITUTE(SUBSTITUTE(SUBSTITUTE(LOWER(TRIM(A546)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546)),"á","a"),"é","e"),"í","i"),"ó","o"),"ú","u"),"ü","u"),"ñ","n"),"à","a"),"è","e"),"ì","i"),"ò","o"),"ù","u")),"")</f>
        <v/>
      </c>
      <c r="Y546" s="25">
        <f>IF(X546="","",IF(IFERROR(COUNTIF(X$3:X546,"="&amp;SUBSTITUTE(SUBSTITUTE(SUBSTITUTE(X546,"~","~~"),"*","~*"),"?","~?")),0)=1,1,""))</f>
        <v/>
      </c>
      <c r="Z546" s="25">
        <f>IF(T546=1,MAX(Z$2:Z545)+1,"")</f>
        <v/>
      </c>
    </row>
    <row r="547">
      <c r="A547">
        <f>IF(A$2=0,"",IFERROR(TRIM(INDEX('Pegar calibracion'!$A$1:$BZ$1001,546,A$2)&amp;""),""))</f>
        <v/>
      </c>
      <c r="B547">
        <f>IF(B$2=0,"",IFERROR(TRIM(INDEX('Pegar calibracion'!$A$1:$BZ$1001,546,B$2)&amp;""),""))</f>
        <v/>
      </c>
      <c r="C547">
        <f>IF(C$2=0,"",IFERROR(TRIM(INDEX('Pegar calibracion'!$A$1:$BZ$1001,546,C$2)&amp;""),""))</f>
        <v/>
      </c>
      <c r="D547">
        <f>IF(D$2=0,"",IFERROR(TRIM(INDEX('Pegar calibracion'!$A$1:$BZ$1001,546,D$2)&amp;""),""))</f>
        <v/>
      </c>
      <c r="E547">
        <f>IF(E$2=0,"",IFERROR(TRIM(INDEX('Pegar calibracion'!$A$1:$BZ$1001,546,E$2)&amp;""),""))</f>
        <v/>
      </c>
      <c r="F547">
        <f>IF(F$2=0,"",IFERROR(TRIM(INDEX('Pegar calibracion'!$A$1:$BZ$1001,546,F$2)&amp;""),""))</f>
        <v/>
      </c>
      <c r="G547">
        <f>IF(G$2=0,"",IFERROR(TRIM(INDEX('Pegar calibracion'!$A$1:$BZ$1001,546,G$2)&amp;""),""))</f>
        <v/>
      </c>
      <c r="H547">
        <f>IF(H$2=0,"",IFERROR(TRIM(INDEX('Pegar calibracion'!$A$1:$BZ$1001,546,H$2)&amp;""),""))</f>
        <v/>
      </c>
      <c r="I547">
        <f>IF(I$2=0,"",IFERROR(TRIM(INDEX('Pegar calibracion'!$A$1:$BZ$1001,546,I$2)&amp;""),""))</f>
        <v/>
      </c>
      <c r="J547">
        <f>IF(J$2=0,"",IFERROR(TRIM(INDEX('Pegar calibracion'!$A$1:$BZ$1001,546,J$2)&amp;""),""))</f>
        <v/>
      </c>
      <c r="K547">
        <f>IF(K$2=0,"",IFERROR(TRIM(INDEX('Pegar calibracion'!$A$1:$BZ$1001,546,K$2)&amp;""),""))</f>
        <v/>
      </c>
      <c r="L547">
        <f>IF(L$2=0,"",IFERROR(TRIM(INDEX('Pegar calibracion'!$A$1:$BZ$1001,546,L$2)&amp;""),""))</f>
        <v/>
      </c>
      <c r="M547" s="25">
        <f>IF(D547="","",SUBSTITUTE(SUBSTITUTE(SUBSTITUTE(SUBSTITUTE(SUBSTITUTE(SUBSTITUTE(SUBSTITUTE(SUBSTITUTE(SUBSTITUTE(SUBSTITUTE(SUBSTITUTE(SUBSTITUTE(LOWER(TRIM(D547)),"á","a"),"é","e"),"í","i"),"ó","o"),"ú","u"),"ü","u"),"ñ","n"),"à","a"),"è","e"),"ì","i"),"ò","o"),"ù","u"))</f>
        <v/>
      </c>
      <c r="N547" s="25">
        <f>IF(F547="","",SUBSTITUTE(SUBSTITUTE(SUBSTITUTE(SUBSTITUTE(SUBSTITUTE(SUBSTITUTE(SUBSTITUTE(SUBSTITUTE(SUBSTITUTE(SUBSTITUTE(SUBSTITUTE(SUBSTITUTE(LOWER(TRIM(F547)),"á","a"),"é","e"),"í","i"),"ó","o"),"ú","u"),"ü","u"),"ñ","n"),"à","a"),"è","e"),"ì","i"),"ò","o"),"ù","u"))</f>
        <v/>
      </c>
      <c r="O547" s="25">
        <f>IF(M547="confiable",2,IF(M547="dudosa",1,IF(M547="no confiable",0,"")))</f>
        <v/>
      </c>
      <c r="P547" s="25">
        <f>IF(N547="confiable",2,IF(N547="dudosa",1,IF(N547="no confiable",0,"")))</f>
        <v/>
      </c>
      <c r="Q547" s="25">
        <f>IF(AND(ISNUMBER(O547),ISNUMBER(P547)),1,"")</f>
        <v/>
      </c>
      <c r="R547" s="25">
        <f>IF(Q547=1,IF(O547=P547,"Sí","No"),"")</f>
        <v/>
      </c>
      <c r="S547" s="25">
        <f>IF(Q547=1,IF(P547&lt;O547,"Más estricto",IF(P547&gt;O547,"Más permisivo","Igual")),"")</f>
        <v/>
      </c>
      <c r="T547" s="25">
        <f>IF(Q547=1,IF(ABS(O547-P547)=2,1,0),"")</f>
        <v/>
      </c>
      <c r="U547" s="25">
        <f>IF(H547="","","|"&amp;SUBSTITUTE(SUBSTITUTE(TRIM(H547)," |","|"),"| ","|")&amp;"|")</f>
        <v/>
      </c>
      <c r="V547" s="25">
        <f>IF(AND(Q547=1,B547&lt;&gt;""),IF(IFERROR(COUNTIFS(B$3:B547,"="&amp;SUBSTITUTE(SUBSTITUTE(SUBSTITUTE(B547,"~","~~"),"*","~*"),"?","~?"),Q$3:Q547,1),0)=1,MAX(V$2:V546)+1,""),"")</f>
        <v/>
      </c>
      <c r="W547" s="25">
        <f>IF(V547="","",COUNTIFS($B$3:$B$1002,"="&amp;SUBSTITUTE(SUBSTITUTE(SUBSTITUTE(B547,"~","~~"),"*","~*"),"?","~?"),$Q$3:$Q$1002,1)*10000-V547)</f>
        <v/>
      </c>
      <c r="X547" s="25">
        <f>IF(Q547=1,IF(SUBSTITUTE(SUBSTITUTE(SUBSTITUTE(SUBSTITUTE(SUBSTITUTE(SUBSTITUTE(SUBSTITUTE(SUBSTITUTE(SUBSTITUTE(SUBSTITUTE(SUBSTITUTE(SUBSTITUTE(LOWER(TRIM(A547)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547)),"á","a"),"é","e"),"í","i"),"ó","o"),"ú","u"),"ü","u"),"ñ","n"),"à","a"),"è","e"),"ì","i"),"ò","o"),"ù","u")),"")</f>
        <v/>
      </c>
      <c r="Y547" s="25">
        <f>IF(X547="","",IF(IFERROR(COUNTIF(X$3:X547,"="&amp;SUBSTITUTE(SUBSTITUTE(SUBSTITUTE(X547,"~","~~"),"*","~*"),"?","~?")),0)=1,1,""))</f>
        <v/>
      </c>
      <c r="Z547" s="25">
        <f>IF(T547=1,MAX(Z$2:Z546)+1,"")</f>
        <v/>
      </c>
    </row>
    <row r="548">
      <c r="A548">
        <f>IF(A$2=0,"",IFERROR(TRIM(INDEX('Pegar calibracion'!$A$1:$BZ$1001,547,A$2)&amp;""),""))</f>
        <v/>
      </c>
      <c r="B548">
        <f>IF(B$2=0,"",IFERROR(TRIM(INDEX('Pegar calibracion'!$A$1:$BZ$1001,547,B$2)&amp;""),""))</f>
        <v/>
      </c>
      <c r="C548">
        <f>IF(C$2=0,"",IFERROR(TRIM(INDEX('Pegar calibracion'!$A$1:$BZ$1001,547,C$2)&amp;""),""))</f>
        <v/>
      </c>
      <c r="D548">
        <f>IF(D$2=0,"",IFERROR(TRIM(INDEX('Pegar calibracion'!$A$1:$BZ$1001,547,D$2)&amp;""),""))</f>
        <v/>
      </c>
      <c r="E548">
        <f>IF(E$2=0,"",IFERROR(TRIM(INDEX('Pegar calibracion'!$A$1:$BZ$1001,547,E$2)&amp;""),""))</f>
        <v/>
      </c>
      <c r="F548">
        <f>IF(F$2=0,"",IFERROR(TRIM(INDEX('Pegar calibracion'!$A$1:$BZ$1001,547,F$2)&amp;""),""))</f>
        <v/>
      </c>
      <c r="G548">
        <f>IF(G$2=0,"",IFERROR(TRIM(INDEX('Pegar calibracion'!$A$1:$BZ$1001,547,G$2)&amp;""),""))</f>
        <v/>
      </c>
      <c r="H548">
        <f>IF(H$2=0,"",IFERROR(TRIM(INDEX('Pegar calibracion'!$A$1:$BZ$1001,547,H$2)&amp;""),""))</f>
        <v/>
      </c>
      <c r="I548">
        <f>IF(I$2=0,"",IFERROR(TRIM(INDEX('Pegar calibracion'!$A$1:$BZ$1001,547,I$2)&amp;""),""))</f>
        <v/>
      </c>
      <c r="J548">
        <f>IF(J$2=0,"",IFERROR(TRIM(INDEX('Pegar calibracion'!$A$1:$BZ$1001,547,J$2)&amp;""),""))</f>
        <v/>
      </c>
      <c r="K548">
        <f>IF(K$2=0,"",IFERROR(TRIM(INDEX('Pegar calibracion'!$A$1:$BZ$1001,547,K$2)&amp;""),""))</f>
        <v/>
      </c>
      <c r="L548">
        <f>IF(L$2=0,"",IFERROR(TRIM(INDEX('Pegar calibracion'!$A$1:$BZ$1001,547,L$2)&amp;""),""))</f>
        <v/>
      </c>
      <c r="M548" s="25">
        <f>IF(D548="","",SUBSTITUTE(SUBSTITUTE(SUBSTITUTE(SUBSTITUTE(SUBSTITUTE(SUBSTITUTE(SUBSTITUTE(SUBSTITUTE(SUBSTITUTE(SUBSTITUTE(SUBSTITUTE(SUBSTITUTE(LOWER(TRIM(D548)),"á","a"),"é","e"),"í","i"),"ó","o"),"ú","u"),"ü","u"),"ñ","n"),"à","a"),"è","e"),"ì","i"),"ò","o"),"ù","u"))</f>
        <v/>
      </c>
      <c r="N548" s="25">
        <f>IF(F548="","",SUBSTITUTE(SUBSTITUTE(SUBSTITUTE(SUBSTITUTE(SUBSTITUTE(SUBSTITUTE(SUBSTITUTE(SUBSTITUTE(SUBSTITUTE(SUBSTITUTE(SUBSTITUTE(SUBSTITUTE(LOWER(TRIM(F548)),"á","a"),"é","e"),"í","i"),"ó","o"),"ú","u"),"ü","u"),"ñ","n"),"à","a"),"è","e"),"ì","i"),"ò","o"),"ù","u"))</f>
        <v/>
      </c>
      <c r="O548" s="25">
        <f>IF(M548="confiable",2,IF(M548="dudosa",1,IF(M548="no confiable",0,"")))</f>
        <v/>
      </c>
      <c r="P548" s="25">
        <f>IF(N548="confiable",2,IF(N548="dudosa",1,IF(N548="no confiable",0,"")))</f>
        <v/>
      </c>
      <c r="Q548" s="25">
        <f>IF(AND(ISNUMBER(O548),ISNUMBER(P548)),1,"")</f>
        <v/>
      </c>
      <c r="R548" s="25">
        <f>IF(Q548=1,IF(O548=P548,"Sí","No"),"")</f>
        <v/>
      </c>
      <c r="S548" s="25">
        <f>IF(Q548=1,IF(P548&lt;O548,"Más estricto",IF(P548&gt;O548,"Más permisivo","Igual")),"")</f>
        <v/>
      </c>
      <c r="T548" s="25">
        <f>IF(Q548=1,IF(ABS(O548-P548)=2,1,0),"")</f>
        <v/>
      </c>
      <c r="U548" s="25">
        <f>IF(H548="","","|"&amp;SUBSTITUTE(SUBSTITUTE(TRIM(H548)," |","|"),"| ","|")&amp;"|")</f>
        <v/>
      </c>
      <c r="V548" s="25">
        <f>IF(AND(Q548=1,B548&lt;&gt;""),IF(IFERROR(COUNTIFS(B$3:B548,"="&amp;SUBSTITUTE(SUBSTITUTE(SUBSTITUTE(B548,"~","~~"),"*","~*"),"?","~?"),Q$3:Q548,1),0)=1,MAX(V$2:V547)+1,""),"")</f>
        <v/>
      </c>
      <c r="W548" s="25">
        <f>IF(V548="","",COUNTIFS($B$3:$B$1002,"="&amp;SUBSTITUTE(SUBSTITUTE(SUBSTITUTE(B548,"~","~~"),"*","~*"),"?","~?"),$Q$3:$Q$1002,1)*10000-V548)</f>
        <v/>
      </c>
      <c r="X548" s="25">
        <f>IF(Q548=1,IF(SUBSTITUTE(SUBSTITUTE(SUBSTITUTE(SUBSTITUTE(SUBSTITUTE(SUBSTITUTE(SUBSTITUTE(SUBSTITUTE(SUBSTITUTE(SUBSTITUTE(SUBSTITUTE(SUBSTITUTE(LOWER(TRIM(A548)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548)),"á","a"),"é","e"),"í","i"),"ó","o"),"ú","u"),"ü","u"),"ñ","n"),"à","a"),"è","e"),"ì","i"),"ò","o"),"ù","u")),"")</f>
        <v/>
      </c>
      <c r="Y548" s="25">
        <f>IF(X548="","",IF(IFERROR(COUNTIF(X$3:X548,"="&amp;SUBSTITUTE(SUBSTITUTE(SUBSTITUTE(X548,"~","~~"),"*","~*"),"?","~?")),0)=1,1,""))</f>
        <v/>
      </c>
      <c r="Z548" s="25">
        <f>IF(T548=1,MAX(Z$2:Z547)+1,"")</f>
        <v/>
      </c>
    </row>
    <row r="549">
      <c r="A549">
        <f>IF(A$2=0,"",IFERROR(TRIM(INDEX('Pegar calibracion'!$A$1:$BZ$1001,548,A$2)&amp;""),""))</f>
        <v/>
      </c>
      <c r="B549">
        <f>IF(B$2=0,"",IFERROR(TRIM(INDEX('Pegar calibracion'!$A$1:$BZ$1001,548,B$2)&amp;""),""))</f>
        <v/>
      </c>
      <c r="C549">
        <f>IF(C$2=0,"",IFERROR(TRIM(INDEX('Pegar calibracion'!$A$1:$BZ$1001,548,C$2)&amp;""),""))</f>
        <v/>
      </c>
      <c r="D549">
        <f>IF(D$2=0,"",IFERROR(TRIM(INDEX('Pegar calibracion'!$A$1:$BZ$1001,548,D$2)&amp;""),""))</f>
        <v/>
      </c>
      <c r="E549">
        <f>IF(E$2=0,"",IFERROR(TRIM(INDEX('Pegar calibracion'!$A$1:$BZ$1001,548,E$2)&amp;""),""))</f>
        <v/>
      </c>
      <c r="F549">
        <f>IF(F$2=0,"",IFERROR(TRIM(INDEX('Pegar calibracion'!$A$1:$BZ$1001,548,F$2)&amp;""),""))</f>
        <v/>
      </c>
      <c r="G549">
        <f>IF(G$2=0,"",IFERROR(TRIM(INDEX('Pegar calibracion'!$A$1:$BZ$1001,548,G$2)&amp;""),""))</f>
        <v/>
      </c>
      <c r="H549">
        <f>IF(H$2=0,"",IFERROR(TRIM(INDEX('Pegar calibracion'!$A$1:$BZ$1001,548,H$2)&amp;""),""))</f>
        <v/>
      </c>
      <c r="I549">
        <f>IF(I$2=0,"",IFERROR(TRIM(INDEX('Pegar calibracion'!$A$1:$BZ$1001,548,I$2)&amp;""),""))</f>
        <v/>
      </c>
      <c r="J549">
        <f>IF(J$2=0,"",IFERROR(TRIM(INDEX('Pegar calibracion'!$A$1:$BZ$1001,548,J$2)&amp;""),""))</f>
        <v/>
      </c>
      <c r="K549">
        <f>IF(K$2=0,"",IFERROR(TRIM(INDEX('Pegar calibracion'!$A$1:$BZ$1001,548,K$2)&amp;""),""))</f>
        <v/>
      </c>
      <c r="L549">
        <f>IF(L$2=0,"",IFERROR(TRIM(INDEX('Pegar calibracion'!$A$1:$BZ$1001,548,L$2)&amp;""),""))</f>
        <v/>
      </c>
      <c r="M549" s="25">
        <f>IF(D549="","",SUBSTITUTE(SUBSTITUTE(SUBSTITUTE(SUBSTITUTE(SUBSTITUTE(SUBSTITUTE(SUBSTITUTE(SUBSTITUTE(SUBSTITUTE(SUBSTITUTE(SUBSTITUTE(SUBSTITUTE(LOWER(TRIM(D549)),"á","a"),"é","e"),"í","i"),"ó","o"),"ú","u"),"ü","u"),"ñ","n"),"à","a"),"è","e"),"ì","i"),"ò","o"),"ù","u"))</f>
        <v/>
      </c>
      <c r="N549" s="25">
        <f>IF(F549="","",SUBSTITUTE(SUBSTITUTE(SUBSTITUTE(SUBSTITUTE(SUBSTITUTE(SUBSTITUTE(SUBSTITUTE(SUBSTITUTE(SUBSTITUTE(SUBSTITUTE(SUBSTITUTE(SUBSTITUTE(LOWER(TRIM(F549)),"á","a"),"é","e"),"í","i"),"ó","o"),"ú","u"),"ü","u"),"ñ","n"),"à","a"),"è","e"),"ì","i"),"ò","o"),"ù","u"))</f>
        <v/>
      </c>
      <c r="O549" s="25">
        <f>IF(M549="confiable",2,IF(M549="dudosa",1,IF(M549="no confiable",0,"")))</f>
        <v/>
      </c>
      <c r="P549" s="25">
        <f>IF(N549="confiable",2,IF(N549="dudosa",1,IF(N549="no confiable",0,"")))</f>
        <v/>
      </c>
      <c r="Q549" s="25">
        <f>IF(AND(ISNUMBER(O549),ISNUMBER(P549)),1,"")</f>
        <v/>
      </c>
      <c r="R549" s="25">
        <f>IF(Q549=1,IF(O549=P549,"Sí","No"),"")</f>
        <v/>
      </c>
      <c r="S549" s="25">
        <f>IF(Q549=1,IF(P549&lt;O549,"Más estricto",IF(P549&gt;O549,"Más permisivo","Igual")),"")</f>
        <v/>
      </c>
      <c r="T549" s="25">
        <f>IF(Q549=1,IF(ABS(O549-P549)=2,1,0),"")</f>
        <v/>
      </c>
      <c r="U549" s="25">
        <f>IF(H549="","","|"&amp;SUBSTITUTE(SUBSTITUTE(TRIM(H549)," |","|"),"| ","|")&amp;"|")</f>
        <v/>
      </c>
      <c r="V549" s="25">
        <f>IF(AND(Q549=1,B549&lt;&gt;""),IF(IFERROR(COUNTIFS(B$3:B549,"="&amp;SUBSTITUTE(SUBSTITUTE(SUBSTITUTE(B549,"~","~~"),"*","~*"),"?","~?"),Q$3:Q549,1),0)=1,MAX(V$2:V548)+1,""),"")</f>
        <v/>
      </c>
      <c r="W549" s="25">
        <f>IF(V549="","",COUNTIFS($B$3:$B$1002,"="&amp;SUBSTITUTE(SUBSTITUTE(SUBSTITUTE(B549,"~","~~"),"*","~*"),"?","~?"),$Q$3:$Q$1002,1)*10000-V549)</f>
        <v/>
      </c>
      <c r="X549" s="25">
        <f>IF(Q549=1,IF(SUBSTITUTE(SUBSTITUTE(SUBSTITUTE(SUBSTITUTE(SUBSTITUTE(SUBSTITUTE(SUBSTITUTE(SUBSTITUTE(SUBSTITUTE(SUBSTITUTE(SUBSTITUTE(SUBSTITUTE(LOWER(TRIM(A549)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549)),"á","a"),"é","e"),"í","i"),"ó","o"),"ú","u"),"ü","u"),"ñ","n"),"à","a"),"è","e"),"ì","i"),"ò","o"),"ù","u")),"")</f>
        <v/>
      </c>
      <c r="Y549" s="25">
        <f>IF(X549="","",IF(IFERROR(COUNTIF(X$3:X549,"="&amp;SUBSTITUTE(SUBSTITUTE(SUBSTITUTE(X549,"~","~~"),"*","~*"),"?","~?")),0)=1,1,""))</f>
        <v/>
      </c>
      <c r="Z549" s="25">
        <f>IF(T549=1,MAX(Z$2:Z548)+1,"")</f>
        <v/>
      </c>
    </row>
    <row r="550">
      <c r="A550">
        <f>IF(A$2=0,"",IFERROR(TRIM(INDEX('Pegar calibracion'!$A$1:$BZ$1001,549,A$2)&amp;""),""))</f>
        <v/>
      </c>
      <c r="B550">
        <f>IF(B$2=0,"",IFERROR(TRIM(INDEX('Pegar calibracion'!$A$1:$BZ$1001,549,B$2)&amp;""),""))</f>
        <v/>
      </c>
      <c r="C550">
        <f>IF(C$2=0,"",IFERROR(TRIM(INDEX('Pegar calibracion'!$A$1:$BZ$1001,549,C$2)&amp;""),""))</f>
        <v/>
      </c>
      <c r="D550">
        <f>IF(D$2=0,"",IFERROR(TRIM(INDEX('Pegar calibracion'!$A$1:$BZ$1001,549,D$2)&amp;""),""))</f>
        <v/>
      </c>
      <c r="E550">
        <f>IF(E$2=0,"",IFERROR(TRIM(INDEX('Pegar calibracion'!$A$1:$BZ$1001,549,E$2)&amp;""),""))</f>
        <v/>
      </c>
      <c r="F550">
        <f>IF(F$2=0,"",IFERROR(TRIM(INDEX('Pegar calibracion'!$A$1:$BZ$1001,549,F$2)&amp;""),""))</f>
        <v/>
      </c>
      <c r="G550">
        <f>IF(G$2=0,"",IFERROR(TRIM(INDEX('Pegar calibracion'!$A$1:$BZ$1001,549,G$2)&amp;""),""))</f>
        <v/>
      </c>
      <c r="H550">
        <f>IF(H$2=0,"",IFERROR(TRIM(INDEX('Pegar calibracion'!$A$1:$BZ$1001,549,H$2)&amp;""),""))</f>
        <v/>
      </c>
      <c r="I550">
        <f>IF(I$2=0,"",IFERROR(TRIM(INDEX('Pegar calibracion'!$A$1:$BZ$1001,549,I$2)&amp;""),""))</f>
        <v/>
      </c>
      <c r="J550">
        <f>IF(J$2=0,"",IFERROR(TRIM(INDEX('Pegar calibracion'!$A$1:$BZ$1001,549,J$2)&amp;""),""))</f>
        <v/>
      </c>
      <c r="K550">
        <f>IF(K$2=0,"",IFERROR(TRIM(INDEX('Pegar calibracion'!$A$1:$BZ$1001,549,K$2)&amp;""),""))</f>
        <v/>
      </c>
      <c r="L550">
        <f>IF(L$2=0,"",IFERROR(TRIM(INDEX('Pegar calibracion'!$A$1:$BZ$1001,549,L$2)&amp;""),""))</f>
        <v/>
      </c>
      <c r="M550" s="25">
        <f>IF(D550="","",SUBSTITUTE(SUBSTITUTE(SUBSTITUTE(SUBSTITUTE(SUBSTITUTE(SUBSTITUTE(SUBSTITUTE(SUBSTITUTE(SUBSTITUTE(SUBSTITUTE(SUBSTITUTE(SUBSTITUTE(LOWER(TRIM(D550)),"á","a"),"é","e"),"í","i"),"ó","o"),"ú","u"),"ü","u"),"ñ","n"),"à","a"),"è","e"),"ì","i"),"ò","o"),"ù","u"))</f>
        <v/>
      </c>
      <c r="N550" s="25">
        <f>IF(F550="","",SUBSTITUTE(SUBSTITUTE(SUBSTITUTE(SUBSTITUTE(SUBSTITUTE(SUBSTITUTE(SUBSTITUTE(SUBSTITUTE(SUBSTITUTE(SUBSTITUTE(SUBSTITUTE(SUBSTITUTE(LOWER(TRIM(F550)),"á","a"),"é","e"),"í","i"),"ó","o"),"ú","u"),"ü","u"),"ñ","n"),"à","a"),"è","e"),"ì","i"),"ò","o"),"ù","u"))</f>
        <v/>
      </c>
      <c r="O550" s="25">
        <f>IF(M550="confiable",2,IF(M550="dudosa",1,IF(M550="no confiable",0,"")))</f>
        <v/>
      </c>
      <c r="P550" s="25">
        <f>IF(N550="confiable",2,IF(N550="dudosa",1,IF(N550="no confiable",0,"")))</f>
        <v/>
      </c>
      <c r="Q550" s="25">
        <f>IF(AND(ISNUMBER(O550),ISNUMBER(P550)),1,"")</f>
        <v/>
      </c>
      <c r="R550" s="25">
        <f>IF(Q550=1,IF(O550=P550,"Sí","No"),"")</f>
        <v/>
      </c>
      <c r="S550" s="25">
        <f>IF(Q550=1,IF(P550&lt;O550,"Más estricto",IF(P550&gt;O550,"Más permisivo","Igual")),"")</f>
        <v/>
      </c>
      <c r="T550" s="25">
        <f>IF(Q550=1,IF(ABS(O550-P550)=2,1,0),"")</f>
        <v/>
      </c>
      <c r="U550" s="25">
        <f>IF(H550="","","|"&amp;SUBSTITUTE(SUBSTITUTE(TRIM(H550)," |","|"),"| ","|")&amp;"|")</f>
        <v/>
      </c>
      <c r="V550" s="25">
        <f>IF(AND(Q550=1,B550&lt;&gt;""),IF(IFERROR(COUNTIFS(B$3:B550,"="&amp;SUBSTITUTE(SUBSTITUTE(SUBSTITUTE(B550,"~","~~"),"*","~*"),"?","~?"),Q$3:Q550,1),0)=1,MAX(V$2:V549)+1,""),"")</f>
        <v/>
      </c>
      <c r="W550" s="25">
        <f>IF(V550="","",COUNTIFS($B$3:$B$1002,"="&amp;SUBSTITUTE(SUBSTITUTE(SUBSTITUTE(B550,"~","~~"),"*","~*"),"?","~?"),$Q$3:$Q$1002,1)*10000-V550)</f>
        <v/>
      </c>
      <c r="X550" s="25">
        <f>IF(Q550=1,IF(SUBSTITUTE(SUBSTITUTE(SUBSTITUTE(SUBSTITUTE(SUBSTITUTE(SUBSTITUTE(SUBSTITUTE(SUBSTITUTE(SUBSTITUTE(SUBSTITUTE(SUBSTITUTE(SUBSTITUTE(LOWER(TRIM(A550)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550)),"á","a"),"é","e"),"í","i"),"ó","o"),"ú","u"),"ü","u"),"ñ","n"),"à","a"),"è","e"),"ì","i"),"ò","o"),"ù","u")),"")</f>
        <v/>
      </c>
      <c r="Y550" s="25">
        <f>IF(X550="","",IF(IFERROR(COUNTIF(X$3:X550,"="&amp;SUBSTITUTE(SUBSTITUTE(SUBSTITUTE(X550,"~","~~"),"*","~*"),"?","~?")),0)=1,1,""))</f>
        <v/>
      </c>
      <c r="Z550" s="25">
        <f>IF(T550=1,MAX(Z$2:Z549)+1,"")</f>
        <v/>
      </c>
    </row>
    <row r="551">
      <c r="A551">
        <f>IF(A$2=0,"",IFERROR(TRIM(INDEX('Pegar calibracion'!$A$1:$BZ$1001,550,A$2)&amp;""),""))</f>
        <v/>
      </c>
      <c r="B551">
        <f>IF(B$2=0,"",IFERROR(TRIM(INDEX('Pegar calibracion'!$A$1:$BZ$1001,550,B$2)&amp;""),""))</f>
        <v/>
      </c>
      <c r="C551">
        <f>IF(C$2=0,"",IFERROR(TRIM(INDEX('Pegar calibracion'!$A$1:$BZ$1001,550,C$2)&amp;""),""))</f>
        <v/>
      </c>
      <c r="D551">
        <f>IF(D$2=0,"",IFERROR(TRIM(INDEX('Pegar calibracion'!$A$1:$BZ$1001,550,D$2)&amp;""),""))</f>
        <v/>
      </c>
      <c r="E551">
        <f>IF(E$2=0,"",IFERROR(TRIM(INDEX('Pegar calibracion'!$A$1:$BZ$1001,550,E$2)&amp;""),""))</f>
        <v/>
      </c>
      <c r="F551">
        <f>IF(F$2=0,"",IFERROR(TRIM(INDEX('Pegar calibracion'!$A$1:$BZ$1001,550,F$2)&amp;""),""))</f>
        <v/>
      </c>
      <c r="G551">
        <f>IF(G$2=0,"",IFERROR(TRIM(INDEX('Pegar calibracion'!$A$1:$BZ$1001,550,G$2)&amp;""),""))</f>
        <v/>
      </c>
      <c r="H551">
        <f>IF(H$2=0,"",IFERROR(TRIM(INDEX('Pegar calibracion'!$A$1:$BZ$1001,550,H$2)&amp;""),""))</f>
        <v/>
      </c>
      <c r="I551">
        <f>IF(I$2=0,"",IFERROR(TRIM(INDEX('Pegar calibracion'!$A$1:$BZ$1001,550,I$2)&amp;""),""))</f>
        <v/>
      </c>
      <c r="J551">
        <f>IF(J$2=0,"",IFERROR(TRIM(INDEX('Pegar calibracion'!$A$1:$BZ$1001,550,J$2)&amp;""),""))</f>
        <v/>
      </c>
      <c r="K551">
        <f>IF(K$2=0,"",IFERROR(TRIM(INDEX('Pegar calibracion'!$A$1:$BZ$1001,550,K$2)&amp;""),""))</f>
        <v/>
      </c>
      <c r="L551">
        <f>IF(L$2=0,"",IFERROR(TRIM(INDEX('Pegar calibracion'!$A$1:$BZ$1001,550,L$2)&amp;""),""))</f>
        <v/>
      </c>
      <c r="M551" s="25">
        <f>IF(D551="","",SUBSTITUTE(SUBSTITUTE(SUBSTITUTE(SUBSTITUTE(SUBSTITUTE(SUBSTITUTE(SUBSTITUTE(SUBSTITUTE(SUBSTITUTE(SUBSTITUTE(SUBSTITUTE(SUBSTITUTE(LOWER(TRIM(D551)),"á","a"),"é","e"),"í","i"),"ó","o"),"ú","u"),"ü","u"),"ñ","n"),"à","a"),"è","e"),"ì","i"),"ò","o"),"ù","u"))</f>
        <v/>
      </c>
      <c r="N551" s="25">
        <f>IF(F551="","",SUBSTITUTE(SUBSTITUTE(SUBSTITUTE(SUBSTITUTE(SUBSTITUTE(SUBSTITUTE(SUBSTITUTE(SUBSTITUTE(SUBSTITUTE(SUBSTITUTE(SUBSTITUTE(SUBSTITUTE(LOWER(TRIM(F551)),"á","a"),"é","e"),"í","i"),"ó","o"),"ú","u"),"ü","u"),"ñ","n"),"à","a"),"è","e"),"ì","i"),"ò","o"),"ù","u"))</f>
        <v/>
      </c>
      <c r="O551" s="25">
        <f>IF(M551="confiable",2,IF(M551="dudosa",1,IF(M551="no confiable",0,"")))</f>
        <v/>
      </c>
      <c r="P551" s="25">
        <f>IF(N551="confiable",2,IF(N551="dudosa",1,IF(N551="no confiable",0,"")))</f>
        <v/>
      </c>
      <c r="Q551" s="25">
        <f>IF(AND(ISNUMBER(O551),ISNUMBER(P551)),1,"")</f>
        <v/>
      </c>
      <c r="R551" s="25">
        <f>IF(Q551=1,IF(O551=P551,"Sí","No"),"")</f>
        <v/>
      </c>
      <c r="S551" s="25">
        <f>IF(Q551=1,IF(P551&lt;O551,"Más estricto",IF(P551&gt;O551,"Más permisivo","Igual")),"")</f>
        <v/>
      </c>
      <c r="T551" s="25">
        <f>IF(Q551=1,IF(ABS(O551-P551)=2,1,0),"")</f>
        <v/>
      </c>
      <c r="U551" s="25">
        <f>IF(H551="","","|"&amp;SUBSTITUTE(SUBSTITUTE(TRIM(H551)," |","|"),"| ","|")&amp;"|")</f>
        <v/>
      </c>
      <c r="V551" s="25">
        <f>IF(AND(Q551=1,B551&lt;&gt;""),IF(IFERROR(COUNTIFS(B$3:B551,"="&amp;SUBSTITUTE(SUBSTITUTE(SUBSTITUTE(B551,"~","~~"),"*","~*"),"?","~?"),Q$3:Q551,1),0)=1,MAX(V$2:V550)+1,""),"")</f>
        <v/>
      </c>
      <c r="W551" s="25">
        <f>IF(V551="","",COUNTIFS($B$3:$B$1002,"="&amp;SUBSTITUTE(SUBSTITUTE(SUBSTITUTE(B551,"~","~~"),"*","~*"),"?","~?"),$Q$3:$Q$1002,1)*10000-V551)</f>
        <v/>
      </c>
      <c r="X551" s="25">
        <f>IF(Q551=1,IF(SUBSTITUTE(SUBSTITUTE(SUBSTITUTE(SUBSTITUTE(SUBSTITUTE(SUBSTITUTE(SUBSTITUTE(SUBSTITUTE(SUBSTITUTE(SUBSTITUTE(SUBSTITUTE(SUBSTITUTE(LOWER(TRIM(A551)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551)),"á","a"),"é","e"),"í","i"),"ó","o"),"ú","u"),"ü","u"),"ñ","n"),"à","a"),"è","e"),"ì","i"),"ò","o"),"ù","u")),"")</f>
        <v/>
      </c>
      <c r="Y551" s="25">
        <f>IF(X551="","",IF(IFERROR(COUNTIF(X$3:X551,"="&amp;SUBSTITUTE(SUBSTITUTE(SUBSTITUTE(X551,"~","~~"),"*","~*"),"?","~?")),0)=1,1,""))</f>
        <v/>
      </c>
      <c r="Z551" s="25">
        <f>IF(T551=1,MAX(Z$2:Z550)+1,"")</f>
        <v/>
      </c>
    </row>
    <row r="552">
      <c r="A552">
        <f>IF(A$2=0,"",IFERROR(TRIM(INDEX('Pegar calibracion'!$A$1:$BZ$1001,551,A$2)&amp;""),""))</f>
        <v/>
      </c>
      <c r="B552">
        <f>IF(B$2=0,"",IFERROR(TRIM(INDEX('Pegar calibracion'!$A$1:$BZ$1001,551,B$2)&amp;""),""))</f>
        <v/>
      </c>
      <c r="C552">
        <f>IF(C$2=0,"",IFERROR(TRIM(INDEX('Pegar calibracion'!$A$1:$BZ$1001,551,C$2)&amp;""),""))</f>
        <v/>
      </c>
      <c r="D552">
        <f>IF(D$2=0,"",IFERROR(TRIM(INDEX('Pegar calibracion'!$A$1:$BZ$1001,551,D$2)&amp;""),""))</f>
        <v/>
      </c>
      <c r="E552">
        <f>IF(E$2=0,"",IFERROR(TRIM(INDEX('Pegar calibracion'!$A$1:$BZ$1001,551,E$2)&amp;""),""))</f>
        <v/>
      </c>
      <c r="F552">
        <f>IF(F$2=0,"",IFERROR(TRIM(INDEX('Pegar calibracion'!$A$1:$BZ$1001,551,F$2)&amp;""),""))</f>
        <v/>
      </c>
      <c r="G552">
        <f>IF(G$2=0,"",IFERROR(TRIM(INDEX('Pegar calibracion'!$A$1:$BZ$1001,551,G$2)&amp;""),""))</f>
        <v/>
      </c>
      <c r="H552">
        <f>IF(H$2=0,"",IFERROR(TRIM(INDEX('Pegar calibracion'!$A$1:$BZ$1001,551,H$2)&amp;""),""))</f>
        <v/>
      </c>
      <c r="I552">
        <f>IF(I$2=0,"",IFERROR(TRIM(INDEX('Pegar calibracion'!$A$1:$BZ$1001,551,I$2)&amp;""),""))</f>
        <v/>
      </c>
      <c r="J552">
        <f>IF(J$2=0,"",IFERROR(TRIM(INDEX('Pegar calibracion'!$A$1:$BZ$1001,551,J$2)&amp;""),""))</f>
        <v/>
      </c>
      <c r="K552">
        <f>IF(K$2=0,"",IFERROR(TRIM(INDEX('Pegar calibracion'!$A$1:$BZ$1001,551,K$2)&amp;""),""))</f>
        <v/>
      </c>
      <c r="L552">
        <f>IF(L$2=0,"",IFERROR(TRIM(INDEX('Pegar calibracion'!$A$1:$BZ$1001,551,L$2)&amp;""),""))</f>
        <v/>
      </c>
      <c r="M552" s="25">
        <f>IF(D552="","",SUBSTITUTE(SUBSTITUTE(SUBSTITUTE(SUBSTITUTE(SUBSTITUTE(SUBSTITUTE(SUBSTITUTE(SUBSTITUTE(SUBSTITUTE(SUBSTITUTE(SUBSTITUTE(SUBSTITUTE(LOWER(TRIM(D552)),"á","a"),"é","e"),"í","i"),"ó","o"),"ú","u"),"ü","u"),"ñ","n"),"à","a"),"è","e"),"ì","i"),"ò","o"),"ù","u"))</f>
        <v/>
      </c>
      <c r="N552" s="25">
        <f>IF(F552="","",SUBSTITUTE(SUBSTITUTE(SUBSTITUTE(SUBSTITUTE(SUBSTITUTE(SUBSTITUTE(SUBSTITUTE(SUBSTITUTE(SUBSTITUTE(SUBSTITUTE(SUBSTITUTE(SUBSTITUTE(LOWER(TRIM(F552)),"á","a"),"é","e"),"í","i"),"ó","o"),"ú","u"),"ü","u"),"ñ","n"),"à","a"),"è","e"),"ì","i"),"ò","o"),"ù","u"))</f>
        <v/>
      </c>
      <c r="O552" s="25">
        <f>IF(M552="confiable",2,IF(M552="dudosa",1,IF(M552="no confiable",0,"")))</f>
        <v/>
      </c>
      <c r="P552" s="25">
        <f>IF(N552="confiable",2,IF(N552="dudosa",1,IF(N552="no confiable",0,"")))</f>
        <v/>
      </c>
      <c r="Q552" s="25">
        <f>IF(AND(ISNUMBER(O552),ISNUMBER(P552)),1,"")</f>
        <v/>
      </c>
      <c r="R552" s="25">
        <f>IF(Q552=1,IF(O552=P552,"Sí","No"),"")</f>
        <v/>
      </c>
      <c r="S552" s="25">
        <f>IF(Q552=1,IF(P552&lt;O552,"Más estricto",IF(P552&gt;O552,"Más permisivo","Igual")),"")</f>
        <v/>
      </c>
      <c r="T552" s="25">
        <f>IF(Q552=1,IF(ABS(O552-P552)=2,1,0),"")</f>
        <v/>
      </c>
      <c r="U552" s="25">
        <f>IF(H552="","","|"&amp;SUBSTITUTE(SUBSTITUTE(TRIM(H552)," |","|"),"| ","|")&amp;"|")</f>
        <v/>
      </c>
      <c r="V552" s="25">
        <f>IF(AND(Q552=1,B552&lt;&gt;""),IF(IFERROR(COUNTIFS(B$3:B552,"="&amp;SUBSTITUTE(SUBSTITUTE(SUBSTITUTE(B552,"~","~~"),"*","~*"),"?","~?"),Q$3:Q552,1),0)=1,MAX(V$2:V551)+1,""),"")</f>
        <v/>
      </c>
      <c r="W552" s="25">
        <f>IF(V552="","",COUNTIFS($B$3:$B$1002,"="&amp;SUBSTITUTE(SUBSTITUTE(SUBSTITUTE(B552,"~","~~"),"*","~*"),"?","~?"),$Q$3:$Q$1002,1)*10000-V552)</f>
        <v/>
      </c>
      <c r="X552" s="25">
        <f>IF(Q552=1,IF(SUBSTITUTE(SUBSTITUTE(SUBSTITUTE(SUBSTITUTE(SUBSTITUTE(SUBSTITUTE(SUBSTITUTE(SUBSTITUTE(SUBSTITUTE(SUBSTITUTE(SUBSTITUTE(SUBSTITUTE(LOWER(TRIM(A552)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552)),"á","a"),"é","e"),"í","i"),"ó","o"),"ú","u"),"ü","u"),"ñ","n"),"à","a"),"è","e"),"ì","i"),"ò","o"),"ù","u")),"")</f>
        <v/>
      </c>
      <c r="Y552" s="25">
        <f>IF(X552="","",IF(IFERROR(COUNTIF(X$3:X552,"="&amp;SUBSTITUTE(SUBSTITUTE(SUBSTITUTE(X552,"~","~~"),"*","~*"),"?","~?")),0)=1,1,""))</f>
        <v/>
      </c>
      <c r="Z552" s="25">
        <f>IF(T552=1,MAX(Z$2:Z551)+1,"")</f>
        <v/>
      </c>
    </row>
    <row r="553">
      <c r="A553">
        <f>IF(A$2=0,"",IFERROR(TRIM(INDEX('Pegar calibracion'!$A$1:$BZ$1001,552,A$2)&amp;""),""))</f>
        <v/>
      </c>
      <c r="B553">
        <f>IF(B$2=0,"",IFERROR(TRIM(INDEX('Pegar calibracion'!$A$1:$BZ$1001,552,B$2)&amp;""),""))</f>
        <v/>
      </c>
      <c r="C553">
        <f>IF(C$2=0,"",IFERROR(TRIM(INDEX('Pegar calibracion'!$A$1:$BZ$1001,552,C$2)&amp;""),""))</f>
        <v/>
      </c>
      <c r="D553">
        <f>IF(D$2=0,"",IFERROR(TRIM(INDEX('Pegar calibracion'!$A$1:$BZ$1001,552,D$2)&amp;""),""))</f>
        <v/>
      </c>
      <c r="E553">
        <f>IF(E$2=0,"",IFERROR(TRIM(INDEX('Pegar calibracion'!$A$1:$BZ$1001,552,E$2)&amp;""),""))</f>
        <v/>
      </c>
      <c r="F553">
        <f>IF(F$2=0,"",IFERROR(TRIM(INDEX('Pegar calibracion'!$A$1:$BZ$1001,552,F$2)&amp;""),""))</f>
        <v/>
      </c>
      <c r="G553">
        <f>IF(G$2=0,"",IFERROR(TRIM(INDEX('Pegar calibracion'!$A$1:$BZ$1001,552,G$2)&amp;""),""))</f>
        <v/>
      </c>
      <c r="H553">
        <f>IF(H$2=0,"",IFERROR(TRIM(INDEX('Pegar calibracion'!$A$1:$BZ$1001,552,H$2)&amp;""),""))</f>
        <v/>
      </c>
      <c r="I553">
        <f>IF(I$2=0,"",IFERROR(TRIM(INDEX('Pegar calibracion'!$A$1:$BZ$1001,552,I$2)&amp;""),""))</f>
        <v/>
      </c>
      <c r="J553">
        <f>IF(J$2=0,"",IFERROR(TRIM(INDEX('Pegar calibracion'!$A$1:$BZ$1001,552,J$2)&amp;""),""))</f>
        <v/>
      </c>
      <c r="K553">
        <f>IF(K$2=0,"",IFERROR(TRIM(INDEX('Pegar calibracion'!$A$1:$BZ$1001,552,K$2)&amp;""),""))</f>
        <v/>
      </c>
      <c r="L553">
        <f>IF(L$2=0,"",IFERROR(TRIM(INDEX('Pegar calibracion'!$A$1:$BZ$1001,552,L$2)&amp;""),""))</f>
        <v/>
      </c>
      <c r="M553" s="25">
        <f>IF(D553="","",SUBSTITUTE(SUBSTITUTE(SUBSTITUTE(SUBSTITUTE(SUBSTITUTE(SUBSTITUTE(SUBSTITUTE(SUBSTITUTE(SUBSTITUTE(SUBSTITUTE(SUBSTITUTE(SUBSTITUTE(LOWER(TRIM(D553)),"á","a"),"é","e"),"í","i"),"ó","o"),"ú","u"),"ü","u"),"ñ","n"),"à","a"),"è","e"),"ì","i"),"ò","o"),"ù","u"))</f>
        <v/>
      </c>
      <c r="N553" s="25">
        <f>IF(F553="","",SUBSTITUTE(SUBSTITUTE(SUBSTITUTE(SUBSTITUTE(SUBSTITUTE(SUBSTITUTE(SUBSTITUTE(SUBSTITUTE(SUBSTITUTE(SUBSTITUTE(SUBSTITUTE(SUBSTITUTE(LOWER(TRIM(F553)),"á","a"),"é","e"),"í","i"),"ó","o"),"ú","u"),"ü","u"),"ñ","n"),"à","a"),"è","e"),"ì","i"),"ò","o"),"ù","u"))</f>
        <v/>
      </c>
      <c r="O553" s="25">
        <f>IF(M553="confiable",2,IF(M553="dudosa",1,IF(M553="no confiable",0,"")))</f>
        <v/>
      </c>
      <c r="P553" s="25">
        <f>IF(N553="confiable",2,IF(N553="dudosa",1,IF(N553="no confiable",0,"")))</f>
        <v/>
      </c>
      <c r="Q553" s="25">
        <f>IF(AND(ISNUMBER(O553),ISNUMBER(P553)),1,"")</f>
        <v/>
      </c>
      <c r="R553" s="25">
        <f>IF(Q553=1,IF(O553=P553,"Sí","No"),"")</f>
        <v/>
      </c>
      <c r="S553" s="25">
        <f>IF(Q553=1,IF(P553&lt;O553,"Más estricto",IF(P553&gt;O553,"Más permisivo","Igual")),"")</f>
        <v/>
      </c>
      <c r="T553" s="25">
        <f>IF(Q553=1,IF(ABS(O553-P553)=2,1,0),"")</f>
        <v/>
      </c>
      <c r="U553" s="25">
        <f>IF(H553="","","|"&amp;SUBSTITUTE(SUBSTITUTE(TRIM(H553)," |","|"),"| ","|")&amp;"|")</f>
        <v/>
      </c>
      <c r="V553" s="25">
        <f>IF(AND(Q553=1,B553&lt;&gt;""),IF(IFERROR(COUNTIFS(B$3:B553,"="&amp;SUBSTITUTE(SUBSTITUTE(SUBSTITUTE(B553,"~","~~"),"*","~*"),"?","~?"),Q$3:Q553,1),0)=1,MAX(V$2:V552)+1,""),"")</f>
        <v/>
      </c>
      <c r="W553" s="25">
        <f>IF(V553="","",COUNTIFS($B$3:$B$1002,"="&amp;SUBSTITUTE(SUBSTITUTE(SUBSTITUTE(B553,"~","~~"),"*","~*"),"?","~?"),$Q$3:$Q$1002,1)*10000-V553)</f>
        <v/>
      </c>
      <c r="X553" s="25">
        <f>IF(Q553=1,IF(SUBSTITUTE(SUBSTITUTE(SUBSTITUTE(SUBSTITUTE(SUBSTITUTE(SUBSTITUTE(SUBSTITUTE(SUBSTITUTE(SUBSTITUTE(SUBSTITUTE(SUBSTITUTE(SUBSTITUTE(LOWER(TRIM(A553)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553)),"á","a"),"é","e"),"í","i"),"ó","o"),"ú","u"),"ü","u"),"ñ","n"),"à","a"),"è","e"),"ì","i"),"ò","o"),"ù","u")),"")</f>
        <v/>
      </c>
      <c r="Y553" s="25">
        <f>IF(X553="","",IF(IFERROR(COUNTIF(X$3:X553,"="&amp;SUBSTITUTE(SUBSTITUTE(SUBSTITUTE(X553,"~","~~"),"*","~*"),"?","~?")),0)=1,1,""))</f>
        <v/>
      </c>
      <c r="Z553" s="25">
        <f>IF(T553=1,MAX(Z$2:Z552)+1,"")</f>
        <v/>
      </c>
    </row>
    <row r="554">
      <c r="A554">
        <f>IF(A$2=0,"",IFERROR(TRIM(INDEX('Pegar calibracion'!$A$1:$BZ$1001,553,A$2)&amp;""),""))</f>
        <v/>
      </c>
      <c r="B554">
        <f>IF(B$2=0,"",IFERROR(TRIM(INDEX('Pegar calibracion'!$A$1:$BZ$1001,553,B$2)&amp;""),""))</f>
        <v/>
      </c>
      <c r="C554">
        <f>IF(C$2=0,"",IFERROR(TRIM(INDEX('Pegar calibracion'!$A$1:$BZ$1001,553,C$2)&amp;""),""))</f>
        <v/>
      </c>
      <c r="D554">
        <f>IF(D$2=0,"",IFERROR(TRIM(INDEX('Pegar calibracion'!$A$1:$BZ$1001,553,D$2)&amp;""),""))</f>
        <v/>
      </c>
      <c r="E554">
        <f>IF(E$2=0,"",IFERROR(TRIM(INDEX('Pegar calibracion'!$A$1:$BZ$1001,553,E$2)&amp;""),""))</f>
        <v/>
      </c>
      <c r="F554">
        <f>IF(F$2=0,"",IFERROR(TRIM(INDEX('Pegar calibracion'!$A$1:$BZ$1001,553,F$2)&amp;""),""))</f>
        <v/>
      </c>
      <c r="G554">
        <f>IF(G$2=0,"",IFERROR(TRIM(INDEX('Pegar calibracion'!$A$1:$BZ$1001,553,G$2)&amp;""),""))</f>
        <v/>
      </c>
      <c r="H554">
        <f>IF(H$2=0,"",IFERROR(TRIM(INDEX('Pegar calibracion'!$A$1:$BZ$1001,553,H$2)&amp;""),""))</f>
        <v/>
      </c>
      <c r="I554">
        <f>IF(I$2=0,"",IFERROR(TRIM(INDEX('Pegar calibracion'!$A$1:$BZ$1001,553,I$2)&amp;""),""))</f>
        <v/>
      </c>
      <c r="J554">
        <f>IF(J$2=0,"",IFERROR(TRIM(INDEX('Pegar calibracion'!$A$1:$BZ$1001,553,J$2)&amp;""),""))</f>
        <v/>
      </c>
      <c r="K554">
        <f>IF(K$2=0,"",IFERROR(TRIM(INDEX('Pegar calibracion'!$A$1:$BZ$1001,553,K$2)&amp;""),""))</f>
        <v/>
      </c>
      <c r="L554">
        <f>IF(L$2=0,"",IFERROR(TRIM(INDEX('Pegar calibracion'!$A$1:$BZ$1001,553,L$2)&amp;""),""))</f>
        <v/>
      </c>
      <c r="M554" s="25">
        <f>IF(D554="","",SUBSTITUTE(SUBSTITUTE(SUBSTITUTE(SUBSTITUTE(SUBSTITUTE(SUBSTITUTE(SUBSTITUTE(SUBSTITUTE(SUBSTITUTE(SUBSTITUTE(SUBSTITUTE(SUBSTITUTE(LOWER(TRIM(D554)),"á","a"),"é","e"),"í","i"),"ó","o"),"ú","u"),"ü","u"),"ñ","n"),"à","a"),"è","e"),"ì","i"),"ò","o"),"ù","u"))</f>
        <v/>
      </c>
      <c r="N554" s="25">
        <f>IF(F554="","",SUBSTITUTE(SUBSTITUTE(SUBSTITUTE(SUBSTITUTE(SUBSTITUTE(SUBSTITUTE(SUBSTITUTE(SUBSTITUTE(SUBSTITUTE(SUBSTITUTE(SUBSTITUTE(SUBSTITUTE(LOWER(TRIM(F554)),"á","a"),"é","e"),"í","i"),"ó","o"),"ú","u"),"ü","u"),"ñ","n"),"à","a"),"è","e"),"ì","i"),"ò","o"),"ù","u"))</f>
        <v/>
      </c>
      <c r="O554" s="25">
        <f>IF(M554="confiable",2,IF(M554="dudosa",1,IF(M554="no confiable",0,"")))</f>
        <v/>
      </c>
      <c r="P554" s="25">
        <f>IF(N554="confiable",2,IF(N554="dudosa",1,IF(N554="no confiable",0,"")))</f>
        <v/>
      </c>
      <c r="Q554" s="25">
        <f>IF(AND(ISNUMBER(O554),ISNUMBER(P554)),1,"")</f>
        <v/>
      </c>
      <c r="R554" s="25">
        <f>IF(Q554=1,IF(O554=P554,"Sí","No"),"")</f>
        <v/>
      </c>
      <c r="S554" s="25">
        <f>IF(Q554=1,IF(P554&lt;O554,"Más estricto",IF(P554&gt;O554,"Más permisivo","Igual")),"")</f>
        <v/>
      </c>
      <c r="T554" s="25">
        <f>IF(Q554=1,IF(ABS(O554-P554)=2,1,0),"")</f>
        <v/>
      </c>
      <c r="U554" s="25">
        <f>IF(H554="","","|"&amp;SUBSTITUTE(SUBSTITUTE(TRIM(H554)," |","|"),"| ","|")&amp;"|")</f>
        <v/>
      </c>
      <c r="V554" s="25">
        <f>IF(AND(Q554=1,B554&lt;&gt;""),IF(IFERROR(COUNTIFS(B$3:B554,"="&amp;SUBSTITUTE(SUBSTITUTE(SUBSTITUTE(B554,"~","~~"),"*","~*"),"?","~?"),Q$3:Q554,1),0)=1,MAX(V$2:V553)+1,""),"")</f>
        <v/>
      </c>
      <c r="W554" s="25">
        <f>IF(V554="","",COUNTIFS($B$3:$B$1002,"="&amp;SUBSTITUTE(SUBSTITUTE(SUBSTITUTE(B554,"~","~~"),"*","~*"),"?","~?"),$Q$3:$Q$1002,1)*10000-V554)</f>
        <v/>
      </c>
      <c r="X554" s="25">
        <f>IF(Q554=1,IF(SUBSTITUTE(SUBSTITUTE(SUBSTITUTE(SUBSTITUTE(SUBSTITUTE(SUBSTITUTE(SUBSTITUTE(SUBSTITUTE(SUBSTITUTE(SUBSTITUTE(SUBSTITUTE(SUBSTITUTE(LOWER(TRIM(A554)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554)),"á","a"),"é","e"),"í","i"),"ó","o"),"ú","u"),"ü","u"),"ñ","n"),"à","a"),"è","e"),"ì","i"),"ò","o"),"ù","u")),"")</f>
        <v/>
      </c>
      <c r="Y554" s="25">
        <f>IF(X554="","",IF(IFERROR(COUNTIF(X$3:X554,"="&amp;SUBSTITUTE(SUBSTITUTE(SUBSTITUTE(X554,"~","~~"),"*","~*"),"?","~?")),0)=1,1,""))</f>
        <v/>
      </c>
      <c r="Z554" s="25">
        <f>IF(T554=1,MAX(Z$2:Z553)+1,"")</f>
        <v/>
      </c>
    </row>
    <row r="555">
      <c r="A555">
        <f>IF(A$2=0,"",IFERROR(TRIM(INDEX('Pegar calibracion'!$A$1:$BZ$1001,554,A$2)&amp;""),""))</f>
        <v/>
      </c>
      <c r="B555">
        <f>IF(B$2=0,"",IFERROR(TRIM(INDEX('Pegar calibracion'!$A$1:$BZ$1001,554,B$2)&amp;""),""))</f>
        <v/>
      </c>
      <c r="C555">
        <f>IF(C$2=0,"",IFERROR(TRIM(INDEX('Pegar calibracion'!$A$1:$BZ$1001,554,C$2)&amp;""),""))</f>
        <v/>
      </c>
      <c r="D555">
        <f>IF(D$2=0,"",IFERROR(TRIM(INDEX('Pegar calibracion'!$A$1:$BZ$1001,554,D$2)&amp;""),""))</f>
        <v/>
      </c>
      <c r="E555">
        <f>IF(E$2=0,"",IFERROR(TRIM(INDEX('Pegar calibracion'!$A$1:$BZ$1001,554,E$2)&amp;""),""))</f>
        <v/>
      </c>
      <c r="F555">
        <f>IF(F$2=0,"",IFERROR(TRIM(INDEX('Pegar calibracion'!$A$1:$BZ$1001,554,F$2)&amp;""),""))</f>
        <v/>
      </c>
      <c r="G555">
        <f>IF(G$2=0,"",IFERROR(TRIM(INDEX('Pegar calibracion'!$A$1:$BZ$1001,554,G$2)&amp;""),""))</f>
        <v/>
      </c>
      <c r="H555">
        <f>IF(H$2=0,"",IFERROR(TRIM(INDEX('Pegar calibracion'!$A$1:$BZ$1001,554,H$2)&amp;""),""))</f>
        <v/>
      </c>
      <c r="I555">
        <f>IF(I$2=0,"",IFERROR(TRIM(INDEX('Pegar calibracion'!$A$1:$BZ$1001,554,I$2)&amp;""),""))</f>
        <v/>
      </c>
      <c r="J555">
        <f>IF(J$2=0,"",IFERROR(TRIM(INDEX('Pegar calibracion'!$A$1:$BZ$1001,554,J$2)&amp;""),""))</f>
        <v/>
      </c>
      <c r="K555">
        <f>IF(K$2=0,"",IFERROR(TRIM(INDEX('Pegar calibracion'!$A$1:$BZ$1001,554,K$2)&amp;""),""))</f>
        <v/>
      </c>
      <c r="L555">
        <f>IF(L$2=0,"",IFERROR(TRIM(INDEX('Pegar calibracion'!$A$1:$BZ$1001,554,L$2)&amp;""),""))</f>
        <v/>
      </c>
      <c r="M555" s="25">
        <f>IF(D555="","",SUBSTITUTE(SUBSTITUTE(SUBSTITUTE(SUBSTITUTE(SUBSTITUTE(SUBSTITUTE(SUBSTITUTE(SUBSTITUTE(SUBSTITUTE(SUBSTITUTE(SUBSTITUTE(SUBSTITUTE(LOWER(TRIM(D555)),"á","a"),"é","e"),"í","i"),"ó","o"),"ú","u"),"ü","u"),"ñ","n"),"à","a"),"è","e"),"ì","i"),"ò","o"),"ù","u"))</f>
        <v/>
      </c>
      <c r="N555" s="25">
        <f>IF(F555="","",SUBSTITUTE(SUBSTITUTE(SUBSTITUTE(SUBSTITUTE(SUBSTITUTE(SUBSTITUTE(SUBSTITUTE(SUBSTITUTE(SUBSTITUTE(SUBSTITUTE(SUBSTITUTE(SUBSTITUTE(LOWER(TRIM(F555)),"á","a"),"é","e"),"í","i"),"ó","o"),"ú","u"),"ü","u"),"ñ","n"),"à","a"),"è","e"),"ì","i"),"ò","o"),"ù","u"))</f>
        <v/>
      </c>
      <c r="O555" s="25">
        <f>IF(M555="confiable",2,IF(M555="dudosa",1,IF(M555="no confiable",0,"")))</f>
        <v/>
      </c>
      <c r="P555" s="25">
        <f>IF(N555="confiable",2,IF(N555="dudosa",1,IF(N555="no confiable",0,"")))</f>
        <v/>
      </c>
      <c r="Q555" s="25">
        <f>IF(AND(ISNUMBER(O555),ISNUMBER(P555)),1,"")</f>
        <v/>
      </c>
      <c r="R555" s="25">
        <f>IF(Q555=1,IF(O555=P555,"Sí","No"),"")</f>
        <v/>
      </c>
      <c r="S555" s="25">
        <f>IF(Q555=1,IF(P555&lt;O555,"Más estricto",IF(P555&gt;O555,"Más permisivo","Igual")),"")</f>
        <v/>
      </c>
      <c r="T555" s="25">
        <f>IF(Q555=1,IF(ABS(O555-P555)=2,1,0),"")</f>
        <v/>
      </c>
      <c r="U555" s="25">
        <f>IF(H555="","","|"&amp;SUBSTITUTE(SUBSTITUTE(TRIM(H555)," |","|"),"| ","|")&amp;"|")</f>
        <v/>
      </c>
      <c r="V555" s="25">
        <f>IF(AND(Q555=1,B555&lt;&gt;""),IF(IFERROR(COUNTIFS(B$3:B555,"="&amp;SUBSTITUTE(SUBSTITUTE(SUBSTITUTE(B555,"~","~~"),"*","~*"),"?","~?"),Q$3:Q555,1),0)=1,MAX(V$2:V554)+1,""),"")</f>
        <v/>
      </c>
      <c r="W555" s="25">
        <f>IF(V555="","",COUNTIFS($B$3:$B$1002,"="&amp;SUBSTITUTE(SUBSTITUTE(SUBSTITUTE(B555,"~","~~"),"*","~*"),"?","~?"),$Q$3:$Q$1002,1)*10000-V555)</f>
        <v/>
      </c>
      <c r="X555" s="25">
        <f>IF(Q555=1,IF(SUBSTITUTE(SUBSTITUTE(SUBSTITUTE(SUBSTITUTE(SUBSTITUTE(SUBSTITUTE(SUBSTITUTE(SUBSTITUTE(SUBSTITUTE(SUBSTITUTE(SUBSTITUTE(SUBSTITUTE(LOWER(TRIM(A555)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555)),"á","a"),"é","e"),"í","i"),"ó","o"),"ú","u"),"ü","u"),"ñ","n"),"à","a"),"è","e"),"ì","i"),"ò","o"),"ù","u")),"")</f>
        <v/>
      </c>
      <c r="Y555" s="25">
        <f>IF(X555="","",IF(IFERROR(COUNTIF(X$3:X555,"="&amp;SUBSTITUTE(SUBSTITUTE(SUBSTITUTE(X555,"~","~~"),"*","~*"),"?","~?")),0)=1,1,""))</f>
        <v/>
      </c>
      <c r="Z555" s="25">
        <f>IF(T555=1,MAX(Z$2:Z554)+1,"")</f>
        <v/>
      </c>
    </row>
    <row r="556">
      <c r="A556">
        <f>IF(A$2=0,"",IFERROR(TRIM(INDEX('Pegar calibracion'!$A$1:$BZ$1001,555,A$2)&amp;""),""))</f>
        <v/>
      </c>
      <c r="B556">
        <f>IF(B$2=0,"",IFERROR(TRIM(INDEX('Pegar calibracion'!$A$1:$BZ$1001,555,B$2)&amp;""),""))</f>
        <v/>
      </c>
      <c r="C556">
        <f>IF(C$2=0,"",IFERROR(TRIM(INDEX('Pegar calibracion'!$A$1:$BZ$1001,555,C$2)&amp;""),""))</f>
        <v/>
      </c>
      <c r="D556">
        <f>IF(D$2=0,"",IFERROR(TRIM(INDEX('Pegar calibracion'!$A$1:$BZ$1001,555,D$2)&amp;""),""))</f>
        <v/>
      </c>
      <c r="E556">
        <f>IF(E$2=0,"",IFERROR(TRIM(INDEX('Pegar calibracion'!$A$1:$BZ$1001,555,E$2)&amp;""),""))</f>
        <v/>
      </c>
      <c r="F556">
        <f>IF(F$2=0,"",IFERROR(TRIM(INDEX('Pegar calibracion'!$A$1:$BZ$1001,555,F$2)&amp;""),""))</f>
        <v/>
      </c>
      <c r="G556">
        <f>IF(G$2=0,"",IFERROR(TRIM(INDEX('Pegar calibracion'!$A$1:$BZ$1001,555,G$2)&amp;""),""))</f>
        <v/>
      </c>
      <c r="H556">
        <f>IF(H$2=0,"",IFERROR(TRIM(INDEX('Pegar calibracion'!$A$1:$BZ$1001,555,H$2)&amp;""),""))</f>
        <v/>
      </c>
      <c r="I556">
        <f>IF(I$2=0,"",IFERROR(TRIM(INDEX('Pegar calibracion'!$A$1:$BZ$1001,555,I$2)&amp;""),""))</f>
        <v/>
      </c>
      <c r="J556">
        <f>IF(J$2=0,"",IFERROR(TRIM(INDEX('Pegar calibracion'!$A$1:$BZ$1001,555,J$2)&amp;""),""))</f>
        <v/>
      </c>
      <c r="K556">
        <f>IF(K$2=0,"",IFERROR(TRIM(INDEX('Pegar calibracion'!$A$1:$BZ$1001,555,K$2)&amp;""),""))</f>
        <v/>
      </c>
      <c r="L556">
        <f>IF(L$2=0,"",IFERROR(TRIM(INDEX('Pegar calibracion'!$A$1:$BZ$1001,555,L$2)&amp;""),""))</f>
        <v/>
      </c>
      <c r="M556" s="25">
        <f>IF(D556="","",SUBSTITUTE(SUBSTITUTE(SUBSTITUTE(SUBSTITUTE(SUBSTITUTE(SUBSTITUTE(SUBSTITUTE(SUBSTITUTE(SUBSTITUTE(SUBSTITUTE(SUBSTITUTE(SUBSTITUTE(LOWER(TRIM(D556)),"á","a"),"é","e"),"í","i"),"ó","o"),"ú","u"),"ü","u"),"ñ","n"),"à","a"),"è","e"),"ì","i"),"ò","o"),"ù","u"))</f>
        <v/>
      </c>
      <c r="N556" s="25">
        <f>IF(F556="","",SUBSTITUTE(SUBSTITUTE(SUBSTITUTE(SUBSTITUTE(SUBSTITUTE(SUBSTITUTE(SUBSTITUTE(SUBSTITUTE(SUBSTITUTE(SUBSTITUTE(SUBSTITUTE(SUBSTITUTE(LOWER(TRIM(F556)),"á","a"),"é","e"),"í","i"),"ó","o"),"ú","u"),"ü","u"),"ñ","n"),"à","a"),"è","e"),"ì","i"),"ò","o"),"ù","u"))</f>
        <v/>
      </c>
      <c r="O556" s="25">
        <f>IF(M556="confiable",2,IF(M556="dudosa",1,IF(M556="no confiable",0,"")))</f>
        <v/>
      </c>
      <c r="P556" s="25">
        <f>IF(N556="confiable",2,IF(N556="dudosa",1,IF(N556="no confiable",0,"")))</f>
        <v/>
      </c>
      <c r="Q556" s="25">
        <f>IF(AND(ISNUMBER(O556),ISNUMBER(P556)),1,"")</f>
        <v/>
      </c>
      <c r="R556" s="25">
        <f>IF(Q556=1,IF(O556=P556,"Sí","No"),"")</f>
        <v/>
      </c>
      <c r="S556" s="25">
        <f>IF(Q556=1,IF(P556&lt;O556,"Más estricto",IF(P556&gt;O556,"Más permisivo","Igual")),"")</f>
        <v/>
      </c>
      <c r="T556" s="25">
        <f>IF(Q556=1,IF(ABS(O556-P556)=2,1,0),"")</f>
        <v/>
      </c>
      <c r="U556" s="25">
        <f>IF(H556="","","|"&amp;SUBSTITUTE(SUBSTITUTE(TRIM(H556)," |","|"),"| ","|")&amp;"|")</f>
        <v/>
      </c>
      <c r="V556" s="25">
        <f>IF(AND(Q556=1,B556&lt;&gt;""),IF(IFERROR(COUNTIFS(B$3:B556,"="&amp;SUBSTITUTE(SUBSTITUTE(SUBSTITUTE(B556,"~","~~"),"*","~*"),"?","~?"),Q$3:Q556,1),0)=1,MAX(V$2:V555)+1,""),"")</f>
        <v/>
      </c>
      <c r="W556" s="25">
        <f>IF(V556="","",COUNTIFS($B$3:$B$1002,"="&amp;SUBSTITUTE(SUBSTITUTE(SUBSTITUTE(B556,"~","~~"),"*","~*"),"?","~?"),$Q$3:$Q$1002,1)*10000-V556)</f>
        <v/>
      </c>
      <c r="X556" s="25">
        <f>IF(Q556=1,IF(SUBSTITUTE(SUBSTITUTE(SUBSTITUTE(SUBSTITUTE(SUBSTITUTE(SUBSTITUTE(SUBSTITUTE(SUBSTITUTE(SUBSTITUTE(SUBSTITUTE(SUBSTITUTE(SUBSTITUTE(LOWER(TRIM(A556)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556)),"á","a"),"é","e"),"í","i"),"ó","o"),"ú","u"),"ü","u"),"ñ","n"),"à","a"),"è","e"),"ì","i"),"ò","o"),"ù","u")),"")</f>
        <v/>
      </c>
      <c r="Y556" s="25">
        <f>IF(X556="","",IF(IFERROR(COUNTIF(X$3:X556,"="&amp;SUBSTITUTE(SUBSTITUTE(SUBSTITUTE(X556,"~","~~"),"*","~*"),"?","~?")),0)=1,1,""))</f>
        <v/>
      </c>
      <c r="Z556" s="25">
        <f>IF(T556=1,MAX(Z$2:Z555)+1,"")</f>
        <v/>
      </c>
    </row>
    <row r="557">
      <c r="A557">
        <f>IF(A$2=0,"",IFERROR(TRIM(INDEX('Pegar calibracion'!$A$1:$BZ$1001,556,A$2)&amp;""),""))</f>
        <v/>
      </c>
      <c r="B557">
        <f>IF(B$2=0,"",IFERROR(TRIM(INDEX('Pegar calibracion'!$A$1:$BZ$1001,556,B$2)&amp;""),""))</f>
        <v/>
      </c>
      <c r="C557">
        <f>IF(C$2=0,"",IFERROR(TRIM(INDEX('Pegar calibracion'!$A$1:$BZ$1001,556,C$2)&amp;""),""))</f>
        <v/>
      </c>
      <c r="D557">
        <f>IF(D$2=0,"",IFERROR(TRIM(INDEX('Pegar calibracion'!$A$1:$BZ$1001,556,D$2)&amp;""),""))</f>
        <v/>
      </c>
      <c r="E557">
        <f>IF(E$2=0,"",IFERROR(TRIM(INDEX('Pegar calibracion'!$A$1:$BZ$1001,556,E$2)&amp;""),""))</f>
        <v/>
      </c>
      <c r="F557">
        <f>IF(F$2=0,"",IFERROR(TRIM(INDEX('Pegar calibracion'!$A$1:$BZ$1001,556,F$2)&amp;""),""))</f>
        <v/>
      </c>
      <c r="G557">
        <f>IF(G$2=0,"",IFERROR(TRIM(INDEX('Pegar calibracion'!$A$1:$BZ$1001,556,G$2)&amp;""),""))</f>
        <v/>
      </c>
      <c r="H557">
        <f>IF(H$2=0,"",IFERROR(TRIM(INDEX('Pegar calibracion'!$A$1:$BZ$1001,556,H$2)&amp;""),""))</f>
        <v/>
      </c>
      <c r="I557">
        <f>IF(I$2=0,"",IFERROR(TRIM(INDEX('Pegar calibracion'!$A$1:$BZ$1001,556,I$2)&amp;""),""))</f>
        <v/>
      </c>
      <c r="J557">
        <f>IF(J$2=0,"",IFERROR(TRIM(INDEX('Pegar calibracion'!$A$1:$BZ$1001,556,J$2)&amp;""),""))</f>
        <v/>
      </c>
      <c r="K557">
        <f>IF(K$2=0,"",IFERROR(TRIM(INDEX('Pegar calibracion'!$A$1:$BZ$1001,556,K$2)&amp;""),""))</f>
        <v/>
      </c>
      <c r="L557">
        <f>IF(L$2=0,"",IFERROR(TRIM(INDEX('Pegar calibracion'!$A$1:$BZ$1001,556,L$2)&amp;""),""))</f>
        <v/>
      </c>
      <c r="M557" s="25">
        <f>IF(D557="","",SUBSTITUTE(SUBSTITUTE(SUBSTITUTE(SUBSTITUTE(SUBSTITUTE(SUBSTITUTE(SUBSTITUTE(SUBSTITUTE(SUBSTITUTE(SUBSTITUTE(SUBSTITUTE(SUBSTITUTE(LOWER(TRIM(D557)),"á","a"),"é","e"),"í","i"),"ó","o"),"ú","u"),"ü","u"),"ñ","n"),"à","a"),"è","e"),"ì","i"),"ò","o"),"ù","u"))</f>
        <v/>
      </c>
      <c r="N557" s="25">
        <f>IF(F557="","",SUBSTITUTE(SUBSTITUTE(SUBSTITUTE(SUBSTITUTE(SUBSTITUTE(SUBSTITUTE(SUBSTITUTE(SUBSTITUTE(SUBSTITUTE(SUBSTITUTE(SUBSTITUTE(SUBSTITUTE(LOWER(TRIM(F557)),"á","a"),"é","e"),"í","i"),"ó","o"),"ú","u"),"ü","u"),"ñ","n"),"à","a"),"è","e"),"ì","i"),"ò","o"),"ù","u"))</f>
        <v/>
      </c>
      <c r="O557" s="25">
        <f>IF(M557="confiable",2,IF(M557="dudosa",1,IF(M557="no confiable",0,"")))</f>
        <v/>
      </c>
      <c r="P557" s="25">
        <f>IF(N557="confiable",2,IF(N557="dudosa",1,IF(N557="no confiable",0,"")))</f>
        <v/>
      </c>
      <c r="Q557" s="25">
        <f>IF(AND(ISNUMBER(O557),ISNUMBER(P557)),1,"")</f>
        <v/>
      </c>
      <c r="R557" s="25">
        <f>IF(Q557=1,IF(O557=P557,"Sí","No"),"")</f>
        <v/>
      </c>
      <c r="S557" s="25">
        <f>IF(Q557=1,IF(P557&lt;O557,"Más estricto",IF(P557&gt;O557,"Más permisivo","Igual")),"")</f>
        <v/>
      </c>
      <c r="T557" s="25">
        <f>IF(Q557=1,IF(ABS(O557-P557)=2,1,0),"")</f>
        <v/>
      </c>
      <c r="U557" s="25">
        <f>IF(H557="","","|"&amp;SUBSTITUTE(SUBSTITUTE(TRIM(H557)," |","|"),"| ","|")&amp;"|")</f>
        <v/>
      </c>
      <c r="V557" s="25">
        <f>IF(AND(Q557=1,B557&lt;&gt;""),IF(IFERROR(COUNTIFS(B$3:B557,"="&amp;SUBSTITUTE(SUBSTITUTE(SUBSTITUTE(B557,"~","~~"),"*","~*"),"?","~?"),Q$3:Q557,1),0)=1,MAX(V$2:V556)+1,""),"")</f>
        <v/>
      </c>
      <c r="W557" s="25">
        <f>IF(V557="","",COUNTIFS($B$3:$B$1002,"="&amp;SUBSTITUTE(SUBSTITUTE(SUBSTITUTE(B557,"~","~~"),"*","~*"),"?","~?"),$Q$3:$Q$1002,1)*10000-V557)</f>
        <v/>
      </c>
      <c r="X557" s="25">
        <f>IF(Q557=1,IF(SUBSTITUTE(SUBSTITUTE(SUBSTITUTE(SUBSTITUTE(SUBSTITUTE(SUBSTITUTE(SUBSTITUTE(SUBSTITUTE(SUBSTITUTE(SUBSTITUTE(SUBSTITUTE(SUBSTITUTE(LOWER(TRIM(A557)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557)),"á","a"),"é","e"),"í","i"),"ó","o"),"ú","u"),"ü","u"),"ñ","n"),"à","a"),"è","e"),"ì","i"),"ò","o"),"ù","u")),"")</f>
        <v/>
      </c>
      <c r="Y557" s="25">
        <f>IF(X557="","",IF(IFERROR(COUNTIF(X$3:X557,"="&amp;SUBSTITUTE(SUBSTITUTE(SUBSTITUTE(X557,"~","~~"),"*","~*"),"?","~?")),0)=1,1,""))</f>
        <v/>
      </c>
      <c r="Z557" s="25">
        <f>IF(T557=1,MAX(Z$2:Z556)+1,"")</f>
        <v/>
      </c>
    </row>
    <row r="558">
      <c r="A558">
        <f>IF(A$2=0,"",IFERROR(TRIM(INDEX('Pegar calibracion'!$A$1:$BZ$1001,557,A$2)&amp;""),""))</f>
        <v/>
      </c>
      <c r="B558">
        <f>IF(B$2=0,"",IFERROR(TRIM(INDEX('Pegar calibracion'!$A$1:$BZ$1001,557,B$2)&amp;""),""))</f>
        <v/>
      </c>
      <c r="C558">
        <f>IF(C$2=0,"",IFERROR(TRIM(INDEX('Pegar calibracion'!$A$1:$BZ$1001,557,C$2)&amp;""),""))</f>
        <v/>
      </c>
      <c r="D558">
        <f>IF(D$2=0,"",IFERROR(TRIM(INDEX('Pegar calibracion'!$A$1:$BZ$1001,557,D$2)&amp;""),""))</f>
        <v/>
      </c>
      <c r="E558">
        <f>IF(E$2=0,"",IFERROR(TRIM(INDEX('Pegar calibracion'!$A$1:$BZ$1001,557,E$2)&amp;""),""))</f>
        <v/>
      </c>
      <c r="F558">
        <f>IF(F$2=0,"",IFERROR(TRIM(INDEX('Pegar calibracion'!$A$1:$BZ$1001,557,F$2)&amp;""),""))</f>
        <v/>
      </c>
      <c r="G558">
        <f>IF(G$2=0,"",IFERROR(TRIM(INDEX('Pegar calibracion'!$A$1:$BZ$1001,557,G$2)&amp;""),""))</f>
        <v/>
      </c>
      <c r="H558">
        <f>IF(H$2=0,"",IFERROR(TRIM(INDEX('Pegar calibracion'!$A$1:$BZ$1001,557,H$2)&amp;""),""))</f>
        <v/>
      </c>
      <c r="I558">
        <f>IF(I$2=0,"",IFERROR(TRIM(INDEX('Pegar calibracion'!$A$1:$BZ$1001,557,I$2)&amp;""),""))</f>
        <v/>
      </c>
      <c r="J558">
        <f>IF(J$2=0,"",IFERROR(TRIM(INDEX('Pegar calibracion'!$A$1:$BZ$1001,557,J$2)&amp;""),""))</f>
        <v/>
      </c>
      <c r="K558">
        <f>IF(K$2=0,"",IFERROR(TRIM(INDEX('Pegar calibracion'!$A$1:$BZ$1001,557,K$2)&amp;""),""))</f>
        <v/>
      </c>
      <c r="L558">
        <f>IF(L$2=0,"",IFERROR(TRIM(INDEX('Pegar calibracion'!$A$1:$BZ$1001,557,L$2)&amp;""),""))</f>
        <v/>
      </c>
      <c r="M558" s="25">
        <f>IF(D558="","",SUBSTITUTE(SUBSTITUTE(SUBSTITUTE(SUBSTITUTE(SUBSTITUTE(SUBSTITUTE(SUBSTITUTE(SUBSTITUTE(SUBSTITUTE(SUBSTITUTE(SUBSTITUTE(SUBSTITUTE(LOWER(TRIM(D558)),"á","a"),"é","e"),"í","i"),"ó","o"),"ú","u"),"ü","u"),"ñ","n"),"à","a"),"è","e"),"ì","i"),"ò","o"),"ù","u"))</f>
        <v/>
      </c>
      <c r="N558" s="25">
        <f>IF(F558="","",SUBSTITUTE(SUBSTITUTE(SUBSTITUTE(SUBSTITUTE(SUBSTITUTE(SUBSTITUTE(SUBSTITUTE(SUBSTITUTE(SUBSTITUTE(SUBSTITUTE(SUBSTITUTE(SUBSTITUTE(LOWER(TRIM(F558)),"á","a"),"é","e"),"í","i"),"ó","o"),"ú","u"),"ü","u"),"ñ","n"),"à","a"),"è","e"),"ì","i"),"ò","o"),"ù","u"))</f>
        <v/>
      </c>
      <c r="O558" s="25">
        <f>IF(M558="confiable",2,IF(M558="dudosa",1,IF(M558="no confiable",0,"")))</f>
        <v/>
      </c>
      <c r="P558" s="25">
        <f>IF(N558="confiable",2,IF(N558="dudosa",1,IF(N558="no confiable",0,"")))</f>
        <v/>
      </c>
      <c r="Q558" s="25">
        <f>IF(AND(ISNUMBER(O558),ISNUMBER(P558)),1,"")</f>
        <v/>
      </c>
      <c r="R558" s="25">
        <f>IF(Q558=1,IF(O558=P558,"Sí","No"),"")</f>
        <v/>
      </c>
      <c r="S558" s="25">
        <f>IF(Q558=1,IF(P558&lt;O558,"Más estricto",IF(P558&gt;O558,"Más permisivo","Igual")),"")</f>
        <v/>
      </c>
      <c r="T558" s="25">
        <f>IF(Q558=1,IF(ABS(O558-P558)=2,1,0),"")</f>
        <v/>
      </c>
      <c r="U558" s="25">
        <f>IF(H558="","","|"&amp;SUBSTITUTE(SUBSTITUTE(TRIM(H558)," |","|"),"| ","|")&amp;"|")</f>
        <v/>
      </c>
      <c r="V558" s="25">
        <f>IF(AND(Q558=1,B558&lt;&gt;""),IF(IFERROR(COUNTIFS(B$3:B558,"="&amp;SUBSTITUTE(SUBSTITUTE(SUBSTITUTE(B558,"~","~~"),"*","~*"),"?","~?"),Q$3:Q558,1),0)=1,MAX(V$2:V557)+1,""),"")</f>
        <v/>
      </c>
      <c r="W558" s="25">
        <f>IF(V558="","",COUNTIFS($B$3:$B$1002,"="&amp;SUBSTITUTE(SUBSTITUTE(SUBSTITUTE(B558,"~","~~"),"*","~*"),"?","~?"),$Q$3:$Q$1002,1)*10000-V558)</f>
        <v/>
      </c>
      <c r="X558" s="25">
        <f>IF(Q558=1,IF(SUBSTITUTE(SUBSTITUTE(SUBSTITUTE(SUBSTITUTE(SUBSTITUTE(SUBSTITUTE(SUBSTITUTE(SUBSTITUTE(SUBSTITUTE(SUBSTITUTE(SUBSTITUTE(SUBSTITUTE(LOWER(TRIM(A558)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558)),"á","a"),"é","e"),"í","i"),"ó","o"),"ú","u"),"ü","u"),"ñ","n"),"à","a"),"è","e"),"ì","i"),"ò","o"),"ù","u")),"")</f>
        <v/>
      </c>
      <c r="Y558" s="25">
        <f>IF(X558="","",IF(IFERROR(COUNTIF(X$3:X558,"="&amp;SUBSTITUTE(SUBSTITUTE(SUBSTITUTE(X558,"~","~~"),"*","~*"),"?","~?")),0)=1,1,""))</f>
        <v/>
      </c>
      <c r="Z558" s="25">
        <f>IF(T558=1,MAX(Z$2:Z557)+1,"")</f>
        <v/>
      </c>
    </row>
    <row r="559">
      <c r="A559">
        <f>IF(A$2=0,"",IFERROR(TRIM(INDEX('Pegar calibracion'!$A$1:$BZ$1001,558,A$2)&amp;""),""))</f>
        <v/>
      </c>
      <c r="B559">
        <f>IF(B$2=0,"",IFERROR(TRIM(INDEX('Pegar calibracion'!$A$1:$BZ$1001,558,B$2)&amp;""),""))</f>
        <v/>
      </c>
      <c r="C559">
        <f>IF(C$2=0,"",IFERROR(TRIM(INDEX('Pegar calibracion'!$A$1:$BZ$1001,558,C$2)&amp;""),""))</f>
        <v/>
      </c>
      <c r="D559">
        <f>IF(D$2=0,"",IFERROR(TRIM(INDEX('Pegar calibracion'!$A$1:$BZ$1001,558,D$2)&amp;""),""))</f>
        <v/>
      </c>
      <c r="E559">
        <f>IF(E$2=0,"",IFERROR(TRIM(INDEX('Pegar calibracion'!$A$1:$BZ$1001,558,E$2)&amp;""),""))</f>
        <v/>
      </c>
      <c r="F559">
        <f>IF(F$2=0,"",IFERROR(TRIM(INDEX('Pegar calibracion'!$A$1:$BZ$1001,558,F$2)&amp;""),""))</f>
        <v/>
      </c>
      <c r="G559">
        <f>IF(G$2=0,"",IFERROR(TRIM(INDEX('Pegar calibracion'!$A$1:$BZ$1001,558,G$2)&amp;""),""))</f>
        <v/>
      </c>
      <c r="H559">
        <f>IF(H$2=0,"",IFERROR(TRIM(INDEX('Pegar calibracion'!$A$1:$BZ$1001,558,H$2)&amp;""),""))</f>
        <v/>
      </c>
      <c r="I559">
        <f>IF(I$2=0,"",IFERROR(TRIM(INDEX('Pegar calibracion'!$A$1:$BZ$1001,558,I$2)&amp;""),""))</f>
        <v/>
      </c>
      <c r="J559">
        <f>IF(J$2=0,"",IFERROR(TRIM(INDEX('Pegar calibracion'!$A$1:$BZ$1001,558,J$2)&amp;""),""))</f>
        <v/>
      </c>
      <c r="K559">
        <f>IF(K$2=0,"",IFERROR(TRIM(INDEX('Pegar calibracion'!$A$1:$BZ$1001,558,K$2)&amp;""),""))</f>
        <v/>
      </c>
      <c r="L559">
        <f>IF(L$2=0,"",IFERROR(TRIM(INDEX('Pegar calibracion'!$A$1:$BZ$1001,558,L$2)&amp;""),""))</f>
        <v/>
      </c>
      <c r="M559" s="25">
        <f>IF(D559="","",SUBSTITUTE(SUBSTITUTE(SUBSTITUTE(SUBSTITUTE(SUBSTITUTE(SUBSTITUTE(SUBSTITUTE(SUBSTITUTE(SUBSTITUTE(SUBSTITUTE(SUBSTITUTE(SUBSTITUTE(LOWER(TRIM(D559)),"á","a"),"é","e"),"í","i"),"ó","o"),"ú","u"),"ü","u"),"ñ","n"),"à","a"),"è","e"),"ì","i"),"ò","o"),"ù","u"))</f>
        <v/>
      </c>
      <c r="N559" s="25">
        <f>IF(F559="","",SUBSTITUTE(SUBSTITUTE(SUBSTITUTE(SUBSTITUTE(SUBSTITUTE(SUBSTITUTE(SUBSTITUTE(SUBSTITUTE(SUBSTITUTE(SUBSTITUTE(SUBSTITUTE(SUBSTITUTE(LOWER(TRIM(F559)),"á","a"),"é","e"),"í","i"),"ó","o"),"ú","u"),"ü","u"),"ñ","n"),"à","a"),"è","e"),"ì","i"),"ò","o"),"ù","u"))</f>
        <v/>
      </c>
      <c r="O559" s="25">
        <f>IF(M559="confiable",2,IF(M559="dudosa",1,IF(M559="no confiable",0,"")))</f>
        <v/>
      </c>
      <c r="P559" s="25">
        <f>IF(N559="confiable",2,IF(N559="dudosa",1,IF(N559="no confiable",0,"")))</f>
        <v/>
      </c>
      <c r="Q559" s="25">
        <f>IF(AND(ISNUMBER(O559),ISNUMBER(P559)),1,"")</f>
        <v/>
      </c>
      <c r="R559" s="25">
        <f>IF(Q559=1,IF(O559=P559,"Sí","No"),"")</f>
        <v/>
      </c>
      <c r="S559" s="25">
        <f>IF(Q559=1,IF(P559&lt;O559,"Más estricto",IF(P559&gt;O559,"Más permisivo","Igual")),"")</f>
        <v/>
      </c>
      <c r="T559" s="25">
        <f>IF(Q559=1,IF(ABS(O559-P559)=2,1,0),"")</f>
        <v/>
      </c>
      <c r="U559" s="25">
        <f>IF(H559="","","|"&amp;SUBSTITUTE(SUBSTITUTE(TRIM(H559)," |","|"),"| ","|")&amp;"|")</f>
        <v/>
      </c>
      <c r="V559" s="25">
        <f>IF(AND(Q559=1,B559&lt;&gt;""),IF(IFERROR(COUNTIFS(B$3:B559,"="&amp;SUBSTITUTE(SUBSTITUTE(SUBSTITUTE(B559,"~","~~"),"*","~*"),"?","~?"),Q$3:Q559,1),0)=1,MAX(V$2:V558)+1,""),"")</f>
        <v/>
      </c>
      <c r="W559" s="25">
        <f>IF(V559="","",COUNTIFS($B$3:$B$1002,"="&amp;SUBSTITUTE(SUBSTITUTE(SUBSTITUTE(B559,"~","~~"),"*","~*"),"?","~?"),$Q$3:$Q$1002,1)*10000-V559)</f>
        <v/>
      </c>
      <c r="X559" s="25">
        <f>IF(Q559=1,IF(SUBSTITUTE(SUBSTITUTE(SUBSTITUTE(SUBSTITUTE(SUBSTITUTE(SUBSTITUTE(SUBSTITUTE(SUBSTITUTE(SUBSTITUTE(SUBSTITUTE(SUBSTITUTE(SUBSTITUTE(LOWER(TRIM(A559)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559)),"á","a"),"é","e"),"í","i"),"ó","o"),"ú","u"),"ü","u"),"ñ","n"),"à","a"),"è","e"),"ì","i"),"ò","o"),"ù","u")),"")</f>
        <v/>
      </c>
      <c r="Y559" s="25">
        <f>IF(X559="","",IF(IFERROR(COUNTIF(X$3:X559,"="&amp;SUBSTITUTE(SUBSTITUTE(SUBSTITUTE(X559,"~","~~"),"*","~*"),"?","~?")),0)=1,1,""))</f>
        <v/>
      </c>
      <c r="Z559" s="25">
        <f>IF(T559=1,MAX(Z$2:Z558)+1,"")</f>
        <v/>
      </c>
    </row>
    <row r="560">
      <c r="A560">
        <f>IF(A$2=0,"",IFERROR(TRIM(INDEX('Pegar calibracion'!$A$1:$BZ$1001,559,A$2)&amp;""),""))</f>
        <v/>
      </c>
      <c r="B560">
        <f>IF(B$2=0,"",IFERROR(TRIM(INDEX('Pegar calibracion'!$A$1:$BZ$1001,559,B$2)&amp;""),""))</f>
        <v/>
      </c>
      <c r="C560">
        <f>IF(C$2=0,"",IFERROR(TRIM(INDEX('Pegar calibracion'!$A$1:$BZ$1001,559,C$2)&amp;""),""))</f>
        <v/>
      </c>
      <c r="D560">
        <f>IF(D$2=0,"",IFERROR(TRIM(INDEX('Pegar calibracion'!$A$1:$BZ$1001,559,D$2)&amp;""),""))</f>
        <v/>
      </c>
      <c r="E560">
        <f>IF(E$2=0,"",IFERROR(TRIM(INDEX('Pegar calibracion'!$A$1:$BZ$1001,559,E$2)&amp;""),""))</f>
        <v/>
      </c>
      <c r="F560">
        <f>IF(F$2=0,"",IFERROR(TRIM(INDEX('Pegar calibracion'!$A$1:$BZ$1001,559,F$2)&amp;""),""))</f>
        <v/>
      </c>
      <c r="G560">
        <f>IF(G$2=0,"",IFERROR(TRIM(INDEX('Pegar calibracion'!$A$1:$BZ$1001,559,G$2)&amp;""),""))</f>
        <v/>
      </c>
      <c r="H560">
        <f>IF(H$2=0,"",IFERROR(TRIM(INDEX('Pegar calibracion'!$A$1:$BZ$1001,559,H$2)&amp;""),""))</f>
        <v/>
      </c>
      <c r="I560">
        <f>IF(I$2=0,"",IFERROR(TRIM(INDEX('Pegar calibracion'!$A$1:$BZ$1001,559,I$2)&amp;""),""))</f>
        <v/>
      </c>
      <c r="J560">
        <f>IF(J$2=0,"",IFERROR(TRIM(INDEX('Pegar calibracion'!$A$1:$BZ$1001,559,J$2)&amp;""),""))</f>
        <v/>
      </c>
      <c r="K560">
        <f>IF(K$2=0,"",IFERROR(TRIM(INDEX('Pegar calibracion'!$A$1:$BZ$1001,559,K$2)&amp;""),""))</f>
        <v/>
      </c>
      <c r="L560">
        <f>IF(L$2=0,"",IFERROR(TRIM(INDEX('Pegar calibracion'!$A$1:$BZ$1001,559,L$2)&amp;""),""))</f>
        <v/>
      </c>
      <c r="M560" s="25">
        <f>IF(D560="","",SUBSTITUTE(SUBSTITUTE(SUBSTITUTE(SUBSTITUTE(SUBSTITUTE(SUBSTITUTE(SUBSTITUTE(SUBSTITUTE(SUBSTITUTE(SUBSTITUTE(SUBSTITUTE(SUBSTITUTE(LOWER(TRIM(D560)),"á","a"),"é","e"),"í","i"),"ó","o"),"ú","u"),"ü","u"),"ñ","n"),"à","a"),"è","e"),"ì","i"),"ò","o"),"ù","u"))</f>
        <v/>
      </c>
      <c r="N560" s="25">
        <f>IF(F560="","",SUBSTITUTE(SUBSTITUTE(SUBSTITUTE(SUBSTITUTE(SUBSTITUTE(SUBSTITUTE(SUBSTITUTE(SUBSTITUTE(SUBSTITUTE(SUBSTITUTE(SUBSTITUTE(SUBSTITUTE(LOWER(TRIM(F560)),"á","a"),"é","e"),"í","i"),"ó","o"),"ú","u"),"ü","u"),"ñ","n"),"à","a"),"è","e"),"ì","i"),"ò","o"),"ù","u"))</f>
        <v/>
      </c>
      <c r="O560" s="25">
        <f>IF(M560="confiable",2,IF(M560="dudosa",1,IF(M560="no confiable",0,"")))</f>
        <v/>
      </c>
      <c r="P560" s="25">
        <f>IF(N560="confiable",2,IF(N560="dudosa",1,IF(N560="no confiable",0,"")))</f>
        <v/>
      </c>
      <c r="Q560" s="25">
        <f>IF(AND(ISNUMBER(O560),ISNUMBER(P560)),1,"")</f>
        <v/>
      </c>
      <c r="R560" s="25">
        <f>IF(Q560=1,IF(O560=P560,"Sí","No"),"")</f>
        <v/>
      </c>
      <c r="S560" s="25">
        <f>IF(Q560=1,IF(P560&lt;O560,"Más estricto",IF(P560&gt;O560,"Más permisivo","Igual")),"")</f>
        <v/>
      </c>
      <c r="T560" s="25">
        <f>IF(Q560=1,IF(ABS(O560-P560)=2,1,0),"")</f>
        <v/>
      </c>
      <c r="U560" s="25">
        <f>IF(H560="","","|"&amp;SUBSTITUTE(SUBSTITUTE(TRIM(H560)," |","|"),"| ","|")&amp;"|")</f>
        <v/>
      </c>
      <c r="V560" s="25">
        <f>IF(AND(Q560=1,B560&lt;&gt;""),IF(IFERROR(COUNTIFS(B$3:B560,"="&amp;SUBSTITUTE(SUBSTITUTE(SUBSTITUTE(B560,"~","~~"),"*","~*"),"?","~?"),Q$3:Q560,1),0)=1,MAX(V$2:V559)+1,""),"")</f>
        <v/>
      </c>
      <c r="W560" s="25">
        <f>IF(V560="","",COUNTIFS($B$3:$B$1002,"="&amp;SUBSTITUTE(SUBSTITUTE(SUBSTITUTE(B560,"~","~~"),"*","~*"),"?","~?"),$Q$3:$Q$1002,1)*10000-V560)</f>
        <v/>
      </c>
      <c r="X560" s="25">
        <f>IF(Q560=1,IF(SUBSTITUTE(SUBSTITUTE(SUBSTITUTE(SUBSTITUTE(SUBSTITUTE(SUBSTITUTE(SUBSTITUTE(SUBSTITUTE(SUBSTITUTE(SUBSTITUTE(SUBSTITUTE(SUBSTITUTE(LOWER(TRIM(A560)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560)),"á","a"),"é","e"),"í","i"),"ó","o"),"ú","u"),"ü","u"),"ñ","n"),"à","a"),"è","e"),"ì","i"),"ò","o"),"ù","u")),"")</f>
        <v/>
      </c>
      <c r="Y560" s="25">
        <f>IF(X560="","",IF(IFERROR(COUNTIF(X$3:X560,"="&amp;SUBSTITUTE(SUBSTITUTE(SUBSTITUTE(X560,"~","~~"),"*","~*"),"?","~?")),0)=1,1,""))</f>
        <v/>
      </c>
      <c r="Z560" s="25">
        <f>IF(T560=1,MAX(Z$2:Z559)+1,"")</f>
        <v/>
      </c>
    </row>
    <row r="561">
      <c r="A561">
        <f>IF(A$2=0,"",IFERROR(TRIM(INDEX('Pegar calibracion'!$A$1:$BZ$1001,560,A$2)&amp;""),""))</f>
        <v/>
      </c>
      <c r="B561">
        <f>IF(B$2=0,"",IFERROR(TRIM(INDEX('Pegar calibracion'!$A$1:$BZ$1001,560,B$2)&amp;""),""))</f>
        <v/>
      </c>
      <c r="C561">
        <f>IF(C$2=0,"",IFERROR(TRIM(INDEX('Pegar calibracion'!$A$1:$BZ$1001,560,C$2)&amp;""),""))</f>
        <v/>
      </c>
      <c r="D561">
        <f>IF(D$2=0,"",IFERROR(TRIM(INDEX('Pegar calibracion'!$A$1:$BZ$1001,560,D$2)&amp;""),""))</f>
        <v/>
      </c>
      <c r="E561">
        <f>IF(E$2=0,"",IFERROR(TRIM(INDEX('Pegar calibracion'!$A$1:$BZ$1001,560,E$2)&amp;""),""))</f>
        <v/>
      </c>
      <c r="F561">
        <f>IF(F$2=0,"",IFERROR(TRIM(INDEX('Pegar calibracion'!$A$1:$BZ$1001,560,F$2)&amp;""),""))</f>
        <v/>
      </c>
      <c r="G561">
        <f>IF(G$2=0,"",IFERROR(TRIM(INDEX('Pegar calibracion'!$A$1:$BZ$1001,560,G$2)&amp;""),""))</f>
        <v/>
      </c>
      <c r="H561">
        <f>IF(H$2=0,"",IFERROR(TRIM(INDEX('Pegar calibracion'!$A$1:$BZ$1001,560,H$2)&amp;""),""))</f>
        <v/>
      </c>
      <c r="I561">
        <f>IF(I$2=0,"",IFERROR(TRIM(INDEX('Pegar calibracion'!$A$1:$BZ$1001,560,I$2)&amp;""),""))</f>
        <v/>
      </c>
      <c r="J561">
        <f>IF(J$2=0,"",IFERROR(TRIM(INDEX('Pegar calibracion'!$A$1:$BZ$1001,560,J$2)&amp;""),""))</f>
        <v/>
      </c>
      <c r="K561">
        <f>IF(K$2=0,"",IFERROR(TRIM(INDEX('Pegar calibracion'!$A$1:$BZ$1001,560,K$2)&amp;""),""))</f>
        <v/>
      </c>
      <c r="L561">
        <f>IF(L$2=0,"",IFERROR(TRIM(INDEX('Pegar calibracion'!$A$1:$BZ$1001,560,L$2)&amp;""),""))</f>
        <v/>
      </c>
      <c r="M561" s="25">
        <f>IF(D561="","",SUBSTITUTE(SUBSTITUTE(SUBSTITUTE(SUBSTITUTE(SUBSTITUTE(SUBSTITUTE(SUBSTITUTE(SUBSTITUTE(SUBSTITUTE(SUBSTITUTE(SUBSTITUTE(SUBSTITUTE(LOWER(TRIM(D561)),"á","a"),"é","e"),"í","i"),"ó","o"),"ú","u"),"ü","u"),"ñ","n"),"à","a"),"è","e"),"ì","i"),"ò","o"),"ù","u"))</f>
        <v/>
      </c>
      <c r="N561" s="25">
        <f>IF(F561="","",SUBSTITUTE(SUBSTITUTE(SUBSTITUTE(SUBSTITUTE(SUBSTITUTE(SUBSTITUTE(SUBSTITUTE(SUBSTITUTE(SUBSTITUTE(SUBSTITUTE(SUBSTITUTE(SUBSTITUTE(LOWER(TRIM(F561)),"á","a"),"é","e"),"í","i"),"ó","o"),"ú","u"),"ü","u"),"ñ","n"),"à","a"),"è","e"),"ì","i"),"ò","o"),"ù","u"))</f>
        <v/>
      </c>
      <c r="O561" s="25">
        <f>IF(M561="confiable",2,IF(M561="dudosa",1,IF(M561="no confiable",0,"")))</f>
        <v/>
      </c>
      <c r="P561" s="25">
        <f>IF(N561="confiable",2,IF(N561="dudosa",1,IF(N561="no confiable",0,"")))</f>
        <v/>
      </c>
      <c r="Q561" s="25">
        <f>IF(AND(ISNUMBER(O561),ISNUMBER(P561)),1,"")</f>
        <v/>
      </c>
      <c r="R561" s="25">
        <f>IF(Q561=1,IF(O561=P561,"Sí","No"),"")</f>
        <v/>
      </c>
      <c r="S561" s="25">
        <f>IF(Q561=1,IF(P561&lt;O561,"Más estricto",IF(P561&gt;O561,"Más permisivo","Igual")),"")</f>
        <v/>
      </c>
      <c r="T561" s="25">
        <f>IF(Q561=1,IF(ABS(O561-P561)=2,1,0),"")</f>
        <v/>
      </c>
      <c r="U561" s="25">
        <f>IF(H561="","","|"&amp;SUBSTITUTE(SUBSTITUTE(TRIM(H561)," |","|"),"| ","|")&amp;"|")</f>
        <v/>
      </c>
      <c r="V561" s="25">
        <f>IF(AND(Q561=1,B561&lt;&gt;""),IF(IFERROR(COUNTIFS(B$3:B561,"="&amp;SUBSTITUTE(SUBSTITUTE(SUBSTITUTE(B561,"~","~~"),"*","~*"),"?","~?"),Q$3:Q561,1),0)=1,MAX(V$2:V560)+1,""),"")</f>
        <v/>
      </c>
      <c r="W561" s="25">
        <f>IF(V561="","",COUNTIFS($B$3:$B$1002,"="&amp;SUBSTITUTE(SUBSTITUTE(SUBSTITUTE(B561,"~","~~"),"*","~*"),"?","~?"),$Q$3:$Q$1002,1)*10000-V561)</f>
        <v/>
      </c>
      <c r="X561" s="25">
        <f>IF(Q561=1,IF(SUBSTITUTE(SUBSTITUTE(SUBSTITUTE(SUBSTITUTE(SUBSTITUTE(SUBSTITUTE(SUBSTITUTE(SUBSTITUTE(SUBSTITUTE(SUBSTITUTE(SUBSTITUTE(SUBSTITUTE(LOWER(TRIM(A561)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561)),"á","a"),"é","e"),"í","i"),"ó","o"),"ú","u"),"ü","u"),"ñ","n"),"à","a"),"è","e"),"ì","i"),"ò","o"),"ù","u")),"")</f>
        <v/>
      </c>
      <c r="Y561" s="25">
        <f>IF(X561="","",IF(IFERROR(COUNTIF(X$3:X561,"="&amp;SUBSTITUTE(SUBSTITUTE(SUBSTITUTE(X561,"~","~~"),"*","~*"),"?","~?")),0)=1,1,""))</f>
        <v/>
      </c>
      <c r="Z561" s="25">
        <f>IF(T561=1,MAX(Z$2:Z560)+1,"")</f>
        <v/>
      </c>
    </row>
    <row r="562">
      <c r="A562">
        <f>IF(A$2=0,"",IFERROR(TRIM(INDEX('Pegar calibracion'!$A$1:$BZ$1001,561,A$2)&amp;""),""))</f>
        <v/>
      </c>
      <c r="B562">
        <f>IF(B$2=0,"",IFERROR(TRIM(INDEX('Pegar calibracion'!$A$1:$BZ$1001,561,B$2)&amp;""),""))</f>
        <v/>
      </c>
      <c r="C562">
        <f>IF(C$2=0,"",IFERROR(TRIM(INDEX('Pegar calibracion'!$A$1:$BZ$1001,561,C$2)&amp;""),""))</f>
        <v/>
      </c>
      <c r="D562">
        <f>IF(D$2=0,"",IFERROR(TRIM(INDEX('Pegar calibracion'!$A$1:$BZ$1001,561,D$2)&amp;""),""))</f>
        <v/>
      </c>
      <c r="E562">
        <f>IF(E$2=0,"",IFERROR(TRIM(INDEX('Pegar calibracion'!$A$1:$BZ$1001,561,E$2)&amp;""),""))</f>
        <v/>
      </c>
      <c r="F562">
        <f>IF(F$2=0,"",IFERROR(TRIM(INDEX('Pegar calibracion'!$A$1:$BZ$1001,561,F$2)&amp;""),""))</f>
        <v/>
      </c>
      <c r="G562">
        <f>IF(G$2=0,"",IFERROR(TRIM(INDEX('Pegar calibracion'!$A$1:$BZ$1001,561,G$2)&amp;""),""))</f>
        <v/>
      </c>
      <c r="H562">
        <f>IF(H$2=0,"",IFERROR(TRIM(INDEX('Pegar calibracion'!$A$1:$BZ$1001,561,H$2)&amp;""),""))</f>
        <v/>
      </c>
      <c r="I562">
        <f>IF(I$2=0,"",IFERROR(TRIM(INDEX('Pegar calibracion'!$A$1:$BZ$1001,561,I$2)&amp;""),""))</f>
        <v/>
      </c>
      <c r="J562">
        <f>IF(J$2=0,"",IFERROR(TRIM(INDEX('Pegar calibracion'!$A$1:$BZ$1001,561,J$2)&amp;""),""))</f>
        <v/>
      </c>
      <c r="K562">
        <f>IF(K$2=0,"",IFERROR(TRIM(INDEX('Pegar calibracion'!$A$1:$BZ$1001,561,K$2)&amp;""),""))</f>
        <v/>
      </c>
      <c r="L562">
        <f>IF(L$2=0,"",IFERROR(TRIM(INDEX('Pegar calibracion'!$A$1:$BZ$1001,561,L$2)&amp;""),""))</f>
        <v/>
      </c>
      <c r="M562" s="25">
        <f>IF(D562="","",SUBSTITUTE(SUBSTITUTE(SUBSTITUTE(SUBSTITUTE(SUBSTITUTE(SUBSTITUTE(SUBSTITUTE(SUBSTITUTE(SUBSTITUTE(SUBSTITUTE(SUBSTITUTE(SUBSTITUTE(LOWER(TRIM(D562)),"á","a"),"é","e"),"í","i"),"ó","o"),"ú","u"),"ü","u"),"ñ","n"),"à","a"),"è","e"),"ì","i"),"ò","o"),"ù","u"))</f>
        <v/>
      </c>
      <c r="N562" s="25">
        <f>IF(F562="","",SUBSTITUTE(SUBSTITUTE(SUBSTITUTE(SUBSTITUTE(SUBSTITUTE(SUBSTITUTE(SUBSTITUTE(SUBSTITUTE(SUBSTITUTE(SUBSTITUTE(SUBSTITUTE(SUBSTITUTE(LOWER(TRIM(F562)),"á","a"),"é","e"),"í","i"),"ó","o"),"ú","u"),"ü","u"),"ñ","n"),"à","a"),"è","e"),"ì","i"),"ò","o"),"ù","u"))</f>
        <v/>
      </c>
      <c r="O562" s="25">
        <f>IF(M562="confiable",2,IF(M562="dudosa",1,IF(M562="no confiable",0,"")))</f>
        <v/>
      </c>
      <c r="P562" s="25">
        <f>IF(N562="confiable",2,IF(N562="dudosa",1,IF(N562="no confiable",0,"")))</f>
        <v/>
      </c>
      <c r="Q562" s="25">
        <f>IF(AND(ISNUMBER(O562),ISNUMBER(P562)),1,"")</f>
        <v/>
      </c>
      <c r="R562" s="25">
        <f>IF(Q562=1,IF(O562=P562,"Sí","No"),"")</f>
        <v/>
      </c>
      <c r="S562" s="25">
        <f>IF(Q562=1,IF(P562&lt;O562,"Más estricto",IF(P562&gt;O562,"Más permisivo","Igual")),"")</f>
        <v/>
      </c>
      <c r="T562" s="25">
        <f>IF(Q562=1,IF(ABS(O562-P562)=2,1,0),"")</f>
        <v/>
      </c>
      <c r="U562" s="25">
        <f>IF(H562="","","|"&amp;SUBSTITUTE(SUBSTITUTE(TRIM(H562)," |","|"),"| ","|")&amp;"|")</f>
        <v/>
      </c>
      <c r="V562" s="25">
        <f>IF(AND(Q562=1,B562&lt;&gt;""),IF(IFERROR(COUNTIFS(B$3:B562,"="&amp;SUBSTITUTE(SUBSTITUTE(SUBSTITUTE(B562,"~","~~"),"*","~*"),"?","~?"),Q$3:Q562,1),0)=1,MAX(V$2:V561)+1,""),"")</f>
        <v/>
      </c>
      <c r="W562" s="25">
        <f>IF(V562="","",COUNTIFS($B$3:$B$1002,"="&amp;SUBSTITUTE(SUBSTITUTE(SUBSTITUTE(B562,"~","~~"),"*","~*"),"?","~?"),$Q$3:$Q$1002,1)*10000-V562)</f>
        <v/>
      </c>
      <c r="X562" s="25">
        <f>IF(Q562=1,IF(SUBSTITUTE(SUBSTITUTE(SUBSTITUTE(SUBSTITUTE(SUBSTITUTE(SUBSTITUTE(SUBSTITUTE(SUBSTITUTE(SUBSTITUTE(SUBSTITUTE(SUBSTITUTE(SUBSTITUTE(LOWER(TRIM(A562)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562)),"á","a"),"é","e"),"í","i"),"ó","o"),"ú","u"),"ü","u"),"ñ","n"),"à","a"),"è","e"),"ì","i"),"ò","o"),"ù","u")),"")</f>
        <v/>
      </c>
      <c r="Y562" s="25">
        <f>IF(X562="","",IF(IFERROR(COUNTIF(X$3:X562,"="&amp;SUBSTITUTE(SUBSTITUTE(SUBSTITUTE(X562,"~","~~"),"*","~*"),"?","~?")),0)=1,1,""))</f>
        <v/>
      </c>
      <c r="Z562" s="25">
        <f>IF(T562=1,MAX(Z$2:Z561)+1,"")</f>
        <v/>
      </c>
    </row>
    <row r="563">
      <c r="A563">
        <f>IF(A$2=0,"",IFERROR(TRIM(INDEX('Pegar calibracion'!$A$1:$BZ$1001,562,A$2)&amp;""),""))</f>
        <v/>
      </c>
      <c r="B563">
        <f>IF(B$2=0,"",IFERROR(TRIM(INDEX('Pegar calibracion'!$A$1:$BZ$1001,562,B$2)&amp;""),""))</f>
        <v/>
      </c>
      <c r="C563">
        <f>IF(C$2=0,"",IFERROR(TRIM(INDEX('Pegar calibracion'!$A$1:$BZ$1001,562,C$2)&amp;""),""))</f>
        <v/>
      </c>
      <c r="D563">
        <f>IF(D$2=0,"",IFERROR(TRIM(INDEX('Pegar calibracion'!$A$1:$BZ$1001,562,D$2)&amp;""),""))</f>
        <v/>
      </c>
      <c r="E563">
        <f>IF(E$2=0,"",IFERROR(TRIM(INDEX('Pegar calibracion'!$A$1:$BZ$1001,562,E$2)&amp;""),""))</f>
        <v/>
      </c>
      <c r="F563">
        <f>IF(F$2=0,"",IFERROR(TRIM(INDEX('Pegar calibracion'!$A$1:$BZ$1001,562,F$2)&amp;""),""))</f>
        <v/>
      </c>
      <c r="G563">
        <f>IF(G$2=0,"",IFERROR(TRIM(INDEX('Pegar calibracion'!$A$1:$BZ$1001,562,G$2)&amp;""),""))</f>
        <v/>
      </c>
      <c r="H563">
        <f>IF(H$2=0,"",IFERROR(TRIM(INDEX('Pegar calibracion'!$A$1:$BZ$1001,562,H$2)&amp;""),""))</f>
        <v/>
      </c>
      <c r="I563">
        <f>IF(I$2=0,"",IFERROR(TRIM(INDEX('Pegar calibracion'!$A$1:$BZ$1001,562,I$2)&amp;""),""))</f>
        <v/>
      </c>
      <c r="J563">
        <f>IF(J$2=0,"",IFERROR(TRIM(INDEX('Pegar calibracion'!$A$1:$BZ$1001,562,J$2)&amp;""),""))</f>
        <v/>
      </c>
      <c r="K563">
        <f>IF(K$2=0,"",IFERROR(TRIM(INDEX('Pegar calibracion'!$A$1:$BZ$1001,562,K$2)&amp;""),""))</f>
        <v/>
      </c>
      <c r="L563">
        <f>IF(L$2=0,"",IFERROR(TRIM(INDEX('Pegar calibracion'!$A$1:$BZ$1001,562,L$2)&amp;""),""))</f>
        <v/>
      </c>
      <c r="M563" s="25">
        <f>IF(D563="","",SUBSTITUTE(SUBSTITUTE(SUBSTITUTE(SUBSTITUTE(SUBSTITUTE(SUBSTITUTE(SUBSTITUTE(SUBSTITUTE(SUBSTITUTE(SUBSTITUTE(SUBSTITUTE(SUBSTITUTE(LOWER(TRIM(D563)),"á","a"),"é","e"),"í","i"),"ó","o"),"ú","u"),"ü","u"),"ñ","n"),"à","a"),"è","e"),"ì","i"),"ò","o"),"ù","u"))</f>
        <v/>
      </c>
      <c r="N563" s="25">
        <f>IF(F563="","",SUBSTITUTE(SUBSTITUTE(SUBSTITUTE(SUBSTITUTE(SUBSTITUTE(SUBSTITUTE(SUBSTITUTE(SUBSTITUTE(SUBSTITUTE(SUBSTITUTE(SUBSTITUTE(SUBSTITUTE(LOWER(TRIM(F563)),"á","a"),"é","e"),"í","i"),"ó","o"),"ú","u"),"ü","u"),"ñ","n"),"à","a"),"è","e"),"ì","i"),"ò","o"),"ù","u"))</f>
        <v/>
      </c>
      <c r="O563" s="25">
        <f>IF(M563="confiable",2,IF(M563="dudosa",1,IF(M563="no confiable",0,"")))</f>
        <v/>
      </c>
      <c r="P563" s="25">
        <f>IF(N563="confiable",2,IF(N563="dudosa",1,IF(N563="no confiable",0,"")))</f>
        <v/>
      </c>
      <c r="Q563" s="25">
        <f>IF(AND(ISNUMBER(O563),ISNUMBER(P563)),1,"")</f>
        <v/>
      </c>
      <c r="R563" s="25">
        <f>IF(Q563=1,IF(O563=P563,"Sí","No"),"")</f>
        <v/>
      </c>
      <c r="S563" s="25">
        <f>IF(Q563=1,IF(P563&lt;O563,"Más estricto",IF(P563&gt;O563,"Más permisivo","Igual")),"")</f>
        <v/>
      </c>
      <c r="T563" s="25">
        <f>IF(Q563=1,IF(ABS(O563-P563)=2,1,0),"")</f>
        <v/>
      </c>
      <c r="U563" s="25">
        <f>IF(H563="","","|"&amp;SUBSTITUTE(SUBSTITUTE(TRIM(H563)," |","|"),"| ","|")&amp;"|")</f>
        <v/>
      </c>
      <c r="V563" s="25">
        <f>IF(AND(Q563=1,B563&lt;&gt;""),IF(IFERROR(COUNTIFS(B$3:B563,"="&amp;SUBSTITUTE(SUBSTITUTE(SUBSTITUTE(B563,"~","~~"),"*","~*"),"?","~?"),Q$3:Q563,1),0)=1,MAX(V$2:V562)+1,""),"")</f>
        <v/>
      </c>
      <c r="W563" s="25">
        <f>IF(V563="","",COUNTIFS($B$3:$B$1002,"="&amp;SUBSTITUTE(SUBSTITUTE(SUBSTITUTE(B563,"~","~~"),"*","~*"),"?","~?"),$Q$3:$Q$1002,1)*10000-V563)</f>
        <v/>
      </c>
      <c r="X563" s="25">
        <f>IF(Q563=1,IF(SUBSTITUTE(SUBSTITUTE(SUBSTITUTE(SUBSTITUTE(SUBSTITUTE(SUBSTITUTE(SUBSTITUTE(SUBSTITUTE(SUBSTITUTE(SUBSTITUTE(SUBSTITUTE(SUBSTITUTE(LOWER(TRIM(A563)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563)),"á","a"),"é","e"),"í","i"),"ó","o"),"ú","u"),"ü","u"),"ñ","n"),"à","a"),"è","e"),"ì","i"),"ò","o"),"ù","u")),"")</f>
        <v/>
      </c>
      <c r="Y563" s="25">
        <f>IF(X563="","",IF(IFERROR(COUNTIF(X$3:X563,"="&amp;SUBSTITUTE(SUBSTITUTE(SUBSTITUTE(X563,"~","~~"),"*","~*"),"?","~?")),0)=1,1,""))</f>
        <v/>
      </c>
      <c r="Z563" s="25">
        <f>IF(T563=1,MAX(Z$2:Z562)+1,"")</f>
        <v/>
      </c>
    </row>
    <row r="564">
      <c r="A564">
        <f>IF(A$2=0,"",IFERROR(TRIM(INDEX('Pegar calibracion'!$A$1:$BZ$1001,563,A$2)&amp;""),""))</f>
        <v/>
      </c>
      <c r="B564">
        <f>IF(B$2=0,"",IFERROR(TRIM(INDEX('Pegar calibracion'!$A$1:$BZ$1001,563,B$2)&amp;""),""))</f>
        <v/>
      </c>
      <c r="C564">
        <f>IF(C$2=0,"",IFERROR(TRIM(INDEX('Pegar calibracion'!$A$1:$BZ$1001,563,C$2)&amp;""),""))</f>
        <v/>
      </c>
      <c r="D564">
        <f>IF(D$2=0,"",IFERROR(TRIM(INDEX('Pegar calibracion'!$A$1:$BZ$1001,563,D$2)&amp;""),""))</f>
        <v/>
      </c>
      <c r="E564">
        <f>IF(E$2=0,"",IFERROR(TRIM(INDEX('Pegar calibracion'!$A$1:$BZ$1001,563,E$2)&amp;""),""))</f>
        <v/>
      </c>
      <c r="F564">
        <f>IF(F$2=0,"",IFERROR(TRIM(INDEX('Pegar calibracion'!$A$1:$BZ$1001,563,F$2)&amp;""),""))</f>
        <v/>
      </c>
      <c r="G564">
        <f>IF(G$2=0,"",IFERROR(TRIM(INDEX('Pegar calibracion'!$A$1:$BZ$1001,563,G$2)&amp;""),""))</f>
        <v/>
      </c>
      <c r="H564">
        <f>IF(H$2=0,"",IFERROR(TRIM(INDEX('Pegar calibracion'!$A$1:$BZ$1001,563,H$2)&amp;""),""))</f>
        <v/>
      </c>
      <c r="I564">
        <f>IF(I$2=0,"",IFERROR(TRIM(INDEX('Pegar calibracion'!$A$1:$BZ$1001,563,I$2)&amp;""),""))</f>
        <v/>
      </c>
      <c r="J564">
        <f>IF(J$2=0,"",IFERROR(TRIM(INDEX('Pegar calibracion'!$A$1:$BZ$1001,563,J$2)&amp;""),""))</f>
        <v/>
      </c>
      <c r="K564">
        <f>IF(K$2=0,"",IFERROR(TRIM(INDEX('Pegar calibracion'!$A$1:$BZ$1001,563,K$2)&amp;""),""))</f>
        <v/>
      </c>
      <c r="L564">
        <f>IF(L$2=0,"",IFERROR(TRIM(INDEX('Pegar calibracion'!$A$1:$BZ$1001,563,L$2)&amp;""),""))</f>
        <v/>
      </c>
      <c r="M564" s="25">
        <f>IF(D564="","",SUBSTITUTE(SUBSTITUTE(SUBSTITUTE(SUBSTITUTE(SUBSTITUTE(SUBSTITUTE(SUBSTITUTE(SUBSTITUTE(SUBSTITUTE(SUBSTITUTE(SUBSTITUTE(SUBSTITUTE(LOWER(TRIM(D564)),"á","a"),"é","e"),"í","i"),"ó","o"),"ú","u"),"ü","u"),"ñ","n"),"à","a"),"è","e"),"ì","i"),"ò","o"),"ù","u"))</f>
        <v/>
      </c>
      <c r="N564" s="25">
        <f>IF(F564="","",SUBSTITUTE(SUBSTITUTE(SUBSTITUTE(SUBSTITUTE(SUBSTITUTE(SUBSTITUTE(SUBSTITUTE(SUBSTITUTE(SUBSTITUTE(SUBSTITUTE(SUBSTITUTE(SUBSTITUTE(LOWER(TRIM(F564)),"á","a"),"é","e"),"í","i"),"ó","o"),"ú","u"),"ü","u"),"ñ","n"),"à","a"),"è","e"),"ì","i"),"ò","o"),"ù","u"))</f>
        <v/>
      </c>
      <c r="O564" s="25">
        <f>IF(M564="confiable",2,IF(M564="dudosa",1,IF(M564="no confiable",0,"")))</f>
        <v/>
      </c>
      <c r="P564" s="25">
        <f>IF(N564="confiable",2,IF(N564="dudosa",1,IF(N564="no confiable",0,"")))</f>
        <v/>
      </c>
      <c r="Q564" s="25">
        <f>IF(AND(ISNUMBER(O564),ISNUMBER(P564)),1,"")</f>
        <v/>
      </c>
      <c r="R564" s="25">
        <f>IF(Q564=1,IF(O564=P564,"Sí","No"),"")</f>
        <v/>
      </c>
      <c r="S564" s="25">
        <f>IF(Q564=1,IF(P564&lt;O564,"Más estricto",IF(P564&gt;O564,"Más permisivo","Igual")),"")</f>
        <v/>
      </c>
      <c r="T564" s="25">
        <f>IF(Q564=1,IF(ABS(O564-P564)=2,1,0),"")</f>
        <v/>
      </c>
      <c r="U564" s="25">
        <f>IF(H564="","","|"&amp;SUBSTITUTE(SUBSTITUTE(TRIM(H564)," |","|"),"| ","|")&amp;"|")</f>
        <v/>
      </c>
      <c r="V564" s="25">
        <f>IF(AND(Q564=1,B564&lt;&gt;""),IF(IFERROR(COUNTIFS(B$3:B564,"="&amp;SUBSTITUTE(SUBSTITUTE(SUBSTITUTE(B564,"~","~~"),"*","~*"),"?","~?"),Q$3:Q564,1),0)=1,MAX(V$2:V563)+1,""),"")</f>
        <v/>
      </c>
      <c r="W564" s="25">
        <f>IF(V564="","",COUNTIFS($B$3:$B$1002,"="&amp;SUBSTITUTE(SUBSTITUTE(SUBSTITUTE(B564,"~","~~"),"*","~*"),"?","~?"),$Q$3:$Q$1002,1)*10000-V564)</f>
        <v/>
      </c>
      <c r="X564" s="25">
        <f>IF(Q564=1,IF(SUBSTITUTE(SUBSTITUTE(SUBSTITUTE(SUBSTITUTE(SUBSTITUTE(SUBSTITUTE(SUBSTITUTE(SUBSTITUTE(SUBSTITUTE(SUBSTITUTE(SUBSTITUTE(SUBSTITUTE(LOWER(TRIM(A564)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564)),"á","a"),"é","e"),"í","i"),"ó","o"),"ú","u"),"ü","u"),"ñ","n"),"à","a"),"è","e"),"ì","i"),"ò","o"),"ù","u")),"")</f>
        <v/>
      </c>
      <c r="Y564" s="25">
        <f>IF(X564="","",IF(IFERROR(COUNTIF(X$3:X564,"="&amp;SUBSTITUTE(SUBSTITUTE(SUBSTITUTE(X564,"~","~~"),"*","~*"),"?","~?")),0)=1,1,""))</f>
        <v/>
      </c>
      <c r="Z564" s="25">
        <f>IF(T564=1,MAX(Z$2:Z563)+1,"")</f>
        <v/>
      </c>
    </row>
    <row r="565">
      <c r="A565">
        <f>IF(A$2=0,"",IFERROR(TRIM(INDEX('Pegar calibracion'!$A$1:$BZ$1001,564,A$2)&amp;""),""))</f>
        <v/>
      </c>
      <c r="B565">
        <f>IF(B$2=0,"",IFERROR(TRIM(INDEX('Pegar calibracion'!$A$1:$BZ$1001,564,B$2)&amp;""),""))</f>
        <v/>
      </c>
      <c r="C565">
        <f>IF(C$2=0,"",IFERROR(TRIM(INDEX('Pegar calibracion'!$A$1:$BZ$1001,564,C$2)&amp;""),""))</f>
        <v/>
      </c>
      <c r="D565">
        <f>IF(D$2=0,"",IFERROR(TRIM(INDEX('Pegar calibracion'!$A$1:$BZ$1001,564,D$2)&amp;""),""))</f>
        <v/>
      </c>
      <c r="E565">
        <f>IF(E$2=0,"",IFERROR(TRIM(INDEX('Pegar calibracion'!$A$1:$BZ$1001,564,E$2)&amp;""),""))</f>
        <v/>
      </c>
      <c r="F565">
        <f>IF(F$2=0,"",IFERROR(TRIM(INDEX('Pegar calibracion'!$A$1:$BZ$1001,564,F$2)&amp;""),""))</f>
        <v/>
      </c>
      <c r="G565">
        <f>IF(G$2=0,"",IFERROR(TRIM(INDEX('Pegar calibracion'!$A$1:$BZ$1001,564,G$2)&amp;""),""))</f>
        <v/>
      </c>
      <c r="H565">
        <f>IF(H$2=0,"",IFERROR(TRIM(INDEX('Pegar calibracion'!$A$1:$BZ$1001,564,H$2)&amp;""),""))</f>
        <v/>
      </c>
      <c r="I565">
        <f>IF(I$2=0,"",IFERROR(TRIM(INDEX('Pegar calibracion'!$A$1:$BZ$1001,564,I$2)&amp;""),""))</f>
        <v/>
      </c>
      <c r="J565">
        <f>IF(J$2=0,"",IFERROR(TRIM(INDEX('Pegar calibracion'!$A$1:$BZ$1001,564,J$2)&amp;""),""))</f>
        <v/>
      </c>
      <c r="K565">
        <f>IF(K$2=0,"",IFERROR(TRIM(INDEX('Pegar calibracion'!$A$1:$BZ$1001,564,K$2)&amp;""),""))</f>
        <v/>
      </c>
      <c r="L565">
        <f>IF(L$2=0,"",IFERROR(TRIM(INDEX('Pegar calibracion'!$A$1:$BZ$1001,564,L$2)&amp;""),""))</f>
        <v/>
      </c>
      <c r="M565" s="25">
        <f>IF(D565="","",SUBSTITUTE(SUBSTITUTE(SUBSTITUTE(SUBSTITUTE(SUBSTITUTE(SUBSTITUTE(SUBSTITUTE(SUBSTITUTE(SUBSTITUTE(SUBSTITUTE(SUBSTITUTE(SUBSTITUTE(LOWER(TRIM(D565)),"á","a"),"é","e"),"í","i"),"ó","o"),"ú","u"),"ü","u"),"ñ","n"),"à","a"),"è","e"),"ì","i"),"ò","o"),"ù","u"))</f>
        <v/>
      </c>
      <c r="N565" s="25">
        <f>IF(F565="","",SUBSTITUTE(SUBSTITUTE(SUBSTITUTE(SUBSTITUTE(SUBSTITUTE(SUBSTITUTE(SUBSTITUTE(SUBSTITUTE(SUBSTITUTE(SUBSTITUTE(SUBSTITUTE(SUBSTITUTE(LOWER(TRIM(F565)),"á","a"),"é","e"),"í","i"),"ó","o"),"ú","u"),"ü","u"),"ñ","n"),"à","a"),"è","e"),"ì","i"),"ò","o"),"ù","u"))</f>
        <v/>
      </c>
      <c r="O565" s="25">
        <f>IF(M565="confiable",2,IF(M565="dudosa",1,IF(M565="no confiable",0,"")))</f>
        <v/>
      </c>
      <c r="P565" s="25">
        <f>IF(N565="confiable",2,IF(N565="dudosa",1,IF(N565="no confiable",0,"")))</f>
        <v/>
      </c>
      <c r="Q565" s="25">
        <f>IF(AND(ISNUMBER(O565),ISNUMBER(P565)),1,"")</f>
        <v/>
      </c>
      <c r="R565" s="25">
        <f>IF(Q565=1,IF(O565=P565,"Sí","No"),"")</f>
        <v/>
      </c>
      <c r="S565" s="25">
        <f>IF(Q565=1,IF(P565&lt;O565,"Más estricto",IF(P565&gt;O565,"Más permisivo","Igual")),"")</f>
        <v/>
      </c>
      <c r="T565" s="25">
        <f>IF(Q565=1,IF(ABS(O565-P565)=2,1,0),"")</f>
        <v/>
      </c>
      <c r="U565" s="25">
        <f>IF(H565="","","|"&amp;SUBSTITUTE(SUBSTITUTE(TRIM(H565)," |","|"),"| ","|")&amp;"|")</f>
        <v/>
      </c>
      <c r="V565" s="25">
        <f>IF(AND(Q565=1,B565&lt;&gt;""),IF(IFERROR(COUNTIFS(B$3:B565,"="&amp;SUBSTITUTE(SUBSTITUTE(SUBSTITUTE(B565,"~","~~"),"*","~*"),"?","~?"),Q$3:Q565,1),0)=1,MAX(V$2:V564)+1,""),"")</f>
        <v/>
      </c>
      <c r="W565" s="25">
        <f>IF(V565="","",COUNTIFS($B$3:$B$1002,"="&amp;SUBSTITUTE(SUBSTITUTE(SUBSTITUTE(B565,"~","~~"),"*","~*"),"?","~?"),$Q$3:$Q$1002,1)*10000-V565)</f>
        <v/>
      </c>
      <c r="X565" s="25">
        <f>IF(Q565=1,IF(SUBSTITUTE(SUBSTITUTE(SUBSTITUTE(SUBSTITUTE(SUBSTITUTE(SUBSTITUTE(SUBSTITUTE(SUBSTITUTE(SUBSTITUTE(SUBSTITUTE(SUBSTITUTE(SUBSTITUTE(LOWER(TRIM(A565)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565)),"á","a"),"é","e"),"í","i"),"ó","o"),"ú","u"),"ü","u"),"ñ","n"),"à","a"),"è","e"),"ì","i"),"ò","o"),"ù","u")),"")</f>
        <v/>
      </c>
      <c r="Y565" s="25">
        <f>IF(X565="","",IF(IFERROR(COUNTIF(X$3:X565,"="&amp;SUBSTITUTE(SUBSTITUTE(SUBSTITUTE(X565,"~","~~"),"*","~*"),"?","~?")),0)=1,1,""))</f>
        <v/>
      </c>
      <c r="Z565" s="25">
        <f>IF(T565=1,MAX(Z$2:Z564)+1,"")</f>
        <v/>
      </c>
    </row>
    <row r="566">
      <c r="A566">
        <f>IF(A$2=0,"",IFERROR(TRIM(INDEX('Pegar calibracion'!$A$1:$BZ$1001,565,A$2)&amp;""),""))</f>
        <v/>
      </c>
      <c r="B566">
        <f>IF(B$2=0,"",IFERROR(TRIM(INDEX('Pegar calibracion'!$A$1:$BZ$1001,565,B$2)&amp;""),""))</f>
        <v/>
      </c>
      <c r="C566">
        <f>IF(C$2=0,"",IFERROR(TRIM(INDEX('Pegar calibracion'!$A$1:$BZ$1001,565,C$2)&amp;""),""))</f>
        <v/>
      </c>
      <c r="D566">
        <f>IF(D$2=0,"",IFERROR(TRIM(INDEX('Pegar calibracion'!$A$1:$BZ$1001,565,D$2)&amp;""),""))</f>
        <v/>
      </c>
      <c r="E566">
        <f>IF(E$2=0,"",IFERROR(TRIM(INDEX('Pegar calibracion'!$A$1:$BZ$1001,565,E$2)&amp;""),""))</f>
        <v/>
      </c>
      <c r="F566">
        <f>IF(F$2=0,"",IFERROR(TRIM(INDEX('Pegar calibracion'!$A$1:$BZ$1001,565,F$2)&amp;""),""))</f>
        <v/>
      </c>
      <c r="G566">
        <f>IF(G$2=0,"",IFERROR(TRIM(INDEX('Pegar calibracion'!$A$1:$BZ$1001,565,G$2)&amp;""),""))</f>
        <v/>
      </c>
      <c r="H566">
        <f>IF(H$2=0,"",IFERROR(TRIM(INDEX('Pegar calibracion'!$A$1:$BZ$1001,565,H$2)&amp;""),""))</f>
        <v/>
      </c>
      <c r="I566">
        <f>IF(I$2=0,"",IFERROR(TRIM(INDEX('Pegar calibracion'!$A$1:$BZ$1001,565,I$2)&amp;""),""))</f>
        <v/>
      </c>
      <c r="J566">
        <f>IF(J$2=0,"",IFERROR(TRIM(INDEX('Pegar calibracion'!$A$1:$BZ$1001,565,J$2)&amp;""),""))</f>
        <v/>
      </c>
      <c r="K566">
        <f>IF(K$2=0,"",IFERROR(TRIM(INDEX('Pegar calibracion'!$A$1:$BZ$1001,565,K$2)&amp;""),""))</f>
        <v/>
      </c>
      <c r="L566">
        <f>IF(L$2=0,"",IFERROR(TRIM(INDEX('Pegar calibracion'!$A$1:$BZ$1001,565,L$2)&amp;""),""))</f>
        <v/>
      </c>
      <c r="M566" s="25">
        <f>IF(D566="","",SUBSTITUTE(SUBSTITUTE(SUBSTITUTE(SUBSTITUTE(SUBSTITUTE(SUBSTITUTE(SUBSTITUTE(SUBSTITUTE(SUBSTITUTE(SUBSTITUTE(SUBSTITUTE(SUBSTITUTE(LOWER(TRIM(D566)),"á","a"),"é","e"),"í","i"),"ó","o"),"ú","u"),"ü","u"),"ñ","n"),"à","a"),"è","e"),"ì","i"),"ò","o"),"ù","u"))</f>
        <v/>
      </c>
      <c r="N566" s="25">
        <f>IF(F566="","",SUBSTITUTE(SUBSTITUTE(SUBSTITUTE(SUBSTITUTE(SUBSTITUTE(SUBSTITUTE(SUBSTITUTE(SUBSTITUTE(SUBSTITUTE(SUBSTITUTE(SUBSTITUTE(SUBSTITUTE(LOWER(TRIM(F566)),"á","a"),"é","e"),"í","i"),"ó","o"),"ú","u"),"ü","u"),"ñ","n"),"à","a"),"è","e"),"ì","i"),"ò","o"),"ù","u"))</f>
        <v/>
      </c>
      <c r="O566" s="25">
        <f>IF(M566="confiable",2,IF(M566="dudosa",1,IF(M566="no confiable",0,"")))</f>
        <v/>
      </c>
      <c r="P566" s="25">
        <f>IF(N566="confiable",2,IF(N566="dudosa",1,IF(N566="no confiable",0,"")))</f>
        <v/>
      </c>
      <c r="Q566" s="25">
        <f>IF(AND(ISNUMBER(O566),ISNUMBER(P566)),1,"")</f>
        <v/>
      </c>
      <c r="R566" s="25">
        <f>IF(Q566=1,IF(O566=P566,"Sí","No"),"")</f>
        <v/>
      </c>
      <c r="S566" s="25">
        <f>IF(Q566=1,IF(P566&lt;O566,"Más estricto",IF(P566&gt;O566,"Más permisivo","Igual")),"")</f>
        <v/>
      </c>
      <c r="T566" s="25">
        <f>IF(Q566=1,IF(ABS(O566-P566)=2,1,0),"")</f>
        <v/>
      </c>
      <c r="U566" s="25">
        <f>IF(H566="","","|"&amp;SUBSTITUTE(SUBSTITUTE(TRIM(H566)," |","|"),"| ","|")&amp;"|")</f>
        <v/>
      </c>
      <c r="V566" s="25">
        <f>IF(AND(Q566=1,B566&lt;&gt;""),IF(IFERROR(COUNTIFS(B$3:B566,"="&amp;SUBSTITUTE(SUBSTITUTE(SUBSTITUTE(B566,"~","~~"),"*","~*"),"?","~?"),Q$3:Q566,1),0)=1,MAX(V$2:V565)+1,""),"")</f>
        <v/>
      </c>
      <c r="W566" s="25">
        <f>IF(V566="","",COUNTIFS($B$3:$B$1002,"="&amp;SUBSTITUTE(SUBSTITUTE(SUBSTITUTE(B566,"~","~~"),"*","~*"),"?","~?"),$Q$3:$Q$1002,1)*10000-V566)</f>
        <v/>
      </c>
      <c r="X566" s="25">
        <f>IF(Q566=1,IF(SUBSTITUTE(SUBSTITUTE(SUBSTITUTE(SUBSTITUTE(SUBSTITUTE(SUBSTITUTE(SUBSTITUTE(SUBSTITUTE(SUBSTITUTE(SUBSTITUTE(SUBSTITUTE(SUBSTITUTE(LOWER(TRIM(A566)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566)),"á","a"),"é","e"),"í","i"),"ó","o"),"ú","u"),"ü","u"),"ñ","n"),"à","a"),"è","e"),"ì","i"),"ò","o"),"ù","u")),"")</f>
        <v/>
      </c>
      <c r="Y566" s="25">
        <f>IF(X566="","",IF(IFERROR(COUNTIF(X$3:X566,"="&amp;SUBSTITUTE(SUBSTITUTE(SUBSTITUTE(X566,"~","~~"),"*","~*"),"?","~?")),0)=1,1,""))</f>
        <v/>
      </c>
      <c r="Z566" s="25">
        <f>IF(T566=1,MAX(Z$2:Z565)+1,"")</f>
        <v/>
      </c>
    </row>
    <row r="567">
      <c r="A567">
        <f>IF(A$2=0,"",IFERROR(TRIM(INDEX('Pegar calibracion'!$A$1:$BZ$1001,566,A$2)&amp;""),""))</f>
        <v/>
      </c>
      <c r="B567">
        <f>IF(B$2=0,"",IFERROR(TRIM(INDEX('Pegar calibracion'!$A$1:$BZ$1001,566,B$2)&amp;""),""))</f>
        <v/>
      </c>
      <c r="C567">
        <f>IF(C$2=0,"",IFERROR(TRIM(INDEX('Pegar calibracion'!$A$1:$BZ$1001,566,C$2)&amp;""),""))</f>
        <v/>
      </c>
      <c r="D567">
        <f>IF(D$2=0,"",IFERROR(TRIM(INDEX('Pegar calibracion'!$A$1:$BZ$1001,566,D$2)&amp;""),""))</f>
        <v/>
      </c>
      <c r="E567">
        <f>IF(E$2=0,"",IFERROR(TRIM(INDEX('Pegar calibracion'!$A$1:$BZ$1001,566,E$2)&amp;""),""))</f>
        <v/>
      </c>
      <c r="F567">
        <f>IF(F$2=0,"",IFERROR(TRIM(INDEX('Pegar calibracion'!$A$1:$BZ$1001,566,F$2)&amp;""),""))</f>
        <v/>
      </c>
      <c r="G567">
        <f>IF(G$2=0,"",IFERROR(TRIM(INDEX('Pegar calibracion'!$A$1:$BZ$1001,566,G$2)&amp;""),""))</f>
        <v/>
      </c>
      <c r="H567">
        <f>IF(H$2=0,"",IFERROR(TRIM(INDEX('Pegar calibracion'!$A$1:$BZ$1001,566,H$2)&amp;""),""))</f>
        <v/>
      </c>
      <c r="I567">
        <f>IF(I$2=0,"",IFERROR(TRIM(INDEX('Pegar calibracion'!$A$1:$BZ$1001,566,I$2)&amp;""),""))</f>
        <v/>
      </c>
      <c r="J567">
        <f>IF(J$2=0,"",IFERROR(TRIM(INDEX('Pegar calibracion'!$A$1:$BZ$1001,566,J$2)&amp;""),""))</f>
        <v/>
      </c>
      <c r="K567">
        <f>IF(K$2=0,"",IFERROR(TRIM(INDEX('Pegar calibracion'!$A$1:$BZ$1001,566,K$2)&amp;""),""))</f>
        <v/>
      </c>
      <c r="L567">
        <f>IF(L$2=0,"",IFERROR(TRIM(INDEX('Pegar calibracion'!$A$1:$BZ$1001,566,L$2)&amp;""),""))</f>
        <v/>
      </c>
      <c r="M567" s="25">
        <f>IF(D567="","",SUBSTITUTE(SUBSTITUTE(SUBSTITUTE(SUBSTITUTE(SUBSTITUTE(SUBSTITUTE(SUBSTITUTE(SUBSTITUTE(SUBSTITUTE(SUBSTITUTE(SUBSTITUTE(SUBSTITUTE(LOWER(TRIM(D567)),"á","a"),"é","e"),"í","i"),"ó","o"),"ú","u"),"ü","u"),"ñ","n"),"à","a"),"è","e"),"ì","i"),"ò","o"),"ù","u"))</f>
        <v/>
      </c>
      <c r="N567" s="25">
        <f>IF(F567="","",SUBSTITUTE(SUBSTITUTE(SUBSTITUTE(SUBSTITUTE(SUBSTITUTE(SUBSTITUTE(SUBSTITUTE(SUBSTITUTE(SUBSTITUTE(SUBSTITUTE(SUBSTITUTE(SUBSTITUTE(LOWER(TRIM(F567)),"á","a"),"é","e"),"í","i"),"ó","o"),"ú","u"),"ü","u"),"ñ","n"),"à","a"),"è","e"),"ì","i"),"ò","o"),"ù","u"))</f>
        <v/>
      </c>
      <c r="O567" s="25">
        <f>IF(M567="confiable",2,IF(M567="dudosa",1,IF(M567="no confiable",0,"")))</f>
        <v/>
      </c>
      <c r="P567" s="25">
        <f>IF(N567="confiable",2,IF(N567="dudosa",1,IF(N567="no confiable",0,"")))</f>
        <v/>
      </c>
      <c r="Q567" s="25">
        <f>IF(AND(ISNUMBER(O567),ISNUMBER(P567)),1,"")</f>
        <v/>
      </c>
      <c r="R567" s="25">
        <f>IF(Q567=1,IF(O567=P567,"Sí","No"),"")</f>
        <v/>
      </c>
      <c r="S567" s="25">
        <f>IF(Q567=1,IF(P567&lt;O567,"Más estricto",IF(P567&gt;O567,"Más permisivo","Igual")),"")</f>
        <v/>
      </c>
      <c r="T567" s="25">
        <f>IF(Q567=1,IF(ABS(O567-P567)=2,1,0),"")</f>
        <v/>
      </c>
      <c r="U567" s="25">
        <f>IF(H567="","","|"&amp;SUBSTITUTE(SUBSTITUTE(TRIM(H567)," |","|"),"| ","|")&amp;"|")</f>
        <v/>
      </c>
      <c r="V567" s="25">
        <f>IF(AND(Q567=1,B567&lt;&gt;""),IF(IFERROR(COUNTIFS(B$3:B567,"="&amp;SUBSTITUTE(SUBSTITUTE(SUBSTITUTE(B567,"~","~~"),"*","~*"),"?","~?"),Q$3:Q567,1),0)=1,MAX(V$2:V566)+1,""),"")</f>
        <v/>
      </c>
      <c r="W567" s="25">
        <f>IF(V567="","",COUNTIFS($B$3:$B$1002,"="&amp;SUBSTITUTE(SUBSTITUTE(SUBSTITUTE(B567,"~","~~"),"*","~*"),"?","~?"),$Q$3:$Q$1002,1)*10000-V567)</f>
        <v/>
      </c>
      <c r="X567" s="25">
        <f>IF(Q567=1,IF(SUBSTITUTE(SUBSTITUTE(SUBSTITUTE(SUBSTITUTE(SUBSTITUTE(SUBSTITUTE(SUBSTITUTE(SUBSTITUTE(SUBSTITUTE(SUBSTITUTE(SUBSTITUTE(SUBSTITUTE(LOWER(TRIM(A567)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567)),"á","a"),"é","e"),"í","i"),"ó","o"),"ú","u"),"ü","u"),"ñ","n"),"à","a"),"è","e"),"ì","i"),"ò","o"),"ù","u")),"")</f>
        <v/>
      </c>
      <c r="Y567" s="25">
        <f>IF(X567="","",IF(IFERROR(COUNTIF(X$3:X567,"="&amp;SUBSTITUTE(SUBSTITUTE(SUBSTITUTE(X567,"~","~~"),"*","~*"),"?","~?")),0)=1,1,""))</f>
        <v/>
      </c>
      <c r="Z567" s="25">
        <f>IF(T567=1,MAX(Z$2:Z566)+1,"")</f>
        <v/>
      </c>
    </row>
    <row r="568">
      <c r="A568">
        <f>IF(A$2=0,"",IFERROR(TRIM(INDEX('Pegar calibracion'!$A$1:$BZ$1001,567,A$2)&amp;""),""))</f>
        <v/>
      </c>
      <c r="B568">
        <f>IF(B$2=0,"",IFERROR(TRIM(INDEX('Pegar calibracion'!$A$1:$BZ$1001,567,B$2)&amp;""),""))</f>
        <v/>
      </c>
      <c r="C568">
        <f>IF(C$2=0,"",IFERROR(TRIM(INDEX('Pegar calibracion'!$A$1:$BZ$1001,567,C$2)&amp;""),""))</f>
        <v/>
      </c>
      <c r="D568">
        <f>IF(D$2=0,"",IFERROR(TRIM(INDEX('Pegar calibracion'!$A$1:$BZ$1001,567,D$2)&amp;""),""))</f>
        <v/>
      </c>
      <c r="E568">
        <f>IF(E$2=0,"",IFERROR(TRIM(INDEX('Pegar calibracion'!$A$1:$BZ$1001,567,E$2)&amp;""),""))</f>
        <v/>
      </c>
      <c r="F568">
        <f>IF(F$2=0,"",IFERROR(TRIM(INDEX('Pegar calibracion'!$A$1:$BZ$1001,567,F$2)&amp;""),""))</f>
        <v/>
      </c>
      <c r="G568">
        <f>IF(G$2=0,"",IFERROR(TRIM(INDEX('Pegar calibracion'!$A$1:$BZ$1001,567,G$2)&amp;""),""))</f>
        <v/>
      </c>
      <c r="H568">
        <f>IF(H$2=0,"",IFERROR(TRIM(INDEX('Pegar calibracion'!$A$1:$BZ$1001,567,H$2)&amp;""),""))</f>
        <v/>
      </c>
      <c r="I568">
        <f>IF(I$2=0,"",IFERROR(TRIM(INDEX('Pegar calibracion'!$A$1:$BZ$1001,567,I$2)&amp;""),""))</f>
        <v/>
      </c>
      <c r="J568">
        <f>IF(J$2=0,"",IFERROR(TRIM(INDEX('Pegar calibracion'!$A$1:$BZ$1001,567,J$2)&amp;""),""))</f>
        <v/>
      </c>
      <c r="K568">
        <f>IF(K$2=0,"",IFERROR(TRIM(INDEX('Pegar calibracion'!$A$1:$BZ$1001,567,K$2)&amp;""),""))</f>
        <v/>
      </c>
      <c r="L568">
        <f>IF(L$2=0,"",IFERROR(TRIM(INDEX('Pegar calibracion'!$A$1:$BZ$1001,567,L$2)&amp;""),""))</f>
        <v/>
      </c>
      <c r="M568" s="25">
        <f>IF(D568="","",SUBSTITUTE(SUBSTITUTE(SUBSTITUTE(SUBSTITUTE(SUBSTITUTE(SUBSTITUTE(SUBSTITUTE(SUBSTITUTE(SUBSTITUTE(SUBSTITUTE(SUBSTITUTE(SUBSTITUTE(LOWER(TRIM(D568)),"á","a"),"é","e"),"í","i"),"ó","o"),"ú","u"),"ü","u"),"ñ","n"),"à","a"),"è","e"),"ì","i"),"ò","o"),"ù","u"))</f>
        <v/>
      </c>
      <c r="N568" s="25">
        <f>IF(F568="","",SUBSTITUTE(SUBSTITUTE(SUBSTITUTE(SUBSTITUTE(SUBSTITUTE(SUBSTITUTE(SUBSTITUTE(SUBSTITUTE(SUBSTITUTE(SUBSTITUTE(SUBSTITUTE(SUBSTITUTE(LOWER(TRIM(F568)),"á","a"),"é","e"),"í","i"),"ó","o"),"ú","u"),"ü","u"),"ñ","n"),"à","a"),"è","e"),"ì","i"),"ò","o"),"ù","u"))</f>
        <v/>
      </c>
      <c r="O568" s="25">
        <f>IF(M568="confiable",2,IF(M568="dudosa",1,IF(M568="no confiable",0,"")))</f>
        <v/>
      </c>
      <c r="P568" s="25">
        <f>IF(N568="confiable",2,IF(N568="dudosa",1,IF(N568="no confiable",0,"")))</f>
        <v/>
      </c>
      <c r="Q568" s="25">
        <f>IF(AND(ISNUMBER(O568),ISNUMBER(P568)),1,"")</f>
        <v/>
      </c>
      <c r="R568" s="25">
        <f>IF(Q568=1,IF(O568=P568,"Sí","No"),"")</f>
        <v/>
      </c>
      <c r="S568" s="25">
        <f>IF(Q568=1,IF(P568&lt;O568,"Más estricto",IF(P568&gt;O568,"Más permisivo","Igual")),"")</f>
        <v/>
      </c>
      <c r="T568" s="25">
        <f>IF(Q568=1,IF(ABS(O568-P568)=2,1,0),"")</f>
        <v/>
      </c>
      <c r="U568" s="25">
        <f>IF(H568="","","|"&amp;SUBSTITUTE(SUBSTITUTE(TRIM(H568)," |","|"),"| ","|")&amp;"|")</f>
        <v/>
      </c>
      <c r="V568" s="25">
        <f>IF(AND(Q568=1,B568&lt;&gt;""),IF(IFERROR(COUNTIFS(B$3:B568,"="&amp;SUBSTITUTE(SUBSTITUTE(SUBSTITUTE(B568,"~","~~"),"*","~*"),"?","~?"),Q$3:Q568,1),0)=1,MAX(V$2:V567)+1,""),"")</f>
        <v/>
      </c>
      <c r="W568" s="25">
        <f>IF(V568="","",COUNTIFS($B$3:$B$1002,"="&amp;SUBSTITUTE(SUBSTITUTE(SUBSTITUTE(B568,"~","~~"),"*","~*"),"?","~?"),$Q$3:$Q$1002,1)*10000-V568)</f>
        <v/>
      </c>
      <c r="X568" s="25">
        <f>IF(Q568=1,IF(SUBSTITUTE(SUBSTITUTE(SUBSTITUTE(SUBSTITUTE(SUBSTITUTE(SUBSTITUTE(SUBSTITUTE(SUBSTITUTE(SUBSTITUTE(SUBSTITUTE(SUBSTITUTE(SUBSTITUTE(LOWER(TRIM(A568)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568)),"á","a"),"é","e"),"í","i"),"ó","o"),"ú","u"),"ü","u"),"ñ","n"),"à","a"),"è","e"),"ì","i"),"ò","o"),"ù","u")),"")</f>
        <v/>
      </c>
      <c r="Y568" s="25">
        <f>IF(X568="","",IF(IFERROR(COUNTIF(X$3:X568,"="&amp;SUBSTITUTE(SUBSTITUTE(SUBSTITUTE(X568,"~","~~"),"*","~*"),"?","~?")),0)=1,1,""))</f>
        <v/>
      </c>
      <c r="Z568" s="25">
        <f>IF(T568=1,MAX(Z$2:Z567)+1,"")</f>
        <v/>
      </c>
    </row>
    <row r="569">
      <c r="A569">
        <f>IF(A$2=0,"",IFERROR(TRIM(INDEX('Pegar calibracion'!$A$1:$BZ$1001,568,A$2)&amp;""),""))</f>
        <v/>
      </c>
      <c r="B569">
        <f>IF(B$2=0,"",IFERROR(TRIM(INDEX('Pegar calibracion'!$A$1:$BZ$1001,568,B$2)&amp;""),""))</f>
        <v/>
      </c>
      <c r="C569">
        <f>IF(C$2=0,"",IFERROR(TRIM(INDEX('Pegar calibracion'!$A$1:$BZ$1001,568,C$2)&amp;""),""))</f>
        <v/>
      </c>
      <c r="D569">
        <f>IF(D$2=0,"",IFERROR(TRIM(INDEX('Pegar calibracion'!$A$1:$BZ$1001,568,D$2)&amp;""),""))</f>
        <v/>
      </c>
      <c r="E569">
        <f>IF(E$2=0,"",IFERROR(TRIM(INDEX('Pegar calibracion'!$A$1:$BZ$1001,568,E$2)&amp;""),""))</f>
        <v/>
      </c>
      <c r="F569">
        <f>IF(F$2=0,"",IFERROR(TRIM(INDEX('Pegar calibracion'!$A$1:$BZ$1001,568,F$2)&amp;""),""))</f>
        <v/>
      </c>
      <c r="G569">
        <f>IF(G$2=0,"",IFERROR(TRIM(INDEX('Pegar calibracion'!$A$1:$BZ$1001,568,G$2)&amp;""),""))</f>
        <v/>
      </c>
      <c r="H569">
        <f>IF(H$2=0,"",IFERROR(TRIM(INDEX('Pegar calibracion'!$A$1:$BZ$1001,568,H$2)&amp;""),""))</f>
        <v/>
      </c>
      <c r="I569">
        <f>IF(I$2=0,"",IFERROR(TRIM(INDEX('Pegar calibracion'!$A$1:$BZ$1001,568,I$2)&amp;""),""))</f>
        <v/>
      </c>
      <c r="J569">
        <f>IF(J$2=0,"",IFERROR(TRIM(INDEX('Pegar calibracion'!$A$1:$BZ$1001,568,J$2)&amp;""),""))</f>
        <v/>
      </c>
      <c r="K569">
        <f>IF(K$2=0,"",IFERROR(TRIM(INDEX('Pegar calibracion'!$A$1:$BZ$1001,568,K$2)&amp;""),""))</f>
        <v/>
      </c>
      <c r="L569">
        <f>IF(L$2=0,"",IFERROR(TRIM(INDEX('Pegar calibracion'!$A$1:$BZ$1001,568,L$2)&amp;""),""))</f>
        <v/>
      </c>
      <c r="M569" s="25">
        <f>IF(D569="","",SUBSTITUTE(SUBSTITUTE(SUBSTITUTE(SUBSTITUTE(SUBSTITUTE(SUBSTITUTE(SUBSTITUTE(SUBSTITUTE(SUBSTITUTE(SUBSTITUTE(SUBSTITUTE(SUBSTITUTE(LOWER(TRIM(D569)),"á","a"),"é","e"),"í","i"),"ó","o"),"ú","u"),"ü","u"),"ñ","n"),"à","a"),"è","e"),"ì","i"),"ò","o"),"ù","u"))</f>
        <v/>
      </c>
      <c r="N569" s="25">
        <f>IF(F569="","",SUBSTITUTE(SUBSTITUTE(SUBSTITUTE(SUBSTITUTE(SUBSTITUTE(SUBSTITUTE(SUBSTITUTE(SUBSTITUTE(SUBSTITUTE(SUBSTITUTE(SUBSTITUTE(SUBSTITUTE(LOWER(TRIM(F569)),"á","a"),"é","e"),"í","i"),"ó","o"),"ú","u"),"ü","u"),"ñ","n"),"à","a"),"è","e"),"ì","i"),"ò","o"),"ù","u"))</f>
        <v/>
      </c>
      <c r="O569" s="25">
        <f>IF(M569="confiable",2,IF(M569="dudosa",1,IF(M569="no confiable",0,"")))</f>
        <v/>
      </c>
      <c r="P569" s="25">
        <f>IF(N569="confiable",2,IF(N569="dudosa",1,IF(N569="no confiable",0,"")))</f>
        <v/>
      </c>
      <c r="Q569" s="25">
        <f>IF(AND(ISNUMBER(O569),ISNUMBER(P569)),1,"")</f>
        <v/>
      </c>
      <c r="R569" s="25">
        <f>IF(Q569=1,IF(O569=P569,"Sí","No"),"")</f>
        <v/>
      </c>
      <c r="S569" s="25">
        <f>IF(Q569=1,IF(P569&lt;O569,"Más estricto",IF(P569&gt;O569,"Más permisivo","Igual")),"")</f>
        <v/>
      </c>
      <c r="T569" s="25">
        <f>IF(Q569=1,IF(ABS(O569-P569)=2,1,0),"")</f>
        <v/>
      </c>
      <c r="U569" s="25">
        <f>IF(H569="","","|"&amp;SUBSTITUTE(SUBSTITUTE(TRIM(H569)," |","|"),"| ","|")&amp;"|")</f>
        <v/>
      </c>
      <c r="V569" s="25">
        <f>IF(AND(Q569=1,B569&lt;&gt;""),IF(IFERROR(COUNTIFS(B$3:B569,"="&amp;SUBSTITUTE(SUBSTITUTE(SUBSTITUTE(B569,"~","~~"),"*","~*"),"?","~?"),Q$3:Q569,1),0)=1,MAX(V$2:V568)+1,""),"")</f>
        <v/>
      </c>
      <c r="W569" s="25">
        <f>IF(V569="","",COUNTIFS($B$3:$B$1002,"="&amp;SUBSTITUTE(SUBSTITUTE(SUBSTITUTE(B569,"~","~~"),"*","~*"),"?","~?"),$Q$3:$Q$1002,1)*10000-V569)</f>
        <v/>
      </c>
      <c r="X569" s="25">
        <f>IF(Q569=1,IF(SUBSTITUTE(SUBSTITUTE(SUBSTITUTE(SUBSTITUTE(SUBSTITUTE(SUBSTITUTE(SUBSTITUTE(SUBSTITUTE(SUBSTITUTE(SUBSTITUTE(SUBSTITUTE(SUBSTITUTE(LOWER(TRIM(A569)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569)),"á","a"),"é","e"),"í","i"),"ó","o"),"ú","u"),"ü","u"),"ñ","n"),"à","a"),"è","e"),"ì","i"),"ò","o"),"ù","u")),"")</f>
        <v/>
      </c>
      <c r="Y569" s="25">
        <f>IF(X569="","",IF(IFERROR(COUNTIF(X$3:X569,"="&amp;SUBSTITUTE(SUBSTITUTE(SUBSTITUTE(X569,"~","~~"),"*","~*"),"?","~?")),0)=1,1,""))</f>
        <v/>
      </c>
      <c r="Z569" s="25">
        <f>IF(T569=1,MAX(Z$2:Z568)+1,"")</f>
        <v/>
      </c>
    </row>
    <row r="570">
      <c r="A570">
        <f>IF(A$2=0,"",IFERROR(TRIM(INDEX('Pegar calibracion'!$A$1:$BZ$1001,569,A$2)&amp;""),""))</f>
        <v/>
      </c>
      <c r="B570">
        <f>IF(B$2=0,"",IFERROR(TRIM(INDEX('Pegar calibracion'!$A$1:$BZ$1001,569,B$2)&amp;""),""))</f>
        <v/>
      </c>
      <c r="C570">
        <f>IF(C$2=0,"",IFERROR(TRIM(INDEX('Pegar calibracion'!$A$1:$BZ$1001,569,C$2)&amp;""),""))</f>
        <v/>
      </c>
      <c r="D570">
        <f>IF(D$2=0,"",IFERROR(TRIM(INDEX('Pegar calibracion'!$A$1:$BZ$1001,569,D$2)&amp;""),""))</f>
        <v/>
      </c>
      <c r="E570">
        <f>IF(E$2=0,"",IFERROR(TRIM(INDEX('Pegar calibracion'!$A$1:$BZ$1001,569,E$2)&amp;""),""))</f>
        <v/>
      </c>
      <c r="F570">
        <f>IF(F$2=0,"",IFERROR(TRIM(INDEX('Pegar calibracion'!$A$1:$BZ$1001,569,F$2)&amp;""),""))</f>
        <v/>
      </c>
      <c r="G570">
        <f>IF(G$2=0,"",IFERROR(TRIM(INDEX('Pegar calibracion'!$A$1:$BZ$1001,569,G$2)&amp;""),""))</f>
        <v/>
      </c>
      <c r="H570">
        <f>IF(H$2=0,"",IFERROR(TRIM(INDEX('Pegar calibracion'!$A$1:$BZ$1001,569,H$2)&amp;""),""))</f>
        <v/>
      </c>
      <c r="I570">
        <f>IF(I$2=0,"",IFERROR(TRIM(INDEX('Pegar calibracion'!$A$1:$BZ$1001,569,I$2)&amp;""),""))</f>
        <v/>
      </c>
      <c r="J570">
        <f>IF(J$2=0,"",IFERROR(TRIM(INDEX('Pegar calibracion'!$A$1:$BZ$1001,569,J$2)&amp;""),""))</f>
        <v/>
      </c>
      <c r="K570">
        <f>IF(K$2=0,"",IFERROR(TRIM(INDEX('Pegar calibracion'!$A$1:$BZ$1001,569,K$2)&amp;""),""))</f>
        <v/>
      </c>
      <c r="L570">
        <f>IF(L$2=0,"",IFERROR(TRIM(INDEX('Pegar calibracion'!$A$1:$BZ$1001,569,L$2)&amp;""),""))</f>
        <v/>
      </c>
      <c r="M570" s="25">
        <f>IF(D570="","",SUBSTITUTE(SUBSTITUTE(SUBSTITUTE(SUBSTITUTE(SUBSTITUTE(SUBSTITUTE(SUBSTITUTE(SUBSTITUTE(SUBSTITUTE(SUBSTITUTE(SUBSTITUTE(SUBSTITUTE(LOWER(TRIM(D570)),"á","a"),"é","e"),"í","i"),"ó","o"),"ú","u"),"ü","u"),"ñ","n"),"à","a"),"è","e"),"ì","i"),"ò","o"),"ù","u"))</f>
        <v/>
      </c>
      <c r="N570" s="25">
        <f>IF(F570="","",SUBSTITUTE(SUBSTITUTE(SUBSTITUTE(SUBSTITUTE(SUBSTITUTE(SUBSTITUTE(SUBSTITUTE(SUBSTITUTE(SUBSTITUTE(SUBSTITUTE(SUBSTITUTE(SUBSTITUTE(LOWER(TRIM(F570)),"á","a"),"é","e"),"í","i"),"ó","o"),"ú","u"),"ü","u"),"ñ","n"),"à","a"),"è","e"),"ì","i"),"ò","o"),"ù","u"))</f>
        <v/>
      </c>
      <c r="O570" s="25">
        <f>IF(M570="confiable",2,IF(M570="dudosa",1,IF(M570="no confiable",0,"")))</f>
        <v/>
      </c>
      <c r="P570" s="25">
        <f>IF(N570="confiable",2,IF(N570="dudosa",1,IF(N570="no confiable",0,"")))</f>
        <v/>
      </c>
      <c r="Q570" s="25">
        <f>IF(AND(ISNUMBER(O570),ISNUMBER(P570)),1,"")</f>
        <v/>
      </c>
      <c r="R570" s="25">
        <f>IF(Q570=1,IF(O570=P570,"Sí","No"),"")</f>
        <v/>
      </c>
      <c r="S570" s="25">
        <f>IF(Q570=1,IF(P570&lt;O570,"Más estricto",IF(P570&gt;O570,"Más permisivo","Igual")),"")</f>
        <v/>
      </c>
      <c r="T570" s="25">
        <f>IF(Q570=1,IF(ABS(O570-P570)=2,1,0),"")</f>
        <v/>
      </c>
      <c r="U570" s="25">
        <f>IF(H570="","","|"&amp;SUBSTITUTE(SUBSTITUTE(TRIM(H570)," |","|"),"| ","|")&amp;"|")</f>
        <v/>
      </c>
      <c r="V570" s="25">
        <f>IF(AND(Q570=1,B570&lt;&gt;""),IF(IFERROR(COUNTIFS(B$3:B570,"="&amp;SUBSTITUTE(SUBSTITUTE(SUBSTITUTE(B570,"~","~~"),"*","~*"),"?","~?"),Q$3:Q570,1),0)=1,MAX(V$2:V569)+1,""),"")</f>
        <v/>
      </c>
      <c r="W570" s="25">
        <f>IF(V570="","",COUNTIFS($B$3:$B$1002,"="&amp;SUBSTITUTE(SUBSTITUTE(SUBSTITUTE(B570,"~","~~"),"*","~*"),"?","~?"),$Q$3:$Q$1002,1)*10000-V570)</f>
        <v/>
      </c>
      <c r="X570" s="25">
        <f>IF(Q570=1,IF(SUBSTITUTE(SUBSTITUTE(SUBSTITUTE(SUBSTITUTE(SUBSTITUTE(SUBSTITUTE(SUBSTITUTE(SUBSTITUTE(SUBSTITUTE(SUBSTITUTE(SUBSTITUTE(SUBSTITUTE(LOWER(TRIM(A570)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570)),"á","a"),"é","e"),"í","i"),"ó","o"),"ú","u"),"ü","u"),"ñ","n"),"à","a"),"è","e"),"ì","i"),"ò","o"),"ù","u")),"")</f>
        <v/>
      </c>
      <c r="Y570" s="25">
        <f>IF(X570="","",IF(IFERROR(COUNTIF(X$3:X570,"="&amp;SUBSTITUTE(SUBSTITUTE(SUBSTITUTE(X570,"~","~~"),"*","~*"),"?","~?")),0)=1,1,""))</f>
        <v/>
      </c>
      <c r="Z570" s="25">
        <f>IF(T570=1,MAX(Z$2:Z569)+1,"")</f>
        <v/>
      </c>
    </row>
    <row r="571">
      <c r="A571">
        <f>IF(A$2=0,"",IFERROR(TRIM(INDEX('Pegar calibracion'!$A$1:$BZ$1001,570,A$2)&amp;""),""))</f>
        <v/>
      </c>
      <c r="B571">
        <f>IF(B$2=0,"",IFERROR(TRIM(INDEX('Pegar calibracion'!$A$1:$BZ$1001,570,B$2)&amp;""),""))</f>
        <v/>
      </c>
      <c r="C571">
        <f>IF(C$2=0,"",IFERROR(TRIM(INDEX('Pegar calibracion'!$A$1:$BZ$1001,570,C$2)&amp;""),""))</f>
        <v/>
      </c>
      <c r="D571">
        <f>IF(D$2=0,"",IFERROR(TRIM(INDEX('Pegar calibracion'!$A$1:$BZ$1001,570,D$2)&amp;""),""))</f>
        <v/>
      </c>
      <c r="E571">
        <f>IF(E$2=0,"",IFERROR(TRIM(INDEX('Pegar calibracion'!$A$1:$BZ$1001,570,E$2)&amp;""),""))</f>
        <v/>
      </c>
      <c r="F571">
        <f>IF(F$2=0,"",IFERROR(TRIM(INDEX('Pegar calibracion'!$A$1:$BZ$1001,570,F$2)&amp;""),""))</f>
        <v/>
      </c>
      <c r="G571">
        <f>IF(G$2=0,"",IFERROR(TRIM(INDEX('Pegar calibracion'!$A$1:$BZ$1001,570,G$2)&amp;""),""))</f>
        <v/>
      </c>
      <c r="H571">
        <f>IF(H$2=0,"",IFERROR(TRIM(INDEX('Pegar calibracion'!$A$1:$BZ$1001,570,H$2)&amp;""),""))</f>
        <v/>
      </c>
      <c r="I571">
        <f>IF(I$2=0,"",IFERROR(TRIM(INDEX('Pegar calibracion'!$A$1:$BZ$1001,570,I$2)&amp;""),""))</f>
        <v/>
      </c>
      <c r="J571">
        <f>IF(J$2=0,"",IFERROR(TRIM(INDEX('Pegar calibracion'!$A$1:$BZ$1001,570,J$2)&amp;""),""))</f>
        <v/>
      </c>
      <c r="K571">
        <f>IF(K$2=0,"",IFERROR(TRIM(INDEX('Pegar calibracion'!$A$1:$BZ$1001,570,K$2)&amp;""),""))</f>
        <v/>
      </c>
      <c r="L571">
        <f>IF(L$2=0,"",IFERROR(TRIM(INDEX('Pegar calibracion'!$A$1:$BZ$1001,570,L$2)&amp;""),""))</f>
        <v/>
      </c>
      <c r="M571" s="25">
        <f>IF(D571="","",SUBSTITUTE(SUBSTITUTE(SUBSTITUTE(SUBSTITUTE(SUBSTITUTE(SUBSTITUTE(SUBSTITUTE(SUBSTITUTE(SUBSTITUTE(SUBSTITUTE(SUBSTITUTE(SUBSTITUTE(LOWER(TRIM(D571)),"á","a"),"é","e"),"í","i"),"ó","o"),"ú","u"),"ü","u"),"ñ","n"),"à","a"),"è","e"),"ì","i"),"ò","o"),"ù","u"))</f>
        <v/>
      </c>
      <c r="N571" s="25">
        <f>IF(F571="","",SUBSTITUTE(SUBSTITUTE(SUBSTITUTE(SUBSTITUTE(SUBSTITUTE(SUBSTITUTE(SUBSTITUTE(SUBSTITUTE(SUBSTITUTE(SUBSTITUTE(SUBSTITUTE(SUBSTITUTE(LOWER(TRIM(F571)),"á","a"),"é","e"),"í","i"),"ó","o"),"ú","u"),"ü","u"),"ñ","n"),"à","a"),"è","e"),"ì","i"),"ò","o"),"ù","u"))</f>
        <v/>
      </c>
      <c r="O571" s="25">
        <f>IF(M571="confiable",2,IF(M571="dudosa",1,IF(M571="no confiable",0,"")))</f>
        <v/>
      </c>
      <c r="P571" s="25">
        <f>IF(N571="confiable",2,IF(N571="dudosa",1,IF(N571="no confiable",0,"")))</f>
        <v/>
      </c>
      <c r="Q571" s="25">
        <f>IF(AND(ISNUMBER(O571),ISNUMBER(P571)),1,"")</f>
        <v/>
      </c>
      <c r="R571" s="25">
        <f>IF(Q571=1,IF(O571=P571,"Sí","No"),"")</f>
        <v/>
      </c>
      <c r="S571" s="25">
        <f>IF(Q571=1,IF(P571&lt;O571,"Más estricto",IF(P571&gt;O571,"Más permisivo","Igual")),"")</f>
        <v/>
      </c>
      <c r="T571" s="25">
        <f>IF(Q571=1,IF(ABS(O571-P571)=2,1,0),"")</f>
        <v/>
      </c>
      <c r="U571" s="25">
        <f>IF(H571="","","|"&amp;SUBSTITUTE(SUBSTITUTE(TRIM(H571)," |","|"),"| ","|")&amp;"|")</f>
        <v/>
      </c>
      <c r="V571" s="25">
        <f>IF(AND(Q571=1,B571&lt;&gt;""),IF(IFERROR(COUNTIFS(B$3:B571,"="&amp;SUBSTITUTE(SUBSTITUTE(SUBSTITUTE(B571,"~","~~"),"*","~*"),"?","~?"),Q$3:Q571,1),0)=1,MAX(V$2:V570)+1,""),"")</f>
        <v/>
      </c>
      <c r="W571" s="25">
        <f>IF(V571="","",COUNTIFS($B$3:$B$1002,"="&amp;SUBSTITUTE(SUBSTITUTE(SUBSTITUTE(B571,"~","~~"),"*","~*"),"?","~?"),$Q$3:$Q$1002,1)*10000-V571)</f>
        <v/>
      </c>
      <c r="X571" s="25">
        <f>IF(Q571=1,IF(SUBSTITUTE(SUBSTITUTE(SUBSTITUTE(SUBSTITUTE(SUBSTITUTE(SUBSTITUTE(SUBSTITUTE(SUBSTITUTE(SUBSTITUTE(SUBSTITUTE(SUBSTITUTE(SUBSTITUTE(LOWER(TRIM(A571)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571)),"á","a"),"é","e"),"í","i"),"ó","o"),"ú","u"),"ü","u"),"ñ","n"),"à","a"),"è","e"),"ì","i"),"ò","o"),"ù","u")),"")</f>
        <v/>
      </c>
      <c r="Y571" s="25">
        <f>IF(X571="","",IF(IFERROR(COUNTIF(X$3:X571,"="&amp;SUBSTITUTE(SUBSTITUTE(SUBSTITUTE(X571,"~","~~"),"*","~*"),"?","~?")),0)=1,1,""))</f>
        <v/>
      </c>
      <c r="Z571" s="25">
        <f>IF(T571=1,MAX(Z$2:Z570)+1,"")</f>
        <v/>
      </c>
    </row>
    <row r="572">
      <c r="A572">
        <f>IF(A$2=0,"",IFERROR(TRIM(INDEX('Pegar calibracion'!$A$1:$BZ$1001,571,A$2)&amp;""),""))</f>
        <v/>
      </c>
      <c r="B572">
        <f>IF(B$2=0,"",IFERROR(TRIM(INDEX('Pegar calibracion'!$A$1:$BZ$1001,571,B$2)&amp;""),""))</f>
        <v/>
      </c>
      <c r="C572">
        <f>IF(C$2=0,"",IFERROR(TRIM(INDEX('Pegar calibracion'!$A$1:$BZ$1001,571,C$2)&amp;""),""))</f>
        <v/>
      </c>
      <c r="D572">
        <f>IF(D$2=0,"",IFERROR(TRIM(INDEX('Pegar calibracion'!$A$1:$BZ$1001,571,D$2)&amp;""),""))</f>
        <v/>
      </c>
      <c r="E572">
        <f>IF(E$2=0,"",IFERROR(TRIM(INDEX('Pegar calibracion'!$A$1:$BZ$1001,571,E$2)&amp;""),""))</f>
        <v/>
      </c>
      <c r="F572">
        <f>IF(F$2=0,"",IFERROR(TRIM(INDEX('Pegar calibracion'!$A$1:$BZ$1001,571,F$2)&amp;""),""))</f>
        <v/>
      </c>
      <c r="G572">
        <f>IF(G$2=0,"",IFERROR(TRIM(INDEX('Pegar calibracion'!$A$1:$BZ$1001,571,G$2)&amp;""),""))</f>
        <v/>
      </c>
      <c r="H572">
        <f>IF(H$2=0,"",IFERROR(TRIM(INDEX('Pegar calibracion'!$A$1:$BZ$1001,571,H$2)&amp;""),""))</f>
        <v/>
      </c>
      <c r="I572">
        <f>IF(I$2=0,"",IFERROR(TRIM(INDEX('Pegar calibracion'!$A$1:$BZ$1001,571,I$2)&amp;""),""))</f>
        <v/>
      </c>
      <c r="J572">
        <f>IF(J$2=0,"",IFERROR(TRIM(INDEX('Pegar calibracion'!$A$1:$BZ$1001,571,J$2)&amp;""),""))</f>
        <v/>
      </c>
      <c r="K572">
        <f>IF(K$2=0,"",IFERROR(TRIM(INDEX('Pegar calibracion'!$A$1:$BZ$1001,571,K$2)&amp;""),""))</f>
        <v/>
      </c>
      <c r="L572">
        <f>IF(L$2=0,"",IFERROR(TRIM(INDEX('Pegar calibracion'!$A$1:$BZ$1001,571,L$2)&amp;""),""))</f>
        <v/>
      </c>
      <c r="M572" s="25">
        <f>IF(D572="","",SUBSTITUTE(SUBSTITUTE(SUBSTITUTE(SUBSTITUTE(SUBSTITUTE(SUBSTITUTE(SUBSTITUTE(SUBSTITUTE(SUBSTITUTE(SUBSTITUTE(SUBSTITUTE(SUBSTITUTE(LOWER(TRIM(D572)),"á","a"),"é","e"),"í","i"),"ó","o"),"ú","u"),"ü","u"),"ñ","n"),"à","a"),"è","e"),"ì","i"),"ò","o"),"ù","u"))</f>
        <v/>
      </c>
      <c r="N572" s="25">
        <f>IF(F572="","",SUBSTITUTE(SUBSTITUTE(SUBSTITUTE(SUBSTITUTE(SUBSTITUTE(SUBSTITUTE(SUBSTITUTE(SUBSTITUTE(SUBSTITUTE(SUBSTITUTE(SUBSTITUTE(SUBSTITUTE(LOWER(TRIM(F572)),"á","a"),"é","e"),"í","i"),"ó","o"),"ú","u"),"ü","u"),"ñ","n"),"à","a"),"è","e"),"ì","i"),"ò","o"),"ù","u"))</f>
        <v/>
      </c>
      <c r="O572" s="25">
        <f>IF(M572="confiable",2,IF(M572="dudosa",1,IF(M572="no confiable",0,"")))</f>
        <v/>
      </c>
      <c r="P572" s="25">
        <f>IF(N572="confiable",2,IF(N572="dudosa",1,IF(N572="no confiable",0,"")))</f>
        <v/>
      </c>
      <c r="Q572" s="25">
        <f>IF(AND(ISNUMBER(O572),ISNUMBER(P572)),1,"")</f>
        <v/>
      </c>
      <c r="R572" s="25">
        <f>IF(Q572=1,IF(O572=P572,"Sí","No"),"")</f>
        <v/>
      </c>
      <c r="S572" s="25">
        <f>IF(Q572=1,IF(P572&lt;O572,"Más estricto",IF(P572&gt;O572,"Más permisivo","Igual")),"")</f>
        <v/>
      </c>
      <c r="T572" s="25">
        <f>IF(Q572=1,IF(ABS(O572-P572)=2,1,0),"")</f>
        <v/>
      </c>
      <c r="U572" s="25">
        <f>IF(H572="","","|"&amp;SUBSTITUTE(SUBSTITUTE(TRIM(H572)," |","|"),"| ","|")&amp;"|")</f>
        <v/>
      </c>
      <c r="V572" s="25">
        <f>IF(AND(Q572=1,B572&lt;&gt;""),IF(IFERROR(COUNTIFS(B$3:B572,"="&amp;SUBSTITUTE(SUBSTITUTE(SUBSTITUTE(B572,"~","~~"),"*","~*"),"?","~?"),Q$3:Q572,1),0)=1,MAX(V$2:V571)+1,""),"")</f>
        <v/>
      </c>
      <c r="W572" s="25">
        <f>IF(V572="","",COUNTIFS($B$3:$B$1002,"="&amp;SUBSTITUTE(SUBSTITUTE(SUBSTITUTE(B572,"~","~~"),"*","~*"),"?","~?"),$Q$3:$Q$1002,1)*10000-V572)</f>
        <v/>
      </c>
      <c r="X572" s="25">
        <f>IF(Q572=1,IF(SUBSTITUTE(SUBSTITUTE(SUBSTITUTE(SUBSTITUTE(SUBSTITUTE(SUBSTITUTE(SUBSTITUTE(SUBSTITUTE(SUBSTITUTE(SUBSTITUTE(SUBSTITUTE(SUBSTITUTE(LOWER(TRIM(A572)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572)),"á","a"),"é","e"),"í","i"),"ó","o"),"ú","u"),"ü","u"),"ñ","n"),"à","a"),"è","e"),"ì","i"),"ò","o"),"ù","u")),"")</f>
        <v/>
      </c>
      <c r="Y572" s="25">
        <f>IF(X572="","",IF(IFERROR(COUNTIF(X$3:X572,"="&amp;SUBSTITUTE(SUBSTITUTE(SUBSTITUTE(X572,"~","~~"),"*","~*"),"?","~?")),0)=1,1,""))</f>
        <v/>
      </c>
      <c r="Z572" s="25">
        <f>IF(T572=1,MAX(Z$2:Z571)+1,"")</f>
        <v/>
      </c>
    </row>
    <row r="573">
      <c r="A573">
        <f>IF(A$2=0,"",IFERROR(TRIM(INDEX('Pegar calibracion'!$A$1:$BZ$1001,572,A$2)&amp;""),""))</f>
        <v/>
      </c>
      <c r="B573">
        <f>IF(B$2=0,"",IFERROR(TRIM(INDEX('Pegar calibracion'!$A$1:$BZ$1001,572,B$2)&amp;""),""))</f>
        <v/>
      </c>
      <c r="C573">
        <f>IF(C$2=0,"",IFERROR(TRIM(INDEX('Pegar calibracion'!$A$1:$BZ$1001,572,C$2)&amp;""),""))</f>
        <v/>
      </c>
      <c r="D573">
        <f>IF(D$2=0,"",IFERROR(TRIM(INDEX('Pegar calibracion'!$A$1:$BZ$1001,572,D$2)&amp;""),""))</f>
        <v/>
      </c>
      <c r="E573">
        <f>IF(E$2=0,"",IFERROR(TRIM(INDEX('Pegar calibracion'!$A$1:$BZ$1001,572,E$2)&amp;""),""))</f>
        <v/>
      </c>
      <c r="F573">
        <f>IF(F$2=0,"",IFERROR(TRIM(INDEX('Pegar calibracion'!$A$1:$BZ$1001,572,F$2)&amp;""),""))</f>
        <v/>
      </c>
      <c r="G573">
        <f>IF(G$2=0,"",IFERROR(TRIM(INDEX('Pegar calibracion'!$A$1:$BZ$1001,572,G$2)&amp;""),""))</f>
        <v/>
      </c>
      <c r="H573">
        <f>IF(H$2=0,"",IFERROR(TRIM(INDEX('Pegar calibracion'!$A$1:$BZ$1001,572,H$2)&amp;""),""))</f>
        <v/>
      </c>
      <c r="I573">
        <f>IF(I$2=0,"",IFERROR(TRIM(INDEX('Pegar calibracion'!$A$1:$BZ$1001,572,I$2)&amp;""),""))</f>
        <v/>
      </c>
      <c r="J573">
        <f>IF(J$2=0,"",IFERROR(TRIM(INDEX('Pegar calibracion'!$A$1:$BZ$1001,572,J$2)&amp;""),""))</f>
        <v/>
      </c>
      <c r="K573">
        <f>IF(K$2=0,"",IFERROR(TRIM(INDEX('Pegar calibracion'!$A$1:$BZ$1001,572,K$2)&amp;""),""))</f>
        <v/>
      </c>
      <c r="L573">
        <f>IF(L$2=0,"",IFERROR(TRIM(INDEX('Pegar calibracion'!$A$1:$BZ$1001,572,L$2)&amp;""),""))</f>
        <v/>
      </c>
      <c r="M573" s="25">
        <f>IF(D573="","",SUBSTITUTE(SUBSTITUTE(SUBSTITUTE(SUBSTITUTE(SUBSTITUTE(SUBSTITUTE(SUBSTITUTE(SUBSTITUTE(SUBSTITUTE(SUBSTITUTE(SUBSTITUTE(SUBSTITUTE(LOWER(TRIM(D573)),"á","a"),"é","e"),"í","i"),"ó","o"),"ú","u"),"ü","u"),"ñ","n"),"à","a"),"è","e"),"ì","i"),"ò","o"),"ù","u"))</f>
        <v/>
      </c>
      <c r="N573" s="25">
        <f>IF(F573="","",SUBSTITUTE(SUBSTITUTE(SUBSTITUTE(SUBSTITUTE(SUBSTITUTE(SUBSTITUTE(SUBSTITUTE(SUBSTITUTE(SUBSTITUTE(SUBSTITUTE(SUBSTITUTE(SUBSTITUTE(LOWER(TRIM(F573)),"á","a"),"é","e"),"í","i"),"ó","o"),"ú","u"),"ü","u"),"ñ","n"),"à","a"),"è","e"),"ì","i"),"ò","o"),"ù","u"))</f>
        <v/>
      </c>
      <c r="O573" s="25">
        <f>IF(M573="confiable",2,IF(M573="dudosa",1,IF(M573="no confiable",0,"")))</f>
        <v/>
      </c>
      <c r="P573" s="25">
        <f>IF(N573="confiable",2,IF(N573="dudosa",1,IF(N573="no confiable",0,"")))</f>
        <v/>
      </c>
      <c r="Q573" s="25">
        <f>IF(AND(ISNUMBER(O573),ISNUMBER(P573)),1,"")</f>
        <v/>
      </c>
      <c r="R573" s="25">
        <f>IF(Q573=1,IF(O573=P573,"Sí","No"),"")</f>
        <v/>
      </c>
      <c r="S573" s="25">
        <f>IF(Q573=1,IF(P573&lt;O573,"Más estricto",IF(P573&gt;O573,"Más permisivo","Igual")),"")</f>
        <v/>
      </c>
      <c r="T573" s="25">
        <f>IF(Q573=1,IF(ABS(O573-P573)=2,1,0),"")</f>
        <v/>
      </c>
      <c r="U573" s="25">
        <f>IF(H573="","","|"&amp;SUBSTITUTE(SUBSTITUTE(TRIM(H573)," |","|"),"| ","|")&amp;"|")</f>
        <v/>
      </c>
      <c r="V573" s="25">
        <f>IF(AND(Q573=1,B573&lt;&gt;""),IF(IFERROR(COUNTIFS(B$3:B573,"="&amp;SUBSTITUTE(SUBSTITUTE(SUBSTITUTE(B573,"~","~~"),"*","~*"),"?","~?"),Q$3:Q573,1),0)=1,MAX(V$2:V572)+1,""),"")</f>
        <v/>
      </c>
      <c r="W573" s="25">
        <f>IF(V573="","",COUNTIFS($B$3:$B$1002,"="&amp;SUBSTITUTE(SUBSTITUTE(SUBSTITUTE(B573,"~","~~"),"*","~*"),"?","~?"),$Q$3:$Q$1002,1)*10000-V573)</f>
        <v/>
      </c>
      <c r="X573" s="25">
        <f>IF(Q573=1,IF(SUBSTITUTE(SUBSTITUTE(SUBSTITUTE(SUBSTITUTE(SUBSTITUTE(SUBSTITUTE(SUBSTITUTE(SUBSTITUTE(SUBSTITUTE(SUBSTITUTE(SUBSTITUTE(SUBSTITUTE(LOWER(TRIM(A573)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573)),"á","a"),"é","e"),"í","i"),"ó","o"),"ú","u"),"ü","u"),"ñ","n"),"à","a"),"è","e"),"ì","i"),"ò","o"),"ù","u")),"")</f>
        <v/>
      </c>
      <c r="Y573" s="25">
        <f>IF(X573="","",IF(IFERROR(COUNTIF(X$3:X573,"="&amp;SUBSTITUTE(SUBSTITUTE(SUBSTITUTE(X573,"~","~~"),"*","~*"),"?","~?")),0)=1,1,""))</f>
        <v/>
      </c>
      <c r="Z573" s="25">
        <f>IF(T573=1,MAX(Z$2:Z572)+1,"")</f>
        <v/>
      </c>
    </row>
    <row r="574">
      <c r="A574">
        <f>IF(A$2=0,"",IFERROR(TRIM(INDEX('Pegar calibracion'!$A$1:$BZ$1001,573,A$2)&amp;""),""))</f>
        <v/>
      </c>
      <c r="B574">
        <f>IF(B$2=0,"",IFERROR(TRIM(INDEX('Pegar calibracion'!$A$1:$BZ$1001,573,B$2)&amp;""),""))</f>
        <v/>
      </c>
      <c r="C574">
        <f>IF(C$2=0,"",IFERROR(TRIM(INDEX('Pegar calibracion'!$A$1:$BZ$1001,573,C$2)&amp;""),""))</f>
        <v/>
      </c>
      <c r="D574">
        <f>IF(D$2=0,"",IFERROR(TRIM(INDEX('Pegar calibracion'!$A$1:$BZ$1001,573,D$2)&amp;""),""))</f>
        <v/>
      </c>
      <c r="E574">
        <f>IF(E$2=0,"",IFERROR(TRIM(INDEX('Pegar calibracion'!$A$1:$BZ$1001,573,E$2)&amp;""),""))</f>
        <v/>
      </c>
      <c r="F574">
        <f>IF(F$2=0,"",IFERROR(TRIM(INDEX('Pegar calibracion'!$A$1:$BZ$1001,573,F$2)&amp;""),""))</f>
        <v/>
      </c>
      <c r="G574">
        <f>IF(G$2=0,"",IFERROR(TRIM(INDEX('Pegar calibracion'!$A$1:$BZ$1001,573,G$2)&amp;""),""))</f>
        <v/>
      </c>
      <c r="H574">
        <f>IF(H$2=0,"",IFERROR(TRIM(INDEX('Pegar calibracion'!$A$1:$BZ$1001,573,H$2)&amp;""),""))</f>
        <v/>
      </c>
      <c r="I574">
        <f>IF(I$2=0,"",IFERROR(TRIM(INDEX('Pegar calibracion'!$A$1:$BZ$1001,573,I$2)&amp;""),""))</f>
        <v/>
      </c>
      <c r="J574">
        <f>IF(J$2=0,"",IFERROR(TRIM(INDEX('Pegar calibracion'!$A$1:$BZ$1001,573,J$2)&amp;""),""))</f>
        <v/>
      </c>
      <c r="K574">
        <f>IF(K$2=0,"",IFERROR(TRIM(INDEX('Pegar calibracion'!$A$1:$BZ$1001,573,K$2)&amp;""),""))</f>
        <v/>
      </c>
      <c r="L574">
        <f>IF(L$2=0,"",IFERROR(TRIM(INDEX('Pegar calibracion'!$A$1:$BZ$1001,573,L$2)&amp;""),""))</f>
        <v/>
      </c>
      <c r="M574" s="25">
        <f>IF(D574="","",SUBSTITUTE(SUBSTITUTE(SUBSTITUTE(SUBSTITUTE(SUBSTITUTE(SUBSTITUTE(SUBSTITUTE(SUBSTITUTE(SUBSTITUTE(SUBSTITUTE(SUBSTITUTE(SUBSTITUTE(LOWER(TRIM(D574)),"á","a"),"é","e"),"í","i"),"ó","o"),"ú","u"),"ü","u"),"ñ","n"),"à","a"),"è","e"),"ì","i"),"ò","o"),"ù","u"))</f>
        <v/>
      </c>
      <c r="N574" s="25">
        <f>IF(F574="","",SUBSTITUTE(SUBSTITUTE(SUBSTITUTE(SUBSTITUTE(SUBSTITUTE(SUBSTITUTE(SUBSTITUTE(SUBSTITUTE(SUBSTITUTE(SUBSTITUTE(SUBSTITUTE(SUBSTITUTE(LOWER(TRIM(F574)),"á","a"),"é","e"),"í","i"),"ó","o"),"ú","u"),"ü","u"),"ñ","n"),"à","a"),"è","e"),"ì","i"),"ò","o"),"ù","u"))</f>
        <v/>
      </c>
      <c r="O574" s="25">
        <f>IF(M574="confiable",2,IF(M574="dudosa",1,IF(M574="no confiable",0,"")))</f>
        <v/>
      </c>
      <c r="P574" s="25">
        <f>IF(N574="confiable",2,IF(N574="dudosa",1,IF(N574="no confiable",0,"")))</f>
        <v/>
      </c>
      <c r="Q574" s="25">
        <f>IF(AND(ISNUMBER(O574),ISNUMBER(P574)),1,"")</f>
        <v/>
      </c>
      <c r="R574" s="25">
        <f>IF(Q574=1,IF(O574=P574,"Sí","No"),"")</f>
        <v/>
      </c>
      <c r="S574" s="25">
        <f>IF(Q574=1,IF(P574&lt;O574,"Más estricto",IF(P574&gt;O574,"Más permisivo","Igual")),"")</f>
        <v/>
      </c>
      <c r="T574" s="25">
        <f>IF(Q574=1,IF(ABS(O574-P574)=2,1,0),"")</f>
        <v/>
      </c>
      <c r="U574" s="25">
        <f>IF(H574="","","|"&amp;SUBSTITUTE(SUBSTITUTE(TRIM(H574)," |","|"),"| ","|")&amp;"|")</f>
        <v/>
      </c>
      <c r="V574" s="25">
        <f>IF(AND(Q574=1,B574&lt;&gt;""),IF(IFERROR(COUNTIFS(B$3:B574,"="&amp;SUBSTITUTE(SUBSTITUTE(SUBSTITUTE(B574,"~","~~"),"*","~*"),"?","~?"),Q$3:Q574,1),0)=1,MAX(V$2:V573)+1,""),"")</f>
        <v/>
      </c>
      <c r="W574" s="25">
        <f>IF(V574="","",COUNTIFS($B$3:$B$1002,"="&amp;SUBSTITUTE(SUBSTITUTE(SUBSTITUTE(B574,"~","~~"),"*","~*"),"?","~?"),$Q$3:$Q$1002,1)*10000-V574)</f>
        <v/>
      </c>
      <c r="X574" s="25">
        <f>IF(Q574=1,IF(SUBSTITUTE(SUBSTITUTE(SUBSTITUTE(SUBSTITUTE(SUBSTITUTE(SUBSTITUTE(SUBSTITUTE(SUBSTITUTE(SUBSTITUTE(SUBSTITUTE(SUBSTITUTE(SUBSTITUTE(LOWER(TRIM(A574)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574)),"á","a"),"é","e"),"í","i"),"ó","o"),"ú","u"),"ü","u"),"ñ","n"),"à","a"),"è","e"),"ì","i"),"ò","o"),"ù","u")),"")</f>
        <v/>
      </c>
      <c r="Y574" s="25">
        <f>IF(X574="","",IF(IFERROR(COUNTIF(X$3:X574,"="&amp;SUBSTITUTE(SUBSTITUTE(SUBSTITUTE(X574,"~","~~"),"*","~*"),"?","~?")),0)=1,1,""))</f>
        <v/>
      </c>
      <c r="Z574" s="25">
        <f>IF(T574=1,MAX(Z$2:Z573)+1,"")</f>
        <v/>
      </c>
    </row>
    <row r="575">
      <c r="A575">
        <f>IF(A$2=0,"",IFERROR(TRIM(INDEX('Pegar calibracion'!$A$1:$BZ$1001,574,A$2)&amp;""),""))</f>
        <v/>
      </c>
      <c r="B575">
        <f>IF(B$2=0,"",IFERROR(TRIM(INDEX('Pegar calibracion'!$A$1:$BZ$1001,574,B$2)&amp;""),""))</f>
        <v/>
      </c>
      <c r="C575">
        <f>IF(C$2=0,"",IFERROR(TRIM(INDEX('Pegar calibracion'!$A$1:$BZ$1001,574,C$2)&amp;""),""))</f>
        <v/>
      </c>
      <c r="D575">
        <f>IF(D$2=0,"",IFERROR(TRIM(INDEX('Pegar calibracion'!$A$1:$BZ$1001,574,D$2)&amp;""),""))</f>
        <v/>
      </c>
      <c r="E575">
        <f>IF(E$2=0,"",IFERROR(TRIM(INDEX('Pegar calibracion'!$A$1:$BZ$1001,574,E$2)&amp;""),""))</f>
        <v/>
      </c>
      <c r="F575">
        <f>IF(F$2=0,"",IFERROR(TRIM(INDEX('Pegar calibracion'!$A$1:$BZ$1001,574,F$2)&amp;""),""))</f>
        <v/>
      </c>
      <c r="G575">
        <f>IF(G$2=0,"",IFERROR(TRIM(INDEX('Pegar calibracion'!$A$1:$BZ$1001,574,G$2)&amp;""),""))</f>
        <v/>
      </c>
      <c r="H575">
        <f>IF(H$2=0,"",IFERROR(TRIM(INDEX('Pegar calibracion'!$A$1:$BZ$1001,574,H$2)&amp;""),""))</f>
        <v/>
      </c>
      <c r="I575">
        <f>IF(I$2=0,"",IFERROR(TRIM(INDEX('Pegar calibracion'!$A$1:$BZ$1001,574,I$2)&amp;""),""))</f>
        <v/>
      </c>
      <c r="J575">
        <f>IF(J$2=0,"",IFERROR(TRIM(INDEX('Pegar calibracion'!$A$1:$BZ$1001,574,J$2)&amp;""),""))</f>
        <v/>
      </c>
      <c r="K575">
        <f>IF(K$2=0,"",IFERROR(TRIM(INDEX('Pegar calibracion'!$A$1:$BZ$1001,574,K$2)&amp;""),""))</f>
        <v/>
      </c>
      <c r="L575">
        <f>IF(L$2=0,"",IFERROR(TRIM(INDEX('Pegar calibracion'!$A$1:$BZ$1001,574,L$2)&amp;""),""))</f>
        <v/>
      </c>
      <c r="M575" s="25">
        <f>IF(D575="","",SUBSTITUTE(SUBSTITUTE(SUBSTITUTE(SUBSTITUTE(SUBSTITUTE(SUBSTITUTE(SUBSTITUTE(SUBSTITUTE(SUBSTITUTE(SUBSTITUTE(SUBSTITUTE(SUBSTITUTE(LOWER(TRIM(D575)),"á","a"),"é","e"),"í","i"),"ó","o"),"ú","u"),"ü","u"),"ñ","n"),"à","a"),"è","e"),"ì","i"),"ò","o"),"ù","u"))</f>
        <v/>
      </c>
      <c r="N575" s="25">
        <f>IF(F575="","",SUBSTITUTE(SUBSTITUTE(SUBSTITUTE(SUBSTITUTE(SUBSTITUTE(SUBSTITUTE(SUBSTITUTE(SUBSTITUTE(SUBSTITUTE(SUBSTITUTE(SUBSTITUTE(SUBSTITUTE(LOWER(TRIM(F575)),"á","a"),"é","e"),"í","i"),"ó","o"),"ú","u"),"ü","u"),"ñ","n"),"à","a"),"è","e"),"ì","i"),"ò","o"),"ù","u"))</f>
        <v/>
      </c>
      <c r="O575" s="25">
        <f>IF(M575="confiable",2,IF(M575="dudosa",1,IF(M575="no confiable",0,"")))</f>
        <v/>
      </c>
      <c r="P575" s="25">
        <f>IF(N575="confiable",2,IF(N575="dudosa",1,IF(N575="no confiable",0,"")))</f>
        <v/>
      </c>
      <c r="Q575" s="25">
        <f>IF(AND(ISNUMBER(O575),ISNUMBER(P575)),1,"")</f>
        <v/>
      </c>
      <c r="R575" s="25">
        <f>IF(Q575=1,IF(O575=P575,"Sí","No"),"")</f>
        <v/>
      </c>
      <c r="S575" s="25">
        <f>IF(Q575=1,IF(P575&lt;O575,"Más estricto",IF(P575&gt;O575,"Más permisivo","Igual")),"")</f>
        <v/>
      </c>
      <c r="T575" s="25">
        <f>IF(Q575=1,IF(ABS(O575-P575)=2,1,0),"")</f>
        <v/>
      </c>
      <c r="U575" s="25">
        <f>IF(H575="","","|"&amp;SUBSTITUTE(SUBSTITUTE(TRIM(H575)," |","|"),"| ","|")&amp;"|")</f>
        <v/>
      </c>
      <c r="V575" s="25">
        <f>IF(AND(Q575=1,B575&lt;&gt;""),IF(IFERROR(COUNTIFS(B$3:B575,"="&amp;SUBSTITUTE(SUBSTITUTE(SUBSTITUTE(B575,"~","~~"),"*","~*"),"?","~?"),Q$3:Q575,1),0)=1,MAX(V$2:V574)+1,""),"")</f>
        <v/>
      </c>
      <c r="W575" s="25">
        <f>IF(V575="","",COUNTIFS($B$3:$B$1002,"="&amp;SUBSTITUTE(SUBSTITUTE(SUBSTITUTE(B575,"~","~~"),"*","~*"),"?","~?"),$Q$3:$Q$1002,1)*10000-V575)</f>
        <v/>
      </c>
      <c r="X575" s="25">
        <f>IF(Q575=1,IF(SUBSTITUTE(SUBSTITUTE(SUBSTITUTE(SUBSTITUTE(SUBSTITUTE(SUBSTITUTE(SUBSTITUTE(SUBSTITUTE(SUBSTITUTE(SUBSTITUTE(SUBSTITUTE(SUBSTITUTE(LOWER(TRIM(A575)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575)),"á","a"),"é","e"),"í","i"),"ó","o"),"ú","u"),"ü","u"),"ñ","n"),"à","a"),"è","e"),"ì","i"),"ò","o"),"ù","u")),"")</f>
        <v/>
      </c>
      <c r="Y575" s="25">
        <f>IF(X575="","",IF(IFERROR(COUNTIF(X$3:X575,"="&amp;SUBSTITUTE(SUBSTITUTE(SUBSTITUTE(X575,"~","~~"),"*","~*"),"?","~?")),0)=1,1,""))</f>
        <v/>
      </c>
      <c r="Z575" s="25">
        <f>IF(T575=1,MAX(Z$2:Z574)+1,"")</f>
        <v/>
      </c>
    </row>
    <row r="576">
      <c r="A576">
        <f>IF(A$2=0,"",IFERROR(TRIM(INDEX('Pegar calibracion'!$A$1:$BZ$1001,575,A$2)&amp;""),""))</f>
        <v/>
      </c>
      <c r="B576">
        <f>IF(B$2=0,"",IFERROR(TRIM(INDEX('Pegar calibracion'!$A$1:$BZ$1001,575,B$2)&amp;""),""))</f>
        <v/>
      </c>
      <c r="C576">
        <f>IF(C$2=0,"",IFERROR(TRIM(INDEX('Pegar calibracion'!$A$1:$BZ$1001,575,C$2)&amp;""),""))</f>
        <v/>
      </c>
      <c r="D576">
        <f>IF(D$2=0,"",IFERROR(TRIM(INDEX('Pegar calibracion'!$A$1:$BZ$1001,575,D$2)&amp;""),""))</f>
        <v/>
      </c>
      <c r="E576">
        <f>IF(E$2=0,"",IFERROR(TRIM(INDEX('Pegar calibracion'!$A$1:$BZ$1001,575,E$2)&amp;""),""))</f>
        <v/>
      </c>
      <c r="F576">
        <f>IF(F$2=0,"",IFERROR(TRIM(INDEX('Pegar calibracion'!$A$1:$BZ$1001,575,F$2)&amp;""),""))</f>
        <v/>
      </c>
      <c r="G576">
        <f>IF(G$2=0,"",IFERROR(TRIM(INDEX('Pegar calibracion'!$A$1:$BZ$1001,575,G$2)&amp;""),""))</f>
        <v/>
      </c>
      <c r="H576">
        <f>IF(H$2=0,"",IFERROR(TRIM(INDEX('Pegar calibracion'!$A$1:$BZ$1001,575,H$2)&amp;""),""))</f>
        <v/>
      </c>
      <c r="I576">
        <f>IF(I$2=0,"",IFERROR(TRIM(INDEX('Pegar calibracion'!$A$1:$BZ$1001,575,I$2)&amp;""),""))</f>
        <v/>
      </c>
      <c r="J576">
        <f>IF(J$2=0,"",IFERROR(TRIM(INDEX('Pegar calibracion'!$A$1:$BZ$1001,575,J$2)&amp;""),""))</f>
        <v/>
      </c>
      <c r="K576">
        <f>IF(K$2=0,"",IFERROR(TRIM(INDEX('Pegar calibracion'!$A$1:$BZ$1001,575,K$2)&amp;""),""))</f>
        <v/>
      </c>
      <c r="L576">
        <f>IF(L$2=0,"",IFERROR(TRIM(INDEX('Pegar calibracion'!$A$1:$BZ$1001,575,L$2)&amp;""),""))</f>
        <v/>
      </c>
      <c r="M576" s="25">
        <f>IF(D576="","",SUBSTITUTE(SUBSTITUTE(SUBSTITUTE(SUBSTITUTE(SUBSTITUTE(SUBSTITUTE(SUBSTITUTE(SUBSTITUTE(SUBSTITUTE(SUBSTITUTE(SUBSTITUTE(SUBSTITUTE(LOWER(TRIM(D576)),"á","a"),"é","e"),"í","i"),"ó","o"),"ú","u"),"ü","u"),"ñ","n"),"à","a"),"è","e"),"ì","i"),"ò","o"),"ù","u"))</f>
        <v/>
      </c>
      <c r="N576" s="25">
        <f>IF(F576="","",SUBSTITUTE(SUBSTITUTE(SUBSTITUTE(SUBSTITUTE(SUBSTITUTE(SUBSTITUTE(SUBSTITUTE(SUBSTITUTE(SUBSTITUTE(SUBSTITUTE(SUBSTITUTE(SUBSTITUTE(LOWER(TRIM(F576)),"á","a"),"é","e"),"í","i"),"ó","o"),"ú","u"),"ü","u"),"ñ","n"),"à","a"),"è","e"),"ì","i"),"ò","o"),"ù","u"))</f>
        <v/>
      </c>
      <c r="O576" s="25">
        <f>IF(M576="confiable",2,IF(M576="dudosa",1,IF(M576="no confiable",0,"")))</f>
        <v/>
      </c>
      <c r="P576" s="25">
        <f>IF(N576="confiable",2,IF(N576="dudosa",1,IF(N576="no confiable",0,"")))</f>
        <v/>
      </c>
      <c r="Q576" s="25">
        <f>IF(AND(ISNUMBER(O576),ISNUMBER(P576)),1,"")</f>
        <v/>
      </c>
      <c r="R576" s="25">
        <f>IF(Q576=1,IF(O576=P576,"Sí","No"),"")</f>
        <v/>
      </c>
      <c r="S576" s="25">
        <f>IF(Q576=1,IF(P576&lt;O576,"Más estricto",IF(P576&gt;O576,"Más permisivo","Igual")),"")</f>
        <v/>
      </c>
      <c r="T576" s="25">
        <f>IF(Q576=1,IF(ABS(O576-P576)=2,1,0),"")</f>
        <v/>
      </c>
      <c r="U576" s="25">
        <f>IF(H576="","","|"&amp;SUBSTITUTE(SUBSTITUTE(TRIM(H576)," |","|"),"| ","|")&amp;"|")</f>
        <v/>
      </c>
      <c r="V576" s="25">
        <f>IF(AND(Q576=1,B576&lt;&gt;""),IF(IFERROR(COUNTIFS(B$3:B576,"="&amp;SUBSTITUTE(SUBSTITUTE(SUBSTITUTE(B576,"~","~~"),"*","~*"),"?","~?"),Q$3:Q576,1),0)=1,MAX(V$2:V575)+1,""),"")</f>
        <v/>
      </c>
      <c r="W576" s="25">
        <f>IF(V576="","",COUNTIFS($B$3:$B$1002,"="&amp;SUBSTITUTE(SUBSTITUTE(SUBSTITUTE(B576,"~","~~"),"*","~*"),"?","~?"),$Q$3:$Q$1002,1)*10000-V576)</f>
        <v/>
      </c>
      <c r="X576" s="25">
        <f>IF(Q576=1,IF(SUBSTITUTE(SUBSTITUTE(SUBSTITUTE(SUBSTITUTE(SUBSTITUTE(SUBSTITUTE(SUBSTITUTE(SUBSTITUTE(SUBSTITUTE(SUBSTITUTE(SUBSTITUTE(SUBSTITUTE(LOWER(TRIM(A576)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576)),"á","a"),"é","e"),"í","i"),"ó","o"),"ú","u"),"ü","u"),"ñ","n"),"à","a"),"è","e"),"ì","i"),"ò","o"),"ù","u")),"")</f>
        <v/>
      </c>
      <c r="Y576" s="25">
        <f>IF(X576="","",IF(IFERROR(COUNTIF(X$3:X576,"="&amp;SUBSTITUTE(SUBSTITUTE(SUBSTITUTE(X576,"~","~~"),"*","~*"),"?","~?")),0)=1,1,""))</f>
        <v/>
      </c>
      <c r="Z576" s="25">
        <f>IF(T576=1,MAX(Z$2:Z575)+1,"")</f>
        <v/>
      </c>
    </row>
    <row r="577">
      <c r="A577">
        <f>IF(A$2=0,"",IFERROR(TRIM(INDEX('Pegar calibracion'!$A$1:$BZ$1001,576,A$2)&amp;""),""))</f>
        <v/>
      </c>
      <c r="B577">
        <f>IF(B$2=0,"",IFERROR(TRIM(INDEX('Pegar calibracion'!$A$1:$BZ$1001,576,B$2)&amp;""),""))</f>
        <v/>
      </c>
      <c r="C577">
        <f>IF(C$2=0,"",IFERROR(TRIM(INDEX('Pegar calibracion'!$A$1:$BZ$1001,576,C$2)&amp;""),""))</f>
        <v/>
      </c>
      <c r="D577">
        <f>IF(D$2=0,"",IFERROR(TRIM(INDEX('Pegar calibracion'!$A$1:$BZ$1001,576,D$2)&amp;""),""))</f>
        <v/>
      </c>
      <c r="E577">
        <f>IF(E$2=0,"",IFERROR(TRIM(INDEX('Pegar calibracion'!$A$1:$BZ$1001,576,E$2)&amp;""),""))</f>
        <v/>
      </c>
      <c r="F577">
        <f>IF(F$2=0,"",IFERROR(TRIM(INDEX('Pegar calibracion'!$A$1:$BZ$1001,576,F$2)&amp;""),""))</f>
        <v/>
      </c>
      <c r="G577">
        <f>IF(G$2=0,"",IFERROR(TRIM(INDEX('Pegar calibracion'!$A$1:$BZ$1001,576,G$2)&amp;""),""))</f>
        <v/>
      </c>
      <c r="H577">
        <f>IF(H$2=0,"",IFERROR(TRIM(INDEX('Pegar calibracion'!$A$1:$BZ$1001,576,H$2)&amp;""),""))</f>
        <v/>
      </c>
      <c r="I577">
        <f>IF(I$2=0,"",IFERROR(TRIM(INDEX('Pegar calibracion'!$A$1:$BZ$1001,576,I$2)&amp;""),""))</f>
        <v/>
      </c>
      <c r="J577">
        <f>IF(J$2=0,"",IFERROR(TRIM(INDEX('Pegar calibracion'!$A$1:$BZ$1001,576,J$2)&amp;""),""))</f>
        <v/>
      </c>
      <c r="K577">
        <f>IF(K$2=0,"",IFERROR(TRIM(INDEX('Pegar calibracion'!$A$1:$BZ$1001,576,K$2)&amp;""),""))</f>
        <v/>
      </c>
      <c r="L577">
        <f>IF(L$2=0,"",IFERROR(TRIM(INDEX('Pegar calibracion'!$A$1:$BZ$1001,576,L$2)&amp;""),""))</f>
        <v/>
      </c>
      <c r="M577" s="25">
        <f>IF(D577="","",SUBSTITUTE(SUBSTITUTE(SUBSTITUTE(SUBSTITUTE(SUBSTITUTE(SUBSTITUTE(SUBSTITUTE(SUBSTITUTE(SUBSTITUTE(SUBSTITUTE(SUBSTITUTE(SUBSTITUTE(LOWER(TRIM(D577)),"á","a"),"é","e"),"í","i"),"ó","o"),"ú","u"),"ü","u"),"ñ","n"),"à","a"),"è","e"),"ì","i"),"ò","o"),"ù","u"))</f>
        <v/>
      </c>
      <c r="N577" s="25">
        <f>IF(F577="","",SUBSTITUTE(SUBSTITUTE(SUBSTITUTE(SUBSTITUTE(SUBSTITUTE(SUBSTITUTE(SUBSTITUTE(SUBSTITUTE(SUBSTITUTE(SUBSTITUTE(SUBSTITUTE(SUBSTITUTE(LOWER(TRIM(F577)),"á","a"),"é","e"),"í","i"),"ó","o"),"ú","u"),"ü","u"),"ñ","n"),"à","a"),"è","e"),"ì","i"),"ò","o"),"ù","u"))</f>
        <v/>
      </c>
      <c r="O577" s="25">
        <f>IF(M577="confiable",2,IF(M577="dudosa",1,IF(M577="no confiable",0,"")))</f>
        <v/>
      </c>
      <c r="P577" s="25">
        <f>IF(N577="confiable",2,IF(N577="dudosa",1,IF(N577="no confiable",0,"")))</f>
        <v/>
      </c>
      <c r="Q577" s="25">
        <f>IF(AND(ISNUMBER(O577),ISNUMBER(P577)),1,"")</f>
        <v/>
      </c>
      <c r="R577" s="25">
        <f>IF(Q577=1,IF(O577=P577,"Sí","No"),"")</f>
        <v/>
      </c>
      <c r="S577" s="25">
        <f>IF(Q577=1,IF(P577&lt;O577,"Más estricto",IF(P577&gt;O577,"Más permisivo","Igual")),"")</f>
        <v/>
      </c>
      <c r="T577" s="25">
        <f>IF(Q577=1,IF(ABS(O577-P577)=2,1,0),"")</f>
        <v/>
      </c>
      <c r="U577" s="25">
        <f>IF(H577="","","|"&amp;SUBSTITUTE(SUBSTITUTE(TRIM(H577)," |","|"),"| ","|")&amp;"|")</f>
        <v/>
      </c>
      <c r="V577" s="25">
        <f>IF(AND(Q577=1,B577&lt;&gt;""),IF(IFERROR(COUNTIFS(B$3:B577,"="&amp;SUBSTITUTE(SUBSTITUTE(SUBSTITUTE(B577,"~","~~"),"*","~*"),"?","~?"),Q$3:Q577,1),0)=1,MAX(V$2:V576)+1,""),"")</f>
        <v/>
      </c>
      <c r="W577" s="25">
        <f>IF(V577="","",COUNTIFS($B$3:$B$1002,"="&amp;SUBSTITUTE(SUBSTITUTE(SUBSTITUTE(B577,"~","~~"),"*","~*"),"?","~?"),$Q$3:$Q$1002,1)*10000-V577)</f>
        <v/>
      </c>
      <c r="X577" s="25">
        <f>IF(Q577=1,IF(SUBSTITUTE(SUBSTITUTE(SUBSTITUTE(SUBSTITUTE(SUBSTITUTE(SUBSTITUTE(SUBSTITUTE(SUBSTITUTE(SUBSTITUTE(SUBSTITUTE(SUBSTITUTE(SUBSTITUTE(LOWER(TRIM(A577)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577)),"á","a"),"é","e"),"í","i"),"ó","o"),"ú","u"),"ü","u"),"ñ","n"),"à","a"),"è","e"),"ì","i"),"ò","o"),"ù","u")),"")</f>
        <v/>
      </c>
      <c r="Y577" s="25">
        <f>IF(X577="","",IF(IFERROR(COUNTIF(X$3:X577,"="&amp;SUBSTITUTE(SUBSTITUTE(SUBSTITUTE(X577,"~","~~"),"*","~*"),"?","~?")),0)=1,1,""))</f>
        <v/>
      </c>
      <c r="Z577" s="25">
        <f>IF(T577=1,MAX(Z$2:Z576)+1,"")</f>
        <v/>
      </c>
    </row>
    <row r="578">
      <c r="A578">
        <f>IF(A$2=0,"",IFERROR(TRIM(INDEX('Pegar calibracion'!$A$1:$BZ$1001,577,A$2)&amp;""),""))</f>
        <v/>
      </c>
      <c r="B578">
        <f>IF(B$2=0,"",IFERROR(TRIM(INDEX('Pegar calibracion'!$A$1:$BZ$1001,577,B$2)&amp;""),""))</f>
        <v/>
      </c>
      <c r="C578">
        <f>IF(C$2=0,"",IFERROR(TRIM(INDEX('Pegar calibracion'!$A$1:$BZ$1001,577,C$2)&amp;""),""))</f>
        <v/>
      </c>
      <c r="D578">
        <f>IF(D$2=0,"",IFERROR(TRIM(INDEX('Pegar calibracion'!$A$1:$BZ$1001,577,D$2)&amp;""),""))</f>
        <v/>
      </c>
      <c r="E578">
        <f>IF(E$2=0,"",IFERROR(TRIM(INDEX('Pegar calibracion'!$A$1:$BZ$1001,577,E$2)&amp;""),""))</f>
        <v/>
      </c>
      <c r="F578">
        <f>IF(F$2=0,"",IFERROR(TRIM(INDEX('Pegar calibracion'!$A$1:$BZ$1001,577,F$2)&amp;""),""))</f>
        <v/>
      </c>
      <c r="G578">
        <f>IF(G$2=0,"",IFERROR(TRIM(INDEX('Pegar calibracion'!$A$1:$BZ$1001,577,G$2)&amp;""),""))</f>
        <v/>
      </c>
      <c r="H578">
        <f>IF(H$2=0,"",IFERROR(TRIM(INDEX('Pegar calibracion'!$A$1:$BZ$1001,577,H$2)&amp;""),""))</f>
        <v/>
      </c>
      <c r="I578">
        <f>IF(I$2=0,"",IFERROR(TRIM(INDEX('Pegar calibracion'!$A$1:$BZ$1001,577,I$2)&amp;""),""))</f>
        <v/>
      </c>
      <c r="J578">
        <f>IF(J$2=0,"",IFERROR(TRIM(INDEX('Pegar calibracion'!$A$1:$BZ$1001,577,J$2)&amp;""),""))</f>
        <v/>
      </c>
      <c r="K578">
        <f>IF(K$2=0,"",IFERROR(TRIM(INDEX('Pegar calibracion'!$A$1:$BZ$1001,577,K$2)&amp;""),""))</f>
        <v/>
      </c>
      <c r="L578">
        <f>IF(L$2=0,"",IFERROR(TRIM(INDEX('Pegar calibracion'!$A$1:$BZ$1001,577,L$2)&amp;""),""))</f>
        <v/>
      </c>
      <c r="M578" s="25">
        <f>IF(D578="","",SUBSTITUTE(SUBSTITUTE(SUBSTITUTE(SUBSTITUTE(SUBSTITUTE(SUBSTITUTE(SUBSTITUTE(SUBSTITUTE(SUBSTITUTE(SUBSTITUTE(SUBSTITUTE(SUBSTITUTE(LOWER(TRIM(D578)),"á","a"),"é","e"),"í","i"),"ó","o"),"ú","u"),"ü","u"),"ñ","n"),"à","a"),"è","e"),"ì","i"),"ò","o"),"ù","u"))</f>
        <v/>
      </c>
      <c r="N578" s="25">
        <f>IF(F578="","",SUBSTITUTE(SUBSTITUTE(SUBSTITUTE(SUBSTITUTE(SUBSTITUTE(SUBSTITUTE(SUBSTITUTE(SUBSTITUTE(SUBSTITUTE(SUBSTITUTE(SUBSTITUTE(SUBSTITUTE(LOWER(TRIM(F578)),"á","a"),"é","e"),"í","i"),"ó","o"),"ú","u"),"ü","u"),"ñ","n"),"à","a"),"è","e"),"ì","i"),"ò","o"),"ù","u"))</f>
        <v/>
      </c>
      <c r="O578" s="25">
        <f>IF(M578="confiable",2,IF(M578="dudosa",1,IF(M578="no confiable",0,"")))</f>
        <v/>
      </c>
      <c r="P578" s="25">
        <f>IF(N578="confiable",2,IF(N578="dudosa",1,IF(N578="no confiable",0,"")))</f>
        <v/>
      </c>
      <c r="Q578" s="25">
        <f>IF(AND(ISNUMBER(O578),ISNUMBER(P578)),1,"")</f>
        <v/>
      </c>
      <c r="R578" s="25">
        <f>IF(Q578=1,IF(O578=P578,"Sí","No"),"")</f>
        <v/>
      </c>
      <c r="S578" s="25">
        <f>IF(Q578=1,IF(P578&lt;O578,"Más estricto",IF(P578&gt;O578,"Más permisivo","Igual")),"")</f>
        <v/>
      </c>
      <c r="T578" s="25">
        <f>IF(Q578=1,IF(ABS(O578-P578)=2,1,0),"")</f>
        <v/>
      </c>
      <c r="U578" s="25">
        <f>IF(H578="","","|"&amp;SUBSTITUTE(SUBSTITUTE(TRIM(H578)," |","|"),"| ","|")&amp;"|")</f>
        <v/>
      </c>
      <c r="V578" s="25">
        <f>IF(AND(Q578=1,B578&lt;&gt;""),IF(IFERROR(COUNTIFS(B$3:B578,"="&amp;SUBSTITUTE(SUBSTITUTE(SUBSTITUTE(B578,"~","~~"),"*","~*"),"?","~?"),Q$3:Q578,1),0)=1,MAX(V$2:V577)+1,""),"")</f>
        <v/>
      </c>
      <c r="W578" s="25">
        <f>IF(V578="","",COUNTIFS($B$3:$B$1002,"="&amp;SUBSTITUTE(SUBSTITUTE(SUBSTITUTE(B578,"~","~~"),"*","~*"),"?","~?"),$Q$3:$Q$1002,1)*10000-V578)</f>
        <v/>
      </c>
      <c r="X578" s="25">
        <f>IF(Q578=1,IF(SUBSTITUTE(SUBSTITUTE(SUBSTITUTE(SUBSTITUTE(SUBSTITUTE(SUBSTITUTE(SUBSTITUTE(SUBSTITUTE(SUBSTITUTE(SUBSTITUTE(SUBSTITUTE(SUBSTITUTE(LOWER(TRIM(A578)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578)),"á","a"),"é","e"),"í","i"),"ó","o"),"ú","u"),"ü","u"),"ñ","n"),"à","a"),"è","e"),"ì","i"),"ò","o"),"ù","u")),"")</f>
        <v/>
      </c>
      <c r="Y578" s="25">
        <f>IF(X578="","",IF(IFERROR(COUNTIF(X$3:X578,"="&amp;SUBSTITUTE(SUBSTITUTE(SUBSTITUTE(X578,"~","~~"),"*","~*"),"?","~?")),0)=1,1,""))</f>
        <v/>
      </c>
      <c r="Z578" s="25">
        <f>IF(T578=1,MAX(Z$2:Z577)+1,"")</f>
        <v/>
      </c>
    </row>
    <row r="579">
      <c r="A579">
        <f>IF(A$2=0,"",IFERROR(TRIM(INDEX('Pegar calibracion'!$A$1:$BZ$1001,578,A$2)&amp;""),""))</f>
        <v/>
      </c>
      <c r="B579">
        <f>IF(B$2=0,"",IFERROR(TRIM(INDEX('Pegar calibracion'!$A$1:$BZ$1001,578,B$2)&amp;""),""))</f>
        <v/>
      </c>
      <c r="C579">
        <f>IF(C$2=0,"",IFERROR(TRIM(INDEX('Pegar calibracion'!$A$1:$BZ$1001,578,C$2)&amp;""),""))</f>
        <v/>
      </c>
      <c r="D579">
        <f>IF(D$2=0,"",IFERROR(TRIM(INDEX('Pegar calibracion'!$A$1:$BZ$1001,578,D$2)&amp;""),""))</f>
        <v/>
      </c>
      <c r="E579">
        <f>IF(E$2=0,"",IFERROR(TRIM(INDEX('Pegar calibracion'!$A$1:$BZ$1001,578,E$2)&amp;""),""))</f>
        <v/>
      </c>
      <c r="F579">
        <f>IF(F$2=0,"",IFERROR(TRIM(INDEX('Pegar calibracion'!$A$1:$BZ$1001,578,F$2)&amp;""),""))</f>
        <v/>
      </c>
      <c r="G579">
        <f>IF(G$2=0,"",IFERROR(TRIM(INDEX('Pegar calibracion'!$A$1:$BZ$1001,578,G$2)&amp;""),""))</f>
        <v/>
      </c>
      <c r="H579">
        <f>IF(H$2=0,"",IFERROR(TRIM(INDEX('Pegar calibracion'!$A$1:$BZ$1001,578,H$2)&amp;""),""))</f>
        <v/>
      </c>
      <c r="I579">
        <f>IF(I$2=0,"",IFERROR(TRIM(INDEX('Pegar calibracion'!$A$1:$BZ$1001,578,I$2)&amp;""),""))</f>
        <v/>
      </c>
      <c r="J579">
        <f>IF(J$2=0,"",IFERROR(TRIM(INDEX('Pegar calibracion'!$A$1:$BZ$1001,578,J$2)&amp;""),""))</f>
        <v/>
      </c>
      <c r="K579">
        <f>IF(K$2=0,"",IFERROR(TRIM(INDEX('Pegar calibracion'!$A$1:$BZ$1001,578,K$2)&amp;""),""))</f>
        <v/>
      </c>
      <c r="L579">
        <f>IF(L$2=0,"",IFERROR(TRIM(INDEX('Pegar calibracion'!$A$1:$BZ$1001,578,L$2)&amp;""),""))</f>
        <v/>
      </c>
      <c r="M579" s="25">
        <f>IF(D579="","",SUBSTITUTE(SUBSTITUTE(SUBSTITUTE(SUBSTITUTE(SUBSTITUTE(SUBSTITUTE(SUBSTITUTE(SUBSTITUTE(SUBSTITUTE(SUBSTITUTE(SUBSTITUTE(SUBSTITUTE(LOWER(TRIM(D579)),"á","a"),"é","e"),"í","i"),"ó","o"),"ú","u"),"ü","u"),"ñ","n"),"à","a"),"è","e"),"ì","i"),"ò","o"),"ù","u"))</f>
        <v/>
      </c>
      <c r="N579" s="25">
        <f>IF(F579="","",SUBSTITUTE(SUBSTITUTE(SUBSTITUTE(SUBSTITUTE(SUBSTITUTE(SUBSTITUTE(SUBSTITUTE(SUBSTITUTE(SUBSTITUTE(SUBSTITUTE(SUBSTITUTE(SUBSTITUTE(LOWER(TRIM(F579)),"á","a"),"é","e"),"í","i"),"ó","o"),"ú","u"),"ü","u"),"ñ","n"),"à","a"),"è","e"),"ì","i"),"ò","o"),"ù","u"))</f>
        <v/>
      </c>
      <c r="O579" s="25">
        <f>IF(M579="confiable",2,IF(M579="dudosa",1,IF(M579="no confiable",0,"")))</f>
        <v/>
      </c>
      <c r="P579" s="25">
        <f>IF(N579="confiable",2,IF(N579="dudosa",1,IF(N579="no confiable",0,"")))</f>
        <v/>
      </c>
      <c r="Q579" s="25">
        <f>IF(AND(ISNUMBER(O579),ISNUMBER(P579)),1,"")</f>
        <v/>
      </c>
      <c r="R579" s="25">
        <f>IF(Q579=1,IF(O579=P579,"Sí","No"),"")</f>
        <v/>
      </c>
      <c r="S579" s="25">
        <f>IF(Q579=1,IF(P579&lt;O579,"Más estricto",IF(P579&gt;O579,"Más permisivo","Igual")),"")</f>
        <v/>
      </c>
      <c r="T579" s="25">
        <f>IF(Q579=1,IF(ABS(O579-P579)=2,1,0),"")</f>
        <v/>
      </c>
      <c r="U579" s="25">
        <f>IF(H579="","","|"&amp;SUBSTITUTE(SUBSTITUTE(TRIM(H579)," |","|"),"| ","|")&amp;"|")</f>
        <v/>
      </c>
      <c r="V579" s="25">
        <f>IF(AND(Q579=1,B579&lt;&gt;""),IF(IFERROR(COUNTIFS(B$3:B579,"="&amp;SUBSTITUTE(SUBSTITUTE(SUBSTITUTE(B579,"~","~~"),"*","~*"),"?","~?"),Q$3:Q579,1),0)=1,MAX(V$2:V578)+1,""),"")</f>
        <v/>
      </c>
      <c r="W579" s="25">
        <f>IF(V579="","",COUNTIFS($B$3:$B$1002,"="&amp;SUBSTITUTE(SUBSTITUTE(SUBSTITUTE(B579,"~","~~"),"*","~*"),"?","~?"),$Q$3:$Q$1002,1)*10000-V579)</f>
        <v/>
      </c>
      <c r="X579" s="25">
        <f>IF(Q579=1,IF(SUBSTITUTE(SUBSTITUTE(SUBSTITUTE(SUBSTITUTE(SUBSTITUTE(SUBSTITUTE(SUBSTITUTE(SUBSTITUTE(SUBSTITUTE(SUBSTITUTE(SUBSTITUTE(SUBSTITUTE(LOWER(TRIM(A579)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579)),"á","a"),"é","e"),"í","i"),"ó","o"),"ú","u"),"ü","u"),"ñ","n"),"à","a"),"è","e"),"ì","i"),"ò","o"),"ù","u")),"")</f>
        <v/>
      </c>
      <c r="Y579" s="25">
        <f>IF(X579="","",IF(IFERROR(COUNTIF(X$3:X579,"="&amp;SUBSTITUTE(SUBSTITUTE(SUBSTITUTE(X579,"~","~~"),"*","~*"),"?","~?")),0)=1,1,""))</f>
        <v/>
      </c>
      <c r="Z579" s="25">
        <f>IF(T579=1,MAX(Z$2:Z578)+1,"")</f>
        <v/>
      </c>
    </row>
    <row r="580">
      <c r="A580">
        <f>IF(A$2=0,"",IFERROR(TRIM(INDEX('Pegar calibracion'!$A$1:$BZ$1001,579,A$2)&amp;""),""))</f>
        <v/>
      </c>
      <c r="B580">
        <f>IF(B$2=0,"",IFERROR(TRIM(INDEX('Pegar calibracion'!$A$1:$BZ$1001,579,B$2)&amp;""),""))</f>
        <v/>
      </c>
      <c r="C580">
        <f>IF(C$2=0,"",IFERROR(TRIM(INDEX('Pegar calibracion'!$A$1:$BZ$1001,579,C$2)&amp;""),""))</f>
        <v/>
      </c>
      <c r="D580">
        <f>IF(D$2=0,"",IFERROR(TRIM(INDEX('Pegar calibracion'!$A$1:$BZ$1001,579,D$2)&amp;""),""))</f>
        <v/>
      </c>
      <c r="E580">
        <f>IF(E$2=0,"",IFERROR(TRIM(INDEX('Pegar calibracion'!$A$1:$BZ$1001,579,E$2)&amp;""),""))</f>
        <v/>
      </c>
      <c r="F580">
        <f>IF(F$2=0,"",IFERROR(TRIM(INDEX('Pegar calibracion'!$A$1:$BZ$1001,579,F$2)&amp;""),""))</f>
        <v/>
      </c>
      <c r="G580">
        <f>IF(G$2=0,"",IFERROR(TRIM(INDEX('Pegar calibracion'!$A$1:$BZ$1001,579,G$2)&amp;""),""))</f>
        <v/>
      </c>
      <c r="H580">
        <f>IF(H$2=0,"",IFERROR(TRIM(INDEX('Pegar calibracion'!$A$1:$BZ$1001,579,H$2)&amp;""),""))</f>
        <v/>
      </c>
      <c r="I580">
        <f>IF(I$2=0,"",IFERROR(TRIM(INDEX('Pegar calibracion'!$A$1:$BZ$1001,579,I$2)&amp;""),""))</f>
        <v/>
      </c>
      <c r="J580">
        <f>IF(J$2=0,"",IFERROR(TRIM(INDEX('Pegar calibracion'!$A$1:$BZ$1001,579,J$2)&amp;""),""))</f>
        <v/>
      </c>
      <c r="K580">
        <f>IF(K$2=0,"",IFERROR(TRIM(INDEX('Pegar calibracion'!$A$1:$BZ$1001,579,K$2)&amp;""),""))</f>
        <v/>
      </c>
      <c r="L580">
        <f>IF(L$2=0,"",IFERROR(TRIM(INDEX('Pegar calibracion'!$A$1:$BZ$1001,579,L$2)&amp;""),""))</f>
        <v/>
      </c>
      <c r="M580" s="25">
        <f>IF(D580="","",SUBSTITUTE(SUBSTITUTE(SUBSTITUTE(SUBSTITUTE(SUBSTITUTE(SUBSTITUTE(SUBSTITUTE(SUBSTITUTE(SUBSTITUTE(SUBSTITUTE(SUBSTITUTE(SUBSTITUTE(LOWER(TRIM(D580)),"á","a"),"é","e"),"í","i"),"ó","o"),"ú","u"),"ü","u"),"ñ","n"),"à","a"),"è","e"),"ì","i"),"ò","o"),"ù","u"))</f>
        <v/>
      </c>
      <c r="N580" s="25">
        <f>IF(F580="","",SUBSTITUTE(SUBSTITUTE(SUBSTITUTE(SUBSTITUTE(SUBSTITUTE(SUBSTITUTE(SUBSTITUTE(SUBSTITUTE(SUBSTITUTE(SUBSTITUTE(SUBSTITUTE(SUBSTITUTE(LOWER(TRIM(F580)),"á","a"),"é","e"),"í","i"),"ó","o"),"ú","u"),"ü","u"),"ñ","n"),"à","a"),"è","e"),"ì","i"),"ò","o"),"ù","u"))</f>
        <v/>
      </c>
      <c r="O580" s="25">
        <f>IF(M580="confiable",2,IF(M580="dudosa",1,IF(M580="no confiable",0,"")))</f>
        <v/>
      </c>
      <c r="P580" s="25">
        <f>IF(N580="confiable",2,IF(N580="dudosa",1,IF(N580="no confiable",0,"")))</f>
        <v/>
      </c>
      <c r="Q580" s="25">
        <f>IF(AND(ISNUMBER(O580),ISNUMBER(P580)),1,"")</f>
        <v/>
      </c>
      <c r="R580" s="25">
        <f>IF(Q580=1,IF(O580=P580,"Sí","No"),"")</f>
        <v/>
      </c>
      <c r="S580" s="25">
        <f>IF(Q580=1,IF(P580&lt;O580,"Más estricto",IF(P580&gt;O580,"Más permisivo","Igual")),"")</f>
        <v/>
      </c>
      <c r="T580" s="25">
        <f>IF(Q580=1,IF(ABS(O580-P580)=2,1,0),"")</f>
        <v/>
      </c>
      <c r="U580" s="25">
        <f>IF(H580="","","|"&amp;SUBSTITUTE(SUBSTITUTE(TRIM(H580)," |","|"),"| ","|")&amp;"|")</f>
        <v/>
      </c>
      <c r="V580" s="25">
        <f>IF(AND(Q580=1,B580&lt;&gt;""),IF(IFERROR(COUNTIFS(B$3:B580,"="&amp;SUBSTITUTE(SUBSTITUTE(SUBSTITUTE(B580,"~","~~"),"*","~*"),"?","~?"),Q$3:Q580,1),0)=1,MAX(V$2:V579)+1,""),"")</f>
        <v/>
      </c>
      <c r="W580" s="25">
        <f>IF(V580="","",COUNTIFS($B$3:$B$1002,"="&amp;SUBSTITUTE(SUBSTITUTE(SUBSTITUTE(B580,"~","~~"),"*","~*"),"?","~?"),$Q$3:$Q$1002,1)*10000-V580)</f>
        <v/>
      </c>
      <c r="X580" s="25">
        <f>IF(Q580=1,IF(SUBSTITUTE(SUBSTITUTE(SUBSTITUTE(SUBSTITUTE(SUBSTITUTE(SUBSTITUTE(SUBSTITUTE(SUBSTITUTE(SUBSTITUTE(SUBSTITUTE(SUBSTITUTE(SUBSTITUTE(LOWER(TRIM(A580)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580)),"á","a"),"é","e"),"í","i"),"ó","o"),"ú","u"),"ü","u"),"ñ","n"),"à","a"),"è","e"),"ì","i"),"ò","o"),"ù","u")),"")</f>
        <v/>
      </c>
      <c r="Y580" s="25">
        <f>IF(X580="","",IF(IFERROR(COUNTIF(X$3:X580,"="&amp;SUBSTITUTE(SUBSTITUTE(SUBSTITUTE(X580,"~","~~"),"*","~*"),"?","~?")),0)=1,1,""))</f>
        <v/>
      </c>
      <c r="Z580" s="25">
        <f>IF(T580=1,MAX(Z$2:Z579)+1,"")</f>
        <v/>
      </c>
    </row>
    <row r="581">
      <c r="A581">
        <f>IF(A$2=0,"",IFERROR(TRIM(INDEX('Pegar calibracion'!$A$1:$BZ$1001,580,A$2)&amp;""),""))</f>
        <v/>
      </c>
      <c r="B581">
        <f>IF(B$2=0,"",IFERROR(TRIM(INDEX('Pegar calibracion'!$A$1:$BZ$1001,580,B$2)&amp;""),""))</f>
        <v/>
      </c>
      <c r="C581">
        <f>IF(C$2=0,"",IFERROR(TRIM(INDEX('Pegar calibracion'!$A$1:$BZ$1001,580,C$2)&amp;""),""))</f>
        <v/>
      </c>
      <c r="D581">
        <f>IF(D$2=0,"",IFERROR(TRIM(INDEX('Pegar calibracion'!$A$1:$BZ$1001,580,D$2)&amp;""),""))</f>
        <v/>
      </c>
      <c r="E581">
        <f>IF(E$2=0,"",IFERROR(TRIM(INDEX('Pegar calibracion'!$A$1:$BZ$1001,580,E$2)&amp;""),""))</f>
        <v/>
      </c>
      <c r="F581">
        <f>IF(F$2=0,"",IFERROR(TRIM(INDEX('Pegar calibracion'!$A$1:$BZ$1001,580,F$2)&amp;""),""))</f>
        <v/>
      </c>
      <c r="G581">
        <f>IF(G$2=0,"",IFERROR(TRIM(INDEX('Pegar calibracion'!$A$1:$BZ$1001,580,G$2)&amp;""),""))</f>
        <v/>
      </c>
      <c r="H581">
        <f>IF(H$2=0,"",IFERROR(TRIM(INDEX('Pegar calibracion'!$A$1:$BZ$1001,580,H$2)&amp;""),""))</f>
        <v/>
      </c>
      <c r="I581">
        <f>IF(I$2=0,"",IFERROR(TRIM(INDEX('Pegar calibracion'!$A$1:$BZ$1001,580,I$2)&amp;""),""))</f>
        <v/>
      </c>
      <c r="J581">
        <f>IF(J$2=0,"",IFERROR(TRIM(INDEX('Pegar calibracion'!$A$1:$BZ$1001,580,J$2)&amp;""),""))</f>
        <v/>
      </c>
      <c r="K581">
        <f>IF(K$2=0,"",IFERROR(TRIM(INDEX('Pegar calibracion'!$A$1:$BZ$1001,580,K$2)&amp;""),""))</f>
        <v/>
      </c>
      <c r="L581">
        <f>IF(L$2=0,"",IFERROR(TRIM(INDEX('Pegar calibracion'!$A$1:$BZ$1001,580,L$2)&amp;""),""))</f>
        <v/>
      </c>
      <c r="M581" s="25">
        <f>IF(D581="","",SUBSTITUTE(SUBSTITUTE(SUBSTITUTE(SUBSTITUTE(SUBSTITUTE(SUBSTITUTE(SUBSTITUTE(SUBSTITUTE(SUBSTITUTE(SUBSTITUTE(SUBSTITUTE(SUBSTITUTE(LOWER(TRIM(D581)),"á","a"),"é","e"),"í","i"),"ó","o"),"ú","u"),"ü","u"),"ñ","n"),"à","a"),"è","e"),"ì","i"),"ò","o"),"ù","u"))</f>
        <v/>
      </c>
      <c r="N581" s="25">
        <f>IF(F581="","",SUBSTITUTE(SUBSTITUTE(SUBSTITUTE(SUBSTITUTE(SUBSTITUTE(SUBSTITUTE(SUBSTITUTE(SUBSTITUTE(SUBSTITUTE(SUBSTITUTE(SUBSTITUTE(SUBSTITUTE(LOWER(TRIM(F581)),"á","a"),"é","e"),"í","i"),"ó","o"),"ú","u"),"ü","u"),"ñ","n"),"à","a"),"è","e"),"ì","i"),"ò","o"),"ù","u"))</f>
        <v/>
      </c>
      <c r="O581" s="25">
        <f>IF(M581="confiable",2,IF(M581="dudosa",1,IF(M581="no confiable",0,"")))</f>
        <v/>
      </c>
      <c r="P581" s="25">
        <f>IF(N581="confiable",2,IF(N581="dudosa",1,IF(N581="no confiable",0,"")))</f>
        <v/>
      </c>
      <c r="Q581" s="25">
        <f>IF(AND(ISNUMBER(O581),ISNUMBER(P581)),1,"")</f>
        <v/>
      </c>
      <c r="R581" s="25">
        <f>IF(Q581=1,IF(O581=P581,"Sí","No"),"")</f>
        <v/>
      </c>
      <c r="S581" s="25">
        <f>IF(Q581=1,IF(P581&lt;O581,"Más estricto",IF(P581&gt;O581,"Más permisivo","Igual")),"")</f>
        <v/>
      </c>
      <c r="T581" s="25">
        <f>IF(Q581=1,IF(ABS(O581-P581)=2,1,0),"")</f>
        <v/>
      </c>
      <c r="U581" s="25">
        <f>IF(H581="","","|"&amp;SUBSTITUTE(SUBSTITUTE(TRIM(H581)," |","|"),"| ","|")&amp;"|")</f>
        <v/>
      </c>
      <c r="V581" s="25">
        <f>IF(AND(Q581=1,B581&lt;&gt;""),IF(IFERROR(COUNTIFS(B$3:B581,"="&amp;SUBSTITUTE(SUBSTITUTE(SUBSTITUTE(B581,"~","~~"),"*","~*"),"?","~?"),Q$3:Q581,1),0)=1,MAX(V$2:V580)+1,""),"")</f>
        <v/>
      </c>
      <c r="W581" s="25">
        <f>IF(V581="","",COUNTIFS($B$3:$B$1002,"="&amp;SUBSTITUTE(SUBSTITUTE(SUBSTITUTE(B581,"~","~~"),"*","~*"),"?","~?"),$Q$3:$Q$1002,1)*10000-V581)</f>
        <v/>
      </c>
      <c r="X581" s="25">
        <f>IF(Q581=1,IF(SUBSTITUTE(SUBSTITUTE(SUBSTITUTE(SUBSTITUTE(SUBSTITUTE(SUBSTITUTE(SUBSTITUTE(SUBSTITUTE(SUBSTITUTE(SUBSTITUTE(SUBSTITUTE(SUBSTITUTE(LOWER(TRIM(A581)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581)),"á","a"),"é","e"),"í","i"),"ó","o"),"ú","u"),"ü","u"),"ñ","n"),"à","a"),"è","e"),"ì","i"),"ò","o"),"ù","u")),"")</f>
        <v/>
      </c>
      <c r="Y581" s="25">
        <f>IF(X581="","",IF(IFERROR(COUNTIF(X$3:X581,"="&amp;SUBSTITUTE(SUBSTITUTE(SUBSTITUTE(X581,"~","~~"),"*","~*"),"?","~?")),0)=1,1,""))</f>
        <v/>
      </c>
      <c r="Z581" s="25">
        <f>IF(T581=1,MAX(Z$2:Z580)+1,"")</f>
        <v/>
      </c>
    </row>
    <row r="582">
      <c r="A582">
        <f>IF(A$2=0,"",IFERROR(TRIM(INDEX('Pegar calibracion'!$A$1:$BZ$1001,581,A$2)&amp;""),""))</f>
        <v/>
      </c>
      <c r="B582">
        <f>IF(B$2=0,"",IFERROR(TRIM(INDEX('Pegar calibracion'!$A$1:$BZ$1001,581,B$2)&amp;""),""))</f>
        <v/>
      </c>
      <c r="C582">
        <f>IF(C$2=0,"",IFERROR(TRIM(INDEX('Pegar calibracion'!$A$1:$BZ$1001,581,C$2)&amp;""),""))</f>
        <v/>
      </c>
      <c r="D582">
        <f>IF(D$2=0,"",IFERROR(TRIM(INDEX('Pegar calibracion'!$A$1:$BZ$1001,581,D$2)&amp;""),""))</f>
        <v/>
      </c>
      <c r="E582">
        <f>IF(E$2=0,"",IFERROR(TRIM(INDEX('Pegar calibracion'!$A$1:$BZ$1001,581,E$2)&amp;""),""))</f>
        <v/>
      </c>
      <c r="F582">
        <f>IF(F$2=0,"",IFERROR(TRIM(INDEX('Pegar calibracion'!$A$1:$BZ$1001,581,F$2)&amp;""),""))</f>
        <v/>
      </c>
      <c r="G582">
        <f>IF(G$2=0,"",IFERROR(TRIM(INDEX('Pegar calibracion'!$A$1:$BZ$1001,581,G$2)&amp;""),""))</f>
        <v/>
      </c>
      <c r="H582">
        <f>IF(H$2=0,"",IFERROR(TRIM(INDEX('Pegar calibracion'!$A$1:$BZ$1001,581,H$2)&amp;""),""))</f>
        <v/>
      </c>
      <c r="I582">
        <f>IF(I$2=0,"",IFERROR(TRIM(INDEX('Pegar calibracion'!$A$1:$BZ$1001,581,I$2)&amp;""),""))</f>
        <v/>
      </c>
      <c r="J582">
        <f>IF(J$2=0,"",IFERROR(TRIM(INDEX('Pegar calibracion'!$A$1:$BZ$1001,581,J$2)&amp;""),""))</f>
        <v/>
      </c>
      <c r="K582">
        <f>IF(K$2=0,"",IFERROR(TRIM(INDEX('Pegar calibracion'!$A$1:$BZ$1001,581,K$2)&amp;""),""))</f>
        <v/>
      </c>
      <c r="L582">
        <f>IF(L$2=0,"",IFERROR(TRIM(INDEX('Pegar calibracion'!$A$1:$BZ$1001,581,L$2)&amp;""),""))</f>
        <v/>
      </c>
      <c r="M582" s="25">
        <f>IF(D582="","",SUBSTITUTE(SUBSTITUTE(SUBSTITUTE(SUBSTITUTE(SUBSTITUTE(SUBSTITUTE(SUBSTITUTE(SUBSTITUTE(SUBSTITUTE(SUBSTITUTE(SUBSTITUTE(SUBSTITUTE(LOWER(TRIM(D582)),"á","a"),"é","e"),"í","i"),"ó","o"),"ú","u"),"ü","u"),"ñ","n"),"à","a"),"è","e"),"ì","i"),"ò","o"),"ù","u"))</f>
        <v/>
      </c>
      <c r="N582" s="25">
        <f>IF(F582="","",SUBSTITUTE(SUBSTITUTE(SUBSTITUTE(SUBSTITUTE(SUBSTITUTE(SUBSTITUTE(SUBSTITUTE(SUBSTITUTE(SUBSTITUTE(SUBSTITUTE(SUBSTITUTE(SUBSTITUTE(LOWER(TRIM(F582)),"á","a"),"é","e"),"í","i"),"ó","o"),"ú","u"),"ü","u"),"ñ","n"),"à","a"),"è","e"),"ì","i"),"ò","o"),"ù","u"))</f>
        <v/>
      </c>
      <c r="O582" s="25">
        <f>IF(M582="confiable",2,IF(M582="dudosa",1,IF(M582="no confiable",0,"")))</f>
        <v/>
      </c>
      <c r="P582" s="25">
        <f>IF(N582="confiable",2,IF(N582="dudosa",1,IF(N582="no confiable",0,"")))</f>
        <v/>
      </c>
      <c r="Q582" s="25">
        <f>IF(AND(ISNUMBER(O582),ISNUMBER(P582)),1,"")</f>
        <v/>
      </c>
      <c r="R582" s="25">
        <f>IF(Q582=1,IF(O582=P582,"Sí","No"),"")</f>
        <v/>
      </c>
      <c r="S582" s="25">
        <f>IF(Q582=1,IF(P582&lt;O582,"Más estricto",IF(P582&gt;O582,"Más permisivo","Igual")),"")</f>
        <v/>
      </c>
      <c r="T582" s="25">
        <f>IF(Q582=1,IF(ABS(O582-P582)=2,1,0),"")</f>
        <v/>
      </c>
      <c r="U582" s="25">
        <f>IF(H582="","","|"&amp;SUBSTITUTE(SUBSTITUTE(TRIM(H582)," |","|"),"| ","|")&amp;"|")</f>
        <v/>
      </c>
      <c r="V582" s="25">
        <f>IF(AND(Q582=1,B582&lt;&gt;""),IF(IFERROR(COUNTIFS(B$3:B582,"="&amp;SUBSTITUTE(SUBSTITUTE(SUBSTITUTE(B582,"~","~~"),"*","~*"),"?","~?"),Q$3:Q582,1),0)=1,MAX(V$2:V581)+1,""),"")</f>
        <v/>
      </c>
      <c r="W582" s="25">
        <f>IF(V582="","",COUNTIFS($B$3:$B$1002,"="&amp;SUBSTITUTE(SUBSTITUTE(SUBSTITUTE(B582,"~","~~"),"*","~*"),"?","~?"),$Q$3:$Q$1002,1)*10000-V582)</f>
        <v/>
      </c>
      <c r="X582" s="25">
        <f>IF(Q582=1,IF(SUBSTITUTE(SUBSTITUTE(SUBSTITUTE(SUBSTITUTE(SUBSTITUTE(SUBSTITUTE(SUBSTITUTE(SUBSTITUTE(SUBSTITUTE(SUBSTITUTE(SUBSTITUTE(SUBSTITUTE(LOWER(TRIM(A582)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582)),"á","a"),"é","e"),"í","i"),"ó","o"),"ú","u"),"ü","u"),"ñ","n"),"à","a"),"è","e"),"ì","i"),"ò","o"),"ù","u")),"")</f>
        <v/>
      </c>
      <c r="Y582" s="25">
        <f>IF(X582="","",IF(IFERROR(COUNTIF(X$3:X582,"="&amp;SUBSTITUTE(SUBSTITUTE(SUBSTITUTE(X582,"~","~~"),"*","~*"),"?","~?")),0)=1,1,""))</f>
        <v/>
      </c>
      <c r="Z582" s="25">
        <f>IF(T582=1,MAX(Z$2:Z581)+1,"")</f>
        <v/>
      </c>
    </row>
    <row r="583">
      <c r="A583">
        <f>IF(A$2=0,"",IFERROR(TRIM(INDEX('Pegar calibracion'!$A$1:$BZ$1001,582,A$2)&amp;""),""))</f>
        <v/>
      </c>
      <c r="B583">
        <f>IF(B$2=0,"",IFERROR(TRIM(INDEX('Pegar calibracion'!$A$1:$BZ$1001,582,B$2)&amp;""),""))</f>
        <v/>
      </c>
      <c r="C583">
        <f>IF(C$2=0,"",IFERROR(TRIM(INDEX('Pegar calibracion'!$A$1:$BZ$1001,582,C$2)&amp;""),""))</f>
        <v/>
      </c>
      <c r="D583">
        <f>IF(D$2=0,"",IFERROR(TRIM(INDEX('Pegar calibracion'!$A$1:$BZ$1001,582,D$2)&amp;""),""))</f>
        <v/>
      </c>
      <c r="E583">
        <f>IF(E$2=0,"",IFERROR(TRIM(INDEX('Pegar calibracion'!$A$1:$BZ$1001,582,E$2)&amp;""),""))</f>
        <v/>
      </c>
      <c r="F583">
        <f>IF(F$2=0,"",IFERROR(TRIM(INDEX('Pegar calibracion'!$A$1:$BZ$1001,582,F$2)&amp;""),""))</f>
        <v/>
      </c>
      <c r="G583">
        <f>IF(G$2=0,"",IFERROR(TRIM(INDEX('Pegar calibracion'!$A$1:$BZ$1001,582,G$2)&amp;""),""))</f>
        <v/>
      </c>
      <c r="H583">
        <f>IF(H$2=0,"",IFERROR(TRIM(INDEX('Pegar calibracion'!$A$1:$BZ$1001,582,H$2)&amp;""),""))</f>
        <v/>
      </c>
      <c r="I583">
        <f>IF(I$2=0,"",IFERROR(TRIM(INDEX('Pegar calibracion'!$A$1:$BZ$1001,582,I$2)&amp;""),""))</f>
        <v/>
      </c>
      <c r="J583">
        <f>IF(J$2=0,"",IFERROR(TRIM(INDEX('Pegar calibracion'!$A$1:$BZ$1001,582,J$2)&amp;""),""))</f>
        <v/>
      </c>
      <c r="K583">
        <f>IF(K$2=0,"",IFERROR(TRIM(INDEX('Pegar calibracion'!$A$1:$BZ$1001,582,K$2)&amp;""),""))</f>
        <v/>
      </c>
      <c r="L583">
        <f>IF(L$2=0,"",IFERROR(TRIM(INDEX('Pegar calibracion'!$A$1:$BZ$1001,582,L$2)&amp;""),""))</f>
        <v/>
      </c>
      <c r="M583" s="25">
        <f>IF(D583="","",SUBSTITUTE(SUBSTITUTE(SUBSTITUTE(SUBSTITUTE(SUBSTITUTE(SUBSTITUTE(SUBSTITUTE(SUBSTITUTE(SUBSTITUTE(SUBSTITUTE(SUBSTITUTE(SUBSTITUTE(LOWER(TRIM(D583)),"á","a"),"é","e"),"í","i"),"ó","o"),"ú","u"),"ü","u"),"ñ","n"),"à","a"),"è","e"),"ì","i"),"ò","o"),"ù","u"))</f>
        <v/>
      </c>
      <c r="N583" s="25">
        <f>IF(F583="","",SUBSTITUTE(SUBSTITUTE(SUBSTITUTE(SUBSTITUTE(SUBSTITUTE(SUBSTITUTE(SUBSTITUTE(SUBSTITUTE(SUBSTITUTE(SUBSTITUTE(SUBSTITUTE(SUBSTITUTE(LOWER(TRIM(F583)),"á","a"),"é","e"),"í","i"),"ó","o"),"ú","u"),"ü","u"),"ñ","n"),"à","a"),"è","e"),"ì","i"),"ò","o"),"ù","u"))</f>
        <v/>
      </c>
      <c r="O583" s="25">
        <f>IF(M583="confiable",2,IF(M583="dudosa",1,IF(M583="no confiable",0,"")))</f>
        <v/>
      </c>
      <c r="P583" s="25">
        <f>IF(N583="confiable",2,IF(N583="dudosa",1,IF(N583="no confiable",0,"")))</f>
        <v/>
      </c>
      <c r="Q583" s="25">
        <f>IF(AND(ISNUMBER(O583),ISNUMBER(P583)),1,"")</f>
        <v/>
      </c>
      <c r="R583" s="25">
        <f>IF(Q583=1,IF(O583=P583,"Sí","No"),"")</f>
        <v/>
      </c>
      <c r="S583" s="25">
        <f>IF(Q583=1,IF(P583&lt;O583,"Más estricto",IF(P583&gt;O583,"Más permisivo","Igual")),"")</f>
        <v/>
      </c>
      <c r="T583" s="25">
        <f>IF(Q583=1,IF(ABS(O583-P583)=2,1,0),"")</f>
        <v/>
      </c>
      <c r="U583" s="25">
        <f>IF(H583="","","|"&amp;SUBSTITUTE(SUBSTITUTE(TRIM(H583)," |","|"),"| ","|")&amp;"|")</f>
        <v/>
      </c>
      <c r="V583" s="25">
        <f>IF(AND(Q583=1,B583&lt;&gt;""),IF(IFERROR(COUNTIFS(B$3:B583,"="&amp;SUBSTITUTE(SUBSTITUTE(SUBSTITUTE(B583,"~","~~"),"*","~*"),"?","~?"),Q$3:Q583,1),0)=1,MAX(V$2:V582)+1,""),"")</f>
        <v/>
      </c>
      <c r="W583" s="25">
        <f>IF(V583="","",COUNTIFS($B$3:$B$1002,"="&amp;SUBSTITUTE(SUBSTITUTE(SUBSTITUTE(B583,"~","~~"),"*","~*"),"?","~?"),$Q$3:$Q$1002,1)*10000-V583)</f>
        <v/>
      </c>
      <c r="X583" s="25">
        <f>IF(Q583=1,IF(SUBSTITUTE(SUBSTITUTE(SUBSTITUTE(SUBSTITUTE(SUBSTITUTE(SUBSTITUTE(SUBSTITUTE(SUBSTITUTE(SUBSTITUTE(SUBSTITUTE(SUBSTITUTE(SUBSTITUTE(LOWER(TRIM(A583)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583)),"á","a"),"é","e"),"í","i"),"ó","o"),"ú","u"),"ü","u"),"ñ","n"),"à","a"),"è","e"),"ì","i"),"ò","o"),"ù","u")),"")</f>
        <v/>
      </c>
      <c r="Y583" s="25">
        <f>IF(X583="","",IF(IFERROR(COUNTIF(X$3:X583,"="&amp;SUBSTITUTE(SUBSTITUTE(SUBSTITUTE(X583,"~","~~"),"*","~*"),"?","~?")),0)=1,1,""))</f>
        <v/>
      </c>
      <c r="Z583" s="25">
        <f>IF(T583=1,MAX(Z$2:Z582)+1,"")</f>
        <v/>
      </c>
    </row>
    <row r="584">
      <c r="A584">
        <f>IF(A$2=0,"",IFERROR(TRIM(INDEX('Pegar calibracion'!$A$1:$BZ$1001,583,A$2)&amp;""),""))</f>
        <v/>
      </c>
      <c r="B584">
        <f>IF(B$2=0,"",IFERROR(TRIM(INDEX('Pegar calibracion'!$A$1:$BZ$1001,583,B$2)&amp;""),""))</f>
        <v/>
      </c>
      <c r="C584">
        <f>IF(C$2=0,"",IFERROR(TRIM(INDEX('Pegar calibracion'!$A$1:$BZ$1001,583,C$2)&amp;""),""))</f>
        <v/>
      </c>
      <c r="D584">
        <f>IF(D$2=0,"",IFERROR(TRIM(INDEX('Pegar calibracion'!$A$1:$BZ$1001,583,D$2)&amp;""),""))</f>
        <v/>
      </c>
      <c r="E584">
        <f>IF(E$2=0,"",IFERROR(TRIM(INDEX('Pegar calibracion'!$A$1:$BZ$1001,583,E$2)&amp;""),""))</f>
        <v/>
      </c>
      <c r="F584">
        <f>IF(F$2=0,"",IFERROR(TRIM(INDEX('Pegar calibracion'!$A$1:$BZ$1001,583,F$2)&amp;""),""))</f>
        <v/>
      </c>
      <c r="G584">
        <f>IF(G$2=0,"",IFERROR(TRIM(INDEX('Pegar calibracion'!$A$1:$BZ$1001,583,G$2)&amp;""),""))</f>
        <v/>
      </c>
      <c r="H584">
        <f>IF(H$2=0,"",IFERROR(TRIM(INDEX('Pegar calibracion'!$A$1:$BZ$1001,583,H$2)&amp;""),""))</f>
        <v/>
      </c>
      <c r="I584">
        <f>IF(I$2=0,"",IFERROR(TRIM(INDEX('Pegar calibracion'!$A$1:$BZ$1001,583,I$2)&amp;""),""))</f>
        <v/>
      </c>
      <c r="J584">
        <f>IF(J$2=0,"",IFERROR(TRIM(INDEX('Pegar calibracion'!$A$1:$BZ$1001,583,J$2)&amp;""),""))</f>
        <v/>
      </c>
      <c r="K584">
        <f>IF(K$2=0,"",IFERROR(TRIM(INDEX('Pegar calibracion'!$A$1:$BZ$1001,583,K$2)&amp;""),""))</f>
        <v/>
      </c>
      <c r="L584">
        <f>IF(L$2=0,"",IFERROR(TRIM(INDEX('Pegar calibracion'!$A$1:$BZ$1001,583,L$2)&amp;""),""))</f>
        <v/>
      </c>
      <c r="M584" s="25">
        <f>IF(D584="","",SUBSTITUTE(SUBSTITUTE(SUBSTITUTE(SUBSTITUTE(SUBSTITUTE(SUBSTITUTE(SUBSTITUTE(SUBSTITUTE(SUBSTITUTE(SUBSTITUTE(SUBSTITUTE(SUBSTITUTE(LOWER(TRIM(D584)),"á","a"),"é","e"),"í","i"),"ó","o"),"ú","u"),"ü","u"),"ñ","n"),"à","a"),"è","e"),"ì","i"),"ò","o"),"ù","u"))</f>
        <v/>
      </c>
      <c r="N584" s="25">
        <f>IF(F584="","",SUBSTITUTE(SUBSTITUTE(SUBSTITUTE(SUBSTITUTE(SUBSTITUTE(SUBSTITUTE(SUBSTITUTE(SUBSTITUTE(SUBSTITUTE(SUBSTITUTE(SUBSTITUTE(SUBSTITUTE(LOWER(TRIM(F584)),"á","a"),"é","e"),"í","i"),"ó","o"),"ú","u"),"ü","u"),"ñ","n"),"à","a"),"è","e"),"ì","i"),"ò","o"),"ù","u"))</f>
        <v/>
      </c>
      <c r="O584" s="25">
        <f>IF(M584="confiable",2,IF(M584="dudosa",1,IF(M584="no confiable",0,"")))</f>
        <v/>
      </c>
      <c r="P584" s="25">
        <f>IF(N584="confiable",2,IF(N584="dudosa",1,IF(N584="no confiable",0,"")))</f>
        <v/>
      </c>
      <c r="Q584" s="25">
        <f>IF(AND(ISNUMBER(O584),ISNUMBER(P584)),1,"")</f>
        <v/>
      </c>
      <c r="R584" s="25">
        <f>IF(Q584=1,IF(O584=P584,"Sí","No"),"")</f>
        <v/>
      </c>
      <c r="S584" s="25">
        <f>IF(Q584=1,IF(P584&lt;O584,"Más estricto",IF(P584&gt;O584,"Más permisivo","Igual")),"")</f>
        <v/>
      </c>
      <c r="T584" s="25">
        <f>IF(Q584=1,IF(ABS(O584-P584)=2,1,0),"")</f>
        <v/>
      </c>
      <c r="U584" s="25">
        <f>IF(H584="","","|"&amp;SUBSTITUTE(SUBSTITUTE(TRIM(H584)," |","|"),"| ","|")&amp;"|")</f>
        <v/>
      </c>
      <c r="V584" s="25">
        <f>IF(AND(Q584=1,B584&lt;&gt;""),IF(IFERROR(COUNTIFS(B$3:B584,"="&amp;SUBSTITUTE(SUBSTITUTE(SUBSTITUTE(B584,"~","~~"),"*","~*"),"?","~?"),Q$3:Q584,1),0)=1,MAX(V$2:V583)+1,""),"")</f>
        <v/>
      </c>
      <c r="W584" s="25">
        <f>IF(V584="","",COUNTIFS($B$3:$B$1002,"="&amp;SUBSTITUTE(SUBSTITUTE(SUBSTITUTE(B584,"~","~~"),"*","~*"),"?","~?"),$Q$3:$Q$1002,1)*10000-V584)</f>
        <v/>
      </c>
      <c r="X584" s="25">
        <f>IF(Q584=1,IF(SUBSTITUTE(SUBSTITUTE(SUBSTITUTE(SUBSTITUTE(SUBSTITUTE(SUBSTITUTE(SUBSTITUTE(SUBSTITUTE(SUBSTITUTE(SUBSTITUTE(SUBSTITUTE(SUBSTITUTE(LOWER(TRIM(A584)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584)),"á","a"),"é","e"),"í","i"),"ó","o"),"ú","u"),"ü","u"),"ñ","n"),"à","a"),"è","e"),"ì","i"),"ò","o"),"ù","u")),"")</f>
        <v/>
      </c>
      <c r="Y584" s="25">
        <f>IF(X584="","",IF(IFERROR(COUNTIF(X$3:X584,"="&amp;SUBSTITUTE(SUBSTITUTE(SUBSTITUTE(X584,"~","~~"),"*","~*"),"?","~?")),0)=1,1,""))</f>
        <v/>
      </c>
      <c r="Z584" s="25">
        <f>IF(T584=1,MAX(Z$2:Z583)+1,"")</f>
        <v/>
      </c>
    </row>
    <row r="585">
      <c r="A585">
        <f>IF(A$2=0,"",IFERROR(TRIM(INDEX('Pegar calibracion'!$A$1:$BZ$1001,584,A$2)&amp;""),""))</f>
        <v/>
      </c>
      <c r="B585">
        <f>IF(B$2=0,"",IFERROR(TRIM(INDEX('Pegar calibracion'!$A$1:$BZ$1001,584,B$2)&amp;""),""))</f>
        <v/>
      </c>
      <c r="C585">
        <f>IF(C$2=0,"",IFERROR(TRIM(INDEX('Pegar calibracion'!$A$1:$BZ$1001,584,C$2)&amp;""),""))</f>
        <v/>
      </c>
      <c r="D585">
        <f>IF(D$2=0,"",IFERROR(TRIM(INDEX('Pegar calibracion'!$A$1:$BZ$1001,584,D$2)&amp;""),""))</f>
        <v/>
      </c>
      <c r="E585">
        <f>IF(E$2=0,"",IFERROR(TRIM(INDEX('Pegar calibracion'!$A$1:$BZ$1001,584,E$2)&amp;""),""))</f>
        <v/>
      </c>
      <c r="F585">
        <f>IF(F$2=0,"",IFERROR(TRIM(INDEX('Pegar calibracion'!$A$1:$BZ$1001,584,F$2)&amp;""),""))</f>
        <v/>
      </c>
      <c r="G585">
        <f>IF(G$2=0,"",IFERROR(TRIM(INDEX('Pegar calibracion'!$A$1:$BZ$1001,584,G$2)&amp;""),""))</f>
        <v/>
      </c>
      <c r="H585">
        <f>IF(H$2=0,"",IFERROR(TRIM(INDEX('Pegar calibracion'!$A$1:$BZ$1001,584,H$2)&amp;""),""))</f>
        <v/>
      </c>
      <c r="I585">
        <f>IF(I$2=0,"",IFERROR(TRIM(INDEX('Pegar calibracion'!$A$1:$BZ$1001,584,I$2)&amp;""),""))</f>
        <v/>
      </c>
      <c r="J585">
        <f>IF(J$2=0,"",IFERROR(TRIM(INDEX('Pegar calibracion'!$A$1:$BZ$1001,584,J$2)&amp;""),""))</f>
        <v/>
      </c>
      <c r="K585">
        <f>IF(K$2=0,"",IFERROR(TRIM(INDEX('Pegar calibracion'!$A$1:$BZ$1001,584,K$2)&amp;""),""))</f>
        <v/>
      </c>
      <c r="L585">
        <f>IF(L$2=0,"",IFERROR(TRIM(INDEX('Pegar calibracion'!$A$1:$BZ$1001,584,L$2)&amp;""),""))</f>
        <v/>
      </c>
      <c r="M585" s="25">
        <f>IF(D585="","",SUBSTITUTE(SUBSTITUTE(SUBSTITUTE(SUBSTITUTE(SUBSTITUTE(SUBSTITUTE(SUBSTITUTE(SUBSTITUTE(SUBSTITUTE(SUBSTITUTE(SUBSTITUTE(SUBSTITUTE(LOWER(TRIM(D585)),"á","a"),"é","e"),"í","i"),"ó","o"),"ú","u"),"ü","u"),"ñ","n"),"à","a"),"è","e"),"ì","i"),"ò","o"),"ù","u"))</f>
        <v/>
      </c>
      <c r="N585" s="25">
        <f>IF(F585="","",SUBSTITUTE(SUBSTITUTE(SUBSTITUTE(SUBSTITUTE(SUBSTITUTE(SUBSTITUTE(SUBSTITUTE(SUBSTITUTE(SUBSTITUTE(SUBSTITUTE(SUBSTITUTE(SUBSTITUTE(LOWER(TRIM(F585)),"á","a"),"é","e"),"í","i"),"ó","o"),"ú","u"),"ü","u"),"ñ","n"),"à","a"),"è","e"),"ì","i"),"ò","o"),"ù","u"))</f>
        <v/>
      </c>
      <c r="O585" s="25">
        <f>IF(M585="confiable",2,IF(M585="dudosa",1,IF(M585="no confiable",0,"")))</f>
        <v/>
      </c>
      <c r="P585" s="25">
        <f>IF(N585="confiable",2,IF(N585="dudosa",1,IF(N585="no confiable",0,"")))</f>
        <v/>
      </c>
      <c r="Q585" s="25">
        <f>IF(AND(ISNUMBER(O585),ISNUMBER(P585)),1,"")</f>
        <v/>
      </c>
      <c r="R585" s="25">
        <f>IF(Q585=1,IF(O585=P585,"Sí","No"),"")</f>
        <v/>
      </c>
      <c r="S585" s="25">
        <f>IF(Q585=1,IF(P585&lt;O585,"Más estricto",IF(P585&gt;O585,"Más permisivo","Igual")),"")</f>
        <v/>
      </c>
      <c r="T585" s="25">
        <f>IF(Q585=1,IF(ABS(O585-P585)=2,1,0),"")</f>
        <v/>
      </c>
      <c r="U585" s="25">
        <f>IF(H585="","","|"&amp;SUBSTITUTE(SUBSTITUTE(TRIM(H585)," |","|"),"| ","|")&amp;"|")</f>
        <v/>
      </c>
      <c r="V585" s="25">
        <f>IF(AND(Q585=1,B585&lt;&gt;""),IF(IFERROR(COUNTIFS(B$3:B585,"="&amp;SUBSTITUTE(SUBSTITUTE(SUBSTITUTE(B585,"~","~~"),"*","~*"),"?","~?"),Q$3:Q585,1),0)=1,MAX(V$2:V584)+1,""),"")</f>
        <v/>
      </c>
      <c r="W585" s="25">
        <f>IF(V585="","",COUNTIFS($B$3:$B$1002,"="&amp;SUBSTITUTE(SUBSTITUTE(SUBSTITUTE(B585,"~","~~"),"*","~*"),"?","~?"),$Q$3:$Q$1002,1)*10000-V585)</f>
        <v/>
      </c>
      <c r="X585" s="25">
        <f>IF(Q585=1,IF(SUBSTITUTE(SUBSTITUTE(SUBSTITUTE(SUBSTITUTE(SUBSTITUTE(SUBSTITUTE(SUBSTITUTE(SUBSTITUTE(SUBSTITUTE(SUBSTITUTE(SUBSTITUTE(SUBSTITUTE(LOWER(TRIM(A585)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585)),"á","a"),"é","e"),"í","i"),"ó","o"),"ú","u"),"ü","u"),"ñ","n"),"à","a"),"è","e"),"ì","i"),"ò","o"),"ù","u")),"")</f>
        <v/>
      </c>
      <c r="Y585" s="25">
        <f>IF(X585="","",IF(IFERROR(COUNTIF(X$3:X585,"="&amp;SUBSTITUTE(SUBSTITUTE(SUBSTITUTE(X585,"~","~~"),"*","~*"),"?","~?")),0)=1,1,""))</f>
        <v/>
      </c>
      <c r="Z585" s="25">
        <f>IF(T585=1,MAX(Z$2:Z584)+1,"")</f>
        <v/>
      </c>
    </row>
    <row r="586">
      <c r="A586">
        <f>IF(A$2=0,"",IFERROR(TRIM(INDEX('Pegar calibracion'!$A$1:$BZ$1001,585,A$2)&amp;""),""))</f>
        <v/>
      </c>
      <c r="B586">
        <f>IF(B$2=0,"",IFERROR(TRIM(INDEX('Pegar calibracion'!$A$1:$BZ$1001,585,B$2)&amp;""),""))</f>
        <v/>
      </c>
      <c r="C586">
        <f>IF(C$2=0,"",IFERROR(TRIM(INDEX('Pegar calibracion'!$A$1:$BZ$1001,585,C$2)&amp;""),""))</f>
        <v/>
      </c>
      <c r="D586">
        <f>IF(D$2=0,"",IFERROR(TRIM(INDEX('Pegar calibracion'!$A$1:$BZ$1001,585,D$2)&amp;""),""))</f>
        <v/>
      </c>
      <c r="E586">
        <f>IF(E$2=0,"",IFERROR(TRIM(INDEX('Pegar calibracion'!$A$1:$BZ$1001,585,E$2)&amp;""),""))</f>
        <v/>
      </c>
      <c r="F586">
        <f>IF(F$2=0,"",IFERROR(TRIM(INDEX('Pegar calibracion'!$A$1:$BZ$1001,585,F$2)&amp;""),""))</f>
        <v/>
      </c>
      <c r="G586">
        <f>IF(G$2=0,"",IFERROR(TRIM(INDEX('Pegar calibracion'!$A$1:$BZ$1001,585,G$2)&amp;""),""))</f>
        <v/>
      </c>
      <c r="H586">
        <f>IF(H$2=0,"",IFERROR(TRIM(INDEX('Pegar calibracion'!$A$1:$BZ$1001,585,H$2)&amp;""),""))</f>
        <v/>
      </c>
      <c r="I586">
        <f>IF(I$2=0,"",IFERROR(TRIM(INDEX('Pegar calibracion'!$A$1:$BZ$1001,585,I$2)&amp;""),""))</f>
        <v/>
      </c>
      <c r="J586">
        <f>IF(J$2=0,"",IFERROR(TRIM(INDEX('Pegar calibracion'!$A$1:$BZ$1001,585,J$2)&amp;""),""))</f>
        <v/>
      </c>
      <c r="K586">
        <f>IF(K$2=0,"",IFERROR(TRIM(INDEX('Pegar calibracion'!$A$1:$BZ$1001,585,K$2)&amp;""),""))</f>
        <v/>
      </c>
      <c r="L586">
        <f>IF(L$2=0,"",IFERROR(TRIM(INDEX('Pegar calibracion'!$A$1:$BZ$1001,585,L$2)&amp;""),""))</f>
        <v/>
      </c>
      <c r="M586" s="25">
        <f>IF(D586="","",SUBSTITUTE(SUBSTITUTE(SUBSTITUTE(SUBSTITUTE(SUBSTITUTE(SUBSTITUTE(SUBSTITUTE(SUBSTITUTE(SUBSTITUTE(SUBSTITUTE(SUBSTITUTE(SUBSTITUTE(LOWER(TRIM(D586)),"á","a"),"é","e"),"í","i"),"ó","o"),"ú","u"),"ü","u"),"ñ","n"),"à","a"),"è","e"),"ì","i"),"ò","o"),"ù","u"))</f>
        <v/>
      </c>
      <c r="N586" s="25">
        <f>IF(F586="","",SUBSTITUTE(SUBSTITUTE(SUBSTITUTE(SUBSTITUTE(SUBSTITUTE(SUBSTITUTE(SUBSTITUTE(SUBSTITUTE(SUBSTITUTE(SUBSTITUTE(SUBSTITUTE(SUBSTITUTE(LOWER(TRIM(F586)),"á","a"),"é","e"),"í","i"),"ó","o"),"ú","u"),"ü","u"),"ñ","n"),"à","a"),"è","e"),"ì","i"),"ò","o"),"ù","u"))</f>
        <v/>
      </c>
      <c r="O586" s="25">
        <f>IF(M586="confiable",2,IF(M586="dudosa",1,IF(M586="no confiable",0,"")))</f>
        <v/>
      </c>
      <c r="P586" s="25">
        <f>IF(N586="confiable",2,IF(N586="dudosa",1,IF(N586="no confiable",0,"")))</f>
        <v/>
      </c>
      <c r="Q586" s="25">
        <f>IF(AND(ISNUMBER(O586),ISNUMBER(P586)),1,"")</f>
        <v/>
      </c>
      <c r="R586" s="25">
        <f>IF(Q586=1,IF(O586=P586,"Sí","No"),"")</f>
        <v/>
      </c>
      <c r="S586" s="25">
        <f>IF(Q586=1,IF(P586&lt;O586,"Más estricto",IF(P586&gt;O586,"Más permisivo","Igual")),"")</f>
        <v/>
      </c>
      <c r="T586" s="25">
        <f>IF(Q586=1,IF(ABS(O586-P586)=2,1,0),"")</f>
        <v/>
      </c>
      <c r="U586" s="25">
        <f>IF(H586="","","|"&amp;SUBSTITUTE(SUBSTITUTE(TRIM(H586)," |","|"),"| ","|")&amp;"|")</f>
        <v/>
      </c>
      <c r="V586" s="25">
        <f>IF(AND(Q586=1,B586&lt;&gt;""),IF(IFERROR(COUNTIFS(B$3:B586,"="&amp;SUBSTITUTE(SUBSTITUTE(SUBSTITUTE(B586,"~","~~"),"*","~*"),"?","~?"),Q$3:Q586,1),0)=1,MAX(V$2:V585)+1,""),"")</f>
        <v/>
      </c>
      <c r="W586" s="25">
        <f>IF(V586="","",COUNTIFS($B$3:$B$1002,"="&amp;SUBSTITUTE(SUBSTITUTE(SUBSTITUTE(B586,"~","~~"),"*","~*"),"?","~?"),$Q$3:$Q$1002,1)*10000-V586)</f>
        <v/>
      </c>
      <c r="X586" s="25">
        <f>IF(Q586=1,IF(SUBSTITUTE(SUBSTITUTE(SUBSTITUTE(SUBSTITUTE(SUBSTITUTE(SUBSTITUTE(SUBSTITUTE(SUBSTITUTE(SUBSTITUTE(SUBSTITUTE(SUBSTITUTE(SUBSTITUTE(LOWER(TRIM(A586)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586)),"á","a"),"é","e"),"í","i"),"ó","o"),"ú","u"),"ü","u"),"ñ","n"),"à","a"),"è","e"),"ì","i"),"ò","o"),"ù","u")),"")</f>
        <v/>
      </c>
      <c r="Y586" s="25">
        <f>IF(X586="","",IF(IFERROR(COUNTIF(X$3:X586,"="&amp;SUBSTITUTE(SUBSTITUTE(SUBSTITUTE(X586,"~","~~"),"*","~*"),"?","~?")),0)=1,1,""))</f>
        <v/>
      </c>
      <c r="Z586" s="25">
        <f>IF(T586=1,MAX(Z$2:Z585)+1,"")</f>
        <v/>
      </c>
    </row>
    <row r="587">
      <c r="A587">
        <f>IF(A$2=0,"",IFERROR(TRIM(INDEX('Pegar calibracion'!$A$1:$BZ$1001,586,A$2)&amp;""),""))</f>
        <v/>
      </c>
      <c r="B587">
        <f>IF(B$2=0,"",IFERROR(TRIM(INDEX('Pegar calibracion'!$A$1:$BZ$1001,586,B$2)&amp;""),""))</f>
        <v/>
      </c>
      <c r="C587">
        <f>IF(C$2=0,"",IFERROR(TRIM(INDEX('Pegar calibracion'!$A$1:$BZ$1001,586,C$2)&amp;""),""))</f>
        <v/>
      </c>
      <c r="D587">
        <f>IF(D$2=0,"",IFERROR(TRIM(INDEX('Pegar calibracion'!$A$1:$BZ$1001,586,D$2)&amp;""),""))</f>
        <v/>
      </c>
      <c r="E587">
        <f>IF(E$2=0,"",IFERROR(TRIM(INDEX('Pegar calibracion'!$A$1:$BZ$1001,586,E$2)&amp;""),""))</f>
        <v/>
      </c>
      <c r="F587">
        <f>IF(F$2=0,"",IFERROR(TRIM(INDEX('Pegar calibracion'!$A$1:$BZ$1001,586,F$2)&amp;""),""))</f>
        <v/>
      </c>
      <c r="G587">
        <f>IF(G$2=0,"",IFERROR(TRIM(INDEX('Pegar calibracion'!$A$1:$BZ$1001,586,G$2)&amp;""),""))</f>
        <v/>
      </c>
      <c r="H587">
        <f>IF(H$2=0,"",IFERROR(TRIM(INDEX('Pegar calibracion'!$A$1:$BZ$1001,586,H$2)&amp;""),""))</f>
        <v/>
      </c>
      <c r="I587">
        <f>IF(I$2=0,"",IFERROR(TRIM(INDEX('Pegar calibracion'!$A$1:$BZ$1001,586,I$2)&amp;""),""))</f>
        <v/>
      </c>
      <c r="J587">
        <f>IF(J$2=0,"",IFERROR(TRIM(INDEX('Pegar calibracion'!$A$1:$BZ$1001,586,J$2)&amp;""),""))</f>
        <v/>
      </c>
      <c r="K587">
        <f>IF(K$2=0,"",IFERROR(TRIM(INDEX('Pegar calibracion'!$A$1:$BZ$1001,586,K$2)&amp;""),""))</f>
        <v/>
      </c>
      <c r="L587">
        <f>IF(L$2=0,"",IFERROR(TRIM(INDEX('Pegar calibracion'!$A$1:$BZ$1001,586,L$2)&amp;""),""))</f>
        <v/>
      </c>
      <c r="M587" s="25">
        <f>IF(D587="","",SUBSTITUTE(SUBSTITUTE(SUBSTITUTE(SUBSTITUTE(SUBSTITUTE(SUBSTITUTE(SUBSTITUTE(SUBSTITUTE(SUBSTITUTE(SUBSTITUTE(SUBSTITUTE(SUBSTITUTE(LOWER(TRIM(D587)),"á","a"),"é","e"),"í","i"),"ó","o"),"ú","u"),"ü","u"),"ñ","n"),"à","a"),"è","e"),"ì","i"),"ò","o"),"ù","u"))</f>
        <v/>
      </c>
      <c r="N587" s="25">
        <f>IF(F587="","",SUBSTITUTE(SUBSTITUTE(SUBSTITUTE(SUBSTITUTE(SUBSTITUTE(SUBSTITUTE(SUBSTITUTE(SUBSTITUTE(SUBSTITUTE(SUBSTITUTE(SUBSTITUTE(SUBSTITUTE(LOWER(TRIM(F587)),"á","a"),"é","e"),"í","i"),"ó","o"),"ú","u"),"ü","u"),"ñ","n"),"à","a"),"è","e"),"ì","i"),"ò","o"),"ù","u"))</f>
        <v/>
      </c>
      <c r="O587" s="25">
        <f>IF(M587="confiable",2,IF(M587="dudosa",1,IF(M587="no confiable",0,"")))</f>
        <v/>
      </c>
      <c r="P587" s="25">
        <f>IF(N587="confiable",2,IF(N587="dudosa",1,IF(N587="no confiable",0,"")))</f>
        <v/>
      </c>
      <c r="Q587" s="25">
        <f>IF(AND(ISNUMBER(O587),ISNUMBER(P587)),1,"")</f>
        <v/>
      </c>
      <c r="R587" s="25">
        <f>IF(Q587=1,IF(O587=P587,"Sí","No"),"")</f>
        <v/>
      </c>
      <c r="S587" s="25">
        <f>IF(Q587=1,IF(P587&lt;O587,"Más estricto",IF(P587&gt;O587,"Más permisivo","Igual")),"")</f>
        <v/>
      </c>
      <c r="T587" s="25">
        <f>IF(Q587=1,IF(ABS(O587-P587)=2,1,0),"")</f>
        <v/>
      </c>
      <c r="U587" s="25">
        <f>IF(H587="","","|"&amp;SUBSTITUTE(SUBSTITUTE(TRIM(H587)," |","|"),"| ","|")&amp;"|")</f>
        <v/>
      </c>
      <c r="V587" s="25">
        <f>IF(AND(Q587=1,B587&lt;&gt;""),IF(IFERROR(COUNTIFS(B$3:B587,"="&amp;SUBSTITUTE(SUBSTITUTE(SUBSTITUTE(B587,"~","~~"),"*","~*"),"?","~?"),Q$3:Q587,1),0)=1,MAX(V$2:V586)+1,""),"")</f>
        <v/>
      </c>
      <c r="W587" s="25">
        <f>IF(V587="","",COUNTIFS($B$3:$B$1002,"="&amp;SUBSTITUTE(SUBSTITUTE(SUBSTITUTE(B587,"~","~~"),"*","~*"),"?","~?"),$Q$3:$Q$1002,1)*10000-V587)</f>
        <v/>
      </c>
      <c r="X587" s="25">
        <f>IF(Q587=1,IF(SUBSTITUTE(SUBSTITUTE(SUBSTITUTE(SUBSTITUTE(SUBSTITUTE(SUBSTITUTE(SUBSTITUTE(SUBSTITUTE(SUBSTITUTE(SUBSTITUTE(SUBSTITUTE(SUBSTITUTE(LOWER(TRIM(A587)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587)),"á","a"),"é","e"),"í","i"),"ó","o"),"ú","u"),"ü","u"),"ñ","n"),"à","a"),"è","e"),"ì","i"),"ò","o"),"ù","u")),"")</f>
        <v/>
      </c>
      <c r="Y587" s="25">
        <f>IF(X587="","",IF(IFERROR(COUNTIF(X$3:X587,"="&amp;SUBSTITUTE(SUBSTITUTE(SUBSTITUTE(X587,"~","~~"),"*","~*"),"?","~?")),0)=1,1,""))</f>
        <v/>
      </c>
      <c r="Z587" s="25">
        <f>IF(T587=1,MAX(Z$2:Z586)+1,"")</f>
        <v/>
      </c>
    </row>
    <row r="588">
      <c r="A588">
        <f>IF(A$2=0,"",IFERROR(TRIM(INDEX('Pegar calibracion'!$A$1:$BZ$1001,587,A$2)&amp;""),""))</f>
        <v/>
      </c>
      <c r="B588">
        <f>IF(B$2=0,"",IFERROR(TRIM(INDEX('Pegar calibracion'!$A$1:$BZ$1001,587,B$2)&amp;""),""))</f>
        <v/>
      </c>
      <c r="C588">
        <f>IF(C$2=0,"",IFERROR(TRIM(INDEX('Pegar calibracion'!$A$1:$BZ$1001,587,C$2)&amp;""),""))</f>
        <v/>
      </c>
      <c r="D588">
        <f>IF(D$2=0,"",IFERROR(TRIM(INDEX('Pegar calibracion'!$A$1:$BZ$1001,587,D$2)&amp;""),""))</f>
        <v/>
      </c>
      <c r="E588">
        <f>IF(E$2=0,"",IFERROR(TRIM(INDEX('Pegar calibracion'!$A$1:$BZ$1001,587,E$2)&amp;""),""))</f>
        <v/>
      </c>
      <c r="F588">
        <f>IF(F$2=0,"",IFERROR(TRIM(INDEX('Pegar calibracion'!$A$1:$BZ$1001,587,F$2)&amp;""),""))</f>
        <v/>
      </c>
      <c r="G588">
        <f>IF(G$2=0,"",IFERROR(TRIM(INDEX('Pegar calibracion'!$A$1:$BZ$1001,587,G$2)&amp;""),""))</f>
        <v/>
      </c>
      <c r="H588">
        <f>IF(H$2=0,"",IFERROR(TRIM(INDEX('Pegar calibracion'!$A$1:$BZ$1001,587,H$2)&amp;""),""))</f>
        <v/>
      </c>
      <c r="I588">
        <f>IF(I$2=0,"",IFERROR(TRIM(INDEX('Pegar calibracion'!$A$1:$BZ$1001,587,I$2)&amp;""),""))</f>
        <v/>
      </c>
      <c r="J588">
        <f>IF(J$2=0,"",IFERROR(TRIM(INDEX('Pegar calibracion'!$A$1:$BZ$1001,587,J$2)&amp;""),""))</f>
        <v/>
      </c>
      <c r="K588">
        <f>IF(K$2=0,"",IFERROR(TRIM(INDEX('Pegar calibracion'!$A$1:$BZ$1001,587,K$2)&amp;""),""))</f>
        <v/>
      </c>
      <c r="L588">
        <f>IF(L$2=0,"",IFERROR(TRIM(INDEX('Pegar calibracion'!$A$1:$BZ$1001,587,L$2)&amp;""),""))</f>
        <v/>
      </c>
      <c r="M588" s="25">
        <f>IF(D588="","",SUBSTITUTE(SUBSTITUTE(SUBSTITUTE(SUBSTITUTE(SUBSTITUTE(SUBSTITUTE(SUBSTITUTE(SUBSTITUTE(SUBSTITUTE(SUBSTITUTE(SUBSTITUTE(SUBSTITUTE(LOWER(TRIM(D588)),"á","a"),"é","e"),"í","i"),"ó","o"),"ú","u"),"ü","u"),"ñ","n"),"à","a"),"è","e"),"ì","i"),"ò","o"),"ù","u"))</f>
        <v/>
      </c>
      <c r="N588" s="25">
        <f>IF(F588="","",SUBSTITUTE(SUBSTITUTE(SUBSTITUTE(SUBSTITUTE(SUBSTITUTE(SUBSTITUTE(SUBSTITUTE(SUBSTITUTE(SUBSTITUTE(SUBSTITUTE(SUBSTITUTE(SUBSTITUTE(LOWER(TRIM(F588)),"á","a"),"é","e"),"í","i"),"ó","o"),"ú","u"),"ü","u"),"ñ","n"),"à","a"),"è","e"),"ì","i"),"ò","o"),"ù","u"))</f>
        <v/>
      </c>
      <c r="O588" s="25">
        <f>IF(M588="confiable",2,IF(M588="dudosa",1,IF(M588="no confiable",0,"")))</f>
        <v/>
      </c>
      <c r="P588" s="25">
        <f>IF(N588="confiable",2,IF(N588="dudosa",1,IF(N588="no confiable",0,"")))</f>
        <v/>
      </c>
      <c r="Q588" s="25">
        <f>IF(AND(ISNUMBER(O588),ISNUMBER(P588)),1,"")</f>
        <v/>
      </c>
      <c r="R588" s="25">
        <f>IF(Q588=1,IF(O588=P588,"Sí","No"),"")</f>
        <v/>
      </c>
      <c r="S588" s="25">
        <f>IF(Q588=1,IF(P588&lt;O588,"Más estricto",IF(P588&gt;O588,"Más permisivo","Igual")),"")</f>
        <v/>
      </c>
      <c r="T588" s="25">
        <f>IF(Q588=1,IF(ABS(O588-P588)=2,1,0),"")</f>
        <v/>
      </c>
      <c r="U588" s="25">
        <f>IF(H588="","","|"&amp;SUBSTITUTE(SUBSTITUTE(TRIM(H588)," |","|"),"| ","|")&amp;"|")</f>
        <v/>
      </c>
      <c r="V588" s="25">
        <f>IF(AND(Q588=1,B588&lt;&gt;""),IF(IFERROR(COUNTIFS(B$3:B588,"="&amp;SUBSTITUTE(SUBSTITUTE(SUBSTITUTE(B588,"~","~~"),"*","~*"),"?","~?"),Q$3:Q588,1),0)=1,MAX(V$2:V587)+1,""),"")</f>
        <v/>
      </c>
      <c r="W588" s="25">
        <f>IF(V588="","",COUNTIFS($B$3:$B$1002,"="&amp;SUBSTITUTE(SUBSTITUTE(SUBSTITUTE(B588,"~","~~"),"*","~*"),"?","~?"),$Q$3:$Q$1002,1)*10000-V588)</f>
        <v/>
      </c>
      <c r="X588" s="25">
        <f>IF(Q588=1,IF(SUBSTITUTE(SUBSTITUTE(SUBSTITUTE(SUBSTITUTE(SUBSTITUTE(SUBSTITUTE(SUBSTITUTE(SUBSTITUTE(SUBSTITUTE(SUBSTITUTE(SUBSTITUTE(SUBSTITUTE(LOWER(TRIM(A588)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588)),"á","a"),"é","e"),"í","i"),"ó","o"),"ú","u"),"ü","u"),"ñ","n"),"à","a"),"è","e"),"ì","i"),"ò","o"),"ù","u")),"")</f>
        <v/>
      </c>
      <c r="Y588" s="25">
        <f>IF(X588="","",IF(IFERROR(COUNTIF(X$3:X588,"="&amp;SUBSTITUTE(SUBSTITUTE(SUBSTITUTE(X588,"~","~~"),"*","~*"),"?","~?")),0)=1,1,""))</f>
        <v/>
      </c>
      <c r="Z588" s="25">
        <f>IF(T588=1,MAX(Z$2:Z587)+1,"")</f>
        <v/>
      </c>
    </row>
    <row r="589">
      <c r="A589">
        <f>IF(A$2=0,"",IFERROR(TRIM(INDEX('Pegar calibracion'!$A$1:$BZ$1001,588,A$2)&amp;""),""))</f>
        <v/>
      </c>
      <c r="B589">
        <f>IF(B$2=0,"",IFERROR(TRIM(INDEX('Pegar calibracion'!$A$1:$BZ$1001,588,B$2)&amp;""),""))</f>
        <v/>
      </c>
      <c r="C589">
        <f>IF(C$2=0,"",IFERROR(TRIM(INDEX('Pegar calibracion'!$A$1:$BZ$1001,588,C$2)&amp;""),""))</f>
        <v/>
      </c>
      <c r="D589">
        <f>IF(D$2=0,"",IFERROR(TRIM(INDEX('Pegar calibracion'!$A$1:$BZ$1001,588,D$2)&amp;""),""))</f>
        <v/>
      </c>
      <c r="E589">
        <f>IF(E$2=0,"",IFERROR(TRIM(INDEX('Pegar calibracion'!$A$1:$BZ$1001,588,E$2)&amp;""),""))</f>
        <v/>
      </c>
      <c r="F589">
        <f>IF(F$2=0,"",IFERROR(TRIM(INDEX('Pegar calibracion'!$A$1:$BZ$1001,588,F$2)&amp;""),""))</f>
        <v/>
      </c>
      <c r="G589">
        <f>IF(G$2=0,"",IFERROR(TRIM(INDEX('Pegar calibracion'!$A$1:$BZ$1001,588,G$2)&amp;""),""))</f>
        <v/>
      </c>
      <c r="H589">
        <f>IF(H$2=0,"",IFERROR(TRIM(INDEX('Pegar calibracion'!$A$1:$BZ$1001,588,H$2)&amp;""),""))</f>
        <v/>
      </c>
      <c r="I589">
        <f>IF(I$2=0,"",IFERROR(TRIM(INDEX('Pegar calibracion'!$A$1:$BZ$1001,588,I$2)&amp;""),""))</f>
        <v/>
      </c>
      <c r="J589">
        <f>IF(J$2=0,"",IFERROR(TRIM(INDEX('Pegar calibracion'!$A$1:$BZ$1001,588,J$2)&amp;""),""))</f>
        <v/>
      </c>
      <c r="K589">
        <f>IF(K$2=0,"",IFERROR(TRIM(INDEX('Pegar calibracion'!$A$1:$BZ$1001,588,K$2)&amp;""),""))</f>
        <v/>
      </c>
      <c r="L589">
        <f>IF(L$2=0,"",IFERROR(TRIM(INDEX('Pegar calibracion'!$A$1:$BZ$1001,588,L$2)&amp;""),""))</f>
        <v/>
      </c>
      <c r="M589" s="25">
        <f>IF(D589="","",SUBSTITUTE(SUBSTITUTE(SUBSTITUTE(SUBSTITUTE(SUBSTITUTE(SUBSTITUTE(SUBSTITUTE(SUBSTITUTE(SUBSTITUTE(SUBSTITUTE(SUBSTITUTE(SUBSTITUTE(LOWER(TRIM(D589)),"á","a"),"é","e"),"í","i"),"ó","o"),"ú","u"),"ü","u"),"ñ","n"),"à","a"),"è","e"),"ì","i"),"ò","o"),"ù","u"))</f>
        <v/>
      </c>
      <c r="N589" s="25">
        <f>IF(F589="","",SUBSTITUTE(SUBSTITUTE(SUBSTITUTE(SUBSTITUTE(SUBSTITUTE(SUBSTITUTE(SUBSTITUTE(SUBSTITUTE(SUBSTITUTE(SUBSTITUTE(SUBSTITUTE(SUBSTITUTE(LOWER(TRIM(F589)),"á","a"),"é","e"),"í","i"),"ó","o"),"ú","u"),"ü","u"),"ñ","n"),"à","a"),"è","e"),"ì","i"),"ò","o"),"ù","u"))</f>
        <v/>
      </c>
      <c r="O589" s="25">
        <f>IF(M589="confiable",2,IF(M589="dudosa",1,IF(M589="no confiable",0,"")))</f>
        <v/>
      </c>
      <c r="P589" s="25">
        <f>IF(N589="confiable",2,IF(N589="dudosa",1,IF(N589="no confiable",0,"")))</f>
        <v/>
      </c>
      <c r="Q589" s="25">
        <f>IF(AND(ISNUMBER(O589),ISNUMBER(P589)),1,"")</f>
        <v/>
      </c>
      <c r="R589" s="25">
        <f>IF(Q589=1,IF(O589=P589,"Sí","No"),"")</f>
        <v/>
      </c>
      <c r="S589" s="25">
        <f>IF(Q589=1,IF(P589&lt;O589,"Más estricto",IF(P589&gt;O589,"Más permisivo","Igual")),"")</f>
        <v/>
      </c>
      <c r="T589" s="25">
        <f>IF(Q589=1,IF(ABS(O589-P589)=2,1,0),"")</f>
        <v/>
      </c>
      <c r="U589" s="25">
        <f>IF(H589="","","|"&amp;SUBSTITUTE(SUBSTITUTE(TRIM(H589)," |","|"),"| ","|")&amp;"|")</f>
        <v/>
      </c>
      <c r="V589" s="25">
        <f>IF(AND(Q589=1,B589&lt;&gt;""),IF(IFERROR(COUNTIFS(B$3:B589,"="&amp;SUBSTITUTE(SUBSTITUTE(SUBSTITUTE(B589,"~","~~"),"*","~*"),"?","~?"),Q$3:Q589,1),0)=1,MAX(V$2:V588)+1,""),"")</f>
        <v/>
      </c>
      <c r="W589" s="25">
        <f>IF(V589="","",COUNTIFS($B$3:$B$1002,"="&amp;SUBSTITUTE(SUBSTITUTE(SUBSTITUTE(B589,"~","~~"),"*","~*"),"?","~?"),$Q$3:$Q$1002,1)*10000-V589)</f>
        <v/>
      </c>
      <c r="X589" s="25">
        <f>IF(Q589=1,IF(SUBSTITUTE(SUBSTITUTE(SUBSTITUTE(SUBSTITUTE(SUBSTITUTE(SUBSTITUTE(SUBSTITUTE(SUBSTITUTE(SUBSTITUTE(SUBSTITUTE(SUBSTITUTE(SUBSTITUTE(LOWER(TRIM(A589)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589)),"á","a"),"é","e"),"í","i"),"ó","o"),"ú","u"),"ü","u"),"ñ","n"),"à","a"),"è","e"),"ì","i"),"ò","o"),"ù","u")),"")</f>
        <v/>
      </c>
      <c r="Y589" s="25">
        <f>IF(X589="","",IF(IFERROR(COUNTIF(X$3:X589,"="&amp;SUBSTITUTE(SUBSTITUTE(SUBSTITUTE(X589,"~","~~"),"*","~*"),"?","~?")),0)=1,1,""))</f>
        <v/>
      </c>
      <c r="Z589" s="25">
        <f>IF(T589=1,MAX(Z$2:Z588)+1,"")</f>
        <v/>
      </c>
    </row>
    <row r="590">
      <c r="A590">
        <f>IF(A$2=0,"",IFERROR(TRIM(INDEX('Pegar calibracion'!$A$1:$BZ$1001,589,A$2)&amp;""),""))</f>
        <v/>
      </c>
      <c r="B590">
        <f>IF(B$2=0,"",IFERROR(TRIM(INDEX('Pegar calibracion'!$A$1:$BZ$1001,589,B$2)&amp;""),""))</f>
        <v/>
      </c>
      <c r="C590">
        <f>IF(C$2=0,"",IFERROR(TRIM(INDEX('Pegar calibracion'!$A$1:$BZ$1001,589,C$2)&amp;""),""))</f>
        <v/>
      </c>
      <c r="D590">
        <f>IF(D$2=0,"",IFERROR(TRIM(INDEX('Pegar calibracion'!$A$1:$BZ$1001,589,D$2)&amp;""),""))</f>
        <v/>
      </c>
      <c r="E590">
        <f>IF(E$2=0,"",IFERROR(TRIM(INDEX('Pegar calibracion'!$A$1:$BZ$1001,589,E$2)&amp;""),""))</f>
        <v/>
      </c>
      <c r="F590">
        <f>IF(F$2=0,"",IFERROR(TRIM(INDEX('Pegar calibracion'!$A$1:$BZ$1001,589,F$2)&amp;""),""))</f>
        <v/>
      </c>
      <c r="G590">
        <f>IF(G$2=0,"",IFERROR(TRIM(INDEX('Pegar calibracion'!$A$1:$BZ$1001,589,G$2)&amp;""),""))</f>
        <v/>
      </c>
      <c r="H590">
        <f>IF(H$2=0,"",IFERROR(TRIM(INDEX('Pegar calibracion'!$A$1:$BZ$1001,589,H$2)&amp;""),""))</f>
        <v/>
      </c>
      <c r="I590">
        <f>IF(I$2=0,"",IFERROR(TRIM(INDEX('Pegar calibracion'!$A$1:$BZ$1001,589,I$2)&amp;""),""))</f>
        <v/>
      </c>
      <c r="J590">
        <f>IF(J$2=0,"",IFERROR(TRIM(INDEX('Pegar calibracion'!$A$1:$BZ$1001,589,J$2)&amp;""),""))</f>
        <v/>
      </c>
      <c r="K590">
        <f>IF(K$2=0,"",IFERROR(TRIM(INDEX('Pegar calibracion'!$A$1:$BZ$1001,589,K$2)&amp;""),""))</f>
        <v/>
      </c>
      <c r="L590">
        <f>IF(L$2=0,"",IFERROR(TRIM(INDEX('Pegar calibracion'!$A$1:$BZ$1001,589,L$2)&amp;""),""))</f>
        <v/>
      </c>
      <c r="M590" s="25">
        <f>IF(D590="","",SUBSTITUTE(SUBSTITUTE(SUBSTITUTE(SUBSTITUTE(SUBSTITUTE(SUBSTITUTE(SUBSTITUTE(SUBSTITUTE(SUBSTITUTE(SUBSTITUTE(SUBSTITUTE(SUBSTITUTE(LOWER(TRIM(D590)),"á","a"),"é","e"),"í","i"),"ó","o"),"ú","u"),"ü","u"),"ñ","n"),"à","a"),"è","e"),"ì","i"),"ò","o"),"ù","u"))</f>
        <v/>
      </c>
      <c r="N590" s="25">
        <f>IF(F590="","",SUBSTITUTE(SUBSTITUTE(SUBSTITUTE(SUBSTITUTE(SUBSTITUTE(SUBSTITUTE(SUBSTITUTE(SUBSTITUTE(SUBSTITUTE(SUBSTITUTE(SUBSTITUTE(SUBSTITUTE(LOWER(TRIM(F590)),"á","a"),"é","e"),"í","i"),"ó","o"),"ú","u"),"ü","u"),"ñ","n"),"à","a"),"è","e"),"ì","i"),"ò","o"),"ù","u"))</f>
        <v/>
      </c>
      <c r="O590" s="25">
        <f>IF(M590="confiable",2,IF(M590="dudosa",1,IF(M590="no confiable",0,"")))</f>
        <v/>
      </c>
      <c r="P590" s="25">
        <f>IF(N590="confiable",2,IF(N590="dudosa",1,IF(N590="no confiable",0,"")))</f>
        <v/>
      </c>
      <c r="Q590" s="25">
        <f>IF(AND(ISNUMBER(O590),ISNUMBER(P590)),1,"")</f>
        <v/>
      </c>
      <c r="R590" s="25">
        <f>IF(Q590=1,IF(O590=P590,"Sí","No"),"")</f>
        <v/>
      </c>
      <c r="S590" s="25">
        <f>IF(Q590=1,IF(P590&lt;O590,"Más estricto",IF(P590&gt;O590,"Más permisivo","Igual")),"")</f>
        <v/>
      </c>
      <c r="T590" s="25">
        <f>IF(Q590=1,IF(ABS(O590-P590)=2,1,0),"")</f>
        <v/>
      </c>
      <c r="U590" s="25">
        <f>IF(H590="","","|"&amp;SUBSTITUTE(SUBSTITUTE(TRIM(H590)," |","|"),"| ","|")&amp;"|")</f>
        <v/>
      </c>
      <c r="V590" s="25">
        <f>IF(AND(Q590=1,B590&lt;&gt;""),IF(IFERROR(COUNTIFS(B$3:B590,"="&amp;SUBSTITUTE(SUBSTITUTE(SUBSTITUTE(B590,"~","~~"),"*","~*"),"?","~?"),Q$3:Q590,1),0)=1,MAX(V$2:V589)+1,""),"")</f>
        <v/>
      </c>
      <c r="W590" s="25">
        <f>IF(V590="","",COUNTIFS($B$3:$B$1002,"="&amp;SUBSTITUTE(SUBSTITUTE(SUBSTITUTE(B590,"~","~~"),"*","~*"),"?","~?"),$Q$3:$Q$1002,1)*10000-V590)</f>
        <v/>
      </c>
      <c r="X590" s="25">
        <f>IF(Q590=1,IF(SUBSTITUTE(SUBSTITUTE(SUBSTITUTE(SUBSTITUTE(SUBSTITUTE(SUBSTITUTE(SUBSTITUTE(SUBSTITUTE(SUBSTITUTE(SUBSTITUTE(SUBSTITUTE(SUBSTITUTE(LOWER(TRIM(A590)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590)),"á","a"),"é","e"),"í","i"),"ó","o"),"ú","u"),"ü","u"),"ñ","n"),"à","a"),"è","e"),"ì","i"),"ò","o"),"ù","u")),"")</f>
        <v/>
      </c>
      <c r="Y590" s="25">
        <f>IF(X590="","",IF(IFERROR(COUNTIF(X$3:X590,"="&amp;SUBSTITUTE(SUBSTITUTE(SUBSTITUTE(X590,"~","~~"),"*","~*"),"?","~?")),0)=1,1,""))</f>
        <v/>
      </c>
      <c r="Z590" s="25">
        <f>IF(T590=1,MAX(Z$2:Z589)+1,"")</f>
        <v/>
      </c>
    </row>
    <row r="591">
      <c r="A591">
        <f>IF(A$2=0,"",IFERROR(TRIM(INDEX('Pegar calibracion'!$A$1:$BZ$1001,590,A$2)&amp;""),""))</f>
        <v/>
      </c>
      <c r="B591">
        <f>IF(B$2=0,"",IFERROR(TRIM(INDEX('Pegar calibracion'!$A$1:$BZ$1001,590,B$2)&amp;""),""))</f>
        <v/>
      </c>
      <c r="C591">
        <f>IF(C$2=0,"",IFERROR(TRIM(INDEX('Pegar calibracion'!$A$1:$BZ$1001,590,C$2)&amp;""),""))</f>
        <v/>
      </c>
      <c r="D591">
        <f>IF(D$2=0,"",IFERROR(TRIM(INDEX('Pegar calibracion'!$A$1:$BZ$1001,590,D$2)&amp;""),""))</f>
        <v/>
      </c>
      <c r="E591">
        <f>IF(E$2=0,"",IFERROR(TRIM(INDEX('Pegar calibracion'!$A$1:$BZ$1001,590,E$2)&amp;""),""))</f>
        <v/>
      </c>
      <c r="F591">
        <f>IF(F$2=0,"",IFERROR(TRIM(INDEX('Pegar calibracion'!$A$1:$BZ$1001,590,F$2)&amp;""),""))</f>
        <v/>
      </c>
      <c r="G591">
        <f>IF(G$2=0,"",IFERROR(TRIM(INDEX('Pegar calibracion'!$A$1:$BZ$1001,590,G$2)&amp;""),""))</f>
        <v/>
      </c>
      <c r="H591">
        <f>IF(H$2=0,"",IFERROR(TRIM(INDEX('Pegar calibracion'!$A$1:$BZ$1001,590,H$2)&amp;""),""))</f>
        <v/>
      </c>
      <c r="I591">
        <f>IF(I$2=0,"",IFERROR(TRIM(INDEX('Pegar calibracion'!$A$1:$BZ$1001,590,I$2)&amp;""),""))</f>
        <v/>
      </c>
      <c r="J591">
        <f>IF(J$2=0,"",IFERROR(TRIM(INDEX('Pegar calibracion'!$A$1:$BZ$1001,590,J$2)&amp;""),""))</f>
        <v/>
      </c>
      <c r="K591">
        <f>IF(K$2=0,"",IFERROR(TRIM(INDEX('Pegar calibracion'!$A$1:$BZ$1001,590,K$2)&amp;""),""))</f>
        <v/>
      </c>
      <c r="L591">
        <f>IF(L$2=0,"",IFERROR(TRIM(INDEX('Pegar calibracion'!$A$1:$BZ$1001,590,L$2)&amp;""),""))</f>
        <v/>
      </c>
      <c r="M591" s="25">
        <f>IF(D591="","",SUBSTITUTE(SUBSTITUTE(SUBSTITUTE(SUBSTITUTE(SUBSTITUTE(SUBSTITUTE(SUBSTITUTE(SUBSTITUTE(SUBSTITUTE(SUBSTITUTE(SUBSTITUTE(SUBSTITUTE(LOWER(TRIM(D591)),"á","a"),"é","e"),"í","i"),"ó","o"),"ú","u"),"ü","u"),"ñ","n"),"à","a"),"è","e"),"ì","i"),"ò","o"),"ù","u"))</f>
        <v/>
      </c>
      <c r="N591" s="25">
        <f>IF(F591="","",SUBSTITUTE(SUBSTITUTE(SUBSTITUTE(SUBSTITUTE(SUBSTITUTE(SUBSTITUTE(SUBSTITUTE(SUBSTITUTE(SUBSTITUTE(SUBSTITUTE(SUBSTITUTE(SUBSTITUTE(LOWER(TRIM(F591)),"á","a"),"é","e"),"í","i"),"ó","o"),"ú","u"),"ü","u"),"ñ","n"),"à","a"),"è","e"),"ì","i"),"ò","o"),"ù","u"))</f>
        <v/>
      </c>
      <c r="O591" s="25">
        <f>IF(M591="confiable",2,IF(M591="dudosa",1,IF(M591="no confiable",0,"")))</f>
        <v/>
      </c>
      <c r="P591" s="25">
        <f>IF(N591="confiable",2,IF(N591="dudosa",1,IF(N591="no confiable",0,"")))</f>
        <v/>
      </c>
      <c r="Q591" s="25">
        <f>IF(AND(ISNUMBER(O591),ISNUMBER(P591)),1,"")</f>
        <v/>
      </c>
      <c r="R591" s="25">
        <f>IF(Q591=1,IF(O591=P591,"Sí","No"),"")</f>
        <v/>
      </c>
      <c r="S591" s="25">
        <f>IF(Q591=1,IF(P591&lt;O591,"Más estricto",IF(P591&gt;O591,"Más permisivo","Igual")),"")</f>
        <v/>
      </c>
      <c r="T591" s="25">
        <f>IF(Q591=1,IF(ABS(O591-P591)=2,1,0),"")</f>
        <v/>
      </c>
      <c r="U591" s="25">
        <f>IF(H591="","","|"&amp;SUBSTITUTE(SUBSTITUTE(TRIM(H591)," |","|"),"| ","|")&amp;"|")</f>
        <v/>
      </c>
      <c r="V591" s="25">
        <f>IF(AND(Q591=1,B591&lt;&gt;""),IF(IFERROR(COUNTIFS(B$3:B591,"="&amp;SUBSTITUTE(SUBSTITUTE(SUBSTITUTE(B591,"~","~~"),"*","~*"),"?","~?"),Q$3:Q591,1),0)=1,MAX(V$2:V590)+1,""),"")</f>
        <v/>
      </c>
      <c r="W591" s="25">
        <f>IF(V591="","",COUNTIFS($B$3:$B$1002,"="&amp;SUBSTITUTE(SUBSTITUTE(SUBSTITUTE(B591,"~","~~"),"*","~*"),"?","~?"),$Q$3:$Q$1002,1)*10000-V591)</f>
        <v/>
      </c>
      <c r="X591" s="25">
        <f>IF(Q591=1,IF(SUBSTITUTE(SUBSTITUTE(SUBSTITUTE(SUBSTITUTE(SUBSTITUTE(SUBSTITUTE(SUBSTITUTE(SUBSTITUTE(SUBSTITUTE(SUBSTITUTE(SUBSTITUTE(SUBSTITUTE(LOWER(TRIM(A591)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591)),"á","a"),"é","e"),"í","i"),"ó","o"),"ú","u"),"ü","u"),"ñ","n"),"à","a"),"è","e"),"ì","i"),"ò","o"),"ù","u")),"")</f>
        <v/>
      </c>
      <c r="Y591" s="25">
        <f>IF(X591="","",IF(IFERROR(COUNTIF(X$3:X591,"="&amp;SUBSTITUTE(SUBSTITUTE(SUBSTITUTE(X591,"~","~~"),"*","~*"),"?","~?")),0)=1,1,""))</f>
        <v/>
      </c>
      <c r="Z591" s="25">
        <f>IF(T591=1,MAX(Z$2:Z590)+1,"")</f>
        <v/>
      </c>
    </row>
    <row r="592">
      <c r="A592">
        <f>IF(A$2=0,"",IFERROR(TRIM(INDEX('Pegar calibracion'!$A$1:$BZ$1001,591,A$2)&amp;""),""))</f>
        <v/>
      </c>
      <c r="B592">
        <f>IF(B$2=0,"",IFERROR(TRIM(INDEX('Pegar calibracion'!$A$1:$BZ$1001,591,B$2)&amp;""),""))</f>
        <v/>
      </c>
      <c r="C592">
        <f>IF(C$2=0,"",IFERROR(TRIM(INDEX('Pegar calibracion'!$A$1:$BZ$1001,591,C$2)&amp;""),""))</f>
        <v/>
      </c>
      <c r="D592">
        <f>IF(D$2=0,"",IFERROR(TRIM(INDEX('Pegar calibracion'!$A$1:$BZ$1001,591,D$2)&amp;""),""))</f>
        <v/>
      </c>
      <c r="E592">
        <f>IF(E$2=0,"",IFERROR(TRIM(INDEX('Pegar calibracion'!$A$1:$BZ$1001,591,E$2)&amp;""),""))</f>
        <v/>
      </c>
      <c r="F592">
        <f>IF(F$2=0,"",IFERROR(TRIM(INDEX('Pegar calibracion'!$A$1:$BZ$1001,591,F$2)&amp;""),""))</f>
        <v/>
      </c>
      <c r="G592">
        <f>IF(G$2=0,"",IFERROR(TRIM(INDEX('Pegar calibracion'!$A$1:$BZ$1001,591,G$2)&amp;""),""))</f>
        <v/>
      </c>
      <c r="H592">
        <f>IF(H$2=0,"",IFERROR(TRIM(INDEX('Pegar calibracion'!$A$1:$BZ$1001,591,H$2)&amp;""),""))</f>
        <v/>
      </c>
      <c r="I592">
        <f>IF(I$2=0,"",IFERROR(TRIM(INDEX('Pegar calibracion'!$A$1:$BZ$1001,591,I$2)&amp;""),""))</f>
        <v/>
      </c>
      <c r="J592">
        <f>IF(J$2=0,"",IFERROR(TRIM(INDEX('Pegar calibracion'!$A$1:$BZ$1001,591,J$2)&amp;""),""))</f>
        <v/>
      </c>
      <c r="K592">
        <f>IF(K$2=0,"",IFERROR(TRIM(INDEX('Pegar calibracion'!$A$1:$BZ$1001,591,K$2)&amp;""),""))</f>
        <v/>
      </c>
      <c r="L592">
        <f>IF(L$2=0,"",IFERROR(TRIM(INDEX('Pegar calibracion'!$A$1:$BZ$1001,591,L$2)&amp;""),""))</f>
        <v/>
      </c>
      <c r="M592" s="25">
        <f>IF(D592="","",SUBSTITUTE(SUBSTITUTE(SUBSTITUTE(SUBSTITUTE(SUBSTITUTE(SUBSTITUTE(SUBSTITUTE(SUBSTITUTE(SUBSTITUTE(SUBSTITUTE(SUBSTITUTE(SUBSTITUTE(LOWER(TRIM(D592)),"á","a"),"é","e"),"í","i"),"ó","o"),"ú","u"),"ü","u"),"ñ","n"),"à","a"),"è","e"),"ì","i"),"ò","o"),"ù","u"))</f>
        <v/>
      </c>
      <c r="N592" s="25">
        <f>IF(F592="","",SUBSTITUTE(SUBSTITUTE(SUBSTITUTE(SUBSTITUTE(SUBSTITUTE(SUBSTITUTE(SUBSTITUTE(SUBSTITUTE(SUBSTITUTE(SUBSTITUTE(SUBSTITUTE(SUBSTITUTE(LOWER(TRIM(F592)),"á","a"),"é","e"),"í","i"),"ó","o"),"ú","u"),"ü","u"),"ñ","n"),"à","a"),"è","e"),"ì","i"),"ò","o"),"ù","u"))</f>
        <v/>
      </c>
      <c r="O592" s="25">
        <f>IF(M592="confiable",2,IF(M592="dudosa",1,IF(M592="no confiable",0,"")))</f>
        <v/>
      </c>
      <c r="P592" s="25">
        <f>IF(N592="confiable",2,IF(N592="dudosa",1,IF(N592="no confiable",0,"")))</f>
        <v/>
      </c>
      <c r="Q592" s="25">
        <f>IF(AND(ISNUMBER(O592),ISNUMBER(P592)),1,"")</f>
        <v/>
      </c>
      <c r="R592" s="25">
        <f>IF(Q592=1,IF(O592=P592,"Sí","No"),"")</f>
        <v/>
      </c>
      <c r="S592" s="25">
        <f>IF(Q592=1,IF(P592&lt;O592,"Más estricto",IF(P592&gt;O592,"Más permisivo","Igual")),"")</f>
        <v/>
      </c>
      <c r="T592" s="25">
        <f>IF(Q592=1,IF(ABS(O592-P592)=2,1,0),"")</f>
        <v/>
      </c>
      <c r="U592" s="25">
        <f>IF(H592="","","|"&amp;SUBSTITUTE(SUBSTITUTE(TRIM(H592)," |","|"),"| ","|")&amp;"|")</f>
        <v/>
      </c>
      <c r="V592" s="25">
        <f>IF(AND(Q592=1,B592&lt;&gt;""),IF(IFERROR(COUNTIFS(B$3:B592,"="&amp;SUBSTITUTE(SUBSTITUTE(SUBSTITUTE(B592,"~","~~"),"*","~*"),"?","~?"),Q$3:Q592,1),0)=1,MAX(V$2:V591)+1,""),"")</f>
        <v/>
      </c>
      <c r="W592" s="25">
        <f>IF(V592="","",COUNTIFS($B$3:$B$1002,"="&amp;SUBSTITUTE(SUBSTITUTE(SUBSTITUTE(B592,"~","~~"),"*","~*"),"?","~?"),$Q$3:$Q$1002,1)*10000-V592)</f>
        <v/>
      </c>
      <c r="X592" s="25">
        <f>IF(Q592=1,IF(SUBSTITUTE(SUBSTITUTE(SUBSTITUTE(SUBSTITUTE(SUBSTITUTE(SUBSTITUTE(SUBSTITUTE(SUBSTITUTE(SUBSTITUTE(SUBSTITUTE(SUBSTITUTE(SUBSTITUTE(LOWER(TRIM(A592)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592)),"á","a"),"é","e"),"í","i"),"ó","o"),"ú","u"),"ü","u"),"ñ","n"),"à","a"),"è","e"),"ì","i"),"ò","o"),"ù","u")),"")</f>
        <v/>
      </c>
      <c r="Y592" s="25">
        <f>IF(X592="","",IF(IFERROR(COUNTIF(X$3:X592,"="&amp;SUBSTITUTE(SUBSTITUTE(SUBSTITUTE(X592,"~","~~"),"*","~*"),"?","~?")),0)=1,1,""))</f>
        <v/>
      </c>
      <c r="Z592" s="25">
        <f>IF(T592=1,MAX(Z$2:Z591)+1,"")</f>
        <v/>
      </c>
    </row>
    <row r="593">
      <c r="A593">
        <f>IF(A$2=0,"",IFERROR(TRIM(INDEX('Pegar calibracion'!$A$1:$BZ$1001,592,A$2)&amp;""),""))</f>
        <v/>
      </c>
      <c r="B593">
        <f>IF(B$2=0,"",IFERROR(TRIM(INDEX('Pegar calibracion'!$A$1:$BZ$1001,592,B$2)&amp;""),""))</f>
        <v/>
      </c>
      <c r="C593">
        <f>IF(C$2=0,"",IFERROR(TRIM(INDEX('Pegar calibracion'!$A$1:$BZ$1001,592,C$2)&amp;""),""))</f>
        <v/>
      </c>
      <c r="D593">
        <f>IF(D$2=0,"",IFERROR(TRIM(INDEX('Pegar calibracion'!$A$1:$BZ$1001,592,D$2)&amp;""),""))</f>
        <v/>
      </c>
      <c r="E593">
        <f>IF(E$2=0,"",IFERROR(TRIM(INDEX('Pegar calibracion'!$A$1:$BZ$1001,592,E$2)&amp;""),""))</f>
        <v/>
      </c>
      <c r="F593">
        <f>IF(F$2=0,"",IFERROR(TRIM(INDEX('Pegar calibracion'!$A$1:$BZ$1001,592,F$2)&amp;""),""))</f>
        <v/>
      </c>
      <c r="G593">
        <f>IF(G$2=0,"",IFERROR(TRIM(INDEX('Pegar calibracion'!$A$1:$BZ$1001,592,G$2)&amp;""),""))</f>
        <v/>
      </c>
      <c r="H593">
        <f>IF(H$2=0,"",IFERROR(TRIM(INDEX('Pegar calibracion'!$A$1:$BZ$1001,592,H$2)&amp;""),""))</f>
        <v/>
      </c>
      <c r="I593">
        <f>IF(I$2=0,"",IFERROR(TRIM(INDEX('Pegar calibracion'!$A$1:$BZ$1001,592,I$2)&amp;""),""))</f>
        <v/>
      </c>
      <c r="J593">
        <f>IF(J$2=0,"",IFERROR(TRIM(INDEX('Pegar calibracion'!$A$1:$BZ$1001,592,J$2)&amp;""),""))</f>
        <v/>
      </c>
      <c r="K593">
        <f>IF(K$2=0,"",IFERROR(TRIM(INDEX('Pegar calibracion'!$A$1:$BZ$1001,592,K$2)&amp;""),""))</f>
        <v/>
      </c>
      <c r="L593">
        <f>IF(L$2=0,"",IFERROR(TRIM(INDEX('Pegar calibracion'!$A$1:$BZ$1001,592,L$2)&amp;""),""))</f>
        <v/>
      </c>
      <c r="M593" s="25">
        <f>IF(D593="","",SUBSTITUTE(SUBSTITUTE(SUBSTITUTE(SUBSTITUTE(SUBSTITUTE(SUBSTITUTE(SUBSTITUTE(SUBSTITUTE(SUBSTITUTE(SUBSTITUTE(SUBSTITUTE(SUBSTITUTE(LOWER(TRIM(D593)),"á","a"),"é","e"),"í","i"),"ó","o"),"ú","u"),"ü","u"),"ñ","n"),"à","a"),"è","e"),"ì","i"),"ò","o"),"ù","u"))</f>
        <v/>
      </c>
      <c r="N593" s="25">
        <f>IF(F593="","",SUBSTITUTE(SUBSTITUTE(SUBSTITUTE(SUBSTITUTE(SUBSTITUTE(SUBSTITUTE(SUBSTITUTE(SUBSTITUTE(SUBSTITUTE(SUBSTITUTE(SUBSTITUTE(SUBSTITUTE(LOWER(TRIM(F593)),"á","a"),"é","e"),"í","i"),"ó","o"),"ú","u"),"ü","u"),"ñ","n"),"à","a"),"è","e"),"ì","i"),"ò","o"),"ù","u"))</f>
        <v/>
      </c>
      <c r="O593" s="25">
        <f>IF(M593="confiable",2,IF(M593="dudosa",1,IF(M593="no confiable",0,"")))</f>
        <v/>
      </c>
      <c r="P593" s="25">
        <f>IF(N593="confiable",2,IF(N593="dudosa",1,IF(N593="no confiable",0,"")))</f>
        <v/>
      </c>
      <c r="Q593" s="25">
        <f>IF(AND(ISNUMBER(O593),ISNUMBER(P593)),1,"")</f>
        <v/>
      </c>
      <c r="R593" s="25">
        <f>IF(Q593=1,IF(O593=P593,"Sí","No"),"")</f>
        <v/>
      </c>
      <c r="S593" s="25">
        <f>IF(Q593=1,IF(P593&lt;O593,"Más estricto",IF(P593&gt;O593,"Más permisivo","Igual")),"")</f>
        <v/>
      </c>
      <c r="T593" s="25">
        <f>IF(Q593=1,IF(ABS(O593-P593)=2,1,0),"")</f>
        <v/>
      </c>
      <c r="U593" s="25">
        <f>IF(H593="","","|"&amp;SUBSTITUTE(SUBSTITUTE(TRIM(H593)," |","|"),"| ","|")&amp;"|")</f>
        <v/>
      </c>
      <c r="V593" s="25">
        <f>IF(AND(Q593=1,B593&lt;&gt;""),IF(IFERROR(COUNTIFS(B$3:B593,"="&amp;SUBSTITUTE(SUBSTITUTE(SUBSTITUTE(B593,"~","~~"),"*","~*"),"?","~?"),Q$3:Q593,1),0)=1,MAX(V$2:V592)+1,""),"")</f>
        <v/>
      </c>
      <c r="W593" s="25">
        <f>IF(V593="","",COUNTIFS($B$3:$B$1002,"="&amp;SUBSTITUTE(SUBSTITUTE(SUBSTITUTE(B593,"~","~~"),"*","~*"),"?","~?"),$Q$3:$Q$1002,1)*10000-V593)</f>
        <v/>
      </c>
      <c r="X593" s="25">
        <f>IF(Q593=1,IF(SUBSTITUTE(SUBSTITUTE(SUBSTITUTE(SUBSTITUTE(SUBSTITUTE(SUBSTITUTE(SUBSTITUTE(SUBSTITUTE(SUBSTITUTE(SUBSTITUTE(SUBSTITUTE(SUBSTITUTE(LOWER(TRIM(A593)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593)),"á","a"),"é","e"),"í","i"),"ó","o"),"ú","u"),"ü","u"),"ñ","n"),"à","a"),"è","e"),"ì","i"),"ò","o"),"ù","u")),"")</f>
        <v/>
      </c>
      <c r="Y593" s="25">
        <f>IF(X593="","",IF(IFERROR(COUNTIF(X$3:X593,"="&amp;SUBSTITUTE(SUBSTITUTE(SUBSTITUTE(X593,"~","~~"),"*","~*"),"?","~?")),0)=1,1,""))</f>
        <v/>
      </c>
      <c r="Z593" s="25">
        <f>IF(T593=1,MAX(Z$2:Z592)+1,"")</f>
        <v/>
      </c>
    </row>
    <row r="594">
      <c r="A594">
        <f>IF(A$2=0,"",IFERROR(TRIM(INDEX('Pegar calibracion'!$A$1:$BZ$1001,593,A$2)&amp;""),""))</f>
        <v/>
      </c>
      <c r="B594">
        <f>IF(B$2=0,"",IFERROR(TRIM(INDEX('Pegar calibracion'!$A$1:$BZ$1001,593,B$2)&amp;""),""))</f>
        <v/>
      </c>
      <c r="C594">
        <f>IF(C$2=0,"",IFERROR(TRIM(INDEX('Pegar calibracion'!$A$1:$BZ$1001,593,C$2)&amp;""),""))</f>
        <v/>
      </c>
      <c r="D594">
        <f>IF(D$2=0,"",IFERROR(TRIM(INDEX('Pegar calibracion'!$A$1:$BZ$1001,593,D$2)&amp;""),""))</f>
        <v/>
      </c>
      <c r="E594">
        <f>IF(E$2=0,"",IFERROR(TRIM(INDEX('Pegar calibracion'!$A$1:$BZ$1001,593,E$2)&amp;""),""))</f>
        <v/>
      </c>
      <c r="F594">
        <f>IF(F$2=0,"",IFERROR(TRIM(INDEX('Pegar calibracion'!$A$1:$BZ$1001,593,F$2)&amp;""),""))</f>
        <v/>
      </c>
      <c r="G594">
        <f>IF(G$2=0,"",IFERROR(TRIM(INDEX('Pegar calibracion'!$A$1:$BZ$1001,593,G$2)&amp;""),""))</f>
        <v/>
      </c>
      <c r="H594">
        <f>IF(H$2=0,"",IFERROR(TRIM(INDEX('Pegar calibracion'!$A$1:$BZ$1001,593,H$2)&amp;""),""))</f>
        <v/>
      </c>
      <c r="I594">
        <f>IF(I$2=0,"",IFERROR(TRIM(INDEX('Pegar calibracion'!$A$1:$BZ$1001,593,I$2)&amp;""),""))</f>
        <v/>
      </c>
      <c r="J594">
        <f>IF(J$2=0,"",IFERROR(TRIM(INDEX('Pegar calibracion'!$A$1:$BZ$1001,593,J$2)&amp;""),""))</f>
        <v/>
      </c>
      <c r="K594">
        <f>IF(K$2=0,"",IFERROR(TRIM(INDEX('Pegar calibracion'!$A$1:$BZ$1001,593,K$2)&amp;""),""))</f>
        <v/>
      </c>
      <c r="L594">
        <f>IF(L$2=0,"",IFERROR(TRIM(INDEX('Pegar calibracion'!$A$1:$BZ$1001,593,L$2)&amp;""),""))</f>
        <v/>
      </c>
      <c r="M594" s="25">
        <f>IF(D594="","",SUBSTITUTE(SUBSTITUTE(SUBSTITUTE(SUBSTITUTE(SUBSTITUTE(SUBSTITUTE(SUBSTITUTE(SUBSTITUTE(SUBSTITUTE(SUBSTITUTE(SUBSTITUTE(SUBSTITUTE(LOWER(TRIM(D594)),"á","a"),"é","e"),"í","i"),"ó","o"),"ú","u"),"ü","u"),"ñ","n"),"à","a"),"è","e"),"ì","i"),"ò","o"),"ù","u"))</f>
        <v/>
      </c>
      <c r="N594" s="25">
        <f>IF(F594="","",SUBSTITUTE(SUBSTITUTE(SUBSTITUTE(SUBSTITUTE(SUBSTITUTE(SUBSTITUTE(SUBSTITUTE(SUBSTITUTE(SUBSTITUTE(SUBSTITUTE(SUBSTITUTE(SUBSTITUTE(LOWER(TRIM(F594)),"á","a"),"é","e"),"í","i"),"ó","o"),"ú","u"),"ü","u"),"ñ","n"),"à","a"),"è","e"),"ì","i"),"ò","o"),"ù","u"))</f>
        <v/>
      </c>
      <c r="O594" s="25">
        <f>IF(M594="confiable",2,IF(M594="dudosa",1,IF(M594="no confiable",0,"")))</f>
        <v/>
      </c>
      <c r="P594" s="25">
        <f>IF(N594="confiable",2,IF(N594="dudosa",1,IF(N594="no confiable",0,"")))</f>
        <v/>
      </c>
      <c r="Q594" s="25">
        <f>IF(AND(ISNUMBER(O594),ISNUMBER(P594)),1,"")</f>
        <v/>
      </c>
      <c r="R594" s="25">
        <f>IF(Q594=1,IF(O594=P594,"Sí","No"),"")</f>
        <v/>
      </c>
      <c r="S594" s="25">
        <f>IF(Q594=1,IF(P594&lt;O594,"Más estricto",IF(P594&gt;O594,"Más permisivo","Igual")),"")</f>
        <v/>
      </c>
      <c r="T594" s="25">
        <f>IF(Q594=1,IF(ABS(O594-P594)=2,1,0),"")</f>
        <v/>
      </c>
      <c r="U594" s="25">
        <f>IF(H594="","","|"&amp;SUBSTITUTE(SUBSTITUTE(TRIM(H594)," |","|"),"| ","|")&amp;"|")</f>
        <v/>
      </c>
      <c r="V594" s="25">
        <f>IF(AND(Q594=1,B594&lt;&gt;""),IF(IFERROR(COUNTIFS(B$3:B594,"="&amp;SUBSTITUTE(SUBSTITUTE(SUBSTITUTE(B594,"~","~~"),"*","~*"),"?","~?"),Q$3:Q594,1),0)=1,MAX(V$2:V593)+1,""),"")</f>
        <v/>
      </c>
      <c r="W594" s="25">
        <f>IF(V594="","",COUNTIFS($B$3:$B$1002,"="&amp;SUBSTITUTE(SUBSTITUTE(SUBSTITUTE(B594,"~","~~"),"*","~*"),"?","~?"),$Q$3:$Q$1002,1)*10000-V594)</f>
        <v/>
      </c>
      <c r="X594" s="25">
        <f>IF(Q594=1,IF(SUBSTITUTE(SUBSTITUTE(SUBSTITUTE(SUBSTITUTE(SUBSTITUTE(SUBSTITUTE(SUBSTITUTE(SUBSTITUTE(SUBSTITUTE(SUBSTITUTE(SUBSTITUTE(SUBSTITUTE(LOWER(TRIM(A594)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594)),"á","a"),"é","e"),"í","i"),"ó","o"),"ú","u"),"ü","u"),"ñ","n"),"à","a"),"è","e"),"ì","i"),"ò","o"),"ù","u")),"")</f>
        <v/>
      </c>
      <c r="Y594" s="25">
        <f>IF(X594="","",IF(IFERROR(COUNTIF(X$3:X594,"="&amp;SUBSTITUTE(SUBSTITUTE(SUBSTITUTE(X594,"~","~~"),"*","~*"),"?","~?")),0)=1,1,""))</f>
        <v/>
      </c>
      <c r="Z594" s="25">
        <f>IF(T594=1,MAX(Z$2:Z593)+1,"")</f>
        <v/>
      </c>
    </row>
    <row r="595">
      <c r="A595">
        <f>IF(A$2=0,"",IFERROR(TRIM(INDEX('Pegar calibracion'!$A$1:$BZ$1001,594,A$2)&amp;""),""))</f>
        <v/>
      </c>
      <c r="B595">
        <f>IF(B$2=0,"",IFERROR(TRIM(INDEX('Pegar calibracion'!$A$1:$BZ$1001,594,B$2)&amp;""),""))</f>
        <v/>
      </c>
      <c r="C595">
        <f>IF(C$2=0,"",IFERROR(TRIM(INDEX('Pegar calibracion'!$A$1:$BZ$1001,594,C$2)&amp;""),""))</f>
        <v/>
      </c>
      <c r="D595">
        <f>IF(D$2=0,"",IFERROR(TRIM(INDEX('Pegar calibracion'!$A$1:$BZ$1001,594,D$2)&amp;""),""))</f>
        <v/>
      </c>
      <c r="E595">
        <f>IF(E$2=0,"",IFERROR(TRIM(INDEX('Pegar calibracion'!$A$1:$BZ$1001,594,E$2)&amp;""),""))</f>
        <v/>
      </c>
      <c r="F595">
        <f>IF(F$2=0,"",IFERROR(TRIM(INDEX('Pegar calibracion'!$A$1:$BZ$1001,594,F$2)&amp;""),""))</f>
        <v/>
      </c>
      <c r="G595">
        <f>IF(G$2=0,"",IFERROR(TRIM(INDEX('Pegar calibracion'!$A$1:$BZ$1001,594,G$2)&amp;""),""))</f>
        <v/>
      </c>
      <c r="H595">
        <f>IF(H$2=0,"",IFERROR(TRIM(INDEX('Pegar calibracion'!$A$1:$BZ$1001,594,H$2)&amp;""),""))</f>
        <v/>
      </c>
      <c r="I595">
        <f>IF(I$2=0,"",IFERROR(TRIM(INDEX('Pegar calibracion'!$A$1:$BZ$1001,594,I$2)&amp;""),""))</f>
        <v/>
      </c>
      <c r="J595">
        <f>IF(J$2=0,"",IFERROR(TRIM(INDEX('Pegar calibracion'!$A$1:$BZ$1001,594,J$2)&amp;""),""))</f>
        <v/>
      </c>
      <c r="K595">
        <f>IF(K$2=0,"",IFERROR(TRIM(INDEX('Pegar calibracion'!$A$1:$BZ$1001,594,K$2)&amp;""),""))</f>
        <v/>
      </c>
      <c r="L595">
        <f>IF(L$2=0,"",IFERROR(TRIM(INDEX('Pegar calibracion'!$A$1:$BZ$1001,594,L$2)&amp;""),""))</f>
        <v/>
      </c>
      <c r="M595" s="25">
        <f>IF(D595="","",SUBSTITUTE(SUBSTITUTE(SUBSTITUTE(SUBSTITUTE(SUBSTITUTE(SUBSTITUTE(SUBSTITUTE(SUBSTITUTE(SUBSTITUTE(SUBSTITUTE(SUBSTITUTE(SUBSTITUTE(LOWER(TRIM(D595)),"á","a"),"é","e"),"í","i"),"ó","o"),"ú","u"),"ü","u"),"ñ","n"),"à","a"),"è","e"),"ì","i"),"ò","o"),"ù","u"))</f>
        <v/>
      </c>
      <c r="N595" s="25">
        <f>IF(F595="","",SUBSTITUTE(SUBSTITUTE(SUBSTITUTE(SUBSTITUTE(SUBSTITUTE(SUBSTITUTE(SUBSTITUTE(SUBSTITUTE(SUBSTITUTE(SUBSTITUTE(SUBSTITUTE(SUBSTITUTE(LOWER(TRIM(F595)),"á","a"),"é","e"),"í","i"),"ó","o"),"ú","u"),"ü","u"),"ñ","n"),"à","a"),"è","e"),"ì","i"),"ò","o"),"ù","u"))</f>
        <v/>
      </c>
      <c r="O595" s="25">
        <f>IF(M595="confiable",2,IF(M595="dudosa",1,IF(M595="no confiable",0,"")))</f>
        <v/>
      </c>
      <c r="P595" s="25">
        <f>IF(N595="confiable",2,IF(N595="dudosa",1,IF(N595="no confiable",0,"")))</f>
        <v/>
      </c>
      <c r="Q595" s="25">
        <f>IF(AND(ISNUMBER(O595),ISNUMBER(P595)),1,"")</f>
        <v/>
      </c>
      <c r="R595" s="25">
        <f>IF(Q595=1,IF(O595=P595,"Sí","No"),"")</f>
        <v/>
      </c>
      <c r="S595" s="25">
        <f>IF(Q595=1,IF(P595&lt;O595,"Más estricto",IF(P595&gt;O595,"Más permisivo","Igual")),"")</f>
        <v/>
      </c>
      <c r="T595" s="25">
        <f>IF(Q595=1,IF(ABS(O595-P595)=2,1,0),"")</f>
        <v/>
      </c>
      <c r="U595" s="25">
        <f>IF(H595="","","|"&amp;SUBSTITUTE(SUBSTITUTE(TRIM(H595)," |","|"),"| ","|")&amp;"|")</f>
        <v/>
      </c>
      <c r="V595" s="25">
        <f>IF(AND(Q595=1,B595&lt;&gt;""),IF(IFERROR(COUNTIFS(B$3:B595,"="&amp;SUBSTITUTE(SUBSTITUTE(SUBSTITUTE(B595,"~","~~"),"*","~*"),"?","~?"),Q$3:Q595,1),0)=1,MAX(V$2:V594)+1,""),"")</f>
        <v/>
      </c>
      <c r="W595" s="25">
        <f>IF(V595="","",COUNTIFS($B$3:$B$1002,"="&amp;SUBSTITUTE(SUBSTITUTE(SUBSTITUTE(B595,"~","~~"),"*","~*"),"?","~?"),$Q$3:$Q$1002,1)*10000-V595)</f>
        <v/>
      </c>
      <c r="X595" s="25">
        <f>IF(Q595=1,IF(SUBSTITUTE(SUBSTITUTE(SUBSTITUTE(SUBSTITUTE(SUBSTITUTE(SUBSTITUTE(SUBSTITUTE(SUBSTITUTE(SUBSTITUTE(SUBSTITUTE(SUBSTITUTE(SUBSTITUTE(LOWER(TRIM(A595)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595)),"á","a"),"é","e"),"í","i"),"ó","o"),"ú","u"),"ü","u"),"ñ","n"),"à","a"),"è","e"),"ì","i"),"ò","o"),"ù","u")),"")</f>
        <v/>
      </c>
      <c r="Y595" s="25">
        <f>IF(X595="","",IF(IFERROR(COUNTIF(X$3:X595,"="&amp;SUBSTITUTE(SUBSTITUTE(SUBSTITUTE(X595,"~","~~"),"*","~*"),"?","~?")),0)=1,1,""))</f>
        <v/>
      </c>
      <c r="Z595" s="25">
        <f>IF(T595=1,MAX(Z$2:Z594)+1,"")</f>
        <v/>
      </c>
    </row>
    <row r="596">
      <c r="A596">
        <f>IF(A$2=0,"",IFERROR(TRIM(INDEX('Pegar calibracion'!$A$1:$BZ$1001,595,A$2)&amp;""),""))</f>
        <v/>
      </c>
      <c r="B596">
        <f>IF(B$2=0,"",IFERROR(TRIM(INDEX('Pegar calibracion'!$A$1:$BZ$1001,595,B$2)&amp;""),""))</f>
        <v/>
      </c>
      <c r="C596">
        <f>IF(C$2=0,"",IFERROR(TRIM(INDEX('Pegar calibracion'!$A$1:$BZ$1001,595,C$2)&amp;""),""))</f>
        <v/>
      </c>
      <c r="D596">
        <f>IF(D$2=0,"",IFERROR(TRIM(INDEX('Pegar calibracion'!$A$1:$BZ$1001,595,D$2)&amp;""),""))</f>
        <v/>
      </c>
      <c r="E596">
        <f>IF(E$2=0,"",IFERROR(TRIM(INDEX('Pegar calibracion'!$A$1:$BZ$1001,595,E$2)&amp;""),""))</f>
        <v/>
      </c>
      <c r="F596">
        <f>IF(F$2=0,"",IFERROR(TRIM(INDEX('Pegar calibracion'!$A$1:$BZ$1001,595,F$2)&amp;""),""))</f>
        <v/>
      </c>
      <c r="G596">
        <f>IF(G$2=0,"",IFERROR(TRIM(INDEX('Pegar calibracion'!$A$1:$BZ$1001,595,G$2)&amp;""),""))</f>
        <v/>
      </c>
      <c r="H596">
        <f>IF(H$2=0,"",IFERROR(TRIM(INDEX('Pegar calibracion'!$A$1:$BZ$1001,595,H$2)&amp;""),""))</f>
        <v/>
      </c>
      <c r="I596">
        <f>IF(I$2=0,"",IFERROR(TRIM(INDEX('Pegar calibracion'!$A$1:$BZ$1001,595,I$2)&amp;""),""))</f>
        <v/>
      </c>
      <c r="J596">
        <f>IF(J$2=0,"",IFERROR(TRIM(INDEX('Pegar calibracion'!$A$1:$BZ$1001,595,J$2)&amp;""),""))</f>
        <v/>
      </c>
      <c r="K596">
        <f>IF(K$2=0,"",IFERROR(TRIM(INDEX('Pegar calibracion'!$A$1:$BZ$1001,595,K$2)&amp;""),""))</f>
        <v/>
      </c>
      <c r="L596">
        <f>IF(L$2=0,"",IFERROR(TRIM(INDEX('Pegar calibracion'!$A$1:$BZ$1001,595,L$2)&amp;""),""))</f>
        <v/>
      </c>
      <c r="M596" s="25">
        <f>IF(D596="","",SUBSTITUTE(SUBSTITUTE(SUBSTITUTE(SUBSTITUTE(SUBSTITUTE(SUBSTITUTE(SUBSTITUTE(SUBSTITUTE(SUBSTITUTE(SUBSTITUTE(SUBSTITUTE(SUBSTITUTE(LOWER(TRIM(D596)),"á","a"),"é","e"),"í","i"),"ó","o"),"ú","u"),"ü","u"),"ñ","n"),"à","a"),"è","e"),"ì","i"),"ò","o"),"ù","u"))</f>
        <v/>
      </c>
      <c r="N596" s="25">
        <f>IF(F596="","",SUBSTITUTE(SUBSTITUTE(SUBSTITUTE(SUBSTITUTE(SUBSTITUTE(SUBSTITUTE(SUBSTITUTE(SUBSTITUTE(SUBSTITUTE(SUBSTITUTE(SUBSTITUTE(SUBSTITUTE(LOWER(TRIM(F596)),"á","a"),"é","e"),"í","i"),"ó","o"),"ú","u"),"ü","u"),"ñ","n"),"à","a"),"è","e"),"ì","i"),"ò","o"),"ù","u"))</f>
        <v/>
      </c>
      <c r="O596" s="25">
        <f>IF(M596="confiable",2,IF(M596="dudosa",1,IF(M596="no confiable",0,"")))</f>
        <v/>
      </c>
      <c r="P596" s="25">
        <f>IF(N596="confiable",2,IF(N596="dudosa",1,IF(N596="no confiable",0,"")))</f>
        <v/>
      </c>
      <c r="Q596" s="25">
        <f>IF(AND(ISNUMBER(O596),ISNUMBER(P596)),1,"")</f>
        <v/>
      </c>
      <c r="R596" s="25">
        <f>IF(Q596=1,IF(O596=P596,"Sí","No"),"")</f>
        <v/>
      </c>
      <c r="S596" s="25">
        <f>IF(Q596=1,IF(P596&lt;O596,"Más estricto",IF(P596&gt;O596,"Más permisivo","Igual")),"")</f>
        <v/>
      </c>
      <c r="T596" s="25">
        <f>IF(Q596=1,IF(ABS(O596-P596)=2,1,0),"")</f>
        <v/>
      </c>
      <c r="U596" s="25">
        <f>IF(H596="","","|"&amp;SUBSTITUTE(SUBSTITUTE(TRIM(H596)," |","|"),"| ","|")&amp;"|")</f>
        <v/>
      </c>
      <c r="V596" s="25">
        <f>IF(AND(Q596=1,B596&lt;&gt;""),IF(IFERROR(COUNTIFS(B$3:B596,"="&amp;SUBSTITUTE(SUBSTITUTE(SUBSTITUTE(B596,"~","~~"),"*","~*"),"?","~?"),Q$3:Q596,1),0)=1,MAX(V$2:V595)+1,""),"")</f>
        <v/>
      </c>
      <c r="W596" s="25">
        <f>IF(V596="","",COUNTIFS($B$3:$B$1002,"="&amp;SUBSTITUTE(SUBSTITUTE(SUBSTITUTE(B596,"~","~~"),"*","~*"),"?","~?"),$Q$3:$Q$1002,1)*10000-V596)</f>
        <v/>
      </c>
      <c r="X596" s="25">
        <f>IF(Q596=1,IF(SUBSTITUTE(SUBSTITUTE(SUBSTITUTE(SUBSTITUTE(SUBSTITUTE(SUBSTITUTE(SUBSTITUTE(SUBSTITUTE(SUBSTITUTE(SUBSTITUTE(SUBSTITUTE(SUBSTITUTE(LOWER(TRIM(A596)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596)),"á","a"),"é","e"),"í","i"),"ó","o"),"ú","u"),"ü","u"),"ñ","n"),"à","a"),"è","e"),"ì","i"),"ò","o"),"ù","u")),"")</f>
        <v/>
      </c>
      <c r="Y596" s="25">
        <f>IF(X596="","",IF(IFERROR(COUNTIF(X$3:X596,"="&amp;SUBSTITUTE(SUBSTITUTE(SUBSTITUTE(X596,"~","~~"),"*","~*"),"?","~?")),0)=1,1,""))</f>
        <v/>
      </c>
      <c r="Z596" s="25">
        <f>IF(T596=1,MAX(Z$2:Z595)+1,"")</f>
        <v/>
      </c>
    </row>
    <row r="597">
      <c r="A597">
        <f>IF(A$2=0,"",IFERROR(TRIM(INDEX('Pegar calibracion'!$A$1:$BZ$1001,596,A$2)&amp;""),""))</f>
        <v/>
      </c>
      <c r="B597">
        <f>IF(B$2=0,"",IFERROR(TRIM(INDEX('Pegar calibracion'!$A$1:$BZ$1001,596,B$2)&amp;""),""))</f>
        <v/>
      </c>
      <c r="C597">
        <f>IF(C$2=0,"",IFERROR(TRIM(INDEX('Pegar calibracion'!$A$1:$BZ$1001,596,C$2)&amp;""),""))</f>
        <v/>
      </c>
      <c r="D597">
        <f>IF(D$2=0,"",IFERROR(TRIM(INDEX('Pegar calibracion'!$A$1:$BZ$1001,596,D$2)&amp;""),""))</f>
        <v/>
      </c>
      <c r="E597">
        <f>IF(E$2=0,"",IFERROR(TRIM(INDEX('Pegar calibracion'!$A$1:$BZ$1001,596,E$2)&amp;""),""))</f>
        <v/>
      </c>
      <c r="F597">
        <f>IF(F$2=0,"",IFERROR(TRIM(INDEX('Pegar calibracion'!$A$1:$BZ$1001,596,F$2)&amp;""),""))</f>
        <v/>
      </c>
      <c r="G597">
        <f>IF(G$2=0,"",IFERROR(TRIM(INDEX('Pegar calibracion'!$A$1:$BZ$1001,596,G$2)&amp;""),""))</f>
        <v/>
      </c>
      <c r="H597">
        <f>IF(H$2=0,"",IFERROR(TRIM(INDEX('Pegar calibracion'!$A$1:$BZ$1001,596,H$2)&amp;""),""))</f>
        <v/>
      </c>
      <c r="I597">
        <f>IF(I$2=0,"",IFERROR(TRIM(INDEX('Pegar calibracion'!$A$1:$BZ$1001,596,I$2)&amp;""),""))</f>
        <v/>
      </c>
      <c r="J597">
        <f>IF(J$2=0,"",IFERROR(TRIM(INDEX('Pegar calibracion'!$A$1:$BZ$1001,596,J$2)&amp;""),""))</f>
        <v/>
      </c>
      <c r="K597">
        <f>IF(K$2=0,"",IFERROR(TRIM(INDEX('Pegar calibracion'!$A$1:$BZ$1001,596,K$2)&amp;""),""))</f>
        <v/>
      </c>
      <c r="L597">
        <f>IF(L$2=0,"",IFERROR(TRIM(INDEX('Pegar calibracion'!$A$1:$BZ$1001,596,L$2)&amp;""),""))</f>
        <v/>
      </c>
      <c r="M597" s="25">
        <f>IF(D597="","",SUBSTITUTE(SUBSTITUTE(SUBSTITUTE(SUBSTITUTE(SUBSTITUTE(SUBSTITUTE(SUBSTITUTE(SUBSTITUTE(SUBSTITUTE(SUBSTITUTE(SUBSTITUTE(SUBSTITUTE(LOWER(TRIM(D597)),"á","a"),"é","e"),"í","i"),"ó","o"),"ú","u"),"ü","u"),"ñ","n"),"à","a"),"è","e"),"ì","i"),"ò","o"),"ù","u"))</f>
        <v/>
      </c>
      <c r="N597" s="25">
        <f>IF(F597="","",SUBSTITUTE(SUBSTITUTE(SUBSTITUTE(SUBSTITUTE(SUBSTITUTE(SUBSTITUTE(SUBSTITUTE(SUBSTITUTE(SUBSTITUTE(SUBSTITUTE(SUBSTITUTE(SUBSTITUTE(LOWER(TRIM(F597)),"á","a"),"é","e"),"í","i"),"ó","o"),"ú","u"),"ü","u"),"ñ","n"),"à","a"),"è","e"),"ì","i"),"ò","o"),"ù","u"))</f>
        <v/>
      </c>
      <c r="O597" s="25">
        <f>IF(M597="confiable",2,IF(M597="dudosa",1,IF(M597="no confiable",0,"")))</f>
        <v/>
      </c>
      <c r="P597" s="25">
        <f>IF(N597="confiable",2,IF(N597="dudosa",1,IF(N597="no confiable",0,"")))</f>
        <v/>
      </c>
      <c r="Q597" s="25">
        <f>IF(AND(ISNUMBER(O597),ISNUMBER(P597)),1,"")</f>
        <v/>
      </c>
      <c r="R597" s="25">
        <f>IF(Q597=1,IF(O597=P597,"Sí","No"),"")</f>
        <v/>
      </c>
      <c r="S597" s="25">
        <f>IF(Q597=1,IF(P597&lt;O597,"Más estricto",IF(P597&gt;O597,"Más permisivo","Igual")),"")</f>
        <v/>
      </c>
      <c r="T597" s="25">
        <f>IF(Q597=1,IF(ABS(O597-P597)=2,1,0),"")</f>
        <v/>
      </c>
      <c r="U597" s="25">
        <f>IF(H597="","","|"&amp;SUBSTITUTE(SUBSTITUTE(TRIM(H597)," |","|"),"| ","|")&amp;"|")</f>
        <v/>
      </c>
      <c r="V597" s="25">
        <f>IF(AND(Q597=1,B597&lt;&gt;""),IF(IFERROR(COUNTIFS(B$3:B597,"="&amp;SUBSTITUTE(SUBSTITUTE(SUBSTITUTE(B597,"~","~~"),"*","~*"),"?","~?"),Q$3:Q597,1),0)=1,MAX(V$2:V596)+1,""),"")</f>
        <v/>
      </c>
      <c r="W597" s="25">
        <f>IF(V597="","",COUNTIFS($B$3:$B$1002,"="&amp;SUBSTITUTE(SUBSTITUTE(SUBSTITUTE(B597,"~","~~"),"*","~*"),"?","~?"),$Q$3:$Q$1002,1)*10000-V597)</f>
        <v/>
      </c>
      <c r="X597" s="25">
        <f>IF(Q597=1,IF(SUBSTITUTE(SUBSTITUTE(SUBSTITUTE(SUBSTITUTE(SUBSTITUTE(SUBSTITUTE(SUBSTITUTE(SUBSTITUTE(SUBSTITUTE(SUBSTITUTE(SUBSTITUTE(SUBSTITUTE(LOWER(TRIM(A597)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597)),"á","a"),"é","e"),"í","i"),"ó","o"),"ú","u"),"ü","u"),"ñ","n"),"à","a"),"è","e"),"ì","i"),"ò","o"),"ù","u")),"")</f>
        <v/>
      </c>
      <c r="Y597" s="25">
        <f>IF(X597="","",IF(IFERROR(COUNTIF(X$3:X597,"="&amp;SUBSTITUTE(SUBSTITUTE(SUBSTITUTE(X597,"~","~~"),"*","~*"),"?","~?")),0)=1,1,""))</f>
        <v/>
      </c>
      <c r="Z597" s="25">
        <f>IF(T597=1,MAX(Z$2:Z596)+1,"")</f>
        <v/>
      </c>
    </row>
    <row r="598">
      <c r="A598">
        <f>IF(A$2=0,"",IFERROR(TRIM(INDEX('Pegar calibracion'!$A$1:$BZ$1001,597,A$2)&amp;""),""))</f>
        <v/>
      </c>
      <c r="B598">
        <f>IF(B$2=0,"",IFERROR(TRIM(INDEX('Pegar calibracion'!$A$1:$BZ$1001,597,B$2)&amp;""),""))</f>
        <v/>
      </c>
      <c r="C598">
        <f>IF(C$2=0,"",IFERROR(TRIM(INDEX('Pegar calibracion'!$A$1:$BZ$1001,597,C$2)&amp;""),""))</f>
        <v/>
      </c>
      <c r="D598">
        <f>IF(D$2=0,"",IFERROR(TRIM(INDEX('Pegar calibracion'!$A$1:$BZ$1001,597,D$2)&amp;""),""))</f>
        <v/>
      </c>
      <c r="E598">
        <f>IF(E$2=0,"",IFERROR(TRIM(INDEX('Pegar calibracion'!$A$1:$BZ$1001,597,E$2)&amp;""),""))</f>
        <v/>
      </c>
      <c r="F598">
        <f>IF(F$2=0,"",IFERROR(TRIM(INDEX('Pegar calibracion'!$A$1:$BZ$1001,597,F$2)&amp;""),""))</f>
        <v/>
      </c>
      <c r="G598">
        <f>IF(G$2=0,"",IFERROR(TRIM(INDEX('Pegar calibracion'!$A$1:$BZ$1001,597,G$2)&amp;""),""))</f>
        <v/>
      </c>
      <c r="H598">
        <f>IF(H$2=0,"",IFERROR(TRIM(INDEX('Pegar calibracion'!$A$1:$BZ$1001,597,H$2)&amp;""),""))</f>
        <v/>
      </c>
      <c r="I598">
        <f>IF(I$2=0,"",IFERROR(TRIM(INDEX('Pegar calibracion'!$A$1:$BZ$1001,597,I$2)&amp;""),""))</f>
        <v/>
      </c>
      <c r="J598">
        <f>IF(J$2=0,"",IFERROR(TRIM(INDEX('Pegar calibracion'!$A$1:$BZ$1001,597,J$2)&amp;""),""))</f>
        <v/>
      </c>
      <c r="K598">
        <f>IF(K$2=0,"",IFERROR(TRIM(INDEX('Pegar calibracion'!$A$1:$BZ$1001,597,K$2)&amp;""),""))</f>
        <v/>
      </c>
      <c r="L598">
        <f>IF(L$2=0,"",IFERROR(TRIM(INDEX('Pegar calibracion'!$A$1:$BZ$1001,597,L$2)&amp;""),""))</f>
        <v/>
      </c>
      <c r="M598" s="25">
        <f>IF(D598="","",SUBSTITUTE(SUBSTITUTE(SUBSTITUTE(SUBSTITUTE(SUBSTITUTE(SUBSTITUTE(SUBSTITUTE(SUBSTITUTE(SUBSTITUTE(SUBSTITUTE(SUBSTITUTE(SUBSTITUTE(LOWER(TRIM(D598)),"á","a"),"é","e"),"í","i"),"ó","o"),"ú","u"),"ü","u"),"ñ","n"),"à","a"),"è","e"),"ì","i"),"ò","o"),"ù","u"))</f>
        <v/>
      </c>
      <c r="N598" s="25">
        <f>IF(F598="","",SUBSTITUTE(SUBSTITUTE(SUBSTITUTE(SUBSTITUTE(SUBSTITUTE(SUBSTITUTE(SUBSTITUTE(SUBSTITUTE(SUBSTITUTE(SUBSTITUTE(SUBSTITUTE(SUBSTITUTE(LOWER(TRIM(F598)),"á","a"),"é","e"),"í","i"),"ó","o"),"ú","u"),"ü","u"),"ñ","n"),"à","a"),"è","e"),"ì","i"),"ò","o"),"ù","u"))</f>
        <v/>
      </c>
      <c r="O598" s="25">
        <f>IF(M598="confiable",2,IF(M598="dudosa",1,IF(M598="no confiable",0,"")))</f>
        <v/>
      </c>
      <c r="P598" s="25">
        <f>IF(N598="confiable",2,IF(N598="dudosa",1,IF(N598="no confiable",0,"")))</f>
        <v/>
      </c>
      <c r="Q598" s="25">
        <f>IF(AND(ISNUMBER(O598),ISNUMBER(P598)),1,"")</f>
        <v/>
      </c>
      <c r="R598" s="25">
        <f>IF(Q598=1,IF(O598=P598,"Sí","No"),"")</f>
        <v/>
      </c>
      <c r="S598" s="25">
        <f>IF(Q598=1,IF(P598&lt;O598,"Más estricto",IF(P598&gt;O598,"Más permisivo","Igual")),"")</f>
        <v/>
      </c>
      <c r="T598" s="25">
        <f>IF(Q598=1,IF(ABS(O598-P598)=2,1,0),"")</f>
        <v/>
      </c>
      <c r="U598" s="25">
        <f>IF(H598="","","|"&amp;SUBSTITUTE(SUBSTITUTE(TRIM(H598)," |","|"),"| ","|")&amp;"|")</f>
        <v/>
      </c>
      <c r="V598" s="25">
        <f>IF(AND(Q598=1,B598&lt;&gt;""),IF(IFERROR(COUNTIFS(B$3:B598,"="&amp;SUBSTITUTE(SUBSTITUTE(SUBSTITUTE(B598,"~","~~"),"*","~*"),"?","~?"),Q$3:Q598,1),0)=1,MAX(V$2:V597)+1,""),"")</f>
        <v/>
      </c>
      <c r="W598" s="25">
        <f>IF(V598="","",COUNTIFS($B$3:$B$1002,"="&amp;SUBSTITUTE(SUBSTITUTE(SUBSTITUTE(B598,"~","~~"),"*","~*"),"?","~?"),$Q$3:$Q$1002,1)*10000-V598)</f>
        <v/>
      </c>
      <c r="X598" s="25">
        <f>IF(Q598=1,IF(SUBSTITUTE(SUBSTITUTE(SUBSTITUTE(SUBSTITUTE(SUBSTITUTE(SUBSTITUTE(SUBSTITUTE(SUBSTITUTE(SUBSTITUTE(SUBSTITUTE(SUBSTITUTE(SUBSTITUTE(LOWER(TRIM(A598)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598)),"á","a"),"é","e"),"í","i"),"ó","o"),"ú","u"),"ü","u"),"ñ","n"),"à","a"),"è","e"),"ì","i"),"ò","o"),"ù","u")),"")</f>
        <v/>
      </c>
      <c r="Y598" s="25">
        <f>IF(X598="","",IF(IFERROR(COUNTIF(X$3:X598,"="&amp;SUBSTITUTE(SUBSTITUTE(SUBSTITUTE(X598,"~","~~"),"*","~*"),"?","~?")),0)=1,1,""))</f>
        <v/>
      </c>
      <c r="Z598" s="25">
        <f>IF(T598=1,MAX(Z$2:Z597)+1,"")</f>
        <v/>
      </c>
    </row>
    <row r="599">
      <c r="A599">
        <f>IF(A$2=0,"",IFERROR(TRIM(INDEX('Pegar calibracion'!$A$1:$BZ$1001,598,A$2)&amp;""),""))</f>
        <v/>
      </c>
      <c r="B599">
        <f>IF(B$2=0,"",IFERROR(TRIM(INDEX('Pegar calibracion'!$A$1:$BZ$1001,598,B$2)&amp;""),""))</f>
        <v/>
      </c>
      <c r="C599">
        <f>IF(C$2=0,"",IFERROR(TRIM(INDEX('Pegar calibracion'!$A$1:$BZ$1001,598,C$2)&amp;""),""))</f>
        <v/>
      </c>
      <c r="D599">
        <f>IF(D$2=0,"",IFERROR(TRIM(INDEX('Pegar calibracion'!$A$1:$BZ$1001,598,D$2)&amp;""),""))</f>
        <v/>
      </c>
      <c r="E599">
        <f>IF(E$2=0,"",IFERROR(TRIM(INDEX('Pegar calibracion'!$A$1:$BZ$1001,598,E$2)&amp;""),""))</f>
        <v/>
      </c>
      <c r="F599">
        <f>IF(F$2=0,"",IFERROR(TRIM(INDEX('Pegar calibracion'!$A$1:$BZ$1001,598,F$2)&amp;""),""))</f>
        <v/>
      </c>
      <c r="G599">
        <f>IF(G$2=0,"",IFERROR(TRIM(INDEX('Pegar calibracion'!$A$1:$BZ$1001,598,G$2)&amp;""),""))</f>
        <v/>
      </c>
      <c r="H599">
        <f>IF(H$2=0,"",IFERROR(TRIM(INDEX('Pegar calibracion'!$A$1:$BZ$1001,598,H$2)&amp;""),""))</f>
        <v/>
      </c>
      <c r="I599">
        <f>IF(I$2=0,"",IFERROR(TRIM(INDEX('Pegar calibracion'!$A$1:$BZ$1001,598,I$2)&amp;""),""))</f>
        <v/>
      </c>
      <c r="J599">
        <f>IF(J$2=0,"",IFERROR(TRIM(INDEX('Pegar calibracion'!$A$1:$BZ$1001,598,J$2)&amp;""),""))</f>
        <v/>
      </c>
      <c r="K599">
        <f>IF(K$2=0,"",IFERROR(TRIM(INDEX('Pegar calibracion'!$A$1:$BZ$1001,598,K$2)&amp;""),""))</f>
        <v/>
      </c>
      <c r="L599">
        <f>IF(L$2=0,"",IFERROR(TRIM(INDEX('Pegar calibracion'!$A$1:$BZ$1001,598,L$2)&amp;""),""))</f>
        <v/>
      </c>
      <c r="M599" s="25">
        <f>IF(D599="","",SUBSTITUTE(SUBSTITUTE(SUBSTITUTE(SUBSTITUTE(SUBSTITUTE(SUBSTITUTE(SUBSTITUTE(SUBSTITUTE(SUBSTITUTE(SUBSTITUTE(SUBSTITUTE(SUBSTITUTE(LOWER(TRIM(D599)),"á","a"),"é","e"),"í","i"),"ó","o"),"ú","u"),"ü","u"),"ñ","n"),"à","a"),"è","e"),"ì","i"),"ò","o"),"ù","u"))</f>
        <v/>
      </c>
      <c r="N599" s="25">
        <f>IF(F599="","",SUBSTITUTE(SUBSTITUTE(SUBSTITUTE(SUBSTITUTE(SUBSTITUTE(SUBSTITUTE(SUBSTITUTE(SUBSTITUTE(SUBSTITUTE(SUBSTITUTE(SUBSTITUTE(SUBSTITUTE(LOWER(TRIM(F599)),"á","a"),"é","e"),"í","i"),"ó","o"),"ú","u"),"ü","u"),"ñ","n"),"à","a"),"è","e"),"ì","i"),"ò","o"),"ù","u"))</f>
        <v/>
      </c>
      <c r="O599" s="25">
        <f>IF(M599="confiable",2,IF(M599="dudosa",1,IF(M599="no confiable",0,"")))</f>
        <v/>
      </c>
      <c r="P599" s="25">
        <f>IF(N599="confiable",2,IF(N599="dudosa",1,IF(N599="no confiable",0,"")))</f>
        <v/>
      </c>
      <c r="Q599" s="25">
        <f>IF(AND(ISNUMBER(O599),ISNUMBER(P599)),1,"")</f>
        <v/>
      </c>
      <c r="R599" s="25">
        <f>IF(Q599=1,IF(O599=P599,"Sí","No"),"")</f>
        <v/>
      </c>
      <c r="S599" s="25">
        <f>IF(Q599=1,IF(P599&lt;O599,"Más estricto",IF(P599&gt;O599,"Más permisivo","Igual")),"")</f>
        <v/>
      </c>
      <c r="T599" s="25">
        <f>IF(Q599=1,IF(ABS(O599-P599)=2,1,0),"")</f>
        <v/>
      </c>
      <c r="U599" s="25">
        <f>IF(H599="","","|"&amp;SUBSTITUTE(SUBSTITUTE(TRIM(H599)," |","|"),"| ","|")&amp;"|")</f>
        <v/>
      </c>
      <c r="V599" s="25">
        <f>IF(AND(Q599=1,B599&lt;&gt;""),IF(IFERROR(COUNTIFS(B$3:B599,"="&amp;SUBSTITUTE(SUBSTITUTE(SUBSTITUTE(B599,"~","~~"),"*","~*"),"?","~?"),Q$3:Q599,1),0)=1,MAX(V$2:V598)+1,""),"")</f>
        <v/>
      </c>
      <c r="W599" s="25">
        <f>IF(V599="","",COUNTIFS($B$3:$B$1002,"="&amp;SUBSTITUTE(SUBSTITUTE(SUBSTITUTE(B599,"~","~~"),"*","~*"),"?","~?"),$Q$3:$Q$1002,1)*10000-V599)</f>
        <v/>
      </c>
      <c r="X599" s="25">
        <f>IF(Q599=1,IF(SUBSTITUTE(SUBSTITUTE(SUBSTITUTE(SUBSTITUTE(SUBSTITUTE(SUBSTITUTE(SUBSTITUTE(SUBSTITUTE(SUBSTITUTE(SUBSTITUTE(SUBSTITUTE(SUBSTITUTE(LOWER(TRIM(A599)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599)),"á","a"),"é","e"),"í","i"),"ó","o"),"ú","u"),"ü","u"),"ñ","n"),"à","a"),"è","e"),"ì","i"),"ò","o"),"ù","u")),"")</f>
        <v/>
      </c>
      <c r="Y599" s="25">
        <f>IF(X599="","",IF(IFERROR(COUNTIF(X$3:X599,"="&amp;SUBSTITUTE(SUBSTITUTE(SUBSTITUTE(X599,"~","~~"),"*","~*"),"?","~?")),0)=1,1,""))</f>
        <v/>
      </c>
      <c r="Z599" s="25">
        <f>IF(T599=1,MAX(Z$2:Z598)+1,"")</f>
        <v/>
      </c>
    </row>
    <row r="600">
      <c r="A600">
        <f>IF(A$2=0,"",IFERROR(TRIM(INDEX('Pegar calibracion'!$A$1:$BZ$1001,599,A$2)&amp;""),""))</f>
        <v/>
      </c>
      <c r="B600">
        <f>IF(B$2=0,"",IFERROR(TRIM(INDEX('Pegar calibracion'!$A$1:$BZ$1001,599,B$2)&amp;""),""))</f>
        <v/>
      </c>
      <c r="C600">
        <f>IF(C$2=0,"",IFERROR(TRIM(INDEX('Pegar calibracion'!$A$1:$BZ$1001,599,C$2)&amp;""),""))</f>
        <v/>
      </c>
      <c r="D600">
        <f>IF(D$2=0,"",IFERROR(TRIM(INDEX('Pegar calibracion'!$A$1:$BZ$1001,599,D$2)&amp;""),""))</f>
        <v/>
      </c>
      <c r="E600">
        <f>IF(E$2=0,"",IFERROR(TRIM(INDEX('Pegar calibracion'!$A$1:$BZ$1001,599,E$2)&amp;""),""))</f>
        <v/>
      </c>
      <c r="F600">
        <f>IF(F$2=0,"",IFERROR(TRIM(INDEX('Pegar calibracion'!$A$1:$BZ$1001,599,F$2)&amp;""),""))</f>
        <v/>
      </c>
      <c r="G600">
        <f>IF(G$2=0,"",IFERROR(TRIM(INDEX('Pegar calibracion'!$A$1:$BZ$1001,599,G$2)&amp;""),""))</f>
        <v/>
      </c>
      <c r="H600">
        <f>IF(H$2=0,"",IFERROR(TRIM(INDEX('Pegar calibracion'!$A$1:$BZ$1001,599,H$2)&amp;""),""))</f>
        <v/>
      </c>
      <c r="I600">
        <f>IF(I$2=0,"",IFERROR(TRIM(INDEX('Pegar calibracion'!$A$1:$BZ$1001,599,I$2)&amp;""),""))</f>
        <v/>
      </c>
      <c r="J600">
        <f>IF(J$2=0,"",IFERROR(TRIM(INDEX('Pegar calibracion'!$A$1:$BZ$1001,599,J$2)&amp;""),""))</f>
        <v/>
      </c>
      <c r="K600">
        <f>IF(K$2=0,"",IFERROR(TRIM(INDEX('Pegar calibracion'!$A$1:$BZ$1001,599,K$2)&amp;""),""))</f>
        <v/>
      </c>
      <c r="L600">
        <f>IF(L$2=0,"",IFERROR(TRIM(INDEX('Pegar calibracion'!$A$1:$BZ$1001,599,L$2)&amp;""),""))</f>
        <v/>
      </c>
      <c r="M600" s="25">
        <f>IF(D600="","",SUBSTITUTE(SUBSTITUTE(SUBSTITUTE(SUBSTITUTE(SUBSTITUTE(SUBSTITUTE(SUBSTITUTE(SUBSTITUTE(SUBSTITUTE(SUBSTITUTE(SUBSTITUTE(SUBSTITUTE(LOWER(TRIM(D600)),"á","a"),"é","e"),"í","i"),"ó","o"),"ú","u"),"ü","u"),"ñ","n"),"à","a"),"è","e"),"ì","i"),"ò","o"),"ù","u"))</f>
        <v/>
      </c>
      <c r="N600" s="25">
        <f>IF(F600="","",SUBSTITUTE(SUBSTITUTE(SUBSTITUTE(SUBSTITUTE(SUBSTITUTE(SUBSTITUTE(SUBSTITUTE(SUBSTITUTE(SUBSTITUTE(SUBSTITUTE(SUBSTITUTE(SUBSTITUTE(LOWER(TRIM(F600)),"á","a"),"é","e"),"í","i"),"ó","o"),"ú","u"),"ü","u"),"ñ","n"),"à","a"),"è","e"),"ì","i"),"ò","o"),"ù","u"))</f>
        <v/>
      </c>
      <c r="O600" s="25">
        <f>IF(M600="confiable",2,IF(M600="dudosa",1,IF(M600="no confiable",0,"")))</f>
        <v/>
      </c>
      <c r="P600" s="25">
        <f>IF(N600="confiable",2,IF(N600="dudosa",1,IF(N600="no confiable",0,"")))</f>
        <v/>
      </c>
      <c r="Q600" s="25">
        <f>IF(AND(ISNUMBER(O600),ISNUMBER(P600)),1,"")</f>
        <v/>
      </c>
      <c r="R600" s="25">
        <f>IF(Q600=1,IF(O600=P600,"Sí","No"),"")</f>
        <v/>
      </c>
      <c r="S600" s="25">
        <f>IF(Q600=1,IF(P600&lt;O600,"Más estricto",IF(P600&gt;O600,"Más permisivo","Igual")),"")</f>
        <v/>
      </c>
      <c r="T600" s="25">
        <f>IF(Q600=1,IF(ABS(O600-P600)=2,1,0),"")</f>
        <v/>
      </c>
      <c r="U600" s="25">
        <f>IF(H600="","","|"&amp;SUBSTITUTE(SUBSTITUTE(TRIM(H600)," |","|"),"| ","|")&amp;"|")</f>
        <v/>
      </c>
      <c r="V600" s="25">
        <f>IF(AND(Q600=1,B600&lt;&gt;""),IF(IFERROR(COUNTIFS(B$3:B600,"="&amp;SUBSTITUTE(SUBSTITUTE(SUBSTITUTE(B600,"~","~~"),"*","~*"),"?","~?"),Q$3:Q600,1),0)=1,MAX(V$2:V599)+1,""),"")</f>
        <v/>
      </c>
      <c r="W600" s="25">
        <f>IF(V600="","",COUNTIFS($B$3:$B$1002,"="&amp;SUBSTITUTE(SUBSTITUTE(SUBSTITUTE(B600,"~","~~"),"*","~*"),"?","~?"),$Q$3:$Q$1002,1)*10000-V600)</f>
        <v/>
      </c>
      <c r="X600" s="25">
        <f>IF(Q600=1,IF(SUBSTITUTE(SUBSTITUTE(SUBSTITUTE(SUBSTITUTE(SUBSTITUTE(SUBSTITUTE(SUBSTITUTE(SUBSTITUTE(SUBSTITUTE(SUBSTITUTE(SUBSTITUTE(SUBSTITUTE(LOWER(TRIM(A600)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600)),"á","a"),"é","e"),"í","i"),"ó","o"),"ú","u"),"ü","u"),"ñ","n"),"à","a"),"è","e"),"ì","i"),"ò","o"),"ù","u")),"")</f>
        <v/>
      </c>
      <c r="Y600" s="25">
        <f>IF(X600="","",IF(IFERROR(COUNTIF(X$3:X600,"="&amp;SUBSTITUTE(SUBSTITUTE(SUBSTITUTE(X600,"~","~~"),"*","~*"),"?","~?")),0)=1,1,""))</f>
        <v/>
      </c>
      <c r="Z600" s="25">
        <f>IF(T600=1,MAX(Z$2:Z599)+1,"")</f>
        <v/>
      </c>
    </row>
    <row r="601">
      <c r="A601">
        <f>IF(A$2=0,"",IFERROR(TRIM(INDEX('Pegar calibracion'!$A$1:$BZ$1001,600,A$2)&amp;""),""))</f>
        <v/>
      </c>
      <c r="B601">
        <f>IF(B$2=0,"",IFERROR(TRIM(INDEX('Pegar calibracion'!$A$1:$BZ$1001,600,B$2)&amp;""),""))</f>
        <v/>
      </c>
      <c r="C601">
        <f>IF(C$2=0,"",IFERROR(TRIM(INDEX('Pegar calibracion'!$A$1:$BZ$1001,600,C$2)&amp;""),""))</f>
        <v/>
      </c>
      <c r="D601">
        <f>IF(D$2=0,"",IFERROR(TRIM(INDEX('Pegar calibracion'!$A$1:$BZ$1001,600,D$2)&amp;""),""))</f>
        <v/>
      </c>
      <c r="E601">
        <f>IF(E$2=0,"",IFERROR(TRIM(INDEX('Pegar calibracion'!$A$1:$BZ$1001,600,E$2)&amp;""),""))</f>
        <v/>
      </c>
      <c r="F601">
        <f>IF(F$2=0,"",IFERROR(TRIM(INDEX('Pegar calibracion'!$A$1:$BZ$1001,600,F$2)&amp;""),""))</f>
        <v/>
      </c>
      <c r="G601">
        <f>IF(G$2=0,"",IFERROR(TRIM(INDEX('Pegar calibracion'!$A$1:$BZ$1001,600,G$2)&amp;""),""))</f>
        <v/>
      </c>
      <c r="H601">
        <f>IF(H$2=0,"",IFERROR(TRIM(INDEX('Pegar calibracion'!$A$1:$BZ$1001,600,H$2)&amp;""),""))</f>
        <v/>
      </c>
      <c r="I601">
        <f>IF(I$2=0,"",IFERROR(TRIM(INDEX('Pegar calibracion'!$A$1:$BZ$1001,600,I$2)&amp;""),""))</f>
        <v/>
      </c>
      <c r="J601">
        <f>IF(J$2=0,"",IFERROR(TRIM(INDEX('Pegar calibracion'!$A$1:$BZ$1001,600,J$2)&amp;""),""))</f>
        <v/>
      </c>
      <c r="K601">
        <f>IF(K$2=0,"",IFERROR(TRIM(INDEX('Pegar calibracion'!$A$1:$BZ$1001,600,K$2)&amp;""),""))</f>
        <v/>
      </c>
      <c r="L601">
        <f>IF(L$2=0,"",IFERROR(TRIM(INDEX('Pegar calibracion'!$A$1:$BZ$1001,600,L$2)&amp;""),""))</f>
        <v/>
      </c>
      <c r="M601" s="25">
        <f>IF(D601="","",SUBSTITUTE(SUBSTITUTE(SUBSTITUTE(SUBSTITUTE(SUBSTITUTE(SUBSTITUTE(SUBSTITUTE(SUBSTITUTE(SUBSTITUTE(SUBSTITUTE(SUBSTITUTE(SUBSTITUTE(LOWER(TRIM(D601)),"á","a"),"é","e"),"í","i"),"ó","o"),"ú","u"),"ü","u"),"ñ","n"),"à","a"),"è","e"),"ì","i"),"ò","o"),"ù","u"))</f>
        <v/>
      </c>
      <c r="N601" s="25">
        <f>IF(F601="","",SUBSTITUTE(SUBSTITUTE(SUBSTITUTE(SUBSTITUTE(SUBSTITUTE(SUBSTITUTE(SUBSTITUTE(SUBSTITUTE(SUBSTITUTE(SUBSTITUTE(SUBSTITUTE(SUBSTITUTE(LOWER(TRIM(F601)),"á","a"),"é","e"),"í","i"),"ó","o"),"ú","u"),"ü","u"),"ñ","n"),"à","a"),"è","e"),"ì","i"),"ò","o"),"ù","u"))</f>
        <v/>
      </c>
      <c r="O601" s="25">
        <f>IF(M601="confiable",2,IF(M601="dudosa",1,IF(M601="no confiable",0,"")))</f>
        <v/>
      </c>
      <c r="P601" s="25">
        <f>IF(N601="confiable",2,IF(N601="dudosa",1,IF(N601="no confiable",0,"")))</f>
        <v/>
      </c>
      <c r="Q601" s="25">
        <f>IF(AND(ISNUMBER(O601),ISNUMBER(P601)),1,"")</f>
        <v/>
      </c>
      <c r="R601" s="25">
        <f>IF(Q601=1,IF(O601=P601,"Sí","No"),"")</f>
        <v/>
      </c>
      <c r="S601" s="25">
        <f>IF(Q601=1,IF(P601&lt;O601,"Más estricto",IF(P601&gt;O601,"Más permisivo","Igual")),"")</f>
        <v/>
      </c>
      <c r="T601" s="25">
        <f>IF(Q601=1,IF(ABS(O601-P601)=2,1,0),"")</f>
        <v/>
      </c>
      <c r="U601" s="25">
        <f>IF(H601="","","|"&amp;SUBSTITUTE(SUBSTITUTE(TRIM(H601)," |","|"),"| ","|")&amp;"|")</f>
        <v/>
      </c>
      <c r="V601" s="25">
        <f>IF(AND(Q601=1,B601&lt;&gt;""),IF(IFERROR(COUNTIFS(B$3:B601,"="&amp;SUBSTITUTE(SUBSTITUTE(SUBSTITUTE(B601,"~","~~"),"*","~*"),"?","~?"),Q$3:Q601,1),0)=1,MAX(V$2:V600)+1,""),"")</f>
        <v/>
      </c>
      <c r="W601" s="25">
        <f>IF(V601="","",COUNTIFS($B$3:$B$1002,"="&amp;SUBSTITUTE(SUBSTITUTE(SUBSTITUTE(B601,"~","~~"),"*","~*"),"?","~?"),$Q$3:$Q$1002,1)*10000-V601)</f>
        <v/>
      </c>
      <c r="X601" s="25">
        <f>IF(Q601=1,IF(SUBSTITUTE(SUBSTITUTE(SUBSTITUTE(SUBSTITUTE(SUBSTITUTE(SUBSTITUTE(SUBSTITUTE(SUBSTITUTE(SUBSTITUTE(SUBSTITUTE(SUBSTITUTE(SUBSTITUTE(LOWER(TRIM(A601)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601)),"á","a"),"é","e"),"í","i"),"ó","o"),"ú","u"),"ü","u"),"ñ","n"),"à","a"),"è","e"),"ì","i"),"ò","o"),"ù","u")),"")</f>
        <v/>
      </c>
      <c r="Y601" s="25">
        <f>IF(X601="","",IF(IFERROR(COUNTIF(X$3:X601,"="&amp;SUBSTITUTE(SUBSTITUTE(SUBSTITUTE(X601,"~","~~"),"*","~*"),"?","~?")),0)=1,1,""))</f>
        <v/>
      </c>
      <c r="Z601" s="25">
        <f>IF(T601=1,MAX(Z$2:Z600)+1,"")</f>
        <v/>
      </c>
    </row>
    <row r="602">
      <c r="A602">
        <f>IF(A$2=0,"",IFERROR(TRIM(INDEX('Pegar calibracion'!$A$1:$BZ$1001,601,A$2)&amp;""),""))</f>
        <v/>
      </c>
      <c r="B602">
        <f>IF(B$2=0,"",IFERROR(TRIM(INDEX('Pegar calibracion'!$A$1:$BZ$1001,601,B$2)&amp;""),""))</f>
        <v/>
      </c>
      <c r="C602">
        <f>IF(C$2=0,"",IFERROR(TRIM(INDEX('Pegar calibracion'!$A$1:$BZ$1001,601,C$2)&amp;""),""))</f>
        <v/>
      </c>
      <c r="D602">
        <f>IF(D$2=0,"",IFERROR(TRIM(INDEX('Pegar calibracion'!$A$1:$BZ$1001,601,D$2)&amp;""),""))</f>
        <v/>
      </c>
      <c r="E602">
        <f>IF(E$2=0,"",IFERROR(TRIM(INDEX('Pegar calibracion'!$A$1:$BZ$1001,601,E$2)&amp;""),""))</f>
        <v/>
      </c>
      <c r="F602">
        <f>IF(F$2=0,"",IFERROR(TRIM(INDEX('Pegar calibracion'!$A$1:$BZ$1001,601,F$2)&amp;""),""))</f>
        <v/>
      </c>
      <c r="G602">
        <f>IF(G$2=0,"",IFERROR(TRIM(INDEX('Pegar calibracion'!$A$1:$BZ$1001,601,G$2)&amp;""),""))</f>
        <v/>
      </c>
      <c r="H602">
        <f>IF(H$2=0,"",IFERROR(TRIM(INDEX('Pegar calibracion'!$A$1:$BZ$1001,601,H$2)&amp;""),""))</f>
        <v/>
      </c>
      <c r="I602">
        <f>IF(I$2=0,"",IFERROR(TRIM(INDEX('Pegar calibracion'!$A$1:$BZ$1001,601,I$2)&amp;""),""))</f>
        <v/>
      </c>
      <c r="J602">
        <f>IF(J$2=0,"",IFERROR(TRIM(INDEX('Pegar calibracion'!$A$1:$BZ$1001,601,J$2)&amp;""),""))</f>
        <v/>
      </c>
      <c r="K602">
        <f>IF(K$2=0,"",IFERROR(TRIM(INDEX('Pegar calibracion'!$A$1:$BZ$1001,601,K$2)&amp;""),""))</f>
        <v/>
      </c>
      <c r="L602">
        <f>IF(L$2=0,"",IFERROR(TRIM(INDEX('Pegar calibracion'!$A$1:$BZ$1001,601,L$2)&amp;""),""))</f>
        <v/>
      </c>
      <c r="M602" s="25">
        <f>IF(D602="","",SUBSTITUTE(SUBSTITUTE(SUBSTITUTE(SUBSTITUTE(SUBSTITUTE(SUBSTITUTE(SUBSTITUTE(SUBSTITUTE(SUBSTITUTE(SUBSTITUTE(SUBSTITUTE(SUBSTITUTE(LOWER(TRIM(D602)),"á","a"),"é","e"),"í","i"),"ó","o"),"ú","u"),"ü","u"),"ñ","n"),"à","a"),"è","e"),"ì","i"),"ò","o"),"ù","u"))</f>
        <v/>
      </c>
      <c r="N602" s="25">
        <f>IF(F602="","",SUBSTITUTE(SUBSTITUTE(SUBSTITUTE(SUBSTITUTE(SUBSTITUTE(SUBSTITUTE(SUBSTITUTE(SUBSTITUTE(SUBSTITUTE(SUBSTITUTE(SUBSTITUTE(SUBSTITUTE(LOWER(TRIM(F602)),"á","a"),"é","e"),"í","i"),"ó","o"),"ú","u"),"ü","u"),"ñ","n"),"à","a"),"è","e"),"ì","i"),"ò","o"),"ù","u"))</f>
        <v/>
      </c>
      <c r="O602" s="25">
        <f>IF(M602="confiable",2,IF(M602="dudosa",1,IF(M602="no confiable",0,"")))</f>
        <v/>
      </c>
      <c r="P602" s="25">
        <f>IF(N602="confiable",2,IF(N602="dudosa",1,IF(N602="no confiable",0,"")))</f>
        <v/>
      </c>
      <c r="Q602" s="25">
        <f>IF(AND(ISNUMBER(O602),ISNUMBER(P602)),1,"")</f>
        <v/>
      </c>
      <c r="R602" s="25">
        <f>IF(Q602=1,IF(O602=P602,"Sí","No"),"")</f>
        <v/>
      </c>
      <c r="S602" s="25">
        <f>IF(Q602=1,IF(P602&lt;O602,"Más estricto",IF(P602&gt;O602,"Más permisivo","Igual")),"")</f>
        <v/>
      </c>
      <c r="T602" s="25">
        <f>IF(Q602=1,IF(ABS(O602-P602)=2,1,0),"")</f>
        <v/>
      </c>
      <c r="U602" s="25">
        <f>IF(H602="","","|"&amp;SUBSTITUTE(SUBSTITUTE(TRIM(H602)," |","|"),"| ","|")&amp;"|")</f>
        <v/>
      </c>
      <c r="V602" s="25">
        <f>IF(AND(Q602=1,B602&lt;&gt;""),IF(IFERROR(COUNTIFS(B$3:B602,"="&amp;SUBSTITUTE(SUBSTITUTE(SUBSTITUTE(B602,"~","~~"),"*","~*"),"?","~?"),Q$3:Q602,1),0)=1,MAX(V$2:V601)+1,""),"")</f>
        <v/>
      </c>
      <c r="W602" s="25">
        <f>IF(V602="","",COUNTIFS($B$3:$B$1002,"="&amp;SUBSTITUTE(SUBSTITUTE(SUBSTITUTE(B602,"~","~~"),"*","~*"),"?","~?"),$Q$3:$Q$1002,1)*10000-V602)</f>
        <v/>
      </c>
      <c r="X602" s="25">
        <f>IF(Q602=1,IF(SUBSTITUTE(SUBSTITUTE(SUBSTITUTE(SUBSTITUTE(SUBSTITUTE(SUBSTITUTE(SUBSTITUTE(SUBSTITUTE(SUBSTITUTE(SUBSTITUTE(SUBSTITUTE(SUBSTITUTE(LOWER(TRIM(A602)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602)),"á","a"),"é","e"),"í","i"),"ó","o"),"ú","u"),"ü","u"),"ñ","n"),"à","a"),"è","e"),"ì","i"),"ò","o"),"ù","u")),"")</f>
        <v/>
      </c>
      <c r="Y602" s="25">
        <f>IF(X602="","",IF(IFERROR(COUNTIF(X$3:X602,"="&amp;SUBSTITUTE(SUBSTITUTE(SUBSTITUTE(X602,"~","~~"),"*","~*"),"?","~?")),0)=1,1,""))</f>
        <v/>
      </c>
      <c r="Z602" s="25">
        <f>IF(T602=1,MAX(Z$2:Z601)+1,"")</f>
        <v/>
      </c>
    </row>
    <row r="603">
      <c r="A603">
        <f>IF(A$2=0,"",IFERROR(TRIM(INDEX('Pegar calibracion'!$A$1:$BZ$1001,602,A$2)&amp;""),""))</f>
        <v/>
      </c>
      <c r="B603">
        <f>IF(B$2=0,"",IFERROR(TRIM(INDEX('Pegar calibracion'!$A$1:$BZ$1001,602,B$2)&amp;""),""))</f>
        <v/>
      </c>
      <c r="C603">
        <f>IF(C$2=0,"",IFERROR(TRIM(INDEX('Pegar calibracion'!$A$1:$BZ$1001,602,C$2)&amp;""),""))</f>
        <v/>
      </c>
      <c r="D603">
        <f>IF(D$2=0,"",IFERROR(TRIM(INDEX('Pegar calibracion'!$A$1:$BZ$1001,602,D$2)&amp;""),""))</f>
        <v/>
      </c>
      <c r="E603">
        <f>IF(E$2=0,"",IFERROR(TRIM(INDEX('Pegar calibracion'!$A$1:$BZ$1001,602,E$2)&amp;""),""))</f>
        <v/>
      </c>
      <c r="F603">
        <f>IF(F$2=0,"",IFERROR(TRIM(INDEX('Pegar calibracion'!$A$1:$BZ$1001,602,F$2)&amp;""),""))</f>
        <v/>
      </c>
      <c r="G603">
        <f>IF(G$2=0,"",IFERROR(TRIM(INDEX('Pegar calibracion'!$A$1:$BZ$1001,602,G$2)&amp;""),""))</f>
        <v/>
      </c>
      <c r="H603">
        <f>IF(H$2=0,"",IFERROR(TRIM(INDEX('Pegar calibracion'!$A$1:$BZ$1001,602,H$2)&amp;""),""))</f>
        <v/>
      </c>
      <c r="I603">
        <f>IF(I$2=0,"",IFERROR(TRIM(INDEX('Pegar calibracion'!$A$1:$BZ$1001,602,I$2)&amp;""),""))</f>
        <v/>
      </c>
      <c r="J603">
        <f>IF(J$2=0,"",IFERROR(TRIM(INDEX('Pegar calibracion'!$A$1:$BZ$1001,602,J$2)&amp;""),""))</f>
        <v/>
      </c>
      <c r="K603">
        <f>IF(K$2=0,"",IFERROR(TRIM(INDEX('Pegar calibracion'!$A$1:$BZ$1001,602,K$2)&amp;""),""))</f>
        <v/>
      </c>
      <c r="L603">
        <f>IF(L$2=0,"",IFERROR(TRIM(INDEX('Pegar calibracion'!$A$1:$BZ$1001,602,L$2)&amp;""),""))</f>
        <v/>
      </c>
      <c r="M603" s="25">
        <f>IF(D603="","",SUBSTITUTE(SUBSTITUTE(SUBSTITUTE(SUBSTITUTE(SUBSTITUTE(SUBSTITUTE(SUBSTITUTE(SUBSTITUTE(SUBSTITUTE(SUBSTITUTE(SUBSTITUTE(SUBSTITUTE(LOWER(TRIM(D603)),"á","a"),"é","e"),"í","i"),"ó","o"),"ú","u"),"ü","u"),"ñ","n"),"à","a"),"è","e"),"ì","i"),"ò","o"),"ù","u"))</f>
        <v/>
      </c>
      <c r="N603" s="25">
        <f>IF(F603="","",SUBSTITUTE(SUBSTITUTE(SUBSTITUTE(SUBSTITUTE(SUBSTITUTE(SUBSTITUTE(SUBSTITUTE(SUBSTITUTE(SUBSTITUTE(SUBSTITUTE(SUBSTITUTE(SUBSTITUTE(LOWER(TRIM(F603)),"á","a"),"é","e"),"í","i"),"ó","o"),"ú","u"),"ü","u"),"ñ","n"),"à","a"),"è","e"),"ì","i"),"ò","o"),"ù","u"))</f>
        <v/>
      </c>
      <c r="O603" s="25">
        <f>IF(M603="confiable",2,IF(M603="dudosa",1,IF(M603="no confiable",0,"")))</f>
        <v/>
      </c>
      <c r="P603" s="25">
        <f>IF(N603="confiable",2,IF(N603="dudosa",1,IF(N603="no confiable",0,"")))</f>
        <v/>
      </c>
      <c r="Q603" s="25">
        <f>IF(AND(ISNUMBER(O603),ISNUMBER(P603)),1,"")</f>
        <v/>
      </c>
      <c r="R603" s="25">
        <f>IF(Q603=1,IF(O603=P603,"Sí","No"),"")</f>
        <v/>
      </c>
      <c r="S603" s="25">
        <f>IF(Q603=1,IF(P603&lt;O603,"Más estricto",IF(P603&gt;O603,"Más permisivo","Igual")),"")</f>
        <v/>
      </c>
      <c r="T603" s="25">
        <f>IF(Q603=1,IF(ABS(O603-P603)=2,1,0),"")</f>
        <v/>
      </c>
      <c r="U603" s="25">
        <f>IF(H603="","","|"&amp;SUBSTITUTE(SUBSTITUTE(TRIM(H603)," |","|"),"| ","|")&amp;"|")</f>
        <v/>
      </c>
      <c r="V603" s="25">
        <f>IF(AND(Q603=1,B603&lt;&gt;""),IF(IFERROR(COUNTIFS(B$3:B603,"="&amp;SUBSTITUTE(SUBSTITUTE(SUBSTITUTE(B603,"~","~~"),"*","~*"),"?","~?"),Q$3:Q603,1),0)=1,MAX(V$2:V602)+1,""),"")</f>
        <v/>
      </c>
      <c r="W603" s="25">
        <f>IF(V603="","",COUNTIFS($B$3:$B$1002,"="&amp;SUBSTITUTE(SUBSTITUTE(SUBSTITUTE(B603,"~","~~"),"*","~*"),"?","~?"),$Q$3:$Q$1002,1)*10000-V603)</f>
        <v/>
      </c>
      <c r="X603" s="25">
        <f>IF(Q603=1,IF(SUBSTITUTE(SUBSTITUTE(SUBSTITUTE(SUBSTITUTE(SUBSTITUTE(SUBSTITUTE(SUBSTITUTE(SUBSTITUTE(SUBSTITUTE(SUBSTITUTE(SUBSTITUTE(SUBSTITUTE(LOWER(TRIM(A603)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603)),"á","a"),"é","e"),"í","i"),"ó","o"),"ú","u"),"ü","u"),"ñ","n"),"à","a"),"è","e"),"ì","i"),"ò","o"),"ù","u")),"")</f>
        <v/>
      </c>
      <c r="Y603" s="25">
        <f>IF(X603="","",IF(IFERROR(COUNTIF(X$3:X603,"="&amp;SUBSTITUTE(SUBSTITUTE(SUBSTITUTE(X603,"~","~~"),"*","~*"),"?","~?")),0)=1,1,""))</f>
        <v/>
      </c>
      <c r="Z603" s="25">
        <f>IF(T603=1,MAX(Z$2:Z602)+1,"")</f>
        <v/>
      </c>
    </row>
    <row r="604">
      <c r="A604">
        <f>IF(A$2=0,"",IFERROR(TRIM(INDEX('Pegar calibracion'!$A$1:$BZ$1001,603,A$2)&amp;""),""))</f>
        <v/>
      </c>
      <c r="B604">
        <f>IF(B$2=0,"",IFERROR(TRIM(INDEX('Pegar calibracion'!$A$1:$BZ$1001,603,B$2)&amp;""),""))</f>
        <v/>
      </c>
      <c r="C604">
        <f>IF(C$2=0,"",IFERROR(TRIM(INDEX('Pegar calibracion'!$A$1:$BZ$1001,603,C$2)&amp;""),""))</f>
        <v/>
      </c>
      <c r="D604">
        <f>IF(D$2=0,"",IFERROR(TRIM(INDEX('Pegar calibracion'!$A$1:$BZ$1001,603,D$2)&amp;""),""))</f>
        <v/>
      </c>
      <c r="E604">
        <f>IF(E$2=0,"",IFERROR(TRIM(INDEX('Pegar calibracion'!$A$1:$BZ$1001,603,E$2)&amp;""),""))</f>
        <v/>
      </c>
      <c r="F604">
        <f>IF(F$2=0,"",IFERROR(TRIM(INDEX('Pegar calibracion'!$A$1:$BZ$1001,603,F$2)&amp;""),""))</f>
        <v/>
      </c>
      <c r="G604">
        <f>IF(G$2=0,"",IFERROR(TRIM(INDEX('Pegar calibracion'!$A$1:$BZ$1001,603,G$2)&amp;""),""))</f>
        <v/>
      </c>
      <c r="H604">
        <f>IF(H$2=0,"",IFERROR(TRIM(INDEX('Pegar calibracion'!$A$1:$BZ$1001,603,H$2)&amp;""),""))</f>
        <v/>
      </c>
      <c r="I604">
        <f>IF(I$2=0,"",IFERROR(TRIM(INDEX('Pegar calibracion'!$A$1:$BZ$1001,603,I$2)&amp;""),""))</f>
        <v/>
      </c>
      <c r="J604">
        <f>IF(J$2=0,"",IFERROR(TRIM(INDEX('Pegar calibracion'!$A$1:$BZ$1001,603,J$2)&amp;""),""))</f>
        <v/>
      </c>
      <c r="K604">
        <f>IF(K$2=0,"",IFERROR(TRIM(INDEX('Pegar calibracion'!$A$1:$BZ$1001,603,K$2)&amp;""),""))</f>
        <v/>
      </c>
      <c r="L604">
        <f>IF(L$2=0,"",IFERROR(TRIM(INDEX('Pegar calibracion'!$A$1:$BZ$1001,603,L$2)&amp;""),""))</f>
        <v/>
      </c>
      <c r="M604" s="25">
        <f>IF(D604="","",SUBSTITUTE(SUBSTITUTE(SUBSTITUTE(SUBSTITUTE(SUBSTITUTE(SUBSTITUTE(SUBSTITUTE(SUBSTITUTE(SUBSTITUTE(SUBSTITUTE(SUBSTITUTE(SUBSTITUTE(LOWER(TRIM(D604)),"á","a"),"é","e"),"í","i"),"ó","o"),"ú","u"),"ü","u"),"ñ","n"),"à","a"),"è","e"),"ì","i"),"ò","o"),"ù","u"))</f>
        <v/>
      </c>
      <c r="N604" s="25">
        <f>IF(F604="","",SUBSTITUTE(SUBSTITUTE(SUBSTITUTE(SUBSTITUTE(SUBSTITUTE(SUBSTITUTE(SUBSTITUTE(SUBSTITUTE(SUBSTITUTE(SUBSTITUTE(SUBSTITUTE(SUBSTITUTE(LOWER(TRIM(F604)),"á","a"),"é","e"),"í","i"),"ó","o"),"ú","u"),"ü","u"),"ñ","n"),"à","a"),"è","e"),"ì","i"),"ò","o"),"ù","u"))</f>
        <v/>
      </c>
      <c r="O604" s="25">
        <f>IF(M604="confiable",2,IF(M604="dudosa",1,IF(M604="no confiable",0,"")))</f>
        <v/>
      </c>
      <c r="P604" s="25">
        <f>IF(N604="confiable",2,IF(N604="dudosa",1,IF(N604="no confiable",0,"")))</f>
        <v/>
      </c>
      <c r="Q604" s="25">
        <f>IF(AND(ISNUMBER(O604),ISNUMBER(P604)),1,"")</f>
        <v/>
      </c>
      <c r="R604" s="25">
        <f>IF(Q604=1,IF(O604=P604,"Sí","No"),"")</f>
        <v/>
      </c>
      <c r="S604" s="25">
        <f>IF(Q604=1,IF(P604&lt;O604,"Más estricto",IF(P604&gt;O604,"Más permisivo","Igual")),"")</f>
        <v/>
      </c>
      <c r="T604" s="25">
        <f>IF(Q604=1,IF(ABS(O604-P604)=2,1,0),"")</f>
        <v/>
      </c>
      <c r="U604" s="25">
        <f>IF(H604="","","|"&amp;SUBSTITUTE(SUBSTITUTE(TRIM(H604)," |","|"),"| ","|")&amp;"|")</f>
        <v/>
      </c>
      <c r="V604" s="25">
        <f>IF(AND(Q604=1,B604&lt;&gt;""),IF(IFERROR(COUNTIFS(B$3:B604,"="&amp;SUBSTITUTE(SUBSTITUTE(SUBSTITUTE(B604,"~","~~"),"*","~*"),"?","~?"),Q$3:Q604,1),0)=1,MAX(V$2:V603)+1,""),"")</f>
        <v/>
      </c>
      <c r="W604" s="25">
        <f>IF(V604="","",COUNTIFS($B$3:$B$1002,"="&amp;SUBSTITUTE(SUBSTITUTE(SUBSTITUTE(B604,"~","~~"),"*","~*"),"?","~?"),$Q$3:$Q$1002,1)*10000-V604)</f>
        <v/>
      </c>
      <c r="X604" s="25">
        <f>IF(Q604=1,IF(SUBSTITUTE(SUBSTITUTE(SUBSTITUTE(SUBSTITUTE(SUBSTITUTE(SUBSTITUTE(SUBSTITUTE(SUBSTITUTE(SUBSTITUTE(SUBSTITUTE(SUBSTITUTE(SUBSTITUTE(LOWER(TRIM(A604)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604)),"á","a"),"é","e"),"í","i"),"ó","o"),"ú","u"),"ü","u"),"ñ","n"),"à","a"),"è","e"),"ì","i"),"ò","o"),"ù","u")),"")</f>
        <v/>
      </c>
      <c r="Y604" s="25">
        <f>IF(X604="","",IF(IFERROR(COUNTIF(X$3:X604,"="&amp;SUBSTITUTE(SUBSTITUTE(SUBSTITUTE(X604,"~","~~"),"*","~*"),"?","~?")),0)=1,1,""))</f>
        <v/>
      </c>
      <c r="Z604" s="25">
        <f>IF(T604=1,MAX(Z$2:Z603)+1,"")</f>
        <v/>
      </c>
    </row>
    <row r="605">
      <c r="A605">
        <f>IF(A$2=0,"",IFERROR(TRIM(INDEX('Pegar calibracion'!$A$1:$BZ$1001,604,A$2)&amp;""),""))</f>
        <v/>
      </c>
      <c r="B605">
        <f>IF(B$2=0,"",IFERROR(TRIM(INDEX('Pegar calibracion'!$A$1:$BZ$1001,604,B$2)&amp;""),""))</f>
        <v/>
      </c>
      <c r="C605">
        <f>IF(C$2=0,"",IFERROR(TRIM(INDEX('Pegar calibracion'!$A$1:$BZ$1001,604,C$2)&amp;""),""))</f>
        <v/>
      </c>
      <c r="D605">
        <f>IF(D$2=0,"",IFERROR(TRIM(INDEX('Pegar calibracion'!$A$1:$BZ$1001,604,D$2)&amp;""),""))</f>
        <v/>
      </c>
      <c r="E605">
        <f>IF(E$2=0,"",IFERROR(TRIM(INDEX('Pegar calibracion'!$A$1:$BZ$1001,604,E$2)&amp;""),""))</f>
        <v/>
      </c>
      <c r="F605">
        <f>IF(F$2=0,"",IFERROR(TRIM(INDEX('Pegar calibracion'!$A$1:$BZ$1001,604,F$2)&amp;""),""))</f>
        <v/>
      </c>
      <c r="G605">
        <f>IF(G$2=0,"",IFERROR(TRIM(INDEX('Pegar calibracion'!$A$1:$BZ$1001,604,G$2)&amp;""),""))</f>
        <v/>
      </c>
      <c r="H605">
        <f>IF(H$2=0,"",IFERROR(TRIM(INDEX('Pegar calibracion'!$A$1:$BZ$1001,604,H$2)&amp;""),""))</f>
        <v/>
      </c>
      <c r="I605">
        <f>IF(I$2=0,"",IFERROR(TRIM(INDEX('Pegar calibracion'!$A$1:$BZ$1001,604,I$2)&amp;""),""))</f>
        <v/>
      </c>
      <c r="J605">
        <f>IF(J$2=0,"",IFERROR(TRIM(INDEX('Pegar calibracion'!$A$1:$BZ$1001,604,J$2)&amp;""),""))</f>
        <v/>
      </c>
      <c r="K605">
        <f>IF(K$2=0,"",IFERROR(TRIM(INDEX('Pegar calibracion'!$A$1:$BZ$1001,604,K$2)&amp;""),""))</f>
        <v/>
      </c>
      <c r="L605">
        <f>IF(L$2=0,"",IFERROR(TRIM(INDEX('Pegar calibracion'!$A$1:$BZ$1001,604,L$2)&amp;""),""))</f>
        <v/>
      </c>
      <c r="M605" s="25">
        <f>IF(D605="","",SUBSTITUTE(SUBSTITUTE(SUBSTITUTE(SUBSTITUTE(SUBSTITUTE(SUBSTITUTE(SUBSTITUTE(SUBSTITUTE(SUBSTITUTE(SUBSTITUTE(SUBSTITUTE(SUBSTITUTE(LOWER(TRIM(D605)),"á","a"),"é","e"),"í","i"),"ó","o"),"ú","u"),"ü","u"),"ñ","n"),"à","a"),"è","e"),"ì","i"),"ò","o"),"ù","u"))</f>
        <v/>
      </c>
      <c r="N605" s="25">
        <f>IF(F605="","",SUBSTITUTE(SUBSTITUTE(SUBSTITUTE(SUBSTITUTE(SUBSTITUTE(SUBSTITUTE(SUBSTITUTE(SUBSTITUTE(SUBSTITUTE(SUBSTITUTE(SUBSTITUTE(SUBSTITUTE(LOWER(TRIM(F605)),"á","a"),"é","e"),"í","i"),"ó","o"),"ú","u"),"ü","u"),"ñ","n"),"à","a"),"è","e"),"ì","i"),"ò","o"),"ù","u"))</f>
        <v/>
      </c>
      <c r="O605" s="25">
        <f>IF(M605="confiable",2,IF(M605="dudosa",1,IF(M605="no confiable",0,"")))</f>
        <v/>
      </c>
      <c r="P605" s="25">
        <f>IF(N605="confiable",2,IF(N605="dudosa",1,IF(N605="no confiable",0,"")))</f>
        <v/>
      </c>
      <c r="Q605" s="25">
        <f>IF(AND(ISNUMBER(O605),ISNUMBER(P605)),1,"")</f>
        <v/>
      </c>
      <c r="R605" s="25">
        <f>IF(Q605=1,IF(O605=P605,"Sí","No"),"")</f>
        <v/>
      </c>
      <c r="S605" s="25">
        <f>IF(Q605=1,IF(P605&lt;O605,"Más estricto",IF(P605&gt;O605,"Más permisivo","Igual")),"")</f>
        <v/>
      </c>
      <c r="T605" s="25">
        <f>IF(Q605=1,IF(ABS(O605-P605)=2,1,0),"")</f>
        <v/>
      </c>
      <c r="U605" s="25">
        <f>IF(H605="","","|"&amp;SUBSTITUTE(SUBSTITUTE(TRIM(H605)," |","|"),"| ","|")&amp;"|")</f>
        <v/>
      </c>
      <c r="V605" s="25">
        <f>IF(AND(Q605=1,B605&lt;&gt;""),IF(IFERROR(COUNTIFS(B$3:B605,"="&amp;SUBSTITUTE(SUBSTITUTE(SUBSTITUTE(B605,"~","~~"),"*","~*"),"?","~?"),Q$3:Q605,1),0)=1,MAX(V$2:V604)+1,""),"")</f>
        <v/>
      </c>
      <c r="W605" s="25">
        <f>IF(V605="","",COUNTIFS($B$3:$B$1002,"="&amp;SUBSTITUTE(SUBSTITUTE(SUBSTITUTE(B605,"~","~~"),"*","~*"),"?","~?"),$Q$3:$Q$1002,1)*10000-V605)</f>
        <v/>
      </c>
      <c r="X605" s="25">
        <f>IF(Q605=1,IF(SUBSTITUTE(SUBSTITUTE(SUBSTITUTE(SUBSTITUTE(SUBSTITUTE(SUBSTITUTE(SUBSTITUTE(SUBSTITUTE(SUBSTITUTE(SUBSTITUTE(SUBSTITUTE(SUBSTITUTE(LOWER(TRIM(A605)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605)),"á","a"),"é","e"),"í","i"),"ó","o"),"ú","u"),"ü","u"),"ñ","n"),"à","a"),"è","e"),"ì","i"),"ò","o"),"ù","u")),"")</f>
        <v/>
      </c>
      <c r="Y605" s="25">
        <f>IF(X605="","",IF(IFERROR(COUNTIF(X$3:X605,"="&amp;SUBSTITUTE(SUBSTITUTE(SUBSTITUTE(X605,"~","~~"),"*","~*"),"?","~?")),0)=1,1,""))</f>
        <v/>
      </c>
      <c r="Z605" s="25">
        <f>IF(T605=1,MAX(Z$2:Z604)+1,"")</f>
        <v/>
      </c>
    </row>
    <row r="606">
      <c r="A606">
        <f>IF(A$2=0,"",IFERROR(TRIM(INDEX('Pegar calibracion'!$A$1:$BZ$1001,605,A$2)&amp;""),""))</f>
        <v/>
      </c>
      <c r="B606">
        <f>IF(B$2=0,"",IFERROR(TRIM(INDEX('Pegar calibracion'!$A$1:$BZ$1001,605,B$2)&amp;""),""))</f>
        <v/>
      </c>
      <c r="C606">
        <f>IF(C$2=0,"",IFERROR(TRIM(INDEX('Pegar calibracion'!$A$1:$BZ$1001,605,C$2)&amp;""),""))</f>
        <v/>
      </c>
      <c r="D606">
        <f>IF(D$2=0,"",IFERROR(TRIM(INDEX('Pegar calibracion'!$A$1:$BZ$1001,605,D$2)&amp;""),""))</f>
        <v/>
      </c>
      <c r="E606">
        <f>IF(E$2=0,"",IFERROR(TRIM(INDEX('Pegar calibracion'!$A$1:$BZ$1001,605,E$2)&amp;""),""))</f>
        <v/>
      </c>
      <c r="F606">
        <f>IF(F$2=0,"",IFERROR(TRIM(INDEX('Pegar calibracion'!$A$1:$BZ$1001,605,F$2)&amp;""),""))</f>
        <v/>
      </c>
      <c r="G606">
        <f>IF(G$2=0,"",IFERROR(TRIM(INDEX('Pegar calibracion'!$A$1:$BZ$1001,605,G$2)&amp;""),""))</f>
        <v/>
      </c>
      <c r="H606">
        <f>IF(H$2=0,"",IFERROR(TRIM(INDEX('Pegar calibracion'!$A$1:$BZ$1001,605,H$2)&amp;""),""))</f>
        <v/>
      </c>
      <c r="I606">
        <f>IF(I$2=0,"",IFERROR(TRIM(INDEX('Pegar calibracion'!$A$1:$BZ$1001,605,I$2)&amp;""),""))</f>
        <v/>
      </c>
      <c r="J606">
        <f>IF(J$2=0,"",IFERROR(TRIM(INDEX('Pegar calibracion'!$A$1:$BZ$1001,605,J$2)&amp;""),""))</f>
        <v/>
      </c>
      <c r="K606">
        <f>IF(K$2=0,"",IFERROR(TRIM(INDEX('Pegar calibracion'!$A$1:$BZ$1001,605,K$2)&amp;""),""))</f>
        <v/>
      </c>
      <c r="L606">
        <f>IF(L$2=0,"",IFERROR(TRIM(INDEX('Pegar calibracion'!$A$1:$BZ$1001,605,L$2)&amp;""),""))</f>
        <v/>
      </c>
      <c r="M606" s="25">
        <f>IF(D606="","",SUBSTITUTE(SUBSTITUTE(SUBSTITUTE(SUBSTITUTE(SUBSTITUTE(SUBSTITUTE(SUBSTITUTE(SUBSTITUTE(SUBSTITUTE(SUBSTITUTE(SUBSTITUTE(SUBSTITUTE(LOWER(TRIM(D606)),"á","a"),"é","e"),"í","i"),"ó","o"),"ú","u"),"ü","u"),"ñ","n"),"à","a"),"è","e"),"ì","i"),"ò","o"),"ù","u"))</f>
        <v/>
      </c>
      <c r="N606" s="25">
        <f>IF(F606="","",SUBSTITUTE(SUBSTITUTE(SUBSTITUTE(SUBSTITUTE(SUBSTITUTE(SUBSTITUTE(SUBSTITUTE(SUBSTITUTE(SUBSTITUTE(SUBSTITUTE(SUBSTITUTE(SUBSTITUTE(LOWER(TRIM(F606)),"á","a"),"é","e"),"í","i"),"ó","o"),"ú","u"),"ü","u"),"ñ","n"),"à","a"),"è","e"),"ì","i"),"ò","o"),"ù","u"))</f>
        <v/>
      </c>
      <c r="O606" s="25">
        <f>IF(M606="confiable",2,IF(M606="dudosa",1,IF(M606="no confiable",0,"")))</f>
        <v/>
      </c>
      <c r="P606" s="25">
        <f>IF(N606="confiable",2,IF(N606="dudosa",1,IF(N606="no confiable",0,"")))</f>
        <v/>
      </c>
      <c r="Q606" s="25">
        <f>IF(AND(ISNUMBER(O606),ISNUMBER(P606)),1,"")</f>
        <v/>
      </c>
      <c r="R606" s="25">
        <f>IF(Q606=1,IF(O606=P606,"Sí","No"),"")</f>
        <v/>
      </c>
      <c r="S606" s="25">
        <f>IF(Q606=1,IF(P606&lt;O606,"Más estricto",IF(P606&gt;O606,"Más permisivo","Igual")),"")</f>
        <v/>
      </c>
      <c r="T606" s="25">
        <f>IF(Q606=1,IF(ABS(O606-P606)=2,1,0),"")</f>
        <v/>
      </c>
      <c r="U606" s="25">
        <f>IF(H606="","","|"&amp;SUBSTITUTE(SUBSTITUTE(TRIM(H606)," |","|"),"| ","|")&amp;"|")</f>
        <v/>
      </c>
      <c r="V606" s="25">
        <f>IF(AND(Q606=1,B606&lt;&gt;""),IF(IFERROR(COUNTIFS(B$3:B606,"="&amp;SUBSTITUTE(SUBSTITUTE(SUBSTITUTE(B606,"~","~~"),"*","~*"),"?","~?"),Q$3:Q606,1),0)=1,MAX(V$2:V605)+1,""),"")</f>
        <v/>
      </c>
      <c r="W606" s="25">
        <f>IF(V606="","",COUNTIFS($B$3:$B$1002,"="&amp;SUBSTITUTE(SUBSTITUTE(SUBSTITUTE(B606,"~","~~"),"*","~*"),"?","~?"),$Q$3:$Q$1002,1)*10000-V606)</f>
        <v/>
      </c>
      <c r="X606" s="25">
        <f>IF(Q606=1,IF(SUBSTITUTE(SUBSTITUTE(SUBSTITUTE(SUBSTITUTE(SUBSTITUTE(SUBSTITUTE(SUBSTITUTE(SUBSTITUTE(SUBSTITUTE(SUBSTITUTE(SUBSTITUTE(SUBSTITUTE(LOWER(TRIM(A606)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606)),"á","a"),"é","e"),"í","i"),"ó","o"),"ú","u"),"ü","u"),"ñ","n"),"à","a"),"è","e"),"ì","i"),"ò","o"),"ù","u")),"")</f>
        <v/>
      </c>
      <c r="Y606" s="25">
        <f>IF(X606="","",IF(IFERROR(COUNTIF(X$3:X606,"="&amp;SUBSTITUTE(SUBSTITUTE(SUBSTITUTE(X606,"~","~~"),"*","~*"),"?","~?")),0)=1,1,""))</f>
        <v/>
      </c>
      <c r="Z606" s="25">
        <f>IF(T606=1,MAX(Z$2:Z605)+1,"")</f>
        <v/>
      </c>
    </row>
    <row r="607">
      <c r="A607">
        <f>IF(A$2=0,"",IFERROR(TRIM(INDEX('Pegar calibracion'!$A$1:$BZ$1001,606,A$2)&amp;""),""))</f>
        <v/>
      </c>
      <c r="B607">
        <f>IF(B$2=0,"",IFERROR(TRIM(INDEX('Pegar calibracion'!$A$1:$BZ$1001,606,B$2)&amp;""),""))</f>
        <v/>
      </c>
      <c r="C607">
        <f>IF(C$2=0,"",IFERROR(TRIM(INDEX('Pegar calibracion'!$A$1:$BZ$1001,606,C$2)&amp;""),""))</f>
        <v/>
      </c>
      <c r="D607">
        <f>IF(D$2=0,"",IFERROR(TRIM(INDEX('Pegar calibracion'!$A$1:$BZ$1001,606,D$2)&amp;""),""))</f>
        <v/>
      </c>
      <c r="E607">
        <f>IF(E$2=0,"",IFERROR(TRIM(INDEX('Pegar calibracion'!$A$1:$BZ$1001,606,E$2)&amp;""),""))</f>
        <v/>
      </c>
      <c r="F607">
        <f>IF(F$2=0,"",IFERROR(TRIM(INDEX('Pegar calibracion'!$A$1:$BZ$1001,606,F$2)&amp;""),""))</f>
        <v/>
      </c>
      <c r="G607">
        <f>IF(G$2=0,"",IFERROR(TRIM(INDEX('Pegar calibracion'!$A$1:$BZ$1001,606,G$2)&amp;""),""))</f>
        <v/>
      </c>
      <c r="H607">
        <f>IF(H$2=0,"",IFERROR(TRIM(INDEX('Pegar calibracion'!$A$1:$BZ$1001,606,H$2)&amp;""),""))</f>
        <v/>
      </c>
      <c r="I607">
        <f>IF(I$2=0,"",IFERROR(TRIM(INDEX('Pegar calibracion'!$A$1:$BZ$1001,606,I$2)&amp;""),""))</f>
        <v/>
      </c>
      <c r="J607">
        <f>IF(J$2=0,"",IFERROR(TRIM(INDEX('Pegar calibracion'!$A$1:$BZ$1001,606,J$2)&amp;""),""))</f>
        <v/>
      </c>
      <c r="K607">
        <f>IF(K$2=0,"",IFERROR(TRIM(INDEX('Pegar calibracion'!$A$1:$BZ$1001,606,K$2)&amp;""),""))</f>
        <v/>
      </c>
      <c r="L607">
        <f>IF(L$2=0,"",IFERROR(TRIM(INDEX('Pegar calibracion'!$A$1:$BZ$1001,606,L$2)&amp;""),""))</f>
        <v/>
      </c>
      <c r="M607" s="25">
        <f>IF(D607="","",SUBSTITUTE(SUBSTITUTE(SUBSTITUTE(SUBSTITUTE(SUBSTITUTE(SUBSTITUTE(SUBSTITUTE(SUBSTITUTE(SUBSTITUTE(SUBSTITUTE(SUBSTITUTE(SUBSTITUTE(LOWER(TRIM(D607)),"á","a"),"é","e"),"í","i"),"ó","o"),"ú","u"),"ü","u"),"ñ","n"),"à","a"),"è","e"),"ì","i"),"ò","o"),"ù","u"))</f>
        <v/>
      </c>
      <c r="N607" s="25">
        <f>IF(F607="","",SUBSTITUTE(SUBSTITUTE(SUBSTITUTE(SUBSTITUTE(SUBSTITUTE(SUBSTITUTE(SUBSTITUTE(SUBSTITUTE(SUBSTITUTE(SUBSTITUTE(SUBSTITUTE(SUBSTITUTE(LOWER(TRIM(F607)),"á","a"),"é","e"),"í","i"),"ó","o"),"ú","u"),"ü","u"),"ñ","n"),"à","a"),"è","e"),"ì","i"),"ò","o"),"ù","u"))</f>
        <v/>
      </c>
      <c r="O607" s="25">
        <f>IF(M607="confiable",2,IF(M607="dudosa",1,IF(M607="no confiable",0,"")))</f>
        <v/>
      </c>
      <c r="P607" s="25">
        <f>IF(N607="confiable",2,IF(N607="dudosa",1,IF(N607="no confiable",0,"")))</f>
        <v/>
      </c>
      <c r="Q607" s="25">
        <f>IF(AND(ISNUMBER(O607),ISNUMBER(P607)),1,"")</f>
        <v/>
      </c>
      <c r="R607" s="25">
        <f>IF(Q607=1,IF(O607=P607,"Sí","No"),"")</f>
        <v/>
      </c>
      <c r="S607" s="25">
        <f>IF(Q607=1,IF(P607&lt;O607,"Más estricto",IF(P607&gt;O607,"Más permisivo","Igual")),"")</f>
        <v/>
      </c>
      <c r="T607" s="25">
        <f>IF(Q607=1,IF(ABS(O607-P607)=2,1,0),"")</f>
        <v/>
      </c>
      <c r="U607" s="25">
        <f>IF(H607="","","|"&amp;SUBSTITUTE(SUBSTITUTE(TRIM(H607)," |","|"),"| ","|")&amp;"|")</f>
        <v/>
      </c>
      <c r="V607" s="25">
        <f>IF(AND(Q607=1,B607&lt;&gt;""),IF(IFERROR(COUNTIFS(B$3:B607,"="&amp;SUBSTITUTE(SUBSTITUTE(SUBSTITUTE(B607,"~","~~"),"*","~*"),"?","~?"),Q$3:Q607,1),0)=1,MAX(V$2:V606)+1,""),"")</f>
        <v/>
      </c>
      <c r="W607" s="25">
        <f>IF(V607="","",COUNTIFS($B$3:$B$1002,"="&amp;SUBSTITUTE(SUBSTITUTE(SUBSTITUTE(B607,"~","~~"),"*","~*"),"?","~?"),$Q$3:$Q$1002,1)*10000-V607)</f>
        <v/>
      </c>
      <c r="X607" s="25">
        <f>IF(Q607=1,IF(SUBSTITUTE(SUBSTITUTE(SUBSTITUTE(SUBSTITUTE(SUBSTITUTE(SUBSTITUTE(SUBSTITUTE(SUBSTITUTE(SUBSTITUTE(SUBSTITUTE(SUBSTITUTE(SUBSTITUTE(LOWER(TRIM(A607)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607)),"á","a"),"é","e"),"í","i"),"ó","o"),"ú","u"),"ü","u"),"ñ","n"),"à","a"),"è","e"),"ì","i"),"ò","o"),"ù","u")),"")</f>
        <v/>
      </c>
      <c r="Y607" s="25">
        <f>IF(X607="","",IF(IFERROR(COUNTIF(X$3:X607,"="&amp;SUBSTITUTE(SUBSTITUTE(SUBSTITUTE(X607,"~","~~"),"*","~*"),"?","~?")),0)=1,1,""))</f>
        <v/>
      </c>
      <c r="Z607" s="25">
        <f>IF(T607=1,MAX(Z$2:Z606)+1,"")</f>
        <v/>
      </c>
    </row>
    <row r="608">
      <c r="A608">
        <f>IF(A$2=0,"",IFERROR(TRIM(INDEX('Pegar calibracion'!$A$1:$BZ$1001,607,A$2)&amp;""),""))</f>
        <v/>
      </c>
      <c r="B608">
        <f>IF(B$2=0,"",IFERROR(TRIM(INDEX('Pegar calibracion'!$A$1:$BZ$1001,607,B$2)&amp;""),""))</f>
        <v/>
      </c>
      <c r="C608">
        <f>IF(C$2=0,"",IFERROR(TRIM(INDEX('Pegar calibracion'!$A$1:$BZ$1001,607,C$2)&amp;""),""))</f>
        <v/>
      </c>
      <c r="D608">
        <f>IF(D$2=0,"",IFERROR(TRIM(INDEX('Pegar calibracion'!$A$1:$BZ$1001,607,D$2)&amp;""),""))</f>
        <v/>
      </c>
      <c r="E608">
        <f>IF(E$2=0,"",IFERROR(TRIM(INDEX('Pegar calibracion'!$A$1:$BZ$1001,607,E$2)&amp;""),""))</f>
        <v/>
      </c>
      <c r="F608">
        <f>IF(F$2=0,"",IFERROR(TRIM(INDEX('Pegar calibracion'!$A$1:$BZ$1001,607,F$2)&amp;""),""))</f>
        <v/>
      </c>
      <c r="G608">
        <f>IF(G$2=0,"",IFERROR(TRIM(INDEX('Pegar calibracion'!$A$1:$BZ$1001,607,G$2)&amp;""),""))</f>
        <v/>
      </c>
      <c r="H608">
        <f>IF(H$2=0,"",IFERROR(TRIM(INDEX('Pegar calibracion'!$A$1:$BZ$1001,607,H$2)&amp;""),""))</f>
        <v/>
      </c>
      <c r="I608">
        <f>IF(I$2=0,"",IFERROR(TRIM(INDEX('Pegar calibracion'!$A$1:$BZ$1001,607,I$2)&amp;""),""))</f>
        <v/>
      </c>
      <c r="J608">
        <f>IF(J$2=0,"",IFERROR(TRIM(INDEX('Pegar calibracion'!$A$1:$BZ$1001,607,J$2)&amp;""),""))</f>
        <v/>
      </c>
      <c r="K608">
        <f>IF(K$2=0,"",IFERROR(TRIM(INDEX('Pegar calibracion'!$A$1:$BZ$1001,607,K$2)&amp;""),""))</f>
        <v/>
      </c>
      <c r="L608">
        <f>IF(L$2=0,"",IFERROR(TRIM(INDEX('Pegar calibracion'!$A$1:$BZ$1001,607,L$2)&amp;""),""))</f>
        <v/>
      </c>
      <c r="M608" s="25">
        <f>IF(D608="","",SUBSTITUTE(SUBSTITUTE(SUBSTITUTE(SUBSTITUTE(SUBSTITUTE(SUBSTITUTE(SUBSTITUTE(SUBSTITUTE(SUBSTITUTE(SUBSTITUTE(SUBSTITUTE(SUBSTITUTE(LOWER(TRIM(D608)),"á","a"),"é","e"),"í","i"),"ó","o"),"ú","u"),"ü","u"),"ñ","n"),"à","a"),"è","e"),"ì","i"),"ò","o"),"ù","u"))</f>
        <v/>
      </c>
      <c r="N608" s="25">
        <f>IF(F608="","",SUBSTITUTE(SUBSTITUTE(SUBSTITUTE(SUBSTITUTE(SUBSTITUTE(SUBSTITUTE(SUBSTITUTE(SUBSTITUTE(SUBSTITUTE(SUBSTITUTE(SUBSTITUTE(SUBSTITUTE(LOWER(TRIM(F608)),"á","a"),"é","e"),"í","i"),"ó","o"),"ú","u"),"ü","u"),"ñ","n"),"à","a"),"è","e"),"ì","i"),"ò","o"),"ù","u"))</f>
        <v/>
      </c>
      <c r="O608" s="25">
        <f>IF(M608="confiable",2,IF(M608="dudosa",1,IF(M608="no confiable",0,"")))</f>
        <v/>
      </c>
      <c r="P608" s="25">
        <f>IF(N608="confiable",2,IF(N608="dudosa",1,IF(N608="no confiable",0,"")))</f>
        <v/>
      </c>
      <c r="Q608" s="25">
        <f>IF(AND(ISNUMBER(O608),ISNUMBER(P608)),1,"")</f>
        <v/>
      </c>
      <c r="R608" s="25">
        <f>IF(Q608=1,IF(O608=P608,"Sí","No"),"")</f>
        <v/>
      </c>
      <c r="S608" s="25">
        <f>IF(Q608=1,IF(P608&lt;O608,"Más estricto",IF(P608&gt;O608,"Más permisivo","Igual")),"")</f>
        <v/>
      </c>
      <c r="T608" s="25">
        <f>IF(Q608=1,IF(ABS(O608-P608)=2,1,0),"")</f>
        <v/>
      </c>
      <c r="U608" s="25">
        <f>IF(H608="","","|"&amp;SUBSTITUTE(SUBSTITUTE(TRIM(H608)," |","|"),"| ","|")&amp;"|")</f>
        <v/>
      </c>
      <c r="V608" s="25">
        <f>IF(AND(Q608=1,B608&lt;&gt;""),IF(IFERROR(COUNTIFS(B$3:B608,"="&amp;SUBSTITUTE(SUBSTITUTE(SUBSTITUTE(B608,"~","~~"),"*","~*"),"?","~?"),Q$3:Q608,1),0)=1,MAX(V$2:V607)+1,""),"")</f>
        <v/>
      </c>
      <c r="W608" s="25">
        <f>IF(V608="","",COUNTIFS($B$3:$B$1002,"="&amp;SUBSTITUTE(SUBSTITUTE(SUBSTITUTE(B608,"~","~~"),"*","~*"),"?","~?"),$Q$3:$Q$1002,1)*10000-V608)</f>
        <v/>
      </c>
      <c r="X608" s="25">
        <f>IF(Q608=1,IF(SUBSTITUTE(SUBSTITUTE(SUBSTITUTE(SUBSTITUTE(SUBSTITUTE(SUBSTITUTE(SUBSTITUTE(SUBSTITUTE(SUBSTITUTE(SUBSTITUTE(SUBSTITUTE(SUBSTITUTE(LOWER(TRIM(A608)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608)),"á","a"),"é","e"),"í","i"),"ó","o"),"ú","u"),"ü","u"),"ñ","n"),"à","a"),"è","e"),"ì","i"),"ò","o"),"ù","u")),"")</f>
        <v/>
      </c>
      <c r="Y608" s="25">
        <f>IF(X608="","",IF(IFERROR(COUNTIF(X$3:X608,"="&amp;SUBSTITUTE(SUBSTITUTE(SUBSTITUTE(X608,"~","~~"),"*","~*"),"?","~?")),0)=1,1,""))</f>
        <v/>
      </c>
      <c r="Z608" s="25">
        <f>IF(T608=1,MAX(Z$2:Z607)+1,"")</f>
        <v/>
      </c>
    </row>
    <row r="609">
      <c r="A609">
        <f>IF(A$2=0,"",IFERROR(TRIM(INDEX('Pegar calibracion'!$A$1:$BZ$1001,608,A$2)&amp;""),""))</f>
        <v/>
      </c>
      <c r="B609">
        <f>IF(B$2=0,"",IFERROR(TRIM(INDEX('Pegar calibracion'!$A$1:$BZ$1001,608,B$2)&amp;""),""))</f>
        <v/>
      </c>
      <c r="C609">
        <f>IF(C$2=0,"",IFERROR(TRIM(INDEX('Pegar calibracion'!$A$1:$BZ$1001,608,C$2)&amp;""),""))</f>
        <v/>
      </c>
      <c r="D609">
        <f>IF(D$2=0,"",IFERROR(TRIM(INDEX('Pegar calibracion'!$A$1:$BZ$1001,608,D$2)&amp;""),""))</f>
        <v/>
      </c>
      <c r="E609">
        <f>IF(E$2=0,"",IFERROR(TRIM(INDEX('Pegar calibracion'!$A$1:$BZ$1001,608,E$2)&amp;""),""))</f>
        <v/>
      </c>
      <c r="F609">
        <f>IF(F$2=0,"",IFERROR(TRIM(INDEX('Pegar calibracion'!$A$1:$BZ$1001,608,F$2)&amp;""),""))</f>
        <v/>
      </c>
      <c r="G609">
        <f>IF(G$2=0,"",IFERROR(TRIM(INDEX('Pegar calibracion'!$A$1:$BZ$1001,608,G$2)&amp;""),""))</f>
        <v/>
      </c>
      <c r="H609">
        <f>IF(H$2=0,"",IFERROR(TRIM(INDEX('Pegar calibracion'!$A$1:$BZ$1001,608,H$2)&amp;""),""))</f>
        <v/>
      </c>
      <c r="I609">
        <f>IF(I$2=0,"",IFERROR(TRIM(INDEX('Pegar calibracion'!$A$1:$BZ$1001,608,I$2)&amp;""),""))</f>
        <v/>
      </c>
      <c r="J609">
        <f>IF(J$2=0,"",IFERROR(TRIM(INDEX('Pegar calibracion'!$A$1:$BZ$1001,608,J$2)&amp;""),""))</f>
        <v/>
      </c>
      <c r="K609">
        <f>IF(K$2=0,"",IFERROR(TRIM(INDEX('Pegar calibracion'!$A$1:$BZ$1001,608,K$2)&amp;""),""))</f>
        <v/>
      </c>
      <c r="L609">
        <f>IF(L$2=0,"",IFERROR(TRIM(INDEX('Pegar calibracion'!$A$1:$BZ$1001,608,L$2)&amp;""),""))</f>
        <v/>
      </c>
      <c r="M609" s="25">
        <f>IF(D609="","",SUBSTITUTE(SUBSTITUTE(SUBSTITUTE(SUBSTITUTE(SUBSTITUTE(SUBSTITUTE(SUBSTITUTE(SUBSTITUTE(SUBSTITUTE(SUBSTITUTE(SUBSTITUTE(SUBSTITUTE(LOWER(TRIM(D609)),"á","a"),"é","e"),"í","i"),"ó","o"),"ú","u"),"ü","u"),"ñ","n"),"à","a"),"è","e"),"ì","i"),"ò","o"),"ù","u"))</f>
        <v/>
      </c>
      <c r="N609" s="25">
        <f>IF(F609="","",SUBSTITUTE(SUBSTITUTE(SUBSTITUTE(SUBSTITUTE(SUBSTITUTE(SUBSTITUTE(SUBSTITUTE(SUBSTITUTE(SUBSTITUTE(SUBSTITUTE(SUBSTITUTE(SUBSTITUTE(LOWER(TRIM(F609)),"á","a"),"é","e"),"í","i"),"ó","o"),"ú","u"),"ü","u"),"ñ","n"),"à","a"),"è","e"),"ì","i"),"ò","o"),"ù","u"))</f>
        <v/>
      </c>
      <c r="O609" s="25">
        <f>IF(M609="confiable",2,IF(M609="dudosa",1,IF(M609="no confiable",0,"")))</f>
        <v/>
      </c>
      <c r="P609" s="25">
        <f>IF(N609="confiable",2,IF(N609="dudosa",1,IF(N609="no confiable",0,"")))</f>
        <v/>
      </c>
      <c r="Q609" s="25">
        <f>IF(AND(ISNUMBER(O609),ISNUMBER(P609)),1,"")</f>
        <v/>
      </c>
      <c r="R609" s="25">
        <f>IF(Q609=1,IF(O609=P609,"Sí","No"),"")</f>
        <v/>
      </c>
      <c r="S609" s="25">
        <f>IF(Q609=1,IF(P609&lt;O609,"Más estricto",IF(P609&gt;O609,"Más permisivo","Igual")),"")</f>
        <v/>
      </c>
      <c r="T609" s="25">
        <f>IF(Q609=1,IF(ABS(O609-P609)=2,1,0),"")</f>
        <v/>
      </c>
      <c r="U609" s="25">
        <f>IF(H609="","","|"&amp;SUBSTITUTE(SUBSTITUTE(TRIM(H609)," |","|"),"| ","|")&amp;"|")</f>
        <v/>
      </c>
      <c r="V609" s="25">
        <f>IF(AND(Q609=1,B609&lt;&gt;""),IF(IFERROR(COUNTIFS(B$3:B609,"="&amp;SUBSTITUTE(SUBSTITUTE(SUBSTITUTE(B609,"~","~~"),"*","~*"),"?","~?"),Q$3:Q609,1),0)=1,MAX(V$2:V608)+1,""),"")</f>
        <v/>
      </c>
      <c r="W609" s="25">
        <f>IF(V609="","",COUNTIFS($B$3:$B$1002,"="&amp;SUBSTITUTE(SUBSTITUTE(SUBSTITUTE(B609,"~","~~"),"*","~*"),"?","~?"),$Q$3:$Q$1002,1)*10000-V609)</f>
        <v/>
      </c>
      <c r="X609" s="25">
        <f>IF(Q609=1,IF(SUBSTITUTE(SUBSTITUTE(SUBSTITUTE(SUBSTITUTE(SUBSTITUTE(SUBSTITUTE(SUBSTITUTE(SUBSTITUTE(SUBSTITUTE(SUBSTITUTE(SUBSTITUTE(SUBSTITUTE(LOWER(TRIM(A609)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609)),"á","a"),"é","e"),"í","i"),"ó","o"),"ú","u"),"ü","u"),"ñ","n"),"à","a"),"è","e"),"ì","i"),"ò","o"),"ù","u")),"")</f>
        <v/>
      </c>
      <c r="Y609" s="25">
        <f>IF(X609="","",IF(IFERROR(COUNTIF(X$3:X609,"="&amp;SUBSTITUTE(SUBSTITUTE(SUBSTITUTE(X609,"~","~~"),"*","~*"),"?","~?")),0)=1,1,""))</f>
        <v/>
      </c>
      <c r="Z609" s="25">
        <f>IF(T609=1,MAX(Z$2:Z608)+1,"")</f>
        <v/>
      </c>
    </row>
    <row r="610">
      <c r="A610">
        <f>IF(A$2=0,"",IFERROR(TRIM(INDEX('Pegar calibracion'!$A$1:$BZ$1001,609,A$2)&amp;""),""))</f>
        <v/>
      </c>
      <c r="B610">
        <f>IF(B$2=0,"",IFERROR(TRIM(INDEX('Pegar calibracion'!$A$1:$BZ$1001,609,B$2)&amp;""),""))</f>
        <v/>
      </c>
      <c r="C610">
        <f>IF(C$2=0,"",IFERROR(TRIM(INDEX('Pegar calibracion'!$A$1:$BZ$1001,609,C$2)&amp;""),""))</f>
        <v/>
      </c>
      <c r="D610">
        <f>IF(D$2=0,"",IFERROR(TRIM(INDEX('Pegar calibracion'!$A$1:$BZ$1001,609,D$2)&amp;""),""))</f>
        <v/>
      </c>
      <c r="E610">
        <f>IF(E$2=0,"",IFERROR(TRIM(INDEX('Pegar calibracion'!$A$1:$BZ$1001,609,E$2)&amp;""),""))</f>
        <v/>
      </c>
      <c r="F610">
        <f>IF(F$2=0,"",IFERROR(TRIM(INDEX('Pegar calibracion'!$A$1:$BZ$1001,609,F$2)&amp;""),""))</f>
        <v/>
      </c>
      <c r="G610">
        <f>IF(G$2=0,"",IFERROR(TRIM(INDEX('Pegar calibracion'!$A$1:$BZ$1001,609,G$2)&amp;""),""))</f>
        <v/>
      </c>
      <c r="H610">
        <f>IF(H$2=0,"",IFERROR(TRIM(INDEX('Pegar calibracion'!$A$1:$BZ$1001,609,H$2)&amp;""),""))</f>
        <v/>
      </c>
      <c r="I610">
        <f>IF(I$2=0,"",IFERROR(TRIM(INDEX('Pegar calibracion'!$A$1:$BZ$1001,609,I$2)&amp;""),""))</f>
        <v/>
      </c>
      <c r="J610">
        <f>IF(J$2=0,"",IFERROR(TRIM(INDEX('Pegar calibracion'!$A$1:$BZ$1001,609,J$2)&amp;""),""))</f>
        <v/>
      </c>
      <c r="K610">
        <f>IF(K$2=0,"",IFERROR(TRIM(INDEX('Pegar calibracion'!$A$1:$BZ$1001,609,K$2)&amp;""),""))</f>
        <v/>
      </c>
      <c r="L610">
        <f>IF(L$2=0,"",IFERROR(TRIM(INDEX('Pegar calibracion'!$A$1:$BZ$1001,609,L$2)&amp;""),""))</f>
        <v/>
      </c>
      <c r="M610" s="25">
        <f>IF(D610="","",SUBSTITUTE(SUBSTITUTE(SUBSTITUTE(SUBSTITUTE(SUBSTITUTE(SUBSTITUTE(SUBSTITUTE(SUBSTITUTE(SUBSTITUTE(SUBSTITUTE(SUBSTITUTE(SUBSTITUTE(LOWER(TRIM(D610)),"á","a"),"é","e"),"í","i"),"ó","o"),"ú","u"),"ü","u"),"ñ","n"),"à","a"),"è","e"),"ì","i"),"ò","o"),"ù","u"))</f>
        <v/>
      </c>
      <c r="N610" s="25">
        <f>IF(F610="","",SUBSTITUTE(SUBSTITUTE(SUBSTITUTE(SUBSTITUTE(SUBSTITUTE(SUBSTITUTE(SUBSTITUTE(SUBSTITUTE(SUBSTITUTE(SUBSTITUTE(SUBSTITUTE(SUBSTITUTE(LOWER(TRIM(F610)),"á","a"),"é","e"),"í","i"),"ó","o"),"ú","u"),"ü","u"),"ñ","n"),"à","a"),"è","e"),"ì","i"),"ò","o"),"ù","u"))</f>
        <v/>
      </c>
      <c r="O610" s="25">
        <f>IF(M610="confiable",2,IF(M610="dudosa",1,IF(M610="no confiable",0,"")))</f>
        <v/>
      </c>
      <c r="P610" s="25">
        <f>IF(N610="confiable",2,IF(N610="dudosa",1,IF(N610="no confiable",0,"")))</f>
        <v/>
      </c>
      <c r="Q610" s="25">
        <f>IF(AND(ISNUMBER(O610),ISNUMBER(P610)),1,"")</f>
        <v/>
      </c>
      <c r="R610" s="25">
        <f>IF(Q610=1,IF(O610=P610,"Sí","No"),"")</f>
        <v/>
      </c>
      <c r="S610" s="25">
        <f>IF(Q610=1,IF(P610&lt;O610,"Más estricto",IF(P610&gt;O610,"Más permisivo","Igual")),"")</f>
        <v/>
      </c>
      <c r="T610" s="25">
        <f>IF(Q610=1,IF(ABS(O610-P610)=2,1,0),"")</f>
        <v/>
      </c>
      <c r="U610" s="25">
        <f>IF(H610="","","|"&amp;SUBSTITUTE(SUBSTITUTE(TRIM(H610)," |","|"),"| ","|")&amp;"|")</f>
        <v/>
      </c>
      <c r="V610" s="25">
        <f>IF(AND(Q610=1,B610&lt;&gt;""),IF(IFERROR(COUNTIFS(B$3:B610,"="&amp;SUBSTITUTE(SUBSTITUTE(SUBSTITUTE(B610,"~","~~"),"*","~*"),"?","~?"),Q$3:Q610,1),0)=1,MAX(V$2:V609)+1,""),"")</f>
        <v/>
      </c>
      <c r="W610" s="25">
        <f>IF(V610="","",COUNTIFS($B$3:$B$1002,"="&amp;SUBSTITUTE(SUBSTITUTE(SUBSTITUTE(B610,"~","~~"),"*","~*"),"?","~?"),$Q$3:$Q$1002,1)*10000-V610)</f>
        <v/>
      </c>
      <c r="X610" s="25">
        <f>IF(Q610=1,IF(SUBSTITUTE(SUBSTITUTE(SUBSTITUTE(SUBSTITUTE(SUBSTITUTE(SUBSTITUTE(SUBSTITUTE(SUBSTITUTE(SUBSTITUTE(SUBSTITUTE(SUBSTITUTE(SUBSTITUTE(LOWER(TRIM(A610)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610)),"á","a"),"é","e"),"í","i"),"ó","o"),"ú","u"),"ü","u"),"ñ","n"),"à","a"),"è","e"),"ì","i"),"ò","o"),"ù","u")),"")</f>
        <v/>
      </c>
      <c r="Y610" s="25">
        <f>IF(X610="","",IF(IFERROR(COUNTIF(X$3:X610,"="&amp;SUBSTITUTE(SUBSTITUTE(SUBSTITUTE(X610,"~","~~"),"*","~*"),"?","~?")),0)=1,1,""))</f>
        <v/>
      </c>
      <c r="Z610" s="25">
        <f>IF(T610=1,MAX(Z$2:Z609)+1,"")</f>
        <v/>
      </c>
    </row>
    <row r="611">
      <c r="A611">
        <f>IF(A$2=0,"",IFERROR(TRIM(INDEX('Pegar calibracion'!$A$1:$BZ$1001,610,A$2)&amp;""),""))</f>
        <v/>
      </c>
      <c r="B611">
        <f>IF(B$2=0,"",IFERROR(TRIM(INDEX('Pegar calibracion'!$A$1:$BZ$1001,610,B$2)&amp;""),""))</f>
        <v/>
      </c>
      <c r="C611">
        <f>IF(C$2=0,"",IFERROR(TRIM(INDEX('Pegar calibracion'!$A$1:$BZ$1001,610,C$2)&amp;""),""))</f>
        <v/>
      </c>
      <c r="D611">
        <f>IF(D$2=0,"",IFERROR(TRIM(INDEX('Pegar calibracion'!$A$1:$BZ$1001,610,D$2)&amp;""),""))</f>
        <v/>
      </c>
      <c r="E611">
        <f>IF(E$2=0,"",IFERROR(TRIM(INDEX('Pegar calibracion'!$A$1:$BZ$1001,610,E$2)&amp;""),""))</f>
        <v/>
      </c>
      <c r="F611">
        <f>IF(F$2=0,"",IFERROR(TRIM(INDEX('Pegar calibracion'!$A$1:$BZ$1001,610,F$2)&amp;""),""))</f>
        <v/>
      </c>
      <c r="G611">
        <f>IF(G$2=0,"",IFERROR(TRIM(INDEX('Pegar calibracion'!$A$1:$BZ$1001,610,G$2)&amp;""),""))</f>
        <v/>
      </c>
      <c r="H611">
        <f>IF(H$2=0,"",IFERROR(TRIM(INDEX('Pegar calibracion'!$A$1:$BZ$1001,610,H$2)&amp;""),""))</f>
        <v/>
      </c>
      <c r="I611">
        <f>IF(I$2=0,"",IFERROR(TRIM(INDEX('Pegar calibracion'!$A$1:$BZ$1001,610,I$2)&amp;""),""))</f>
        <v/>
      </c>
      <c r="J611">
        <f>IF(J$2=0,"",IFERROR(TRIM(INDEX('Pegar calibracion'!$A$1:$BZ$1001,610,J$2)&amp;""),""))</f>
        <v/>
      </c>
      <c r="K611">
        <f>IF(K$2=0,"",IFERROR(TRIM(INDEX('Pegar calibracion'!$A$1:$BZ$1001,610,K$2)&amp;""),""))</f>
        <v/>
      </c>
      <c r="L611">
        <f>IF(L$2=0,"",IFERROR(TRIM(INDEX('Pegar calibracion'!$A$1:$BZ$1001,610,L$2)&amp;""),""))</f>
        <v/>
      </c>
      <c r="M611" s="25">
        <f>IF(D611="","",SUBSTITUTE(SUBSTITUTE(SUBSTITUTE(SUBSTITUTE(SUBSTITUTE(SUBSTITUTE(SUBSTITUTE(SUBSTITUTE(SUBSTITUTE(SUBSTITUTE(SUBSTITUTE(SUBSTITUTE(LOWER(TRIM(D611)),"á","a"),"é","e"),"í","i"),"ó","o"),"ú","u"),"ü","u"),"ñ","n"),"à","a"),"è","e"),"ì","i"),"ò","o"),"ù","u"))</f>
        <v/>
      </c>
      <c r="N611" s="25">
        <f>IF(F611="","",SUBSTITUTE(SUBSTITUTE(SUBSTITUTE(SUBSTITUTE(SUBSTITUTE(SUBSTITUTE(SUBSTITUTE(SUBSTITUTE(SUBSTITUTE(SUBSTITUTE(SUBSTITUTE(SUBSTITUTE(LOWER(TRIM(F611)),"á","a"),"é","e"),"í","i"),"ó","o"),"ú","u"),"ü","u"),"ñ","n"),"à","a"),"è","e"),"ì","i"),"ò","o"),"ù","u"))</f>
        <v/>
      </c>
      <c r="O611" s="25">
        <f>IF(M611="confiable",2,IF(M611="dudosa",1,IF(M611="no confiable",0,"")))</f>
        <v/>
      </c>
      <c r="P611" s="25">
        <f>IF(N611="confiable",2,IF(N611="dudosa",1,IF(N611="no confiable",0,"")))</f>
        <v/>
      </c>
      <c r="Q611" s="25">
        <f>IF(AND(ISNUMBER(O611),ISNUMBER(P611)),1,"")</f>
        <v/>
      </c>
      <c r="R611" s="25">
        <f>IF(Q611=1,IF(O611=P611,"Sí","No"),"")</f>
        <v/>
      </c>
      <c r="S611" s="25">
        <f>IF(Q611=1,IF(P611&lt;O611,"Más estricto",IF(P611&gt;O611,"Más permisivo","Igual")),"")</f>
        <v/>
      </c>
      <c r="T611" s="25">
        <f>IF(Q611=1,IF(ABS(O611-P611)=2,1,0),"")</f>
        <v/>
      </c>
      <c r="U611" s="25">
        <f>IF(H611="","","|"&amp;SUBSTITUTE(SUBSTITUTE(TRIM(H611)," |","|"),"| ","|")&amp;"|")</f>
        <v/>
      </c>
      <c r="V611" s="25">
        <f>IF(AND(Q611=1,B611&lt;&gt;""),IF(IFERROR(COUNTIFS(B$3:B611,"="&amp;SUBSTITUTE(SUBSTITUTE(SUBSTITUTE(B611,"~","~~"),"*","~*"),"?","~?"),Q$3:Q611,1),0)=1,MAX(V$2:V610)+1,""),"")</f>
        <v/>
      </c>
      <c r="W611" s="25">
        <f>IF(V611="","",COUNTIFS($B$3:$B$1002,"="&amp;SUBSTITUTE(SUBSTITUTE(SUBSTITUTE(B611,"~","~~"),"*","~*"),"?","~?"),$Q$3:$Q$1002,1)*10000-V611)</f>
        <v/>
      </c>
      <c r="X611" s="25">
        <f>IF(Q611=1,IF(SUBSTITUTE(SUBSTITUTE(SUBSTITUTE(SUBSTITUTE(SUBSTITUTE(SUBSTITUTE(SUBSTITUTE(SUBSTITUTE(SUBSTITUTE(SUBSTITUTE(SUBSTITUTE(SUBSTITUTE(LOWER(TRIM(A611)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611)),"á","a"),"é","e"),"í","i"),"ó","o"),"ú","u"),"ü","u"),"ñ","n"),"à","a"),"è","e"),"ì","i"),"ò","o"),"ù","u")),"")</f>
        <v/>
      </c>
      <c r="Y611" s="25">
        <f>IF(X611="","",IF(IFERROR(COUNTIF(X$3:X611,"="&amp;SUBSTITUTE(SUBSTITUTE(SUBSTITUTE(X611,"~","~~"),"*","~*"),"?","~?")),0)=1,1,""))</f>
        <v/>
      </c>
      <c r="Z611" s="25">
        <f>IF(T611=1,MAX(Z$2:Z610)+1,"")</f>
        <v/>
      </c>
    </row>
    <row r="612">
      <c r="A612">
        <f>IF(A$2=0,"",IFERROR(TRIM(INDEX('Pegar calibracion'!$A$1:$BZ$1001,611,A$2)&amp;""),""))</f>
        <v/>
      </c>
      <c r="B612">
        <f>IF(B$2=0,"",IFERROR(TRIM(INDEX('Pegar calibracion'!$A$1:$BZ$1001,611,B$2)&amp;""),""))</f>
        <v/>
      </c>
      <c r="C612">
        <f>IF(C$2=0,"",IFERROR(TRIM(INDEX('Pegar calibracion'!$A$1:$BZ$1001,611,C$2)&amp;""),""))</f>
        <v/>
      </c>
      <c r="D612">
        <f>IF(D$2=0,"",IFERROR(TRIM(INDEX('Pegar calibracion'!$A$1:$BZ$1001,611,D$2)&amp;""),""))</f>
        <v/>
      </c>
      <c r="E612">
        <f>IF(E$2=0,"",IFERROR(TRIM(INDEX('Pegar calibracion'!$A$1:$BZ$1001,611,E$2)&amp;""),""))</f>
        <v/>
      </c>
      <c r="F612">
        <f>IF(F$2=0,"",IFERROR(TRIM(INDEX('Pegar calibracion'!$A$1:$BZ$1001,611,F$2)&amp;""),""))</f>
        <v/>
      </c>
      <c r="G612">
        <f>IF(G$2=0,"",IFERROR(TRIM(INDEX('Pegar calibracion'!$A$1:$BZ$1001,611,G$2)&amp;""),""))</f>
        <v/>
      </c>
      <c r="H612">
        <f>IF(H$2=0,"",IFERROR(TRIM(INDEX('Pegar calibracion'!$A$1:$BZ$1001,611,H$2)&amp;""),""))</f>
        <v/>
      </c>
      <c r="I612">
        <f>IF(I$2=0,"",IFERROR(TRIM(INDEX('Pegar calibracion'!$A$1:$BZ$1001,611,I$2)&amp;""),""))</f>
        <v/>
      </c>
      <c r="J612">
        <f>IF(J$2=0,"",IFERROR(TRIM(INDEX('Pegar calibracion'!$A$1:$BZ$1001,611,J$2)&amp;""),""))</f>
        <v/>
      </c>
      <c r="K612">
        <f>IF(K$2=0,"",IFERROR(TRIM(INDEX('Pegar calibracion'!$A$1:$BZ$1001,611,K$2)&amp;""),""))</f>
        <v/>
      </c>
      <c r="L612">
        <f>IF(L$2=0,"",IFERROR(TRIM(INDEX('Pegar calibracion'!$A$1:$BZ$1001,611,L$2)&amp;""),""))</f>
        <v/>
      </c>
      <c r="M612" s="25">
        <f>IF(D612="","",SUBSTITUTE(SUBSTITUTE(SUBSTITUTE(SUBSTITUTE(SUBSTITUTE(SUBSTITUTE(SUBSTITUTE(SUBSTITUTE(SUBSTITUTE(SUBSTITUTE(SUBSTITUTE(SUBSTITUTE(LOWER(TRIM(D612)),"á","a"),"é","e"),"í","i"),"ó","o"),"ú","u"),"ü","u"),"ñ","n"),"à","a"),"è","e"),"ì","i"),"ò","o"),"ù","u"))</f>
        <v/>
      </c>
      <c r="N612" s="25">
        <f>IF(F612="","",SUBSTITUTE(SUBSTITUTE(SUBSTITUTE(SUBSTITUTE(SUBSTITUTE(SUBSTITUTE(SUBSTITUTE(SUBSTITUTE(SUBSTITUTE(SUBSTITUTE(SUBSTITUTE(SUBSTITUTE(LOWER(TRIM(F612)),"á","a"),"é","e"),"í","i"),"ó","o"),"ú","u"),"ü","u"),"ñ","n"),"à","a"),"è","e"),"ì","i"),"ò","o"),"ù","u"))</f>
        <v/>
      </c>
      <c r="O612" s="25">
        <f>IF(M612="confiable",2,IF(M612="dudosa",1,IF(M612="no confiable",0,"")))</f>
        <v/>
      </c>
      <c r="P612" s="25">
        <f>IF(N612="confiable",2,IF(N612="dudosa",1,IF(N612="no confiable",0,"")))</f>
        <v/>
      </c>
      <c r="Q612" s="25">
        <f>IF(AND(ISNUMBER(O612),ISNUMBER(P612)),1,"")</f>
        <v/>
      </c>
      <c r="R612" s="25">
        <f>IF(Q612=1,IF(O612=P612,"Sí","No"),"")</f>
        <v/>
      </c>
      <c r="S612" s="25">
        <f>IF(Q612=1,IF(P612&lt;O612,"Más estricto",IF(P612&gt;O612,"Más permisivo","Igual")),"")</f>
        <v/>
      </c>
      <c r="T612" s="25">
        <f>IF(Q612=1,IF(ABS(O612-P612)=2,1,0),"")</f>
        <v/>
      </c>
      <c r="U612" s="25">
        <f>IF(H612="","","|"&amp;SUBSTITUTE(SUBSTITUTE(TRIM(H612)," |","|"),"| ","|")&amp;"|")</f>
        <v/>
      </c>
      <c r="V612" s="25">
        <f>IF(AND(Q612=1,B612&lt;&gt;""),IF(IFERROR(COUNTIFS(B$3:B612,"="&amp;SUBSTITUTE(SUBSTITUTE(SUBSTITUTE(B612,"~","~~"),"*","~*"),"?","~?"),Q$3:Q612,1),0)=1,MAX(V$2:V611)+1,""),"")</f>
        <v/>
      </c>
      <c r="W612" s="25">
        <f>IF(V612="","",COUNTIFS($B$3:$B$1002,"="&amp;SUBSTITUTE(SUBSTITUTE(SUBSTITUTE(B612,"~","~~"),"*","~*"),"?","~?"),$Q$3:$Q$1002,1)*10000-V612)</f>
        <v/>
      </c>
      <c r="X612" s="25">
        <f>IF(Q612=1,IF(SUBSTITUTE(SUBSTITUTE(SUBSTITUTE(SUBSTITUTE(SUBSTITUTE(SUBSTITUTE(SUBSTITUTE(SUBSTITUTE(SUBSTITUTE(SUBSTITUTE(SUBSTITUTE(SUBSTITUTE(LOWER(TRIM(A612)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612)),"á","a"),"é","e"),"í","i"),"ó","o"),"ú","u"),"ü","u"),"ñ","n"),"à","a"),"è","e"),"ì","i"),"ò","o"),"ù","u")),"")</f>
        <v/>
      </c>
      <c r="Y612" s="25">
        <f>IF(X612="","",IF(IFERROR(COUNTIF(X$3:X612,"="&amp;SUBSTITUTE(SUBSTITUTE(SUBSTITUTE(X612,"~","~~"),"*","~*"),"?","~?")),0)=1,1,""))</f>
        <v/>
      </c>
      <c r="Z612" s="25">
        <f>IF(T612=1,MAX(Z$2:Z611)+1,"")</f>
        <v/>
      </c>
    </row>
    <row r="613">
      <c r="A613">
        <f>IF(A$2=0,"",IFERROR(TRIM(INDEX('Pegar calibracion'!$A$1:$BZ$1001,612,A$2)&amp;""),""))</f>
        <v/>
      </c>
      <c r="B613">
        <f>IF(B$2=0,"",IFERROR(TRIM(INDEX('Pegar calibracion'!$A$1:$BZ$1001,612,B$2)&amp;""),""))</f>
        <v/>
      </c>
      <c r="C613">
        <f>IF(C$2=0,"",IFERROR(TRIM(INDEX('Pegar calibracion'!$A$1:$BZ$1001,612,C$2)&amp;""),""))</f>
        <v/>
      </c>
      <c r="D613">
        <f>IF(D$2=0,"",IFERROR(TRIM(INDEX('Pegar calibracion'!$A$1:$BZ$1001,612,D$2)&amp;""),""))</f>
        <v/>
      </c>
      <c r="E613">
        <f>IF(E$2=0,"",IFERROR(TRIM(INDEX('Pegar calibracion'!$A$1:$BZ$1001,612,E$2)&amp;""),""))</f>
        <v/>
      </c>
      <c r="F613">
        <f>IF(F$2=0,"",IFERROR(TRIM(INDEX('Pegar calibracion'!$A$1:$BZ$1001,612,F$2)&amp;""),""))</f>
        <v/>
      </c>
      <c r="G613">
        <f>IF(G$2=0,"",IFERROR(TRIM(INDEX('Pegar calibracion'!$A$1:$BZ$1001,612,G$2)&amp;""),""))</f>
        <v/>
      </c>
      <c r="H613">
        <f>IF(H$2=0,"",IFERROR(TRIM(INDEX('Pegar calibracion'!$A$1:$BZ$1001,612,H$2)&amp;""),""))</f>
        <v/>
      </c>
      <c r="I613">
        <f>IF(I$2=0,"",IFERROR(TRIM(INDEX('Pegar calibracion'!$A$1:$BZ$1001,612,I$2)&amp;""),""))</f>
        <v/>
      </c>
      <c r="J613">
        <f>IF(J$2=0,"",IFERROR(TRIM(INDEX('Pegar calibracion'!$A$1:$BZ$1001,612,J$2)&amp;""),""))</f>
        <v/>
      </c>
      <c r="K613">
        <f>IF(K$2=0,"",IFERROR(TRIM(INDEX('Pegar calibracion'!$A$1:$BZ$1001,612,K$2)&amp;""),""))</f>
        <v/>
      </c>
      <c r="L613">
        <f>IF(L$2=0,"",IFERROR(TRIM(INDEX('Pegar calibracion'!$A$1:$BZ$1001,612,L$2)&amp;""),""))</f>
        <v/>
      </c>
      <c r="M613" s="25">
        <f>IF(D613="","",SUBSTITUTE(SUBSTITUTE(SUBSTITUTE(SUBSTITUTE(SUBSTITUTE(SUBSTITUTE(SUBSTITUTE(SUBSTITUTE(SUBSTITUTE(SUBSTITUTE(SUBSTITUTE(SUBSTITUTE(LOWER(TRIM(D613)),"á","a"),"é","e"),"í","i"),"ó","o"),"ú","u"),"ü","u"),"ñ","n"),"à","a"),"è","e"),"ì","i"),"ò","o"),"ù","u"))</f>
        <v/>
      </c>
      <c r="N613" s="25">
        <f>IF(F613="","",SUBSTITUTE(SUBSTITUTE(SUBSTITUTE(SUBSTITUTE(SUBSTITUTE(SUBSTITUTE(SUBSTITUTE(SUBSTITUTE(SUBSTITUTE(SUBSTITUTE(SUBSTITUTE(SUBSTITUTE(LOWER(TRIM(F613)),"á","a"),"é","e"),"í","i"),"ó","o"),"ú","u"),"ü","u"),"ñ","n"),"à","a"),"è","e"),"ì","i"),"ò","o"),"ù","u"))</f>
        <v/>
      </c>
      <c r="O613" s="25">
        <f>IF(M613="confiable",2,IF(M613="dudosa",1,IF(M613="no confiable",0,"")))</f>
        <v/>
      </c>
      <c r="P613" s="25">
        <f>IF(N613="confiable",2,IF(N613="dudosa",1,IF(N613="no confiable",0,"")))</f>
        <v/>
      </c>
      <c r="Q613" s="25">
        <f>IF(AND(ISNUMBER(O613),ISNUMBER(P613)),1,"")</f>
        <v/>
      </c>
      <c r="R613" s="25">
        <f>IF(Q613=1,IF(O613=P613,"Sí","No"),"")</f>
        <v/>
      </c>
      <c r="S613" s="25">
        <f>IF(Q613=1,IF(P613&lt;O613,"Más estricto",IF(P613&gt;O613,"Más permisivo","Igual")),"")</f>
        <v/>
      </c>
      <c r="T613" s="25">
        <f>IF(Q613=1,IF(ABS(O613-P613)=2,1,0),"")</f>
        <v/>
      </c>
      <c r="U613" s="25">
        <f>IF(H613="","","|"&amp;SUBSTITUTE(SUBSTITUTE(TRIM(H613)," |","|"),"| ","|")&amp;"|")</f>
        <v/>
      </c>
      <c r="V613" s="25">
        <f>IF(AND(Q613=1,B613&lt;&gt;""),IF(IFERROR(COUNTIFS(B$3:B613,"="&amp;SUBSTITUTE(SUBSTITUTE(SUBSTITUTE(B613,"~","~~"),"*","~*"),"?","~?"),Q$3:Q613,1),0)=1,MAX(V$2:V612)+1,""),"")</f>
        <v/>
      </c>
      <c r="W613" s="25">
        <f>IF(V613="","",COUNTIFS($B$3:$B$1002,"="&amp;SUBSTITUTE(SUBSTITUTE(SUBSTITUTE(B613,"~","~~"),"*","~*"),"?","~?"),$Q$3:$Q$1002,1)*10000-V613)</f>
        <v/>
      </c>
      <c r="X613" s="25">
        <f>IF(Q613=1,IF(SUBSTITUTE(SUBSTITUTE(SUBSTITUTE(SUBSTITUTE(SUBSTITUTE(SUBSTITUTE(SUBSTITUTE(SUBSTITUTE(SUBSTITUTE(SUBSTITUTE(SUBSTITUTE(SUBSTITUTE(LOWER(TRIM(A613)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613)),"á","a"),"é","e"),"í","i"),"ó","o"),"ú","u"),"ü","u"),"ñ","n"),"à","a"),"è","e"),"ì","i"),"ò","o"),"ù","u")),"")</f>
        <v/>
      </c>
      <c r="Y613" s="25">
        <f>IF(X613="","",IF(IFERROR(COUNTIF(X$3:X613,"="&amp;SUBSTITUTE(SUBSTITUTE(SUBSTITUTE(X613,"~","~~"),"*","~*"),"?","~?")),0)=1,1,""))</f>
        <v/>
      </c>
      <c r="Z613" s="25">
        <f>IF(T613=1,MAX(Z$2:Z612)+1,"")</f>
        <v/>
      </c>
    </row>
    <row r="614">
      <c r="A614">
        <f>IF(A$2=0,"",IFERROR(TRIM(INDEX('Pegar calibracion'!$A$1:$BZ$1001,613,A$2)&amp;""),""))</f>
        <v/>
      </c>
      <c r="B614">
        <f>IF(B$2=0,"",IFERROR(TRIM(INDEX('Pegar calibracion'!$A$1:$BZ$1001,613,B$2)&amp;""),""))</f>
        <v/>
      </c>
      <c r="C614">
        <f>IF(C$2=0,"",IFERROR(TRIM(INDEX('Pegar calibracion'!$A$1:$BZ$1001,613,C$2)&amp;""),""))</f>
        <v/>
      </c>
      <c r="D614">
        <f>IF(D$2=0,"",IFERROR(TRIM(INDEX('Pegar calibracion'!$A$1:$BZ$1001,613,D$2)&amp;""),""))</f>
        <v/>
      </c>
      <c r="E614">
        <f>IF(E$2=0,"",IFERROR(TRIM(INDEX('Pegar calibracion'!$A$1:$BZ$1001,613,E$2)&amp;""),""))</f>
        <v/>
      </c>
      <c r="F614">
        <f>IF(F$2=0,"",IFERROR(TRIM(INDEX('Pegar calibracion'!$A$1:$BZ$1001,613,F$2)&amp;""),""))</f>
        <v/>
      </c>
      <c r="G614">
        <f>IF(G$2=0,"",IFERROR(TRIM(INDEX('Pegar calibracion'!$A$1:$BZ$1001,613,G$2)&amp;""),""))</f>
        <v/>
      </c>
      <c r="H614">
        <f>IF(H$2=0,"",IFERROR(TRIM(INDEX('Pegar calibracion'!$A$1:$BZ$1001,613,H$2)&amp;""),""))</f>
        <v/>
      </c>
      <c r="I614">
        <f>IF(I$2=0,"",IFERROR(TRIM(INDEX('Pegar calibracion'!$A$1:$BZ$1001,613,I$2)&amp;""),""))</f>
        <v/>
      </c>
      <c r="J614">
        <f>IF(J$2=0,"",IFERROR(TRIM(INDEX('Pegar calibracion'!$A$1:$BZ$1001,613,J$2)&amp;""),""))</f>
        <v/>
      </c>
      <c r="K614">
        <f>IF(K$2=0,"",IFERROR(TRIM(INDEX('Pegar calibracion'!$A$1:$BZ$1001,613,K$2)&amp;""),""))</f>
        <v/>
      </c>
      <c r="L614">
        <f>IF(L$2=0,"",IFERROR(TRIM(INDEX('Pegar calibracion'!$A$1:$BZ$1001,613,L$2)&amp;""),""))</f>
        <v/>
      </c>
      <c r="M614" s="25">
        <f>IF(D614="","",SUBSTITUTE(SUBSTITUTE(SUBSTITUTE(SUBSTITUTE(SUBSTITUTE(SUBSTITUTE(SUBSTITUTE(SUBSTITUTE(SUBSTITUTE(SUBSTITUTE(SUBSTITUTE(SUBSTITUTE(LOWER(TRIM(D614)),"á","a"),"é","e"),"í","i"),"ó","o"),"ú","u"),"ü","u"),"ñ","n"),"à","a"),"è","e"),"ì","i"),"ò","o"),"ù","u"))</f>
        <v/>
      </c>
      <c r="N614" s="25">
        <f>IF(F614="","",SUBSTITUTE(SUBSTITUTE(SUBSTITUTE(SUBSTITUTE(SUBSTITUTE(SUBSTITUTE(SUBSTITUTE(SUBSTITUTE(SUBSTITUTE(SUBSTITUTE(SUBSTITUTE(SUBSTITUTE(LOWER(TRIM(F614)),"á","a"),"é","e"),"í","i"),"ó","o"),"ú","u"),"ü","u"),"ñ","n"),"à","a"),"è","e"),"ì","i"),"ò","o"),"ù","u"))</f>
        <v/>
      </c>
      <c r="O614" s="25">
        <f>IF(M614="confiable",2,IF(M614="dudosa",1,IF(M614="no confiable",0,"")))</f>
        <v/>
      </c>
      <c r="P614" s="25">
        <f>IF(N614="confiable",2,IF(N614="dudosa",1,IF(N614="no confiable",0,"")))</f>
        <v/>
      </c>
      <c r="Q614" s="25">
        <f>IF(AND(ISNUMBER(O614),ISNUMBER(P614)),1,"")</f>
        <v/>
      </c>
      <c r="R614" s="25">
        <f>IF(Q614=1,IF(O614=P614,"Sí","No"),"")</f>
        <v/>
      </c>
      <c r="S614" s="25">
        <f>IF(Q614=1,IF(P614&lt;O614,"Más estricto",IF(P614&gt;O614,"Más permisivo","Igual")),"")</f>
        <v/>
      </c>
      <c r="T614" s="25">
        <f>IF(Q614=1,IF(ABS(O614-P614)=2,1,0),"")</f>
        <v/>
      </c>
      <c r="U614" s="25">
        <f>IF(H614="","","|"&amp;SUBSTITUTE(SUBSTITUTE(TRIM(H614)," |","|"),"| ","|")&amp;"|")</f>
        <v/>
      </c>
      <c r="V614" s="25">
        <f>IF(AND(Q614=1,B614&lt;&gt;""),IF(IFERROR(COUNTIFS(B$3:B614,"="&amp;SUBSTITUTE(SUBSTITUTE(SUBSTITUTE(B614,"~","~~"),"*","~*"),"?","~?"),Q$3:Q614,1),0)=1,MAX(V$2:V613)+1,""),"")</f>
        <v/>
      </c>
      <c r="W614" s="25">
        <f>IF(V614="","",COUNTIFS($B$3:$B$1002,"="&amp;SUBSTITUTE(SUBSTITUTE(SUBSTITUTE(B614,"~","~~"),"*","~*"),"?","~?"),$Q$3:$Q$1002,1)*10000-V614)</f>
        <v/>
      </c>
      <c r="X614" s="25">
        <f>IF(Q614=1,IF(SUBSTITUTE(SUBSTITUTE(SUBSTITUTE(SUBSTITUTE(SUBSTITUTE(SUBSTITUTE(SUBSTITUTE(SUBSTITUTE(SUBSTITUTE(SUBSTITUTE(SUBSTITUTE(SUBSTITUTE(LOWER(TRIM(A614)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614)),"á","a"),"é","e"),"í","i"),"ó","o"),"ú","u"),"ü","u"),"ñ","n"),"à","a"),"è","e"),"ì","i"),"ò","o"),"ù","u")),"")</f>
        <v/>
      </c>
      <c r="Y614" s="25">
        <f>IF(X614="","",IF(IFERROR(COUNTIF(X$3:X614,"="&amp;SUBSTITUTE(SUBSTITUTE(SUBSTITUTE(X614,"~","~~"),"*","~*"),"?","~?")),0)=1,1,""))</f>
        <v/>
      </c>
      <c r="Z614" s="25">
        <f>IF(T614=1,MAX(Z$2:Z613)+1,"")</f>
        <v/>
      </c>
    </row>
    <row r="615">
      <c r="A615">
        <f>IF(A$2=0,"",IFERROR(TRIM(INDEX('Pegar calibracion'!$A$1:$BZ$1001,614,A$2)&amp;""),""))</f>
        <v/>
      </c>
      <c r="B615">
        <f>IF(B$2=0,"",IFERROR(TRIM(INDEX('Pegar calibracion'!$A$1:$BZ$1001,614,B$2)&amp;""),""))</f>
        <v/>
      </c>
      <c r="C615">
        <f>IF(C$2=0,"",IFERROR(TRIM(INDEX('Pegar calibracion'!$A$1:$BZ$1001,614,C$2)&amp;""),""))</f>
        <v/>
      </c>
      <c r="D615">
        <f>IF(D$2=0,"",IFERROR(TRIM(INDEX('Pegar calibracion'!$A$1:$BZ$1001,614,D$2)&amp;""),""))</f>
        <v/>
      </c>
      <c r="E615">
        <f>IF(E$2=0,"",IFERROR(TRIM(INDEX('Pegar calibracion'!$A$1:$BZ$1001,614,E$2)&amp;""),""))</f>
        <v/>
      </c>
      <c r="F615">
        <f>IF(F$2=0,"",IFERROR(TRIM(INDEX('Pegar calibracion'!$A$1:$BZ$1001,614,F$2)&amp;""),""))</f>
        <v/>
      </c>
      <c r="G615">
        <f>IF(G$2=0,"",IFERROR(TRIM(INDEX('Pegar calibracion'!$A$1:$BZ$1001,614,G$2)&amp;""),""))</f>
        <v/>
      </c>
      <c r="H615">
        <f>IF(H$2=0,"",IFERROR(TRIM(INDEX('Pegar calibracion'!$A$1:$BZ$1001,614,H$2)&amp;""),""))</f>
        <v/>
      </c>
      <c r="I615">
        <f>IF(I$2=0,"",IFERROR(TRIM(INDEX('Pegar calibracion'!$A$1:$BZ$1001,614,I$2)&amp;""),""))</f>
        <v/>
      </c>
      <c r="J615">
        <f>IF(J$2=0,"",IFERROR(TRIM(INDEX('Pegar calibracion'!$A$1:$BZ$1001,614,J$2)&amp;""),""))</f>
        <v/>
      </c>
      <c r="K615">
        <f>IF(K$2=0,"",IFERROR(TRIM(INDEX('Pegar calibracion'!$A$1:$BZ$1001,614,K$2)&amp;""),""))</f>
        <v/>
      </c>
      <c r="L615">
        <f>IF(L$2=0,"",IFERROR(TRIM(INDEX('Pegar calibracion'!$A$1:$BZ$1001,614,L$2)&amp;""),""))</f>
        <v/>
      </c>
      <c r="M615" s="25">
        <f>IF(D615="","",SUBSTITUTE(SUBSTITUTE(SUBSTITUTE(SUBSTITUTE(SUBSTITUTE(SUBSTITUTE(SUBSTITUTE(SUBSTITUTE(SUBSTITUTE(SUBSTITUTE(SUBSTITUTE(SUBSTITUTE(LOWER(TRIM(D615)),"á","a"),"é","e"),"í","i"),"ó","o"),"ú","u"),"ü","u"),"ñ","n"),"à","a"),"è","e"),"ì","i"),"ò","o"),"ù","u"))</f>
        <v/>
      </c>
      <c r="N615" s="25">
        <f>IF(F615="","",SUBSTITUTE(SUBSTITUTE(SUBSTITUTE(SUBSTITUTE(SUBSTITUTE(SUBSTITUTE(SUBSTITUTE(SUBSTITUTE(SUBSTITUTE(SUBSTITUTE(SUBSTITUTE(SUBSTITUTE(LOWER(TRIM(F615)),"á","a"),"é","e"),"í","i"),"ó","o"),"ú","u"),"ü","u"),"ñ","n"),"à","a"),"è","e"),"ì","i"),"ò","o"),"ù","u"))</f>
        <v/>
      </c>
      <c r="O615" s="25">
        <f>IF(M615="confiable",2,IF(M615="dudosa",1,IF(M615="no confiable",0,"")))</f>
        <v/>
      </c>
      <c r="P615" s="25">
        <f>IF(N615="confiable",2,IF(N615="dudosa",1,IF(N615="no confiable",0,"")))</f>
        <v/>
      </c>
      <c r="Q615" s="25">
        <f>IF(AND(ISNUMBER(O615),ISNUMBER(P615)),1,"")</f>
        <v/>
      </c>
      <c r="R615" s="25">
        <f>IF(Q615=1,IF(O615=P615,"Sí","No"),"")</f>
        <v/>
      </c>
      <c r="S615" s="25">
        <f>IF(Q615=1,IF(P615&lt;O615,"Más estricto",IF(P615&gt;O615,"Más permisivo","Igual")),"")</f>
        <v/>
      </c>
      <c r="T615" s="25">
        <f>IF(Q615=1,IF(ABS(O615-P615)=2,1,0),"")</f>
        <v/>
      </c>
      <c r="U615" s="25">
        <f>IF(H615="","","|"&amp;SUBSTITUTE(SUBSTITUTE(TRIM(H615)," |","|"),"| ","|")&amp;"|")</f>
        <v/>
      </c>
      <c r="V615" s="25">
        <f>IF(AND(Q615=1,B615&lt;&gt;""),IF(IFERROR(COUNTIFS(B$3:B615,"="&amp;SUBSTITUTE(SUBSTITUTE(SUBSTITUTE(B615,"~","~~"),"*","~*"),"?","~?"),Q$3:Q615,1),0)=1,MAX(V$2:V614)+1,""),"")</f>
        <v/>
      </c>
      <c r="W615" s="25">
        <f>IF(V615="","",COUNTIFS($B$3:$B$1002,"="&amp;SUBSTITUTE(SUBSTITUTE(SUBSTITUTE(B615,"~","~~"),"*","~*"),"?","~?"),$Q$3:$Q$1002,1)*10000-V615)</f>
        <v/>
      </c>
      <c r="X615" s="25">
        <f>IF(Q615=1,IF(SUBSTITUTE(SUBSTITUTE(SUBSTITUTE(SUBSTITUTE(SUBSTITUTE(SUBSTITUTE(SUBSTITUTE(SUBSTITUTE(SUBSTITUTE(SUBSTITUTE(SUBSTITUTE(SUBSTITUTE(LOWER(TRIM(A615)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615)),"á","a"),"é","e"),"í","i"),"ó","o"),"ú","u"),"ü","u"),"ñ","n"),"à","a"),"è","e"),"ì","i"),"ò","o"),"ù","u")),"")</f>
        <v/>
      </c>
      <c r="Y615" s="25">
        <f>IF(X615="","",IF(IFERROR(COUNTIF(X$3:X615,"="&amp;SUBSTITUTE(SUBSTITUTE(SUBSTITUTE(X615,"~","~~"),"*","~*"),"?","~?")),0)=1,1,""))</f>
        <v/>
      </c>
      <c r="Z615" s="25">
        <f>IF(T615=1,MAX(Z$2:Z614)+1,"")</f>
        <v/>
      </c>
    </row>
    <row r="616">
      <c r="A616">
        <f>IF(A$2=0,"",IFERROR(TRIM(INDEX('Pegar calibracion'!$A$1:$BZ$1001,615,A$2)&amp;""),""))</f>
        <v/>
      </c>
      <c r="B616">
        <f>IF(B$2=0,"",IFERROR(TRIM(INDEX('Pegar calibracion'!$A$1:$BZ$1001,615,B$2)&amp;""),""))</f>
        <v/>
      </c>
      <c r="C616">
        <f>IF(C$2=0,"",IFERROR(TRIM(INDEX('Pegar calibracion'!$A$1:$BZ$1001,615,C$2)&amp;""),""))</f>
        <v/>
      </c>
      <c r="D616">
        <f>IF(D$2=0,"",IFERROR(TRIM(INDEX('Pegar calibracion'!$A$1:$BZ$1001,615,D$2)&amp;""),""))</f>
        <v/>
      </c>
      <c r="E616">
        <f>IF(E$2=0,"",IFERROR(TRIM(INDEX('Pegar calibracion'!$A$1:$BZ$1001,615,E$2)&amp;""),""))</f>
        <v/>
      </c>
      <c r="F616">
        <f>IF(F$2=0,"",IFERROR(TRIM(INDEX('Pegar calibracion'!$A$1:$BZ$1001,615,F$2)&amp;""),""))</f>
        <v/>
      </c>
      <c r="G616">
        <f>IF(G$2=0,"",IFERROR(TRIM(INDEX('Pegar calibracion'!$A$1:$BZ$1001,615,G$2)&amp;""),""))</f>
        <v/>
      </c>
      <c r="H616">
        <f>IF(H$2=0,"",IFERROR(TRIM(INDEX('Pegar calibracion'!$A$1:$BZ$1001,615,H$2)&amp;""),""))</f>
        <v/>
      </c>
      <c r="I616">
        <f>IF(I$2=0,"",IFERROR(TRIM(INDEX('Pegar calibracion'!$A$1:$BZ$1001,615,I$2)&amp;""),""))</f>
        <v/>
      </c>
      <c r="J616">
        <f>IF(J$2=0,"",IFERROR(TRIM(INDEX('Pegar calibracion'!$A$1:$BZ$1001,615,J$2)&amp;""),""))</f>
        <v/>
      </c>
      <c r="K616">
        <f>IF(K$2=0,"",IFERROR(TRIM(INDEX('Pegar calibracion'!$A$1:$BZ$1001,615,K$2)&amp;""),""))</f>
        <v/>
      </c>
      <c r="L616">
        <f>IF(L$2=0,"",IFERROR(TRIM(INDEX('Pegar calibracion'!$A$1:$BZ$1001,615,L$2)&amp;""),""))</f>
        <v/>
      </c>
      <c r="M616" s="25">
        <f>IF(D616="","",SUBSTITUTE(SUBSTITUTE(SUBSTITUTE(SUBSTITUTE(SUBSTITUTE(SUBSTITUTE(SUBSTITUTE(SUBSTITUTE(SUBSTITUTE(SUBSTITUTE(SUBSTITUTE(SUBSTITUTE(LOWER(TRIM(D616)),"á","a"),"é","e"),"í","i"),"ó","o"),"ú","u"),"ü","u"),"ñ","n"),"à","a"),"è","e"),"ì","i"),"ò","o"),"ù","u"))</f>
        <v/>
      </c>
      <c r="N616" s="25">
        <f>IF(F616="","",SUBSTITUTE(SUBSTITUTE(SUBSTITUTE(SUBSTITUTE(SUBSTITUTE(SUBSTITUTE(SUBSTITUTE(SUBSTITUTE(SUBSTITUTE(SUBSTITUTE(SUBSTITUTE(SUBSTITUTE(LOWER(TRIM(F616)),"á","a"),"é","e"),"í","i"),"ó","o"),"ú","u"),"ü","u"),"ñ","n"),"à","a"),"è","e"),"ì","i"),"ò","o"),"ù","u"))</f>
        <v/>
      </c>
      <c r="O616" s="25">
        <f>IF(M616="confiable",2,IF(M616="dudosa",1,IF(M616="no confiable",0,"")))</f>
        <v/>
      </c>
      <c r="P616" s="25">
        <f>IF(N616="confiable",2,IF(N616="dudosa",1,IF(N616="no confiable",0,"")))</f>
        <v/>
      </c>
      <c r="Q616" s="25">
        <f>IF(AND(ISNUMBER(O616),ISNUMBER(P616)),1,"")</f>
        <v/>
      </c>
      <c r="R616" s="25">
        <f>IF(Q616=1,IF(O616=P616,"Sí","No"),"")</f>
        <v/>
      </c>
      <c r="S616" s="25">
        <f>IF(Q616=1,IF(P616&lt;O616,"Más estricto",IF(P616&gt;O616,"Más permisivo","Igual")),"")</f>
        <v/>
      </c>
      <c r="T616" s="25">
        <f>IF(Q616=1,IF(ABS(O616-P616)=2,1,0),"")</f>
        <v/>
      </c>
      <c r="U616" s="25">
        <f>IF(H616="","","|"&amp;SUBSTITUTE(SUBSTITUTE(TRIM(H616)," |","|"),"| ","|")&amp;"|")</f>
        <v/>
      </c>
      <c r="V616" s="25">
        <f>IF(AND(Q616=1,B616&lt;&gt;""),IF(IFERROR(COUNTIFS(B$3:B616,"="&amp;SUBSTITUTE(SUBSTITUTE(SUBSTITUTE(B616,"~","~~"),"*","~*"),"?","~?"),Q$3:Q616,1),0)=1,MAX(V$2:V615)+1,""),"")</f>
        <v/>
      </c>
      <c r="W616" s="25">
        <f>IF(V616="","",COUNTIFS($B$3:$B$1002,"="&amp;SUBSTITUTE(SUBSTITUTE(SUBSTITUTE(B616,"~","~~"),"*","~*"),"?","~?"),$Q$3:$Q$1002,1)*10000-V616)</f>
        <v/>
      </c>
      <c r="X616" s="25">
        <f>IF(Q616=1,IF(SUBSTITUTE(SUBSTITUTE(SUBSTITUTE(SUBSTITUTE(SUBSTITUTE(SUBSTITUTE(SUBSTITUTE(SUBSTITUTE(SUBSTITUTE(SUBSTITUTE(SUBSTITUTE(SUBSTITUTE(LOWER(TRIM(A616)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616)),"á","a"),"é","e"),"í","i"),"ó","o"),"ú","u"),"ü","u"),"ñ","n"),"à","a"),"è","e"),"ì","i"),"ò","o"),"ù","u")),"")</f>
        <v/>
      </c>
      <c r="Y616" s="25">
        <f>IF(X616="","",IF(IFERROR(COUNTIF(X$3:X616,"="&amp;SUBSTITUTE(SUBSTITUTE(SUBSTITUTE(X616,"~","~~"),"*","~*"),"?","~?")),0)=1,1,""))</f>
        <v/>
      </c>
      <c r="Z616" s="25">
        <f>IF(T616=1,MAX(Z$2:Z615)+1,"")</f>
        <v/>
      </c>
    </row>
    <row r="617">
      <c r="A617">
        <f>IF(A$2=0,"",IFERROR(TRIM(INDEX('Pegar calibracion'!$A$1:$BZ$1001,616,A$2)&amp;""),""))</f>
        <v/>
      </c>
      <c r="B617">
        <f>IF(B$2=0,"",IFERROR(TRIM(INDEX('Pegar calibracion'!$A$1:$BZ$1001,616,B$2)&amp;""),""))</f>
        <v/>
      </c>
      <c r="C617">
        <f>IF(C$2=0,"",IFERROR(TRIM(INDEX('Pegar calibracion'!$A$1:$BZ$1001,616,C$2)&amp;""),""))</f>
        <v/>
      </c>
      <c r="D617">
        <f>IF(D$2=0,"",IFERROR(TRIM(INDEX('Pegar calibracion'!$A$1:$BZ$1001,616,D$2)&amp;""),""))</f>
        <v/>
      </c>
      <c r="E617">
        <f>IF(E$2=0,"",IFERROR(TRIM(INDEX('Pegar calibracion'!$A$1:$BZ$1001,616,E$2)&amp;""),""))</f>
        <v/>
      </c>
      <c r="F617">
        <f>IF(F$2=0,"",IFERROR(TRIM(INDEX('Pegar calibracion'!$A$1:$BZ$1001,616,F$2)&amp;""),""))</f>
        <v/>
      </c>
      <c r="G617">
        <f>IF(G$2=0,"",IFERROR(TRIM(INDEX('Pegar calibracion'!$A$1:$BZ$1001,616,G$2)&amp;""),""))</f>
        <v/>
      </c>
      <c r="H617">
        <f>IF(H$2=0,"",IFERROR(TRIM(INDEX('Pegar calibracion'!$A$1:$BZ$1001,616,H$2)&amp;""),""))</f>
        <v/>
      </c>
      <c r="I617">
        <f>IF(I$2=0,"",IFERROR(TRIM(INDEX('Pegar calibracion'!$A$1:$BZ$1001,616,I$2)&amp;""),""))</f>
        <v/>
      </c>
      <c r="J617">
        <f>IF(J$2=0,"",IFERROR(TRIM(INDEX('Pegar calibracion'!$A$1:$BZ$1001,616,J$2)&amp;""),""))</f>
        <v/>
      </c>
      <c r="K617">
        <f>IF(K$2=0,"",IFERROR(TRIM(INDEX('Pegar calibracion'!$A$1:$BZ$1001,616,K$2)&amp;""),""))</f>
        <v/>
      </c>
      <c r="L617">
        <f>IF(L$2=0,"",IFERROR(TRIM(INDEX('Pegar calibracion'!$A$1:$BZ$1001,616,L$2)&amp;""),""))</f>
        <v/>
      </c>
      <c r="M617" s="25">
        <f>IF(D617="","",SUBSTITUTE(SUBSTITUTE(SUBSTITUTE(SUBSTITUTE(SUBSTITUTE(SUBSTITUTE(SUBSTITUTE(SUBSTITUTE(SUBSTITUTE(SUBSTITUTE(SUBSTITUTE(SUBSTITUTE(LOWER(TRIM(D617)),"á","a"),"é","e"),"í","i"),"ó","o"),"ú","u"),"ü","u"),"ñ","n"),"à","a"),"è","e"),"ì","i"),"ò","o"),"ù","u"))</f>
        <v/>
      </c>
      <c r="N617" s="25">
        <f>IF(F617="","",SUBSTITUTE(SUBSTITUTE(SUBSTITUTE(SUBSTITUTE(SUBSTITUTE(SUBSTITUTE(SUBSTITUTE(SUBSTITUTE(SUBSTITUTE(SUBSTITUTE(SUBSTITUTE(SUBSTITUTE(LOWER(TRIM(F617)),"á","a"),"é","e"),"í","i"),"ó","o"),"ú","u"),"ü","u"),"ñ","n"),"à","a"),"è","e"),"ì","i"),"ò","o"),"ù","u"))</f>
        <v/>
      </c>
      <c r="O617" s="25">
        <f>IF(M617="confiable",2,IF(M617="dudosa",1,IF(M617="no confiable",0,"")))</f>
        <v/>
      </c>
      <c r="P617" s="25">
        <f>IF(N617="confiable",2,IF(N617="dudosa",1,IF(N617="no confiable",0,"")))</f>
        <v/>
      </c>
      <c r="Q617" s="25">
        <f>IF(AND(ISNUMBER(O617),ISNUMBER(P617)),1,"")</f>
        <v/>
      </c>
      <c r="R617" s="25">
        <f>IF(Q617=1,IF(O617=P617,"Sí","No"),"")</f>
        <v/>
      </c>
      <c r="S617" s="25">
        <f>IF(Q617=1,IF(P617&lt;O617,"Más estricto",IF(P617&gt;O617,"Más permisivo","Igual")),"")</f>
        <v/>
      </c>
      <c r="T617" s="25">
        <f>IF(Q617=1,IF(ABS(O617-P617)=2,1,0),"")</f>
        <v/>
      </c>
      <c r="U617" s="25">
        <f>IF(H617="","","|"&amp;SUBSTITUTE(SUBSTITUTE(TRIM(H617)," |","|"),"| ","|")&amp;"|")</f>
        <v/>
      </c>
      <c r="V617" s="25">
        <f>IF(AND(Q617=1,B617&lt;&gt;""),IF(IFERROR(COUNTIFS(B$3:B617,"="&amp;SUBSTITUTE(SUBSTITUTE(SUBSTITUTE(B617,"~","~~"),"*","~*"),"?","~?"),Q$3:Q617,1),0)=1,MAX(V$2:V616)+1,""),"")</f>
        <v/>
      </c>
      <c r="W617" s="25">
        <f>IF(V617="","",COUNTIFS($B$3:$B$1002,"="&amp;SUBSTITUTE(SUBSTITUTE(SUBSTITUTE(B617,"~","~~"),"*","~*"),"?","~?"),$Q$3:$Q$1002,1)*10000-V617)</f>
        <v/>
      </c>
      <c r="X617" s="25">
        <f>IF(Q617=1,IF(SUBSTITUTE(SUBSTITUTE(SUBSTITUTE(SUBSTITUTE(SUBSTITUTE(SUBSTITUTE(SUBSTITUTE(SUBSTITUTE(SUBSTITUTE(SUBSTITUTE(SUBSTITUTE(SUBSTITUTE(LOWER(TRIM(A617)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617)),"á","a"),"é","e"),"í","i"),"ó","o"),"ú","u"),"ü","u"),"ñ","n"),"à","a"),"è","e"),"ì","i"),"ò","o"),"ù","u")),"")</f>
        <v/>
      </c>
      <c r="Y617" s="25">
        <f>IF(X617="","",IF(IFERROR(COUNTIF(X$3:X617,"="&amp;SUBSTITUTE(SUBSTITUTE(SUBSTITUTE(X617,"~","~~"),"*","~*"),"?","~?")),0)=1,1,""))</f>
        <v/>
      </c>
      <c r="Z617" s="25">
        <f>IF(T617=1,MAX(Z$2:Z616)+1,"")</f>
        <v/>
      </c>
    </row>
    <row r="618">
      <c r="A618">
        <f>IF(A$2=0,"",IFERROR(TRIM(INDEX('Pegar calibracion'!$A$1:$BZ$1001,617,A$2)&amp;""),""))</f>
        <v/>
      </c>
      <c r="B618">
        <f>IF(B$2=0,"",IFERROR(TRIM(INDEX('Pegar calibracion'!$A$1:$BZ$1001,617,B$2)&amp;""),""))</f>
        <v/>
      </c>
      <c r="C618">
        <f>IF(C$2=0,"",IFERROR(TRIM(INDEX('Pegar calibracion'!$A$1:$BZ$1001,617,C$2)&amp;""),""))</f>
        <v/>
      </c>
      <c r="D618">
        <f>IF(D$2=0,"",IFERROR(TRIM(INDEX('Pegar calibracion'!$A$1:$BZ$1001,617,D$2)&amp;""),""))</f>
        <v/>
      </c>
      <c r="E618">
        <f>IF(E$2=0,"",IFERROR(TRIM(INDEX('Pegar calibracion'!$A$1:$BZ$1001,617,E$2)&amp;""),""))</f>
        <v/>
      </c>
      <c r="F618">
        <f>IF(F$2=0,"",IFERROR(TRIM(INDEX('Pegar calibracion'!$A$1:$BZ$1001,617,F$2)&amp;""),""))</f>
        <v/>
      </c>
      <c r="G618">
        <f>IF(G$2=0,"",IFERROR(TRIM(INDEX('Pegar calibracion'!$A$1:$BZ$1001,617,G$2)&amp;""),""))</f>
        <v/>
      </c>
      <c r="H618">
        <f>IF(H$2=0,"",IFERROR(TRIM(INDEX('Pegar calibracion'!$A$1:$BZ$1001,617,H$2)&amp;""),""))</f>
        <v/>
      </c>
      <c r="I618">
        <f>IF(I$2=0,"",IFERROR(TRIM(INDEX('Pegar calibracion'!$A$1:$BZ$1001,617,I$2)&amp;""),""))</f>
        <v/>
      </c>
      <c r="J618">
        <f>IF(J$2=0,"",IFERROR(TRIM(INDEX('Pegar calibracion'!$A$1:$BZ$1001,617,J$2)&amp;""),""))</f>
        <v/>
      </c>
      <c r="K618">
        <f>IF(K$2=0,"",IFERROR(TRIM(INDEX('Pegar calibracion'!$A$1:$BZ$1001,617,K$2)&amp;""),""))</f>
        <v/>
      </c>
      <c r="L618">
        <f>IF(L$2=0,"",IFERROR(TRIM(INDEX('Pegar calibracion'!$A$1:$BZ$1001,617,L$2)&amp;""),""))</f>
        <v/>
      </c>
      <c r="M618" s="25">
        <f>IF(D618="","",SUBSTITUTE(SUBSTITUTE(SUBSTITUTE(SUBSTITUTE(SUBSTITUTE(SUBSTITUTE(SUBSTITUTE(SUBSTITUTE(SUBSTITUTE(SUBSTITUTE(SUBSTITUTE(SUBSTITUTE(LOWER(TRIM(D618)),"á","a"),"é","e"),"í","i"),"ó","o"),"ú","u"),"ü","u"),"ñ","n"),"à","a"),"è","e"),"ì","i"),"ò","o"),"ù","u"))</f>
        <v/>
      </c>
      <c r="N618" s="25">
        <f>IF(F618="","",SUBSTITUTE(SUBSTITUTE(SUBSTITUTE(SUBSTITUTE(SUBSTITUTE(SUBSTITUTE(SUBSTITUTE(SUBSTITUTE(SUBSTITUTE(SUBSTITUTE(SUBSTITUTE(SUBSTITUTE(LOWER(TRIM(F618)),"á","a"),"é","e"),"í","i"),"ó","o"),"ú","u"),"ü","u"),"ñ","n"),"à","a"),"è","e"),"ì","i"),"ò","o"),"ù","u"))</f>
        <v/>
      </c>
      <c r="O618" s="25">
        <f>IF(M618="confiable",2,IF(M618="dudosa",1,IF(M618="no confiable",0,"")))</f>
        <v/>
      </c>
      <c r="P618" s="25">
        <f>IF(N618="confiable",2,IF(N618="dudosa",1,IF(N618="no confiable",0,"")))</f>
        <v/>
      </c>
      <c r="Q618" s="25">
        <f>IF(AND(ISNUMBER(O618),ISNUMBER(P618)),1,"")</f>
        <v/>
      </c>
      <c r="R618" s="25">
        <f>IF(Q618=1,IF(O618=P618,"Sí","No"),"")</f>
        <v/>
      </c>
      <c r="S618" s="25">
        <f>IF(Q618=1,IF(P618&lt;O618,"Más estricto",IF(P618&gt;O618,"Más permisivo","Igual")),"")</f>
        <v/>
      </c>
      <c r="T618" s="25">
        <f>IF(Q618=1,IF(ABS(O618-P618)=2,1,0),"")</f>
        <v/>
      </c>
      <c r="U618" s="25">
        <f>IF(H618="","","|"&amp;SUBSTITUTE(SUBSTITUTE(TRIM(H618)," |","|"),"| ","|")&amp;"|")</f>
        <v/>
      </c>
      <c r="V618" s="25">
        <f>IF(AND(Q618=1,B618&lt;&gt;""),IF(IFERROR(COUNTIFS(B$3:B618,"="&amp;SUBSTITUTE(SUBSTITUTE(SUBSTITUTE(B618,"~","~~"),"*","~*"),"?","~?"),Q$3:Q618,1),0)=1,MAX(V$2:V617)+1,""),"")</f>
        <v/>
      </c>
      <c r="W618" s="25">
        <f>IF(V618="","",COUNTIFS($B$3:$B$1002,"="&amp;SUBSTITUTE(SUBSTITUTE(SUBSTITUTE(B618,"~","~~"),"*","~*"),"?","~?"),$Q$3:$Q$1002,1)*10000-V618)</f>
        <v/>
      </c>
      <c r="X618" s="25">
        <f>IF(Q618=1,IF(SUBSTITUTE(SUBSTITUTE(SUBSTITUTE(SUBSTITUTE(SUBSTITUTE(SUBSTITUTE(SUBSTITUTE(SUBSTITUTE(SUBSTITUTE(SUBSTITUTE(SUBSTITUTE(SUBSTITUTE(LOWER(TRIM(A618)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618)),"á","a"),"é","e"),"í","i"),"ó","o"),"ú","u"),"ü","u"),"ñ","n"),"à","a"),"è","e"),"ì","i"),"ò","o"),"ù","u")),"")</f>
        <v/>
      </c>
      <c r="Y618" s="25">
        <f>IF(X618="","",IF(IFERROR(COUNTIF(X$3:X618,"="&amp;SUBSTITUTE(SUBSTITUTE(SUBSTITUTE(X618,"~","~~"),"*","~*"),"?","~?")),0)=1,1,""))</f>
        <v/>
      </c>
      <c r="Z618" s="25">
        <f>IF(T618=1,MAX(Z$2:Z617)+1,"")</f>
        <v/>
      </c>
    </row>
    <row r="619">
      <c r="A619">
        <f>IF(A$2=0,"",IFERROR(TRIM(INDEX('Pegar calibracion'!$A$1:$BZ$1001,618,A$2)&amp;""),""))</f>
        <v/>
      </c>
      <c r="B619">
        <f>IF(B$2=0,"",IFERROR(TRIM(INDEX('Pegar calibracion'!$A$1:$BZ$1001,618,B$2)&amp;""),""))</f>
        <v/>
      </c>
      <c r="C619">
        <f>IF(C$2=0,"",IFERROR(TRIM(INDEX('Pegar calibracion'!$A$1:$BZ$1001,618,C$2)&amp;""),""))</f>
        <v/>
      </c>
      <c r="D619">
        <f>IF(D$2=0,"",IFERROR(TRIM(INDEX('Pegar calibracion'!$A$1:$BZ$1001,618,D$2)&amp;""),""))</f>
        <v/>
      </c>
      <c r="E619">
        <f>IF(E$2=0,"",IFERROR(TRIM(INDEX('Pegar calibracion'!$A$1:$BZ$1001,618,E$2)&amp;""),""))</f>
        <v/>
      </c>
      <c r="F619">
        <f>IF(F$2=0,"",IFERROR(TRIM(INDEX('Pegar calibracion'!$A$1:$BZ$1001,618,F$2)&amp;""),""))</f>
        <v/>
      </c>
      <c r="G619">
        <f>IF(G$2=0,"",IFERROR(TRIM(INDEX('Pegar calibracion'!$A$1:$BZ$1001,618,G$2)&amp;""),""))</f>
        <v/>
      </c>
      <c r="H619">
        <f>IF(H$2=0,"",IFERROR(TRIM(INDEX('Pegar calibracion'!$A$1:$BZ$1001,618,H$2)&amp;""),""))</f>
        <v/>
      </c>
      <c r="I619">
        <f>IF(I$2=0,"",IFERROR(TRIM(INDEX('Pegar calibracion'!$A$1:$BZ$1001,618,I$2)&amp;""),""))</f>
        <v/>
      </c>
      <c r="J619">
        <f>IF(J$2=0,"",IFERROR(TRIM(INDEX('Pegar calibracion'!$A$1:$BZ$1001,618,J$2)&amp;""),""))</f>
        <v/>
      </c>
      <c r="K619">
        <f>IF(K$2=0,"",IFERROR(TRIM(INDEX('Pegar calibracion'!$A$1:$BZ$1001,618,K$2)&amp;""),""))</f>
        <v/>
      </c>
      <c r="L619">
        <f>IF(L$2=0,"",IFERROR(TRIM(INDEX('Pegar calibracion'!$A$1:$BZ$1001,618,L$2)&amp;""),""))</f>
        <v/>
      </c>
      <c r="M619" s="25">
        <f>IF(D619="","",SUBSTITUTE(SUBSTITUTE(SUBSTITUTE(SUBSTITUTE(SUBSTITUTE(SUBSTITUTE(SUBSTITUTE(SUBSTITUTE(SUBSTITUTE(SUBSTITUTE(SUBSTITUTE(SUBSTITUTE(LOWER(TRIM(D619)),"á","a"),"é","e"),"í","i"),"ó","o"),"ú","u"),"ü","u"),"ñ","n"),"à","a"),"è","e"),"ì","i"),"ò","o"),"ù","u"))</f>
        <v/>
      </c>
      <c r="N619" s="25">
        <f>IF(F619="","",SUBSTITUTE(SUBSTITUTE(SUBSTITUTE(SUBSTITUTE(SUBSTITUTE(SUBSTITUTE(SUBSTITUTE(SUBSTITUTE(SUBSTITUTE(SUBSTITUTE(SUBSTITUTE(SUBSTITUTE(LOWER(TRIM(F619)),"á","a"),"é","e"),"í","i"),"ó","o"),"ú","u"),"ü","u"),"ñ","n"),"à","a"),"è","e"),"ì","i"),"ò","o"),"ù","u"))</f>
        <v/>
      </c>
      <c r="O619" s="25">
        <f>IF(M619="confiable",2,IF(M619="dudosa",1,IF(M619="no confiable",0,"")))</f>
        <v/>
      </c>
      <c r="P619" s="25">
        <f>IF(N619="confiable",2,IF(N619="dudosa",1,IF(N619="no confiable",0,"")))</f>
        <v/>
      </c>
      <c r="Q619" s="25">
        <f>IF(AND(ISNUMBER(O619),ISNUMBER(P619)),1,"")</f>
        <v/>
      </c>
      <c r="R619" s="25">
        <f>IF(Q619=1,IF(O619=P619,"Sí","No"),"")</f>
        <v/>
      </c>
      <c r="S619" s="25">
        <f>IF(Q619=1,IF(P619&lt;O619,"Más estricto",IF(P619&gt;O619,"Más permisivo","Igual")),"")</f>
        <v/>
      </c>
      <c r="T619" s="25">
        <f>IF(Q619=1,IF(ABS(O619-P619)=2,1,0),"")</f>
        <v/>
      </c>
      <c r="U619" s="25">
        <f>IF(H619="","","|"&amp;SUBSTITUTE(SUBSTITUTE(TRIM(H619)," |","|"),"| ","|")&amp;"|")</f>
        <v/>
      </c>
      <c r="V619" s="25">
        <f>IF(AND(Q619=1,B619&lt;&gt;""),IF(IFERROR(COUNTIFS(B$3:B619,"="&amp;SUBSTITUTE(SUBSTITUTE(SUBSTITUTE(B619,"~","~~"),"*","~*"),"?","~?"),Q$3:Q619,1),0)=1,MAX(V$2:V618)+1,""),"")</f>
        <v/>
      </c>
      <c r="W619" s="25">
        <f>IF(V619="","",COUNTIFS($B$3:$B$1002,"="&amp;SUBSTITUTE(SUBSTITUTE(SUBSTITUTE(B619,"~","~~"),"*","~*"),"?","~?"),$Q$3:$Q$1002,1)*10000-V619)</f>
        <v/>
      </c>
      <c r="X619" s="25">
        <f>IF(Q619=1,IF(SUBSTITUTE(SUBSTITUTE(SUBSTITUTE(SUBSTITUTE(SUBSTITUTE(SUBSTITUTE(SUBSTITUTE(SUBSTITUTE(SUBSTITUTE(SUBSTITUTE(SUBSTITUTE(SUBSTITUTE(LOWER(TRIM(A619)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619)),"á","a"),"é","e"),"í","i"),"ó","o"),"ú","u"),"ü","u"),"ñ","n"),"à","a"),"è","e"),"ì","i"),"ò","o"),"ù","u")),"")</f>
        <v/>
      </c>
      <c r="Y619" s="25">
        <f>IF(X619="","",IF(IFERROR(COUNTIF(X$3:X619,"="&amp;SUBSTITUTE(SUBSTITUTE(SUBSTITUTE(X619,"~","~~"),"*","~*"),"?","~?")),0)=1,1,""))</f>
        <v/>
      </c>
      <c r="Z619" s="25">
        <f>IF(T619=1,MAX(Z$2:Z618)+1,"")</f>
        <v/>
      </c>
    </row>
    <row r="620">
      <c r="A620">
        <f>IF(A$2=0,"",IFERROR(TRIM(INDEX('Pegar calibracion'!$A$1:$BZ$1001,619,A$2)&amp;""),""))</f>
        <v/>
      </c>
      <c r="B620">
        <f>IF(B$2=0,"",IFERROR(TRIM(INDEX('Pegar calibracion'!$A$1:$BZ$1001,619,B$2)&amp;""),""))</f>
        <v/>
      </c>
      <c r="C620">
        <f>IF(C$2=0,"",IFERROR(TRIM(INDEX('Pegar calibracion'!$A$1:$BZ$1001,619,C$2)&amp;""),""))</f>
        <v/>
      </c>
      <c r="D620">
        <f>IF(D$2=0,"",IFERROR(TRIM(INDEX('Pegar calibracion'!$A$1:$BZ$1001,619,D$2)&amp;""),""))</f>
        <v/>
      </c>
      <c r="E620">
        <f>IF(E$2=0,"",IFERROR(TRIM(INDEX('Pegar calibracion'!$A$1:$BZ$1001,619,E$2)&amp;""),""))</f>
        <v/>
      </c>
      <c r="F620">
        <f>IF(F$2=0,"",IFERROR(TRIM(INDEX('Pegar calibracion'!$A$1:$BZ$1001,619,F$2)&amp;""),""))</f>
        <v/>
      </c>
      <c r="G620">
        <f>IF(G$2=0,"",IFERROR(TRIM(INDEX('Pegar calibracion'!$A$1:$BZ$1001,619,G$2)&amp;""),""))</f>
        <v/>
      </c>
      <c r="H620">
        <f>IF(H$2=0,"",IFERROR(TRIM(INDEX('Pegar calibracion'!$A$1:$BZ$1001,619,H$2)&amp;""),""))</f>
        <v/>
      </c>
      <c r="I620">
        <f>IF(I$2=0,"",IFERROR(TRIM(INDEX('Pegar calibracion'!$A$1:$BZ$1001,619,I$2)&amp;""),""))</f>
        <v/>
      </c>
      <c r="J620">
        <f>IF(J$2=0,"",IFERROR(TRIM(INDEX('Pegar calibracion'!$A$1:$BZ$1001,619,J$2)&amp;""),""))</f>
        <v/>
      </c>
      <c r="K620">
        <f>IF(K$2=0,"",IFERROR(TRIM(INDEX('Pegar calibracion'!$A$1:$BZ$1001,619,K$2)&amp;""),""))</f>
        <v/>
      </c>
      <c r="L620">
        <f>IF(L$2=0,"",IFERROR(TRIM(INDEX('Pegar calibracion'!$A$1:$BZ$1001,619,L$2)&amp;""),""))</f>
        <v/>
      </c>
      <c r="M620" s="25">
        <f>IF(D620="","",SUBSTITUTE(SUBSTITUTE(SUBSTITUTE(SUBSTITUTE(SUBSTITUTE(SUBSTITUTE(SUBSTITUTE(SUBSTITUTE(SUBSTITUTE(SUBSTITUTE(SUBSTITUTE(SUBSTITUTE(LOWER(TRIM(D620)),"á","a"),"é","e"),"í","i"),"ó","o"),"ú","u"),"ü","u"),"ñ","n"),"à","a"),"è","e"),"ì","i"),"ò","o"),"ù","u"))</f>
        <v/>
      </c>
      <c r="N620" s="25">
        <f>IF(F620="","",SUBSTITUTE(SUBSTITUTE(SUBSTITUTE(SUBSTITUTE(SUBSTITUTE(SUBSTITUTE(SUBSTITUTE(SUBSTITUTE(SUBSTITUTE(SUBSTITUTE(SUBSTITUTE(SUBSTITUTE(LOWER(TRIM(F620)),"á","a"),"é","e"),"í","i"),"ó","o"),"ú","u"),"ü","u"),"ñ","n"),"à","a"),"è","e"),"ì","i"),"ò","o"),"ù","u"))</f>
        <v/>
      </c>
      <c r="O620" s="25">
        <f>IF(M620="confiable",2,IF(M620="dudosa",1,IF(M620="no confiable",0,"")))</f>
        <v/>
      </c>
      <c r="P620" s="25">
        <f>IF(N620="confiable",2,IF(N620="dudosa",1,IF(N620="no confiable",0,"")))</f>
        <v/>
      </c>
      <c r="Q620" s="25">
        <f>IF(AND(ISNUMBER(O620),ISNUMBER(P620)),1,"")</f>
        <v/>
      </c>
      <c r="R620" s="25">
        <f>IF(Q620=1,IF(O620=P620,"Sí","No"),"")</f>
        <v/>
      </c>
      <c r="S620" s="25">
        <f>IF(Q620=1,IF(P620&lt;O620,"Más estricto",IF(P620&gt;O620,"Más permisivo","Igual")),"")</f>
        <v/>
      </c>
      <c r="T620" s="25">
        <f>IF(Q620=1,IF(ABS(O620-P620)=2,1,0),"")</f>
        <v/>
      </c>
      <c r="U620" s="25">
        <f>IF(H620="","","|"&amp;SUBSTITUTE(SUBSTITUTE(TRIM(H620)," |","|"),"| ","|")&amp;"|")</f>
        <v/>
      </c>
      <c r="V620" s="25">
        <f>IF(AND(Q620=1,B620&lt;&gt;""),IF(IFERROR(COUNTIFS(B$3:B620,"="&amp;SUBSTITUTE(SUBSTITUTE(SUBSTITUTE(B620,"~","~~"),"*","~*"),"?","~?"),Q$3:Q620,1),0)=1,MAX(V$2:V619)+1,""),"")</f>
        <v/>
      </c>
      <c r="W620" s="25">
        <f>IF(V620="","",COUNTIFS($B$3:$B$1002,"="&amp;SUBSTITUTE(SUBSTITUTE(SUBSTITUTE(B620,"~","~~"),"*","~*"),"?","~?"),$Q$3:$Q$1002,1)*10000-V620)</f>
        <v/>
      </c>
      <c r="X620" s="25">
        <f>IF(Q620=1,IF(SUBSTITUTE(SUBSTITUTE(SUBSTITUTE(SUBSTITUTE(SUBSTITUTE(SUBSTITUTE(SUBSTITUTE(SUBSTITUTE(SUBSTITUTE(SUBSTITUTE(SUBSTITUTE(SUBSTITUTE(LOWER(TRIM(A620)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620)),"á","a"),"é","e"),"í","i"),"ó","o"),"ú","u"),"ü","u"),"ñ","n"),"à","a"),"è","e"),"ì","i"),"ò","o"),"ù","u")),"")</f>
        <v/>
      </c>
      <c r="Y620" s="25">
        <f>IF(X620="","",IF(IFERROR(COUNTIF(X$3:X620,"="&amp;SUBSTITUTE(SUBSTITUTE(SUBSTITUTE(X620,"~","~~"),"*","~*"),"?","~?")),0)=1,1,""))</f>
        <v/>
      </c>
      <c r="Z620" s="25">
        <f>IF(T620=1,MAX(Z$2:Z619)+1,"")</f>
        <v/>
      </c>
    </row>
    <row r="621">
      <c r="A621">
        <f>IF(A$2=0,"",IFERROR(TRIM(INDEX('Pegar calibracion'!$A$1:$BZ$1001,620,A$2)&amp;""),""))</f>
        <v/>
      </c>
      <c r="B621">
        <f>IF(B$2=0,"",IFERROR(TRIM(INDEX('Pegar calibracion'!$A$1:$BZ$1001,620,B$2)&amp;""),""))</f>
        <v/>
      </c>
      <c r="C621">
        <f>IF(C$2=0,"",IFERROR(TRIM(INDEX('Pegar calibracion'!$A$1:$BZ$1001,620,C$2)&amp;""),""))</f>
        <v/>
      </c>
      <c r="D621">
        <f>IF(D$2=0,"",IFERROR(TRIM(INDEX('Pegar calibracion'!$A$1:$BZ$1001,620,D$2)&amp;""),""))</f>
        <v/>
      </c>
      <c r="E621">
        <f>IF(E$2=0,"",IFERROR(TRIM(INDEX('Pegar calibracion'!$A$1:$BZ$1001,620,E$2)&amp;""),""))</f>
        <v/>
      </c>
      <c r="F621">
        <f>IF(F$2=0,"",IFERROR(TRIM(INDEX('Pegar calibracion'!$A$1:$BZ$1001,620,F$2)&amp;""),""))</f>
        <v/>
      </c>
      <c r="G621">
        <f>IF(G$2=0,"",IFERROR(TRIM(INDEX('Pegar calibracion'!$A$1:$BZ$1001,620,G$2)&amp;""),""))</f>
        <v/>
      </c>
      <c r="H621">
        <f>IF(H$2=0,"",IFERROR(TRIM(INDEX('Pegar calibracion'!$A$1:$BZ$1001,620,H$2)&amp;""),""))</f>
        <v/>
      </c>
      <c r="I621">
        <f>IF(I$2=0,"",IFERROR(TRIM(INDEX('Pegar calibracion'!$A$1:$BZ$1001,620,I$2)&amp;""),""))</f>
        <v/>
      </c>
      <c r="J621">
        <f>IF(J$2=0,"",IFERROR(TRIM(INDEX('Pegar calibracion'!$A$1:$BZ$1001,620,J$2)&amp;""),""))</f>
        <v/>
      </c>
      <c r="K621">
        <f>IF(K$2=0,"",IFERROR(TRIM(INDEX('Pegar calibracion'!$A$1:$BZ$1001,620,K$2)&amp;""),""))</f>
        <v/>
      </c>
      <c r="L621">
        <f>IF(L$2=0,"",IFERROR(TRIM(INDEX('Pegar calibracion'!$A$1:$BZ$1001,620,L$2)&amp;""),""))</f>
        <v/>
      </c>
      <c r="M621" s="25">
        <f>IF(D621="","",SUBSTITUTE(SUBSTITUTE(SUBSTITUTE(SUBSTITUTE(SUBSTITUTE(SUBSTITUTE(SUBSTITUTE(SUBSTITUTE(SUBSTITUTE(SUBSTITUTE(SUBSTITUTE(SUBSTITUTE(LOWER(TRIM(D621)),"á","a"),"é","e"),"í","i"),"ó","o"),"ú","u"),"ü","u"),"ñ","n"),"à","a"),"è","e"),"ì","i"),"ò","o"),"ù","u"))</f>
        <v/>
      </c>
      <c r="N621" s="25">
        <f>IF(F621="","",SUBSTITUTE(SUBSTITUTE(SUBSTITUTE(SUBSTITUTE(SUBSTITUTE(SUBSTITUTE(SUBSTITUTE(SUBSTITUTE(SUBSTITUTE(SUBSTITUTE(SUBSTITUTE(SUBSTITUTE(LOWER(TRIM(F621)),"á","a"),"é","e"),"í","i"),"ó","o"),"ú","u"),"ü","u"),"ñ","n"),"à","a"),"è","e"),"ì","i"),"ò","o"),"ù","u"))</f>
        <v/>
      </c>
      <c r="O621" s="25">
        <f>IF(M621="confiable",2,IF(M621="dudosa",1,IF(M621="no confiable",0,"")))</f>
        <v/>
      </c>
      <c r="P621" s="25">
        <f>IF(N621="confiable",2,IF(N621="dudosa",1,IF(N621="no confiable",0,"")))</f>
        <v/>
      </c>
      <c r="Q621" s="25">
        <f>IF(AND(ISNUMBER(O621),ISNUMBER(P621)),1,"")</f>
        <v/>
      </c>
      <c r="R621" s="25">
        <f>IF(Q621=1,IF(O621=P621,"Sí","No"),"")</f>
        <v/>
      </c>
      <c r="S621" s="25">
        <f>IF(Q621=1,IF(P621&lt;O621,"Más estricto",IF(P621&gt;O621,"Más permisivo","Igual")),"")</f>
        <v/>
      </c>
      <c r="T621" s="25">
        <f>IF(Q621=1,IF(ABS(O621-P621)=2,1,0),"")</f>
        <v/>
      </c>
      <c r="U621" s="25">
        <f>IF(H621="","","|"&amp;SUBSTITUTE(SUBSTITUTE(TRIM(H621)," |","|"),"| ","|")&amp;"|")</f>
        <v/>
      </c>
      <c r="V621" s="25">
        <f>IF(AND(Q621=1,B621&lt;&gt;""),IF(IFERROR(COUNTIFS(B$3:B621,"="&amp;SUBSTITUTE(SUBSTITUTE(SUBSTITUTE(B621,"~","~~"),"*","~*"),"?","~?"),Q$3:Q621,1),0)=1,MAX(V$2:V620)+1,""),"")</f>
        <v/>
      </c>
      <c r="W621" s="25">
        <f>IF(V621="","",COUNTIFS($B$3:$B$1002,"="&amp;SUBSTITUTE(SUBSTITUTE(SUBSTITUTE(B621,"~","~~"),"*","~*"),"?","~?"),$Q$3:$Q$1002,1)*10000-V621)</f>
        <v/>
      </c>
      <c r="X621" s="25">
        <f>IF(Q621=1,IF(SUBSTITUTE(SUBSTITUTE(SUBSTITUTE(SUBSTITUTE(SUBSTITUTE(SUBSTITUTE(SUBSTITUTE(SUBSTITUTE(SUBSTITUTE(SUBSTITUTE(SUBSTITUTE(SUBSTITUTE(LOWER(TRIM(A621)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621)),"á","a"),"é","e"),"í","i"),"ó","o"),"ú","u"),"ü","u"),"ñ","n"),"à","a"),"è","e"),"ì","i"),"ò","o"),"ù","u")),"")</f>
        <v/>
      </c>
      <c r="Y621" s="25">
        <f>IF(X621="","",IF(IFERROR(COUNTIF(X$3:X621,"="&amp;SUBSTITUTE(SUBSTITUTE(SUBSTITUTE(X621,"~","~~"),"*","~*"),"?","~?")),0)=1,1,""))</f>
        <v/>
      </c>
      <c r="Z621" s="25">
        <f>IF(T621=1,MAX(Z$2:Z620)+1,"")</f>
        <v/>
      </c>
    </row>
    <row r="622">
      <c r="A622">
        <f>IF(A$2=0,"",IFERROR(TRIM(INDEX('Pegar calibracion'!$A$1:$BZ$1001,621,A$2)&amp;""),""))</f>
        <v/>
      </c>
      <c r="B622">
        <f>IF(B$2=0,"",IFERROR(TRIM(INDEX('Pegar calibracion'!$A$1:$BZ$1001,621,B$2)&amp;""),""))</f>
        <v/>
      </c>
      <c r="C622">
        <f>IF(C$2=0,"",IFERROR(TRIM(INDEX('Pegar calibracion'!$A$1:$BZ$1001,621,C$2)&amp;""),""))</f>
        <v/>
      </c>
      <c r="D622">
        <f>IF(D$2=0,"",IFERROR(TRIM(INDEX('Pegar calibracion'!$A$1:$BZ$1001,621,D$2)&amp;""),""))</f>
        <v/>
      </c>
      <c r="E622">
        <f>IF(E$2=0,"",IFERROR(TRIM(INDEX('Pegar calibracion'!$A$1:$BZ$1001,621,E$2)&amp;""),""))</f>
        <v/>
      </c>
      <c r="F622">
        <f>IF(F$2=0,"",IFERROR(TRIM(INDEX('Pegar calibracion'!$A$1:$BZ$1001,621,F$2)&amp;""),""))</f>
        <v/>
      </c>
      <c r="G622">
        <f>IF(G$2=0,"",IFERROR(TRIM(INDEX('Pegar calibracion'!$A$1:$BZ$1001,621,G$2)&amp;""),""))</f>
        <v/>
      </c>
      <c r="H622">
        <f>IF(H$2=0,"",IFERROR(TRIM(INDEX('Pegar calibracion'!$A$1:$BZ$1001,621,H$2)&amp;""),""))</f>
        <v/>
      </c>
      <c r="I622">
        <f>IF(I$2=0,"",IFERROR(TRIM(INDEX('Pegar calibracion'!$A$1:$BZ$1001,621,I$2)&amp;""),""))</f>
        <v/>
      </c>
      <c r="J622">
        <f>IF(J$2=0,"",IFERROR(TRIM(INDEX('Pegar calibracion'!$A$1:$BZ$1001,621,J$2)&amp;""),""))</f>
        <v/>
      </c>
      <c r="K622">
        <f>IF(K$2=0,"",IFERROR(TRIM(INDEX('Pegar calibracion'!$A$1:$BZ$1001,621,K$2)&amp;""),""))</f>
        <v/>
      </c>
      <c r="L622">
        <f>IF(L$2=0,"",IFERROR(TRIM(INDEX('Pegar calibracion'!$A$1:$BZ$1001,621,L$2)&amp;""),""))</f>
        <v/>
      </c>
      <c r="M622" s="25">
        <f>IF(D622="","",SUBSTITUTE(SUBSTITUTE(SUBSTITUTE(SUBSTITUTE(SUBSTITUTE(SUBSTITUTE(SUBSTITUTE(SUBSTITUTE(SUBSTITUTE(SUBSTITUTE(SUBSTITUTE(SUBSTITUTE(LOWER(TRIM(D622)),"á","a"),"é","e"),"í","i"),"ó","o"),"ú","u"),"ü","u"),"ñ","n"),"à","a"),"è","e"),"ì","i"),"ò","o"),"ù","u"))</f>
        <v/>
      </c>
      <c r="N622" s="25">
        <f>IF(F622="","",SUBSTITUTE(SUBSTITUTE(SUBSTITUTE(SUBSTITUTE(SUBSTITUTE(SUBSTITUTE(SUBSTITUTE(SUBSTITUTE(SUBSTITUTE(SUBSTITUTE(SUBSTITUTE(SUBSTITUTE(LOWER(TRIM(F622)),"á","a"),"é","e"),"í","i"),"ó","o"),"ú","u"),"ü","u"),"ñ","n"),"à","a"),"è","e"),"ì","i"),"ò","o"),"ù","u"))</f>
        <v/>
      </c>
      <c r="O622" s="25">
        <f>IF(M622="confiable",2,IF(M622="dudosa",1,IF(M622="no confiable",0,"")))</f>
        <v/>
      </c>
      <c r="P622" s="25">
        <f>IF(N622="confiable",2,IF(N622="dudosa",1,IF(N622="no confiable",0,"")))</f>
        <v/>
      </c>
      <c r="Q622" s="25">
        <f>IF(AND(ISNUMBER(O622),ISNUMBER(P622)),1,"")</f>
        <v/>
      </c>
      <c r="R622" s="25">
        <f>IF(Q622=1,IF(O622=P622,"Sí","No"),"")</f>
        <v/>
      </c>
      <c r="S622" s="25">
        <f>IF(Q622=1,IF(P622&lt;O622,"Más estricto",IF(P622&gt;O622,"Más permisivo","Igual")),"")</f>
        <v/>
      </c>
      <c r="T622" s="25">
        <f>IF(Q622=1,IF(ABS(O622-P622)=2,1,0),"")</f>
        <v/>
      </c>
      <c r="U622" s="25">
        <f>IF(H622="","","|"&amp;SUBSTITUTE(SUBSTITUTE(TRIM(H622)," |","|"),"| ","|")&amp;"|")</f>
        <v/>
      </c>
      <c r="V622" s="25">
        <f>IF(AND(Q622=1,B622&lt;&gt;""),IF(IFERROR(COUNTIFS(B$3:B622,"="&amp;SUBSTITUTE(SUBSTITUTE(SUBSTITUTE(B622,"~","~~"),"*","~*"),"?","~?"),Q$3:Q622,1),0)=1,MAX(V$2:V621)+1,""),"")</f>
        <v/>
      </c>
      <c r="W622" s="25">
        <f>IF(V622="","",COUNTIFS($B$3:$B$1002,"="&amp;SUBSTITUTE(SUBSTITUTE(SUBSTITUTE(B622,"~","~~"),"*","~*"),"?","~?"),$Q$3:$Q$1002,1)*10000-V622)</f>
        <v/>
      </c>
      <c r="X622" s="25">
        <f>IF(Q622=1,IF(SUBSTITUTE(SUBSTITUTE(SUBSTITUTE(SUBSTITUTE(SUBSTITUTE(SUBSTITUTE(SUBSTITUTE(SUBSTITUTE(SUBSTITUTE(SUBSTITUTE(SUBSTITUTE(SUBSTITUTE(LOWER(TRIM(A622)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622)),"á","a"),"é","e"),"í","i"),"ó","o"),"ú","u"),"ü","u"),"ñ","n"),"à","a"),"è","e"),"ì","i"),"ò","o"),"ù","u")),"")</f>
        <v/>
      </c>
      <c r="Y622" s="25">
        <f>IF(X622="","",IF(IFERROR(COUNTIF(X$3:X622,"="&amp;SUBSTITUTE(SUBSTITUTE(SUBSTITUTE(X622,"~","~~"),"*","~*"),"?","~?")),0)=1,1,""))</f>
        <v/>
      </c>
      <c r="Z622" s="25">
        <f>IF(T622=1,MAX(Z$2:Z621)+1,"")</f>
        <v/>
      </c>
    </row>
    <row r="623">
      <c r="A623">
        <f>IF(A$2=0,"",IFERROR(TRIM(INDEX('Pegar calibracion'!$A$1:$BZ$1001,622,A$2)&amp;""),""))</f>
        <v/>
      </c>
      <c r="B623">
        <f>IF(B$2=0,"",IFERROR(TRIM(INDEX('Pegar calibracion'!$A$1:$BZ$1001,622,B$2)&amp;""),""))</f>
        <v/>
      </c>
      <c r="C623">
        <f>IF(C$2=0,"",IFERROR(TRIM(INDEX('Pegar calibracion'!$A$1:$BZ$1001,622,C$2)&amp;""),""))</f>
        <v/>
      </c>
      <c r="D623">
        <f>IF(D$2=0,"",IFERROR(TRIM(INDEX('Pegar calibracion'!$A$1:$BZ$1001,622,D$2)&amp;""),""))</f>
        <v/>
      </c>
      <c r="E623">
        <f>IF(E$2=0,"",IFERROR(TRIM(INDEX('Pegar calibracion'!$A$1:$BZ$1001,622,E$2)&amp;""),""))</f>
        <v/>
      </c>
      <c r="F623">
        <f>IF(F$2=0,"",IFERROR(TRIM(INDEX('Pegar calibracion'!$A$1:$BZ$1001,622,F$2)&amp;""),""))</f>
        <v/>
      </c>
      <c r="G623">
        <f>IF(G$2=0,"",IFERROR(TRIM(INDEX('Pegar calibracion'!$A$1:$BZ$1001,622,G$2)&amp;""),""))</f>
        <v/>
      </c>
      <c r="H623">
        <f>IF(H$2=0,"",IFERROR(TRIM(INDEX('Pegar calibracion'!$A$1:$BZ$1001,622,H$2)&amp;""),""))</f>
        <v/>
      </c>
      <c r="I623">
        <f>IF(I$2=0,"",IFERROR(TRIM(INDEX('Pegar calibracion'!$A$1:$BZ$1001,622,I$2)&amp;""),""))</f>
        <v/>
      </c>
      <c r="J623">
        <f>IF(J$2=0,"",IFERROR(TRIM(INDEX('Pegar calibracion'!$A$1:$BZ$1001,622,J$2)&amp;""),""))</f>
        <v/>
      </c>
      <c r="K623">
        <f>IF(K$2=0,"",IFERROR(TRIM(INDEX('Pegar calibracion'!$A$1:$BZ$1001,622,K$2)&amp;""),""))</f>
        <v/>
      </c>
      <c r="L623">
        <f>IF(L$2=0,"",IFERROR(TRIM(INDEX('Pegar calibracion'!$A$1:$BZ$1001,622,L$2)&amp;""),""))</f>
        <v/>
      </c>
      <c r="M623" s="25">
        <f>IF(D623="","",SUBSTITUTE(SUBSTITUTE(SUBSTITUTE(SUBSTITUTE(SUBSTITUTE(SUBSTITUTE(SUBSTITUTE(SUBSTITUTE(SUBSTITUTE(SUBSTITUTE(SUBSTITUTE(SUBSTITUTE(LOWER(TRIM(D623)),"á","a"),"é","e"),"í","i"),"ó","o"),"ú","u"),"ü","u"),"ñ","n"),"à","a"),"è","e"),"ì","i"),"ò","o"),"ù","u"))</f>
        <v/>
      </c>
      <c r="N623" s="25">
        <f>IF(F623="","",SUBSTITUTE(SUBSTITUTE(SUBSTITUTE(SUBSTITUTE(SUBSTITUTE(SUBSTITUTE(SUBSTITUTE(SUBSTITUTE(SUBSTITUTE(SUBSTITUTE(SUBSTITUTE(SUBSTITUTE(LOWER(TRIM(F623)),"á","a"),"é","e"),"í","i"),"ó","o"),"ú","u"),"ü","u"),"ñ","n"),"à","a"),"è","e"),"ì","i"),"ò","o"),"ù","u"))</f>
        <v/>
      </c>
      <c r="O623" s="25">
        <f>IF(M623="confiable",2,IF(M623="dudosa",1,IF(M623="no confiable",0,"")))</f>
        <v/>
      </c>
      <c r="P623" s="25">
        <f>IF(N623="confiable",2,IF(N623="dudosa",1,IF(N623="no confiable",0,"")))</f>
        <v/>
      </c>
      <c r="Q623" s="25">
        <f>IF(AND(ISNUMBER(O623),ISNUMBER(P623)),1,"")</f>
        <v/>
      </c>
      <c r="R623" s="25">
        <f>IF(Q623=1,IF(O623=P623,"Sí","No"),"")</f>
        <v/>
      </c>
      <c r="S623" s="25">
        <f>IF(Q623=1,IF(P623&lt;O623,"Más estricto",IF(P623&gt;O623,"Más permisivo","Igual")),"")</f>
        <v/>
      </c>
      <c r="T623" s="25">
        <f>IF(Q623=1,IF(ABS(O623-P623)=2,1,0),"")</f>
        <v/>
      </c>
      <c r="U623" s="25">
        <f>IF(H623="","","|"&amp;SUBSTITUTE(SUBSTITUTE(TRIM(H623)," |","|"),"| ","|")&amp;"|")</f>
        <v/>
      </c>
      <c r="V623" s="25">
        <f>IF(AND(Q623=1,B623&lt;&gt;""),IF(IFERROR(COUNTIFS(B$3:B623,"="&amp;SUBSTITUTE(SUBSTITUTE(SUBSTITUTE(B623,"~","~~"),"*","~*"),"?","~?"),Q$3:Q623,1),0)=1,MAX(V$2:V622)+1,""),"")</f>
        <v/>
      </c>
      <c r="W623" s="25">
        <f>IF(V623="","",COUNTIFS($B$3:$B$1002,"="&amp;SUBSTITUTE(SUBSTITUTE(SUBSTITUTE(B623,"~","~~"),"*","~*"),"?","~?"),$Q$3:$Q$1002,1)*10000-V623)</f>
        <v/>
      </c>
      <c r="X623" s="25">
        <f>IF(Q623=1,IF(SUBSTITUTE(SUBSTITUTE(SUBSTITUTE(SUBSTITUTE(SUBSTITUTE(SUBSTITUTE(SUBSTITUTE(SUBSTITUTE(SUBSTITUTE(SUBSTITUTE(SUBSTITUTE(SUBSTITUTE(LOWER(TRIM(A623)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623)),"á","a"),"é","e"),"í","i"),"ó","o"),"ú","u"),"ü","u"),"ñ","n"),"à","a"),"è","e"),"ì","i"),"ò","o"),"ù","u")),"")</f>
        <v/>
      </c>
      <c r="Y623" s="25">
        <f>IF(X623="","",IF(IFERROR(COUNTIF(X$3:X623,"="&amp;SUBSTITUTE(SUBSTITUTE(SUBSTITUTE(X623,"~","~~"),"*","~*"),"?","~?")),0)=1,1,""))</f>
        <v/>
      </c>
      <c r="Z623" s="25">
        <f>IF(T623=1,MAX(Z$2:Z622)+1,"")</f>
        <v/>
      </c>
    </row>
    <row r="624">
      <c r="A624">
        <f>IF(A$2=0,"",IFERROR(TRIM(INDEX('Pegar calibracion'!$A$1:$BZ$1001,623,A$2)&amp;""),""))</f>
        <v/>
      </c>
      <c r="B624">
        <f>IF(B$2=0,"",IFERROR(TRIM(INDEX('Pegar calibracion'!$A$1:$BZ$1001,623,B$2)&amp;""),""))</f>
        <v/>
      </c>
      <c r="C624">
        <f>IF(C$2=0,"",IFERROR(TRIM(INDEX('Pegar calibracion'!$A$1:$BZ$1001,623,C$2)&amp;""),""))</f>
        <v/>
      </c>
      <c r="D624">
        <f>IF(D$2=0,"",IFERROR(TRIM(INDEX('Pegar calibracion'!$A$1:$BZ$1001,623,D$2)&amp;""),""))</f>
        <v/>
      </c>
      <c r="E624">
        <f>IF(E$2=0,"",IFERROR(TRIM(INDEX('Pegar calibracion'!$A$1:$BZ$1001,623,E$2)&amp;""),""))</f>
        <v/>
      </c>
      <c r="F624">
        <f>IF(F$2=0,"",IFERROR(TRIM(INDEX('Pegar calibracion'!$A$1:$BZ$1001,623,F$2)&amp;""),""))</f>
        <v/>
      </c>
      <c r="G624">
        <f>IF(G$2=0,"",IFERROR(TRIM(INDEX('Pegar calibracion'!$A$1:$BZ$1001,623,G$2)&amp;""),""))</f>
        <v/>
      </c>
      <c r="H624">
        <f>IF(H$2=0,"",IFERROR(TRIM(INDEX('Pegar calibracion'!$A$1:$BZ$1001,623,H$2)&amp;""),""))</f>
        <v/>
      </c>
      <c r="I624">
        <f>IF(I$2=0,"",IFERROR(TRIM(INDEX('Pegar calibracion'!$A$1:$BZ$1001,623,I$2)&amp;""),""))</f>
        <v/>
      </c>
      <c r="J624">
        <f>IF(J$2=0,"",IFERROR(TRIM(INDEX('Pegar calibracion'!$A$1:$BZ$1001,623,J$2)&amp;""),""))</f>
        <v/>
      </c>
      <c r="K624">
        <f>IF(K$2=0,"",IFERROR(TRIM(INDEX('Pegar calibracion'!$A$1:$BZ$1001,623,K$2)&amp;""),""))</f>
        <v/>
      </c>
      <c r="L624">
        <f>IF(L$2=0,"",IFERROR(TRIM(INDEX('Pegar calibracion'!$A$1:$BZ$1001,623,L$2)&amp;""),""))</f>
        <v/>
      </c>
      <c r="M624" s="25">
        <f>IF(D624="","",SUBSTITUTE(SUBSTITUTE(SUBSTITUTE(SUBSTITUTE(SUBSTITUTE(SUBSTITUTE(SUBSTITUTE(SUBSTITUTE(SUBSTITUTE(SUBSTITUTE(SUBSTITUTE(SUBSTITUTE(LOWER(TRIM(D624)),"á","a"),"é","e"),"í","i"),"ó","o"),"ú","u"),"ü","u"),"ñ","n"),"à","a"),"è","e"),"ì","i"),"ò","o"),"ù","u"))</f>
        <v/>
      </c>
      <c r="N624" s="25">
        <f>IF(F624="","",SUBSTITUTE(SUBSTITUTE(SUBSTITUTE(SUBSTITUTE(SUBSTITUTE(SUBSTITUTE(SUBSTITUTE(SUBSTITUTE(SUBSTITUTE(SUBSTITUTE(SUBSTITUTE(SUBSTITUTE(LOWER(TRIM(F624)),"á","a"),"é","e"),"í","i"),"ó","o"),"ú","u"),"ü","u"),"ñ","n"),"à","a"),"è","e"),"ì","i"),"ò","o"),"ù","u"))</f>
        <v/>
      </c>
      <c r="O624" s="25">
        <f>IF(M624="confiable",2,IF(M624="dudosa",1,IF(M624="no confiable",0,"")))</f>
        <v/>
      </c>
      <c r="P624" s="25">
        <f>IF(N624="confiable",2,IF(N624="dudosa",1,IF(N624="no confiable",0,"")))</f>
        <v/>
      </c>
      <c r="Q624" s="25">
        <f>IF(AND(ISNUMBER(O624),ISNUMBER(P624)),1,"")</f>
        <v/>
      </c>
      <c r="R624" s="25">
        <f>IF(Q624=1,IF(O624=P624,"Sí","No"),"")</f>
        <v/>
      </c>
      <c r="S624" s="25">
        <f>IF(Q624=1,IF(P624&lt;O624,"Más estricto",IF(P624&gt;O624,"Más permisivo","Igual")),"")</f>
        <v/>
      </c>
      <c r="T624" s="25">
        <f>IF(Q624=1,IF(ABS(O624-P624)=2,1,0),"")</f>
        <v/>
      </c>
      <c r="U624" s="25">
        <f>IF(H624="","","|"&amp;SUBSTITUTE(SUBSTITUTE(TRIM(H624)," |","|"),"| ","|")&amp;"|")</f>
        <v/>
      </c>
      <c r="V624" s="25">
        <f>IF(AND(Q624=1,B624&lt;&gt;""),IF(IFERROR(COUNTIFS(B$3:B624,"="&amp;SUBSTITUTE(SUBSTITUTE(SUBSTITUTE(B624,"~","~~"),"*","~*"),"?","~?"),Q$3:Q624,1),0)=1,MAX(V$2:V623)+1,""),"")</f>
        <v/>
      </c>
      <c r="W624" s="25">
        <f>IF(V624="","",COUNTIFS($B$3:$B$1002,"="&amp;SUBSTITUTE(SUBSTITUTE(SUBSTITUTE(B624,"~","~~"),"*","~*"),"?","~?"),$Q$3:$Q$1002,1)*10000-V624)</f>
        <v/>
      </c>
      <c r="X624" s="25">
        <f>IF(Q624=1,IF(SUBSTITUTE(SUBSTITUTE(SUBSTITUTE(SUBSTITUTE(SUBSTITUTE(SUBSTITUTE(SUBSTITUTE(SUBSTITUTE(SUBSTITUTE(SUBSTITUTE(SUBSTITUTE(SUBSTITUTE(LOWER(TRIM(A624)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624)),"á","a"),"é","e"),"í","i"),"ó","o"),"ú","u"),"ü","u"),"ñ","n"),"à","a"),"è","e"),"ì","i"),"ò","o"),"ù","u")),"")</f>
        <v/>
      </c>
      <c r="Y624" s="25">
        <f>IF(X624="","",IF(IFERROR(COUNTIF(X$3:X624,"="&amp;SUBSTITUTE(SUBSTITUTE(SUBSTITUTE(X624,"~","~~"),"*","~*"),"?","~?")),0)=1,1,""))</f>
        <v/>
      </c>
      <c r="Z624" s="25">
        <f>IF(T624=1,MAX(Z$2:Z623)+1,"")</f>
        <v/>
      </c>
    </row>
    <row r="625">
      <c r="A625">
        <f>IF(A$2=0,"",IFERROR(TRIM(INDEX('Pegar calibracion'!$A$1:$BZ$1001,624,A$2)&amp;""),""))</f>
        <v/>
      </c>
      <c r="B625">
        <f>IF(B$2=0,"",IFERROR(TRIM(INDEX('Pegar calibracion'!$A$1:$BZ$1001,624,B$2)&amp;""),""))</f>
        <v/>
      </c>
      <c r="C625">
        <f>IF(C$2=0,"",IFERROR(TRIM(INDEX('Pegar calibracion'!$A$1:$BZ$1001,624,C$2)&amp;""),""))</f>
        <v/>
      </c>
      <c r="D625">
        <f>IF(D$2=0,"",IFERROR(TRIM(INDEX('Pegar calibracion'!$A$1:$BZ$1001,624,D$2)&amp;""),""))</f>
        <v/>
      </c>
      <c r="E625">
        <f>IF(E$2=0,"",IFERROR(TRIM(INDEX('Pegar calibracion'!$A$1:$BZ$1001,624,E$2)&amp;""),""))</f>
        <v/>
      </c>
      <c r="F625">
        <f>IF(F$2=0,"",IFERROR(TRIM(INDEX('Pegar calibracion'!$A$1:$BZ$1001,624,F$2)&amp;""),""))</f>
        <v/>
      </c>
      <c r="G625">
        <f>IF(G$2=0,"",IFERROR(TRIM(INDEX('Pegar calibracion'!$A$1:$BZ$1001,624,G$2)&amp;""),""))</f>
        <v/>
      </c>
      <c r="H625">
        <f>IF(H$2=0,"",IFERROR(TRIM(INDEX('Pegar calibracion'!$A$1:$BZ$1001,624,H$2)&amp;""),""))</f>
        <v/>
      </c>
      <c r="I625">
        <f>IF(I$2=0,"",IFERROR(TRIM(INDEX('Pegar calibracion'!$A$1:$BZ$1001,624,I$2)&amp;""),""))</f>
        <v/>
      </c>
      <c r="J625">
        <f>IF(J$2=0,"",IFERROR(TRIM(INDEX('Pegar calibracion'!$A$1:$BZ$1001,624,J$2)&amp;""),""))</f>
        <v/>
      </c>
      <c r="K625">
        <f>IF(K$2=0,"",IFERROR(TRIM(INDEX('Pegar calibracion'!$A$1:$BZ$1001,624,K$2)&amp;""),""))</f>
        <v/>
      </c>
      <c r="L625">
        <f>IF(L$2=0,"",IFERROR(TRIM(INDEX('Pegar calibracion'!$A$1:$BZ$1001,624,L$2)&amp;""),""))</f>
        <v/>
      </c>
      <c r="M625" s="25">
        <f>IF(D625="","",SUBSTITUTE(SUBSTITUTE(SUBSTITUTE(SUBSTITUTE(SUBSTITUTE(SUBSTITUTE(SUBSTITUTE(SUBSTITUTE(SUBSTITUTE(SUBSTITUTE(SUBSTITUTE(SUBSTITUTE(LOWER(TRIM(D625)),"á","a"),"é","e"),"í","i"),"ó","o"),"ú","u"),"ü","u"),"ñ","n"),"à","a"),"è","e"),"ì","i"),"ò","o"),"ù","u"))</f>
        <v/>
      </c>
      <c r="N625" s="25">
        <f>IF(F625="","",SUBSTITUTE(SUBSTITUTE(SUBSTITUTE(SUBSTITUTE(SUBSTITUTE(SUBSTITUTE(SUBSTITUTE(SUBSTITUTE(SUBSTITUTE(SUBSTITUTE(SUBSTITUTE(SUBSTITUTE(LOWER(TRIM(F625)),"á","a"),"é","e"),"í","i"),"ó","o"),"ú","u"),"ü","u"),"ñ","n"),"à","a"),"è","e"),"ì","i"),"ò","o"),"ù","u"))</f>
        <v/>
      </c>
      <c r="O625" s="25">
        <f>IF(M625="confiable",2,IF(M625="dudosa",1,IF(M625="no confiable",0,"")))</f>
        <v/>
      </c>
      <c r="P625" s="25">
        <f>IF(N625="confiable",2,IF(N625="dudosa",1,IF(N625="no confiable",0,"")))</f>
        <v/>
      </c>
      <c r="Q625" s="25">
        <f>IF(AND(ISNUMBER(O625),ISNUMBER(P625)),1,"")</f>
        <v/>
      </c>
      <c r="R625" s="25">
        <f>IF(Q625=1,IF(O625=P625,"Sí","No"),"")</f>
        <v/>
      </c>
      <c r="S625" s="25">
        <f>IF(Q625=1,IF(P625&lt;O625,"Más estricto",IF(P625&gt;O625,"Más permisivo","Igual")),"")</f>
        <v/>
      </c>
      <c r="T625" s="25">
        <f>IF(Q625=1,IF(ABS(O625-P625)=2,1,0),"")</f>
        <v/>
      </c>
      <c r="U625" s="25">
        <f>IF(H625="","","|"&amp;SUBSTITUTE(SUBSTITUTE(TRIM(H625)," |","|"),"| ","|")&amp;"|")</f>
        <v/>
      </c>
      <c r="V625" s="25">
        <f>IF(AND(Q625=1,B625&lt;&gt;""),IF(IFERROR(COUNTIFS(B$3:B625,"="&amp;SUBSTITUTE(SUBSTITUTE(SUBSTITUTE(B625,"~","~~"),"*","~*"),"?","~?"),Q$3:Q625,1),0)=1,MAX(V$2:V624)+1,""),"")</f>
        <v/>
      </c>
      <c r="W625" s="25">
        <f>IF(V625="","",COUNTIFS($B$3:$B$1002,"="&amp;SUBSTITUTE(SUBSTITUTE(SUBSTITUTE(B625,"~","~~"),"*","~*"),"?","~?"),$Q$3:$Q$1002,1)*10000-V625)</f>
        <v/>
      </c>
      <c r="X625" s="25">
        <f>IF(Q625=1,IF(SUBSTITUTE(SUBSTITUTE(SUBSTITUTE(SUBSTITUTE(SUBSTITUTE(SUBSTITUTE(SUBSTITUTE(SUBSTITUTE(SUBSTITUTE(SUBSTITUTE(SUBSTITUTE(SUBSTITUTE(LOWER(TRIM(A625)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625)),"á","a"),"é","e"),"í","i"),"ó","o"),"ú","u"),"ü","u"),"ñ","n"),"à","a"),"è","e"),"ì","i"),"ò","o"),"ù","u")),"")</f>
        <v/>
      </c>
      <c r="Y625" s="25">
        <f>IF(X625="","",IF(IFERROR(COUNTIF(X$3:X625,"="&amp;SUBSTITUTE(SUBSTITUTE(SUBSTITUTE(X625,"~","~~"),"*","~*"),"?","~?")),0)=1,1,""))</f>
        <v/>
      </c>
      <c r="Z625" s="25">
        <f>IF(T625=1,MAX(Z$2:Z624)+1,"")</f>
        <v/>
      </c>
    </row>
    <row r="626">
      <c r="A626">
        <f>IF(A$2=0,"",IFERROR(TRIM(INDEX('Pegar calibracion'!$A$1:$BZ$1001,625,A$2)&amp;""),""))</f>
        <v/>
      </c>
      <c r="B626">
        <f>IF(B$2=0,"",IFERROR(TRIM(INDEX('Pegar calibracion'!$A$1:$BZ$1001,625,B$2)&amp;""),""))</f>
        <v/>
      </c>
      <c r="C626">
        <f>IF(C$2=0,"",IFERROR(TRIM(INDEX('Pegar calibracion'!$A$1:$BZ$1001,625,C$2)&amp;""),""))</f>
        <v/>
      </c>
      <c r="D626">
        <f>IF(D$2=0,"",IFERROR(TRIM(INDEX('Pegar calibracion'!$A$1:$BZ$1001,625,D$2)&amp;""),""))</f>
        <v/>
      </c>
      <c r="E626">
        <f>IF(E$2=0,"",IFERROR(TRIM(INDEX('Pegar calibracion'!$A$1:$BZ$1001,625,E$2)&amp;""),""))</f>
        <v/>
      </c>
      <c r="F626">
        <f>IF(F$2=0,"",IFERROR(TRIM(INDEX('Pegar calibracion'!$A$1:$BZ$1001,625,F$2)&amp;""),""))</f>
        <v/>
      </c>
      <c r="G626">
        <f>IF(G$2=0,"",IFERROR(TRIM(INDEX('Pegar calibracion'!$A$1:$BZ$1001,625,G$2)&amp;""),""))</f>
        <v/>
      </c>
      <c r="H626">
        <f>IF(H$2=0,"",IFERROR(TRIM(INDEX('Pegar calibracion'!$A$1:$BZ$1001,625,H$2)&amp;""),""))</f>
        <v/>
      </c>
      <c r="I626">
        <f>IF(I$2=0,"",IFERROR(TRIM(INDEX('Pegar calibracion'!$A$1:$BZ$1001,625,I$2)&amp;""),""))</f>
        <v/>
      </c>
      <c r="J626">
        <f>IF(J$2=0,"",IFERROR(TRIM(INDEX('Pegar calibracion'!$A$1:$BZ$1001,625,J$2)&amp;""),""))</f>
        <v/>
      </c>
      <c r="K626">
        <f>IF(K$2=0,"",IFERROR(TRIM(INDEX('Pegar calibracion'!$A$1:$BZ$1001,625,K$2)&amp;""),""))</f>
        <v/>
      </c>
      <c r="L626">
        <f>IF(L$2=0,"",IFERROR(TRIM(INDEX('Pegar calibracion'!$A$1:$BZ$1001,625,L$2)&amp;""),""))</f>
        <v/>
      </c>
      <c r="M626" s="25">
        <f>IF(D626="","",SUBSTITUTE(SUBSTITUTE(SUBSTITUTE(SUBSTITUTE(SUBSTITUTE(SUBSTITUTE(SUBSTITUTE(SUBSTITUTE(SUBSTITUTE(SUBSTITUTE(SUBSTITUTE(SUBSTITUTE(LOWER(TRIM(D626)),"á","a"),"é","e"),"í","i"),"ó","o"),"ú","u"),"ü","u"),"ñ","n"),"à","a"),"è","e"),"ì","i"),"ò","o"),"ù","u"))</f>
        <v/>
      </c>
      <c r="N626" s="25">
        <f>IF(F626="","",SUBSTITUTE(SUBSTITUTE(SUBSTITUTE(SUBSTITUTE(SUBSTITUTE(SUBSTITUTE(SUBSTITUTE(SUBSTITUTE(SUBSTITUTE(SUBSTITUTE(SUBSTITUTE(SUBSTITUTE(LOWER(TRIM(F626)),"á","a"),"é","e"),"í","i"),"ó","o"),"ú","u"),"ü","u"),"ñ","n"),"à","a"),"è","e"),"ì","i"),"ò","o"),"ù","u"))</f>
        <v/>
      </c>
      <c r="O626" s="25">
        <f>IF(M626="confiable",2,IF(M626="dudosa",1,IF(M626="no confiable",0,"")))</f>
        <v/>
      </c>
      <c r="P626" s="25">
        <f>IF(N626="confiable",2,IF(N626="dudosa",1,IF(N626="no confiable",0,"")))</f>
        <v/>
      </c>
      <c r="Q626" s="25">
        <f>IF(AND(ISNUMBER(O626),ISNUMBER(P626)),1,"")</f>
        <v/>
      </c>
      <c r="R626" s="25">
        <f>IF(Q626=1,IF(O626=P626,"Sí","No"),"")</f>
        <v/>
      </c>
      <c r="S626" s="25">
        <f>IF(Q626=1,IF(P626&lt;O626,"Más estricto",IF(P626&gt;O626,"Más permisivo","Igual")),"")</f>
        <v/>
      </c>
      <c r="T626" s="25">
        <f>IF(Q626=1,IF(ABS(O626-P626)=2,1,0),"")</f>
        <v/>
      </c>
      <c r="U626" s="25">
        <f>IF(H626="","","|"&amp;SUBSTITUTE(SUBSTITUTE(TRIM(H626)," |","|"),"| ","|")&amp;"|")</f>
        <v/>
      </c>
      <c r="V626" s="25">
        <f>IF(AND(Q626=1,B626&lt;&gt;""),IF(IFERROR(COUNTIFS(B$3:B626,"="&amp;SUBSTITUTE(SUBSTITUTE(SUBSTITUTE(B626,"~","~~"),"*","~*"),"?","~?"),Q$3:Q626,1),0)=1,MAX(V$2:V625)+1,""),"")</f>
        <v/>
      </c>
      <c r="W626" s="25">
        <f>IF(V626="","",COUNTIFS($B$3:$B$1002,"="&amp;SUBSTITUTE(SUBSTITUTE(SUBSTITUTE(B626,"~","~~"),"*","~*"),"?","~?"),$Q$3:$Q$1002,1)*10000-V626)</f>
        <v/>
      </c>
      <c r="X626" s="25">
        <f>IF(Q626=1,IF(SUBSTITUTE(SUBSTITUTE(SUBSTITUTE(SUBSTITUTE(SUBSTITUTE(SUBSTITUTE(SUBSTITUTE(SUBSTITUTE(SUBSTITUTE(SUBSTITUTE(SUBSTITUTE(SUBSTITUTE(LOWER(TRIM(A626)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626)),"á","a"),"é","e"),"í","i"),"ó","o"),"ú","u"),"ü","u"),"ñ","n"),"à","a"),"è","e"),"ì","i"),"ò","o"),"ù","u")),"")</f>
        <v/>
      </c>
      <c r="Y626" s="25">
        <f>IF(X626="","",IF(IFERROR(COUNTIF(X$3:X626,"="&amp;SUBSTITUTE(SUBSTITUTE(SUBSTITUTE(X626,"~","~~"),"*","~*"),"?","~?")),0)=1,1,""))</f>
        <v/>
      </c>
      <c r="Z626" s="25">
        <f>IF(T626=1,MAX(Z$2:Z625)+1,"")</f>
        <v/>
      </c>
    </row>
    <row r="627">
      <c r="A627">
        <f>IF(A$2=0,"",IFERROR(TRIM(INDEX('Pegar calibracion'!$A$1:$BZ$1001,626,A$2)&amp;""),""))</f>
        <v/>
      </c>
      <c r="B627">
        <f>IF(B$2=0,"",IFERROR(TRIM(INDEX('Pegar calibracion'!$A$1:$BZ$1001,626,B$2)&amp;""),""))</f>
        <v/>
      </c>
      <c r="C627">
        <f>IF(C$2=0,"",IFERROR(TRIM(INDEX('Pegar calibracion'!$A$1:$BZ$1001,626,C$2)&amp;""),""))</f>
        <v/>
      </c>
      <c r="D627">
        <f>IF(D$2=0,"",IFERROR(TRIM(INDEX('Pegar calibracion'!$A$1:$BZ$1001,626,D$2)&amp;""),""))</f>
        <v/>
      </c>
      <c r="E627">
        <f>IF(E$2=0,"",IFERROR(TRIM(INDEX('Pegar calibracion'!$A$1:$BZ$1001,626,E$2)&amp;""),""))</f>
        <v/>
      </c>
      <c r="F627">
        <f>IF(F$2=0,"",IFERROR(TRIM(INDEX('Pegar calibracion'!$A$1:$BZ$1001,626,F$2)&amp;""),""))</f>
        <v/>
      </c>
      <c r="G627">
        <f>IF(G$2=0,"",IFERROR(TRIM(INDEX('Pegar calibracion'!$A$1:$BZ$1001,626,G$2)&amp;""),""))</f>
        <v/>
      </c>
      <c r="H627">
        <f>IF(H$2=0,"",IFERROR(TRIM(INDEX('Pegar calibracion'!$A$1:$BZ$1001,626,H$2)&amp;""),""))</f>
        <v/>
      </c>
      <c r="I627">
        <f>IF(I$2=0,"",IFERROR(TRIM(INDEX('Pegar calibracion'!$A$1:$BZ$1001,626,I$2)&amp;""),""))</f>
        <v/>
      </c>
      <c r="J627">
        <f>IF(J$2=0,"",IFERROR(TRIM(INDEX('Pegar calibracion'!$A$1:$BZ$1001,626,J$2)&amp;""),""))</f>
        <v/>
      </c>
      <c r="K627">
        <f>IF(K$2=0,"",IFERROR(TRIM(INDEX('Pegar calibracion'!$A$1:$BZ$1001,626,K$2)&amp;""),""))</f>
        <v/>
      </c>
      <c r="L627">
        <f>IF(L$2=0,"",IFERROR(TRIM(INDEX('Pegar calibracion'!$A$1:$BZ$1001,626,L$2)&amp;""),""))</f>
        <v/>
      </c>
      <c r="M627" s="25">
        <f>IF(D627="","",SUBSTITUTE(SUBSTITUTE(SUBSTITUTE(SUBSTITUTE(SUBSTITUTE(SUBSTITUTE(SUBSTITUTE(SUBSTITUTE(SUBSTITUTE(SUBSTITUTE(SUBSTITUTE(SUBSTITUTE(LOWER(TRIM(D627)),"á","a"),"é","e"),"í","i"),"ó","o"),"ú","u"),"ü","u"),"ñ","n"),"à","a"),"è","e"),"ì","i"),"ò","o"),"ù","u"))</f>
        <v/>
      </c>
      <c r="N627" s="25">
        <f>IF(F627="","",SUBSTITUTE(SUBSTITUTE(SUBSTITUTE(SUBSTITUTE(SUBSTITUTE(SUBSTITUTE(SUBSTITUTE(SUBSTITUTE(SUBSTITUTE(SUBSTITUTE(SUBSTITUTE(SUBSTITUTE(LOWER(TRIM(F627)),"á","a"),"é","e"),"í","i"),"ó","o"),"ú","u"),"ü","u"),"ñ","n"),"à","a"),"è","e"),"ì","i"),"ò","o"),"ù","u"))</f>
        <v/>
      </c>
      <c r="O627" s="25">
        <f>IF(M627="confiable",2,IF(M627="dudosa",1,IF(M627="no confiable",0,"")))</f>
        <v/>
      </c>
      <c r="P627" s="25">
        <f>IF(N627="confiable",2,IF(N627="dudosa",1,IF(N627="no confiable",0,"")))</f>
        <v/>
      </c>
      <c r="Q627" s="25">
        <f>IF(AND(ISNUMBER(O627),ISNUMBER(P627)),1,"")</f>
        <v/>
      </c>
      <c r="R627" s="25">
        <f>IF(Q627=1,IF(O627=P627,"Sí","No"),"")</f>
        <v/>
      </c>
      <c r="S627" s="25">
        <f>IF(Q627=1,IF(P627&lt;O627,"Más estricto",IF(P627&gt;O627,"Más permisivo","Igual")),"")</f>
        <v/>
      </c>
      <c r="T627" s="25">
        <f>IF(Q627=1,IF(ABS(O627-P627)=2,1,0),"")</f>
        <v/>
      </c>
      <c r="U627" s="25">
        <f>IF(H627="","","|"&amp;SUBSTITUTE(SUBSTITUTE(TRIM(H627)," |","|"),"| ","|")&amp;"|")</f>
        <v/>
      </c>
      <c r="V627" s="25">
        <f>IF(AND(Q627=1,B627&lt;&gt;""),IF(IFERROR(COUNTIFS(B$3:B627,"="&amp;SUBSTITUTE(SUBSTITUTE(SUBSTITUTE(B627,"~","~~"),"*","~*"),"?","~?"),Q$3:Q627,1),0)=1,MAX(V$2:V626)+1,""),"")</f>
        <v/>
      </c>
      <c r="W627" s="25">
        <f>IF(V627="","",COUNTIFS($B$3:$B$1002,"="&amp;SUBSTITUTE(SUBSTITUTE(SUBSTITUTE(B627,"~","~~"),"*","~*"),"?","~?"),$Q$3:$Q$1002,1)*10000-V627)</f>
        <v/>
      </c>
      <c r="X627" s="25">
        <f>IF(Q627=1,IF(SUBSTITUTE(SUBSTITUTE(SUBSTITUTE(SUBSTITUTE(SUBSTITUTE(SUBSTITUTE(SUBSTITUTE(SUBSTITUTE(SUBSTITUTE(SUBSTITUTE(SUBSTITUTE(SUBSTITUTE(LOWER(TRIM(A627)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627)),"á","a"),"é","e"),"í","i"),"ó","o"),"ú","u"),"ü","u"),"ñ","n"),"à","a"),"è","e"),"ì","i"),"ò","o"),"ù","u")),"")</f>
        <v/>
      </c>
      <c r="Y627" s="25">
        <f>IF(X627="","",IF(IFERROR(COUNTIF(X$3:X627,"="&amp;SUBSTITUTE(SUBSTITUTE(SUBSTITUTE(X627,"~","~~"),"*","~*"),"?","~?")),0)=1,1,""))</f>
        <v/>
      </c>
      <c r="Z627" s="25">
        <f>IF(T627=1,MAX(Z$2:Z626)+1,"")</f>
        <v/>
      </c>
    </row>
    <row r="628">
      <c r="A628">
        <f>IF(A$2=0,"",IFERROR(TRIM(INDEX('Pegar calibracion'!$A$1:$BZ$1001,627,A$2)&amp;""),""))</f>
        <v/>
      </c>
      <c r="B628">
        <f>IF(B$2=0,"",IFERROR(TRIM(INDEX('Pegar calibracion'!$A$1:$BZ$1001,627,B$2)&amp;""),""))</f>
        <v/>
      </c>
      <c r="C628">
        <f>IF(C$2=0,"",IFERROR(TRIM(INDEX('Pegar calibracion'!$A$1:$BZ$1001,627,C$2)&amp;""),""))</f>
        <v/>
      </c>
      <c r="D628">
        <f>IF(D$2=0,"",IFERROR(TRIM(INDEX('Pegar calibracion'!$A$1:$BZ$1001,627,D$2)&amp;""),""))</f>
        <v/>
      </c>
      <c r="E628">
        <f>IF(E$2=0,"",IFERROR(TRIM(INDEX('Pegar calibracion'!$A$1:$BZ$1001,627,E$2)&amp;""),""))</f>
        <v/>
      </c>
      <c r="F628">
        <f>IF(F$2=0,"",IFERROR(TRIM(INDEX('Pegar calibracion'!$A$1:$BZ$1001,627,F$2)&amp;""),""))</f>
        <v/>
      </c>
      <c r="G628">
        <f>IF(G$2=0,"",IFERROR(TRIM(INDEX('Pegar calibracion'!$A$1:$BZ$1001,627,G$2)&amp;""),""))</f>
        <v/>
      </c>
      <c r="H628">
        <f>IF(H$2=0,"",IFERROR(TRIM(INDEX('Pegar calibracion'!$A$1:$BZ$1001,627,H$2)&amp;""),""))</f>
        <v/>
      </c>
      <c r="I628">
        <f>IF(I$2=0,"",IFERROR(TRIM(INDEX('Pegar calibracion'!$A$1:$BZ$1001,627,I$2)&amp;""),""))</f>
        <v/>
      </c>
      <c r="J628">
        <f>IF(J$2=0,"",IFERROR(TRIM(INDEX('Pegar calibracion'!$A$1:$BZ$1001,627,J$2)&amp;""),""))</f>
        <v/>
      </c>
      <c r="K628">
        <f>IF(K$2=0,"",IFERROR(TRIM(INDEX('Pegar calibracion'!$A$1:$BZ$1001,627,K$2)&amp;""),""))</f>
        <v/>
      </c>
      <c r="L628">
        <f>IF(L$2=0,"",IFERROR(TRIM(INDEX('Pegar calibracion'!$A$1:$BZ$1001,627,L$2)&amp;""),""))</f>
        <v/>
      </c>
      <c r="M628" s="25">
        <f>IF(D628="","",SUBSTITUTE(SUBSTITUTE(SUBSTITUTE(SUBSTITUTE(SUBSTITUTE(SUBSTITUTE(SUBSTITUTE(SUBSTITUTE(SUBSTITUTE(SUBSTITUTE(SUBSTITUTE(SUBSTITUTE(LOWER(TRIM(D628)),"á","a"),"é","e"),"í","i"),"ó","o"),"ú","u"),"ü","u"),"ñ","n"),"à","a"),"è","e"),"ì","i"),"ò","o"),"ù","u"))</f>
        <v/>
      </c>
      <c r="N628" s="25">
        <f>IF(F628="","",SUBSTITUTE(SUBSTITUTE(SUBSTITUTE(SUBSTITUTE(SUBSTITUTE(SUBSTITUTE(SUBSTITUTE(SUBSTITUTE(SUBSTITUTE(SUBSTITUTE(SUBSTITUTE(SUBSTITUTE(LOWER(TRIM(F628)),"á","a"),"é","e"),"í","i"),"ó","o"),"ú","u"),"ü","u"),"ñ","n"),"à","a"),"è","e"),"ì","i"),"ò","o"),"ù","u"))</f>
        <v/>
      </c>
      <c r="O628" s="25">
        <f>IF(M628="confiable",2,IF(M628="dudosa",1,IF(M628="no confiable",0,"")))</f>
        <v/>
      </c>
      <c r="P628" s="25">
        <f>IF(N628="confiable",2,IF(N628="dudosa",1,IF(N628="no confiable",0,"")))</f>
        <v/>
      </c>
      <c r="Q628" s="25">
        <f>IF(AND(ISNUMBER(O628),ISNUMBER(P628)),1,"")</f>
        <v/>
      </c>
      <c r="R628" s="25">
        <f>IF(Q628=1,IF(O628=P628,"Sí","No"),"")</f>
        <v/>
      </c>
      <c r="S628" s="25">
        <f>IF(Q628=1,IF(P628&lt;O628,"Más estricto",IF(P628&gt;O628,"Más permisivo","Igual")),"")</f>
        <v/>
      </c>
      <c r="T628" s="25">
        <f>IF(Q628=1,IF(ABS(O628-P628)=2,1,0),"")</f>
        <v/>
      </c>
      <c r="U628" s="25">
        <f>IF(H628="","","|"&amp;SUBSTITUTE(SUBSTITUTE(TRIM(H628)," |","|"),"| ","|")&amp;"|")</f>
        <v/>
      </c>
      <c r="V628" s="25">
        <f>IF(AND(Q628=1,B628&lt;&gt;""),IF(IFERROR(COUNTIFS(B$3:B628,"="&amp;SUBSTITUTE(SUBSTITUTE(SUBSTITUTE(B628,"~","~~"),"*","~*"),"?","~?"),Q$3:Q628,1),0)=1,MAX(V$2:V627)+1,""),"")</f>
        <v/>
      </c>
      <c r="W628" s="25">
        <f>IF(V628="","",COUNTIFS($B$3:$B$1002,"="&amp;SUBSTITUTE(SUBSTITUTE(SUBSTITUTE(B628,"~","~~"),"*","~*"),"?","~?"),$Q$3:$Q$1002,1)*10000-V628)</f>
        <v/>
      </c>
      <c r="X628" s="25">
        <f>IF(Q628=1,IF(SUBSTITUTE(SUBSTITUTE(SUBSTITUTE(SUBSTITUTE(SUBSTITUTE(SUBSTITUTE(SUBSTITUTE(SUBSTITUTE(SUBSTITUTE(SUBSTITUTE(SUBSTITUTE(SUBSTITUTE(LOWER(TRIM(A628)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628)),"á","a"),"é","e"),"í","i"),"ó","o"),"ú","u"),"ü","u"),"ñ","n"),"à","a"),"è","e"),"ì","i"),"ò","o"),"ù","u")),"")</f>
        <v/>
      </c>
      <c r="Y628" s="25">
        <f>IF(X628="","",IF(IFERROR(COUNTIF(X$3:X628,"="&amp;SUBSTITUTE(SUBSTITUTE(SUBSTITUTE(X628,"~","~~"),"*","~*"),"?","~?")),0)=1,1,""))</f>
        <v/>
      </c>
      <c r="Z628" s="25">
        <f>IF(T628=1,MAX(Z$2:Z627)+1,"")</f>
        <v/>
      </c>
    </row>
    <row r="629">
      <c r="A629">
        <f>IF(A$2=0,"",IFERROR(TRIM(INDEX('Pegar calibracion'!$A$1:$BZ$1001,628,A$2)&amp;""),""))</f>
        <v/>
      </c>
      <c r="B629">
        <f>IF(B$2=0,"",IFERROR(TRIM(INDEX('Pegar calibracion'!$A$1:$BZ$1001,628,B$2)&amp;""),""))</f>
        <v/>
      </c>
      <c r="C629">
        <f>IF(C$2=0,"",IFERROR(TRIM(INDEX('Pegar calibracion'!$A$1:$BZ$1001,628,C$2)&amp;""),""))</f>
        <v/>
      </c>
      <c r="D629">
        <f>IF(D$2=0,"",IFERROR(TRIM(INDEX('Pegar calibracion'!$A$1:$BZ$1001,628,D$2)&amp;""),""))</f>
        <v/>
      </c>
      <c r="E629">
        <f>IF(E$2=0,"",IFERROR(TRIM(INDEX('Pegar calibracion'!$A$1:$BZ$1001,628,E$2)&amp;""),""))</f>
        <v/>
      </c>
      <c r="F629">
        <f>IF(F$2=0,"",IFERROR(TRIM(INDEX('Pegar calibracion'!$A$1:$BZ$1001,628,F$2)&amp;""),""))</f>
        <v/>
      </c>
      <c r="G629">
        <f>IF(G$2=0,"",IFERROR(TRIM(INDEX('Pegar calibracion'!$A$1:$BZ$1001,628,G$2)&amp;""),""))</f>
        <v/>
      </c>
      <c r="H629">
        <f>IF(H$2=0,"",IFERROR(TRIM(INDEX('Pegar calibracion'!$A$1:$BZ$1001,628,H$2)&amp;""),""))</f>
        <v/>
      </c>
      <c r="I629">
        <f>IF(I$2=0,"",IFERROR(TRIM(INDEX('Pegar calibracion'!$A$1:$BZ$1001,628,I$2)&amp;""),""))</f>
        <v/>
      </c>
      <c r="J629">
        <f>IF(J$2=0,"",IFERROR(TRIM(INDEX('Pegar calibracion'!$A$1:$BZ$1001,628,J$2)&amp;""),""))</f>
        <v/>
      </c>
      <c r="K629">
        <f>IF(K$2=0,"",IFERROR(TRIM(INDEX('Pegar calibracion'!$A$1:$BZ$1001,628,K$2)&amp;""),""))</f>
        <v/>
      </c>
      <c r="L629">
        <f>IF(L$2=0,"",IFERROR(TRIM(INDEX('Pegar calibracion'!$A$1:$BZ$1001,628,L$2)&amp;""),""))</f>
        <v/>
      </c>
      <c r="M629" s="25">
        <f>IF(D629="","",SUBSTITUTE(SUBSTITUTE(SUBSTITUTE(SUBSTITUTE(SUBSTITUTE(SUBSTITUTE(SUBSTITUTE(SUBSTITUTE(SUBSTITUTE(SUBSTITUTE(SUBSTITUTE(SUBSTITUTE(LOWER(TRIM(D629)),"á","a"),"é","e"),"í","i"),"ó","o"),"ú","u"),"ü","u"),"ñ","n"),"à","a"),"è","e"),"ì","i"),"ò","o"),"ù","u"))</f>
        <v/>
      </c>
      <c r="N629" s="25">
        <f>IF(F629="","",SUBSTITUTE(SUBSTITUTE(SUBSTITUTE(SUBSTITUTE(SUBSTITUTE(SUBSTITUTE(SUBSTITUTE(SUBSTITUTE(SUBSTITUTE(SUBSTITUTE(SUBSTITUTE(SUBSTITUTE(LOWER(TRIM(F629)),"á","a"),"é","e"),"í","i"),"ó","o"),"ú","u"),"ü","u"),"ñ","n"),"à","a"),"è","e"),"ì","i"),"ò","o"),"ù","u"))</f>
        <v/>
      </c>
      <c r="O629" s="25">
        <f>IF(M629="confiable",2,IF(M629="dudosa",1,IF(M629="no confiable",0,"")))</f>
        <v/>
      </c>
      <c r="P629" s="25">
        <f>IF(N629="confiable",2,IF(N629="dudosa",1,IF(N629="no confiable",0,"")))</f>
        <v/>
      </c>
      <c r="Q629" s="25">
        <f>IF(AND(ISNUMBER(O629),ISNUMBER(P629)),1,"")</f>
        <v/>
      </c>
      <c r="R629" s="25">
        <f>IF(Q629=1,IF(O629=P629,"Sí","No"),"")</f>
        <v/>
      </c>
      <c r="S629" s="25">
        <f>IF(Q629=1,IF(P629&lt;O629,"Más estricto",IF(P629&gt;O629,"Más permisivo","Igual")),"")</f>
        <v/>
      </c>
      <c r="T629" s="25">
        <f>IF(Q629=1,IF(ABS(O629-P629)=2,1,0),"")</f>
        <v/>
      </c>
      <c r="U629" s="25">
        <f>IF(H629="","","|"&amp;SUBSTITUTE(SUBSTITUTE(TRIM(H629)," |","|"),"| ","|")&amp;"|")</f>
        <v/>
      </c>
      <c r="V629" s="25">
        <f>IF(AND(Q629=1,B629&lt;&gt;""),IF(IFERROR(COUNTIFS(B$3:B629,"="&amp;SUBSTITUTE(SUBSTITUTE(SUBSTITUTE(B629,"~","~~"),"*","~*"),"?","~?"),Q$3:Q629,1),0)=1,MAX(V$2:V628)+1,""),"")</f>
        <v/>
      </c>
      <c r="W629" s="25">
        <f>IF(V629="","",COUNTIFS($B$3:$B$1002,"="&amp;SUBSTITUTE(SUBSTITUTE(SUBSTITUTE(B629,"~","~~"),"*","~*"),"?","~?"),$Q$3:$Q$1002,1)*10000-V629)</f>
        <v/>
      </c>
      <c r="X629" s="25">
        <f>IF(Q629=1,IF(SUBSTITUTE(SUBSTITUTE(SUBSTITUTE(SUBSTITUTE(SUBSTITUTE(SUBSTITUTE(SUBSTITUTE(SUBSTITUTE(SUBSTITUTE(SUBSTITUTE(SUBSTITUTE(SUBSTITUTE(LOWER(TRIM(A629)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629)),"á","a"),"é","e"),"í","i"),"ó","o"),"ú","u"),"ü","u"),"ñ","n"),"à","a"),"è","e"),"ì","i"),"ò","o"),"ù","u")),"")</f>
        <v/>
      </c>
      <c r="Y629" s="25">
        <f>IF(X629="","",IF(IFERROR(COUNTIF(X$3:X629,"="&amp;SUBSTITUTE(SUBSTITUTE(SUBSTITUTE(X629,"~","~~"),"*","~*"),"?","~?")),0)=1,1,""))</f>
        <v/>
      </c>
      <c r="Z629" s="25">
        <f>IF(T629=1,MAX(Z$2:Z628)+1,"")</f>
        <v/>
      </c>
    </row>
    <row r="630">
      <c r="A630">
        <f>IF(A$2=0,"",IFERROR(TRIM(INDEX('Pegar calibracion'!$A$1:$BZ$1001,629,A$2)&amp;""),""))</f>
        <v/>
      </c>
      <c r="B630">
        <f>IF(B$2=0,"",IFERROR(TRIM(INDEX('Pegar calibracion'!$A$1:$BZ$1001,629,B$2)&amp;""),""))</f>
        <v/>
      </c>
      <c r="C630">
        <f>IF(C$2=0,"",IFERROR(TRIM(INDEX('Pegar calibracion'!$A$1:$BZ$1001,629,C$2)&amp;""),""))</f>
        <v/>
      </c>
      <c r="D630">
        <f>IF(D$2=0,"",IFERROR(TRIM(INDEX('Pegar calibracion'!$A$1:$BZ$1001,629,D$2)&amp;""),""))</f>
        <v/>
      </c>
      <c r="E630">
        <f>IF(E$2=0,"",IFERROR(TRIM(INDEX('Pegar calibracion'!$A$1:$BZ$1001,629,E$2)&amp;""),""))</f>
        <v/>
      </c>
      <c r="F630">
        <f>IF(F$2=0,"",IFERROR(TRIM(INDEX('Pegar calibracion'!$A$1:$BZ$1001,629,F$2)&amp;""),""))</f>
        <v/>
      </c>
      <c r="G630">
        <f>IF(G$2=0,"",IFERROR(TRIM(INDEX('Pegar calibracion'!$A$1:$BZ$1001,629,G$2)&amp;""),""))</f>
        <v/>
      </c>
      <c r="H630">
        <f>IF(H$2=0,"",IFERROR(TRIM(INDEX('Pegar calibracion'!$A$1:$BZ$1001,629,H$2)&amp;""),""))</f>
        <v/>
      </c>
      <c r="I630">
        <f>IF(I$2=0,"",IFERROR(TRIM(INDEX('Pegar calibracion'!$A$1:$BZ$1001,629,I$2)&amp;""),""))</f>
        <v/>
      </c>
      <c r="J630">
        <f>IF(J$2=0,"",IFERROR(TRIM(INDEX('Pegar calibracion'!$A$1:$BZ$1001,629,J$2)&amp;""),""))</f>
        <v/>
      </c>
      <c r="K630">
        <f>IF(K$2=0,"",IFERROR(TRIM(INDEX('Pegar calibracion'!$A$1:$BZ$1001,629,K$2)&amp;""),""))</f>
        <v/>
      </c>
      <c r="L630">
        <f>IF(L$2=0,"",IFERROR(TRIM(INDEX('Pegar calibracion'!$A$1:$BZ$1001,629,L$2)&amp;""),""))</f>
        <v/>
      </c>
      <c r="M630" s="25">
        <f>IF(D630="","",SUBSTITUTE(SUBSTITUTE(SUBSTITUTE(SUBSTITUTE(SUBSTITUTE(SUBSTITUTE(SUBSTITUTE(SUBSTITUTE(SUBSTITUTE(SUBSTITUTE(SUBSTITUTE(SUBSTITUTE(LOWER(TRIM(D630)),"á","a"),"é","e"),"í","i"),"ó","o"),"ú","u"),"ü","u"),"ñ","n"),"à","a"),"è","e"),"ì","i"),"ò","o"),"ù","u"))</f>
        <v/>
      </c>
      <c r="N630" s="25">
        <f>IF(F630="","",SUBSTITUTE(SUBSTITUTE(SUBSTITUTE(SUBSTITUTE(SUBSTITUTE(SUBSTITUTE(SUBSTITUTE(SUBSTITUTE(SUBSTITUTE(SUBSTITUTE(SUBSTITUTE(SUBSTITUTE(LOWER(TRIM(F630)),"á","a"),"é","e"),"í","i"),"ó","o"),"ú","u"),"ü","u"),"ñ","n"),"à","a"),"è","e"),"ì","i"),"ò","o"),"ù","u"))</f>
        <v/>
      </c>
      <c r="O630" s="25">
        <f>IF(M630="confiable",2,IF(M630="dudosa",1,IF(M630="no confiable",0,"")))</f>
        <v/>
      </c>
      <c r="P630" s="25">
        <f>IF(N630="confiable",2,IF(N630="dudosa",1,IF(N630="no confiable",0,"")))</f>
        <v/>
      </c>
      <c r="Q630" s="25">
        <f>IF(AND(ISNUMBER(O630),ISNUMBER(P630)),1,"")</f>
        <v/>
      </c>
      <c r="R630" s="25">
        <f>IF(Q630=1,IF(O630=P630,"Sí","No"),"")</f>
        <v/>
      </c>
      <c r="S630" s="25">
        <f>IF(Q630=1,IF(P630&lt;O630,"Más estricto",IF(P630&gt;O630,"Más permisivo","Igual")),"")</f>
        <v/>
      </c>
      <c r="T630" s="25">
        <f>IF(Q630=1,IF(ABS(O630-P630)=2,1,0),"")</f>
        <v/>
      </c>
      <c r="U630" s="25">
        <f>IF(H630="","","|"&amp;SUBSTITUTE(SUBSTITUTE(TRIM(H630)," |","|"),"| ","|")&amp;"|")</f>
        <v/>
      </c>
      <c r="V630" s="25">
        <f>IF(AND(Q630=1,B630&lt;&gt;""),IF(IFERROR(COUNTIFS(B$3:B630,"="&amp;SUBSTITUTE(SUBSTITUTE(SUBSTITUTE(B630,"~","~~"),"*","~*"),"?","~?"),Q$3:Q630,1),0)=1,MAX(V$2:V629)+1,""),"")</f>
        <v/>
      </c>
      <c r="W630" s="25">
        <f>IF(V630="","",COUNTIFS($B$3:$B$1002,"="&amp;SUBSTITUTE(SUBSTITUTE(SUBSTITUTE(B630,"~","~~"),"*","~*"),"?","~?"),$Q$3:$Q$1002,1)*10000-V630)</f>
        <v/>
      </c>
      <c r="X630" s="25">
        <f>IF(Q630=1,IF(SUBSTITUTE(SUBSTITUTE(SUBSTITUTE(SUBSTITUTE(SUBSTITUTE(SUBSTITUTE(SUBSTITUTE(SUBSTITUTE(SUBSTITUTE(SUBSTITUTE(SUBSTITUTE(SUBSTITUTE(LOWER(TRIM(A630)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630)),"á","a"),"é","e"),"í","i"),"ó","o"),"ú","u"),"ü","u"),"ñ","n"),"à","a"),"è","e"),"ì","i"),"ò","o"),"ù","u")),"")</f>
        <v/>
      </c>
      <c r="Y630" s="25">
        <f>IF(X630="","",IF(IFERROR(COUNTIF(X$3:X630,"="&amp;SUBSTITUTE(SUBSTITUTE(SUBSTITUTE(X630,"~","~~"),"*","~*"),"?","~?")),0)=1,1,""))</f>
        <v/>
      </c>
      <c r="Z630" s="25">
        <f>IF(T630=1,MAX(Z$2:Z629)+1,"")</f>
        <v/>
      </c>
    </row>
    <row r="631">
      <c r="A631">
        <f>IF(A$2=0,"",IFERROR(TRIM(INDEX('Pegar calibracion'!$A$1:$BZ$1001,630,A$2)&amp;""),""))</f>
        <v/>
      </c>
      <c r="B631">
        <f>IF(B$2=0,"",IFERROR(TRIM(INDEX('Pegar calibracion'!$A$1:$BZ$1001,630,B$2)&amp;""),""))</f>
        <v/>
      </c>
      <c r="C631">
        <f>IF(C$2=0,"",IFERROR(TRIM(INDEX('Pegar calibracion'!$A$1:$BZ$1001,630,C$2)&amp;""),""))</f>
        <v/>
      </c>
      <c r="D631">
        <f>IF(D$2=0,"",IFERROR(TRIM(INDEX('Pegar calibracion'!$A$1:$BZ$1001,630,D$2)&amp;""),""))</f>
        <v/>
      </c>
      <c r="E631">
        <f>IF(E$2=0,"",IFERROR(TRIM(INDEX('Pegar calibracion'!$A$1:$BZ$1001,630,E$2)&amp;""),""))</f>
        <v/>
      </c>
      <c r="F631">
        <f>IF(F$2=0,"",IFERROR(TRIM(INDEX('Pegar calibracion'!$A$1:$BZ$1001,630,F$2)&amp;""),""))</f>
        <v/>
      </c>
      <c r="G631">
        <f>IF(G$2=0,"",IFERROR(TRIM(INDEX('Pegar calibracion'!$A$1:$BZ$1001,630,G$2)&amp;""),""))</f>
        <v/>
      </c>
      <c r="H631">
        <f>IF(H$2=0,"",IFERROR(TRIM(INDEX('Pegar calibracion'!$A$1:$BZ$1001,630,H$2)&amp;""),""))</f>
        <v/>
      </c>
      <c r="I631">
        <f>IF(I$2=0,"",IFERROR(TRIM(INDEX('Pegar calibracion'!$A$1:$BZ$1001,630,I$2)&amp;""),""))</f>
        <v/>
      </c>
      <c r="J631">
        <f>IF(J$2=0,"",IFERROR(TRIM(INDEX('Pegar calibracion'!$A$1:$BZ$1001,630,J$2)&amp;""),""))</f>
        <v/>
      </c>
      <c r="K631">
        <f>IF(K$2=0,"",IFERROR(TRIM(INDEX('Pegar calibracion'!$A$1:$BZ$1001,630,K$2)&amp;""),""))</f>
        <v/>
      </c>
      <c r="L631">
        <f>IF(L$2=0,"",IFERROR(TRIM(INDEX('Pegar calibracion'!$A$1:$BZ$1001,630,L$2)&amp;""),""))</f>
        <v/>
      </c>
      <c r="M631" s="25">
        <f>IF(D631="","",SUBSTITUTE(SUBSTITUTE(SUBSTITUTE(SUBSTITUTE(SUBSTITUTE(SUBSTITUTE(SUBSTITUTE(SUBSTITUTE(SUBSTITUTE(SUBSTITUTE(SUBSTITUTE(SUBSTITUTE(LOWER(TRIM(D631)),"á","a"),"é","e"),"í","i"),"ó","o"),"ú","u"),"ü","u"),"ñ","n"),"à","a"),"è","e"),"ì","i"),"ò","o"),"ù","u"))</f>
        <v/>
      </c>
      <c r="N631" s="25">
        <f>IF(F631="","",SUBSTITUTE(SUBSTITUTE(SUBSTITUTE(SUBSTITUTE(SUBSTITUTE(SUBSTITUTE(SUBSTITUTE(SUBSTITUTE(SUBSTITUTE(SUBSTITUTE(SUBSTITUTE(SUBSTITUTE(LOWER(TRIM(F631)),"á","a"),"é","e"),"í","i"),"ó","o"),"ú","u"),"ü","u"),"ñ","n"),"à","a"),"è","e"),"ì","i"),"ò","o"),"ù","u"))</f>
        <v/>
      </c>
      <c r="O631" s="25">
        <f>IF(M631="confiable",2,IF(M631="dudosa",1,IF(M631="no confiable",0,"")))</f>
        <v/>
      </c>
      <c r="P631" s="25">
        <f>IF(N631="confiable",2,IF(N631="dudosa",1,IF(N631="no confiable",0,"")))</f>
        <v/>
      </c>
      <c r="Q631" s="25">
        <f>IF(AND(ISNUMBER(O631),ISNUMBER(P631)),1,"")</f>
        <v/>
      </c>
      <c r="R631" s="25">
        <f>IF(Q631=1,IF(O631=P631,"Sí","No"),"")</f>
        <v/>
      </c>
      <c r="S631" s="25">
        <f>IF(Q631=1,IF(P631&lt;O631,"Más estricto",IF(P631&gt;O631,"Más permisivo","Igual")),"")</f>
        <v/>
      </c>
      <c r="T631" s="25">
        <f>IF(Q631=1,IF(ABS(O631-P631)=2,1,0),"")</f>
        <v/>
      </c>
      <c r="U631" s="25">
        <f>IF(H631="","","|"&amp;SUBSTITUTE(SUBSTITUTE(TRIM(H631)," |","|"),"| ","|")&amp;"|")</f>
        <v/>
      </c>
      <c r="V631" s="25">
        <f>IF(AND(Q631=1,B631&lt;&gt;""),IF(IFERROR(COUNTIFS(B$3:B631,"="&amp;SUBSTITUTE(SUBSTITUTE(SUBSTITUTE(B631,"~","~~"),"*","~*"),"?","~?"),Q$3:Q631,1),0)=1,MAX(V$2:V630)+1,""),"")</f>
        <v/>
      </c>
      <c r="W631" s="25">
        <f>IF(V631="","",COUNTIFS($B$3:$B$1002,"="&amp;SUBSTITUTE(SUBSTITUTE(SUBSTITUTE(B631,"~","~~"),"*","~*"),"?","~?"),$Q$3:$Q$1002,1)*10000-V631)</f>
        <v/>
      </c>
      <c r="X631" s="25">
        <f>IF(Q631=1,IF(SUBSTITUTE(SUBSTITUTE(SUBSTITUTE(SUBSTITUTE(SUBSTITUTE(SUBSTITUTE(SUBSTITUTE(SUBSTITUTE(SUBSTITUTE(SUBSTITUTE(SUBSTITUTE(SUBSTITUTE(LOWER(TRIM(A631)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631)),"á","a"),"é","e"),"í","i"),"ó","o"),"ú","u"),"ü","u"),"ñ","n"),"à","a"),"è","e"),"ì","i"),"ò","o"),"ù","u")),"")</f>
        <v/>
      </c>
      <c r="Y631" s="25">
        <f>IF(X631="","",IF(IFERROR(COUNTIF(X$3:X631,"="&amp;SUBSTITUTE(SUBSTITUTE(SUBSTITUTE(X631,"~","~~"),"*","~*"),"?","~?")),0)=1,1,""))</f>
        <v/>
      </c>
      <c r="Z631" s="25">
        <f>IF(T631=1,MAX(Z$2:Z630)+1,"")</f>
        <v/>
      </c>
    </row>
    <row r="632">
      <c r="A632">
        <f>IF(A$2=0,"",IFERROR(TRIM(INDEX('Pegar calibracion'!$A$1:$BZ$1001,631,A$2)&amp;""),""))</f>
        <v/>
      </c>
      <c r="B632">
        <f>IF(B$2=0,"",IFERROR(TRIM(INDEX('Pegar calibracion'!$A$1:$BZ$1001,631,B$2)&amp;""),""))</f>
        <v/>
      </c>
      <c r="C632">
        <f>IF(C$2=0,"",IFERROR(TRIM(INDEX('Pegar calibracion'!$A$1:$BZ$1001,631,C$2)&amp;""),""))</f>
        <v/>
      </c>
      <c r="D632">
        <f>IF(D$2=0,"",IFERROR(TRIM(INDEX('Pegar calibracion'!$A$1:$BZ$1001,631,D$2)&amp;""),""))</f>
        <v/>
      </c>
      <c r="E632">
        <f>IF(E$2=0,"",IFERROR(TRIM(INDEX('Pegar calibracion'!$A$1:$BZ$1001,631,E$2)&amp;""),""))</f>
        <v/>
      </c>
      <c r="F632">
        <f>IF(F$2=0,"",IFERROR(TRIM(INDEX('Pegar calibracion'!$A$1:$BZ$1001,631,F$2)&amp;""),""))</f>
        <v/>
      </c>
      <c r="G632">
        <f>IF(G$2=0,"",IFERROR(TRIM(INDEX('Pegar calibracion'!$A$1:$BZ$1001,631,G$2)&amp;""),""))</f>
        <v/>
      </c>
      <c r="H632">
        <f>IF(H$2=0,"",IFERROR(TRIM(INDEX('Pegar calibracion'!$A$1:$BZ$1001,631,H$2)&amp;""),""))</f>
        <v/>
      </c>
      <c r="I632">
        <f>IF(I$2=0,"",IFERROR(TRIM(INDEX('Pegar calibracion'!$A$1:$BZ$1001,631,I$2)&amp;""),""))</f>
        <v/>
      </c>
      <c r="J632">
        <f>IF(J$2=0,"",IFERROR(TRIM(INDEX('Pegar calibracion'!$A$1:$BZ$1001,631,J$2)&amp;""),""))</f>
        <v/>
      </c>
      <c r="K632">
        <f>IF(K$2=0,"",IFERROR(TRIM(INDEX('Pegar calibracion'!$A$1:$BZ$1001,631,K$2)&amp;""),""))</f>
        <v/>
      </c>
      <c r="L632">
        <f>IF(L$2=0,"",IFERROR(TRIM(INDEX('Pegar calibracion'!$A$1:$BZ$1001,631,L$2)&amp;""),""))</f>
        <v/>
      </c>
      <c r="M632" s="25">
        <f>IF(D632="","",SUBSTITUTE(SUBSTITUTE(SUBSTITUTE(SUBSTITUTE(SUBSTITUTE(SUBSTITUTE(SUBSTITUTE(SUBSTITUTE(SUBSTITUTE(SUBSTITUTE(SUBSTITUTE(SUBSTITUTE(LOWER(TRIM(D632)),"á","a"),"é","e"),"í","i"),"ó","o"),"ú","u"),"ü","u"),"ñ","n"),"à","a"),"è","e"),"ì","i"),"ò","o"),"ù","u"))</f>
        <v/>
      </c>
      <c r="N632" s="25">
        <f>IF(F632="","",SUBSTITUTE(SUBSTITUTE(SUBSTITUTE(SUBSTITUTE(SUBSTITUTE(SUBSTITUTE(SUBSTITUTE(SUBSTITUTE(SUBSTITUTE(SUBSTITUTE(SUBSTITUTE(SUBSTITUTE(LOWER(TRIM(F632)),"á","a"),"é","e"),"í","i"),"ó","o"),"ú","u"),"ü","u"),"ñ","n"),"à","a"),"è","e"),"ì","i"),"ò","o"),"ù","u"))</f>
        <v/>
      </c>
      <c r="O632" s="25">
        <f>IF(M632="confiable",2,IF(M632="dudosa",1,IF(M632="no confiable",0,"")))</f>
        <v/>
      </c>
      <c r="P632" s="25">
        <f>IF(N632="confiable",2,IF(N632="dudosa",1,IF(N632="no confiable",0,"")))</f>
        <v/>
      </c>
      <c r="Q632" s="25">
        <f>IF(AND(ISNUMBER(O632),ISNUMBER(P632)),1,"")</f>
        <v/>
      </c>
      <c r="R632" s="25">
        <f>IF(Q632=1,IF(O632=P632,"Sí","No"),"")</f>
        <v/>
      </c>
      <c r="S632" s="25">
        <f>IF(Q632=1,IF(P632&lt;O632,"Más estricto",IF(P632&gt;O632,"Más permisivo","Igual")),"")</f>
        <v/>
      </c>
      <c r="T632" s="25">
        <f>IF(Q632=1,IF(ABS(O632-P632)=2,1,0),"")</f>
        <v/>
      </c>
      <c r="U632" s="25">
        <f>IF(H632="","","|"&amp;SUBSTITUTE(SUBSTITUTE(TRIM(H632)," |","|"),"| ","|")&amp;"|")</f>
        <v/>
      </c>
      <c r="V632" s="25">
        <f>IF(AND(Q632=1,B632&lt;&gt;""),IF(IFERROR(COUNTIFS(B$3:B632,"="&amp;SUBSTITUTE(SUBSTITUTE(SUBSTITUTE(B632,"~","~~"),"*","~*"),"?","~?"),Q$3:Q632,1),0)=1,MAX(V$2:V631)+1,""),"")</f>
        <v/>
      </c>
      <c r="W632" s="25">
        <f>IF(V632="","",COUNTIFS($B$3:$B$1002,"="&amp;SUBSTITUTE(SUBSTITUTE(SUBSTITUTE(B632,"~","~~"),"*","~*"),"?","~?"),$Q$3:$Q$1002,1)*10000-V632)</f>
        <v/>
      </c>
      <c r="X632" s="25">
        <f>IF(Q632=1,IF(SUBSTITUTE(SUBSTITUTE(SUBSTITUTE(SUBSTITUTE(SUBSTITUTE(SUBSTITUTE(SUBSTITUTE(SUBSTITUTE(SUBSTITUTE(SUBSTITUTE(SUBSTITUTE(SUBSTITUTE(LOWER(TRIM(A632)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632)),"á","a"),"é","e"),"í","i"),"ó","o"),"ú","u"),"ü","u"),"ñ","n"),"à","a"),"è","e"),"ì","i"),"ò","o"),"ù","u")),"")</f>
        <v/>
      </c>
      <c r="Y632" s="25">
        <f>IF(X632="","",IF(IFERROR(COUNTIF(X$3:X632,"="&amp;SUBSTITUTE(SUBSTITUTE(SUBSTITUTE(X632,"~","~~"),"*","~*"),"?","~?")),0)=1,1,""))</f>
        <v/>
      </c>
      <c r="Z632" s="25">
        <f>IF(T632=1,MAX(Z$2:Z631)+1,"")</f>
        <v/>
      </c>
    </row>
    <row r="633">
      <c r="A633">
        <f>IF(A$2=0,"",IFERROR(TRIM(INDEX('Pegar calibracion'!$A$1:$BZ$1001,632,A$2)&amp;""),""))</f>
        <v/>
      </c>
      <c r="B633">
        <f>IF(B$2=0,"",IFERROR(TRIM(INDEX('Pegar calibracion'!$A$1:$BZ$1001,632,B$2)&amp;""),""))</f>
        <v/>
      </c>
      <c r="C633">
        <f>IF(C$2=0,"",IFERROR(TRIM(INDEX('Pegar calibracion'!$A$1:$BZ$1001,632,C$2)&amp;""),""))</f>
        <v/>
      </c>
      <c r="D633">
        <f>IF(D$2=0,"",IFERROR(TRIM(INDEX('Pegar calibracion'!$A$1:$BZ$1001,632,D$2)&amp;""),""))</f>
        <v/>
      </c>
      <c r="E633">
        <f>IF(E$2=0,"",IFERROR(TRIM(INDEX('Pegar calibracion'!$A$1:$BZ$1001,632,E$2)&amp;""),""))</f>
        <v/>
      </c>
      <c r="F633">
        <f>IF(F$2=0,"",IFERROR(TRIM(INDEX('Pegar calibracion'!$A$1:$BZ$1001,632,F$2)&amp;""),""))</f>
        <v/>
      </c>
      <c r="G633">
        <f>IF(G$2=0,"",IFERROR(TRIM(INDEX('Pegar calibracion'!$A$1:$BZ$1001,632,G$2)&amp;""),""))</f>
        <v/>
      </c>
      <c r="H633">
        <f>IF(H$2=0,"",IFERROR(TRIM(INDEX('Pegar calibracion'!$A$1:$BZ$1001,632,H$2)&amp;""),""))</f>
        <v/>
      </c>
      <c r="I633">
        <f>IF(I$2=0,"",IFERROR(TRIM(INDEX('Pegar calibracion'!$A$1:$BZ$1001,632,I$2)&amp;""),""))</f>
        <v/>
      </c>
      <c r="J633">
        <f>IF(J$2=0,"",IFERROR(TRIM(INDEX('Pegar calibracion'!$A$1:$BZ$1001,632,J$2)&amp;""),""))</f>
        <v/>
      </c>
      <c r="K633">
        <f>IF(K$2=0,"",IFERROR(TRIM(INDEX('Pegar calibracion'!$A$1:$BZ$1001,632,K$2)&amp;""),""))</f>
        <v/>
      </c>
      <c r="L633">
        <f>IF(L$2=0,"",IFERROR(TRIM(INDEX('Pegar calibracion'!$A$1:$BZ$1001,632,L$2)&amp;""),""))</f>
        <v/>
      </c>
      <c r="M633" s="25">
        <f>IF(D633="","",SUBSTITUTE(SUBSTITUTE(SUBSTITUTE(SUBSTITUTE(SUBSTITUTE(SUBSTITUTE(SUBSTITUTE(SUBSTITUTE(SUBSTITUTE(SUBSTITUTE(SUBSTITUTE(SUBSTITUTE(LOWER(TRIM(D633)),"á","a"),"é","e"),"í","i"),"ó","o"),"ú","u"),"ü","u"),"ñ","n"),"à","a"),"è","e"),"ì","i"),"ò","o"),"ù","u"))</f>
        <v/>
      </c>
      <c r="N633" s="25">
        <f>IF(F633="","",SUBSTITUTE(SUBSTITUTE(SUBSTITUTE(SUBSTITUTE(SUBSTITUTE(SUBSTITUTE(SUBSTITUTE(SUBSTITUTE(SUBSTITUTE(SUBSTITUTE(SUBSTITUTE(SUBSTITUTE(LOWER(TRIM(F633)),"á","a"),"é","e"),"í","i"),"ó","o"),"ú","u"),"ü","u"),"ñ","n"),"à","a"),"è","e"),"ì","i"),"ò","o"),"ù","u"))</f>
        <v/>
      </c>
      <c r="O633" s="25">
        <f>IF(M633="confiable",2,IF(M633="dudosa",1,IF(M633="no confiable",0,"")))</f>
        <v/>
      </c>
      <c r="P633" s="25">
        <f>IF(N633="confiable",2,IF(N633="dudosa",1,IF(N633="no confiable",0,"")))</f>
        <v/>
      </c>
      <c r="Q633" s="25">
        <f>IF(AND(ISNUMBER(O633),ISNUMBER(P633)),1,"")</f>
        <v/>
      </c>
      <c r="R633" s="25">
        <f>IF(Q633=1,IF(O633=P633,"Sí","No"),"")</f>
        <v/>
      </c>
      <c r="S633" s="25">
        <f>IF(Q633=1,IF(P633&lt;O633,"Más estricto",IF(P633&gt;O633,"Más permisivo","Igual")),"")</f>
        <v/>
      </c>
      <c r="T633" s="25">
        <f>IF(Q633=1,IF(ABS(O633-P633)=2,1,0),"")</f>
        <v/>
      </c>
      <c r="U633" s="25">
        <f>IF(H633="","","|"&amp;SUBSTITUTE(SUBSTITUTE(TRIM(H633)," |","|"),"| ","|")&amp;"|")</f>
        <v/>
      </c>
      <c r="V633" s="25">
        <f>IF(AND(Q633=1,B633&lt;&gt;""),IF(IFERROR(COUNTIFS(B$3:B633,"="&amp;SUBSTITUTE(SUBSTITUTE(SUBSTITUTE(B633,"~","~~"),"*","~*"),"?","~?"),Q$3:Q633,1),0)=1,MAX(V$2:V632)+1,""),"")</f>
        <v/>
      </c>
      <c r="W633" s="25">
        <f>IF(V633="","",COUNTIFS($B$3:$B$1002,"="&amp;SUBSTITUTE(SUBSTITUTE(SUBSTITUTE(B633,"~","~~"),"*","~*"),"?","~?"),$Q$3:$Q$1002,1)*10000-V633)</f>
        <v/>
      </c>
      <c r="X633" s="25">
        <f>IF(Q633=1,IF(SUBSTITUTE(SUBSTITUTE(SUBSTITUTE(SUBSTITUTE(SUBSTITUTE(SUBSTITUTE(SUBSTITUTE(SUBSTITUTE(SUBSTITUTE(SUBSTITUTE(SUBSTITUTE(SUBSTITUTE(LOWER(TRIM(A633)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633)),"á","a"),"é","e"),"í","i"),"ó","o"),"ú","u"),"ü","u"),"ñ","n"),"à","a"),"è","e"),"ì","i"),"ò","o"),"ù","u")),"")</f>
        <v/>
      </c>
      <c r="Y633" s="25">
        <f>IF(X633="","",IF(IFERROR(COUNTIF(X$3:X633,"="&amp;SUBSTITUTE(SUBSTITUTE(SUBSTITUTE(X633,"~","~~"),"*","~*"),"?","~?")),0)=1,1,""))</f>
        <v/>
      </c>
      <c r="Z633" s="25">
        <f>IF(T633=1,MAX(Z$2:Z632)+1,"")</f>
        <v/>
      </c>
    </row>
    <row r="634">
      <c r="A634">
        <f>IF(A$2=0,"",IFERROR(TRIM(INDEX('Pegar calibracion'!$A$1:$BZ$1001,633,A$2)&amp;""),""))</f>
        <v/>
      </c>
      <c r="B634">
        <f>IF(B$2=0,"",IFERROR(TRIM(INDEX('Pegar calibracion'!$A$1:$BZ$1001,633,B$2)&amp;""),""))</f>
        <v/>
      </c>
      <c r="C634">
        <f>IF(C$2=0,"",IFERROR(TRIM(INDEX('Pegar calibracion'!$A$1:$BZ$1001,633,C$2)&amp;""),""))</f>
        <v/>
      </c>
      <c r="D634">
        <f>IF(D$2=0,"",IFERROR(TRIM(INDEX('Pegar calibracion'!$A$1:$BZ$1001,633,D$2)&amp;""),""))</f>
        <v/>
      </c>
      <c r="E634">
        <f>IF(E$2=0,"",IFERROR(TRIM(INDEX('Pegar calibracion'!$A$1:$BZ$1001,633,E$2)&amp;""),""))</f>
        <v/>
      </c>
      <c r="F634">
        <f>IF(F$2=0,"",IFERROR(TRIM(INDEX('Pegar calibracion'!$A$1:$BZ$1001,633,F$2)&amp;""),""))</f>
        <v/>
      </c>
      <c r="G634">
        <f>IF(G$2=0,"",IFERROR(TRIM(INDEX('Pegar calibracion'!$A$1:$BZ$1001,633,G$2)&amp;""),""))</f>
        <v/>
      </c>
      <c r="H634">
        <f>IF(H$2=0,"",IFERROR(TRIM(INDEX('Pegar calibracion'!$A$1:$BZ$1001,633,H$2)&amp;""),""))</f>
        <v/>
      </c>
      <c r="I634">
        <f>IF(I$2=0,"",IFERROR(TRIM(INDEX('Pegar calibracion'!$A$1:$BZ$1001,633,I$2)&amp;""),""))</f>
        <v/>
      </c>
      <c r="J634">
        <f>IF(J$2=0,"",IFERROR(TRIM(INDEX('Pegar calibracion'!$A$1:$BZ$1001,633,J$2)&amp;""),""))</f>
        <v/>
      </c>
      <c r="K634">
        <f>IF(K$2=0,"",IFERROR(TRIM(INDEX('Pegar calibracion'!$A$1:$BZ$1001,633,K$2)&amp;""),""))</f>
        <v/>
      </c>
      <c r="L634">
        <f>IF(L$2=0,"",IFERROR(TRIM(INDEX('Pegar calibracion'!$A$1:$BZ$1001,633,L$2)&amp;""),""))</f>
        <v/>
      </c>
      <c r="M634" s="25">
        <f>IF(D634="","",SUBSTITUTE(SUBSTITUTE(SUBSTITUTE(SUBSTITUTE(SUBSTITUTE(SUBSTITUTE(SUBSTITUTE(SUBSTITUTE(SUBSTITUTE(SUBSTITUTE(SUBSTITUTE(SUBSTITUTE(LOWER(TRIM(D634)),"á","a"),"é","e"),"í","i"),"ó","o"),"ú","u"),"ü","u"),"ñ","n"),"à","a"),"è","e"),"ì","i"),"ò","o"),"ù","u"))</f>
        <v/>
      </c>
      <c r="N634" s="25">
        <f>IF(F634="","",SUBSTITUTE(SUBSTITUTE(SUBSTITUTE(SUBSTITUTE(SUBSTITUTE(SUBSTITUTE(SUBSTITUTE(SUBSTITUTE(SUBSTITUTE(SUBSTITUTE(SUBSTITUTE(SUBSTITUTE(LOWER(TRIM(F634)),"á","a"),"é","e"),"í","i"),"ó","o"),"ú","u"),"ü","u"),"ñ","n"),"à","a"),"è","e"),"ì","i"),"ò","o"),"ù","u"))</f>
        <v/>
      </c>
      <c r="O634" s="25">
        <f>IF(M634="confiable",2,IF(M634="dudosa",1,IF(M634="no confiable",0,"")))</f>
        <v/>
      </c>
      <c r="P634" s="25">
        <f>IF(N634="confiable",2,IF(N634="dudosa",1,IF(N634="no confiable",0,"")))</f>
        <v/>
      </c>
      <c r="Q634" s="25">
        <f>IF(AND(ISNUMBER(O634),ISNUMBER(P634)),1,"")</f>
        <v/>
      </c>
      <c r="R634" s="25">
        <f>IF(Q634=1,IF(O634=P634,"Sí","No"),"")</f>
        <v/>
      </c>
      <c r="S634" s="25">
        <f>IF(Q634=1,IF(P634&lt;O634,"Más estricto",IF(P634&gt;O634,"Más permisivo","Igual")),"")</f>
        <v/>
      </c>
      <c r="T634" s="25">
        <f>IF(Q634=1,IF(ABS(O634-P634)=2,1,0),"")</f>
        <v/>
      </c>
      <c r="U634" s="25">
        <f>IF(H634="","","|"&amp;SUBSTITUTE(SUBSTITUTE(TRIM(H634)," |","|"),"| ","|")&amp;"|")</f>
        <v/>
      </c>
      <c r="V634" s="25">
        <f>IF(AND(Q634=1,B634&lt;&gt;""),IF(IFERROR(COUNTIFS(B$3:B634,"="&amp;SUBSTITUTE(SUBSTITUTE(SUBSTITUTE(B634,"~","~~"),"*","~*"),"?","~?"),Q$3:Q634,1),0)=1,MAX(V$2:V633)+1,""),"")</f>
        <v/>
      </c>
      <c r="W634" s="25">
        <f>IF(V634="","",COUNTIFS($B$3:$B$1002,"="&amp;SUBSTITUTE(SUBSTITUTE(SUBSTITUTE(B634,"~","~~"),"*","~*"),"?","~?"),$Q$3:$Q$1002,1)*10000-V634)</f>
        <v/>
      </c>
      <c r="X634" s="25">
        <f>IF(Q634=1,IF(SUBSTITUTE(SUBSTITUTE(SUBSTITUTE(SUBSTITUTE(SUBSTITUTE(SUBSTITUTE(SUBSTITUTE(SUBSTITUTE(SUBSTITUTE(SUBSTITUTE(SUBSTITUTE(SUBSTITUTE(LOWER(TRIM(A634)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634)),"á","a"),"é","e"),"í","i"),"ó","o"),"ú","u"),"ü","u"),"ñ","n"),"à","a"),"è","e"),"ì","i"),"ò","o"),"ù","u")),"")</f>
        <v/>
      </c>
      <c r="Y634" s="25">
        <f>IF(X634="","",IF(IFERROR(COUNTIF(X$3:X634,"="&amp;SUBSTITUTE(SUBSTITUTE(SUBSTITUTE(X634,"~","~~"),"*","~*"),"?","~?")),0)=1,1,""))</f>
        <v/>
      </c>
      <c r="Z634" s="25">
        <f>IF(T634=1,MAX(Z$2:Z633)+1,"")</f>
        <v/>
      </c>
    </row>
    <row r="635">
      <c r="A635">
        <f>IF(A$2=0,"",IFERROR(TRIM(INDEX('Pegar calibracion'!$A$1:$BZ$1001,634,A$2)&amp;""),""))</f>
        <v/>
      </c>
      <c r="B635">
        <f>IF(B$2=0,"",IFERROR(TRIM(INDEX('Pegar calibracion'!$A$1:$BZ$1001,634,B$2)&amp;""),""))</f>
        <v/>
      </c>
      <c r="C635">
        <f>IF(C$2=0,"",IFERROR(TRIM(INDEX('Pegar calibracion'!$A$1:$BZ$1001,634,C$2)&amp;""),""))</f>
        <v/>
      </c>
      <c r="D635">
        <f>IF(D$2=0,"",IFERROR(TRIM(INDEX('Pegar calibracion'!$A$1:$BZ$1001,634,D$2)&amp;""),""))</f>
        <v/>
      </c>
      <c r="E635">
        <f>IF(E$2=0,"",IFERROR(TRIM(INDEX('Pegar calibracion'!$A$1:$BZ$1001,634,E$2)&amp;""),""))</f>
        <v/>
      </c>
      <c r="F635">
        <f>IF(F$2=0,"",IFERROR(TRIM(INDEX('Pegar calibracion'!$A$1:$BZ$1001,634,F$2)&amp;""),""))</f>
        <v/>
      </c>
      <c r="G635">
        <f>IF(G$2=0,"",IFERROR(TRIM(INDEX('Pegar calibracion'!$A$1:$BZ$1001,634,G$2)&amp;""),""))</f>
        <v/>
      </c>
      <c r="H635">
        <f>IF(H$2=0,"",IFERROR(TRIM(INDEX('Pegar calibracion'!$A$1:$BZ$1001,634,H$2)&amp;""),""))</f>
        <v/>
      </c>
      <c r="I635">
        <f>IF(I$2=0,"",IFERROR(TRIM(INDEX('Pegar calibracion'!$A$1:$BZ$1001,634,I$2)&amp;""),""))</f>
        <v/>
      </c>
      <c r="J635">
        <f>IF(J$2=0,"",IFERROR(TRIM(INDEX('Pegar calibracion'!$A$1:$BZ$1001,634,J$2)&amp;""),""))</f>
        <v/>
      </c>
      <c r="K635">
        <f>IF(K$2=0,"",IFERROR(TRIM(INDEX('Pegar calibracion'!$A$1:$BZ$1001,634,K$2)&amp;""),""))</f>
        <v/>
      </c>
      <c r="L635">
        <f>IF(L$2=0,"",IFERROR(TRIM(INDEX('Pegar calibracion'!$A$1:$BZ$1001,634,L$2)&amp;""),""))</f>
        <v/>
      </c>
      <c r="M635" s="25">
        <f>IF(D635="","",SUBSTITUTE(SUBSTITUTE(SUBSTITUTE(SUBSTITUTE(SUBSTITUTE(SUBSTITUTE(SUBSTITUTE(SUBSTITUTE(SUBSTITUTE(SUBSTITUTE(SUBSTITUTE(SUBSTITUTE(LOWER(TRIM(D635)),"á","a"),"é","e"),"í","i"),"ó","o"),"ú","u"),"ü","u"),"ñ","n"),"à","a"),"è","e"),"ì","i"),"ò","o"),"ù","u"))</f>
        <v/>
      </c>
      <c r="N635" s="25">
        <f>IF(F635="","",SUBSTITUTE(SUBSTITUTE(SUBSTITUTE(SUBSTITUTE(SUBSTITUTE(SUBSTITUTE(SUBSTITUTE(SUBSTITUTE(SUBSTITUTE(SUBSTITUTE(SUBSTITUTE(SUBSTITUTE(LOWER(TRIM(F635)),"á","a"),"é","e"),"í","i"),"ó","o"),"ú","u"),"ü","u"),"ñ","n"),"à","a"),"è","e"),"ì","i"),"ò","o"),"ù","u"))</f>
        <v/>
      </c>
      <c r="O635" s="25">
        <f>IF(M635="confiable",2,IF(M635="dudosa",1,IF(M635="no confiable",0,"")))</f>
        <v/>
      </c>
      <c r="P635" s="25">
        <f>IF(N635="confiable",2,IF(N635="dudosa",1,IF(N635="no confiable",0,"")))</f>
        <v/>
      </c>
      <c r="Q635" s="25">
        <f>IF(AND(ISNUMBER(O635),ISNUMBER(P635)),1,"")</f>
        <v/>
      </c>
      <c r="R635" s="25">
        <f>IF(Q635=1,IF(O635=P635,"Sí","No"),"")</f>
        <v/>
      </c>
      <c r="S635" s="25">
        <f>IF(Q635=1,IF(P635&lt;O635,"Más estricto",IF(P635&gt;O635,"Más permisivo","Igual")),"")</f>
        <v/>
      </c>
      <c r="T635" s="25">
        <f>IF(Q635=1,IF(ABS(O635-P635)=2,1,0),"")</f>
        <v/>
      </c>
      <c r="U635" s="25">
        <f>IF(H635="","","|"&amp;SUBSTITUTE(SUBSTITUTE(TRIM(H635)," |","|"),"| ","|")&amp;"|")</f>
        <v/>
      </c>
      <c r="V635" s="25">
        <f>IF(AND(Q635=1,B635&lt;&gt;""),IF(IFERROR(COUNTIFS(B$3:B635,"="&amp;SUBSTITUTE(SUBSTITUTE(SUBSTITUTE(B635,"~","~~"),"*","~*"),"?","~?"),Q$3:Q635,1),0)=1,MAX(V$2:V634)+1,""),"")</f>
        <v/>
      </c>
      <c r="W635" s="25">
        <f>IF(V635="","",COUNTIFS($B$3:$B$1002,"="&amp;SUBSTITUTE(SUBSTITUTE(SUBSTITUTE(B635,"~","~~"),"*","~*"),"?","~?"),$Q$3:$Q$1002,1)*10000-V635)</f>
        <v/>
      </c>
      <c r="X635" s="25">
        <f>IF(Q635=1,IF(SUBSTITUTE(SUBSTITUTE(SUBSTITUTE(SUBSTITUTE(SUBSTITUTE(SUBSTITUTE(SUBSTITUTE(SUBSTITUTE(SUBSTITUTE(SUBSTITUTE(SUBSTITUTE(SUBSTITUTE(LOWER(TRIM(A635)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635)),"á","a"),"é","e"),"í","i"),"ó","o"),"ú","u"),"ü","u"),"ñ","n"),"à","a"),"è","e"),"ì","i"),"ò","o"),"ù","u")),"")</f>
        <v/>
      </c>
      <c r="Y635" s="25">
        <f>IF(X635="","",IF(IFERROR(COUNTIF(X$3:X635,"="&amp;SUBSTITUTE(SUBSTITUTE(SUBSTITUTE(X635,"~","~~"),"*","~*"),"?","~?")),0)=1,1,""))</f>
        <v/>
      </c>
      <c r="Z635" s="25">
        <f>IF(T635=1,MAX(Z$2:Z634)+1,"")</f>
        <v/>
      </c>
    </row>
    <row r="636">
      <c r="A636">
        <f>IF(A$2=0,"",IFERROR(TRIM(INDEX('Pegar calibracion'!$A$1:$BZ$1001,635,A$2)&amp;""),""))</f>
        <v/>
      </c>
      <c r="B636">
        <f>IF(B$2=0,"",IFERROR(TRIM(INDEX('Pegar calibracion'!$A$1:$BZ$1001,635,B$2)&amp;""),""))</f>
        <v/>
      </c>
      <c r="C636">
        <f>IF(C$2=0,"",IFERROR(TRIM(INDEX('Pegar calibracion'!$A$1:$BZ$1001,635,C$2)&amp;""),""))</f>
        <v/>
      </c>
      <c r="D636">
        <f>IF(D$2=0,"",IFERROR(TRIM(INDEX('Pegar calibracion'!$A$1:$BZ$1001,635,D$2)&amp;""),""))</f>
        <v/>
      </c>
      <c r="E636">
        <f>IF(E$2=0,"",IFERROR(TRIM(INDEX('Pegar calibracion'!$A$1:$BZ$1001,635,E$2)&amp;""),""))</f>
        <v/>
      </c>
      <c r="F636">
        <f>IF(F$2=0,"",IFERROR(TRIM(INDEX('Pegar calibracion'!$A$1:$BZ$1001,635,F$2)&amp;""),""))</f>
        <v/>
      </c>
      <c r="G636">
        <f>IF(G$2=0,"",IFERROR(TRIM(INDEX('Pegar calibracion'!$A$1:$BZ$1001,635,G$2)&amp;""),""))</f>
        <v/>
      </c>
      <c r="H636">
        <f>IF(H$2=0,"",IFERROR(TRIM(INDEX('Pegar calibracion'!$A$1:$BZ$1001,635,H$2)&amp;""),""))</f>
        <v/>
      </c>
      <c r="I636">
        <f>IF(I$2=0,"",IFERROR(TRIM(INDEX('Pegar calibracion'!$A$1:$BZ$1001,635,I$2)&amp;""),""))</f>
        <v/>
      </c>
      <c r="J636">
        <f>IF(J$2=0,"",IFERROR(TRIM(INDEX('Pegar calibracion'!$A$1:$BZ$1001,635,J$2)&amp;""),""))</f>
        <v/>
      </c>
      <c r="K636">
        <f>IF(K$2=0,"",IFERROR(TRIM(INDEX('Pegar calibracion'!$A$1:$BZ$1001,635,K$2)&amp;""),""))</f>
        <v/>
      </c>
      <c r="L636">
        <f>IF(L$2=0,"",IFERROR(TRIM(INDEX('Pegar calibracion'!$A$1:$BZ$1001,635,L$2)&amp;""),""))</f>
        <v/>
      </c>
      <c r="M636" s="25">
        <f>IF(D636="","",SUBSTITUTE(SUBSTITUTE(SUBSTITUTE(SUBSTITUTE(SUBSTITUTE(SUBSTITUTE(SUBSTITUTE(SUBSTITUTE(SUBSTITUTE(SUBSTITUTE(SUBSTITUTE(SUBSTITUTE(LOWER(TRIM(D636)),"á","a"),"é","e"),"í","i"),"ó","o"),"ú","u"),"ü","u"),"ñ","n"),"à","a"),"è","e"),"ì","i"),"ò","o"),"ù","u"))</f>
        <v/>
      </c>
      <c r="N636" s="25">
        <f>IF(F636="","",SUBSTITUTE(SUBSTITUTE(SUBSTITUTE(SUBSTITUTE(SUBSTITUTE(SUBSTITUTE(SUBSTITUTE(SUBSTITUTE(SUBSTITUTE(SUBSTITUTE(SUBSTITUTE(SUBSTITUTE(LOWER(TRIM(F636)),"á","a"),"é","e"),"í","i"),"ó","o"),"ú","u"),"ü","u"),"ñ","n"),"à","a"),"è","e"),"ì","i"),"ò","o"),"ù","u"))</f>
        <v/>
      </c>
      <c r="O636" s="25">
        <f>IF(M636="confiable",2,IF(M636="dudosa",1,IF(M636="no confiable",0,"")))</f>
        <v/>
      </c>
      <c r="P636" s="25">
        <f>IF(N636="confiable",2,IF(N636="dudosa",1,IF(N636="no confiable",0,"")))</f>
        <v/>
      </c>
      <c r="Q636" s="25">
        <f>IF(AND(ISNUMBER(O636),ISNUMBER(P636)),1,"")</f>
        <v/>
      </c>
      <c r="R636" s="25">
        <f>IF(Q636=1,IF(O636=P636,"Sí","No"),"")</f>
        <v/>
      </c>
      <c r="S636" s="25">
        <f>IF(Q636=1,IF(P636&lt;O636,"Más estricto",IF(P636&gt;O636,"Más permisivo","Igual")),"")</f>
        <v/>
      </c>
      <c r="T636" s="25">
        <f>IF(Q636=1,IF(ABS(O636-P636)=2,1,0),"")</f>
        <v/>
      </c>
      <c r="U636" s="25">
        <f>IF(H636="","","|"&amp;SUBSTITUTE(SUBSTITUTE(TRIM(H636)," |","|"),"| ","|")&amp;"|")</f>
        <v/>
      </c>
      <c r="V636" s="25">
        <f>IF(AND(Q636=1,B636&lt;&gt;""),IF(IFERROR(COUNTIFS(B$3:B636,"="&amp;SUBSTITUTE(SUBSTITUTE(SUBSTITUTE(B636,"~","~~"),"*","~*"),"?","~?"),Q$3:Q636,1),0)=1,MAX(V$2:V635)+1,""),"")</f>
        <v/>
      </c>
      <c r="W636" s="25">
        <f>IF(V636="","",COUNTIFS($B$3:$B$1002,"="&amp;SUBSTITUTE(SUBSTITUTE(SUBSTITUTE(B636,"~","~~"),"*","~*"),"?","~?"),$Q$3:$Q$1002,1)*10000-V636)</f>
        <v/>
      </c>
      <c r="X636" s="25">
        <f>IF(Q636=1,IF(SUBSTITUTE(SUBSTITUTE(SUBSTITUTE(SUBSTITUTE(SUBSTITUTE(SUBSTITUTE(SUBSTITUTE(SUBSTITUTE(SUBSTITUTE(SUBSTITUTE(SUBSTITUTE(SUBSTITUTE(LOWER(TRIM(A636)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636)),"á","a"),"é","e"),"í","i"),"ó","o"),"ú","u"),"ü","u"),"ñ","n"),"à","a"),"è","e"),"ì","i"),"ò","o"),"ù","u")),"")</f>
        <v/>
      </c>
      <c r="Y636" s="25">
        <f>IF(X636="","",IF(IFERROR(COUNTIF(X$3:X636,"="&amp;SUBSTITUTE(SUBSTITUTE(SUBSTITUTE(X636,"~","~~"),"*","~*"),"?","~?")),0)=1,1,""))</f>
        <v/>
      </c>
      <c r="Z636" s="25">
        <f>IF(T636=1,MAX(Z$2:Z635)+1,"")</f>
        <v/>
      </c>
    </row>
    <row r="637">
      <c r="A637">
        <f>IF(A$2=0,"",IFERROR(TRIM(INDEX('Pegar calibracion'!$A$1:$BZ$1001,636,A$2)&amp;""),""))</f>
        <v/>
      </c>
      <c r="B637">
        <f>IF(B$2=0,"",IFERROR(TRIM(INDEX('Pegar calibracion'!$A$1:$BZ$1001,636,B$2)&amp;""),""))</f>
        <v/>
      </c>
      <c r="C637">
        <f>IF(C$2=0,"",IFERROR(TRIM(INDEX('Pegar calibracion'!$A$1:$BZ$1001,636,C$2)&amp;""),""))</f>
        <v/>
      </c>
      <c r="D637">
        <f>IF(D$2=0,"",IFERROR(TRIM(INDEX('Pegar calibracion'!$A$1:$BZ$1001,636,D$2)&amp;""),""))</f>
        <v/>
      </c>
      <c r="E637">
        <f>IF(E$2=0,"",IFERROR(TRIM(INDEX('Pegar calibracion'!$A$1:$BZ$1001,636,E$2)&amp;""),""))</f>
        <v/>
      </c>
      <c r="F637">
        <f>IF(F$2=0,"",IFERROR(TRIM(INDEX('Pegar calibracion'!$A$1:$BZ$1001,636,F$2)&amp;""),""))</f>
        <v/>
      </c>
      <c r="G637">
        <f>IF(G$2=0,"",IFERROR(TRIM(INDEX('Pegar calibracion'!$A$1:$BZ$1001,636,G$2)&amp;""),""))</f>
        <v/>
      </c>
      <c r="H637">
        <f>IF(H$2=0,"",IFERROR(TRIM(INDEX('Pegar calibracion'!$A$1:$BZ$1001,636,H$2)&amp;""),""))</f>
        <v/>
      </c>
      <c r="I637">
        <f>IF(I$2=0,"",IFERROR(TRIM(INDEX('Pegar calibracion'!$A$1:$BZ$1001,636,I$2)&amp;""),""))</f>
        <v/>
      </c>
      <c r="J637">
        <f>IF(J$2=0,"",IFERROR(TRIM(INDEX('Pegar calibracion'!$A$1:$BZ$1001,636,J$2)&amp;""),""))</f>
        <v/>
      </c>
      <c r="K637">
        <f>IF(K$2=0,"",IFERROR(TRIM(INDEX('Pegar calibracion'!$A$1:$BZ$1001,636,K$2)&amp;""),""))</f>
        <v/>
      </c>
      <c r="L637">
        <f>IF(L$2=0,"",IFERROR(TRIM(INDEX('Pegar calibracion'!$A$1:$BZ$1001,636,L$2)&amp;""),""))</f>
        <v/>
      </c>
      <c r="M637" s="25">
        <f>IF(D637="","",SUBSTITUTE(SUBSTITUTE(SUBSTITUTE(SUBSTITUTE(SUBSTITUTE(SUBSTITUTE(SUBSTITUTE(SUBSTITUTE(SUBSTITUTE(SUBSTITUTE(SUBSTITUTE(SUBSTITUTE(LOWER(TRIM(D637)),"á","a"),"é","e"),"í","i"),"ó","o"),"ú","u"),"ü","u"),"ñ","n"),"à","a"),"è","e"),"ì","i"),"ò","o"),"ù","u"))</f>
        <v/>
      </c>
      <c r="N637" s="25">
        <f>IF(F637="","",SUBSTITUTE(SUBSTITUTE(SUBSTITUTE(SUBSTITUTE(SUBSTITUTE(SUBSTITUTE(SUBSTITUTE(SUBSTITUTE(SUBSTITUTE(SUBSTITUTE(SUBSTITUTE(SUBSTITUTE(LOWER(TRIM(F637)),"á","a"),"é","e"),"í","i"),"ó","o"),"ú","u"),"ü","u"),"ñ","n"),"à","a"),"è","e"),"ì","i"),"ò","o"),"ù","u"))</f>
        <v/>
      </c>
      <c r="O637" s="25">
        <f>IF(M637="confiable",2,IF(M637="dudosa",1,IF(M637="no confiable",0,"")))</f>
        <v/>
      </c>
      <c r="P637" s="25">
        <f>IF(N637="confiable",2,IF(N637="dudosa",1,IF(N637="no confiable",0,"")))</f>
        <v/>
      </c>
      <c r="Q637" s="25">
        <f>IF(AND(ISNUMBER(O637),ISNUMBER(P637)),1,"")</f>
        <v/>
      </c>
      <c r="R637" s="25">
        <f>IF(Q637=1,IF(O637=P637,"Sí","No"),"")</f>
        <v/>
      </c>
      <c r="S637" s="25">
        <f>IF(Q637=1,IF(P637&lt;O637,"Más estricto",IF(P637&gt;O637,"Más permisivo","Igual")),"")</f>
        <v/>
      </c>
      <c r="T637" s="25">
        <f>IF(Q637=1,IF(ABS(O637-P637)=2,1,0),"")</f>
        <v/>
      </c>
      <c r="U637" s="25">
        <f>IF(H637="","","|"&amp;SUBSTITUTE(SUBSTITUTE(TRIM(H637)," |","|"),"| ","|")&amp;"|")</f>
        <v/>
      </c>
      <c r="V637" s="25">
        <f>IF(AND(Q637=1,B637&lt;&gt;""),IF(IFERROR(COUNTIFS(B$3:B637,"="&amp;SUBSTITUTE(SUBSTITUTE(SUBSTITUTE(B637,"~","~~"),"*","~*"),"?","~?"),Q$3:Q637,1),0)=1,MAX(V$2:V636)+1,""),"")</f>
        <v/>
      </c>
      <c r="W637" s="25">
        <f>IF(V637="","",COUNTIFS($B$3:$B$1002,"="&amp;SUBSTITUTE(SUBSTITUTE(SUBSTITUTE(B637,"~","~~"),"*","~*"),"?","~?"),$Q$3:$Q$1002,1)*10000-V637)</f>
        <v/>
      </c>
      <c r="X637" s="25">
        <f>IF(Q637=1,IF(SUBSTITUTE(SUBSTITUTE(SUBSTITUTE(SUBSTITUTE(SUBSTITUTE(SUBSTITUTE(SUBSTITUTE(SUBSTITUTE(SUBSTITUTE(SUBSTITUTE(SUBSTITUTE(SUBSTITUTE(LOWER(TRIM(A637)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637)),"á","a"),"é","e"),"í","i"),"ó","o"),"ú","u"),"ü","u"),"ñ","n"),"à","a"),"è","e"),"ì","i"),"ò","o"),"ù","u")),"")</f>
        <v/>
      </c>
      <c r="Y637" s="25">
        <f>IF(X637="","",IF(IFERROR(COUNTIF(X$3:X637,"="&amp;SUBSTITUTE(SUBSTITUTE(SUBSTITUTE(X637,"~","~~"),"*","~*"),"?","~?")),0)=1,1,""))</f>
        <v/>
      </c>
      <c r="Z637" s="25">
        <f>IF(T637=1,MAX(Z$2:Z636)+1,"")</f>
        <v/>
      </c>
    </row>
    <row r="638">
      <c r="A638">
        <f>IF(A$2=0,"",IFERROR(TRIM(INDEX('Pegar calibracion'!$A$1:$BZ$1001,637,A$2)&amp;""),""))</f>
        <v/>
      </c>
      <c r="B638">
        <f>IF(B$2=0,"",IFERROR(TRIM(INDEX('Pegar calibracion'!$A$1:$BZ$1001,637,B$2)&amp;""),""))</f>
        <v/>
      </c>
      <c r="C638">
        <f>IF(C$2=0,"",IFERROR(TRIM(INDEX('Pegar calibracion'!$A$1:$BZ$1001,637,C$2)&amp;""),""))</f>
        <v/>
      </c>
      <c r="D638">
        <f>IF(D$2=0,"",IFERROR(TRIM(INDEX('Pegar calibracion'!$A$1:$BZ$1001,637,D$2)&amp;""),""))</f>
        <v/>
      </c>
      <c r="E638">
        <f>IF(E$2=0,"",IFERROR(TRIM(INDEX('Pegar calibracion'!$A$1:$BZ$1001,637,E$2)&amp;""),""))</f>
        <v/>
      </c>
      <c r="F638">
        <f>IF(F$2=0,"",IFERROR(TRIM(INDEX('Pegar calibracion'!$A$1:$BZ$1001,637,F$2)&amp;""),""))</f>
        <v/>
      </c>
      <c r="G638">
        <f>IF(G$2=0,"",IFERROR(TRIM(INDEX('Pegar calibracion'!$A$1:$BZ$1001,637,G$2)&amp;""),""))</f>
        <v/>
      </c>
      <c r="H638">
        <f>IF(H$2=0,"",IFERROR(TRIM(INDEX('Pegar calibracion'!$A$1:$BZ$1001,637,H$2)&amp;""),""))</f>
        <v/>
      </c>
      <c r="I638">
        <f>IF(I$2=0,"",IFERROR(TRIM(INDEX('Pegar calibracion'!$A$1:$BZ$1001,637,I$2)&amp;""),""))</f>
        <v/>
      </c>
      <c r="J638">
        <f>IF(J$2=0,"",IFERROR(TRIM(INDEX('Pegar calibracion'!$A$1:$BZ$1001,637,J$2)&amp;""),""))</f>
        <v/>
      </c>
      <c r="K638">
        <f>IF(K$2=0,"",IFERROR(TRIM(INDEX('Pegar calibracion'!$A$1:$BZ$1001,637,K$2)&amp;""),""))</f>
        <v/>
      </c>
      <c r="L638">
        <f>IF(L$2=0,"",IFERROR(TRIM(INDEX('Pegar calibracion'!$A$1:$BZ$1001,637,L$2)&amp;""),""))</f>
        <v/>
      </c>
      <c r="M638" s="25">
        <f>IF(D638="","",SUBSTITUTE(SUBSTITUTE(SUBSTITUTE(SUBSTITUTE(SUBSTITUTE(SUBSTITUTE(SUBSTITUTE(SUBSTITUTE(SUBSTITUTE(SUBSTITUTE(SUBSTITUTE(SUBSTITUTE(LOWER(TRIM(D638)),"á","a"),"é","e"),"í","i"),"ó","o"),"ú","u"),"ü","u"),"ñ","n"),"à","a"),"è","e"),"ì","i"),"ò","o"),"ù","u"))</f>
        <v/>
      </c>
      <c r="N638" s="25">
        <f>IF(F638="","",SUBSTITUTE(SUBSTITUTE(SUBSTITUTE(SUBSTITUTE(SUBSTITUTE(SUBSTITUTE(SUBSTITUTE(SUBSTITUTE(SUBSTITUTE(SUBSTITUTE(SUBSTITUTE(SUBSTITUTE(LOWER(TRIM(F638)),"á","a"),"é","e"),"í","i"),"ó","o"),"ú","u"),"ü","u"),"ñ","n"),"à","a"),"è","e"),"ì","i"),"ò","o"),"ù","u"))</f>
        <v/>
      </c>
      <c r="O638" s="25">
        <f>IF(M638="confiable",2,IF(M638="dudosa",1,IF(M638="no confiable",0,"")))</f>
        <v/>
      </c>
      <c r="P638" s="25">
        <f>IF(N638="confiable",2,IF(N638="dudosa",1,IF(N638="no confiable",0,"")))</f>
        <v/>
      </c>
      <c r="Q638" s="25">
        <f>IF(AND(ISNUMBER(O638),ISNUMBER(P638)),1,"")</f>
        <v/>
      </c>
      <c r="R638" s="25">
        <f>IF(Q638=1,IF(O638=P638,"Sí","No"),"")</f>
        <v/>
      </c>
      <c r="S638" s="25">
        <f>IF(Q638=1,IF(P638&lt;O638,"Más estricto",IF(P638&gt;O638,"Más permisivo","Igual")),"")</f>
        <v/>
      </c>
      <c r="T638" s="25">
        <f>IF(Q638=1,IF(ABS(O638-P638)=2,1,0),"")</f>
        <v/>
      </c>
      <c r="U638" s="25">
        <f>IF(H638="","","|"&amp;SUBSTITUTE(SUBSTITUTE(TRIM(H638)," |","|"),"| ","|")&amp;"|")</f>
        <v/>
      </c>
      <c r="V638" s="25">
        <f>IF(AND(Q638=1,B638&lt;&gt;""),IF(IFERROR(COUNTIFS(B$3:B638,"="&amp;SUBSTITUTE(SUBSTITUTE(SUBSTITUTE(B638,"~","~~"),"*","~*"),"?","~?"),Q$3:Q638,1),0)=1,MAX(V$2:V637)+1,""),"")</f>
        <v/>
      </c>
      <c r="W638" s="25">
        <f>IF(V638="","",COUNTIFS($B$3:$B$1002,"="&amp;SUBSTITUTE(SUBSTITUTE(SUBSTITUTE(B638,"~","~~"),"*","~*"),"?","~?"),$Q$3:$Q$1002,1)*10000-V638)</f>
        <v/>
      </c>
      <c r="X638" s="25">
        <f>IF(Q638=1,IF(SUBSTITUTE(SUBSTITUTE(SUBSTITUTE(SUBSTITUTE(SUBSTITUTE(SUBSTITUTE(SUBSTITUTE(SUBSTITUTE(SUBSTITUTE(SUBSTITUTE(SUBSTITUTE(SUBSTITUTE(LOWER(TRIM(A638)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638)),"á","a"),"é","e"),"í","i"),"ó","o"),"ú","u"),"ü","u"),"ñ","n"),"à","a"),"è","e"),"ì","i"),"ò","o"),"ù","u")),"")</f>
        <v/>
      </c>
      <c r="Y638" s="25">
        <f>IF(X638="","",IF(IFERROR(COUNTIF(X$3:X638,"="&amp;SUBSTITUTE(SUBSTITUTE(SUBSTITUTE(X638,"~","~~"),"*","~*"),"?","~?")),0)=1,1,""))</f>
        <v/>
      </c>
      <c r="Z638" s="25">
        <f>IF(T638=1,MAX(Z$2:Z637)+1,"")</f>
        <v/>
      </c>
    </row>
    <row r="639">
      <c r="A639">
        <f>IF(A$2=0,"",IFERROR(TRIM(INDEX('Pegar calibracion'!$A$1:$BZ$1001,638,A$2)&amp;""),""))</f>
        <v/>
      </c>
      <c r="B639">
        <f>IF(B$2=0,"",IFERROR(TRIM(INDEX('Pegar calibracion'!$A$1:$BZ$1001,638,B$2)&amp;""),""))</f>
        <v/>
      </c>
      <c r="C639">
        <f>IF(C$2=0,"",IFERROR(TRIM(INDEX('Pegar calibracion'!$A$1:$BZ$1001,638,C$2)&amp;""),""))</f>
        <v/>
      </c>
      <c r="D639">
        <f>IF(D$2=0,"",IFERROR(TRIM(INDEX('Pegar calibracion'!$A$1:$BZ$1001,638,D$2)&amp;""),""))</f>
        <v/>
      </c>
      <c r="E639">
        <f>IF(E$2=0,"",IFERROR(TRIM(INDEX('Pegar calibracion'!$A$1:$BZ$1001,638,E$2)&amp;""),""))</f>
        <v/>
      </c>
      <c r="F639">
        <f>IF(F$2=0,"",IFERROR(TRIM(INDEX('Pegar calibracion'!$A$1:$BZ$1001,638,F$2)&amp;""),""))</f>
        <v/>
      </c>
      <c r="G639">
        <f>IF(G$2=0,"",IFERROR(TRIM(INDEX('Pegar calibracion'!$A$1:$BZ$1001,638,G$2)&amp;""),""))</f>
        <v/>
      </c>
      <c r="H639">
        <f>IF(H$2=0,"",IFERROR(TRIM(INDEX('Pegar calibracion'!$A$1:$BZ$1001,638,H$2)&amp;""),""))</f>
        <v/>
      </c>
      <c r="I639">
        <f>IF(I$2=0,"",IFERROR(TRIM(INDEX('Pegar calibracion'!$A$1:$BZ$1001,638,I$2)&amp;""),""))</f>
        <v/>
      </c>
      <c r="J639">
        <f>IF(J$2=0,"",IFERROR(TRIM(INDEX('Pegar calibracion'!$A$1:$BZ$1001,638,J$2)&amp;""),""))</f>
        <v/>
      </c>
      <c r="K639">
        <f>IF(K$2=0,"",IFERROR(TRIM(INDEX('Pegar calibracion'!$A$1:$BZ$1001,638,K$2)&amp;""),""))</f>
        <v/>
      </c>
      <c r="L639">
        <f>IF(L$2=0,"",IFERROR(TRIM(INDEX('Pegar calibracion'!$A$1:$BZ$1001,638,L$2)&amp;""),""))</f>
        <v/>
      </c>
      <c r="M639" s="25">
        <f>IF(D639="","",SUBSTITUTE(SUBSTITUTE(SUBSTITUTE(SUBSTITUTE(SUBSTITUTE(SUBSTITUTE(SUBSTITUTE(SUBSTITUTE(SUBSTITUTE(SUBSTITUTE(SUBSTITUTE(SUBSTITUTE(LOWER(TRIM(D639)),"á","a"),"é","e"),"í","i"),"ó","o"),"ú","u"),"ü","u"),"ñ","n"),"à","a"),"è","e"),"ì","i"),"ò","o"),"ù","u"))</f>
        <v/>
      </c>
      <c r="N639" s="25">
        <f>IF(F639="","",SUBSTITUTE(SUBSTITUTE(SUBSTITUTE(SUBSTITUTE(SUBSTITUTE(SUBSTITUTE(SUBSTITUTE(SUBSTITUTE(SUBSTITUTE(SUBSTITUTE(SUBSTITUTE(SUBSTITUTE(LOWER(TRIM(F639)),"á","a"),"é","e"),"í","i"),"ó","o"),"ú","u"),"ü","u"),"ñ","n"),"à","a"),"è","e"),"ì","i"),"ò","o"),"ù","u"))</f>
        <v/>
      </c>
      <c r="O639" s="25">
        <f>IF(M639="confiable",2,IF(M639="dudosa",1,IF(M639="no confiable",0,"")))</f>
        <v/>
      </c>
      <c r="P639" s="25">
        <f>IF(N639="confiable",2,IF(N639="dudosa",1,IF(N639="no confiable",0,"")))</f>
        <v/>
      </c>
      <c r="Q639" s="25">
        <f>IF(AND(ISNUMBER(O639),ISNUMBER(P639)),1,"")</f>
        <v/>
      </c>
      <c r="R639" s="25">
        <f>IF(Q639=1,IF(O639=P639,"Sí","No"),"")</f>
        <v/>
      </c>
      <c r="S639" s="25">
        <f>IF(Q639=1,IF(P639&lt;O639,"Más estricto",IF(P639&gt;O639,"Más permisivo","Igual")),"")</f>
        <v/>
      </c>
      <c r="T639" s="25">
        <f>IF(Q639=1,IF(ABS(O639-P639)=2,1,0),"")</f>
        <v/>
      </c>
      <c r="U639" s="25">
        <f>IF(H639="","","|"&amp;SUBSTITUTE(SUBSTITUTE(TRIM(H639)," |","|"),"| ","|")&amp;"|")</f>
        <v/>
      </c>
      <c r="V639" s="25">
        <f>IF(AND(Q639=1,B639&lt;&gt;""),IF(IFERROR(COUNTIFS(B$3:B639,"="&amp;SUBSTITUTE(SUBSTITUTE(SUBSTITUTE(B639,"~","~~"),"*","~*"),"?","~?"),Q$3:Q639,1),0)=1,MAX(V$2:V638)+1,""),"")</f>
        <v/>
      </c>
      <c r="W639" s="25">
        <f>IF(V639="","",COUNTIFS($B$3:$B$1002,"="&amp;SUBSTITUTE(SUBSTITUTE(SUBSTITUTE(B639,"~","~~"),"*","~*"),"?","~?"),$Q$3:$Q$1002,1)*10000-V639)</f>
        <v/>
      </c>
      <c r="X639" s="25">
        <f>IF(Q639=1,IF(SUBSTITUTE(SUBSTITUTE(SUBSTITUTE(SUBSTITUTE(SUBSTITUTE(SUBSTITUTE(SUBSTITUTE(SUBSTITUTE(SUBSTITUTE(SUBSTITUTE(SUBSTITUTE(SUBSTITUTE(LOWER(TRIM(A639)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639)),"á","a"),"é","e"),"í","i"),"ó","o"),"ú","u"),"ü","u"),"ñ","n"),"à","a"),"è","e"),"ì","i"),"ò","o"),"ù","u")),"")</f>
        <v/>
      </c>
      <c r="Y639" s="25">
        <f>IF(X639="","",IF(IFERROR(COUNTIF(X$3:X639,"="&amp;SUBSTITUTE(SUBSTITUTE(SUBSTITUTE(X639,"~","~~"),"*","~*"),"?","~?")),0)=1,1,""))</f>
        <v/>
      </c>
      <c r="Z639" s="25">
        <f>IF(T639=1,MAX(Z$2:Z638)+1,"")</f>
        <v/>
      </c>
    </row>
    <row r="640">
      <c r="A640">
        <f>IF(A$2=0,"",IFERROR(TRIM(INDEX('Pegar calibracion'!$A$1:$BZ$1001,639,A$2)&amp;""),""))</f>
        <v/>
      </c>
      <c r="B640">
        <f>IF(B$2=0,"",IFERROR(TRIM(INDEX('Pegar calibracion'!$A$1:$BZ$1001,639,B$2)&amp;""),""))</f>
        <v/>
      </c>
      <c r="C640">
        <f>IF(C$2=0,"",IFERROR(TRIM(INDEX('Pegar calibracion'!$A$1:$BZ$1001,639,C$2)&amp;""),""))</f>
        <v/>
      </c>
      <c r="D640">
        <f>IF(D$2=0,"",IFERROR(TRIM(INDEX('Pegar calibracion'!$A$1:$BZ$1001,639,D$2)&amp;""),""))</f>
        <v/>
      </c>
      <c r="E640">
        <f>IF(E$2=0,"",IFERROR(TRIM(INDEX('Pegar calibracion'!$A$1:$BZ$1001,639,E$2)&amp;""),""))</f>
        <v/>
      </c>
      <c r="F640">
        <f>IF(F$2=0,"",IFERROR(TRIM(INDEX('Pegar calibracion'!$A$1:$BZ$1001,639,F$2)&amp;""),""))</f>
        <v/>
      </c>
      <c r="G640">
        <f>IF(G$2=0,"",IFERROR(TRIM(INDEX('Pegar calibracion'!$A$1:$BZ$1001,639,G$2)&amp;""),""))</f>
        <v/>
      </c>
      <c r="H640">
        <f>IF(H$2=0,"",IFERROR(TRIM(INDEX('Pegar calibracion'!$A$1:$BZ$1001,639,H$2)&amp;""),""))</f>
        <v/>
      </c>
      <c r="I640">
        <f>IF(I$2=0,"",IFERROR(TRIM(INDEX('Pegar calibracion'!$A$1:$BZ$1001,639,I$2)&amp;""),""))</f>
        <v/>
      </c>
      <c r="J640">
        <f>IF(J$2=0,"",IFERROR(TRIM(INDEX('Pegar calibracion'!$A$1:$BZ$1001,639,J$2)&amp;""),""))</f>
        <v/>
      </c>
      <c r="K640">
        <f>IF(K$2=0,"",IFERROR(TRIM(INDEX('Pegar calibracion'!$A$1:$BZ$1001,639,K$2)&amp;""),""))</f>
        <v/>
      </c>
      <c r="L640">
        <f>IF(L$2=0,"",IFERROR(TRIM(INDEX('Pegar calibracion'!$A$1:$BZ$1001,639,L$2)&amp;""),""))</f>
        <v/>
      </c>
      <c r="M640" s="25">
        <f>IF(D640="","",SUBSTITUTE(SUBSTITUTE(SUBSTITUTE(SUBSTITUTE(SUBSTITUTE(SUBSTITUTE(SUBSTITUTE(SUBSTITUTE(SUBSTITUTE(SUBSTITUTE(SUBSTITUTE(SUBSTITUTE(LOWER(TRIM(D640)),"á","a"),"é","e"),"í","i"),"ó","o"),"ú","u"),"ü","u"),"ñ","n"),"à","a"),"è","e"),"ì","i"),"ò","o"),"ù","u"))</f>
        <v/>
      </c>
      <c r="N640" s="25">
        <f>IF(F640="","",SUBSTITUTE(SUBSTITUTE(SUBSTITUTE(SUBSTITUTE(SUBSTITUTE(SUBSTITUTE(SUBSTITUTE(SUBSTITUTE(SUBSTITUTE(SUBSTITUTE(SUBSTITUTE(SUBSTITUTE(LOWER(TRIM(F640)),"á","a"),"é","e"),"í","i"),"ó","o"),"ú","u"),"ü","u"),"ñ","n"),"à","a"),"è","e"),"ì","i"),"ò","o"),"ù","u"))</f>
        <v/>
      </c>
      <c r="O640" s="25">
        <f>IF(M640="confiable",2,IF(M640="dudosa",1,IF(M640="no confiable",0,"")))</f>
        <v/>
      </c>
      <c r="P640" s="25">
        <f>IF(N640="confiable",2,IF(N640="dudosa",1,IF(N640="no confiable",0,"")))</f>
        <v/>
      </c>
      <c r="Q640" s="25">
        <f>IF(AND(ISNUMBER(O640),ISNUMBER(P640)),1,"")</f>
        <v/>
      </c>
      <c r="R640" s="25">
        <f>IF(Q640=1,IF(O640=P640,"Sí","No"),"")</f>
        <v/>
      </c>
      <c r="S640" s="25">
        <f>IF(Q640=1,IF(P640&lt;O640,"Más estricto",IF(P640&gt;O640,"Más permisivo","Igual")),"")</f>
        <v/>
      </c>
      <c r="T640" s="25">
        <f>IF(Q640=1,IF(ABS(O640-P640)=2,1,0),"")</f>
        <v/>
      </c>
      <c r="U640" s="25">
        <f>IF(H640="","","|"&amp;SUBSTITUTE(SUBSTITUTE(TRIM(H640)," |","|"),"| ","|")&amp;"|")</f>
        <v/>
      </c>
      <c r="V640" s="25">
        <f>IF(AND(Q640=1,B640&lt;&gt;""),IF(IFERROR(COUNTIFS(B$3:B640,"="&amp;SUBSTITUTE(SUBSTITUTE(SUBSTITUTE(B640,"~","~~"),"*","~*"),"?","~?"),Q$3:Q640,1),0)=1,MAX(V$2:V639)+1,""),"")</f>
        <v/>
      </c>
      <c r="W640" s="25">
        <f>IF(V640="","",COUNTIFS($B$3:$B$1002,"="&amp;SUBSTITUTE(SUBSTITUTE(SUBSTITUTE(B640,"~","~~"),"*","~*"),"?","~?"),$Q$3:$Q$1002,1)*10000-V640)</f>
        <v/>
      </c>
      <c r="X640" s="25">
        <f>IF(Q640=1,IF(SUBSTITUTE(SUBSTITUTE(SUBSTITUTE(SUBSTITUTE(SUBSTITUTE(SUBSTITUTE(SUBSTITUTE(SUBSTITUTE(SUBSTITUTE(SUBSTITUTE(SUBSTITUTE(SUBSTITUTE(LOWER(TRIM(A640)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640)),"á","a"),"é","e"),"í","i"),"ó","o"),"ú","u"),"ü","u"),"ñ","n"),"à","a"),"è","e"),"ì","i"),"ò","o"),"ù","u")),"")</f>
        <v/>
      </c>
      <c r="Y640" s="25">
        <f>IF(X640="","",IF(IFERROR(COUNTIF(X$3:X640,"="&amp;SUBSTITUTE(SUBSTITUTE(SUBSTITUTE(X640,"~","~~"),"*","~*"),"?","~?")),0)=1,1,""))</f>
        <v/>
      </c>
      <c r="Z640" s="25">
        <f>IF(T640=1,MAX(Z$2:Z639)+1,"")</f>
        <v/>
      </c>
    </row>
    <row r="641">
      <c r="A641">
        <f>IF(A$2=0,"",IFERROR(TRIM(INDEX('Pegar calibracion'!$A$1:$BZ$1001,640,A$2)&amp;""),""))</f>
        <v/>
      </c>
      <c r="B641">
        <f>IF(B$2=0,"",IFERROR(TRIM(INDEX('Pegar calibracion'!$A$1:$BZ$1001,640,B$2)&amp;""),""))</f>
        <v/>
      </c>
      <c r="C641">
        <f>IF(C$2=0,"",IFERROR(TRIM(INDEX('Pegar calibracion'!$A$1:$BZ$1001,640,C$2)&amp;""),""))</f>
        <v/>
      </c>
      <c r="D641">
        <f>IF(D$2=0,"",IFERROR(TRIM(INDEX('Pegar calibracion'!$A$1:$BZ$1001,640,D$2)&amp;""),""))</f>
        <v/>
      </c>
      <c r="E641">
        <f>IF(E$2=0,"",IFERROR(TRIM(INDEX('Pegar calibracion'!$A$1:$BZ$1001,640,E$2)&amp;""),""))</f>
        <v/>
      </c>
      <c r="F641">
        <f>IF(F$2=0,"",IFERROR(TRIM(INDEX('Pegar calibracion'!$A$1:$BZ$1001,640,F$2)&amp;""),""))</f>
        <v/>
      </c>
      <c r="G641">
        <f>IF(G$2=0,"",IFERROR(TRIM(INDEX('Pegar calibracion'!$A$1:$BZ$1001,640,G$2)&amp;""),""))</f>
        <v/>
      </c>
      <c r="H641">
        <f>IF(H$2=0,"",IFERROR(TRIM(INDEX('Pegar calibracion'!$A$1:$BZ$1001,640,H$2)&amp;""),""))</f>
        <v/>
      </c>
      <c r="I641">
        <f>IF(I$2=0,"",IFERROR(TRIM(INDEX('Pegar calibracion'!$A$1:$BZ$1001,640,I$2)&amp;""),""))</f>
        <v/>
      </c>
      <c r="J641">
        <f>IF(J$2=0,"",IFERROR(TRIM(INDEX('Pegar calibracion'!$A$1:$BZ$1001,640,J$2)&amp;""),""))</f>
        <v/>
      </c>
      <c r="K641">
        <f>IF(K$2=0,"",IFERROR(TRIM(INDEX('Pegar calibracion'!$A$1:$BZ$1001,640,K$2)&amp;""),""))</f>
        <v/>
      </c>
      <c r="L641">
        <f>IF(L$2=0,"",IFERROR(TRIM(INDEX('Pegar calibracion'!$A$1:$BZ$1001,640,L$2)&amp;""),""))</f>
        <v/>
      </c>
      <c r="M641" s="25">
        <f>IF(D641="","",SUBSTITUTE(SUBSTITUTE(SUBSTITUTE(SUBSTITUTE(SUBSTITUTE(SUBSTITUTE(SUBSTITUTE(SUBSTITUTE(SUBSTITUTE(SUBSTITUTE(SUBSTITUTE(SUBSTITUTE(LOWER(TRIM(D641)),"á","a"),"é","e"),"í","i"),"ó","o"),"ú","u"),"ü","u"),"ñ","n"),"à","a"),"è","e"),"ì","i"),"ò","o"),"ù","u"))</f>
        <v/>
      </c>
      <c r="N641" s="25">
        <f>IF(F641="","",SUBSTITUTE(SUBSTITUTE(SUBSTITUTE(SUBSTITUTE(SUBSTITUTE(SUBSTITUTE(SUBSTITUTE(SUBSTITUTE(SUBSTITUTE(SUBSTITUTE(SUBSTITUTE(SUBSTITUTE(LOWER(TRIM(F641)),"á","a"),"é","e"),"í","i"),"ó","o"),"ú","u"),"ü","u"),"ñ","n"),"à","a"),"è","e"),"ì","i"),"ò","o"),"ù","u"))</f>
        <v/>
      </c>
      <c r="O641" s="25">
        <f>IF(M641="confiable",2,IF(M641="dudosa",1,IF(M641="no confiable",0,"")))</f>
        <v/>
      </c>
      <c r="P641" s="25">
        <f>IF(N641="confiable",2,IF(N641="dudosa",1,IF(N641="no confiable",0,"")))</f>
        <v/>
      </c>
      <c r="Q641" s="25">
        <f>IF(AND(ISNUMBER(O641),ISNUMBER(P641)),1,"")</f>
        <v/>
      </c>
      <c r="R641" s="25">
        <f>IF(Q641=1,IF(O641=P641,"Sí","No"),"")</f>
        <v/>
      </c>
      <c r="S641" s="25">
        <f>IF(Q641=1,IF(P641&lt;O641,"Más estricto",IF(P641&gt;O641,"Más permisivo","Igual")),"")</f>
        <v/>
      </c>
      <c r="T641" s="25">
        <f>IF(Q641=1,IF(ABS(O641-P641)=2,1,0),"")</f>
        <v/>
      </c>
      <c r="U641" s="25">
        <f>IF(H641="","","|"&amp;SUBSTITUTE(SUBSTITUTE(TRIM(H641)," |","|"),"| ","|")&amp;"|")</f>
        <v/>
      </c>
      <c r="V641" s="25">
        <f>IF(AND(Q641=1,B641&lt;&gt;""),IF(IFERROR(COUNTIFS(B$3:B641,"="&amp;SUBSTITUTE(SUBSTITUTE(SUBSTITUTE(B641,"~","~~"),"*","~*"),"?","~?"),Q$3:Q641,1),0)=1,MAX(V$2:V640)+1,""),"")</f>
        <v/>
      </c>
      <c r="W641" s="25">
        <f>IF(V641="","",COUNTIFS($B$3:$B$1002,"="&amp;SUBSTITUTE(SUBSTITUTE(SUBSTITUTE(B641,"~","~~"),"*","~*"),"?","~?"),$Q$3:$Q$1002,1)*10000-V641)</f>
        <v/>
      </c>
      <c r="X641" s="25">
        <f>IF(Q641=1,IF(SUBSTITUTE(SUBSTITUTE(SUBSTITUTE(SUBSTITUTE(SUBSTITUTE(SUBSTITUTE(SUBSTITUTE(SUBSTITUTE(SUBSTITUTE(SUBSTITUTE(SUBSTITUTE(SUBSTITUTE(LOWER(TRIM(A641)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641)),"á","a"),"é","e"),"í","i"),"ó","o"),"ú","u"),"ü","u"),"ñ","n"),"à","a"),"è","e"),"ì","i"),"ò","o"),"ù","u")),"")</f>
        <v/>
      </c>
      <c r="Y641" s="25">
        <f>IF(X641="","",IF(IFERROR(COUNTIF(X$3:X641,"="&amp;SUBSTITUTE(SUBSTITUTE(SUBSTITUTE(X641,"~","~~"),"*","~*"),"?","~?")),0)=1,1,""))</f>
        <v/>
      </c>
      <c r="Z641" s="25">
        <f>IF(T641=1,MAX(Z$2:Z640)+1,"")</f>
        <v/>
      </c>
    </row>
    <row r="642">
      <c r="A642">
        <f>IF(A$2=0,"",IFERROR(TRIM(INDEX('Pegar calibracion'!$A$1:$BZ$1001,641,A$2)&amp;""),""))</f>
        <v/>
      </c>
      <c r="B642">
        <f>IF(B$2=0,"",IFERROR(TRIM(INDEX('Pegar calibracion'!$A$1:$BZ$1001,641,B$2)&amp;""),""))</f>
        <v/>
      </c>
      <c r="C642">
        <f>IF(C$2=0,"",IFERROR(TRIM(INDEX('Pegar calibracion'!$A$1:$BZ$1001,641,C$2)&amp;""),""))</f>
        <v/>
      </c>
      <c r="D642">
        <f>IF(D$2=0,"",IFERROR(TRIM(INDEX('Pegar calibracion'!$A$1:$BZ$1001,641,D$2)&amp;""),""))</f>
        <v/>
      </c>
      <c r="E642">
        <f>IF(E$2=0,"",IFERROR(TRIM(INDEX('Pegar calibracion'!$A$1:$BZ$1001,641,E$2)&amp;""),""))</f>
        <v/>
      </c>
      <c r="F642">
        <f>IF(F$2=0,"",IFERROR(TRIM(INDEX('Pegar calibracion'!$A$1:$BZ$1001,641,F$2)&amp;""),""))</f>
        <v/>
      </c>
      <c r="G642">
        <f>IF(G$2=0,"",IFERROR(TRIM(INDEX('Pegar calibracion'!$A$1:$BZ$1001,641,G$2)&amp;""),""))</f>
        <v/>
      </c>
      <c r="H642">
        <f>IF(H$2=0,"",IFERROR(TRIM(INDEX('Pegar calibracion'!$A$1:$BZ$1001,641,H$2)&amp;""),""))</f>
        <v/>
      </c>
      <c r="I642">
        <f>IF(I$2=0,"",IFERROR(TRIM(INDEX('Pegar calibracion'!$A$1:$BZ$1001,641,I$2)&amp;""),""))</f>
        <v/>
      </c>
      <c r="J642">
        <f>IF(J$2=0,"",IFERROR(TRIM(INDEX('Pegar calibracion'!$A$1:$BZ$1001,641,J$2)&amp;""),""))</f>
        <v/>
      </c>
      <c r="K642">
        <f>IF(K$2=0,"",IFERROR(TRIM(INDEX('Pegar calibracion'!$A$1:$BZ$1001,641,K$2)&amp;""),""))</f>
        <v/>
      </c>
      <c r="L642">
        <f>IF(L$2=0,"",IFERROR(TRIM(INDEX('Pegar calibracion'!$A$1:$BZ$1001,641,L$2)&amp;""),""))</f>
        <v/>
      </c>
      <c r="M642" s="25">
        <f>IF(D642="","",SUBSTITUTE(SUBSTITUTE(SUBSTITUTE(SUBSTITUTE(SUBSTITUTE(SUBSTITUTE(SUBSTITUTE(SUBSTITUTE(SUBSTITUTE(SUBSTITUTE(SUBSTITUTE(SUBSTITUTE(LOWER(TRIM(D642)),"á","a"),"é","e"),"í","i"),"ó","o"),"ú","u"),"ü","u"),"ñ","n"),"à","a"),"è","e"),"ì","i"),"ò","o"),"ù","u"))</f>
        <v/>
      </c>
      <c r="N642" s="25">
        <f>IF(F642="","",SUBSTITUTE(SUBSTITUTE(SUBSTITUTE(SUBSTITUTE(SUBSTITUTE(SUBSTITUTE(SUBSTITUTE(SUBSTITUTE(SUBSTITUTE(SUBSTITUTE(SUBSTITUTE(SUBSTITUTE(LOWER(TRIM(F642)),"á","a"),"é","e"),"í","i"),"ó","o"),"ú","u"),"ü","u"),"ñ","n"),"à","a"),"è","e"),"ì","i"),"ò","o"),"ù","u"))</f>
        <v/>
      </c>
      <c r="O642" s="25">
        <f>IF(M642="confiable",2,IF(M642="dudosa",1,IF(M642="no confiable",0,"")))</f>
        <v/>
      </c>
      <c r="P642" s="25">
        <f>IF(N642="confiable",2,IF(N642="dudosa",1,IF(N642="no confiable",0,"")))</f>
        <v/>
      </c>
      <c r="Q642" s="25">
        <f>IF(AND(ISNUMBER(O642),ISNUMBER(P642)),1,"")</f>
        <v/>
      </c>
      <c r="R642" s="25">
        <f>IF(Q642=1,IF(O642=P642,"Sí","No"),"")</f>
        <v/>
      </c>
      <c r="S642" s="25">
        <f>IF(Q642=1,IF(P642&lt;O642,"Más estricto",IF(P642&gt;O642,"Más permisivo","Igual")),"")</f>
        <v/>
      </c>
      <c r="T642" s="25">
        <f>IF(Q642=1,IF(ABS(O642-P642)=2,1,0),"")</f>
        <v/>
      </c>
      <c r="U642" s="25">
        <f>IF(H642="","","|"&amp;SUBSTITUTE(SUBSTITUTE(TRIM(H642)," |","|"),"| ","|")&amp;"|")</f>
        <v/>
      </c>
      <c r="V642" s="25">
        <f>IF(AND(Q642=1,B642&lt;&gt;""),IF(IFERROR(COUNTIFS(B$3:B642,"="&amp;SUBSTITUTE(SUBSTITUTE(SUBSTITUTE(B642,"~","~~"),"*","~*"),"?","~?"),Q$3:Q642,1),0)=1,MAX(V$2:V641)+1,""),"")</f>
        <v/>
      </c>
      <c r="W642" s="25">
        <f>IF(V642="","",COUNTIFS($B$3:$B$1002,"="&amp;SUBSTITUTE(SUBSTITUTE(SUBSTITUTE(B642,"~","~~"),"*","~*"),"?","~?"),$Q$3:$Q$1002,1)*10000-V642)</f>
        <v/>
      </c>
      <c r="X642" s="25">
        <f>IF(Q642=1,IF(SUBSTITUTE(SUBSTITUTE(SUBSTITUTE(SUBSTITUTE(SUBSTITUTE(SUBSTITUTE(SUBSTITUTE(SUBSTITUTE(SUBSTITUTE(SUBSTITUTE(SUBSTITUTE(SUBSTITUTE(LOWER(TRIM(A642)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642)),"á","a"),"é","e"),"í","i"),"ó","o"),"ú","u"),"ü","u"),"ñ","n"),"à","a"),"è","e"),"ì","i"),"ò","o"),"ù","u")),"")</f>
        <v/>
      </c>
      <c r="Y642" s="25">
        <f>IF(X642="","",IF(IFERROR(COUNTIF(X$3:X642,"="&amp;SUBSTITUTE(SUBSTITUTE(SUBSTITUTE(X642,"~","~~"),"*","~*"),"?","~?")),0)=1,1,""))</f>
        <v/>
      </c>
      <c r="Z642" s="25">
        <f>IF(T642=1,MAX(Z$2:Z641)+1,"")</f>
        <v/>
      </c>
    </row>
    <row r="643">
      <c r="A643">
        <f>IF(A$2=0,"",IFERROR(TRIM(INDEX('Pegar calibracion'!$A$1:$BZ$1001,642,A$2)&amp;""),""))</f>
        <v/>
      </c>
      <c r="B643">
        <f>IF(B$2=0,"",IFERROR(TRIM(INDEX('Pegar calibracion'!$A$1:$BZ$1001,642,B$2)&amp;""),""))</f>
        <v/>
      </c>
      <c r="C643">
        <f>IF(C$2=0,"",IFERROR(TRIM(INDEX('Pegar calibracion'!$A$1:$BZ$1001,642,C$2)&amp;""),""))</f>
        <v/>
      </c>
      <c r="D643">
        <f>IF(D$2=0,"",IFERROR(TRIM(INDEX('Pegar calibracion'!$A$1:$BZ$1001,642,D$2)&amp;""),""))</f>
        <v/>
      </c>
      <c r="E643">
        <f>IF(E$2=0,"",IFERROR(TRIM(INDEX('Pegar calibracion'!$A$1:$BZ$1001,642,E$2)&amp;""),""))</f>
        <v/>
      </c>
      <c r="F643">
        <f>IF(F$2=0,"",IFERROR(TRIM(INDEX('Pegar calibracion'!$A$1:$BZ$1001,642,F$2)&amp;""),""))</f>
        <v/>
      </c>
      <c r="G643">
        <f>IF(G$2=0,"",IFERROR(TRIM(INDEX('Pegar calibracion'!$A$1:$BZ$1001,642,G$2)&amp;""),""))</f>
        <v/>
      </c>
      <c r="H643">
        <f>IF(H$2=0,"",IFERROR(TRIM(INDEX('Pegar calibracion'!$A$1:$BZ$1001,642,H$2)&amp;""),""))</f>
        <v/>
      </c>
      <c r="I643">
        <f>IF(I$2=0,"",IFERROR(TRIM(INDEX('Pegar calibracion'!$A$1:$BZ$1001,642,I$2)&amp;""),""))</f>
        <v/>
      </c>
      <c r="J643">
        <f>IF(J$2=0,"",IFERROR(TRIM(INDEX('Pegar calibracion'!$A$1:$BZ$1001,642,J$2)&amp;""),""))</f>
        <v/>
      </c>
      <c r="K643">
        <f>IF(K$2=0,"",IFERROR(TRIM(INDEX('Pegar calibracion'!$A$1:$BZ$1001,642,K$2)&amp;""),""))</f>
        <v/>
      </c>
      <c r="L643">
        <f>IF(L$2=0,"",IFERROR(TRIM(INDEX('Pegar calibracion'!$A$1:$BZ$1001,642,L$2)&amp;""),""))</f>
        <v/>
      </c>
      <c r="M643" s="25">
        <f>IF(D643="","",SUBSTITUTE(SUBSTITUTE(SUBSTITUTE(SUBSTITUTE(SUBSTITUTE(SUBSTITUTE(SUBSTITUTE(SUBSTITUTE(SUBSTITUTE(SUBSTITUTE(SUBSTITUTE(SUBSTITUTE(LOWER(TRIM(D643)),"á","a"),"é","e"),"í","i"),"ó","o"),"ú","u"),"ü","u"),"ñ","n"),"à","a"),"è","e"),"ì","i"),"ò","o"),"ù","u"))</f>
        <v/>
      </c>
      <c r="N643" s="25">
        <f>IF(F643="","",SUBSTITUTE(SUBSTITUTE(SUBSTITUTE(SUBSTITUTE(SUBSTITUTE(SUBSTITUTE(SUBSTITUTE(SUBSTITUTE(SUBSTITUTE(SUBSTITUTE(SUBSTITUTE(SUBSTITUTE(LOWER(TRIM(F643)),"á","a"),"é","e"),"í","i"),"ó","o"),"ú","u"),"ü","u"),"ñ","n"),"à","a"),"è","e"),"ì","i"),"ò","o"),"ù","u"))</f>
        <v/>
      </c>
      <c r="O643" s="25">
        <f>IF(M643="confiable",2,IF(M643="dudosa",1,IF(M643="no confiable",0,"")))</f>
        <v/>
      </c>
      <c r="P643" s="25">
        <f>IF(N643="confiable",2,IF(N643="dudosa",1,IF(N643="no confiable",0,"")))</f>
        <v/>
      </c>
      <c r="Q643" s="25">
        <f>IF(AND(ISNUMBER(O643),ISNUMBER(P643)),1,"")</f>
        <v/>
      </c>
      <c r="R643" s="25">
        <f>IF(Q643=1,IF(O643=P643,"Sí","No"),"")</f>
        <v/>
      </c>
      <c r="S643" s="25">
        <f>IF(Q643=1,IF(P643&lt;O643,"Más estricto",IF(P643&gt;O643,"Más permisivo","Igual")),"")</f>
        <v/>
      </c>
      <c r="T643" s="25">
        <f>IF(Q643=1,IF(ABS(O643-P643)=2,1,0),"")</f>
        <v/>
      </c>
      <c r="U643" s="25">
        <f>IF(H643="","","|"&amp;SUBSTITUTE(SUBSTITUTE(TRIM(H643)," |","|"),"| ","|")&amp;"|")</f>
        <v/>
      </c>
      <c r="V643" s="25">
        <f>IF(AND(Q643=1,B643&lt;&gt;""),IF(IFERROR(COUNTIFS(B$3:B643,"="&amp;SUBSTITUTE(SUBSTITUTE(SUBSTITUTE(B643,"~","~~"),"*","~*"),"?","~?"),Q$3:Q643,1),0)=1,MAX(V$2:V642)+1,""),"")</f>
        <v/>
      </c>
      <c r="W643" s="25">
        <f>IF(V643="","",COUNTIFS($B$3:$B$1002,"="&amp;SUBSTITUTE(SUBSTITUTE(SUBSTITUTE(B643,"~","~~"),"*","~*"),"?","~?"),$Q$3:$Q$1002,1)*10000-V643)</f>
        <v/>
      </c>
      <c r="X643" s="25">
        <f>IF(Q643=1,IF(SUBSTITUTE(SUBSTITUTE(SUBSTITUTE(SUBSTITUTE(SUBSTITUTE(SUBSTITUTE(SUBSTITUTE(SUBSTITUTE(SUBSTITUTE(SUBSTITUTE(SUBSTITUTE(SUBSTITUTE(LOWER(TRIM(A643)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643)),"á","a"),"é","e"),"í","i"),"ó","o"),"ú","u"),"ü","u"),"ñ","n"),"à","a"),"è","e"),"ì","i"),"ò","o"),"ù","u")),"")</f>
        <v/>
      </c>
      <c r="Y643" s="25">
        <f>IF(X643="","",IF(IFERROR(COUNTIF(X$3:X643,"="&amp;SUBSTITUTE(SUBSTITUTE(SUBSTITUTE(X643,"~","~~"),"*","~*"),"?","~?")),0)=1,1,""))</f>
        <v/>
      </c>
      <c r="Z643" s="25">
        <f>IF(T643=1,MAX(Z$2:Z642)+1,"")</f>
        <v/>
      </c>
    </row>
    <row r="644">
      <c r="A644">
        <f>IF(A$2=0,"",IFERROR(TRIM(INDEX('Pegar calibracion'!$A$1:$BZ$1001,643,A$2)&amp;""),""))</f>
        <v/>
      </c>
      <c r="B644">
        <f>IF(B$2=0,"",IFERROR(TRIM(INDEX('Pegar calibracion'!$A$1:$BZ$1001,643,B$2)&amp;""),""))</f>
        <v/>
      </c>
      <c r="C644">
        <f>IF(C$2=0,"",IFERROR(TRIM(INDEX('Pegar calibracion'!$A$1:$BZ$1001,643,C$2)&amp;""),""))</f>
        <v/>
      </c>
      <c r="D644">
        <f>IF(D$2=0,"",IFERROR(TRIM(INDEX('Pegar calibracion'!$A$1:$BZ$1001,643,D$2)&amp;""),""))</f>
        <v/>
      </c>
      <c r="E644">
        <f>IF(E$2=0,"",IFERROR(TRIM(INDEX('Pegar calibracion'!$A$1:$BZ$1001,643,E$2)&amp;""),""))</f>
        <v/>
      </c>
      <c r="F644">
        <f>IF(F$2=0,"",IFERROR(TRIM(INDEX('Pegar calibracion'!$A$1:$BZ$1001,643,F$2)&amp;""),""))</f>
        <v/>
      </c>
      <c r="G644">
        <f>IF(G$2=0,"",IFERROR(TRIM(INDEX('Pegar calibracion'!$A$1:$BZ$1001,643,G$2)&amp;""),""))</f>
        <v/>
      </c>
      <c r="H644">
        <f>IF(H$2=0,"",IFERROR(TRIM(INDEX('Pegar calibracion'!$A$1:$BZ$1001,643,H$2)&amp;""),""))</f>
        <v/>
      </c>
      <c r="I644">
        <f>IF(I$2=0,"",IFERROR(TRIM(INDEX('Pegar calibracion'!$A$1:$BZ$1001,643,I$2)&amp;""),""))</f>
        <v/>
      </c>
      <c r="J644">
        <f>IF(J$2=0,"",IFERROR(TRIM(INDEX('Pegar calibracion'!$A$1:$BZ$1001,643,J$2)&amp;""),""))</f>
        <v/>
      </c>
      <c r="K644">
        <f>IF(K$2=0,"",IFERROR(TRIM(INDEX('Pegar calibracion'!$A$1:$BZ$1001,643,K$2)&amp;""),""))</f>
        <v/>
      </c>
      <c r="L644">
        <f>IF(L$2=0,"",IFERROR(TRIM(INDEX('Pegar calibracion'!$A$1:$BZ$1001,643,L$2)&amp;""),""))</f>
        <v/>
      </c>
      <c r="M644" s="25">
        <f>IF(D644="","",SUBSTITUTE(SUBSTITUTE(SUBSTITUTE(SUBSTITUTE(SUBSTITUTE(SUBSTITUTE(SUBSTITUTE(SUBSTITUTE(SUBSTITUTE(SUBSTITUTE(SUBSTITUTE(SUBSTITUTE(LOWER(TRIM(D644)),"á","a"),"é","e"),"í","i"),"ó","o"),"ú","u"),"ü","u"),"ñ","n"),"à","a"),"è","e"),"ì","i"),"ò","o"),"ù","u"))</f>
        <v/>
      </c>
      <c r="N644" s="25">
        <f>IF(F644="","",SUBSTITUTE(SUBSTITUTE(SUBSTITUTE(SUBSTITUTE(SUBSTITUTE(SUBSTITUTE(SUBSTITUTE(SUBSTITUTE(SUBSTITUTE(SUBSTITUTE(SUBSTITUTE(SUBSTITUTE(LOWER(TRIM(F644)),"á","a"),"é","e"),"í","i"),"ó","o"),"ú","u"),"ü","u"),"ñ","n"),"à","a"),"è","e"),"ì","i"),"ò","o"),"ù","u"))</f>
        <v/>
      </c>
      <c r="O644" s="25">
        <f>IF(M644="confiable",2,IF(M644="dudosa",1,IF(M644="no confiable",0,"")))</f>
        <v/>
      </c>
      <c r="P644" s="25">
        <f>IF(N644="confiable",2,IF(N644="dudosa",1,IF(N644="no confiable",0,"")))</f>
        <v/>
      </c>
      <c r="Q644" s="25">
        <f>IF(AND(ISNUMBER(O644),ISNUMBER(P644)),1,"")</f>
        <v/>
      </c>
      <c r="R644" s="25">
        <f>IF(Q644=1,IF(O644=P644,"Sí","No"),"")</f>
        <v/>
      </c>
      <c r="S644" s="25">
        <f>IF(Q644=1,IF(P644&lt;O644,"Más estricto",IF(P644&gt;O644,"Más permisivo","Igual")),"")</f>
        <v/>
      </c>
      <c r="T644" s="25">
        <f>IF(Q644=1,IF(ABS(O644-P644)=2,1,0),"")</f>
        <v/>
      </c>
      <c r="U644" s="25">
        <f>IF(H644="","","|"&amp;SUBSTITUTE(SUBSTITUTE(TRIM(H644)," |","|"),"| ","|")&amp;"|")</f>
        <v/>
      </c>
      <c r="V644" s="25">
        <f>IF(AND(Q644=1,B644&lt;&gt;""),IF(IFERROR(COUNTIFS(B$3:B644,"="&amp;SUBSTITUTE(SUBSTITUTE(SUBSTITUTE(B644,"~","~~"),"*","~*"),"?","~?"),Q$3:Q644,1),0)=1,MAX(V$2:V643)+1,""),"")</f>
        <v/>
      </c>
      <c r="W644" s="25">
        <f>IF(V644="","",COUNTIFS($B$3:$B$1002,"="&amp;SUBSTITUTE(SUBSTITUTE(SUBSTITUTE(B644,"~","~~"),"*","~*"),"?","~?"),$Q$3:$Q$1002,1)*10000-V644)</f>
        <v/>
      </c>
      <c r="X644" s="25">
        <f>IF(Q644=1,IF(SUBSTITUTE(SUBSTITUTE(SUBSTITUTE(SUBSTITUTE(SUBSTITUTE(SUBSTITUTE(SUBSTITUTE(SUBSTITUTE(SUBSTITUTE(SUBSTITUTE(SUBSTITUTE(SUBSTITUTE(LOWER(TRIM(A644)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644)),"á","a"),"é","e"),"í","i"),"ó","o"),"ú","u"),"ü","u"),"ñ","n"),"à","a"),"è","e"),"ì","i"),"ò","o"),"ù","u")),"")</f>
        <v/>
      </c>
      <c r="Y644" s="25">
        <f>IF(X644="","",IF(IFERROR(COUNTIF(X$3:X644,"="&amp;SUBSTITUTE(SUBSTITUTE(SUBSTITUTE(X644,"~","~~"),"*","~*"),"?","~?")),0)=1,1,""))</f>
        <v/>
      </c>
      <c r="Z644" s="25">
        <f>IF(T644=1,MAX(Z$2:Z643)+1,"")</f>
        <v/>
      </c>
    </row>
    <row r="645">
      <c r="A645">
        <f>IF(A$2=0,"",IFERROR(TRIM(INDEX('Pegar calibracion'!$A$1:$BZ$1001,644,A$2)&amp;""),""))</f>
        <v/>
      </c>
      <c r="B645">
        <f>IF(B$2=0,"",IFERROR(TRIM(INDEX('Pegar calibracion'!$A$1:$BZ$1001,644,B$2)&amp;""),""))</f>
        <v/>
      </c>
      <c r="C645">
        <f>IF(C$2=0,"",IFERROR(TRIM(INDEX('Pegar calibracion'!$A$1:$BZ$1001,644,C$2)&amp;""),""))</f>
        <v/>
      </c>
      <c r="D645">
        <f>IF(D$2=0,"",IFERROR(TRIM(INDEX('Pegar calibracion'!$A$1:$BZ$1001,644,D$2)&amp;""),""))</f>
        <v/>
      </c>
      <c r="E645">
        <f>IF(E$2=0,"",IFERROR(TRIM(INDEX('Pegar calibracion'!$A$1:$BZ$1001,644,E$2)&amp;""),""))</f>
        <v/>
      </c>
      <c r="F645">
        <f>IF(F$2=0,"",IFERROR(TRIM(INDEX('Pegar calibracion'!$A$1:$BZ$1001,644,F$2)&amp;""),""))</f>
        <v/>
      </c>
      <c r="G645">
        <f>IF(G$2=0,"",IFERROR(TRIM(INDEX('Pegar calibracion'!$A$1:$BZ$1001,644,G$2)&amp;""),""))</f>
        <v/>
      </c>
      <c r="H645">
        <f>IF(H$2=0,"",IFERROR(TRIM(INDEX('Pegar calibracion'!$A$1:$BZ$1001,644,H$2)&amp;""),""))</f>
        <v/>
      </c>
      <c r="I645">
        <f>IF(I$2=0,"",IFERROR(TRIM(INDEX('Pegar calibracion'!$A$1:$BZ$1001,644,I$2)&amp;""),""))</f>
        <v/>
      </c>
      <c r="J645">
        <f>IF(J$2=0,"",IFERROR(TRIM(INDEX('Pegar calibracion'!$A$1:$BZ$1001,644,J$2)&amp;""),""))</f>
        <v/>
      </c>
      <c r="K645">
        <f>IF(K$2=0,"",IFERROR(TRIM(INDEX('Pegar calibracion'!$A$1:$BZ$1001,644,K$2)&amp;""),""))</f>
        <v/>
      </c>
      <c r="L645">
        <f>IF(L$2=0,"",IFERROR(TRIM(INDEX('Pegar calibracion'!$A$1:$BZ$1001,644,L$2)&amp;""),""))</f>
        <v/>
      </c>
      <c r="M645" s="25">
        <f>IF(D645="","",SUBSTITUTE(SUBSTITUTE(SUBSTITUTE(SUBSTITUTE(SUBSTITUTE(SUBSTITUTE(SUBSTITUTE(SUBSTITUTE(SUBSTITUTE(SUBSTITUTE(SUBSTITUTE(SUBSTITUTE(LOWER(TRIM(D645)),"á","a"),"é","e"),"í","i"),"ó","o"),"ú","u"),"ü","u"),"ñ","n"),"à","a"),"è","e"),"ì","i"),"ò","o"),"ù","u"))</f>
        <v/>
      </c>
      <c r="N645" s="25">
        <f>IF(F645="","",SUBSTITUTE(SUBSTITUTE(SUBSTITUTE(SUBSTITUTE(SUBSTITUTE(SUBSTITUTE(SUBSTITUTE(SUBSTITUTE(SUBSTITUTE(SUBSTITUTE(SUBSTITUTE(SUBSTITUTE(LOWER(TRIM(F645)),"á","a"),"é","e"),"í","i"),"ó","o"),"ú","u"),"ü","u"),"ñ","n"),"à","a"),"è","e"),"ì","i"),"ò","o"),"ù","u"))</f>
        <v/>
      </c>
      <c r="O645" s="25">
        <f>IF(M645="confiable",2,IF(M645="dudosa",1,IF(M645="no confiable",0,"")))</f>
        <v/>
      </c>
      <c r="P645" s="25">
        <f>IF(N645="confiable",2,IF(N645="dudosa",1,IF(N645="no confiable",0,"")))</f>
        <v/>
      </c>
      <c r="Q645" s="25">
        <f>IF(AND(ISNUMBER(O645),ISNUMBER(P645)),1,"")</f>
        <v/>
      </c>
      <c r="R645" s="25">
        <f>IF(Q645=1,IF(O645=P645,"Sí","No"),"")</f>
        <v/>
      </c>
      <c r="S645" s="25">
        <f>IF(Q645=1,IF(P645&lt;O645,"Más estricto",IF(P645&gt;O645,"Más permisivo","Igual")),"")</f>
        <v/>
      </c>
      <c r="T645" s="25">
        <f>IF(Q645=1,IF(ABS(O645-P645)=2,1,0),"")</f>
        <v/>
      </c>
      <c r="U645" s="25">
        <f>IF(H645="","","|"&amp;SUBSTITUTE(SUBSTITUTE(TRIM(H645)," |","|"),"| ","|")&amp;"|")</f>
        <v/>
      </c>
      <c r="V645" s="25">
        <f>IF(AND(Q645=1,B645&lt;&gt;""),IF(IFERROR(COUNTIFS(B$3:B645,"="&amp;SUBSTITUTE(SUBSTITUTE(SUBSTITUTE(B645,"~","~~"),"*","~*"),"?","~?"),Q$3:Q645,1),0)=1,MAX(V$2:V644)+1,""),"")</f>
        <v/>
      </c>
      <c r="W645" s="25">
        <f>IF(V645="","",COUNTIFS($B$3:$B$1002,"="&amp;SUBSTITUTE(SUBSTITUTE(SUBSTITUTE(B645,"~","~~"),"*","~*"),"?","~?"),$Q$3:$Q$1002,1)*10000-V645)</f>
        <v/>
      </c>
      <c r="X645" s="25">
        <f>IF(Q645=1,IF(SUBSTITUTE(SUBSTITUTE(SUBSTITUTE(SUBSTITUTE(SUBSTITUTE(SUBSTITUTE(SUBSTITUTE(SUBSTITUTE(SUBSTITUTE(SUBSTITUTE(SUBSTITUTE(SUBSTITUTE(LOWER(TRIM(A645)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645)),"á","a"),"é","e"),"í","i"),"ó","o"),"ú","u"),"ü","u"),"ñ","n"),"à","a"),"è","e"),"ì","i"),"ò","o"),"ù","u")),"")</f>
        <v/>
      </c>
      <c r="Y645" s="25">
        <f>IF(X645="","",IF(IFERROR(COUNTIF(X$3:X645,"="&amp;SUBSTITUTE(SUBSTITUTE(SUBSTITUTE(X645,"~","~~"),"*","~*"),"?","~?")),0)=1,1,""))</f>
        <v/>
      </c>
      <c r="Z645" s="25">
        <f>IF(T645=1,MAX(Z$2:Z644)+1,"")</f>
        <v/>
      </c>
    </row>
    <row r="646">
      <c r="A646">
        <f>IF(A$2=0,"",IFERROR(TRIM(INDEX('Pegar calibracion'!$A$1:$BZ$1001,645,A$2)&amp;""),""))</f>
        <v/>
      </c>
      <c r="B646">
        <f>IF(B$2=0,"",IFERROR(TRIM(INDEX('Pegar calibracion'!$A$1:$BZ$1001,645,B$2)&amp;""),""))</f>
        <v/>
      </c>
      <c r="C646">
        <f>IF(C$2=0,"",IFERROR(TRIM(INDEX('Pegar calibracion'!$A$1:$BZ$1001,645,C$2)&amp;""),""))</f>
        <v/>
      </c>
      <c r="D646">
        <f>IF(D$2=0,"",IFERROR(TRIM(INDEX('Pegar calibracion'!$A$1:$BZ$1001,645,D$2)&amp;""),""))</f>
        <v/>
      </c>
      <c r="E646">
        <f>IF(E$2=0,"",IFERROR(TRIM(INDEX('Pegar calibracion'!$A$1:$BZ$1001,645,E$2)&amp;""),""))</f>
        <v/>
      </c>
      <c r="F646">
        <f>IF(F$2=0,"",IFERROR(TRIM(INDEX('Pegar calibracion'!$A$1:$BZ$1001,645,F$2)&amp;""),""))</f>
        <v/>
      </c>
      <c r="G646">
        <f>IF(G$2=0,"",IFERROR(TRIM(INDEX('Pegar calibracion'!$A$1:$BZ$1001,645,G$2)&amp;""),""))</f>
        <v/>
      </c>
      <c r="H646">
        <f>IF(H$2=0,"",IFERROR(TRIM(INDEX('Pegar calibracion'!$A$1:$BZ$1001,645,H$2)&amp;""),""))</f>
        <v/>
      </c>
      <c r="I646">
        <f>IF(I$2=0,"",IFERROR(TRIM(INDEX('Pegar calibracion'!$A$1:$BZ$1001,645,I$2)&amp;""),""))</f>
        <v/>
      </c>
      <c r="J646">
        <f>IF(J$2=0,"",IFERROR(TRIM(INDEX('Pegar calibracion'!$A$1:$BZ$1001,645,J$2)&amp;""),""))</f>
        <v/>
      </c>
      <c r="K646">
        <f>IF(K$2=0,"",IFERROR(TRIM(INDEX('Pegar calibracion'!$A$1:$BZ$1001,645,K$2)&amp;""),""))</f>
        <v/>
      </c>
      <c r="L646">
        <f>IF(L$2=0,"",IFERROR(TRIM(INDEX('Pegar calibracion'!$A$1:$BZ$1001,645,L$2)&amp;""),""))</f>
        <v/>
      </c>
      <c r="M646" s="25">
        <f>IF(D646="","",SUBSTITUTE(SUBSTITUTE(SUBSTITUTE(SUBSTITUTE(SUBSTITUTE(SUBSTITUTE(SUBSTITUTE(SUBSTITUTE(SUBSTITUTE(SUBSTITUTE(SUBSTITUTE(SUBSTITUTE(LOWER(TRIM(D646)),"á","a"),"é","e"),"í","i"),"ó","o"),"ú","u"),"ü","u"),"ñ","n"),"à","a"),"è","e"),"ì","i"),"ò","o"),"ù","u"))</f>
        <v/>
      </c>
      <c r="N646" s="25">
        <f>IF(F646="","",SUBSTITUTE(SUBSTITUTE(SUBSTITUTE(SUBSTITUTE(SUBSTITUTE(SUBSTITUTE(SUBSTITUTE(SUBSTITUTE(SUBSTITUTE(SUBSTITUTE(SUBSTITUTE(SUBSTITUTE(LOWER(TRIM(F646)),"á","a"),"é","e"),"í","i"),"ó","o"),"ú","u"),"ü","u"),"ñ","n"),"à","a"),"è","e"),"ì","i"),"ò","o"),"ù","u"))</f>
        <v/>
      </c>
      <c r="O646" s="25">
        <f>IF(M646="confiable",2,IF(M646="dudosa",1,IF(M646="no confiable",0,"")))</f>
        <v/>
      </c>
      <c r="P646" s="25">
        <f>IF(N646="confiable",2,IF(N646="dudosa",1,IF(N646="no confiable",0,"")))</f>
        <v/>
      </c>
      <c r="Q646" s="25">
        <f>IF(AND(ISNUMBER(O646),ISNUMBER(P646)),1,"")</f>
        <v/>
      </c>
      <c r="R646" s="25">
        <f>IF(Q646=1,IF(O646=P646,"Sí","No"),"")</f>
        <v/>
      </c>
      <c r="S646" s="25">
        <f>IF(Q646=1,IF(P646&lt;O646,"Más estricto",IF(P646&gt;O646,"Más permisivo","Igual")),"")</f>
        <v/>
      </c>
      <c r="T646" s="25">
        <f>IF(Q646=1,IF(ABS(O646-P646)=2,1,0),"")</f>
        <v/>
      </c>
      <c r="U646" s="25">
        <f>IF(H646="","","|"&amp;SUBSTITUTE(SUBSTITUTE(TRIM(H646)," |","|"),"| ","|")&amp;"|")</f>
        <v/>
      </c>
      <c r="V646" s="25">
        <f>IF(AND(Q646=1,B646&lt;&gt;""),IF(IFERROR(COUNTIFS(B$3:B646,"="&amp;SUBSTITUTE(SUBSTITUTE(SUBSTITUTE(B646,"~","~~"),"*","~*"),"?","~?"),Q$3:Q646,1),0)=1,MAX(V$2:V645)+1,""),"")</f>
        <v/>
      </c>
      <c r="W646" s="25">
        <f>IF(V646="","",COUNTIFS($B$3:$B$1002,"="&amp;SUBSTITUTE(SUBSTITUTE(SUBSTITUTE(B646,"~","~~"),"*","~*"),"?","~?"),$Q$3:$Q$1002,1)*10000-V646)</f>
        <v/>
      </c>
      <c r="X646" s="25">
        <f>IF(Q646=1,IF(SUBSTITUTE(SUBSTITUTE(SUBSTITUTE(SUBSTITUTE(SUBSTITUTE(SUBSTITUTE(SUBSTITUTE(SUBSTITUTE(SUBSTITUTE(SUBSTITUTE(SUBSTITUTE(SUBSTITUTE(LOWER(TRIM(A646)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646)),"á","a"),"é","e"),"í","i"),"ó","o"),"ú","u"),"ü","u"),"ñ","n"),"à","a"),"è","e"),"ì","i"),"ò","o"),"ù","u")),"")</f>
        <v/>
      </c>
      <c r="Y646" s="25">
        <f>IF(X646="","",IF(IFERROR(COUNTIF(X$3:X646,"="&amp;SUBSTITUTE(SUBSTITUTE(SUBSTITUTE(X646,"~","~~"),"*","~*"),"?","~?")),0)=1,1,""))</f>
        <v/>
      </c>
      <c r="Z646" s="25">
        <f>IF(T646=1,MAX(Z$2:Z645)+1,"")</f>
        <v/>
      </c>
    </row>
    <row r="647">
      <c r="A647">
        <f>IF(A$2=0,"",IFERROR(TRIM(INDEX('Pegar calibracion'!$A$1:$BZ$1001,646,A$2)&amp;""),""))</f>
        <v/>
      </c>
      <c r="B647">
        <f>IF(B$2=0,"",IFERROR(TRIM(INDEX('Pegar calibracion'!$A$1:$BZ$1001,646,B$2)&amp;""),""))</f>
        <v/>
      </c>
      <c r="C647">
        <f>IF(C$2=0,"",IFERROR(TRIM(INDEX('Pegar calibracion'!$A$1:$BZ$1001,646,C$2)&amp;""),""))</f>
        <v/>
      </c>
      <c r="D647">
        <f>IF(D$2=0,"",IFERROR(TRIM(INDEX('Pegar calibracion'!$A$1:$BZ$1001,646,D$2)&amp;""),""))</f>
        <v/>
      </c>
      <c r="E647">
        <f>IF(E$2=0,"",IFERROR(TRIM(INDEX('Pegar calibracion'!$A$1:$BZ$1001,646,E$2)&amp;""),""))</f>
        <v/>
      </c>
      <c r="F647">
        <f>IF(F$2=0,"",IFERROR(TRIM(INDEX('Pegar calibracion'!$A$1:$BZ$1001,646,F$2)&amp;""),""))</f>
        <v/>
      </c>
      <c r="G647">
        <f>IF(G$2=0,"",IFERROR(TRIM(INDEX('Pegar calibracion'!$A$1:$BZ$1001,646,G$2)&amp;""),""))</f>
        <v/>
      </c>
      <c r="H647">
        <f>IF(H$2=0,"",IFERROR(TRIM(INDEX('Pegar calibracion'!$A$1:$BZ$1001,646,H$2)&amp;""),""))</f>
        <v/>
      </c>
      <c r="I647">
        <f>IF(I$2=0,"",IFERROR(TRIM(INDEX('Pegar calibracion'!$A$1:$BZ$1001,646,I$2)&amp;""),""))</f>
        <v/>
      </c>
      <c r="J647">
        <f>IF(J$2=0,"",IFERROR(TRIM(INDEX('Pegar calibracion'!$A$1:$BZ$1001,646,J$2)&amp;""),""))</f>
        <v/>
      </c>
      <c r="K647">
        <f>IF(K$2=0,"",IFERROR(TRIM(INDEX('Pegar calibracion'!$A$1:$BZ$1001,646,K$2)&amp;""),""))</f>
        <v/>
      </c>
      <c r="L647">
        <f>IF(L$2=0,"",IFERROR(TRIM(INDEX('Pegar calibracion'!$A$1:$BZ$1001,646,L$2)&amp;""),""))</f>
        <v/>
      </c>
      <c r="M647" s="25">
        <f>IF(D647="","",SUBSTITUTE(SUBSTITUTE(SUBSTITUTE(SUBSTITUTE(SUBSTITUTE(SUBSTITUTE(SUBSTITUTE(SUBSTITUTE(SUBSTITUTE(SUBSTITUTE(SUBSTITUTE(SUBSTITUTE(LOWER(TRIM(D647)),"á","a"),"é","e"),"í","i"),"ó","o"),"ú","u"),"ü","u"),"ñ","n"),"à","a"),"è","e"),"ì","i"),"ò","o"),"ù","u"))</f>
        <v/>
      </c>
      <c r="N647" s="25">
        <f>IF(F647="","",SUBSTITUTE(SUBSTITUTE(SUBSTITUTE(SUBSTITUTE(SUBSTITUTE(SUBSTITUTE(SUBSTITUTE(SUBSTITUTE(SUBSTITUTE(SUBSTITUTE(SUBSTITUTE(SUBSTITUTE(LOWER(TRIM(F647)),"á","a"),"é","e"),"í","i"),"ó","o"),"ú","u"),"ü","u"),"ñ","n"),"à","a"),"è","e"),"ì","i"),"ò","o"),"ù","u"))</f>
        <v/>
      </c>
      <c r="O647" s="25">
        <f>IF(M647="confiable",2,IF(M647="dudosa",1,IF(M647="no confiable",0,"")))</f>
        <v/>
      </c>
      <c r="P647" s="25">
        <f>IF(N647="confiable",2,IF(N647="dudosa",1,IF(N647="no confiable",0,"")))</f>
        <v/>
      </c>
      <c r="Q647" s="25">
        <f>IF(AND(ISNUMBER(O647),ISNUMBER(P647)),1,"")</f>
        <v/>
      </c>
      <c r="R647" s="25">
        <f>IF(Q647=1,IF(O647=P647,"Sí","No"),"")</f>
        <v/>
      </c>
      <c r="S647" s="25">
        <f>IF(Q647=1,IF(P647&lt;O647,"Más estricto",IF(P647&gt;O647,"Más permisivo","Igual")),"")</f>
        <v/>
      </c>
      <c r="T647" s="25">
        <f>IF(Q647=1,IF(ABS(O647-P647)=2,1,0),"")</f>
        <v/>
      </c>
      <c r="U647" s="25">
        <f>IF(H647="","","|"&amp;SUBSTITUTE(SUBSTITUTE(TRIM(H647)," |","|"),"| ","|")&amp;"|")</f>
        <v/>
      </c>
      <c r="V647" s="25">
        <f>IF(AND(Q647=1,B647&lt;&gt;""),IF(IFERROR(COUNTIFS(B$3:B647,"="&amp;SUBSTITUTE(SUBSTITUTE(SUBSTITUTE(B647,"~","~~"),"*","~*"),"?","~?"),Q$3:Q647,1),0)=1,MAX(V$2:V646)+1,""),"")</f>
        <v/>
      </c>
      <c r="W647" s="25">
        <f>IF(V647="","",COUNTIFS($B$3:$B$1002,"="&amp;SUBSTITUTE(SUBSTITUTE(SUBSTITUTE(B647,"~","~~"),"*","~*"),"?","~?"),$Q$3:$Q$1002,1)*10000-V647)</f>
        <v/>
      </c>
      <c r="X647" s="25">
        <f>IF(Q647=1,IF(SUBSTITUTE(SUBSTITUTE(SUBSTITUTE(SUBSTITUTE(SUBSTITUTE(SUBSTITUTE(SUBSTITUTE(SUBSTITUTE(SUBSTITUTE(SUBSTITUTE(SUBSTITUTE(SUBSTITUTE(LOWER(TRIM(A647)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647)),"á","a"),"é","e"),"í","i"),"ó","o"),"ú","u"),"ü","u"),"ñ","n"),"à","a"),"è","e"),"ì","i"),"ò","o"),"ù","u")),"")</f>
        <v/>
      </c>
      <c r="Y647" s="25">
        <f>IF(X647="","",IF(IFERROR(COUNTIF(X$3:X647,"="&amp;SUBSTITUTE(SUBSTITUTE(SUBSTITUTE(X647,"~","~~"),"*","~*"),"?","~?")),0)=1,1,""))</f>
        <v/>
      </c>
      <c r="Z647" s="25">
        <f>IF(T647=1,MAX(Z$2:Z646)+1,"")</f>
        <v/>
      </c>
    </row>
    <row r="648">
      <c r="A648">
        <f>IF(A$2=0,"",IFERROR(TRIM(INDEX('Pegar calibracion'!$A$1:$BZ$1001,647,A$2)&amp;""),""))</f>
        <v/>
      </c>
      <c r="B648">
        <f>IF(B$2=0,"",IFERROR(TRIM(INDEX('Pegar calibracion'!$A$1:$BZ$1001,647,B$2)&amp;""),""))</f>
        <v/>
      </c>
      <c r="C648">
        <f>IF(C$2=0,"",IFERROR(TRIM(INDEX('Pegar calibracion'!$A$1:$BZ$1001,647,C$2)&amp;""),""))</f>
        <v/>
      </c>
      <c r="D648">
        <f>IF(D$2=0,"",IFERROR(TRIM(INDEX('Pegar calibracion'!$A$1:$BZ$1001,647,D$2)&amp;""),""))</f>
        <v/>
      </c>
      <c r="E648">
        <f>IF(E$2=0,"",IFERROR(TRIM(INDEX('Pegar calibracion'!$A$1:$BZ$1001,647,E$2)&amp;""),""))</f>
        <v/>
      </c>
      <c r="F648">
        <f>IF(F$2=0,"",IFERROR(TRIM(INDEX('Pegar calibracion'!$A$1:$BZ$1001,647,F$2)&amp;""),""))</f>
        <v/>
      </c>
      <c r="G648">
        <f>IF(G$2=0,"",IFERROR(TRIM(INDEX('Pegar calibracion'!$A$1:$BZ$1001,647,G$2)&amp;""),""))</f>
        <v/>
      </c>
      <c r="H648">
        <f>IF(H$2=0,"",IFERROR(TRIM(INDEX('Pegar calibracion'!$A$1:$BZ$1001,647,H$2)&amp;""),""))</f>
        <v/>
      </c>
      <c r="I648">
        <f>IF(I$2=0,"",IFERROR(TRIM(INDEX('Pegar calibracion'!$A$1:$BZ$1001,647,I$2)&amp;""),""))</f>
        <v/>
      </c>
      <c r="J648">
        <f>IF(J$2=0,"",IFERROR(TRIM(INDEX('Pegar calibracion'!$A$1:$BZ$1001,647,J$2)&amp;""),""))</f>
        <v/>
      </c>
      <c r="K648">
        <f>IF(K$2=0,"",IFERROR(TRIM(INDEX('Pegar calibracion'!$A$1:$BZ$1001,647,K$2)&amp;""),""))</f>
        <v/>
      </c>
      <c r="L648">
        <f>IF(L$2=0,"",IFERROR(TRIM(INDEX('Pegar calibracion'!$A$1:$BZ$1001,647,L$2)&amp;""),""))</f>
        <v/>
      </c>
      <c r="M648" s="25">
        <f>IF(D648="","",SUBSTITUTE(SUBSTITUTE(SUBSTITUTE(SUBSTITUTE(SUBSTITUTE(SUBSTITUTE(SUBSTITUTE(SUBSTITUTE(SUBSTITUTE(SUBSTITUTE(SUBSTITUTE(SUBSTITUTE(LOWER(TRIM(D648)),"á","a"),"é","e"),"í","i"),"ó","o"),"ú","u"),"ü","u"),"ñ","n"),"à","a"),"è","e"),"ì","i"),"ò","o"),"ù","u"))</f>
        <v/>
      </c>
      <c r="N648" s="25">
        <f>IF(F648="","",SUBSTITUTE(SUBSTITUTE(SUBSTITUTE(SUBSTITUTE(SUBSTITUTE(SUBSTITUTE(SUBSTITUTE(SUBSTITUTE(SUBSTITUTE(SUBSTITUTE(SUBSTITUTE(SUBSTITUTE(LOWER(TRIM(F648)),"á","a"),"é","e"),"í","i"),"ó","o"),"ú","u"),"ü","u"),"ñ","n"),"à","a"),"è","e"),"ì","i"),"ò","o"),"ù","u"))</f>
        <v/>
      </c>
      <c r="O648" s="25">
        <f>IF(M648="confiable",2,IF(M648="dudosa",1,IF(M648="no confiable",0,"")))</f>
        <v/>
      </c>
      <c r="P648" s="25">
        <f>IF(N648="confiable",2,IF(N648="dudosa",1,IF(N648="no confiable",0,"")))</f>
        <v/>
      </c>
      <c r="Q648" s="25">
        <f>IF(AND(ISNUMBER(O648),ISNUMBER(P648)),1,"")</f>
        <v/>
      </c>
      <c r="R648" s="25">
        <f>IF(Q648=1,IF(O648=P648,"Sí","No"),"")</f>
        <v/>
      </c>
      <c r="S648" s="25">
        <f>IF(Q648=1,IF(P648&lt;O648,"Más estricto",IF(P648&gt;O648,"Más permisivo","Igual")),"")</f>
        <v/>
      </c>
      <c r="T648" s="25">
        <f>IF(Q648=1,IF(ABS(O648-P648)=2,1,0),"")</f>
        <v/>
      </c>
      <c r="U648" s="25">
        <f>IF(H648="","","|"&amp;SUBSTITUTE(SUBSTITUTE(TRIM(H648)," |","|"),"| ","|")&amp;"|")</f>
        <v/>
      </c>
      <c r="V648" s="25">
        <f>IF(AND(Q648=1,B648&lt;&gt;""),IF(IFERROR(COUNTIFS(B$3:B648,"="&amp;SUBSTITUTE(SUBSTITUTE(SUBSTITUTE(B648,"~","~~"),"*","~*"),"?","~?"),Q$3:Q648,1),0)=1,MAX(V$2:V647)+1,""),"")</f>
        <v/>
      </c>
      <c r="W648" s="25">
        <f>IF(V648="","",COUNTIFS($B$3:$B$1002,"="&amp;SUBSTITUTE(SUBSTITUTE(SUBSTITUTE(B648,"~","~~"),"*","~*"),"?","~?"),$Q$3:$Q$1002,1)*10000-V648)</f>
        <v/>
      </c>
      <c r="X648" s="25">
        <f>IF(Q648=1,IF(SUBSTITUTE(SUBSTITUTE(SUBSTITUTE(SUBSTITUTE(SUBSTITUTE(SUBSTITUTE(SUBSTITUTE(SUBSTITUTE(SUBSTITUTE(SUBSTITUTE(SUBSTITUTE(SUBSTITUTE(LOWER(TRIM(A648)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648)),"á","a"),"é","e"),"í","i"),"ó","o"),"ú","u"),"ü","u"),"ñ","n"),"à","a"),"è","e"),"ì","i"),"ò","o"),"ù","u")),"")</f>
        <v/>
      </c>
      <c r="Y648" s="25">
        <f>IF(X648="","",IF(IFERROR(COUNTIF(X$3:X648,"="&amp;SUBSTITUTE(SUBSTITUTE(SUBSTITUTE(X648,"~","~~"),"*","~*"),"?","~?")),0)=1,1,""))</f>
        <v/>
      </c>
      <c r="Z648" s="25">
        <f>IF(T648=1,MAX(Z$2:Z647)+1,"")</f>
        <v/>
      </c>
    </row>
    <row r="649">
      <c r="A649">
        <f>IF(A$2=0,"",IFERROR(TRIM(INDEX('Pegar calibracion'!$A$1:$BZ$1001,648,A$2)&amp;""),""))</f>
        <v/>
      </c>
      <c r="B649">
        <f>IF(B$2=0,"",IFERROR(TRIM(INDEX('Pegar calibracion'!$A$1:$BZ$1001,648,B$2)&amp;""),""))</f>
        <v/>
      </c>
      <c r="C649">
        <f>IF(C$2=0,"",IFERROR(TRIM(INDEX('Pegar calibracion'!$A$1:$BZ$1001,648,C$2)&amp;""),""))</f>
        <v/>
      </c>
      <c r="D649">
        <f>IF(D$2=0,"",IFERROR(TRIM(INDEX('Pegar calibracion'!$A$1:$BZ$1001,648,D$2)&amp;""),""))</f>
        <v/>
      </c>
      <c r="E649">
        <f>IF(E$2=0,"",IFERROR(TRIM(INDEX('Pegar calibracion'!$A$1:$BZ$1001,648,E$2)&amp;""),""))</f>
        <v/>
      </c>
      <c r="F649">
        <f>IF(F$2=0,"",IFERROR(TRIM(INDEX('Pegar calibracion'!$A$1:$BZ$1001,648,F$2)&amp;""),""))</f>
        <v/>
      </c>
      <c r="G649">
        <f>IF(G$2=0,"",IFERROR(TRIM(INDEX('Pegar calibracion'!$A$1:$BZ$1001,648,G$2)&amp;""),""))</f>
        <v/>
      </c>
      <c r="H649">
        <f>IF(H$2=0,"",IFERROR(TRIM(INDEX('Pegar calibracion'!$A$1:$BZ$1001,648,H$2)&amp;""),""))</f>
        <v/>
      </c>
      <c r="I649">
        <f>IF(I$2=0,"",IFERROR(TRIM(INDEX('Pegar calibracion'!$A$1:$BZ$1001,648,I$2)&amp;""),""))</f>
        <v/>
      </c>
      <c r="J649">
        <f>IF(J$2=0,"",IFERROR(TRIM(INDEX('Pegar calibracion'!$A$1:$BZ$1001,648,J$2)&amp;""),""))</f>
        <v/>
      </c>
      <c r="K649">
        <f>IF(K$2=0,"",IFERROR(TRIM(INDEX('Pegar calibracion'!$A$1:$BZ$1001,648,K$2)&amp;""),""))</f>
        <v/>
      </c>
      <c r="L649">
        <f>IF(L$2=0,"",IFERROR(TRIM(INDEX('Pegar calibracion'!$A$1:$BZ$1001,648,L$2)&amp;""),""))</f>
        <v/>
      </c>
      <c r="M649" s="25">
        <f>IF(D649="","",SUBSTITUTE(SUBSTITUTE(SUBSTITUTE(SUBSTITUTE(SUBSTITUTE(SUBSTITUTE(SUBSTITUTE(SUBSTITUTE(SUBSTITUTE(SUBSTITUTE(SUBSTITUTE(SUBSTITUTE(LOWER(TRIM(D649)),"á","a"),"é","e"),"í","i"),"ó","o"),"ú","u"),"ü","u"),"ñ","n"),"à","a"),"è","e"),"ì","i"),"ò","o"),"ù","u"))</f>
        <v/>
      </c>
      <c r="N649" s="25">
        <f>IF(F649="","",SUBSTITUTE(SUBSTITUTE(SUBSTITUTE(SUBSTITUTE(SUBSTITUTE(SUBSTITUTE(SUBSTITUTE(SUBSTITUTE(SUBSTITUTE(SUBSTITUTE(SUBSTITUTE(SUBSTITUTE(LOWER(TRIM(F649)),"á","a"),"é","e"),"í","i"),"ó","o"),"ú","u"),"ü","u"),"ñ","n"),"à","a"),"è","e"),"ì","i"),"ò","o"),"ù","u"))</f>
        <v/>
      </c>
      <c r="O649" s="25">
        <f>IF(M649="confiable",2,IF(M649="dudosa",1,IF(M649="no confiable",0,"")))</f>
        <v/>
      </c>
      <c r="P649" s="25">
        <f>IF(N649="confiable",2,IF(N649="dudosa",1,IF(N649="no confiable",0,"")))</f>
        <v/>
      </c>
      <c r="Q649" s="25">
        <f>IF(AND(ISNUMBER(O649),ISNUMBER(P649)),1,"")</f>
        <v/>
      </c>
      <c r="R649" s="25">
        <f>IF(Q649=1,IF(O649=P649,"Sí","No"),"")</f>
        <v/>
      </c>
      <c r="S649" s="25">
        <f>IF(Q649=1,IF(P649&lt;O649,"Más estricto",IF(P649&gt;O649,"Más permisivo","Igual")),"")</f>
        <v/>
      </c>
      <c r="T649" s="25">
        <f>IF(Q649=1,IF(ABS(O649-P649)=2,1,0),"")</f>
        <v/>
      </c>
      <c r="U649" s="25">
        <f>IF(H649="","","|"&amp;SUBSTITUTE(SUBSTITUTE(TRIM(H649)," |","|"),"| ","|")&amp;"|")</f>
        <v/>
      </c>
      <c r="V649" s="25">
        <f>IF(AND(Q649=1,B649&lt;&gt;""),IF(IFERROR(COUNTIFS(B$3:B649,"="&amp;SUBSTITUTE(SUBSTITUTE(SUBSTITUTE(B649,"~","~~"),"*","~*"),"?","~?"),Q$3:Q649,1),0)=1,MAX(V$2:V648)+1,""),"")</f>
        <v/>
      </c>
      <c r="W649" s="25">
        <f>IF(V649="","",COUNTIFS($B$3:$B$1002,"="&amp;SUBSTITUTE(SUBSTITUTE(SUBSTITUTE(B649,"~","~~"),"*","~*"),"?","~?"),$Q$3:$Q$1002,1)*10000-V649)</f>
        <v/>
      </c>
      <c r="X649" s="25">
        <f>IF(Q649=1,IF(SUBSTITUTE(SUBSTITUTE(SUBSTITUTE(SUBSTITUTE(SUBSTITUTE(SUBSTITUTE(SUBSTITUTE(SUBSTITUTE(SUBSTITUTE(SUBSTITUTE(SUBSTITUTE(SUBSTITUTE(LOWER(TRIM(A649)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649)),"á","a"),"é","e"),"í","i"),"ó","o"),"ú","u"),"ü","u"),"ñ","n"),"à","a"),"è","e"),"ì","i"),"ò","o"),"ù","u")),"")</f>
        <v/>
      </c>
      <c r="Y649" s="25">
        <f>IF(X649="","",IF(IFERROR(COUNTIF(X$3:X649,"="&amp;SUBSTITUTE(SUBSTITUTE(SUBSTITUTE(X649,"~","~~"),"*","~*"),"?","~?")),0)=1,1,""))</f>
        <v/>
      </c>
      <c r="Z649" s="25">
        <f>IF(T649=1,MAX(Z$2:Z648)+1,"")</f>
        <v/>
      </c>
    </row>
    <row r="650">
      <c r="A650">
        <f>IF(A$2=0,"",IFERROR(TRIM(INDEX('Pegar calibracion'!$A$1:$BZ$1001,649,A$2)&amp;""),""))</f>
        <v/>
      </c>
      <c r="B650">
        <f>IF(B$2=0,"",IFERROR(TRIM(INDEX('Pegar calibracion'!$A$1:$BZ$1001,649,B$2)&amp;""),""))</f>
        <v/>
      </c>
      <c r="C650">
        <f>IF(C$2=0,"",IFERROR(TRIM(INDEX('Pegar calibracion'!$A$1:$BZ$1001,649,C$2)&amp;""),""))</f>
        <v/>
      </c>
      <c r="D650">
        <f>IF(D$2=0,"",IFERROR(TRIM(INDEX('Pegar calibracion'!$A$1:$BZ$1001,649,D$2)&amp;""),""))</f>
        <v/>
      </c>
      <c r="E650">
        <f>IF(E$2=0,"",IFERROR(TRIM(INDEX('Pegar calibracion'!$A$1:$BZ$1001,649,E$2)&amp;""),""))</f>
        <v/>
      </c>
      <c r="F650">
        <f>IF(F$2=0,"",IFERROR(TRIM(INDEX('Pegar calibracion'!$A$1:$BZ$1001,649,F$2)&amp;""),""))</f>
        <v/>
      </c>
      <c r="G650">
        <f>IF(G$2=0,"",IFERROR(TRIM(INDEX('Pegar calibracion'!$A$1:$BZ$1001,649,G$2)&amp;""),""))</f>
        <v/>
      </c>
      <c r="H650">
        <f>IF(H$2=0,"",IFERROR(TRIM(INDEX('Pegar calibracion'!$A$1:$BZ$1001,649,H$2)&amp;""),""))</f>
        <v/>
      </c>
      <c r="I650">
        <f>IF(I$2=0,"",IFERROR(TRIM(INDEX('Pegar calibracion'!$A$1:$BZ$1001,649,I$2)&amp;""),""))</f>
        <v/>
      </c>
      <c r="J650">
        <f>IF(J$2=0,"",IFERROR(TRIM(INDEX('Pegar calibracion'!$A$1:$BZ$1001,649,J$2)&amp;""),""))</f>
        <v/>
      </c>
      <c r="K650">
        <f>IF(K$2=0,"",IFERROR(TRIM(INDEX('Pegar calibracion'!$A$1:$BZ$1001,649,K$2)&amp;""),""))</f>
        <v/>
      </c>
      <c r="L650">
        <f>IF(L$2=0,"",IFERROR(TRIM(INDEX('Pegar calibracion'!$A$1:$BZ$1001,649,L$2)&amp;""),""))</f>
        <v/>
      </c>
      <c r="M650" s="25">
        <f>IF(D650="","",SUBSTITUTE(SUBSTITUTE(SUBSTITUTE(SUBSTITUTE(SUBSTITUTE(SUBSTITUTE(SUBSTITUTE(SUBSTITUTE(SUBSTITUTE(SUBSTITUTE(SUBSTITUTE(SUBSTITUTE(LOWER(TRIM(D650)),"á","a"),"é","e"),"í","i"),"ó","o"),"ú","u"),"ü","u"),"ñ","n"),"à","a"),"è","e"),"ì","i"),"ò","o"),"ù","u"))</f>
        <v/>
      </c>
      <c r="N650" s="25">
        <f>IF(F650="","",SUBSTITUTE(SUBSTITUTE(SUBSTITUTE(SUBSTITUTE(SUBSTITUTE(SUBSTITUTE(SUBSTITUTE(SUBSTITUTE(SUBSTITUTE(SUBSTITUTE(SUBSTITUTE(SUBSTITUTE(LOWER(TRIM(F650)),"á","a"),"é","e"),"í","i"),"ó","o"),"ú","u"),"ü","u"),"ñ","n"),"à","a"),"è","e"),"ì","i"),"ò","o"),"ù","u"))</f>
        <v/>
      </c>
      <c r="O650" s="25">
        <f>IF(M650="confiable",2,IF(M650="dudosa",1,IF(M650="no confiable",0,"")))</f>
        <v/>
      </c>
      <c r="P650" s="25">
        <f>IF(N650="confiable",2,IF(N650="dudosa",1,IF(N650="no confiable",0,"")))</f>
        <v/>
      </c>
      <c r="Q650" s="25">
        <f>IF(AND(ISNUMBER(O650),ISNUMBER(P650)),1,"")</f>
        <v/>
      </c>
      <c r="R650" s="25">
        <f>IF(Q650=1,IF(O650=P650,"Sí","No"),"")</f>
        <v/>
      </c>
      <c r="S650" s="25">
        <f>IF(Q650=1,IF(P650&lt;O650,"Más estricto",IF(P650&gt;O650,"Más permisivo","Igual")),"")</f>
        <v/>
      </c>
      <c r="T650" s="25">
        <f>IF(Q650=1,IF(ABS(O650-P650)=2,1,0),"")</f>
        <v/>
      </c>
      <c r="U650" s="25">
        <f>IF(H650="","","|"&amp;SUBSTITUTE(SUBSTITUTE(TRIM(H650)," |","|"),"| ","|")&amp;"|")</f>
        <v/>
      </c>
      <c r="V650" s="25">
        <f>IF(AND(Q650=1,B650&lt;&gt;""),IF(IFERROR(COUNTIFS(B$3:B650,"="&amp;SUBSTITUTE(SUBSTITUTE(SUBSTITUTE(B650,"~","~~"),"*","~*"),"?","~?"),Q$3:Q650,1),0)=1,MAX(V$2:V649)+1,""),"")</f>
        <v/>
      </c>
      <c r="W650" s="25">
        <f>IF(V650="","",COUNTIFS($B$3:$B$1002,"="&amp;SUBSTITUTE(SUBSTITUTE(SUBSTITUTE(B650,"~","~~"),"*","~*"),"?","~?"),$Q$3:$Q$1002,1)*10000-V650)</f>
        <v/>
      </c>
      <c r="X650" s="25">
        <f>IF(Q650=1,IF(SUBSTITUTE(SUBSTITUTE(SUBSTITUTE(SUBSTITUTE(SUBSTITUTE(SUBSTITUTE(SUBSTITUTE(SUBSTITUTE(SUBSTITUTE(SUBSTITUTE(SUBSTITUTE(SUBSTITUTE(LOWER(TRIM(A650)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650)),"á","a"),"é","e"),"í","i"),"ó","o"),"ú","u"),"ü","u"),"ñ","n"),"à","a"),"è","e"),"ì","i"),"ò","o"),"ù","u")),"")</f>
        <v/>
      </c>
      <c r="Y650" s="25">
        <f>IF(X650="","",IF(IFERROR(COUNTIF(X$3:X650,"="&amp;SUBSTITUTE(SUBSTITUTE(SUBSTITUTE(X650,"~","~~"),"*","~*"),"?","~?")),0)=1,1,""))</f>
        <v/>
      </c>
      <c r="Z650" s="25">
        <f>IF(T650=1,MAX(Z$2:Z649)+1,"")</f>
        <v/>
      </c>
    </row>
    <row r="651">
      <c r="A651">
        <f>IF(A$2=0,"",IFERROR(TRIM(INDEX('Pegar calibracion'!$A$1:$BZ$1001,650,A$2)&amp;""),""))</f>
        <v/>
      </c>
      <c r="B651">
        <f>IF(B$2=0,"",IFERROR(TRIM(INDEX('Pegar calibracion'!$A$1:$BZ$1001,650,B$2)&amp;""),""))</f>
        <v/>
      </c>
      <c r="C651">
        <f>IF(C$2=0,"",IFERROR(TRIM(INDEX('Pegar calibracion'!$A$1:$BZ$1001,650,C$2)&amp;""),""))</f>
        <v/>
      </c>
      <c r="D651">
        <f>IF(D$2=0,"",IFERROR(TRIM(INDEX('Pegar calibracion'!$A$1:$BZ$1001,650,D$2)&amp;""),""))</f>
        <v/>
      </c>
      <c r="E651">
        <f>IF(E$2=0,"",IFERROR(TRIM(INDEX('Pegar calibracion'!$A$1:$BZ$1001,650,E$2)&amp;""),""))</f>
        <v/>
      </c>
      <c r="F651">
        <f>IF(F$2=0,"",IFERROR(TRIM(INDEX('Pegar calibracion'!$A$1:$BZ$1001,650,F$2)&amp;""),""))</f>
        <v/>
      </c>
      <c r="G651">
        <f>IF(G$2=0,"",IFERROR(TRIM(INDEX('Pegar calibracion'!$A$1:$BZ$1001,650,G$2)&amp;""),""))</f>
        <v/>
      </c>
      <c r="H651">
        <f>IF(H$2=0,"",IFERROR(TRIM(INDEX('Pegar calibracion'!$A$1:$BZ$1001,650,H$2)&amp;""),""))</f>
        <v/>
      </c>
      <c r="I651">
        <f>IF(I$2=0,"",IFERROR(TRIM(INDEX('Pegar calibracion'!$A$1:$BZ$1001,650,I$2)&amp;""),""))</f>
        <v/>
      </c>
      <c r="J651">
        <f>IF(J$2=0,"",IFERROR(TRIM(INDEX('Pegar calibracion'!$A$1:$BZ$1001,650,J$2)&amp;""),""))</f>
        <v/>
      </c>
      <c r="K651">
        <f>IF(K$2=0,"",IFERROR(TRIM(INDEX('Pegar calibracion'!$A$1:$BZ$1001,650,K$2)&amp;""),""))</f>
        <v/>
      </c>
      <c r="L651">
        <f>IF(L$2=0,"",IFERROR(TRIM(INDEX('Pegar calibracion'!$A$1:$BZ$1001,650,L$2)&amp;""),""))</f>
        <v/>
      </c>
      <c r="M651" s="25">
        <f>IF(D651="","",SUBSTITUTE(SUBSTITUTE(SUBSTITUTE(SUBSTITUTE(SUBSTITUTE(SUBSTITUTE(SUBSTITUTE(SUBSTITUTE(SUBSTITUTE(SUBSTITUTE(SUBSTITUTE(SUBSTITUTE(LOWER(TRIM(D651)),"á","a"),"é","e"),"í","i"),"ó","o"),"ú","u"),"ü","u"),"ñ","n"),"à","a"),"è","e"),"ì","i"),"ò","o"),"ù","u"))</f>
        <v/>
      </c>
      <c r="N651" s="25">
        <f>IF(F651="","",SUBSTITUTE(SUBSTITUTE(SUBSTITUTE(SUBSTITUTE(SUBSTITUTE(SUBSTITUTE(SUBSTITUTE(SUBSTITUTE(SUBSTITUTE(SUBSTITUTE(SUBSTITUTE(SUBSTITUTE(LOWER(TRIM(F651)),"á","a"),"é","e"),"í","i"),"ó","o"),"ú","u"),"ü","u"),"ñ","n"),"à","a"),"è","e"),"ì","i"),"ò","o"),"ù","u"))</f>
        <v/>
      </c>
      <c r="O651" s="25">
        <f>IF(M651="confiable",2,IF(M651="dudosa",1,IF(M651="no confiable",0,"")))</f>
        <v/>
      </c>
      <c r="P651" s="25">
        <f>IF(N651="confiable",2,IF(N651="dudosa",1,IF(N651="no confiable",0,"")))</f>
        <v/>
      </c>
      <c r="Q651" s="25">
        <f>IF(AND(ISNUMBER(O651),ISNUMBER(P651)),1,"")</f>
        <v/>
      </c>
      <c r="R651" s="25">
        <f>IF(Q651=1,IF(O651=P651,"Sí","No"),"")</f>
        <v/>
      </c>
      <c r="S651" s="25">
        <f>IF(Q651=1,IF(P651&lt;O651,"Más estricto",IF(P651&gt;O651,"Más permisivo","Igual")),"")</f>
        <v/>
      </c>
      <c r="T651" s="25">
        <f>IF(Q651=1,IF(ABS(O651-P651)=2,1,0),"")</f>
        <v/>
      </c>
      <c r="U651" s="25">
        <f>IF(H651="","","|"&amp;SUBSTITUTE(SUBSTITUTE(TRIM(H651)," |","|"),"| ","|")&amp;"|")</f>
        <v/>
      </c>
      <c r="V651" s="25">
        <f>IF(AND(Q651=1,B651&lt;&gt;""),IF(IFERROR(COUNTIFS(B$3:B651,"="&amp;SUBSTITUTE(SUBSTITUTE(SUBSTITUTE(B651,"~","~~"),"*","~*"),"?","~?"),Q$3:Q651,1),0)=1,MAX(V$2:V650)+1,""),"")</f>
        <v/>
      </c>
      <c r="W651" s="25">
        <f>IF(V651="","",COUNTIFS($B$3:$B$1002,"="&amp;SUBSTITUTE(SUBSTITUTE(SUBSTITUTE(B651,"~","~~"),"*","~*"),"?","~?"),$Q$3:$Q$1002,1)*10000-V651)</f>
        <v/>
      </c>
      <c r="X651" s="25">
        <f>IF(Q651=1,IF(SUBSTITUTE(SUBSTITUTE(SUBSTITUTE(SUBSTITUTE(SUBSTITUTE(SUBSTITUTE(SUBSTITUTE(SUBSTITUTE(SUBSTITUTE(SUBSTITUTE(SUBSTITUTE(SUBSTITUTE(LOWER(TRIM(A651)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651)),"á","a"),"é","e"),"í","i"),"ó","o"),"ú","u"),"ü","u"),"ñ","n"),"à","a"),"è","e"),"ì","i"),"ò","o"),"ù","u")),"")</f>
        <v/>
      </c>
      <c r="Y651" s="25">
        <f>IF(X651="","",IF(IFERROR(COUNTIF(X$3:X651,"="&amp;SUBSTITUTE(SUBSTITUTE(SUBSTITUTE(X651,"~","~~"),"*","~*"),"?","~?")),0)=1,1,""))</f>
        <v/>
      </c>
      <c r="Z651" s="25">
        <f>IF(T651=1,MAX(Z$2:Z650)+1,"")</f>
        <v/>
      </c>
    </row>
    <row r="652">
      <c r="A652">
        <f>IF(A$2=0,"",IFERROR(TRIM(INDEX('Pegar calibracion'!$A$1:$BZ$1001,651,A$2)&amp;""),""))</f>
        <v/>
      </c>
      <c r="B652">
        <f>IF(B$2=0,"",IFERROR(TRIM(INDEX('Pegar calibracion'!$A$1:$BZ$1001,651,B$2)&amp;""),""))</f>
        <v/>
      </c>
      <c r="C652">
        <f>IF(C$2=0,"",IFERROR(TRIM(INDEX('Pegar calibracion'!$A$1:$BZ$1001,651,C$2)&amp;""),""))</f>
        <v/>
      </c>
      <c r="D652">
        <f>IF(D$2=0,"",IFERROR(TRIM(INDEX('Pegar calibracion'!$A$1:$BZ$1001,651,D$2)&amp;""),""))</f>
        <v/>
      </c>
      <c r="E652">
        <f>IF(E$2=0,"",IFERROR(TRIM(INDEX('Pegar calibracion'!$A$1:$BZ$1001,651,E$2)&amp;""),""))</f>
        <v/>
      </c>
      <c r="F652">
        <f>IF(F$2=0,"",IFERROR(TRIM(INDEX('Pegar calibracion'!$A$1:$BZ$1001,651,F$2)&amp;""),""))</f>
        <v/>
      </c>
      <c r="G652">
        <f>IF(G$2=0,"",IFERROR(TRIM(INDEX('Pegar calibracion'!$A$1:$BZ$1001,651,G$2)&amp;""),""))</f>
        <v/>
      </c>
      <c r="H652">
        <f>IF(H$2=0,"",IFERROR(TRIM(INDEX('Pegar calibracion'!$A$1:$BZ$1001,651,H$2)&amp;""),""))</f>
        <v/>
      </c>
      <c r="I652">
        <f>IF(I$2=0,"",IFERROR(TRIM(INDEX('Pegar calibracion'!$A$1:$BZ$1001,651,I$2)&amp;""),""))</f>
        <v/>
      </c>
      <c r="J652">
        <f>IF(J$2=0,"",IFERROR(TRIM(INDEX('Pegar calibracion'!$A$1:$BZ$1001,651,J$2)&amp;""),""))</f>
        <v/>
      </c>
      <c r="K652">
        <f>IF(K$2=0,"",IFERROR(TRIM(INDEX('Pegar calibracion'!$A$1:$BZ$1001,651,K$2)&amp;""),""))</f>
        <v/>
      </c>
      <c r="L652">
        <f>IF(L$2=0,"",IFERROR(TRIM(INDEX('Pegar calibracion'!$A$1:$BZ$1001,651,L$2)&amp;""),""))</f>
        <v/>
      </c>
      <c r="M652" s="25">
        <f>IF(D652="","",SUBSTITUTE(SUBSTITUTE(SUBSTITUTE(SUBSTITUTE(SUBSTITUTE(SUBSTITUTE(SUBSTITUTE(SUBSTITUTE(SUBSTITUTE(SUBSTITUTE(SUBSTITUTE(SUBSTITUTE(LOWER(TRIM(D652)),"á","a"),"é","e"),"í","i"),"ó","o"),"ú","u"),"ü","u"),"ñ","n"),"à","a"),"è","e"),"ì","i"),"ò","o"),"ù","u"))</f>
        <v/>
      </c>
      <c r="N652" s="25">
        <f>IF(F652="","",SUBSTITUTE(SUBSTITUTE(SUBSTITUTE(SUBSTITUTE(SUBSTITUTE(SUBSTITUTE(SUBSTITUTE(SUBSTITUTE(SUBSTITUTE(SUBSTITUTE(SUBSTITUTE(SUBSTITUTE(LOWER(TRIM(F652)),"á","a"),"é","e"),"í","i"),"ó","o"),"ú","u"),"ü","u"),"ñ","n"),"à","a"),"è","e"),"ì","i"),"ò","o"),"ù","u"))</f>
        <v/>
      </c>
      <c r="O652" s="25">
        <f>IF(M652="confiable",2,IF(M652="dudosa",1,IF(M652="no confiable",0,"")))</f>
        <v/>
      </c>
      <c r="P652" s="25">
        <f>IF(N652="confiable",2,IF(N652="dudosa",1,IF(N652="no confiable",0,"")))</f>
        <v/>
      </c>
      <c r="Q652" s="25">
        <f>IF(AND(ISNUMBER(O652),ISNUMBER(P652)),1,"")</f>
        <v/>
      </c>
      <c r="R652" s="25">
        <f>IF(Q652=1,IF(O652=P652,"Sí","No"),"")</f>
        <v/>
      </c>
      <c r="S652" s="25">
        <f>IF(Q652=1,IF(P652&lt;O652,"Más estricto",IF(P652&gt;O652,"Más permisivo","Igual")),"")</f>
        <v/>
      </c>
      <c r="T652" s="25">
        <f>IF(Q652=1,IF(ABS(O652-P652)=2,1,0),"")</f>
        <v/>
      </c>
      <c r="U652" s="25">
        <f>IF(H652="","","|"&amp;SUBSTITUTE(SUBSTITUTE(TRIM(H652)," |","|"),"| ","|")&amp;"|")</f>
        <v/>
      </c>
      <c r="V652" s="25">
        <f>IF(AND(Q652=1,B652&lt;&gt;""),IF(IFERROR(COUNTIFS(B$3:B652,"="&amp;SUBSTITUTE(SUBSTITUTE(SUBSTITUTE(B652,"~","~~"),"*","~*"),"?","~?"),Q$3:Q652,1),0)=1,MAX(V$2:V651)+1,""),"")</f>
        <v/>
      </c>
      <c r="W652" s="25">
        <f>IF(V652="","",COUNTIFS($B$3:$B$1002,"="&amp;SUBSTITUTE(SUBSTITUTE(SUBSTITUTE(B652,"~","~~"),"*","~*"),"?","~?"),$Q$3:$Q$1002,1)*10000-V652)</f>
        <v/>
      </c>
      <c r="X652" s="25">
        <f>IF(Q652=1,IF(SUBSTITUTE(SUBSTITUTE(SUBSTITUTE(SUBSTITUTE(SUBSTITUTE(SUBSTITUTE(SUBSTITUTE(SUBSTITUTE(SUBSTITUTE(SUBSTITUTE(SUBSTITUTE(SUBSTITUTE(LOWER(TRIM(A652)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652)),"á","a"),"é","e"),"í","i"),"ó","o"),"ú","u"),"ü","u"),"ñ","n"),"à","a"),"è","e"),"ì","i"),"ò","o"),"ù","u")),"")</f>
        <v/>
      </c>
      <c r="Y652" s="25">
        <f>IF(X652="","",IF(IFERROR(COUNTIF(X$3:X652,"="&amp;SUBSTITUTE(SUBSTITUTE(SUBSTITUTE(X652,"~","~~"),"*","~*"),"?","~?")),0)=1,1,""))</f>
        <v/>
      </c>
      <c r="Z652" s="25">
        <f>IF(T652=1,MAX(Z$2:Z651)+1,"")</f>
        <v/>
      </c>
    </row>
    <row r="653">
      <c r="A653">
        <f>IF(A$2=0,"",IFERROR(TRIM(INDEX('Pegar calibracion'!$A$1:$BZ$1001,652,A$2)&amp;""),""))</f>
        <v/>
      </c>
      <c r="B653">
        <f>IF(B$2=0,"",IFERROR(TRIM(INDEX('Pegar calibracion'!$A$1:$BZ$1001,652,B$2)&amp;""),""))</f>
        <v/>
      </c>
      <c r="C653">
        <f>IF(C$2=0,"",IFERROR(TRIM(INDEX('Pegar calibracion'!$A$1:$BZ$1001,652,C$2)&amp;""),""))</f>
        <v/>
      </c>
      <c r="D653">
        <f>IF(D$2=0,"",IFERROR(TRIM(INDEX('Pegar calibracion'!$A$1:$BZ$1001,652,D$2)&amp;""),""))</f>
        <v/>
      </c>
      <c r="E653">
        <f>IF(E$2=0,"",IFERROR(TRIM(INDEX('Pegar calibracion'!$A$1:$BZ$1001,652,E$2)&amp;""),""))</f>
        <v/>
      </c>
      <c r="F653">
        <f>IF(F$2=0,"",IFERROR(TRIM(INDEX('Pegar calibracion'!$A$1:$BZ$1001,652,F$2)&amp;""),""))</f>
        <v/>
      </c>
      <c r="G653">
        <f>IF(G$2=0,"",IFERROR(TRIM(INDEX('Pegar calibracion'!$A$1:$BZ$1001,652,G$2)&amp;""),""))</f>
        <v/>
      </c>
      <c r="H653">
        <f>IF(H$2=0,"",IFERROR(TRIM(INDEX('Pegar calibracion'!$A$1:$BZ$1001,652,H$2)&amp;""),""))</f>
        <v/>
      </c>
      <c r="I653">
        <f>IF(I$2=0,"",IFERROR(TRIM(INDEX('Pegar calibracion'!$A$1:$BZ$1001,652,I$2)&amp;""),""))</f>
        <v/>
      </c>
      <c r="J653">
        <f>IF(J$2=0,"",IFERROR(TRIM(INDEX('Pegar calibracion'!$A$1:$BZ$1001,652,J$2)&amp;""),""))</f>
        <v/>
      </c>
      <c r="K653">
        <f>IF(K$2=0,"",IFERROR(TRIM(INDEX('Pegar calibracion'!$A$1:$BZ$1001,652,K$2)&amp;""),""))</f>
        <v/>
      </c>
      <c r="L653">
        <f>IF(L$2=0,"",IFERROR(TRIM(INDEX('Pegar calibracion'!$A$1:$BZ$1001,652,L$2)&amp;""),""))</f>
        <v/>
      </c>
      <c r="M653" s="25">
        <f>IF(D653="","",SUBSTITUTE(SUBSTITUTE(SUBSTITUTE(SUBSTITUTE(SUBSTITUTE(SUBSTITUTE(SUBSTITUTE(SUBSTITUTE(SUBSTITUTE(SUBSTITUTE(SUBSTITUTE(SUBSTITUTE(LOWER(TRIM(D653)),"á","a"),"é","e"),"í","i"),"ó","o"),"ú","u"),"ü","u"),"ñ","n"),"à","a"),"è","e"),"ì","i"),"ò","o"),"ù","u"))</f>
        <v/>
      </c>
      <c r="N653" s="25">
        <f>IF(F653="","",SUBSTITUTE(SUBSTITUTE(SUBSTITUTE(SUBSTITUTE(SUBSTITUTE(SUBSTITUTE(SUBSTITUTE(SUBSTITUTE(SUBSTITUTE(SUBSTITUTE(SUBSTITUTE(SUBSTITUTE(LOWER(TRIM(F653)),"á","a"),"é","e"),"í","i"),"ó","o"),"ú","u"),"ü","u"),"ñ","n"),"à","a"),"è","e"),"ì","i"),"ò","o"),"ù","u"))</f>
        <v/>
      </c>
      <c r="O653" s="25">
        <f>IF(M653="confiable",2,IF(M653="dudosa",1,IF(M653="no confiable",0,"")))</f>
        <v/>
      </c>
      <c r="P653" s="25">
        <f>IF(N653="confiable",2,IF(N653="dudosa",1,IF(N653="no confiable",0,"")))</f>
        <v/>
      </c>
      <c r="Q653" s="25">
        <f>IF(AND(ISNUMBER(O653),ISNUMBER(P653)),1,"")</f>
        <v/>
      </c>
      <c r="R653" s="25">
        <f>IF(Q653=1,IF(O653=P653,"Sí","No"),"")</f>
        <v/>
      </c>
      <c r="S653" s="25">
        <f>IF(Q653=1,IF(P653&lt;O653,"Más estricto",IF(P653&gt;O653,"Más permisivo","Igual")),"")</f>
        <v/>
      </c>
      <c r="T653" s="25">
        <f>IF(Q653=1,IF(ABS(O653-P653)=2,1,0),"")</f>
        <v/>
      </c>
      <c r="U653" s="25">
        <f>IF(H653="","","|"&amp;SUBSTITUTE(SUBSTITUTE(TRIM(H653)," |","|"),"| ","|")&amp;"|")</f>
        <v/>
      </c>
      <c r="V653" s="25">
        <f>IF(AND(Q653=1,B653&lt;&gt;""),IF(IFERROR(COUNTIFS(B$3:B653,"="&amp;SUBSTITUTE(SUBSTITUTE(SUBSTITUTE(B653,"~","~~"),"*","~*"),"?","~?"),Q$3:Q653,1),0)=1,MAX(V$2:V652)+1,""),"")</f>
        <v/>
      </c>
      <c r="W653" s="25">
        <f>IF(V653="","",COUNTIFS($B$3:$B$1002,"="&amp;SUBSTITUTE(SUBSTITUTE(SUBSTITUTE(B653,"~","~~"),"*","~*"),"?","~?"),$Q$3:$Q$1002,1)*10000-V653)</f>
        <v/>
      </c>
      <c r="X653" s="25">
        <f>IF(Q653=1,IF(SUBSTITUTE(SUBSTITUTE(SUBSTITUTE(SUBSTITUTE(SUBSTITUTE(SUBSTITUTE(SUBSTITUTE(SUBSTITUTE(SUBSTITUTE(SUBSTITUTE(SUBSTITUTE(SUBSTITUTE(LOWER(TRIM(A653)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653)),"á","a"),"é","e"),"í","i"),"ó","o"),"ú","u"),"ü","u"),"ñ","n"),"à","a"),"è","e"),"ì","i"),"ò","o"),"ù","u")),"")</f>
        <v/>
      </c>
      <c r="Y653" s="25">
        <f>IF(X653="","",IF(IFERROR(COUNTIF(X$3:X653,"="&amp;SUBSTITUTE(SUBSTITUTE(SUBSTITUTE(X653,"~","~~"),"*","~*"),"?","~?")),0)=1,1,""))</f>
        <v/>
      </c>
      <c r="Z653" s="25">
        <f>IF(T653=1,MAX(Z$2:Z652)+1,"")</f>
        <v/>
      </c>
    </row>
    <row r="654">
      <c r="A654">
        <f>IF(A$2=0,"",IFERROR(TRIM(INDEX('Pegar calibracion'!$A$1:$BZ$1001,653,A$2)&amp;""),""))</f>
        <v/>
      </c>
      <c r="B654">
        <f>IF(B$2=0,"",IFERROR(TRIM(INDEX('Pegar calibracion'!$A$1:$BZ$1001,653,B$2)&amp;""),""))</f>
        <v/>
      </c>
      <c r="C654">
        <f>IF(C$2=0,"",IFERROR(TRIM(INDEX('Pegar calibracion'!$A$1:$BZ$1001,653,C$2)&amp;""),""))</f>
        <v/>
      </c>
      <c r="D654">
        <f>IF(D$2=0,"",IFERROR(TRIM(INDEX('Pegar calibracion'!$A$1:$BZ$1001,653,D$2)&amp;""),""))</f>
        <v/>
      </c>
      <c r="E654">
        <f>IF(E$2=0,"",IFERROR(TRIM(INDEX('Pegar calibracion'!$A$1:$BZ$1001,653,E$2)&amp;""),""))</f>
        <v/>
      </c>
      <c r="F654">
        <f>IF(F$2=0,"",IFERROR(TRIM(INDEX('Pegar calibracion'!$A$1:$BZ$1001,653,F$2)&amp;""),""))</f>
        <v/>
      </c>
      <c r="G654">
        <f>IF(G$2=0,"",IFERROR(TRIM(INDEX('Pegar calibracion'!$A$1:$BZ$1001,653,G$2)&amp;""),""))</f>
        <v/>
      </c>
      <c r="H654">
        <f>IF(H$2=0,"",IFERROR(TRIM(INDEX('Pegar calibracion'!$A$1:$BZ$1001,653,H$2)&amp;""),""))</f>
        <v/>
      </c>
      <c r="I654">
        <f>IF(I$2=0,"",IFERROR(TRIM(INDEX('Pegar calibracion'!$A$1:$BZ$1001,653,I$2)&amp;""),""))</f>
        <v/>
      </c>
      <c r="J654">
        <f>IF(J$2=0,"",IFERROR(TRIM(INDEX('Pegar calibracion'!$A$1:$BZ$1001,653,J$2)&amp;""),""))</f>
        <v/>
      </c>
      <c r="K654">
        <f>IF(K$2=0,"",IFERROR(TRIM(INDEX('Pegar calibracion'!$A$1:$BZ$1001,653,K$2)&amp;""),""))</f>
        <v/>
      </c>
      <c r="L654">
        <f>IF(L$2=0,"",IFERROR(TRIM(INDEX('Pegar calibracion'!$A$1:$BZ$1001,653,L$2)&amp;""),""))</f>
        <v/>
      </c>
      <c r="M654" s="25">
        <f>IF(D654="","",SUBSTITUTE(SUBSTITUTE(SUBSTITUTE(SUBSTITUTE(SUBSTITUTE(SUBSTITUTE(SUBSTITUTE(SUBSTITUTE(SUBSTITUTE(SUBSTITUTE(SUBSTITUTE(SUBSTITUTE(LOWER(TRIM(D654)),"á","a"),"é","e"),"í","i"),"ó","o"),"ú","u"),"ü","u"),"ñ","n"),"à","a"),"è","e"),"ì","i"),"ò","o"),"ù","u"))</f>
        <v/>
      </c>
      <c r="N654" s="25">
        <f>IF(F654="","",SUBSTITUTE(SUBSTITUTE(SUBSTITUTE(SUBSTITUTE(SUBSTITUTE(SUBSTITUTE(SUBSTITUTE(SUBSTITUTE(SUBSTITUTE(SUBSTITUTE(SUBSTITUTE(SUBSTITUTE(LOWER(TRIM(F654)),"á","a"),"é","e"),"í","i"),"ó","o"),"ú","u"),"ü","u"),"ñ","n"),"à","a"),"è","e"),"ì","i"),"ò","o"),"ù","u"))</f>
        <v/>
      </c>
      <c r="O654" s="25">
        <f>IF(M654="confiable",2,IF(M654="dudosa",1,IF(M654="no confiable",0,"")))</f>
        <v/>
      </c>
      <c r="P654" s="25">
        <f>IF(N654="confiable",2,IF(N654="dudosa",1,IF(N654="no confiable",0,"")))</f>
        <v/>
      </c>
      <c r="Q654" s="25">
        <f>IF(AND(ISNUMBER(O654),ISNUMBER(P654)),1,"")</f>
        <v/>
      </c>
      <c r="R654" s="25">
        <f>IF(Q654=1,IF(O654=P654,"Sí","No"),"")</f>
        <v/>
      </c>
      <c r="S654" s="25">
        <f>IF(Q654=1,IF(P654&lt;O654,"Más estricto",IF(P654&gt;O654,"Más permisivo","Igual")),"")</f>
        <v/>
      </c>
      <c r="T654" s="25">
        <f>IF(Q654=1,IF(ABS(O654-P654)=2,1,0),"")</f>
        <v/>
      </c>
      <c r="U654" s="25">
        <f>IF(H654="","","|"&amp;SUBSTITUTE(SUBSTITUTE(TRIM(H654)," |","|"),"| ","|")&amp;"|")</f>
        <v/>
      </c>
      <c r="V654" s="25">
        <f>IF(AND(Q654=1,B654&lt;&gt;""),IF(IFERROR(COUNTIFS(B$3:B654,"="&amp;SUBSTITUTE(SUBSTITUTE(SUBSTITUTE(B654,"~","~~"),"*","~*"),"?","~?"),Q$3:Q654,1),0)=1,MAX(V$2:V653)+1,""),"")</f>
        <v/>
      </c>
      <c r="W654" s="25">
        <f>IF(V654="","",COUNTIFS($B$3:$B$1002,"="&amp;SUBSTITUTE(SUBSTITUTE(SUBSTITUTE(B654,"~","~~"),"*","~*"),"?","~?"),$Q$3:$Q$1002,1)*10000-V654)</f>
        <v/>
      </c>
      <c r="X654" s="25">
        <f>IF(Q654=1,IF(SUBSTITUTE(SUBSTITUTE(SUBSTITUTE(SUBSTITUTE(SUBSTITUTE(SUBSTITUTE(SUBSTITUTE(SUBSTITUTE(SUBSTITUTE(SUBSTITUTE(SUBSTITUTE(SUBSTITUTE(LOWER(TRIM(A654)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654)),"á","a"),"é","e"),"í","i"),"ó","o"),"ú","u"),"ü","u"),"ñ","n"),"à","a"),"è","e"),"ì","i"),"ò","o"),"ù","u")),"")</f>
        <v/>
      </c>
      <c r="Y654" s="25">
        <f>IF(X654="","",IF(IFERROR(COUNTIF(X$3:X654,"="&amp;SUBSTITUTE(SUBSTITUTE(SUBSTITUTE(X654,"~","~~"),"*","~*"),"?","~?")),0)=1,1,""))</f>
        <v/>
      </c>
      <c r="Z654" s="25">
        <f>IF(T654=1,MAX(Z$2:Z653)+1,"")</f>
        <v/>
      </c>
    </row>
    <row r="655">
      <c r="A655">
        <f>IF(A$2=0,"",IFERROR(TRIM(INDEX('Pegar calibracion'!$A$1:$BZ$1001,654,A$2)&amp;""),""))</f>
        <v/>
      </c>
      <c r="B655">
        <f>IF(B$2=0,"",IFERROR(TRIM(INDEX('Pegar calibracion'!$A$1:$BZ$1001,654,B$2)&amp;""),""))</f>
        <v/>
      </c>
      <c r="C655">
        <f>IF(C$2=0,"",IFERROR(TRIM(INDEX('Pegar calibracion'!$A$1:$BZ$1001,654,C$2)&amp;""),""))</f>
        <v/>
      </c>
      <c r="D655">
        <f>IF(D$2=0,"",IFERROR(TRIM(INDEX('Pegar calibracion'!$A$1:$BZ$1001,654,D$2)&amp;""),""))</f>
        <v/>
      </c>
      <c r="E655">
        <f>IF(E$2=0,"",IFERROR(TRIM(INDEX('Pegar calibracion'!$A$1:$BZ$1001,654,E$2)&amp;""),""))</f>
        <v/>
      </c>
      <c r="F655">
        <f>IF(F$2=0,"",IFERROR(TRIM(INDEX('Pegar calibracion'!$A$1:$BZ$1001,654,F$2)&amp;""),""))</f>
        <v/>
      </c>
      <c r="G655">
        <f>IF(G$2=0,"",IFERROR(TRIM(INDEX('Pegar calibracion'!$A$1:$BZ$1001,654,G$2)&amp;""),""))</f>
        <v/>
      </c>
      <c r="H655">
        <f>IF(H$2=0,"",IFERROR(TRIM(INDEX('Pegar calibracion'!$A$1:$BZ$1001,654,H$2)&amp;""),""))</f>
        <v/>
      </c>
      <c r="I655">
        <f>IF(I$2=0,"",IFERROR(TRIM(INDEX('Pegar calibracion'!$A$1:$BZ$1001,654,I$2)&amp;""),""))</f>
        <v/>
      </c>
      <c r="J655">
        <f>IF(J$2=0,"",IFERROR(TRIM(INDEX('Pegar calibracion'!$A$1:$BZ$1001,654,J$2)&amp;""),""))</f>
        <v/>
      </c>
      <c r="K655">
        <f>IF(K$2=0,"",IFERROR(TRIM(INDEX('Pegar calibracion'!$A$1:$BZ$1001,654,K$2)&amp;""),""))</f>
        <v/>
      </c>
      <c r="L655">
        <f>IF(L$2=0,"",IFERROR(TRIM(INDEX('Pegar calibracion'!$A$1:$BZ$1001,654,L$2)&amp;""),""))</f>
        <v/>
      </c>
      <c r="M655" s="25">
        <f>IF(D655="","",SUBSTITUTE(SUBSTITUTE(SUBSTITUTE(SUBSTITUTE(SUBSTITUTE(SUBSTITUTE(SUBSTITUTE(SUBSTITUTE(SUBSTITUTE(SUBSTITUTE(SUBSTITUTE(SUBSTITUTE(LOWER(TRIM(D655)),"á","a"),"é","e"),"í","i"),"ó","o"),"ú","u"),"ü","u"),"ñ","n"),"à","a"),"è","e"),"ì","i"),"ò","o"),"ù","u"))</f>
        <v/>
      </c>
      <c r="N655" s="25">
        <f>IF(F655="","",SUBSTITUTE(SUBSTITUTE(SUBSTITUTE(SUBSTITUTE(SUBSTITUTE(SUBSTITUTE(SUBSTITUTE(SUBSTITUTE(SUBSTITUTE(SUBSTITUTE(SUBSTITUTE(SUBSTITUTE(LOWER(TRIM(F655)),"á","a"),"é","e"),"í","i"),"ó","o"),"ú","u"),"ü","u"),"ñ","n"),"à","a"),"è","e"),"ì","i"),"ò","o"),"ù","u"))</f>
        <v/>
      </c>
      <c r="O655" s="25">
        <f>IF(M655="confiable",2,IF(M655="dudosa",1,IF(M655="no confiable",0,"")))</f>
        <v/>
      </c>
      <c r="P655" s="25">
        <f>IF(N655="confiable",2,IF(N655="dudosa",1,IF(N655="no confiable",0,"")))</f>
        <v/>
      </c>
      <c r="Q655" s="25">
        <f>IF(AND(ISNUMBER(O655),ISNUMBER(P655)),1,"")</f>
        <v/>
      </c>
      <c r="R655" s="25">
        <f>IF(Q655=1,IF(O655=P655,"Sí","No"),"")</f>
        <v/>
      </c>
      <c r="S655" s="25">
        <f>IF(Q655=1,IF(P655&lt;O655,"Más estricto",IF(P655&gt;O655,"Más permisivo","Igual")),"")</f>
        <v/>
      </c>
      <c r="T655" s="25">
        <f>IF(Q655=1,IF(ABS(O655-P655)=2,1,0),"")</f>
        <v/>
      </c>
      <c r="U655" s="25">
        <f>IF(H655="","","|"&amp;SUBSTITUTE(SUBSTITUTE(TRIM(H655)," |","|"),"| ","|")&amp;"|")</f>
        <v/>
      </c>
      <c r="V655" s="25">
        <f>IF(AND(Q655=1,B655&lt;&gt;""),IF(IFERROR(COUNTIFS(B$3:B655,"="&amp;SUBSTITUTE(SUBSTITUTE(SUBSTITUTE(B655,"~","~~"),"*","~*"),"?","~?"),Q$3:Q655,1),0)=1,MAX(V$2:V654)+1,""),"")</f>
        <v/>
      </c>
      <c r="W655" s="25">
        <f>IF(V655="","",COUNTIFS($B$3:$B$1002,"="&amp;SUBSTITUTE(SUBSTITUTE(SUBSTITUTE(B655,"~","~~"),"*","~*"),"?","~?"),$Q$3:$Q$1002,1)*10000-V655)</f>
        <v/>
      </c>
      <c r="X655" s="25">
        <f>IF(Q655=1,IF(SUBSTITUTE(SUBSTITUTE(SUBSTITUTE(SUBSTITUTE(SUBSTITUTE(SUBSTITUTE(SUBSTITUTE(SUBSTITUTE(SUBSTITUTE(SUBSTITUTE(SUBSTITUTE(SUBSTITUTE(LOWER(TRIM(A655)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655)),"á","a"),"é","e"),"í","i"),"ó","o"),"ú","u"),"ü","u"),"ñ","n"),"à","a"),"è","e"),"ì","i"),"ò","o"),"ù","u")),"")</f>
        <v/>
      </c>
      <c r="Y655" s="25">
        <f>IF(X655="","",IF(IFERROR(COUNTIF(X$3:X655,"="&amp;SUBSTITUTE(SUBSTITUTE(SUBSTITUTE(X655,"~","~~"),"*","~*"),"?","~?")),0)=1,1,""))</f>
        <v/>
      </c>
      <c r="Z655" s="25">
        <f>IF(T655=1,MAX(Z$2:Z654)+1,"")</f>
        <v/>
      </c>
    </row>
    <row r="656">
      <c r="A656">
        <f>IF(A$2=0,"",IFERROR(TRIM(INDEX('Pegar calibracion'!$A$1:$BZ$1001,655,A$2)&amp;""),""))</f>
        <v/>
      </c>
      <c r="B656">
        <f>IF(B$2=0,"",IFERROR(TRIM(INDEX('Pegar calibracion'!$A$1:$BZ$1001,655,B$2)&amp;""),""))</f>
        <v/>
      </c>
      <c r="C656">
        <f>IF(C$2=0,"",IFERROR(TRIM(INDEX('Pegar calibracion'!$A$1:$BZ$1001,655,C$2)&amp;""),""))</f>
        <v/>
      </c>
      <c r="D656">
        <f>IF(D$2=0,"",IFERROR(TRIM(INDEX('Pegar calibracion'!$A$1:$BZ$1001,655,D$2)&amp;""),""))</f>
        <v/>
      </c>
      <c r="E656">
        <f>IF(E$2=0,"",IFERROR(TRIM(INDEX('Pegar calibracion'!$A$1:$BZ$1001,655,E$2)&amp;""),""))</f>
        <v/>
      </c>
      <c r="F656">
        <f>IF(F$2=0,"",IFERROR(TRIM(INDEX('Pegar calibracion'!$A$1:$BZ$1001,655,F$2)&amp;""),""))</f>
        <v/>
      </c>
      <c r="G656">
        <f>IF(G$2=0,"",IFERROR(TRIM(INDEX('Pegar calibracion'!$A$1:$BZ$1001,655,G$2)&amp;""),""))</f>
        <v/>
      </c>
      <c r="H656">
        <f>IF(H$2=0,"",IFERROR(TRIM(INDEX('Pegar calibracion'!$A$1:$BZ$1001,655,H$2)&amp;""),""))</f>
        <v/>
      </c>
      <c r="I656">
        <f>IF(I$2=0,"",IFERROR(TRIM(INDEX('Pegar calibracion'!$A$1:$BZ$1001,655,I$2)&amp;""),""))</f>
        <v/>
      </c>
      <c r="J656">
        <f>IF(J$2=0,"",IFERROR(TRIM(INDEX('Pegar calibracion'!$A$1:$BZ$1001,655,J$2)&amp;""),""))</f>
        <v/>
      </c>
      <c r="K656">
        <f>IF(K$2=0,"",IFERROR(TRIM(INDEX('Pegar calibracion'!$A$1:$BZ$1001,655,K$2)&amp;""),""))</f>
        <v/>
      </c>
      <c r="L656">
        <f>IF(L$2=0,"",IFERROR(TRIM(INDEX('Pegar calibracion'!$A$1:$BZ$1001,655,L$2)&amp;""),""))</f>
        <v/>
      </c>
      <c r="M656" s="25">
        <f>IF(D656="","",SUBSTITUTE(SUBSTITUTE(SUBSTITUTE(SUBSTITUTE(SUBSTITUTE(SUBSTITUTE(SUBSTITUTE(SUBSTITUTE(SUBSTITUTE(SUBSTITUTE(SUBSTITUTE(SUBSTITUTE(LOWER(TRIM(D656)),"á","a"),"é","e"),"í","i"),"ó","o"),"ú","u"),"ü","u"),"ñ","n"),"à","a"),"è","e"),"ì","i"),"ò","o"),"ù","u"))</f>
        <v/>
      </c>
      <c r="N656" s="25">
        <f>IF(F656="","",SUBSTITUTE(SUBSTITUTE(SUBSTITUTE(SUBSTITUTE(SUBSTITUTE(SUBSTITUTE(SUBSTITUTE(SUBSTITUTE(SUBSTITUTE(SUBSTITUTE(SUBSTITUTE(SUBSTITUTE(LOWER(TRIM(F656)),"á","a"),"é","e"),"í","i"),"ó","o"),"ú","u"),"ü","u"),"ñ","n"),"à","a"),"è","e"),"ì","i"),"ò","o"),"ù","u"))</f>
        <v/>
      </c>
      <c r="O656" s="25">
        <f>IF(M656="confiable",2,IF(M656="dudosa",1,IF(M656="no confiable",0,"")))</f>
        <v/>
      </c>
      <c r="P656" s="25">
        <f>IF(N656="confiable",2,IF(N656="dudosa",1,IF(N656="no confiable",0,"")))</f>
        <v/>
      </c>
      <c r="Q656" s="25">
        <f>IF(AND(ISNUMBER(O656),ISNUMBER(P656)),1,"")</f>
        <v/>
      </c>
      <c r="R656" s="25">
        <f>IF(Q656=1,IF(O656=P656,"Sí","No"),"")</f>
        <v/>
      </c>
      <c r="S656" s="25">
        <f>IF(Q656=1,IF(P656&lt;O656,"Más estricto",IF(P656&gt;O656,"Más permisivo","Igual")),"")</f>
        <v/>
      </c>
      <c r="T656" s="25">
        <f>IF(Q656=1,IF(ABS(O656-P656)=2,1,0),"")</f>
        <v/>
      </c>
      <c r="U656" s="25">
        <f>IF(H656="","","|"&amp;SUBSTITUTE(SUBSTITUTE(TRIM(H656)," |","|"),"| ","|")&amp;"|")</f>
        <v/>
      </c>
      <c r="V656" s="25">
        <f>IF(AND(Q656=1,B656&lt;&gt;""),IF(IFERROR(COUNTIFS(B$3:B656,"="&amp;SUBSTITUTE(SUBSTITUTE(SUBSTITUTE(B656,"~","~~"),"*","~*"),"?","~?"),Q$3:Q656,1),0)=1,MAX(V$2:V655)+1,""),"")</f>
        <v/>
      </c>
      <c r="W656" s="25">
        <f>IF(V656="","",COUNTIFS($B$3:$B$1002,"="&amp;SUBSTITUTE(SUBSTITUTE(SUBSTITUTE(B656,"~","~~"),"*","~*"),"?","~?"),$Q$3:$Q$1002,1)*10000-V656)</f>
        <v/>
      </c>
      <c r="X656" s="25">
        <f>IF(Q656=1,IF(SUBSTITUTE(SUBSTITUTE(SUBSTITUTE(SUBSTITUTE(SUBSTITUTE(SUBSTITUTE(SUBSTITUTE(SUBSTITUTE(SUBSTITUTE(SUBSTITUTE(SUBSTITUTE(SUBSTITUTE(LOWER(TRIM(A656)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656)),"á","a"),"é","e"),"í","i"),"ó","o"),"ú","u"),"ü","u"),"ñ","n"),"à","a"),"è","e"),"ì","i"),"ò","o"),"ù","u")),"")</f>
        <v/>
      </c>
      <c r="Y656" s="25">
        <f>IF(X656="","",IF(IFERROR(COUNTIF(X$3:X656,"="&amp;SUBSTITUTE(SUBSTITUTE(SUBSTITUTE(X656,"~","~~"),"*","~*"),"?","~?")),0)=1,1,""))</f>
        <v/>
      </c>
      <c r="Z656" s="25">
        <f>IF(T656=1,MAX(Z$2:Z655)+1,"")</f>
        <v/>
      </c>
    </row>
    <row r="657">
      <c r="A657">
        <f>IF(A$2=0,"",IFERROR(TRIM(INDEX('Pegar calibracion'!$A$1:$BZ$1001,656,A$2)&amp;""),""))</f>
        <v/>
      </c>
      <c r="B657">
        <f>IF(B$2=0,"",IFERROR(TRIM(INDEX('Pegar calibracion'!$A$1:$BZ$1001,656,B$2)&amp;""),""))</f>
        <v/>
      </c>
      <c r="C657">
        <f>IF(C$2=0,"",IFERROR(TRIM(INDEX('Pegar calibracion'!$A$1:$BZ$1001,656,C$2)&amp;""),""))</f>
        <v/>
      </c>
      <c r="D657">
        <f>IF(D$2=0,"",IFERROR(TRIM(INDEX('Pegar calibracion'!$A$1:$BZ$1001,656,D$2)&amp;""),""))</f>
        <v/>
      </c>
      <c r="E657">
        <f>IF(E$2=0,"",IFERROR(TRIM(INDEX('Pegar calibracion'!$A$1:$BZ$1001,656,E$2)&amp;""),""))</f>
        <v/>
      </c>
      <c r="F657">
        <f>IF(F$2=0,"",IFERROR(TRIM(INDEX('Pegar calibracion'!$A$1:$BZ$1001,656,F$2)&amp;""),""))</f>
        <v/>
      </c>
      <c r="G657">
        <f>IF(G$2=0,"",IFERROR(TRIM(INDEX('Pegar calibracion'!$A$1:$BZ$1001,656,G$2)&amp;""),""))</f>
        <v/>
      </c>
      <c r="H657">
        <f>IF(H$2=0,"",IFERROR(TRIM(INDEX('Pegar calibracion'!$A$1:$BZ$1001,656,H$2)&amp;""),""))</f>
        <v/>
      </c>
      <c r="I657">
        <f>IF(I$2=0,"",IFERROR(TRIM(INDEX('Pegar calibracion'!$A$1:$BZ$1001,656,I$2)&amp;""),""))</f>
        <v/>
      </c>
      <c r="J657">
        <f>IF(J$2=0,"",IFERROR(TRIM(INDEX('Pegar calibracion'!$A$1:$BZ$1001,656,J$2)&amp;""),""))</f>
        <v/>
      </c>
      <c r="K657">
        <f>IF(K$2=0,"",IFERROR(TRIM(INDEX('Pegar calibracion'!$A$1:$BZ$1001,656,K$2)&amp;""),""))</f>
        <v/>
      </c>
      <c r="L657">
        <f>IF(L$2=0,"",IFERROR(TRIM(INDEX('Pegar calibracion'!$A$1:$BZ$1001,656,L$2)&amp;""),""))</f>
        <v/>
      </c>
      <c r="M657" s="25">
        <f>IF(D657="","",SUBSTITUTE(SUBSTITUTE(SUBSTITUTE(SUBSTITUTE(SUBSTITUTE(SUBSTITUTE(SUBSTITUTE(SUBSTITUTE(SUBSTITUTE(SUBSTITUTE(SUBSTITUTE(SUBSTITUTE(LOWER(TRIM(D657)),"á","a"),"é","e"),"í","i"),"ó","o"),"ú","u"),"ü","u"),"ñ","n"),"à","a"),"è","e"),"ì","i"),"ò","o"),"ù","u"))</f>
        <v/>
      </c>
      <c r="N657" s="25">
        <f>IF(F657="","",SUBSTITUTE(SUBSTITUTE(SUBSTITUTE(SUBSTITUTE(SUBSTITUTE(SUBSTITUTE(SUBSTITUTE(SUBSTITUTE(SUBSTITUTE(SUBSTITUTE(SUBSTITUTE(SUBSTITUTE(LOWER(TRIM(F657)),"á","a"),"é","e"),"í","i"),"ó","o"),"ú","u"),"ü","u"),"ñ","n"),"à","a"),"è","e"),"ì","i"),"ò","o"),"ù","u"))</f>
        <v/>
      </c>
      <c r="O657" s="25">
        <f>IF(M657="confiable",2,IF(M657="dudosa",1,IF(M657="no confiable",0,"")))</f>
        <v/>
      </c>
      <c r="P657" s="25">
        <f>IF(N657="confiable",2,IF(N657="dudosa",1,IF(N657="no confiable",0,"")))</f>
        <v/>
      </c>
      <c r="Q657" s="25">
        <f>IF(AND(ISNUMBER(O657),ISNUMBER(P657)),1,"")</f>
        <v/>
      </c>
      <c r="R657" s="25">
        <f>IF(Q657=1,IF(O657=P657,"Sí","No"),"")</f>
        <v/>
      </c>
      <c r="S657" s="25">
        <f>IF(Q657=1,IF(P657&lt;O657,"Más estricto",IF(P657&gt;O657,"Más permisivo","Igual")),"")</f>
        <v/>
      </c>
      <c r="T657" s="25">
        <f>IF(Q657=1,IF(ABS(O657-P657)=2,1,0),"")</f>
        <v/>
      </c>
      <c r="U657" s="25">
        <f>IF(H657="","","|"&amp;SUBSTITUTE(SUBSTITUTE(TRIM(H657)," |","|"),"| ","|")&amp;"|")</f>
        <v/>
      </c>
      <c r="V657" s="25">
        <f>IF(AND(Q657=1,B657&lt;&gt;""),IF(IFERROR(COUNTIFS(B$3:B657,"="&amp;SUBSTITUTE(SUBSTITUTE(SUBSTITUTE(B657,"~","~~"),"*","~*"),"?","~?"),Q$3:Q657,1),0)=1,MAX(V$2:V656)+1,""),"")</f>
        <v/>
      </c>
      <c r="W657" s="25">
        <f>IF(V657="","",COUNTIFS($B$3:$B$1002,"="&amp;SUBSTITUTE(SUBSTITUTE(SUBSTITUTE(B657,"~","~~"),"*","~*"),"?","~?"),$Q$3:$Q$1002,1)*10000-V657)</f>
        <v/>
      </c>
      <c r="X657" s="25">
        <f>IF(Q657=1,IF(SUBSTITUTE(SUBSTITUTE(SUBSTITUTE(SUBSTITUTE(SUBSTITUTE(SUBSTITUTE(SUBSTITUTE(SUBSTITUTE(SUBSTITUTE(SUBSTITUTE(SUBSTITUTE(SUBSTITUTE(LOWER(TRIM(A657)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657)),"á","a"),"é","e"),"í","i"),"ó","o"),"ú","u"),"ü","u"),"ñ","n"),"à","a"),"è","e"),"ì","i"),"ò","o"),"ù","u")),"")</f>
        <v/>
      </c>
      <c r="Y657" s="25">
        <f>IF(X657="","",IF(IFERROR(COUNTIF(X$3:X657,"="&amp;SUBSTITUTE(SUBSTITUTE(SUBSTITUTE(X657,"~","~~"),"*","~*"),"?","~?")),0)=1,1,""))</f>
        <v/>
      </c>
      <c r="Z657" s="25">
        <f>IF(T657=1,MAX(Z$2:Z656)+1,"")</f>
        <v/>
      </c>
    </row>
    <row r="658">
      <c r="A658">
        <f>IF(A$2=0,"",IFERROR(TRIM(INDEX('Pegar calibracion'!$A$1:$BZ$1001,657,A$2)&amp;""),""))</f>
        <v/>
      </c>
      <c r="B658">
        <f>IF(B$2=0,"",IFERROR(TRIM(INDEX('Pegar calibracion'!$A$1:$BZ$1001,657,B$2)&amp;""),""))</f>
        <v/>
      </c>
      <c r="C658">
        <f>IF(C$2=0,"",IFERROR(TRIM(INDEX('Pegar calibracion'!$A$1:$BZ$1001,657,C$2)&amp;""),""))</f>
        <v/>
      </c>
      <c r="D658">
        <f>IF(D$2=0,"",IFERROR(TRIM(INDEX('Pegar calibracion'!$A$1:$BZ$1001,657,D$2)&amp;""),""))</f>
        <v/>
      </c>
      <c r="E658">
        <f>IF(E$2=0,"",IFERROR(TRIM(INDEX('Pegar calibracion'!$A$1:$BZ$1001,657,E$2)&amp;""),""))</f>
        <v/>
      </c>
      <c r="F658">
        <f>IF(F$2=0,"",IFERROR(TRIM(INDEX('Pegar calibracion'!$A$1:$BZ$1001,657,F$2)&amp;""),""))</f>
        <v/>
      </c>
      <c r="G658">
        <f>IF(G$2=0,"",IFERROR(TRIM(INDEX('Pegar calibracion'!$A$1:$BZ$1001,657,G$2)&amp;""),""))</f>
        <v/>
      </c>
      <c r="H658">
        <f>IF(H$2=0,"",IFERROR(TRIM(INDEX('Pegar calibracion'!$A$1:$BZ$1001,657,H$2)&amp;""),""))</f>
        <v/>
      </c>
      <c r="I658">
        <f>IF(I$2=0,"",IFERROR(TRIM(INDEX('Pegar calibracion'!$A$1:$BZ$1001,657,I$2)&amp;""),""))</f>
        <v/>
      </c>
      <c r="J658">
        <f>IF(J$2=0,"",IFERROR(TRIM(INDEX('Pegar calibracion'!$A$1:$BZ$1001,657,J$2)&amp;""),""))</f>
        <v/>
      </c>
      <c r="K658">
        <f>IF(K$2=0,"",IFERROR(TRIM(INDEX('Pegar calibracion'!$A$1:$BZ$1001,657,K$2)&amp;""),""))</f>
        <v/>
      </c>
      <c r="L658">
        <f>IF(L$2=0,"",IFERROR(TRIM(INDEX('Pegar calibracion'!$A$1:$BZ$1001,657,L$2)&amp;""),""))</f>
        <v/>
      </c>
      <c r="M658" s="25">
        <f>IF(D658="","",SUBSTITUTE(SUBSTITUTE(SUBSTITUTE(SUBSTITUTE(SUBSTITUTE(SUBSTITUTE(SUBSTITUTE(SUBSTITUTE(SUBSTITUTE(SUBSTITUTE(SUBSTITUTE(SUBSTITUTE(LOWER(TRIM(D658)),"á","a"),"é","e"),"í","i"),"ó","o"),"ú","u"),"ü","u"),"ñ","n"),"à","a"),"è","e"),"ì","i"),"ò","o"),"ù","u"))</f>
        <v/>
      </c>
      <c r="N658" s="25">
        <f>IF(F658="","",SUBSTITUTE(SUBSTITUTE(SUBSTITUTE(SUBSTITUTE(SUBSTITUTE(SUBSTITUTE(SUBSTITUTE(SUBSTITUTE(SUBSTITUTE(SUBSTITUTE(SUBSTITUTE(SUBSTITUTE(LOWER(TRIM(F658)),"á","a"),"é","e"),"í","i"),"ó","o"),"ú","u"),"ü","u"),"ñ","n"),"à","a"),"è","e"),"ì","i"),"ò","o"),"ù","u"))</f>
        <v/>
      </c>
      <c r="O658" s="25">
        <f>IF(M658="confiable",2,IF(M658="dudosa",1,IF(M658="no confiable",0,"")))</f>
        <v/>
      </c>
      <c r="P658" s="25">
        <f>IF(N658="confiable",2,IF(N658="dudosa",1,IF(N658="no confiable",0,"")))</f>
        <v/>
      </c>
      <c r="Q658" s="25">
        <f>IF(AND(ISNUMBER(O658),ISNUMBER(P658)),1,"")</f>
        <v/>
      </c>
      <c r="R658" s="25">
        <f>IF(Q658=1,IF(O658=P658,"Sí","No"),"")</f>
        <v/>
      </c>
      <c r="S658" s="25">
        <f>IF(Q658=1,IF(P658&lt;O658,"Más estricto",IF(P658&gt;O658,"Más permisivo","Igual")),"")</f>
        <v/>
      </c>
      <c r="T658" s="25">
        <f>IF(Q658=1,IF(ABS(O658-P658)=2,1,0),"")</f>
        <v/>
      </c>
      <c r="U658" s="25">
        <f>IF(H658="","","|"&amp;SUBSTITUTE(SUBSTITUTE(TRIM(H658)," |","|"),"| ","|")&amp;"|")</f>
        <v/>
      </c>
      <c r="V658" s="25">
        <f>IF(AND(Q658=1,B658&lt;&gt;""),IF(IFERROR(COUNTIFS(B$3:B658,"="&amp;SUBSTITUTE(SUBSTITUTE(SUBSTITUTE(B658,"~","~~"),"*","~*"),"?","~?"),Q$3:Q658,1),0)=1,MAX(V$2:V657)+1,""),"")</f>
        <v/>
      </c>
      <c r="W658" s="25">
        <f>IF(V658="","",COUNTIFS($B$3:$B$1002,"="&amp;SUBSTITUTE(SUBSTITUTE(SUBSTITUTE(B658,"~","~~"),"*","~*"),"?","~?"),$Q$3:$Q$1002,1)*10000-V658)</f>
        <v/>
      </c>
      <c r="X658" s="25">
        <f>IF(Q658=1,IF(SUBSTITUTE(SUBSTITUTE(SUBSTITUTE(SUBSTITUTE(SUBSTITUTE(SUBSTITUTE(SUBSTITUTE(SUBSTITUTE(SUBSTITUTE(SUBSTITUTE(SUBSTITUTE(SUBSTITUTE(LOWER(TRIM(A658)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658)),"á","a"),"é","e"),"í","i"),"ó","o"),"ú","u"),"ü","u"),"ñ","n"),"à","a"),"è","e"),"ì","i"),"ò","o"),"ù","u")),"")</f>
        <v/>
      </c>
      <c r="Y658" s="25">
        <f>IF(X658="","",IF(IFERROR(COUNTIF(X$3:X658,"="&amp;SUBSTITUTE(SUBSTITUTE(SUBSTITUTE(X658,"~","~~"),"*","~*"),"?","~?")),0)=1,1,""))</f>
        <v/>
      </c>
      <c r="Z658" s="25">
        <f>IF(T658=1,MAX(Z$2:Z657)+1,"")</f>
        <v/>
      </c>
    </row>
    <row r="659">
      <c r="A659">
        <f>IF(A$2=0,"",IFERROR(TRIM(INDEX('Pegar calibracion'!$A$1:$BZ$1001,658,A$2)&amp;""),""))</f>
        <v/>
      </c>
      <c r="B659">
        <f>IF(B$2=0,"",IFERROR(TRIM(INDEX('Pegar calibracion'!$A$1:$BZ$1001,658,B$2)&amp;""),""))</f>
        <v/>
      </c>
      <c r="C659">
        <f>IF(C$2=0,"",IFERROR(TRIM(INDEX('Pegar calibracion'!$A$1:$BZ$1001,658,C$2)&amp;""),""))</f>
        <v/>
      </c>
      <c r="D659">
        <f>IF(D$2=0,"",IFERROR(TRIM(INDEX('Pegar calibracion'!$A$1:$BZ$1001,658,D$2)&amp;""),""))</f>
        <v/>
      </c>
      <c r="E659">
        <f>IF(E$2=0,"",IFERROR(TRIM(INDEX('Pegar calibracion'!$A$1:$BZ$1001,658,E$2)&amp;""),""))</f>
        <v/>
      </c>
      <c r="F659">
        <f>IF(F$2=0,"",IFERROR(TRIM(INDEX('Pegar calibracion'!$A$1:$BZ$1001,658,F$2)&amp;""),""))</f>
        <v/>
      </c>
      <c r="G659">
        <f>IF(G$2=0,"",IFERROR(TRIM(INDEX('Pegar calibracion'!$A$1:$BZ$1001,658,G$2)&amp;""),""))</f>
        <v/>
      </c>
      <c r="H659">
        <f>IF(H$2=0,"",IFERROR(TRIM(INDEX('Pegar calibracion'!$A$1:$BZ$1001,658,H$2)&amp;""),""))</f>
        <v/>
      </c>
      <c r="I659">
        <f>IF(I$2=0,"",IFERROR(TRIM(INDEX('Pegar calibracion'!$A$1:$BZ$1001,658,I$2)&amp;""),""))</f>
        <v/>
      </c>
      <c r="J659">
        <f>IF(J$2=0,"",IFERROR(TRIM(INDEX('Pegar calibracion'!$A$1:$BZ$1001,658,J$2)&amp;""),""))</f>
        <v/>
      </c>
      <c r="K659">
        <f>IF(K$2=0,"",IFERROR(TRIM(INDEX('Pegar calibracion'!$A$1:$BZ$1001,658,K$2)&amp;""),""))</f>
        <v/>
      </c>
      <c r="L659">
        <f>IF(L$2=0,"",IFERROR(TRIM(INDEX('Pegar calibracion'!$A$1:$BZ$1001,658,L$2)&amp;""),""))</f>
        <v/>
      </c>
      <c r="M659" s="25">
        <f>IF(D659="","",SUBSTITUTE(SUBSTITUTE(SUBSTITUTE(SUBSTITUTE(SUBSTITUTE(SUBSTITUTE(SUBSTITUTE(SUBSTITUTE(SUBSTITUTE(SUBSTITUTE(SUBSTITUTE(SUBSTITUTE(LOWER(TRIM(D659)),"á","a"),"é","e"),"í","i"),"ó","o"),"ú","u"),"ü","u"),"ñ","n"),"à","a"),"è","e"),"ì","i"),"ò","o"),"ù","u"))</f>
        <v/>
      </c>
      <c r="N659" s="25">
        <f>IF(F659="","",SUBSTITUTE(SUBSTITUTE(SUBSTITUTE(SUBSTITUTE(SUBSTITUTE(SUBSTITUTE(SUBSTITUTE(SUBSTITUTE(SUBSTITUTE(SUBSTITUTE(SUBSTITUTE(SUBSTITUTE(LOWER(TRIM(F659)),"á","a"),"é","e"),"í","i"),"ó","o"),"ú","u"),"ü","u"),"ñ","n"),"à","a"),"è","e"),"ì","i"),"ò","o"),"ù","u"))</f>
        <v/>
      </c>
      <c r="O659" s="25">
        <f>IF(M659="confiable",2,IF(M659="dudosa",1,IF(M659="no confiable",0,"")))</f>
        <v/>
      </c>
      <c r="P659" s="25">
        <f>IF(N659="confiable",2,IF(N659="dudosa",1,IF(N659="no confiable",0,"")))</f>
        <v/>
      </c>
      <c r="Q659" s="25">
        <f>IF(AND(ISNUMBER(O659),ISNUMBER(P659)),1,"")</f>
        <v/>
      </c>
      <c r="R659" s="25">
        <f>IF(Q659=1,IF(O659=P659,"Sí","No"),"")</f>
        <v/>
      </c>
      <c r="S659" s="25">
        <f>IF(Q659=1,IF(P659&lt;O659,"Más estricto",IF(P659&gt;O659,"Más permisivo","Igual")),"")</f>
        <v/>
      </c>
      <c r="T659" s="25">
        <f>IF(Q659=1,IF(ABS(O659-P659)=2,1,0),"")</f>
        <v/>
      </c>
      <c r="U659" s="25">
        <f>IF(H659="","","|"&amp;SUBSTITUTE(SUBSTITUTE(TRIM(H659)," |","|"),"| ","|")&amp;"|")</f>
        <v/>
      </c>
      <c r="V659" s="25">
        <f>IF(AND(Q659=1,B659&lt;&gt;""),IF(IFERROR(COUNTIFS(B$3:B659,"="&amp;SUBSTITUTE(SUBSTITUTE(SUBSTITUTE(B659,"~","~~"),"*","~*"),"?","~?"),Q$3:Q659,1),0)=1,MAX(V$2:V658)+1,""),"")</f>
        <v/>
      </c>
      <c r="W659" s="25">
        <f>IF(V659="","",COUNTIFS($B$3:$B$1002,"="&amp;SUBSTITUTE(SUBSTITUTE(SUBSTITUTE(B659,"~","~~"),"*","~*"),"?","~?"),$Q$3:$Q$1002,1)*10000-V659)</f>
        <v/>
      </c>
      <c r="X659" s="25">
        <f>IF(Q659=1,IF(SUBSTITUTE(SUBSTITUTE(SUBSTITUTE(SUBSTITUTE(SUBSTITUTE(SUBSTITUTE(SUBSTITUTE(SUBSTITUTE(SUBSTITUTE(SUBSTITUTE(SUBSTITUTE(SUBSTITUTE(LOWER(TRIM(A659)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659)),"á","a"),"é","e"),"í","i"),"ó","o"),"ú","u"),"ü","u"),"ñ","n"),"à","a"),"è","e"),"ì","i"),"ò","o"),"ù","u")),"")</f>
        <v/>
      </c>
      <c r="Y659" s="25">
        <f>IF(X659="","",IF(IFERROR(COUNTIF(X$3:X659,"="&amp;SUBSTITUTE(SUBSTITUTE(SUBSTITUTE(X659,"~","~~"),"*","~*"),"?","~?")),0)=1,1,""))</f>
        <v/>
      </c>
      <c r="Z659" s="25">
        <f>IF(T659=1,MAX(Z$2:Z658)+1,"")</f>
        <v/>
      </c>
    </row>
    <row r="660">
      <c r="A660">
        <f>IF(A$2=0,"",IFERROR(TRIM(INDEX('Pegar calibracion'!$A$1:$BZ$1001,659,A$2)&amp;""),""))</f>
        <v/>
      </c>
      <c r="B660">
        <f>IF(B$2=0,"",IFERROR(TRIM(INDEX('Pegar calibracion'!$A$1:$BZ$1001,659,B$2)&amp;""),""))</f>
        <v/>
      </c>
      <c r="C660">
        <f>IF(C$2=0,"",IFERROR(TRIM(INDEX('Pegar calibracion'!$A$1:$BZ$1001,659,C$2)&amp;""),""))</f>
        <v/>
      </c>
      <c r="D660">
        <f>IF(D$2=0,"",IFERROR(TRIM(INDEX('Pegar calibracion'!$A$1:$BZ$1001,659,D$2)&amp;""),""))</f>
        <v/>
      </c>
      <c r="E660">
        <f>IF(E$2=0,"",IFERROR(TRIM(INDEX('Pegar calibracion'!$A$1:$BZ$1001,659,E$2)&amp;""),""))</f>
        <v/>
      </c>
      <c r="F660">
        <f>IF(F$2=0,"",IFERROR(TRIM(INDEX('Pegar calibracion'!$A$1:$BZ$1001,659,F$2)&amp;""),""))</f>
        <v/>
      </c>
      <c r="G660">
        <f>IF(G$2=0,"",IFERROR(TRIM(INDEX('Pegar calibracion'!$A$1:$BZ$1001,659,G$2)&amp;""),""))</f>
        <v/>
      </c>
      <c r="H660">
        <f>IF(H$2=0,"",IFERROR(TRIM(INDEX('Pegar calibracion'!$A$1:$BZ$1001,659,H$2)&amp;""),""))</f>
        <v/>
      </c>
      <c r="I660">
        <f>IF(I$2=0,"",IFERROR(TRIM(INDEX('Pegar calibracion'!$A$1:$BZ$1001,659,I$2)&amp;""),""))</f>
        <v/>
      </c>
      <c r="J660">
        <f>IF(J$2=0,"",IFERROR(TRIM(INDEX('Pegar calibracion'!$A$1:$BZ$1001,659,J$2)&amp;""),""))</f>
        <v/>
      </c>
      <c r="K660">
        <f>IF(K$2=0,"",IFERROR(TRIM(INDEX('Pegar calibracion'!$A$1:$BZ$1001,659,K$2)&amp;""),""))</f>
        <v/>
      </c>
      <c r="L660">
        <f>IF(L$2=0,"",IFERROR(TRIM(INDEX('Pegar calibracion'!$A$1:$BZ$1001,659,L$2)&amp;""),""))</f>
        <v/>
      </c>
      <c r="M660" s="25">
        <f>IF(D660="","",SUBSTITUTE(SUBSTITUTE(SUBSTITUTE(SUBSTITUTE(SUBSTITUTE(SUBSTITUTE(SUBSTITUTE(SUBSTITUTE(SUBSTITUTE(SUBSTITUTE(SUBSTITUTE(SUBSTITUTE(LOWER(TRIM(D660)),"á","a"),"é","e"),"í","i"),"ó","o"),"ú","u"),"ü","u"),"ñ","n"),"à","a"),"è","e"),"ì","i"),"ò","o"),"ù","u"))</f>
        <v/>
      </c>
      <c r="N660" s="25">
        <f>IF(F660="","",SUBSTITUTE(SUBSTITUTE(SUBSTITUTE(SUBSTITUTE(SUBSTITUTE(SUBSTITUTE(SUBSTITUTE(SUBSTITUTE(SUBSTITUTE(SUBSTITUTE(SUBSTITUTE(SUBSTITUTE(LOWER(TRIM(F660)),"á","a"),"é","e"),"í","i"),"ó","o"),"ú","u"),"ü","u"),"ñ","n"),"à","a"),"è","e"),"ì","i"),"ò","o"),"ù","u"))</f>
        <v/>
      </c>
      <c r="O660" s="25">
        <f>IF(M660="confiable",2,IF(M660="dudosa",1,IF(M660="no confiable",0,"")))</f>
        <v/>
      </c>
      <c r="P660" s="25">
        <f>IF(N660="confiable",2,IF(N660="dudosa",1,IF(N660="no confiable",0,"")))</f>
        <v/>
      </c>
      <c r="Q660" s="25">
        <f>IF(AND(ISNUMBER(O660),ISNUMBER(P660)),1,"")</f>
        <v/>
      </c>
      <c r="R660" s="25">
        <f>IF(Q660=1,IF(O660=P660,"Sí","No"),"")</f>
        <v/>
      </c>
      <c r="S660" s="25">
        <f>IF(Q660=1,IF(P660&lt;O660,"Más estricto",IF(P660&gt;O660,"Más permisivo","Igual")),"")</f>
        <v/>
      </c>
      <c r="T660" s="25">
        <f>IF(Q660=1,IF(ABS(O660-P660)=2,1,0),"")</f>
        <v/>
      </c>
      <c r="U660" s="25">
        <f>IF(H660="","","|"&amp;SUBSTITUTE(SUBSTITUTE(TRIM(H660)," |","|"),"| ","|")&amp;"|")</f>
        <v/>
      </c>
      <c r="V660" s="25">
        <f>IF(AND(Q660=1,B660&lt;&gt;""),IF(IFERROR(COUNTIFS(B$3:B660,"="&amp;SUBSTITUTE(SUBSTITUTE(SUBSTITUTE(B660,"~","~~"),"*","~*"),"?","~?"),Q$3:Q660,1),0)=1,MAX(V$2:V659)+1,""),"")</f>
        <v/>
      </c>
      <c r="W660" s="25">
        <f>IF(V660="","",COUNTIFS($B$3:$B$1002,"="&amp;SUBSTITUTE(SUBSTITUTE(SUBSTITUTE(B660,"~","~~"),"*","~*"),"?","~?"),$Q$3:$Q$1002,1)*10000-V660)</f>
        <v/>
      </c>
      <c r="X660" s="25">
        <f>IF(Q660=1,IF(SUBSTITUTE(SUBSTITUTE(SUBSTITUTE(SUBSTITUTE(SUBSTITUTE(SUBSTITUTE(SUBSTITUTE(SUBSTITUTE(SUBSTITUTE(SUBSTITUTE(SUBSTITUTE(SUBSTITUTE(LOWER(TRIM(A660)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660)),"á","a"),"é","e"),"í","i"),"ó","o"),"ú","u"),"ü","u"),"ñ","n"),"à","a"),"è","e"),"ì","i"),"ò","o"),"ù","u")),"")</f>
        <v/>
      </c>
      <c r="Y660" s="25">
        <f>IF(X660="","",IF(IFERROR(COUNTIF(X$3:X660,"="&amp;SUBSTITUTE(SUBSTITUTE(SUBSTITUTE(X660,"~","~~"),"*","~*"),"?","~?")),0)=1,1,""))</f>
        <v/>
      </c>
      <c r="Z660" s="25">
        <f>IF(T660=1,MAX(Z$2:Z659)+1,"")</f>
        <v/>
      </c>
    </row>
    <row r="661">
      <c r="A661">
        <f>IF(A$2=0,"",IFERROR(TRIM(INDEX('Pegar calibracion'!$A$1:$BZ$1001,660,A$2)&amp;""),""))</f>
        <v/>
      </c>
      <c r="B661">
        <f>IF(B$2=0,"",IFERROR(TRIM(INDEX('Pegar calibracion'!$A$1:$BZ$1001,660,B$2)&amp;""),""))</f>
        <v/>
      </c>
      <c r="C661">
        <f>IF(C$2=0,"",IFERROR(TRIM(INDEX('Pegar calibracion'!$A$1:$BZ$1001,660,C$2)&amp;""),""))</f>
        <v/>
      </c>
      <c r="D661">
        <f>IF(D$2=0,"",IFERROR(TRIM(INDEX('Pegar calibracion'!$A$1:$BZ$1001,660,D$2)&amp;""),""))</f>
        <v/>
      </c>
      <c r="E661">
        <f>IF(E$2=0,"",IFERROR(TRIM(INDEX('Pegar calibracion'!$A$1:$BZ$1001,660,E$2)&amp;""),""))</f>
        <v/>
      </c>
      <c r="F661">
        <f>IF(F$2=0,"",IFERROR(TRIM(INDEX('Pegar calibracion'!$A$1:$BZ$1001,660,F$2)&amp;""),""))</f>
        <v/>
      </c>
      <c r="G661">
        <f>IF(G$2=0,"",IFERROR(TRIM(INDEX('Pegar calibracion'!$A$1:$BZ$1001,660,G$2)&amp;""),""))</f>
        <v/>
      </c>
      <c r="H661">
        <f>IF(H$2=0,"",IFERROR(TRIM(INDEX('Pegar calibracion'!$A$1:$BZ$1001,660,H$2)&amp;""),""))</f>
        <v/>
      </c>
      <c r="I661">
        <f>IF(I$2=0,"",IFERROR(TRIM(INDEX('Pegar calibracion'!$A$1:$BZ$1001,660,I$2)&amp;""),""))</f>
        <v/>
      </c>
      <c r="J661">
        <f>IF(J$2=0,"",IFERROR(TRIM(INDEX('Pegar calibracion'!$A$1:$BZ$1001,660,J$2)&amp;""),""))</f>
        <v/>
      </c>
      <c r="K661">
        <f>IF(K$2=0,"",IFERROR(TRIM(INDEX('Pegar calibracion'!$A$1:$BZ$1001,660,K$2)&amp;""),""))</f>
        <v/>
      </c>
      <c r="L661">
        <f>IF(L$2=0,"",IFERROR(TRIM(INDEX('Pegar calibracion'!$A$1:$BZ$1001,660,L$2)&amp;""),""))</f>
        <v/>
      </c>
      <c r="M661" s="25">
        <f>IF(D661="","",SUBSTITUTE(SUBSTITUTE(SUBSTITUTE(SUBSTITUTE(SUBSTITUTE(SUBSTITUTE(SUBSTITUTE(SUBSTITUTE(SUBSTITUTE(SUBSTITUTE(SUBSTITUTE(SUBSTITUTE(LOWER(TRIM(D661)),"á","a"),"é","e"),"í","i"),"ó","o"),"ú","u"),"ü","u"),"ñ","n"),"à","a"),"è","e"),"ì","i"),"ò","o"),"ù","u"))</f>
        <v/>
      </c>
      <c r="N661" s="25">
        <f>IF(F661="","",SUBSTITUTE(SUBSTITUTE(SUBSTITUTE(SUBSTITUTE(SUBSTITUTE(SUBSTITUTE(SUBSTITUTE(SUBSTITUTE(SUBSTITUTE(SUBSTITUTE(SUBSTITUTE(SUBSTITUTE(LOWER(TRIM(F661)),"á","a"),"é","e"),"í","i"),"ó","o"),"ú","u"),"ü","u"),"ñ","n"),"à","a"),"è","e"),"ì","i"),"ò","o"),"ù","u"))</f>
        <v/>
      </c>
      <c r="O661" s="25">
        <f>IF(M661="confiable",2,IF(M661="dudosa",1,IF(M661="no confiable",0,"")))</f>
        <v/>
      </c>
      <c r="P661" s="25">
        <f>IF(N661="confiable",2,IF(N661="dudosa",1,IF(N661="no confiable",0,"")))</f>
        <v/>
      </c>
      <c r="Q661" s="25">
        <f>IF(AND(ISNUMBER(O661),ISNUMBER(P661)),1,"")</f>
        <v/>
      </c>
      <c r="R661" s="25">
        <f>IF(Q661=1,IF(O661=P661,"Sí","No"),"")</f>
        <v/>
      </c>
      <c r="S661" s="25">
        <f>IF(Q661=1,IF(P661&lt;O661,"Más estricto",IF(P661&gt;O661,"Más permisivo","Igual")),"")</f>
        <v/>
      </c>
      <c r="T661" s="25">
        <f>IF(Q661=1,IF(ABS(O661-P661)=2,1,0),"")</f>
        <v/>
      </c>
      <c r="U661" s="25">
        <f>IF(H661="","","|"&amp;SUBSTITUTE(SUBSTITUTE(TRIM(H661)," |","|"),"| ","|")&amp;"|")</f>
        <v/>
      </c>
      <c r="V661" s="25">
        <f>IF(AND(Q661=1,B661&lt;&gt;""),IF(IFERROR(COUNTIFS(B$3:B661,"="&amp;SUBSTITUTE(SUBSTITUTE(SUBSTITUTE(B661,"~","~~"),"*","~*"),"?","~?"),Q$3:Q661,1),0)=1,MAX(V$2:V660)+1,""),"")</f>
        <v/>
      </c>
      <c r="W661" s="25">
        <f>IF(V661="","",COUNTIFS($B$3:$B$1002,"="&amp;SUBSTITUTE(SUBSTITUTE(SUBSTITUTE(B661,"~","~~"),"*","~*"),"?","~?"),$Q$3:$Q$1002,1)*10000-V661)</f>
        <v/>
      </c>
      <c r="X661" s="25">
        <f>IF(Q661=1,IF(SUBSTITUTE(SUBSTITUTE(SUBSTITUTE(SUBSTITUTE(SUBSTITUTE(SUBSTITUTE(SUBSTITUTE(SUBSTITUTE(SUBSTITUTE(SUBSTITUTE(SUBSTITUTE(SUBSTITUTE(LOWER(TRIM(A661)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661)),"á","a"),"é","e"),"í","i"),"ó","o"),"ú","u"),"ü","u"),"ñ","n"),"à","a"),"è","e"),"ì","i"),"ò","o"),"ù","u")),"")</f>
        <v/>
      </c>
      <c r="Y661" s="25">
        <f>IF(X661="","",IF(IFERROR(COUNTIF(X$3:X661,"="&amp;SUBSTITUTE(SUBSTITUTE(SUBSTITUTE(X661,"~","~~"),"*","~*"),"?","~?")),0)=1,1,""))</f>
        <v/>
      </c>
      <c r="Z661" s="25">
        <f>IF(T661=1,MAX(Z$2:Z660)+1,"")</f>
        <v/>
      </c>
    </row>
    <row r="662">
      <c r="A662">
        <f>IF(A$2=0,"",IFERROR(TRIM(INDEX('Pegar calibracion'!$A$1:$BZ$1001,661,A$2)&amp;""),""))</f>
        <v/>
      </c>
      <c r="B662">
        <f>IF(B$2=0,"",IFERROR(TRIM(INDEX('Pegar calibracion'!$A$1:$BZ$1001,661,B$2)&amp;""),""))</f>
        <v/>
      </c>
      <c r="C662">
        <f>IF(C$2=0,"",IFERROR(TRIM(INDEX('Pegar calibracion'!$A$1:$BZ$1001,661,C$2)&amp;""),""))</f>
        <v/>
      </c>
      <c r="D662">
        <f>IF(D$2=0,"",IFERROR(TRIM(INDEX('Pegar calibracion'!$A$1:$BZ$1001,661,D$2)&amp;""),""))</f>
        <v/>
      </c>
      <c r="E662">
        <f>IF(E$2=0,"",IFERROR(TRIM(INDEX('Pegar calibracion'!$A$1:$BZ$1001,661,E$2)&amp;""),""))</f>
        <v/>
      </c>
      <c r="F662">
        <f>IF(F$2=0,"",IFERROR(TRIM(INDEX('Pegar calibracion'!$A$1:$BZ$1001,661,F$2)&amp;""),""))</f>
        <v/>
      </c>
      <c r="G662">
        <f>IF(G$2=0,"",IFERROR(TRIM(INDEX('Pegar calibracion'!$A$1:$BZ$1001,661,G$2)&amp;""),""))</f>
        <v/>
      </c>
      <c r="H662">
        <f>IF(H$2=0,"",IFERROR(TRIM(INDEX('Pegar calibracion'!$A$1:$BZ$1001,661,H$2)&amp;""),""))</f>
        <v/>
      </c>
      <c r="I662">
        <f>IF(I$2=0,"",IFERROR(TRIM(INDEX('Pegar calibracion'!$A$1:$BZ$1001,661,I$2)&amp;""),""))</f>
        <v/>
      </c>
      <c r="J662">
        <f>IF(J$2=0,"",IFERROR(TRIM(INDEX('Pegar calibracion'!$A$1:$BZ$1001,661,J$2)&amp;""),""))</f>
        <v/>
      </c>
      <c r="K662">
        <f>IF(K$2=0,"",IFERROR(TRIM(INDEX('Pegar calibracion'!$A$1:$BZ$1001,661,K$2)&amp;""),""))</f>
        <v/>
      </c>
      <c r="L662">
        <f>IF(L$2=0,"",IFERROR(TRIM(INDEX('Pegar calibracion'!$A$1:$BZ$1001,661,L$2)&amp;""),""))</f>
        <v/>
      </c>
      <c r="M662" s="25">
        <f>IF(D662="","",SUBSTITUTE(SUBSTITUTE(SUBSTITUTE(SUBSTITUTE(SUBSTITUTE(SUBSTITUTE(SUBSTITUTE(SUBSTITUTE(SUBSTITUTE(SUBSTITUTE(SUBSTITUTE(SUBSTITUTE(LOWER(TRIM(D662)),"á","a"),"é","e"),"í","i"),"ó","o"),"ú","u"),"ü","u"),"ñ","n"),"à","a"),"è","e"),"ì","i"),"ò","o"),"ù","u"))</f>
        <v/>
      </c>
      <c r="N662" s="25">
        <f>IF(F662="","",SUBSTITUTE(SUBSTITUTE(SUBSTITUTE(SUBSTITUTE(SUBSTITUTE(SUBSTITUTE(SUBSTITUTE(SUBSTITUTE(SUBSTITUTE(SUBSTITUTE(SUBSTITUTE(SUBSTITUTE(LOWER(TRIM(F662)),"á","a"),"é","e"),"í","i"),"ó","o"),"ú","u"),"ü","u"),"ñ","n"),"à","a"),"è","e"),"ì","i"),"ò","o"),"ù","u"))</f>
        <v/>
      </c>
      <c r="O662" s="25">
        <f>IF(M662="confiable",2,IF(M662="dudosa",1,IF(M662="no confiable",0,"")))</f>
        <v/>
      </c>
      <c r="P662" s="25">
        <f>IF(N662="confiable",2,IF(N662="dudosa",1,IF(N662="no confiable",0,"")))</f>
        <v/>
      </c>
      <c r="Q662" s="25">
        <f>IF(AND(ISNUMBER(O662),ISNUMBER(P662)),1,"")</f>
        <v/>
      </c>
      <c r="R662" s="25">
        <f>IF(Q662=1,IF(O662=P662,"Sí","No"),"")</f>
        <v/>
      </c>
      <c r="S662" s="25">
        <f>IF(Q662=1,IF(P662&lt;O662,"Más estricto",IF(P662&gt;O662,"Más permisivo","Igual")),"")</f>
        <v/>
      </c>
      <c r="T662" s="25">
        <f>IF(Q662=1,IF(ABS(O662-P662)=2,1,0),"")</f>
        <v/>
      </c>
      <c r="U662" s="25">
        <f>IF(H662="","","|"&amp;SUBSTITUTE(SUBSTITUTE(TRIM(H662)," |","|"),"| ","|")&amp;"|")</f>
        <v/>
      </c>
      <c r="V662" s="25">
        <f>IF(AND(Q662=1,B662&lt;&gt;""),IF(IFERROR(COUNTIFS(B$3:B662,"="&amp;SUBSTITUTE(SUBSTITUTE(SUBSTITUTE(B662,"~","~~"),"*","~*"),"?","~?"),Q$3:Q662,1),0)=1,MAX(V$2:V661)+1,""),"")</f>
        <v/>
      </c>
      <c r="W662" s="25">
        <f>IF(V662="","",COUNTIFS($B$3:$B$1002,"="&amp;SUBSTITUTE(SUBSTITUTE(SUBSTITUTE(B662,"~","~~"),"*","~*"),"?","~?"),$Q$3:$Q$1002,1)*10000-V662)</f>
        <v/>
      </c>
      <c r="X662" s="25">
        <f>IF(Q662=1,IF(SUBSTITUTE(SUBSTITUTE(SUBSTITUTE(SUBSTITUTE(SUBSTITUTE(SUBSTITUTE(SUBSTITUTE(SUBSTITUTE(SUBSTITUTE(SUBSTITUTE(SUBSTITUTE(SUBSTITUTE(LOWER(TRIM(A662)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662)),"á","a"),"é","e"),"í","i"),"ó","o"),"ú","u"),"ü","u"),"ñ","n"),"à","a"),"è","e"),"ì","i"),"ò","o"),"ù","u")),"")</f>
        <v/>
      </c>
      <c r="Y662" s="25">
        <f>IF(X662="","",IF(IFERROR(COUNTIF(X$3:X662,"="&amp;SUBSTITUTE(SUBSTITUTE(SUBSTITUTE(X662,"~","~~"),"*","~*"),"?","~?")),0)=1,1,""))</f>
        <v/>
      </c>
      <c r="Z662" s="25">
        <f>IF(T662=1,MAX(Z$2:Z661)+1,"")</f>
        <v/>
      </c>
    </row>
    <row r="663">
      <c r="A663">
        <f>IF(A$2=0,"",IFERROR(TRIM(INDEX('Pegar calibracion'!$A$1:$BZ$1001,662,A$2)&amp;""),""))</f>
        <v/>
      </c>
      <c r="B663">
        <f>IF(B$2=0,"",IFERROR(TRIM(INDEX('Pegar calibracion'!$A$1:$BZ$1001,662,B$2)&amp;""),""))</f>
        <v/>
      </c>
      <c r="C663">
        <f>IF(C$2=0,"",IFERROR(TRIM(INDEX('Pegar calibracion'!$A$1:$BZ$1001,662,C$2)&amp;""),""))</f>
        <v/>
      </c>
      <c r="D663">
        <f>IF(D$2=0,"",IFERROR(TRIM(INDEX('Pegar calibracion'!$A$1:$BZ$1001,662,D$2)&amp;""),""))</f>
        <v/>
      </c>
      <c r="E663">
        <f>IF(E$2=0,"",IFERROR(TRIM(INDEX('Pegar calibracion'!$A$1:$BZ$1001,662,E$2)&amp;""),""))</f>
        <v/>
      </c>
      <c r="F663">
        <f>IF(F$2=0,"",IFERROR(TRIM(INDEX('Pegar calibracion'!$A$1:$BZ$1001,662,F$2)&amp;""),""))</f>
        <v/>
      </c>
      <c r="G663">
        <f>IF(G$2=0,"",IFERROR(TRIM(INDEX('Pegar calibracion'!$A$1:$BZ$1001,662,G$2)&amp;""),""))</f>
        <v/>
      </c>
      <c r="H663">
        <f>IF(H$2=0,"",IFERROR(TRIM(INDEX('Pegar calibracion'!$A$1:$BZ$1001,662,H$2)&amp;""),""))</f>
        <v/>
      </c>
      <c r="I663">
        <f>IF(I$2=0,"",IFERROR(TRIM(INDEX('Pegar calibracion'!$A$1:$BZ$1001,662,I$2)&amp;""),""))</f>
        <v/>
      </c>
      <c r="J663">
        <f>IF(J$2=0,"",IFERROR(TRIM(INDEX('Pegar calibracion'!$A$1:$BZ$1001,662,J$2)&amp;""),""))</f>
        <v/>
      </c>
      <c r="K663">
        <f>IF(K$2=0,"",IFERROR(TRIM(INDEX('Pegar calibracion'!$A$1:$BZ$1001,662,K$2)&amp;""),""))</f>
        <v/>
      </c>
      <c r="L663">
        <f>IF(L$2=0,"",IFERROR(TRIM(INDEX('Pegar calibracion'!$A$1:$BZ$1001,662,L$2)&amp;""),""))</f>
        <v/>
      </c>
      <c r="M663" s="25">
        <f>IF(D663="","",SUBSTITUTE(SUBSTITUTE(SUBSTITUTE(SUBSTITUTE(SUBSTITUTE(SUBSTITUTE(SUBSTITUTE(SUBSTITUTE(SUBSTITUTE(SUBSTITUTE(SUBSTITUTE(SUBSTITUTE(LOWER(TRIM(D663)),"á","a"),"é","e"),"í","i"),"ó","o"),"ú","u"),"ü","u"),"ñ","n"),"à","a"),"è","e"),"ì","i"),"ò","o"),"ù","u"))</f>
        <v/>
      </c>
      <c r="N663" s="25">
        <f>IF(F663="","",SUBSTITUTE(SUBSTITUTE(SUBSTITUTE(SUBSTITUTE(SUBSTITUTE(SUBSTITUTE(SUBSTITUTE(SUBSTITUTE(SUBSTITUTE(SUBSTITUTE(SUBSTITUTE(SUBSTITUTE(LOWER(TRIM(F663)),"á","a"),"é","e"),"í","i"),"ó","o"),"ú","u"),"ü","u"),"ñ","n"),"à","a"),"è","e"),"ì","i"),"ò","o"),"ù","u"))</f>
        <v/>
      </c>
      <c r="O663" s="25">
        <f>IF(M663="confiable",2,IF(M663="dudosa",1,IF(M663="no confiable",0,"")))</f>
        <v/>
      </c>
      <c r="P663" s="25">
        <f>IF(N663="confiable",2,IF(N663="dudosa",1,IF(N663="no confiable",0,"")))</f>
        <v/>
      </c>
      <c r="Q663" s="25">
        <f>IF(AND(ISNUMBER(O663),ISNUMBER(P663)),1,"")</f>
        <v/>
      </c>
      <c r="R663" s="25">
        <f>IF(Q663=1,IF(O663=P663,"Sí","No"),"")</f>
        <v/>
      </c>
      <c r="S663" s="25">
        <f>IF(Q663=1,IF(P663&lt;O663,"Más estricto",IF(P663&gt;O663,"Más permisivo","Igual")),"")</f>
        <v/>
      </c>
      <c r="T663" s="25">
        <f>IF(Q663=1,IF(ABS(O663-P663)=2,1,0),"")</f>
        <v/>
      </c>
      <c r="U663" s="25">
        <f>IF(H663="","","|"&amp;SUBSTITUTE(SUBSTITUTE(TRIM(H663)," |","|"),"| ","|")&amp;"|")</f>
        <v/>
      </c>
      <c r="V663" s="25">
        <f>IF(AND(Q663=1,B663&lt;&gt;""),IF(IFERROR(COUNTIFS(B$3:B663,"="&amp;SUBSTITUTE(SUBSTITUTE(SUBSTITUTE(B663,"~","~~"),"*","~*"),"?","~?"),Q$3:Q663,1),0)=1,MAX(V$2:V662)+1,""),"")</f>
        <v/>
      </c>
      <c r="W663" s="25">
        <f>IF(V663="","",COUNTIFS($B$3:$B$1002,"="&amp;SUBSTITUTE(SUBSTITUTE(SUBSTITUTE(B663,"~","~~"),"*","~*"),"?","~?"),$Q$3:$Q$1002,1)*10000-V663)</f>
        <v/>
      </c>
      <c r="X663" s="25">
        <f>IF(Q663=1,IF(SUBSTITUTE(SUBSTITUTE(SUBSTITUTE(SUBSTITUTE(SUBSTITUTE(SUBSTITUTE(SUBSTITUTE(SUBSTITUTE(SUBSTITUTE(SUBSTITUTE(SUBSTITUTE(SUBSTITUTE(LOWER(TRIM(A663)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663)),"á","a"),"é","e"),"í","i"),"ó","o"),"ú","u"),"ü","u"),"ñ","n"),"à","a"),"è","e"),"ì","i"),"ò","o"),"ù","u")),"")</f>
        <v/>
      </c>
      <c r="Y663" s="25">
        <f>IF(X663="","",IF(IFERROR(COUNTIF(X$3:X663,"="&amp;SUBSTITUTE(SUBSTITUTE(SUBSTITUTE(X663,"~","~~"),"*","~*"),"?","~?")),0)=1,1,""))</f>
        <v/>
      </c>
      <c r="Z663" s="25">
        <f>IF(T663=1,MAX(Z$2:Z662)+1,"")</f>
        <v/>
      </c>
    </row>
    <row r="664">
      <c r="A664">
        <f>IF(A$2=0,"",IFERROR(TRIM(INDEX('Pegar calibracion'!$A$1:$BZ$1001,663,A$2)&amp;""),""))</f>
        <v/>
      </c>
      <c r="B664">
        <f>IF(B$2=0,"",IFERROR(TRIM(INDEX('Pegar calibracion'!$A$1:$BZ$1001,663,B$2)&amp;""),""))</f>
        <v/>
      </c>
      <c r="C664">
        <f>IF(C$2=0,"",IFERROR(TRIM(INDEX('Pegar calibracion'!$A$1:$BZ$1001,663,C$2)&amp;""),""))</f>
        <v/>
      </c>
      <c r="D664">
        <f>IF(D$2=0,"",IFERROR(TRIM(INDEX('Pegar calibracion'!$A$1:$BZ$1001,663,D$2)&amp;""),""))</f>
        <v/>
      </c>
      <c r="E664">
        <f>IF(E$2=0,"",IFERROR(TRIM(INDEX('Pegar calibracion'!$A$1:$BZ$1001,663,E$2)&amp;""),""))</f>
        <v/>
      </c>
      <c r="F664">
        <f>IF(F$2=0,"",IFERROR(TRIM(INDEX('Pegar calibracion'!$A$1:$BZ$1001,663,F$2)&amp;""),""))</f>
        <v/>
      </c>
      <c r="G664">
        <f>IF(G$2=0,"",IFERROR(TRIM(INDEX('Pegar calibracion'!$A$1:$BZ$1001,663,G$2)&amp;""),""))</f>
        <v/>
      </c>
      <c r="H664">
        <f>IF(H$2=0,"",IFERROR(TRIM(INDEX('Pegar calibracion'!$A$1:$BZ$1001,663,H$2)&amp;""),""))</f>
        <v/>
      </c>
      <c r="I664">
        <f>IF(I$2=0,"",IFERROR(TRIM(INDEX('Pegar calibracion'!$A$1:$BZ$1001,663,I$2)&amp;""),""))</f>
        <v/>
      </c>
      <c r="J664">
        <f>IF(J$2=0,"",IFERROR(TRIM(INDEX('Pegar calibracion'!$A$1:$BZ$1001,663,J$2)&amp;""),""))</f>
        <v/>
      </c>
      <c r="K664">
        <f>IF(K$2=0,"",IFERROR(TRIM(INDEX('Pegar calibracion'!$A$1:$BZ$1001,663,K$2)&amp;""),""))</f>
        <v/>
      </c>
      <c r="L664">
        <f>IF(L$2=0,"",IFERROR(TRIM(INDEX('Pegar calibracion'!$A$1:$BZ$1001,663,L$2)&amp;""),""))</f>
        <v/>
      </c>
      <c r="M664" s="25">
        <f>IF(D664="","",SUBSTITUTE(SUBSTITUTE(SUBSTITUTE(SUBSTITUTE(SUBSTITUTE(SUBSTITUTE(SUBSTITUTE(SUBSTITUTE(SUBSTITUTE(SUBSTITUTE(SUBSTITUTE(SUBSTITUTE(LOWER(TRIM(D664)),"á","a"),"é","e"),"í","i"),"ó","o"),"ú","u"),"ü","u"),"ñ","n"),"à","a"),"è","e"),"ì","i"),"ò","o"),"ù","u"))</f>
        <v/>
      </c>
      <c r="N664" s="25">
        <f>IF(F664="","",SUBSTITUTE(SUBSTITUTE(SUBSTITUTE(SUBSTITUTE(SUBSTITUTE(SUBSTITUTE(SUBSTITUTE(SUBSTITUTE(SUBSTITUTE(SUBSTITUTE(SUBSTITUTE(SUBSTITUTE(LOWER(TRIM(F664)),"á","a"),"é","e"),"í","i"),"ó","o"),"ú","u"),"ü","u"),"ñ","n"),"à","a"),"è","e"),"ì","i"),"ò","o"),"ù","u"))</f>
        <v/>
      </c>
      <c r="O664" s="25">
        <f>IF(M664="confiable",2,IF(M664="dudosa",1,IF(M664="no confiable",0,"")))</f>
        <v/>
      </c>
      <c r="P664" s="25">
        <f>IF(N664="confiable",2,IF(N664="dudosa",1,IF(N664="no confiable",0,"")))</f>
        <v/>
      </c>
      <c r="Q664" s="25">
        <f>IF(AND(ISNUMBER(O664),ISNUMBER(P664)),1,"")</f>
        <v/>
      </c>
      <c r="R664" s="25">
        <f>IF(Q664=1,IF(O664=P664,"Sí","No"),"")</f>
        <v/>
      </c>
      <c r="S664" s="25">
        <f>IF(Q664=1,IF(P664&lt;O664,"Más estricto",IF(P664&gt;O664,"Más permisivo","Igual")),"")</f>
        <v/>
      </c>
      <c r="T664" s="25">
        <f>IF(Q664=1,IF(ABS(O664-P664)=2,1,0),"")</f>
        <v/>
      </c>
      <c r="U664" s="25">
        <f>IF(H664="","","|"&amp;SUBSTITUTE(SUBSTITUTE(TRIM(H664)," |","|"),"| ","|")&amp;"|")</f>
        <v/>
      </c>
      <c r="V664" s="25">
        <f>IF(AND(Q664=1,B664&lt;&gt;""),IF(IFERROR(COUNTIFS(B$3:B664,"="&amp;SUBSTITUTE(SUBSTITUTE(SUBSTITUTE(B664,"~","~~"),"*","~*"),"?","~?"),Q$3:Q664,1),0)=1,MAX(V$2:V663)+1,""),"")</f>
        <v/>
      </c>
      <c r="W664" s="25">
        <f>IF(V664="","",COUNTIFS($B$3:$B$1002,"="&amp;SUBSTITUTE(SUBSTITUTE(SUBSTITUTE(B664,"~","~~"),"*","~*"),"?","~?"),$Q$3:$Q$1002,1)*10000-V664)</f>
        <v/>
      </c>
      <c r="X664" s="25">
        <f>IF(Q664=1,IF(SUBSTITUTE(SUBSTITUTE(SUBSTITUTE(SUBSTITUTE(SUBSTITUTE(SUBSTITUTE(SUBSTITUTE(SUBSTITUTE(SUBSTITUTE(SUBSTITUTE(SUBSTITUTE(SUBSTITUTE(LOWER(TRIM(A664)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664)),"á","a"),"é","e"),"í","i"),"ó","o"),"ú","u"),"ü","u"),"ñ","n"),"à","a"),"è","e"),"ì","i"),"ò","o"),"ù","u")),"")</f>
        <v/>
      </c>
      <c r="Y664" s="25">
        <f>IF(X664="","",IF(IFERROR(COUNTIF(X$3:X664,"="&amp;SUBSTITUTE(SUBSTITUTE(SUBSTITUTE(X664,"~","~~"),"*","~*"),"?","~?")),0)=1,1,""))</f>
        <v/>
      </c>
      <c r="Z664" s="25">
        <f>IF(T664=1,MAX(Z$2:Z663)+1,"")</f>
        <v/>
      </c>
    </row>
    <row r="665">
      <c r="A665">
        <f>IF(A$2=0,"",IFERROR(TRIM(INDEX('Pegar calibracion'!$A$1:$BZ$1001,664,A$2)&amp;""),""))</f>
        <v/>
      </c>
      <c r="B665">
        <f>IF(B$2=0,"",IFERROR(TRIM(INDEX('Pegar calibracion'!$A$1:$BZ$1001,664,B$2)&amp;""),""))</f>
        <v/>
      </c>
      <c r="C665">
        <f>IF(C$2=0,"",IFERROR(TRIM(INDEX('Pegar calibracion'!$A$1:$BZ$1001,664,C$2)&amp;""),""))</f>
        <v/>
      </c>
      <c r="D665">
        <f>IF(D$2=0,"",IFERROR(TRIM(INDEX('Pegar calibracion'!$A$1:$BZ$1001,664,D$2)&amp;""),""))</f>
        <v/>
      </c>
      <c r="E665">
        <f>IF(E$2=0,"",IFERROR(TRIM(INDEX('Pegar calibracion'!$A$1:$BZ$1001,664,E$2)&amp;""),""))</f>
        <v/>
      </c>
      <c r="F665">
        <f>IF(F$2=0,"",IFERROR(TRIM(INDEX('Pegar calibracion'!$A$1:$BZ$1001,664,F$2)&amp;""),""))</f>
        <v/>
      </c>
      <c r="G665">
        <f>IF(G$2=0,"",IFERROR(TRIM(INDEX('Pegar calibracion'!$A$1:$BZ$1001,664,G$2)&amp;""),""))</f>
        <v/>
      </c>
      <c r="H665">
        <f>IF(H$2=0,"",IFERROR(TRIM(INDEX('Pegar calibracion'!$A$1:$BZ$1001,664,H$2)&amp;""),""))</f>
        <v/>
      </c>
      <c r="I665">
        <f>IF(I$2=0,"",IFERROR(TRIM(INDEX('Pegar calibracion'!$A$1:$BZ$1001,664,I$2)&amp;""),""))</f>
        <v/>
      </c>
      <c r="J665">
        <f>IF(J$2=0,"",IFERROR(TRIM(INDEX('Pegar calibracion'!$A$1:$BZ$1001,664,J$2)&amp;""),""))</f>
        <v/>
      </c>
      <c r="K665">
        <f>IF(K$2=0,"",IFERROR(TRIM(INDEX('Pegar calibracion'!$A$1:$BZ$1001,664,K$2)&amp;""),""))</f>
        <v/>
      </c>
      <c r="L665">
        <f>IF(L$2=0,"",IFERROR(TRIM(INDEX('Pegar calibracion'!$A$1:$BZ$1001,664,L$2)&amp;""),""))</f>
        <v/>
      </c>
      <c r="M665" s="25">
        <f>IF(D665="","",SUBSTITUTE(SUBSTITUTE(SUBSTITUTE(SUBSTITUTE(SUBSTITUTE(SUBSTITUTE(SUBSTITUTE(SUBSTITUTE(SUBSTITUTE(SUBSTITUTE(SUBSTITUTE(SUBSTITUTE(LOWER(TRIM(D665)),"á","a"),"é","e"),"í","i"),"ó","o"),"ú","u"),"ü","u"),"ñ","n"),"à","a"),"è","e"),"ì","i"),"ò","o"),"ù","u"))</f>
        <v/>
      </c>
      <c r="N665" s="25">
        <f>IF(F665="","",SUBSTITUTE(SUBSTITUTE(SUBSTITUTE(SUBSTITUTE(SUBSTITUTE(SUBSTITUTE(SUBSTITUTE(SUBSTITUTE(SUBSTITUTE(SUBSTITUTE(SUBSTITUTE(SUBSTITUTE(LOWER(TRIM(F665)),"á","a"),"é","e"),"í","i"),"ó","o"),"ú","u"),"ü","u"),"ñ","n"),"à","a"),"è","e"),"ì","i"),"ò","o"),"ù","u"))</f>
        <v/>
      </c>
      <c r="O665" s="25">
        <f>IF(M665="confiable",2,IF(M665="dudosa",1,IF(M665="no confiable",0,"")))</f>
        <v/>
      </c>
      <c r="P665" s="25">
        <f>IF(N665="confiable",2,IF(N665="dudosa",1,IF(N665="no confiable",0,"")))</f>
        <v/>
      </c>
      <c r="Q665" s="25">
        <f>IF(AND(ISNUMBER(O665),ISNUMBER(P665)),1,"")</f>
        <v/>
      </c>
      <c r="R665" s="25">
        <f>IF(Q665=1,IF(O665=P665,"Sí","No"),"")</f>
        <v/>
      </c>
      <c r="S665" s="25">
        <f>IF(Q665=1,IF(P665&lt;O665,"Más estricto",IF(P665&gt;O665,"Más permisivo","Igual")),"")</f>
        <v/>
      </c>
      <c r="T665" s="25">
        <f>IF(Q665=1,IF(ABS(O665-P665)=2,1,0),"")</f>
        <v/>
      </c>
      <c r="U665" s="25">
        <f>IF(H665="","","|"&amp;SUBSTITUTE(SUBSTITUTE(TRIM(H665)," |","|"),"| ","|")&amp;"|")</f>
        <v/>
      </c>
      <c r="V665" s="25">
        <f>IF(AND(Q665=1,B665&lt;&gt;""),IF(IFERROR(COUNTIFS(B$3:B665,"="&amp;SUBSTITUTE(SUBSTITUTE(SUBSTITUTE(B665,"~","~~"),"*","~*"),"?","~?"),Q$3:Q665,1),0)=1,MAX(V$2:V664)+1,""),"")</f>
        <v/>
      </c>
      <c r="W665" s="25">
        <f>IF(V665="","",COUNTIFS($B$3:$B$1002,"="&amp;SUBSTITUTE(SUBSTITUTE(SUBSTITUTE(B665,"~","~~"),"*","~*"),"?","~?"),$Q$3:$Q$1002,1)*10000-V665)</f>
        <v/>
      </c>
      <c r="X665" s="25">
        <f>IF(Q665=1,IF(SUBSTITUTE(SUBSTITUTE(SUBSTITUTE(SUBSTITUTE(SUBSTITUTE(SUBSTITUTE(SUBSTITUTE(SUBSTITUTE(SUBSTITUTE(SUBSTITUTE(SUBSTITUTE(SUBSTITUTE(LOWER(TRIM(A665)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665)),"á","a"),"é","e"),"í","i"),"ó","o"),"ú","u"),"ü","u"),"ñ","n"),"à","a"),"è","e"),"ì","i"),"ò","o"),"ù","u")),"")</f>
        <v/>
      </c>
      <c r="Y665" s="25">
        <f>IF(X665="","",IF(IFERROR(COUNTIF(X$3:X665,"="&amp;SUBSTITUTE(SUBSTITUTE(SUBSTITUTE(X665,"~","~~"),"*","~*"),"?","~?")),0)=1,1,""))</f>
        <v/>
      </c>
      <c r="Z665" s="25">
        <f>IF(T665=1,MAX(Z$2:Z664)+1,"")</f>
        <v/>
      </c>
    </row>
    <row r="666">
      <c r="A666">
        <f>IF(A$2=0,"",IFERROR(TRIM(INDEX('Pegar calibracion'!$A$1:$BZ$1001,665,A$2)&amp;""),""))</f>
        <v/>
      </c>
      <c r="B666">
        <f>IF(B$2=0,"",IFERROR(TRIM(INDEX('Pegar calibracion'!$A$1:$BZ$1001,665,B$2)&amp;""),""))</f>
        <v/>
      </c>
      <c r="C666">
        <f>IF(C$2=0,"",IFERROR(TRIM(INDEX('Pegar calibracion'!$A$1:$BZ$1001,665,C$2)&amp;""),""))</f>
        <v/>
      </c>
      <c r="D666">
        <f>IF(D$2=0,"",IFERROR(TRIM(INDEX('Pegar calibracion'!$A$1:$BZ$1001,665,D$2)&amp;""),""))</f>
        <v/>
      </c>
      <c r="E666">
        <f>IF(E$2=0,"",IFERROR(TRIM(INDEX('Pegar calibracion'!$A$1:$BZ$1001,665,E$2)&amp;""),""))</f>
        <v/>
      </c>
      <c r="F666">
        <f>IF(F$2=0,"",IFERROR(TRIM(INDEX('Pegar calibracion'!$A$1:$BZ$1001,665,F$2)&amp;""),""))</f>
        <v/>
      </c>
      <c r="G666">
        <f>IF(G$2=0,"",IFERROR(TRIM(INDEX('Pegar calibracion'!$A$1:$BZ$1001,665,G$2)&amp;""),""))</f>
        <v/>
      </c>
      <c r="H666">
        <f>IF(H$2=0,"",IFERROR(TRIM(INDEX('Pegar calibracion'!$A$1:$BZ$1001,665,H$2)&amp;""),""))</f>
        <v/>
      </c>
      <c r="I666">
        <f>IF(I$2=0,"",IFERROR(TRIM(INDEX('Pegar calibracion'!$A$1:$BZ$1001,665,I$2)&amp;""),""))</f>
        <v/>
      </c>
      <c r="J666">
        <f>IF(J$2=0,"",IFERROR(TRIM(INDEX('Pegar calibracion'!$A$1:$BZ$1001,665,J$2)&amp;""),""))</f>
        <v/>
      </c>
      <c r="K666">
        <f>IF(K$2=0,"",IFERROR(TRIM(INDEX('Pegar calibracion'!$A$1:$BZ$1001,665,K$2)&amp;""),""))</f>
        <v/>
      </c>
      <c r="L666">
        <f>IF(L$2=0,"",IFERROR(TRIM(INDEX('Pegar calibracion'!$A$1:$BZ$1001,665,L$2)&amp;""),""))</f>
        <v/>
      </c>
      <c r="M666" s="25">
        <f>IF(D666="","",SUBSTITUTE(SUBSTITUTE(SUBSTITUTE(SUBSTITUTE(SUBSTITUTE(SUBSTITUTE(SUBSTITUTE(SUBSTITUTE(SUBSTITUTE(SUBSTITUTE(SUBSTITUTE(SUBSTITUTE(LOWER(TRIM(D666)),"á","a"),"é","e"),"í","i"),"ó","o"),"ú","u"),"ü","u"),"ñ","n"),"à","a"),"è","e"),"ì","i"),"ò","o"),"ù","u"))</f>
        <v/>
      </c>
      <c r="N666" s="25">
        <f>IF(F666="","",SUBSTITUTE(SUBSTITUTE(SUBSTITUTE(SUBSTITUTE(SUBSTITUTE(SUBSTITUTE(SUBSTITUTE(SUBSTITUTE(SUBSTITUTE(SUBSTITUTE(SUBSTITUTE(SUBSTITUTE(LOWER(TRIM(F666)),"á","a"),"é","e"),"í","i"),"ó","o"),"ú","u"),"ü","u"),"ñ","n"),"à","a"),"è","e"),"ì","i"),"ò","o"),"ù","u"))</f>
        <v/>
      </c>
      <c r="O666" s="25">
        <f>IF(M666="confiable",2,IF(M666="dudosa",1,IF(M666="no confiable",0,"")))</f>
        <v/>
      </c>
      <c r="P666" s="25">
        <f>IF(N666="confiable",2,IF(N666="dudosa",1,IF(N666="no confiable",0,"")))</f>
        <v/>
      </c>
      <c r="Q666" s="25">
        <f>IF(AND(ISNUMBER(O666),ISNUMBER(P666)),1,"")</f>
        <v/>
      </c>
      <c r="R666" s="25">
        <f>IF(Q666=1,IF(O666=P666,"Sí","No"),"")</f>
        <v/>
      </c>
      <c r="S666" s="25">
        <f>IF(Q666=1,IF(P666&lt;O666,"Más estricto",IF(P666&gt;O666,"Más permisivo","Igual")),"")</f>
        <v/>
      </c>
      <c r="T666" s="25">
        <f>IF(Q666=1,IF(ABS(O666-P666)=2,1,0),"")</f>
        <v/>
      </c>
      <c r="U666" s="25">
        <f>IF(H666="","","|"&amp;SUBSTITUTE(SUBSTITUTE(TRIM(H666)," |","|"),"| ","|")&amp;"|")</f>
        <v/>
      </c>
      <c r="V666" s="25">
        <f>IF(AND(Q666=1,B666&lt;&gt;""),IF(IFERROR(COUNTIFS(B$3:B666,"="&amp;SUBSTITUTE(SUBSTITUTE(SUBSTITUTE(B666,"~","~~"),"*","~*"),"?","~?"),Q$3:Q666,1),0)=1,MAX(V$2:V665)+1,""),"")</f>
        <v/>
      </c>
      <c r="W666" s="25">
        <f>IF(V666="","",COUNTIFS($B$3:$B$1002,"="&amp;SUBSTITUTE(SUBSTITUTE(SUBSTITUTE(B666,"~","~~"),"*","~*"),"?","~?"),$Q$3:$Q$1002,1)*10000-V666)</f>
        <v/>
      </c>
      <c r="X666" s="25">
        <f>IF(Q666=1,IF(SUBSTITUTE(SUBSTITUTE(SUBSTITUTE(SUBSTITUTE(SUBSTITUTE(SUBSTITUTE(SUBSTITUTE(SUBSTITUTE(SUBSTITUTE(SUBSTITUTE(SUBSTITUTE(SUBSTITUTE(LOWER(TRIM(A666)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666)),"á","a"),"é","e"),"í","i"),"ó","o"),"ú","u"),"ü","u"),"ñ","n"),"à","a"),"è","e"),"ì","i"),"ò","o"),"ù","u")),"")</f>
        <v/>
      </c>
      <c r="Y666" s="25">
        <f>IF(X666="","",IF(IFERROR(COUNTIF(X$3:X666,"="&amp;SUBSTITUTE(SUBSTITUTE(SUBSTITUTE(X666,"~","~~"),"*","~*"),"?","~?")),0)=1,1,""))</f>
        <v/>
      </c>
      <c r="Z666" s="25">
        <f>IF(T666=1,MAX(Z$2:Z665)+1,"")</f>
        <v/>
      </c>
    </row>
    <row r="667">
      <c r="A667">
        <f>IF(A$2=0,"",IFERROR(TRIM(INDEX('Pegar calibracion'!$A$1:$BZ$1001,666,A$2)&amp;""),""))</f>
        <v/>
      </c>
      <c r="B667">
        <f>IF(B$2=0,"",IFERROR(TRIM(INDEX('Pegar calibracion'!$A$1:$BZ$1001,666,B$2)&amp;""),""))</f>
        <v/>
      </c>
      <c r="C667">
        <f>IF(C$2=0,"",IFERROR(TRIM(INDEX('Pegar calibracion'!$A$1:$BZ$1001,666,C$2)&amp;""),""))</f>
        <v/>
      </c>
      <c r="D667">
        <f>IF(D$2=0,"",IFERROR(TRIM(INDEX('Pegar calibracion'!$A$1:$BZ$1001,666,D$2)&amp;""),""))</f>
        <v/>
      </c>
      <c r="E667">
        <f>IF(E$2=0,"",IFERROR(TRIM(INDEX('Pegar calibracion'!$A$1:$BZ$1001,666,E$2)&amp;""),""))</f>
        <v/>
      </c>
      <c r="F667">
        <f>IF(F$2=0,"",IFERROR(TRIM(INDEX('Pegar calibracion'!$A$1:$BZ$1001,666,F$2)&amp;""),""))</f>
        <v/>
      </c>
      <c r="G667">
        <f>IF(G$2=0,"",IFERROR(TRIM(INDEX('Pegar calibracion'!$A$1:$BZ$1001,666,G$2)&amp;""),""))</f>
        <v/>
      </c>
      <c r="H667">
        <f>IF(H$2=0,"",IFERROR(TRIM(INDEX('Pegar calibracion'!$A$1:$BZ$1001,666,H$2)&amp;""),""))</f>
        <v/>
      </c>
      <c r="I667">
        <f>IF(I$2=0,"",IFERROR(TRIM(INDEX('Pegar calibracion'!$A$1:$BZ$1001,666,I$2)&amp;""),""))</f>
        <v/>
      </c>
      <c r="J667">
        <f>IF(J$2=0,"",IFERROR(TRIM(INDEX('Pegar calibracion'!$A$1:$BZ$1001,666,J$2)&amp;""),""))</f>
        <v/>
      </c>
      <c r="K667">
        <f>IF(K$2=0,"",IFERROR(TRIM(INDEX('Pegar calibracion'!$A$1:$BZ$1001,666,K$2)&amp;""),""))</f>
        <v/>
      </c>
      <c r="L667">
        <f>IF(L$2=0,"",IFERROR(TRIM(INDEX('Pegar calibracion'!$A$1:$BZ$1001,666,L$2)&amp;""),""))</f>
        <v/>
      </c>
      <c r="M667" s="25">
        <f>IF(D667="","",SUBSTITUTE(SUBSTITUTE(SUBSTITUTE(SUBSTITUTE(SUBSTITUTE(SUBSTITUTE(SUBSTITUTE(SUBSTITUTE(SUBSTITUTE(SUBSTITUTE(SUBSTITUTE(SUBSTITUTE(LOWER(TRIM(D667)),"á","a"),"é","e"),"í","i"),"ó","o"),"ú","u"),"ü","u"),"ñ","n"),"à","a"),"è","e"),"ì","i"),"ò","o"),"ù","u"))</f>
        <v/>
      </c>
      <c r="N667" s="25">
        <f>IF(F667="","",SUBSTITUTE(SUBSTITUTE(SUBSTITUTE(SUBSTITUTE(SUBSTITUTE(SUBSTITUTE(SUBSTITUTE(SUBSTITUTE(SUBSTITUTE(SUBSTITUTE(SUBSTITUTE(SUBSTITUTE(LOWER(TRIM(F667)),"á","a"),"é","e"),"í","i"),"ó","o"),"ú","u"),"ü","u"),"ñ","n"),"à","a"),"è","e"),"ì","i"),"ò","o"),"ù","u"))</f>
        <v/>
      </c>
      <c r="O667" s="25">
        <f>IF(M667="confiable",2,IF(M667="dudosa",1,IF(M667="no confiable",0,"")))</f>
        <v/>
      </c>
      <c r="P667" s="25">
        <f>IF(N667="confiable",2,IF(N667="dudosa",1,IF(N667="no confiable",0,"")))</f>
        <v/>
      </c>
      <c r="Q667" s="25">
        <f>IF(AND(ISNUMBER(O667),ISNUMBER(P667)),1,"")</f>
        <v/>
      </c>
      <c r="R667" s="25">
        <f>IF(Q667=1,IF(O667=P667,"Sí","No"),"")</f>
        <v/>
      </c>
      <c r="S667" s="25">
        <f>IF(Q667=1,IF(P667&lt;O667,"Más estricto",IF(P667&gt;O667,"Más permisivo","Igual")),"")</f>
        <v/>
      </c>
      <c r="T667" s="25">
        <f>IF(Q667=1,IF(ABS(O667-P667)=2,1,0),"")</f>
        <v/>
      </c>
      <c r="U667" s="25">
        <f>IF(H667="","","|"&amp;SUBSTITUTE(SUBSTITUTE(TRIM(H667)," |","|"),"| ","|")&amp;"|")</f>
        <v/>
      </c>
      <c r="V667" s="25">
        <f>IF(AND(Q667=1,B667&lt;&gt;""),IF(IFERROR(COUNTIFS(B$3:B667,"="&amp;SUBSTITUTE(SUBSTITUTE(SUBSTITUTE(B667,"~","~~"),"*","~*"),"?","~?"),Q$3:Q667,1),0)=1,MAX(V$2:V666)+1,""),"")</f>
        <v/>
      </c>
      <c r="W667" s="25">
        <f>IF(V667="","",COUNTIFS($B$3:$B$1002,"="&amp;SUBSTITUTE(SUBSTITUTE(SUBSTITUTE(B667,"~","~~"),"*","~*"),"?","~?"),$Q$3:$Q$1002,1)*10000-V667)</f>
        <v/>
      </c>
      <c r="X667" s="25">
        <f>IF(Q667=1,IF(SUBSTITUTE(SUBSTITUTE(SUBSTITUTE(SUBSTITUTE(SUBSTITUTE(SUBSTITUTE(SUBSTITUTE(SUBSTITUTE(SUBSTITUTE(SUBSTITUTE(SUBSTITUTE(SUBSTITUTE(LOWER(TRIM(A667)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667)),"á","a"),"é","e"),"í","i"),"ó","o"),"ú","u"),"ü","u"),"ñ","n"),"à","a"),"è","e"),"ì","i"),"ò","o"),"ù","u")),"")</f>
        <v/>
      </c>
      <c r="Y667" s="25">
        <f>IF(X667="","",IF(IFERROR(COUNTIF(X$3:X667,"="&amp;SUBSTITUTE(SUBSTITUTE(SUBSTITUTE(X667,"~","~~"),"*","~*"),"?","~?")),0)=1,1,""))</f>
        <v/>
      </c>
      <c r="Z667" s="25">
        <f>IF(T667=1,MAX(Z$2:Z666)+1,"")</f>
        <v/>
      </c>
    </row>
    <row r="668">
      <c r="A668">
        <f>IF(A$2=0,"",IFERROR(TRIM(INDEX('Pegar calibracion'!$A$1:$BZ$1001,667,A$2)&amp;""),""))</f>
        <v/>
      </c>
      <c r="B668">
        <f>IF(B$2=0,"",IFERROR(TRIM(INDEX('Pegar calibracion'!$A$1:$BZ$1001,667,B$2)&amp;""),""))</f>
        <v/>
      </c>
      <c r="C668">
        <f>IF(C$2=0,"",IFERROR(TRIM(INDEX('Pegar calibracion'!$A$1:$BZ$1001,667,C$2)&amp;""),""))</f>
        <v/>
      </c>
      <c r="D668">
        <f>IF(D$2=0,"",IFERROR(TRIM(INDEX('Pegar calibracion'!$A$1:$BZ$1001,667,D$2)&amp;""),""))</f>
        <v/>
      </c>
      <c r="E668">
        <f>IF(E$2=0,"",IFERROR(TRIM(INDEX('Pegar calibracion'!$A$1:$BZ$1001,667,E$2)&amp;""),""))</f>
        <v/>
      </c>
      <c r="F668">
        <f>IF(F$2=0,"",IFERROR(TRIM(INDEX('Pegar calibracion'!$A$1:$BZ$1001,667,F$2)&amp;""),""))</f>
        <v/>
      </c>
      <c r="G668">
        <f>IF(G$2=0,"",IFERROR(TRIM(INDEX('Pegar calibracion'!$A$1:$BZ$1001,667,G$2)&amp;""),""))</f>
        <v/>
      </c>
      <c r="H668">
        <f>IF(H$2=0,"",IFERROR(TRIM(INDEX('Pegar calibracion'!$A$1:$BZ$1001,667,H$2)&amp;""),""))</f>
        <v/>
      </c>
      <c r="I668">
        <f>IF(I$2=0,"",IFERROR(TRIM(INDEX('Pegar calibracion'!$A$1:$BZ$1001,667,I$2)&amp;""),""))</f>
        <v/>
      </c>
      <c r="J668">
        <f>IF(J$2=0,"",IFERROR(TRIM(INDEX('Pegar calibracion'!$A$1:$BZ$1001,667,J$2)&amp;""),""))</f>
        <v/>
      </c>
      <c r="K668">
        <f>IF(K$2=0,"",IFERROR(TRIM(INDEX('Pegar calibracion'!$A$1:$BZ$1001,667,K$2)&amp;""),""))</f>
        <v/>
      </c>
      <c r="L668">
        <f>IF(L$2=0,"",IFERROR(TRIM(INDEX('Pegar calibracion'!$A$1:$BZ$1001,667,L$2)&amp;""),""))</f>
        <v/>
      </c>
      <c r="M668" s="25">
        <f>IF(D668="","",SUBSTITUTE(SUBSTITUTE(SUBSTITUTE(SUBSTITUTE(SUBSTITUTE(SUBSTITUTE(SUBSTITUTE(SUBSTITUTE(SUBSTITUTE(SUBSTITUTE(SUBSTITUTE(SUBSTITUTE(LOWER(TRIM(D668)),"á","a"),"é","e"),"í","i"),"ó","o"),"ú","u"),"ü","u"),"ñ","n"),"à","a"),"è","e"),"ì","i"),"ò","o"),"ù","u"))</f>
        <v/>
      </c>
      <c r="N668" s="25">
        <f>IF(F668="","",SUBSTITUTE(SUBSTITUTE(SUBSTITUTE(SUBSTITUTE(SUBSTITUTE(SUBSTITUTE(SUBSTITUTE(SUBSTITUTE(SUBSTITUTE(SUBSTITUTE(SUBSTITUTE(SUBSTITUTE(LOWER(TRIM(F668)),"á","a"),"é","e"),"í","i"),"ó","o"),"ú","u"),"ü","u"),"ñ","n"),"à","a"),"è","e"),"ì","i"),"ò","o"),"ù","u"))</f>
        <v/>
      </c>
      <c r="O668" s="25">
        <f>IF(M668="confiable",2,IF(M668="dudosa",1,IF(M668="no confiable",0,"")))</f>
        <v/>
      </c>
      <c r="P668" s="25">
        <f>IF(N668="confiable",2,IF(N668="dudosa",1,IF(N668="no confiable",0,"")))</f>
        <v/>
      </c>
      <c r="Q668" s="25">
        <f>IF(AND(ISNUMBER(O668),ISNUMBER(P668)),1,"")</f>
        <v/>
      </c>
      <c r="R668" s="25">
        <f>IF(Q668=1,IF(O668=P668,"Sí","No"),"")</f>
        <v/>
      </c>
      <c r="S668" s="25">
        <f>IF(Q668=1,IF(P668&lt;O668,"Más estricto",IF(P668&gt;O668,"Más permisivo","Igual")),"")</f>
        <v/>
      </c>
      <c r="T668" s="25">
        <f>IF(Q668=1,IF(ABS(O668-P668)=2,1,0),"")</f>
        <v/>
      </c>
      <c r="U668" s="25">
        <f>IF(H668="","","|"&amp;SUBSTITUTE(SUBSTITUTE(TRIM(H668)," |","|"),"| ","|")&amp;"|")</f>
        <v/>
      </c>
      <c r="V668" s="25">
        <f>IF(AND(Q668=1,B668&lt;&gt;""),IF(IFERROR(COUNTIFS(B$3:B668,"="&amp;SUBSTITUTE(SUBSTITUTE(SUBSTITUTE(B668,"~","~~"),"*","~*"),"?","~?"),Q$3:Q668,1),0)=1,MAX(V$2:V667)+1,""),"")</f>
        <v/>
      </c>
      <c r="W668" s="25">
        <f>IF(V668="","",COUNTIFS($B$3:$B$1002,"="&amp;SUBSTITUTE(SUBSTITUTE(SUBSTITUTE(B668,"~","~~"),"*","~*"),"?","~?"),$Q$3:$Q$1002,1)*10000-V668)</f>
        <v/>
      </c>
      <c r="X668" s="25">
        <f>IF(Q668=1,IF(SUBSTITUTE(SUBSTITUTE(SUBSTITUTE(SUBSTITUTE(SUBSTITUTE(SUBSTITUTE(SUBSTITUTE(SUBSTITUTE(SUBSTITUTE(SUBSTITUTE(SUBSTITUTE(SUBSTITUTE(LOWER(TRIM(A668)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668)),"á","a"),"é","e"),"í","i"),"ó","o"),"ú","u"),"ü","u"),"ñ","n"),"à","a"),"è","e"),"ì","i"),"ò","o"),"ù","u")),"")</f>
        <v/>
      </c>
      <c r="Y668" s="25">
        <f>IF(X668="","",IF(IFERROR(COUNTIF(X$3:X668,"="&amp;SUBSTITUTE(SUBSTITUTE(SUBSTITUTE(X668,"~","~~"),"*","~*"),"?","~?")),0)=1,1,""))</f>
        <v/>
      </c>
      <c r="Z668" s="25">
        <f>IF(T668=1,MAX(Z$2:Z667)+1,"")</f>
        <v/>
      </c>
    </row>
    <row r="669">
      <c r="A669">
        <f>IF(A$2=0,"",IFERROR(TRIM(INDEX('Pegar calibracion'!$A$1:$BZ$1001,668,A$2)&amp;""),""))</f>
        <v/>
      </c>
      <c r="B669">
        <f>IF(B$2=0,"",IFERROR(TRIM(INDEX('Pegar calibracion'!$A$1:$BZ$1001,668,B$2)&amp;""),""))</f>
        <v/>
      </c>
      <c r="C669">
        <f>IF(C$2=0,"",IFERROR(TRIM(INDEX('Pegar calibracion'!$A$1:$BZ$1001,668,C$2)&amp;""),""))</f>
        <v/>
      </c>
      <c r="D669">
        <f>IF(D$2=0,"",IFERROR(TRIM(INDEX('Pegar calibracion'!$A$1:$BZ$1001,668,D$2)&amp;""),""))</f>
        <v/>
      </c>
      <c r="E669">
        <f>IF(E$2=0,"",IFERROR(TRIM(INDEX('Pegar calibracion'!$A$1:$BZ$1001,668,E$2)&amp;""),""))</f>
        <v/>
      </c>
      <c r="F669">
        <f>IF(F$2=0,"",IFERROR(TRIM(INDEX('Pegar calibracion'!$A$1:$BZ$1001,668,F$2)&amp;""),""))</f>
        <v/>
      </c>
      <c r="G669">
        <f>IF(G$2=0,"",IFERROR(TRIM(INDEX('Pegar calibracion'!$A$1:$BZ$1001,668,G$2)&amp;""),""))</f>
        <v/>
      </c>
      <c r="H669">
        <f>IF(H$2=0,"",IFERROR(TRIM(INDEX('Pegar calibracion'!$A$1:$BZ$1001,668,H$2)&amp;""),""))</f>
        <v/>
      </c>
      <c r="I669">
        <f>IF(I$2=0,"",IFERROR(TRIM(INDEX('Pegar calibracion'!$A$1:$BZ$1001,668,I$2)&amp;""),""))</f>
        <v/>
      </c>
      <c r="J669">
        <f>IF(J$2=0,"",IFERROR(TRIM(INDEX('Pegar calibracion'!$A$1:$BZ$1001,668,J$2)&amp;""),""))</f>
        <v/>
      </c>
      <c r="K669">
        <f>IF(K$2=0,"",IFERROR(TRIM(INDEX('Pegar calibracion'!$A$1:$BZ$1001,668,K$2)&amp;""),""))</f>
        <v/>
      </c>
      <c r="L669">
        <f>IF(L$2=0,"",IFERROR(TRIM(INDEX('Pegar calibracion'!$A$1:$BZ$1001,668,L$2)&amp;""),""))</f>
        <v/>
      </c>
      <c r="M669" s="25">
        <f>IF(D669="","",SUBSTITUTE(SUBSTITUTE(SUBSTITUTE(SUBSTITUTE(SUBSTITUTE(SUBSTITUTE(SUBSTITUTE(SUBSTITUTE(SUBSTITUTE(SUBSTITUTE(SUBSTITUTE(SUBSTITUTE(LOWER(TRIM(D669)),"á","a"),"é","e"),"í","i"),"ó","o"),"ú","u"),"ü","u"),"ñ","n"),"à","a"),"è","e"),"ì","i"),"ò","o"),"ù","u"))</f>
        <v/>
      </c>
      <c r="N669" s="25">
        <f>IF(F669="","",SUBSTITUTE(SUBSTITUTE(SUBSTITUTE(SUBSTITUTE(SUBSTITUTE(SUBSTITUTE(SUBSTITUTE(SUBSTITUTE(SUBSTITUTE(SUBSTITUTE(SUBSTITUTE(SUBSTITUTE(LOWER(TRIM(F669)),"á","a"),"é","e"),"í","i"),"ó","o"),"ú","u"),"ü","u"),"ñ","n"),"à","a"),"è","e"),"ì","i"),"ò","o"),"ù","u"))</f>
        <v/>
      </c>
      <c r="O669" s="25">
        <f>IF(M669="confiable",2,IF(M669="dudosa",1,IF(M669="no confiable",0,"")))</f>
        <v/>
      </c>
      <c r="P669" s="25">
        <f>IF(N669="confiable",2,IF(N669="dudosa",1,IF(N669="no confiable",0,"")))</f>
        <v/>
      </c>
      <c r="Q669" s="25">
        <f>IF(AND(ISNUMBER(O669),ISNUMBER(P669)),1,"")</f>
        <v/>
      </c>
      <c r="R669" s="25">
        <f>IF(Q669=1,IF(O669=P669,"Sí","No"),"")</f>
        <v/>
      </c>
      <c r="S669" s="25">
        <f>IF(Q669=1,IF(P669&lt;O669,"Más estricto",IF(P669&gt;O669,"Más permisivo","Igual")),"")</f>
        <v/>
      </c>
      <c r="T669" s="25">
        <f>IF(Q669=1,IF(ABS(O669-P669)=2,1,0),"")</f>
        <v/>
      </c>
      <c r="U669" s="25">
        <f>IF(H669="","","|"&amp;SUBSTITUTE(SUBSTITUTE(TRIM(H669)," |","|"),"| ","|")&amp;"|")</f>
        <v/>
      </c>
      <c r="V669" s="25">
        <f>IF(AND(Q669=1,B669&lt;&gt;""),IF(IFERROR(COUNTIFS(B$3:B669,"="&amp;SUBSTITUTE(SUBSTITUTE(SUBSTITUTE(B669,"~","~~"),"*","~*"),"?","~?"),Q$3:Q669,1),0)=1,MAX(V$2:V668)+1,""),"")</f>
        <v/>
      </c>
      <c r="W669" s="25">
        <f>IF(V669="","",COUNTIFS($B$3:$B$1002,"="&amp;SUBSTITUTE(SUBSTITUTE(SUBSTITUTE(B669,"~","~~"),"*","~*"),"?","~?"),$Q$3:$Q$1002,1)*10000-V669)</f>
        <v/>
      </c>
      <c r="X669" s="25">
        <f>IF(Q669=1,IF(SUBSTITUTE(SUBSTITUTE(SUBSTITUTE(SUBSTITUTE(SUBSTITUTE(SUBSTITUTE(SUBSTITUTE(SUBSTITUTE(SUBSTITUTE(SUBSTITUTE(SUBSTITUTE(SUBSTITUTE(LOWER(TRIM(A669)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669)),"á","a"),"é","e"),"í","i"),"ó","o"),"ú","u"),"ü","u"),"ñ","n"),"à","a"),"è","e"),"ì","i"),"ò","o"),"ù","u")),"")</f>
        <v/>
      </c>
      <c r="Y669" s="25">
        <f>IF(X669="","",IF(IFERROR(COUNTIF(X$3:X669,"="&amp;SUBSTITUTE(SUBSTITUTE(SUBSTITUTE(X669,"~","~~"),"*","~*"),"?","~?")),0)=1,1,""))</f>
        <v/>
      </c>
      <c r="Z669" s="25">
        <f>IF(T669=1,MAX(Z$2:Z668)+1,"")</f>
        <v/>
      </c>
    </row>
    <row r="670">
      <c r="A670">
        <f>IF(A$2=0,"",IFERROR(TRIM(INDEX('Pegar calibracion'!$A$1:$BZ$1001,669,A$2)&amp;""),""))</f>
        <v/>
      </c>
      <c r="B670">
        <f>IF(B$2=0,"",IFERROR(TRIM(INDEX('Pegar calibracion'!$A$1:$BZ$1001,669,B$2)&amp;""),""))</f>
        <v/>
      </c>
      <c r="C670">
        <f>IF(C$2=0,"",IFERROR(TRIM(INDEX('Pegar calibracion'!$A$1:$BZ$1001,669,C$2)&amp;""),""))</f>
        <v/>
      </c>
      <c r="D670">
        <f>IF(D$2=0,"",IFERROR(TRIM(INDEX('Pegar calibracion'!$A$1:$BZ$1001,669,D$2)&amp;""),""))</f>
        <v/>
      </c>
      <c r="E670">
        <f>IF(E$2=0,"",IFERROR(TRIM(INDEX('Pegar calibracion'!$A$1:$BZ$1001,669,E$2)&amp;""),""))</f>
        <v/>
      </c>
      <c r="F670">
        <f>IF(F$2=0,"",IFERROR(TRIM(INDEX('Pegar calibracion'!$A$1:$BZ$1001,669,F$2)&amp;""),""))</f>
        <v/>
      </c>
      <c r="G670">
        <f>IF(G$2=0,"",IFERROR(TRIM(INDEX('Pegar calibracion'!$A$1:$BZ$1001,669,G$2)&amp;""),""))</f>
        <v/>
      </c>
      <c r="H670">
        <f>IF(H$2=0,"",IFERROR(TRIM(INDEX('Pegar calibracion'!$A$1:$BZ$1001,669,H$2)&amp;""),""))</f>
        <v/>
      </c>
      <c r="I670">
        <f>IF(I$2=0,"",IFERROR(TRIM(INDEX('Pegar calibracion'!$A$1:$BZ$1001,669,I$2)&amp;""),""))</f>
        <v/>
      </c>
      <c r="J670">
        <f>IF(J$2=0,"",IFERROR(TRIM(INDEX('Pegar calibracion'!$A$1:$BZ$1001,669,J$2)&amp;""),""))</f>
        <v/>
      </c>
      <c r="K670">
        <f>IF(K$2=0,"",IFERROR(TRIM(INDEX('Pegar calibracion'!$A$1:$BZ$1001,669,K$2)&amp;""),""))</f>
        <v/>
      </c>
      <c r="L670">
        <f>IF(L$2=0,"",IFERROR(TRIM(INDEX('Pegar calibracion'!$A$1:$BZ$1001,669,L$2)&amp;""),""))</f>
        <v/>
      </c>
      <c r="M670" s="25">
        <f>IF(D670="","",SUBSTITUTE(SUBSTITUTE(SUBSTITUTE(SUBSTITUTE(SUBSTITUTE(SUBSTITUTE(SUBSTITUTE(SUBSTITUTE(SUBSTITUTE(SUBSTITUTE(SUBSTITUTE(SUBSTITUTE(LOWER(TRIM(D670)),"á","a"),"é","e"),"í","i"),"ó","o"),"ú","u"),"ü","u"),"ñ","n"),"à","a"),"è","e"),"ì","i"),"ò","o"),"ù","u"))</f>
        <v/>
      </c>
      <c r="N670" s="25">
        <f>IF(F670="","",SUBSTITUTE(SUBSTITUTE(SUBSTITUTE(SUBSTITUTE(SUBSTITUTE(SUBSTITUTE(SUBSTITUTE(SUBSTITUTE(SUBSTITUTE(SUBSTITUTE(SUBSTITUTE(SUBSTITUTE(LOWER(TRIM(F670)),"á","a"),"é","e"),"í","i"),"ó","o"),"ú","u"),"ü","u"),"ñ","n"),"à","a"),"è","e"),"ì","i"),"ò","o"),"ù","u"))</f>
        <v/>
      </c>
      <c r="O670" s="25">
        <f>IF(M670="confiable",2,IF(M670="dudosa",1,IF(M670="no confiable",0,"")))</f>
        <v/>
      </c>
      <c r="P670" s="25">
        <f>IF(N670="confiable",2,IF(N670="dudosa",1,IF(N670="no confiable",0,"")))</f>
        <v/>
      </c>
      <c r="Q670" s="25">
        <f>IF(AND(ISNUMBER(O670),ISNUMBER(P670)),1,"")</f>
        <v/>
      </c>
      <c r="R670" s="25">
        <f>IF(Q670=1,IF(O670=P670,"Sí","No"),"")</f>
        <v/>
      </c>
      <c r="S670" s="25">
        <f>IF(Q670=1,IF(P670&lt;O670,"Más estricto",IF(P670&gt;O670,"Más permisivo","Igual")),"")</f>
        <v/>
      </c>
      <c r="T670" s="25">
        <f>IF(Q670=1,IF(ABS(O670-P670)=2,1,0),"")</f>
        <v/>
      </c>
      <c r="U670" s="25">
        <f>IF(H670="","","|"&amp;SUBSTITUTE(SUBSTITUTE(TRIM(H670)," |","|"),"| ","|")&amp;"|")</f>
        <v/>
      </c>
      <c r="V670" s="25">
        <f>IF(AND(Q670=1,B670&lt;&gt;""),IF(IFERROR(COUNTIFS(B$3:B670,"="&amp;SUBSTITUTE(SUBSTITUTE(SUBSTITUTE(B670,"~","~~"),"*","~*"),"?","~?"),Q$3:Q670,1),0)=1,MAX(V$2:V669)+1,""),"")</f>
        <v/>
      </c>
      <c r="W670" s="25">
        <f>IF(V670="","",COUNTIFS($B$3:$B$1002,"="&amp;SUBSTITUTE(SUBSTITUTE(SUBSTITUTE(B670,"~","~~"),"*","~*"),"?","~?"),$Q$3:$Q$1002,1)*10000-V670)</f>
        <v/>
      </c>
      <c r="X670" s="25">
        <f>IF(Q670=1,IF(SUBSTITUTE(SUBSTITUTE(SUBSTITUTE(SUBSTITUTE(SUBSTITUTE(SUBSTITUTE(SUBSTITUTE(SUBSTITUTE(SUBSTITUTE(SUBSTITUTE(SUBSTITUTE(SUBSTITUTE(LOWER(TRIM(A670)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670)),"á","a"),"é","e"),"í","i"),"ó","o"),"ú","u"),"ü","u"),"ñ","n"),"à","a"),"è","e"),"ì","i"),"ò","o"),"ù","u")),"")</f>
        <v/>
      </c>
      <c r="Y670" s="25">
        <f>IF(X670="","",IF(IFERROR(COUNTIF(X$3:X670,"="&amp;SUBSTITUTE(SUBSTITUTE(SUBSTITUTE(X670,"~","~~"),"*","~*"),"?","~?")),0)=1,1,""))</f>
        <v/>
      </c>
      <c r="Z670" s="25">
        <f>IF(T670=1,MAX(Z$2:Z669)+1,"")</f>
        <v/>
      </c>
    </row>
    <row r="671">
      <c r="A671">
        <f>IF(A$2=0,"",IFERROR(TRIM(INDEX('Pegar calibracion'!$A$1:$BZ$1001,670,A$2)&amp;""),""))</f>
        <v/>
      </c>
      <c r="B671">
        <f>IF(B$2=0,"",IFERROR(TRIM(INDEX('Pegar calibracion'!$A$1:$BZ$1001,670,B$2)&amp;""),""))</f>
        <v/>
      </c>
      <c r="C671">
        <f>IF(C$2=0,"",IFERROR(TRIM(INDEX('Pegar calibracion'!$A$1:$BZ$1001,670,C$2)&amp;""),""))</f>
        <v/>
      </c>
      <c r="D671">
        <f>IF(D$2=0,"",IFERROR(TRIM(INDEX('Pegar calibracion'!$A$1:$BZ$1001,670,D$2)&amp;""),""))</f>
        <v/>
      </c>
      <c r="E671">
        <f>IF(E$2=0,"",IFERROR(TRIM(INDEX('Pegar calibracion'!$A$1:$BZ$1001,670,E$2)&amp;""),""))</f>
        <v/>
      </c>
      <c r="F671">
        <f>IF(F$2=0,"",IFERROR(TRIM(INDEX('Pegar calibracion'!$A$1:$BZ$1001,670,F$2)&amp;""),""))</f>
        <v/>
      </c>
      <c r="G671">
        <f>IF(G$2=0,"",IFERROR(TRIM(INDEX('Pegar calibracion'!$A$1:$BZ$1001,670,G$2)&amp;""),""))</f>
        <v/>
      </c>
      <c r="H671">
        <f>IF(H$2=0,"",IFERROR(TRIM(INDEX('Pegar calibracion'!$A$1:$BZ$1001,670,H$2)&amp;""),""))</f>
        <v/>
      </c>
      <c r="I671">
        <f>IF(I$2=0,"",IFERROR(TRIM(INDEX('Pegar calibracion'!$A$1:$BZ$1001,670,I$2)&amp;""),""))</f>
        <v/>
      </c>
      <c r="J671">
        <f>IF(J$2=0,"",IFERROR(TRIM(INDEX('Pegar calibracion'!$A$1:$BZ$1001,670,J$2)&amp;""),""))</f>
        <v/>
      </c>
      <c r="K671">
        <f>IF(K$2=0,"",IFERROR(TRIM(INDEX('Pegar calibracion'!$A$1:$BZ$1001,670,K$2)&amp;""),""))</f>
        <v/>
      </c>
      <c r="L671">
        <f>IF(L$2=0,"",IFERROR(TRIM(INDEX('Pegar calibracion'!$A$1:$BZ$1001,670,L$2)&amp;""),""))</f>
        <v/>
      </c>
      <c r="M671" s="25">
        <f>IF(D671="","",SUBSTITUTE(SUBSTITUTE(SUBSTITUTE(SUBSTITUTE(SUBSTITUTE(SUBSTITUTE(SUBSTITUTE(SUBSTITUTE(SUBSTITUTE(SUBSTITUTE(SUBSTITUTE(SUBSTITUTE(LOWER(TRIM(D671)),"á","a"),"é","e"),"í","i"),"ó","o"),"ú","u"),"ü","u"),"ñ","n"),"à","a"),"è","e"),"ì","i"),"ò","o"),"ù","u"))</f>
        <v/>
      </c>
      <c r="N671" s="25">
        <f>IF(F671="","",SUBSTITUTE(SUBSTITUTE(SUBSTITUTE(SUBSTITUTE(SUBSTITUTE(SUBSTITUTE(SUBSTITUTE(SUBSTITUTE(SUBSTITUTE(SUBSTITUTE(SUBSTITUTE(SUBSTITUTE(LOWER(TRIM(F671)),"á","a"),"é","e"),"í","i"),"ó","o"),"ú","u"),"ü","u"),"ñ","n"),"à","a"),"è","e"),"ì","i"),"ò","o"),"ù","u"))</f>
        <v/>
      </c>
      <c r="O671" s="25">
        <f>IF(M671="confiable",2,IF(M671="dudosa",1,IF(M671="no confiable",0,"")))</f>
        <v/>
      </c>
      <c r="P671" s="25">
        <f>IF(N671="confiable",2,IF(N671="dudosa",1,IF(N671="no confiable",0,"")))</f>
        <v/>
      </c>
      <c r="Q671" s="25">
        <f>IF(AND(ISNUMBER(O671),ISNUMBER(P671)),1,"")</f>
        <v/>
      </c>
      <c r="R671" s="25">
        <f>IF(Q671=1,IF(O671=P671,"Sí","No"),"")</f>
        <v/>
      </c>
      <c r="S671" s="25">
        <f>IF(Q671=1,IF(P671&lt;O671,"Más estricto",IF(P671&gt;O671,"Más permisivo","Igual")),"")</f>
        <v/>
      </c>
      <c r="T671" s="25">
        <f>IF(Q671=1,IF(ABS(O671-P671)=2,1,0),"")</f>
        <v/>
      </c>
      <c r="U671" s="25">
        <f>IF(H671="","","|"&amp;SUBSTITUTE(SUBSTITUTE(TRIM(H671)," |","|"),"| ","|")&amp;"|")</f>
        <v/>
      </c>
      <c r="V671" s="25">
        <f>IF(AND(Q671=1,B671&lt;&gt;""),IF(IFERROR(COUNTIFS(B$3:B671,"="&amp;SUBSTITUTE(SUBSTITUTE(SUBSTITUTE(B671,"~","~~"),"*","~*"),"?","~?"),Q$3:Q671,1),0)=1,MAX(V$2:V670)+1,""),"")</f>
        <v/>
      </c>
      <c r="W671" s="25">
        <f>IF(V671="","",COUNTIFS($B$3:$B$1002,"="&amp;SUBSTITUTE(SUBSTITUTE(SUBSTITUTE(B671,"~","~~"),"*","~*"),"?","~?"),$Q$3:$Q$1002,1)*10000-V671)</f>
        <v/>
      </c>
      <c r="X671" s="25">
        <f>IF(Q671=1,IF(SUBSTITUTE(SUBSTITUTE(SUBSTITUTE(SUBSTITUTE(SUBSTITUTE(SUBSTITUTE(SUBSTITUTE(SUBSTITUTE(SUBSTITUTE(SUBSTITUTE(SUBSTITUTE(SUBSTITUTE(LOWER(TRIM(A671)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671)),"á","a"),"é","e"),"í","i"),"ó","o"),"ú","u"),"ü","u"),"ñ","n"),"à","a"),"è","e"),"ì","i"),"ò","o"),"ù","u")),"")</f>
        <v/>
      </c>
      <c r="Y671" s="25">
        <f>IF(X671="","",IF(IFERROR(COUNTIF(X$3:X671,"="&amp;SUBSTITUTE(SUBSTITUTE(SUBSTITUTE(X671,"~","~~"),"*","~*"),"?","~?")),0)=1,1,""))</f>
        <v/>
      </c>
      <c r="Z671" s="25">
        <f>IF(T671=1,MAX(Z$2:Z670)+1,"")</f>
        <v/>
      </c>
    </row>
    <row r="672">
      <c r="A672">
        <f>IF(A$2=0,"",IFERROR(TRIM(INDEX('Pegar calibracion'!$A$1:$BZ$1001,671,A$2)&amp;""),""))</f>
        <v/>
      </c>
      <c r="B672">
        <f>IF(B$2=0,"",IFERROR(TRIM(INDEX('Pegar calibracion'!$A$1:$BZ$1001,671,B$2)&amp;""),""))</f>
        <v/>
      </c>
      <c r="C672">
        <f>IF(C$2=0,"",IFERROR(TRIM(INDEX('Pegar calibracion'!$A$1:$BZ$1001,671,C$2)&amp;""),""))</f>
        <v/>
      </c>
      <c r="D672">
        <f>IF(D$2=0,"",IFERROR(TRIM(INDEX('Pegar calibracion'!$A$1:$BZ$1001,671,D$2)&amp;""),""))</f>
        <v/>
      </c>
      <c r="E672">
        <f>IF(E$2=0,"",IFERROR(TRIM(INDEX('Pegar calibracion'!$A$1:$BZ$1001,671,E$2)&amp;""),""))</f>
        <v/>
      </c>
      <c r="F672">
        <f>IF(F$2=0,"",IFERROR(TRIM(INDEX('Pegar calibracion'!$A$1:$BZ$1001,671,F$2)&amp;""),""))</f>
        <v/>
      </c>
      <c r="G672">
        <f>IF(G$2=0,"",IFERROR(TRIM(INDEX('Pegar calibracion'!$A$1:$BZ$1001,671,G$2)&amp;""),""))</f>
        <v/>
      </c>
      <c r="H672">
        <f>IF(H$2=0,"",IFERROR(TRIM(INDEX('Pegar calibracion'!$A$1:$BZ$1001,671,H$2)&amp;""),""))</f>
        <v/>
      </c>
      <c r="I672">
        <f>IF(I$2=0,"",IFERROR(TRIM(INDEX('Pegar calibracion'!$A$1:$BZ$1001,671,I$2)&amp;""),""))</f>
        <v/>
      </c>
      <c r="J672">
        <f>IF(J$2=0,"",IFERROR(TRIM(INDEX('Pegar calibracion'!$A$1:$BZ$1001,671,J$2)&amp;""),""))</f>
        <v/>
      </c>
      <c r="K672">
        <f>IF(K$2=0,"",IFERROR(TRIM(INDEX('Pegar calibracion'!$A$1:$BZ$1001,671,K$2)&amp;""),""))</f>
        <v/>
      </c>
      <c r="L672">
        <f>IF(L$2=0,"",IFERROR(TRIM(INDEX('Pegar calibracion'!$A$1:$BZ$1001,671,L$2)&amp;""),""))</f>
        <v/>
      </c>
      <c r="M672" s="25">
        <f>IF(D672="","",SUBSTITUTE(SUBSTITUTE(SUBSTITUTE(SUBSTITUTE(SUBSTITUTE(SUBSTITUTE(SUBSTITUTE(SUBSTITUTE(SUBSTITUTE(SUBSTITUTE(SUBSTITUTE(SUBSTITUTE(LOWER(TRIM(D672)),"á","a"),"é","e"),"í","i"),"ó","o"),"ú","u"),"ü","u"),"ñ","n"),"à","a"),"è","e"),"ì","i"),"ò","o"),"ù","u"))</f>
        <v/>
      </c>
      <c r="N672" s="25">
        <f>IF(F672="","",SUBSTITUTE(SUBSTITUTE(SUBSTITUTE(SUBSTITUTE(SUBSTITUTE(SUBSTITUTE(SUBSTITUTE(SUBSTITUTE(SUBSTITUTE(SUBSTITUTE(SUBSTITUTE(SUBSTITUTE(LOWER(TRIM(F672)),"á","a"),"é","e"),"í","i"),"ó","o"),"ú","u"),"ü","u"),"ñ","n"),"à","a"),"è","e"),"ì","i"),"ò","o"),"ù","u"))</f>
        <v/>
      </c>
      <c r="O672" s="25">
        <f>IF(M672="confiable",2,IF(M672="dudosa",1,IF(M672="no confiable",0,"")))</f>
        <v/>
      </c>
      <c r="P672" s="25">
        <f>IF(N672="confiable",2,IF(N672="dudosa",1,IF(N672="no confiable",0,"")))</f>
        <v/>
      </c>
      <c r="Q672" s="25">
        <f>IF(AND(ISNUMBER(O672),ISNUMBER(P672)),1,"")</f>
        <v/>
      </c>
      <c r="R672" s="25">
        <f>IF(Q672=1,IF(O672=P672,"Sí","No"),"")</f>
        <v/>
      </c>
      <c r="S672" s="25">
        <f>IF(Q672=1,IF(P672&lt;O672,"Más estricto",IF(P672&gt;O672,"Más permisivo","Igual")),"")</f>
        <v/>
      </c>
      <c r="T672" s="25">
        <f>IF(Q672=1,IF(ABS(O672-P672)=2,1,0),"")</f>
        <v/>
      </c>
      <c r="U672" s="25">
        <f>IF(H672="","","|"&amp;SUBSTITUTE(SUBSTITUTE(TRIM(H672)," |","|"),"| ","|")&amp;"|")</f>
        <v/>
      </c>
      <c r="V672" s="25">
        <f>IF(AND(Q672=1,B672&lt;&gt;""),IF(IFERROR(COUNTIFS(B$3:B672,"="&amp;SUBSTITUTE(SUBSTITUTE(SUBSTITUTE(B672,"~","~~"),"*","~*"),"?","~?"),Q$3:Q672,1),0)=1,MAX(V$2:V671)+1,""),"")</f>
        <v/>
      </c>
      <c r="W672" s="25">
        <f>IF(V672="","",COUNTIFS($B$3:$B$1002,"="&amp;SUBSTITUTE(SUBSTITUTE(SUBSTITUTE(B672,"~","~~"),"*","~*"),"?","~?"),$Q$3:$Q$1002,1)*10000-V672)</f>
        <v/>
      </c>
      <c r="X672" s="25">
        <f>IF(Q672=1,IF(SUBSTITUTE(SUBSTITUTE(SUBSTITUTE(SUBSTITUTE(SUBSTITUTE(SUBSTITUTE(SUBSTITUTE(SUBSTITUTE(SUBSTITUTE(SUBSTITUTE(SUBSTITUTE(SUBSTITUTE(LOWER(TRIM(A672)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672)),"á","a"),"é","e"),"í","i"),"ó","o"),"ú","u"),"ü","u"),"ñ","n"),"à","a"),"è","e"),"ì","i"),"ò","o"),"ù","u")),"")</f>
        <v/>
      </c>
      <c r="Y672" s="25">
        <f>IF(X672="","",IF(IFERROR(COUNTIF(X$3:X672,"="&amp;SUBSTITUTE(SUBSTITUTE(SUBSTITUTE(X672,"~","~~"),"*","~*"),"?","~?")),0)=1,1,""))</f>
        <v/>
      </c>
      <c r="Z672" s="25">
        <f>IF(T672=1,MAX(Z$2:Z671)+1,"")</f>
        <v/>
      </c>
    </row>
    <row r="673">
      <c r="A673">
        <f>IF(A$2=0,"",IFERROR(TRIM(INDEX('Pegar calibracion'!$A$1:$BZ$1001,672,A$2)&amp;""),""))</f>
        <v/>
      </c>
      <c r="B673">
        <f>IF(B$2=0,"",IFERROR(TRIM(INDEX('Pegar calibracion'!$A$1:$BZ$1001,672,B$2)&amp;""),""))</f>
        <v/>
      </c>
      <c r="C673">
        <f>IF(C$2=0,"",IFERROR(TRIM(INDEX('Pegar calibracion'!$A$1:$BZ$1001,672,C$2)&amp;""),""))</f>
        <v/>
      </c>
      <c r="D673">
        <f>IF(D$2=0,"",IFERROR(TRIM(INDEX('Pegar calibracion'!$A$1:$BZ$1001,672,D$2)&amp;""),""))</f>
        <v/>
      </c>
      <c r="E673">
        <f>IF(E$2=0,"",IFERROR(TRIM(INDEX('Pegar calibracion'!$A$1:$BZ$1001,672,E$2)&amp;""),""))</f>
        <v/>
      </c>
      <c r="F673">
        <f>IF(F$2=0,"",IFERROR(TRIM(INDEX('Pegar calibracion'!$A$1:$BZ$1001,672,F$2)&amp;""),""))</f>
        <v/>
      </c>
      <c r="G673">
        <f>IF(G$2=0,"",IFERROR(TRIM(INDEX('Pegar calibracion'!$A$1:$BZ$1001,672,G$2)&amp;""),""))</f>
        <v/>
      </c>
      <c r="H673">
        <f>IF(H$2=0,"",IFERROR(TRIM(INDEX('Pegar calibracion'!$A$1:$BZ$1001,672,H$2)&amp;""),""))</f>
        <v/>
      </c>
      <c r="I673">
        <f>IF(I$2=0,"",IFERROR(TRIM(INDEX('Pegar calibracion'!$A$1:$BZ$1001,672,I$2)&amp;""),""))</f>
        <v/>
      </c>
      <c r="J673">
        <f>IF(J$2=0,"",IFERROR(TRIM(INDEX('Pegar calibracion'!$A$1:$BZ$1001,672,J$2)&amp;""),""))</f>
        <v/>
      </c>
      <c r="K673">
        <f>IF(K$2=0,"",IFERROR(TRIM(INDEX('Pegar calibracion'!$A$1:$BZ$1001,672,K$2)&amp;""),""))</f>
        <v/>
      </c>
      <c r="L673">
        <f>IF(L$2=0,"",IFERROR(TRIM(INDEX('Pegar calibracion'!$A$1:$BZ$1001,672,L$2)&amp;""),""))</f>
        <v/>
      </c>
      <c r="M673" s="25">
        <f>IF(D673="","",SUBSTITUTE(SUBSTITUTE(SUBSTITUTE(SUBSTITUTE(SUBSTITUTE(SUBSTITUTE(SUBSTITUTE(SUBSTITUTE(SUBSTITUTE(SUBSTITUTE(SUBSTITUTE(SUBSTITUTE(LOWER(TRIM(D673)),"á","a"),"é","e"),"í","i"),"ó","o"),"ú","u"),"ü","u"),"ñ","n"),"à","a"),"è","e"),"ì","i"),"ò","o"),"ù","u"))</f>
        <v/>
      </c>
      <c r="N673" s="25">
        <f>IF(F673="","",SUBSTITUTE(SUBSTITUTE(SUBSTITUTE(SUBSTITUTE(SUBSTITUTE(SUBSTITUTE(SUBSTITUTE(SUBSTITUTE(SUBSTITUTE(SUBSTITUTE(SUBSTITUTE(SUBSTITUTE(LOWER(TRIM(F673)),"á","a"),"é","e"),"í","i"),"ó","o"),"ú","u"),"ü","u"),"ñ","n"),"à","a"),"è","e"),"ì","i"),"ò","o"),"ù","u"))</f>
        <v/>
      </c>
      <c r="O673" s="25">
        <f>IF(M673="confiable",2,IF(M673="dudosa",1,IF(M673="no confiable",0,"")))</f>
        <v/>
      </c>
      <c r="P673" s="25">
        <f>IF(N673="confiable",2,IF(N673="dudosa",1,IF(N673="no confiable",0,"")))</f>
        <v/>
      </c>
      <c r="Q673" s="25">
        <f>IF(AND(ISNUMBER(O673),ISNUMBER(P673)),1,"")</f>
        <v/>
      </c>
      <c r="R673" s="25">
        <f>IF(Q673=1,IF(O673=P673,"Sí","No"),"")</f>
        <v/>
      </c>
      <c r="S673" s="25">
        <f>IF(Q673=1,IF(P673&lt;O673,"Más estricto",IF(P673&gt;O673,"Más permisivo","Igual")),"")</f>
        <v/>
      </c>
      <c r="T673" s="25">
        <f>IF(Q673=1,IF(ABS(O673-P673)=2,1,0),"")</f>
        <v/>
      </c>
      <c r="U673" s="25">
        <f>IF(H673="","","|"&amp;SUBSTITUTE(SUBSTITUTE(TRIM(H673)," |","|"),"| ","|")&amp;"|")</f>
        <v/>
      </c>
      <c r="V673" s="25">
        <f>IF(AND(Q673=1,B673&lt;&gt;""),IF(IFERROR(COUNTIFS(B$3:B673,"="&amp;SUBSTITUTE(SUBSTITUTE(SUBSTITUTE(B673,"~","~~"),"*","~*"),"?","~?"),Q$3:Q673,1),0)=1,MAX(V$2:V672)+1,""),"")</f>
        <v/>
      </c>
      <c r="W673" s="25">
        <f>IF(V673="","",COUNTIFS($B$3:$B$1002,"="&amp;SUBSTITUTE(SUBSTITUTE(SUBSTITUTE(B673,"~","~~"),"*","~*"),"?","~?"),$Q$3:$Q$1002,1)*10000-V673)</f>
        <v/>
      </c>
      <c r="X673" s="25">
        <f>IF(Q673=1,IF(SUBSTITUTE(SUBSTITUTE(SUBSTITUTE(SUBSTITUTE(SUBSTITUTE(SUBSTITUTE(SUBSTITUTE(SUBSTITUTE(SUBSTITUTE(SUBSTITUTE(SUBSTITUTE(SUBSTITUTE(LOWER(TRIM(A673)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673)),"á","a"),"é","e"),"í","i"),"ó","o"),"ú","u"),"ü","u"),"ñ","n"),"à","a"),"è","e"),"ì","i"),"ò","o"),"ù","u")),"")</f>
        <v/>
      </c>
      <c r="Y673" s="25">
        <f>IF(X673="","",IF(IFERROR(COUNTIF(X$3:X673,"="&amp;SUBSTITUTE(SUBSTITUTE(SUBSTITUTE(X673,"~","~~"),"*","~*"),"?","~?")),0)=1,1,""))</f>
        <v/>
      </c>
      <c r="Z673" s="25">
        <f>IF(T673=1,MAX(Z$2:Z672)+1,"")</f>
        <v/>
      </c>
    </row>
    <row r="674">
      <c r="A674">
        <f>IF(A$2=0,"",IFERROR(TRIM(INDEX('Pegar calibracion'!$A$1:$BZ$1001,673,A$2)&amp;""),""))</f>
        <v/>
      </c>
      <c r="B674">
        <f>IF(B$2=0,"",IFERROR(TRIM(INDEX('Pegar calibracion'!$A$1:$BZ$1001,673,B$2)&amp;""),""))</f>
        <v/>
      </c>
      <c r="C674">
        <f>IF(C$2=0,"",IFERROR(TRIM(INDEX('Pegar calibracion'!$A$1:$BZ$1001,673,C$2)&amp;""),""))</f>
        <v/>
      </c>
      <c r="D674">
        <f>IF(D$2=0,"",IFERROR(TRIM(INDEX('Pegar calibracion'!$A$1:$BZ$1001,673,D$2)&amp;""),""))</f>
        <v/>
      </c>
      <c r="E674">
        <f>IF(E$2=0,"",IFERROR(TRIM(INDEX('Pegar calibracion'!$A$1:$BZ$1001,673,E$2)&amp;""),""))</f>
        <v/>
      </c>
      <c r="F674">
        <f>IF(F$2=0,"",IFERROR(TRIM(INDEX('Pegar calibracion'!$A$1:$BZ$1001,673,F$2)&amp;""),""))</f>
        <v/>
      </c>
      <c r="G674">
        <f>IF(G$2=0,"",IFERROR(TRIM(INDEX('Pegar calibracion'!$A$1:$BZ$1001,673,G$2)&amp;""),""))</f>
        <v/>
      </c>
      <c r="H674">
        <f>IF(H$2=0,"",IFERROR(TRIM(INDEX('Pegar calibracion'!$A$1:$BZ$1001,673,H$2)&amp;""),""))</f>
        <v/>
      </c>
      <c r="I674">
        <f>IF(I$2=0,"",IFERROR(TRIM(INDEX('Pegar calibracion'!$A$1:$BZ$1001,673,I$2)&amp;""),""))</f>
        <v/>
      </c>
      <c r="J674">
        <f>IF(J$2=0,"",IFERROR(TRIM(INDEX('Pegar calibracion'!$A$1:$BZ$1001,673,J$2)&amp;""),""))</f>
        <v/>
      </c>
      <c r="K674">
        <f>IF(K$2=0,"",IFERROR(TRIM(INDEX('Pegar calibracion'!$A$1:$BZ$1001,673,K$2)&amp;""),""))</f>
        <v/>
      </c>
      <c r="L674">
        <f>IF(L$2=0,"",IFERROR(TRIM(INDEX('Pegar calibracion'!$A$1:$BZ$1001,673,L$2)&amp;""),""))</f>
        <v/>
      </c>
      <c r="M674" s="25">
        <f>IF(D674="","",SUBSTITUTE(SUBSTITUTE(SUBSTITUTE(SUBSTITUTE(SUBSTITUTE(SUBSTITUTE(SUBSTITUTE(SUBSTITUTE(SUBSTITUTE(SUBSTITUTE(SUBSTITUTE(SUBSTITUTE(LOWER(TRIM(D674)),"á","a"),"é","e"),"í","i"),"ó","o"),"ú","u"),"ü","u"),"ñ","n"),"à","a"),"è","e"),"ì","i"),"ò","o"),"ù","u"))</f>
        <v/>
      </c>
      <c r="N674" s="25">
        <f>IF(F674="","",SUBSTITUTE(SUBSTITUTE(SUBSTITUTE(SUBSTITUTE(SUBSTITUTE(SUBSTITUTE(SUBSTITUTE(SUBSTITUTE(SUBSTITUTE(SUBSTITUTE(SUBSTITUTE(SUBSTITUTE(LOWER(TRIM(F674)),"á","a"),"é","e"),"í","i"),"ó","o"),"ú","u"),"ü","u"),"ñ","n"),"à","a"),"è","e"),"ì","i"),"ò","o"),"ù","u"))</f>
        <v/>
      </c>
      <c r="O674" s="25">
        <f>IF(M674="confiable",2,IF(M674="dudosa",1,IF(M674="no confiable",0,"")))</f>
        <v/>
      </c>
      <c r="P674" s="25">
        <f>IF(N674="confiable",2,IF(N674="dudosa",1,IF(N674="no confiable",0,"")))</f>
        <v/>
      </c>
      <c r="Q674" s="25">
        <f>IF(AND(ISNUMBER(O674),ISNUMBER(P674)),1,"")</f>
        <v/>
      </c>
      <c r="R674" s="25">
        <f>IF(Q674=1,IF(O674=P674,"Sí","No"),"")</f>
        <v/>
      </c>
      <c r="S674" s="25">
        <f>IF(Q674=1,IF(P674&lt;O674,"Más estricto",IF(P674&gt;O674,"Más permisivo","Igual")),"")</f>
        <v/>
      </c>
      <c r="T674" s="25">
        <f>IF(Q674=1,IF(ABS(O674-P674)=2,1,0),"")</f>
        <v/>
      </c>
      <c r="U674" s="25">
        <f>IF(H674="","","|"&amp;SUBSTITUTE(SUBSTITUTE(TRIM(H674)," |","|"),"| ","|")&amp;"|")</f>
        <v/>
      </c>
      <c r="V674" s="25">
        <f>IF(AND(Q674=1,B674&lt;&gt;""),IF(IFERROR(COUNTIFS(B$3:B674,"="&amp;SUBSTITUTE(SUBSTITUTE(SUBSTITUTE(B674,"~","~~"),"*","~*"),"?","~?"),Q$3:Q674,1),0)=1,MAX(V$2:V673)+1,""),"")</f>
        <v/>
      </c>
      <c r="W674" s="25">
        <f>IF(V674="","",COUNTIFS($B$3:$B$1002,"="&amp;SUBSTITUTE(SUBSTITUTE(SUBSTITUTE(B674,"~","~~"),"*","~*"),"?","~?"),$Q$3:$Q$1002,1)*10000-V674)</f>
        <v/>
      </c>
      <c r="X674" s="25">
        <f>IF(Q674=1,IF(SUBSTITUTE(SUBSTITUTE(SUBSTITUTE(SUBSTITUTE(SUBSTITUTE(SUBSTITUTE(SUBSTITUTE(SUBSTITUTE(SUBSTITUTE(SUBSTITUTE(SUBSTITUTE(SUBSTITUTE(LOWER(TRIM(A674)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674)),"á","a"),"é","e"),"í","i"),"ó","o"),"ú","u"),"ü","u"),"ñ","n"),"à","a"),"è","e"),"ì","i"),"ò","o"),"ù","u")),"")</f>
        <v/>
      </c>
      <c r="Y674" s="25">
        <f>IF(X674="","",IF(IFERROR(COUNTIF(X$3:X674,"="&amp;SUBSTITUTE(SUBSTITUTE(SUBSTITUTE(X674,"~","~~"),"*","~*"),"?","~?")),0)=1,1,""))</f>
        <v/>
      </c>
      <c r="Z674" s="25">
        <f>IF(T674=1,MAX(Z$2:Z673)+1,"")</f>
        <v/>
      </c>
    </row>
    <row r="675">
      <c r="A675">
        <f>IF(A$2=0,"",IFERROR(TRIM(INDEX('Pegar calibracion'!$A$1:$BZ$1001,674,A$2)&amp;""),""))</f>
        <v/>
      </c>
      <c r="B675">
        <f>IF(B$2=0,"",IFERROR(TRIM(INDEX('Pegar calibracion'!$A$1:$BZ$1001,674,B$2)&amp;""),""))</f>
        <v/>
      </c>
      <c r="C675">
        <f>IF(C$2=0,"",IFERROR(TRIM(INDEX('Pegar calibracion'!$A$1:$BZ$1001,674,C$2)&amp;""),""))</f>
        <v/>
      </c>
      <c r="D675">
        <f>IF(D$2=0,"",IFERROR(TRIM(INDEX('Pegar calibracion'!$A$1:$BZ$1001,674,D$2)&amp;""),""))</f>
        <v/>
      </c>
      <c r="E675">
        <f>IF(E$2=0,"",IFERROR(TRIM(INDEX('Pegar calibracion'!$A$1:$BZ$1001,674,E$2)&amp;""),""))</f>
        <v/>
      </c>
      <c r="F675">
        <f>IF(F$2=0,"",IFERROR(TRIM(INDEX('Pegar calibracion'!$A$1:$BZ$1001,674,F$2)&amp;""),""))</f>
        <v/>
      </c>
      <c r="G675">
        <f>IF(G$2=0,"",IFERROR(TRIM(INDEX('Pegar calibracion'!$A$1:$BZ$1001,674,G$2)&amp;""),""))</f>
        <v/>
      </c>
      <c r="H675">
        <f>IF(H$2=0,"",IFERROR(TRIM(INDEX('Pegar calibracion'!$A$1:$BZ$1001,674,H$2)&amp;""),""))</f>
        <v/>
      </c>
      <c r="I675">
        <f>IF(I$2=0,"",IFERROR(TRIM(INDEX('Pegar calibracion'!$A$1:$BZ$1001,674,I$2)&amp;""),""))</f>
        <v/>
      </c>
      <c r="J675">
        <f>IF(J$2=0,"",IFERROR(TRIM(INDEX('Pegar calibracion'!$A$1:$BZ$1001,674,J$2)&amp;""),""))</f>
        <v/>
      </c>
      <c r="K675">
        <f>IF(K$2=0,"",IFERROR(TRIM(INDEX('Pegar calibracion'!$A$1:$BZ$1001,674,K$2)&amp;""),""))</f>
        <v/>
      </c>
      <c r="L675">
        <f>IF(L$2=0,"",IFERROR(TRIM(INDEX('Pegar calibracion'!$A$1:$BZ$1001,674,L$2)&amp;""),""))</f>
        <v/>
      </c>
      <c r="M675" s="25">
        <f>IF(D675="","",SUBSTITUTE(SUBSTITUTE(SUBSTITUTE(SUBSTITUTE(SUBSTITUTE(SUBSTITUTE(SUBSTITUTE(SUBSTITUTE(SUBSTITUTE(SUBSTITUTE(SUBSTITUTE(SUBSTITUTE(LOWER(TRIM(D675)),"á","a"),"é","e"),"í","i"),"ó","o"),"ú","u"),"ü","u"),"ñ","n"),"à","a"),"è","e"),"ì","i"),"ò","o"),"ù","u"))</f>
        <v/>
      </c>
      <c r="N675" s="25">
        <f>IF(F675="","",SUBSTITUTE(SUBSTITUTE(SUBSTITUTE(SUBSTITUTE(SUBSTITUTE(SUBSTITUTE(SUBSTITUTE(SUBSTITUTE(SUBSTITUTE(SUBSTITUTE(SUBSTITUTE(SUBSTITUTE(LOWER(TRIM(F675)),"á","a"),"é","e"),"í","i"),"ó","o"),"ú","u"),"ü","u"),"ñ","n"),"à","a"),"è","e"),"ì","i"),"ò","o"),"ù","u"))</f>
        <v/>
      </c>
      <c r="O675" s="25">
        <f>IF(M675="confiable",2,IF(M675="dudosa",1,IF(M675="no confiable",0,"")))</f>
        <v/>
      </c>
      <c r="P675" s="25">
        <f>IF(N675="confiable",2,IF(N675="dudosa",1,IF(N675="no confiable",0,"")))</f>
        <v/>
      </c>
      <c r="Q675" s="25">
        <f>IF(AND(ISNUMBER(O675),ISNUMBER(P675)),1,"")</f>
        <v/>
      </c>
      <c r="R675" s="25">
        <f>IF(Q675=1,IF(O675=P675,"Sí","No"),"")</f>
        <v/>
      </c>
      <c r="S675" s="25">
        <f>IF(Q675=1,IF(P675&lt;O675,"Más estricto",IF(P675&gt;O675,"Más permisivo","Igual")),"")</f>
        <v/>
      </c>
      <c r="T675" s="25">
        <f>IF(Q675=1,IF(ABS(O675-P675)=2,1,0),"")</f>
        <v/>
      </c>
      <c r="U675" s="25">
        <f>IF(H675="","","|"&amp;SUBSTITUTE(SUBSTITUTE(TRIM(H675)," |","|"),"| ","|")&amp;"|")</f>
        <v/>
      </c>
      <c r="V675" s="25">
        <f>IF(AND(Q675=1,B675&lt;&gt;""),IF(IFERROR(COUNTIFS(B$3:B675,"="&amp;SUBSTITUTE(SUBSTITUTE(SUBSTITUTE(B675,"~","~~"),"*","~*"),"?","~?"),Q$3:Q675,1),0)=1,MAX(V$2:V674)+1,""),"")</f>
        <v/>
      </c>
      <c r="W675" s="25">
        <f>IF(V675="","",COUNTIFS($B$3:$B$1002,"="&amp;SUBSTITUTE(SUBSTITUTE(SUBSTITUTE(B675,"~","~~"),"*","~*"),"?","~?"),$Q$3:$Q$1002,1)*10000-V675)</f>
        <v/>
      </c>
      <c r="X675" s="25">
        <f>IF(Q675=1,IF(SUBSTITUTE(SUBSTITUTE(SUBSTITUTE(SUBSTITUTE(SUBSTITUTE(SUBSTITUTE(SUBSTITUTE(SUBSTITUTE(SUBSTITUTE(SUBSTITUTE(SUBSTITUTE(SUBSTITUTE(LOWER(TRIM(A675)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675)),"á","a"),"é","e"),"í","i"),"ó","o"),"ú","u"),"ü","u"),"ñ","n"),"à","a"),"è","e"),"ì","i"),"ò","o"),"ù","u")),"")</f>
        <v/>
      </c>
      <c r="Y675" s="25">
        <f>IF(X675="","",IF(IFERROR(COUNTIF(X$3:X675,"="&amp;SUBSTITUTE(SUBSTITUTE(SUBSTITUTE(X675,"~","~~"),"*","~*"),"?","~?")),0)=1,1,""))</f>
        <v/>
      </c>
      <c r="Z675" s="25">
        <f>IF(T675=1,MAX(Z$2:Z674)+1,"")</f>
        <v/>
      </c>
    </row>
    <row r="676">
      <c r="A676">
        <f>IF(A$2=0,"",IFERROR(TRIM(INDEX('Pegar calibracion'!$A$1:$BZ$1001,675,A$2)&amp;""),""))</f>
        <v/>
      </c>
      <c r="B676">
        <f>IF(B$2=0,"",IFERROR(TRIM(INDEX('Pegar calibracion'!$A$1:$BZ$1001,675,B$2)&amp;""),""))</f>
        <v/>
      </c>
      <c r="C676">
        <f>IF(C$2=0,"",IFERROR(TRIM(INDEX('Pegar calibracion'!$A$1:$BZ$1001,675,C$2)&amp;""),""))</f>
        <v/>
      </c>
      <c r="D676">
        <f>IF(D$2=0,"",IFERROR(TRIM(INDEX('Pegar calibracion'!$A$1:$BZ$1001,675,D$2)&amp;""),""))</f>
        <v/>
      </c>
      <c r="E676">
        <f>IF(E$2=0,"",IFERROR(TRIM(INDEX('Pegar calibracion'!$A$1:$BZ$1001,675,E$2)&amp;""),""))</f>
        <v/>
      </c>
      <c r="F676">
        <f>IF(F$2=0,"",IFERROR(TRIM(INDEX('Pegar calibracion'!$A$1:$BZ$1001,675,F$2)&amp;""),""))</f>
        <v/>
      </c>
      <c r="G676">
        <f>IF(G$2=0,"",IFERROR(TRIM(INDEX('Pegar calibracion'!$A$1:$BZ$1001,675,G$2)&amp;""),""))</f>
        <v/>
      </c>
      <c r="H676">
        <f>IF(H$2=0,"",IFERROR(TRIM(INDEX('Pegar calibracion'!$A$1:$BZ$1001,675,H$2)&amp;""),""))</f>
        <v/>
      </c>
      <c r="I676">
        <f>IF(I$2=0,"",IFERROR(TRIM(INDEX('Pegar calibracion'!$A$1:$BZ$1001,675,I$2)&amp;""),""))</f>
        <v/>
      </c>
      <c r="J676">
        <f>IF(J$2=0,"",IFERROR(TRIM(INDEX('Pegar calibracion'!$A$1:$BZ$1001,675,J$2)&amp;""),""))</f>
        <v/>
      </c>
      <c r="K676">
        <f>IF(K$2=0,"",IFERROR(TRIM(INDEX('Pegar calibracion'!$A$1:$BZ$1001,675,K$2)&amp;""),""))</f>
        <v/>
      </c>
      <c r="L676">
        <f>IF(L$2=0,"",IFERROR(TRIM(INDEX('Pegar calibracion'!$A$1:$BZ$1001,675,L$2)&amp;""),""))</f>
        <v/>
      </c>
      <c r="M676" s="25">
        <f>IF(D676="","",SUBSTITUTE(SUBSTITUTE(SUBSTITUTE(SUBSTITUTE(SUBSTITUTE(SUBSTITUTE(SUBSTITUTE(SUBSTITUTE(SUBSTITUTE(SUBSTITUTE(SUBSTITUTE(SUBSTITUTE(LOWER(TRIM(D676)),"á","a"),"é","e"),"í","i"),"ó","o"),"ú","u"),"ü","u"),"ñ","n"),"à","a"),"è","e"),"ì","i"),"ò","o"),"ù","u"))</f>
        <v/>
      </c>
      <c r="N676" s="25">
        <f>IF(F676="","",SUBSTITUTE(SUBSTITUTE(SUBSTITUTE(SUBSTITUTE(SUBSTITUTE(SUBSTITUTE(SUBSTITUTE(SUBSTITUTE(SUBSTITUTE(SUBSTITUTE(SUBSTITUTE(SUBSTITUTE(LOWER(TRIM(F676)),"á","a"),"é","e"),"í","i"),"ó","o"),"ú","u"),"ü","u"),"ñ","n"),"à","a"),"è","e"),"ì","i"),"ò","o"),"ù","u"))</f>
        <v/>
      </c>
      <c r="O676" s="25">
        <f>IF(M676="confiable",2,IF(M676="dudosa",1,IF(M676="no confiable",0,"")))</f>
        <v/>
      </c>
      <c r="P676" s="25">
        <f>IF(N676="confiable",2,IF(N676="dudosa",1,IF(N676="no confiable",0,"")))</f>
        <v/>
      </c>
      <c r="Q676" s="25">
        <f>IF(AND(ISNUMBER(O676),ISNUMBER(P676)),1,"")</f>
        <v/>
      </c>
      <c r="R676" s="25">
        <f>IF(Q676=1,IF(O676=P676,"Sí","No"),"")</f>
        <v/>
      </c>
      <c r="S676" s="25">
        <f>IF(Q676=1,IF(P676&lt;O676,"Más estricto",IF(P676&gt;O676,"Más permisivo","Igual")),"")</f>
        <v/>
      </c>
      <c r="T676" s="25">
        <f>IF(Q676=1,IF(ABS(O676-P676)=2,1,0),"")</f>
        <v/>
      </c>
      <c r="U676" s="25">
        <f>IF(H676="","","|"&amp;SUBSTITUTE(SUBSTITUTE(TRIM(H676)," |","|"),"| ","|")&amp;"|")</f>
        <v/>
      </c>
      <c r="V676" s="25">
        <f>IF(AND(Q676=1,B676&lt;&gt;""),IF(IFERROR(COUNTIFS(B$3:B676,"="&amp;SUBSTITUTE(SUBSTITUTE(SUBSTITUTE(B676,"~","~~"),"*","~*"),"?","~?"),Q$3:Q676,1),0)=1,MAX(V$2:V675)+1,""),"")</f>
        <v/>
      </c>
      <c r="W676" s="25">
        <f>IF(V676="","",COUNTIFS($B$3:$B$1002,"="&amp;SUBSTITUTE(SUBSTITUTE(SUBSTITUTE(B676,"~","~~"),"*","~*"),"?","~?"),$Q$3:$Q$1002,1)*10000-V676)</f>
        <v/>
      </c>
      <c r="X676" s="25">
        <f>IF(Q676=1,IF(SUBSTITUTE(SUBSTITUTE(SUBSTITUTE(SUBSTITUTE(SUBSTITUTE(SUBSTITUTE(SUBSTITUTE(SUBSTITUTE(SUBSTITUTE(SUBSTITUTE(SUBSTITUTE(SUBSTITUTE(LOWER(TRIM(A676)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676)),"á","a"),"é","e"),"í","i"),"ó","o"),"ú","u"),"ü","u"),"ñ","n"),"à","a"),"è","e"),"ì","i"),"ò","o"),"ù","u")),"")</f>
        <v/>
      </c>
      <c r="Y676" s="25">
        <f>IF(X676="","",IF(IFERROR(COUNTIF(X$3:X676,"="&amp;SUBSTITUTE(SUBSTITUTE(SUBSTITUTE(X676,"~","~~"),"*","~*"),"?","~?")),0)=1,1,""))</f>
        <v/>
      </c>
      <c r="Z676" s="25">
        <f>IF(T676=1,MAX(Z$2:Z675)+1,"")</f>
        <v/>
      </c>
    </row>
    <row r="677">
      <c r="A677">
        <f>IF(A$2=0,"",IFERROR(TRIM(INDEX('Pegar calibracion'!$A$1:$BZ$1001,676,A$2)&amp;""),""))</f>
        <v/>
      </c>
      <c r="B677">
        <f>IF(B$2=0,"",IFERROR(TRIM(INDEX('Pegar calibracion'!$A$1:$BZ$1001,676,B$2)&amp;""),""))</f>
        <v/>
      </c>
      <c r="C677">
        <f>IF(C$2=0,"",IFERROR(TRIM(INDEX('Pegar calibracion'!$A$1:$BZ$1001,676,C$2)&amp;""),""))</f>
        <v/>
      </c>
      <c r="D677">
        <f>IF(D$2=0,"",IFERROR(TRIM(INDEX('Pegar calibracion'!$A$1:$BZ$1001,676,D$2)&amp;""),""))</f>
        <v/>
      </c>
      <c r="E677">
        <f>IF(E$2=0,"",IFERROR(TRIM(INDEX('Pegar calibracion'!$A$1:$BZ$1001,676,E$2)&amp;""),""))</f>
        <v/>
      </c>
      <c r="F677">
        <f>IF(F$2=0,"",IFERROR(TRIM(INDEX('Pegar calibracion'!$A$1:$BZ$1001,676,F$2)&amp;""),""))</f>
        <v/>
      </c>
      <c r="G677">
        <f>IF(G$2=0,"",IFERROR(TRIM(INDEX('Pegar calibracion'!$A$1:$BZ$1001,676,G$2)&amp;""),""))</f>
        <v/>
      </c>
      <c r="H677">
        <f>IF(H$2=0,"",IFERROR(TRIM(INDEX('Pegar calibracion'!$A$1:$BZ$1001,676,H$2)&amp;""),""))</f>
        <v/>
      </c>
      <c r="I677">
        <f>IF(I$2=0,"",IFERROR(TRIM(INDEX('Pegar calibracion'!$A$1:$BZ$1001,676,I$2)&amp;""),""))</f>
        <v/>
      </c>
      <c r="J677">
        <f>IF(J$2=0,"",IFERROR(TRIM(INDEX('Pegar calibracion'!$A$1:$BZ$1001,676,J$2)&amp;""),""))</f>
        <v/>
      </c>
      <c r="K677">
        <f>IF(K$2=0,"",IFERROR(TRIM(INDEX('Pegar calibracion'!$A$1:$BZ$1001,676,K$2)&amp;""),""))</f>
        <v/>
      </c>
      <c r="L677">
        <f>IF(L$2=0,"",IFERROR(TRIM(INDEX('Pegar calibracion'!$A$1:$BZ$1001,676,L$2)&amp;""),""))</f>
        <v/>
      </c>
      <c r="M677" s="25">
        <f>IF(D677="","",SUBSTITUTE(SUBSTITUTE(SUBSTITUTE(SUBSTITUTE(SUBSTITUTE(SUBSTITUTE(SUBSTITUTE(SUBSTITUTE(SUBSTITUTE(SUBSTITUTE(SUBSTITUTE(SUBSTITUTE(LOWER(TRIM(D677)),"á","a"),"é","e"),"í","i"),"ó","o"),"ú","u"),"ü","u"),"ñ","n"),"à","a"),"è","e"),"ì","i"),"ò","o"),"ù","u"))</f>
        <v/>
      </c>
      <c r="N677" s="25">
        <f>IF(F677="","",SUBSTITUTE(SUBSTITUTE(SUBSTITUTE(SUBSTITUTE(SUBSTITUTE(SUBSTITUTE(SUBSTITUTE(SUBSTITUTE(SUBSTITUTE(SUBSTITUTE(SUBSTITUTE(SUBSTITUTE(LOWER(TRIM(F677)),"á","a"),"é","e"),"í","i"),"ó","o"),"ú","u"),"ü","u"),"ñ","n"),"à","a"),"è","e"),"ì","i"),"ò","o"),"ù","u"))</f>
        <v/>
      </c>
      <c r="O677" s="25">
        <f>IF(M677="confiable",2,IF(M677="dudosa",1,IF(M677="no confiable",0,"")))</f>
        <v/>
      </c>
      <c r="P677" s="25">
        <f>IF(N677="confiable",2,IF(N677="dudosa",1,IF(N677="no confiable",0,"")))</f>
        <v/>
      </c>
      <c r="Q677" s="25">
        <f>IF(AND(ISNUMBER(O677),ISNUMBER(P677)),1,"")</f>
        <v/>
      </c>
      <c r="R677" s="25">
        <f>IF(Q677=1,IF(O677=P677,"Sí","No"),"")</f>
        <v/>
      </c>
      <c r="S677" s="25">
        <f>IF(Q677=1,IF(P677&lt;O677,"Más estricto",IF(P677&gt;O677,"Más permisivo","Igual")),"")</f>
        <v/>
      </c>
      <c r="T677" s="25">
        <f>IF(Q677=1,IF(ABS(O677-P677)=2,1,0),"")</f>
        <v/>
      </c>
      <c r="U677" s="25">
        <f>IF(H677="","","|"&amp;SUBSTITUTE(SUBSTITUTE(TRIM(H677)," |","|"),"| ","|")&amp;"|")</f>
        <v/>
      </c>
      <c r="V677" s="25">
        <f>IF(AND(Q677=1,B677&lt;&gt;""),IF(IFERROR(COUNTIFS(B$3:B677,"="&amp;SUBSTITUTE(SUBSTITUTE(SUBSTITUTE(B677,"~","~~"),"*","~*"),"?","~?"),Q$3:Q677,1),0)=1,MAX(V$2:V676)+1,""),"")</f>
        <v/>
      </c>
      <c r="W677" s="25">
        <f>IF(V677="","",COUNTIFS($B$3:$B$1002,"="&amp;SUBSTITUTE(SUBSTITUTE(SUBSTITUTE(B677,"~","~~"),"*","~*"),"?","~?"),$Q$3:$Q$1002,1)*10000-V677)</f>
        <v/>
      </c>
      <c r="X677" s="25">
        <f>IF(Q677=1,IF(SUBSTITUTE(SUBSTITUTE(SUBSTITUTE(SUBSTITUTE(SUBSTITUTE(SUBSTITUTE(SUBSTITUTE(SUBSTITUTE(SUBSTITUTE(SUBSTITUTE(SUBSTITUTE(SUBSTITUTE(LOWER(TRIM(A677)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677)),"á","a"),"é","e"),"í","i"),"ó","o"),"ú","u"),"ü","u"),"ñ","n"),"à","a"),"è","e"),"ì","i"),"ò","o"),"ù","u")),"")</f>
        <v/>
      </c>
      <c r="Y677" s="25">
        <f>IF(X677="","",IF(IFERROR(COUNTIF(X$3:X677,"="&amp;SUBSTITUTE(SUBSTITUTE(SUBSTITUTE(X677,"~","~~"),"*","~*"),"?","~?")),0)=1,1,""))</f>
        <v/>
      </c>
      <c r="Z677" s="25">
        <f>IF(T677=1,MAX(Z$2:Z676)+1,"")</f>
        <v/>
      </c>
    </row>
    <row r="678">
      <c r="A678">
        <f>IF(A$2=0,"",IFERROR(TRIM(INDEX('Pegar calibracion'!$A$1:$BZ$1001,677,A$2)&amp;""),""))</f>
        <v/>
      </c>
      <c r="B678">
        <f>IF(B$2=0,"",IFERROR(TRIM(INDEX('Pegar calibracion'!$A$1:$BZ$1001,677,B$2)&amp;""),""))</f>
        <v/>
      </c>
      <c r="C678">
        <f>IF(C$2=0,"",IFERROR(TRIM(INDEX('Pegar calibracion'!$A$1:$BZ$1001,677,C$2)&amp;""),""))</f>
        <v/>
      </c>
      <c r="D678">
        <f>IF(D$2=0,"",IFERROR(TRIM(INDEX('Pegar calibracion'!$A$1:$BZ$1001,677,D$2)&amp;""),""))</f>
        <v/>
      </c>
      <c r="E678">
        <f>IF(E$2=0,"",IFERROR(TRIM(INDEX('Pegar calibracion'!$A$1:$BZ$1001,677,E$2)&amp;""),""))</f>
        <v/>
      </c>
      <c r="F678">
        <f>IF(F$2=0,"",IFERROR(TRIM(INDEX('Pegar calibracion'!$A$1:$BZ$1001,677,F$2)&amp;""),""))</f>
        <v/>
      </c>
      <c r="G678">
        <f>IF(G$2=0,"",IFERROR(TRIM(INDEX('Pegar calibracion'!$A$1:$BZ$1001,677,G$2)&amp;""),""))</f>
        <v/>
      </c>
      <c r="H678">
        <f>IF(H$2=0,"",IFERROR(TRIM(INDEX('Pegar calibracion'!$A$1:$BZ$1001,677,H$2)&amp;""),""))</f>
        <v/>
      </c>
      <c r="I678">
        <f>IF(I$2=0,"",IFERROR(TRIM(INDEX('Pegar calibracion'!$A$1:$BZ$1001,677,I$2)&amp;""),""))</f>
        <v/>
      </c>
      <c r="J678">
        <f>IF(J$2=0,"",IFERROR(TRIM(INDEX('Pegar calibracion'!$A$1:$BZ$1001,677,J$2)&amp;""),""))</f>
        <v/>
      </c>
      <c r="K678">
        <f>IF(K$2=0,"",IFERROR(TRIM(INDEX('Pegar calibracion'!$A$1:$BZ$1001,677,K$2)&amp;""),""))</f>
        <v/>
      </c>
      <c r="L678">
        <f>IF(L$2=0,"",IFERROR(TRIM(INDEX('Pegar calibracion'!$A$1:$BZ$1001,677,L$2)&amp;""),""))</f>
        <v/>
      </c>
      <c r="M678" s="25">
        <f>IF(D678="","",SUBSTITUTE(SUBSTITUTE(SUBSTITUTE(SUBSTITUTE(SUBSTITUTE(SUBSTITUTE(SUBSTITUTE(SUBSTITUTE(SUBSTITUTE(SUBSTITUTE(SUBSTITUTE(SUBSTITUTE(LOWER(TRIM(D678)),"á","a"),"é","e"),"í","i"),"ó","o"),"ú","u"),"ü","u"),"ñ","n"),"à","a"),"è","e"),"ì","i"),"ò","o"),"ù","u"))</f>
        <v/>
      </c>
      <c r="N678" s="25">
        <f>IF(F678="","",SUBSTITUTE(SUBSTITUTE(SUBSTITUTE(SUBSTITUTE(SUBSTITUTE(SUBSTITUTE(SUBSTITUTE(SUBSTITUTE(SUBSTITUTE(SUBSTITUTE(SUBSTITUTE(SUBSTITUTE(LOWER(TRIM(F678)),"á","a"),"é","e"),"í","i"),"ó","o"),"ú","u"),"ü","u"),"ñ","n"),"à","a"),"è","e"),"ì","i"),"ò","o"),"ù","u"))</f>
        <v/>
      </c>
      <c r="O678" s="25">
        <f>IF(M678="confiable",2,IF(M678="dudosa",1,IF(M678="no confiable",0,"")))</f>
        <v/>
      </c>
      <c r="P678" s="25">
        <f>IF(N678="confiable",2,IF(N678="dudosa",1,IF(N678="no confiable",0,"")))</f>
        <v/>
      </c>
      <c r="Q678" s="25">
        <f>IF(AND(ISNUMBER(O678),ISNUMBER(P678)),1,"")</f>
        <v/>
      </c>
      <c r="R678" s="25">
        <f>IF(Q678=1,IF(O678=P678,"Sí","No"),"")</f>
        <v/>
      </c>
      <c r="S678" s="25">
        <f>IF(Q678=1,IF(P678&lt;O678,"Más estricto",IF(P678&gt;O678,"Más permisivo","Igual")),"")</f>
        <v/>
      </c>
      <c r="T678" s="25">
        <f>IF(Q678=1,IF(ABS(O678-P678)=2,1,0),"")</f>
        <v/>
      </c>
      <c r="U678" s="25">
        <f>IF(H678="","","|"&amp;SUBSTITUTE(SUBSTITUTE(TRIM(H678)," |","|"),"| ","|")&amp;"|")</f>
        <v/>
      </c>
      <c r="V678" s="25">
        <f>IF(AND(Q678=1,B678&lt;&gt;""),IF(IFERROR(COUNTIFS(B$3:B678,"="&amp;SUBSTITUTE(SUBSTITUTE(SUBSTITUTE(B678,"~","~~"),"*","~*"),"?","~?"),Q$3:Q678,1),0)=1,MAX(V$2:V677)+1,""),"")</f>
        <v/>
      </c>
      <c r="W678" s="25">
        <f>IF(V678="","",COUNTIFS($B$3:$B$1002,"="&amp;SUBSTITUTE(SUBSTITUTE(SUBSTITUTE(B678,"~","~~"),"*","~*"),"?","~?"),$Q$3:$Q$1002,1)*10000-V678)</f>
        <v/>
      </c>
      <c r="X678" s="25">
        <f>IF(Q678=1,IF(SUBSTITUTE(SUBSTITUTE(SUBSTITUTE(SUBSTITUTE(SUBSTITUTE(SUBSTITUTE(SUBSTITUTE(SUBSTITUTE(SUBSTITUTE(SUBSTITUTE(SUBSTITUTE(SUBSTITUTE(LOWER(TRIM(A678)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678)),"á","a"),"é","e"),"í","i"),"ó","o"),"ú","u"),"ü","u"),"ñ","n"),"à","a"),"è","e"),"ì","i"),"ò","o"),"ù","u")),"")</f>
        <v/>
      </c>
      <c r="Y678" s="25">
        <f>IF(X678="","",IF(IFERROR(COUNTIF(X$3:X678,"="&amp;SUBSTITUTE(SUBSTITUTE(SUBSTITUTE(X678,"~","~~"),"*","~*"),"?","~?")),0)=1,1,""))</f>
        <v/>
      </c>
      <c r="Z678" s="25">
        <f>IF(T678=1,MAX(Z$2:Z677)+1,"")</f>
        <v/>
      </c>
    </row>
    <row r="679">
      <c r="A679">
        <f>IF(A$2=0,"",IFERROR(TRIM(INDEX('Pegar calibracion'!$A$1:$BZ$1001,678,A$2)&amp;""),""))</f>
        <v/>
      </c>
      <c r="B679">
        <f>IF(B$2=0,"",IFERROR(TRIM(INDEX('Pegar calibracion'!$A$1:$BZ$1001,678,B$2)&amp;""),""))</f>
        <v/>
      </c>
      <c r="C679">
        <f>IF(C$2=0,"",IFERROR(TRIM(INDEX('Pegar calibracion'!$A$1:$BZ$1001,678,C$2)&amp;""),""))</f>
        <v/>
      </c>
      <c r="D679">
        <f>IF(D$2=0,"",IFERROR(TRIM(INDEX('Pegar calibracion'!$A$1:$BZ$1001,678,D$2)&amp;""),""))</f>
        <v/>
      </c>
      <c r="E679">
        <f>IF(E$2=0,"",IFERROR(TRIM(INDEX('Pegar calibracion'!$A$1:$BZ$1001,678,E$2)&amp;""),""))</f>
        <v/>
      </c>
      <c r="F679">
        <f>IF(F$2=0,"",IFERROR(TRIM(INDEX('Pegar calibracion'!$A$1:$BZ$1001,678,F$2)&amp;""),""))</f>
        <v/>
      </c>
      <c r="G679">
        <f>IF(G$2=0,"",IFERROR(TRIM(INDEX('Pegar calibracion'!$A$1:$BZ$1001,678,G$2)&amp;""),""))</f>
        <v/>
      </c>
      <c r="H679">
        <f>IF(H$2=0,"",IFERROR(TRIM(INDEX('Pegar calibracion'!$A$1:$BZ$1001,678,H$2)&amp;""),""))</f>
        <v/>
      </c>
      <c r="I679">
        <f>IF(I$2=0,"",IFERROR(TRIM(INDEX('Pegar calibracion'!$A$1:$BZ$1001,678,I$2)&amp;""),""))</f>
        <v/>
      </c>
      <c r="J679">
        <f>IF(J$2=0,"",IFERROR(TRIM(INDEX('Pegar calibracion'!$A$1:$BZ$1001,678,J$2)&amp;""),""))</f>
        <v/>
      </c>
      <c r="K679">
        <f>IF(K$2=0,"",IFERROR(TRIM(INDEX('Pegar calibracion'!$A$1:$BZ$1001,678,K$2)&amp;""),""))</f>
        <v/>
      </c>
      <c r="L679">
        <f>IF(L$2=0,"",IFERROR(TRIM(INDEX('Pegar calibracion'!$A$1:$BZ$1001,678,L$2)&amp;""),""))</f>
        <v/>
      </c>
      <c r="M679" s="25">
        <f>IF(D679="","",SUBSTITUTE(SUBSTITUTE(SUBSTITUTE(SUBSTITUTE(SUBSTITUTE(SUBSTITUTE(SUBSTITUTE(SUBSTITUTE(SUBSTITUTE(SUBSTITUTE(SUBSTITUTE(SUBSTITUTE(LOWER(TRIM(D679)),"á","a"),"é","e"),"í","i"),"ó","o"),"ú","u"),"ü","u"),"ñ","n"),"à","a"),"è","e"),"ì","i"),"ò","o"),"ù","u"))</f>
        <v/>
      </c>
      <c r="N679" s="25">
        <f>IF(F679="","",SUBSTITUTE(SUBSTITUTE(SUBSTITUTE(SUBSTITUTE(SUBSTITUTE(SUBSTITUTE(SUBSTITUTE(SUBSTITUTE(SUBSTITUTE(SUBSTITUTE(SUBSTITUTE(SUBSTITUTE(LOWER(TRIM(F679)),"á","a"),"é","e"),"í","i"),"ó","o"),"ú","u"),"ü","u"),"ñ","n"),"à","a"),"è","e"),"ì","i"),"ò","o"),"ù","u"))</f>
        <v/>
      </c>
      <c r="O679" s="25">
        <f>IF(M679="confiable",2,IF(M679="dudosa",1,IF(M679="no confiable",0,"")))</f>
        <v/>
      </c>
      <c r="P679" s="25">
        <f>IF(N679="confiable",2,IF(N679="dudosa",1,IF(N679="no confiable",0,"")))</f>
        <v/>
      </c>
      <c r="Q679" s="25">
        <f>IF(AND(ISNUMBER(O679),ISNUMBER(P679)),1,"")</f>
        <v/>
      </c>
      <c r="R679" s="25">
        <f>IF(Q679=1,IF(O679=P679,"Sí","No"),"")</f>
        <v/>
      </c>
      <c r="S679" s="25">
        <f>IF(Q679=1,IF(P679&lt;O679,"Más estricto",IF(P679&gt;O679,"Más permisivo","Igual")),"")</f>
        <v/>
      </c>
      <c r="T679" s="25">
        <f>IF(Q679=1,IF(ABS(O679-P679)=2,1,0),"")</f>
        <v/>
      </c>
      <c r="U679" s="25">
        <f>IF(H679="","","|"&amp;SUBSTITUTE(SUBSTITUTE(TRIM(H679)," |","|"),"| ","|")&amp;"|")</f>
        <v/>
      </c>
      <c r="V679" s="25">
        <f>IF(AND(Q679=1,B679&lt;&gt;""),IF(IFERROR(COUNTIFS(B$3:B679,"="&amp;SUBSTITUTE(SUBSTITUTE(SUBSTITUTE(B679,"~","~~"),"*","~*"),"?","~?"),Q$3:Q679,1),0)=1,MAX(V$2:V678)+1,""),"")</f>
        <v/>
      </c>
      <c r="W679" s="25">
        <f>IF(V679="","",COUNTIFS($B$3:$B$1002,"="&amp;SUBSTITUTE(SUBSTITUTE(SUBSTITUTE(B679,"~","~~"),"*","~*"),"?","~?"),$Q$3:$Q$1002,1)*10000-V679)</f>
        <v/>
      </c>
      <c r="X679" s="25">
        <f>IF(Q679=1,IF(SUBSTITUTE(SUBSTITUTE(SUBSTITUTE(SUBSTITUTE(SUBSTITUTE(SUBSTITUTE(SUBSTITUTE(SUBSTITUTE(SUBSTITUTE(SUBSTITUTE(SUBSTITUTE(SUBSTITUTE(LOWER(TRIM(A679)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679)),"á","a"),"é","e"),"í","i"),"ó","o"),"ú","u"),"ü","u"),"ñ","n"),"à","a"),"è","e"),"ì","i"),"ò","o"),"ù","u")),"")</f>
        <v/>
      </c>
      <c r="Y679" s="25">
        <f>IF(X679="","",IF(IFERROR(COUNTIF(X$3:X679,"="&amp;SUBSTITUTE(SUBSTITUTE(SUBSTITUTE(X679,"~","~~"),"*","~*"),"?","~?")),0)=1,1,""))</f>
        <v/>
      </c>
      <c r="Z679" s="25">
        <f>IF(T679=1,MAX(Z$2:Z678)+1,"")</f>
        <v/>
      </c>
    </row>
    <row r="680">
      <c r="A680">
        <f>IF(A$2=0,"",IFERROR(TRIM(INDEX('Pegar calibracion'!$A$1:$BZ$1001,679,A$2)&amp;""),""))</f>
        <v/>
      </c>
      <c r="B680">
        <f>IF(B$2=0,"",IFERROR(TRIM(INDEX('Pegar calibracion'!$A$1:$BZ$1001,679,B$2)&amp;""),""))</f>
        <v/>
      </c>
      <c r="C680">
        <f>IF(C$2=0,"",IFERROR(TRIM(INDEX('Pegar calibracion'!$A$1:$BZ$1001,679,C$2)&amp;""),""))</f>
        <v/>
      </c>
      <c r="D680">
        <f>IF(D$2=0,"",IFERROR(TRIM(INDEX('Pegar calibracion'!$A$1:$BZ$1001,679,D$2)&amp;""),""))</f>
        <v/>
      </c>
      <c r="E680">
        <f>IF(E$2=0,"",IFERROR(TRIM(INDEX('Pegar calibracion'!$A$1:$BZ$1001,679,E$2)&amp;""),""))</f>
        <v/>
      </c>
      <c r="F680">
        <f>IF(F$2=0,"",IFERROR(TRIM(INDEX('Pegar calibracion'!$A$1:$BZ$1001,679,F$2)&amp;""),""))</f>
        <v/>
      </c>
      <c r="G680">
        <f>IF(G$2=0,"",IFERROR(TRIM(INDEX('Pegar calibracion'!$A$1:$BZ$1001,679,G$2)&amp;""),""))</f>
        <v/>
      </c>
      <c r="H680">
        <f>IF(H$2=0,"",IFERROR(TRIM(INDEX('Pegar calibracion'!$A$1:$BZ$1001,679,H$2)&amp;""),""))</f>
        <v/>
      </c>
      <c r="I680">
        <f>IF(I$2=0,"",IFERROR(TRIM(INDEX('Pegar calibracion'!$A$1:$BZ$1001,679,I$2)&amp;""),""))</f>
        <v/>
      </c>
      <c r="J680">
        <f>IF(J$2=0,"",IFERROR(TRIM(INDEX('Pegar calibracion'!$A$1:$BZ$1001,679,J$2)&amp;""),""))</f>
        <v/>
      </c>
      <c r="K680">
        <f>IF(K$2=0,"",IFERROR(TRIM(INDEX('Pegar calibracion'!$A$1:$BZ$1001,679,K$2)&amp;""),""))</f>
        <v/>
      </c>
      <c r="L680">
        <f>IF(L$2=0,"",IFERROR(TRIM(INDEX('Pegar calibracion'!$A$1:$BZ$1001,679,L$2)&amp;""),""))</f>
        <v/>
      </c>
      <c r="M680" s="25">
        <f>IF(D680="","",SUBSTITUTE(SUBSTITUTE(SUBSTITUTE(SUBSTITUTE(SUBSTITUTE(SUBSTITUTE(SUBSTITUTE(SUBSTITUTE(SUBSTITUTE(SUBSTITUTE(SUBSTITUTE(SUBSTITUTE(LOWER(TRIM(D680)),"á","a"),"é","e"),"í","i"),"ó","o"),"ú","u"),"ü","u"),"ñ","n"),"à","a"),"è","e"),"ì","i"),"ò","o"),"ù","u"))</f>
        <v/>
      </c>
      <c r="N680" s="25">
        <f>IF(F680="","",SUBSTITUTE(SUBSTITUTE(SUBSTITUTE(SUBSTITUTE(SUBSTITUTE(SUBSTITUTE(SUBSTITUTE(SUBSTITUTE(SUBSTITUTE(SUBSTITUTE(SUBSTITUTE(SUBSTITUTE(LOWER(TRIM(F680)),"á","a"),"é","e"),"í","i"),"ó","o"),"ú","u"),"ü","u"),"ñ","n"),"à","a"),"è","e"),"ì","i"),"ò","o"),"ù","u"))</f>
        <v/>
      </c>
      <c r="O680" s="25">
        <f>IF(M680="confiable",2,IF(M680="dudosa",1,IF(M680="no confiable",0,"")))</f>
        <v/>
      </c>
      <c r="P680" s="25">
        <f>IF(N680="confiable",2,IF(N680="dudosa",1,IF(N680="no confiable",0,"")))</f>
        <v/>
      </c>
      <c r="Q680" s="25">
        <f>IF(AND(ISNUMBER(O680),ISNUMBER(P680)),1,"")</f>
        <v/>
      </c>
      <c r="R680" s="25">
        <f>IF(Q680=1,IF(O680=P680,"Sí","No"),"")</f>
        <v/>
      </c>
      <c r="S680" s="25">
        <f>IF(Q680=1,IF(P680&lt;O680,"Más estricto",IF(P680&gt;O680,"Más permisivo","Igual")),"")</f>
        <v/>
      </c>
      <c r="T680" s="25">
        <f>IF(Q680=1,IF(ABS(O680-P680)=2,1,0),"")</f>
        <v/>
      </c>
      <c r="U680" s="25">
        <f>IF(H680="","","|"&amp;SUBSTITUTE(SUBSTITUTE(TRIM(H680)," |","|"),"| ","|")&amp;"|")</f>
        <v/>
      </c>
      <c r="V680" s="25">
        <f>IF(AND(Q680=1,B680&lt;&gt;""),IF(IFERROR(COUNTIFS(B$3:B680,"="&amp;SUBSTITUTE(SUBSTITUTE(SUBSTITUTE(B680,"~","~~"),"*","~*"),"?","~?"),Q$3:Q680,1),0)=1,MAX(V$2:V679)+1,""),"")</f>
        <v/>
      </c>
      <c r="W680" s="25">
        <f>IF(V680="","",COUNTIFS($B$3:$B$1002,"="&amp;SUBSTITUTE(SUBSTITUTE(SUBSTITUTE(B680,"~","~~"),"*","~*"),"?","~?"),$Q$3:$Q$1002,1)*10000-V680)</f>
        <v/>
      </c>
      <c r="X680" s="25">
        <f>IF(Q680=1,IF(SUBSTITUTE(SUBSTITUTE(SUBSTITUTE(SUBSTITUTE(SUBSTITUTE(SUBSTITUTE(SUBSTITUTE(SUBSTITUTE(SUBSTITUTE(SUBSTITUTE(SUBSTITUTE(SUBSTITUTE(LOWER(TRIM(A680)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680)),"á","a"),"é","e"),"í","i"),"ó","o"),"ú","u"),"ü","u"),"ñ","n"),"à","a"),"è","e"),"ì","i"),"ò","o"),"ù","u")),"")</f>
        <v/>
      </c>
      <c r="Y680" s="25">
        <f>IF(X680="","",IF(IFERROR(COUNTIF(X$3:X680,"="&amp;SUBSTITUTE(SUBSTITUTE(SUBSTITUTE(X680,"~","~~"),"*","~*"),"?","~?")),0)=1,1,""))</f>
        <v/>
      </c>
      <c r="Z680" s="25">
        <f>IF(T680=1,MAX(Z$2:Z679)+1,"")</f>
        <v/>
      </c>
    </row>
    <row r="681">
      <c r="A681">
        <f>IF(A$2=0,"",IFERROR(TRIM(INDEX('Pegar calibracion'!$A$1:$BZ$1001,680,A$2)&amp;""),""))</f>
        <v/>
      </c>
      <c r="B681">
        <f>IF(B$2=0,"",IFERROR(TRIM(INDEX('Pegar calibracion'!$A$1:$BZ$1001,680,B$2)&amp;""),""))</f>
        <v/>
      </c>
      <c r="C681">
        <f>IF(C$2=0,"",IFERROR(TRIM(INDEX('Pegar calibracion'!$A$1:$BZ$1001,680,C$2)&amp;""),""))</f>
        <v/>
      </c>
      <c r="D681">
        <f>IF(D$2=0,"",IFERROR(TRIM(INDEX('Pegar calibracion'!$A$1:$BZ$1001,680,D$2)&amp;""),""))</f>
        <v/>
      </c>
      <c r="E681">
        <f>IF(E$2=0,"",IFERROR(TRIM(INDEX('Pegar calibracion'!$A$1:$BZ$1001,680,E$2)&amp;""),""))</f>
        <v/>
      </c>
      <c r="F681">
        <f>IF(F$2=0,"",IFERROR(TRIM(INDEX('Pegar calibracion'!$A$1:$BZ$1001,680,F$2)&amp;""),""))</f>
        <v/>
      </c>
      <c r="G681">
        <f>IF(G$2=0,"",IFERROR(TRIM(INDEX('Pegar calibracion'!$A$1:$BZ$1001,680,G$2)&amp;""),""))</f>
        <v/>
      </c>
      <c r="H681">
        <f>IF(H$2=0,"",IFERROR(TRIM(INDEX('Pegar calibracion'!$A$1:$BZ$1001,680,H$2)&amp;""),""))</f>
        <v/>
      </c>
      <c r="I681">
        <f>IF(I$2=0,"",IFERROR(TRIM(INDEX('Pegar calibracion'!$A$1:$BZ$1001,680,I$2)&amp;""),""))</f>
        <v/>
      </c>
      <c r="J681">
        <f>IF(J$2=0,"",IFERROR(TRIM(INDEX('Pegar calibracion'!$A$1:$BZ$1001,680,J$2)&amp;""),""))</f>
        <v/>
      </c>
      <c r="K681">
        <f>IF(K$2=0,"",IFERROR(TRIM(INDEX('Pegar calibracion'!$A$1:$BZ$1001,680,K$2)&amp;""),""))</f>
        <v/>
      </c>
      <c r="L681">
        <f>IF(L$2=0,"",IFERROR(TRIM(INDEX('Pegar calibracion'!$A$1:$BZ$1001,680,L$2)&amp;""),""))</f>
        <v/>
      </c>
      <c r="M681" s="25">
        <f>IF(D681="","",SUBSTITUTE(SUBSTITUTE(SUBSTITUTE(SUBSTITUTE(SUBSTITUTE(SUBSTITUTE(SUBSTITUTE(SUBSTITUTE(SUBSTITUTE(SUBSTITUTE(SUBSTITUTE(SUBSTITUTE(LOWER(TRIM(D681)),"á","a"),"é","e"),"í","i"),"ó","o"),"ú","u"),"ü","u"),"ñ","n"),"à","a"),"è","e"),"ì","i"),"ò","o"),"ù","u"))</f>
        <v/>
      </c>
      <c r="N681" s="25">
        <f>IF(F681="","",SUBSTITUTE(SUBSTITUTE(SUBSTITUTE(SUBSTITUTE(SUBSTITUTE(SUBSTITUTE(SUBSTITUTE(SUBSTITUTE(SUBSTITUTE(SUBSTITUTE(SUBSTITUTE(SUBSTITUTE(LOWER(TRIM(F681)),"á","a"),"é","e"),"í","i"),"ó","o"),"ú","u"),"ü","u"),"ñ","n"),"à","a"),"è","e"),"ì","i"),"ò","o"),"ù","u"))</f>
        <v/>
      </c>
      <c r="O681" s="25">
        <f>IF(M681="confiable",2,IF(M681="dudosa",1,IF(M681="no confiable",0,"")))</f>
        <v/>
      </c>
      <c r="P681" s="25">
        <f>IF(N681="confiable",2,IF(N681="dudosa",1,IF(N681="no confiable",0,"")))</f>
        <v/>
      </c>
      <c r="Q681" s="25">
        <f>IF(AND(ISNUMBER(O681),ISNUMBER(P681)),1,"")</f>
        <v/>
      </c>
      <c r="R681" s="25">
        <f>IF(Q681=1,IF(O681=P681,"Sí","No"),"")</f>
        <v/>
      </c>
      <c r="S681" s="25">
        <f>IF(Q681=1,IF(P681&lt;O681,"Más estricto",IF(P681&gt;O681,"Más permisivo","Igual")),"")</f>
        <v/>
      </c>
      <c r="T681" s="25">
        <f>IF(Q681=1,IF(ABS(O681-P681)=2,1,0),"")</f>
        <v/>
      </c>
      <c r="U681" s="25">
        <f>IF(H681="","","|"&amp;SUBSTITUTE(SUBSTITUTE(TRIM(H681)," |","|"),"| ","|")&amp;"|")</f>
        <v/>
      </c>
      <c r="V681" s="25">
        <f>IF(AND(Q681=1,B681&lt;&gt;""),IF(IFERROR(COUNTIFS(B$3:B681,"="&amp;SUBSTITUTE(SUBSTITUTE(SUBSTITUTE(B681,"~","~~"),"*","~*"),"?","~?"),Q$3:Q681,1),0)=1,MAX(V$2:V680)+1,""),"")</f>
        <v/>
      </c>
      <c r="W681" s="25">
        <f>IF(V681="","",COUNTIFS($B$3:$B$1002,"="&amp;SUBSTITUTE(SUBSTITUTE(SUBSTITUTE(B681,"~","~~"),"*","~*"),"?","~?"),$Q$3:$Q$1002,1)*10000-V681)</f>
        <v/>
      </c>
      <c r="X681" s="25">
        <f>IF(Q681=1,IF(SUBSTITUTE(SUBSTITUTE(SUBSTITUTE(SUBSTITUTE(SUBSTITUTE(SUBSTITUTE(SUBSTITUTE(SUBSTITUTE(SUBSTITUTE(SUBSTITUTE(SUBSTITUTE(SUBSTITUTE(LOWER(TRIM(A681)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681)),"á","a"),"é","e"),"í","i"),"ó","o"),"ú","u"),"ü","u"),"ñ","n"),"à","a"),"è","e"),"ì","i"),"ò","o"),"ù","u")),"")</f>
        <v/>
      </c>
      <c r="Y681" s="25">
        <f>IF(X681="","",IF(IFERROR(COUNTIF(X$3:X681,"="&amp;SUBSTITUTE(SUBSTITUTE(SUBSTITUTE(X681,"~","~~"),"*","~*"),"?","~?")),0)=1,1,""))</f>
        <v/>
      </c>
      <c r="Z681" s="25">
        <f>IF(T681=1,MAX(Z$2:Z680)+1,"")</f>
        <v/>
      </c>
    </row>
    <row r="682">
      <c r="A682">
        <f>IF(A$2=0,"",IFERROR(TRIM(INDEX('Pegar calibracion'!$A$1:$BZ$1001,681,A$2)&amp;""),""))</f>
        <v/>
      </c>
      <c r="B682">
        <f>IF(B$2=0,"",IFERROR(TRIM(INDEX('Pegar calibracion'!$A$1:$BZ$1001,681,B$2)&amp;""),""))</f>
        <v/>
      </c>
      <c r="C682">
        <f>IF(C$2=0,"",IFERROR(TRIM(INDEX('Pegar calibracion'!$A$1:$BZ$1001,681,C$2)&amp;""),""))</f>
        <v/>
      </c>
      <c r="D682">
        <f>IF(D$2=0,"",IFERROR(TRIM(INDEX('Pegar calibracion'!$A$1:$BZ$1001,681,D$2)&amp;""),""))</f>
        <v/>
      </c>
      <c r="E682">
        <f>IF(E$2=0,"",IFERROR(TRIM(INDEX('Pegar calibracion'!$A$1:$BZ$1001,681,E$2)&amp;""),""))</f>
        <v/>
      </c>
      <c r="F682">
        <f>IF(F$2=0,"",IFERROR(TRIM(INDEX('Pegar calibracion'!$A$1:$BZ$1001,681,F$2)&amp;""),""))</f>
        <v/>
      </c>
      <c r="G682">
        <f>IF(G$2=0,"",IFERROR(TRIM(INDEX('Pegar calibracion'!$A$1:$BZ$1001,681,G$2)&amp;""),""))</f>
        <v/>
      </c>
      <c r="H682">
        <f>IF(H$2=0,"",IFERROR(TRIM(INDEX('Pegar calibracion'!$A$1:$BZ$1001,681,H$2)&amp;""),""))</f>
        <v/>
      </c>
      <c r="I682">
        <f>IF(I$2=0,"",IFERROR(TRIM(INDEX('Pegar calibracion'!$A$1:$BZ$1001,681,I$2)&amp;""),""))</f>
        <v/>
      </c>
      <c r="J682">
        <f>IF(J$2=0,"",IFERROR(TRIM(INDEX('Pegar calibracion'!$A$1:$BZ$1001,681,J$2)&amp;""),""))</f>
        <v/>
      </c>
      <c r="K682">
        <f>IF(K$2=0,"",IFERROR(TRIM(INDEX('Pegar calibracion'!$A$1:$BZ$1001,681,K$2)&amp;""),""))</f>
        <v/>
      </c>
      <c r="L682">
        <f>IF(L$2=0,"",IFERROR(TRIM(INDEX('Pegar calibracion'!$A$1:$BZ$1001,681,L$2)&amp;""),""))</f>
        <v/>
      </c>
      <c r="M682" s="25">
        <f>IF(D682="","",SUBSTITUTE(SUBSTITUTE(SUBSTITUTE(SUBSTITUTE(SUBSTITUTE(SUBSTITUTE(SUBSTITUTE(SUBSTITUTE(SUBSTITUTE(SUBSTITUTE(SUBSTITUTE(SUBSTITUTE(LOWER(TRIM(D682)),"á","a"),"é","e"),"í","i"),"ó","o"),"ú","u"),"ü","u"),"ñ","n"),"à","a"),"è","e"),"ì","i"),"ò","o"),"ù","u"))</f>
        <v/>
      </c>
      <c r="N682" s="25">
        <f>IF(F682="","",SUBSTITUTE(SUBSTITUTE(SUBSTITUTE(SUBSTITUTE(SUBSTITUTE(SUBSTITUTE(SUBSTITUTE(SUBSTITUTE(SUBSTITUTE(SUBSTITUTE(SUBSTITUTE(SUBSTITUTE(LOWER(TRIM(F682)),"á","a"),"é","e"),"í","i"),"ó","o"),"ú","u"),"ü","u"),"ñ","n"),"à","a"),"è","e"),"ì","i"),"ò","o"),"ù","u"))</f>
        <v/>
      </c>
      <c r="O682" s="25">
        <f>IF(M682="confiable",2,IF(M682="dudosa",1,IF(M682="no confiable",0,"")))</f>
        <v/>
      </c>
      <c r="P682" s="25">
        <f>IF(N682="confiable",2,IF(N682="dudosa",1,IF(N682="no confiable",0,"")))</f>
        <v/>
      </c>
      <c r="Q682" s="25">
        <f>IF(AND(ISNUMBER(O682),ISNUMBER(P682)),1,"")</f>
        <v/>
      </c>
      <c r="R682" s="25">
        <f>IF(Q682=1,IF(O682=P682,"Sí","No"),"")</f>
        <v/>
      </c>
      <c r="S682" s="25">
        <f>IF(Q682=1,IF(P682&lt;O682,"Más estricto",IF(P682&gt;O682,"Más permisivo","Igual")),"")</f>
        <v/>
      </c>
      <c r="T682" s="25">
        <f>IF(Q682=1,IF(ABS(O682-P682)=2,1,0),"")</f>
        <v/>
      </c>
      <c r="U682" s="25">
        <f>IF(H682="","","|"&amp;SUBSTITUTE(SUBSTITUTE(TRIM(H682)," |","|"),"| ","|")&amp;"|")</f>
        <v/>
      </c>
      <c r="V682" s="25">
        <f>IF(AND(Q682=1,B682&lt;&gt;""),IF(IFERROR(COUNTIFS(B$3:B682,"="&amp;SUBSTITUTE(SUBSTITUTE(SUBSTITUTE(B682,"~","~~"),"*","~*"),"?","~?"),Q$3:Q682,1),0)=1,MAX(V$2:V681)+1,""),"")</f>
        <v/>
      </c>
      <c r="W682" s="25">
        <f>IF(V682="","",COUNTIFS($B$3:$B$1002,"="&amp;SUBSTITUTE(SUBSTITUTE(SUBSTITUTE(B682,"~","~~"),"*","~*"),"?","~?"),$Q$3:$Q$1002,1)*10000-V682)</f>
        <v/>
      </c>
      <c r="X682" s="25">
        <f>IF(Q682=1,IF(SUBSTITUTE(SUBSTITUTE(SUBSTITUTE(SUBSTITUTE(SUBSTITUTE(SUBSTITUTE(SUBSTITUTE(SUBSTITUTE(SUBSTITUTE(SUBSTITUTE(SUBSTITUTE(SUBSTITUTE(LOWER(TRIM(A682)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682)),"á","a"),"é","e"),"í","i"),"ó","o"),"ú","u"),"ü","u"),"ñ","n"),"à","a"),"è","e"),"ì","i"),"ò","o"),"ù","u")),"")</f>
        <v/>
      </c>
      <c r="Y682" s="25">
        <f>IF(X682="","",IF(IFERROR(COUNTIF(X$3:X682,"="&amp;SUBSTITUTE(SUBSTITUTE(SUBSTITUTE(X682,"~","~~"),"*","~*"),"?","~?")),0)=1,1,""))</f>
        <v/>
      </c>
      <c r="Z682" s="25">
        <f>IF(T682=1,MAX(Z$2:Z681)+1,"")</f>
        <v/>
      </c>
    </row>
    <row r="683">
      <c r="A683">
        <f>IF(A$2=0,"",IFERROR(TRIM(INDEX('Pegar calibracion'!$A$1:$BZ$1001,682,A$2)&amp;""),""))</f>
        <v/>
      </c>
      <c r="B683">
        <f>IF(B$2=0,"",IFERROR(TRIM(INDEX('Pegar calibracion'!$A$1:$BZ$1001,682,B$2)&amp;""),""))</f>
        <v/>
      </c>
      <c r="C683">
        <f>IF(C$2=0,"",IFERROR(TRIM(INDEX('Pegar calibracion'!$A$1:$BZ$1001,682,C$2)&amp;""),""))</f>
        <v/>
      </c>
      <c r="D683">
        <f>IF(D$2=0,"",IFERROR(TRIM(INDEX('Pegar calibracion'!$A$1:$BZ$1001,682,D$2)&amp;""),""))</f>
        <v/>
      </c>
      <c r="E683">
        <f>IF(E$2=0,"",IFERROR(TRIM(INDEX('Pegar calibracion'!$A$1:$BZ$1001,682,E$2)&amp;""),""))</f>
        <v/>
      </c>
      <c r="F683">
        <f>IF(F$2=0,"",IFERROR(TRIM(INDEX('Pegar calibracion'!$A$1:$BZ$1001,682,F$2)&amp;""),""))</f>
        <v/>
      </c>
      <c r="G683">
        <f>IF(G$2=0,"",IFERROR(TRIM(INDEX('Pegar calibracion'!$A$1:$BZ$1001,682,G$2)&amp;""),""))</f>
        <v/>
      </c>
      <c r="H683">
        <f>IF(H$2=0,"",IFERROR(TRIM(INDEX('Pegar calibracion'!$A$1:$BZ$1001,682,H$2)&amp;""),""))</f>
        <v/>
      </c>
      <c r="I683">
        <f>IF(I$2=0,"",IFERROR(TRIM(INDEX('Pegar calibracion'!$A$1:$BZ$1001,682,I$2)&amp;""),""))</f>
        <v/>
      </c>
      <c r="J683">
        <f>IF(J$2=0,"",IFERROR(TRIM(INDEX('Pegar calibracion'!$A$1:$BZ$1001,682,J$2)&amp;""),""))</f>
        <v/>
      </c>
      <c r="K683">
        <f>IF(K$2=0,"",IFERROR(TRIM(INDEX('Pegar calibracion'!$A$1:$BZ$1001,682,K$2)&amp;""),""))</f>
        <v/>
      </c>
      <c r="L683">
        <f>IF(L$2=0,"",IFERROR(TRIM(INDEX('Pegar calibracion'!$A$1:$BZ$1001,682,L$2)&amp;""),""))</f>
        <v/>
      </c>
      <c r="M683" s="25">
        <f>IF(D683="","",SUBSTITUTE(SUBSTITUTE(SUBSTITUTE(SUBSTITUTE(SUBSTITUTE(SUBSTITUTE(SUBSTITUTE(SUBSTITUTE(SUBSTITUTE(SUBSTITUTE(SUBSTITUTE(SUBSTITUTE(LOWER(TRIM(D683)),"á","a"),"é","e"),"í","i"),"ó","o"),"ú","u"),"ü","u"),"ñ","n"),"à","a"),"è","e"),"ì","i"),"ò","o"),"ù","u"))</f>
        <v/>
      </c>
      <c r="N683" s="25">
        <f>IF(F683="","",SUBSTITUTE(SUBSTITUTE(SUBSTITUTE(SUBSTITUTE(SUBSTITUTE(SUBSTITUTE(SUBSTITUTE(SUBSTITUTE(SUBSTITUTE(SUBSTITUTE(SUBSTITUTE(SUBSTITUTE(LOWER(TRIM(F683)),"á","a"),"é","e"),"í","i"),"ó","o"),"ú","u"),"ü","u"),"ñ","n"),"à","a"),"è","e"),"ì","i"),"ò","o"),"ù","u"))</f>
        <v/>
      </c>
      <c r="O683" s="25">
        <f>IF(M683="confiable",2,IF(M683="dudosa",1,IF(M683="no confiable",0,"")))</f>
        <v/>
      </c>
      <c r="P683" s="25">
        <f>IF(N683="confiable",2,IF(N683="dudosa",1,IF(N683="no confiable",0,"")))</f>
        <v/>
      </c>
      <c r="Q683" s="25">
        <f>IF(AND(ISNUMBER(O683),ISNUMBER(P683)),1,"")</f>
        <v/>
      </c>
      <c r="R683" s="25">
        <f>IF(Q683=1,IF(O683=P683,"Sí","No"),"")</f>
        <v/>
      </c>
      <c r="S683" s="25">
        <f>IF(Q683=1,IF(P683&lt;O683,"Más estricto",IF(P683&gt;O683,"Más permisivo","Igual")),"")</f>
        <v/>
      </c>
      <c r="T683" s="25">
        <f>IF(Q683=1,IF(ABS(O683-P683)=2,1,0),"")</f>
        <v/>
      </c>
      <c r="U683" s="25">
        <f>IF(H683="","","|"&amp;SUBSTITUTE(SUBSTITUTE(TRIM(H683)," |","|"),"| ","|")&amp;"|")</f>
        <v/>
      </c>
      <c r="V683" s="25">
        <f>IF(AND(Q683=1,B683&lt;&gt;""),IF(IFERROR(COUNTIFS(B$3:B683,"="&amp;SUBSTITUTE(SUBSTITUTE(SUBSTITUTE(B683,"~","~~"),"*","~*"),"?","~?"),Q$3:Q683,1),0)=1,MAX(V$2:V682)+1,""),"")</f>
        <v/>
      </c>
      <c r="W683" s="25">
        <f>IF(V683="","",COUNTIFS($B$3:$B$1002,"="&amp;SUBSTITUTE(SUBSTITUTE(SUBSTITUTE(B683,"~","~~"),"*","~*"),"?","~?"),$Q$3:$Q$1002,1)*10000-V683)</f>
        <v/>
      </c>
      <c r="X683" s="25">
        <f>IF(Q683=1,IF(SUBSTITUTE(SUBSTITUTE(SUBSTITUTE(SUBSTITUTE(SUBSTITUTE(SUBSTITUTE(SUBSTITUTE(SUBSTITUTE(SUBSTITUTE(SUBSTITUTE(SUBSTITUTE(SUBSTITUTE(LOWER(TRIM(A683)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683)),"á","a"),"é","e"),"í","i"),"ó","o"),"ú","u"),"ü","u"),"ñ","n"),"à","a"),"è","e"),"ì","i"),"ò","o"),"ù","u")),"")</f>
        <v/>
      </c>
      <c r="Y683" s="25">
        <f>IF(X683="","",IF(IFERROR(COUNTIF(X$3:X683,"="&amp;SUBSTITUTE(SUBSTITUTE(SUBSTITUTE(X683,"~","~~"),"*","~*"),"?","~?")),0)=1,1,""))</f>
        <v/>
      </c>
      <c r="Z683" s="25">
        <f>IF(T683=1,MAX(Z$2:Z682)+1,"")</f>
        <v/>
      </c>
    </row>
    <row r="684">
      <c r="A684">
        <f>IF(A$2=0,"",IFERROR(TRIM(INDEX('Pegar calibracion'!$A$1:$BZ$1001,683,A$2)&amp;""),""))</f>
        <v/>
      </c>
      <c r="B684">
        <f>IF(B$2=0,"",IFERROR(TRIM(INDEX('Pegar calibracion'!$A$1:$BZ$1001,683,B$2)&amp;""),""))</f>
        <v/>
      </c>
      <c r="C684">
        <f>IF(C$2=0,"",IFERROR(TRIM(INDEX('Pegar calibracion'!$A$1:$BZ$1001,683,C$2)&amp;""),""))</f>
        <v/>
      </c>
      <c r="D684">
        <f>IF(D$2=0,"",IFERROR(TRIM(INDEX('Pegar calibracion'!$A$1:$BZ$1001,683,D$2)&amp;""),""))</f>
        <v/>
      </c>
      <c r="E684">
        <f>IF(E$2=0,"",IFERROR(TRIM(INDEX('Pegar calibracion'!$A$1:$BZ$1001,683,E$2)&amp;""),""))</f>
        <v/>
      </c>
      <c r="F684">
        <f>IF(F$2=0,"",IFERROR(TRIM(INDEX('Pegar calibracion'!$A$1:$BZ$1001,683,F$2)&amp;""),""))</f>
        <v/>
      </c>
      <c r="G684">
        <f>IF(G$2=0,"",IFERROR(TRIM(INDEX('Pegar calibracion'!$A$1:$BZ$1001,683,G$2)&amp;""),""))</f>
        <v/>
      </c>
      <c r="H684">
        <f>IF(H$2=0,"",IFERROR(TRIM(INDEX('Pegar calibracion'!$A$1:$BZ$1001,683,H$2)&amp;""),""))</f>
        <v/>
      </c>
      <c r="I684">
        <f>IF(I$2=0,"",IFERROR(TRIM(INDEX('Pegar calibracion'!$A$1:$BZ$1001,683,I$2)&amp;""),""))</f>
        <v/>
      </c>
      <c r="J684">
        <f>IF(J$2=0,"",IFERROR(TRIM(INDEX('Pegar calibracion'!$A$1:$BZ$1001,683,J$2)&amp;""),""))</f>
        <v/>
      </c>
      <c r="K684">
        <f>IF(K$2=0,"",IFERROR(TRIM(INDEX('Pegar calibracion'!$A$1:$BZ$1001,683,K$2)&amp;""),""))</f>
        <v/>
      </c>
      <c r="L684">
        <f>IF(L$2=0,"",IFERROR(TRIM(INDEX('Pegar calibracion'!$A$1:$BZ$1001,683,L$2)&amp;""),""))</f>
        <v/>
      </c>
      <c r="M684" s="25">
        <f>IF(D684="","",SUBSTITUTE(SUBSTITUTE(SUBSTITUTE(SUBSTITUTE(SUBSTITUTE(SUBSTITUTE(SUBSTITUTE(SUBSTITUTE(SUBSTITUTE(SUBSTITUTE(SUBSTITUTE(SUBSTITUTE(LOWER(TRIM(D684)),"á","a"),"é","e"),"í","i"),"ó","o"),"ú","u"),"ü","u"),"ñ","n"),"à","a"),"è","e"),"ì","i"),"ò","o"),"ù","u"))</f>
        <v/>
      </c>
      <c r="N684" s="25">
        <f>IF(F684="","",SUBSTITUTE(SUBSTITUTE(SUBSTITUTE(SUBSTITUTE(SUBSTITUTE(SUBSTITUTE(SUBSTITUTE(SUBSTITUTE(SUBSTITUTE(SUBSTITUTE(SUBSTITUTE(SUBSTITUTE(LOWER(TRIM(F684)),"á","a"),"é","e"),"í","i"),"ó","o"),"ú","u"),"ü","u"),"ñ","n"),"à","a"),"è","e"),"ì","i"),"ò","o"),"ù","u"))</f>
        <v/>
      </c>
      <c r="O684" s="25">
        <f>IF(M684="confiable",2,IF(M684="dudosa",1,IF(M684="no confiable",0,"")))</f>
        <v/>
      </c>
      <c r="P684" s="25">
        <f>IF(N684="confiable",2,IF(N684="dudosa",1,IF(N684="no confiable",0,"")))</f>
        <v/>
      </c>
      <c r="Q684" s="25">
        <f>IF(AND(ISNUMBER(O684),ISNUMBER(P684)),1,"")</f>
        <v/>
      </c>
      <c r="R684" s="25">
        <f>IF(Q684=1,IF(O684=P684,"Sí","No"),"")</f>
        <v/>
      </c>
      <c r="S684" s="25">
        <f>IF(Q684=1,IF(P684&lt;O684,"Más estricto",IF(P684&gt;O684,"Más permisivo","Igual")),"")</f>
        <v/>
      </c>
      <c r="T684" s="25">
        <f>IF(Q684=1,IF(ABS(O684-P684)=2,1,0),"")</f>
        <v/>
      </c>
      <c r="U684" s="25">
        <f>IF(H684="","","|"&amp;SUBSTITUTE(SUBSTITUTE(TRIM(H684)," |","|"),"| ","|")&amp;"|")</f>
        <v/>
      </c>
      <c r="V684" s="25">
        <f>IF(AND(Q684=1,B684&lt;&gt;""),IF(IFERROR(COUNTIFS(B$3:B684,"="&amp;SUBSTITUTE(SUBSTITUTE(SUBSTITUTE(B684,"~","~~"),"*","~*"),"?","~?"),Q$3:Q684,1),0)=1,MAX(V$2:V683)+1,""),"")</f>
        <v/>
      </c>
      <c r="W684" s="25">
        <f>IF(V684="","",COUNTIFS($B$3:$B$1002,"="&amp;SUBSTITUTE(SUBSTITUTE(SUBSTITUTE(B684,"~","~~"),"*","~*"),"?","~?"),$Q$3:$Q$1002,1)*10000-V684)</f>
        <v/>
      </c>
      <c r="X684" s="25">
        <f>IF(Q684=1,IF(SUBSTITUTE(SUBSTITUTE(SUBSTITUTE(SUBSTITUTE(SUBSTITUTE(SUBSTITUTE(SUBSTITUTE(SUBSTITUTE(SUBSTITUTE(SUBSTITUTE(SUBSTITUTE(SUBSTITUTE(LOWER(TRIM(A684)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684)),"á","a"),"é","e"),"í","i"),"ó","o"),"ú","u"),"ü","u"),"ñ","n"),"à","a"),"è","e"),"ì","i"),"ò","o"),"ù","u")),"")</f>
        <v/>
      </c>
      <c r="Y684" s="25">
        <f>IF(X684="","",IF(IFERROR(COUNTIF(X$3:X684,"="&amp;SUBSTITUTE(SUBSTITUTE(SUBSTITUTE(X684,"~","~~"),"*","~*"),"?","~?")),0)=1,1,""))</f>
        <v/>
      </c>
      <c r="Z684" s="25">
        <f>IF(T684=1,MAX(Z$2:Z683)+1,"")</f>
        <v/>
      </c>
    </row>
    <row r="685">
      <c r="A685">
        <f>IF(A$2=0,"",IFERROR(TRIM(INDEX('Pegar calibracion'!$A$1:$BZ$1001,684,A$2)&amp;""),""))</f>
        <v/>
      </c>
      <c r="B685">
        <f>IF(B$2=0,"",IFERROR(TRIM(INDEX('Pegar calibracion'!$A$1:$BZ$1001,684,B$2)&amp;""),""))</f>
        <v/>
      </c>
      <c r="C685">
        <f>IF(C$2=0,"",IFERROR(TRIM(INDEX('Pegar calibracion'!$A$1:$BZ$1001,684,C$2)&amp;""),""))</f>
        <v/>
      </c>
      <c r="D685">
        <f>IF(D$2=0,"",IFERROR(TRIM(INDEX('Pegar calibracion'!$A$1:$BZ$1001,684,D$2)&amp;""),""))</f>
        <v/>
      </c>
      <c r="E685">
        <f>IF(E$2=0,"",IFERROR(TRIM(INDEX('Pegar calibracion'!$A$1:$BZ$1001,684,E$2)&amp;""),""))</f>
        <v/>
      </c>
      <c r="F685">
        <f>IF(F$2=0,"",IFERROR(TRIM(INDEX('Pegar calibracion'!$A$1:$BZ$1001,684,F$2)&amp;""),""))</f>
        <v/>
      </c>
      <c r="G685">
        <f>IF(G$2=0,"",IFERROR(TRIM(INDEX('Pegar calibracion'!$A$1:$BZ$1001,684,G$2)&amp;""),""))</f>
        <v/>
      </c>
      <c r="H685">
        <f>IF(H$2=0,"",IFERROR(TRIM(INDEX('Pegar calibracion'!$A$1:$BZ$1001,684,H$2)&amp;""),""))</f>
        <v/>
      </c>
      <c r="I685">
        <f>IF(I$2=0,"",IFERROR(TRIM(INDEX('Pegar calibracion'!$A$1:$BZ$1001,684,I$2)&amp;""),""))</f>
        <v/>
      </c>
      <c r="J685">
        <f>IF(J$2=0,"",IFERROR(TRIM(INDEX('Pegar calibracion'!$A$1:$BZ$1001,684,J$2)&amp;""),""))</f>
        <v/>
      </c>
      <c r="K685">
        <f>IF(K$2=0,"",IFERROR(TRIM(INDEX('Pegar calibracion'!$A$1:$BZ$1001,684,K$2)&amp;""),""))</f>
        <v/>
      </c>
      <c r="L685">
        <f>IF(L$2=0,"",IFERROR(TRIM(INDEX('Pegar calibracion'!$A$1:$BZ$1001,684,L$2)&amp;""),""))</f>
        <v/>
      </c>
      <c r="M685" s="25">
        <f>IF(D685="","",SUBSTITUTE(SUBSTITUTE(SUBSTITUTE(SUBSTITUTE(SUBSTITUTE(SUBSTITUTE(SUBSTITUTE(SUBSTITUTE(SUBSTITUTE(SUBSTITUTE(SUBSTITUTE(SUBSTITUTE(LOWER(TRIM(D685)),"á","a"),"é","e"),"í","i"),"ó","o"),"ú","u"),"ü","u"),"ñ","n"),"à","a"),"è","e"),"ì","i"),"ò","o"),"ù","u"))</f>
        <v/>
      </c>
      <c r="N685" s="25">
        <f>IF(F685="","",SUBSTITUTE(SUBSTITUTE(SUBSTITUTE(SUBSTITUTE(SUBSTITUTE(SUBSTITUTE(SUBSTITUTE(SUBSTITUTE(SUBSTITUTE(SUBSTITUTE(SUBSTITUTE(SUBSTITUTE(LOWER(TRIM(F685)),"á","a"),"é","e"),"í","i"),"ó","o"),"ú","u"),"ü","u"),"ñ","n"),"à","a"),"è","e"),"ì","i"),"ò","o"),"ù","u"))</f>
        <v/>
      </c>
      <c r="O685" s="25">
        <f>IF(M685="confiable",2,IF(M685="dudosa",1,IF(M685="no confiable",0,"")))</f>
        <v/>
      </c>
      <c r="P685" s="25">
        <f>IF(N685="confiable",2,IF(N685="dudosa",1,IF(N685="no confiable",0,"")))</f>
        <v/>
      </c>
      <c r="Q685" s="25">
        <f>IF(AND(ISNUMBER(O685),ISNUMBER(P685)),1,"")</f>
        <v/>
      </c>
      <c r="R685" s="25">
        <f>IF(Q685=1,IF(O685=P685,"Sí","No"),"")</f>
        <v/>
      </c>
      <c r="S685" s="25">
        <f>IF(Q685=1,IF(P685&lt;O685,"Más estricto",IF(P685&gt;O685,"Más permisivo","Igual")),"")</f>
        <v/>
      </c>
      <c r="T685" s="25">
        <f>IF(Q685=1,IF(ABS(O685-P685)=2,1,0),"")</f>
        <v/>
      </c>
      <c r="U685" s="25">
        <f>IF(H685="","","|"&amp;SUBSTITUTE(SUBSTITUTE(TRIM(H685)," |","|"),"| ","|")&amp;"|")</f>
        <v/>
      </c>
      <c r="V685" s="25">
        <f>IF(AND(Q685=1,B685&lt;&gt;""),IF(IFERROR(COUNTIFS(B$3:B685,"="&amp;SUBSTITUTE(SUBSTITUTE(SUBSTITUTE(B685,"~","~~"),"*","~*"),"?","~?"),Q$3:Q685,1),0)=1,MAX(V$2:V684)+1,""),"")</f>
        <v/>
      </c>
      <c r="W685" s="25">
        <f>IF(V685="","",COUNTIFS($B$3:$B$1002,"="&amp;SUBSTITUTE(SUBSTITUTE(SUBSTITUTE(B685,"~","~~"),"*","~*"),"?","~?"),$Q$3:$Q$1002,1)*10000-V685)</f>
        <v/>
      </c>
      <c r="X685" s="25">
        <f>IF(Q685=1,IF(SUBSTITUTE(SUBSTITUTE(SUBSTITUTE(SUBSTITUTE(SUBSTITUTE(SUBSTITUTE(SUBSTITUTE(SUBSTITUTE(SUBSTITUTE(SUBSTITUTE(SUBSTITUTE(SUBSTITUTE(LOWER(TRIM(A685)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685)),"á","a"),"é","e"),"í","i"),"ó","o"),"ú","u"),"ü","u"),"ñ","n"),"à","a"),"è","e"),"ì","i"),"ò","o"),"ù","u")),"")</f>
        <v/>
      </c>
      <c r="Y685" s="25">
        <f>IF(X685="","",IF(IFERROR(COUNTIF(X$3:X685,"="&amp;SUBSTITUTE(SUBSTITUTE(SUBSTITUTE(X685,"~","~~"),"*","~*"),"?","~?")),0)=1,1,""))</f>
        <v/>
      </c>
      <c r="Z685" s="25">
        <f>IF(T685=1,MAX(Z$2:Z684)+1,"")</f>
        <v/>
      </c>
    </row>
    <row r="686">
      <c r="A686">
        <f>IF(A$2=0,"",IFERROR(TRIM(INDEX('Pegar calibracion'!$A$1:$BZ$1001,685,A$2)&amp;""),""))</f>
        <v/>
      </c>
      <c r="B686">
        <f>IF(B$2=0,"",IFERROR(TRIM(INDEX('Pegar calibracion'!$A$1:$BZ$1001,685,B$2)&amp;""),""))</f>
        <v/>
      </c>
      <c r="C686">
        <f>IF(C$2=0,"",IFERROR(TRIM(INDEX('Pegar calibracion'!$A$1:$BZ$1001,685,C$2)&amp;""),""))</f>
        <v/>
      </c>
      <c r="D686">
        <f>IF(D$2=0,"",IFERROR(TRIM(INDEX('Pegar calibracion'!$A$1:$BZ$1001,685,D$2)&amp;""),""))</f>
        <v/>
      </c>
      <c r="E686">
        <f>IF(E$2=0,"",IFERROR(TRIM(INDEX('Pegar calibracion'!$A$1:$BZ$1001,685,E$2)&amp;""),""))</f>
        <v/>
      </c>
      <c r="F686">
        <f>IF(F$2=0,"",IFERROR(TRIM(INDEX('Pegar calibracion'!$A$1:$BZ$1001,685,F$2)&amp;""),""))</f>
        <v/>
      </c>
      <c r="G686">
        <f>IF(G$2=0,"",IFERROR(TRIM(INDEX('Pegar calibracion'!$A$1:$BZ$1001,685,G$2)&amp;""),""))</f>
        <v/>
      </c>
      <c r="H686">
        <f>IF(H$2=0,"",IFERROR(TRIM(INDEX('Pegar calibracion'!$A$1:$BZ$1001,685,H$2)&amp;""),""))</f>
        <v/>
      </c>
      <c r="I686">
        <f>IF(I$2=0,"",IFERROR(TRIM(INDEX('Pegar calibracion'!$A$1:$BZ$1001,685,I$2)&amp;""),""))</f>
        <v/>
      </c>
      <c r="J686">
        <f>IF(J$2=0,"",IFERROR(TRIM(INDEX('Pegar calibracion'!$A$1:$BZ$1001,685,J$2)&amp;""),""))</f>
        <v/>
      </c>
      <c r="K686">
        <f>IF(K$2=0,"",IFERROR(TRIM(INDEX('Pegar calibracion'!$A$1:$BZ$1001,685,K$2)&amp;""),""))</f>
        <v/>
      </c>
      <c r="L686">
        <f>IF(L$2=0,"",IFERROR(TRIM(INDEX('Pegar calibracion'!$A$1:$BZ$1001,685,L$2)&amp;""),""))</f>
        <v/>
      </c>
      <c r="M686" s="25">
        <f>IF(D686="","",SUBSTITUTE(SUBSTITUTE(SUBSTITUTE(SUBSTITUTE(SUBSTITUTE(SUBSTITUTE(SUBSTITUTE(SUBSTITUTE(SUBSTITUTE(SUBSTITUTE(SUBSTITUTE(SUBSTITUTE(LOWER(TRIM(D686)),"á","a"),"é","e"),"í","i"),"ó","o"),"ú","u"),"ü","u"),"ñ","n"),"à","a"),"è","e"),"ì","i"),"ò","o"),"ù","u"))</f>
        <v/>
      </c>
      <c r="N686" s="25">
        <f>IF(F686="","",SUBSTITUTE(SUBSTITUTE(SUBSTITUTE(SUBSTITUTE(SUBSTITUTE(SUBSTITUTE(SUBSTITUTE(SUBSTITUTE(SUBSTITUTE(SUBSTITUTE(SUBSTITUTE(SUBSTITUTE(LOWER(TRIM(F686)),"á","a"),"é","e"),"í","i"),"ó","o"),"ú","u"),"ü","u"),"ñ","n"),"à","a"),"è","e"),"ì","i"),"ò","o"),"ù","u"))</f>
        <v/>
      </c>
      <c r="O686" s="25">
        <f>IF(M686="confiable",2,IF(M686="dudosa",1,IF(M686="no confiable",0,"")))</f>
        <v/>
      </c>
      <c r="P686" s="25">
        <f>IF(N686="confiable",2,IF(N686="dudosa",1,IF(N686="no confiable",0,"")))</f>
        <v/>
      </c>
      <c r="Q686" s="25">
        <f>IF(AND(ISNUMBER(O686),ISNUMBER(P686)),1,"")</f>
        <v/>
      </c>
      <c r="R686" s="25">
        <f>IF(Q686=1,IF(O686=P686,"Sí","No"),"")</f>
        <v/>
      </c>
      <c r="S686" s="25">
        <f>IF(Q686=1,IF(P686&lt;O686,"Más estricto",IF(P686&gt;O686,"Más permisivo","Igual")),"")</f>
        <v/>
      </c>
      <c r="T686" s="25">
        <f>IF(Q686=1,IF(ABS(O686-P686)=2,1,0),"")</f>
        <v/>
      </c>
      <c r="U686" s="25">
        <f>IF(H686="","","|"&amp;SUBSTITUTE(SUBSTITUTE(TRIM(H686)," |","|"),"| ","|")&amp;"|")</f>
        <v/>
      </c>
      <c r="V686" s="25">
        <f>IF(AND(Q686=1,B686&lt;&gt;""),IF(IFERROR(COUNTIFS(B$3:B686,"="&amp;SUBSTITUTE(SUBSTITUTE(SUBSTITUTE(B686,"~","~~"),"*","~*"),"?","~?"),Q$3:Q686,1),0)=1,MAX(V$2:V685)+1,""),"")</f>
        <v/>
      </c>
      <c r="W686" s="25">
        <f>IF(V686="","",COUNTIFS($B$3:$B$1002,"="&amp;SUBSTITUTE(SUBSTITUTE(SUBSTITUTE(B686,"~","~~"),"*","~*"),"?","~?"),$Q$3:$Q$1002,1)*10000-V686)</f>
        <v/>
      </c>
      <c r="X686" s="25">
        <f>IF(Q686=1,IF(SUBSTITUTE(SUBSTITUTE(SUBSTITUTE(SUBSTITUTE(SUBSTITUTE(SUBSTITUTE(SUBSTITUTE(SUBSTITUTE(SUBSTITUTE(SUBSTITUTE(SUBSTITUTE(SUBSTITUTE(LOWER(TRIM(A686)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686)),"á","a"),"é","e"),"í","i"),"ó","o"),"ú","u"),"ü","u"),"ñ","n"),"à","a"),"è","e"),"ì","i"),"ò","o"),"ù","u")),"")</f>
        <v/>
      </c>
      <c r="Y686" s="25">
        <f>IF(X686="","",IF(IFERROR(COUNTIF(X$3:X686,"="&amp;SUBSTITUTE(SUBSTITUTE(SUBSTITUTE(X686,"~","~~"),"*","~*"),"?","~?")),0)=1,1,""))</f>
        <v/>
      </c>
      <c r="Z686" s="25">
        <f>IF(T686=1,MAX(Z$2:Z685)+1,"")</f>
        <v/>
      </c>
    </row>
    <row r="687">
      <c r="A687">
        <f>IF(A$2=0,"",IFERROR(TRIM(INDEX('Pegar calibracion'!$A$1:$BZ$1001,686,A$2)&amp;""),""))</f>
        <v/>
      </c>
      <c r="B687">
        <f>IF(B$2=0,"",IFERROR(TRIM(INDEX('Pegar calibracion'!$A$1:$BZ$1001,686,B$2)&amp;""),""))</f>
        <v/>
      </c>
      <c r="C687">
        <f>IF(C$2=0,"",IFERROR(TRIM(INDEX('Pegar calibracion'!$A$1:$BZ$1001,686,C$2)&amp;""),""))</f>
        <v/>
      </c>
      <c r="D687">
        <f>IF(D$2=0,"",IFERROR(TRIM(INDEX('Pegar calibracion'!$A$1:$BZ$1001,686,D$2)&amp;""),""))</f>
        <v/>
      </c>
      <c r="E687">
        <f>IF(E$2=0,"",IFERROR(TRIM(INDEX('Pegar calibracion'!$A$1:$BZ$1001,686,E$2)&amp;""),""))</f>
        <v/>
      </c>
      <c r="F687">
        <f>IF(F$2=0,"",IFERROR(TRIM(INDEX('Pegar calibracion'!$A$1:$BZ$1001,686,F$2)&amp;""),""))</f>
        <v/>
      </c>
      <c r="G687">
        <f>IF(G$2=0,"",IFERROR(TRIM(INDEX('Pegar calibracion'!$A$1:$BZ$1001,686,G$2)&amp;""),""))</f>
        <v/>
      </c>
      <c r="H687">
        <f>IF(H$2=0,"",IFERROR(TRIM(INDEX('Pegar calibracion'!$A$1:$BZ$1001,686,H$2)&amp;""),""))</f>
        <v/>
      </c>
      <c r="I687">
        <f>IF(I$2=0,"",IFERROR(TRIM(INDEX('Pegar calibracion'!$A$1:$BZ$1001,686,I$2)&amp;""),""))</f>
        <v/>
      </c>
      <c r="J687">
        <f>IF(J$2=0,"",IFERROR(TRIM(INDEX('Pegar calibracion'!$A$1:$BZ$1001,686,J$2)&amp;""),""))</f>
        <v/>
      </c>
      <c r="K687">
        <f>IF(K$2=0,"",IFERROR(TRIM(INDEX('Pegar calibracion'!$A$1:$BZ$1001,686,K$2)&amp;""),""))</f>
        <v/>
      </c>
      <c r="L687">
        <f>IF(L$2=0,"",IFERROR(TRIM(INDEX('Pegar calibracion'!$A$1:$BZ$1001,686,L$2)&amp;""),""))</f>
        <v/>
      </c>
      <c r="M687" s="25">
        <f>IF(D687="","",SUBSTITUTE(SUBSTITUTE(SUBSTITUTE(SUBSTITUTE(SUBSTITUTE(SUBSTITUTE(SUBSTITUTE(SUBSTITUTE(SUBSTITUTE(SUBSTITUTE(SUBSTITUTE(SUBSTITUTE(LOWER(TRIM(D687)),"á","a"),"é","e"),"í","i"),"ó","o"),"ú","u"),"ü","u"),"ñ","n"),"à","a"),"è","e"),"ì","i"),"ò","o"),"ù","u"))</f>
        <v/>
      </c>
      <c r="N687" s="25">
        <f>IF(F687="","",SUBSTITUTE(SUBSTITUTE(SUBSTITUTE(SUBSTITUTE(SUBSTITUTE(SUBSTITUTE(SUBSTITUTE(SUBSTITUTE(SUBSTITUTE(SUBSTITUTE(SUBSTITUTE(SUBSTITUTE(LOWER(TRIM(F687)),"á","a"),"é","e"),"í","i"),"ó","o"),"ú","u"),"ü","u"),"ñ","n"),"à","a"),"è","e"),"ì","i"),"ò","o"),"ù","u"))</f>
        <v/>
      </c>
      <c r="O687" s="25">
        <f>IF(M687="confiable",2,IF(M687="dudosa",1,IF(M687="no confiable",0,"")))</f>
        <v/>
      </c>
      <c r="P687" s="25">
        <f>IF(N687="confiable",2,IF(N687="dudosa",1,IF(N687="no confiable",0,"")))</f>
        <v/>
      </c>
      <c r="Q687" s="25">
        <f>IF(AND(ISNUMBER(O687),ISNUMBER(P687)),1,"")</f>
        <v/>
      </c>
      <c r="R687" s="25">
        <f>IF(Q687=1,IF(O687=P687,"Sí","No"),"")</f>
        <v/>
      </c>
      <c r="S687" s="25">
        <f>IF(Q687=1,IF(P687&lt;O687,"Más estricto",IF(P687&gt;O687,"Más permisivo","Igual")),"")</f>
        <v/>
      </c>
      <c r="T687" s="25">
        <f>IF(Q687=1,IF(ABS(O687-P687)=2,1,0),"")</f>
        <v/>
      </c>
      <c r="U687" s="25">
        <f>IF(H687="","","|"&amp;SUBSTITUTE(SUBSTITUTE(TRIM(H687)," |","|"),"| ","|")&amp;"|")</f>
        <v/>
      </c>
      <c r="V687" s="25">
        <f>IF(AND(Q687=1,B687&lt;&gt;""),IF(IFERROR(COUNTIFS(B$3:B687,"="&amp;SUBSTITUTE(SUBSTITUTE(SUBSTITUTE(B687,"~","~~"),"*","~*"),"?","~?"),Q$3:Q687,1),0)=1,MAX(V$2:V686)+1,""),"")</f>
        <v/>
      </c>
      <c r="W687" s="25">
        <f>IF(V687="","",COUNTIFS($B$3:$B$1002,"="&amp;SUBSTITUTE(SUBSTITUTE(SUBSTITUTE(B687,"~","~~"),"*","~*"),"?","~?"),$Q$3:$Q$1002,1)*10000-V687)</f>
        <v/>
      </c>
      <c r="X687" s="25">
        <f>IF(Q687=1,IF(SUBSTITUTE(SUBSTITUTE(SUBSTITUTE(SUBSTITUTE(SUBSTITUTE(SUBSTITUTE(SUBSTITUTE(SUBSTITUTE(SUBSTITUTE(SUBSTITUTE(SUBSTITUTE(SUBSTITUTE(LOWER(TRIM(A687)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687)),"á","a"),"é","e"),"í","i"),"ó","o"),"ú","u"),"ü","u"),"ñ","n"),"à","a"),"è","e"),"ì","i"),"ò","o"),"ù","u")),"")</f>
        <v/>
      </c>
      <c r="Y687" s="25">
        <f>IF(X687="","",IF(IFERROR(COUNTIF(X$3:X687,"="&amp;SUBSTITUTE(SUBSTITUTE(SUBSTITUTE(X687,"~","~~"),"*","~*"),"?","~?")),0)=1,1,""))</f>
        <v/>
      </c>
      <c r="Z687" s="25">
        <f>IF(T687=1,MAX(Z$2:Z686)+1,"")</f>
        <v/>
      </c>
    </row>
    <row r="688">
      <c r="A688">
        <f>IF(A$2=0,"",IFERROR(TRIM(INDEX('Pegar calibracion'!$A$1:$BZ$1001,687,A$2)&amp;""),""))</f>
        <v/>
      </c>
      <c r="B688">
        <f>IF(B$2=0,"",IFERROR(TRIM(INDEX('Pegar calibracion'!$A$1:$BZ$1001,687,B$2)&amp;""),""))</f>
        <v/>
      </c>
      <c r="C688">
        <f>IF(C$2=0,"",IFERROR(TRIM(INDEX('Pegar calibracion'!$A$1:$BZ$1001,687,C$2)&amp;""),""))</f>
        <v/>
      </c>
      <c r="D688">
        <f>IF(D$2=0,"",IFERROR(TRIM(INDEX('Pegar calibracion'!$A$1:$BZ$1001,687,D$2)&amp;""),""))</f>
        <v/>
      </c>
      <c r="E688">
        <f>IF(E$2=0,"",IFERROR(TRIM(INDEX('Pegar calibracion'!$A$1:$BZ$1001,687,E$2)&amp;""),""))</f>
        <v/>
      </c>
      <c r="F688">
        <f>IF(F$2=0,"",IFERROR(TRIM(INDEX('Pegar calibracion'!$A$1:$BZ$1001,687,F$2)&amp;""),""))</f>
        <v/>
      </c>
      <c r="G688">
        <f>IF(G$2=0,"",IFERROR(TRIM(INDEX('Pegar calibracion'!$A$1:$BZ$1001,687,G$2)&amp;""),""))</f>
        <v/>
      </c>
      <c r="H688">
        <f>IF(H$2=0,"",IFERROR(TRIM(INDEX('Pegar calibracion'!$A$1:$BZ$1001,687,H$2)&amp;""),""))</f>
        <v/>
      </c>
      <c r="I688">
        <f>IF(I$2=0,"",IFERROR(TRIM(INDEX('Pegar calibracion'!$A$1:$BZ$1001,687,I$2)&amp;""),""))</f>
        <v/>
      </c>
      <c r="J688">
        <f>IF(J$2=0,"",IFERROR(TRIM(INDEX('Pegar calibracion'!$A$1:$BZ$1001,687,J$2)&amp;""),""))</f>
        <v/>
      </c>
      <c r="K688">
        <f>IF(K$2=0,"",IFERROR(TRIM(INDEX('Pegar calibracion'!$A$1:$BZ$1001,687,K$2)&amp;""),""))</f>
        <v/>
      </c>
      <c r="L688">
        <f>IF(L$2=0,"",IFERROR(TRIM(INDEX('Pegar calibracion'!$A$1:$BZ$1001,687,L$2)&amp;""),""))</f>
        <v/>
      </c>
      <c r="M688" s="25">
        <f>IF(D688="","",SUBSTITUTE(SUBSTITUTE(SUBSTITUTE(SUBSTITUTE(SUBSTITUTE(SUBSTITUTE(SUBSTITUTE(SUBSTITUTE(SUBSTITUTE(SUBSTITUTE(SUBSTITUTE(SUBSTITUTE(LOWER(TRIM(D688)),"á","a"),"é","e"),"í","i"),"ó","o"),"ú","u"),"ü","u"),"ñ","n"),"à","a"),"è","e"),"ì","i"),"ò","o"),"ù","u"))</f>
        <v/>
      </c>
      <c r="N688" s="25">
        <f>IF(F688="","",SUBSTITUTE(SUBSTITUTE(SUBSTITUTE(SUBSTITUTE(SUBSTITUTE(SUBSTITUTE(SUBSTITUTE(SUBSTITUTE(SUBSTITUTE(SUBSTITUTE(SUBSTITUTE(SUBSTITUTE(LOWER(TRIM(F688)),"á","a"),"é","e"),"í","i"),"ó","o"),"ú","u"),"ü","u"),"ñ","n"),"à","a"),"è","e"),"ì","i"),"ò","o"),"ù","u"))</f>
        <v/>
      </c>
      <c r="O688" s="25">
        <f>IF(M688="confiable",2,IF(M688="dudosa",1,IF(M688="no confiable",0,"")))</f>
        <v/>
      </c>
      <c r="P688" s="25">
        <f>IF(N688="confiable",2,IF(N688="dudosa",1,IF(N688="no confiable",0,"")))</f>
        <v/>
      </c>
      <c r="Q688" s="25">
        <f>IF(AND(ISNUMBER(O688),ISNUMBER(P688)),1,"")</f>
        <v/>
      </c>
      <c r="R688" s="25">
        <f>IF(Q688=1,IF(O688=P688,"Sí","No"),"")</f>
        <v/>
      </c>
      <c r="S688" s="25">
        <f>IF(Q688=1,IF(P688&lt;O688,"Más estricto",IF(P688&gt;O688,"Más permisivo","Igual")),"")</f>
        <v/>
      </c>
      <c r="T688" s="25">
        <f>IF(Q688=1,IF(ABS(O688-P688)=2,1,0),"")</f>
        <v/>
      </c>
      <c r="U688" s="25">
        <f>IF(H688="","","|"&amp;SUBSTITUTE(SUBSTITUTE(TRIM(H688)," |","|"),"| ","|")&amp;"|")</f>
        <v/>
      </c>
      <c r="V688" s="25">
        <f>IF(AND(Q688=1,B688&lt;&gt;""),IF(IFERROR(COUNTIFS(B$3:B688,"="&amp;SUBSTITUTE(SUBSTITUTE(SUBSTITUTE(B688,"~","~~"),"*","~*"),"?","~?"),Q$3:Q688,1),0)=1,MAX(V$2:V687)+1,""),"")</f>
        <v/>
      </c>
      <c r="W688" s="25">
        <f>IF(V688="","",COUNTIFS($B$3:$B$1002,"="&amp;SUBSTITUTE(SUBSTITUTE(SUBSTITUTE(B688,"~","~~"),"*","~*"),"?","~?"),$Q$3:$Q$1002,1)*10000-V688)</f>
        <v/>
      </c>
      <c r="X688" s="25">
        <f>IF(Q688=1,IF(SUBSTITUTE(SUBSTITUTE(SUBSTITUTE(SUBSTITUTE(SUBSTITUTE(SUBSTITUTE(SUBSTITUTE(SUBSTITUTE(SUBSTITUTE(SUBSTITUTE(SUBSTITUTE(SUBSTITUTE(LOWER(TRIM(A688)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688)),"á","a"),"é","e"),"í","i"),"ó","o"),"ú","u"),"ü","u"),"ñ","n"),"à","a"),"è","e"),"ì","i"),"ò","o"),"ù","u")),"")</f>
        <v/>
      </c>
      <c r="Y688" s="25">
        <f>IF(X688="","",IF(IFERROR(COUNTIF(X$3:X688,"="&amp;SUBSTITUTE(SUBSTITUTE(SUBSTITUTE(X688,"~","~~"),"*","~*"),"?","~?")),0)=1,1,""))</f>
        <v/>
      </c>
      <c r="Z688" s="25">
        <f>IF(T688=1,MAX(Z$2:Z687)+1,"")</f>
        <v/>
      </c>
    </row>
    <row r="689">
      <c r="A689">
        <f>IF(A$2=0,"",IFERROR(TRIM(INDEX('Pegar calibracion'!$A$1:$BZ$1001,688,A$2)&amp;""),""))</f>
        <v/>
      </c>
      <c r="B689">
        <f>IF(B$2=0,"",IFERROR(TRIM(INDEX('Pegar calibracion'!$A$1:$BZ$1001,688,B$2)&amp;""),""))</f>
        <v/>
      </c>
      <c r="C689">
        <f>IF(C$2=0,"",IFERROR(TRIM(INDEX('Pegar calibracion'!$A$1:$BZ$1001,688,C$2)&amp;""),""))</f>
        <v/>
      </c>
      <c r="D689">
        <f>IF(D$2=0,"",IFERROR(TRIM(INDEX('Pegar calibracion'!$A$1:$BZ$1001,688,D$2)&amp;""),""))</f>
        <v/>
      </c>
      <c r="E689">
        <f>IF(E$2=0,"",IFERROR(TRIM(INDEX('Pegar calibracion'!$A$1:$BZ$1001,688,E$2)&amp;""),""))</f>
        <v/>
      </c>
      <c r="F689">
        <f>IF(F$2=0,"",IFERROR(TRIM(INDEX('Pegar calibracion'!$A$1:$BZ$1001,688,F$2)&amp;""),""))</f>
        <v/>
      </c>
      <c r="G689">
        <f>IF(G$2=0,"",IFERROR(TRIM(INDEX('Pegar calibracion'!$A$1:$BZ$1001,688,G$2)&amp;""),""))</f>
        <v/>
      </c>
      <c r="H689">
        <f>IF(H$2=0,"",IFERROR(TRIM(INDEX('Pegar calibracion'!$A$1:$BZ$1001,688,H$2)&amp;""),""))</f>
        <v/>
      </c>
      <c r="I689">
        <f>IF(I$2=0,"",IFERROR(TRIM(INDEX('Pegar calibracion'!$A$1:$BZ$1001,688,I$2)&amp;""),""))</f>
        <v/>
      </c>
      <c r="J689">
        <f>IF(J$2=0,"",IFERROR(TRIM(INDEX('Pegar calibracion'!$A$1:$BZ$1001,688,J$2)&amp;""),""))</f>
        <v/>
      </c>
      <c r="K689">
        <f>IF(K$2=0,"",IFERROR(TRIM(INDEX('Pegar calibracion'!$A$1:$BZ$1001,688,K$2)&amp;""),""))</f>
        <v/>
      </c>
      <c r="L689">
        <f>IF(L$2=0,"",IFERROR(TRIM(INDEX('Pegar calibracion'!$A$1:$BZ$1001,688,L$2)&amp;""),""))</f>
        <v/>
      </c>
      <c r="M689" s="25">
        <f>IF(D689="","",SUBSTITUTE(SUBSTITUTE(SUBSTITUTE(SUBSTITUTE(SUBSTITUTE(SUBSTITUTE(SUBSTITUTE(SUBSTITUTE(SUBSTITUTE(SUBSTITUTE(SUBSTITUTE(SUBSTITUTE(LOWER(TRIM(D689)),"á","a"),"é","e"),"í","i"),"ó","o"),"ú","u"),"ü","u"),"ñ","n"),"à","a"),"è","e"),"ì","i"),"ò","o"),"ù","u"))</f>
        <v/>
      </c>
      <c r="N689" s="25">
        <f>IF(F689="","",SUBSTITUTE(SUBSTITUTE(SUBSTITUTE(SUBSTITUTE(SUBSTITUTE(SUBSTITUTE(SUBSTITUTE(SUBSTITUTE(SUBSTITUTE(SUBSTITUTE(SUBSTITUTE(SUBSTITUTE(LOWER(TRIM(F689)),"á","a"),"é","e"),"í","i"),"ó","o"),"ú","u"),"ü","u"),"ñ","n"),"à","a"),"è","e"),"ì","i"),"ò","o"),"ù","u"))</f>
        <v/>
      </c>
      <c r="O689" s="25">
        <f>IF(M689="confiable",2,IF(M689="dudosa",1,IF(M689="no confiable",0,"")))</f>
        <v/>
      </c>
      <c r="P689" s="25">
        <f>IF(N689="confiable",2,IF(N689="dudosa",1,IF(N689="no confiable",0,"")))</f>
        <v/>
      </c>
      <c r="Q689" s="25">
        <f>IF(AND(ISNUMBER(O689),ISNUMBER(P689)),1,"")</f>
        <v/>
      </c>
      <c r="R689" s="25">
        <f>IF(Q689=1,IF(O689=P689,"Sí","No"),"")</f>
        <v/>
      </c>
      <c r="S689" s="25">
        <f>IF(Q689=1,IF(P689&lt;O689,"Más estricto",IF(P689&gt;O689,"Más permisivo","Igual")),"")</f>
        <v/>
      </c>
      <c r="T689" s="25">
        <f>IF(Q689=1,IF(ABS(O689-P689)=2,1,0),"")</f>
        <v/>
      </c>
      <c r="U689" s="25">
        <f>IF(H689="","","|"&amp;SUBSTITUTE(SUBSTITUTE(TRIM(H689)," |","|"),"| ","|")&amp;"|")</f>
        <v/>
      </c>
      <c r="V689" s="25">
        <f>IF(AND(Q689=1,B689&lt;&gt;""),IF(IFERROR(COUNTIFS(B$3:B689,"="&amp;SUBSTITUTE(SUBSTITUTE(SUBSTITUTE(B689,"~","~~"),"*","~*"),"?","~?"),Q$3:Q689,1),0)=1,MAX(V$2:V688)+1,""),"")</f>
        <v/>
      </c>
      <c r="W689" s="25">
        <f>IF(V689="","",COUNTIFS($B$3:$B$1002,"="&amp;SUBSTITUTE(SUBSTITUTE(SUBSTITUTE(B689,"~","~~"),"*","~*"),"?","~?"),$Q$3:$Q$1002,1)*10000-V689)</f>
        <v/>
      </c>
      <c r="X689" s="25">
        <f>IF(Q689=1,IF(SUBSTITUTE(SUBSTITUTE(SUBSTITUTE(SUBSTITUTE(SUBSTITUTE(SUBSTITUTE(SUBSTITUTE(SUBSTITUTE(SUBSTITUTE(SUBSTITUTE(SUBSTITUTE(SUBSTITUTE(LOWER(TRIM(A689)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689)),"á","a"),"é","e"),"í","i"),"ó","o"),"ú","u"),"ü","u"),"ñ","n"),"à","a"),"è","e"),"ì","i"),"ò","o"),"ù","u")),"")</f>
        <v/>
      </c>
      <c r="Y689" s="25">
        <f>IF(X689="","",IF(IFERROR(COUNTIF(X$3:X689,"="&amp;SUBSTITUTE(SUBSTITUTE(SUBSTITUTE(X689,"~","~~"),"*","~*"),"?","~?")),0)=1,1,""))</f>
        <v/>
      </c>
      <c r="Z689" s="25">
        <f>IF(T689=1,MAX(Z$2:Z688)+1,"")</f>
        <v/>
      </c>
    </row>
    <row r="690">
      <c r="A690">
        <f>IF(A$2=0,"",IFERROR(TRIM(INDEX('Pegar calibracion'!$A$1:$BZ$1001,689,A$2)&amp;""),""))</f>
        <v/>
      </c>
      <c r="B690">
        <f>IF(B$2=0,"",IFERROR(TRIM(INDEX('Pegar calibracion'!$A$1:$BZ$1001,689,B$2)&amp;""),""))</f>
        <v/>
      </c>
      <c r="C690">
        <f>IF(C$2=0,"",IFERROR(TRIM(INDEX('Pegar calibracion'!$A$1:$BZ$1001,689,C$2)&amp;""),""))</f>
        <v/>
      </c>
      <c r="D690">
        <f>IF(D$2=0,"",IFERROR(TRIM(INDEX('Pegar calibracion'!$A$1:$BZ$1001,689,D$2)&amp;""),""))</f>
        <v/>
      </c>
      <c r="E690">
        <f>IF(E$2=0,"",IFERROR(TRIM(INDEX('Pegar calibracion'!$A$1:$BZ$1001,689,E$2)&amp;""),""))</f>
        <v/>
      </c>
      <c r="F690">
        <f>IF(F$2=0,"",IFERROR(TRIM(INDEX('Pegar calibracion'!$A$1:$BZ$1001,689,F$2)&amp;""),""))</f>
        <v/>
      </c>
      <c r="G690">
        <f>IF(G$2=0,"",IFERROR(TRIM(INDEX('Pegar calibracion'!$A$1:$BZ$1001,689,G$2)&amp;""),""))</f>
        <v/>
      </c>
      <c r="H690">
        <f>IF(H$2=0,"",IFERROR(TRIM(INDEX('Pegar calibracion'!$A$1:$BZ$1001,689,H$2)&amp;""),""))</f>
        <v/>
      </c>
      <c r="I690">
        <f>IF(I$2=0,"",IFERROR(TRIM(INDEX('Pegar calibracion'!$A$1:$BZ$1001,689,I$2)&amp;""),""))</f>
        <v/>
      </c>
      <c r="J690">
        <f>IF(J$2=0,"",IFERROR(TRIM(INDEX('Pegar calibracion'!$A$1:$BZ$1001,689,J$2)&amp;""),""))</f>
        <v/>
      </c>
      <c r="K690">
        <f>IF(K$2=0,"",IFERROR(TRIM(INDEX('Pegar calibracion'!$A$1:$BZ$1001,689,K$2)&amp;""),""))</f>
        <v/>
      </c>
      <c r="L690">
        <f>IF(L$2=0,"",IFERROR(TRIM(INDEX('Pegar calibracion'!$A$1:$BZ$1001,689,L$2)&amp;""),""))</f>
        <v/>
      </c>
      <c r="M690" s="25">
        <f>IF(D690="","",SUBSTITUTE(SUBSTITUTE(SUBSTITUTE(SUBSTITUTE(SUBSTITUTE(SUBSTITUTE(SUBSTITUTE(SUBSTITUTE(SUBSTITUTE(SUBSTITUTE(SUBSTITUTE(SUBSTITUTE(LOWER(TRIM(D690)),"á","a"),"é","e"),"í","i"),"ó","o"),"ú","u"),"ü","u"),"ñ","n"),"à","a"),"è","e"),"ì","i"),"ò","o"),"ù","u"))</f>
        <v/>
      </c>
      <c r="N690" s="25">
        <f>IF(F690="","",SUBSTITUTE(SUBSTITUTE(SUBSTITUTE(SUBSTITUTE(SUBSTITUTE(SUBSTITUTE(SUBSTITUTE(SUBSTITUTE(SUBSTITUTE(SUBSTITUTE(SUBSTITUTE(SUBSTITUTE(LOWER(TRIM(F690)),"á","a"),"é","e"),"í","i"),"ó","o"),"ú","u"),"ü","u"),"ñ","n"),"à","a"),"è","e"),"ì","i"),"ò","o"),"ù","u"))</f>
        <v/>
      </c>
      <c r="O690" s="25">
        <f>IF(M690="confiable",2,IF(M690="dudosa",1,IF(M690="no confiable",0,"")))</f>
        <v/>
      </c>
      <c r="P690" s="25">
        <f>IF(N690="confiable",2,IF(N690="dudosa",1,IF(N690="no confiable",0,"")))</f>
        <v/>
      </c>
      <c r="Q690" s="25">
        <f>IF(AND(ISNUMBER(O690),ISNUMBER(P690)),1,"")</f>
        <v/>
      </c>
      <c r="R690" s="25">
        <f>IF(Q690=1,IF(O690=P690,"Sí","No"),"")</f>
        <v/>
      </c>
      <c r="S690" s="25">
        <f>IF(Q690=1,IF(P690&lt;O690,"Más estricto",IF(P690&gt;O690,"Más permisivo","Igual")),"")</f>
        <v/>
      </c>
      <c r="T690" s="25">
        <f>IF(Q690=1,IF(ABS(O690-P690)=2,1,0),"")</f>
        <v/>
      </c>
      <c r="U690" s="25">
        <f>IF(H690="","","|"&amp;SUBSTITUTE(SUBSTITUTE(TRIM(H690)," |","|"),"| ","|")&amp;"|")</f>
        <v/>
      </c>
      <c r="V690" s="25">
        <f>IF(AND(Q690=1,B690&lt;&gt;""),IF(IFERROR(COUNTIFS(B$3:B690,"="&amp;SUBSTITUTE(SUBSTITUTE(SUBSTITUTE(B690,"~","~~"),"*","~*"),"?","~?"),Q$3:Q690,1),0)=1,MAX(V$2:V689)+1,""),"")</f>
        <v/>
      </c>
      <c r="W690" s="25">
        <f>IF(V690="","",COUNTIFS($B$3:$B$1002,"="&amp;SUBSTITUTE(SUBSTITUTE(SUBSTITUTE(B690,"~","~~"),"*","~*"),"?","~?"),$Q$3:$Q$1002,1)*10000-V690)</f>
        <v/>
      </c>
      <c r="X690" s="25">
        <f>IF(Q690=1,IF(SUBSTITUTE(SUBSTITUTE(SUBSTITUTE(SUBSTITUTE(SUBSTITUTE(SUBSTITUTE(SUBSTITUTE(SUBSTITUTE(SUBSTITUTE(SUBSTITUTE(SUBSTITUTE(SUBSTITUTE(LOWER(TRIM(A690)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690)),"á","a"),"é","e"),"í","i"),"ó","o"),"ú","u"),"ü","u"),"ñ","n"),"à","a"),"è","e"),"ì","i"),"ò","o"),"ù","u")),"")</f>
        <v/>
      </c>
      <c r="Y690" s="25">
        <f>IF(X690="","",IF(IFERROR(COUNTIF(X$3:X690,"="&amp;SUBSTITUTE(SUBSTITUTE(SUBSTITUTE(X690,"~","~~"),"*","~*"),"?","~?")),0)=1,1,""))</f>
        <v/>
      </c>
      <c r="Z690" s="25">
        <f>IF(T690=1,MAX(Z$2:Z689)+1,"")</f>
        <v/>
      </c>
    </row>
    <row r="691">
      <c r="A691">
        <f>IF(A$2=0,"",IFERROR(TRIM(INDEX('Pegar calibracion'!$A$1:$BZ$1001,690,A$2)&amp;""),""))</f>
        <v/>
      </c>
      <c r="B691">
        <f>IF(B$2=0,"",IFERROR(TRIM(INDEX('Pegar calibracion'!$A$1:$BZ$1001,690,B$2)&amp;""),""))</f>
        <v/>
      </c>
      <c r="C691">
        <f>IF(C$2=0,"",IFERROR(TRIM(INDEX('Pegar calibracion'!$A$1:$BZ$1001,690,C$2)&amp;""),""))</f>
        <v/>
      </c>
      <c r="D691">
        <f>IF(D$2=0,"",IFERROR(TRIM(INDEX('Pegar calibracion'!$A$1:$BZ$1001,690,D$2)&amp;""),""))</f>
        <v/>
      </c>
      <c r="E691">
        <f>IF(E$2=0,"",IFERROR(TRIM(INDEX('Pegar calibracion'!$A$1:$BZ$1001,690,E$2)&amp;""),""))</f>
        <v/>
      </c>
      <c r="F691">
        <f>IF(F$2=0,"",IFERROR(TRIM(INDEX('Pegar calibracion'!$A$1:$BZ$1001,690,F$2)&amp;""),""))</f>
        <v/>
      </c>
      <c r="G691">
        <f>IF(G$2=0,"",IFERROR(TRIM(INDEX('Pegar calibracion'!$A$1:$BZ$1001,690,G$2)&amp;""),""))</f>
        <v/>
      </c>
      <c r="H691">
        <f>IF(H$2=0,"",IFERROR(TRIM(INDEX('Pegar calibracion'!$A$1:$BZ$1001,690,H$2)&amp;""),""))</f>
        <v/>
      </c>
      <c r="I691">
        <f>IF(I$2=0,"",IFERROR(TRIM(INDEX('Pegar calibracion'!$A$1:$BZ$1001,690,I$2)&amp;""),""))</f>
        <v/>
      </c>
      <c r="J691">
        <f>IF(J$2=0,"",IFERROR(TRIM(INDEX('Pegar calibracion'!$A$1:$BZ$1001,690,J$2)&amp;""),""))</f>
        <v/>
      </c>
      <c r="K691">
        <f>IF(K$2=0,"",IFERROR(TRIM(INDEX('Pegar calibracion'!$A$1:$BZ$1001,690,K$2)&amp;""),""))</f>
        <v/>
      </c>
      <c r="L691">
        <f>IF(L$2=0,"",IFERROR(TRIM(INDEX('Pegar calibracion'!$A$1:$BZ$1001,690,L$2)&amp;""),""))</f>
        <v/>
      </c>
      <c r="M691" s="25">
        <f>IF(D691="","",SUBSTITUTE(SUBSTITUTE(SUBSTITUTE(SUBSTITUTE(SUBSTITUTE(SUBSTITUTE(SUBSTITUTE(SUBSTITUTE(SUBSTITUTE(SUBSTITUTE(SUBSTITUTE(SUBSTITUTE(LOWER(TRIM(D691)),"á","a"),"é","e"),"í","i"),"ó","o"),"ú","u"),"ü","u"),"ñ","n"),"à","a"),"è","e"),"ì","i"),"ò","o"),"ù","u"))</f>
        <v/>
      </c>
      <c r="N691" s="25">
        <f>IF(F691="","",SUBSTITUTE(SUBSTITUTE(SUBSTITUTE(SUBSTITUTE(SUBSTITUTE(SUBSTITUTE(SUBSTITUTE(SUBSTITUTE(SUBSTITUTE(SUBSTITUTE(SUBSTITUTE(SUBSTITUTE(LOWER(TRIM(F691)),"á","a"),"é","e"),"í","i"),"ó","o"),"ú","u"),"ü","u"),"ñ","n"),"à","a"),"è","e"),"ì","i"),"ò","o"),"ù","u"))</f>
        <v/>
      </c>
      <c r="O691" s="25">
        <f>IF(M691="confiable",2,IF(M691="dudosa",1,IF(M691="no confiable",0,"")))</f>
        <v/>
      </c>
      <c r="P691" s="25">
        <f>IF(N691="confiable",2,IF(N691="dudosa",1,IF(N691="no confiable",0,"")))</f>
        <v/>
      </c>
      <c r="Q691" s="25">
        <f>IF(AND(ISNUMBER(O691),ISNUMBER(P691)),1,"")</f>
        <v/>
      </c>
      <c r="R691" s="25">
        <f>IF(Q691=1,IF(O691=P691,"Sí","No"),"")</f>
        <v/>
      </c>
      <c r="S691" s="25">
        <f>IF(Q691=1,IF(P691&lt;O691,"Más estricto",IF(P691&gt;O691,"Más permisivo","Igual")),"")</f>
        <v/>
      </c>
      <c r="T691" s="25">
        <f>IF(Q691=1,IF(ABS(O691-P691)=2,1,0),"")</f>
        <v/>
      </c>
      <c r="U691" s="25">
        <f>IF(H691="","","|"&amp;SUBSTITUTE(SUBSTITUTE(TRIM(H691)," |","|"),"| ","|")&amp;"|")</f>
        <v/>
      </c>
      <c r="V691" s="25">
        <f>IF(AND(Q691=1,B691&lt;&gt;""),IF(IFERROR(COUNTIFS(B$3:B691,"="&amp;SUBSTITUTE(SUBSTITUTE(SUBSTITUTE(B691,"~","~~"),"*","~*"),"?","~?"),Q$3:Q691,1),0)=1,MAX(V$2:V690)+1,""),"")</f>
        <v/>
      </c>
      <c r="W691" s="25">
        <f>IF(V691="","",COUNTIFS($B$3:$B$1002,"="&amp;SUBSTITUTE(SUBSTITUTE(SUBSTITUTE(B691,"~","~~"),"*","~*"),"?","~?"),$Q$3:$Q$1002,1)*10000-V691)</f>
        <v/>
      </c>
      <c r="X691" s="25">
        <f>IF(Q691=1,IF(SUBSTITUTE(SUBSTITUTE(SUBSTITUTE(SUBSTITUTE(SUBSTITUTE(SUBSTITUTE(SUBSTITUTE(SUBSTITUTE(SUBSTITUTE(SUBSTITUTE(SUBSTITUTE(SUBSTITUTE(LOWER(TRIM(A691)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691)),"á","a"),"é","e"),"í","i"),"ó","o"),"ú","u"),"ü","u"),"ñ","n"),"à","a"),"è","e"),"ì","i"),"ò","o"),"ù","u")),"")</f>
        <v/>
      </c>
      <c r="Y691" s="25">
        <f>IF(X691="","",IF(IFERROR(COUNTIF(X$3:X691,"="&amp;SUBSTITUTE(SUBSTITUTE(SUBSTITUTE(X691,"~","~~"),"*","~*"),"?","~?")),0)=1,1,""))</f>
        <v/>
      </c>
      <c r="Z691" s="25">
        <f>IF(T691=1,MAX(Z$2:Z690)+1,"")</f>
        <v/>
      </c>
    </row>
    <row r="692">
      <c r="A692">
        <f>IF(A$2=0,"",IFERROR(TRIM(INDEX('Pegar calibracion'!$A$1:$BZ$1001,691,A$2)&amp;""),""))</f>
        <v/>
      </c>
      <c r="B692">
        <f>IF(B$2=0,"",IFERROR(TRIM(INDEX('Pegar calibracion'!$A$1:$BZ$1001,691,B$2)&amp;""),""))</f>
        <v/>
      </c>
      <c r="C692">
        <f>IF(C$2=0,"",IFERROR(TRIM(INDEX('Pegar calibracion'!$A$1:$BZ$1001,691,C$2)&amp;""),""))</f>
        <v/>
      </c>
      <c r="D692">
        <f>IF(D$2=0,"",IFERROR(TRIM(INDEX('Pegar calibracion'!$A$1:$BZ$1001,691,D$2)&amp;""),""))</f>
        <v/>
      </c>
      <c r="E692">
        <f>IF(E$2=0,"",IFERROR(TRIM(INDEX('Pegar calibracion'!$A$1:$BZ$1001,691,E$2)&amp;""),""))</f>
        <v/>
      </c>
      <c r="F692">
        <f>IF(F$2=0,"",IFERROR(TRIM(INDEX('Pegar calibracion'!$A$1:$BZ$1001,691,F$2)&amp;""),""))</f>
        <v/>
      </c>
      <c r="G692">
        <f>IF(G$2=0,"",IFERROR(TRIM(INDEX('Pegar calibracion'!$A$1:$BZ$1001,691,G$2)&amp;""),""))</f>
        <v/>
      </c>
      <c r="H692">
        <f>IF(H$2=0,"",IFERROR(TRIM(INDEX('Pegar calibracion'!$A$1:$BZ$1001,691,H$2)&amp;""),""))</f>
        <v/>
      </c>
      <c r="I692">
        <f>IF(I$2=0,"",IFERROR(TRIM(INDEX('Pegar calibracion'!$A$1:$BZ$1001,691,I$2)&amp;""),""))</f>
        <v/>
      </c>
      <c r="J692">
        <f>IF(J$2=0,"",IFERROR(TRIM(INDEX('Pegar calibracion'!$A$1:$BZ$1001,691,J$2)&amp;""),""))</f>
        <v/>
      </c>
      <c r="K692">
        <f>IF(K$2=0,"",IFERROR(TRIM(INDEX('Pegar calibracion'!$A$1:$BZ$1001,691,K$2)&amp;""),""))</f>
        <v/>
      </c>
      <c r="L692">
        <f>IF(L$2=0,"",IFERROR(TRIM(INDEX('Pegar calibracion'!$A$1:$BZ$1001,691,L$2)&amp;""),""))</f>
        <v/>
      </c>
      <c r="M692" s="25">
        <f>IF(D692="","",SUBSTITUTE(SUBSTITUTE(SUBSTITUTE(SUBSTITUTE(SUBSTITUTE(SUBSTITUTE(SUBSTITUTE(SUBSTITUTE(SUBSTITUTE(SUBSTITUTE(SUBSTITUTE(SUBSTITUTE(LOWER(TRIM(D692)),"á","a"),"é","e"),"í","i"),"ó","o"),"ú","u"),"ü","u"),"ñ","n"),"à","a"),"è","e"),"ì","i"),"ò","o"),"ù","u"))</f>
        <v/>
      </c>
      <c r="N692" s="25">
        <f>IF(F692="","",SUBSTITUTE(SUBSTITUTE(SUBSTITUTE(SUBSTITUTE(SUBSTITUTE(SUBSTITUTE(SUBSTITUTE(SUBSTITUTE(SUBSTITUTE(SUBSTITUTE(SUBSTITUTE(SUBSTITUTE(LOWER(TRIM(F692)),"á","a"),"é","e"),"í","i"),"ó","o"),"ú","u"),"ü","u"),"ñ","n"),"à","a"),"è","e"),"ì","i"),"ò","o"),"ù","u"))</f>
        <v/>
      </c>
      <c r="O692" s="25">
        <f>IF(M692="confiable",2,IF(M692="dudosa",1,IF(M692="no confiable",0,"")))</f>
        <v/>
      </c>
      <c r="P692" s="25">
        <f>IF(N692="confiable",2,IF(N692="dudosa",1,IF(N692="no confiable",0,"")))</f>
        <v/>
      </c>
      <c r="Q692" s="25">
        <f>IF(AND(ISNUMBER(O692),ISNUMBER(P692)),1,"")</f>
        <v/>
      </c>
      <c r="R692" s="25">
        <f>IF(Q692=1,IF(O692=P692,"Sí","No"),"")</f>
        <v/>
      </c>
      <c r="S692" s="25">
        <f>IF(Q692=1,IF(P692&lt;O692,"Más estricto",IF(P692&gt;O692,"Más permisivo","Igual")),"")</f>
        <v/>
      </c>
      <c r="T692" s="25">
        <f>IF(Q692=1,IF(ABS(O692-P692)=2,1,0),"")</f>
        <v/>
      </c>
      <c r="U692" s="25">
        <f>IF(H692="","","|"&amp;SUBSTITUTE(SUBSTITUTE(TRIM(H692)," |","|"),"| ","|")&amp;"|")</f>
        <v/>
      </c>
      <c r="V692" s="25">
        <f>IF(AND(Q692=1,B692&lt;&gt;""),IF(IFERROR(COUNTIFS(B$3:B692,"="&amp;SUBSTITUTE(SUBSTITUTE(SUBSTITUTE(B692,"~","~~"),"*","~*"),"?","~?"),Q$3:Q692,1),0)=1,MAX(V$2:V691)+1,""),"")</f>
        <v/>
      </c>
      <c r="W692" s="25">
        <f>IF(V692="","",COUNTIFS($B$3:$B$1002,"="&amp;SUBSTITUTE(SUBSTITUTE(SUBSTITUTE(B692,"~","~~"),"*","~*"),"?","~?"),$Q$3:$Q$1002,1)*10000-V692)</f>
        <v/>
      </c>
      <c r="X692" s="25">
        <f>IF(Q692=1,IF(SUBSTITUTE(SUBSTITUTE(SUBSTITUTE(SUBSTITUTE(SUBSTITUTE(SUBSTITUTE(SUBSTITUTE(SUBSTITUTE(SUBSTITUTE(SUBSTITUTE(SUBSTITUTE(SUBSTITUTE(LOWER(TRIM(A692)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692)),"á","a"),"é","e"),"í","i"),"ó","o"),"ú","u"),"ü","u"),"ñ","n"),"à","a"),"è","e"),"ì","i"),"ò","o"),"ù","u")),"")</f>
        <v/>
      </c>
      <c r="Y692" s="25">
        <f>IF(X692="","",IF(IFERROR(COUNTIF(X$3:X692,"="&amp;SUBSTITUTE(SUBSTITUTE(SUBSTITUTE(X692,"~","~~"),"*","~*"),"?","~?")),0)=1,1,""))</f>
        <v/>
      </c>
      <c r="Z692" s="25">
        <f>IF(T692=1,MAX(Z$2:Z691)+1,"")</f>
        <v/>
      </c>
    </row>
    <row r="693">
      <c r="A693">
        <f>IF(A$2=0,"",IFERROR(TRIM(INDEX('Pegar calibracion'!$A$1:$BZ$1001,692,A$2)&amp;""),""))</f>
        <v/>
      </c>
      <c r="B693">
        <f>IF(B$2=0,"",IFERROR(TRIM(INDEX('Pegar calibracion'!$A$1:$BZ$1001,692,B$2)&amp;""),""))</f>
        <v/>
      </c>
      <c r="C693">
        <f>IF(C$2=0,"",IFERROR(TRIM(INDEX('Pegar calibracion'!$A$1:$BZ$1001,692,C$2)&amp;""),""))</f>
        <v/>
      </c>
      <c r="D693">
        <f>IF(D$2=0,"",IFERROR(TRIM(INDEX('Pegar calibracion'!$A$1:$BZ$1001,692,D$2)&amp;""),""))</f>
        <v/>
      </c>
      <c r="E693">
        <f>IF(E$2=0,"",IFERROR(TRIM(INDEX('Pegar calibracion'!$A$1:$BZ$1001,692,E$2)&amp;""),""))</f>
        <v/>
      </c>
      <c r="F693">
        <f>IF(F$2=0,"",IFERROR(TRIM(INDEX('Pegar calibracion'!$A$1:$BZ$1001,692,F$2)&amp;""),""))</f>
        <v/>
      </c>
      <c r="G693">
        <f>IF(G$2=0,"",IFERROR(TRIM(INDEX('Pegar calibracion'!$A$1:$BZ$1001,692,G$2)&amp;""),""))</f>
        <v/>
      </c>
      <c r="H693">
        <f>IF(H$2=0,"",IFERROR(TRIM(INDEX('Pegar calibracion'!$A$1:$BZ$1001,692,H$2)&amp;""),""))</f>
        <v/>
      </c>
      <c r="I693">
        <f>IF(I$2=0,"",IFERROR(TRIM(INDEX('Pegar calibracion'!$A$1:$BZ$1001,692,I$2)&amp;""),""))</f>
        <v/>
      </c>
      <c r="J693">
        <f>IF(J$2=0,"",IFERROR(TRIM(INDEX('Pegar calibracion'!$A$1:$BZ$1001,692,J$2)&amp;""),""))</f>
        <v/>
      </c>
      <c r="K693">
        <f>IF(K$2=0,"",IFERROR(TRIM(INDEX('Pegar calibracion'!$A$1:$BZ$1001,692,K$2)&amp;""),""))</f>
        <v/>
      </c>
      <c r="L693">
        <f>IF(L$2=0,"",IFERROR(TRIM(INDEX('Pegar calibracion'!$A$1:$BZ$1001,692,L$2)&amp;""),""))</f>
        <v/>
      </c>
      <c r="M693" s="25">
        <f>IF(D693="","",SUBSTITUTE(SUBSTITUTE(SUBSTITUTE(SUBSTITUTE(SUBSTITUTE(SUBSTITUTE(SUBSTITUTE(SUBSTITUTE(SUBSTITUTE(SUBSTITUTE(SUBSTITUTE(SUBSTITUTE(LOWER(TRIM(D693)),"á","a"),"é","e"),"í","i"),"ó","o"),"ú","u"),"ü","u"),"ñ","n"),"à","a"),"è","e"),"ì","i"),"ò","o"),"ù","u"))</f>
        <v/>
      </c>
      <c r="N693" s="25">
        <f>IF(F693="","",SUBSTITUTE(SUBSTITUTE(SUBSTITUTE(SUBSTITUTE(SUBSTITUTE(SUBSTITUTE(SUBSTITUTE(SUBSTITUTE(SUBSTITUTE(SUBSTITUTE(SUBSTITUTE(SUBSTITUTE(LOWER(TRIM(F693)),"á","a"),"é","e"),"í","i"),"ó","o"),"ú","u"),"ü","u"),"ñ","n"),"à","a"),"è","e"),"ì","i"),"ò","o"),"ù","u"))</f>
        <v/>
      </c>
      <c r="O693" s="25">
        <f>IF(M693="confiable",2,IF(M693="dudosa",1,IF(M693="no confiable",0,"")))</f>
        <v/>
      </c>
      <c r="P693" s="25">
        <f>IF(N693="confiable",2,IF(N693="dudosa",1,IF(N693="no confiable",0,"")))</f>
        <v/>
      </c>
      <c r="Q693" s="25">
        <f>IF(AND(ISNUMBER(O693),ISNUMBER(P693)),1,"")</f>
        <v/>
      </c>
      <c r="R693" s="25">
        <f>IF(Q693=1,IF(O693=P693,"Sí","No"),"")</f>
        <v/>
      </c>
      <c r="S693" s="25">
        <f>IF(Q693=1,IF(P693&lt;O693,"Más estricto",IF(P693&gt;O693,"Más permisivo","Igual")),"")</f>
        <v/>
      </c>
      <c r="T693" s="25">
        <f>IF(Q693=1,IF(ABS(O693-P693)=2,1,0),"")</f>
        <v/>
      </c>
      <c r="U693" s="25">
        <f>IF(H693="","","|"&amp;SUBSTITUTE(SUBSTITUTE(TRIM(H693)," |","|"),"| ","|")&amp;"|")</f>
        <v/>
      </c>
      <c r="V693" s="25">
        <f>IF(AND(Q693=1,B693&lt;&gt;""),IF(IFERROR(COUNTIFS(B$3:B693,"="&amp;SUBSTITUTE(SUBSTITUTE(SUBSTITUTE(B693,"~","~~"),"*","~*"),"?","~?"),Q$3:Q693,1),0)=1,MAX(V$2:V692)+1,""),"")</f>
        <v/>
      </c>
      <c r="W693" s="25">
        <f>IF(V693="","",COUNTIFS($B$3:$B$1002,"="&amp;SUBSTITUTE(SUBSTITUTE(SUBSTITUTE(B693,"~","~~"),"*","~*"),"?","~?"),$Q$3:$Q$1002,1)*10000-V693)</f>
        <v/>
      </c>
      <c r="X693" s="25">
        <f>IF(Q693=1,IF(SUBSTITUTE(SUBSTITUTE(SUBSTITUTE(SUBSTITUTE(SUBSTITUTE(SUBSTITUTE(SUBSTITUTE(SUBSTITUTE(SUBSTITUTE(SUBSTITUTE(SUBSTITUTE(SUBSTITUTE(LOWER(TRIM(A693)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693)),"á","a"),"é","e"),"í","i"),"ó","o"),"ú","u"),"ü","u"),"ñ","n"),"à","a"),"è","e"),"ì","i"),"ò","o"),"ù","u")),"")</f>
        <v/>
      </c>
      <c r="Y693" s="25">
        <f>IF(X693="","",IF(IFERROR(COUNTIF(X$3:X693,"="&amp;SUBSTITUTE(SUBSTITUTE(SUBSTITUTE(X693,"~","~~"),"*","~*"),"?","~?")),0)=1,1,""))</f>
        <v/>
      </c>
      <c r="Z693" s="25">
        <f>IF(T693=1,MAX(Z$2:Z692)+1,"")</f>
        <v/>
      </c>
    </row>
    <row r="694">
      <c r="A694">
        <f>IF(A$2=0,"",IFERROR(TRIM(INDEX('Pegar calibracion'!$A$1:$BZ$1001,693,A$2)&amp;""),""))</f>
        <v/>
      </c>
      <c r="B694">
        <f>IF(B$2=0,"",IFERROR(TRIM(INDEX('Pegar calibracion'!$A$1:$BZ$1001,693,B$2)&amp;""),""))</f>
        <v/>
      </c>
      <c r="C694">
        <f>IF(C$2=0,"",IFERROR(TRIM(INDEX('Pegar calibracion'!$A$1:$BZ$1001,693,C$2)&amp;""),""))</f>
        <v/>
      </c>
      <c r="D694">
        <f>IF(D$2=0,"",IFERROR(TRIM(INDEX('Pegar calibracion'!$A$1:$BZ$1001,693,D$2)&amp;""),""))</f>
        <v/>
      </c>
      <c r="E694">
        <f>IF(E$2=0,"",IFERROR(TRIM(INDEX('Pegar calibracion'!$A$1:$BZ$1001,693,E$2)&amp;""),""))</f>
        <v/>
      </c>
      <c r="F694">
        <f>IF(F$2=0,"",IFERROR(TRIM(INDEX('Pegar calibracion'!$A$1:$BZ$1001,693,F$2)&amp;""),""))</f>
        <v/>
      </c>
      <c r="G694">
        <f>IF(G$2=0,"",IFERROR(TRIM(INDEX('Pegar calibracion'!$A$1:$BZ$1001,693,G$2)&amp;""),""))</f>
        <v/>
      </c>
      <c r="H694">
        <f>IF(H$2=0,"",IFERROR(TRIM(INDEX('Pegar calibracion'!$A$1:$BZ$1001,693,H$2)&amp;""),""))</f>
        <v/>
      </c>
      <c r="I694">
        <f>IF(I$2=0,"",IFERROR(TRIM(INDEX('Pegar calibracion'!$A$1:$BZ$1001,693,I$2)&amp;""),""))</f>
        <v/>
      </c>
      <c r="J694">
        <f>IF(J$2=0,"",IFERROR(TRIM(INDEX('Pegar calibracion'!$A$1:$BZ$1001,693,J$2)&amp;""),""))</f>
        <v/>
      </c>
      <c r="K694">
        <f>IF(K$2=0,"",IFERROR(TRIM(INDEX('Pegar calibracion'!$A$1:$BZ$1001,693,K$2)&amp;""),""))</f>
        <v/>
      </c>
      <c r="L694">
        <f>IF(L$2=0,"",IFERROR(TRIM(INDEX('Pegar calibracion'!$A$1:$BZ$1001,693,L$2)&amp;""),""))</f>
        <v/>
      </c>
      <c r="M694" s="25">
        <f>IF(D694="","",SUBSTITUTE(SUBSTITUTE(SUBSTITUTE(SUBSTITUTE(SUBSTITUTE(SUBSTITUTE(SUBSTITUTE(SUBSTITUTE(SUBSTITUTE(SUBSTITUTE(SUBSTITUTE(SUBSTITUTE(LOWER(TRIM(D694)),"á","a"),"é","e"),"í","i"),"ó","o"),"ú","u"),"ü","u"),"ñ","n"),"à","a"),"è","e"),"ì","i"),"ò","o"),"ù","u"))</f>
        <v/>
      </c>
      <c r="N694" s="25">
        <f>IF(F694="","",SUBSTITUTE(SUBSTITUTE(SUBSTITUTE(SUBSTITUTE(SUBSTITUTE(SUBSTITUTE(SUBSTITUTE(SUBSTITUTE(SUBSTITUTE(SUBSTITUTE(SUBSTITUTE(SUBSTITUTE(LOWER(TRIM(F694)),"á","a"),"é","e"),"í","i"),"ó","o"),"ú","u"),"ü","u"),"ñ","n"),"à","a"),"è","e"),"ì","i"),"ò","o"),"ù","u"))</f>
        <v/>
      </c>
      <c r="O694" s="25">
        <f>IF(M694="confiable",2,IF(M694="dudosa",1,IF(M694="no confiable",0,"")))</f>
        <v/>
      </c>
      <c r="P694" s="25">
        <f>IF(N694="confiable",2,IF(N694="dudosa",1,IF(N694="no confiable",0,"")))</f>
        <v/>
      </c>
      <c r="Q694" s="25">
        <f>IF(AND(ISNUMBER(O694),ISNUMBER(P694)),1,"")</f>
        <v/>
      </c>
      <c r="R694" s="25">
        <f>IF(Q694=1,IF(O694=P694,"Sí","No"),"")</f>
        <v/>
      </c>
      <c r="S694" s="25">
        <f>IF(Q694=1,IF(P694&lt;O694,"Más estricto",IF(P694&gt;O694,"Más permisivo","Igual")),"")</f>
        <v/>
      </c>
      <c r="T694" s="25">
        <f>IF(Q694=1,IF(ABS(O694-P694)=2,1,0),"")</f>
        <v/>
      </c>
      <c r="U694" s="25">
        <f>IF(H694="","","|"&amp;SUBSTITUTE(SUBSTITUTE(TRIM(H694)," |","|"),"| ","|")&amp;"|")</f>
        <v/>
      </c>
      <c r="V694" s="25">
        <f>IF(AND(Q694=1,B694&lt;&gt;""),IF(IFERROR(COUNTIFS(B$3:B694,"="&amp;SUBSTITUTE(SUBSTITUTE(SUBSTITUTE(B694,"~","~~"),"*","~*"),"?","~?"),Q$3:Q694,1),0)=1,MAX(V$2:V693)+1,""),"")</f>
        <v/>
      </c>
      <c r="W694" s="25">
        <f>IF(V694="","",COUNTIFS($B$3:$B$1002,"="&amp;SUBSTITUTE(SUBSTITUTE(SUBSTITUTE(B694,"~","~~"),"*","~*"),"?","~?"),$Q$3:$Q$1002,1)*10000-V694)</f>
        <v/>
      </c>
      <c r="X694" s="25">
        <f>IF(Q694=1,IF(SUBSTITUTE(SUBSTITUTE(SUBSTITUTE(SUBSTITUTE(SUBSTITUTE(SUBSTITUTE(SUBSTITUTE(SUBSTITUTE(SUBSTITUTE(SUBSTITUTE(SUBSTITUTE(SUBSTITUTE(LOWER(TRIM(A694)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694)),"á","a"),"é","e"),"í","i"),"ó","o"),"ú","u"),"ü","u"),"ñ","n"),"à","a"),"è","e"),"ì","i"),"ò","o"),"ù","u")),"")</f>
        <v/>
      </c>
      <c r="Y694" s="25">
        <f>IF(X694="","",IF(IFERROR(COUNTIF(X$3:X694,"="&amp;SUBSTITUTE(SUBSTITUTE(SUBSTITUTE(X694,"~","~~"),"*","~*"),"?","~?")),0)=1,1,""))</f>
        <v/>
      </c>
      <c r="Z694" s="25">
        <f>IF(T694=1,MAX(Z$2:Z693)+1,"")</f>
        <v/>
      </c>
    </row>
    <row r="695">
      <c r="A695">
        <f>IF(A$2=0,"",IFERROR(TRIM(INDEX('Pegar calibracion'!$A$1:$BZ$1001,694,A$2)&amp;""),""))</f>
        <v/>
      </c>
      <c r="B695">
        <f>IF(B$2=0,"",IFERROR(TRIM(INDEX('Pegar calibracion'!$A$1:$BZ$1001,694,B$2)&amp;""),""))</f>
        <v/>
      </c>
      <c r="C695">
        <f>IF(C$2=0,"",IFERROR(TRIM(INDEX('Pegar calibracion'!$A$1:$BZ$1001,694,C$2)&amp;""),""))</f>
        <v/>
      </c>
      <c r="D695">
        <f>IF(D$2=0,"",IFERROR(TRIM(INDEX('Pegar calibracion'!$A$1:$BZ$1001,694,D$2)&amp;""),""))</f>
        <v/>
      </c>
      <c r="E695">
        <f>IF(E$2=0,"",IFERROR(TRIM(INDEX('Pegar calibracion'!$A$1:$BZ$1001,694,E$2)&amp;""),""))</f>
        <v/>
      </c>
      <c r="F695">
        <f>IF(F$2=0,"",IFERROR(TRIM(INDEX('Pegar calibracion'!$A$1:$BZ$1001,694,F$2)&amp;""),""))</f>
        <v/>
      </c>
      <c r="G695">
        <f>IF(G$2=0,"",IFERROR(TRIM(INDEX('Pegar calibracion'!$A$1:$BZ$1001,694,G$2)&amp;""),""))</f>
        <v/>
      </c>
      <c r="H695">
        <f>IF(H$2=0,"",IFERROR(TRIM(INDEX('Pegar calibracion'!$A$1:$BZ$1001,694,H$2)&amp;""),""))</f>
        <v/>
      </c>
      <c r="I695">
        <f>IF(I$2=0,"",IFERROR(TRIM(INDEX('Pegar calibracion'!$A$1:$BZ$1001,694,I$2)&amp;""),""))</f>
        <v/>
      </c>
      <c r="J695">
        <f>IF(J$2=0,"",IFERROR(TRIM(INDEX('Pegar calibracion'!$A$1:$BZ$1001,694,J$2)&amp;""),""))</f>
        <v/>
      </c>
      <c r="K695">
        <f>IF(K$2=0,"",IFERROR(TRIM(INDEX('Pegar calibracion'!$A$1:$BZ$1001,694,K$2)&amp;""),""))</f>
        <v/>
      </c>
      <c r="L695">
        <f>IF(L$2=0,"",IFERROR(TRIM(INDEX('Pegar calibracion'!$A$1:$BZ$1001,694,L$2)&amp;""),""))</f>
        <v/>
      </c>
      <c r="M695" s="25">
        <f>IF(D695="","",SUBSTITUTE(SUBSTITUTE(SUBSTITUTE(SUBSTITUTE(SUBSTITUTE(SUBSTITUTE(SUBSTITUTE(SUBSTITUTE(SUBSTITUTE(SUBSTITUTE(SUBSTITUTE(SUBSTITUTE(LOWER(TRIM(D695)),"á","a"),"é","e"),"í","i"),"ó","o"),"ú","u"),"ü","u"),"ñ","n"),"à","a"),"è","e"),"ì","i"),"ò","o"),"ù","u"))</f>
        <v/>
      </c>
      <c r="N695" s="25">
        <f>IF(F695="","",SUBSTITUTE(SUBSTITUTE(SUBSTITUTE(SUBSTITUTE(SUBSTITUTE(SUBSTITUTE(SUBSTITUTE(SUBSTITUTE(SUBSTITUTE(SUBSTITUTE(SUBSTITUTE(SUBSTITUTE(LOWER(TRIM(F695)),"á","a"),"é","e"),"í","i"),"ó","o"),"ú","u"),"ü","u"),"ñ","n"),"à","a"),"è","e"),"ì","i"),"ò","o"),"ù","u"))</f>
        <v/>
      </c>
      <c r="O695" s="25">
        <f>IF(M695="confiable",2,IF(M695="dudosa",1,IF(M695="no confiable",0,"")))</f>
        <v/>
      </c>
      <c r="P695" s="25">
        <f>IF(N695="confiable",2,IF(N695="dudosa",1,IF(N695="no confiable",0,"")))</f>
        <v/>
      </c>
      <c r="Q695" s="25">
        <f>IF(AND(ISNUMBER(O695),ISNUMBER(P695)),1,"")</f>
        <v/>
      </c>
      <c r="R695" s="25">
        <f>IF(Q695=1,IF(O695=P695,"Sí","No"),"")</f>
        <v/>
      </c>
      <c r="S695" s="25">
        <f>IF(Q695=1,IF(P695&lt;O695,"Más estricto",IF(P695&gt;O695,"Más permisivo","Igual")),"")</f>
        <v/>
      </c>
      <c r="T695" s="25">
        <f>IF(Q695=1,IF(ABS(O695-P695)=2,1,0),"")</f>
        <v/>
      </c>
      <c r="U695" s="25">
        <f>IF(H695="","","|"&amp;SUBSTITUTE(SUBSTITUTE(TRIM(H695)," |","|"),"| ","|")&amp;"|")</f>
        <v/>
      </c>
      <c r="V695" s="25">
        <f>IF(AND(Q695=1,B695&lt;&gt;""),IF(IFERROR(COUNTIFS(B$3:B695,"="&amp;SUBSTITUTE(SUBSTITUTE(SUBSTITUTE(B695,"~","~~"),"*","~*"),"?","~?"),Q$3:Q695,1),0)=1,MAX(V$2:V694)+1,""),"")</f>
        <v/>
      </c>
      <c r="W695" s="25">
        <f>IF(V695="","",COUNTIFS($B$3:$B$1002,"="&amp;SUBSTITUTE(SUBSTITUTE(SUBSTITUTE(B695,"~","~~"),"*","~*"),"?","~?"),$Q$3:$Q$1002,1)*10000-V695)</f>
        <v/>
      </c>
      <c r="X695" s="25">
        <f>IF(Q695=1,IF(SUBSTITUTE(SUBSTITUTE(SUBSTITUTE(SUBSTITUTE(SUBSTITUTE(SUBSTITUTE(SUBSTITUTE(SUBSTITUTE(SUBSTITUTE(SUBSTITUTE(SUBSTITUTE(SUBSTITUTE(LOWER(TRIM(A695)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695)),"á","a"),"é","e"),"í","i"),"ó","o"),"ú","u"),"ü","u"),"ñ","n"),"à","a"),"è","e"),"ì","i"),"ò","o"),"ù","u")),"")</f>
        <v/>
      </c>
      <c r="Y695" s="25">
        <f>IF(X695="","",IF(IFERROR(COUNTIF(X$3:X695,"="&amp;SUBSTITUTE(SUBSTITUTE(SUBSTITUTE(X695,"~","~~"),"*","~*"),"?","~?")),0)=1,1,""))</f>
        <v/>
      </c>
      <c r="Z695" s="25">
        <f>IF(T695=1,MAX(Z$2:Z694)+1,"")</f>
        <v/>
      </c>
    </row>
    <row r="696">
      <c r="A696">
        <f>IF(A$2=0,"",IFERROR(TRIM(INDEX('Pegar calibracion'!$A$1:$BZ$1001,695,A$2)&amp;""),""))</f>
        <v/>
      </c>
      <c r="B696">
        <f>IF(B$2=0,"",IFERROR(TRIM(INDEX('Pegar calibracion'!$A$1:$BZ$1001,695,B$2)&amp;""),""))</f>
        <v/>
      </c>
      <c r="C696">
        <f>IF(C$2=0,"",IFERROR(TRIM(INDEX('Pegar calibracion'!$A$1:$BZ$1001,695,C$2)&amp;""),""))</f>
        <v/>
      </c>
      <c r="D696">
        <f>IF(D$2=0,"",IFERROR(TRIM(INDEX('Pegar calibracion'!$A$1:$BZ$1001,695,D$2)&amp;""),""))</f>
        <v/>
      </c>
      <c r="E696">
        <f>IF(E$2=0,"",IFERROR(TRIM(INDEX('Pegar calibracion'!$A$1:$BZ$1001,695,E$2)&amp;""),""))</f>
        <v/>
      </c>
      <c r="F696">
        <f>IF(F$2=0,"",IFERROR(TRIM(INDEX('Pegar calibracion'!$A$1:$BZ$1001,695,F$2)&amp;""),""))</f>
        <v/>
      </c>
      <c r="G696">
        <f>IF(G$2=0,"",IFERROR(TRIM(INDEX('Pegar calibracion'!$A$1:$BZ$1001,695,G$2)&amp;""),""))</f>
        <v/>
      </c>
      <c r="H696">
        <f>IF(H$2=0,"",IFERROR(TRIM(INDEX('Pegar calibracion'!$A$1:$BZ$1001,695,H$2)&amp;""),""))</f>
        <v/>
      </c>
      <c r="I696">
        <f>IF(I$2=0,"",IFERROR(TRIM(INDEX('Pegar calibracion'!$A$1:$BZ$1001,695,I$2)&amp;""),""))</f>
        <v/>
      </c>
      <c r="J696">
        <f>IF(J$2=0,"",IFERROR(TRIM(INDEX('Pegar calibracion'!$A$1:$BZ$1001,695,J$2)&amp;""),""))</f>
        <v/>
      </c>
      <c r="K696">
        <f>IF(K$2=0,"",IFERROR(TRIM(INDEX('Pegar calibracion'!$A$1:$BZ$1001,695,K$2)&amp;""),""))</f>
        <v/>
      </c>
      <c r="L696">
        <f>IF(L$2=0,"",IFERROR(TRIM(INDEX('Pegar calibracion'!$A$1:$BZ$1001,695,L$2)&amp;""),""))</f>
        <v/>
      </c>
      <c r="M696" s="25">
        <f>IF(D696="","",SUBSTITUTE(SUBSTITUTE(SUBSTITUTE(SUBSTITUTE(SUBSTITUTE(SUBSTITUTE(SUBSTITUTE(SUBSTITUTE(SUBSTITUTE(SUBSTITUTE(SUBSTITUTE(SUBSTITUTE(LOWER(TRIM(D696)),"á","a"),"é","e"),"í","i"),"ó","o"),"ú","u"),"ü","u"),"ñ","n"),"à","a"),"è","e"),"ì","i"),"ò","o"),"ù","u"))</f>
        <v/>
      </c>
      <c r="N696" s="25">
        <f>IF(F696="","",SUBSTITUTE(SUBSTITUTE(SUBSTITUTE(SUBSTITUTE(SUBSTITUTE(SUBSTITUTE(SUBSTITUTE(SUBSTITUTE(SUBSTITUTE(SUBSTITUTE(SUBSTITUTE(SUBSTITUTE(LOWER(TRIM(F696)),"á","a"),"é","e"),"í","i"),"ó","o"),"ú","u"),"ü","u"),"ñ","n"),"à","a"),"è","e"),"ì","i"),"ò","o"),"ù","u"))</f>
        <v/>
      </c>
      <c r="O696" s="25">
        <f>IF(M696="confiable",2,IF(M696="dudosa",1,IF(M696="no confiable",0,"")))</f>
        <v/>
      </c>
      <c r="P696" s="25">
        <f>IF(N696="confiable",2,IF(N696="dudosa",1,IF(N696="no confiable",0,"")))</f>
        <v/>
      </c>
      <c r="Q696" s="25">
        <f>IF(AND(ISNUMBER(O696),ISNUMBER(P696)),1,"")</f>
        <v/>
      </c>
      <c r="R696" s="25">
        <f>IF(Q696=1,IF(O696=P696,"Sí","No"),"")</f>
        <v/>
      </c>
      <c r="S696" s="25">
        <f>IF(Q696=1,IF(P696&lt;O696,"Más estricto",IF(P696&gt;O696,"Más permisivo","Igual")),"")</f>
        <v/>
      </c>
      <c r="T696" s="25">
        <f>IF(Q696=1,IF(ABS(O696-P696)=2,1,0),"")</f>
        <v/>
      </c>
      <c r="U696" s="25">
        <f>IF(H696="","","|"&amp;SUBSTITUTE(SUBSTITUTE(TRIM(H696)," |","|"),"| ","|")&amp;"|")</f>
        <v/>
      </c>
      <c r="V696" s="25">
        <f>IF(AND(Q696=1,B696&lt;&gt;""),IF(IFERROR(COUNTIFS(B$3:B696,"="&amp;SUBSTITUTE(SUBSTITUTE(SUBSTITUTE(B696,"~","~~"),"*","~*"),"?","~?"),Q$3:Q696,1),0)=1,MAX(V$2:V695)+1,""),"")</f>
        <v/>
      </c>
      <c r="W696" s="25">
        <f>IF(V696="","",COUNTIFS($B$3:$B$1002,"="&amp;SUBSTITUTE(SUBSTITUTE(SUBSTITUTE(B696,"~","~~"),"*","~*"),"?","~?"),$Q$3:$Q$1002,1)*10000-V696)</f>
        <v/>
      </c>
      <c r="X696" s="25">
        <f>IF(Q696=1,IF(SUBSTITUTE(SUBSTITUTE(SUBSTITUTE(SUBSTITUTE(SUBSTITUTE(SUBSTITUTE(SUBSTITUTE(SUBSTITUTE(SUBSTITUTE(SUBSTITUTE(SUBSTITUTE(SUBSTITUTE(LOWER(TRIM(A696)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696)),"á","a"),"é","e"),"í","i"),"ó","o"),"ú","u"),"ü","u"),"ñ","n"),"à","a"),"è","e"),"ì","i"),"ò","o"),"ù","u")),"")</f>
        <v/>
      </c>
      <c r="Y696" s="25">
        <f>IF(X696="","",IF(IFERROR(COUNTIF(X$3:X696,"="&amp;SUBSTITUTE(SUBSTITUTE(SUBSTITUTE(X696,"~","~~"),"*","~*"),"?","~?")),0)=1,1,""))</f>
        <v/>
      </c>
      <c r="Z696" s="25">
        <f>IF(T696=1,MAX(Z$2:Z695)+1,"")</f>
        <v/>
      </c>
    </row>
    <row r="697">
      <c r="A697">
        <f>IF(A$2=0,"",IFERROR(TRIM(INDEX('Pegar calibracion'!$A$1:$BZ$1001,696,A$2)&amp;""),""))</f>
        <v/>
      </c>
      <c r="B697">
        <f>IF(B$2=0,"",IFERROR(TRIM(INDEX('Pegar calibracion'!$A$1:$BZ$1001,696,B$2)&amp;""),""))</f>
        <v/>
      </c>
      <c r="C697">
        <f>IF(C$2=0,"",IFERROR(TRIM(INDEX('Pegar calibracion'!$A$1:$BZ$1001,696,C$2)&amp;""),""))</f>
        <v/>
      </c>
      <c r="D697">
        <f>IF(D$2=0,"",IFERROR(TRIM(INDEX('Pegar calibracion'!$A$1:$BZ$1001,696,D$2)&amp;""),""))</f>
        <v/>
      </c>
      <c r="E697">
        <f>IF(E$2=0,"",IFERROR(TRIM(INDEX('Pegar calibracion'!$A$1:$BZ$1001,696,E$2)&amp;""),""))</f>
        <v/>
      </c>
      <c r="F697">
        <f>IF(F$2=0,"",IFERROR(TRIM(INDEX('Pegar calibracion'!$A$1:$BZ$1001,696,F$2)&amp;""),""))</f>
        <v/>
      </c>
      <c r="G697">
        <f>IF(G$2=0,"",IFERROR(TRIM(INDEX('Pegar calibracion'!$A$1:$BZ$1001,696,G$2)&amp;""),""))</f>
        <v/>
      </c>
      <c r="H697">
        <f>IF(H$2=0,"",IFERROR(TRIM(INDEX('Pegar calibracion'!$A$1:$BZ$1001,696,H$2)&amp;""),""))</f>
        <v/>
      </c>
      <c r="I697">
        <f>IF(I$2=0,"",IFERROR(TRIM(INDEX('Pegar calibracion'!$A$1:$BZ$1001,696,I$2)&amp;""),""))</f>
        <v/>
      </c>
      <c r="J697">
        <f>IF(J$2=0,"",IFERROR(TRIM(INDEX('Pegar calibracion'!$A$1:$BZ$1001,696,J$2)&amp;""),""))</f>
        <v/>
      </c>
      <c r="K697">
        <f>IF(K$2=0,"",IFERROR(TRIM(INDEX('Pegar calibracion'!$A$1:$BZ$1001,696,K$2)&amp;""),""))</f>
        <v/>
      </c>
      <c r="L697">
        <f>IF(L$2=0,"",IFERROR(TRIM(INDEX('Pegar calibracion'!$A$1:$BZ$1001,696,L$2)&amp;""),""))</f>
        <v/>
      </c>
      <c r="M697" s="25">
        <f>IF(D697="","",SUBSTITUTE(SUBSTITUTE(SUBSTITUTE(SUBSTITUTE(SUBSTITUTE(SUBSTITUTE(SUBSTITUTE(SUBSTITUTE(SUBSTITUTE(SUBSTITUTE(SUBSTITUTE(SUBSTITUTE(LOWER(TRIM(D697)),"á","a"),"é","e"),"í","i"),"ó","o"),"ú","u"),"ü","u"),"ñ","n"),"à","a"),"è","e"),"ì","i"),"ò","o"),"ù","u"))</f>
        <v/>
      </c>
      <c r="N697" s="25">
        <f>IF(F697="","",SUBSTITUTE(SUBSTITUTE(SUBSTITUTE(SUBSTITUTE(SUBSTITUTE(SUBSTITUTE(SUBSTITUTE(SUBSTITUTE(SUBSTITUTE(SUBSTITUTE(SUBSTITUTE(SUBSTITUTE(LOWER(TRIM(F697)),"á","a"),"é","e"),"í","i"),"ó","o"),"ú","u"),"ü","u"),"ñ","n"),"à","a"),"è","e"),"ì","i"),"ò","o"),"ù","u"))</f>
        <v/>
      </c>
      <c r="O697" s="25">
        <f>IF(M697="confiable",2,IF(M697="dudosa",1,IF(M697="no confiable",0,"")))</f>
        <v/>
      </c>
      <c r="P697" s="25">
        <f>IF(N697="confiable",2,IF(N697="dudosa",1,IF(N697="no confiable",0,"")))</f>
        <v/>
      </c>
      <c r="Q697" s="25">
        <f>IF(AND(ISNUMBER(O697),ISNUMBER(P697)),1,"")</f>
        <v/>
      </c>
      <c r="R697" s="25">
        <f>IF(Q697=1,IF(O697=P697,"Sí","No"),"")</f>
        <v/>
      </c>
      <c r="S697" s="25">
        <f>IF(Q697=1,IF(P697&lt;O697,"Más estricto",IF(P697&gt;O697,"Más permisivo","Igual")),"")</f>
        <v/>
      </c>
      <c r="T697" s="25">
        <f>IF(Q697=1,IF(ABS(O697-P697)=2,1,0),"")</f>
        <v/>
      </c>
      <c r="U697" s="25">
        <f>IF(H697="","","|"&amp;SUBSTITUTE(SUBSTITUTE(TRIM(H697)," |","|"),"| ","|")&amp;"|")</f>
        <v/>
      </c>
      <c r="V697" s="25">
        <f>IF(AND(Q697=1,B697&lt;&gt;""),IF(IFERROR(COUNTIFS(B$3:B697,"="&amp;SUBSTITUTE(SUBSTITUTE(SUBSTITUTE(B697,"~","~~"),"*","~*"),"?","~?"),Q$3:Q697,1),0)=1,MAX(V$2:V696)+1,""),"")</f>
        <v/>
      </c>
      <c r="W697" s="25">
        <f>IF(V697="","",COUNTIFS($B$3:$B$1002,"="&amp;SUBSTITUTE(SUBSTITUTE(SUBSTITUTE(B697,"~","~~"),"*","~*"),"?","~?"),$Q$3:$Q$1002,1)*10000-V697)</f>
        <v/>
      </c>
      <c r="X697" s="25">
        <f>IF(Q697=1,IF(SUBSTITUTE(SUBSTITUTE(SUBSTITUTE(SUBSTITUTE(SUBSTITUTE(SUBSTITUTE(SUBSTITUTE(SUBSTITUTE(SUBSTITUTE(SUBSTITUTE(SUBSTITUTE(SUBSTITUTE(LOWER(TRIM(A697)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697)),"á","a"),"é","e"),"í","i"),"ó","o"),"ú","u"),"ü","u"),"ñ","n"),"à","a"),"è","e"),"ì","i"),"ò","o"),"ù","u")),"")</f>
        <v/>
      </c>
      <c r="Y697" s="25">
        <f>IF(X697="","",IF(IFERROR(COUNTIF(X$3:X697,"="&amp;SUBSTITUTE(SUBSTITUTE(SUBSTITUTE(X697,"~","~~"),"*","~*"),"?","~?")),0)=1,1,""))</f>
        <v/>
      </c>
      <c r="Z697" s="25">
        <f>IF(T697=1,MAX(Z$2:Z696)+1,"")</f>
        <v/>
      </c>
    </row>
    <row r="698">
      <c r="A698">
        <f>IF(A$2=0,"",IFERROR(TRIM(INDEX('Pegar calibracion'!$A$1:$BZ$1001,697,A$2)&amp;""),""))</f>
        <v/>
      </c>
      <c r="B698">
        <f>IF(B$2=0,"",IFERROR(TRIM(INDEX('Pegar calibracion'!$A$1:$BZ$1001,697,B$2)&amp;""),""))</f>
        <v/>
      </c>
      <c r="C698">
        <f>IF(C$2=0,"",IFERROR(TRIM(INDEX('Pegar calibracion'!$A$1:$BZ$1001,697,C$2)&amp;""),""))</f>
        <v/>
      </c>
      <c r="D698">
        <f>IF(D$2=0,"",IFERROR(TRIM(INDEX('Pegar calibracion'!$A$1:$BZ$1001,697,D$2)&amp;""),""))</f>
        <v/>
      </c>
      <c r="E698">
        <f>IF(E$2=0,"",IFERROR(TRIM(INDEX('Pegar calibracion'!$A$1:$BZ$1001,697,E$2)&amp;""),""))</f>
        <v/>
      </c>
      <c r="F698">
        <f>IF(F$2=0,"",IFERROR(TRIM(INDEX('Pegar calibracion'!$A$1:$BZ$1001,697,F$2)&amp;""),""))</f>
        <v/>
      </c>
      <c r="G698">
        <f>IF(G$2=0,"",IFERROR(TRIM(INDEX('Pegar calibracion'!$A$1:$BZ$1001,697,G$2)&amp;""),""))</f>
        <v/>
      </c>
      <c r="H698">
        <f>IF(H$2=0,"",IFERROR(TRIM(INDEX('Pegar calibracion'!$A$1:$BZ$1001,697,H$2)&amp;""),""))</f>
        <v/>
      </c>
      <c r="I698">
        <f>IF(I$2=0,"",IFERROR(TRIM(INDEX('Pegar calibracion'!$A$1:$BZ$1001,697,I$2)&amp;""),""))</f>
        <v/>
      </c>
      <c r="J698">
        <f>IF(J$2=0,"",IFERROR(TRIM(INDEX('Pegar calibracion'!$A$1:$BZ$1001,697,J$2)&amp;""),""))</f>
        <v/>
      </c>
      <c r="K698">
        <f>IF(K$2=0,"",IFERROR(TRIM(INDEX('Pegar calibracion'!$A$1:$BZ$1001,697,K$2)&amp;""),""))</f>
        <v/>
      </c>
      <c r="L698">
        <f>IF(L$2=0,"",IFERROR(TRIM(INDEX('Pegar calibracion'!$A$1:$BZ$1001,697,L$2)&amp;""),""))</f>
        <v/>
      </c>
      <c r="M698" s="25">
        <f>IF(D698="","",SUBSTITUTE(SUBSTITUTE(SUBSTITUTE(SUBSTITUTE(SUBSTITUTE(SUBSTITUTE(SUBSTITUTE(SUBSTITUTE(SUBSTITUTE(SUBSTITUTE(SUBSTITUTE(SUBSTITUTE(LOWER(TRIM(D698)),"á","a"),"é","e"),"í","i"),"ó","o"),"ú","u"),"ü","u"),"ñ","n"),"à","a"),"è","e"),"ì","i"),"ò","o"),"ù","u"))</f>
        <v/>
      </c>
      <c r="N698" s="25">
        <f>IF(F698="","",SUBSTITUTE(SUBSTITUTE(SUBSTITUTE(SUBSTITUTE(SUBSTITUTE(SUBSTITUTE(SUBSTITUTE(SUBSTITUTE(SUBSTITUTE(SUBSTITUTE(SUBSTITUTE(SUBSTITUTE(LOWER(TRIM(F698)),"á","a"),"é","e"),"í","i"),"ó","o"),"ú","u"),"ü","u"),"ñ","n"),"à","a"),"è","e"),"ì","i"),"ò","o"),"ù","u"))</f>
        <v/>
      </c>
      <c r="O698" s="25">
        <f>IF(M698="confiable",2,IF(M698="dudosa",1,IF(M698="no confiable",0,"")))</f>
        <v/>
      </c>
      <c r="P698" s="25">
        <f>IF(N698="confiable",2,IF(N698="dudosa",1,IF(N698="no confiable",0,"")))</f>
        <v/>
      </c>
      <c r="Q698" s="25">
        <f>IF(AND(ISNUMBER(O698),ISNUMBER(P698)),1,"")</f>
        <v/>
      </c>
      <c r="R698" s="25">
        <f>IF(Q698=1,IF(O698=P698,"Sí","No"),"")</f>
        <v/>
      </c>
      <c r="S698" s="25">
        <f>IF(Q698=1,IF(P698&lt;O698,"Más estricto",IF(P698&gt;O698,"Más permisivo","Igual")),"")</f>
        <v/>
      </c>
      <c r="T698" s="25">
        <f>IF(Q698=1,IF(ABS(O698-P698)=2,1,0),"")</f>
        <v/>
      </c>
      <c r="U698" s="25">
        <f>IF(H698="","","|"&amp;SUBSTITUTE(SUBSTITUTE(TRIM(H698)," |","|"),"| ","|")&amp;"|")</f>
        <v/>
      </c>
      <c r="V698" s="25">
        <f>IF(AND(Q698=1,B698&lt;&gt;""),IF(IFERROR(COUNTIFS(B$3:B698,"="&amp;SUBSTITUTE(SUBSTITUTE(SUBSTITUTE(B698,"~","~~"),"*","~*"),"?","~?"),Q$3:Q698,1),0)=1,MAX(V$2:V697)+1,""),"")</f>
        <v/>
      </c>
      <c r="W698" s="25">
        <f>IF(V698="","",COUNTIFS($B$3:$B$1002,"="&amp;SUBSTITUTE(SUBSTITUTE(SUBSTITUTE(B698,"~","~~"),"*","~*"),"?","~?"),$Q$3:$Q$1002,1)*10000-V698)</f>
        <v/>
      </c>
      <c r="X698" s="25">
        <f>IF(Q698=1,IF(SUBSTITUTE(SUBSTITUTE(SUBSTITUTE(SUBSTITUTE(SUBSTITUTE(SUBSTITUTE(SUBSTITUTE(SUBSTITUTE(SUBSTITUTE(SUBSTITUTE(SUBSTITUTE(SUBSTITUTE(LOWER(TRIM(A698)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698)),"á","a"),"é","e"),"í","i"),"ó","o"),"ú","u"),"ü","u"),"ñ","n"),"à","a"),"è","e"),"ì","i"),"ò","o"),"ù","u")),"")</f>
        <v/>
      </c>
      <c r="Y698" s="25">
        <f>IF(X698="","",IF(IFERROR(COUNTIF(X$3:X698,"="&amp;SUBSTITUTE(SUBSTITUTE(SUBSTITUTE(X698,"~","~~"),"*","~*"),"?","~?")),0)=1,1,""))</f>
        <v/>
      </c>
      <c r="Z698" s="25">
        <f>IF(T698=1,MAX(Z$2:Z697)+1,"")</f>
        <v/>
      </c>
    </row>
    <row r="699">
      <c r="A699">
        <f>IF(A$2=0,"",IFERROR(TRIM(INDEX('Pegar calibracion'!$A$1:$BZ$1001,698,A$2)&amp;""),""))</f>
        <v/>
      </c>
      <c r="B699">
        <f>IF(B$2=0,"",IFERROR(TRIM(INDEX('Pegar calibracion'!$A$1:$BZ$1001,698,B$2)&amp;""),""))</f>
        <v/>
      </c>
      <c r="C699">
        <f>IF(C$2=0,"",IFERROR(TRIM(INDEX('Pegar calibracion'!$A$1:$BZ$1001,698,C$2)&amp;""),""))</f>
        <v/>
      </c>
      <c r="D699">
        <f>IF(D$2=0,"",IFERROR(TRIM(INDEX('Pegar calibracion'!$A$1:$BZ$1001,698,D$2)&amp;""),""))</f>
        <v/>
      </c>
      <c r="E699">
        <f>IF(E$2=0,"",IFERROR(TRIM(INDEX('Pegar calibracion'!$A$1:$BZ$1001,698,E$2)&amp;""),""))</f>
        <v/>
      </c>
      <c r="F699">
        <f>IF(F$2=0,"",IFERROR(TRIM(INDEX('Pegar calibracion'!$A$1:$BZ$1001,698,F$2)&amp;""),""))</f>
        <v/>
      </c>
      <c r="G699">
        <f>IF(G$2=0,"",IFERROR(TRIM(INDEX('Pegar calibracion'!$A$1:$BZ$1001,698,G$2)&amp;""),""))</f>
        <v/>
      </c>
      <c r="H699">
        <f>IF(H$2=0,"",IFERROR(TRIM(INDEX('Pegar calibracion'!$A$1:$BZ$1001,698,H$2)&amp;""),""))</f>
        <v/>
      </c>
      <c r="I699">
        <f>IF(I$2=0,"",IFERROR(TRIM(INDEX('Pegar calibracion'!$A$1:$BZ$1001,698,I$2)&amp;""),""))</f>
        <v/>
      </c>
      <c r="J699">
        <f>IF(J$2=0,"",IFERROR(TRIM(INDEX('Pegar calibracion'!$A$1:$BZ$1001,698,J$2)&amp;""),""))</f>
        <v/>
      </c>
      <c r="K699">
        <f>IF(K$2=0,"",IFERROR(TRIM(INDEX('Pegar calibracion'!$A$1:$BZ$1001,698,K$2)&amp;""),""))</f>
        <v/>
      </c>
      <c r="L699">
        <f>IF(L$2=0,"",IFERROR(TRIM(INDEX('Pegar calibracion'!$A$1:$BZ$1001,698,L$2)&amp;""),""))</f>
        <v/>
      </c>
      <c r="M699" s="25">
        <f>IF(D699="","",SUBSTITUTE(SUBSTITUTE(SUBSTITUTE(SUBSTITUTE(SUBSTITUTE(SUBSTITUTE(SUBSTITUTE(SUBSTITUTE(SUBSTITUTE(SUBSTITUTE(SUBSTITUTE(SUBSTITUTE(LOWER(TRIM(D699)),"á","a"),"é","e"),"í","i"),"ó","o"),"ú","u"),"ü","u"),"ñ","n"),"à","a"),"è","e"),"ì","i"),"ò","o"),"ù","u"))</f>
        <v/>
      </c>
      <c r="N699" s="25">
        <f>IF(F699="","",SUBSTITUTE(SUBSTITUTE(SUBSTITUTE(SUBSTITUTE(SUBSTITUTE(SUBSTITUTE(SUBSTITUTE(SUBSTITUTE(SUBSTITUTE(SUBSTITUTE(SUBSTITUTE(SUBSTITUTE(LOWER(TRIM(F699)),"á","a"),"é","e"),"í","i"),"ó","o"),"ú","u"),"ü","u"),"ñ","n"),"à","a"),"è","e"),"ì","i"),"ò","o"),"ù","u"))</f>
        <v/>
      </c>
      <c r="O699" s="25">
        <f>IF(M699="confiable",2,IF(M699="dudosa",1,IF(M699="no confiable",0,"")))</f>
        <v/>
      </c>
      <c r="P699" s="25">
        <f>IF(N699="confiable",2,IF(N699="dudosa",1,IF(N699="no confiable",0,"")))</f>
        <v/>
      </c>
      <c r="Q699" s="25">
        <f>IF(AND(ISNUMBER(O699),ISNUMBER(P699)),1,"")</f>
        <v/>
      </c>
      <c r="R699" s="25">
        <f>IF(Q699=1,IF(O699=P699,"Sí","No"),"")</f>
        <v/>
      </c>
      <c r="S699" s="25">
        <f>IF(Q699=1,IF(P699&lt;O699,"Más estricto",IF(P699&gt;O699,"Más permisivo","Igual")),"")</f>
        <v/>
      </c>
      <c r="T699" s="25">
        <f>IF(Q699=1,IF(ABS(O699-P699)=2,1,0),"")</f>
        <v/>
      </c>
      <c r="U699" s="25">
        <f>IF(H699="","","|"&amp;SUBSTITUTE(SUBSTITUTE(TRIM(H699)," |","|"),"| ","|")&amp;"|")</f>
        <v/>
      </c>
      <c r="V699" s="25">
        <f>IF(AND(Q699=1,B699&lt;&gt;""),IF(IFERROR(COUNTIFS(B$3:B699,"="&amp;SUBSTITUTE(SUBSTITUTE(SUBSTITUTE(B699,"~","~~"),"*","~*"),"?","~?"),Q$3:Q699,1),0)=1,MAX(V$2:V698)+1,""),"")</f>
        <v/>
      </c>
      <c r="W699" s="25">
        <f>IF(V699="","",COUNTIFS($B$3:$B$1002,"="&amp;SUBSTITUTE(SUBSTITUTE(SUBSTITUTE(B699,"~","~~"),"*","~*"),"?","~?"),$Q$3:$Q$1002,1)*10000-V699)</f>
        <v/>
      </c>
      <c r="X699" s="25">
        <f>IF(Q699=1,IF(SUBSTITUTE(SUBSTITUTE(SUBSTITUTE(SUBSTITUTE(SUBSTITUTE(SUBSTITUTE(SUBSTITUTE(SUBSTITUTE(SUBSTITUTE(SUBSTITUTE(SUBSTITUTE(SUBSTITUTE(LOWER(TRIM(A699)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699)),"á","a"),"é","e"),"í","i"),"ó","o"),"ú","u"),"ü","u"),"ñ","n"),"à","a"),"è","e"),"ì","i"),"ò","o"),"ù","u")),"")</f>
        <v/>
      </c>
      <c r="Y699" s="25">
        <f>IF(X699="","",IF(IFERROR(COUNTIF(X$3:X699,"="&amp;SUBSTITUTE(SUBSTITUTE(SUBSTITUTE(X699,"~","~~"),"*","~*"),"?","~?")),0)=1,1,""))</f>
        <v/>
      </c>
      <c r="Z699" s="25">
        <f>IF(T699=1,MAX(Z$2:Z698)+1,"")</f>
        <v/>
      </c>
    </row>
    <row r="700">
      <c r="A700">
        <f>IF(A$2=0,"",IFERROR(TRIM(INDEX('Pegar calibracion'!$A$1:$BZ$1001,699,A$2)&amp;""),""))</f>
        <v/>
      </c>
      <c r="B700">
        <f>IF(B$2=0,"",IFERROR(TRIM(INDEX('Pegar calibracion'!$A$1:$BZ$1001,699,B$2)&amp;""),""))</f>
        <v/>
      </c>
      <c r="C700">
        <f>IF(C$2=0,"",IFERROR(TRIM(INDEX('Pegar calibracion'!$A$1:$BZ$1001,699,C$2)&amp;""),""))</f>
        <v/>
      </c>
      <c r="D700">
        <f>IF(D$2=0,"",IFERROR(TRIM(INDEX('Pegar calibracion'!$A$1:$BZ$1001,699,D$2)&amp;""),""))</f>
        <v/>
      </c>
      <c r="E700">
        <f>IF(E$2=0,"",IFERROR(TRIM(INDEX('Pegar calibracion'!$A$1:$BZ$1001,699,E$2)&amp;""),""))</f>
        <v/>
      </c>
      <c r="F700">
        <f>IF(F$2=0,"",IFERROR(TRIM(INDEX('Pegar calibracion'!$A$1:$BZ$1001,699,F$2)&amp;""),""))</f>
        <v/>
      </c>
      <c r="G700">
        <f>IF(G$2=0,"",IFERROR(TRIM(INDEX('Pegar calibracion'!$A$1:$BZ$1001,699,G$2)&amp;""),""))</f>
        <v/>
      </c>
      <c r="H700">
        <f>IF(H$2=0,"",IFERROR(TRIM(INDEX('Pegar calibracion'!$A$1:$BZ$1001,699,H$2)&amp;""),""))</f>
        <v/>
      </c>
      <c r="I700">
        <f>IF(I$2=0,"",IFERROR(TRIM(INDEX('Pegar calibracion'!$A$1:$BZ$1001,699,I$2)&amp;""),""))</f>
        <v/>
      </c>
      <c r="J700">
        <f>IF(J$2=0,"",IFERROR(TRIM(INDEX('Pegar calibracion'!$A$1:$BZ$1001,699,J$2)&amp;""),""))</f>
        <v/>
      </c>
      <c r="K700">
        <f>IF(K$2=0,"",IFERROR(TRIM(INDEX('Pegar calibracion'!$A$1:$BZ$1001,699,K$2)&amp;""),""))</f>
        <v/>
      </c>
      <c r="L700">
        <f>IF(L$2=0,"",IFERROR(TRIM(INDEX('Pegar calibracion'!$A$1:$BZ$1001,699,L$2)&amp;""),""))</f>
        <v/>
      </c>
      <c r="M700" s="25">
        <f>IF(D700="","",SUBSTITUTE(SUBSTITUTE(SUBSTITUTE(SUBSTITUTE(SUBSTITUTE(SUBSTITUTE(SUBSTITUTE(SUBSTITUTE(SUBSTITUTE(SUBSTITUTE(SUBSTITUTE(SUBSTITUTE(LOWER(TRIM(D700)),"á","a"),"é","e"),"í","i"),"ó","o"),"ú","u"),"ü","u"),"ñ","n"),"à","a"),"è","e"),"ì","i"),"ò","o"),"ù","u"))</f>
        <v/>
      </c>
      <c r="N700" s="25">
        <f>IF(F700="","",SUBSTITUTE(SUBSTITUTE(SUBSTITUTE(SUBSTITUTE(SUBSTITUTE(SUBSTITUTE(SUBSTITUTE(SUBSTITUTE(SUBSTITUTE(SUBSTITUTE(SUBSTITUTE(SUBSTITUTE(LOWER(TRIM(F700)),"á","a"),"é","e"),"í","i"),"ó","o"),"ú","u"),"ü","u"),"ñ","n"),"à","a"),"è","e"),"ì","i"),"ò","o"),"ù","u"))</f>
        <v/>
      </c>
      <c r="O700" s="25">
        <f>IF(M700="confiable",2,IF(M700="dudosa",1,IF(M700="no confiable",0,"")))</f>
        <v/>
      </c>
      <c r="P700" s="25">
        <f>IF(N700="confiable",2,IF(N700="dudosa",1,IF(N700="no confiable",0,"")))</f>
        <v/>
      </c>
      <c r="Q700" s="25">
        <f>IF(AND(ISNUMBER(O700),ISNUMBER(P700)),1,"")</f>
        <v/>
      </c>
      <c r="R700" s="25">
        <f>IF(Q700=1,IF(O700=P700,"Sí","No"),"")</f>
        <v/>
      </c>
      <c r="S700" s="25">
        <f>IF(Q700=1,IF(P700&lt;O700,"Más estricto",IF(P700&gt;O700,"Más permisivo","Igual")),"")</f>
        <v/>
      </c>
      <c r="T700" s="25">
        <f>IF(Q700=1,IF(ABS(O700-P700)=2,1,0),"")</f>
        <v/>
      </c>
      <c r="U700" s="25">
        <f>IF(H700="","","|"&amp;SUBSTITUTE(SUBSTITUTE(TRIM(H700)," |","|"),"| ","|")&amp;"|")</f>
        <v/>
      </c>
      <c r="V700" s="25">
        <f>IF(AND(Q700=1,B700&lt;&gt;""),IF(IFERROR(COUNTIFS(B$3:B700,"="&amp;SUBSTITUTE(SUBSTITUTE(SUBSTITUTE(B700,"~","~~"),"*","~*"),"?","~?"),Q$3:Q700,1),0)=1,MAX(V$2:V699)+1,""),"")</f>
        <v/>
      </c>
      <c r="W700" s="25">
        <f>IF(V700="","",COUNTIFS($B$3:$B$1002,"="&amp;SUBSTITUTE(SUBSTITUTE(SUBSTITUTE(B700,"~","~~"),"*","~*"),"?","~?"),$Q$3:$Q$1002,1)*10000-V700)</f>
        <v/>
      </c>
      <c r="X700" s="25">
        <f>IF(Q700=1,IF(SUBSTITUTE(SUBSTITUTE(SUBSTITUTE(SUBSTITUTE(SUBSTITUTE(SUBSTITUTE(SUBSTITUTE(SUBSTITUTE(SUBSTITUTE(SUBSTITUTE(SUBSTITUTE(SUBSTITUTE(LOWER(TRIM(A700)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700)),"á","a"),"é","e"),"í","i"),"ó","o"),"ú","u"),"ü","u"),"ñ","n"),"à","a"),"è","e"),"ì","i"),"ò","o"),"ù","u")),"")</f>
        <v/>
      </c>
      <c r="Y700" s="25">
        <f>IF(X700="","",IF(IFERROR(COUNTIF(X$3:X700,"="&amp;SUBSTITUTE(SUBSTITUTE(SUBSTITUTE(X700,"~","~~"),"*","~*"),"?","~?")),0)=1,1,""))</f>
        <v/>
      </c>
      <c r="Z700" s="25">
        <f>IF(T700=1,MAX(Z$2:Z699)+1,"")</f>
        <v/>
      </c>
    </row>
    <row r="701">
      <c r="A701">
        <f>IF(A$2=0,"",IFERROR(TRIM(INDEX('Pegar calibracion'!$A$1:$BZ$1001,700,A$2)&amp;""),""))</f>
        <v/>
      </c>
      <c r="B701">
        <f>IF(B$2=0,"",IFERROR(TRIM(INDEX('Pegar calibracion'!$A$1:$BZ$1001,700,B$2)&amp;""),""))</f>
        <v/>
      </c>
      <c r="C701">
        <f>IF(C$2=0,"",IFERROR(TRIM(INDEX('Pegar calibracion'!$A$1:$BZ$1001,700,C$2)&amp;""),""))</f>
        <v/>
      </c>
      <c r="D701">
        <f>IF(D$2=0,"",IFERROR(TRIM(INDEX('Pegar calibracion'!$A$1:$BZ$1001,700,D$2)&amp;""),""))</f>
        <v/>
      </c>
      <c r="E701">
        <f>IF(E$2=0,"",IFERROR(TRIM(INDEX('Pegar calibracion'!$A$1:$BZ$1001,700,E$2)&amp;""),""))</f>
        <v/>
      </c>
      <c r="F701">
        <f>IF(F$2=0,"",IFERROR(TRIM(INDEX('Pegar calibracion'!$A$1:$BZ$1001,700,F$2)&amp;""),""))</f>
        <v/>
      </c>
      <c r="G701">
        <f>IF(G$2=0,"",IFERROR(TRIM(INDEX('Pegar calibracion'!$A$1:$BZ$1001,700,G$2)&amp;""),""))</f>
        <v/>
      </c>
      <c r="H701">
        <f>IF(H$2=0,"",IFERROR(TRIM(INDEX('Pegar calibracion'!$A$1:$BZ$1001,700,H$2)&amp;""),""))</f>
        <v/>
      </c>
      <c r="I701">
        <f>IF(I$2=0,"",IFERROR(TRIM(INDEX('Pegar calibracion'!$A$1:$BZ$1001,700,I$2)&amp;""),""))</f>
        <v/>
      </c>
      <c r="J701">
        <f>IF(J$2=0,"",IFERROR(TRIM(INDEX('Pegar calibracion'!$A$1:$BZ$1001,700,J$2)&amp;""),""))</f>
        <v/>
      </c>
      <c r="K701">
        <f>IF(K$2=0,"",IFERROR(TRIM(INDEX('Pegar calibracion'!$A$1:$BZ$1001,700,K$2)&amp;""),""))</f>
        <v/>
      </c>
      <c r="L701">
        <f>IF(L$2=0,"",IFERROR(TRIM(INDEX('Pegar calibracion'!$A$1:$BZ$1001,700,L$2)&amp;""),""))</f>
        <v/>
      </c>
      <c r="M701" s="25">
        <f>IF(D701="","",SUBSTITUTE(SUBSTITUTE(SUBSTITUTE(SUBSTITUTE(SUBSTITUTE(SUBSTITUTE(SUBSTITUTE(SUBSTITUTE(SUBSTITUTE(SUBSTITUTE(SUBSTITUTE(SUBSTITUTE(LOWER(TRIM(D701)),"á","a"),"é","e"),"í","i"),"ó","o"),"ú","u"),"ü","u"),"ñ","n"),"à","a"),"è","e"),"ì","i"),"ò","o"),"ù","u"))</f>
        <v/>
      </c>
      <c r="N701" s="25">
        <f>IF(F701="","",SUBSTITUTE(SUBSTITUTE(SUBSTITUTE(SUBSTITUTE(SUBSTITUTE(SUBSTITUTE(SUBSTITUTE(SUBSTITUTE(SUBSTITUTE(SUBSTITUTE(SUBSTITUTE(SUBSTITUTE(LOWER(TRIM(F701)),"á","a"),"é","e"),"í","i"),"ó","o"),"ú","u"),"ü","u"),"ñ","n"),"à","a"),"è","e"),"ì","i"),"ò","o"),"ù","u"))</f>
        <v/>
      </c>
      <c r="O701" s="25">
        <f>IF(M701="confiable",2,IF(M701="dudosa",1,IF(M701="no confiable",0,"")))</f>
        <v/>
      </c>
      <c r="P701" s="25">
        <f>IF(N701="confiable",2,IF(N701="dudosa",1,IF(N701="no confiable",0,"")))</f>
        <v/>
      </c>
      <c r="Q701" s="25">
        <f>IF(AND(ISNUMBER(O701),ISNUMBER(P701)),1,"")</f>
        <v/>
      </c>
      <c r="R701" s="25">
        <f>IF(Q701=1,IF(O701=P701,"Sí","No"),"")</f>
        <v/>
      </c>
      <c r="S701" s="25">
        <f>IF(Q701=1,IF(P701&lt;O701,"Más estricto",IF(P701&gt;O701,"Más permisivo","Igual")),"")</f>
        <v/>
      </c>
      <c r="T701" s="25">
        <f>IF(Q701=1,IF(ABS(O701-P701)=2,1,0),"")</f>
        <v/>
      </c>
      <c r="U701" s="25">
        <f>IF(H701="","","|"&amp;SUBSTITUTE(SUBSTITUTE(TRIM(H701)," |","|"),"| ","|")&amp;"|")</f>
        <v/>
      </c>
      <c r="V701" s="25">
        <f>IF(AND(Q701=1,B701&lt;&gt;""),IF(IFERROR(COUNTIFS(B$3:B701,"="&amp;SUBSTITUTE(SUBSTITUTE(SUBSTITUTE(B701,"~","~~"),"*","~*"),"?","~?"),Q$3:Q701,1),0)=1,MAX(V$2:V700)+1,""),"")</f>
        <v/>
      </c>
      <c r="W701" s="25">
        <f>IF(V701="","",COUNTIFS($B$3:$B$1002,"="&amp;SUBSTITUTE(SUBSTITUTE(SUBSTITUTE(B701,"~","~~"),"*","~*"),"?","~?"),$Q$3:$Q$1002,1)*10000-V701)</f>
        <v/>
      </c>
      <c r="X701" s="25">
        <f>IF(Q701=1,IF(SUBSTITUTE(SUBSTITUTE(SUBSTITUTE(SUBSTITUTE(SUBSTITUTE(SUBSTITUTE(SUBSTITUTE(SUBSTITUTE(SUBSTITUTE(SUBSTITUTE(SUBSTITUTE(SUBSTITUTE(LOWER(TRIM(A701)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701)),"á","a"),"é","e"),"í","i"),"ó","o"),"ú","u"),"ü","u"),"ñ","n"),"à","a"),"è","e"),"ì","i"),"ò","o"),"ù","u")),"")</f>
        <v/>
      </c>
      <c r="Y701" s="25">
        <f>IF(X701="","",IF(IFERROR(COUNTIF(X$3:X701,"="&amp;SUBSTITUTE(SUBSTITUTE(SUBSTITUTE(X701,"~","~~"),"*","~*"),"?","~?")),0)=1,1,""))</f>
        <v/>
      </c>
      <c r="Z701" s="25">
        <f>IF(T701=1,MAX(Z$2:Z700)+1,"")</f>
        <v/>
      </c>
    </row>
    <row r="702">
      <c r="A702">
        <f>IF(A$2=0,"",IFERROR(TRIM(INDEX('Pegar calibracion'!$A$1:$BZ$1001,701,A$2)&amp;""),""))</f>
        <v/>
      </c>
      <c r="B702">
        <f>IF(B$2=0,"",IFERROR(TRIM(INDEX('Pegar calibracion'!$A$1:$BZ$1001,701,B$2)&amp;""),""))</f>
        <v/>
      </c>
      <c r="C702">
        <f>IF(C$2=0,"",IFERROR(TRIM(INDEX('Pegar calibracion'!$A$1:$BZ$1001,701,C$2)&amp;""),""))</f>
        <v/>
      </c>
      <c r="D702">
        <f>IF(D$2=0,"",IFERROR(TRIM(INDEX('Pegar calibracion'!$A$1:$BZ$1001,701,D$2)&amp;""),""))</f>
        <v/>
      </c>
      <c r="E702">
        <f>IF(E$2=0,"",IFERROR(TRIM(INDEX('Pegar calibracion'!$A$1:$BZ$1001,701,E$2)&amp;""),""))</f>
        <v/>
      </c>
      <c r="F702">
        <f>IF(F$2=0,"",IFERROR(TRIM(INDEX('Pegar calibracion'!$A$1:$BZ$1001,701,F$2)&amp;""),""))</f>
        <v/>
      </c>
      <c r="G702">
        <f>IF(G$2=0,"",IFERROR(TRIM(INDEX('Pegar calibracion'!$A$1:$BZ$1001,701,G$2)&amp;""),""))</f>
        <v/>
      </c>
      <c r="H702">
        <f>IF(H$2=0,"",IFERROR(TRIM(INDEX('Pegar calibracion'!$A$1:$BZ$1001,701,H$2)&amp;""),""))</f>
        <v/>
      </c>
      <c r="I702">
        <f>IF(I$2=0,"",IFERROR(TRIM(INDEX('Pegar calibracion'!$A$1:$BZ$1001,701,I$2)&amp;""),""))</f>
        <v/>
      </c>
      <c r="J702">
        <f>IF(J$2=0,"",IFERROR(TRIM(INDEX('Pegar calibracion'!$A$1:$BZ$1001,701,J$2)&amp;""),""))</f>
        <v/>
      </c>
      <c r="K702">
        <f>IF(K$2=0,"",IFERROR(TRIM(INDEX('Pegar calibracion'!$A$1:$BZ$1001,701,K$2)&amp;""),""))</f>
        <v/>
      </c>
      <c r="L702">
        <f>IF(L$2=0,"",IFERROR(TRIM(INDEX('Pegar calibracion'!$A$1:$BZ$1001,701,L$2)&amp;""),""))</f>
        <v/>
      </c>
      <c r="M702" s="25">
        <f>IF(D702="","",SUBSTITUTE(SUBSTITUTE(SUBSTITUTE(SUBSTITUTE(SUBSTITUTE(SUBSTITUTE(SUBSTITUTE(SUBSTITUTE(SUBSTITUTE(SUBSTITUTE(SUBSTITUTE(SUBSTITUTE(LOWER(TRIM(D702)),"á","a"),"é","e"),"í","i"),"ó","o"),"ú","u"),"ü","u"),"ñ","n"),"à","a"),"è","e"),"ì","i"),"ò","o"),"ù","u"))</f>
        <v/>
      </c>
      <c r="N702" s="25">
        <f>IF(F702="","",SUBSTITUTE(SUBSTITUTE(SUBSTITUTE(SUBSTITUTE(SUBSTITUTE(SUBSTITUTE(SUBSTITUTE(SUBSTITUTE(SUBSTITUTE(SUBSTITUTE(SUBSTITUTE(SUBSTITUTE(LOWER(TRIM(F702)),"á","a"),"é","e"),"í","i"),"ó","o"),"ú","u"),"ü","u"),"ñ","n"),"à","a"),"è","e"),"ì","i"),"ò","o"),"ù","u"))</f>
        <v/>
      </c>
      <c r="O702" s="25">
        <f>IF(M702="confiable",2,IF(M702="dudosa",1,IF(M702="no confiable",0,"")))</f>
        <v/>
      </c>
      <c r="P702" s="25">
        <f>IF(N702="confiable",2,IF(N702="dudosa",1,IF(N702="no confiable",0,"")))</f>
        <v/>
      </c>
      <c r="Q702" s="25">
        <f>IF(AND(ISNUMBER(O702),ISNUMBER(P702)),1,"")</f>
        <v/>
      </c>
      <c r="R702" s="25">
        <f>IF(Q702=1,IF(O702=P702,"Sí","No"),"")</f>
        <v/>
      </c>
      <c r="S702" s="25">
        <f>IF(Q702=1,IF(P702&lt;O702,"Más estricto",IF(P702&gt;O702,"Más permisivo","Igual")),"")</f>
        <v/>
      </c>
      <c r="T702" s="25">
        <f>IF(Q702=1,IF(ABS(O702-P702)=2,1,0),"")</f>
        <v/>
      </c>
      <c r="U702" s="25">
        <f>IF(H702="","","|"&amp;SUBSTITUTE(SUBSTITUTE(TRIM(H702)," |","|"),"| ","|")&amp;"|")</f>
        <v/>
      </c>
      <c r="V702" s="25">
        <f>IF(AND(Q702=1,B702&lt;&gt;""),IF(IFERROR(COUNTIFS(B$3:B702,"="&amp;SUBSTITUTE(SUBSTITUTE(SUBSTITUTE(B702,"~","~~"),"*","~*"),"?","~?"),Q$3:Q702,1),0)=1,MAX(V$2:V701)+1,""),"")</f>
        <v/>
      </c>
      <c r="W702" s="25">
        <f>IF(V702="","",COUNTIFS($B$3:$B$1002,"="&amp;SUBSTITUTE(SUBSTITUTE(SUBSTITUTE(B702,"~","~~"),"*","~*"),"?","~?"),$Q$3:$Q$1002,1)*10000-V702)</f>
        <v/>
      </c>
      <c r="X702" s="25">
        <f>IF(Q702=1,IF(SUBSTITUTE(SUBSTITUTE(SUBSTITUTE(SUBSTITUTE(SUBSTITUTE(SUBSTITUTE(SUBSTITUTE(SUBSTITUTE(SUBSTITUTE(SUBSTITUTE(SUBSTITUTE(SUBSTITUTE(LOWER(TRIM(A702)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702)),"á","a"),"é","e"),"í","i"),"ó","o"),"ú","u"),"ü","u"),"ñ","n"),"à","a"),"è","e"),"ì","i"),"ò","o"),"ù","u")),"")</f>
        <v/>
      </c>
      <c r="Y702" s="25">
        <f>IF(X702="","",IF(IFERROR(COUNTIF(X$3:X702,"="&amp;SUBSTITUTE(SUBSTITUTE(SUBSTITUTE(X702,"~","~~"),"*","~*"),"?","~?")),0)=1,1,""))</f>
        <v/>
      </c>
      <c r="Z702" s="25">
        <f>IF(T702=1,MAX(Z$2:Z701)+1,"")</f>
        <v/>
      </c>
    </row>
    <row r="703">
      <c r="A703">
        <f>IF(A$2=0,"",IFERROR(TRIM(INDEX('Pegar calibracion'!$A$1:$BZ$1001,702,A$2)&amp;""),""))</f>
        <v/>
      </c>
      <c r="B703">
        <f>IF(B$2=0,"",IFERROR(TRIM(INDEX('Pegar calibracion'!$A$1:$BZ$1001,702,B$2)&amp;""),""))</f>
        <v/>
      </c>
      <c r="C703">
        <f>IF(C$2=0,"",IFERROR(TRIM(INDEX('Pegar calibracion'!$A$1:$BZ$1001,702,C$2)&amp;""),""))</f>
        <v/>
      </c>
      <c r="D703">
        <f>IF(D$2=0,"",IFERROR(TRIM(INDEX('Pegar calibracion'!$A$1:$BZ$1001,702,D$2)&amp;""),""))</f>
        <v/>
      </c>
      <c r="E703">
        <f>IF(E$2=0,"",IFERROR(TRIM(INDEX('Pegar calibracion'!$A$1:$BZ$1001,702,E$2)&amp;""),""))</f>
        <v/>
      </c>
      <c r="F703">
        <f>IF(F$2=0,"",IFERROR(TRIM(INDEX('Pegar calibracion'!$A$1:$BZ$1001,702,F$2)&amp;""),""))</f>
        <v/>
      </c>
      <c r="G703">
        <f>IF(G$2=0,"",IFERROR(TRIM(INDEX('Pegar calibracion'!$A$1:$BZ$1001,702,G$2)&amp;""),""))</f>
        <v/>
      </c>
      <c r="H703">
        <f>IF(H$2=0,"",IFERROR(TRIM(INDEX('Pegar calibracion'!$A$1:$BZ$1001,702,H$2)&amp;""),""))</f>
        <v/>
      </c>
      <c r="I703">
        <f>IF(I$2=0,"",IFERROR(TRIM(INDEX('Pegar calibracion'!$A$1:$BZ$1001,702,I$2)&amp;""),""))</f>
        <v/>
      </c>
      <c r="J703">
        <f>IF(J$2=0,"",IFERROR(TRIM(INDEX('Pegar calibracion'!$A$1:$BZ$1001,702,J$2)&amp;""),""))</f>
        <v/>
      </c>
      <c r="K703">
        <f>IF(K$2=0,"",IFERROR(TRIM(INDEX('Pegar calibracion'!$A$1:$BZ$1001,702,K$2)&amp;""),""))</f>
        <v/>
      </c>
      <c r="L703">
        <f>IF(L$2=0,"",IFERROR(TRIM(INDEX('Pegar calibracion'!$A$1:$BZ$1001,702,L$2)&amp;""),""))</f>
        <v/>
      </c>
      <c r="M703" s="25">
        <f>IF(D703="","",SUBSTITUTE(SUBSTITUTE(SUBSTITUTE(SUBSTITUTE(SUBSTITUTE(SUBSTITUTE(SUBSTITUTE(SUBSTITUTE(SUBSTITUTE(SUBSTITUTE(SUBSTITUTE(SUBSTITUTE(LOWER(TRIM(D703)),"á","a"),"é","e"),"í","i"),"ó","o"),"ú","u"),"ü","u"),"ñ","n"),"à","a"),"è","e"),"ì","i"),"ò","o"),"ù","u"))</f>
        <v/>
      </c>
      <c r="N703" s="25">
        <f>IF(F703="","",SUBSTITUTE(SUBSTITUTE(SUBSTITUTE(SUBSTITUTE(SUBSTITUTE(SUBSTITUTE(SUBSTITUTE(SUBSTITUTE(SUBSTITUTE(SUBSTITUTE(SUBSTITUTE(SUBSTITUTE(LOWER(TRIM(F703)),"á","a"),"é","e"),"í","i"),"ó","o"),"ú","u"),"ü","u"),"ñ","n"),"à","a"),"è","e"),"ì","i"),"ò","o"),"ù","u"))</f>
        <v/>
      </c>
      <c r="O703" s="25">
        <f>IF(M703="confiable",2,IF(M703="dudosa",1,IF(M703="no confiable",0,"")))</f>
        <v/>
      </c>
      <c r="P703" s="25">
        <f>IF(N703="confiable",2,IF(N703="dudosa",1,IF(N703="no confiable",0,"")))</f>
        <v/>
      </c>
      <c r="Q703" s="25">
        <f>IF(AND(ISNUMBER(O703),ISNUMBER(P703)),1,"")</f>
        <v/>
      </c>
      <c r="R703" s="25">
        <f>IF(Q703=1,IF(O703=P703,"Sí","No"),"")</f>
        <v/>
      </c>
      <c r="S703" s="25">
        <f>IF(Q703=1,IF(P703&lt;O703,"Más estricto",IF(P703&gt;O703,"Más permisivo","Igual")),"")</f>
        <v/>
      </c>
      <c r="T703" s="25">
        <f>IF(Q703=1,IF(ABS(O703-P703)=2,1,0),"")</f>
        <v/>
      </c>
      <c r="U703" s="25">
        <f>IF(H703="","","|"&amp;SUBSTITUTE(SUBSTITUTE(TRIM(H703)," |","|"),"| ","|")&amp;"|")</f>
        <v/>
      </c>
      <c r="V703" s="25">
        <f>IF(AND(Q703=1,B703&lt;&gt;""),IF(IFERROR(COUNTIFS(B$3:B703,"="&amp;SUBSTITUTE(SUBSTITUTE(SUBSTITUTE(B703,"~","~~"),"*","~*"),"?","~?"),Q$3:Q703,1),0)=1,MAX(V$2:V702)+1,""),"")</f>
        <v/>
      </c>
      <c r="W703" s="25">
        <f>IF(V703="","",COUNTIFS($B$3:$B$1002,"="&amp;SUBSTITUTE(SUBSTITUTE(SUBSTITUTE(B703,"~","~~"),"*","~*"),"?","~?"),$Q$3:$Q$1002,1)*10000-V703)</f>
        <v/>
      </c>
      <c r="X703" s="25">
        <f>IF(Q703=1,IF(SUBSTITUTE(SUBSTITUTE(SUBSTITUTE(SUBSTITUTE(SUBSTITUTE(SUBSTITUTE(SUBSTITUTE(SUBSTITUTE(SUBSTITUTE(SUBSTITUTE(SUBSTITUTE(SUBSTITUTE(LOWER(TRIM(A703)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703)),"á","a"),"é","e"),"í","i"),"ó","o"),"ú","u"),"ü","u"),"ñ","n"),"à","a"),"è","e"),"ì","i"),"ò","o"),"ù","u")),"")</f>
        <v/>
      </c>
      <c r="Y703" s="25">
        <f>IF(X703="","",IF(IFERROR(COUNTIF(X$3:X703,"="&amp;SUBSTITUTE(SUBSTITUTE(SUBSTITUTE(X703,"~","~~"),"*","~*"),"?","~?")),0)=1,1,""))</f>
        <v/>
      </c>
      <c r="Z703" s="25">
        <f>IF(T703=1,MAX(Z$2:Z702)+1,"")</f>
        <v/>
      </c>
    </row>
    <row r="704">
      <c r="A704">
        <f>IF(A$2=0,"",IFERROR(TRIM(INDEX('Pegar calibracion'!$A$1:$BZ$1001,703,A$2)&amp;""),""))</f>
        <v/>
      </c>
      <c r="B704">
        <f>IF(B$2=0,"",IFERROR(TRIM(INDEX('Pegar calibracion'!$A$1:$BZ$1001,703,B$2)&amp;""),""))</f>
        <v/>
      </c>
      <c r="C704">
        <f>IF(C$2=0,"",IFERROR(TRIM(INDEX('Pegar calibracion'!$A$1:$BZ$1001,703,C$2)&amp;""),""))</f>
        <v/>
      </c>
      <c r="D704">
        <f>IF(D$2=0,"",IFERROR(TRIM(INDEX('Pegar calibracion'!$A$1:$BZ$1001,703,D$2)&amp;""),""))</f>
        <v/>
      </c>
      <c r="E704">
        <f>IF(E$2=0,"",IFERROR(TRIM(INDEX('Pegar calibracion'!$A$1:$BZ$1001,703,E$2)&amp;""),""))</f>
        <v/>
      </c>
      <c r="F704">
        <f>IF(F$2=0,"",IFERROR(TRIM(INDEX('Pegar calibracion'!$A$1:$BZ$1001,703,F$2)&amp;""),""))</f>
        <v/>
      </c>
      <c r="G704">
        <f>IF(G$2=0,"",IFERROR(TRIM(INDEX('Pegar calibracion'!$A$1:$BZ$1001,703,G$2)&amp;""),""))</f>
        <v/>
      </c>
      <c r="H704">
        <f>IF(H$2=0,"",IFERROR(TRIM(INDEX('Pegar calibracion'!$A$1:$BZ$1001,703,H$2)&amp;""),""))</f>
        <v/>
      </c>
      <c r="I704">
        <f>IF(I$2=0,"",IFERROR(TRIM(INDEX('Pegar calibracion'!$A$1:$BZ$1001,703,I$2)&amp;""),""))</f>
        <v/>
      </c>
      <c r="J704">
        <f>IF(J$2=0,"",IFERROR(TRIM(INDEX('Pegar calibracion'!$A$1:$BZ$1001,703,J$2)&amp;""),""))</f>
        <v/>
      </c>
      <c r="K704">
        <f>IF(K$2=0,"",IFERROR(TRIM(INDEX('Pegar calibracion'!$A$1:$BZ$1001,703,K$2)&amp;""),""))</f>
        <v/>
      </c>
      <c r="L704">
        <f>IF(L$2=0,"",IFERROR(TRIM(INDEX('Pegar calibracion'!$A$1:$BZ$1001,703,L$2)&amp;""),""))</f>
        <v/>
      </c>
      <c r="M704" s="25">
        <f>IF(D704="","",SUBSTITUTE(SUBSTITUTE(SUBSTITUTE(SUBSTITUTE(SUBSTITUTE(SUBSTITUTE(SUBSTITUTE(SUBSTITUTE(SUBSTITUTE(SUBSTITUTE(SUBSTITUTE(SUBSTITUTE(LOWER(TRIM(D704)),"á","a"),"é","e"),"í","i"),"ó","o"),"ú","u"),"ü","u"),"ñ","n"),"à","a"),"è","e"),"ì","i"),"ò","o"),"ù","u"))</f>
        <v/>
      </c>
      <c r="N704" s="25">
        <f>IF(F704="","",SUBSTITUTE(SUBSTITUTE(SUBSTITUTE(SUBSTITUTE(SUBSTITUTE(SUBSTITUTE(SUBSTITUTE(SUBSTITUTE(SUBSTITUTE(SUBSTITUTE(SUBSTITUTE(SUBSTITUTE(LOWER(TRIM(F704)),"á","a"),"é","e"),"í","i"),"ó","o"),"ú","u"),"ü","u"),"ñ","n"),"à","a"),"è","e"),"ì","i"),"ò","o"),"ù","u"))</f>
        <v/>
      </c>
      <c r="O704" s="25">
        <f>IF(M704="confiable",2,IF(M704="dudosa",1,IF(M704="no confiable",0,"")))</f>
        <v/>
      </c>
      <c r="P704" s="25">
        <f>IF(N704="confiable",2,IF(N704="dudosa",1,IF(N704="no confiable",0,"")))</f>
        <v/>
      </c>
      <c r="Q704" s="25">
        <f>IF(AND(ISNUMBER(O704),ISNUMBER(P704)),1,"")</f>
        <v/>
      </c>
      <c r="R704" s="25">
        <f>IF(Q704=1,IF(O704=P704,"Sí","No"),"")</f>
        <v/>
      </c>
      <c r="S704" s="25">
        <f>IF(Q704=1,IF(P704&lt;O704,"Más estricto",IF(P704&gt;O704,"Más permisivo","Igual")),"")</f>
        <v/>
      </c>
      <c r="T704" s="25">
        <f>IF(Q704=1,IF(ABS(O704-P704)=2,1,0),"")</f>
        <v/>
      </c>
      <c r="U704" s="25">
        <f>IF(H704="","","|"&amp;SUBSTITUTE(SUBSTITUTE(TRIM(H704)," |","|"),"| ","|")&amp;"|")</f>
        <v/>
      </c>
      <c r="V704" s="25">
        <f>IF(AND(Q704=1,B704&lt;&gt;""),IF(IFERROR(COUNTIFS(B$3:B704,"="&amp;SUBSTITUTE(SUBSTITUTE(SUBSTITUTE(B704,"~","~~"),"*","~*"),"?","~?"),Q$3:Q704,1),0)=1,MAX(V$2:V703)+1,""),"")</f>
        <v/>
      </c>
      <c r="W704" s="25">
        <f>IF(V704="","",COUNTIFS($B$3:$B$1002,"="&amp;SUBSTITUTE(SUBSTITUTE(SUBSTITUTE(B704,"~","~~"),"*","~*"),"?","~?"),$Q$3:$Q$1002,1)*10000-V704)</f>
        <v/>
      </c>
      <c r="X704" s="25">
        <f>IF(Q704=1,IF(SUBSTITUTE(SUBSTITUTE(SUBSTITUTE(SUBSTITUTE(SUBSTITUTE(SUBSTITUTE(SUBSTITUTE(SUBSTITUTE(SUBSTITUTE(SUBSTITUTE(SUBSTITUTE(SUBSTITUTE(LOWER(TRIM(A704)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704)),"á","a"),"é","e"),"í","i"),"ó","o"),"ú","u"),"ü","u"),"ñ","n"),"à","a"),"è","e"),"ì","i"),"ò","o"),"ù","u")),"")</f>
        <v/>
      </c>
      <c r="Y704" s="25">
        <f>IF(X704="","",IF(IFERROR(COUNTIF(X$3:X704,"="&amp;SUBSTITUTE(SUBSTITUTE(SUBSTITUTE(X704,"~","~~"),"*","~*"),"?","~?")),0)=1,1,""))</f>
        <v/>
      </c>
      <c r="Z704" s="25">
        <f>IF(T704=1,MAX(Z$2:Z703)+1,"")</f>
        <v/>
      </c>
    </row>
    <row r="705">
      <c r="A705">
        <f>IF(A$2=0,"",IFERROR(TRIM(INDEX('Pegar calibracion'!$A$1:$BZ$1001,704,A$2)&amp;""),""))</f>
        <v/>
      </c>
      <c r="B705">
        <f>IF(B$2=0,"",IFERROR(TRIM(INDEX('Pegar calibracion'!$A$1:$BZ$1001,704,B$2)&amp;""),""))</f>
        <v/>
      </c>
      <c r="C705">
        <f>IF(C$2=0,"",IFERROR(TRIM(INDEX('Pegar calibracion'!$A$1:$BZ$1001,704,C$2)&amp;""),""))</f>
        <v/>
      </c>
      <c r="D705">
        <f>IF(D$2=0,"",IFERROR(TRIM(INDEX('Pegar calibracion'!$A$1:$BZ$1001,704,D$2)&amp;""),""))</f>
        <v/>
      </c>
      <c r="E705">
        <f>IF(E$2=0,"",IFERROR(TRIM(INDEX('Pegar calibracion'!$A$1:$BZ$1001,704,E$2)&amp;""),""))</f>
        <v/>
      </c>
      <c r="F705">
        <f>IF(F$2=0,"",IFERROR(TRIM(INDEX('Pegar calibracion'!$A$1:$BZ$1001,704,F$2)&amp;""),""))</f>
        <v/>
      </c>
      <c r="G705">
        <f>IF(G$2=0,"",IFERROR(TRIM(INDEX('Pegar calibracion'!$A$1:$BZ$1001,704,G$2)&amp;""),""))</f>
        <v/>
      </c>
      <c r="H705">
        <f>IF(H$2=0,"",IFERROR(TRIM(INDEX('Pegar calibracion'!$A$1:$BZ$1001,704,H$2)&amp;""),""))</f>
        <v/>
      </c>
      <c r="I705">
        <f>IF(I$2=0,"",IFERROR(TRIM(INDEX('Pegar calibracion'!$A$1:$BZ$1001,704,I$2)&amp;""),""))</f>
        <v/>
      </c>
      <c r="J705">
        <f>IF(J$2=0,"",IFERROR(TRIM(INDEX('Pegar calibracion'!$A$1:$BZ$1001,704,J$2)&amp;""),""))</f>
        <v/>
      </c>
      <c r="K705">
        <f>IF(K$2=0,"",IFERROR(TRIM(INDEX('Pegar calibracion'!$A$1:$BZ$1001,704,K$2)&amp;""),""))</f>
        <v/>
      </c>
      <c r="L705">
        <f>IF(L$2=0,"",IFERROR(TRIM(INDEX('Pegar calibracion'!$A$1:$BZ$1001,704,L$2)&amp;""),""))</f>
        <v/>
      </c>
      <c r="M705" s="25">
        <f>IF(D705="","",SUBSTITUTE(SUBSTITUTE(SUBSTITUTE(SUBSTITUTE(SUBSTITUTE(SUBSTITUTE(SUBSTITUTE(SUBSTITUTE(SUBSTITUTE(SUBSTITUTE(SUBSTITUTE(SUBSTITUTE(LOWER(TRIM(D705)),"á","a"),"é","e"),"í","i"),"ó","o"),"ú","u"),"ü","u"),"ñ","n"),"à","a"),"è","e"),"ì","i"),"ò","o"),"ù","u"))</f>
        <v/>
      </c>
      <c r="N705" s="25">
        <f>IF(F705="","",SUBSTITUTE(SUBSTITUTE(SUBSTITUTE(SUBSTITUTE(SUBSTITUTE(SUBSTITUTE(SUBSTITUTE(SUBSTITUTE(SUBSTITUTE(SUBSTITUTE(SUBSTITUTE(SUBSTITUTE(LOWER(TRIM(F705)),"á","a"),"é","e"),"í","i"),"ó","o"),"ú","u"),"ü","u"),"ñ","n"),"à","a"),"è","e"),"ì","i"),"ò","o"),"ù","u"))</f>
        <v/>
      </c>
      <c r="O705" s="25">
        <f>IF(M705="confiable",2,IF(M705="dudosa",1,IF(M705="no confiable",0,"")))</f>
        <v/>
      </c>
      <c r="P705" s="25">
        <f>IF(N705="confiable",2,IF(N705="dudosa",1,IF(N705="no confiable",0,"")))</f>
        <v/>
      </c>
      <c r="Q705" s="25">
        <f>IF(AND(ISNUMBER(O705),ISNUMBER(P705)),1,"")</f>
        <v/>
      </c>
      <c r="R705" s="25">
        <f>IF(Q705=1,IF(O705=P705,"Sí","No"),"")</f>
        <v/>
      </c>
      <c r="S705" s="25">
        <f>IF(Q705=1,IF(P705&lt;O705,"Más estricto",IF(P705&gt;O705,"Más permisivo","Igual")),"")</f>
        <v/>
      </c>
      <c r="T705" s="25">
        <f>IF(Q705=1,IF(ABS(O705-P705)=2,1,0),"")</f>
        <v/>
      </c>
      <c r="U705" s="25">
        <f>IF(H705="","","|"&amp;SUBSTITUTE(SUBSTITUTE(TRIM(H705)," |","|"),"| ","|")&amp;"|")</f>
        <v/>
      </c>
      <c r="V705" s="25">
        <f>IF(AND(Q705=1,B705&lt;&gt;""),IF(IFERROR(COUNTIFS(B$3:B705,"="&amp;SUBSTITUTE(SUBSTITUTE(SUBSTITUTE(B705,"~","~~"),"*","~*"),"?","~?"),Q$3:Q705,1),0)=1,MAX(V$2:V704)+1,""),"")</f>
        <v/>
      </c>
      <c r="W705" s="25">
        <f>IF(V705="","",COUNTIFS($B$3:$B$1002,"="&amp;SUBSTITUTE(SUBSTITUTE(SUBSTITUTE(B705,"~","~~"),"*","~*"),"?","~?"),$Q$3:$Q$1002,1)*10000-V705)</f>
        <v/>
      </c>
      <c r="X705" s="25">
        <f>IF(Q705=1,IF(SUBSTITUTE(SUBSTITUTE(SUBSTITUTE(SUBSTITUTE(SUBSTITUTE(SUBSTITUTE(SUBSTITUTE(SUBSTITUTE(SUBSTITUTE(SUBSTITUTE(SUBSTITUTE(SUBSTITUTE(LOWER(TRIM(A705)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705)),"á","a"),"é","e"),"í","i"),"ó","o"),"ú","u"),"ü","u"),"ñ","n"),"à","a"),"è","e"),"ì","i"),"ò","o"),"ù","u")),"")</f>
        <v/>
      </c>
      <c r="Y705" s="25">
        <f>IF(X705="","",IF(IFERROR(COUNTIF(X$3:X705,"="&amp;SUBSTITUTE(SUBSTITUTE(SUBSTITUTE(X705,"~","~~"),"*","~*"),"?","~?")),0)=1,1,""))</f>
        <v/>
      </c>
      <c r="Z705" s="25">
        <f>IF(T705=1,MAX(Z$2:Z704)+1,"")</f>
        <v/>
      </c>
    </row>
    <row r="706">
      <c r="A706">
        <f>IF(A$2=0,"",IFERROR(TRIM(INDEX('Pegar calibracion'!$A$1:$BZ$1001,705,A$2)&amp;""),""))</f>
        <v/>
      </c>
      <c r="B706">
        <f>IF(B$2=0,"",IFERROR(TRIM(INDEX('Pegar calibracion'!$A$1:$BZ$1001,705,B$2)&amp;""),""))</f>
        <v/>
      </c>
      <c r="C706">
        <f>IF(C$2=0,"",IFERROR(TRIM(INDEX('Pegar calibracion'!$A$1:$BZ$1001,705,C$2)&amp;""),""))</f>
        <v/>
      </c>
      <c r="D706">
        <f>IF(D$2=0,"",IFERROR(TRIM(INDEX('Pegar calibracion'!$A$1:$BZ$1001,705,D$2)&amp;""),""))</f>
        <v/>
      </c>
      <c r="E706">
        <f>IF(E$2=0,"",IFERROR(TRIM(INDEX('Pegar calibracion'!$A$1:$BZ$1001,705,E$2)&amp;""),""))</f>
        <v/>
      </c>
      <c r="F706">
        <f>IF(F$2=0,"",IFERROR(TRIM(INDEX('Pegar calibracion'!$A$1:$BZ$1001,705,F$2)&amp;""),""))</f>
        <v/>
      </c>
      <c r="G706">
        <f>IF(G$2=0,"",IFERROR(TRIM(INDEX('Pegar calibracion'!$A$1:$BZ$1001,705,G$2)&amp;""),""))</f>
        <v/>
      </c>
      <c r="H706">
        <f>IF(H$2=0,"",IFERROR(TRIM(INDEX('Pegar calibracion'!$A$1:$BZ$1001,705,H$2)&amp;""),""))</f>
        <v/>
      </c>
      <c r="I706">
        <f>IF(I$2=0,"",IFERROR(TRIM(INDEX('Pegar calibracion'!$A$1:$BZ$1001,705,I$2)&amp;""),""))</f>
        <v/>
      </c>
      <c r="J706">
        <f>IF(J$2=0,"",IFERROR(TRIM(INDEX('Pegar calibracion'!$A$1:$BZ$1001,705,J$2)&amp;""),""))</f>
        <v/>
      </c>
      <c r="K706">
        <f>IF(K$2=0,"",IFERROR(TRIM(INDEX('Pegar calibracion'!$A$1:$BZ$1001,705,K$2)&amp;""),""))</f>
        <v/>
      </c>
      <c r="L706">
        <f>IF(L$2=0,"",IFERROR(TRIM(INDEX('Pegar calibracion'!$A$1:$BZ$1001,705,L$2)&amp;""),""))</f>
        <v/>
      </c>
      <c r="M706" s="25">
        <f>IF(D706="","",SUBSTITUTE(SUBSTITUTE(SUBSTITUTE(SUBSTITUTE(SUBSTITUTE(SUBSTITUTE(SUBSTITUTE(SUBSTITUTE(SUBSTITUTE(SUBSTITUTE(SUBSTITUTE(SUBSTITUTE(LOWER(TRIM(D706)),"á","a"),"é","e"),"í","i"),"ó","o"),"ú","u"),"ü","u"),"ñ","n"),"à","a"),"è","e"),"ì","i"),"ò","o"),"ù","u"))</f>
        <v/>
      </c>
      <c r="N706" s="25">
        <f>IF(F706="","",SUBSTITUTE(SUBSTITUTE(SUBSTITUTE(SUBSTITUTE(SUBSTITUTE(SUBSTITUTE(SUBSTITUTE(SUBSTITUTE(SUBSTITUTE(SUBSTITUTE(SUBSTITUTE(SUBSTITUTE(LOWER(TRIM(F706)),"á","a"),"é","e"),"í","i"),"ó","o"),"ú","u"),"ü","u"),"ñ","n"),"à","a"),"è","e"),"ì","i"),"ò","o"),"ù","u"))</f>
        <v/>
      </c>
      <c r="O706" s="25">
        <f>IF(M706="confiable",2,IF(M706="dudosa",1,IF(M706="no confiable",0,"")))</f>
        <v/>
      </c>
      <c r="P706" s="25">
        <f>IF(N706="confiable",2,IF(N706="dudosa",1,IF(N706="no confiable",0,"")))</f>
        <v/>
      </c>
      <c r="Q706" s="25">
        <f>IF(AND(ISNUMBER(O706),ISNUMBER(P706)),1,"")</f>
        <v/>
      </c>
      <c r="R706" s="25">
        <f>IF(Q706=1,IF(O706=P706,"Sí","No"),"")</f>
        <v/>
      </c>
      <c r="S706" s="25">
        <f>IF(Q706=1,IF(P706&lt;O706,"Más estricto",IF(P706&gt;O706,"Más permisivo","Igual")),"")</f>
        <v/>
      </c>
      <c r="T706" s="25">
        <f>IF(Q706=1,IF(ABS(O706-P706)=2,1,0),"")</f>
        <v/>
      </c>
      <c r="U706" s="25">
        <f>IF(H706="","","|"&amp;SUBSTITUTE(SUBSTITUTE(TRIM(H706)," |","|"),"| ","|")&amp;"|")</f>
        <v/>
      </c>
      <c r="V706" s="25">
        <f>IF(AND(Q706=1,B706&lt;&gt;""),IF(IFERROR(COUNTIFS(B$3:B706,"="&amp;SUBSTITUTE(SUBSTITUTE(SUBSTITUTE(B706,"~","~~"),"*","~*"),"?","~?"),Q$3:Q706,1),0)=1,MAX(V$2:V705)+1,""),"")</f>
        <v/>
      </c>
      <c r="W706" s="25">
        <f>IF(V706="","",COUNTIFS($B$3:$B$1002,"="&amp;SUBSTITUTE(SUBSTITUTE(SUBSTITUTE(B706,"~","~~"),"*","~*"),"?","~?"),$Q$3:$Q$1002,1)*10000-V706)</f>
        <v/>
      </c>
      <c r="X706" s="25">
        <f>IF(Q706=1,IF(SUBSTITUTE(SUBSTITUTE(SUBSTITUTE(SUBSTITUTE(SUBSTITUTE(SUBSTITUTE(SUBSTITUTE(SUBSTITUTE(SUBSTITUTE(SUBSTITUTE(SUBSTITUTE(SUBSTITUTE(LOWER(TRIM(A706)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706)),"á","a"),"é","e"),"í","i"),"ó","o"),"ú","u"),"ü","u"),"ñ","n"),"à","a"),"è","e"),"ì","i"),"ò","o"),"ù","u")),"")</f>
        <v/>
      </c>
      <c r="Y706" s="25">
        <f>IF(X706="","",IF(IFERROR(COUNTIF(X$3:X706,"="&amp;SUBSTITUTE(SUBSTITUTE(SUBSTITUTE(X706,"~","~~"),"*","~*"),"?","~?")),0)=1,1,""))</f>
        <v/>
      </c>
      <c r="Z706" s="25">
        <f>IF(T706=1,MAX(Z$2:Z705)+1,"")</f>
        <v/>
      </c>
    </row>
    <row r="707">
      <c r="A707">
        <f>IF(A$2=0,"",IFERROR(TRIM(INDEX('Pegar calibracion'!$A$1:$BZ$1001,706,A$2)&amp;""),""))</f>
        <v/>
      </c>
      <c r="B707">
        <f>IF(B$2=0,"",IFERROR(TRIM(INDEX('Pegar calibracion'!$A$1:$BZ$1001,706,B$2)&amp;""),""))</f>
        <v/>
      </c>
      <c r="C707">
        <f>IF(C$2=0,"",IFERROR(TRIM(INDEX('Pegar calibracion'!$A$1:$BZ$1001,706,C$2)&amp;""),""))</f>
        <v/>
      </c>
      <c r="D707">
        <f>IF(D$2=0,"",IFERROR(TRIM(INDEX('Pegar calibracion'!$A$1:$BZ$1001,706,D$2)&amp;""),""))</f>
        <v/>
      </c>
      <c r="E707">
        <f>IF(E$2=0,"",IFERROR(TRIM(INDEX('Pegar calibracion'!$A$1:$BZ$1001,706,E$2)&amp;""),""))</f>
        <v/>
      </c>
      <c r="F707">
        <f>IF(F$2=0,"",IFERROR(TRIM(INDEX('Pegar calibracion'!$A$1:$BZ$1001,706,F$2)&amp;""),""))</f>
        <v/>
      </c>
      <c r="G707">
        <f>IF(G$2=0,"",IFERROR(TRIM(INDEX('Pegar calibracion'!$A$1:$BZ$1001,706,G$2)&amp;""),""))</f>
        <v/>
      </c>
      <c r="H707">
        <f>IF(H$2=0,"",IFERROR(TRIM(INDEX('Pegar calibracion'!$A$1:$BZ$1001,706,H$2)&amp;""),""))</f>
        <v/>
      </c>
      <c r="I707">
        <f>IF(I$2=0,"",IFERROR(TRIM(INDEX('Pegar calibracion'!$A$1:$BZ$1001,706,I$2)&amp;""),""))</f>
        <v/>
      </c>
      <c r="J707">
        <f>IF(J$2=0,"",IFERROR(TRIM(INDEX('Pegar calibracion'!$A$1:$BZ$1001,706,J$2)&amp;""),""))</f>
        <v/>
      </c>
      <c r="K707">
        <f>IF(K$2=0,"",IFERROR(TRIM(INDEX('Pegar calibracion'!$A$1:$BZ$1001,706,K$2)&amp;""),""))</f>
        <v/>
      </c>
      <c r="L707">
        <f>IF(L$2=0,"",IFERROR(TRIM(INDEX('Pegar calibracion'!$A$1:$BZ$1001,706,L$2)&amp;""),""))</f>
        <v/>
      </c>
      <c r="M707" s="25">
        <f>IF(D707="","",SUBSTITUTE(SUBSTITUTE(SUBSTITUTE(SUBSTITUTE(SUBSTITUTE(SUBSTITUTE(SUBSTITUTE(SUBSTITUTE(SUBSTITUTE(SUBSTITUTE(SUBSTITUTE(SUBSTITUTE(LOWER(TRIM(D707)),"á","a"),"é","e"),"í","i"),"ó","o"),"ú","u"),"ü","u"),"ñ","n"),"à","a"),"è","e"),"ì","i"),"ò","o"),"ù","u"))</f>
        <v/>
      </c>
      <c r="N707" s="25">
        <f>IF(F707="","",SUBSTITUTE(SUBSTITUTE(SUBSTITUTE(SUBSTITUTE(SUBSTITUTE(SUBSTITUTE(SUBSTITUTE(SUBSTITUTE(SUBSTITUTE(SUBSTITUTE(SUBSTITUTE(SUBSTITUTE(LOWER(TRIM(F707)),"á","a"),"é","e"),"í","i"),"ó","o"),"ú","u"),"ü","u"),"ñ","n"),"à","a"),"è","e"),"ì","i"),"ò","o"),"ù","u"))</f>
        <v/>
      </c>
      <c r="O707" s="25">
        <f>IF(M707="confiable",2,IF(M707="dudosa",1,IF(M707="no confiable",0,"")))</f>
        <v/>
      </c>
      <c r="P707" s="25">
        <f>IF(N707="confiable",2,IF(N707="dudosa",1,IF(N707="no confiable",0,"")))</f>
        <v/>
      </c>
      <c r="Q707" s="25">
        <f>IF(AND(ISNUMBER(O707),ISNUMBER(P707)),1,"")</f>
        <v/>
      </c>
      <c r="R707" s="25">
        <f>IF(Q707=1,IF(O707=P707,"Sí","No"),"")</f>
        <v/>
      </c>
      <c r="S707" s="25">
        <f>IF(Q707=1,IF(P707&lt;O707,"Más estricto",IF(P707&gt;O707,"Más permisivo","Igual")),"")</f>
        <v/>
      </c>
      <c r="T707" s="25">
        <f>IF(Q707=1,IF(ABS(O707-P707)=2,1,0),"")</f>
        <v/>
      </c>
      <c r="U707" s="25">
        <f>IF(H707="","","|"&amp;SUBSTITUTE(SUBSTITUTE(TRIM(H707)," |","|"),"| ","|")&amp;"|")</f>
        <v/>
      </c>
      <c r="V707" s="25">
        <f>IF(AND(Q707=1,B707&lt;&gt;""),IF(IFERROR(COUNTIFS(B$3:B707,"="&amp;SUBSTITUTE(SUBSTITUTE(SUBSTITUTE(B707,"~","~~"),"*","~*"),"?","~?"),Q$3:Q707,1),0)=1,MAX(V$2:V706)+1,""),"")</f>
        <v/>
      </c>
      <c r="W707" s="25">
        <f>IF(V707="","",COUNTIFS($B$3:$B$1002,"="&amp;SUBSTITUTE(SUBSTITUTE(SUBSTITUTE(B707,"~","~~"),"*","~*"),"?","~?"),$Q$3:$Q$1002,1)*10000-V707)</f>
        <v/>
      </c>
      <c r="X707" s="25">
        <f>IF(Q707=1,IF(SUBSTITUTE(SUBSTITUTE(SUBSTITUTE(SUBSTITUTE(SUBSTITUTE(SUBSTITUTE(SUBSTITUTE(SUBSTITUTE(SUBSTITUTE(SUBSTITUTE(SUBSTITUTE(SUBSTITUTE(LOWER(TRIM(A707)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707)),"á","a"),"é","e"),"í","i"),"ó","o"),"ú","u"),"ü","u"),"ñ","n"),"à","a"),"è","e"),"ì","i"),"ò","o"),"ù","u")),"")</f>
        <v/>
      </c>
      <c r="Y707" s="25">
        <f>IF(X707="","",IF(IFERROR(COUNTIF(X$3:X707,"="&amp;SUBSTITUTE(SUBSTITUTE(SUBSTITUTE(X707,"~","~~"),"*","~*"),"?","~?")),0)=1,1,""))</f>
        <v/>
      </c>
      <c r="Z707" s="25">
        <f>IF(T707=1,MAX(Z$2:Z706)+1,"")</f>
        <v/>
      </c>
    </row>
    <row r="708">
      <c r="A708">
        <f>IF(A$2=0,"",IFERROR(TRIM(INDEX('Pegar calibracion'!$A$1:$BZ$1001,707,A$2)&amp;""),""))</f>
        <v/>
      </c>
      <c r="B708">
        <f>IF(B$2=0,"",IFERROR(TRIM(INDEX('Pegar calibracion'!$A$1:$BZ$1001,707,B$2)&amp;""),""))</f>
        <v/>
      </c>
      <c r="C708">
        <f>IF(C$2=0,"",IFERROR(TRIM(INDEX('Pegar calibracion'!$A$1:$BZ$1001,707,C$2)&amp;""),""))</f>
        <v/>
      </c>
      <c r="D708">
        <f>IF(D$2=0,"",IFERROR(TRIM(INDEX('Pegar calibracion'!$A$1:$BZ$1001,707,D$2)&amp;""),""))</f>
        <v/>
      </c>
      <c r="E708">
        <f>IF(E$2=0,"",IFERROR(TRIM(INDEX('Pegar calibracion'!$A$1:$BZ$1001,707,E$2)&amp;""),""))</f>
        <v/>
      </c>
      <c r="F708">
        <f>IF(F$2=0,"",IFERROR(TRIM(INDEX('Pegar calibracion'!$A$1:$BZ$1001,707,F$2)&amp;""),""))</f>
        <v/>
      </c>
      <c r="G708">
        <f>IF(G$2=0,"",IFERROR(TRIM(INDEX('Pegar calibracion'!$A$1:$BZ$1001,707,G$2)&amp;""),""))</f>
        <v/>
      </c>
      <c r="H708">
        <f>IF(H$2=0,"",IFERROR(TRIM(INDEX('Pegar calibracion'!$A$1:$BZ$1001,707,H$2)&amp;""),""))</f>
        <v/>
      </c>
      <c r="I708">
        <f>IF(I$2=0,"",IFERROR(TRIM(INDEX('Pegar calibracion'!$A$1:$BZ$1001,707,I$2)&amp;""),""))</f>
        <v/>
      </c>
      <c r="J708">
        <f>IF(J$2=0,"",IFERROR(TRIM(INDEX('Pegar calibracion'!$A$1:$BZ$1001,707,J$2)&amp;""),""))</f>
        <v/>
      </c>
      <c r="K708">
        <f>IF(K$2=0,"",IFERROR(TRIM(INDEX('Pegar calibracion'!$A$1:$BZ$1001,707,K$2)&amp;""),""))</f>
        <v/>
      </c>
      <c r="L708">
        <f>IF(L$2=0,"",IFERROR(TRIM(INDEX('Pegar calibracion'!$A$1:$BZ$1001,707,L$2)&amp;""),""))</f>
        <v/>
      </c>
      <c r="M708" s="25">
        <f>IF(D708="","",SUBSTITUTE(SUBSTITUTE(SUBSTITUTE(SUBSTITUTE(SUBSTITUTE(SUBSTITUTE(SUBSTITUTE(SUBSTITUTE(SUBSTITUTE(SUBSTITUTE(SUBSTITUTE(SUBSTITUTE(LOWER(TRIM(D708)),"á","a"),"é","e"),"í","i"),"ó","o"),"ú","u"),"ü","u"),"ñ","n"),"à","a"),"è","e"),"ì","i"),"ò","o"),"ù","u"))</f>
        <v/>
      </c>
      <c r="N708" s="25">
        <f>IF(F708="","",SUBSTITUTE(SUBSTITUTE(SUBSTITUTE(SUBSTITUTE(SUBSTITUTE(SUBSTITUTE(SUBSTITUTE(SUBSTITUTE(SUBSTITUTE(SUBSTITUTE(SUBSTITUTE(SUBSTITUTE(LOWER(TRIM(F708)),"á","a"),"é","e"),"í","i"),"ó","o"),"ú","u"),"ü","u"),"ñ","n"),"à","a"),"è","e"),"ì","i"),"ò","o"),"ù","u"))</f>
        <v/>
      </c>
      <c r="O708" s="25">
        <f>IF(M708="confiable",2,IF(M708="dudosa",1,IF(M708="no confiable",0,"")))</f>
        <v/>
      </c>
      <c r="P708" s="25">
        <f>IF(N708="confiable",2,IF(N708="dudosa",1,IF(N708="no confiable",0,"")))</f>
        <v/>
      </c>
      <c r="Q708" s="25">
        <f>IF(AND(ISNUMBER(O708),ISNUMBER(P708)),1,"")</f>
        <v/>
      </c>
      <c r="R708" s="25">
        <f>IF(Q708=1,IF(O708=P708,"Sí","No"),"")</f>
        <v/>
      </c>
      <c r="S708" s="25">
        <f>IF(Q708=1,IF(P708&lt;O708,"Más estricto",IF(P708&gt;O708,"Más permisivo","Igual")),"")</f>
        <v/>
      </c>
      <c r="T708" s="25">
        <f>IF(Q708=1,IF(ABS(O708-P708)=2,1,0),"")</f>
        <v/>
      </c>
      <c r="U708" s="25">
        <f>IF(H708="","","|"&amp;SUBSTITUTE(SUBSTITUTE(TRIM(H708)," |","|"),"| ","|")&amp;"|")</f>
        <v/>
      </c>
      <c r="V708" s="25">
        <f>IF(AND(Q708=1,B708&lt;&gt;""),IF(IFERROR(COUNTIFS(B$3:B708,"="&amp;SUBSTITUTE(SUBSTITUTE(SUBSTITUTE(B708,"~","~~"),"*","~*"),"?","~?"),Q$3:Q708,1),0)=1,MAX(V$2:V707)+1,""),"")</f>
        <v/>
      </c>
      <c r="W708" s="25">
        <f>IF(V708="","",COUNTIFS($B$3:$B$1002,"="&amp;SUBSTITUTE(SUBSTITUTE(SUBSTITUTE(B708,"~","~~"),"*","~*"),"?","~?"),$Q$3:$Q$1002,1)*10000-V708)</f>
        <v/>
      </c>
      <c r="X708" s="25">
        <f>IF(Q708=1,IF(SUBSTITUTE(SUBSTITUTE(SUBSTITUTE(SUBSTITUTE(SUBSTITUTE(SUBSTITUTE(SUBSTITUTE(SUBSTITUTE(SUBSTITUTE(SUBSTITUTE(SUBSTITUTE(SUBSTITUTE(LOWER(TRIM(A708)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708)),"á","a"),"é","e"),"í","i"),"ó","o"),"ú","u"),"ü","u"),"ñ","n"),"à","a"),"è","e"),"ì","i"),"ò","o"),"ù","u")),"")</f>
        <v/>
      </c>
      <c r="Y708" s="25">
        <f>IF(X708="","",IF(IFERROR(COUNTIF(X$3:X708,"="&amp;SUBSTITUTE(SUBSTITUTE(SUBSTITUTE(X708,"~","~~"),"*","~*"),"?","~?")),0)=1,1,""))</f>
        <v/>
      </c>
      <c r="Z708" s="25">
        <f>IF(T708=1,MAX(Z$2:Z707)+1,"")</f>
        <v/>
      </c>
    </row>
    <row r="709">
      <c r="A709">
        <f>IF(A$2=0,"",IFERROR(TRIM(INDEX('Pegar calibracion'!$A$1:$BZ$1001,708,A$2)&amp;""),""))</f>
        <v/>
      </c>
      <c r="B709">
        <f>IF(B$2=0,"",IFERROR(TRIM(INDEX('Pegar calibracion'!$A$1:$BZ$1001,708,B$2)&amp;""),""))</f>
        <v/>
      </c>
      <c r="C709">
        <f>IF(C$2=0,"",IFERROR(TRIM(INDEX('Pegar calibracion'!$A$1:$BZ$1001,708,C$2)&amp;""),""))</f>
        <v/>
      </c>
      <c r="D709">
        <f>IF(D$2=0,"",IFERROR(TRIM(INDEX('Pegar calibracion'!$A$1:$BZ$1001,708,D$2)&amp;""),""))</f>
        <v/>
      </c>
      <c r="E709">
        <f>IF(E$2=0,"",IFERROR(TRIM(INDEX('Pegar calibracion'!$A$1:$BZ$1001,708,E$2)&amp;""),""))</f>
        <v/>
      </c>
      <c r="F709">
        <f>IF(F$2=0,"",IFERROR(TRIM(INDEX('Pegar calibracion'!$A$1:$BZ$1001,708,F$2)&amp;""),""))</f>
        <v/>
      </c>
      <c r="G709">
        <f>IF(G$2=0,"",IFERROR(TRIM(INDEX('Pegar calibracion'!$A$1:$BZ$1001,708,G$2)&amp;""),""))</f>
        <v/>
      </c>
      <c r="H709">
        <f>IF(H$2=0,"",IFERROR(TRIM(INDEX('Pegar calibracion'!$A$1:$BZ$1001,708,H$2)&amp;""),""))</f>
        <v/>
      </c>
      <c r="I709">
        <f>IF(I$2=0,"",IFERROR(TRIM(INDEX('Pegar calibracion'!$A$1:$BZ$1001,708,I$2)&amp;""),""))</f>
        <v/>
      </c>
      <c r="J709">
        <f>IF(J$2=0,"",IFERROR(TRIM(INDEX('Pegar calibracion'!$A$1:$BZ$1001,708,J$2)&amp;""),""))</f>
        <v/>
      </c>
      <c r="K709">
        <f>IF(K$2=0,"",IFERROR(TRIM(INDEX('Pegar calibracion'!$A$1:$BZ$1001,708,K$2)&amp;""),""))</f>
        <v/>
      </c>
      <c r="L709">
        <f>IF(L$2=0,"",IFERROR(TRIM(INDEX('Pegar calibracion'!$A$1:$BZ$1001,708,L$2)&amp;""),""))</f>
        <v/>
      </c>
      <c r="M709" s="25">
        <f>IF(D709="","",SUBSTITUTE(SUBSTITUTE(SUBSTITUTE(SUBSTITUTE(SUBSTITUTE(SUBSTITUTE(SUBSTITUTE(SUBSTITUTE(SUBSTITUTE(SUBSTITUTE(SUBSTITUTE(SUBSTITUTE(LOWER(TRIM(D709)),"á","a"),"é","e"),"í","i"),"ó","o"),"ú","u"),"ü","u"),"ñ","n"),"à","a"),"è","e"),"ì","i"),"ò","o"),"ù","u"))</f>
        <v/>
      </c>
      <c r="N709" s="25">
        <f>IF(F709="","",SUBSTITUTE(SUBSTITUTE(SUBSTITUTE(SUBSTITUTE(SUBSTITUTE(SUBSTITUTE(SUBSTITUTE(SUBSTITUTE(SUBSTITUTE(SUBSTITUTE(SUBSTITUTE(SUBSTITUTE(LOWER(TRIM(F709)),"á","a"),"é","e"),"í","i"),"ó","o"),"ú","u"),"ü","u"),"ñ","n"),"à","a"),"è","e"),"ì","i"),"ò","o"),"ù","u"))</f>
        <v/>
      </c>
      <c r="O709" s="25">
        <f>IF(M709="confiable",2,IF(M709="dudosa",1,IF(M709="no confiable",0,"")))</f>
        <v/>
      </c>
      <c r="P709" s="25">
        <f>IF(N709="confiable",2,IF(N709="dudosa",1,IF(N709="no confiable",0,"")))</f>
        <v/>
      </c>
      <c r="Q709" s="25">
        <f>IF(AND(ISNUMBER(O709),ISNUMBER(P709)),1,"")</f>
        <v/>
      </c>
      <c r="R709" s="25">
        <f>IF(Q709=1,IF(O709=P709,"Sí","No"),"")</f>
        <v/>
      </c>
      <c r="S709" s="25">
        <f>IF(Q709=1,IF(P709&lt;O709,"Más estricto",IF(P709&gt;O709,"Más permisivo","Igual")),"")</f>
        <v/>
      </c>
      <c r="T709" s="25">
        <f>IF(Q709=1,IF(ABS(O709-P709)=2,1,0),"")</f>
        <v/>
      </c>
      <c r="U709" s="25">
        <f>IF(H709="","","|"&amp;SUBSTITUTE(SUBSTITUTE(TRIM(H709)," |","|"),"| ","|")&amp;"|")</f>
        <v/>
      </c>
      <c r="V709" s="25">
        <f>IF(AND(Q709=1,B709&lt;&gt;""),IF(IFERROR(COUNTIFS(B$3:B709,"="&amp;SUBSTITUTE(SUBSTITUTE(SUBSTITUTE(B709,"~","~~"),"*","~*"),"?","~?"),Q$3:Q709,1),0)=1,MAX(V$2:V708)+1,""),"")</f>
        <v/>
      </c>
      <c r="W709" s="25">
        <f>IF(V709="","",COUNTIFS($B$3:$B$1002,"="&amp;SUBSTITUTE(SUBSTITUTE(SUBSTITUTE(B709,"~","~~"),"*","~*"),"?","~?"),$Q$3:$Q$1002,1)*10000-V709)</f>
        <v/>
      </c>
      <c r="X709" s="25">
        <f>IF(Q709=1,IF(SUBSTITUTE(SUBSTITUTE(SUBSTITUTE(SUBSTITUTE(SUBSTITUTE(SUBSTITUTE(SUBSTITUTE(SUBSTITUTE(SUBSTITUTE(SUBSTITUTE(SUBSTITUTE(SUBSTITUTE(LOWER(TRIM(A709)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709)),"á","a"),"é","e"),"í","i"),"ó","o"),"ú","u"),"ü","u"),"ñ","n"),"à","a"),"è","e"),"ì","i"),"ò","o"),"ù","u")),"")</f>
        <v/>
      </c>
      <c r="Y709" s="25">
        <f>IF(X709="","",IF(IFERROR(COUNTIF(X$3:X709,"="&amp;SUBSTITUTE(SUBSTITUTE(SUBSTITUTE(X709,"~","~~"),"*","~*"),"?","~?")),0)=1,1,""))</f>
        <v/>
      </c>
      <c r="Z709" s="25">
        <f>IF(T709=1,MAX(Z$2:Z708)+1,"")</f>
        <v/>
      </c>
    </row>
    <row r="710">
      <c r="A710">
        <f>IF(A$2=0,"",IFERROR(TRIM(INDEX('Pegar calibracion'!$A$1:$BZ$1001,709,A$2)&amp;""),""))</f>
        <v/>
      </c>
      <c r="B710">
        <f>IF(B$2=0,"",IFERROR(TRIM(INDEX('Pegar calibracion'!$A$1:$BZ$1001,709,B$2)&amp;""),""))</f>
        <v/>
      </c>
      <c r="C710">
        <f>IF(C$2=0,"",IFERROR(TRIM(INDEX('Pegar calibracion'!$A$1:$BZ$1001,709,C$2)&amp;""),""))</f>
        <v/>
      </c>
      <c r="D710">
        <f>IF(D$2=0,"",IFERROR(TRIM(INDEX('Pegar calibracion'!$A$1:$BZ$1001,709,D$2)&amp;""),""))</f>
        <v/>
      </c>
      <c r="E710">
        <f>IF(E$2=0,"",IFERROR(TRIM(INDEX('Pegar calibracion'!$A$1:$BZ$1001,709,E$2)&amp;""),""))</f>
        <v/>
      </c>
      <c r="F710">
        <f>IF(F$2=0,"",IFERROR(TRIM(INDEX('Pegar calibracion'!$A$1:$BZ$1001,709,F$2)&amp;""),""))</f>
        <v/>
      </c>
      <c r="G710">
        <f>IF(G$2=0,"",IFERROR(TRIM(INDEX('Pegar calibracion'!$A$1:$BZ$1001,709,G$2)&amp;""),""))</f>
        <v/>
      </c>
      <c r="H710">
        <f>IF(H$2=0,"",IFERROR(TRIM(INDEX('Pegar calibracion'!$A$1:$BZ$1001,709,H$2)&amp;""),""))</f>
        <v/>
      </c>
      <c r="I710">
        <f>IF(I$2=0,"",IFERROR(TRIM(INDEX('Pegar calibracion'!$A$1:$BZ$1001,709,I$2)&amp;""),""))</f>
        <v/>
      </c>
      <c r="J710">
        <f>IF(J$2=0,"",IFERROR(TRIM(INDEX('Pegar calibracion'!$A$1:$BZ$1001,709,J$2)&amp;""),""))</f>
        <v/>
      </c>
      <c r="K710">
        <f>IF(K$2=0,"",IFERROR(TRIM(INDEX('Pegar calibracion'!$A$1:$BZ$1001,709,K$2)&amp;""),""))</f>
        <v/>
      </c>
      <c r="L710">
        <f>IF(L$2=0,"",IFERROR(TRIM(INDEX('Pegar calibracion'!$A$1:$BZ$1001,709,L$2)&amp;""),""))</f>
        <v/>
      </c>
      <c r="M710" s="25">
        <f>IF(D710="","",SUBSTITUTE(SUBSTITUTE(SUBSTITUTE(SUBSTITUTE(SUBSTITUTE(SUBSTITUTE(SUBSTITUTE(SUBSTITUTE(SUBSTITUTE(SUBSTITUTE(SUBSTITUTE(SUBSTITUTE(LOWER(TRIM(D710)),"á","a"),"é","e"),"í","i"),"ó","o"),"ú","u"),"ü","u"),"ñ","n"),"à","a"),"è","e"),"ì","i"),"ò","o"),"ù","u"))</f>
        <v/>
      </c>
      <c r="N710" s="25">
        <f>IF(F710="","",SUBSTITUTE(SUBSTITUTE(SUBSTITUTE(SUBSTITUTE(SUBSTITUTE(SUBSTITUTE(SUBSTITUTE(SUBSTITUTE(SUBSTITUTE(SUBSTITUTE(SUBSTITUTE(SUBSTITUTE(LOWER(TRIM(F710)),"á","a"),"é","e"),"í","i"),"ó","o"),"ú","u"),"ü","u"),"ñ","n"),"à","a"),"è","e"),"ì","i"),"ò","o"),"ù","u"))</f>
        <v/>
      </c>
      <c r="O710" s="25">
        <f>IF(M710="confiable",2,IF(M710="dudosa",1,IF(M710="no confiable",0,"")))</f>
        <v/>
      </c>
      <c r="P710" s="25">
        <f>IF(N710="confiable",2,IF(N710="dudosa",1,IF(N710="no confiable",0,"")))</f>
        <v/>
      </c>
      <c r="Q710" s="25">
        <f>IF(AND(ISNUMBER(O710),ISNUMBER(P710)),1,"")</f>
        <v/>
      </c>
      <c r="R710" s="25">
        <f>IF(Q710=1,IF(O710=P710,"Sí","No"),"")</f>
        <v/>
      </c>
      <c r="S710" s="25">
        <f>IF(Q710=1,IF(P710&lt;O710,"Más estricto",IF(P710&gt;O710,"Más permisivo","Igual")),"")</f>
        <v/>
      </c>
      <c r="T710" s="25">
        <f>IF(Q710=1,IF(ABS(O710-P710)=2,1,0),"")</f>
        <v/>
      </c>
      <c r="U710" s="25">
        <f>IF(H710="","","|"&amp;SUBSTITUTE(SUBSTITUTE(TRIM(H710)," |","|"),"| ","|")&amp;"|")</f>
        <v/>
      </c>
      <c r="V710" s="25">
        <f>IF(AND(Q710=1,B710&lt;&gt;""),IF(IFERROR(COUNTIFS(B$3:B710,"="&amp;SUBSTITUTE(SUBSTITUTE(SUBSTITUTE(B710,"~","~~"),"*","~*"),"?","~?"),Q$3:Q710,1),0)=1,MAX(V$2:V709)+1,""),"")</f>
        <v/>
      </c>
      <c r="W710" s="25">
        <f>IF(V710="","",COUNTIFS($B$3:$B$1002,"="&amp;SUBSTITUTE(SUBSTITUTE(SUBSTITUTE(B710,"~","~~"),"*","~*"),"?","~?"),$Q$3:$Q$1002,1)*10000-V710)</f>
        <v/>
      </c>
      <c r="X710" s="25">
        <f>IF(Q710=1,IF(SUBSTITUTE(SUBSTITUTE(SUBSTITUTE(SUBSTITUTE(SUBSTITUTE(SUBSTITUTE(SUBSTITUTE(SUBSTITUTE(SUBSTITUTE(SUBSTITUTE(SUBSTITUTE(SUBSTITUTE(LOWER(TRIM(A710)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710)),"á","a"),"é","e"),"í","i"),"ó","o"),"ú","u"),"ü","u"),"ñ","n"),"à","a"),"è","e"),"ì","i"),"ò","o"),"ù","u")),"")</f>
        <v/>
      </c>
      <c r="Y710" s="25">
        <f>IF(X710="","",IF(IFERROR(COUNTIF(X$3:X710,"="&amp;SUBSTITUTE(SUBSTITUTE(SUBSTITUTE(X710,"~","~~"),"*","~*"),"?","~?")),0)=1,1,""))</f>
        <v/>
      </c>
      <c r="Z710" s="25">
        <f>IF(T710=1,MAX(Z$2:Z709)+1,"")</f>
        <v/>
      </c>
    </row>
    <row r="711">
      <c r="A711">
        <f>IF(A$2=0,"",IFERROR(TRIM(INDEX('Pegar calibracion'!$A$1:$BZ$1001,710,A$2)&amp;""),""))</f>
        <v/>
      </c>
      <c r="B711">
        <f>IF(B$2=0,"",IFERROR(TRIM(INDEX('Pegar calibracion'!$A$1:$BZ$1001,710,B$2)&amp;""),""))</f>
        <v/>
      </c>
      <c r="C711">
        <f>IF(C$2=0,"",IFERROR(TRIM(INDEX('Pegar calibracion'!$A$1:$BZ$1001,710,C$2)&amp;""),""))</f>
        <v/>
      </c>
      <c r="D711">
        <f>IF(D$2=0,"",IFERROR(TRIM(INDEX('Pegar calibracion'!$A$1:$BZ$1001,710,D$2)&amp;""),""))</f>
        <v/>
      </c>
      <c r="E711">
        <f>IF(E$2=0,"",IFERROR(TRIM(INDEX('Pegar calibracion'!$A$1:$BZ$1001,710,E$2)&amp;""),""))</f>
        <v/>
      </c>
      <c r="F711">
        <f>IF(F$2=0,"",IFERROR(TRIM(INDEX('Pegar calibracion'!$A$1:$BZ$1001,710,F$2)&amp;""),""))</f>
        <v/>
      </c>
      <c r="G711">
        <f>IF(G$2=0,"",IFERROR(TRIM(INDEX('Pegar calibracion'!$A$1:$BZ$1001,710,G$2)&amp;""),""))</f>
        <v/>
      </c>
      <c r="H711">
        <f>IF(H$2=0,"",IFERROR(TRIM(INDEX('Pegar calibracion'!$A$1:$BZ$1001,710,H$2)&amp;""),""))</f>
        <v/>
      </c>
      <c r="I711">
        <f>IF(I$2=0,"",IFERROR(TRIM(INDEX('Pegar calibracion'!$A$1:$BZ$1001,710,I$2)&amp;""),""))</f>
        <v/>
      </c>
      <c r="J711">
        <f>IF(J$2=0,"",IFERROR(TRIM(INDEX('Pegar calibracion'!$A$1:$BZ$1001,710,J$2)&amp;""),""))</f>
        <v/>
      </c>
      <c r="K711">
        <f>IF(K$2=0,"",IFERROR(TRIM(INDEX('Pegar calibracion'!$A$1:$BZ$1001,710,K$2)&amp;""),""))</f>
        <v/>
      </c>
      <c r="L711">
        <f>IF(L$2=0,"",IFERROR(TRIM(INDEX('Pegar calibracion'!$A$1:$BZ$1001,710,L$2)&amp;""),""))</f>
        <v/>
      </c>
      <c r="M711" s="25">
        <f>IF(D711="","",SUBSTITUTE(SUBSTITUTE(SUBSTITUTE(SUBSTITUTE(SUBSTITUTE(SUBSTITUTE(SUBSTITUTE(SUBSTITUTE(SUBSTITUTE(SUBSTITUTE(SUBSTITUTE(SUBSTITUTE(LOWER(TRIM(D711)),"á","a"),"é","e"),"í","i"),"ó","o"),"ú","u"),"ü","u"),"ñ","n"),"à","a"),"è","e"),"ì","i"),"ò","o"),"ù","u"))</f>
        <v/>
      </c>
      <c r="N711" s="25">
        <f>IF(F711="","",SUBSTITUTE(SUBSTITUTE(SUBSTITUTE(SUBSTITUTE(SUBSTITUTE(SUBSTITUTE(SUBSTITUTE(SUBSTITUTE(SUBSTITUTE(SUBSTITUTE(SUBSTITUTE(SUBSTITUTE(LOWER(TRIM(F711)),"á","a"),"é","e"),"í","i"),"ó","o"),"ú","u"),"ü","u"),"ñ","n"),"à","a"),"è","e"),"ì","i"),"ò","o"),"ù","u"))</f>
        <v/>
      </c>
      <c r="O711" s="25">
        <f>IF(M711="confiable",2,IF(M711="dudosa",1,IF(M711="no confiable",0,"")))</f>
        <v/>
      </c>
      <c r="P711" s="25">
        <f>IF(N711="confiable",2,IF(N711="dudosa",1,IF(N711="no confiable",0,"")))</f>
        <v/>
      </c>
      <c r="Q711" s="25">
        <f>IF(AND(ISNUMBER(O711),ISNUMBER(P711)),1,"")</f>
        <v/>
      </c>
      <c r="R711" s="25">
        <f>IF(Q711=1,IF(O711=P711,"Sí","No"),"")</f>
        <v/>
      </c>
      <c r="S711" s="25">
        <f>IF(Q711=1,IF(P711&lt;O711,"Más estricto",IF(P711&gt;O711,"Más permisivo","Igual")),"")</f>
        <v/>
      </c>
      <c r="T711" s="25">
        <f>IF(Q711=1,IF(ABS(O711-P711)=2,1,0),"")</f>
        <v/>
      </c>
      <c r="U711" s="25">
        <f>IF(H711="","","|"&amp;SUBSTITUTE(SUBSTITUTE(TRIM(H711)," |","|"),"| ","|")&amp;"|")</f>
        <v/>
      </c>
      <c r="V711" s="25">
        <f>IF(AND(Q711=1,B711&lt;&gt;""),IF(IFERROR(COUNTIFS(B$3:B711,"="&amp;SUBSTITUTE(SUBSTITUTE(SUBSTITUTE(B711,"~","~~"),"*","~*"),"?","~?"),Q$3:Q711,1),0)=1,MAX(V$2:V710)+1,""),"")</f>
        <v/>
      </c>
      <c r="W711" s="25">
        <f>IF(V711="","",COUNTIFS($B$3:$B$1002,"="&amp;SUBSTITUTE(SUBSTITUTE(SUBSTITUTE(B711,"~","~~"),"*","~*"),"?","~?"),$Q$3:$Q$1002,1)*10000-V711)</f>
        <v/>
      </c>
      <c r="X711" s="25">
        <f>IF(Q711=1,IF(SUBSTITUTE(SUBSTITUTE(SUBSTITUTE(SUBSTITUTE(SUBSTITUTE(SUBSTITUTE(SUBSTITUTE(SUBSTITUTE(SUBSTITUTE(SUBSTITUTE(SUBSTITUTE(SUBSTITUTE(LOWER(TRIM(A711)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711)),"á","a"),"é","e"),"í","i"),"ó","o"),"ú","u"),"ü","u"),"ñ","n"),"à","a"),"è","e"),"ì","i"),"ò","o"),"ù","u")),"")</f>
        <v/>
      </c>
      <c r="Y711" s="25">
        <f>IF(X711="","",IF(IFERROR(COUNTIF(X$3:X711,"="&amp;SUBSTITUTE(SUBSTITUTE(SUBSTITUTE(X711,"~","~~"),"*","~*"),"?","~?")),0)=1,1,""))</f>
        <v/>
      </c>
      <c r="Z711" s="25">
        <f>IF(T711=1,MAX(Z$2:Z710)+1,"")</f>
        <v/>
      </c>
    </row>
    <row r="712">
      <c r="A712">
        <f>IF(A$2=0,"",IFERROR(TRIM(INDEX('Pegar calibracion'!$A$1:$BZ$1001,711,A$2)&amp;""),""))</f>
        <v/>
      </c>
      <c r="B712">
        <f>IF(B$2=0,"",IFERROR(TRIM(INDEX('Pegar calibracion'!$A$1:$BZ$1001,711,B$2)&amp;""),""))</f>
        <v/>
      </c>
      <c r="C712">
        <f>IF(C$2=0,"",IFERROR(TRIM(INDEX('Pegar calibracion'!$A$1:$BZ$1001,711,C$2)&amp;""),""))</f>
        <v/>
      </c>
      <c r="D712">
        <f>IF(D$2=0,"",IFERROR(TRIM(INDEX('Pegar calibracion'!$A$1:$BZ$1001,711,D$2)&amp;""),""))</f>
        <v/>
      </c>
      <c r="E712">
        <f>IF(E$2=0,"",IFERROR(TRIM(INDEX('Pegar calibracion'!$A$1:$BZ$1001,711,E$2)&amp;""),""))</f>
        <v/>
      </c>
      <c r="F712">
        <f>IF(F$2=0,"",IFERROR(TRIM(INDEX('Pegar calibracion'!$A$1:$BZ$1001,711,F$2)&amp;""),""))</f>
        <v/>
      </c>
      <c r="G712">
        <f>IF(G$2=0,"",IFERROR(TRIM(INDEX('Pegar calibracion'!$A$1:$BZ$1001,711,G$2)&amp;""),""))</f>
        <v/>
      </c>
      <c r="H712">
        <f>IF(H$2=0,"",IFERROR(TRIM(INDEX('Pegar calibracion'!$A$1:$BZ$1001,711,H$2)&amp;""),""))</f>
        <v/>
      </c>
      <c r="I712">
        <f>IF(I$2=0,"",IFERROR(TRIM(INDEX('Pegar calibracion'!$A$1:$BZ$1001,711,I$2)&amp;""),""))</f>
        <v/>
      </c>
      <c r="J712">
        <f>IF(J$2=0,"",IFERROR(TRIM(INDEX('Pegar calibracion'!$A$1:$BZ$1001,711,J$2)&amp;""),""))</f>
        <v/>
      </c>
      <c r="K712">
        <f>IF(K$2=0,"",IFERROR(TRIM(INDEX('Pegar calibracion'!$A$1:$BZ$1001,711,K$2)&amp;""),""))</f>
        <v/>
      </c>
      <c r="L712">
        <f>IF(L$2=0,"",IFERROR(TRIM(INDEX('Pegar calibracion'!$A$1:$BZ$1001,711,L$2)&amp;""),""))</f>
        <v/>
      </c>
      <c r="M712" s="25">
        <f>IF(D712="","",SUBSTITUTE(SUBSTITUTE(SUBSTITUTE(SUBSTITUTE(SUBSTITUTE(SUBSTITUTE(SUBSTITUTE(SUBSTITUTE(SUBSTITUTE(SUBSTITUTE(SUBSTITUTE(SUBSTITUTE(LOWER(TRIM(D712)),"á","a"),"é","e"),"í","i"),"ó","o"),"ú","u"),"ü","u"),"ñ","n"),"à","a"),"è","e"),"ì","i"),"ò","o"),"ù","u"))</f>
        <v/>
      </c>
      <c r="N712" s="25">
        <f>IF(F712="","",SUBSTITUTE(SUBSTITUTE(SUBSTITUTE(SUBSTITUTE(SUBSTITUTE(SUBSTITUTE(SUBSTITUTE(SUBSTITUTE(SUBSTITUTE(SUBSTITUTE(SUBSTITUTE(SUBSTITUTE(LOWER(TRIM(F712)),"á","a"),"é","e"),"í","i"),"ó","o"),"ú","u"),"ü","u"),"ñ","n"),"à","a"),"è","e"),"ì","i"),"ò","o"),"ù","u"))</f>
        <v/>
      </c>
      <c r="O712" s="25">
        <f>IF(M712="confiable",2,IF(M712="dudosa",1,IF(M712="no confiable",0,"")))</f>
        <v/>
      </c>
      <c r="P712" s="25">
        <f>IF(N712="confiable",2,IF(N712="dudosa",1,IF(N712="no confiable",0,"")))</f>
        <v/>
      </c>
      <c r="Q712" s="25">
        <f>IF(AND(ISNUMBER(O712),ISNUMBER(P712)),1,"")</f>
        <v/>
      </c>
      <c r="R712" s="25">
        <f>IF(Q712=1,IF(O712=P712,"Sí","No"),"")</f>
        <v/>
      </c>
      <c r="S712" s="25">
        <f>IF(Q712=1,IF(P712&lt;O712,"Más estricto",IF(P712&gt;O712,"Más permisivo","Igual")),"")</f>
        <v/>
      </c>
      <c r="T712" s="25">
        <f>IF(Q712=1,IF(ABS(O712-P712)=2,1,0),"")</f>
        <v/>
      </c>
      <c r="U712" s="25">
        <f>IF(H712="","","|"&amp;SUBSTITUTE(SUBSTITUTE(TRIM(H712)," |","|"),"| ","|")&amp;"|")</f>
        <v/>
      </c>
      <c r="V712" s="25">
        <f>IF(AND(Q712=1,B712&lt;&gt;""),IF(IFERROR(COUNTIFS(B$3:B712,"="&amp;SUBSTITUTE(SUBSTITUTE(SUBSTITUTE(B712,"~","~~"),"*","~*"),"?","~?"),Q$3:Q712,1),0)=1,MAX(V$2:V711)+1,""),"")</f>
        <v/>
      </c>
      <c r="W712" s="25">
        <f>IF(V712="","",COUNTIFS($B$3:$B$1002,"="&amp;SUBSTITUTE(SUBSTITUTE(SUBSTITUTE(B712,"~","~~"),"*","~*"),"?","~?"),$Q$3:$Q$1002,1)*10000-V712)</f>
        <v/>
      </c>
      <c r="X712" s="25">
        <f>IF(Q712=1,IF(SUBSTITUTE(SUBSTITUTE(SUBSTITUTE(SUBSTITUTE(SUBSTITUTE(SUBSTITUTE(SUBSTITUTE(SUBSTITUTE(SUBSTITUTE(SUBSTITUTE(SUBSTITUTE(SUBSTITUTE(LOWER(TRIM(A712)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712)),"á","a"),"é","e"),"í","i"),"ó","o"),"ú","u"),"ü","u"),"ñ","n"),"à","a"),"è","e"),"ì","i"),"ò","o"),"ù","u")),"")</f>
        <v/>
      </c>
      <c r="Y712" s="25">
        <f>IF(X712="","",IF(IFERROR(COUNTIF(X$3:X712,"="&amp;SUBSTITUTE(SUBSTITUTE(SUBSTITUTE(X712,"~","~~"),"*","~*"),"?","~?")),0)=1,1,""))</f>
        <v/>
      </c>
      <c r="Z712" s="25">
        <f>IF(T712=1,MAX(Z$2:Z711)+1,"")</f>
        <v/>
      </c>
    </row>
    <row r="713">
      <c r="A713">
        <f>IF(A$2=0,"",IFERROR(TRIM(INDEX('Pegar calibracion'!$A$1:$BZ$1001,712,A$2)&amp;""),""))</f>
        <v/>
      </c>
      <c r="B713">
        <f>IF(B$2=0,"",IFERROR(TRIM(INDEX('Pegar calibracion'!$A$1:$BZ$1001,712,B$2)&amp;""),""))</f>
        <v/>
      </c>
      <c r="C713">
        <f>IF(C$2=0,"",IFERROR(TRIM(INDEX('Pegar calibracion'!$A$1:$BZ$1001,712,C$2)&amp;""),""))</f>
        <v/>
      </c>
      <c r="D713">
        <f>IF(D$2=0,"",IFERROR(TRIM(INDEX('Pegar calibracion'!$A$1:$BZ$1001,712,D$2)&amp;""),""))</f>
        <v/>
      </c>
      <c r="E713">
        <f>IF(E$2=0,"",IFERROR(TRIM(INDEX('Pegar calibracion'!$A$1:$BZ$1001,712,E$2)&amp;""),""))</f>
        <v/>
      </c>
      <c r="F713">
        <f>IF(F$2=0,"",IFERROR(TRIM(INDEX('Pegar calibracion'!$A$1:$BZ$1001,712,F$2)&amp;""),""))</f>
        <v/>
      </c>
      <c r="G713">
        <f>IF(G$2=0,"",IFERROR(TRIM(INDEX('Pegar calibracion'!$A$1:$BZ$1001,712,G$2)&amp;""),""))</f>
        <v/>
      </c>
      <c r="H713">
        <f>IF(H$2=0,"",IFERROR(TRIM(INDEX('Pegar calibracion'!$A$1:$BZ$1001,712,H$2)&amp;""),""))</f>
        <v/>
      </c>
      <c r="I713">
        <f>IF(I$2=0,"",IFERROR(TRIM(INDEX('Pegar calibracion'!$A$1:$BZ$1001,712,I$2)&amp;""),""))</f>
        <v/>
      </c>
      <c r="J713">
        <f>IF(J$2=0,"",IFERROR(TRIM(INDEX('Pegar calibracion'!$A$1:$BZ$1001,712,J$2)&amp;""),""))</f>
        <v/>
      </c>
      <c r="K713">
        <f>IF(K$2=0,"",IFERROR(TRIM(INDEX('Pegar calibracion'!$A$1:$BZ$1001,712,K$2)&amp;""),""))</f>
        <v/>
      </c>
      <c r="L713">
        <f>IF(L$2=0,"",IFERROR(TRIM(INDEX('Pegar calibracion'!$A$1:$BZ$1001,712,L$2)&amp;""),""))</f>
        <v/>
      </c>
      <c r="M713" s="25">
        <f>IF(D713="","",SUBSTITUTE(SUBSTITUTE(SUBSTITUTE(SUBSTITUTE(SUBSTITUTE(SUBSTITUTE(SUBSTITUTE(SUBSTITUTE(SUBSTITUTE(SUBSTITUTE(SUBSTITUTE(SUBSTITUTE(LOWER(TRIM(D713)),"á","a"),"é","e"),"í","i"),"ó","o"),"ú","u"),"ü","u"),"ñ","n"),"à","a"),"è","e"),"ì","i"),"ò","o"),"ù","u"))</f>
        <v/>
      </c>
      <c r="N713" s="25">
        <f>IF(F713="","",SUBSTITUTE(SUBSTITUTE(SUBSTITUTE(SUBSTITUTE(SUBSTITUTE(SUBSTITUTE(SUBSTITUTE(SUBSTITUTE(SUBSTITUTE(SUBSTITUTE(SUBSTITUTE(SUBSTITUTE(LOWER(TRIM(F713)),"á","a"),"é","e"),"í","i"),"ó","o"),"ú","u"),"ü","u"),"ñ","n"),"à","a"),"è","e"),"ì","i"),"ò","o"),"ù","u"))</f>
        <v/>
      </c>
      <c r="O713" s="25">
        <f>IF(M713="confiable",2,IF(M713="dudosa",1,IF(M713="no confiable",0,"")))</f>
        <v/>
      </c>
      <c r="P713" s="25">
        <f>IF(N713="confiable",2,IF(N713="dudosa",1,IF(N713="no confiable",0,"")))</f>
        <v/>
      </c>
      <c r="Q713" s="25">
        <f>IF(AND(ISNUMBER(O713),ISNUMBER(P713)),1,"")</f>
        <v/>
      </c>
      <c r="R713" s="25">
        <f>IF(Q713=1,IF(O713=P713,"Sí","No"),"")</f>
        <v/>
      </c>
      <c r="S713" s="25">
        <f>IF(Q713=1,IF(P713&lt;O713,"Más estricto",IF(P713&gt;O713,"Más permisivo","Igual")),"")</f>
        <v/>
      </c>
      <c r="T713" s="25">
        <f>IF(Q713=1,IF(ABS(O713-P713)=2,1,0),"")</f>
        <v/>
      </c>
      <c r="U713" s="25">
        <f>IF(H713="","","|"&amp;SUBSTITUTE(SUBSTITUTE(TRIM(H713)," |","|"),"| ","|")&amp;"|")</f>
        <v/>
      </c>
      <c r="V713" s="25">
        <f>IF(AND(Q713=1,B713&lt;&gt;""),IF(IFERROR(COUNTIFS(B$3:B713,"="&amp;SUBSTITUTE(SUBSTITUTE(SUBSTITUTE(B713,"~","~~"),"*","~*"),"?","~?"),Q$3:Q713,1),0)=1,MAX(V$2:V712)+1,""),"")</f>
        <v/>
      </c>
      <c r="W713" s="25">
        <f>IF(V713="","",COUNTIFS($B$3:$B$1002,"="&amp;SUBSTITUTE(SUBSTITUTE(SUBSTITUTE(B713,"~","~~"),"*","~*"),"?","~?"),$Q$3:$Q$1002,1)*10000-V713)</f>
        <v/>
      </c>
      <c r="X713" s="25">
        <f>IF(Q713=1,IF(SUBSTITUTE(SUBSTITUTE(SUBSTITUTE(SUBSTITUTE(SUBSTITUTE(SUBSTITUTE(SUBSTITUTE(SUBSTITUTE(SUBSTITUTE(SUBSTITUTE(SUBSTITUTE(SUBSTITUTE(LOWER(TRIM(A713)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713)),"á","a"),"é","e"),"í","i"),"ó","o"),"ú","u"),"ü","u"),"ñ","n"),"à","a"),"è","e"),"ì","i"),"ò","o"),"ù","u")),"")</f>
        <v/>
      </c>
      <c r="Y713" s="25">
        <f>IF(X713="","",IF(IFERROR(COUNTIF(X$3:X713,"="&amp;SUBSTITUTE(SUBSTITUTE(SUBSTITUTE(X713,"~","~~"),"*","~*"),"?","~?")),0)=1,1,""))</f>
        <v/>
      </c>
      <c r="Z713" s="25">
        <f>IF(T713=1,MAX(Z$2:Z712)+1,"")</f>
        <v/>
      </c>
    </row>
    <row r="714">
      <c r="A714">
        <f>IF(A$2=0,"",IFERROR(TRIM(INDEX('Pegar calibracion'!$A$1:$BZ$1001,713,A$2)&amp;""),""))</f>
        <v/>
      </c>
      <c r="B714">
        <f>IF(B$2=0,"",IFERROR(TRIM(INDEX('Pegar calibracion'!$A$1:$BZ$1001,713,B$2)&amp;""),""))</f>
        <v/>
      </c>
      <c r="C714">
        <f>IF(C$2=0,"",IFERROR(TRIM(INDEX('Pegar calibracion'!$A$1:$BZ$1001,713,C$2)&amp;""),""))</f>
        <v/>
      </c>
      <c r="D714">
        <f>IF(D$2=0,"",IFERROR(TRIM(INDEX('Pegar calibracion'!$A$1:$BZ$1001,713,D$2)&amp;""),""))</f>
        <v/>
      </c>
      <c r="E714">
        <f>IF(E$2=0,"",IFERROR(TRIM(INDEX('Pegar calibracion'!$A$1:$BZ$1001,713,E$2)&amp;""),""))</f>
        <v/>
      </c>
      <c r="F714">
        <f>IF(F$2=0,"",IFERROR(TRIM(INDEX('Pegar calibracion'!$A$1:$BZ$1001,713,F$2)&amp;""),""))</f>
        <v/>
      </c>
      <c r="G714">
        <f>IF(G$2=0,"",IFERROR(TRIM(INDEX('Pegar calibracion'!$A$1:$BZ$1001,713,G$2)&amp;""),""))</f>
        <v/>
      </c>
      <c r="H714">
        <f>IF(H$2=0,"",IFERROR(TRIM(INDEX('Pegar calibracion'!$A$1:$BZ$1001,713,H$2)&amp;""),""))</f>
        <v/>
      </c>
      <c r="I714">
        <f>IF(I$2=0,"",IFERROR(TRIM(INDEX('Pegar calibracion'!$A$1:$BZ$1001,713,I$2)&amp;""),""))</f>
        <v/>
      </c>
      <c r="J714">
        <f>IF(J$2=0,"",IFERROR(TRIM(INDEX('Pegar calibracion'!$A$1:$BZ$1001,713,J$2)&amp;""),""))</f>
        <v/>
      </c>
      <c r="K714">
        <f>IF(K$2=0,"",IFERROR(TRIM(INDEX('Pegar calibracion'!$A$1:$BZ$1001,713,K$2)&amp;""),""))</f>
        <v/>
      </c>
      <c r="L714">
        <f>IF(L$2=0,"",IFERROR(TRIM(INDEX('Pegar calibracion'!$A$1:$BZ$1001,713,L$2)&amp;""),""))</f>
        <v/>
      </c>
      <c r="M714" s="25">
        <f>IF(D714="","",SUBSTITUTE(SUBSTITUTE(SUBSTITUTE(SUBSTITUTE(SUBSTITUTE(SUBSTITUTE(SUBSTITUTE(SUBSTITUTE(SUBSTITUTE(SUBSTITUTE(SUBSTITUTE(SUBSTITUTE(LOWER(TRIM(D714)),"á","a"),"é","e"),"í","i"),"ó","o"),"ú","u"),"ü","u"),"ñ","n"),"à","a"),"è","e"),"ì","i"),"ò","o"),"ù","u"))</f>
        <v/>
      </c>
      <c r="N714" s="25">
        <f>IF(F714="","",SUBSTITUTE(SUBSTITUTE(SUBSTITUTE(SUBSTITUTE(SUBSTITUTE(SUBSTITUTE(SUBSTITUTE(SUBSTITUTE(SUBSTITUTE(SUBSTITUTE(SUBSTITUTE(SUBSTITUTE(LOWER(TRIM(F714)),"á","a"),"é","e"),"í","i"),"ó","o"),"ú","u"),"ü","u"),"ñ","n"),"à","a"),"è","e"),"ì","i"),"ò","o"),"ù","u"))</f>
        <v/>
      </c>
      <c r="O714" s="25">
        <f>IF(M714="confiable",2,IF(M714="dudosa",1,IF(M714="no confiable",0,"")))</f>
        <v/>
      </c>
      <c r="P714" s="25">
        <f>IF(N714="confiable",2,IF(N714="dudosa",1,IF(N714="no confiable",0,"")))</f>
        <v/>
      </c>
      <c r="Q714" s="25">
        <f>IF(AND(ISNUMBER(O714),ISNUMBER(P714)),1,"")</f>
        <v/>
      </c>
      <c r="R714" s="25">
        <f>IF(Q714=1,IF(O714=P714,"Sí","No"),"")</f>
        <v/>
      </c>
      <c r="S714" s="25">
        <f>IF(Q714=1,IF(P714&lt;O714,"Más estricto",IF(P714&gt;O714,"Más permisivo","Igual")),"")</f>
        <v/>
      </c>
      <c r="T714" s="25">
        <f>IF(Q714=1,IF(ABS(O714-P714)=2,1,0),"")</f>
        <v/>
      </c>
      <c r="U714" s="25">
        <f>IF(H714="","","|"&amp;SUBSTITUTE(SUBSTITUTE(TRIM(H714)," |","|"),"| ","|")&amp;"|")</f>
        <v/>
      </c>
      <c r="V714" s="25">
        <f>IF(AND(Q714=1,B714&lt;&gt;""),IF(IFERROR(COUNTIFS(B$3:B714,"="&amp;SUBSTITUTE(SUBSTITUTE(SUBSTITUTE(B714,"~","~~"),"*","~*"),"?","~?"),Q$3:Q714,1),0)=1,MAX(V$2:V713)+1,""),"")</f>
        <v/>
      </c>
      <c r="W714" s="25">
        <f>IF(V714="","",COUNTIFS($B$3:$B$1002,"="&amp;SUBSTITUTE(SUBSTITUTE(SUBSTITUTE(B714,"~","~~"),"*","~*"),"?","~?"),$Q$3:$Q$1002,1)*10000-V714)</f>
        <v/>
      </c>
      <c r="X714" s="25">
        <f>IF(Q714=1,IF(SUBSTITUTE(SUBSTITUTE(SUBSTITUTE(SUBSTITUTE(SUBSTITUTE(SUBSTITUTE(SUBSTITUTE(SUBSTITUTE(SUBSTITUTE(SUBSTITUTE(SUBSTITUTE(SUBSTITUTE(LOWER(TRIM(A714)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714)),"á","a"),"é","e"),"í","i"),"ó","o"),"ú","u"),"ü","u"),"ñ","n"),"à","a"),"è","e"),"ì","i"),"ò","o"),"ù","u")),"")</f>
        <v/>
      </c>
      <c r="Y714" s="25">
        <f>IF(X714="","",IF(IFERROR(COUNTIF(X$3:X714,"="&amp;SUBSTITUTE(SUBSTITUTE(SUBSTITUTE(X714,"~","~~"),"*","~*"),"?","~?")),0)=1,1,""))</f>
        <v/>
      </c>
      <c r="Z714" s="25">
        <f>IF(T714=1,MAX(Z$2:Z713)+1,"")</f>
        <v/>
      </c>
    </row>
    <row r="715">
      <c r="A715">
        <f>IF(A$2=0,"",IFERROR(TRIM(INDEX('Pegar calibracion'!$A$1:$BZ$1001,714,A$2)&amp;""),""))</f>
        <v/>
      </c>
      <c r="B715">
        <f>IF(B$2=0,"",IFERROR(TRIM(INDEX('Pegar calibracion'!$A$1:$BZ$1001,714,B$2)&amp;""),""))</f>
        <v/>
      </c>
      <c r="C715">
        <f>IF(C$2=0,"",IFERROR(TRIM(INDEX('Pegar calibracion'!$A$1:$BZ$1001,714,C$2)&amp;""),""))</f>
        <v/>
      </c>
      <c r="D715">
        <f>IF(D$2=0,"",IFERROR(TRIM(INDEX('Pegar calibracion'!$A$1:$BZ$1001,714,D$2)&amp;""),""))</f>
        <v/>
      </c>
      <c r="E715">
        <f>IF(E$2=0,"",IFERROR(TRIM(INDEX('Pegar calibracion'!$A$1:$BZ$1001,714,E$2)&amp;""),""))</f>
        <v/>
      </c>
      <c r="F715">
        <f>IF(F$2=0,"",IFERROR(TRIM(INDEX('Pegar calibracion'!$A$1:$BZ$1001,714,F$2)&amp;""),""))</f>
        <v/>
      </c>
      <c r="G715">
        <f>IF(G$2=0,"",IFERROR(TRIM(INDEX('Pegar calibracion'!$A$1:$BZ$1001,714,G$2)&amp;""),""))</f>
        <v/>
      </c>
      <c r="H715">
        <f>IF(H$2=0,"",IFERROR(TRIM(INDEX('Pegar calibracion'!$A$1:$BZ$1001,714,H$2)&amp;""),""))</f>
        <v/>
      </c>
      <c r="I715">
        <f>IF(I$2=0,"",IFERROR(TRIM(INDEX('Pegar calibracion'!$A$1:$BZ$1001,714,I$2)&amp;""),""))</f>
        <v/>
      </c>
      <c r="J715">
        <f>IF(J$2=0,"",IFERROR(TRIM(INDEX('Pegar calibracion'!$A$1:$BZ$1001,714,J$2)&amp;""),""))</f>
        <v/>
      </c>
      <c r="K715">
        <f>IF(K$2=0,"",IFERROR(TRIM(INDEX('Pegar calibracion'!$A$1:$BZ$1001,714,K$2)&amp;""),""))</f>
        <v/>
      </c>
      <c r="L715">
        <f>IF(L$2=0,"",IFERROR(TRIM(INDEX('Pegar calibracion'!$A$1:$BZ$1001,714,L$2)&amp;""),""))</f>
        <v/>
      </c>
      <c r="M715" s="25">
        <f>IF(D715="","",SUBSTITUTE(SUBSTITUTE(SUBSTITUTE(SUBSTITUTE(SUBSTITUTE(SUBSTITUTE(SUBSTITUTE(SUBSTITUTE(SUBSTITUTE(SUBSTITUTE(SUBSTITUTE(SUBSTITUTE(LOWER(TRIM(D715)),"á","a"),"é","e"),"í","i"),"ó","o"),"ú","u"),"ü","u"),"ñ","n"),"à","a"),"è","e"),"ì","i"),"ò","o"),"ù","u"))</f>
        <v/>
      </c>
      <c r="N715" s="25">
        <f>IF(F715="","",SUBSTITUTE(SUBSTITUTE(SUBSTITUTE(SUBSTITUTE(SUBSTITUTE(SUBSTITUTE(SUBSTITUTE(SUBSTITUTE(SUBSTITUTE(SUBSTITUTE(SUBSTITUTE(SUBSTITUTE(LOWER(TRIM(F715)),"á","a"),"é","e"),"í","i"),"ó","o"),"ú","u"),"ü","u"),"ñ","n"),"à","a"),"è","e"),"ì","i"),"ò","o"),"ù","u"))</f>
        <v/>
      </c>
      <c r="O715" s="25">
        <f>IF(M715="confiable",2,IF(M715="dudosa",1,IF(M715="no confiable",0,"")))</f>
        <v/>
      </c>
      <c r="P715" s="25">
        <f>IF(N715="confiable",2,IF(N715="dudosa",1,IF(N715="no confiable",0,"")))</f>
        <v/>
      </c>
      <c r="Q715" s="25">
        <f>IF(AND(ISNUMBER(O715),ISNUMBER(P715)),1,"")</f>
        <v/>
      </c>
      <c r="R715" s="25">
        <f>IF(Q715=1,IF(O715=P715,"Sí","No"),"")</f>
        <v/>
      </c>
      <c r="S715" s="25">
        <f>IF(Q715=1,IF(P715&lt;O715,"Más estricto",IF(P715&gt;O715,"Más permisivo","Igual")),"")</f>
        <v/>
      </c>
      <c r="T715" s="25">
        <f>IF(Q715=1,IF(ABS(O715-P715)=2,1,0),"")</f>
        <v/>
      </c>
      <c r="U715" s="25">
        <f>IF(H715="","","|"&amp;SUBSTITUTE(SUBSTITUTE(TRIM(H715)," |","|"),"| ","|")&amp;"|")</f>
        <v/>
      </c>
      <c r="V715" s="25">
        <f>IF(AND(Q715=1,B715&lt;&gt;""),IF(IFERROR(COUNTIFS(B$3:B715,"="&amp;SUBSTITUTE(SUBSTITUTE(SUBSTITUTE(B715,"~","~~"),"*","~*"),"?","~?"),Q$3:Q715,1),0)=1,MAX(V$2:V714)+1,""),"")</f>
        <v/>
      </c>
      <c r="W715" s="25">
        <f>IF(V715="","",COUNTIFS($B$3:$B$1002,"="&amp;SUBSTITUTE(SUBSTITUTE(SUBSTITUTE(B715,"~","~~"),"*","~*"),"?","~?"),$Q$3:$Q$1002,1)*10000-V715)</f>
        <v/>
      </c>
      <c r="X715" s="25">
        <f>IF(Q715=1,IF(SUBSTITUTE(SUBSTITUTE(SUBSTITUTE(SUBSTITUTE(SUBSTITUTE(SUBSTITUTE(SUBSTITUTE(SUBSTITUTE(SUBSTITUTE(SUBSTITUTE(SUBSTITUTE(SUBSTITUTE(LOWER(TRIM(A715)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715)),"á","a"),"é","e"),"í","i"),"ó","o"),"ú","u"),"ü","u"),"ñ","n"),"à","a"),"è","e"),"ì","i"),"ò","o"),"ù","u")),"")</f>
        <v/>
      </c>
      <c r="Y715" s="25">
        <f>IF(X715="","",IF(IFERROR(COUNTIF(X$3:X715,"="&amp;SUBSTITUTE(SUBSTITUTE(SUBSTITUTE(X715,"~","~~"),"*","~*"),"?","~?")),0)=1,1,""))</f>
        <v/>
      </c>
      <c r="Z715" s="25">
        <f>IF(T715=1,MAX(Z$2:Z714)+1,"")</f>
        <v/>
      </c>
    </row>
    <row r="716">
      <c r="A716">
        <f>IF(A$2=0,"",IFERROR(TRIM(INDEX('Pegar calibracion'!$A$1:$BZ$1001,715,A$2)&amp;""),""))</f>
        <v/>
      </c>
      <c r="B716">
        <f>IF(B$2=0,"",IFERROR(TRIM(INDEX('Pegar calibracion'!$A$1:$BZ$1001,715,B$2)&amp;""),""))</f>
        <v/>
      </c>
      <c r="C716">
        <f>IF(C$2=0,"",IFERROR(TRIM(INDEX('Pegar calibracion'!$A$1:$BZ$1001,715,C$2)&amp;""),""))</f>
        <v/>
      </c>
      <c r="D716">
        <f>IF(D$2=0,"",IFERROR(TRIM(INDEX('Pegar calibracion'!$A$1:$BZ$1001,715,D$2)&amp;""),""))</f>
        <v/>
      </c>
      <c r="E716">
        <f>IF(E$2=0,"",IFERROR(TRIM(INDEX('Pegar calibracion'!$A$1:$BZ$1001,715,E$2)&amp;""),""))</f>
        <v/>
      </c>
      <c r="F716">
        <f>IF(F$2=0,"",IFERROR(TRIM(INDEX('Pegar calibracion'!$A$1:$BZ$1001,715,F$2)&amp;""),""))</f>
        <v/>
      </c>
      <c r="G716">
        <f>IF(G$2=0,"",IFERROR(TRIM(INDEX('Pegar calibracion'!$A$1:$BZ$1001,715,G$2)&amp;""),""))</f>
        <v/>
      </c>
      <c r="H716">
        <f>IF(H$2=0,"",IFERROR(TRIM(INDEX('Pegar calibracion'!$A$1:$BZ$1001,715,H$2)&amp;""),""))</f>
        <v/>
      </c>
      <c r="I716">
        <f>IF(I$2=0,"",IFERROR(TRIM(INDEX('Pegar calibracion'!$A$1:$BZ$1001,715,I$2)&amp;""),""))</f>
        <v/>
      </c>
      <c r="J716">
        <f>IF(J$2=0,"",IFERROR(TRIM(INDEX('Pegar calibracion'!$A$1:$BZ$1001,715,J$2)&amp;""),""))</f>
        <v/>
      </c>
      <c r="K716">
        <f>IF(K$2=0,"",IFERROR(TRIM(INDEX('Pegar calibracion'!$A$1:$BZ$1001,715,K$2)&amp;""),""))</f>
        <v/>
      </c>
      <c r="L716">
        <f>IF(L$2=0,"",IFERROR(TRIM(INDEX('Pegar calibracion'!$A$1:$BZ$1001,715,L$2)&amp;""),""))</f>
        <v/>
      </c>
      <c r="M716" s="25">
        <f>IF(D716="","",SUBSTITUTE(SUBSTITUTE(SUBSTITUTE(SUBSTITUTE(SUBSTITUTE(SUBSTITUTE(SUBSTITUTE(SUBSTITUTE(SUBSTITUTE(SUBSTITUTE(SUBSTITUTE(SUBSTITUTE(LOWER(TRIM(D716)),"á","a"),"é","e"),"í","i"),"ó","o"),"ú","u"),"ü","u"),"ñ","n"),"à","a"),"è","e"),"ì","i"),"ò","o"),"ù","u"))</f>
        <v/>
      </c>
      <c r="N716" s="25">
        <f>IF(F716="","",SUBSTITUTE(SUBSTITUTE(SUBSTITUTE(SUBSTITUTE(SUBSTITUTE(SUBSTITUTE(SUBSTITUTE(SUBSTITUTE(SUBSTITUTE(SUBSTITUTE(SUBSTITUTE(SUBSTITUTE(LOWER(TRIM(F716)),"á","a"),"é","e"),"í","i"),"ó","o"),"ú","u"),"ü","u"),"ñ","n"),"à","a"),"è","e"),"ì","i"),"ò","o"),"ù","u"))</f>
        <v/>
      </c>
      <c r="O716" s="25">
        <f>IF(M716="confiable",2,IF(M716="dudosa",1,IF(M716="no confiable",0,"")))</f>
        <v/>
      </c>
      <c r="P716" s="25">
        <f>IF(N716="confiable",2,IF(N716="dudosa",1,IF(N716="no confiable",0,"")))</f>
        <v/>
      </c>
      <c r="Q716" s="25">
        <f>IF(AND(ISNUMBER(O716),ISNUMBER(P716)),1,"")</f>
        <v/>
      </c>
      <c r="R716" s="25">
        <f>IF(Q716=1,IF(O716=P716,"Sí","No"),"")</f>
        <v/>
      </c>
      <c r="S716" s="25">
        <f>IF(Q716=1,IF(P716&lt;O716,"Más estricto",IF(P716&gt;O716,"Más permisivo","Igual")),"")</f>
        <v/>
      </c>
      <c r="T716" s="25">
        <f>IF(Q716=1,IF(ABS(O716-P716)=2,1,0),"")</f>
        <v/>
      </c>
      <c r="U716" s="25">
        <f>IF(H716="","","|"&amp;SUBSTITUTE(SUBSTITUTE(TRIM(H716)," |","|"),"| ","|")&amp;"|")</f>
        <v/>
      </c>
      <c r="V716" s="25">
        <f>IF(AND(Q716=1,B716&lt;&gt;""),IF(IFERROR(COUNTIFS(B$3:B716,"="&amp;SUBSTITUTE(SUBSTITUTE(SUBSTITUTE(B716,"~","~~"),"*","~*"),"?","~?"),Q$3:Q716,1),0)=1,MAX(V$2:V715)+1,""),"")</f>
        <v/>
      </c>
      <c r="W716" s="25">
        <f>IF(V716="","",COUNTIFS($B$3:$B$1002,"="&amp;SUBSTITUTE(SUBSTITUTE(SUBSTITUTE(B716,"~","~~"),"*","~*"),"?","~?"),$Q$3:$Q$1002,1)*10000-V716)</f>
        <v/>
      </c>
      <c r="X716" s="25">
        <f>IF(Q716=1,IF(SUBSTITUTE(SUBSTITUTE(SUBSTITUTE(SUBSTITUTE(SUBSTITUTE(SUBSTITUTE(SUBSTITUTE(SUBSTITUTE(SUBSTITUTE(SUBSTITUTE(SUBSTITUTE(SUBSTITUTE(LOWER(TRIM(A716)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716)),"á","a"),"é","e"),"í","i"),"ó","o"),"ú","u"),"ü","u"),"ñ","n"),"à","a"),"è","e"),"ì","i"),"ò","o"),"ù","u")),"")</f>
        <v/>
      </c>
      <c r="Y716" s="25">
        <f>IF(X716="","",IF(IFERROR(COUNTIF(X$3:X716,"="&amp;SUBSTITUTE(SUBSTITUTE(SUBSTITUTE(X716,"~","~~"),"*","~*"),"?","~?")),0)=1,1,""))</f>
        <v/>
      </c>
      <c r="Z716" s="25">
        <f>IF(T716=1,MAX(Z$2:Z715)+1,"")</f>
        <v/>
      </c>
    </row>
    <row r="717">
      <c r="A717">
        <f>IF(A$2=0,"",IFERROR(TRIM(INDEX('Pegar calibracion'!$A$1:$BZ$1001,716,A$2)&amp;""),""))</f>
        <v/>
      </c>
      <c r="B717">
        <f>IF(B$2=0,"",IFERROR(TRIM(INDEX('Pegar calibracion'!$A$1:$BZ$1001,716,B$2)&amp;""),""))</f>
        <v/>
      </c>
      <c r="C717">
        <f>IF(C$2=0,"",IFERROR(TRIM(INDEX('Pegar calibracion'!$A$1:$BZ$1001,716,C$2)&amp;""),""))</f>
        <v/>
      </c>
      <c r="D717">
        <f>IF(D$2=0,"",IFERROR(TRIM(INDEX('Pegar calibracion'!$A$1:$BZ$1001,716,D$2)&amp;""),""))</f>
        <v/>
      </c>
      <c r="E717">
        <f>IF(E$2=0,"",IFERROR(TRIM(INDEX('Pegar calibracion'!$A$1:$BZ$1001,716,E$2)&amp;""),""))</f>
        <v/>
      </c>
      <c r="F717">
        <f>IF(F$2=0,"",IFERROR(TRIM(INDEX('Pegar calibracion'!$A$1:$BZ$1001,716,F$2)&amp;""),""))</f>
        <v/>
      </c>
      <c r="G717">
        <f>IF(G$2=0,"",IFERROR(TRIM(INDEX('Pegar calibracion'!$A$1:$BZ$1001,716,G$2)&amp;""),""))</f>
        <v/>
      </c>
      <c r="H717">
        <f>IF(H$2=0,"",IFERROR(TRIM(INDEX('Pegar calibracion'!$A$1:$BZ$1001,716,H$2)&amp;""),""))</f>
        <v/>
      </c>
      <c r="I717">
        <f>IF(I$2=0,"",IFERROR(TRIM(INDEX('Pegar calibracion'!$A$1:$BZ$1001,716,I$2)&amp;""),""))</f>
        <v/>
      </c>
      <c r="J717">
        <f>IF(J$2=0,"",IFERROR(TRIM(INDEX('Pegar calibracion'!$A$1:$BZ$1001,716,J$2)&amp;""),""))</f>
        <v/>
      </c>
      <c r="K717">
        <f>IF(K$2=0,"",IFERROR(TRIM(INDEX('Pegar calibracion'!$A$1:$BZ$1001,716,K$2)&amp;""),""))</f>
        <v/>
      </c>
      <c r="L717">
        <f>IF(L$2=0,"",IFERROR(TRIM(INDEX('Pegar calibracion'!$A$1:$BZ$1001,716,L$2)&amp;""),""))</f>
        <v/>
      </c>
      <c r="M717" s="25">
        <f>IF(D717="","",SUBSTITUTE(SUBSTITUTE(SUBSTITUTE(SUBSTITUTE(SUBSTITUTE(SUBSTITUTE(SUBSTITUTE(SUBSTITUTE(SUBSTITUTE(SUBSTITUTE(SUBSTITUTE(SUBSTITUTE(LOWER(TRIM(D717)),"á","a"),"é","e"),"í","i"),"ó","o"),"ú","u"),"ü","u"),"ñ","n"),"à","a"),"è","e"),"ì","i"),"ò","o"),"ù","u"))</f>
        <v/>
      </c>
      <c r="N717" s="25">
        <f>IF(F717="","",SUBSTITUTE(SUBSTITUTE(SUBSTITUTE(SUBSTITUTE(SUBSTITUTE(SUBSTITUTE(SUBSTITUTE(SUBSTITUTE(SUBSTITUTE(SUBSTITUTE(SUBSTITUTE(SUBSTITUTE(LOWER(TRIM(F717)),"á","a"),"é","e"),"í","i"),"ó","o"),"ú","u"),"ü","u"),"ñ","n"),"à","a"),"è","e"),"ì","i"),"ò","o"),"ù","u"))</f>
        <v/>
      </c>
      <c r="O717" s="25">
        <f>IF(M717="confiable",2,IF(M717="dudosa",1,IF(M717="no confiable",0,"")))</f>
        <v/>
      </c>
      <c r="P717" s="25">
        <f>IF(N717="confiable",2,IF(N717="dudosa",1,IF(N717="no confiable",0,"")))</f>
        <v/>
      </c>
      <c r="Q717" s="25">
        <f>IF(AND(ISNUMBER(O717),ISNUMBER(P717)),1,"")</f>
        <v/>
      </c>
      <c r="R717" s="25">
        <f>IF(Q717=1,IF(O717=P717,"Sí","No"),"")</f>
        <v/>
      </c>
      <c r="S717" s="25">
        <f>IF(Q717=1,IF(P717&lt;O717,"Más estricto",IF(P717&gt;O717,"Más permisivo","Igual")),"")</f>
        <v/>
      </c>
      <c r="T717" s="25">
        <f>IF(Q717=1,IF(ABS(O717-P717)=2,1,0),"")</f>
        <v/>
      </c>
      <c r="U717" s="25">
        <f>IF(H717="","","|"&amp;SUBSTITUTE(SUBSTITUTE(TRIM(H717)," |","|"),"| ","|")&amp;"|")</f>
        <v/>
      </c>
      <c r="V717" s="25">
        <f>IF(AND(Q717=1,B717&lt;&gt;""),IF(IFERROR(COUNTIFS(B$3:B717,"="&amp;SUBSTITUTE(SUBSTITUTE(SUBSTITUTE(B717,"~","~~"),"*","~*"),"?","~?"),Q$3:Q717,1),0)=1,MAX(V$2:V716)+1,""),"")</f>
        <v/>
      </c>
      <c r="W717" s="25">
        <f>IF(V717="","",COUNTIFS($B$3:$B$1002,"="&amp;SUBSTITUTE(SUBSTITUTE(SUBSTITUTE(B717,"~","~~"),"*","~*"),"?","~?"),$Q$3:$Q$1002,1)*10000-V717)</f>
        <v/>
      </c>
      <c r="X717" s="25">
        <f>IF(Q717=1,IF(SUBSTITUTE(SUBSTITUTE(SUBSTITUTE(SUBSTITUTE(SUBSTITUTE(SUBSTITUTE(SUBSTITUTE(SUBSTITUTE(SUBSTITUTE(SUBSTITUTE(SUBSTITUTE(SUBSTITUTE(LOWER(TRIM(A717)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717)),"á","a"),"é","e"),"í","i"),"ó","o"),"ú","u"),"ü","u"),"ñ","n"),"à","a"),"è","e"),"ì","i"),"ò","o"),"ù","u")),"")</f>
        <v/>
      </c>
      <c r="Y717" s="25">
        <f>IF(X717="","",IF(IFERROR(COUNTIF(X$3:X717,"="&amp;SUBSTITUTE(SUBSTITUTE(SUBSTITUTE(X717,"~","~~"),"*","~*"),"?","~?")),0)=1,1,""))</f>
        <v/>
      </c>
      <c r="Z717" s="25">
        <f>IF(T717=1,MAX(Z$2:Z716)+1,"")</f>
        <v/>
      </c>
    </row>
    <row r="718">
      <c r="A718">
        <f>IF(A$2=0,"",IFERROR(TRIM(INDEX('Pegar calibracion'!$A$1:$BZ$1001,717,A$2)&amp;""),""))</f>
        <v/>
      </c>
      <c r="B718">
        <f>IF(B$2=0,"",IFERROR(TRIM(INDEX('Pegar calibracion'!$A$1:$BZ$1001,717,B$2)&amp;""),""))</f>
        <v/>
      </c>
      <c r="C718">
        <f>IF(C$2=0,"",IFERROR(TRIM(INDEX('Pegar calibracion'!$A$1:$BZ$1001,717,C$2)&amp;""),""))</f>
        <v/>
      </c>
      <c r="D718">
        <f>IF(D$2=0,"",IFERROR(TRIM(INDEX('Pegar calibracion'!$A$1:$BZ$1001,717,D$2)&amp;""),""))</f>
        <v/>
      </c>
      <c r="E718">
        <f>IF(E$2=0,"",IFERROR(TRIM(INDEX('Pegar calibracion'!$A$1:$BZ$1001,717,E$2)&amp;""),""))</f>
        <v/>
      </c>
      <c r="F718">
        <f>IF(F$2=0,"",IFERROR(TRIM(INDEX('Pegar calibracion'!$A$1:$BZ$1001,717,F$2)&amp;""),""))</f>
        <v/>
      </c>
      <c r="G718">
        <f>IF(G$2=0,"",IFERROR(TRIM(INDEX('Pegar calibracion'!$A$1:$BZ$1001,717,G$2)&amp;""),""))</f>
        <v/>
      </c>
      <c r="H718">
        <f>IF(H$2=0,"",IFERROR(TRIM(INDEX('Pegar calibracion'!$A$1:$BZ$1001,717,H$2)&amp;""),""))</f>
        <v/>
      </c>
      <c r="I718">
        <f>IF(I$2=0,"",IFERROR(TRIM(INDEX('Pegar calibracion'!$A$1:$BZ$1001,717,I$2)&amp;""),""))</f>
        <v/>
      </c>
      <c r="J718">
        <f>IF(J$2=0,"",IFERROR(TRIM(INDEX('Pegar calibracion'!$A$1:$BZ$1001,717,J$2)&amp;""),""))</f>
        <v/>
      </c>
      <c r="K718">
        <f>IF(K$2=0,"",IFERROR(TRIM(INDEX('Pegar calibracion'!$A$1:$BZ$1001,717,K$2)&amp;""),""))</f>
        <v/>
      </c>
      <c r="L718">
        <f>IF(L$2=0,"",IFERROR(TRIM(INDEX('Pegar calibracion'!$A$1:$BZ$1001,717,L$2)&amp;""),""))</f>
        <v/>
      </c>
      <c r="M718" s="25">
        <f>IF(D718="","",SUBSTITUTE(SUBSTITUTE(SUBSTITUTE(SUBSTITUTE(SUBSTITUTE(SUBSTITUTE(SUBSTITUTE(SUBSTITUTE(SUBSTITUTE(SUBSTITUTE(SUBSTITUTE(SUBSTITUTE(LOWER(TRIM(D718)),"á","a"),"é","e"),"í","i"),"ó","o"),"ú","u"),"ü","u"),"ñ","n"),"à","a"),"è","e"),"ì","i"),"ò","o"),"ù","u"))</f>
        <v/>
      </c>
      <c r="N718" s="25">
        <f>IF(F718="","",SUBSTITUTE(SUBSTITUTE(SUBSTITUTE(SUBSTITUTE(SUBSTITUTE(SUBSTITUTE(SUBSTITUTE(SUBSTITUTE(SUBSTITUTE(SUBSTITUTE(SUBSTITUTE(SUBSTITUTE(LOWER(TRIM(F718)),"á","a"),"é","e"),"í","i"),"ó","o"),"ú","u"),"ü","u"),"ñ","n"),"à","a"),"è","e"),"ì","i"),"ò","o"),"ù","u"))</f>
        <v/>
      </c>
      <c r="O718" s="25">
        <f>IF(M718="confiable",2,IF(M718="dudosa",1,IF(M718="no confiable",0,"")))</f>
        <v/>
      </c>
      <c r="P718" s="25">
        <f>IF(N718="confiable",2,IF(N718="dudosa",1,IF(N718="no confiable",0,"")))</f>
        <v/>
      </c>
      <c r="Q718" s="25">
        <f>IF(AND(ISNUMBER(O718),ISNUMBER(P718)),1,"")</f>
        <v/>
      </c>
      <c r="R718" s="25">
        <f>IF(Q718=1,IF(O718=P718,"Sí","No"),"")</f>
        <v/>
      </c>
      <c r="S718" s="25">
        <f>IF(Q718=1,IF(P718&lt;O718,"Más estricto",IF(P718&gt;O718,"Más permisivo","Igual")),"")</f>
        <v/>
      </c>
      <c r="T718" s="25">
        <f>IF(Q718=1,IF(ABS(O718-P718)=2,1,0),"")</f>
        <v/>
      </c>
      <c r="U718" s="25">
        <f>IF(H718="","","|"&amp;SUBSTITUTE(SUBSTITUTE(TRIM(H718)," |","|"),"| ","|")&amp;"|")</f>
        <v/>
      </c>
      <c r="V718" s="25">
        <f>IF(AND(Q718=1,B718&lt;&gt;""),IF(IFERROR(COUNTIFS(B$3:B718,"="&amp;SUBSTITUTE(SUBSTITUTE(SUBSTITUTE(B718,"~","~~"),"*","~*"),"?","~?"),Q$3:Q718,1),0)=1,MAX(V$2:V717)+1,""),"")</f>
        <v/>
      </c>
      <c r="W718" s="25">
        <f>IF(V718="","",COUNTIFS($B$3:$B$1002,"="&amp;SUBSTITUTE(SUBSTITUTE(SUBSTITUTE(B718,"~","~~"),"*","~*"),"?","~?"),$Q$3:$Q$1002,1)*10000-V718)</f>
        <v/>
      </c>
      <c r="X718" s="25">
        <f>IF(Q718=1,IF(SUBSTITUTE(SUBSTITUTE(SUBSTITUTE(SUBSTITUTE(SUBSTITUTE(SUBSTITUTE(SUBSTITUTE(SUBSTITUTE(SUBSTITUTE(SUBSTITUTE(SUBSTITUTE(SUBSTITUTE(LOWER(TRIM(A718)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718)),"á","a"),"é","e"),"í","i"),"ó","o"),"ú","u"),"ü","u"),"ñ","n"),"à","a"),"è","e"),"ì","i"),"ò","o"),"ù","u")),"")</f>
        <v/>
      </c>
      <c r="Y718" s="25">
        <f>IF(X718="","",IF(IFERROR(COUNTIF(X$3:X718,"="&amp;SUBSTITUTE(SUBSTITUTE(SUBSTITUTE(X718,"~","~~"),"*","~*"),"?","~?")),0)=1,1,""))</f>
        <v/>
      </c>
      <c r="Z718" s="25">
        <f>IF(T718=1,MAX(Z$2:Z717)+1,"")</f>
        <v/>
      </c>
    </row>
    <row r="719">
      <c r="A719">
        <f>IF(A$2=0,"",IFERROR(TRIM(INDEX('Pegar calibracion'!$A$1:$BZ$1001,718,A$2)&amp;""),""))</f>
        <v/>
      </c>
      <c r="B719">
        <f>IF(B$2=0,"",IFERROR(TRIM(INDEX('Pegar calibracion'!$A$1:$BZ$1001,718,B$2)&amp;""),""))</f>
        <v/>
      </c>
      <c r="C719">
        <f>IF(C$2=0,"",IFERROR(TRIM(INDEX('Pegar calibracion'!$A$1:$BZ$1001,718,C$2)&amp;""),""))</f>
        <v/>
      </c>
      <c r="D719">
        <f>IF(D$2=0,"",IFERROR(TRIM(INDEX('Pegar calibracion'!$A$1:$BZ$1001,718,D$2)&amp;""),""))</f>
        <v/>
      </c>
      <c r="E719">
        <f>IF(E$2=0,"",IFERROR(TRIM(INDEX('Pegar calibracion'!$A$1:$BZ$1001,718,E$2)&amp;""),""))</f>
        <v/>
      </c>
      <c r="F719">
        <f>IF(F$2=0,"",IFERROR(TRIM(INDEX('Pegar calibracion'!$A$1:$BZ$1001,718,F$2)&amp;""),""))</f>
        <v/>
      </c>
      <c r="G719">
        <f>IF(G$2=0,"",IFERROR(TRIM(INDEX('Pegar calibracion'!$A$1:$BZ$1001,718,G$2)&amp;""),""))</f>
        <v/>
      </c>
      <c r="H719">
        <f>IF(H$2=0,"",IFERROR(TRIM(INDEX('Pegar calibracion'!$A$1:$BZ$1001,718,H$2)&amp;""),""))</f>
        <v/>
      </c>
      <c r="I719">
        <f>IF(I$2=0,"",IFERROR(TRIM(INDEX('Pegar calibracion'!$A$1:$BZ$1001,718,I$2)&amp;""),""))</f>
        <v/>
      </c>
      <c r="J719">
        <f>IF(J$2=0,"",IFERROR(TRIM(INDEX('Pegar calibracion'!$A$1:$BZ$1001,718,J$2)&amp;""),""))</f>
        <v/>
      </c>
      <c r="K719">
        <f>IF(K$2=0,"",IFERROR(TRIM(INDEX('Pegar calibracion'!$A$1:$BZ$1001,718,K$2)&amp;""),""))</f>
        <v/>
      </c>
      <c r="L719">
        <f>IF(L$2=0,"",IFERROR(TRIM(INDEX('Pegar calibracion'!$A$1:$BZ$1001,718,L$2)&amp;""),""))</f>
        <v/>
      </c>
      <c r="M719" s="25">
        <f>IF(D719="","",SUBSTITUTE(SUBSTITUTE(SUBSTITUTE(SUBSTITUTE(SUBSTITUTE(SUBSTITUTE(SUBSTITUTE(SUBSTITUTE(SUBSTITUTE(SUBSTITUTE(SUBSTITUTE(SUBSTITUTE(LOWER(TRIM(D719)),"á","a"),"é","e"),"í","i"),"ó","o"),"ú","u"),"ü","u"),"ñ","n"),"à","a"),"è","e"),"ì","i"),"ò","o"),"ù","u"))</f>
        <v/>
      </c>
      <c r="N719" s="25">
        <f>IF(F719="","",SUBSTITUTE(SUBSTITUTE(SUBSTITUTE(SUBSTITUTE(SUBSTITUTE(SUBSTITUTE(SUBSTITUTE(SUBSTITUTE(SUBSTITUTE(SUBSTITUTE(SUBSTITUTE(SUBSTITUTE(LOWER(TRIM(F719)),"á","a"),"é","e"),"í","i"),"ó","o"),"ú","u"),"ü","u"),"ñ","n"),"à","a"),"è","e"),"ì","i"),"ò","o"),"ù","u"))</f>
        <v/>
      </c>
      <c r="O719" s="25">
        <f>IF(M719="confiable",2,IF(M719="dudosa",1,IF(M719="no confiable",0,"")))</f>
        <v/>
      </c>
      <c r="P719" s="25">
        <f>IF(N719="confiable",2,IF(N719="dudosa",1,IF(N719="no confiable",0,"")))</f>
        <v/>
      </c>
      <c r="Q719" s="25">
        <f>IF(AND(ISNUMBER(O719),ISNUMBER(P719)),1,"")</f>
        <v/>
      </c>
      <c r="R719" s="25">
        <f>IF(Q719=1,IF(O719=P719,"Sí","No"),"")</f>
        <v/>
      </c>
      <c r="S719" s="25">
        <f>IF(Q719=1,IF(P719&lt;O719,"Más estricto",IF(P719&gt;O719,"Más permisivo","Igual")),"")</f>
        <v/>
      </c>
      <c r="T719" s="25">
        <f>IF(Q719=1,IF(ABS(O719-P719)=2,1,0),"")</f>
        <v/>
      </c>
      <c r="U719" s="25">
        <f>IF(H719="","","|"&amp;SUBSTITUTE(SUBSTITUTE(TRIM(H719)," |","|"),"| ","|")&amp;"|")</f>
        <v/>
      </c>
      <c r="V719" s="25">
        <f>IF(AND(Q719=1,B719&lt;&gt;""),IF(IFERROR(COUNTIFS(B$3:B719,"="&amp;SUBSTITUTE(SUBSTITUTE(SUBSTITUTE(B719,"~","~~"),"*","~*"),"?","~?"),Q$3:Q719,1),0)=1,MAX(V$2:V718)+1,""),"")</f>
        <v/>
      </c>
      <c r="W719" s="25">
        <f>IF(V719="","",COUNTIFS($B$3:$B$1002,"="&amp;SUBSTITUTE(SUBSTITUTE(SUBSTITUTE(B719,"~","~~"),"*","~*"),"?","~?"),$Q$3:$Q$1002,1)*10000-V719)</f>
        <v/>
      </c>
      <c r="X719" s="25">
        <f>IF(Q719=1,IF(SUBSTITUTE(SUBSTITUTE(SUBSTITUTE(SUBSTITUTE(SUBSTITUTE(SUBSTITUTE(SUBSTITUTE(SUBSTITUTE(SUBSTITUTE(SUBSTITUTE(SUBSTITUTE(SUBSTITUTE(LOWER(TRIM(A719)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719)),"á","a"),"é","e"),"í","i"),"ó","o"),"ú","u"),"ü","u"),"ñ","n"),"à","a"),"è","e"),"ì","i"),"ò","o"),"ù","u")),"")</f>
        <v/>
      </c>
      <c r="Y719" s="25">
        <f>IF(X719="","",IF(IFERROR(COUNTIF(X$3:X719,"="&amp;SUBSTITUTE(SUBSTITUTE(SUBSTITUTE(X719,"~","~~"),"*","~*"),"?","~?")),0)=1,1,""))</f>
        <v/>
      </c>
      <c r="Z719" s="25">
        <f>IF(T719=1,MAX(Z$2:Z718)+1,"")</f>
        <v/>
      </c>
    </row>
    <row r="720">
      <c r="A720">
        <f>IF(A$2=0,"",IFERROR(TRIM(INDEX('Pegar calibracion'!$A$1:$BZ$1001,719,A$2)&amp;""),""))</f>
        <v/>
      </c>
      <c r="B720">
        <f>IF(B$2=0,"",IFERROR(TRIM(INDEX('Pegar calibracion'!$A$1:$BZ$1001,719,B$2)&amp;""),""))</f>
        <v/>
      </c>
      <c r="C720">
        <f>IF(C$2=0,"",IFERROR(TRIM(INDEX('Pegar calibracion'!$A$1:$BZ$1001,719,C$2)&amp;""),""))</f>
        <v/>
      </c>
      <c r="D720">
        <f>IF(D$2=0,"",IFERROR(TRIM(INDEX('Pegar calibracion'!$A$1:$BZ$1001,719,D$2)&amp;""),""))</f>
        <v/>
      </c>
      <c r="E720">
        <f>IF(E$2=0,"",IFERROR(TRIM(INDEX('Pegar calibracion'!$A$1:$BZ$1001,719,E$2)&amp;""),""))</f>
        <v/>
      </c>
      <c r="F720">
        <f>IF(F$2=0,"",IFERROR(TRIM(INDEX('Pegar calibracion'!$A$1:$BZ$1001,719,F$2)&amp;""),""))</f>
        <v/>
      </c>
      <c r="G720">
        <f>IF(G$2=0,"",IFERROR(TRIM(INDEX('Pegar calibracion'!$A$1:$BZ$1001,719,G$2)&amp;""),""))</f>
        <v/>
      </c>
      <c r="H720">
        <f>IF(H$2=0,"",IFERROR(TRIM(INDEX('Pegar calibracion'!$A$1:$BZ$1001,719,H$2)&amp;""),""))</f>
        <v/>
      </c>
      <c r="I720">
        <f>IF(I$2=0,"",IFERROR(TRIM(INDEX('Pegar calibracion'!$A$1:$BZ$1001,719,I$2)&amp;""),""))</f>
        <v/>
      </c>
      <c r="J720">
        <f>IF(J$2=0,"",IFERROR(TRIM(INDEX('Pegar calibracion'!$A$1:$BZ$1001,719,J$2)&amp;""),""))</f>
        <v/>
      </c>
      <c r="K720">
        <f>IF(K$2=0,"",IFERROR(TRIM(INDEX('Pegar calibracion'!$A$1:$BZ$1001,719,K$2)&amp;""),""))</f>
        <v/>
      </c>
      <c r="L720">
        <f>IF(L$2=0,"",IFERROR(TRIM(INDEX('Pegar calibracion'!$A$1:$BZ$1001,719,L$2)&amp;""),""))</f>
        <v/>
      </c>
      <c r="M720" s="25">
        <f>IF(D720="","",SUBSTITUTE(SUBSTITUTE(SUBSTITUTE(SUBSTITUTE(SUBSTITUTE(SUBSTITUTE(SUBSTITUTE(SUBSTITUTE(SUBSTITUTE(SUBSTITUTE(SUBSTITUTE(SUBSTITUTE(LOWER(TRIM(D720)),"á","a"),"é","e"),"í","i"),"ó","o"),"ú","u"),"ü","u"),"ñ","n"),"à","a"),"è","e"),"ì","i"),"ò","o"),"ù","u"))</f>
        <v/>
      </c>
      <c r="N720" s="25">
        <f>IF(F720="","",SUBSTITUTE(SUBSTITUTE(SUBSTITUTE(SUBSTITUTE(SUBSTITUTE(SUBSTITUTE(SUBSTITUTE(SUBSTITUTE(SUBSTITUTE(SUBSTITUTE(SUBSTITUTE(SUBSTITUTE(LOWER(TRIM(F720)),"á","a"),"é","e"),"í","i"),"ó","o"),"ú","u"),"ü","u"),"ñ","n"),"à","a"),"è","e"),"ì","i"),"ò","o"),"ù","u"))</f>
        <v/>
      </c>
      <c r="O720" s="25">
        <f>IF(M720="confiable",2,IF(M720="dudosa",1,IF(M720="no confiable",0,"")))</f>
        <v/>
      </c>
      <c r="P720" s="25">
        <f>IF(N720="confiable",2,IF(N720="dudosa",1,IF(N720="no confiable",0,"")))</f>
        <v/>
      </c>
      <c r="Q720" s="25">
        <f>IF(AND(ISNUMBER(O720),ISNUMBER(P720)),1,"")</f>
        <v/>
      </c>
      <c r="R720" s="25">
        <f>IF(Q720=1,IF(O720=P720,"Sí","No"),"")</f>
        <v/>
      </c>
      <c r="S720" s="25">
        <f>IF(Q720=1,IF(P720&lt;O720,"Más estricto",IF(P720&gt;O720,"Más permisivo","Igual")),"")</f>
        <v/>
      </c>
      <c r="T720" s="25">
        <f>IF(Q720=1,IF(ABS(O720-P720)=2,1,0),"")</f>
        <v/>
      </c>
      <c r="U720" s="25">
        <f>IF(H720="","","|"&amp;SUBSTITUTE(SUBSTITUTE(TRIM(H720)," |","|"),"| ","|")&amp;"|")</f>
        <v/>
      </c>
      <c r="V720" s="25">
        <f>IF(AND(Q720=1,B720&lt;&gt;""),IF(IFERROR(COUNTIFS(B$3:B720,"="&amp;SUBSTITUTE(SUBSTITUTE(SUBSTITUTE(B720,"~","~~"),"*","~*"),"?","~?"),Q$3:Q720,1),0)=1,MAX(V$2:V719)+1,""),"")</f>
        <v/>
      </c>
      <c r="W720" s="25">
        <f>IF(V720="","",COUNTIFS($B$3:$B$1002,"="&amp;SUBSTITUTE(SUBSTITUTE(SUBSTITUTE(B720,"~","~~"),"*","~*"),"?","~?"),$Q$3:$Q$1002,1)*10000-V720)</f>
        <v/>
      </c>
      <c r="X720" s="25">
        <f>IF(Q720=1,IF(SUBSTITUTE(SUBSTITUTE(SUBSTITUTE(SUBSTITUTE(SUBSTITUTE(SUBSTITUTE(SUBSTITUTE(SUBSTITUTE(SUBSTITUTE(SUBSTITUTE(SUBSTITUTE(SUBSTITUTE(LOWER(TRIM(A720)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720)),"á","a"),"é","e"),"í","i"),"ó","o"),"ú","u"),"ü","u"),"ñ","n"),"à","a"),"è","e"),"ì","i"),"ò","o"),"ù","u")),"")</f>
        <v/>
      </c>
      <c r="Y720" s="25">
        <f>IF(X720="","",IF(IFERROR(COUNTIF(X$3:X720,"="&amp;SUBSTITUTE(SUBSTITUTE(SUBSTITUTE(X720,"~","~~"),"*","~*"),"?","~?")),0)=1,1,""))</f>
        <v/>
      </c>
      <c r="Z720" s="25">
        <f>IF(T720=1,MAX(Z$2:Z719)+1,"")</f>
        <v/>
      </c>
    </row>
    <row r="721">
      <c r="A721">
        <f>IF(A$2=0,"",IFERROR(TRIM(INDEX('Pegar calibracion'!$A$1:$BZ$1001,720,A$2)&amp;""),""))</f>
        <v/>
      </c>
      <c r="B721">
        <f>IF(B$2=0,"",IFERROR(TRIM(INDEX('Pegar calibracion'!$A$1:$BZ$1001,720,B$2)&amp;""),""))</f>
        <v/>
      </c>
      <c r="C721">
        <f>IF(C$2=0,"",IFERROR(TRIM(INDEX('Pegar calibracion'!$A$1:$BZ$1001,720,C$2)&amp;""),""))</f>
        <v/>
      </c>
      <c r="D721">
        <f>IF(D$2=0,"",IFERROR(TRIM(INDEX('Pegar calibracion'!$A$1:$BZ$1001,720,D$2)&amp;""),""))</f>
        <v/>
      </c>
      <c r="E721">
        <f>IF(E$2=0,"",IFERROR(TRIM(INDEX('Pegar calibracion'!$A$1:$BZ$1001,720,E$2)&amp;""),""))</f>
        <v/>
      </c>
      <c r="F721">
        <f>IF(F$2=0,"",IFERROR(TRIM(INDEX('Pegar calibracion'!$A$1:$BZ$1001,720,F$2)&amp;""),""))</f>
        <v/>
      </c>
      <c r="G721">
        <f>IF(G$2=0,"",IFERROR(TRIM(INDEX('Pegar calibracion'!$A$1:$BZ$1001,720,G$2)&amp;""),""))</f>
        <v/>
      </c>
      <c r="H721">
        <f>IF(H$2=0,"",IFERROR(TRIM(INDEX('Pegar calibracion'!$A$1:$BZ$1001,720,H$2)&amp;""),""))</f>
        <v/>
      </c>
      <c r="I721">
        <f>IF(I$2=0,"",IFERROR(TRIM(INDEX('Pegar calibracion'!$A$1:$BZ$1001,720,I$2)&amp;""),""))</f>
        <v/>
      </c>
      <c r="J721">
        <f>IF(J$2=0,"",IFERROR(TRIM(INDEX('Pegar calibracion'!$A$1:$BZ$1001,720,J$2)&amp;""),""))</f>
        <v/>
      </c>
      <c r="K721">
        <f>IF(K$2=0,"",IFERROR(TRIM(INDEX('Pegar calibracion'!$A$1:$BZ$1001,720,K$2)&amp;""),""))</f>
        <v/>
      </c>
      <c r="L721">
        <f>IF(L$2=0,"",IFERROR(TRIM(INDEX('Pegar calibracion'!$A$1:$BZ$1001,720,L$2)&amp;""),""))</f>
        <v/>
      </c>
      <c r="M721" s="25">
        <f>IF(D721="","",SUBSTITUTE(SUBSTITUTE(SUBSTITUTE(SUBSTITUTE(SUBSTITUTE(SUBSTITUTE(SUBSTITUTE(SUBSTITUTE(SUBSTITUTE(SUBSTITUTE(SUBSTITUTE(SUBSTITUTE(LOWER(TRIM(D721)),"á","a"),"é","e"),"í","i"),"ó","o"),"ú","u"),"ü","u"),"ñ","n"),"à","a"),"è","e"),"ì","i"),"ò","o"),"ù","u"))</f>
        <v/>
      </c>
      <c r="N721" s="25">
        <f>IF(F721="","",SUBSTITUTE(SUBSTITUTE(SUBSTITUTE(SUBSTITUTE(SUBSTITUTE(SUBSTITUTE(SUBSTITUTE(SUBSTITUTE(SUBSTITUTE(SUBSTITUTE(SUBSTITUTE(SUBSTITUTE(LOWER(TRIM(F721)),"á","a"),"é","e"),"í","i"),"ó","o"),"ú","u"),"ü","u"),"ñ","n"),"à","a"),"è","e"),"ì","i"),"ò","o"),"ù","u"))</f>
        <v/>
      </c>
      <c r="O721" s="25">
        <f>IF(M721="confiable",2,IF(M721="dudosa",1,IF(M721="no confiable",0,"")))</f>
        <v/>
      </c>
      <c r="P721" s="25">
        <f>IF(N721="confiable",2,IF(N721="dudosa",1,IF(N721="no confiable",0,"")))</f>
        <v/>
      </c>
      <c r="Q721" s="25">
        <f>IF(AND(ISNUMBER(O721),ISNUMBER(P721)),1,"")</f>
        <v/>
      </c>
      <c r="R721" s="25">
        <f>IF(Q721=1,IF(O721=P721,"Sí","No"),"")</f>
        <v/>
      </c>
      <c r="S721" s="25">
        <f>IF(Q721=1,IF(P721&lt;O721,"Más estricto",IF(P721&gt;O721,"Más permisivo","Igual")),"")</f>
        <v/>
      </c>
      <c r="T721" s="25">
        <f>IF(Q721=1,IF(ABS(O721-P721)=2,1,0),"")</f>
        <v/>
      </c>
      <c r="U721" s="25">
        <f>IF(H721="","","|"&amp;SUBSTITUTE(SUBSTITUTE(TRIM(H721)," |","|"),"| ","|")&amp;"|")</f>
        <v/>
      </c>
      <c r="V721" s="25">
        <f>IF(AND(Q721=1,B721&lt;&gt;""),IF(IFERROR(COUNTIFS(B$3:B721,"="&amp;SUBSTITUTE(SUBSTITUTE(SUBSTITUTE(B721,"~","~~"),"*","~*"),"?","~?"),Q$3:Q721,1),0)=1,MAX(V$2:V720)+1,""),"")</f>
        <v/>
      </c>
      <c r="W721" s="25">
        <f>IF(V721="","",COUNTIFS($B$3:$B$1002,"="&amp;SUBSTITUTE(SUBSTITUTE(SUBSTITUTE(B721,"~","~~"),"*","~*"),"?","~?"),$Q$3:$Q$1002,1)*10000-V721)</f>
        <v/>
      </c>
      <c r="X721" s="25">
        <f>IF(Q721=1,IF(SUBSTITUTE(SUBSTITUTE(SUBSTITUTE(SUBSTITUTE(SUBSTITUTE(SUBSTITUTE(SUBSTITUTE(SUBSTITUTE(SUBSTITUTE(SUBSTITUTE(SUBSTITUTE(SUBSTITUTE(LOWER(TRIM(A721)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721)),"á","a"),"é","e"),"í","i"),"ó","o"),"ú","u"),"ü","u"),"ñ","n"),"à","a"),"è","e"),"ì","i"),"ò","o"),"ù","u")),"")</f>
        <v/>
      </c>
      <c r="Y721" s="25">
        <f>IF(X721="","",IF(IFERROR(COUNTIF(X$3:X721,"="&amp;SUBSTITUTE(SUBSTITUTE(SUBSTITUTE(X721,"~","~~"),"*","~*"),"?","~?")),0)=1,1,""))</f>
        <v/>
      </c>
      <c r="Z721" s="25">
        <f>IF(T721=1,MAX(Z$2:Z720)+1,"")</f>
        <v/>
      </c>
    </row>
    <row r="722">
      <c r="A722">
        <f>IF(A$2=0,"",IFERROR(TRIM(INDEX('Pegar calibracion'!$A$1:$BZ$1001,721,A$2)&amp;""),""))</f>
        <v/>
      </c>
      <c r="B722">
        <f>IF(B$2=0,"",IFERROR(TRIM(INDEX('Pegar calibracion'!$A$1:$BZ$1001,721,B$2)&amp;""),""))</f>
        <v/>
      </c>
      <c r="C722">
        <f>IF(C$2=0,"",IFERROR(TRIM(INDEX('Pegar calibracion'!$A$1:$BZ$1001,721,C$2)&amp;""),""))</f>
        <v/>
      </c>
      <c r="D722">
        <f>IF(D$2=0,"",IFERROR(TRIM(INDEX('Pegar calibracion'!$A$1:$BZ$1001,721,D$2)&amp;""),""))</f>
        <v/>
      </c>
      <c r="E722">
        <f>IF(E$2=0,"",IFERROR(TRIM(INDEX('Pegar calibracion'!$A$1:$BZ$1001,721,E$2)&amp;""),""))</f>
        <v/>
      </c>
      <c r="F722">
        <f>IF(F$2=0,"",IFERROR(TRIM(INDEX('Pegar calibracion'!$A$1:$BZ$1001,721,F$2)&amp;""),""))</f>
        <v/>
      </c>
      <c r="G722">
        <f>IF(G$2=0,"",IFERROR(TRIM(INDEX('Pegar calibracion'!$A$1:$BZ$1001,721,G$2)&amp;""),""))</f>
        <v/>
      </c>
      <c r="H722">
        <f>IF(H$2=0,"",IFERROR(TRIM(INDEX('Pegar calibracion'!$A$1:$BZ$1001,721,H$2)&amp;""),""))</f>
        <v/>
      </c>
      <c r="I722">
        <f>IF(I$2=0,"",IFERROR(TRIM(INDEX('Pegar calibracion'!$A$1:$BZ$1001,721,I$2)&amp;""),""))</f>
        <v/>
      </c>
      <c r="J722">
        <f>IF(J$2=0,"",IFERROR(TRIM(INDEX('Pegar calibracion'!$A$1:$BZ$1001,721,J$2)&amp;""),""))</f>
        <v/>
      </c>
      <c r="K722">
        <f>IF(K$2=0,"",IFERROR(TRIM(INDEX('Pegar calibracion'!$A$1:$BZ$1001,721,K$2)&amp;""),""))</f>
        <v/>
      </c>
      <c r="L722">
        <f>IF(L$2=0,"",IFERROR(TRIM(INDEX('Pegar calibracion'!$A$1:$BZ$1001,721,L$2)&amp;""),""))</f>
        <v/>
      </c>
      <c r="M722" s="25">
        <f>IF(D722="","",SUBSTITUTE(SUBSTITUTE(SUBSTITUTE(SUBSTITUTE(SUBSTITUTE(SUBSTITUTE(SUBSTITUTE(SUBSTITUTE(SUBSTITUTE(SUBSTITUTE(SUBSTITUTE(SUBSTITUTE(LOWER(TRIM(D722)),"á","a"),"é","e"),"í","i"),"ó","o"),"ú","u"),"ü","u"),"ñ","n"),"à","a"),"è","e"),"ì","i"),"ò","o"),"ù","u"))</f>
        <v/>
      </c>
      <c r="N722" s="25">
        <f>IF(F722="","",SUBSTITUTE(SUBSTITUTE(SUBSTITUTE(SUBSTITUTE(SUBSTITUTE(SUBSTITUTE(SUBSTITUTE(SUBSTITUTE(SUBSTITUTE(SUBSTITUTE(SUBSTITUTE(SUBSTITUTE(LOWER(TRIM(F722)),"á","a"),"é","e"),"í","i"),"ó","o"),"ú","u"),"ü","u"),"ñ","n"),"à","a"),"è","e"),"ì","i"),"ò","o"),"ù","u"))</f>
        <v/>
      </c>
      <c r="O722" s="25">
        <f>IF(M722="confiable",2,IF(M722="dudosa",1,IF(M722="no confiable",0,"")))</f>
        <v/>
      </c>
      <c r="P722" s="25">
        <f>IF(N722="confiable",2,IF(N722="dudosa",1,IF(N722="no confiable",0,"")))</f>
        <v/>
      </c>
      <c r="Q722" s="25">
        <f>IF(AND(ISNUMBER(O722),ISNUMBER(P722)),1,"")</f>
        <v/>
      </c>
      <c r="R722" s="25">
        <f>IF(Q722=1,IF(O722=P722,"Sí","No"),"")</f>
        <v/>
      </c>
      <c r="S722" s="25">
        <f>IF(Q722=1,IF(P722&lt;O722,"Más estricto",IF(P722&gt;O722,"Más permisivo","Igual")),"")</f>
        <v/>
      </c>
      <c r="T722" s="25">
        <f>IF(Q722=1,IF(ABS(O722-P722)=2,1,0),"")</f>
        <v/>
      </c>
      <c r="U722" s="25">
        <f>IF(H722="","","|"&amp;SUBSTITUTE(SUBSTITUTE(TRIM(H722)," |","|"),"| ","|")&amp;"|")</f>
        <v/>
      </c>
      <c r="V722" s="25">
        <f>IF(AND(Q722=1,B722&lt;&gt;""),IF(IFERROR(COUNTIFS(B$3:B722,"="&amp;SUBSTITUTE(SUBSTITUTE(SUBSTITUTE(B722,"~","~~"),"*","~*"),"?","~?"),Q$3:Q722,1),0)=1,MAX(V$2:V721)+1,""),"")</f>
        <v/>
      </c>
      <c r="W722" s="25">
        <f>IF(V722="","",COUNTIFS($B$3:$B$1002,"="&amp;SUBSTITUTE(SUBSTITUTE(SUBSTITUTE(B722,"~","~~"),"*","~*"),"?","~?"),$Q$3:$Q$1002,1)*10000-V722)</f>
        <v/>
      </c>
      <c r="X722" s="25">
        <f>IF(Q722=1,IF(SUBSTITUTE(SUBSTITUTE(SUBSTITUTE(SUBSTITUTE(SUBSTITUTE(SUBSTITUTE(SUBSTITUTE(SUBSTITUTE(SUBSTITUTE(SUBSTITUTE(SUBSTITUTE(SUBSTITUTE(LOWER(TRIM(A722)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722)),"á","a"),"é","e"),"í","i"),"ó","o"),"ú","u"),"ü","u"),"ñ","n"),"à","a"),"è","e"),"ì","i"),"ò","o"),"ù","u")),"")</f>
        <v/>
      </c>
      <c r="Y722" s="25">
        <f>IF(X722="","",IF(IFERROR(COUNTIF(X$3:X722,"="&amp;SUBSTITUTE(SUBSTITUTE(SUBSTITUTE(X722,"~","~~"),"*","~*"),"?","~?")),0)=1,1,""))</f>
        <v/>
      </c>
      <c r="Z722" s="25">
        <f>IF(T722=1,MAX(Z$2:Z721)+1,"")</f>
        <v/>
      </c>
    </row>
    <row r="723">
      <c r="A723">
        <f>IF(A$2=0,"",IFERROR(TRIM(INDEX('Pegar calibracion'!$A$1:$BZ$1001,722,A$2)&amp;""),""))</f>
        <v/>
      </c>
      <c r="B723">
        <f>IF(B$2=0,"",IFERROR(TRIM(INDEX('Pegar calibracion'!$A$1:$BZ$1001,722,B$2)&amp;""),""))</f>
        <v/>
      </c>
      <c r="C723">
        <f>IF(C$2=0,"",IFERROR(TRIM(INDEX('Pegar calibracion'!$A$1:$BZ$1001,722,C$2)&amp;""),""))</f>
        <v/>
      </c>
      <c r="D723">
        <f>IF(D$2=0,"",IFERROR(TRIM(INDEX('Pegar calibracion'!$A$1:$BZ$1001,722,D$2)&amp;""),""))</f>
        <v/>
      </c>
      <c r="E723">
        <f>IF(E$2=0,"",IFERROR(TRIM(INDEX('Pegar calibracion'!$A$1:$BZ$1001,722,E$2)&amp;""),""))</f>
        <v/>
      </c>
      <c r="F723">
        <f>IF(F$2=0,"",IFERROR(TRIM(INDEX('Pegar calibracion'!$A$1:$BZ$1001,722,F$2)&amp;""),""))</f>
        <v/>
      </c>
      <c r="G723">
        <f>IF(G$2=0,"",IFERROR(TRIM(INDEX('Pegar calibracion'!$A$1:$BZ$1001,722,G$2)&amp;""),""))</f>
        <v/>
      </c>
      <c r="H723">
        <f>IF(H$2=0,"",IFERROR(TRIM(INDEX('Pegar calibracion'!$A$1:$BZ$1001,722,H$2)&amp;""),""))</f>
        <v/>
      </c>
      <c r="I723">
        <f>IF(I$2=0,"",IFERROR(TRIM(INDEX('Pegar calibracion'!$A$1:$BZ$1001,722,I$2)&amp;""),""))</f>
        <v/>
      </c>
      <c r="J723">
        <f>IF(J$2=0,"",IFERROR(TRIM(INDEX('Pegar calibracion'!$A$1:$BZ$1001,722,J$2)&amp;""),""))</f>
        <v/>
      </c>
      <c r="K723">
        <f>IF(K$2=0,"",IFERROR(TRIM(INDEX('Pegar calibracion'!$A$1:$BZ$1001,722,K$2)&amp;""),""))</f>
        <v/>
      </c>
      <c r="L723">
        <f>IF(L$2=0,"",IFERROR(TRIM(INDEX('Pegar calibracion'!$A$1:$BZ$1001,722,L$2)&amp;""),""))</f>
        <v/>
      </c>
      <c r="M723" s="25">
        <f>IF(D723="","",SUBSTITUTE(SUBSTITUTE(SUBSTITUTE(SUBSTITUTE(SUBSTITUTE(SUBSTITUTE(SUBSTITUTE(SUBSTITUTE(SUBSTITUTE(SUBSTITUTE(SUBSTITUTE(SUBSTITUTE(LOWER(TRIM(D723)),"á","a"),"é","e"),"í","i"),"ó","o"),"ú","u"),"ü","u"),"ñ","n"),"à","a"),"è","e"),"ì","i"),"ò","o"),"ù","u"))</f>
        <v/>
      </c>
      <c r="N723" s="25">
        <f>IF(F723="","",SUBSTITUTE(SUBSTITUTE(SUBSTITUTE(SUBSTITUTE(SUBSTITUTE(SUBSTITUTE(SUBSTITUTE(SUBSTITUTE(SUBSTITUTE(SUBSTITUTE(SUBSTITUTE(SUBSTITUTE(LOWER(TRIM(F723)),"á","a"),"é","e"),"í","i"),"ó","o"),"ú","u"),"ü","u"),"ñ","n"),"à","a"),"è","e"),"ì","i"),"ò","o"),"ù","u"))</f>
        <v/>
      </c>
      <c r="O723" s="25">
        <f>IF(M723="confiable",2,IF(M723="dudosa",1,IF(M723="no confiable",0,"")))</f>
        <v/>
      </c>
      <c r="P723" s="25">
        <f>IF(N723="confiable",2,IF(N723="dudosa",1,IF(N723="no confiable",0,"")))</f>
        <v/>
      </c>
      <c r="Q723" s="25">
        <f>IF(AND(ISNUMBER(O723),ISNUMBER(P723)),1,"")</f>
        <v/>
      </c>
      <c r="R723" s="25">
        <f>IF(Q723=1,IF(O723=P723,"Sí","No"),"")</f>
        <v/>
      </c>
      <c r="S723" s="25">
        <f>IF(Q723=1,IF(P723&lt;O723,"Más estricto",IF(P723&gt;O723,"Más permisivo","Igual")),"")</f>
        <v/>
      </c>
      <c r="T723" s="25">
        <f>IF(Q723=1,IF(ABS(O723-P723)=2,1,0),"")</f>
        <v/>
      </c>
      <c r="U723" s="25">
        <f>IF(H723="","","|"&amp;SUBSTITUTE(SUBSTITUTE(TRIM(H723)," |","|"),"| ","|")&amp;"|")</f>
        <v/>
      </c>
      <c r="V723" s="25">
        <f>IF(AND(Q723=1,B723&lt;&gt;""),IF(IFERROR(COUNTIFS(B$3:B723,"="&amp;SUBSTITUTE(SUBSTITUTE(SUBSTITUTE(B723,"~","~~"),"*","~*"),"?","~?"),Q$3:Q723,1),0)=1,MAX(V$2:V722)+1,""),"")</f>
        <v/>
      </c>
      <c r="W723" s="25">
        <f>IF(V723="","",COUNTIFS($B$3:$B$1002,"="&amp;SUBSTITUTE(SUBSTITUTE(SUBSTITUTE(B723,"~","~~"),"*","~*"),"?","~?"),$Q$3:$Q$1002,1)*10000-V723)</f>
        <v/>
      </c>
      <c r="X723" s="25">
        <f>IF(Q723=1,IF(SUBSTITUTE(SUBSTITUTE(SUBSTITUTE(SUBSTITUTE(SUBSTITUTE(SUBSTITUTE(SUBSTITUTE(SUBSTITUTE(SUBSTITUTE(SUBSTITUTE(SUBSTITUTE(SUBSTITUTE(LOWER(TRIM(A723)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723)),"á","a"),"é","e"),"í","i"),"ó","o"),"ú","u"),"ü","u"),"ñ","n"),"à","a"),"è","e"),"ì","i"),"ò","o"),"ù","u")),"")</f>
        <v/>
      </c>
      <c r="Y723" s="25">
        <f>IF(X723="","",IF(IFERROR(COUNTIF(X$3:X723,"="&amp;SUBSTITUTE(SUBSTITUTE(SUBSTITUTE(X723,"~","~~"),"*","~*"),"?","~?")),0)=1,1,""))</f>
        <v/>
      </c>
      <c r="Z723" s="25">
        <f>IF(T723=1,MAX(Z$2:Z722)+1,"")</f>
        <v/>
      </c>
    </row>
    <row r="724">
      <c r="A724">
        <f>IF(A$2=0,"",IFERROR(TRIM(INDEX('Pegar calibracion'!$A$1:$BZ$1001,723,A$2)&amp;""),""))</f>
        <v/>
      </c>
      <c r="B724">
        <f>IF(B$2=0,"",IFERROR(TRIM(INDEX('Pegar calibracion'!$A$1:$BZ$1001,723,B$2)&amp;""),""))</f>
        <v/>
      </c>
      <c r="C724">
        <f>IF(C$2=0,"",IFERROR(TRIM(INDEX('Pegar calibracion'!$A$1:$BZ$1001,723,C$2)&amp;""),""))</f>
        <v/>
      </c>
      <c r="D724">
        <f>IF(D$2=0,"",IFERROR(TRIM(INDEX('Pegar calibracion'!$A$1:$BZ$1001,723,D$2)&amp;""),""))</f>
        <v/>
      </c>
      <c r="E724">
        <f>IF(E$2=0,"",IFERROR(TRIM(INDEX('Pegar calibracion'!$A$1:$BZ$1001,723,E$2)&amp;""),""))</f>
        <v/>
      </c>
      <c r="F724">
        <f>IF(F$2=0,"",IFERROR(TRIM(INDEX('Pegar calibracion'!$A$1:$BZ$1001,723,F$2)&amp;""),""))</f>
        <v/>
      </c>
      <c r="G724">
        <f>IF(G$2=0,"",IFERROR(TRIM(INDEX('Pegar calibracion'!$A$1:$BZ$1001,723,G$2)&amp;""),""))</f>
        <v/>
      </c>
      <c r="H724">
        <f>IF(H$2=0,"",IFERROR(TRIM(INDEX('Pegar calibracion'!$A$1:$BZ$1001,723,H$2)&amp;""),""))</f>
        <v/>
      </c>
      <c r="I724">
        <f>IF(I$2=0,"",IFERROR(TRIM(INDEX('Pegar calibracion'!$A$1:$BZ$1001,723,I$2)&amp;""),""))</f>
        <v/>
      </c>
      <c r="J724">
        <f>IF(J$2=0,"",IFERROR(TRIM(INDEX('Pegar calibracion'!$A$1:$BZ$1001,723,J$2)&amp;""),""))</f>
        <v/>
      </c>
      <c r="K724">
        <f>IF(K$2=0,"",IFERROR(TRIM(INDEX('Pegar calibracion'!$A$1:$BZ$1001,723,K$2)&amp;""),""))</f>
        <v/>
      </c>
      <c r="L724">
        <f>IF(L$2=0,"",IFERROR(TRIM(INDEX('Pegar calibracion'!$A$1:$BZ$1001,723,L$2)&amp;""),""))</f>
        <v/>
      </c>
      <c r="M724" s="25">
        <f>IF(D724="","",SUBSTITUTE(SUBSTITUTE(SUBSTITUTE(SUBSTITUTE(SUBSTITUTE(SUBSTITUTE(SUBSTITUTE(SUBSTITUTE(SUBSTITUTE(SUBSTITUTE(SUBSTITUTE(SUBSTITUTE(LOWER(TRIM(D724)),"á","a"),"é","e"),"í","i"),"ó","o"),"ú","u"),"ü","u"),"ñ","n"),"à","a"),"è","e"),"ì","i"),"ò","o"),"ù","u"))</f>
        <v/>
      </c>
      <c r="N724" s="25">
        <f>IF(F724="","",SUBSTITUTE(SUBSTITUTE(SUBSTITUTE(SUBSTITUTE(SUBSTITUTE(SUBSTITUTE(SUBSTITUTE(SUBSTITUTE(SUBSTITUTE(SUBSTITUTE(SUBSTITUTE(SUBSTITUTE(LOWER(TRIM(F724)),"á","a"),"é","e"),"í","i"),"ó","o"),"ú","u"),"ü","u"),"ñ","n"),"à","a"),"è","e"),"ì","i"),"ò","o"),"ù","u"))</f>
        <v/>
      </c>
      <c r="O724" s="25">
        <f>IF(M724="confiable",2,IF(M724="dudosa",1,IF(M724="no confiable",0,"")))</f>
        <v/>
      </c>
      <c r="P724" s="25">
        <f>IF(N724="confiable",2,IF(N724="dudosa",1,IF(N724="no confiable",0,"")))</f>
        <v/>
      </c>
      <c r="Q724" s="25">
        <f>IF(AND(ISNUMBER(O724),ISNUMBER(P724)),1,"")</f>
        <v/>
      </c>
      <c r="R724" s="25">
        <f>IF(Q724=1,IF(O724=P724,"Sí","No"),"")</f>
        <v/>
      </c>
      <c r="S724" s="25">
        <f>IF(Q724=1,IF(P724&lt;O724,"Más estricto",IF(P724&gt;O724,"Más permisivo","Igual")),"")</f>
        <v/>
      </c>
      <c r="T724" s="25">
        <f>IF(Q724=1,IF(ABS(O724-P724)=2,1,0),"")</f>
        <v/>
      </c>
      <c r="U724" s="25">
        <f>IF(H724="","","|"&amp;SUBSTITUTE(SUBSTITUTE(TRIM(H724)," |","|"),"| ","|")&amp;"|")</f>
        <v/>
      </c>
      <c r="V724" s="25">
        <f>IF(AND(Q724=1,B724&lt;&gt;""),IF(IFERROR(COUNTIFS(B$3:B724,"="&amp;SUBSTITUTE(SUBSTITUTE(SUBSTITUTE(B724,"~","~~"),"*","~*"),"?","~?"),Q$3:Q724,1),0)=1,MAX(V$2:V723)+1,""),"")</f>
        <v/>
      </c>
      <c r="W724" s="25">
        <f>IF(V724="","",COUNTIFS($B$3:$B$1002,"="&amp;SUBSTITUTE(SUBSTITUTE(SUBSTITUTE(B724,"~","~~"),"*","~*"),"?","~?"),$Q$3:$Q$1002,1)*10000-V724)</f>
        <v/>
      </c>
      <c r="X724" s="25">
        <f>IF(Q724=1,IF(SUBSTITUTE(SUBSTITUTE(SUBSTITUTE(SUBSTITUTE(SUBSTITUTE(SUBSTITUTE(SUBSTITUTE(SUBSTITUTE(SUBSTITUTE(SUBSTITUTE(SUBSTITUTE(SUBSTITUTE(LOWER(TRIM(A724)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724)),"á","a"),"é","e"),"í","i"),"ó","o"),"ú","u"),"ü","u"),"ñ","n"),"à","a"),"è","e"),"ì","i"),"ò","o"),"ù","u")),"")</f>
        <v/>
      </c>
      <c r="Y724" s="25">
        <f>IF(X724="","",IF(IFERROR(COUNTIF(X$3:X724,"="&amp;SUBSTITUTE(SUBSTITUTE(SUBSTITUTE(X724,"~","~~"),"*","~*"),"?","~?")),0)=1,1,""))</f>
        <v/>
      </c>
      <c r="Z724" s="25">
        <f>IF(T724=1,MAX(Z$2:Z723)+1,"")</f>
        <v/>
      </c>
    </row>
    <row r="725">
      <c r="A725">
        <f>IF(A$2=0,"",IFERROR(TRIM(INDEX('Pegar calibracion'!$A$1:$BZ$1001,724,A$2)&amp;""),""))</f>
        <v/>
      </c>
      <c r="B725">
        <f>IF(B$2=0,"",IFERROR(TRIM(INDEX('Pegar calibracion'!$A$1:$BZ$1001,724,B$2)&amp;""),""))</f>
        <v/>
      </c>
      <c r="C725">
        <f>IF(C$2=0,"",IFERROR(TRIM(INDEX('Pegar calibracion'!$A$1:$BZ$1001,724,C$2)&amp;""),""))</f>
        <v/>
      </c>
      <c r="D725">
        <f>IF(D$2=0,"",IFERROR(TRIM(INDEX('Pegar calibracion'!$A$1:$BZ$1001,724,D$2)&amp;""),""))</f>
        <v/>
      </c>
      <c r="E725">
        <f>IF(E$2=0,"",IFERROR(TRIM(INDEX('Pegar calibracion'!$A$1:$BZ$1001,724,E$2)&amp;""),""))</f>
        <v/>
      </c>
      <c r="F725">
        <f>IF(F$2=0,"",IFERROR(TRIM(INDEX('Pegar calibracion'!$A$1:$BZ$1001,724,F$2)&amp;""),""))</f>
        <v/>
      </c>
      <c r="G725">
        <f>IF(G$2=0,"",IFERROR(TRIM(INDEX('Pegar calibracion'!$A$1:$BZ$1001,724,G$2)&amp;""),""))</f>
        <v/>
      </c>
      <c r="H725">
        <f>IF(H$2=0,"",IFERROR(TRIM(INDEX('Pegar calibracion'!$A$1:$BZ$1001,724,H$2)&amp;""),""))</f>
        <v/>
      </c>
      <c r="I725">
        <f>IF(I$2=0,"",IFERROR(TRIM(INDEX('Pegar calibracion'!$A$1:$BZ$1001,724,I$2)&amp;""),""))</f>
        <v/>
      </c>
      <c r="J725">
        <f>IF(J$2=0,"",IFERROR(TRIM(INDEX('Pegar calibracion'!$A$1:$BZ$1001,724,J$2)&amp;""),""))</f>
        <v/>
      </c>
      <c r="K725">
        <f>IF(K$2=0,"",IFERROR(TRIM(INDEX('Pegar calibracion'!$A$1:$BZ$1001,724,K$2)&amp;""),""))</f>
        <v/>
      </c>
      <c r="L725">
        <f>IF(L$2=0,"",IFERROR(TRIM(INDEX('Pegar calibracion'!$A$1:$BZ$1001,724,L$2)&amp;""),""))</f>
        <v/>
      </c>
      <c r="M725" s="25">
        <f>IF(D725="","",SUBSTITUTE(SUBSTITUTE(SUBSTITUTE(SUBSTITUTE(SUBSTITUTE(SUBSTITUTE(SUBSTITUTE(SUBSTITUTE(SUBSTITUTE(SUBSTITUTE(SUBSTITUTE(SUBSTITUTE(LOWER(TRIM(D725)),"á","a"),"é","e"),"í","i"),"ó","o"),"ú","u"),"ü","u"),"ñ","n"),"à","a"),"è","e"),"ì","i"),"ò","o"),"ù","u"))</f>
        <v/>
      </c>
      <c r="N725" s="25">
        <f>IF(F725="","",SUBSTITUTE(SUBSTITUTE(SUBSTITUTE(SUBSTITUTE(SUBSTITUTE(SUBSTITUTE(SUBSTITUTE(SUBSTITUTE(SUBSTITUTE(SUBSTITUTE(SUBSTITUTE(SUBSTITUTE(LOWER(TRIM(F725)),"á","a"),"é","e"),"í","i"),"ó","o"),"ú","u"),"ü","u"),"ñ","n"),"à","a"),"è","e"),"ì","i"),"ò","o"),"ù","u"))</f>
        <v/>
      </c>
      <c r="O725" s="25">
        <f>IF(M725="confiable",2,IF(M725="dudosa",1,IF(M725="no confiable",0,"")))</f>
        <v/>
      </c>
      <c r="P725" s="25">
        <f>IF(N725="confiable",2,IF(N725="dudosa",1,IF(N725="no confiable",0,"")))</f>
        <v/>
      </c>
      <c r="Q725" s="25">
        <f>IF(AND(ISNUMBER(O725),ISNUMBER(P725)),1,"")</f>
        <v/>
      </c>
      <c r="R725" s="25">
        <f>IF(Q725=1,IF(O725=P725,"Sí","No"),"")</f>
        <v/>
      </c>
      <c r="S725" s="25">
        <f>IF(Q725=1,IF(P725&lt;O725,"Más estricto",IF(P725&gt;O725,"Más permisivo","Igual")),"")</f>
        <v/>
      </c>
      <c r="T725" s="25">
        <f>IF(Q725=1,IF(ABS(O725-P725)=2,1,0),"")</f>
        <v/>
      </c>
      <c r="U725" s="25">
        <f>IF(H725="","","|"&amp;SUBSTITUTE(SUBSTITUTE(TRIM(H725)," |","|"),"| ","|")&amp;"|")</f>
        <v/>
      </c>
      <c r="V725" s="25">
        <f>IF(AND(Q725=1,B725&lt;&gt;""),IF(IFERROR(COUNTIFS(B$3:B725,"="&amp;SUBSTITUTE(SUBSTITUTE(SUBSTITUTE(B725,"~","~~"),"*","~*"),"?","~?"),Q$3:Q725,1),0)=1,MAX(V$2:V724)+1,""),"")</f>
        <v/>
      </c>
      <c r="W725" s="25">
        <f>IF(V725="","",COUNTIFS($B$3:$B$1002,"="&amp;SUBSTITUTE(SUBSTITUTE(SUBSTITUTE(B725,"~","~~"),"*","~*"),"?","~?"),$Q$3:$Q$1002,1)*10000-V725)</f>
        <v/>
      </c>
      <c r="X725" s="25">
        <f>IF(Q725=1,IF(SUBSTITUTE(SUBSTITUTE(SUBSTITUTE(SUBSTITUTE(SUBSTITUTE(SUBSTITUTE(SUBSTITUTE(SUBSTITUTE(SUBSTITUTE(SUBSTITUTE(SUBSTITUTE(SUBSTITUTE(LOWER(TRIM(A725)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725)),"á","a"),"é","e"),"í","i"),"ó","o"),"ú","u"),"ü","u"),"ñ","n"),"à","a"),"è","e"),"ì","i"),"ò","o"),"ù","u")),"")</f>
        <v/>
      </c>
      <c r="Y725" s="25">
        <f>IF(X725="","",IF(IFERROR(COUNTIF(X$3:X725,"="&amp;SUBSTITUTE(SUBSTITUTE(SUBSTITUTE(X725,"~","~~"),"*","~*"),"?","~?")),0)=1,1,""))</f>
        <v/>
      </c>
      <c r="Z725" s="25">
        <f>IF(T725=1,MAX(Z$2:Z724)+1,"")</f>
        <v/>
      </c>
    </row>
    <row r="726">
      <c r="A726">
        <f>IF(A$2=0,"",IFERROR(TRIM(INDEX('Pegar calibracion'!$A$1:$BZ$1001,725,A$2)&amp;""),""))</f>
        <v/>
      </c>
      <c r="B726">
        <f>IF(B$2=0,"",IFERROR(TRIM(INDEX('Pegar calibracion'!$A$1:$BZ$1001,725,B$2)&amp;""),""))</f>
        <v/>
      </c>
      <c r="C726">
        <f>IF(C$2=0,"",IFERROR(TRIM(INDEX('Pegar calibracion'!$A$1:$BZ$1001,725,C$2)&amp;""),""))</f>
        <v/>
      </c>
      <c r="D726">
        <f>IF(D$2=0,"",IFERROR(TRIM(INDEX('Pegar calibracion'!$A$1:$BZ$1001,725,D$2)&amp;""),""))</f>
        <v/>
      </c>
      <c r="E726">
        <f>IF(E$2=0,"",IFERROR(TRIM(INDEX('Pegar calibracion'!$A$1:$BZ$1001,725,E$2)&amp;""),""))</f>
        <v/>
      </c>
      <c r="F726">
        <f>IF(F$2=0,"",IFERROR(TRIM(INDEX('Pegar calibracion'!$A$1:$BZ$1001,725,F$2)&amp;""),""))</f>
        <v/>
      </c>
      <c r="G726">
        <f>IF(G$2=0,"",IFERROR(TRIM(INDEX('Pegar calibracion'!$A$1:$BZ$1001,725,G$2)&amp;""),""))</f>
        <v/>
      </c>
      <c r="H726">
        <f>IF(H$2=0,"",IFERROR(TRIM(INDEX('Pegar calibracion'!$A$1:$BZ$1001,725,H$2)&amp;""),""))</f>
        <v/>
      </c>
      <c r="I726">
        <f>IF(I$2=0,"",IFERROR(TRIM(INDEX('Pegar calibracion'!$A$1:$BZ$1001,725,I$2)&amp;""),""))</f>
        <v/>
      </c>
      <c r="J726">
        <f>IF(J$2=0,"",IFERROR(TRIM(INDEX('Pegar calibracion'!$A$1:$BZ$1001,725,J$2)&amp;""),""))</f>
        <v/>
      </c>
      <c r="K726">
        <f>IF(K$2=0,"",IFERROR(TRIM(INDEX('Pegar calibracion'!$A$1:$BZ$1001,725,K$2)&amp;""),""))</f>
        <v/>
      </c>
      <c r="L726">
        <f>IF(L$2=0,"",IFERROR(TRIM(INDEX('Pegar calibracion'!$A$1:$BZ$1001,725,L$2)&amp;""),""))</f>
        <v/>
      </c>
      <c r="M726" s="25">
        <f>IF(D726="","",SUBSTITUTE(SUBSTITUTE(SUBSTITUTE(SUBSTITUTE(SUBSTITUTE(SUBSTITUTE(SUBSTITUTE(SUBSTITUTE(SUBSTITUTE(SUBSTITUTE(SUBSTITUTE(SUBSTITUTE(LOWER(TRIM(D726)),"á","a"),"é","e"),"í","i"),"ó","o"),"ú","u"),"ü","u"),"ñ","n"),"à","a"),"è","e"),"ì","i"),"ò","o"),"ù","u"))</f>
        <v/>
      </c>
      <c r="N726" s="25">
        <f>IF(F726="","",SUBSTITUTE(SUBSTITUTE(SUBSTITUTE(SUBSTITUTE(SUBSTITUTE(SUBSTITUTE(SUBSTITUTE(SUBSTITUTE(SUBSTITUTE(SUBSTITUTE(SUBSTITUTE(SUBSTITUTE(LOWER(TRIM(F726)),"á","a"),"é","e"),"í","i"),"ó","o"),"ú","u"),"ü","u"),"ñ","n"),"à","a"),"è","e"),"ì","i"),"ò","o"),"ù","u"))</f>
        <v/>
      </c>
      <c r="O726" s="25">
        <f>IF(M726="confiable",2,IF(M726="dudosa",1,IF(M726="no confiable",0,"")))</f>
        <v/>
      </c>
      <c r="P726" s="25">
        <f>IF(N726="confiable",2,IF(N726="dudosa",1,IF(N726="no confiable",0,"")))</f>
        <v/>
      </c>
      <c r="Q726" s="25">
        <f>IF(AND(ISNUMBER(O726),ISNUMBER(P726)),1,"")</f>
        <v/>
      </c>
      <c r="R726" s="25">
        <f>IF(Q726=1,IF(O726=P726,"Sí","No"),"")</f>
        <v/>
      </c>
      <c r="S726" s="25">
        <f>IF(Q726=1,IF(P726&lt;O726,"Más estricto",IF(P726&gt;O726,"Más permisivo","Igual")),"")</f>
        <v/>
      </c>
      <c r="T726" s="25">
        <f>IF(Q726=1,IF(ABS(O726-P726)=2,1,0),"")</f>
        <v/>
      </c>
      <c r="U726" s="25">
        <f>IF(H726="","","|"&amp;SUBSTITUTE(SUBSTITUTE(TRIM(H726)," |","|"),"| ","|")&amp;"|")</f>
        <v/>
      </c>
      <c r="V726" s="25">
        <f>IF(AND(Q726=1,B726&lt;&gt;""),IF(IFERROR(COUNTIFS(B$3:B726,"="&amp;SUBSTITUTE(SUBSTITUTE(SUBSTITUTE(B726,"~","~~"),"*","~*"),"?","~?"),Q$3:Q726,1),0)=1,MAX(V$2:V725)+1,""),"")</f>
        <v/>
      </c>
      <c r="W726" s="25">
        <f>IF(V726="","",COUNTIFS($B$3:$B$1002,"="&amp;SUBSTITUTE(SUBSTITUTE(SUBSTITUTE(B726,"~","~~"),"*","~*"),"?","~?"),$Q$3:$Q$1002,1)*10000-V726)</f>
        <v/>
      </c>
      <c r="X726" s="25">
        <f>IF(Q726=1,IF(SUBSTITUTE(SUBSTITUTE(SUBSTITUTE(SUBSTITUTE(SUBSTITUTE(SUBSTITUTE(SUBSTITUTE(SUBSTITUTE(SUBSTITUTE(SUBSTITUTE(SUBSTITUTE(SUBSTITUTE(LOWER(TRIM(A726)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726)),"á","a"),"é","e"),"í","i"),"ó","o"),"ú","u"),"ü","u"),"ñ","n"),"à","a"),"è","e"),"ì","i"),"ò","o"),"ù","u")),"")</f>
        <v/>
      </c>
      <c r="Y726" s="25">
        <f>IF(X726="","",IF(IFERROR(COUNTIF(X$3:X726,"="&amp;SUBSTITUTE(SUBSTITUTE(SUBSTITUTE(X726,"~","~~"),"*","~*"),"?","~?")),0)=1,1,""))</f>
        <v/>
      </c>
      <c r="Z726" s="25">
        <f>IF(T726=1,MAX(Z$2:Z725)+1,"")</f>
        <v/>
      </c>
    </row>
    <row r="727">
      <c r="A727">
        <f>IF(A$2=0,"",IFERROR(TRIM(INDEX('Pegar calibracion'!$A$1:$BZ$1001,726,A$2)&amp;""),""))</f>
        <v/>
      </c>
      <c r="B727">
        <f>IF(B$2=0,"",IFERROR(TRIM(INDEX('Pegar calibracion'!$A$1:$BZ$1001,726,B$2)&amp;""),""))</f>
        <v/>
      </c>
      <c r="C727">
        <f>IF(C$2=0,"",IFERROR(TRIM(INDEX('Pegar calibracion'!$A$1:$BZ$1001,726,C$2)&amp;""),""))</f>
        <v/>
      </c>
      <c r="D727">
        <f>IF(D$2=0,"",IFERROR(TRIM(INDEX('Pegar calibracion'!$A$1:$BZ$1001,726,D$2)&amp;""),""))</f>
        <v/>
      </c>
      <c r="E727">
        <f>IF(E$2=0,"",IFERROR(TRIM(INDEX('Pegar calibracion'!$A$1:$BZ$1001,726,E$2)&amp;""),""))</f>
        <v/>
      </c>
      <c r="F727">
        <f>IF(F$2=0,"",IFERROR(TRIM(INDEX('Pegar calibracion'!$A$1:$BZ$1001,726,F$2)&amp;""),""))</f>
        <v/>
      </c>
      <c r="G727">
        <f>IF(G$2=0,"",IFERROR(TRIM(INDEX('Pegar calibracion'!$A$1:$BZ$1001,726,G$2)&amp;""),""))</f>
        <v/>
      </c>
      <c r="H727">
        <f>IF(H$2=0,"",IFERROR(TRIM(INDEX('Pegar calibracion'!$A$1:$BZ$1001,726,H$2)&amp;""),""))</f>
        <v/>
      </c>
      <c r="I727">
        <f>IF(I$2=0,"",IFERROR(TRIM(INDEX('Pegar calibracion'!$A$1:$BZ$1001,726,I$2)&amp;""),""))</f>
        <v/>
      </c>
      <c r="J727">
        <f>IF(J$2=0,"",IFERROR(TRIM(INDEX('Pegar calibracion'!$A$1:$BZ$1001,726,J$2)&amp;""),""))</f>
        <v/>
      </c>
      <c r="K727">
        <f>IF(K$2=0,"",IFERROR(TRIM(INDEX('Pegar calibracion'!$A$1:$BZ$1001,726,K$2)&amp;""),""))</f>
        <v/>
      </c>
      <c r="L727">
        <f>IF(L$2=0,"",IFERROR(TRIM(INDEX('Pegar calibracion'!$A$1:$BZ$1001,726,L$2)&amp;""),""))</f>
        <v/>
      </c>
      <c r="M727" s="25">
        <f>IF(D727="","",SUBSTITUTE(SUBSTITUTE(SUBSTITUTE(SUBSTITUTE(SUBSTITUTE(SUBSTITUTE(SUBSTITUTE(SUBSTITUTE(SUBSTITUTE(SUBSTITUTE(SUBSTITUTE(SUBSTITUTE(LOWER(TRIM(D727)),"á","a"),"é","e"),"í","i"),"ó","o"),"ú","u"),"ü","u"),"ñ","n"),"à","a"),"è","e"),"ì","i"),"ò","o"),"ù","u"))</f>
        <v/>
      </c>
      <c r="N727" s="25">
        <f>IF(F727="","",SUBSTITUTE(SUBSTITUTE(SUBSTITUTE(SUBSTITUTE(SUBSTITUTE(SUBSTITUTE(SUBSTITUTE(SUBSTITUTE(SUBSTITUTE(SUBSTITUTE(SUBSTITUTE(SUBSTITUTE(LOWER(TRIM(F727)),"á","a"),"é","e"),"í","i"),"ó","o"),"ú","u"),"ü","u"),"ñ","n"),"à","a"),"è","e"),"ì","i"),"ò","o"),"ù","u"))</f>
        <v/>
      </c>
      <c r="O727" s="25">
        <f>IF(M727="confiable",2,IF(M727="dudosa",1,IF(M727="no confiable",0,"")))</f>
        <v/>
      </c>
      <c r="P727" s="25">
        <f>IF(N727="confiable",2,IF(N727="dudosa",1,IF(N727="no confiable",0,"")))</f>
        <v/>
      </c>
      <c r="Q727" s="25">
        <f>IF(AND(ISNUMBER(O727),ISNUMBER(P727)),1,"")</f>
        <v/>
      </c>
      <c r="R727" s="25">
        <f>IF(Q727=1,IF(O727=P727,"Sí","No"),"")</f>
        <v/>
      </c>
      <c r="S727" s="25">
        <f>IF(Q727=1,IF(P727&lt;O727,"Más estricto",IF(P727&gt;O727,"Más permisivo","Igual")),"")</f>
        <v/>
      </c>
      <c r="T727" s="25">
        <f>IF(Q727=1,IF(ABS(O727-P727)=2,1,0),"")</f>
        <v/>
      </c>
      <c r="U727" s="25">
        <f>IF(H727="","","|"&amp;SUBSTITUTE(SUBSTITUTE(TRIM(H727)," |","|"),"| ","|")&amp;"|")</f>
        <v/>
      </c>
      <c r="V727" s="25">
        <f>IF(AND(Q727=1,B727&lt;&gt;""),IF(IFERROR(COUNTIFS(B$3:B727,"="&amp;SUBSTITUTE(SUBSTITUTE(SUBSTITUTE(B727,"~","~~"),"*","~*"),"?","~?"),Q$3:Q727,1),0)=1,MAX(V$2:V726)+1,""),"")</f>
        <v/>
      </c>
      <c r="W727" s="25">
        <f>IF(V727="","",COUNTIFS($B$3:$B$1002,"="&amp;SUBSTITUTE(SUBSTITUTE(SUBSTITUTE(B727,"~","~~"),"*","~*"),"?","~?"),$Q$3:$Q$1002,1)*10000-V727)</f>
        <v/>
      </c>
      <c r="X727" s="25">
        <f>IF(Q727=1,IF(SUBSTITUTE(SUBSTITUTE(SUBSTITUTE(SUBSTITUTE(SUBSTITUTE(SUBSTITUTE(SUBSTITUTE(SUBSTITUTE(SUBSTITUTE(SUBSTITUTE(SUBSTITUTE(SUBSTITUTE(LOWER(TRIM(A727)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727)),"á","a"),"é","e"),"í","i"),"ó","o"),"ú","u"),"ü","u"),"ñ","n"),"à","a"),"è","e"),"ì","i"),"ò","o"),"ù","u")),"")</f>
        <v/>
      </c>
      <c r="Y727" s="25">
        <f>IF(X727="","",IF(IFERROR(COUNTIF(X$3:X727,"="&amp;SUBSTITUTE(SUBSTITUTE(SUBSTITUTE(X727,"~","~~"),"*","~*"),"?","~?")),0)=1,1,""))</f>
        <v/>
      </c>
      <c r="Z727" s="25">
        <f>IF(T727=1,MAX(Z$2:Z726)+1,"")</f>
        <v/>
      </c>
    </row>
    <row r="728">
      <c r="A728">
        <f>IF(A$2=0,"",IFERROR(TRIM(INDEX('Pegar calibracion'!$A$1:$BZ$1001,727,A$2)&amp;""),""))</f>
        <v/>
      </c>
      <c r="B728">
        <f>IF(B$2=0,"",IFERROR(TRIM(INDEX('Pegar calibracion'!$A$1:$BZ$1001,727,B$2)&amp;""),""))</f>
        <v/>
      </c>
      <c r="C728">
        <f>IF(C$2=0,"",IFERROR(TRIM(INDEX('Pegar calibracion'!$A$1:$BZ$1001,727,C$2)&amp;""),""))</f>
        <v/>
      </c>
      <c r="D728">
        <f>IF(D$2=0,"",IFERROR(TRIM(INDEX('Pegar calibracion'!$A$1:$BZ$1001,727,D$2)&amp;""),""))</f>
        <v/>
      </c>
      <c r="E728">
        <f>IF(E$2=0,"",IFERROR(TRIM(INDEX('Pegar calibracion'!$A$1:$BZ$1001,727,E$2)&amp;""),""))</f>
        <v/>
      </c>
      <c r="F728">
        <f>IF(F$2=0,"",IFERROR(TRIM(INDEX('Pegar calibracion'!$A$1:$BZ$1001,727,F$2)&amp;""),""))</f>
        <v/>
      </c>
      <c r="G728">
        <f>IF(G$2=0,"",IFERROR(TRIM(INDEX('Pegar calibracion'!$A$1:$BZ$1001,727,G$2)&amp;""),""))</f>
        <v/>
      </c>
      <c r="H728">
        <f>IF(H$2=0,"",IFERROR(TRIM(INDEX('Pegar calibracion'!$A$1:$BZ$1001,727,H$2)&amp;""),""))</f>
        <v/>
      </c>
      <c r="I728">
        <f>IF(I$2=0,"",IFERROR(TRIM(INDEX('Pegar calibracion'!$A$1:$BZ$1001,727,I$2)&amp;""),""))</f>
        <v/>
      </c>
      <c r="J728">
        <f>IF(J$2=0,"",IFERROR(TRIM(INDEX('Pegar calibracion'!$A$1:$BZ$1001,727,J$2)&amp;""),""))</f>
        <v/>
      </c>
      <c r="K728">
        <f>IF(K$2=0,"",IFERROR(TRIM(INDEX('Pegar calibracion'!$A$1:$BZ$1001,727,K$2)&amp;""),""))</f>
        <v/>
      </c>
      <c r="L728">
        <f>IF(L$2=0,"",IFERROR(TRIM(INDEX('Pegar calibracion'!$A$1:$BZ$1001,727,L$2)&amp;""),""))</f>
        <v/>
      </c>
      <c r="M728" s="25">
        <f>IF(D728="","",SUBSTITUTE(SUBSTITUTE(SUBSTITUTE(SUBSTITUTE(SUBSTITUTE(SUBSTITUTE(SUBSTITUTE(SUBSTITUTE(SUBSTITUTE(SUBSTITUTE(SUBSTITUTE(SUBSTITUTE(LOWER(TRIM(D728)),"á","a"),"é","e"),"í","i"),"ó","o"),"ú","u"),"ü","u"),"ñ","n"),"à","a"),"è","e"),"ì","i"),"ò","o"),"ù","u"))</f>
        <v/>
      </c>
      <c r="N728" s="25">
        <f>IF(F728="","",SUBSTITUTE(SUBSTITUTE(SUBSTITUTE(SUBSTITUTE(SUBSTITUTE(SUBSTITUTE(SUBSTITUTE(SUBSTITUTE(SUBSTITUTE(SUBSTITUTE(SUBSTITUTE(SUBSTITUTE(LOWER(TRIM(F728)),"á","a"),"é","e"),"í","i"),"ó","o"),"ú","u"),"ü","u"),"ñ","n"),"à","a"),"è","e"),"ì","i"),"ò","o"),"ù","u"))</f>
        <v/>
      </c>
      <c r="O728" s="25">
        <f>IF(M728="confiable",2,IF(M728="dudosa",1,IF(M728="no confiable",0,"")))</f>
        <v/>
      </c>
      <c r="P728" s="25">
        <f>IF(N728="confiable",2,IF(N728="dudosa",1,IF(N728="no confiable",0,"")))</f>
        <v/>
      </c>
      <c r="Q728" s="25">
        <f>IF(AND(ISNUMBER(O728),ISNUMBER(P728)),1,"")</f>
        <v/>
      </c>
      <c r="R728" s="25">
        <f>IF(Q728=1,IF(O728=P728,"Sí","No"),"")</f>
        <v/>
      </c>
      <c r="S728" s="25">
        <f>IF(Q728=1,IF(P728&lt;O728,"Más estricto",IF(P728&gt;O728,"Más permisivo","Igual")),"")</f>
        <v/>
      </c>
      <c r="T728" s="25">
        <f>IF(Q728=1,IF(ABS(O728-P728)=2,1,0),"")</f>
        <v/>
      </c>
      <c r="U728" s="25">
        <f>IF(H728="","","|"&amp;SUBSTITUTE(SUBSTITUTE(TRIM(H728)," |","|"),"| ","|")&amp;"|")</f>
        <v/>
      </c>
      <c r="V728" s="25">
        <f>IF(AND(Q728=1,B728&lt;&gt;""),IF(IFERROR(COUNTIFS(B$3:B728,"="&amp;SUBSTITUTE(SUBSTITUTE(SUBSTITUTE(B728,"~","~~"),"*","~*"),"?","~?"),Q$3:Q728,1),0)=1,MAX(V$2:V727)+1,""),"")</f>
        <v/>
      </c>
      <c r="W728" s="25">
        <f>IF(V728="","",COUNTIFS($B$3:$B$1002,"="&amp;SUBSTITUTE(SUBSTITUTE(SUBSTITUTE(B728,"~","~~"),"*","~*"),"?","~?"),$Q$3:$Q$1002,1)*10000-V728)</f>
        <v/>
      </c>
      <c r="X728" s="25">
        <f>IF(Q728=1,IF(SUBSTITUTE(SUBSTITUTE(SUBSTITUTE(SUBSTITUTE(SUBSTITUTE(SUBSTITUTE(SUBSTITUTE(SUBSTITUTE(SUBSTITUTE(SUBSTITUTE(SUBSTITUTE(SUBSTITUTE(LOWER(TRIM(A728)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728)),"á","a"),"é","e"),"í","i"),"ó","o"),"ú","u"),"ü","u"),"ñ","n"),"à","a"),"è","e"),"ì","i"),"ò","o"),"ù","u")),"")</f>
        <v/>
      </c>
      <c r="Y728" s="25">
        <f>IF(X728="","",IF(IFERROR(COUNTIF(X$3:X728,"="&amp;SUBSTITUTE(SUBSTITUTE(SUBSTITUTE(X728,"~","~~"),"*","~*"),"?","~?")),0)=1,1,""))</f>
        <v/>
      </c>
      <c r="Z728" s="25">
        <f>IF(T728=1,MAX(Z$2:Z727)+1,"")</f>
        <v/>
      </c>
    </row>
    <row r="729">
      <c r="A729">
        <f>IF(A$2=0,"",IFERROR(TRIM(INDEX('Pegar calibracion'!$A$1:$BZ$1001,728,A$2)&amp;""),""))</f>
        <v/>
      </c>
      <c r="B729">
        <f>IF(B$2=0,"",IFERROR(TRIM(INDEX('Pegar calibracion'!$A$1:$BZ$1001,728,B$2)&amp;""),""))</f>
        <v/>
      </c>
      <c r="C729">
        <f>IF(C$2=0,"",IFERROR(TRIM(INDEX('Pegar calibracion'!$A$1:$BZ$1001,728,C$2)&amp;""),""))</f>
        <v/>
      </c>
      <c r="D729">
        <f>IF(D$2=0,"",IFERROR(TRIM(INDEX('Pegar calibracion'!$A$1:$BZ$1001,728,D$2)&amp;""),""))</f>
        <v/>
      </c>
      <c r="E729">
        <f>IF(E$2=0,"",IFERROR(TRIM(INDEX('Pegar calibracion'!$A$1:$BZ$1001,728,E$2)&amp;""),""))</f>
        <v/>
      </c>
      <c r="F729">
        <f>IF(F$2=0,"",IFERROR(TRIM(INDEX('Pegar calibracion'!$A$1:$BZ$1001,728,F$2)&amp;""),""))</f>
        <v/>
      </c>
      <c r="G729">
        <f>IF(G$2=0,"",IFERROR(TRIM(INDEX('Pegar calibracion'!$A$1:$BZ$1001,728,G$2)&amp;""),""))</f>
        <v/>
      </c>
      <c r="H729">
        <f>IF(H$2=0,"",IFERROR(TRIM(INDEX('Pegar calibracion'!$A$1:$BZ$1001,728,H$2)&amp;""),""))</f>
        <v/>
      </c>
      <c r="I729">
        <f>IF(I$2=0,"",IFERROR(TRIM(INDEX('Pegar calibracion'!$A$1:$BZ$1001,728,I$2)&amp;""),""))</f>
        <v/>
      </c>
      <c r="J729">
        <f>IF(J$2=0,"",IFERROR(TRIM(INDEX('Pegar calibracion'!$A$1:$BZ$1001,728,J$2)&amp;""),""))</f>
        <v/>
      </c>
      <c r="K729">
        <f>IF(K$2=0,"",IFERROR(TRIM(INDEX('Pegar calibracion'!$A$1:$BZ$1001,728,K$2)&amp;""),""))</f>
        <v/>
      </c>
      <c r="L729">
        <f>IF(L$2=0,"",IFERROR(TRIM(INDEX('Pegar calibracion'!$A$1:$BZ$1001,728,L$2)&amp;""),""))</f>
        <v/>
      </c>
      <c r="M729" s="25">
        <f>IF(D729="","",SUBSTITUTE(SUBSTITUTE(SUBSTITUTE(SUBSTITUTE(SUBSTITUTE(SUBSTITUTE(SUBSTITUTE(SUBSTITUTE(SUBSTITUTE(SUBSTITUTE(SUBSTITUTE(SUBSTITUTE(LOWER(TRIM(D729)),"á","a"),"é","e"),"í","i"),"ó","o"),"ú","u"),"ü","u"),"ñ","n"),"à","a"),"è","e"),"ì","i"),"ò","o"),"ù","u"))</f>
        <v/>
      </c>
      <c r="N729" s="25">
        <f>IF(F729="","",SUBSTITUTE(SUBSTITUTE(SUBSTITUTE(SUBSTITUTE(SUBSTITUTE(SUBSTITUTE(SUBSTITUTE(SUBSTITUTE(SUBSTITUTE(SUBSTITUTE(SUBSTITUTE(SUBSTITUTE(LOWER(TRIM(F729)),"á","a"),"é","e"),"í","i"),"ó","o"),"ú","u"),"ü","u"),"ñ","n"),"à","a"),"è","e"),"ì","i"),"ò","o"),"ù","u"))</f>
        <v/>
      </c>
      <c r="O729" s="25">
        <f>IF(M729="confiable",2,IF(M729="dudosa",1,IF(M729="no confiable",0,"")))</f>
        <v/>
      </c>
      <c r="P729" s="25">
        <f>IF(N729="confiable",2,IF(N729="dudosa",1,IF(N729="no confiable",0,"")))</f>
        <v/>
      </c>
      <c r="Q729" s="25">
        <f>IF(AND(ISNUMBER(O729),ISNUMBER(P729)),1,"")</f>
        <v/>
      </c>
      <c r="R729" s="25">
        <f>IF(Q729=1,IF(O729=P729,"Sí","No"),"")</f>
        <v/>
      </c>
      <c r="S729" s="25">
        <f>IF(Q729=1,IF(P729&lt;O729,"Más estricto",IF(P729&gt;O729,"Más permisivo","Igual")),"")</f>
        <v/>
      </c>
      <c r="T729" s="25">
        <f>IF(Q729=1,IF(ABS(O729-P729)=2,1,0),"")</f>
        <v/>
      </c>
      <c r="U729" s="25">
        <f>IF(H729="","","|"&amp;SUBSTITUTE(SUBSTITUTE(TRIM(H729)," |","|"),"| ","|")&amp;"|")</f>
        <v/>
      </c>
      <c r="V729" s="25">
        <f>IF(AND(Q729=1,B729&lt;&gt;""),IF(IFERROR(COUNTIFS(B$3:B729,"="&amp;SUBSTITUTE(SUBSTITUTE(SUBSTITUTE(B729,"~","~~"),"*","~*"),"?","~?"),Q$3:Q729,1),0)=1,MAX(V$2:V728)+1,""),"")</f>
        <v/>
      </c>
      <c r="W729" s="25">
        <f>IF(V729="","",COUNTIFS($B$3:$B$1002,"="&amp;SUBSTITUTE(SUBSTITUTE(SUBSTITUTE(B729,"~","~~"),"*","~*"),"?","~?"),$Q$3:$Q$1002,1)*10000-V729)</f>
        <v/>
      </c>
      <c r="X729" s="25">
        <f>IF(Q729=1,IF(SUBSTITUTE(SUBSTITUTE(SUBSTITUTE(SUBSTITUTE(SUBSTITUTE(SUBSTITUTE(SUBSTITUTE(SUBSTITUTE(SUBSTITUTE(SUBSTITUTE(SUBSTITUTE(SUBSTITUTE(LOWER(TRIM(A729)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729)),"á","a"),"é","e"),"í","i"),"ó","o"),"ú","u"),"ü","u"),"ñ","n"),"à","a"),"è","e"),"ì","i"),"ò","o"),"ù","u")),"")</f>
        <v/>
      </c>
      <c r="Y729" s="25">
        <f>IF(X729="","",IF(IFERROR(COUNTIF(X$3:X729,"="&amp;SUBSTITUTE(SUBSTITUTE(SUBSTITUTE(X729,"~","~~"),"*","~*"),"?","~?")),0)=1,1,""))</f>
        <v/>
      </c>
      <c r="Z729" s="25">
        <f>IF(T729=1,MAX(Z$2:Z728)+1,"")</f>
        <v/>
      </c>
    </row>
    <row r="730">
      <c r="A730">
        <f>IF(A$2=0,"",IFERROR(TRIM(INDEX('Pegar calibracion'!$A$1:$BZ$1001,729,A$2)&amp;""),""))</f>
        <v/>
      </c>
      <c r="B730">
        <f>IF(B$2=0,"",IFERROR(TRIM(INDEX('Pegar calibracion'!$A$1:$BZ$1001,729,B$2)&amp;""),""))</f>
        <v/>
      </c>
      <c r="C730">
        <f>IF(C$2=0,"",IFERROR(TRIM(INDEX('Pegar calibracion'!$A$1:$BZ$1001,729,C$2)&amp;""),""))</f>
        <v/>
      </c>
      <c r="D730">
        <f>IF(D$2=0,"",IFERROR(TRIM(INDEX('Pegar calibracion'!$A$1:$BZ$1001,729,D$2)&amp;""),""))</f>
        <v/>
      </c>
      <c r="E730">
        <f>IF(E$2=0,"",IFERROR(TRIM(INDEX('Pegar calibracion'!$A$1:$BZ$1001,729,E$2)&amp;""),""))</f>
        <v/>
      </c>
      <c r="F730">
        <f>IF(F$2=0,"",IFERROR(TRIM(INDEX('Pegar calibracion'!$A$1:$BZ$1001,729,F$2)&amp;""),""))</f>
        <v/>
      </c>
      <c r="G730">
        <f>IF(G$2=0,"",IFERROR(TRIM(INDEX('Pegar calibracion'!$A$1:$BZ$1001,729,G$2)&amp;""),""))</f>
        <v/>
      </c>
      <c r="H730">
        <f>IF(H$2=0,"",IFERROR(TRIM(INDEX('Pegar calibracion'!$A$1:$BZ$1001,729,H$2)&amp;""),""))</f>
        <v/>
      </c>
      <c r="I730">
        <f>IF(I$2=0,"",IFERROR(TRIM(INDEX('Pegar calibracion'!$A$1:$BZ$1001,729,I$2)&amp;""),""))</f>
        <v/>
      </c>
      <c r="J730">
        <f>IF(J$2=0,"",IFERROR(TRIM(INDEX('Pegar calibracion'!$A$1:$BZ$1001,729,J$2)&amp;""),""))</f>
        <v/>
      </c>
      <c r="K730">
        <f>IF(K$2=0,"",IFERROR(TRIM(INDEX('Pegar calibracion'!$A$1:$BZ$1001,729,K$2)&amp;""),""))</f>
        <v/>
      </c>
      <c r="L730">
        <f>IF(L$2=0,"",IFERROR(TRIM(INDEX('Pegar calibracion'!$A$1:$BZ$1001,729,L$2)&amp;""),""))</f>
        <v/>
      </c>
      <c r="M730" s="25">
        <f>IF(D730="","",SUBSTITUTE(SUBSTITUTE(SUBSTITUTE(SUBSTITUTE(SUBSTITUTE(SUBSTITUTE(SUBSTITUTE(SUBSTITUTE(SUBSTITUTE(SUBSTITUTE(SUBSTITUTE(SUBSTITUTE(LOWER(TRIM(D730)),"á","a"),"é","e"),"í","i"),"ó","o"),"ú","u"),"ü","u"),"ñ","n"),"à","a"),"è","e"),"ì","i"),"ò","o"),"ù","u"))</f>
        <v/>
      </c>
      <c r="N730" s="25">
        <f>IF(F730="","",SUBSTITUTE(SUBSTITUTE(SUBSTITUTE(SUBSTITUTE(SUBSTITUTE(SUBSTITUTE(SUBSTITUTE(SUBSTITUTE(SUBSTITUTE(SUBSTITUTE(SUBSTITUTE(SUBSTITUTE(LOWER(TRIM(F730)),"á","a"),"é","e"),"í","i"),"ó","o"),"ú","u"),"ü","u"),"ñ","n"),"à","a"),"è","e"),"ì","i"),"ò","o"),"ù","u"))</f>
        <v/>
      </c>
      <c r="O730" s="25">
        <f>IF(M730="confiable",2,IF(M730="dudosa",1,IF(M730="no confiable",0,"")))</f>
        <v/>
      </c>
      <c r="P730" s="25">
        <f>IF(N730="confiable",2,IF(N730="dudosa",1,IF(N730="no confiable",0,"")))</f>
        <v/>
      </c>
      <c r="Q730" s="25">
        <f>IF(AND(ISNUMBER(O730),ISNUMBER(P730)),1,"")</f>
        <v/>
      </c>
      <c r="R730" s="25">
        <f>IF(Q730=1,IF(O730=P730,"Sí","No"),"")</f>
        <v/>
      </c>
      <c r="S730" s="25">
        <f>IF(Q730=1,IF(P730&lt;O730,"Más estricto",IF(P730&gt;O730,"Más permisivo","Igual")),"")</f>
        <v/>
      </c>
      <c r="T730" s="25">
        <f>IF(Q730=1,IF(ABS(O730-P730)=2,1,0),"")</f>
        <v/>
      </c>
      <c r="U730" s="25">
        <f>IF(H730="","","|"&amp;SUBSTITUTE(SUBSTITUTE(TRIM(H730)," |","|"),"| ","|")&amp;"|")</f>
        <v/>
      </c>
      <c r="V730" s="25">
        <f>IF(AND(Q730=1,B730&lt;&gt;""),IF(IFERROR(COUNTIFS(B$3:B730,"="&amp;SUBSTITUTE(SUBSTITUTE(SUBSTITUTE(B730,"~","~~"),"*","~*"),"?","~?"),Q$3:Q730,1),0)=1,MAX(V$2:V729)+1,""),"")</f>
        <v/>
      </c>
      <c r="W730" s="25">
        <f>IF(V730="","",COUNTIFS($B$3:$B$1002,"="&amp;SUBSTITUTE(SUBSTITUTE(SUBSTITUTE(B730,"~","~~"),"*","~*"),"?","~?"),$Q$3:$Q$1002,1)*10000-V730)</f>
        <v/>
      </c>
      <c r="X730" s="25">
        <f>IF(Q730=1,IF(SUBSTITUTE(SUBSTITUTE(SUBSTITUTE(SUBSTITUTE(SUBSTITUTE(SUBSTITUTE(SUBSTITUTE(SUBSTITUTE(SUBSTITUTE(SUBSTITUTE(SUBSTITUTE(SUBSTITUTE(LOWER(TRIM(A730)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730)),"á","a"),"é","e"),"í","i"),"ó","o"),"ú","u"),"ü","u"),"ñ","n"),"à","a"),"è","e"),"ì","i"),"ò","o"),"ù","u")),"")</f>
        <v/>
      </c>
      <c r="Y730" s="25">
        <f>IF(X730="","",IF(IFERROR(COUNTIF(X$3:X730,"="&amp;SUBSTITUTE(SUBSTITUTE(SUBSTITUTE(X730,"~","~~"),"*","~*"),"?","~?")),0)=1,1,""))</f>
        <v/>
      </c>
      <c r="Z730" s="25">
        <f>IF(T730=1,MAX(Z$2:Z729)+1,"")</f>
        <v/>
      </c>
    </row>
    <row r="731">
      <c r="A731">
        <f>IF(A$2=0,"",IFERROR(TRIM(INDEX('Pegar calibracion'!$A$1:$BZ$1001,730,A$2)&amp;""),""))</f>
        <v/>
      </c>
      <c r="B731">
        <f>IF(B$2=0,"",IFERROR(TRIM(INDEX('Pegar calibracion'!$A$1:$BZ$1001,730,B$2)&amp;""),""))</f>
        <v/>
      </c>
      <c r="C731">
        <f>IF(C$2=0,"",IFERROR(TRIM(INDEX('Pegar calibracion'!$A$1:$BZ$1001,730,C$2)&amp;""),""))</f>
        <v/>
      </c>
      <c r="D731">
        <f>IF(D$2=0,"",IFERROR(TRIM(INDEX('Pegar calibracion'!$A$1:$BZ$1001,730,D$2)&amp;""),""))</f>
        <v/>
      </c>
      <c r="E731">
        <f>IF(E$2=0,"",IFERROR(TRIM(INDEX('Pegar calibracion'!$A$1:$BZ$1001,730,E$2)&amp;""),""))</f>
        <v/>
      </c>
      <c r="F731">
        <f>IF(F$2=0,"",IFERROR(TRIM(INDEX('Pegar calibracion'!$A$1:$BZ$1001,730,F$2)&amp;""),""))</f>
        <v/>
      </c>
      <c r="G731">
        <f>IF(G$2=0,"",IFERROR(TRIM(INDEX('Pegar calibracion'!$A$1:$BZ$1001,730,G$2)&amp;""),""))</f>
        <v/>
      </c>
      <c r="H731">
        <f>IF(H$2=0,"",IFERROR(TRIM(INDEX('Pegar calibracion'!$A$1:$BZ$1001,730,H$2)&amp;""),""))</f>
        <v/>
      </c>
      <c r="I731">
        <f>IF(I$2=0,"",IFERROR(TRIM(INDEX('Pegar calibracion'!$A$1:$BZ$1001,730,I$2)&amp;""),""))</f>
        <v/>
      </c>
      <c r="J731">
        <f>IF(J$2=0,"",IFERROR(TRIM(INDEX('Pegar calibracion'!$A$1:$BZ$1001,730,J$2)&amp;""),""))</f>
        <v/>
      </c>
      <c r="K731">
        <f>IF(K$2=0,"",IFERROR(TRIM(INDEX('Pegar calibracion'!$A$1:$BZ$1001,730,K$2)&amp;""),""))</f>
        <v/>
      </c>
      <c r="L731">
        <f>IF(L$2=0,"",IFERROR(TRIM(INDEX('Pegar calibracion'!$A$1:$BZ$1001,730,L$2)&amp;""),""))</f>
        <v/>
      </c>
      <c r="M731" s="25">
        <f>IF(D731="","",SUBSTITUTE(SUBSTITUTE(SUBSTITUTE(SUBSTITUTE(SUBSTITUTE(SUBSTITUTE(SUBSTITUTE(SUBSTITUTE(SUBSTITUTE(SUBSTITUTE(SUBSTITUTE(SUBSTITUTE(LOWER(TRIM(D731)),"á","a"),"é","e"),"í","i"),"ó","o"),"ú","u"),"ü","u"),"ñ","n"),"à","a"),"è","e"),"ì","i"),"ò","o"),"ù","u"))</f>
        <v/>
      </c>
      <c r="N731" s="25">
        <f>IF(F731="","",SUBSTITUTE(SUBSTITUTE(SUBSTITUTE(SUBSTITUTE(SUBSTITUTE(SUBSTITUTE(SUBSTITUTE(SUBSTITUTE(SUBSTITUTE(SUBSTITUTE(SUBSTITUTE(SUBSTITUTE(LOWER(TRIM(F731)),"á","a"),"é","e"),"í","i"),"ó","o"),"ú","u"),"ü","u"),"ñ","n"),"à","a"),"è","e"),"ì","i"),"ò","o"),"ù","u"))</f>
        <v/>
      </c>
      <c r="O731" s="25">
        <f>IF(M731="confiable",2,IF(M731="dudosa",1,IF(M731="no confiable",0,"")))</f>
        <v/>
      </c>
      <c r="P731" s="25">
        <f>IF(N731="confiable",2,IF(N731="dudosa",1,IF(N731="no confiable",0,"")))</f>
        <v/>
      </c>
      <c r="Q731" s="25">
        <f>IF(AND(ISNUMBER(O731),ISNUMBER(P731)),1,"")</f>
        <v/>
      </c>
      <c r="R731" s="25">
        <f>IF(Q731=1,IF(O731=P731,"Sí","No"),"")</f>
        <v/>
      </c>
      <c r="S731" s="25">
        <f>IF(Q731=1,IF(P731&lt;O731,"Más estricto",IF(P731&gt;O731,"Más permisivo","Igual")),"")</f>
        <v/>
      </c>
      <c r="T731" s="25">
        <f>IF(Q731=1,IF(ABS(O731-P731)=2,1,0),"")</f>
        <v/>
      </c>
      <c r="U731" s="25">
        <f>IF(H731="","","|"&amp;SUBSTITUTE(SUBSTITUTE(TRIM(H731)," |","|"),"| ","|")&amp;"|")</f>
        <v/>
      </c>
      <c r="V731" s="25">
        <f>IF(AND(Q731=1,B731&lt;&gt;""),IF(IFERROR(COUNTIFS(B$3:B731,"="&amp;SUBSTITUTE(SUBSTITUTE(SUBSTITUTE(B731,"~","~~"),"*","~*"),"?","~?"),Q$3:Q731,1),0)=1,MAX(V$2:V730)+1,""),"")</f>
        <v/>
      </c>
      <c r="W731" s="25">
        <f>IF(V731="","",COUNTIFS($B$3:$B$1002,"="&amp;SUBSTITUTE(SUBSTITUTE(SUBSTITUTE(B731,"~","~~"),"*","~*"),"?","~?"),$Q$3:$Q$1002,1)*10000-V731)</f>
        <v/>
      </c>
      <c r="X731" s="25">
        <f>IF(Q731=1,IF(SUBSTITUTE(SUBSTITUTE(SUBSTITUTE(SUBSTITUTE(SUBSTITUTE(SUBSTITUTE(SUBSTITUTE(SUBSTITUTE(SUBSTITUTE(SUBSTITUTE(SUBSTITUTE(SUBSTITUTE(LOWER(TRIM(A731)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731)),"á","a"),"é","e"),"í","i"),"ó","o"),"ú","u"),"ü","u"),"ñ","n"),"à","a"),"è","e"),"ì","i"),"ò","o"),"ù","u")),"")</f>
        <v/>
      </c>
      <c r="Y731" s="25">
        <f>IF(X731="","",IF(IFERROR(COUNTIF(X$3:X731,"="&amp;SUBSTITUTE(SUBSTITUTE(SUBSTITUTE(X731,"~","~~"),"*","~*"),"?","~?")),0)=1,1,""))</f>
        <v/>
      </c>
      <c r="Z731" s="25">
        <f>IF(T731=1,MAX(Z$2:Z730)+1,"")</f>
        <v/>
      </c>
    </row>
    <row r="732">
      <c r="A732">
        <f>IF(A$2=0,"",IFERROR(TRIM(INDEX('Pegar calibracion'!$A$1:$BZ$1001,731,A$2)&amp;""),""))</f>
        <v/>
      </c>
      <c r="B732">
        <f>IF(B$2=0,"",IFERROR(TRIM(INDEX('Pegar calibracion'!$A$1:$BZ$1001,731,B$2)&amp;""),""))</f>
        <v/>
      </c>
      <c r="C732">
        <f>IF(C$2=0,"",IFERROR(TRIM(INDEX('Pegar calibracion'!$A$1:$BZ$1001,731,C$2)&amp;""),""))</f>
        <v/>
      </c>
      <c r="D732">
        <f>IF(D$2=0,"",IFERROR(TRIM(INDEX('Pegar calibracion'!$A$1:$BZ$1001,731,D$2)&amp;""),""))</f>
        <v/>
      </c>
      <c r="E732">
        <f>IF(E$2=0,"",IFERROR(TRIM(INDEX('Pegar calibracion'!$A$1:$BZ$1001,731,E$2)&amp;""),""))</f>
        <v/>
      </c>
      <c r="F732">
        <f>IF(F$2=0,"",IFERROR(TRIM(INDEX('Pegar calibracion'!$A$1:$BZ$1001,731,F$2)&amp;""),""))</f>
        <v/>
      </c>
      <c r="G732">
        <f>IF(G$2=0,"",IFERROR(TRIM(INDEX('Pegar calibracion'!$A$1:$BZ$1001,731,G$2)&amp;""),""))</f>
        <v/>
      </c>
      <c r="H732">
        <f>IF(H$2=0,"",IFERROR(TRIM(INDEX('Pegar calibracion'!$A$1:$BZ$1001,731,H$2)&amp;""),""))</f>
        <v/>
      </c>
      <c r="I732">
        <f>IF(I$2=0,"",IFERROR(TRIM(INDEX('Pegar calibracion'!$A$1:$BZ$1001,731,I$2)&amp;""),""))</f>
        <v/>
      </c>
      <c r="J732">
        <f>IF(J$2=0,"",IFERROR(TRIM(INDEX('Pegar calibracion'!$A$1:$BZ$1001,731,J$2)&amp;""),""))</f>
        <v/>
      </c>
      <c r="K732">
        <f>IF(K$2=0,"",IFERROR(TRIM(INDEX('Pegar calibracion'!$A$1:$BZ$1001,731,K$2)&amp;""),""))</f>
        <v/>
      </c>
      <c r="L732">
        <f>IF(L$2=0,"",IFERROR(TRIM(INDEX('Pegar calibracion'!$A$1:$BZ$1001,731,L$2)&amp;""),""))</f>
        <v/>
      </c>
      <c r="M732" s="25">
        <f>IF(D732="","",SUBSTITUTE(SUBSTITUTE(SUBSTITUTE(SUBSTITUTE(SUBSTITUTE(SUBSTITUTE(SUBSTITUTE(SUBSTITUTE(SUBSTITUTE(SUBSTITUTE(SUBSTITUTE(SUBSTITUTE(LOWER(TRIM(D732)),"á","a"),"é","e"),"í","i"),"ó","o"),"ú","u"),"ü","u"),"ñ","n"),"à","a"),"è","e"),"ì","i"),"ò","o"),"ù","u"))</f>
        <v/>
      </c>
      <c r="N732" s="25">
        <f>IF(F732="","",SUBSTITUTE(SUBSTITUTE(SUBSTITUTE(SUBSTITUTE(SUBSTITUTE(SUBSTITUTE(SUBSTITUTE(SUBSTITUTE(SUBSTITUTE(SUBSTITUTE(SUBSTITUTE(SUBSTITUTE(LOWER(TRIM(F732)),"á","a"),"é","e"),"í","i"),"ó","o"),"ú","u"),"ü","u"),"ñ","n"),"à","a"),"è","e"),"ì","i"),"ò","o"),"ù","u"))</f>
        <v/>
      </c>
      <c r="O732" s="25">
        <f>IF(M732="confiable",2,IF(M732="dudosa",1,IF(M732="no confiable",0,"")))</f>
        <v/>
      </c>
      <c r="P732" s="25">
        <f>IF(N732="confiable",2,IF(N732="dudosa",1,IF(N732="no confiable",0,"")))</f>
        <v/>
      </c>
      <c r="Q732" s="25">
        <f>IF(AND(ISNUMBER(O732),ISNUMBER(P732)),1,"")</f>
        <v/>
      </c>
      <c r="R732" s="25">
        <f>IF(Q732=1,IF(O732=P732,"Sí","No"),"")</f>
        <v/>
      </c>
      <c r="S732" s="25">
        <f>IF(Q732=1,IF(P732&lt;O732,"Más estricto",IF(P732&gt;O732,"Más permisivo","Igual")),"")</f>
        <v/>
      </c>
      <c r="T732" s="25">
        <f>IF(Q732=1,IF(ABS(O732-P732)=2,1,0),"")</f>
        <v/>
      </c>
      <c r="U732" s="25">
        <f>IF(H732="","","|"&amp;SUBSTITUTE(SUBSTITUTE(TRIM(H732)," |","|"),"| ","|")&amp;"|")</f>
        <v/>
      </c>
      <c r="V732" s="25">
        <f>IF(AND(Q732=1,B732&lt;&gt;""),IF(IFERROR(COUNTIFS(B$3:B732,"="&amp;SUBSTITUTE(SUBSTITUTE(SUBSTITUTE(B732,"~","~~"),"*","~*"),"?","~?"),Q$3:Q732,1),0)=1,MAX(V$2:V731)+1,""),"")</f>
        <v/>
      </c>
      <c r="W732" s="25">
        <f>IF(V732="","",COUNTIFS($B$3:$B$1002,"="&amp;SUBSTITUTE(SUBSTITUTE(SUBSTITUTE(B732,"~","~~"),"*","~*"),"?","~?"),$Q$3:$Q$1002,1)*10000-V732)</f>
        <v/>
      </c>
      <c r="X732" s="25">
        <f>IF(Q732=1,IF(SUBSTITUTE(SUBSTITUTE(SUBSTITUTE(SUBSTITUTE(SUBSTITUTE(SUBSTITUTE(SUBSTITUTE(SUBSTITUTE(SUBSTITUTE(SUBSTITUTE(SUBSTITUTE(SUBSTITUTE(LOWER(TRIM(A732)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732)),"á","a"),"é","e"),"í","i"),"ó","o"),"ú","u"),"ü","u"),"ñ","n"),"à","a"),"è","e"),"ì","i"),"ò","o"),"ù","u")),"")</f>
        <v/>
      </c>
      <c r="Y732" s="25">
        <f>IF(X732="","",IF(IFERROR(COUNTIF(X$3:X732,"="&amp;SUBSTITUTE(SUBSTITUTE(SUBSTITUTE(X732,"~","~~"),"*","~*"),"?","~?")),0)=1,1,""))</f>
        <v/>
      </c>
      <c r="Z732" s="25">
        <f>IF(T732=1,MAX(Z$2:Z731)+1,"")</f>
        <v/>
      </c>
    </row>
    <row r="733">
      <c r="A733">
        <f>IF(A$2=0,"",IFERROR(TRIM(INDEX('Pegar calibracion'!$A$1:$BZ$1001,732,A$2)&amp;""),""))</f>
        <v/>
      </c>
      <c r="B733">
        <f>IF(B$2=0,"",IFERROR(TRIM(INDEX('Pegar calibracion'!$A$1:$BZ$1001,732,B$2)&amp;""),""))</f>
        <v/>
      </c>
      <c r="C733">
        <f>IF(C$2=0,"",IFERROR(TRIM(INDEX('Pegar calibracion'!$A$1:$BZ$1001,732,C$2)&amp;""),""))</f>
        <v/>
      </c>
      <c r="D733">
        <f>IF(D$2=0,"",IFERROR(TRIM(INDEX('Pegar calibracion'!$A$1:$BZ$1001,732,D$2)&amp;""),""))</f>
        <v/>
      </c>
      <c r="E733">
        <f>IF(E$2=0,"",IFERROR(TRIM(INDEX('Pegar calibracion'!$A$1:$BZ$1001,732,E$2)&amp;""),""))</f>
        <v/>
      </c>
      <c r="F733">
        <f>IF(F$2=0,"",IFERROR(TRIM(INDEX('Pegar calibracion'!$A$1:$BZ$1001,732,F$2)&amp;""),""))</f>
        <v/>
      </c>
      <c r="G733">
        <f>IF(G$2=0,"",IFERROR(TRIM(INDEX('Pegar calibracion'!$A$1:$BZ$1001,732,G$2)&amp;""),""))</f>
        <v/>
      </c>
      <c r="H733">
        <f>IF(H$2=0,"",IFERROR(TRIM(INDEX('Pegar calibracion'!$A$1:$BZ$1001,732,H$2)&amp;""),""))</f>
        <v/>
      </c>
      <c r="I733">
        <f>IF(I$2=0,"",IFERROR(TRIM(INDEX('Pegar calibracion'!$A$1:$BZ$1001,732,I$2)&amp;""),""))</f>
        <v/>
      </c>
      <c r="J733">
        <f>IF(J$2=0,"",IFERROR(TRIM(INDEX('Pegar calibracion'!$A$1:$BZ$1001,732,J$2)&amp;""),""))</f>
        <v/>
      </c>
      <c r="K733">
        <f>IF(K$2=0,"",IFERROR(TRIM(INDEX('Pegar calibracion'!$A$1:$BZ$1001,732,K$2)&amp;""),""))</f>
        <v/>
      </c>
      <c r="L733">
        <f>IF(L$2=0,"",IFERROR(TRIM(INDEX('Pegar calibracion'!$A$1:$BZ$1001,732,L$2)&amp;""),""))</f>
        <v/>
      </c>
      <c r="M733" s="25">
        <f>IF(D733="","",SUBSTITUTE(SUBSTITUTE(SUBSTITUTE(SUBSTITUTE(SUBSTITUTE(SUBSTITUTE(SUBSTITUTE(SUBSTITUTE(SUBSTITUTE(SUBSTITUTE(SUBSTITUTE(SUBSTITUTE(LOWER(TRIM(D733)),"á","a"),"é","e"),"í","i"),"ó","o"),"ú","u"),"ü","u"),"ñ","n"),"à","a"),"è","e"),"ì","i"),"ò","o"),"ù","u"))</f>
        <v/>
      </c>
      <c r="N733" s="25">
        <f>IF(F733="","",SUBSTITUTE(SUBSTITUTE(SUBSTITUTE(SUBSTITUTE(SUBSTITUTE(SUBSTITUTE(SUBSTITUTE(SUBSTITUTE(SUBSTITUTE(SUBSTITUTE(SUBSTITUTE(SUBSTITUTE(LOWER(TRIM(F733)),"á","a"),"é","e"),"í","i"),"ó","o"),"ú","u"),"ü","u"),"ñ","n"),"à","a"),"è","e"),"ì","i"),"ò","o"),"ù","u"))</f>
        <v/>
      </c>
      <c r="O733" s="25">
        <f>IF(M733="confiable",2,IF(M733="dudosa",1,IF(M733="no confiable",0,"")))</f>
        <v/>
      </c>
      <c r="P733" s="25">
        <f>IF(N733="confiable",2,IF(N733="dudosa",1,IF(N733="no confiable",0,"")))</f>
        <v/>
      </c>
      <c r="Q733" s="25">
        <f>IF(AND(ISNUMBER(O733),ISNUMBER(P733)),1,"")</f>
        <v/>
      </c>
      <c r="R733" s="25">
        <f>IF(Q733=1,IF(O733=P733,"Sí","No"),"")</f>
        <v/>
      </c>
      <c r="S733" s="25">
        <f>IF(Q733=1,IF(P733&lt;O733,"Más estricto",IF(P733&gt;O733,"Más permisivo","Igual")),"")</f>
        <v/>
      </c>
      <c r="T733" s="25">
        <f>IF(Q733=1,IF(ABS(O733-P733)=2,1,0),"")</f>
        <v/>
      </c>
      <c r="U733" s="25">
        <f>IF(H733="","","|"&amp;SUBSTITUTE(SUBSTITUTE(TRIM(H733)," |","|"),"| ","|")&amp;"|")</f>
        <v/>
      </c>
      <c r="V733" s="25">
        <f>IF(AND(Q733=1,B733&lt;&gt;""),IF(IFERROR(COUNTIFS(B$3:B733,"="&amp;SUBSTITUTE(SUBSTITUTE(SUBSTITUTE(B733,"~","~~"),"*","~*"),"?","~?"),Q$3:Q733,1),0)=1,MAX(V$2:V732)+1,""),"")</f>
        <v/>
      </c>
      <c r="W733" s="25">
        <f>IF(V733="","",COUNTIFS($B$3:$B$1002,"="&amp;SUBSTITUTE(SUBSTITUTE(SUBSTITUTE(B733,"~","~~"),"*","~*"),"?","~?"),$Q$3:$Q$1002,1)*10000-V733)</f>
        <v/>
      </c>
      <c r="X733" s="25">
        <f>IF(Q733=1,IF(SUBSTITUTE(SUBSTITUTE(SUBSTITUTE(SUBSTITUTE(SUBSTITUTE(SUBSTITUTE(SUBSTITUTE(SUBSTITUTE(SUBSTITUTE(SUBSTITUTE(SUBSTITUTE(SUBSTITUTE(LOWER(TRIM(A733)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733)),"á","a"),"é","e"),"í","i"),"ó","o"),"ú","u"),"ü","u"),"ñ","n"),"à","a"),"è","e"),"ì","i"),"ò","o"),"ù","u")),"")</f>
        <v/>
      </c>
      <c r="Y733" s="25">
        <f>IF(X733="","",IF(IFERROR(COUNTIF(X$3:X733,"="&amp;SUBSTITUTE(SUBSTITUTE(SUBSTITUTE(X733,"~","~~"),"*","~*"),"?","~?")),0)=1,1,""))</f>
        <v/>
      </c>
      <c r="Z733" s="25">
        <f>IF(T733=1,MAX(Z$2:Z732)+1,"")</f>
        <v/>
      </c>
    </row>
    <row r="734">
      <c r="A734">
        <f>IF(A$2=0,"",IFERROR(TRIM(INDEX('Pegar calibracion'!$A$1:$BZ$1001,733,A$2)&amp;""),""))</f>
        <v/>
      </c>
      <c r="B734">
        <f>IF(B$2=0,"",IFERROR(TRIM(INDEX('Pegar calibracion'!$A$1:$BZ$1001,733,B$2)&amp;""),""))</f>
        <v/>
      </c>
      <c r="C734">
        <f>IF(C$2=0,"",IFERROR(TRIM(INDEX('Pegar calibracion'!$A$1:$BZ$1001,733,C$2)&amp;""),""))</f>
        <v/>
      </c>
      <c r="D734">
        <f>IF(D$2=0,"",IFERROR(TRIM(INDEX('Pegar calibracion'!$A$1:$BZ$1001,733,D$2)&amp;""),""))</f>
        <v/>
      </c>
      <c r="E734">
        <f>IF(E$2=0,"",IFERROR(TRIM(INDEX('Pegar calibracion'!$A$1:$BZ$1001,733,E$2)&amp;""),""))</f>
        <v/>
      </c>
      <c r="F734">
        <f>IF(F$2=0,"",IFERROR(TRIM(INDEX('Pegar calibracion'!$A$1:$BZ$1001,733,F$2)&amp;""),""))</f>
        <v/>
      </c>
      <c r="G734">
        <f>IF(G$2=0,"",IFERROR(TRIM(INDEX('Pegar calibracion'!$A$1:$BZ$1001,733,G$2)&amp;""),""))</f>
        <v/>
      </c>
      <c r="H734">
        <f>IF(H$2=0,"",IFERROR(TRIM(INDEX('Pegar calibracion'!$A$1:$BZ$1001,733,H$2)&amp;""),""))</f>
        <v/>
      </c>
      <c r="I734">
        <f>IF(I$2=0,"",IFERROR(TRIM(INDEX('Pegar calibracion'!$A$1:$BZ$1001,733,I$2)&amp;""),""))</f>
        <v/>
      </c>
      <c r="J734">
        <f>IF(J$2=0,"",IFERROR(TRIM(INDEX('Pegar calibracion'!$A$1:$BZ$1001,733,J$2)&amp;""),""))</f>
        <v/>
      </c>
      <c r="K734">
        <f>IF(K$2=0,"",IFERROR(TRIM(INDEX('Pegar calibracion'!$A$1:$BZ$1001,733,K$2)&amp;""),""))</f>
        <v/>
      </c>
      <c r="L734">
        <f>IF(L$2=0,"",IFERROR(TRIM(INDEX('Pegar calibracion'!$A$1:$BZ$1001,733,L$2)&amp;""),""))</f>
        <v/>
      </c>
      <c r="M734" s="25">
        <f>IF(D734="","",SUBSTITUTE(SUBSTITUTE(SUBSTITUTE(SUBSTITUTE(SUBSTITUTE(SUBSTITUTE(SUBSTITUTE(SUBSTITUTE(SUBSTITUTE(SUBSTITUTE(SUBSTITUTE(SUBSTITUTE(LOWER(TRIM(D734)),"á","a"),"é","e"),"í","i"),"ó","o"),"ú","u"),"ü","u"),"ñ","n"),"à","a"),"è","e"),"ì","i"),"ò","o"),"ù","u"))</f>
        <v/>
      </c>
      <c r="N734" s="25">
        <f>IF(F734="","",SUBSTITUTE(SUBSTITUTE(SUBSTITUTE(SUBSTITUTE(SUBSTITUTE(SUBSTITUTE(SUBSTITUTE(SUBSTITUTE(SUBSTITUTE(SUBSTITUTE(SUBSTITUTE(SUBSTITUTE(LOWER(TRIM(F734)),"á","a"),"é","e"),"í","i"),"ó","o"),"ú","u"),"ü","u"),"ñ","n"),"à","a"),"è","e"),"ì","i"),"ò","o"),"ù","u"))</f>
        <v/>
      </c>
      <c r="O734" s="25">
        <f>IF(M734="confiable",2,IF(M734="dudosa",1,IF(M734="no confiable",0,"")))</f>
        <v/>
      </c>
      <c r="P734" s="25">
        <f>IF(N734="confiable",2,IF(N734="dudosa",1,IF(N734="no confiable",0,"")))</f>
        <v/>
      </c>
      <c r="Q734" s="25">
        <f>IF(AND(ISNUMBER(O734),ISNUMBER(P734)),1,"")</f>
        <v/>
      </c>
      <c r="R734" s="25">
        <f>IF(Q734=1,IF(O734=P734,"Sí","No"),"")</f>
        <v/>
      </c>
      <c r="S734" s="25">
        <f>IF(Q734=1,IF(P734&lt;O734,"Más estricto",IF(P734&gt;O734,"Más permisivo","Igual")),"")</f>
        <v/>
      </c>
      <c r="T734" s="25">
        <f>IF(Q734=1,IF(ABS(O734-P734)=2,1,0),"")</f>
        <v/>
      </c>
      <c r="U734" s="25">
        <f>IF(H734="","","|"&amp;SUBSTITUTE(SUBSTITUTE(TRIM(H734)," |","|"),"| ","|")&amp;"|")</f>
        <v/>
      </c>
      <c r="V734" s="25">
        <f>IF(AND(Q734=1,B734&lt;&gt;""),IF(IFERROR(COUNTIFS(B$3:B734,"="&amp;SUBSTITUTE(SUBSTITUTE(SUBSTITUTE(B734,"~","~~"),"*","~*"),"?","~?"),Q$3:Q734,1),0)=1,MAX(V$2:V733)+1,""),"")</f>
        <v/>
      </c>
      <c r="W734" s="25">
        <f>IF(V734="","",COUNTIFS($B$3:$B$1002,"="&amp;SUBSTITUTE(SUBSTITUTE(SUBSTITUTE(B734,"~","~~"),"*","~*"),"?","~?"),$Q$3:$Q$1002,1)*10000-V734)</f>
        <v/>
      </c>
      <c r="X734" s="25">
        <f>IF(Q734=1,IF(SUBSTITUTE(SUBSTITUTE(SUBSTITUTE(SUBSTITUTE(SUBSTITUTE(SUBSTITUTE(SUBSTITUTE(SUBSTITUTE(SUBSTITUTE(SUBSTITUTE(SUBSTITUTE(SUBSTITUTE(LOWER(TRIM(A734)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734)),"á","a"),"é","e"),"í","i"),"ó","o"),"ú","u"),"ü","u"),"ñ","n"),"à","a"),"è","e"),"ì","i"),"ò","o"),"ù","u")),"")</f>
        <v/>
      </c>
      <c r="Y734" s="25">
        <f>IF(X734="","",IF(IFERROR(COUNTIF(X$3:X734,"="&amp;SUBSTITUTE(SUBSTITUTE(SUBSTITUTE(X734,"~","~~"),"*","~*"),"?","~?")),0)=1,1,""))</f>
        <v/>
      </c>
      <c r="Z734" s="25">
        <f>IF(T734=1,MAX(Z$2:Z733)+1,"")</f>
        <v/>
      </c>
    </row>
    <row r="735">
      <c r="A735">
        <f>IF(A$2=0,"",IFERROR(TRIM(INDEX('Pegar calibracion'!$A$1:$BZ$1001,734,A$2)&amp;""),""))</f>
        <v/>
      </c>
      <c r="B735">
        <f>IF(B$2=0,"",IFERROR(TRIM(INDEX('Pegar calibracion'!$A$1:$BZ$1001,734,B$2)&amp;""),""))</f>
        <v/>
      </c>
      <c r="C735">
        <f>IF(C$2=0,"",IFERROR(TRIM(INDEX('Pegar calibracion'!$A$1:$BZ$1001,734,C$2)&amp;""),""))</f>
        <v/>
      </c>
      <c r="D735">
        <f>IF(D$2=0,"",IFERROR(TRIM(INDEX('Pegar calibracion'!$A$1:$BZ$1001,734,D$2)&amp;""),""))</f>
        <v/>
      </c>
      <c r="E735">
        <f>IF(E$2=0,"",IFERROR(TRIM(INDEX('Pegar calibracion'!$A$1:$BZ$1001,734,E$2)&amp;""),""))</f>
        <v/>
      </c>
      <c r="F735">
        <f>IF(F$2=0,"",IFERROR(TRIM(INDEX('Pegar calibracion'!$A$1:$BZ$1001,734,F$2)&amp;""),""))</f>
        <v/>
      </c>
      <c r="G735">
        <f>IF(G$2=0,"",IFERROR(TRIM(INDEX('Pegar calibracion'!$A$1:$BZ$1001,734,G$2)&amp;""),""))</f>
        <v/>
      </c>
      <c r="H735">
        <f>IF(H$2=0,"",IFERROR(TRIM(INDEX('Pegar calibracion'!$A$1:$BZ$1001,734,H$2)&amp;""),""))</f>
        <v/>
      </c>
      <c r="I735">
        <f>IF(I$2=0,"",IFERROR(TRIM(INDEX('Pegar calibracion'!$A$1:$BZ$1001,734,I$2)&amp;""),""))</f>
        <v/>
      </c>
      <c r="J735">
        <f>IF(J$2=0,"",IFERROR(TRIM(INDEX('Pegar calibracion'!$A$1:$BZ$1001,734,J$2)&amp;""),""))</f>
        <v/>
      </c>
      <c r="K735">
        <f>IF(K$2=0,"",IFERROR(TRIM(INDEX('Pegar calibracion'!$A$1:$BZ$1001,734,K$2)&amp;""),""))</f>
        <v/>
      </c>
      <c r="L735">
        <f>IF(L$2=0,"",IFERROR(TRIM(INDEX('Pegar calibracion'!$A$1:$BZ$1001,734,L$2)&amp;""),""))</f>
        <v/>
      </c>
      <c r="M735" s="25">
        <f>IF(D735="","",SUBSTITUTE(SUBSTITUTE(SUBSTITUTE(SUBSTITUTE(SUBSTITUTE(SUBSTITUTE(SUBSTITUTE(SUBSTITUTE(SUBSTITUTE(SUBSTITUTE(SUBSTITUTE(SUBSTITUTE(LOWER(TRIM(D735)),"á","a"),"é","e"),"í","i"),"ó","o"),"ú","u"),"ü","u"),"ñ","n"),"à","a"),"è","e"),"ì","i"),"ò","o"),"ù","u"))</f>
        <v/>
      </c>
      <c r="N735" s="25">
        <f>IF(F735="","",SUBSTITUTE(SUBSTITUTE(SUBSTITUTE(SUBSTITUTE(SUBSTITUTE(SUBSTITUTE(SUBSTITUTE(SUBSTITUTE(SUBSTITUTE(SUBSTITUTE(SUBSTITUTE(SUBSTITUTE(LOWER(TRIM(F735)),"á","a"),"é","e"),"í","i"),"ó","o"),"ú","u"),"ü","u"),"ñ","n"),"à","a"),"è","e"),"ì","i"),"ò","o"),"ù","u"))</f>
        <v/>
      </c>
      <c r="O735" s="25">
        <f>IF(M735="confiable",2,IF(M735="dudosa",1,IF(M735="no confiable",0,"")))</f>
        <v/>
      </c>
      <c r="P735" s="25">
        <f>IF(N735="confiable",2,IF(N735="dudosa",1,IF(N735="no confiable",0,"")))</f>
        <v/>
      </c>
      <c r="Q735" s="25">
        <f>IF(AND(ISNUMBER(O735),ISNUMBER(P735)),1,"")</f>
        <v/>
      </c>
      <c r="R735" s="25">
        <f>IF(Q735=1,IF(O735=P735,"Sí","No"),"")</f>
        <v/>
      </c>
      <c r="S735" s="25">
        <f>IF(Q735=1,IF(P735&lt;O735,"Más estricto",IF(P735&gt;O735,"Más permisivo","Igual")),"")</f>
        <v/>
      </c>
      <c r="T735" s="25">
        <f>IF(Q735=1,IF(ABS(O735-P735)=2,1,0),"")</f>
        <v/>
      </c>
      <c r="U735" s="25">
        <f>IF(H735="","","|"&amp;SUBSTITUTE(SUBSTITUTE(TRIM(H735)," |","|"),"| ","|")&amp;"|")</f>
        <v/>
      </c>
      <c r="V735" s="25">
        <f>IF(AND(Q735=1,B735&lt;&gt;""),IF(IFERROR(COUNTIFS(B$3:B735,"="&amp;SUBSTITUTE(SUBSTITUTE(SUBSTITUTE(B735,"~","~~"),"*","~*"),"?","~?"),Q$3:Q735,1),0)=1,MAX(V$2:V734)+1,""),"")</f>
        <v/>
      </c>
      <c r="W735" s="25">
        <f>IF(V735="","",COUNTIFS($B$3:$B$1002,"="&amp;SUBSTITUTE(SUBSTITUTE(SUBSTITUTE(B735,"~","~~"),"*","~*"),"?","~?"),$Q$3:$Q$1002,1)*10000-V735)</f>
        <v/>
      </c>
      <c r="X735" s="25">
        <f>IF(Q735=1,IF(SUBSTITUTE(SUBSTITUTE(SUBSTITUTE(SUBSTITUTE(SUBSTITUTE(SUBSTITUTE(SUBSTITUTE(SUBSTITUTE(SUBSTITUTE(SUBSTITUTE(SUBSTITUTE(SUBSTITUTE(LOWER(TRIM(A735)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735)),"á","a"),"é","e"),"í","i"),"ó","o"),"ú","u"),"ü","u"),"ñ","n"),"à","a"),"è","e"),"ì","i"),"ò","o"),"ù","u")),"")</f>
        <v/>
      </c>
      <c r="Y735" s="25">
        <f>IF(X735="","",IF(IFERROR(COUNTIF(X$3:X735,"="&amp;SUBSTITUTE(SUBSTITUTE(SUBSTITUTE(X735,"~","~~"),"*","~*"),"?","~?")),0)=1,1,""))</f>
        <v/>
      </c>
      <c r="Z735" s="25">
        <f>IF(T735=1,MAX(Z$2:Z734)+1,"")</f>
        <v/>
      </c>
    </row>
    <row r="736">
      <c r="A736">
        <f>IF(A$2=0,"",IFERROR(TRIM(INDEX('Pegar calibracion'!$A$1:$BZ$1001,735,A$2)&amp;""),""))</f>
        <v/>
      </c>
      <c r="B736">
        <f>IF(B$2=0,"",IFERROR(TRIM(INDEX('Pegar calibracion'!$A$1:$BZ$1001,735,B$2)&amp;""),""))</f>
        <v/>
      </c>
      <c r="C736">
        <f>IF(C$2=0,"",IFERROR(TRIM(INDEX('Pegar calibracion'!$A$1:$BZ$1001,735,C$2)&amp;""),""))</f>
        <v/>
      </c>
      <c r="D736">
        <f>IF(D$2=0,"",IFERROR(TRIM(INDEX('Pegar calibracion'!$A$1:$BZ$1001,735,D$2)&amp;""),""))</f>
        <v/>
      </c>
      <c r="E736">
        <f>IF(E$2=0,"",IFERROR(TRIM(INDEX('Pegar calibracion'!$A$1:$BZ$1001,735,E$2)&amp;""),""))</f>
        <v/>
      </c>
      <c r="F736">
        <f>IF(F$2=0,"",IFERROR(TRIM(INDEX('Pegar calibracion'!$A$1:$BZ$1001,735,F$2)&amp;""),""))</f>
        <v/>
      </c>
      <c r="G736">
        <f>IF(G$2=0,"",IFERROR(TRIM(INDEX('Pegar calibracion'!$A$1:$BZ$1001,735,G$2)&amp;""),""))</f>
        <v/>
      </c>
      <c r="H736">
        <f>IF(H$2=0,"",IFERROR(TRIM(INDEX('Pegar calibracion'!$A$1:$BZ$1001,735,H$2)&amp;""),""))</f>
        <v/>
      </c>
      <c r="I736">
        <f>IF(I$2=0,"",IFERROR(TRIM(INDEX('Pegar calibracion'!$A$1:$BZ$1001,735,I$2)&amp;""),""))</f>
        <v/>
      </c>
      <c r="J736">
        <f>IF(J$2=0,"",IFERROR(TRIM(INDEX('Pegar calibracion'!$A$1:$BZ$1001,735,J$2)&amp;""),""))</f>
        <v/>
      </c>
      <c r="K736">
        <f>IF(K$2=0,"",IFERROR(TRIM(INDEX('Pegar calibracion'!$A$1:$BZ$1001,735,K$2)&amp;""),""))</f>
        <v/>
      </c>
      <c r="L736">
        <f>IF(L$2=0,"",IFERROR(TRIM(INDEX('Pegar calibracion'!$A$1:$BZ$1001,735,L$2)&amp;""),""))</f>
        <v/>
      </c>
      <c r="M736" s="25">
        <f>IF(D736="","",SUBSTITUTE(SUBSTITUTE(SUBSTITUTE(SUBSTITUTE(SUBSTITUTE(SUBSTITUTE(SUBSTITUTE(SUBSTITUTE(SUBSTITUTE(SUBSTITUTE(SUBSTITUTE(SUBSTITUTE(LOWER(TRIM(D736)),"á","a"),"é","e"),"í","i"),"ó","o"),"ú","u"),"ü","u"),"ñ","n"),"à","a"),"è","e"),"ì","i"),"ò","o"),"ù","u"))</f>
        <v/>
      </c>
      <c r="N736" s="25">
        <f>IF(F736="","",SUBSTITUTE(SUBSTITUTE(SUBSTITUTE(SUBSTITUTE(SUBSTITUTE(SUBSTITUTE(SUBSTITUTE(SUBSTITUTE(SUBSTITUTE(SUBSTITUTE(SUBSTITUTE(SUBSTITUTE(LOWER(TRIM(F736)),"á","a"),"é","e"),"í","i"),"ó","o"),"ú","u"),"ü","u"),"ñ","n"),"à","a"),"è","e"),"ì","i"),"ò","o"),"ù","u"))</f>
        <v/>
      </c>
      <c r="O736" s="25">
        <f>IF(M736="confiable",2,IF(M736="dudosa",1,IF(M736="no confiable",0,"")))</f>
        <v/>
      </c>
      <c r="P736" s="25">
        <f>IF(N736="confiable",2,IF(N736="dudosa",1,IF(N736="no confiable",0,"")))</f>
        <v/>
      </c>
      <c r="Q736" s="25">
        <f>IF(AND(ISNUMBER(O736),ISNUMBER(P736)),1,"")</f>
        <v/>
      </c>
      <c r="R736" s="25">
        <f>IF(Q736=1,IF(O736=P736,"Sí","No"),"")</f>
        <v/>
      </c>
      <c r="S736" s="25">
        <f>IF(Q736=1,IF(P736&lt;O736,"Más estricto",IF(P736&gt;O736,"Más permisivo","Igual")),"")</f>
        <v/>
      </c>
      <c r="T736" s="25">
        <f>IF(Q736=1,IF(ABS(O736-P736)=2,1,0),"")</f>
        <v/>
      </c>
      <c r="U736" s="25">
        <f>IF(H736="","","|"&amp;SUBSTITUTE(SUBSTITUTE(TRIM(H736)," |","|"),"| ","|")&amp;"|")</f>
        <v/>
      </c>
      <c r="V736" s="25">
        <f>IF(AND(Q736=1,B736&lt;&gt;""),IF(IFERROR(COUNTIFS(B$3:B736,"="&amp;SUBSTITUTE(SUBSTITUTE(SUBSTITUTE(B736,"~","~~"),"*","~*"),"?","~?"),Q$3:Q736,1),0)=1,MAX(V$2:V735)+1,""),"")</f>
        <v/>
      </c>
      <c r="W736" s="25">
        <f>IF(V736="","",COUNTIFS($B$3:$B$1002,"="&amp;SUBSTITUTE(SUBSTITUTE(SUBSTITUTE(B736,"~","~~"),"*","~*"),"?","~?"),$Q$3:$Q$1002,1)*10000-V736)</f>
        <v/>
      </c>
      <c r="X736" s="25">
        <f>IF(Q736=1,IF(SUBSTITUTE(SUBSTITUTE(SUBSTITUTE(SUBSTITUTE(SUBSTITUTE(SUBSTITUTE(SUBSTITUTE(SUBSTITUTE(SUBSTITUTE(SUBSTITUTE(SUBSTITUTE(SUBSTITUTE(LOWER(TRIM(A736)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736)),"á","a"),"é","e"),"í","i"),"ó","o"),"ú","u"),"ü","u"),"ñ","n"),"à","a"),"è","e"),"ì","i"),"ò","o"),"ù","u")),"")</f>
        <v/>
      </c>
      <c r="Y736" s="25">
        <f>IF(X736="","",IF(IFERROR(COUNTIF(X$3:X736,"="&amp;SUBSTITUTE(SUBSTITUTE(SUBSTITUTE(X736,"~","~~"),"*","~*"),"?","~?")),0)=1,1,""))</f>
        <v/>
      </c>
      <c r="Z736" s="25">
        <f>IF(T736=1,MAX(Z$2:Z735)+1,"")</f>
        <v/>
      </c>
    </row>
    <row r="737">
      <c r="A737">
        <f>IF(A$2=0,"",IFERROR(TRIM(INDEX('Pegar calibracion'!$A$1:$BZ$1001,736,A$2)&amp;""),""))</f>
        <v/>
      </c>
      <c r="B737">
        <f>IF(B$2=0,"",IFERROR(TRIM(INDEX('Pegar calibracion'!$A$1:$BZ$1001,736,B$2)&amp;""),""))</f>
        <v/>
      </c>
      <c r="C737">
        <f>IF(C$2=0,"",IFERROR(TRIM(INDEX('Pegar calibracion'!$A$1:$BZ$1001,736,C$2)&amp;""),""))</f>
        <v/>
      </c>
      <c r="D737">
        <f>IF(D$2=0,"",IFERROR(TRIM(INDEX('Pegar calibracion'!$A$1:$BZ$1001,736,D$2)&amp;""),""))</f>
        <v/>
      </c>
      <c r="E737">
        <f>IF(E$2=0,"",IFERROR(TRIM(INDEX('Pegar calibracion'!$A$1:$BZ$1001,736,E$2)&amp;""),""))</f>
        <v/>
      </c>
      <c r="F737">
        <f>IF(F$2=0,"",IFERROR(TRIM(INDEX('Pegar calibracion'!$A$1:$BZ$1001,736,F$2)&amp;""),""))</f>
        <v/>
      </c>
      <c r="G737">
        <f>IF(G$2=0,"",IFERROR(TRIM(INDEX('Pegar calibracion'!$A$1:$BZ$1001,736,G$2)&amp;""),""))</f>
        <v/>
      </c>
      <c r="H737">
        <f>IF(H$2=0,"",IFERROR(TRIM(INDEX('Pegar calibracion'!$A$1:$BZ$1001,736,H$2)&amp;""),""))</f>
        <v/>
      </c>
      <c r="I737">
        <f>IF(I$2=0,"",IFERROR(TRIM(INDEX('Pegar calibracion'!$A$1:$BZ$1001,736,I$2)&amp;""),""))</f>
        <v/>
      </c>
      <c r="J737">
        <f>IF(J$2=0,"",IFERROR(TRIM(INDEX('Pegar calibracion'!$A$1:$BZ$1001,736,J$2)&amp;""),""))</f>
        <v/>
      </c>
      <c r="K737">
        <f>IF(K$2=0,"",IFERROR(TRIM(INDEX('Pegar calibracion'!$A$1:$BZ$1001,736,K$2)&amp;""),""))</f>
        <v/>
      </c>
      <c r="L737">
        <f>IF(L$2=0,"",IFERROR(TRIM(INDEX('Pegar calibracion'!$A$1:$BZ$1001,736,L$2)&amp;""),""))</f>
        <v/>
      </c>
      <c r="M737" s="25">
        <f>IF(D737="","",SUBSTITUTE(SUBSTITUTE(SUBSTITUTE(SUBSTITUTE(SUBSTITUTE(SUBSTITUTE(SUBSTITUTE(SUBSTITUTE(SUBSTITUTE(SUBSTITUTE(SUBSTITUTE(SUBSTITUTE(LOWER(TRIM(D737)),"á","a"),"é","e"),"í","i"),"ó","o"),"ú","u"),"ü","u"),"ñ","n"),"à","a"),"è","e"),"ì","i"),"ò","o"),"ù","u"))</f>
        <v/>
      </c>
      <c r="N737" s="25">
        <f>IF(F737="","",SUBSTITUTE(SUBSTITUTE(SUBSTITUTE(SUBSTITUTE(SUBSTITUTE(SUBSTITUTE(SUBSTITUTE(SUBSTITUTE(SUBSTITUTE(SUBSTITUTE(SUBSTITUTE(SUBSTITUTE(LOWER(TRIM(F737)),"á","a"),"é","e"),"í","i"),"ó","o"),"ú","u"),"ü","u"),"ñ","n"),"à","a"),"è","e"),"ì","i"),"ò","o"),"ù","u"))</f>
        <v/>
      </c>
      <c r="O737" s="25">
        <f>IF(M737="confiable",2,IF(M737="dudosa",1,IF(M737="no confiable",0,"")))</f>
        <v/>
      </c>
      <c r="P737" s="25">
        <f>IF(N737="confiable",2,IF(N737="dudosa",1,IF(N737="no confiable",0,"")))</f>
        <v/>
      </c>
      <c r="Q737" s="25">
        <f>IF(AND(ISNUMBER(O737),ISNUMBER(P737)),1,"")</f>
        <v/>
      </c>
      <c r="R737" s="25">
        <f>IF(Q737=1,IF(O737=P737,"Sí","No"),"")</f>
        <v/>
      </c>
      <c r="S737" s="25">
        <f>IF(Q737=1,IF(P737&lt;O737,"Más estricto",IF(P737&gt;O737,"Más permisivo","Igual")),"")</f>
        <v/>
      </c>
      <c r="T737" s="25">
        <f>IF(Q737=1,IF(ABS(O737-P737)=2,1,0),"")</f>
        <v/>
      </c>
      <c r="U737" s="25">
        <f>IF(H737="","","|"&amp;SUBSTITUTE(SUBSTITUTE(TRIM(H737)," |","|"),"| ","|")&amp;"|")</f>
        <v/>
      </c>
      <c r="V737" s="25">
        <f>IF(AND(Q737=1,B737&lt;&gt;""),IF(IFERROR(COUNTIFS(B$3:B737,"="&amp;SUBSTITUTE(SUBSTITUTE(SUBSTITUTE(B737,"~","~~"),"*","~*"),"?","~?"),Q$3:Q737,1),0)=1,MAX(V$2:V736)+1,""),"")</f>
        <v/>
      </c>
      <c r="W737" s="25">
        <f>IF(V737="","",COUNTIFS($B$3:$B$1002,"="&amp;SUBSTITUTE(SUBSTITUTE(SUBSTITUTE(B737,"~","~~"),"*","~*"),"?","~?"),$Q$3:$Q$1002,1)*10000-V737)</f>
        <v/>
      </c>
      <c r="X737" s="25">
        <f>IF(Q737=1,IF(SUBSTITUTE(SUBSTITUTE(SUBSTITUTE(SUBSTITUTE(SUBSTITUTE(SUBSTITUTE(SUBSTITUTE(SUBSTITUTE(SUBSTITUTE(SUBSTITUTE(SUBSTITUTE(SUBSTITUTE(LOWER(TRIM(A737)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737)),"á","a"),"é","e"),"í","i"),"ó","o"),"ú","u"),"ü","u"),"ñ","n"),"à","a"),"è","e"),"ì","i"),"ò","o"),"ù","u")),"")</f>
        <v/>
      </c>
      <c r="Y737" s="25">
        <f>IF(X737="","",IF(IFERROR(COUNTIF(X$3:X737,"="&amp;SUBSTITUTE(SUBSTITUTE(SUBSTITUTE(X737,"~","~~"),"*","~*"),"?","~?")),0)=1,1,""))</f>
        <v/>
      </c>
      <c r="Z737" s="25">
        <f>IF(T737=1,MAX(Z$2:Z736)+1,"")</f>
        <v/>
      </c>
    </row>
    <row r="738">
      <c r="A738">
        <f>IF(A$2=0,"",IFERROR(TRIM(INDEX('Pegar calibracion'!$A$1:$BZ$1001,737,A$2)&amp;""),""))</f>
        <v/>
      </c>
      <c r="B738">
        <f>IF(B$2=0,"",IFERROR(TRIM(INDEX('Pegar calibracion'!$A$1:$BZ$1001,737,B$2)&amp;""),""))</f>
        <v/>
      </c>
      <c r="C738">
        <f>IF(C$2=0,"",IFERROR(TRIM(INDEX('Pegar calibracion'!$A$1:$BZ$1001,737,C$2)&amp;""),""))</f>
        <v/>
      </c>
      <c r="D738">
        <f>IF(D$2=0,"",IFERROR(TRIM(INDEX('Pegar calibracion'!$A$1:$BZ$1001,737,D$2)&amp;""),""))</f>
        <v/>
      </c>
      <c r="E738">
        <f>IF(E$2=0,"",IFERROR(TRIM(INDEX('Pegar calibracion'!$A$1:$BZ$1001,737,E$2)&amp;""),""))</f>
        <v/>
      </c>
      <c r="F738">
        <f>IF(F$2=0,"",IFERROR(TRIM(INDEX('Pegar calibracion'!$A$1:$BZ$1001,737,F$2)&amp;""),""))</f>
        <v/>
      </c>
      <c r="G738">
        <f>IF(G$2=0,"",IFERROR(TRIM(INDEX('Pegar calibracion'!$A$1:$BZ$1001,737,G$2)&amp;""),""))</f>
        <v/>
      </c>
      <c r="H738">
        <f>IF(H$2=0,"",IFERROR(TRIM(INDEX('Pegar calibracion'!$A$1:$BZ$1001,737,H$2)&amp;""),""))</f>
        <v/>
      </c>
      <c r="I738">
        <f>IF(I$2=0,"",IFERROR(TRIM(INDEX('Pegar calibracion'!$A$1:$BZ$1001,737,I$2)&amp;""),""))</f>
        <v/>
      </c>
      <c r="J738">
        <f>IF(J$2=0,"",IFERROR(TRIM(INDEX('Pegar calibracion'!$A$1:$BZ$1001,737,J$2)&amp;""),""))</f>
        <v/>
      </c>
      <c r="K738">
        <f>IF(K$2=0,"",IFERROR(TRIM(INDEX('Pegar calibracion'!$A$1:$BZ$1001,737,K$2)&amp;""),""))</f>
        <v/>
      </c>
      <c r="L738">
        <f>IF(L$2=0,"",IFERROR(TRIM(INDEX('Pegar calibracion'!$A$1:$BZ$1001,737,L$2)&amp;""),""))</f>
        <v/>
      </c>
      <c r="M738" s="25">
        <f>IF(D738="","",SUBSTITUTE(SUBSTITUTE(SUBSTITUTE(SUBSTITUTE(SUBSTITUTE(SUBSTITUTE(SUBSTITUTE(SUBSTITUTE(SUBSTITUTE(SUBSTITUTE(SUBSTITUTE(SUBSTITUTE(LOWER(TRIM(D738)),"á","a"),"é","e"),"í","i"),"ó","o"),"ú","u"),"ü","u"),"ñ","n"),"à","a"),"è","e"),"ì","i"),"ò","o"),"ù","u"))</f>
        <v/>
      </c>
      <c r="N738" s="25">
        <f>IF(F738="","",SUBSTITUTE(SUBSTITUTE(SUBSTITUTE(SUBSTITUTE(SUBSTITUTE(SUBSTITUTE(SUBSTITUTE(SUBSTITUTE(SUBSTITUTE(SUBSTITUTE(SUBSTITUTE(SUBSTITUTE(LOWER(TRIM(F738)),"á","a"),"é","e"),"í","i"),"ó","o"),"ú","u"),"ü","u"),"ñ","n"),"à","a"),"è","e"),"ì","i"),"ò","o"),"ù","u"))</f>
        <v/>
      </c>
      <c r="O738" s="25">
        <f>IF(M738="confiable",2,IF(M738="dudosa",1,IF(M738="no confiable",0,"")))</f>
        <v/>
      </c>
      <c r="P738" s="25">
        <f>IF(N738="confiable",2,IF(N738="dudosa",1,IF(N738="no confiable",0,"")))</f>
        <v/>
      </c>
      <c r="Q738" s="25">
        <f>IF(AND(ISNUMBER(O738),ISNUMBER(P738)),1,"")</f>
        <v/>
      </c>
      <c r="R738" s="25">
        <f>IF(Q738=1,IF(O738=P738,"Sí","No"),"")</f>
        <v/>
      </c>
      <c r="S738" s="25">
        <f>IF(Q738=1,IF(P738&lt;O738,"Más estricto",IF(P738&gt;O738,"Más permisivo","Igual")),"")</f>
        <v/>
      </c>
      <c r="T738" s="25">
        <f>IF(Q738=1,IF(ABS(O738-P738)=2,1,0),"")</f>
        <v/>
      </c>
      <c r="U738" s="25">
        <f>IF(H738="","","|"&amp;SUBSTITUTE(SUBSTITUTE(TRIM(H738)," |","|"),"| ","|")&amp;"|")</f>
        <v/>
      </c>
      <c r="V738" s="25">
        <f>IF(AND(Q738=1,B738&lt;&gt;""),IF(IFERROR(COUNTIFS(B$3:B738,"="&amp;SUBSTITUTE(SUBSTITUTE(SUBSTITUTE(B738,"~","~~"),"*","~*"),"?","~?"),Q$3:Q738,1),0)=1,MAX(V$2:V737)+1,""),"")</f>
        <v/>
      </c>
      <c r="W738" s="25">
        <f>IF(V738="","",COUNTIFS($B$3:$B$1002,"="&amp;SUBSTITUTE(SUBSTITUTE(SUBSTITUTE(B738,"~","~~"),"*","~*"),"?","~?"),$Q$3:$Q$1002,1)*10000-V738)</f>
        <v/>
      </c>
      <c r="X738" s="25">
        <f>IF(Q738=1,IF(SUBSTITUTE(SUBSTITUTE(SUBSTITUTE(SUBSTITUTE(SUBSTITUTE(SUBSTITUTE(SUBSTITUTE(SUBSTITUTE(SUBSTITUTE(SUBSTITUTE(SUBSTITUTE(SUBSTITUTE(LOWER(TRIM(A738)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738)),"á","a"),"é","e"),"í","i"),"ó","o"),"ú","u"),"ü","u"),"ñ","n"),"à","a"),"è","e"),"ì","i"),"ò","o"),"ù","u")),"")</f>
        <v/>
      </c>
      <c r="Y738" s="25">
        <f>IF(X738="","",IF(IFERROR(COUNTIF(X$3:X738,"="&amp;SUBSTITUTE(SUBSTITUTE(SUBSTITUTE(X738,"~","~~"),"*","~*"),"?","~?")),0)=1,1,""))</f>
        <v/>
      </c>
      <c r="Z738" s="25">
        <f>IF(T738=1,MAX(Z$2:Z737)+1,"")</f>
        <v/>
      </c>
    </row>
    <row r="739">
      <c r="A739">
        <f>IF(A$2=0,"",IFERROR(TRIM(INDEX('Pegar calibracion'!$A$1:$BZ$1001,738,A$2)&amp;""),""))</f>
        <v/>
      </c>
      <c r="B739">
        <f>IF(B$2=0,"",IFERROR(TRIM(INDEX('Pegar calibracion'!$A$1:$BZ$1001,738,B$2)&amp;""),""))</f>
        <v/>
      </c>
      <c r="C739">
        <f>IF(C$2=0,"",IFERROR(TRIM(INDEX('Pegar calibracion'!$A$1:$BZ$1001,738,C$2)&amp;""),""))</f>
        <v/>
      </c>
      <c r="D739">
        <f>IF(D$2=0,"",IFERROR(TRIM(INDEX('Pegar calibracion'!$A$1:$BZ$1001,738,D$2)&amp;""),""))</f>
        <v/>
      </c>
      <c r="E739">
        <f>IF(E$2=0,"",IFERROR(TRIM(INDEX('Pegar calibracion'!$A$1:$BZ$1001,738,E$2)&amp;""),""))</f>
        <v/>
      </c>
      <c r="F739">
        <f>IF(F$2=0,"",IFERROR(TRIM(INDEX('Pegar calibracion'!$A$1:$BZ$1001,738,F$2)&amp;""),""))</f>
        <v/>
      </c>
      <c r="G739">
        <f>IF(G$2=0,"",IFERROR(TRIM(INDEX('Pegar calibracion'!$A$1:$BZ$1001,738,G$2)&amp;""),""))</f>
        <v/>
      </c>
      <c r="H739">
        <f>IF(H$2=0,"",IFERROR(TRIM(INDEX('Pegar calibracion'!$A$1:$BZ$1001,738,H$2)&amp;""),""))</f>
        <v/>
      </c>
      <c r="I739">
        <f>IF(I$2=0,"",IFERROR(TRIM(INDEX('Pegar calibracion'!$A$1:$BZ$1001,738,I$2)&amp;""),""))</f>
        <v/>
      </c>
      <c r="J739">
        <f>IF(J$2=0,"",IFERROR(TRIM(INDEX('Pegar calibracion'!$A$1:$BZ$1001,738,J$2)&amp;""),""))</f>
        <v/>
      </c>
      <c r="K739">
        <f>IF(K$2=0,"",IFERROR(TRIM(INDEX('Pegar calibracion'!$A$1:$BZ$1001,738,K$2)&amp;""),""))</f>
        <v/>
      </c>
      <c r="L739">
        <f>IF(L$2=0,"",IFERROR(TRIM(INDEX('Pegar calibracion'!$A$1:$BZ$1001,738,L$2)&amp;""),""))</f>
        <v/>
      </c>
      <c r="M739" s="25">
        <f>IF(D739="","",SUBSTITUTE(SUBSTITUTE(SUBSTITUTE(SUBSTITUTE(SUBSTITUTE(SUBSTITUTE(SUBSTITUTE(SUBSTITUTE(SUBSTITUTE(SUBSTITUTE(SUBSTITUTE(SUBSTITUTE(LOWER(TRIM(D739)),"á","a"),"é","e"),"í","i"),"ó","o"),"ú","u"),"ü","u"),"ñ","n"),"à","a"),"è","e"),"ì","i"),"ò","o"),"ù","u"))</f>
        <v/>
      </c>
      <c r="N739" s="25">
        <f>IF(F739="","",SUBSTITUTE(SUBSTITUTE(SUBSTITUTE(SUBSTITUTE(SUBSTITUTE(SUBSTITUTE(SUBSTITUTE(SUBSTITUTE(SUBSTITUTE(SUBSTITUTE(SUBSTITUTE(SUBSTITUTE(LOWER(TRIM(F739)),"á","a"),"é","e"),"í","i"),"ó","o"),"ú","u"),"ü","u"),"ñ","n"),"à","a"),"è","e"),"ì","i"),"ò","o"),"ù","u"))</f>
        <v/>
      </c>
      <c r="O739" s="25">
        <f>IF(M739="confiable",2,IF(M739="dudosa",1,IF(M739="no confiable",0,"")))</f>
        <v/>
      </c>
      <c r="P739" s="25">
        <f>IF(N739="confiable",2,IF(N739="dudosa",1,IF(N739="no confiable",0,"")))</f>
        <v/>
      </c>
      <c r="Q739" s="25">
        <f>IF(AND(ISNUMBER(O739),ISNUMBER(P739)),1,"")</f>
        <v/>
      </c>
      <c r="R739" s="25">
        <f>IF(Q739=1,IF(O739=P739,"Sí","No"),"")</f>
        <v/>
      </c>
      <c r="S739" s="25">
        <f>IF(Q739=1,IF(P739&lt;O739,"Más estricto",IF(P739&gt;O739,"Más permisivo","Igual")),"")</f>
        <v/>
      </c>
      <c r="T739" s="25">
        <f>IF(Q739=1,IF(ABS(O739-P739)=2,1,0),"")</f>
        <v/>
      </c>
      <c r="U739" s="25">
        <f>IF(H739="","","|"&amp;SUBSTITUTE(SUBSTITUTE(TRIM(H739)," |","|"),"| ","|")&amp;"|")</f>
        <v/>
      </c>
      <c r="V739" s="25">
        <f>IF(AND(Q739=1,B739&lt;&gt;""),IF(IFERROR(COUNTIFS(B$3:B739,"="&amp;SUBSTITUTE(SUBSTITUTE(SUBSTITUTE(B739,"~","~~"),"*","~*"),"?","~?"),Q$3:Q739,1),0)=1,MAX(V$2:V738)+1,""),"")</f>
        <v/>
      </c>
      <c r="W739" s="25">
        <f>IF(V739="","",COUNTIFS($B$3:$B$1002,"="&amp;SUBSTITUTE(SUBSTITUTE(SUBSTITUTE(B739,"~","~~"),"*","~*"),"?","~?"),$Q$3:$Q$1002,1)*10000-V739)</f>
        <v/>
      </c>
      <c r="X739" s="25">
        <f>IF(Q739=1,IF(SUBSTITUTE(SUBSTITUTE(SUBSTITUTE(SUBSTITUTE(SUBSTITUTE(SUBSTITUTE(SUBSTITUTE(SUBSTITUTE(SUBSTITUTE(SUBSTITUTE(SUBSTITUTE(SUBSTITUTE(LOWER(TRIM(A739)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739)),"á","a"),"é","e"),"í","i"),"ó","o"),"ú","u"),"ü","u"),"ñ","n"),"à","a"),"è","e"),"ì","i"),"ò","o"),"ù","u")),"")</f>
        <v/>
      </c>
      <c r="Y739" s="25">
        <f>IF(X739="","",IF(IFERROR(COUNTIF(X$3:X739,"="&amp;SUBSTITUTE(SUBSTITUTE(SUBSTITUTE(X739,"~","~~"),"*","~*"),"?","~?")),0)=1,1,""))</f>
        <v/>
      </c>
      <c r="Z739" s="25">
        <f>IF(T739=1,MAX(Z$2:Z738)+1,"")</f>
        <v/>
      </c>
    </row>
    <row r="740">
      <c r="A740">
        <f>IF(A$2=0,"",IFERROR(TRIM(INDEX('Pegar calibracion'!$A$1:$BZ$1001,739,A$2)&amp;""),""))</f>
        <v/>
      </c>
      <c r="B740">
        <f>IF(B$2=0,"",IFERROR(TRIM(INDEX('Pegar calibracion'!$A$1:$BZ$1001,739,B$2)&amp;""),""))</f>
        <v/>
      </c>
      <c r="C740">
        <f>IF(C$2=0,"",IFERROR(TRIM(INDEX('Pegar calibracion'!$A$1:$BZ$1001,739,C$2)&amp;""),""))</f>
        <v/>
      </c>
      <c r="D740">
        <f>IF(D$2=0,"",IFERROR(TRIM(INDEX('Pegar calibracion'!$A$1:$BZ$1001,739,D$2)&amp;""),""))</f>
        <v/>
      </c>
      <c r="E740">
        <f>IF(E$2=0,"",IFERROR(TRIM(INDEX('Pegar calibracion'!$A$1:$BZ$1001,739,E$2)&amp;""),""))</f>
        <v/>
      </c>
      <c r="F740">
        <f>IF(F$2=0,"",IFERROR(TRIM(INDEX('Pegar calibracion'!$A$1:$BZ$1001,739,F$2)&amp;""),""))</f>
        <v/>
      </c>
      <c r="G740">
        <f>IF(G$2=0,"",IFERROR(TRIM(INDEX('Pegar calibracion'!$A$1:$BZ$1001,739,G$2)&amp;""),""))</f>
        <v/>
      </c>
      <c r="H740">
        <f>IF(H$2=0,"",IFERROR(TRIM(INDEX('Pegar calibracion'!$A$1:$BZ$1001,739,H$2)&amp;""),""))</f>
        <v/>
      </c>
      <c r="I740">
        <f>IF(I$2=0,"",IFERROR(TRIM(INDEX('Pegar calibracion'!$A$1:$BZ$1001,739,I$2)&amp;""),""))</f>
        <v/>
      </c>
      <c r="J740">
        <f>IF(J$2=0,"",IFERROR(TRIM(INDEX('Pegar calibracion'!$A$1:$BZ$1001,739,J$2)&amp;""),""))</f>
        <v/>
      </c>
      <c r="K740">
        <f>IF(K$2=0,"",IFERROR(TRIM(INDEX('Pegar calibracion'!$A$1:$BZ$1001,739,K$2)&amp;""),""))</f>
        <v/>
      </c>
      <c r="L740">
        <f>IF(L$2=0,"",IFERROR(TRIM(INDEX('Pegar calibracion'!$A$1:$BZ$1001,739,L$2)&amp;""),""))</f>
        <v/>
      </c>
      <c r="M740" s="25">
        <f>IF(D740="","",SUBSTITUTE(SUBSTITUTE(SUBSTITUTE(SUBSTITUTE(SUBSTITUTE(SUBSTITUTE(SUBSTITUTE(SUBSTITUTE(SUBSTITUTE(SUBSTITUTE(SUBSTITUTE(SUBSTITUTE(LOWER(TRIM(D740)),"á","a"),"é","e"),"í","i"),"ó","o"),"ú","u"),"ü","u"),"ñ","n"),"à","a"),"è","e"),"ì","i"),"ò","o"),"ù","u"))</f>
        <v/>
      </c>
      <c r="N740" s="25">
        <f>IF(F740="","",SUBSTITUTE(SUBSTITUTE(SUBSTITUTE(SUBSTITUTE(SUBSTITUTE(SUBSTITUTE(SUBSTITUTE(SUBSTITUTE(SUBSTITUTE(SUBSTITUTE(SUBSTITUTE(SUBSTITUTE(LOWER(TRIM(F740)),"á","a"),"é","e"),"í","i"),"ó","o"),"ú","u"),"ü","u"),"ñ","n"),"à","a"),"è","e"),"ì","i"),"ò","o"),"ù","u"))</f>
        <v/>
      </c>
      <c r="O740" s="25">
        <f>IF(M740="confiable",2,IF(M740="dudosa",1,IF(M740="no confiable",0,"")))</f>
        <v/>
      </c>
      <c r="P740" s="25">
        <f>IF(N740="confiable",2,IF(N740="dudosa",1,IF(N740="no confiable",0,"")))</f>
        <v/>
      </c>
      <c r="Q740" s="25">
        <f>IF(AND(ISNUMBER(O740),ISNUMBER(P740)),1,"")</f>
        <v/>
      </c>
      <c r="R740" s="25">
        <f>IF(Q740=1,IF(O740=P740,"Sí","No"),"")</f>
        <v/>
      </c>
      <c r="S740" s="25">
        <f>IF(Q740=1,IF(P740&lt;O740,"Más estricto",IF(P740&gt;O740,"Más permisivo","Igual")),"")</f>
        <v/>
      </c>
      <c r="T740" s="25">
        <f>IF(Q740=1,IF(ABS(O740-P740)=2,1,0),"")</f>
        <v/>
      </c>
      <c r="U740" s="25">
        <f>IF(H740="","","|"&amp;SUBSTITUTE(SUBSTITUTE(TRIM(H740)," |","|"),"| ","|")&amp;"|")</f>
        <v/>
      </c>
      <c r="V740" s="25">
        <f>IF(AND(Q740=1,B740&lt;&gt;""),IF(IFERROR(COUNTIFS(B$3:B740,"="&amp;SUBSTITUTE(SUBSTITUTE(SUBSTITUTE(B740,"~","~~"),"*","~*"),"?","~?"),Q$3:Q740,1),0)=1,MAX(V$2:V739)+1,""),"")</f>
        <v/>
      </c>
      <c r="W740" s="25">
        <f>IF(V740="","",COUNTIFS($B$3:$B$1002,"="&amp;SUBSTITUTE(SUBSTITUTE(SUBSTITUTE(B740,"~","~~"),"*","~*"),"?","~?"),$Q$3:$Q$1002,1)*10000-V740)</f>
        <v/>
      </c>
      <c r="X740" s="25">
        <f>IF(Q740=1,IF(SUBSTITUTE(SUBSTITUTE(SUBSTITUTE(SUBSTITUTE(SUBSTITUTE(SUBSTITUTE(SUBSTITUTE(SUBSTITUTE(SUBSTITUTE(SUBSTITUTE(SUBSTITUTE(SUBSTITUTE(LOWER(TRIM(A740)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740)),"á","a"),"é","e"),"í","i"),"ó","o"),"ú","u"),"ü","u"),"ñ","n"),"à","a"),"è","e"),"ì","i"),"ò","o"),"ù","u")),"")</f>
        <v/>
      </c>
      <c r="Y740" s="25">
        <f>IF(X740="","",IF(IFERROR(COUNTIF(X$3:X740,"="&amp;SUBSTITUTE(SUBSTITUTE(SUBSTITUTE(X740,"~","~~"),"*","~*"),"?","~?")),0)=1,1,""))</f>
        <v/>
      </c>
      <c r="Z740" s="25">
        <f>IF(T740=1,MAX(Z$2:Z739)+1,"")</f>
        <v/>
      </c>
    </row>
    <row r="741">
      <c r="A741">
        <f>IF(A$2=0,"",IFERROR(TRIM(INDEX('Pegar calibracion'!$A$1:$BZ$1001,740,A$2)&amp;""),""))</f>
        <v/>
      </c>
      <c r="B741">
        <f>IF(B$2=0,"",IFERROR(TRIM(INDEX('Pegar calibracion'!$A$1:$BZ$1001,740,B$2)&amp;""),""))</f>
        <v/>
      </c>
      <c r="C741">
        <f>IF(C$2=0,"",IFERROR(TRIM(INDEX('Pegar calibracion'!$A$1:$BZ$1001,740,C$2)&amp;""),""))</f>
        <v/>
      </c>
      <c r="D741">
        <f>IF(D$2=0,"",IFERROR(TRIM(INDEX('Pegar calibracion'!$A$1:$BZ$1001,740,D$2)&amp;""),""))</f>
        <v/>
      </c>
      <c r="E741">
        <f>IF(E$2=0,"",IFERROR(TRIM(INDEX('Pegar calibracion'!$A$1:$BZ$1001,740,E$2)&amp;""),""))</f>
        <v/>
      </c>
      <c r="F741">
        <f>IF(F$2=0,"",IFERROR(TRIM(INDEX('Pegar calibracion'!$A$1:$BZ$1001,740,F$2)&amp;""),""))</f>
        <v/>
      </c>
      <c r="G741">
        <f>IF(G$2=0,"",IFERROR(TRIM(INDEX('Pegar calibracion'!$A$1:$BZ$1001,740,G$2)&amp;""),""))</f>
        <v/>
      </c>
      <c r="H741">
        <f>IF(H$2=0,"",IFERROR(TRIM(INDEX('Pegar calibracion'!$A$1:$BZ$1001,740,H$2)&amp;""),""))</f>
        <v/>
      </c>
      <c r="I741">
        <f>IF(I$2=0,"",IFERROR(TRIM(INDEX('Pegar calibracion'!$A$1:$BZ$1001,740,I$2)&amp;""),""))</f>
        <v/>
      </c>
      <c r="J741">
        <f>IF(J$2=0,"",IFERROR(TRIM(INDEX('Pegar calibracion'!$A$1:$BZ$1001,740,J$2)&amp;""),""))</f>
        <v/>
      </c>
      <c r="K741">
        <f>IF(K$2=0,"",IFERROR(TRIM(INDEX('Pegar calibracion'!$A$1:$BZ$1001,740,K$2)&amp;""),""))</f>
        <v/>
      </c>
      <c r="L741">
        <f>IF(L$2=0,"",IFERROR(TRIM(INDEX('Pegar calibracion'!$A$1:$BZ$1001,740,L$2)&amp;""),""))</f>
        <v/>
      </c>
      <c r="M741" s="25">
        <f>IF(D741="","",SUBSTITUTE(SUBSTITUTE(SUBSTITUTE(SUBSTITUTE(SUBSTITUTE(SUBSTITUTE(SUBSTITUTE(SUBSTITUTE(SUBSTITUTE(SUBSTITUTE(SUBSTITUTE(SUBSTITUTE(LOWER(TRIM(D741)),"á","a"),"é","e"),"í","i"),"ó","o"),"ú","u"),"ü","u"),"ñ","n"),"à","a"),"è","e"),"ì","i"),"ò","o"),"ù","u"))</f>
        <v/>
      </c>
      <c r="N741" s="25">
        <f>IF(F741="","",SUBSTITUTE(SUBSTITUTE(SUBSTITUTE(SUBSTITUTE(SUBSTITUTE(SUBSTITUTE(SUBSTITUTE(SUBSTITUTE(SUBSTITUTE(SUBSTITUTE(SUBSTITUTE(SUBSTITUTE(LOWER(TRIM(F741)),"á","a"),"é","e"),"í","i"),"ó","o"),"ú","u"),"ü","u"),"ñ","n"),"à","a"),"è","e"),"ì","i"),"ò","o"),"ù","u"))</f>
        <v/>
      </c>
      <c r="O741" s="25">
        <f>IF(M741="confiable",2,IF(M741="dudosa",1,IF(M741="no confiable",0,"")))</f>
        <v/>
      </c>
      <c r="P741" s="25">
        <f>IF(N741="confiable",2,IF(N741="dudosa",1,IF(N741="no confiable",0,"")))</f>
        <v/>
      </c>
      <c r="Q741" s="25">
        <f>IF(AND(ISNUMBER(O741),ISNUMBER(P741)),1,"")</f>
        <v/>
      </c>
      <c r="R741" s="25">
        <f>IF(Q741=1,IF(O741=P741,"Sí","No"),"")</f>
        <v/>
      </c>
      <c r="S741" s="25">
        <f>IF(Q741=1,IF(P741&lt;O741,"Más estricto",IF(P741&gt;O741,"Más permisivo","Igual")),"")</f>
        <v/>
      </c>
      <c r="T741" s="25">
        <f>IF(Q741=1,IF(ABS(O741-P741)=2,1,0),"")</f>
        <v/>
      </c>
      <c r="U741" s="25">
        <f>IF(H741="","","|"&amp;SUBSTITUTE(SUBSTITUTE(TRIM(H741)," |","|"),"| ","|")&amp;"|")</f>
        <v/>
      </c>
      <c r="V741" s="25">
        <f>IF(AND(Q741=1,B741&lt;&gt;""),IF(IFERROR(COUNTIFS(B$3:B741,"="&amp;SUBSTITUTE(SUBSTITUTE(SUBSTITUTE(B741,"~","~~"),"*","~*"),"?","~?"),Q$3:Q741,1),0)=1,MAX(V$2:V740)+1,""),"")</f>
        <v/>
      </c>
      <c r="W741" s="25">
        <f>IF(V741="","",COUNTIFS($B$3:$B$1002,"="&amp;SUBSTITUTE(SUBSTITUTE(SUBSTITUTE(B741,"~","~~"),"*","~*"),"?","~?"),$Q$3:$Q$1002,1)*10000-V741)</f>
        <v/>
      </c>
      <c r="X741" s="25">
        <f>IF(Q741=1,IF(SUBSTITUTE(SUBSTITUTE(SUBSTITUTE(SUBSTITUTE(SUBSTITUTE(SUBSTITUTE(SUBSTITUTE(SUBSTITUTE(SUBSTITUTE(SUBSTITUTE(SUBSTITUTE(SUBSTITUTE(LOWER(TRIM(A741)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741)),"á","a"),"é","e"),"í","i"),"ó","o"),"ú","u"),"ü","u"),"ñ","n"),"à","a"),"è","e"),"ì","i"),"ò","o"),"ù","u")),"")</f>
        <v/>
      </c>
      <c r="Y741" s="25">
        <f>IF(X741="","",IF(IFERROR(COUNTIF(X$3:X741,"="&amp;SUBSTITUTE(SUBSTITUTE(SUBSTITUTE(X741,"~","~~"),"*","~*"),"?","~?")),0)=1,1,""))</f>
        <v/>
      </c>
      <c r="Z741" s="25">
        <f>IF(T741=1,MAX(Z$2:Z740)+1,"")</f>
        <v/>
      </c>
    </row>
    <row r="742">
      <c r="A742">
        <f>IF(A$2=0,"",IFERROR(TRIM(INDEX('Pegar calibracion'!$A$1:$BZ$1001,741,A$2)&amp;""),""))</f>
        <v/>
      </c>
      <c r="B742">
        <f>IF(B$2=0,"",IFERROR(TRIM(INDEX('Pegar calibracion'!$A$1:$BZ$1001,741,B$2)&amp;""),""))</f>
        <v/>
      </c>
      <c r="C742">
        <f>IF(C$2=0,"",IFERROR(TRIM(INDEX('Pegar calibracion'!$A$1:$BZ$1001,741,C$2)&amp;""),""))</f>
        <v/>
      </c>
      <c r="D742">
        <f>IF(D$2=0,"",IFERROR(TRIM(INDEX('Pegar calibracion'!$A$1:$BZ$1001,741,D$2)&amp;""),""))</f>
        <v/>
      </c>
      <c r="E742">
        <f>IF(E$2=0,"",IFERROR(TRIM(INDEX('Pegar calibracion'!$A$1:$BZ$1001,741,E$2)&amp;""),""))</f>
        <v/>
      </c>
      <c r="F742">
        <f>IF(F$2=0,"",IFERROR(TRIM(INDEX('Pegar calibracion'!$A$1:$BZ$1001,741,F$2)&amp;""),""))</f>
        <v/>
      </c>
      <c r="G742">
        <f>IF(G$2=0,"",IFERROR(TRIM(INDEX('Pegar calibracion'!$A$1:$BZ$1001,741,G$2)&amp;""),""))</f>
        <v/>
      </c>
      <c r="H742">
        <f>IF(H$2=0,"",IFERROR(TRIM(INDEX('Pegar calibracion'!$A$1:$BZ$1001,741,H$2)&amp;""),""))</f>
        <v/>
      </c>
      <c r="I742">
        <f>IF(I$2=0,"",IFERROR(TRIM(INDEX('Pegar calibracion'!$A$1:$BZ$1001,741,I$2)&amp;""),""))</f>
        <v/>
      </c>
      <c r="J742">
        <f>IF(J$2=0,"",IFERROR(TRIM(INDEX('Pegar calibracion'!$A$1:$BZ$1001,741,J$2)&amp;""),""))</f>
        <v/>
      </c>
      <c r="K742">
        <f>IF(K$2=0,"",IFERROR(TRIM(INDEX('Pegar calibracion'!$A$1:$BZ$1001,741,K$2)&amp;""),""))</f>
        <v/>
      </c>
      <c r="L742">
        <f>IF(L$2=0,"",IFERROR(TRIM(INDEX('Pegar calibracion'!$A$1:$BZ$1001,741,L$2)&amp;""),""))</f>
        <v/>
      </c>
      <c r="M742" s="25">
        <f>IF(D742="","",SUBSTITUTE(SUBSTITUTE(SUBSTITUTE(SUBSTITUTE(SUBSTITUTE(SUBSTITUTE(SUBSTITUTE(SUBSTITUTE(SUBSTITUTE(SUBSTITUTE(SUBSTITUTE(SUBSTITUTE(LOWER(TRIM(D742)),"á","a"),"é","e"),"í","i"),"ó","o"),"ú","u"),"ü","u"),"ñ","n"),"à","a"),"è","e"),"ì","i"),"ò","o"),"ù","u"))</f>
        <v/>
      </c>
      <c r="N742" s="25">
        <f>IF(F742="","",SUBSTITUTE(SUBSTITUTE(SUBSTITUTE(SUBSTITUTE(SUBSTITUTE(SUBSTITUTE(SUBSTITUTE(SUBSTITUTE(SUBSTITUTE(SUBSTITUTE(SUBSTITUTE(SUBSTITUTE(LOWER(TRIM(F742)),"á","a"),"é","e"),"í","i"),"ó","o"),"ú","u"),"ü","u"),"ñ","n"),"à","a"),"è","e"),"ì","i"),"ò","o"),"ù","u"))</f>
        <v/>
      </c>
      <c r="O742" s="25">
        <f>IF(M742="confiable",2,IF(M742="dudosa",1,IF(M742="no confiable",0,"")))</f>
        <v/>
      </c>
      <c r="P742" s="25">
        <f>IF(N742="confiable",2,IF(N742="dudosa",1,IF(N742="no confiable",0,"")))</f>
        <v/>
      </c>
      <c r="Q742" s="25">
        <f>IF(AND(ISNUMBER(O742),ISNUMBER(P742)),1,"")</f>
        <v/>
      </c>
      <c r="R742" s="25">
        <f>IF(Q742=1,IF(O742=P742,"Sí","No"),"")</f>
        <v/>
      </c>
      <c r="S742" s="25">
        <f>IF(Q742=1,IF(P742&lt;O742,"Más estricto",IF(P742&gt;O742,"Más permisivo","Igual")),"")</f>
        <v/>
      </c>
      <c r="T742" s="25">
        <f>IF(Q742=1,IF(ABS(O742-P742)=2,1,0),"")</f>
        <v/>
      </c>
      <c r="U742" s="25">
        <f>IF(H742="","","|"&amp;SUBSTITUTE(SUBSTITUTE(TRIM(H742)," |","|"),"| ","|")&amp;"|")</f>
        <v/>
      </c>
      <c r="V742" s="25">
        <f>IF(AND(Q742=1,B742&lt;&gt;""),IF(IFERROR(COUNTIFS(B$3:B742,"="&amp;SUBSTITUTE(SUBSTITUTE(SUBSTITUTE(B742,"~","~~"),"*","~*"),"?","~?"),Q$3:Q742,1),0)=1,MAX(V$2:V741)+1,""),"")</f>
        <v/>
      </c>
      <c r="W742" s="25">
        <f>IF(V742="","",COUNTIFS($B$3:$B$1002,"="&amp;SUBSTITUTE(SUBSTITUTE(SUBSTITUTE(B742,"~","~~"),"*","~*"),"?","~?"),$Q$3:$Q$1002,1)*10000-V742)</f>
        <v/>
      </c>
      <c r="X742" s="25">
        <f>IF(Q742=1,IF(SUBSTITUTE(SUBSTITUTE(SUBSTITUTE(SUBSTITUTE(SUBSTITUTE(SUBSTITUTE(SUBSTITUTE(SUBSTITUTE(SUBSTITUTE(SUBSTITUTE(SUBSTITUTE(SUBSTITUTE(LOWER(TRIM(A742)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742)),"á","a"),"é","e"),"í","i"),"ó","o"),"ú","u"),"ü","u"),"ñ","n"),"à","a"),"è","e"),"ì","i"),"ò","o"),"ù","u")),"")</f>
        <v/>
      </c>
      <c r="Y742" s="25">
        <f>IF(X742="","",IF(IFERROR(COUNTIF(X$3:X742,"="&amp;SUBSTITUTE(SUBSTITUTE(SUBSTITUTE(X742,"~","~~"),"*","~*"),"?","~?")),0)=1,1,""))</f>
        <v/>
      </c>
      <c r="Z742" s="25">
        <f>IF(T742=1,MAX(Z$2:Z741)+1,"")</f>
        <v/>
      </c>
    </row>
    <row r="743">
      <c r="A743">
        <f>IF(A$2=0,"",IFERROR(TRIM(INDEX('Pegar calibracion'!$A$1:$BZ$1001,742,A$2)&amp;""),""))</f>
        <v/>
      </c>
      <c r="B743">
        <f>IF(B$2=0,"",IFERROR(TRIM(INDEX('Pegar calibracion'!$A$1:$BZ$1001,742,B$2)&amp;""),""))</f>
        <v/>
      </c>
      <c r="C743">
        <f>IF(C$2=0,"",IFERROR(TRIM(INDEX('Pegar calibracion'!$A$1:$BZ$1001,742,C$2)&amp;""),""))</f>
        <v/>
      </c>
      <c r="D743">
        <f>IF(D$2=0,"",IFERROR(TRIM(INDEX('Pegar calibracion'!$A$1:$BZ$1001,742,D$2)&amp;""),""))</f>
        <v/>
      </c>
      <c r="E743">
        <f>IF(E$2=0,"",IFERROR(TRIM(INDEX('Pegar calibracion'!$A$1:$BZ$1001,742,E$2)&amp;""),""))</f>
        <v/>
      </c>
      <c r="F743">
        <f>IF(F$2=0,"",IFERROR(TRIM(INDEX('Pegar calibracion'!$A$1:$BZ$1001,742,F$2)&amp;""),""))</f>
        <v/>
      </c>
      <c r="G743">
        <f>IF(G$2=0,"",IFERROR(TRIM(INDEX('Pegar calibracion'!$A$1:$BZ$1001,742,G$2)&amp;""),""))</f>
        <v/>
      </c>
      <c r="H743">
        <f>IF(H$2=0,"",IFERROR(TRIM(INDEX('Pegar calibracion'!$A$1:$BZ$1001,742,H$2)&amp;""),""))</f>
        <v/>
      </c>
      <c r="I743">
        <f>IF(I$2=0,"",IFERROR(TRIM(INDEX('Pegar calibracion'!$A$1:$BZ$1001,742,I$2)&amp;""),""))</f>
        <v/>
      </c>
      <c r="J743">
        <f>IF(J$2=0,"",IFERROR(TRIM(INDEX('Pegar calibracion'!$A$1:$BZ$1001,742,J$2)&amp;""),""))</f>
        <v/>
      </c>
      <c r="K743">
        <f>IF(K$2=0,"",IFERROR(TRIM(INDEX('Pegar calibracion'!$A$1:$BZ$1001,742,K$2)&amp;""),""))</f>
        <v/>
      </c>
      <c r="L743">
        <f>IF(L$2=0,"",IFERROR(TRIM(INDEX('Pegar calibracion'!$A$1:$BZ$1001,742,L$2)&amp;""),""))</f>
        <v/>
      </c>
      <c r="M743" s="25">
        <f>IF(D743="","",SUBSTITUTE(SUBSTITUTE(SUBSTITUTE(SUBSTITUTE(SUBSTITUTE(SUBSTITUTE(SUBSTITUTE(SUBSTITUTE(SUBSTITUTE(SUBSTITUTE(SUBSTITUTE(SUBSTITUTE(LOWER(TRIM(D743)),"á","a"),"é","e"),"í","i"),"ó","o"),"ú","u"),"ü","u"),"ñ","n"),"à","a"),"è","e"),"ì","i"),"ò","o"),"ù","u"))</f>
        <v/>
      </c>
      <c r="N743" s="25">
        <f>IF(F743="","",SUBSTITUTE(SUBSTITUTE(SUBSTITUTE(SUBSTITUTE(SUBSTITUTE(SUBSTITUTE(SUBSTITUTE(SUBSTITUTE(SUBSTITUTE(SUBSTITUTE(SUBSTITUTE(SUBSTITUTE(LOWER(TRIM(F743)),"á","a"),"é","e"),"í","i"),"ó","o"),"ú","u"),"ü","u"),"ñ","n"),"à","a"),"è","e"),"ì","i"),"ò","o"),"ù","u"))</f>
        <v/>
      </c>
      <c r="O743" s="25">
        <f>IF(M743="confiable",2,IF(M743="dudosa",1,IF(M743="no confiable",0,"")))</f>
        <v/>
      </c>
      <c r="P743" s="25">
        <f>IF(N743="confiable",2,IF(N743="dudosa",1,IF(N743="no confiable",0,"")))</f>
        <v/>
      </c>
      <c r="Q743" s="25">
        <f>IF(AND(ISNUMBER(O743),ISNUMBER(P743)),1,"")</f>
        <v/>
      </c>
      <c r="R743" s="25">
        <f>IF(Q743=1,IF(O743=P743,"Sí","No"),"")</f>
        <v/>
      </c>
      <c r="S743" s="25">
        <f>IF(Q743=1,IF(P743&lt;O743,"Más estricto",IF(P743&gt;O743,"Más permisivo","Igual")),"")</f>
        <v/>
      </c>
      <c r="T743" s="25">
        <f>IF(Q743=1,IF(ABS(O743-P743)=2,1,0),"")</f>
        <v/>
      </c>
      <c r="U743" s="25">
        <f>IF(H743="","","|"&amp;SUBSTITUTE(SUBSTITUTE(TRIM(H743)," |","|"),"| ","|")&amp;"|")</f>
        <v/>
      </c>
      <c r="V743" s="25">
        <f>IF(AND(Q743=1,B743&lt;&gt;""),IF(IFERROR(COUNTIFS(B$3:B743,"="&amp;SUBSTITUTE(SUBSTITUTE(SUBSTITUTE(B743,"~","~~"),"*","~*"),"?","~?"),Q$3:Q743,1),0)=1,MAX(V$2:V742)+1,""),"")</f>
        <v/>
      </c>
      <c r="W743" s="25">
        <f>IF(V743="","",COUNTIFS($B$3:$B$1002,"="&amp;SUBSTITUTE(SUBSTITUTE(SUBSTITUTE(B743,"~","~~"),"*","~*"),"?","~?"),$Q$3:$Q$1002,1)*10000-V743)</f>
        <v/>
      </c>
      <c r="X743" s="25">
        <f>IF(Q743=1,IF(SUBSTITUTE(SUBSTITUTE(SUBSTITUTE(SUBSTITUTE(SUBSTITUTE(SUBSTITUTE(SUBSTITUTE(SUBSTITUTE(SUBSTITUTE(SUBSTITUTE(SUBSTITUTE(SUBSTITUTE(LOWER(TRIM(A743)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743)),"á","a"),"é","e"),"í","i"),"ó","o"),"ú","u"),"ü","u"),"ñ","n"),"à","a"),"è","e"),"ì","i"),"ò","o"),"ù","u")),"")</f>
        <v/>
      </c>
      <c r="Y743" s="25">
        <f>IF(X743="","",IF(IFERROR(COUNTIF(X$3:X743,"="&amp;SUBSTITUTE(SUBSTITUTE(SUBSTITUTE(X743,"~","~~"),"*","~*"),"?","~?")),0)=1,1,""))</f>
        <v/>
      </c>
      <c r="Z743" s="25">
        <f>IF(T743=1,MAX(Z$2:Z742)+1,"")</f>
        <v/>
      </c>
    </row>
    <row r="744">
      <c r="A744">
        <f>IF(A$2=0,"",IFERROR(TRIM(INDEX('Pegar calibracion'!$A$1:$BZ$1001,743,A$2)&amp;""),""))</f>
        <v/>
      </c>
      <c r="B744">
        <f>IF(B$2=0,"",IFERROR(TRIM(INDEX('Pegar calibracion'!$A$1:$BZ$1001,743,B$2)&amp;""),""))</f>
        <v/>
      </c>
      <c r="C744">
        <f>IF(C$2=0,"",IFERROR(TRIM(INDEX('Pegar calibracion'!$A$1:$BZ$1001,743,C$2)&amp;""),""))</f>
        <v/>
      </c>
      <c r="D744">
        <f>IF(D$2=0,"",IFERROR(TRIM(INDEX('Pegar calibracion'!$A$1:$BZ$1001,743,D$2)&amp;""),""))</f>
        <v/>
      </c>
      <c r="E744">
        <f>IF(E$2=0,"",IFERROR(TRIM(INDEX('Pegar calibracion'!$A$1:$BZ$1001,743,E$2)&amp;""),""))</f>
        <v/>
      </c>
      <c r="F744">
        <f>IF(F$2=0,"",IFERROR(TRIM(INDEX('Pegar calibracion'!$A$1:$BZ$1001,743,F$2)&amp;""),""))</f>
        <v/>
      </c>
      <c r="G744">
        <f>IF(G$2=0,"",IFERROR(TRIM(INDEX('Pegar calibracion'!$A$1:$BZ$1001,743,G$2)&amp;""),""))</f>
        <v/>
      </c>
      <c r="H744">
        <f>IF(H$2=0,"",IFERROR(TRIM(INDEX('Pegar calibracion'!$A$1:$BZ$1001,743,H$2)&amp;""),""))</f>
        <v/>
      </c>
      <c r="I744">
        <f>IF(I$2=0,"",IFERROR(TRIM(INDEX('Pegar calibracion'!$A$1:$BZ$1001,743,I$2)&amp;""),""))</f>
        <v/>
      </c>
      <c r="J744">
        <f>IF(J$2=0,"",IFERROR(TRIM(INDEX('Pegar calibracion'!$A$1:$BZ$1001,743,J$2)&amp;""),""))</f>
        <v/>
      </c>
      <c r="K744">
        <f>IF(K$2=0,"",IFERROR(TRIM(INDEX('Pegar calibracion'!$A$1:$BZ$1001,743,K$2)&amp;""),""))</f>
        <v/>
      </c>
      <c r="L744">
        <f>IF(L$2=0,"",IFERROR(TRIM(INDEX('Pegar calibracion'!$A$1:$BZ$1001,743,L$2)&amp;""),""))</f>
        <v/>
      </c>
      <c r="M744" s="25">
        <f>IF(D744="","",SUBSTITUTE(SUBSTITUTE(SUBSTITUTE(SUBSTITUTE(SUBSTITUTE(SUBSTITUTE(SUBSTITUTE(SUBSTITUTE(SUBSTITUTE(SUBSTITUTE(SUBSTITUTE(SUBSTITUTE(LOWER(TRIM(D744)),"á","a"),"é","e"),"í","i"),"ó","o"),"ú","u"),"ü","u"),"ñ","n"),"à","a"),"è","e"),"ì","i"),"ò","o"),"ù","u"))</f>
        <v/>
      </c>
      <c r="N744" s="25">
        <f>IF(F744="","",SUBSTITUTE(SUBSTITUTE(SUBSTITUTE(SUBSTITUTE(SUBSTITUTE(SUBSTITUTE(SUBSTITUTE(SUBSTITUTE(SUBSTITUTE(SUBSTITUTE(SUBSTITUTE(SUBSTITUTE(LOWER(TRIM(F744)),"á","a"),"é","e"),"í","i"),"ó","o"),"ú","u"),"ü","u"),"ñ","n"),"à","a"),"è","e"),"ì","i"),"ò","o"),"ù","u"))</f>
        <v/>
      </c>
      <c r="O744" s="25">
        <f>IF(M744="confiable",2,IF(M744="dudosa",1,IF(M744="no confiable",0,"")))</f>
        <v/>
      </c>
      <c r="P744" s="25">
        <f>IF(N744="confiable",2,IF(N744="dudosa",1,IF(N744="no confiable",0,"")))</f>
        <v/>
      </c>
      <c r="Q744" s="25">
        <f>IF(AND(ISNUMBER(O744),ISNUMBER(P744)),1,"")</f>
        <v/>
      </c>
      <c r="R744" s="25">
        <f>IF(Q744=1,IF(O744=P744,"Sí","No"),"")</f>
        <v/>
      </c>
      <c r="S744" s="25">
        <f>IF(Q744=1,IF(P744&lt;O744,"Más estricto",IF(P744&gt;O744,"Más permisivo","Igual")),"")</f>
        <v/>
      </c>
      <c r="T744" s="25">
        <f>IF(Q744=1,IF(ABS(O744-P744)=2,1,0),"")</f>
        <v/>
      </c>
      <c r="U744" s="25">
        <f>IF(H744="","","|"&amp;SUBSTITUTE(SUBSTITUTE(TRIM(H744)," |","|"),"| ","|")&amp;"|")</f>
        <v/>
      </c>
      <c r="V744" s="25">
        <f>IF(AND(Q744=1,B744&lt;&gt;""),IF(IFERROR(COUNTIFS(B$3:B744,"="&amp;SUBSTITUTE(SUBSTITUTE(SUBSTITUTE(B744,"~","~~"),"*","~*"),"?","~?"),Q$3:Q744,1),0)=1,MAX(V$2:V743)+1,""),"")</f>
        <v/>
      </c>
      <c r="W744" s="25">
        <f>IF(V744="","",COUNTIFS($B$3:$B$1002,"="&amp;SUBSTITUTE(SUBSTITUTE(SUBSTITUTE(B744,"~","~~"),"*","~*"),"?","~?"),$Q$3:$Q$1002,1)*10000-V744)</f>
        <v/>
      </c>
      <c r="X744" s="25">
        <f>IF(Q744=1,IF(SUBSTITUTE(SUBSTITUTE(SUBSTITUTE(SUBSTITUTE(SUBSTITUTE(SUBSTITUTE(SUBSTITUTE(SUBSTITUTE(SUBSTITUTE(SUBSTITUTE(SUBSTITUTE(SUBSTITUTE(LOWER(TRIM(A744)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744)),"á","a"),"é","e"),"í","i"),"ó","o"),"ú","u"),"ü","u"),"ñ","n"),"à","a"),"è","e"),"ì","i"),"ò","o"),"ù","u")),"")</f>
        <v/>
      </c>
      <c r="Y744" s="25">
        <f>IF(X744="","",IF(IFERROR(COUNTIF(X$3:X744,"="&amp;SUBSTITUTE(SUBSTITUTE(SUBSTITUTE(X744,"~","~~"),"*","~*"),"?","~?")),0)=1,1,""))</f>
        <v/>
      </c>
      <c r="Z744" s="25">
        <f>IF(T744=1,MAX(Z$2:Z743)+1,"")</f>
        <v/>
      </c>
    </row>
    <row r="745">
      <c r="A745">
        <f>IF(A$2=0,"",IFERROR(TRIM(INDEX('Pegar calibracion'!$A$1:$BZ$1001,744,A$2)&amp;""),""))</f>
        <v/>
      </c>
      <c r="B745">
        <f>IF(B$2=0,"",IFERROR(TRIM(INDEX('Pegar calibracion'!$A$1:$BZ$1001,744,B$2)&amp;""),""))</f>
        <v/>
      </c>
      <c r="C745">
        <f>IF(C$2=0,"",IFERROR(TRIM(INDEX('Pegar calibracion'!$A$1:$BZ$1001,744,C$2)&amp;""),""))</f>
        <v/>
      </c>
      <c r="D745">
        <f>IF(D$2=0,"",IFERROR(TRIM(INDEX('Pegar calibracion'!$A$1:$BZ$1001,744,D$2)&amp;""),""))</f>
        <v/>
      </c>
      <c r="E745">
        <f>IF(E$2=0,"",IFERROR(TRIM(INDEX('Pegar calibracion'!$A$1:$BZ$1001,744,E$2)&amp;""),""))</f>
        <v/>
      </c>
      <c r="F745">
        <f>IF(F$2=0,"",IFERROR(TRIM(INDEX('Pegar calibracion'!$A$1:$BZ$1001,744,F$2)&amp;""),""))</f>
        <v/>
      </c>
      <c r="G745">
        <f>IF(G$2=0,"",IFERROR(TRIM(INDEX('Pegar calibracion'!$A$1:$BZ$1001,744,G$2)&amp;""),""))</f>
        <v/>
      </c>
      <c r="H745">
        <f>IF(H$2=0,"",IFERROR(TRIM(INDEX('Pegar calibracion'!$A$1:$BZ$1001,744,H$2)&amp;""),""))</f>
        <v/>
      </c>
      <c r="I745">
        <f>IF(I$2=0,"",IFERROR(TRIM(INDEX('Pegar calibracion'!$A$1:$BZ$1001,744,I$2)&amp;""),""))</f>
        <v/>
      </c>
      <c r="J745">
        <f>IF(J$2=0,"",IFERROR(TRIM(INDEX('Pegar calibracion'!$A$1:$BZ$1001,744,J$2)&amp;""),""))</f>
        <v/>
      </c>
      <c r="K745">
        <f>IF(K$2=0,"",IFERROR(TRIM(INDEX('Pegar calibracion'!$A$1:$BZ$1001,744,K$2)&amp;""),""))</f>
        <v/>
      </c>
      <c r="L745">
        <f>IF(L$2=0,"",IFERROR(TRIM(INDEX('Pegar calibracion'!$A$1:$BZ$1001,744,L$2)&amp;""),""))</f>
        <v/>
      </c>
      <c r="M745" s="25">
        <f>IF(D745="","",SUBSTITUTE(SUBSTITUTE(SUBSTITUTE(SUBSTITUTE(SUBSTITUTE(SUBSTITUTE(SUBSTITUTE(SUBSTITUTE(SUBSTITUTE(SUBSTITUTE(SUBSTITUTE(SUBSTITUTE(LOWER(TRIM(D745)),"á","a"),"é","e"),"í","i"),"ó","o"),"ú","u"),"ü","u"),"ñ","n"),"à","a"),"è","e"),"ì","i"),"ò","o"),"ù","u"))</f>
        <v/>
      </c>
      <c r="N745" s="25">
        <f>IF(F745="","",SUBSTITUTE(SUBSTITUTE(SUBSTITUTE(SUBSTITUTE(SUBSTITUTE(SUBSTITUTE(SUBSTITUTE(SUBSTITUTE(SUBSTITUTE(SUBSTITUTE(SUBSTITUTE(SUBSTITUTE(LOWER(TRIM(F745)),"á","a"),"é","e"),"í","i"),"ó","o"),"ú","u"),"ü","u"),"ñ","n"),"à","a"),"è","e"),"ì","i"),"ò","o"),"ù","u"))</f>
        <v/>
      </c>
      <c r="O745" s="25">
        <f>IF(M745="confiable",2,IF(M745="dudosa",1,IF(M745="no confiable",0,"")))</f>
        <v/>
      </c>
      <c r="P745" s="25">
        <f>IF(N745="confiable",2,IF(N745="dudosa",1,IF(N745="no confiable",0,"")))</f>
        <v/>
      </c>
      <c r="Q745" s="25">
        <f>IF(AND(ISNUMBER(O745),ISNUMBER(P745)),1,"")</f>
        <v/>
      </c>
      <c r="R745" s="25">
        <f>IF(Q745=1,IF(O745=P745,"Sí","No"),"")</f>
        <v/>
      </c>
      <c r="S745" s="25">
        <f>IF(Q745=1,IF(P745&lt;O745,"Más estricto",IF(P745&gt;O745,"Más permisivo","Igual")),"")</f>
        <v/>
      </c>
      <c r="T745" s="25">
        <f>IF(Q745=1,IF(ABS(O745-P745)=2,1,0),"")</f>
        <v/>
      </c>
      <c r="U745" s="25">
        <f>IF(H745="","","|"&amp;SUBSTITUTE(SUBSTITUTE(TRIM(H745)," |","|"),"| ","|")&amp;"|")</f>
        <v/>
      </c>
      <c r="V745" s="25">
        <f>IF(AND(Q745=1,B745&lt;&gt;""),IF(IFERROR(COUNTIFS(B$3:B745,"="&amp;SUBSTITUTE(SUBSTITUTE(SUBSTITUTE(B745,"~","~~"),"*","~*"),"?","~?"),Q$3:Q745,1),0)=1,MAX(V$2:V744)+1,""),"")</f>
        <v/>
      </c>
      <c r="W745" s="25">
        <f>IF(V745="","",COUNTIFS($B$3:$B$1002,"="&amp;SUBSTITUTE(SUBSTITUTE(SUBSTITUTE(B745,"~","~~"),"*","~*"),"?","~?"),$Q$3:$Q$1002,1)*10000-V745)</f>
        <v/>
      </c>
      <c r="X745" s="25">
        <f>IF(Q745=1,IF(SUBSTITUTE(SUBSTITUTE(SUBSTITUTE(SUBSTITUTE(SUBSTITUTE(SUBSTITUTE(SUBSTITUTE(SUBSTITUTE(SUBSTITUTE(SUBSTITUTE(SUBSTITUTE(SUBSTITUTE(LOWER(TRIM(A745)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745)),"á","a"),"é","e"),"í","i"),"ó","o"),"ú","u"),"ü","u"),"ñ","n"),"à","a"),"è","e"),"ì","i"),"ò","o"),"ù","u")),"")</f>
        <v/>
      </c>
      <c r="Y745" s="25">
        <f>IF(X745="","",IF(IFERROR(COUNTIF(X$3:X745,"="&amp;SUBSTITUTE(SUBSTITUTE(SUBSTITUTE(X745,"~","~~"),"*","~*"),"?","~?")),0)=1,1,""))</f>
        <v/>
      </c>
      <c r="Z745" s="25">
        <f>IF(T745=1,MAX(Z$2:Z744)+1,"")</f>
        <v/>
      </c>
    </row>
    <row r="746">
      <c r="A746">
        <f>IF(A$2=0,"",IFERROR(TRIM(INDEX('Pegar calibracion'!$A$1:$BZ$1001,745,A$2)&amp;""),""))</f>
        <v/>
      </c>
      <c r="B746">
        <f>IF(B$2=0,"",IFERROR(TRIM(INDEX('Pegar calibracion'!$A$1:$BZ$1001,745,B$2)&amp;""),""))</f>
        <v/>
      </c>
      <c r="C746">
        <f>IF(C$2=0,"",IFERROR(TRIM(INDEX('Pegar calibracion'!$A$1:$BZ$1001,745,C$2)&amp;""),""))</f>
        <v/>
      </c>
      <c r="D746">
        <f>IF(D$2=0,"",IFERROR(TRIM(INDEX('Pegar calibracion'!$A$1:$BZ$1001,745,D$2)&amp;""),""))</f>
        <v/>
      </c>
      <c r="E746">
        <f>IF(E$2=0,"",IFERROR(TRIM(INDEX('Pegar calibracion'!$A$1:$BZ$1001,745,E$2)&amp;""),""))</f>
        <v/>
      </c>
      <c r="F746">
        <f>IF(F$2=0,"",IFERROR(TRIM(INDEX('Pegar calibracion'!$A$1:$BZ$1001,745,F$2)&amp;""),""))</f>
        <v/>
      </c>
      <c r="G746">
        <f>IF(G$2=0,"",IFERROR(TRIM(INDEX('Pegar calibracion'!$A$1:$BZ$1001,745,G$2)&amp;""),""))</f>
        <v/>
      </c>
      <c r="H746">
        <f>IF(H$2=0,"",IFERROR(TRIM(INDEX('Pegar calibracion'!$A$1:$BZ$1001,745,H$2)&amp;""),""))</f>
        <v/>
      </c>
      <c r="I746">
        <f>IF(I$2=0,"",IFERROR(TRIM(INDEX('Pegar calibracion'!$A$1:$BZ$1001,745,I$2)&amp;""),""))</f>
        <v/>
      </c>
      <c r="J746">
        <f>IF(J$2=0,"",IFERROR(TRIM(INDEX('Pegar calibracion'!$A$1:$BZ$1001,745,J$2)&amp;""),""))</f>
        <v/>
      </c>
      <c r="K746">
        <f>IF(K$2=0,"",IFERROR(TRIM(INDEX('Pegar calibracion'!$A$1:$BZ$1001,745,K$2)&amp;""),""))</f>
        <v/>
      </c>
      <c r="L746">
        <f>IF(L$2=0,"",IFERROR(TRIM(INDEX('Pegar calibracion'!$A$1:$BZ$1001,745,L$2)&amp;""),""))</f>
        <v/>
      </c>
      <c r="M746" s="25">
        <f>IF(D746="","",SUBSTITUTE(SUBSTITUTE(SUBSTITUTE(SUBSTITUTE(SUBSTITUTE(SUBSTITUTE(SUBSTITUTE(SUBSTITUTE(SUBSTITUTE(SUBSTITUTE(SUBSTITUTE(SUBSTITUTE(LOWER(TRIM(D746)),"á","a"),"é","e"),"í","i"),"ó","o"),"ú","u"),"ü","u"),"ñ","n"),"à","a"),"è","e"),"ì","i"),"ò","o"),"ù","u"))</f>
        <v/>
      </c>
      <c r="N746" s="25">
        <f>IF(F746="","",SUBSTITUTE(SUBSTITUTE(SUBSTITUTE(SUBSTITUTE(SUBSTITUTE(SUBSTITUTE(SUBSTITUTE(SUBSTITUTE(SUBSTITUTE(SUBSTITUTE(SUBSTITUTE(SUBSTITUTE(LOWER(TRIM(F746)),"á","a"),"é","e"),"í","i"),"ó","o"),"ú","u"),"ü","u"),"ñ","n"),"à","a"),"è","e"),"ì","i"),"ò","o"),"ù","u"))</f>
        <v/>
      </c>
      <c r="O746" s="25">
        <f>IF(M746="confiable",2,IF(M746="dudosa",1,IF(M746="no confiable",0,"")))</f>
        <v/>
      </c>
      <c r="P746" s="25">
        <f>IF(N746="confiable",2,IF(N746="dudosa",1,IF(N746="no confiable",0,"")))</f>
        <v/>
      </c>
      <c r="Q746" s="25">
        <f>IF(AND(ISNUMBER(O746),ISNUMBER(P746)),1,"")</f>
        <v/>
      </c>
      <c r="R746" s="25">
        <f>IF(Q746=1,IF(O746=P746,"Sí","No"),"")</f>
        <v/>
      </c>
      <c r="S746" s="25">
        <f>IF(Q746=1,IF(P746&lt;O746,"Más estricto",IF(P746&gt;O746,"Más permisivo","Igual")),"")</f>
        <v/>
      </c>
      <c r="T746" s="25">
        <f>IF(Q746=1,IF(ABS(O746-P746)=2,1,0),"")</f>
        <v/>
      </c>
      <c r="U746" s="25">
        <f>IF(H746="","","|"&amp;SUBSTITUTE(SUBSTITUTE(TRIM(H746)," |","|"),"| ","|")&amp;"|")</f>
        <v/>
      </c>
      <c r="V746" s="25">
        <f>IF(AND(Q746=1,B746&lt;&gt;""),IF(IFERROR(COUNTIFS(B$3:B746,"="&amp;SUBSTITUTE(SUBSTITUTE(SUBSTITUTE(B746,"~","~~"),"*","~*"),"?","~?"),Q$3:Q746,1),0)=1,MAX(V$2:V745)+1,""),"")</f>
        <v/>
      </c>
      <c r="W746" s="25">
        <f>IF(V746="","",COUNTIFS($B$3:$B$1002,"="&amp;SUBSTITUTE(SUBSTITUTE(SUBSTITUTE(B746,"~","~~"),"*","~*"),"?","~?"),$Q$3:$Q$1002,1)*10000-V746)</f>
        <v/>
      </c>
      <c r="X746" s="25">
        <f>IF(Q746=1,IF(SUBSTITUTE(SUBSTITUTE(SUBSTITUTE(SUBSTITUTE(SUBSTITUTE(SUBSTITUTE(SUBSTITUTE(SUBSTITUTE(SUBSTITUTE(SUBSTITUTE(SUBSTITUTE(SUBSTITUTE(LOWER(TRIM(A746)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746)),"á","a"),"é","e"),"í","i"),"ó","o"),"ú","u"),"ü","u"),"ñ","n"),"à","a"),"è","e"),"ì","i"),"ò","o"),"ù","u")),"")</f>
        <v/>
      </c>
      <c r="Y746" s="25">
        <f>IF(X746="","",IF(IFERROR(COUNTIF(X$3:X746,"="&amp;SUBSTITUTE(SUBSTITUTE(SUBSTITUTE(X746,"~","~~"),"*","~*"),"?","~?")),0)=1,1,""))</f>
        <v/>
      </c>
      <c r="Z746" s="25">
        <f>IF(T746=1,MAX(Z$2:Z745)+1,"")</f>
        <v/>
      </c>
    </row>
    <row r="747">
      <c r="A747">
        <f>IF(A$2=0,"",IFERROR(TRIM(INDEX('Pegar calibracion'!$A$1:$BZ$1001,746,A$2)&amp;""),""))</f>
        <v/>
      </c>
      <c r="B747">
        <f>IF(B$2=0,"",IFERROR(TRIM(INDEX('Pegar calibracion'!$A$1:$BZ$1001,746,B$2)&amp;""),""))</f>
        <v/>
      </c>
      <c r="C747">
        <f>IF(C$2=0,"",IFERROR(TRIM(INDEX('Pegar calibracion'!$A$1:$BZ$1001,746,C$2)&amp;""),""))</f>
        <v/>
      </c>
      <c r="D747">
        <f>IF(D$2=0,"",IFERROR(TRIM(INDEX('Pegar calibracion'!$A$1:$BZ$1001,746,D$2)&amp;""),""))</f>
        <v/>
      </c>
      <c r="E747">
        <f>IF(E$2=0,"",IFERROR(TRIM(INDEX('Pegar calibracion'!$A$1:$BZ$1001,746,E$2)&amp;""),""))</f>
        <v/>
      </c>
      <c r="F747">
        <f>IF(F$2=0,"",IFERROR(TRIM(INDEX('Pegar calibracion'!$A$1:$BZ$1001,746,F$2)&amp;""),""))</f>
        <v/>
      </c>
      <c r="G747">
        <f>IF(G$2=0,"",IFERROR(TRIM(INDEX('Pegar calibracion'!$A$1:$BZ$1001,746,G$2)&amp;""),""))</f>
        <v/>
      </c>
      <c r="H747">
        <f>IF(H$2=0,"",IFERROR(TRIM(INDEX('Pegar calibracion'!$A$1:$BZ$1001,746,H$2)&amp;""),""))</f>
        <v/>
      </c>
      <c r="I747">
        <f>IF(I$2=0,"",IFERROR(TRIM(INDEX('Pegar calibracion'!$A$1:$BZ$1001,746,I$2)&amp;""),""))</f>
        <v/>
      </c>
      <c r="J747">
        <f>IF(J$2=0,"",IFERROR(TRIM(INDEX('Pegar calibracion'!$A$1:$BZ$1001,746,J$2)&amp;""),""))</f>
        <v/>
      </c>
      <c r="K747">
        <f>IF(K$2=0,"",IFERROR(TRIM(INDEX('Pegar calibracion'!$A$1:$BZ$1001,746,K$2)&amp;""),""))</f>
        <v/>
      </c>
      <c r="L747">
        <f>IF(L$2=0,"",IFERROR(TRIM(INDEX('Pegar calibracion'!$A$1:$BZ$1001,746,L$2)&amp;""),""))</f>
        <v/>
      </c>
      <c r="M747" s="25">
        <f>IF(D747="","",SUBSTITUTE(SUBSTITUTE(SUBSTITUTE(SUBSTITUTE(SUBSTITUTE(SUBSTITUTE(SUBSTITUTE(SUBSTITUTE(SUBSTITUTE(SUBSTITUTE(SUBSTITUTE(SUBSTITUTE(LOWER(TRIM(D747)),"á","a"),"é","e"),"í","i"),"ó","o"),"ú","u"),"ü","u"),"ñ","n"),"à","a"),"è","e"),"ì","i"),"ò","o"),"ù","u"))</f>
        <v/>
      </c>
      <c r="N747" s="25">
        <f>IF(F747="","",SUBSTITUTE(SUBSTITUTE(SUBSTITUTE(SUBSTITUTE(SUBSTITUTE(SUBSTITUTE(SUBSTITUTE(SUBSTITUTE(SUBSTITUTE(SUBSTITUTE(SUBSTITUTE(SUBSTITUTE(LOWER(TRIM(F747)),"á","a"),"é","e"),"í","i"),"ó","o"),"ú","u"),"ü","u"),"ñ","n"),"à","a"),"è","e"),"ì","i"),"ò","o"),"ù","u"))</f>
        <v/>
      </c>
      <c r="O747" s="25">
        <f>IF(M747="confiable",2,IF(M747="dudosa",1,IF(M747="no confiable",0,"")))</f>
        <v/>
      </c>
      <c r="P747" s="25">
        <f>IF(N747="confiable",2,IF(N747="dudosa",1,IF(N747="no confiable",0,"")))</f>
        <v/>
      </c>
      <c r="Q747" s="25">
        <f>IF(AND(ISNUMBER(O747),ISNUMBER(P747)),1,"")</f>
        <v/>
      </c>
      <c r="R747" s="25">
        <f>IF(Q747=1,IF(O747=P747,"Sí","No"),"")</f>
        <v/>
      </c>
      <c r="S747" s="25">
        <f>IF(Q747=1,IF(P747&lt;O747,"Más estricto",IF(P747&gt;O747,"Más permisivo","Igual")),"")</f>
        <v/>
      </c>
      <c r="T747" s="25">
        <f>IF(Q747=1,IF(ABS(O747-P747)=2,1,0),"")</f>
        <v/>
      </c>
      <c r="U747" s="25">
        <f>IF(H747="","","|"&amp;SUBSTITUTE(SUBSTITUTE(TRIM(H747)," |","|"),"| ","|")&amp;"|")</f>
        <v/>
      </c>
      <c r="V747" s="25">
        <f>IF(AND(Q747=1,B747&lt;&gt;""),IF(IFERROR(COUNTIFS(B$3:B747,"="&amp;SUBSTITUTE(SUBSTITUTE(SUBSTITUTE(B747,"~","~~"),"*","~*"),"?","~?"),Q$3:Q747,1),0)=1,MAX(V$2:V746)+1,""),"")</f>
        <v/>
      </c>
      <c r="W747" s="25">
        <f>IF(V747="","",COUNTIFS($B$3:$B$1002,"="&amp;SUBSTITUTE(SUBSTITUTE(SUBSTITUTE(B747,"~","~~"),"*","~*"),"?","~?"),$Q$3:$Q$1002,1)*10000-V747)</f>
        <v/>
      </c>
      <c r="X747" s="25">
        <f>IF(Q747=1,IF(SUBSTITUTE(SUBSTITUTE(SUBSTITUTE(SUBSTITUTE(SUBSTITUTE(SUBSTITUTE(SUBSTITUTE(SUBSTITUTE(SUBSTITUTE(SUBSTITUTE(SUBSTITUTE(SUBSTITUTE(LOWER(TRIM(A747)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747)),"á","a"),"é","e"),"í","i"),"ó","o"),"ú","u"),"ü","u"),"ñ","n"),"à","a"),"è","e"),"ì","i"),"ò","o"),"ù","u")),"")</f>
        <v/>
      </c>
      <c r="Y747" s="25">
        <f>IF(X747="","",IF(IFERROR(COUNTIF(X$3:X747,"="&amp;SUBSTITUTE(SUBSTITUTE(SUBSTITUTE(X747,"~","~~"),"*","~*"),"?","~?")),0)=1,1,""))</f>
        <v/>
      </c>
      <c r="Z747" s="25">
        <f>IF(T747=1,MAX(Z$2:Z746)+1,"")</f>
        <v/>
      </c>
    </row>
    <row r="748">
      <c r="A748">
        <f>IF(A$2=0,"",IFERROR(TRIM(INDEX('Pegar calibracion'!$A$1:$BZ$1001,747,A$2)&amp;""),""))</f>
        <v/>
      </c>
      <c r="B748">
        <f>IF(B$2=0,"",IFERROR(TRIM(INDEX('Pegar calibracion'!$A$1:$BZ$1001,747,B$2)&amp;""),""))</f>
        <v/>
      </c>
      <c r="C748">
        <f>IF(C$2=0,"",IFERROR(TRIM(INDEX('Pegar calibracion'!$A$1:$BZ$1001,747,C$2)&amp;""),""))</f>
        <v/>
      </c>
      <c r="D748">
        <f>IF(D$2=0,"",IFERROR(TRIM(INDEX('Pegar calibracion'!$A$1:$BZ$1001,747,D$2)&amp;""),""))</f>
        <v/>
      </c>
      <c r="E748">
        <f>IF(E$2=0,"",IFERROR(TRIM(INDEX('Pegar calibracion'!$A$1:$BZ$1001,747,E$2)&amp;""),""))</f>
        <v/>
      </c>
      <c r="F748">
        <f>IF(F$2=0,"",IFERROR(TRIM(INDEX('Pegar calibracion'!$A$1:$BZ$1001,747,F$2)&amp;""),""))</f>
        <v/>
      </c>
      <c r="G748">
        <f>IF(G$2=0,"",IFERROR(TRIM(INDEX('Pegar calibracion'!$A$1:$BZ$1001,747,G$2)&amp;""),""))</f>
        <v/>
      </c>
      <c r="H748">
        <f>IF(H$2=0,"",IFERROR(TRIM(INDEX('Pegar calibracion'!$A$1:$BZ$1001,747,H$2)&amp;""),""))</f>
        <v/>
      </c>
      <c r="I748">
        <f>IF(I$2=0,"",IFERROR(TRIM(INDEX('Pegar calibracion'!$A$1:$BZ$1001,747,I$2)&amp;""),""))</f>
        <v/>
      </c>
      <c r="J748">
        <f>IF(J$2=0,"",IFERROR(TRIM(INDEX('Pegar calibracion'!$A$1:$BZ$1001,747,J$2)&amp;""),""))</f>
        <v/>
      </c>
      <c r="K748">
        <f>IF(K$2=0,"",IFERROR(TRIM(INDEX('Pegar calibracion'!$A$1:$BZ$1001,747,K$2)&amp;""),""))</f>
        <v/>
      </c>
      <c r="L748">
        <f>IF(L$2=0,"",IFERROR(TRIM(INDEX('Pegar calibracion'!$A$1:$BZ$1001,747,L$2)&amp;""),""))</f>
        <v/>
      </c>
      <c r="M748" s="25">
        <f>IF(D748="","",SUBSTITUTE(SUBSTITUTE(SUBSTITUTE(SUBSTITUTE(SUBSTITUTE(SUBSTITUTE(SUBSTITUTE(SUBSTITUTE(SUBSTITUTE(SUBSTITUTE(SUBSTITUTE(SUBSTITUTE(LOWER(TRIM(D748)),"á","a"),"é","e"),"í","i"),"ó","o"),"ú","u"),"ü","u"),"ñ","n"),"à","a"),"è","e"),"ì","i"),"ò","o"),"ù","u"))</f>
        <v/>
      </c>
      <c r="N748" s="25">
        <f>IF(F748="","",SUBSTITUTE(SUBSTITUTE(SUBSTITUTE(SUBSTITUTE(SUBSTITUTE(SUBSTITUTE(SUBSTITUTE(SUBSTITUTE(SUBSTITUTE(SUBSTITUTE(SUBSTITUTE(SUBSTITUTE(LOWER(TRIM(F748)),"á","a"),"é","e"),"í","i"),"ó","o"),"ú","u"),"ü","u"),"ñ","n"),"à","a"),"è","e"),"ì","i"),"ò","o"),"ù","u"))</f>
        <v/>
      </c>
      <c r="O748" s="25">
        <f>IF(M748="confiable",2,IF(M748="dudosa",1,IF(M748="no confiable",0,"")))</f>
        <v/>
      </c>
      <c r="P748" s="25">
        <f>IF(N748="confiable",2,IF(N748="dudosa",1,IF(N748="no confiable",0,"")))</f>
        <v/>
      </c>
      <c r="Q748" s="25">
        <f>IF(AND(ISNUMBER(O748),ISNUMBER(P748)),1,"")</f>
        <v/>
      </c>
      <c r="R748" s="25">
        <f>IF(Q748=1,IF(O748=P748,"Sí","No"),"")</f>
        <v/>
      </c>
      <c r="S748" s="25">
        <f>IF(Q748=1,IF(P748&lt;O748,"Más estricto",IF(P748&gt;O748,"Más permisivo","Igual")),"")</f>
        <v/>
      </c>
      <c r="T748" s="25">
        <f>IF(Q748=1,IF(ABS(O748-P748)=2,1,0),"")</f>
        <v/>
      </c>
      <c r="U748" s="25">
        <f>IF(H748="","","|"&amp;SUBSTITUTE(SUBSTITUTE(TRIM(H748)," |","|"),"| ","|")&amp;"|")</f>
        <v/>
      </c>
      <c r="V748" s="25">
        <f>IF(AND(Q748=1,B748&lt;&gt;""),IF(IFERROR(COUNTIFS(B$3:B748,"="&amp;SUBSTITUTE(SUBSTITUTE(SUBSTITUTE(B748,"~","~~"),"*","~*"),"?","~?"),Q$3:Q748,1),0)=1,MAX(V$2:V747)+1,""),"")</f>
        <v/>
      </c>
      <c r="W748" s="25">
        <f>IF(V748="","",COUNTIFS($B$3:$B$1002,"="&amp;SUBSTITUTE(SUBSTITUTE(SUBSTITUTE(B748,"~","~~"),"*","~*"),"?","~?"),$Q$3:$Q$1002,1)*10000-V748)</f>
        <v/>
      </c>
      <c r="X748" s="25">
        <f>IF(Q748=1,IF(SUBSTITUTE(SUBSTITUTE(SUBSTITUTE(SUBSTITUTE(SUBSTITUTE(SUBSTITUTE(SUBSTITUTE(SUBSTITUTE(SUBSTITUTE(SUBSTITUTE(SUBSTITUTE(SUBSTITUTE(LOWER(TRIM(A748)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748)),"á","a"),"é","e"),"í","i"),"ó","o"),"ú","u"),"ü","u"),"ñ","n"),"à","a"),"è","e"),"ì","i"),"ò","o"),"ù","u")),"")</f>
        <v/>
      </c>
      <c r="Y748" s="25">
        <f>IF(X748="","",IF(IFERROR(COUNTIF(X$3:X748,"="&amp;SUBSTITUTE(SUBSTITUTE(SUBSTITUTE(X748,"~","~~"),"*","~*"),"?","~?")),0)=1,1,""))</f>
        <v/>
      </c>
      <c r="Z748" s="25">
        <f>IF(T748=1,MAX(Z$2:Z747)+1,"")</f>
        <v/>
      </c>
    </row>
    <row r="749">
      <c r="A749">
        <f>IF(A$2=0,"",IFERROR(TRIM(INDEX('Pegar calibracion'!$A$1:$BZ$1001,748,A$2)&amp;""),""))</f>
        <v/>
      </c>
      <c r="B749">
        <f>IF(B$2=0,"",IFERROR(TRIM(INDEX('Pegar calibracion'!$A$1:$BZ$1001,748,B$2)&amp;""),""))</f>
        <v/>
      </c>
      <c r="C749">
        <f>IF(C$2=0,"",IFERROR(TRIM(INDEX('Pegar calibracion'!$A$1:$BZ$1001,748,C$2)&amp;""),""))</f>
        <v/>
      </c>
      <c r="D749">
        <f>IF(D$2=0,"",IFERROR(TRIM(INDEX('Pegar calibracion'!$A$1:$BZ$1001,748,D$2)&amp;""),""))</f>
        <v/>
      </c>
      <c r="E749">
        <f>IF(E$2=0,"",IFERROR(TRIM(INDEX('Pegar calibracion'!$A$1:$BZ$1001,748,E$2)&amp;""),""))</f>
        <v/>
      </c>
      <c r="F749">
        <f>IF(F$2=0,"",IFERROR(TRIM(INDEX('Pegar calibracion'!$A$1:$BZ$1001,748,F$2)&amp;""),""))</f>
        <v/>
      </c>
      <c r="G749">
        <f>IF(G$2=0,"",IFERROR(TRIM(INDEX('Pegar calibracion'!$A$1:$BZ$1001,748,G$2)&amp;""),""))</f>
        <v/>
      </c>
      <c r="H749">
        <f>IF(H$2=0,"",IFERROR(TRIM(INDEX('Pegar calibracion'!$A$1:$BZ$1001,748,H$2)&amp;""),""))</f>
        <v/>
      </c>
      <c r="I749">
        <f>IF(I$2=0,"",IFERROR(TRIM(INDEX('Pegar calibracion'!$A$1:$BZ$1001,748,I$2)&amp;""),""))</f>
        <v/>
      </c>
      <c r="J749">
        <f>IF(J$2=0,"",IFERROR(TRIM(INDEX('Pegar calibracion'!$A$1:$BZ$1001,748,J$2)&amp;""),""))</f>
        <v/>
      </c>
      <c r="K749">
        <f>IF(K$2=0,"",IFERROR(TRIM(INDEX('Pegar calibracion'!$A$1:$BZ$1001,748,K$2)&amp;""),""))</f>
        <v/>
      </c>
      <c r="L749">
        <f>IF(L$2=0,"",IFERROR(TRIM(INDEX('Pegar calibracion'!$A$1:$BZ$1001,748,L$2)&amp;""),""))</f>
        <v/>
      </c>
      <c r="M749" s="25">
        <f>IF(D749="","",SUBSTITUTE(SUBSTITUTE(SUBSTITUTE(SUBSTITUTE(SUBSTITUTE(SUBSTITUTE(SUBSTITUTE(SUBSTITUTE(SUBSTITUTE(SUBSTITUTE(SUBSTITUTE(SUBSTITUTE(LOWER(TRIM(D749)),"á","a"),"é","e"),"í","i"),"ó","o"),"ú","u"),"ü","u"),"ñ","n"),"à","a"),"è","e"),"ì","i"),"ò","o"),"ù","u"))</f>
        <v/>
      </c>
      <c r="N749" s="25">
        <f>IF(F749="","",SUBSTITUTE(SUBSTITUTE(SUBSTITUTE(SUBSTITUTE(SUBSTITUTE(SUBSTITUTE(SUBSTITUTE(SUBSTITUTE(SUBSTITUTE(SUBSTITUTE(SUBSTITUTE(SUBSTITUTE(LOWER(TRIM(F749)),"á","a"),"é","e"),"í","i"),"ó","o"),"ú","u"),"ü","u"),"ñ","n"),"à","a"),"è","e"),"ì","i"),"ò","o"),"ù","u"))</f>
        <v/>
      </c>
      <c r="O749" s="25">
        <f>IF(M749="confiable",2,IF(M749="dudosa",1,IF(M749="no confiable",0,"")))</f>
        <v/>
      </c>
      <c r="P749" s="25">
        <f>IF(N749="confiable",2,IF(N749="dudosa",1,IF(N749="no confiable",0,"")))</f>
        <v/>
      </c>
      <c r="Q749" s="25">
        <f>IF(AND(ISNUMBER(O749),ISNUMBER(P749)),1,"")</f>
        <v/>
      </c>
      <c r="R749" s="25">
        <f>IF(Q749=1,IF(O749=P749,"Sí","No"),"")</f>
        <v/>
      </c>
      <c r="S749" s="25">
        <f>IF(Q749=1,IF(P749&lt;O749,"Más estricto",IF(P749&gt;O749,"Más permisivo","Igual")),"")</f>
        <v/>
      </c>
      <c r="T749" s="25">
        <f>IF(Q749=1,IF(ABS(O749-P749)=2,1,0),"")</f>
        <v/>
      </c>
      <c r="U749" s="25">
        <f>IF(H749="","","|"&amp;SUBSTITUTE(SUBSTITUTE(TRIM(H749)," |","|"),"| ","|")&amp;"|")</f>
        <v/>
      </c>
      <c r="V749" s="25">
        <f>IF(AND(Q749=1,B749&lt;&gt;""),IF(IFERROR(COUNTIFS(B$3:B749,"="&amp;SUBSTITUTE(SUBSTITUTE(SUBSTITUTE(B749,"~","~~"),"*","~*"),"?","~?"),Q$3:Q749,1),0)=1,MAX(V$2:V748)+1,""),"")</f>
        <v/>
      </c>
      <c r="W749" s="25">
        <f>IF(V749="","",COUNTIFS($B$3:$B$1002,"="&amp;SUBSTITUTE(SUBSTITUTE(SUBSTITUTE(B749,"~","~~"),"*","~*"),"?","~?"),$Q$3:$Q$1002,1)*10000-V749)</f>
        <v/>
      </c>
      <c r="X749" s="25">
        <f>IF(Q749=1,IF(SUBSTITUTE(SUBSTITUTE(SUBSTITUTE(SUBSTITUTE(SUBSTITUTE(SUBSTITUTE(SUBSTITUTE(SUBSTITUTE(SUBSTITUTE(SUBSTITUTE(SUBSTITUTE(SUBSTITUTE(LOWER(TRIM(A749)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749)),"á","a"),"é","e"),"í","i"),"ó","o"),"ú","u"),"ü","u"),"ñ","n"),"à","a"),"è","e"),"ì","i"),"ò","o"),"ù","u")),"")</f>
        <v/>
      </c>
      <c r="Y749" s="25">
        <f>IF(X749="","",IF(IFERROR(COUNTIF(X$3:X749,"="&amp;SUBSTITUTE(SUBSTITUTE(SUBSTITUTE(X749,"~","~~"),"*","~*"),"?","~?")),0)=1,1,""))</f>
        <v/>
      </c>
      <c r="Z749" s="25">
        <f>IF(T749=1,MAX(Z$2:Z748)+1,"")</f>
        <v/>
      </c>
    </row>
    <row r="750">
      <c r="A750">
        <f>IF(A$2=0,"",IFERROR(TRIM(INDEX('Pegar calibracion'!$A$1:$BZ$1001,749,A$2)&amp;""),""))</f>
        <v/>
      </c>
      <c r="B750">
        <f>IF(B$2=0,"",IFERROR(TRIM(INDEX('Pegar calibracion'!$A$1:$BZ$1001,749,B$2)&amp;""),""))</f>
        <v/>
      </c>
      <c r="C750">
        <f>IF(C$2=0,"",IFERROR(TRIM(INDEX('Pegar calibracion'!$A$1:$BZ$1001,749,C$2)&amp;""),""))</f>
        <v/>
      </c>
      <c r="D750">
        <f>IF(D$2=0,"",IFERROR(TRIM(INDEX('Pegar calibracion'!$A$1:$BZ$1001,749,D$2)&amp;""),""))</f>
        <v/>
      </c>
      <c r="E750">
        <f>IF(E$2=0,"",IFERROR(TRIM(INDEX('Pegar calibracion'!$A$1:$BZ$1001,749,E$2)&amp;""),""))</f>
        <v/>
      </c>
      <c r="F750">
        <f>IF(F$2=0,"",IFERROR(TRIM(INDEX('Pegar calibracion'!$A$1:$BZ$1001,749,F$2)&amp;""),""))</f>
        <v/>
      </c>
      <c r="G750">
        <f>IF(G$2=0,"",IFERROR(TRIM(INDEX('Pegar calibracion'!$A$1:$BZ$1001,749,G$2)&amp;""),""))</f>
        <v/>
      </c>
      <c r="H750">
        <f>IF(H$2=0,"",IFERROR(TRIM(INDEX('Pegar calibracion'!$A$1:$BZ$1001,749,H$2)&amp;""),""))</f>
        <v/>
      </c>
      <c r="I750">
        <f>IF(I$2=0,"",IFERROR(TRIM(INDEX('Pegar calibracion'!$A$1:$BZ$1001,749,I$2)&amp;""),""))</f>
        <v/>
      </c>
      <c r="J750">
        <f>IF(J$2=0,"",IFERROR(TRIM(INDEX('Pegar calibracion'!$A$1:$BZ$1001,749,J$2)&amp;""),""))</f>
        <v/>
      </c>
      <c r="K750">
        <f>IF(K$2=0,"",IFERROR(TRIM(INDEX('Pegar calibracion'!$A$1:$BZ$1001,749,K$2)&amp;""),""))</f>
        <v/>
      </c>
      <c r="L750">
        <f>IF(L$2=0,"",IFERROR(TRIM(INDEX('Pegar calibracion'!$A$1:$BZ$1001,749,L$2)&amp;""),""))</f>
        <v/>
      </c>
      <c r="M750" s="25">
        <f>IF(D750="","",SUBSTITUTE(SUBSTITUTE(SUBSTITUTE(SUBSTITUTE(SUBSTITUTE(SUBSTITUTE(SUBSTITUTE(SUBSTITUTE(SUBSTITUTE(SUBSTITUTE(SUBSTITUTE(SUBSTITUTE(LOWER(TRIM(D750)),"á","a"),"é","e"),"í","i"),"ó","o"),"ú","u"),"ü","u"),"ñ","n"),"à","a"),"è","e"),"ì","i"),"ò","o"),"ù","u"))</f>
        <v/>
      </c>
      <c r="N750" s="25">
        <f>IF(F750="","",SUBSTITUTE(SUBSTITUTE(SUBSTITUTE(SUBSTITUTE(SUBSTITUTE(SUBSTITUTE(SUBSTITUTE(SUBSTITUTE(SUBSTITUTE(SUBSTITUTE(SUBSTITUTE(SUBSTITUTE(LOWER(TRIM(F750)),"á","a"),"é","e"),"í","i"),"ó","o"),"ú","u"),"ü","u"),"ñ","n"),"à","a"),"è","e"),"ì","i"),"ò","o"),"ù","u"))</f>
        <v/>
      </c>
      <c r="O750" s="25">
        <f>IF(M750="confiable",2,IF(M750="dudosa",1,IF(M750="no confiable",0,"")))</f>
        <v/>
      </c>
      <c r="P750" s="25">
        <f>IF(N750="confiable",2,IF(N750="dudosa",1,IF(N750="no confiable",0,"")))</f>
        <v/>
      </c>
      <c r="Q750" s="25">
        <f>IF(AND(ISNUMBER(O750),ISNUMBER(P750)),1,"")</f>
        <v/>
      </c>
      <c r="R750" s="25">
        <f>IF(Q750=1,IF(O750=P750,"Sí","No"),"")</f>
        <v/>
      </c>
      <c r="S750" s="25">
        <f>IF(Q750=1,IF(P750&lt;O750,"Más estricto",IF(P750&gt;O750,"Más permisivo","Igual")),"")</f>
        <v/>
      </c>
      <c r="T750" s="25">
        <f>IF(Q750=1,IF(ABS(O750-P750)=2,1,0),"")</f>
        <v/>
      </c>
      <c r="U750" s="25">
        <f>IF(H750="","","|"&amp;SUBSTITUTE(SUBSTITUTE(TRIM(H750)," |","|"),"| ","|")&amp;"|")</f>
        <v/>
      </c>
      <c r="V750" s="25">
        <f>IF(AND(Q750=1,B750&lt;&gt;""),IF(IFERROR(COUNTIFS(B$3:B750,"="&amp;SUBSTITUTE(SUBSTITUTE(SUBSTITUTE(B750,"~","~~"),"*","~*"),"?","~?"),Q$3:Q750,1),0)=1,MAX(V$2:V749)+1,""),"")</f>
        <v/>
      </c>
      <c r="W750" s="25">
        <f>IF(V750="","",COUNTIFS($B$3:$B$1002,"="&amp;SUBSTITUTE(SUBSTITUTE(SUBSTITUTE(B750,"~","~~"),"*","~*"),"?","~?"),$Q$3:$Q$1002,1)*10000-V750)</f>
        <v/>
      </c>
      <c r="X750" s="25">
        <f>IF(Q750=1,IF(SUBSTITUTE(SUBSTITUTE(SUBSTITUTE(SUBSTITUTE(SUBSTITUTE(SUBSTITUTE(SUBSTITUTE(SUBSTITUTE(SUBSTITUTE(SUBSTITUTE(SUBSTITUTE(SUBSTITUTE(LOWER(TRIM(A750)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750)),"á","a"),"é","e"),"í","i"),"ó","o"),"ú","u"),"ü","u"),"ñ","n"),"à","a"),"è","e"),"ì","i"),"ò","o"),"ù","u")),"")</f>
        <v/>
      </c>
      <c r="Y750" s="25">
        <f>IF(X750="","",IF(IFERROR(COUNTIF(X$3:X750,"="&amp;SUBSTITUTE(SUBSTITUTE(SUBSTITUTE(X750,"~","~~"),"*","~*"),"?","~?")),0)=1,1,""))</f>
        <v/>
      </c>
      <c r="Z750" s="25">
        <f>IF(T750=1,MAX(Z$2:Z749)+1,"")</f>
        <v/>
      </c>
    </row>
    <row r="751">
      <c r="A751">
        <f>IF(A$2=0,"",IFERROR(TRIM(INDEX('Pegar calibracion'!$A$1:$BZ$1001,750,A$2)&amp;""),""))</f>
        <v/>
      </c>
      <c r="B751">
        <f>IF(B$2=0,"",IFERROR(TRIM(INDEX('Pegar calibracion'!$A$1:$BZ$1001,750,B$2)&amp;""),""))</f>
        <v/>
      </c>
      <c r="C751">
        <f>IF(C$2=0,"",IFERROR(TRIM(INDEX('Pegar calibracion'!$A$1:$BZ$1001,750,C$2)&amp;""),""))</f>
        <v/>
      </c>
      <c r="D751">
        <f>IF(D$2=0,"",IFERROR(TRIM(INDEX('Pegar calibracion'!$A$1:$BZ$1001,750,D$2)&amp;""),""))</f>
        <v/>
      </c>
      <c r="E751">
        <f>IF(E$2=0,"",IFERROR(TRIM(INDEX('Pegar calibracion'!$A$1:$BZ$1001,750,E$2)&amp;""),""))</f>
        <v/>
      </c>
      <c r="F751">
        <f>IF(F$2=0,"",IFERROR(TRIM(INDEX('Pegar calibracion'!$A$1:$BZ$1001,750,F$2)&amp;""),""))</f>
        <v/>
      </c>
      <c r="G751">
        <f>IF(G$2=0,"",IFERROR(TRIM(INDEX('Pegar calibracion'!$A$1:$BZ$1001,750,G$2)&amp;""),""))</f>
        <v/>
      </c>
      <c r="H751">
        <f>IF(H$2=0,"",IFERROR(TRIM(INDEX('Pegar calibracion'!$A$1:$BZ$1001,750,H$2)&amp;""),""))</f>
        <v/>
      </c>
      <c r="I751">
        <f>IF(I$2=0,"",IFERROR(TRIM(INDEX('Pegar calibracion'!$A$1:$BZ$1001,750,I$2)&amp;""),""))</f>
        <v/>
      </c>
      <c r="J751">
        <f>IF(J$2=0,"",IFERROR(TRIM(INDEX('Pegar calibracion'!$A$1:$BZ$1001,750,J$2)&amp;""),""))</f>
        <v/>
      </c>
      <c r="K751">
        <f>IF(K$2=0,"",IFERROR(TRIM(INDEX('Pegar calibracion'!$A$1:$BZ$1001,750,K$2)&amp;""),""))</f>
        <v/>
      </c>
      <c r="L751">
        <f>IF(L$2=0,"",IFERROR(TRIM(INDEX('Pegar calibracion'!$A$1:$BZ$1001,750,L$2)&amp;""),""))</f>
        <v/>
      </c>
      <c r="M751" s="25">
        <f>IF(D751="","",SUBSTITUTE(SUBSTITUTE(SUBSTITUTE(SUBSTITUTE(SUBSTITUTE(SUBSTITUTE(SUBSTITUTE(SUBSTITUTE(SUBSTITUTE(SUBSTITUTE(SUBSTITUTE(SUBSTITUTE(LOWER(TRIM(D751)),"á","a"),"é","e"),"í","i"),"ó","o"),"ú","u"),"ü","u"),"ñ","n"),"à","a"),"è","e"),"ì","i"),"ò","o"),"ù","u"))</f>
        <v/>
      </c>
      <c r="N751" s="25">
        <f>IF(F751="","",SUBSTITUTE(SUBSTITUTE(SUBSTITUTE(SUBSTITUTE(SUBSTITUTE(SUBSTITUTE(SUBSTITUTE(SUBSTITUTE(SUBSTITUTE(SUBSTITUTE(SUBSTITUTE(SUBSTITUTE(LOWER(TRIM(F751)),"á","a"),"é","e"),"í","i"),"ó","o"),"ú","u"),"ü","u"),"ñ","n"),"à","a"),"è","e"),"ì","i"),"ò","o"),"ù","u"))</f>
        <v/>
      </c>
      <c r="O751" s="25">
        <f>IF(M751="confiable",2,IF(M751="dudosa",1,IF(M751="no confiable",0,"")))</f>
        <v/>
      </c>
      <c r="P751" s="25">
        <f>IF(N751="confiable",2,IF(N751="dudosa",1,IF(N751="no confiable",0,"")))</f>
        <v/>
      </c>
      <c r="Q751" s="25">
        <f>IF(AND(ISNUMBER(O751),ISNUMBER(P751)),1,"")</f>
        <v/>
      </c>
      <c r="R751" s="25">
        <f>IF(Q751=1,IF(O751=P751,"Sí","No"),"")</f>
        <v/>
      </c>
      <c r="S751" s="25">
        <f>IF(Q751=1,IF(P751&lt;O751,"Más estricto",IF(P751&gt;O751,"Más permisivo","Igual")),"")</f>
        <v/>
      </c>
      <c r="T751" s="25">
        <f>IF(Q751=1,IF(ABS(O751-P751)=2,1,0),"")</f>
        <v/>
      </c>
      <c r="U751" s="25">
        <f>IF(H751="","","|"&amp;SUBSTITUTE(SUBSTITUTE(TRIM(H751)," |","|"),"| ","|")&amp;"|")</f>
        <v/>
      </c>
      <c r="V751" s="25">
        <f>IF(AND(Q751=1,B751&lt;&gt;""),IF(IFERROR(COUNTIFS(B$3:B751,"="&amp;SUBSTITUTE(SUBSTITUTE(SUBSTITUTE(B751,"~","~~"),"*","~*"),"?","~?"),Q$3:Q751,1),0)=1,MAX(V$2:V750)+1,""),"")</f>
        <v/>
      </c>
      <c r="W751" s="25">
        <f>IF(V751="","",COUNTIFS($B$3:$B$1002,"="&amp;SUBSTITUTE(SUBSTITUTE(SUBSTITUTE(B751,"~","~~"),"*","~*"),"?","~?"),$Q$3:$Q$1002,1)*10000-V751)</f>
        <v/>
      </c>
      <c r="X751" s="25">
        <f>IF(Q751=1,IF(SUBSTITUTE(SUBSTITUTE(SUBSTITUTE(SUBSTITUTE(SUBSTITUTE(SUBSTITUTE(SUBSTITUTE(SUBSTITUTE(SUBSTITUTE(SUBSTITUTE(SUBSTITUTE(SUBSTITUTE(LOWER(TRIM(A751)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751)),"á","a"),"é","e"),"í","i"),"ó","o"),"ú","u"),"ü","u"),"ñ","n"),"à","a"),"è","e"),"ì","i"),"ò","o"),"ù","u")),"")</f>
        <v/>
      </c>
      <c r="Y751" s="25">
        <f>IF(X751="","",IF(IFERROR(COUNTIF(X$3:X751,"="&amp;SUBSTITUTE(SUBSTITUTE(SUBSTITUTE(X751,"~","~~"),"*","~*"),"?","~?")),0)=1,1,""))</f>
        <v/>
      </c>
      <c r="Z751" s="25">
        <f>IF(T751=1,MAX(Z$2:Z750)+1,"")</f>
        <v/>
      </c>
    </row>
    <row r="752">
      <c r="A752">
        <f>IF(A$2=0,"",IFERROR(TRIM(INDEX('Pegar calibracion'!$A$1:$BZ$1001,751,A$2)&amp;""),""))</f>
        <v/>
      </c>
      <c r="B752">
        <f>IF(B$2=0,"",IFERROR(TRIM(INDEX('Pegar calibracion'!$A$1:$BZ$1001,751,B$2)&amp;""),""))</f>
        <v/>
      </c>
      <c r="C752">
        <f>IF(C$2=0,"",IFERROR(TRIM(INDEX('Pegar calibracion'!$A$1:$BZ$1001,751,C$2)&amp;""),""))</f>
        <v/>
      </c>
      <c r="D752">
        <f>IF(D$2=0,"",IFERROR(TRIM(INDEX('Pegar calibracion'!$A$1:$BZ$1001,751,D$2)&amp;""),""))</f>
        <v/>
      </c>
      <c r="E752">
        <f>IF(E$2=0,"",IFERROR(TRIM(INDEX('Pegar calibracion'!$A$1:$BZ$1001,751,E$2)&amp;""),""))</f>
        <v/>
      </c>
      <c r="F752">
        <f>IF(F$2=0,"",IFERROR(TRIM(INDEX('Pegar calibracion'!$A$1:$BZ$1001,751,F$2)&amp;""),""))</f>
        <v/>
      </c>
      <c r="G752">
        <f>IF(G$2=0,"",IFERROR(TRIM(INDEX('Pegar calibracion'!$A$1:$BZ$1001,751,G$2)&amp;""),""))</f>
        <v/>
      </c>
      <c r="H752">
        <f>IF(H$2=0,"",IFERROR(TRIM(INDEX('Pegar calibracion'!$A$1:$BZ$1001,751,H$2)&amp;""),""))</f>
        <v/>
      </c>
      <c r="I752">
        <f>IF(I$2=0,"",IFERROR(TRIM(INDEX('Pegar calibracion'!$A$1:$BZ$1001,751,I$2)&amp;""),""))</f>
        <v/>
      </c>
      <c r="J752">
        <f>IF(J$2=0,"",IFERROR(TRIM(INDEX('Pegar calibracion'!$A$1:$BZ$1001,751,J$2)&amp;""),""))</f>
        <v/>
      </c>
      <c r="K752">
        <f>IF(K$2=0,"",IFERROR(TRIM(INDEX('Pegar calibracion'!$A$1:$BZ$1001,751,K$2)&amp;""),""))</f>
        <v/>
      </c>
      <c r="L752">
        <f>IF(L$2=0,"",IFERROR(TRIM(INDEX('Pegar calibracion'!$A$1:$BZ$1001,751,L$2)&amp;""),""))</f>
        <v/>
      </c>
      <c r="M752" s="25">
        <f>IF(D752="","",SUBSTITUTE(SUBSTITUTE(SUBSTITUTE(SUBSTITUTE(SUBSTITUTE(SUBSTITUTE(SUBSTITUTE(SUBSTITUTE(SUBSTITUTE(SUBSTITUTE(SUBSTITUTE(SUBSTITUTE(LOWER(TRIM(D752)),"á","a"),"é","e"),"í","i"),"ó","o"),"ú","u"),"ü","u"),"ñ","n"),"à","a"),"è","e"),"ì","i"),"ò","o"),"ù","u"))</f>
        <v/>
      </c>
      <c r="N752" s="25">
        <f>IF(F752="","",SUBSTITUTE(SUBSTITUTE(SUBSTITUTE(SUBSTITUTE(SUBSTITUTE(SUBSTITUTE(SUBSTITUTE(SUBSTITUTE(SUBSTITUTE(SUBSTITUTE(SUBSTITUTE(SUBSTITUTE(LOWER(TRIM(F752)),"á","a"),"é","e"),"í","i"),"ó","o"),"ú","u"),"ü","u"),"ñ","n"),"à","a"),"è","e"),"ì","i"),"ò","o"),"ù","u"))</f>
        <v/>
      </c>
      <c r="O752" s="25">
        <f>IF(M752="confiable",2,IF(M752="dudosa",1,IF(M752="no confiable",0,"")))</f>
        <v/>
      </c>
      <c r="P752" s="25">
        <f>IF(N752="confiable",2,IF(N752="dudosa",1,IF(N752="no confiable",0,"")))</f>
        <v/>
      </c>
      <c r="Q752" s="25">
        <f>IF(AND(ISNUMBER(O752),ISNUMBER(P752)),1,"")</f>
        <v/>
      </c>
      <c r="R752" s="25">
        <f>IF(Q752=1,IF(O752=P752,"Sí","No"),"")</f>
        <v/>
      </c>
      <c r="S752" s="25">
        <f>IF(Q752=1,IF(P752&lt;O752,"Más estricto",IF(P752&gt;O752,"Más permisivo","Igual")),"")</f>
        <v/>
      </c>
      <c r="T752" s="25">
        <f>IF(Q752=1,IF(ABS(O752-P752)=2,1,0),"")</f>
        <v/>
      </c>
      <c r="U752" s="25">
        <f>IF(H752="","","|"&amp;SUBSTITUTE(SUBSTITUTE(TRIM(H752)," |","|"),"| ","|")&amp;"|")</f>
        <v/>
      </c>
      <c r="V752" s="25">
        <f>IF(AND(Q752=1,B752&lt;&gt;""),IF(IFERROR(COUNTIFS(B$3:B752,"="&amp;SUBSTITUTE(SUBSTITUTE(SUBSTITUTE(B752,"~","~~"),"*","~*"),"?","~?"),Q$3:Q752,1),0)=1,MAX(V$2:V751)+1,""),"")</f>
        <v/>
      </c>
      <c r="W752" s="25">
        <f>IF(V752="","",COUNTIFS($B$3:$B$1002,"="&amp;SUBSTITUTE(SUBSTITUTE(SUBSTITUTE(B752,"~","~~"),"*","~*"),"?","~?"),$Q$3:$Q$1002,1)*10000-V752)</f>
        <v/>
      </c>
      <c r="X752" s="25">
        <f>IF(Q752=1,IF(SUBSTITUTE(SUBSTITUTE(SUBSTITUTE(SUBSTITUTE(SUBSTITUTE(SUBSTITUTE(SUBSTITUTE(SUBSTITUTE(SUBSTITUTE(SUBSTITUTE(SUBSTITUTE(SUBSTITUTE(LOWER(TRIM(A752)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752)),"á","a"),"é","e"),"í","i"),"ó","o"),"ú","u"),"ü","u"),"ñ","n"),"à","a"),"è","e"),"ì","i"),"ò","o"),"ù","u")),"")</f>
        <v/>
      </c>
      <c r="Y752" s="25">
        <f>IF(X752="","",IF(IFERROR(COUNTIF(X$3:X752,"="&amp;SUBSTITUTE(SUBSTITUTE(SUBSTITUTE(X752,"~","~~"),"*","~*"),"?","~?")),0)=1,1,""))</f>
        <v/>
      </c>
      <c r="Z752" s="25">
        <f>IF(T752=1,MAX(Z$2:Z751)+1,"")</f>
        <v/>
      </c>
    </row>
    <row r="753">
      <c r="A753">
        <f>IF(A$2=0,"",IFERROR(TRIM(INDEX('Pegar calibracion'!$A$1:$BZ$1001,752,A$2)&amp;""),""))</f>
        <v/>
      </c>
      <c r="B753">
        <f>IF(B$2=0,"",IFERROR(TRIM(INDEX('Pegar calibracion'!$A$1:$BZ$1001,752,B$2)&amp;""),""))</f>
        <v/>
      </c>
      <c r="C753">
        <f>IF(C$2=0,"",IFERROR(TRIM(INDEX('Pegar calibracion'!$A$1:$BZ$1001,752,C$2)&amp;""),""))</f>
        <v/>
      </c>
      <c r="D753">
        <f>IF(D$2=0,"",IFERROR(TRIM(INDEX('Pegar calibracion'!$A$1:$BZ$1001,752,D$2)&amp;""),""))</f>
        <v/>
      </c>
      <c r="E753">
        <f>IF(E$2=0,"",IFERROR(TRIM(INDEX('Pegar calibracion'!$A$1:$BZ$1001,752,E$2)&amp;""),""))</f>
        <v/>
      </c>
      <c r="F753">
        <f>IF(F$2=0,"",IFERROR(TRIM(INDEX('Pegar calibracion'!$A$1:$BZ$1001,752,F$2)&amp;""),""))</f>
        <v/>
      </c>
      <c r="G753">
        <f>IF(G$2=0,"",IFERROR(TRIM(INDEX('Pegar calibracion'!$A$1:$BZ$1001,752,G$2)&amp;""),""))</f>
        <v/>
      </c>
      <c r="H753">
        <f>IF(H$2=0,"",IFERROR(TRIM(INDEX('Pegar calibracion'!$A$1:$BZ$1001,752,H$2)&amp;""),""))</f>
        <v/>
      </c>
      <c r="I753">
        <f>IF(I$2=0,"",IFERROR(TRIM(INDEX('Pegar calibracion'!$A$1:$BZ$1001,752,I$2)&amp;""),""))</f>
        <v/>
      </c>
      <c r="J753">
        <f>IF(J$2=0,"",IFERROR(TRIM(INDEX('Pegar calibracion'!$A$1:$BZ$1001,752,J$2)&amp;""),""))</f>
        <v/>
      </c>
      <c r="K753">
        <f>IF(K$2=0,"",IFERROR(TRIM(INDEX('Pegar calibracion'!$A$1:$BZ$1001,752,K$2)&amp;""),""))</f>
        <v/>
      </c>
      <c r="L753">
        <f>IF(L$2=0,"",IFERROR(TRIM(INDEX('Pegar calibracion'!$A$1:$BZ$1001,752,L$2)&amp;""),""))</f>
        <v/>
      </c>
      <c r="M753" s="25">
        <f>IF(D753="","",SUBSTITUTE(SUBSTITUTE(SUBSTITUTE(SUBSTITUTE(SUBSTITUTE(SUBSTITUTE(SUBSTITUTE(SUBSTITUTE(SUBSTITUTE(SUBSTITUTE(SUBSTITUTE(SUBSTITUTE(LOWER(TRIM(D753)),"á","a"),"é","e"),"í","i"),"ó","o"),"ú","u"),"ü","u"),"ñ","n"),"à","a"),"è","e"),"ì","i"),"ò","o"),"ù","u"))</f>
        <v/>
      </c>
      <c r="N753" s="25">
        <f>IF(F753="","",SUBSTITUTE(SUBSTITUTE(SUBSTITUTE(SUBSTITUTE(SUBSTITUTE(SUBSTITUTE(SUBSTITUTE(SUBSTITUTE(SUBSTITUTE(SUBSTITUTE(SUBSTITUTE(SUBSTITUTE(LOWER(TRIM(F753)),"á","a"),"é","e"),"í","i"),"ó","o"),"ú","u"),"ü","u"),"ñ","n"),"à","a"),"è","e"),"ì","i"),"ò","o"),"ù","u"))</f>
        <v/>
      </c>
      <c r="O753" s="25">
        <f>IF(M753="confiable",2,IF(M753="dudosa",1,IF(M753="no confiable",0,"")))</f>
        <v/>
      </c>
      <c r="P753" s="25">
        <f>IF(N753="confiable",2,IF(N753="dudosa",1,IF(N753="no confiable",0,"")))</f>
        <v/>
      </c>
      <c r="Q753" s="25">
        <f>IF(AND(ISNUMBER(O753),ISNUMBER(P753)),1,"")</f>
        <v/>
      </c>
      <c r="R753" s="25">
        <f>IF(Q753=1,IF(O753=P753,"Sí","No"),"")</f>
        <v/>
      </c>
      <c r="S753" s="25">
        <f>IF(Q753=1,IF(P753&lt;O753,"Más estricto",IF(P753&gt;O753,"Más permisivo","Igual")),"")</f>
        <v/>
      </c>
      <c r="T753" s="25">
        <f>IF(Q753=1,IF(ABS(O753-P753)=2,1,0),"")</f>
        <v/>
      </c>
      <c r="U753" s="25">
        <f>IF(H753="","","|"&amp;SUBSTITUTE(SUBSTITUTE(TRIM(H753)," |","|"),"| ","|")&amp;"|")</f>
        <v/>
      </c>
      <c r="V753" s="25">
        <f>IF(AND(Q753=1,B753&lt;&gt;""),IF(IFERROR(COUNTIFS(B$3:B753,"="&amp;SUBSTITUTE(SUBSTITUTE(SUBSTITUTE(B753,"~","~~"),"*","~*"),"?","~?"),Q$3:Q753,1),0)=1,MAX(V$2:V752)+1,""),"")</f>
        <v/>
      </c>
      <c r="W753" s="25">
        <f>IF(V753="","",COUNTIFS($B$3:$B$1002,"="&amp;SUBSTITUTE(SUBSTITUTE(SUBSTITUTE(B753,"~","~~"),"*","~*"),"?","~?"),$Q$3:$Q$1002,1)*10000-V753)</f>
        <v/>
      </c>
      <c r="X753" s="25">
        <f>IF(Q753=1,IF(SUBSTITUTE(SUBSTITUTE(SUBSTITUTE(SUBSTITUTE(SUBSTITUTE(SUBSTITUTE(SUBSTITUTE(SUBSTITUTE(SUBSTITUTE(SUBSTITUTE(SUBSTITUTE(SUBSTITUTE(LOWER(TRIM(A753)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753)),"á","a"),"é","e"),"í","i"),"ó","o"),"ú","u"),"ü","u"),"ñ","n"),"à","a"),"è","e"),"ì","i"),"ò","o"),"ù","u")),"")</f>
        <v/>
      </c>
      <c r="Y753" s="25">
        <f>IF(X753="","",IF(IFERROR(COUNTIF(X$3:X753,"="&amp;SUBSTITUTE(SUBSTITUTE(SUBSTITUTE(X753,"~","~~"),"*","~*"),"?","~?")),0)=1,1,""))</f>
        <v/>
      </c>
      <c r="Z753" s="25">
        <f>IF(T753=1,MAX(Z$2:Z752)+1,"")</f>
        <v/>
      </c>
    </row>
    <row r="754">
      <c r="A754">
        <f>IF(A$2=0,"",IFERROR(TRIM(INDEX('Pegar calibracion'!$A$1:$BZ$1001,753,A$2)&amp;""),""))</f>
        <v/>
      </c>
      <c r="B754">
        <f>IF(B$2=0,"",IFERROR(TRIM(INDEX('Pegar calibracion'!$A$1:$BZ$1001,753,B$2)&amp;""),""))</f>
        <v/>
      </c>
      <c r="C754">
        <f>IF(C$2=0,"",IFERROR(TRIM(INDEX('Pegar calibracion'!$A$1:$BZ$1001,753,C$2)&amp;""),""))</f>
        <v/>
      </c>
      <c r="D754">
        <f>IF(D$2=0,"",IFERROR(TRIM(INDEX('Pegar calibracion'!$A$1:$BZ$1001,753,D$2)&amp;""),""))</f>
        <v/>
      </c>
      <c r="E754">
        <f>IF(E$2=0,"",IFERROR(TRIM(INDEX('Pegar calibracion'!$A$1:$BZ$1001,753,E$2)&amp;""),""))</f>
        <v/>
      </c>
      <c r="F754">
        <f>IF(F$2=0,"",IFERROR(TRIM(INDEX('Pegar calibracion'!$A$1:$BZ$1001,753,F$2)&amp;""),""))</f>
        <v/>
      </c>
      <c r="G754">
        <f>IF(G$2=0,"",IFERROR(TRIM(INDEX('Pegar calibracion'!$A$1:$BZ$1001,753,G$2)&amp;""),""))</f>
        <v/>
      </c>
      <c r="H754">
        <f>IF(H$2=0,"",IFERROR(TRIM(INDEX('Pegar calibracion'!$A$1:$BZ$1001,753,H$2)&amp;""),""))</f>
        <v/>
      </c>
      <c r="I754">
        <f>IF(I$2=0,"",IFERROR(TRIM(INDEX('Pegar calibracion'!$A$1:$BZ$1001,753,I$2)&amp;""),""))</f>
        <v/>
      </c>
      <c r="J754">
        <f>IF(J$2=0,"",IFERROR(TRIM(INDEX('Pegar calibracion'!$A$1:$BZ$1001,753,J$2)&amp;""),""))</f>
        <v/>
      </c>
      <c r="K754">
        <f>IF(K$2=0,"",IFERROR(TRIM(INDEX('Pegar calibracion'!$A$1:$BZ$1001,753,K$2)&amp;""),""))</f>
        <v/>
      </c>
      <c r="L754">
        <f>IF(L$2=0,"",IFERROR(TRIM(INDEX('Pegar calibracion'!$A$1:$BZ$1001,753,L$2)&amp;""),""))</f>
        <v/>
      </c>
      <c r="M754" s="25">
        <f>IF(D754="","",SUBSTITUTE(SUBSTITUTE(SUBSTITUTE(SUBSTITUTE(SUBSTITUTE(SUBSTITUTE(SUBSTITUTE(SUBSTITUTE(SUBSTITUTE(SUBSTITUTE(SUBSTITUTE(SUBSTITUTE(LOWER(TRIM(D754)),"á","a"),"é","e"),"í","i"),"ó","o"),"ú","u"),"ü","u"),"ñ","n"),"à","a"),"è","e"),"ì","i"),"ò","o"),"ù","u"))</f>
        <v/>
      </c>
      <c r="N754" s="25">
        <f>IF(F754="","",SUBSTITUTE(SUBSTITUTE(SUBSTITUTE(SUBSTITUTE(SUBSTITUTE(SUBSTITUTE(SUBSTITUTE(SUBSTITUTE(SUBSTITUTE(SUBSTITUTE(SUBSTITUTE(SUBSTITUTE(LOWER(TRIM(F754)),"á","a"),"é","e"),"í","i"),"ó","o"),"ú","u"),"ü","u"),"ñ","n"),"à","a"),"è","e"),"ì","i"),"ò","o"),"ù","u"))</f>
        <v/>
      </c>
      <c r="O754" s="25">
        <f>IF(M754="confiable",2,IF(M754="dudosa",1,IF(M754="no confiable",0,"")))</f>
        <v/>
      </c>
      <c r="P754" s="25">
        <f>IF(N754="confiable",2,IF(N754="dudosa",1,IF(N754="no confiable",0,"")))</f>
        <v/>
      </c>
      <c r="Q754" s="25">
        <f>IF(AND(ISNUMBER(O754),ISNUMBER(P754)),1,"")</f>
        <v/>
      </c>
      <c r="R754" s="25">
        <f>IF(Q754=1,IF(O754=P754,"Sí","No"),"")</f>
        <v/>
      </c>
      <c r="S754" s="25">
        <f>IF(Q754=1,IF(P754&lt;O754,"Más estricto",IF(P754&gt;O754,"Más permisivo","Igual")),"")</f>
        <v/>
      </c>
      <c r="T754" s="25">
        <f>IF(Q754=1,IF(ABS(O754-P754)=2,1,0),"")</f>
        <v/>
      </c>
      <c r="U754" s="25">
        <f>IF(H754="","","|"&amp;SUBSTITUTE(SUBSTITUTE(TRIM(H754)," |","|"),"| ","|")&amp;"|")</f>
        <v/>
      </c>
      <c r="V754" s="25">
        <f>IF(AND(Q754=1,B754&lt;&gt;""),IF(IFERROR(COUNTIFS(B$3:B754,"="&amp;SUBSTITUTE(SUBSTITUTE(SUBSTITUTE(B754,"~","~~"),"*","~*"),"?","~?"),Q$3:Q754,1),0)=1,MAX(V$2:V753)+1,""),"")</f>
        <v/>
      </c>
      <c r="W754" s="25">
        <f>IF(V754="","",COUNTIFS($B$3:$B$1002,"="&amp;SUBSTITUTE(SUBSTITUTE(SUBSTITUTE(B754,"~","~~"),"*","~*"),"?","~?"),$Q$3:$Q$1002,1)*10000-V754)</f>
        <v/>
      </c>
      <c r="X754" s="25">
        <f>IF(Q754=1,IF(SUBSTITUTE(SUBSTITUTE(SUBSTITUTE(SUBSTITUTE(SUBSTITUTE(SUBSTITUTE(SUBSTITUTE(SUBSTITUTE(SUBSTITUTE(SUBSTITUTE(SUBSTITUTE(SUBSTITUTE(LOWER(TRIM(A754)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754)),"á","a"),"é","e"),"í","i"),"ó","o"),"ú","u"),"ü","u"),"ñ","n"),"à","a"),"è","e"),"ì","i"),"ò","o"),"ù","u")),"")</f>
        <v/>
      </c>
      <c r="Y754" s="25">
        <f>IF(X754="","",IF(IFERROR(COUNTIF(X$3:X754,"="&amp;SUBSTITUTE(SUBSTITUTE(SUBSTITUTE(X754,"~","~~"),"*","~*"),"?","~?")),0)=1,1,""))</f>
        <v/>
      </c>
      <c r="Z754" s="25">
        <f>IF(T754=1,MAX(Z$2:Z753)+1,"")</f>
        <v/>
      </c>
    </row>
    <row r="755">
      <c r="A755">
        <f>IF(A$2=0,"",IFERROR(TRIM(INDEX('Pegar calibracion'!$A$1:$BZ$1001,754,A$2)&amp;""),""))</f>
        <v/>
      </c>
      <c r="B755">
        <f>IF(B$2=0,"",IFERROR(TRIM(INDEX('Pegar calibracion'!$A$1:$BZ$1001,754,B$2)&amp;""),""))</f>
        <v/>
      </c>
      <c r="C755">
        <f>IF(C$2=0,"",IFERROR(TRIM(INDEX('Pegar calibracion'!$A$1:$BZ$1001,754,C$2)&amp;""),""))</f>
        <v/>
      </c>
      <c r="D755">
        <f>IF(D$2=0,"",IFERROR(TRIM(INDEX('Pegar calibracion'!$A$1:$BZ$1001,754,D$2)&amp;""),""))</f>
        <v/>
      </c>
      <c r="E755">
        <f>IF(E$2=0,"",IFERROR(TRIM(INDEX('Pegar calibracion'!$A$1:$BZ$1001,754,E$2)&amp;""),""))</f>
        <v/>
      </c>
      <c r="F755">
        <f>IF(F$2=0,"",IFERROR(TRIM(INDEX('Pegar calibracion'!$A$1:$BZ$1001,754,F$2)&amp;""),""))</f>
        <v/>
      </c>
      <c r="G755">
        <f>IF(G$2=0,"",IFERROR(TRIM(INDEX('Pegar calibracion'!$A$1:$BZ$1001,754,G$2)&amp;""),""))</f>
        <v/>
      </c>
      <c r="H755">
        <f>IF(H$2=0,"",IFERROR(TRIM(INDEX('Pegar calibracion'!$A$1:$BZ$1001,754,H$2)&amp;""),""))</f>
        <v/>
      </c>
      <c r="I755">
        <f>IF(I$2=0,"",IFERROR(TRIM(INDEX('Pegar calibracion'!$A$1:$BZ$1001,754,I$2)&amp;""),""))</f>
        <v/>
      </c>
      <c r="J755">
        <f>IF(J$2=0,"",IFERROR(TRIM(INDEX('Pegar calibracion'!$A$1:$BZ$1001,754,J$2)&amp;""),""))</f>
        <v/>
      </c>
      <c r="K755">
        <f>IF(K$2=0,"",IFERROR(TRIM(INDEX('Pegar calibracion'!$A$1:$BZ$1001,754,K$2)&amp;""),""))</f>
        <v/>
      </c>
      <c r="L755">
        <f>IF(L$2=0,"",IFERROR(TRIM(INDEX('Pegar calibracion'!$A$1:$BZ$1001,754,L$2)&amp;""),""))</f>
        <v/>
      </c>
      <c r="M755" s="25">
        <f>IF(D755="","",SUBSTITUTE(SUBSTITUTE(SUBSTITUTE(SUBSTITUTE(SUBSTITUTE(SUBSTITUTE(SUBSTITUTE(SUBSTITUTE(SUBSTITUTE(SUBSTITUTE(SUBSTITUTE(SUBSTITUTE(LOWER(TRIM(D755)),"á","a"),"é","e"),"í","i"),"ó","o"),"ú","u"),"ü","u"),"ñ","n"),"à","a"),"è","e"),"ì","i"),"ò","o"),"ù","u"))</f>
        <v/>
      </c>
      <c r="N755" s="25">
        <f>IF(F755="","",SUBSTITUTE(SUBSTITUTE(SUBSTITUTE(SUBSTITUTE(SUBSTITUTE(SUBSTITUTE(SUBSTITUTE(SUBSTITUTE(SUBSTITUTE(SUBSTITUTE(SUBSTITUTE(SUBSTITUTE(LOWER(TRIM(F755)),"á","a"),"é","e"),"í","i"),"ó","o"),"ú","u"),"ü","u"),"ñ","n"),"à","a"),"è","e"),"ì","i"),"ò","o"),"ù","u"))</f>
        <v/>
      </c>
      <c r="O755" s="25">
        <f>IF(M755="confiable",2,IF(M755="dudosa",1,IF(M755="no confiable",0,"")))</f>
        <v/>
      </c>
      <c r="P755" s="25">
        <f>IF(N755="confiable",2,IF(N755="dudosa",1,IF(N755="no confiable",0,"")))</f>
        <v/>
      </c>
      <c r="Q755" s="25">
        <f>IF(AND(ISNUMBER(O755),ISNUMBER(P755)),1,"")</f>
        <v/>
      </c>
      <c r="R755" s="25">
        <f>IF(Q755=1,IF(O755=P755,"Sí","No"),"")</f>
        <v/>
      </c>
      <c r="S755" s="25">
        <f>IF(Q755=1,IF(P755&lt;O755,"Más estricto",IF(P755&gt;O755,"Más permisivo","Igual")),"")</f>
        <v/>
      </c>
      <c r="T755" s="25">
        <f>IF(Q755=1,IF(ABS(O755-P755)=2,1,0),"")</f>
        <v/>
      </c>
      <c r="U755" s="25">
        <f>IF(H755="","","|"&amp;SUBSTITUTE(SUBSTITUTE(TRIM(H755)," |","|"),"| ","|")&amp;"|")</f>
        <v/>
      </c>
      <c r="V755" s="25">
        <f>IF(AND(Q755=1,B755&lt;&gt;""),IF(IFERROR(COUNTIFS(B$3:B755,"="&amp;SUBSTITUTE(SUBSTITUTE(SUBSTITUTE(B755,"~","~~"),"*","~*"),"?","~?"),Q$3:Q755,1),0)=1,MAX(V$2:V754)+1,""),"")</f>
        <v/>
      </c>
      <c r="W755" s="25">
        <f>IF(V755="","",COUNTIFS($B$3:$B$1002,"="&amp;SUBSTITUTE(SUBSTITUTE(SUBSTITUTE(B755,"~","~~"),"*","~*"),"?","~?"),$Q$3:$Q$1002,1)*10000-V755)</f>
        <v/>
      </c>
      <c r="X755" s="25">
        <f>IF(Q755=1,IF(SUBSTITUTE(SUBSTITUTE(SUBSTITUTE(SUBSTITUTE(SUBSTITUTE(SUBSTITUTE(SUBSTITUTE(SUBSTITUTE(SUBSTITUTE(SUBSTITUTE(SUBSTITUTE(SUBSTITUTE(LOWER(TRIM(A755)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755)),"á","a"),"é","e"),"í","i"),"ó","o"),"ú","u"),"ü","u"),"ñ","n"),"à","a"),"è","e"),"ì","i"),"ò","o"),"ù","u")),"")</f>
        <v/>
      </c>
      <c r="Y755" s="25">
        <f>IF(X755="","",IF(IFERROR(COUNTIF(X$3:X755,"="&amp;SUBSTITUTE(SUBSTITUTE(SUBSTITUTE(X755,"~","~~"),"*","~*"),"?","~?")),0)=1,1,""))</f>
        <v/>
      </c>
      <c r="Z755" s="25">
        <f>IF(T755=1,MAX(Z$2:Z754)+1,"")</f>
        <v/>
      </c>
    </row>
    <row r="756">
      <c r="A756">
        <f>IF(A$2=0,"",IFERROR(TRIM(INDEX('Pegar calibracion'!$A$1:$BZ$1001,755,A$2)&amp;""),""))</f>
        <v/>
      </c>
      <c r="B756">
        <f>IF(B$2=0,"",IFERROR(TRIM(INDEX('Pegar calibracion'!$A$1:$BZ$1001,755,B$2)&amp;""),""))</f>
        <v/>
      </c>
      <c r="C756">
        <f>IF(C$2=0,"",IFERROR(TRIM(INDEX('Pegar calibracion'!$A$1:$BZ$1001,755,C$2)&amp;""),""))</f>
        <v/>
      </c>
      <c r="D756">
        <f>IF(D$2=0,"",IFERROR(TRIM(INDEX('Pegar calibracion'!$A$1:$BZ$1001,755,D$2)&amp;""),""))</f>
        <v/>
      </c>
      <c r="E756">
        <f>IF(E$2=0,"",IFERROR(TRIM(INDEX('Pegar calibracion'!$A$1:$BZ$1001,755,E$2)&amp;""),""))</f>
        <v/>
      </c>
      <c r="F756">
        <f>IF(F$2=0,"",IFERROR(TRIM(INDEX('Pegar calibracion'!$A$1:$BZ$1001,755,F$2)&amp;""),""))</f>
        <v/>
      </c>
      <c r="G756">
        <f>IF(G$2=0,"",IFERROR(TRIM(INDEX('Pegar calibracion'!$A$1:$BZ$1001,755,G$2)&amp;""),""))</f>
        <v/>
      </c>
      <c r="H756">
        <f>IF(H$2=0,"",IFERROR(TRIM(INDEX('Pegar calibracion'!$A$1:$BZ$1001,755,H$2)&amp;""),""))</f>
        <v/>
      </c>
      <c r="I756">
        <f>IF(I$2=0,"",IFERROR(TRIM(INDEX('Pegar calibracion'!$A$1:$BZ$1001,755,I$2)&amp;""),""))</f>
        <v/>
      </c>
      <c r="J756">
        <f>IF(J$2=0,"",IFERROR(TRIM(INDEX('Pegar calibracion'!$A$1:$BZ$1001,755,J$2)&amp;""),""))</f>
        <v/>
      </c>
      <c r="K756">
        <f>IF(K$2=0,"",IFERROR(TRIM(INDEX('Pegar calibracion'!$A$1:$BZ$1001,755,K$2)&amp;""),""))</f>
        <v/>
      </c>
      <c r="L756">
        <f>IF(L$2=0,"",IFERROR(TRIM(INDEX('Pegar calibracion'!$A$1:$BZ$1001,755,L$2)&amp;""),""))</f>
        <v/>
      </c>
      <c r="M756" s="25">
        <f>IF(D756="","",SUBSTITUTE(SUBSTITUTE(SUBSTITUTE(SUBSTITUTE(SUBSTITUTE(SUBSTITUTE(SUBSTITUTE(SUBSTITUTE(SUBSTITUTE(SUBSTITUTE(SUBSTITUTE(SUBSTITUTE(LOWER(TRIM(D756)),"á","a"),"é","e"),"í","i"),"ó","o"),"ú","u"),"ü","u"),"ñ","n"),"à","a"),"è","e"),"ì","i"),"ò","o"),"ù","u"))</f>
        <v/>
      </c>
      <c r="N756" s="25">
        <f>IF(F756="","",SUBSTITUTE(SUBSTITUTE(SUBSTITUTE(SUBSTITUTE(SUBSTITUTE(SUBSTITUTE(SUBSTITUTE(SUBSTITUTE(SUBSTITUTE(SUBSTITUTE(SUBSTITUTE(SUBSTITUTE(LOWER(TRIM(F756)),"á","a"),"é","e"),"í","i"),"ó","o"),"ú","u"),"ü","u"),"ñ","n"),"à","a"),"è","e"),"ì","i"),"ò","o"),"ù","u"))</f>
        <v/>
      </c>
      <c r="O756" s="25">
        <f>IF(M756="confiable",2,IF(M756="dudosa",1,IF(M756="no confiable",0,"")))</f>
        <v/>
      </c>
      <c r="P756" s="25">
        <f>IF(N756="confiable",2,IF(N756="dudosa",1,IF(N756="no confiable",0,"")))</f>
        <v/>
      </c>
      <c r="Q756" s="25">
        <f>IF(AND(ISNUMBER(O756),ISNUMBER(P756)),1,"")</f>
        <v/>
      </c>
      <c r="R756" s="25">
        <f>IF(Q756=1,IF(O756=P756,"Sí","No"),"")</f>
        <v/>
      </c>
      <c r="S756" s="25">
        <f>IF(Q756=1,IF(P756&lt;O756,"Más estricto",IF(P756&gt;O756,"Más permisivo","Igual")),"")</f>
        <v/>
      </c>
      <c r="T756" s="25">
        <f>IF(Q756=1,IF(ABS(O756-P756)=2,1,0),"")</f>
        <v/>
      </c>
      <c r="U756" s="25">
        <f>IF(H756="","","|"&amp;SUBSTITUTE(SUBSTITUTE(TRIM(H756)," |","|"),"| ","|")&amp;"|")</f>
        <v/>
      </c>
      <c r="V756" s="25">
        <f>IF(AND(Q756=1,B756&lt;&gt;""),IF(IFERROR(COUNTIFS(B$3:B756,"="&amp;SUBSTITUTE(SUBSTITUTE(SUBSTITUTE(B756,"~","~~"),"*","~*"),"?","~?"),Q$3:Q756,1),0)=1,MAX(V$2:V755)+1,""),"")</f>
        <v/>
      </c>
      <c r="W756" s="25">
        <f>IF(V756="","",COUNTIFS($B$3:$B$1002,"="&amp;SUBSTITUTE(SUBSTITUTE(SUBSTITUTE(B756,"~","~~"),"*","~*"),"?","~?"),$Q$3:$Q$1002,1)*10000-V756)</f>
        <v/>
      </c>
      <c r="X756" s="25">
        <f>IF(Q756=1,IF(SUBSTITUTE(SUBSTITUTE(SUBSTITUTE(SUBSTITUTE(SUBSTITUTE(SUBSTITUTE(SUBSTITUTE(SUBSTITUTE(SUBSTITUTE(SUBSTITUTE(SUBSTITUTE(SUBSTITUTE(LOWER(TRIM(A756)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756)),"á","a"),"é","e"),"í","i"),"ó","o"),"ú","u"),"ü","u"),"ñ","n"),"à","a"),"è","e"),"ì","i"),"ò","o"),"ù","u")),"")</f>
        <v/>
      </c>
      <c r="Y756" s="25">
        <f>IF(X756="","",IF(IFERROR(COUNTIF(X$3:X756,"="&amp;SUBSTITUTE(SUBSTITUTE(SUBSTITUTE(X756,"~","~~"),"*","~*"),"?","~?")),0)=1,1,""))</f>
        <v/>
      </c>
      <c r="Z756" s="25">
        <f>IF(T756=1,MAX(Z$2:Z755)+1,"")</f>
        <v/>
      </c>
    </row>
    <row r="757">
      <c r="A757">
        <f>IF(A$2=0,"",IFERROR(TRIM(INDEX('Pegar calibracion'!$A$1:$BZ$1001,756,A$2)&amp;""),""))</f>
        <v/>
      </c>
      <c r="B757">
        <f>IF(B$2=0,"",IFERROR(TRIM(INDEX('Pegar calibracion'!$A$1:$BZ$1001,756,B$2)&amp;""),""))</f>
        <v/>
      </c>
      <c r="C757">
        <f>IF(C$2=0,"",IFERROR(TRIM(INDEX('Pegar calibracion'!$A$1:$BZ$1001,756,C$2)&amp;""),""))</f>
        <v/>
      </c>
      <c r="D757">
        <f>IF(D$2=0,"",IFERROR(TRIM(INDEX('Pegar calibracion'!$A$1:$BZ$1001,756,D$2)&amp;""),""))</f>
        <v/>
      </c>
      <c r="E757">
        <f>IF(E$2=0,"",IFERROR(TRIM(INDEX('Pegar calibracion'!$A$1:$BZ$1001,756,E$2)&amp;""),""))</f>
        <v/>
      </c>
      <c r="F757">
        <f>IF(F$2=0,"",IFERROR(TRIM(INDEX('Pegar calibracion'!$A$1:$BZ$1001,756,F$2)&amp;""),""))</f>
        <v/>
      </c>
      <c r="G757">
        <f>IF(G$2=0,"",IFERROR(TRIM(INDEX('Pegar calibracion'!$A$1:$BZ$1001,756,G$2)&amp;""),""))</f>
        <v/>
      </c>
      <c r="H757">
        <f>IF(H$2=0,"",IFERROR(TRIM(INDEX('Pegar calibracion'!$A$1:$BZ$1001,756,H$2)&amp;""),""))</f>
        <v/>
      </c>
      <c r="I757">
        <f>IF(I$2=0,"",IFERROR(TRIM(INDEX('Pegar calibracion'!$A$1:$BZ$1001,756,I$2)&amp;""),""))</f>
        <v/>
      </c>
      <c r="J757">
        <f>IF(J$2=0,"",IFERROR(TRIM(INDEX('Pegar calibracion'!$A$1:$BZ$1001,756,J$2)&amp;""),""))</f>
        <v/>
      </c>
      <c r="K757">
        <f>IF(K$2=0,"",IFERROR(TRIM(INDEX('Pegar calibracion'!$A$1:$BZ$1001,756,K$2)&amp;""),""))</f>
        <v/>
      </c>
      <c r="L757">
        <f>IF(L$2=0,"",IFERROR(TRIM(INDEX('Pegar calibracion'!$A$1:$BZ$1001,756,L$2)&amp;""),""))</f>
        <v/>
      </c>
      <c r="M757" s="25">
        <f>IF(D757="","",SUBSTITUTE(SUBSTITUTE(SUBSTITUTE(SUBSTITUTE(SUBSTITUTE(SUBSTITUTE(SUBSTITUTE(SUBSTITUTE(SUBSTITUTE(SUBSTITUTE(SUBSTITUTE(SUBSTITUTE(LOWER(TRIM(D757)),"á","a"),"é","e"),"í","i"),"ó","o"),"ú","u"),"ü","u"),"ñ","n"),"à","a"),"è","e"),"ì","i"),"ò","o"),"ù","u"))</f>
        <v/>
      </c>
      <c r="N757" s="25">
        <f>IF(F757="","",SUBSTITUTE(SUBSTITUTE(SUBSTITUTE(SUBSTITUTE(SUBSTITUTE(SUBSTITUTE(SUBSTITUTE(SUBSTITUTE(SUBSTITUTE(SUBSTITUTE(SUBSTITUTE(SUBSTITUTE(LOWER(TRIM(F757)),"á","a"),"é","e"),"í","i"),"ó","o"),"ú","u"),"ü","u"),"ñ","n"),"à","a"),"è","e"),"ì","i"),"ò","o"),"ù","u"))</f>
        <v/>
      </c>
      <c r="O757" s="25">
        <f>IF(M757="confiable",2,IF(M757="dudosa",1,IF(M757="no confiable",0,"")))</f>
        <v/>
      </c>
      <c r="P757" s="25">
        <f>IF(N757="confiable",2,IF(N757="dudosa",1,IF(N757="no confiable",0,"")))</f>
        <v/>
      </c>
      <c r="Q757" s="25">
        <f>IF(AND(ISNUMBER(O757),ISNUMBER(P757)),1,"")</f>
        <v/>
      </c>
      <c r="R757" s="25">
        <f>IF(Q757=1,IF(O757=P757,"Sí","No"),"")</f>
        <v/>
      </c>
      <c r="S757" s="25">
        <f>IF(Q757=1,IF(P757&lt;O757,"Más estricto",IF(P757&gt;O757,"Más permisivo","Igual")),"")</f>
        <v/>
      </c>
      <c r="T757" s="25">
        <f>IF(Q757=1,IF(ABS(O757-P757)=2,1,0),"")</f>
        <v/>
      </c>
      <c r="U757" s="25">
        <f>IF(H757="","","|"&amp;SUBSTITUTE(SUBSTITUTE(TRIM(H757)," |","|"),"| ","|")&amp;"|")</f>
        <v/>
      </c>
      <c r="V757" s="25">
        <f>IF(AND(Q757=1,B757&lt;&gt;""),IF(IFERROR(COUNTIFS(B$3:B757,"="&amp;SUBSTITUTE(SUBSTITUTE(SUBSTITUTE(B757,"~","~~"),"*","~*"),"?","~?"),Q$3:Q757,1),0)=1,MAX(V$2:V756)+1,""),"")</f>
        <v/>
      </c>
      <c r="W757" s="25">
        <f>IF(V757="","",COUNTIFS($B$3:$B$1002,"="&amp;SUBSTITUTE(SUBSTITUTE(SUBSTITUTE(B757,"~","~~"),"*","~*"),"?","~?"),$Q$3:$Q$1002,1)*10000-V757)</f>
        <v/>
      </c>
      <c r="X757" s="25">
        <f>IF(Q757=1,IF(SUBSTITUTE(SUBSTITUTE(SUBSTITUTE(SUBSTITUTE(SUBSTITUTE(SUBSTITUTE(SUBSTITUTE(SUBSTITUTE(SUBSTITUTE(SUBSTITUTE(SUBSTITUTE(SUBSTITUTE(LOWER(TRIM(A757)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757)),"á","a"),"é","e"),"í","i"),"ó","o"),"ú","u"),"ü","u"),"ñ","n"),"à","a"),"è","e"),"ì","i"),"ò","o"),"ù","u")),"")</f>
        <v/>
      </c>
      <c r="Y757" s="25">
        <f>IF(X757="","",IF(IFERROR(COUNTIF(X$3:X757,"="&amp;SUBSTITUTE(SUBSTITUTE(SUBSTITUTE(X757,"~","~~"),"*","~*"),"?","~?")),0)=1,1,""))</f>
        <v/>
      </c>
      <c r="Z757" s="25">
        <f>IF(T757=1,MAX(Z$2:Z756)+1,"")</f>
        <v/>
      </c>
    </row>
    <row r="758">
      <c r="A758">
        <f>IF(A$2=0,"",IFERROR(TRIM(INDEX('Pegar calibracion'!$A$1:$BZ$1001,757,A$2)&amp;""),""))</f>
        <v/>
      </c>
      <c r="B758">
        <f>IF(B$2=0,"",IFERROR(TRIM(INDEX('Pegar calibracion'!$A$1:$BZ$1001,757,B$2)&amp;""),""))</f>
        <v/>
      </c>
      <c r="C758">
        <f>IF(C$2=0,"",IFERROR(TRIM(INDEX('Pegar calibracion'!$A$1:$BZ$1001,757,C$2)&amp;""),""))</f>
        <v/>
      </c>
      <c r="D758">
        <f>IF(D$2=0,"",IFERROR(TRIM(INDEX('Pegar calibracion'!$A$1:$BZ$1001,757,D$2)&amp;""),""))</f>
        <v/>
      </c>
      <c r="E758">
        <f>IF(E$2=0,"",IFERROR(TRIM(INDEX('Pegar calibracion'!$A$1:$BZ$1001,757,E$2)&amp;""),""))</f>
        <v/>
      </c>
      <c r="F758">
        <f>IF(F$2=0,"",IFERROR(TRIM(INDEX('Pegar calibracion'!$A$1:$BZ$1001,757,F$2)&amp;""),""))</f>
        <v/>
      </c>
      <c r="G758">
        <f>IF(G$2=0,"",IFERROR(TRIM(INDEX('Pegar calibracion'!$A$1:$BZ$1001,757,G$2)&amp;""),""))</f>
        <v/>
      </c>
      <c r="H758">
        <f>IF(H$2=0,"",IFERROR(TRIM(INDEX('Pegar calibracion'!$A$1:$BZ$1001,757,H$2)&amp;""),""))</f>
        <v/>
      </c>
      <c r="I758">
        <f>IF(I$2=0,"",IFERROR(TRIM(INDEX('Pegar calibracion'!$A$1:$BZ$1001,757,I$2)&amp;""),""))</f>
        <v/>
      </c>
      <c r="J758">
        <f>IF(J$2=0,"",IFERROR(TRIM(INDEX('Pegar calibracion'!$A$1:$BZ$1001,757,J$2)&amp;""),""))</f>
        <v/>
      </c>
      <c r="K758">
        <f>IF(K$2=0,"",IFERROR(TRIM(INDEX('Pegar calibracion'!$A$1:$BZ$1001,757,K$2)&amp;""),""))</f>
        <v/>
      </c>
      <c r="L758">
        <f>IF(L$2=0,"",IFERROR(TRIM(INDEX('Pegar calibracion'!$A$1:$BZ$1001,757,L$2)&amp;""),""))</f>
        <v/>
      </c>
      <c r="M758" s="25">
        <f>IF(D758="","",SUBSTITUTE(SUBSTITUTE(SUBSTITUTE(SUBSTITUTE(SUBSTITUTE(SUBSTITUTE(SUBSTITUTE(SUBSTITUTE(SUBSTITUTE(SUBSTITUTE(SUBSTITUTE(SUBSTITUTE(LOWER(TRIM(D758)),"á","a"),"é","e"),"í","i"),"ó","o"),"ú","u"),"ü","u"),"ñ","n"),"à","a"),"è","e"),"ì","i"),"ò","o"),"ù","u"))</f>
        <v/>
      </c>
      <c r="N758" s="25">
        <f>IF(F758="","",SUBSTITUTE(SUBSTITUTE(SUBSTITUTE(SUBSTITUTE(SUBSTITUTE(SUBSTITUTE(SUBSTITUTE(SUBSTITUTE(SUBSTITUTE(SUBSTITUTE(SUBSTITUTE(SUBSTITUTE(LOWER(TRIM(F758)),"á","a"),"é","e"),"í","i"),"ó","o"),"ú","u"),"ü","u"),"ñ","n"),"à","a"),"è","e"),"ì","i"),"ò","o"),"ù","u"))</f>
        <v/>
      </c>
      <c r="O758" s="25">
        <f>IF(M758="confiable",2,IF(M758="dudosa",1,IF(M758="no confiable",0,"")))</f>
        <v/>
      </c>
      <c r="P758" s="25">
        <f>IF(N758="confiable",2,IF(N758="dudosa",1,IF(N758="no confiable",0,"")))</f>
        <v/>
      </c>
      <c r="Q758" s="25">
        <f>IF(AND(ISNUMBER(O758),ISNUMBER(P758)),1,"")</f>
        <v/>
      </c>
      <c r="R758" s="25">
        <f>IF(Q758=1,IF(O758=P758,"Sí","No"),"")</f>
        <v/>
      </c>
      <c r="S758" s="25">
        <f>IF(Q758=1,IF(P758&lt;O758,"Más estricto",IF(P758&gt;O758,"Más permisivo","Igual")),"")</f>
        <v/>
      </c>
      <c r="T758" s="25">
        <f>IF(Q758=1,IF(ABS(O758-P758)=2,1,0),"")</f>
        <v/>
      </c>
      <c r="U758" s="25">
        <f>IF(H758="","","|"&amp;SUBSTITUTE(SUBSTITUTE(TRIM(H758)," |","|"),"| ","|")&amp;"|")</f>
        <v/>
      </c>
      <c r="V758" s="25">
        <f>IF(AND(Q758=1,B758&lt;&gt;""),IF(IFERROR(COUNTIFS(B$3:B758,"="&amp;SUBSTITUTE(SUBSTITUTE(SUBSTITUTE(B758,"~","~~"),"*","~*"),"?","~?"),Q$3:Q758,1),0)=1,MAX(V$2:V757)+1,""),"")</f>
        <v/>
      </c>
      <c r="W758" s="25">
        <f>IF(V758="","",COUNTIFS($B$3:$B$1002,"="&amp;SUBSTITUTE(SUBSTITUTE(SUBSTITUTE(B758,"~","~~"),"*","~*"),"?","~?"),$Q$3:$Q$1002,1)*10000-V758)</f>
        <v/>
      </c>
      <c r="X758" s="25">
        <f>IF(Q758=1,IF(SUBSTITUTE(SUBSTITUTE(SUBSTITUTE(SUBSTITUTE(SUBSTITUTE(SUBSTITUTE(SUBSTITUTE(SUBSTITUTE(SUBSTITUTE(SUBSTITUTE(SUBSTITUTE(SUBSTITUTE(LOWER(TRIM(A758)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758)),"á","a"),"é","e"),"í","i"),"ó","o"),"ú","u"),"ü","u"),"ñ","n"),"à","a"),"è","e"),"ì","i"),"ò","o"),"ù","u")),"")</f>
        <v/>
      </c>
      <c r="Y758" s="25">
        <f>IF(X758="","",IF(IFERROR(COUNTIF(X$3:X758,"="&amp;SUBSTITUTE(SUBSTITUTE(SUBSTITUTE(X758,"~","~~"),"*","~*"),"?","~?")),0)=1,1,""))</f>
        <v/>
      </c>
      <c r="Z758" s="25">
        <f>IF(T758=1,MAX(Z$2:Z757)+1,"")</f>
        <v/>
      </c>
    </row>
    <row r="759">
      <c r="A759">
        <f>IF(A$2=0,"",IFERROR(TRIM(INDEX('Pegar calibracion'!$A$1:$BZ$1001,758,A$2)&amp;""),""))</f>
        <v/>
      </c>
      <c r="B759">
        <f>IF(B$2=0,"",IFERROR(TRIM(INDEX('Pegar calibracion'!$A$1:$BZ$1001,758,B$2)&amp;""),""))</f>
        <v/>
      </c>
      <c r="C759">
        <f>IF(C$2=0,"",IFERROR(TRIM(INDEX('Pegar calibracion'!$A$1:$BZ$1001,758,C$2)&amp;""),""))</f>
        <v/>
      </c>
      <c r="D759">
        <f>IF(D$2=0,"",IFERROR(TRIM(INDEX('Pegar calibracion'!$A$1:$BZ$1001,758,D$2)&amp;""),""))</f>
        <v/>
      </c>
      <c r="E759">
        <f>IF(E$2=0,"",IFERROR(TRIM(INDEX('Pegar calibracion'!$A$1:$BZ$1001,758,E$2)&amp;""),""))</f>
        <v/>
      </c>
      <c r="F759">
        <f>IF(F$2=0,"",IFERROR(TRIM(INDEX('Pegar calibracion'!$A$1:$BZ$1001,758,F$2)&amp;""),""))</f>
        <v/>
      </c>
      <c r="G759">
        <f>IF(G$2=0,"",IFERROR(TRIM(INDEX('Pegar calibracion'!$A$1:$BZ$1001,758,G$2)&amp;""),""))</f>
        <v/>
      </c>
      <c r="H759">
        <f>IF(H$2=0,"",IFERROR(TRIM(INDEX('Pegar calibracion'!$A$1:$BZ$1001,758,H$2)&amp;""),""))</f>
        <v/>
      </c>
      <c r="I759">
        <f>IF(I$2=0,"",IFERROR(TRIM(INDEX('Pegar calibracion'!$A$1:$BZ$1001,758,I$2)&amp;""),""))</f>
        <v/>
      </c>
      <c r="J759">
        <f>IF(J$2=0,"",IFERROR(TRIM(INDEX('Pegar calibracion'!$A$1:$BZ$1001,758,J$2)&amp;""),""))</f>
        <v/>
      </c>
      <c r="K759">
        <f>IF(K$2=0,"",IFERROR(TRIM(INDEX('Pegar calibracion'!$A$1:$BZ$1001,758,K$2)&amp;""),""))</f>
        <v/>
      </c>
      <c r="L759">
        <f>IF(L$2=0,"",IFERROR(TRIM(INDEX('Pegar calibracion'!$A$1:$BZ$1001,758,L$2)&amp;""),""))</f>
        <v/>
      </c>
      <c r="M759" s="25">
        <f>IF(D759="","",SUBSTITUTE(SUBSTITUTE(SUBSTITUTE(SUBSTITUTE(SUBSTITUTE(SUBSTITUTE(SUBSTITUTE(SUBSTITUTE(SUBSTITUTE(SUBSTITUTE(SUBSTITUTE(SUBSTITUTE(LOWER(TRIM(D759)),"á","a"),"é","e"),"í","i"),"ó","o"),"ú","u"),"ü","u"),"ñ","n"),"à","a"),"è","e"),"ì","i"),"ò","o"),"ù","u"))</f>
        <v/>
      </c>
      <c r="N759" s="25">
        <f>IF(F759="","",SUBSTITUTE(SUBSTITUTE(SUBSTITUTE(SUBSTITUTE(SUBSTITUTE(SUBSTITUTE(SUBSTITUTE(SUBSTITUTE(SUBSTITUTE(SUBSTITUTE(SUBSTITUTE(SUBSTITUTE(LOWER(TRIM(F759)),"á","a"),"é","e"),"í","i"),"ó","o"),"ú","u"),"ü","u"),"ñ","n"),"à","a"),"è","e"),"ì","i"),"ò","o"),"ù","u"))</f>
        <v/>
      </c>
      <c r="O759" s="25">
        <f>IF(M759="confiable",2,IF(M759="dudosa",1,IF(M759="no confiable",0,"")))</f>
        <v/>
      </c>
      <c r="P759" s="25">
        <f>IF(N759="confiable",2,IF(N759="dudosa",1,IF(N759="no confiable",0,"")))</f>
        <v/>
      </c>
      <c r="Q759" s="25">
        <f>IF(AND(ISNUMBER(O759),ISNUMBER(P759)),1,"")</f>
        <v/>
      </c>
      <c r="R759" s="25">
        <f>IF(Q759=1,IF(O759=P759,"Sí","No"),"")</f>
        <v/>
      </c>
      <c r="S759" s="25">
        <f>IF(Q759=1,IF(P759&lt;O759,"Más estricto",IF(P759&gt;O759,"Más permisivo","Igual")),"")</f>
        <v/>
      </c>
      <c r="T759" s="25">
        <f>IF(Q759=1,IF(ABS(O759-P759)=2,1,0),"")</f>
        <v/>
      </c>
      <c r="U759" s="25">
        <f>IF(H759="","","|"&amp;SUBSTITUTE(SUBSTITUTE(TRIM(H759)," |","|"),"| ","|")&amp;"|")</f>
        <v/>
      </c>
      <c r="V759" s="25">
        <f>IF(AND(Q759=1,B759&lt;&gt;""),IF(IFERROR(COUNTIFS(B$3:B759,"="&amp;SUBSTITUTE(SUBSTITUTE(SUBSTITUTE(B759,"~","~~"),"*","~*"),"?","~?"),Q$3:Q759,1),0)=1,MAX(V$2:V758)+1,""),"")</f>
        <v/>
      </c>
      <c r="W759" s="25">
        <f>IF(V759="","",COUNTIFS($B$3:$B$1002,"="&amp;SUBSTITUTE(SUBSTITUTE(SUBSTITUTE(B759,"~","~~"),"*","~*"),"?","~?"),$Q$3:$Q$1002,1)*10000-V759)</f>
        <v/>
      </c>
      <c r="X759" s="25">
        <f>IF(Q759=1,IF(SUBSTITUTE(SUBSTITUTE(SUBSTITUTE(SUBSTITUTE(SUBSTITUTE(SUBSTITUTE(SUBSTITUTE(SUBSTITUTE(SUBSTITUTE(SUBSTITUTE(SUBSTITUTE(SUBSTITUTE(LOWER(TRIM(A759)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759)),"á","a"),"é","e"),"í","i"),"ó","o"),"ú","u"),"ü","u"),"ñ","n"),"à","a"),"è","e"),"ì","i"),"ò","o"),"ù","u")),"")</f>
        <v/>
      </c>
      <c r="Y759" s="25">
        <f>IF(X759="","",IF(IFERROR(COUNTIF(X$3:X759,"="&amp;SUBSTITUTE(SUBSTITUTE(SUBSTITUTE(X759,"~","~~"),"*","~*"),"?","~?")),0)=1,1,""))</f>
        <v/>
      </c>
      <c r="Z759" s="25">
        <f>IF(T759=1,MAX(Z$2:Z758)+1,"")</f>
        <v/>
      </c>
    </row>
    <row r="760">
      <c r="A760">
        <f>IF(A$2=0,"",IFERROR(TRIM(INDEX('Pegar calibracion'!$A$1:$BZ$1001,759,A$2)&amp;""),""))</f>
        <v/>
      </c>
      <c r="B760">
        <f>IF(B$2=0,"",IFERROR(TRIM(INDEX('Pegar calibracion'!$A$1:$BZ$1001,759,B$2)&amp;""),""))</f>
        <v/>
      </c>
      <c r="C760">
        <f>IF(C$2=0,"",IFERROR(TRIM(INDEX('Pegar calibracion'!$A$1:$BZ$1001,759,C$2)&amp;""),""))</f>
        <v/>
      </c>
      <c r="D760">
        <f>IF(D$2=0,"",IFERROR(TRIM(INDEX('Pegar calibracion'!$A$1:$BZ$1001,759,D$2)&amp;""),""))</f>
        <v/>
      </c>
      <c r="E760">
        <f>IF(E$2=0,"",IFERROR(TRIM(INDEX('Pegar calibracion'!$A$1:$BZ$1001,759,E$2)&amp;""),""))</f>
        <v/>
      </c>
      <c r="F760">
        <f>IF(F$2=0,"",IFERROR(TRIM(INDEX('Pegar calibracion'!$A$1:$BZ$1001,759,F$2)&amp;""),""))</f>
        <v/>
      </c>
      <c r="G760">
        <f>IF(G$2=0,"",IFERROR(TRIM(INDEX('Pegar calibracion'!$A$1:$BZ$1001,759,G$2)&amp;""),""))</f>
        <v/>
      </c>
      <c r="H760">
        <f>IF(H$2=0,"",IFERROR(TRIM(INDEX('Pegar calibracion'!$A$1:$BZ$1001,759,H$2)&amp;""),""))</f>
        <v/>
      </c>
      <c r="I760">
        <f>IF(I$2=0,"",IFERROR(TRIM(INDEX('Pegar calibracion'!$A$1:$BZ$1001,759,I$2)&amp;""),""))</f>
        <v/>
      </c>
      <c r="J760">
        <f>IF(J$2=0,"",IFERROR(TRIM(INDEX('Pegar calibracion'!$A$1:$BZ$1001,759,J$2)&amp;""),""))</f>
        <v/>
      </c>
      <c r="K760">
        <f>IF(K$2=0,"",IFERROR(TRIM(INDEX('Pegar calibracion'!$A$1:$BZ$1001,759,K$2)&amp;""),""))</f>
        <v/>
      </c>
      <c r="L760">
        <f>IF(L$2=0,"",IFERROR(TRIM(INDEX('Pegar calibracion'!$A$1:$BZ$1001,759,L$2)&amp;""),""))</f>
        <v/>
      </c>
      <c r="M760" s="25">
        <f>IF(D760="","",SUBSTITUTE(SUBSTITUTE(SUBSTITUTE(SUBSTITUTE(SUBSTITUTE(SUBSTITUTE(SUBSTITUTE(SUBSTITUTE(SUBSTITUTE(SUBSTITUTE(SUBSTITUTE(SUBSTITUTE(LOWER(TRIM(D760)),"á","a"),"é","e"),"í","i"),"ó","o"),"ú","u"),"ü","u"),"ñ","n"),"à","a"),"è","e"),"ì","i"),"ò","o"),"ù","u"))</f>
        <v/>
      </c>
      <c r="N760" s="25">
        <f>IF(F760="","",SUBSTITUTE(SUBSTITUTE(SUBSTITUTE(SUBSTITUTE(SUBSTITUTE(SUBSTITUTE(SUBSTITUTE(SUBSTITUTE(SUBSTITUTE(SUBSTITUTE(SUBSTITUTE(SUBSTITUTE(LOWER(TRIM(F760)),"á","a"),"é","e"),"í","i"),"ó","o"),"ú","u"),"ü","u"),"ñ","n"),"à","a"),"è","e"),"ì","i"),"ò","o"),"ù","u"))</f>
        <v/>
      </c>
      <c r="O760" s="25">
        <f>IF(M760="confiable",2,IF(M760="dudosa",1,IF(M760="no confiable",0,"")))</f>
        <v/>
      </c>
      <c r="P760" s="25">
        <f>IF(N760="confiable",2,IF(N760="dudosa",1,IF(N760="no confiable",0,"")))</f>
        <v/>
      </c>
      <c r="Q760" s="25">
        <f>IF(AND(ISNUMBER(O760),ISNUMBER(P760)),1,"")</f>
        <v/>
      </c>
      <c r="R760" s="25">
        <f>IF(Q760=1,IF(O760=P760,"Sí","No"),"")</f>
        <v/>
      </c>
      <c r="S760" s="25">
        <f>IF(Q760=1,IF(P760&lt;O760,"Más estricto",IF(P760&gt;O760,"Más permisivo","Igual")),"")</f>
        <v/>
      </c>
      <c r="T760" s="25">
        <f>IF(Q760=1,IF(ABS(O760-P760)=2,1,0),"")</f>
        <v/>
      </c>
      <c r="U760" s="25">
        <f>IF(H760="","","|"&amp;SUBSTITUTE(SUBSTITUTE(TRIM(H760)," |","|"),"| ","|")&amp;"|")</f>
        <v/>
      </c>
      <c r="V760" s="25">
        <f>IF(AND(Q760=1,B760&lt;&gt;""),IF(IFERROR(COUNTIFS(B$3:B760,"="&amp;SUBSTITUTE(SUBSTITUTE(SUBSTITUTE(B760,"~","~~"),"*","~*"),"?","~?"),Q$3:Q760,1),0)=1,MAX(V$2:V759)+1,""),"")</f>
        <v/>
      </c>
      <c r="W760" s="25">
        <f>IF(V760="","",COUNTIFS($B$3:$B$1002,"="&amp;SUBSTITUTE(SUBSTITUTE(SUBSTITUTE(B760,"~","~~"),"*","~*"),"?","~?"),$Q$3:$Q$1002,1)*10000-V760)</f>
        <v/>
      </c>
      <c r="X760" s="25">
        <f>IF(Q760=1,IF(SUBSTITUTE(SUBSTITUTE(SUBSTITUTE(SUBSTITUTE(SUBSTITUTE(SUBSTITUTE(SUBSTITUTE(SUBSTITUTE(SUBSTITUTE(SUBSTITUTE(SUBSTITUTE(SUBSTITUTE(LOWER(TRIM(A760)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760)),"á","a"),"é","e"),"í","i"),"ó","o"),"ú","u"),"ü","u"),"ñ","n"),"à","a"),"è","e"),"ì","i"),"ò","o"),"ù","u")),"")</f>
        <v/>
      </c>
      <c r="Y760" s="25">
        <f>IF(X760="","",IF(IFERROR(COUNTIF(X$3:X760,"="&amp;SUBSTITUTE(SUBSTITUTE(SUBSTITUTE(X760,"~","~~"),"*","~*"),"?","~?")),0)=1,1,""))</f>
        <v/>
      </c>
      <c r="Z760" s="25">
        <f>IF(T760=1,MAX(Z$2:Z759)+1,"")</f>
        <v/>
      </c>
    </row>
    <row r="761">
      <c r="A761">
        <f>IF(A$2=0,"",IFERROR(TRIM(INDEX('Pegar calibracion'!$A$1:$BZ$1001,760,A$2)&amp;""),""))</f>
        <v/>
      </c>
      <c r="B761">
        <f>IF(B$2=0,"",IFERROR(TRIM(INDEX('Pegar calibracion'!$A$1:$BZ$1001,760,B$2)&amp;""),""))</f>
        <v/>
      </c>
      <c r="C761">
        <f>IF(C$2=0,"",IFERROR(TRIM(INDEX('Pegar calibracion'!$A$1:$BZ$1001,760,C$2)&amp;""),""))</f>
        <v/>
      </c>
      <c r="D761">
        <f>IF(D$2=0,"",IFERROR(TRIM(INDEX('Pegar calibracion'!$A$1:$BZ$1001,760,D$2)&amp;""),""))</f>
        <v/>
      </c>
      <c r="E761">
        <f>IF(E$2=0,"",IFERROR(TRIM(INDEX('Pegar calibracion'!$A$1:$BZ$1001,760,E$2)&amp;""),""))</f>
        <v/>
      </c>
      <c r="F761">
        <f>IF(F$2=0,"",IFERROR(TRIM(INDEX('Pegar calibracion'!$A$1:$BZ$1001,760,F$2)&amp;""),""))</f>
        <v/>
      </c>
      <c r="G761">
        <f>IF(G$2=0,"",IFERROR(TRIM(INDEX('Pegar calibracion'!$A$1:$BZ$1001,760,G$2)&amp;""),""))</f>
        <v/>
      </c>
      <c r="H761">
        <f>IF(H$2=0,"",IFERROR(TRIM(INDEX('Pegar calibracion'!$A$1:$BZ$1001,760,H$2)&amp;""),""))</f>
        <v/>
      </c>
      <c r="I761">
        <f>IF(I$2=0,"",IFERROR(TRIM(INDEX('Pegar calibracion'!$A$1:$BZ$1001,760,I$2)&amp;""),""))</f>
        <v/>
      </c>
      <c r="J761">
        <f>IF(J$2=0,"",IFERROR(TRIM(INDEX('Pegar calibracion'!$A$1:$BZ$1001,760,J$2)&amp;""),""))</f>
        <v/>
      </c>
      <c r="K761">
        <f>IF(K$2=0,"",IFERROR(TRIM(INDEX('Pegar calibracion'!$A$1:$BZ$1001,760,K$2)&amp;""),""))</f>
        <v/>
      </c>
      <c r="L761">
        <f>IF(L$2=0,"",IFERROR(TRIM(INDEX('Pegar calibracion'!$A$1:$BZ$1001,760,L$2)&amp;""),""))</f>
        <v/>
      </c>
      <c r="M761" s="25">
        <f>IF(D761="","",SUBSTITUTE(SUBSTITUTE(SUBSTITUTE(SUBSTITUTE(SUBSTITUTE(SUBSTITUTE(SUBSTITUTE(SUBSTITUTE(SUBSTITUTE(SUBSTITUTE(SUBSTITUTE(SUBSTITUTE(LOWER(TRIM(D761)),"á","a"),"é","e"),"í","i"),"ó","o"),"ú","u"),"ü","u"),"ñ","n"),"à","a"),"è","e"),"ì","i"),"ò","o"),"ù","u"))</f>
        <v/>
      </c>
      <c r="N761" s="25">
        <f>IF(F761="","",SUBSTITUTE(SUBSTITUTE(SUBSTITUTE(SUBSTITUTE(SUBSTITUTE(SUBSTITUTE(SUBSTITUTE(SUBSTITUTE(SUBSTITUTE(SUBSTITUTE(SUBSTITUTE(SUBSTITUTE(LOWER(TRIM(F761)),"á","a"),"é","e"),"í","i"),"ó","o"),"ú","u"),"ü","u"),"ñ","n"),"à","a"),"è","e"),"ì","i"),"ò","o"),"ù","u"))</f>
        <v/>
      </c>
      <c r="O761" s="25">
        <f>IF(M761="confiable",2,IF(M761="dudosa",1,IF(M761="no confiable",0,"")))</f>
        <v/>
      </c>
      <c r="P761" s="25">
        <f>IF(N761="confiable",2,IF(N761="dudosa",1,IF(N761="no confiable",0,"")))</f>
        <v/>
      </c>
      <c r="Q761" s="25">
        <f>IF(AND(ISNUMBER(O761),ISNUMBER(P761)),1,"")</f>
        <v/>
      </c>
      <c r="R761" s="25">
        <f>IF(Q761=1,IF(O761=P761,"Sí","No"),"")</f>
        <v/>
      </c>
      <c r="S761" s="25">
        <f>IF(Q761=1,IF(P761&lt;O761,"Más estricto",IF(P761&gt;O761,"Más permisivo","Igual")),"")</f>
        <v/>
      </c>
      <c r="T761" s="25">
        <f>IF(Q761=1,IF(ABS(O761-P761)=2,1,0),"")</f>
        <v/>
      </c>
      <c r="U761" s="25">
        <f>IF(H761="","","|"&amp;SUBSTITUTE(SUBSTITUTE(TRIM(H761)," |","|"),"| ","|")&amp;"|")</f>
        <v/>
      </c>
      <c r="V761" s="25">
        <f>IF(AND(Q761=1,B761&lt;&gt;""),IF(IFERROR(COUNTIFS(B$3:B761,"="&amp;SUBSTITUTE(SUBSTITUTE(SUBSTITUTE(B761,"~","~~"),"*","~*"),"?","~?"),Q$3:Q761,1),0)=1,MAX(V$2:V760)+1,""),"")</f>
        <v/>
      </c>
      <c r="W761" s="25">
        <f>IF(V761="","",COUNTIFS($B$3:$B$1002,"="&amp;SUBSTITUTE(SUBSTITUTE(SUBSTITUTE(B761,"~","~~"),"*","~*"),"?","~?"),$Q$3:$Q$1002,1)*10000-V761)</f>
        <v/>
      </c>
      <c r="X761" s="25">
        <f>IF(Q761=1,IF(SUBSTITUTE(SUBSTITUTE(SUBSTITUTE(SUBSTITUTE(SUBSTITUTE(SUBSTITUTE(SUBSTITUTE(SUBSTITUTE(SUBSTITUTE(SUBSTITUTE(SUBSTITUTE(SUBSTITUTE(LOWER(TRIM(A761)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761)),"á","a"),"é","e"),"í","i"),"ó","o"),"ú","u"),"ü","u"),"ñ","n"),"à","a"),"è","e"),"ì","i"),"ò","o"),"ù","u")),"")</f>
        <v/>
      </c>
      <c r="Y761" s="25">
        <f>IF(X761="","",IF(IFERROR(COUNTIF(X$3:X761,"="&amp;SUBSTITUTE(SUBSTITUTE(SUBSTITUTE(X761,"~","~~"),"*","~*"),"?","~?")),0)=1,1,""))</f>
        <v/>
      </c>
      <c r="Z761" s="25">
        <f>IF(T761=1,MAX(Z$2:Z760)+1,"")</f>
        <v/>
      </c>
    </row>
    <row r="762">
      <c r="A762">
        <f>IF(A$2=0,"",IFERROR(TRIM(INDEX('Pegar calibracion'!$A$1:$BZ$1001,761,A$2)&amp;""),""))</f>
        <v/>
      </c>
      <c r="B762">
        <f>IF(B$2=0,"",IFERROR(TRIM(INDEX('Pegar calibracion'!$A$1:$BZ$1001,761,B$2)&amp;""),""))</f>
        <v/>
      </c>
      <c r="C762">
        <f>IF(C$2=0,"",IFERROR(TRIM(INDEX('Pegar calibracion'!$A$1:$BZ$1001,761,C$2)&amp;""),""))</f>
        <v/>
      </c>
      <c r="D762">
        <f>IF(D$2=0,"",IFERROR(TRIM(INDEX('Pegar calibracion'!$A$1:$BZ$1001,761,D$2)&amp;""),""))</f>
        <v/>
      </c>
      <c r="E762">
        <f>IF(E$2=0,"",IFERROR(TRIM(INDEX('Pegar calibracion'!$A$1:$BZ$1001,761,E$2)&amp;""),""))</f>
        <v/>
      </c>
      <c r="F762">
        <f>IF(F$2=0,"",IFERROR(TRIM(INDEX('Pegar calibracion'!$A$1:$BZ$1001,761,F$2)&amp;""),""))</f>
        <v/>
      </c>
      <c r="G762">
        <f>IF(G$2=0,"",IFERROR(TRIM(INDEX('Pegar calibracion'!$A$1:$BZ$1001,761,G$2)&amp;""),""))</f>
        <v/>
      </c>
      <c r="H762">
        <f>IF(H$2=0,"",IFERROR(TRIM(INDEX('Pegar calibracion'!$A$1:$BZ$1001,761,H$2)&amp;""),""))</f>
        <v/>
      </c>
      <c r="I762">
        <f>IF(I$2=0,"",IFERROR(TRIM(INDEX('Pegar calibracion'!$A$1:$BZ$1001,761,I$2)&amp;""),""))</f>
        <v/>
      </c>
      <c r="J762">
        <f>IF(J$2=0,"",IFERROR(TRIM(INDEX('Pegar calibracion'!$A$1:$BZ$1001,761,J$2)&amp;""),""))</f>
        <v/>
      </c>
      <c r="K762">
        <f>IF(K$2=0,"",IFERROR(TRIM(INDEX('Pegar calibracion'!$A$1:$BZ$1001,761,K$2)&amp;""),""))</f>
        <v/>
      </c>
      <c r="L762">
        <f>IF(L$2=0,"",IFERROR(TRIM(INDEX('Pegar calibracion'!$A$1:$BZ$1001,761,L$2)&amp;""),""))</f>
        <v/>
      </c>
      <c r="M762" s="25">
        <f>IF(D762="","",SUBSTITUTE(SUBSTITUTE(SUBSTITUTE(SUBSTITUTE(SUBSTITUTE(SUBSTITUTE(SUBSTITUTE(SUBSTITUTE(SUBSTITUTE(SUBSTITUTE(SUBSTITUTE(SUBSTITUTE(LOWER(TRIM(D762)),"á","a"),"é","e"),"í","i"),"ó","o"),"ú","u"),"ü","u"),"ñ","n"),"à","a"),"è","e"),"ì","i"),"ò","o"),"ù","u"))</f>
        <v/>
      </c>
      <c r="N762" s="25">
        <f>IF(F762="","",SUBSTITUTE(SUBSTITUTE(SUBSTITUTE(SUBSTITUTE(SUBSTITUTE(SUBSTITUTE(SUBSTITUTE(SUBSTITUTE(SUBSTITUTE(SUBSTITUTE(SUBSTITUTE(SUBSTITUTE(LOWER(TRIM(F762)),"á","a"),"é","e"),"í","i"),"ó","o"),"ú","u"),"ü","u"),"ñ","n"),"à","a"),"è","e"),"ì","i"),"ò","o"),"ù","u"))</f>
        <v/>
      </c>
      <c r="O762" s="25">
        <f>IF(M762="confiable",2,IF(M762="dudosa",1,IF(M762="no confiable",0,"")))</f>
        <v/>
      </c>
      <c r="P762" s="25">
        <f>IF(N762="confiable",2,IF(N762="dudosa",1,IF(N762="no confiable",0,"")))</f>
        <v/>
      </c>
      <c r="Q762" s="25">
        <f>IF(AND(ISNUMBER(O762),ISNUMBER(P762)),1,"")</f>
        <v/>
      </c>
      <c r="R762" s="25">
        <f>IF(Q762=1,IF(O762=P762,"Sí","No"),"")</f>
        <v/>
      </c>
      <c r="S762" s="25">
        <f>IF(Q762=1,IF(P762&lt;O762,"Más estricto",IF(P762&gt;O762,"Más permisivo","Igual")),"")</f>
        <v/>
      </c>
      <c r="T762" s="25">
        <f>IF(Q762=1,IF(ABS(O762-P762)=2,1,0),"")</f>
        <v/>
      </c>
      <c r="U762" s="25">
        <f>IF(H762="","","|"&amp;SUBSTITUTE(SUBSTITUTE(TRIM(H762)," |","|"),"| ","|")&amp;"|")</f>
        <v/>
      </c>
      <c r="V762" s="25">
        <f>IF(AND(Q762=1,B762&lt;&gt;""),IF(IFERROR(COUNTIFS(B$3:B762,"="&amp;SUBSTITUTE(SUBSTITUTE(SUBSTITUTE(B762,"~","~~"),"*","~*"),"?","~?"),Q$3:Q762,1),0)=1,MAX(V$2:V761)+1,""),"")</f>
        <v/>
      </c>
      <c r="W762" s="25">
        <f>IF(V762="","",COUNTIFS($B$3:$B$1002,"="&amp;SUBSTITUTE(SUBSTITUTE(SUBSTITUTE(B762,"~","~~"),"*","~*"),"?","~?"),$Q$3:$Q$1002,1)*10000-V762)</f>
        <v/>
      </c>
      <c r="X762" s="25">
        <f>IF(Q762=1,IF(SUBSTITUTE(SUBSTITUTE(SUBSTITUTE(SUBSTITUTE(SUBSTITUTE(SUBSTITUTE(SUBSTITUTE(SUBSTITUTE(SUBSTITUTE(SUBSTITUTE(SUBSTITUTE(SUBSTITUTE(LOWER(TRIM(A762)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762)),"á","a"),"é","e"),"í","i"),"ó","o"),"ú","u"),"ü","u"),"ñ","n"),"à","a"),"è","e"),"ì","i"),"ò","o"),"ù","u")),"")</f>
        <v/>
      </c>
      <c r="Y762" s="25">
        <f>IF(X762="","",IF(IFERROR(COUNTIF(X$3:X762,"="&amp;SUBSTITUTE(SUBSTITUTE(SUBSTITUTE(X762,"~","~~"),"*","~*"),"?","~?")),0)=1,1,""))</f>
        <v/>
      </c>
      <c r="Z762" s="25">
        <f>IF(T762=1,MAX(Z$2:Z761)+1,"")</f>
        <v/>
      </c>
    </row>
    <row r="763">
      <c r="A763">
        <f>IF(A$2=0,"",IFERROR(TRIM(INDEX('Pegar calibracion'!$A$1:$BZ$1001,762,A$2)&amp;""),""))</f>
        <v/>
      </c>
      <c r="B763">
        <f>IF(B$2=0,"",IFERROR(TRIM(INDEX('Pegar calibracion'!$A$1:$BZ$1001,762,B$2)&amp;""),""))</f>
        <v/>
      </c>
      <c r="C763">
        <f>IF(C$2=0,"",IFERROR(TRIM(INDEX('Pegar calibracion'!$A$1:$BZ$1001,762,C$2)&amp;""),""))</f>
        <v/>
      </c>
      <c r="D763">
        <f>IF(D$2=0,"",IFERROR(TRIM(INDEX('Pegar calibracion'!$A$1:$BZ$1001,762,D$2)&amp;""),""))</f>
        <v/>
      </c>
      <c r="E763">
        <f>IF(E$2=0,"",IFERROR(TRIM(INDEX('Pegar calibracion'!$A$1:$BZ$1001,762,E$2)&amp;""),""))</f>
        <v/>
      </c>
      <c r="F763">
        <f>IF(F$2=0,"",IFERROR(TRIM(INDEX('Pegar calibracion'!$A$1:$BZ$1001,762,F$2)&amp;""),""))</f>
        <v/>
      </c>
      <c r="G763">
        <f>IF(G$2=0,"",IFERROR(TRIM(INDEX('Pegar calibracion'!$A$1:$BZ$1001,762,G$2)&amp;""),""))</f>
        <v/>
      </c>
      <c r="H763">
        <f>IF(H$2=0,"",IFERROR(TRIM(INDEX('Pegar calibracion'!$A$1:$BZ$1001,762,H$2)&amp;""),""))</f>
        <v/>
      </c>
      <c r="I763">
        <f>IF(I$2=0,"",IFERROR(TRIM(INDEX('Pegar calibracion'!$A$1:$BZ$1001,762,I$2)&amp;""),""))</f>
        <v/>
      </c>
      <c r="J763">
        <f>IF(J$2=0,"",IFERROR(TRIM(INDEX('Pegar calibracion'!$A$1:$BZ$1001,762,J$2)&amp;""),""))</f>
        <v/>
      </c>
      <c r="K763">
        <f>IF(K$2=0,"",IFERROR(TRIM(INDEX('Pegar calibracion'!$A$1:$BZ$1001,762,K$2)&amp;""),""))</f>
        <v/>
      </c>
      <c r="L763">
        <f>IF(L$2=0,"",IFERROR(TRIM(INDEX('Pegar calibracion'!$A$1:$BZ$1001,762,L$2)&amp;""),""))</f>
        <v/>
      </c>
      <c r="M763" s="25">
        <f>IF(D763="","",SUBSTITUTE(SUBSTITUTE(SUBSTITUTE(SUBSTITUTE(SUBSTITUTE(SUBSTITUTE(SUBSTITUTE(SUBSTITUTE(SUBSTITUTE(SUBSTITUTE(SUBSTITUTE(SUBSTITUTE(LOWER(TRIM(D763)),"á","a"),"é","e"),"í","i"),"ó","o"),"ú","u"),"ü","u"),"ñ","n"),"à","a"),"è","e"),"ì","i"),"ò","o"),"ù","u"))</f>
        <v/>
      </c>
      <c r="N763" s="25">
        <f>IF(F763="","",SUBSTITUTE(SUBSTITUTE(SUBSTITUTE(SUBSTITUTE(SUBSTITUTE(SUBSTITUTE(SUBSTITUTE(SUBSTITUTE(SUBSTITUTE(SUBSTITUTE(SUBSTITUTE(SUBSTITUTE(LOWER(TRIM(F763)),"á","a"),"é","e"),"í","i"),"ó","o"),"ú","u"),"ü","u"),"ñ","n"),"à","a"),"è","e"),"ì","i"),"ò","o"),"ù","u"))</f>
        <v/>
      </c>
      <c r="O763" s="25">
        <f>IF(M763="confiable",2,IF(M763="dudosa",1,IF(M763="no confiable",0,"")))</f>
        <v/>
      </c>
      <c r="P763" s="25">
        <f>IF(N763="confiable",2,IF(N763="dudosa",1,IF(N763="no confiable",0,"")))</f>
        <v/>
      </c>
      <c r="Q763" s="25">
        <f>IF(AND(ISNUMBER(O763),ISNUMBER(P763)),1,"")</f>
        <v/>
      </c>
      <c r="R763" s="25">
        <f>IF(Q763=1,IF(O763=P763,"Sí","No"),"")</f>
        <v/>
      </c>
      <c r="S763" s="25">
        <f>IF(Q763=1,IF(P763&lt;O763,"Más estricto",IF(P763&gt;O763,"Más permisivo","Igual")),"")</f>
        <v/>
      </c>
      <c r="T763" s="25">
        <f>IF(Q763=1,IF(ABS(O763-P763)=2,1,0),"")</f>
        <v/>
      </c>
      <c r="U763" s="25">
        <f>IF(H763="","","|"&amp;SUBSTITUTE(SUBSTITUTE(TRIM(H763)," |","|"),"| ","|")&amp;"|")</f>
        <v/>
      </c>
      <c r="V763" s="25">
        <f>IF(AND(Q763=1,B763&lt;&gt;""),IF(IFERROR(COUNTIFS(B$3:B763,"="&amp;SUBSTITUTE(SUBSTITUTE(SUBSTITUTE(B763,"~","~~"),"*","~*"),"?","~?"),Q$3:Q763,1),0)=1,MAX(V$2:V762)+1,""),"")</f>
        <v/>
      </c>
      <c r="W763" s="25">
        <f>IF(V763="","",COUNTIFS($B$3:$B$1002,"="&amp;SUBSTITUTE(SUBSTITUTE(SUBSTITUTE(B763,"~","~~"),"*","~*"),"?","~?"),$Q$3:$Q$1002,1)*10000-V763)</f>
        <v/>
      </c>
      <c r="X763" s="25">
        <f>IF(Q763=1,IF(SUBSTITUTE(SUBSTITUTE(SUBSTITUTE(SUBSTITUTE(SUBSTITUTE(SUBSTITUTE(SUBSTITUTE(SUBSTITUTE(SUBSTITUTE(SUBSTITUTE(SUBSTITUTE(SUBSTITUTE(LOWER(TRIM(A763)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763)),"á","a"),"é","e"),"í","i"),"ó","o"),"ú","u"),"ü","u"),"ñ","n"),"à","a"),"è","e"),"ì","i"),"ò","o"),"ù","u")),"")</f>
        <v/>
      </c>
      <c r="Y763" s="25">
        <f>IF(X763="","",IF(IFERROR(COUNTIF(X$3:X763,"="&amp;SUBSTITUTE(SUBSTITUTE(SUBSTITUTE(X763,"~","~~"),"*","~*"),"?","~?")),0)=1,1,""))</f>
        <v/>
      </c>
      <c r="Z763" s="25">
        <f>IF(T763=1,MAX(Z$2:Z762)+1,"")</f>
        <v/>
      </c>
    </row>
    <row r="764">
      <c r="A764">
        <f>IF(A$2=0,"",IFERROR(TRIM(INDEX('Pegar calibracion'!$A$1:$BZ$1001,763,A$2)&amp;""),""))</f>
        <v/>
      </c>
      <c r="B764">
        <f>IF(B$2=0,"",IFERROR(TRIM(INDEX('Pegar calibracion'!$A$1:$BZ$1001,763,B$2)&amp;""),""))</f>
        <v/>
      </c>
      <c r="C764">
        <f>IF(C$2=0,"",IFERROR(TRIM(INDEX('Pegar calibracion'!$A$1:$BZ$1001,763,C$2)&amp;""),""))</f>
        <v/>
      </c>
      <c r="D764">
        <f>IF(D$2=0,"",IFERROR(TRIM(INDEX('Pegar calibracion'!$A$1:$BZ$1001,763,D$2)&amp;""),""))</f>
        <v/>
      </c>
      <c r="E764">
        <f>IF(E$2=0,"",IFERROR(TRIM(INDEX('Pegar calibracion'!$A$1:$BZ$1001,763,E$2)&amp;""),""))</f>
        <v/>
      </c>
      <c r="F764">
        <f>IF(F$2=0,"",IFERROR(TRIM(INDEX('Pegar calibracion'!$A$1:$BZ$1001,763,F$2)&amp;""),""))</f>
        <v/>
      </c>
      <c r="G764">
        <f>IF(G$2=0,"",IFERROR(TRIM(INDEX('Pegar calibracion'!$A$1:$BZ$1001,763,G$2)&amp;""),""))</f>
        <v/>
      </c>
      <c r="H764">
        <f>IF(H$2=0,"",IFERROR(TRIM(INDEX('Pegar calibracion'!$A$1:$BZ$1001,763,H$2)&amp;""),""))</f>
        <v/>
      </c>
      <c r="I764">
        <f>IF(I$2=0,"",IFERROR(TRIM(INDEX('Pegar calibracion'!$A$1:$BZ$1001,763,I$2)&amp;""),""))</f>
        <v/>
      </c>
      <c r="J764">
        <f>IF(J$2=0,"",IFERROR(TRIM(INDEX('Pegar calibracion'!$A$1:$BZ$1001,763,J$2)&amp;""),""))</f>
        <v/>
      </c>
      <c r="K764">
        <f>IF(K$2=0,"",IFERROR(TRIM(INDEX('Pegar calibracion'!$A$1:$BZ$1001,763,K$2)&amp;""),""))</f>
        <v/>
      </c>
      <c r="L764">
        <f>IF(L$2=0,"",IFERROR(TRIM(INDEX('Pegar calibracion'!$A$1:$BZ$1001,763,L$2)&amp;""),""))</f>
        <v/>
      </c>
      <c r="M764" s="25">
        <f>IF(D764="","",SUBSTITUTE(SUBSTITUTE(SUBSTITUTE(SUBSTITUTE(SUBSTITUTE(SUBSTITUTE(SUBSTITUTE(SUBSTITUTE(SUBSTITUTE(SUBSTITUTE(SUBSTITUTE(SUBSTITUTE(LOWER(TRIM(D764)),"á","a"),"é","e"),"í","i"),"ó","o"),"ú","u"),"ü","u"),"ñ","n"),"à","a"),"è","e"),"ì","i"),"ò","o"),"ù","u"))</f>
        <v/>
      </c>
      <c r="N764" s="25">
        <f>IF(F764="","",SUBSTITUTE(SUBSTITUTE(SUBSTITUTE(SUBSTITUTE(SUBSTITUTE(SUBSTITUTE(SUBSTITUTE(SUBSTITUTE(SUBSTITUTE(SUBSTITUTE(SUBSTITUTE(SUBSTITUTE(LOWER(TRIM(F764)),"á","a"),"é","e"),"í","i"),"ó","o"),"ú","u"),"ü","u"),"ñ","n"),"à","a"),"è","e"),"ì","i"),"ò","o"),"ù","u"))</f>
        <v/>
      </c>
      <c r="O764" s="25">
        <f>IF(M764="confiable",2,IF(M764="dudosa",1,IF(M764="no confiable",0,"")))</f>
        <v/>
      </c>
      <c r="P764" s="25">
        <f>IF(N764="confiable",2,IF(N764="dudosa",1,IF(N764="no confiable",0,"")))</f>
        <v/>
      </c>
      <c r="Q764" s="25">
        <f>IF(AND(ISNUMBER(O764),ISNUMBER(P764)),1,"")</f>
        <v/>
      </c>
      <c r="R764" s="25">
        <f>IF(Q764=1,IF(O764=P764,"Sí","No"),"")</f>
        <v/>
      </c>
      <c r="S764" s="25">
        <f>IF(Q764=1,IF(P764&lt;O764,"Más estricto",IF(P764&gt;O764,"Más permisivo","Igual")),"")</f>
        <v/>
      </c>
      <c r="T764" s="25">
        <f>IF(Q764=1,IF(ABS(O764-P764)=2,1,0),"")</f>
        <v/>
      </c>
      <c r="U764" s="25">
        <f>IF(H764="","","|"&amp;SUBSTITUTE(SUBSTITUTE(TRIM(H764)," |","|"),"| ","|")&amp;"|")</f>
        <v/>
      </c>
      <c r="V764" s="25">
        <f>IF(AND(Q764=1,B764&lt;&gt;""),IF(IFERROR(COUNTIFS(B$3:B764,"="&amp;SUBSTITUTE(SUBSTITUTE(SUBSTITUTE(B764,"~","~~"),"*","~*"),"?","~?"),Q$3:Q764,1),0)=1,MAX(V$2:V763)+1,""),"")</f>
        <v/>
      </c>
      <c r="W764" s="25">
        <f>IF(V764="","",COUNTIFS($B$3:$B$1002,"="&amp;SUBSTITUTE(SUBSTITUTE(SUBSTITUTE(B764,"~","~~"),"*","~*"),"?","~?"),$Q$3:$Q$1002,1)*10000-V764)</f>
        <v/>
      </c>
      <c r="X764" s="25">
        <f>IF(Q764=1,IF(SUBSTITUTE(SUBSTITUTE(SUBSTITUTE(SUBSTITUTE(SUBSTITUTE(SUBSTITUTE(SUBSTITUTE(SUBSTITUTE(SUBSTITUTE(SUBSTITUTE(SUBSTITUTE(SUBSTITUTE(LOWER(TRIM(A764)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764)),"á","a"),"é","e"),"í","i"),"ó","o"),"ú","u"),"ü","u"),"ñ","n"),"à","a"),"è","e"),"ì","i"),"ò","o"),"ù","u")),"")</f>
        <v/>
      </c>
      <c r="Y764" s="25">
        <f>IF(X764="","",IF(IFERROR(COUNTIF(X$3:X764,"="&amp;SUBSTITUTE(SUBSTITUTE(SUBSTITUTE(X764,"~","~~"),"*","~*"),"?","~?")),0)=1,1,""))</f>
        <v/>
      </c>
      <c r="Z764" s="25">
        <f>IF(T764=1,MAX(Z$2:Z763)+1,"")</f>
        <v/>
      </c>
    </row>
    <row r="765">
      <c r="A765">
        <f>IF(A$2=0,"",IFERROR(TRIM(INDEX('Pegar calibracion'!$A$1:$BZ$1001,764,A$2)&amp;""),""))</f>
        <v/>
      </c>
      <c r="B765">
        <f>IF(B$2=0,"",IFERROR(TRIM(INDEX('Pegar calibracion'!$A$1:$BZ$1001,764,B$2)&amp;""),""))</f>
        <v/>
      </c>
      <c r="C765">
        <f>IF(C$2=0,"",IFERROR(TRIM(INDEX('Pegar calibracion'!$A$1:$BZ$1001,764,C$2)&amp;""),""))</f>
        <v/>
      </c>
      <c r="D765">
        <f>IF(D$2=0,"",IFERROR(TRIM(INDEX('Pegar calibracion'!$A$1:$BZ$1001,764,D$2)&amp;""),""))</f>
        <v/>
      </c>
      <c r="E765">
        <f>IF(E$2=0,"",IFERROR(TRIM(INDEX('Pegar calibracion'!$A$1:$BZ$1001,764,E$2)&amp;""),""))</f>
        <v/>
      </c>
      <c r="F765">
        <f>IF(F$2=0,"",IFERROR(TRIM(INDEX('Pegar calibracion'!$A$1:$BZ$1001,764,F$2)&amp;""),""))</f>
        <v/>
      </c>
      <c r="G765">
        <f>IF(G$2=0,"",IFERROR(TRIM(INDEX('Pegar calibracion'!$A$1:$BZ$1001,764,G$2)&amp;""),""))</f>
        <v/>
      </c>
      <c r="H765">
        <f>IF(H$2=0,"",IFERROR(TRIM(INDEX('Pegar calibracion'!$A$1:$BZ$1001,764,H$2)&amp;""),""))</f>
        <v/>
      </c>
      <c r="I765">
        <f>IF(I$2=0,"",IFERROR(TRIM(INDEX('Pegar calibracion'!$A$1:$BZ$1001,764,I$2)&amp;""),""))</f>
        <v/>
      </c>
      <c r="J765">
        <f>IF(J$2=0,"",IFERROR(TRIM(INDEX('Pegar calibracion'!$A$1:$BZ$1001,764,J$2)&amp;""),""))</f>
        <v/>
      </c>
      <c r="K765">
        <f>IF(K$2=0,"",IFERROR(TRIM(INDEX('Pegar calibracion'!$A$1:$BZ$1001,764,K$2)&amp;""),""))</f>
        <v/>
      </c>
      <c r="L765">
        <f>IF(L$2=0,"",IFERROR(TRIM(INDEX('Pegar calibracion'!$A$1:$BZ$1001,764,L$2)&amp;""),""))</f>
        <v/>
      </c>
      <c r="M765" s="25">
        <f>IF(D765="","",SUBSTITUTE(SUBSTITUTE(SUBSTITUTE(SUBSTITUTE(SUBSTITUTE(SUBSTITUTE(SUBSTITUTE(SUBSTITUTE(SUBSTITUTE(SUBSTITUTE(SUBSTITUTE(SUBSTITUTE(LOWER(TRIM(D765)),"á","a"),"é","e"),"í","i"),"ó","o"),"ú","u"),"ü","u"),"ñ","n"),"à","a"),"è","e"),"ì","i"),"ò","o"),"ù","u"))</f>
        <v/>
      </c>
      <c r="N765" s="25">
        <f>IF(F765="","",SUBSTITUTE(SUBSTITUTE(SUBSTITUTE(SUBSTITUTE(SUBSTITUTE(SUBSTITUTE(SUBSTITUTE(SUBSTITUTE(SUBSTITUTE(SUBSTITUTE(SUBSTITUTE(SUBSTITUTE(LOWER(TRIM(F765)),"á","a"),"é","e"),"í","i"),"ó","o"),"ú","u"),"ü","u"),"ñ","n"),"à","a"),"è","e"),"ì","i"),"ò","o"),"ù","u"))</f>
        <v/>
      </c>
      <c r="O765" s="25">
        <f>IF(M765="confiable",2,IF(M765="dudosa",1,IF(M765="no confiable",0,"")))</f>
        <v/>
      </c>
      <c r="P765" s="25">
        <f>IF(N765="confiable",2,IF(N765="dudosa",1,IF(N765="no confiable",0,"")))</f>
        <v/>
      </c>
      <c r="Q765" s="25">
        <f>IF(AND(ISNUMBER(O765),ISNUMBER(P765)),1,"")</f>
        <v/>
      </c>
      <c r="R765" s="25">
        <f>IF(Q765=1,IF(O765=P765,"Sí","No"),"")</f>
        <v/>
      </c>
      <c r="S765" s="25">
        <f>IF(Q765=1,IF(P765&lt;O765,"Más estricto",IF(P765&gt;O765,"Más permisivo","Igual")),"")</f>
        <v/>
      </c>
      <c r="T765" s="25">
        <f>IF(Q765=1,IF(ABS(O765-P765)=2,1,0),"")</f>
        <v/>
      </c>
      <c r="U765" s="25">
        <f>IF(H765="","","|"&amp;SUBSTITUTE(SUBSTITUTE(TRIM(H765)," |","|"),"| ","|")&amp;"|")</f>
        <v/>
      </c>
      <c r="V765" s="25">
        <f>IF(AND(Q765=1,B765&lt;&gt;""),IF(IFERROR(COUNTIFS(B$3:B765,"="&amp;SUBSTITUTE(SUBSTITUTE(SUBSTITUTE(B765,"~","~~"),"*","~*"),"?","~?"),Q$3:Q765,1),0)=1,MAX(V$2:V764)+1,""),"")</f>
        <v/>
      </c>
      <c r="W765" s="25">
        <f>IF(V765="","",COUNTIFS($B$3:$B$1002,"="&amp;SUBSTITUTE(SUBSTITUTE(SUBSTITUTE(B765,"~","~~"),"*","~*"),"?","~?"),$Q$3:$Q$1002,1)*10000-V765)</f>
        <v/>
      </c>
      <c r="X765" s="25">
        <f>IF(Q765=1,IF(SUBSTITUTE(SUBSTITUTE(SUBSTITUTE(SUBSTITUTE(SUBSTITUTE(SUBSTITUTE(SUBSTITUTE(SUBSTITUTE(SUBSTITUTE(SUBSTITUTE(SUBSTITUTE(SUBSTITUTE(LOWER(TRIM(A765)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765)),"á","a"),"é","e"),"í","i"),"ó","o"),"ú","u"),"ü","u"),"ñ","n"),"à","a"),"è","e"),"ì","i"),"ò","o"),"ù","u")),"")</f>
        <v/>
      </c>
      <c r="Y765" s="25">
        <f>IF(X765="","",IF(IFERROR(COUNTIF(X$3:X765,"="&amp;SUBSTITUTE(SUBSTITUTE(SUBSTITUTE(X765,"~","~~"),"*","~*"),"?","~?")),0)=1,1,""))</f>
        <v/>
      </c>
      <c r="Z765" s="25">
        <f>IF(T765=1,MAX(Z$2:Z764)+1,"")</f>
        <v/>
      </c>
    </row>
    <row r="766">
      <c r="A766">
        <f>IF(A$2=0,"",IFERROR(TRIM(INDEX('Pegar calibracion'!$A$1:$BZ$1001,765,A$2)&amp;""),""))</f>
        <v/>
      </c>
      <c r="B766">
        <f>IF(B$2=0,"",IFERROR(TRIM(INDEX('Pegar calibracion'!$A$1:$BZ$1001,765,B$2)&amp;""),""))</f>
        <v/>
      </c>
      <c r="C766">
        <f>IF(C$2=0,"",IFERROR(TRIM(INDEX('Pegar calibracion'!$A$1:$BZ$1001,765,C$2)&amp;""),""))</f>
        <v/>
      </c>
      <c r="D766">
        <f>IF(D$2=0,"",IFERROR(TRIM(INDEX('Pegar calibracion'!$A$1:$BZ$1001,765,D$2)&amp;""),""))</f>
        <v/>
      </c>
      <c r="E766">
        <f>IF(E$2=0,"",IFERROR(TRIM(INDEX('Pegar calibracion'!$A$1:$BZ$1001,765,E$2)&amp;""),""))</f>
        <v/>
      </c>
      <c r="F766">
        <f>IF(F$2=0,"",IFERROR(TRIM(INDEX('Pegar calibracion'!$A$1:$BZ$1001,765,F$2)&amp;""),""))</f>
        <v/>
      </c>
      <c r="G766">
        <f>IF(G$2=0,"",IFERROR(TRIM(INDEX('Pegar calibracion'!$A$1:$BZ$1001,765,G$2)&amp;""),""))</f>
        <v/>
      </c>
      <c r="H766">
        <f>IF(H$2=0,"",IFERROR(TRIM(INDEX('Pegar calibracion'!$A$1:$BZ$1001,765,H$2)&amp;""),""))</f>
        <v/>
      </c>
      <c r="I766">
        <f>IF(I$2=0,"",IFERROR(TRIM(INDEX('Pegar calibracion'!$A$1:$BZ$1001,765,I$2)&amp;""),""))</f>
        <v/>
      </c>
      <c r="J766">
        <f>IF(J$2=0,"",IFERROR(TRIM(INDEX('Pegar calibracion'!$A$1:$BZ$1001,765,J$2)&amp;""),""))</f>
        <v/>
      </c>
      <c r="K766">
        <f>IF(K$2=0,"",IFERROR(TRIM(INDEX('Pegar calibracion'!$A$1:$BZ$1001,765,K$2)&amp;""),""))</f>
        <v/>
      </c>
      <c r="L766">
        <f>IF(L$2=0,"",IFERROR(TRIM(INDEX('Pegar calibracion'!$A$1:$BZ$1001,765,L$2)&amp;""),""))</f>
        <v/>
      </c>
      <c r="M766" s="25">
        <f>IF(D766="","",SUBSTITUTE(SUBSTITUTE(SUBSTITUTE(SUBSTITUTE(SUBSTITUTE(SUBSTITUTE(SUBSTITUTE(SUBSTITUTE(SUBSTITUTE(SUBSTITUTE(SUBSTITUTE(SUBSTITUTE(LOWER(TRIM(D766)),"á","a"),"é","e"),"í","i"),"ó","o"),"ú","u"),"ü","u"),"ñ","n"),"à","a"),"è","e"),"ì","i"),"ò","o"),"ù","u"))</f>
        <v/>
      </c>
      <c r="N766" s="25">
        <f>IF(F766="","",SUBSTITUTE(SUBSTITUTE(SUBSTITUTE(SUBSTITUTE(SUBSTITUTE(SUBSTITUTE(SUBSTITUTE(SUBSTITUTE(SUBSTITUTE(SUBSTITUTE(SUBSTITUTE(SUBSTITUTE(LOWER(TRIM(F766)),"á","a"),"é","e"),"í","i"),"ó","o"),"ú","u"),"ü","u"),"ñ","n"),"à","a"),"è","e"),"ì","i"),"ò","o"),"ù","u"))</f>
        <v/>
      </c>
      <c r="O766" s="25">
        <f>IF(M766="confiable",2,IF(M766="dudosa",1,IF(M766="no confiable",0,"")))</f>
        <v/>
      </c>
      <c r="P766" s="25">
        <f>IF(N766="confiable",2,IF(N766="dudosa",1,IF(N766="no confiable",0,"")))</f>
        <v/>
      </c>
      <c r="Q766" s="25">
        <f>IF(AND(ISNUMBER(O766),ISNUMBER(P766)),1,"")</f>
        <v/>
      </c>
      <c r="R766" s="25">
        <f>IF(Q766=1,IF(O766=P766,"Sí","No"),"")</f>
        <v/>
      </c>
      <c r="S766" s="25">
        <f>IF(Q766=1,IF(P766&lt;O766,"Más estricto",IF(P766&gt;O766,"Más permisivo","Igual")),"")</f>
        <v/>
      </c>
      <c r="T766" s="25">
        <f>IF(Q766=1,IF(ABS(O766-P766)=2,1,0),"")</f>
        <v/>
      </c>
      <c r="U766" s="25">
        <f>IF(H766="","","|"&amp;SUBSTITUTE(SUBSTITUTE(TRIM(H766)," |","|"),"| ","|")&amp;"|")</f>
        <v/>
      </c>
      <c r="V766" s="25">
        <f>IF(AND(Q766=1,B766&lt;&gt;""),IF(IFERROR(COUNTIFS(B$3:B766,"="&amp;SUBSTITUTE(SUBSTITUTE(SUBSTITUTE(B766,"~","~~"),"*","~*"),"?","~?"),Q$3:Q766,1),0)=1,MAX(V$2:V765)+1,""),"")</f>
        <v/>
      </c>
      <c r="W766" s="25">
        <f>IF(V766="","",COUNTIFS($B$3:$B$1002,"="&amp;SUBSTITUTE(SUBSTITUTE(SUBSTITUTE(B766,"~","~~"),"*","~*"),"?","~?"),$Q$3:$Q$1002,1)*10000-V766)</f>
        <v/>
      </c>
      <c r="X766" s="25">
        <f>IF(Q766=1,IF(SUBSTITUTE(SUBSTITUTE(SUBSTITUTE(SUBSTITUTE(SUBSTITUTE(SUBSTITUTE(SUBSTITUTE(SUBSTITUTE(SUBSTITUTE(SUBSTITUTE(SUBSTITUTE(SUBSTITUTE(LOWER(TRIM(A766)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766)),"á","a"),"é","e"),"í","i"),"ó","o"),"ú","u"),"ü","u"),"ñ","n"),"à","a"),"è","e"),"ì","i"),"ò","o"),"ù","u")),"")</f>
        <v/>
      </c>
      <c r="Y766" s="25">
        <f>IF(X766="","",IF(IFERROR(COUNTIF(X$3:X766,"="&amp;SUBSTITUTE(SUBSTITUTE(SUBSTITUTE(X766,"~","~~"),"*","~*"),"?","~?")),0)=1,1,""))</f>
        <v/>
      </c>
      <c r="Z766" s="25">
        <f>IF(T766=1,MAX(Z$2:Z765)+1,"")</f>
        <v/>
      </c>
    </row>
    <row r="767">
      <c r="A767">
        <f>IF(A$2=0,"",IFERROR(TRIM(INDEX('Pegar calibracion'!$A$1:$BZ$1001,766,A$2)&amp;""),""))</f>
        <v/>
      </c>
      <c r="B767">
        <f>IF(B$2=0,"",IFERROR(TRIM(INDEX('Pegar calibracion'!$A$1:$BZ$1001,766,B$2)&amp;""),""))</f>
        <v/>
      </c>
      <c r="C767">
        <f>IF(C$2=0,"",IFERROR(TRIM(INDEX('Pegar calibracion'!$A$1:$BZ$1001,766,C$2)&amp;""),""))</f>
        <v/>
      </c>
      <c r="D767">
        <f>IF(D$2=0,"",IFERROR(TRIM(INDEX('Pegar calibracion'!$A$1:$BZ$1001,766,D$2)&amp;""),""))</f>
        <v/>
      </c>
      <c r="E767">
        <f>IF(E$2=0,"",IFERROR(TRIM(INDEX('Pegar calibracion'!$A$1:$BZ$1001,766,E$2)&amp;""),""))</f>
        <v/>
      </c>
      <c r="F767">
        <f>IF(F$2=0,"",IFERROR(TRIM(INDEX('Pegar calibracion'!$A$1:$BZ$1001,766,F$2)&amp;""),""))</f>
        <v/>
      </c>
      <c r="G767">
        <f>IF(G$2=0,"",IFERROR(TRIM(INDEX('Pegar calibracion'!$A$1:$BZ$1001,766,G$2)&amp;""),""))</f>
        <v/>
      </c>
      <c r="H767">
        <f>IF(H$2=0,"",IFERROR(TRIM(INDEX('Pegar calibracion'!$A$1:$BZ$1001,766,H$2)&amp;""),""))</f>
        <v/>
      </c>
      <c r="I767">
        <f>IF(I$2=0,"",IFERROR(TRIM(INDEX('Pegar calibracion'!$A$1:$BZ$1001,766,I$2)&amp;""),""))</f>
        <v/>
      </c>
      <c r="J767">
        <f>IF(J$2=0,"",IFERROR(TRIM(INDEX('Pegar calibracion'!$A$1:$BZ$1001,766,J$2)&amp;""),""))</f>
        <v/>
      </c>
      <c r="K767">
        <f>IF(K$2=0,"",IFERROR(TRIM(INDEX('Pegar calibracion'!$A$1:$BZ$1001,766,K$2)&amp;""),""))</f>
        <v/>
      </c>
      <c r="L767">
        <f>IF(L$2=0,"",IFERROR(TRIM(INDEX('Pegar calibracion'!$A$1:$BZ$1001,766,L$2)&amp;""),""))</f>
        <v/>
      </c>
      <c r="M767" s="25">
        <f>IF(D767="","",SUBSTITUTE(SUBSTITUTE(SUBSTITUTE(SUBSTITUTE(SUBSTITUTE(SUBSTITUTE(SUBSTITUTE(SUBSTITUTE(SUBSTITUTE(SUBSTITUTE(SUBSTITUTE(SUBSTITUTE(LOWER(TRIM(D767)),"á","a"),"é","e"),"í","i"),"ó","o"),"ú","u"),"ü","u"),"ñ","n"),"à","a"),"è","e"),"ì","i"),"ò","o"),"ù","u"))</f>
        <v/>
      </c>
      <c r="N767" s="25">
        <f>IF(F767="","",SUBSTITUTE(SUBSTITUTE(SUBSTITUTE(SUBSTITUTE(SUBSTITUTE(SUBSTITUTE(SUBSTITUTE(SUBSTITUTE(SUBSTITUTE(SUBSTITUTE(SUBSTITUTE(SUBSTITUTE(LOWER(TRIM(F767)),"á","a"),"é","e"),"í","i"),"ó","o"),"ú","u"),"ü","u"),"ñ","n"),"à","a"),"è","e"),"ì","i"),"ò","o"),"ù","u"))</f>
        <v/>
      </c>
      <c r="O767" s="25">
        <f>IF(M767="confiable",2,IF(M767="dudosa",1,IF(M767="no confiable",0,"")))</f>
        <v/>
      </c>
      <c r="P767" s="25">
        <f>IF(N767="confiable",2,IF(N767="dudosa",1,IF(N767="no confiable",0,"")))</f>
        <v/>
      </c>
      <c r="Q767" s="25">
        <f>IF(AND(ISNUMBER(O767),ISNUMBER(P767)),1,"")</f>
        <v/>
      </c>
      <c r="R767" s="25">
        <f>IF(Q767=1,IF(O767=P767,"Sí","No"),"")</f>
        <v/>
      </c>
      <c r="S767" s="25">
        <f>IF(Q767=1,IF(P767&lt;O767,"Más estricto",IF(P767&gt;O767,"Más permisivo","Igual")),"")</f>
        <v/>
      </c>
      <c r="T767" s="25">
        <f>IF(Q767=1,IF(ABS(O767-P767)=2,1,0),"")</f>
        <v/>
      </c>
      <c r="U767" s="25">
        <f>IF(H767="","","|"&amp;SUBSTITUTE(SUBSTITUTE(TRIM(H767)," |","|"),"| ","|")&amp;"|")</f>
        <v/>
      </c>
      <c r="V767" s="25">
        <f>IF(AND(Q767=1,B767&lt;&gt;""),IF(IFERROR(COUNTIFS(B$3:B767,"="&amp;SUBSTITUTE(SUBSTITUTE(SUBSTITUTE(B767,"~","~~"),"*","~*"),"?","~?"),Q$3:Q767,1),0)=1,MAX(V$2:V766)+1,""),"")</f>
        <v/>
      </c>
      <c r="W767" s="25">
        <f>IF(V767="","",COUNTIFS($B$3:$B$1002,"="&amp;SUBSTITUTE(SUBSTITUTE(SUBSTITUTE(B767,"~","~~"),"*","~*"),"?","~?"),$Q$3:$Q$1002,1)*10000-V767)</f>
        <v/>
      </c>
      <c r="X767" s="25">
        <f>IF(Q767=1,IF(SUBSTITUTE(SUBSTITUTE(SUBSTITUTE(SUBSTITUTE(SUBSTITUTE(SUBSTITUTE(SUBSTITUTE(SUBSTITUTE(SUBSTITUTE(SUBSTITUTE(SUBSTITUTE(SUBSTITUTE(LOWER(TRIM(A767)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767)),"á","a"),"é","e"),"í","i"),"ó","o"),"ú","u"),"ü","u"),"ñ","n"),"à","a"),"è","e"),"ì","i"),"ò","o"),"ù","u")),"")</f>
        <v/>
      </c>
      <c r="Y767" s="25">
        <f>IF(X767="","",IF(IFERROR(COUNTIF(X$3:X767,"="&amp;SUBSTITUTE(SUBSTITUTE(SUBSTITUTE(X767,"~","~~"),"*","~*"),"?","~?")),0)=1,1,""))</f>
        <v/>
      </c>
      <c r="Z767" s="25">
        <f>IF(T767=1,MAX(Z$2:Z766)+1,"")</f>
        <v/>
      </c>
    </row>
    <row r="768">
      <c r="A768">
        <f>IF(A$2=0,"",IFERROR(TRIM(INDEX('Pegar calibracion'!$A$1:$BZ$1001,767,A$2)&amp;""),""))</f>
        <v/>
      </c>
      <c r="B768">
        <f>IF(B$2=0,"",IFERROR(TRIM(INDEX('Pegar calibracion'!$A$1:$BZ$1001,767,B$2)&amp;""),""))</f>
        <v/>
      </c>
      <c r="C768">
        <f>IF(C$2=0,"",IFERROR(TRIM(INDEX('Pegar calibracion'!$A$1:$BZ$1001,767,C$2)&amp;""),""))</f>
        <v/>
      </c>
      <c r="D768">
        <f>IF(D$2=0,"",IFERROR(TRIM(INDEX('Pegar calibracion'!$A$1:$BZ$1001,767,D$2)&amp;""),""))</f>
        <v/>
      </c>
      <c r="E768">
        <f>IF(E$2=0,"",IFERROR(TRIM(INDEX('Pegar calibracion'!$A$1:$BZ$1001,767,E$2)&amp;""),""))</f>
        <v/>
      </c>
      <c r="F768">
        <f>IF(F$2=0,"",IFERROR(TRIM(INDEX('Pegar calibracion'!$A$1:$BZ$1001,767,F$2)&amp;""),""))</f>
        <v/>
      </c>
      <c r="G768">
        <f>IF(G$2=0,"",IFERROR(TRIM(INDEX('Pegar calibracion'!$A$1:$BZ$1001,767,G$2)&amp;""),""))</f>
        <v/>
      </c>
      <c r="H768">
        <f>IF(H$2=0,"",IFERROR(TRIM(INDEX('Pegar calibracion'!$A$1:$BZ$1001,767,H$2)&amp;""),""))</f>
        <v/>
      </c>
      <c r="I768">
        <f>IF(I$2=0,"",IFERROR(TRIM(INDEX('Pegar calibracion'!$A$1:$BZ$1001,767,I$2)&amp;""),""))</f>
        <v/>
      </c>
      <c r="J768">
        <f>IF(J$2=0,"",IFERROR(TRIM(INDEX('Pegar calibracion'!$A$1:$BZ$1001,767,J$2)&amp;""),""))</f>
        <v/>
      </c>
      <c r="K768">
        <f>IF(K$2=0,"",IFERROR(TRIM(INDEX('Pegar calibracion'!$A$1:$BZ$1001,767,K$2)&amp;""),""))</f>
        <v/>
      </c>
      <c r="L768">
        <f>IF(L$2=0,"",IFERROR(TRIM(INDEX('Pegar calibracion'!$A$1:$BZ$1001,767,L$2)&amp;""),""))</f>
        <v/>
      </c>
      <c r="M768" s="25">
        <f>IF(D768="","",SUBSTITUTE(SUBSTITUTE(SUBSTITUTE(SUBSTITUTE(SUBSTITUTE(SUBSTITUTE(SUBSTITUTE(SUBSTITUTE(SUBSTITUTE(SUBSTITUTE(SUBSTITUTE(SUBSTITUTE(LOWER(TRIM(D768)),"á","a"),"é","e"),"í","i"),"ó","o"),"ú","u"),"ü","u"),"ñ","n"),"à","a"),"è","e"),"ì","i"),"ò","o"),"ù","u"))</f>
        <v/>
      </c>
      <c r="N768" s="25">
        <f>IF(F768="","",SUBSTITUTE(SUBSTITUTE(SUBSTITUTE(SUBSTITUTE(SUBSTITUTE(SUBSTITUTE(SUBSTITUTE(SUBSTITUTE(SUBSTITUTE(SUBSTITUTE(SUBSTITUTE(SUBSTITUTE(LOWER(TRIM(F768)),"á","a"),"é","e"),"í","i"),"ó","o"),"ú","u"),"ü","u"),"ñ","n"),"à","a"),"è","e"),"ì","i"),"ò","o"),"ù","u"))</f>
        <v/>
      </c>
      <c r="O768" s="25">
        <f>IF(M768="confiable",2,IF(M768="dudosa",1,IF(M768="no confiable",0,"")))</f>
        <v/>
      </c>
      <c r="P768" s="25">
        <f>IF(N768="confiable",2,IF(N768="dudosa",1,IF(N768="no confiable",0,"")))</f>
        <v/>
      </c>
      <c r="Q768" s="25">
        <f>IF(AND(ISNUMBER(O768),ISNUMBER(P768)),1,"")</f>
        <v/>
      </c>
      <c r="R768" s="25">
        <f>IF(Q768=1,IF(O768=P768,"Sí","No"),"")</f>
        <v/>
      </c>
      <c r="S768" s="25">
        <f>IF(Q768=1,IF(P768&lt;O768,"Más estricto",IF(P768&gt;O768,"Más permisivo","Igual")),"")</f>
        <v/>
      </c>
      <c r="T768" s="25">
        <f>IF(Q768=1,IF(ABS(O768-P768)=2,1,0),"")</f>
        <v/>
      </c>
      <c r="U768" s="25">
        <f>IF(H768="","","|"&amp;SUBSTITUTE(SUBSTITUTE(TRIM(H768)," |","|"),"| ","|")&amp;"|")</f>
        <v/>
      </c>
      <c r="V768" s="25">
        <f>IF(AND(Q768=1,B768&lt;&gt;""),IF(IFERROR(COUNTIFS(B$3:B768,"="&amp;SUBSTITUTE(SUBSTITUTE(SUBSTITUTE(B768,"~","~~"),"*","~*"),"?","~?"),Q$3:Q768,1),0)=1,MAX(V$2:V767)+1,""),"")</f>
        <v/>
      </c>
      <c r="W768" s="25">
        <f>IF(V768="","",COUNTIFS($B$3:$B$1002,"="&amp;SUBSTITUTE(SUBSTITUTE(SUBSTITUTE(B768,"~","~~"),"*","~*"),"?","~?"),$Q$3:$Q$1002,1)*10000-V768)</f>
        <v/>
      </c>
      <c r="X768" s="25">
        <f>IF(Q768=1,IF(SUBSTITUTE(SUBSTITUTE(SUBSTITUTE(SUBSTITUTE(SUBSTITUTE(SUBSTITUTE(SUBSTITUTE(SUBSTITUTE(SUBSTITUTE(SUBSTITUTE(SUBSTITUTE(SUBSTITUTE(LOWER(TRIM(A768)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768)),"á","a"),"é","e"),"í","i"),"ó","o"),"ú","u"),"ü","u"),"ñ","n"),"à","a"),"è","e"),"ì","i"),"ò","o"),"ù","u")),"")</f>
        <v/>
      </c>
      <c r="Y768" s="25">
        <f>IF(X768="","",IF(IFERROR(COUNTIF(X$3:X768,"="&amp;SUBSTITUTE(SUBSTITUTE(SUBSTITUTE(X768,"~","~~"),"*","~*"),"?","~?")),0)=1,1,""))</f>
        <v/>
      </c>
      <c r="Z768" s="25">
        <f>IF(T768=1,MAX(Z$2:Z767)+1,"")</f>
        <v/>
      </c>
    </row>
    <row r="769">
      <c r="A769">
        <f>IF(A$2=0,"",IFERROR(TRIM(INDEX('Pegar calibracion'!$A$1:$BZ$1001,768,A$2)&amp;""),""))</f>
        <v/>
      </c>
      <c r="B769">
        <f>IF(B$2=0,"",IFERROR(TRIM(INDEX('Pegar calibracion'!$A$1:$BZ$1001,768,B$2)&amp;""),""))</f>
        <v/>
      </c>
      <c r="C769">
        <f>IF(C$2=0,"",IFERROR(TRIM(INDEX('Pegar calibracion'!$A$1:$BZ$1001,768,C$2)&amp;""),""))</f>
        <v/>
      </c>
      <c r="D769">
        <f>IF(D$2=0,"",IFERROR(TRIM(INDEX('Pegar calibracion'!$A$1:$BZ$1001,768,D$2)&amp;""),""))</f>
        <v/>
      </c>
      <c r="E769">
        <f>IF(E$2=0,"",IFERROR(TRIM(INDEX('Pegar calibracion'!$A$1:$BZ$1001,768,E$2)&amp;""),""))</f>
        <v/>
      </c>
      <c r="F769">
        <f>IF(F$2=0,"",IFERROR(TRIM(INDEX('Pegar calibracion'!$A$1:$BZ$1001,768,F$2)&amp;""),""))</f>
        <v/>
      </c>
      <c r="G769">
        <f>IF(G$2=0,"",IFERROR(TRIM(INDEX('Pegar calibracion'!$A$1:$BZ$1001,768,G$2)&amp;""),""))</f>
        <v/>
      </c>
      <c r="H769">
        <f>IF(H$2=0,"",IFERROR(TRIM(INDEX('Pegar calibracion'!$A$1:$BZ$1001,768,H$2)&amp;""),""))</f>
        <v/>
      </c>
      <c r="I769">
        <f>IF(I$2=0,"",IFERROR(TRIM(INDEX('Pegar calibracion'!$A$1:$BZ$1001,768,I$2)&amp;""),""))</f>
        <v/>
      </c>
      <c r="J769">
        <f>IF(J$2=0,"",IFERROR(TRIM(INDEX('Pegar calibracion'!$A$1:$BZ$1001,768,J$2)&amp;""),""))</f>
        <v/>
      </c>
      <c r="K769">
        <f>IF(K$2=0,"",IFERROR(TRIM(INDEX('Pegar calibracion'!$A$1:$BZ$1001,768,K$2)&amp;""),""))</f>
        <v/>
      </c>
      <c r="L769">
        <f>IF(L$2=0,"",IFERROR(TRIM(INDEX('Pegar calibracion'!$A$1:$BZ$1001,768,L$2)&amp;""),""))</f>
        <v/>
      </c>
      <c r="M769" s="25">
        <f>IF(D769="","",SUBSTITUTE(SUBSTITUTE(SUBSTITUTE(SUBSTITUTE(SUBSTITUTE(SUBSTITUTE(SUBSTITUTE(SUBSTITUTE(SUBSTITUTE(SUBSTITUTE(SUBSTITUTE(SUBSTITUTE(LOWER(TRIM(D769)),"á","a"),"é","e"),"í","i"),"ó","o"),"ú","u"),"ü","u"),"ñ","n"),"à","a"),"è","e"),"ì","i"),"ò","o"),"ù","u"))</f>
        <v/>
      </c>
      <c r="N769" s="25">
        <f>IF(F769="","",SUBSTITUTE(SUBSTITUTE(SUBSTITUTE(SUBSTITUTE(SUBSTITUTE(SUBSTITUTE(SUBSTITUTE(SUBSTITUTE(SUBSTITUTE(SUBSTITUTE(SUBSTITUTE(SUBSTITUTE(LOWER(TRIM(F769)),"á","a"),"é","e"),"í","i"),"ó","o"),"ú","u"),"ü","u"),"ñ","n"),"à","a"),"è","e"),"ì","i"),"ò","o"),"ù","u"))</f>
        <v/>
      </c>
      <c r="O769" s="25">
        <f>IF(M769="confiable",2,IF(M769="dudosa",1,IF(M769="no confiable",0,"")))</f>
        <v/>
      </c>
      <c r="P769" s="25">
        <f>IF(N769="confiable",2,IF(N769="dudosa",1,IF(N769="no confiable",0,"")))</f>
        <v/>
      </c>
      <c r="Q769" s="25">
        <f>IF(AND(ISNUMBER(O769),ISNUMBER(P769)),1,"")</f>
        <v/>
      </c>
      <c r="R769" s="25">
        <f>IF(Q769=1,IF(O769=P769,"Sí","No"),"")</f>
        <v/>
      </c>
      <c r="S769" s="25">
        <f>IF(Q769=1,IF(P769&lt;O769,"Más estricto",IF(P769&gt;O769,"Más permisivo","Igual")),"")</f>
        <v/>
      </c>
      <c r="T769" s="25">
        <f>IF(Q769=1,IF(ABS(O769-P769)=2,1,0),"")</f>
        <v/>
      </c>
      <c r="U769" s="25">
        <f>IF(H769="","","|"&amp;SUBSTITUTE(SUBSTITUTE(TRIM(H769)," |","|"),"| ","|")&amp;"|")</f>
        <v/>
      </c>
      <c r="V769" s="25">
        <f>IF(AND(Q769=1,B769&lt;&gt;""),IF(IFERROR(COUNTIFS(B$3:B769,"="&amp;SUBSTITUTE(SUBSTITUTE(SUBSTITUTE(B769,"~","~~"),"*","~*"),"?","~?"),Q$3:Q769,1),0)=1,MAX(V$2:V768)+1,""),"")</f>
        <v/>
      </c>
      <c r="W769" s="25">
        <f>IF(V769="","",COUNTIFS($B$3:$B$1002,"="&amp;SUBSTITUTE(SUBSTITUTE(SUBSTITUTE(B769,"~","~~"),"*","~*"),"?","~?"),$Q$3:$Q$1002,1)*10000-V769)</f>
        <v/>
      </c>
      <c r="X769" s="25">
        <f>IF(Q769=1,IF(SUBSTITUTE(SUBSTITUTE(SUBSTITUTE(SUBSTITUTE(SUBSTITUTE(SUBSTITUTE(SUBSTITUTE(SUBSTITUTE(SUBSTITUTE(SUBSTITUTE(SUBSTITUTE(SUBSTITUTE(LOWER(TRIM(A769)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769)),"á","a"),"é","e"),"í","i"),"ó","o"),"ú","u"),"ü","u"),"ñ","n"),"à","a"),"è","e"),"ì","i"),"ò","o"),"ù","u")),"")</f>
        <v/>
      </c>
      <c r="Y769" s="25">
        <f>IF(X769="","",IF(IFERROR(COUNTIF(X$3:X769,"="&amp;SUBSTITUTE(SUBSTITUTE(SUBSTITUTE(X769,"~","~~"),"*","~*"),"?","~?")),0)=1,1,""))</f>
        <v/>
      </c>
      <c r="Z769" s="25">
        <f>IF(T769=1,MAX(Z$2:Z768)+1,"")</f>
        <v/>
      </c>
    </row>
    <row r="770">
      <c r="A770">
        <f>IF(A$2=0,"",IFERROR(TRIM(INDEX('Pegar calibracion'!$A$1:$BZ$1001,769,A$2)&amp;""),""))</f>
        <v/>
      </c>
      <c r="B770">
        <f>IF(B$2=0,"",IFERROR(TRIM(INDEX('Pegar calibracion'!$A$1:$BZ$1001,769,B$2)&amp;""),""))</f>
        <v/>
      </c>
      <c r="C770">
        <f>IF(C$2=0,"",IFERROR(TRIM(INDEX('Pegar calibracion'!$A$1:$BZ$1001,769,C$2)&amp;""),""))</f>
        <v/>
      </c>
      <c r="D770">
        <f>IF(D$2=0,"",IFERROR(TRIM(INDEX('Pegar calibracion'!$A$1:$BZ$1001,769,D$2)&amp;""),""))</f>
        <v/>
      </c>
      <c r="E770">
        <f>IF(E$2=0,"",IFERROR(TRIM(INDEX('Pegar calibracion'!$A$1:$BZ$1001,769,E$2)&amp;""),""))</f>
        <v/>
      </c>
      <c r="F770">
        <f>IF(F$2=0,"",IFERROR(TRIM(INDEX('Pegar calibracion'!$A$1:$BZ$1001,769,F$2)&amp;""),""))</f>
        <v/>
      </c>
      <c r="G770">
        <f>IF(G$2=0,"",IFERROR(TRIM(INDEX('Pegar calibracion'!$A$1:$BZ$1001,769,G$2)&amp;""),""))</f>
        <v/>
      </c>
      <c r="H770">
        <f>IF(H$2=0,"",IFERROR(TRIM(INDEX('Pegar calibracion'!$A$1:$BZ$1001,769,H$2)&amp;""),""))</f>
        <v/>
      </c>
      <c r="I770">
        <f>IF(I$2=0,"",IFERROR(TRIM(INDEX('Pegar calibracion'!$A$1:$BZ$1001,769,I$2)&amp;""),""))</f>
        <v/>
      </c>
      <c r="J770">
        <f>IF(J$2=0,"",IFERROR(TRIM(INDEX('Pegar calibracion'!$A$1:$BZ$1001,769,J$2)&amp;""),""))</f>
        <v/>
      </c>
      <c r="K770">
        <f>IF(K$2=0,"",IFERROR(TRIM(INDEX('Pegar calibracion'!$A$1:$BZ$1001,769,K$2)&amp;""),""))</f>
        <v/>
      </c>
      <c r="L770">
        <f>IF(L$2=0,"",IFERROR(TRIM(INDEX('Pegar calibracion'!$A$1:$BZ$1001,769,L$2)&amp;""),""))</f>
        <v/>
      </c>
      <c r="M770" s="25">
        <f>IF(D770="","",SUBSTITUTE(SUBSTITUTE(SUBSTITUTE(SUBSTITUTE(SUBSTITUTE(SUBSTITUTE(SUBSTITUTE(SUBSTITUTE(SUBSTITUTE(SUBSTITUTE(SUBSTITUTE(SUBSTITUTE(LOWER(TRIM(D770)),"á","a"),"é","e"),"í","i"),"ó","o"),"ú","u"),"ü","u"),"ñ","n"),"à","a"),"è","e"),"ì","i"),"ò","o"),"ù","u"))</f>
        <v/>
      </c>
      <c r="N770" s="25">
        <f>IF(F770="","",SUBSTITUTE(SUBSTITUTE(SUBSTITUTE(SUBSTITUTE(SUBSTITUTE(SUBSTITUTE(SUBSTITUTE(SUBSTITUTE(SUBSTITUTE(SUBSTITUTE(SUBSTITUTE(SUBSTITUTE(LOWER(TRIM(F770)),"á","a"),"é","e"),"í","i"),"ó","o"),"ú","u"),"ü","u"),"ñ","n"),"à","a"),"è","e"),"ì","i"),"ò","o"),"ù","u"))</f>
        <v/>
      </c>
      <c r="O770" s="25">
        <f>IF(M770="confiable",2,IF(M770="dudosa",1,IF(M770="no confiable",0,"")))</f>
        <v/>
      </c>
      <c r="P770" s="25">
        <f>IF(N770="confiable",2,IF(N770="dudosa",1,IF(N770="no confiable",0,"")))</f>
        <v/>
      </c>
      <c r="Q770" s="25">
        <f>IF(AND(ISNUMBER(O770),ISNUMBER(P770)),1,"")</f>
        <v/>
      </c>
      <c r="R770" s="25">
        <f>IF(Q770=1,IF(O770=P770,"Sí","No"),"")</f>
        <v/>
      </c>
      <c r="S770" s="25">
        <f>IF(Q770=1,IF(P770&lt;O770,"Más estricto",IF(P770&gt;O770,"Más permisivo","Igual")),"")</f>
        <v/>
      </c>
      <c r="T770" s="25">
        <f>IF(Q770=1,IF(ABS(O770-P770)=2,1,0),"")</f>
        <v/>
      </c>
      <c r="U770" s="25">
        <f>IF(H770="","","|"&amp;SUBSTITUTE(SUBSTITUTE(TRIM(H770)," |","|"),"| ","|")&amp;"|")</f>
        <v/>
      </c>
      <c r="V770" s="25">
        <f>IF(AND(Q770=1,B770&lt;&gt;""),IF(IFERROR(COUNTIFS(B$3:B770,"="&amp;SUBSTITUTE(SUBSTITUTE(SUBSTITUTE(B770,"~","~~"),"*","~*"),"?","~?"),Q$3:Q770,1),0)=1,MAX(V$2:V769)+1,""),"")</f>
        <v/>
      </c>
      <c r="W770" s="25">
        <f>IF(V770="","",COUNTIFS($B$3:$B$1002,"="&amp;SUBSTITUTE(SUBSTITUTE(SUBSTITUTE(B770,"~","~~"),"*","~*"),"?","~?"),$Q$3:$Q$1002,1)*10000-V770)</f>
        <v/>
      </c>
      <c r="X770" s="25">
        <f>IF(Q770=1,IF(SUBSTITUTE(SUBSTITUTE(SUBSTITUTE(SUBSTITUTE(SUBSTITUTE(SUBSTITUTE(SUBSTITUTE(SUBSTITUTE(SUBSTITUTE(SUBSTITUTE(SUBSTITUTE(SUBSTITUTE(LOWER(TRIM(A770)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770)),"á","a"),"é","e"),"í","i"),"ó","o"),"ú","u"),"ü","u"),"ñ","n"),"à","a"),"è","e"),"ì","i"),"ò","o"),"ù","u")),"")</f>
        <v/>
      </c>
      <c r="Y770" s="25">
        <f>IF(X770="","",IF(IFERROR(COUNTIF(X$3:X770,"="&amp;SUBSTITUTE(SUBSTITUTE(SUBSTITUTE(X770,"~","~~"),"*","~*"),"?","~?")),0)=1,1,""))</f>
        <v/>
      </c>
      <c r="Z770" s="25">
        <f>IF(T770=1,MAX(Z$2:Z769)+1,"")</f>
        <v/>
      </c>
    </row>
    <row r="771">
      <c r="A771">
        <f>IF(A$2=0,"",IFERROR(TRIM(INDEX('Pegar calibracion'!$A$1:$BZ$1001,770,A$2)&amp;""),""))</f>
        <v/>
      </c>
      <c r="B771">
        <f>IF(B$2=0,"",IFERROR(TRIM(INDEX('Pegar calibracion'!$A$1:$BZ$1001,770,B$2)&amp;""),""))</f>
        <v/>
      </c>
      <c r="C771">
        <f>IF(C$2=0,"",IFERROR(TRIM(INDEX('Pegar calibracion'!$A$1:$BZ$1001,770,C$2)&amp;""),""))</f>
        <v/>
      </c>
      <c r="D771">
        <f>IF(D$2=0,"",IFERROR(TRIM(INDEX('Pegar calibracion'!$A$1:$BZ$1001,770,D$2)&amp;""),""))</f>
        <v/>
      </c>
      <c r="E771">
        <f>IF(E$2=0,"",IFERROR(TRIM(INDEX('Pegar calibracion'!$A$1:$BZ$1001,770,E$2)&amp;""),""))</f>
        <v/>
      </c>
      <c r="F771">
        <f>IF(F$2=0,"",IFERROR(TRIM(INDEX('Pegar calibracion'!$A$1:$BZ$1001,770,F$2)&amp;""),""))</f>
        <v/>
      </c>
      <c r="G771">
        <f>IF(G$2=0,"",IFERROR(TRIM(INDEX('Pegar calibracion'!$A$1:$BZ$1001,770,G$2)&amp;""),""))</f>
        <v/>
      </c>
      <c r="H771">
        <f>IF(H$2=0,"",IFERROR(TRIM(INDEX('Pegar calibracion'!$A$1:$BZ$1001,770,H$2)&amp;""),""))</f>
        <v/>
      </c>
      <c r="I771">
        <f>IF(I$2=0,"",IFERROR(TRIM(INDEX('Pegar calibracion'!$A$1:$BZ$1001,770,I$2)&amp;""),""))</f>
        <v/>
      </c>
      <c r="J771">
        <f>IF(J$2=0,"",IFERROR(TRIM(INDEX('Pegar calibracion'!$A$1:$BZ$1001,770,J$2)&amp;""),""))</f>
        <v/>
      </c>
      <c r="K771">
        <f>IF(K$2=0,"",IFERROR(TRIM(INDEX('Pegar calibracion'!$A$1:$BZ$1001,770,K$2)&amp;""),""))</f>
        <v/>
      </c>
      <c r="L771">
        <f>IF(L$2=0,"",IFERROR(TRIM(INDEX('Pegar calibracion'!$A$1:$BZ$1001,770,L$2)&amp;""),""))</f>
        <v/>
      </c>
      <c r="M771" s="25">
        <f>IF(D771="","",SUBSTITUTE(SUBSTITUTE(SUBSTITUTE(SUBSTITUTE(SUBSTITUTE(SUBSTITUTE(SUBSTITUTE(SUBSTITUTE(SUBSTITUTE(SUBSTITUTE(SUBSTITUTE(SUBSTITUTE(LOWER(TRIM(D771)),"á","a"),"é","e"),"í","i"),"ó","o"),"ú","u"),"ü","u"),"ñ","n"),"à","a"),"è","e"),"ì","i"),"ò","o"),"ù","u"))</f>
        <v/>
      </c>
      <c r="N771" s="25">
        <f>IF(F771="","",SUBSTITUTE(SUBSTITUTE(SUBSTITUTE(SUBSTITUTE(SUBSTITUTE(SUBSTITUTE(SUBSTITUTE(SUBSTITUTE(SUBSTITUTE(SUBSTITUTE(SUBSTITUTE(SUBSTITUTE(LOWER(TRIM(F771)),"á","a"),"é","e"),"í","i"),"ó","o"),"ú","u"),"ü","u"),"ñ","n"),"à","a"),"è","e"),"ì","i"),"ò","o"),"ù","u"))</f>
        <v/>
      </c>
      <c r="O771" s="25">
        <f>IF(M771="confiable",2,IF(M771="dudosa",1,IF(M771="no confiable",0,"")))</f>
        <v/>
      </c>
      <c r="P771" s="25">
        <f>IF(N771="confiable",2,IF(N771="dudosa",1,IF(N771="no confiable",0,"")))</f>
        <v/>
      </c>
      <c r="Q771" s="25">
        <f>IF(AND(ISNUMBER(O771),ISNUMBER(P771)),1,"")</f>
        <v/>
      </c>
      <c r="R771" s="25">
        <f>IF(Q771=1,IF(O771=P771,"Sí","No"),"")</f>
        <v/>
      </c>
      <c r="S771" s="25">
        <f>IF(Q771=1,IF(P771&lt;O771,"Más estricto",IF(P771&gt;O771,"Más permisivo","Igual")),"")</f>
        <v/>
      </c>
      <c r="T771" s="25">
        <f>IF(Q771=1,IF(ABS(O771-P771)=2,1,0),"")</f>
        <v/>
      </c>
      <c r="U771" s="25">
        <f>IF(H771="","","|"&amp;SUBSTITUTE(SUBSTITUTE(TRIM(H771)," |","|"),"| ","|")&amp;"|")</f>
        <v/>
      </c>
      <c r="V771" s="25">
        <f>IF(AND(Q771=1,B771&lt;&gt;""),IF(IFERROR(COUNTIFS(B$3:B771,"="&amp;SUBSTITUTE(SUBSTITUTE(SUBSTITUTE(B771,"~","~~"),"*","~*"),"?","~?"),Q$3:Q771,1),0)=1,MAX(V$2:V770)+1,""),"")</f>
        <v/>
      </c>
      <c r="W771" s="25">
        <f>IF(V771="","",COUNTIFS($B$3:$B$1002,"="&amp;SUBSTITUTE(SUBSTITUTE(SUBSTITUTE(B771,"~","~~"),"*","~*"),"?","~?"),$Q$3:$Q$1002,1)*10000-V771)</f>
        <v/>
      </c>
      <c r="X771" s="25">
        <f>IF(Q771=1,IF(SUBSTITUTE(SUBSTITUTE(SUBSTITUTE(SUBSTITUTE(SUBSTITUTE(SUBSTITUTE(SUBSTITUTE(SUBSTITUTE(SUBSTITUTE(SUBSTITUTE(SUBSTITUTE(SUBSTITUTE(LOWER(TRIM(A771)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771)),"á","a"),"é","e"),"í","i"),"ó","o"),"ú","u"),"ü","u"),"ñ","n"),"à","a"),"è","e"),"ì","i"),"ò","o"),"ù","u")),"")</f>
        <v/>
      </c>
      <c r="Y771" s="25">
        <f>IF(X771="","",IF(IFERROR(COUNTIF(X$3:X771,"="&amp;SUBSTITUTE(SUBSTITUTE(SUBSTITUTE(X771,"~","~~"),"*","~*"),"?","~?")),0)=1,1,""))</f>
        <v/>
      </c>
      <c r="Z771" s="25">
        <f>IF(T771=1,MAX(Z$2:Z770)+1,"")</f>
        <v/>
      </c>
    </row>
    <row r="772">
      <c r="A772">
        <f>IF(A$2=0,"",IFERROR(TRIM(INDEX('Pegar calibracion'!$A$1:$BZ$1001,771,A$2)&amp;""),""))</f>
        <v/>
      </c>
      <c r="B772">
        <f>IF(B$2=0,"",IFERROR(TRIM(INDEX('Pegar calibracion'!$A$1:$BZ$1001,771,B$2)&amp;""),""))</f>
        <v/>
      </c>
      <c r="C772">
        <f>IF(C$2=0,"",IFERROR(TRIM(INDEX('Pegar calibracion'!$A$1:$BZ$1001,771,C$2)&amp;""),""))</f>
        <v/>
      </c>
      <c r="D772">
        <f>IF(D$2=0,"",IFERROR(TRIM(INDEX('Pegar calibracion'!$A$1:$BZ$1001,771,D$2)&amp;""),""))</f>
        <v/>
      </c>
      <c r="E772">
        <f>IF(E$2=0,"",IFERROR(TRIM(INDEX('Pegar calibracion'!$A$1:$BZ$1001,771,E$2)&amp;""),""))</f>
        <v/>
      </c>
      <c r="F772">
        <f>IF(F$2=0,"",IFERROR(TRIM(INDEX('Pegar calibracion'!$A$1:$BZ$1001,771,F$2)&amp;""),""))</f>
        <v/>
      </c>
      <c r="G772">
        <f>IF(G$2=0,"",IFERROR(TRIM(INDEX('Pegar calibracion'!$A$1:$BZ$1001,771,G$2)&amp;""),""))</f>
        <v/>
      </c>
      <c r="H772">
        <f>IF(H$2=0,"",IFERROR(TRIM(INDEX('Pegar calibracion'!$A$1:$BZ$1001,771,H$2)&amp;""),""))</f>
        <v/>
      </c>
      <c r="I772">
        <f>IF(I$2=0,"",IFERROR(TRIM(INDEX('Pegar calibracion'!$A$1:$BZ$1001,771,I$2)&amp;""),""))</f>
        <v/>
      </c>
      <c r="J772">
        <f>IF(J$2=0,"",IFERROR(TRIM(INDEX('Pegar calibracion'!$A$1:$BZ$1001,771,J$2)&amp;""),""))</f>
        <v/>
      </c>
      <c r="K772">
        <f>IF(K$2=0,"",IFERROR(TRIM(INDEX('Pegar calibracion'!$A$1:$BZ$1001,771,K$2)&amp;""),""))</f>
        <v/>
      </c>
      <c r="L772">
        <f>IF(L$2=0,"",IFERROR(TRIM(INDEX('Pegar calibracion'!$A$1:$BZ$1001,771,L$2)&amp;""),""))</f>
        <v/>
      </c>
      <c r="M772" s="25">
        <f>IF(D772="","",SUBSTITUTE(SUBSTITUTE(SUBSTITUTE(SUBSTITUTE(SUBSTITUTE(SUBSTITUTE(SUBSTITUTE(SUBSTITUTE(SUBSTITUTE(SUBSTITUTE(SUBSTITUTE(SUBSTITUTE(LOWER(TRIM(D772)),"á","a"),"é","e"),"í","i"),"ó","o"),"ú","u"),"ü","u"),"ñ","n"),"à","a"),"è","e"),"ì","i"),"ò","o"),"ù","u"))</f>
        <v/>
      </c>
      <c r="N772" s="25">
        <f>IF(F772="","",SUBSTITUTE(SUBSTITUTE(SUBSTITUTE(SUBSTITUTE(SUBSTITUTE(SUBSTITUTE(SUBSTITUTE(SUBSTITUTE(SUBSTITUTE(SUBSTITUTE(SUBSTITUTE(SUBSTITUTE(LOWER(TRIM(F772)),"á","a"),"é","e"),"í","i"),"ó","o"),"ú","u"),"ü","u"),"ñ","n"),"à","a"),"è","e"),"ì","i"),"ò","o"),"ù","u"))</f>
        <v/>
      </c>
      <c r="O772" s="25">
        <f>IF(M772="confiable",2,IF(M772="dudosa",1,IF(M772="no confiable",0,"")))</f>
        <v/>
      </c>
      <c r="P772" s="25">
        <f>IF(N772="confiable",2,IF(N772="dudosa",1,IF(N772="no confiable",0,"")))</f>
        <v/>
      </c>
      <c r="Q772" s="25">
        <f>IF(AND(ISNUMBER(O772),ISNUMBER(P772)),1,"")</f>
        <v/>
      </c>
      <c r="R772" s="25">
        <f>IF(Q772=1,IF(O772=P772,"Sí","No"),"")</f>
        <v/>
      </c>
      <c r="S772" s="25">
        <f>IF(Q772=1,IF(P772&lt;O772,"Más estricto",IF(P772&gt;O772,"Más permisivo","Igual")),"")</f>
        <v/>
      </c>
      <c r="T772" s="25">
        <f>IF(Q772=1,IF(ABS(O772-P772)=2,1,0),"")</f>
        <v/>
      </c>
      <c r="U772" s="25">
        <f>IF(H772="","","|"&amp;SUBSTITUTE(SUBSTITUTE(TRIM(H772)," |","|"),"| ","|")&amp;"|")</f>
        <v/>
      </c>
      <c r="V772" s="25">
        <f>IF(AND(Q772=1,B772&lt;&gt;""),IF(IFERROR(COUNTIFS(B$3:B772,"="&amp;SUBSTITUTE(SUBSTITUTE(SUBSTITUTE(B772,"~","~~"),"*","~*"),"?","~?"),Q$3:Q772,1),0)=1,MAX(V$2:V771)+1,""),"")</f>
        <v/>
      </c>
      <c r="W772" s="25">
        <f>IF(V772="","",COUNTIFS($B$3:$B$1002,"="&amp;SUBSTITUTE(SUBSTITUTE(SUBSTITUTE(B772,"~","~~"),"*","~*"),"?","~?"),$Q$3:$Q$1002,1)*10000-V772)</f>
        <v/>
      </c>
      <c r="X772" s="25">
        <f>IF(Q772=1,IF(SUBSTITUTE(SUBSTITUTE(SUBSTITUTE(SUBSTITUTE(SUBSTITUTE(SUBSTITUTE(SUBSTITUTE(SUBSTITUTE(SUBSTITUTE(SUBSTITUTE(SUBSTITUTE(SUBSTITUTE(LOWER(TRIM(A772)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772)),"á","a"),"é","e"),"í","i"),"ó","o"),"ú","u"),"ü","u"),"ñ","n"),"à","a"),"è","e"),"ì","i"),"ò","o"),"ù","u")),"")</f>
        <v/>
      </c>
      <c r="Y772" s="25">
        <f>IF(X772="","",IF(IFERROR(COUNTIF(X$3:X772,"="&amp;SUBSTITUTE(SUBSTITUTE(SUBSTITUTE(X772,"~","~~"),"*","~*"),"?","~?")),0)=1,1,""))</f>
        <v/>
      </c>
      <c r="Z772" s="25">
        <f>IF(T772=1,MAX(Z$2:Z771)+1,"")</f>
        <v/>
      </c>
    </row>
    <row r="773">
      <c r="A773">
        <f>IF(A$2=0,"",IFERROR(TRIM(INDEX('Pegar calibracion'!$A$1:$BZ$1001,772,A$2)&amp;""),""))</f>
        <v/>
      </c>
      <c r="B773">
        <f>IF(B$2=0,"",IFERROR(TRIM(INDEX('Pegar calibracion'!$A$1:$BZ$1001,772,B$2)&amp;""),""))</f>
        <v/>
      </c>
      <c r="C773">
        <f>IF(C$2=0,"",IFERROR(TRIM(INDEX('Pegar calibracion'!$A$1:$BZ$1001,772,C$2)&amp;""),""))</f>
        <v/>
      </c>
      <c r="D773">
        <f>IF(D$2=0,"",IFERROR(TRIM(INDEX('Pegar calibracion'!$A$1:$BZ$1001,772,D$2)&amp;""),""))</f>
        <v/>
      </c>
      <c r="E773">
        <f>IF(E$2=0,"",IFERROR(TRIM(INDEX('Pegar calibracion'!$A$1:$BZ$1001,772,E$2)&amp;""),""))</f>
        <v/>
      </c>
      <c r="F773">
        <f>IF(F$2=0,"",IFERROR(TRIM(INDEX('Pegar calibracion'!$A$1:$BZ$1001,772,F$2)&amp;""),""))</f>
        <v/>
      </c>
      <c r="G773">
        <f>IF(G$2=0,"",IFERROR(TRIM(INDEX('Pegar calibracion'!$A$1:$BZ$1001,772,G$2)&amp;""),""))</f>
        <v/>
      </c>
      <c r="H773">
        <f>IF(H$2=0,"",IFERROR(TRIM(INDEX('Pegar calibracion'!$A$1:$BZ$1001,772,H$2)&amp;""),""))</f>
        <v/>
      </c>
      <c r="I773">
        <f>IF(I$2=0,"",IFERROR(TRIM(INDEX('Pegar calibracion'!$A$1:$BZ$1001,772,I$2)&amp;""),""))</f>
        <v/>
      </c>
      <c r="J773">
        <f>IF(J$2=0,"",IFERROR(TRIM(INDEX('Pegar calibracion'!$A$1:$BZ$1001,772,J$2)&amp;""),""))</f>
        <v/>
      </c>
      <c r="K773">
        <f>IF(K$2=0,"",IFERROR(TRIM(INDEX('Pegar calibracion'!$A$1:$BZ$1001,772,K$2)&amp;""),""))</f>
        <v/>
      </c>
      <c r="L773">
        <f>IF(L$2=0,"",IFERROR(TRIM(INDEX('Pegar calibracion'!$A$1:$BZ$1001,772,L$2)&amp;""),""))</f>
        <v/>
      </c>
      <c r="M773" s="25">
        <f>IF(D773="","",SUBSTITUTE(SUBSTITUTE(SUBSTITUTE(SUBSTITUTE(SUBSTITUTE(SUBSTITUTE(SUBSTITUTE(SUBSTITUTE(SUBSTITUTE(SUBSTITUTE(SUBSTITUTE(SUBSTITUTE(LOWER(TRIM(D773)),"á","a"),"é","e"),"í","i"),"ó","o"),"ú","u"),"ü","u"),"ñ","n"),"à","a"),"è","e"),"ì","i"),"ò","o"),"ù","u"))</f>
        <v/>
      </c>
      <c r="N773" s="25">
        <f>IF(F773="","",SUBSTITUTE(SUBSTITUTE(SUBSTITUTE(SUBSTITUTE(SUBSTITUTE(SUBSTITUTE(SUBSTITUTE(SUBSTITUTE(SUBSTITUTE(SUBSTITUTE(SUBSTITUTE(SUBSTITUTE(LOWER(TRIM(F773)),"á","a"),"é","e"),"í","i"),"ó","o"),"ú","u"),"ü","u"),"ñ","n"),"à","a"),"è","e"),"ì","i"),"ò","o"),"ù","u"))</f>
        <v/>
      </c>
      <c r="O773" s="25">
        <f>IF(M773="confiable",2,IF(M773="dudosa",1,IF(M773="no confiable",0,"")))</f>
        <v/>
      </c>
      <c r="P773" s="25">
        <f>IF(N773="confiable",2,IF(N773="dudosa",1,IF(N773="no confiable",0,"")))</f>
        <v/>
      </c>
      <c r="Q773" s="25">
        <f>IF(AND(ISNUMBER(O773),ISNUMBER(P773)),1,"")</f>
        <v/>
      </c>
      <c r="R773" s="25">
        <f>IF(Q773=1,IF(O773=P773,"Sí","No"),"")</f>
        <v/>
      </c>
      <c r="S773" s="25">
        <f>IF(Q773=1,IF(P773&lt;O773,"Más estricto",IF(P773&gt;O773,"Más permisivo","Igual")),"")</f>
        <v/>
      </c>
      <c r="T773" s="25">
        <f>IF(Q773=1,IF(ABS(O773-P773)=2,1,0),"")</f>
        <v/>
      </c>
      <c r="U773" s="25">
        <f>IF(H773="","","|"&amp;SUBSTITUTE(SUBSTITUTE(TRIM(H773)," |","|"),"| ","|")&amp;"|")</f>
        <v/>
      </c>
      <c r="V773" s="25">
        <f>IF(AND(Q773=1,B773&lt;&gt;""),IF(IFERROR(COUNTIFS(B$3:B773,"="&amp;SUBSTITUTE(SUBSTITUTE(SUBSTITUTE(B773,"~","~~"),"*","~*"),"?","~?"),Q$3:Q773,1),0)=1,MAX(V$2:V772)+1,""),"")</f>
        <v/>
      </c>
      <c r="W773" s="25">
        <f>IF(V773="","",COUNTIFS($B$3:$B$1002,"="&amp;SUBSTITUTE(SUBSTITUTE(SUBSTITUTE(B773,"~","~~"),"*","~*"),"?","~?"),$Q$3:$Q$1002,1)*10000-V773)</f>
        <v/>
      </c>
      <c r="X773" s="25">
        <f>IF(Q773=1,IF(SUBSTITUTE(SUBSTITUTE(SUBSTITUTE(SUBSTITUTE(SUBSTITUTE(SUBSTITUTE(SUBSTITUTE(SUBSTITUTE(SUBSTITUTE(SUBSTITUTE(SUBSTITUTE(SUBSTITUTE(LOWER(TRIM(A773)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773)),"á","a"),"é","e"),"í","i"),"ó","o"),"ú","u"),"ü","u"),"ñ","n"),"à","a"),"è","e"),"ì","i"),"ò","o"),"ù","u")),"")</f>
        <v/>
      </c>
      <c r="Y773" s="25">
        <f>IF(X773="","",IF(IFERROR(COUNTIF(X$3:X773,"="&amp;SUBSTITUTE(SUBSTITUTE(SUBSTITUTE(X773,"~","~~"),"*","~*"),"?","~?")),0)=1,1,""))</f>
        <v/>
      </c>
      <c r="Z773" s="25">
        <f>IF(T773=1,MAX(Z$2:Z772)+1,"")</f>
        <v/>
      </c>
    </row>
    <row r="774">
      <c r="A774">
        <f>IF(A$2=0,"",IFERROR(TRIM(INDEX('Pegar calibracion'!$A$1:$BZ$1001,773,A$2)&amp;""),""))</f>
        <v/>
      </c>
      <c r="B774">
        <f>IF(B$2=0,"",IFERROR(TRIM(INDEX('Pegar calibracion'!$A$1:$BZ$1001,773,B$2)&amp;""),""))</f>
        <v/>
      </c>
      <c r="C774">
        <f>IF(C$2=0,"",IFERROR(TRIM(INDEX('Pegar calibracion'!$A$1:$BZ$1001,773,C$2)&amp;""),""))</f>
        <v/>
      </c>
      <c r="D774">
        <f>IF(D$2=0,"",IFERROR(TRIM(INDEX('Pegar calibracion'!$A$1:$BZ$1001,773,D$2)&amp;""),""))</f>
        <v/>
      </c>
      <c r="E774">
        <f>IF(E$2=0,"",IFERROR(TRIM(INDEX('Pegar calibracion'!$A$1:$BZ$1001,773,E$2)&amp;""),""))</f>
        <v/>
      </c>
      <c r="F774">
        <f>IF(F$2=0,"",IFERROR(TRIM(INDEX('Pegar calibracion'!$A$1:$BZ$1001,773,F$2)&amp;""),""))</f>
        <v/>
      </c>
      <c r="G774">
        <f>IF(G$2=0,"",IFERROR(TRIM(INDEX('Pegar calibracion'!$A$1:$BZ$1001,773,G$2)&amp;""),""))</f>
        <v/>
      </c>
      <c r="H774">
        <f>IF(H$2=0,"",IFERROR(TRIM(INDEX('Pegar calibracion'!$A$1:$BZ$1001,773,H$2)&amp;""),""))</f>
        <v/>
      </c>
      <c r="I774">
        <f>IF(I$2=0,"",IFERROR(TRIM(INDEX('Pegar calibracion'!$A$1:$BZ$1001,773,I$2)&amp;""),""))</f>
        <v/>
      </c>
      <c r="J774">
        <f>IF(J$2=0,"",IFERROR(TRIM(INDEX('Pegar calibracion'!$A$1:$BZ$1001,773,J$2)&amp;""),""))</f>
        <v/>
      </c>
      <c r="K774">
        <f>IF(K$2=0,"",IFERROR(TRIM(INDEX('Pegar calibracion'!$A$1:$BZ$1001,773,K$2)&amp;""),""))</f>
        <v/>
      </c>
      <c r="L774">
        <f>IF(L$2=0,"",IFERROR(TRIM(INDEX('Pegar calibracion'!$A$1:$BZ$1001,773,L$2)&amp;""),""))</f>
        <v/>
      </c>
      <c r="M774" s="25">
        <f>IF(D774="","",SUBSTITUTE(SUBSTITUTE(SUBSTITUTE(SUBSTITUTE(SUBSTITUTE(SUBSTITUTE(SUBSTITUTE(SUBSTITUTE(SUBSTITUTE(SUBSTITUTE(SUBSTITUTE(SUBSTITUTE(LOWER(TRIM(D774)),"á","a"),"é","e"),"í","i"),"ó","o"),"ú","u"),"ü","u"),"ñ","n"),"à","a"),"è","e"),"ì","i"),"ò","o"),"ù","u"))</f>
        <v/>
      </c>
      <c r="N774" s="25">
        <f>IF(F774="","",SUBSTITUTE(SUBSTITUTE(SUBSTITUTE(SUBSTITUTE(SUBSTITUTE(SUBSTITUTE(SUBSTITUTE(SUBSTITUTE(SUBSTITUTE(SUBSTITUTE(SUBSTITUTE(SUBSTITUTE(LOWER(TRIM(F774)),"á","a"),"é","e"),"í","i"),"ó","o"),"ú","u"),"ü","u"),"ñ","n"),"à","a"),"è","e"),"ì","i"),"ò","o"),"ù","u"))</f>
        <v/>
      </c>
      <c r="O774" s="25">
        <f>IF(M774="confiable",2,IF(M774="dudosa",1,IF(M774="no confiable",0,"")))</f>
        <v/>
      </c>
      <c r="P774" s="25">
        <f>IF(N774="confiable",2,IF(N774="dudosa",1,IF(N774="no confiable",0,"")))</f>
        <v/>
      </c>
      <c r="Q774" s="25">
        <f>IF(AND(ISNUMBER(O774),ISNUMBER(P774)),1,"")</f>
        <v/>
      </c>
      <c r="R774" s="25">
        <f>IF(Q774=1,IF(O774=P774,"Sí","No"),"")</f>
        <v/>
      </c>
      <c r="S774" s="25">
        <f>IF(Q774=1,IF(P774&lt;O774,"Más estricto",IF(P774&gt;O774,"Más permisivo","Igual")),"")</f>
        <v/>
      </c>
      <c r="T774" s="25">
        <f>IF(Q774=1,IF(ABS(O774-P774)=2,1,0),"")</f>
        <v/>
      </c>
      <c r="U774" s="25">
        <f>IF(H774="","","|"&amp;SUBSTITUTE(SUBSTITUTE(TRIM(H774)," |","|"),"| ","|")&amp;"|")</f>
        <v/>
      </c>
      <c r="V774" s="25">
        <f>IF(AND(Q774=1,B774&lt;&gt;""),IF(IFERROR(COUNTIFS(B$3:B774,"="&amp;SUBSTITUTE(SUBSTITUTE(SUBSTITUTE(B774,"~","~~"),"*","~*"),"?","~?"),Q$3:Q774,1),0)=1,MAX(V$2:V773)+1,""),"")</f>
        <v/>
      </c>
      <c r="W774" s="25">
        <f>IF(V774="","",COUNTIFS($B$3:$B$1002,"="&amp;SUBSTITUTE(SUBSTITUTE(SUBSTITUTE(B774,"~","~~"),"*","~*"),"?","~?"),$Q$3:$Q$1002,1)*10000-V774)</f>
        <v/>
      </c>
      <c r="X774" s="25">
        <f>IF(Q774=1,IF(SUBSTITUTE(SUBSTITUTE(SUBSTITUTE(SUBSTITUTE(SUBSTITUTE(SUBSTITUTE(SUBSTITUTE(SUBSTITUTE(SUBSTITUTE(SUBSTITUTE(SUBSTITUTE(SUBSTITUTE(LOWER(TRIM(A774)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774)),"á","a"),"é","e"),"í","i"),"ó","o"),"ú","u"),"ü","u"),"ñ","n"),"à","a"),"è","e"),"ì","i"),"ò","o"),"ù","u")),"")</f>
        <v/>
      </c>
      <c r="Y774" s="25">
        <f>IF(X774="","",IF(IFERROR(COUNTIF(X$3:X774,"="&amp;SUBSTITUTE(SUBSTITUTE(SUBSTITUTE(X774,"~","~~"),"*","~*"),"?","~?")),0)=1,1,""))</f>
        <v/>
      </c>
      <c r="Z774" s="25">
        <f>IF(T774=1,MAX(Z$2:Z773)+1,"")</f>
        <v/>
      </c>
    </row>
    <row r="775">
      <c r="A775">
        <f>IF(A$2=0,"",IFERROR(TRIM(INDEX('Pegar calibracion'!$A$1:$BZ$1001,774,A$2)&amp;""),""))</f>
        <v/>
      </c>
      <c r="B775">
        <f>IF(B$2=0,"",IFERROR(TRIM(INDEX('Pegar calibracion'!$A$1:$BZ$1001,774,B$2)&amp;""),""))</f>
        <v/>
      </c>
      <c r="C775">
        <f>IF(C$2=0,"",IFERROR(TRIM(INDEX('Pegar calibracion'!$A$1:$BZ$1001,774,C$2)&amp;""),""))</f>
        <v/>
      </c>
      <c r="D775">
        <f>IF(D$2=0,"",IFERROR(TRIM(INDEX('Pegar calibracion'!$A$1:$BZ$1001,774,D$2)&amp;""),""))</f>
        <v/>
      </c>
      <c r="E775">
        <f>IF(E$2=0,"",IFERROR(TRIM(INDEX('Pegar calibracion'!$A$1:$BZ$1001,774,E$2)&amp;""),""))</f>
        <v/>
      </c>
      <c r="F775">
        <f>IF(F$2=0,"",IFERROR(TRIM(INDEX('Pegar calibracion'!$A$1:$BZ$1001,774,F$2)&amp;""),""))</f>
        <v/>
      </c>
      <c r="G775">
        <f>IF(G$2=0,"",IFERROR(TRIM(INDEX('Pegar calibracion'!$A$1:$BZ$1001,774,G$2)&amp;""),""))</f>
        <v/>
      </c>
      <c r="H775">
        <f>IF(H$2=0,"",IFERROR(TRIM(INDEX('Pegar calibracion'!$A$1:$BZ$1001,774,H$2)&amp;""),""))</f>
        <v/>
      </c>
      <c r="I775">
        <f>IF(I$2=0,"",IFERROR(TRIM(INDEX('Pegar calibracion'!$A$1:$BZ$1001,774,I$2)&amp;""),""))</f>
        <v/>
      </c>
      <c r="J775">
        <f>IF(J$2=0,"",IFERROR(TRIM(INDEX('Pegar calibracion'!$A$1:$BZ$1001,774,J$2)&amp;""),""))</f>
        <v/>
      </c>
      <c r="K775">
        <f>IF(K$2=0,"",IFERROR(TRIM(INDEX('Pegar calibracion'!$A$1:$BZ$1001,774,K$2)&amp;""),""))</f>
        <v/>
      </c>
      <c r="L775">
        <f>IF(L$2=0,"",IFERROR(TRIM(INDEX('Pegar calibracion'!$A$1:$BZ$1001,774,L$2)&amp;""),""))</f>
        <v/>
      </c>
      <c r="M775" s="25">
        <f>IF(D775="","",SUBSTITUTE(SUBSTITUTE(SUBSTITUTE(SUBSTITUTE(SUBSTITUTE(SUBSTITUTE(SUBSTITUTE(SUBSTITUTE(SUBSTITUTE(SUBSTITUTE(SUBSTITUTE(SUBSTITUTE(LOWER(TRIM(D775)),"á","a"),"é","e"),"í","i"),"ó","o"),"ú","u"),"ü","u"),"ñ","n"),"à","a"),"è","e"),"ì","i"),"ò","o"),"ù","u"))</f>
        <v/>
      </c>
      <c r="N775" s="25">
        <f>IF(F775="","",SUBSTITUTE(SUBSTITUTE(SUBSTITUTE(SUBSTITUTE(SUBSTITUTE(SUBSTITUTE(SUBSTITUTE(SUBSTITUTE(SUBSTITUTE(SUBSTITUTE(SUBSTITUTE(SUBSTITUTE(LOWER(TRIM(F775)),"á","a"),"é","e"),"í","i"),"ó","o"),"ú","u"),"ü","u"),"ñ","n"),"à","a"),"è","e"),"ì","i"),"ò","o"),"ù","u"))</f>
        <v/>
      </c>
      <c r="O775" s="25">
        <f>IF(M775="confiable",2,IF(M775="dudosa",1,IF(M775="no confiable",0,"")))</f>
        <v/>
      </c>
      <c r="P775" s="25">
        <f>IF(N775="confiable",2,IF(N775="dudosa",1,IF(N775="no confiable",0,"")))</f>
        <v/>
      </c>
      <c r="Q775" s="25">
        <f>IF(AND(ISNUMBER(O775),ISNUMBER(P775)),1,"")</f>
        <v/>
      </c>
      <c r="R775" s="25">
        <f>IF(Q775=1,IF(O775=P775,"Sí","No"),"")</f>
        <v/>
      </c>
      <c r="S775" s="25">
        <f>IF(Q775=1,IF(P775&lt;O775,"Más estricto",IF(P775&gt;O775,"Más permisivo","Igual")),"")</f>
        <v/>
      </c>
      <c r="T775" s="25">
        <f>IF(Q775=1,IF(ABS(O775-P775)=2,1,0),"")</f>
        <v/>
      </c>
      <c r="U775" s="25">
        <f>IF(H775="","","|"&amp;SUBSTITUTE(SUBSTITUTE(TRIM(H775)," |","|"),"| ","|")&amp;"|")</f>
        <v/>
      </c>
      <c r="V775" s="25">
        <f>IF(AND(Q775=1,B775&lt;&gt;""),IF(IFERROR(COUNTIFS(B$3:B775,"="&amp;SUBSTITUTE(SUBSTITUTE(SUBSTITUTE(B775,"~","~~"),"*","~*"),"?","~?"),Q$3:Q775,1),0)=1,MAX(V$2:V774)+1,""),"")</f>
        <v/>
      </c>
      <c r="W775" s="25">
        <f>IF(V775="","",COUNTIFS($B$3:$B$1002,"="&amp;SUBSTITUTE(SUBSTITUTE(SUBSTITUTE(B775,"~","~~"),"*","~*"),"?","~?"),$Q$3:$Q$1002,1)*10000-V775)</f>
        <v/>
      </c>
      <c r="X775" s="25">
        <f>IF(Q775=1,IF(SUBSTITUTE(SUBSTITUTE(SUBSTITUTE(SUBSTITUTE(SUBSTITUTE(SUBSTITUTE(SUBSTITUTE(SUBSTITUTE(SUBSTITUTE(SUBSTITUTE(SUBSTITUTE(SUBSTITUTE(LOWER(TRIM(A775)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775)),"á","a"),"é","e"),"í","i"),"ó","o"),"ú","u"),"ü","u"),"ñ","n"),"à","a"),"è","e"),"ì","i"),"ò","o"),"ù","u")),"")</f>
        <v/>
      </c>
      <c r="Y775" s="25">
        <f>IF(X775="","",IF(IFERROR(COUNTIF(X$3:X775,"="&amp;SUBSTITUTE(SUBSTITUTE(SUBSTITUTE(X775,"~","~~"),"*","~*"),"?","~?")),0)=1,1,""))</f>
        <v/>
      </c>
      <c r="Z775" s="25">
        <f>IF(T775=1,MAX(Z$2:Z774)+1,"")</f>
        <v/>
      </c>
    </row>
    <row r="776">
      <c r="A776">
        <f>IF(A$2=0,"",IFERROR(TRIM(INDEX('Pegar calibracion'!$A$1:$BZ$1001,775,A$2)&amp;""),""))</f>
        <v/>
      </c>
      <c r="B776">
        <f>IF(B$2=0,"",IFERROR(TRIM(INDEX('Pegar calibracion'!$A$1:$BZ$1001,775,B$2)&amp;""),""))</f>
        <v/>
      </c>
      <c r="C776">
        <f>IF(C$2=0,"",IFERROR(TRIM(INDEX('Pegar calibracion'!$A$1:$BZ$1001,775,C$2)&amp;""),""))</f>
        <v/>
      </c>
      <c r="D776">
        <f>IF(D$2=0,"",IFERROR(TRIM(INDEX('Pegar calibracion'!$A$1:$BZ$1001,775,D$2)&amp;""),""))</f>
        <v/>
      </c>
      <c r="E776">
        <f>IF(E$2=0,"",IFERROR(TRIM(INDEX('Pegar calibracion'!$A$1:$BZ$1001,775,E$2)&amp;""),""))</f>
        <v/>
      </c>
      <c r="F776">
        <f>IF(F$2=0,"",IFERROR(TRIM(INDEX('Pegar calibracion'!$A$1:$BZ$1001,775,F$2)&amp;""),""))</f>
        <v/>
      </c>
      <c r="G776">
        <f>IF(G$2=0,"",IFERROR(TRIM(INDEX('Pegar calibracion'!$A$1:$BZ$1001,775,G$2)&amp;""),""))</f>
        <v/>
      </c>
      <c r="H776">
        <f>IF(H$2=0,"",IFERROR(TRIM(INDEX('Pegar calibracion'!$A$1:$BZ$1001,775,H$2)&amp;""),""))</f>
        <v/>
      </c>
      <c r="I776">
        <f>IF(I$2=0,"",IFERROR(TRIM(INDEX('Pegar calibracion'!$A$1:$BZ$1001,775,I$2)&amp;""),""))</f>
        <v/>
      </c>
      <c r="J776">
        <f>IF(J$2=0,"",IFERROR(TRIM(INDEX('Pegar calibracion'!$A$1:$BZ$1001,775,J$2)&amp;""),""))</f>
        <v/>
      </c>
      <c r="K776">
        <f>IF(K$2=0,"",IFERROR(TRIM(INDEX('Pegar calibracion'!$A$1:$BZ$1001,775,K$2)&amp;""),""))</f>
        <v/>
      </c>
      <c r="L776">
        <f>IF(L$2=0,"",IFERROR(TRIM(INDEX('Pegar calibracion'!$A$1:$BZ$1001,775,L$2)&amp;""),""))</f>
        <v/>
      </c>
      <c r="M776" s="25">
        <f>IF(D776="","",SUBSTITUTE(SUBSTITUTE(SUBSTITUTE(SUBSTITUTE(SUBSTITUTE(SUBSTITUTE(SUBSTITUTE(SUBSTITUTE(SUBSTITUTE(SUBSTITUTE(SUBSTITUTE(SUBSTITUTE(LOWER(TRIM(D776)),"á","a"),"é","e"),"í","i"),"ó","o"),"ú","u"),"ü","u"),"ñ","n"),"à","a"),"è","e"),"ì","i"),"ò","o"),"ù","u"))</f>
        <v/>
      </c>
      <c r="N776" s="25">
        <f>IF(F776="","",SUBSTITUTE(SUBSTITUTE(SUBSTITUTE(SUBSTITUTE(SUBSTITUTE(SUBSTITUTE(SUBSTITUTE(SUBSTITUTE(SUBSTITUTE(SUBSTITUTE(SUBSTITUTE(SUBSTITUTE(LOWER(TRIM(F776)),"á","a"),"é","e"),"í","i"),"ó","o"),"ú","u"),"ü","u"),"ñ","n"),"à","a"),"è","e"),"ì","i"),"ò","o"),"ù","u"))</f>
        <v/>
      </c>
      <c r="O776" s="25">
        <f>IF(M776="confiable",2,IF(M776="dudosa",1,IF(M776="no confiable",0,"")))</f>
        <v/>
      </c>
      <c r="P776" s="25">
        <f>IF(N776="confiable",2,IF(N776="dudosa",1,IF(N776="no confiable",0,"")))</f>
        <v/>
      </c>
      <c r="Q776" s="25">
        <f>IF(AND(ISNUMBER(O776),ISNUMBER(P776)),1,"")</f>
        <v/>
      </c>
      <c r="R776" s="25">
        <f>IF(Q776=1,IF(O776=P776,"Sí","No"),"")</f>
        <v/>
      </c>
      <c r="S776" s="25">
        <f>IF(Q776=1,IF(P776&lt;O776,"Más estricto",IF(P776&gt;O776,"Más permisivo","Igual")),"")</f>
        <v/>
      </c>
      <c r="T776" s="25">
        <f>IF(Q776=1,IF(ABS(O776-P776)=2,1,0),"")</f>
        <v/>
      </c>
      <c r="U776" s="25">
        <f>IF(H776="","","|"&amp;SUBSTITUTE(SUBSTITUTE(TRIM(H776)," |","|"),"| ","|")&amp;"|")</f>
        <v/>
      </c>
      <c r="V776" s="25">
        <f>IF(AND(Q776=1,B776&lt;&gt;""),IF(IFERROR(COUNTIFS(B$3:B776,"="&amp;SUBSTITUTE(SUBSTITUTE(SUBSTITUTE(B776,"~","~~"),"*","~*"),"?","~?"),Q$3:Q776,1),0)=1,MAX(V$2:V775)+1,""),"")</f>
        <v/>
      </c>
      <c r="W776" s="25">
        <f>IF(V776="","",COUNTIFS($B$3:$B$1002,"="&amp;SUBSTITUTE(SUBSTITUTE(SUBSTITUTE(B776,"~","~~"),"*","~*"),"?","~?"),$Q$3:$Q$1002,1)*10000-V776)</f>
        <v/>
      </c>
      <c r="X776" s="25">
        <f>IF(Q776=1,IF(SUBSTITUTE(SUBSTITUTE(SUBSTITUTE(SUBSTITUTE(SUBSTITUTE(SUBSTITUTE(SUBSTITUTE(SUBSTITUTE(SUBSTITUTE(SUBSTITUTE(SUBSTITUTE(SUBSTITUTE(LOWER(TRIM(A776)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776)),"á","a"),"é","e"),"í","i"),"ó","o"),"ú","u"),"ü","u"),"ñ","n"),"à","a"),"è","e"),"ì","i"),"ò","o"),"ù","u")),"")</f>
        <v/>
      </c>
      <c r="Y776" s="25">
        <f>IF(X776="","",IF(IFERROR(COUNTIF(X$3:X776,"="&amp;SUBSTITUTE(SUBSTITUTE(SUBSTITUTE(X776,"~","~~"),"*","~*"),"?","~?")),0)=1,1,""))</f>
        <v/>
      </c>
      <c r="Z776" s="25">
        <f>IF(T776=1,MAX(Z$2:Z775)+1,"")</f>
        <v/>
      </c>
    </row>
    <row r="777">
      <c r="A777">
        <f>IF(A$2=0,"",IFERROR(TRIM(INDEX('Pegar calibracion'!$A$1:$BZ$1001,776,A$2)&amp;""),""))</f>
        <v/>
      </c>
      <c r="B777">
        <f>IF(B$2=0,"",IFERROR(TRIM(INDEX('Pegar calibracion'!$A$1:$BZ$1001,776,B$2)&amp;""),""))</f>
        <v/>
      </c>
      <c r="C777">
        <f>IF(C$2=0,"",IFERROR(TRIM(INDEX('Pegar calibracion'!$A$1:$BZ$1001,776,C$2)&amp;""),""))</f>
        <v/>
      </c>
      <c r="D777">
        <f>IF(D$2=0,"",IFERROR(TRIM(INDEX('Pegar calibracion'!$A$1:$BZ$1001,776,D$2)&amp;""),""))</f>
        <v/>
      </c>
      <c r="E777">
        <f>IF(E$2=0,"",IFERROR(TRIM(INDEX('Pegar calibracion'!$A$1:$BZ$1001,776,E$2)&amp;""),""))</f>
        <v/>
      </c>
      <c r="F777">
        <f>IF(F$2=0,"",IFERROR(TRIM(INDEX('Pegar calibracion'!$A$1:$BZ$1001,776,F$2)&amp;""),""))</f>
        <v/>
      </c>
      <c r="G777">
        <f>IF(G$2=0,"",IFERROR(TRIM(INDEX('Pegar calibracion'!$A$1:$BZ$1001,776,G$2)&amp;""),""))</f>
        <v/>
      </c>
      <c r="H777">
        <f>IF(H$2=0,"",IFERROR(TRIM(INDEX('Pegar calibracion'!$A$1:$BZ$1001,776,H$2)&amp;""),""))</f>
        <v/>
      </c>
      <c r="I777">
        <f>IF(I$2=0,"",IFERROR(TRIM(INDEX('Pegar calibracion'!$A$1:$BZ$1001,776,I$2)&amp;""),""))</f>
        <v/>
      </c>
      <c r="J777">
        <f>IF(J$2=0,"",IFERROR(TRIM(INDEX('Pegar calibracion'!$A$1:$BZ$1001,776,J$2)&amp;""),""))</f>
        <v/>
      </c>
      <c r="K777">
        <f>IF(K$2=0,"",IFERROR(TRIM(INDEX('Pegar calibracion'!$A$1:$BZ$1001,776,K$2)&amp;""),""))</f>
        <v/>
      </c>
      <c r="L777">
        <f>IF(L$2=0,"",IFERROR(TRIM(INDEX('Pegar calibracion'!$A$1:$BZ$1001,776,L$2)&amp;""),""))</f>
        <v/>
      </c>
      <c r="M777" s="25">
        <f>IF(D777="","",SUBSTITUTE(SUBSTITUTE(SUBSTITUTE(SUBSTITUTE(SUBSTITUTE(SUBSTITUTE(SUBSTITUTE(SUBSTITUTE(SUBSTITUTE(SUBSTITUTE(SUBSTITUTE(SUBSTITUTE(LOWER(TRIM(D777)),"á","a"),"é","e"),"í","i"),"ó","o"),"ú","u"),"ü","u"),"ñ","n"),"à","a"),"è","e"),"ì","i"),"ò","o"),"ù","u"))</f>
        <v/>
      </c>
      <c r="N777" s="25">
        <f>IF(F777="","",SUBSTITUTE(SUBSTITUTE(SUBSTITUTE(SUBSTITUTE(SUBSTITUTE(SUBSTITUTE(SUBSTITUTE(SUBSTITUTE(SUBSTITUTE(SUBSTITUTE(SUBSTITUTE(SUBSTITUTE(LOWER(TRIM(F777)),"á","a"),"é","e"),"í","i"),"ó","o"),"ú","u"),"ü","u"),"ñ","n"),"à","a"),"è","e"),"ì","i"),"ò","o"),"ù","u"))</f>
        <v/>
      </c>
      <c r="O777" s="25">
        <f>IF(M777="confiable",2,IF(M777="dudosa",1,IF(M777="no confiable",0,"")))</f>
        <v/>
      </c>
      <c r="P777" s="25">
        <f>IF(N777="confiable",2,IF(N777="dudosa",1,IF(N777="no confiable",0,"")))</f>
        <v/>
      </c>
      <c r="Q777" s="25">
        <f>IF(AND(ISNUMBER(O777),ISNUMBER(P777)),1,"")</f>
        <v/>
      </c>
      <c r="R777" s="25">
        <f>IF(Q777=1,IF(O777=P777,"Sí","No"),"")</f>
        <v/>
      </c>
      <c r="S777" s="25">
        <f>IF(Q777=1,IF(P777&lt;O777,"Más estricto",IF(P777&gt;O777,"Más permisivo","Igual")),"")</f>
        <v/>
      </c>
      <c r="T777" s="25">
        <f>IF(Q777=1,IF(ABS(O777-P777)=2,1,0),"")</f>
        <v/>
      </c>
      <c r="U777" s="25">
        <f>IF(H777="","","|"&amp;SUBSTITUTE(SUBSTITUTE(TRIM(H777)," |","|"),"| ","|")&amp;"|")</f>
        <v/>
      </c>
      <c r="V777" s="25">
        <f>IF(AND(Q777=1,B777&lt;&gt;""),IF(IFERROR(COUNTIFS(B$3:B777,"="&amp;SUBSTITUTE(SUBSTITUTE(SUBSTITUTE(B777,"~","~~"),"*","~*"),"?","~?"),Q$3:Q777,1),0)=1,MAX(V$2:V776)+1,""),"")</f>
        <v/>
      </c>
      <c r="W777" s="25">
        <f>IF(V777="","",COUNTIFS($B$3:$B$1002,"="&amp;SUBSTITUTE(SUBSTITUTE(SUBSTITUTE(B777,"~","~~"),"*","~*"),"?","~?"),$Q$3:$Q$1002,1)*10000-V777)</f>
        <v/>
      </c>
      <c r="X777" s="25">
        <f>IF(Q777=1,IF(SUBSTITUTE(SUBSTITUTE(SUBSTITUTE(SUBSTITUTE(SUBSTITUTE(SUBSTITUTE(SUBSTITUTE(SUBSTITUTE(SUBSTITUTE(SUBSTITUTE(SUBSTITUTE(SUBSTITUTE(LOWER(TRIM(A777)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777)),"á","a"),"é","e"),"í","i"),"ó","o"),"ú","u"),"ü","u"),"ñ","n"),"à","a"),"è","e"),"ì","i"),"ò","o"),"ù","u")),"")</f>
        <v/>
      </c>
      <c r="Y777" s="25">
        <f>IF(X777="","",IF(IFERROR(COUNTIF(X$3:X777,"="&amp;SUBSTITUTE(SUBSTITUTE(SUBSTITUTE(X777,"~","~~"),"*","~*"),"?","~?")),0)=1,1,""))</f>
        <v/>
      </c>
      <c r="Z777" s="25">
        <f>IF(T777=1,MAX(Z$2:Z776)+1,"")</f>
        <v/>
      </c>
    </row>
    <row r="778">
      <c r="A778">
        <f>IF(A$2=0,"",IFERROR(TRIM(INDEX('Pegar calibracion'!$A$1:$BZ$1001,777,A$2)&amp;""),""))</f>
        <v/>
      </c>
      <c r="B778">
        <f>IF(B$2=0,"",IFERROR(TRIM(INDEX('Pegar calibracion'!$A$1:$BZ$1001,777,B$2)&amp;""),""))</f>
        <v/>
      </c>
      <c r="C778">
        <f>IF(C$2=0,"",IFERROR(TRIM(INDEX('Pegar calibracion'!$A$1:$BZ$1001,777,C$2)&amp;""),""))</f>
        <v/>
      </c>
      <c r="D778">
        <f>IF(D$2=0,"",IFERROR(TRIM(INDEX('Pegar calibracion'!$A$1:$BZ$1001,777,D$2)&amp;""),""))</f>
        <v/>
      </c>
      <c r="E778">
        <f>IF(E$2=0,"",IFERROR(TRIM(INDEX('Pegar calibracion'!$A$1:$BZ$1001,777,E$2)&amp;""),""))</f>
        <v/>
      </c>
      <c r="F778">
        <f>IF(F$2=0,"",IFERROR(TRIM(INDEX('Pegar calibracion'!$A$1:$BZ$1001,777,F$2)&amp;""),""))</f>
        <v/>
      </c>
      <c r="G778">
        <f>IF(G$2=0,"",IFERROR(TRIM(INDEX('Pegar calibracion'!$A$1:$BZ$1001,777,G$2)&amp;""),""))</f>
        <v/>
      </c>
      <c r="H778">
        <f>IF(H$2=0,"",IFERROR(TRIM(INDEX('Pegar calibracion'!$A$1:$BZ$1001,777,H$2)&amp;""),""))</f>
        <v/>
      </c>
      <c r="I778">
        <f>IF(I$2=0,"",IFERROR(TRIM(INDEX('Pegar calibracion'!$A$1:$BZ$1001,777,I$2)&amp;""),""))</f>
        <v/>
      </c>
      <c r="J778">
        <f>IF(J$2=0,"",IFERROR(TRIM(INDEX('Pegar calibracion'!$A$1:$BZ$1001,777,J$2)&amp;""),""))</f>
        <v/>
      </c>
      <c r="K778">
        <f>IF(K$2=0,"",IFERROR(TRIM(INDEX('Pegar calibracion'!$A$1:$BZ$1001,777,K$2)&amp;""),""))</f>
        <v/>
      </c>
      <c r="L778">
        <f>IF(L$2=0,"",IFERROR(TRIM(INDEX('Pegar calibracion'!$A$1:$BZ$1001,777,L$2)&amp;""),""))</f>
        <v/>
      </c>
      <c r="M778" s="25">
        <f>IF(D778="","",SUBSTITUTE(SUBSTITUTE(SUBSTITUTE(SUBSTITUTE(SUBSTITUTE(SUBSTITUTE(SUBSTITUTE(SUBSTITUTE(SUBSTITUTE(SUBSTITUTE(SUBSTITUTE(SUBSTITUTE(LOWER(TRIM(D778)),"á","a"),"é","e"),"í","i"),"ó","o"),"ú","u"),"ü","u"),"ñ","n"),"à","a"),"è","e"),"ì","i"),"ò","o"),"ù","u"))</f>
        <v/>
      </c>
      <c r="N778" s="25">
        <f>IF(F778="","",SUBSTITUTE(SUBSTITUTE(SUBSTITUTE(SUBSTITUTE(SUBSTITUTE(SUBSTITUTE(SUBSTITUTE(SUBSTITUTE(SUBSTITUTE(SUBSTITUTE(SUBSTITUTE(SUBSTITUTE(LOWER(TRIM(F778)),"á","a"),"é","e"),"í","i"),"ó","o"),"ú","u"),"ü","u"),"ñ","n"),"à","a"),"è","e"),"ì","i"),"ò","o"),"ù","u"))</f>
        <v/>
      </c>
      <c r="O778" s="25">
        <f>IF(M778="confiable",2,IF(M778="dudosa",1,IF(M778="no confiable",0,"")))</f>
        <v/>
      </c>
      <c r="P778" s="25">
        <f>IF(N778="confiable",2,IF(N778="dudosa",1,IF(N778="no confiable",0,"")))</f>
        <v/>
      </c>
      <c r="Q778" s="25">
        <f>IF(AND(ISNUMBER(O778),ISNUMBER(P778)),1,"")</f>
        <v/>
      </c>
      <c r="R778" s="25">
        <f>IF(Q778=1,IF(O778=P778,"Sí","No"),"")</f>
        <v/>
      </c>
      <c r="S778" s="25">
        <f>IF(Q778=1,IF(P778&lt;O778,"Más estricto",IF(P778&gt;O778,"Más permisivo","Igual")),"")</f>
        <v/>
      </c>
      <c r="T778" s="25">
        <f>IF(Q778=1,IF(ABS(O778-P778)=2,1,0),"")</f>
        <v/>
      </c>
      <c r="U778" s="25">
        <f>IF(H778="","","|"&amp;SUBSTITUTE(SUBSTITUTE(TRIM(H778)," |","|"),"| ","|")&amp;"|")</f>
        <v/>
      </c>
      <c r="V778" s="25">
        <f>IF(AND(Q778=1,B778&lt;&gt;""),IF(IFERROR(COUNTIFS(B$3:B778,"="&amp;SUBSTITUTE(SUBSTITUTE(SUBSTITUTE(B778,"~","~~"),"*","~*"),"?","~?"),Q$3:Q778,1),0)=1,MAX(V$2:V777)+1,""),"")</f>
        <v/>
      </c>
      <c r="W778" s="25">
        <f>IF(V778="","",COUNTIFS($B$3:$B$1002,"="&amp;SUBSTITUTE(SUBSTITUTE(SUBSTITUTE(B778,"~","~~"),"*","~*"),"?","~?"),$Q$3:$Q$1002,1)*10000-V778)</f>
        <v/>
      </c>
      <c r="X778" s="25">
        <f>IF(Q778=1,IF(SUBSTITUTE(SUBSTITUTE(SUBSTITUTE(SUBSTITUTE(SUBSTITUTE(SUBSTITUTE(SUBSTITUTE(SUBSTITUTE(SUBSTITUTE(SUBSTITUTE(SUBSTITUTE(SUBSTITUTE(LOWER(TRIM(A778)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778)),"á","a"),"é","e"),"í","i"),"ó","o"),"ú","u"),"ü","u"),"ñ","n"),"à","a"),"è","e"),"ì","i"),"ò","o"),"ù","u")),"")</f>
        <v/>
      </c>
      <c r="Y778" s="25">
        <f>IF(X778="","",IF(IFERROR(COUNTIF(X$3:X778,"="&amp;SUBSTITUTE(SUBSTITUTE(SUBSTITUTE(X778,"~","~~"),"*","~*"),"?","~?")),0)=1,1,""))</f>
        <v/>
      </c>
      <c r="Z778" s="25">
        <f>IF(T778=1,MAX(Z$2:Z777)+1,"")</f>
        <v/>
      </c>
    </row>
    <row r="779">
      <c r="A779">
        <f>IF(A$2=0,"",IFERROR(TRIM(INDEX('Pegar calibracion'!$A$1:$BZ$1001,778,A$2)&amp;""),""))</f>
        <v/>
      </c>
      <c r="B779">
        <f>IF(B$2=0,"",IFERROR(TRIM(INDEX('Pegar calibracion'!$A$1:$BZ$1001,778,B$2)&amp;""),""))</f>
        <v/>
      </c>
      <c r="C779">
        <f>IF(C$2=0,"",IFERROR(TRIM(INDEX('Pegar calibracion'!$A$1:$BZ$1001,778,C$2)&amp;""),""))</f>
        <v/>
      </c>
      <c r="D779">
        <f>IF(D$2=0,"",IFERROR(TRIM(INDEX('Pegar calibracion'!$A$1:$BZ$1001,778,D$2)&amp;""),""))</f>
        <v/>
      </c>
      <c r="E779">
        <f>IF(E$2=0,"",IFERROR(TRIM(INDEX('Pegar calibracion'!$A$1:$BZ$1001,778,E$2)&amp;""),""))</f>
        <v/>
      </c>
      <c r="F779">
        <f>IF(F$2=0,"",IFERROR(TRIM(INDEX('Pegar calibracion'!$A$1:$BZ$1001,778,F$2)&amp;""),""))</f>
        <v/>
      </c>
      <c r="G779">
        <f>IF(G$2=0,"",IFERROR(TRIM(INDEX('Pegar calibracion'!$A$1:$BZ$1001,778,G$2)&amp;""),""))</f>
        <v/>
      </c>
      <c r="H779">
        <f>IF(H$2=0,"",IFERROR(TRIM(INDEX('Pegar calibracion'!$A$1:$BZ$1001,778,H$2)&amp;""),""))</f>
        <v/>
      </c>
      <c r="I779">
        <f>IF(I$2=0,"",IFERROR(TRIM(INDEX('Pegar calibracion'!$A$1:$BZ$1001,778,I$2)&amp;""),""))</f>
        <v/>
      </c>
      <c r="J779">
        <f>IF(J$2=0,"",IFERROR(TRIM(INDEX('Pegar calibracion'!$A$1:$BZ$1001,778,J$2)&amp;""),""))</f>
        <v/>
      </c>
      <c r="K779">
        <f>IF(K$2=0,"",IFERROR(TRIM(INDEX('Pegar calibracion'!$A$1:$BZ$1001,778,K$2)&amp;""),""))</f>
        <v/>
      </c>
      <c r="L779">
        <f>IF(L$2=0,"",IFERROR(TRIM(INDEX('Pegar calibracion'!$A$1:$BZ$1001,778,L$2)&amp;""),""))</f>
        <v/>
      </c>
      <c r="M779" s="25">
        <f>IF(D779="","",SUBSTITUTE(SUBSTITUTE(SUBSTITUTE(SUBSTITUTE(SUBSTITUTE(SUBSTITUTE(SUBSTITUTE(SUBSTITUTE(SUBSTITUTE(SUBSTITUTE(SUBSTITUTE(SUBSTITUTE(LOWER(TRIM(D779)),"á","a"),"é","e"),"í","i"),"ó","o"),"ú","u"),"ü","u"),"ñ","n"),"à","a"),"è","e"),"ì","i"),"ò","o"),"ù","u"))</f>
        <v/>
      </c>
      <c r="N779" s="25">
        <f>IF(F779="","",SUBSTITUTE(SUBSTITUTE(SUBSTITUTE(SUBSTITUTE(SUBSTITUTE(SUBSTITUTE(SUBSTITUTE(SUBSTITUTE(SUBSTITUTE(SUBSTITUTE(SUBSTITUTE(SUBSTITUTE(LOWER(TRIM(F779)),"á","a"),"é","e"),"í","i"),"ó","o"),"ú","u"),"ü","u"),"ñ","n"),"à","a"),"è","e"),"ì","i"),"ò","o"),"ù","u"))</f>
        <v/>
      </c>
      <c r="O779" s="25">
        <f>IF(M779="confiable",2,IF(M779="dudosa",1,IF(M779="no confiable",0,"")))</f>
        <v/>
      </c>
      <c r="P779" s="25">
        <f>IF(N779="confiable",2,IF(N779="dudosa",1,IF(N779="no confiable",0,"")))</f>
        <v/>
      </c>
      <c r="Q779" s="25">
        <f>IF(AND(ISNUMBER(O779),ISNUMBER(P779)),1,"")</f>
        <v/>
      </c>
      <c r="R779" s="25">
        <f>IF(Q779=1,IF(O779=P779,"Sí","No"),"")</f>
        <v/>
      </c>
      <c r="S779" s="25">
        <f>IF(Q779=1,IF(P779&lt;O779,"Más estricto",IF(P779&gt;O779,"Más permisivo","Igual")),"")</f>
        <v/>
      </c>
      <c r="T779" s="25">
        <f>IF(Q779=1,IF(ABS(O779-P779)=2,1,0),"")</f>
        <v/>
      </c>
      <c r="U779" s="25">
        <f>IF(H779="","","|"&amp;SUBSTITUTE(SUBSTITUTE(TRIM(H779)," |","|"),"| ","|")&amp;"|")</f>
        <v/>
      </c>
      <c r="V779" s="25">
        <f>IF(AND(Q779=1,B779&lt;&gt;""),IF(IFERROR(COUNTIFS(B$3:B779,"="&amp;SUBSTITUTE(SUBSTITUTE(SUBSTITUTE(B779,"~","~~"),"*","~*"),"?","~?"),Q$3:Q779,1),0)=1,MAX(V$2:V778)+1,""),"")</f>
        <v/>
      </c>
      <c r="W779" s="25">
        <f>IF(V779="","",COUNTIFS($B$3:$B$1002,"="&amp;SUBSTITUTE(SUBSTITUTE(SUBSTITUTE(B779,"~","~~"),"*","~*"),"?","~?"),$Q$3:$Q$1002,1)*10000-V779)</f>
        <v/>
      </c>
      <c r="X779" s="25">
        <f>IF(Q779=1,IF(SUBSTITUTE(SUBSTITUTE(SUBSTITUTE(SUBSTITUTE(SUBSTITUTE(SUBSTITUTE(SUBSTITUTE(SUBSTITUTE(SUBSTITUTE(SUBSTITUTE(SUBSTITUTE(SUBSTITUTE(LOWER(TRIM(A779)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779)),"á","a"),"é","e"),"í","i"),"ó","o"),"ú","u"),"ü","u"),"ñ","n"),"à","a"),"è","e"),"ì","i"),"ò","o"),"ù","u")),"")</f>
        <v/>
      </c>
      <c r="Y779" s="25">
        <f>IF(X779="","",IF(IFERROR(COUNTIF(X$3:X779,"="&amp;SUBSTITUTE(SUBSTITUTE(SUBSTITUTE(X779,"~","~~"),"*","~*"),"?","~?")),0)=1,1,""))</f>
        <v/>
      </c>
      <c r="Z779" s="25">
        <f>IF(T779=1,MAX(Z$2:Z778)+1,"")</f>
        <v/>
      </c>
    </row>
    <row r="780">
      <c r="A780">
        <f>IF(A$2=0,"",IFERROR(TRIM(INDEX('Pegar calibracion'!$A$1:$BZ$1001,779,A$2)&amp;""),""))</f>
        <v/>
      </c>
      <c r="B780">
        <f>IF(B$2=0,"",IFERROR(TRIM(INDEX('Pegar calibracion'!$A$1:$BZ$1001,779,B$2)&amp;""),""))</f>
        <v/>
      </c>
      <c r="C780">
        <f>IF(C$2=0,"",IFERROR(TRIM(INDEX('Pegar calibracion'!$A$1:$BZ$1001,779,C$2)&amp;""),""))</f>
        <v/>
      </c>
      <c r="D780">
        <f>IF(D$2=0,"",IFERROR(TRIM(INDEX('Pegar calibracion'!$A$1:$BZ$1001,779,D$2)&amp;""),""))</f>
        <v/>
      </c>
      <c r="E780">
        <f>IF(E$2=0,"",IFERROR(TRIM(INDEX('Pegar calibracion'!$A$1:$BZ$1001,779,E$2)&amp;""),""))</f>
        <v/>
      </c>
      <c r="F780">
        <f>IF(F$2=0,"",IFERROR(TRIM(INDEX('Pegar calibracion'!$A$1:$BZ$1001,779,F$2)&amp;""),""))</f>
        <v/>
      </c>
      <c r="G780">
        <f>IF(G$2=0,"",IFERROR(TRIM(INDEX('Pegar calibracion'!$A$1:$BZ$1001,779,G$2)&amp;""),""))</f>
        <v/>
      </c>
      <c r="H780">
        <f>IF(H$2=0,"",IFERROR(TRIM(INDEX('Pegar calibracion'!$A$1:$BZ$1001,779,H$2)&amp;""),""))</f>
        <v/>
      </c>
      <c r="I780">
        <f>IF(I$2=0,"",IFERROR(TRIM(INDEX('Pegar calibracion'!$A$1:$BZ$1001,779,I$2)&amp;""),""))</f>
        <v/>
      </c>
      <c r="J780">
        <f>IF(J$2=0,"",IFERROR(TRIM(INDEX('Pegar calibracion'!$A$1:$BZ$1001,779,J$2)&amp;""),""))</f>
        <v/>
      </c>
      <c r="K780">
        <f>IF(K$2=0,"",IFERROR(TRIM(INDEX('Pegar calibracion'!$A$1:$BZ$1001,779,K$2)&amp;""),""))</f>
        <v/>
      </c>
      <c r="L780">
        <f>IF(L$2=0,"",IFERROR(TRIM(INDEX('Pegar calibracion'!$A$1:$BZ$1001,779,L$2)&amp;""),""))</f>
        <v/>
      </c>
      <c r="M780" s="25">
        <f>IF(D780="","",SUBSTITUTE(SUBSTITUTE(SUBSTITUTE(SUBSTITUTE(SUBSTITUTE(SUBSTITUTE(SUBSTITUTE(SUBSTITUTE(SUBSTITUTE(SUBSTITUTE(SUBSTITUTE(SUBSTITUTE(LOWER(TRIM(D780)),"á","a"),"é","e"),"í","i"),"ó","o"),"ú","u"),"ü","u"),"ñ","n"),"à","a"),"è","e"),"ì","i"),"ò","o"),"ù","u"))</f>
        <v/>
      </c>
      <c r="N780" s="25">
        <f>IF(F780="","",SUBSTITUTE(SUBSTITUTE(SUBSTITUTE(SUBSTITUTE(SUBSTITUTE(SUBSTITUTE(SUBSTITUTE(SUBSTITUTE(SUBSTITUTE(SUBSTITUTE(SUBSTITUTE(SUBSTITUTE(LOWER(TRIM(F780)),"á","a"),"é","e"),"í","i"),"ó","o"),"ú","u"),"ü","u"),"ñ","n"),"à","a"),"è","e"),"ì","i"),"ò","o"),"ù","u"))</f>
        <v/>
      </c>
      <c r="O780" s="25">
        <f>IF(M780="confiable",2,IF(M780="dudosa",1,IF(M780="no confiable",0,"")))</f>
        <v/>
      </c>
      <c r="P780" s="25">
        <f>IF(N780="confiable",2,IF(N780="dudosa",1,IF(N780="no confiable",0,"")))</f>
        <v/>
      </c>
      <c r="Q780" s="25">
        <f>IF(AND(ISNUMBER(O780),ISNUMBER(P780)),1,"")</f>
        <v/>
      </c>
      <c r="R780" s="25">
        <f>IF(Q780=1,IF(O780=P780,"Sí","No"),"")</f>
        <v/>
      </c>
      <c r="S780" s="25">
        <f>IF(Q780=1,IF(P780&lt;O780,"Más estricto",IF(P780&gt;O780,"Más permisivo","Igual")),"")</f>
        <v/>
      </c>
      <c r="T780" s="25">
        <f>IF(Q780=1,IF(ABS(O780-P780)=2,1,0),"")</f>
        <v/>
      </c>
      <c r="U780" s="25">
        <f>IF(H780="","","|"&amp;SUBSTITUTE(SUBSTITUTE(TRIM(H780)," |","|"),"| ","|")&amp;"|")</f>
        <v/>
      </c>
      <c r="V780" s="25">
        <f>IF(AND(Q780=1,B780&lt;&gt;""),IF(IFERROR(COUNTIFS(B$3:B780,"="&amp;SUBSTITUTE(SUBSTITUTE(SUBSTITUTE(B780,"~","~~"),"*","~*"),"?","~?"),Q$3:Q780,1),0)=1,MAX(V$2:V779)+1,""),"")</f>
        <v/>
      </c>
      <c r="W780" s="25">
        <f>IF(V780="","",COUNTIFS($B$3:$B$1002,"="&amp;SUBSTITUTE(SUBSTITUTE(SUBSTITUTE(B780,"~","~~"),"*","~*"),"?","~?"),$Q$3:$Q$1002,1)*10000-V780)</f>
        <v/>
      </c>
      <c r="X780" s="25">
        <f>IF(Q780=1,IF(SUBSTITUTE(SUBSTITUTE(SUBSTITUTE(SUBSTITUTE(SUBSTITUTE(SUBSTITUTE(SUBSTITUTE(SUBSTITUTE(SUBSTITUTE(SUBSTITUTE(SUBSTITUTE(SUBSTITUTE(LOWER(TRIM(A780)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780)),"á","a"),"é","e"),"í","i"),"ó","o"),"ú","u"),"ü","u"),"ñ","n"),"à","a"),"è","e"),"ì","i"),"ò","o"),"ù","u")),"")</f>
        <v/>
      </c>
      <c r="Y780" s="25">
        <f>IF(X780="","",IF(IFERROR(COUNTIF(X$3:X780,"="&amp;SUBSTITUTE(SUBSTITUTE(SUBSTITUTE(X780,"~","~~"),"*","~*"),"?","~?")),0)=1,1,""))</f>
        <v/>
      </c>
      <c r="Z780" s="25">
        <f>IF(T780=1,MAX(Z$2:Z779)+1,"")</f>
        <v/>
      </c>
    </row>
    <row r="781">
      <c r="A781">
        <f>IF(A$2=0,"",IFERROR(TRIM(INDEX('Pegar calibracion'!$A$1:$BZ$1001,780,A$2)&amp;""),""))</f>
        <v/>
      </c>
      <c r="B781">
        <f>IF(B$2=0,"",IFERROR(TRIM(INDEX('Pegar calibracion'!$A$1:$BZ$1001,780,B$2)&amp;""),""))</f>
        <v/>
      </c>
      <c r="C781">
        <f>IF(C$2=0,"",IFERROR(TRIM(INDEX('Pegar calibracion'!$A$1:$BZ$1001,780,C$2)&amp;""),""))</f>
        <v/>
      </c>
      <c r="D781">
        <f>IF(D$2=0,"",IFERROR(TRIM(INDEX('Pegar calibracion'!$A$1:$BZ$1001,780,D$2)&amp;""),""))</f>
        <v/>
      </c>
      <c r="E781">
        <f>IF(E$2=0,"",IFERROR(TRIM(INDEX('Pegar calibracion'!$A$1:$BZ$1001,780,E$2)&amp;""),""))</f>
        <v/>
      </c>
      <c r="F781">
        <f>IF(F$2=0,"",IFERROR(TRIM(INDEX('Pegar calibracion'!$A$1:$BZ$1001,780,F$2)&amp;""),""))</f>
        <v/>
      </c>
      <c r="G781">
        <f>IF(G$2=0,"",IFERROR(TRIM(INDEX('Pegar calibracion'!$A$1:$BZ$1001,780,G$2)&amp;""),""))</f>
        <v/>
      </c>
      <c r="H781">
        <f>IF(H$2=0,"",IFERROR(TRIM(INDEX('Pegar calibracion'!$A$1:$BZ$1001,780,H$2)&amp;""),""))</f>
        <v/>
      </c>
      <c r="I781">
        <f>IF(I$2=0,"",IFERROR(TRIM(INDEX('Pegar calibracion'!$A$1:$BZ$1001,780,I$2)&amp;""),""))</f>
        <v/>
      </c>
      <c r="J781">
        <f>IF(J$2=0,"",IFERROR(TRIM(INDEX('Pegar calibracion'!$A$1:$BZ$1001,780,J$2)&amp;""),""))</f>
        <v/>
      </c>
      <c r="K781">
        <f>IF(K$2=0,"",IFERROR(TRIM(INDEX('Pegar calibracion'!$A$1:$BZ$1001,780,K$2)&amp;""),""))</f>
        <v/>
      </c>
      <c r="L781">
        <f>IF(L$2=0,"",IFERROR(TRIM(INDEX('Pegar calibracion'!$A$1:$BZ$1001,780,L$2)&amp;""),""))</f>
        <v/>
      </c>
      <c r="M781" s="25">
        <f>IF(D781="","",SUBSTITUTE(SUBSTITUTE(SUBSTITUTE(SUBSTITUTE(SUBSTITUTE(SUBSTITUTE(SUBSTITUTE(SUBSTITUTE(SUBSTITUTE(SUBSTITUTE(SUBSTITUTE(SUBSTITUTE(LOWER(TRIM(D781)),"á","a"),"é","e"),"í","i"),"ó","o"),"ú","u"),"ü","u"),"ñ","n"),"à","a"),"è","e"),"ì","i"),"ò","o"),"ù","u"))</f>
        <v/>
      </c>
      <c r="N781" s="25">
        <f>IF(F781="","",SUBSTITUTE(SUBSTITUTE(SUBSTITUTE(SUBSTITUTE(SUBSTITUTE(SUBSTITUTE(SUBSTITUTE(SUBSTITUTE(SUBSTITUTE(SUBSTITUTE(SUBSTITUTE(SUBSTITUTE(LOWER(TRIM(F781)),"á","a"),"é","e"),"í","i"),"ó","o"),"ú","u"),"ü","u"),"ñ","n"),"à","a"),"è","e"),"ì","i"),"ò","o"),"ù","u"))</f>
        <v/>
      </c>
      <c r="O781" s="25">
        <f>IF(M781="confiable",2,IF(M781="dudosa",1,IF(M781="no confiable",0,"")))</f>
        <v/>
      </c>
      <c r="P781" s="25">
        <f>IF(N781="confiable",2,IF(N781="dudosa",1,IF(N781="no confiable",0,"")))</f>
        <v/>
      </c>
      <c r="Q781" s="25">
        <f>IF(AND(ISNUMBER(O781),ISNUMBER(P781)),1,"")</f>
        <v/>
      </c>
      <c r="R781" s="25">
        <f>IF(Q781=1,IF(O781=P781,"Sí","No"),"")</f>
        <v/>
      </c>
      <c r="S781" s="25">
        <f>IF(Q781=1,IF(P781&lt;O781,"Más estricto",IF(P781&gt;O781,"Más permisivo","Igual")),"")</f>
        <v/>
      </c>
      <c r="T781" s="25">
        <f>IF(Q781=1,IF(ABS(O781-P781)=2,1,0),"")</f>
        <v/>
      </c>
      <c r="U781" s="25">
        <f>IF(H781="","","|"&amp;SUBSTITUTE(SUBSTITUTE(TRIM(H781)," |","|"),"| ","|")&amp;"|")</f>
        <v/>
      </c>
      <c r="V781" s="25">
        <f>IF(AND(Q781=1,B781&lt;&gt;""),IF(IFERROR(COUNTIFS(B$3:B781,"="&amp;SUBSTITUTE(SUBSTITUTE(SUBSTITUTE(B781,"~","~~"),"*","~*"),"?","~?"),Q$3:Q781,1),0)=1,MAX(V$2:V780)+1,""),"")</f>
        <v/>
      </c>
      <c r="W781" s="25">
        <f>IF(V781="","",COUNTIFS($B$3:$B$1002,"="&amp;SUBSTITUTE(SUBSTITUTE(SUBSTITUTE(B781,"~","~~"),"*","~*"),"?","~?"),$Q$3:$Q$1002,1)*10000-V781)</f>
        <v/>
      </c>
      <c r="X781" s="25">
        <f>IF(Q781=1,IF(SUBSTITUTE(SUBSTITUTE(SUBSTITUTE(SUBSTITUTE(SUBSTITUTE(SUBSTITUTE(SUBSTITUTE(SUBSTITUTE(SUBSTITUTE(SUBSTITUTE(SUBSTITUTE(SUBSTITUTE(LOWER(TRIM(A781)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781)),"á","a"),"é","e"),"í","i"),"ó","o"),"ú","u"),"ü","u"),"ñ","n"),"à","a"),"è","e"),"ì","i"),"ò","o"),"ù","u")),"")</f>
        <v/>
      </c>
      <c r="Y781" s="25">
        <f>IF(X781="","",IF(IFERROR(COUNTIF(X$3:X781,"="&amp;SUBSTITUTE(SUBSTITUTE(SUBSTITUTE(X781,"~","~~"),"*","~*"),"?","~?")),0)=1,1,""))</f>
        <v/>
      </c>
      <c r="Z781" s="25">
        <f>IF(T781=1,MAX(Z$2:Z780)+1,"")</f>
        <v/>
      </c>
    </row>
    <row r="782">
      <c r="A782">
        <f>IF(A$2=0,"",IFERROR(TRIM(INDEX('Pegar calibracion'!$A$1:$BZ$1001,781,A$2)&amp;""),""))</f>
        <v/>
      </c>
      <c r="B782">
        <f>IF(B$2=0,"",IFERROR(TRIM(INDEX('Pegar calibracion'!$A$1:$BZ$1001,781,B$2)&amp;""),""))</f>
        <v/>
      </c>
      <c r="C782">
        <f>IF(C$2=0,"",IFERROR(TRIM(INDEX('Pegar calibracion'!$A$1:$BZ$1001,781,C$2)&amp;""),""))</f>
        <v/>
      </c>
      <c r="D782">
        <f>IF(D$2=0,"",IFERROR(TRIM(INDEX('Pegar calibracion'!$A$1:$BZ$1001,781,D$2)&amp;""),""))</f>
        <v/>
      </c>
      <c r="E782">
        <f>IF(E$2=0,"",IFERROR(TRIM(INDEX('Pegar calibracion'!$A$1:$BZ$1001,781,E$2)&amp;""),""))</f>
        <v/>
      </c>
      <c r="F782">
        <f>IF(F$2=0,"",IFERROR(TRIM(INDEX('Pegar calibracion'!$A$1:$BZ$1001,781,F$2)&amp;""),""))</f>
        <v/>
      </c>
      <c r="G782">
        <f>IF(G$2=0,"",IFERROR(TRIM(INDEX('Pegar calibracion'!$A$1:$BZ$1001,781,G$2)&amp;""),""))</f>
        <v/>
      </c>
      <c r="H782">
        <f>IF(H$2=0,"",IFERROR(TRIM(INDEX('Pegar calibracion'!$A$1:$BZ$1001,781,H$2)&amp;""),""))</f>
        <v/>
      </c>
      <c r="I782">
        <f>IF(I$2=0,"",IFERROR(TRIM(INDEX('Pegar calibracion'!$A$1:$BZ$1001,781,I$2)&amp;""),""))</f>
        <v/>
      </c>
      <c r="J782">
        <f>IF(J$2=0,"",IFERROR(TRIM(INDEX('Pegar calibracion'!$A$1:$BZ$1001,781,J$2)&amp;""),""))</f>
        <v/>
      </c>
      <c r="K782">
        <f>IF(K$2=0,"",IFERROR(TRIM(INDEX('Pegar calibracion'!$A$1:$BZ$1001,781,K$2)&amp;""),""))</f>
        <v/>
      </c>
      <c r="L782">
        <f>IF(L$2=0,"",IFERROR(TRIM(INDEX('Pegar calibracion'!$A$1:$BZ$1001,781,L$2)&amp;""),""))</f>
        <v/>
      </c>
      <c r="M782" s="25">
        <f>IF(D782="","",SUBSTITUTE(SUBSTITUTE(SUBSTITUTE(SUBSTITUTE(SUBSTITUTE(SUBSTITUTE(SUBSTITUTE(SUBSTITUTE(SUBSTITUTE(SUBSTITUTE(SUBSTITUTE(SUBSTITUTE(LOWER(TRIM(D782)),"á","a"),"é","e"),"í","i"),"ó","o"),"ú","u"),"ü","u"),"ñ","n"),"à","a"),"è","e"),"ì","i"),"ò","o"),"ù","u"))</f>
        <v/>
      </c>
      <c r="N782" s="25">
        <f>IF(F782="","",SUBSTITUTE(SUBSTITUTE(SUBSTITUTE(SUBSTITUTE(SUBSTITUTE(SUBSTITUTE(SUBSTITUTE(SUBSTITUTE(SUBSTITUTE(SUBSTITUTE(SUBSTITUTE(SUBSTITUTE(LOWER(TRIM(F782)),"á","a"),"é","e"),"í","i"),"ó","o"),"ú","u"),"ü","u"),"ñ","n"),"à","a"),"è","e"),"ì","i"),"ò","o"),"ù","u"))</f>
        <v/>
      </c>
      <c r="O782" s="25">
        <f>IF(M782="confiable",2,IF(M782="dudosa",1,IF(M782="no confiable",0,"")))</f>
        <v/>
      </c>
      <c r="P782" s="25">
        <f>IF(N782="confiable",2,IF(N782="dudosa",1,IF(N782="no confiable",0,"")))</f>
        <v/>
      </c>
      <c r="Q782" s="25">
        <f>IF(AND(ISNUMBER(O782),ISNUMBER(P782)),1,"")</f>
        <v/>
      </c>
      <c r="R782" s="25">
        <f>IF(Q782=1,IF(O782=P782,"Sí","No"),"")</f>
        <v/>
      </c>
      <c r="S782" s="25">
        <f>IF(Q782=1,IF(P782&lt;O782,"Más estricto",IF(P782&gt;O782,"Más permisivo","Igual")),"")</f>
        <v/>
      </c>
      <c r="T782" s="25">
        <f>IF(Q782=1,IF(ABS(O782-P782)=2,1,0),"")</f>
        <v/>
      </c>
      <c r="U782" s="25">
        <f>IF(H782="","","|"&amp;SUBSTITUTE(SUBSTITUTE(TRIM(H782)," |","|"),"| ","|")&amp;"|")</f>
        <v/>
      </c>
      <c r="V782" s="25">
        <f>IF(AND(Q782=1,B782&lt;&gt;""),IF(IFERROR(COUNTIFS(B$3:B782,"="&amp;SUBSTITUTE(SUBSTITUTE(SUBSTITUTE(B782,"~","~~"),"*","~*"),"?","~?"),Q$3:Q782,1),0)=1,MAX(V$2:V781)+1,""),"")</f>
        <v/>
      </c>
      <c r="W782" s="25">
        <f>IF(V782="","",COUNTIFS($B$3:$B$1002,"="&amp;SUBSTITUTE(SUBSTITUTE(SUBSTITUTE(B782,"~","~~"),"*","~*"),"?","~?"),$Q$3:$Q$1002,1)*10000-V782)</f>
        <v/>
      </c>
      <c r="X782" s="25">
        <f>IF(Q782=1,IF(SUBSTITUTE(SUBSTITUTE(SUBSTITUTE(SUBSTITUTE(SUBSTITUTE(SUBSTITUTE(SUBSTITUTE(SUBSTITUTE(SUBSTITUTE(SUBSTITUTE(SUBSTITUTE(SUBSTITUTE(LOWER(TRIM(A782)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782)),"á","a"),"é","e"),"í","i"),"ó","o"),"ú","u"),"ü","u"),"ñ","n"),"à","a"),"è","e"),"ì","i"),"ò","o"),"ù","u")),"")</f>
        <v/>
      </c>
      <c r="Y782" s="25">
        <f>IF(X782="","",IF(IFERROR(COUNTIF(X$3:X782,"="&amp;SUBSTITUTE(SUBSTITUTE(SUBSTITUTE(X782,"~","~~"),"*","~*"),"?","~?")),0)=1,1,""))</f>
        <v/>
      </c>
      <c r="Z782" s="25">
        <f>IF(T782=1,MAX(Z$2:Z781)+1,"")</f>
        <v/>
      </c>
    </row>
    <row r="783">
      <c r="A783">
        <f>IF(A$2=0,"",IFERROR(TRIM(INDEX('Pegar calibracion'!$A$1:$BZ$1001,782,A$2)&amp;""),""))</f>
        <v/>
      </c>
      <c r="B783">
        <f>IF(B$2=0,"",IFERROR(TRIM(INDEX('Pegar calibracion'!$A$1:$BZ$1001,782,B$2)&amp;""),""))</f>
        <v/>
      </c>
      <c r="C783">
        <f>IF(C$2=0,"",IFERROR(TRIM(INDEX('Pegar calibracion'!$A$1:$BZ$1001,782,C$2)&amp;""),""))</f>
        <v/>
      </c>
      <c r="D783">
        <f>IF(D$2=0,"",IFERROR(TRIM(INDEX('Pegar calibracion'!$A$1:$BZ$1001,782,D$2)&amp;""),""))</f>
        <v/>
      </c>
      <c r="E783">
        <f>IF(E$2=0,"",IFERROR(TRIM(INDEX('Pegar calibracion'!$A$1:$BZ$1001,782,E$2)&amp;""),""))</f>
        <v/>
      </c>
      <c r="F783">
        <f>IF(F$2=0,"",IFERROR(TRIM(INDEX('Pegar calibracion'!$A$1:$BZ$1001,782,F$2)&amp;""),""))</f>
        <v/>
      </c>
      <c r="G783">
        <f>IF(G$2=0,"",IFERROR(TRIM(INDEX('Pegar calibracion'!$A$1:$BZ$1001,782,G$2)&amp;""),""))</f>
        <v/>
      </c>
      <c r="H783">
        <f>IF(H$2=0,"",IFERROR(TRIM(INDEX('Pegar calibracion'!$A$1:$BZ$1001,782,H$2)&amp;""),""))</f>
        <v/>
      </c>
      <c r="I783">
        <f>IF(I$2=0,"",IFERROR(TRIM(INDEX('Pegar calibracion'!$A$1:$BZ$1001,782,I$2)&amp;""),""))</f>
        <v/>
      </c>
      <c r="J783">
        <f>IF(J$2=0,"",IFERROR(TRIM(INDEX('Pegar calibracion'!$A$1:$BZ$1001,782,J$2)&amp;""),""))</f>
        <v/>
      </c>
      <c r="K783">
        <f>IF(K$2=0,"",IFERROR(TRIM(INDEX('Pegar calibracion'!$A$1:$BZ$1001,782,K$2)&amp;""),""))</f>
        <v/>
      </c>
      <c r="L783">
        <f>IF(L$2=0,"",IFERROR(TRIM(INDEX('Pegar calibracion'!$A$1:$BZ$1001,782,L$2)&amp;""),""))</f>
        <v/>
      </c>
      <c r="M783" s="25">
        <f>IF(D783="","",SUBSTITUTE(SUBSTITUTE(SUBSTITUTE(SUBSTITUTE(SUBSTITUTE(SUBSTITUTE(SUBSTITUTE(SUBSTITUTE(SUBSTITUTE(SUBSTITUTE(SUBSTITUTE(SUBSTITUTE(LOWER(TRIM(D783)),"á","a"),"é","e"),"í","i"),"ó","o"),"ú","u"),"ü","u"),"ñ","n"),"à","a"),"è","e"),"ì","i"),"ò","o"),"ù","u"))</f>
        <v/>
      </c>
      <c r="N783" s="25">
        <f>IF(F783="","",SUBSTITUTE(SUBSTITUTE(SUBSTITUTE(SUBSTITUTE(SUBSTITUTE(SUBSTITUTE(SUBSTITUTE(SUBSTITUTE(SUBSTITUTE(SUBSTITUTE(SUBSTITUTE(SUBSTITUTE(LOWER(TRIM(F783)),"á","a"),"é","e"),"í","i"),"ó","o"),"ú","u"),"ü","u"),"ñ","n"),"à","a"),"è","e"),"ì","i"),"ò","o"),"ù","u"))</f>
        <v/>
      </c>
      <c r="O783" s="25">
        <f>IF(M783="confiable",2,IF(M783="dudosa",1,IF(M783="no confiable",0,"")))</f>
        <v/>
      </c>
      <c r="P783" s="25">
        <f>IF(N783="confiable",2,IF(N783="dudosa",1,IF(N783="no confiable",0,"")))</f>
        <v/>
      </c>
      <c r="Q783" s="25">
        <f>IF(AND(ISNUMBER(O783),ISNUMBER(P783)),1,"")</f>
        <v/>
      </c>
      <c r="R783" s="25">
        <f>IF(Q783=1,IF(O783=P783,"Sí","No"),"")</f>
        <v/>
      </c>
      <c r="S783" s="25">
        <f>IF(Q783=1,IF(P783&lt;O783,"Más estricto",IF(P783&gt;O783,"Más permisivo","Igual")),"")</f>
        <v/>
      </c>
      <c r="T783" s="25">
        <f>IF(Q783=1,IF(ABS(O783-P783)=2,1,0),"")</f>
        <v/>
      </c>
      <c r="U783" s="25">
        <f>IF(H783="","","|"&amp;SUBSTITUTE(SUBSTITUTE(TRIM(H783)," |","|"),"| ","|")&amp;"|")</f>
        <v/>
      </c>
      <c r="V783" s="25">
        <f>IF(AND(Q783=1,B783&lt;&gt;""),IF(IFERROR(COUNTIFS(B$3:B783,"="&amp;SUBSTITUTE(SUBSTITUTE(SUBSTITUTE(B783,"~","~~"),"*","~*"),"?","~?"),Q$3:Q783,1),0)=1,MAX(V$2:V782)+1,""),"")</f>
        <v/>
      </c>
      <c r="W783" s="25">
        <f>IF(V783="","",COUNTIFS($B$3:$B$1002,"="&amp;SUBSTITUTE(SUBSTITUTE(SUBSTITUTE(B783,"~","~~"),"*","~*"),"?","~?"),$Q$3:$Q$1002,1)*10000-V783)</f>
        <v/>
      </c>
      <c r="X783" s="25">
        <f>IF(Q783=1,IF(SUBSTITUTE(SUBSTITUTE(SUBSTITUTE(SUBSTITUTE(SUBSTITUTE(SUBSTITUTE(SUBSTITUTE(SUBSTITUTE(SUBSTITUTE(SUBSTITUTE(SUBSTITUTE(SUBSTITUTE(LOWER(TRIM(A783)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783)),"á","a"),"é","e"),"í","i"),"ó","o"),"ú","u"),"ü","u"),"ñ","n"),"à","a"),"è","e"),"ì","i"),"ò","o"),"ù","u")),"")</f>
        <v/>
      </c>
      <c r="Y783" s="25">
        <f>IF(X783="","",IF(IFERROR(COUNTIF(X$3:X783,"="&amp;SUBSTITUTE(SUBSTITUTE(SUBSTITUTE(X783,"~","~~"),"*","~*"),"?","~?")),0)=1,1,""))</f>
        <v/>
      </c>
      <c r="Z783" s="25">
        <f>IF(T783=1,MAX(Z$2:Z782)+1,"")</f>
        <v/>
      </c>
    </row>
    <row r="784">
      <c r="A784">
        <f>IF(A$2=0,"",IFERROR(TRIM(INDEX('Pegar calibracion'!$A$1:$BZ$1001,783,A$2)&amp;""),""))</f>
        <v/>
      </c>
      <c r="B784">
        <f>IF(B$2=0,"",IFERROR(TRIM(INDEX('Pegar calibracion'!$A$1:$BZ$1001,783,B$2)&amp;""),""))</f>
        <v/>
      </c>
      <c r="C784">
        <f>IF(C$2=0,"",IFERROR(TRIM(INDEX('Pegar calibracion'!$A$1:$BZ$1001,783,C$2)&amp;""),""))</f>
        <v/>
      </c>
      <c r="D784">
        <f>IF(D$2=0,"",IFERROR(TRIM(INDEX('Pegar calibracion'!$A$1:$BZ$1001,783,D$2)&amp;""),""))</f>
        <v/>
      </c>
      <c r="E784">
        <f>IF(E$2=0,"",IFERROR(TRIM(INDEX('Pegar calibracion'!$A$1:$BZ$1001,783,E$2)&amp;""),""))</f>
        <v/>
      </c>
      <c r="F784">
        <f>IF(F$2=0,"",IFERROR(TRIM(INDEX('Pegar calibracion'!$A$1:$BZ$1001,783,F$2)&amp;""),""))</f>
        <v/>
      </c>
      <c r="G784">
        <f>IF(G$2=0,"",IFERROR(TRIM(INDEX('Pegar calibracion'!$A$1:$BZ$1001,783,G$2)&amp;""),""))</f>
        <v/>
      </c>
      <c r="H784">
        <f>IF(H$2=0,"",IFERROR(TRIM(INDEX('Pegar calibracion'!$A$1:$BZ$1001,783,H$2)&amp;""),""))</f>
        <v/>
      </c>
      <c r="I784">
        <f>IF(I$2=0,"",IFERROR(TRIM(INDEX('Pegar calibracion'!$A$1:$BZ$1001,783,I$2)&amp;""),""))</f>
        <v/>
      </c>
      <c r="J784">
        <f>IF(J$2=0,"",IFERROR(TRIM(INDEX('Pegar calibracion'!$A$1:$BZ$1001,783,J$2)&amp;""),""))</f>
        <v/>
      </c>
      <c r="K784">
        <f>IF(K$2=0,"",IFERROR(TRIM(INDEX('Pegar calibracion'!$A$1:$BZ$1001,783,K$2)&amp;""),""))</f>
        <v/>
      </c>
      <c r="L784">
        <f>IF(L$2=0,"",IFERROR(TRIM(INDEX('Pegar calibracion'!$A$1:$BZ$1001,783,L$2)&amp;""),""))</f>
        <v/>
      </c>
      <c r="M784" s="25">
        <f>IF(D784="","",SUBSTITUTE(SUBSTITUTE(SUBSTITUTE(SUBSTITUTE(SUBSTITUTE(SUBSTITUTE(SUBSTITUTE(SUBSTITUTE(SUBSTITUTE(SUBSTITUTE(SUBSTITUTE(SUBSTITUTE(LOWER(TRIM(D784)),"á","a"),"é","e"),"í","i"),"ó","o"),"ú","u"),"ü","u"),"ñ","n"),"à","a"),"è","e"),"ì","i"),"ò","o"),"ù","u"))</f>
        <v/>
      </c>
      <c r="N784" s="25">
        <f>IF(F784="","",SUBSTITUTE(SUBSTITUTE(SUBSTITUTE(SUBSTITUTE(SUBSTITUTE(SUBSTITUTE(SUBSTITUTE(SUBSTITUTE(SUBSTITUTE(SUBSTITUTE(SUBSTITUTE(SUBSTITUTE(LOWER(TRIM(F784)),"á","a"),"é","e"),"í","i"),"ó","o"),"ú","u"),"ü","u"),"ñ","n"),"à","a"),"è","e"),"ì","i"),"ò","o"),"ù","u"))</f>
        <v/>
      </c>
      <c r="O784" s="25">
        <f>IF(M784="confiable",2,IF(M784="dudosa",1,IF(M784="no confiable",0,"")))</f>
        <v/>
      </c>
      <c r="P784" s="25">
        <f>IF(N784="confiable",2,IF(N784="dudosa",1,IF(N784="no confiable",0,"")))</f>
        <v/>
      </c>
      <c r="Q784" s="25">
        <f>IF(AND(ISNUMBER(O784),ISNUMBER(P784)),1,"")</f>
        <v/>
      </c>
      <c r="R784" s="25">
        <f>IF(Q784=1,IF(O784=P784,"Sí","No"),"")</f>
        <v/>
      </c>
      <c r="S784" s="25">
        <f>IF(Q784=1,IF(P784&lt;O784,"Más estricto",IF(P784&gt;O784,"Más permisivo","Igual")),"")</f>
        <v/>
      </c>
      <c r="T784" s="25">
        <f>IF(Q784=1,IF(ABS(O784-P784)=2,1,0),"")</f>
        <v/>
      </c>
      <c r="U784" s="25">
        <f>IF(H784="","","|"&amp;SUBSTITUTE(SUBSTITUTE(TRIM(H784)," |","|"),"| ","|")&amp;"|")</f>
        <v/>
      </c>
      <c r="V784" s="25">
        <f>IF(AND(Q784=1,B784&lt;&gt;""),IF(IFERROR(COUNTIFS(B$3:B784,"="&amp;SUBSTITUTE(SUBSTITUTE(SUBSTITUTE(B784,"~","~~"),"*","~*"),"?","~?"),Q$3:Q784,1),0)=1,MAX(V$2:V783)+1,""),"")</f>
        <v/>
      </c>
      <c r="W784" s="25">
        <f>IF(V784="","",COUNTIFS($B$3:$B$1002,"="&amp;SUBSTITUTE(SUBSTITUTE(SUBSTITUTE(B784,"~","~~"),"*","~*"),"?","~?"),$Q$3:$Q$1002,1)*10000-V784)</f>
        <v/>
      </c>
      <c r="X784" s="25">
        <f>IF(Q784=1,IF(SUBSTITUTE(SUBSTITUTE(SUBSTITUTE(SUBSTITUTE(SUBSTITUTE(SUBSTITUTE(SUBSTITUTE(SUBSTITUTE(SUBSTITUTE(SUBSTITUTE(SUBSTITUTE(SUBSTITUTE(LOWER(TRIM(A784)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784)),"á","a"),"é","e"),"í","i"),"ó","o"),"ú","u"),"ü","u"),"ñ","n"),"à","a"),"è","e"),"ì","i"),"ò","o"),"ù","u")),"")</f>
        <v/>
      </c>
      <c r="Y784" s="25">
        <f>IF(X784="","",IF(IFERROR(COUNTIF(X$3:X784,"="&amp;SUBSTITUTE(SUBSTITUTE(SUBSTITUTE(X784,"~","~~"),"*","~*"),"?","~?")),0)=1,1,""))</f>
        <v/>
      </c>
      <c r="Z784" s="25">
        <f>IF(T784=1,MAX(Z$2:Z783)+1,"")</f>
        <v/>
      </c>
    </row>
    <row r="785">
      <c r="A785">
        <f>IF(A$2=0,"",IFERROR(TRIM(INDEX('Pegar calibracion'!$A$1:$BZ$1001,784,A$2)&amp;""),""))</f>
        <v/>
      </c>
      <c r="B785">
        <f>IF(B$2=0,"",IFERROR(TRIM(INDEX('Pegar calibracion'!$A$1:$BZ$1001,784,B$2)&amp;""),""))</f>
        <v/>
      </c>
      <c r="C785">
        <f>IF(C$2=0,"",IFERROR(TRIM(INDEX('Pegar calibracion'!$A$1:$BZ$1001,784,C$2)&amp;""),""))</f>
        <v/>
      </c>
      <c r="D785">
        <f>IF(D$2=0,"",IFERROR(TRIM(INDEX('Pegar calibracion'!$A$1:$BZ$1001,784,D$2)&amp;""),""))</f>
        <v/>
      </c>
      <c r="E785">
        <f>IF(E$2=0,"",IFERROR(TRIM(INDEX('Pegar calibracion'!$A$1:$BZ$1001,784,E$2)&amp;""),""))</f>
        <v/>
      </c>
      <c r="F785">
        <f>IF(F$2=0,"",IFERROR(TRIM(INDEX('Pegar calibracion'!$A$1:$BZ$1001,784,F$2)&amp;""),""))</f>
        <v/>
      </c>
      <c r="G785">
        <f>IF(G$2=0,"",IFERROR(TRIM(INDEX('Pegar calibracion'!$A$1:$BZ$1001,784,G$2)&amp;""),""))</f>
        <v/>
      </c>
      <c r="H785">
        <f>IF(H$2=0,"",IFERROR(TRIM(INDEX('Pegar calibracion'!$A$1:$BZ$1001,784,H$2)&amp;""),""))</f>
        <v/>
      </c>
      <c r="I785">
        <f>IF(I$2=0,"",IFERROR(TRIM(INDEX('Pegar calibracion'!$A$1:$BZ$1001,784,I$2)&amp;""),""))</f>
        <v/>
      </c>
      <c r="J785">
        <f>IF(J$2=0,"",IFERROR(TRIM(INDEX('Pegar calibracion'!$A$1:$BZ$1001,784,J$2)&amp;""),""))</f>
        <v/>
      </c>
      <c r="K785">
        <f>IF(K$2=0,"",IFERROR(TRIM(INDEX('Pegar calibracion'!$A$1:$BZ$1001,784,K$2)&amp;""),""))</f>
        <v/>
      </c>
      <c r="L785">
        <f>IF(L$2=0,"",IFERROR(TRIM(INDEX('Pegar calibracion'!$A$1:$BZ$1001,784,L$2)&amp;""),""))</f>
        <v/>
      </c>
      <c r="M785" s="25">
        <f>IF(D785="","",SUBSTITUTE(SUBSTITUTE(SUBSTITUTE(SUBSTITUTE(SUBSTITUTE(SUBSTITUTE(SUBSTITUTE(SUBSTITUTE(SUBSTITUTE(SUBSTITUTE(SUBSTITUTE(SUBSTITUTE(LOWER(TRIM(D785)),"á","a"),"é","e"),"í","i"),"ó","o"),"ú","u"),"ü","u"),"ñ","n"),"à","a"),"è","e"),"ì","i"),"ò","o"),"ù","u"))</f>
        <v/>
      </c>
      <c r="N785" s="25">
        <f>IF(F785="","",SUBSTITUTE(SUBSTITUTE(SUBSTITUTE(SUBSTITUTE(SUBSTITUTE(SUBSTITUTE(SUBSTITUTE(SUBSTITUTE(SUBSTITUTE(SUBSTITUTE(SUBSTITUTE(SUBSTITUTE(LOWER(TRIM(F785)),"á","a"),"é","e"),"í","i"),"ó","o"),"ú","u"),"ü","u"),"ñ","n"),"à","a"),"è","e"),"ì","i"),"ò","o"),"ù","u"))</f>
        <v/>
      </c>
      <c r="O785" s="25">
        <f>IF(M785="confiable",2,IF(M785="dudosa",1,IF(M785="no confiable",0,"")))</f>
        <v/>
      </c>
      <c r="P785" s="25">
        <f>IF(N785="confiable",2,IF(N785="dudosa",1,IF(N785="no confiable",0,"")))</f>
        <v/>
      </c>
      <c r="Q785" s="25">
        <f>IF(AND(ISNUMBER(O785),ISNUMBER(P785)),1,"")</f>
        <v/>
      </c>
      <c r="R785" s="25">
        <f>IF(Q785=1,IF(O785=P785,"Sí","No"),"")</f>
        <v/>
      </c>
      <c r="S785" s="25">
        <f>IF(Q785=1,IF(P785&lt;O785,"Más estricto",IF(P785&gt;O785,"Más permisivo","Igual")),"")</f>
        <v/>
      </c>
      <c r="T785" s="25">
        <f>IF(Q785=1,IF(ABS(O785-P785)=2,1,0),"")</f>
        <v/>
      </c>
      <c r="U785" s="25">
        <f>IF(H785="","","|"&amp;SUBSTITUTE(SUBSTITUTE(TRIM(H785)," |","|"),"| ","|")&amp;"|")</f>
        <v/>
      </c>
      <c r="V785" s="25">
        <f>IF(AND(Q785=1,B785&lt;&gt;""),IF(IFERROR(COUNTIFS(B$3:B785,"="&amp;SUBSTITUTE(SUBSTITUTE(SUBSTITUTE(B785,"~","~~"),"*","~*"),"?","~?"),Q$3:Q785,1),0)=1,MAX(V$2:V784)+1,""),"")</f>
        <v/>
      </c>
      <c r="W785" s="25">
        <f>IF(V785="","",COUNTIFS($B$3:$B$1002,"="&amp;SUBSTITUTE(SUBSTITUTE(SUBSTITUTE(B785,"~","~~"),"*","~*"),"?","~?"),$Q$3:$Q$1002,1)*10000-V785)</f>
        <v/>
      </c>
      <c r="X785" s="25">
        <f>IF(Q785=1,IF(SUBSTITUTE(SUBSTITUTE(SUBSTITUTE(SUBSTITUTE(SUBSTITUTE(SUBSTITUTE(SUBSTITUTE(SUBSTITUTE(SUBSTITUTE(SUBSTITUTE(SUBSTITUTE(SUBSTITUTE(LOWER(TRIM(A785)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785)),"á","a"),"é","e"),"í","i"),"ó","o"),"ú","u"),"ü","u"),"ñ","n"),"à","a"),"è","e"),"ì","i"),"ò","o"),"ù","u")),"")</f>
        <v/>
      </c>
      <c r="Y785" s="25">
        <f>IF(X785="","",IF(IFERROR(COUNTIF(X$3:X785,"="&amp;SUBSTITUTE(SUBSTITUTE(SUBSTITUTE(X785,"~","~~"),"*","~*"),"?","~?")),0)=1,1,""))</f>
        <v/>
      </c>
      <c r="Z785" s="25">
        <f>IF(T785=1,MAX(Z$2:Z784)+1,"")</f>
        <v/>
      </c>
    </row>
    <row r="786">
      <c r="A786">
        <f>IF(A$2=0,"",IFERROR(TRIM(INDEX('Pegar calibracion'!$A$1:$BZ$1001,785,A$2)&amp;""),""))</f>
        <v/>
      </c>
      <c r="B786">
        <f>IF(B$2=0,"",IFERROR(TRIM(INDEX('Pegar calibracion'!$A$1:$BZ$1001,785,B$2)&amp;""),""))</f>
        <v/>
      </c>
      <c r="C786">
        <f>IF(C$2=0,"",IFERROR(TRIM(INDEX('Pegar calibracion'!$A$1:$BZ$1001,785,C$2)&amp;""),""))</f>
        <v/>
      </c>
      <c r="D786">
        <f>IF(D$2=0,"",IFERROR(TRIM(INDEX('Pegar calibracion'!$A$1:$BZ$1001,785,D$2)&amp;""),""))</f>
        <v/>
      </c>
      <c r="E786">
        <f>IF(E$2=0,"",IFERROR(TRIM(INDEX('Pegar calibracion'!$A$1:$BZ$1001,785,E$2)&amp;""),""))</f>
        <v/>
      </c>
      <c r="F786">
        <f>IF(F$2=0,"",IFERROR(TRIM(INDEX('Pegar calibracion'!$A$1:$BZ$1001,785,F$2)&amp;""),""))</f>
        <v/>
      </c>
      <c r="G786">
        <f>IF(G$2=0,"",IFERROR(TRIM(INDEX('Pegar calibracion'!$A$1:$BZ$1001,785,G$2)&amp;""),""))</f>
        <v/>
      </c>
      <c r="H786">
        <f>IF(H$2=0,"",IFERROR(TRIM(INDEX('Pegar calibracion'!$A$1:$BZ$1001,785,H$2)&amp;""),""))</f>
        <v/>
      </c>
      <c r="I786">
        <f>IF(I$2=0,"",IFERROR(TRIM(INDEX('Pegar calibracion'!$A$1:$BZ$1001,785,I$2)&amp;""),""))</f>
        <v/>
      </c>
      <c r="J786">
        <f>IF(J$2=0,"",IFERROR(TRIM(INDEX('Pegar calibracion'!$A$1:$BZ$1001,785,J$2)&amp;""),""))</f>
        <v/>
      </c>
      <c r="K786">
        <f>IF(K$2=0,"",IFERROR(TRIM(INDEX('Pegar calibracion'!$A$1:$BZ$1001,785,K$2)&amp;""),""))</f>
        <v/>
      </c>
      <c r="L786">
        <f>IF(L$2=0,"",IFERROR(TRIM(INDEX('Pegar calibracion'!$A$1:$BZ$1001,785,L$2)&amp;""),""))</f>
        <v/>
      </c>
      <c r="M786" s="25">
        <f>IF(D786="","",SUBSTITUTE(SUBSTITUTE(SUBSTITUTE(SUBSTITUTE(SUBSTITUTE(SUBSTITUTE(SUBSTITUTE(SUBSTITUTE(SUBSTITUTE(SUBSTITUTE(SUBSTITUTE(SUBSTITUTE(LOWER(TRIM(D786)),"á","a"),"é","e"),"í","i"),"ó","o"),"ú","u"),"ü","u"),"ñ","n"),"à","a"),"è","e"),"ì","i"),"ò","o"),"ù","u"))</f>
        <v/>
      </c>
      <c r="N786" s="25">
        <f>IF(F786="","",SUBSTITUTE(SUBSTITUTE(SUBSTITUTE(SUBSTITUTE(SUBSTITUTE(SUBSTITUTE(SUBSTITUTE(SUBSTITUTE(SUBSTITUTE(SUBSTITUTE(SUBSTITUTE(SUBSTITUTE(LOWER(TRIM(F786)),"á","a"),"é","e"),"í","i"),"ó","o"),"ú","u"),"ü","u"),"ñ","n"),"à","a"),"è","e"),"ì","i"),"ò","o"),"ù","u"))</f>
        <v/>
      </c>
      <c r="O786" s="25">
        <f>IF(M786="confiable",2,IF(M786="dudosa",1,IF(M786="no confiable",0,"")))</f>
        <v/>
      </c>
      <c r="P786" s="25">
        <f>IF(N786="confiable",2,IF(N786="dudosa",1,IF(N786="no confiable",0,"")))</f>
        <v/>
      </c>
      <c r="Q786" s="25">
        <f>IF(AND(ISNUMBER(O786),ISNUMBER(P786)),1,"")</f>
        <v/>
      </c>
      <c r="R786" s="25">
        <f>IF(Q786=1,IF(O786=P786,"Sí","No"),"")</f>
        <v/>
      </c>
      <c r="S786" s="25">
        <f>IF(Q786=1,IF(P786&lt;O786,"Más estricto",IF(P786&gt;O786,"Más permisivo","Igual")),"")</f>
        <v/>
      </c>
      <c r="T786" s="25">
        <f>IF(Q786=1,IF(ABS(O786-P786)=2,1,0),"")</f>
        <v/>
      </c>
      <c r="U786" s="25">
        <f>IF(H786="","","|"&amp;SUBSTITUTE(SUBSTITUTE(TRIM(H786)," |","|"),"| ","|")&amp;"|")</f>
        <v/>
      </c>
      <c r="V786" s="25">
        <f>IF(AND(Q786=1,B786&lt;&gt;""),IF(IFERROR(COUNTIFS(B$3:B786,"="&amp;SUBSTITUTE(SUBSTITUTE(SUBSTITUTE(B786,"~","~~"),"*","~*"),"?","~?"),Q$3:Q786,1),0)=1,MAX(V$2:V785)+1,""),"")</f>
        <v/>
      </c>
      <c r="W786" s="25">
        <f>IF(V786="","",COUNTIFS($B$3:$B$1002,"="&amp;SUBSTITUTE(SUBSTITUTE(SUBSTITUTE(B786,"~","~~"),"*","~*"),"?","~?"),$Q$3:$Q$1002,1)*10000-V786)</f>
        <v/>
      </c>
      <c r="X786" s="25">
        <f>IF(Q786=1,IF(SUBSTITUTE(SUBSTITUTE(SUBSTITUTE(SUBSTITUTE(SUBSTITUTE(SUBSTITUTE(SUBSTITUTE(SUBSTITUTE(SUBSTITUTE(SUBSTITUTE(SUBSTITUTE(SUBSTITUTE(LOWER(TRIM(A786)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786)),"á","a"),"é","e"),"í","i"),"ó","o"),"ú","u"),"ü","u"),"ñ","n"),"à","a"),"è","e"),"ì","i"),"ò","o"),"ù","u")),"")</f>
        <v/>
      </c>
      <c r="Y786" s="25">
        <f>IF(X786="","",IF(IFERROR(COUNTIF(X$3:X786,"="&amp;SUBSTITUTE(SUBSTITUTE(SUBSTITUTE(X786,"~","~~"),"*","~*"),"?","~?")),0)=1,1,""))</f>
        <v/>
      </c>
      <c r="Z786" s="25">
        <f>IF(T786=1,MAX(Z$2:Z785)+1,"")</f>
        <v/>
      </c>
    </row>
    <row r="787">
      <c r="A787">
        <f>IF(A$2=0,"",IFERROR(TRIM(INDEX('Pegar calibracion'!$A$1:$BZ$1001,786,A$2)&amp;""),""))</f>
        <v/>
      </c>
      <c r="B787">
        <f>IF(B$2=0,"",IFERROR(TRIM(INDEX('Pegar calibracion'!$A$1:$BZ$1001,786,B$2)&amp;""),""))</f>
        <v/>
      </c>
      <c r="C787">
        <f>IF(C$2=0,"",IFERROR(TRIM(INDEX('Pegar calibracion'!$A$1:$BZ$1001,786,C$2)&amp;""),""))</f>
        <v/>
      </c>
      <c r="D787">
        <f>IF(D$2=0,"",IFERROR(TRIM(INDEX('Pegar calibracion'!$A$1:$BZ$1001,786,D$2)&amp;""),""))</f>
        <v/>
      </c>
      <c r="E787">
        <f>IF(E$2=0,"",IFERROR(TRIM(INDEX('Pegar calibracion'!$A$1:$BZ$1001,786,E$2)&amp;""),""))</f>
        <v/>
      </c>
      <c r="F787">
        <f>IF(F$2=0,"",IFERROR(TRIM(INDEX('Pegar calibracion'!$A$1:$BZ$1001,786,F$2)&amp;""),""))</f>
        <v/>
      </c>
      <c r="G787">
        <f>IF(G$2=0,"",IFERROR(TRIM(INDEX('Pegar calibracion'!$A$1:$BZ$1001,786,G$2)&amp;""),""))</f>
        <v/>
      </c>
      <c r="H787">
        <f>IF(H$2=0,"",IFERROR(TRIM(INDEX('Pegar calibracion'!$A$1:$BZ$1001,786,H$2)&amp;""),""))</f>
        <v/>
      </c>
      <c r="I787">
        <f>IF(I$2=0,"",IFERROR(TRIM(INDEX('Pegar calibracion'!$A$1:$BZ$1001,786,I$2)&amp;""),""))</f>
        <v/>
      </c>
      <c r="J787">
        <f>IF(J$2=0,"",IFERROR(TRIM(INDEX('Pegar calibracion'!$A$1:$BZ$1001,786,J$2)&amp;""),""))</f>
        <v/>
      </c>
      <c r="K787">
        <f>IF(K$2=0,"",IFERROR(TRIM(INDEX('Pegar calibracion'!$A$1:$BZ$1001,786,K$2)&amp;""),""))</f>
        <v/>
      </c>
      <c r="L787">
        <f>IF(L$2=0,"",IFERROR(TRIM(INDEX('Pegar calibracion'!$A$1:$BZ$1001,786,L$2)&amp;""),""))</f>
        <v/>
      </c>
      <c r="M787" s="25">
        <f>IF(D787="","",SUBSTITUTE(SUBSTITUTE(SUBSTITUTE(SUBSTITUTE(SUBSTITUTE(SUBSTITUTE(SUBSTITUTE(SUBSTITUTE(SUBSTITUTE(SUBSTITUTE(SUBSTITUTE(SUBSTITUTE(LOWER(TRIM(D787)),"á","a"),"é","e"),"í","i"),"ó","o"),"ú","u"),"ü","u"),"ñ","n"),"à","a"),"è","e"),"ì","i"),"ò","o"),"ù","u"))</f>
        <v/>
      </c>
      <c r="N787" s="25">
        <f>IF(F787="","",SUBSTITUTE(SUBSTITUTE(SUBSTITUTE(SUBSTITUTE(SUBSTITUTE(SUBSTITUTE(SUBSTITUTE(SUBSTITUTE(SUBSTITUTE(SUBSTITUTE(SUBSTITUTE(SUBSTITUTE(LOWER(TRIM(F787)),"á","a"),"é","e"),"í","i"),"ó","o"),"ú","u"),"ü","u"),"ñ","n"),"à","a"),"è","e"),"ì","i"),"ò","o"),"ù","u"))</f>
        <v/>
      </c>
      <c r="O787" s="25">
        <f>IF(M787="confiable",2,IF(M787="dudosa",1,IF(M787="no confiable",0,"")))</f>
        <v/>
      </c>
      <c r="P787" s="25">
        <f>IF(N787="confiable",2,IF(N787="dudosa",1,IF(N787="no confiable",0,"")))</f>
        <v/>
      </c>
      <c r="Q787" s="25">
        <f>IF(AND(ISNUMBER(O787),ISNUMBER(P787)),1,"")</f>
        <v/>
      </c>
      <c r="R787" s="25">
        <f>IF(Q787=1,IF(O787=P787,"Sí","No"),"")</f>
        <v/>
      </c>
      <c r="S787" s="25">
        <f>IF(Q787=1,IF(P787&lt;O787,"Más estricto",IF(P787&gt;O787,"Más permisivo","Igual")),"")</f>
        <v/>
      </c>
      <c r="T787" s="25">
        <f>IF(Q787=1,IF(ABS(O787-P787)=2,1,0),"")</f>
        <v/>
      </c>
      <c r="U787" s="25">
        <f>IF(H787="","","|"&amp;SUBSTITUTE(SUBSTITUTE(TRIM(H787)," |","|"),"| ","|")&amp;"|")</f>
        <v/>
      </c>
      <c r="V787" s="25">
        <f>IF(AND(Q787=1,B787&lt;&gt;""),IF(IFERROR(COUNTIFS(B$3:B787,"="&amp;SUBSTITUTE(SUBSTITUTE(SUBSTITUTE(B787,"~","~~"),"*","~*"),"?","~?"),Q$3:Q787,1),0)=1,MAX(V$2:V786)+1,""),"")</f>
        <v/>
      </c>
      <c r="W787" s="25">
        <f>IF(V787="","",COUNTIFS($B$3:$B$1002,"="&amp;SUBSTITUTE(SUBSTITUTE(SUBSTITUTE(B787,"~","~~"),"*","~*"),"?","~?"),$Q$3:$Q$1002,1)*10000-V787)</f>
        <v/>
      </c>
      <c r="X787" s="25">
        <f>IF(Q787=1,IF(SUBSTITUTE(SUBSTITUTE(SUBSTITUTE(SUBSTITUTE(SUBSTITUTE(SUBSTITUTE(SUBSTITUTE(SUBSTITUTE(SUBSTITUTE(SUBSTITUTE(SUBSTITUTE(SUBSTITUTE(LOWER(TRIM(A787)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787)),"á","a"),"é","e"),"í","i"),"ó","o"),"ú","u"),"ü","u"),"ñ","n"),"à","a"),"è","e"),"ì","i"),"ò","o"),"ù","u")),"")</f>
        <v/>
      </c>
      <c r="Y787" s="25">
        <f>IF(X787="","",IF(IFERROR(COUNTIF(X$3:X787,"="&amp;SUBSTITUTE(SUBSTITUTE(SUBSTITUTE(X787,"~","~~"),"*","~*"),"?","~?")),0)=1,1,""))</f>
        <v/>
      </c>
      <c r="Z787" s="25">
        <f>IF(T787=1,MAX(Z$2:Z786)+1,"")</f>
        <v/>
      </c>
    </row>
    <row r="788">
      <c r="A788">
        <f>IF(A$2=0,"",IFERROR(TRIM(INDEX('Pegar calibracion'!$A$1:$BZ$1001,787,A$2)&amp;""),""))</f>
        <v/>
      </c>
      <c r="B788">
        <f>IF(B$2=0,"",IFERROR(TRIM(INDEX('Pegar calibracion'!$A$1:$BZ$1001,787,B$2)&amp;""),""))</f>
        <v/>
      </c>
      <c r="C788">
        <f>IF(C$2=0,"",IFERROR(TRIM(INDEX('Pegar calibracion'!$A$1:$BZ$1001,787,C$2)&amp;""),""))</f>
        <v/>
      </c>
      <c r="D788">
        <f>IF(D$2=0,"",IFERROR(TRIM(INDEX('Pegar calibracion'!$A$1:$BZ$1001,787,D$2)&amp;""),""))</f>
        <v/>
      </c>
      <c r="E788">
        <f>IF(E$2=0,"",IFERROR(TRIM(INDEX('Pegar calibracion'!$A$1:$BZ$1001,787,E$2)&amp;""),""))</f>
        <v/>
      </c>
      <c r="F788">
        <f>IF(F$2=0,"",IFERROR(TRIM(INDEX('Pegar calibracion'!$A$1:$BZ$1001,787,F$2)&amp;""),""))</f>
        <v/>
      </c>
      <c r="G788">
        <f>IF(G$2=0,"",IFERROR(TRIM(INDEX('Pegar calibracion'!$A$1:$BZ$1001,787,G$2)&amp;""),""))</f>
        <v/>
      </c>
      <c r="H788">
        <f>IF(H$2=0,"",IFERROR(TRIM(INDEX('Pegar calibracion'!$A$1:$BZ$1001,787,H$2)&amp;""),""))</f>
        <v/>
      </c>
      <c r="I788">
        <f>IF(I$2=0,"",IFERROR(TRIM(INDEX('Pegar calibracion'!$A$1:$BZ$1001,787,I$2)&amp;""),""))</f>
        <v/>
      </c>
      <c r="J788">
        <f>IF(J$2=0,"",IFERROR(TRIM(INDEX('Pegar calibracion'!$A$1:$BZ$1001,787,J$2)&amp;""),""))</f>
        <v/>
      </c>
      <c r="K788">
        <f>IF(K$2=0,"",IFERROR(TRIM(INDEX('Pegar calibracion'!$A$1:$BZ$1001,787,K$2)&amp;""),""))</f>
        <v/>
      </c>
      <c r="L788">
        <f>IF(L$2=0,"",IFERROR(TRIM(INDEX('Pegar calibracion'!$A$1:$BZ$1001,787,L$2)&amp;""),""))</f>
        <v/>
      </c>
      <c r="M788" s="25">
        <f>IF(D788="","",SUBSTITUTE(SUBSTITUTE(SUBSTITUTE(SUBSTITUTE(SUBSTITUTE(SUBSTITUTE(SUBSTITUTE(SUBSTITUTE(SUBSTITUTE(SUBSTITUTE(SUBSTITUTE(SUBSTITUTE(LOWER(TRIM(D788)),"á","a"),"é","e"),"í","i"),"ó","o"),"ú","u"),"ü","u"),"ñ","n"),"à","a"),"è","e"),"ì","i"),"ò","o"),"ù","u"))</f>
        <v/>
      </c>
      <c r="N788" s="25">
        <f>IF(F788="","",SUBSTITUTE(SUBSTITUTE(SUBSTITUTE(SUBSTITUTE(SUBSTITUTE(SUBSTITUTE(SUBSTITUTE(SUBSTITUTE(SUBSTITUTE(SUBSTITUTE(SUBSTITUTE(SUBSTITUTE(LOWER(TRIM(F788)),"á","a"),"é","e"),"í","i"),"ó","o"),"ú","u"),"ü","u"),"ñ","n"),"à","a"),"è","e"),"ì","i"),"ò","o"),"ù","u"))</f>
        <v/>
      </c>
      <c r="O788" s="25">
        <f>IF(M788="confiable",2,IF(M788="dudosa",1,IF(M788="no confiable",0,"")))</f>
        <v/>
      </c>
      <c r="P788" s="25">
        <f>IF(N788="confiable",2,IF(N788="dudosa",1,IF(N788="no confiable",0,"")))</f>
        <v/>
      </c>
      <c r="Q788" s="25">
        <f>IF(AND(ISNUMBER(O788),ISNUMBER(P788)),1,"")</f>
        <v/>
      </c>
      <c r="R788" s="25">
        <f>IF(Q788=1,IF(O788=P788,"Sí","No"),"")</f>
        <v/>
      </c>
      <c r="S788" s="25">
        <f>IF(Q788=1,IF(P788&lt;O788,"Más estricto",IF(P788&gt;O788,"Más permisivo","Igual")),"")</f>
        <v/>
      </c>
      <c r="T788" s="25">
        <f>IF(Q788=1,IF(ABS(O788-P788)=2,1,0),"")</f>
        <v/>
      </c>
      <c r="U788" s="25">
        <f>IF(H788="","","|"&amp;SUBSTITUTE(SUBSTITUTE(TRIM(H788)," |","|"),"| ","|")&amp;"|")</f>
        <v/>
      </c>
      <c r="V788" s="25">
        <f>IF(AND(Q788=1,B788&lt;&gt;""),IF(IFERROR(COUNTIFS(B$3:B788,"="&amp;SUBSTITUTE(SUBSTITUTE(SUBSTITUTE(B788,"~","~~"),"*","~*"),"?","~?"),Q$3:Q788,1),0)=1,MAX(V$2:V787)+1,""),"")</f>
        <v/>
      </c>
      <c r="W788" s="25">
        <f>IF(V788="","",COUNTIFS($B$3:$B$1002,"="&amp;SUBSTITUTE(SUBSTITUTE(SUBSTITUTE(B788,"~","~~"),"*","~*"),"?","~?"),$Q$3:$Q$1002,1)*10000-V788)</f>
        <v/>
      </c>
      <c r="X788" s="25">
        <f>IF(Q788=1,IF(SUBSTITUTE(SUBSTITUTE(SUBSTITUTE(SUBSTITUTE(SUBSTITUTE(SUBSTITUTE(SUBSTITUTE(SUBSTITUTE(SUBSTITUTE(SUBSTITUTE(SUBSTITUTE(SUBSTITUTE(LOWER(TRIM(A788)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788)),"á","a"),"é","e"),"í","i"),"ó","o"),"ú","u"),"ü","u"),"ñ","n"),"à","a"),"è","e"),"ì","i"),"ò","o"),"ù","u")),"")</f>
        <v/>
      </c>
      <c r="Y788" s="25">
        <f>IF(X788="","",IF(IFERROR(COUNTIF(X$3:X788,"="&amp;SUBSTITUTE(SUBSTITUTE(SUBSTITUTE(X788,"~","~~"),"*","~*"),"?","~?")),0)=1,1,""))</f>
        <v/>
      </c>
      <c r="Z788" s="25">
        <f>IF(T788=1,MAX(Z$2:Z787)+1,"")</f>
        <v/>
      </c>
    </row>
    <row r="789">
      <c r="A789">
        <f>IF(A$2=0,"",IFERROR(TRIM(INDEX('Pegar calibracion'!$A$1:$BZ$1001,788,A$2)&amp;""),""))</f>
        <v/>
      </c>
      <c r="B789">
        <f>IF(B$2=0,"",IFERROR(TRIM(INDEX('Pegar calibracion'!$A$1:$BZ$1001,788,B$2)&amp;""),""))</f>
        <v/>
      </c>
      <c r="C789">
        <f>IF(C$2=0,"",IFERROR(TRIM(INDEX('Pegar calibracion'!$A$1:$BZ$1001,788,C$2)&amp;""),""))</f>
        <v/>
      </c>
      <c r="D789">
        <f>IF(D$2=0,"",IFERROR(TRIM(INDEX('Pegar calibracion'!$A$1:$BZ$1001,788,D$2)&amp;""),""))</f>
        <v/>
      </c>
      <c r="E789">
        <f>IF(E$2=0,"",IFERROR(TRIM(INDEX('Pegar calibracion'!$A$1:$BZ$1001,788,E$2)&amp;""),""))</f>
        <v/>
      </c>
      <c r="F789">
        <f>IF(F$2=0,"",IFERROR(TRIM(INDEX('Pegar calibracion'!$A$1:$BZ$1001,788,F$2)&amp;""),""))</f>
        <v/>
      </c>
      <c r="G789">
        <f>IF(G$2=0,"",IFERROR(TRIM(INDEX('Pegar calibracion'!$A$1:$BZ$1001,788,G$2)&amp;""),""))</f>
        <v/>
      </c>
      <c r="H789">
        <f>IF(H$2=0,"",IFERROR(TRIM(INDEX('Pegar calibracion'!$A$1:$BZ$1001,788,H$2)&amp;""),""))</f>
        <v/>
      </c>
      <c r="I789">
        <f>IF(I$2=0,"",IFERROR(TRIM(INDEX('Pegar calibracion'!$A$1:$BZ$1001,788,I$2)&amp;""),""))</f>
        <v/>
      </c>
      <c r="J789">
        <f>IF(J$2=0,"",IFERROR(TRIM(INDEX('Pegar calibracion'!$A$1:$BZ$1001,788,J$2)&amp;""),""))</f>
        <v/>
      </c>
      <c r="K789">
        <f>IF(K$2=0,"",IFERROR(TRIM(INDEX('Pegar calibracion'!$A$1:$BZ$1001,788,K$2)&amp;""),""))</f>
        <v/>
      </c>
      <c r="L789">
        <f>IF(L$2=0,"",IFERROR(TRIM(INDEX('Pegar calibracion'!$A$1:$BZ$1001,788,L$2)&amp;""),""))</f>
        <v/>
      </c>
      <c r="M789" s="25">
        <f>IF(D789="","",SUBSTITUTE(SUBSTITUTE(SUBSTITUTE(SUBSTITUTE(SUBSTITUTE(SUBSTITUTE(SUBSTITUTE(SUBSTITUTE(SUBSTITUTE(SUBSTITUTE(SUBSTITUTE(SUBSTITUTE(LOWER(TRIM(D789)),"á","a"),"é","e"),"í","i"),"ó","o"),"ú","u"),"ü","u"),"ñ","n"),"à","a"),"è","e"),"ì","i"),"ò","o"),"ù","u"))</f>
        <v/>
      </c>
      <c r="N789" s="25">
        <f>IF(F789="","",SUBSTITUTE(SUBSTITUTE(SUBSTITUTE(SUBSTITUTE(SUBSTITUTE(SUBSTITUTE(SUBSTITUTE(SUBSTITUTE(SUBSTITUTE(SUBSTITUTE(SUBSTITUTE(SUBSTITUTE(LOWER(TRIM(F789)),"á","a"),"é","e"),"í","i"),"ó","o"),"ú","u"),"ü","u"),"ñ","n"),"à","a"),"è","e"),"ì","i"),"ò","o"),"ù","u"))</f>
        <v/>
      </c>
      <c r="O789" s="25">
        <f>IF(M789="confiable",2,IF(M789="dudosa",1,IF(M789="no confiable",0,"")))</f>
        <v/>
      </c>
      <c r="P789" s="25">
        <f>IF(N789="confiable",2,IF(N789="dudosa",1,IF(N789="no confiable",0,"")))</f>
        <v/>
      </c>
      <c r="Q789" s="25">
        <f>IF(AND(ISNUMBER(O789),ISNUMBER(P789)),1,"")</f>
        <v/>
      </c>
      <c r="R789" s="25">
        <f>IF(Q789=1,IF(O789=P789,"Sí","No"),"")</f>
        <v/>
      </c>
      <c r="S789" s="25">
        <f>IF(Q789=1,IF(P789&lt;O789,"Más estricto",IF(P789&gt;O789,"Más permisivo","Igual")),"")</f>
        <v/>
      </c>
      <c r="T789" s="25">
        <f>IF(Q789=1,IF(ABS(O789-P789)=2,1,0),"")</f>
        <v/>
      </c>
      <c r="U789" s="25">
        <f>IF(H789="","","|"&amp;SUBSTITUTE(SUBSTITUTE(TRIM(H789)," |","|"),"| ","|")&amp;"|")</f>
        <v/>
      </c>
      <c r="V789" s="25">
        <f>IF(AND(Q789=1,B789&lt;&gt;""),IF(IFERROR(COUNTIFS(B$3:B789,"="&amp;SUBSTITUTE(SUBSTITUTE(SUBSTITUTE(B789,"~","~~"),"*","~*"),"?","~?"),Q$3:Q789,1),0)=1,MAX(V$2:V788)+1,""),"")</f>
        <v/>
      </c>
      <c r="W789" s="25">
        <f>IF(V789="","",COUNTIFS($B$3:$B$1002,"="&amp;SUBSTITUTE(SUBSTITUTE(SUBSTITUTE(B789,"~","~~"),"*","~*"),"?","~?"),$Q$3:$Q$1002,1)*10000-V789)</f>
        <v/>
      </c>
      <c r="X789" s="25">
        <f>IF(Q789=1,IF(SUBSTITUTE(SUBSTITUTE(SUBSTITUTE(SUBSTITUTE(SUBSTITUTE(SUBSTITUTE(SUBSTITUTE(SUBSTITUTE(SUBSTITUTE(SUBSTITUTE(SUBSTITUTE(SUBSTITUTE(LOWER(TRIM(A789)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789)),"á","a"),"é","e"),"í","i"),"ó","o"),"ú","u"),"ü","u"),"ñ","n"),"à","a"),"è","e"),"ì","i"),"ò","o"),"ù","u")),"")</f>
        <v/>
      </c>
      <c r="Y789" s="25">
        <f>IF(X789="","",IF(IFERROR(COUNTIF(X$3:X789,"="&amp;SUBSTITUTE(SUBSTITUTE(SUBSTITUTE(X789,"~","~~"),"*","~*"),"?","~?")),0)=1,1,""))</f>
        <v/>
      </c>
      <c r="Z789" s="25">
        <f>IF(T789=1,MAX(Z$2:Z788)+1,"")</f>
        <v/>
      </c>
    </row>
    <row r="790">
      <c r="A790">
        <f>IF(A$2=0,"",IFERROR(TRIM(INDEX('Pegar calibracion'!$A$1:$BZ$1001,789,A$2)&amp;""),""))</f>
        <v/>
      </c>
      <c r="B790">
        <f>IF(B$2=0,"",IFERROR(TRIM(INDEX('Pegar calibracion'!$A$1:$BZ$1001,789,B$2)&amp;""),""))</f>
        <v/>
      </c>
      <c r="C790">
        <f>IF(C$2=0,"",IFERROR(TRIM(INDEX('Pegar calibracion'!$A$1:$BZ$1001,789,C$2)&amp;""),""))</f>
        <v/>
      </c>
      <c r="D790">
        <f>IF(D$2=0,"",IFERROR(TRIM(INDEX('Pegar calibracion'!$A$1:$BZ$1001,789,D$2)&amp;""),""))</f>
        <v/>
      </c>
      <c r="E790">
        <f>IF(E$2=0,"",IFERROR(TRIM(INDEX('Pegar calibracion'!$A$1:$BZ$1001,789,E$2)&amp;""),""))</f>
        <v/>
      </c>
      <c r="F790">
        <f>IF(F$2=0,"",IFERROR(TRIM(INDEX('Pegar calibracion'!$A$1:$BZ$1001,789,F$2)&amp;""),""))</f>
        <v/>
      </c>
      <c r="G790">
        <f>IF(G$2=0,"",IFERROR(TRIM(INDEX('Pegar calibracion'!$A$1:$BZ$1001,789,G$2)&amp;""),""))</f>
        <v/>
      </c>
      <c r="H790">
        <f>IF(H$2=0,"",IFERROR(TRIM(INDEX('Pegar calibracion'!$A$1:$BZ$1001,789,H$2)&amp;""),""))</f>
        <v/>
      </c>
      <c r="I790">
        <f>IF(I$2=0,"",IFERROR(TRIM(INDEX('Pegar calibracion'!$A$1:$BZ$1001,789,I$2)&amp;""),""))</f>
        <v/>
      </c>
      <c r="J790">
        <f>IF(J$2=0,"",IFERROR(TRIM(INDEX('Pegar calibracion'!$A$1:$BZ$1001,789,J$2)&amp;""),""))</f>
        <v/>
      </c>
      <c r="K790">
        <f>IF(K$2=0,"",IFERROR(TRIM(INDEX('Pegar calibracion'!$A$1:$BZ$1001,789,K$2)&amp;""),""))</f>
        <v/>
      </c>
      <c r="L790">
        <f>IF(L$2=0,"",IFERROR(TRIM(INDEX('Pegar calibracion'!$A$1:$BZ$1001,789,L$2)&amp;""),""))</f>
        <v/>
      </c>
      <c r="M790" s="25">
        <f>IF(D790="","",SUBSTITUTE(SUBSTITUTE(SUBSTITUTE(SUBSTITUTE(SUBSTITUTE(SUBSTITUTE(SUBSTITUTE(SUBSTITUTE(SUBSTITUTE(SUBSTITUTE(SUBSTITUTE(SUBSTITUTE(LOWER(TRIM(D790)),"á","a"),"é","e"),"í","i"),"ó","o"),"ú","u"),"ü","u"),"ñ","n"),"à","a"),"è","e"),"ì","i"),"ò","o"),"ù","u"))</f>
        <v/>
      </c>
      <c r="N790" s="25">
        <f>IF(F790="","",SUBSTITUTE(SUBSTITUTE(SUBSTITUTE(SUBSTITUTE(SUBSTITUTE(SUBSTITUTE(SUBSTITUTE(SUBSTITUTE(SUBSTITUTE(SUBSTITUTE(SUBSTITUTE(SUBSTITUTE(LOWER(TRIM(F790)),"á","a"),"é","e"),"í","i"),"ó","o"),"ú","u"),"ü","u"),"ñ","n"),"à","a"),"è","e"),"ì","i"),"ò","o"),"ù","u"))</f>
        <v/>
      </c>
      <c r="O790" s="25">
        <f>IF(M790="confiable",2,IF(M790="dudosa",1,IF(M790="no confiable",0,"")))</f>
        <v/>
      </c>
      <c r="P790" s="25">
        <f>IF(N790="confiable",2,IF(N790="dudosa",1,IF(N790="no confiable",0,"")))</f>
        <v/>
      </c>
      <c r="Q790" s="25">
        <f>IF(AND(ISNUMBER(O790),ISNUMBER(P790)),1,"")</f>
        <v/>
      </c>
      <c r="R790" s="25">
        <f>IF(Q790=1,IF(O790=P790,"Sí","No"),"")</f>
        <v/>
      </c>
      <c r="S790" s="25">
        <f>IF(Q790=1,IF(P790&lt;O790,"Más estricto",IF(P790&gt;O790,"Más permisivo","Igual")),"")</f>
        <v/>
      </c>
      <c r="T790" s="25">
        <f>IF(Q790=1,IF(ABS(O790-P790)=2,1,0),"")</f>
        <v/>
      </c>
      <c r="U790" s="25">
        <f>IF(H790="","","|"&amp;SUBSTITUTE(SUBSTITUTE(TRIM(H790)," |","|"),"| ","|")&amp;"|")</f>
        <v/>
      </c>
      <c r="V790" s="25">
        <f>IF(AND(Q790=1,B790&lt;&gt;""),IF(IFERROR(COUNTIFS(B$3:B790,"="&amp;SUBSTITUTE(SUBSTITUTE(SUBSTITUTE(B790,"~","~~"),"*","~*"),"?","~?"),Q$3:Q790,1),0)=1,MAX(V$2:V789)+1,""),"")</f>
        <v/>
      </c>
      <c r="W790" s="25">
        <f>IF(V790="","",COUNTIFS($B$3:$B$1002,"="&amp;SUBSTITUTE(SUBSTITUTE(SUBSTITUTE(B790,"~","~~"),"*","~*"),"?","~?"),$Q$3:$Q$1002,1)*10000-V790)</f>
        <v/>
      </c>
      <c r="X790" s="25">
        <f>IF(Q790=1,IF(SUBSTITUTE(SUBSTITUTE(SUBSTITUTE(SUBSTITUTE(SUBSTITUTE(SUBSTITUTE(SUBSTITUTE(SUBSTITUTE(SUBSTITUTE(SUBSTITUTE(SUBSTITUTE(SUBSTITUTE(LOWER(TRIM(A790)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790)),"á","a"),"é","e"),"í","i"),"ó","o"),"ú","u"),"ü","u"),"ñ","n"),"à","a"),"è","e"),"ì","i"),"ò","o"),"ù","u")),"")</f>
        <v/>
      </c>
      <c r="Y790" s="25">
        <f>IF(X790="","",IF(IFERROR(COUNTIF(X$3:X790,"="&amp;SUBSTITUTE(SUBSTITUTE(SUBSTITUTE(X790,"~","~~"),"*","~*"),"?","~?")),0)=1,1,""))</f>
        <v/>
      </c>
      <c r="Z790" s="25">
        <f>IF(T790=1,MAX(Z$2:Z789)+1,"")</f>
        <v/>
      </c>
    </row>
    <row r="791">
      <c r="A791">
        <f>IF(A$2=0,"",IFERROR(TRIM(INDEX('Pegar calibracion'!$A$1:$BZ$1001,790,A$2)&amp;""),""))</f>
        <v/>
      </c>
      <c r="B791">
        <f>IF(B$2=0,"",IFERROR(TRIM(INDEX('Pegar calibracion'!$A$1:$BZ$1001,790,B$2)&amp;""),""))</f>
        <v/>
      </c>
      <c r="C791">
        <f>IF(C$2=0,"",IFERROR(TRIM(INDEX('Pegar calibracion'!$A$1:$BZ$1001,790,C$2)&amp;""),""))</f>
        <v/>
      </c>
      <c r="D791">
        <f>IF(D$2=0,"",IFERROR(TRIM(INDEX('Pegar calibracion'!$A$1:$BZ$1001,790,D$2)&amp;""),""))</f>
        <v/>
      </c>
      <c r="E791">
        <f>IF(E$2=0,"",IFERROR(TRIM(INDEX('Pegar calibracion'!$A$1:$BZ$1001,790,E$2)&amp;""),""))</f>
        <v/>
      </c>
      <c r="F791">
        <f>IF(F$2=0,"",IFERROR(TRIM(INDEX('Pegar calibracion'!$A$1:$BZ$1001,790,F$2)&amp;""),""))</f>
        <v/>
      </c>
      <c r="G791">
        <f>IF(G$2=0,"",IFERROR(TRIM(INDEX('Pegar calibracion'!$A$1:$BZ$1001,790,G$2)&amp;""),""))</f>
        <v/>
      </c>
      <c r="H791">
        <f>IF(H$2=0,"",IFERROR(TRIM(INDEX('Pegar calibracion'!$A$1:$BZ$1001,790,H$2)&amp;""),""))</f>
        <v/>
      </c>
      <c r="I791">
        <f>IF(I$2=0,"",IFERROR(TRIM(INDEX('Pegar calibracion'!$A$1:$BZ$1001,790,I$2)&amp;""),""))</f>
        <v/>
      </c>
      <c r="J791">
        <f>IF(J$2=0,"",IFERROR(TRIM(INDEX('Pegar calibracion'!$A$1:$BZ$1001,790,J$2)&amp;""),""))</f>
        <v/>
      </c>
      <c r="K791">
        <f>IF(K$2=0,"",IFERROR(TRIM(INDEX('Pegar calibracion'!$A$1:$BZ$1001,790,K$2)&amp;""),""))</f>
        <v/>
      </c>
      <c r="L791">
        <f>IF(L$2=0,"",IFERROR(TRIM(INDEX('Pegar calibracion'!$A$1:$BZ$1001,790,L$2)&amp;""),""))</f>
        <v/>
      </c>
      <c r="M791" s="25">
        <f>IF(D791="","",SUBSTITUTE(SUBSTITUTE(SUBSTITUTE(SUBSTITUTE(SUBSTITUTE(SUBSTITUTE(SUBSTITUTE(SUBSTITUTE(SUBSTITUTE(SUBSTITUTE(SUBSTITUTE(SUBSTITUTE(LOWER(TRIM(D791)),"á","a"),"é","e"),"í","i"),"ó","o"),"ú","u"),"ü","u"),"ñ","n"),"à","a"),"è","e"),"ì","i"),"ò","o"),"ù","u"))</f>
        <v/>
      </c>
      <c r="N791" s="25">
        <f>IF(F791="","",SUBSTITUTE(SUBSTITUTE(SUBSTITUTE(SUBSTITUTE(SUBSTITUTE(SUBSTITUTE(SUBSTITUTE(SUBSTITUTE(SUBSTITUTE(SUBSTITUTE(SUBSTITUTE(SUBSTITUTE(LOWER(TRIM(F791)),"á","a"),"é","e"),"í","i"),"ó","o"),"ú","u"),"ü","u"),"ñ","n"),"à","a"),"è","e"),"ì","i"),"ò","o"),"ù","u"))</f>
        <v/>
      </c>
      <c r="O791" s="25">
        <f>IF(M791="confiable",2,IF(M791="dudosa",1,IF(M791="no confiable",0,"")))</f>
        <v/>
      </c>
      <c r="P791" s="25">
        <f>IF(N791="confiable",2,IF(N791="dudosa",1,IF(N791="no confiable",0,"")))</f>
        <v/>
      </c>
      <c r="Q791" s="25">
        <f>IF(AND(ISNUMBER(O791),ISNUMBER(P791)),1,"")</f>
        <v/>
      </c>
      <c r="R791" s="25">
        <f>IF(Q791=1,IF(O791=P791,"Sí","No"),"")</f>
        <v/>
      </c>
      <c r="S791" s="25">
        <f>IF(Q791=1,IF(P791&lt;O791,"Más estricto",IF(P791&gt;O791,"Más permisivo","Igual")),"")</f>
        <v/>
      </c>
      <c r="T791" s="25">
        <f>IF(Q791=1,IF(ABS(O791-P791)=2,1,0),"")</f>
        <v/>
      </c>
      <c r="U791" s="25">
        <f>IF(H791="","","|"&amp;SUBSTITUTE(SUBSTITUTE(TRIM(H791)," |","|"),"| ","|")&amp;"|")</f>
        <v/>
      </c>
      <c r="V791" s="25">
        <f>IF(AND(Q791=1,B791&lt;&gt;""),IF(IFERROR(COUNTIFS(B$3:B791,"="&amp;SUBSTITUTE(SUBSTITUTE(SUBSTITUTE(B791,"~","~~"),"*","~*"),"?","~?"),Q$3:Q791,1),0)=1,MAX(V$2:V790)+1,""),"")</f>
        <v/>
      </c>
      <c r="W791" s="25">
        <f>IF(V791="","",COUNTIFS($B$3:$B$1002,"="&amp;SUBSTITUTE(SUBSTITUTE(SUBSTITUTE(B791,"~","~~"),"*","~*"),"?","~?"),$Q$3:$Q$1002,1)*10000-V791)</f>
        <v/>
      </c>
      <c r="X791" s="25">
        <f>IF(Q791=1,IF(SUBSTITUTE(SUBSTITUTE(SUBSTITUTE(SUBSTITUTE(SUBSTITUTE(SUBSTITUTE(SUBSTITUTE(SUBSTITUTE(SUBSTITUTE(SUBSTITUTE(SUBSTITUTE(SUBSTITUTE(LOWER(TRIM(A791)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791)),"á","a"),"é","e"),"í","i"),"ó","o"),"ú","u"),"ü","u"),"ñ","n"),"à","a"),"è","e"),"ì","i"),"ò","o"),"ù","u")),"")</f>
        <v/>
      </c>
      <c r="Y791" s="25">
        <f>IF(X791="","",IF(IFERROR(COUNTIF(X$3:X791,"="&amp;SUBSTITUTE(SUBSTITUTE(SUBSTITUTE(X791,"~","~~"),"*","~*"),"?","~?")),0)=1,1,""))</f>
        <v/>
      </c>
      <c r="Z791" s="25">
        <f>IF(T791=1,MAX(Z$2:Z790)+1,"")</f>
        <v/>
      </c>
    </row>
    <row r="792">
      <c r="A792">
        <f>IF(A$2=0,"",IFERROR(TRIM(INDEX('Pegar calibracion'!$A$1:$BZ$1001,791,A$2)&amp;""),""))</f>
        <v/>
      </c>
      <c r="B792">
        <f>IF(B$2=0,"",IFERROR(TRIM(INDEX('Pegar calibracion'!$A$1:$BZ$1001,791,B$2)&amp;""),""))</f>
        <v/>
      </c>
      <c r="C792">
        <f>IF(C$2=0,"",IFERROR(TRIM(INDEX('Pegar calibracion'!$A$1:$BZ$1001,791,C$2)&amp;""),""))</f>
        <v/>
      </c>
      <c r="D792">
        <f>IF(D$2=0,"",IFERROR(TRIM(INDEX('Pegar calibracion'!$A$1:$BZ$1001,791,D$2)&amp;""),""))</f>
        <v/>
      </c>
      <c r="E792">
        <f>IF(E$2=0,"",IFERROR(TRIM(INDEX('Pegar calibracion'!$A$1:$BZ$1001,791,E$2)&amp;""),""))</f>
        <v/>
      </c>
      <c r="F792">
        <f>IF(F$2=0,"",IFERROR(TRIM(INDEX('Pegar calibracion'!$A$1:$BZ$1001,791,F$2)&amp;""),""))</f>
        <v/>
      </c>
      <c r="G792">
        <f>IF(G$2=0,"",IFERROR(TRIM(INDEX('Pegar calibracion'!$A$1:$BZ$1001,791,G$2)&amp;""),""))</f>
        <v/>
      </c>
      <c r="H792">
        <f>IF(H$2=0,"",IFERROR(TRIM(INDEX('Pegar calibracion'!$A$1:$BZ$1001,791,H$2)&amp;""),""))</f>
        <v/>
      </c>
      <c r="I792">
        <f>IF(I$2=0,"",IFERROR(TRIM(INDEX('Pegar calibracion'!$A$1:$BZ$1001,791,I$2)&amp;""),""))</f>
        <v/>
      </c>
      <c r="J792">
        <f>IF(J$2=0,"",IFERROR(TRIM(INDEX('Pegar calibracion'!$A$1:$BZ$1001,791,J$2)&amp;""),""))</f>
        <v/>
      </c>
      <c r="K792">
        <f>IF(K$2=0,"",IFERROR(TRIM(INDEX('Pegar calibracion'!$A$1:$BZ$1001,791,K$2)&amp;""),""))</f>
        <v/>
      </c>
      <c r="L792">
        <f>IF(L$2=0,"",IFERROR(TRIM(INDEX('Pegar calibracion'!$A$1:$BZ$1001,791,L$2)&amp;""),""))</f>
        <v/>
      </c>
      <c r="M792" s="25">
        <f>IF(D792="","",SUBSTITUTE(SUBSTITUTE(SUBSTITUTE(SUBSTITUTE(SUBSTITUTE(SUBSTITUTE(SUBSTITUTE(SUBSTITUTE(SUBSTITUTE(SUBSTITUTE(SUBSTITUTE(SUBSTITUTE(LOWER(TRIM(D792)),"á","a"),"é","e"),"í","i"),"ó","o"),"ú","u"),"ü","u"),"ñ","n"),"à","a"),"è","e"),"ì","i"),"ò","o"),"ù","u"))</f>
        <v/>
      </c>
      <c r="N792" s="25">
        <f>IF(F792="","",SUBSTITUTE(SUBSTITUTE(SUBSTITUTE(SUBSTITUTE(SUBSTITUTE(SUBSTITUTE(SUBSTITUTE(SUBSTITUTE(SUBSTITUTE(SUBSTITUTE(SUBSTITUTE(SUBSTITUTE(LOWER(TRIM(F792)),"á","a"),"é","e"),"í","i"),"ó","o"),"ú","u"),"ü","u"),"ñ","n"),"à","a"),"è","e"),"ì","i"),"ò","o"),"ù","u"))</f>
        <v/>
      </c>
      <c r="O792" s="25">
        <f>IF(M792="confiable",2,IF(M792="dudosa",1,IF(M792="no confiable",0,"")))</f>
        <v/>
      </c>
      <c r="P792" s="25">
        <f>IF(N792="confiable",2,IF(N792="dudosa",1,IF(N792="no confiable",0,"")))</f>
        <v/>
      </c>
      <c r="Q792" s="25">
        <f>IF(AND(ISNUMBER(O792),ISNUMBER(P792)),1,"")</f>
        <v/>
      </c>
      <c r="R792" s="25">
        <f>IF(Q792=1,IF(O792=P792,"Sí","No"),"")</f>
        <v/>
      </c>
      <c r="S792" s="25">
        <f>IF(Q792=1,IF(P792&lt;O792,"Más estricto",IF(P792&gt;O792,"Más permisivo","Igual")),"")</f>
        <v/>
      </c>
      <c r="T792" s="25">
        <f>IF(Q792=1,IF(ABS(O792-P792)=2,1,0),"")</f>
        <v/>
      </c>
      <c r="U792" s="25">
        <f>IF(H792="","","|"&amp;SUBSTITUTE(SUBSTITUTE(TRIM(H792)," |","|"),"| ","|")&amp;"|")</f>
        <v/>
      </c>
      <c r="V792" s="25">
        <f>IF(AND(Q792=1,B792&lt;&gt;""),IF(IFERROR(COUNTIFS(B$3:B792,"="&amp;SUBSTITUTE(SUBSTITUTE(SUBSTITUTE(B792,"~","~~"),"*","~*"),"?","~?"),Q$3:Q792,1),0)=1,MAX(V$2:V791)+1,""),"")</f>
        <v/>
      </c>
      <c r="W792" s="25">
        <f>IF(V792="","",COUNTIFS($B$3:$B$1002,"="&amp;SUBSTITUTE(SUBSTITUTE(SUBSTITUTE(B792,"~","~~"),"*","~*"),"?","~?"),$Q$3:$Q$1002,1)*10000-V792)</f>
        <v/>
      </c>
      <c r="X792" s="25">
        <f>IF(Q792=1,IF(SUBSTITUTE(SUBSTITUTE(SUBSTITUTE(SUBSTITUTE(SUBSTITUTE(SUBSTITUTE(SUBSTITUTE(SUBSTITUTE(SUBSTITUTE(SUBSTITUTE(SUBSTITUTE(SUBSTITUTE(LOWER(TRIM(A792)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792)),"á","a"),"é","e"),"í","i"),"ó","o"),"ú","u"),"ü","u"),"ñ","n"),"à","a"),"è","e"),"ì","i"),"ò","o"),"ù","u")),"")</f>
        <v/>
      </c>
      <c r="Y792" s="25">
        <f>IF(X792="","",IF(IFERROR(COUNTIF(X$3:X792,"="&amp;SUBSTITUTE(SUBSTITUTE(SUBSTITUTE(X792,"~","~~"),"*","~*"),"?","~?")),0)=1,1,""))</f>
        <v/>
      </c>
      <c r="Z792" s="25">
        <f>IF(T792=1,MAX(Z$2:Z791)+1,"")</f>
        <v/>
      </c>
    </row>
    <row r="793">
      <c r="A793">
        <f>IF(A$2=0,"",IFERROR(TRIM(INDEX('Pegar calibracion'!$A$1:$BZ$1001,792,A$2)&amp;""),""))</f>
        <v/>
      </c>
      <c r="B793">
        <f>IF(B$2=0,"",IFERROR(TRIM(INDEX('Pegar calibracion'!$A$1:$BZ$1001,792,B$2)&amp;""),""))</f>
        <v/>
      </c>
      <c r="C793">
        <f>IF(C$2=0,"",IFERROR(TRIM(INDEX('Pegar calibracion'!$A$1:$BZ$1001,792,C$2)&amp;""),""))</f>
        <v/>
      </c>
      <c r="D793">
        <f>IF(D$2=0,"",IFERROR(TRIM(INDEX('Pegar calibracion'!$A$1:$BZ$1001,792,D$2)&amp;""),""))</f>
        <v/>
      </c>
      <c r="E793">
        <f>IF(E$2=0,"",IFERROR(TRIM(INDEX('Pegar calibracion'!$A$1:$BZ$1001,792,E$2)&amp;""),""))</f>
        <v/>
      </c>
      <c r="F793">
        <f>IF(F$2=0,"",IFERROR(TRIM(INDEX('Pegar calibracion'!$A$1:$BZ$1001,792,F$2)&amp;""),""))</f>
        <v/>
      </c>
      <c r="G793">
        <f>IF(G$2=0,"",IFERROR(TRIM(INDEX('Pegar calibracion'!$A$1:$BZ$1001,792,G$2)&amp;""),""))</f>
        <v/>
      </c>
      <c r="H793">
        <f>IF(H$2=0,"",IFERROR(TRIM(INDEX('Pegar calibracion'!$A$1:$BZ$1001,792,H$2)&amp;""),""))</f>
        <v/>
      </c>
      <c r="I793">
        <f>IF(I$2=0,"",IFERROR(TRIM(INDEX('Pegar calibracion'!$A$1:$BZ$1001,792,I$2)&amp;""),""))</f>
        <v/>
      </c>
      <c r="J793">
        <f>IF(J$2=0,"",IFERROR(TRIM(INDEX('Pegar calibracion'!$A$1:$BZ$1001,792,J$2)&amp;""),""))</f>
        <v/>
      </c>
      <c r="K793">
        <f>IF(K$2=0,"",IFERROR(TRIM(INDEX('Pegar calibracion'!$A$1:$BZ$1001,792,K$2)&amp;""),""))</f>
        <v/>
      </c>
      <c r="L793">
        <f>IF(L$2=0,"",IFERROR(TRIM(INDEX('Pegar calibracion'!$A$1:$BZ$1001,792,L$2)&amp;""),""))</f>
        <v/>
      </c>
      <c r="M793" s="25">
        <f>IF(D793="","",SUBSTITUTE(SUBSTITUTE(SUBSTITUTE(SUBSTITUTE(SUBSTITUTE(SUBSTITUTE(SUBSTITUTE(SUBSTITUTE(SUBSTITUTE(SUBSTITUTE(SUBSTITUTE(SUBSTITUTE(LOWER(TRIM(D793)),"á","a"),"é","e"),"í","i"),"ó","o"),"ú","u"),"ü","u"),"ñ","n"),"à","a"),"è","e"),"ì","i"),"ò","o"),"ù","u"))</f>
        <v/>
      </c>
      <c r="N793" s="25">
        <f>IF(F793="","",SUBSTITUTE(SUBSTITUTE(SUBSTITUTE(SUBSTITUTE(SUBSTITUTE(SUBSTITUTE(SUBSTITUTE(SUBSTITUTE(SUBSTITUTE(SUBSTITUTE(SUBSTITUTE(SUBSTITUTE(LOWER(TRIM(F793)),"á","a"),"é","e"),"í","i"),"ó","o"),"ú","u"),"ü","u"),"ñ","n"),"à","a"),"è","e"),"ì","i"),"ò","o"),"ù","u"))</f>
        <v/>
      </c>
      <c r="O793" s="25">
        <f>IF(M793="confiable",2,IF(M793="dudosa",1,IF(M793="no confiable",0,"")))</f>
        <v/>
      </c>
      <c r="P793" s="25">
        <f>IF(N793="confiable",2,IF(N793="dudosa",1,IF(N793="no confiable",0,"")))</f>
        <v/>
      </c>
      <c r="Q793" s="25">
        <f>IF(AND(ISNUMBER(O793),ISNUMBER(P793)),1,"")</f>
        <v/>
      </c>
      <c r="R793" s="25">
        <f>IF(Q793=1,IF(O793=P793,"Sí","No"),"")</f>
        <v/>
      </c>
      <c r="S793" s="25">
        <f>IF(Q793=1,IF(P793&lt;O793,"Más estricto",IF(P793&gt;O793,"Más permisivo","Igual")),"")</f>
        <v/>
      </c>
      <c r="T793" s="25">
        <f>IF(Q793=1,IF(ABS(O793-P793)=2,1,0),"")</f>
        <v/>
      </c>
      <c r="U793" s="25">
        <f>IF(H793="","","|"&amp;SUBSTITUTE(SUBSTITUTE(TRIM(H793)," |","|"),"| ","|")&amp;"|")</f>
        <v/>
      </c>
      <c r="V793" s="25">
        <f>IF(AND(Q793=1,B793&lt;&gt;""),IF(IFERROR(COUNTIFS(B$3:B793,"="&amp;SUBSTITUTE(SUBSTITUTE(SUBSTITUTE(B793,"~","~~"),"*","~*"),"?","~?"),Q$3:Q793,1),0)=1,MAX(V$2:V792)+1,""),"")</f>
        <v/>
      </c>
      <c r="W793" s="25">
        <f>IF(V793="","",COUNTIFS($B$3:$B$1002,"="&amp;SUBSTITUTE(SUBSTITUTE(SUBSTITUTE(B793,"~","~~"),"*","~*"),"?","~?"),$Q$3:$Q$1002,1)*10000-V793)</f>
        <v/>
      </c>
      <c r="X793" s="25">
        <f>IF(Q793=1,IF(SUBSTITUTE(SUBSTITUTE(SUBSTITUTE(SUBSTITUTE(SUBSTITUTE(SUBSTITUTE(SUBSTITUTE(SUBSTITUTE(SUBSTITUTE(SUBSTITUTE(SUBSTITUTE(SUBSTITUTE(LOWER(TRIM(A793)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793)),"á","a"),"é","e"),"í","i"),"ó","o"),"ú","u"),"ü","u"),"ñ","n"),"à","a"),"è","e"),"ì","i"),"ò","o"),"ù","u")),"")</f>
        <v/>
      </c>
      <c r="Y793" s="25">
        <f>IF(X793="","",IF(IFERROR(COUNTIF(X$3:X793,"="&amp;SUBSTITUTE(SUBSTITUTE(SUBSTITUTE(X793,"~","~~"),"*","~*"),"?","~?")),0)=1,1,""))</f>
        <v/>
      </c>
      <c r="Z793" s="25">
        <f>IF(T793=1,MAX(Z$2:Z792)+1,"")</f>
        <v/>
      </c>
    </row>
    <row r="794">
      <c r="A794">
        <f>IF(A$2=0,"",IFERROR(TRIM(INDEX('Pegar calibracion'!$A$1:$BZ$1001,793,A$2)&amp;""),""))</f>
        <v/>
      </c>
      <c r="B794">
        <f>IF(B$2=0,"",IFERROR(TRIM(INDEX('Pegar calibracion'!$A$1:$BZ$1001,793,B$2)&amp;""),""))</f>
        <v/>
      </c>
      <c r="C794">
        <f>IF(C$2=0,"",IFERROR(TRIM(INDEX('Pegar calibracion'!$A$1:$BZ$1001,793,C$2)&amp;""),""))</f>
        <v/>
      </c>
      <c r="D794">
        <f>IF(D$2=0,"",IFERROR(TRIM(INDEX('Pegar calibracion'!$A$1:$BZ$1001,793,D$2)&amp;""),""))</f>
        <v/>
      </c>
      <c r="E794">
        <f>IF(E$2=0,"",IFERROR(TRIM(INDEX('Pegar calibracion'!$A$1:$BZ$1001,793,E$2)&amp;""),""))</f>
        <v/>
      </c>
      <c r="F794">
        <f>IF(F$2=0,"",IFERROR(TRIM(INDEX('Pegar calibracion'!$A$1:$BZ$1001,793,F$2)&amp;""),""))</f>
        <v/>
      </c>
      <c r="G794">
        <f>IF(G$2=0,"",IFERROR(TRIM(INDEX('Pegar calibracion'!$A$1:$BZ$1001,793,G$2)&amp;""),""))</f>
        <v/>
      </c>
      <c r="H794">
        <f>IF(H$2=0,"",IFERROR(TRIM(INDEX('Pegar calibracion'!$A$1:$BZ$1001,793,H$2)&amp;""),""))</f>
        <v/>
      </c>
      <c r="I794">
        <f>IF(I$2=0,"",IFERROR(TRIM(INDEX('Pegar calibracion'!$A$1:$BZ$1001,793,I$2)&amp;""),""))</f>
        <v/>
      </c>
      <c r="J794">
        <f>IF(J$2=0,"",IFERROR(TRIM(INDEX('Pegar calibracion'!$A$1:$BZ$1001,793,J$2)&amp;""),""))</f>
        <v/>
      </c>
      <c r="K794">
        <f>IF(K$2=0,"",IFERROR(TRIM(INDEX('Pegar calibracion'!$A$1:$BZ$1001,793,K$2)&amp;""),""))</f>
        <v/>
      </c>
      <c r="L794">
        <f>IF(L$2=0,"",IFERROR(TRIM(INDEX('Pegar calibracion'!$A$1:$BZ$1001,793,L$2)&amp;""),""))</f>
        <v/>
      </c>
      <c r="M794" s="25">
        <f>IF(D794="","",SUBSTITUTE(SUBSTITUTE(SUBSTITUTE(SUBSTITUTE(SUBSTITUTE(SUBSTITUTE(SUBSTITUTE(SUBSTITUTE(SUBSTITUTE(SUBSTITUTE(SUBSTITUTE(SUBSTITUTE(LOWER(TRIM(D794)),"á","a"),"é","e"),"í","i"),"ó","o"),"ú","u"),"ü","u"),"ñ","n"),"à","a"),"è","e"),"ì","i"),"ò","o"),"ù","u"))</f>
        <v/>
      </c>
      <c r="N794" s="25">
        <f>IF(F794="","",SUBSTITUTE(SUBSTITUTE(SUBSTITUTE(SUBSTITUTE(SUBSTITUTE(SUBSTITUTE(SUBSTITUTE(SUBSTITUTE(SUBSTITUTE(SUBSTITUTE(SUBSTITUTE(SUBSTITUTE(LOWER(TRIM(F794)),"á","a"),"é","e"),"í","i"),"ó","o"),"ú","u"),"ü","u"),"ñ","n"),"à","a"),"è","e"),"ì","i"),"ò","o"),"ù","u"))</f>
        <v/>
      </c>
      <c r="O794" s="25">
        <f>IF(M794="confiable",2,IF(M794="dudosa",1,IF(M794="no confiable",0,"")))</f>
        <v/>
      </c>
      <c r="P794" s="25">
        <f>IF(N794="confiable",2,IF(N794="dudosa",1,IF(N794="no confiable",0,"")))</f>
        <v/>
      </c>
      <c r="Q794" s="25">
        <f>IF(AND(ISNUMBER(O794),ISNUMBER(P794)),1,"")</f>
        <v/>
      </c>
      <c r="R794" s="25">
        <f>IF(Q794=1,IF(O794=P794,"Sí","No"),"")</f>
        <v/>
      </c>
      <c r="S794" s="25">
        <f>IF(Q794=1,IF(P794&lt;O794,"Más estricto",IF(P794&gt;O794,"Más permisivo","Igual")),"")</f>
        <v/>
      </c>
      <c r="T794" s="25">
        <f>IF(Q794=1,IF(ABS(O794-P794)=2,1,0),"")</f>
        <v/>
      </c>
      <c r="U794" s="25">
        <f>IF(H794="","","|"&amp;SUBSTITUTE(SUBSTITUTE(TRIM(H794)," |","|"),"| ","|")&amp;"|")</f>
        <v/>
      </c>
      <c r="V794" s="25">
        <f>IF(AND(Q794=1,B794&lt;&gt;""),IF(IFERROR(COUNTIFS(B$3:B794,"="&amp;SUBSTITUTE(SUBSTITUTE(SUBSTITUTE(B794,"~","~~"),"*","~*"),"?","~?"),Q$3:Q794,1),0)=1,MAX(V$2:V793)+1,""),"")</f>
        <v/>
      </c>
      <c r="W794" s="25">
        <f>IF(V794="","",COUNTIFS($B$3:$B$1002,"="&amp;SUBSTITUTE(SUBSTITUTE(SUBSTITUTE(B794,"~","~~"),"*","~*"),"?","~?"),$Q$3:$Q$1002,1)*10000-V794)</f>
        <v/>
      </c>
      <c r="X794" s="25">
        <f>IF(Q794=1,IF(SUBSTITUTE(SUBSTITUTE(SUBSTITUTE(SUBSTITUTE(SUBSTITUTE(SUBSTITUTE(SUBSTITUTE(SUBSTITUTE(SUBSTITUTE(SUBSTITUTE(SUBSTITUTE(SUBSTITUTE(LOWER(TRIM(A794)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794)),"á","a"),"é","e"),"í","i"),"ó","o"),"ú","u"),"ü","u"),"ñ","n"),"à","a"),"è","e"),"ì","i"),"ò","o"),"ù","u")),"")</f>
        <v/>
      </c>
      <c r="Y794" s="25">
        <f>IF(X794="","",IF(IFERROR(COUNTIF(X$3:X794,"="&amp;SUBSTITUTE(SUBSTITUTE(SUBSTITUTE(X794,"~","~~"),"*","~*"),"?","~?")),0)=1,1,""))</f>
        <v/>
      </c>
      <c r="Z794" s="25">
        <f>IF(T794=1,MAX(Z$2:Z793)+1,"")</f>
        <v/>
      </c>
    </row>
    <row r="795">
      <c r="A795">
        <f>IF(A$2=0,"",IFERROR(TRIM(INDEX('Pegar calibracion'!$A$1:$BZ$1001,794,A$2)&amp;""),""))</f>
        <v/>
      </c>
      <c r="B795">
        <f>IF(B$2=0,"",IFERROR(TRIM(INDEX('Pegar calibracion'!$A$1:$BZ$1001,794,B$2)&amp;""),""))</f>
        <v/>
      </c>
      <c r="C795">
        <f>IF(C$2=0,"",IFERROR(TRIM(INDEX('Pegar calibracion'!$A$1:$BZ$1001,794,C$2)&amp;""),""))</f>
        <v/>
      </c>
      <c r="D795">
        <f>IF(D$2=0,"",IFERROR(TRIM(INDEX('Pegar calibracion'!$A$1:$BZ$1001,794,D$2)&amp;""),""))</f>
        <v/>
      </c>
      <c r="E795">
        <f>IF(E$2=0,"",IFERROR(TRIM(INDEX('Pegar calibracion'!$A$1:$BZ$1001,794,E$2)&amp;""),""))</f>
        <v/>
      </c>
      <c r="F795">
        <f>IF(F$2=0,"",IFERROR(TRIM(INDEX('Pegar calibracion'!$A$1:$BZ$1001,794,F$2)&amp;""),""))</f>
        <v/>
      </c>
      <c r="G795">
        <f>IF(G$2=0,"",IFERROR(TRIM(INDEX('Pegar calibracion'!$A$1:$BZ$1001,794,G$2)&amp;""),""))</f>
        <v/>
      </c>
      <c r="H795">
        <f>IF(H$2=0,"",IFERROR(TRIM(INDEX('Pegar calibracion'!$A$1:$BZ$1001,794,H$2)&amp;""),""))</f>
        <v/>
      </c>
      <c r="I795">
        <f>IF(I$2=0,"",IFERROR(TRIM(INDEX('Pegar calibracion'!$A$1:$BZ$1001,794,I$2)&amp;""),""))</f>
        <v/>
      </c>
      <c r="J795">
        <f>IF(J$2=0,"",IFERROR(TRIM(INDEX('Pegar calibracion'!$A$1:$BZ$1001,794,J$2)&amp;""),""))</f>
        <v/>
      </c>
      <c r="K795">
        <f>IF(K$2=0,"",IFERROR(TRIM(INDEX('Pegar calibracion'!$A$1:$BZ$1001,794,K$2)&amp;""),""))</f>
        <v/>
      </c>
      <c r="L795">
        <f>IF(L$2=0,"",IFERROR(TRIM(INDEX('Pegar calibracion'!$A$1:$BZ$1001,794,L$2)&amp;""),""))</f>
        <v/>
      </c>
      <c r="M795" s="25">
        <f>IF(D795="","",SUBSTITUTE(SUBSTITUTE(SUBSTITUTE(SUBSTITUTE(SUBSTITUTE(SUBSTITUTE(SUBSTITUTE(SUBSTITUTE(SUBSTITUTE(SUBSTITUTE(SUBSTITUTE(SUBSTITUTE(LOWER(TRIM(D795)),"á","a"),"é","e"),"í","i"),"ó","o"),"ú","u"),"ü","u"),"ñ","n"),"à","a"),"è","e"),"ì","i"),"ò","o"),"ù","u"))</f>
        <v/>
      </c>
      <c r="N795" s="25">
        <f>IF(F795="","",SUBSTITUTE(SUBSTITUTE(SUBSTITUTE(SUBSTITUTE(SUBSTITUTE(SUBSTITUTE(SUBSTITUTE(SUBSTITUTE(SUBSTITUTE(SUBSTITUTE(SUBSTITUTE(SUBSTITUTE(LOWER(TRIM(F795)),"á","a"),"é","e"),"í","i"),"ó","o"),"ú","u"),"ü","u"),"ñ","n"),"à","a"),"è","e"),"ì","i"),"ò","o"),"ù","u"))</f>
        <v/>
      </c>
      <c r="O795" s="25">
        <f>IF(M795="confiable",2,IF(M795="dudosa",1,IF(M795="no confiable",0,"")))</f>
        <v/>
      </c>
      <c r="P795" s="25">
        <f>IF(N795="confiable",2,IF(N795="dudosa",1,IF(N795="no confiable",0,"")))</f>
        <v/>
      </c>
      <c r="Q795" s="25">
        <f>IF(AND(ISNUMBER(O795),ISNUMBER(P795)),1,"")</f>
        <v/>
      </c>
      <c r="R795" s="25">
        <f>IF(Q795=1,IF(O795=P795,"Sí","No"),"")</f>
        <v/>
      </c>
      <c r="S795" s="25">
        <f>IF(Q795=1,IF(P795&lt;O795,"Más estricto",IF(P795&gt;O795,"Más permisivo","Igual")),"")</f>
        <v/>
      </c>
      <c r="T795" s="25">
        <f>IF(Q795=1,IF(ABS(O795-P795)=2,1,0),"")</f>
        <v/>
      </c>
      <c r="U795" s="25">
        <f>IF(H795="","","|"&amp;SUBSTITUTE(SUBSTITUTE(TRIM(H795)," |","|"),"| ","|")&amp;"|")</f>
        <v/>
      </c>
      <c r="V795" s="25">
        <f>IF(AND(Q795=1,B795&lt;&gt;""),IF(IFERROR(COUNTIFS(B$3:B795,"="&amp;SUBSTITUTE(SUBSTITUTE(SUBSTITUTE(B795,"~","~~"),"*","~*"),"?","~?"),Q$3:Q795,1),0)=1,MAX(V$2:V794)+1,""),"")</f>
        <v/>
      </c>
      <c r="W795" s="25">
        <f>IF(V795="","",COUNTIFS($B$3:$B$1002,"="&amp;SUBSTITUTE(SUBSTITUTE(SUBSTITUTE(B795,"~","~~"),"*","~*"),"?","~?"),$Q$3:$Q$1002,1)*10000-V795)</f>
        <v/>
      </c>
      <c r="X795" s="25">
        <f>IF(Q795=1,IF(SUBSTITUTE(SUBSTITUTE(SUBSTITUTE(SUBSTITUTE(SUBSTITUTE(SUBSTITUTE(SUBSTITUTE(SUBSTITUTE(SUBSTITUTE(SUBSTITUTE(SUBSTITUTE(SUBSTITUTE(LOWER(TRIM(A795)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795)),"á","a"),"é","e"),"í","i"),"ó","o"),"ú","u"),"ü","u"),"ñ","n"),"à","a"),"è","e"),"ì","i"),"ò","o"),"ù","u")),"")</f>
        <v/>
      </c>
      <c r="Y795" s="25">
        <f>IF(X795="","",IF(IFERROR(COUNTIF(X$3:X795,"="&amp;SUBSTITUTE(SUBSTITUTE(SUBSTITUTE(X795,"~","~~"),"*","~*"),"?","~?")),0)=1,1,""))</f>
        <v/>
      </c>
      <c r="Z795" s="25">
        <f>IF(T795=1,MAX(Z$2:Z794)+1,"")</f>
        <v/>
      </c>
    </row>
    <row r="796">
      <c r="A796">
        <f>IF(A$2=0,"",IFERROR(TRIM(INDEX('Pegar calibracion'!$A$1:$BZ$1001,795,A$2)&amp;""),""))</f>
        <v/>
      </c>
      <c r="B796">
        <f>IF(B$2=0,"",IFERROR(TRIM(INDEX('Pegar calibracion'!$A$1:$BZ$1001,795,B$2)&amp;""),""))</f>
        <v/>
      </c>
      <c r="C796">
        <f>IF(C$2=0,"",IFERROR(TRIM(INDEX('Pegar calibracion'!$A$1:$BZ$1001,795,C$2)&amp;""),""))</f>
        <v/>
      </c>
      <c r="D796">
        <f>IF(D$2=0,"",IFERROR(TRIM(INDEX('Pegar calibracion'!$A$1:$BZ$1001,795,D$2)&amp;""),""))</f>
        <v/>
      </c>
      <c r="E796">
        <f>IF(E$2=0,"",IFERROR(TRIM(INDEX('Pegar calibracion'!$A$1:$BZ$1001,795,E$2)&amp;""),""))</f>
        <v/>
      </c>
      <c r="F796">
        <f>IF(F$2=0,"",IFERROR(TRIM(INDEX('Pegar calibracion'!$A$1:$BZ$1001,795,F$2)&amp;""),""))</f>
        <v/>
      </c>
      <c r="G796">
        <f>IF(G$2=0,"",IFERROR(TRIM(INDEX('Pegar calibracion'!$A$1:$BZ$1001,795,G$2)&amp;""),""))</f>
        <v/>
      </c>
      <c r="H796">
        <f>IF(H$2=0,"",IFERROR(TRIM(INDEX('Pegar calibracion'!$A$1:$BZ$1001,795,H$2)&amp;""),""))</f>
        <v/>
      </c>
      <c r="I796">
        <f>IF(I$2=0,"",IFERROR(TRIM(INDEX('Pegar calibracion'!$A$1:$BZ$1001,795,I$2)&amp;""),""))</f>
        <v/>
      </c>
      <c r="J796">
        <f>IF(J$2=0,"",IFERROR(TRIM(INDEX('Pegar calibracion'!$A$1:$BZ$1001,795,J$2)&amp;""),""))</f>
        <v/>
      </c>
      <c r="K796">
        <f>IF(K$2=0,"",IFERROR(TRIM(INDEX('Pegar calibracion'!$A$1:$BZ$1001,795,K$2)&amp;""),""))</f>
        <v/>
      </c>
      <c r="L796">
        <f>IF(L$2=0,"",IFERROR(TRIM(INDEX('Pegar calibracion'!$A$1:$BZ$1001,795,L$2)&amp;""),""))</f>
        <v/>
      </c>
      <c r="M796" s="25">
        <f>IF(D796="","",SUBSTITUTE(SUBSTITUTE(SUBSTITUTE(SUBSTITUTE(SUBSTITUTE(SUBSTITUTE(SUBSTITUTE(SUBSTITUTE(SUBSTITUTE(SUBSTITUTE(SUBSTITUTE(SUBSTITUTE(LOWER(TRIM(D796)),"á","a"),"é","e"),"í","i"),"ó","o"),"ú","u"),"ü","u"),"ñ","n"),"à","a"),"è","e"),"ì","i"),"ò","o"),"ù","u"))</f>
        <v/>
      </c>
      <c r="N796" s="25">
        <f>IF(F796="","",SUBSTITUTE(SUBSTITUTE(SUBSTITUTE(SUBSTITUTE(SUBSTITUTE(SUBSTITUTE(SUBSTITUTE(SUBSTITUTE(SUBSTITUTE(SUBSTITUTE(SUBSTITUTE(SUBSTITUTE(LOWER(TRIM(F796)),"á","a"),"é","e"),"í","i"),"ó","o"),"ú","u"),"ü","u"),"ñ","n"),"à","a"),"è","e"),"ì","i"),"ò","o"),"ù","u"))</f>
        <v/>
      </c>
      <c r="O796" s="25">
        <f>IF(M796="confiable",2,IF(M796="dudosa",1,IF(M796="no confiable",0,"")))</f>
        <v/>
      </c>
      <c r="P796" s="25">
        <f>IF(N796="confiable",2,IF(N796="dudosa",1,IF(N796="no confiable",0,"")))</f>
        <v/>
      </c>
      <c r="Q796" s="25">
        <f>IF(AND(ISNUMBER(O796),ISNUMBER(P796)),1,"")</f>
        <v/>
      </c>
      <c r="R796" s="25">
        <f>IF(Q796=1,IF(O796=P796,"Sí","No"),"")</f>
        <v/>
      </c>
      <c r="S796" s="25">
        <f>IF(Q796=1,IF(P796&lt;O796,"Más estricto",IF(P796&gt;O796,"Más permisivo","Igual")),"")</f>
        <v/>
      </c>
      <c r="T796" s="25">
        <f>IF(Q796=1,IF(ABS(O796-P796)=2,1,0),"")</f>
        <v/>
      </c>
      <c r="U796" s="25">
        <f>IF(H796="","","|"&amp;SUBSTITUTE(SUBSTITUTE(TRIM(H796)," |","|"),"| ","|")&amp;"|")</f>
        <v/>
      </c>
      <c r="V796" s="25">
        <f>IF(AND(Q796=1,B796&lt;&gt;""),IF(IFERROR(COUNTIFS(B$3:B796,"="&amp;SUBSTITUTE(SUBSTITUTE(SUBSTITUTE(B796,"~","~~"),"*","~*"),"?","~?"),Q$3:Q796,1),0)=1,MAX(V$2:V795)+1,""),"")</f>
        <v/>
      </c>
      <c r="W796" s="25">
        <f>IF(V796="","",COUNTIFS($B$3:$B$1002,"="&amp;SUBSTITUTE(SUBSTITUTE(SUBSTITUTE(B796,"~","~~"),"*","~*"),"?","~?"),$Q$3:$Q$1002,1)*10000-V796)</f>
        <v/>
      </c>
      <c r="X796" s="25">
        <f>IF(Q796=1,IF(SUBSTITUTE(SUBSTITUTE(SUBSTITUTE(SUBSTITUTE(SUBSTITUTE(SUBSTITUTE(SUBSTITUTE(SUBSTITUTE(SUBSTITUTE(SUBSTITUTE(SUBSTITUTE(SUBSTITUTE(LOWER(TRIM(A796)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796)),"á","a"),"é","e"),"í","i"),"ó","o"),"ú","u"),"ü","u"),"ñ","n"),"à","a"),"è","e"),"ì","i"),"ò","o"),"ù","u")),"")</f>
        <v/>
      </c>
      <c r="Y796" s="25">
        <f>IF(X796="","",IF(IFERROR(COUNTIF(X$3:X796,"="&amp;SUBSTITUTE(SUBSTITUTE(SUBSTITUTE(X796,"~","~~"),"*","~*"),"?","~?")),0)=1,1,""))</f>
        <v/>
      </c>
      <c r="Z796" s="25">
        <f>IF(T796=1,MAX(Z$2:Z795)+1,"")</f>
        <v/>
      </c>
    </row>
    <row r="797">
      <c r="A797">
        <f>IF(A$2=0,"",IFERROR(TRIM(INDEX('Pegar calibracion'!$A$1:$BZ$1001,796,A$2)&amp;""),""))</f>
        <v/>
      </c>
      <c r="B797">
        <f>IF(B$2=0,"",IFERROR(TRIM(INDEX('Pegar calibracion'!$A$1:$BZ$1001,796,B$2)&amp;""),""))</f>
        <v/>
      </c>
      <c r="C797">
        <f>IF(C$2=0,"",IFERROR(TRIM(INDEX('Pegar calibracion'!$A$1:$BZ$1001,796,C$2)&amp;""),""))</f>
        <v/>
      </c>
      <c r="D797">
        <f>IF(D$2=0,"",IFERROR(TRIM(INDEX('Pegar calibracion'!$A$1:$BZ$1001,796,D$2)&amp;""),""))</f>
        <v/>
      </c>
      <c r="E797">
        <f>IF(E$2=0,"",IFERROR(TRIM(INDEX('Pegar calibracion'!$A$1:$BZ$1001,796,E$2)&amp;""),""))</f>
        <v/>
      </c>
      <c r="F797">
        <f>IF(F$2=0,"",IFERROR(TRIM(INDEX('Pegar calibracion'!$A$1:$BZ$1001,796,F$2)&amp;""),""))</f>
        <v/>
      </c>
      <c r="G797">
        <f>IF(G$2=0,"",IFERROR(TRIM(INDEX('Pegar calibracion'!$A$1:$BZ$1001,796,G$2)&amp;""),""))</f>
        <v/>
      </c>
      <c r="H797">
        <f>IF(H$2=0,"",IFERROR(TRIM(INDEX('Pegar calibracion'!$A$1:$BZ$1001,796,H$2)&amp;""),""))</f>
        <v/>
      </c>
      <c r="I797">
        <f>IF(I$2=0,"",IFERROR(TRIM(INDEX('Pegar calibracion'!$A$1:$BZ$1001,796,I$2)&amp;""),""))</f>
        <v/>
      </c>
      <c r="J797">
        <f>IF(J$2=0,"",IFERROR(TRIM(INDEX('Pegar calibracion'!$A$1:$BZ$1001,796,J$2)&amp;""),""))</f>
        <v/>
      </c>
      <c r="K797">
        <f>IF(K$2=0,"",IFERROR(TRIM(INDEX('Pegar calibracion'!$A$1:$BZ$1001,796,K$2)&amp;""),""))</f>
        <v/>
      </c>
      <c r="L797">
        <f>IF(L$2=0,"",IFERROR(TRIM(INDEX('Pegar calibracion'!$A$1:$BZ$1001,796,L$2)&amp;""),""))</f>
        <v/>
      </c>
      <c r="M797" s="25">
        <f>IF(D797="","",SUBSTITUTE(SUBSTITUTE(SUBSTITUTE(SUBSTITUTE(SUBSTITUTE(SUBSTITUTE(SUBSTITUTE(SUBSTITUTE(SUBSTITUTE(SUBSTITUTE(SUBSTITUTE(SUBSTITUTE(LOWER(TRIM(D797)),"á","a"),"é","e"),"í","i"),"ó","o"),"ú","u"),"ü","u"),"ñ","n"),"à","a"),"è","e"),"ì","i"),"ò","o"),"ù","u"))</f>
        <v/>
      </c>
      <c r="N797" s="25">
        <f>IF(F797="","",SUBSTITUTE(SUBSTITUTE(SUBSTITUTE(SUBSTITUTE(SUBSTITUTE(SUBSTITUTE(SUBSTITUTE(SUBSTITUTE(SUBSTITUTE(SUBSTITUTE(SUBSTITUTE(SUBSTITUTE(LOWER(TRIM(F797)),"á","a"),"é","e"),"í","i"),"ó","o"),"ú","u"),"ü","u"),"ñ","n"),"à","a"),"è","e"),"ì","i"),"ò","o"),"ù","u"))</f>
        <v/>
      </c>
      <c r="O797" s="25">
        <f>IF(M797="confiable",2,IF(M797="dudosa",1,IF(M797="no confiable",0,"")))</f>
        <v/>
      </c>
      <c r="P797" s="25">
        <f>IF(N797="confiable",2,IF(N797="dudosa",1,IF(N797="no confiable",0,"")))</f>
        <v/>
      </c>
      <c r="Q797" s="25">
        <f>IF(AND(ISNUMBER(O797),ISNUMBER(P797)),1,"")</f>
        <v/>
      </c>
      <c r="R797" s="25">
        <f>IF(Q797=1,IF(O797=P797,"Sí","No"),"")</f>
        <v/>
      </c>
      <c r="S797" s="25">
        <f>IF(Q797=1,IF(P797&lt;O797,"Más estricto",IF(P797&gt;O797,"Más permisivo","Igual")),"")</f>
        <v/>
      </c>
      <c r="T797" s="25">
        <f>IF(Q797=1,IF(ABS(O797-P797)=2,1,0),"")</f>
        <v/>
      </c>
      <c r="U797" s="25">
        <f>IF(H797="","","|"&amp;SUBSTITUTE(SUBSTITUTE(TRIM(H797)," |","|"),"| ","|")&amp;"|")</f>
        <v/>
      </c>
      <c r="V797" s="25">
        <f>IF(AND(Q797=1,B797&lt;&gt;""),IF(IFERROR(COUNTIFS(B$3:B797,"="&amp;SUBSTITUTE(SUBSTITUTE(SUBSTITUTE(B797,"~","~~"),"*","~*"),"?","~?"),Q$3:Q797,1),0)=1,MAX(V$2:V796)+1,""),"")</f>
        <v/>
      </c>
      <c r="W797" s="25">
        <f>IF(V797="","",COUNTIFS($B$3:$B$1002,"="&amp;SUBSTITUTE(SUBSTITUTE(SUBSTITUTE(B797,"~","~~"),"*","~*"),"?","~?"),$Q$3:$Q$1002,1)*10000-V797)</f>
        <v/>
      </c>
      <c r="X797" s="25">
        <f>IF(Q797=1,IF(SUBSTITUTE(SUBSTITUTE(SUBSTITUTE(SUBSTITUTE(SUBSTITUTE(SUBSTITUTE(SUBSTITUTE(SUBSTITUTE(SUBSTITUTE(SUBSTITUTE(SUBSTITUTE(SUBSTITUTE(LOWER(TRIM(A797)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797)),"á","a"),"é","e"),"í","i"),"ó","o"),"ú","u"),"ü","u"),"ñ","n"),"à","a"),"è","e"),"ì","i"),"ò","o"),"ù","u")),"")</f>
        <v/>
      </c>
      <c r="Y797" s="25">
        <f>IF(X797="","",IF(IFERROR(COUNTIF(X$3:X797,"="&amp;SUBSTITUTE(SUBSTITUTE(SUBSTITUTE(X797,"~","~~"),"*","~*"),"?","~?")),0)=1,1,""))</f>
        <v/>
      </c>
      <c r="Z797" s="25">
        <f>IF(T797=1,MAX(Z$2:Z796)+1,"")</f>
        <v/>
      </c>
    </row>
    <row r="798">
      <c r="A798">
        <f>IF(A$2=0,"",IFERROR(TRIM(INDEX('Pegar calibracion'!$A$1:$BZ$1001,797,A$2)&amp;""),""))</f>
        <v/>
      </c>
      <c r="B798">
        <f>IF(B$2=0,"",IFERROR(TRIM(INDEX('Pegar calibracion'!$A$1:$BZ$1001,797,B$2)&amp;""),""))</f>
        <v/>
      </c>
      <c r="C798">
        <f>IF(C$2=0,"",IFERROR(TRIM(INDEX('Pegar calibracion'!$A$1:$BZ$1001,797,C$2)&amp;""),""))</f>
        <v/>
      </c>
      <c r="D798">
        <f>IF(D$2=0,"",IFERROR(TRIM(INDEX('Pegar calibracion'!$A$1:$BZ$1001,797,D$2)&amp;""),""))</f>
        <v/>
      </c>
      <c r="E798">
        <f>IF(E$2=0,"",IFERROR(TRIM(INDEX('Pegar calibracion'!$A$1:$BZ$1001,797,E$2)&amp;""),""))</f>
        <v/>
      </c>
      <c r="F798">
        <f>IF(F$2=0,"",IFERROR(TRIM(INDEX('Pegar calibracion'!$A$1:$BZ$1001,797,F$2)&amp;""),""))</f>
        <v/>
      </c>
      <c r="G798">
        <f>IF(G$2=0,"",IFERROR(TRIM(INDEX('Pegar calibracion'!$A$1:$BZ$1001,797,G$2)&amp;""),""))</f>
        <v/>
      </c>
      <c r="H798">
        <f>IF(H$2=0,"",IFERROR(TRIM(INDEX('Pegar calibracion'!$A$1:$BZ$1001,797,H$2)&amp;""),""))</f>
        <v/>
      </c>
      <c r="I798">
        <f>IF(I$2=0,"",IFERROR(TRIM(INDEX('Pegar calibracion'!$A$1:$BZ$1001,797,I$2)&amp;""),""))</f>
        <v/>
      </c>
      <c r="J798">
        <f>IF(J$2=0,"",IFERROR(TRIM(INDEX('Pegar calibracion'!$A$1:$BZ$1001,797,J$2)&amp;""),""))</f>
        <v/>
      </c>
      <c r="K798">
        <f>IF(K$2=0,"",IFERROR(TRIM(INDEX('Pegar calibracion'!$A$1:$BZ$1001,797,K$2)&amp;""),""))</f>
        <v/>
      </c>
      <c r="L798">
        <f>IF(L$2=0,"",IFERROR(TRIM(INDEX('Pegar calibracion'!$A$1:$BZ$1001,797,L$2)&amp;""),""))</f>
        <v/>
      </c>
      <c r="M798" s="25">
        <f>IF(D798="","",SUBSTITUTE(SUBSTITUTE(SUBSTITUTE(SUBSTITUTE(SUBSTITUTE(SUBSTITUTE(SUBSTITUTE(SUBSTITUTE(SUBSTITUTE(SUBSTITUTE(SUBSTITUTE(SUBSTITUTE(LOWER(TRIM(D798)),"á","a"),"é","e"),"í","i"),"ó","o"),"ú","u"),"ü","u"),"ñ","n"),"à","a"),"è","e"),"ì","i"),"ò","o"),"ù","u"))</f>
        <v/>
      </c>
      <c r="N798" s="25">
        <f>IF(F798="","",SUBSTITUTE(SUBSTITUTE(SUBSTITUTE(SUBSTITUTE(SUBSTITUTE(SUBSTITUTE(SUBSTITUTE(SUBSTITUTE(SUBSTITUTE(SUBSTITUTE(SUBSTITUTE(SUBSTITUTE(LOWER(TRIM(F798)),"á","a"),"é","e"),"í","i"),"ó","o"),"ú","u"),"ü","u"),"ñ","n"),"à","a"),"è","e"),"ì","i"),"ò","o"),"ù","u"))</f>
        <v/>
      </c>
      <c r="O798" s="25">
        <f>IF(M798="confiable",2,IF(M798="dudosa",1,IF(M798="no confiable",0,"")))</f>
        <v/>
      </c>
      <c r="P798" s="25">
        <f>IF(N798="confiable",2,IF(N798="dudosa",1,IF(N798="no confiable",0,"")))</f>
        <v/>
      </c>
      <c r="Q798" s="25">
        <f>IF(AND(ISNUMBER(O798),ISNUMBER(P798)),1,"")</f>
        <v/>
      </c>
      <c r="R798" s="25">
        <f>IF(Q798=1,IF(O798=P798,"Sí","No"),"")</f>
        <v/>
      </c>
      <c r="S798" s="25">
        <f>IF(Q798=1,IF(P798&lt;O798,"Más estricto",IF(P798&gt;O798,"Más permisivo","Igual")),"")</f>
        <v/>
      </c>
      <c r="T798" s="25">
        <f>IF(Q798=1,IF(ABS(O798-P798)=2,1,0),"")</f>
        <v/>
      </c>
      <c r="U798" s="25">
        <f>IF(H798="","","|"&amp;SUBSTITUTE(SUBSTITUTE(TRIM(H798)," |","|"),"| ","|")&amp;"|")</f>
        <v/>
      </c>
      <c r="V798" s="25">
        <f>IF(AND(Q798=1,B798&lt;&gt;""),IF(IFERROR(COUNTIFS(B$3:B798,"="&amp;SUBSTITUTE(SUBSTITUTE(SUBSTITUTE(B798,"~","~~"),"*","~*"),"?","~?"),Q$3:Q798,1),0)=1,MAX(V$2:V797)+1,""),"")</f>
        <v/>
      </c>
      <c r="W798" s="25">
        <f>IF(V798="","",COUNTIFS($B$3:$B$1002,"="&amp;SUBSTITUTE(SUBSTITUTE(SUBSTITUTE(B798,"~","~~"),"*","~*"),"?","~?"),$Q$3:$Q$1002,1)*10000-V798)</f>
        <v/>
      </c>
      <c r="X798" s="25">
        <f>IF(Q798=1,IF(SUBSTITUTE(SUBSTITUTE(SUBSTITUTE(SUBSTITUTE(SUBSTITUTE(SUBSTITUTE(SUBSTITUTE(SUBSTITUTE(SUBSTITUTE(SUBSTITUTE(SUBSTITUTE(SUBSTITUTE(LOWER(TRIM(A798)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798)),"á","a"),"é","e"),"í","i"),"ó","o"),"ú","u"),"ü","u"),"ñ","n"),"à","a"),"è","e"),"ì","i"),"ò","o"),"ù","u")),"")</f>
        <v/>
      </c>
      <c r="Y798" s="25">
        <f>IF(X798="","",IF(IFERROR(COUNTIF(X$3:X798,"="&amp;SUBSTITUTE(SUBSTITUTE(SUBSTITUTE(X798,"~","~~"),"*","~*"),"?","~?")),0)=1,1,""))</f>
        <v/>
      </c>
      <c r="Z798" s="25">
        <f>IF(T798=1,MAX(Z$2:Z797)+1,"")</f>
        <v/>
      </c>
    </row>
    <row r="799">
      <c r="A799">
        <f>IF(A$2=0,"",IFERROR(TRIM(INDEX('Pegar calibracion'!$A$1:$BZ$1001,798,A$2)&amp;""),""))</f>
        <v/>
      </c>
      <c r="B799">
        <f>IF(B$2=0,"",IFERROR(TRIM(INDEX('Pegar calibracion'!$A$1:$BZ$1001,798,B$2)&amp;""),""))</f>
        <v/>
      </c>
      <c r="C799">
        <f>IF(C$2=0,"",IFERROR(TRIM(INDEX('Pegar calibracion'!$A$1:$BZ$1001,798,C$2)&amp;""),""))</f>
        <v/>
      </c>
      <c r="D799">
        <f>IF(D$2=0,"",IFERROR(TRIM(INDEX('Pegar calibracion'!$A$1:$BZ$1001,798,D$2)&amp;""),""))</f>
        <v/>
      </c>
      <c r="E799">
        <f>IF(E$2=0,"",IFERROR(TRIM(INDEX('Pegar calibracion'!$A$1:$BZ$1001,798,E$2)&amp;""),""))</f>
        <v/>
      </c>
      <c r="F799">
        <f>IF(F$2=0,"",IFERROR(TRIM(INDEX('Pegar calibracion'!$A$1:$BZ$1001,798,F$2)&amp;""),""))</f>
        <v/>
      </c>
      <c r="G799">
        <f>IF(G$2=0,"",IFERROR(TRIM(INDEX('Pegar calibracion'!$A$1:$BZ$1001,798,G$2)&amp;""),""))</f>
        <v/>
      </c>
      <c r="H799">
        <f>IF(H$2=0,"",IFERROR(TRIM(INDEX('Pegar calibracion'!$A$1:$BZ$1001,798,H$2)&amp;""),""))</f>
        <v/>
      </c>
      <c r="I799">
        <f>IF(I$2=0,"",IFERROR(TRIM(INDEX('Pegar calibracion'!$A$1:$BZ$1001,798,I$2)&amp;""),""))</f>
        <v/>
      </c>
      <c r="J799">
        <f>IF(J$2=0,"",IFERROR(TRIM(INDEX('Pegar calibracion'!$A$1:$BZ$1001,798,J$2)&amp;""),""))</f>
        <v/>
      </c>
      <c r="K799">
        <f>IF(K$2=0,"",IFERROR(TRIM(INDEX('Pegar calibracion'!$A$1:$BZ$1001,798,K$2)&amp;""),""))</f>
        <v/>
      </c>
      <c r="L799">
        <f>IF(L$2=0,"",IFERROR(TRIM(INDEX('Pegar calibracion'!$A$1:$BZ$1001,798,L$2)&amp;""),""))</f>
        <v/>
      </c>
      <c r="M799" s="25">
        <f>IF(D799="","",SUBSTITUTE(SUBSTITUTE(SUBSTITUTE(SUBSTITUTE(SUBSTITUTE(SUBSTITUTE(SUBSTITUTE(SUBSTITUTE(SUBSTITUTE(SUBSTITUTE(SUBSTITUTE(SUBSTITUTE(LOWER(TRIM(D799)),"á","a"),"é","e"),"í","i"),"ó","o"),"ú","u"),"ü","u"),"ñ","n"),"à","a"),"è","e"),"ì","i"),"ò","o"),"ù","u"))</f>
        <v/>
      </c>
      <c r="N799" s="25">
        <f>IF(F799="","",SUBSTITUTE(SUBSTITUTE(SUBSTITUTE(SUBSTITUTE(SUBSTITUTE(SUBSTITUTE(SUBSTITUTE(SUBSTITUTE(SUBSTITUTE(SUBSTITUTE(SUBSTITUTE(SUBSTITUTE(LOWER(TRIM(F799)),"á","a"),"é","e"),"í","i"),"ó","o"),"ú","u"),"ü","u"),"ñ","n"),"à","a"),"è","e"),"ì","i"),"ò","o"),"ù","u"))</f>
        <v/>
      </c>
      <c r="O799" s="25">
        <f>IF(M799="confiable",2,IF(M799="dudosa",1,IF(M799="no confiable",0,"")))</f>
        <v/>
      </c>
      <c r="P799" s="25">
        <f>IF(N799="confiable",2,IF(N799="dudosa",1,IF(N799="no confiable",0,"")))</f>
        <v/>
      </c>
      <c r="Q799" s="25">
        <f>IF(AND(ISNUMBER(O799),ISNUMBER(P799)),1,"")</f>
        <v/>
      </c>
      <c r="R799" s="25">
        <f>IF(Q799=1,IF(O799=P799,"Sí","No"),"")</f>
        <v/>
      </c>
      <c r="S799" s="25">
        <f>IF(Q799=1,IF(P799&lt;O799,"Más estricto",IF(P799&gt;O799,"Más permisivo","Igual")),"")</f>
        <v/>
      </c>
      <c r="T799" s="25">
        <f>IF(Q799=1,IF(ABS(O799-P799)=2,1,0),"")</f>
        <v/>
      </c>
      <c r="U799" s="25">
        <f>IF(H799="","","|"&amp;SUBSTITUTE(SUBSTITUTE(TRIM(H799)," |","|"),"| ","|")&amp;"|")</f>
        <v/>
      </c>
      <c r="V799" s="25">
        <f>IF(AND(Q799=1,B799&lt;&gt;""),IF(IFERROR(COUNTIFS(B$3:B799,"="&amp;SUBSTITUTE(SUBSTITUTE(SUBSTITUTE(B799,"~","~~"),"*","~*"),"?","~?"),Q$3:Q799,1),0)=1,MAX(V$2:V798)+1,""),"")</f>
        <v/>
      </c>
      <c r="W799" s="25">
        <f>IF(V799="","",COUNTIFS($B$3:$B$1002,"="&amp;SUBSTITUTE(SUBSTITUTE(SUBSTITUTE(B799,"~","~~"),"*","~*"),"?","~?"),$Q$3:$Q$1002,1)*10000-V799)</f>
        <v/>
      </c>
      <c r="X799" s="25">
        <f>IF(Q799=1,IF(SUBSTITUTE(SUBSTITUTE(SUBSTITUTE(SUBSTITUTE(SUBSTITUTE(SUBSTITUTE(SUBSTITUTE(SUBSTITUTE(SUBSTITUTE(SUBSTITUTE(SUBSTITUTE(SUBSTITUTE(LOWER(TRIM(A799)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799)),"á","a"),"é","e"),"í","i"),"ó","o"),"ú","u"),"ü","u"),"ñ","n"),"à","a"),"è","e"),"ì","i"),"ò","o"),"ù","u")),"")</f>
        <v/>
      </c>
      <c r="Y799" s="25">
        <f>IF(X799="","",IF(IFERROR(COUNTIF(X$3:X799,"="&amp;SUBSTITUTE(SUBSTITUTE(SUBSTITUTE(X799,"~","~~"),"*","~*"),"?","~?")),0)=1,1,""))</f>
        <v/>
      </c>
      <c r="Z799" s="25">
        <f>IF(T799=1,MAX(Z$2:Z798)+1,"")</f>
        <v/>
      </c>
    </row>
    <row r="800">
      <c r="A800">
        <f>IF(A$2=0,"",IFERROR(TRIM(INDEX('Pegar calibracion'!$A$1:$BZ$1001,799,A$2)&amp;""),""))</f>
        <v/>
      </c>
      <c r="B800">
        <f>IF(B$2=0,"",IFERROR(TRIM(INDEX('Pegar calibracion'!$A$1:$BZ$1001,799,B$2)&amp;""),""))</f>
        <v/>
      </c>
      <c r="C800">
        <f>IF(C$2=0,"",IFERROR(TRIM(INDEX('Pegar calibracion'!$A$1:$BZ$1001,799,C$2)&amp;""),""))</f>
        <v/>
      </c>
      <c r="D800">
        <f>IF(D$2=0,"",IFERROR(TRIM(INDEX('Pegar calibracion'!$A$1:$BZ$1001,799,D$2)&amp;""),""))</f>
        <v/>
      </c>
      <c r="E800">
        <f>IF(E$2=0,"",IFERROR(TRIM(INDEX('Pegar calibracion'!$A$1:$BZ$1001,799,E$2)&amp;""),""))</f>
        <v/>
      </c>
      <c r="F800">
        <f>IF(F$2=0,"",IFERROR(TRIM(INDEX('Pegar calibracion'!$A$1:$BZ$1001,799,F$2)&amp;""),""))</f>
        <v/>
      </c>
      <c r="G800">
        <f>IF(G$2=0,"",IFERROR(TRIM(INDEX('Pegar calibracion'!$A$1:$BZ$1001,799,G$2)&amp;""),""))</f>
        <v/>
      </c>
      <c r="H800">
        <f>IF(H$2=0,"",IFERROR(TRIM(INDEX('Pegar calibracion'!$A$1:$BZ$1001,799,H$2)&amp;""),""))</f>
        <v/>
      </c>
      <c r="I800">
        <f>IF(I$2=0,"",IFERROR(TRIM(INDEX('Pegar calibracion'!$A$1:$BZ$1001,799,I$2)&amp;""),""))</f>
        <v/>
      </c>
      <c r="J800">
        <f>IF(J$2=0,"",IFERROR(TRIM(INDEX('Pegar calibracion'!$A$1:$BZ$1001,799,J$2)&amp;""),""))</f>
        <v/>
      </c>
      <c r="K800">
        <f>IF(K$2=0,"",IFERROR(TRIM(INDEX('Pegar calibracion'!$A$1:$BZ$1001,799,K$2)&amp;""),""))</f>
        <v/>
      </c>
      <c r="L800">
        <f>IF(L$2=0,"",IFERROR(TRIM(INDEX('Pegar calibracion'!$A$1:$BZ$1001,799,L$2)&amp;""),""))</f>
        <v/>
      </c>
      <c r="M800" s="25">
        <f>IF(D800="","",SUBSTITUTE(SUBSTITUTE(SUBSTITUTE(SUBSTITUTE(SUBSTITUTE(SUBSTITUTE(SUBSTITUTE(SUBSTITUTE(SUBSTITUTE(SUBSTITUTE(SUBSTITUTE(SUBSTITUTE(LOWER(TRIM(D800)),"á","a"),"é","e"),"í","i"),"ó","o"),"ú","u"),"ü","u"),"ñ","n"),"à","a"),"è","e"),"ì","i"),"ò","o"),"ù","u"))</f>
        <v/>
      </c>
      <c r="N800" s="25">
        <f>IF(F800="","",SUBSTITUTE(SUBSTITUTE(SUBSTITUTE(SUBSTITUTE(SUBSTITUTE(SUBSTITUTE(SUBSTITUTE(SUBSTITUTE(SUBSTITUTE(SUBSTITUTE(SUBSTITUTE(SUBSTITUTE(LOWER(TRIM(F800)),"á","a"),"é","e"),"í","i"),"ó","o"),"ú","u"),"ü","u"),"ñ","n"),"à","a"),"è","e"),"ì","i"),"ò","o"),"ù","u"))</f>
        <v/>
      </c>
      <c r="O800" s="25">
        <f>IF(M800="confiable",2,IF(M800="dudosa",1,IF(M800="no confiable",0,"")))</f>
        <v/>
      </c>
      <c r="P800" s="25">
        <f>IF(N800="confiable",2,IF(N800="dudosa",1,IF(N800="no confiable",0,"")))</f>
        <v/>
      </c>
      <c r="Q800" s="25">
        <f>IF(AND(ISNUMBER(O800),ISNUMBER(P800)),1,"")</f>
        <v/>
      </c>
      <c r="R800" s="25">
        <f>IF(Q800=1,IF(O800=P800,"Sí","No"),"")</f>
        <v/>
      </c>
      <c r="S800" s="25">
        <f>IF(Q800=1,IF(P800&lt;O800,"Más estricto",IF(P800&gt;O800,"Más permisivo","Igual")),"")</f>
        <v/>
      </c>
      <c r="T800" s="25">
        <f>IF(Q800=1,IF(ABS(O800-P800)=2,1,0),"")</f>
        <v/>
      </c>
      <c r="U800" s="25">
        <f>IF(H800="","","|"&amp;SUBSTITUTE(SUBSTITUTE(TRIM(H800)," |","|"),"| ","|")&amp;"|")</f>
        <v/>
      </c>
      <c r="V800" s="25">
        <f>IF(AND(Q800=1,B800&lt;&gt;""),IF(IFERROR(COUNTIFS(B$3:B800,"="&amp;SUBSTITUTE(SUBSTITUTE(SUBSTITUTE(B800,"~","~~"),"*","~*"),"?","~?"),Q$3:Q800,1),0)=1,MAX(V$2:V799)+1,""),"")</f>
        <v/>
      </c>
      <c r="W800" s="25">
        <f>IF(V800="","",COUNTIFS($B$3:$B$1002,"="&amp;SUBSTITUTE(SUBSTITUTE(SUBSTITUTE(B800,"~","~~"),"*","~*"),"?","~?"),$Q$3:$Q$1002,1)*10000-V800)</f>
        <v/>
      </c>
      <c r="X800" s="25">
        <f>IF(Q800=1,IF(SUBSTITUTE(SUBSTITUTE(SUBSTITUTE(SUBSTITUTE(SUBSTITUTE(SUBSTITUTE(SUBSTITUTE(SUBSTITUTE(SUBSTITUTE(SUBSTITUTE(SUBSTITUTE(SUBSTITUTE(LOWER(TRIM(A800)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800)),"á","a"),"é","e"),"í","i"),"ó","o"),"ú","u"),"ü","u"),"ñ","n"),"à","a"),"è","e"),"ì","i"),"ò","o"),"ù","u")),"")</f>
        <v/>
      </c>
      <c r="Y800" s="25">
        <f>IF(X800="","",IF(IFERROR(COUNTIF(X$3:X800,"="&amp;SUBSTITUTE(SUBSTITUTE(SUBSTITUTE(X800,"~","~~"),"*","~*"),"?","~?")),0)=1,1,""))</f>
        <v/>
      </c>
      <c r="Z800" s="25">
        <f>IF(T800=1,MAX(Z$2:Z799)+1,"")</f>
        <v/>
      </c>
    </row>
    <row r="801">
      <c r="A801">
        <f>IF(A$2=0,"",IFERROR(TRIM(INDEX('Pegar calibracion'!$A$1:$BZ$1001,800,A$2)&amp;""),""))</f>
        <v/>
      </c>
      <c r="B801">
        <f>IF(B$2=0,"",IFERROR(TRIM(INDEX('Pegar calibracion'!$A$1:$BZ$1001,800,B$2)&amp;""),""))</f>
        <v/>
      </c>
      <c r="C801">
        <f>IF(C$2=0,"",IFERROR(TRIM(INDEX('Pegar calibracion'!$A$1:$BZ$1001,800,C$2)&amp;""),""))</f>
        <v/>
      </c>
      <c r="D801">
        <f>IF(D$2=0,"",IFERROR(TRIM(INDEX('Pegar calibracion'!$A$1:$BZ$1001,800,D$2)&amp;""),""))</f>
        <v/>
      </c>
      <c r="E801">
        <f>IF(E$2=0,"",IFERROR(TRIM(INDEX('Pegar calibracion'!$A$1:$BZ$1001,800,E$2)&amp;""),""))</f>
        <v/>
      </c>
      <c r="F801">
        <f>IF(F$2=0,"",IFERROR(TRIM(INDEX('Pegar calibracion'!$A$1:$BZ$1001,800,F$2)&amp;""),""))</f>
        <v/>
      </c>
      <c r="G801">
        <f>IF(G$2=0,"",IFERROR(TRIM(INDEX('Pegar calibracion'!$A$1:$BZ$1001,800,G$2)&amp;""),""))</f>
        <v/>
      </c>
      <c r="H801">
        <f>IF(H$2=0,"",IFERROR(TRIM(INDEX('Pegar calibracion'!$A$1:$BZ$1001,800,H$2)&amp;""),""))</f>
        <v/>
      </c>
      <c r="I801">
        <f>IF(I$2=0,"",IFERROR(TRIM(INDEX('Pegar calibracion'!$A$1:$BZ$1001,800,I$2)&amp;""),""))</f>
        <v/>
      </c>
      <c r="J801">
        <f>IF(J$2=0,"",IFERROR(TRIM(INDEX('Pegar calibracion'!$A$1:$BZ$1001,800,J$2)&amp;""),""))</f>
        <v/>
      </c>
      <c r="K801">
        <f>IF(K$2=0,"",IFERROR(TRIM(INDEX('Pegar calibracion'!$A$1:$BZ$1001,800,K$2)&amp;""),""))</f>
        <v/>
      </c>
      <c r="L801">
        <f>IF(L$2=0,"",IFERROR(TRIM(INDEX('Pegar calibracion'!$A$1:$BZ$1001,800,L$2)&amp;""),""))</f>
        <v/>
      </c>
      <c r="M801" s="25">
        <f>IF(D801="","",SUBSTITUTE(SUBSTITUTE(SUBSTITUTE(SUBSTITUTE(SUBSTITUTE(SUBSTITUTE(SUBSTITUTE(SUBSTITUTE(SUBSTITUTE(SUBSTITUTE(SUBSTITUTE(SUBSTITUTE(LOWER(TRIM(D801)),"á","a"),"é","e"),"í","i"),"ó","o"),"ú","u"),"ü","u"),"ñ","n"),"à","a"),"è","e"),"ì","i"),"ò","o"),"ù","u"))</f>
        <v/>
      </c>
      <c r="N801" s="25">
        <f>IF(F801="","",SUBSTITUTE(SUBSTITUTE(SUBSTITUTE(SUBSTITUTE(SUBSTITUTE(SUBSTITUTE(SUBSTITUTE(SUBSTITUTE(SUBSTITUTE(SUBSTITUTE(SUBSTITUTE(SUBSTITUTE(LOWER(TRIM(F801)),"á","a"),"é","e"),"í","i"),"ó","o"),"ú","u"),"ü","u"),"ñ","n"),"à","a"),"è","e"),"ì","i"),"ò","o"),"ù","u"))</f>
        <v/>
      </c>
      <c r="O801" s="25">
        <f>IF(M801="confiable",2,IF(M801="dudosa",1,IF(M801="no confiable",0,"")))</f>
        <v/>
      </c>
      <c r="P801" s="25">
        <f>IF(N801="confiable",2,IF(N801="dudosa",1,IF(N801="no confiable",0,"")))</f>
        <v/>
      </c>
      <c r="Q801" s="25">
        <f>IF(AND(ISNUMBER(O801),ISNUMBER(P801)),1,"")</f>
        <v/>
      </c>
      <c r="R801" s="25">
        <f>IF(Q801=1,IF(O801=P801,"Sí","No"),"")</f>
        <v/>
      </c>
      <c r="S801" s="25">
        <f>IF(Q801=1,IF(P801&lt;O801,"Más estricto",IF(P801&gt;O801,"Más permisivo","Igual")),"")</f>
        <v/>
      </c>
      <c r="T801" s="25">
        <f>IF(Q801=1,IF(ABS(O801-P801)=2,1,0),"")</f>
        <v/>
      </c>
      <c r="U801" s="25">
        <f>IF(H801="","","|"&amp;SUBSTITUTE(SUBSTITUTE(TRIM(H801)," |","|"),"| ","|")&amp;"|")</f>
        <v/>
      </c>
      <c r="V801" s="25">
        <f>IF(AND(Q801=1,B801&lt;&gt;""),IF(IFERROR(COUNTIFS(B$3:B801,"="&amp;SUBSTITUTE(SUBSTITUTE(SUBSTITUTE(B801,"~","~~"),"*","~*"),"?","~?"),Q$3:Q801,1),0)=1,MAX(V$2:V800)+1,""),"")</f>
        <v/>
      </c>
      <c r="W801" s="25">
        <f>IF(V801="","",COUNTIFS($B$3:$B$1002,"="&amp;SUBSTITUTE(SUBSTITUTE(SUBSTITUTE(B801,"~","~~"),"*","~*"),"?","~?"),$Q$3:$Q$1002,1)*10000-V801)</f>
        <v/>
      </c>
      <c r="X801" s="25">
        <f>IF(Q801=1,IF(SUBSTITUTE(SUBSTITUTE(SUBSTITUTE(SUBSTITUTE(SUBSTITUTE(SUBSTITUTE(SUBSTITUTE(SUBSTITUTE(SUBSTITUTE(SUBSTITUTE(SUBSTITUTE(SUBSTITUTE(LOWER(TRIM(A801)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801)),"á","a"),"é","e"),"í","i"),"ó","o"),"ú","u"),"ü","u"),"ñ","n"),"à","a"),"è","e"),"ì","i"),"ò","o"),"ù","u")),"")</f>
        <v/>
      </c>
      <c r="Y801" s="25">
        <f>IF(X801="","",IF(IFERROR(COUNTIF(X$3:X801,"="&amp;SUBSTITUTE(SUBSTITUTE(SUBSTITUTE(X801,"~","~~"),"*","~*"),"?","~?")),0)=1,1,""))</f>
        <v/>
      </c>
      <c r="Z801" s="25">
        <f>IF(T801=1,MAX(Z$2:Z800)+1,"")</f>
        <v/>
      </c>
    </row>
    <row r="802">
      <c r="A802">
        <f>IF(A$2=0,"",IFERROR(TRIM(INDEX('Pegar calibracion'!$A$1:$BZ$1001,801,A$2)&amp;""),""))</f>
        <v/>
      </c>
      <c r="B802">
        <f>IF(B$2=0,"",IFERROR(TRIM(INDEX('Pegar calibracion'!$A$1:$BZ$1001,801,B$2)&amp;""),""))</f>
        <v/>
      </c>
      <c r="C802">
        <f>IF(C$2=0,"",IFERROR(TRIM(INDEX('Pegar calibracion'!$A$1:$BZ$1001,801,C$2)&amp;""),""))</f>
        <v/>
      </c>
      <c r="D802">
        <f>IF(D$2=0,"",IFERROR(TRIM(INDEX('Pegar calibracion'!$A$1:$BZ$1001,801,D$2)&amp;""),""))</f>
        <v/>
      </c>
      <c r="E802">
        <f>IF(E$2=0,"",IFERROR(TRIM(INDEX('Pegar calibracion'!$A$1:$BZ$1001,801,E$2)&amp;""),""))</f>
        <v/>
      </c>
      <c r="F802">
        <f>IF(F$2=0,"",IFERROR(TRIM(INDEX('Pegar calibracion'!$A$1:$BZ$1001,801,F$2)&amp;""),""))</f>
        <v/>
      </c>
      <c r="G802">
        <f>IF(G$2=0,"",IFERROR(TRIM(INDEX('Pegar calibracion'!$A$1:$BZ$1001,801,G$2)&amp;""),""))</f>
        <v/>
      </c>
      <c r="H802">
        <f>IF(H$2=0,"",IFERROR(TRIM(INDEX('Pegar calibracion'!$A$1:$BZ$1001,801,H$2)&amp;""),""))</f>
        <v/>
      </c>
      <c r="I802">
        <f>IF(I$2=0,"",IFERROR(TRIM(INDEX('Pegar calibracion'!$A$1:$BZ$1001,801,I$2)&amp;""),""))</f>
        <v/>
      </c>
      <c r="J802">
        <f>IF(J$2=0,"",IFERROR(TRIM(INDEX('Pegar calibracion'!$A$1:$BZ$1001,801,J$2)&amp;""),""))</f>
        <v/>
      </c>
      <c r="K802">
        <f>IF(K$2=0,"",IFERROR(TRIM(INDEX('Pegar calibracion'!$A$1:$BZ$1001,801,K$2)&amp;""),""))</f>
        <v/>
      </c>
      <c r="L802">
        <f>IF(L$2=0,"",IFERROR(TRIM(INDEX('Pegar calibracion'!$A$1:$BZ$1001,801,L$2)&amp;""),""))</f>
        <v/>
      </c>
      <c r="M802" s="25">
        <f>IF(D802="","",SUBSTITUTE(SUBSTITUTE(SUBSTITUTE(SUBSTITUTE(SUBSTITUTE(SUBSTITUTE(SUBSTITUTE(SUBSTITUTE(SUBSTITUTE(SUBSTITUTE(SUBSTITUTE(SUBSTITUTE(LOWER(TRIM(D802)),"á","a"),"é","e"),"í","i"),"ó","o"),"ú","u"),"ü","u"),"ñ","n"),"à","a"),"è","e"),"ì","i"),"ò","o"),"ù","u"))</f>
        <v/>
      </c>
      <c r="N802" s="25">
        <f>IF(F802="","",SUBSTITUTE(SUBSTITUTE(SUBSTITUTE(SUBSTITUTE(SUBSTITUTE(SUBSTITUTE(SUBSTITUTE(SUBSTITUTE(SUBSTITUTE(SUBSTITUTE(SUBSTITUTE(SUBSTITUTE(LOWER(TRIM(F802)),"á","a"),"é","e"),"í","i"),"ó","o"),"ú","u"),"ü","u"),"ñ","n"),"à","a"),"è","e"),"ì","i"),"ò","o"),"ù","u"))</f>
        <v/>
      </c>
      <c r="O802" s="25">
        <f>IF(M802="confiable",2,IF(M802="dudosa",1,IF(M802="no confiable",0,"")))</f>
        <v/>
      </c>
      <c r="P802" s="25">
        <f>IF(N802="confiable",2,IF(N802="dudosa",1,IF(N802="no confiable",0,"")))</f>
        <v/>
      </c>
      <c r="Q802" s="25">
        <f>IF(AND(ISNUMBER(O802),ISNUMBER(P802)),1,"")</f>
        <v/>
      </c>
      <c r="R802" s="25">
        <f>IF(Q802=1,IF(O802=P802,"Sí","No"),"")</f>
        <v/>
      </c>
      <c r="S802" s="25">
        <f>IF(Q802=1,IF(P802&lt;O802,"Más estricto",IF(P802&gt;O802,"Más permisivo","Igual")),"")</f>
        <v/>
      </c>
      <c r="T802" s="25">
        <f>IF(Q802=1,IF(ABS(O802-P802)=2,1,0),"")</f>
        <v/>
      </c>
      <c r="U802" s="25">
        <f>IF(H802="","","|"&amp;SUBSTITUTE(SUBSTITUTE(TRIM(H802)," |","|"),"| ","|")&amp;"|")</f>
        <v/>
      </c>
      <c r="V802" s="25">
        <f>IF(AND(Q802=1,B802&lt;&gt;""),IF(IFERROR(COUNTIFS(B$3:B802,"="&amp;SUBSTITUTE(SUBSTITUTE(SUBSTITUTE(B802,"~","~~"),"*","~*"),"?","~?"),Q$3:Q802,1),0)=1,MAX(V$2:V801)+1,""),"")</f>
        <v/>
      </c>
      <c r="W802" s="25">
        <f>IF(V802="","",COUNTIFS($B$3:$B$1002,"="&amp;SUBSTITUTE(SUBSTITUTE(SUBSTITUTE(B802,"~","~~"),"*","~*"),"?","~?"),$Q$3:$Q$1002,1)*10000-V802)</f>
        <v/>
      </c>
      <c r="X802" s="25">
        <f>IF(Q802=1,IF(SUBSTITUTE(SUBSTITUTE(SUBSTITUTE(SUBSTITUTE(SUBSTITUTE(SUBSTITUTE(SUBSTITUTE(SUBSTITUTE(SUBSTITUTE(SUBSTITUTE(SUBSTITUTE(SUBSTITUTE(LOWER(TRIM(A802)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802)),"á","a"),"é","e"),"í","i"),"ó","o"),"ú","u"),"ü","u"),"ñ","n"),"à","a"),"è","e"),"ì","i"),"ò","o"),"ù","u")),"")</f>
        <v/>
      </c>
      <c r="Y802" s="25">
        <f>IF(X802="","",IF(IFERROR(COUNTIF(X$3:X802,"="&amp;SUBSTITUTE(SUBSTITUTE(SUBSTITUTE(X802,"~","~~"),"*","~*"),"?","~?")),0)=1,1,""))</f>
        <v/>
      </c>
      <c r="Z802" s="25">
        <f>IF(T802=1,MAX(Z$2:Z801)+1,"")</f>
        <v/>
      </c>
    </row>
    <row r="803">
      <c r="A803">
        <f>IF(A$2=0,"",IFERROR(TRIM(INDEX('Pegar calibracion'!$A$1:$BZ$1001,802,A$2)&amp;""),""))</f>
        <v/>
      </c>
      <c r="B803">
        <f>IF(B$2=0,"",IFERROR(TRIM(INDEX('Pegar calibracion'!$A$1:$BZ$1001,802,B$2)&amp;""),""))</f>
        <v/>
      </c>
      <c r="C803">
        <f>IF(C$2=0,"",IFERROR(TRIM(INDEX('Pegar calibracion'!$A$1:$BZ$1001,802,C$2)&amp;""),""))</f>
        <v/>
      </c>
      <c r="D803">
        <f>IF(D$2=0,"",IFERROR(TRIM(INDEX('Pegar calibracion'!$A$1:$BZ$1001,802,D$2)&amp;""),""))</f>
        <v/>
      </c>
      <c r="E803">
        <f>IF(E$2=0,"",IFERROR(TRIM(INDEX('Pegar calibracion'!$A$1:$BZ$1001,802,E$2)&amp;""),""))</f>
        <v/>
      </c>
      <c r="F803">
        <f>IF(F$2=0,"",IFERROR(TRIM(INDEX('Pegar calibracion'!$A$1:$BZ$1001,802,F$2)&amp;""),""))</f>
        <v/>
      </c>
      <c r="G803">
        <f>IF(G$2=0,"",IFERROR(TRIM(INDEX('Pegar calibracion'!$A$1:$BZ$1001,802,G$2)&amp;""),""))</f>
        <v/>
      </c>
      <c r="H803">
        <f>IF(H$2=0,"",IFERROR(TRIM(INDEX('Pegar calibracion'!$A$1:$BZ$1001,802,H$2)&amp;""),""))</f>
        <v/>
      </c>
      <c r="I803">
        <f>IF(I$2=0,"",IFERROR(TRIM(INDEX('Pegar calibracion'!$A$1:$BZ$1001,802,I$2)&amp;""),""))</f>
        <v/>
      </c>
      <c r="J803">
        <f>IF(J$2=0,"",IFERROR(TRIM(INDEX('Pegar calibracion'!$A$1:$BZ$1001,802,J$2)&amp;""),""))</f>
        <v/>
      </c>
      <c r="K803">
        <f>IF(K$2=0,"",IFERROR(TRIM(INDEX('Pegar calibracion'!$A$1:$BZ$1001,802,K$2)&amp;""),""))</f>
        <v/>
      </c>
      <c r="L803">
        <f>IF(L$2=0,"",IFERROR(TRIM(INDEX('Pegar calibracion'!$A$1:$BZ$1001,802,L$2)&amp;""),""))</f>
        <v/>
      </c>
      <c r="M803" s="25">
        <f>IF(D803="","",SUBSTITUTE(SUBSTITUTE(SUBSTITUTE(SUBSTITUTE(SUBSTITUTE(SUBSTITUTE(SUBSTITUTE(SUBSTITUTE(SUBSTITUTE(SUBSTITUTE(SUBSTITUTE(SUBSTITUTE(LOWER(TRIM(D803)),"á","a"),"é","e"),"í","i"),"ó","o"),"ú","u"),"ü","u"),"ñ","n"),"à","a"),"è","e"),"ì","i"),"ò","o"),"ù","u"))</f>
        <v/>
      </c>
      <c r="N803" s="25">
        <f>IF(F803="","",SUBSTITUTE(SUBSTITUTE(SUBSTITUTE(SUBSTITUTE(SUBSTITUTE(SUBSTITUTE(SUBSTITUTE(SUBSTITUTE(SUBSTITUTE(SUBSTITUTE(SUBSTITUTE(SUBSTITUTE(LOWER(TRIM(F803)),"á","a"),"é","e"),"í","i"),"ó","o"),"ú","u"),"ü","u"),"ñ","n"),"à","a"),"è","e"),"ì","i"),"ò","o"),"ù","u"))</f>
        <v/>
      </c>
      <c r="O803" s="25">
        <f>IF(M803="confiable",2,IF(M803="dudosa",1,IF(M803="no confiable",0,"")))</f>
        <v/>
      </c>
      <c r="P803" s="25">
        <f>IF(N803="confiable",2,IF(N803="dudosa",1,IF(N803="no confiable",0,"")))</f>
        <v/>
      </c>
      <c r="Q803" s="25">
        <f>IF(AND(ISNUMBER(O803),ISNUMBER(P803)),1,"")</f>
        <v/>
      </c>
      <c r="R803" s="25">
        <f>IF(Q803=1,IF(O803=P803,"Sí","No"),"")</f>
        <v/>
      </c>
      <c r="S803" s="25">
        <f>IF(Q803=1,IF(P803&lt;O803,"Más estricto",IF(P803&gt;O803,"Más permisivo","Igual")),"")</f>
        <v/>
      </c>
      <c r="T803" s="25">
        <f>IF(Q803=1,IF(ABS(O803-P803)=2,1,0),"")</f>
        <v/>
      </c>
      <c r="U803" s="25">
        <f>IF(H803="","","|"&amp;SUBSTITUTE(SUBSTITUTE(TRIM(H803)," |","|"),"| ","|")&amp;"|")</f>
        <v/>
      </c>
      <c r="V803" s="25">
        <f>IF(AND(Q803=1,B803&lt;&gt;""),IF(IFERROR(COUNTIFS(B$3:B803,"="&amp;SUBSTITUTE(SUBSTITUTE(SUBSTITUTE(B803,"~","~~"),"*","~*"),"?","~?"),Q$3:Q803,1),0)=1,MAX(V$2:V802)+1,""),"")</f>
        <v/>
      </c>
      <c r="W803" s="25">
        <f>IF(V803="","",COUNTIFS($B$3:$B$1002,"="&amp;SUBSTITUTE(SUBSTITUTE(SUBSTITUTE(B803,"~","~~"),"*","~*"),"?","~?"),$Q$3:$Q$1002,1)*10000-V803)</f>
        <v/>
      </c>
      <c r="X803" s="25">
        <f>IF(Q803=1,IF(SUBSTITUTE(SUBSTITUTE(SUBSTITUTE(SUBSTITUTE(SUBSTITUTE(SUBSTITUTE(SUBSTITUTE(SUBSTITUTE(SUBSTITUTE(SUBSTITUTE(SUBSTITUTE(SUBSTITUTE(LOWER(TRIM(A803)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803)),"á","a"),"é","e"),"í","i"),"ó","o"),"ú","u"),"ü","u"),"ñ","n"),"à","a"),"è","e"),"ì","i"),"ò","o"),"ù","u")),"")</f>
        <v/>
      </c>
      <c r="Y803" s="25">
        <f>IF(X803="","",IF(IFERROR(COUNTIF(X$3:X803,"="&amp;SUBSTITUTE(SUBSTITUTE(SUBSTITUTE(X803,"~","~~"),"*","~*"),"?","~?")),0)=1,1,""))</f>
        <v/>
      </c>
      <c r="Z803" s="25">
        <f>IF(T803=1,MAX(Z$2:Z802)+1,"")</f>
        <v/>
      </c>
    </row>
    <row r="804">
      <c r="A804">
        <f>IF(A$2=0,"",IFERROR(TRIM(INDEX('Pegar calibracion'!$A$1:$BZ$1001,803,A$2)&amp;""),""))</f>
        <v/>
      </c>
      <c r="B804">
        <f>IF(B$2=0,"",IFERROR(TRIM(INDEX('Pegar calibracion'!$A$1:$BZ$1001,803,B$2)&amp;""),""))</f>
        <v/>
      </c>
      <c r="C804">
        <f>IF(C$2=0,"",IFERROR(TRIM(INDEX('Pegar calibracion'!$A$1:$BZ$1001,803,C$2)&amp;""),""))</f>
        <v/>
      </c>
      <c r="D804">
        <f>IF(D$2=0,"",IFERROR(TRIM(INDEX('Pegar calibracion'!$A$1:$BZ$1001,803,D$2)&amp;""),""))</f>
        <v/>
      </c>
      <c r="E804">
        <f>IF(E$2=0,"",IFERROR(TRIM(INDEX('Pegar calibracion'!$A$1:$BZ$1001,803,E$2)&amp;""),""))</f>
        <v/>
      </c>
      <c r="F804">
        <f>IF(F$2=0,"",IFERROR(TRIM(INDEX('Pegar calibracion'!$A$1:$BZ$1001,803,F$2)&amp;""),""))</f>
        <v/>
      </c>
      <c r="G804">
        <f>IF(G$2=0,"",IFERROR(TRIM(INDEX('Pegar calibracion'!$A$1:$BZ$1001,803,G$2)&amp;""),""))</f>
        <v/>
      </c>
      <c r="H804">
        <f>IF(H$2=0,"",IFERROR(TRIM(INDEX('Pegar calibracion'!$A$1:$BZ$1001,803,H$2)&amp;""),""))</f>
        <v/>
      </c>
      <c r="I804">
        <f>IF(I$2=0,"",IFERROR(TRIM(INDEX('Pegar calibracion'!$A$1:$BZ$1001,803,I$2)&amp;""),""))</f>
        <v/>
      </c>
      <c r="J804">
        <f>IF(J$2=0,"",IFERROR(TRIM(INDEX('Pegar calibracion'!$A$1:$BZ$1001,803,J$2)&amp;""),""))</f>
        <v/>
      </c>
      <c r="K804">
        <f>IF(K$2=0,"",IFERROR(TRIM(INDEX('Pegar calibracion'!$A$1:$BZ$1001,803,K$2)&amp;""),""))</f>
        <v/>
      </c>
      <c r="L804">
        <f>IF(L$2=0,"",IFERROR(TRIM(INDEX('Pegar calibracion'!$A$1:$BZ$1001,803,L$2)&amp;""),""))</f>
        <v/>
      </c>
      <c r="M804" s="25">
        <f>IF(D804="","",SUBSTITUTE(SUBSTITUTE(SUBSTITUTE(SUBSTITUTE(SUBSTITUTE(SUBSTITUTE(SUBSTITUTE(SUBSTITUTE(SUBSTITUTE(SUBSTITUTE(SUBSTITUTE(SUBSTITUTE(LOWER(TRIM(D804)),"á","a"),"é","e"),"í","i"),"ó","o"),"ú","u"),"ü","u"),"ñ","n"),"à","a"),"è","e"),"ì","i"),"ò","o"),"ù","u"))</f>
        <v/>
      </c>
      <c r="N804" s="25">
        <f>IF(F804="","",SUBSTITUTE(SUBSTITUTE(SUBSTITUTE(SUBSTITUTE(SUBSTITUTE(SUBSTITUTE(SUBSTITUTE(SUBSTITUTE(SUBSTITUTE(SUBSTITUTE(SUBSTITUTE(SUBSTITUTE(LOWER(TRIM(F804)),"á","a"),"é","e"),"í","i"),"ó","o"),"ú","u"),"ü","u"),"ñ","n"),"à","a"),"è","e"),"ì","i"),"ò","o"),"ù","u"))</f>
        <v/>
      </c>
      <c r="O804" s="25">
        <f>IF(M804="confiable",2,IF(M804="dudosa",1,IF(M804="no confiable",0,"")))</f>
        <v/>
      </c>
      <c r="P804" s="25">
        <f>IF(N804="confiable",2,IF(N804="dudosa",1,IF(N804="no confiable",0,"")))</f>
        <v/>
      </c>
      <c r="Q804" s="25">
        <f>IF(AND(ISNUMBER(O804),ISNUMBER(P804)),1,"")</f>
        <v/>
      </c>
      <c r="R804" s="25">
        <f>IF(Q804=1,IF(O804=P804,"Sí","No"),"")</f>
        <v/>
      </c>
      <c r="S804" s="25">
        <f>IF(Q804=1,IF(P804&lt;O804,"Más estricto",IF(P804&gt;O804,"Más permisivo","Igual")),"")</f>
        <v/>
      </c>
      <c r="T804" s="25">
        <f>IF(Q804=1,IF(ABS(O804-P804)=2,1,0),"")</f>
        <v/>
      </c>
      <c r="U804" s="25">
        <f>IF(H804="","","|"&amp;SUBSTITUTE(SUBSTITUTE(TRIM(H804)," |","|"),"| ","|")&amp;"|")</f>
        <v/>
      </c>
      <c r="V804" s="25">
        <f>IF(AND(Q804=1,B804&lt;&gt;""),IF(IFERROR(COUNTIFS(B$3:B804,"="&amp;SUBSTITUTE(SUBSTITUTE(SUBSTITUTE(B804,"~","~~"),"*","~*"),"?","~?"),Q$3:Q804,1),0)=1,MAX(V$2:V803)+1,""),"")</f>
        <v/>
      </c>
      <c r="W804" s="25">
        <f>IF(V804="","",COUNTIFS($B$3:$B$1002,"="&amp;SUBSTITUTE(SUBSTITUTE(SUBSTITUTE(B804,"~","~~"),"*","~*"),"?","~?"),$Q$3:$Q$1002,1)*10000-V804)</f>
        <v/>
      </c>
      <c r="X804" s="25">
        <f>IF(Q804=1,IF(SUBSTITUTE(SUBSTITUTE(SUBSTITUTE(SUBSTITUTE(SUBSTITUTE(SUBSTITUTE(SUBSTITUTE(SUBSTITUTE(SUBSTITUTE(SUBSTITUTE(SUBSTITUTE(SUBSTITUTE(LOWER(TRIM(A804)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804)),"á","a"),"é","e"),"í","i"),"ó","o"),"ú","u"),"ü","u"),"ñ","n"),"à","a"),"è","e"),"ì","i"),"ò","o"),"ù","u")),"")</f>
        <v/>
      </c>
      <c r="Y804" s="25">
        <f>IF(X804="","",IF(IFERROR(COUNTIF(X$3:X804,"="&amp;SUBSTITUTE(SUBSTITUTE(SUBSTITUTE(X804,"~","~~"),"*","~*"),"?","~?")),0)=1,1,""))</f>
        <v/>
      </c>
      <c r="Z804" s="25">
        <f>IF(T804=1,MAX(Z$2:Z803)+1,"")</f>
        <v/>
      </c>
    </row>
    <row r="805">
      <c r="A805">
        <f>IF(A$2=0,"",IFERROR(TRIM(INDEX('Pegar calibracion'!$A$1:$BZ$1001,804,A$2)&amp;""),""))</f>
        <v/>
      </c>
      <c r="B805">
        <f>IF(B$2=0,"",IFERROR(TRIM(INDEX('Pegar calibracion'!$A$1:$BZ$1001,804,B$2)&amp;""),""))</f>
        <v/>
      </c>
      <c r="C805">
        <f>IF(C$2=0,"",IFERROR(TRIM(INDEX('Pegar calibracion'!$A$1:$BZ$1001,804,C$2)&amp;""),""))</f>
        <v/>
      </c>
      <c r="D805">
        <f>IF(D$2=0,"",IFERROR(TRIM(INDEX('Pegar calibracion'!$A$1:$BZ$1001,804,D$2)&amp;""),""))</f>
        <v/>
      </c>
      <c r="E805">
        <f>IF(E$2=0,"",IFERROR(TRIM(INDEX('Pegar calibracion'!$A$1:$BZ$1001,804,E$2)&amp;""),""))</f>
        <v/>
      </c>
      <c r="F805">
        <f>IF(F$2=0,"",IFERROR(TRIM(INDEX('Pegar calibracion'!$A$1:$BZ$1001,804,F$2)&amp;""),""))</f>
        <v/>
      </c>
      <c r="G805">
        <f>IF(G$2=0,"",IFERROR(TRIM(INDEX('Pegar calibracion'!$A$1:$BZ$1001,804,G$2)&amp;""),""))</f>
        <v/>
      </c>
      <c r="H805">
        <f>IF(H$2=0,"",IFERROR(TRIM(INDEX('Pegar calibracion'!$A$1:$BZ$1001,804,H$2)&amp;""),""))</f>
        <v/>
      </c>
      <c r="I805">
        <f>IF(I$2=0,"",IFERROR(TRIM(INDEX('Pegar calibracion'!$A$1:$BZ$1001,804,I$2)&amp;""),""))</f>
        <v/>
      </c>
      <c r="J805">
        <f>IF(J$2=0,"",IFERROR(TRIM(INDEX('Pegar calibracion'!$A$1:$BZ$1001,804,J$2)&amp;""),""))</f>
        <v/>
      </c>
      <c r="K805">
        <f>IF(K$2=0,"",IFERROR(TRIM(INDEX('Pegar calibracion'!$A$1:$BZ$1001,804,K$2)&amp;""),""))</f>
        <v/>
      </c>
      <c r="L805">
        <f>IF(L$2=0,"",IFERROR(TRIM(INDEX('Pegar calibracion'!$A$1:$BZ$1001,804,L$2)&amp;""),""))</f>
        <v/>
      </c>
      <c r="M805" s="25">
        <f>IF(D805="","",SUBSTITUTE(SUBSTITUTE(SUBSTITUTE(SUBSTITUTE(SUBSTITUTE(SUBSTITUTE(SUBSTITUTE(SUBSTITUTE(SUBSTITUTE(SUBSTITUTE(SUBSTITUTE(SUBSTITUTE(LOWER(TRIM(D805)),"á","a"),"é","e"),"í","i"),"ó","o"),"ú","u"),"ü","u"),"ñ","n"),"à","a"),"è","e"),"ì","i"),"ò","o"),"ù","u"))</f>
        <v/>
      </c>
      <c r="N805" s="25">
        <f>IF(F805="","",SUBSTITUTE(SUBSTITUTE(SUBSTITUTE(SUBSTITUTE(SUBSTITUTE(SUBSTITUTE(SUBSTITUTE(SUBSTITUTE(SUBSTITUTE(SUBSTITUTE(SUBSTITUTE(SUBSTITUTE(LOWER(TRIM(F805)),"á","a"),"é","e"),"í","i"),"ó","o"),"ú","u"),"ü","u"),"ñ","n"),"à","a"),"è","e"),"ì","i"),"ò","o"),"ù","u"))</f>
        <v/>
      </c>
      <c r="O805" s="25">
        <f>IF(M805="confiable",2,IF(M805="dudosa",1,IF(M805="no confiable",0,"")))</f>
        <v/>
      </c>
      <c r="P805" s="25">
        <f>IF(N805="confiable",2,IF(N805="dudosa",1,IF(N805="no confiable",0,"")))</f>
        <v/>
      </c>
      <c r="Q805" s="25">
        <f>IF(AND(ISNUMBER(O805),ISNUMBER(P805)),1,"")</f>
        <v/>
      </c>
      <c r="R805" s="25">
        <f>IF(Q805=1,IF(O805=P805,"Sí","No"),"")</f>
        <v/>
      </c>
      <c r="S805" s="25">
        <f>IF(Q805=1,IF(P805&lt;O805,"Más estricto",IF(P805&gt;O805,"Más permisivo","Igual")),"")</f>
        <v/>
      </c>
      <c r="T805" s="25">
        <f>IF(Q805=1,IF(ABS(O805-P805)=2,1,0),"")</f>
        <v/>
      </c>
      <c r="U805" s="25">
        <f>IF(H805="","","|"&amp;SUBSTITUTE(SUBSTITUTE(TRIM(H805)," |","|"),"| ","|")&amp;"|")</f>
        <v/>
      </c>
      <c r="V805" s="25">
        <f>IF(AND(Q805=1,B805&lt;&gt;""),IF(IFERROR(COUNTIFS(B$3:B805,"="&amp;SUBSTITUTE(SUBSTITUTE(SUBSTITUTE(B805,"~","~~"),"*","~*"),"?","~?"),Q$3:Q805,1),0)=1,MAX(V$2:V804)+1,""),"")</f>
        <v/>
      </c>
      <c r="W805" s="25">
        <f>IF(V805="","",COUNTIFS($B$3:$B$1002,"="&amp;SUBSTITUTE(SUBSTITUTE(SUBSTITUTE(B805,"~","~~"),"*","~*"),"?","~?"),$Q$3:$Q$1002,1)*10000-V805)</f>
        <v/>
      </c>
      <c r="X805" s="25">
        <f>IF(Q805=1,IF(SUBSTITUTE(SUBSTITUTE(SUBSTITUTE(SUBSTITUTE(SUBSTITUTE(SUBSTITUTE(SUBSTITUTE(SUBSTITUTE(SUBSTITUTE(SUBSTITUTE(SUBSTITUTE(SUBSTITUTE(LOWER(TRIM(A805)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805)),"á","a"),"é","e"),"í","i"),"ó","o"),"ú","u"),"ü","u"),"ñ","n"),"à","a"),"è","e"),"ì","i"),"ò","o"),"ù","u")),"")</f>
        <v/>
      </c>
      <c r="Y805" s="25">
        <f>IF(X805="","",IF(IFERROR(COUNTIF(X$3:X805,"="&amp;SUBSTITUTE(SUBSTITUTE(SUBSTITUTE(X805,"~","~~"),"*","~*"),"?","~?")),0)=1,1,""))</f>
        <v/>
      </c>
      <c r="Z805" s="25">
        <f>IF(T805=1,MAX(Z$2:Z804)+1,"")</f>
        <v/>
      </c>
    </row>
    <row r="806">
      <c r="A806">
        <f>IF(A$2=0,"",IFERROR(TRIM(INDEX('Pegar calibracion'!$A$1:$BZ$1001,805,A$2)&amp;""),""))</f>
        <v/>
      </c>
      <c r="B806">
        <f>IF(B$2=0,"",IFERROR(TRIM(INDEX('Pegar calibracion'!$A$1:$BZ$1001,805,B$2)&amp;""),""))</f>
        <v/>
      </c>
      <c r="C806">
        <f>IF(C$2=0,"",IFERROR(TRIM(INDEX('Pegar calibracion'!$A$1:$BZ$1001,805,C$2)&amp;""),""))</f>
        <v/>
      </c>
      <c r="D806">
        <f>IF(D$2=0,"",IFERROR(TRIM(INDEX('Pegar calibracion'!$A$1:$BZ$1001,805,D$2)&amp;""),""))</f>
        <v/>
      </c>
      <c r="E806">
        <f>IF(E$2=0,"",IFERROR(TRIM(INDEX('Pegar calibracion'!$A$1:$BZ$1001,805,E$2)&amp;""),""))</f>
        <v/>
      </c>
      <c r="F806">
        <f>IF(F$2=0,"",IFERROR(TRIM(INDEX('Pegar calibracion'!$A$1:$BZ$1001,805,F$2)&amp;""),""))</f>
        <v/>
      </c>
      <c r="G806">
        <f>IF(G$2=0,"",IFERROR(TRIM(INDEX('Pegar calibracion'!$A$1:$BZ$1001,805,G$2)&amp;""),""))</f>
        <v/>
      </c>
      <c r="H806">
        <f>IF(H$2=0,"",IFERROR(TRIM(INDEX('Pegar calibracion'!$A$1:$BZ$1001,805,H$2)&amp;""),""))</f>
        <v/>
      </c>
      <c r="I806">
        <f>IF(I$2=0,"",IFERROR(TRIM(INDEX('Pegar calibracion'!$A$1:$BZ$1001,805,I$2)&amp;""),""))</f>
        <v/>
      </c>
      <c r="J806">
        <f>IF(J$2=0,"",IFERROR(TRIM(INDEX('Pegar calibracion'!$A$1:$BZ$1001,805,J$2)&amp;""),""))</f>
        <v/>
      </c>
      <c r="K806">
        <f>IF(K$2=0,"",IFERROR(TRIM(INDEX('Pegar calibracion'!$A$1:$BZ$1001,805,K$2)&amp;""),""))</f>
        <v/>
      </c>
      <c r="L806">
        <f>IF(L$2=0,"",IFERROR(TRIM(INDEX('Pegar calibracion'!$A$1:$BZ$1001,805,L$2)&amp;""),""))</f>
        <v/>
      </c>
      <c r="M806" s="25">
        <f>IF(D806="","",SUBSTITUTE(SUBSTITUTE(SUBSTITUTE(SUBSTITUTE(SUBSTITUTE(SUBSTITUTE(SUBSTITUTE(SUBSTITUTE(SUBSTITUTE(SUBSTITUTE(SUBSTITUTE(SUBSTITUTE(LOWER(TRIM(D806)),"á","a"),"é","e"),"í","i"),"ó","o"),"ú","u"),"ü","u"),"ñ","n"),"à","a"),"è","e"),"ì","i"),"ò","o"),"ù","u"))</f>
        <v/>
      </c>
      <c r="N806" s="25">
        <f>IF(F806="","",SUBSTITUTE(SUBSTITUTE(SUBSTITUTE(SUBSTITUTE(SUBSTITUTE(SUBSTITUTE(SUBSTITUTE(SUBSTITUTE(SUBSTITUTE(SUBSTITUTE(SUBSTITUTE(SUBSTITUTE(LOWER(TRIM(F806)),"á","a"),"é","e"),"í","i"),"ó","o"),"ú","u"),"ü","u"),"ñ","n"),"à","a"),"è","e"),"ì","i"),"ò","o"),"ù","u"))</f>
        <v/>
      </c>
      <c r="O806" s="25">
        <f>IF(M806="confiable",2,IF(M806="dudosa",1,IF(M806="no confiable",0,"")))</f>
        <v/>
      </c>
      <c r="P806" s="25">
        <f>IF(N806="confiable",2,IF(N806="dudosa",1,IF(N806="no confiable",0,"")))</f>
        <v/>
      </c>
      <c r="Q806" s="25">
        <f>IF(AND(ISNUMBER(O806),ISNUMBER(P806)),1,"")</f>
        <v/>
      </c>
      <c r="R806" s="25">
        <f>IF(Q806=1,IF(O806=P806,"Sí","No"),"")</f>
        <v/>
      </c>
      <c r="S806" s="25">
        <f>IF(Q806=1,IF(P806&lt;O806,"Más estricto",IF(P806&gt;O806,"Más permisivo","Igual")),"")</f>
        <v/>
      </c>
      <c r="T806" s="25">
        <f>IF(Q806=1,IF(ABS(O806-P806)=2,1,0),"")</f>
        <v/>
      </c>
      <c r="U806" s="25">
        <f>IF(H806="","","|"&amp;SUBSTITUTE(SUBSTITUTE(TRIM(H806)," |","|"),"| ","|")&amp;"|")</f>
        <v/>
      </c>
      <c r="V806" s="25">
        <f>IF(AND(Q806=1,B806&lt;&gt;""),IF(IFERROR(COUNTIFS(B$3:B806,"="&amp;SUBSTITUTE(SUBSTITUTE(SUBSTITUTE(B806,"~","~~"),"*","~*"),"?","~?"),Q$3:Q806,1),0)=1,MAX(V$2:V805)+1,""),"")</f>
        <v/>
      </c>
      <c r="W806" s="25">
        <f>IF(V806="","",COUNTIFS($B$3:$B$1002,"="&amp;SUBSTITUTE(SUBSTITUTE(SUBSTITUTE(B806,"~","~~"),"*","~*"),"?","~?"),$Q$3:$Q$1002,1)*10000-V806)</f>
        <v/>
      </c>
      <c r="X806" s="25">
        <f>IF(Q806=1,IF(SUBSTITUTE(SUBSTITUTE(SUBSTITUTE(SUBSTITUTE(SUBSTITUTE(SUBSTITUTE(SUBSTITUTE(SUBSTITUTE(SUBSTITUTE(SUBSTITUTE(SUBSTITUTE(SUBSTITUTE(LOWER(TRIM(A806)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806)),"á","a"),"é","e"),"í","i"),"ó","o"),"ú","u"),"ü","u"),"ñ","n"),"à","a"),"è","e"),"ì","i"),"ò","o"),"ù","u")),"")</f>
        <v/>
      </c>
      <c r="Y806" s="25">
        <f>IF(X806="","",IF(IFERROR(COUNTIF(X$3:X806,"="&amp;SUBSTITUTE(SUBSTITUTE(SUBSTITUTE(X806,"~","~~"),"*","~*"),"?","~?")),0)=1,1,""))</f>
        <v/>
      </c>
      <c r="Z806" s="25">
        <f>IF(T806=1,MAX(Z$2:Z805)+1,"")</f>
        <v/>
      </c>
    </row>
    <row r="807">
      <c r="A807">
        <f>IF(A$2=0,"",IFERROR(TRIM(INDEX('Pegar calibracion'!$A$1:$BZ$1001,806,A$2)&amp;""),""))</f>
        <v/>
      </c>
      <c r="B807">
        <f>IF(B$2=0,"",IFERROR(TRIM(INDEX('Pegar calibracion'!$A$1:$BZ$1001,806,B$2)&amp;""),""))</f>
        <v/>
      </c>
      <c r="C807">
        <f>IF(C$2=0,"",IFERROR(TRIM(INDEX('Pegar calibracion'!$A$1:$BZ$1001,806,C$2)&amp;""),""))</f>
        <v/>
      </c>
      <c r="D807">
        <f>IF(D$2=0,"",IFERROR(TRIM(INDEX('Pegar calibracion'!$A$1:$BZ$1001,806,D$2)&amp;""),""))</f>
        <v/>
      </c>
      <c r="E807">
        <f>IF(E$2=0,"",IFERROR(TRIM(INDEX('Pegar calibracion'!$A$1:$BZ$1001,806,E$2)&amp;""),""))</f>
        <v/>
      </c>
      <c r="F807">
        <f>IF(F$2=0,"",IFERROR(TRIM(INDEX('Pegar calibracion'!$A$1:$BZ$1001,806,F$2)&amp;""),""))</f>
        <v/>
      </c>
      <c r="G807">
        <f>IF(G$2=0,"",IFERROR(TRIM(INDEX('Pegar calibracion'!$A$1:$BZ$1001,806,G$2)&amp;""),""))</f>
        <v/>
      </c>
      <c r="H807">
        <f>IF(H$2=0,"",IFERROR(TRIM(INDEX('Pegar calibracion'!$A$1:$BZ$1001,806,H$2)&amp;""),""))</f>
        <v/>
      </c>
      <c r="I807">
        <f>IF(I$2=0,"",IFERROR(TRIM(INDEX('Pegar calibracion'!$A$1:$BZ$1001,806,I$2)&amp;""),""))</f>
        <v/>
      </c>
      <c r="J807">
        <f>IF(J$2=0,"",IFERROR(TRIM(INDEX('Pegar calibracion'!$A$1:$BZ$1001,806,J$2)&amp;""),""))</f>
        <v/>
      </c>
      <c r="K807">
        <f>IF(K$2=0,"",IFERROR(TRIM(INDEX('Pegar calibracion'!$A$1:$BZ$1001,806,K$2)&amp;""),""))</f>
        <v/>
      </c>
      <c r="L807">
        <f>IF(L$2=0,"",IFERROR(TRIM(INDEX('Pegar calibracion'!$A$1:$BZ$1001,806,L$2)&amp;""),""))</f>
        <v/>
      </c>
      <c r="M807" s="25">
        <f>IF(D807="","",SUBSTITUTE(SUBSTITUTE(SUBSTITUTE(SUBSTITUTE(SUBSTITUTE(SUBSTITUTE(SUBSTITUTE(SUBSTITUTE(SUBSTITUTE(SUBSTITUTE(SUBSTITUTE(SUBSTITUTE(LOWER(TRIM(D807)),"á","a"),"é","e"),"í","i"),"ó","o"),"ú","u"),"ü","u"),"ñ","n"),"à","a"),"è","e"),"ì","i"),"ò","o"),"ù","u"))</f>
        <v/>
      </c>
      <c r="N807" s="25">
        <f>IF(F807="","",SUBSTITUTE(SUBSTITUTE(SUBSTITUTE(SUBSTITUTE(SUBSTITUTE(SUBSTITUTE(SUBSTITUTE(SUBSTITUTE(SUBSTITUTE(SUBSTITUTE(SUBSTITUTE(SUBSTITUTE(LOWER(TRIM(F807)),"á","a"),"é","e"),"í","i"),"ó","o"),"ú","u"),"ü","u"),"ñ","n"),"à","a"),"è","e"),"ì","i"),"ò","o"),"ù","u"))</f>
        <v/>
      </c>
      <c r="O807" s="25">
        <f>IF(M807="confiable",2,IF(M807="dudosa",1,IF(M807="no confiable",0,"")))</f>
        <v/>
      </c>
      <c r="P807" s="25">
        <f>IF(N807="confiable",2,IF(N807="dudosa",1,IF(N807="no confiable",0,"")))</f>
        <v/>
      </c>
      <c r="Q807" s="25">
        <f>IF(AND(ISNUMBER(O807),ISNUMBER(P807)),1,"")</f>
        <v/>
      </c>
      <c r="R807" s="25">
        <f>IF(Q807=1,IF(O807=P807,"Sí","No"),"")</f>
        <v/>
      </c>
      <c r="S807" s="25">
        <f>IF(Q807=1,IF(P807&lt;O807,"Más estricto",IF(P807&gt;O807,"Más permisivo","Igual")),"")</f>
        <v/>
      </c>
      <c r="T807" s="25">
        <f>IF(Q807=1,IF(ABS(O807-P807)=2,1,0),"")</f>
        <v/>
      </c>
      <c r="U807" s="25">
        <f>IF(H807="","","|"&amp;SUBSTITUTE(SUBSTITUTE(TRIM(H807)," |","|"),"| ","|")&amp;"|")</f>
        <v/>
      </c>
      <c r="V807" s="25">
        <f>IF(AND(Q807=1,B807&lt;&gt;""),IF(IFERROR(COUNTIFS(B$3:B807,"="&amp;SUBSTITUTE(SUBSTITUTE(SUBSTITUTE(B807,"~","~~"),"*","~*"),"?","~?"),Q$3:Q807,1),0)=1,MAX(V$2:V806)+1,""),"")</f>
        <v/>
      </c>
      <c r="W807" s="25">
        <f>IF(V807="","",COUNTIFS($B$3:$B$1002,"="&amp;SUBSTITUTE(SUBSTITUTE(SUBSTITUTE(B807,"~","~~"),"*","~*"),"?","~?"),$Q$3:$Q$1002,1)*10000-V807)</f>
        <v/>
      </c>
      <c r="X807" s="25">
        <f>IF(Q807=1,IF(SUBSTITUTE(SUBSTITUTE(SUBSTITUTE(SUBSTITUTE(SUBSTITUTE(SUBSTITUTE(SUBSTITUTE(SUBSTITUTE(SUBSTITUTE(SUBSTITUTE(SUBSTITUTE(SUBSTITUTE(LOWER(TRIM(A807)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807)),"á","a"),"é","e"),"í","i"),"ó","o"),"ú","u"),"ü","u"),"ñ","n"),"à","a"),"è","e"),"ì","i"),"ò","o"),"ù","u")),"")</f>
        <v/>
      </c>
      <c r="Y807" s="25">
        <f>IF(X807="","",IF(IFERROR(COUNTIF(X$3:X807,"="&amp;SUBSTITUTE(SUBSTITUTE(SUBSTITUTE(X807,"~","~~"),"*","~*"),"?","~?")),0)=1,1,""))</f>
        <v/>
      </c>
      <c r="Z807" s="25">
        <f>IF(T807=1,MAX(Z$2:Z806)+1,"")</f>
        <v/>
      </c>
    </row>
    <row r="808">
      <c r="A808">
        <f>IF(A$2=0,"",IFERROR(TRIM(INDEX('Pegar calibracion'!$A$1:$BZ$1001,807,A$2)&amp;""),""))</f>
        <v/>
      </c>
      <c r="B808">
        <f>IF(B$2=0,"",IFERROR(TRIM(INDEX('Pegar calibracion'!$A$1:$BZ$1001,807,B$2)&amp;""),""))</f>
        <v/>
      </c>
      <c r="C808">
        <f>IF(C$2=0,"",IFERROR(TRIM(INDEX('Pegar calibracion'!$A$1:$BZ$1001,807,C$2)&amp;""),""))</f>
        <v/>
      </c>
      <c r="D808">
        <f>IF(D$2=0,"",IFERROR(TRIM(INDEX('Pegar calibracion'!$A$1:$BZ$1001,807,D$2)&amp;""),""))</f>
        <v/>
      </c>
      <c r="E808">
        <f>IF(E$2=0,"",IFERROR(TRIM(INDEX('Pegar calibracion'!$A$1:$BZ$1001,807,E$2)&amp;""),""))</f>
        <v/>
      </c>
      <c r="F808">
        <f>IF(F$2=0,"",IFERROR(TRIM(INDEX('Pegar calibracion'!$A$1:$BZ$1001,807,F$2)&amp;""),""))</f>
        <v/>
      </c>
      <c r="G808">
        <f>IF(G$2=0,"",IFERROR(TRIM(INDEX('Pegar calibracion'!$A$1:$BZ$1001,807,G$2)&amp;""),""))</f>
        <v/>
      </c>
      <c r="H808">
        <f>IF(H$2=0,"",IFERROR(TRIM(INDEX('Pegar calibracion'!$A$1:$BZ$1001,807,H$2)&amp;""),""))</f>
        <v/>
      </c>
      <c r="I808">
        <f>IF(I$2=0,"",IFERROR(TRIM(INDEX('Pegar calibracion'!$A$1:$BZ$1001,807,I$2)&amp;""),""))</f>
        <v/>
      </c>
      <c r="J808">
        <f>IF(J$2=0,"",IFERROR(TRIM(INDEX('Pegar calibracion'!$A$1:$BZ$1001,807,J$2)&amp;""),""))</f>
        <v/>
      </c>
      <c r="K808">
        <f>IF(K$2=0,"",IFERROR(TRIM(INDEX('Pegar calibracion'!$A$1:$BZ$1001,807,K$2)&amp;""),""))</f>
        <v/>
      </c>
      <c r="L808">
        <f>IF(L$2=0,"",IFERROR(TRIM(INDEX('Pegar calibracion'!$A$1:$BZ$1001,807,L$2)&amp;""),""))</f>
        <v/>
      </c>
      <c r="M808" s="25">
        <f>IF(D808="","",SUBSTITUTE(SUBSTITUTE(SUBSTITUTE(SUBSTITUTE(SUBSTITUTE(SUBSTITUTE(SUBSTITUTE(SUBSTITUTE(SUBSTITUTE(SUBSTITUTE(SUBSTITUTE(SUBSTITUTE(LOWER(TRIM(D808)),"á","a"),"é","e"),"í","i"),"ó","o"),"ú","u"),"ü","u"),"ñ","n"),"à","a"),"è","e"),"ì","i"),"ò","o"),"ù","u"))</f>
        <v/>
      </c>
      <c r="N808" s="25">
        <f>IF(F808="","",SUBSTITUTE(SUBSTITUTE(SUBSTITUTE(SUBSTITUTE(SUBSTITUTE(SUBSTITUTE(SUBSTITUTE(SUBSTITUTE(SUBSTITUTE(SUBSTITUTE(SUBSTITUTE(SUBSTITUTE(LOWER(TRIM(F808)),"á","a"),"é","e"),"í","i"),"ó","o"),"ú","u"),"ü","u"),"ñ","n"),"à","a"),"è","e"),"ì","i"),"ò","o"),"ù","u"))</f>
        <v/>
      </c>
      <c r="O808" s="25">
        <f>IF(M808="confiable",2,IF(M808="dudosa",1,IF(M808="no confiable",0,"")))</f>
        <v/>
      </c>
      <c r="P808" s="25">
        <f>IF(N808="confiable",2,IF(N808="dudosa",1,IF(N808="no confiable",0,"")))</f>
        <v/>
      </c>
      <c r="Q808" s="25">
        <f>IF(AND(ISNUMBER(O808),ISNUMBER(P808)),1,"")</f>
        <v/>
      </c>
      <c r="R808" s="25">
        <f>IF(Q808=1,IF(O808=P808,"Sí","No"),"")</f>
        <v/>
      </c>
      <c r="S808" s="25">
        <f>IF(Q808=1,IF(P808&lt;O808,"Más estricto",IF(P808&gt;O808,"Más permisivo","Igual")),"")</f>
        <v/>
      </c>
      <c r="T808" s="25">
        <f>IF(Q808=1,IF(ABS(O808-P808)=2,1,0),"")</f>
        <v/>
      </c>
      <c r="U808" s="25">
        <f>IF(H808="","","|"&amp;SUBSTITUTE(SUBSTITUTE(TRIM(H808)," |","|"),"| ","|")&amp;"|")</f>
        <v/>
      </c>
      <c r="V808" s="25">
        <f>IF(AND(Q808=1,B808&lt;&gt;""),IF(IFERROR(COUNTIFS(B$3:B808,"="&amp;SUBSTITUTE(SUBSTITUTE(SUBSTITUTE(B808,"~","~~"),"*","~*"),"?","~?"),Q$3:Q808,1),0)=1,MAX(V$2:V807)+1,""),"")</f>
        <v/>
      </c>
      <c r="W808" s="25">
        <f>IF(V808="","",COUNTIFS($B$3:$B$1002,"="&amp;SUBSTITUTE(SUBSTITUTE(SUBSTITUTE(B808,"~","~~"),"*","~*"),"?","~?"),$Q$3:$Q$1002,1)*10000-V808)</f>
        <v/>
      </c>
      <c r="X808" s="25">
        <f>IF(Q808=1,IF(SUBSTITUTE(SUBSTITUTE(SUBSTITUTE(SUBSTITUTE(SUBSTITUTE(SUBSTITUTE(SUBSTITUTE(SUBSTITUTE(SUBSTITUTE(SUBSTITUTE(SUBSTITUTE(SUBSTITUTE(LOWER(TRIM(A808)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808)),"á","a"),"é","e"),"í","i"),"ó","o"),"ú","u"),"ü","u"),"ñ","n"),"à","a"),"è","e"),"ì","i"),"ò","o"),"ù","u")),"")</f>
        <v/>
      </c>
      <c r="Y808" s="25">
        <f>IF(X808="","",IF(IFERROR(COUNTIF(X$3:X808,"="&amp;SUBSTITUTE(SUBSTITUTE(SUBSTITUTE(X808,"~","~~"),"*","~*"),"?","~?")),0)=1,1,""))</f>
        <v/>
      </c>
      <c r="Z808" s="25">
        <f>IF(T808=1,MAX(Z$2:Z807)+1,"")</f>
        <v/>
      </c>
    </row>
    <row r="809">
      <c r="A809">
        <f>IF(A$2=0,"",IFERROR(TRIM(INDEX('Pegar calibracion'!$A$1:$BZ$1001,808,A$2)&amp;""),""))</f>
        <v/>
      </c>
      <c r="B809">
        <f>IF(B$2=0,"",IFERROR(TRIM(INDEX('Pegar calibracion'!$A$1:$BZ$1001,808,B$2)&amp;""),""))</f>
        <v/>
      </c>
      <c r="C809">
        <f>IF(C$2=0,"",IFERROR(TRIM(INDEX('Pegar calibracion'!$A$1:$BZ$1001,808,C$2)&amp;""),""))</f>
        <v/>
      </c>
      <c r="D809">
        <f>IF(D$2=0,"",IFERROR(TRIM(INDEX('Pegar calibracion'!$A$1:$BZ$1001,808,D$2)&amp;""),""))</f>
        <v/>
      </c>
      <c r="E809">
        <f>IF(E$2=0,"",IFERROR(TRIM(INDEX('Pegar calibracion'!$A$1:$BZ$1001,808,E$2)&amp;""),""))</f>
        <v/>
      </c>
      <c r="F809">
        <f>IF(F$2=0,"",IFERROR(TRIM(INDEX('Pegar calibracion'!$A$1:$BZ$1001,808,F$2)&amp;""),""))</f>
        <v/>
      </c>
      <c r="G809">
        <f>IF(G$2=0,"",IFERROR(TRIM(INDEX('Pegar calibracion'!$A$1:$BZ$1001,808,G$2)&amp;""),""))</f>
        <v/>
      </c>
      <c r="H809">
        <f>IF(H$2=0,"",IFERROR(TRIM(INDEX('Pegar calibracion'!$A$1:$BZ$1001,808,H$2)&amp;""),""))</f>
        <v/>
      </c>
      <c r="I809">
        <f>IF(I$2=0,"",IFERROR(TRIM(INDEX('Pegar calibracion'!$A$1:$BZ$1001,808,I$2)&amp;""),""))</f>
        <v/>
      </c>
      <c r="J809">
        <f>IF(J$2=0,"",IFERROR(TRIM(INDEX('Pegar calibracion'!$A$1:$BZ$1001,808,J$2)&amp;""),""))</f>
        <v/>
      </c>
      <c r="K809">
        <f>IF(K$2=0,"",IFERROR(TRIM(INDEX('Pegar calibracion'!$A$1:$BZ$1001,808,K$2)&amp;""),""))</f>
        <v/>
      </c>
      <c r="L809">
        <f>IF(L$2=0,"",IFERROR(TRIM(INDEX('Pegar calibracion'!$A$1:$BZ$1001,808,L$2)&amp;""),""))</f>
        <v/>
      </c>
      <c r="M809" s="25">
        <f>IF(D809="","",SUBSTITUTE(SUBSTITUTE(SUBSTITUTE(SUBSTITUTE(SUBSTITUTE(SUBSTITUTE(SUBSTITUTE(SUBSTITUTE(SUBSTITUTE(SUBSTITUTE(SUBSTITUTE(SUBSTITUTE(LOWER(TRIM(D809)),"á","a"),"é","e"),"í","i"),"ó","o"),"ú","u"),"ü","u"),"ñ","n"),"à","a"),"è","e"),"ì","i"),"ò","o"),"ù","u"))</f>
        <v/>
      </c>
      <c r="N809" s="25">
        <f>IF(F809="","",SUBSTITUTE(SUBSTITUTE(SUBSTITUTE(SUBSTITUTE(SUBSTITUTE(SUBSTITUTE(SUBSTITUTE(SUBSTITUTE(SUBSTITUTE(SUBSTITUTE(SUBSTITUTE(SUBSTITUTE(LOWER(TRIM(F809)),"á","a"),"é","e"),"í","i"),"ó","o"),"ú","u"),"ü","u"),"ñ","n"),"à","a"),"è","e"),"ì","i"),"ò","o"),"ù","u"))</f>
        <v/>
      </c>
      <c r="O809" s="25">
        <f>IF(M809="confiable",2,IF(M809="dudosa",1,IF(M809="no confiable",0,"")))</f>
        <v/>
      </c>
      <c r="P809" s="25">
        <f>IF(N809="confiable",2,IF(N809="dudosa",1,IF(N809="no confiable",0,"")))</f>
        <v/>
      </c>
      <c r="Q809" s="25">
        <f>IF(AND(ISNUMBER(O809),ISNUMBER(P809)),1,"")</f>
        <v/>
      </c>
      <c r="R809" s="25">
        <f>IF(Q809=1,IF(O809=P809,"Sí","No"),"")</f>
        <v/>
      </c>
      <c r="S809" s="25">
        <f>IF(Q809=1,IF(P809&lt;O809,"Más estricto",IF(P809&gt;O809,"Más permisivo","Igual")),"")</f>
        <v/>
      </c>
      <c r="T809" s="25">
        <f>IF(Q809=1,IF(ABS(O809-P809)=2,1,0),"")</f>
        <v/>
      </c>
      <c r="U809" s="25">
        <f>IF(H809="","","|"&amp;SUBSTITUTE(SUBSTITUTE(TRIM(H809)," |","|"),"| ","|")&amp;"|")</f>
        <v/>
      </c>
      <c r="V809" s="25">
        <f>IF(AND(Q809=1,B809&lt;&gt;""),IF(IFERROR(COUNTIFS(B$3:B809,"="&amp;SUBSTITUTE(SUBSTITUTE(SUBSTITUTE(B809,"~","~~"),"*","~*"),"?","~?"),Q$3:Q809,1),0)=1,MAX(V$2:V808)+1,""),"")</f>
        <v/>
      </c>
      <c r="W809" s="25">
        <f>IF(V809="","",COUNTIFS($B$3:$B$1002,"="&amp;SUBSTITUTE(SUBSTITUTE(SUBSTITUTE(B809,"~","~~"),"*","~*"),"?","~?"),$Q$3:$Q$1002,1)*10000-V809)</f>
        <v/>
      </c>
      <c r="X809" s="25">
        <f>IF(Q809=1,IF(SUBSTITUTE(SUBSTITUTE(SUBSTITUTE(SUBSTITUTE(SUBSTITUTE(SUBSTITUTE(SUBSTITUTE(SUBSTITUTE(SUBSTITUTE(SUBSTITUTE(SUBSTITUTE(SUBSTITUTE(LOWER(TRIM(A809)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809)),"á","a"),"é","e"),"í","i"),"ó","o"),"ú","u"),"ü","u"),"ñ","n"),"à","a"),"è","e"),"ì","i"),"ò","o"),"ù","u")),"")</f>
        <v/>
      </c>
      <c r="Y809" s="25">
        <f>IF(X809="","",IF(IFERROR(COUNTIF(X$3:X809,"="&amp;SUBSTITUTE(SUBSTITUTE(SUBSTITUTE(X809,"~","~~"),"*","~*"),"?","~?")),0)=1,1,""))</f>
        <v/>
      </c>
      <c r="Z809" s="25">
        <f>IF(T809=1,MAX(Z$2:Z808)+1,"")</f>
        <v/>
      </c>
    </row>
    <row r="810">
      <c r="A810">
        <f>IF(A$2=0,"",IFERROR(TRIM(INDEX('Pegar calibracion'!$A$1:$BZ$1001,809,A$2)&amp;""),""))</f>
        <v/>
      </c>
      <c r="B810">
        <f>IF(B$2=0,"",IFERROR(TRIM(INDEX('Pegar calibracion'!$A$1:$BZ$1001,809,B$2)&amp;""),""))</f>
        <v/>
      </c>
      <c r="C810">
        <f>IF(C$2=0,"",IFERROR(TRIM(INDEX('Pegar calibracion'!$A$1:$BZ$1001,809,C$2)&amp;""),""))</f>
        <v/>
      </c>
      <c r="D810">
        <f>IF(D$2=0,"",IFERROR(TRIM(INDEX('Pegar calibracion'!$A$1:$BZ$1001,809,D$2)&amp;""),""))</f>
        <v/>
      </c>
      <c r="E810">
        <f>IF(E$2=0,"",IFERROR(TRIM(INDEX('Pegar calibracion'!$A$1:$BZ$1001,809,E$2)&amp;""),""))</f>
        <v/>
      </c>
      <c r="F810">
        <f>IF(F$2=0,"",IFERROR(TRIM(INDEX('Pegar calibracion'!$A$1:$BZ$1001,809,F$2)&amp;""),""))</f>
        <v/>
      </c>
      <c r="G810">
        <f>IF(G$2=0,"",IFERROR(TRIM(INDEX('Pegar calibracion'!$A$1:$BZ$1001,809,G$2)&amp;""),""))</f>
        <v/>
      </c>
      <c r="H810">
        <f>IF(H$2=0,"",IFERROR(TRIM(INDEX('Pegar calibracion'!$A$1:$BZ$1001,809,H$2)&amp;""),""))</f>
        <v/>
      </c>
      <c r="I810">
        <f>IF(I$2=0,"",IFERROR(TRIM(INDEX('Pegar calibracion'!$A$1:$BZ$1001,809,I$2)&amp;""),""))</f>
        <v/>
      </c>
      <c r="J810">
        <f>IF(J$2=0,"",IFERROR(TRIM(INDEX('Pegar calibracion'!$A$1:$BZ$1001,809,J$2)&amp;""),""))</f>
        <v/>
      </c>
      <c r="K810">
        <f>IF(K$2=0,"",IFERROR(TRIM(INDEX('Pegar calibracion'!$A$1:$BZ$1001,809,K$2)&amp;""),""))</f>
        <v/>
      </c>
      <c r="L810">
        <f>IF(L$2=0,"",IFERROR(TRIM(INDEX('Pegar calibracion'!$A$1:$BZ$1001,809,L$2)&amp;""),""))</f>
        <v/>
      </c>
      <c r="M810" s="25">
        <f>IF(D810="","",SUBSTITUTE(SUBSTITUTE(SUBSTITUTE(SUBSTITUTE(SUBSTITUTE(SUBSTITUTE(SUBSTITUTE(SUBSTITUTE(SUBSTITUTE(SUBSTITUTE(SUBSTITUTE(SUBSTITUTE(LOWER(TRIM(D810)),"á","a"),"é","e"),"í","i"),"ó","o"),"ú","u"),"ü","u"),"ñ","n"),"à","a"),"è","e"),"ì","i"),"ò","o"),"ù","u"))</f>
        <v/>
      </c>
      <c r="N810" s="25">
        <f>IF(F810="","",SUBSTITUTE(SUBSTITUTE(SUBSTITUTE(SUBSTITUTE(SUBSTITUTE(SUBSTITUTE(SUBSTITUTE(SUBSTITUTE(SUBSTITUTE(SUBSTITUTE(SUBSTITUTE(SUBSTITUTE(LOWER(TRIM(F810)),"á","a"),"é","e"),"í","i"),"ó","o"),"ú","u"),"ü","u"),"ñ","n"),"à","a"),"è","e"),"ì","i"),"ò","o"),"ù","u"))</f>
        <v/>
      </c>
      <c r="O810" s="25">
        <f>IF(M810="confiable",2,IF(M810="dudosa",1,IF(M810="no confiable",0,"")))</f>
        <v/>
      </c>
      <c r="P810" s="25">
        <f>IF(N810="confiable",2,IF(N810="dudosa",1,IF(N810="no confiable",0,"")))</f>
        <v/>
      </c>
      <c r="Q810" s="25">
        <f>IF(AND(ISNUMBER(O810),ISNUMBER(P810)),1,"")</f>
        <v/>
      </c>
      <c r="R810" s="25">
        <f>IF(Q810=1,IF(O810=P810,"Sí","No"),"")</f>
        <v/>
      </c>
      <c r="S810" s="25">
        <f>IF(Q810=1,IF(P810&lt;O810,"Más estricto",IF(P810&gt;O810,"Más permisivo","Igual")),"")</f>
        <v/>
      </c>
      <c r="T810" s="25">
        <f>IF(Q810=1,IF(ABS(O810-P810)=2,1,0),"")</f>
        <v/>
      </c>
      <c r="U810" s="25">
        <f>IF(H810="","","|"&amp;SUBSTITUTE(SUBSTITUTE(TRIM(H810)," |","|"),"| ","|")&amp;"|")</f>
        <v/>
      </c>
      <c r="V810" s="25">
        <f>IF(AND(Q810=1,B810&lt;&gt;""),IF(IFERROR(COUNTIFS(B$3:B810,"="&amp;SUBSTITUTE(SUBSTITUTE(SUBSTITUTE(B810,"~","~~"),"*","~*"),"?","~?"),Q$3:Q810,1),0)=1,MAX(V$2:V809)+1,""),"")</f>
        <v/>
      </c>
      <c r="W810" s="25">
        <f>IF(V810="","",COUNTIFS($B$3:$B$1002,"="&amp;SUBSTITUTE(SUBSTITUTE(SUBSTITUTE(B810,"~","~~"),"*","~*"),"?","~?"),$Q$3:$Q$1002,1)*10000-V810)</f>
        <v/>
      </c>
      <c r="X810" s="25">
        <f>IF(Q810=1,IF(SUBSTITUTE(SUBSTITUTE(SUBSTITUTE(SUBSTITUTE(SUBSTITUTE(SUBSTITUTE(SUBSTITUTE(SUBSTITUTE(SUBSTITUTE(SUBSTITUTE(SUBSTITUTE(SUBSTITUTE(LOWER(TRIM(A810)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810)),"á","a"),"é","e"),"í","i"),"ó","o"),"ú","u"),"ü","u"),"ñ","n"),"à","a"),"è","e"),"ì","i"),"ò","o"),"ù","u")),"")</f>
        <v/>
      </c>
      <c r="Y810" s="25">
        <f>IF(X810="","",IF(IFERROR(COUNTIF(X$3:X810,"="&amp;SUBSTITUTE(SUBSTITUTE(SUBSTITUTE(X810,"~","~~"),"*","~*"),"?","~?")),0)=1,1,""))</f>
        <v/>
      </c>
      <c r="Z810" s="25">
        <f>IF(T810=1,MAX(Z$2:Z809)+1,"")</f>
        <v/>
      </c>
    </row>
    <row r="811">
      <c r="A811">
        <f>IF(A$2=0,"",IFERROR(TRIM(INDEX('Pegar calibracion'!$A$1:$BZ$1001,810,A$2)&amp;""),""))</f>
        <v/>
      </c>
      <c r="B811">
        <f>IF(B$2=0,"",IFERROR(TRIM(INDEX('Pegar calibracion'!$A$1:$BZ$1001,810,B$2)&amp;""),""))</f>
        <v/>
      </c>
      <c r="C811">
        <f>IF(C$2=0,"",IFERROR(TRIM(INDEX('Pegar calibracion'!$A$1:$BZ$1001,810,C$2)&amp;""),""))</f>
        <v/>
      </c>
      <c r="D811">
        <f>IF(D$2=0,"",IFERROR(TRIM(INDEX('Pegar calibracion'!$A$1:$BZ$1001,810,D$2)&amp;""),""))</f>
        <v/>
      </c>
      <c r="E811">
        <f>IF(E$2=0,"",IFERROR(TRIM(INDEX('Pegar calibracion'!$A$1:$BZ$1001,810,E$2)&amp;""),""))</f>
        <v/>
      </c>
      <c r="F811">
        <f>IF(F$2=0,"",IFERROR(TRIM(INDEX('Pegar calibracion'!$A$1:$BZ$1001,810,F$2)&amp;""),""))</f>
        <v/>
      </c>
      <c r="G811">
        <f>IF(G$2=0,"",IFERROR(TRIM(INDEX('Pegar calibracion'!$A$1:$BZ$1001,810,G$2)&amp;""),""))</f>
        <v/>
      </c>
      <c r="H811">
        <f>IF(H$2=0,"",IFERROR(TRIM(INDEX('Pegar calibracion'!$A$1:$BZ$1001,810,H$2)&amp;""),""))</f>
        <v/>
      </c>
      <c r="I811">
        <f>IF(I$2=0,"",IFERROR(TRIM(INDEX('Pegar calibracion'!$A$1:$BZ$1001,810,I$2)&amp;""),""))</f>
        <v/>
      </c>
      <c r="J811">
        <f>IF(J$2=0,"",IFERROR(TRIM(INDEX('Pegar calibracion'!$A$1:$BZ$1001,810,J$2)&amp;""),""))</f>
        <v/>
      </c>
      <c r="K811">
        <f>IF(K$2=0,"",IFERROR(TRIM(INDEX('Pegar calibracion'!$A$1:$BZ$1001,810,K$2)&amp;""),""))</f>
        <v/>
      </c>
      <c r="L811">
        <f>IF(L$2=0,"",IFERROR(TRIM(INDEX('Pegar calibracion'!$A$1:$BZ$1001,810,L$2)&amp;""),""))</f>
        <v/>
      </c>
      <c r="M811" s="25">
        <f>IF(D811="","",SUBSTITUTE(SUBSTITUTE(SUBSTITUTE(SUBSTITUTE(SUBSTITUTE(SUBSTITUTE(SUBSTITUTE(SUBSTITUTE(SUBSTITUTE(SUBSTITUTE(SUBSTITUTE(SUBSTITUTE(LOWER(TRIM(D811)),"á","a"),"é","e"),"í","i"),"ó","o"),"ú","u"),"ü","u"),"ñ","n"),"à","a"),"è","e"),"ì","i"),"ò","o"),"ù","u"))</f>
        <v/>
      </c>
      <c r="N811" s="25">
        <f>IF(F811="","",SUBSTITUTE(SUBSTITUTE(SUBSTITUTE(SUBSTITUTE(SUBSTITUTE(SUBSTITUTE(SUBSTITUTE(SUBSTITUTE(SUBSTITUTE(SUBSTITUTE(SUBSTITUTE(SUBSTITUTE(LOWER(TRIM(F811)),"á","a"),"é","e"),"í","i"),"ó","o"),"ú","u"),"ü","u"),"ñ","n"),"à","a"),"è","e"),"ì","i"),"ò","o"),"ù","u"))</f>
        <v/>
      </c>
      <c r="O811" s="25">
        <f>IF(M811="confiable",2,IF(M811="dudosa",1,IF(M811="no confiable",0,"")))</f>
        <v/>
      </c>
      <c r="P811" s="25">
        <f>IF(N811="confiable",2,IF(N811="dudosa",1,IF(N811="no confiable",0,"")))</f>
        <v/>
      </c>
      <c r="Q811" s="25">
        <f>IF(AND(ISNUMBER(O811),ISNUMBER(P811)),1,"")</f>
        <v/>
      </c>
      <c r="R811" s="25">
        <f>IF(Q811=1,IF(O811=P811,"Sí","No"),"")</f>
        <v/>
      </c>
      <c r="S811" s="25">
        <f>IF(Q811=1,IF(P811&lt;O811,"Más estricto",IF(P811&gt;O811,"Más permisivo","Igual")),"")</f>
        <v/>
      </c>
      <c r="T811" s="25">
        <f>IF(Q811=1,IF(ABS(O811-P811)=2,1,0),"")</f>
        <v/>
      </c>
      <c r="U811" s="25">
        <f>IF(H811="","","|"&amp;SUBSTITUTE(SUBSTITUTE(TRIM(H811)," |","|"),"| ","|")&amp;"|")</f>
        <v/>
      </c>
      <c r="V811" s="25">
        <f>IF(AND(Q811=1,B811&lt;&gt;""),IF(IFERROR(COUNTIFS(B$3:B811,"="&amp;SUBSTITUTE(SUBSTITUTE(SUBSTITUTE(B811,"~","~~"),"*","~*"),"?","~?"),Q$3:Q811,1),0)=1,MAX(V$2:V810)+1,""),"")</f>
        <v/>
      </c>
      <c r="W811" s="25">
        <f>IF(V811="","",COUNTIFS($B$3:$B$1002,"="&amp;SUBSTITUTE(SUBSTITUTE(SUBSTITUTE(B811,"~","~~"),"*","~*"),"?","~?"),$Q$3:$Q$1002,1)*10000-V811)</f>
        <v/>
      </c>
      <c r="X811" s="25">
        <f>IF(Q811=1,IF(SUBSTITUTE(SUBSTITUTE(SUBSTITUTE(SUBSTITUTE(SUBSTITUTE(SUBSTITUTE(SUBSTITUTE(SUBSTITUTE(SUBSTITUTE(SUBSTITUTE(SUBSTITUTE(SUBSTITUTE(LOWER(TRIM(A811)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811)),"á","a"),"é","e"),"í","i"),"ó","o"),"ú","u"),"ü","u"),"ñ","n"),"à","a"),"è","e"),"ì","i"),"ò","o"),"ù","u")),"")</f>
        <v/>
      </c>
      <c r="Y811" s="25">
        <f>IF(X811="","",IF(IFERROR(COUNTIF(X$3:X811,"="&amp;SUBSTITUTE(SUBSTITUTE(SUBSTITUTE(X811,"~","~~"),"*","~*"),"?","~?")),0)=1,1,""))</f>
        <v/>
      </c>
      <c r="Z811" s="25">
        <f>IF(T811=1,MAX(Z$2:Z810)+1,"")</f>
        <v/>
      </c>
    </row>
    <row r="812">
      <c r="A812">
        <f>IF(A$2=0,"",IFERROR(TRIM(INDEX('Pegar calibracion'!$A$1:$BZ$1001,811,A$2)&amp;""),""))</f>
        <v/>
      </c>
      <c r="B812">
        <f>IF(B$2=0,"",IFERROR(TRIM(INDEX('Pegar calibracion'!$A$1:$BZ$1001,811,B$2)&amp;""),""))</f>
        <v/>
      </c>
      <c r="C812">
        <f>IF(C$2=0,"",IFERROR(TRIM(INDEX('Pegar calibracion'!$A$1:$BZ$1001,811,C$2)&amp;""),""))</f>
        <v/>
      </c>
      <c r="D812">
        <f>IF(D$2=0,"",IFERROR(TRIM(INDEX('Pegar calibracion'!$A$1:$BZ$1001,811,D$2)&amp;""),""))</f>
        <v/>
      </c>
      <c r="E812">
        <f>IF(E$2=0,"",IFERROR(TRIM(INDEX('Pegar calibracion'!$A$1:$BZ$1001,811,E$2)&amp;""),""))</f>
        <v/>
      </c>
      <c r="F812">
        <f>IF(F$2=0,"",IFERROR(TRIM(INDEX('Pegar calibracion'!$A$1:$BZ$1001,811,F$2)&amp;""),""))</f>
        <v/>
      </c>
      <c r="G812">
        <f>IF(G$2=0,"",IFERROR(TRIM(INDEX('Pegar calibracion'!$A$1:$BZ$1001,811,G$2)&amp;""),""))</f>
        <v/>
      </c>
      <c r="H812">
        <f>IF(H$2=0,"",IFERROR(TRIM(INDEX('Pegar calibracion'!$A$1:$BZ$1001,811,H$2)&amp;""),""))</f>
        <v/>
      </c>
      <c r="I812">
        <f>IF(I$2=0,"",IFERROR(TRIM(INDEX('Pegar calibracion'!$A$1:$BZ$1001,811,I$2)&amp;""),""))</f>
        <v/>
      </c>
      <c r="J812">
        <f>IF(J$2=0,"",IFERROR(TRIM(INDEX('Pegar calibracion'!$A$1:$BZ$1001,811,J$2)&amp;""),""))</f>
        <v/>
      </c>
      <c r="K812">
        <f>IF(K$2=0,"",IFERROR(TRIM(INDEX('Pegar calibracion'!$A$1:$BZ$1001,811,K$2)&amp;""),""))</f>
        <v/>
      </c>
      <c r="L812">
        <f>IF(L$2=0,"",IFERROR(TRIM(INDEX('Pegar calibracion'!$A$1:$BZ$1001,811,L$2)&amp;""),""))</f>
        <v/>
      </c>
      <c r="M812" s="25">
        <f>IF(D812="","",SUBSTITUTE(SUBSTITUTE(SUBSTITUTE(SUBSTITUTE(SUBSTITUTE(SUBSTITUTE(SUBSTITUTE(SUBSTITUTE(SUBSTITUTE(SUBSTITUTE(SUBSTITUTE(SUBSTITUTE(LOWER(TRIM(D812)),"á","a"),"é","e"),"í","i"),"ó","o"),"ú","u"),"ü","u"),"ñ","n"),"à","a"),"è","e"),"ì","i"),"ò","o"),"ù","u"))</f>
        <v/>
      </c>
      <c r="N812" s="25">
        <f>IF(F812="","",SUBSTITUTE(SUBSTITUTE(SUBSTITUTE(SUBSTITUTE(SUBSTITUTE(SUBSTITUTE(SUBSTITUTE(SUBSTITUTE(SUBSTITUTE(SUBSTITUTE(SUBSTITUTE(SUBSTITUTE(LOWER(TRIM(F812)),"á","a"),"é","e"),"í","i"),"ó","o"),"ú","u"),"ü","u"),"ñ","n"),"à","a"),"è","e"),"ì","i"),"ò","o"),"ù","u"))</f>
        <v/>
      </c>
      <c r="O812" s="25">
        <f>IF(M812="confiable",2,IF(M812="dudosa",1,IF(M812="no confiable",0,"")))</f>
        <v/>
      </c>
      <c r="P812" s="25">
        <f>IF(N812="confiable",2,IF(N812="dudosa",1,IF(N812="no confiable",0,"")))</f>
        <v/>
      </c>
      <c r="Q812" s="25">
        <f>IF(AND(ISNUMBER(O812),ISNUMBER(P812)),1,"")</f>
        <v/>
      </c>
      <c r="R812" s="25">
        <f>IF(Q812=1,IF(O812=P812,"Sí","No"),"")</f>
        <v/>
      </c>
      <c r="S812" s="25">
        <f>IF(Q812=1,IF(P812&lt;O812,"Más estricto",IF(P812&gt;O812,"Más permisivo","Igual")),"")</f>
        <v/>
      </c>
      <c r="T812" s="25">
        <f>IF(Q812=1,IF(ABS(O812-P812)=2,1,0),"")</f>
        <v/>
      </c>
      <c r="U812" s="25">
        <f>IF(H812="","","|"&amp;SUBSTITUTE(SUBSTITUTE(TRIM(H812)," |","|"),"| ","|")&amp;"|")</f>
        <v/>
      </c>
      <c r="V812" s="25">
        <f>IF(AND(Q812=1,B812&lt;&gt;""),IF(IFERROR(COUNTIFS(B$3:B812,"="&amp;SUBSTITUTE(SUBSTITUTE(SUBSTITUTE(B812,"~","~~"),"*","~*"),"?","~?"),Q$3:Q812,1),0)=1,MAX(V$2:V811)+1,""),"")</f>
        <v/>
      </c>
      <c r="W812" s="25">
        <f>IF(V812="","",COUNTIFS($B$3:$B$1002,"="&amp;SUBSTITUTE(SUBSTITUTE(SUBSTITUTE(B812,"~","~~"),"*","~*"),"?","~?"),$Q$3:$Q$1002,1)*10000-V812)</f>
        <v/>
      </c>
      <c r="X812" s="25">
        <f>IF(Q812=1,IF(SUBSTITUTE(SUBSTITUTE(SUBSTITUTE(SUBSTITUTE(SUBSTITUTE(SUBSTITUTE(SUBSTITUTE(SUBSTITUTE(SUBSTITUTE(SUBSTITUTE(SUBSTITUTE(SUBSTITUTE(LOWER(TRIM(A812)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812)),"á","a"),"é","e"),"í","i"),"ó","o"),"ú","u"),"ü","u"),"ñ","n"),"à","a"),"è","e"),"ì","i"),"ò","o"),"ù","u")),"")</f>
        <v/>
      </c>
      <c r="Y812" s="25">
        <f>IF(X812="","",IF(IFERROR(COUNTIF(X$3:X812,"="&amp;SUBSTITUTE(SUBSTITUTE(SUBSTITUTE(X812,"~","~~"),"*","~*"),"?","~?")),0)=1,1,""))</f>
        <v/>
      </c>
      <c r="Z812" s="25">
        <f>IF(T812=1,MAX(Z$2:Z811)+1,"")</f>
        <v/>
      </c>
    </row>
    <row r="813">
      <c r="A813">
        <f>IF(A$2=0,"",IFERROR(TRIM(INDEX('Pegar calibracion'!$A$1:$BZ$1001,812,A$2)&amp;""),""))</f>
        <v/>
      </c>
      <c r="B813">
        <f>IF(B$2=0,"",IFERROR(TRIM(INDEX('Pegar calibracion'!$A$1:$BZ$1001,812,B$2)&amp;""),""))</f>
        <v/>
      </c>
      <c r="C813">
        <f>IF(C$2=0,"",IFERROR(TRIM(INDEX('Pegar calibracion'!$A$1:$BZ$1001,812,C$2)&amp;""),""))</f>
        <v/>
      </c>
      <c r="D813">
        <f>IF(D$2=0,"",IFERROR(TRIM(INDEX('Pegar calibracion'!$A$1:$BZ$1001,812,D$2)&amp;""),""))</f>
        <v/>
      </c>
      <c r="E813">
        <f>IF(E$2=0,"",IFERROR(TRIM(INDEX('Pegar calibracion'!$A$1:$BZ$1001,812,E$2)&amp;""),""))</f>
        <v/>
      </c>
      <c r="F813">
        <f>IF(F$2=0,"",IFERROR(TRIM(INDEX('Pegar calibracion'!$A$1:$BZ$1001,812,F$2)&amp;""),""))</f>
        <v/>
      </c>
      <c r="G813">
        <f>IF(G$2=0,"",IFERROR(TRIM(INDEX('Pegar calibracion'!$A$1:$BZ$1001,812,G$2)&amp;""),""))</f>
        <v/>
      </c>
      <c r="H813">
        <f>IF(H$2=0,"",IFERROR(TRIM(INDEX('Pegar calibracion'!$A$1:$BZ$1001,812,H$2)&amp;""),""))</f>
        <v/>
      </c>
      <c r="I813">
        <f>IF(I$2=0,"",IFERROR(TRIM(INDEX('Pegar calibracion'!$A$1:$BZ$1001,812,I$2)&amp;""),""))</f>
        <v/>
      </c>
      <c r="J813">
        <f>IF(J$2=0,"",IFERROR(TRIM(INDEX('Pegar calibracion'!$A$1:$BZ$1001,812,J$2)&amp;""),""))</f>
        <v/>
      </c>
      <c r="K813">
        <f>IF(K$2=0,"",IFERROR(TRIM(INDEX('Pegar calibracion'!$A$1:$BZ$1001,812,K$2)&amp;""),""))</f>
        <v/>
      </c>
      <c r="L813">
        <f>IF(L$2=0,"",IFERROR(TRIM(INDEX('Pegar calibracion'!$A$1:$BZ$1001,812,L$2)&amp;""),""))</f>
        <v/>
      </c>
      <c r="M813" s="25">
        <f>IF(D813="","",SUBSTITUTE(SUBSTITUTE(SUBSTITUTE(SUBSTITUTE(SUBSTITUTE(SUBSTITUTE(SUBSTITUTE(SUBSTITUTE(SUBSTITUTE(SUBSTITUTE(SUBSTITUTE(SUBSTITUTE(LOWER(TRIM(D813)),"á","a"),"é","e"),"í","i"),"ó","o"),"ú","u"),"ü","u"),"ñ","n"),"à","a"),"è","e"),"ì","i"),"ò","o"),"ù","u"))</f>
        <v/>
      </c>
      <c r="N813" s="25">
        <f>IF(F813="","",SUBSTITUTE(SUBSTITUTE(SUBSTITUTE(SUBSTITUTE(SUBSTITUTE(SUBSTITUTE(SUBSTITUTE(SUBSTITUTE(SUBSTITUTE(SUBSTITUTE(SUBSTITUTE(SUBSTITUTE(LOWER(TRIM(F813)),"á","a"),"é","e"),"í","i"),"ó","o"),"ú","u"),"ü","u"),"ñ","n"),"à","a"),"è","e"),"ì","i"),"ò","o"),"ù","u"))</f>
        <v/>
      </c>
      <c r="O813" s="25">
        <f>IF(M813="confiable",2,IF(M813="dudosa",1,IF(M813="no confiable",0,"")))</f>
        <v/>
      </c>
      <c r="P813" s="25">
        <f>IF(N813="confiable",2,IF(N813="dudosa",1,IF(N813="no confiable",0,"")))</f>
        <v/>
      </c>
      <c r="Q813" s="25">
        <f>IF(AND(ISNUMBER(O813),ISNUMBER(P813)),1,"")</f>
        <v/>
      </c>
      <c r="R813" s="25">
        <f>IF(Q813=1,IF(O813=P813,"Sí","No"),"")</f>
        <v/>
      </c>
      <c r="S813" s="25">
        <f>IF(Q813=1,IF(P813&lt;O813,"Más estricto",IF(P813&gt;O813,"Más permisivo","Igual")),"")</f>
        <v/>
      </c>
      <c r="T813" s="25">
        <f>IF(Q813=1,IF(ABS(O813-P813)=2,1,0),"")</f>
        <v/>
      </c>
      <c r="U813" s="25">
        <f>IF(H813="","","|"&amp;SUBSTITUTE(SUBSTITUTE(TRIM(H813)," |","|"),"| ","|")&amp;"|")</f>
        <v/>
      </c>
      <c r="V813" s="25">
        <f>IF(AND(Q813=1,B813&lt;&gt;""),IF(IFERROR(COUNTIFS(B$3:B813,"="&amp;SUBSTITUTE(SUBSTITUTE(SUBSTITUTE(B813,"~","~~"),"*","~*"),"?","~?"),Q$3:Q813,1),0)=1,MAX(V$2:V812)+1,""),"")</f>
        <v/>
      </c>
      <c r="W813" s="25">
        <f>IF(V813="","",COUNTIFS($B$3:$B$1002,"="&amp;SUBSTITUTE(SUBSTITUTE(SUBSTITUTE(B813,"~","~~"),"*","~*"),"?","~?"),$Q$3:$Q$1002,1)*10000-V813)</f>
        <v/>
      </c>
      <c r="X813" s="25">
        <f>IF(Q813=1,IF(SUBSTITUTE(SUBSTITUTE(SUBSTITUTE(SUBSTITUTE(SUBSTITUTE(SUBSTITUTE(SUBSTITUTE(SUBSTITUTE(SUBSTITUTE(SUBSTITUTE(SUBSTITUTE(SUBSTITUTE(LOWER(TRIM(A813)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813)),"á","a"),"é","e"),"í","i"),"ó","o"),"ú","u"),"ü","u"),"ñ","n"),"à","a"),"è","e"),"ì","i"),"ò","o"),"ù","u")),"")</f>
        <v/>
      </c>
      <c r="Y813" s="25">
        <f>IF(X813="","",IF(IFERROR(COUNTIF(X$3:X813,"="&amp;SUBSTITUTE(SUBSTITUTE(SUBSTITUTE(X813,"~","~~"),"*","~*"),"?","~?")),0)=1,1,""))</f>
        <v/>
      </c>
      <c r="Z813" s="25">
        <f>IF(T813=1,MAX(Z$2:Z812)+1,"")</f>
        <v/>
      </c>
    </row>
    <row r="814">
      <c r="A814">
        <f>IF(A$2=0,"",IFERROR(TRIM(INDEX('Pegar calibracion'!$A$1:$BZ$1001,813,A$2)&amp;""),""))</f>
        <v/>
      </c>
      <c r="B814">
        <f>IF(B$2=0,"",IFERROR(TRIM(INDEX('Pegar calibracion'!$A$1:$BZ$1001,813,B$2)&amp;""),""))</f>
        <v/>
      </c>
      <c r="C814">
        <f>IF(C$2=0,"",IFERROR(TRIM(INDEX('Pegar calibracion'!$A$1:$BZ$1001,813,C$2)&amp;""),""))</f>
        <v/>
      </c>
      <c r="D814">
        <f>IF(D$2=0,"",IFERROR(TRIM(INDEX('Pegar calibracion'!$A$1:$BZ$1001,813,D$2)&amp;""),""))</f>
        <v/>
      </c>
      <c r="E814">
        <f>IF(E$2=0,"",IFERROR(TRIM(INDEX('Pegar calibracion'!$A$1:$BZ$1001,813,E$2)&amp;""),""))</f>
        <v/>
      </c>
      <c r="F814">
        <f>IF(F$2=0,"",IFERROR(TRIM(INDEX('Pegar calibracion'!$A$1:$BZ$1001,813,F$2)&amp;""),""))</f>
        <v/>
      </c>
      <c r="G814">
        <f>IF(G$2=0,"",IFERROR(TRIM(INDEX('Pegar calibracion'!$A$1:$BZ$1001,813,G$2)&amp;""),""))</f>
        <v/>
      </c>
      <c r="H814">
        <f>IF(H$2=0,"",IFERROR(TRIM(INDEX('Pegar calibracion'!$A$1:$BZ$1001,813,H$2)&amp;""),""))</f>
        <v/>
      </c>
      <c r="I814">
        <f>IF(I$2=0,"",IFERROR(TRIM(INDEX('Pegar calibracion'!$A$1:$BZ$1001,813,I$2)&amp;""),""))</f>
        <v/>
      </c>
      <c r="J814">
        <f>IF(J$2=0,"",IFERROR(TRIM(INDEX('Pegar calibracion'!$A$1:$BZ$1001,813,J$2)&amp;""),""))</f>
        <v/>
      </c>
      <c r="K814">
        <f>IF(K$2=0,"",IFERROR(TRIM(INDEX('Pegar calibracion'!$A$1:$BZ$1001,813,K$2)&amp;""),""))</f>
        <v/>
      </c>
      <c r="L814">
        <f>IF(L$2=0,"",IFERROR(TRIM(INDEX('Pegar calibracion'!$A$1:$BZ$1001,813,L$2)&amp;""),""))</f>
        <v/>
      </c>
      <c r="M814" s="25">
        <f>IF(D814="","",SUBSTITUTE(SUBSTITUTE(SUBSTITUTE(SUBSTITUTE(SUBSTITUTE(SUBSTITUTE(SUBSTITUTE(SUBSTITUTE(SUBSTITUTE(SUBSTITUTE(SUBSTITUTE(SUBSTITUTE(LOWER(TRIM(D814)),"á","a"),"é","e"),"í","i"),"ó","o"),"ú","u"),"ü","u"),"ñ","n"),"à","a"),"è","e"),"ì","i"),"ò","o"),"ù","u"))</f>
        <v/>
      </c>
      <c r="N814" s="25">
        <f>IF(F814="","",SUBSTITUTE(SUBSTITUTE(SUBSTITUTE(SUBSTITUTE(SUBSTITUTE(SUBSTITUTE(SUBSTITUTE(SUBSTITUTE(SUBSTITUTE(SUBSTITUTE(SUBSTITUTE(SUBSTITUTE(LOWER(TRIM(F814)),"á","a"),"é","e"),"í","i"),"ó","o"),"ú","u"),"ü","u"),"ñ","n"),"à","a"),"è","e"),"ì","i"),"ò","o"),"ù","u"))</f>
        <v/>
      </c>
      <c r="O814" s="25">
        <f>IF(M814="confiable",2,IF(M814="dudosa",1,IF(M814="no confiable",0,"")))</f>
        <v/>
      </c>
      <c r="P814" s="25">
        <f>IF(N814="confiable",2,IF(N814="dudosa",1,IF(N814="no confiable",0,"")))</f>
        <v/>
      </c>
      <c r="Q814" s="25">
        <f>IF(AND(ISNUMBER(O814),ISNUMBER(P814)),1,"")</f>
        <v/>
      </c>
      <c r="R814" s="25">
        <f>IF(Q814=1,IF(O814=P814,"Sí","No"),"")</f>
        <v/>
      </c>
      <c r="S814" s="25">
        <f>IF(Q814=1,IF(P814&lt;O814,"Más estricto",IF(P814&gt;O814,"Más permisivo","Igual")),"")</f>
        <v/>
      </c>
      <c r="T814" s="25">
        <f>IF(Q814=1,IF(ABS(O814-P814)=2,1,0),"")</f>
        <v/>
      </c>
      <c r="U814" s="25">
        <f>IF(H814="","","|"&amp;SUBSTITUTE(SUBSTITUTE(TRIM(H814)," |","|"),"| ","|")&amp;"|")</f>
        <v/>
      </c>
      <c r="V814" s="25">
        <f>IF(AND(Q814=1,B814&lt;&gt;""),IF(IFERROR(COUNTIFS(B$3:B814,"="&amp;SUBSTITUTE(SUBSTITUTE(SUBSTITUTE(B814,"~","~~"),"*","~*"),"?","~?"),Q$3:Q814,1),0)=1,MAX(V$2:V813)+1,""),"")</f>
        <v/>
      </c>
      <c r="W814" s="25">
        <f>IF(V814="","",COUNTIFS($B$3:$B$1002,"="&amp;SUBSTITUTE(SUBSTITUTE(SUBSTITUTE(B814,"~","~~"),"*","~*"),"?","~?"),$Q$3:$Q$1002,1)*10000-V814)</f>
        <v/>
      </c>
      <c r="X814" s="25">
        <f>IF(Q814=1,IF(SUBSTITUTE(SUBSTITUTE(SUBSTITUTE(SUBSTITUTE(SUBSTITUTE(SUBSTITUTE(SUBSTITUTE(SUBSTITUTE(SUBSTITUTE(SUBSTITUTE(SUBSTITUTE(SUBSTITUTE(LOWER(TRIM(A814)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814)),"á","a"),"é","e"),"í","i"),"ó","o"),"ú","u"),"ü","u"),"ñ","n"),"à","a"),"è","e"),"ì","i"),"ò","o"),"ù","u")),"")</f>
        <v/>
      </c>
      <c r="Y814" s="25">
        <f>IF(X814="","",IF(IFERROR(COUNTIF(X$3:X814,"="&amp;SUBSTITUTE(SUBSTITUTE(SUBSTITUTE(X814,"~","~~"),"*","~*"),"?","~?")),0)=1,1,""))</f>
        <v/>
      </c>
      <c r="Z814" s="25">
        <f>IF(T814=1,MAX(Z$2:Z813)+1,"")</f>
        <v/>
      </c>
    </row>
    <row r="815">
      <c r="A815">
        <f>IF(A$2=0,"",IFERROR(TRIM(INDEX('Pegar calibracion'!$A$1:$BZ$1001,814,A$2)&amp;""),""))</f>
        <v/>
      </c>
      <c r="B815">
        <f>IF(B$2=0,"",IFERROR(TRIM(INDEX('Pegar calibracion'!$A$1:$BZ$1001,814,B$2)&amp;""),""))</f>
        <v/>
      </c>
      <c r="C815">
        <f>IF(C$2=0,"",IFERROR(TRIM(INDEX('Pegar calibracion'!$A$1:$BZ$1001,814,C$2)&amp;""),""))</f>
        <v/>
      </c>
      <c r="D815">
        <f>IF(D$2=0,"",IFERROR(TRIM(INDEX('Pegar calibracion'!$A$1:$BZ$1001,814,D$2)&amp;""),""))</f>
        <v/>
      </c>
      <c r="E815">
        <f>IF(E$2=0,"",IFERROR(TRIM(INDEX('Pegar calibracion'!$A$1:$BZ$1001,814,E$2)&amp;""),""))</f>
        <v/>
      </c>
      <c r="F815">
        <f>IF(F$2=0,"",IFERROR(TRIM(INDEX('Pegar calibracion'!$A$1:$BZ$1001,814,F$2)&amp;""),""))</f>
        <v/>
      </c>
      <c r="G815">
        <f>IF(G$2=0,"",IFERROR(TRIM(INDEX('Pegar calibracion'!$A$1:$BZ$1001,814,G$2)&amp;""),""))</f>
        <v/>
      </c>
      <c r="H815">
        <f>IF(H$2=0,"",IFERROR(TRIM(INDEX('Pegar calibracion'!$A$1:$BZ$1001,814,H$2)&amp;""),""))</f>
        <v/>
      </c>
      <c r="I815">
        <f>IF(I$2=0,"",IFERROR(TRIM(INDEX('Pegar calibracion'!$A$1:$BZ$1001,814,I$2)&amp;""),""))</f>
        <v/>
      </c>
      <c r="J815">
        <f>IF(J$2=0,"",IFERROR(TRIM(INDEX('Pegar calibracion'!$A$1:$BZ$1001,814,J$2)&amp;""),""))</f>
        <v/>
      </c>
      <c r="K815">
        <f>IF(K$2=0,"",IFERROR(TRIM(INDEX('Pegar calibracion'!$A$1:$BZ$1001,814,K$2)&amp;""),""))</f>
        <v/>
      </c>
      <c r="L815">
        <f>IF(L$2=0,"",IFERROR(TRIM(INDEX('Pegar calibracion'!$A$1:$BZ$1001,814,L$2)&amp;""),""))</f>
        <v/>
      </c>
      <c r="M815" s="25">
        <f>IF(D815="","",SUBSTITUTE(SUBSTITUTE(SUBSTITUTE(SUBSTITUTE(SUBSTITUTE(SUBSTITUTE(SUBSTITUTE(SUBSTITUTE(SUBSTITUTE(SUBSTITUTE(SUBSTITUTE(SUBSTITUTE(LOWER(TRIM(D815)),"á","a"),"é","e"),"í","i"),"ó","o"),"ú","u"),"ü","u"),"ñ","n"),"à","a"),"è","e"),"ì","i"),"ò","o"),"ù","u"))</f>
        <v/>
      </c>
      <c r="N815" s="25">
        <f>IF(F815="","",SUBSTITUTE(SUBSTITUTE(SUBSTITUTE(SUBSTITUTE(SUBSTITUTE(SUBSTITUTE(SUBSTITUTE(SUBSTITUTE(SUBSTITUTE(SUBSTITUTE(SUBSTITUTE(SUBSTITUTE(LOWER(TRIM(F815)),"á","a"),"é","e"),"í","i"),"ó","o"),"ú","u"),"ü","u"),"ñ","n"),"à","a"),"è","e"),"ì","i"),"ò","o"),"ù","u"))</f>
        <v/>
      </c>
      <c r="O815" s="25">
        <f>IF(M815="confiable",2,IF(M815="dudosa",1,IF(M815="no confiable",0,"")))</f>
        <v/>
      </c>
      <c r="P815" s="25">
        <f>IF(N815="confiable",2,IF(N815="dudosa",1,IF(N815="no confiable",0,"")))</f>
        <v/>
      </c>
      <c r="Q815" s="25">
        <f>IF(AND(ISNUMBER(O815),ISNUMBER(P815)),1,"")</f>
        <v/>
      </c>
      <c r="R815" s="25">
        <f>IF(Q815=1,IF(O815=P815,"Sí","No"),"")</f>
        <v/>
      </c>
      <c r="S815" s="25">
        <f>IF(Q815=1,IF(P815&lt;O815,"Más estricto",IF(P815&gt;O815,"Más permisivo","Igual")),"")</f>
        <v/>
      </c>
      <c r="T815" s="25">
        <f>IF(Q815=1,IF(ABS(O815-P815)=2,1,0),"")</f>
        <v/>
      </c>
      <c r="U815" s="25">
        <f>IF(H815="","","|"&amp;SUBSTITUTE(SUBSTITUTE(TRIM(H815)," |","|"),"| ","|")&amp;"|")</f>
        <v/>
      </c>
      <c r="V815" s="25">
        <f>IF(AND(Q815=1,B815&lt;&gt;""),IF(IFERROR(COUNTIFS(B$3:B815,"="&amp;SUBSTITUTE(SUBSTITUTE(SUBSTITUTE(B815,"~","~~"),"*","~*"),"?","~?"),Q$3:Q815,1),0)=1,MAX(V$2:V814)+1,""),"")</f>
        <v/>
      </c>
      <c r="W815" s="25">
        <f>IF(V815="","",COUNTIFS($B$3:$B$1002,"="&amp;SUBSTITUTE(SUBSTITUTE(SUBSTITUTE(B815,"~","~~"),"*","~*"),"?","~?"),$Q$3:$Q$1002,1)*10000-V815)</f>
        <v/>
      </c>
      <c r="X815" s="25">
        <f>IF(Q815=1,IF(SUBSTITUTE(SUBSTITUTE(SUBSTITUTE(SUBSTITUTE(SUBSTITUTE(SUBSTITUTE(SUBSTITUTE(SUBSTITUTE(SUBSTITUTE(SUBSTITUTE(SUBSTITUTE(SUBSTITUTE(LOWER(TRIM(A815)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815)),"á","a"),"é","e"),"í","i"),"ó","o"),"ú","u"),"ü","u"),"ñ","n"),"à","a"),"è","e"),"ì","i"),"ò","o"),"ù","u")),"")</f>
        <v/>
      </c>
      <c r="Y815" s="25">
        <f>IF(X815="","",IF(IFERROR(COUNTIF(X$3:X815,"="&amp;SUBSTITUTE(SUBSTITUTE(SUBSTITUTE(X815,"~","~~"),"*","~*"),"?","~?")),0)=1,1,""))</f>
        <v/>
      </c>
      <c r="Z815" s="25">
        <f>IF(T815=1,MAX(Z$2:Z814)+1,"")</f>
        <v/>
      </c>
    </row>
    <row r="816">
      <c r="A816">
        <f>IF(A$2=0,"",IFERROR(TRIM(INDEX('Pegar calibracion'!$A$1:$BZ$1001,815,A$2)&amp;""),""))</f>
        <v/>
      </c>
      <c r="B816">
        <f>IF(B$2=0,"",IFERROR(TRIM(INDEX('Pegar calibracion'!$A$1:$BZ$1001,815,B$2)&amp;""),""))</f>
        <v/>
      </c>
      <c r="C816">
        <f>IF(C$2=0,"",IFERROR(TRIM(INDEX('Pegar calibracion'!$A$1:$BZ$1001,815,C$2)&amp;""),""))</f>
        <v/>
      </c>
      <c r="D816">
        <f>IF(D$2=0,"",IFERROR(TRIM(INDEX('Pegar calibracion'!$A$1:$BZ$1001,815,D$2)&amp;""),""))</f>
        <v/>
      </c>
      <c r="E816">
        <f>IF(E$2=0,"",IFERROR(TRIM(INDEX('Pegar calibracion'!$A$1:$BZ$1001,815,E$2)&amp;""),""))</f>
        <v/>
      </c>
      <c r="F816">
        <f>IF(F$2=0,"",IFERROR(TRIM(INDEX('Pegar calibracion'!$A$1:$BZ$1001,815,F$2)&amp;""),""))</f>
        <v/>
      </c>
      <c r="G816">
        <f>IF(G$2=0,"",IFERROR(TRIM(INDEX('Pegar calibracion'!$A$1:$BZ$1001,815,G$2)&amp;""),""))</f>
        <v/>
      </c>
      <c r="H816">
        <f>IF(H$2=0,"",IFERROR(TRIM(INDEX('Pegar calibracion'!$A$1:$BZ$1001,815,H$2)&amp;""),""))</f>
        <v/>
      </c>
      <c r="I816">
        <f>IF(I$2=0,"",IFERROR(TRIM(INDEX('Pegar calibracion'!$A$1:$BZ$1001,815,I$2)&amp;""),""))</f>
        <v/>
      </c>
      <c r="J816">
        <f>IF(J$2=0,"",IFERROR(TRIM(INDEX('Pegar calibracion'!$A$1:$BZ$1001,815,J$2)&amp;""),""))</f>
        <v/>
      </c>
      <c r="K816">
        <f>IF(K$2=0,"",IFERROR(TRIM(INDEX('Pegar calibracion'!$A$1:$BZ$1001,815,K$2)&amp;""),""))</f>
        <v/>
      </c>
      <c r="L816">
        <f>IF(L$2=0,"",IFERROR(TRIM(INDEX('Pegar calibracion'!$A$1:$BZ$1001,815,L$2)&amp;""),""))</f>
        <v/>
      </c>
      <c r="M816" s="25">
        <f>IF(D816="","",SUBSTITUTE(SUBSTITUTE(SUBSTITUTE(SUBSTITUTE(SUBSTITUTE(SUBSTITUTE(SUBSTITUTE(SUBSTITUTE(SUBSTITUTE(SUBSTITUTE(SUBSTITUTE(SUBSTITUTE(LOWER(TRIM(D816)),"á","a"),"é","e"),"í","i"),"ó","o"),"ú","u"),"ü","u"),"ñ","n"),"à","a"),"è","e"),"ì","i"),"ò","o"),"ù","u"))</f>
        <v/>
      </c>
      <c r="N816" s="25">
        <f>IF(F816="","",SUBSTITUTE(SUBSTITUTE(SUBSTITUTE(SUBSTITUTE(SUBSTITUTE(SUBSTITUTE(SUBSTITUTE(SUBSTITUTE(SUBSTITUTE(SUBSTITUTE(SUBSTITUTE(SUBSTITUTE(LOWER(TRIM(F816)),"á","a"),"é","e"),"í","i"),"ó","o"),"ú","u"),"ü","u"),"ñ","n"),"à","a"),"è","e"),"ì","i"),"ò","o"),"ù","u"))</f>
        <v/>
      </c>
      <c r="O816" s="25">
        <f>IF(M816="confiable",2,IF(M816="dudosa",1,IF(M816="no confiable",0,"")))</f>
        <v/>
      </c>
      <c r="P816" s="25">
        <f>IF(N816="confiable",2,IF(N816="dudosa",1,IF(N816="no confiable",0,"")))</f>
        <v/>
      </c>
      <c r="Q816" s="25">
        <f>IF(AND(ISNUMBER(O816),ISNUMBER(P816)),1,"")</f>
        <v/>
      </c>
      <c r="R816" s="25">
        <f>IF(Q816=1,IF(O816=P816,"Sí","No"),"")</f>
        <v/>
      </c>
      <c r="S816" s="25">
        <f>IF(Q816=1,IF(P816&lt;O816,"Más estricto",IF(P816&gt;O816,"Más permisivo","Igual")),"")</f>
        <v/>
      </c>
      <c r="T816" s="25">
        <f>IF(Q816=1,IF(ABS(O816-P816)=2,1,0),"")</f>
        <v/>
      </c>
      <c r="U816" s="25">
        <f>IF(H816="","","|"&amp;SUBSTITUTE(SUBSTITUTE(TRIM(H816)," |","|"),"| ","|")&amp;"|")</f>
        <v/>
      </c>
      <c r="V816" s="25">
        <f>IF(AND(Q816=1,B816&lt;&gt;""),IF(IFERROR(COUNTIFS(B$3:B816,"="&amp;SUBSTITUTE(SUBSTITUTE(SUBSTITUTE(B816,"~","~~"),"*","~*"),"?","~?"),Q$3:Q816,1),0)=1,MAX(V$2:V815)+1,""),"")</f>
        <v/>
      </c>
      <c r="W816" s="25">
        <f>IF(V816="","",COUNTIFS($B$3:$B$1002,"="&amp;SUBSTITUTE(SUBSTITUTE(SUBSTITUTE(B816,"~","~~"),"*","~*"),"?","~?"),$Q$3:$Q$1002,1)*10000-V816)</f>
        <v/>
      </c>
      <c r="X816" s="25">
        <f>IF(Q816=1,IF(SUBSTITUTE(SUBSTITUTE(SUBSTITUTE(SUBSTITUTE(SUBSTITUTE(SUBSTITUTE(SUBSTITUTE(SUBSTITUTE(SUBSTITUTE(SUBSTITUTE(SUBSTITUTE(SUBSTITUTE(LOWER(TRIM(A816)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816)),"á","a"),"é","e"),"í","i"),"ó","o"),"ú","u"),"ü","u"),"ñ","n"),"à","a"),"è","e"),"ì","i"),"ò","o"),"ù","u")),"")</f>
        <v/>
      </c>
      <c r="Y816" s="25">
        <f>IF(X816="","",IF(IFERROR(COUNTIF(X$3:X816,"="&amp;SUBSTITUTE(SUBSTITUTE(SUBSTITUTE(X816,"~","~~"),"*","~*"),"?","~?")),0)=1,1,""))</f>
        <v/>
      </c>
      <c r="Z816" s="25">
        <f>IF(T816=1,MAX(Z$2:Z815)+1,"")</f>
        <v/>
      </c>
    </row>
    <row r="817">
      <c r="A817">
        <f>IF(A$2=0,"",IFERROR(TRIM(INDEX('Pegar calibracion'!$A$1:$BZ$1001,816,A$2)&amp;""),""))</f>
        <v/>
      </c>
      <c r="B817">
        <f>IF(B$2=0,"",IFERROR(TRIM(INDEX('Pegar calibracion'!$A$1:$BZ$1001,816,B$2)&amp;""),""))</f>
        <v/>
      </c>
      <c r="C817">
        <f>IF(C$2=0,"",IFERROR(TRIM(INDEX('Pegar calibracion'!$A$1:$BZ$1001,816,C$2)&amp;""),""))</f>
        <v/>
      </c>
      <c r="D817">
        <f>IF(D$2=0,"",IFERROR(TRIM(INDEX('Pegar calibracion'!$A$1:$BZ$1001,816,D$2)&amp;""),""))</f>
        <v/>
      </c>
      <c r="E817">
        <f>IF(E$2=0,"",IFERROR(TRIM(INDEX('Pegar calibracion'!$A$1:$BZ$1001,816,E$2)&amp;""),""))</f>
        <v/>
      </c>
      <c r="F817">
        <f>IF(F$2=0,"",IFERROR(TRIM(INDEX('Pegar calibracion'!$A$1:$BZ$1001,816,F$2)&amp;""),""))</f>
        <v/>
      </c>
      <c r="G817">
        <f>IF(G$2=0,"",IFERROR(TRIM(INDEX('Pegar calibracion'!$A$1:$BZ$1001,816,G$2)&amp;""),""))</f>
        <v/>
      </c>
      <c r="H817">
        <f>IF(H$2=0,"",IFERROR(TRIM(INDEX('Pegar calibracion'!$A$1:$BZ$1001,816,H$2)&amp;""),""))</f>
        <v/>
      </c>
      <c r="I817">
        <f>IF(I$2=0,"",IFERROR(TRIM(INDEX('Pegar calibracion'!$A$1:$BZ$1001,816,I$2)&amp;""),""))</f>
        <v/>
      </c>
      <c r="J817">
        <f>IF(J$2=0,"",IFERROR(TRIM(INDEX('Pegar calibracion'!$A$1:$BZ$1001,816,J$2)&amp;""),""))</f>
        <v/>
      </c>
      <c r="K817">
        <f>IF(K$2=0,"",IFERROR(TRIM(INDEX('Pegar calibracion'!$A$1:$BZ$1001,816,K$2)&amp;""),""))</f>
        <v/>
      </c>
      <c r="L817">
        <f>IF(L$2=0,"",IFERROR(TRIM(INDEX('Pegar calibracion'!$A$1:$BZ$1001,816,L$2)&amp;""),""))</f>
        <v/>
      </c>
      <c r="M817" s="25">
        <f>IF(D817="","",SUBSTITUTE(SUBSTITUTE(SUBSTITUTE(SUBSTITUTE(SUBSTITUTE(SUBSTITUTE(SUBSTITUTE(SUBSTITUTE(SUBSTITUTE(SUBSTITUTE(SUBSTITUTE(SUBSTITUTE(LOWER(TRIM(D817)),"á","a"),"é","e"),"í","i"),"ó","o"),"ú","u"),"ü","u"),"ñ","n"),"à","a"),"è","e"),"ì","i"),"ò","o"),"ù","u"))</f>
        <v/>
      </c>
      <c r="N817" s="25">
        <f>IF(F817="","",SUBSTITUTE(SUBSTITUTE(SUBSTITUTE(SUBSTITUTE(SUBSTITUTE(SUBSTITUTE(SUBSTITUTE(SUBSTITUTE(SUBSTITUTE(SUBSTITUTE(SUBSTITUTE(SUBSTITUTE(LOWER(TRIM(F817)),"á","a"),"é","e"),"í","i"),"ó","o"),"ú","u"),"ü","u"),"ñ","n"),"à","a"),"è","e"),"ì","i"),"ò","o"),"ù","u"))</f>
        <v/>
      </c>
      <c r="O817" s="25">
        <f>IF(M817="confiable",2,IF(M817="dudosa",1,IF(M817="no confiable",0,"")))</f>
        <v/>
      </c>
      <c r="P817" s="25">
        <f>IF(N817="confiable",2,IF(N817="dudosa",1,IF(N817="no confiable",0,"")))</f>
        <v/>
      </c>
      <c r="Q817" s="25">
        <f>IF(AND(ISNUMBER(O817),ISNUMBER(P817)),1,"")</f>
        <v/>
      </c>
      <c r="R817" s="25">
        <f>IF(Q817=1,IF(O817=P817,"Sí","No"),"")</f>
        <v/>
      </c>
      <c r="S817" s="25">
        <f>IF(Q817=1,IF(P817&lt;O817,"Más estricto",IF(P817&gt;O817,"Más permisivo","Igual")),"")</f>
        <v/>
      </c>
      <c r="T817" s="25">
        <f>IF(Q817=1,IF(ABS(O817-P817)=2,1,0),"")</f>
        <v/>
      </c>
      <c r="U817" s="25">
        <f>IF(H817="","","|"&amp;SUBSTITUTE(SUBSTITUTE(TRIM(H817)," |","|"),"| ","|")&amp;"|")</f>
        <v/>
      </c>
      <c r="V817" s="25">
        <f>IF(AND(Q817=1,B817&lt;&gt;""),IF(IFERROR(COUNTIFS(B$3:B817,"="&amp;SUBSTITUTE(SUBSTITUTE(SUBSTITUTE(B817,"~","~~"),"*","~*"),"?","~?"),Q$3:Q817,1),0)=1,MAX(V$2:V816)+1,""),"")</f>
        <v/>
      </c>
      <c r="W817" s="25">
        <f>IF(V817="","",COUNTIFS($B$3:$B$1002,"="&amp;SUBSTITUTE(SUBSTITUTE(SUBSTITUTE(B817,"~","~~"),"*","~*"),"?","~?"),$Q$3:$Q$1002,1)*10000-V817)</f>
        <v/>
      </c>
      <c r="X817" s="25">
        <f>IF(Q817=1,IF(SUBSTITUTE(SUBSTITUTE(SUBSTITUTE(SUBSTITUTE(SUBSTITUTE(SUBSTITUTE(SUBSTITUTE(SUBSTITUTE(SUBSTITUTE(SUBSTITUTE(SUBSTITUTE(SUBSTITUTE(LOWER(TRIM(A817)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817)),"á","a"),"é","e"),"í","i"),"ó","o"),"ú","u"),"ü","u"),"ñ","n"),"à","a"),"è","e"),"ì","i"),"ò","o"),"ù","u")),"")</f>
        <v/>
      </c>
      <c r="Y817" s="25">
        <f>IF(X817="","",IF(IFERROR(COUNTIF(X$3:X817,"="&amp;SUBSTITUTE(SUBSTITUTE(SUBSTITUTE(X817,"~","~~"),"*","~*"),"?","~?")),0)=1,1,""))</f>
        <v/>
      </c>
      <c r="Z817" s="25">
        <f>IF(T817=1,MAX(Z$2:Z816)+1,"")</f>
        <v/>
      </c>
    </row>
    <row r="818">
      <c r="A818">
        <f>IF(A$2=0,"",IFERROR(TRIM(INDEX('Pegar calibracion'!$A$1:$BZ$1001,817,A$2)&amp;""),""))</f>
        <v/>
      </c>
      <c r="B818">
        <f>IF(B$2=0,"",IFERROR(TRIM(INDEX('Pegar calibracion'!$A$1:$BZ$1001,817,B$2)&amp;""),""))</f>
        <v/>
      </c>
      <c r="C818">
        <f>IF(C$2=0,"",IFERROR(TRIM(INDEX('Pegar calibracion'!$A$1:$BZ$1001,817,C$2)&amp;""),""))</f>
        <v/>
      </c>
      <c r="D818">
        <f>IF(D$2=0,"",IFERROR(TRIM(INDEX('Pegar calibracion'!$A$1:$BZ$1001,817,D$2)&amp;""),""))</f>
        <v/>
      </c>
      <c r="E818">
        <f>IF(E$2=0,"",IFERROR(TRIM(INDEX('Pegar calibracion'!$A$1:$BZ$1001,817,E$2)&amp;""),""))</f>
        <v/>
      </c>
      <c r="F818">
        <f>IF(F$2=0,"",IFERROR(TRIM(INDEX('Pegar calibracion'!$A$1:$BZ$1001,817,F$2)&amp;""),""))</f>
        <v/>
      </c>
      <c r="G818">
        <f>IF(G$2=0,"",IFERROR(TRIM(INDEX('Pegar calibracion'!$A$1:$BZ$1001,817,G$2)&amp;""),""))</f>
        <v/>
      </c>
      <c r="H818">
        <f>IF(H$2=0,"",IFERROR(TRIM(INDEX('Pegar calibracion'!$A$1:$BZ$1001,817,H$2)&amp;""),""))</f>
        <v/>
      </c>
      <c r="I818">
        <f>IF(I$2=0,"",IFERROR(TRIM(INDEX('Pegar calibracion'!$A$1:$BZ$1001,817,I$2)&amp;""),""))</f>
        <v/>
      </c>
      <c r="J818">
        <f>IF(J$2=0,"",IFERROR(TRIM(INDEX('Pegar calibracion'!$A$1:$BZ$1001,817,J$2)&amp;""),""))</f>
        <v/>
      </c>
      <c r="K818">
        <f>IF(K$2=0,"",IFERROR(TRIM(INDEX('Pegar calibracion'!$A$1:$BZ$1001,817,K$2)&amp;""),""))</f>
        <v/>
      </c>
      <c r="L818">
        <f>IF(L$2=0,"",IFERROR(TRIM(INDEX('Pegar calibracion'!$A$1:$BZ$1001,817,L$2)&amp;""),""))</f>
        <v/>
      </c>
      <c r="M818" s="25">
        <f>IF(D818="","",SUBSTITUTE(SUBSTITUTE(SUBSTITUTE(SUBSTITUTE(SUBSTITUTE(SUBSTITUTE(SUBSTITUTE(SUBSTITUTE(SUBSTITUTE(SUBSTITUTE(SUBSTITUTE(SUBSTITUTE(LOWER(TRIM(D818)),"á","a"),"é","e"),"í","i"),"ó","o"),"ú","u"),"ü","u"),"ñ","n"),"à","a"),"è","e"),"ì","i"),"ò","o"),"ù","u"))</f>
        <v/>
      </c>
      <c r="N818" s="25">
        <f>IF(F818="","",SUBSTITUTE(SUBSTITUTE(SUBSTITUTE(SUBSTITUTE(SUBSTITUTE(SUBSTITUTE(SUBSTITUTE(SUBSTITUTE(SUBSTITUTE(SUBSTITUTE(SUBSTITUTE(SUBSTITUTE(LOWER(TRIM(F818)),"á","a"),"é","e"),"í","i"),"ó","o"),"ú","u"),"ü","u"),"ñ","n"),"à","a"),"è","e"),"ì","i"),"ò","o"),"ù","u"))</f>
        <v/>
      </c>
      <c r="O818" s="25">
        <f>IF(M818="confiable",2,IF(M818="dudosa",1,IF(M818="no confiable",0,"")))</f>
        <v/>
      </c>
      <c r="P818" s="25">
        <f>IF(N818="confiable",2,IF(N818="dudosa",1,IF(N818="no confiable",0,"")))</f>
        <v/>
      </c>
      <c r="Q818" s="25">
        <f>IF(AND(ISNUMBER(O818),ISNUMBER(P818)),1,"")</f>
        <v/>
      </c>
      <c r="R818" s="25">
        <f>IF(Q818=1,IF(O818=P818,"Sí","No"),"")</f>
        <v/>
      </c>
      <c r="S818" s="25">
        <f>IF(Q818=1,IF(P818&lt;O818,"Más estricto",IF(P818&gt;O818,"Más permisivo","Igual")),"")</f>
        <v/>
      </c>
      <c r="T818" s="25">
        <f>IF(Q818=1,IF(ABS(O818-P818)=2,1,0),"")</f>
        <v/>
      </c>
      <c r="U818" s="25">
        <f>IF(H818="","","|"&amp;SUBSTITUTE(SUBSTITUTE(TRIM(H818)," |","|"),"| ","|")&amp;"|")</f>
        <v/>
      </c>
      <c r="V818" s="25">
        <f>IF(AND(Q818=1,B818&lt;&gt;""),IF(IFERROR(COUNTIFS(B$3:B818,"="&amp;SUBSTITUTE(SUBSTITUTE(SUBSTITUTE(B818,"~","~~"),"*","~*"),"?","~?"),Q$3:Q818,1),0)=1,MAX(V$2:V817)+1,""),"")</f>
        <v/>
      </c>
      <c r="W818" s="25">
        <f>IF(V818="","",COUNTIFS($B$3:$B$1002,"="&amp;SUBSTITUTE(SUBSTITUTE(SUBSTITUTE(B818,"~","~~"),"*","~*"),"?","~?"),$Q$3:$Q$1002,1)*10000-V818)</f>
        <v/>
      </c>
      <c r="X818" s="25">
        <f>IF(Q818=1,IF(SUBSTITUTE(SUBSTITUTE(SUBSTITUTE(SUBSTITUTE(SUBSTITUTE(SUBSTITUTE(SUBSTITUTE(SUBSTITUTE(SUBSTITUTE(SUBSTITUTE(SUBSTITUTE(SUBSTITUTE(LOWER(TRIM(A818)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818)),"á","a"),"é","e"),"í","i"),"ó","o"),"ú","u"),"ü","u"),"ñ","n"),"à","a"),"è","e"),"ì","i"),"ò","o"),"ù","u")),"")</f>
        <v/>
      </c>
      <c r="Y818" s="25">
        <f>IF(X818="","",IF(IFERROR(COUNTIF(X$3:X818,"="&amp;SUBSTITUTE(SUBSTITUTE(SUBSTITUTE(X818,"~","~~"),"*","~*"),"?","~?")),0)=1,1,""))</f>
        <v/>
      </c>
      <c r="Z818" s="25">
        <f>IF(T818=1,MAX(Z$2:Z817)+1,"")</f>
        <v/>
      </c>
    </row>
    <row r="819">
      <c r="A819">
        <f>IF(A$2=0,"",IFERROR(TRIM(INDEX('Pegar calibracion'!$A$1:$BZ$1001,818,A$2)&amp;""),""))</f>
        <v/>
      </c>
      <c r="B819">
        <f>IF(B$2=0,"",IFERROR(TRIM(INDEX('Pegar calibracion'!$A$1:$BZ$1001,818,B$2)&amp;""),""))</f>
        <v/>
      </c>
      <c r="C819">
        <f>IF(C$2=0,"",IFERROR(TRIM(INDEX('Pegar calibracion'!$A$1:$BZ$1001,818,C$2)&amp;""),""))</f>
        <v/>
      </c>
      <c r="D819">
        <f>IF(D$2=0,"",IFERROR(TRIM(INDEX('Pegar calibracion'!$A$1:$BZ$1001,818,D$2)&amp;""),""))</f>
        <v/>
      </c>
      <c r="E819">
        <f>IF(E$2=0,"",IFERROR(TRIM(INDEX('Pegar calibracion'!$A$1:$BZ$1001,818,E$2)&amp;""),""))</f>
        <v/>
      </c>
      <c r="F819">
        <f>IF(F$2=0,"",IFERROR(TRIM(INDEX('Pegar calibracion'!$A$1:$BZ$1001,818,F$2)&amp;""),""))</f>
        <v/>
      </c>
      <c r="G819">
        <f>IF(G$2=0,"",IFERROR(TRIM(INDEX('Pegar calibracion'!$A$1:$BZ$1001,818,G$2)&amp;""),""))</f>
        <v/>
      </c>
      <c r="H819">
        <f>IF(H$2=0,"",IFERROR(TRIM(INDEX('Pegar calibracion'!$A$1:$BZ$1001,818,H$2)&amp;""),""))</f>
        <v/>
      </c>
      <c r="I819">
        <f>IF(I$2=0,"",IFERROR(TRIM(INDEX('Pegar calibracion'!$A$1:$BZ$1001,818,I$2)&amp;""),""))</f>
        <v/>
      </c>
      <c r="J819">
        <f>IF(J$2=0,"",IFERROR(TRIM(INDEX('Pegar calibracion'!$A$1:$BZ$1001,818,J$2)&amp;""),""))</f>
        <v/>
      </c>
      <c r="K819">
        <f>IF(K$2=0,"",IFERROR(TRIM(INDEX('Pegar calibracion'!$A$1:$BZ$1001,818,K$2)&amp;""),""))</f>
        <v/>
      </c>
      <c r="L819">
        <f>IF(L$2=0,"",IFERROR(TRIM(INDEX('Pegar calibracion'!$A$1:$BZ$1001,818,L$2)&amp;""),""))</f>
        <v/>
      </c>
      <c r="M819" s="25">
        <f>IF(D819="","",SUBSTITUTE(SUBSTITUTE(SUBSTITUTE(SUBSTITUTE(SUBSTITUTE(SUBSTITUTE(SUBSTITUTE(SUBSTITUTE(SUBSTITUTE(SUBSTITUTE(SUBSTITUTE(SUBSTITUTE(LOWER(TRIM(D819)),"á","a"),"é","e"),"í","i"),"ó","o"),"ú","u"),"ü","u"),"ñ","n"),"à","a"),"è","e"),"ì","i"),"ò","o"),"ù","u"))</f>
        <v/>
      </c>
      <c r="N819" s="25">
        <f>IF(F819="","",SUBSTITUTE(SUBSTITUTE(SUBSTITUTE(SUBSTITUTE(SUBSTITUTE(SUBSTITUTE(SUBSTITUTE(SUBSTITUTE(SUBSTITUTE(SUBSTITUTE(SUBSTITUTE(SUBSTITUTE(LOWER(TRIM(F819)),"á","a"),"é","e"),"í","i"),"ó","o"),"ú","u"),"ü","u"),"ñ","n"),"à","a"),"è","e"),"ì","i"),"ò","o"),"ù","u"))</f>
        <v/>
      </c>
      <c r="O819" s="25">
        <f>IF(M819="confiable",2,IF(M819="dudosa",1,IF(M819="no confiable",0,"")))</f>
        <v/>
      </c>
      <c r="P819" s="25">
        <f>IF(N819="confiable",2,IF(N819="dudosa",1,IF(N819="no confiable",0,"")))</f>
        <v/>
      </c>
      <c r="Q819" s="25">
        <f>IF(AND(ISNUMBER(O819),ISNUMBER(P819)),1,"")</f>
        <v/>
      </c>
      <c r="R819" s="25">
        <f>IF(Q819=1,IF(O819=P819,"Sí","No"),"")</f>
        <v/>
      </c>
      <c r="S819" s="25">
        <f>IF(Q819=1,IF(P819&lt;O819,"Más estricto",IF(P819&gt;O819,"Más permisivo","Igual")),"")</f>
        <v/>
      </c>
      <c r="T819" s="25">
        <f>IF(Q819=1,IF(ABS(O819-P819)=2,1,0),"")</f>
        <v/>
      </c>
      <c r="U819" s="25">
        <f>IF(H819="","","|"&amp;SUBSTITUTE(SUBSTITUTE(TRIM(H819)," |","|"),"| ","|")&amp;"|")</f>
        <v/>
      </c>
      <c r="V819" s="25">
        <f>IF(AND(Q819=1,B819&lt;&gt;""),IF(IFERROR(COUNTIFS(B$3:B819,"="&amp;SUBSTITUTE(SUBSTITUTE(SUBSTITUTE(B819,"~","~~"),"*","~*"),"?","~?"),Q$3:Q819,1),0)=1,MAX(V$2:V818)+1,""),"")</f>
        <v/>
      </c>
      <c r="W819" s="25">
        <f>IF(V819="","",COUNTIFS($B$3:$B$1002,"="&amp;SUBSTITUTE(SUBSTITUTE(SUBSTITUTE(B819,"~","~~"),"*","~*"),"?","~?"),$Q$3:$Q$1002,1)*10000-V819)</f>
        <v/>
      </c>
      <c r="X819" s="25">
        <f>IF(Q819=1,IF(SUBSTITUTE(SUBSTITUTE(SUBSTITUTE(SUBSTITUTE(SUBSTITUTE(SUBSTITUTE(SUBSTITUTE(SUBSTITUTE(SUBSTITUTE(SUBSTITUTE(SUBSTITUTE(SUBSTITUTE(LOWER(TRIM(A819)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819)),"á","a"),"é","e"),"í","i"),"ó","o"),"ú","u"),"ü","u"),"ñ","n"),"à","a"),"è","e"),"ì","i"),"ò","o"),"ù","u")),"")</f>
        <v/>
      </c>
      <c r="Y819" s="25">
        <f>IF(X819="","",IF(IFERROR(COUNTIF(X$3:X819,"="&amp;SUBSTITUTE(SUBSTITUTE(SUBSTITUTE(X819,"~","~~"),"*","~*"),"?","~?")),0)=1,1,""))</f>
        <v/>
      </c>
      <c r="Z819" s="25">
        <f>IF(T819=1,MAX(Z$2:Z818)+1,"")</f>
        <v/>
      </c>
    </row>
    <row r="820">
      <c r="A820">
        <f>IF(A$2=0,"",IFERROR(TRIM(INDEX('Pegar calibracion'!$A$1:$BZ$1001,819,A$2)&amp;""),""))</f>
        <v/>
      </c>
      <c r="B820">
        <f>IF(B$2=0,"",IFERROR(TRIM(INDEX('Pegar calibracion'!$A$1:$BZ$1001,819,B$2)&amp;""),""))</f>
        <v/>
      </c>
      <c r="C820">
        <f>IF(C$2=0,"",IFERROR(TRIM(INDEX('Pegar calibracion'!$A$1:$BZ$1001,819,C$2)&amp;""),""))</f>
        <v/>
      </c>
      <c r="D820">
        <f>IF(D$2=0,"",IFERROR(TRIM(INDEX('Pegar calibracion'!$A$1:$BZ$1001,819,D$2)&amp;""),""))</f>
        <v/>
      </c>
      <c r="E820">
        <f>IF(E$2=0,"",IFERROR(TRIM(INDEX('Pegar calibracion'!$A$1:$BZ$1001,819,E$2)&amp;""),""))</f>
        <v/>
      </c>
      <c r="F820">
        <f>IF(F$2=0,"",IFERROR(TRIM(INDEX('Pegar calibracion'!$A$1:$BZ$1001,819,F$2)&amp;""),""))</f>
        <v/>
      </c>
      <c r="G820">
        <f>IF(G$2=0,"",IFERROR(TRIM(INDEX('Pegar calibracion'!$A$1:$BZ$1001,819,G$2)&amp;""),""))</f>
        <v/>
      </c>
      <c r="H820">
        <f>IF(H$2=0,"",IFERROR(TRIM(INDEX('Pegar calibracion'!$A$1:$BZ$1001,819,H$2)&amp;""),""))</f>
        <v/>
      </c>
      <c r="I820">
        <f>IF(I$2=0,"",IFERROR(TRIM(INDEX('Pegar calibracion'!$A$1:$BZ$1001,819,I$2)&amp;""),""))</f>
        <v/>
      </c>
      <c r="J820">
        <f>IF(J$2=0,"",IFERROR(TRIM(INDEX('Pegar calibracion'!$A$1:$BZ$1001,819,J$2)&amp;""),""))</f>
        <v/>
      </c>
      <c r="K820">
        <f>IF(K$2=0,"",IFERROR(TRIM(INDEX('Pegar calibracion'!$A$1:$BZ$1001,819,K$2)&amp;""),""))</f>
        <v/>
      </c>
      <c r="L820">
        <f>IF(L$2=0,"",IFERROR(TRIM(INDEX('Pegar calibracion'!$A$1:$BZ$1001,819,L$2)&amp;""),""))</f>
        <v/>
      </c>
      <c r="M820" s="25">
        <f>IF(D820="","",SUBSTITUTE(SUBSTITUTE(SUBSTITUTE(SUBSTITUTE(SUBSTITUTE(SUBSTITUTE(SUBSTITUTE(SUBSTITUTE(SUBSTITUTE(SUBSTITUTE(SUBSTITUTE(SUBSTITUTE(LOWER(TRIM(D820)),"á","a"),"é","e"),"í","i"),"ó","o"),"ú","u"),"ü","u"),"ñ","n"),"à","a"),"è","e"),"ì","i"),"ò","o"),"ù","u"))</f>
        <v/>
      </c>
      <c r="N820" s="25">
        <f>IF(F820="","",SUBSTITUTE(SUBSTITUTE(SUBSTITUTE(SUBSTITUTE(SUBSTITUTE(SUBSTITUTE(SUBSTITUTE(SUBSTITUTE(SUBSTITUTE(SUBSTITUTE(SUBSTITUTE(SUBSTITUTE(LOWER(TRIM(F820)),"á","a"),"é","e"),"í","i"),"ó","o"),"ú","u"),"ü","u"),"ñ","n"),"à","a"),"è","e"),"ì","i"),"ò","o"),"ù","u"))</f>
        <v/>
      </c>
      <c r="O820" s="25">
        <f>IF(M820="confiable",2,IF(M820="dudosa",1,IF(M820="no confiable",0,"")))</f>
        <v/>
      </c>
      <c r="P820" s="25">
        <f>IF(N820="confiable",2,IF(N820="dudosa",1,IF(N820="no confiable",0,"")))</f>
        <v/>
      </c>
      <c r="Q820" s="25">
        <f>IF(AND(ISNUMBER(O820),ISNUMBER(P820)),1,"")</f>
        <v/>
      </c>
      <c r="R820" s="25">
        <f>IF(Q820=1,IF(O820=P820,"Sí","No"),"")</f>
        <v/>
      </c>
      <c r="S820" s="25">
        <f>IF(Q820=1,IF(P820&lt;O820,"Más estricto",IF(P820&gt;O820,"Más permisivo","Igual")),"")</f>
        <v/>
      </c>
      <c r="T820" s="25">
        <f>IF(Q820=1,IF(ABS(O820-P820)=2,1,0),"")</f>
        <v/>
      </c>
      <c r="U820" s="25">
        <f>IF(H820="","","|"&amp;SUBSTITUTE(SUBSTITUTE(TRIM(H820)," |","|"),"| ","|")&amp;"|")</f>
        <v/>
      </c>
      <c r="V820" s="25">
        <f>IF(AND(Q820=1,B820&lt;&gt;""),IF(IFERROR(COUNTIFS(B$3:B820,"="&amp;SUBSTITUTE(SUBSTITUTE(SUBSTITUTE(B820,"~","~~"),"*","~*"),"?","~?"),Q$3:Q820,1),0)=1,MAX(V$2:V819)+1,""),"")</f>
        <v/>
      </c>
      <c r="W820" s="25">
        <f>IF(V820="","",COUNTIFS($B$3:$B$1002,"="&amp;SUBSTITUTE(SUBSTITUTE(SUBSTITUTE(B820,"~","~~"),"*","~*"),"?","~?"),$Q$3:$Q$1002,1)*10000-V820)</f>
        <v/>
      </c>
      <c r="X820" s="25">
        <f>IF(Q820=1,IF(SUBSTITUTE(SUBSTITUTE(SUBSTITUTE(SUBSTITUTE(SUBSTITUTE(SUBSTITUTE(SUBSTITUTE(SUBSTITUTE(SUBSTITUTE(SUBSTITUTE(SUBSTITUTE(SUBSTITUTE(LOWER(TRIM(A820)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820)),"á","a"),"é","e"),"í","i"),"ó","o"),"ú","u"),"ü","u"),"ñ","n"),"à","a"),"è","e"),"ì","i"),"ò","o"),"ù","u")),"")</f>
        <v/>
      </c>
      <c r="Y820" s="25">
        <f>IF(X820="","",IF(IFERROR(COUNTIF(X$3:X820,"="&amp;SUBSTITUTE(SUBSTITUTE(SUBSTITUTE(X820,"~","~~"),"*","~*"),"?","~?")),0)=1,1,""))</f>
        <v/>
      </c>
      <c r="Z820" s="25">
        <f>IF(T820=1,MAX(Z$2:Z819)+1,"")</f>
        <v/>
      </c>
    </row>
    <row r="821">
      <c r="A821">
        <f>IF(A$2=0,"",IFERROR(TRIM(INDEX('Pegar calibracion'!$A$1:$BZ$1001,820,A$2)&amp;""),""))</f>
        <v/>
      </c>
      <c r="B821">
        <f>IF(B$2=0,"",IFERROR(TRIM(INDEX('Pegar calibracion'!$A$1:$BZ$1001,820,B$2)&amp;""),""))</f>
        <v/>
      </c>
      <c r="C821">
        <f>IF(C$2=0,"",IFERROR(TRIM(INDEX('Pegar calibracion'!$A$1:$BZ$1001,820,C$2)&amp;""),""))</f>
        <v/>
      </c>
      <c r="D821">
        <f>IF(D$2=0,"",IFERROR(TRIM(INDEX('Pegar calibracion'!$A$1:$BZ$1001,820,D$2)&amp;""),""))</f>
        <v/>
      </c>
      <c r="E821">
        <f>IF(E$2=0,"",IFERROR(TRIM(INDEX('Pegar calibracion'!$A$1:$BZ$1001,820,E$2)&amp;""),""))</f>
        <v/>
      </c>
      <c r="F821">
        <f>IF(F$2=0,"",IFERROR(TRIM(INDEX('Pegar calibracion'!$A$1:$BZ$1001,820,F$2)&amp;""),""))</f>
        <v/>
      </c>
      <c r="G821">
        <f>IF(G$2=0,"",IFERROR(TRIM(INDEX('Pegar calibracion'!$A$1:$BZ$1001,820,G$2)&amp;""),""))</f>
        <v/>
      </c>
      <c r="H821">
        <f>IF(H$2=0,"",IFERROR(TRIM(INDEX('Pegar calibracion'!$A$1:$BZ$1001,820,H$2)&amp;""),""))</f>
        <v/>
      </c>
      <c r="I821">
        <f>IF(I$2=0,"",IFERROR(TRIM(INDEX('Pegar calibracion'!$A$1:$BZ$1001,820,I$2)&amp;""),""))</f>
        <v/>
      </c>
      <c r="J821">
        <f>IF(J$2=0,"",IFERROR(TRIM(INDEX('Pegar calibracion'!$A$1:$BZ$1001,820,J$2)&amp;""),""))</f>
        <v/>
      </c>
      <c r="K821">
        <f>IF(K$2=0,"",IFERROR(TRIM(INDEX('Pegar calibracion'!$A$1:$BZ$1001,820,K$2)&amp;""),""))</f>
        <v/>
      </c>
      <c r="L821">
        <f>IF(L$2=0,"",IFERROR(TRIM(INDEX('Pegar calibracion'!$A$1:$BZ$1001,820,L$2)&amp;""),""))</f>
        <v/>
      </c>
      <c r="M821" s="25">
        <f>IF(D821="","",SUBSTITUTE(SUBSTITUTE(SUBSTITUTE(SUBSTITUTE(SUBSTITUTE(SUBSTITUTE(SUBSTITUTE(SUBSTITUTE(SUBSTITUTE(SUBSTITUTE(SUBSTITUTE(SUBSTITUTE(LOWER(TRIM(D821)),"á","a"),"é","e"),"í","i"),"ó","o"),"ú","u"),"ü","u"),"ñ","n"),"à","a"),"è","e"),"ì","i"),"ò","o"),"ù","u"))</f>
        <v/>
      </c>
      <c r="N821" s="25">
        <f>IF(F821="","",SUBSTITUTE(SUBSTITUTE(SUBSTITUTE(SUBSTITUTE(SUBSTITUTE(SUBSTITUTE(SUBSTITUTE(SUBSTITUTE(SUBSTITUTE(SUBSTITUTE(SUBSTITUTE(SUBSTITUTE(LOWER(TRIM(F821)),"á","a"),"é","e"),"í","i"),"ó","o"),"ú","u"),"ü","u"),"ñ","n"),"à","a"),"è","e"),"ì","i"),"ò","o"),"ù","u"))</f>
        <v/>
      </c>
      <c r="O821" s="25">
        <f>IF(M821="confiable",2,IF(M821="dudosa",1,IF(M821="no confiable",0,"")))</f>
        <v/>
      </c>
      <c r="P821" s="25">
        <f>IF(N821="confiable",2,IF(N821="dudosa",1,IF(N821="no confiable",0,"")))</f>
        <v/>
      </c>
      <c r="Q821" s="25">
        <f>IF(AND(ISNUMBER(O821),ISNUMBER(P821)),1,"")</f>
        <v/>
      </c>
      <c r="R821" s="25">
        <f>IF(Q821=1,IF(O821=P821,"Sí","No"),"")</f>
        <v/>
      </c>
      <c r="S821" s="25">
        <f>IF(Q821=1,IF(P821&lt;O821,"Más estricto",IF(P821&gt;O821,"Más permisivo","Igual")),"")</f>
        <v/>
      </c>
      <c r="T821" s="25">
        <f>IF(Q821=1,IF(ABS(O821-P821)=2,1,0),"")</f>
        <v/>
      </c>
      <c r="U821" s="25">
        <f>IF(H821="","","|"&amp;SUBSTITUTE(SUBSTITUTE(TRIM(H821)," |","|"),"| ","|")&amp;"|")</f>
        <v/>
      </c>
      <c r="V821" s="25">
        <f>IF(AND(Q821=1,B821&lt;&gt;""),IF(IFERROR(COUNTIFS(B$3:B821,"="&amp;SUBSTITUTE(SUBSTITUTE(SUBSTITUTE(B821,"~","~~"),"*","~*"),"?","~?"),Q$3:Q821,1),0)=1,MAX(V$2:V820)+1,""),"")</f>
        <v/>
      </c>
      <c r="W821" s="25">
        <f>IF(V821="","",COUNTIFS($B$3:$B$1002,"="&amp;SUBSTITUTE(SUBSTITUTE(SUBSTITUTE(B821,"~","~~"),"*","~*"),"?","~?"),$Q$3:$Q$1002,1)*10000-V821)</f>
        <v/>
      </c>
      <c r="X821" s="25">
        <f>IF(Q821=1,IF(SUBSTITUTE(SUBSTITUTE(SUBSTITUTE(SUBSTITUTE(SUBSTITUTE(SUBSTITUTE(SUBSTITUTE(SUBSTITUTE(SUBSTITUTE(SUBSTITUTE(SUBSTITUTE(SUBSTITUTE(LOWER(TRIM(A821)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821)),"á","a"),"é","e"),"í","i"),"ó","o"),"ú","u"),"ü","u"),"ñ","n"),"à","a"),"è","e"),"ì","i"),"ò","o"),"ù","u")),"")</f>
        <v/>
      </c>
      <c r="Y821" s="25">
        <f>IF(X821="","",IF(IFERROR(COUNTIF(X$3:X821,"="&amp;SUBSTITUTE(SUBSTITUTE(SUBSTITUTE(X821,"~","~~"),"*","~*"),"?","~?")),0)=1,1,""))</f>
        <v/>
      </c>
      <c r="Z821" s="25">
        <f>IF(T821=1,MAX(Z$2:Z820)+1,"")</f>
        <v/>
      </c>
    </row>
    <row r="822">
      <c r="A822">
        <f>IF(A$2=0,"",IFERROR(TRIM(INDEX('Pegar calibracion'!$A$1:$BZ$1001,821,A$2)&amp;""),""))</f>
        <v/>
      </c>
      <c r="B822">
        <f>IF(B$2=0,"",IFERROR(TRIM(INDEX('Pegar calibracion'!$A$1:$BZ$1001,821,B$2)&amp;""),""))</f>
        <v/>
      </c>
      <c r="C822">
        <f>IF(C$2=0,"",IFERROR(TRIM(INDEX('Pegar calibracion'!$A$1:$BZ$1001,821,C$2)&amp;""),""))</f>
        <v/>
      </c>
      <c r="D822">
        <f>IF(D$2=0,"",IFERROR(TRIM(INDEX('Pegar calibracion'!$A$1:$BZ$1001,821,D$2)&amp;""),""))</f>
        <v/>
      </c>
      <c r="E822">
        <f>IF(E$2=0,"",IFERROR(TRIM(INDEX('Pegar calibracion'!$A$1:$BZ$1001,821,E$2)&amp;""),""))</f>
        <v/>
      </c>
      <c r="F822">
        <f>IF(F$2=0,"",IFERROR(TRIM(INDEX('Pegar calibracion'!$A$1:$BZ$1001,821,F$2)&amp;""),""))</f>
        <v/>
      </c>
      <c r="G822">
        <f>IF(G$2=0,"",IFERROR(TRIM(INDEX('Pegar calibracion'!$A$1:$BZ$1001,821,G$2)&amp;""),""))</f>
        <v/>
      </c>
      <c r="H822">
        <f>IF(H$2=0,"",IFERROR(TRIM(INDEX('Pegar calibracion'!$A$1:$BZ$1001,821,H$2)&amp;""),""))</f>
        <v/>
      </c>
      <c r="I822">
        <f>IF(I$2=0,"",IFERROR(TRIM(INDEX('Pegar calibracion'!$A$1:$BZ$1001,821,I$2)&amp;""),""))</f>
        <v/>
      </c>
      <c r="J822">
        <f>IF(J$2=0,"",IFERROR(TRIM(INDEX('Pegar calibracion'!$A$1:$BZ$1001,821,J$2)&amp;""),""))</f>
        <v/>
      </c>
      <c r="K822">
        <f>IF(K$2=0,"",IFERROR(TRIM(INDEX('Pegar calibracion'!$A$1:$BZ$1001,821,K$2)&amp;""),""))</f>
        <v/>
      </c>
      <c r="L822">
        <f>IF(L$2=0,"",IFERROR(TRIM(INDEX('Pegar calibracion'!$A$1:$BZ$1001,821,L$2)&amp;""),""))</f>
        <v/>
      </c>
      <c r="M822" s="25">
        <f>IF(D822="","",SUBSTITUTE(SUBSTITUTE(SUBSTITUTE(SUBSTITUTE(SUBSTITUTE(SUBSTITUTE(SUBSTITUTE(SUBSTITUTE(SUBSTITUTE(SUBSTITUTE(SUBSTITUTE(SUBSTITUTE(LOWER(TRIM(D822)),"á","a"),"é","e"),"í","i"),"ó","o"),"ú","u"),"ü","u"),"ñ","n"),"à","a"),"è","e"),"ì","i"),"ò","o"),"ù","u"))</f>
        <v/>
      </c>
      <c r="N822" s="25">
        <f>IF(F822="","",SUBSTITUTE(SUBSTITUTE(SUBSTITUTE(SUBSTITUTE(SUBSTITUTE(SUBSTITUTE(SUBSTITUTE(SUBSTITUTE(SUBSTITUTE(SUBSTITUTE(SUBSTITUTE(SUBSTITUTE(LOWER(TRIM(F822)),"á","a"),"é","e"),"í","i"),"ó","o"),"ú","u"),"ü","u"),"ñ","n"),"à","a"),"è","e"),"ì","i"),"ò","o"),"ù","u"))</f>
        <v/>
      </c>
      <c r="O822" s="25">
        <f>IF(M822="confiable",2,IF(M822="dudosa",1,IF(M822="no confiable",0,"")))</f>
        <v/>
      </c>
      <c r="P822" s="25">
        <f>IF(N822="confiable",2,IF(N822="dudosa",1,IF(N822="no confiable",0,"")))</f>
        <v/>
      </c>
      <c r="Q822" s="25">
        <f>IF(AND(ISNUMBER(O822),ISNUMBER(P822)),1,"")</f>
        <v/>
      </c>
      <c r="R822" s="25">
        <f>IF(Q822=1,IF(O822=P822,"Sí","No"),"")</f>
        <v/>
      </c>
      <c r="S822" s="25">
        <f>IF(Q822=1,IF(P822&lt;O822,"Más estricto",IF(P822&gt;O822,"Más permisivo","Igual")),"")</f>
        <v/>
      </c>
      <c r="T822" s="25">
        <f>IF(Q822=1,IF(ABS(O822-P822)=2,1,0),"")</f>
        <v/>
      </c>
      <c r="U822" s="25">
        <f>IF(H822="","","|"&amp;SUBSTITUTE(SUBSTITUTE(TRIM(H822)," |","|"),"| ","|")&amp;"|")</f>
        <v/>
      </c>
      <c r="V822" s="25">
        <f>IF(AND(Q822=1,B822&lt;&gt;""),IF(IFERROR(COUNTIFS(B$3:B822,"="&amp;SUBSTITUTE(SUBSTITUTE(SUBSTITUTE(B822,"~","~~"),"*","~*"),"?","~?"),Q$3:Q822,1),0)=1,MAX(V$2:V821)+1,""),"")</f>
        <v/>
      </c>
      <c r="W822" s="25">
        <f>IF(V822="","",COUNTIFS($B$3:$B$1002,"="&amp;SUBSTITUTE(SUBSTITUTE(SUBSTITUTE(B822,"~","~~"),"*","~*"),"?","~?"),$Q$3:$Q$1002,1)*10000-V822)</f>
        <v/>
      </c>
      <c r="X822" s="25">
        <f>IF(Q822=1,IF(SUBSTITUTE(SUBSTITUTE(SUBSTITUTE(SUBSTITUTE(SUBSTITUTE(SUBSTITUTE(SUBSTITUTE(SUBSTITUTE(SUBSTITUTE(SUBSTITUTE(SUBSTITUTE(SUBSTITUTE(LOWER(TRIM(A822)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822)),"á","a"),"é","e"),"í","i"),"ó","o"),"ú","u"),"ü","u"),"ñ","n"),"à","a"),"è","e"),"ì","i"),"ò","o"),"ù","u")),"")</f>
        <v/>
      </c>
      <c r="Y822" s="25">
        <f>IF(X822="","",IF(IFERROR(COUNTIF(X$3:X822,"="&amp;SUBSTITUTE(SUBSTITUTE(SUBSTITUTE(X822,"~","~~"),"*","~*"),"?","~?")),0)=1,1,""))</f>
        <v/>
      </c>
      <c r="Z822" s="25">
        <f>IF(T822=1,MAX(Z$2:Z821)+1,"")</f>
        <v/>
      </c>
    </row>
    <row r="823">
      <c r="A823">
        <f>IF(A$2=0,"",IFERROR(TRIM(INDEX('Pegar calibracion'!$A$1:$BZ$1001,822,A$2)&amp;""),""))</f>
        <v/>
      </c>
      <c r="B823">
        <f>IF(B$2=0,"",IFERROR(TRIM(INDEX('Pegar calibracion'!$A$1:$BZ$1001,822,B$2)&amp;""),""))</f>
        <v/>
      </c>
      <c r="C823">
        <f>IF(C$2=0,"",IFERROR(TRIM(INDEX('Pegar calibracion'!$A$1:$BZ$1001,822,C$2)&amp;""),""))</f>
        <v/>
      </c>
      <c r="D823">
        <f>IF(D$2=0,"",IFERROR(TRIM(INDEX('Pegar calibracion'!$A$1:$BZ$1001,822,D$2)&amp;""),""))</f>
        <v/>
      </c>
      <c r="E823">
        <f>IF(E$2=0,"",IFERROR(TRIM(INDEX('Pegar calibracion'!$A$1:$BZ$1001,822,E$2)&amp;""),""))</f>
        <v/>
      </c>
      <c r="F823">
        <f>IF(F$2=0,"",IFERROR(TRIM(INDEX('Pegar calibracion'!$A$1:$BZ$1001,822,F$2)&amp;""),""))</f>
        <v/>
      </c>
      <c r="G823">
        <f>IF(G$2=0,"",IFERROR(TRIM(INDEX('Pegar calibracion'!$A$1:$BZ$1001,822,G$2)&amp;""),""))</f>
        <v/>
      </c>
      <c r="H823">
        <f>IF(H$2=0,"",IFERROR(TRIM(INDEX('Pegar calibracion'!$A$1:$BZ$1001,822,H$2)&amp;""),""))</f>
        <v/>
      </c>
      <c r="I823">
        <f>IF(I$2=0,"",IFERROR(TRIM(INDEX('Pegar calibracion'!$A$1:$BZ$1001,822,I$2)&amp;""),""))</f>
        <v/>
      </c>
      <c r="J823">
        <f>IF(J$2=0,"",IFERROR(TRIM(INDEX('Pegar calibracion'!$A$1:$BZ$1001,822,J$2)&amp;""),""))</f>
        <v/>
      </c>
      <c r="K823">
        <f>IF(K$2=0,"",IFERROR(TRIM(INDEX('Pegar calibracion'!$A$1:$BZ$1001,822,K$2)&amp;""),""))</f>
        <v/>
      </c>
      <c r="L823">
        <f>IF(L$2=0,"",IFERROR(TRIM(INDEX('Pegar calibracion'!$A$1:$BZ$1001,822,L$2)&amp;""),""))</f>
        <v/>
      </c>
      <c r="M823" s="25">
        <f>IF(D823="","",SUBSTITUTE(SUBSTITUTE(SUBSTITUTE(SUBSTITUTE(SUBSTITUTE(SUBSTITUTE(SUBSTITUTE(SUBSTITUTE(SUBSTITUTE(SUBSTITUTE(SUBSTITUTE(SUBSTITUTE(LOWER(TRIM(D823)),"á","a"),"é","e"),"í","i"),"ó","o"),"ú","u"),"ü","u"),"ñ","n"),"à","a"),"è","e"),"ì","i"),"ò","o"),"ù","u"))</f>
        <v/>
      </c>
      <c r="N823" s="25">
        <f>IF(F823="","",SUBSTITUTE(SUBSTITUTE(SUBSTITUTE(SUBSTITUTE(SUBSTITUTE(SUBSTITUTE(SUBSTITUTE(SUBSTITUTE(SUBSTITUTE(SUBSTITUTE(SUBSTITUTE(SUBSTITUTE(LOWER(TRIM(F823)),"á","a"),"é","e"),"í","i"),"ó","o"),"ú","u"),"ü","u"),"ñ","n"),"à","a"),"è","e"),"ì","i"),"ò","o"),"ù","u"))</f>
        <v/>
      </c>
      <c r="O823" s="25">
        <f>IF(M823="confiable",2,IF(M823="dudosa",1,IF(M823="no confiable",0,"")))</f>
        <v/>
      </c>
      <c r="P823" s="25">
        <f>IF(N823="confiable",2,IF(N823="dudosa",1,IF(N823="no confiable",0,"")))</f>
        <v/>
      </c>
      <c r="Q823" s="25">
        <f>IF(AND(ISNUMBER(O823),ISNUMBER(P823)),1,"")</f>
        <v/>
      </c>
      <c r="R823" s="25">
        <f>IF(Q823=1,IF(O823=P823,"Sí","No"),"")</f>
        <v/>
      </c>
      <c r="S823" s="25">
        <f>IF(Q823=1,IF(P823&lt;O823,"Más estricto",IF(P823&gt;O823,"Más permisivo","Igual")),"")</f>
        <v/>
      </c>
      <c r="T823" s="25">
        <f>IF(Q823=1,IF(ABS(O823-P823)=2,1,0),"")</f>
        <v/>
      </c>
      <c r="U823" s="25">
        <f>IF(H823="","","|"&amp;SUBSTITUTE(SUBSTITUTE(TRIM(H823)," |","|"),"| ","|")&amp;"|")</f>
        <v/>
      </c>
      <c r="V823" s="25">
        <f>IF(AND(Q823=1,B823&lt;&gt;""),IF(IFERROR(COUNTIFS(B$3:B823,"="&amp;SUBSTITUTE(SUBSTITUTE(SUBSTITUTE(B823,"~","~~"),"*","~*"),"?","~?"),Q$3:Q823,1),0)=1,MAX(V$2:V822)+1,""),"")</f>
        <v/>
      </c>
      <c r="W823" s="25">
        <f>IF(V823="","",COUNTIFS($B$3:$B$1002,"="&amp;SUBSTITUTE(SUBSTITUTE(SUBSTITUTE(B823,"~","~~"),"*","~*"),"?","~?"),$Q$3:$Q$1002,1)*10000-V823)</f>
        <v/>
      </c>
      <c r="X823" s="25">
        <f>IF(Q823=1,IF(SUBSTITUTE(SUBSTITUTE(SUBSTITUTE(SUBSTITUTE(SUBSTITUTE(SUBSTITUTE(SUBSTITUTE(SUBSTITUTE(SUBSTITUTE(SUBSTITUTE(SUBSTITUTE(SUBSTITUTE(LOWER(TRIM(A823)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823)),"á","a"),"é","e"),"í","i"),"ó","o"),"ú","u"),"ü","u"),"ñ","n"),"à","a"),"è","e"),"ì","i"),"ò","o"),"ù","u")),"")</f>
        <v/>
      </c>
      <c r="Y823" s="25">
        <f>IF(X823="","",IF(IFERROR(COUNTIF(X$3:X823,"="&amp;SUBSTITUTE(SUBSTITUTE(SUBSTITUTE(X823,"~","~~"),"*","~*"),"?","~?")),0)=1,1,""))</f>
        <v/>
      </c>
      <c r="Z823" s="25">
        <f>IF(T823=1,MAX(Z$2:Z822)+1,"")</f>
        <v/>
      </c>
    </row>
    <row r="824">
      <c r="A824">
        <f>IF(A$2=0,"",IFERROR(TRIM(INDEX('Pegar calibracion'!$A$1:$BZ$1001,823,A$2)&amp;""),""))</f>
        <v/>
      </c>
      <c r="B824">
        <f>IF(B$2=0,"",IFERROR(TRIM(INDEX('Pegar calibracion'!$A$1:$BZ$1001,823,B$2)&amp;""),""))</f>
        <v/>
      </c>
      <c r="C824">
        <f>IF(C$2=0,"",IFERROR(TRIM(INDEX('Pegar calibracion'!$A$1:$BZ$1001,823,C$2)&amp;""),""))</f>
        <v/>
      </c>
      <c r="D824">
        <f>IF(D$2=0,"",IFERROR(TRIM(INDEX('Pegar calibracion'!$A$1:$BZ$1001,823,D$2)&amp;""),""))</f>
        <v/>
      </c>
      <c r="E824">
        <f>IF(E$2=0,"",IFERROR(TRIM(INDEX('Pegar calibracion'!$A$1:$BZ$1001,823,E$2)&amp;""),""))</f>
        <v/>
      </c>
      <c r="F824">
        <f>IF(F$2=0,"",IFERROR(TRIM(INDEX('Pegar calibracion'!$A$1:$BZ$1001,823,F$2)&amp;""),""))</f>
        <v/>
      </c>
      <c r="G824">
        <f>IF(G$2=0,"",IFERROR(TRIM(INDEX('Pegar calibracion'!$A$1:$BZ$1001,823,G$2)&amp;""),""))</f>
        <v/>
      </c>
      <c r="H824">
        <f>IF(H$2=0,"",IFERROR(TRIM(INDEX('Pegar calibracion'!$A$1:$BZ$1001,823,H$2)&amp;""),""))</f>
        <v/>
      </c>
      <c r="I824">
        <f>IF(I$2=0,"",IFERROR(TRIM(INDEX('Pegar calibracion'!$A$1:$BZ$1001,823,I$2)&amp;""),""))</f>
        <v/>
      </c>
      <c r="J824">
        <f>IF(J$2=0,"",IFERROR(TRIM(INDEX('Pegar calibracion'!$A$1:$BZ$1001,823,J$2)&amp;""),""))</f>
        <v/>
      </c>
      <c r="K824">
        <f>IF(K$2=0,"",IFERROR(TRIM(INDEX('Pegar calibracion'!$A$1:$BZ$1001,823,K$2)&amp;""),""))</f>
        <v/>
      </c>
      <c r="L824">
        <f>IF(L$2=0,"",IFERROR(TRIM(INDEX('Pegar calibracion'!$A$1:$BZ$1001,823,L$2)&amp;""),""))</f>
        <v/>
      </c>
      <c r="M824" s="25">
        <f>IF(D824="","",SUBSTITUTE(SUBSTITUTE(SUBSTITUTE(SUBSTITUTE(SUBSTITUTE(SUBSTITUTE(SUBSTITUTE(SUBSTITUTE(SUBSTITUTE(SUBSTITUTE(SUBSTITUTE(SUBSTITUTE(LOWER(TRIM(D824)),"á","a"),"é","e"),"í","i"),"ó","o"),"ú","u"),"ü","u"),"ñ","n"),"à","a"),"è","e"),"ì","i"),"ò","o"),"ù","u"))</f>
        <v/>
      </c>
      <c r="N824" s="25">
        <f>IF(F824="","",SUBSTITUTE(SUBSTITUTE(SUBSTITUTE(SUBSTITUTE(SUBSTITUTE(SUBSTITUTE(SUBSTITUTE(SUBSTITUTE(SUBSTITUTE(SUBSTITUTE(SUBSTITUTE(SUBSTITUTE(LOWER(TRIM(F824)),"á","a"),"é","e"),"í","i"),"ó","o"),"ú","u"),"ü","u"),"ñ","n"),"à","a"),"è","e"),"ì","i"),"ò","o"),"ù","u"))</f>
        <v/>
      </c>
      <c r="O824" s="25">
        <f>IF(M824="confiable",2,IF(M824="dudosa",1,IF(M824="no confiable",0,"")))</f>
        <v/>
      </c>
      <c r="P824" s="25">
        <f>IF(N824="confiable",2,IF(N824="dudosa",1,IF(N824="no confiable",0,"")))</f>
        <v/>
      </c>
      <c r="Q824" s="25">
        <f>IF(AND(ISNUMBER(O824),ISNUMBER(P824)),1,"")</f>
        <v/>
      </c>
      <c r="R824" s="25">
        <f>IF(Q824=1,IF(O824=P824,"Sí","No"),"")</f>
        <v/>
      </c>
      <c r="S824" s="25">
        <f>IF(Q824=1,IF(P824&lt;O824,"Más estricto",IF(P824&gt;O824,"Más permisivo","Igual")),"")</f>
        <v/>
      </c>
      <c r="T824" s="25">
        <f>IF(Q824=1,IF(ABS(O824-P824)=2,1,0),"")</f>
        <v/>
      </c>
      <c r="U824" s="25">
        <f>IF(H824="","","|"&amp;SUBSTITUTE(SUBSTITUTE(TRIM(H824)," |","|"),"| ","|")&amp;"|")</f>
        <v/>
      </c>
      <c r="V824" s="25">
        <f>IF(AND(Q824=1,B824&lt;&gt;""),IF(IFERROR(COUNTIFS(B$3:B824,"="&amp;SUBSTITUTE(SUBSTITUTE(SUBSTITUTE(B824,"~","~~"),"*","~*"),"?","~?"),Q$3:Q824,1),0)=1,MAX(V$2:V823)+1,""),"")</f>
        <v/>
      </c>
      <c r="W824" s="25">
        <f>IF(V824="","",COUNTIFS($B$3:$B$1002,"="&amp;SUBSTITUTE(SUBSTITUTE(SUBSTITUTE(B824,"~","~~"),"*","~*"),"?","~?"),$Q$3:$Q$1002,1)*10000-V824)</f>
        <v/>
      </c>
      <c r="X824" s="25">
        <f>IF(Q824=1,IF(SUBSTITUTE(SUBSTITUTE(SUBSTITUTE(SUBSTITUTE(SUBSTITUTE(SUBSTITUTE(SUBSTITUTE(SUBSTITUTE(SUBSTITUTE(SUBSTITUTE(SUBSTITUTE(SUBSTITUTE(LOWER(TRIM(A824)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824)),"á","a"),"é","e"),"í","i"),"ó","o"),"ú","u"),"ü","u"),"ñ","n"),"à","a"),"è","e"),"ì","i"),"ò","o"),"ù","u")),"")</f>
        <v/>
      </c>
      <c r="Y824" s="25">
        <f>IF(X824="","",IF(IFERROR(COUNTIF(X$3:X824,"="&amp;SUBSTITUTE(SUBSTITUTE(SUBSTITUTE(X824,"~","~~"),"*","~*"),"?","~?")),0)=1,1,""))</f>
        <v/>
      </c>
      <c r="Z824" s="25">
        <f>IF(T824=1,MAX(Z$2:Z823)+1,"")</f>
        <v/>
      </c>
    </row>
    <row r="825">
      <c r="A825">
        <f>IF(A$2=0,"",IFERROR(TRIM(INDEX('Pegar calibracion'!$A$1:$BZ$1001,824,A$2)&amp;""),""))</f>
        <v/>
      </c>
      <c r="B825">
        <f>IF(B$2=0,"",IFERROR(TRIM(INDEX('Pegar calibracion'!$A$1:$BZ$1001,824,B$2)&amp;""),""))</f>
        <v/>
      </c>
      <c r="C825">
        <f>IF(C$2=0,"",IFERROR(TRIM(INDEX('Pegar calibracion'!$A$1:$BZ$1001,824,C$2)&amp;""),""))</f>
        <v/>
      </c>
      <c r="D825">
        <f>IF(D$2=0,"",IFERROR(TRIM(INDEX('Pegar calibracion'!$A$1:$BZ$1001,824,D$2)&amp;""),""))</f>
        <v/>
      </c>
      <c r="E825">
        <f>IF(E$2=0,"",IFERROR(TRIM(INDEX('Pegar calibracion'!$A$1:$BZ$1001,824,E$2)&amp;""),""))</f>
        <v/>
      </c>
      <c r="F825">
        <f>IF(F$2=0,"",IFERROR(TRIM(INDEX('Pegar calibracion'!$A$1:$BZ$1001,824,F$2)&amp;""),""))</f>
        <v/>
      </c>
      <c r="G825">
        <f>IF(G$2=0,"",IFERROR(TRIM(INDEX('Pegar calibracion'!$A$1:$BZ$1001,824,G$2)&amp;""),""))</f>
        <v/>
      </c>
      <c r="H825">
        <f>IF(H$2=0,"",IFERROR(TRIM(INDEX('Pegar calibracion'!$A$1:$BZ$1001,824,H$2)&amp;""),""))</f>
        <v/>
      </c>
      <c r="I825">
        <f>IF(I$2=0,"",IFERROR(TRIM(INDEX('Pegar calibracion'!$A$1:$BZ$1001,824,I$2)&amp;""),""))</f>
        <v/>
      </c>
      <c r="J825">
        <f>IF(J$2=0,"",IFERROR(TRIM(INDEX('Pegar calibracion'!$A$1:$BZ$1001,824,J$2)&amp;""),""))</f>
        <v/>
      </c>
      <c r="K825">
        <f>IF(K$2=0,"",IFERROR(TRIM(INDEX('Pegar calibracion'!$A$1:$BZ$1001,824,K$2)&amp;""),""))</f>
        <v/>
      </c>
      <c r="L825">
        <f>IF(L$2=0,"",IFERROR(TRIM(INDEX('Pegar calibracion'!$A$1:$BZ$1001,824,L$2)&amp;""),""))</f>
        <v/>
      </c>
      <c r="M825" s="25">
        <f>IF(D825="","",SUBSTITUTE(SUBSTITUTE(SUBSTITUTE(SUBSTITUTE(SUBSTITUTE(SUBSTITUTE(SUBSTITUTE(SUBSTITUTE(SUBSTITUTE(SUBSTITUTE(SUBSTITUTE(SUBSTITUTE(LOWER(TRIM(D825)),"á","a"),"é","e"),"í","i"),"ó","o"),"ú","u"),"ü","u"),"ñ","n"),"à","a"),"è","e"),"ì","i"),"ò","o"),"ù","u"))</f>
        <v/>
      </c>
      <c r="N825" s="25">
        <f>IF(F825="","",SUBSTITUTE(SUBSTITUTE(SUBSTITUTE(SUBSTITUTE(SUBSTITUTE(SUBSTITUTE(SUBSTITUTE(SUBSTITUTE(SUBSTITUTE(SUBSTITUTE(SUBSTITUTE(SUBSTITUTE(LOWER(TRIM(F825)),"á","a"),"é","e"),"í","i"),"ó","o"),"ú","u"),"ü","u"),"ñ","n"),"à","a"),"è","e"),"ì","i"),"ò","o"),"ù","u"))</f>
        <v/>
      </c>
      <c r="O825" s="25">
        <f>IF(M825="confiable",2,IF(M825="dudosa",1,IF(M825="no confiable",0,"")))</f>
        <v/>
      </c>
      <c r="P825" s="25">
        <f>IF(N825="confiable",2,IF(N825="dudosa",1,IF(N825="no confiable",0,"")))</f>
        <v/>
      </c>
      <c r="Q825" s="25">
        <f>IF(AND(ISNUMBER(O825),ISNUMBER(P825)),1,"")</f>
        <v/>
      </c>
      <c r="R825" s="25">
        <f>IF(Q825=1,IF(O825=P825,"Sí","No"),"")</f>
        <v/>
      </c>
      <c r="S825" s="25">
        <f>IF(Q825=1,IF(P825&lt;O825,"Más estricto",IF(P825&gt;O825,"Más permisivo","Igual")),"")</f>
        <v/>
      </c>
      <c r="T825" s="25">
        <f>IF(Q825=1,IF(ABS(O825-P825)=2,1,0),"")</f>
        <v/>
      </c>
      <c r="U825" s="25">
        <f>IF(H825="","","|"&amp;SUBSTITUTE(SUBSTITUTE(TRIM(H825)," |","|"),"| ","|")&amp;"|")</f>
        <v/>
      </c>
      <c r="V825" s="25">
        <f>IF(AND(Q825=1,B825&lt;&gt;""),IF(IFERROR(COUNTIFS(B$3:B825,"="&amp;SUBSTITUTE(SUBSTITUTE(SUBSTITUTE(B825,"~","~~"),"*","~*"),"?","~?"),Q$3:Q825,1),0)=1,MAX(V$2:V824)+1,""),"")</f>
        <v/>
      </c>
      <c r="W825" s="25">
        <f>IF(V825="","",COUNTIFS($B$3:$B$1002,"="&amp;SUBSTITUTE(SUBSTITUTE(SUBSTITUTE(B825,"~","~~"),"*","~*"),"?","~?"),$Q$3:$Q$1002,1)*10000-V825)</f>
        <v/>
      </c>
      <c r="X825" s="25">
        <f>IF(Q825=1,IF(SUBSTITUTE(SUBSTITUTE(SUBSTITUTE(SUBSTITUTE(SUBSTITUTE(SUBSTITUTE(SUBSTITUTE(SUBSTITUTE(SUBSTITUTE(SUBSTITUTE(SUBSTITUTE(SUBSTITUTE(LOWER(TRIM(A825)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825)),"á","a"),"é","e"),"í","i"),"ó","o"),"ú","u"),"ü","u"),"ñ","n"),"à","a"),"è","e"),"ì","i"),"ò","o"),"ù","u")),"")</f>
        <v/>
      </c>
      <c r="Y825" s="25">
        <f>IF(X825="","",IF(IFERROR(COUNTIF(X$3:X825,"="&amp;SUBSTITUTE(SUBSTITUTE(SUBSTITUTE(X825,"~","~~"),"*","~*"),"?","~?")),0)=1,1,""))</f>
        <v/>
      </c>
      <c r="Z825" s="25">
        <f>IF(T825=1,MAX(Z$2:Z824)+1,"")</f>
        <v/>
      </c>
    </row>
    <row r="826">
      <c r="A826">
        <f>IF(A$2=0,"",IFERROR(TRIM(INDEX('Pegar calibracion'!$A$1:$BZ$1001,825,A$2)&amp;""),""))</f>
        <v/>
      </c>
      <c r="B826">
        <f>IF(B$2=0,"",IFERROR(TRIM(INDEX('Pegar calibracion'!$A$1:$BZ$1001,825,B$2)&amp;""),""))</f>
        <v/>
      </c>
      <c r="C826">
        <f>IF(C$2=0,"",IFERROR(TRIM(INDEX('Pegar calibracion'!$A$1:$BZ$1001,825,C$2)&amp;""),""))</f>
        <v/>
      </c>
      <c r="D826">
        <f>IF(D$2=0,"",IFERROR(TRIM(INDEX('Pegar calibracion'!$A$1:$BZ$1001,825,D$2)&amp;""),""))</f>
        <v/>
      </c>
      <c r="E826">
        <f>IF(E$2=0,"",IFERROR(TRIM(INDEX('Pegar calibracion'!$A$1:$BZ$1001,825,E$2)&amp;""),""))</f>
        <v/>
      </c>
      <c r="F826">
        <f>IF(F$2=0,"",IFERROR(TRIM(INDEX('Pegar calibracion'!$A$1:$BZ$1001,825,F$2)&amp;""),""))</f>
        <v/>
      </c>
      <c r="G826">
        <f>IF(G$2=0,"",IFERROR(TRIM(INDEX('Pegar calibracion'!$A$1:$BZ$1001,825,G$2)&amp;""),""))</f>
        <v/>
      </c>
      <c r="H826">
        <f>IF(H$2=0,"",IFERROR(TRIM(INDEX('Pegar calibracion'!$A$1:$BZ$1001,825,H$2)&amp;""),""))</f>
        <v/>
      </c>
      <c r="I826">
        <f>IF(I$2=0,"",IFERROR(TRIM(INDEX('Pegar calibracion'!$A$1:$BZ$1001,825,I$2)&amp;""),""))</f>
        <v/>
      </c>
      <c r="J826">
        <f>IF(J$2=0,"",IFERROR(TRIM(INDEX('Pegar calibracion'!$A$1:$BZ$1001,825,J$2)&amp;""),""))</f>
        <v/>
      </c>
      <c r="K826">
        <f>IF(K$2=0,"",IFERROR(TRIM(INDEX('Pegar calibracion'!$A$1:$BZ$1001,825,K$2)&amp;""),""))</f>
        <v/>
      </c>
      <c r="L826">
        <f>IF(L$2=0,"",IFERROR(TRIM(INDEX('Pegar calibracion'!$A$1:$BZ$1001,825,L$2)&amp;""),""))</f>
        <v/>
      </c>
      <c r="M826" s="25">
        <f>IF(D826="","",SUBSTITUTE(SUBSTITUTE(SUBSTITUTE(SUBSTITUTE(SUBSTITUTE(SUBSTITUTE(SUBSTITUTE(SUBSTITUTE(SUBSTITUTE(SUBSTITUTE(SUBSTITUTE(SUBSTITUTE(LOWER(TRIM(D826)),"á","a"),"é","e"),"í","i"),"ó","o"),"ú","u"),"ü","u"),"ñ","n"),"à","a"),"è","e"),"ì","i"),"ò","o"),"ù","u"))</f>
        <v/>
      </c>
      <c r="N826" s="25">
        <f>IF(F826="","",SUBSTITUTE(SUBSTITUTE(SUBSTITUTE(SUBSTITUTE(SUBSTITUTE(SUBSTITUTE(SUBSTITUTE(SUBSTITUTE(SUBSTITUTE(SUBSTITUTE(SUBSTITUTE(SUBSTITUTE(LOWER(TRIM(F826)),"á","a"),"é","e"),"í","i"),"ó","o"),"ú","u"),"ü","u"),"ñ","n"),"à","a"),"è","e"),"ì","i"),"ò","o"),"ù","u"))</f>
        <v/>
      </c>
      <c r="O826" s="25">
        <f>IF(M826="confiable",2,IF(M826="dudosa",1,IF(M826="no confiable",0,"")))</f>
        <v/>
      </c>
      <c r="P826" s="25">
        <f>IF(N826="confiable",2,IF(N826="dudosa",1,IF(N826="no confiable",0,"")))</f>
        <v/>
      </c>
      <c r="Q826" s="25">
        <f>IF(AND(ISNUMBER(O826),ISNUMBER(P826)),1,"")</f>
        <v/>
      </c>
      <c r="R826" s="25">
        <f>IF(Q826=1,IF(O826=P826,"Sí","No"),"")</f>
        <v/>
      </c>
      <c r="S826" s="25">
        <f>IF(Q826=1,IF(P826&lt;O826,"Más estricto",IF(P826&gt;O826,"Más permisivo","Igual")),"")</f>
        <v/>
      </c>
      <c r="T826" s="25">
        <f>IF(Q826=1,IF(ABS(O826-P826)=2,1,0),"")</f>
        <v/>
      </c>
      <c r="U826" s="25">
        <f>IF(H826="","","|"&amp;SUBSTITUTE(SUBSTITUTE(TRIM(H826)," |","|"),"| ","|")&amp;"|")</f>
        <v/>
      </c>
      <c r="V826" s="25">
        <f>IF(AND(Q826=1,B826&lt;&gt;""),IF(IFERROR(COUNTIFS(B$3:B826,"="&amp;SUBSTITUTE(SUBSTITUTE(SUBSTITUTE(B826,"~","~~"),"*","~*"),"?","~?"),Q$3:Q826,1),0)=1,MAX(V$2:V825)+1,""),"")</f>
        <v/>
      </c>
      <c r="W826" s="25">
        <f>IF(V826="","",COUNTIFS($B$3:$B$1002,"="&amp;SUBSTITUTE(SUBSTITUTE(SUBSTITUTE(B826,"~","~~"),"*","~*"),"?","~?"),$Q$3:$Q$1002,1)*10000-V826)</f>
        <v/>
      </c>
      <c r="X826" s="25">
        <f>IF(Q826=1,IF(SUBSTITUTE(SUBSTITUTE(SUBSTITUTE(SUBSTITUTE(SUBSTITUTE(SUBSTITUTE(SUBSTITUTE(SUBSTITUTE(SUBSTITUTE(SUBSTITUTE(SUBSTITUTE(SUBSTITUTE(LOWER(TRIM(A826)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826)),"á","a"),"é","e"),"í","i"),"ó","o"),"ú","u"),"ü","u"),"ñ","n"),"à","a"),"è","e"),"ì","i"),"ò","o"),"ù","u")),"")</f>
        <v/>
      </c>
      <c r="Y826" s="25">
        <f>IF(X826="","",IF(IFERROR(COUNTIF(X$3:X826,"="&amp;SUBSTITUTE(SUBSTITUTE(SUBSTITUTE(X826,"~","~~"),"*","~*"),"?","~?")),0)=1,1,""))</f>
        <v/>
      </c>
      <c r="Z826" s="25">
        <f>IF(T826=1,MAX(Z$2:Z825)+1,"")</f>
        <v/>
      </c>
    </row>
    <row r="827">
      <c r="A827">
        <f>IF(A$2=0,"",IFERROR(TRIM(INDEX('Pegar calibracion'!$A$1:$BZ$1001,826,A$2)&amp;""),""))</f>
        <v/>
      </c>
      <c r="B827">
        <f>IF(B$2=0,"",IFERROR(TRIM(INDEX('Pegar calibracion'!$A$1:$BZ$1001,826,B$2)&amp;""),""))</f>
        <v/>
      </c>
      <c r="C827">
        <f>IF(C$2=0,"",IFERROR(TRIM(INDEX('Pegar calibracion'!$A$1:$BZ$1001,826,C$2)&amp;""),""))</f>
        <v/>
      </c>
      <c r="D827">
        <f>IF(D$2=0,"",IFERROR(TRIM(INDEX('Pegar calibracion'!$A$1:$BZ$1001,826,D$2)&amp;""),""))</f>
        <v/>
      </c>
      <c r="E827">
        <f>IF(E$2=0,"",IFERROR(TRIM(INDEX('Pegar calibracion'!$A$1:$BZ$1001,826,E$2)&amp;""),""))</f>
        <v/>
      </c>
      <c r="F827">
        <f>IF(F$2=0,"",IFERROR(TRIM(INDEX('Pegar calibracion'!$A$1:$BZ$1001,826,F$2)&amp;""),""))</f>
        <v/>
      </c>
      <c r="G827">
        <f>IF(G$2=0,"",IFERROR(TRIM(INDEX('Pegar calibracion'!$A$1:$BZ$1001,826,G$2)&amp;""),""))</f>
        <v/>
      </c>
      <c r="H827">
        <f>IF(H$2=0,"",IFERROR(TRIM(INDEX('Pegar calibracion'!$A$1:$BZ$1001,826,H$2)&amp;""),""))</f>
        <v/>
      </c>
      <c r="I827">
        <f>IF(I$2=0,"",IFERROR(TRIM(INDEX('Pegar calibracion'!$A$1:$BZ$1001,826,I$2)&amp;""),""))</f>
        <v/>
      </c>
      <c r="J827">
        <f>IF(J$2=0,"",IFERROR(TRIM(INDEX('Pegar calibracion'!$A$1:$BZ$1001,826,J$2)&amp;""),""))</f>
        <v/>
      </c>
      <c r="K827">
        <f>IF(K$2=0,"",IFERROR(TRIM(INDEX('Pegar calibracion'!$A$1:$BZ$1001,826,K$2)&amp;""),""))</f>
        <v/>
      </c>
      <c r="L827">
        <f>IF(L$2=0,"",IFERROR(TRIM(INDEX('Pegar calibracion'!$A$1:$BZ$1001,826,L$2)&amp;""),""))</f>
        <v/>
      </c>
      <c r="M827" s="25">
        <f>IF(D827="","",SUBSTITUTE(SUBSTITUTE(SUBSTITUTE(SUBSTITUTE(SUBSTITUTE(SUBSTITUTE(SUBSTITUTE(SUBSTITUTE(SUBSTITUTE(SUBSTITUTE(SUBSTITUTE(SUBSTITUTE(LOWER(TRIM(D827)),"á","a"),"é","e"),"í","i"),"ó","o"),"ú","u"),"ü","u"),"ñ","n"),"à","a"),"è","e"),"ì","i"),"ò","o"),"ù","u"))</f>
        <v/>
      </c>
      <c r="N827" s="25">
        <f>IF(F827="","",SUBSTITUTE(SUBSTITUTE(SUBSTITUTE(SUBSTITUTE(SUBSTITUTE(SUBSTITUTE(SUBSTITUTE(SUBSTITUTE(SUBSTITUTE(SUBSTITUTE(SUBSTITUTE(SUBSTITUTE(LOWER(TRIM(F827)),"á","a"),"é","e"),"í","i"),"ó","o"),"ú","u"),"ü","u"),"ñ","n"),"à","a"),"è","e"),"ì","i"),"ò","o"),"ù","u"))</f>
        <v/>
      </c>
      <c r="O827" s="25">
        <f>IF(M827="confiable",2,IF(M827="dudosa",1,IF(M827="no confiable",0,"")))</f>
        <v/>
      </c>
      <c r="P827" s="25">
        <f>IF(N827="confiable",2,IF(N827="dudosa",1,IF(N827="no confiable",0,"")))</f>
        <v/>
      </c>
      <c r="Q827" s="25">
        <f>IF(AND(ISNUMBER(O827),ISNUMBER(P827)),1,"")</f>
        <v/>
      </c>
      <c r="R827" s="25">
        <f>IF(Q827=1,IF(O827=P827,"Sí","No"),"")</f>
        <v/>
      </c>
      <c r="S827" s="25">
        <f>IF(Q827=1,IF(P827&lt;O827,"Más estricto",IF(P827&gt;O827,"Más permisivo","Igual")),"")</f>
        <v/>
      </c>
      <c r="T827" s="25">
        <f>IF(Q827=1,IF(ABS(O827-P827)=2,1,0),"")</f>
        <v/>
      </c>
      <c r="U827" s="25">
        <f>IF(H827="","","|"&amp;SUBSTITUTE(SUBSTITUTE(TRIM(H827)," |","|"),"| ","|")&amp;"|")</f>
        <v/>
      </c>
      <c r="V827" s="25">
        <f>IF(AND(Q827=1,B827&lt;&gt;""),IF(IFERROR(COUNTIFS(B$3:B827,"="&amp;SUBSTITUTE(SUBSTITUTE(SUBSTITUTE(B827,"~","~~"),"*","~*"),"?","~?"),Q$3:Q827,1),0)=1,MAX(V$2:V826)+1,""),"")</f>
        <v/>
      </c>
      <c r="W827" s="25">
        <f>IF(V827="","",COUNTIFS($B$3:$B$1002,"="&amp;SUBSTITUTE(SUBSTITUTE(SUBSTITUTE(B827,"~","~~"),"*","~*"),"?","~?"),$Q$3:$Q$1002,1)*10000-V827)</f>
        <v/>
      </c>
      <c r="X827" s="25">
        <f>IF(Q827=1,IF(SUBSTITUTE(SUBSTITUTE(SUBSTITUTE(SUBSTITUTE(SUBSTITUTE(SUBSTITUTE(SUBSTITUTE(SUBSTITUTE(SUBSTITUTE(SUBSTITUTE(SUBSTITUTE(SUBSTITUTE(LOWER(TRIM(A827)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827)),"á","a"),"é","e"),"í","i"),"ó","o"),"ú","u"),"ü","u"),"ñ","n"),"à","a"),"è","e"),"ì","i"),"ò","o"),"ù","u")),"")</f>
        <v/>
      </c>
      <c r="Y827" s="25">
        <f>IF(X827="","",IF(IFERROR(COUNTIF(X$3:X827,"="&amp;SUBSTITUTE(SUBSTITUTE(SUBSTITUTE(X827,"~","~~"),"*","~*"),"?","~?")),0)=1,1,""))</f>
        <v/>
      </c>
      <c r="Z827" s="25">
        <f>IF(T827=1,MAX(Z$2:Z826)+1,"")</f>
        <v/>
      </c>
    </row>
    <row r="828">
      <c r="A828">
        <f>IF(A$2=0,"",IFERROR(TRIM(INDEX('Pegar calibracion'!$A$1:$BZ$1001,827,A$2)&amp;""),""))</f>
        <v/>
      </c>
      <c r="B828">
        <f>IF(B$2=0,"",IFERROR(TRIM(INDEX('Pegar calibracion'!$A$1:$BZ$1001,827,B$2)&amp;""),""))</f>
        <v/>
      </c>
      <c r="C828">
        <f>IF(C$2=0,"",IFERROR(TRIM(INDEX('Pegar calibracion'!$A$1:$BZ$1001,827,C$2)&amp;""),""))</f>
        <v/>
      </c>
      <c r="D828">
        <f>IF(D$2=0,"",IFERROR(TRIM(INDEX('Pegar calibracion'!$A$1:$BZ$1001,827,D$2)&amp;""),""))</f>
        <v/>
      </c>
      <c r="E828">
        <f>IF(E$2=0,"",IFERROR(TRIM(INDEX('Pegar calibracion'!$A$1:$BZ$1001,827,E$2)&amp;""),""))</f>
        <v/>
      </c>
      <c r="F828">
        <f>IF(F$2=0,"",IFERROR(TRIM(INDEX('Pegar calibracion'!$A$1:$BZ$1001,827,F$2)&amp;""),""))</f>
        <v/>
      </c>
      <c r="G828">
        <f>IF(G$2=0,"",IFERROR(TRIM(INDEX('Pegar calibracion'!$A$1:$BZ$1001,827,G$2)&amp;""),""))</f>
        <v/>
      </c>
      <c r="H828">
        <f>IF(H$2=0,"",IFERROR(TRIM(INDEX('Pegar calibracion'!$A$1:$BZ$1001,827,H$2)&amp;""),""))</f>
        <v/>
      </c>
      <c r="I828">
        <f>IF(I$2=0,"",IFERROR(TRIM(INDEX('Pegar calibracion'!$A$1:$BZ$1001,827,I$2)&amp;""),""))</f>
        <v/>
      </c>
      <c r="J828">
        <f>IF(J$2=0,"",IFERROR(TRIM(INDEX('Pegar calibracion'!$A$1:$BZ$1001,827,J$2)&amp;""),""))</f>
        <v/>
      </c>
      <c r="K828">
        <f>IF(K$2=0,"",IFERROR(TRIM(INDEX('Pegar calibracion'!$A$1:$BZ$1001,827,K$2)&amp;""),""))</f>
        <v/>
      </c>
      <c r="L828">
        <f>IF(L$2=0,"",IFERROR(TRIM(INDEX('Pegar calibracion'!$A$1:$BZ$1001,827,L$2)&amp;""),""))</f>
        <v/>
      </c>
      <c r="M828" s="25">
        <f>IF(D828="","",SUBSTITUTE(SUBSTITUTE(SUBSTITUTE(SUBSTITUTE(SUBSTITUTE(SUBSTITUTE(SUBSTITUTE(SUBSTITUTE(SUBSTITUTE(SUBSTITUTE(SUBSTITUTE(SUBSTITUTE(LOWER(TRIM(D828)),"á","a"),"é","e"),"í","i"),"ó","o"),"ú","u"),"ü","u"),"ñ","n"),"à","a"),"è","e"),"ì","i"),"ò","o"),"ù","u"))</f>
        <v/>
      </c>
      <c r="N828" s="25">
        <f>IF(F828="","",SUBSTITUTE(SUBSTITUTE(SUBSTITUTE(SUBSTITUTE(SUBSTITUTE(SUBSTITUTE(SUBSTITUTE(SUBSTITUTE(SUBSTITUTE(SUBSTITUTE(SUBSTITUTE(SUBSTITUTE(LOWER(TRIM(F828)),"á","a"),"é","e"),"í","i"),"ó","o"),"ú","u"),"ü","u"),"ñ","n"),"à","a"),"è","e"),"ì","i"),"ò","o"),"ù","u"))</f>
        <v/>
      </c>
      <c r="O828" s="25">
        <f>IF(M828="confiable",2,IF(M828="dudosa",1,IF(M828="no confiable",0,"")))</f>
        <v/>
      </c>
      <c r="P828" s="25">
        <f>IF(N828="confiable",2,IF(N828="dudosa",1,IF(N828="no confiable",0,"")))</f>
        <v/>
      </c>
      <c r="Q828" s="25">
        <f>IF(AND(ISNUMBER(O828),ISNUMBER(P828)),1,"")</f>
        <v/>
      </c>
      <c r="R828" s="25">
        <f>IF(Q828=1,IF(O828=P828,"Sí","No"),"")</f>
        <v/>
      </c>
      <c r="S828" s="25">
        <f>IF(Q828=1,IF(P828&lt;O828,"Más estricto",IF(P828&gt;O828,"Más permisivo","Igual")),"")</f>
        <v/>
      </c>
      <c r="T828" s="25">
        <f>IF(Q828=1,IF(ABS(O828-P828)=2,1,0),"")</f>
        <v/>
      </c>
      <c r="U828" s="25">
        <f>IF(H828="","","|"&amp;SUBSTITUTE(SUBSTITUTE(TRIM(H828)," |","|"),"| ","|")&amp;"|")</f>
        <v/>
      </c>
      <c r="V828" s="25">
        <f>IF(AND(Q828=1,B828&lt;&gt;""),IF(IFERROR(COUNTIFS(B$3:B828,"="&amp;SUBSTITUTE(SUBSTITUTE(SUBSTITUTE(B828,"~","~~"),"*","~*"),"?","~?"),Q$3:Q828,1),0)=1,MAX(V$2:V827)+1,""),"")</f>
        <v/>
      </c>
      <c r="W828" s="25">
        <f>IF(V828="","",COUNTIFS($B$3:$B$1002,"="&amp;SUBSTITUTE(SUBSTITUTE(SUBSTITUTE(B828,"~","~~"),"*","~*"),"?","~?"),$Q$3:$Q$1002,1)*10000-V828)</f>
        <v/>
      </c>
      <c r="X828" s="25">
        <f>IF(Q828=1,IF(SUBSTITUTE(SUBSTITUTE(SUBSTITUTE(SUBSTITUTE(SUBSTITUTE(SUBSTITUTE(SUBSTITUTE(SUBSTITUTE(SUBSTITUTE(SUBSTITUTE(SUBSTITUTE(SUBSTITUTE(LOWER(TRIM(A828)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828)),"á","a"),"é","e"),"í","i"),"ó","o"),"ú","u"),"ü","u"),"ñ","n"),"à","a"),"è","e"),"ì","i"),"ò","o"),"ù","u")),"")</f>
        <v/>
      </c>
      <c r="Y828" s="25">
        <f>IF(X828="","",IF(IFERROR(COUNTIF(X$3:X828,"="&amp;SUBSTITUTE(SUBSTITUTE(SUBSTITUTE(X828,"~","~~"),"*","~*"),"?","~?")),0)=1,1,""))</f>
        <v/>
      </c>
      <c r="Z828" s="25">
        <f>IF(T828=1,MAX(Z$2:Z827)+1,"")</f>
        <v/>
      </c>
    </row>
    <row r="829">
      <c r="A829">
        <f>IF(A$2=0,"",IFERROR(TRIM(INDEX('Pegar calibracion'!$A$1:$BZ$1001,828,A$2)&amp;""),""))</f>
        <v/>
      </c>
      <c r="B829">
        <f>IF(B$2=0,"",IFERROR(TRIM(INDEX('Pegar calibracion'!$A$1:$BZ$1001,828,B$2)&amp;""),""))</f>
        <v/>
      </c>
      <c r="C829">
        <f>IF(C$2=0,"",IFERROR(TRIM(INDEX('Pegar calibracion'!$A$1:$BZ$1001,828,C$2)&amp;""),""))</f>
        <v/>
      </c>
      <c r="D829">
        <f>IF(D$2=0,"",IFERROR(TRIM(INDEX('Pegar calibracion'!$A$1:$BZ$1001,828,D$2)&amp;""),""))</f>
        <v/>
      </c>
      <c r="E829">
        <f>IF(E$2=0,"",IFERROR(TRIM(INDEX('Pegar calibracion'!$A$1:$BZ$1001,828,E$2)&amp;""),""))</f>
        <v/>
      </c>
      <c r="F829">
        <f>IF(F$2=0,"",IFERROR(TRIM(INDEX('Pegar calibracion'!$A$1:$BZ$1001,828,F$2)&amp;""),""))</f>
        <v/>
      </c>
      <c r="G829">
        <f>IF(G$2=0,"",IFERROR(TRIM(INDEX('Pegar calibracion'!$A$1:$BZ$1001,828,G$2)&amp;""),""))</f>
        <v/>
      </c>
      <c r="H829">
        <f>IF(H$2=0,"",IFERROR(TRIM(INDEX('Pegar calibracion'!$A$1:$BZ$1001,828,H$2)&amp;""),""))</f>
        <v/>
      </c>
      <c r="I829">
        <f>IF(I$2=0,"",IFERROR(TRIM(INDEX('Pegar calibracion'!$A$1:$BZ$1001,828,I$2)&amp;""),""))</f>
        <v/>
      </c>
      <c r="J829">
        <f>IF(J$2=0,"",IFERROR(TRIM(INDEX('Pegar calibracion'!$A$1:$BZ$1001,828,J$2)&amp;""),""))</f>
        <v/>
      </c>
      <c r="K829">
        <f>IF(K$2=0,"",IFERROR(TRIM(INDEX('Pegar calibracion'!$A$1:$BZ$1001,828,K$2)&amp;""),""))</f>
        <v/>
      </c>
      <c r="L829">
        <f>IF(L$2=0,"",IFERROR(TRIM(INDEX('Pegar calibracion'!$A$1:$BZ$1001,828,L$2)&amp;""),""))</f>
        <v/>
      </c>
      <c r="M829" s="25">
        <f>IF(D829="","",SUBSTITUTE(SUBSTITUTE(SUBSTITUTE(SUBSTITUTE(SUBSTITUTE(SUBSTITUTE(SUBSTITUTE(SUBSTITUTE(SUBSTITUTE(SUBSTITUTE(SUBSTITUTE(SUBSTITUTE(LOWER(TRIM(D829)),"á","a"),"é","e"),"í","i"),"ó","o"),"ú","u"),"ü","u"),"ñ","n"),"à","a"),"è","e"),"ì","i"),"ò","o"),"ù","u"))</f>
        <v/>
      </c>
      <c r="N829" s="25">
        <f>IF(F829="","",SUBSTITUTE(SUBSTITUTE(SUBSTITUTE(SUBSTITUTE(SUBSTITUTE(SUBSTITUTE(SUBSTITUTE(SUBSTITUTE(SUBSTITUTE(SUBSTITUTE(SUBSTITUTE(SUBSTITUTE(LOWER(TRIM(F829)),"á","a"),"é","e"),"í","i"),"ó","o"),"ú","u"),"ü","u"),"ñ","n"),"à","a"),"è","e"),"ì","i"),"ò","o"),"ù","u"))</f>
        <v/>
      </c>
      <c r="O829" s="25">
        <f>IF(M829="confiable",2,IF(M829="dudosa",1,IF(M829="no confiable",0,"")))</f>
        <v/>
      </c>
      <c r="P829" s="25">
        <f>IF(N829="confiable",2,IF(N829="dudosa",1,IF(N829="no confiable",0,"")))</f>
        <v/>
      </c>
      <c r="Q829" s="25">
        <f>IF(AND(ISNUMBER(O829),ISNUMBER(P829)),1,"")</f>
        <v/>
      </c>
      <c r="R829" s="25">
        <f>IF(Q829=1,IF(O829=P829,"Sí","No"),"")</f>
        <v/>
      </c>
      <c r="S829" s="25">
        <f>IF(Q829=1,IF(P829&lt;O829,"Más estricto",IF(P829&gt;O829,"Más permisivo","Igual")),"")</f>
        <v/>
      </c>
      <c r="T829" s="25">
        <f>IF(Q829=1,IF(ABS(O829-P829)=2,1,0),"")</f>
        <v/>
      </c>
      <c r="U829" s="25">
        <f>IF(H829="","","|"&amp;SUBSTITUTE(SUBSTITUTE(TRIM(H829)," |","|"),"| ","|")&amp;"|")</f>
        <v/>
      </c>
      <c r="V829" s="25">
        <f>IF(AND(Q829=1,B829&lt;&gt;""),IF(IFERROR(COUNTIFS(B$3:B829,"="&amp;SUBSTITUTE(SUBSTITUTE(SUBSTITUTE(B829,"~","~~"),"*","~*"),"?","~?"),Q$3:Q829,1),0)=1,MAX(V$2:V828)+1,""),"")</f>
        <v/>
      </c>
      <c r="W829" s="25">
        <f>IF(V829="","",COUNTIFS($B$3:$B$1002,"="&amp;SUBSTITUTE(SUBSTITUTE(SUBSTITUTE(B829,"~","~~"),"*","~*"),"?","~?"),$Q$3:$Q$1002,1)*10000-V829)</f>
        <v/>
      </c>
      <c r="X829" s="25">
        <f>IF(Q829=1,IF(SUBSTITUTE(SUBSTITUTE(SUBSTITUTE(SUBSTITUTE(SUBSTITUTE(SUBSTITUTE(SUBSTITUTE(SUBSTITUTE(SUBSTITUTE(SUBSTITUTE(SUBSTITUTE(SUBSTITUTE(LOWER(TRIM(A829)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829)),"á","a"),"é","e"),"í","i"),"ó","o"),"ú","u"),"ü","u"),"ñ","n"),"à","a"),"è","e"),"ì","i"),"ò","o"),"ù","u")),"")</f>
        <v/>
      </c>
      <c r="Y829" s="25">
        <f>IF(X829="","",IF(IFERROR(COUNTIF(X$3:X829,"="&amp;SUBSTITUTE(SUBSTITUTE(SUBSTITUTE(X829,"~","~~"),"*","~*"),"?","~?")),0)=1,1,""))</f>
        <v/>
      </c>
      <c r="Z829" s="25">
        <f>IF(T829=1,MAX(Z$2:Z828)+1,"")</f>
        <v/>
      </c>
    </row>
    <row r="830">
      <c r="A830">
        <f>IF(A$2=0,"",IFERROR(TRIM(INDEX('Pegar calibracion'!$A$1:$BZ$1001,829,A$2)&amp;""),""))</f>
        <v/>
      </c>
      <c r="B830">
        <f>IF(B$2=0,"",IFERROR(TRIM(INDEX('Pegar calibracion'!$A$1:$BZ$1001,829,B$2)&amp;""),""))</f>
        <v/>
      </c>
      <c r="C830">
        <f>IF(C$2=0,"",IFERROR(TRIM(INDEX('Pegar calibracion'!$A$1:$BZ$1001,829,C$2)&amp;""),""))</f>
        <v/>
      </c>
      <c r="D830">
        <f>IF(D$2=0,"",IFERROR(TRIM(INDEX('Pegar calibracion'!$A$1:$BZ$1001,829,D$2)&amp;""),""))</f>
        <v/>
      </c>
      <c r="E830">
        <f>IF(E$2=0,"",IFERROR(TRIM(INDEX('Pegar calibracion'!$A$1:$BZ$1001,829,E$2)&amp;""),""))</f>
        <v/>
      </c>
      <c r="F830">
        <f>IF(F$2=0,"",IFERROR(TRIM(INDEX('Pegar calibracion'!$A$1:$BZ$1001,829,F$2)&amp;""),""))</f>
        <v/>
      </c>
      <c r="G830">
        <f>IF(G$2=0,"",IFERROR(TRIM(INDEX('Pegar calibracion'!$A$1:$BZ$1001,829,G$2)&amp;""),""))</f>
        <v/>
      </c>
      <c r="H830">
        <f>IF(H$2=0,"",IFERROR(TRIM(INDEX('Pegar calibracion'!$A$1:$BZ$1001,829,H$2)&amp;""),""))</f>
        <v/>
      </c>
      <c r="I830">
        <f>IF(I$2=0,"",IFERROR(TRIM(INDEX('Pegar calibracion'!$A$1:$BZ$1001,829,I$2)&amp;""),""))</f>
        <v/>
      </c>
      <c r="J830">
        <f>IF(J$2=0,"",IFERROR(TRIM(INDEX('Pegar calibracion'!$A$1:$BZ$1001,829,J$2)&amp;""),""))</f>
        <v/>
      </c>
      <c r="K830">
        <f>IF(K$2=0,"",IFERROR(TRIM(INDEX('Pegar calibracion'!$A$1:$BZ$1001,829,K$2)&amp;""),""))</f>
        <v/>
      </c>
      <c r="L830">
        <f>IF(L$2=0,"",IFERROR(TRIM(INDEX('Pegar calibracion'!$A$1:$BZ$1001,829,L$2)&amp;""),""))</f>
        <v/>
      </c>
      <c r="M830" s="25">
        <f>IF(D830="","",SUBSTITUTE(SUBSTITUTE(SUBSTITUTE(SUBSTITUTE(SUBSTITUTE(SUBSTITUTE(SUBSTITUTE(SUBSTITUTE(SUBSTITUTE(SUBSTITUTE(SUBSTITUTE(SUBSTITUTE(LOWER(TRIM(D830)),"á","a"),"é","e"),"í","i"),"ó","o"),"ú","u"),"ü","u"),"ñ","n"),"à","a"),"è","e"),"ì","i"),"ò","o"),"ù","u"))</f>
        <v/>
      </c>
      <c r="N830" s="25">
        <f>IF(F830="","",SUBSTITUTE(SUBSTITUTE(SUBSTITUTE(SUBSTITUTE(SUBSTITUTE(SUBSTITUTE(SUBSTITUTE(SUBSTITUTE(SUBSTITUTE(SUBSTITUTE(SUBSTITUTE(SUBSTITUTE(LOWER(TRIM(F830)),"á","a"),"é","e"),"í","i"),"ó","o"),"ú","u"),"ü","u"),"ñ","n"),"à","a"),"è","e"),"ì","i"),"ò","o"),"ù","u"))</f>
        <v/>
      </c>
      <c r="O830" s="25">
        <f>IF(M830="confiable",2,IF(M830="dudosa",1,IF(M830="no confiable",0,"")))</f>
        <v/>
      </c>
      <c r="P830" s="25">
        <f>IF(N830="confiable",2,IF(N830="dudosa",1,IF(N830="no confiable",0,"")))</f>
        <v/>
      </c>
      <c r="Q830" s="25">
        <f>IF(AND(ISNUMBER(O830),ISNUMBER(P830)),1,"")</f>
        <v/>
      </c>
      <c r="R830" s="25">
        <f>IF(Q830=1,IF(O830=P830,"Sí","No"),"")</f>
        <v/>
      </c>
      <c r="S830" s="25">
        <f>IF(Q830=1,IF(P830&lt;O830,"Más estricto",IF(P830&gt;O830,"Más permisivo","Igual")),"")</f>
        <v/>
      </c>
      <c r="T830" s="25">
        <f>IF(Q830=1,IF(ABS(O830-P830)=2,1,0),"")</f>
        <v/>
      </c>
      <c r="U830" s="25">
        <f>IF(H830="","","|"&amp;SUBSTITUTE(SUBSTITUTE(TRIM(H830)," |","|"),"| ","|")&amp;"|")</f>
        <v/>
      </c>
      <c r="V830" s="25">
        <f>IF(AND(Q830=1,B830&lt;&gt;""),IF(IFERROR(COUNTIFS(B$3:B830,"="&amp;SUBSTITUTE(SUBSTITUTE(SUBSTITUTE(B830,"~","~~"),"*","~*"),"?","~?"),Q$3:Q830,1),0)=1,MAX(V$2:V829)+1,""),"")</f>
        <v/>
      </c>
      <c r="W830" s="25">
        <f>IF(V830="","",COUNTIFS($B$3:$B$1002,"="&amp;SUBSTITUTE(SUBSTITUTE(SUBSTITUTE(B830,"~","~~"),"*","~*"),"?","~?"),$Q$3:$Q$1002,1)*10000-V830)</f>
        <v/>
      </c>
      <c r="X830" s="25">
        <f>IF(Q830=1,IF(SUBSTITUTE(SUBSTITUTE(SUBSTITUTE(SUBSTITUTE(SUBSTITUTE(SUBSTITUTE(SUBSTITUTE(SUBSTITUTE(SUBSTITUTE(SUBSTITUTE(SUBSTITUTE(SUBSTITUTE(LOWER(TRIM(A830)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830)),"á","a"),"é","e"),"í","i"),"ó","o"),"ú","u"),"ü","u"),"ñ","n"),"à","a"),"è","e"),"ì","i"),"ò","o"),"ù","u")),"")</f>
        <v/>
      </c>
      <c r="Y830" s="25">
        <f>IF(X830="","",IF(IFERROR(COUNTIF(X$3:X830,"="&amp;SUBSTITUTE(SUBSTITUTE(SUBSTITUTE(X830,"~","~~"),"*","~*"),"?","~?")),0)=1,1,""))</f>
        <v/>
      </c>
      <c r="Z830" s="25">
        <f>IF(T830=1,MAX(Z$2:Z829)+1,"")</f>
        <v/>
      </c>
    </row>
    <row r="831">
      <c r="A831">
        <f>IF(A$2=0,"",IFERROR(TRIM(INDEX('Pegar calibracion'!$A$1:$BZ$1001,830,A$2)&amp;""),""))</f>
        <v/>
      </c>
      <c r="B831">
        <f>IF(B$2=0,"",IFERROR(TRIM(INDEX('Pegar calibracion'!$A$1:$BZ$1001,830,B$2)&amp;""),""))</f>
        <v/>
      </c>
      <c r="C831">
        <f>IF(C$2=0,"",IFERROR(TRIM(INDEX('Pegar calibracion'!$A$1:$BZ$1001,830,C$2)&amp;""),""))</f>
        <v/>
      </c>
      <c r="D831">
        <f>IF(D$2=0,"",IFERROR(TRIM(INDEX('Pegar calibracion'!$A$1:$BZ$1001,830,D$2)&amp;""),""))</f>
        <v/>
      </c>
      <c r="E831">
        <f>IF(E$2=0,"",IFERROR(TRIM(INDEX('Pegar calibracion'!$A$1:$BZ$1001,830,E$2)&amp;""),""))</f>
        <v/>
      </c>
      <c r="F831">
        <f>IF(F$2=0,"",IFERROR(TRIM(INDEX('Pegar calibracion'!$A$1:$BZ$1001,830,F$2)&amp;""),""))</f>
        <v/>
      </c>
      <c r="G831">
        <f>IF(G$2=0,"",IFERROR(TRIM(INDEX('Pegar calibracion'!$A$1:$BZ$1001,830,G$2)&amp;""),""))</f>
        <v/>
      </c>
      <c r="H831">
        <f>IF(H$2=0,"",IFERROR(TRIM(INDEX('Pegar calibracion'!$A$1:$BZ$1001,830,H$2)&amp;""),""))</f>
        <v/>
      </c>
      <c r="I831">
        <f>IF(I$2=0,"",IFERROR(TRIM(INDEX('Pegar calibracion'!$A$1:$BZ$1001,830,I$2)&amp;""),""))</f>
        <v/>
      </c>
      <c r="J831">
        <f>IF(J$2=0,"",IFERROR(TRIM(INDEX('Pegar calibracion'!$A$1:$BZ$1001,830,J$2)&amp;""),""))</f>
        <v/>
      </c>
      <c r="K831">
        <f>IF(K$2=0,"",IFERROR(TRIM(INDEX('Pegar calibracion'!$A$1:$BZ$1001,830,K$2)&amp;""),""))</f>
        <v/>
      </c>
      <c r="L831">
        <f>IF(L$2=0,"",IFERROR(TRIM(INDEX('Pegar calibracion'!$A$1:$BZ$1001,830,L$2)&amp;""),""))</f>
        <v/>
      </c>
      <c r="M831" s="25">
        <f>IF(D831="","",SUBSTITUTE(SUBSTITUTE(SUBSTITUTE(SUBSTITUTE(SUBSTITUTE(SUBSTITUTE(SUBSTITUTE(SUBSTITUTE(SUBSTITUTE(SUBSTITUTE(SUBSTITUTE(SUBSTITUTE(LOWER(TRIM(D831)),"á","a"),"é","e"),"í","i"),"ó","o"),"ú","u"),"ü","u"),"ñ","n"),"à","a"),"è","e"),"ì","i"),"ò","o"),"ù","u"))</f>
        <v/>
      </c>
      <c r="N831" s="25">
        <f>IF(F831="","",SUBSTITUTE(SUBSTITUTE(SUBSTITUTE(SUBSTITUTE(SUBSTITUTE(SUBSTITUTE(SUBSTITUTE(SUBSTITUTE(SUBSTITUTE(SUBSTITUTE(SUBSTITUTE(SUBSTITUTE(LOWER(TRIM(F831)),"á","a"),"é","e"),"í","i"),"ó","o"),"ú","u"),"ü","u"),"ñ","n"),"à","a"),"è","e"),"ì","i"),"ò","o"),"ù","u"))</f>
        <v/>
      </c>
      <c r="O831" s="25">
        <f>IF(M831="confiable",2,IF(M831="dudosa",1,IF(M831="no confiable",0,"")))</f>
        <v/>
      </c>
      <c r="P831" s="25">
        <f>IF(N831="confiable",2,IF(N831="dudosa",1,IF(N831="no confiable",0,"")))</f>
        <v/>
      </c>
      <c r="Q831" s="25">
        <f>IF(AND(ISNUMBER(O831),ISNUMBER(P831)),1,"")</f>
        <v/>
      </c>
      <c r="R831" s="25">
        <f>IF(Q831=1,IF(O831=P831,"Sí","No"),"")</f>
        <v/>
      </c>
      <c r="S831" s="25">
        <f>IF(Q831=1,IF(P831&lt;O831,"Más estricto",IF(P831&gt;O831,"Más permisivo","Igual")),"")</f>
        <v/>
      </c>
      <c r="T831" s="25">
        <f>IF(Q831=1,IF(ABS(O831-P831)=2,1,0),"")</f>
        <v/>
      </c>
      <c r="U831" s="25">
        <f>IF(H831="","","|"&amp;SUBSTITUTE(SUBSTITUTE(TRIM(H831)," |","|"),"| ","|")&amp;"|")</f>
        <v/>
      </c>
      <c r="V831" s="25">
        <f>IF(AND(Q831=1,B831&lt;&gt;""),IF(IFERROR(COUNTIFS(B$3:B831,"="&amp;SUBSTITUTE(SUBSTITUTE(SUBSTITUTE(B831,"~","~~"),"*","~*"),"?","~?"),Q$3:Q831,1),0)=1,MAX(V$2:V830)+1,""),"")</f>
        <v/>
      </c>
      <c r="W831" s="25">
        <f>IF(V831="","",COUNTIFS($B$3:$B$1002,"="&amp;SUBSTITUTE(SUBSTITUTE(SUBSTITUTE(B831,"~","~~"),"*","~*"),"?","~?"),$Q$3:$Q$1002,1)*10000-V831)</f>
        <v/>
      </c>
      <c r="X831" s="25">
        <f>IF(Q831=1,IF(SUBSTITUTE(SUBSTITUTE(SUBSTITUTE(SUBSTITUTE(SUBSTITUTE(SUBSTITUTE(SUBSTITUTE(SUBSTITUTE(SUBSTITUTE(SUBSTITUTE(SUBSTITUTE(SUBSTITUTE(LOWER(TRIM(A831)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831)),"á","a"),"é","e"),"í","i"),"ó","o"),"ú","u"),"ü","u"),"ñ","n"),"à","a"),"è","e"),"ì","i"),"ò","o"),"ù","u")),"")</f>
        <v/>
      </c>
      <c r="Y831" s="25">
        <f>IF(X831="","",IF(IFERROR(COUNTIF(X$3:X831,"="&amp;SUBSTITUTE(SUBSTITUTE(SUBSTITUTE(X831,"~","~~"),"*","~*"),"?","~?")),0)=1,1,""))</f>
        <v/>
      </c>
      <c r="Z831" s="25">
        <f>IF(T831=1,MAX(Z$2:Z830)+1,"")</f>
        <v/>
      </c>
    </row>
    <row r="832">
      <c r="A832">
        <f>IF(A$2=0,"",IFERROR(TRIM(INDEX('Pegar calibracion'!$A$1:$BZ$1001,831,A$2)&amp;""),""))</f>
        <v/>
      </c>
      <c r="B832">
        <f>IF(B$2=0,"",IFERROR(TRIM(INDEX('Pegar calibracion'!$A$1:$BZ$1001,831,B$2)&amp;""),""))</f>
        <v/>
      </c>
      <c r="C832">
        <f>IF(C$2=0,"",IFERROR(TRIM(INDEX('Pegar calibracion'!$A$1:$BZ$1001,831,C$2)&amp;""),""))</f>
        <v/>
      </c>
      <c r="D832">
        <f>IF(D$2=0,"",IFERROR(TRIM(INDEX('Pegar calibracion'!$A$1:$BZ$1001,831,D$2)&amp;""),""))</f>
        <v/>
      </c>
      <c r="E832">
        <f>IF(E$2=0,"",IFERROR(TRIM(INDEX('Pegar calibracion'!$A$1:$BZ$1001,831,E$2)&amp;""),""))</f>
        <v/>
      </c>
      <c r="F832">
        <f>IF(F$2=0,"",IFERROR(TRIM(INDEX('Pegar calibracion'!$A$1:$BZ$1001,831,F$2)&amp;""),""))</f>
        <v/>
      </c>
      <c r="G832">
        <f>IF(G$2=0,"",IFERROR(TRIM(INDEX('Pegar calibracion'!$A$1:$BZ$1001,831,G$2)&amp;""),""))</f>
        <v/>
      </c>
      <c r="H832">
        <f>IF(H$2=0,"",IFERROR(TRIM(INDEX('Pegar calibracion'!$A$1:$BZ$1001,831,H$2)&amp;""),""))</f>
        <v/>
      </c>
      <c r="I832">
        <f>IF(I$2=0,"",IFERROR(TRIM(INDEX('Pegar calibracion'!$A$1:$BZ$1001,831,I$2)&amp;""),""))</f>
        <v/>
      </c>
      <c r="J832">
        <f>IF(J$2=0,"",IFERROR(TRIM(INDEX('Pegar calibracion'!$A$1:$BZ$1001,831,J$2)&amp;""),""))</f>
        <v/>
      </c>
      <c r="K832">
        <f>IF(K$2=0,"",IFERROR(TRIM(INDEX('Pegar calibracion'!$A$1:$BZ$1001,831,K$2)&amp;""),""))</f>
        <v/>
      </c>
      <c r="L832">
        <f>IF(L$2=0,"",IFERROR(TRIM(INDEX('Pegar calibracion'!$A$1:$BZ$1001,831,L$2)&amp;""),""))</f>
        <v/>
      </c>
      <c r="M832" s="25">
        <f>IF(D832="","",SUBSTITUTE(SUBSTITUTE(SUBSTITUTE(SUBSTITUTE(SUBSTITUTE(SUBSTITUTE(SUBSTITUTE(SUBSTITUTE(SUBSTITUTE(SUBSTITUTE(SUBSTITUTE(SUBSTITUTE(LOWER(TRIM(D832)),"á","a"),"é","e"),"í","i"),"ó","o"),"ú","u"),"ü","u"),"ñ","n"),"à","a"),"è","e"),"ì","i"),"ò","o"),"ù","u"))</f>
        <v/>
      </c>
      <c r="N832" s="25">
        <f>IF(F832="","",SUBSTITUTE(SUBSTITUTE(SUBSTITUTE(SUBSTITUTE(SUBSTITUTE(SUBSTITUTE(SUBSTITUTE(SUBSTITUTE(SUBSTITUTE(SUBSTITUTE(SUBSTITUTE(SUBSTITUTE(LOWER(TRIM(F832)),"á","a"),"é","e"),"í","i"),"ó","o"),"ú","u"),"ü","u"),"ñ","n"),"à","a"),"è","e"),"ì","i"),"ò","o"),"ù","u"))</f>
        <v/>
      </c>
      <c r="O832" s="25">
        <f>IF(M832="confiable",2,IF(M832="dudosa",1,IF(M832="no confiable",0,"")))</f>
        <v/>
      </c>
      <c r="P832" s="25">
        <f>IF(N832="confiable",2,IF(N832="dudosa",1,IF(N832="no confiable",0,"")))</f>
        <v/>
      </c>
      <c r="Q832" s="25">
        <f>IF(AND(ISNUMBER(O832),ISNUMBER(P832)),1,"")</f>
        <v/>
      </c>
      <c r="R832" s="25">
        <f>IF(Q832=1,IF(O832=P832,"Sí","No"),"")</f>
        <v/>
      </c>
      <c r="S832" s="25">
        <f>IF(Q832=1,IF(P832&lt;O832,"Más estricto",IF(P832&gt;O832,"Más permisivo","Igual")),"")</f>
        <v/>
      </c>
      <c r="T832" s="25">
        <f>IF(Q832=1,IF(ABS(O832-P832)=2,1,0),"")</f>
        <v/>
      </c>
      <c r="U832" s="25">
        <f>IF(H832="","","|"&amp;SUBSTITUTE(SUBSTITUTE(TRIM(H832)," |","|"),"| ","|")&amp;"|")</f>
        <v/>
      </c>
      <c r="V832" s="25">
        <f>IF(AND(Q832=1,B832&lt;&gt;""),IF(IFERROR(COUNTIFS(B$3:B832,"="&amp;SUBSTITUTE(SUBSTITUTE(SUBSTITUTE(B832,"~","~~"),"*","~*"),"?","~?"),Q$3:Q832,1),0)=1,MAX(V$2:V831)+1,""),"")</f>
        <v/>
      </c>
      <c r="W832" s="25">
        <f>IF(V832="","",COUNTIFS($B$3:$B$1002,"="&amp;SUBSTITUTE(SUBSTITUTE(SUBSTITUTE(B832,"~","~~"),"*","~*"),"?","~?"),$Q$3:$Q$1002,1)*10000-V832)</f>
        <v/>
      </c>
      <c r="X832" s="25">
        <f>IF(Q832=1,IF(SUBSTITUTE(SUBSTITUTE(SUBSTITUTE(SUBSTITUTE(SUBSTITUTE(SUBSTITUTE(SUBSTITUTE(SUBSTITUTE(SUBSTITUTE(SUBSTITUTE(SUBSTITUTE(SUBSTITUTE(LOWER(TRIM(A832)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832)),"á","a"),"é","e"),"í","i"),"ó","o"),"ú","u"),"ü","u"),"ñ","n"),"à","a"),"è","e"),"ì","i"),"ò","o"),"ù","u")),"")</f>
        <v/>
      </c>
      <c r="Y832" s="25">
        <f>IF(X832="","",IF(IFERROR(COUNTIF(X$3:X832,"="&amp;SUBSTITUTE(SUBSTITUTE(SUBSTITUTE(X832,"~","~~"),"*","~*"),"?","~?")),0)=1,1,""))</f>
        <v/>
      </c>
      <c r="Z832" s="25">
        <f>IF(T832=1,MAX(Z$2:Z831)+1,"")</f>
        <v/>
      </c>
    </row>
    <row r="833">
      <c r="A833">
        <f>IF(A$2=0,"",IFERROR(TRIM(INDEX('Pegar calibracion'!$A$1:$BZ$1001,832,A$2)&amp;""),""))</f>
        <v/>
      </c>
      <c r="B833">
        <f>IF(B$2=0,"",IFERROR(TRIM(INDEX('Pegar calibracion'!$A$1:$BZ$1001,832,B$2)&amp;""),""))</f>
        <v/>
      </c>
      <c r="C833">
        <f>IF(C$2=0,"",IFERROR(TRIM(INDEX('Pegar calibracion'!$A$1:$BZ$1001,832,C$2)&amp;""),""))</f>
        <v/>
      </c>
      <c r="D833">
        <f>IF(D$2=0,"",IFERROR(TRIM(INDEX('Pegar calibracion'!$A$1:$BZ$1001,832,D$2)&amp;""),""))</f>
        <v/>
      </c>
      <c r="E833">
        <f>IF(E$2=0,"",IFERROR(TRIM(INDEX('Pegar calibracion'!$A$1:$BZ$1001,832,E$2)&amp;""),""))</f>
        <v/>
      </c>
      <c r="F833">
        <f>IF(F$2=0,"",IFERROR(TRIM(INDEX('Pegar calibracion'!$A$1:$BZ$1001,832,F$2)&amp;""),""))</f>
        <v/>
      </c>
      <c r="G833">
        <f>IF(G$2=0,"",IFERROR(TRIM(INDEX('Pegar calibracion'!$A$1:$BZ$1001,832,G$2)&amp;""),""))</f>
        <v/>
      </c>
      <c r="H833">
        <f>IF(H$2=0,"",IFERROR(TRIM(INDEX('Pegar calibracion'!$A$1:$BZ$1001,832,H$2)&amp;""),""))</f>
        <v/>
      </c>
      <c r="I833">
        <f>IF(I$2=0,"",IFERROR(TRIM(INDEX('Pegar calibracion'!$A$1:$BZ$1001,832,I$2)&amp;""),""))</f>
        <v/>
      </c>
      <c r="J833">
        <f>IF(J$2=0,"",IFERROR(TRIM(INDEX('Pegar calibracion'!$A$1:$BZ$1001,832,J$2)&amp;""),""))</f>
        <v/>
      </c>
      <c r="K833">
        <f>IF(K$2=0,"",IFERROR(TRIM(INDEX('Pegar calibracion'!$A$1:$BZ$1001,832,K$2)&amp;""),""))</f>
        <v/>
      </c>
      <c r="L833">
        <f>IF(L$2=0,"",IFERROR(TRIM(INDEX('Pegar calibracion'!$A$1:$BZ$1001,832,L$2)&amp;""),""))</f>
        <v/>
      </c>
      <c r="M833" s="25">
        <f>IF(D833="","",SUBSTITUTE(SUBSTITUTE(SUBSTITUTE(SUBSTITUTE(SUBSTITUTE(SUBSTITUTE(SUBSTITUTE(SUBSTITUTE(SUBSTITUTE(SUBSTITUTE(SUBSTITUTE(SUBSTITUTE(LOWER(TRIM(D833)),"á","a"),"é","e"),"í","i"),"ó","o"),"ú","u"),"ü","u"),"ñ","n"),"à","a"),"è","e"),"ì","i"),"ò","o"),"ù","u"))</f>
        <v/>
      </c>
      <c r="N833" s="25">
        <f>IF(F833="","",SUBSTITUTE(SUBSTITUTE(SUBSTITUTE(SUBSTITUTE(SUBSTITUTE(SUBSTITUTE(SUBSTITUTE(SUBSTITUTE(SUBSTITUTE(SUBSTITUTE(SUBSTITUTE(SUBSTITUTE(LOWER(TRIM(F833)),"á","a"),"é","e"),"í","i"),"ó","o"),"ú","u"),"ü","u"),"ñ","n"),"à","a"),"è","e"),"ì","i"),"ò","o"),"ù","u"))</f>
        <v/>
      </c>
      <c r="O833" s="25">
        <f>IF(M833="confiable",2,IF(M833="dudosa",1,IF(M833="no confiable",0,"")))</f>
        <v/>
      </c>
      <c r="P833" s="25">
        <f>IF(N833="confiable",2,IF(N833="dudosa",1,IF(N833="no confiable",0,"")))</f>
        <v/>
      </c>
      <c r="Q833" s="25">
        <f>IF(AND(ISNUMBER(O833),ISNUMBER(P833)),1,"")</f>
        <v/>
      </c>
      <c r="R833" s="25">
        <f>IF(Q833=1,IF(O833=P833,"Sí","No"),"")</f>
        <v/>
      </c>
      <c r="S833" s="25">
        <f>IF(Q833=1,IF(P833&lt;O833,"Más estricto",IF(P833&gt;O833,"Más permisivo","Igual")),"")</f>
        <v/>
      </c>
      <c r="T833" s="25">
        <f>IF(Q833=1,IF(ABS(O833-P833)=2,1,0),"")</f>
        <v/>
      </c>
      <c r="U833" s="25">
        <f>IF(H833="","","|"&amp;SUBSTITUTE(SUBSTITUTE(TRIM(H833)," |","|"),"| ","|")&amp;"|")</f>
        <v/>
      </c>
      <c r="V833" s="25">
        <f>IF(AND(Q833=1,B833&lt;&gt;""),IF(IFERROR(COUNTIFS(B$3:B833,"="&amp;SUBSTITUTE(SUBSTITUTE(SUBSTITUTE(B833,"~","~~"),"*","~*"),"?","~?"),Q$3:Q833,1),0)=1,MAX(V$2:V832)+1,""),"")</f>
        <v/>
      </c>
      <c r="W833" s="25">
        <f>IF(V833="","",COUNTIFS($B$3:$B$1002,"="&amp;SUBSTITUTE(SUBSTITUTE(SUBSTITUTE(B833,"~","~~"),"*","~*"),"?","~?"),$Q$3:$Q$1002,1)*10000-V833)</f>
        <v/>
      </c>
      <c r="X833" s="25">
        <f>IF(Q833=1,IF(SUBSTITUTE(SUBSTITUTE(SUBSTITUTE(SUBSTITUTE(SUBSTITUTE(SUBSTITUTE(SUBSTITUTE(SUBSTITUTE(SUBSTITUTE(SUBSTITUTE(SUBSTITUTE(SUBSTITUTE(LOWER(TRIM(A833)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833)),"á","a"),"é","e"),"í","i"),"ó","o"),"ú","u"),"ü","u"),"ñ","n"),"à","a"),"è","e"),"ì","i"),"ò","o"),"ù","u")),"")</f>
        <v/>
      </c>
      <c r="Y833" s="25">
        <f>IF(X833="","",IF(IFERROR(COUNTIF(X$3:X833,"="&amp;SUBSTITUTE(SUBSTITUTE(SUBSTITUTE(X833,"~","~~"),"*","~*"),"?","~?")),0)=1,1,""))</f>
        <v/>
      </c>
      <c r="Z833" s="25">
        <f>IF(T833=1,MAX(Z$2:Z832)+1,"")</f>
        <v/>
      </c>
    </row>
    <row r="834">
      <c r="A834">
        <f>IF(A$2=0,"",IFERROR(TRIM(INDEX('Pegar calibracion'!$A$1:$BZ$1001,833,A$2)&amp;""),""))</f>
        <v/>
      </c>
      <c r="B834">
        <f>IF(B$2=0,"",IFERROR(TRIM(INDEX('Pegar calibracion'!$A$1:$BZ$1001,833,B$2)&amp;""),""))</f>
        <v/>
      </c>
      <c r="C834">
        <f>IF(C$2=0,"",IFERROR(TRIM(INDEX('Pegar calibracion'!$A$1:$BZ$1001,833,C$2)&amp;""),""))</f>
        <v/>
      </c>
      <c r="D834">
        <f>IF(D$2=0,"",IFERROR(TRIM(INDEX('Pegar calibracion'!$A$1:$BZ$1001,833,D$2)&amp;""),""))</f>
        <v/>
      </c>
      <c r="E834">
        <f>IF(E$2=0,"",IFERROR(TRIM(INDEX('Pegar calibracion'!$A$1:$BZ$1001,833,E$2)&amp;""),""))</f>
        <v/>
      </c>
      <c r="F834">
        <f>IF(F$2=0,"",IFERROR(TRIM(INDEX('Pegar calibracion'!$A$1:$BZ$1001,833,F$2)&amp;""),""))</f>
        <v/>
      </c>
      <c r="G834">
        <f>IF(G$2=0,"",IFERROR(TRIM(INDEX('Pegar calibracion'!$A$1:$BZ$1001,833,G$2)&amp;""),""))</f>
        <v/>
      </c>
      <c r="H834">
        <f>IF(H$2=0,"",IFERROR(TRIM(INDEX('Pegar calibracion'!$A$1:$BZ$1001,833,H$2)&amp;""),""))</f>
        <v/>
      </c>
      <c r="I834">
        <f>IF(I$2=0,"",IFERROR(TRIM(INDEX('Pegar calibracion'!$A$1:$BZ$1001,833,I$2)&amp;""),""))</f>
        <v/>
      </c>
      <c r="J834">
        <f>IF(J$2=0,"",IFERROR(TRIM(INDEX('Pegar calibracion'!$A$1:$BZ$1001,833,J$2)&amp;""),""))</f>
        <v/>
      </c>
      <c r="K834">
        <f>IF(K$2=0,"",IFERROR(TRIM(INDEX('Pegar calibracion'!$A$1:$BZ$1001,833,K$2)&amp;""),""))</f>
        <v/>
      </c>
      <c r="L834">
        <f>IF(L$2=0,"",IFERROR(TRIM(INDEX('Pegar calibracion'!$A$1:$BZ$1001,833,L$2)&amp;""),""))</f>
        <v/>
      </c>
      <c r="M834" s="25">
        <f>IF(D834="","",SUBSTITUTE(SUBSTITUTE(SUBSTITUTE(SUBSTITUTE(SUBSTITUTE(SUBSTITUTE(SUBSTITUTE(SUBSTITUTE(SUBSTITUTE(SUBSTITUTE(SUBSTITUTE(SUBSTITUTE(LOWER(TRIM(D834)),"á","a"),"é","e"),"í","i"),"ó","o"),"ú","u"),"ü","u"),"ñ","n"),"à","a"),"è","e"),"ì","i"),"ò","o"),"ù","u"))</f>
        <v/>
      </c>
      <c r="N834" s="25">
        <f>IF(F834="","",SUBSTITUTE(SUBSTITUTE(SUBSTITUTE(SUBSTITUTE(SUBSTITUTE(SUBSTITUTE(SUBSTITUTE(SUBSTITUTE(SUBSTITUTE(SUBSTITUTE(SUBSTITUTE(SUBSTITUTE(LOWER(TRIM(F834)),"á","a"),"é","e"),"í","i"),"ó","o"),"ú","u"),"ü","u"),"ñ","n"),"à","a"),"è","e"),"ì","i"),"ò","o"),"ù","u"))</f>
        <v/>
      </c>
      <c r="O834" s="25">
        <f>IF(M834="confiable",2,IF(M834="dudosa",1,IF(M834="no confiable",0,"")))</f>
        <v/>
      </c>
      <c r="P834" s="25">
        <f>IF(N834="confiable",2,IF(N834="dudosa",1,IF(N834="no confiable",0,"")))</f>
        <v/>
      </c>
      <c r="Q834" s="25">
        <f>IF(AND(ISNUMBER(O834),ISNUMBER(P834)),1,"")</f>
        <v/>
      </c>
      <c r="R834" s="25">
        <f>IF(Q834=1,IF(O834=P834,"Sí","No"),"")</f>
        <v/>
      </c>
      <c r="S834" s="25">
        <f>IF(Q834=1,IF(P834&lt;O834,"Más estricto",IF(P834&gt;O834,"Más permisivo","Igual")),"")</f>
        <v/>
      </c>
      <c r="T834" s="25">
        <f>IF(Q834=1,IF(ABS(O834-P834)=2,1,0),"")</f>
        <v/>
      </c>
      <c r="U834" s="25">
        <f>IF(H834="","","|"&amp;SUBSTITUTE(SUBSTITUTE(TRIM(H834)," |","|"),"| ","|")&amp;"|")</f>
        <v/>
      </c>
      <c r="V834" s="25">
        <f>IF(AND(Q834=1,B834&lt;&gt;""),IF(IFERROR(COUNTIFS(B$3:B834,"="&amp;SUBSTITUTE(SUBSTITUTE(SUBSTITUTE(B834,"~","~~"),"*","~*"),"?","~?"),Q$3:Q834,1),0)=1,MAX(V$2:V833)+1,""),"")</f>
        <v/>
      </c>
      <c r="W834" s="25">
        <f>IF(V834="","",COUNTIFS($B$3:$B$1002,"="&amp;SUBSTITUTE(SUBSTITUTE(SUBSTITUTE(B834,"~","~~"),"*","~*"),"?","~?"),$Q$3:$Q$1002,1)*10000-V834)</f>
        <v/>
      </c>
      <c r="X834" s="25">
        <f>IF(Q834=1,IF(SUBSTITUTE(SUBSTITUTE(SUBSTITUTE(SUBSTITUTE(SUBSTITUTE(SUBSTITUTE(SUBSTITUTE(SUBSTITUTE(SUBSTITUTE(SUBSTITUTE(SUBSTITUTE(SUBSTITUTE(LOWER(TRIM(A834)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834)),"á","a"),"é","e"),"í","i"),"ó","o"),"ú","u"),"ü","u"),"ñ","n"),"à","a"),"è","e"),"ì","i"),"ò","o"),"ù","u")),"")</f>
        <v/>
      </c>
      <c r="Y834" s="25">
        <f>IF(X834="","",IF(IFERROR(COUNTIF(X$3:X834,"="&amp;SUBSTITUTE(SUBSTITUTE(SUBSTITUTE(X834,"~","~~"),"*","~*"),"?","~?")),0)=1,1,""))</f>
        <v/>
      </c>
      <c r="Z834" s="25">
        <f>IF(T834=1,MAX(Z$2:Z833)+1,"")</f>
        <v/>
      </c>
    </row>
    <row r="835">
      <c r="A835">
        <f>IF(A$2=0,"",IFERROR(TRIM(INDEX('Pegar calibracion'!$A$1:$BZ$1001,834,A$2)&amp;""),""))</f>
        <v/>
      </c>
      <c r="B835">
        <f>IF(B$2=0,"",IFERROR(TRIM(INDEX('Pegar calibracion'!$A$1:$BZ$1001,834,B$2)&amp;""),""))</f>
        <v/>
      </c>
      <c r="C835">
        <f>IF(C$2=0,"",IFERROR(TRIM(INDEX('Pegar calibracion'!$A$1:$BZ$1001,834,C$2)&amp;""),""))</f>
        <v/>
      </c>
      <c r="D835">
        <f>IF(D$2=0,"",IFERROR(TRIM(INDEX('Pegar calibracion'!$A$1:$BZ$1001,834,D$2)&amp;""),""))</f>
        <v/>
      </c>
      <c r="E835">
        <f>IF(E$2=0,"",IFERROR(TRIM(INDEX('Pegar calibracion'!$A$1:$BZ$1001,834,E$2)&amp;""),""))</f>
        <v/>
      </c>
      <c r="F835">
        <f>IF(F$2=0,"",IFERROR(TRIM(INDEX('Pegar calibracion'!$A$1:$BZ$1001,834,F$2)&amp;""),""))</f>
        <v/>
      </c>
      <c r="G835">
        <f>IF(G$2=0,"",IFERROR(TRIM(INDEX('Pegar calibracion'!$A$1:$BZ$1001,834,G$2)&amp;""),""))</f>
        <v/>
      </c>
      <c r="H835">
        <f>IF(H$2=0,"",IFERROR(TRIM(INDEX('Pegar calibracion'!$A$1:$BZ$1001,834,H$2)&amp;""),""))</f>
        <v/>
      </c>
      <c r="I835">
        <f>IF(I$2=0,"",IFERROR(TRIM(INDEX('Pegar calibracion'!$A$1:$BZ$1001,834,I$2)&amp;""),""))</f>
        <v/>
      </c>
      <c r="J835">
        <f>IF(J$2=0,"",IFERROR(TRIM(INDEX('Pegar calibracion'!$A$1:$BZ$1001,834,J$2)&amp;""),""))</f>
        <v/>
      </c>
      <c r="K835">
        <f>IF(K$2=0,"",IFERROR(TRIM(INDEX('Pegar calibracion'!$A$1:$BZ$1001,834,K$2)&amp;""),""))</f>
        <v/>
      </c>
      <c r="L835">
        <f>IF(L$2=0,"",IFERROR(TRIM(INDEX('Pegar calibracion'!$A$1:$BZ$1001,834,L$2)&amp;""),""))</f>
        <v/>
      </c>
      <c r="M835" s="25">
        <f>IF(D835="","",SUBSTITUTE(SUBSTITUTE(SUBSTITUTE(SUBSTITUTE(SUBSTITUTE(SUBSTITUTE(SUBSTITUTE(SUBSTITUTE(SUBSTITUTE(SUBSTITUTE(SUBSTITUTE(SUBSTITUTE(LOWER(TRIM(D835)),"á","a"),"é","e"),"í","i"),"ó","o"),"ú","u"),"ü","u"),"ñ","n"),"à","a"),"è","e"),"ì","i"),"ò","o"),"ù","u"))</f>
        <v/>
      </c>
      <c r="N835" s="25">
        <f>IF(F835="","",SUBSTITUTE(SUBSTITUTE(SUBSTITUTE(SUBSTITUTE(SUBSTITUTE(SUBSTITUTE(SUBSTITUTE(SUBSTITUTE(SUBSTITUTE(SUBSTITUTE(SUBSTITUTE(SUBSTITUTE(LOWER(TRIM(F835)),"á","a"),"é","e"),"í","i"),"ó","o"),"ú","u"),"ü","u"),"ñ","n"),"à","a"),"è","e"),"ì","i"),"ò","o"),"ù","u"))</f>
        <v/>
      </c>
      <c r="O835" s="25">
        <f>IF(M835="confiable",2,IF(M835="dudosa",1,IF(M835="no confiable",0,"")))</f>
        <v/>
      </c>
      <c r="P835" s="25">
        <f>IF(N835="confiable",2,IF(N835="dudosa",1,IF(N835="no confiable",0,"")))</f>
        <v/>
      </c>
      <c r="Q835" s="25">
        <f>IF(AND(ISNUMBER(O835),ISNUMBER(P835)),1,"")</f>
        <v/>
      </c>
      <c r="R835" s="25">
        <f>IF(Q835=1,IF(O835=P835,"Sí","No"),"")</f>
        <v/>
      </c>
      <c r="S835" s="25">
        <f>IF(Q835=1,IF(P835&lt;O835,"Más estricto",IF(P835&gt;O835,"Más permisivo","Igual")),"")</f>
        <v/>
      </c>
      <c r="T835" s="25">
        <f>IF(Q835=1,IF(ABS(O835-P835)=2,1,0),"")</f>
        <v/>
      </c>
      <c r="U835" s="25">
        <f>IF(H835="","","|"&amp;SUBSTITUTE(SUBSTITUTE(TRIM(H835)," |","|"),"| ","|")&amp;"|")</f>
        <v/>
      </c>
      <c r="V835" s="25">
        <f>IF(AND(Q835=1,B835&lt;&gt;""),IF(IFERROR(COUNTIFS(B$3:B835,"="&amp;SUBSTITUTE(SUBSTITUTE(SUBSTITUTE(B835,"~","~~"),"*","~*"),"?","~?"),Q$3:Q835,1),0)=1,MAX(V$2:V834)+1,""),"")</f>
        <v/>
      </c>
      <c r="W835" s="25">
        <f>IF(V835="","",COUNTIFS($B$3:$B$1002,"="&amp;SUBSTITUTE(SUBSTITUTE(SUBSTITUTE(B835,"~","~~"),"*","~*"),"?","~?"),$Q$3:$Q$1002,1)*10000-V835)</f>
        <v/>
      </c>
      <c r="X835" s="25">
        <f>IF(Q835=1,IF(SUBSTITUTE(SUBSTITUTE(SUBSTITUTE(SUBSTITUTE(SUBSTITUTE(SUBSTITUTE(SUBSTITUTE(SUBSTITUTE(SUBSTITUTE(SUBSTITUTE(SUBSTITUTE(SUBSTITUTE(LOWER(TRIM(A835)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835)),"á","a"),"é","e"),"í","i"),"ó","o"),"ú","u"),"ü","u"),"ñ","n"),"à","a"),"è","e"),"ì","i"),"ò","o"),"ù","u")),"")</f>
        <v/>
      </c>
      <c r="Y835" s="25">
        <f>IF(X835="","",IF(IFERROR(COUNTIF(X$3:X835,"="&amp;SUBSTITUTE(SUBSTITUTE(SUBSTITUTE(X835,"~","~~"),"*","~*"),"?","~?")),0)=1,1,""))</f>
        <v/>
      </c>
      <c r="Z835" s="25">
        <f>IF(T835=1,MAX(Z$2:Z834)+1,"")</f>
        <v/>
      </c>
    </row>
    <row r="836">
      <c r="A836">
        <f>IF(A$2=0,"",IFERROR(TRIM(INDEX('Pegar calibracion'!$A$1:$BZ$1001,835,A$2)&amp;""),""))</f>
        <v/>
      </c>
      <c r="B836">
        <f>IF(B$2=0,"",IFERROR(TRIM(INDEX('Pegar calibracion'!$A$1:$BZ$1001,835,B$2)&amp;""),""))</f>
        <v/>
      </c>
      <c r="C836">
        <f>IF(C$2=0,"",IFERROR(TRIM(INDEX('Pegar calibracion'!$A$1:$BZ$1001,835,C$2)&amp;""),""))</f>
        <v/>
      </c>
      <c r="D836">
        <f>IF(D$2=0,"",IFERROR(TRIM(INDEX('Pegar calibracion'!$A$1:$BZ$1001,835,D$2)&amp;""),""))</f>
        <v/>
      </c>
      <c r="E836">
        <f>IF(E$2=0,"",IFERROR(TRIM(INDEX('Pegar calibracion'!$A$1:$BZ$1001,835,E$2)&amp;""),""))</f>
        <v/>
      </c>
      <c r="F836">
        <f>IF(F$2=0,"",IFERROR(TRIM(INDEX('Pegar calibracion'!$A$1:$BZ$1001,835,F$2)&amp;""),""))</f>
        <v/>
      </c>
      <c r="G836">
        <f>IF(G$2=0,"",IFERROR(TRIM(INDEX('Pegar calibracion'!$A$1:$BZ$1001,835,G$2)&amp;""),""))</f>
        <v/>
      </c>
      <c r="H836">
        <f>IF(H$2=0,"",IFERROR(TRIM(INDEX('Pegar calibracion'!$A$1:$BZ$1001,835,H$2)&amp;""),""))</f>
        <v/>
      </c>
      <c r="I836">
        <f>IF(I$2=0,"",IFERROR(TRIM(INDEX('Pegar calibracion'!$A$1:$BZ$1001,835,I$2)&amp;""),""))</f>
        <v/>
      </c>
      <c r="J836">
        <f>IF(J$2=0,"",IFERROR(TRIM(INDEX('Pegar calibracion'!$A$1:$BZ$1001,835,J$2)&amp;""),""))</f>
        <v/>
      </c>
      <c r="K836">
        <f>IF(K$2=0,"",IFERROR(TRIM(INDEX('Pegar calibracion'!$A$1:$BZ$1001,835,K$2)&amp;""),""))</f>
        <v/>
      </c>
      <c r="L836">
        <f>IF(L$2=0,"",IFERROR(TRIM(INDEX('Pegar calibracion'!$A$1:$BZ$1001,835,L$2)&amp;""),""))</f>
        <v/>
      </c>
      <c r="M836" s="25">
        <f>IF(D836="","",SUBSTITUTE(SUBSTITUTE(SUBSTITUTE(SUBSTITUTE(SUBSTITUTE(SUBSTITUTE(SUBSTITUTE(SUBSTITUTE(SUBSTITUTE(SUBSTITUTE(SUBSTITUTE(SUBSTITUTE(LOWER(TRIM(D836)),"á","a"),"é","e"),"í","i"),"ó","o"),"ú","u"),"ü","u"),"ñ","n"),"à","a"),"è","e"),"ì","i"),"ò","o"),"ù","u"))</f>
        <v/>
      </c>
      <c r="N836" s="25">
        <f>IF(F836="","",SUBSTITUTE(SUBSTITUTE(SUBSTITUTE(SUBSTITUTE(SUBSTITUTE(SUBSTITUTE(SUBSTITUTE(SUBSTITUTE(SUBSTITUTE(SUBSTITUTE(SUBSTITUTE(SUBSTITUTE(LOWER(TRIM(F836)),"á","a"),"é","e"),"í","i"),"ó","o"),"ú","u"),"ü","u"),"ñ","n"),"à","a"),"è","e"),"ì","i"),"ò","o"),"ù","u"))</f>
        <v/>
      </c>
      <c r="O836" s="25">
        <f>IF(M836="confiable",2,IF(M836="dudosa",1,IF(M836="no confiable",0,"")))</f>
        <v/>
      </c>
      <c r="P836" s="25">
        <f>IF(N836="confiable",2,IF(N836="dudosa",1,IF(N836="no confiable",0,"")))</f>
        <v/>
      </c>
      <c r="Q836" s="25">
        <f>IF(AND(ISNUMBER(O836),ISNUMBER(P836)),1,"")</f>
        <v/>
      </c>
      <c r="R836" s="25">
        <f>IF(Q836=1,IF(O836=P836,"Sí","No"),"")</f>
        <v/>
      </c>
      <c r="S836" s="25">
        <f>IF(Q836=1,IF(P836&lt;O836,"Más estricto",IF(P836&gt;O836,"Más permisivo","Igual")),"")</f>
        <v/>
      </c>
      <c r="T836" s="25">
        <f>IF(Q836=1,IF(ABS(O836-P836)=2,1,0),"")</f>
        <v/>
      </c>
      <c r="U836" s="25">
        <f>IF(H836="","","|"&amp;SUBSTITUTE(SUBSTITUTE(TRIM(H836)," |","|"),"| ","|")&amp;"|")</f>
        <v/>
      </c>
      <c r="V836" s="25">
        <f>IF(AND(Q836=1,B836&lt;&gt;""),IF(IFERROR(COUNTIFS(B$3:B836,"="&amp;SUBSTITUTE(SUBSTITUTE(SUBSTITUTE(B836,"~","~~"),"*","~*"),"?","~?"),Q$3:Q836,1),0)=1,MAX(V$2:V835)+1,""),"")</f>
        <v/>
      </c>
      <c r="W836" s="25">
        <f>IF(V836="","",COUNTIFS($B$3:$B$1002,"="&amp;SUBSTITUTE(SUBSTITUTE(SUBSTITUTE(B836,"~","~~"),"*","~*"),"?","~?"),$Q$3:$Q$1002,1)*10000-V836)</f>
        <v/>
      </c>
      <c r="X836" s="25">
        <f>IF(Q836=1,IF(SUBSTITUTE(SUBSTITUTE(SUBSTITUTE(SUBSTITUTE(SUBSTITUTE(SUBSTITUTE(SUBSTITUTE(SUBSTITUTE(SUBSTITUTE(SUBSTITUTE(SUBSTITUTE(SUBSTITUTE(LOWER(TRIM(A836)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836)),"á","a"),"é","e"),"í","i"),"ó","o"),"ú","u"),"ü","u"),"ñ","n"),"à","a"),"è","e"),"ì","i"),"ò","o"),"ù","u")),"")</f>
        <v/>
      </c>
      <c r="Y836" s="25">
        <f>IF(X836="","",IF(IFERROR(COUNTIF(X$3:X836,"="&amp;SUBSTITUTE(SUBSTITUTE(SUBSTITUTE(X836,"~","~~"),"*","~*"),"?","~?")),0)=1,1,""))</f>
        <v/>
      </c>
      <c r="Z836" s="25">
        <f>IF(T836=1,MAX(Z$2:Z835)+1,"")</f>
        <v/>
      </c>
    </row>
    <row r="837">
      <c r="A837">
        <f>IF(A$2=0,"",IFERROR(TRIM(INDEX('Pegar calibracion'!$A$1:$BZ$1001,836,A$2)&amp;""),""))</f>
        <v/>
      </c>
      <c r="B837">
        <f>IF(B$2=0,"",IFERROR(TRIM(INDEX('Pegar calibracion'!$A$1:$BZ$1001,836,B$2)&amp;""),""))</f>
        <v/>
      </c>
      <c r="C837">
        <f>IF(C$2=0,"",IFERROR(TRIM(INDEX('Pegar calibracion'!$A$1:$BZ$1001,836,C$2)&amp;""),""))</f>
        <v/>
      </c>
      <c r="D837">
        <f>IF(D$2=0,"",IFERROR(TRIM(INDEX('Pegar calibracion'!$A$1:$BZ$1001,836,D$2)&amp;""),""))</f>
        <v/>
      </c>
      <c r="E837">
        <f>IF(E$2=0,"",IFERROR(TRIM(INDEX('Pegar calibracion'!$A$1:$BZ$1001,836,E$2)&amp;""),""))</f>
        <v/>
      </c>
      <c r="F837">
        <f>IF(F$2=0,"",IFERROR(TRIM(INDEX('Pegar calibracion'!$A$1:$BZ$1001,836,F$2)&amp;""),""))</f>
        <v/>
      </c>
      <c r="G837">
        <f>IF(G$2=0,"",IFERROR(TRIM(INDEX('Pegar calibracion'!$A$1:$BZ$1001,836,G$2)&amp;""),""))</f>
        <v/>
      </c>
      <c r="H837">
        <f>IF(H$2=0,"",IFERROR(TRIM(INDEX('Pegar calibracion'!$A$1:$BZ$1001,836,H$2)&amp;""),""))</f>
        <v/>
      </c>
      <c r="I837">
        <f>IF(I$2=0,"",IFERROR(TRIM(INDEX('Pegar calibracion'!$A$1:$BZ$1001,836,I$2)&amp;""),""))</f>
        <v/>
      </c>
      <c r="J837">
        <f>IF(J$2=0,"",IFERROR(TRIM(INDEX('Pegar calibracion'!$A$1:$BZ$1001,836,J$2)&amp;""),""))</f>
        <v/>
      </c>
      <c r="K837">
        <f>IF(K$2=0,"",IFERROR(TRIM(INDEX('Pegar calibracion'!$A$1:$BZ$1001,836,K$2)&amp;""),""))</f>
        <v/>
      </c>
      <c r="L837">
        <f>IF(L$2=0,"",IFERROR(TRIM(INDEX('Pegar calibracion'!$A$1:$BZ$1001,836,L$2)&amp;""),""))</f>
        <v/>
      </c>
      <c r="M837" s="25">
        <f>IF(D837="","",SUBSTITUTE(SUBSTITUTE(SUBSTITUTE(SUBSTITUTE(SUBSTITUTE(SUBSTITUTE(SUBSTITUTE(SUBSTITUTE(SUBSTITUTE(SUBSTITUTE(SUBSTITUTE(SUBSTITUTE(LOWER(TRIM(D837)),"á","a"),"é","e"),"í","i"),"ó","o"),"ú","u"),"ü","u"),"ñ","n"),"à","a"),"è","e"),"ì","i"),"ò","o"),"ù","u"))</f>
        <v/>
      </c>
      <c r="N837" s="25">
        <f>IF(F837="","",SUBSTITUTE(SUBSTITUTE(SUBSTITUTE(SUBSTITUTE(SUBSTITUTE(SUBSTITUTE(SUBSTITUTE(SUBSTITUTE(SUBSTITUTE(SUBSTITUTE(SUBSTITUTE(SUBSTITUTE(LOWER(TRIM(F837)),"á","a"),"é","e"),"í","i"),"ó","o"),"ú","u"),"ü","u"),"ñ","n"),"à","a"),"è","e"),"ì","i"),"ò","o"),"ù","u"))</f>
        <v/>
      </c>
      <c r="O837" s="25">
        <f>IF(M837="confiable",2,IF(M837="dudosa",1,IF(M837="no confiable",0,"")))</f>
        <v/>
      </c>
      <c r="P837" s="25">
        <f>IF(N837="confiable",2,IF(N837="dudosa",1,IF(N837="no confiable",0,"")))</f>
        <v/>
      </c>
      <c r="Q837" s="25">
        <f>IF(AND(ISNUMBER(O837),ISNUMBER(P837)),1,"")</f>
        <v/>
      </c>
      <c r="R837" s="25">
        <f>IF(Q837=1,IF(O837=P837,"Sí","No"),"")</f>
        <v/>
      </c>
      <c r="S837" s="25">
        <f>IF(Q837=1,IF(P837&lt;O837,"Más estricto",IF(P837&gt;O837,"Más permisivo","Igual")),"")</f>
        <v/>
      </c>
      <c r="T837" s="25">
        <f>IF(Q837=1,IF(ABS(O837-P837)=2,1,0),"")</f>
        <v/>
      </c>
      <c r="U837" s="25">
        <f>IF(H837="","","|"&amp;SUBSTITUTE(SUBSTITUTE(TRIM(H837)," |","|"),"| ","|")&amp;"|")</f>
        <v/>
      </c>
      <c r="V837" s="25">
        <f>IF(AND(Q837=1,B837&lt;&gt;""),IF(IFERROR(COUNTIFS(B$3:B837,"="&amp;SUBSTITUTE(SUBSTITUTE(SUBSTITUTE(B837,"~","~~"),"*","~*"),"?","~?"),Q$3:Q837,1),0)=1,MAX(V$2:V836)+1,""),"")</f>
        <v/>
      </c>
      <c r="W837" s="25">
        <f>IF(V837="","",COUNTIFS($B$3:$B$1002,"="&amp;SUBSTITUTE(SUBSTITUTE(SUBSTITUTE(B837,"~","~~"),"*","~*"),"?","~?"),$Q$3:$Q$1002,1)*10000-V837)</f>
        <v/>
      </c>
      <c r="X837" s="25">
        <f>IF(Q837=1,IF(SUBSTITUTE(SUBSTITUTE(SUBSTITUTE(SUBSTITUTE(SUBSTITUTE(SUBSTITUTE(SUBSTITUTE(SUBSTITUTE(SUBSTITUTE(SUBSTITUTE(SUBSTITUTE(SUBSTITUTE(LOWER(TRIM(A837)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837)),"á","a"),"é","e"),"í","i"),"ó","o"),"ú","u"),"ü","u"),"ñ","n"),"à","a"),"è","e"),"ì","i"),"ò","o"),"ù","u")),"")</f>
        <v/>
      </c>
      <c r="Y837" s="25">
        <f>IF(X837="","",IF(IFERROR(COUNTIF(X$3:X837,"="&amp;SUBSTITUTE(SUBSTITUTE(SUBSTITUTE(X837,"~","~~"),"*","~*"),"?","~?")),0)=1,1,""))</f>
        <v/>
      </c>
      <c r="Z837" s="25">
        <f>IF(T837=1,MAX(Z$2:Z836)+1,"")</f>
        <v/>
      </c>
    </row>
    <row r="838">
      <c r="A838">
        <f>IF(A$2=0,"",IFERROR(TRIM(INDEX('Pegar calibracion'!$A$1:$BZ$1001,837,A$2)&amp;""),""))</f>
        <v/>
      </c>
      <c r="B838">
        <f>IF(B$2=0,"",IFERROR(TRIM(INDEX('Pegar calibracion'!$A$1:$BZ$1001,837,B$2)&amp;""),""))</f>
        <v/>
      </c>
      <c r="C838">
        <f>IF(C$2=0,"",IFERROR(TRIM(INDEX('Pegar calibracion'!$A$1:$BZ$1001,837,C$2)&amp;""),""))</f>
        <v/>
      </c>
      <c r="D838">
        <f>IF(D$2=0,"",IFERROR(TRIM(INDEX('Pegar calibracion'!$A$1:$BZ$1001,837,D$2)&amp;""),""))</f>
        <v/>
      </c>
      <c r="E838">
        <f>IF(E$2=0,"",IFERROR(TRIM(INDEX('Pegar calibracion'!$A$1:$BZ$1001,837,E$2)&amp;""),""))</f>
        <v/>
      </c>
      <c r="F838">
        <f>IF(F$2=0,"",IFERROR(TRIM(INDEX('Pegar calibracion'!$A$1:$BZ$1001,837,F$2)&amp;""),""))</f>
        <v/>
      </c>
      <c r="G838">
        <f>IF(G$2=0,"",IFERROR(TRIM(INDEX('Pegar calibracion'!$A$1:$BZ$1001,837,G$2)&amp;""),""))</f>
        <v/>
      </c>
      <c r="H838">
        <f>IF(H$2=0,"",IFERROR(TRIM(INDEX('Pegar calibracion'!$A$1:$BZ$1001,837,H$2)&amp;""),""))</f>
        <v/>
      </c>
      <c r="I838">
        <f>IF(I$2=0,"",IFERROR(TRIM(INDEX('Pegar calibracion'!$A$1:$BZ$1001,837,I$2)&amp;""),""))</f>
        <v/>
      </c>
      <c r="J838">
        <f>IF(J$2=0,"",IFERROR(TRIM(INDEX('Pegar calibracion'!$A$1:$BZ$1001,837,J$2)&amp;""),""))</f>
        <v/>
      </c>
      <c r="K838">
        <f>IF(K$2=0,"",IFERROR(TRIM(INDEX('Pegar calibracion'!$A$1:$BZ$1001,837,K$2)&amp;""),""))</f>
        <v/>
      </c>
      <c r="L838">
        <f>IF(L$2=0,"",IFERROR(TRIM(INDEX('Pegar calibracion'!$A$1:$BZ$1001,837,L$2)&amp;""),""))</f>
        <v/>
      </c>
      <c r="M838" s="25">
        <f>IF(D838="","",SUBSTITUTE(SUBSTITUTE(SUBSTITUTE(SUBSTITUTE(SUBSTITUTE(SUBSTITUTE(SUBSTITUTE(SUBSTITUTE(SUBSTITUTE(SUBSTITUTE(SUBSTITUTE(SUBSTITUTE(LOWER(TRIM(D838)),"á","a"),"é","e"),"í","i"),"ó","o"),"ú","u"),"ü","u"),"ñ","n"),"à","a"),"è","e"),"ì","i"),"ò","o"),"ù","u"))</f>
        <v/>
      </c>
      <c r="N838" s="25">
        <f>IF(F838="","",SUBSTITUTE(SUBSTITUTE(SUBSTITUTE(SUBSTITUTE(SUBSTITUTE(SUBSTITUTE(SUBSTITUTE(SUBSTITUTE(SUBSTITUTE(SUBSTITUTE(SUBSTITUTE(SUBSTITUTE(LOWER(TRIM(F838)),"á","a"),"é","e"),"í","i"),"ó","o"),"ú","u"),"ü","u"),"ñ","n"),"à","a"),"è","e"),"ì","i"),"ò","o"),"ù","u"))</f>
        <v/>
      </c>
      <c r="O838" s="25">
        <f>IF(M838="confiable",2,IF(M838="dudosa",1,IF(M838="no confiable",0,"")))</f>
        <v/>
      </c>
      <c r="P838" s="25">
        <f>IF(N838="confiable",2,IF(N838="dudosa",1,IF(N838="no confiable",0,"")))</f>
        <v/>
      </c>
      <c r="Q838" s="25">
        <f>IF(AND(ISNUMBER(O838),ISNUMBER(P838)),1,"")</f>
        <v/>
      </c>
      <c r="R838" s="25">
        <f>IF(Q838=1,IF(O838=P838,"Sí","No"),"")</f>
        <v/>
      </c>
      <c r="S838" s="25">
        <f>IF(Q838=1,IF(P838&lt;O838,"Más estricto",IF(P838&gt;O838,"Más permisivo","Igual")),"")</f>
        <v/>
      </c>
      <c r="T838" s="25">
        <f>IF(Q838=1,IF(ABS(O838-P838)=2,1,0),"")</f>
        <v/>
      </c>
      <c r="U838" s="25">
        <f>IF(H838="","","|"&amp;SUBSTITUTE(SUBSTITUTE(TRIM(H838)," |","|"),"| ","|")&amp;"|")</f>
        <v/>
      </c>
      <c r="V838" s="25">
        <f>IF(AND(Q838=1,B838&lt;&gt;""),IF(IFERROR(COUNTIFS(B$3:B838,"="&amp;SUBSTITUTE(SUBSTITUTE(SUBSTITUTE(B838,"~","~~"),"*","~*"),"?","~?"),Q$3:Q838,1),0)=1,MAX(V$2:V837)+1,""),"")</f>
        <v/>
      </c>
      <c r="W838" s="25">
        <f>IF(V838="","",COUNTIFS($B$3:$B$1002,"="&amp;SUBSTITUTE(SUBSTITUTE(SUBSTITUTE(B838,"~","~~"),"*","~*"),"?","~?"),$Q$3:$Q$1002,1)*10000-V838)</f>
        <v/>
      </c>
      <c r="X838" s="25">
        <f>IF(Q838=1,IF(SUBSTITUTE(SUBSTITUTE(SUBSTITUTE(SUBSTITUTE(SUBSTITUTE(SUBSTITUTE(SUBSTITUTE(SUBSTITUTE(SUBSTITUTE(SUBSTITUTE(SUBSTITUTE(SUBSTITUTE(LOWER(TRIM(A838)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838)),"á","a"),"é","e"),"í","i"),"ó","o"),"ú","u"),"ü","u"),"ñ","n"),"à","a"),"è","e"),"ì","i"),"ò","o"),"ù","u")),"")</f>
        <v/>
      </c>
      <c r="Y838" s="25">
        <f>IF(X838="","",IF(IFERROR(COUNTIF(X$3:X838,"="&amp;SUBSTITUTE(SUBSTITUTE(SUBSTITUTE(X838,"~","~~"),"*","~*"),"?","~?")),0)=1,1,""))</f>
        <v/>
      </c>
      <c r="Z838" s="25">
        <f>IF(T838=1,MAX(Z$2:Z837)+1,"")</f>
        <v/>
      </c>
    </row>
    <row r="839">
      <c r="A839">
        <f>IF(A$2=0,"",IFERROR(TRIM(INDEX('Pegar calibracion'!$A$1:$BZ$1001,838,A$2)&amp;""),""))</f>
        <v/>
      </c>
      <c r="B839">
        <f>IF(B$2=0,"",IFERROR(TRIM(INDEX('Pegar calibracion'!$A$1:$BZ$1001,838,B$2)&amp;""),""))</f>
        <v/>
      </c>
      <c r="C839">
        <f>IF(C$2=0,"",IFERROR(TRIM(INDEX('Pegar calibracion'!$A$1:$BZ$1001,838,C$2)&amp;""),""))</f>
        <v/>
      </c>
      <c r="D839">
        <f>IF(D$2=0,"",IFERROR(TRIM(INDEX('Pegar calibracion'!$A$1:$BZ$1001,838,D$2)&amp;""),""))</f>
        <v/>
      </c>
      <c r="E839">
        <f>IF(E$2=0,"",IFERROR(TRIM(INDEX('Pegar calibracion'!$A$1:$BZ$1001,838,E$2)&amp;""),""))</f>
        <v/>
      </c>
      <c r="F839">
        <f>IF(F$2=0,"",IFERROR(TRIM(INDEX('Pegar calibracion'!$A$1:$BZ$1001,838,F$2)&amp;""),""))</f>
        <v/>
      </c>
      <c r="G839">
        <f>IF(G$2=0,"",IFERROR(TRIM(INDEX('Pegar calibracion'!$A$1:$BZ$1001,838,G$2)&amp;""),""))</f>
        <v/>
      </c>
      <c r="H839">
        <f>IF(H$2=0,"",IFERROR(TRIM(INDEX('Pegar calibracion'!$A$1:$BZ$1001,838,H$2)&amp;""),""))</f>
        <v/>
      </c>
      <c r="I839">
        <f>IF(I$2=0,"",IFERROR(TRIM(INDEX('Pegar calibracion'!$A$1:$BZ$1001,838,I$2)&amp;""),""))</f>
        <v/>
      </c>
      <c r="J839">
        <f>IF(J$2=0,"",IFERROR(TRIM(INDEX('Pegar calibracion'!$A$1:$BZ$1001,838,J$2)&amp;""),""))</f>
        <v/>
      </c>
      <c r="K839">
        <f>IF(K$2=0,"",IFERROR(TRIM(INDEX('Pegar calibracion'!$A$1:$BZ$1001,838,K$2)&amp;""),""))</f>
        <v/>
      </c>
      <c r="L839">
        <f>IF(L$2=0,"",IFERROR(TRIM(INDEX('Pegar calibracion'!$A$1:$BZ$1001,838,L$2)&amp;""),""))</f>
        <v/>
      </c>
      <c r="M839" s="25">
        <f>IF(D839="","",SUBSTITUTE(SUBSTITUTE(SUBSTITUTE(SUBSTITUTE(SUBSTITUTE(SUBSTITUTE(SUBSTITUTE(SUBSTITUTE(SUBSTITUTE(SUBSTITUTE(SUBSTITUTE(SUBSTITUTE(LOWER(TRIM(D839)),"á","a"),"é","e"),"í","i"),"ó","o"),"ú","u"),"ü","u"),"ñ","n"),"à","a"),"è","e"),"ì","i"),"ò","o"),"ù","u"))</f>
        <v/>
      </c>
      <c r="N839" s="25">
        <f>IF(F839="","",SUBSTITUTE(SUBSTITUTE(SUBSTITUTE(SUBSTITUTE(SUBSTITUTE(SUBSTITUTE(SUBSTITUTE(SUBSTITUTE(SUBSTITUTE(SUBSTITUTE(SUBSTITUTE(SUBSTITUTE(LOWER(TRIM(F839)),"á","a"),"é","e"),"í","i"),"ó","o"),"ú","u"),"ü","u"),"ñ","n"),"à","a"),"è","e"),"ì","i"),"ò","o"),"ù","u"))</f>
        <v/>
      </c>
      <c r="O839" s="25">
        <f>IF(M839="confiable",2,IF(M839="dudosa",1,IF(M839="no confiable",0,"")))</f>
        <v/>
      </c>
      <c r="P839" s="25">
        <f>IF(N839="confiable",2,IF(N839="dudosa",1,IF(N839="no confiable",0,"")))</f>
        <v/>
      </c>
      <c r="Q839" s="25">
        <f>IF(AND(ISNUMBER(O839),ISNUMBER(P839)),1,"")</f>
        <v/>
      </c>
      <c r="R839" s="25">
        <f>IF(Q839=1,IF(O839=P839,"Sí","No"),"")</f>
        <v/>
      </c>
      <c r="S839" s="25">
        <f>IF(Q839=1,IF(P839&lt;O839,"Más estricto",IF(P839&gt;O839,"Más permisivo","Igual")),"")</f>
        <v/>
      </c>
      <c r="T839" s="25">
        <f>IF(Q839=1,IF(ABS(O839-P839)=2,1,0),"")</f>
        <v/>
      </c>
      <c r="U839" s="25">
        <f>IF(H839="","","|"&amp;SUBSTITUTE(SUBSTITUTE(TRIM(H839)," |","|"),"| ","|")&amp;"|")</f>
        <v/>
      </c>
      <c r="V839" s="25">
        <f>IF(AND(Q839=1,B839&lt;&gt;""),IF(IFERROR(COUNTIFS(B$3:B839,"="&amp;SUBSTITUTE(SUBSTITUTE(SUBSTITUTE(B839,"~","~~"),"*","~*"),"?","~?"),Q$3:Q839,1),0)=1,MAX(V$2:V838)+1,""),"")</f>
        <v/>
      </c>
      <c r="W839" s="25">
        <f>IF(V839="","",COUNTIFS($B$3:$B$1002,"="&amp;SUBSTITUTE(SUBSTITUTE(SUBSTITUTE(B839,"~","~~"),"*","~*"),"?","~?"),$Q$3:$Q$1002,1)*10000-V839)</f>
        <v/>
      </c>
      <c r="X839" s="25">
        <f>IF(Q839=1,IF(SUBSTITUTE(SUBSTITUTE(SUBSTITUTE(SUBSTITUTE(SUBSTITUTE(SUBSTITUTE(SUBSTITUTE(SUBSTITUTE(SUBSTITUTE(SUBSTITUTE(SUBSTITUTE(SUBSTITUTE(LOWER(TRIM(A839)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839)),"á","a"),"é","e"),"í","i"),"ó","o"),"ú","u"),"ü","u"),"ñ","n"),"à","a"),"è","e"),"ì","i"),"ò","o"),"ù","u")),"")</f>
        <v/>
      </c>
      <c r="Y839" s="25">
        <f>IF(X839="","",IF(IFERROR(COUNTIF(X$3:X839,"="&amp;SUBSTITUTE(SUBSTITUTE(SUBSTITUTE(X839,"~","~~"),"*","~*"),"?","~?")),0)=1,1,""))</f>
        <v/>
      </c>
      <c r="Z839" s="25">
        <f>IF(T839=1,MAX(Z$2:Z838)+1,"")</f>
        <v/>
      </c>
    </row>
    <row r="840">
      <c r="A840">
        <f>IF(A$2=0,"",IFERROR(TRIM(INDEX('Pegar calibracion'!$A$1:$BZ$1001,839,A$2)&amp;""),""))</f>
        <v/>
      </c>
      <c r="B840">
        <f>IF(B$2=0,"",IFERROR(TRIM(INDEX('Pegar calibracion'!$A$1:$BZ$1001,839,B$2)&amp;""),""))</f>
        <v/>
      </c>
      <c r="C840">
        <f>IF(C$2=0,"",IFERROR(TRIM(INDEX('Pegar calibracion'!$A$1:$BZ$1001,839,C$2)&amp;""),""))</f>
        <v/>
      </c>
      <c r="D840">
        <f>IF(D$2=0,"",IFERROR(TRIM(INDEX('Pegar calibracion'!$A$1:$BZ$1001,839,D$2)&amp;""),""))</f>
        <v/>
      </c>
      <c r="E840">
        <f>IF(E$2=0,"",IFERROR(TRIM(INDEX('Pegar calibracion'!$A$1:$BZ$1001,839,E$2)&amp;""),""))</f>
        <v/>
      </c>
      <c r="F840">
        <f>IF(F$2=0,"",IFERROR(TRIM(INDEX('Pegar calibracion'!$A$1:$BZ$1001,839,F$2)&amp;""),""))</f>
        <v/>
      </c>
      <c r="G840">
        <f>IF(G$2=0,"",IFERROR(TRIM(INDEX('Pegar calibracion'!$A$1:$BZ$1001,839,G$2)&amp;""),""))</f>
        <v/>
      </c>
      <c r="H840">
        <f>IF(H$2=0,"",IFERROR(TRIM(INDEX('Pegar calibracion'!$A$1:$BZ$1001,839,H$2)&amp;""),""))</f>
        <v/>
      </c>
      <c r="I840">
        <f>IF(I$2=0,"",IFERROR(TRIM(INDEX('Pegar calibracion'!$A$1:$BZ$1001,839,I$2)&amp;""),""))</f>
        <v/>
      </c>
      <c r="J840">
        <f>IF(J$2=0,"",IFERROR(TRIM(INDEX('Pegar calibracion'!$A$1:$BZ$1001,839,J$2)&amp;""),""))</f>
        <v/>
      </c>
      <c r="K840">
        <f>IF(K$2=0,"",IFERROR(TRIM(INDEX('Pegar calibracion'!$A$1:$BZ$1001,839,K$2)&amp;""),""))</f>
        <v/>
      </c>
      <c r="L840">
        <f>IF(L$2=0,"",IFERROR(TRIM(INDEX('Pegar calibracion'!$A$1:$BZ$1001,839,L$2)&amp;""),""))</f>
        <v/>
      </c>
      <c r="M840" s="25">
        <f>IF(D840="","",SUBSTITUTE(SUBSTITUTE(SUBSTITUTE(SUBSTITUTE(SUBSTITUTE(SUBSTITUTE(SUBSTITUTE(SUBSTITUTE(SUBSTITUTE(SUBSTITUTE(SUBSTITUTE(SUBSTITUTE(LOWER(TRIM(D840)),"á","a"),"é","e"),"í","i"),"ó","o"),"ú","u"),"ü","u"),"ñ","n"),"à","a"),"è","e"),"ì","i"),"ò","o"),"ù","u"))</f>
        <v/>
      </c>
      <c r="N840" s="25">
        <f>IF(F840="","",SUBSTITUTE(SUBSTITUTE(SUBSTITUTE(SUBSTITUTE(SUBSTITUTE(SUBSTITUTE(SUBSTITUTE(SUBSTITUTE(SUBSTITUTE(SUBSTITUTE(SUBSTITUTE(SUBSTITUTE(LOWER(TRIM(F840)),"á","a"),"é","e"),"í","i"),"ó","o"),"ú","u"),"ü","u"),"ñ","n"),"à","a"),"è","e"),"ì","i"),"ò","o"),"ù","u"))</f>
        <v/>
      </c>
      <c r="O840" s="25">
        <f>IF(M840="confiable",2,IF(M840="dudosa",1,IF(M840="no confiable",0,"")))</f>
        <v/>
      </c>
      <c r="P840" s="25">
        <f>IF(N840="confiable",2,IF(N840="dudosa",1,IF(N840="no confiable",0,"")))</f>
        <v/>
      </c>
      <c r="Q840" s="25">
        <f>IF(AND(ISNUMBER(O840),ISNUMBER(P840)),1,"")</f>
        <v/>
      </c>
      <c r="R840" s="25">
        <f>IF(Q840=1,IF(O840=P840,"Sí","No"),"")</f>
        <v/>
      </c>
      <c r="S840" s="25">
        <f>IF(Q840=1,IF(P840&lt;O840,"Más estricto",IF(P840&gt;O840,"Más permisivo","Igual")),"")</f>
        <v/>
      </c>
      <c r="T840" s="25">
        <f>IF(Q840=1,IF(ABS(O840-P840)=2,1,0),"")</f>
        <v/>
      </c>
      <c r="U840" s="25">
        <f>IF(H840="","","|"&amp;SUBSTITUTE(SUBSTITUTE(TRIM(H840)," |","|"),"| ","|")&amp;"|")</f>
        <v/>
      </c>
      <c r="V840" s="25">
        <f>IF(AND(Q840=1,B840&lt;&gt;""),IF(IFERROR(COUNTIFS(B$3:B840,"="&amp;SUBSTITUTE(SUBSTITUTE(SUBSTITUTE(B840,"~","~~"),"*","~*"),"?","~?"),Q$3:Q840,1),0)=1,MAX(V$2:V839)+1,""),"")</f>
        <v/>
      </c>
      <c r="W840" s="25">
        <f>IF(V840="","",COUNTIFS($B$3:$B$1002,"="&amp;SUBSTITUTE(SUBSTITUTE(SUBSTITUTE(B840,"~","~~"),"*","~*"),"?","~?"),$Q$3:$Q$1002,1)*10000-V840)</f>
        <v/>
      </c>
      <c r="X840" s="25">
        <f>IF(Q840=1,IF(SUBSTITUTE(SUBSTITUTE(SUBSTITUTE(SUBSTITUTE(SUBSTITUTE(SUBSTITUTE(SUBSTITUTE(SUBSTITUTE(SUBSTITUTE(SUBSTITUTE(SUBSTITUTE(SUBSTITUTE(LOWER(TRIM(A840)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840)),"á","a"),"é","e"),"í","i"),"ó","o"),"ú","u"),"ü","u"),"ñ","n"),"à","a"),"è","e"),"ì","i"),"ò","o"),"ù","u")),"")</f>
        <v/>
      </c>
      <c r="Y840" s="25">
        <f>IF(X840="","",IF(IFERROR(COUNTIF(X$3:X840,"="&amp;SUBSTITUTE(SUBSTITUTE(SUBSTITUTE(X840,"~","~~"),"*","~*"),"?","~?")),0)=1,1,""))</f>
        <v/>
      </c>
      <c r="Z840" s="25">
        <f>IF(T840=1,MAX(Z$2:Z839)+1,"")</f>
        <v/>
      </c>
    </row>
    <row r="841">
      <c r="A841">
        <f>IF(A$2=0,"",IFERROR(TRIM(INDEX('Pegar calibracion'!$A$1:$BZ$1001,840,A$2)&amp;""),""))</f>
        <v/>
      </c>
      <c r="B841">
        <f>IF(B$2=0,"",IFERROR(TRIM(INDEX('Pegar calibracion'!$A$1:$BZ$1001,840,B$2)&amp;""),""))</f>
        <v/>
      </c>
      <c r="C841">
        <f>IF(C$2=0,"",IFERROR(TRIM(INDEX('Pegar calibracion'!$A$1:$BZ$1001,840,C$2)&amp;""),""))</f>
        <v/>
      </c>
      <c r="D841">
        <f>IF(D$2=0,"",IFERROR(TRIM(INDEX('Pegar calibracion'!$A$1:$BZ$1001,840,D$2)&amp;""),""))</f>
        <v/>
      </c>
      <c r="E841">
        <f>IF(E$2=0,"",IFERROR(TRIM(INDEX('Pegar calibracion'!$A$1:$BZ$1001,840,E$2)&amp;""),""))</f>
        <v/>
      </c>
      <c r="F841">
        <f>IF(F$2=0,"",IFERROR(TRIM(INDEX('Pegar calibracion'!$A$1:$BZ$1001,840,F$2)&amp;""),""))</f>
        <v/>
      </c>
      <c r="G841">
        <f>IF(G$2=0,"",IFERROR(TRIM(INDEX('Pegar calibracion'!$A$1:$BZ$1001,840,G$2)&amp;""),""))</f>
        <v/>
      </c>
      <c r="H841">
        <f>IF(H$2=0,"",IFERROR(TRIM(INDEX('Pegar calibracion'!$A$1:$BZ$1001,840,H$2)&amp;""),""))</f>
        <v/>
      </c>
      <c r="I841">
        <f>IF(I$2=0,"",IFERROR(TRIM(INDEX('Pegar calibracion'!$A$1:$BZ$1001,840,I$2)&amp;""),""))</f>
        <v/>
      </c>
      <c r="J841">
        <f>IF(J$2=0,"",IFERROR(TRIM(INDEX('Pegar calibracion'!$A$1:$BZ$1001,840,J$2)&amp;""),""))</f>
        <v/>
      </c>
      <c r="K841">
        <f>IF(K$2=0,"",IFERROR(TRIM(INDEX('Pegar calibracion'!$A$1:$BZ$1001,840,K$2)&amp;""),""))</f>
        <v/>
      </c>
      <c r="L841">
        <f>IF(L$2=0,"",IFERROR(TRIM(INDEX('Pegar calibracion'!$A$1:$BZ$1001,840,L$2)&amp;""),""))</f>
        <v/>
      </c>
      <c r="M841" s="25">
        <f>IF(D841="","",SUBSTITUTE(SUBSTITUTE(SUBSTITUTE(SUBSTITUTE(SUBSTITUTE(SUBSTITUTE(SUBSTITUTE(SUBSTITUTE(SUBSTITUTE(SUBSTITUTE(SUBSTITUTE(SUBSTITUTE(LOWER(TRIM(D841)),"á","a"),"é","e"),"í","i"),"ó","o"),"ú","u"),"ü","u"),"ñ","n"),"à","a"),"è","e"),"ì","i"),"ò","o"),"ù","u"))</f>
        <v/>
      </c>
      <c r="N841" s="25">
        <f>IF(F841="","",SUBSTITUTE(SUBSTITUTE(SUBSTITUTE(SUBSTITUTE(SUBSTITUTE(SUBSTITUTE(SUBSTITUTE(SUBSTITUTE(SUBSTITUTE(SUBSTITUTE(SUBSTITUTE(SUBSTITUTE(LOWER(TRIM(F841)),"á","a"),"é","e"),"í","i"),"ó","o"),"ú","u"),"ü","u"),"ñ","n"),"à","a"),"è","e"),"ì","i"),"ò","o"),"ù","u"))</f>
        <v/>
      </c>
      <c r="O841" s="25">
        <f>IF(M841="confiable",2,IF(M841="dudosa",1,IF(M841="no confiable",0,"")))</f>
        <v/>
      </c>
      <c r="P841" s="25">
        <f>IF(N841="confiable",2,IF(N841="dudosa",1,IF(N841="no confiable",0,"")))</f>
        <v/>
      </c>
      <c r="Q841" s="25">
        <f>IF(AND(ISNUMBER(O841),ISNUMBER(P841)),1,"")</f>
        <v/>
      </c>
      <c r="R841" s="25">
        <f>IF(Q841=1,IF(O841=P841,"Sí","No"),"")</f>
        <v/>
      </c>
      <c r="S841" s="25">
        <f>IF(Q841=1,IF(P841&lt;O841,"Más estricto",IF(P841&gt;O841,"Más permisivo","Igual")),"")</f>
        <v/>
      </c>
      <c r="T841" s="25">
        <f>IF(Q841=1,IF(ABS(O841-P841)=2,1,0),"")</f>
        <v/>
      </c>
      <c r="U841" s="25">
        <f>IF(H841="","","|"&amp;SUBSTITUTE(SUBSTITUTE(TRIM(H841)," |","|"),"| ","|")&amp;"|")</f>
        <v/>
      </c>
      <c r="V841" s="25">
        <f>IF(AND(Q841=1,B841&lt;&gt;""),IF(IFERROR(COUNTIFS(B$3:B841,"="&amp;SUBSTITUTE(SUBSTITUTE(SUBSTITUTE(B841,"~","~~"),"*","~*"),"?","~?"),Q$3:Q841,1),0)=1,MAX(V$2:V840)+1,""),"")</f>
        <v/>
      </c>
      <c r="W841" s="25">
        <f>IF(V841="","",COUNTIFS($B$3:$B$1002,"="&amp;SUBSTITUTE(SUBSTITUTE(SUBSTITUTE(B841,"~","~~"),"*","~*"),"?","~?"),$Q$3:$Q$1002,1)*10000-V841)</f>
        <v/>
      </c>
      <c r="X841" s="25">
        <f>IF(Q841=1,IF(SUBSTITUTE(SUBSTITUTE(SUBSTITUTE(SUBSTITUTE(SUBSTITUTE(SUBSTITUTE(SUBSTITUTE(SUBSTITUTE(SUBSTITUTE(SUBSTITUTE(SUBSTITUTE(SUBSTITUTE(LOWER(TRIM(A841)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841)),"á","a"),"é","e"),"í","i"),"ó","o"),"ú","u"),"ü","u"),"ñ","n"),"à","a"),"è","e"),"ì","i"),"ò","o"),"ù","u")),"")</f>
        <v/>
      </c>
      <c r="Y841" s="25">
        <f>IF(X841="","",IF(IFERROR(COUNTIF(X$3:X841,"="&amp;SUBSTITUTE(SUBSTITUTE(SUBSTITUTE(X841,"~","~~"),"*","~*"),"?","~?")),0)=1,1,""))</f>
        <v/>
      </c>
      <c r="Z841" s="25">
        <f>IF(T841=1,MAX(Z$2:Z840)+1,"")</f>
        <v/>
      </c>
    </row>
    <row r="842">
      <c r="A842">
        <f>IF(A$2=0,"",IFERROR(TRIM(INDEX('Pegar calibracion'!$A$1:$BZ$1001,841,A$2)&amp;""),""))</f>
        <v/>
      </c>
      <c r="B842">
        <f>IF(B$2=0,"",IFERROR(TRIM(INDEX('Pegar calibracion'!$A$1:$BZ$1001,841,B$2)&amp;""),""))</f>
        <v/>
      </c>
      <c r="C842">
        <f>IF(C$2=0,"",IFERROR(TRIM(INDEX('Pegar calibracion'!$A$1:$BZ$1001,841,C$2)&amp;""),""))</f>
        <v/>
      </c>
      <c r="D842">
        <f>IF(D$2=0,"",IFERROR(TRIM(INDEX('Pegar calibracion'!$A$1:$BZ$1001,841,D$2)&amp;""),""))</f>
        <v/>
      </c>
      <c r="E842">
        <f>IF(E$2=0,"",IFERROR(TRIM(INDEX('Pegar calibracion'!$A$1:$BZ$1001,841,E$2)&amp;""),""))</f>
        <v/>
      </c>
      <c r="F842">
        <f>IF(F$2=0,"",IFERROR(TRIM(INDEX('Pegar calibracion'!$A$1:$BZ$1001,841,F$2)&amp;""),""))</f>
        <v/>
      </c>
      <c r="G842">
        <f>IF(G$2=0,"",IFERROR(TRIM(INDEX('Pegar calibracion'!$A$1:$BZ$1001,841,G$2)&amp;""),""))</f>
        <v/>
      </c>
      <c r="H842">
        <f>IF(H$2=0,"",IFERROR(TRIM(INDEX('Pegar calibracion'!$A$1:$BZ$1001,841,H$2)&amp;""),""))</f>
        <v/>
      </c>
      <c r="I842">
        <f>IF(I$2=0,"",IFERROR(TRIM(INDEX('Pegar calibracion'!$A$1:$BZ$1001,841,I$2)&amp;""),""))</f>
        <v/>
      </c>
      <c r="J842">
        <f>IF(J$2=0,"",IFERROR(TRIM(INDEX('Pegar calibracion'!$A$1:$BZ$1001,841,J$2)&amp;""),""))</f>
        <v/>
      </c>
      <c r="K842">
        <f>IF(K$2=0,"",IFERROR(TRIM(INDEX('Pegar calibracion'!$A$1:$BZ$1001,841,K$2)&amp;""),""))</f>
        <v/>
      </c>
      <c r="L842">
        <f>IF(L$2=0,"",IFERROR(TRIM(INDEX('Pegar calibracion'!$A$1:$BZ$1001,841,L$2)&amp;""),""))</f>
        <v/>
      </c>
      <c r="M842" s="25">
        <f>IF(D842="","",SUBSTITUTE(SUBSTITUTE(SUBSTITUTE(SUBSTITUTE(SUBSTITUTE(SUBSTITUTE(SUBSTITUTE(SUBSTITUTE(SUBSTITUTE(SUBSTITUTE(SUBSTITUTE(SUBSTITUTE(LOWER(TRIM(D842)),"á","a"),"é","e"),"í","i"),"ó","o"),"ú","u"),"ü","u"),"ñ","n"),"à","a"),"è","e"),"ì","i"),"ò","o"),"ù","u"))</f>
        <v/>
      </c>
      <c r="N842" s="25">
        <f>IF(F842="","",SUBSTITUTE(SUBSTITUTE(SUBSTITUTE(SUBSTITUTE(SUBSTITUTE(SUBSTITUTE(SUBSTITUTE(SUBSTITUTE(SUBSTITUTE(SUBSTITUTE(SUBSTITUTE(SUBSTITUTE(LOWER(TRIM(F842)),"á","a"),"é","e"),"í","i"),"ó","o"),"ú","u"),"ü","u"),"ñ","n"),"à","a"),"è","e"),"ì","i"),"ò","o"),"ù","u"))</f>
        <v/>
      </c>
      <c r="O842" s="25">
        <f>IF(M842="confiable",2,IF(M842="dudosa",1,IF(M842="no confiable",0,"")))</f>
        <v/>
      </c>
      <c r="P842" s="25">
        <f>IF(N842="confiable",2,IF(N842="dudosa",1,IF(N842="no confiable",0,"")))</f>
        <v/>
      </c>
      <c r="Q842" s="25">
        <f>IF(AND(ISNUMBER(O842),ISNUMBER(P842)),1,"")</f>
        <v/>
      </c>
      <c r="R842" s="25">
        <f>IF(Q842=1,IF(O842=P842,"Sí","No"),"")</f>
        <v/>
      </c>
      <c r="S842" s="25">
        <f>IF(Q842=1,IF(P842&lt;O842,"Más estricto",IF(P842&gt;O842,"Más permisivo","Igual")),"")</f>
        <v/>
      </c>
      <c r="T842" s="25">
        <f>IF(Q842=1,IF(ABS(O842-P842)=2,1,0),"")</f>
        <v/>
      </c>
      <c r="U842" s="25">
        <f>IF(H842="","","|"&amp;SUBSTITUTE(SUBSTITUTE(TRIM(H842)," |","|"),"| ","|")&amp;"|")</f>
        <v/>
      </c>
      <c r="V842" s="25">
        <f>IF(AND(Q842=1,B842&lt;&gt;""),IF(IFERROR(COUNTIFS(B$3:B842,"="&amp;SUBSTITUTE(SUBSTITUTE(SUBSTITUTE(B842,"~","~~"),"*","~*"),"?","~?"),Q$3:Q842,1),0)=1,MAX(V$2:V841)+1,""),"")</f>
        <v/>
      </c>
      <c r="W842" s="25">
        <f>IF(V842="","",COUNTIFS($B$3:$B$1002,"="&amp;SUBSTITUTE(SUBSTITUTE(SUBSTITUTE(B842,"~","~~"),"*","~*"),"?","~?"),$Q$3:$Q$1002,1)*10000-V842)</f>
        <v/>
      </c>
      <c r="X842" s="25">
        <f>IF(Q842=1,IF(SUBSTITUTE(SUBSTITUTE(SUBSTITUTE(SUBSTITUTE(SUBSTITUTE(SUBSTITUTE(SUBSTITUTE(SUBSTITUTE(SUBSTITUTE(SUBSTITUTE(SUBSTITUTE(SUBSTITUTE(LOWER(TRIM(A842)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842)),"á","a"),"é","e"),"í","i"),"ó","o"),"ú","u"),"ü","u"),"ñ","n"),"à","a"),"è","e"),"ì","i"),"ò","o"),"ù","u")),"")</f>
        <v/>
      </c>
      <c r="Y842" s="25">
        <f>IF(X842="","",IF(IFERROR(COUNTIF(X$3:X842,"="&amp;SUBSTITUTE(SUBSTITUTE(SUBSTITUTE(X842,"~","~~"),"*","~*"),"?","~?")),0)=1,1,""))</f>
        <v/>
      </c>
      <c r="Z842" s="25">
        <f>IF(T842=1,MAX(Z$2:Z841)+1,"")</f>
        <v/>
      </c>
    </row>
    <row r="843">
      <c r="A843">
        <f>IF(A$2=0,"",IFERROR(TRIM(INDEX('Pegar calibracion'!$A$1:$BZ$1001,842,A$2)&amp;""),""))</f>
        <v/>
      </c>
      <c r="B843">
        <f>IF(B$2=0,"",IFERROR(TRIM(INDEX('Pegar calibracion'!$A$1:$BZ$1001,842,B$2)&amp;""),""))</f>
        <v/>
      </c>
      <c r="C843">
        <f>IF(C$2=0,"",IFERROR(TRIM(INDEX('Pegar calibracion'!$A$1:$BZ$1001,842,C$2)&amp;""),""))</f>
        <v/>
      </c>
      <c r="D843">
        <f>IF(D$2=0,"",IFERROR(TRIM(INDEX('Pegar calibracion'!$A$1:$BZ$1001,842,D$2)&amp;""),""))</f>
        <v/>
      </c>
      <c r="E843">
        <f>IF(E$2=0,"",IFERROR(TRIM(INDEX('Pegar calibracion'!$A$1:$BZ$1001,842,E$2)&amp;""),""))</f>
        <v/>
      </c>
      <c r="F843">
        <f>IF(F$2=0,"",IFERROR(TRIM(INDEX('Pegar calibracion'!$A$1:$BZ$1001,842,F$2)&amp;""),""))</f>
        <v/>
      </c>
      <c r="G843">
        <f>IF(G$2=0,"",IFERROR(TRIM(INDEX('Pegar calibracion'!$A$1:$BZ$1001,842,G$2)&amp;""),""))</f>
        <v/>
      </c>
      <c r="H843">
        <f>IF(H$2=0,"",IFERROR(TRIM(INDEX('Pegar calibracion'!$A$1:$BZ$1001,842,H$2)&amp;""),""))</f>
        <v/>
      </c>
      <c r="I843">
        <f>IF(I$2=0,"",IFERROR(TRIM(INDEX('Pegar calibracion'!$A$1:$BZ$1001,842,I$2)&amp;""),""))</f>
        <v/>
      </c>
      <c r="J843">
        <f>IF(J$2=0,"",IFERROR(TRIM(INDEX('Pegar calibracion'!$A$1:$BZ$1001,842,J$2)&amp;""),""))</f>
        <v/>
      </c>
      <c r="K843">
        <f>IF(K$2=0,"",IFERROR(TRIM(INDEX('Pegar calibracion'!$A$1:$BZ$1001,842,K$2)&amp;""),""))</f>
        <v/>
      </c>
      <c r="L843">
        <f>IF(L$2=0,"",IFERROR(TRIM(INDEX('Pegar calibracion'!$A$1:$BZ$1001,842,L$2)&amp;""),""))</f>
        <v/>
      </c>
      <c r="M843" s="25">
        <f>IF(D843="","",SUBSTITUTE(SUBSTITUTE(SUBSTITUTE(SUBSTITUTE(SUBSTITUTE(SUBSTITUTE(SUBSTITUTE(SUBSTITUTE(SUBSTITUTE(SUBSTITUTE(SUBSTITUTE(SUBSTITUTE(LOWER(TRIM(D843)),"á","a"),"é","e"),"í","i"),"ó","o"),"ú","u"),"ü","u"),"ñ","n"),"à","a"),"è","e"),"ì","i"),"ò","o"),"ù","u"))</f>
        <v/>
      </c>
      <c r="N843" s="25">
        <f>IF(F843="","",SUBSTITUTE(SUBSTITUTE(SUBSTITUTE(SUBSTITUTE(SUBSTITUTE(SUBSTITUTE(SUBSTITUTE(SUBSTITUTE(SUBSTITUTE(SUBSTITUTE(SUBSTITUTE(SUBSTITUTE(LOWER(TRIM(F843)),"á","a"),"é","e"),"í","i"),"ó","o"),"ú","u"),"ü","u"),"ñ","n"),"à","a"),"è","e"),"ì","i"),"ò","o"),"ù","u"))</f>
        <v/>
      </c>
      <c r="O843" s="25">
        <f>IF(M843="confiable",2,IF(M843="dudosa",1,IF(M843="no confiable",0,"")))</f>
        <v/>
      </c>
      <c r="P843" s="25">
        <f>IF(N843="confiable",2,IF(N843="dudosa",1,IF(N843="no confiable",0,"")))</f>
        <v/>
      </c>
      <c r="Q843" s="25">
        <f>IF(AND(ISNUMBER(O843),ISNUMBER(P843)),1,"")</f>
        <v/>
      </c>
      <c r="R843" s="25">
        <f>IF(Q843=1,IF(O843=P843,"Sí","No"),"")</f>
        <v/>
      </c>
      <c r="S843" s="25">
        <f>IF(Q843=1,IF(P843&lt;O843,"Más estricto",IF(P843&gt;O843,"Más permisivo","Igual")),"")</f>
        <v/>
      </c>
      <c r="T843" s="25">
        <f>IF(Q843=1,IF(ABS(O843-P843)=2,1,0),"")</f>
        <v/>
      </c>
      <c r="U843" s="25">
        <f>IF(H843="","","|"&amp;SUBSTITUTE(SUBSTITUTE(TRIM(H843)," |","|"),"| ","|")&amp;"|")</f>
        <v/>
      </c>
      <c r="V843" s="25">
        <f>IF(AND(Q843=1,B843&lt;&gt;""),IF(IFERROR(COUNTIFS(B$3:B843,"="&amp;SUBSTITUTE(SUBSTITUTE(SUBSTITUTE(B843,"~","~~"),"*","~*"),"?","~?"),Q$3:Q843,1),0)=1,MAX(V$2:V842)+1,""),"")</f>
        <v/>
      </c>
      <c r="W843" s="25">
        <f>IF(V843="","",COUNTIFS($B$3:$B$1002,"="&amp;SUBSTITUTE(SUBSTITUTE(SUBSTITUTE(B843,"~","~~"),"*","~*"),"?","~?"),$Q$3:$Q$1002,1)*10000-V843)</f>
        <v/>
      </c>
      <c r="X843" s="25">
        <f>IF(Q843=1,IF(SUBSTITUTE(SUBSTITUTE(SUBSTITUTE(SUBSTITUTE(SUBSTITUTE(SUBSTITUTE(SUBSTITUTE(SUBSTITUTE(SUBSTITUTE(SUBSTITUTE(SUBSTITUTE(SUBSTITUTE(LOWER(TRIM(A843)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843)),"á","a"),"é","e"),"í","i"),"ó","o"),"ú","u"),"ü","u"),"ñ","n"),"à","a"),"è","e"),"ì","i"),"ò","o"),"ù","u")),"")</f>
        <v/>
      </c>
      <c r="Y843" s="25">
        <f>IF(X843="","",IF(IFERROR(COUNTIF(X$3:X843,"="&amp;SUBSTITUTE(SUBSTITUTE(SUBSTITUTE(X843,"~","~~"),"*","~*"),"?","~?")),0)=1,1,""))</f>
        <v/>
      </c>
      <c r="Z843" s="25">
        <f>IF(T843=1,MAX(Z$2:Z842)+1,"")</f>
        <v/>
      </c>
    </row>
    <row r="844">
      <c r="A844">
        <f>IF(A$2=0,"",IFERROR(TRIM(INDEX('Pegar calibracion'!$A$1:$BZ$1001,843,A$2)&amp;""),""))</f>
        <v/>
      </c>
      <c r="B844">
        <f>IF(B$2=0,"",IFERROR(TRIM(INDEX('Pegar calibracion'!$A$1:$BZ$1001,843,B$2)&amp;""),""))</f>
        <v/>
      </c>
      <c r="C844">
        <f>IF(C$2=0,"",IFERROR(TRIM(INDEX('Pegar calibracion'!$A$1:$BZ$1001,843,C$2)&amp;""),""))</f>
        <v/>
      </c>
      <c r="D844">
        <f>IF(D$2=0,"",IFERROR(TRIM(INDEX('Pegar calibracion'!$A$1:$BZ$1001,843,D$2)&amp;""),""))</f>
        <v/>
      </c>
      <c r="E844">
        <f>IF(E$2=0,"",IFERROR(TRIM(INDEX('Pegar calibracion'!$A$1:$BZ$1001,843,E$2)&amp;""),""))</f>
        <v/>
      </c>
      <c r="F844">
        <f>IF(F$2=0,"",IFERROR(TRIM(INDEX('Pegar calibracion'!$A$1:$BZ$1001,843,F$2)&amp;""),""))</f>
        <v/>
      </c>
      <c r="G844">
        <f>IF(G$2=0,"",IFERROR(TRIM(INDEX('Pegar calibracion'!$A$1:$BZ$1001,843,G$2)&amp;""),""))</f>
        <v/>
      </c>
      <c r="H844">
        <f>IF(H$2=0,"",IFERROR(TRIM(INDEX('Pegar calibracion'!$A$1:$BZ$1001,843,H$2)&amp;""),""))</f>
        <v/>
      </c>
      <c r="I844">
        <f>IF(I$2=0,"",IFERROR(TRIM(INDEX('Pegar calibracion'!$A$1:$BZ$1001,843,I$2)&amp;""),""))</f>
        <v/>
      </c>
      <c r="J844">
        <f>IF(J$2=0,"",IFERROR(TRIM(INDEX('Pegar calibracion'!$A$1:$BZ$1001,843,J$2)&amp;""),""))</f>
        <v/>
      </c>
      <c r="K844">
        <f>IF(K$2=0,"",IFERROR(TRIM(INDEX('Pegar calibracion'!$A$1:$BZ$1001,843,K$2)&amp;""),""))</f>
        <v/>
      </c>
      <c r="L844">
        <f>IF(L$2=0,"",IFERROR(TRIM(INDEX('Pegar calibracion'!$A$1:$BZ$1001,843,L$2)&amp;""),""))</f>
        <v/>
      </c>
      <c r="M844" s="25">
        <f>IF(D844="","",SUBSTITUTE(SUBSTITUTE(SUBSTITUTE(SUBSTITUTE(SUBSTITUTE(SUBSTITUTE(SUBSTITUTE(SUBSTITUTE(SUBSTITUTE(SUBSTITUTE(SUBSTITUTE(SUBSTITUTE(LOWER(TRIM(D844)),"á","a"),"é","e"),"í","i"),"ó","o"),"ú","u"),"ü","u"),"ñ","n"),"à","a"),"è","e"),"ì","i"),"ò","o"),"ù","u"))</f>
        <v/>
      </c>
      <c r="N844" s="25">
        <f>IF(F844="","",SUBSTITUTE(SUBSTITUTE(SUBSTITUTE(SUBSTITUTE(SUBSTITUTE(SUBSTITUTE(SUBSTITUTE(SUBSTITUTE(SUBSTITUTE(SUBSTITUTE(SUBSTITUTE(SUBSTITUTE(LOWER(TRIM(F844)),"á","a"),"é","e"),"í","i"),"ó","o"),"ú","u"),"ü","u"),"ñ","n"),"à","a"),"è","e"),"ì","i"),"ò","o"),"ù","u"))</f>
        <v/>
      </c>
      <c r="O844" s="25">
        <f>IF(M844="confiable",2,IF(M844="dudosa",1,IF(M844="no confiable",0,"")))</f>
        <v/>
      </c>
      <c r="P844" s="25">
        <f>IF(N844="confiable",2,IF(N844="dudosa",1,IF(N844="no confiable",0,"")))</f>
        <v/>
      </c>
      <c r="Q844" s="25">
        <f>IF(AND(ISNUMBER(O844),ISNUMBER(P844)),1,"")</f>
        <v/>
      </c>
      <c r="R844" s="25">
        <f>IF(Q844=1,IF(O844=P844,"Sí","No"),"")</f>
        <v/>
      </c>
      <c r="S844" s="25">
        <f>IF(Q844=1,IF(P844&lt;O844,"Más estricto",IF(P844&gt;O844,"Más permisivo","Igual")),"")</f>
        <v/>
      </c>
      <c r="T844" s="25">
        <f>IF(Q844=1,IF(ABS(O844-P844)=2,1,0),"")</f>
        <v/>
      </c>
      <c r="U844" s="25">
        <f>IF(H844="","","|"&amp;SUBSTITUTE(SUBSTITUTE(TRIM(H844)," |","|"),"| ","|")&amp;"|")</f>
        <v/>
      </c>
      <c r="V844" s="25">
        <f>IF(AND(Q844=1,B844&lt;&gt;""),IF(IFERROR(COUNTIFS(B$3:B844,"="&amp;SUBSTITUTE(SUBSTITUTE(SUBSTITUTE(B844,"~","~~"),"*","~*"),"?","~?"),Q$3:Q844,1),0)=1,MAX(V$2:V843)+1,""),"")</f>
        <v/>
      </c>
      <c r="W844" s="25">
        <f>IF(V844="","",COUNTIFS($B$3:$B$1002,"="&amp;SUBSTITUTE(SUBSTITUTE(SUBSTITUTE(B844,"~","~~"),"*","~*"),"?","~?"),$Q$3:$Q$1002,1)*10000-V844)</f>
        <v/>
      </c>
      <c r="X844" s="25">
        <f>IF(Q844=1,IF(SUBSTITUTE(SUBSTITUTE(SUBSTITUTE(SUBSTITUTE(SUBSTITUTE(SUBSTITUTE(SUBSTITUTE(SUBSTITUTE(SUBSTITUTE(SUBSTITUTE(SUBSTITUTE(SUBSTITUTE(LOWER(TRIM(A844)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844)),"á","a"),"é","e"),"í","i"),"ó","o"),"ú","u"),"ü","u"),"ñ","n"),"à","a"),"è","e"),"ì","i"),"ò","o"),"ù","u")),"")</f>
        <v/>
      </c>
      <c r="Y844" s="25">
        <f>IF(X844="","",IF(IFERROR(COUNTIF(X$3:X844,"="&amp;SUBSTITUTE(SUBSTITUTE(SUBSTITUTE(X844,"~","~~"),"*","~*"),"?","~?")),0)=1,1,""))</f>
        <v/>
      </c>
      <c r="Z844" s="25">
        <f>IF(T844=1,MAX(Z$2:Z843)+1,"")</f>
        <v/>
      </c>
    </row>
    <row r="845">
      <c r="A845">
        <f>IF(A$2=0,"",IFERROR(TRIM(INDEX('Pegar calibracion'!$A$1:$BZ$1001,844,A$2)&amp;""),""))</f>
        <v/>
      </c>
      <c r="B845">
        <f>IF(B$2=0,"",IFERROR(TRIM(INDEX('Pegar calibracion'!$A$1:$BZ$1001,844,B$2)&amp;""),""))</f>
        <v/>
      </c>
      <c r="C845">
        <f>IF(C$2=0,"",IFERROR(TRIM(INDEX('Pegar calibracion'!$A$1:$BZ$1001,844,C$2)&amp;""),""))</f>
        <v/>
      </c>
      <c r="D845">
        <f>IF(D$2=0,"",IFERROR(TRIM(INDEX('Pegar calibracion'!$A$1:$BZ$1001,844,D$2)&amp;""),""))</f>
        <v/>
      </c>
      <c r="E845">
        <f>IF(E$2=0,"",IFERROR(TRIM(INDEX('Pegar calibracion'!$A$1:$BZ$1001,844,E$2)&amp;""),""))</f>
        <v/>
      </c>
      <c r="F845">
        <f>IF(F$2=0,"",IFERROR(TRIM(INDEX('Pegar calibracion'!$A$1:$BZ$1001,844,F$2)&amp;""),""))</f>
        <v/>
      </c>
      <c r="G845">
        <f>IF(G$2=0,"",IFERROR(TRIM(INDEX('Pegar calibracion'!$A$1:$BZ$1001,844,G$2)&amp;""),""))</f>
        <v/>
      </c>
      <c r="H845">
        <f>IF(H$2=0,"",IFERROR(TRIM(INDEX('Pegar calibracion'!$A$1:$BZ$1001,844,H$2)&amp;""),""))</f>
        <v/>
      </c>
      <c r="I845">
        <f>IF(I$2=0,"",IFERROR(TRIM(INDEX('Pegar calibracion'!$A$1:$BZ$1001,844,I$2)&amp;""),""))</f>
        <v/>
      </c>
      <c r="J845">
        <f>IF(J$2=0,"",IFERROR(TRIM(INDEX('Pegar calibracion'!$A$1:$BZ$1001,844,J$2)&amp;""),""))</f>
        <v/>
      </c>
      <c r="K845">
        <f>IF(K$2=0,"",IFERROR(TRIM(INDEX('Pegar calibracion'!$A$1:$BZ$1001,844,K$2)&amp;""),""))</f>
        <v/>
      </c>
      <c r="L845">
        <f>IF(L$2=0,"",IFERROR(TRIM(INDEX('Pegar calibracion'!$A$1:$BZ$1001,844,L$2)&amp;""),""))</f>
        <v/>
      </c>
      <c r="M845" s="25">
        <f>IF(D845="","",SUBSTITUTE(SUBSTITUTE(SUBSTITUTE(SUBSTITUTE(SUBSTITUTE(SUBSTITUTE(SUBSTITUTE(SUBSTITUTE(SUBSTITUTE(SUBSTITUTE(SUBSTITUTE(SUBSTITUTE(LOWER(TRIM(D845)),"á","a"),"é","e"),"í","i"),"ó","o"),"ú","u"),"ü","u"),"ñ","n"),"à","a"),"è","e"),"ì","i"),"ò","o"),"ù","u"))</f>
        <v/>
      </c>
      <c r="N845" s="25">
        <f>IF(F845="","",SUBSTITUTE(SUBSTITUTE(SUBSTITUTE(SUBSTITUTE(SUBSTITUTE(SUBSTITUTE(SUBSTITUTE(SUBSTITUTE(SUBSTITUTE(SUBSTITUTE(SUBSTITUTE(SUBSTITUTE(LOWER(TRIM(F845)),"á","a"),"é","e"),"í","i"),"ó","o"),"ú","u"),"ü","u"),"ñ","n"),"à","a"),"è","e"),"ì","i"),"ò","o"),"ù","u"))</f>
        <v/>
      </c>
      <c r="O845" s="25">
        <f>IF(M845="confiable",2,IF(M845="dudosa",1,IF(M845="no confiable",0,"")))</f>
        <v/>
      </c>
      <c r="P845" s="25">
        <f>IF(N845="confiable",2,IF(N845="dudosa",1,IF(N845="no confiable",0,"")))</f>
        <v/>
      </c>
      <c r="Q845" s="25">
        <f>IF(AND(ISNUMBER(O845),ISNUMBER(P845)),1,"")</f>
        <v/>
      </c>
      <c r="R845" s="25">
        <f>IF(Q845=1,IF(O845=P845,"Sí","No"),"")</f>
        <v/>
      </c>
      <c r="S845" s="25">
        <f>IF(Q845=1,IF(P845&lt;O845,"Más estricto",IF(P845&gt;O845,"Más permisivo","Igual")),"")</f>
        <v/>
      </c>
      <c r="T845" s="25">
        <f>IF(Q845=1,IF(ABS(O845-P845)=2,1,0),"")</f>
        <v/>
      </c>
      <c r="U845" s="25">
        <f>IF(H845="","","|"&amp;SUBSTITUTE(SUBSTITUTE(TRIM(H845)," |","|"),"| ","|")&amp;"|")</f>
        <v/>
      </c>
      <c r="V845" s="25">
        <f>IF(AND(Q845=1,B845&lt;&gt;""),IF(IFERROR(COUNTIFS(B$3:B845,"="&amp;SUBSTITUTE(SUBSTITUTE(SUBSTITUTE(B845,"~","~~"),"*","~*"),"?","~?"),Q$3:Q845,1),0)=1,MAX(V$2:V844)+1,""),"")</f>
        <v/>
      </c>
      <c r="W845" s="25">
        <f>IF(V845="","",COUNTIFS($B$3:$B$1002,"="&amp;SUBSTITUTE(SUBSTITUTE(SUBSTITUTE(B845,"~","~~"),"*","~*"),"?","~?"),$Q$3:$Q$1002,1)*10000-V845)</f>
        <v/>
      </c>
      <c r="X845" s="25">
        <f>IF(Q845=1,IF(SUBSTITUTE(SUBSTITUTE(SUBSTITUTE(SUBSTITUTE(SUBSTITUTE(SUBSTITUTE(SUBSTITUTE(SUBSTITUTE(SUBSTITUTE(SUBSTITUTE(SUBSTITUTE(SUBSTITUTE(LOWER(TRIM(A845)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845)),"á","a"),"é","e"),"í","i"),"ó","o"),"ú","u"),"ü","u"),"ñ","n"),"à","a"),"è","e"),"ì","i"),"ò","o"),"ù","u")),"")</f>
        <v/>
      </c>
      <c r="Y845" s="25">
        <f>IF(X845="","",IF(IFERROR(COUNTIF(X$3:X845,"="&amp;SUBSTITUTE(SUBSTITUTE(SUBSTITUTE(X845,"~","~~"),"*","~*"),"?","~?")),0)=1,1,""))</f>
        <v/>
      </c>
      <c r="Z845" s="25">
        <f>IF(T845=1,MAX(Z$2:Z844)+1,"")</f>
        <v/>
      </c>
    </row>
    <row r="846">
      <c r="A846">
        <f>IF(A$2=0,"",IFERROR(TRIM(INDEX('Pegar calibracion'!$A$1:$BZ$1001,845,A$2)&amp;""),""))</f>
        <v/>
      </c>
      <c r="B846">
        <f>IF(B$2=0,"",IFERROR(TRIM(INDEX('Pegar calibracion'!$A$1:$BZ$1001,845,B$2)&amp;""),""))</f>
        <v/>
      </c>
      <c r="C846">
        <f>IF(C$2=0,"",IFERROR(TRIM(INDEX('Pegar calibracion'!$A$1:$BZ$1001,845,C$2)&amp;""),""))</f>
        <v/>
      </c>
      <c r="D846">
        <f>IF(D$2=0,"",IFERROR(TRIM(INDEX('Pegar calibracion'!$A$1:$BZ$1001,845,D$2)&amp;""),""))</f>
        <v/>
      </c>
      <c r="E846">
        <f>IF(E$2=0,"",IFERROR(TRIM(INDEX('Pegar calibracion'!$A$1:$BZ$1001,845,E$2)&amp;""),""))</f>
        <v/>
      </c>
      <c r="F846">
        <f>IF(F$2=0,"",IFERROR(TRIM(INDEX('Pegar calibracion'!$A$1:$BZ$1001,845,F$2)&amp;""),""))</f>
        <v/>
      </c>
      <c r="G846">
        <f>IF(G$2=0,"",IFERROR(TRIM(INDEX('Pegar calibracion'!$A$1:$BZ$1001,845,G$2)&amp;""),""))</f>
        <v/>
      </c>
      <c r="H846">
        <f>IF(H$2=0,"",IFERROR(TRIM(INDEX('Pegar calibracion'!$A$1:$BZ$1001,845,H$2)&amp;""),""))</f>
        <v/>
      </c>
      <c r="I846">
        <f>IF(I$2=0,"",IFERROR(TRIM(INDEX('Pegar calibracion'!$A$1:$BZ$1001,845,I$2)&amp;""),""))</f>
        <v/>
      </c>
      <c r="J846">
        <f>IF(J$2=0,"",IFERROR(TRIM(INDEX('Pegar calibracion'!$A$1:$BZ$1001,845,J$2)&amp;""),""))</f>
        <v/>
      </c>
      <c r="K846">
        <f>IF(K$2=0,"",IFERROR(TRIM(INDEX('Pegar calibracion'!$A$1:$BZ$1001,845,K$2)&amp;""),""))</f>
        <v/>
      </c>
      <c r="L846">
        <f>IF(L$2=0,"",IFERROR(TRIM(INDEX('Pegar calibracion'!$A$1:$BZ$1001,845,L$2)&amp;""),""))</f>
        <v/>
      </c>
      <c r="M846" s="25">
        <f>IF(D846="","",SUBSTITUTE(SUBSTITUTE(SUBSTITUTE(SUBSTITUTE(SUBSTITUTE(SUBSTITUTE(SUBSTITUTE(SUBSTITUTE(SUBSTITUTE(SUBSTITUTE(SUBSTITUTE(SUBSTITUTE(LOWER(TRIM(D846)),"á","a"),"é","e"),"í","i"),"ó","o"),"ú","u"),"ü","u"),"ñ","n"),"à","a"),"è","e"),"ì","i"),"ò","o"),"ù","u"))</f>
        <v/>
      </c>
      <c r="N846" s="25">
        <f>IF(F846="","",SUBSTITUTE(SUBSTITUTE(SUBSTITUTE(SUBSTITUTE(SUBSTITUTE(SUBSTITUTE(SUBSTITUTE(SUBSTITUTE(SUBSTITUTE(SUBSTITUTE(SUBSTITUTE(SUBSTITUTE(LOWER(TRIM(F846)),"á","a"),"é","e"),"í","i"),"ó","o"),"ú","u"),"ü","u"),"ñ","n"),"à","a"),"è","e"),"ì","i"),"ò","o"),"ù","u"))</f>
        <v/>
      </c>
      <c r="O846" s="25">
        <f>IF(M846="confiable",2,IF(M846="dudosa",1,IF(M846="no confiable",0,"")))</f>
        <v/>
      </c>
      <c r="P846" s="25">
        <f>IF(N846="confiable",2,IF(N846="dudosa",1,IF(N846="no confiable",0,"")))</f>
        <v/>
      </c>
      <c r="Q846" s="25">
        <f>IF(AND(ISNUMBER(O846),ISNUMBER(P846)),1,"")</f>
        <v/>
      </c>
      <c r="R846" s="25">
        <f>IF(Q846=1,IF(O846=P846,"Sí","No"),"")</f>
        <v/>
      </c>
      <c r="S846" s="25">
        <f>IF(Q846=1,IF(P846&lt;O846,"Más estricto",IF(P846&gt;O846,"Más permisivo","Igual")),"")</f>
        <v/>
      </c>
      <c r="T846" s="25">
        <f>IF(Q846=1,IF(ABS(O846-P846)=2,1,0),"")</f>
        <v/>
      </c>
      <c r="U846" s="25">
        <f>IF(H846="","","|"&amp;SUBSTITUTE(SUBSTITUTE(TRIM(H846)," |","|"),"| ","|")&amp;"|")</f>
        <v/>
      </c>
      <c r="V846" s="25">
        <f>IF(AND(Q846=1,B846&lt;&gt;""),IF(IFERROR(COUNTIFS(B$3:B846,"="&amp;SUBSTITUTE(SUBSTITUTE(SUBSTITUTE(B846,"~","~~"),"*","~*"),"?","~?"),Q$3:Q846,1),0)=1,MAX(V$2:V845)+1,""),"")</f>
        <v/>
      </c>
      <c r="W846" s="25">
        <f>IF(V846="","",COUNTIFS($B$3:$B$1002,"="&amp;SUBSTITUTE(SUBSTITUTE(SUBSTITUTE(B846,"~","~~"),"*","~*"),"?","~?"),$Q$3:$Q$1002,1)*10000-V846)</f>
        <v/>
      </c>
      <c r="X846" s="25">
        <f>IF(Q846=1,IF(SUBSTITUTE(SUBSTITUTE(SUBSTITUTE(SUBSTITUTE(SUBSTITUTE(SUBSTITUTE(SUBSTITUTE(SUBSTITUTE(SUBSTITUTE(SUBSTITUTE(SUBSTITUTE(SUBSTITUTE(LOWER(TRIM(A846)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846)),"á","a"),"é","e"),"í","i"),"ó","o"),"ú","u"),"ü","u"),"ñ","n"),"à","a"),"è","e"),"ì","i"),"ò","o"),"ù","u")),"")</f>
        <v/>
      </c>
      <c r="Y846" s="25">
        <f>IF(X846="","",IF(IFERROR(COUNTIF(X$3:X846,"="&amp;SUBSTITUTE(SUBSTITUTE(SUBSTITUTE(X846,"~","~~"),"*","~*"),"?","~?")),0)=1,1,""))</f>
        <v/>
      </c>
      <c r="Z846" s="25">
        <f>IF(T846=1,MAX(Z$2:Z845)+1,"")</f>
        <v/>
      </c>
    </row>
    <row r="847">
      <c r="A847">
        <f>IF(A$2=0,"",IFERROR(TRIM(INDEX('Pegar calibracion'!$A$1:$BZ$1001,846,A$2)&amp;""),""))</f>
        <v/>
      </c>
      <c r="B847">
        <f>IF(B$2=0,"",IFERROR(TRIM(INDEX('Pegar calibracion'!$A$1:$BZ$1001,846,B$2)&amp;""),""))</f>
        <v/>
      </c>
      <c r="C847">
        <f>IF(C$2=0,"",IFERROR(TRIM(INDEX('Pegar calibracion'!$A$1:$BZ$1001,846,C$2)&amp;""),""))</f>
        <v/>
      </c>
      <c r="D847">
        <f>IF(D$2=0,"",IFERROR(TRIM(INDEX('Pegar calibracion'!$A$1:$BZ$1001,846,D$2)&amp;""),""))</f>
        <v/>
      </c>
      <c r="E847">
        <f>IF(E$2=0,"",IFERROR(TRIM(INDEX('Pegar calibracion'!$A$1:$BZ$1001,846,E$2)&amp;""),""))</f>
        <v/>
      </c>
      <c r="F847">
        <f>IF(F$2=0,"",IFERROR(TRIM(INDEX('Pegar calibracion'!$A$1:$BZ$1001,846,F$2)&amp;""),""))</f>
        <v/>
      </c>
      <c r="G847">
        <f>IF(G$2=0,"",IFERROR(TRIM(INDEX('Pegar calibracion'!$A$1:$BZ$1001,846,G$2)&amp;""),""))</f>
        <v/>
      </c>
      <c r="H847">
        <f>IF(H$2=0,"",IFERROR(TRIM(INDEX('Pegar calibracion'!$A$1:$BZ$1001,846,H$2)&amp;""),""))</f>
        <v/>
      </c>
      <c r="I847">
        <f>IF(I$2=0,"",IFERROR(TRIM(INDEX('Pegar calibracion'!$A$1:$BZ$1001,846,I$2)&amp;""),""))</f>
        <v/>
      </c>
      <c r="J847">
        <f>IF(J$2=0,"",IFERROR(TRIM(INDEX('Pegar calibracion'!$A$1:$BZ$1001,846,J$2)&amp;""),""))</f>
        <v/>
      </c>
      <c r="K847">
        <f>IF(K$2=0,"",IFERROR(TRIM(INDEX('Pegar calibracion'!$A$1:$BZ$1001,846,K$2)&amp;""),""))</f>
        <v/>
      </c>
      <c r="L847">
        <f>IF(L$2=0,"",IFERROR(TRIM(INDEX('Pegar calibracion'!$A$1:$BZ$1001,846,L$2)&amp;""),""))</f>
        <v/>
      </c>
      <c r="M847" s="25">
        <f>IF(D847="","",SUBSTITUTE(SUBSTITUTE(SUBSTITUTE(SUBSTITUTE(SUBSTITUTE(SUBSTITUTE(SUBSTITUTE(SUBSTITUTE(SUBSTITUTE(SUBSTITUTE(SUBSTITUTE(SUBSTITUTE(LOWER(TRIM(D847)),"á","a"),"é","e"),"í","i"),"ó","o"),"ú","u"),"ü","u"),"ñ","n"),"à","a"),"è","e"),"ì","i"),"ò","o"),"ù","u"))</f>
        <v/>
      </c>
      <c r="N847" s="25">
        <f>IF(F847="","",SUBSTITUTE(SUBSTITUTE(SUBSTITUTE(SUBSTITUTE(SUBSTITUTE(SUBSTITUTE(SUBSTITUTE(SUBSTITUTE(SUBSTITUTE(SUBSTITUTE(SUBSTITUTE(SUBSTITUTE(LOWER(TRIM(F847)),"á","a"),"é","e"),"í","i"),"ó","o"),"ú","u"),"ü","u"),"ñ","n"),"à","a"),"è","e"),"ì","i"),"ò","o"),"ù","u"))</f>
        <v/>
      </c>
      <c r="O847" s="25">
        <f>IF(M847="confiable",2,IF(M847="dudosa",1,IF(M847="no confiable",0,"")))</f>
        <v/>
      </c>
      <c r="P847" s="25">
        <f>IF(N847="confiable",2,IF(N847="dudosa",1,IF(N847="no confiable",0,"")))</f>
        <v/>
      </c>
      <c r="Q847" s="25">
        <f>IF(AND(ISNUMBER(O847),ISNUMBER(P847)),1,"")</f>
        <v/>
      </c>
      <c r="R847" s="25">
        <f>IF(Q847=1,IF(O847=P847,"Sí","No"),"")</f>
        <v/>
      </c>
      <c r="S847" s="25">
        <f>IF(Q847=1,IF(P847&lt;O847,"Más estricto",IF(P847&gt;O847,"Más permisivo","Igual")),"")</f>
        <v/>
      </c>
      <c r="T847" s="25">
        <f>IF(Q847=1,IF(ABS(O847-P847)=2,1,0),"")</f>
        <v/>
      </c>
      <c r="U847" s="25">
        <f>IF(H847="","","|"&amp;SUBSTITUTE(SUBSTITUTE(TRIM(H847)," |","|"),"| ","|")&amp;"|")</f>
        <v/>
      </c>
      <c r="V847" s="25">
        <f>IF(AND(Q847=1,B847&lt;&gt;""),IF(IFERROR(COUNTIFS(B$3:B847,"="&amp;SUBSTITUTE(SUBSTITUTE(SUBSTITUTE(B847,"~","~~"),"*","~*"),"?","~?"),Q$3:Q847,1),0)=1,MAX(V$2:V846)+1,""),"")</f>
        <v/>
      </c>
      <c r="W847" s="25">
        <f>IF(V847="","",COUNTIFS($B$3:$B$1002,"="&amp;SUBSTITUTE(SUBSTITUTE(SUBSTITUTE(B847,"~","~~"),"*","~*"),"?","~?"),$Q$3:$Q$1002,1)*10000-V847)</f>
        <v/>
      </c>
      <c r="X847" s="25">
        <f>IF(Q847=1,IF(SUBSTITUTE(SUBSTITUTE(SUBSTITUTE(SUBSTITUTE(SUBSTITUTE(SUBSTITUTE(SUBSTITUTE(SUBSTITUTE(SUBSTITUTE(SUBSTITUTE(SUBSTITUTE(SUBSTITUTE(LOWER(TRIM(A847)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847)),"á","a"),"é","e"),"í","i"),"ó","o"),"ú","u"),"ü","u"),"ñ","n"),"à","a"),"è","e"),"ì","i"),"ò","o"),"ù","u")),"")</f>
        <v/>
      </c>
      <c r="Y847" s="25">
        <f>IF(X847="","",IF(IFERROR(COUNTIF(X$3:X847,"="&amp;SUBSTITUTE(SUBSTITUTE(SUBSTITUTE(X847,"~","~~"),"*","~*"),"?","~?")),0)=1,1,""))</f>
        <v/>
      </c>
      <c r="Z847" s="25">
        <f>IF(T847=1,MAX(Z$2:Z846)+1,"")</f>
        <v/>
      </c>
    </row>
    <row r="848">
      <c r="A848">
        <f>IF(A$2=0,"",IFERROR(TRIM(INDEX('Pegar calibracion'!$A$1:$BZ$1001,847,A$2)&amp;""),""))</f>
        <v/>
      </c>
      <c r="B848">
        <f>IF(B$2=0,"",IFERROR(TRIM(INDEX('Pegar calibracion'!$A$1:$BZ$1001,847,B$2)&amp;""),""))</f>
        <v/>
      </c>
      <c r="C848">
        <f>IF(C$2=0,"",IFERROR(TRIM(INDEX('Pegar calibracion'!$A$1:$BZ$1001,847,C$2)&amp;""),""))</f>
        <v/>
      </c>
      <c r="D848">
        <f>IF(D$2=0,"",IFERROR(TRIM(INDEX('Pegar calibracion'!$A$1:$BZ$1001,847,D$2)&amp;""),""))</f>
        <v/>
      </c>
      <c r="E848">
        <f>IF(E$2=0,"",IFERROR(TRIM(INDEX('Pegar calibracion'!$A$1:$BZ$1001,847,E$2)&amp;""),""))</f>
        <v/>
      </c>
      <c r="F848">
        <f>IF(F$2=0,"",IFERROR(TRIM(INDEX('Pegar calibracion'!$A$1:$BZ$1001,847,F$2)&amp;""),""))</f>
        <v/>
      </c>
      <c r="G848">
        <f>IF(G$2=0,"",IFERROR(TRIM(INDEX('Pegar calibracion'!$A$1:$BZ$1001,847,G$2)&amp;""),""))</f>
        <v/>
      </c>
      <c r="H848">
        <f>IF(H$2=0,"",IFERROR(TRIM(INDEX('Pegar calibracion'!$A$1:$BZ$1001,847,H$2)&amp;""),""))</f>
        <v/>
      </c>
      <c r="I848">
        <f>IF(I$2=0,"",IFERROR(TRIM(INDEX('Pegar calibracion'!$A$1:$BZ$1001,847,I$2)&amp;""),""))</f>
        <v/>
      </c>
      <c r="J848">
        <f>IF(J$2=0,"",IFERROR(TRIM(INDEX('Pegar calibracion'!$A$1:$BZ$1001,847,J$2)&amp;""),""))</f>
        <v/>
      </c>
      <c r="K848">
        <f>IF(K$2=0,"",IFERROR(TRIM(INDEX('Pegar calibracion'!$A$1:$BZ$1001,847,K$2)&amp;""),""))</f>
        <v/>
      </c>
      <c r="L848">
        <f>IF(L$2=0,"",IFERROR(TRIM(INDEX('Pegar calibracion'!$A$1:$BZ$1001,847,L$2)&amp;""),""))</f>
        <v/>
      </c>
      <c r="M848" s="25">
        <f>IF(D848="","",SUBSTITUTE(SUBSTITUTE(SUBSTITUTE(SUBSTITUTE(SUBSTITUTE(SUBSTITUTE(SUBSTITUTE(SUBSTITUTE(SUBSTITUTE(SUBSTITUTE(SUBSTITUTE(SUBSTITUTE(LOWER(TRIM(D848)),"á","a"),"é","e"),"í","i"),"ó","o"),"ú","u"),"ü","u"),"ñ","n"),"à","a"),"è","e"),"ì","i"),"ò","o"),"ù","u"))</f>
        <v/>
      </c>
      <c r="N848" s="25">
        <f>IF(F848="","",SUBSTITUTE(SUBSTITUTE(SUBSTITUTE(SUBSTITUTE(SUBSTITUTE(SUBSTITUTE(SUBSTITUTE(SUBSTITUTE(SUBSTITUTE(SUBSTITUTE(SUBSTITUTE(SUBSTITUTE(LOWER(TRIM(F848)),"á","a"),"é","e"),"í","i"),"ó","o"),"ú","u"),"ü","u"),"ñ","n"),"à","a"),"è","e"),"ì","i"),"ò","o"),"ù","u"))</f>
        <v/>
      </c>
      <c r="O848" s="25">
        <f>IF(M848="confiable",2,IF(M848="dudosa",1,IF(M848="no confiable",0,"")))</f>
        <v/>
      </c>
      <c r="P848" s="25">
        <f>IF(N848="confiable",2,IF(N848="dudosa",1,IF(N848="no confiable",0,"")))</f>
        <v/>
      </c>
      <c r="Q848" s="25">
        <f>IF(AND(ISNUMBER(O848),ISNUMBER(P848)),1,"")</f>
        <v/>
      </c>
      <c r="R848" s="25">
        <f>IF(Q848=1,IF(O848=P848,"Sí","No"),"")</f>
        <v/>
      </c>
      <c r="S848" s="25">
        <f>IF(Q848=1,IF(P848&lt;O848,"Más estricto",IF(P848&gt;O848,"Más permisivo","Igual")),"")</f>
        <v/>
      </c>
      <c r="T848" s="25">
        <f>IF(Q848=1,IF(ABS(O848-P848)=2,1,0),"")</f>
        <v/>
      </c>
      <c r="U848" s="25">
        <f>IF(H848="","","|"&amp;SUBSTITUTE(SUBSTITUTE(TRIM(H848)," |","|"),"| ","|")&amp;"|")</f>
        <v/>
      </c>
      <c r="V848" s="25">
        <f>IF(AND(Q848=1,B848&lt;&gt;""),IF(IFERROR(COUNTIFS(B$3:B848,"="&amp;SUBSTITUTE(SUBSTITUTE(SUBSTITUTE(B848,"~","~~"),"*","~*"),"?","~?"),Q$3:Q848,1),0)=1,MAX(V$2:V847)+1,""),"")</f>
        <v/>
      </c>
      <c r="W848" s="25">
        <f>IF(V848="","",COUNTIFS($B$3:$B$1002,"="&amp;SUBSTITUTE(SUBSTITUTE(SUBSTITUTE(B848,"~","~~"),"*","~*"),"?","~?"),$Q$3:$Q$1002,1)*10000-V848)</f>
        <v/>
      </c>
      <c r="X848" s="25">
        <f>IF(Q848=1,IF(SUBSTITUTE(SUBSTITUTE(SUBSTITUTE(SUBSTITUTE(SUBSTITUTE(SUBSTITUTE(SUBSTITUTE(SUBSTITUTE(SUBSTITUTE(SUBSTITUTE(SUBSTITUTE(SUBSTITUTE(LOWER(TRIM(A848)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848)),"á","a"),"é","e"),"í","i"),"ó","o"),"ú","u"),"ü","u"),"ñ","n"),"à","a"),"è","e"),"ì","i"),"ò","o"),"ù","u")),"")</f>
        <v/>
      </c>
      <c r="Y848" s="25">
        <f>IF(X848="","",IF(IFERROR(COUNTIF(X$3:X848,"="&amp;SUBSTITUTE(SUBSTITUTE(SUBSTITUTE(X848,"~","~~"),"*","~*"),"?","~?")),0)=1,1,""))</f>
        <v/>
      </c>
      <c r="Z848" s="25">
        <f>IF(T848=1,MAX(Z$2:Z847)+1,"")</f>
        <v/>
      </c>
    </row>
    <row r="849">
      <c r="A849">
        <f>IF(A$2=0,"",IFERROR(TRIM(INDEX('Pegar calibracion'!$A$1:$BZ$1001,848,A$2)&amp;""),""))</f>
        <v/>
      </c>
      <c r="B849">
        <f>IF(B$2=0,"",IFERROR(TRIM(INDEX('Pegar calibracion'!$A$1:$BZ$1001,848,B$2)&amp;""),""))</f>
        <v/>
      </c>
      <c r="C849">
        <f>IF(C$2=0,"",IFERROR(TRIM(INDEX('Pegar calibracion'!$A$1:$BZ$1001,848,C$2)&amp;""),""))</f>
        <v/>
      </c>
      <c r="D849">
        <f>IF(D$2=0,"",IFERROR(TRIM(INDEX('Pegar calibracion'!$A$1:$BZ$1001,848,D$2)&amp;""),""))</f>
        <v/>
      </c>
      <c r="E849">
        <f>IF(E$2=0,"",IFERROR(TRIM(INDEX('Pegar calibracion'!$A$1:$BZ$1001,848,E$2)&amp;""),""))</f>
        <v/>
      </c>
      <c r="F849">
        <f>IF(F$2=0,"",IFERROR(TRIM(INDEX('Pegar calibracion'!$A$1:$BZ$1001,848,F$2)&amp;""),""))</f>
        <v/>
      </c>
      <c r="G849">
        <f>IF(G$2=0,"",IFERROR(TRIM(INDEX('Pegar calibracion'!$A$1:$BZ$1001,848,G$2)&amp;""),""))</f>
        <v/>
      </c>
      <c r="H849">
        <f>IF(H$2=0,"",IFERROR(TRIM(INDEX('Pegar calibracion'!$A$1:$BZ$1001,848,H$2)&amp;""),""))</f>
        <v/>
      </c>
      <c r="I849">
        <f>IF(I$2=0,"",IFERROR(TRIM(INDEX('Pegar calibracion'!$A$1:$BZ$1001,848,I$2)&amp;""),""))</f>
        <v/>
      </c>
      <c r="J849">
        <f>IF(J$2=0,"",IFERROR(TRIM(INDEX('Pegar calibracion'!$A$1:$BZ$1001,848,J$2)&amp;""),""))</f>
        <v/>
      </c>
      <c r="K849">
        <f>IF(K$2=0,"",IFERROR(TRIM(INDEX('Pegar calibracion'!$A$1:$BZ$1001,848,K$2)&amp;""),""))</f>
        <v/>
      </c>
      <c r="L849">
        <f>IF(L$2=0,"",IFERROR(TRIM(INDEX('Pegar calibracion'!$A$1:$BZ$1001,848,L$2)&amp;""),""))</f>
        <v/>
      </c>
      <c r="M849" s="25">
        <f>IF(D849="","",SUBSTITUTE(SUBSTITUTE(SUBSTITUTE(SUBSTITUTE(SUBSTITUTE(SUBSTITUTE(SUBSTITUTE(SUBSTITUTE(SUBSTITUTE(SUBSTITUTE(SUBSTITUTE(SUBSTITUTE(LOWER(TRIM(D849)),"á","a"),"é","e"),"í","i"),"ó","o"),"ú","u"),"ü","u"),"ñ","n"),"à","a"),"è","e"),"ì","i"),"ò","o"),"ù","u"))</f>
        <v/>
      </c>
      <c r="N849" s="25">
        <f>IF(F849="","",SUBSTITUTE(SUBSTITUTE(SUBSTITUTE(SUBSTITUTE(SUBSTITUTE(SUBSTITUTE(SUBSTITUTE(SUBSTITUTE(SUBSTITUTE(SUBSTITUTE(SUBSTITUTE(SUBSTITUTE(LOWER(TRIM(F849)),"á","a"),"é","e"),"í","i"),"ó","o"),"ú","u"),"ü","u"),"ñ","n"),"à","a"),"è","e"),"ì","i"),"ò","o"),"ù","u"))</f>
        <v/>
      </c>
      <c r="O849" s="25">
        <f>IF(M849="confiable",2,IF(M849="dudosa",1,IF(M849="no confiable",0,"")))</f>
        <v/>
      </c>
      <c r="P849" s="25">
        <f>IF(N849="confiable",2,IF(N849="dudosa",1,IF(N849="no confiable",0,"")))</f>
        <v/>
      </c>
      <c r="Q849" s="25">
        <f>IF(AND(ISNUMBER(O849),ISNUMBER(P849)),1,"")</f>
        <v/>
      </c>
      <c r="R849" s="25">
        <f>IF(Q849=1,IF(O849=P849,"Sí","No"),"")</f>
        <v/>
      </c>
      <c r="S849" s="25">
        <f>IF(Q849=1,IF(P849&lt;O849,"Más estricto",IF(P849&gt;O849,"Más permisivo","Igual")),"")</f>
        <v/>
      </c>
      <c r="T849" s="25">
        <f>IF(Q849=1,IF(ABS(O849-P849)=2,1,0),"")</f>
        <v/>
      </c>
      <c r="U849" s="25">
        <f>IF(H849="","","|"&amp;SUBSTITUTE(SUBSTITUTE(TRIM(H849)," |","|"),"| ","|")&amp;"|")</f>
        <v/>
      </c>
      <c r="V849" s="25">
        <f>IF(AND(Q849=1,B849&lt;&gt;""),IF(IFERROR(COUNTIFS(B$3:B849,"="&amp;SUBSTITUTE(SUBSTITUTE(SUBSTITUTE(B849,"~","~~"),"*","~*"),"?","~?"),Q$3:Q849,1),0)=1,MAX(V$2:V848)+1,""),"")</f>
        <v/>
      </c>
      <c r="W849" s="25">
        <f>IF(V849="","",COUNTIFS($B$3:$B$1002,"="&amp;SUBSTITUTE(SUBSTITUTE(SUBSTITUTE(B849,"~","~~"),"*","~*"),"?","~?"),$Q$3:$Q$1002,1)*10000-V849)</f>
        <v/>
      </c>
      <c r="X849" s="25">
        <f>IF(Q849=1,IF(SUBSTITUTE(SUBSTITUTE(SUBSTITUTE(SUBSTITUTE(SUBSTITUTE(SUBSTITUTE(SUBSTITUTE(SUBSTITUTE(SUBSTITUTE(SUBSTITUTE(SUBSTITUTE(SUBSTITUTE(LOWER(TRIM(A849)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849)),"á","a"),"é","e"),"í","i"),"ó","o"),"ú","u"),"ü","u"),"ñ","n"),"à","a"),"è","e"),"ì","i"),"ò","o"),"ù","u")),"")</f>
        <v/>
      </c>
      <c r="Y849" s="25">
        <f>IF(X849="","",IF(IFERROR(COUNTIF(X$3:X849,"="&amp;SUBSTITUTE(SUBSTITUTE(SUBSTITUTE(X849,"~","~~"),"*","~*"),"?","~?")),0)=1,1,""))</f>
        <v/>
      </c>
      <c r="Z849" s="25">
        <f>IF(T849=1,MAX(Z$2:Z848)+1,"")</f>
        <v/>
      </c>
    </row>
    <row r="850">
      <c r="A850">
        <f>IF(A$2=0,"",IFERROR(TRIM(INDEX('Pegar calibracion'!$A$1:$BZ$1001,849,A$2)&amp;""),""))</f>
        <v/>
      </c>
      <c r="B850">
        <f>IF(B$2=0,"",IFERROR(TRIM(INDEX('Pegar calibracion'!$A$1:$BZ$1001,849,B$2)&amp;""),""))</f>
        <v/>
      </c>
      <c r="C850">
        <f>IF(C$2=0,"",IFERROR(TRIM(INDEX('Pegar calibracion'!$A$1:$BZ$1001,849,C$2)&amp;""),""))</f>
        <v/>
      </c>
      <c r="D850">
        <f>IF(D$2=0,"",IFERROR(TRIM(INDEX('Pegar calibracion'!$A$1:$BZ$1001,849,D$2)&amp;""),""))</f>
        <v/>
      </c>
      <c r="E850">
        <f>IF(E$2=0,"",IFERROR(TRIM(INDEX('Pegar calibracion'!$A$1:$BZ$1001,849,E$2)&amp;""),""))</f>
        <v/>
      </c>
      <c r="F850">
        <f>IF(F$2=0,"",IFERROR(TRIM(INDEX('Pegar calibracion'!$A$1:$BZ$1001,849,F$2)&amp;""),""))</f>
        <v/>
      </c>
      <c r="G850">
        <f>IF(G$2=0,"",IFERROR(TRIM(INDEX('Pegar calibracion'!$A$1:$BZ$1001,849,G$2)&amp;""),""))</f>
        <v/>
      </c>
      <c r="H850">
        <f>IF(H$2=0,"",IFERROR(TRIM(INDEX('Pegar calibracion'!$A$1:$BZ$1001,849,H$2)&amp;""),""))</f>
        <v/>
      </c>
      <c r="I850">
        <f>IF(I$2=0,"",IFERROR(TRIM(INDEX('Pegar calibracion'!$A$1:$BZ$1001,849,I$2)&amp;""),""))</f>
        <v/>
      </c>
      <c r="J850">
        <f>IF(J$2=0,"",IFERROR(TRIM(INDEX('Pegar calibracion'!$A$1:$BZ$1001,849,J$2)&amp;""),""))</f>
        <v/>
      </c>
      <c r="K850">
        <f>IF(K$2=0,"",IFERROR(TRIM(INDEX('Pegar calibracion'!$A$1:$BZ$1001,849,K$2)&amp;""),""))</f>
        <v/>
      </c>
      <c r="L850">
        <f>IF(L$2=0,"",IFERROR(TRIM(INDEX('Pegar calibracion'!$A$1:$BZ$1001,849,L$2)&amp;""),""))</f>
        <v/>
      </c>
      <c r="M850" s="25">
        <f>IF(D850="","",SUBSTITUTE(SUBSTITUTE(SUBSTITUTE(SUBSTITUTE(SUBSTITUTE(SUBSTITUTE(SUBSTITUTE(SUBSTITUTE(SUBSTITUTE(SUBSTITUTE(SUBSTITUTE(SUBSTITUTE(LOWER(TRIM(D850)),"á","a"),"é","e"),"í","i"),"ó","o"),"ú","u"),"ü","u"),"ñ","n"),"à","a"),"è","e"),"ì","i"),"ò","o"),"ù","u"))</f>
        <v/>
      </c>
      <c r="N850" s="25">
        <f>IF(F850="","",SUBSTITUTE(SUBSTITUTE(SUBSTITUTE(SUBSTITUTE(SUBSTITUTE(SUBSTITUTE(SUBSTITUTE(SUBSTITUTE(SUBSTITUTE(SUBSTITUTE(SUBSTITUTE(SUBSTITUTE(LOWER(TRIM(F850)),"á","a"),"é","e"),"í","i"),"ó","o"),"ú","u"),"ü","u"),"ñ","n"),"à","a"),"è","e"),"ì","i"),"ò","o"),"ù","u"))</f>
        <v/>
      </c>
      <c r="O850" s="25">
        <f>IF(M850="confiable",2,IF(M850="dudosa",1,IF(M850="no confiable",0,"")))</f>
        <v/>
      </c>
      <c r="P850" s="25">
        <f>IF(N850="confiable",2,IF(N850="dudosa",1,IF(N850="no confiable",0,"")))</f>
        <v/>
      </c>
      <c r="Q850" s="25">
        <f>IF(AND(ISNUMBER(O850),ISNUMBER(P850)),1,"")</f>
        <v/>
      </c>
      <c r="R850" s="25">
        <f>IF(Q850=1,IF(O850=P850,"Sí","No"),"")</f>
        <v/>
      </c>
      <c r="S850" s="25">
        <f>IF(Q850=1,IF(P850&lt;O850,"Más estricto",IF(P850&gt;O850,"Más permisivo","Igual")),"")</f>
        <v/>
      </c>
      <c r="T850" s="25">
        <f>IF(Q850=1,IF(ABS(O850-P850)=2,1,0),"")</f>
        <v/>
      </c>
      <c r="U850" s="25">
        <f>IF(H850="","","|"&amp;SUBSTITUTE(SUBSTITUTE(TRIM(H850)," |","|"),"| ","|")&amp;"|")</f>
        <v/>
      </c>
      <c r="V850" s="25">
        <f>IF(AND(Q850=1,B850&lt;&gt;""),IF(IFERROR(COUNTIFS(B$3:B850,"="&amp;SUBSTITUTE(SUBSTITUTE(SUBSTITUTE(B850,"~","~~"),"*","~*"),"?","~?"),Q$3:Q850,1),0)=1,MAX(V$2:V849)+1,""),"")</f>
        <v/>
      </c>
      <c r="W850" s="25">
        <f>IF(V850="","",COUNTIFS($B$3:$B$1002,"="&amp;SUBSTITUTE(SUBSTITUTE(SUBSTITUTE(B850,"~","~~"),"*","~*"),"?","~?"),$Q$3:$Q$1002,1)*10000-V850)</f>
        <v/>
      </c>
      <c r="X850" s="25">
        <f>IF(Q850=1,IF(SUBSTITUTE(SUBSTITUTE(SUBSTITUTE(SUBSTITUTE(SUBSTITUTE(SUBSTITUTE(SUBSTITUTE(SUBSTITUTE(SUBSTITUTE(SUBSTITUTE(SUBSTITUTE(SUBSTITUTE(LOWER(TRIM(A850)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850)),"á","a"),"é","e"),"í","i"),"ó","o"),"ú","u"),"ü","u"),"ñ","n"),"à","a"),"è","e"),"ì","i"),"ò","o"),"ù","u")),"")</f>
        <v/>
      </c>
      <c r="Y850" s="25">
        <f>IF(X850="","",IF(IFERROR(COUNTIF(X$3:X850,"="&amp;SUBSTITUTE(SUBSTITUTE(SUBSTITUTE(X850,"~","~~"),"*","~*"),"?","~?")),0)=1,1,""))</f>
        <v/>
      </c>
      <c r="Z850" s="25">
        <f>IF(T850=1,MAX(Z$2:Z849)+1,"")</f>
        <v/>
      </c>
    </row>
    <row r="851">
      <c r="A851">
        <f>IF(A$2=0,"",IFERROR(TRIM(INDEX('Pegar calibracion'!$A$1:$BZ$1001,850,A$2)&amp;""),""))</f>
        <v/>
      </c>
      <c r="B851">
        <f>IF(B$2=0,"",IFERROR(TRIM(INDEX('Pegar calibracion'!$A$1:$BZ$1001,850,B$2)&amp;""),""))</f>
        <v/>
      </c>
      <c r="C851">
        <f>IF(C$2=0,"",IFERROR(TRIM(INDEX('Pegar calibracion'!$A$1:$BZ$1001,850,C$2)&amp;""),""))</f>
        <v/>
      </c>
      <c r="D851">
        <f>IF(D$2=0,"",IFERROR(TRIM(INDEX('Pegar calibracion'!$A$1:$BZ$1001,850,D$2)&amp;""),""))</f>
        <v/>
      </c>
      <c r="E851">
        <f>IF(E$2=0,"",IFERROR(TRIM(INDEX('Pegar calibracion'!$A$1:$BZ$1001,850,E$2)&amp;""),""))</f>
        <v/>
      </c>
      <c r="F851">
        <f>IF(F$2=0,"",IFERROR(TRIM(INDEX('Pegar calibracion'!$A$1:$BZ$1001,850,F$2)&amp;""),""))</f>
        <v/>
      </c>
      <c r="G851">
        <f>IF(G$2=0,"",IFERROR(TRIM(INDEX('Pegar calibracion'!$A$1:$BZ$1001,850,G$2)&amp;""),""))</f>
        <v/>
      </c>
      <c r="H851">
        <f>IF(H$2=0,"",IFERROR(TRIM(INDEX('Pegar calibracion'!$A$1:$BZ$1001,850,H$2)&amp;""),""))</f>
        <v/>
      </c>
      <c r="I851">
        <f>IF(I$2=0,"",IFERROR(TRIM(INDEX('Pegar calibracion'!$A$1:$BZ$1001,850,I$2)&amp;""),""))</f>
        <v/>
      </c>
      <c r="J851">
        <f>IF(J$2=0,"",IFERROR(TRIM(INDEX('Pegar calibracion'!$A$1:$BZ$1001,850,J$2)&amp;""),""))</f>
        <v/>
      </c>
      <c r="K851">
        <f>IF(K$2=0,"",IFERROR(TRIM(INDEX('Pegar calibracion'!$A$1:$BZ$1001,850,K$2)&amp;""),""))</f>
        <v/>
      </c>
      <c r="L851">
        <f>IF(L$2=0,"",IFERROR(TRIM(INDEX('Pegar calibracion'!$A$1:$BZ$1001,850,L$2)&amp;""),""))</f>
        <v/>
      </c>
      <c r="M851" s="25">
        <f>IF(D851="","",SUBSTITUTE(SUBSTITUTE(SUBSTITUTE(SUBSTITUTE(SUBSTITUTE(SUBSTITUTE(SUBSTITUTE(SUBSTITUTE(SUBSTITUTE(SUBSTITUTE(SUBSTITUTE(SUBSTITUTE(LOWER(TRIM(D851)),"á","a"),"é","e"),"í","i"),"ó","o"),"ú","u"),"ü","u"),"ñ","n"),"à","a"),"è","e"),"ì","i"),"ò","o"),"ù","u"))</f>
        <v/>
      </c>
      <c r="N851" s="25">
        <f>IF(F851="","",SUBSTITUTE(SUBSTITUTE(SUBSTITUTE(SUBSTITUTE(SUBSTITUTE(SUBSTITUTE(SUBSTITUTE(SUBSTITUTE(SUBSTITUTE(SUBSTITUTE(SUBSTITUTE(SUBSTITUTE(LOWER(TRIM(F851)),"á","a"),"é","e"),"í","i"),"ó","o"),"ú","u"),"ü","u"),"ñ","n"),"à","a"),"è","e"),"ì","i"),"ò","o"),"ù","u"))</f>
        <v/>
      </c>
      <c r="O851" s="25">
        <f>IF(M851="confiable",2,IF(M851="dudosa",1,IF(M851="no confiable",0,"")))</f>
        <v/>
      </c>
      <c r="P851" s="25">
        <f>IF(N851="confiable",2,IF(N851="dudosa",1,IF(N851="no confiable",0,"")))</f>
        <v/>
      </c>
      <c r="Q851" s="25">
        <f>IF(AND(ISNUMBER(O851),ISNUMBER(P851)),1,"")</f>
        <v/>
      </c>
      <c r="R851" s="25">
        <f>IF(Q851=1,IF(O851=P851,"Sí","No"),"")</f>
        <v/>
      </c>
      <c r="S851" s="25">
        <f>IF(Q851=1,IF(P851&lt;O851,"Más estricto",IF(P851&gt;O851,"Más permisivo","Igual")),"")</f>
        <v/>
      </c>
      <c r="T851" s="25">
        <f>IF(Q851=1,IF(ABS(O851-P851)=2,1,0),"")</f>
        <v/>
      </c>
      <c r="U851" s="25">
        <f>IF(H851="","","|"&amp;SUBSTITUTE(SUBSTITUTE(TRIM(H851)," |","|"),"| ","|")&amp;"|")</f>
        <v/>
      </c>
      <c r="V851" s="25">
        <f>IF(AND(Q851=1,B851&lt;&gt;""),IF(IFERROR(COUNTIFS(B$3:B851,"="&amp;SUBSTITUTE(SUBSTITUTE(SUBSTITUTE(B851,"~","~~"),"*","~*"),"?","~?"),Q$3:Q851,1),0)=1,MAX(V$2:V850)+1,""),"")</f>
        <v/>
      </c>
      <c r="W851" s="25">
        <f>IF(V851="","",COUNTIFS($B$3:$B$1002,"="&amp;SUBSTITUTE(SUBSTITUTE(SUBSTITUTE(B851,"~","~~"),"*","~*"),"?","~?"),$Q$3:$Q$1002,1)*10000-V851)</f>
        <v/>
      </c>
      <c r="X851" s="25">
        <f>IF(Q851=1,IF(SUBSTITUTE(SUBSTITUTE(SUBSTITUTE(SUBSTITUTE(SUBSTITUTE(SUBSTITUTE(SUBSTITUTE(SUBSTITUTE(SUBSTITUTE(SUBSTITUTE(SUBSTITUTE(SUBSTITUTE(LOWER(TRIM(A851)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851)),"á","a"),"é","e"),"í","i"),"ó","o"),"ú","u"),"ü","u"),"ñ","n"),"à","a"),"è","e"),"ì","i"),"ò","o"),"ù","u")),"")</f>
        <v/>
      </c>
      <c r="Y851" s="25">
        <f>IF(X851="","",IF(IFERROR(COUNTIF(X$3:X851,"="&amp;SUBSTITUTE(SUBSTITUTE(SUBSTITUTE(X851,"~","~~"),"*","~*"),"?","~?")),0)=1,1,""))</f>
        <v/>
      </c>
      <c r="Z851" s="25">
        <f>IF(T851=1,MAX(Z$2:Z850)+1,"")</f>
        <v/>
      </c>
    </row>
    <row r="852">
      <c r="A852">
        <f>IF(A$2=0,"",IFERROR(TRIM(INDEX('Pegar calibracion'!$A$1:$BZ$1001,851,A$2)&amp;""),""))</f>
        <v/>
      </c>
      <c r="B852">
        <f>IF(B$2=0,"",IFERROR(TRIM(INDEX('Pegar calibracion'!$A$1:$BZ$1001,851,B$2)&amp;""),""))</f>
        <v/>
      </c>
      <c r="C852">
        <f>IF(C$2=0,"",IFERROR(TRIM(INDEX('Pegar calibracion'!$A$1:$BZ$1001,851,C$2)&amp;""),""))</f>
        <v/>
      </c>
      <c r="D852">
        <f>IF(D$2=0,"",IFERROR(TRIM(INDEX('Pegar calibracion'!$A$1:$BZ$1001,851,D$2)&amp;""),""))</f>
        <v/>
      </c>
      <c r="E852">
        <f>IF(E$2=0,"",IFERROR(TRIM(INDEX('Pegar calibracion'!$A$1:$BZ$1001,851,E$2)&amp;""),""))</f>
        <v/>
      </c>
      <c r="F852">
        <f>IF(F$2=0,"",IFERROR(TRIM(INDEX('Pegar calibracion'!$A$1:$BZ$1001,851,F$2)&amp;""),""))</f>
        <v/>
      </c>
      <c r="G852">
        <f>IF(G$2=0,"",IFERROR(TRIM(INDEX('Pegar calibracion'!$A$1:$BZ$1001,851,G$2)&amp;""),""))</f>
        <v/>
      </c>
      <c r="H852">
        <f>IF(H$2=0,"",IFERROR(TRIM(INDEX('Pegar calibracion'!$A$1:$BZ$1001,851,H$2)&amp;""),""))</f>
        <v/>
      </c>
      <c r="I852">
        <f>IF(I$2=0,"",IFERROR(TRIM(INDEX('Pegar calibracion'!$A$1:$BZ$1001,851,I$2)&amp;""),""))</f>
        <v/>
      </c>
      <c r="J852">
        <f>IF(J$2=0,"",IFERROR(TRIM(INDEX('Pegar calibracion'!$A$1:$BZ$1001,851,J$2)&amp;""),""))</f>
        <v/>
      </c>
      <c r="K852">
        <f>IF(K$2=0,"",IFERROR(TRIM(INDEX('Pegar calibracion'!$A$1:$BZ$1001,851,K$2)&amp;""),""))</f>
        <v/>
      </c>
      <c r="L852">
        <f>IF(L$2=0,"",IFERROR(TRIM(INDEX('Pegar calibracion'!$A$1:$BZ$1001,851,L$2)&amp;""),""))</f>
        <v/>
      </c>
      <c r="M852" s="25">
        <f>IF(D852="","",SUBSTITUTE(SUBSTITUTE(SUBSTITUTE(SUBSTITUTE(SUBSTITUTE(SUBSTITUTE(SUBSTITUTE(SUBSTITUTE(SUBSTITUTE(SUBSTITUTE(SUBSTITUTE(SUBSTITUTE(LOWER(TRIM(D852)),"á","a"),"é","e"),"í","i"),"ó","o"),"ú","u"),"ü","u"),"ñ","n"),"à","a"),"è","e"),"ì","i"),"ò","o"),"ù","u"))</f>
        <v/>
      </c>
      <c r="N852" s="25">
        <f>IF(F852="","",SUBSTITUTE(SUBSTITUTE(SUBSTITUTE(SUBSTITUTE(SUBSTITUTE(SUBSTITUTE(SUBSTITUTE(SUBSTITUTE(SUBSTITUTE(SUBSTITUTE(SUBSTITUTE(SUBSTITUTE(LOWER(TRIM(F852)),"á","a"),"é","e"),"í","i"),"ó","o"),"ú","u"),"ü","u"),"ñ","n"),"à","a"),"è","e"),"ì","i"),"ò","o"),"ù","u"))</f>
        <v/>
      </c>
      <c r="O852" s="25">
        <f>IF(M852="confiable",2,IF(M852="dudosa",1,IF(M852="no confiable",0,"")))</f>
        <v/>
      </c>
      <c r="P852" s="25">
        <f>IF(N852="confiable",2,IF(N852="dudosa",1,IF(N852="no confiable",0,"")))</f>
        <v/>
      </c>
      <c r="Q852" s="25">
        <f>IF(AND(ISNUMBER(O852),ISNUMBER(P852)),1,"")</f>
        <v/>
      </c>
      <c r="R852" s="25">
        <f>IF(Q852=1,IF(O852=P852,"Sí","No"),"")</f>
        <v/>
      </c>
      <c r="S852" s="25">
        <f>IF(Q852=1,IF(P852&lt;O852,"Más estricto",IF(P852&gt;O852,"Más permisivo","Igual")),"")</f>
        <v/>
      </c>
      <c r="T852" s="25">
        <f>IF(Q852=1,IF(ABS(O852-P852)=2,1,0),"")</f>
        <v/>
      </c>
      <c r="U852" s="25">
        <f>IF(H852="","","|"&amp;SUBSTITUTE(SUBSTITUTE(TRIM(H852)," |","|"),"| ","|")&amp;"|")</f>
        <v/>
      </c>
      <c r="V852" s="25">
        <f>IF(AND(Q852=1,B852&lt;&gt;""),IF(IFERROR(COUNTIFS(B$3:B852,"="&amp;SUBSTITUTE(SUBSTITUTE(SUBSTITUTE(B852,"~","~~"),"*","~*"),"?","~?"),Q$3:Q852,1),0)=1,MAX(V$2:V851)+1,""),"")</f>
        <v/>
      </c>
      <c r="W852" s="25">
        <f>IF(V852="","",COUNTIFS($B$3:$B$1002,"="&amp;SUBSTITUTE(SUBSTITUTE(SUBSTITUTE(B852,"~","~~"),"*","~*"),"?","~?"),$Q$3:$Q$1002,1)*10000-V852)</f>
        <v/>
      </c>
      <c r="X852" s="25">
        <f>IF(Q852=1,IF(SUBSTITUTE(SUBSTITUTE(SUBSTITUTE(SUBSTITUTE(SUBSTITUTE(SUBSTITUTE(SUBSTITUTE(SUBSTITUTE(SUBSTITUTE(SUBSTITUTE(SUBSTITUTE(SUBSTITUTE(LOWER(TRIM(A852)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852)),"á","a"),"é","e"),"í","i"),"ó","o"),"ú","u"),"ü","u"),"ñ","n"),"à","a"),"è","e"),"ì","i"),"ò","o"),"ù","u")),"")</f>
        <v/>
      </c>
      <c r="Y852" s="25">
        <f>IF(X852="","",IF(IFERROR(COUNTIF(X$3:X852,"="&amp;SUBSTITUTE(SUBSTITUTE(SUBSTITUTE(X852,"~","~~"),"*","~*"),"?","~?")),0)=1,1,""))</f>
        <v/>
      </c>
      <c r="Z852" s="25">
        <f>IF(T852=1,MAX(Z$2:Z851)+1,"")</f>
        <v/>
      </c>
    </row>
    <row r="853">
      <c r="A853">
        <f>IF(A$2=0,"",IFERROR(TRIM(INDEX('Pegar calibracion'!$A$1:$BZ$1001,852,A$2)&amp;""),""))</f>
        <v/>
      </c>
      <c r="B853">
        <f>IF(B$2=0,"",IFERROR(TRIM(INDEX('Pegar calibracion'!$A$1:$BZ$1001,852,B$2)&amp;""),""))</f>
        <v/>
      </c>
      <c r="C853">
        <f>IF(C$2=0,"",IFERROR(TRIM(INDEX('Pegar calibracion'!$A$1:$BZ$1001,852,C$2)&amp;""),""))</f>
        <v/>
      </c>
      <c r="D853">
        <f>IF(D$2=0,"",IFERROR(TRIM(INDEX('Pegar calibracion'!$A$1:$BZ$1001,852,D$2)&amp;""),""))</f>
        <v/>
      </c>
      <c r="E853">
        <f>IF(E$2=0,"",IFERROR(TRIM(INDEX('Pegar calibracion'!$A$1:$BZ$1001,852,E$2)&amp;""),""))</f>
        <v/>
      </c>
      <c r="F853">
        <f>IF(F$2=0,"",IFERROR(TRIM(INDEX('Pegar calibracion'!$A$1:$BZ$1001,852,F$2)&amp;""),""))</f>
        <v/>
      </c>
      <c r="G853">
        <f>IF(G$2=0,"",IFERROR(TRIM(INDEX('Pegar calibracion'!$A$1:$BZ$1001,852,G$2)&amp;""),""))</f>
        <v/>
      </c>
      <c r="H853">
        <f>IF(H$2=0,"",IFERROR(TRIM(INDEX('Pegar calibracion'!$A$1:$BZ$1001,852,H$2)&amp;""),""))</f>
        <v/>
      </c>
      <c r="I853">
        <f>IF(I$2=0,"",IFERROR(TRIM(INDEX('Pegar calibracion'!$A$1:$BZ$1001,852,I$2)&amp;""),""))</f>
        <v/>
      </c>
      <c r="J853">
        <f>IF(J$2=0,"",IFERROR(TRIM(INDEX('Pegar calibracion'!$A$1:$BZ$1001,852,J$2)&amp;""),""))</f>
        <v/>
      </c>
      <c r="K853">
        <f>IF(K$2=0,"",IFERROR(TRIM(INDEX('Pegar calibracion'!$A$1:$BZ$1001,852,K$2)&amp;""),""))</f>
        <v/>
      </c>
      <c r="L853">
        <f>IF(L$2=0,"",IFERROR(TRIM(INDEX('Pegar calibracion'!$A$1:$BZ$1001,852,L$2)&amp;""),""))</f>
        <v/>
      </c>
      <c r="M853" s="25">
        <f>IF(D853="","",SUBSTITUTE(SUBSTITUTE(SUBSTITUTE(SUBSTITUTE(SUBSTITUTE(SUBSTITUTE(SUBSTITUTE(SUBSTITUTE(SUBSTITUTE(SUBSTITUTE(SUBSTITUTE(SUBSTITUTE(LOWER(TRIM(D853)),"á","a"),"é","e"),"í","i"),"ó","o"),"ú","u"),"ü","u"),"ñ","n"),"à","a"),"è","e"),"ì","i"),"ò","o"),"ù","u"))</f>
        <v/>
      </c>
      <c r="N853" s="25">
        <f>IF(F853="","",SUBSTITUTE(SUBSTITUTE(SUBSTITUTE(SUBSTITUTE(SUBSTITUTE(SUBSTITUTE(SUBSTITUTE(SUBSTITUTE(SUBSTITUTE(SUBSTITUTE(SUBSTITUTE(SUBSTITUTE(LOWER(TRIM(F853)),"á","a"),"é","e"),"í","i"),"ó","o"),"ú","u"),"ü","u"),"ñ","n"),"à","a"),"è","e"),"ì","i"),"ò","o"),"ù","u"))</f>
        <v/>
      </c>
      <c r="O853" s="25">
        <f>IF(M853="confiable",2,IF(M853="dudosa",1,IF(M853="no confiable",0,"")))</f>
        <v/>
      </c>
      <c r="P853" s="25">
        <f>IF(N853="confiable",2,IF(N853="dudosa",1,IF(N853="no confiable",0,"")))</f>
        <v/>
      </c>
      <c r="Q853" s="25">
        <f>IF(AND(ISNUMBER(O853),ISNUMBER(P853)),1,"")</f>
        <v/>
      </c>
      <c r="R853" s="25">
        <f>IF(Q853=1,IF(O853=P853,"Sí","No"),"")</f>
        <v/>
      </c>
      <c r="S853" s="25">
        <f>IF(Q853=1,IF(P853&lt;O853,"Más estricto",IF(P853&gt;O853,"Más permisivo","Igual")),"")</f>
        <v/>
      </c>
      <c r="T853" s="25">
        <f>IF(Q853=1,IF(ABS(O853-P853)=2,1,0),"")</f>
        <v/>
      </c>
      <c r="U853" s="25">
        <f>IF(H853="","","|"&amp;SUBSTITUTE(SUBSTITUTE(TRIM(H853)," |","|"),"| ","|")&amp;"|")</f>
        <v/>
      </c>
      <c r="V853" s="25">
        <f>IF(AND(Q853=1,B853&lt;&gt;""),IF(IFERROR(COUNTIFS(B$3:B853,"="&amp;SUBSTITUTE(SUBSTITUTE(SUBSTITUTE(B853,"~","~~"),"*","~*"),"?","~?"),Q$3:Q853,1),0)=1,MAX(V$2:V852)+1,""),"")</f>
        <v/>
      </c>
      <c r="W853" s="25">
        <f>IF(V853="","",COUNTIFS($B$3:$B$1002,"="&amp;SUBSTITUTE(SUBSTITUTE(SUBSTITUTE(B853,"~","~~"),"*","~*"),"?","~?"),$Q$3:$Q$1002,1)*10000-V853)</f>
        <v/>
      </c>
      <c r="X853" s="25">
        <f>IF(Q853=1,IF(SUBSTITUTE(SUBSTITUTE(SUBSTITUTE(SUBSTITUTE(SUBSTITUTE(SUBSTITUTE(SUBSTITUTE(SUBSTITUTE(SUBSTITUTE(SUBSTITUTE(SUBSTITUTE(SUBSTITUTE(LOWER(TRIM(A853)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853)),"á","a"),"é","e"),"í","i"),"ó","o"),"ú","u"),"ü","u"),"ñ","n"),"à","a"),"è","e"),"ì","i"),"ò","o"),"ù","u")),"")</f>
        <v/>
      </c>
      <c r="Y853" s="25">
        <f>IF(X853="","",IF(IFERROR(COUNTIF(X$3:X853,"="&amp;SUBSTITUTE(SUBSTITUTE(SUBSTITUTE(X853,"~","~~"),"*","~*"),"?","~?")),0)=1,1,""))</f>
        <v/>
      </c>
      <c r="Z853" s="25">
        <f>IF(T853=1,MAX(Z$2:Z852)+1,"")</f>
        <v/>
      </c>
    </row>
    <row r="854">
      <c r="A854">
        <f>IF(A$2=0,"",IFERROR(TRIM(INDEX('Pegar calibracion'!$A$1:$BZ$1001,853,A$2)&amp;""),""))</f>
        <v/>
      </c>
      <c r="B854">
        <f>IF(B$2=0,"",IFERROR(TRIM(INDEX('Pegar calibracion'!$A$1:$BZ$1001,853,B$2)&amp;""),""))</f>
        <v/>
      </c>
      <c r="C854">
        <f>IF(C$2=0,"",IFERROR(TRIM(INDEX('Pegar calibracion'!$A$1:$BZ$1001,853,C$2)&amp;""),""))</f>
        <v/>
      </c>
      <c r="D854">
        <f>IF(D$2=0,"",IFERROR(TRIM(INDEX('Pegar calibracion'!$A$1:$BZ$1001,853,D$2)&amp;""),""))</f>
        <v/>
      </c>
      <c r="E854">
        <f>IF(E$2=0,"",IFERROR(TRIM(INDEX('Pegar calibracion'!$A$1:$BZ$1001,853,E$2)&amp;""),""))</f>
        <v/>
      </c>
      <c r="F854">
        <f>IF(F$2=0,"",IFERROR(TRIM(INDEX('Pegar calibracion'!$A$1:$BZ$1001,853,F$2)&amp;""),""))</f>
        <v/>
      </c>
      <c r="G854">
        <f>IF(G$2=0,"",IFERROR(TRIM(INDEX('Pegar calibracion'!$A$1:$BZ$1001,853,G$2)&amp;""),""))</f>
        <v/>
      </c>
      <c r="H854">
        <f>IF(H$2=0,"",IFERROR(TRIM(INDEX('Pegar calibracion'!$A$1:$BZ$1001,853,H$2)&amp;""),""))</f>
        <v/>
      </c>
      <c r="I854">
        <f>IF(I$2=0,"",IFERROR(TRIM(INDEX('Pegar calibracion'!$A$1:$BZ$1001,853,I$2)&amp;""),""))</f>
        <v/>
      </c>
      <c r="J854">
        <f>IF(J$2=0,"",IFERROR(TRIM(INDEX('Pegar calibracion'!$A$1:$BZ$1001,853,J$2)&amp;""),""))</f>
        <v/>
      </c>
      <c r="K854">
        <f>IF(K$2=0,"",IFERROR(TRIM(INDEX('Pegar calibracion'!$A$1:$BZ$1001,853,K$2)&amp;""),""))</f>
        <v/>
      </c>
      <c r="L854">
        <f>IF(L$2=0,"",IFERROR(TRIM(INDEX('Pegar calibracion'!$A$1:$BZ$1001,853,L$2)&amp;""),""))</f>
        <v/>
      </c>
      <c r="M854" s="25">
        <f>IF(D854="","",SUBSTITUTE(SUBSTITUTE(SUBSTITUTE(SUBSTITUTE(SUBSTITUTE(SUBSTITUTE(SUBSTITUTE(SUBSTITUTE(SUBSTITUTE(SUBSTITUTE(SUBSTITUTE(SUBSTITUTE(LOWER(TRIM(D854)),"á","a"),"é","e"),"í","i"),"ó","o"),"ú","u"),"ü","u"),"ñ","n"),"à","a"),"è","e"),"ì","i"),"ò","o"),"ù","u"))</f>
        <v/>
      </c>
      <c r="N854" s="25">
        <f>IF(F854="","",SUBSTITUTE(SUBSTITUTE(SUBSTITUTE(SUBSTITUTE(SUBSTITUTE(SUBSTITUTE(SUBSTITUTE(SUBSTITUTE(SUBSTITUTE(SUBSTITUTE(SUBSTITUTE(SUBSTITUTE(LOWER(TRIM(F854)),"á","a"),"é","e"),"í","i"),"ó","o"),"ú","u"),"ü","u"),"ñ","n"),"à","a"),"è","e"),"ì","i"),"ò","o"),"ù","u"))</f>
        <v/>
      </c>
      <c r="O854" s="25">
        <f>IF(M854="confiable",2,IF(M854="dudosa",1,IF(M854="no confiable",0,"")))</f>
        <v/>
      </c>
      <c r="P854" s="25">
        <f>IF(N854="confiable",2,IF(N854="dudosa",1,IF(N854="no confiable",0,"")))</f>
        <v/>
      </c>
      <c r="Q854" s="25">
        <f>IF(AND(ISNUMBER(O854),ISNUMBER(P854)),1,"")</f>
        <v/>
      </c>
      <c r="R854" s="25">
        <f>IF(Q854=1,IF(O854=P854,"Sí","No"),"")</f>
        <v/>
      </c>
      <c r="S854" s="25">
        <f>IF(Q854=1,IF(P854&lt;O854,"Más estricto",IF(P854&gt;O854,"Más permisivo","Igual")),"")</f>
        <v/>
      </c>
      <c r="T854" s="25">
        <f>IF(Q854=1,IF(ABS(O854-P854)=2,1,0),"")</f>
        <v/>
      </c>
      <c r="U854" s="25">
        <f>IF(H854="","","|"&amp;SUBSTITUTE(SUBSTITUTE(TRIM(H854)," |","|"),"| ","|")&amp;"|")</f>
        <v/>
      </c>
      <c r="V854" s="25">
        <f>IF(AND(Q854=1,B854&lt;&gt;""),IF(IFERROR(COUNTIFS(B$3:B854,"="&amp;SUBSTITUTE(SUBSTITUTE(SUBSTITUTE(B854,"~","~~"),"*","~*"),"?","~?"),Q$3:Q854,1),0)=1,MAX(V$2:V853)+1,""),"")</f>
        <v/>
      </c>
      <c r="W854" s="25">
        <f>IF(V854="","",COUNTIFS($B$3:$B$1002,"="&amp;SUBSTITUTE(SUBSTITUTE(SUBSTITUTE(B854,"~","~~"),"*","~*"),"?","~?"),$Q$3:$Q$1002,1)*10000-V854)</f>
        <v/>
      </c>
      <c r="X854" s="25">
        <f>IF(Q854=1,IF(SUBSTITUTE(SUBSTITUTE(SUBSTITUTE(SUBSTITUTE(SUBSTITUTE(SUBSTITUTE(SUBSTITUTE(SUBSTITUTE(SUBSTITUTE(SUBSTITUTE(SUBSTITUTE(SUBSTITUTE(LOWER(TRIM(A854)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854)),"á","a"),"é","e"),"í","i"),"ó","o"),"ú","u"),"ü","u"),"ñ","n"),"à","a"),"è","e"),"ì","i"),"ò","o"),"ù","u")),"")</f>
        <v/>
      </c>
      <c r="Y854" s="25">
        <f>IF(X854="","",IF(IFERROR(COUNTIF(X$3:X854,"="&amp;SUBSTITUTE(SUBSTITUTE(SUBSTITUTE(X854,"~","~~"),"*","~*"),"?","~?")),0)=1,1,""))</f>
        <v/>
      </c>
      <c r="Z854" s="25">
        <f>IF(T854=1,MAX(Z$2:Z853)+1,"")</f>
        <v/>
      </c>
    </row>
    <row r="855">
      <c r="A855">
        <f>IF(A$2=0,"",IFERROR(TRIM(INDEX('Pegar calibracion'!$A$1:$BZ$1001,854,A$2)&amp;""),""))</f>
        <v/>
      </c>
      <c r="B855">
        <f>IF(B$2=0,"",IFERROR(TRIM(INDEX('Pegar calibracion'!$A$1:$BZ$1001,854,B$2)&amp;""),""))</f>
        <v/>
      </c>
      <c r="C855">
        <f>IF(C$2=0,"",IFERROR(TRIM(INDEX('Pegar calibracion'!$A$1:$BZ$1001,854,C$2)&amp;""),""))</f>
        <v/>
      </c>
      <c r="D855">
        <f>IF(D$2=0,"",IFERROR(TRIM(INDEX('Pegar calibracion'!$A$1:$BZ$1001,854,D$2)&amp;""),""))</f>
        <v/>
      </c>
      <c r="E855">
        <f>IF(E$2=0,"",IFERROR(TRIM(INDEX('Pegar calibracion'!$A$1:$BZ$1001,854,E$2)&amp;""),""))</f>
        <v/>
      </c>
      <c r="F855">
        <f>IF(F$2=0,"",IFERROR(TRIM(INDEX('Pegar calibracion'!$A$1:$BZ$1001,854,F$2)&amp;""),""))</f>
        <v/>
      </c>
      <c r="G855">
        <f>IF(G$2=0,"",IFERROR(TRIM(INDEX('Pegar calibracion'!$A$1:$BZ$1001,854,G$2)&amp;""),""))</f>
        <v/>
      </c>
      <c r="H855">
        <f>IF(H$2=0,"",IFERROR(TRIM(INDEX('Pegar calibracion'!$A$1:$BZ$1001,854,H$2)&amp;""),""))</f>
        <v/>
      </c>
      <c r="I855">
        <f>IF(I$2=0,"",IFERROR(TRIM(INDEX('Pegar calibracion'!$A$1:$BZ$1001,854,I$2)&amp;""),""))</f>
        <v/>
      </c>
      <c r="J855">
        <f>IF(J$2=0,"",IFERROR(TRIM(INDEX('Pegar calibracion'!$A$1:$BZ$1001,854,J$2)&amp;""),""))</f>
        <v/>
      </c>
      <c r="K855">
        <f>IF(K$2=0,"",IFERROR(TRIM(INDEX('Pegar calibracion'!$A$1:$BZ$1001,854,K$2)&amp;""),""))</f>
        <v/>
      </c>
      <c r="L855">
        <f>IF(L$2=0,"",IFERROR(TRIM(INDEX('Pegar calibracion'!$A$1:$BZ$1001,854,L$2)&amp;""),""))</f>
        <v/>
      </c>
      <c r="M855" s="25">
        <f>IF(D855="","",SUBSTITUTE(SUBSTITUTE(SUBSTITUTE(SUBSTITUTE(SUBSTITUTE(SUBSTITUTE(SUBSTITUTE(SUBSTITUTE(SUBSTITUTE(SUBSTITUTE(SUBSTITUTE(SUBSTITUTE(LOWER(TRIM(D855)),"á","a"),"é","e"),"í","i"),"ó","o"),"ú","u"),"ü","u"),"ñ","n"),"à","a"),"è","e"),"ì","i"),"ò","o"),"ù","u"))</f>
        <v/>
      </c>
      <c r="N855" s="25">
        <f>IF(F855="","",SUBSTITUTE(SUBSTITUTE(SUBSTITUTE(SUBSTITUTE(SUBSTITUTE(SUBSTITUTE(SUBSTITUTE(SUBSTITUTE(SUBSTITUTE(SUBSTITUTE(SUBSTITUTE(SUBSTITUTE(LOWER(TRIM(F855)),"á","a"),"é","e"),"í","i"),"ó","o"),"ú","u"),"ü","u"),"ñ","n"),"à","a"),"è","e"),"ì","i"),"ò","o"),"ù","u"))</f>
        <v/>
      </c>
      <c r="O855" s="25">
        <f>IF(M855="confiable",2,IF(M855="dudosa",1,IF(M855="no confiable",0,"")))</f>
        <v/>
      </c>
      <c r="P855" s="25">
        <f>IF(N855="confiable",2,IF(N855="dudosa",1,IF(N855="no confiable",0,"")))</f>
        <v/>
      </c>
      <c r="Q855" s="25">
        <f>IF(AND(ISNUMBER(O855),ISNUMBER(P855)),1,"")</f>
        <v/>
      </c>
      <c r="R855" s="25">
        <f>IF(Q855=1,IF(O855=P855,"Sí","No"),"")</f>
        <v/>
      </c>
      <c r="S855" s="25">
        <f>IF(Q855=1,IF(P855&lt;O855,"Más estricto",IF(P855&gt;O855,"Más permisivo","Igual")),"")</f>
        <v/>
      </c>
      <c r="T855" s="25">
        <f>IF(Q855=1,IF(ABS(O855-P855)=2,1,0),"")</f>
        <v/>
      </c>
      <c r="U855" s="25">
        <f>IF(H855="","","|"&amp;SUBSTITUTE(SUBSTITUTE(TRIM(H855)," |","|"),"| ","|")&amp;"|")</f>
        <v/>
      </c>
      <c r="V855" s="25">
        <f>IF(AND(Q855=1,B855&lt;&gt;""),IF(IFERROR(COUNTIFS(B$3:B855,"="&amp;SUBSTITUTE(SUBSTITUTE(SUBSTITUTE(B855,"~","~~"),"*","~*"),"?","~?"),Q$3:Q855,1),0)=1,MAX(V$2:V854)+1,""),"")</f>
        <v/>
      </c>
      <c r="W855" s="25">
        <f>IF(V855="","",COUNTIFS($B$3:$B$1002,"="&amp;SUBSTITUTE(SUBSTITUTE(SUBSTITUTE(B855,"~","~~"),"*","~*"),"?","~?"),$Q$3:$Q$1002,1)*10000-V855)</f>
        <v/>
      </c>
      <c r="X855" s="25">
        <f>IF(Q855=1,IF(SUBSTITUTE(SUBSTITUTE(SUBSTITUTE(SUBSTITUTE(SUBSTITUTE(SUBSTITUTE(SUBSTITUTE(SUBSTITUTE(SUBSTITUTE(SUBSTITUTE(SUBSTITUTE(SUBSTITUTE(LOWER(TRIM(A855)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855)),"á","a"),"é","e"),"í","i"),"ó","o"),"ú","u"),"ü","u"),"ñ","n"),"à","a"),"è","e"),"ì","i"),"ò","o"),"ù","u")),"")</f>
        <v/>
      </c>
      <c r="Y855" s="25">
        <f>IF(X855="","",IF(IFERROR(COUNTIF(X$3:X855,"="&amp;SUBSTITUTE(SUBSTITUTE(SUBSTITUTE(X855,"~","~~"),"*","~*"),"?","~?")),0)=1,1,""))</f>
        <v/>
      </c>
      <c r="Z855" s="25">
        <f>IF(T855=1,MAX(Z$2:Z854)+1,"")</f>
        <v/>
      </c>
    </row>
    <row r="856">
      <c r="A856">
        <f>IF(A$2=0,"",IFERROR(TRIM(INDEX('Pegar calibracion'!$A$1:$BZ$1001,855,A$2)&amp;""),""))</f>
        <v/>
      </c>
      <c r="B856">
        <f>IF(B$2=0,"",IFERROR(TRIM(INDEX('Pegar calibracion'!$A$1:$BZ$1001,855,B$2)&amp;""),""))</f>
        <v/>
      </c>
      <c r="C856">
        <f>IF(C$2=0,"",IFERROR(TRIM(INDEX('Pegar calibracion'!$A$1:$BZ$1001,855,C$2)&amp;""),""))</f>
        <v/>
      </c>
      <c r="D856">
        <f>IF(D$2=0,"",IFERROR(TRIM(INDEX('Pegar calibracion'!$A$1:$BZ$1001,855,D$2)&amp;""),""))</f>
        <v/>
      </c>
      <c r="E856">
        <f>IF(E$2=0,"",IFERROR(TRIM(INDEX('Pegar calibracion'!$A$1:$BZ$1001,855,E$2)&amp;""),""))</f>
        <v/>
      </c>
      <c r="F856">
        <f>IF(F$2=0,"",IFERROR(TRIM(INDEX('Pegar calibracion'!$A$1:$BZ$1001,855,F$2)&amp;""),""))</f>
        <v/>
      </c>
      <c r="G856">
        <f>IF(G$2=0,"",IFERROR(TRIM(INDEX('Pegar calibracion'!$A$1:$BZ$1001,855,G$2)&amp;""),""))</f>
        <v/>
      </c>
      <c r="H856">
        <f>IF(H$2=0,"",IFERROR(TRIM(INDEX('Pegar calibracion'!$A$1:$BZ$1001,855,H$2)&amp;""),""))</f>
        <v/>
      </c>
      <c r="I856">
        <f>IF(I$2=0,"",IFERROR(TRIM(INDEX('Pegar calibracion'!$A$1:$BZ$1001,855,I$2)&amp;""),""))</f>
        <v/>
      </c>
      <c r="J856">
        <f>IF(J$2=0,"",IFERROR(TRIM(INDEX('Pegar calibracion'!$A$1:$BZ$1001,855,J$2)&amp;""),""))</f>
        <v/>
      </c>
      <c r="K856">
        <f>IF(K$2=0,"",IFERROR(TRIM(INDEX('Pegar calibracion'!$A$1:$BZ$1001,855,K$2)&amp;""),""))</f>
        <v/>
      </c>
      <c r="L856">
        <f>IF(L$2=0,"",IFERROR(TRIM(INDEX('Pegar calibracion'!$A$1:$BZ$1001,855,L$2)&amp;""),""))</f>
        <v/>
      </c>
      <c r="M856" s="25">
        <f>IF(D856="","",SUBSTITUTE(SUBSTITUTE(SUBSTITUTE(SUBSTITUTE(SUBSTITUTE(SUBSTITUTE(SUBSTITUTE(SUBSTITUTE(SUBSTITUTE(SUBSTITUTE(SUBSTITUTE(SUBSTITUTE(LOWER(TRIM(D856)),"á","a"),"é","e"),"í","i"),"ó","o"),"ú","u"),"ü","u"),"ñ","n"),"à","a"),"è","e"),"ì","i"),"ò","o"),"ù","u"))</f>
        <v/>
      </c>
      <c r="N856" s="25">
        <f>IF(F856="","",SUBSTITUTE(SUBSTITUTE(SUBSTITUTE(SUBSTITUTE(SUBSTITUTE(SUBSTITUTE(SUBSTITUTE(SUBSTITUTE(SUBSTITUTE(SUBSTITUTE(SUBSTITUTE(SUBSTITUTE(LOWER(TRIM(F856)),"á","a"),"é","e"),"í","i"),"ó","o"),"ú","u"),"ü","u"),"ñ","n"),"à","a"),"è","e"),"ì","i"),"ò","o"),"ù","u"))</f>
        <v/>
      </c>
      <c r="O856" s="25">
        <f>IF(M856="confiable",2,IF(M856="dudosa",1,IF(M856="no confiable",0,"")))</f>
        <v/>
      </c>
      <c r="P856" s="25">
        <f>IF(N856="confiable",2,IF(N856="dudosa",1,IF(N856="no confiable",0,"")))</f>
        <v/>
      </c>
      <c r="Q856" s="25">
        <f>IF(AND(ISNUMBER(O856),ISNUMBER(P856)),1,"")</f>
        <v/>
      </c>
      <c r="R856" s="25">
        <f>IF(Q856=1,IF(O856=P856,"Sí","No"),"")</f>
        <v/>
      </c>
      <c r="S856" s="25">
        <f>IF(Q856=1,IF(P856&lt;O856,"Más estricto",IF(P856&gt;O856,"Más permisivo","Igual")),"")</f>
        <v/>
      </c>
      <c r="T856" s="25">
        <f>IF(Q856=1,IF(ABS(O856-P856)=2,1,0),"")</f>
        <v/>
      </c>
      <c r="U856" s="25">
        <f>IF(H856="","","|"&amp;SUBSTITUTE(SUBSTITUTE(TRIM(H856)," |","|"),"| ","|")&amp;"|")</f>
        <v/>
      </c>
      <c r="V856" s="25">
        <f>IF(AND(Q856=1,B856&lt;&gt;""),IF(IFERROR(COUNTIFS(B$3:B856,"="&amp;SUBSTITUTE(SUBSTITUTE(SUBSTITUTE(B856,"~","~~"),"*","~*"),"?","~?"),Q$3:Q856,1),0)=1,MAX(V$2:V855)+1,""),"")</f>
        <v/>
      </c>
      <c r="W856" s="25">
        <f>IF(V856="","",COUNTIFS($B$3:$B$1002,"="&amp;SUBSTITUTE(SUBSTITUTE(SUBSTITUTE(B856,"~","~~"),"*","~*"),"?","~?"),$Q$3:$Q$1002,1)*10000-V856)</f>
        <v/>
      </c>
      <c r="X856" s="25">
        <f>IF(Q856=1,IF(SUBSTITUTE(SUBSTITUTE(SUBSTITUTE(SUBSTITUTE(SUBSTITUTE(SUBSTITUTE(SUBSTITUTE(SUBSTITUTE(SUBSTITUTE(SUBSTITUTE(SUBSTITUTE(SUBSTITUTE(LOWER(TRIM(A856)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856)),"á","a"),"é","e"),"í","i"),"ó","o"),"ú","u"),"ü","u"),"ñ","n"),"à","a"),"è","e"),"ì","i"),"ò","o"),"ù","u")),"")</f>
        <v/>
      </c>
      <c r="Y856" s="25">
        <f>IF(X856="","",IF(IFERROR(COUNTIF(X$3:X856,"="&amp;SUBSTITUTE(SUBSTITUTE(SUBSTITUTE(X856,"~","~~"),"*","~*"),"?","~?")),0)=1,1,""))</f>
        <v/>
      </c>
      <c r="Z856" s="25">
        <f>IF(T856=1,MAX(Z$2:Z855)+1,"")</f>
        <v/>
      </c>
    </row>
    <row r="857">
      <c r="A857">
        <f>IF(A$2=0,"",IFERROR(TRIM(INDEX('Pegar calibracion'!$A$1:$BZ$1001,856,A$2)&amp;""),""))</f>
        <v/>
      </c>
      <c r="B857">
        <f>IF(B$2=0,"",IFERROR(TRIM(INDEX('Pegar calibracion'!$A$1:$BZ$1001,856,B$2)&amp;""),""))</f>
        <v/>
      </c>
      <c r="C857">
        <f>IF(C$2=0,"",IFERROR(TRIM(INDEX('Pegar calibracion'!$A$1:$BZ$1001,856,C$2)&amp;""),""))</f>
        <v/>
      </c>
      <c r="D857">
        <f>IF(D$2=0,"",IFERROR(TRIM(INDEX('Pegar calibracion'!$A$1:$BZ$1001,856,D$2)&amp;""),""))</f>
        <v/>
      </c>
      <c r="E857">
        <f>IF(E$2=0,"",IFERROR(TRIM(INDEX('Pegar calibracion'!$A$1:$BZ$1001,856,E$2)&amp;""),""))</f>
        <v/>
      </c>
      <c r="F857">
        <f>IF(F$2=0,"",IFERROR(TRIM(INDEX('Pegar calibracion'!$A$1:$BZ$1001,856,F$2)&amp;""),""))</f>
        <v/>
      </c>
      <c r="G857">
        <f>IF(G$2=0,"",IFERROR(TRIM(INDEX('Pegar calibracion'!$A$1:$BZ$1001,856,G$2)&amp;""),""))</f>
        <v/>
      </c>
      <c r="H857">
        <f>IF(H$2=0,"",IFERROR(TRIM(INDEX('Pegar calibracion'!$A$1:$BZ$1001,856,H$2)&amp;""),""))</f>
        <v/>
      </c>
      <c r="I857">
        <f>IF(I$2=0,"",IFERROR(TRIM(INDEX('Pegar calibracion'!$A$1:$BZ$1001,856,I$2)&amp;""),""))</f>
        <v/>
      </c>
      <c r="J857">
        <f>IF(J$2=0,"",IFERROR(TRIM(INDEX('Pegar calibracion'!$A$1:$BZ$1001,856,J$2)&amp;""),""))</f>
        <v/>
      </c>
      <c r="K857">
        <f>IF(K$2=0,"",IFERROR(TRIM(INDEX('Pegar calibracion'!$A$1:$BZ$1001,856,K$2)&amp;""),""))</f>
        <v/>
      </c>
      <c r="L857">
        <f>IF(L$2=0,"",IFERROR(TRIM(INDEX('Pegar calibracion'!$A$1:$BZ$1001,856,L$2)&amp;""),""))</f>
        <v/>
      </c>
      <c r="M857" s="25">
        <f>IF(D857="","",SUBSTITUTE(SUBSTITUTE(SUBSTITUTE(SUBSTITUTE(SUBSTITUTE(SUBSTITUTE(SUBSTITUTE(SUBSTITUTE(SUBSTITUTE(SUBSTITUTE(SUBSTITUTE(SUBSTITUTE(LOWER(TRIM(D857)),"á","a"),"é","e"),"í","i"),"ó","o"),"ú","u"),"ü","u"),"ñ","n"),"à","a"),"è","e"),"ì","i"),"ò","o"),"ù","u"))</f>
        <v/>
      </c>
      <c r="N857" s="25">
        <f>IF(F857="","",SUBSTITUTE(SUBSTITUTE(SUBSTITUTE(SUBSTITUTE(SUBSTITUTE(SUBSTITUTE(SUBSTITUTE(SUBSTITUTE(SUBSTITUTE(SUBSTITUTE(SUBSTITUTE(SUBSTITUTE(LOWER(TRIM(F857)),"á","a"),"é","e"),"í","i"),"ó","o"),"ú","u"),"ü","u"),"ñ","n"),"à","a"),"è","e"),"ì","i"),"ò","o"),"ù","u"))</f>
        <v/>
      </c>
      <c r="O857" s="25">
        <f>IF(M857="confiable",2,IF(M857="dudosa",1,IF(M857="no confiable",0,"")))</f>
        <v/>
      </c>
      <c r="P857" s="25">
        <f>IF(N857="confiable",2,IF(N857="dudosa",1,IF(N857="no confiable",0,"")))</f>
        <v/>
      </c>
      <c r="Q857" s="25">
        <f>IF(AND(ISNUMBER(O857),ISNUMBER(P857)),1,"")</f>
        <v/>
      </c>
      <c r="R857" s="25">
        <f>IF(Q857=1,IF(O857=P857,"Sí","No"),"")</f>
        <v/>
      </c>
      <c r="S857" s="25">
        <f>IF(Q857=1,IF(P857&lt;O857,"Más estricto",IF(P857&gt;O857,"Más permisivo","Igual")),"")</f>
        <v/>
      </c>
      <c r="T857" s="25">
        <f>IF(Q857=1,IF(ABS(O857-P857)=2,1,0),"")</f>
        <v/>
      </c>
      <c r="U857" s="25">
        <f>IF(H857="","","|"&amp;SUBSTITUTE(SUBSTITUTE(TRIM(H857)," |","|"),"| ","|")&amp;"|")</f>
        <v/>
      </c>
      <c r="V857" s="25">
        <f>IF(AND(Q857=1,B857&lt;&gt;""),IF(IFERROR(COUNTIFS(B$3:B857,"="&amp;SUBSTITUTE(SUBSTITUTE(SUBSTITUTE(B857,"~","~~"),"*","~*"),"?","~?"),Q$3:Q857,1),0)=1,MAX(V$2:V856)+1,""),"")</f>
        <v/>
      </c>
      <c r="W857" s="25">
        <f>IF(V857="","",COUNTIFS($B$3:$B$1002,"="&amp;SUBSTITUTE(SUBSTITUTE(SUBSTITUTE(B857,"~","~~"),"*","~*"),"?","~?"),$Q$3:$Q$1002,1)*10000-V857)</f>
        <v/>
      </c>
      <c r="X857" s="25">
        <f>IF(Q857=1,IF(SUBSTITUTE(SUBSTITUTE(SUBSTITUTE(SUBSTITUTE(SUBSTITUTE(SUBSTITUTE(SUBSTITUTE(SUBSTITUTE(SUBSTITUTE(SUBSTITUTE(SUBSTITUTE(SUBSTITUTE(LOWER(TRIM(A857)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857)),"á","a"),"é","e"),"í","i"),"ó","o"),"ú","u"),"ü","u"),"ñ","n"),"à","a"),"è","e"),"ì","i"),"ò","o"),"ù","u")),"")</f>
        <v/>
      </c>
      <c r="Y857" s="25">
        <f>IF(X857="","",IF(IFERROR(COUNTIF(X$3:X857,"="&amp;SUBSTITUTE(SUBSTITUTE(SUBSTITUTE(X857,"~","~~"),"*","~*"),"?","~?")),0)=1,1,""))</f>
        <v/>
      </c>
      <c r="Z857" s="25">
        <f>IF(T857=1,MAX(Z$2:Z856)+1,"")</f>
        <v/>
      </c>
    </row>
    <row r="858">
      <c r="A858">
        <f>IF(A$2=0,"",IFERROR(TRIM(INDEX('Pegar calibracion'!$A$1:$BZ$1001,857,A$2)&amp;""),""))</f>
        <v/>
      </c>
      <c r="B858">
        <f>IF(B$2=0,"",IFERROR(TRIM(INDEX('Pegar calibracion'!$A$1:$BZ$1001,857,B$2)&amp;""),""))</f>
        <v/>
      </c>
      <c r="C858">
        <f>IF(C$2=0,"",IFERROR(TRIM(INDEX('Pegar calibracion'!$A$1:$BZ$1001,857,C$2)&amp;""),""))</f>
        <v/>
      </c>
      <c r="D858">
        <f>IF(D$2=0,"",IFERROR(TRIM(INDEX('Pegar calibracion'!$A$1:$BZ$1001,857,D$2)&amp;""),""))</f>
        <v/>
      </c>
      <c r="E858">
        <f>IF(E$2=0,"",IFERROR(TRIM(INDEX('Pegar calibracion'!$A$1:$BZ$1001,857,E$2)&amp;""),""))</f>
        <v/>
      </c>
      <c r="F858">
        <f>IF(F$2=0,"",IFERROR(TRIM(INDEX('Pegar calibracion'!$A$1:$BZ$1001,857,F$2)&amp;""),""))</f>
        <v/>
      </c>
      <c r="G858">
        <f>IF(G$2=0,"",IFERROR(TRIM(INDEX('Pegar calibracion'!$A$1:$BZ$1001,857,G$2)&amp;""),""))</f>
        <v/>
      </c>
      <c r="H858">
        <f>IF(H$2=0,"",IFERROR(TRIM(INDEX('Pegar calibracion'!$A$1:$BZ$1001,857,H$2)&amp;""),""))</f>
        <v/>
      </c>
      <c r="I858">
        <f>IF(I$2=0,"",IFERROR(TRIM(INDEX('Pegar calibracion'!$A$1:$BZ$1001,857,I$2)&amp;""),""))</f>
        <v/>
      </c>
      <c r="J858">
        <f>IF(J$2=0,"",IFERROR(TRIM(INDEX('Pegar calibracion'!$A$1:$BZ$1001,857,J$2)&amp;""),""))</f>
        <v/>
      </c>
      <c r="K858">
        <f>IF(K$2=0,"",IFERROR(TRIM(INDEX('Pegar calibracion'!$A$1:$BZ$1001,857,K$2)&amp;""),""))</f>
        <v/>
      </c>
      <c r="L858">
        <f>IF(L$2=0,"",IFERROR(TRIM(INDEX('Pegar calibracion'!$A$1:$BZ$1001,857,L$2)&amp;""),""))</f>
        <v/>
      </c>
      <c r="M858" s="25">
        <f>IF(D858="","",SUBSTITUTE(SUBSTITUTE(SUBSTITUTE(SUBSTITUTE(SUBSTITUTE(SUBSTITUTE(SUBSTITUTE(SUBSTITUTE(SUBSTITUTE(SUBSTITUTE(SUBSTITUTE(SUBSTITUTE(LOWER(TRIM(D858)),"á","a"),"é","e"),"í","i"),"ó","o"),"ú","u"),"ü","u"),"ñ","n"),"à","a"),"è","e"),"ì","i"),"ò","o"),"ù","u"))</f>
        <v/>
      </c>
      <c r="N858" s="25">
        <f>IF(F858="","",SUBSTITUTE(SUBSTITUTE(SUBSTITUTE(SUBSTITUTE(SUBSTITUTE(SUBSTITUTE(SUBSTITUTE(SUBSTITUTE(SUBSTITUTE(SUBSTITUTE(SUBSTITUTE(SUBSTITUTE(LOWER(TRIM(F858)),"á","a"),"é","e"),"í","i"),"ó","o"),"ú","u"),"ü","u"),"ñ","n"),"à","a"),"è","e"),"ì","i"),"ò","o"),"ù","u"))</f>
        <v/>
      </c>
      <c r="O858" s="25">
        <f>IF(M858="confiable",2,IF(M858="dudosa",1,IF(M858="no confiable",0,"")))</f>
        <v/>
      </c>
      <c r="P858" s="25">
        <f>IF(N858="confiable",2,IF(N858="dudosa",1,IF(N858="no confiable",0,"")))</f>
        <v/>
      </c>
      <c r="Q858" s="25">
        <f>IF(AND(ISNUMBER(O858),ISNUMBER(P858)),1,"")</f>
        <v/>
      </c>
      <c r="R858" s="25">
        <f>IF(Q858=1,IF(O858=P858,"Sí","No"),"")</f>
        <v/>
      </c>
      <c r="S858" s="25">
        <f>IF(Q858=1,IF(P858&lt;O858,"Más estricto",IF(P858&gt;O858,"Más permisivo","Igual")),"")</f>
        <v/>
      </c>
      <c r="T858" s="25">
        <f>IF(Q858=1,IF(ABS(O858-P858)=2,1,0),"")</f>
        <v/>
      </c>
      <c r="U858" s="25">
        <f>IF(H858="","","|"&amp;SUBSTITUTE(SUBSTITUTE(TRIM(H858)," |","|"),"| ","|")&amp;"|")</f>
        <v/>
      </c>
      <c r="V858" s="25">
        <f>IF(AND(Q858=1,B858&lt;&gt;""),IF(IFERROR(COUNTIFS(B$3:B858,"="&amp;SUBSTITUTE(SUBSTITUTE(SUBSTITUTE(B858,"~","~~"),"*","~*"),"?","~?"),Q$3:Q858,1),0)=1,MAX(V$2:V857)+1,""),"")</f>
        <v/>
      </c>
      <c r="W858" s="25">
        <f>IF(V858="","",COUNTIFS($B$3:$B$1002,"="&amp;SUBSTITUTE(SUBSTITUTE(SUBSTITUTE(B858,"~","~~"),"*","~*"),"?","~?"),$Q$3:$Q$1002,1)*10000-V858)</f>
        <v/>
      </c>
      <c r="X858" s="25">
        <f>IF(Q858=1,IF(SUBSTITUTE(SUBSTITUTE(SUBSTITUTE(SUBSTITUTE(SUBSTITUTE(SUBSTITUTE(SUBSTITUTE(SUBSTITUTE(SUBSTITUTE(SUBSTITUTE(SUBSTITUTE(SUBSTITUTE(LOWER(TRIM(A858)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858)),"á","a"),"é","e"),"í","i"),"ó","o"),"ú","u"),"ü","u"),"ñ","n"),"à","a"),"è","e"),"ì","i"),"ò","o"),"ù","u")),"")</f>
        <v/>
      </c>
      <c r="Y858" s="25">
        <f>IF(X858="","",IF(IFERROR(COUNTIF(X$3:X858,"="&amp;SUBSTITUTE(SUBSTITUTE(SUBSTITUTE(X858,"~","~~"),"*","~*"),"?","~?")),0)=1,1,""))</f>
        <v/>
      </c>
      <c r="Z858" s="25">
        <f>IF(T858=1,MAX(Z$2:Z857)+1,"")</f>
        <v/>
      </c>
    </row>
    <row r="859">
      <c r="A859">
        <f>IF(A$2=0,"",IFERROR(TRIM(INDEX('Pegar calibracion'!$A$1:$BZ$1001,858,A$2)&amp;""),""))</f>
        <v/>
      </c>
      <c r="B859">
        <f>IF(B$2=0,"",IFERROR(TRIM(INDEX('Pegar calibracion'!$A$1:$BZ$1001,858,B$2)&amp;""),""))</f>
        <v/>
      </c>
      <c r="C859">
        <f>IF(C$2=0,"",IFERROR(TRIM(INDEX('Pegar calibracion'!$A$1:$BZ$1001,858,C$2)&amp;""),""))</f>
        <v/>
      </c>
      <c r="D859">
        <f>IF(D$2=0,"",IFERROR(TRIM(INDEX('Pegar calibracion'!$A$1:$BZ$1001,858,D$2)&amp;""),""))</f>
        <v/>
      </c>
      <c r="E859">
        <f>IF(E$2=0,"",IFERROR(TRIM(INDEX('Pegar calibracion'!$A$1:$BZ$1001,858,E$2)&amp;""),""))</f>
        <v/>
      </c>
      <c r="F859">
        <f>IF(F$2=0,"",IFERROR(TRIM(INDEX('Pegar calibracion'!$A$1:$BZ$1001,858,F$2)&amp;""),""))</f>
        <v/>
      </c>
      <c r="G859">
        <f>IF(G$2=0,"",IFERROR(TRIM(INDEX('Pegar calibracion'!$A$1:$BZ$1001,858,G$2)&amp;""),""))</f>
        <v/>
      </c>
      <c r="H859">
        <f>IF(H$2=0,"",IFERROR(TRIM(INDEX('Pegar calibracion'!$A$1:$BZ$1001,858,H$2)&amp;""),""))</f>
        <v/>
      </c>
      <c r="I859">
        <f>IF(I$2=0,"",IFERROR(TRIM(INDEX('Pegar calibracion'!$A$1:$BZ$1001,858,I$2)&amp;""),""))</f>
        <v/>
      </c>
      <c r="J859">
        <f>IF(J$2=0,"",IFERROR(TRIM(INDEX('Pegar calibracion'!$A$1:$BZ$1001,858,J$2)&amp;""),""))</f>
        <v/>
      </c>
      <c r="K859">
        <f>IF(K$2=0,"",IFERROR(TRIM(INDEX('Pegar calibracion'!$A$1:$BZ$1001,858,K$2)&amp;""),""))</f>
        <v/>
      </c>
      <c r="L859">
        <f>IF(L$2=0,"",IFERROR(TRIM(INDEX('Pegar calibracion'!$A$1:$BZ$1001,858,L$2)&amp;""),""))</f>
        <v/>
      </c>
      <c r="M859" s="25">
        <f>IF(D859="","",SUBSTITUTE(SUBSTITUTE(SUBSTITUTE(SUBSTITUTE(SUBSTITUTE(SUBSTITUTE(SUBSTITUTE(SUBSTITUTE(SUBSTITUTE(SUBSTITUTE(SUBSTITUTE(SUBSTITUTE(LOWER(TRIM(D859)),"á","a"),"é","e"),"í","i"),"ó","o"),"ú","u"),"ü","u"),"ñ","n"),"à","a"),"è","e"),"ì","i"),"ò","o"),"ù","u"))</f>
        <v/>
      </c>
      <c r="N859" s="25">
        <f>IF(F859="","",SUBSTITUTE(SUBSTITUTE(SUBSTITUTE(SUBSTITUTE(SUBSTITUTE(SUBSTITUTE(SUBSTITUTE(SUBSTITUTE(SUBSTITUTE(SUBSTITUTE(SUBSTITUTE(SUBSTITUTE(LOWER(TRIM(F859)),"á","a"),"é","e"),"í","i"),"ó","o"),"ú","u"),"ü","u"),"ñ","n"),"à","a"),"è","e"),"ì","i"),"ò","o"),"ù","u"))</f>
        <v/>
      </c>
      <c r="O859" s="25">
        <f>IF(M859="confiable",2,IF(M859="dudosa",1,IF(M859="no confiable",0,"")))</f>
        <v/>
      </c>
      <c r="P859" s="25">
        <f>IF(N859="confiable",2,IF(N859="dudosa",1,IF(N859="no confiable",0,"")))</f>
        <v/>
      </c>
      <c r="Q859" s="25">
        <f>IF(AND(ISNUMBER(O859),ISNUMBER(P859)),1,"")</f>
        <v/>
      </c>
      <c r="R859" s="25">
        <f>IF(Q859=1,IF(O859=P859,"Sí","No"),"")</f>
        <v/>
      </c>
      <c r="S859" s="25">
        <f>IF(Q859=1,IF(P859&lt;O859,"Más estricto",IF(P859&gt;O859,"Más permisivo","Igual")),"")</f>
        <v/>
      </c>
      <c r="T859" s="25">
        <f>IF(Q859=1,IF(ABS(O859-P859)=2,1,0),"")</f>
        <v/>
      </c>
      <c r="U859" s="25">
        <f>IF(H859="","","|"&amp;SUBSTITUTE(SUBSTITUTE(TRIM(H859)," |","|"),"| ","|")&amp;"|")</f>
        <v/>
      </c>
      <c r="V859" s="25">
        <f>IF(AND(Q859=1,B859&lt;&gt;""),IF(IFERROR(COUNTIFS(B$3:B859,"="&amp;SUBSTITUTE(SUBSTITUTE(SUBSTITUTE(B859,"~","~~"),"*","~*"),"?","~?"),Q$3:Q859,1),0)=1,MAX(V$2:V858)+1,""),"")</f>
        <v/>
      </c>
      <c r="W859" s="25">
        <f>IF(V859="","",COUNTIFS($B$3:$B$1002,"="&amp;SUBSTITUTE(SUBSTITUTE(SUBSTITUTE(B859,"~","~~"),"*","~*"),"?","~?"),$Q$3:$Q$1002,1)*10000-V859)</f>
        <v/>
      </c>
      <c r="X859" s="25">
        <f>IF(Q859=1,IF(SUBSTITUTE(SUBSTITUTE(SUBSTITUTE(SUBSTITUTE(SUBSTITUTE(SUBSTITUTE(SUBSTITUTE(SUBSTITUTE(SUBSTITUTE(SUBSTITUTE(SUBSTITUTE(SUBSTITUTE(LOWER(TRIM(A859)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859)),"á","a"),"é","e"),"í","i"),"ó","o"),"ú","u"),"ü","u"),"ñ","n"),"à","a"),"è","e"),"ì","i"),"ò","o"),"ù","u")),"")</f>
        <v/>
      </c>
      <c r="Y859" s="25">
        <f>IF(X859="","",IF(IFERROR(COUNTIF(X$3:X859,"="&amp;SUBSTITUTE(SUBSTITUTE(SUBSTITUTE(X859,"~","~~"),"*","~*"),"?","~?")),0)=1,1,""))</f>
        <v/>
      </c>
      <c r="Z859" s="25">
        <f>IF(T859=1,MAX(Z$2:Z858)+1,"")</f>
        <v/>
      </c>
    </row>
    <row r="860">
      <c r="A860">
        <f>IF(A$2=0,"",IFERROR(TRIM(INDEX('Pegar calibracion'!$A$1:$BZ$1001,859,A$2)&amp;""),""))</f>
        <v/>
      </c>
      <c r="B860">
        <f>IF(B$2=0,"",IFERROR(TRIM(INDEX('Pegar calibracion'!$A$1:$BZ$1001,859,B$2)&amp;""),""))</f>
        <v/>
      </c>
      <c r="C860">
        <f>IF(C$2=0,"",IFERROR(TRIM(INDEX('Pegar calibracion'!$A$1:$BZ$1001,859,C$2)&amp;""),""))</f>
        <v/>
      </c>
      <c r="D860">
        <f>IF(D$2=0,"",IFERROR(TRIM(INDEX('Pegar calibracion'!$A$1:$BZ$1001,859,D$2)&amp;""),""))</f>
        <v/>
      </c>
      <c r="E860">
        <f>IF(E$2=0,"",IFERROR(TRIM(INDEX('Pegar calibracion'!$A$1:$BZ$1001,859,E$2)&amp;""),""))</f>
        <v/>
      </c>
      <c r="F860">
        <f>IF(F$2=0,"",IFERROR(TRIM(INDEX('Pegar calibracion'!$A$1:$BZ$1001,859,F$2)&amp;""),""))</f>
        <v/>
      </c>
      <c r="G860">
        <f>IF(G$2=0,"",IFERROR(TRIM(INDEX('Pegar calibracion'!$A$1:$BZ$1001,859,G$2)&amp;""),""))</f>
        <v/>
      </c>
      <c r="H860">
        <f>IF(H$2=0,"",IFERROR(TRIM(INDEX('Pegar calibracion'!$A$1:$BZ$1001,859,H$2)&amp;""),""))</f>
        <v/>
      </c>
      <c r="I860">
        <f>IF(I$2=0,"",IFERROR(TRIM(INDEX('Pegar calibracion'!$A$1:$BZ$1001,859,I$2)&amp;""),""))</f>
        <v/>
      </c>
      <c r="J860">
        <f>IF(J$2=0,"",IFERROR(TRIM(INDEX('Pegar calibracion'!$A$1:$BZ$1001,859,J$2)&amp;""),""))</f>
        <v/>
      </c>
      <c r="K860">
        <f>IF(K$2=0,"",IFERROR(TRIM(INDEX('Pegar calibracion'!$A$1:$BZ$1001,859,K$2)&amp;""),""))</f>
        <v/>
      </c>
      <c r="L860">
        <f>IF(L$2=0,"",IFERROR(TRIM(INDEX('Pegar calibracion'!$A$1:$BZ$1001,859,L$2)&amp;""),""))</f>
        <v/>
      </c>
      <c r="M860" s="25">
        <f>IF(D860="","",SUBSTITUTE(SUBSTITUTE(SUBSTITUTE(SUBSTITUTE(SUBSTITUTE(SUBSTITUTE(SUBSTITUTE(SUBSTITUTE(SUBSTITUTE(SUBSTITUTE(SUBSTITUTE(SUBSTITUTE(LOWER(TRIM(D860)),"á","a"),"é","e"),"í","i"),"ó","o"),"ú","u"),"ü","u"),"ñ","n"),"à","a"),"è","e"),"ì","i"),"ò","o"),"ù","u"))</f>
        <v/>
      </c>
      <c r="N860" s="25">
        <f>IF(F860="","",SUBSTITUTE(SUBSTITUTE(SUBSTITUTE(SUBSTITUTE(SUBSTITUTE(SUBSTITUTE(SUBSTITUTE(SUBSTITUTE(SUBSTITUTE(SUBSTITUTE(SUBSTITUTE(SUBSTITUTE(LOWER(TRIM(F860)),"á","a"),"é","e"),"í","i"),"ó","o"),"ú","u"),"ü","u"),"ñ","n"),"à","a"),"è","e"),"ì","i"),"ò","o"),"ù","u"))</f>
        <v/>
      </c>
      <c r="O860" s="25">
        <f>IF(M860="confiable",2,IF(M860="dudosa",1,IF(M860="no confiable",0,"")))</f>
        <v/>
      </c>
      <c r="P860" s="25">
        <f>IF(N860="confiable",2,IF(N860="dudosa",1,IF(N860="no confiable",0,"")))</f>
        <v/>
      </c>
      <c r="Q860" s="25">
        <f>IF(AND(ISNUMBER(O860),ISNUMBER(P860)),1,"")</f>
        <v/>
      </c>
      <c r="R860" s="25">
        <f>IF(Q860=1,IF(O860=P860,"Sí","No"),"")</f>
        <v/>
      </c>
      <c r="S860" s="25">
        <f>IF(Q860=1,IF(P860&lt;O860,"Más estricto",IF(P860&gt;O860,"Más permisivo","Igual")),"")</f>
        <v/>
      </c>
      <c r="T860" s="25">
        <f>IF(Q860=1,IF(ABS(O860-P860)=2,1,0),"")</f>
        <v/>
      </c>
      <c r="U860" s="25">
        <f>IF(H860="","","|"&amp;SUBSTITUTE(SUBSTITUTE(TRIM(H860)," |","|"),"| ","|")&amp;"|")</f>
        <v/>
      </c>
      <c r="V860" s="25">
        <f>IF(AND(Q860=1,B860&lt;&gt;""),IF(IFERROR(COUNTIFS(B$3:B860,"="&amp;SUBSTITUTE(SUBSTITUTE(SUBSTITUTE(B860,"~","~~"),"*","~*"),"?","~?"),Q$3:Q860,1),0)=1,MAX(V$2:V859)+1,""),"")</f>
        <v/>
      </c>
      <c r="W860" s="25">
        <f>IF(V860="","",COUNTIFS($B$3:$B$1002,"="&amp;SUBSTITUTE(SUBSTITUTE(SUBSTITUTE(B860,"~","~~"),"*","~*"),"?","~?"),$Q$3:$Q$1002,1)*10000-V860)</f>
        <v/>
      </c>
      <c r="X860" s="25">
        <f>IF(Q860=1,IF(SUBSTITUTE(SUBSTITUTE(SUBSTITUTE(SUBSTITUTE(SUBSTITUTE(SUBSTITUTE(SUBSTITUTE(SUBSTITUTE(SUBSTITUTE(SUBSTITUTE(SUBSTITUTE(SUBSTITUTE(LOWER(TRIM(A860)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860)),"á","a"),"é","e"),"í","i"),"ó","o"),"ú","u"),"ü","u"),"ñ","n"),"à","a"),"è","e"),"ì","i"),"ò","o"),"ù","u")),"")</f>
        <v/>
      </c>
      <c r="Y860" s="25">
        <f>IF(X860="","",IF(IFERROR(COUNTIF(X$3:X860,"="&amp;SUBSTITUTE(SUBSTITUTE(SUBSTITUTE(X860,"~","~~"),"*","~*"),"?","~?")),0)=1,1,""))</f>
        <v/>
      </c>
      <c r="Z860" s="25">
        <f>IF(T860=1,MAX(Z$2:Z859)+1,"")</f>
        <v/>
      </c>
    </row>
    <row r="861">
      <c r="A861">
        <f>IF(A$2=0,"",IFERROR(TRIM(INDEX('Pegar calibracion'!$A$1:$BZ$1001,860,A$2)&amp;""),""))</f>
        <v/>
      </c>
      <c r="B861">
        <f>IF(B$2=0,"",IFERROR(TRIM(INDEX('Pegar calibracion'!$A$1:$BZ$1001,860,B$2)&amp;""),""))</f>
        <v/>
      </c>
      <c r="C861">
        <f>IF(C$2=0,"",IFERROR(TRIM(INDEX('Pegar calibracion'!$A$1:$BZ$1001,860,C$2)&amp;""),""))</f>
        <v/>
      </c>
      <c r="D861">
        <f>IF(D$2=0,"",IFERROR(TRIM(INDEX('Pegar calibracion'!$A$1:$BZ$1001,860,D$2)&amp;""),""))</f>
        <v/>
      </c>
      <c r="E861">
        <f>IF(E$2=0,"",IFERROR(TRIM(INDEX('Pegar calibracion'!$A$1:$BZ$1001,860,E$2)&amp;""),""))</f>
        <v/>
      </c>
      <c r="F861">
        <f>IF(F$2=0,"",IFERROR(TRIM(INDEX('Pegar calibracion'!$A$1:$BZ$1001,860,F$2)&amp;""),""))</f>
        <v/>
      </c>
      <c r="G861">
        <f>IF(G$2=0,"",IFERROR(TRIM(INDEX('Pegar calibracion'!$A$1:$BZ$1001,860,G$2)&amp;""),""))</f>
        <v/>
      </c>
      <c r="H861">
        <f>IF(H$2=0,"",IFERROR(TRIM(INDEX('Pegar calibracion'!$A$1:$BZ$1001,860,H$2)&amp;""),""))</f>
        <v/>
      </c>
      <c r="I861">
        <f>IF(I$2=0,"",IFERROR(TRIM(INDEX('Pegar calibracion'!$A$1:$BZ$1001,860,I$2)&amp;""),""))</f>
        <v/>
      </c>
      <c r="J861">
        <f>IF(J$2=0,"",IFERROR(TRIM(INDEX('Pegar calibracion'!$A$1:$BZ$1001,860,J$2)&amp;""),""))</f>
        <v/>
      </c>
      <c r="K861">
        <f>IF(K$2=0,"",IFERROR(TRIM(INDEX('Pegar calibracion'!$A$1:$BZ$1001,860,K$2)&amp;""),""))</f>
        <v/>
      </c>
      <c r="L861">
        <f>IF(L$2=0,"",IFERROR(TRIM(INDEX('Pegar calibracion'!$A$1:$BZ$1001,860,L$2)&amp;""),""))</f>
        <v/>
      </c>
      <c r="M861" s="25">
        <f>IF(D861="","",SUBSTITUTE(SUBSTITUTE(SUBSTITUTE(SUBSTITUTE(SUBSTITUTE(SUBSTITUTE(SUBSTITUTE(SUBSTITUTE(SUBSTITUTE(SUBSTITUTE(SUBSTITUTE(SUBSTITUTE(LOWER(TRIM(D861)),"á","a"),"é","e"),"í","i"),"ó","o"),"ú","u"),"ü","u"),"ñ","n"),"à","a"),"è","e"),"ì","i"),"ò","o"),"ù","u"))</f>
        <v/>
      </c>
      <c r="N861" s="25">
        <f>IF(F861="","",SUBSTITUTE(SUBSTITUTE(SUBSTITUTE(SUBSTITUTE(SUBSTITUTE(SUBSTITUTE(SUBSTITUTE(SUBSTITUTE(SUBSTITUTE(SUBSTITUTE(SUBSTITUTE(SUBSTITUTE(LOWER(TRIM(F861)),"á","a"),"é","e"),"í","i"),"ó","o"),"ú","u"),"ü","u"),"ñ","n"),"à","a"),"è","e"),"ì","i"),"ò","o"),"ù","u"))</f>
        <v/>
      </c>
      <c r="O861" s="25">
        <f>IF(M861="confiable",2,IF(M861="dudosa",1,IF(M861="no confiable",0,"")))</f>
        <v/>
      </c>
      <c r="P861" s="25">
        <f>IF(N861="confiable",2,IF(N861="dudosa",1,IF(N861="no confiable",0,"")))</f>
        <v/>
      </c>
      <c r="Q861" s="25">
        <f>IF(AND(ISNUMBER(O861),ISNUMBER(P861)),1,"")</f>
        <v/>
      </c>
      <c r="R861" s="25">
        <f>IF(Q861=1,IF(O861=P861,"Sí","No"),"")</f>
        <v/>
      </c>
      <c r="S861" s="25">
        <f>IF(Q861=1,IF(P861&lt;O861,"Más estricto",IF(P861&gt;O861,"Más permisivo","Igual")),"")</f>
        <v/>
      </c>
      <c r="T861" s="25">
        <f>IF(Q861=1,IF(ABS(O861-P861)=2,1,0),"")</f>
        <v/>
      </c>
      <c r="U861" s="25">
        <f>IF(H861="","","|"&amp;SUBSTITUTE(SUBSTITUTE(TRIM(H861)," |","|"),"| ","|")&amp;"|")</f>
        <v/>
      </c>
      <c r="V861" s="25">
        <f>IF(AND(Q861=1,B861&lt;&gt;""),IF(IFERROR(COUNTIFS(B$3:B861,"="&amp;SUBSTITUTE(SUBSTITUTE(SUBSTITUTE(B861,"~","~~"),"*","~*"),"?","~?"),Q$3:Q861,1),0)=1,MAX(V$2:V860)+1,""),"")</f>
        <v/>
      </c>
      <c r="W861" s="25">
        <f>IF(V861="","",COUNTIFS($B$3:$B$1002,"="&amp;SUBSTITUTE(SUBSTITUTE(SUBSTITUTE(B861,"~","~~"),"*","~*"),"?","~?"),$Q$3:$Q$1002,1)*10000-V861)</f>
        <v/>
      </c>
      <c r="X861" s="25">
        <f>IF(Q861=1,IF(SUBSTITUTE(SUBSTITUTE(SUBSTITUTE(SUBSTITUTE(SUBSTITUTE(SUBSTITUTE(SUBSTITUTE(SUBSTITUTE(SUBSTITUTE(SUBSTITUTE(SUBSTITUTE(SUBSTITUTE(LOWER(TRIM(A861)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861)),"á","a"),"é","e"),"í","i"),"ó","o"),"ú","u"),"ü","u"),"ñ","n"),"à","a"),"è","e"),"ì","i"),"ò","o"),"ù","u")),"")</f>
        <v/>
      </c>
      <c r="Y861" s="25">
        <f>IF(X861="","",IF(IFERROR(COUNTIF(X$3:X861,"="&amp;SUBSTITUTE(SUBSTITUTE(SUBSTITUTE(X861,"~","~~"),"*","~*"),"?","~?")),0)=1,1,""))</f>
        <v/>
      </c>
      <c r="Z861" s="25">
        <f>IF(T861=1,MAX(Z$2:Z860)+1,"")</f>
        <v/>
      </c>
    </row>
    <row r="862">
      <c r="A862">
        <f>IF(A$2=0,"",IFERROR(TRIM(INDEX('Pegar calibracion'!$A$1:$BZ$1001,861,A$2)&amp;""),""))</f>
        <v/>
      </c>
      <c r="B862">
        <f>IF(B$2=0,"",IFERROR(TRIM(INDEX('Pegar calibracion'!$A$1:$BZ$1001,861,B$2)&amp;""),""))</f>
        <v/>
      </c>
      <c r="C862">
        <f>IF(C$2=0,"",IFERROR(TRIM(INDEX('Pegar calibracion'!$A$1:$BZ$1001,861,C$2)&amp;""),""))</f>
        <v/>
      </c>
      <c r="D862">
        <f>IF(D$2=0,"",IFERROR(TRIM(INDEX('Pegar calibracion'!$A$1:$BZ$1001,861,D$2)&amp;""),""))</f>
        <v/>
      </c>
      <c r="E862">
        <f>IF(E$2=0,"",IFERROR(TRIM(INDEX('Pegar calibracion'!$A$1:$BZ$1001,861,E$2)&amp;""),""))</f>
        <v/>
      </c>
      <c r="F862">
        <f>IF(F$2=0,"",IFERROR(TRIM(INDEX('Pegar calibracion'!$A$1:$BZ$1001,861,F$2)&amp;""),""))</f>
        <v/>
      </c>
      <c r="G862">
        <f>IF(G$2=0,"",IFERROR(TRIM(INDEX('Pegar calibracion'!$A$1:$BZ$1001,861,G$2)&amp;""),""))</f>
        <v/>
      </c>
      <c r="H862">
        <f>IF(H$2=0,"",IFERROR(TRIM(INDEX('Pegar calibracion'!$A$1:$BZ$1001,861,H$2)&amp;""),""))</f>
        <v/>
      </c>
      <c r="I862">
        <f>IF(I$2=0,"",IFERROR(TRIM(INDEX('Pegar calibracion'!$A$1:$BZ$1001,861,I$2)&amp;""),""))</f>
        <v/>
      </c>
      <c r="J862">
        <f>IF(J$2=0,"",IFERROR(TRIM(INDEX('Pegar calibracion'!$A$1:$BZ$1001,861,J$2)&amp;""),""))</f>
        <v/>
      </c>
      <c r="K862">
        <f>IF(K$2=0,"",IFERROR(TRIM(INDEX('Pegar calibracion'!$A$1:$BZ$1001,861,K$2)&amp;""),""))</f>
        <v/>
      </c>
      <c r="L862">
        <f>IF(L$2=0,"",IFERROR(TRIM(INDEX('Pegar calibracion'!$A$1:$BZ$1001,861,L$2)&amp;""),""))</f>
        <v/>
      </c>
      <c r="M862" s="25">
        <f>IF(D862="","",SUBSTITUTE(SUBSTITUTE(SUBSTITUTE(SUBSTITUTE(SUBSTITUTE(SUBSTITUTE(SUBSTITUTE(SUBSTITUTE(SUBSTITUTE(SUBSTITUTE(SUBSTITUTE(SUBSTITUTE(LOWER(TRIM(D862)),"á","a"),"é","e"),"í","i"),"ó","o"),"ú","u"),"ü","u"),"ñ","n"),"à","a"),"è","e"),"ì","i"),"ò","o"),"ù","u"))</f>
        <v/>
      </c>
      <c r="N862" s="25">
        <f>IF(F862="","",SUBSTITUTE(SUBSTITUTE(SUBSTITUTE(SUBSTITUTE(SUBSTITUTE(SUBSTITUTE(SUBSTITUTE(SUBSTITUTE(SUBSTITUTE(SUBSTITUTE(SUBSTITUTE(SUBSTITUTE(LOWER(TRIM(F862)),"á","a"),"é","e"),"í","i"),"ó","o"),"ú","u"),"ü","u"),"ñ","n"),"à","a"),"è","e"),"ì","i"),"ò","o"),"ù","u"))</f>
        <v/>
      </c>
      <c r="O862" s="25">
        <f>IF(M862="confiable",2,IF(M862="dudosa",1,IF(M862="no confiable",0,"")))</f>
        <v/>
      </c>
      <c r="P862" s="25">
        <f>IF(N862="confiable",2,IF(N862="dudosa",1,IF(N862="no confiable",0,"")))</f>
        <v/>
      </c>
      <c r="Q862" s="25">
        <f>IF(AND(ISNUMBER(O862),ISNUMBER(P862)),1,"")</f>
        <v/>
      </c>
      <c r="R862" s="25">
        <f>IF(Q862=1,IF(O862=P862,"Sí","No"),"")</f>
        <v/>
      </c>
      <c r="S862" s="25">
        <f>IF(Q862=1,IF(P862&lt;O862,"Más estricto",IF(P862&gt;O862,"Más permisivo","Igual")),"")</f>
        <v/>
      </c>
      <c r="T862" s="25">
        <f>IF(Q862=1,IF(ABS(O862-P862)=2,1,0),"")</f>
        <v/>
      </c>
      <c r="U862" s="25">
        <f>IF(H862="","","|"&amp;SUBSTITUTE(SUBSTITUTE(TRIM(H862)," |","|"),"| ","|")&amp;"|")</f>
        <v/>
      </c>
      <c r="V862" s="25">
        <f>IF(AND(Q862=1,B862&lt;&gt;""),IF(IFERROR(COUNTIFS(B$3:B862,"="&amp;SUBSTITUTE(SUBSTITUTE(SUBSTITUTE(B862,"~","~~"),"*","~*"),"?","~?"),Q$3:Q862,1),0)=1,MAX(V$2:V861)+1,""),"")</f>
        <v/>
      </c>
      <c r="W862" s="25">
        <f>IF(V862="","",COUNTIFS($B$3:$B$1002,"="&amp;SUBSTITUTE(SUBSTITUTE(SUBSTITUTE(B862,"~","~~"),"*","~*"),"?","~?"),$Q$3:$Q$1002,1)*10000-V862)</f>
        <v/>
      </c>
      <c r="X862" s="25">
        <f>IF(Q862=1,IF(SUBSTITUTE(SUBSTITUTE(SUBSTITUTE(SUBSTITUTE(SUBSTITUTE(SUBSTITUTE(SUBSTITUTE(SUBSTITUTE(SUBSTITUTE(SUBSTITUTE(SUBSTITUTE(SUBSTITUTE(LOWER(TRIM(A862)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862)),"á","a"),"é","e"),"í","i"),"ó","o"),"ú","u"),"ü","u"),"ñ","n"),"à","a"),"è","e"),"ì","i"),"ò","o"),"ù","u")),"")</f>
        <v/>
      </c>
      <c r="Y862" s="25">
        <f>IF(X862="","",IF(IFERROR(COUNTIF(X$3:X862,"="&amp;SUBSTITUTE(SUBSTITUTE(SUBSTITUTE(X862,"~","~~"),"*","~*"),"?","~?")),0)=1,1,""))</f>
        <v/>
      </c>
      <c r="Z862" s="25">
        <f>IF(T862=1,MAX(Z$2:Z861)+1,"")</f>
        <v/>
      </c>
    </row>
    <row r="863">
      <c r="A863">
        <f>IF(A$2=0,"",IFERROR(TRIM(INDEX('Pegar calibracion'!$A$1:$BZ$1001,862,A$2)&amp;""),""))</f>
        <v/>
      </c>
      <c r="B863">
        <f>IF(B$2=0,"",IFERROR(TRIM(INDEX('Pegar calibracion'!$A$1:$BZ$1001,862,B$2)&amp;""),""))</f>
        <v/>
      </c>
      <c r="C863">
        <f>IF(C$2=0,"",IFERROR(TRIM(INDEX('Pegar calibracion'!$A$1:$BZ$1001,862,C$2)&amp;""),""))</f>
        <v/>
      </c>
      <c r="D863">
        <f>IF(D$2=0,"",IFERROR(TRIM(INDEX('Pegar calibracion'!$A$1:$BZ$1001,862,D$2)&amp;""),""))</f>
        <v/>
      </c>
      <c r="E863">
        <f>IF(E$2=0,"",IFERROR(TRIM(INDEX('Pegar calibracion'!$A$1:$BZ$1001,862,E$2)&amp;""),""))</f>
        <v/>
      </c>
      <c r="F863">
        <f>IF(F$2=0,"",IFERROR(TRIM(INDEX('Pegar calibracion'!$A$1:$BZ$1001,862,F$2)&amp;""),""))</f>
        <v/>
      </c>
      <c r="G863">
        <f>IF(G$2=0,"",IFERROR(TRIM(INDEX('Pegar calibracion'!$A$1:$BZ$1001,862,G$2)&amp;""),""))</f>
        <v/>
      </c>
      <c r="H863">
        <f>IF(H$2=0,"",IFERROR(TRIM(INDEX('Pegar calibracion'!$A$1:$BZ$1001,862,H$2)&amp;""),""))</f>
        <v/>
      </c>
      <c r="I863">
        <f>IF(I$2=0,"",IFERROR(TRIM(INDEX('Pegar calibracion'!$A$1:$BZ$1001,862,I$2)&amp;""),""))</f>
        <v/>
      </c>
      <c r="J863">
        <f>IF(J$2=0,"",IFERROR(TRIM(INDEX('Pegar calibracion'!$A$1:$BZ$1001,862,J$2)&amp;""),""))</f>
        <v/>
      </c>
      <c r="K863">
        <f>IF(K$2=0,"",IFERROR(TRIM(INDEX('Pegar calibracion'!$A$1:$BZ$1001,862,K$2)&amp;""),""))</f>
        <v/>
      </c>
      <c r="L863">
        <f>IF(L$2=0,"",IFERROR(TRIM(INDEX('Pegar calibracion'!$A$1:$BZ$1001,862,L$2)&amp;""),""))</f>
        <v/>
      </c>
      <c r="M863" s="25">
        <f>IF(D863="","",SUBSTITUTE(SUBSTITUTE(SUBSTITUTE(SUBSTITUTE(SUBSTITUTE(SUBSTITUTE(SUBSTITUTE(SUBSTITUTE(SUBSTITUTE(SUBSTITUTE(SUBSTITUTE(SUBSTITUTE(LOWER(TRIM(D863)),"á","a"),"é","e"),"í","i"),"ó","o"),"ú","u"),"ü","u"),"ñ","n"),"à","a"),"è","e"),"ì","i"),"ò","o"),"ù","u"))</f>
        <v/>
      </c>
      <c r="N863" s="25">
        <f>IF(F863="","",SUBSTITUTE(SUBSTITUTE(SUBSTITUTE(SUBSTITUTE(SUBSTITUTE(SUBSTITUTE(SUBSTITUTE(SUBSTITUTE(SUBSTITUTE(SUBSTITUTE(SUBSTITUTE(SUBSTITUTE(LOWER(TRIM(F863)),"á","a"),"é","e"),"í","i"),"ó","o"),"ú","u"),"ü","u"),"ñ","n"),"à","a"),"è","e"),"ì","i"),"ò","o"),"ù","u"))</f>
        <v/>
      </c>
      <c r="O863" s="25">
        <f>IF(M863="confiable",2,IF(M863="dudosa",1,IF(M863="no confiable",0,"")))</f>
        <v/>
      </c>
      <c r="P863" s="25">
        <f>IF(N863="confiable",2,IF(N863="dudosa",1,IF(N863="no confiable",0,"")))</f>
        <v/>
      </c>
      <c r="Q863" s="25">
        <f>IF(AND(ISNUMBER(O863),ISNUMBER(P863)),1,"")</f>
        <v/>
      </c>
      <c r="R863" s="25">
        <f>IF(Q863=1,IF(O863=P863,"Sí","No"),"")</f>
        <v/>
      </c>
      <c r="S863" s="25">
        <f>IF(Q863=1,IF(P863&lt;O863,"Más estricto",IF(P863&gt;O863,"Más permisivo","Igual")),"")</f>
        <v/>
      </c>
      <c r="T863" s="25">
        <f>IF(Q863=1,IF(ABS(O863-P863)=2,1,0),"")</f>
        <v/>
      </c>
      <c r="U863" s="25">
        <f>IF(H863="","","|"&amp;SUBSTITUTE(SUBSTITUTE(TRIM(H863)," |","|"),"| ","|")&amp;"|")</f>
        <v/>
      </c>
      <c r="V863" s="25">
        <f>IF(AND(Q863=1,B863&lt;&gt;""),IF(IFERROR(COUNTIFS(B$3:B863,"="&amp;SUBSTITUTE(SUBSTITUTE(SUBSTITUTE(B863,"~","~~"),"*","~*"),"?","~?"),Q$3:Q863,1),0)=1,MAX(V$2:V862)+1,""),"")</f>
        <v/>
      </c>
      <c r="W863" s="25">
        <f>IF(V863="","",COUNTIFS($B$3:$B$1002,"="&amp;SUBSTITUTE(SUBSTITUTE(SUBSTITUTE(B863,"~","~~"),"*","~*"),"?","~?"),$Q$3:$Q$1002,1)*10000-V863)</f>
        <v/>
      </c>
      <c r="X863" s="25">
        <f>IF(Q863=1,IF(SUBSTITUTE(SUBSTITUTE(SUBSTITUTE(SUBSTITUTE(SUBSTITUTE(SUBSTITUTE(SUBSTITUTE(SUBSTITUTE(SUBSTITUTE(SUBSTITUTE(SUBSTITUTE(SUBSTITUTE(LOWER(TRIM(A863)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863)),"á","a"),"é","e"),"í","i"),"ó","o"),"ú","u"),"ü","u"),"ñ","n"),"à","a"),"è","e"),"ì","i"),"ò","o"),"ù","u")),"")</f>
        <v/>
      </c>
      <c r="Y863" s="25">
        <f>IF(X863="","",IF(IFERROR(COUNTIF(X$3:X863,"="&amp;SUBSTITUTE(SUBSTITUTE(SUBSTITUTE(X863,"~","~~"),"*","~*"),"?","~?")),0)=1,1,""))</f>
        <v/>
      </c>
      <c r="Z863" s="25">
        <f>IF(T863=1,MAX(Z$2:Z862)+1,"")</f>
        <v/>
      </c>
    </row>
    <row r="864">
      <c r="A864">
        <f>IF(A$2=0,"",IFERROR(TRIM(INDEX('Pegar calibracion'!$A$1:$BZ$1001,863,A$2)&amp;""),""))</f>
        <v/>
      </c>
      <c r="B864">
        <f>IF(B$2=0,"",IFERROR(TRIM(INDEX('Pegar calibracion'!$A$1:$BZ$1001,863,B$2)&amp;""),""))</f>
        <v/>
      </c>
      <c r="C864">
        <f>IF(C$2=0,"",IFERROR(TRIM(INDEX('Pegar calibracion'!$A$1:$BZ$1001,863,C$2)&amp;""),""))</f>
        <v/>
      </c>
      <c r="D864">
        <f>IF(D$2=0,"",IFERROR(TRIM(INDEX('Pegar calibracion'!$A$1:$BZ$1001,863,D$2)&amp;""),""))</f>
        <v/>
      </c>
      <c r="E864">
        <f>IF(E$2=0,"",IFERROR(TRIM(INDEX('Pegar calibracion'!$A$1:$BZ$1001,863,E$2)&amp;""),""))</f>
        <v/>
      </c>
      <c r="F864">
        <f>IF(F$2=0,"",IFERROR(TRIM(INDEX('Pegar calibracion'!$A$1:$BZ$1001,863,F$2)&amp;""),""))</f>
        <v/>
      </c>
      <c r="G864">
        <f>IF(G$2=0,"",IFERROR(TRIM(INDEX('Pegar calibracion'!$A$1:$BZ$1001,863,G$2)&amp;""),""))</f>
        <v/>
      </c>
      <c r="H864">
        <f>IF(H$2=0,"",IFERROR(TRIM(INDEX('Pegar calibracion'!$A$1:$BZ$1001,863,H$2)&amp;""),""))</f>
        <v/>
      </c>
      <c r="I864">
        <f>IF(I$2=0,"",IFERROR(TRIM(INDEX('Pegar calibracion'!$A$1:$BZ$1001,863,I$2)&amp;""),""))</f>
        <v/>
      </c>
      <c r="J864">
        <f>IF(J$2=0,"",IFERROR(TRIM(INDEX('Pegar calibracion'!$A$1:$BZ$1001,863,J$2)&amp;""),""))</f>
        <v/>
      </c>
      <c r="K864">
        <f>IF(K$2=0,"",IFERROR(TRIM(INDEX('Pegar calibracion'!$A$1:$BZ$1001,863,K$2)&amp;""),""))</f>
        <v/>
      </c>
      <c r="L864">
        <f>IF(L$2=0,"",IFERROR(TRIM(INDEX('Pegar calibracion'!$A$1:$BZ$1001,863,L$2)&amp;""),""))</f>
        <v/>
      </c>
      <c r="M864" s="25">
        <f>IF(D864="","",SUBSTITUTE(SUBSTITUTE(SUBSTITUTE(SUBSTITUTE(SUBSTITUTE(SUBSTITUTE(SUBSTITUTE(SUBSTITUTE(SUBSTITUTE(SUBSTITUTE(SUBSTITUTE(SUBSTITUTE(LOWER(TRIM(D864)),"á","a"),"é","e"),"í","i"),"ó","o"),"ú","u"),"ü","u"),"ñ","n"),"à","a"),"è","e"),"ì","i"),"ò","o"),"ù","u"))</f>
        <v/>
      </c>
      <c r="N864" s="25">
        <f>IF(F864="","",SUBSTITUTE(SUBSTITUTE(SUBSTITUTE(SUBSTITUTE(SUBSTITUTE(SUBSTITUTE(SUBSTITUTE(SUBSTITUTE(SUBSTITUTE(SUBSTITUTE(SUBSTITUTE(SUBSTITUTE(LOWER(TRIM(F864)),"á","a"),"é","e"),"í","i"),"ó","o"),"ú","u"),"ü","u"),"ñ","n"),"à","a"),"è","e"),"ì","i"),"ò","o"),"ù","u"))</f>
        <v/>
      </c>
      <c r="O864" s="25">
        <f>IF(M864="confiable",2,IF(M864="dudosa",1,IF(M864="no confiable",0,"")))</f>
        <v/>
      </c>
      <c r="P864" s="25">
        <f>IF(N864="confiable",2,IF(N864="dudosa",1,IF(N864="no confiable",0,"")))</f>
        <v/>
      </c>
      <c r="Q864" s="25">
        <f>IF(AND(ISNUMBER(O864),ISNUMBER(P864)),1,"")</f>
        <v/>
      </c>
      <c r="R864" s="25">
        <f>IF(Q864=1,IF(O864=P864,"Sí","No"),"")</f>
        <v/>
      </c>
      <c r="S864" s="25">
        <f>IF(Q864=1,IF(P864&lt;O864,"Más estricto",IF(P864&gt;O864,"Más permisivo","Igual")),"")</f>
        <v/>
      </c>
      <c r="T864" s="25">
        <f>IF(Q864=1,IF(ABS(O864-P864)=2,1,0),"")</f>
        <v/>
      </c>
      <c r="U864" s="25">
        <f>IF(H864="","","|"&amp;SUBSTITUTE(SUBSTITUTE(TRIM(H864)," |","|"),"| ","|")&amp;"|")</f>
        <v/>
      </c>
      <c r="V864" s="25">
        <f>IF(AND(Q864=1,B864&lt;&gt;""),IF(IFERROR(COUNTIFS(B$3:B864,"="&amp;SUBSTITUTE(SUBSTITUTE(SUBSTITUTE(B864,"~","~~"),"*","~*"),"?","~?"),Q$3:Q864,1),0)=1,MAX(V$2:V863)+1,""),"")</f>
        <v/>
      </c>
      <c r="W864" s="25">
        <f>IF(V864="","",COUNTIFS($B$3:$B$1002,"="&amp;SUBSTITUTE(SUBSTITUTE(SUBSTITUTE(B864,"~","~~"),"*","~*"),"?","~?"),$Q$3:$Q$1002,1)*10000-V864)</f>
        <v/>
      </c>
      <c r="X864" s="25">
        <f>IF(Q864=1,IF(SUBSTITUTE(SUBSTITUTE(SUBSTITUTE(SUBSTITUTE(SUBSTITUTE(SUBSTITUTE(SUBSTITUTE(SUBSTITUTE(SUBSTITUTE(SUBSTITUTE(SUBSTITUTE(SUBSTITUTE(LOWER(TRIM(A864)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864)),"á","a"),"é","e"),"í","i"),"ó","o"),"ú","u"),"ü","u"),"ñ","n"),"à","a"),"è","e"),"ì","i"),"ò","o"),"ù","u")),"")</f>
        <v/>
      </c>
      <c r="Y864" s="25">
        <f>IF(X864="","",IF(IFERROR(COUNTIF(X$3:X864,"="&amp;SUBSTITUTE(SUBSTITUTE(SUBSTITUTE(X864,"~","~~"),"*","~*"),"?","~?")),0)=1,1,""))</f>
        <v/>
      </c>
      <c r="Z864" s="25">
        <f>IF(T864=1,MAX(Z$2:Z863)+1,"")</f>
        <v/>
      </c>
    </row>
    <row r="865">
      <c r="A865">
        <f>IF(A$2=0,"",IFERROR(TRIM(INDEX('Pegar calibracion'!$A$1:$BZ$1001,864,A$2)&amp;""),""))</f>
        <v/>
      </c>
      <c r="B865">
        <f>IF(B$2=0,"",IFERROR(TRIM(INDEX('Pegar calibracion'!$A$1:$BZ$1001,864,B$2)&amp;""),""))</f>
        <v/>
      </c>
      <c r="C865">
        <f>IF(C$2=0,"",IFERROR(TRIM(INDEX('Pegar calibracion'!$A$1:$BZ$1001,864,C$2)&amp;""),""))</f>
        <v/>
      </c>
      <c r="D865">
        <f>IF(D$2=0,"",IFERROR(TRIM(INDEX('Pegar calibracion'!$A$1:$BZ$1001,864,D$2)&amp;""),""))</f>
        <v/>
      </c>
      <c r="E865">
        <f>IF(E$2=0,"",IFERROR(TRIM(INDEX('Pegar calibracion'!$A$1:$BZ$1001,864,E$2)&amp;""),""))</f>
        <v/>
      </c>
      <c r="F865">
        <f>IF(F$2=0,"",IFERROR(TRIM(INDEX('Pegar calibracion'!$A$1:$BZ$1001,864,F$2)&amp;""),""))</f>
        <v/>
      </c>
      <c r="G865">
        <f>IF(G$2=0,"",IFERROR(TRIM(INDEX('Pegar calibracion'!$A$1:$BZ$1001,864,G$2)&amp;""),""))</f>
        <v/>
      </c>
      <c r="H865">
        <f>IF(H$2=0,"",IFERROR(TRIM(INDEX('Pegar calibracion'!$A$1:$BZ$1001,864,H$2)&amp;""),""))</f>
        <v/>
      </c>
      <c r="I865">
        <f>IF(I$2=0,"",IFERROR(TRIM(INDEX('Pegar calibracion'!$A$1:$BZ$1001,864,I$2)&amp;""),""))</f>
        <v/>
      </c>
      <c r="J865">
        <f>IF(J$2=0,"",IFERROR(TRIM(INDEX('Pegar calibracion'!$A$1:$BZ$1001,864,J$2)&amp;""),""))</f>
        <v/>
      </c>
      <c r="K865">
        <f>IF(K$2=0,"",IFERROR(TRIM(INDEX('Pegar calibracion'!$A$1:$BZ$1001,864,K$2)&amp;""),""))</f>
        <v/>
      </c>
      <c r="L865">
        <f>IF(L$2=0,"",IFERROR(TRIM(INDEX('Pegar calibracion'!$A$1:$BZ$1001,864,L$2)&amp;""),""))</f>
        <v/>
      </c>
      <c r="M865" s="25">
        <f>IF(D865="","",SUBSTITUTE(SUBSTITUTE(SUBSTITUTE(SUBSTITUTE(SUBSTITUTE(SUBSTITUTE(SUBSTITUTE(SUBSTITUTE(SUBSTITUTE(SUBSTITUTE(SUBSTITUTE(SUBSTITUTE(LOWER(TRIM(D865)),"á","a"),"é","e"),"í","i"),"ó","o"),"ú","u"),"ü","u"),"ñ","n"),"à","a"),"è","e"),"ì","i"),"ò","o"),"ù","u"))</f>
        <v/>
      </c>
      <c r="N865" s="25">
        <f>IF(F865="","",SUBSTITUTE(SUBSTITUTE(SUBSTITUTE(SUBSTITUTE(SUBSTITUTE(SUBSTITUTE(SUBSTITUTE(SUBSTITUTE(SUBSTITUTE(SUBSTITUTE(SUBSTITUTE(SUBSTITUTE(LOWER(TRIM(F865)),"á","a"),"é","e"),"í","i"),"ó","o"),"ú","u"),"ü","u"),"ñ","n"),"à","a"),"è","e"),"ì","i"),"ò","o"),"ù","u"))</f>
        <v/>
      </c>
      <c r="O865" s="25">
        <f>IF(M865="confiable",2,IF(M865="dudosa",1,IF(M865="no confiable",0,"")))</f>
        <v/>
      </c>
      <c r="P865" s="25">
        <f>IF(N865="confiable",2,IF(N865="dudosa",1,IF(N865="no confiable",0,"")))</f>
        <v/>
      </c>
      <c r="Q865" s="25">
        <f>IF(AND(ISNUMBER(O865),ISNUMBER(P865)),1,"")</f>
        <v/>
      </c>
      <c r="R865" s="25">
        <f>IF(Q865=1,IF(O865=P865,"Sí","No"),"")</f>
        <v/>
      </c>
      <c r="S865" s="25">
        <f>IF(Q865=1,IF(P865&lt;O865,"Más estricto",IF(P865&gt;O865,"Más permisivo","Igual")),"")</f>
        <v/>
      </c>
      <c r="T865" s="25">
        <f>IF(Q865=1,IF(ABS(O865-P865)=2,1,0),"")</f>
        <v/>
      </c>
      <c r="U865" s="25">
        <f>IF(H865="","","|"&amp;SUBSTITUTE(SUBSTITUTE(TRIM(H865)," |","|"),"| ","|")&amp;"|")</f>
        <v/>
      </c>
      <c r="V865" s="25">
        <f>IF(AND(Q865=1,B865&lt;&gt;""),IF(IFERROR(COUNTIFS(B$3:B865,"="&amp;SUBSTITUTE(SUBSTITUTE(SUBSTITUTE(B865,"~","~~"),"*","~*"),"?","~?"),Q$3:Q865,1),0)=1,MAX(V$2:V864)+1,""),"")</f>
        <v/>
      </c>
      <c r="W865" s="25">
        <f>IF(V865="","",COUNTIFS($B$3:$B$1002,"="&amp;SUBSTITUTE(SUBSTITUTE(SUBSTITUTE(B865,"~","~~"),"*","~*"),"?","~?"),$Q$3:$Q$1002,1)*10000-V865)</f>
        <v/>
      </c>
      <c r="X865" s="25">
        <f>IF(Q865=1,IF(SUBSTITUTE(SUBSTITUTE(SUBSTITUTE(SUBSTITUTE(SUBSTITUTE(SUBSTITUTE(SUBSTITUTE(SUBSTITUTE(SUBSTITUTE(SUBSTITUTE(SUBSTITUTE(SUBSTITUTE(LOWER(TRIM(A865)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865)),"á","a"),"é","e"),"í","i"),"ó","o"),"ú","u"),"ü","u"),"ñ","n"),"à","a"),"è","e"),"ì","i"),"ò","o"),"ù","u")),"")</f>
        <v/>
      </c>
      <c r="Y865" s="25">
        <f>IF(X865="","",IF(IFERROR(COUNTIF(X$3:X865,"="&amp;SUBSTITUTE(SUBSTITUTE(SUBSTITUTE(X865,"~","~~"),"*","~*"),"?","~?")),0)=1,1,""))</f>
        <v/>
      </c>
      <c r="Z865" s="25">
        <f>IF(T865=1,MAX(Z$2:Z864)+1,"")</f>
        <v/>
      </c>
    </row>
    <row r="866">
      <c r="A866">
        <f>IF(A$2=0,"",IFERROR(TRIM(INDEX('Pegar calibracion'!$A$1:$BZ$1001,865,A$2)&amp;""),""))</f>
        <v/>
      </c>
      <c r="B866">
        <f>IF(B$2=0,"",IFERROR(TRIM(INDEX('Pegar calibracion'!$A$1:$BZ$1001,865,B$2)&amp;""),""))</f>
        <v/>
      </c>
      <c r="C866">
        <f>IF(C$2=0,"",IFERROR(TRIM(INDEX('Pegar calibracion'!$A$1:$BZ$1001,865,C$2)&amp;""),""))</f>
        <v/>
      </c>
      <c r="D866">
        <f>IF(D$2=0,"",IFERROR(TRIM(INDEX('Pegar calibracion'!$A$1:$BZ$1001,865,D$2)&amp;""),""))</f>
        <v/>
      </c>
      <c r="E866">
        <f>IF(E$2=0,"",IFERROR(TRIM(INDEX('Pegar calibracion'!$A$1:$BZ$1001,865,E$2)&amp;""),""))</f>
        <v/>
      </c>
      <c r="F866">
        <f>IF(F$2=0,"",IFERROR(TRIM(INDEX('Pegar calibracion'!$A$1:$BZ$1001,865,F$2)&amp;""),""))</f>
        <v/>
      </c>
      <c r="G866">
        <f>IF(G$2=0,"",IFERROR(TRIM(INDEX('Pegar calibracion'!$A$1:$BZ$1001,865,G$2)&amp;""),""))</f>
        <v/>
      </c>
      <c r="H866">
        <f>IF(H$2=0,"",IFERROR(TRIM(INDEX('Pegar calibracion'!$A$1:$BZ$1001,865,H$2)&amp;""),""))</f>
        <v/>
      </c>
      <c r="I866">
        <f>IF(I$2=0,"",IFERROR(TRIM(INDEX('Pegar calibracion'!$A$1:$BZ$1001,865,I$2)&amp;""),""))</f>
        <v/>
      </c>
      <c r="J866">
        <f>IF(J$2=0,"",IFERROR(TRIM(INDEX('Pegar calibracion'!$A$1:$BZ$1001,865,J$2)&amp;""),""))</f>
        <v/>
      </c>
      <c r="K866">
        <f>IF(K$2=0,"",IFERROR(TRIM(INDEX('Pegar calibracion'!$A$1:$BZ$1001,865,K$2)&amp;""),""))</f>
        <v/>
      </c>
      <c r="L866">
        <f>IF(L$2=0,"",IFERROR(TRIM(INDEX('Pegar calibracion'!$A$1:$BZ$1001,865,L$2)&amp;""),""))</f>
        <v/>
      </c>
      <c r="M866" s="25">
        <f>IF(D866="","",SUBSTITUTE(SUBSTITUTE(SUBSTITUTE(SUBSTITUTE(SUBSTITUTE(SUBSTITUTE(SUBSTITUTE(SUBSTITUTE(SUBSTITUTE(SUBSTITUTE(SUBSTITUTE(SUBSTITUTE(LOWER(TRIM(D866)),"á","a"),"é","e"),"í","i"),"ó","o"),"ú","u"),"ü","u"),"ñ","n"),"à","a"),"è","e"),"ì","i"),"ò","o"),"ù","u"))</f>
        <v/>
      </c>
      <c r="N866" s="25">
        <f>IF(F866="","",SUBSTITUTE(SUBSTITUTE(SUBSTITUTE(SUBSTITUTE(SUBSTITUTE(SUBSTITUTE(SUBSTITUTE(SUBSTITUTE(SUBSTITUTE(SUBSTITUTE(SUBSTITUTE(SUBSTITUTE(LOWER(TRIM(F866)),"á","a"),"é","e"),"í","i"),"ó","o"),"ú","u"),"ü","u"),"ñ","n"),"à","a"),"è","e"),"ì","i"),"ò","o"),"ù","u"))</f>
        <v/>
      </c>
      <c r="O866" s="25">
        <f>IF(M866="confiable",2,IF(M866="dudosa",1,IF(M866="no confiable",0,"")))</f>
        <v/>
      </c>
      <c r="P866" s="25">
        <f>IF(N866="confiable",2,IF(N866="dudosa",1,IF(N866="no confiable",0,"")))</f>
        <v/>
      </c>
      <c r="Q866" s="25">
        <f>IF(AND(ISNUMBER(O866),ISNUMBER(P866)),1,"")</f>
        <v/>
      </c>
      <c r="R866" s="25">
        <f>IF(Q866=1,IF(O866=P866,"Sí","No"),"")</f>
        <v/>
      </c>
      <c r="S866" s="25">
        <f>IF(Q866=1,IF(P866&lt;O866,"Más estricto",IF(P866&gt;O866,"Más permisivo","Igual")),"")</f>
        <v/>
      </c>
      <c r="T866" s="25">
        <f>IF(Q866=1,IF(ABS(O866-P866)=2,1,0),"")</f>
        <v/>
      </c>
      <c r="U866" s="25">
        <f>IF(H866="","","|"&amp;SUBSTITUTE(SUBSTITUTE(TRIM(H866)," |","|"),"| ","|")&amp;"|")</f>
        <v/>
      </c>
      <c r="V866" s="25">
        <f>IF(AND(Q866=1,B866&lt;&gt;""),IF(IFERROR(COUNTIFS(B$3:B866,"="&amp;SUBSTITUTE(SUBSTITUTE(SUBSTITUTE(B866,"~","~~"),"*","~*"),"?","~?"),Q$3:Q866,1),0)=1,MAX(V$2:V865)+1,""),"")</f>
        <v/>
      </c>
      <c r="W866" s="25">
        <f>IF(V866="","",COUNTIFS($B$3:$B$1002,"="&amp;SUBSTITUTE(SUBSTITUTE(SUBSTITUTE(B866,"~","~~"),"*","~*"),"?","~?"),$Q$3:$Q$1002,1)*10000-V866)</f>
        <v/>
      </c>
      <c r="X866" s="25">
        <f>IF(Q866=1,IF(SUBSTITUTE(SUBSTITUTE(SUBSTITUTE(SUBSTITUTE(SUBSTITUTE(SUBSTITUTE(SUBSTITUTE(SUBSTITUTE(SUBSTITUTE(SUBSTITUTE(SUBSTITUTE(SUBSTITUTE(LOWER(TRIM(A866)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866)),"á","a"),"é","e"),"í","i"),"ó","o"),"ú","u"),"ü","u"),"ñ","n"),"à","a"),"è","e"),"ì","i"),"ò","o"),"ù","u")),"")</f>
        <v/>
      </c>
      <c r="Y866" s="25">
        <f>IF(X866="","",IF(IFERROR(COUNTIF(X$3:X866,"="&amp;SUBSTITUTE(SUBSTITUTE(SUBSTITUTE(X866,"~","~~"),"*","~*"),"?","~?")),0)=1,1,""))</f>
        <v/>
      </c>
      <c r="Z866" s="25">
        <f>IF(T866=1,MAX(Z$2:Z865)+1,"")</f>
        <v/>
      </c>
    </row>
    <row r="867">
      <c r="A867">
        <f>IF(A$2=0,"",IFERROR(TRIM(INDEX('Pegar calibracion'!$A$1:$BZ$1001,866,A$2)&amp;""),""))</f>
        <v/>
      </c>
      <c r="B867">
        <f>IF(B$2=0,"",IFERROR(TRIM(INDEX('Pegar calibracion'!$A$1:$BZ$1001,866,B$2)&amp;""),""))</f>
        <v/>
      </c>
      <c r="C867">
        <f>IF(C$2=0,"",IFERROR(TRIM(INDEX('Pegar calibracion'!$A$1:$BZ$1001,866,C$2)&amp;""),""))</f>
        <v/>
      </c>
      <c r="D867">
        <f>IF(D$2=0,"",IFERROR(TRIM(INDEX('Pegar calibracion'!$A$1:$BZ$1001,866,D$2)&amp;""),""))</f>
        <v/>
      </c>
      <c r="E867">
        <f>IF(E$2=0,"",IFERROR(TRIM(INDEX('Pegar calibracion'!$A$1:$BZ$1001,866,E$2)&amp;""),""))</f>
        <v/>
      </c>
      <c r="F867">
        <f>IF(F$2=0,"",IFERROR(TRIM(INDEX('Pegar calibracion'!$A$1:$BZ$1001,866,F$2)&amp;""),""))</f>
        <v/>
      </c>
      <c r="G867">
        <f>IF(G$2=0,"",IFERROR(TRIM(INDEX('Pegar calibracion'!$A$1:$BZ$1001,866,G$2)&amp;""),""))</f>
        <v/>
      </c>
      <c r="H867">
        <f>IF(H$2=0,"",IFERROR(TRIM(INDEX('Pegar calibracion'!$A$1:$BZ$1001,866,H$2)&amp;""),""))</f>
        <v/>
      </c>
      <c r="I867">
        <f>IF(I$2=0,"",IFERROR(TRIM(INDEX('Pegar calibracion'!$A$1:$BZ$1001,866,I$2)&amp;""),""))</f>
        <v/>
      </c>
      <c r="J867">
        <f>IF(J$2=0,"",IFERROR(TRIM(INDEX('Pegar calibracion'!$A$1:$BZ$1001,866,J$2)&amp;""),""))</f>
        <v/>
      </c>
      <c r="K867">
        <f>IF(K$2=0,"",IFERROR(TRIM(INDEX('Pegar calibracion'!$A$1:$BZ$1001,866,K$2)&amp;""),""))</f>
        <v/>
      </c>
      <c r="L867">
        <f>IF(L$2=0,"",IFERROR(TRIM(INDEX('Pegar calibracion'!$A$1:$BZ$1001,866,L$2)&amp;""),""))</f>
        <v/>
      </c>
      <c r="M867" s="25">
        <f>IF(D867="","",SUBSTITUTE(SUBSTITUTE(SUBSTITUTE(SUBSTITUTE(SUBSTITUTE(SUBSTITUTE(SUBSTITUTE(SUBSTITUTE(SUBSTITUTE(SUBSTITUTE(SUBSTITUTE(SUBSTITUTE(LOWER(TRIM(D867)),"á","a"),"é","e"),"í","i"),"ó","o"),"ú","u"),"ü","u"),"ñ","n"),"à","a"),"è","e"),"ì","i"),"ò","o"),"ù","u"))</f>
        <v/>
      </c>
      <c r="N867" s="25">
        <f>IF(F867="","",SUBSTITUTE(SUBSTITUTE(SUBSTITUTE(SUBSTITUTE(SUBSTITUTE(SUBSTITUTE(SUBSTITUTE(SUBSTITUTE(SUBSTITUTE(SUBSTITUTE(SUBSTITUTE(SUBSTITUTE(LOWER(TRIM(F867)),"á","a"),"é","e"),"í","i"),"ó","o"),"ú","u"),"ü","u"),"ñ","n"),"à","a"),"è","e"),"ì","i"),"ò","o"),"ù","u"))</f>
        <v/>
      </c>
      <c r="O867" s="25">
        <f>IF(M867="confiable",2,IF(M867="dudosa",1,IF(M867="no confiable",0,"")))</f>
        <v/>
      </c>
      <c r="P867" s="25">
        <f>IF(N867="confiable",2,IF(N867="dudosa",1,IF(N867="no confiable",0,"")))</f>
        <v/>
      </c>
      <c r="Q867" s="25">
        <f>IF(AND(ISNUMBER(O867),ISNUMBER(P867)),1,"")</f>
        <v/>
      </c>
      <c r="R867" s="25">
        <f>IF(Q867=1,IF(O867=P867,"Sí","No"),"")</f>
        <v/>
      </c>
      <c r="S867" s="25">
        <f>IF(Q867=1,IF(P867&lt;O867,"Más estricto",IF(P867&gt;O867,"Más permisivo","Igual")),"")</f>
        <v/>
      </c>
      <c r="T867" s="25">
        <f>IF(Q867=1,IF(ABS(O867-P867)=2,1,0),"")</f>
        <v/>
      </c>
      <c r="U867" s="25">
        <f>IF(H867="","","|"&amp;SUBSTITUTE(SUBSTITUTE(TRIM(H867)," |","|"),"| ","|")&amp;"|")</f>
        <v/>
      </c>
      <c r="V867" s="25">
        <f>IF(AND(Q867=1,B867&lt;&gt;""),IF(IFERROR(COUNTIFS(B$3:B867,"="&amp;SUBSTITUTE(SUBSTITUTE(SUBSTITUTE(B867,"~","~~"),"*","~*"),"?","~?"),Q$3:Q867,1),0)=1,MAX(V$2:V866)+1,""),"")</f>
        <v/>
      </c>
      <c r="W867" s="25">
        <f>IF(V867="","",COUNTIFS($B$3:$B$1002,"="&amp;SUBSTITUTE(SUBSTITUTE(SUBSTITUTE(B867,"~","~~"),"*","~*"),"?","~?"),$Q$3:$Q$1002,1)*10000-V867)</f>
        <v/>
      </c>
      <c r="X867" s="25">
        <f>IF(Q867=1,IF(SUBSTITUTE(SUBSTITUTE(SUBSTITUTE(SUBSTITUTE(SUBSTITUTE(SUBSTITUTE(SUBSTITUTE(SUBSTITUTE(SUBSTITUTE(SUBSTITUTE(SUBSTITUTE(SUBSTITUTE(LOWER(TRIM(A867)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867)),"á","a"),"é","e"),"í","i"),"ó","o"),"ú","u"),"ü","u"),"ñ","n"),"à","a"),"è","e"),"ì","i"),"ò","o"),"ù","u")),"")</f>
        <v/>
      </c>
      <c r="Y867" s="25">
        <f>IF(X867="","",IF(IFERROR(COUNTIF(X$3:X867,"="&amp;SUBSTITUTE(SUBSTITUTE(SUBSTITUTE(X867,"~","~~"),"*","~*"),"?","~?")),0)=1,1,""))</f>
        <v/>
      </c>
      <c r="Z867" s="25">
        <f>IF(T867=1,MAX(Z$2:Z866)+1,"")</f>
        <v/>
      </c>
    </row>
    <row r="868">
      <c r="A868">
        <f>IF(A$2=0,"",IFERROR(TRIM(INDEX('Pegar calibracion'!$A$1:$BZ$1001,867,A$2)&amp;""),""))</f>
        <v/>
      </c>
      <c r="B868">
        <f>IF(B$2=0,"",IFERROR(TRIM(INDEX('Pegar calibracion'!$A$1:$BZ$1001,867,B$2)&amp;""),""))</f>
        <v/>
      </c>
      <c r="C868">
        <f>IF(C$2=0,"",IFERROR(TRIM(INDEX('Pegar calibracion'!$A$1:$BZ$1001,867,C$2)&amp;""),""))</f>
        <v/>
      </c>
      <c r="D868">
        <f>IF(D$2=0,"",IFERROR(TRIM(INDEX('Pegar calibracion'!$A$1:$BZ$1001,867,D$2)&amp;""),""))</f>
        <v/>
      </c>
      <c r="E868">
        <f>IF(E$2=0,"",IFERROR(TRIM(INDEX('Pegar calibracion'!$A$1:$BZ$1001,867,E$2)&amp;""),""))</f>
        <v/>
      </c>
      <c r="F868">
        <f>IF(F$2=0,"",IFERROR(TRIM(INDEX('Pegar calibracion'!$A$1:$BZ$1001,867,F$2)&amp;""),""))</f>
        <v/>
      </c>
      <c r="G868">
        <f>IF(G$2=0,"",IFERROR(TRIM(INDEX('Pegar calibracion'!$A$1:$BZ$1001,867,G$2)&amp;""),""))</f>
        <v/>
      </c>
      <c r="H868">
        <f>IF(H$2=0,"",IFERROR(TRIM(INDEX('Pegar calibracion'!$A$1:$BZ$1001,867,H$2)&amp;""),""))</f>
        <v/>
      </c>
      <c r="I868">
        <f>IF(I$2=0,"",IFERROR(TRIM(INDEX('Pegar calibracion'!$A$1:$BZ$1001,867,I$2)&amp;""),""))</f>
        <v/>
      </c>
      <c r="J868">
        <f>IF(J$2=0,"",IFERROR(TRIM(INDEX('Pegar calibracion'!$A$1:$BZ$1001,867,J$2)&amp;""),""))</f>
        <v/>
      </c>
      <c r="K868">
        <f>IF(K$2=0,"",IFERROR(TRIM(INDEX('Pegar calibracion'!$A$1:$BZ$1001,867,K$2)&amp;""),""))</f>
        <v/>
      </c>
      <c r="L868">
        <f>IF(L$2=0,"",IFERROR(TRIM(INDEX('Pegar calibracion'!$A$1:$BZ$1001,867,L$2)&amp;""),""))</f>
        <v/>
      </c>
      <c r="M868" s="25">
        <f>IF(D868="","",SUBSTITUTE(SUBSTITUTE(SUBSTITUTE(SUBSTITUTE(SUBSTITUTE(SUBSTITUTE(SUBSTITUTE(SUBSTITUTE(SUBSTITUTE(SUBSTITUTE(SUBSTITUTE(SUBSTITUTE(LOWER(TRIM(D868)),"á","a"),"é","e"),"í","i"),"ó","o"),"ú","u"),"ü","u"),"ñ","n"),"à","a"),"è","e"),"ì","i"),"ò","o"),"ù","u"))</f>
        <v/>
      </c>
      <c r="N868" s="25">
        <f>IF(F868="","",SUBSTITUTE(SUBSTITUTE(SUBSTITUTE(SUBSTITUTE(SUBSTITUTE(SUBSTITUTE(SUBSTITUTE(SUBSTITUTE(SUBSTITUTE(SUBSTITUTE(SUBSTITUTE(SUBSTITUTE(LOWER(TRIM(F868)),"á","a"),"é","e"),"í","i"),"ó","o"),"ú","u"),"ü","u"),"ñ","n"),"à","a"),"è","e"),"ì","i"),"ò","o"),"ù","u"))</f>
        <v/>
      </c>
      <c r="O868" s="25">
        <f>IF(M868="confiable",2,IF(M868="dudosa",1,IF(M868="no confiable",0,"")))</f>
        <v/>
      </c>
      <c r="P868" s="25">
        <f>IF(N868="confiable",2,IF(N868="dudosa",1,IF(N868="no confiable",0,"")))</f>
        <v/>
      </c>
      <c r="Q868" s="25">
        <f>IF(AND(ISNUMBER(O868),ISNUMBER(P868)),1,"")</f>
        <v/>
      </c>
      <c r="R868" s="25">
        <f>IF(Q868=1,IF(O868=P868,"Sí","No"),"")</f>
        <v/>
      </c>
      <c r="S868" s="25">
        <f>IF(Q868=1,IF(P868&lt;O868,"Más estricto",IF(P868&gt;O868,"Más permisivo","Igual")),"")</f>
        <v/>
      </c>
      <c r="T868" s="25">
        <f>IF(Q868=1,IF(ABS(O868-P868)=2,1,0),"")</f>
        <v/>
      </c>
      <c r="U868" s="25">
        <f>IF(H868="","","|"&amp;SUBSTITUTE(SUBSTITUTE(TRIM(H868)," |","|"),"| ","|")&amp;"|")</f>
        <v/>
      </c>
      <c r="V868" s="25">
        <f>IF(AND(Q868=1,B868&lt;&gt;""),IF(IFERROR(COUNTIFS(B$3:B868,"="&amp;SUBSTITUTE(SUBSTITUTE(SUBSTITUTE(B868,"~","~~"),"*","~*"),"?","~?"),Q$3:Q868,1),0)=1,MAX(V$2:V867)+1,""),"")</f>
        <v/>
      </c>
      <c r="W868" s="25">
        <f>IF(V868="","",COUNTIFS($B$3:$B$1002,"="&amp;SUBSTITUTE(SUBSTITUTE(SUBSTITUTE(B868,"~","~~"),"*","~*"),"?","~?"),$Q$3:$Q$1002,1)*10000-V868)</f>
        <v/>
      </c>
      <c r="X868" s="25">
        <f>IF(Q868=1,IF(SUBSTITUTE(SUBSTITUTE(SUBSTITUTE(SUBSTITUTE(SUBSTITUTE(SUBSTITUTE(SUBSTITUTE(SUBSTITUTE(SUBSTITUTE(SUBSTITUTE(SUBSTITUTE(SUBSTITUTE(LOWER(TRIM(A868)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868)),"á","a"),"é","e"),"í","i"),"ó","o"),"ú","u"),"ü","u"),"ñ","n"),"à","a"),"è","e"),"ì","i"),"ò","o"),"ù","u")),"")</f>
        <v/>
      </c>
      <c r="Y868" s="25">
        <f>IF(X868="","",IF(IFERROR(COUNTIF(X$3:X868,"="&amp;SUBSTITUTE(SUBSTITUTE(SUBSTITUTE(X868,"~","~~"),"*","~*"),"?","~?")),0)=1,1,""))</f>
        <v/>
      </c>
      <c r="Z868" s="25">
        <f>IF(T868=1,MAX(Z$2:Z867)+1,"")</f>
        <v/>
      </c>
    </row>
    <row r="869">
      <c r="A869">
        <f>IF(A$2=0,"",IFERROR(TRIM(INDEX('Pegar calibracion'!$A$1:$BZ$1001,868,A$2)&amp;""),""))</f>
        <v/>
      </c>
      <c r="B869">
        <f>IF(B$2=0,"",IFERROR(TRIM(INDEX('Pegar calibracion'!$A$1:$BZ$1001,868,B$2)&amp;""),""))</f>
        <v/>
      </c>
      <c r="C869">
        <f>IF(C$2=0,"",IFERROR(TRIM(INDEX('Pegar calibracion'!$A$1:$BZ$1001,868,C$2)&amp;""),""))</f>
        <v/>
      </c>
      <c r="D869">
        <f>IF(D$2=0,"",IFERROR(TRIM(INDEX('Pegar calibracion'!$A$1:$BZ$1001,868,D$2)&amp;""),""))</f>
        <v/>
      </c>
      <c r="E869">
        <f>IF(E$2=0,"",IFERROR(TRIM(INDEX('Pegar calibracion'!$A$1:$BZ$1001,868,E$2)&amp;""),""))</f>
        <v/>
      </c>
      <c r="F869">
        <f>IF(F$2=0,"",IFERROR(TRIM(INDEX('Pegar calibracion'!$A$1:$BZ$1001,868,F$2)&amp;""),""))</f>
        <v/>
      </c>
      <c r="G869">
        <f>IF(G$2=0,"",IFERROR(TRIM(INDEX('Pegar calibracion'!$A$1:$BZ$1001,868,G$2)&amp;""),""))</f>
        <v/>
      </c>
      <c r="H869">
        <f>IF(H$2=0,"",IFERROR(TRIM(INDEX('Pegar calibracion'!$A$1:$BZ$1001,868,H$2)&amp;""),""))</f>
        <v/>
      </c>
      <c r="I869">
        <f>IF(I$2=0,"",IFERROR(TRIM(INDEX('Pegar calibracion'!$A$1:$BZ$1001,868,I$2)&amp;""),""))</f>
        <v/>
      </c>
      <c r="J869">
        <f>IF(J$2=0,"",IFERROR(TRIM(INDEX('Pegar calibracion'!$A$1:$BZ$1001,868,J$2)&amp;""),""))</f>
        <v/>
      </c>
      <c r="K869">
        <f>IF(K$2=0,"",IFERROR(TRIM(INDEX('Pegar calibracion'!$A$1:$BZ$1001,868,K$2)&amp;""),""))</f>
        <v/>
      </c>
      <c r="L869">
        <f>IF(L$2=0,"",IFERROR(TRIM(INDEX('Pegar calibracion'!$A$1:$BZ$1001,868,L$2)&amp;""),""))</f>
        <v/>
      </c>
      <c r="M869" s="25">
        <f>IF(D869="","",SUBSTITUTE(SUBSTITUTE(SUBSTITUTE(SUBSTITUTE(SUBSTITUTE(SUBSTITUTE(SUBSTITUTE(SUBSTITUTE(SUBSTITUTE(SUBSTITUTE(SUBSTITUTE(SUBSTITUTE(LOWER(TRIM(D869)),"á","a"),"é","e"),"í","i"),"ó","o"),"ú","u"),"ü","u"),"ñ","n"),"à","a"),"è","e"),"ì","i"),"ò","o"),"ù","u"))</f>
        <v/>
      </c>
      <c r="N869" s="25">
        <f>IF(F869="","",SUBSTITUTE(SUBSTITUTE(SUBSTITUTE(SUBSTITUTE(SUBSTITUTE(SUBSTITUTE(SUBSTITUTE(SUBSTITUTE(SUBSTITUTE(SUBSTITUTE(SUBSTITUTE(SUBSTITUTE(LOWER(TRIM(F869)),"á","a"),"é","e"),"í","i"),"ó","o"),"ú","u"),"ü","u"),"ñ","n"),"à","a"),"è","e"),"ì","i"),"ò","o"),"ù","u"))</f>
        <v/>
      </c>
      <c r="O869" s="25">
        <f>IF(M869="confiable",2,IF(M869="dudosa",1,IF(M869="no confiable",0,"")))</f>
        <v/>
      </c>
      <c r="P869" s="25">
        <f>IF(N869="confiable",2,IF(N869="dudosa",1,IF(N869="no confiable",0,"")))</f>
        <v/>
      </c>
      <c r="Q869" s="25">
        <f>IF(AND(ISNUMBER(O869),ISNUMBER(P869)),1,"")</f>
        <v/>
      </c>
      <c r="R869" s="25">
        <f>IF(Q869=1,IF(O869=P869,"Sí","No"),"")</f>
        <v/>
      </c>
      <c r="S869" s="25">
        <f>IF(Q869=1,IF(P869&lt;O869,"Más estricto",IF(P869&gt;O869,"Más permisivo","Igual")),"")</f>
        <v/>
      </c>
      <c r="T869" s="25">
        <f>IF(Q869=1,IF(ABS(O869-P869)=2,1,0),"")</f>
        <v/>
      </c>
      <c r="U869" s="25">
        <f>IF(H869="","","|"&amp;SUBSTITUTE(SUBSTITUTE(TRIM(H869)," |","|"),"| ","|")&amp;"|")</f>
        <v/>
      </c>
      <c r="V869" s="25">
        <f>IF(AND(Q869=1,B869&lt;&gt;""),IF(IFERROR(COUNTIFS(B$3:B869,"="&amp;SUBSTITUTE(SUBSTITUTE(SUBSTITUTE(B869,"~","~~"),"*","~*"),"?","~?"),Q$3:Q869,1),0)=1,MAX(V$2:V868)+1,""),"")</f>
        <v/>
      </c>
      <c r="W869" s="25">
        <f>IF(V869="","",COUNTIFS($B$3:$B$1002,"="&amp;SUBSTITUTE(SUBSTITUTE(SUBSTITUTE(B869,"~","~~"),"*","~*"),"?","~?"),$Q$3:$Q$1002,1)*10000-V869)</f>
        <v/>
      </c>
      <c r="X869" s="25">
        <f>IF(Q869=1,IF(SUBSTITUTE(SUBSTITUTE(SUBSTITUTE(SUBSTITUTE(SUBSTITUTE(SUBSTITUTE(SUBSTITUTE(SUBSTITUTE(SUBSTITUTE(SUBSTITUTE(SUBSTITUTE(SUBSTITUTE(LOWER(TRIM(A869)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869)),"á","a"),"é","e"),"í","i"),"ó","o"),"ú","u"),"ü","u"),"ñ","n"),"à","a"),"è","e"),"ì","i"),"ò","o"),"ù","u")),"")</f>
        <v/>
      </c>
      <c r="Y869" s="25">
        <f>IF(X869="","",IF(IFERROR(COUNTIF(X$3:X869,"="&amp;SUBSTITUTE(SUBSTITUTE(SUBSTITUTE(X869,"~","~~"),"*","~*"),"?","~?")),0)=1,1,""))</f>
        <v/>
      </c>
      <c r="Z869" s="25">
        <f>IF(T869=1,MAX(Z$2:Z868)+1,"")</f>
        <v/>
      </c>
    </row>
    <row r="870">
      <c r="A870">
        <f>IF(A$2=0,"",IFERROR(TRIM(INDEX('Pegar calibracion'!$A$1:$BZ$1001,869,A$2)&amp;""),""))</f>
        <v/>
      </c>
      <c r="B870">
        <f>IF(B$2=0,"",IFERROR(TRIM(INDEX('Pegar calibracion'!$A$1:$BZ$1001,869,B$2)&amp;""),""))</f>
        <v/>
      </c>
      <c r="C870">
        <f>IF(C$2=0,"",IFERROR(TRIM(INDEX('Pegar calibracion'!$A$1:$BZ$1001,869,C$2)&amp;""),""))</f>
        <v/>
      </c>
      <c r="D870">
        <f>IF(D$2=0,"",IFERROR(TRIM(INDEX('Pegar calibracion'!$A$1:$BZ$1001,869,D$2)&amp;""),""))</f>
        <v/>
      </c>
      <c r="E870">
        <f>IF(E$2=0,"",IFERROR(TRIM(INDEX('Pegar calibracion'!$A$1:$BZ$1001,869,E$2)&amp;""),""))</f>
        <v/>
      </c>
      <c r="F870">
        <f>IF(F$2=0,"",IFERROR(TRIM(INDEX('Pegar calibracion'!$A$1:$BZ$1001,869,F$2)&amp;""),""))</f>
        <v/>
      </c>
      <c r="G870">
        <f>IF(G$2=0,"",IFERROR(TRIM(INDEX('Pegar calibracion'!$A$1:$BZ$1001,869,G$2)&amp;""),""))</f>
        <v/>
      </c>
      <c r="H870">
        <f>IF(H$2=0,"",IFERROR(TRIM(INDEX('Pegar calibracion'!$A$1:$BZ$1001,869,H$2)&amp;""),""))</f>
        <v/>
      </c>
      <c r="I870">
        <f>IF(I$2=0,"",IFERROR(TRIM(INDEX('Pegar calibracion'!$A$1:$BZ$1001,869,I$2)&amp;""),""))</f>
        <v/>
      </c>
      <c r="J870">
        <f>IF(J$2=0,"",IFERROR(TRIM(INDEX('Pegar calibracion'!$A$1:$BZ$1001,869,J$2)&amp;""),""))</f>
        <v/>
      </c>
      <c r="K870">
        <f>IF(K$2=0,"",IFERROR(TRIM(INDEX('Pegar calibracion'!$A$1:$BZ$1001,869,K$2)&amp;""),""))</f>
        <v/>
      </c>
      <c r="L870">
        <f>IF(L$2=0,"",IFERROR(TRIM(INDEX('Pegar calibracion'!$A$1:$BZ$1001,869,L$2)&amp;""),""))</f>
        <v/>
      </c>
      <c r="M870" s="25">
        <f>IF(D870="","",SUBSTITUTE(SUBSTITUTE(SUBSTITUTE(SUBSTITUTE(SUBSTITUTE(SUBSTITUTE(SUBSTITUTE(SUBSTITUTE(SUBSTITUTE(SUBSTITUTE(SUBSTITUTE(SUBSTITUTE(LOWER(TRIM(D870)),"á","a"),"é","e"),"í","i"),"ó","o"),"ú","u"),"ü","u"),"ñ","n"),"à","a"),"è","e"),"ì","i"),"ò","o"),"ù","u"))</f>
        <v/>
      </c>
      <c r="N870" s="25">
        <f>IF(F870="","",SUBSTITUTE(SUBSTITUTE(SUBSTITUTE(SUBSTITUTE(SUBSTITUTE(SUBSTITUTE(SUBSTITUTE(SUBSTITUTE(SUBSTITUTE(SUBSTITUTE(SUBSTITUTE(SUBSTITUTE(LOWER(TRIM(F870)),"á","a"),"é","e"),"í","i"),"ó","o"),"ú","u"),"ü","u"),"ñ","n"),"à","a"),"è","e"),"ì","i"),"ò","o"),"ù","u"))</f>
        <v/>
      </c>
      <c r="O870" s="25">
        <f>IF(M870="confiable",2,IF(M870="dudosa",1,IF(M870="no confiable",0,"")))</f>
        <v/>
      </c>
      <c r="P870" s="25">
        <f>IF(N870="confiable",2,IF(N870="dudosa",1,IF(N870="no confiable",0,"")))</f>
        <v/>
      </c>
      <c r="Q870" s="25">
        <f>IF(AND(ISNUMBER(O870),ISNUMBER(P870)),1,"")</f>
        <v/>
      </c>
      <c r="R870" s="25">
        <f>IF(Q870=1,IF(O870=P870,"Sí","No"),"")</f>
        <v/>
      </c>
      <c r="S870" s="25">
        <f>IF(Q870=1,IF(P870&lt;O870,"Más estricto",IF(P870&gt;O870,"Más permisivo","Igual")),"")</f>
        <v/>
      </c>
      <c r="T870" s="25">
        <f>IF(Q870=1,IF(ABS(O870-P870)=2,1,0),"")</f>
        <v/>
      </c>
      <c r="U870" s="25">
        <f>IF(H870="","","|"&amp;SUBSTITUTE(SUBSTITUTE(TRIM(H870)," |","|"),"| ","|")&amp;"|")</f>
        <v/>
      </c>
      <c r="V870" s="25">
        <f>IF(AND(Q870=1,B870&lt;&gt;""),IF(IFERROR(COUNTIFS(B$3:B870,"="&amp;SUBSTITUTE(SUBSTITUTE(SUBSTITUTE(B870,"~","~~"),"*","~*"),"?","~?"),Q$3:Q870,1),0)=1,MAX(V$2:V869)+1,""),"")</f>
        <v/>
      </c>
      <c r="W870" s="25">
        <f>IF(V870="","",COUNTIFS($B$3:$B$1002,"="&amp;SUBSTITUTE(SUBSTITUTE(SUBSTITUTE(B870,"~","~~"),"*","~*"),"?","~?"),$Q$3:$Q$1002,1)*10000-V870)</f>
        <v/>
      </c>
      <c r="X870" s="25">
        <f>IF(Q870=1,IF(SUBSTITUTE(SUBSTITUTE(SUBSTITUTE(SUBSTITUTE(SUBSTITUTE(SUBSTITUTE(SUBSTITUTE(SUBSTITUTE(SUBSTITUTE(SUBSTITUTE(SUBSTITUTE(SUBSTITUTE(LOWER(TRIM(A870)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870)),"á","a"),"é","e"),"í","i"),"ó","o"),"ú","u"),"ü","u"),"ñ","n"),"à","a"),"è","e"),"ì","i"),"ò","o"),"ù","u")),"")</f>
        <v/>
      </c>
      <c r="Y870" s="25">
        <f>IF(X870="","",IF(IFERROR(COUNTIF(X$3:X870,"="&amp;SUBSTITUTE(SUBSTITUTE(SUBSTITUTE(X870,"~","~~"),"*","~*"),"?","~?")),0)=1,1,""))</f>
        <v/>
      </c>
      <c r="Z870" s="25">
        <f>IF(T870=1,MAX(Z$2:Z869)+1,"")</f>
        <v/>
      </c>
    </row>
    <row r="871">
      <c r="A871">
        <f>IF(A$2=0,"",IFERROR(TRIM(INDEX('Pegar calibracion'!$A$1:$BZ$1001,870,A$2)&amp;""),""))</f>
        <v/>
      </c>
      <c r="B871">
        <f>IF(B$2=0,"",IFERROR(TRIM(INDEX('Pegar calibracion'!$A$1:$BZ$1001,870,B$2)&amp;""),""))</f>
        <v/>
      </c>
      <c r="C871">
        <f>IF(C$2=0,"",IFERROR(TRIM(INDEX('Pegar calibracion'!$A$1:$BZ$1001,870,C$2)&amp;""),""))</f>
        <v/>
      </c>
      <c r="D871">
        <f>IF(D$2=0,"",IFERROR(TRIM(INDEX('Pegar calibracion'!$A$1:$BZ$1001,870,D$2)&amp;""),""))</f>
        <v/>
      </c>
      <c r="E871">
        <f>IF(E$2=0,"",IFERROR(TRIM(INDEX('Pegar calibracion'!$A$1:$BZ$1001,870,E$2)&amp;""),""))</f>
        <v/>
      </c>
      <c r="F871">
        <f>IF(F$2=0,"",IFERROR(TRIM(INDEX('Pegar calibracion'!$A$1:$BZ$1001,870,F$2)&amp;""),""))</f>
        <v/>
      </c>
      <c r="G871">
        <f>IF(G$2=0,"",IFERROR(TRIM(INDEX('Pegar calibracion'!$A$1:$BZ$1001,870,G$2)&amp;""),""))</f>
        <v/>
      </c>
      <c r="H871">
        <f>IF(H$2=0,"",IFERROR(TRIM(INDEX('Pegar calibracion'!$A$1:$BZ$1001,870,H$2)&amp;""),""))</f>
        <v/>
      </c>
      <c r="I871">
        <f>IF(I$2=0,"",IFERROR(TRIM(INDEX('Pegar calibracion'!$A$1:$BZ$1001,870,I$2)&amp;""),""))</f>
        <v/>
      </c>
      <c r="J871">
        <f>IF(J$2=0,"",IFERROR(TRIM(INDEX('Pegar calibracion'!$A$1:$BZ$1001,870,J$2)&amp;""),""))</f>
        <v/>
      </c>
      <c r="K871">
        <f>IF(K$2=0,"",IFERROR(TRIM(INDEX('Pegar calibracion'!$A$1:$BZ$1001,870,K$2)&amp;""),""))</f>
        <v/>
      </c>
      <c r="L871">
        <f>IF(L$2=0,"",IFERROR(TRIM(INDEX('Pegar calibracion'!$A$1:$BZ$1001,870,L$2)&amp;""),""))</f>
        <v/>
      </c>
      <c r="M871" s="25">
        <f>IF(D871="","",SUBSTITUTE(SUBSTITUTE(SUBSTITUTE(SUBSTITUTE(SUBSTITUTE(SUBSTITUTE(SUBSTITUTE(SUBSTITUTE(SUBSTITUTE(SUBSTITUTE(SUBSTITUTE(SUBSTITUTE(LOWER(TRIM(D871)),"á","a"),"é","e"),"í","i"),"ó","o"),"ú","u"),"ü","u"),"ñ","n"),"à","a"),"è","e"),"ì","i"),"ò","o"),"ù","u"))</f>
        <v/>
      </c>
      <c r="N871" s="25">
        <f>IF(F871="","",SUBSTITUTE(SUBSTITUTE(SUBSTITUTE(SUBSTITUTE(SUBSTITUTE(SUBSTITUTE(SUBSTITUTE(SUBSTITUTE(SUBSTITUTE(SUBSTITUTE(SUBSTITUTE(SUBSTITUTE(LOWER(TRIM(F871)),"á","a"),"é","e"),"í","i"),"ó","o"),"ú","u"),"ü","u"),"ñ","n"),"à","a"),"è","e"),"ì","i"),"ò","o"),"ù","u"))</f>
        <v/>
      </c>
      <c r="O871" s="25">
        <f>IF(M871="confiable",2,IF(M871="dudosa",1,IF(M871="no confiable",0,"")))</f>
        <v/>
      </c>
      <c r="P871" s="25">
        <f>IF(N871="confiable",2,IF(N871="dudosa",1,IF(N871="no confiable",0,"")))</f>
        <v/>
      </c>
      <c r="Q871" s="25">
        <f>IF(AND(ISNUMBER(O871),ISNUMBER(P871)),1,"")</f>
        <v/>
      </c>
      <c r="R871" s="25">
        <f>IF(Q871=1,IF(O871=P871,"Sí","No"),"")</f>
        <v/>
      </c>
      <c r="S871" s="25">
        <f>IF(Q871=1,IF(P871&lt;O871,"Más estricto",IF(P871&gt;O871,"Más permisivo","Igual")),"")</f>
        <v/>
      </c>
      <c r="T871" s="25">
        <f>IF(Q871=1,IF(ABS(O871-P871)=2,1,0),"")</f>
        <v/>
      </c>
      <c r="U871" s="25">
        <f>IF(H871="","","|"&amp;SUBSTITUTE(SUBSTITUTE(TRIM(H871)," |","|"),"| ","|")&amp;"|")</f>
        <v/>
      </c>
      <c r="V871" s="25">
        <f>IF(AND(Q871=1,B871&lt;&gt;""),IF(IFERROR(COUNTIFS(B$3:B871,"="&amp;SUBSTITUTE(SUBSTITUTE(SUBSTITUTE(B871,"~","~~"),"*","~*"),"?","~?"),Q$3:Q871,1),0)=1,MAX(V$2:V870)+1,""),"")</f>
        <v/>
      </c>
      <c r="W871" s="25">
        <f>IF(V871="","",COUNTIFS($B$3:$B$1002,"="&amp;SUBSTITUTE(SUBSTITUTE(SUBSTITUTE(B871,"~","~~"),"*","~*"),"?","~?"),$Q$3:$Q$1002,1)*10000-V871)</f>
        <v/>
      </c>
      <c r="X871" s="25">
        <f>IF(Q871=1,IF(SUBSTITUTE(SUBSTITUTE(SUBSTITUTE(SUBSTITUTE(SUBSTITUTE(SUBSTITUTE(SUBSTITUTE(SUBSTITUTE(SUBSTITUTE(SUBSTITUTE(SUBSTITUTE(SUBSTITUTE(LOWER(TRIM(A871)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871)),"á","a"),"é","e"),"í","i"),"ó","o"),"ú","u"),"ü","u"),"ñ","n"),"à","a"),"è","e"),"ì","i"),"ò","o"),"ù","u")),"")</f>
        <v/>
      </c>
      <c r="Y871" s="25">
        <f>IF(X871="","",IF(IFERROR(COUNTIF(X$3:X871,"="&amp;SUBSTITUTE(SUBSTITUTE(SUBSTITUTE(X871,"~","~~"),"*","~*"),"?","~?")),0)=1,1,""))</f>
        <v/>
      </c>
      <c r="Z871" s="25">
        <f>IF(T871=1,MAX(Z$2:Z870)+1,"")</f>
        <v/>
      </c>
    </row>
    <row r="872">
      <c r="A872">
        <f>IF(A$2=0,"",IFERROR(TRIM(INDEX('Pegar calibracion'!$A$1:$BZ$1001,871,A$2)&amp;""),""))</f>
        <v/>
      </c>
      <c r="B872">
        <f>IF(B$2=0,"",IFERROR(TRIM(INDEX('Pegar calibracion'!$A$1:$BZ$1001,871,B$2)&amp;""),""))</f>
        <v/>
      </c>
      <c r="C872">
        <f>IF(C$2=0,"",IFERROR(TRIM(INDEX('Pegar calibracion'!$A$1:$BZ$1001,871,C$2)&amp;""),""))</f>
        <v/>
      </c>
      <c r="D872">
        <f>IF(D$2=0,"",IFERROR(TRIM(INDEX('Pegar calibracion'!$A$1:$BZ$1001,871,D$2)&amp;""),""))</f>
        <v/>
      </c>
      <c r="E872">
        <f>IF(E$2=0,"",IFERROR(TRIM(INDEX('Pegar calibracion'!$A$1:$BZ$1001,871,E$2)&amp;""),""))</f>
        <v/>
      </c>
      <c r="F872">
        <f>IF(F$2=0,"",IFERROR(TRIM(INDEX('Pegar calibracion'!$A$1:$BZ$1001,871,F$2)&amp;""),""))</f>
        <v/>
      </c>
      <c r="G872">
        <f>IF(G$2=0,"",IFERROR(TRIM(INDEX('Pegar calibracion'!$A$1:$BZ$1001,871,G$2)&amp;""),""))</f>
        <v/>
      </c>
      <c r="H872">
        <f>IF(H$2=0,"",IFERROR(TRIM(INDEX('Pegar calibracion'!$A$1:$BZ$1001,871,H$2)&amp;""),""))</f>
        <v/>
      </c>
      <c r="I872">
        <f>IF(I$2=0,"",IFERROR(TRIM(INDEX('Pegar calibracion'!$A$1:$BZ$1001,871,I$2)&amp;""),""))</f>
        <v/>
      </c>
      <c r="J872">
        <f>IF(J$2=0,"",IFERROR(TRIM(INDEX('Pegar calibracion'!$A$1:$BZ$1001,871,J$2)&amp;""),""))</f>
        <v/>
      </c>
      <c r="K872">
        <f>IF(K$2=0,"",IFERROR(TRIM(INDEX('Pegar calibracion'!$A$1:$BZ$1001,871,K$2)&amp;""),""))</f>
        <v/>
      </c>
      <c r="L872">
        <f>IF(L$2=0,"",IFERROR(TRIM(INDEX('Pegar calibracion'!$A$1:$BZ$1001,871,L$2)&amp;""),""))</f>
        <v/>
      </c>
      <c r="M872" s="25">
        <f>IF(D872="","",SUBSTITUTE(SUBSTITUTE(SUBSTITUTE(SUBSTITUTE(SUBSTITUTE(SUBSTITUTE(SUBSTITUTE(SUBSTITUTE(SUBSTITUTE(SUBSTITUTE(SUBSTITUTE(SUBSTITUTE(LOWER(TRIM(D872)),"á","a"),"é","e"),"í","i"),"ó","o"),"ú","u"),"ü","u"),"ñ","n"),"à","a"),"è","e"),"ì","i"),"ò","o"),"ù","u"))</f>
        <v/>
      </c>
      <c r="N872" s="25">
        <f>IF(F872="","",SUBSTITUTE(SUBSTITUTE(SUBSTITUTE(SUBSTITUTE(SUBSTITUTE(SUBSTITUTE(SUBSTITUTE(SUBSTITUTE(SUBSTITUTE(SUBSTITUTE(SUBSTITUTE(SUBSTITUTE(LOWER(TRIM(F872)),"á","a"),"é","e"),"í","i"),"ó","o"),"ú","u"),"ü","u"),"ñ","n"),"à","a"),"è","e"),"ì","i"),"ò","o"),"ù","u"))</f>
        <v/>
      </c>
      <c r="O872" s="25">
        <f>IF(M872="confiable",2,IF(M872="dudosa",1,IF(M872="no confiable",0,"")))</f>
        <v/>
      </c>
      <c r="P872" s="25">
        <f>IF(N872="confiable",2,IF(N872="dudosa",1,IF(N872="no confiable",0,"")))</f>
        <v/>
      </c>
      <c r="Q872" s="25">
        <f>IF(AND(ISNUMBER(O872),ISNUMBER(P872)),1,"")</f>
        <v/>
      </c>
      <c r="R872" s="25">
        <f>IF(Q872=1,IF(O872=P872,"Sí","No"),"")</f>
        <v/>
      </c>
      <c r="S872" s="25">
        <f>IF(Q872=1,IF(P872&lt;O872,"Más estricto",IF(P872&gt;O872,"Más permisivo","Igual")),"")</f>
        <v/>
      </c>
      <c r="T872" s="25">
        <f>IF(Q872=1,IF(ABS(O872-P872)=2,1,0),"")</f>
        <v/>
      </c>
      <c r="U872" s="25">
        <f>IF(H872="","","|"&amp;SUBSTITUTE(SUBSTITUTE(TRIM(H872)," |","|"),"| ","|")&amp;"|")</f>
        <v/>
      </c>
      <c r="V872" s="25">
        <f>IF(AND(Q872=1,B872&lt;&gt;""),IF(IFERROR(COUNTIFS(B$3:B872,"="&amp;SUBSTITUTE(SUBSTITUTE(SUBSTITUTE(B872,"~","~~"),"*","~*"),"?","~?"),Q$3:Q872,1),0)=1,MAX(V$2:V871)+1,""),"")</f>
        <v/>
      </c>
      <c r="W872" s="25">
        <f>IF(V872="","",COUNTIFS($B$3:$B$1002,"="&amp;SUBSTITUTE(SUBSTITUTE(SUBSTITUTE(B872,"~","~~"),"*","~*"),"?","~?"),$Q$3:$Q$1002,1)*10000-V872)</f>
        <v/>
      </c>
      <c r="X872" s="25">
        <f>IF(Q872=1,IF(SUBSTITUTE(SUBSTITUTE(SUBSTITUTE(SUBSTITUTE(SUBSTITUTE(SUBSTITUTE(SUBSTITUTE(SUBSTITUTE(SUBSTITUTE(SUBSTITUTE(SUBSTITUTE(SUBSTITUTE(LOWER(TRIM(A872)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872)),"á","a"),"é","e"),"í","i"),"ó","o"),"ú","u"),"ü","u"),"ñ","n"),"à","a"),"è","e"),"ì","i"),"ò","o"),"ù","u")),"")</f>
        <v/>
      </c>
      <c r="Y872" s="25">
        <f>IF(X872="","",IF(IFERROR(COUNTIF(X$3:X872,"="&amp;SUBSTITUTE(SUBSTITUTE(SUBSTITUTE(X872,"~","~~"),"*","~*"),"?","~?")),0)=1,1,""))</f>
        <v/>
      </c>
      <c r="Z872" s="25">
        <f>IF(T872=1,MAX(Z$2:Z871)+1,"")</f>
        <v/>
      </c>
    </row>
    <row r="873">
      <c r="A873">
        <f>IF(A$2=0,"",IFERROR(TRIM(INDEX('Pegar calibracion'!$A$1:$BZ$1001,872,A$2)&amp;""),""))</f>
        <v/>
      </c>
      <c r="B873">
        <f>IF(B$2=0,"",IFERROR(TRIM(INDEX('Pegar calibracion'!$A$1:$BZ$1001,872,B$2)&amp;""),""))</f>
        <v/>
      </c>
      <c r="C873">
        <f>IF(C$2=0,"",IFERROR(TRIM(INDEX('Pegar calibracion'!$A$1:$BZ$1001,872,C$2)&amp;""),""))</f>
        <v/>
      </c>
      <c r="D873">
        <f>IF(D$2=0,"",IFERROR(TRIM(INDEX('Pegar calibracion'!$A$1:$BZ$1001,872,D$2)&amp;""),""))</f>
        <v/>
      </c>
      <c r="E873">
        <f>IF(E$2=0,"",IFERROR(TRIM(INDEX('Pegar calibracion'!$A$1:$BZ$1001,872,E$2)&amp;""),""))</f>
        <v/>
      </c>
      <c r="F873">
        <f>IF(F$2=0,"",IFERROR(TRIM(INDEX('Pegar calibracion'!$A$1:$BZ$1001,872,F$2)&amp;""),""))</f>
        <v/>
      </c>
      <c r="G873">
        <f>IF(G$2=0,"",IFERROR(TRIM(INDEX('Pegar calibracion'!$A$1:$BZ$1001,872,G$2)&amp;""),""))</f>
        <v/>
      </c>
      <c r="H873">
        <f>IF(H$2=0,"",IFERROR(TRIM(INDEX('Pegar calibracion'!$A$1:$BZ$1001,872,H$2)&amp;""),""))</f>
        <v/>
      </c>
      <c r="I873">
        <f>IF(I$2=0,"",IFERROR(TRIM(INDEX('Pegar calibracion'!$A$1:$BZ$1001,872,I$2)&amp;""),""))</f>
        <v/>
      </c>
      <c r="J873">
        <f>IF(J$2=0,"",IFERROR(TRIM(INDEX('Pegar calibracion'!$A$1:$BZ$1001,872,J$2)&amp;""),""))</f>
        <v/>
      </c>
      <c r="K873">
        <f>IF(K$2=0,"",IFERROR(TRIM(INDEX('Pegar calibracion'!$A$1:$BZ$1001,872,K$2)&amp;""),""))</f>
        <v/>
      </c>
      <c r="L873">
        <f>IF(L$2=0,"",IFERROR(TRIM(INDEX('Pegar calibracion'!$A$1:$BZ$1001,872,L$2)&amp;""),""))</f>
        <v/>
      </c>
      <c r="M873" s="25">
        <f>IF(D873="","",SUBSTITUTE(SUBSTITUTE(SUBSTITUTE(SUBSTITUTE(SUBSTITUTE(SUBSTITUTE(SUBSTITUTE(SUBSTITUTE(SUBSTITUTE(SUBSTITUTE(SUBSTITUTE(SUBSTITUTE(LOWER(TRIM(D873)),"á","a"),"é","e"),"í","i"),"ó","o"),"ú","u"),"ü","u"),"ñ","n"),"à","a"),"è","e"),"ì","i"),"ò","o"),"ù","u"))</f>
        <v/>
      </c>
      <c r="N873" s="25">
        <f>IF(F873="","",SUBSTITUTE(SUBSTITUTE(SUBSTITUTE(SUBSTITUTE(SUBSTITUTE(SUBSTITUTE(SUBSTITUTE(SUBSTITUTE(SUBSTITUTE(SUBSTITUTE(SUBSTITUTE(SUBSTITUTE(LOWER(TRIM(F873)),"á","a"),"é","e"),"í","i"),"ó","o"),"ú","u"),"ü","u"),"ñ","n"),"à","a"),"è","e"),"ì","i"),"ò","o"),"ù","u"))</f>
        <v/>
      </c>
      <c r="O873" s="25">
        <f>IF(M873="confiable",2,IF(M873="dudosa",1,IF(M873="no confiable",0,"")))</f>
        <v/>
      </c>
      <c r="P873" s="25">
        <f>IF(N873="confiable",2,IF(N873="dudosa",1,IF(N873="no confiable",0,"")))</f>
        <v/>
      </c>
      <c r="Q873" s="25">
        <f>IF(AND(ISNUMBER(O873),ISNUMBER(P873)),1,"")</f>
        <v/>
      </c>
      <c r="R873" s="25">
        <f>IF(Q873=1,IF(O873=P873,"Sí","No"),"")</f>
        <v/>
      </c>
      <c r="S873" s="25">
        <f>IF(Q873=1,IF(P873&lt;O873,"Más estricto",IF(P873&gt;O873,"Más permisivo","Igual")),"")</f>
        <v/>
      </c>
      <c r="T873" s="25">
        <f>IF(Q873=1,IF(ABS(O873-P873)=2,1,0),"")</f>
        <v/>
      </c>
      <c r="U873" s="25">
        <f>IF(H873="","","|"&amp;SUBSTITUTE(SUBSTITUTE(TRIM(H873)," |","|"),"| ","|")&amp;"|")</f>
        <v/>
      </c>
      <c r="V873" s="25">
        <f>IF(AND(Q873=1,B873&lt;&gt;""),IF(IFERROR(COUNTIFS(B$3:B873,"="&amp;SUBSTITUTE(SUBSTITUTE(SUBSTITUTE(B873,"~","~~"),"*","~*"),"?","~?"),Q$3:Q873,1),0)=1,MAX(V$2:V872)+1,""),"")</f>
        <v/>
      </c>
      <c r="W873" s="25">
        <f>IF(V873="","",COUNTIFS($B$3:$B$1002,"="&amp;SUBSTITUTE(SUBSTITUTE(SUBSTITUTE(B873,"~","~~"),"*","~*"),"?","~?"),$Q$3:$Q$1002,1)*10000-V873)</f>
        <v/>
      </c>
      <c r="X873" s="25">
        <f>IF(Q873=1,IF(SUBSTITUTE(SUBSTITUTE(SUBSTITUTE(SUBSTITUTE(SUBSTITUTE(SUBSTITUTE(SUBSTITUTE(SUBSTITUTE(SUBSTITUTE(SUBSTITUTE(SUBSTITUTE(SUBSTITUTE(LOWER(TRIM(A873)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873)),"á","a"),"é","e"),"í","i"),"ó","o"),"ú","u"),"ü","u"),"ñ","n"),"à","a"),"è","e"),"ì","i"),"ò","o"),"ù","u")),"")</f>
        <v/>
      </c>
      <c r="Y873" s="25">
        <f>IF(X873="","",IF(IFERROR(COUNTIF(X$3:X873,"="&amp;SUBSTITUTE(SUBSTITUTE(SUBSTITUTE(X873,"~","~~"),"*","~*"),"?","~?")),0)=1,1,""))</f>
        <v/>
      </c>
      <c r="Z873" s="25">
        <f>IF(T873=1,MAX(Z$2:Z872)+1,"")</f>
        <v/>
      </c>
    </row>
    <row r="874">
      <c r="A874">
        <f>IF(A$2=0,"",IFERROR(TRIM(INDEX('Pegar calibracion'!$A$1:$BZ$1001,873,A$2)&amp;""),""))</f>
        <v/>
      </c>
      <c r="B874">
        <f>IF(B$2=0,"",IFERROR(TRIM(INDEX('Pegar calibracion'!$A$1:$BZ$1001,873,B$2)&amp;""),""))</f>
        <v/>
      </c>
      <c r="C874">
        <f>IF(C$2=0,"",IFERROR(TRIM(INDEX('Pegar calibracion'!$A$1:$BZ$1001,873,C$2)&amp;""),""))</f>
        <v/>
      </c>
      <c r="D874">
        <f>IF(D$2=0,"",IFERROR(TRIM(INDEX('Pegar calibracion'!$A$1:$BZ$1001,873,D$2)&amp;""),""))</f>
        <v/>
      </c>
      <c r="E874">
        <f>IF(E$2=0,"",IFERROR(TRIM(INDEX('Pegar calibracion'!$A$1:$BZ$1001,873,E$2)&amp;""),""))</f>
        <v/>
      </c>
      <c r="F874">
        <f>IF(F$2=0,"",IFERROR(TRIM(INDEX('Pegar calibracion'!$A$1:$BZ$1001,873,F$2)&amp;""),""))</f>
        <v/>
      </c>
      <c r="G874">
        <f>IF(G$2=0,"",IFERROR(TRIM(INDEX('Pegar calibracion'!$A$1:$BZ$1001,873,G$2)&amp;""),""))</f>
        <v/>
      </c>
      <c r="H874">
        <f>IF(H$2=0,"",IFERROR(TRIM(INDEX('Pegar calibracion'!$A$1:$BZ$1001,873,H$2)&amp;""),""))</f>
        <v/>
      </c>
      <c r="I874">
        <f>IF(I$2=0,"",IFERROR(TRIM(INDEX('Pegar calibracion'!$A$1:$BZ$1001,873,I$2)&amp;""),""))</f>
        <v/>
      </c>
      <c r="J874">
        <f>IF(J$2=0,"",IFERROR(TRIM(INDEX('Pegar calibracion'!$A$1:$BZ$1001,873,J$2)&amp;""),""))</f>
        <v/>
      </c>
      <c r="K874">
        <f>IF(K$2=0,"",IFERROR(TRIM(INDEX('Pegar calibracion'!$A$1:$BZ$1001,873,K$2)&amp;""),""))</f>
        <v/>
      </c>
      <c r="L874">
        <f>IF(L$2=0,"",IFERROR(TRIM(INDEX('Pegar calibracion'!$A$1:$BZ$1001,873,L$2)&amp;""),""))</f>
        <v/>
      </c>
      <c r="M874" s="25">
        <f>IF(D874="","",SUBSTITUTE(SUBSTITUTE(SUBSTITUTE(SUBSTITUTE(SUBSTITUTE(SUBSTITUTE(SUBSTITUTE(SUBSTITUTE(SUBSTITUTE(SUBSTITUTE(SUBSTITUTE(SUBSTITUTE(LOWER(TRIM(D874)),"á","a"),"é","e"),"í","i"),"ó","o"),"ú","u"),"ü","u"),"ñ","n"),"à","a"),"è","e"),"ì","i"),"ò","o"),"ù","u"))</f>
        <v/>
      </c>
      <c r="N874" s="25">
        <f>IF(F874="","",SUBSTITUTE(SUBSTITUTE(SUBSTITUTE(SUBSTITUTE(SUBSTITUTE(SUBSTITUTE(SUBSTITUTE(SUBSTITUTE(SUBSTITUTE(SUBSTITUTE(SUBSTITUTE(SUBSTITUTE(LOWER(TRIM(F874)),"á","a"),"é","e"),"í","i"),"ó","o"),"ú","u"),"ü","u"),"ñ","n"),"à","a"),"è","e"),"ì","i"),"ò","o"),"ù","u"))</f>
        <v/>
      </c>
      <c r="O874" s="25">
        <f>IF(M874="confiable",2,IF(M874="dudosa",1,IF(M874="no confiable",0,"")))</f>
        <v/>
      </c>
      <c r="P874" s="25">
        <f>IF(N874="confiable",2,IF(N874="dudosa",1,IF(N874="no confiable",0,"")))</f>
        <v/>
      </c>
      <c r="Q874" s="25">
        <f>IF(AND(ISNUMBER(O874),ISNUMBER(P874)),1,"")</f>
        <v/>
      </c>
      <c r="R874" s="25">
        <f>IF(Q874=1,IF(O874=P874,"Sí","No"),"")</f>
        <v/>
      </c>
      <c r="S874" s="25">
        <f>IF(Q874=1,IF(P874&lt;O874,"Más estricto",IF(P874&gt;O874,"Más permisivo","Igual")),"")</f>
        <v/>
      </c>
      <c r="T874" s="25">
        <f>IF(Q874=1,IF(ABS(O874-P874)=2,1,0),"")</f>
        <v/>
      </c>
      <c r="U874" s="25">
        <f>IF(H874="","","|"&amp;SUBSTITUTE(SUBSTITUTE(TRIM(H874)," |","|"),"| ","|")&amp;"|")</f>
        <v/>
      </c>
      <c r="V874" s="25">
        <f>IF(AND(Q874=1,B874&lt;&gt;""),IF(IFERROR(COUNTIFS(B$3:B874,"="&amp;SUBSTITUTE(SUBSTITUTE(SUBSTITUTE(B874,"~","~~"),"*","~*"),"?","~?"),Q$3:Q874,1),0)=1,MAX(V$2:V873)+1,""),"")</f>
        <v/>
      </c>
      <c r="W874" s="25">
        <f>IF(V874="","",COUNTIFS($B$3:$B$1002,"="&amp;SUBSTITUTE(SUBSTITUTE(SUBSTITUTE(B874,"~","~~"),"*","~*"),"?","~?"),$Q$3:$Q$1002,1)*10000-V874)</f>
        <v/>
      </c>
      <c r="X874" s="25">
        <f>IF(Q874=1,IF(SUBSTITUTE(SUBSTITUTE(SUBSTITUTE(SUBSTITUTE(SUBSTITUTE(SUBSTITUTE(SUBSTITUTE(SUBSTITUTE(SUBSTITUTE(SUBSTITUTE(SUBSTITUTE(SUBSTITUTE(LOWER(TRIM(A874)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874)),"á","a"),"é","e"),"í","i"),"ó","o"),"ú","u"),"ü","u"),"ñ","n"),"à","a"),"è","e"),"ì","i"),"ò","o"),"ù","u")),"")</f>
        <v/>
      </c>
      <c r="Y874" s="25">
        <f>IF(X874="","",IF(IFERROR(COUNTIF(X$3:X874,"="&amp;SUBSTITUTE(SUBSTITUTE(SUBSTITUTE(X874,"~","~~"),"*","~*"),"?","~?")),0)=1,1,""))</f>
        <v/>
      </c>
      <c r="Z874" s="25">
        <f>IF(T874=1,MAX(Z$2:Z873)+1,"")</f>
        <v/>
      </c>
    </row>
    <row r="875">
      <c r="A875">
        <f>IF(A$2=0,"",IFERROR(TRIM(INDEX('Pegar calibracion'!$A$1:$BZ$1001,874,A$2)&amp;""),""))</f>
        <v/>
      </c>
      <c r="B875">
        <f>IF(B$2=0,"",IFERROR(TRIM(INDEX('Pegar calibracion'!$A$1:$BZ$1001,874,B$2)&amp;""),""))</f>
        <v/>
      </c>
      <c r="C875">
        <f>IF(C$2=0,"",IFERROR(TRIM(INDEX('Pegar calibracion'!$A$1:$BZ$1001,874,C$2)&amp;""),""))</f>
        <v/>
      </c>
      <c r="D875">
        <f>IF(D$2=0,"",IFERROR(TRIM(INDEX('Pegar calibracion'!$A$1:$BZ$1001,874,D$2)&amp;""),""))</f>
        <v/>
      </c>
      <c r="E875">
        <f>IF(E$2=0,"",IFERROR(TRIM(INDEX('Pegar calibracion'!$A$1:$BZ$1001,874,E$2)&amp;""),""))</f>
        <v/>
      </c>
      <c r="F875">
        <f>IF(F$2=0,"",IFERROR(TRIM(INDEX('Pegar calibracion'!$A$1:$BZ$1001,874,F$2)&amp;""),""))</f>
        <v/>
      </c>
      <c r="G875">
        <f>IF(G$2=0,"",IFERROR(TRIM(INDEX('Pegar calibracion'!$A$1:$BZ$1001,874,G$2)&amp;""),""))</f>
        <v/>
      </c>
      <c r="H875">
        <f>IF(H$2=0,"",IFERROR(TRIM(INDEX('Pegar calibracion'!$A$1:$BZ$1001,874,H$2)&amp;""),""))</f>
        <v/>
      </c>
      <c r="I875">
        <f>IF(I$2=0,"",IFERROR(TRIM(INDEX('Pegar calibracion'!$A$1:$BZ$1001,874,I$2)&amp;""),""))</f>
        <v/>
      </c>
      <c r="J875">
        <f>IF(J$2=0,"",IFERROR(TRIM(INDEX('Pegar calibracion'!$A$1:$BZ$1001,874,J$2)&amp;""),""))</f>
        <v/>
      </c>
      <c r="K875">
        <f>IF(K$2=0,"",IFERROR(TRIM(INDEX('Pegar calibracion'!$A$1:$BZ$1001,874,K$2)&amp;""),""))</f>
        <v/>
      </c>
      <c r="L875">
        <f>IF(L$2=0,"",IFERROR(TRIM(INDEX('Pegar calibracion'!$A$1:$BZ$1001,874,L$2)&amp;""),""))</f>
        <v/>
      </c>
      <c r="M875" s="25">
        <f>IF(D875="","",SUBSTITUTE(SUBSTITUTE(SUBSTITUTE(SUBSTITUTE(SUBSTITUTE(SUBSTITUTE(SUBSTITUTE(SUBSTITUTE(SUBSTITUTE(SUBSTITUTE(SUBSTITUTE(SUBSTITUTE(LOWER(TRIM(D875)),"á","a"),"é","e"),"í","i"),"ó","o"),"ú","u"),"ü","u"),"ñ","n"),"à","a"),"è","e"),"ì","i"),"ò","o"),"ù","u"))</f>
        <v/>
      </c>
      <c r="N875" s="25">
        <f>IF(F875="","",SUBSTITUTE(SUBSTITUTE(SUBSTITUTE(SUBSTITUTE(SUBSTITUTE(SUBSTITUTE(SUBSTITUTE(SUBSTITUTE(SUBSTITUTE(SUBSTITUTE(SUBSTITUTE(SUBSTITUTE(LOWER(TRIM(F875)),"á","a"),"é","e"),"í","i"),"ó","o"),"ú","u"),"ü","u"),"ñ","n"),"à","a"),"è","e"),"ì","i"),"ò","o"),"ù","u"))</f>
        <v/>
      </c>
      <c r="O875" s="25">
        <f>IF(M875="confiable",2,IF(M875="dudosa",1,IF(M875="no confiable",0,"")))</f>
        <v/>
      </c>
      <c r="P875" s="25">
        <f>IF(N875="confiable",2,IF(N875="dudosa",1,IF(N875="no confiable",0,"")))</f>
        <v/>
      </c>
      <c r="Q875" s="25">
        <f>IF(AND(ISNUMBER(O875),ISNUMBER(P875)),1,"")</f>
        <v/>
      </c>
      <c r="R875" s="25">
        <f>IF(Q875=1,IF(O875=P875,"Sí","No"),"")</f>
        <v/>
      </c>
      <c r="S875" s="25">
        <f>IF(Q875=1,IF(P875&lt;O875,"Más estricto",IF(P875&gt;O875,"Más permisivo","Igual")),"")</f>
        <v/>
      </c>
      <c r="T875" s="25">
        <f>IF(Q875=1,IF(ABS(O875-P875)=2,1,0),"")</f>
        <v/>
      </c>
      <c r="U875" s="25">
        <f>IF(H875="","","|"&amp;SUBSTITUTE(SUBSTITUTE(TRIM(H875)," |","|"),"| ","|")&amp;"|")</f>
        <v/>
      </c>
      <c r="V875" s="25">
        <f>IF(AND(Q875=1,B875&lt;&gt;""),IF(IFERROR(COUNTIFS(B$3:B875,"="&amp;SUBSTITUTE(SUBSTITUTE(SUBSTITUTE(B875,"~","~~"),"*","~*"),"?","~?"),Q$3:Q875,1),0)=1,MAX(V$2:V874)+1,""),"")</f>
        <v/>
      </c>
      <c r="W875" s="25">
        <f>IF(V875="","",COUNTIFS($B$3:$B$1002,"="&amp;SUBSTITUTE(SUBSTITUTE(SUBSTITUTE(B875,"~","~~"),"*","~*"),"?","~?"),$Q$3:$Q$1002,1)*10000-V875)</f>
        <v/>
      </c>
      <c r="X875" s="25">
        <f>IF(Q875=1,IF(SUBSTITUTE(SUBSTITUTE(SUBSTITUTE(SUBSTITUTE(SUBSTITUTE(SUBSTITUTE(SUBSTITUTE(SUBSTITUTE(SUBSTITUTE(SUBSTITUTE(SUBSTITUTE(SUBSTITUTE(LOWER(TRIM(A875)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875)),"á","a"),"é","e"),"í","i"),"ó","o"),"ú","u"),"ü","u"),"ñ","n"),"à","a"),"è","e"),"ì","i"),"ò","o"),"ù","u")),"")</f>
        <v/>
      </c>
      <c r="Y875" s="25">
        <f>IF(X875="","",IF(IFERROR(COUNTIF(X$3:X875,"="&amp;SUBSTITUTE(SUBSTITUTE(SUBSTITUTE(X875,"~","~~"),"*","~*"),"?","~?")),0)=1,1,""))</f>
        <v/>
      </c>
      <c r="Z875" s="25">
        <f>IF(T875=1,MAX(Z$2:Z874)+1,"")</f>
        <v/>
      </c>
    </row>
    <row r="876">
      <c r="A876">
        <f>IF(A$2=0,"",IFERROR(TRIM(INDEX('Pegar calibracion'!$A$1:$BZ$1001,875,A$2)&amp;""),""))</f>
        <v/>
      </c>
      <c r="B876">
        <f>IF(B$2=0,"",IFERROR(TRIM(INDEX('Pegar calibracion'!$A$1:$BZ$1001,875,B$2)&amp;""),""))</f>
        <v/>
      </c>
      <c r="C876">
        <f>IF(C$2=0,"",IFERROR(TRIM(INDEX('Pegar calibracion'!$A$1:$BZ$1001,875,C$2)&amp;""),""))</f>
        <v/>
      </c>
      <c r="D876">
        <f>IF(D$2=0,"",IFERROR(TRIM(INDEX('Pegar calibracion'!$A$1:$BZ$1001,875,D$2)&amp;""),""))</f>
        <v/>
      </c>
      <c r="E876">
        <f>IF(E$2=0,"",IFERROR(TRIM(INDEX('Pegar calibracion'!$A$1:$BZ$1001,875,E$2)&amp;""),""))</f>
        <v/>
      </c>
      <c r="F876">
        <f>IF(F$2=0,"",IFERROR(TRIM(INDEX('Pegar calibracion'!$A$1:$BZ$1001,875,F$2)&amp;""),""))</f>
        <v/>
      </c>
      <c r="G876">
        <f>IF(G$2=0,"",IFERROR(TRIM(INDEX('Pegar calibracion'!$A$1:$BZ$1001,875,G$2)&amp;""),""))</f>
        <v/>
      </c>
      <c r="H876">
        <f>IF(H$2=0,"",IFERROR(TRIM(INDEX('Pegar calibracion'!$A$1:$BZ$1001,875,H$2)&amp;""),""))</f>
        <v/>
      </c>
      <c r="I876">
        <f>IF(I$2=0,"",IFERROR(TRIM(INDEX('Pegar calibracion'!$A$1:$BZ$1001,875,I$2)&amp;""),""))</f>
        <v/>
      </c>
      <c r="J876">
        <f>IF(J$2=0,"",IFERROR(TRIM(INDEX('Pegar calibracion'!$A$1:$BZ$1001,875,J$2)&amp;""),""))</f>
        <v/>
      </c>
      <c r="K876">
        <f>IF(K$2=0,"",IFERROR(TRIM(INDEX('Pegar calibracion'!$A$1:$BZ$1001,875,K$2)&amp;""),""))</f>
        <v/>
      </c>
      <c r="L876">
        <f>IF(L$2=0,"",IFERROR(TRIM(INDEX('Pegar calibracion'!$A$1:$BZ$1001,875,L$2)&amp;""),""))</f>
        <v/>
      </c>
      <c r="M876" s="25">
        <f>IF(D876="","",SUBSTITUTE(SUBSTITUTE(SUBSTITUTE(SUBSTITUTE(SUBSTITUTE(SUBSTITUTE(SUBSTITUTE(SUBSTITUTE(SUBSTITUTE(SUBSTITUTE(SUBSTITUTE(SUBSTITUTE(LOWER(TRIM(D876)),"á","a"),"é","e"),"í","i"),"ó","o"),"ú","u"),"ü","u"),"ñ","n"),"à","a"),"è","e"),"ì","i"),"ò","o"),"ù","u"))</f>
        <v/>
      </c>
      <c r="N876" s="25">
        <f>IF(F876="","",SUBSTITUTE(SUBSTITUTE(SUBSTITUTE(SUBSTITUTE(SUBSTITUTE(SUBSTITUTE(SUBSTITUTE(SUBSTITUTE(SUBSTITUTE(SUBSTITUTE(SUBSTITUTE(SUBSTITUTE(LOWER(TRIM(F876)),"á","a"),"é","e"),"í","i"),"ó","o"),"ú","u"),"ü","u"),"ñ","n"),"à","a"),"è","e"),"ì","i"),"ò","o"),"ù","u"))</f>
        <v/>
      </c>
      <c r="O876" s="25">
        <f>IF(M876="confiable",2,IF(M876="dudosa",1,IF(M876="no confiable",0,"")))</f>
        <v/>
      </c>
      <c r="P876" s="25">
        <f>IF(N876="confiable",2,IF(N876="dudosa",1,IF(N876="no confiable",0,"")))</f>
        <v/>
      </c>
      <c r="Q876" s="25">
        <f>IF(AND(ISNUMBER(O876),ISNUMBER(P876)),1,"")</f>
        <v/>
      </c>
      <c r="R876" s="25">
        <f>IF(Q876=1,IF(O876=P876,"Sí","No"),"")</f>
        <v/>
      </c>
      <c r="S876" s="25">
        <f>IF(Q876=1,IF(P876&lt;O876,"Más estricto",IF(P876&gt;O876,"Más permisivo","Igual")),"")</f>
        <v/>
      </c>
      <c r="T876" s="25">
        <f>IF(Q876=1,IF(ABS(O876-P876)=2,1,0),"")</f>
        <v/>
      </c>
      <c r="U876" s="25">
        <f>IF(H876="","","|"&amp;SUBSTITUTE(SUBSTITUTE(TRIM(H876)," |","|"),"| ","|")&amp;"|")</f>
        <v/>
      </c>
      <c r="V876" s="25">
        <f>IF(AND(Q876=1,B876&lt;&gt;""),IF(IFERROR(COUNTIFS(B$3:B876,"="&amp;SUBSTITUTE(SUBSTITUTE(SUBSTITUTE(B876,"~","~~"),"*","~*"),"?","~?"),Q$3:Q876,1),0)=1,MAX(V$2:V875)+1,""),"")</f>
        <v/>
      </c>
      <c r="W876" s="25">
        <f>IF(V876="","",COUNTIFS($B$3:$B$1002,"="&amp;SUBSTITUTE(SUBSTITUTE(SUBSTITUTE(B876,"~","~~"),"*","~*"),"?","~?"),$Q$3:$Q$1002,1)*10000-V876)</f>
        <v/>
      </c>
      <c r="X876" s="25">
        <f>IF(Q876=1,IF(SUBSTITUTE(SUBSTITUTE(SUBSTITUTE(SUBSTITUTE(SUBSTITUTE(SUBSTITUTE(SUBSTITUTE(SUBSTITUTE(SUBSTITUTE(SUBSTITUTE(SUBSTITUTE(SUBSTITUTE(LOWER(TRIM(A876)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876)),"á","a"),"é","e"),"í","i"),"ó","o"),"ú","u"),"ü","u"),"ñ","n"),"à","a"),"è","e"),"ì","i"),"ò","o"),"ù","u")),"")</f>
        <v/>
      </c>
      <c r="Y876" s="25">
        <f>IF(X876="","",IF(IFERROR(COUNTIF(X$3:X876,"="&amp;SUBSTITUTE(SUBSTITUTE(SUBSTITUTE(X876,"~","~~"),"*","~*"),"?","~?")),0)=1,1,""))</f>
        <v/>
      </c>
      <c r="Z876" s="25">
        <f>IF(T876=1,MAX(Z$2:Z875)+1,"")</f>
        <v/>
      </c>
    </row>
    <row r="877">
      <c r="A877">
        <f>IF(A$2=0,"",IFERROR(TRIM(INDEX('Pegar calibracion'!$A$1:$BZ$1001,876,A$2)&amp;""),""))</f>
        <v/>
      </c>
      <c r="B877">
        <f>IF(B$2=0,"",IFERROR(TRIM(INDEX('Pegar calibracion'!$A$1:$BZ$1001,876,B$2)&amp;""),""))</f>
        <v/>
      </c>
      <c r="C877">
        <f>IF(C$2=0,"",IFERROR(TRIM(INDEX('Pegar calibracion'!$A$1:$BZ$1001,876,C$2)&amp;""),""))</f>
        <v/>
      </c>
      <c r="D877">
        <f>IF(D$2=0,"",IFERROR(TRIM(INDEX('Pegar calibracion'!$A$1:$BZ$1001,876,D$2)&amp;""),""))</f>
        <v/>
      </c>
      <c r="E877">
        <f>IF(E$2=0,"",IFERROR(TRIM(INDEX('Pegar calibracion'!$A$1:$BZ$1001,876,E$2)&amp;""),""))</f>
        <v/>
      </c>
      <c r="F877">
        <f>IF(F$2=0,"",IFERROR(TRIM(INDEX('Pegar calibracion'!$A$1:$BZ$1001,876,F$2)&amp;""),""))</f>
        <v/>
      </c>
      <c r="G877">
        <f>IF(G$2=0,"",IFERROR(TRIM(INDEX('Pegar calibracion'!$A$1:$BZ$1001,876,G$2)&amp;""),""))</f>
        <v/>
      </c>
      <c r="H877">
        <f>IF(H$2=0,"",IFERROR(TRIM(INDEX('Pegar calibracion'!$A$1:$BZ$1001,876,H$2)&amp;""),""))</f>
        <v/>
      </c>
      <c r="I877">
        <f>IF(I$2=0,"",IFERROR(TRIM(INDEX('Pegar calibracion'!$A$1:$BZ$1001,876,I$2)&amp;""),""))</f>
        <v/>
      </c>
      <c r="J877">
        <f>IF(J$2=0,"",IFERROR(TRIM(INDEX('Pegar calibracion'!$A$1:$BZ$1001,876,J$2)&amp;""),""))</f>
        <v/>
      </c>
      <c r="K877">
        <f>IF(K$2=0,"",IFERROR(TRIM(INDEX('Pegar calibracion'!$A$1:$BZ$1001,876,K$2)&amp;""),""))</f>
        <v/>
      </c>
      <c r="L877">
        <f>IF(L$2=0,"",IFERROR(TRIM(INDEX('Pegar calibracion'!$A$1:$BZ$1001,876,L$2)&amp;""),""))</f>
        <v/>
      </c>
      <c r="M877" s="25">
        <f>IF(D877="","",SUBSTITUTE(SUBSTITUTE(SUBSTITUTE(SUBSTITUTE(SUBSTITUTE(SUBSTITUTE(SUBSTITUTE(SUBSTITUTE(SUBSTITUTE(SUBSTITUTE(SUBSTITUTE(SUBSTITUTE(LOWER(TRIM(D877)),"á","a"),"é","e"),"í","i"),"ó","o"),"ú","u"),"ü","u"),"ñ","n"),"à","a"),"è","e"),"ì","i"),"ò","o"),"ù","u"))</f>
        <v/>
      </c>
      <c r="N877" s="25">
        <f>IF(F877="","",SUBSTITUTE(SUBSTITUTE(SUBSTITUTE(SUBSTITUTE(SUBSTITUTE(SUBSTITUTE(SUBSTITUTE(SUBSTITUTE(SUBSTITUTE(SUBSTITUTE(SUBSTITUTE(SUBSTITUTE(LOWER(TRIM(F877)),"á","a"),"é","e"),"í","i"),"ó","o"),"ú","u"),"ü","u"),"ñ","n"),"à","a"),"è","e"),"ì","i"),"ò","o"),"ù","u"))</f>
        <v/>
      </c>
      <c r="O877" s="25">
        <f>IF(M877="confiable",2,IF(M877="dudosa",1,IF(M877="no confiable",0,"")))</f>
        <v/>
      </c>
      <c r="P877" s="25">
        <f>IF(N877="confiable",2,IF(N877="dudosa",1,IF(N877="no confiable",0,"")))</f>
        <v/>
      </c>
      <c r="Q877" s="25">
        <f>IF(AND(ISNUMBER(O877),ISNUMBER(P877)),1,"")</f>
        <v/>
      </c>
      <c r="R877" s="25">
        <f>IF(Q877=1,IF(O877=P877,"Sí","No"),"")</f>
        <v/>
      </c>
      <c r="S877" s="25">
        <f>IF(Q877=1,IF(P877&lt;O877,"Más estricto",IF(P877&gt;O877,"Más permisivo","Igual")),"")</f>
        <v/>
      </c>
      <c r="T877" s="25">
        <f>IF(Q877=1,IF(ABS(O877-P877)=2,1,0),"")</f>
        <v/>
      </c>
      <c r="U877" s="25">
        <f>IF(H877="","","|"&amp;SUBSTITUTE(SUBSTITUTE(TRIM(H877)," |","|"),"| ","|")&amp;"|")</f>
        <v/>
      </c>
      <c r="V877" s="25">
        <f>IF(AND(Q877=1,B877&lt;&gt;""),IF(IFERROR(COUNTIFS(B$3:B877,"="&amp;SUBSTITUTE(SUBSTITUTE(SUBSTITUTE(B877,"~","~~"),"*","~*"),"?","~?"),Q$3:Q877,1),0)=1,MAX(V$2:V876)+1,""),"")</f>
        <v/>
      </c>
      <c r="W877" s="25">
        <f>IF(V877="","",COUNTIFS($B$3:$B$1002,"="&amp;SUBSTITUTE(SUBSTITUTE(SUBSTITUTE(B877,"~","~~"),"*","~*"),"?","~?"),$Q$3:$Q$1002,1)*10000-V877)</f>
        <v/>
      </c>
      <c r="X877" s="25">
        <f>IF(Q877=1,IF(SUBSTITUTE(SUBSTITUTE(SUBSTITUTE(SUBSTITUTE(SUBSTITUTE(SUBSTITUTE(SUBSTITUTE(SUBSTITUTE(SUBSTITUTE(SUBSTITUTE(SUBSTITUTE(SUBSTITUTE(LOWER(TRIM(A877)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877)),"á","a"),"é","e"),"í","i"),"ó","o"),"ú","u"),"ü","u"),"ñ","n"),"à","a"),"è","e"),"ì","i"),"ò","o"),"ù","u")),"")</f>
        <v/>
      </c>
      <c r="Y877" s="25">
        <f>IF(X877="","",IF(IFERROR(COUNTIF(X$3:X877,"="&amp;SUBSTITUTE(SUBSTITUTE(SUBSTITUTE(X877,"~","~~"),"*","~*"),"?","~?")),0)=1,1,""))</f>
        <v/>
      </c>
      <c r="Z877" s="25">
        <f>IF(T877=1,MAX(Z$2:Z876)+1,"")</f>
        <v/>
      </c>
    </row>
    <row r="878">
      <c r="A878">
        <f>IF(A$2=0,"",IFERROR(TRIM(INDEX('Pegar calibracion'!$A$1:$BZ$1001,877,A$2)&amp;""),""))</f>
        <v/>
      </c>
      <c r="B878">
        <f>IF(B$2=0,"",IFERROR(TRIM(INDEX('Pegar calibracion'!$A$1:$BZ$1001,877,B$2)&amp;""),""))</f>
        <v/>
      </c>
      <c r="C878">
        <f>IF(C$2=0,"",IFERROR(TRIM(INDEX('Pegar calibracion'!$A$1:$BZ$1001,877,C$2)&amp;""),""))</f>
        <v/>
      </c>
      <c r="D878">
        <f>IF(D$2=0,"",IFERROR(TRIM(INDEX('Pegar calibracion'!$A$1:$BZ$1001,877,D$2)&amp;""),""))</f>
        <v/>
      </c>
      <c r="E878">
        <f>IF(E$2=0,"",IFERROR(TRIM(INDEX('Pegar calibracion'!$A$1:$BZ$1001,877,E$2)&amp;""),""))</f>
        <v/>
      </c>
      <c r="F878">
        <f>IF(F$2=0,"",IFERROR(TRIM(INDEX('Pegar calibracion'!$A$1:$BZ$1001,877,F$2)&amp;""),""))</f>
        <v/>
      </c>
      <c r="G878">
        <f>IF(G$2=0,"",IFERROR(TRIM(INDEX('Pegar calibracion'!$A$1:$BZ$1001,877,G$2)&amp;""),""))</f>
        <v/>
      </c>
      <c r="H878">
        <f>IF(H$2=0,"",IFERROR(TRIM(INDEX('Pegar calibracion'!$A$1:$BZ$1001,877,H$2)&amp;""),""))</f>
        <v/>
      </c>
      <c r="I878">
        <f>IF(I$2=0,"",IFERROR(TRIM(INDEX('Pegar calibracion'!$A$1:$BZ$1001,877,I$2)&amp;""),""))</f>
        <v/>
      </c>
      <c r="J878">
        <f>IF(J$2=0,"",IFERROR(TRIM(INDEX('Pegar calibracion'!$A$1:$BZ$1001,877,J$2)&amp;""),""))</f>
        <v/>
      </c>
      <c r="K878">
        <f>IF(K$2=0,"",IFERROR(TRIM(INDEX('Pegar calibracion'!$A$1:$BZ$1001,877,K$2)&amp;""),""))</f>
        <v/>
      </c>
      <c r="L878">
        <f>IF(L$2=0,"",IFERROR(TRIM(INDEX('Pegar calibracion'!$A$1:$BZ$1001,877,L$2)&amp;""),""))</f>
        <v/>
      </c>
      <c r="M878" s="25">
        <f>IF(D878="","",SUBSTITUTE(SUBSTITUTE(SUBSTITUTE(SUBSTITUTE(SUBSTITUTE(SUBSTITUTE(SUBSTITUTE(SUBSTITUTE(SUBSTITUTE(SUBSTITUTE(SUBSTITUTE(SUBSTITUTE(LOWER(TRIM(D878)),"á","a"),"é","e"),"í","i"),"ó","o"),"ú","u"),"ü","u"),"ñ","n"),"à","a"),"è","e"),"ì","i"),"ò","o"),"ù","u"))</f>
        <v/>
      </c>
      <c r="N878" s="25">
        <f>IF(F878="","",SUBSTITUTE(SUBSTITUTE(SUBSTITUTE(SUBSTITUTE(SUBSTITUTE(SUBSTITUTE(SUBSTITUTE(SUBSTITUTE(SUBSTITUTE(SUBSTITUTE(SUBSTITUTE(SUBSTITUTE(LOWER(TRIM(F878)),"á","a"),"é","e"),"í","i"),"ó","o"),"ú","u"),"ü","u"),"ñ","n"),"à","a"),"è","e"),"ì","i"),"ò","o"),"ù","u"))</f>
        <v/>
      </c>
      <c r="O878" s="25">
        <f>IF(M878="confiable",2,IF(M878="dudosa",1,IF(M878="no confiable",0,"")))</f>
        <v/>
      </c>
      <c r="P878" s="25">
        <f>IF(N878="confiable",2,IF(N878="dudosa",1,IF(N878="no confiable",0,"")))</f>
        <v/>
      </c>
      <c r="Q878" s="25">
        <f>IF(AND(ISNUMBER(O878),ISNUMBER(P878)),1,"")</f>
        <v/>
      </c>
      <c r="R878" s="25">
        <f>IF(Q878=1,IF(O878=P878,"Sí","No"),"")</f>
        <v/>
      </c>
      <c r="S878" s="25">
        <f>IF(Q878=1,IF(P878&lt;O878,"Más estricto",IF(P878&gt;O878,"Más permisivo","Igual")),"")</f>
        <v/>
      </c>
      <c r="T878" s="25">
        <f>IF(Q878=1,IF(ABS(O878-P878)=2,1,0),"")</f>
        <v/>
      </c>
      <c r="U878" s="25">
        <f>IF(H878="","","|"&amp;SUBSTITUTE(SUBSTITUTE(TRIM(H878)," |","|"),"| ","|")&amp;"|")</f>
        <v/>
      </c>
      <c r="V878" s="25">
        <f>IF(AND(Q878=1,B878&lt;&gt;""),IF(IFERROR(COUNTIFS(B$3:B878,"="&amp;SUBSTITUTE(SUBSTITUTE(SUBSTITUTE(B878,"~","~~"),"*","~*"),"?","~?"),Q$3:Q878,1),0)=1,MAX(V$2:V877)+1,""),"")</f>
        <v/>
      </c>
      <c r="W878" s="25">
        <f>IF(V878="","",COUNTIFS($B$3:$B$1002,"="&amp;SUBSTITUTE(SUBSTITUTE(SUBSTITUTE(B878,"~","~~"),"*","~*"),"?","~?"),$Q$3:$Q$1002,1)*10000-V878)</f>
        <v/>
      </c>
      <c r="X878" s="25">
        <f>IF(Q878=1,IF(SUBSTITUTE(SUBSTITUTE(SUBSTITUTE(SUBSTITUTE(SUBSTITUTE(SUBSTITUTE(SUBSTITUTE(SUBSTITUTE(SUBSTITUTE(SUBSTITUTE(SUBSTITUTE(SUBSTITUTE(LOWER(TRIM(A878)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878)),"á","a"),"é","e"),"í","i"),"ó","o"),"ú","u"),"ü","u"),"ñ","n"),"à","a"),"è","e"),"ì","i"),"ò","o"),"ù","u")),"")</f>
        <v/>
      </c>
      <c r="Y878" s="25">
        <f>IF(X878="","",IF(IFERROR(COUNTIF(X$3:X878,"="&amp;SUBSTITUTE(SUBSTITUTE(SUBSTITUTE(X878,"~","~~"),"*","~*"),"?","~?")),0)=1,1,""))</f>
        <v/>
      </c>
      <c r="Z878" s="25">
        <f>IF(T878=1,MAX(Z$2:Z877)+1,"")</f>
        <v/>
      </c>
    </row>
    <row r="879">
      <c r="A879">
        <f>IF(A$2=0,"",IFERROR(TRIM(INDEX('Pegar calibracion'!$A$1:$BZ$1001,878,A$2)&amp;""),""))</f>
        <v/>
      </c>
      <c r="B879">
        <f>IF(B$2=0,"",IFERROR(TRIM(INDEX('Pegar calibracion'!$A$1:$BZ$1001,878,B$2)&amp;""),""))</f>
        <v/>
      </c>
      <c r="C879">
        <f>IF(C$2=0,"",IFERROR(TRIM(INDEX('Pegar calibracion'!$A$1:$BZ$1001,878,C$2)&amp;""),""))</f>
        <v/>
      </c>
      <c r="D879">
        <f>IF(D$2=0,"",IFERROR(TRIM(INDEX('Pegar calibracion'!$A$1:$BZ$1001,878,D$2)&amp;""),""))</f>
        <v/>
      </c>
      <c r="E879">
        <f>IF(E$2=0,"",IFERROR(TRIM(INDEX('Pegar calibracion'!$A$1:$BZ$1001,878,E$2)&amp;""),""))</f>
        <v/>
      </c>
      <c r="F879">
        <f>IF(F$2=0,"",IFERROR(TRIM(INDEX('Pegar calibracion'!$A$1:$BZ$1001,878,F$2)&amp;""),""))</f>
        <v/>
      </c>
      <c r="G879">
        <f>IF(G$2=0,"",IFERROR(TRIM(INDEX('Pegar calibracion'!$A$1:$BZ$1001,878,G$2)&amp;""),""))</f>
        <v/>
      </c>
      <c r="H879">
        <f>IF(H$2=0,"",IFERROR(TRIM(INDEX('Pegar calibracion'!$A$1:$BZ$1001,878,H$2)&amp;""),""))</f>
        <v/>
      </c>
      <c r="I879">
        <f>IF(I$2=0,"",IFERROR(TRIM(INDEX('Pegar calibracion'!$A$1:$BZ$1001,878,I$2)&amp;""),""))</f>
        <v/>
      </c>
      <c r="J879">
        <f>IF(J$2=0,"",IFERROR(TRIM(INDEX('Pegar calibracion'!$A$1:$BZ$1001,878,J$2)&amp;""),""))</f>
        <v/>
      </c>
      <c r="K879">
        <f>IF(K$2=0,"",IFERROR(TRIM(INDEX('Pegar calibracion'!$A$1:$BZ$1001,878,K$2)&amp;""),""))</f>
        <v/>
      </c>
      <c r="L879">
        <f>IF(L$2=0,"",IFERROR(TRIM(INDEX('Pegar calibracion'!$A$1:$BZ$1001,878,L$2)&amp;""),""))</f>
        <v/>
      </c>
      <c r="M879" s="25">
        <f>IF(D879="","",SUBSTITUTE(SUBSTITUTE(SUBSTITUTE(SUBSTITUTE(SUBSTITUTE(SUBSTITUTE(SUBSTITUTE(SUBSTITUTE(SUBSTITUTE(SUBSTITUTE(SUBSTITUTE(SUBSTITUTE(LOWER(TRIM(D879)),"á","a"),"é","e"),"í","i"),"ó","o"),"ú","u"),"ü","u"),"ñ","n"),"à","a"),"è","e"),"ì","i"),"ò","o"),"ù","u"))</f>
        <v/>
      </c>
      <c r="N879" s="25">
        <f>IF(F879="","",SUBSTITUTE(SUBSTITUTE(SUBSTITUTE(SUBSTITUTE(SUBSTITUTE(SUBSTITUTE(SUBSTITUTE(SUBSTITUTE(SUBSTITUTE(SUBSTITUTE(SUBSTITUTE(SUBSTITUTE(LOWER(TRIM(F879)),"á","a"),"é","e"),"í","i"),"ó","o"),"ú","u"),"ü","u"),"ñ","n"),"à","a"),"è","e"),"ì","i"),"ò","o"),"ù","u"))</f>
        <v/>
      </c>
      <c r="O879" s="25">
        <f>IF(M879="confiable",2,IF(M879="dudosa",1,IF(M879="no confiable",0,"")))</f>
        <v/>
      </c>
      <c r="P879" s="25">
        <f>IF(N879="confiable",2,IF(N879="dudosa",1,IF(N879="no confiable",0,"")))</f>
        <v/>
      </c>
      <c r="Q879" s="25">
        <f>IF(AND(ISNUMBER(O879),ISNUMBER(P879)),1,"")</f>
        <v/>
      </c>
      <c r="R879" s="25">
        <f>IF(Q879=1,IF(O879=P879,"Sí","No"),"")</f>
        <v/>
      </c>
      <c r="S879" s="25">
        <f>IF(Q879=1,IF(P879&lt;O879,"Más estricto",IF(P879&gt;O879,"Más permisivo","Igual")),"")</f>
        <v/>
      </c>
      <c r="T879" s="25">
        <f>IF(Q879=1,IF(ABS(O879-P879)=2,1,0),"")</f>
        <v/>
      </c>
      <c r="U879" s="25">
        <f>IF(H879="","","|"&amp;SUBSTITUTE(SUBSTITUTE(TRIM(H879)," |","|"),"| ","|")&amp;"|")</f>
        <v/>
      </c>
      <c r="V879" s="25">
        <f>IF(AND(Q879=1,B879&lt;&gt;""),IF(IFERROR(COUNTIFS(B$3:B879,"="&amp;SUBSTITUTE(SUBSTITUTE(SUBSTITUTE(B879,"~","~~"),"*","~*"),"?","~?"),Q$3:Q879,1),0)=1,MAX(V$2:V878)+1,""),"")</f>
        <v/>
      </c>
      <c r="W879" s="25">
        <f>IF(V879="","",COUNTIFS($B$3:$B$1002,"="&amp;SUBSTITUTE(SUBSTITUTE(SUBSTITUTE(B879,"~","~~"),"*","~*"),"?","~?"),$Q$3:$Q$1002,1)*10000-V879)</f>
        <v/>
      </c>
      <c r="X879" s="25">
        <f>IF(Q879=1,IF(SUBSTITUTE(SUBSTITUTE(SUBSTITUTE(SUBSTITUTE(SUBSTITUTE(SUBSTITUTE(SUBSTITUTE(SUBSTITUTE(SUBSTITUTE(SUBSTITUTE(SUBSTITUTE(SUBSTITUTE(LOWER(TRIM(A879)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879)),"á","a"),"é","e"),"í","i"),"ó","o"),"ú","u"),"ü","u"),"ñ","n"),"à","a"),"è","e"),"ì","i"),"ò","o"),"ù","u")),"")</f>
        <v/>
      </c>
      <c r="Y879" s="25">
        <f>IF(X879="","",IF(IFERROR(COUNTIF(X$3:X879,"="&amp;SUBSTITUTE(SUBSTITUTE(SUBSTITUTE(X879,"~","~~"),"*","~*"),"?","~?")),0)=1,1,""))</f>
        <v/>
      </c>
      <c r="Z879" s="25">
        <f>IF(T879=1,MAX(Z$2:Z878)+1,"")</f>
        <v/>
      </c>
    </row>
    <row r="880">
      <c r="A880">
        <f>IF(A$2=0,"",IFERROR(TRIM(INDEX('Pegar calibracion'!$A$1:$BZ$1001,879,A$2)&amp;""),""))</f>
        <v/>
      </c>
      <c r="B880">
        <f>IF(B$2=0,"",IFERROR(TRIM(INDEX('Pegar calibracion'!$A$1:$BZ$1001,879,B$2)&amp;""),""))</f>
        <v/>
      </c>
      <c r="C880">
        <f>IF(C$2=0,"",IFERROR(TRIM(INDEX('Pegar calibracion'!$A$1:$BZ$1001,879,C$2)&amp;""),""))</f>
        <v/>
      </c>
      <c r="D880">
        <f>IF(D$2=0,"",IFERROR(TRIM(INDEX('Pegar calibracion'!$A$1:$BZ$1001,879,D$2)&amp;""),""))</f>
        <v/>
      </c>
      <c r="E880">
        <f>IF(E$2=0,"",IFERROR(TRIM(INDEX('Pegar calibracion'!$A$1:$BZ$1001,879,E$2)&amp;""),""))</f>
        <v/>
      </c>
      <c r="F880">
        <f>IF(F$2=0,"",IFERROR(TRIM(INDEX('Pegar calibracion'!$A$1:$BZ$1001,879,F$2)&amp;""),""))</f>
        <v/>
      </c>
      <c r="G880">
        <f>IF(G$2=0,"",IFERROR(TRIM(INDEX('Pegar calibracion'!$A$1:$BZ$1001,879,G$2)&amp;""),""))</f>
        <v/>
      </c>
      <c r="H880">
        <f>IF(H$2=0,"",IFERROR(TRIM(INDEX('Pegar calibracion'!$A$1:$BZ$1001,879,H$2)&amp;""),""))</f>
        <v/>
      </c>
      <c r="I880">
        <f>IF(I$2=0,"",IFERROR(TRIM(INDEX('Pegar calibracion'!$A$1:$BZ$1001,879,I$2)&amp;""),""))</f>
        <v/>
      </c>
      <c r="J880">
        <f>IF(J$2=0,"",IFERROR(TRIM(INDEX('Pegar calibracion'!$A$1:$BZ$1001,879,J$2)&amp;""),""))</f>
        <v/>
      </c>
      <c r="K880">
        <f>IF(K$2=0,"",IFERROR(TRIM(INDEX('Pegar calibracion'!$A$1:$BZ$1001,879,K$2)&amp;""),""))</f>
        <v/>
      </c>
      <c r="L880">
        <f>IF(L$2=0,"",IFERROR(TRIM(INDEX('Pegar calibracion'!$A$1:$BZ$1001,879,L$2)&amp;""),""))</f>
        <v/>
      </c>
      <c r="M880" s="25">
        <f>IF(D880="","",SUBSTITUTE(SUBSTITUTE(SUBSTITUTE(SUBSTITUTE(SUBSTITUTE(SUBSTITUTE(SUBSTITUTE(SUBSTITUTE(SUBSTITUTE(SUBSTITUTE(SUBSTITUTE(SUBSTITUTE(LOWER(TRIM(D880)),"á","a"),"é","e"),"í","i"),"ó","o"),"ú","u"),"ü","u"),"ñ","n"),"à","a"),"è","e"),"ì","i"),"ò","o"),"ù","u"))</f>
        <v/>
      </c>
      <c r="N880" s="25">
        <f>IF(F880="","",SUBSTITUTE(SUBSTITUTE(SUBSTITUTE(SUBSTITUTE(SUBSTITUTE(SUBSTITUTE(SUBSTITUTE(SUBSTITUTE(SUBSTITUTE(SUBSTITUTE(SUBSTITUTE(SUBSTITUTE(LOWER(TRIM(F880)),"á","a"),"é","e"),"í","i"),"ó","o"),"ú","u"),"ü","u"),"ñ","n"),"à","a"),"è","e"),"ì","i"),"ò","o"),"ù","u"))</f>
        <v/>
      </c>
      <c r="O880" s="25">
        <f>IF(M880="confiable",2,IF(M880="dudosa",1,IF(M880="no confiable",0,"")))</f>
        <v/>
      </c>
      <c r="P880" s="25">
        <f>IF(N880="confiable",2,IF(N880="dudosa",1,IF(N880="no confiable",0,"")))</f>
        <v/>
      </c>
      <c r="Q880" s="25">
        <f>IF(AND(ISNUMBER(O880),ISNUMBER(P880)),1,"")</f>
        <v/>
      </c>
      <c r="R880" s="25">
        <f>IF(Q880=1,IF(O880=P880,"Sí","No"),"")</f>
        <v/>
      </c>
      <c r="S880" s="25">
        <f>IF(Q880=1,IF(P880&lt;O880,"Más estricto",IF(P880&gt;O880,"Más permisivo","Igual")),"")</f>
        <v/>
      </c>
      <c r="T880" s="25">
        <f>IF(Q880=1,IF(ABS(O880-P880)=2,1,0),"")</f>
        <v/>
      </c>
      <c r="U880" s="25">
        <f>IF(H880="","","|"&amp;SUBSTITUTE(SUBSTITUTE(TRIM(H880)," |","|"),"| ","|")&amp;"|")</f>
        <v/>
      </c>
      <c r="V880" s="25">
        <f>IF(AND(Q880=1,B880&lt;&gt;""),IF(IFERROR(COUNTIFS(B$3:B880,"="&amp;SUBSTITUTE(SUBSTITUTE(SUBSTITUTE(B880,"~","~~"),"*","~*"),"?","~?"),Q$3:Q880,1),0)=1,MAX(V$2:V879)+1,""),"")</f>
        <v/>
      </c>
      <c r="W880" s="25">
        <f>IF(V880="","",COUNTIFS($B$3:$B$1002,"="&amp;SUBSTITUTE(SUBSTITUTE(SUBSTITUTE(B880,"~","~~"),"*","~*"),"?","~?"),$Q$3:$Q$1002,1)*10000-V880)</f>
        <v/>
      </c>
      <c r="X880" s="25">
        <f>IF(Q880=1,IF(SUBSTITUTE(SUBSTITUTE(SUBSTITUTE(SUBSTITUTE(SUBSTITUTE(SUBSTITUTE(SUBSTITUTE(SUBSTITUTE(SUBSTITUTE(SUBSTITUTE(SUBSTITUTE(SUBSTITUTE(LOWER(TRIM(A880)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880)),"á","a"),"é","e"),"í","i"),"ó","o"),"ú","u"),"ü","u"),"ñ","n"),"à","a"),"è","e"),"ì","i"),"ò","o"),"ù","u")),"")</f>
        <v/>
      </c>
      <c r="Y880" s="25">
        <f>IF(X880="","",IF(IFERROR(COUNTIF(X$3:X880,"="&amp;SUBSTITUTE(SUBSTITUTE(SUBSTITUTE(X880,"~","~~"),"*","~*"),"?","~?")),0)=1,1,""))</f>
        <v/>
      </c>
      <c r="Z880" s="25">
        <f>IF(T880=1,MAX(Z$2:Z879)+1,"")</f>
        <v/>
      </c>
    </row>
    <row r="881">
      <c r="A881">
        <f>IF(A$2=0,"",IFERROR(TRIM(INDEX('Pegar calibracion'!$A$1:$BZ$1001,880,A$2)&amp;""),""))</f>
        <v/>
      </c>
      <c r="B881">
        <f>IF(B$2=0,"",IFERROR(TRIM(INDEX('Pegar calibracion'!$A$1:$BZ$1001,880,B$2)&amp;""),""))</f>
        <v/>
      </c>
      <c r="C881">
        <f>IF(C$2=0,"",IFERROR(TRIM(INDEX('Pegar calibracion'!$A$1:$BZ$1001,880,C$2)&amp;""),""))</f>
        <v/>
      </c>
      <c r="D881">
        <f>IF(D$2=0,"",IFERROR(TRIM(INDEX('Pegar calibracion'!$A$1:$BZ$1001,880,D$2)&amp;""),""))</f>
        <v/>
      </c>
      <c r="E881">
        <f>IF(E$2=0,"",IFERROR(TRIM(INDEX('Pegar calibracion'!$A$1:$BZ$1001,880,E$2)&amp;""),""))</f>
        <v/>
      </c>
      <c r="F881">
        <f>IF(F$2=0,"",IFERROR(TRIM(INDEX('Pegar calibracion'!$A$1:$BZ$1001,880,F$2)&amp;""),""))</f>
        <v/>
      </c>
      <c r="G881">
        <f>IF(G$2=0,"",IFERROR(TRIM(INDEX('Pegar calibracion'!$A$1:$BZ$1001,880,G$2)&amp;""),""))</f>
        <v/>
      </c>
      <c r="H881">
        <f>IF(H$2=0,"",IFERROR(TRIM(INDEX('Pegar calibracion'!$A$1:$BZ$1001,880,H$2)&amp;""),""))</f>
        <v/>
      </c>
      <c r="I881">
        <f>IF(I$2=0,"",IFERROR(TRIM(INDEX('Pegar calibracion'!$A$1:$BZ$1001,880,I$2)&amp;""),""))</f>
        <v/>
      </c>
      <c r="J881">
        <f>IF(J$2=0,"",IFERROR(TRIM(INDEX('Pegar calibracion'!$A$1:$BZ$1001,880,J$2)&amp;""),""))</f>
        <v/>
      </c>
      <c r="K881">
        <f>IF(K$2=0,"",IFERROR(TRIM(INDEX('Pegar calibracion'!$A$1:$BZ$1001,880,K$2)&amp;""),""))</f>
        <v/>
      </c>
      <c r="L881">
        <f>IF(L$2=0,"",IFERROR(TRIM(INDEX('Pegar calibracion'!$A$1:$BZ$1001,880,L$2)&amp;""),""))</f>
        <v/>
      </c>
      <c r="M881" s="25">
        <f>IF(D881="","",SUBSTITUTE(SUBSTITUTE(SUBSTITUTE(SUBSTITUTE(SUBSTITUTE(SUBSTITUTE(SUBSTITUTE(SUBSTITUTE(SUBSTITUTE(SUBSTITUTE(SUBSTITUTE(SUBSTITUTE(LOWER(TRIM(D881)),"á","a"),"é","e"),"í","i"),"ó","o"),"ú","u"),"ü","u"),"ñ","n"),"à","a"),"è","e"),"ì","i"),"ò","o"),"ù","u"))</f>
        <v/>
      </c>
      <c r="N881" s="25">
        <f>IF(F881="","",SUBSTITUTE(SUBSTITUTE(SUBSTITUTE(SUBSTITUTE(SUBSTITUTE(SUBSTITUTE(SUBSTITUTE(SUBSTITUTE(SUBSTITUTE(SUBSTITUTE(SUBSTITUTE(SUBSTITUTE(LOWER(TRIM(F881)),"á","a"),"é","e"),"í","i"),"ó","o"),"ú","u"),"ü","u"),"ñ","n"),"à","a"),"è","e"),"ì","i"),"ò","o"),"ù","u"))</f>
        <v/>
      </c>
      <c r="O881" s="25">
        <f>IF(M881="confiable",2,IF(M881="dudosa",1,IF(M881="no confiable",0,"")))</f>
        <v/>
      </c>
      <c r="P881" s="25">
        <f>IF(N881="confiable",2,IF(N881="dudosa",1,IF(N881="no confiable",0,"")))</f>
        <v/>
      </c>
      <c r="Q881" s="25">
        <f>IF(AND(ISNUMBER(O881),ISNUMBER(P881)),1,"")</f>
        <v/>
      </c>
      <c r="R881" s="25">
        <f>IF(Q881=1,IF(O881=P881,"Sí","No"),"")</f>
        <v/>
      </c>
      <c r="S881" s="25">
        <f>IF(Q881=1,IF(P881&lt;O881,"Más estricto",IF(P881&gt;O881,"Más permisivo","Igual")),"")</f>
        <v/>
      </c>
      <c r="T881" s="25">
        <f>IF(Q881=1,IF(ABS(O881-P881)=2,1,0),"")</f>
        <v/>
      </c>
      <c r="U881" s="25">
        <f>IF(H881="","","|"&amp;SUBSTITUTE(SUBSTITUTE(TRIM(H881)," |","|"),"| ","|")&amp;"|")</f>
        <v/>
      </c>
      <c r="V881" s="25">
        <f>IF(AND(Q881=1,B881&lt;&gt;""),IF(IFERROR(COUNTIFS(B$3:B881,"="&amp;SUBSTITUTE(SUBSTITUTE(SUBSTITUTE(B881,"~","~~"),"*","~*"),"?","~?"),Q$3:Q881,1),0)=1,MAX(V$2:V880)+1,""),"")</f>
        <v/>
      </c>
      <c r="W881" s="25">
        <f>IF(V881="","",COUNTIFS($B$3:$B$1002,"="&amp;SUBSTITUTE(SUBSTITUTE(SUBSTITUTE(B881,"~","~~"),"*","~*"),"?","~?"),$Q$3:$Q$1002,1)*10000-V881)</f>
        <v/>
      </c>
      <c r="X881" s="25">
        <f>IF(Q881=1,IF(SUBSTITUTE(SUBSTITUTE(SUBSTITUTE(SUBSTITUTE(SUBSTITUTE(SUBSTITUTE(SUBSTITUTE(SUBSTITUTE(SUBSTITUTE(SUBSTITUTE(SUBSTITUTE(SUBSTITUTE(LOWER(TRIM(A881)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881)),"á","a"),"é","e"),"í","i"),"ó","o"),"ú","u"),"ü","u"),"ñ","n"),"à","a"),"è","e"),"ì","i"),"ò","o"),"ù","u")),"")</f>
        <v/>
      </c>
      <c r="Y881" s="25">
        <f>IF(X881="","",IF(IFERROR(COUNTIF(X$3:X881,"="&amp;SUBSTITUTE(SUBSTITUTE(SUBSTITUTE(X881,"~","~~"),"*","~*"),"?","~?")),0)=1,1,""))</f>
        <v/>
      </c>
      <c r="Z881" s="25">
        <f>IF(T881=1,MAX(Z$2:Z880)+1,"")</f>
        <v/>
      </c>
    </row>
    <row r="882">
      <c r="A882">
        <f>IF(A$2=0,"",IFERROR(TRIM(INDEX('Pegar calibracion'!$A$1:$BZ$1001,881,A$2)&amp;""),""))</f>
        <v/>
      </c>
      <c r="B882">
        <f>IF(B$2=0,"",IFERROR(TRIM(INDEX('Pegar calibracion'!$A$1:$BZ$1001,881,B$2)&amp;""),""))</f>
        <v/>
      </c>
      <c r="C882">
        <f>IF(C$2=0,"",IFERROR(TRIM(INDEX('Pegar calibracion'!$A$1:$BZ$1001,881,C$2)&amp;""),""))</f>
        <v/>
      </c>
      <c r="D882">
        <f>IF(D$2=0,"",IFERROR(TRIM(INDEX('Pegar calibracion'!$A$1:$BZ$1001,881,D$2)&amp;""),""))</f>
        <v/>
      </c>
      <c r="E882">
        <f>IF(E$2=0,"",IFERROR(TRIM(INDEX('Pegar calibracion'!$A$1:$BZ$1001,881,E$2)&amp;""),""))</f>
        <v/>
      </c>
      <c r="F882">
        <f>IF(F$2=0,"",IFERROR(TRIM(INDEX('Pegar calibracion'!$A$1:$BZ$1001,881,F$2)&amp;""),""))</f>
        <v/>
      </c>
      <c r="G882">
        <f>IF(G$2=0,"",IFERROR(TRIM(INDEX('Pegar calibracion'!$A$1:$BZ$1001,881,G$2)&amp;""),""))</f>
        <v/>
      </c>
      <c r="H882">
        <f>IF(H$2=0,"",IFERROR(TRIM(INDEX('Pegar calibracion'!$A$1:$BZ$1001,881,H$2)&amp;""),""))</f>
        <v/>
      </c>
      <c r="I882">
        <f>IF(I$2=0,"",IFERROR(TRIM(INDEX('Pegar calibracion'!$A$1:$BZ$1001,881,I$2)&amp;""),""))</f>
        <v/>
      </c>
      <c r="J882">
        <f>IF(J$2=0,"",IFERROR(TRIM(INDEX('Pegar calibracion'!$A$1:$BZ$1001,881,J$2)&amp;""),""))</f>
        <v/>
      </c>
      <c r="K882">
        <f>IF(K$2=0,"",IFERROR(TRIM(INDEX('Pegar calibracion'!$A$1:$BZ$1001,881,K$2)&amp;""),""))</f>
        <v/>
      </c>
      <c r="L882">
        <f>IF(L$2=0,"",IFERROR(TRIM(INDEX('Pegar calibracion'!$A$1:$BZ$1001,881,L$2)&amp;""),""))</f>
        <v/>
      </c>
      <c r="M882" s="25">
        <f>IF(D882="","",SUBSTITUTE(SUBSTITUTE(SUBSTITUTE(SUBSTITUTE(SUBSTITUTE(SUBSTITUTE(SUBSTITUTE(SUBSTITUTE(SUBSTITUTE(SUBSTITUTE(SUBSTITUTE(SUBSTITUTE(LOWER(TRIM(D882)),"á","a"),"é","e"),"í","i"),"ó","o"),"ú","u"),"ü","u"),"ñ","n"),"à","a"),"è","e"),"ì","i"),"ò","o"),"ù","u"))</f>
        <v/>
      </c>
      <c r="N882" s="25">
        <f>IF(F882="","",SUBSTITUTE(SUBSTITUTE(SUBSTITUTE(SUBSTITUTE(SUBSTITUTE(SUBSTITUTE(SUBSTITUTE(SUBSTITUTE(SUBSTITUTE(SUBSTITUTE(SUBSTITUTE(SUBSTITUTE(LOWER(TRIM(F882)),"á","a"),"é","e"),"í","i"),"ó","o"),"ú","u"),"ü","u"),"ñ","n"),"à","a"),"è","e"),"ì","i"),"ò","o"),"ù","u"))</f>
        <v/>
      </c>
      <c r="O882" s="25">
        <f>IF(M882="confiable",2,IF(M882="dudosa",1,IF(M882="no confiable",0,"")))</f>
        <v/>
      </c>
      <c r="P882" s="25">
        <f>IF(N882="confiable",2,IF(N882="dudosa",1,IF(N882="no confiable",0,"")))</f>
        <v/>
      </c>
      <c r="Q882" s="25">
        <f>IF(AND(ISNUMBER(O882),ISNUMBER(P882)),1,"")</f>
        <v/>
      </c>
      <c r="R882" s="25">
        <f>IF(Q882=1,IF(O882=P882,"Sí","No"),"")</f>
        <v/>
      </c>
      <c r="S882" s="25">
        <f>IF(Q882=1,IF(P882&lt;O882,"Más estricto",IF(P882&gt;O882,"Más permisivo","Igual")),"")</f>
        <v/>
      </c>
      <c r="T882" s="25">
        <f>IF(Q882=1,IF(ABS(O882-P882)=2,1,0),"")</f>
        <v/>
      </c>
      <c r="U882" s="25">
        <f>IF(H882="","","|"&amp;SUBSTITUTE(SUBSTITUTE(TRIM(H882)," |","|"),"| ","|")&amp;"|")</f>
        <v/>
      </c>
      <c r="V882" s="25">
        <f>IF(AND(Q882=1,B882&lt;&gt;""),IF(IFERROR(COUNTIFS(B$3:B882,"="&amp;SUBSTITUTE(SUBSTITUTE(SUBSTITUTE(B882,"~","~~"),"*","~*"),"?","~?"),Q$3:Q882,1),0)=1,MAX(V$2:V881)+1,""),"")</f>
        <v/>
      </c>
      <c r="W882" s="25">
        <f>IF(V882="","",COUNTIFS($B$3:$B$1002,"="&amp;SUBSTITUTE(SUBSTITUTE(SUBSTITUTE(B882,"~","~~"),"*","~*"),"?","~?"),$Q$3:$Q$1002,1)*10000-V882)</f>
        <v/>
      </c>
      <c r="X882" s="25">
        <f>IF(Q882=1,IF(SUBSTITUTE(SUBSTITUTE(SUBSTITUTE(SUBSTITUTE(SUBSTITUTE(SUBSTITUTE(SUBSTITUTE(SUBSTITUTE(SUBSTITUTE(SUBSTITUTE(SUBSTITUTE(SUBSTITUTE(LOWER(TRIM(A882)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882)),"á","a"),"é","e"),"í","i"),"ó","o"),"ú","u"),"ü","u"),"ñ","n"),"à","a"),"è","e"),"ì","i"),"ò","o"),"ù","u")),"")</f>
        <v/>
      </c>
      <c r="Y882" s="25">
        <f>IF(X882="","",IF(IFERROR(COUNTIF(X$3:X882,"="&amp;SUBSTITUTE(SUBSTITUTE(SUBSTITUTE(X882,"~","~~"),"*","~*"),"?","~?")),0)=1,1,""))</f>
        <v/>
      </c>
      <c r="Z882" s="25">
        <f>IF(T882=1,MAX(Z$2:Z881)+1,"")</f>
        <v/>
      </c>
    </row>
    <row r="883">
      <c r="A883">
        <f>IF(A$2=0,"",IFERROR(TRIM(INDEX('Pegar calibracion'!$A$1:$BZ$1001,882,A$2)&amp;""),""))</f>
        <v/>
      </c>
      <c r="B883">
        <f>IF(B$2=0,"",IFERROR(TRIM(INDEX('Pegar calibracion'!$A$1:$BZ$1001,882,B$2)&amp;""),""))</f>
        <v/>
      </c>
      <c r="C883">
        <f>IF(C$2=0,"",IFERROR(TRIM(INDEX('Pegar calibracion'!$A$1:$BZ$1001,882,C$2)&amp;""),""))</f>
        <v/>
      </c>
      <c r="D883">
        <f>IF(D$2=0,"",IFERROR(TRIM(INDEX('Pegar calibracion'!$A$1:$BZ$1001,882,D$2)&amp;""),""))</f>
        <v/>
      </c>
      <c r="E883">
        <f>IF(E$2=0,"",IFERROR(TRIM(INDEX('Pegar calibracion'!$A$1:$BZ$1001,882,E$2)&amp;""),""))</f>
        <v/>
      </c>
      <c r="F883">
        <f>IF(F$2=0,"",IFERROR(TRIM(INDEX('Pegar calibracion'!$A$1:$BZ$1001,882,F$2)&amp;""),""))</f>
        <v/>
      </c>
      <c r="G883">
        <f>IF(G$2=0,"",IFERROR(TRIM(INDEX('Pegar calibracion'!$A$1:$BZ$1001,882,G$2)&amp;""),""))</f>
        <v/>
      </c>
      <c r="H883">
        <f>IF(H$2=0,"",IFERROR(TRIM(INDEX('Pegar calibracion'!$A$1:$BZ$1001,882,H$2)&amp;""),""))</f>
        <v/>
      </c>
      <c r="I883">
        <f>IF(I$2=0,"",IFERROR(TRIM(INDEX('Pegar calibracion'!$A$1:$BZ$1001,882,I$2)&amp;""),""))</f>
        <v/>
      </c>
      <c r="J883">
        <f>IF(J$2=0,"",IFERROR(TRIM(INDEX('Pegar calibracion'!$A$1:$BZ$1001,882,J$2)&amp;""),""))</f>
        <v/>
      </c>
      <c r="K883">
        <f>IF(K$2=0,"",IFERROR(TRIM(INDEX('Pegar calibracion'!$A$1:$BZ$1001,882,K$2)&amp;""),""))</f>
        <v/>
      </c>
      <c r="L883">
        <f>IF(L$2=0,"",IFERROR(TRIM(INDEX('Pegar calibracion'!$A$1:$BZ$1001,882,L$2)&amp;""),""))</f>
        <v/>
      </c>
      <c r="M883" s="25">
        <f>IF(D883="","",SUBSTITUTE(SUBSTITUTE(SUBSTITUTE(SUBSTITUTE(SUBSTITUTE(SUBSTITUTE(SUBSTITUTE(SUBSTITUTE(SUBSTITUTE(SUBSTITUTE(SUBSTITUTE(SUBSTITUTE(LOWER(TRIM(D883)),"á","a"),"é","e"),"í","i"),"ó","o"),"ú","u"),"ü","u"),"ñ","n"),"à","a"),"è","e"),"ì","i"),"ò","o"),"ù","u"))</f>
        <v/>
      </c>
      <c r="N883" s="25">
        <f>IF(F883="","",SUBSTITUTE(SUBSTITUTE(SUBSTITUTE(SUBSTITUTE(SUBSTITUTE(SUBSTITUTE(SUBSTITUTE(SUBSTITUTE(SUBSTITUTE(SUBSTITUTE(SUBSTITUTE(SUBSTITUTE(LOWER(TRIM(F883)),"á","a"),"é","e"),"í","i"),"ó","o"),"ú","u"),"ü","u"),"ñ","n"),"à","a"),"è","e"),"ì","i"),"ò","o"),"ù","u"))</f>
        <v/>
      </c>
      <c r="O883" s="25">
        <f>IF(M883="confiable",2,IF(M883="dudosa",1,IF(M883="no confiable",0,"")))</f>
        <v/>
      </c>
      <c r="P883" s="25">
        <f>IF(N883="confiable",2,IF(N883="dudosa",1,IF(N883="no confiable",0,"")))</f>
        <v/>
      </c>
      <c r="Q883" s="25">
        <f>IF(AND(ISNUMBER(O883),ISNUMBER(P883)),1,"")</f>
        <v/>
      </c>
      <c r="R883" s="25">
        <f>IF(Q883=1,IF(O883=P883,"Sí","No"),"")</f>
        <v/>
      </c>
      <c r="S883" s="25">
        <f>IF(Q883=1,IF(P883&lt;O883,"Más estricto",IF(P883&gt;O883,"Más permisivo","Igual")),"")</f>
        <v/>
      </c>
      <c r="T883" s="25">
        <f>IF(Q883=1,IF(ABS(O883-P883)=2,1,0),"")</f>
        <v/>
      </c>
      <c r="U883" s="25">
        <f>IF(H883="","","|"&amp;SUBSTITUTE(SUBSTITUTE(TRIM(H883)," |","|"),"| ","|")&amp;"|")</f>
        <v/>
      </c>
      <c r="V883" s="25">
        <f>IF(AND(Q883=1,B883&lt;&gt;""),IF(IFERROR(COUNTIFS(B$3:B883,"="&amp;SUBSTITUTE(SUBSTITUTE(SUBSTITUTE(B883,"~","~~"),"*","~*"),"?","~?"),Q$3:Q883,1),0)=1,MAX(V$2:V882)+1,""),"")</f>
        <v/>
      </c>
      <c r="W883" s="25">
        <f>IF(V883="","",COUNTIFS($B$3:$B$1002,"="&amp;SUBSTITUTE(SUBSTITUTE(SUBSTITUTE(B883,"~","~~"),"*","~*"),"?","~?"),$Q$3:$Q$1002,1)*10000-V883)</f>
        <v/>
      </c>
      <c r="X883" s="25">
        <f>IF(Q883=1,IF(SUBSTITUTE(SUBSTITUTE(SUBSTITUTE(SUBSTITUTE(SUBSTITUTE(SUBSTITUTE(SUBSTITUTE(SUBSTITUTE(SUBSTITUTE(SUBSTITUTE(SUBSTITUTE(SUBSTITUTE(LOWER(TRIM(A883)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883)),"á","a"),"é","e"),"í","i"),"ó","o"),"ú","u"),"ü","u"),"ñ","n"),"à","a"),"è","e"),"ì","i"),"ò","o"),"ù","u")),"")</f>
        <v/>
      </c>
      <c r="Y883" s="25">
        <f>IF(X883="","",IF(IFERROR(COUNTIF(X$3:X883,"="&amp;SUBSTITUTE(SUBSTITUTE(SUBSTITUTE(X883,"~","~~"),"*","~*"),"?","~?")),0)=1,1,""))</f>
        <v/>
      </c>
      <c r="Z883" s="25">
        <f>IF(T883=1,MAX(Z$2:Z882)+1,"")</f>
        <v/>
      </c>
    </row>
    <row r="884">
      <c r="A884">
        <f>IF(A$2=0,"",IFERROR(TRIM(INDEX('Pegar calibracion'!$A$1:$BZ$1001,883,A$2)&amp;""),""))</f>
        <v/>
      </c>
      <c r="B884">
        <f>IF(B$2=0,"",IFERROR(TRIM(INDEX('Pegar calibracion'!$A$1:$BZ$1001,883,B$2)&amp;""),""))</f>
        <v/>
      </c>
      <c r="C884">
        <f>IF(C$2=0,"",IFERROR(TRIM(INDEX('Pegar calibracion'!$A$1:$BZ$1001,883,C$2)&amp;""),""))</f>
        <v/>
      </c>
      <c r="D884">
        <f>IF(D$2=0,"",IFERROR(TRIM(INDEX('Pegar calibracion'!$A$1:$BZ$1001,883,D$2)&amp;""),""))</f>
        <v/>
      </c>
      <c r="E884">
        <f>IF(E$2=0,"",IFERROR(TRIM(INDEX('Pegar calibracion'!$A$1:$BZ$1001,883,E$2)&amp;""),""))</f>
        <v/>
      </c>
      <c r="F884">
        <f>IF(F$2=0,"",IFERROR(TRIM(INDEX('Pegar calibracion'!$A$1:$BZ$1001,883,F$2)&amp;""),""))</f>
        <v/>
      </c>
      <c r="G884">
        <f>IF(G$2=0,"",IFERROR(TRIM(INDEX('Pegar calibracion'!$A$1:$BZ$1001,883,G$2)&amp;""),""))</f>
        <v/>
      </c>
      <c r="H884">
        <f>IF(H$2=0,"",IFERROR(TRIM(INDEX('Pegar calibracion'!$A$1:$BZ$1001,883,H$2)&amp;""),""))</f>
        <v/>
      </c>
      <c r="I884">
        <f>IF(I$2=0,"",IFERROR(TRIM(INDEX('Pegar calibracion'!$A$1:$BZ$1001,883,I$2)&amp;""),""))</f>
        <v/>
      </c>
      <c r="J884">
        <f>IF(J$2=0,"",IFERROR(TRIM(INDEX('Pegar calibracion'!$A$1:$BZ$1001,883,J$2)&amp;""),""))</f>
        <v/>
      </c>
      <c r="K884">
        <f>IF(K$2=0,"",IFERROR(TRIM(INDEX('Pegar calibracion'!$A$1:$BZ$1001,883,K$2)&amp;""),""))</f>
        <v/>
      </c>
      <c r="L884">
        <f>IF(L$2=0,"",IFERROR(TRIM(INDEX('Pegar calibracion'!$A$1:$BZ$1001,883,L$2)&amp;""),""))</f>
        <v/>
      </c>
      <c r="M884" s="25">
        <f>IF(D884="","",SUBSTITUTE(SUBSTITUTE(SUBSTITUTE(SUBSTITUTE(SUBSTITUTE(SUBSTITUTE(SUBSTITUTE(SUBSTITUTE(SUBSTITUTE(SUBSTITUTE(SUBSTITUTE(SUBSTITUTE(LOWER(TRIM(D884)),"á","a"),"é","e"),"í","i"),"ó","o"),"ú","u"),"ü","u"),"ñ","n"),"à","a"),"è","e"),"ì","i"),"ò","o"),"ù","u"))</f>
        <v/>
      </c>
      <c r="N884" s="25">
        <f>IF(F884="","",SUBSTITUTE(SUBSTITUTE(SUBSTITUTE(SUBSTITUTE(SUBSTITUTE(SUBSTITUTE(SUBSTITUTE(SUBSTITUTE(SUBSTITUTE(SUBSTITUTE(SUBSTITUTE(SUBSTITUTE(LOWER(TRIM(F884)),"á","a"),"é","e"),"í","i"),"ó","o"),"ú","u"),"ü","u"),"ñ","n"),"à","a"),"è","e"),"ì","i"),"ò","o"),"ù","u"))</f>
        <v/>
      </c>
      <c r="O884" s="25">
        <f>IF(M884="confiable",2,IF(M884="dudosa",1,IF(M884="no confiable",0,"")))</f>
        <v/>
      </c>
      <c r="P884" s="25">
        <f>IF(N884="confiable",2,IF(N884="dudosa",1,IF(N884="no confiable",0,"")))</f>
        <v/>
      </c>
      <c r="Q884" s="25">
        <f>IF(AND(ISNUMBER(O884),ISNUMBER(P884)),1,"")</f>
        <v/>
      </c>
      <c r="R884" s="25">
        <f>IF(Q884=1,IF(O884=P884,"Sí","No"),"")</f>
        <v/>
      </c>
      <c r="S884" s="25">
        <f>IF(Q884=1,IF(P884&lt;O884,"Más estricto",IF(P884&gt;O884,"Más permisivo","Igual")),"")</f>
        <v/>
      </c>
      <c r="T884" s="25">
        <f>IF(Q884=1,IF(ABS(O884-P884)=2,1,0),"")</f>
        <v/>
      </c>
      <c r="U884" s="25">
        <f>IF(H884="","","|"&amp;SUBSTITUTE(SUBSTITUTE(TRIM(H884)," |","|"),"| ","|")&amp;"|")</f>
        <v/>
      </c>
      <c r="V884" s="25">
        <f>IF(AND(Q884=1,B884&lt;&gt;""),IF(IFERROR(COUNTIFS(B$3:B884,"="&amp;SUBSTITUTE(SUBSTITUTE(SUBSTITUTE(B884,"~","~~"),"*","~*"),"?","~?"),Q$3:Q884,1),0)=1,MAX(V$2:V883)+1,""),"")</f>
        <v/>
      </c>
      <c r="W884" s="25">
        <f>IF(V884="","",COUNTIFS($B$3:$B$1002,"="&amp;SUBSTITUTE(SUBSTITUTE(SUBSTITUTE(B884,"~","~~"),"*","~*"),"?","~?"),$Q$3:$Q$1002,1)*10000-V884)</f>
        <v/>
      </c>
      <c r="X884" s="25">
        <f>IF(Q884=1,IF(SUBSTITUTE(SUBSTITUTE(SUBSTITUTE(SUBSTITUTE(SUBSTITUTE(SUBSTITUTE(SUBSTITUTE(SUBSTITUTE(SUBSTITUTE(SUBSTITUTE(SUBSTITUTE(SUBSTITUTE(LOWER(TRIM(A884)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884)),"á","a"),"é","e"),"í","i"),"ó","o"),"ú","u"),"ü","u"),"ñ","n"),"à","a"),"è","e"),"ì","i"),"ò","o"),"ù","u")),"")</f>
        <v/>
      </c>
      <c r="Y884" s="25">
        <f>IF(X884="","",IF(IFERROR(COUNTIF(X$3:X884,"="&amp;SUBSTITUTE(SUBSTITUTE(SUBSTITUTE(X884,"~","~~"),"*","~*"),"?","~?")),0)=1,1,""))</f>
        <v/>
      </c>
      <c r="Z884" s="25">
        <f>IF(T884=1,MAX(Z$2:Z883)+1,"")</f>
        <v/>
      </c>
    </row>
    <row r="885">
      <c r="A885">
        <f>IF(A$2=0,"",IFERROR(TRIM(INDEX('Pegar calibracion'!$A$1:$BZ$1001,884,A$2)&amp;""),""))</f>
        <v/>
      </c>
      <c r="B885">
        <f>IF(B$2=0,"",IFERROR(TRIM(INDEX('Pegar calibracion'!$A$1:$BZ$1001,884,B$2)&amp;""),""))</f>
        <v/>
      </c>
      <c r="C885">
        <f>IF(C$2=0,"",IFERROR(TRIM(INDEX('Pegar calibracion'!$A$1:$BZ$1001,884,C$2)&amp;""),""))</f>
        <v/>
      </c>
      <c r="D885">
        <f>IF(D$2=0,"",IFERROR(TRIM(INDEX('Pegar calibracion'!$A$1:$BZ$1001,884,D$2)&amp;""),""))</f>
        <v/>
      </c>
      <c r="E885">
        <f>IF(E$2=0,"",IFERROR(TRIM(INDEX('Pegar calibracion'!$A$1:$BZ$1001,884,E$2)&amp;""),""))</f>
        <v/>
      </c>
      <c r="F885">
        <f>IF(F$2=0,"",IFERROR(TRIM(INDEX('Pegar calibracion'!$A$1:$BZ$1001,884,F$2)&amp;""),""))</f>
        <v/>
      </c>
      <c r="G885">
        <f>IF(G$2=0,"",IFERROR(TRIM(INDEX('Pegar calibracion'!$A$1:$BZ$1001,884,G$2)&amp;""),""))</f>
        <v/>
      </c>
      <c r="H885">
        <f>IF(H$2=0,"",IFERROR(TRIM(INDEX('Pegar calibracion'!$A$1:$BZ$1001,884,H$2)&amp;""),""))</f>
        <v/>
      </c>
      <c r="I885">
        <f>IF(I$2=0,"",IFERROR(TRIM(INDEX('Pegar calibracion'!$A$1:$BZ$1001,884,I$2)&amp;""),""))</f>
        <v/>
      </c>
      <c r="J885">
        <f>IF(J$2=0,"",IFERROR(TRIM(INDEX('Pegar calibracion'!$A$1:$BZ$1001,884,J$2)&amp;""),""))</f>
        <v/>
      </c>
      <c r="K885">
        <f>IF(K$2=0,"",IFERROR(TRIM(INDEX('Pegar calibracion'!$A$1:$BZ$1001,884,K$2)&amp;""),""))</f>
        <v/>
      </c>
      <c r="L885">
        <f>IF(L$2=0,"",IFERROR(TRIM(INDEX('Pegar calibracion'!$A$1:$BZ$1001,884,L$2)&amp;""),""))</f>
        <v/>
      </c>
      <c r="M885" s="25">
        <f>IF(D885="","",SUBSTITUTE(SUBSTITUTE(SUBSTITUTE(SUBSTITUTE(SUBSTITUTE(SUBSTITUTE(SUBSTITUTE(SUBSTITUTE(SUBSTITUTE(SUBSTITUTE(SUBSTITUTE(SUBSTITUTE(LOWER(TRIM(D885)),"á","a"),"é","e"),"í","i"),"ó","o"),"ú","u"),"ü","u"),"ñ","n"),"à","a"),"è","e"),"ì","i"),"ò","o"),"ù","u"))</f>
        <v/>
      </c>
      <c r="N885" s="25">
        <f>IF(F885="","",SUBSTITUTE(SUBSTITUTE(SUBSTITUTE(SUBSTITUTE(SUBSTITUTE(SUBSTITUTE(SUBSTITUTE(SUBSTITUTE(SUBSTITUTE(SUBSTITUTE(SUBSTITUTE(SUBSTITUTE(LOWER(TRIM(F885)),"á","a"),"é","e"),"í","i"),"ó","o"),"ú","u"),"ü","u"),"ñ","n"),"à","a"),"è","e"),"ì","i"),"ò","o"),"ù","u"))</f>
        <v/>
      </c>
      <c r="O885" s="25">
        <f>IF(M885="confiable",2,IF(M885="dudosa",1,IF(M885="no confiable",0,"")))</f>
        <v/>
      </c>
      <c r="P885" s="25">
        <f>IF(N885="confiable",2,IF(N885="dudosa",1,IF(N885="no confiable",0,"")))</f>
        <v/>
      </c>
      <c r="Q885" s="25">
        <f>IF(AND(ISNUMBER(O885),ISNUMBER(P885)),1,"")</f>
        <v/>
      </c>
      <c r="R885" s="25">
        <f>IF(Q885=1,IF(O885=P885,"Sí","No"),"")</f>
        <v/>
      </c>
      <c r="S885" s="25">
        <f>IF(Q885=1,IF(P885&lt;O885,"Más estricto",IF(P885&gt;O885,"Más permisivo","Igual")),"")</f>
        <v/>
      </c>
      <c r="T885" s="25">
        <f>IF(Q885=1,IF(ABS(O885-P885)=2,1,0),"")</f>
        <v/>
      </c>
      <c r="U885" s="25">
        <f>IF(H885="","","|"&amp;SUBSTITUTE(SUBSTITUTE(TRIM(H885)," |","|"),"| ","|")&amp;"|")</f>
        <v/>
      </c>
      <c r="V885" s="25">
        <f>IF(AND(Q885=1,B885&lt;&gt;""),IF(IFERROR(COUNTIFS(B$3:B885,"="&amp;SUBSTITUTE(SUBSTITUTE(SUBSTITUTE(B885,"~","~~"),"*","~*"),"?","~?"),Q$3:Q885,1),0)=1,MAX(V$2:V884)+1,""),"")</f>
        <v/>
      </c>
      <c r="W885" s="25">
        <f>IF(V885="","",COUNTIFS($B$3:$B$1002,"="&amp;SUBSTITUTE(SUBSTITUTE(SUBSTITUTE(B885,"~","~~"),"*","~*"),"?","~?"),$Q$3:$Q$1002,1)*10000-V885)</f>
        <v/>
      </c>
      <c r="X885" s="25">
        <f>IF(Q885=1,IF(SUBSTITUTE(SUBSTITUTE(SUBSTITUTE(SUBSTITUTE(SUBSTITUTE(SUBSTITUTE(SUBSTITUTE(SUBSTITUTE(SUBSTITUTE(SUBSTITUTE(SUBSTITUTE(SUBSTITUTE(LOWER(TRIM(A885)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885)),"á","a"),"é","e"),"í","i"),"ó","o"),"ú","u"),"ü","u"),"ñ","n"),"à","a"),"è","e"),"ì","i"),"ò","o"),"ù","u")),"")</f>
        <v/>
      </c>
      <c r="Y885" s="25">
        <f>IF(X885="","",IF(IFERROR(COUNTIF(X$3:X885,"="&amp;SUBSTITUTE(SUBSTITUTE(SUBSTITUTE(X885,"~","~~"),"*","~*"),"?","~?")),0)=1,1,""))</f>
        <v/>
      </c>
      <c r="Z885" s="25">
        <f>IF(T885=1,MAX(Z$2:Z884)+1,"")</f>
        <v/>
      </c>
    </row>
    <row r="886">
      <c r="A886">
        <f>IF(A$2=0,"",IFERROR(TRIM(INDEX('Pegar calibracion'!$A$1:$BZ$1001,885,A$2)&amp;""),""))</f>
        <v/>
      </c>
      <c r="B886">
        <f>IF(B$2=0,"",IFERROR(TRIM(INDEX('Pegar calibracion'!$A$1:$BZ$1001,885,B$2)&amp;""),""))</f>
        <v/>
      </c>
      <c r="C886">
        <f>IF(C$2=0,"",IFERROR(TRIM(INDEX('Pegar calibracion'!$A$1:$BZ$1001,885,C$2)&amp;""),""))</f>
        <v/>
      </c>
      <c r="D886">
        <f>IF(D$2=0,"",IFERROR(TRIM(INDEX('Pegar calibracion'!$A$1:$BZ$1001,885,D$2)&amp;""),""))</f>
        <v/>
      </c>
      <c r="E886">
        <f>IF(E$2=0,"",IFERROR(TRIM(INDEX('Pegar calibracion'!$A$1:$BZ$1001,885,E$2)&amp;""),""))</f>
        <v/>
      </c>
      <c r="F886">
        <f>IF(F$2=0,"",IFERROR(TRIM(INDEX('Pegar calibracion'!$A$1:$BZ$1001,885,F$2)&amp;""),""))</f>
        <v/>
      </c>
      <c r="G886">
        <f>IF(G$2=0,"",IFERROR(TRIM(INDEX('Pegar calibracion'!$A$1:$BZ$1001,885,G$2)&amp;""),""))</f>
        <v/>
      </c>
      <c r="H886">
        <f>IF(H$2=0,"",IFERROR(TRIM(INDEX('Pegar calibracion'!$A$1:$BZ$1001,885,H$2)&amp;""),""))</f>
        <v/>
      </c>
      <c r="I886">
        <f>IF(I$2=0,"",IFERROR(TRIM(INDEX('Pegar calibracion'!$A$1:$BZ$1001,885,I$2)&amp;""),""))</f>
        <v/>
      </c>
      <c r="J886">
        <f>IF(J$2=0,"",IFERROR(TRIM(INDEX('Pegar calibracion'!$A$1:$BZ$1001,885,J$2)&amp;""),""))</f>
        <v/>
      </c>
      <c r="K886">
        <f>IF(K$2=0,"",IFERROR(TRIM(INDEX('Pegar calibracion'!$A$1:$BZ$1001,885,K$2)&amp;""),""))</f>
        <v/>
      </c>
      <c r="L886">
        <f>IF(L$2=0,"",IFERROR(TRIM(INDEX('Pegar calibracion'!$A$1:$BZ$1001,885,L$2)&amp;""),""))</f>
        <v/>
      </c>
      <c r="M886" s="25">
        <f>IF(D886="","",SUBSTITUTE(SUBSTITUTE(SUBSTITUTE(SUBSTITUTE(SUBSTITUTE(SUBSTITUTE(SUBSTITUTE(SUBSTITUTE(SUBSTITUTE(SUBSTITUTE(SUBSTITUTE(SUBSTITUTE(LOWER(TRIM(D886)),"á","a"),"é","e"),"í","i"),"ó","o"),"ú","u"),"ü","u"),"ñ","n"),"à","a"),"è","e"),"ì","i"),"ò","o"),"ù","u"))</f>
        <v/>
      </c>
      <c r="N886" s="25">
        <f>IF(F886="","",SUBSTITUTE(SUBSTITUTE(SUBSTITUTE(SUBSTITUTE(SUBSTITUTE(SUBSTITUTE(SUBSTITUTE(SUBSTITUTE(SUBSTITUTE(SUBSTITUTE(SUBSTITUTE(SUBSTITUTE(LOWER(TRIM(F886)),"á","a"),"é","e"),"í","i"),"ó","o"),"ú","u"),"ü","u"),"ñ","n"),"à","a"),"è","e"),"ì","i"),"ò","o"),"ù","u"))</f>
        <v/>
      </c>
      <c r="O886" s="25">
        <f>IF(M886="confiable",2,IF(M886="dudosa",1,IF(M886="no confiable",0,"")))</f>
        <v/>
      </c>
      <c r="P886" s="25">
        <f>IF(N886="confiable",2,IF(N886="dudosa",1,IF(N886="no confiable",0,"")))</f>
        <v/>
      </c>
      <c r="Q886" s="25">
        <f>IF(AND(ISNUMBER(O886),ISNUMBER(P886)),1,"")</f>
        <v/>
      </c>
      <c r="R886" s="25">
        <f>IF(Q886=1,IF(O886=P886,"Sí","No"),"")</f>
        <v/>
      </c>
      <c r="S886" s="25">
        <f>IF(Q886=1,IF(P886&lt;O886,"Más estricto",IF(P886&gt;O886,"Más permisivo","Igual")),"")</f>
        <v/>
      </c>
      <c r="T886" s="25">
        <f>IF(Q886=1,IF(ABS(O886-P886)=2,1,0),"")</f>
        <v/>
      </c>
      <c r="U886" s="25">
        <f>IF(H886="","","|"&amp;SUBSTITUTE(SUBSTITUTE(TRIM(H886)," |","|"),"| ","|")&amp;"|")</f>
        <v/>
      </c>
      <c r="V886" s="25">
        <f>IF(AND(Q886=1,B886&lt;&gt;""),IF(IFERROR(COUNTIFS(B$3:B886,"="&amp;SUBSTITUTE(SUBSTITUTE(SUBSTITUTE(B886,"~","~~"),"*","~*"),"?","~?"),Q$3:Q886,1),0)=1,MAX(V$2:V885)+1,""),"")</f>
        <v/>
      </c>
      <c r="W886" s="25">
        <f>IF(V886="","",COUNTIFS($B$3:$B$1002,"="&amp;SUBSTITUTE(SUBSTITUTE(SUBSTITUTE(B886,"~","~~"),"*","~*"),"?","~?"),$Q$3:$Q$1002,1)*10000-V886)</f>
        <v/>
      </c>
      <c r="X886" s="25">
        <f>IF(Q886=1,IF(SUBSTITUTE(SUBSTITUTE(SUBSTITUTE(SUBSTITUTE(SUBSTITUTE(SUBSTITUTE(SUBSTITUTE(SUBSTITUTE(SUBSTITUTE(SUBSTITUTE(SUBSTITUTE(SUBSTITUTE(LOWER(TRIM(A886)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886)),"á","a"),"é","e"),"í","i"),"ó","o"),"ú","u"),"ü","u"),"ñ","n"),"à","a"),"è","e"),"ì","i"),"ò","o"),"ù","u")),"")</f>
        <v/>
      </c>
      <c r="Y886" s="25">
        <f>IF(X886="","",IF(IFERROR(COUNTIF(X$3:X886,"="&amp;SUBSTITUTE(SUBSTITUTE(SUBSTITUTE(X886,"~","~~"),"*","~*"),"?","~?")),0)=1,1,""))</f>
        <v/>
      </c>
      <c r="Z886" s="25">
        <f>IF(T886=1,MAX(Z$2:Z885)+1,"")</f>
        <v/>
      </c>
    </row>
    <row r="887">
      <c r="A887">
        <f>IF(A$2=0,"",IFERROR(TRIM(INDEX('Pegar calibracion'!$A$1:$BZ$1001,886,A$2)&amp;""),""))</f>
        <v/>
      </c>
      <c r="B887">
        <f>IF(B$2=0,"",IFERROR(TRIM(INDEX('Pegar calibracion'!$A$1:$BZ$1001,886,B$2)&amp;""),""))</f>
        <v/>
      </c>
      <c r="C887">
        <f>IF(C$2=0,"",IFERROR(TRIM(INDEX('Pegar calibracion'!$A$1:$BZ$1001,886,C$2)&amp;""),""))</f>
        <v/>
      </c>
      <c r="D887">
        <f>IF(D$2=0,"",IFERROR(TRIM(INDEX('Pegar calibracion'!$A$1:$BZ$1001,886,D$2)&amp;""),""))</f>
        <v/>
      </c>
      <c r="E887">
        <f>IF(E$2=0,"",IFERROR(TRIM(INDEX('Pegar calibracion'!$A$1:$BZ$1001,886,E$2)&amp;""),""))</f>
        <v/>
      </c>
      <c r="F887">
        <f>IF(F$2=0,"",IFERROR(TRIM(INDEX('Pegar calibracion'!$A$1:$BZ$1001,886,F$2)&amp;""),""))</f>
        <v/>
      </c>
      <c r="G887">
        <f>IF(G$2=0,"",IFERROR(TRIM(INDEX('Pegar calibracion'!$A$1:$BZ$1001,886,G$2)&amp;""),""))</f>
        <v/>
      </c>
      <c r="H887">
        <f>IF(H$2=0,"",IFERROR(TRIM(INDEX('Pegar calibracion'!$A$1:$BZ$1001,886,H$2)&amp;""),""))</f>
        <v/>
      </c>
      <c r="I887">
        <f>IF(I$2=0,"",IFERROR(TRIM(INDEX('Pegar calibracion'!$A$1:$BZ$1001,886,I$2)&amp;""),""))</f>
        <v/>
      </c>
      <c r="J887">
        <f>IF(J$2=0,"",IFERROR(TRIM(INDEX('Pegar calibracion'!$A$1:$BZ$1001,886,J$2)&amp;""),""))</f>
        <v/>
      </c>
      <c r="K887">
        <f>IF(K$2=0,"",IFERROR(TRIM(INDEX('Pegar calibracion'!$A$1:$BZ$1001,886,K$2)&amp;""),""))</f>
        <v/>
      </c>
      <c r="L887">
        <f>IF(L$2=0,"",IFERROR(TRIM(INDEX('Pegar calibracion'!$A$1:$BZ$1001,886,L$2)&amp;""),""))</f>
        <v/>
      </c>
      <c r="M887" s="25">
        <f>IF(D887="","",SUBSTITUTE(SUBSTITUTE(SUBSTITUTE(SUBSTITUTE(SUBSTITUTE(SUBSTITUTE(SUBSTITUTE(SUBSTITUTE(SUBSTITUTE(SUBSTITUTE(SUBSTITUTE(SUBSTITUTE(LOWER(TRIM(D887)),"á","a"),"é","e"),"í","i"),"ó","o"),"ú","u"),"ü","u"),"ñ","n"),"à","a"),"è","e"),"ì","i"),"ò","o"),"ù","u"))</f>
        <v/>
      </c>
      <c r="N887" s="25">
        <f>IF(F887="","",SUBSTITUTE(SUBSTITUTE(SUBSTITUTE(SUBSTITUTE(SUBSTITUTE(SUBSTITUTE(SUBSTITUTE(SUBSTITUTE(SUBSTITUTE(SUBSTITUTE(SUBSTITUTE(SUBSTITUTE(LOWER(TRIM(F887)),"á","a"),"é","e"),"í","i"),"ó","o"),"ú","u"),"ü","u"),"ñ","n"),"à","a"),"è","e"),"ì","i"),"ò","o"),"ù","u"))</f>
        <v/>
      </c>
      <c r="O887" s="25">
        <f>IF(M887="confiable",2,IF(M887="dudosa",1,IF(M887="no confiable",0,"")))</f>
        <v/>
      </c>
      <c r="P887" s="25">
        <f>IF(N887="confiable",2,IF(N887="dudosa",1,IF(N887="no confiable",0,"")))</f>
        <v/>
      </c>
      <c r="Q887" s="25">
        <f>IF(AND(ISNUMBER(O887),ISNUMBER(P887)),1,"")</f>
        <v/>
      </c>
      <c r="R887" s="25">
        <f>IF(Q887=1,IF(O887=P887,"Sí","No"),"")</f>
        <v/>
      </c>
      <c r="S887" s="25">
        <f>IF(Q887=1,IF(P887&lt;O887,"Más estricto",IF(P887&gt;O887,"Más permisivo","Igual")),"")</f>
        <v/>
      </c>
      <c r="T887" s="25">
        <f>IF(Q887=1,IF(ABS(O887-P887)=2,1,0),"")</f>
        <v/>
      </c>
      <c r="U887" s="25">
        <f>IF(H887="","","|"&amp;SUBSTITUTE(SUBSTITUTE(TRIM(H887)," |","|"),"| ","|")&amp;"|")</f>
        <v/>
      </c>
      <c r="V887" s="25">
        <f>IF(AND(Q887=1,B887&lt;&gt;""),IF(IFERROR(COUNTIFS(B$3:B887,"="&amp;SUBSTITUTE(SUBSTITUTE(SUBSTITUTE(B887,"~","~~"),"*","~*"),"?","~?"),Q$3:Q887,1),0)=1,MAX(V$2:V886)+1,""),"")</f>
        <v/>
      </c>
      <c r="W887" s="25">
        <f>IF(V887="","",COUNTIFS($B$3:$B$1002,"="&amp;SUBSTITUTE(SUBSTITUTE(SUBSTITUTE(B887,"~","~~"),"*","~*"),"?","~?"),$Q$3:$Q$1002,1)*10000-V887)</f>
        <v/>
      </c>
      <c r="X887" s="25">
        <f>IF(Q887=1,IF(SUBSTITUTE(SUBSTITUTE(SUBSTITUTE(SUBSTITUTE(SUBSTITUTE(SUBSTITUTE(SUBSTITUTE(SUBSTITUTE(SUBSTITUTE(SUBSTITUTE(SUBSTITUTE(SUBSTITUTE(LOWER(TRIM(A887)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887)),"á","a"),"é","e"),"í","i"),"ó","o"),"ú","u"),"ü","u"),"ñ","n"),"à","a"),"è","e"),"ì","i"),"ò","o"),"ù","u")),"")</f>
        <v/>
      </c>
      <c r="Y887" s="25">
        <f>IF(X887="","",IF(IFERROR(COUNTIF(X$3:X887,"="&amp;SUBSTITUTE(SUBSTITUTE(SUBSTITUTE(X887,"~","~~"),"*","~*"),"?","~?")),0)=1,1,""))</f>
        <v/>
      </c>
      <c r="Z887" s="25">
        <f>IF(T887=1,MAX(Z$2:Z886)+1,"")</f>
        <v/>
      </c>
    </row>
    <row r="888">
      <c r="A888">
        <f>IF(A$2=0,"",IFERROR(TRIM(INDEX('Pegar calibracion'!$A$1:$BZ$1001,887,A$2)&amp;""),""))</f>
        <v/>
      </c>
      <c r="B888">
        <f>IF(B$2=0,"",IFERROR(TRIM(INDEX('Pegar calibracion'!$A$1:$BZ$1001,887,B$2)&amp;""),""))</f>
        <v/>
      </c>
      <c r="C888">
        <f>IF(C$2=0,"",IFERROR(TRIM(INDEX('Pegar calibracion'!$A$1:$BZ$1001,887,C$2)&amp;""),""))</f>
        <v/>
      </c>
      <c r="D888">
        <f>IF(D$2=0,"",IFERROR(TRIM(INDEX('Pegar calibracion'!$A$1:$BZ$1001,887,D$2)&amp;""),""))</f>
        <v/>
      </c>
      <c r="E888">
        <f>IF(E$2=0,"",IFERROR(TRIM(INDEX('Pegar calibracion'!$A$1:$BZ$1001,887,E$2)&amp;""),""))</f>
        <v/>
      </c>
      <c r="F888">
        <f>IF(F$2=0,"",IFERROR(TRIM(INDEX('Pegar calibracion'!$A$1:$BZ$1001,887,F$2)&amp;""),""))</f>
        <v/>
      </c>
      <c r="G888">
        <f>IF(G$2=0,"",IFERROR(TRIM(INDEX('Pegar calibracion'!$A$1:$BZ$1001,887,G$2)&amp;""),""))</f>
        <v/>
      </c>
      <c r="H888">
        <f>IF(H$2=0,"",IFERROR(TRIM(INDEX('Pegar calibracion'!$A$1:$BZ$1001,887,H$2)&amp;""),""))</f>
        <v/>
      </c>
      <c r="I888">
        <f>IF(I$2=0,"",IFERROR(TRIM(INDEX('Pegar calibracion'!$A$1:$BZ$1001,887,I$2)&amp;""),""))</f>
        <v/>
      </c>
      <c r="J888">
        <f>IF(J$2=0,"",IFERROR(TRIM(INDEX('Pegar calibracion'!$A$1:$BZ$1001,887,J$2)&amp;""),""))</f>
        <v/>
      </c>
      <c r="K888">
        <f>IF(K$2=0,"",IFERROR(TRIM(INDEX('Pegar calibracion'!$A$1:$BZ$1001,887,K$2)&amp;""),""))</f>
        <v/>
      </c>
      <c r="L888">
        <f>IF(L$2=0,"",IFERROR(TRIM(INDEX('Pegar calibracion'!$A$1:$BZ$1001,887,L$2)&amp;""),""))</f>
        <v/>
      </c>
      <c r="M888" s="25">
        <f>IF(D888="","",SUBSTITUTE(SUBSTITUTE(SUBSTITUTE(SUBSTITUTE(SUBSTITUTE(SUBSTITUTE(SUBSTITUTE(SUBSTITUTE(SUBSTITUTE(SUBSTITUTE(SUBSTITUTE(SUBSTITUTE(LOWER(TRIM(D888)),"á","a"),"é","e"),"í","i"),"ó","o"),"ú","u"),"ü","u"),"ñ","n"),"à","a"),"è","e"),"ì","i"),"ò","o"),"ù","u"))</f>
        <v/>
      </c>
      <c r="N888" s="25">
        <f>IF(F888="","",SUBSTITUTE(SUBSTITUTE(SUBSTITUTE(SUBSTITUTE(SUBSTITUTE(SUBSTITUTE(SUBSTITUTE(SUBSTITUTE(SUBSTITUTE(SUBSTITUTE(SUBSTITUTE(SUBSTITUTE(LOWER(TRIM(F888)),"á","a"),"é","e"),"í","i"),"ó","o"),"ú","u"),"ü","u"),"ñ","n"),"à","a"),"è","e"),"ì","i"),"ò","o"),"ù","u"))</f>
        <v/>
      </c>
      <c r="O888" s="25">
        <f>IF(M888="confiable",2,IF(M888="dudosa",1,IF(M888="no confiable",0,"")))</f>
        <v/>
      </c>
      <c r="P888" s="25">
        <f>IF(N888="confiable",2,IF(N888="dudosa",1,IF(N888="no confiable",0,"")))</f>
        <v/>
      </c>
      <c r="Q888" s="25">
        <f>IF(AND(ISNUMBER(O888),ISNUMBER(P888)),1,"")</f>
        <v/>
      </c>
      <c r="R888" s="25">
        <f>IF(Q888=1,IF(O888=P888,"Sí","No"),"")</f>
        <v/>
      </c>
      <c r="S888" s="25">
        <f>IF(Q888=1,IF(P888&lt;O888,"Más estricto",IF(P888&gt;O888,"Más permisivo","Igual")),"")</f>
        <v/>
      </c>
      <c r="T888" s="25">
        <f>IF(Q888=1,IF(ABS(O888-P888)=2,1,0),"")</f>
        <v/>
      </c>
      <c r="U888" s="25">
        <f>IF(H888="","","|"&amp;SUBSTITUTE(SUBSTITUTE(TRIM(H888)," |","|"),"| ","|")&amp;"|")</f>
        <v/>
      </c>
      <c r="V888" s="25">
        <f>IF(AND(Q888=1,B888&lt;&gt;""),IF(IFERROR(COUNTIFS(B$3:B888,"="&amp;SUBSTITUTE(SUBSTITUTE(SUBSTITUTE(B888,"~","~~"),"*","~*"),"?","~?"),Q$3:Q888,1),0)=1,MAX(V$2:V887)+1,""),"")</f>
        <v/>
      </c>
      <c r="W888" s="25">
        <f>IF(V888="","",COUNTIFS($B$3:$B$1002,"="&amp;SUBSTITUTE(SUBSTITUTE(SUBSTITUTE(B888,"~","~~"),"*","~*"),"?","~?"),$Q$3:$Q$1002,1)*10000-V888)</f>
        <v/>
      </c>
      <c r="X888" s="25">
        <f>IF(Q888=1,IF(SUBSTITUTE(SUBSTITUTE(SUBSTITUTE(SUBSTITUTE(SUBSTITUTE(SUBSTITUTE(SUBSTITUTE(SUBSTITUTE(SUBSTITUTE(SUBSTITUTE(SUBSTITUTE(SUBSTITUTE(LOWER(TRIM(A888)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888)),"á","a"),"é","e"),"í","i"),"ó","o"),"ú","u"),"ü","u"),"ñ","n"),"à","a"),"è","e"),"ì","i"),"ò","o"),"ù","u")),"")</f>
        <v/>
      </c>
      <c r="Y888" s="25">
        <f>IF(X888="","",IF(IFERROR(COUNTIF(X$3:X888,"="&amp;SUBSTITUTE(SUBSTITUTE(SUBSTITUTE(X888,"~","~~"),"*","~*"),"?","~?")),0)=1,1,""))</f>
        <v/>
      </c>
      <c r="Z888" s="25">
        <f>IF(T888=1,MAX(Z$2:Z887)+1,"")</f>
        <v/>
      </c>
    </row>
    <row r="889">
      <c r="A889">
        <f>IF(A$2=0,"",IFERROR(TRIM(INDEX('Pegar calibracion'!$A$1:$BZ$1001,888,A$2)&amp;""),""))</f>
        <v/>
      </c>
      <c r="B889">
        <f>IF(B$2=0,"",IFERROR(TRIM(INDEX('Pegar calibracion'!$A$1:$BZ$1001,888,B$2)&amp;""),""))</f>
        <v/>
      </c>
      <c r="C889">
        <f>IF(C$2=0,"",IFERROR(TRIM(INDEX('Pegar calibracion'!$A$1:$BZ$1001,888,C$2)&amp;""),""))</f>
        <v/>
      </c>
      <c r="D889">
        <f>IF(D$2=0,"",IFERROR(TRIM(INDEX('Pegar calibracion'!$A$1:$BZ$1001,888,D$2)&amp;""),""))</f>
        <v/>
      </c>
      <c r="E889">
        <f>IF(E$2=0,"",IFERROR(TRIM(INDEX('Pegar calibracion'!$A$1:$BZ$1001,888,E$2)&amp;""),""))</f>
        <v/>
      </c>
      <c r="F889">
        <f>IF(F$2=0,"",IFERROR(TRIM(INDEX('Pegar calibracion'!$A$1:$BZ$1001,888,F$2)&amp;""),""))</f>
        <v/>
      </c>
      <c r="G889">
        <f>IF(G$2=0,"",IFERROR(TRIM(INDEX('Pegar calibracion'!$A$1:$BZ$1001,888,G$2)&amp;""),""))</f>
        <v/>
      </c>
      <c r="H889">
        <f>IF(H$2=0,"",IFERROR(TRIM(INDEX('Pegar calibracion'!$A$1:$BZ$1001,888,H$2)&amp;""),""))</f>
        <v/>
      </c>
      <c r="I889">
        <f>IF(I$2=0,"",IFERROR(TRIM(INDEX('Pegar calibracion'!$A$1:$BZ$1001,888,I$2)&amp;""),""))</f>
        <v/>
      </c>
      <c r="J889">
        <f>IF(J$2=0,"",IFERROR(TRIM(INDEX('Pegar calibracion'!$A$1:$BZ$1001,888,J$2)&amp;""),""))</f>
        <v/>
      </c>
      <c r="K889">
        <f>IF(K$2=0,"",IFERROR(TRIM(INDEX('Pegar calibracion'!$A$1:$BZ$1001,888,K$2)&amp;""),""))</f>
        <v/>
      </c>
      <c r="L889">
        <f>IF(L$2=0,"",IFERROR(TRIM(INDEX('Pegar calibracion'!$A$1:$BZ$1001,888,L$2)&amp;""),""))</f>
        <v/>
      </c>
      <c r="M889" s="25">
        <f>IF(D889="","",SUBSTITUTE(SUBSTITUTE(SUBSTITUTE(SUBSTITUTE(SUBSTITUTE(SUBSTITUTE(SUBSTITUTE(SUBSTITUTE(SUBSTITUTE(SUBSTITUTE(SUBSTITUTE(SUBSTITUTE(LOWER(TRIM(D889)),"á","a"),"é","e"),"í","i"),"ó","o"),"ú","u"),"ü","u"),"ñ","n"),"à","a"),"è","e"),"ì","i"),"ò","o"),"ù","u"))</f>
        <v/>
      </c>
      <c r="N889" s="25">
        <f>IF(F889="","",SUBSTITUTE(SUBSTITUTE(SUBSTITUTE(SUBSTITUTE(SUBSTITUTE(SUBSTITUTE(SUBSTITUTE(SUBSTITUTE(SUBSTITUTE(SUBSTITUTE(SUBSTITUTE(SUBSTITUTE(LOWER(TRIM(F889)),"á","a"),"é","e"),"í","i"),"ó","o"),"ú","u"),"ü","u"),"ñ","n"),"à","a"),"è","e"),"ì","i"),"ò","o"),"ù","u"))</f>
        <v/>
      </c>
      <c r="O889" s="25">
        <f>IF(M889="confiable",2,IF(M889="dudosa",1,IF(M889="no confiable",0,"")))</f>
        <v/>
      </c>
      <c r="P889" s="25">
        <f>IF(N889="confiable",2,IF(N889="dudosa",1,IF(N889="no confiable",0,"")))</f>
        <v/>
      </c>
      <c r="Q889" s="25">
        <f>IF(AND(ISNUMBER(O889),ISNUMBER(P889)),1,"")</f>
        <v/>
      </c>
      <c r="R889" s="25">
        <f>IF(Q889=1,IF(O889=P889,"Sí","No"),"")</f>
        <v/>
      </c>
      <c r="S889" s="25">
        <f>IF(Q889=1,IF(P889&lt;O889,"Más estricto",IF(P889&gt;O889,"Más permisivo","Igual")),"")</f>
        <v/>
      </c>
      <c r="T889" s="25">
        <f>IF(Q889=1,IF(ABS(O889-P889)=2,1,0),"")</f>
        <v/>
      </c>
      <c r="U889" s="25">
        <f>IF(H889="","","|"&amp;SUBSTITUTE(SUBSTITUTE(TRIM(H889)," |","|"),"| ","|")&amp;"|")</f>
        <v/>
      </c>
      <c r="V889" s="25">
        <f>IF(AND(Q889=1,B889&lt;&gt;""),IF(IFERROR(COUNTIFS(B$3:B889,"="&amp;SUBSTITUTE(SUBSTITUTE(SUBSTITUTE(B889,"~","~~"),"*","~*"),"?","~?"),Q$3:Q889,1),0)=1,MAX(V$2:V888)+1,""),"")</f>
        <v/>
      </c>
      <c r="W889" s="25">
        <f>IF(V889="","",COUNTIFS($B$3:$B$1002,"="&amp;SUBSTITUTE(SUBSTITUTE(SUBSTITUTE(B889,"~","~~"),"*","~*"),"?","~?"),$Q$3:$Q$1002,1)*10000-V889)</f>
        <v/>
      </c>
      <c r="X889" s="25">
        <f>IF(Q889=1,IF(SUBSTITUTE(SUBSTITUTE(SUBSTITUTE(SUBSTITUTE(SUBSTITUTE(SUBSTITUTE(SUBSTITUTE(SUBSTITUTE(SUBSTITUTE(SUBSTITUTE(SUBSTITUTE(SUBSTITUTE(LOWER(TRIM(A889)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889)),"á","a"),"é","e"),"í","i"),"ó","o"),"ú","u"),"ü","u"),"ñ","n"),"à","a"),"è","e"),"ì","i"),"ò","o"),"ù","u")),"")</f>
        <v/>
      </c>
      <c r="Y889" s="25">
        <f>IF(X889="","",IF(IFERROR(COUNTIF(X$3:X889,"="&amp;SUBSTITUTE(SUBSTITUTE(SUBSTITUTE(X889,"~","~~"),"*","~*"),"?","~?")),0)=1,1,""))</f>
        <v/>
      </c>
      <c r="Z889" s="25">
        <f>IF(T889=1,MAX(Z$2:Z888)+1,"")</f>
        <v/>
      </c>
    </row>
    <row r="890">
      <c r="A890">
        <f>IF(A$2=0,"",IFERROR(TRIM(INDEX('Pegar calibracion'!$A$1:$BZ$1001,889,A$2)&amp;""),""))</f>
        <v/>
      </c>
      <c r="B890">
        <f>IF(B$2=0,"",IFERROR(TRIM(INDEX('Pegar calibracion'!$A$1:$BZ$1001,889,B$2)&amp;""),""))</f>
        <v/>
      </c>
      <c r="C890">
        <f>IF(C$2=0,"",IFERROR(TRIM(INDEX('Pegar calibracion'!$A$1:$BZ$1001,889,C$2)&amp;""),""))</f>
        <v/>
      </c>
      <c r="D890">
        <f>IF(D$2=0,"",IFERROR(TRIM(INDEX('Pegar calibracion'!$A$1:$BZ$1001,889,D$2)&amp;""),""))</f>
        <v/>
      </c>
      <c r="E890">
        <f>IF(E$2=0,"",IFERROR(TRIM(INDEX('Pegar calibracion'!$A$1:$BZ$1001,889,E$2)&amp;""),""))</f>
        <v/>
      </c>
      <c r="F890">
        <f>IF(F$2=0,"",IFERROR(TRIM(INDEX('Pegar calibracion'!$A$1:$BZ$1001,889,F$2)&amp;""),""))</f>
        <v/>
      </c>
      <c r="G890">
        <f>IF(G$2=0,"",IFERROR(TRIM(INDEX('Pegar calibracion'!$A$1:$BZ$1001,889,G$2)&amp;""),""))</f>
        <v/>
      </c>
      <c r="H890">
        <f>IF(H$2=0,"",IFERROR(TRIM(INDEX('Pegar calibracion'!$A$1:$BZ$1001,889,H$2)&amp;""),""))</f>
        <v/>
      </c>
      <c r="I890">
        <f>IF(I$2=0,"",IFERROR(TRIM(INDEX('Pegar calibracion'!$A$1:$BZ$1001,889,I$2)&amp;""),""))</f>
        <v/>
      </c>
      <c r="J890">
        <f>IF(J$2=0,"",IFERROR(TRIM(INDEX('Pegar calibracion'!$A$1:$BZ$1001,889,J$2)&amp;""),""))</f>
        <v/>
      </c>
      <c r="K890">
        <f>IF(K$2=0,"",IFERROR(TRIM(INDEX('Pegar calibracion'!$A$1:$BZ$1001,889,K$2)&amp;""),""))</f>
        <v/>
      </c>
      <c r="L890">
        <f>IF(L$2=0,"",IFERROR(TRIM(INDEX('Pegar calibracion'!$A$1:$BZ$1001,889,L$2)&amp;""),""))</f>
        <v/>
      </c>
      <c r="M890" s="25">
        <f>IF(D890="","",SUBSTITUTE(SUBSTITUTE(SUBSTITUTE(SUBSTITUTE(SUBSTITUTE(SUBSTITUTE(SUBSTITUTE(SUBSTITUTE(SUBSTITUTE(SUBSTITUTE(SUBSTITUTE(SUBSTITUTE(LOWER(TRIM(D890)),"á","a"),"é","e"),"í","i"),"ó","o"),"ú","u"),"ü","u"),"ñ","n"),"à","a"),"è","e"),"ì","i"),"ò","o"),"ù","u"))</f>
        <v/>
      </c>
      <c r="N890" s="25">
        <f>IF(F890="","",SUBSTITUTE(SUBSTITUTE(SUBSTITUTE(SUBSTITUTE(SUBSTITUTE(SUBSTITUTE(SUBSTITUTE(SUBSTITUTE(SUBSTITUTE(SUBSTITUTE(SUBSTITUTE(SUBSTITUTE(LOWER(TRIM(F890)),"á","a"),"é","e"),"í","i"),"ó","o"),"ú","u"),"ü","u"),"ñ","n"),"à","a"),"è","e"),"ì","i"),"ò","o"),"ù","u"))</f>
        <v/>
      </c>
      <c r="O890" s="25">
        <f>IF(M890="confiable",2,IF(M890="dudosa",1,IF(M890="no confiable",0,"")))</f>
        <v/>
      </c>
      <c r="P890" s="25">
        <f>IF(N890="confiable",2,IF(N890="dudosa",1,IF(N890="no confiable",0,"")))</f>
        <v/>
      </c>
      <c r="Q890" s="25">
        <f>IF(AND(ISNUMBER(O890),ISNUMBER(P890)),1,"")</f>
        <v/>
      </c>
      <c r="R890" s="25">
        <f>IF(Q890=1,IF(O890=P890,"Sí","No"),"")</f>
        <v/>
      </c>
      <c r="S890" s="25">
        <f>IF(Q890=1,IF(P890&lt;O890,"Más estricto",IF(P890&gt;O890,"Más permisivo","Igual")),"")</f>
        <v/>
      </c>
      <c r="T890" s="25">
        <f>IF(Q890=1,IF(ABS(O890-P890)=2,1,0),"")</f>
        <v/>
      </c>
      <c r="U890" s="25">
        <f>IF(H890="","","|"&amp;SUBSTITUTE(SUBSTITUTE(TRIM(H890)," |","|"),"| ","|")&amp;"|")</f>
        <v/>
      </c>
      <c r="V890" s="25">
        <f>IF(AND(Q890=1,B890&lt;&gt;""),IF(IFERROR(COUNTIFS(B$3:B890,"="&amp;SUBSTITUTE(SUBSTITUTE(SUBSTITUTE(B890,"~","~~"),"*","~*"),"?","~?"),Q$3:Q890,1),0)=1,MAX(V$2:V889)+1,""),"")</f>
        <v/>
      </c>
      <c r="W890" s="25">
        <f>IF(V890="","",COUNTIFS($B$3:$B$1002,"="&amp;SUBSTITUTE(SUBSTITUTE(SUBSTITUTE(B890,"~","~~"),"*","~*"),"?","~?"),$Q$3:$Q$1002,1)*10000-V890)</f>
        <v/>
      </c>
      <c r="X890" s="25">
        <f>IF(Q890=1,IF(SUBSTITUTE(SUBSTITUTE(SUBSTITUTE(SUBSTITUTE(SUBSTITUTE(SUBSTITUTE(SUBSTITUTE(SUBSTITUTE(SUBSTITUTE(SUBSTITUTE(SUBSTITUTE(SUBSTITUTE(LOWER(TRIM(A890)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890)),"á","a"),"é","e"),"í","i"),"ó","o"),"ú","u"),"ü","u"),"ñ","n"),"à","a"),"è","e"),"ì","i"),"ò","o"),"ù","u")),"")</f>
        <v/>
      </c>
      <c r="Y890" s="25">
        <f>IF(X890="","",IF(IFERROR(COUNTIF(X$3:X890,"="&amp;SUBSTITUTE(SUBSTITUTE(SUBSTITUTE(X890,"~","~~"),"*","~*"),"?","~?")),0)=1,1,""))</f>
        <v/>
      </c>
      <c r="Z890" s="25">
        <f>IF(T890=1,MAX(Z$2:Z889)+1,"")</f>
        <v/>
      </c>
    </row>
    <row r="891">
      <c r="A891">
        <f>IF(A$2=0,"",IFERROR(TRIM(INDEX('Pegar calibracion'!$A$1:$BZ$1001,890,A$2)&amp;""),""))</f>
        <v/>
      </c>
      <c r="B891">
        <f>IF(B$2=0,"",IFERROR(TRIM(INDEX('Pegar calibracion'!$A$1:$BZ$1001,890,B$2)&amp;""),""))</f>
        <v/>
      </c>
      <c r="C891">
        <f>IF(C$2=0,"",IFERROR(TRIM(INDEX('Pegar calibracion'!$A$1:$BZ$1001,890,C$2)&amp;""),""))</f>
        <v/>
      </c>
      <c r="D891">
        <f>IF(D$2=0,"",IFERROR(TRIM(INDEX('Pegar calibracion'!$A$1:$BZ$1001,890,D$2)&amp;""),""))</f>
        <v/>
      </c>
      <c r="E891">
        <f>IF(E$2=0,"",IFERROR(TRIM(INDEX('Pegar calibracion'!$A$1:$BZ$1001,890,E$2)&amp;""),""))</f>
        <v/>
      </c>
      <c r="F891">
        <f>IF(F$2=0,"",IFERROR(TRIM(INDEX('Pegar calibracion'!$A$1:$BZ$1001,890,F$2)&amp;""),""))</f>
        <v/>
      </c>
      <c r="G891">
        <f>IF(G$2=0,"",IFERROR(TRIM(INDEX('Pegar calibracion'!$A$1:$BZ$1001,890,G$2)&amp;""),""))</f>
        <v/>
      </c>
      <c r="H891">
        <f>IF(H$2=0,"",IFERROR(TRIM(INDEX('Pegar calibracion'!$A$1:$BZ$1001,890,H$2)&amp;""),""))</f>
        <v/>
      </c>
      <c r="I891">
        <f>IF(I$2=0,"",IFERROR(TRIM(INDEX('Pegar calibracion'!$A$1:$BZ$1001,890,I$2)&amp;""),""))</f>
        <v/>
      </c>
      <c r="J891">
        <f>IF(J$2=0,"",IFERROR(TRIM(INDEX('Pegar calibracion'!$A$1:$BZ$1001,890,J$2)&amp;""),""))</f>
        <v/>
      </c>
      <c r="K891">
        <f>IF(K$2=0,"",IFERROR(TRIM(INDEX('Pegar calibracion'!$A$1:$BZ$1001,890,K$2)&amp;""),""))</f>
        <v/>
      </c>
      <c r="L891">
        <f>IF(L$2=0,"",IFERROR(TRIM(INDEX('Pegar calibracion'!$A$1:$BZ$1001,890,L$2)&amp;""),""))</f>
        <v/>
      </c>
      <c r="M891" s="25">
        <f>IF(D891="","",SUBSTITUTE(SUBSTITUTE(SUBSTITUTE(SUBSTITUTE(SUBSTITUTE(SUBSTITUTE(SUBSTITUTE(SUBSTITUTE(SUBSTITUTE(SUBSTITUTE(SUBSTITUTE(SUBSTITUTE(LOWER(TRIM(D891)),"á","a"),"é","e"),"í","i"),"ó","o"),"ú","u"),"ü","u"),"ñ","n"),"à","a"),"è","e"),"ì","i"),"ò","o"),"ù","u"))</f>
        <v/>
      </c>
      <c r="N891" s="25">
        <f>IF(F891="","",SUBSTITUTE(SUBSTITUTE(SUBSTITUTE(SUBSTITUTE(SUBSTITUTE(SUBSTITUTE(SUBSTITUTE(SUBSTITUTE(SUBSTITUTE(SUBSTITUTE(SUBSTITUTE(SUBSTITUTE(LOWER(TRIM(F891)),"á","a"),"é","e"),"í","i"),"ó","o"),"ú","u"),"ü","u"),"ñ","n"),"à","a"),"è","e"),"ì","i"),"ò","o"),"ù","u"))</f>
        <v/>
      </c>
      <c r="O891" s="25">
        <f>IF(M891="confiable",2,IF(M891="dudosa",1,IF(M891="no confiable",0,"")))</f>
        <v/>
      </c>
      <c r="P891" s="25">
        <f>IF(N891="confiable",2,IF(N891="dudosa",1,IF(N891="no confiable",0,"")))</f>
        <v/>
      </c>
      <c r="Q891" s="25">
        <f>IF(AND(ISNUMBER(O891),ISNUMBER(P891)),1,"")</f>
        <v/>
      </c>
      <c r="R891" s="25">
        <f>IF(Q891=1,IF(O891=P891,"Sí","No"),"")</f>
        <v/>
      </c>
      <c r="S891" s="25">
        <f>IF(Q891=1,IF(P891&lt;O891,"Más estricto",IF(P891&gt;O891,"Más permisivo","Igual")),"")</f>
        <v/>
      </c>
      <c r="T891" s="25">
        <f>IF(Q891=1,IF(ABS(O891-P891)=2,1,0),"")</f>
        <v/>
      </c>
      <c r="U891" s="25">
        <f>IF(H891="","","|"&amp;SUBSTITUTE(SUBSTITUTE(TRIM(H891)," |","|"),"| ","|")&amp;"|")</f>
        <v/>
      </c>
      <c r="V891" s="25">
        <f>IF(AND(Q891=1,B891&lt;&gt;""),IF(IFERROR(COUNTIFS(B$3:B891,"="&amp;SUBSTITUTE(SUBSTITUTE(SUBSTITUTE(B891,"~","~~"),"*","~*"),"?","~?"),Q$3:Q891,1),0)=1,MAX(V$2:V890)+1,""),"")</f>
        <v/>
      </c>
      <c r="W891" s="25">
        <f>IF(V891="","",COUNTIFS($B$3:$B$1002,"="&amp;SUBSTITUTE(SUBSTITUTE(SUBSTITUTE(B891,"~","~~"),"*","~*"),"?","~?"),$Q$3:$Q$1002,1)*10000-V891)</f>
        <v/>
      </c>
      <c r="X891" s="25">
        <f>IF(Q891=1,IF(SUBSTITUTE(SUBSTITUTE(SUBSTITUTE(SUBSTITUTE(SUBSTITUTE(SUBSTITUTE(SUBSTITUTE(SUBSTITUTE(SUBSTITUTE(SUBSTITUTE(SUBSTITUTE(SUBSTITUTE(LOWER(TRIM(A891)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891)),"á","a"),"é","e"),"í","i"),"ó","o"),"ú","u"),"ü","u"),"ñ","n"),"à","a"),"è","e"),"ì","i"),"ò","o"),"ù","u")),"")</f>
        <v/>
      </c>
      <c r="Y891" s="25">
        <f>IF(X891="","",IF(IFERROR(COUNTIF(X$3:X891,"="&amp;SUBSTITUTE(SUBSTITUTE(SUBSTITUTE(X891,"~","~~"),"*","~*"),"?","~?")),0)=1,1,""))</f>
        <v/>
      </c>
      <c r="Z891" s="25">
        <f>IF(T891=1,MAX(Z$2:Z890)+1,"")</f>
        <v/>
      </c>
    </row>
    <row r="892">
      <c r="A892">
        <f>IF(A$2=0,"",IFERROR(TRIM(INDEX('Pegar calibracion'!$A$1:$BZ$1001,891,A$2)&amp;""),""))</f>
        <v/>
      </c>
      <c r="B892">
        <f>IF(B$2=0,"",IFERROR(TRIM(INDEX('Pegar calibracion'!$A$1:$BZ$1001,891,B$2)&amp;""),""))</f>
        <v/>
      </c>
      <c r="C892">
        <f>IF(C$2=0,"",IFERROR(TRIM(INDEX('Pegar calibracion'!$A$1:$BZ$1001,891,C$2)&amp;""),""))</f>
        <v/>
      </c>
      <c r="D892">
        <f>IF(D$2=0,"",IFERROR(TRIM(INDEX('Pegar calibracion'!$A$1:$BZ$1001,891,D$2)&amp;""),""))</f>
        <v/>
      </c>
      <c r="E892">
        <f>IF(E$2=0,"",IFERROR(TRIM(INDEX('Pegar calibracion'!$A$1:$BZ$1001,891,E$2)&amp;""),""))</f>
        <v/>
      </c>
      <c r="F892">
        <f>IF(F$2=0,"",IFERROR(TRIM(INDEX('Pegar calibracion'!$A$1:$BZ$1001,891,F$2)&amp;""),""))</f>
        <v/>
      </c>
      <c r="G892">
        <f>IF(G$2=0,"",IFERROR(TRIM(INDEX('Pegar calibracion'!$A$1:$BZ$1001,891,G$2)&amp;""),""))</f>
        <v/>
      </c>
      <c r="H892">
        <f>IF(H$2=0,"",IFERROR(TRIM(INDEX('Pegar calibracion'!$A$1:$BZ$1001,891,H$2)&amp;""),""))</f>
        <v/>
      </c>
      <c r="I892">
        <f>IF(I$2=0,"",IFERROR(TRIM(INDEX('Pegar calibracion'!$A$1:$BZ$1001,891,I$2)&amp;""),""))</f>
        <v/>
      </c>
      <c r="J892">
        <f>IF(J$2=0,"",IFERROR(TRIM(INDEX('Pegar calibracion'!$A$1:$BZ$1001,891,J$2)&amp;""),""))</f>
        <v/>
      </c>
      <c r="K892">
        <f>IF(K$2=0,"",IFERROR(TRIM(INDEX('Pegar calibracion'!$A$1:$BZ$1001,891,K$2)&amp;""),""))</f>
        <v/>
      </c>
      <c r="L892">
        <f>IF(L$2=0,"",IFERROR(TRIM(INDEX('Pegar calibracion'!$A$1:$BZ$1001,891,L$2)&amp;""),""))</f>
        <v/>
      </c>
      <c r="M892" s="25">
        <f>IF(D892="","",SUBSTITUTE(SUBSTITUTE(SUBSTITUTE(SUBSTITUTE(SUBSTITUTE(SUBSTITUTE(SUBSTITUTE(SUBSTITUTE(SUBSTITUTE(SUBSTITUTE(SUBSTITUTE(SUBSTITUTE(LOWER(TRIM(D892)),"á","a"),"é","e"),"í","i"),"ó","o"),"ú","u"),"ü","u"),"ñ","n"),"à","a"),"è","e"),"ì","i"),"ò","o"),"ù","u"))</f>
        <v/>
      </c>
      <c r="N892" s="25">
        <f>IF(F892="","",SUBSTITUTE(SUBSTITUTE(SUBSTITUTE(SUBSTITUTE(SUBSTITUTE(SUBSTITUTE(SUBSTITUTE(SUBSTITUTE(SUBSTITUTE(SUBSTITUTE(SUBSTITUTE(SUBSTITUTE(LOWER(TRIM(F892)),"á","a"),"é","e"),"í","i"),"ó","o"),"ú","u"),"ü","u"),"ñ","n"),"à","a"),"è","e"),"ì","i"),"ò","o"),"ù","u"))</f>
        <v/>
      </c>
      <c r="O892" s="25">
        <f>IF(M892="confiable",2,IF(M892="dudosa",1,IF(M892="no confiable",0,"")))</f>
        <v/>
      </c>
      <c r="P892" s="25">
        <f>IF(N892="confiable",2,IF(N892="dudosa",1,IF(N892="no confiable",0,"")))</f>
        <v/>
      </c>
      <c r="Q892" s="25">
        <f>IF(AND(ISNUMBER(O892),ISNUMBER(P892)),1,"")</f>
        <v/>
      </c>
      <c r="R892" s="25">
        <f>IF(Q892=1,IF(O892=P892,"Sí","No"),"")</f>
        <v/>
      </c>
      <c r="S892" s="25">
        <f>IF(Q892=1,IF(P892&lt;O892,"Más estricto",IF(P892&gt;O892,"Más permisivo","Igual")),"")</f>
        <v/>
      </c>
      <c r="T892" s="25">
        <f>IF(Q892=1,IF(ABS(O892-P892)=2,1,0),"")</f>
        <v/>
      </c>
      <c r="U892" s="25">
        <f>IF(H892="","","|"&amp;SUBSTITUTE(SUBSTITUTE(TRIM(H892)," |","|"),"| ","|")&amp;"|")</f>
        <v/>
      </c>
      <c r="V892" s="25">
        <f>IF(AND(Q892=1,B892&lt;&gt;""),IF(IFERROR(COUNTIFS(B$3:B892,"="&amp;SUBSTITUTE(SUBSTITUTE(SUBSTITUTE(B892,"~","~~"),"*","~*"),"?","~?"),Q$3:Q892,1),0)=1,MAX(V$2:V891)+1,""),"")</f>
        <v/>
      </c>
      <c r="W892" s="25">
        <f>IF(V892="","",COUNTIFS($B$3:$B$1002,"="&amp;SUBSTITUTE(SUBSTITUTE(SUBSTITUTE(B892,"~","~~"),"*","~*"),"?","~?"),$Q$3:$Q$1002,1)*10000-V892)</f>
        <v/>
      </c>
      <c r="X892" s="25">
        <f>IF(Q892=1,IF(SUBSTITUTE(SUBSTITUTE(SUBSTITUTE(SUBSTITUTE(SUBSTITUTE(SUBSTITUTE(SUBSTITUTE(SUBSTITUTE(SUBSTITUTE(SUBSTITUTE(SUBSTITUTE(SUBSTITUTE(LOWER(TRIM(A892)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892)),"á","a"),"é","e"),"í","i"),"ó","o"),"ú","u"),"ü","u"),"ñ","n"),"à","a"),"è","e"),"ì","i"),"ò","o"),"ù","u")),"")</f>
        <v/>
      </c>
      <c r="Y892" s="25">
        <f>IF(X892="","",IF(IFERROR(COUNTIF(X$3:X892,"="&amp;SUBSTITUTE(SUBSTITUTE(SUBSTITUTE(X892,"~","~~"),"*","~*"),"?","~?")),0)=1,1,""))</f>
        <v/>
      </c>
      <c r="Z892" s="25">
        <f>IF(T892=1,MAX(Z$2:Z891)+1,"")</f>
        <v/>
      </c>
    </row>
    <row r="893">
      <c r="A893">
        <f>IF(A$2=0,"",IFERROR(TRIM(INDEX('Pegar calibracion'!$A$1:$BZ$1001,892,A$2)&amp;""),""))</f>
        <v/>
      </c>
      <c r="B893">
        <f>IF(B$2=0,"",IFERROR(TRIM(INDEX('Pegar calibracion'!$A$1:$BZ$1001,892,B$2)&amp;""),""))</f>
        <v/>
      </c>
      <c r="C893">
        <f>IF(C$2=0,"",IFERROR(TRIM(INDEX('Pegar calibracion'!$A$1:$BZ$1001,892,C$2)&amp;""),""))</f>
        <v/>
      </c>
      <c r="D893">
        <f>IF(D$2=0,"",IFERROR(TRIM(INDEX('Pegar calibracion'!$A$1:$BZ$1001,892,D$2)&amp;""),""))</f>
        <v/>
      </c>
      <c r="E893">
        <f>IF(E$2=0,"",IFERROR(TRIM(INDEX('Pegar calibracion'!$A$1:$BZ$1001,892,E$2)&amp;""),""))</f>
        <v/>
      </c>
      <c r="F893">
        <f>IF(F$2=0,"",IFERROR(TRIM(INDEX('Pegar calibracion'!$A$1:$BZ$1001,892,F$2)&amp;""),""))</f>
        <v/>
      </c>
      <c r="G893">
        <f>IF(G$2=0,"",IFERROR(TRIM(INDEX('Pegar calibracion'!$A$1:$BZ$1001,892,G$2)&amp;""),""))</f>
        <v/>
      </c>
      <c r="H893">
        <f>IF(H$2=0,"",IFERROR(TRIM(INDEX('Pegar calibracion'!$A$1:$BZ$1001,892,H$2)&amp;""),""))</f>
        <v/>
      </c>
      <c r="I893">
        <f>IF(I$2=0,"",IFERROR(TRIM(INDEX('Pegar calibracion'!$A$1:$BZ$1001,892,I$2)&amp;""),""))</f>
        <v/>
      </c>
      <c r="J893">
        <f>IF(J$2=0,"",IFERROR(TRIM(INDEX('Pegar calibracion'!$A$1:$BZ$1001,892,J$2)&amp;""),""))</f>
        <v/>
      </c>
      <c r="K893">
        <f>IF(K$2=0,"",IFERROR(TRIM(INDEX('Pegar calibracion'!$A$1:$BZ$1001,892,K$2)&amp;""),""))</f>
        <v/>
      </c>
      <c r="L893">
        <f>IF(L$2=0,"",IFERROR(TRIM(INDEX('Pegar calibracion'!$A$1:$BZ$1001,892,L$2)&amp;""),""))</f>
        <v/>
      </c>
      <c r="M893" s="25">
        <f>IF(D893="","",SUBSTITUTE(SUBSTITUTE(SUBSTITUTE(SUBSTITUTE(SUBSTITUTE(SUBSTITUTE(SUBSTITUTE(SUBSTITUTE(SUBSTITUTE(SUBSTITUTE(SUBSTITUTE(SUBSTITUTE(LOWER(TRIM(D893)),"á","a"),"é","e"),"í","i"),"ó","o"),"ú","u"),"ü","u"),"ñ","n"),"à","a"),"è","e"),"ì","i"),"ò","o"),"ù","u"))</f>
        <v/>
      </c>
      <c r="N893" s="25">
        <f>IF(F893="","",SUBSTITUTE(SUBSTITUTE(SUBSTITUTE(SUBSTITUTE(SUBSTITUTE(SUBSTITUTE(SUBSTITUTE(SUBSTITUTE(SUBSTITUTE(SUBSTITUTE(SUBSTITUTE(SUBSTITUTE(LOWER(TRIM(F893)),"á","a"),"é","e"),"í","i"),"ó","o"),"ú","u"),"ü","u"),"ñ","n"),"à","a"),"è","e"),"ì","i"),"ò","o"),"ù","u"))</f>
        <v/>
      </c>
      <c r="O893" s="25">
        <f>IF(M893="confiable",2,IF(M893="dudosa",1,IF(M893="no confiable",0,"")))</f>
        <v/>
      </c>
      <c r="P893" s="25">
        <f>IF(N893="confiable",2,IF(N893="dudosa",1,IF(N893="no confiable",0,"")))</f>
        <v/>
      </c>
      <c r="Q893" s="25">
        <f>IF(AND(ISNUMBER(O893),ISNUMBER(P893)),1,"")</f>
        <v/>
      </c>
      <c r="R893" s="25">
        <f>IF(Q893=1,IF(O893=P893,"Sí","No"),"")</f>
        <v/>
      </c>
      <c r="S893" s="25">
        <f>IF(Q893=1,IF(P893&lt;O893,"Más estricto",IF(P893&gt;O893,"Más permisivo","Igual")),"")</f>
        <v/>
      </c>
      <c r="T893" s="25">
        <f>IF(Q893=1,IF(ABS(O893-P893)=2,1,0),"")</f>
        <v/>
      </c>
      <c r="U893" s="25">
        <f>IF(H893="","","|"&amp;SUBSTITUTE(SUBSTITUTE(TRIM(H893)," |","|"),"| ","|")&amp;"|")</f>
        <v/>
      </c>
      <c r="V893" s="25">
        <f>IF(AND(Q893=1,B893&lt;&gt;""),IF(IFERROR(COUNTIFS(B$3:B893,"="&amp;SUBSTITUTE(SUBSTITUTE(SUBSTITUTE(B893,"~","~~"),"*","~*"),"?","~?"),Q$3:Q893,1),0)=1,MAX(V$2:V892)+1,""),"")</f>
        <v/>
      </c>
      <c r="W893" s="25">
        <f>IF(V893="","",COUNTIFS($B$3:$B$1002,"="&amp;SUBSTITUTE(SUBSTITUTE(SUBSTITUTE(B893,"~","~~"),"*","~*"),"?","~?"),$Q$3:$Q$1002,1)*10000-V893)</f>
        <v/>
      </c>
      <c r="X893" s="25">
        <f>IF(Q893=1,IF(SUBSTITUTE(SUBSTITUTE(SUBSTITUTE(SUBSTITUTE(SUBSTITUTE(SUBSTITUTE(SUBSTITUTE(SUBSTITUTE(SUBSTITUTE(SUBSTITUTE(SUBSTITUTE(SUBSTITUTE(LOWER(TRIM(A893)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893)),"á","a"),"é","e"),"í","i"),"ó","o"),"ú","u"),"ü","u"),"ñ","n"),"à","a"),"è","e"),"ì","i"),"ò","o"),"ù","u")),"")</f>
        <v/>
      </c>
      <c r="Y893" s="25">
        <f>IF(X893="","",IF(IFERROR(COUNTIF(X$3:X893,"="&amp;SUBSTITUTE(SUBSTITUTE(SUBSTITUTE(X893,"~","~~"),"*","~*"),"?","~?")),0)=1,1,""))</f>
        <v/>
      </c>
      <c r="Z893" s="25">
        <f>IF(T893=1,MAX(Z$2:Z892)+1,"")</f>
        <v/>
      </c>
    </row>
    <row r="894">
      <c r="A894">
        <f>IF(A$2=0,"",IFERROR(TRIM(INDEX('Pegar calibracion'!$A$1:$BZ$1001,893,A$2)&amp;""),""))</f>
        <v/>
      </c>
      <c r="B894">
        <f>IF(B$2=0,"",IFERROR(TRIM(INDEX('Pegar calibracion'!$A$1:$BZ$1001,893,B$2)&amp;""),""))</f>
        <v/>
      </c>
      <c r="C894">
        <f>IF(C$2=0,"",IFERROR(TRIM(INDEX('Pegar calibracion'!$A$1:$BZ$1001,893,C$2)&amp;""),""))</f>
        <v/>
      </c>
      <c r="D894">
        <f>IF(D$2=0,"",IFERROR(TRIM(INDEX('Pegar calibracion'!$A$1:$BZ$1001,893,D$2)&amp;""),""))</f>
        <v/>
      </c>
      <c r="E894">
        <f>IF(E$2=0,"",IFERROR(TRIM(INDEX('Pegar calibracion'!$A$1:$BZ$1001,893,E$2)&amp;""),""))</f>
        <v/>
      </c>
      <c r="F894">
        <f>IF(F$2=0,"",IFERROR(TRIM(INDEX('Pegar calibracion'!$A$1:$BZ$1001,893,F$2)&amp;""),""))</f>
        <v/>
      </c>
      <c r="G894">
        <f>IF(G$2=0,"",IFERROR(TRIM(INDEX('Pegar calibracion'!$A$1:$BZ$1001,893,G$2)&amp;""),""))</f>
        <v/>
      </c>
      <c r="H894">
        <f>IF(H$2=0,"",IFERROR(TRIM(INDEX('Pegar calibracion'!$A$1:$BZ$1001,893,H$2)&amp;""),""))</f>
        <v/>
      </c>
      <c r="I894">
        <f>IF(I$2=0,"",IFERROR(TRIM(INDEX('Pegar calibracion'!$A$1:$BZ$1001,893,I$2)&amp;""),""))</f>
        <v/>
      </c>
      <c r="J894">
        <f>IF(J$2=0,"",IFERROR(TRIM(INDEX('Pegar calibracion'!$A$1:$BZ$1001,893,J$2)&amp;""),""))</f>
        <v/>
      </c>
      <c r="K894">
        <f>IF(K$2=0,"",IFERROR(TRIM(INDEX('Pegar calibracion'!$A$1:$BZ$1001,893,K$2)&amp;""),""))</f>
        <v/>
      </c>
      <c r="L894">
        <f>IF(L$2=0,"",IFERROR(TRIM(INDEX('Pegar calibracion'!$A$1:$BZ$1001,893,L$2)&amp;""),""))</f>
        <v/>
      </c>
      <c r="M894" s="25">
        <f>IF(D894="","",SUBSTITUTE(SUBSTITUTE(SUBSTITUTE(SUBSTITUTE(SUBSTITUTE(SUBSTITUTE(SUBSTITUTE(SUBSTITUTE(SUBSTITUTE(SUBSTITUTE(SUBSTITUTE(SUBSTITUTE(LOWER(TRIM(D894)),"á","a"),"é","e"),"í","i"),"ó","o"),"ú","u"),"ü","u"),"ñ","n"),"à","a"),"è","e"),"ì","i"),"ò","o"),"ù","u"))</f>
        <v/>
      </c>
      <c r="N894" s="25">
        <f>IF(F894="","",SUBSTITUTE(SUBSTITUTE(SUBSTITUTE(SUBSTITUTE(SUBSTITUTE(SUBSTITUTE(SUBSTITUTE(SUBSTITUTE(SUBSTITUTE(SUBSTITUTE(SUBSTITUTE(SUBSTITUTE(LOWER(TRIM(F894)),"á","a"),"é","e"),"í","i"),"ó","o"),"ú","u"),"ü","u"),"ñ","n"),"à","a"),"è","e"),"ì","i"),"ò","o"),"ù","u"))</f>
        <v/>
      </c>
      <c r="O894" s="25">
        <f>IF(M894="confiable",2,IF(M894="dudosa",1,IF(M894="no confiable",0,"")))</f>
        <v/>
      </c>
      <c r="P894" s="25">
        <f>IF(N894="confiable",2,IF(N894="dudosa",1,IF(N894="no confiable",0,"")))</f>
        <v/>
      </c>
      <c r="Q894" s="25">
        <f>IF(AND(ISNUMBER(O894),ISNUMBER(P894)),1,"")</f>
        <v/>
      </c>
      <c r="R894" s="25">
        <f>IF(Q894=1,IF(O894=P894,"Sí","No"),"")</f>
        <v/>
      </c>
      <c r="S894" s="25">
        <f>IF(Q894=1,IF(P894&lt;O894,"Más estricto",IF(P894&gt;O894,"Más permisivo","Igual")),"")</f>
        <v/>
      </c>
      <c r="T894" s="25">
        <f>IF(Q894=1,IF(ABS(O894-P894)=2,1,0),"")</f>
        <v/>
      </c>
      <c r="U894" s="25">
        <f>IF(H894="","","|"&amp;SUBSTITUTE(SUBSTITUTE(TRIM(H894)," |","|"),"| ","|")&amp;"|")</f>
        <v/>
      </c>
      <c r="V894" s="25">
        <f>IF(AND(Q894=1,B894&lt;&gt;""),IF(IFERROR(COUNTIFS(B$3:B894,"="&amp;SUBSTITUTE(SUBSTITUTE(SUBSTITUTE(B894,"~","~~"),"*","~*"),"?","~?"),Q$3:Q894,1),0)=1,MAX(V$2:V893)+1,""),"")</f>
        <v/>
      </c>
      <c r="W894" s="25">
        <f>IF(V894="","",COUNTIFS($B$3:$B$1002,"="&amp;SUBSTITUTE(SUBSTITUTE(SUBSTITUTE(B894,"~","~~"),"*","~*"),"?","~?"),$Q$3:$Q$1002,1)*10000-V894)</f>
        <v/>
      </c>
      <c r="X894" s="25">
        <f>IF(Q894=1,IF(SUBSTITUTE(SUBSTITUTE(SUBSTITUTE(SUBSTITUTE(SUBSTITUTE(SUBSTITUTE(SUBSTITUTE(SUBSTITUTE(SUBSTITUTE(SUBSTITUTE(SUBSTITUTE(SUBSTITUTE(LOWER(TRIM(A894)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894)),"á","a"),"é","e"),"í","i"),"ó","o"),"ú","u"),"ü","u"),"ñ","n"),"à","a"),"è","e"),"ì","i"),"ò","o"),"ù","u")),"")</f>
        <v/>
      </c>
      <c r="Y894" s="25">
        <f>IF(X894="","",IF(IFERROR(COUNTIF(X$3:X894,"="&amp;SUBSTITUTE(SUBSTITUTE(SUBSTITUTE(X894,"~","~~"),"*","~*"),"?","~?")),0)=1,1,""))</f>
        <v/>
      </c>
      <c r="Z894" s="25">
        <f>IF(T894=1,MAX(Z$2:Z893)+1,"")</f>
        <v/>
      </c>
    </row>
    <row r="895">
      <c r="A895">
        <f>IF(A$2=0,"",IFERROR(TRIM(INDEX('Pegar calibracion'!$A$1:$BZ$1001,894,A$2)&amp;""),""))</f>
        <v/>
      </c>
      <c r="B895">
        <f>IF(B$2=0,"",IFERROR(TRIM(INDEX('Pegar calibracion'!$A$1:$BZ$1001,894,B$2)&amp;""),""))</f>
        <v/>
      </c>
      <c r="C895">
        <f>IF(C$2=0,"",IFERROR(TRIM(INDEX('Pegar calibracion'!$A$1:$BZ$1001,894,C$2)&amp;""),""))</f>
        <v/>
      </c>
      <c r="D895">
        <f>IF(D$2=0,"",IFERROR(TRIM(INDEX('Pegar calibracion'!$A$1:$BZ$1001,894,D$2)&amp;""),""))</f>
        <v/>
      </c>
      <c r="E895">
        <f>IF(E$2=0,"",IFERROR(TRIM(INDEX('Pegar calibracion'!$A$1:$BZ$1001,894,E$2)&amp;""),""))</f>
        <v/>
      </c>
      <c r="F895">
        <f>IF(F$2=0,"",IFERROR(TRIM(INDEX('Pegar calibracion'!$A$1:$BZ$1001,894,F$2)&amp;""),""))</f>
        <v/>
      </c>
      <c r="G895">
        <f>IF(G$2=0,"",IFERROR(TRIM(INDEX('Pegar calibracion'!$A$1:$BZ$1001,894,G$2)&amp;""),""))</f>
        <v/>
      </c>
      <c r="H895">
        <f>IF(H$2=0,"",IFERROR(TRIM(INDEX('Pegar calibracion'!$A$1:$BZ$1001,894,H$2)&amp;""),""))</f>
        <v/>
      </c>
      <c r="I895">
        <f>IF(I$2=0,"",IFERROR(TRIM(INDEX('Pegar calibracion'!$A$1:$BZ$1001,894,I$2)&amp;""),""))</f>
        <v/>
      </c>
      <c r="J895">
        <f>IF(J$2=0,"",IFERROR(TRIM(INDEX('Pegar calibracion'!$A$1:$BZ$1001,894,J$2)&amp;""),""))</f>
        <v/>
      </c>
      <c r="K895">
        <f>IF(K$2=0,"",IFERROR(TRIM(INDEX('Pegar calibracion'!$A$1:$BZ$1001,894,K$2)&amp;""),""))</f>
        <v/>
      </c>
      <c r="L895">
        <f>IF(L$2=0,"",IFERROR(TRIM(INDEX('Pegar calibracion'!$A$1:$BZ$1001,894,L$2)&amp;""),""))</f>
        <v/>
      </c>
      <c r="M895" s="25">
        <f>IF(D895="","",SUBSTITUTE(SUBSTITUTE(SUBSTITUTE(SUBSTITUTE(SUBSTITUTE(SUBSTITUTE(SUBSTITUTE(SUBSTITUTE(SUBSTITUTE(SUBSTITUTE(SUBSTITUTE(SUBSTITUTE(LOWER(TRIM(D895)),"á","a"),"é","e"),"í","i"),"ó","o"),"ú","u"),"ü","u"),"ñ","n"),"à","a"),"è","e"),"ì","i"),"ò","o"),"ù","u"))</f>
        <v/>
      </c>
      <c r="N895" s="25">
        <f>IF(F895="","",SUBSTITUTE(SUBSTITUTE(SUBSTITUTE(SUBSTITUTE(SUBSTITUTE(SUBSTITUTE(SUBSTITUTE(SUBSTITUTE(SUBSTITUTE(SUBSTITUTE(SUBSTITUTE(SUBSTITUTE(LOWER(TRIM(F895)),"á","a"),"é","e"),"í","i"),"ó","o"),"ú","u"),"ü","u"),"ñ","n"),"à","a"),"è","e"),"ì","i"),"ò","o"),"ù","u"))</f>
        <v/>
      </c>
      <c r="O895" s="25">
        <f>IF(M895="confiable",2,IF(M895="dudosa",1,IF(M895="no confiable",0,"")))</f>
        <v/>
      </c>
      <c r="P895" s="25">
        <f>IF(N895="confiable",2,IF(N895="dudosa",1,IF(N895="no confiable",0,"")))</f>
        <v/>
      </c>
      <c r="Q895" s="25">
        <f>IF(AND(ISNUMBER(O895),ISNUMBER(P895)),1,"")</f>
        <v/>
      </c>
      <c r="R895" s="25">
        <f>IF(Q895=1,IF(O895=P895,"Sí","No"),"")</f>
        <v/>
      </c>
      <c r="S895" s="25">
        <f>IF(Q895=1,IF(P895&lt;O895,"Más estricto",IF(P895&gt;O895,"Más permisivo","Igual")),"")</f>
        <v/>
      </c>
      <c r="T895" s="25">
        <f>IF(Q895=1,IF(ABS(O895-P895)=2,1,0),"")</f>
        <v/>
      </c>
      <c r="U895" s="25">
        <f>IF(H895="","","|"&amp;SUBSTITUTE(SUBSTITUTE(TRIM(H895)," |","|"),"| ","|")&amp;"|")</f>
        <v/>
      </c>
      <c r="V895" s="25">
        <f>IF(AND(Q895=1,B895&lt;&gt;""),IF(IFERROR(COUNTIFS(B$3:B895,"="&amp;SUBSTITUTE(SUBSTITUTE(SUBSTITUTE(B895,"~","~~"),"*","~*"),"?","~?"),Q$3:Q895,1),0)=1,MAX(V$2:V894)+1,""),"")</f>
        <v/>
      </c>
      <c r="W895" s="25">
        <f>IF(V895="","",COUNTIFS($B$3:$B$1002,"="&amp;SUBSTITUTE(SUBSTITUTE(SUBSTITUTE(B895,"~","~~"),"*","~*"),"?","~?"),$Q$3:$Q$1002,1)*10000-V895)</f>
        <v/>
      </c>
      <c r="X895" s="25">
        <f>IF(Q895=1,IF(SUBSTITUTE(SUBSTITUTE(SUBSTITUTE(SUBSTITUTE(SUBSTITUTE(SUBSTITUTE(SUBSTITUTE(SUBSTITUTE(SUBSTITUTE(SUBSTITUTE(SUBSTITUTE(SUBSTITUTE(LOWER(TRIM(A895)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895)),"á","a"),"é","e"),"í","i"),"ó","o"),"ú","u"),"ü","u"),"ñ","n"),"à","a"),"è","e"),"ì","i"),"ò","o"),"ù","u")),"")</f>
        <v/>
      </c>
      <c r="Y895" s="25">
        <f>IF(X895="","",IF(IFERROR(COUNTIF(X$3:X895,"="&amp;SUBSTITUTE(SUBSTITUTE(SUBSTITUTE(X895,"~","~~"),"*","~*"),"?","~?")),0)=1,1,""))</f>
        <v/>
      </c>
      <c r="Z895" s="25">
        <f>IF(T895=1,MAX(Z$2:Z894)+1,"")</f>
        <v/>
      </c>
    </row>
    <row r="896">
      <c r="A896">
        <f>IF(A$2=0,"",IFERROR(TRIM(INDEX('Pegar calibracion'!$A$1:$BZ$1001,895,A$2)&amp;""),""))</f>
        <v/>
      </c>
      <c r="B896">
        <f>IF(B$2=0,"",IFERROR(TRIM(INDEX('Pegar calibracion'!$A$1:$BZ$1001,895,B$2)&amp;""),""))</f>
        <v/>
      </c>
      <c r="C896">
        <f>IF(C$2=0,"",IFERROR(TRIM(INDEX('Pegar calibracion'!$A$1:$BZ$1001,895,C$2)&amp;""),""))</f>
        <v/>
      </c>
      <c r="D896">
        <f>IF(D$2=0,"",IFERROR(TRIM(INDEX('Pegar calibracion'!$A$1:$BZ$1001,895,D$2)&amp;""),""))</f>
        <v/>
      </c>
      <c r="E896">
        <f>IF(E$2=0,"",IFERROR(TRIM(INDEX('Pegar calibracion'!$A$1:$BZ$1001,895,E$2)&amp;""),""))</f>
        <v/>
      </c>
      <c r="F896">
        <f>IF(F$2=0,"",IFERROR(TRIM(INDEX('Pegar calibracion'!$A$1:$BZ$1001,895,F$2)&amp;""),""))</f>
        <v/>
      </c>
      <c r="G896">
        <f>IF(G$2=0,"",IFERROR(TRIM(INDEX('Pegar calibracion'!$A$1:$BZ$1001,895,G$2)&amp;""),""))</f>
        <v/>
      </c>
      <c r="H896">
        <f>IF(H$2=0,"",IFERROR(TRIM(INDEX('Pegar calibracion'!$A$1:$BZ$1001,895,H$2)&amp;""),""))</f>
        <v/>
      </c>
      <c r="I896">
        <f>IF(I$2=0,"",IFERROR(TRIM(INDEX('Pegar calibracion'!$A$1:$BZ$1001,895,I$2)&amp;""),""))</f>
        <v/>
      </c>
      <c r="J896">
        <f>IF(J$2=0,"",IFERROR(TRIM(INDEX('Pegar calibracion'!$A$1:$BZ$1001,895,J$2)&amp;""),""))</f>
        <v/>
      </c>
      <c r="K896">
        <f>IF(K$2=0,"",IFERROR(TRIM(INDEX('Pegar calibracion'!$A$1:$BZ$1001,895,K$2)&amp;""),""))</f>
        <v/>
      </c>
      <c r="L896">
        <f>IF(L$2=0,"",IFERROR(TRIM(INDEX('Pegar calibracion'!$A$1:$BZ$1001,895,L$2)&amp;""),""))</f>
        <v/>
      </c>
      <c r="M896" s="25">
        <f>IF(D896="","",SUBSTITUTE(SUBSTITUTE(SUBSTITUTE(SUBSTITUTE(SUBSTITUTE(SUBSTITUTE(SUBSTITUTE(SUBSTITUTE(SUBSTITUTE(SUBSTITUTE(SUBSTITUTE(SUBSTITUTE(LOWER(TRIM(D896)),"á","a"),"é","e"),"í","i"),"ó","o"),"ú","u"),"ü","u"),"ñ","n"),"à","a"),"è","e"),"ì","i"),"ò","o"),"ù","u"))</f>
        <v/>
      </c>
      <c r="N896" s="25">
        <f>IF(F896="","",SUBSTITUTE(SUBSTITUTE(SUBSTITUTE(SUBSTITUTE(SUBSTITUTE(SUBSTITUTE(SUBSTITUTE(SUBSTITUTE(SUBSTITUTE(SUBSTITUTE(SUBSTITUTE(SUBSTITUTE(LOWER(TRIM(F896)),"á","a"),"é","e"),"í","i"),"ó","o"),"ú","u"),"ü","u"),"ñ","n"),"à","a"),"è","e"),"ì","i"),"ò","o"),"ù","u"))</f>
        <v/>
      </c>
      <c r="O896" s="25">
        <f>IF(M896="confiable",2,IF(M896="dudosa",1,IF(M896="no confiable",0,"")))</f>
        <v/>
      </c>
      <c r="P896" s="25">
        <f>IF(N896="confiable",2,IF(N896="dudosa",1,IF(N896="no confiable",0,"")))</f>
        <v/>
      </c>
      <c r="Q896" s="25">
        <f>IF(AND(ISNUMBER(O896),ISNUMBER(P896)),1,"")</f>
        <v/>
      </c>
      <c r="R896" s="25">
        <f>IF(Q896=1,IF(O896=P896,"Sí","No"),"")</f>
        <v/>
      </c>
      <c r="S896" s="25">
        <f>IF(Q896=1,IF(P896&lt;O896,"Más estricto",IF(P896&gt;O896,"Más permisivo","Igual")),"")</f>
        <v/>
      </c>
      <c r="T896" s="25">
        <f>IF(Q896=1,IF(ABS(O896-P896)=2,1,0),"")</f>
        <v/>
      </c>
      <c r="U896" s="25">
        <f>IF(H896="","","|"&amp;SUBSTITUTE(SUBSTITUTE(TRIM(H896)," |","|"),"| ","|")&amp;"|")</f>
        <v/>
      </c>
      <c r="V896" s="25">
        <f>IF(AND(Q896=1,B896&lt;&gt;""),IF(IFERROR(COUNTIFS(B$3:B896,"="&amp;SUBSTITUTE(SUBSTITUTE(SUBSTITUTE(B896,"~","~~"),"*","~*"),"?","~?"),Q$3:Q896,1),0)=1,MAX(V$2:V895)+1,""),"")</f>
        <v/>
      </c>
      <c r="W896" s="25">
        <f>IF(V896="","",COUNTIFS($B$3:$B$1002,"="&amp;SUBSTITUTE(SUBSTITUTE(SUBSTITUTE(B896,"~","~~"),"*","~*"),"?","~?"),$Q$3:$Q$1002,1)*10000-V896)</f>
        <v/>
      </c>
      <c r="X896" s="25">
        <f>IF(Q896=1,IF(SUBSTITUTE(SUBSTITUTE(SUBSTITUTE(SUBSTITUTE(SUBSTITUTE(SUBSTITUTE(SUBSTITUTE(SUBSTITUTE(SUBSTITUTE(SUBSTITUTE(SUBSTITUTE(SUBSTITUTE(LOWER(TRIM(A896)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896)),"á","a"),"é","e"),"í","i"),"ó","o"),"ú","u"),"ü","u"),"ñ","n"),"à","a"),"è","e"),"ì","i"),"ò","o"),"ù","u")),"")</f>
        <v/>
      </c>
      <c r="Y896" s="25">
        <f>IF(X896="","",IF(IFERROR(COUNTIF(X$3:X896,"="&amp;SUBSTITUTE(SUBSTITUTE(SUBSTITUTE(X896,"~","~~"),"*","~*"),"?","~?")),0)=1,1,""))</f>
        <v/>
      </c>
      <c r="Z896" s="25">
        <f>IF(T896=1,MAX(Z$2:Z895)+1,"")</f>
        <v/>
      </c>
    </row>
    <row r="897">
      <c r="A897">
        <f>IF(A$2=0,"",IFERROR(TRIM(INDEX('Pegar calibracion'!$A$1:$BZ$1001,896,A$2)&amp;""),""))</f>
        <v/>
      </c>
      <c r="B897">
        <f>IF(B$2=0,"",IFERROR(TRIM(INDEX('Pegar calibracion'!$A$1:$BZ$1001,896,B$2)&amp;""),""))</f>
        <v/>
      </c>
      <c r="C897">
        <f>IF(C$2=0,"",IFERROR(TRIM(INDEX('Pegar calibracion'!$A$1:$BZ$1001,896,C$2)&amp;""),""))</f>
        <v/>
      </c>
      <c r="D897">
        <f>IF(D$2=0,"",IFERROR(TRIM(INDEX('Pegar calibracion'!$A$1:$BZ$1001,896,D$2)&amp;""),""))</f>
        <v/>
      </c>
      <c r="E897">
        <f>IF(E$2=0,"",IFERROR(TRIM(INDEX('Pegar calibracion'!$A$1:$BZ$1001,896,E$2)&amp;""),""))</f>
        <v/>
      </c>
      <c r="F897">
        <f>IF(F$2=0,"",IFERROR(TRIM(INDEX('Pegar calibracion'!$A$1:$BZ$1001,896,F$2)&amp;""),""))</f>
        <v/>
      </c>
      <c r="G897">
        <f>IF(G$2=0,"",IFERROR(TRIM(INDEX('Pegar calibracion'!$A$1:$BZ$1001,896,G$2)&amp;""),""))</f>
        <v/>
      </c>
      <c r="H897">
        <f>IF(H$2=0,"",IFERROR(TRIM(INDEX('Pegar calibracion'!$A$1:$BZ$1001,896,H$2)&amp;""),""))</f>
        <v/>
      </c>
      <c r="I897">
        <f>IF(I$2=0,"",IFERROR(TRIM(INDEX('Pegar calibracion'!$A$1:$BZ$1001,896,I$2)&amp;""),""))</f>
        <v/>
      </c>
      <c r="J897">
        <f>IF(J$2=0,"",IFERROR(TRIM(INDEX('Pegar calibracion'!$A$1:$BZ$1001,896,J$2)&amp;""),""))</f>
        <v/>
      </c>
      <c r="K897">
        <f>IF(K$2=0,"",IFERROR(TRIM(INDEX('Pegar calibracion'!$A$1:$BZ$1001,896,K$2)&amp;""),""))</f>
        <v/>
      </c>
      <c r="L897">
        <f>IF(L$2=0,"",IFERROR(TRIM(INDEX('Pegar calibracion'!$A$1:$BZ$1001,896,L$2)&amp;""),""))</f>
        <v/>
      </c>
      <c r="M897" s="25">
        <f>IF(D897="","",SUBSTITUTE(SUBSTITUTE(SUBSTITUTE(SUBSTITUTE(SUBSTITUTE(SUBSTITUTE(SUBSTITUTE(SUBSTITUTE(SUBSTITUTE(SUBSTITUTE(SUBSTITUTE(SUBSTITUTE(LOWER(TRIM(D897)),"á","a"),"é","e"),"í","i"),"ó","o"),"ú","u"),"ü","u"),"ñ","n"),"à","a"),"è","e"),"ì","i"),"ò","o"),"ù","u"))</f>
        <v/>
      </c>
      <c r="N897" s="25">
        <f>IF(F897="","",SUBSTITUTE(SUBSTITUTE(SUBSTITUTE(SUBSTITUTE(SUBSTITUTE(SUBSTITUTE(SUBSTITUTE(SUBSTITUTE(SUBSTITUTE(SUBSTITUTE(SUBSTITUTE(SUBSTITUTE(LOWER(TRIM(F897)),"á","a"),"é","e"),"í","i"),"ó","o"),"ú","u"),"ü","u"),"ñ","n"),"à","a"),"è","e"),"ì","i"),"ò","o"),"ù","u"))</f>
        <v/>
      </c>
      <c r="O897" s="25">
        <f>IF(M897="confiable",2,IF(M897="dudosa",1,IF(M897="no confiable",0,"")))</f>
        <v/>
      </c>
      <c r="P897" s="25">
        <f>IF(N897="confiable",2,IF(N897="dudosa",1,IF(N897="no confiable",0,"")))</f>
        <v/>
      </c>
      <c r="Q897" s="25">
        <f>IF(AND(ISNUMBER(O897),ISNUMBER(P897)),1,"")</f>
        <v/>
      </c>
      <c r="R897" s="25">
        <f>IF(Q897=1,IF(O897=P897,"Sí","No"),"")</f>
        <v/>
      </c>
      <c r="S897" s="25">
        <f>IF(Q897=1,IF(P897&lt;O897,"Más estricto",IF(P897&gt;O897,"Más permisivo","Igual")),"")</f>
        <v/>
      </c>
      <c r="T897" s="25">
        <f>IF(Q897=1,IF(ABS(O897-P897)=2,1,0),"")</f>
        <v/>
      </c>
      <c r="U897" s="25">
        <f>IF(H897="","","|"&amp;SUBSTITUTE(SUBSTITUTE(TRIM(H897)," |","|"),"| ","|")&amp;"|")</f>
        <v/>
      </c>
      <c r="V897" s="25">
        <f>IF(AND(Q897=1,B897&lt;&gt;""),IF(IFERROR(COUNTIFS(B$3:B897,"="&amp;SUBSTITUTE(SUBSTITUTE(SUBSTITUTE(B897,"~","~~"),"*","~*"),"?","~?"),Q$3:Q897,1),0)=1,MAX(V$2:V896)+1,""),"")</f>
        <v/>
      </c>
      <c r="W897" s="25">
        <f>IF(V897="","",COUNTIFS($B$3:$B$1002,"="&amp;SUBSTITUTE(SUBSTITUTE(SUBSTITUTE(B897,"~","~~"),"*","~*"),"?","~?"),$Q$3:$Q$1002,1)*10000-V897)</f>
        <v/>
      </c>
      <c r="X897" s="25">
        <f>IF(Q897=1,IF(SUBSTITUTE(SUBSTITUTE(SUBSTITUTE(SUBSTITUTE(SUBSTITUTE(SUBSTITUTE(SUBSTITUTE(SUBSTITUTE(SUBSTITUTE(SUBSTITUTE(SUBSTITUTE(SUBSTITUTE(LOWER(TRIM(A897)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897)),"á","a"),"é","e"),"í","i"),"ó","o"),"ú","u"),"ü","u"),"ñ","n"),"à","a"),"è","e"),"ì","i"),"ò","o"),"ù","u")),"")</f>
        <v/>
      </c>
      <c r="Y897" s="25">
        <f>IF(X897="","",IF(IFERROR(COUNTIF(X$3:X897,"="&amp;SUBSTITUTE(SUBSTITUTE(SUBSTITUTE(X897,"~","~~"),"*","~*"),"?","~?")),0)=1,1,""))</f>
        <v/>
      </c>
      <c r="Z897" s="25">
        <f>IF(T897=1,MAX(Z$2:Z896)+1,"")</f>
        <v/>
      </c>
    </row>
    <row r="898">
      <c r="A898">
        <f>IF(A$2=0,"",IFERROR(TRIM(INDEX('Pegar calibracion'!$A$1:$BZ$1001,897,A$2)&amp;""),""))</f>
        <v/>
      </c>
      <c r="B898">
        <f>IF(B$2=0,"",IFERROR(TRIM(INDEX('Pegar calibracion'!$A$1:$BZ$1001,897,B$2)&amp;""),""))</f>
        <v/>
      </c>
      <c r="C898">
        <f>IF(C$2=0,"",IFERROR(TRIM(INDEX('Pegar calibracion'!$A$1:$BZ$1001,897,C$2)&amp;""),""))</f>
        <v/>
      </c>
      <c r="D898">
        <f>IF(D$2=0,"",IFERROR(TRIM(INDEX('Pegar calibracion'!$A$1:$BZ$1001,897,D$2)&amp;""),""))</f>
        <v/>
      </c>
      <c r="E898">
        <f>IF(E$2=0,"",IFERROR(TRIM(INDEX('Pegar calibracion'!$A$1:$BZ$1001,897,E$2)&amp;""),""))</f>
        <v/>
      </c>
      <c r="F898">
        <f>IF(F$2=0,"",IFERROR(TRIM(INDEX('Pegar calibracion'!$A$1:$BZ$1001,897,F$2)&amp;""),""))</f>
        <v/>
      </c>
      <c r="G898">
        <f>IF(G$2=0,"",IFERROR(TRIM(INDEX('Pegar calibracion'!$A$1:$BZ$1001,897,G$2)&amp;""),""))</f>
        <v/>
      </c>
      <c r="H898">
        <f>IF(H$2=0,"",IFERROR(TRIM(INDEX('Pegar calibracion'!$A$1:$BZ$1001,897,H$2)&amp;""),""))</f>
        <v/>
      </c>
      <c r="I898">
        <f>IF(I$2=0,"",IFERROR(TRIM(INDEX('Pegar calibracion'!$A$1:$BZ$1001,897,I$2)&amp;""),""))</f>
        <v/>
      </c>
      <c r="J898">
        <f>IF(J$2=0,"",IFERROR(TRIM(INDEX('Pegar calibracion'!$A$1:$BZ$1001,897,J$2)&amp;""),""))</f>
        <v/>
      </c>
      <c r="K898">
        <f>IF(K$2=0,"",IFERROR(TRIM(INDEX('Pegar calibracion'!$A$1:$BZ$1001,897,K$2)&amp;""),""))</f>
        <v/>
      </c>
      <c r="L898">
        <f>IF(L$2=0,"",IFERROR(TRIM(INDEX('Pegar calibracion'!$A$1:$BZ$1001,897,L$2)&amp;""),""))</f>
        <v/>
      </c>
      <c r="M898" s="25">
        <f>IF(D898="","",SUBSTITUTE(SUBSTITUTE(SUBSTITUTE(SUBSTITUTE(SUBSTITUTE(SUBSTITUTE(SUBSTITUTE(SUBSTITUTE(SUBSTITUTE(SUBSTITUTE(SUBSTITUTE(SUBSTITUTE(LOWER(TRIM(D898)),"á","a"),"é","e"),"í","i"),"ó","o"),"ú","u"),"ü","u"),"ñ","n"),"à","a"),"è","e"),"ì","i"),"ò","o"),"ù","u"))</f>
        <v/>
      </c>
      <c r="N898" s="25">
        <f>IF(F898="","",SUBSTITUTE(SUBSTITUTE(SUBSTITUTE(SUBSTITUTE(SUBSTITUTE(SUBSTITUTE(SUBSTITUTE(SUBSTITUTE(SUBSTITUTE(SUBSTITUTE(SUBSTITUTE(SUBSTITUTE(LOWER(TRIM(F898)),"á","a"),"é","e"),"í","i"),"ó","o"),"ú","u"),"ü","u"),"ñ","n"),"à","a"),"è","e"),"ì","i"),"ò","o"),"ù","u"))</f>
        <v/>
      </c>
      <c r="O898" s="25">
        <f>IF(M898="confiable",2,IF(M898="dudosa",1,IF(M898="no confiable",0,"")))</f>
        <v/>
      </c>
      <c r="P898" s="25">
        <f>IF(N898="confiable",2,IF(N898="dudosa",1,IF(N898="no confiable",0,"")))</f>
        <v/>
      </c>
      <c r="Q898" s="25">
        <f>IF(AND(ISNUMBER(O898),ISNUMBER(P898)),1,"")</f>
        <v/>
      </c>
      <c r="R898" s="25">
        <f>IF(Q898=1,IF(O898=P898,"Sí","No"),"")</f>
        <v/>
      </c>
      <c r="S898" s="25">
        <f>IF(Q898=1,IF(P898&lt;O898,"Más estricto",IF(P898&gt;O898,"Más permisivo","Igual")),"")</f>
        <v/>
      </c>
      <c r="T898" s="25">
        <f>IF(Q898=1,IF(ABS(O898-P898)=2,1,0),"")</f>
        <v/>
      </c>
      <c r="U898" s="25">
        <f>IF(H898="","","|"&amp;SUBSTITUTE(SUBSTITUTE(TRIM(H898)," |","|"),"| ","|")&amp;"|")</f>
        <v/>
      </c>
      <c r="V898" s="25">
        <f>IF(AND(Q898=1,B898&lt;&gt;""),IF(IFERROR(COUNTIFS(B$3:B898,"="&amp;SUBSTITUTE(SUBSTITUTE(SUBSTITUTE(B898,"~","~~"),"*","~*"),"?","~?"),Q$3:Q898,1),0)=1,MAX(V$2:V897)+1,""),"")</f>
        <v/>
      </c>
      <c r="W898" s="25">
        <f>IF(V898="","",COUNTIFS($B$3:$B$1002,"="&amp;SUBSTITUTE(SUBSTITUTE(SUBSTITUTE(B898,"~","~~"),"*","~*"),"?","~?"),$Q$3:$Q$1002,1)*10000-V898)</f>
        <v/>
      </c>
      <c r="X898" s="25">
        <f>IF(Q898=1,IF(SUBSTITUTE(SUBSTITUTE(SUBSTITUTE(SUBSTITUTE(SUBSTITUTE(SUBSTITUTE(SUBSTITUTE(SUBSTITUTE(SUBSTITUTE(SUBSTITUTE(SUBSTITUTE(SUBSTITUTE(LOWER(TRIM(A898)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898)),"á","a"),"é","e"),"í","i"),"ó","o"),"ú","u"),"ü","u"),"ñ","n"),"à","a"),"è","e"),"ì","i"),"ò","o"),"ù","u")),"")</f>
        <v/>
      </c>
      <c r="Y898" s="25">
        <f>IF(X898="","",IF(IFERROR(COUNTIF(X$3:X898,"="&amp;SUBSTITUTE(SUBSTITUTE(SUBSTITUTE(X898,"~","~~"),"*","~*"),"?","~?")),0)=1,1,""))</f>
        <v/>
      </c>
      <c r="Z898" s="25">
        <f>IF(T898=1,MAX(Z$2:Z897)+1,"")</f>
        <v/>
      </c>
    </row>
    <row r="899">
      <c r="A899">
        <f>IF(A$2=0,"",IFERROR(TRIM(INDEX('Pegar calibracion'!$A$1:$BZ$1001,898,A$2)&amp;""),""))</f>
        <v/>
      </c>
      <c r="B899">
        <f>IF(B$2=0,"",IFERROR(TRIM(INDEX('Pegar calibracion'!$A$1:$BZ$1001,898,B$2)&amp;""),""))</f>
        <v/>
      </c>
      <c r="C899">
        <f>IF(C$2=0,"",IFERROR(TRIM(INDEX('Pegar calibracion'!$A$1:$BZ$1001,898,C$2)&amp;""),""))</f>
        <v/>
      </c>
      <c r="D899">
        <f>IF(D$2=0,"",IFERROR(TRIM(INDEX('Pegar calibracion'!$A$1:$BZ$1001,898,D$2)&amp;""),""))</f>
        <v/>
      </c>
      <c r="E899">
        <f>IF(E$2=0,"",IFERROR(TRIM(INDEX('Pegar calibracion'!$A$1:$BZ$1001,898,E$2)&amp;""),""))</f>
        <v/>
      </c>
      <c r="F899">
        <f>IF(F$2=0,"",IFERROR(TRIM(INDEX('Pegar calibracion'!$A$1:$BZ$1001,898,F$2)&amp;""),""))</f>
        <v/>
      </c>
      <c r="G899">
        <f>IF(G$2=0,"",IFERROR(TRIM(INDEX('Pegar calibracion'!$A$1:$BZ$1001,898,G$2)&amp;""),""))</f>
        <v/>
      </c>
      <c r="H899">
        <f>IF(H$2=0,"",IFERROR(TRIM(INDEX('Pegar calibracion'!$A$1:$BZ$1001,898,H$2)&amp;""),""))</f>
        <v/>
      </c>
      <c r="I899">
        <f>IF(I$2=0,"",IFERROR(TRIM(INDEX('Pegar calibracion'!$A$1:$BZ$1001,898,I$2)&amp;""),""))</f>
        <v/>
      </c>
      <c r="J899">
        <f>IF(J$2=0,"",IFERROR(TRIM(INDEX('Pegar calibracion'!$A$1:$BZ$1001,898,J$2)&amp;""),""))</f>
        <v/>
      </c>
      <c r="K899">
        <f>IF(K$2=0,"",IFERROR(TRIM(INDEX('Pegar calibracion'!$A$1:$BZ$1001,898,K$2)&amp;""),""))</f>
        <v/>
      </c>
      <c r="L899">
        <f>IF(L$2=0,"",IFERROR(TRIM(INDEX('Pegar calibracion'!$A$1:$BZ$1001,898,L$2)&amp;""),""))</f>
        <v/>
      </c>
      <c r="M899" s="25">
        <f>IF(D899="","",SUBSTITUTE(SUBSTITUTE(SUBSTITUTE(SUBSTITUTE(SUBSTITUTE(SUBSTITUTE(SUBSTITUTE(SUBSTITUTE(SUBSTITUTE(SUBSTITUTE(SUBSTITUTE(SUBSTITUTE(LOWER(TRIM(D899)),"á","a"),"é","e"),"í","i"),"ó","o"),"ú","u"),"ü","u"),"ñ","n"),"à","a"),"è","e"),"ì","i"),"ò","o"),"ù","u"))</f>
        <v/>
      </c>
      <c r="N899" s="25">
        <f>IF(F899="","",SUBSTITUTE(SUBSTITUTE(SUBSTITUTE(SUBSTITUTE(SUBSTITUTE(SUBSTITUTE(SUBSTITUTE(SUBSTITUTE(SUBSTITUTE(SUBSTITUTE(SUBSTITUTE(SUBSTITUTE(LOWER(TRIM(F899)),"á","a"),"é","e"),"í","i"),"ó","o"),"ú","u"),"ü","u"),"ñ","n"),"à","a"),"è","e"),"ì","i"),"ò","o"),"ù","u"))</f>
        <v/>
      </c>
      <c r="O899" s="25">
        <f>IF(M899="confiable",2,IF(M899="dudosa",1,IF(M899="no confiable",0,"")))</f>
        <v/>
      </c>
      <c r="P899" s="25">
        <f>IF(N899="confiable",2,IF(N899="dudosa",1,IF(N899="no confiable",0,"")))</f>
        <v/>
      </c>
      <c r="Q899" s="25">
        <f>IF(AND(ISNUMBER(O899),ISNUMBER(P899)),1,"")</f>
        <v/>
      </c>
      <c r="R899" s="25">
        <f>IF(Q899=1,IF(O899=P899,"Sí","No"),"")</f>
        <v/>
      </c>
      <c r="S899" s="25">
        <f>IF(Q899=1,IF(P899&lt;O899,"Más estricto",IF(P899&gt;O899,"Más permisivo","Igual")),"")</f>
        <v/>
      </c>
      <c r="T899" s="25">
        <f>IF(Q899=1,IF(ABS(O899-P899)=2,1,0),"")</f>
        <v/>
      </c>
      <c r="U899" s="25">
        <f>IF(H899="","","|"&amp;SUBSTITUTE(SUBSTITUTE(TRIM(H899)," |","|"),"| ","|")&amp;"|")</f>
        <v/>
      </c>
      <c r="V899" s="25">
        <f>IF(AND(Q899=1,B899&lt;&gt;""),IF(IFERROR(COUNTIFS(B$3:B899,"="&amp;SUBSTITUTE(SUBSTITUTE(SUBSTITUTE(B899,"~","~~"),"*","~*"),"?","~?"),Q$3:Q899,1),0)=1,MAX(V$2:V898)+1,""),"")</f>
        <v/>
      </c>
      <c r="W899" s="25">
        <f>IF(V899="","",COUNTIFS($B$3:$B$1002,"="&amp;SUBSTITUTE(SUBSTITUTE(SUBSTITUTE(B899,"~","~~"),"*","~*"),"?","~?"),$Q$3:$Q$1002,1)*10000-V899)</f>
        <v/>
      </c>
      <c r="X899" s="25">
        <f>IF(Q899=1,IF(SUBSTITUTE(SUBSTITUTE(SUBSTITUTE(SUBSTITUTE(SUBSTITUTE(SUBSTITUTE(SUBSTITUTE(SUBSTITUTE(SUBSTITUTE(SUBSTITUTE(SUBSTITUTE(SUBSTITUTE(LOWER(TRIM(A899)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899)),"á","a"),"é","e"),"í","i"),"ó","o"),"ú","u"),"ü","u"),"ñ","n"),"à","a"),"è","e"),"ì","i"),"ò","o"),"ù","u")),"")</f>
        <v/>
      </c>
      <c r="Y899" s="25">
        <f>IF(X899="","",IF(IFERROR(COUNTIF(X$3:X899,"="&amp;SUBSTITUTE(SUBSTITUTE(SUBSTITUTE(X899,"~","~~"),"*","~*"),"?","~?")),0)=1,1,""))</f>
        <v/>
      </c>
      <c r="Z899" s="25">
        <f>IF(T899=1,MAX(Z$2:Z898)+1,"")</f>
        <v/>
      </c>
    </row>
    <row r="900">
      <c r="A900">
        <f>IF(A$2=0,"",IFERROR(TRIM(INDEX('Pegar calibracion'!$A$1:$BZ$1001,899,A$2)&amp;""),""))</f>
        <v/>
      </c>
      <c r="B900">
        <f>IF(B$2=0,"",IFERROR(TRIM(INDEX('Pegar calibracion'!$A$1:$BZ$1001,899,B$2)&amp;""),""))</f>
        <v/>
      </c>
      <c r="C900">
        <f>IF(C$2=0,"",IFERROR(TRIM(INDEX('Pegar calibracion'!$A$1:$BZ$1001,899,C$2)&amp;""),""))</f>
        <v/>
      </c>
      <c r="D900">
        <f>IF(D$2=0,"",IFERROR(TRIM(INDEX('Pegar calibracion'!$A$1:$BZ$1001,899,D$2)&amp;""),""))</f>
        <v/>
      </c>
      <c r="E900">
        <f>IF(E$2=0,"",IFERROR(TRIM(INDEX('Pegar calibracion'!$A$1:$BZ$1001,899,E$2)&amp;""),""))</f>
        <v/>
      </c>
      <c r="F900">
        <f>IF(F$2=0,"",IFERROR(TRIM(INDEX('Pegar calibracion'!$A$1:$BZ$1001,899,F$2)&amp;""),""))</f>
        <v/>
      </c>
      <c r="G900">
        <f>IF(G$2=0,"",IFERROR(TRIM(INDEX('Pegar calibracion'!$A$1:$BZ$1001,899,G$2)&amp;""),""))</f>
        <v/>
      </c>
      <c r="H900">
        <f>IF(H$2=0,"",IFERROR(TRIM(INDEX('Pegar calibracion'!$A$1:$BZ$1001,899,H$2)&amp;""),""))</f>
        <v/>
      </c>
      <c r="I900">
        <f>IF(I$2=0,"",IFERROR(TRIM(INDEX('Pegar calibracion'!$A$1:$BZ$1001,899,I$2)&amp;""),""))</f>
        <v/>
      </c>
      <c r="J900">
        <f>IF(J$2=0,"",IFERROR(TRIM(INDEX('Pegar calibracion'!$A$1:$BZ$1001,899,J$2)&amp;""),""))</f>
        <v/>
      </c>
      <c r="K900">
        <f>IF(K$2=0,"",IFERROR(TRIM(INDEX('Pegar calibracion'!$A$1:$BZ$1001,899,K$2)&amp;""),""))</f>
        <v/>
      </c>
      <c r="L900">
        <f>IF(L$2=0,"",IFERROR(TRIM(INDEX('Pegar calibracion'!$A$1:$BZ$1001,899,L$2)&amp;""),""))</f>
        <v/>
      </c>
      <c r="M900" s="25">
        <f>IF(D900="","",SUBSTITUTE(SUBSTITUTE(SUBSTITUTE(SUBSTITUTE(SUBSTITUTE(SUBSTITUTE(SUBSTITUTE(SUBSTITUTE(SUBSTITUTE(SUBSTITUTE(SUBSTITUTE(SUBSTITUTE(LOWER(TRIM(D900)),"á","a"),"é","e"),"í","i"),"ó","o"),"ú","u"),"ü","u"),"ñ","n"),"à","a"),"è","e"),"ì","i"),"ò","o"),"ù","u"))</f>
        <v/>
      </c>
      <c r="N900" s="25">
        <f>IF(F900="","",SUBSTITUTE(SUBSTITUTE(SUBSTITUTE(SUBSTITUTE(SUBSTITUTE(SUBSTITUTE(SUBSTITUTE(SUBSTITUTE(SUBSTITUTE(SUBSTITUTE(SUBSTITUTE(SUBSTITUTE(LOWER(TRIM(F900)),"á","a"),"é","e"),"í","i"),"ó","o"),"ú","u"),"ü","u"),"ñ","n"),"à","a"),"è","e"),"ì","i"),"ò","o"),"ù","u"))</f>
        <v/>
      </c>
      <c r="O900" s="25">
        <f>IF(M900="confiable",2,IF(M900="dudosa",1,IF(M900="no confiable",0,"")))</f>
        <v/>
      </c>
      <c r="P900" s="25">
        <f>IF(N900="confiable",2,IF(N900="dudosa",1,IF(N900="no confiable",0,"")))</f>
        <v/>
      </c>
      <c r="Q900" s="25">
        <f>IF(AND(ISNUMBER(O900),ISNUMBER(P900)),1,"")</f>
        <v/>
      </c>
      <c r="R900" s="25">
        <f>IF(Q900=1,IF(O900=P900,"Sí","No"),"")</f>
        <v/>
      </c>
      <c r="S900" s="25">
        <f>IF(Q900=1,IF(P900&lt;O900,"Más estricto",IF(P900&gt;O900,"Más permisivo","Igual")),"")</f>
        <v/>
      </c>
      <c r="T900" s="25">
        <f>IF(Q900=1,IF(ABS(O900-P900)=2,1,0),"")</f>
        <v/>
      </c>
      <c r="U900" s="25">
        <f>IF(H900="","","|"&amp;SUBSTITUTE(SUBSTITUTE(TRIM(H900)," |","|"),"| ","|")&amp;"|")</f>
        <v/>
      </c>
      <c r="V900" s="25">
        <f>IF(AND(Q900=1,B900&lt;&gt;""),IF(IFERROR(COUNTIFS(B$3:B900,"="&amp;SUBSTITUTE(SUBSTITUTE(SUBSTITUTE(B900,"~","~~"),"*","~*"),"?","~?"),Q$3:Q900,1),0)=1,MAX(V$2:V899)+1,""),"")</f>
        <v/>
      </c>
      <c r="W900" s="25">
        <f>IF(V900="","",COUNTIFS($B$3:$B$1002,"="&amp;SUBSTITUTE(SUBSTITUTE(SUBSTITUTE(B900,"~","~~"),"*","~*"),"?","~?"),$Q$3:$Q$1002,1)*10000-V900)</f>
        <v/>
      </c>
      <c r="X900" s="25">
        <f>IF(Q900=1,IF(SUBSTITUTE(SUBSTITUTE(SUBSTITUTE(SUBSTITUTE(SUBSTITUTE(SUBSTITUTE(SUBSTITUTE(SUBSTITUTE(SUBSTITUTE(SUBSTITUTE(SUBSTITUTE(SUBSTITUTE(LOWER(TRIM(A900)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900)),"á","a"),"é","e"),"í","i"),"ó","o"),"ú","u"),"ü","u"),"ñ","n"),"à","a"),"è","e"),"ì","i"),"ò","o"),"ù","u")),"")</f>
        <v/>
      </c>
      <c r="Y900" s="25">
        <f>IF(X900="","",IF(IFERROR(COUNTIF(X$3:X900,"="&amp;SUBSTITUTE(SUBSTITUTE(SUBSTITUTE(X900,"~","~~"),"*","~*"),"?","~?")),0)=1,1,""))</f>
        <v/>
      </c>
      <c r="Z900" s="25">
        <f>IF(T900=1,MAX(Z$2:Z899)+1,"")</f>
        <v/>
      </c>
    </row>
    <row r="901">
      <c r="A901">
        <f>IF(A$2=0,"",IFERROR(TRIM(INDEX('Pegar calibracion'!$A$1:$BZ$1001,900,A$2)&amp;""),""))</f>
        <v/>
      </c>
      <c r="B901">
        <f>IF(B$2=0,"",IFERROR(TRIM(INDEX('Pegar calibracion'!$A$1:$BZ$1001,900,B$2)&amp;""),""))</f>
        <v/>
      </c>
      <c r="C901">
        <f>IF(C$2=0,"",IFERROR(TRIM(INDEX('Pegar calibracion'!$A$1:$BZ$1001,900,C$2)&amp;""),""))</f>
        <v/>
      </c>
      <c r="D901">
        <f>IF(D$2=0,"",IFERROR(TRIM(INDEX('Pegar calibracion'!$A$1:$BZ$1001,900,D$2)&amp;""),""))</f>
        <v/>
      </c>
      <c r="E901">
        <f>IF(E$2=0,"",IFERROR(TRIM(INDEX('Pegar calibracion'!$A$1:$BZ$1001,900,E$2)&amp;""),""))</f>
        <v/>
      </c>
      <c r="F901">
        <f>IF(F$2=0,"",IFERROR(TRIM(INDEX('Pegar calibracion'!$A$1:$BZ$1001,900,F$2)&amp;""),""))</f>
        <v/>
      </c>
      <c r="G901">
        <f>IF(G$2=0,"",IFERROR(TRIM(INDEX('Pegar calibracion'!$A$1:$BZ$1001,900,G$2)&amp;""),""))</f>
        <v/>
      </c>
      <c r="H901">
        <f>IF(H$2=0,"",IFERROR(TRIM(INDEX('Pegar calibracion'!$A$1:$BZ$1001,900,H$2)&amp;""),""))</f>
        <v/>
      </c>
      <c r="I901">
        <f>IF(I$2=0,"",IFERROR(TRIM(INDEX('Pegar calibracion'!$A$1:$BZ$1001,900,I$2)&amp;""),""))</f>
        <v/>
      </c>
      <c r="J901">
        <f>IF(J$2=0,"",IFERROR(TRIM(INDEX('Pegar calibracion'!$A$1:$BZ$1001,900,J$2)&amp;""),""))</f>
        <v/>
      </c>
      <c r="K901">
        <f>IF(K$2=0,"",IFERROR(TRIM(INDEX('Pegar calibracion'!$A$1:$BZ$1001,900,K$2)&amp;""),""))</f>
        <v/>
      </c>
      <c r="L901">
        <f>IF(L$2=0,"",IFERROR(TRIM(INDEX('Pegar calibracion'!$A$1:$BZ$1001,900,L$2)&amp;""),""))</f>
        <v/>
      </c>
      <c r="M901" s="25">
        <f>IF(D901="","",SUBSTITUTE(SUBSTITUTE(SUBSTITUTE(SUBSTITUTE(SUBSTITUTE(SUBSTITUTE(SUBSTITUTE(SUBSTITUTE(SUBSTITUTE(SUBSTITUTE(SUBSTITUTE(SUBSTITUTE(LOWER(TRIM(D901)),"á","a"),"é","e"),"í","i"),"ó","o"),"ú","u"),"ü","u"),"ñ","n"),"à","a"),"è","e"),"ì","i"),"ò","o"),"ù","u"))</f>
        <v/>
      </c>
      <c r="N901" s="25">
        <f>IF(F901="","",SUBSTITUTE(SUBSTITUTE(SUBSTITUTE(SUBSTITUTE(SUBSTITUTE(SUBSTITUTE(SUBSTITUTE(SUBSTITUTE(SUBSTITUTE(SUBSTITUTE(SUBSTITUTE(SUBSTITUTE(LOWER(TRIM(F901)),"á","a"),"é","e"),"í","i"),"ó","o"),"ú","u"),"ü","u"),"ñ","n"),"à","a"),"è","e"),"ì","i"),"ò","o"),"ù","u"))</f>
        <v/>
      </c>
      <c r="O901" s="25">
        <f>IF(M901="confiable",2,IF(M901="dudosa",1,IF(M901="no confiable",0,"")))</f>
        <v/>
      </c>
      <c r="P901" s="25">
        <f>IF(N901="confiable",2,IF(N901="dudosa",1,IF(N901="no confiable",0,"")))</f>
        <v/>
      </c>
      <c r="Q901" s="25">
        <f>IF(AND(ISNUMBER(O901),ISNUMBER(P901)),1,"")</f>
        <v/>
      </c>
      <c r="R901" s="25">
        <f>IF(Q901=1,IF(O901=P901,"Sí","No"),"")</f>
        <v/>
      </c>
      <c r="S901" s="25">
        <f>IF(Q901=1,IF(P901&lt;O901,"Más estricto",IF(P901&gt;O901,"Más permisivo","Igual")),"")</f>
        <v/>
      </c>
      <c r="T901" s="25">
        <f>IF(Q901=1,IF(ABS(O901-P901)=2,1,0),"")</f>
        <v/>
      </c>
      <c r="U901" s="25">
        <f>IF(H901="","","|"&amp;SUBSTITUTE(SUBSTITUTE(TRIM(H901)," |","|"),"| ","|")&amp;"|")</f>
        <v/>
      </c>
      <c r="V901" s="25">
        <f>IF(AND(Q901=1,B901&lt;&gt;""),IF(IFERROR(COUNTIFS(B$3:B901,"="&amp;SUBSTITUTE(SUBSTITUTE(SUBSTITUTE(B901,"~","~~"),"*","~*"),"?","~?"),Q$3:Q901,1),0)=1,MAX(V$2:V900)+1,""),"")</f>
        <v/>
      </c>
      <c r="W901" s="25">
        <f>IF(V901="","",COUNTIFS($B$3:$B$1002,"="&amp;SUBSTITUTE(SUBSTITUTE(SUBSTITUTE(B901,"~","~~"),"*","~*"),"?","~?"),$Q$3:$Q$1002,1)*10000-V901)</f>
        <v/>
      </c>
      <c r="X901" s="25">
        <f>IF(Q901=1,IF(SUBSTITUTE(SUBSTITUTE(SUBSTITUTE(SUBSTITUTE(SUBSTITUTE(SUBSTITUTE(SUBSTITUTE(SUBSTITUTE(SUBSTITUTE(SUBSTITUTE(SUBSTITUTE(SUBSTITUTE(LOWER(TRIM(A901)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901)),"á","a"),"é","e"),"í","i"),"ó","o"),"ú","u"),"ü","u"),"ñ","n"),"à","a"),"è","e"),"ì","i"),"ò","o"),"ù","u")),"")</f>
        <v/>
      </c>
      <c r="Y901" s="25">
        <f>IF(X901="","",IF(IFERROR(COUNTIF(X$3:X901,"="&amp;SUBSTITUTE(SUBSTITUTE(SUBSTITUTE(X901,"~","~~"),"*","~*"),"?","~?")),0)=1,1,""))</f>
        <v/>
      </c>
      <c r="Z901" s="25">
        <f>IF(T901=1,MAX(Z$2:Z900)+1,"")</f>
        <v/>
      </c>
    </row>
    <row r="902">
      <c r="A902">
        <f>IF(A$2=0,"",IFERROR(TRIM(INDEX('Pegar calibracion'!$A$1:$BZ$1001,901,A$2)&amp;""),""))</f>
        <v/>
      </c>
      <c r="B902">
        <f>IF(B$2=0,"",IFERROR(TRIM(INDEX('Pegar calibracion'!$A$1:$BZ$1001,901,B$2)&amp;""),""))</f>
        <v/>
      </c>
      <c r="C902">
        <f>IF(C$2=0,"",IFERROR(TRIM(INDEX('Pegar calibracion'!$A$1:$BZ$1001,901,C$2)&amp;""),""))</f>
        <v/>
      </c>
      <c r="D902">
        <f>IF(D$2=0,"",IFERROR(TRIM(INDEX('Pegar calibracion'!$A$1:$BZ$1001,901,D$2)&amp;""),""))</f>
        <v/>
      </c>
      <c r="E902">
        <f>IF(E$2=0,"",IFERROR(TRIM(INDEX('Pegar calibracion'!$A$1:$BZ$1001,901,E$2)&amp;""),""))</f>
        <v/>
      </c>
      <c r="F902">
        <f>IF(F$2=0,"",IFERROR(TRIM(INDEX('Pegar calibracion'!$A$1:$BZ$1001,901,F$2)&amp;""),""))</f>
        <v/>
      </c>
      <c r="G902">
        <f>IF(G$2=0,"",IFERROR(TRIM(INDEX('Pegar calibracion'!$A$1:$BZ$1001,901,G$2)&amp;""),""))</f>
        <v/>
      </c>
      <c r="H902">
        <f>IF(H$2=0,"",IFERROR(TRIM(INDEX('Pegar calibracion'!$A$1:$BZ$1001,901,H$2)&amp;""),""))</f>
        <v/>
      </c>
      <c r="I902">
        <f>IF(I$2=0,"",IFERROR(TRIM(INDEX('Pegar calibracion'!$A$1:$BZ$1001,901,I$2)&amp;""),""))</f>
        <v/>
      </c>
      <c r="J902">
        <f>IF(J$2=0,"",IFERROR(TRIM(INDEX('Pegar calibracion'!$A$1:$BZ$1001,901,J$2)&amp;""),""))</f>
        <v/>
      </c>
      <c r="K902">
        <f>IF(K$2=0,"",IFERROR(TRIM(INDEX('Pegar calibracion'!$A$1:$BZ$1001,901,K$2)&amp;""),""))</f>
        <v/>
      </c>
      <c r="L902">
        <f>IF(L$2=0,"",IFERROR(TRIM(INDEX('Pegar calibracion'!$A$1:$BZ$1001,901,L$2)&amp;""),""))</f>
        <v/>
      </c>
      <c r="M902" s="25">
        <f>IF(D902="","",SUBSTITUTE(SUBSTITUTE(SUBSTITUTE(SUBSTITUTE(SUBSTITUTE(SUBSTITUTE(SUBSTITUTE(SUBSTITUTE(SUBSTITUTE(SUBSTITUTE(SUBSTITUTE(SUBSTITUTE(LOWER(TRIM(D902)),"á","a"),"é","e"),"í","i"),"ó","o"),"ú","u"),"ü","u"),"ñ","n"),"à","a"),"è","e"),"ì","i"),"ò","o"),"ù","u"))</f>
        <v/>
      </c>
      <c r="N902" s="25">
        <f>IF(F902="","",SUBSTITUTE(SUBSTITUTE(SUBSTITUTE(SUBSTITUTE(SUBSTITUTE(SUBSTITUTE(SUBSTITUTE(SUBSTITUTE(SUBSTITUTE(SUBSTITUTE(SUBSTITUTE(SUBSTITUTE(LOWER(TRIM(F902)),"á","a"),"é","e"),"í","i"),"ó","o"),"ú","u"),"ü","u"),"ñ","n"),"à","a"),"è","e"),"ì","i"),"ò","o"),"ù","u"))</f>
        <v/>
      </c>
      <c r="O902" s="25">
        <f>IF(M902="confiable",2,IF(M902="dudosa",1,IF(M902="no confiable",0,"")))</f>
        <v/>
      </c>
      <c r="P902" s="25">
        <f>IF(N902="confiable",2,IF(N902="dudosa",1,IF(N902="no confiable",0,"")))</f>
        <v/>
      </c>
      <c r="Q902" s="25">
        <f>IF(AND(ISNUMBER(O902),ISNUMBER(P902)),1,"")</f>
        <v/>
      </c>
      <c r="R902" s="25">
        <f>IF(Q902=1,IF(O902=P902,"Sí","No"),"")</f>
        <v/>
      </c>
      <c r="S902" s="25">
        <f>IF(Q902=1,IF(P902&lt;O902,"Más estricto",IF(P902&gt;O902,"Más permisivo","Igual")),"")</f>
        <v/>
      </c>
      <c r="T902" s="25">
        <f>IF(Q902=1,IF(ABS(O902-P902)=2,1,0),"")</f>
        <v/>
      </c>
      <c r="U902" s="25">
        <f>IF(H902="","","|"&amp;SUBSTITUTE(SUBSTITUTE(TRIM(H902)," |","|"),"| ","|")&amp;"|")</f>
        <v/>
      </c>
      <c r="V902" s="25">
        <f>IF(AND(Q902=1,B902&lt;&gt;""),IF(IFERROR(COUNTIFS(B$3:B902,"="&amp;SUBSTITUTE(SUBSTITUTE(SUBSTITUTE(B902,"~","~~"),"*","~*"),"?","~?"),Q$3:Q902,1),0)=1,MAX(V$2:V901)+1,""),"")</f>
        <v/>
      </c>
      <c r="W902" s="25">
        <f>IF(V902="","",COUNTIFS($B$3:$B$1002,"="&amp;SUBSTITUTE(SUBSTITUTE(SUBSTITUTE(B902,"~","~~"),"*","~*"),"?","~?"),$Q$3:$Q$1002,1)*10000-V902)</f>
        <v/>
      </c>
      <c r="X902" s="25">
        <f>IF(Q902=1,IF(SUBSTITUTE(SUBSTITUTE(SUBSTITUTE(SUBSTITUTE(SUBSTITUTE(SUBSTITUTE(SUBSTITUTE(SUBSTITUTE(SUBSTITUTE(SUBSTITUTE(SUBSTITUTE(SUBSTITUTE(LOWER(TRIM(A902)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902)),"á","a"),"é","e"),"í","i"),"ó","o"),"ú","u"),"ü","u"),"ñ","n"),"à","a"),"è","e"),"ì","i"),"ò","o"),"ù","u")),"")</f>
        <v/>
      </c>
      <c r="Y902" s="25">
        <f>IF(X902="","",IF(IFERROR(COUNTIF(X$3:X902,"="&amp;SUBSTITUTE(SUBSTITUTE(SUBSTITUTE(X902,"~","~~"),"*","~*"),"?","~?")),0)=1,1,""))</f>
        <v/>
      </c>
      <c r="Z902" s="25">
        <f>IF(T902=1,MAX(Z$2:Z901)+1,"")</f>
        <v/>
      </c>
    </row>
    <row r="903">
      <c r="A903">
        <f>IF(A$2=0,"",IFERROR(TRIM(INDEX('Pegar calibracion'!$A$1:$BZ$1001,902,A$2)&amp;""),""))</f>
        <v/>
      </c>
      <c r="B903">
        <f>IF(B$2=0,"",IFERROR(TRIM(INDEX('Pegar calibracion'!$A$1:$BZ$1001,902,B$2)&amp;""),""))</f>
        <v/>
      </c>
      <c r="C903">
        <f>IF(C$2=0,"",IFERROR(TRIM(INDEX('Pegar calibracion'!$A$1:$BZ$1001,902,C$2)&amp;""),""))</f>
        <v/>
      </c>
      <c r="D903">
        <f>IF(D$2=0,"",IFERROR(TRIM(INDEX('Pegar calibracion'!$A$1:$BZ$1001,902,D$2)&amp;""),""))</f>
        <v/>
      </c>
      <c r="E903">
        <f>IF(E$2=0,"",IFERROR(TRIM(INDEX('Pegar calibracion'!$A$1:$BZ$1001,902,E$2)&amp;""),""))</f>
        <v/>
      </c>
      <c r="F903">
        <f>IF(F$2=0,"",IFERROR(TRIM(INDEX('Pegar calibracion'!$A$1:$BZ$1001,902,F$2)&amp;""),""))</f>
        <v/>
      </c>
      <c r="G903">
        <f>IF(G$2=0,"",IFERROR(TRIM(INDEX('Pegar calibracion'!$A$1:$BZ$1001,902,G$2)&amp;""),""))</f>
        <v/>
      </c>
      <c r="H903">
        <f>IF(H$2=0,"",IFERROR(TRIM(INDEX('Pegar calibracion'!$A$1:$BZ$1001,902,H$2)&amp;""),""))</f>
        <v/>
      </c>
      <c r="I903">
        <f>IF(I$2=0,"",IFERROR(TRIM(INDEX('Pegar calibracion'!$A$1:$BZ$1001,902,I$2)&amp;""),""))</f>
        <v/>
      </c>
      <c r="J903">
        <f>IF(J$2=0,"",IFERROR(TRIM(INDEX('Pegar calibracion'!$A$1:$BZ$1001,902,J$2)&amp;""),""))</f>
        <v/>
      </c>
      <c r="K903">
        <f>IF(K$2=0,"",IFERROR(TRIM(INDEX('Pegar calibracion'!$A$1:$BZ$1001,902,K$2)&amp;""),""))</f>
        <v/>
      </c>
      <c r="L903">
        <f>IF(L$2=0,"",IFERROR(TRIM(INDEX('Pegar calibracion'!$A$1:$BZ$1001,902,L$2)&amp;""),""))</f>
        <v/>
      </c>
      <c r="M903" s="25">
        <f>IF(D903="","",SUBSTITUTE(SUBSTITUTE(SUBSTITUTE(SUBSTITUTE(SUBSTITUTE(SUBSTITUTE(SUBSTITUTE(SUBSTITUTE(SUBSTITUTE(SUBSTITUTE(SUBSTITUTE(SUBSTITUTE(LOWER(TRIM(D903)),"á","a"),"é","e"),"í","i"),"ó","o"),"ú","u"),"ü","u"),"ñ","n"),"à","a"),"è","e"),"ì","i"),"ò","o"),"ù","u"))</f>
        <v/>
      </c>
      <c r="N903" s="25">
        <f>IF(F903="","",SUBSTITUTE(SUBSTITUTE(SUBSTITUTE(SUBSTITUTE(SUBSTITUTE(SUBSTITUTE(SUBSTITUTE(SUBSTITUTE(SUBSTITUTE(SUBSTITUTE(SUBSTITUTE(SUBSTITUTE(LOWER(TRIM(F903)),"á","a"),"é","e"),"í","i"),"ó","o"),"ú","u"),"ü","u"),"ñ","n"),"à","a"),"è","e"),"ì","i"),"ò","o"),"ù","u"))</f>
        <v/>
      </c>
      <c r="O903" s="25">
        <f>IF(M903="confiable",2,IF(M903="dudosa",1,IF(M903="no confiable",0,"")))</f>
        <v/>
      </c>
      <c r="P903" s="25">
        <f>IF(N903="confiable",2,IF(N903="dudosa",1,IF(N903="no confiable",0,"")))</f>
        <v/>
      </c>
      <c r="Q903" s="25">
        <f>IF(AND(ISNUMBER(O903),ISNUMBER(P903)),1,"")</f>
        <v/>
      </c>
      <c r="R903" s="25">
        <f>IF(Q903=1,IF(O903=P903,"Sí","No"),"")</f>
        <v/>
      </c>
      <c r="S903" s="25">
        <f>IF(Q903=1,IF(P903&lt;O903,"Más estricto",IF(P903&gt;O903,"Más permisivo","Igual")),"")</f>
        <v/>
      </c>
      <c r="T903" s="25">
        <f>IF(Q903=1,IF(ABS(O903-P903)=2,1,0),"")</f>
        <v/>
      </c>
      <c r="U903" s="25">
        <f>IF(H903="","","|"&amp;SUBSTITUTE(SUBSTITUTE(TRIM(H903)," |","|"),"| ","|")&amp;"|")</f>
        <v/>
      </c>
      <c r="V903" s="25">
        <f>IF(AND(Q903=1,B903&lt;&gt;""),IF(IFERROR(COUNTIFS(B$3:B903,"="&amp;SUBSTITUTE(SUBSTITUTE(SUBSTITUTE(B903,"~","~~"),"*","~*"),"?","~?"),Q$3:Q903,1),0)=1,MAX(V$2:V902)+1,""),"")</f>
        <v/>
      </c>
      <c r="W903" s="25">
        <f>IF(V903="","",COUNTIFS($B$3:$B$1002,"="&amp;SUBSTITUTE(SUBSTITUTE(SUBSTITUTE(B903,"~","~~"),"*","~*"),"?","~?"),$Q$3:$Q$1002,1)*10000-V903)</f>
        <v/>
      </c>
      <c r="X903" s="25">
        <f>IF(Q903=1,IF(SUBSTITUTE(SUBSTITUTE(SUBSTITUTE(SUBSTITUTE(SUBSTITUTE(SUBSTITUTE(SUBSTITUTE(SUBSTITUTE(SUBSTITUTE(SUBSTITUTE(SUBSTITUTE(SUBSTITUTE(LOWER(TRIM(A903)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903)),"á","a"),"é","e"),"í","i"),"ó","o"),"ú","u"),"ü","u"),"ñ","n"),"à","a"),"è","e"),"ì","i"),"ò","o"),"ù","u")),"")</f>
        <v/>
      </c>
      <c r="Y903" s="25">
        <f>IF(X903="","",IF(IFERROR(COUNTIF(X$3:X903,"="&amp;SUBSTITUTE(SUBSTITUTE(SUBSTITUTE(X903,"~","~~"),"*","~*"),"?","~?")),0)=1,1,""))</f>
        <v/>
      </c>
      <c r="Z903" s="25">
        <f>IF(T903=1,MAX(Z$2:Z902)+1,"")</f>
        <v/>
      </c>
    </row>
    <row r="904">
      <c r="A904">
        <f>IF(A$2=0,"",IFERROR(TRIM(INDEX('Pegar calibracion'!$A$1:$BZ$1001,903,A$2)&amp;""),""))</f>
        <v/>
      </c>
      <c r="B904">
        <f>IF(B$2=0,"",IFERROR(TRIM(INDEX('Pegar calibracion'!$A$1:$BZ$1001,903,B$2)&amp;""),""))</f>
        <v/>
      </c>
      <c r="C904">
        <f>IF(C$2=0,"",IFERROR(TRIM(INDEX('Pegar calibracion'!$A$1:$BZ$1001,903,C$2)&amp;""),""))</f>
        <v/>
      </c>
      <c r="D904">
        <f>IF(D$2=0,"",IFERROR(TRIM(INDEX('Pegar calibracion'!$A$1:$BZ$1001,903,D$2)&amp;""),""))</f>
        <v/>
      </c>
      <c r="E904">
        <f>IF(E$2=0,"",IFERROR(TRIM(INDEX('Pegar calibracion'!$A$1:$BZ$1001,903,E$2)&amp;""),""))</f>
        <v/>
      </c>
      <c r="F904">
        <f>IF(F$2=0,"",IFERROR(TRIM(INDEX('Pegar calibracion'!$A$1:$BZ$1001,903,F$2)&amp;""),""))</f>
        <v/>
      </c>
      <c r="G904">
        <f>IF(G$2=0,"",IFERROR(TRIM(INDEX('Pegar calibracion'!$A$1:$BZ$1001,903,G$2)&amp;""),""))</f>
        <v/>
      </c>
      <c r="H904">
        <f>IF(H$2=0,"",IFERROR(TRIM(INDEX('Pegar calibracion'!$A$1:$BZ$1001,903,H$2)&amp;""),""))</f>
        <v/>
      </c>
      <c r="I904">
        <f>IF(I$2=0,"",IFERROR(TRIM(INDEX('Pegar calibracion'!$A$1:$BZ$1001,903,I$2)&amp;""),""))</f>
        <v/>
      </c>
      <c r="J904">
        <f>IF(J$2=0,"",IFERROR(TRIM(INDEX('Pegar calibracion'!$A$1:$BZ$1001,903,J$2)&amp;""),""))</f>
        <v/>
      </c>
      <c r="K904">
        <f>IF(K$2=0,"",IFERROR(TRIM(INDEX('Pegar calibracion'!$A$1:$BZ$1001,903,K$2)&amp;""),""))</f>
        <v/>
      </c>
      <c r="L904">
        <f>IF(L$2=0,"",IFERROR(TRIM(INDEX('Pegar calibracion'!$A$1:$BZ$1001,903,L$2)&amp;""),""))</f>
        <v/>
      </c>
      <c r="M904" s="25">
        <f>IF(D904="","",SUBSTITUTE(SUBSTITUTE(SUBSTITUTE(SUBSTITUTE(SUBSTITUTE(SUBSTITUTE(SUBSTITUTE(SUBSTITUTE(SUBSTITUTE(SUBSTITUTE(SUBSTITUTE(SUBSTITUTE(LOWER(TRIM(D904)),"á","a"),"é","e"),"í","i"),"ó","o"),"ú","u"),"ü","u"),"ñ","n"),"à","a"),"è","e"),"ì","i"),"ò","o"),"ù","u"))</f>
        <v/>
      </c>
      <c r="N904" s="25">
        <f>IF(F904="","",SUBSTITUTE(SUBSTITUTE(SUBSTITUTE(SUBSTITUTE(SUBSTITUTE(SUBSTITUTE(SUBSTITUTE(SUBSTITUTE(SUBSTITUTE(SUBSTITUTE(SUBSTITUTE(SUBSTITUTE(LOWER(TRIM(F904)),"á","a"),"é","e"),"í","i"),"ó","o"),"ú","u"),"ü","u"),"ñ","n"),"à","a"),"è","e"),"ì","i"),"ò","o"),"ù","u"))</f>
        <v/>
      </c>
      <c r="O904" s="25">
        <f>IF(M904="confiable",2,IF(M904="dudosa",1,IF(M904="no confiable",0,"")))</f>
        <v/>
      </c>
      <c r="P904" s="25">
        <f>IF(N904="confiable",2,IF(N904="dudosa",1,IF(N904="no confiable",0,"")))</f>
        <v/>
      </c>
      <c r="Q904" s="25">
        <f>IF(AND(ISNUMBER(O904),ISNUMBER(P904)),1,"")</f>
        <v/>
      </c>
      <c r="R904" s="25">
        <f>IF(Q904=1,IF(O904=P904,"Sí","No"),"")</f>
        <v/>
      </c>
      <c r="S904" s="25">
        <f>IF(Q904=1,IF(P904&lt;O904,"Más estricto",IF(P904&gt;O904,"Más permisivo","Igual")),"")</f>
        <v/>
      </c>
      <c r="T904" s="25">
        <f>IF(Q904=1,IF(ABS(O904-P904)=2,1,0),"")</f>
        <v/>
      </c>
      <c r="U904" s="25">
        <f>IF(H904="","","|"&amp;SUBSTITUTE(SUBSTITUTE(TRIM(H904)," |","|"),"| ","|")&amp;"|")</f>
        <v/>
      </c>
      <c r="V904" s="25">
        <f>IF(AND(Q904=1,B904&lt;&gt;""),IF(IFERROR(COUNTIFS(B$3:B904,"="&amp;SUBSTITUTE(SUBSTITUTE(SUBSTITUTE(B904,"~","~~"),"*","~*"),"?","~?"),Q$3:Q904,1),0)=1,MAX(V$2:V903)+1,""),"")</f>
        <v/>
      </c>
      <c r="W904" s="25">
        <f>IF(V904="","",COUNTIFS($B$3:$B$1002,"="&amp;SUBSTITUTE(SUBSTITUTE(SUBSTITUTE(B904,"~","~~"),"*","~*"),"?","~?"),$Q$3:$Q$1002,1)*10000-V904)</f>
        <v/>
      </c>
      <c r="X904" s="25">
        <f>IF(Q904=1,IF(SUBSTITUTE(SUBSTITUTE(SUBSTITUTE(SUBSTITUTE(SUBSTITUTE(SUBSTITUTE(SUBSTITUTE(SUBSTITUTE(SUBSTITUTE(SUBSTITUTE(SUBSTITUTE(SUBSTITUTE(LOWER(TRIM(A904)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904)),"á","a"),"é","e"),"í","i"),"ó","o"),"ú","u"),"ü","u"),"ñ","n"),"à","a"),"è","e"),"ì","i"),"ò","o"),"ù","u")),"")</f>
        <v/>
      </c>
      <c r="Y904" s="25">
        <f>IF(X904="","",IF(IFERROR(COUNTIF(X$3:X904,"="&amp;SUBSTITUTE(SUBSTITUTE(SUBSTITUTE(X904,"~","~~"),"*","~*"),"?","~?")),0)=1,1,""))</f>
        <v/>
      </c>
      <c r="Z904" s="25">
        <f>IF(T904=1,MAX(Z$2:Z903)+1,"")</f>
        <v/>
      </c>
    </row>
    <row r="905">
      <c r="A905">
        <f>IF(A$2=0,"",IFERROR(TRIM(INDEX('Pegar calibracion'!$A$1:$BZ$1001,904,A$2)&amp;""),""))</f>
        <v/>
      </c>
      <c r="B905">
        <f>IF(B$2=0,"",IFERROR(TRIM(INDEX('Pegar calibracion'!$A$1:$BZ$1001,904,B$2)&amp;""),""))</f>
        <v/>
      </c>
      <c r="C905">
        <f>IF(C$2=0,"",IFERROR(TRIM(INDEX('Pegar calibracion'!$A$1:$BZ$1001,904,C$2)&amp;""),""))</f>
        <v/>
      </c>
      <c r="D905">
        <f>IF(D$2=0,"",IFERROR(TRIM(INDEX('Pegar calibracion'!$A$1:$BZ$1001,904,D$2)&amp;""),""))</f>
        <v/>
      </c>
      <c r="E905">
        <f>IF(E$2=0,"",IFERROR(TRIM(INDEX('Pegar calibracion'!$A$1:$BZ$1001,904,E$2)&amp;""),""))</f>
        <v/>
      </c>
      <c r="F905">
        <f>IF(F$2=0,"",IFERROR(TRIM(INDEX('Pegar calibracion'!$A$1:$BZ$1001,904,F$2)&amp;""),""))</f>
        <v/>
      </c>
      <c r="G905">
        <f>IF(G$2=0,"",IFERROR(TRIM(INDEX('Pegar calibracion'!$A$1:$BZ$1001,904,G$2)&amp;""),""))</f>
        <v/>
      </c>
      <c r="H905">
        <f>IF(H$2=0,"",IFERROR(TRIM(INDEX('Pegar calibracion'!$A$1:$BZ$1001,904,H$2)&amp;""),""))</f>
        <v/>
      </c>
      <c r="I905">
        <f>IF(I$2=0,"",IFERROR(TRIM(INDEX('Pegar calibracion'!$A$1:$BZ$1001,904,I$2)&amp;""),""))</f>
        <v/>
      </c>
      <c r="J905">
        <f>IF(J$2=0,"",IFERROR(TRIM(INDEX('Pegar calibracion'!$A$1:$BZ$1001,904,J$2)&amp;""),""))</f>
        <v/>
      </c>
      <c r="K905">
        <f>IF(K$2=0,"",IFERROR(TRIM(INDEX('Pegar calibracion'!$A$1:$BZ$1001,904,K$2)&amp;""),""))</f>
        <v/>
      </c>
      <c r="L905">
        <f>IF(L$2=0,"",IFERROR(TRIM(INDEX('Pegar calibracion'!$A$1:$BZ$1001,904,L$2)&amp;""),""))</f>
        <v/>
      </c>
      <c r="M905" s="25">
        <f>IF(D905="","",SUBSTITUTE(SUBSTITUTE(SUBSTITUTE(SUBSTITUTE(SUBSTITUTE(SUBSTITUTE(SUBSTITUTE(SUBSTITUTE(SUBSTITUTE(SUBSTITUTE(SUBSTITUTE(SUBSTITUTE(LOWER(TRIM(D905)),"á","a"),"é","e"),"í","i"),"ó","o"),"ú","u"),"ü","u"),"ñ","n"),"à","a"),"è","e"),"ì","i"),"ò","o"),"ù","u"))</f>
        <v/>
      </c>
      <c r="N905" s="25">
        <f>IF(F905="","",SUBSTITUTE(SUBSTITUTE(SUBSTITUTE(SUBSTITUTE(SUBSTITUTE(SUBSTITUTE(SUBSTITUTE(SUBSTITUTE(SUBSTITUTE(SUBSTITUTE(SUBSTITUTE(SUBSTITUTE(LOWER(TRIM(F905)),"á","a"),"é","e"),"í","i"),"ó","o"),"ú","u"),"ü","u"),"ñ","n"),"à","a"),"è","e"),"ì","i"),"ò","o"),"ù","u"))</f>
        <v/>
      </c>
      <c r="O905" s="25">
        <f>IF(M905="confiable",2,IF(M905="dudosa",1,IF(M905="no confiable",0,"")))</f>
        <v/>
      </c>
      <c r="P905" s="25">
        <f>IF(N905="confiable",2,IF(N905="dudosa",1,IF(N905="no confiable",0,"")))</f>
        <v/>
      </c>
      <c r="Q905" s="25">
        <f>IF(AND(ISNUMBER(O905),ISNUMBER(P905)),1,"")</f>
        <v/>
      </c>
      <c r="R905" s="25">
        <f>IF(Q905=1,IF(O905=P905,"Sí","No"),"")</f>
        <v/>
      </c>
      <c r="S905" s="25">
        <f>IF(Q905=1,IF(P905&lt;O905,"Más estricto",IF(P905&gt;O905,"Más permisivo","Igual")),"")</f>
        <v/>
      </c>
      <c r="T905" s="25">
        <f>IF(Q905=1,IF(ABS(O905-P905)=2,1,0),"")</f>
        <v/>
      </c>
      <c r="U905" s="25">
        <f>IF(H905="","","|"&amp;SUBSTITUTE(SUBSTITUTE(TRIM(H905)," |","|"),"| ","|")&amp;"|")</f>
        <v/>
      </c>
      <c r="V905" s="25">
        <f>IF(AND(Q905=1,B905&lt;&gt;""),IF(IFERROR(COUNTIFS(B$3:B905,"="&amp;SUBSTITUTE(SUBSTITUTE(SUBSTITUTE(B905,"~","~~"),"*","~*"),"?","~?"),Q$3:Q905,1),0)=1,MAX(V$2:V904)+1,""),"")</f>
        <v/>
      </c>
      <c r="W905" s="25">
        <f>IF(V905="","",COUNTIFS($B$3:$B$1002,"="&amp;SUBSTITUTE(SUBSTITUTE(SUBSTITUTE(B905,"~","~~"),"*","~*"),"?","~?"),$Q$3:$Q$1002,1)*10000-V905)</f>
        <v/>
      </c>
      <c r="X905" s="25">
        <f>IF(Q905=1,IF(SUBSTITUTE(SUBSTITUTE(SUBSTITUTE(SUBSTITUTE(SUBSTITUTE(SUBSTITUTE(SUBSTITUTE(SUBSTITUTE(SUBSTITUTE(SUBSTITUTE(SUBSTITUTE(SUBSTITUTE(LOWER(TRIM(A905)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905)),"á","a"),"é","e"),"í","i"),"ó","o"),"ú","u"),"ü","u"),"ñ","n"),"à","a"),"è","e"),"ì","i"),"ò","o"),"ù","u")),"")</f>
        <v/>
      </c>
      <c r="Y905" s="25">
        <f>IF(X905="","",IF(IFERROR(COUNTIF(X$3:X905,"="&amp;SUBSTITUTE(SUBSTITUTE(SUBSTITUTE(X905,"~","~~"),"*","~*"),"?","~?")),0)=1,1,""))</f>
        <v/>
      </c>
      <c r="Z905" s="25">
        <f>IF(T905=1,MAX(Z$2:Z904)+1,"")</f>
        <v/>
      </c>
    </row>
    <row r="906">
      <c r="A906">
        <f>IF(A$2=0,"",IFERROR(TRIM(INDEX('Pegar calibracion'!$A$1:$BZ$1001,905,A$2)&amp;""),""))</f>
        <v/>
      </c>
      <c r="B906">
        <f>IF(B$2=0,"",IFERROR(TRIM(INDEX('Pegar calibracion'!$A$1:$BZ$1001,905,B$2)&amp;""),""))</f>
        <v/>
      </c>
      <c r="C906">
        <f>IF(C$2=0,"",IFERROR(TRIM(INDEX('Pegar calibracion'!$A$1:$BZ$1001,905,C$2)&amp;""),""))</f>
        <v/>
      </c>
      <c r="D906">
        <f>IF(D$2=0,"",IFERROR(TRIM(INDEX('Pegar calibracion'!$A$1:$BZ$1001,905,D$2)&amp;""),""))</f>
        <v/>
      </c>
      <c r="E906">
        <f>IF(E$2=0,"",IFERROR(TRIM(INDEX('Pegar calibracion'!$A$1:$BZ$1001,905,E$2)&amp;""),""))</f>
        <v/>
      </c>
      <c r="F906">
        <f>IF(F$2=0,"",IFERROR(TRIM(INDEX('Pegar calibracion'!$A$1:$BZ$1001,905,F$2)&amp;""),""))</f>
        <v/>
      </c>
      <c r="G906">
        <f>IF(G$2=0,"",IFERROR(TRIM(INDEX('Pegar calibracion'!$A$1:$BZ$1001,905,G$2)&amp;""),""))</f>
        <v/>
      </c>
      <c r="H906">
        <f>IF(H$2=0,"",IFERROR(TRIM(INDEX('Pegar calibracion'!$A$1:$BZ$1001,905,H$2)&amp;""),""))</f>
        <v/>
      </c>
      <c r="I906">
        <f>IF(I$2=0,"",IFERROR(TRIM(INDEX('Pegar calibracion'!$A$1:$BZ$1001,905,I$2)&amp;""),""))</f>
        <v/>
      </c>
      <c r="J906">
        <f>IF(J$2=0,"",IFERROR(TRIM(INDEX('Pegar calibracion'!$A$1:$BZ$1001,905,J$2)&amp;""),""))</f>
        <v/>
      </c>
      <c r="K906">
        <f>IF(K$2=0,"",IFERROR(TRIM(INDEX('Pegar calibracion'!$A$1:$BZ$1001,905,K$2)&amp;""),""))</f>
        <v/>
      </c>
      <c r="L906">
        <f>IF(L$2=0,"",IFERROR(TRIM(INDEX('Pegar calibracion'!$A$1:$BZ$1001,905,L$2)&amp;""),""))</f>
        <v/>
      </c>
      <c r="M906" s="25">
        <f>IF(D906="","",SUBSTITUTE(SUBSTITUTE(SUBSTITUTE(SUBSTITUTE(SUBSTITUTE(SUBSTITUTE(SUBSTITUTE(SUBSTITUTE(SUBSTITUTE(SUBSTITUTE(SUBSTITUTE(SUBSTITUTE(LOWER(TRIM(D906)),"á","a"),"é","e"),"í","i"),"ó","o"),"ú","u"),"ü","u"),"ñ","n"),"à","a"),"è","e"),"ì","i"),"ò","o"),"ù","u"))</f>
        <v/>
      </c>
      <c r="N906" s="25">
        <f>IF(F906="","",SUBSTITUTE(SUBSTITUTE(SUBSTITUTE(SUBSTITUTE(SUBSTITUTE(SUBSTITUTE(SUBSTITUTE(SUBSTITUTE(SUBSTITUTE(SUBSTITUTE(SUBSTITUTE(SUBSTITUTE(LOWER(TRIM(F906)),"á","a"),"é","e"),"í","i"),"ó","o"),"ú","u"),"ü","u"),"ñ","n"),"à","a"),"è","e"),"ì","i"),"ò","o"),"ù","u"))</f>
        <v/>
      </c>
      <c r="O906" s="25">
        <f>IF(M906="confiable",2,IF(M906="dudosa",1,IF(M906="no confiable",0,"")))</f>
        <v/>
      </c>
      <c r="P906" s="25">
        <f>IF(N906="confiable",2,IF(N906="dudosa",1,IF(N906="no confiable",0,"")))</f>
        <v/>
      </c>
      <c r="Q906" s="25">
        <f>IF(AND(ISNUMBER(O906),ISNUMBER(P906)),1,"")</f>
        <v/>
      </c>
      <c r="R906" s="25">
        <f>IF(Q906=1,IF(O906=P906,"Sí","No"),"")</f>
        <v/>
      </c>
      <c r="S906" s="25">
        <f>IF(Q906=1,IF(P906&lt;O906,"Más estricto",IF(P906&gt;O906,"Más permisivo","Igual")),"")</f>
        <v/>
      </c>
      <c r="T906" s="25">
        <f>IF(Q906=1,IF(ABS(O906-P906)=2,1,0),"")</f>
        <v/>
      </c>
      <c r="U906" s="25">
        <f>IF(H906="","","|"&amp;SUBSTITUTE(SUBSTITUTE(TRIM(H906)," |","|"),"| ","|")&amp;"|")</f>
        <v/>
      </c>
      <c r="V906" s="25">
        <f>IF(AND(Q906=1,B906&lt;&gt;""),IF(IFERROR(COUNTIFS(B$3:B906,"="&amp;SUBSTITUTE(SUBSTITUTE(SUBSTITUTE(B906,"~","~~"),"*","~*"),"?","~?"),Q$3:Q906,1),0)=1,MAX(V$2:V905)+1,""),"")</f>
        <v/>
      </c>
      <c r="W906" s="25">
        <f>IF(V906="","",COUNTIFS($B$3:$B$1002,"="&amp;SUBSTITUTE(SUBSTITUTE(SUBSTITUTE(B906,"~","~~"),"*","~*"),"?","~?"),$Q$3:$Q$1002,1)*10000-V906)</f>
        <v/>
      </c>
      <c r="X906" s="25">
        <f>IF(Q906=1,IF(SUBSTITUTE(SUBSTITUTE(SUBSTITUTE(SUBSTITUTE(SUBSTITUTE(SUBSTITUTE(SUBSTITUTE(SUBSTITUTE(SUBSTITUTE(SUBSTITUTE(SUBSTITUTE(SUBSTITUTE(LOWER(TRIM(A906)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906)),"á","a"),"é","e"),"í","i"),"ó","o"),"ú","u"),"ü","u"),"ñ","n"),"à","a"),"è","e"),"ì","i"),"ò","o"),"ù","u")),"")</f>
        <v/>
      </c>
      <c r="Y906" s="25">
        <f>IF(X906="","",IF(IFERROR(COUNTIF(X$3:X906,"="&amp;SUBSTITUTE(SUBSTITUTE(SUBSTITUTE(X906,"~","~~"),"*","~*"),"?","~?")),0)=1,1,""))</f>
        <v/>
      </c>
      <c r="Z906" s="25">
        <f>IF(T906=1,MAX(Z$2:Z905)+1,"")</f>
        <v/>
      </c>
    </row>
    <row r="907">
      <c r="A907">
        <f>IF(A$2=0,"",IFERROR(TRIM(INDEX('Pegar calibracion'!$A$1:$BZ$1001,906,A$2)&amp;""),""))</f>
        <v/>
      </c>
      <c r="B907">
        <f>IF(B$2=0,"",IFERROR(TRIM(INDEX('Pegar calibracion'!$A$1:$BZ$1001,906,B$2)&amp;""),""))</f>
        <v/>
      </c>
      <c r="C907">
        <f>IF(C$2=0,"",IFERROR(TRIM(INDEX('Pegar calibracion'!$A$1:$BZ$1001,906,C$2)&amp;""),""))</f>
        <v/>
      </c>
      <c r="D907">
        <f>IF(D$2=0,"",IFERROR(TRIM(INDEX('Pegar calibracion'!$A$1:$BZ$1001,906,D$2)&amp;""),""))</f>
        <v/>
      </c>
      <c r="E907">
        <f>IF(E$2=0,"",IFERROR(TRIM(INDEX('Pegar calibracion'!$A$1:$BZ$1001,906,E$2)&amp;""),""))</f>
        <v/>
      </c>
      <c r="F907">
        <f>IF(F$2=0,"",IFERROR(TRIM(INDEX('Pegar calibracion'!$A$1:$BZ$1001,906,F$2)&amp;""),""))</f>
        <v/>
      </c>
      <c r="G907">
        <f>IF(G$2=0,"",IFERROR(TRIM(INDEX('Pegar calibracion'!$A$1:$BZ$1001,906,G$2)&amp;""),""))</f>
        <v/>
      </c>
      <c r="H907">
        <f>IF(H$2=0,"",IFERROR(TRIM(INDEX('Pegar calibracion'!$A$1:$BZ$1001,906,H$2)&amp;""),""))</f>
        <v/>
      </c>
      <c r="I907">
        <f>IF(I$2=0,"",IFERROR(TRIM(INDEX('Pegar calibracion'!$A$1:$BZ$1001,906,I$2)&amp;""),""))</f>
        <v/>
      </c>
      <c r="J907">
        <f>IF(J$2=0,"",IFERROR(TRIM(INDEX('Pegar calibracion'!$A$1:$BZ$1001,906,J$2)&amp;""),""))</f>
        <v/>
      </c>
      <c r="K907">
        <f>IF(K$2=0,"",IFERROR(TRIM(INDEX('Pegar calibracion'!$A$1:$BZ$1001,906,K$2)&amp;""),""))</f>
        <v/>
      </c>
      <c r="L907">
        <f>IF(L$2=0,"",IFERROR(TRIM(INDEX('Pegar calibracion'!$A$1:$BZ$1001,906,L$2)&amp;""),""))</f>
        <v/>
      </c>
      <c r="M907" s="25">
        <f>IF(D907="","",SUBSTITUTE(SUBSTITUTE(SUBSTITUTE(SUBSTITUTE(SUBSTITUTE(SUBSTITUTE(SUBSTITUTE(SUBSTITUTE(SUBSTITUTE(SUBSTITUTE(SUBSTITUTE(SUBSTITUTE(LOWER(TRIM(D907)),"á","a"),"é","e"),"í","i"),"ó","o"),"ú","u"),"ü","u"),"ñ","n"),"à","a"),"è","e"),"ì","i"),"ò","o"),"ù","u"))</f>
        <v/>
      </c>
      <c r="N907" s="25">
        <f>IF(F907="","",SUBSTITUTE(SUBSTITUTE(SUBSTITUTE(SUBSTITUTE(SUBSTITUTE(SUBSTITUTE(SUBSTITUTE(SUBSTITUTE(SUBSTITUTE(SUBSTITUTE(SUBSTITUTE(SUBSTITUTE(LOWER(TRIM(F907)),"á","a"),"é","e"),"í","i"),"ó","o"),"ú","u"),"ü","u"),"ñ","n"),"à","a"),"è","e"),"ì","i"),"ò","o"),"ù","u"))</f>
        <v/>
      </c>
      <c r="O907" s="25">
        <f>IF(M907="confiable",2,IF(M907="dudosa",1,IF(M907="no confiable",0,"")))</f>
        <v/>
      </c>
      <c r="P907" s="25">
        <f>IF(N907="confiable",2,IF(N907="dudosa",1,IF(N907="no confiable",0,"")))</f>
        <v/>
      </c>
      <c r="Q907" s="25">
        <f>IF(AND(ISNUMBER(O907),ISNUMBER(P907)),1,"")</f>
        <v/>
      </c>
      <c r="R907" s="25">
        <f>IF(Q907=1,IF(O907=P907,"Sí","No"),"")</f>
        <v/>
      </c>
      <c r="S907" s="25">
        <f>IF(Q907=1,IF(P907&lt;O907,"Más estricto",IF(P907&gt;O907,"Más permisivo","Igual")),"")</f>
        <v/>
      </c>
      <c r="T907" s="25">
        <f>IF(Q907=1,IF(ABS(O907-P907)=2,1,0),"")</f>
        <v/>
      </c>
      <c r="U907" s="25">
        <f>IF(H907="","","|"&amp;SUBSTITUTE(SUBSTITUTE(TRIM(H907)," |","|"),"| ","|")&amp;"|")</f>
        <v/>
      </c>
      <c r="V907" s="25">
        <f>IF(AND(Q907=1,B907&lt;&gt;""),IF(IFERROR(COUNTIFS(B$3:B907,"="&amp;SUBSTITUTE(SUBSTITUTE(SUBSTITUTE(B907,"~","~~"),"*","~*"),"?","~?"),Q$3:Q907,1),0)=1,MAX(V$2:V906)+1,""),"")</f>
        <v/>
      </c>
      <c r="W907" s="25">
        <f>IF(V907="","",COUNTIFS($B$3:$B$1002,"="&amp;SUBSTITUTE(SUBSTITUTE(SUBSTITUTE(B907,"~","~~"),"*","~*"),"?","~?"),$Q$3:$Q$1002,1)*10000-V907)</f>
        <v/>
      </c>
      <c r="X907" s="25">
        <f>IF(Q907=1,IF(SUBSTITUTE(SUBSTITUTE(SUBSTITUTE(SUBSTITUTE(SUBSTITUTE(SUBSTITUTE(SUBSTITUTE(SUBSTITUTE(SUBSTITUTE(SUBSTITUTE(SUBSTITUTE(SUBSTITUTE(LOWER(TRIM(A907)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907)),"á","a"),"é","e"),"í","i"),"ó","o"),"ú","u"),"ü","u"),"ñ","n"),"à","a"),"è","e"),"ì","i"),"ò","o"),"ù","u")),"")</f>
        <v/>
      </c>
      <c r="Y907" s="25">
        <f>IF(X907="","",IF(IFERROR(COUNTIF(X$3:X907,"="&amp;SUBSTITUTE(SUBSTITUTE(SUBSTITUTE(X907,"~","~~"),"*","~*"),"?","~?")),0)=1,1,""))</f>
        <v/>
      </c>
      <c r="Z907" s="25">
        <f>IF(T907=1,MAX(Z$2:Z906)+1,"")</f>
        <v/>
      </c>
    </row>
    <row r="908">
      <c r="A908">
        <f>IF(A$2=0,"",IFERROR(TRIM(INDEX('Pegar calibracion'!$A$1:$BZ$1001,907,A$2)&amp;""),""))</f>
        <v/>
      </c>
      <c r="B908">
        <f>IF(B$2=0,"",IFERROR(TRIM(INDEX('Pegar calibracion'!$A$1:$BZ$1001,907,B$2)&amp;""),""))</f>
        <v/>
      </c>
      <c r="C908">
        <f>IF(C$2=0,"",IFERROR(TRIM(INDEX('Pegar calibracion'!$A$1:$BZ$1001,907,C$2)&amp;""),""))</f>
        <v/>
      </c>
      <c r="D908">
        <f>IF(D$2=0,"",IFERROR(TRIM(INDEX('Pegar calibracion'!$A$1:$BZ$1001,907,D$2)&amp;""),""))</f>
        <v/>
      </c>
      <c r="E908">
        <f>IF(E$2=0,"",IFERROR(TRIM(INDEX('Pegar calibracion'!$A$1:$BZ$1001,907,E$2)&amp;""),""))</f>
        <v/>
      </c>
      <c r="F908">
        <f>IF(F$2=0,"",IFERROR(TRIM(INDEX('Pegar calibracion'!$A$1:$BZ$1001,907,F$2)&amp;""),""))</f>
        <v/>
      </c>
      <c r="G908">
        <f>IF(G$2=0,"",IFERROR(TRIM(INDEX('Pegar calibracion'!$A$1:$BZ$1001,907,G$2)&amp;""),""))</f>
        <v/>
      </c>
      <c r="H908">
        <f>IF(H$2=0,"",IFERROR(TRIM(INDEX('Pegar calibracion'!$A$1:$BZ$1001,907,H$2)&amp;""),""))</f>
        <v/>
      </c>
      <c r="I908">
        <f>IF(I$2=0,"",IFERROR(TRIM(INDEX('Pegar calibracion'!$A$1:$BZ$1001,907,I$2)&amp;""),""))</f>
        <v/>
      </c>
      <c r="J908">
        <f>IF(J$2=0,"",IFERROR(TRIM(INDEX('Pegar calibracion'!$A$1:$BZ$1001,907,J$2)&amp;""),""))</f>
        <v/>
      </c>
      <c r="K908">
        <f>IF(K$2=0,"",IFERROR(TRIM(INDEX('Pegar calibracion'!$A$1:$BZ$1001,907,K$2)&amp;""),""))</f>
        <v/>
      </c>
      <c r="L908">
        <f>IF(L$2=0,"",IFERROR(TRIM(INDEX('Pegar calibracion'!$A$1:$BZ$1001,907,L$2)&amp;""),""))</f>
        <v/>
      </c>
      <c r="M908" s="25">
        <f>IF(D908="","",SUBSTITUTE(SUBSTITUTE(SUBSTITUTE(SUBSTITUTE(SUBSTITUTE(SUBSTITUTE(SUBSTITUTE(SUBSTITUTE(SUBSTITUTE(SUBSTITUTE(SUBSTITUTE(SUBSTITUTE(LOWER(TRIM(D908)),"á","a"),"é","e"),"í","i"),"ó","o"),"ú","u"),"ü","u"),"ñ","n"),"à","a"),"è","e"),"ì","i"),"ò","o"),"ù","u"))</f>
        <v/>
      </c>
      <c r="N908" s="25">
        <f>IF(F908="","",SUBSTITUTE(SUBSTITUTE(SUBSTITUTE(SUBSTITUTE(SUBSTITUTE(SUBSTITUTE(SUBSTITUTE(SUBSTITUTE(SUBSTITUTE(SUBSTITUTE(SUBSTITUTE(SUBSTITUTE(LOWER(TRIM(F908)),"á","a"),"é","e"),"í","i"),"ó","o"),"ú","u"),"ü","u"),"ñ","n"),"à","a"),"è","e"),"ì","i"),"ò","o"),"ù","u"))</f>
        <v/>
      </c>
      <c r="O908" s="25">
        <f>IF(M908="confiable",2,IF(M908="dudosa",1,IF(M908="no confiable",0,"")))</f>
        <v/>
      </c>
      <c r="P908" s="25">
        <f>IF(N908="confiable",2,IF(N908="dudosa",1,IF(N908="no confiable",0,"")))</f>
        <v/>
      </c>
      <c r="Q908" s="25">
        <f>IF(AND(ISNUMBER(O908),ISNUMBER(P908)),1,"")</f>
        <v/>
      </c>
      <c r="R908" s="25">
        <f>IF(Q908=1,IF(O908=P908,"Sí","No"),"")</f>
        <v/>
      </c>
      <c r="S908" s="25">
        <f>IF(Q908=1,IF(P908&lt;O908,"Más estricto",IF(P908&gt;O908,"Más permisivo","Igual")),"")</f>
        <v/>
      </c>
      <c r="T908" s="25">
        <f>IF(Q908=1,IF(ABS(O908-P908)=2,1,0),"")</f>
        <v/>
      </c>
      <c r="U908" s="25">
        <f>IF(H908="","","|"&amp;SUBSTITUTE(SUBSTITUTE(TRIM(H908)," |","|"),"| ","|")&amp;"|")</f>
        <v/>
      </c>
      <c r="V908" s="25">
        <f>IF(AND(Q908=1,B908&lt;&gt;""),IF(IFERROR(COUNTIFS(B$3:B908,"="&amp;SUBSTITUTE(SUBSTITUTE(SUBSTITUTE(B908,"~","~~"),"*","~*"),"?","~?"),Q$3:Q908,1),0)=1,MAX(V$2:V907)+1,""),"")</f>
        <v/>
      </c>
      <c r="W908" s="25">
        <f>IF(V908="","",COUNTIFS($B$3:$B$1002,"="&amp;SUBSTITUTE(SUBSTITUTE(SUBSTITUTE(B908,"~","~~"),"*","~*"),"?","~?"),$Q$3:$Q$1002,1)*10000-V908)</f>
        <v/>
      </c>
      <c r="X908" s="25">
        <f>IF(Q908=1,IF(SUBSTITUTE(SUBSTITUTE(SUBSTITUTE(SUBSTITUTE(SUBSTITUTE(SUBSTITUTE(SUBSTITUTE(SUBSTITUTE(SUBSTITUTE(SUBSTITUTE(SUBSTITUTE(SUBSTITUTE(LOWER(TRIM(A908)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908)),"á","a"),"é","e"),"í","i"),"ó","o"),"ú","u"),"ü","u"),"ñ","n"),"à","a"),"è","e"),"ì","i"),"ò","o"),"ù","u")),"")</f>
        <v/>
      </c>
      <c r="Y908" s="25">
        <f>IF(X908="","",IF(IFERROR(COUNTIF(X$3:X908,"="&amp;SUBSTITUTE(SUBSTITUTE(SUBSTITUTE(X908,"~","~~"),"*","~*"),"?","~?")),0)=1,1,""))</f>
        <v/>
      </c>
      <c r="Z908" s="25">
        <f>IF(T908=1,MAX(Z$2:Z907)+1,"")</f>
        <v/>
      </c>
    </row>
    <row r="909">
      <c r="A909">
        <f>IF(A$2=0,"",IFERROR(TRIM(INDEX('Pegar calibracion'!$A$1:$BZ$1001,908,A$2)&amp;""),""))</f>
        <v/>
      </c>
      <c r="B909">
        <f>IF(B$2=0,"",IFERROR(TRIM(INDEX('Pegar calibracion'!$A$1:$BZ$1001,908,B$2)&amp;""),""))</f>
        <v/>
      </c>
      <c r="C909">
        <f>IF(C$2=0,"",IFERROR(TRIM(INDEX('Pegar calibracion'!$A$1:$BZ$1001,908,C$2)&amp;""),""))</f>
        <v/>
      </c>
      <c r="D909">
        <f>IF(D$2=0,"",IFERROR(TRIM(INDEX('Pegar calibracion'!$A$1:$BZ$1001,908,D$2)&amp;""),""))</f>
        <v/>
      </c>
      <c r="E909">
        <f>IF(E$2=0,"",IFERROR(TRIM(INDEX('Pegar calibracion'!$A$1:$BZ$1001,908,E$2)&amp;""),""))</f>
        <v/>
      </c>
      <c r="F909">
        <f>IF(F$2=0,"",IFERROR(TRIM(INDEX('Pegar calibracion'!$A$1:$BZ$1001,908,F$2)&amp;""),""))</f>
        <v/>
      </c>
      <c r="G909">
        <f>IF(G$2=0,"",IFERROR(TRIM(INDEX('Pegar calibracion'!$A$1:$BZ$1001,908,G$2)&amp;""),""))</f>
        <v/>
      </c>
      <c r="H909">
        <f>IF(H$2=0,"",IFERROR(TRIM(INDEX('Pegar calibracion'!$A$1:$BZ$1001,908,H$2)&amp;""),""))</f>
        <v/>
      </c>
      <c r="I909">
        <f>IF(I$2=0,"",IFERROR(TRIM(INDEX('Pegar calibracion'!$A$1:$BZ$1001,908,I$2)&amp;""),""))</f>
        <v/>
      </c>
      <c r="J909">
        <f>IF(J$2=0,"",IFERROR(TRIM(INDEX('Pegar calibracion'!$A$1:$BZ$1001,908,J$2)&amp;""),""))</f>
        <v/>
      </c>
      <c r="K909">
        <f>IF(K$2=0,"",IFERROR(TRIM(INDEX('Pegar calibracion'!$A$1:$BZ$1001,908,K$2)&amp;""),""))</f>
        <v/>
      </c>
      <c r="L909">
        <f>IF(L$2=0,"",IFERROR(TRIM(INDEX('Pegar calibracion'!$A$1:$BZ$1001,908,L$2)&amp;""),""))</f>
        <v/>
      </c>
      <c r="M909" s="25">
        <f>IF(D909="","",SUBSTITUTE(SUBSTITUTE(SUBSTITUTE(SUBSTITUTE(SUBSTITUTE(SUBSTITUTE(SUBSTITUTE(SUBSTITUTE(SUBSTITUTE(SUBSTITUTE(SUBSTITUTE(SUBSTITUTE(LOWER(TRIM(D909)),"á","a"),"é","e"),"í","i"),"ó","o"),"ú","u"),"ü","u"),"ñ","n"),"à","a"),"è","e"),"ì","i"),"ò","o"),"ù","u"))</f>
        <v/>
      </c>
      <c r="N909" s="25">
        <f>IF(F909="","",SUBSTITUTE(SUBSTITUTE(SUBSTITUTE(SUBSTITUTE(SUBSTITUTE(SUBSTITUTE(SUBSTITUTE(SUBSTITUTE(SUBSTITUTE(SUBSTITUTE(SUBSTITUTE(SUBSTITUTE(LOWER(TRIM(F909)),"á","a"),"é","e"),"í","i"),"ó","o"),"ú","u"),"ü","u"),"ñ","n"),"à","a"),"è","e"),"ì","i"),"ò","o"),"ù","u"))</f>
        <v/>
      </c>
      <c r="O909" s="25">
        <f>IF(M909="confiable",2,IF(M909="dudosa",1,IF(M909="no confiable",0,"")))</f>
        <v/>
      </c>
      <c r="P909" s="25">
        <f>IF(N909="confiable",2,IF(N909="dudosa",1,IF(N909="no confiable",0,"")))</f>
        <v/>
      </c>
      <c r="Q909" s="25">
        <f>IF(AND(ISNUMBER(O909),ISNUMBER(P909)),1,"")</f>
        <v/>
      </c>
      <c r="R909" s="25">
        <f>IF(Q909=1,IF(O909=P909,"Sí","No"),"")</f>
        <v/>
      </c>
      <c r="S909" s="25">
        <f>IF(Q909=1,IF(P909&lt;O909,"Más estricto",IF(P909&gt;O909,"Más permisivo","Igual")),"")</f>
        <v/>
      </c>
      <c r="T909" s="25">
        <f>IF(Q909=1,IF(ABS(O909-P909)=2,1,0),"")</f>
        <v/>
      </c>
      <c r="U909" s="25">
        <f>IF(H909="","","|"&amp;SUBSTITUTE(SUBSTITUTE(TRIM(H909)," |","|"),"| ","|")&amp;"|")</f>
        <v/>
      </c>
      <c r="V909" s="25">
        <f>IF(AND(Q909=1,B909&lt;&gt;""),IF(IFERROR(COUNTIFS(B$3:B909,"="&amp;SUBSTITUTE(SUBSTITUTE(SUBSTITUTE(B909,"~","~~"),"*","~*"),"?","~?"),Q$3:Q909,1),0)=1,MAX(V$2:V908)+1,""),"")</f>
        <v/>
      </c>
      <c r="W909" s="25">
        <f>IF(V909="","",COUNTIFS($B$3:$B$1002,"="&amp;SUBSTITUTE(SUBSTITUTE(SUBSTITUTE(B909,"~","~~"),"*","~*"),"?","~?"),$Q$3:$Q$1002,1)*10000-V909)</f>
        <v/>
      </c>
      <c r="X909" s="25">
        <f>IF(Q909=1,IF(SUBSTITUTE(SUBSTITUTE(SUBSTITUTE(SUBSTITUTE(SUBSTITUTE(SUBSTITUTE(SUBSTITUTE(SUBSTITUTE(SUBSTITUTE(SUBSTITUTE(SUBSTITUTE(SUBSTITUTE(LOWER(TRIM(A909)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909)),"á","a"),"é","e"),"í","i"),"ó","o"),"ú","u"),"ü","u"),"ñ","n"),"à","a"),"è","e"),"ì","i"),"ò","o"),"ù","u")),"")</f>
        <v/>
      </c>
      <c r="Y909" s="25">
        <f>IF(X909="","",IF(IFERROR(COUNTIF(X$3:X909,"="&amp;SUBSTITUTE(SUBSTITUTE(SUBSTITUTE(X909,"~","~~"),"*","~*"),"?","~?")),0)=1,1,""))</f>
        <v/>
      </c>
      <c r="Z909" s="25">
        <f>IF(T909=1,MAX(Z$2:Z908)+1,"")</f>
        <v/>
      </c>
    </row>
    <row r="910">
      <c r="A910">
        <f>IF(A$2=0,"",IFERROR(TRIM(INDEX('Pegar calibracion'!$A$1:$BZ$1001,909,A$2)&amp;""),""))</f>
        <v/>
      </c>
      <c r="B910">
        <f>IF(B$2=0,"",IFERROR(TRIM(INDEX('Pegar calibracion'!$A$1:$BZ$1001,909,B$2)&amp;""),""))</f>
        <v/>
      </c>
      <c r="C910">
        <f>IF(C$2=0,"",IFERROR(TRIM(INDEX('Pegar calibracion'!$A$1:$BZ$1001,909,C$2)&amp;""),""))</f>
        <v/>
      </c>
      <c r="D910">
        <f>IF(D$2=0,"",IFERROR(TRIM(INDEX('Pegar calibracion'!$A$1:$BZ$1001,909,D$2)&amp;""),""))</f>
        <v/>
      </c>
      <c r="E910">
        <f>IF(E$2=0,"",IFERROR(TRIM(INDEX('Pegar calibracion'!$A$1:$BZ$1001,909,E$2)&amp;""),""))</f>
        <v/>
      </c>
      <c r="F910">
        <f>IF(F$2=0,"",IFERROR(TRIM(INDEX('Pegar calibracion'!$A$1:$BZ$1001,909,F$2)&amp;""),""))</f>
        <v/>
      </c>
      <c r="G910">
        <f>IF(G$2=0,"",IFERROR(TRIM(INDEX('Pegar calibracion'!$A$1:$BZ$1001,909,G$2)&amp;""),""))</f>
        <v/>
      </c>
      <c r="H910">
        <f>IF(H$2=0,"",IFERROR(TRIM(INDEX('Pegar calibracion'!$A$1:$BZ$1001,909,H$2)&amp;""),""))</f>
        <v/>
      </c>
      <c r="I910">
        <f>IF(I$2=0,"",IFERROR(TRIM(INDEX('Pegar calibracion'!$A$1:$BZ$1001,909,I$2)&amp;""),""))</f>
        <v/>
      </c>
      <c r="J910">
        <f>IF(J$2=0,"",IFERROR(TRIM(INDEX('Pegar calibracion'!$A$1:$BZ$1001,909,J$2)&amp;""),""))</f>
        <v/>
      </c>
      <c r="K910">
        <f>IF(K$2=0,"",IFERROR(TRIM(INDEX('Pegar calibracion'!$A$1:$BZ$1001,909,K$2)&amp;""),""))</f>
        <v/>
      </c>
      <c r="L910">
        <f>IF(L$2=0,"",IFERROR(TRIM(INDEX('Pegar calibracion'!$A$1:$BZ$1001,909,L$2)&amp;""),""))</f>
        <v/>
      </c>
      <c r="M910" s="25">
        <f>IF(D910="","",SUBSTITUTE(SUBSTITUTE(SUBSTITUTE(SUBSTITUTE(SUBSTITUTE(SUBSTITUTE(SUBSTITUTE(SUBSTITUTE(SUBSTITUTE(SUBSTITUTE(SUBSTITUTE(SUBSTITUTE(LOWER(TRIM(D910)),"á","a"),"é","e"),"í","i"),"ó","o"),"ú","u"),"ü","u"),"ñ","n"),"à","a"),"è","e"),"ì","i"),"ò","o"),"ù","u"))</f>
        <v/>
      </c>
      <c r="N910" s="25">
        <f>IF(F910="","",SUBSTITUTE(SUBSTITUTE(SUBSTITUTE(SUBSTITUTE(SUBSTITUTE(SUBSTITUTE(SUBSTITUTE(SUBSTITUTE(SUBSTITUTE(SUBSTITUTE(SUBSTITUTE(SUBSTITUTE(LOWER(TRIM(F910)),"á","a"),"é","e"),"í","i"),"ó","o"),"ú","u"),"ü","u"),"ñ","n"),"à","a"),"è","e"),"ì","i"),"ò","o"),"ù","u"))</f>
        <v/>
      </c>
      <c r="O910" s="25">
        <f>IF(M910="confiable",2,IF(M910="dudosa",1,IF(M910="no confiable",0,"")))</f>
        <v/>
      </c>
      <c r="P910" s="25">
        <f>IF(N910="confiable",2,IF(N910="dudosa",1,IF(N910="no confiable",0,"")))</f>
        <v/>
      </c>
      <c r="Q910" s="25">
        <f>IF(AND(ISNUMBER(O910),ISNUMBER(P910)),1,"")</f>
        <v/>
      </c>
      <c r="R910" s="25">
        <f>IF(Q910=1,IF(O910=P910,"Sí","No"),"")</f>
        <v/>
      </c>
      <c r="S910" s="25">
        <f>IF(Q910=1,IF(P910&lt;O910,"Más estricto",IF(P910&gt;O910,"Más permisivo","Igual")),"")</f>
        <v/>
      </c>
      <c r="T910" s="25">
        <f>IF(Q910=1,IF(ABS(O910-P910)=2,1,0),"")</f>
        <v/>
      </c>
      <c r="U910" s="25">
        <f>IF(H910="","","|"&amp;SUBSTITUTE(SUBSTITUTE(TRIM(H910)," |","|"),"| ","|")&amp;"|")</f>
        <v/>
      </c>
      <c r="V910" s="25">
        <f>IF(AND(Q910=1,B910&lt;&gt;""),IF(IFERROR(COUNTIFS(B$3:B910,"="&amp;SUBSTITUTE(SUBSTITUTE(SUBSTITUTE(B910,"~","~~"),"*","~*"),"?","~?"),Q$3:Q910,1),0)=1,MAX(V$2:V909)+1,""),"")</f>
        <v/>
      </c>
      <c r="W910" s="25">
        <f>IF(V910="","",COUNTIFS($B$3:$B$1002,"="&amp;SUBSTITUTE(SUBSTITUTE(SUBSTITUTE(B910,"~","~~"),"*","~*"),"?","~?"),$Q$3:$Q$1002,1)*10000-V910)</f>
        <v/>
      </c>
      <c r="X910" s="25">
        <f>IF(Q910=1,IF(SUBSTITUTE(SUBSTITUTE(SUBSTITUTE(SUBSTITUTE(SUBSTITUTE(SUBSTITUTE(SUBSTITUTE(SUBSTITUTE(SUBSTITUTE(SUBSTITUTE(SUBSTITUTE(SUBSTITUTE(LOWER(TRIM(A910)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910)),"á","a"),"é","e"),"í","i"),"ó","o"),"ú","u"),"ü","u"),"ñ","n"),"à","a"),"è","e"),"ì","i"),"ò","o"),"ù","u")),"")</f>
        <v/>
      </c>
      <c r="Y910" s="25">
        <f>IF(X910="","",IF(IFERROR(COUNTIF(X$3:X910,"="&amp;SUBSTITUTE(SUBSTITUTE(SUBSTITUTE(X910,"~","~~"),"*","~*"),"?","~?")),0)=1,1,""))</f>
        <v/>
      </c>
      <c r="Z910" s="25">
        <f>IF(T910=1,MAX(Z$2:Z909)+1,"")</f>
        <v/>
      </c>
    </row>
    <row r="911">
      <c r="A911">
        <f>IF(A$2=0,"",IFERROR(TRIM(INDEX('Pegar calibracion'!$A$1:$BZ$1001,910,A$2)&amp;""),""))</f>
        <v/>
      </c>
      <c r="B911">
        <f>IF(B$2=0,"",IFERROR(TRIM(INDEX('Pegar calibracion'!$A$1:$BZ$1001,910,B$2)&amp;""),""))</f>
        <v/>
      </c>
      <c r="C911">
        <f>IF(C$2=0,"",IFERROR(TRIM(INDEX('Pegar calibracion'!$A$1:$BZ$1001,910,C$2)&amp;""),""))</f>
        <v/>
      </c>
      <c r="D911">
        <f>IF(D$2=0,"",IFERROR(TRIM(INDEX('Pegar calibracion'!$A$1:$BZ$1001,910,D$2)&amp;""),""))</f>
        <v/>
      </c>
      <c r="E911">
        <f>IF(E$2=0,"",IFERROR(TRIM(INDEX('Pegar calibracion'!$A$1:$BZ$1001,910,E$2)&amp;""),""))</f>
        <v/>
      </c>
      <c r="F911">
        <f>IF(F$2=0,"",IFERROR(TRIM(INDEX('Pegar calibracion'!$A$1:$BZ$1001,910,F$2)&amp;""),""))</f>
        <v/>
      </c>
      <c r="G911">
        <f>IF(G$2=0,"",IFERROR(TRIM(INDEX('Pegar calibracion'!$A$1:$BZ$1001,910,G$2)&amp;""),""))</f>
        <v/>
      </c>
      <c r="H911">
        <f>IF(H$2=0,"",IFERROR(TRIM(INDEX('Pegar calibracion'!$A$1:$BZ$1001,910,H$2)&amp;""),""))</f>
        <v/>
      </c>
      <c r="I911">
        <f>IF(I$2=0,"",IFERROR(TRIM(INDEX('Pegar calibracion'!$A$1:$BZ$1001,910,I$2)&amp;""),""))</f>
        <v/>
      </c>
      <c r="J911">
        <f>IF(J$2=0,"",IFERROR(TRIM(INDEX('Pegar calibracion'!$A$1:$BZ$1001,910,J$2)&amp;""),""))</f>
        <v/>
      </c>
      <c r="K911">
        <f>IF(K$2=0,"",IFERROR(TRIM(INDEX('Pegar calibracion'!$A$1:$BZ$1001,910,K$2)&amp;""),""))</f>
        <v/>
      </c>
      <c r="L911">
        <f>IF(L$2=0,"",IFERROR(TRIM(INDEX('Pegar calibracion'!$A$1:$BZ$1001,910,L$2)&amp;""),""))</f>
        <v/>
      </c>
      <c r="M911" s="25">
        <f>IF(D911="","",SUBSTITUTE(SUBSTITUTE(SUBSTITUTE(SUBSTITUTE(SUBSTITUTE(SUBSTITUTE(SUBSTITUTE(SUBSTITUTE(SUBSTITUTE(SUBSTITUTE(SUBSTITUTE(SUBSTITUTE(LOWER(TRIM(D911)),"á","a"),"é","e"),"í","i"),"ó","o"),"ú","u"),"ü","u"),"ñ","n"),"à","a"),"è","e"),"ì","i"),"ò","o"),"ù","u"))</f>
        <v/>
      </c>
      <c r="N911" s="25">
        <f>IF(F911="","",SUBSTITUTE(SUBSTITUTE(SUBSTITUTE(SUBSTITUTE(SUBSTITUTE(SUBSTITUTE(SUBSTITUTE(SUBSTITUTE(SUBSTITUTE(SUBSTITUTE(SUBSTITUTE(SUBSTITUTE(LOWER(TRIM(F911)),"á","a"),"é","e"),"í","i"),"ó","o"),"ú","u"),"ü","u"),"ñ","n"),"à","a"),"è","e"),"ì","i"),"ò","o"),"ù","u"))</f>
        <v/>
      </c>
      <c r="O911" s="25">
        <f>IF(M911="confiable",2,IF(M911="dudosa",1,IF(M911="no confiable",0,"")))</f>
        <v/>
      </c>
      <c r="P911" s="25">
        <f>IF(N911="confiable",2,IF(N911="dudosa",1,IF(N911="no confiable",0,"")))</f>
        <v/>
      </c>
      <c r="Q911" s="25">
        <f>IF(AND(ISNUMBER(O911),ISNUMBER(P911)),1,"")</f>
        <v/>
      </c>
      <c r="R911" s="25">
        <f>IF(Q911=1,IF(O911=P911,"Sí","No"),"")</f>
        <v/>
      </c>
      <c r="S911" s="25">
        <f>IF(Q911=1,IF(P911&lt;O911,"Más estricto",IF(P911&gt;O911,"Más permisivo","Igual")),"")</f>
        <v/>
      </c>
      <c r="T911" s="25">
        <f>IF(Q911=1,IF(ABS(O911-P911)=2,1,0),"")</f>
        <v/>
      </c>
      <c r="U911" s="25">
        <f>IF(H911="","","|"&amp;SUBSTITUTE(SUBSTITUTE(TRIM(H911)," |","|"),"| ","|")&amp;"|")</f>
        <v/>
      </c>
      <c r="V911" s="25">
        <f>IF(AND(Q911=1,B911&lt;&gt;""),IF(IFERROR(COUNTIFS(B$3:B911,"="&amp;SUBSTITUTE(SUBSTITUTE(SUBSTITUTE(B911,"~","~~"),"*","~*"),"?","~?"),Q$3:Q911,1),0)=1,MAX(V$2:V910)+1,""),"")</f>
        <v/>
      </c>
      <c r="W911" s="25">
        <f>IF(V911="","",COUNTIFS($B$3:$B$1002,"="&amp;SUBSTITUTE(SUBSTITUTE(SUBSTITUTE(B911,"~","~~"),"*","~*"),"?","~?"),$Q$3:$Q$1002,1)*10000-V911)</f>
        <v/>
      </c>
      <c r="X911" s="25">
        <f>IF(Q911=1,IF(SUBSTITUTE(SUBSTITUTE(SUBSTITUTE(SUBSTITUTE(SUBSTITUTE(SUBSTITUTE(SUBSTITUTE(SUBSTITUTE(SUBSTITUTE(SUBSTITUTE(SUBSTITUTE(SUBSTITUTE(LOWER(TRIM(A911)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911)),"á","a"),"é","e"),"í","i"),"ó","o"),"ú","u"),"ü","u"),"ñ","n"),"à","a"),"è","e"),"ì","i"),"ò","o"),"ù","u")),"")</f>
        <v/>
      </c>
      <c r="Y911" s="25">
        <f>IF(X911="","",IF(IFERROR(COUNTIF(X$3:X911,"="&amp;SUBSTITUTE(SUBSTITUTE(SUBSTITUTE(X911,"~","~~"),"*","~*"),"?","~?")),0)=1,1,""))</f>
        <v/>
      </c>
      <c r="Z911" s="25">
        <f>IF(T911=1,MAX(Z$2:Z910)+1,"")</f>
        <v/>
      </c>
    </row>
    <row r="912">
      <c r="A912">
        <f>IF(A$2=0,"",IFERROR(TRIM(INDEX('Pegar calibracion'!$A$1:$BZ$1001,911,A$2)&amp;""),""))</f>
        <v/>
      </c>
      <c r="B912">
        <f>IF(B$2=0,"",IFERROR(TRIM(INDEX('Pegar calibracion'!$A$1:$BZ$1001,911,B$2)&amp;""),""))</f>
        <v/>
      </c>
      <c r="C912">
        <f>IF(C$2=0,"",IFERROR(TRIM(INDEX('Pegar calibracion'!$A$1:$BZ$1001,911,C$2)&amp;""),""))</f>
        <v/>
      </c>
      <c r="D912">
        <f>IF(D$2=0,"",IFERROR(TRIM(INDEX('Pegar calibracion'!$A$1:$BZ$1001,911,D$2)&amp;""),""))</f>
        <v/>
      </c>
      <c r="E912">
        <f>IF(E$2=0,"",IFERROR(TRIM(INDEX('Pegar calibracion'!$A$1:$BZ$1001,911,E$2)&amp;""),""))</f>
        <v/>
      </c>
      <c r="F912">
        <f>IF(F$2=0,"",IFERROR(TRIM(INDEX('Pegar calibracion'!$A$1:$BZ$1001,911,F$2)&amp;""),""))</f>
        <v/>
      </c>
      <c r="G912">
        <f>IF(G$2=0,"",IFERROR(TRIM(INDEX('Pegar calibracion'!$A$1:$BZ$1001,911,G$2)&amp;""),""))</f>
        <v/>
      </c>
      <c r="H912">
        <f>IF(H$2=0,"",IFERROR(TRIM(INDEX('Pegar calibracion'!$A$1:$BZ$1001,911,H$2)&amp;""),""))</f>
        <v/>
      </c>
      <c r="I912">
        <f>IF(I$2=0,"",IFERROR(TRIM(INDEX('Pegar calibracion'!$A$1:$BZ$1001,911,I$2)&amp;""),""))</f>
        <v/>
      </c>
      <c r="J912">
        <f>IF(J$2=0,"",IFERROR(TRIM(INDEX('Pegar calibracion'!$A$1:$BZ$1001,911,J$2)&amp;""),""))</f>
        <v/>
      </c>
      <c r="K912">
        <f>IF(K$2=0,"",IFERROR(TRIM(INDEX('Pegar calibracion'!$A$1:$BZ$1001,911,K$2)&amp;""),""))</f>
        <v/>
      </c>
      <c r="L912">
        <f>IF(L$2=0,"",IFERROR(TRIM(INDEX('Pegar calibracion'!$A$1:$BZ$1001,911,L$2)&amp;""),""))</f>
        <v/>
      </c>
      <c r="M912" s="25">
        <f>IF(D912="","",SUBSTITUTE(SUBSTITUTE(SUBSTITUTE(SUBSTITUTE(SUBSTITUTE(SUBSTITUTE(SUBSTITUTE(SUBSTITUTE(SUBSTITUTE(SUBSTITUTE(SUBSTITUTE(SUBSTITUTE(LOWER(TRIM(D912)),"á","a"),"é","e"),"í","i"),"ó","o"),"ú","u"),"ü","u"),"ñ","n"),"à","a"),"è","e"),"ì","i"),"ò","o"),"ù","u"))</f>
        <v/>
      </c>
      <c r="N912" s="25">
        <f>IF(F912="","",SUBSTITUTE(SUBSTITUTE(SUBSTITUTE(SUBSTITUTE(SUBSTITUTE(SUBSTITUTE(SUBSTITUTE(SUBSTITUTE(SUBSTITUTE(SUBSTITUTE(SUBSTITUTE(SUBSTITUTE(LOWER(TRIM(F912)),"á","a"),"é","e"),"í","i"),"ó","o"),"ú","u"),"ü","u"),"ñ","n"),"à","a"),"è","e"),"ì","i"),"ò","o"),"ù","u"))</f>
        <v/>
      </c>
      <c r="O912" s="25">
        <f>IF(M912="confiable",2,IF(M912="dudosa",1,IF(M912="no confiable",0,"")))</f>
        <v/>
      </c>
      <c r="P912" s="25">
        <f>IF(N912="confiable",2,IF(N912="dudosa",1,IF(N912="no confiable",0,"")))</f>
        <v/>
      </c>
      <c r="Q912" s="25">
        <f>IF(AND(ISNUMBER(O912),ISNUMBER(P912)),1,"")</f>
        <v/>
      </c>
      <c r="R912" s="25">
        <f>IF(Q912=1,IF(O912=P912,"Sí","No"),"")</f>
        <v/>
      </c>
      <c r="S912" s="25">
        <f>IF(Q912=1,IF(P912&lt;O912,"Más estricto",IF(P912&gt;O912,"Más permisivo","Igual")),"")</f>
        <v/>
      </c>
      <c r="T912" s="25">
        <f>IF(Q912=1,IF(ABS(O912-P912)=2,1,0),"")</f>
        <v/>
      </c>
      <c r="U912" s="25">
        <f>IF(H912="","","|"&amp;SUBSTITUTE(SUBSTITUTE(TRIM(H912)," |","|"),"| ","|")&amp;"|")</f>
        <v/>
      </c>
      <c r="V912" s="25">
        <f>IF(AND(Q912=1,B912&lt;&gt;""),IF(IFERROR(COUNTIFS(B$3:B912,"="&amp;SUBSTITUTE(SUBSTITUTE(SUBSTITUTE(B912,"~","~~"),"*","~*"),"?","~?"),Q$3:Q912,1),0)=1,MAX(V$2:V911)+1,""),"")</f>
        <v/>
      </c>
      <c r="W912" s="25">
        <f>IF(V912="","",COUNTIFS($B$3:$B$1002,"="&amp;SUBSTITUTE(SUBSTITUTE(SUBSTITUTE(B912,"~","~~"),"*","~*"),"?","~?"),$Q$3:$Q$1002,1)*10000-V912)</f>
        <v/>
      </c>
      <c r="X912" s="25">
        <f>IF(Q912=1,IF(SUBSTITUTE(SUBSTITUTE(SUBSTITUTE(SUBSTITUTE(SUBSTITUTE(SUBSTITUTE(SUBSTITUTE(SUBSTITUTE(SUBSTITUTE(SUBSTITUTE(SUBSTITUTE(SUBSTITUTE(LOWER(TRIM(A912)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912)),"á","a"),"é","e"),"í","i"),"ó","o"),"ú","u"),"ü","u"),"ñ","n"),"à","a"),"è","e"),"ì","i"),"ò","o"),"ù","u")),"")</f>
        <v/>
      </c>
      <c r="Y912" s="25">
        <f>IF(X912="","",IF(IFERROR(COUNTIF(X$3:X912,"="&amp;SUBSTITUTE(SUBSTITUTE(SUBSTITUTE(X912,"~","~~"),"*","~*"),"?","~?")),0)=1,1,""))</f>
        <v/>
      </c>
      <c r="Z912" s="25">
        <f>IF(T912=1,MAX(Z$2:Z911)+1,"")</f>
        <v/>
      </c>
    </row>
    <row r="913">
      <c r="A913">
        <f>IF(A$2=0,"",IFERROR(TRIM(INDEX('Pegar calibracion'!$A$1:$BZ$1001,912,A$2)&amp;""),""))</f>
        <v/>
      </c>
      <c r="B913">
        <f>IF(B$2=0,"",IFERROR(TRIM(INDEX('Pegar calibracion'!$A$1:$BZ$1001,912,B$2)&amp;""),""))</f>
        <v/>
      </c>
      <c r="C913">
        <f>IF(C$2=0,"",IFERROR(TRIM(INDEX('Pegar calibracion'!$A$1:$BZ$1001,912,C$2)&amp;""),""))</f>
        <v/>
      </c>
      <c r="D913">
        <f>IF(D$2=0,"",IFERROR(TRIM(INDEX('Pegar calibracion'!$A$1:$BZ$1001,912,D$2)&amp;""),""))</f>
        <v/>
      </c>
      <c r="E913">
        <f>IF(E$2=0,"",IFERROR(TRIM(INDEX('Pegar calibracion'!$A$1:$BZ$1001,912,E$2)&amp;""),""))</f>
        <v/>
      </c>
      <c r="F913">
        <f>IF(F$2=0,"",IFERROR(TRIM(INDEX('Pegar calibracion'!$A$1:$BZ$1001,912,F$2)&amp;""),""))</f>
        <v/>
      </c>
      <c r="G913">
        <f>IF(G$2=0,"",IFERROR(TRIM(INDEX('Pegar calibracion'!$A$1:$BZ$1001,912,G$2)&amp;""),""))</f>
        <v/>
      </c>
      <c r="H913">
        <f>IF(H$2=0,"",IFERROR(TRIM(INDEX('Pegar calibracion'!$A$1:$BZ$1001,912,H$2)&amp;""),""))</f>
        <v/>
      </c>
      <c r="I913">
        <f>IF(I$2=0,"",IFERROR(TRIM(INDEX('Pegar calibracion'!$A$1:$BZ$1001,912,I$2)&amp;""),""))</f>
        <v/>
      </c>
      <c r="J913">
        <f>IF(J$2=0,"",IFERROR(TRIM(INDEX('Pegar calibracion'!$A$1:$BZ$1001,912,J$2)&amp;""),""))</f>
        <v/>
      </c>
      <c r="K913">
        <f>IF(K$2=0,"",IFERROR(TRIM(INDEX('Pegar calibracion'!$A$1:$BZ$1001,912,K$2)&amp;""),""))</f>
        <v/>
      </c>
      <c r="L913">
        <f>IF(L$2=0,"",IFERROR(TRIM(INDEX('Pegar calibracion'!$A$1:$BZ$1001,912,L$2)&amp;""),""))</f>
        <v/>
      </c>
      <c r="M913" s="25">
        <f>IF(D913="","",SUBSTITUTE(SUBSTITUTE(SUBSTITUTE(SUBSTITUTE(SUBSTITUTE(SUBSTITUTE(SUBSTITUTE(SUBSTITUTE(SUBSTITUTE(SUBSTITUTE(SUBSTITUTE(SUBSTITUTE(LOWER(TRIM(D913)),"á","a"),"é","e"),"í","i"),"ó","o"),"ú","u"),"ü","u"),"ñ","n"),"à","a"),"è","e"),"ì","i"),"ò","o"),"ù","u"))</f>
        <v/>
      </c>
      <c r="N913" s="25">
        <f>IF(F913="","",SUBSTITUTE(SUBSTITUTE(SUBSTITUTE(SUBSTITUTE(SUBSTITUTE(SUBSTITUTE(SUBSTITUTE(SUBSTITUTE(SUBSTITUTE(SUBSTITUTE(SUBSTITUTE(SUBSTITUTE(LOWER(TRIM(F913)),"á","a"),"é","e"),"í","i"),"ó","o"),"ú","u"),"ü","u"),"ñ","n"),"à","a"),"è","e"),"ì","i"),"ò","o"),"ù","u"))</f>
        <v/>
      </c>
      <c r="O913" s="25">
        <f>IF(M913="confiable",2,IF(M913="dudosa",1,IF(M913="no confiable",0,"")))</f>
        <v/>
      </c>
      <c r="P913" s="25">
        <f>IF(N913="confiable",2,IF(N913="dudosa",1,IF(N913="no confiable",0,"")))</f>
        <v/>
      </c>
      <c r="Q913" s="25">
        <f>IF(AND(ISNUMBER(O913),ISNUMBER(P913)),1,"")</f>
        <v/>
      </c>
      <c r="R913" s="25">
        <f>IF(Q913=1,IF(O913=P913,"Sí","No"),"")</f>
        <v/>
      </c>
      <c r="S913" s="25">
        <f>IF(Q913=1,IF(P913&lt;O913,"Más estricto",IF(P913&gt;O913,"Más permisivo","Igual")),"")</f>
        <v/>
      </c>
      <c r="T913" s="25">
        <f>IF(Q913=1,IF(ABS(O913-P913)=2,1,0),"")</f>
        <v/>
      </c>
      <c r="U913" s="25">
        <f>IF(H913="","","|"&amp;SUBSTITUTE(SUBSTITUTE(TRIM(H913)," |","|"),"| ","|")&amp;"|")</f>
        <v/>
      </c>
      <c r="V913" s="25">
        <f>IF(AND(Q913=1,B913&lt;&gt;""),IF(IFERROR(COUNTIFS(B$3:B913,"="&amp;SUBSTITUTE(SUBSTITUTE(SUBSTITUTE(B913,"~","~~"),"*","~*"),"?","~?"),Q$3:Q913,1),0)=1,MAX(V$2:V912)+1,""),"")</f>
        <v/>
      </c>
      <c r="W913" s="25">
        <f>IF(V913="","",COUNTIFS($B$3:$B$1002,"="&amp;SUBSTITUTE(SUBSTITUTE(SUBSTITUTE(B913,"~","~~"),"*","~*"),"?","~?"),$Q$3:$Q$1002,1)*10000-V913)</f>
        <v/>
      </c>
      <c r="X913" s="25">
        <f>IF(Q913=1,IF(SUBSTITUTE(SUBSTITUTE(SUBSTITUTE(SUBSTITUTE(SUBSTITUTE(SUBSTITUTE(SUBSTITUTE(SUBSTITUTE(SUBSTITUTE(SUBSTITUTE(SUBSTITUTE(SUBSTITUTE(LOWER(TRIM(A913)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913)),"á","a"),"é","e"),"í","i"),"ó","o"),"ú","u"),"ü","u"),"ñ","n"),"à","a"),"è","e"),"ì","i"),"ò","o"),"ù","u")),"")</f>
        <v/>
      </c>
      <c r="Y913" s="25">
        <f>IF(X913="","",IF(IFERROR(COUNTIF(X$3:X913,"="&amp;SUBSTITUTE(SUBSTITUTE(SUBSTITUTE(X913,"~","~~"),"*","~*"),"?","~?")),0)=1,1,""))</f>
        <v/>
      </c>
      <c r="Z913" s="25">
        <f>IF(T913=1,MAX(Z$2:Z912)+1,"")</f>
        <v/>
      </c>
    </row>
    <row r="914">
      <c r="A914">
        <f>IF(A$2=0,"",IFERROR(TRIM(INDEX('Pegar calibracion'!$A$1:$BZ$1001,913,A$2)&amp;""),""))</f>
        <v/>
      </c>
      <c r="B914">
        <f>IF(B$2=0,"",IFERROR(TRIM(INDEX('Pegar calibracion'!$A$1:$BZ$1001,913,B$2)&amp;""),""))</f>
        <v/>
      </c>
      <c r="C914">
        <f>IF(C$2=0,"",IFERROR(TRIM(INDEX('Pegar calibracion'!$A$1:$BZ$1001,913,C$2)&amp;""),""))</f>
        <v/>
      </c>
      <c r="D914">
        <f>IF(D$2=0,"",IFERROR(TRIM(INDEX('Pegar calibracion'!$A$1:$BZ$1001,913,D$2)&amp;""),""))</f>
        <v/>
      </c>
      <c r="E914">
        <f>IF(E$2=0,"",IFERROR(TRIM(INDEX('Pegar calibracion'!$A$1:$BZ$1001,913,E$2)&amp;""),""))</f>
        <v/>
      </c>
      <c r="F914">
        <f>IF(F$2=0,"",IFERROR(TRIM(INDEX('Pegar calibracion'!$A$1:$BZ$1001,913,F$2)&amp;""),""))</f>
        <v/>
      </c>
      <c r="G914">
        <f>IF(G$2=0,"",IFERROR(TRIM(INDEX('Pegar calibracion'!$A$1:$BZ$1001,913,G$2)&amp;""),""))</f>
        <v/>
      </c>
      <c r="H914">
        <f>IF(H$2=0,"",IFERROR(TRIM(INDEX('Pegar calibracion'!$A$1:$BZ$1001,913,H$2)&amp;""),""))</f>
        <v/>
      </c>
      <c r="I914">
        <f>IF(I$2=0,"",IFERROR(TRIM(INDEX('Pegar calibracion'!$A$1:$BZ$1001,913,I$2)&amp;""),""))</f>
        <v/>
      </c>
      <c r="J914">
        <f>IF(J$2=0,"",IFERROR(TRIM(INDEX('Pegar calibracion'!$A$1:$BZ$1001,913,J$2)&amp;""),""))</f>
        <v/>
      </c>
      <c r="K914">
        <f>IF(K$2=0,"",IFERROR(TRIM(INDEX('Pegar calibracion'!$A$1:$BZ$1001,913,K$2)&amp;""),""))</f>
        <v/>
      </c>
      <c r="L914">
        <f>IF(L$2=0,"",IFERROR(TRIM(INDEX('Pegar calibracion'!$A$1:$BZ$1001,913,L$2)&amp;""),""))</f>
        <v/>
      </c>
      <c r="M914" s="25">
        <f>IF(D914="","",SUBSTITUTE(SUBSTITUTE(SUBSTITUTE(SUBSTITUTE(SUBSTITUTE(SUBSTITUTE(SUBSTITUTE(SUBSTITUTE(SUBSTITUTE(SUBSTITUTE(SUBSTITUTE(SUBSTITUTE(LOWER(TRIM(D914)),"á","a"),"é","e"),"í","i"),"ó","o"),"ú","u"),"ü","u"),"ñ","n"),"à","a"),"è","e"),"ì","i"),"ò","o"),"ù","u"))</f>
        <v/>
      </c>
      <c r="N914" s="25">
        <f>IF(F914="","",SUBSTITUTE(SUBSTITUTE(SUBSTITUTE(SUBSTITUTE(SUBSTITUTE(SUBSTITUTE(SUBSTITUTE(SUBSTITUTE(SUBSTITUTE(SUBSTITUTE(SUBSTITUTE(SUBSTITUTE(LOWER(TRIM(F914)),"á","a"),"é","e"),"í","i"),"ó","o"),"ú","u"),"ü","u"),"ñ","n"),"à","a"),"è","e"),"ì","i"),"ò","o"),"ù","u"))</f>
        <v/>
      </c>
      <c r="O914" s="25">
        <f>IF(M914="confiable",2,IF(M914="dudosa",1,IF(M914="no confiable",0,"")))</f>
        <v/>
      </c>
      <c r="P914" s="25">
        <f>IF(N914="confiable",2,IF(N914="dudosa",1,IF(N914="no confiable",0,"")))</f>
        <v/>
      </c>
      <c r="Q914" s="25">
        <f>IF(AND(ISNUMBER(O914),ISNUMBER(P914)),1,"")</f>
        <v/>
      </c>
      <c r="R914" s="25">
        <f>IF(Q914=1,IF(O914=P914,"Sí","No"),"")</f>
        <v/>
      </c>
      <c r="S914" s="25">
        <f>IF(Q914=1,IF(P914&lt;O914,"Más estricto",IF(P914&gt;O914,"Más permisivo","Igual")),"")</f>
        <v/>
      </c>
      <c r="T914" s="25">
        <f>IF(Q914=1,IF(ABS(O914-P914)=2,1,0),"")</f>
        <v/>
      </c>
      <c r="U914" s="25">
        <f>IF(H914="","","|"&amp;SUBSTITUTE(SUBSTITUTE(TRIM(H914)," |","|"),"| ","|")&amp;"|")</f>
        <v/>
      </c>
      <c r="V914" s="25">
        <f>IF(AND(Q914=1,B914&lt;&gt;""),IF(IFERROR(COUNTIFS(B$3:B914,"="&amp;SUBSTITUTE(SUBSTITUTE(SUBSTITUTE(B914,"~","~~"),"*","~*"),"?","~?"),Q$3:Q914,1),0)=1,MAX(V$2:V913)+1,""),"")</f>
        <v/>
      </c>
      <c r="W914" s="25">
        <f>IF(V914="","",COUNTIFS($B$3:$B$1002,"="&amp;SUBSTITUTE(SUBSTITUTE(SUBSTITUTE(B914,"~","~~"),"*","~*"),"?","~?"),$Q$3:$Q$1002,1)*10000-V914)</f>
        <v/>
      </c>
      <c r="X914" s="25">
        <f>IF(Q914=1,IF(SUBSTITUTE(SUBSTITUTE(SUBSTITUTE(SUBSTITUTE(SUBSTITUTE(SUBSTITUTE(SUBSTITUTE(SUBSTITUTE(SUBSTITUTE(SUBSTITUTE(SUBSTITUTE(SUBSTITUTE(LOWER(TRIM(A914)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914)),"á","a"),"é","e"),"í","i"),"ó","o"),"ú","u"),"ü","u"),"ñ","n"),"à","a"),"è","e"),"ì","i"),"ò","o"),"ù","u")),"")</f>
        <v/>
      </c>
      <c r="Y914" s="25">
        <f>IF(X914="","",IF(IFERROR(COUNTIF(X$3:X914,"="&amp;SUBSTITUTE(SUBSTITUTE(SUBSTITUTE(X914,"~","~~"),"*","~*"),"?","~?")),0)=1,1,""))</f>
        <v/>
      </c>
      <c r="Z914" s="25">
        <f>IF(T914=1,MAX(Z$2:Z913)+1,"")</f>
        <v/>
      </c>
    </row>
    <row r="915">
      <c r="A915">
        <f>IF(A$2=0,"",IFERROR(TRIM(INDEX('Pegar calibracion'!$A$1:$BZ$1001,914,A$2)&amp;""),""))</f>
        <v/>
      </c>
      <c r="B915">
        <f>IF(B$2=0,"",IFERROR(TRIM(INDEX('Pegar calibracion'!$A$1:$BZ$1001,914,B$2)&amp;""),""))</f>
        <v/>
      </c>
      <c r="C915">
        <f>IF(C$2=0,"",IFERROR(TRIM(INDEX('Pegar calibracion'!$A$1:$BZ$1001,914,C$2)&amp;""),""))</f>
        <v/>
      </c>
      <c r="D915">
        <f>IF(D$2=0,"",IFERROR(TRIM(INDEX('Pegar calibracion'!$A$1:$BZ$1001,914,D$2)&amp;""),""))</f>
        <v/>
      </c>
      <c r="E915">
        <f>IF(E$2=0,"",IFERROR(TRIM(INDEX('Pegar calibracion'!$A$1:$BZ$1001,914,E$2)&amp;""),""))</f>
        <v/>
      </c>
      <c r="F915">
        <f>IF(F$2=0,"",IFERROR(TRIM(INDEX('Pegar calibracion'!$A$1:$BZ$1001,914,F$2)&amp;""),""))</f>
        <v/>
      </c>
      <c r="G915">
        <f>IF(G$2=0,"",IFERROR(TRIM(INDEX('Pegar calibracion'!$A$1:$BZ$1001,914,G$2)&amp;""),""))</f>
        <v/>
      </c>
      <c r="H915">
        <f>IF(H$2=0,"",IFERROR(TRIM(INDEX('Pegar calibracion'!$A$1:$BZ$1001,914,H$2)&amp;""),""))</f>
        <v/>
      </c>
      <c r="I915">
        <f>IF(I$2=0,"",IFERROR(TRIM(INDEX('Pegar calibracion'!$A$1:$BZ$1001,914,I$2)&amp;""),""))</f>
        <v/>
      </c>
      <c r="J915">
        <f>IF(J$2=0,"",IFERROR(TRIM(INDEX('Pegar calibracion'!$A$1:$BZ$1001,914,J$2)&amp;""),""))</f>
        <v/>
      </c>
      <c r="K915">
        <f>IF(K$2=0,"",IFERROR(TRIM(INDEX('Pegar calibracion'!$A$1:$BZ$1001,914,K$2)&amp;""),""))</f>
        <v/>
      </c>
      <c r="L915">
        <f>IF(L$2=0,"",IFERROR(TRIM(INDEX('Pegar calibracion'!$A$1:$BZ$1001,914,L$2)&amp;""),""))</f>
        <v/>
      </c>
      <c r="M915" s="25">
        <f>IF(D915="","",SUBSTITUTE(SUBSTITUTE(SUBSTITUTE(SUBSTITUTE(SUBSTITUTE(SUBSTITUTE(SUBSTITUTE(SUBSTITUTE(SUBSTITUTE(SUBSTITUTE(SUBSTITUTE(SUBSTITUTE(LOWER(TRIM(D915)),"á","a"),"é","e"),"í","i"),"ó","o"),"ú","u"),"ü","u"),"ñ","n"),"à","a"),"è","e"),"ì","i"),"ò","o"),"ù","u"))</f>
        <v/>
      </c>
      <c r="N915" s="25">
        <f>IF(F915="","",SUBSTITUTE(SUBSTITUTE(SUBSTITUTE(SUBSTITUTE(SUBSTITUTE(SUBSTITUTE(SUBSTITUTE(SUBSTITUTE(SUBSTITUTE(SUBSTITUTE(SUBSTITUTE(SUBSTITUTE(LOWER(TRIM(F915)),"á","a"),"é","e"),"í","i"),"ó","o"),"ú","u"),"ü","u"),"ñ","n"),"à","a"),"è","e"),"ì","i"),"ò","o"),"ù","u"))</f>
        <v/>
      </c>
      <c r="O915" s="25">
        <f>IF(M915="confiable",2,IF(M915="dudosa",1,IF(M915="no confiable",0,"")))</f>
        <v/>
      </c>
      <c r="P915" s="25">
        <f>IF(N915="confiable",2,IF(N915="dudosa",1,IF(N915="no confiable",0,"")))</f>
        <v/>
      </c>
      <c r="Q915" s="25">
        <f>IF(AND(ISNUMBER(O915),ISNUMBER(P915)),1,"")</f>
        <v/>
      </c>
      <c r="R915" s="25">
        <f>IF(Q915=1,IF(O915=P915,"Sí","No"),"")</f>
        <v/>
      </c>
      <c r="S915" s="25">
        <f>IF(Q915=1,IF(P915&lt;O915,"Más estricto",IF(P915&gt;O915,"Más permisivo","Igual")),"")</f>
        <v/>
      </c>
      <c r="T915" s="25">
        <f>IF(Q915=1,IF(ABS(O915-P915)=2,1,0),"")</f>
        <v/>
      </c>
      <c r="U915" s="25">
        <f>IF(H915="","","|"&amp;SUBSTITUTE(SUBSTITUTE(TRIM(H915)," |","|"),"| ","|")&amp;"|")</f>
        <v/>
      </c>
      <c r="V915" s="25">
        <f>IF(AND(Q915=1,B915&lt;&gt;""),IF(IFERROR(COUNTIFS(B$3:B915,"="&amp;SUBSTITUTE(SUBSTITUTE(SUBSTITUTE(B915,"~","~~"),"*","~*"),"?","~?"),Q$3:Q915,1),0)=1,MAX(V$2:V914)+1,""),"")</f>
        <v/>
      </c>
      <c r="W915" s="25">
        <f>IF(V915="","",COUNTIFS($B$3:$B$1002,"="&amp;SUBSTITUTE(SUBSTITUTE(SUBSTITUTE(B915,"~","~~"),"*","~*"),"?","~?"),$Q$3:$Q$1002,1)*10000-V915)</f>
        <v/>
      </c>
      <c r="X915" s="25">
        <f>IF(Q915=1,IF(SUBSTITUTE(SUBSTITUTE(SUBSTITUTE(SUBSTITUTE(SUBSTITUTE(SUBSTITUTE(SUBSTITUTE(SUBSTITUTE(SUBSTITUTE(SUBSTITUTE(SUBSTITUTE(SUBSTITUTE(LOWER(TRIM(A915)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915)),"á","a"),"é","e"),"í","i"),"ó","o"),"ú","u"),"ü","u"),"ñ","n"),"à","a"),"è","e"),"ì","i"),"ò","o"),"ù","u")),"")</f>
        <v/>
      </c>
      <c r="Y915" s="25">
        <f>IF(X915="","",IF(IFERROR(COUNTIF(X$3:X915,"="&amp;SUBSTITUTE(SUBSTITUTE(SUBSTITUTE(X915,"~","~~"),"*","~*"),"?","~?")),0)=1,1,""))</f>
        <v/>
      </c>
      <c r="Z915" s="25">
        <f>IF(T915=1,MAX(Z$2:Z914)+1,"")</f>
        <v/>
      </c>
    </row>
    <row r="916">
      <c r="A916">
        <f>IF(A$2=0,"",IFERROR(TRIM(INDEX('Pegar calibracion'!$A$1:$BZ$1001,915,A$2)&amp;""),""))</f>
        <v/>
      </c>
      <c r="B916">
        <f>IF(B$2=0,"",IFERROR(TRIM(INDEX('Pegar calibracion'!$A$1:$BZ$1001,915,B$2)&amp;""),""))</f>
        <v/>
      </c>
      <c r="C916">
        <f>IF(C$2=0,"",IFERROR(TRIM(INDEX('Pegar calibracion'!$A$1:$BZ$1001,915,C$2)&amp;""),""))</f>
        <v/>
      </c>
      <c r="D916">
        <f>IF(D$2=0,"",IFERROR(TRIM(INDEX('Pegar calibracion'!$A$1:$BZ$1001,915,D$2)&amp;""),""))</f>
        <v/>
      </c>
      <c r="E916">
        <f>IF(E$2=0,"",IFERROR(TRIM(INDEX('Pegar calibracion'!$A$1:$BZ$1001,915,E$2)&amp;""),""))</f>
        <v/>
      </c>
      <c r="F916">
        <f>IF(F$2=0,"",IFERROR(TRIM(INDEX('Pegar calibracion'!$A$1:$BZ$1001,915,F$2)&amp;""),""))</f>
        <v/>
      </c>
      <c r="G916">
        <f>IF(G$2=0,"",IFERROR(TRIM(INDEX('Pegar calibracion'!$A$1:$BZ$1001,915,G$2)&amp;""),""))</f>
        <v/>
      </c>
      <c r="H916">
        <f>IF(H$2=0,"",IFERROR(TRIM(INDEX('Pegar calibracion'!$A$1:$BZ$1001,915,H$2)&amp;""),""))</f>
        <v/>
      </c>
      <c r="I916">
        <f>IF(I$2=0,"",IFERROR(TRIM(INDEX('Pegar calibracion'!$A$1:$BZ$1001,915,I$2)&amp;""),""))</f>
        <v/>
      </c>
      <c r="J916">
        <f>IF(J$2=0,"",IFERROR(TRIM(INDEX('Pegar calibracion'!$A$1:$BZ$1001,915,J$2)&amp;""),""))</f>
        <v/>
      </c>
      <c r="K916">
        <f>IF(K$2=0,"",IFERROR(TRIM(INDEX('Pegar calibracion'!$A$1:$BZ$1001,915,K$2)&amp;""),""))</f>
        <v/>
      </c>
      <c r="L916">
        <f>IF(L$2=0,"",IFERROR(TRIM(INDEX('Pegar calibracion'!$A$1:$BZ$1001,915,L$2)&amp;""),""))</f>
        <v/>
      </c>
      <c r="M916" s="25">
        <f>IF(D916="","",SUBSTITUTE(SUBSTITUTE(SUBSTITUTE(SUBSTITUTE(SUBSTITUTE(SUBSTITUTE(SUBSTITUTE(SUBSTITUTE(SUBSTITUTE(SUBSTITUTE(SUBSTITUTE(SUBSTITUTE(LOWER(TRIM(D916)),"á","a"),"é","e"),"í","i"),"ó","o"),"ú","u"),"ü","u"),"ñ","n"),"à","a"),"è","e"),"ì","i"),"ò","o"),"ù","u"))</f>
        <v/>
      </c>
      <c r="N916" s="25">
        <f>IF(F916="","",SUBSTITUTE(SUBSTITUTE(SUBSTITUTE(SUBSTITUTE(SUBSTITUTE(SUBSTITUTE(SUBSTITUTE(SUBSTITUTE(SUBSTITUTE(SUBSTITUTE(SUBSTITUTE(SUBSTITUTE(LOWER(TRIM(F916)),"á","a"),"é","e"),"í","i"),"ó","o"),"ú","u"),"ü","u"),"ñ","n"),"à","a"),"è","e"),"ì","i"),"ò","o"),"ù","u"))</f>
        <v/>
      </c>
      <c r="O916" s="25">
        <f>IF(M916="confiable",2,IF(M916="dudosa",1,IF(M916="no confiable",0,"")))</f>
        <v/>
      </c>
      <c r="P916" s="25">
        <f>IF(N916="confiable",2,IF(N916="dudosa",1,IF(N916="no confiable",0,"")))</f>
        <v/>
      </c>
      <c r="Q916" s="25">
        <f>IF(AND(ISNUMBER(O916),ISNUMBER(P916)),1,"")</f>
        <v/>
      </c>
      <c r="R916" s="25">
        <f>IF(Q916=1,IF(O916=P916,"Sí","No"),"")</f>
        <v/>
      </c>
      <c r="S916" s="25">
        <f>IF(Q916=1,IF(P916&lt;O916,"Más estricto",IF(P916&gt;O916,"Más permisivo","Igual")),"")</f>
        <v/>
      </c>
      <c r="T916" s="25">
        <f>IF(Q916=1,IF(ABS(O916-P916)=2,1,0),"")</f>
        <v/>
      </c>
      <c r="U916" s="25">
        <f>IF(H916="","","|"&amp;SUBSTITUTE(SUBSTITUTE(TRIM(H916)," |","|"),"| ","|")&amp;"|")</f>
        <v/>
      </c>
      <c r="V916" s="25">
        <f>IF(AND(Q916=1,B916&lt;&gt;""),IF(IFERROR(COUNTIFS(B$3:B916,"="&amp;SUBSTITUTE(SUBSTITUTE(SUBSTITUTE(B916,"~","~~"),"*","~*"),"?","~?"),Q$3:Q916,1),0)=1,MAX(V$2:V915)+1,""),"")</f>
        <v/>
      </c>
      <c r="W916" s="25">
        <f>IF(V916="","",COUNTIFS($B$3:$B$1002,"="&amp;SUBSTITUTE(SUBSTITUTE(SUBSTITUTE(B916,"~","~~"),"*","~*"),"?","~?"),$Q$3:$Q$1002,1)*10000-V916)</f>
        <v/>
      </c>
      <c r="X916" s="25">
        <f>IF(Q916=1,IF(SUBSTITUTE(SUBSTITUTE(SUBSTITUTE(SUBSTITUTE(SUBSTITUTE(SUBSTITUTE(SUBSTITUTE(SUBSTITUTE(SUBSTITUTE(SUBSTITUTE(SUBSTITUTE(SUBSTITUTE(LOWER(TRIM(A916)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916)),"á","a"),"é","e"),"í","i"),"ó","o"),"ú","u"),"ü","u"),"ñ","n"),"à","a"),"è","e"),"ì","i"),"ò","o"),"ù","u")),"")</f>
        <v/>
      </c>
      <c r="Y916" s="25">
        <f>IF(X916="","",IF(IFERROR(COUNTIF(X$3:X916,"="&amp;SUBSTITUTE(SUBSTITUTE(SUBSTITUTE(X916,"~","~~"),"*","~*"),"?","~?")),0)=1,1,""))</f>
        <v/>
      </c>
      <c r="Z916" s="25">
        <f>IF(T916=1,MAX(Z$2:Z915)+1,"")</f>
        <v/>
      </c>
    </row>
    <row r="917">
      <c r="A917">
        <f>IF(A$2=0,"",IFERROR(TRIM(INDEX('Pegar calibracion'!$A$1:$BZ$1001,916,A$2)&amp;""),""))</f>
        <v/>
      </c>
      <c r="B917">
        <f>IF(B$2=0,"",IFERROR(TRIM(INDEX('Pegar calibracion'!$A$1:$BZ$1001,916,B$2)&amp;""),""))</f>
        <v/>
      </c>
      <c r="C917">
        <f>IF(C$2=0,"",IFERROR(TRIM(INDEX('Pegar calibracion'!$A$1:$BZ$1001,916,C$2)&amp;""),""))</f>
        <v/>
      </c>
      <c r="D917">
        <f>IF(D$2=0,"",IFERROR(TRIM(INDEX('Pegar calibracion'!$A$1:$BZ$1001,916,D$2)&amp;""),""))</f>
        <v/>
      </c>
      <c r="E917">
        <f>IF(E$2=0,"",IFERROR(TRIM(INDEX('Pegar calibracion'!$A$1:$BZ$1001,916,E$2)&amp;""),""))</f>
        <v/>
      </c>
      <c r="F917">
        <f>IF(F$2=0,"",IFERROR(TRIM(INDEX('Pegar calibracion'!$A$1:$BZ$1001,916,F$2)&amp;""),""))</f>
        <v/>
      </c>
      <c r="G917">
        <f>IF(G$2=0,"",IFERROR(TRIM(INDEX('Pegar calibracion'!$A$1:$BZ$1001,916,G$2)&amp;""),""))</f>
        <v/>
      </c>
      <c r="H917">
        <f>IF(H$2=0,"",IFERROR(TRIM(INDEX('Pegar calibracion'!$A$1:$BZ$1001,916,H$2)&amp;""),""))</f>
        <v/>
      </c>
      <c r="I917">
        <f>IF(I$2=0,"",IFERROR(TRIM(INDEX('Pegar calibracion'!$A$1:$BZ$1001,916,I$2)&amp;""),""))</f>
        <v/>
      </c>
      <c r="J917">
        <f>IF(J$2=0,"",IFERROR(TRIM(INDEX('Pegar calibracion'!$A$1:$BZ$1001,916,J$2)&amp;""),""))</f>
        <v/>
      </c>
      <c r="K917">
        <f>IF(K$2=0,"",IFERROR(TRIM(INDEX('Pegar calibracion'!$A$1:$BZ$1001,916,K$2)&amp;""),""))</f>
        <v/>
      </c>
      <c r="L917">
        <f>IF(L$2=0,"",IFERROR(TRIM(INDEX('Pegar calibracion'!$A$1:$BZ$1001,916,L$2)&amp;""),""))</f>
        <v/>
      </c>
      <c r="M917" s="25">
        <f>IF(D917="","",SUBSTITUTE(SUBSTITUTE(SUBSTITUTE(SUBSTITUTE(SUBSTITUTE(SUBSTITUTE(SUBSTITUTE(SUBSTITUTE(SUBSTITUTE(SUBSTITUTE(SUBSTITUTE(SUBSTITUTE(LOWER(TRIM(D917)),"á","a"),"é","e"),"í","i"),"ó","o"),"ú","u"),"ü","u"),"ñ","n"),"à","a"),"è","e"),"ì","i"),"ò","o"),"ù","u"))</f>
        <v/>
      </c>
      <c r="N917" s="25">
        <f>IF(F917="","",SUBSTITUTE(SUBSTITUTE(SUBSTITUTE(SUBSTITUTE(SUBSTITUTE(SUBSTITUTE(SUBSTITUTE(SUBSTITUTE(SUBSTITUTE(SUBSTITUTE(SUBSTITUTE(SUBSTITUTE(LOWER(TRIM(F917)),"á","a"),"é","e"),"í","i"),"ó","o"),"ú","u"),"ü","u"),"ñ","n"),"à","a"),"è","e"),"ì","i"),"ò","o"),"ù","u"))</f>
        <v/>
      </c>
      <c r="O917" s="25">
        <f>IF(M917="confiable",2,IF(M917="dudosa",1,IF(M917="no confiable",0,"")))</f>
        <v/>
      </c>
      <c r="P917" s="25">
        <f>IF(N917="confiable",2,IF(N917="dudosa",1,IF(N917="no confiable",0,"")))</f>
        <v/>
      </c>
      <c r="Q917" s="25">
        <f>IF(AND(ISNUMBER(O917),ISNUMBER(P917)),1,"")</f>
        <v/>
      </c>
      <c r="R917" s="25">
        <f>IF(Q917=1,IF(O917=P917,"Sí","No"),"")</f>
        <v/>
      </c>
      <c r="S917" s="25">
        <f>IF(Q917=1,IF(P917&lt;O917,"Más estricto",IF(P917&gt;O917,"Más permisivo","Igual")),"")</f>
        <v/>
      </c>
      <c r="T917" s="25">
        <f>IF(Q917=1,IF(ABS(O917-P917)=2,1,0),"")</f>
        <v/>
      </c>
      <c r="U917" s="25">
        <f>IF(H917="","","|"&amp;SUBSTITUTE(SUBSTITUTE(TRIM(H917)," |","|"),"| ","|")&amp;"|")</f>
        <v/>
      </c>
      <c r="V917" s="25">
        <f>IF(AND(Q917=1,B917&lt;&gt;""),IF(IFERROR(COUNTIFS(B$3:B917,"="&amp;SUBSTITUTE(SUBSTITUTE(SUBSTITUTE(B917,"~","~~"),"*","~*"),"?","~?"),Q$3:Q917,1),0)=1,MAX(V$2:V916)+1,""),"")</f>
        <v/>
      </c>
      <c r="W917" s="25">
        <f>IF(V917="","",COUNTIFS($B$3:$B$1002,"="&amp;SUBSTITUTE(SUBSTITUTE(SUBSTITUTE(B917,"~","~~"),"*","~*"),"?","~?"),$Q$3:$Q$1002,1)*10000-V917)</f>
        <v/>
      </c>
      <c r="X917" s="25">
        <f>IF(Q917=1,IF(SUBSTITUTE(SUBSTITUTE(SUBSTITUTE(SUBSTITUTE(SUBSTITUTE(SUBSTITUTE(SUBSTITUTE(SUBSTITUTE(SUBSTITUTE(SUBSTITUTE(SUBSTITUTE(SUBSTITUTE(LOWER(TRIM(A917)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917)),"á","a"),"é","e"),"í","i"),"ó","o"),"ú","u"),"ü","u"),"ñ","n"),"à","a"),"è","e"),"ì","i"),"ò","o"),"ù","u")),"")</f>
        <v/>
      </c>
      <c r="Y917" s="25">
        <f>IF(X917="","",IF(IFERROR(COUNTIF(X$3:X917,"="&amp;SUBSTITUTE(SUBSTITUTE(SUBSTITUTE(X917,"~","~~"),"*","~*"),"?","~?")),0)=1,1,""))</f>
        <v/>
      </c>
      <c r="Z917" s="25">
        <f>IF(T917=1,MAX(Z$2:Z916)+1,"")</f>
        <v/>
      </c>
    </row>
    <row r="918">
      <c r="A918">
        <f>IF(A$2=0,"",IFERROR(TRIM(INDEX('Pegar calibracion'!$A$1:$BZ$1001,917,A$2)&amp;""),""))</f>
        <v/>
      </c>
      <c r="B918">
        <f>IF(B$2=0,"",IFERROR(TRIM(INDEX('Pegar calibracion'!$A$1:$BZ$1001,917,B$2)&amp;""),""))</f>
        <v/>
      </c>
      <c r="C918">
        <f>IF(C$2=0,"",IFERROR(TRIM(INDEX('Pegar calibracion'!$A$1:$BZ$1001,917,C$2)&amp;""),""))</f>
        <v/>
      </c>
      <c r="D918">
        <f>IF(D$2=0,"",IFERROR(TRIM(INDEX('Pegar calibracion'!$A$1:$BZ$1001,917,D$2)&amp;""),""))</f>
        <v/>
      </c>
      <c r="E918">
        <f>IF(E$2=0,"",IFERROR(TRIM(INDEX('Pegar calibracion'!$A$1:$BZ$1001,917,E$2)&amp;""),""))</f>
        <v/>
      </c>
      <c r="F918">
        <f>IF(F$2=0,"",IFERROR(TRIM(INDEX('Pegar calibracion'!$A$1:$BZ$1001,917,F$2)&amp;""),""))</f>
        <v/>
      </c>
      <c r="G918">
        <f>IF(G$2=0,"",IFERROR(TRIM(INDEX('Pegar calibracion'!$A$1:$BZ$1001,917,G$2)&amp;""),""))</f>
        <v/>
      </c>
      <c r="H918">
        <f>IF(H$2=0,"",IFERROR(TRIM(INDEX('Pegar calibracion'!$A$1:$BZ$1001,917,H$2)&amp;""),""))</f>
        <v/>
      </c>
      <c r="I918">
        <f>IF(I$2=0,"",IFERROR(TRIM(INDEX('Pegar calibracion'!$A$1:$BZ$1001,917,I$2)&amp;""),""))</f>
        <v/>
      </c>
      <c r="J918">
        <f>IF(J$2=0,"",IFERROR(TRIM(INDEX('Pegar calibracion'!$A$1:$BZ$1001,917,J$2)&amp;""),""))</f>
        <v/>
      </c>
      <c r="K918">
        <f>IF(K$2=0,"",IFERROR(TRIM(INDEX('Pegar calibracion'!$A$1:$BZ$1001,917,K$2)&amp;""),""))</f>
        <v/>
      </c>
      <c r="L918">
        <f>IF(L$2=0,"",IFERROR(TRIM(INDEX('Pegar calibracion'!$A$1:$BZ$1001,917,L$2)&amp;""),""))</f>
        <v/>
      </c>
      <c r="M918" s="25">
        <f>IF(D918="","",SUBSTITUTE(SUBSTITUTE(SUBSTITUTE(SUBSTITUTE(SUBSTITUTE(SUBSTITUTE(SUBSTITUTE(SUBSTITUTE(SUBSTITUTE(SUBSTITUTE(SUBSTITUTE(SUBSTITUTE(LOWER(TRIM(D918)),"á","a"),"é","e"),"í","i"),"ó","o"),"ú","u"),"ü","u"),"ñ","n"),"à","a"),"è","e"),"ì","i"),"ò","o"),"ù","u"))</f>
        <v/>
      </c>
      <c r="N918" s="25">
        <f>IF(F918="","",SUBSTITUTE(SUBSTITUTE(SUBSTITUTE(SUBSTITUTE(SUBSTITUTE(SUBSTITUTE(SUBSTITUTE(SUBSTITUTE(SUBSTITUTE(SUBSTITUTE(SUBSTITUTE(SUBSTITUTE(LOWER(TRIM(F918)),"á","a"),"é","e"),"í","i"),"ó","o"),"ú","u"),"ü","u"),"ñ","n"),"à","a"),"è","e"),"ì","i"),"ò","o"),"ù","u"))</f>
        <v/>
      </c>
      <c r="O918" s="25">
        <f>IF(M918="confiable",2,IF(M918="dudosa",1,IF(M918="no confiable",0,"")))</f>
        <v/>
      </c>
      <c r="P918" s="25">
        <f>IF(N918="confiable",2,IF(N918="dudosa",1,IF(N918="no confiable",0,"")))</f>
        <v/>
      </c>
      <c r="Q918" s="25">
        <f>IF(AND(ISNUMBER(O918),ISNUMBER(P918)),1,"")</f>
        <v/>
      </c>
      <c r="R918" s="25">
        <f>IF(Q918=1,IF(O918=P918,"Sí","No"),"")</f>
        <v/>
      </c>
      <c r="S918" s="25">
        <f>IF(Q918=1,IF(P918&lt;O918,"Más estricto",IF(P918&gt;O918,"Más permisivo","Igual")),"")</f>
        <v/>
      </c>
      <c r="T918" s="25">
        <f>IF(Q918=1,IF(ABS(O918-P918)=2,1,0),"")</f>
        <v/>
      </c>
      <c r="U918" s="25">
        <f>IF(H918="","","|"&amp;SUBSTITUTE(SUBSTITUTE(TRIM(H918)," |","|"),"| ","|")&amp;"|")</f>
        <v/>
      </c>
      <c r="V918" s="25">
        <f>IF(AND(Q918=1,B918&lt;&gt;""),IF(IFERROR(COUNTIFS(B$3:B918,"="&amp;SUBSTITUTE(SUBSTITUTE(SUBSTITUTE(B918,"~","~~"),"*","~*"),"?","~?"),Q$3:Q918,1),0)=1,MAX(V$2:V917)+1,""),"")</f>
        <v/>
      </c>
      <c r="W918" s="25">
        <f>IF(V918="","",COUNTIFS($B$3:$B$1002,"="&amp;SUBSTITUTE(SUBSTITUTE(SUBSTITUTE(B918,"~","~~"),"*","~*"),"?","~?"),$Q$3:$Q$1002,1)*10000-V918)</f>
        <v/>
      </c>
      <c r="X918" s="25">
        <f>IF(Q918=1,IF(SUBSTITUTE(SUBSTITUTE(SUBSTITUTE(SUBSTITUTE(SUBSTITUTE(SUBSTITUTE(SUBSTITUTE(SUBSTITUTE(SUBSTITUTE(SUBSTITUTE(SUBSTITUTE(SUBSTITUTE(LOWER(TRIM(A918)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918)),"á","a"),"é","e"),"í","i"),"ó","o"),"ú","u"),"ü","u"),"ñ","n"),"à","a"),"è","e"),"ì","i"),"ò","o"),"ù","u")),"")</f>
        <v/>
      </c>
      <c r="Y918" s="25">
        <f>IF(X918="","",IF(IFERROR(COUNTIF(X$3:X918,"="&amp;SUBSTITUTE(SUBSTITUTE(SUBSTITUTE(X918,"~","~~"),"*","~*"),"?","~?")),0)=1,1,""))</f>
        <v/>
      </c>
      <c r="Z918" s="25">
        <f>IF(T918=1,MAX(Z$2:Z917)+1,"")</f>
        <v/>
      </c>
    </row>
    <row r="919">
      <c r="A919">
        <f>IF(A$2=0,"",IFERROR(TRIM(INDEX('Pegar calibracion'!$A$1:$BZ$1001,918,A$2)&amp;""),""))</f>
        <v/>
      </c>
      <c r="B919">
        <f>IF(B$2=0,"",IFERROR(TRIM(INDEX('Pegar calibracion'!$A$1:$BZ$1001,918,B$2)&amp;""),""))</f>
        <v/>
      </c>
      <c r="C919">
        <f>IF(C$2=0,"",IFERROR(TRIM(INDEX('Pegar calibracion'!$A$1:$BZ$1001,918,C$2)&amp;""),""))</f>
        <v/>
      </c>
      <c r="D919">
        <f>IF(D$2=0,"",IFERROR(TRIM(INDEX('Pegar calibracion'!$A$1:$BZ$1001,918,D$2)&amp;""),""))</f>
        <v/>
      </c>
      <c r="E919">
        <f>IF(E$2=0,"",IFERROR(TRIM(INDEX('Pegar calibracion'!$A$1:$BZ$1001,918,E$2)&amp;""),""))</f>
        <v/>
      </c>
      <c r="F919">
        <f>IF(F$2=0,"",IFERROR(TRIM(INDEX('Pegar calibracion'!$A$1:$BZ$1001,918,F$2)&amp;""),""))</f>
        <v/>
      </c>
      <c r="G919">
        <f>IF(G$2=0,"",IFERROR(TRIM(INDEX('Pegar calibracion'!$A$1:$BZ$1001,918,G$2)&amp;""),""))</f>
        <v/>
      </c>
      <c r="H919">
        <f>IF(H$2=0,"",IFERROR(TRIM(INDEX('Pegar calibracion'!$A$1:$BZ$1001,918,H$2)&amp;""),""))</f>
        <v/>
      </c>
      <c r="I919">
        <f>IF(I$2=0,"",IFERROR(TRIM(INDEX('Pegar calibracion'!$A$1:$BZ$1001,918,I$2)&amp;""),""))</f>
        <v/>
      </c>
      <c r="J919">
        <f>IF(J$2=0,"",IFERROR(TRIM(INDEX('Pegar calibracion'!$A$1:$BZ$1001,918,J$2)&amp;""),""))</f>
        <v/>
      </c>
      <c r="K919">
        <f>IF(K$2=0,"",IFERROR(TRIM(INDEX('Pegar calibracion'!$A$1:$BZ$1001,918,K$2)&amp;""),""))</f>
        <v/>
      </c>
      <c r="L919">
        <f>IF(L$2=0,"",IFERROR(TRIM(INDEX('Pegar calibracion'!$A$1:$BZ$1001,918,L$2)&amp;""),""))</f>
        <v/>
      </c>
      <c r="M919" s="25">
        <f>IF(D919="","",SUBSTITUTE(SUBSTITUTE(SUBSTITUTE(SUBSTITUTE(SUBSTITUTE(SUBSTITUTE(SUBSTITUTE(SUBSTITUTE(SUBSTITUTE(SUBSTITUTE(SUBSTITUTE(SUBSTITUTE(LOWER(TRIM(D919)),"á","a"),"é","e"),"í","i"),"ó","o"),"ú","u"),"ü","u"),"ñ","n"),"à","a"),"è","e"),"ì","i"),"ò","o"),"ù","u"))</f>
        <v/>
      </c>
      <c r="N919" s="25">
        <f>IF(F919="","",SUBSTITUTE(SUBSTITUTE(SUBSTITUTE(SUBSTITUTE(SUBSTITUTE(SUBSTITUTE(SUBSTITUTE(SUBSTITUTE(SUBSTITUTE(SUBSTITUTE(SUBSTITUTE(SUBSTITUTE(LOWER(TRIM(F919)),"á","a"),"é","e"),"í","i"),"ó","o"),"ú","u"),"ü","u"),"ñ","n"),"à","a"),"è","e"),"ì","i"),"ò","o"),"ù","u"))</f>
        <v/>
      </c>
      <c r="O919" s="25">
        <f>IF(M919="confiable",2,IF(M919="dudosa",1,IF(M919="no confiable",0,"")))</f>
        <v/>
      </c>
      <c r="P919" s="25">
        <f>IF(N919="confiable",2,IF(N919="dudosa",1,IF(N919="no confiable",0,"")))</f>
        <v/>
      </c>
      <c r="Q919" s="25">
        <f>IF(AND(ISNUMBER(O919),ISNUMBER(P919)),1,"")</f>
        <v/>
      </c>
      <c r="R919" s="25">
        <f>IF(Q919=1,IF(O919=P919,"Sí","No"),"")</f>
        <v/>
      </c>
      <c r="S919" s="25">
        <f>IF(Q919=1,IF(P919&lt;O919,"Más estricto",IF(P919&gt;O919,"Más permisivo","Igual")),"")</f>
        <v/>
      </c>
      <c r="T919" s="25">
        <f>IF(Q919=1,IF(ABS(O919-P919)=2,1,0),"")</f>
        <v/>
      </c>
      <c r="U919" s="25">
        <f>IF(H919="","","|"&amp;SUBSTITUTE(SUBSTITUTE(TRIM(H919)," |","|"),"| ","|")&amp;"|")</f>
        <v/>
      </c>
      <c r="V919" s="25">
        <f>IF(AND(Q919=1,B919&lt;&gt;""),IF(IFERROR(COUNTIFS(B$3:B919,"="&amp;SUBSTITUTE(SUBSTITUTE(SUBSTITUTE(B919,"~","~~"),"*","~*"),"?","~?"),Q$3:Q919,1),0)=1,MAX(V$2:V918)+1,""),"")</f>
        <v/>
      </c>
      <c r="W919" s="25">
        <f>IF(V919="","",COUNTIFS($B$3:$B$1002,"="&amp;SUBSTITUTE(SUBSTITUTE(SUBSTITUTE(B919,"~","~~"),"*","~*"),"?","~?"),$Q$3:$Q$1002,1)*10000-V919)</f>
        <v/>
      </c>
      <c r="X919" s="25">
        <f>IF(Q919=1,IF(SUBSTITUTE(SUBSTITUTE(SUBSTITUTE(SUBSTITUTE(SUBSTITUTE(SUBSTITUTE(SUBSTITUTE(SUBSTITUTE(SUBSTITUTE(SUBSTITUTE(SUBSTITUTE(SUBSTITUTE(LOWER(TRIM(A919)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919)),"á","a"),"é","e"),"í","i"),"ó","o"),"ú","u"),"ü","u"),"ñ","n"),"à","a"),"è","e"),"ì","i"),"ò","o"),"ù","u")),"")</f>
        <v/>
      </c>
      <c r="Y919" s="25">
        <f>IF(X919="","",IF(IFERROR(COUNTIF(X$3:X919,"="&amp;SUBSTITUTE(SUBSTITUTE(SUBSTITUTE(X919,"~","~~"),"*","~*"),"?","~?")),0)=1,1,""))</f>
        <v/>
      </c>
      <c r="Z919" s="25">
        <f>IF(T919=1,MAX(Z$2:Z918)+1,"")</f>
        <v/>
      </c>
    </row>
    <row r="920">
      <c r="A920">
        <f>IF(A$2=0,"",IFERROR(TRIM(INDEX('Pegar calibracion'!$A$1:$BZ$1001,919,A$2)&amp;""),""))</f>
        <v/>
      </c>
      <c r="B920">
        <f>IF(B$2=0,"",IFERROR(TRIM(INDEX('Pegar calibracion'!$A$1:$BZ$1001,919,B$2)&amp;""),""))</f>
        <v/>
      </c>
      <c r="C920">
        <f>IF(C$2=0,"",IFERROR(TRIM(INDEX('Pegar calibracion'!$A$1:$BZ$1001,919,C$2)&amp;""),""))</f>
        <v/>
      </c>
      <c r="D920">
        <f>IF(D$2=0,"",IFERROR(TRIM(INDEX('Pegar calibracion'!$A$1:$BZ$1001,919,D$2)&amp;""),""))</f>
        <v/>
      </c>
      <c r="E920">
        <f>IF(E$2=0,"",IFERROR(TRIM(INDEX('Pegar calibracion'!$A$1:$BZ$1001,919,E$2)&amp;""),""))</f>
        <v/>
      </c>
      <c r="F920">
        <f>IF(F$2=0,"",IFERROR(TRIM(INDEX('Pegar calibracion'!$A$1:$BZ$1001,919,F$2)&amp;""),""))</f>
        <v/>
      </c>
      <c r="G920">
        <f>IF(G$2=0,"",IFERROR(TRIM(INDEX('Pegar calibracion'!$A$1:$BZ$1001,919,G$2)&amp;""),""))</f>
        <v/>
      </c>
      <c r="H920">
        <f>IF(H$2=0,"",IFERROR(TRIM(INDEX('Pegar calibracion'!$A$1:$BZ$1001,919,H$2)&amp;""),""))</f>
        <v/>
      </c>
      <c r="I920">
        <f>IF(I$2=0,"",IFERROR(TRIM(INDEX('Pegar calibracion'!$A$1:$BZ$1001,919,I$2)&amp;""),""))</f>
        <v/>
      </c>
      <c r="J920">
        <f>IF(J$2=0,"",IFERROR(TRIM(INDEX('Pegar calibracion'!$A$1:$BZ$1001,919,J$2)&amp;""),""))</f>
        <v/>
      </c>
      <c r="K920">
        <f>IF(K$2=0,"",IFERROR(TRIM(INDEX('Pegar calibracion'!$A$1:$BZ$1001,919,K$2)&amp;""),""))</f>
        <v/>
      </c>
      <c r="L920">
        <f>IF(L$2=0,"",IFERROR(TRIM(INDEX('Pegar calibracion'!$A$1:$BZ$1001,919,L$2)&amp;""),""))</f>
        <v/>
      </c>
      <c r="M920" s="25">
        <f>IF(D920="","",SUBSTITUTE(SUBSTITUTE(SUBSTITUTE(SUBSTITUTE(SUBSTITUTE(SUBSTITUTE(SUBSTITUTE(SUBSTITUTE(SUBSTITUTE(SUBSTITUTE(SUBSTITUTE(SUBSTITUTE(LOWER(TRIM(D920)),"á","a"),"é","e"),"í","i"),"ó","o"),"ú","u"),"ü","u"),"ñ","n"),"à","a"),"è","e"),"ì","i"),"ò","o"),"ù","u"))</f>
        <v/>
      </c>
      <c r="N920" s="25">
        <f>IF(F920="","",SUBSTITUTE(SUBSTITUTE(SUBSTITUTE(SUBSTITUTE(SUBSTITUTE(SUBSTITUTE(SUBSTITUTE(SUBSTITUTE(SUBSTITUTE(SUBSTITUTE(SUBSTITUTE(SUBSTITUTE(LOWER(TRIM(F920)),"á","a"),"é","e"),"í","i"),"ó","o"),"ú","u"),"ü","u"),"ñ","n"),"à","a"),"è","e"),"ì","i"),"ò","o"),"ù","u"))</f>
        <v/>
      </c>
      <c r="O920" s="25">
        <f>IF(M920="confiable",2,IF(M920="dudosa",1,IF(M920="no confiable",0,"")))</f>
        <v/>
      </c>
      <c r="P920" s="25">
        <f>IF(N920="confiable",2,IF(N920="dudosa",1,IF(N920="no confiable",0,"")))</f>
        <v/>
      </c>
      <c r="Q920" s="25">
        <f>IF(AND(ISNUMBER(O920),ISNUMBER(P920)),1,"")</f>
        <v/>
      </c>
      <c r="R920" s="25">
        <f>IF(Q920=1,IF(O920=P920,"Sí","No"),"")</f>
        <v/>
      </c>
      <c r="S920" s="25">
        <f>IF(Q920=1,IF(P920&lt;O920,"Más estricto",IF(P920&gt;O920,"Más permisivo","Igual")),"")</f>
        <v/>
      </c>
      <c r="T920" s="25">
        <f>IF(Q920=1,IF(ABS(O920-P920)=2,1,0),"")</f>
        <v/>
      </c>
      <c r="U920" s="25">
        <f>IF(H920="","","|"&amp;SUBSTITUTE(SUBSTITUTE(TRIM(H920)," |","|"),"| ","|")&amp;"|")</f>
        <v/>
      </c>
      <c r="V920" s="25">
        <f>IF(AND(Q920=1,B920&lt;&gt;""),IF(IFERROR(COUNTIFS(B$3:B920,"="&amp;SUBSTITUTE(SUBSTITUTE(SUBSTITUTE(B920,"~","~~"),"*","~*"),"?","~?"),Q$3:Q920,1),0)=1,MAX(V$2:V919)+1,""),"")</f>
        <v/>
      </c>
      <c r="W920" s="25">
        <f>IF(V920="","",COUNTIFS($B$3:$B$1002,"="&amp;SUBSTITUTE(SUBSTITUTE(SUBSTITUTE(B920,"~","~~"),"*","~*"),"?","~?"),$Q$3:$Q$1002,1)*10000-V920)</f>
        <v/>
      </c>
      <c r="X920" s="25">
        <f>IF(Q920=1,IF(SUBSTITUTE(SUBSTITUTE(SUBSTITUTE(SUBSTITUTE(SUBSTITUTE(SUBSTITUTE(SUBSTITUTE(SUBSTITUTE(SUBSTITUTE(SUBSTITUTE(SUBSTITUTE(SUBSTITUTE(LOWER(TRIM(A920)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920)),"á","a"),"é","e"),"í","i"),"ó","o"),"ú","u"),"ü","u"),"ñ","n"),"à","a"),"è","e"),"ì","i"),"ò","o"),"ù","u")),"")</f>
        <v/>
      </c>
      <c r="Y920" s="25">
        <f>IF(X920="","",IF(IFERROR(COUNTIF(X$3:X920,"="&amp;SUBSTITUTE(SUBSTITUTE(SUBSTITUTE(X920,"~","~~"),"*","~*"),"?","~?")),0)=1,1,""))</f>
        <v/>
      </c>
      <c r="Z920" s="25">
        <f>IF(T920=1,MAX(Z$2:Z919)+1,"")</f>
        <v/>
      </c>
    </row>
    <row r="921">
      <c r="A921">
        <f>IF(A$2=0,"",IFERROR(TRIM(INDEX('Pegar calibracion'!$A$1:$BZ$1001,920,A$2)&amp;""),""))</f>
        <v/>
      </c>
      <c r="B921">
        <f>IF(B$2=0,"",IFERROR(TRIM(INDEX('Pegar calibracion'!$A$1:$BZ$1001,920,B$2)&amp;""),""))</f>
        <v/>
      </c>
      <c r="C921">
        <f>IF(C$2=0,"",IFERROR(TRIM(INDEX('Pegar calibracion'!$A$1:$BZ$1001,920,C$2)&amp;""),""))</f>
        <v/>
      </c>
      <c r="D921">
        <f>IF(D$2=0,"",IFERROR(TRIM(INDEX('Pegar calibracion'!$A$1:$BZ$1001,920,D$2)&amp;""),""))</f>
        <v/>
      </c>
      <c r="E921">
        <f>IF(E$2=0,"",IFERROR(TRIM(INDEX('Pegar calibracion'!$A$1:$BZ$1001,920,E$2)&amp;""),""))</f>
        <v/>
      </c>
      <c r="F921">
        <f>IF(F$2=0,"",IFERROR(TRIM(INDEX('Pegar calibracion'!$A$1:$BZ$1001,920,F$2)&amp;""),""))</f>
        <v/>
      </c>
      <c r="G921">
        <f>IF(G$2=0,"",IFERROR(TRIM(INDEX('Pegar calibracion'!$A$1:$BZ$1001,920,G$2)&amp;""),""))</f>
        <v/>
      </c>
      <c r="H921">
        <f>IF(H$2=0,"",IFERROR(TRIM(INDEX('Pegar calibracion'!$A$1:$BZ$1001,920,H$2)&amp;""),""))</f>
        <v/>
      </c>
      <c r="I921">
        <f>IF(I$2=0,"",IFERROR(TRIM(INDEX('Pegar calibracion'!$A$1:$BZ$1001,920,I$2)&amp;""),""))</f>
        <v/>
      </c>
      <c r="J921">
        <f>IF(J$2=0,"",IFERROR(TRIM(INDEX('Pegar calibracion'!$A$1:$BZ$1001,920,J$2)&amp;""),""))</f>
        <v/>
      </c>
      <c r="K921">
        <f>IF(K$2=0,"",IFERROR(TRIM(INDEX('Pegar calibracion'!$A$1:$BZ$1001,920,K$2)&amp;""),""))</f>
        <v/>
      </c>
      <c r="L921">
        <f>IF(L$2=0,"",IFERROR(TRIM(INDEX('Pegar calibracion'!$A$1:$BZ$1001,920,L$2)&amp;""),""))</f>
        <v/>
      </c>
      <c r="M921" s="25">
        <f>IF(D921="","",SUBSTITUTE(SUBSTITUTE(SUBSTITUTE(SUBSTITUTE(SUBSTITUTE(SUBSTITUTE(SUBSTITUTE(SUBSTITUTE(SUBSTITUTE(SUBSTITUTE(SUBSTITUTE(SUBSTITUTE(LOWER(TRIM(D921)),"á","a"),"é","e"),"í","i"),"ó","o"),"ú","u"),"ü","u"),"ñ","n"),"à","a"),"è","e"),"ì","i"),"ò","o"),"ù","u"))</f>
        <v/>
      </c>
      <c r="N921" s="25">
        <f>IF(F921="","",SUBSTITUTE(SUBSTITUTE(SUBSTITUTE(SUBSTITUTE(SUBSTITUTE(SUBSTITUTE(SUBSTITUTE(SUBSTITUTE(SUBSTITUTE(SUBSTITUTE(SUBSTITUTE(SUBSTITUTE(LOWER(TRIM(F921)),"á","a"),"é","e"),"í","i"),"ó","o"),"ú","u"),"ü","u"),"ñ","n"),"à","a"),"è","e"),"ì","i"),"ò","o"),"ù","u"))</f>
        <v/>
      </c>
      <c r="O921" s="25">
        <f>IF(M921="confiable",2,IF(M921="dudosa",1,IF(M921="no confiable",0,"")))</f>
        <v/>
      </c>
      <c r="P921" s="25">
        <f>IF(N921="confiable",2,IF(N921="dudosa",1,IF(N921="no confiable",0,"")))</f>
        <v/>
      </c>
      <c r="Q921" s="25">
        <f>IF(AND(ISNUMBER(O921),ISNUMBER(P921)),1,"")</f>
        <v/>
      </c>
      <c r="R921" s="25">
        <f>IF(Q921=1,IF(O921=P921,"Sí","No"),"")</f>
        <v/>
      </c>
      <c r="S921" s="25">
        <f>IF(Q921=1,IF(P921&lt;O921,"Más estricto",IF(P921&gt;O921,"Más permisivo","Igual")),"")</f>
        <v/>
      </c>
      <c r="T921" s="25">
        <f>IF(Q921=1,IF(ABS(O921-P921)=2,1,0),"")</f>
        <v/>
      </c>
      <c r="U921" s="25">
        <f>IF(H921="","","|"&amp;SUBSTITUTE(SUBSTITUTE(TRIM(H921)," |","|"),"| ","|")&amp;"|")</f>
        <v/>
      </c>
      <c r="V921" s="25">
        <f>IF(AND(Q921=1,B921&lt;&gt;""),IF(IFERROR(COUNTIFS(B$3:B921,"="&amp;SUBSTITUTE(SUBSTITUTE(SUBSTITUTE(B921,"~","~~"),"*","~*"),"?","~?"),Q$3:Q921,1),0)=1,MAX(V$2:V920)+1,""),"")</f>
        <v/>
      </c>
      <c r="W921" s="25">
        <f>IF(V921="","",COUNTIFS($B$3:$B$1002,"="&amp;SUBSTITUTE(SUBSTITUTE(SUBSTITUTE(B921,"~","~~"),"*","~*"),"?","~?"),$Q$3:$Q$1002,1)*10000-V921)</f>
        <v/>
      </c>
      <c r="X921" s="25">
        <f>IF(Q921=1,IF(SUBSTITUTE(SUBSTITUTE(SUBSTITUTE(SUBSTITUTE(SUBSTITUTE(SUBSTITUTE(SUBSTITUTE(SUBSTITUTE(SUBSTITUTE(SUBSTITUTE(SUBSTITUTE(SUBSTITUTE(LOWER(TRIM(A921)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921)),"á","a"),"é","e"),"í","i"),"ó","o"),"ú","u"),"ü","u"),"ñ","n"),"à","a"),"è","e"),"ì","i"),"ò","o"),"ù","u")),"")</f>
        <v/>
      </c>
      <c r="Y921" s="25">
        <f>IF(X921="","",IF(IFERROR(COUNTIF(X$3:X921,"="&amp;SUBSTITUTE(SUBSTITUTE(SUBSTITUTE(X921,"~","~~"),"*","~*"),"?","~?")),0)=1,1,""))</f>
        <v/>
      </c>
      <c r="Z921" s="25">
        <f>IF(T921=1,MAX(Z$2:Z920)+1,"")</f>
        <v/>
      </c>
    </row>
    <row r="922">
      <c r="A922">
        <f>IF(A$2=0,"",IFERROR(TRIM(INDEX('Pegar calibracion'!$A$1:$BZ$1001,921,A$2)&amp;""),""))</f>
        <v/>
      </c>
      <c r="B922">
        <f>IF(B$2=0,"",IFERROR(TRIM(INDEX('Pegar calibracion'!$A$1:$BZ$1001,921,B$2)&amp;""),""))</f>
        <v/>
      </c>
      <c r="C922">
        <f>IF(C$2=0,"",IFERROR(TRIM(INDEX('Pegar calibracion'!$A$1:$BZ$1001,921,C$2)&amp;""),""))</f>
        <v/>
      </c>
      <c r="D922">
        <f>IF(D$2=0,"",IFERROR(TRIM(INDEX('Pegar calibracion'!$A$1:$BZ$1001,921,D$2)&amp;""),""))</f>
        <v/>
      </c>
      <c r="E922">
        <f>IF(E$2=0,"",IFERROR(TRIM(INDEX('Pegar calibracion'!$A$1:$BZ$1001,921,E$2)&amp;""),""))</f>
        <v/>
      </c>
      <c r="F922">
        <f>IF(F$2=0,"",IFERROR(TRIM(INDEX('Pegar calibracion'!$A$1:$BZ$1001,921,F$2)&amp;""),""))</f>
        <v/>
      </c>
      <c r="G922">
        <f>IF(G$2=0,"",IFERROR(TRIM(INDEX('Pegar calibracion'!$A$1:$BZ$1001,921,G$2)&amp;""),""))</f>
        <v/>
      </c>
      <c r="H922">
        <f>IF(H$2=0,"",IFERROR(TRIM(INDEX('Pegar calibracion'!$A$1:$BZ$1001,921,H$2)&amp;""),""))</f>
        <v/>
      </c>
      <c r="I922">
        <f>IF(I$2=0,"",IFERROR(TRIM(INDEX('Pegar calibracion'!$A$1:$BZ$1001,921,I$2)&amp;""),""))</f>
        <v/>
      </c>
      <c r="J922">
        <f>IF(J$2=0,"",IFERROR(TRIM(INDEX('Pegar calibracion'!$A$1:$BZ$1001,921,J$2)&amp;""),""))</f>
        <v/>
      </c>
      <c r="K922">
        <f>IF(K$2=0,"",IFERROR(TRIM(INDEX('Pegar calibracion'!$A$1:$BZ$1001,921,K$2)&amp;""),""))</f>
        <v/>
      </c>
      <c r="L922">
        <f>IF(L$2=0,"",IFERROR(TRIM(INDEX('Pegar calibracion'!$A$1:$BZ$1001,921,L$2)&amp;""),""))</f>
        <v/>
      </c>
      <c r="M922" s="25">
        <f>IF(D922="","",SUBSTITUTE(SUBSTITUTE(SUBSTITUTE(SUBSTITUTE(SUBSTITUTE(SUBSTITUTE(SUBSTITUTE(SUBSTITUTE(SUBSTITUTE(SUBSTITUTE(SUBSTITUTE(SUBSTITUTE(LOWER(TRIM(D922)),"á","a"),"é","e"),"í","i"),"ó","o"),"ú","u"),"ü","u"),"ñ","n"),"à","a"),"è","e"),"ì","i"),"ò","o"),"ù","u"))</f>
        <v/>
      </c>
      <c r="N922" s="25">
        <f>IF(F922="","",SUBSTITUTE(SUBSTITUTE(SUBSTITUTE(SUBSTITUTE(SUBSTITUTE(SUBSTITUTE(SUBSTITUTE(SUBSTITUTE(SUBSTITUTE(SUBSTITUTE(SUBSTITUTE(SUBSTITUTE(LOWER(TRIM(F922)),"á","a"),"é","e"),"í","i"),"ó","o"),"ú","u"),"ü","u"),"ñ","n"),"à","a"),"è","e"),"ì","i"),"ò","o"),"ù","u"))</f>
        <v/>
      </c>
      <c r="O922" s="25">
        <f>IF(M922="confiable",2,IF(M922="dudosa",1,IF(M922="no confiable",0,"")))</f>
        <v/>
      </c>
      <c r="P922" s="25">
        <f>IF(N922="confiable",2,IF(N922="dudosa",1,IF(N922="no confiable",0,"")))</f>
        <v/>
      </c>
      <c r="Q922" s="25">
        <f>IF(AND(ISNUMBER(O922),ISNUMBER(P922)),1,"")</f>
        <v/>
      </c>
      <c r="R922" s="25">
        <f>IF(Q922=1,IF(O922=P922,"Sí","No"),"")</f>
        <v/>
      </c>
      <c r="S922" s="25">
        <f>IF(Q922=1,IF(P922&lt;O922,"Más estricto",IF(P922&gt;O922,"Más permisivo","Igual")),"")</f>
        <v/>
      </c>
      <c r="T922" s="25">
        <f>IF(Q922=1,IF(ABS(O922-P922)=2,1,0),"")</f>
        <v/>
      </c>
      <c r="U922" s="25">
        <f>IF(H922="","","|"&amp;SUBSTITUTE(SUBSTITUTE(TRIM(H922)," |","|"),"| ","|")&amp;"|")</f>
        <v/>
      </c>
      <c r="V922" s="25">
        <f>IF(AND(Q922=1,B922&lt;&gt;""),IF(IFERROR(COUNTIFS(B$3:B922,"="&amp;SUBSTITUTE(SUBSTITUTE(SUBSTITUTE(B922,"~","~~"),"*","~*"),"?","~?"),Q$3:Q922,1),0)=1,MAX(V$2:V921)+1,""),"")</f>
        <v/>
      </c>
      <c r="W922" s="25">
        <f>IF(V922="","",COUNTIFS($B$3:$B$1002,"="&amp;SUBSTITUTE(SUBSTITUTE(SUBSTITUTE(B922,"~","~~"),"*","~*"),"?","~?"),$Q$3:$Q$1002,1)*10000-V922)</f>
        <v/>
      </c>
      <c r="X922" s="25">
        <f>IF(Q922=1,IF(SUBSTITUTE(SUBSTITUTE(SUBSTITUTE(SUBSTITUTE(SUBSTITUTE(SUBSTITUTE(SUBSTITUTE(SUBSTITUTE(SUBSTITUTE(SUBSTITUTE(SUBSTITUTE(SUBSTITUTE(LOWER(TRIM(A922)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922)),"á","a"),"é","e"),"í","i"),"ó","o"),"ú","u"),"ü","u"),"ñ","n"),"à","a"),"è","e"),"ì","i"),"ò","o"),"ù","u")),"")</f>
        <v/>
      </c>
      <c r="Y922" s="25">
        <f>IF(X922="","",IF(IFERROR(COUNTIF(X$3:X922,"="&amp;SUBSTITUTE(SUBSTITUTE(SUBSTITUTE(X922,"~","~~"),"*","~*"),"?","~?")),0)=1,1,""))</f>
        <v/>
      </c>
      <c r="Z922" s="25">
        <f>IF(T922=1,MAX(Z$2:Z921)+1,"")</f>
        <v/>
      </c>
    </row>
    <row r="923">
      <c r="A923">
        <f>IF(A$2=0,"",IFERROR(TRIM(INDEX('Pegar calibracion'!$A$1:$BZ$1001,922,A$2)&amp;""),""))</f>
        <v/>
      </c>
      <c r="B923">
        <f>IF(B$2=0,"",IFERROR(TRIM(INDEX('Pegar calibracion'!$A$1:$BZ$1001,922,B$2)&amp;""),""))</f>
        <v/>
      </c>
      <c r="C923">
        <f>IF(C$2=0,"",IFERROR(TRIM(INDEX('Pegar calibracion'!$A$1:$BZ$1001,922,C$2)&amp;""),""))</f>
        <v/>
      </c>
      <c r="D923">
        <f>IF(D$2=0,"",IFERROR(TRIM(INDEX('Pegar calibracion'!$A$1:$BZ$1001,922,D$2)&amp;""),""))</f>
        <v/>
      </c>
      <c r="E923">
        <f>IF(E$2=0,"",IFERROR(TRIM(INDEX('Pegar calibracion'!$A$1:$BZ$1001,922,E$2)&amp;""),""))</f>
        <v/>
      </c>
      <c r="F923">
        <f>IF(F$2=0,"",IFERROR(TRIM(INDEX('Pegar calibracion'!$A$1:$BZ$1001,922,F$2)&amp;""),""))</f>
        <v/>
      </c>
      <c r="G923">
        <f>IF(G$2=0,"",IFERROR(TRIM(INDEX('Pegar calibracion'!$A$1:$BZ$1001,922,G$2)&amp;""),""))</f>
        <v/>
      </c>
      <c r="H923">
        <f>IF(H$2=0,"",IFERROR(TRIM(INDEX('Pegar calibracion'!$A$1:$BZ$1001,922,H$2)&amp;""),""))</f>
        <v/>
      </c>
      <c r="I923">
        <f>IF(I$2=0,"",IFERROR(TRIM(INDEX('Pegar calibracion'!$A$1:$BZ$1001,922,I$2)&amp;""),""))</f>
        <v/>
      </c>
      <c r="J923">
        <f>IF(J$2=0,"",IFERROR(TRIM(INDEX('Pegar calibracion'!$A$1:$BZ$1001,922,J$2)&amp;""),""))</f>
        <v/>
      </c>
      <c r="K923">
        <f>IF(K$2=0,"",IFERROR(TRIM(INDEX('Pegar calibracion'!$A$1:$BZ$1001,922,K$2)&amp;""),""))</f>
        <v/>
      </c>
      <c r="L923">
        <f>IF(L$2=0,"",IFERROR(TRIM(INDEX('Pegar calibracion'!$A$1:$BZ$1001,922,L$2)&amp;""),""))</f>
        <v/>
      </c>
      <c r="M923" s="25">
        <f>IF(D923="","",SUBSTITUTE(SUBSTITUTE(SUBSTITUTE(SUBSTITUTE(SUBSTITUTE(SUBSTITUTE(SUBSTITUTE(SUBSTITUTE(SUBSTITUTE(SUBSTITUTE(SUBSTITUTE(SUBSTITUTE(LOWER(TRIM(D923)),"á","a"),"é","e"),"í","i"),"ó","o"),"ú","u"),"ü","u"),"ñ","n"),"à","a"),"è","e"),"ì","i"),"ò","o"),"ù","u"))</f>
        <v/>
      </c>
      <c r="N923" s="25">
        <f>IF(F923="","",SUBSTITUTE(SUBSTITUTE(SUBSTITUTE(SUBSTITUTE(SUBSTITUTE(SUBSTITUTE(SUBSTITUTE(SUBSTITUTE(SUBSTITUTE(SUBSTITUTE(SUBSTITUTE(SUBSTITUTE(LOWER(TRIM(F923)),"á","a"),"é","e"),"í","i"),"ó","o"),"ú","u"),"ü","u"),"ñ","n"),"à","a"),"è","e"),"ì","i"),"ò","o"),"ù","u"))</f>
        <v/>
      </c>
      <c r="O923" s="25">
        <f>IF(M923="confiable",2,IF(M923="dudosa",1,IF(M923="no confiable",0,"")))</f>
        <v/>
      </c>
      <c r="P923" s="25">
        <f>IF(N923="confiable",2,IF(N923="dudosa",1,IF(N923="no confiable",0,"")))</f>
        <v/>
      </c>
      <c r="Q923" s="25">
        <f>IF(AND(ISNUMBER(O923),ISNUMBER(P923)),1,"")</f>
        <v/>
      </c>
      <c r="R923" s="25">
        <f>IF(Q923=1,IF(O923=P923,"Sí","No"),"")</f>
        <v/>
      </c>
      <c r="S923" s="25">
        <f>IF(Q923=1,IF(P923&lt;O923,"Más estricto",IF(P923&gt;O923,"Más permisivo","Igual")),"")</f>
        <v/>
      </c>
      <c r="T923" s="25">
        <f>IF(Q923=1,IF(ABS(O923-P923)=2,1,0),"")</f>
        <v/>
      </c>
      <c r="U923" s="25">
        <f>IF(H923="","","|"&amp;SUBSTITUTE(SUBSTITUTE(TRIM(H923)," |","|"),"| ","|")&amp;"|")</f>
        <v/>
      </c>
      <c r="V923" s="25">
        <f>IF(AND(Q923=1,B923&lt;&gt;""),IF(IFERROR(COUNTIFS(B$3:B923,"="&amp;SUBSTITUTE(SUBSTITUTE(SUBSTITUTE(B923,"~","~~"),"*","~*"),"?","~?"),Q$3:Q923,1),0)=1,MAX(V$2:V922)+1,""),"")</f>
        <v/>
      </c>
      <c r="W923" s="25">
        <f>IF(V923="","",COUNTIFS($B$3:$B$1002,"="&amp;SUBSTITUTE(SUBSTITUTE(SUBSTITUTE(B923,"~","~~"),"*","~*"),"?","~?"),$Q$3:$Q$1002,1)*10000-V923)</f>
        <v/>
      </c>
      <c r="X923" s="25">
        <f>IF(Q923=1,IF(SUBSTITUTE(SUBSTITUTE(SUBSTITUTE(SUBSTITUTE(SUBSTITUTE(SUBSTITUTE(SUBSTITUTE(SUBSTITUTE(SUBSTITUTE(SUBSTITUTE(SUBSTITUTE(SUBSTITUTE(LOWER(TRIM(A923)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923)),"á","a"),"é","e"),"í","i"),"ó","o"),"ú","u"),"ü","u"),"ñ","n"),"à","a"),"è","e"),"ì","i"),"ò","o"),"ù","u")),"")</f>
        <v/>
      </c>
      <c r="Y923" s="25">
        <f>IF(X923="","",IF(IFERROR(COUNTIF(X$3:X923,"="&amp;SUBSTITUTE(SUBSTITUTE(SUBSTITUTE(X923,"~","~~"),"*","~*"),"?","~?")),0)=1,1,""))</f>
        <v/>
      </c>
      <c r="Z923" s="25">
        <f>IF(T923=1,MAX(Z$2:Z922)+1,"")</f>
        <v/>
      </c>
    </row>
    <row r="924">
      <c r="A924">
        <f>IF(A$2=0,"",IFERROR(TRIM(INDEX('Pegar calibracion'!$A$1:$BZ$1001,923,A$2)&amp;""),""))</f>
        <v/>
      </c>
      <c r="B924">
        <f>IF(B$2=0,"",IFERROR(TRIM(INDEX('Pegar calibracion'!$A$1:$BZ$1001,923,B$2)&amp;""),""))</f>
        <v/>
      </c>
      <c r="C924">
        <f>IF(C$2=0,"",IFERROR(TRIM(INDEX('Pegar calibracion'!$A$1:$BZ$1001,923,C$2)&amp;""),""))</f>
        <v/>
      </c>
      <c r="D924">
        <f>IF(D$2=0,"",IFERROR(TRIM(INDEX('Pegar calibracion'!$A$1:$BZ$1001,923,D$2)&amp;""),""))</f>
        <v/>
      </c>
      <c r="E924">
        <f>IF(E$2=0,"",IFERROR(TRIM(INDEX('Pegar calibracion'!$A$1:$BZ$1001,923,E$2)&amp;""),""))</f>
        <v/>
      </c>
      <c r="F924">
        <f>IF(F$2=0,"",IFERROR(TRIM(INDEX('Pegar calibracion'!$A$1:$BZ$1001,923,F$2)&amp;""),""))</f>
        <v/>
      </c>
      <c r="G924">
        <f>IF(G$2=0,"",IFERROR(TRIM(INDEX('Pegar calibracion'!$A$1:$BZ$1001,923,G$2)&amp;""),""))</f>
        <v/>
      </c>
      <c r="H924">
        <f>IF(H$2=0,"",IFERROR(TRIM(INDEX('Pegar calibracion'!$A$1:$BZ$1001,923,H$2)&amp;""),""))</f>
        <v/>
      </c>
      <c r="I924">
        <f>IF(I$2=0,"",IFERROR(TRIM(INDEX('Pegar calibracion'!$A$1:$BZ$1001,923,I$2)&amp;""),""))</f>
        <v/>
      </c>
      <c r="J924">
        <f>IF(J$2=0,"",IFERROR(TRIM(INDEX('Pegar calibracion'!$A$1:$BZ$1001,923,J$2)&amp;""),""))</f>
        <v/>
      </c>
      <c r="K924">
        <f>IF(K$2=0,"",IFERROR(TRIM(INDEX('Pegar calibracion'!$A$1:$BZ$1001,923,K$2)&amp;""),""))</f>
        <v/>
      </c>
      <c r="L924">
        <f>IF(L$2=0,"",IFERROR(TRIM(INDEX('Pegar calibracion'!$A$1:$BZ$1001,923,L$2)&amp;""),""))</f>
        <v/>
      </c>
      <c r="M924" s="25">
        <f>IF(D924="","",SUBSTITUTE(SUBSTITUTE(SUBSTITUTE(SUBSTITUTE(SUBSTITUTE(SUBSTITUTE(SUBSTITUTE(SUBSTITUTE(SUBSTITUTE(SUBSTITUTE(SUBSTITUTE(SUBSTITUTE(LOWER(TRIM(D924)),"á","a"),"é","e"),"í","i"),"ó","o"),"ú","u"),"ü","u"),"ñ","n"),"à","a"),"è","e"),"ì","i"),"ò","o"),"ù","u"))</f>
        <v/>
      </c>
      <c r="N924" s="25">
        <f>IF(F924="","",SUBSTITUTE(SUBSTITUTE(SUBSTITUTE(SUBSTITUTE(SUBSTITUTE(SUBSTITUTE(SUBSTITUTE(SUBSTITUTE(SUBSTITUTE(SUBSTITUTE(SUBSTITUTE(SUBSTITUTE(LOWER(TRIM(F924)),"á","a"),"é","e"),"í","i"),"ó","o"),"ú","u"),"ü","u"),"ñ","n"),"à","a"),"è","e"),"ì","i"),"ò","o"),"ù","u"))</f>
        <v/>
      </c>
      <c r="O924" s="25">
        <f>IF(M924="confiable",2,IF(M924="dudosa",1,IF(M924="no confiable",0,"")))</f>
        <v/>
      </c>
      <c r="P924" s="25">
        <f>IF(N924="confiable",2,IF(N924="dudosa",1,IF(N924="no confiable",0,"")))</f>
        <v/>
      </c>
      <c r="Q924" s="25">
        <f>IF(AND(ISNUMBER(O924),ISNUMBER(P924)),1,"")</f>
        <v/>
      </c>
      <c r="R924" s="25">
        <f>IF(Q924=1,IF(O924=P924,"Sí","No"),"")</f>
        <v/>
      </c>
      <c r="S924" s="25">
        <f>IF(Q924=1,IF(P924&lt;O924,"Más estricto",IF(P924&gt;O924,"Más permisivo","Igual")),"")</f>
        <v/>
      </c>
      <c r="T924" s="25">
        <f>IF(Q924=1,IF(ABS(O924-P924)=2,1,0),"")</f>
        <v/>
      </c>
      <c r="U924" s="25">
        <f>IF(H924="","","|"&amp;SUBSTITUTE(SUBSTITUTE(TRIM(H924)," |","|"),"| ","|")&amp;"|")</f>
        <v/>
      </c>
      <c r="V924" s="25">
        <f>IF(AND(Q924=1,B924&lt;&gt;""),IF(IFERROR(COUNTIFS(B$3:B924,"="&amp;SUBSTITUTE(SUBSTITUTE(SUBSTITUTE(B924,"~","~~"),"*","~*"),"?","~?"),Q$3:Q924,1),0)=1,MAX(V$2:V923)+1,""),"")</f>
        <v/>
      </c>
      <c r="W924" s="25">
        <f>IF(V924="","",COUNTIFS($B$3:$B$1002,"="&amp;SUBSTITUTE(SUBSTITUTE(SUBSTITUTE(B924,"~","~~"),"*","~*"),"?","~?"),$Q$3:$Q$1002,1)*10000-V924)</f>
        <v/>
      </c>
      <c r="X924" s="25">
        <f>IF(Q924=1,IF(SUBSTITUTE(SUBSTITUTE(SUBSTITUTE(SUBSTITUTE(SUBSTITUTE(SUBSTITUTE(SUBSTITUTE(SUBSTITUTE(SUBSTITUTE(SUBSTITUTE(SUBSTITUTE(SUBSTITUTE(LOWER(TRIM(A924)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924)),"á","a"),"é","e"),"í","i"),"ó","o"),"ú","u"),"ü","u"),"ñ","n"),"à","a"),"è","e"),"ì","i"),"ò","o"),"ù","u")),"")</f>
        <v/>
      </c>
      <c r="Y924" s="25">
        <f>IF(X924="","",IF(IFERROR(COUNTIF(X$3:X924,"="&amp;SUBSTITUTE(SUBSTITUTE(SUBSTITUTE(X924,"~","~~"),"*","~*"),"?","~?")),0)=1,1,""))</f>
        <v/>
      </c>
      <c r="Z924" s="25">
        <f>IF(T924=1,MAX(Z$2:Z923)+1,"")</f>
        <v/>
      </c>
    </row>
    <row r="925">
      <c r="A925">
        <f>IF(A$2=0,"",IFERROR(TRIM(INDEX('Pegar calibracion'!$A$1:$BZ$1001,924,A$2)&amp;""),""))</f>
        <v/>
      </c>
      <c r="B925">
        <f>IF(B$2=0,"",IFERROR(TRIM(INDEX('Pegar calibracion'!$A$1:$BZ$1001,924,B$2)&amp;""),""))</f>
        <v/>
      </c>
      <c r="C925">
        <f>IF(C$2=0,"",IFERROR(TRIM(INDEX('Pegar calibracion'!$A$1:$BZ$1001,924,C$2)&amp;""),""))</f>
        <v/>
      </c>
      <c r="D925">
        <f>IF(D$2=0,"",IFERROR(TRIM(INDEX('Pegar calibracion'!$A$1:$BZ$1001,924,D$2)&amp;""),""))</f>
        <v/>
      </c>
      <c r="E925">
        <f>IF(E$2=0,"",IFERROR(TRIM(INDEX('Pegar calibracion'!$A$1:$BZ$1001,924,E$2)&amp;""),""))</f>
        <v/>
      </c>
      <c r="F925">
        <f>IF(F$2=0,"",IFERROR(TRIM(INDEX('Pegar calibracion'!$A$1:$BZ$1001,924,F$2)&amp;""),""))</f>
        <v/>
      </c>
      <c r="G925">
        <f>IF(G$2=0,"",IFERROR(TRIM(INDEX('Pegar calibracion'!$A$1:$BZ$1001,924,G$2)&amp;""),""))</f>
        <v/>
      </c>
      <c r="H925">
        <f>IF(H$2=0,"",IFERROR(TRIM(INDEX('Pegar calibracion'!$A$1:$BZ$1001,924,H$2)&amp;""),""))</f>
        <v/>
      </c>
      <c r="I925">
        <f>IF(I$2=0,"",IFERROR(TRIM(INDEX('Pegar calibracion'!$A$1:$BZ$1001,924,I$2)&amp;""),""))</f>
        <v/>
      </c>
      <c r="J925">
        <f>IF(J$2=0,"",IFERROR(TRIM(INDEX('Pegar calibracion'!$A$1:$BZ$1001,924,J$2)&amp;""),""))</f>
        <v/>
      </c>
      <c r="K925">
        <f>IF(K$2=0,"",IFERROR(TRIM(INDEX('Pegar calibracion'!$A$1:$BZ$1001,924,K$2)&amp;""),""))</f>
        <v/>
      </c>
      <c r="L925">
        <f>IF(L$2=0,"",IFERROR(TRIM(INDEX('Pegar calibracion'!$A$1:$BZ$1001,924,L$2)&amp;""),""))</f>
        <v/>
      </c>
      <c r="M925" s="25">
        <f>IF(D925="","",SUBSTITUTE(SUBSTITUTE(SUBSTITUTE(SUBSTITUTE(SUBSTITUTE(SUBSTITUTE(SUBSTITUTE(SUBSTITUTE(SUBSTITUTE(SUBSTITUTE(SUBSTITUTE(SUBSTITUTE(LOWER(TRIM(D925)),"á","a"),"é","e"),"í","i"),"ó","o"),"ú","u"),"ü","u"),"ñ","n"),"à","a"),"è","e"),"ì","i"),"ò","o"),"ù","u"))</f>
        <v/>
      </c>
      <c r="N925" s="25">
        <f>IF(F925="","",SUBSTITUTE(SUBSTITUTE(SUBSTITUTE(SUBSTITUTE(SUBSTITUTE(SUBSTITUTE(SUBSTITUTE(SUBSTITUTE(SUBSTITUTE(SUBSTITUTE(SUBSTITUTE(SUBSTITUTE(LOWER(TRIM(F925)),"á","a"),"é","e"),"í","i"),"ó","o"),"ú","u"),"ü","u"),"ñ","n"),"à","a"),"è","e"),"ì","i"),"ò","o"),"ù","u"))</f>
        <v/>
      </c>
      <c r="O925" s="25">
        <f>IF(M925="confiable",2,IF(M925="dudosa",1,IF(M925="no confiable",0,"")))</f>
        <v/>
      </c>
      <c r="P925" s="25">
        <f>IF(N925="confiable",2,IF(N925="dudosa",1,IF(N925="no confiable",0,"")))</f>
        <v/>
      </c>
      <c r="Q925" s="25">
        <f>IF(AND(ISNUMBER(O925),ISNUMBER(P925)),1,"")</f>
        <v/>
      </c>
      <c r="R925" s="25">
        <f>IF(Q925=1,IF(O925=P925,"Sí","No"),"")</f>
        <v/>
      </c>
      <c r="S925" s="25">
        <f>IF(Q925=1,IF(P925&lt;O925,"Más estricto",IF(P925&gt;O925,"Más permisivo","Igual")),"")</f>
        <v/>
      </c>
      <c r="T925" s="25">
        <f>IF(Q925=1,IF(ABS(O925-P925)=2,1,0),"")</f>
        <v/>
      </c>
      <c r="U925" s="25">
        <f>IF(H925="","","|"&amp;SUBSTITUTE(SUBSTITUTE(TRIM(H925)," |","|"),"| ","|")&amp;"|")</f>
        <v/>
      </c>
      <c r="V925" s="25">
        <f>IF(AND(Q925=1,B925&lt;&gt;""),IF(IFERROR(COUNTIFS(B$3:B925,"="&amp;SUBSTITUTE(SUBSTITUTE(SUBSTITUTE(B925,"~","~~"),"*","~*"),"?","~?"),Q$3:Q925,1),0)=1,MAX(V$2:V924)+1,""),"")</f>
        <v/>
      </c>
      <c r="W925" s="25">
        <f>IF(V925="","",COUNTIFS($B$3:$B$1002,"="&amp;SUBSTITUTE(SUBSTITUTE(SUBSTITUTE(B925,"~","~~"),"*","~*"),"?","~?"),$Q$3:$Q$1002,1)*10000-V925)</f>
        <v/>
      </c>
      <c r="X925" s="25">
        <f>IF(Q925=1,IF(SUBSTITUTE(SUBSTITUTE(SUBSTITUTE(SUBSTITUTE(SUBSTITUTE(SUBSTITUTE(SUBSTITUTE(SUBSTITUTE(SUBSTITUTE(SUBSTITUTE(SUBSTITUTE(SUBSTITUTE(LOWER(TRIM(A925)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925)),"á","a"),"é","e"),"í","i"),"ó","o"),"ú","u"),"ü","u"),"ñ","n"),"à","a"),"è","e"),"ì","i"),"ò","o"),"ù","u")),"")</f>
        <v/>
      </c>
      <c r="Y925" s="25">
        <f>IF(X925="","",IF(IFERROR(COUNTIF(X$3:X925,"="&amp;SUBSTITUTE(SUBSTITUTE(SUBSTITUTE(X925,"~","~~"),"*","~*"),"?","~?")),0)=1,1,""))</f>
        <v/>
      </c>
      <c r="Z925" s="25">
        <f>IF(T925=1,MAX(Z$2:Z924)+1,"")</f>
        <v/>
      </c>
    </row>
    <row r="926">
      <c r="A926">
        <f>IF(A$2=0,"",IFERROR(TRIM(INDEX('Pegar calibracion'!$A$1:$BZ$1001,925,A$2)&amp;""),""))</f>
        <v/>
      </c>
      <c r="B926">
        <f>IF(B$2=0,"",IFERROR(TRIM(INDEX('Pegar calibracion'!$A$1:$BZ$1001,925,B$2)&amp;""),""))</f>
        <v/>
      </c>
      <c r="C926">
        <f>IF(C$2=0,"",IFERROR(TRIM(INDEX('Pegar calibracion'!$A$1:$BZ$1001,925,C$2)&amp;""),""))</f>
        <v/>
      </c>
      <c r="D926">
        <f>IF(D$2=0,"",IFERROR(TRIM(INDEX('Pegar calibracion'!$A$1:$BZ$1001,925,D$2)&amp;""),""))</f>
        <v/>
      </c>
      <c r="E926">
        <f>IF(E$2=0,"",IFERROR(TRIM(INDEX('Pegar calibracion'!$A$1:$BZ$1001,925,E$2)&amp;""),""))</f>
        <v/>
      </c>
      <c r="F926">
        <f>IF(F$2=0,"",IFERROR(TRIM(INDEX('Pegar calibracion'!$A$1:$BZ$1001,925,F$2)&amp;""),""))</f>
        <v/>
      </c>
      <c r="G926">
        <f>IF(G$2=0,"",IFERROR(TRIM(INDEX('Pegar calibracion'!$A$1:$BZ$1001,925,G$2)&amp;""),""))</f>
        <v/>
      </c>
      <c r="H926">
        <f>IF(H$2=0,"",IFERROR(TRIM(INDEX('Pegar calibracion'!$A$1:$BZ$1001,925,H$2)&amp;""),""))</f>
        <v/>
      </c>
      <c r="I926">
        <f>IF(I$2=0,"",IFERROR(TRIM(INDEX('Pegar calibracion'!$A$1:$BZ$1001,925,I$2)&amp;""),""))</f>
        <v/>
      </c>
      <c r="J926">
        <f>IF(J$2=0,"",IFERROR(TRIM(INDEX('Pegar calibracion'!$A$1:$BZ$1001,925,J$2)&amp;""),""))</f>
        <v/>
      </c>
      <c r="K926">
        <f>IF(K$2=0,"",IFERROR(TRIM(INDEX('Pegar calibracion'!$A$1:$BZ$1001,925,K$2)&amp;""),""))</f>
        <v/>
      </c>
      <c r="L926">
        <f>IF(L$2=0,"",IFERROR(TRIM(INDEX('Pegar calibracion'!$A$1:$BZ$1001,925,L$2)&amp;""),""))</f>
        <v/>
      </c>
      <c r="M926" s="25">
        <f>IF(D926="","",SUBSTITUTE(SUBSTITUTE(SUBSTITUTE(SUBSTITUTE(SUBSTITUTE(SUBSTITUTE(SUBSTITUTE(SUBSTITUTE(SUBSTITUTE(SUBSTITUTE(SUBSTITUTE(SUBSTITUTE(LOWER(TRIM(D926)),"á","a"),"é","e"),"í","i"),"ó","o"),"ú","u"),"ü","u"),"ñ","n"),"à","a"),"è","e"),"ì","i"),"ò","o"),"ù","u"))</f>
        <v/>
      </c>
      <c r="N926" s="25">
        <f>IF(F926="","",SUBSTITUTE(SUBSTITUTE(SUBSTITUTE(SUBSTITUTE(SUBSTITUTE(SUBSTITUTE(SUBSTITUTE(SUBSTITUTE(SUBSTITUTE(SUBSTITUTE(SUBSTITUTE(SUBSTITUTE(LOWER(TRIM(F926)),"á","a"),"é","e"),"í","i"),"ó","o"),"ú","u"),"ü","u"),"ñ","n"),"à","a"),"è","e"),"ì","i"),"ò","o"),"ù","u"))</f>
        <v/>
      </c>
      <c r="O926" s="25">
        <f>IF(M926="confiable",2,IF(M926="dudosa",1,IF(M926="no confiable",0,"")))</f>
        <v/>
      </c>
      <c r="P926" s="25">
        <f>IF(N926="confiable",2,IF(N926="dudosa",1,IF(N926="no confiable",0,"")))</f>
        <v/>
      </c>
      <c r="Q926" s="25">
        <f>IF(AND(ISNUMBER(O926),ISNUMBER(P926)),1,"")</f>
        <v/>
      </c>
      <c r="R926" s="25">
        <f>IF(Q926=1,IF(O926=P926,"Sí","No"),"")</f>
        <v/>
      </c>
      <c r="S926" s="25">
        <f>IF(Q926=1,IF(P926&lt;O926,"Más estricto",IF(P926&gt;O926,"Más permisivo","Igual")),"")</f>
        <v/>
      </c>
      <c r="T926" s="25">
        <f>IF(Q926=1,IF(ABS(O926-P926)=2,1,0),"")</f>
        <v/>
      </c>
      <c r="U926" s="25">
        <f>IF(H926="","","|"&amp;SUBSTITUTE(SUBSTITUTE(TRIM(H926)," |","|"),"| ","|")&amp;"|")</f>
        <v/>
      </c>
      <c r="V926" s="25">
        <f>IF(AND(Q926=1,B926&lt;&gt;""),IF(IFERROR(COUNTIFS(B$3:B926,"="&amp;SUBSTITUTE(SUBSTITUTE(SUBSTITUTE(B926,"~","~~"),"*","~*"),"?","~?"),Q$3:Q926,1),0)=1,MAX(V$2:V925)+1,""),"")</f>
        <v/>
      </c>
      <c r="W926" s="25">
        <f>IF(V926="","",COUNTIFS($B$3:$B$1002,"="&amp;SUBSTITUTE(SUBSTITUTE(SUBSTITUTE(B926,"~","~~"),"*","~*"),"?","~?"),$Q$3:$Q$1002,1)*10000-V926)</f>
        <v/>
      </c>
      <c r="X926" s="25">
        <f>IF(Q926=1,IF(SUBSTITUTE(SUBSTITUTE(SUBSTITUTE(SUBSTITUTE(SUBSTITUTE(SUBSTITUTE(SUBSTITUTE(SUBSTITUTE(SUBSTITUTE(SUBSTITUTE(SUBSTITUTE(SUBSTITUTE(LOWER(TRIM(A926)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926)),"á","a"),"é","e"),"í","i"),"ó","o"),"ú","u"),"ü","u"),"ñ","n"),"à","a"),"è","e"),"ì","i"),"ò","o"),"ù","u")),"")</f>
        <v/>
      </c>
      <c r="Y926" s="25">
        <f>IF(X926="","",IF(IFERROR(COUNTIF(X$3:X926,"="&amp;SUBSTITUTE(SUBSTITUTE(SUBSTITUTE(X926,"~","~~"),"*","~*"),"?","~?")),0)=1,1,""))</f>
        <v/>
      </c>
      <c r="Z926" s="25">
        <f>IF(T926=1,MAX(Z$2:Z925)+1,"")</f>
        <v/>
      </c>
    </row>
    <row r="927">
      <c r="A927">
        <f>IF(A$2=0,"",IFERROR(TRIM(INDEX('Pegar calibracion'!$A$1:$BZ$1001,926,A$2)&amp;""),""))</f>
        <v/>
      </c>
      <c r="B927">
        <f>IF(B$2=0,"",IFERROR(TRIM(INDEX('Pegar calibracion'!$A$1:$BZ$1001,926,B$2)&amp;""),""))</f>
        <v/>
      </c>
      <c r="C927">
        <f>IF(C$2=0,"",IFERROR(TRIM(INDEX('Pegar calibracion'!$A$1:$BZ$1001,926,C$2)&amp;""),""))</f>
        <v/>
      </c>
      <c r="D927">
        <f>IF(D$2=0,"",IFERROR(TRIM(INDEX('Pegar calibracion'!$A$1:$BZ$1001,926,D$2)&amp;""),""))</f>
        <v/>
      </c>
      <c r="E927">
        <f>IF(E$2=0,"",IFERROR(TRIM(INDEX('Pegar calibracion'!$A$1:$BZ$1001,926,E$2)&amp;""),""))</f>
        <v/>
      </c>
      <c r="F927">
        <f>IF(F$2=0,"",IFERROR(TRIM(INDEX('Pegar calibracion'!$A$1:$BZ$1001,926,F$2)&amp;""),""))</f>
        <v/>
      </c>
      <c r="G927">
        <f>IF(G$2=0,"",IFERROR(TRIM(INDEX('Pegar calibracion'!$A$1:$BZ$1001,926,G$2)&amp;""),""))</f>
        <v/>
      </c>
      <c r="H927">
        <f>IF(H$2=0,"",IFERROR(TRIM(INDEX('Pegar calibracion'!$A$1:$BZ$1001,926,H$2)&amp;""),""))</f>
        <v/>
      </c>
      <c r="I927">
        <f>IF(I$2=0,"",IFERROR(TRIM(INDEX('Pegar calibracion'!$A$1:$BZ$1001,926,I$2)&amp;""),""))</f>
        <v/>
      </c>
      <c r="J927">
        <f>IF(J$2=0,"",IFERROR(TRIM(INDEX('Pegar calibracion'!$A$1:$BZ$1001,926,J$2)&amp;""),""))</f>
        <v/>
      </c>
      <c r="K927">
        <f>IF(K$2=0,"",IFERROR(TRIM(INDEX('Pegar calibracion'!$A$1:$BZ$1001,926,K$2)&amp;""),""))</f>
        <v/>
      </c>
      <c r="L927">
        <f>IF(L$2=0,"",IFERROR(TRIM(INDEX('Pegar calibracion'!$A$1:$BZ$1001,926,L$2)&amp;""),""))</f>
        <v/>
      </c>
      <c r="M927" s="25">
        <f>IF(D927="","",SUBSTITUTE(SUBSTITUTE(SUBSTITUTE(SUBSTITUTE(SUBSTITUTE(SUBSTITUTE(SUBSTITUTE(SUBSTITUTE(SUBSTITUTE(SUBSTITUTE(SUBSTITUTE(SUBSTITUTE(LOWER(TRIM(D927)),"á","a"),"é","e"),"í","i"),"ó","o"),"ú","u"),"ü","u"),"ñ","n"),"à","a"),"è","e"),"ì","i"),"ò","o"),"ù","u"))</f>
        <v/>
      </c>
      <c r="N927" s="25">
        <f>IF(F927="","",SUBSTITUTE(SUBSTITUTE(SUBSTITUTE(SUBSTITUTE(SUBSTITUTE(SUBSTITUTE(SUBSTITUTE(SUBSTITUTE(SUBSTITUTE(SUBSTITUTE(SUBSTITUTE(SUBSTITUTE(LOWER(TRIM(F927)),"á","a"),"é","e"),"í","i"),"ó","o"),"ú","u"),"ü","u"),"ñ","n"),"à","a"),"è","e"),"ì","i"),"ò","o"),"ù","u"))</f>
        <v/>
      </c>
      <c r="O927" s="25">
        <f>IF(M927="confiable",2,IF(M927="dudosa",1,IF(M927="no confiable",0,"")))</f>
        <v/>
      </c>
      <c r="P927" s="25">
        <f>IF(N927="confiable",2,IF(N927="dudosa",1,IF(N927="no confiable",0,"")))</f>
        <v/>
      </c>
      <c r="Q927" s="25">
        <f>IF(AND(ISNUMBER(O927),ISNUMBER(P927)),1,"")</f>
        <v/>
      </c>
      <c r="R927" s="25">
        <f>IF(Q927=1,IF(O927=P927,"Sí","No"),"")</f>
        <v/>
      </c>
      <c r="S927" s="25">
        <f>IF(Q927=1,IF(P927&lt;O927,"Más estricto",IF(P927&gt;O927,"Más permisivo","Igual")),"")</f>
        <v/>
      </c>
      <c r="T927" s="25">
        <f>IF(Q927=1,IF(ABS(O927-P927)=2,1,0),"")</f>
        <v/>
      </c>
      <c r="U927" s="25">
        <f>IF(H927="","","|"&amp;SUBSTITUTE(SUBSTITUTE(TRIM(H927)," |","|"),"| ","|")&amp;"|")</f>
        <v/>
      </c>
      <c r="V927" s="25">
        <f>IF(AND(Q927=1,B927&lt;&gt;""),IF(IFERROR(COUNTIFS(B$3:B927,"="&amp;SUBSTITUTE(SUBSTITUTE(SUBSTITUTE(B927,"~","~~"),"*","~*"),"?","~?"),Q$3:Q927,1),0)=1,MAX(V$2:V926)+1,""),"")</f>
        <v/>
      </c>
      <c r="W927" s="25">
        <f>IF(V927="","",COUNTIFS($B$3:$B$1002,"="&amp;SUBSTITUTE(SUBSTITUTE(SUBSTITUTE(B927,"~","~~"),"*","~*"),"?","~?"),$Q$3:$Q$1002,1)*10000-V927)</f>
        <v/>
      </c>
      <c r="X927" s="25">
        <f>IF(Q927=1,IF(SUBSTITUTE(SUBSTITUTE(SUBSTITUTE(SUBSTITUTE(SUBSTITUTE(SUBSTITUTE(SUBSTITUTE(SUBSTITUTE(SUBSTITUTE(SUBSTITUTE(SUBSTITUTE(SUBSTITUTE(LOWER(TRIM(A927)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927)),"á","a"),"é","e"),"í","i"),"ó","o"),"ú","u"),"ü","u"),"ñ","n"),"à","a"),"è","e"),"ì","i"),"ò","o"),"ù","u")),"")</f>
        <v/>
      </c>
      <c r="Y927" s="25">
        <f>IF(X927="","",IF(IFERROR(COUNTIF(X$3:X927,"="&amp;SUBSTITUTE(SUBSTITUTE(SUBSTITUTE(X927,"~","~~"),"*","~*"),"?","~?")),0)=1,1,""))</f>
        <v/>
      </c>
      <c r="Z927" s="25">
        <f>IF(T927=1,MAX(Z$2:Z926)+1,"")</f>
        <v/>
      </c>
    </row>
    <row r="928">
      <c r="A928">
        <f>IF(A$2=0,"",IFERROR(TRIM(INDEX('Pegar calibracion'!$A$1:$BZ$1001,927,A$2)&amp;""),""))</f>
        <v/>
      </c>
      <c r="B928">
        <f>IF(B$2=0,"",IFERROR(TRIM(INDEX('Pegar calibracion'!$A$1:$BZ$1001,927,B$2)&amp;""),""))</f>
        <v/>
      </c>
      <c r="C928">
        <f>IF(C$2=0,"",IFERROR(TRIM(INDEX('Pegar calibracion'!$A$1:$BZ$1001,927,C$2)&amp;""),""))</f>
        <v/>
      </c>
      <c r="D928">
        <f>IF(D$2=0,"",IFERROR(TRIM(INDEX('Pegar calibracion'!$A$1:$BZ$1001,927,D$2)&amp;""),""))</f>
        <v/>
      </c>
      <c r="E928">
        <f>IF(E$2=0,"",IFERROR(TRIM(INDEX('Pegar calibracion'!$A$1:$BZ$1001,927,E$2)&amp;""),""))</f>
        <v/>
      </c>
      <c r="F928">
        <f>IF(F$2=0,"",IFERROR(TRIM(INDEX('Pegar calibracion'!$A$1:$BZ$1001,927,F$2)&amp;""),""))</f>
        <v/>
      </c>
      <c r="G928">
        <f>IF(G$2=0,"",IFERROR(TRIM(INDEX('Pegar calibracion'!$A$1:$BZ$1001,927,G$2)&amp;""),""))</f>
        <v/>
      </c>
      <c r="H928">
        <f>IF(H$2=0,"",IFERROR(TRIM(INDEX('Pegar calibracion'!$A$1:$BZ$1001,927,H$2)&amp;""),""))</f>
        <v/>
      </c>
      <c r="I928">
        <f>IF(I$2=0,"",IFERROR(TRIM(INDEX('Pegar calibracion'!$A$1:$BZ$1001,927,I$2)&amp;""),""))</f>
        <v/>
      </c>
      <c r="J928">
        <f>IF(J$2=0,"",IFERROR(TRIM(INDEX('Pegar calibracion'!$A$1:$BZ$1001,927,J$2)&amp;""),""))</f>
        <v/>
      </c>
      <c r="K928">
        <f>IF(K$2=0,"",IFERROR(TRIM(INDEX('Pegar calibracion'!$A$1:$BZ$1001,927,K$2)&amp;""),""))</f>
        <v/>
      </c>
      <c r="L928">
        <f>IF(L$2=0,"",IFERROR(TRIM(INDEX('Pegar calibracion'!$A$1:$BZ$1001,927,L$2)&amp;""),""))</f>
        <v/>
      </c>
      <c r="M928" s="25">
        <f>IF(D928="","",SUBSTITUTE(SUBSTITUTE(SUBSTITUTE(SUBSTITUTE(SUBSTITUTE(SUBSTITUTE(SUBSTITUTE(SUBSTITUTE(SUBSTITUTE(SUBSTITUTE(SUBSTITUTE(SUBSTITUTE(LOWER(TRIM(D928)),"á","a"),"é","e"),"í","i"),"ó","o"),"ú","u"),"ü","u"),"ñ","n"),"à","a"),"è","e"),"ì","i"),"ò","o"),"ù","u"))</f>
        <v/>
      </c>
      <c r="N928" s="25">
        <f>IF(F928="","",SUBSTITUTE(SUBSTITUTE(SUBSTITUTE(SUBSTITUTE(SUBSTITUTE(SUBSTITUTE(SUBSTITUTE(SUBSTITUTE(SUBSTITUTE(SUBSTITUTE(SUBSTITUTE(SUBSTITUTE(LOWER(TRIM(F928)),"á","a"),"é","e"),"í","i"),"ó","o"),"ú","u"),"ü","u"),"ñ","n"),"à","a"),"è","e"),"ì","i"),"ò","o"),"ù","u"))</f>
        <v/>
      </c>
      <c r="O928" s="25">
        <f>IF(M928="confiable",2,IF(M928="dudosa",1,IF(M928="no confiable",0,"")))</f>
        <v/>
      </c>
      <c r="P928" s="25">
        <f>IF(N928="confiable",2,IF(N928="dudosa",1,IF(N928="no confiable",0,"")))</f>
        <v/>
      </c>
      <c r="Q928" s="25">
        <f>IF(AND(ISNUMBER(O928),ISNUMBER(P928)),1,"")</f>
        <v/>
      </c>
      <c r="R928" s="25">
        <f>IF(Q928=1,IF(O928=P928,"Sí","No"),"")</f>
        <v/>
      </c>
      <c r="S928" s="25">
        <f>IF(Q928=1,IF(P928&lt;O928,"Más estricto",IF(P928&gt;O928,"Más permisivo","Igual")),"")</f>
        <v/>
      </c>
      <c r="T928" s="25">
        <f>IF(Q928=1,IF(ABS(O928-P928)=2,1,0),"")</f>
        <v/>
      </c>
      <c r="U928" s="25">
        <f>IF(H928="","","|"&amp;SUBSTITUTE(SUBSTITUTE(TRIM(H928)," |","|"),"| ","|")&amp;"|")</f>
        <v/>
      </c>
      <c r="V928" s="25">
        <f>IF(AND(Q928=1,B928&lt;&gt;""),IF(IFERROR(COUNTIFS(B$3:B928,"="&amp;SUBSTITUTE(SUBSTITUTE(SUBSTITUTE(B928,"~","~~"),"*","~*"),"?","~?"),Q$3:Q928,1),0)=1,MAX(V$2:V927)+1,""),"")</f>
        <v/>
      </c>
      <c r="W928" s="25">
        <f>IF(V928="","",COUNTIFS($B$3:$B$1002,"="&amp;SUBSTITUTE(SUBSTITUTE(SUBSTITUTE(B928,"~","~~"),"*","~*"),"?","~?"),$Q$3:$Q$1002,1)*10000-V928)</f>
        <v/>
      </c>
      <c r="X928" s="25">
        <f>IF(Q928=1,IF(SUBSTITUTE(SUBSTITUTE(SUBSTITUTE(SUBSTITUTE(SUBSTITUTE(SUBSTITUTE(SUBSTITUTE(SUBSTITUTE(SUBSTITUTE(SUBSTITUTE(SUBSTITUTE(SUBSTITUTE(LOWER(TRIM(A928)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928)),"á","a"),"é","e"),"í","i"),"ó","o"),"ú","u"),"ü","u"),"ñ","n"),"à","a"),"è","e"),"ì","i"),"ò","o"),"ù","u")),"")</f>
        <v/>
      </c>
      <c r="Y928" s="25">
        <f>IF(X928="","",IF(IFERROR(COUNTIF(X$3:X928,"="&amp;SUBSTITUTE(SUBSTITUTE(SUBSTITUTE(X928,"~","~~"),"*","~*"),"?","~?")),0)=1,1,""))</f>
        <v/>
      </c>
      <c r="Z928" s="25">
        <f>IF(T928=1,MAX(Z$2:Z927)+1,"")</f>
        <v/>
      </c>
    </row>
    <row r="929">
      <c r="A929">
        <f>IF(A$2=0,"",IFERROR(TRIM(INDEX('Pegar calibracion'!$A$1:$BZ$1001,928,A$2)&amp;""),""))</f>
        <v/>
      </c>
      <c r="B929">
        <f>IF(B$2=0,"",IFERROR(TRIM(INDEX('Pegar calibracion'!$A$1:$BZ$1001,928,B$2)&amp;""),""))</f>
        <v/>
      </c>
      <c r="C929">
        <f>IF(C$2=0,"",IFERROR(TRIM(INDEX('Pegar calibracion'!$A$1:$BZ$1001,928,C$2)&amp;""),""))</f>
        <v/>
      </c>
      <c r="D929">
        <f>IF(D$2=0,"",IFERROR(TRIM(INDEX('Pegar calibracion'!$A$1:$BZ$1001,928,D$2)&amp;""),""))</f>
        <v/>
      </c>
      <c r="E929">
        <f>IF(E$2=0,"",IFERROR(TRIM(INDEX('Pegar calibracion'!$A$1:$BZ$1001,928,E$2)&amp;""),""))</f>
        <v/>
      </c>
      <c r="F929">
        <f>IF(F$2=0,"",IFERROR(TRIM(INDEX('Pegar calibracion'!$A$1:$BZ$1001,928,F$2)&amp;""),""))</f>
        <v/>
      </c>
      <c r="G929">
        <f>IF(G$2=0,"",IFERROR(TRIM(INDEX('Pegar calibracion'!$A$1:$BZ$1001,928,G$2)&amp;""),""))</f>
        <v/>
      </c>
      <c r="H929">
        <f>IF(H$2=0,"",IFERROR(TRIM(INDEX('Pegar calibracion'!$A$1:$BZ$1001,928,H$2)&amp;""),""))</f>
        <v/>
      </c>
      <c r="I929">
        <f>IF(I$2=0,"",IFERROR(TRIM(INDEX('Pegar calibracion'!$A$1:$BZ$1001,928,I$2)&amp;""),""))</f>
        <v/>
      </c>
      <c r="J929">
        <f>IF(J$2=0,"",IFERROR(TRIM(INDEX('Pegar calibracion'!$A$1:$BZ$1001,928,J$2)&amp;""),""))</f>
        <v/>
      </c>
      <c r="K929">
        <f>IF(K$2=0,"",IFERROR(TRIM(INDEX('Pegar calibracion'!$A$1:$BZ$1001,928,K$2)&amp;""),""))</f>
        <v/>
      </c>
      <c r="L929">
        <f>IF(L$2=0,"",IFERROR(TRIM(INDEX('Pegar calibracion'!$A$1:$BZ$1001,928,L$2)&amp;""),""))</f>
        <v/>
      </c>
      <c r="M929" s="25">
        <f>IF(D929="","",SUBSTITUTE(SUBSTITUTE(SUBSTITUTE(SUBSTITUTE(SUBSTITUTE(SUBSTITUTE(SUBSTITUTE(SUBSTITUTE(SUBSTITUTE(SUBSTITUTE(SUBSTITUTE(SUBSTITUTE(LOWER(TRIM(D929)),"á","a"),"é","e"),"í","i"),"ó","o"),"ú","u"),"ü","u"),"ñ","n"),"à","a"),"è","e"),"ì","i"),"ò","o"),"ù","u"))</f>
        <v/>
      </c>
      <c r="N929" s="25">
        <f>IF(F929="","",SUBSTITUTE(SUBSTITUTE(SUBSTITUTE(SUBSTITUTE(SUBSTITUTE(SUBSTITUTE(SUBSTITUTE(SUBSTITUTE(SUBSTITUTE(SUBSTITUTE(SUBSTITUTE(SUBSTITUTE(LOWER(TRIM(F929)),"á","a"),"é","e"),"í","i"),"ó","o"),"ú","u"),"ü","u"),"ñ","n"),"à","a"),"è","e"),"ì","i"),"ò","o"),"ù","u"))</f>
        <v/>
      </c>
      <c r="O929" s="25">
        <f>IF(M929="confiable",2,IF(M929="dudosa",1,IF(M929="no confiable",0,"")))</f>
        <v/>
      </c>
      <c r="P929" s="25">
        <f>IF(N929="confiable",2,IF(N929="dudosa",1,IF(N929="no confiable",0,"")))</f>
        <v/>
      </c>
      <c r="Q929" s="25">
        <f>IF(AND(ISNUMBER(O929),ISNUMBER(P929)),1,"")</f>
        <v/>
      </c>
      <c r="R929" s="25">
        <f>IF(Q929=1,IF(O929=P929,"Sí","No"),"")</f>
        <v/>
      </c>
      <c r="S929" s="25">
        <f>IF(Q929=1,IF(P929&lt;O929,"Más estricto",IF(P929&gt;O929,"Más permisivo","Igual")),"")</f>
        <v/>
      </c>
      <c r="T929" s="25">
        <f>IF(Q929=1,IF(ABS(O929-P929)=2,1,0),"")</f>
        <v/>
      </c>
      <c r="U929" s="25">
        <f>IF(H929="","","|"&amp;SUBSTITUTE(SUBSTITUTE(TRIM(H929)," |","|"),"| ","|")&amp;"|")</f>
        <v/>
      </c>
      <c r="V929" s="25">
        <f>IF(AND(Q929=1,B929&lt;&gt;""),IF(IFERROR(COUNTIFS(B$3:B929,"="&amp;SUBSTITUTE(SUBSTITUTE(SUBSTITUTE(B929,"~","~~"),"*","~*"),"?","~?"),Q$3:Q929,1),0)=1,MAX(V$2:V928)+1,""),"")</f>
        <v/>
      </c>
      <c r="W929" s="25">
        <f>IF(V929="","",COUNTIFS($B$3:$B$1002,"="&amp;SUBSTITUTE(SUBSTITUTE(SUBSTITUTE(B929,"~","~~"),"*","~*"),"?","~?"),$Q$3:$Q$1002,1)*10000-V929)</f>
        <v/>
      </c>
      <c r="X929" s="25">
        <f>IF(Q929=1,IF(SUBSTITUTE(SUBSTITUTE(SUBSTITUTE(SUBSTITUTE(SUBSTITUTE(SUBSTITUTE(SUBSTITUTE(SUBSTITUTE(SUBSTITUTE(SUBSTITUTE(SUBSTITUTE(SUBSTITUTE(LOWER(TRIM(A929)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929)),"á","a"),"é","e"),"í","i"),"ó","o"),"ú","u"),"ü","u"),"ñ","n"),"à","a"),"è","e"),"ì","i"),"ò","o"),"ù","u")),"")</f>
        <v/>
      </c>
      <c r="Y929" s="25">
        <f>IF(X929="","",IF(IFERROR(COUNTIF(X$3:X929,"="&amp;SUBSTITUTE(SUBSTITUTE(SUBSTITUTE(X929,"~","~~"),"*","~*"),"?","~?")),0)=1,1,""))</f>
        <v/>
      </c>
      <c r="Z929" s="25">
        <f>IF(T929=1,MAX(Z$2:Z928)+1,"")</f>
        <v/>
      </c>
    </row>
    <row r="930">
      <c r="A930">
        <f>IF(A$2=0,"",IFERROR(TRIM(INDEX('Pegar calibracion'!$A$1:$BZ$1001,929,A$2)&amp;""),""))</f>
        <v/>
      </c>
      <c r="B930">
        <f>IF(B$2=0,"",IFERROR(TRIM(INDEX('Pegar calibracion'!$A$1:$BZ$1001,929,B$2)&amp;""),""))</f>
        <v/>
      </c>
      <c r="C930">
        <f>IF(C$2=0,"",IFERROR(TRIM(INDEX('Pegar calibracion'!$A$1:$BZ$1001,929,C$2)&amp;""),""))</f>
        <v/>
      </c>
      <c r="D930">
        <f>IF(D$2=0,"",IFERROR(TRIM(INDEX('Pegar calibracion'!$A$1:$BZ$1001,929,D$2)&amp;""),""))</f>
        <v/>
      </c>
      <c r="E930">
        <f>IF(E$2=0,"",IFERROR(TRIM(INDEX('Pegar calibracion'!$A$1:$BZ$1001,929,E$2)&amp;""),""))</f>
        <v/>
      </c>
      <c r="F930">
        <f>IF(F$2=0,"",IFERROR(TRIM(INDEX('Pegar calibracion'!$A$1:$BZ$1001,929,F$2)&amp;""),""))</f>
        <v/>
      </c>
      <c r="G930">
        <f>IF(G$2=0,"",IFERROR(TRIM(INDEX('Pegar calibracion'!$A$1:$BZ$1001,929,G$2)&amp;""),""))</f>
        <v/>
      </c>
      <c r="H930">
        <f>IF(H$2=0,"",IFERROR(TRIM(INDEX('Pegar calibracion'!$A$1:$BZ$1001,929,H$2)&amp;""),""))</f>
        <v/>
      </c>
      <c r="I930">
        <f>IF(I$2=0,"",IFERROR(TRIM(INDEX('Pegar calibracion'!$A$1:$BZ$1001,929,I$2)&amp;""),""))</f>
        <v/>
      </c>
      <c r="J930">
        <f>IF(J$2=0,"",IFERROR(TRIM(INDEX('Pegar calibracion'!$A$1:$BZ$1001,929,J$2)&amp;""),""))</f>
        <v/>
      </c>
      <c r="K930">
        <f>IF(K$2=0,"",IFERROR(TRIM(INDEX('Pegar calibracion'!$A$1:$BZ$1001,929,K$2)&amp;""),""))</f>
        <v/>
      </c>
      <c r="L930">
        <f>IF(L$2=0,"",IFERROR(TRIM(INDEX('Pegar calibracion'!$A$1:$BZ$1001,929,L$2)&amp;""),""))</f>
        <v/>
      </c>
      <c r="M930" s="25">
        <f>IF(D930="","",SUBSTITUTE(SUBSTITUTE(SUBSTITUTE(SUBSTITUTE(SUBSTITUTE(SUBSTITUTE(SUBSTITUTE(SUBSTITUTE(SUBSTITUTE(SUBSTITUTE(SUBSTITUTE(SUBSTITUTE(LOWER(TRIM(D930)),"á","a"),"é","e"),"í","i"),"ó","o"),"ú","u"),"ü","u"),"ñ","n"),"à","a"),"è","e"),"ì","i"),"ò","o"),"ù","u"))</f>
        <v/>
      </c>
      <c r="N930" s="25">
        <f>IF(F930="","",SUBSTITUTE(SUBSTITUTE(SUBSTITUTE(SUBSTITUTE(SUBSTITUTE(SUBSTITUTE(SUBSTITUTE(SUBSTITUTE(SUBSTITUTE(SUBSTITUTE(SUBSTITUTE(SUBSTITUTE(LOWER(TRIM(F930)),"á","a"),"é","e"),"í","i"),"ó","o"),"ú","u"),"ü","u"),"ñ","n"),"à","a"),"è","e"),"ì","i"),"ò","o"),"ù","u"))</f>
        <v/>
      </c>
      <c r="O930" s="25">
        <f>IF(M930="confiable",2,IF(M930="dudosa",1,IF(M930="no confiable",0,"")))</f>
        <v/>
      </c>
      <c r="P930" s="25">
        <f>IF(N930="confiable",2,IF(N930="dudosa",1,IF(N930="no confiable",0,"")))</f>
        <v/>
      </c>
      <c r="Q930" s="25">
        <f>IF(AND(ISNUMBER(O930),ISNUMBER(P930)),1,"")</f>
        <v/>
      </c>
      <c r="R930" s="25">
        <f>IF(Q930=1,IF(O930=P930,"Sí","No"),"")</f>
        <v/>
      </c>
      <c r="S930" s="25">
        <f>IF(Q930=1,IF(P930&lt;O930,"Más estricto",IF(P930&gt;O930,"Más permisivo","Igual")),"")</f>
        <v/>
      </c>
      <c r="T930" s="25">
        <f>IF(Q930=1,IF(ABS(O930-P930)=2,1,0),"")</f>
        <v/>
      </c>
      <c r="U930" s="25">
        <f>IF(H930="","","|"&amp;SUBSTITUTE(SUBSTITUTE(TRIM(H930)," |","|"),"| ","|")&amp;"|")</f>
        <v/>
      </c>
      <c r="V930" s="25">
        <f>IF(AND(Q930=1,B930&lt;&gt;""),IF(IFERROR(COUNTIFS(B$3:B930,"="&amp;SUBSTITUTE(SUBSTITUTE(SUBSTITUTE(B930,"~","~~"),"*","~*"),"?","~?"),Q$3:Q930,1),0)=1,MAX(V$2:V929)+1,""),"")</f>
        <v/>
      </c>
      <c r="W930" s="25">
        <f>IF(V930="","",COUNTIFS($B$3:$B$1002,"="&amp;SUBSTITUTE(SUBSTITUTE(SUBSTITUTE(B930,"~","~~"),"*","~*"),"?","~?"),$Q$3:$Q$1002,1)*10000-V930)</f>
        <v/>
      </c>
      <c r="X930" s="25">
        <f>IF(Q930=1,IF(SUBSTITUTE(SUBSTITUTE(SUBSTITUTE(SUBSTITUTE(SUBSTITUTE(SUBSTITUTE(SUBSTITUTE(SUBSTITUTE(SUBSTITUTE(SUBSTITUTE(SUBSTITUTE(SUBSTITUTE(LOWER(TRIM(A930)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930)),"á","a"),"é","e"),"í","i"),"ó","o"),"ú","u"),"ü","u"),"ñ","n"),"à","a"),"è","e"),"ì","i"),"ò","o"),"ù","u")),"")</f>
        <v/>
      </c>
      <c r="Y930" s="25">
        <f>IF(X930="","",IF(IFERROR(COUNTIF(X$3:X930,"="&amp;SUBSTITUTE(SUBSTITUTE(SUBSTITUTE(X930,"~","~~"),"*","~*"),"?","~?")),0)=1,1,""))</f>
        <v/>
      </c>
      <c r="Z930" s="25">
        <f>IF(T930=1,MAX(Z$2:Z929)+1,"")</f>
        <v/>
      </c>
    </row>
    <row r="931">
      <c r="A931">
        <f>IF(A$2=0,"",IFERROR(TRIM(INDEX('Pegar calibracion'!$A$1:$BZ$1001,930,A$2)&amp;""),""))</f>
        <v/>
      </c>
      <c r="B931">
        <f>IF(B$2=0,"",IFERROR(TRIM(INDEX('Pegar calibracion'!$A$1:$BZ$1001,930,B$2)&amp;""),""))</f>
        <v/>
      </c>
      <c r="C931">
        <f>IF(C$2=0,"",IFERROR(TRIM(INDEX('Pegar calibracion'!$A$1:$BZ$1001,930,C$2)&amp;""),""))</f>
        <v/>
      </c>
      <c r="D931">
        <f>IF(D$2=0,"",IFERROR(TRIM(INDEX('Pegar calibracion'!$A$1:$BZ$1001,930,D$2)&amp;""),""))</f>
        <v/>
      </c>
      <c r="E931">
        <f>IF(E$2=0,"",IFERROR(TRIM(INDEX('Pegar calibracion'!$A$1:$BZ$1001,930,E$2)&amp;""),""))</f>
        <v/>
      </c>
      <c r="F931">
        <f>IF(F$2=0,"",IFERROR(TRIM(INDEX('Pegar calibracion'!$A$1:$BZ$1001,930,F$2)&amp;""),""))</f>
        <v/>
      </c>
      <c r="G931">
        <f>IF(G$2=0,"",IFERROR(TRIM(INDEX('Pegar calibracion'!$A$1:$BZ$1001,930,G$2)&amp;""),""))</f>
        <v/>
      </c>
      <c r="H931">
        <f>IF(H$2=0,"",IFERROR(TRIM(INDEX('Pegar calibracion'!$A$1:$BZ$1001,930,H$2)&amp;""),""))</f>
        <v/>
      </c>
      <c r="I931">
        <f>IF(I$2=0,"",IFERROR(TRIM(INDEX('Pegar calibracion'!$A$1:$BZ$1001,930,I$2)&amp;""),""))</f>
        <v/>
      </c>
      <c r="J931">
        <f>IF(J$2=0,"",IFERROR(TRIM(INDEX('Pegar calibracion'!$A$1:$BZ$1001,930,J$2)&amp;""),""))</f>
        <v/>
      </c>
      <c r="K931">
        <f>IF(K$2=0,"",IFERROR(TRIM(INDEX('Pegar calibracion'!$A$1:$BZ$1001,930,K$2)&amp;""),""))</f>
        <v/>
      </c>
      <c r="L931">
        <f>IF(L$2=0,"",IFERROR(TRIM(INDEX('Pegar calibracion'!$A$1:$BZ$1001,930,L$2)&amp;""),""))</f>
        <v/>
      </c>
      <c r="M931" s="25">
        <f>IF(D931="","",SUBSTITUTE(SUBSTITUTE(SUBSTITUTE(SUBSTITUTE(SUBSTITUTE(SUBSTITUTE(SUBSTITUTE(SUBSTITUTE(SUBSTITUTE(SUBSTITUTE(SUBSTITUTE(SUBSTITUTE(LOWER(TRIM(D931)),"á","a"),"é","e"),"í","i"),"ó","o"),"ú","u"),"ü","u"),"ñ","n"),"à","a"),"è","e"),"ì","i"),"ò","o"),"ù","u"))</f>
        <v/>
      </c>
      <c r="N931" s="25">
        <f>IF(F931="","",SUBSTITUTE(SUBSTITUTE(SUBSTITUTE(SUBSTITUTE(SUBSTITUTE(SUBSTITUTE(SUBSTITUTE(SUBSTITUTE(SUBSTITUTE(SUBSTITUTE(SUBSTITUTE(SUBSTITUTE(LOWER(TRIM(F931)),"á","a"),"é","e"),"í","i"),"ó","o"),"ú","u"),"ü","u"),"ñ","n"),"à","a"),"è","e"),"ì","i"),"ò","o"),"ù","u"))</f>
        <v/>
      </c>
      <c r="O931" s="25">
        <f>IF(M931="confiable",2,IF(M931="dudosa",1,IF(M931="no confiable",0,"")))</f>
        <v/>
      </c>
      <c r="P931" s="25">
        <f>IF(N931="confiable",2,IF(N931="dudosa",1,IF(N931="no confiable",0,"")))</f>
        <v/>
      </c>
      <c r="Q931" s="25">
        <f>IF(AND(ISNUMBER(O931),ISNUMBER(P931)),1,"")</f>
        <v/>
      </c>
      <c r="R931" s="25">
        <f>IF(Q931=1,IF(O931=P931,"Sí","No"),"")</f>
        <v/>
      </c>
      <c r="S931" s="25">
        <f>IF(Q931=1,IF(P931&lt;O931,"Más estricto",IF(P931&gt;O931,"Más permisivo","Igual")),"")</f>
        <v/>
      </c>
      <c r="T931" s="25">
        <f>IF(Q931=1,IF(ABS(O931-P931)=2,1,0),"")</f>
        <v/>
      </c>
      <c r="U931" s="25">
        <f>IF(H931="","","|"&amp;SUBSTITUTE(SUBSTITUTE(TRIM(H931)," |","|"),"| ","|")&amp;"|")</f>
        <v/>
      </c>
      <c r="V931" s="25">
        <f>IF(AND(Q931=1,B931&lt;&gt;""),IF(IFERROR(COUNTIFS(B$3:B931,"="&amp;SUBSTITUTE(SUBSTITUTE(SUBSTITUTE(B931,"~","~~"),"*","~*"),"?","~?"),Q$3:Q931,1),0)=1,MAX(V$2:V930)+1,""),"")</f>
        <v/>
      </c>
      <c r="W931" s="25">
        <f>IF(V931="","",COUNTIFS($B$3:$B$1002,"="&amp;SUBSTITUTE(SUBSTITUTE(SUBSTITUTE(B931,"~","~~"),"*","~*"),"?","~?"),$Q$3:$Q$1002,1)*10000-V931)</f>
        <v/>
      </c>
      <c r="X931" s="25">
        <f>IF(Q931=1,IF(SUBSTITUTE(SUBSTITUTE(SUBSTITUTE(SUBSTITUTE(SUBSTITUTE(SUBSTITUTE(SUBSTITUTE(SUBSTITUTE(SUBSTITUTE(SUBSTITUTE(SUBSTITUTE(SUBSTITUTE(LOWER(TRIM(A931)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931)),"á","a"),"é","e"),"í","i"),"ó","o"),"ú","u"),"ü","u"),"ñ","n"),"à","a"),"è","e"),"ì","i"),"ò","o"),"ù","u")),"")</f>
        <v/>
      </c>
      <c r="Y931" s="25">
        <f>IF(X931="","",IF(IFERROR(COUNTIF(X$3:X931,"="&amp;SUBSTITUTE(SUBSTITUTE(SUBSTITUTE(X931,"~","~~"),"*","~*"),"?","~?")),0)=1,1,""))</f>
        <v/>
      </c>
      <c r="Z931" s="25">
        <f>IF(T931=1,MAX(Z$2:Z930)+1,"")</f>
        <v/>
      </c>
    </row>
    <row r="932">
      <c r="A932">
        <f>IF(A$2=0,"",IFERROR(TRIM(INDEX('Pegar calibracion'!$A$1:$BZ$1001,931,A$2)&amp;""),""))</f>
        <v/>
      </c>
      <c r="B932">
        <f>IF(B$2=0,"",IFERROR(TRIM(INDEX('Pegar calibracion'!$A$1:$BZ$1001,931,B$2)&amp;""),""))</f>
        <v/>
      </c>
      <c r="C932">
        <f>IF(C$2=0,"",IFERROR(TRIM(INDEX('Pegar calibracion'!$A$1:$BZ$1001,931,C$2)&amp;""),""))</f>
        <v/>
      </c>
      <c r="D932">
        <f>IF(D$2=0,"",IFERROR(TRIM(INDEX('Pegar calibracion'!$A$1:$BZ$1001,931,D$2)&amp;""),""))</f>
        <v/>
      </c>
      <c r="E932">
        <f>IF(E$2=0,"",IFERROR(TRIM(INDEX('Pegar calibracion'!$A$1:$BZ$1001,931,E$2)&amp;""),""))</f>
        <v/>
      </c>
      <c r="F932">
        <f>IF(F$2=0,"",IFERROR(TRIM(INDEX('Pegar calibracion'!$A$1:$BZ$1001,931,F$2)&amp;""),""))</f>
        <v/>
      </c>
      <c r="G932">
        <f>IF(G$2=0,"",IFERROR(TRIM(INDEX('Pegar calibracion'!$A$1:$BZ$1001,931,G$2)&amp;""),""))</f>
        <v/>
      </c>
      <c r="H932">
        <f>IF(H$2=0,"",IFERROR(TRIM(INDEX('Pegar calibracion'!$A$1:$BZ$1001,931,H$2)&amp;""),""))</f>
        <v/>
      </c>
      <c r="I932">
        <f>IF(I$2=0,"",IFERROR(TRIM(INDEX('Pegar calibracion'!$A$1:$BZ$1001,931,I$2)&amp;""),""))</f>
        <v/>
      </c>
      <c r="J932">
        <f>IF(J$2=0,"",IFERROR(TRIM(INDEX('Pegar calibracion'!$A$1:$BZ$1001,931,J$2)&amp;""),""))</f>
        <v/>
      </c>
      <c r="K932">
        <f>IF(K$2=0,"",IFERROR(TRIM(INDEX('Pegar calibracion'!$A$1:$BZ$1001,931,K$2)&amp;""),""))</f>
        <v/>
      </c>
      <c r="L932">
        <f>IF(L$2=0,"",IFERROR(TRIM(INDEX('Pegar calibracion'!$A$1:$BZ$1001,931,L$2)&amp;""),""))</f>
        <v/>
      </c>
      <c r="M932" s="25">
        <f>IF(D932="","",SUBSTITUTE(SUBSTITUTE(SUBSTITUTE(SUBSTITUTE(SUBSTITUTE(SUBSTITUTE(SUBSTITUTE(SUBSTITUTE(SUBSTITUTE(SUBSTITUTE(SUBSTITUTE(SUBSTITUTE(LOWER(TRIM(D932)),"á","a"),"é","e"),"í","i"),"ó","o"),"ú","u"),"ü","u"),"ñ","n"),"à","a"),"è","e"),"ì","i"),"ò","o"),"ù","u"))</f>
        <v/>
      </c>
      <c r="N932" s="25">
        <f>IF(F932="","",SUBSTITUTE(SUBSTITUTE(SUBSTITUTE(SUBSTITUTE(SUBSTITUTE(SUBSTITUTE(SUBSTITUTE(SUBSTITUTE(SUBSTITUTE(SUBSTITUTE(SUBSTITUTE(SUBSTITUTE(LOWER(TRIM(F932)),"á","a"),"é","e"),"í","i"),"ó","o"),"ú","u"),"ü","u"),"ñ","n"),"à","a"),"è","e"),"ì","i"),"ò","o"),"ù","u"))</f>
        <v/>
      </c>
      <c r="O932" s="25">
        <f>IF(M932="confiable",2,IF(M932="dudosa",1,IF(M932="no confiable",0,"")))</f>
        <v/>
      </c>
      <c r="P932" s="25">
        <f>IF(N932="confiable",2,IF(N932="dudosa",1,IF(N932="no confiable",0,"")))</f>
        <v/>
      </c>
      <c r="Q932" s="25">
        <f>IF(AND(ISNUMBER(O932),ISNUMBER(P932)),1,"")</f>
        <v/>
      </c>
      <c r="R932" s="25">
        <f>IF(Q932=1,IF(O932=P932,"Sí","No"),"")</f>
        <v/>
      </c>
      <c r="S932" s="25">
        <f>IF(Q932=1,IF(P932&lt;O932,"Más estricto",IF(P932&gt;O932,"Más permisivo","Igual")),"")</f>
        <v/>
      </c>
      <c r="T932" s="25">
        <f>IF(Q932=1,IF(ABS(O932-P932)=2,1,0),"")</f>
        <v/>
      </c>
      <c r="U932" s="25">
        <f>IF(H932="","","|"&amp;SUBSTITUTE(SUBSTITUTE(TRIM(H932)," |","|"),"| ","|")&amp;"|")</f>
        <v/>
      </c>
      <c r="V932" s="25">
        <f>IF(AND(Q932=1,B932&lt;&gt;""),IF(IFERROR(COUNTIFS(B$3:B932,"="&amp;SUBSTITUTE(SUBSTITUTE(SUBSTITUTE(B932,"~","~~"),"*","~*"),"?","~?"),Q$3:Q932,1),0)=1,MAX(V$2:V931)+1,""),"")</f>
        <v/>
      </c>
      <c r="W932" s="25">
        <f>IF(V932="","",COUNTIFS($B$3:$B$1002,"="&amp;SUBSTITUTE(SUBSTITUTE(SUBSTITUTE(B932,"~","~~"),"*","~*"),"?","~?"),$Q$3:$Q$1002,1)*10000-V932)</f>
        <v/>
      </c>
      <c r="X932" s="25">
        <f>IF(Q932=1,IF(SUBSTITUTE(SUBSTITUTE(SUBSTITUTE(SUBSTITUTE(SUBSTITUTE(SUBSTITUTE(SUBSTITUTE(SUBSTITUTE(SUBSTITUTE(SUBSTITUTE(SUBSTITUTE(SUBSTITUTE(LOWER(TRIM(A932)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932)),"á","a"),"é","e"),"í","i"),"ó","o"),"ú","u"),"ü","u"),"ñ","n"),"à","a"),"è","e"),"ì","i"),"ò","o"),"ù","u")),"")</f>
        <v/>
      </c>
      <c r="Y932" s="25">
        <f>IF(X932="","",IF(IFERROR(COUNTIF(X$3:X932,"="&amp;SUBSTITUTE(SUBSTITUTE(SUBSTITUTE(X932,"~","~~"),"*","~*"),"?","~?")),0)=1,1,""))</f>
        <v/>
      </c>
      <c r="Z932" s="25">
        <f>IF(T932=1,MAX(Z$2:Z931)+1,"")</f>
        <v/>
      </c>
    </row>
    <row r="933">
      <c r="A933">
        <f>IF(A$2=0,"",IFERROR(TRIM(INDEX('Pegar calibracion'!$A$1:$BZ$1001,932,A$2)&amp;""),""))</f>
        <v/>
      </c>
      <c r="B933">
        <f>IF(B$2=0,"",IFERROR(TRIM(INDEX('Pegar calibracion'!$A$1:$BZ$1001,932,B$2)&amp;""),""))</f>
        <v/>
      </c>
      <c r="C933">
        <f>IF(C$2=0,"",IFERROR(TRIM(INDEX('Pegar calibracion'!$A$1:$BZ$1001,932,C$2)&amp;""),""))</f>
        <v/>
      </c>
      <c r="D933">
        <f>IF(D$2=0,"",IFERROR(TRIM(INDEX('Pegar calibracion'!$A$1:$BZ$1001,932,D$2)&amp;""),""))</f>
        <v/>
      </c>
      <c r="E933">
        <f>IF(E$2=0,"",IFERROR(TRIM(INDEX('Pegar calibracion'!$A$1:$BZ$1001,932,E$2)&amp;""),""))</f>
        <v/>
      </c>
      <c r="F933">
        <f>IF(F$2=0,"",IFERROR(TRIM(INDEX('Pegar calibracion'!$A$1:$BZ$1001,932,F$2)&amp;""),""))</f>
        <v/>
      </c>
      <c r="G933">
        <f>IF(G$2=0,"",IFERROR(TRIM(INDEX('Pegar calibracion'!$A$1:$BZ$1001,932,G$2)&amp;""),""))</f>
        <v/>
      </c>
      <c r="H933">
        <f>IF(H$2=0,"",IFERROR(TRIM(INDEX('Pegar calibracion'!$A$1:$BZ$1001,932,H$2)&amp;""),""))</f>
        <v/>
      </c>
      <c r="I933">
        <f>IF(I$2=0,"",IFERROR(TRIM(INDEX('Pegar calibracion'!$A$1:$BZ$1001,932,I$2)&amp;""),""))</f>
        <v/>
      </c>
      <c r="J933">
        <f>IF(J$2=0,"",IFERROR(TRIM(INDEX('Pegar calibracion'!$A$1:$BZ$1001,932,J$2)&amp;""),""))</f>
        <v/>
      </c>
      <c r="K933">
        <f>IF(K$2=0,"",IFERROR(TRIM(INDEX('Pegar calibracion'!$A$1:$BZ$1001,932,K$2)&amp;""),""))</f>
        <v/>
      </c>
      <c r="L933">
        <f>IF(L$2=0,"",IFERROR(TRIM(INDEX('Pegar calibracion'!$A$1:$BZ$1001,932,L$2)&amp;""),""))</f>
        <v/>
      </c>
      <c r="M933" s="25">
        <f>IF(D933="","",SUBSTITUTE(SUBSTITUTE(SUBSTITUTE(SUBSTITUTE(SUBSTITUTE(SUBSTITUTE(SUBSTITUTE(SUBSTITUTE(SUBSTITUTE(SUBSTITUTE(SUBSTITUTE(SUBSTITUTE(LOWER(TRIM(D933)),"á","a"),"é","e"),"í","i"),"ó","o"),"ú","u"),"ü","u"),"ñ","n"),"à","a"),"è","e"),"ì","i"),"ò","o"),"ù","u"))</f>
        <v/>
      </c>
      <c r="N933" s="25">
        <f>IF(F933="","",SUBSTITUTE(SUBSTITUTE(SUBSTITUTE(SUBSTITUTE(SUBSTITUTE(SUBSTITUTE(SUBSTITUTE(SUBSTITUTE(SUBSTITUTE(SUBSTITUTE(SUBSTITUTE(SUBSTITUTE(LOWER(TRIM(F933)),"á","a"),"é","e"),"í","i"),"ó","o"),"ú","u"),"ü","u"),"ñ","n"),"à","a"),"è","e"),"ì","i"),"ò","o"),"ù","u"))</f>
        <v/>
      </c>
      <c r="O933" s="25">
        <f>IF(M933="confiable",2,IF(M933="dudosa",1,IF(M933="no confiable",0,"")))</f>
        <v/>
      </c>
      <c r="P933" s="25">
        <f>IF(N933="confiable",2,IF(N933="dudosa",1,IF(N933="no confiable",0,"")))</f>
        <v/>
      </c>
      <c r="Q933" s="25">
        <f>IF(AND(ISNUMBER(O933),ISNUMBER(P933)),1,"")</f>
        <v/>
      </c>
      <c r="R933" s="25">
        <f>IF(Q933=1,IF(O933=P933,"Sí","No"),"")</f>
        <v/>
      </c>
      <c r="S933" s="25">
        <f>IF(Q933=1,IF(P933&lt;O933,"Más estricto",IF(P933&gt;O933,"Más permisivo","Igual")),"")</f>
        <v/>
      </c>
      <c r="T933" s="25">
        <f>IF(Q933=1,IF(ABS(O933-P933)=2,1,0),"")</f>
        <v/>
      </c>
      <c r="U933" s="25">
        <f>IF(H933="","","|"&amp;SUBSTITUTE(SUBSTITUTE(TRIM(H933)," |","|"),"| ","|")&amp;"|")</f>
        <v/>
      </c>
      <c r="V933" s="25">
        <f>IF(AND(Q933=1,B933&lt;&gt;""),IF(IFERROR(COUNTIFS(B$3:B933,"="&amp;SUBSTITUTE(SUBSTITUTE(SUBSTITUTE(B933,"~","~~"),"*","~*"),"?","~?"),Q$3:Q933,1),0)=1,MAX(V$2:V932)+1,""),"")</f>
        <v/>
      </c>
      <c r="W933" s="25">
        <f>IF(V933="","",COUNTIFS($B$3:$B$1002,"="&amp;SUBSTITUTE(SUBSTITUTE(SUBSTITUTE(B933,"~","~~"),"*","~*"),"?","~?"),$Q$3:$Q$1002,1)*10000-V933)</f>
        <v/>
      </c>
      <c r="X933" s="25">
        <f>IF(Q933=1,IF(SUBSTITUTE(SUBSTITUTE(SUBSTITUTE(SUBSTITUTE(SUBSTITUTE(SUBSTITUTE(SUBSTITUTE(SUBSTITUTE(SUBSTITUTE(SUBSTITUTE(SUBSTITUTE(SUBSTITUTE(LOWER(TRIM(A933)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933)),"á","a"),"é","e"),"í","i"),"ó","o"),"ú","u"),"ü","u"),"ñ","n"),"à","a"),"è","e"),"ì","i"),"ò","o"),"ù","u")),"")</f>
        <v/>
      </c>
      <c r="Y933" s="25">
        <f>IF(X933="","",IF(IFERROR(COUNTIF(X$3:X933,"="&amp;SUBSTITUTE(SUBSTITUTE(SUBSTITUTE(X933,"~","~~"),"*","~*"),"?","~?")),0)=1,1,""))</f>
        <v/>
      </c>
      <c r="Z933" s="25">
        <f>IF(T933=1,MAX(Z$2:Z932)+1,"")</f>
        <v/>
      </c>
    </row>
    <row r="934">
      <c r="A934">
        <f>IF(A$2=0,"",IFERROR(TRIM(INDEX('Pegar calibracion'!$A$1:$BZ$1001,933,A$2)&amp;""),""))</f>
        <v/>
      </c>
      <c r="B934">
        <f>IF(B$2=0,"",IFERROR(TRIM(INDEX('Pegar calibracion'!$A$1:$BZ$1001,933,B$2)&amp;""),""))</f>
        <v/>
      </c>
      <c r="C934">
        <f>IF(C$2=0,"",IFERROR(TRIM(INDEX('Pegar calibracion'!$A$1:$BZ$1001,933,C$2)&amp;""),""))</f>
        <v/>
      </c>
      <c r="D934">
        <f>IF(D$2=0,"",IFERROR(TRIM(INDEX('Pegar calibracion'!$A$1:$BZ$1001,933,D$2)&amp;""),""))</f>
        <v/>
      </c>
      <c r="E934">
        <f>IF(E$2=0,"",IFERROR(TRIM(INDEX('Pegar calibracion'!$A$1:$BZ$1001,933,E$2)&amp;""),""))</f>
        <v/>
      </c>
      <c r="F934">
        <f>IF(F$2=0,"",IFERROR(TRIM(INDEX('Pegar calibracion'!$A$1:$BZ$1001,933,F$2)&amp;""),""))</f>
        <v/>
      </c>
      <c r="G934">
        <f>IF(G$2=0,"",IFERROR(TRIM(INDEX('Pegar calibracion'!$A$1:$BZ$1001,933,G$2)&amp;""),""))</f>
        <v/>
      </c>
      <c r="H934">
        <f>IF(H$2=0,"",IFERROR(TRIM(INDEX('Pegar calibracion'!$A$1:$BZ$1001,933,H$2)&amp;""),""))</f>
        <v/>
      </c>
      <c r="I934">
        <f>IF(I$2=0,"",IFERROR(TRIM(INDEX('Pegar calibracion'!$A$1:$BZ$1001,933,I$2)&amp;""),""))</f>
        <v/>
      </c>
      <c r="J934">
        <f>IF(J$2=0,"",IFERROR(TRIM(INDEX('Pegar calibracion'!$A$1:$BZ$1001,933,J$2)&amp;""),""))</f>
        <v/>
      </c>
      <c r="K934">
        <f>IF(K$2=0,"",IFERROR(TRIM(INDEX('Pegar calibracion'!$A$1:$BZ$1001,933,K$2)&amp;""),""))</f>
        <v/>
      </c>
      <c r="L934">
        <f>IF(L$2=0,"",IFERROR(TRIM(INDEX('Pegar calibracion'!$A$1:$BZ$1001,933,L$2)&amp;""),""))</f>
        <v/>
      </c>
      <c r="M934" s="25">
        <f>IF(D934="","",SUBSTITUTE(SUBSTITUTE(SUBSTITUTE(SUBSTITUTE(SUBSTITUTE(SUBSTITUTE(SUBSTITUTE(SUBSTITUTE(SUBSTITUTE(SUBSTITUTE(SUBSTITUTE(SUBSTITUTE(LOWER(TRIM(D934)),"á","a"),"é","e"),"í","i"),"ó","o"),"ú","u"),"ü","u"),"ñ","n"),"à","a"),"è","e"),"ì","i"),"ò","o"),"ù","u"))</f>
        <v/>
      </c>
      <c r="N934" s="25">
        <f>IF(F934="","",SUBSTITUTE(SUBSTITUTE(SUBSTITUTE(SUBSTITUTE(SUBSTITUTE(SUBSTITUTE(SUBSTITUTE(SUBSTITUTE(SUBSTITUTE(SUBSTITUTE(SUBSTITUTE(SUBSTITUTE(LOWER(TRIM(F934)),"á","a"),"é","e"),"í","i"),"ó","o"),"ú","u"),"ü","u"),"ñ","n"),"à","a"),"è","e"),"ì","i"),"ò","o"),"ù","u"))</f>
        <v/>
      </c>
      <c r="O934" s="25">
        <f>IF(M934="confiable",2,IF(M934="dudosa",1,IF(M934="no confiable",0,"")))</f>
        <v/>
      </c>
      <c r="P934" s="25">
        <f>IF(N934="confiable",2,IF(N934="dudosa",1,IF(N934="no confiable",0,"")))</f>
        <v/>
      </c>
      <c r="Q934" s="25">
        <f>IF(AND(ISNUMBER(O934),ISNUMBER(P934)),1,"")</f>
        <v/>
      </c>
      <c r="R934" s="25">
        <f>IF(Q934=1,IF(O934=P934,"Sí","No"),"")</f>
        <v/>
      </c>
      <c r="S934" s="25">
        <f>IF(Q934=1,IF(P934&lt;O934,"Más estricto",IF(P934&gt;O934,"Más permisivo","Igual")),"")</f>
        <v/>
      </c>
      <c r="T934" s="25">
        <f>IF(Q934=1,IF(ABS(O934-P934)=2,1,0),"")</f>
        <v/>
      </c>
      <c r="U934" s="25">
        <f>IF(H934="","","|"&amp;SUBSTITUTE(SUBSTITUTE(TRIM(H934)," |","|"),"| ","|")&amp;"|")</f>
        <v/>
      </c>
      <c r="V934" s="25">
        <f>IF(AND(Q934=1,B934&lt;&gt;""),IF(IFERROR(COUNTIFS(B$3:B934,"="&amp;SUBSTITUTE(SUBSTITUTE(SUBSTITUTE(B934,"~","~~"),"*","~*"),"?","~?"),Q$3:Q934,1),0)=1,MAX(V$2:V933)+1,""),"")</f>
        <v/>
      </c>
      <c r="W934" s="25">
        <f>IF(V934="","",COUNTIFS($B$3:$B$1002,"="&amp;SUBSTITUTE(SUBSTITUTE(SUBSTITUTE(B934,"~","~~"),"*","~*"),"?","~?"),$Q$3:$Q$1002,1)*10000-V934)</f>
        <v/>
      </c>
      <c r="X934" s="25">
        <f>IF(Q934=1,IF(SUBSTITUTE(SUBSTITUTE(SUBSTITUTE(SUBSTITUTE(SUBSTITUTE(SUBSTITUTE(SUBSTITUTE(SUBSTITUTE(SUBSTITUTE(SUBSTITUTE(SUBSTITUTE(SUBSTITUTE(LOWER(TRIM(A934)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934)),"á","a"),"é","e"),"í","i"),"ó","o"),"ú","u"),"ü","u"),"ñ","n"),"à","a"),"è","e"),"ì","i"),"ò","o"),"ù","u")),"")</f>
        <v/>
      </c>
      <c r="Y934" s="25">
        <f>IF(X934="","",IF(IFERROR(COUNTIF(X$3:X934,"="&amp;SUBSTITUTE(SUBSTITUTE(SUBSTITUTE(X934,"~","~~"),"*","~*"),"?","~?")),0)=1,1,""))</f>
        <v/>
      </c>
      <c r="Z934" s="25">
        <f>IF(T934=1,MAX(Z$2:Z933)+1,"")</f>
        <v/>
      </c>
    </row>
    <row r="935">
      <c r="A935">
        <f>IF(A$2=0,"",IFERROR(TRIM(INDEX('Pegar calibracion'!$A$1:$BZ$1001,934,A$2)&amp;""),""))</f>
        <v/>
      </c>
      <c r="B935">
        <f>IF(B$2=0,"",IFERROR(TRIM(INDEX('Pegar calibracion'!$A$1:$BZ$1001,934,B$2)&amp;""),""))</f>
        <v/>
      </c>
      <c r="C935">
        <f>IF(C$2=0,"",IFERROR(TRIM(INDEX('Pegar calibracion'!$A$1:$BZ$1001,934,C$2)&amp;""),""))</f>
        <v/>
      </c>
      <c r="D935">
        <f>IF(D$2=0,"",IFERROR(TRIM(INDEX('Pegar calibracion'!$A$1:$BZ$1001,934,D$2)&amp;""),""))</f>
        <v/>
      </c>
      <c r="E935">
        <f>IF(E$2=0,"",IFERROR(TRIM(INDEX('Pegar calibracion'!$A$1:$BZ$1001,934,E$2)&amp;""),""))</f>
        <v/>
      </c>
      <c r="F935">
        <f>IF(F$2=0,"",IFERROR(TRIM(INDEX('Pegar calibracion'!$A$1:$BZ$1001,934,F$2)&amp;""),""))</f>
        <v/>
      </c>
      <c r="G935">
        <f>IF(G$2=0,"",IFERROR(TRIM(INDEX('Pegar calibracion'!$A$1:$BZ$1001,934,G$2)&amp;""),""))</f>
        <v/>
      </c>
      <c r="H935">
        <f>IF(H$2=0,"",IFERROR(TRIM(INDEX('Pegar calibracion'!$A$1:$BZ$1001,934,H$2)&amp;""),""))</f>
        <v/>
      </c>
      <c r="I935">
        <f>IF(I$2=0,"",IFERROR(TRIM(INDEX('Pegar calibracion'!$A$1:$BZ$1001,934,I$2)&amp;""),""))</f>
        <v/>
      </c>
      <c r="J935">
        <f>IF(J$2=0,"",IFERROR(TRIM(INDEX('Pegar calibracion'!$A$1:$BZ$1001,934,J$2)&amp;""),""))</f>
        <v/>
      </c>
      <c r="K935">
        <f>IF(K$2=0,"",IFERROR(TRIM(INDEX('Pegar calibracion'!$A$1:$BZ$1001,934,K$2)&amp;""),""))</f>
        <v/>
      </c>
      <c r="L935">
        <f>IF(L$2=0,"",IFERROR(TRIM(INDEX('Pegar calibracion'!$A$1:$BZ$1001,934,L$2)&amp;""),""))</f>
        <v/>
      </c>
      <c r="M935" s="25">
        <f>IF(D935="","",SUBSTITUTE(SUBSTITUTE(SUBSTITUTE(SUBSTITUTE(SUBSTITUTE(SUBSTITUTE(SUBSTITUTE(SUBSTITUTE(SUBSTITUTE(SUBSTITUTE(SUBSTITUTE(SUBSTITUTE(LOWER(TRIM(D935)),"á","a"),"é","e"),"í","i"),"ó","o"),"ú","u"),"ü","u"),"ñ","n"),"à","a"),"è","e"),"ì","i"),"ò","o"),"ù","u"))</f>
        <v/>
      </c>
      <c r="N935" s="25">
        <f>IF(F935="","",SUBSTITUTE(SUBSTITUTE(SUBSTITUTE(SUBSTITUTE(SUBSTITUTE(SUBSTITUTE(SUBSTITUTE(SUBSTITUTE(SUBSTITUTE(SUBSTITUTE(SUBSTITUTE(SUBSTITUTE(LOWER(TRIM(F935)),"á","a"),"é","e"),"í","i"),"ó","o"),"ú","u"),"ü","u"),"ñ","n"),"à","a"),"è","e"),"ì","i"),"ò","o"),"ù","u"))</f>
        <v/>
      </c>
      <c r="O935" s="25">
        <f>IF(M935="confiable",2,IF(M935="dudosa",1,IF(M935="no confiable",0,"")))</f>
        <v/>
      </c>
      <c r="P935" s="25">
        <f>IF(N935="confiable",2,IF(N935="dudosa",1,IF(N935="no confiable",0,"")))</f>
        <v/>
      </c>
      <c r="Q935" s="25">
        <f>IF(AND(ISNUMBER(O935),ISNUMBER(P935)),1,"")</f>
        <v/>
      </c>
      <c r="R935" s="25">
        <f>IF(Q935=1,IF(O935=P935,"Sí","No"),"")</f>
        <v/>
      </c>
      <c r="S935" s="25">
        <f>IF(Q935=1,IF(P935&lt;O935,"Más estricto",IF(P935&gt;O935,"Más permisivo","Igual")),"")</f>
        <v/>
      </c>
      <c r="T935" s="25">
        <f>IF(Q935=1,IF(ABS(O935-P935)=2,1,0),"")</f>
        <v/>
      </c>
      <c r="U935" s="25">
        <f>IF(H935="","","|"&amp;SUBSTITUTE(SUBSTITUTE(TRIM(H935)," |","|"),"| ","|")&amp;"|")</f>
        <v/>
      </c>
      <c r="V935" s="25">
        <f>IF(AND(Q935=1,B935&lt;&gt;""),IF(IFERROR(COUNTIFS(B$3:B935,"="&amp;SUBSTITUTE(SUBSTITUTE(SUBSTITUTE(B935,"~","~~"),"*","~*"),"?","~?"),Q$3:Q935,1),0)=1,MAX(V$2:V934)+1,""),"")</f>
        <v/>
      </c>
      <c r="W935" s="25">
        <f>IF(V935="","",COUNTIFS($B$3:$B$1002,"="&amp;SUBSTITUTE(SUBSTITUTE(SUBSTITUTE(B935,"~","~~"),"*","~*"),"?","~?"),$Q$3:$Q$1002,1)*10000-V935)</f>
        <v/>
      </c>
      <c r="X935" s="25">
        <f>IF(Q935=1,IF(SUBSTITUTE(SUBSTITUTE(SUBSTITUTE(SUBSTITUTE(SUBSTITUTE(SUBSTITUTE(SUBSTITUTE(SUBSTITUTE(SUBSTITUTE(SUBSTITUTE(SUBSTITUTE(SUBSTITUTE(LOWER(TRIM(A935)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935)),"á","a"),"é","e"),"í","i"),"ó","o"),"ú","u"),"ü","u"),"ñ","n"),"à","a"),"è","e"),"ì","i"),"ò","o"),"ù","u")),"")</f>
        <v/>
      </c>
      <c r="Y935" s="25">
        <f>IF(X935="","",IF(IFERROR(COUNTIF(X$3:X935,"="&amp;SUBSTITUTE(SUBSTITUTE(SUBSTITUTE(X935,"~","~~"),"*","~*"),"?","~?")),0)=1,1,""))</f>
        <v/>
      </c>
      <c r="Z935" s="25">
        <f>IF(T935=1,MAX(Z$2:Z934)+1,"")</f>
        <v/>
      </c>
    </row>
    <row r="936">
      <c r="A936">
        <f>IF(A$2=0,"",IFERROR(TRIM(INDEX('Pegar calibracion'!$A$1:$BZ$1001,935,A$2)&amp;""),""))</f>
        <v/>
      </c>
      <c r="B936">
        <f>IF(B$2=0,"",IFERROR(TRIM(INDEX('Pegar calibracion'!$A$1:$BZ$1001,935,B$2)&amp;""),""))</f>
        <v/>
      </c>
      <c r="C936">
        <f>IF(C$2=0,"",IFERROR(TRIM(INDEX('Pegar calibracion'!$A$1:$BZ$1001,935,C$2)&amp;""),""))</f>
        <v/>
      </c>
      <c r="D936">
        <f>IF(D$2=0,"",IFERROR(TRIM(INDEX('Pegar calibracion'!$A$1:$BZ$1001,935,D$2)&amp;""),""))</f>
        <v/>
      </c>
      <c r="E936">
        <f>IF(E$2=0,"",IFERROR(TRIM(INDEX('Pegar calibracion'!$A$1:$BZ$1001,935,E$2)&amp;""),""))</f>
        <v/>
      </c>
      <c r="F936">
        <f>IF(F$2=0,"",IFERROR(TRIM(INDEX('Pegar calibracion'!$A$1:$BZ$1001,935,F$2)&amp;""),""))</f>
        <v/>
      </c>
      <c r="G936">
        <f>IF(G$2=0,"",IFERROR(TRIM(INDEX('Pegar calibracion'!$A$1:$BZ$1001,935,G$2)&amp;""),""))</f>
        <v/>
      </c>
      <c r="H936">
        <f>IF(H$2=0,"",IFERROR(TRIM(INDEX('Pegar calibracion'!$A$1:$BZ$1001,935,H$2)&amp;""),""))</f>
        <v/>
      </c>
      <c r="I936">
        <f>IF(I$2=0,"",IFERROR(TRIM(INDEX('Pegar calibracion'!$A$1:$BZ$1001,935,I$2)&amp;""),""))</f>
        <v/>
      </c>
      <c r="J936">
        <f>IF(J$2=0,"",IFERROR(TRIM(INDEX('Pegar calibracion'!$A$1:$BZ$1001,935,J$2)&amp;""),""))</f>
        <v/>
      </c>
      <c r="K936">
        <f>IF(K$2=0,"",IFERROR(TRIM(INDEX('Pegar calibracion'!$A$1:$BZ$1001,935,K$2)&amp;""),""))</f>
        <v/>
      </c>
      <c r="L936">
        <f>IF(L$2=0,"",IFERROR(TRIM(INDEX('Pegar calibracion'!$A$1:$BZ$1001,935,L$2)&amp;""),""))</f>
        <v/>
      </c>
      <c r="M936" s="25">
        <f>IF(D936="","",SUBSTITUTE(SUBSTITUTE(SUBSTITUTE(SUBSTITUTE(SUBSTITUTE(SUBSTITUTE(SUBSTITUTE(SUBSTITUTE(SUBSTITUTE(SUBSTITUTE(SUBSTITUTE(SUBSTITUTE(LOWER(TRIM(D936)),"á","a"),"é","e"),"í","i"),"ó","o"),"ú","u"),"ü","u"),"ñ","n"),"à","a"),"è","e"),"ì","i"),"ò","o"),"ù","u"))</f>
        <v/>
      </c>
      <c r="N936" s="25">
        <f>IF(F936="","",SUBSTITUTE(SUBSTITUTE(SUBSTITUTE(SUBSTITUTE(SUBSTITUTE(SUBSTITUTE(SUBSTITUTE(SUBSTITUTE(SUBSTITUTE(SUBSTITUTE(SUBSTITUTE(SUBSTITUTE(LOWER(TRIM(F936)),"á","a"),"é","e"),"í","i"),"ó","o"),"ú","u"),"ü","u"),"ñ","n"),"à","a"),"è","e"),"ì","i"),"ò","o"),"ù","u"))</f>
        <v/>
      </c>
      <c r="O936" s="25">
        <f>IF(M936="confiable",2,IF(M936="dudosa",1,IF(M936="no confiable",0,"")))</f>
        <v/>
      </c>
      <c r="P936" s="25">
        <f>IF(N936="confiable",2,IF(N936="dudosa",1,IF(N936="no confiable",0,"")))</f>
        <v/>
      </c>
      <c r="Q936" s="25">
        <f>IF(AND(ISNUMBER(O936),ISNUMBER(P936)),1,"")</f>
        <v/>
      </c>
      <c r="R936" s="25">
        <f>IF(Q936=1,IF(O936=P936,"Sí","No"),"")</f>
        <v/>
      </c>
      <c r="S936" s="25">
        <f>IF(Q936=1,IF(P936&lt;O936,"Más estricto",IF(P936&gt;O936,"Más permisivo","Igual")),"")</f>
        <v/>
      </c>
      <c r="T936" s="25">
        <f>IF(Q936=1,IF(ABS(O936-P936)=2,1,0),"")</f>
        <v/>
      </c>
      <c r="U936" s="25">
        <f>IF(H936="","","|"&amp;SUBSTITUTE(SUBSTITUTE(TRIM(H936)," |","|"),"| ","|")&amp;"|")</f>
        <v/>
      </c>
      <c r="V936" s="25">
        <f>IF(AND(Q936=1,B936&lt;&gt;""),IF(IFERROR(COUNTIFS(B$3:B936,"="&amp;SUBSTITUTE(SUBSTITUTE(SUBSTITUTE(B936,"~","~~"),"*","~*"),"?","~?"),Q$3:Q936,1),0)=1,MAX(V$2:V935)+1,""),"")</f>
        <v/>
      </c>
      <c r="W936" s="25">
        <f>IF(V936="","",COUNTIFS($B$3:$B$1002,"="&amp;SUBSTITUTE(SUBSTITUTE(SUBSTITUTE(B936,"~","~~"),"*","~*"),"?","~?"),$Q$3:$Q$1002,1)*10000-V936)</f>
        <v/>
      </c>
      <c r="X936" s="25">
        <f>IF(Q936=1,IF(SUBSTITUTE(SUBSTITUTE(SUBSTITUTE(SUBSTITUTE(SUBSTITUTE(SUBSTITUTE(SUBSTITUTE(SUBSTITUTE(SUBSTITUTE(SUBSTITUTE(SUBSTITUTE(SUBSTITUTE(LOWER(TRIM(A936)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936)),"á","a"),"é","e"),"í","i"),"ó","o"),"ú","u"),"ü","u"),"ñ","n"),"à","a"),"è","e"),"ì","i"),"ò","o"),"ù","u")),"")</f>
        <v/>
      </c>
      <c r="Y936" s="25">
        <f>IF(X936="","",IF(IFERROR(COUNTIF(X$3:X936,"="&amp;SUBSTITUTE(SUBSTITUTE(SUBSTITUTE(X936,"~","~~"),"*","~*"),"?","~?")),0)=1,1,""))</f>
        <v/>
      </c>
      <c r="Z936" s="25">
        <f>IF(T936=1,MAX(Z$2:Z935)+1,"")</f>
        <v/>
      </c>
    </row>
    <row r="937">
      <c r="A937">
        <f>IF(A$2=0,"",IFERROR(TRIM(INDEX('Pegar calibracion'!$A$1:$BZ$1001,936,A$2)&amp;""),""))</f>
        <v/>
      </c>
      <c r="B937">
        <f>IF(B$2=0,"",IFERROR(TRIM(INDEX('Pegar calibracion'!$A$1:$BZ$1001,936,B$2)&amp;""),""))</f>
        <v/>
      </c>
      <c r="C937">
        <f>IF(C$2=0,"",IFERROR(TRIM(INDEX('Pegar calibracion'!$A$1:$BZ$1001,936,C$2)&amp;""),""))</f>
        <v/>
      </c>
      <c r="D937">
        <f>IF(D$2=0,"",IFERROR(TRIM(INDEX('Pegar calibracion'!$A$1:$BZ$1001,936,D$2)&amp;""),""))</f>
        <v/>
      </c>
      <c r="E937">
        <f>IF(E$2=0,"",IFERROR(TRIM(INDEX('Pegar calibracion'!$A$1:$BZ$1001,936,E$2)&amp;""),""))</f>
        <v/>
      </c>
      <c r="F937">
        <f>IF(F$2=0,"",IFERROR(TRIM(INDEX('Pegar calibracion'!$A$1:$BZ$1001,936,F$2)&amp;""),""))</f>
        <v/>
      </c>
      <c r="G937">
        <f>IF(G$2=0,"",IFERROR(TRIM(INDEX('Pegar calibracion'!$A$1:$BZ$1001,936,G$2)&amp;""),""))</f>
        <v/>
      </c>
      <c r="H937">
        <f>IF(H$2=0,"",IFERROR(TRIM(INDEX('Pegar calibracion'!$A$1:$BZ$1001,936,H$2)&amp;""),""))</f>
        <v/>
      </c>
      <c r="I937">
        <f>IF(I$2=0,"",IFERROR(TRIM(INDEX('Pegar calibracion'!$A$1:$BZ$1001,936,I$2)&amp;""),""))</f>
        <v/>
      </c>
      <c r="J937">
        <f>IF(J$2=0,"",IFERROR(TRIM(INDEX('Pegar calibracion'!$A$1:$BZ$1001,936,J$2)&amp;""),""))</f>
        <v/>
      </c>
      <c r="K937">
        <f>IF(K$2=0,"",IFERROR(TRIM(INDEX('Pegar calibracion'!$A$1:$BZ$1001,936,K$2)&amp;""),""))</f>
        <v/>
      </c>
      <c r="L937">
        <f>IF(L$2=0,"",IFERROR(TRIM(INDEX('Pegar calibracion'!$A$1:$BZ$1001,936,L$2)&amp;""),""))</f>
        <v/>
      </c>
      <c r="M937" s="25">
        <f>IF(D937="","",SUBSTITUTE(SUBSTITUTE(SUBSTITUTE(SUBSTITUTE(SUBSTITUTE(SUBSTITUTE(SUBSTITUTE(SUBSTITUTE(SUBSTITUTE(SUBSTITUTE(SUBSTITUTE(SUBSTITUTE(LOWER(TRIM(D937)),"á","a"),"é","e"),"í","i"),"ó","o"),"ú","u"),"ü","u"),"ñ","n"),"à","a"),"è","e"),"ì","i"),"ò","o"),"ù","u"))</f>
        <v/>
      </c>
      <c r="N937" s="25">
        <f>IF(F937="","",SUBSTITUTE(SUBSTITUTE(SUBSTITUTE(SUBSTITUTE(SUBSTITUTE(SUBSTITUTE(SUBSTITUTE(SUBSTITUTE(SUBSTITUTE(SUBSTITUTE(SUBSTITUTE(SUBSTITUTE(LOWER(TRIM(F937)),"á","a"),"é","e"),"í","i"),"ó","o"),"ú","u"),"ü","u"),"ñ","n"),"à","a"),"è","e"),"ì","i"),"ò","o"),"ù","u"))</f>
        <v/>
      </c>
      <c r="O937" s="25">
        <f>IF(M937="confiable",2,IF(M937="dudosa",1,IF(M937="no confiable",0,"")))</f>
        <v/>
      </c>
      <c r="P937" s="25">
        <f>IF(N937="confiable",2,IF(N937="dudosa",1,IF(N937="no confiable",0,"")))</f>
        <v/>
      </c>
      <c r="Q937" s="25">
        <f>IF(AND(ISNUMBER(O937),ISNUMBER(P937)),1,"")</f>
        <v/>
      </c>
      <c r="R937" s="25">
        <f>IF(Q937=1,IF(O937=P937,"Sí","No"),"")</f>
        <v/>
      </c>
      <c r="S937" s="25">
        <f>IF(Q937=1,IF(P937&lt;O937,"Más estricto",IF(P937&gt;O937,"Más permisivo","Igual")),"")</f>
        <v/>
      </c>
      <c r="T937" s="25">
        <f>IF(Q937=1,IF(ABS(O937-P937)=2,1,0),"")</f>
        <v/>
      </c>
      <c r="U937" s="25">
        <f>IF(H937="","","|"&amp;SUBSTITUTE(SUBSTITUTE(TRIM(H937)," |","|"),"| ","|")&amp;"|")</f>
        <v/>
      </c>
      <c r="V937" s="25">
        <f>IF(AND(Q937=1,B937&lt;&gt;""),IF(IFERROR(COUNTIFS(B$3:B937,"="&amp;SUBSTITUTE(SUBSTITUTE(SUBSTITUTE(B937,"~","~~"),"*","~*"),"?","~?"),Q$3:Q937,1),0)=1,MAX(V$2:V936)+1,""),"")</f>
        <v/>
      </c>
      <c r="W937" s="25">
        <f>IF(V937="","",COUNTIFS($B$3:$B$1002,"="&amp;SUBSTITUTE(SUBSTITUTE(SUBSTITUTE(B937,"~","~~"),"*","~*"),"?","~?"),$Q$3:$Q$1002,1)*10000-V937)</f>
        <v/>
      </c>
      <c r="X937" s="25">
        <f>IF(Q937=1,IF(SUBSTITUTE(SUBSTITUTE(SUBSTITUTE(SUBSTITUTE(SUBSTITUTE(SUBSTITUTE(SUBSTITUTE(SUBSTITUTE(SUBSTITUTE(SUBSTITUTE(SUBSTITUTE(SUBSTITUTE(LOWER(TRIM(A937)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937)),"á","a"),"é","e"),"í","i"),"ó","o"),"ú","u"),"ü","u"),"ñ","n"),"à","a"),"è","e"),"ì","i"),"ò","o"),"ù","u")),"")</f>
        <v/>
      </c>
      <c r="Y937" s="25">
        <f>IF(X937="","",IF(IFERROR(COUNTIF(X$3:X937,"="&amp;SUBSTITUTE(SUBSTITUTE(SUBSTITUTE(X937,"~","~~"),"*","~*"),"?","~?")),0)=1,1,""))</f>
        <v/>
      </c>
      <c r="Z937" s="25">
        <f>IF(T937=1,MAX(Z$2:Z936)+1,"")</f>
        <v/>
      </c>
    </row>
    <row r="938">
      <c r="A938">
        <f>IF(A$2=0,"",IFERROR(TRIM(INDEX('Pegar calibracion'!$A$1:$BZ$1001,937,A$2)&amp;""),""))</f>
        <v/>
      </c>
      <c r="B938">
        <f>IF(B$2=0,"",IFERROR(TRIM(INDEX('Pegar calibracion'!$A$1:$BZ$1001,937,B$2)&amp;""),""))</f>
        <v/>
      </c>
      <c r="C938">
        <f>IF(C$2=0,"",IFERROR(TRIM(INDEX('Pegar calibracion'!$A$1:$BZ$1001,937,C$2)&amp;""),""))</f>
        <v/>
      </c>
      <c r="D938">
        <f>IF(D$2=0,"",IFERROR(TRIM(INDEX('Pegar calibracion'!$A$1:$BZ$1001,937,D$2)&amp;""),""))</f>
        <v/>
      </c>
      <c r="E938">
        <f>IF(E$2=0,"",IFERROR(TRIM(INDEX('Pegar calibracion'!$A$1:$BZ$1001,937,E$2)&amp;""),""))</f>
        <v/>
      </c>
      <c r="F938">
        <f>IF(F$2=0,"",IFERROR(TRIM(INDEX('Pegar calibracion'!$A$1:$BZ$1001,937,F$2)&amp;""),""))</f>
        <v/>
      </c>
      <c r="G938">
        <f>IF(G$2=0,"",IFERROR(TRIM(INDEX('Pegar calibracion'!$A$1:$BZ$1001,937,G$2)&amp;""),""))</f>
        <v/>
      </c>
      <c r="H938">
        <f>IF(H$2=0,"",IFERROR(TRIM(INDEX('Pegar calibracion'!$A$1:$BZ$1001,937,H$2)&amp;""),""))</f>
        <v/>
      </c>
      <c r="I938">
        <f>IF(I$2=0,"",IFERROR(TRIM(INDEX('Pegar calibracion'!$A$1:$BZ$1001,937,I$2)&amp;""),""))</f>
        <v/>
      </c>
      <c r="J938">
        <f>IF(J$2=0,"",IFERROR(TRIM(INDEX('Pegar calibracion'!$A$1:$BZ$1001,937,J$2)&amp;""),""))</f>
        <v/>
      </c>
      <c r="K938">
        <f>IF(K$2=0,"",IFERROR(TRIM(INDEX('Pegar calibracion'!$A$1:$BZ$1001,937,K$2)&amp;""),""))</f>
        <v/>
      </c>
      <c r="L938">
        <f>IF(L$2=0,"",IFERROR(TRIM(INDEX('Pegar calibracion'!$A$1:$BZ$1001,937,L$2)&amp;""),""))</f>
        <v/>
      </c>
      <c r="M938" s="25">
        <f>IF(D938="","",SUBSTITUTE(SUBSTITUTE(SUBSTITUTE(SUBSTITUTE(SUBSTITUTE(SUBSTITUTE(SUBSTITUTE(SUBSTITUTE(SUBSTITUTE(SUBSTITUTE(SUBSTITUTE(SUBSTITUTE(LOWER(TRIM(D938)),"á","a"),"é","e"),"í","i"),"ó","o"),"ú","u"),"ü","u"),"ñ","n"),"à","a"),"è","e"),"ì","i"),"ò","o"),"ù","u"))</f>
        <v/>
      </c>
      <c r="N938" s="25">
        <f>IF(F938="","",SUBSTITUTE(SUBSTITUTE(SUBSTITUTE(SUBSTITUTE(SUBSTITUTE(SUBSTITUTE(SUBSTITUTE(SUBSTITUTE(SUBSTITUTE(SUBSTITUTE(SUBSTITUTE(SUBSTITUTE(LOWER(TRIM(F938)),"á","a"),"é","e"),"í","i"),"ó","o"),"ú","u"),"ü","u"),"ñ","n"),"à","a"),"è","e"),"ì","i"),"ò","o"),"ù","u"))</f>
        <v/>
      </c>
      <c r="O938" s="25">
        <f>IF(M938="confiable",2,IF(M938="dudosa",1,IF(M938="no confiable",0,"")))</f>
        <v/>
      </c>
      <c r="P938" s="25">
        <f>IF(N938="confiable",2,IF(N938="dudosa",1,IF(N938="no confiable",0,"")))</f>
        <v/>
      </c>
      <c r="Q938" s="25">
        <f>IF(AND(ISNUMBER(O938),ISNUMBER(P938)),1,"")</f>
        <v/>
      </c>
      <c r="R938" s="25">
        <f>IF(Q938=1,IF(O938=P938,"Sí","No"),"")</f>
        <v/>
      </c>
      <c r="S938" s="25">
        <f>IF(Q938=1,IF(P938&lt;O938,"Más estricto",IF(P938&gt;O938,"Más permisivo","Igual")),"")</f>
        <v/>
      </c>
      <c r="T938" s="25">
        <f>IF(Q938=1,IF(ABS(O938-P938)=2,1,0),"")</f>
        <v/>
      </c>
      <c r="U938" s="25">
        <f>IF(H938="","","|"&amp;SUBSTITUTE(SUBSTITUTE(TRIM(H938)," |","|"),"| ","|")&amp;"|")</f>
        <v/>
      </c>
      <c r="V938" s="25">
        <f>IF(AND(Q938=1,B938&lt;&gt;""),IF(IFERROR(COUNTIFS(B$3:B938,"="&amp;SUBSTITUTE(SUBSTITUTE(SUBSTITUTE(B938,"~","~~"),"*","~*"),"?","~?"),Q$3:Q938,1),0)=1,MAX(V$2:V937)+1,""),"")</f>
        <v/>
      </c>
      <c r="W938" s="25">
        <f>IF(V938="","",COUNTIFS($B$3:$B$1002,"="&amp;SUBSTITUTE(SUBSTITUTE(SUBSTITUTE(B938,"~","~~"),"*","~*"),"?","~?"),$Q$3:$Q$1002,1)*10000-V938)</f>
        <v/>
      </c>
      <c r="X938" s="25">
        <f>IF(Q938=1,IF(SUBSTITUTE(SUBSTITUTE(SUBSTITUTE(SUBSTITUTE(SUBSTITUTE(SUBSTITUTE(SUBSTITUTE(SUBSTITUTE(SUBSTITUTE(SUBSTITUTE(SUBSTITUTE(SUBSTITUTE(LOWER(TRIM(A938)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938)),"á","a"),"é","e"),"í","i"),"ó","o"),"ú","u"),"ü","u"),"ñ","n"),"à","a"),"è","e"),"ì","i"),"ò","o"),"ù","u")),"")</f>
        <v/>
      </c>
      <c r="Y938" s="25">
        <f>IF(X938="","",IF(IFERROR(COUNTIF(X$3:X938,"="&amp;SUBSTITUTE(SUBSTITUTE(SUBSTITUTE(X938,"~","~~"),"*","~*"),"?","~?")),0)=1,1,""))</f>
        <v/>
      </c>
      <c r="Z938" s="25">
        <f>IF(T938=1,MAX(Z$2:Z937)+1,"")</f>
        <v/>
      </c>
    </row>
    <row r="939">
      <c r="A939">
        <f>IF(A$2=0,"",IFERROR(TRIM(INDEX('Pegar calibracion'!$A$1:$BZ$1001,938,A$2)&amp;""),""))</f>
        <v/>
      </c>
      <c r="B939">
        <f>IF(B$2=0,"",IFERROR(TRIM(INDEX('Pegar calibracion'!$A$1:$BZ$1001,938,B$2)&amp;""),""))</f>
        <v/>
      </c>
      <c r="C939">
        <f>IF(C$2=0,"",IFERROR(TRIM(INDEX('Pegar calibracion'!$A$1:$BZ$1001,938,C$2)&amp;""),""))</f>
        <v/>
      </c>
      <c r="D939">
        <f>IF(D$2=0,"",IFERROR(TRIM(INDEX('Pegar calibracion'!$A$1:$BZ$1001,938,D$2)&amp;""),""))</f>
        <v/>
      </c>
      <c r="E939">
        <f>IF(E$2=0,"",IFERROR(TRIM(INDEX('Pegar calibracion'!$A$1:$BZ$1001,938,E$2)&amp;""),""))</f>
        <v/>
      </c>
      <c r="F939">
        <f>IF(F$2=0,"",IFERROR(TRIM(INDEX('Pegar calibracion'!$A$1:$BZ$1001,938,F$2)&amp;""),""))</f>
        <v/>
      </c>
      <c r="G939">
        <f>IF(G$2=0,"",IFERROR(TRIM(INDEX('Pegar calibracion'!$A$1:$BZ$1001,938,G$2)&amp;""),""))</f>
        <v/>
      </c>
      <c r="H939">
        <f>IF(H$2=0,"",IFERROR(TRIM(INDEX('Pegar calibracion'!$A$1:$BZ$1001,938,H$2)&amp;""),""))</f>
        <v/>
      </c>
      <c r="I939">
        <f>IF(I$2=0,"",IFERROR(TRIM(INDEX('Pegar calibracion'!$A$1:$BZ$1001,938,I$2)&amp;""),""))</f>
        <v/>
      </c>
      <c r="J939">
        <f>IF(J$2=0,"",IFERROR(TRIM(INDEX('Pegar calibracion'!$A$1:$BZ$1001,938,J$2)&amp;""),""))</f>
        <v/>
      </c>
      <c r="K939">
        <f>IF(K$2=0,"",IFERROR(TRIM(INDEX('Pegar calibracion'!$A$1:$BZ$1001,938,K$2)&amp;""),""))</f>
        <v/>
      </c>
      <c r="L939">
        <f>IF(L$2=0,"",IFERROR(TRIM(INDEX('Pegar calibracion'!$A$1:$BZ$1001,938,L$2)&amp;""),""))</f>
        <v/>
      </c>
      <c r="M939" s="25">
        <f>IF(D939="","",SUBSTITUTE(SUBSTITUTE(SUBSTITUTE(SUBSTITUTE(SUBSTITUTE(SUBSTITUTE(SUBSTITUTE(SUBSTITUTE(SUBSTITUTE(SUBSTITUTE(SUBSTITUTE(SUBSTITUTE(LOWER(TRIM(D939)),"á","a"),"é","e"),"í","i"),"ó","o"),"ú","u"),"ü","u"),"ñ","n"),"à","a"),"è","e"),"ì","i"),"ò","o"),"ù","u"))</f>
        <v/>
      </c>
      <c r="N939" s="25">
        <f>IF(F939="","",SUBSTITUTE(SUBSTITUTE(SUBSTITUTE(SUBSTITUTE(SUBSTITUTE(SUBSTITUTE(SUBSTITUTE(SUBSTITUTE(SUBSTITUTE(SUBSTITUTE(SUBSTITUTE(SUBSTITUTE(LOWER(TRIM(F939)),"á","a"),"é","e"),"í","i"),"ó","o"),"ú","u"),"ü","u"),"ñ","n"),"à","a"),"è","e"),"ì","i"),"ò","o"),"ù","u"))</f>
        <v/>
      </c>
      <c r="O939" s="25">
        <f>IF(M939="confiable",2,IF(M939="dudosa",1,IF(M939="no confiable",0,"")))</f>
        <v/>
      </c>
      <c r="P939" s="25">
        <f>IF(N939="confiable",2,IF(N939="dudosa",1,IF(N939="no confiable",0,"")))</f>
        <v/>
      </c>
      <c r="Q939" s="25">
        <f>IF(AND(ISNUMBER(O939),ISNUMBER(P939)),1,"")</f>
        <v/>
      </c>
      <c r="R939" s="25">
        <f>IF(Q939=1,IF(O939=P939,"Sí","No"),"")</f>
        <v/>
      </c>
      <c r="S939" s="25">
        <f>IF(Q939=1,IF(P939&lt;O939,"Más estricto",IF(P939&gt;O939,"Más permisivo","Igual")),"")</f>
        <v/>
      </c>
      <c r="T939" s="25">
        <f>IF(Q939=1,IF(ABS(O939-P939)=2,1,0),"")</f>
        <v/>
      </c>
      <c r="U939" s="25">
        <f>IF(H939="","","|"&amp;SUBSTITUTE(SUBSTITUTE(TRIM(H939)," |","|"),"| ","|")&amp;"|")</f>
        <v/>
      </c>
      <c r="V939" s="25">
        <f>IF(AND(Q939=1,B939&lt;&gt;""),IF(IFERROR(COUNTIFS(B$3:B939,"="&amp;SUBSTITUTE(SUBSTITUTE(SUBSTITUTE(B939,"~","~~"),"*","~*"),"?","~?"),Q$3:Q939,1),0)=1,MAX(V$2:V938)+1,""),"")</f>
        <v/>
      </c>
      <c r="W939" s="25">
        <f>IF(V939="","",COUNTIFS($B$3:$B$1002,"="&amp;SUBSTITUTE(SUBSTITUTE(SUBSTITUTE(B939,"~","~~"),"*","~*"),"?","~?"),$Q$3:$Q$1002,1)*10000-V939)</f>
        <v/>
      </c>
      <c r="X939" s="25">
        <f>IF(Q939=1,IF(SUBSTITUTE(SUBSTITUTE(SUBSTITUTE(SUBSTITUTE(SUBSTITUTE(SUBSTITUTE(SUBSTITUTE(SUBSTITUTE(SUBSTITUTE(SUBSTITUTE(SUBSTITUTE(SUBSTITUTE(LOWER(TRIM(A939)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939)),"á","a"),"é","e"),"í","i"),"ó","o"),"ú","u"),"ü","u"),"ñ","n"),"à","a"),"è","e"),"ì","i"),"ò","o"),"ù","u")),"")</f>
        <v/>
      </c>
      <c r="Y939" s="25">
        <f>IF(X939="","",IF(IFERROR(COUNTIF(X$3:X939,"="&amp;SUBSTITUTE(SUBSTITUTE(SUBSTITUTE(X939,"~","~~"),"*","~*"),"?","~?")),0)=1,1,""))</f>
        <v/>
      </c>
      <c r="Z939" s="25">
        <f>IF(T939=1,MAX(Z$2:Z938)+1,"")</f>
        <v/>
      </c>
    </row>
    <row r="940">
      <c r="A940">
        <f>IF(A$2=0,"",IFERROR(TRIM(INDEX('Pegar calibracion'!$A$1:$BZ$1001,939,A$2)&amp;""),""))</f>
        <v/>
      </c>
      <c r="B940">
        <f>IF(B$2=0,"",IFERROR(TRIM(INDEX('Pegar calibracion'!$A$1:$BZ$1001,939,B$2)&amp;""),""))</f>
        <v/>
      </c>
      <c r="C940">
        <f>IF(C$2=0,"",IFERROR(TRIM(INDEX('Pegar calibracion'!$A$1:$BZ$1001,939,C$2)&amp;""),""))</f>
        <v/>
      </c>
      <c r="D940">
        <f>IF(D$2=0,"",IFERROR(TRIM(INDEX('Pegar calibracion'!$A$1:$BZ$1001,939,D$2)&amp;""),""))</f>
        <v/>
      </c>
      <c r="E940">
        <f>IF(E$2=0,"",IFERROR(TRIM(INDEX('Pegar calibracion'!$A$1:$BZ$1001,939,E$2)&amp;""),""))</f>
        <v/>
      </c>
      <c r="F940">
        <f>IF(F$2=0,"",IFERROR(TRIM(INDEX('Pegar calibracion'!$A$1:$BZ$1001,939,F$2)&amp;""),""))</f>
        <v/>
      </c>
      <c r="G940">
        <f>IF(G$2=0,"",IFERROR(TRIM(INDEX('Pegar calibracion'!$A$1:$BZ$1001,939,G$2)&amp;""),""))</f>
        <v/>
      </c>
      <c r="H940">
        <f>IF(H$2=0,"",IFERROR(TRIM(INDEX('Pegar calibracion'!$A$1:$BZ$1001,939,H$2)&amp;""),""))</f>
        <v/>
      </c>
      <c r="I940">
        <f>IF(I$2=0,"",IFERROR(TRIM(INDEX('Pegar calibracion'!$A$1:$BZ$1001,939,I$2)&amp;""),""))</f>
        <v/>
      </c>
      <c r="J940">
        <f>IF(J$2=0,"",IFERROR(TRIM(INDEX('Pegar calibracion'!$A$1:$BZ$1001,939,J$2)&amp;""),""))</f>
        <v/>
      </c>
      <c r="K940">
        <f>IF(K$2=0,"",IFERROR(TRIM(INDEX('Pegar calibracion'!$A$1:$BZ$1001,939,K$2)&amp;""),""))</f>
        <v/>
      </c>
      <c r="L940">
        <f>IF(L$2=0,"",IFERROR(TRIM(INDEX('Pegar calibracion'!$A$1:$BZ$1001,939,L$2)&amp;""),""))</f>
        <v/>
      </c>
      <c r="M940" s="25">
        <f>IF(D940="","",SUBSTITUTE(SUBSTITUTE(SUBSTITUTE(SUBSTITUTE(SUBSTITUTE(SUBSTITUTE(SUBSTITUTE(SUBSTITUTE(SUBSTITUTE(SUBSTITUTE(SUBSTITUTE(SUBSTITUTE(LOWER(TRIM(D940)),"á","a"),"é","e"),"í","i"),"ó","o"),"ú","u"),"ü","u"),"ñ","n"),"à","a"),"è","e"),"ì","i"),"ò","o"),"ù","u"))</f>
        <v/>
      </c>
      <c r="N940" s="25">
        <f>IF(F940="","",SUBSTITUTE(SUBSTITUTE(SUBSTITUTE(SUBSTITUTE(SUBSTITUTE(SUBSTITUTE(SUBSTITUTE(SUBSTITUTE(SUBSTITUTE(SUBSTITUTE(SUBSTITUTE(SUBSTITUTE(LOWER(TRIM(F940)),"á","a"),"é","e"),"í","i"),"ó","o"),"ú","u"),"ü","u"),"ñ","n"),"à","a"),"è","e"),"ì","i"),"ò","o"),"ù","u"))</f>
        <v/>
      </c>
      <c r="O940" s="25">
        <f>IF(M940="confiable",2,IF(M940="dudosa",1,IF(M940="no confiable",0,"")))</f>
        <v/>
      </c>
      <c r="P940" s="25">
        <f>IF(N940="confiable",2,IF(N940="dudosa",1,IF(N940="no confiable",0,"")))</f>
        <v/>
      </c>
      <c r="Q940" s="25">
        <f>IF(AND(ISNUMBER(O940),ISNUMBER(P940)),1,"")</f>
        <v/>
      </c>
      <c r="R940" s="25">
        <f>IF(Q940=1,IF(O940=P940,"Sí","No"),"")</f>
        <v/>
      </c>
      <c r="S940" s="25">
        <f>IF(Q940=1,IF(P940&lt;O940,"Más estricto",IF(P940&gt;O940,"Más permisivo","Igual")),"")</f>
        <v/>
      </c>
      <c r="T940" s="25">
        <f>IF(Q940=1,IF(ABS(O940-P940)=2,1,0),"")</f>
        <v/>
      </c>
      <c r="U940" s="25">
        <f>IF(H940="","","|"&amp;SUBSTITUTE(SUBSTITUTE(TRIM(H940)," |","|"),"| ","|")&amp;"|")</f>
        <v/>
      </c>
      <c r="V940" s="25">
        <f>IF(AND(Q940=1,B940&lt;&gt;""),IF(IFERROR(COUNTIFS(B$3:B940,"="&amp;SUBSTITUTE(SUBSTITUTE(SUBSTITUTE(B940,"~","~~"),"*","~*"),"?","~?"),Q$3:Q940,1),0)=1,MAX(V$2:V939)+1,""),"")</f>
        <v/>
      </c>
      <c r="W940" s="25">
        <f>IF(V940="","",COUNTIFS($B$3:$B$1002,"="&amp;SUBSTITUTE(SUBSTITUTE(SUBSTITUTE(B940,"~","~~"),"*","~*"),"?","~?"),$Q$3:$Q$1002,1)*10000-V940)</f>
        <v/>
      </c>
      <c r="X940" s="25">
        <f>IF(Q940=1,IF(SUBSTITUTE(SUBSTITUTE(SUBSTITUTE(SUBSTITUTE(SUBSTITUTE(SUBSTITUTE(SUBSTITUTE(SUBSTITUTE(SUBSTITUTE(SUBSTITUTE(SUBSTITUTE(SUBSTITUTE(LOWER(TRIM(A940)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940)),"á","a"),"é","e"),"í","i"),"ó","o"),"ú","u"),"ü","u"),"ñ","n"),"à","a"),"è","e"),"ì","i"),"ò","o"),"ù","u")),"")</f>
        <v/>
      </c>
      <c r="Y940" s="25">
        <f>IF(X940="","",IF(IFERROR(COUNTIF(X$3:X940,"="&amp;SUBSTITUTE(SUBSTITUTE(SUBSTITUTE(X940,"~","~~"),"*","~*"),"?","~?")),0)=1,1,""))</f>
        <v/>
      </c>
      <c r="Z940" s="25">
        <f>IF(T940=1,MAX(Z$2:Z939)+1,"")</f>
        <v/>
      </c>
    </row>
    <row r="941">
      <c r="A941">
        <f>IF(A$2=0,"",IFERROR(TRIM(INDEX('Pegar calibracion'!$A$1:$BZ$1001,940,A$2)&amp;""),""))</f>
        <v/>
      </c>
      <c r="B941">
        <f>IF(B$2=0,"",IFERROR(TRIM(INDEX('Pegar calibracion'!$A$1:$BZ$1001,940,B$2)&amp;""),""))</f>
        <v/>
      </c>
      <c r="C941">
        <f>IF(C$2=0,"",IFERROR(TRIM(INDEX('Pegar calibracion'!$A$1:$BZ$1001,940,C$2)&amp;""),""))</f>
        <v/>
      </c>
      <c r="D941">
        <f>IF(D$2=0,"",IFERROR(TRIM(INDEX('Pegar calibracion'!$A$1:$BZ$1001,940,D$2)&amp;""),""))</f>
        <v/>
      </c>
      <c r="E941">
        <f>IF(E$2=0,"",IFERROR(TRIM(INDEX('Pegar calibracion'!$A$1:$BZ$1001,940,E$2)&amp;""),""))</f>
        <v/>
      </c>
      <c r="F941">
        <f>IF(F$2=0,"",IFERROR(TRIM(INDEX('Pegar calibracion'!$A$1:$BZ$1001,940,F$2)&amp;""),""))</f>
        <v/>
      </c>
      <c r="G941">
        <f>IF(G$2=0,"",IFERROR(TRIM(INDEX('Pegar calibracion'!$A$1:$BZ$1001,940,G$2)&amp;""),""))</f>
        <v/>
      </c>
      <c r="H941">
        <f>IF(H$2=0,"",IFERROR(TRIM(INDEX('Pegar calibracion'!$A$1:$BZ$1001,940,H$2)&amp;""),""))</f>
        <v/>
      </c>
      <c r="I941">
        <f>IF(I$2=0,"",IFERROR(TRIM(INDEX('Pegar calibracion'!$A$1:$BZ$1001,940,I$2)&amp;""),""))</f>
        <v/>
      </c>
      <c r="J941">
        <f>IF(J$2=0,"",IFERROR(TRIM(INDEX('Pegar calibracion'!$A$1:$BZ$1001,940,J$2)&amp;""),""))</f>
        <v/>
      </c>
      <c r="K941">
        <f>IF(K$2=0,"",IFERROR(TRIM(INDEX('Pegar calibracion'!$A$1:$BZ$1001,940,K$2)&amp;""),""))</f>
        <v/>
      </c>
      <c r="L941">
        <f>IF(L$2=0,"",IFERROR(TRIM(INDEX('Pegar calibracion'!$A$1:$BZ$1001,940,L$2)&amp;""),""))</f>
        <v/>
      </c>
      <c r="M941" s="25">
        <f>IF(D941="","",SUBSTITUTE(SUBSTITUTE(SUBSTITUTE(SUBSTITUTE(SUBSTITUTE(SUBSTITUTE(SUBSTITUTE(SUBSTITUTE(SUBSTITUTE(SUBSTITUTE(SUBSTITUTE(SUBSTITUTE(LOWER(TRIM(D941)),"á","a"),"é","e"),"í","i"),"ó","o"),"ú","u"),"ü","u"),"ñ","n"),"à","a"),"è","e"),"ì","i"),"ò","o"),"ù","u"))</f>
        <v/>
      </c>
      <c r="N941" s="25">
        <f>IF(F941="","",SUBSTITUTE(SUBSTITUTE(SUBSTITUTE(SUBSTITUTE(SUBSTITUTE(SUBSTITUTE(SUBSTITUTE(SUBSTITUTE(SUBSTITUTE(SUBSTITUTE(SUBSTITUTE(SUBSTITUTE(LOWER(TRIM(F941)),"á","a"),"é","e"),"í","i"),"ó","o"),"ú","u"),"ü","u"),"ñ","n"),"à","a"),"è","e"),"ì","i"),"ò","o"),"ù","u"))</f>
        <v/>
      </c>
      <c r="O941" s="25">
        <f>IF(M941="confiable",2,IF(M941="dudosa",1,IF(M941="no confiable",0,"")))</f>
        <v/>
      </c>
      <c r="P941" s="25">
        <f>IF(N941="confiable",2,IF(N941="dudosa",1,IF(N941="no confiable",0,"")))</f>
        <v/>
      </c>
      <c r="Q941" s="25">
        <f>IF(AND(ISNUMBER(O941),ISNUMBER(P941)),1,"")</f>
        <v/>
      </c>
      <c r="R941" s="25">
        <f>IF(Q941=1,IF(O941=P941,"Sí","No"),"")</f>
        <v/>
      </c>
      <c r="S941" s="25">
        <f>IF(Q941=1,IF(P941&lt;O941,"Más estricto",IF(P941&gt;O941,"Más permisivo","Igual")),"")</f>
        <v/>
      </c>
      <c r="T941" s="25">
        <f>IF(Q941=1,IF(ABS(O941-P941)=2,1,0),"")</f>
        <v/>
      </c>
      <c r="U941" s="25">
        <f>IF(H941="","","|"&amp;SUBSTITUTE(SUBSTITUTE(TRIM(H941)," |","|"),"| ","|")&amp;"|")</f>
        <v/>
      </c>
      <c r="V941" s="25">
        <f>IF(AND(Q941=1,B941&lt;&gt;""),IF(IFERROR(COUNTIFS(B$3:B941,"="&amp;SUBSTITUTE(SUBSTITUTE(SUBSTITUTE(B941,"~","~~"),"*","~*"),"?","~?"),Q$3:Q941,1),0)=1,MAX(V$2:V940)+1,""),"")</f>
        <v/>
      </c>
      <c r="W941" s="25">
        <f>IF(V941="","",COUNTIFS($B$3:$B$1002,"="&amp;SUBSTITUTE(SUBSTITUTE(SUBSTITUTE(B941,"~","~~"),"*","~*"),"?","~?"),$Q$3:$Q$1002,1)*10000-V941)</f>
        <v/>
      </c>
      <c r="X941" s="25">
        <f>IF(Q941=1,IF(SUBSTITUTE(SUBSTITUTE(SUBSTITUTE(SUBSTITUTE(SUBSTITUTE(SUBSTITUTE(SUBSTITUTE(SUBSTITUTE(SUBSTITUTE(SUBSTITUTE(SUBSTITUTE(SUBSTITUTE(LOWER(TRIM(A941)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941)),"á","a"),"é","e"),"í","i"),"ó","o"),"ú","u"),"ü","u"),"ñ","n"),"à","a"),"è","e"),"ì","i"),"ò","o"),"ù","u")),"")</f>
        <v/>
      </c>
      <c r="Y941" s="25">
        <f>IF(X941="","",IF(IFERROR(COUNTIF(X$3:X941,"="&amp;SUBSTITUTE(SUBSTITUTE(SUBSTITUTE(X941,"~","~~"),"*","~*"),"?","~?")),0)=1,1,""))</f>
        <v/>
      </c>
      <c r="Z941" s="25">
        <f>IF(T941=1,MAX(Z$2:Z940)+1,"")</f>
        <v/>
      </c>
    </row>
    <row r="942">
      <c r="A942">
        <f>IF(A$2=0,"",IFERROR(TRIM(INDEX('Pegar calibracion'!$A$1:$BZ$1001,941,A$2)&amp;""),""))</f>
        <v/>
      </c>
      <c r="B942">
        <f>IF(B$2=0,"",IFERROR(TRIM(INDEX('Pegar calibracion'!$A$1:$BZ$1001,941,B$2)&amp;""),""))</f>
        <v/>
      </c>
      <c r="C942">
        <f>IF(C$2=0,"",IFERROR(TRIM(INDEX('Pegar calibracion'!$A$1:$BZ$1001,941,C$2)&amp;""),""))</f>
        <v/>
      </c>
      <c r="D942">
        <f>IF(D$2=0,"",IFERROR(TRIM(INDEX('Pegar calibracion'!$A$1:$BZ$1001,941,D$2)&amp;""),""))</f>
        <v/>
      </c>
      <c r="E942">
        <f>IF(E$2=0,"",IFERROR(TRIM(INDEX('Pegar calibracion'!$A$1:$BZ$1001,941,E$2)&amp;""),""))</f>
        <v/>
      </c>
      <c r="F942">
        <f>IF(F$2=0,"",IFERROR(TRIM(INDEX('Pegar calibracion'!$A$1:$BZ$1001,941,F$2)&amp;""),""))</f>
        <v/>
      </c>
      <c r="G942">
        <f>IF(G$2=0,"",IFERROR(TRIM(INDEX('Pegar calibracion'!$A$1:$BZ$1001,941,G$2)&amp;""),""))</f>
        <v/>
      </c>
      <c r="H942">
        <f>IF(H$2=0,"",IFERROR(TRIM(INDEX('Pegar calibracion'!$A$1:$BZ$1001,941,H$2)&amp;""),""))</f>
        <v/>
      </c>
      <c r="I942">
        <f>IF(I$2=0,"",IFERROR(TRIM(INDEX('Pegar calibracion'!$A$1:$BZ$1001,941,I$2)&amp;""),""))</f>
        <v/>
      </c>
      <c r="J942">
        <f>IF(J$2=0,"",IFERROR(TRIM(INDEX('Pegar calibracion'!$A$1:$BZ$1001,941,J$2)&amp;""),""))</f>
        <v/>
      </c>
      <c r="K942">
        <f>IF(K$2=0,"",IFERROR(TRIM(INDEX('Pegar calibracion'!$A$1:$BZ$1001,941,K$2)&amp;""),""))</f>
        <v/>
      </c>
      <c r="L942">
        <f>IF(L$2=0,"",IFERROR(TRIM(INDEX('Pegar calibracion'!$A$1:$BZ$1001,941,L$2)&amp;""),""))</f>
        <v/>
      </c>
      <c r="M942" s="25">
        <f>IF(D942="","",SUBSTITUTE(SUBSTITUTE(SUBSTITUTE(SUBSTITUTE(SUBSTITUTE(SUBSTITUTE(SUBSTITUTE(SUBSTITUTE(SUBSTITUTE(SUBSTITUTE(SUBSTITUTE(SUBSTITUTE(LOWER(TRIM(D942)),"á","a"),"é","e"),"í","i"),"ó","o"),"ú","u"),"ü","u"),"ñ","n"),"à","a"),"è","e"),"ì","i"),"ò","o"),"ù","u"))</f>
        <v/>
      </c>
      <c r="N942" s="25">
        <f>IF(F942="","",SUBSTITUTE(SUBSTITUTE(SUBSTITUTE(SUBSTITUTE(SUBSTITUTE(SUBSTITUTE(SUBSTITUTE(SUBSTITUTE(SUBSTITUTE(SUBSTITUTE(SUBSTITUTE(SUBSTITUTE(LOWER(TRIM(F942)),"á","a"),"é","e"),"í","i"),"ó","o"),"ú","u"),"ü","u"),"ñ","n"),"à","a"),"è","e"),"ì","i"),"ò","o"),"ù","u"))</f>
        <v/>
      </c>
      <c r="O942" s="25">
        <f>IF(M942="confiable",2,IF(M942="dudosa",1,IF(M942="no confiable",0,"")))</f>
        <v/>
      </c>
      <c r="P942" s="25">
        <f>IF(N942="confiable",2,IF(N942="dudosa",1,IF(N942="no confiable",0,"")))</f>
        <v/>
      </c>
      <c r="Q942" s="25">
        <f>IF(AND(ISNUMBER(O942),ISNUMBER(P942)),1,"")</f>
        <v/>
      </c>
      <c r="R942" s="25">
        <f>IF(Q942=1,IF(O942=P942,"Sí","No"),"")</f>
        <v/>
      </c>
      <c r="S942" s="25">
        <f>IF(Q942=1,IF(P942&lt;O942,"Más estricto",IF(P942&gt;O942,"Más permisivo","Igual")),"")</f>
        <v/>
      </c>
      <c r="T942" s="25">
        <f>IF(Q942=1,IF(ABS(O942-P942)=2,1,0),"")</f>
        <v/>
      </c>
      <c r="U942" s="25">
        <f>IF(H942="","","|"&amp;SUBSTITUTE(SUBSTITUTE(TRIM(H942)," |","|"),"| ","|")&amp;"|")</f>
        <v/>
      </c>
      <c r="V942" s="25">
        <f>IF(AND(Q942=1,B942&lt;&gt;""),IF(IFERROR(COUNTIFS(B$3:B942,"="&amp;SUBSTITUTE(SUBSTITUTE(SUBSTITUTE(B942,"~","~~"),"*","~*"),"?","~?"),Q$3:Q942,1),0)=1,MAX(V$2:V941)+1,""),"")</f>
        <v/>
      </c>
      <c r="W942" s="25">
        <f>IF(V942="","",COUNTIFS($B$3:$B$1002,"="&amp;SUBSTITUTE(SUBSTITUTE(SUBSTITUTE(B942,"~","~~"),"*","~*"),"?","~?"),$Q$3:$Q$1002,1)*10000-V942)</f>
        <v/>
      </c>
      <c r="X942" s="25">
        <f>IF(Q942=1,IF(SUBSTITUTE(SUBSTITUTE(SUBSTITUTE(SUBSTITUTE(SUBSTITUTE(SUBSTITUTE(SUBSTITUTE(SUBSTITUTE(SUBSTITUTE(SUBSTITUTE(SUBSTITUTE(SUBSTITUTE(LOWER(TRIM(A942)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942)),"á","a"),"é","e"),"í","i"),"ó","o"),"ú","u"),"ü","u"),"ñ","n"),"à","a"),"è","e"),"ì","i"),"ò","o"),"ù","u")),"")</f>
        <v/>
      </c>
      <c r="Y942" s="25">
        <f>IF(X942="","",IF(IFERROR(COUNTIF(X$3:X942,"="&amp;SUBSTITUTE(SUBSTITUTE(SUBSTITUTE(X942,"~","~~"),"*","~*"),"?","~?")),0)=1,1,""))</f>
        <v/>
      </c>
      <c r="Z942" s="25">
        <f>IF(T942=1,MAX(Z$2:Z941)+1,"")</f>
        <v/>
      </c>
    </row>
    <row r="943">
      <c r="A943">
        <f>IF(A$2=0,"",IFERROR(TRIM(INDEX('Pegar calibracion'!$A$1:$BZ$1001,942,A$2)&amp;""),""))</f>
        <v/>
      </c>
      <c r="B943">
        <f>IF(B$2=0,"",IFERROR(TRIM(INDEX('Pegar calibracion'!$A$1:$BZ$1001,942,B$2)&amp;""),""))</f>
        <v/>
      </c>
      <c r="C943">
        <f>IF(C$2=0,"",IFERROR(TRIM(INDEX('Pegar calibracion'!$A$1:$BZ$1001,942,C$2)&amp;""),""))</f>
        <v/>
      </c>
      <c r="D943">
        <f>IF(D$2=0,"",IFERROR(TRIM(INDEX('Pegar calibracion'!$A$1:$BZ$1001,942,D$2)&amp;""),""))</f>
        <v/>
      </c>
      <c r="E943">
        <f>IF(E$2=0,"",IFERROR(TRIM(INDEX('Pegar calibracion'!$A$1:$BZ$1001,942,E$2)&amp;""),""))</f>
        <v/>
      </c>
      <c r="F943">
        <f>IF(F$2=0,"",IFERROR(TRIM(INDEX('Pegar calibracion'!$A$1:$BZ$1001,942,F$2)&amp;""),""))</f>
        <v/>
      </c>
      <c r="G943">
        <f>IF(G$2=0,"",IFERROR(TRIM(INDEX('Pegar calibracion'!$A$1:$BZ$1001,942,G$2)&amp;""),""))</f>
        <v/>
      </c>
      <c r="H943">
        <f>IF(H$2=0,"",IFERROR(TRIM(INDEX('Pegar calibracion'!$A$1:$BZ$1001,942,H$2)&amp;""),""))</f>
        <v/>
      </c>
      <c r="I943">
        <f>IF(I$2=0,"",IFERROR(TRIM(INDEX('Pegar calibracion'!$A$1:$BZ$1001,942,I$2)&amp;""),""))</f>
        <v/>
      </c>
      <c r="J943">
        <f>IF(J$2=0,"",IFERROR(TRIM(INDEX('Pegar calibracion'!$A$1:$BZ$1001,942,J$2)&amp;""),""))</f>
        <v/>
      </c>
      <c r="K943">
        <f>IF(K$2=0,"",IFERROR(TRIM(INDEX('Pegar calibracion'!$A$1:$BZ$1001,942,K$2)&amp;""),""))</f>
        <v/>
      </c>
      <c r="L943">
        <f>IF(L$2=0,"",IFERROR(TRIM(INDEX('Pegar calibracion'!$A$1:$BZ$1001,942,L$2)&amp;""),""))</f>
        <v/>
      </c>
      <c r="M943" s="25">
        <f>IF(D943="","",SUBSTITUTE(SUBSTITUTE(SUBSTITUTE(SUBSTITUTE(SUBSTITUTE(SUBSTITUTE(SUBSTITUTE(SUBSTITUTE(SUBSTITUTE(SUBSTITUTE(SUBSTITUTE(SUBSTITUTE(LOWER(TRIM(D943)),"á","a"),"é","e"),"í","i"),"ó","o"),"ú","u"),"ü","u"),"ñ","n"),"à","a"),"è","e"),"ì","i"),"ò","o"),"ù","u"))</f>
        <v/>
      </c>
      <c r="N943" s="25">
        <f>IF(F943="","",SUBSTITUTE(SUBSTITUTE(SUBSTITUTE(SUBSTITUTE(SUBSTITUTE(SUBSTITUTE(SUBSTITUTE(SUBSTITUTE(SUBSTITUTE(SUBSTITUTE(SUBSTITUTE(SUBSTITUTE(LOWER(TRIM(F943)),"á","a"),"é","e"),"í","i"),"ó","o"),"ú","u"),"ü","u"),"ñ","n"),"à","a"),"è","e"),"ì","i"),"ò","o"),"ù","u"))</f>
        <v/>
      </c>
      <c r="O943" s="25">
        <f>IF(M943="confiable",2,IF(M943="dudosa",1,IF(M943="no confiable",0,"")))</f>
        <v/>
      </c>
      <c r="P943" s="25">
        <f>IF(N943="confiable",2,IF(N943="dudosa",1,IF(N943="no confiable",0,"")))</f>
        <v/>
      </c>
      <c r="Q943" s="25">
        <f>IF(AND(ISNUMBER(O943),ISNUMBER(P943)),1,"")</f>
        <v/>
      </c>
      <c r="R943" s="25">
        <f>IF(Q943=1,IF(O943=P943,"Sí","No"),"")</f>
        <v/>
      </c>
      <c r="S943" s="25">
        <f>IF(Q943=1,IF(P943&lt;O943,"Más estricto",IF(P943&gt;O943,"Más permisivo","Igual")),"")</f>
        <v/>
      </c>
      <c r="T943" s="25">
        <f>IF(Q943=1,IF(ABS(O943-P943)=2,1,0),"")</f>
        <v/>
      </c>
      <c r="U943" s="25">
        <f>IF(H943="","","|"&amp;SUBSTITUTE(SUBSTITUTE(TRIM(H943)," |","|"),"| ","|")&amp;"|")</f>
        <v/>
      </c>
      <c r="V943" s="25">
        <f>IF(AND(Q943=1,B943&lt;&gt;""),IF(IFERROR(COUNTIFS(B$3:B943,"="&amp;SUBSTITUTE(SUBSTITUTE(SUBSTITUTE(B943,"~","~~"),"*","~*"),"?","~?"),Q$3:Q943,1),0)=1,MAX(V$2:V942)+1,""),"")</f>
        <v/>
      </c>
      <c r="W943" s="25">
        <f>IF(V943="","",COUNTIFS($B$3:$B$1002,"="&amp;SUBSTITUTE(SUBSTITUTE(SUBSTITUTE(B943,"~","~~"),"*","~*"),"?","~?"),$Q$3:$Q$1002,1)*10000-V943)</f>
        <v/>
      </c>
      <c r="X943" s="25">
        <f>IF(Q943=1,IF(SUBSTITUTE(SUBSTITUTE(SUBSTITUTE(SUBSTITUTE(SUBSTITUTE(SUBSTITUTE(SUBSTITUTE(SUBSTITUTE(SUBSTITUTE(SUBSTITUTE(SUBSTITUTE(SUBSTITUTE(LOWER(TRIM(A943)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943)),"á","a"),"é","e"),"í","i"),"ó","o"),"ú","u"),"ü","u"),"ñ","n"),"à","a"),"è","e"),"ì","i"),"ò","o"),"ù","u")),"")</f>
        <v/>
      </c>
      <c r="Y943" s="25">
        <f>IF(X943="","",IF(IFERROR(COUNTIF(X$3:X943,"="&amp;SUBSTITUTE(SUBSTITUTE(SUBSTITUTE(X943,"~","~~"),"*","~*"),"?","~?")),0)=1,1,""))</f>
        <v/>
      </c>
      <c r="Z943" s="25">
        <f>IF(T943=1,MAX(Z$2:Z942)+1,"")</f>
        <v/>
      </c>
    </row>
    <row r="944">
      <c r="A944">
        <f>IF(A$2=0,"",IFERROR(TRIM(INDEX('Pegar calibracion'!$A$1:$BZ$1001,943,A$2)&amp;""),""))</f>
        <v/>
      </c>
      <c r="B944">
        <f>IF(B$2=0,"",IFERROR(TRIM(INDEX('Pegar calibracion'!$A$1:$BZ$1001,943,B$2)&amp;""),""))</f>
        <v/>
      </c>
      <c r="C944">
        <f>IF(C$2=0,"",IFERROR(TRIM(INDEX('Pegar calibracion'!$A$1:$BZ$1001,943,C$2)&amp;""),""))</f>
        <v/>
      </c>
      <c r="D944">
        <f>IF(D$2=0,"",IFERROR(TRIM(INDEX('Pegar calibracion'!$A$1:$BZ$1001,943,D$2)&amp;""),""))</f>
        <v/>
      </c>
      <c r="E944">
        <f>IF(E$2=0,"",IFERROR(TRIM(INDEX('Pegar calibracion'!$A$1:$BZ$1001,943,E$2)&amp;""),""))</f>
        <v/>
      </c>
      <c r="F944">
        <f>IF(F$2=0,"",IFERROR(TRIM(INDEX('Pegar calibracion'!$A$1:$BZ$1001,943,F$2)&amp;""),""))</f>
        <v/>
      </c>
      <c r="G944">
        <f>IF(G$2=0,"",IFERROR(TRIM(INDEX('Pegar calibracion'!$A$1:$BZ$1001,943,G$2)&amp;""),""))</f>
        <v/>
      </c>
      <c r="H944">
        <f>IF(H$2=0,"",IFERROR(TRIM(INDEX('Pegar calibracion'!$A$1:$BZ$1001,943,H$2)&amp;""),""))</f>
        <v/>
      </c>
      <c r="I944">
        <f>IF(I$2=0,"",IFERROR(TRIM(INDEX('Pegar calibracion'!$A$1:$BZ$1001,943,I$2)&amp;""),""))</f>
        <v/>
      </c>
      <c r="J944">
        <f>IF(J$2=0,"",IFERROR(TRIM(INDEX('Pegar calibracion'!$A$1:$BZ$1001,943,J$2)&amp;""),""))</f>
        <v/>
      </c>
      <c r="K944">
        <f>IF(K$2=0,"",IFERROR(TRIM(INDEX('Pegar calibracion'!$A$1:$BZ$1001,943,K$2)&amp;""),""))</f>
        <v/>
      </c>
      <c r="L944">
        <f>IF(L$2=0,"",IFERROR(TRIM(INDEX('Pegar calibracion'!$A$1:$BZ$1001,943,L$2)&amp;""),""))</f>
        <v/>
      </c>
      <c r="M944" s="25">
        <f>IF(D944="","",SUBSTITUTE(SUBSTITUTE(SUBSTITUTE(SUBSTITUTE(SUBSTITUTE(SUBSTITUTE(SUBSTITUTE(SUBSTITUTE(SUBSTITUTE(SUBSTITUTE(SUBSTITUTE(SUBSTITUTE(LOWER(TRIM(D944)),"á","a"),"é","e"),"í","i"),"ó","o"),"ú","u"),"ü","u"),"ñ","n"),"à","a"),"è","e"),"ì","i"),"ò","o"),"ù","u"))</f>
        <v/>
      </c>
      <c r="N944" s="25">
        <f>IF(F944="","",SUBSTITUTE(SUBSTITUTE(SUBSTITUTE(SUBSTITUTE(SUBSTITUTE(SUBSTITUTE(SUBSTITUTE(SUBSTITUTE(SUBSTITUTE(SUBSTITUTE(SUBSTITUTE(SUBSTITUTE(LOWER(TRIM(F944)),"á","a"),"é","e"),"í","i"),"ó","o"),"ú","u"),"ü","u"),"ñ","n"),"à","a"),"è","e"),"ì","i"),"ò","o"),"ù","u"))</f>
        <v/>
      </c>
      <c r="O944" s="25">
        <f>IF(M944="confiable",2,IF(M944="dudosa",1,IF(M944="no confiable",0,"")))</f>
        <v/>
      </c>
      <c r="P944" s="25">
        <f>IF(N944="confiable",2,IF(N944="dudosa",1,IF(N944="no confiable",0,"")))</f>
        <v/>
      </c>
      <c r="Q944" s="25">
        <f>IF(AND(ISNUMBER(O944),ISNUMBER(P944)),1,"")</f>
        <v/>
      </c>
      <c r="R944" s="25">
        <f>IF(Q944=1,IF(O944=P944,"Sí","No"),"")</f>
        <v/>
      </c>
      <c r="S944" s="25">
        <f>IF(Q944=1,IF(P944&lt;O944,"Más estricto",IF(P944&gt;O944,"Más permisivo","Igual")),"")</f>
        <v/>
      </c>
      <c r="T944" s="25">
        <f>IF(Q944=1,IF(ABS(O944-P944)=2,1,0),"")</f>
        <v/>
      </c>
      <c r="U944" s="25">
        <f>IF(H944="","","|"&amp;SUBSTITUTE(SUBSTITUTE(TRIM(H944)," |","|"),"| ","|")&amp;"|")</f>
        <v/>
      </c>
      <c r="V944" s="25">
        <f>IF(AND(Q944=1,B944&lt;&gt;""),IF(IFERROR(COUNTIFS(B$3:B944,"="&amp;SUBSTITUTE(SUBSTITUTE(SUBSTITUTE(B944,"~","~~"),"*","~*"),"?","~?"),Q$3:Q944,1),0)=1,MAX(V$2:V943)+1,""),"")</f>
        <v/>
      </c>
      <c r="W944" s="25">
        <f>IF(V944="","",COUNTIFS($B$3:$B$1002,"="&amp;SUBSTITUTE(SUBSTITUTE(SUBSTITUTE(B944,"~","~~"),"*","~*"),"?","~?"),$Q$3:$Q$1002,1)*10000-V944)</f>
        <v/>
      </c>
      <c r="X944" s="25">
        <f>IF(Q944=1,IF(SUBSTITUTE(SUBSTITUTE(SUBSTITUTE(SUBSTITUTE(SUBSTITUTE(SUBSTITUTE(SUBSTITUTE(SUBSTITUTE(SUBSTITUTE(SUBSTITUTE(SUBSTITUTE(SUBSTITUTE(LOWER(TRIM(A944)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944)),"á","a"),"é","e"),"í","i"),"ó","o"),"ú","u"),"ü","u"),"ñ","n"),"à","a"),"è","e"),"ì","i"),"ò","o"),"ù","u")),"")</f>
        <v/>
      </c>
      <c r="Y944" s="25">
        <f>IF(X944="","",IF(IFERROR(COUNTIF(X$3:X944,"="&amp;SUBSTITUTE(SUBSTITUTE(SUBSTITUTE(X944,"~","~~"),"*","~*"),"?","~?")),0)=1,1,""))</f>
        <v/>
      </c>
      <c r="Z944" s="25">
        <f>IF(T944=1,MAX(Z$2:Z943)+1,"")</f>
        <v/>
      </c>
    </row>
    <row r="945">
      <c r="A945">
        <f>IF(A$2=0,"",IFERROR(TRIM(INDEX('Pegar calibracion'!$A$1:$BZ$1001,944,A$2)&amp;""),""))</f>
        <v/>
      </c>
      <c r="B945">
        <f>IF(B$2=0,"",IFERROR(TRIM(INDEX('Pegar calibracion'!$A$1:$BZ$1001,944,B$2)&amp;""),""))</f>
        <v/>
      </c>
      <c r="C945">
        <f>IF(C$2=0,"",IFERROR(TRIM(INDEX('Pegar calibracion'!$A$1:$BZ$1001,944,C$2)&amp;""),""))</f>
        <v/>
      </c>
      <c r="D945">
        <f>IF(D$2=0,"",IFERROR(TRIM(INDEX('Pegar calibracion'!$A$1:$BZ$1001,944,D$2)&amp;""),""))</f>
        <v/>
      </c>
      <c r="E945">
        <f>IF(E$2=0,"",IFERROR(TRIM(INDEX('Pegar calibracion'!$A$1:$BZ$1001,944,E$2)&amp;""),""))</f>
        <v/>
      </c>
      <c r="F945">
        <f>IF(F$2=0,"",IFERROR(TRIM(INDEX('Pegar calibracion'!$A$1:$BZ$1001,944,F$2)&amp;""),""))</f>
        <v/>
      </c>
      <c r="G945">
        <f>IF(G$2=0,"",IFERROR(TRIM(INDEX('Pegar calibracion'!$A$1:$BZ$1001,944,G$2)&amp;""),""))</f>
        <v/>
      </c>
      <c r="H945">
        <f>IF(H$2=0,"",IFERROR(TRIM(INDEX('Pegar calibracion'!$A$1:$BZ$1001,944,H$2)&amp;""),""))</f>
        <v/>
      </c>
      <c r="I945">
        <f>IF(I$2=0,"",IFERROR(TRIM(INDEX('Pegar calibracion'!$A$1:$BZ$1001,944,I$2)&amp;""),""))</f>
        <v/>
      </c>
      <c r="J945">
        <f>IF(J$2=0,"",IFERROR(TRIM(INDEX('Pegar calibracion'!$A$1:$BZ$1001,944,J$2)&amp;""),""))</f>
        <v/>
      </c>
      <c r="K945">
        <f>IF(K$2=0,"",IFERROR(TRIM(INDEX('Pegar calibracion'!$A$1:$BZ$1001,944,K$2)&amp;""),""))</f>
        <v/>
      </c>
      <c r="L945">
        <f>IF(L$2=0,"",IFERROR(TRIM(INDEX('Pegar calibracion'!$A$1:$BZ$1001,944,L$2)&amp;""),""))</f>
        <v/>
      </c>
      <c r="M945" s="25">
        <f>IF(D945="","",SUBSTITUTE(SUBSTITUTE(SUBSTITUTE(SUBSTITUTE(SUBSTITUTE(SUBSTITUTE(SUBSTITUTE(SUBSTITUTE(SUBSTITUTE(SUBSTITUTE(SUBSTITUTE(SUBSTITUTE(LOWER(TRIM(D945)),"á","a"),"é","e"),"í","i"),"ó","o"),"ú","u"),"ü","u"),"ñ","n"),"à","a"),"è","e"),"ì","i"),"ò","o"),"ù","u"))</f>
        <v/>
      </c>
      <c r="N945" s="25">
        <f>IF(F945="","",SUBSTITUTE(SUBSTITUTE(SUBSTITUTE(SUBSTITUTE(SUBSTITUTE(SUBSTITUTE(SUBSTITUTE(SUBSTITUTE(SUBSTITUTE(SUBSTITUTE(SUBSTITUTE(SUBSTITUTE(LOWER(TRIM(F945)),"á","a"),"é","e"),"í","i"),"ó","o"),"ú","u"),"ü","u"),"ñ","n"),"à","a"),"è","e"),"ì","i"),"ò","o"),"ù","u"))</f>
        <v/>
      </c>
      <c r="O945" s="25">
        <f>IF(M945="confiable",2,IF(M945="dudosa",1,IF(M945="no confiable",0,"")))</f>
        <v/>
      </c>
      <c r="P945" s="25">
        <f>IF(N945="confiable",2,IF(N945="dudosa",1,IF(N945="no confiable",0,"")))</f>
        <v/>
      </c>
      <c r="Q945" s="25">
        <f>IF(AND(ISNUMBER(O945),ISNUMBER(P945)),1,"")</f>
        <v/>
      </c>
      <c r="R945" s="25">
        <f>IF(Q945=1,IF(O945=P945,"Sí","No"),"")</f>
        <v/>
      </c>
      <c r="S945" s="25">
        <f>IF(Q945=1,IF(P945&lt;O945,"Más estricto",IF(P945&gt;O945,"Más permisivo","Igual")),"")</f>
        <v/>
      </c>
      <c r="T945" s="25">
        <f>IF(Q945=1,IF(ABS(O945-P945)=2,1,0),"")</f>
        <v/>
      </c>
      <c r="U945" s="25">
        <f>IF(H945="","","|"&amp;SUBSTITUTE(SUBSTITUTE(TRIM(H945)," |","|"),"| ","|")&amp;"|")</f>
        <v/>
      </c>
      <c r="V945" s="25">
        <f>IF(AND(Q945=1,B945&lt;&gt;""),IF(IFERROR(COUNTIFS(B$3:B945,"="&amp;SUBSTITUTE(SUBSTITUTE(SUBSTITUTE(B945,"~","~~"),"*","~*"),"?","~?"),Q$3:Q945,1),0)=1,MAX(V$2:V944)+1,""),"")</f>
        <v/>
      </c>
      <c r="W945" s="25">
        <f>IF(V945="","",COUNTIFS($B$3:$B$1002,"="&amp;SUBSTITUTE(SUBSTITUTE(SUBSTITUTE(B945,"~","~~"),"*","~*"),"?","~?"),$Q$3:$Q$1002,1)*10000-V945)</f>
        <v/>
      </c>
      <c r="X945" s="25">
        <f>IF(Q945=1,IF(SUBSTITUTE(SUBSTITUTE(SUBSTITUTE(SUBSTITUTE(SUBSTITUTE(SUBSTITUTE(SUBSTITUTE(SUBSTITUTE(SUBSTITUTE(SUBSTITUTE(SUBSTITUTE(SUBSTITUTE(LOWER(TRIM(A945)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945)),"á","a"),"é","e"),"í","i"),"ó","o"),"ú","u"),"ü","u"),"ñ","n"),"à","a"),"è","e"),"ì","i"),"ò","o"),"ù","u")),"")</f>
        <v/>
      </c>
      <c r="Y945" s="25">
        <f>IF(X945="","",IF(IFERROR(COUNTIF(X$3:X945,"="&amp;SUBSTITUTE(SUBSTITUTE(SUBSTITUTE(X945,"~","~~"),"*","~*"),"?","~?")),0)=1,1,""))</f>
        <v/>
      </c>
      <c r="Z945" s="25">
        <f>IF(T945=1,MAX(Z$2:Z944)+1,"")</f>
        <v/>
      </c>
    </row>
    <row r="946">
      <c r="A946">
        <f>IF(A$2=0,"",IFERROR(TRIM(INDEX('Pegar calibracion'!$A$1:$BZ$1001,945,A$2)&amp;""),""))</f>
        <v/>
      </c>
      <c r="B946">
        <f>IF(B$2=0,"",IFERROR(TRIM(INDEX('Pegar calibracion'!$A$1:$BZ$1001,945,B$2)&amp;""),""))</f>
        <v/>
      </c>
      <c r="C946">
        <f>IF(C$2=0,"",IFERROR(TRIM(INDEX('Pegar calibracion'!$A$1:$BZ$1001,945,C$2)&amp;""),""))</f>
        <v/>
      </c>
      <c r="D946">
        <f>IF(D$2=0,"",IFERROR(TRIM(INDEX('Pegar calibracion'!$A$1:$BZ$1001,945,D$2)&amp;""),""))</f>
        <v/>
      </c>
      <c r="E946">
        <f>IF(E$2=0,"",IFERROR(TRIM(INDEX('Pegar calibracion'!$A$1:$BZ$1001,945,E$2)&amp;""),""))</f>
        <v/>
      </c>
      <c r="F946">
        <f>IF(F$2=0,"",IFERROR(TRIM(INDEX('Pegar calibracion'!$A$1:$BZ$1001,945,F$2)&amp;""),""))</f>
        <v/>
      </c>
      <c r="G946">
        <f>IF(G$2=0,"",IFERROR(TRIM(INDEX('Pegar calibracion'!$A$1:$BZ$1001,945,G$2)&amp;""),""))</f>
        <v/>
      </c>
      <c r="H946">
        <f>IF(H$2=0,"",IFERROR(TRIM(INDEX('Pegar calibracion'!$A$1:$BZ$1001,945,H$2)&amp;""),""))</f>
        <v/>
      </c>
      <c r="I946">
        <f>IF(I$2=0,"",IFERROR(TRIM(INDEX('Pegar calibracion'!$A$1:$BZ$1001,945,I$2)&amp;""),""))</f>
        <v/>
      </c>
      <c r="J946">
        <f>IF(J$2=0,"",IFERROR(TRIM(INDEX('Pegar calibracion'!$A$1:$BZ$1001,945,J$2)&amp;""),""))</f>
        <v/>
      </c>
      <c r="K946">
        <f>IF(K$2=0,"",IFERROR(TRIM(INDEX('Pegar calibracion'!$A$1:$BZ$1001,945,K$2)&amp;""),""))</f>
        <v/>
      </c>
      <c r="L946">
        <f>IF(L$2=0,"",IFERROR(TRIM(INDEX('Pegar calibracion'!$A$1:$BZ$1001,945,L$2)&amp;""),""))</f>
        <v/>
      </c>
      <c r="M946" s="25">
        <f>IF(D946="","",SUBSTITUTE(SUBSTITUTE(SUBSTITUTE(SUBSTITUTE(SUBSTITUTE(SUBSTITUTE(SUBSTITUTE(SUBSTITUTE(SUBSTITUTE(SUBSTITUTE(SUBSTITUTE(SUBSTITUTE(LOWER(TRIM(D946)),"á","a"),"é","e"),"í","i"),"ó","o"),"ú","u"),"ü","u"),"ñ","n"),"à","a"),"è","e"),"ì","i"),"ò","o"),"ù","u"))</f>
        <v/>
      </c>
      <c r="N946" s="25">
        <f>IF(F946="","",SUBSTITUTE(SUBSTITUTE(SUBSTITUTE(SUBSTITUTE(SUBSTITUTE(SUBSTITUTE(SUBSTITUTE(SUBSTITUTE(SUBSTITUTE(SUBSTITUTE(SUBSTITUTE(SUBSTITUTE(LOWER(TRIM(F946)),"á","a"),"é","e"),"í","i"),"ó","o"),"ú","u"),"ü","u"),"ñ","n"),"à","a"),"è","e"),"ì","i"),"ò","o"),"ù","u"))</f>
        <v/>
      </c>
      <c r="O946" s="25">
        <f>IF(M946="confiable",2,IF(M946="dudosa",1,IF(M946="no confiable",0,"")))</f>
        <v/>
      </c>
      <c r="P946" s="25">
        <f>IF(N946="confiable",2,IF(N946="dudosa",1,IF(N946="no confiable",0,"")))</f>
        <v/>
      </c>
      <c r="Q946" s="25">
        <f>IF(AND(ISNUMBER(O946),ISNUMBER(P946)),1,"")</f>
        <v/>
      </c>
      <c r="R946" s="25">
        <f>IF(Q946=1,IF(O946=P946,"Sí","No"),"")</f>
        <v/>
      </c>
      <c r="S946" s="25">
        <f>IF(Q946=1,IF(P946&lt;O946,"Más estricto",IF(P946&gt;O946,"Más permisivo","Igual")),"")</f>
        <v/>
      </c>
      <c r="T946" s="25">
        <f>IF(Q946=1,IF(ABS(O946-P946)=2,1,0),"")</f>
        <v/>
      </c>
      <c r="U946" s="25">
        <f>IF(H946="","","|"&amp;SUBSTITUTE(SUBSTITUTE(TRIM(H946)," |","|"),"| ","|")&amp;"|")</f>
        <v/>
      </c>
      <c r="V946" s="25">
        <f>IF(AND(Q946=1,B946&lt;&gt;""),IF(IFERROR(COUNTIFS(B$3:B946,"="&amp;SUBSTITUTE(SUBSTITUTE(SUBSTITUTE(B946,"~","~~"),"*","~*"),"?","~?"),Q$3:Q946,1),0)=1,MAX(V$2:V945)+1,""),"")</f>
        <v/>
      </c>
      <c r="W946" s="25">
        <f>IF(V946="","",COUNTIFS($B$3:$B$1002,"="&amp;SUBSTITUTE(SUBSTITUTE(SUBSTITUTE(B946,"~","~~"),"*","~*"),"?","~?"),$Q$3:$Q$1002,1)*10000-V946)</f>
        <v/>
      </c>
      <c r="X946" s="25">
        <f>IF(Q946=1,IF(SUBSTITUTE(SUBSTITUTE(SUBSTITUTE(SUBSTITUTE(SUBSTITUTE(SUBSTITUTE(SUBSTITUTE(SUBSTITUTE(SUBSTITUTE(SUBSTITUTE(SUBSTITUTE(SUBSTITUTE(LOWER(TRIM(A946)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946)),"á","a"),"é","e"),"í","i"),"ó","o"),"ú","u"),"ü","u"),"ñ","n"),"à","a"),"è","e"),"ì","i"),"ò","o"),"ù","u")),"")</f>
        <v/>
      </c>
      <c r="Y946" s="25">
        <f>IF(X946="","",IF(IFERROR(COUNTIF(X$3:X946,"="&amp;SUBSTITUTE(SUBSTITUTE(SUBSTITUTE(X946,"~","~~"),"*","~*"),"?","~?")),0)=1,1,""))</f>
        <v/>
      </c>
      <c r="Z946" s="25">
        <f>IF(T946=1,MAX(Z$2:Z945)+1,"")</f>
        <v/>
      </c>
    </row>
    <row r="947">
      <c r="A947">
        <f>IF(A$2=0,"",IFERROR(TRIM(INDEX('Pegar calibracion'!$A$1:$BZ$1001,946,A$2)&amp;""),""))</f>
        <v/>
      </c>
      <c r="B947">
        <f>IF(B$2=0,"",IFERROR(TRIM(INDEX('Pegar calibracion'!$A$1:$BZ$1001,946,B$2)&amp;""),""))</f>
        <v/>
      </c>
      <c r="C947">
        <f>IF(C$2=0,"",IFERROR(TRIM(INDEX('Pegar calibracion'!$A$1:$BZ$1001,946,C$2)&amp;""),""))</f>
        <v/>
      </c>
      <c r="D947">
        <f>IF(D$2=0,"",IFERROR(TRIM(INDEX('Pegar calibracion'!$A$1:$BZ$1001,946,D$2)&amp;""),""))</f>
        <v/>
      </c>
      <c r="E947">
        <f>IF(E$2=0,"",IFERROR(TRIM(INDEX('Pegar calibracion'!$A$1:$BZ$1001,946,E$2)&amp;""),""))</f>
        <v/>
      </c>
      <c r="F947">
        <f>IF(F$2=0,"",IFERROR(TRIM(INDEX('Pegar calibracion'!$A$1:$BZ$1001,946,F$2)&amp;""),""))</f>
        <v/>
      </c>
      <c r="G947">
        <f>IF(G$2=0,"",IFERROR(TRIM(INDEX('Pegar calibracion'!$A$1:$BZ$1001,946,G$2)&amp;""),""))</f>
        <v/>
      </c>
      <c r="H947">
        <f>IF(H$2=0,"",IFERROR(TRIM(INDEX('Pegar calibracion'!$A$1:$BZ$1001,946,H$2)&amp;""),""))</f>
        <v/>
      </c>
      <c r="I947">
        <f>IF(I$2=0,"",IFERROR(TRIM(INDEX('Pegar calibracion'!$A$1:$BZ$1001,946,I$2)&amp;""),""))</f>
        <v/>
      </c>
      <c r="J947">
        <f>IF(J$2=0,"",IFERROR(TRIM(INDEX('Pegar calibracion'!$A$1:$BZ$1001,946,J$2)&amp;""),""))</f>
        <v/>
      </c>
      <c r="K947">
        <f>IF(K$2=0,"",IFERROR(TRIM(INDEX('Pegar calibracion'!$A$1:$BZ$1001,946,K$2)&amp;""),""))</f>
        <v/>
      </c>
      <c r="L947">
        <f>IF(L$2=0,"",IFERROR(TRIM(INDEX('Pegar calibracion'!$A$1:$BZ$1001,946,L$2)&amp;""),""))</f>
        <v/>
      </c>
      <c r="M947" s="25">
        <f>IF(D947="","",SUBSTITUTE(SUBSTITUTE(SUBSTITUTE(SUBSTITUTE(SUBSTITUTE(SUBSTITUTE(SUBSTITUTE(SUBSTITUTE(SUBSTITUTE(SUBSTITUTE(SUBSTITUTE(SUBSTITUTE(LOWER(TRIM(D947)),"á","a"),"é","e"),"í","i"),"ó","o"),"ú","u"),"ü","u"),"ñ","n"),"à","a"),"è","e"),"ì","i"),"ò","o"),"ù","u"))</f>
        <v/>
      </c>
      <c r="N947" s="25">
        <f>IF(F947="","",SUBSTITUTE(SUBSTITUTE(SUBSTITUTE(SUBSTITUTE(SUBSTITUTE(SUBSTITUTE(SUBSTITUTE(SUBSTITUTE(SUBSTITUTE(SUBSTITUTE(SUBSTITUTE(SUBSTITUTE(LOWER(TRIM(F947)),"á","a"),"é","e"),"í","i"),"ó","o"),"ú","u"),"ü","u"),"ñ","n"),"à","a"),"è","e"),"ì","i"),"ò","o"),"ù","u"))</f>
        <v/>
      </c>
      <c r="O947" s="25">
        <f>IF(M947="confiable",2,IF(M947="dudosa",1,IF(M947="no confiable",0,"")))</f>
        <v/>
      </c>
      <c r="P947" s="25">
        <f>IF(N947="confiable",2,IF(N947="dudosa",1,IF(N947="no confiable",0,"")))</f>
        <v/>
      </c>
      <c r="Q947" s="25">
        <f>IF(AND(ISNUMBER(O947),ISNUMBER(P947)),1,"")</f>
        <v/>
      </c>
      <c r="R947" s="25">
        <f>IF(Q947=1,IF(O947=P947,"Sí","No"),"")</f>
        <v/>
      </c>
      <c r="S947" s="25">
        <f>IF(Q947=1,IF(P947&lt;O947,"Más estricto",IF(P947&gt;O947,"Más permisivo","Igual")),"")</f>
        <v/>
      </c>
      <c r="T947" s="25">
        <f>IF(Q947=1,IF(ABS(O947-P947)=2,1,0),"")</f>
        <v/>
      </c>
      <c r="U947" s="25">
        <f>IF(H947="","","|"&amp;SUBSTITUTE(SUBSTITUTE(TRIM(H947)," |","|"),"| ","|")&amp;"|")</f>
        <v/>
      </c>
      <c r="V947" s="25">
        <f>IF(AND(Q947=1,B947&lt;&gt;""),IF(IFERROR(COUNTIFS(B$3:B947,"="&amp;SUBSTITUTE(SUBSTITUTE(SUBSTITUTE(B947,"~","~~"),"*","~*"),"?","~?"),Q$3:Q947,1),0)=1,MAX(V$2:V946)+1,""),"")</f>
        <v/>
      </c>
      <c r="W947" s="25">
        <f>IF(V947="","",COUNTIFS($B$3:$B$1002,"="&amp;SUBSTITUTE(SUBSTITUTE(SUBSTITUTE(B947,"~","~~"),"*","~*"),"?","~?"),$Q$3:$Q$1002,1)*10000-V947)</f>
        <v/>
      </c>
      <c r="X947" s="25">
        <f>IF(Q947=1,IF(SUBSTITUTE(SUBSTITUTE(SUBSTITUTE(SUBSTITUTE(SUBSTITUTE(SUBSTITUTE(SUBSTITUTE(SUBSTITUTE(SUBSTITUTE(SUBSTITUTE(SUBSTITUTE(SUBSTITUTE(LOWER(TRIM(A947)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947)),"á","a"),"é","e"),"í","i"),"ó","o"),"ú","u"),"ü","u"),"ñ","n"),"à","a"),"è","e"),"ì","i"),"ò","o"),"ù","u")),"")</f>
        <v/>
      </c>
      <c r="Y947" s="25">
        <f>IF(X947="","",IF(IFERROR(COUNTIF(X$3:X947,"="&amp;SUBSTITUTE(SUBSTITUTE(SUBSTITUTE(X947,"~","~~"),"*","~*"),"?","~?")),0)=1,1,""))</f>
        <v/>
      </c>
      <c r="Z947" s="25">
        <f>IF(T947=1,MAX(Z$2:Z946)+1,"")</f>
        <v/>
      </c>
    </row>
    <row r="948">
      <c r="A948">
        <f>IF(A$2=0,"",IFERROR(TRIM(INDEX('Pegar calibracion'!$A$1:$BZ$1001,947,A$2)&amp;""),""))</f>
        <v/>
      </c>
      <c r="B948">
        <f>IF(B$2=0,"",IFERROR(TRIM(INDEX('Pegar calibracion'!$A$1:$BZ$1001,947,B$2)&amp;""),""))</f>
        <v/>
      </c>
      <c r="C948">
        <f>IF(C$2=0,"",IFERROR(TRIM(INDEX('Pegar calibracion'!$A$1:$BZ$1001,947,C$2)&amp;""),""))</f>
        <v/>
      </c>
      <c r="D948">
        <f>IF(D$2=0,"",IFERROR(TRIM(INDEX('Pegar calibracion'!$A$1:$BZ$1001,947,D$2)&amp;""),""))</f>
        <v/>
      </c>
      <c r="E948">
        <f>IF(E$2=0,"",IFERROR(TRIM(INDEX('Pegar calibracion'!$A$1:$BZ$1001,947,E$2)&amp;""),""))</f>
        <v/>
      </c>
      <c r="F948">
        <f>IF(F$2=0,"",IFERROR(TRIM(INDEX('Pegar calibracion'!$A$1:$BZ$1001,947,F$2)&amp;""),""))</f>
        <v/>
      </c>
      <c r="G948">
        <f>IF(G$2=0,"",IFERROR(TRIM(INDEX('Pegar calibracion'!$A$1:$BZ$1001,947,G$2)&amp;""),""))</f>
        <v/>
      </c>
      <c r="H948">
        <f>IF(H$2=0,"",IFERROR(TRIM(INDEX('Pegar calibracion'!$A$1:$BZ$1001,947,H$2)&amp;""),""))</f>
        <v/>
      </c>
      <c r="I948">
        <f>IF(I$2=0,"",IFERROR(TRIM(INDEX('Pegar calibracion'!$A$1:$BZ$1001,947,I$2)&amp;""),""))</f>
        <v/>
      </c>
      <c r="J948">
        <f>IF(J$2=0,"",IFERROR(TRIM(INDEX('Pegar calibracion'!$A$1:$BZ$1001,947,J$2)&amp;""),""))</f>
        <v/>
      </c>
      <c r="K948">
        <f>IF(K$2=0,"",IFERROR(TRIM(INDEX('Pegar calibracion'!$A$1:$BZ$1001,947,K$2)&amp;""),""))</f>
        <v/>
      </c>
      <c r="L948">
        <f>IF(L$2=0,"",IFERROR(TRIM(INDEX('Pegar calibracion'!$A$1:$BZ$1001,947,L$2)&amp;""),""))</f>
        <v/>
      </c>
      <c r="M948" s="25">
        <f>IF(D948="","",SUBSTITUTE(SUBSTITUTE(SUBSTITUTE(SUBSTITUTE(SUBSTITUTE(SUBSTITUTE(SUBSTITUTE(SUBSTITUTE(SUBSTITUTE(SUBSTITUTE(SUBSTITUTE(SUBSTITUTE(LOWER(TRIM(D948)),"á","a"),"é","e"),"í","i"),"ó","o"),"ú","u"),"ü","u"),"ñ","n"),"à","a"),"è","e"),"ì","i"),"ò","o"),"ù","u"))</f>
        <v/>
      </c>
      <c r="N948" s="25">
        <f>IF(F948="","",SUBSTITUTE(SUBSTITUTE(SUBSTITUTE(SUBSTITUTE(SUBSTITUTE(SUBSTITUTE(SUBSTITUTE(SUBSTITUTE(SUBSTITUTE(SUBSTITUTE(SUBSTITUTE(SUBSTITUTE(LOWER(TRIM(F948)),"á","a"),"é","e"),"í","i"),"ó","o"),"ú","u"),"ü","u"),"ñ","n"),"à","a"),"è","e"),"ì","i"),"ò","o"),"ù","u"))</f>
        <v/>
      </c>
      <c r="O948" s="25">
        <f>IF(M948="confiable",2,IF(M948="dudosa",1,IF(M948="no confiable",0,"")))</f>
        <v/>
      </c>
      <c r="P948" s="25">
        <f>IF(N948="confiable",2,IF(N948="dudosa",1,IF(N948="no confiable",0,"")))</f>
        <v/>
      </c>
      <c r="Q948" s="25">
        <f>IF(AND(ISNUMBER(O948),ISNUMBER(P948)),1,"")</f>
        <v/>
      </c>
      <c r="R948" s="25">
        <f>IF(Q948=1,IF(O948=P948,"Sí","No"),"")</f>
        <v/>
      </c>
      <c r="S948" s="25">
        <f>IF(Q948=1,IF(P948&lt;O948,"Más estricto",IF(P948&gt;O948,"Más permisivo","Igual")),"")</f>
        <v/>
      </c>
      <c r="T948" s="25">
        <f>IF(Q948=1,IF(ABS(O948-P948)=2,1,0),"")</f>
        <v/>
      </c>
      <c r="U948" s="25">
        <f>IF(H948="","","|"&amp;SUBSTITUTE(SUBSTITUTE(TRIM(H948)," |","|"),"| ","|")&amp;"|")</f>
        <v/>
      </c>
      <c r="V948" s="25">
        <f>IF(AND(Q948=1,B948&lt;&gt;""),IF(IFERROR(COUNTIFS(B$3:B948,"="&amp;SUBSTITUTE(SUBSTITUTE(SUBSTITUTE(B948,"~","~~"),"*","~*"),"?","~?"),Q$3:Q948,1),0)=1,MAX(V$2:V947)+1,""),"")</f>
        <v/>
      </c>
      <c r="W948" s="25">
        <f>IF(V948="","",COUNTIFS($B$3:$B$1002,"="&amp;SUBSTITUTE(SUBSTITUTE(SUBSTITUTE(B948,"~","~~"),"*","~*"),"?","~?"),$Q$3:$Q$1002,1)*10000-V948)</f>
        <v/>
      </c>
      <c r="X948" s="25">
        <f>IF(Q948=1,IF(SUBSTITUTE(SUBSTITUTE(SUBSTITUTE(SUBSTITUTE(SUBSTITUTE(SUBSTITUTE(SUBSTITUTE(SUBSTITUTE(SUBSTITUTE(SUBSTITUTE(SUBSTITUTE(SUBSTITUTE(LOWER(TRIM(A948)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948)),"á","a"),"é","e"),"í","i"),"ó","o"),"ú","u"),"ü","u"),"ñ","n"),"à","a"),"è","e"),"ì","i"),"ò","o"),"ù","u")),"")</f>
        <v/>
      </c>
      <c r="Y948" s="25">
        <f>IF(X948="","",IF(IFERROR(COUNTIF(X$3:X948,"="&amp;SUBSTITUTE(SUBSTITUTE(SUBSTITUTE(X948,"~","~~"),"*","~*"),"?","~?")),0)=1,1,""))</f>
        <v/>
      </c>
      <c r="Z948" s="25">
        <f>IF(T948=1,MAX(Z$2:Z947)+1,"")</f>
        <v/>
      </c>
    </row>
    <row r="949">
      <c r="A949">
        <f>IF(A$2=0,"",IFERROR(TRIM(INDEX('Pegar calibracion'!$A$1:$BZ$1001,948,A$2)&amp;""),""))</f>
        <v/>
      </c>
      <c r="B949">
        <f>IF(B$2=0,"",IFERROR(TRIM(INDEX('Pegar calibracion'!$A$1:$BZ$1001,948,B$2)&amp;""),""))</f>
        <v/>
      </c>
      <c r="C949">
        <f>IF(C$2=0,"",IFERROR(TRIM(INDEX('Pegar calibracion'!$A$1:$BZ$1001,948,C$2)&amp;""),""))</f>
        <v/>
      </c>
      <c r="D949">
        <f>IF(D$2=0,"",IFERROR(TRIM(INDEX('Pegar calibracion'!$A$1:$BZ$1001,948,D$2)&amp;""),""))</f>
        <v/>
      </c>
      <c r="E949">
        <f>IF(E$2=0,"",IFERROR(TRIM(INDEX('Pegar calibracion'!$A$1:$BZ$1001,948,E$2)&amp;""),""))</f>
        <v/>
      </c>
      <c r="F949">
        <f>IF(F$2=0,"",IFERROR(TRIM(INDEX('Pegar calibracion'!$A$1:$BZ$1001,948,F$2)&amp;""),""))</f>
        <v/>
      </c>
      <c r="G949">
        <f>IF(G$2=0,"",IFERROR(TRIM(INDEX('Pegar calibracion'!$A$1:$BZ$1001,948,G$2)&amp;""),""))</f>
        <v/>
      </c>
      <c r="H949">
        <f>IF(H$2=0,"",IFERROR(TRIM(INDEX('Pegar calibracion'!$A$1:$BZ$1001,948,H$2)&amp;""),""))</f>
        <v/>
      </c>
      <c r="I949">
        <f>IF(I$2=0,"",IFERROR(TRIM(INDEX('Pegar calibracion'!$A$1:$BZ$1001,948,I$2)&amp;""),""))</f>
        <v/>
      </c>
      <c r="J949">
        <f>IF(J$2=0,"",IFERROR(TRIM(INDEX('Pegar calibracion'!$A$1:$BZ$1001,948,J$2)&amp;""),""))</f>
        <v/>
      </c>
      <c r="K949">
        <f>IF(K$2=0,"",IFERROR(TRIM(INDEX('Pegar calibracion'!$A$1:$BZ$1001,948,K$2)&amp;""),""))</f>
        <v/>
      </c>
      <c r="L949">
        <f>IF(L$2=0,"",IFERROR(TRIM(INDEX('Pegar calibracion'!$A$1:$BZ$1001,948,L$2)&amp;""),""))</f>
        <v/>
      </c>
      <c r="M949" s="25">
        <f>IF(D949="","",SUBSTITUTE(SUBSTITUTE(SUBSTITUTE(SUBSTITUTE(SUBSTITUTE(SUBSTITUTE(SUBSTITUTE(SUBSTITUTE(SUBSTITUTE(SUBSTITUTE(SUBSTITUTE(SUBSTITUTE(LOWER(TRIM(D949)),"á","a"),"é","e"),"í","i"),"ó","o"),"ú","u"),"ü","u"),"ñ","n"),"à","a"),"è","e"),"ì","i"),"ò","o"),"ù","u"))</f>
        <v/>
      </c>
      <c r="N949" s="25">
        <f>IF(F949="","",SUBSTITUTE(SUBSTITUTE(SUBSTITUTE(SUBSTITUTE(SUBSTITUTE(SUBSTITUTE(SUBSTITUTE(SUBSTITUTE(SUBSTITUTE(SUBSTITUTE(SUBSTITUTE(SUBSTITUTE(LOWER(TRIM(F949)),"á","a"),"é","e"),"í","i"),"ó","o"),"ú","u"),"ü","u"),"ñ","n"),"à","a"),"è","e"),"ì","i"),"ò","o"),"ù","u"))</f>
        <v/>
      </c>
      <c r="O949" s="25">
        <f>IF(M949="confiable",2,IF(M949="dudosa",1,IF(M949="no confiable",0,"")))</f>
        <v/>
      </c>
      <c r="P949" s="25">
        <f>IF(N949="confiable",2,IF(N949="dudosa",1,IF(N949="no confiable",0,"")))</f>
        <v/>
      </c>
      <c r="Q949" s="25">
        <f>IF(AND(ISNUMBER(O949),ISNUMBER(P949)),1,"")</f>
        <v/>
      </c>
      <c r="R949" s="25">
        <f>IF(Q949=1,IF(O949=P949,"Sí","No"),"")</f>
        <v/>
      </c>
      <c r="S949" s="25">
        <f>IF(Q949=1,IF(P949&lt;O949,"Más estricto",IF(P949&gt;O949,"Más permisivo","Igual")),"")</f>
        <v/>
      </c>
      <c r="T949" s="25">
        <f>IF(Q949=1,IF(ABS(O949-P949)=2,1,0),"")</f>
        <v/>
      </c>
      <c r="U949" s="25">
        <f>IF(H949="","","|"&amp;SUBSTITUTE(SUBSTITUTE(TRIM(H949)," |","|"),"| ","|")&amp;"|")</f>
        <v/>
      </c>
      <c r="V949" s="25">
        <f>IF(AND(Q949=1,B949&lt;&gt;""),IF(IFERROR(COUNTIFS(B$3:B949,"="&amp;SUBSTITUTE(SUBSTITUTE(SUBSTITUTE(B949,"~","~~"),"*","~*"),"?","~?"),Q$3:Q949,1),0)=1,MAX(V$2:V948)+1,""),"")</f>
        <v/>
      </c>
      <c r="W949" s="25">
        <f>IF(V949="","",COUNTIFS($B$3:$B$1002,"="&amp;SUBSTITUTE(SUBSTITUTE(SUBSTITUTE(B949,"~","~~"),"*","~*"),"?","~?"),$Q$3:$Q$1002,1)*10000-V949)</f>
        <v/>
      </c>
      <c r="X949" s="25">
        <f>IF(Q949=1,IF(SUBSTITUTE(SUBSTITUTE(SUBSTITUTE(SUBSTITUTE(SUBSTITUTE(SUBSTITUTE(SUBSTITUTE(SUBSTITUTE(SUBSTITUTE(SUBSTITUTE(SUBSTITUTE(SUBSTITUTE(LOWER(TRIM(A949)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949)),"á","a"),"é","e"),"í","i"),"ó","o"),"ú","u"),"ü","u"),"ñ","n"),"à","a"),"è","e"),"ì","i"),"ò","o"),"ù","u")),"")</f>
        <v/>
      </c>
      <c r="Y949" s="25">
        <f>IF(X949="","",IF(IFERROR(COUNTIF(X$3:X949,"="&amp;SUBSTITUTE(SUBSTITUTE(SUBSTITUTE(X949,"~","~~"),"*","~*"),"?","~?")),0)=1,1,""))</f>
        <v/>
      </c>
      <c r="Z949" s="25">
        <f>IF(T949=1,MAX(Z$2:Z948)+1,"")</f>
        <v/>
      </c>
    </row>
    <row r="950">
      <c r="A950">
        <f>IF(A$2=0,"",IFERROR(TRIM(INDEX('Pegar calibracion'!$A$1:$BZ$1001,949,A$2)&amp;""),""))</f>
        <v/>
      </c>
      <c r="B950">
        <f>IF(B$2=0,"",IFERROR(TRIM(INDEX('Pegar calibracion'!$A$1:$BZ$1001,949,B$2)&amp;""),""))</f>
        <v/>
      </c>
      <c r="C950">
        <f>IF(C$2=0,"",IFERROR(TRIM(INDEX('Pegar calibracion'!$A$1:$BZ$1001,949,C$2)&amp;""),""))</f>
        <v/>
      </c>
      <c r="D950">
        <f>IF(D$2=0,"",IFERROR(TRIM(INDEX('Pegar calibracion'!$A$1:$BZ$1001,949,D$2)&amp;""),""))</f>
        <v/>
      </c>
      <c r="E950">
        <f>IF(E$2=0,"",IFERROR(TRIM(INDEX('Pegar calibracion'!$A$1:$BZ$1001,949,E$2)&amp;""),""))</f>
        <v/>
      </c>
      <c r="F950">
        <f>IF(F$2=0,"",IFERROR(TRIM(INDEX('Pegar calibracion'!$A$1:$BZ$1001,949,F$2)&amp;""),""))</f>
        <v/>
      </c>
      <c r="G950">
        <f>IF(G$2=0,"",IFERROR(TRIM(INDEX('Pegar calibracion'!$A$1:$BZ$1001,949,G$2)&amp;""),""))</f>
        <v/>
      </c>
      <c r="H950">
        <f>IF(H$2=0,"",IFERROR(TRIM(INDEX('Pegar calibracion'!$A$1:$BZ$1001,949,H$2)&amp;""),""))</f>
        <v/>
      </c>
      <c r="I950">
        <f>IF(I$2=0,"",IFERROR(TRIM(INDEX('Pegar calibracion'!$A$1:$BZ$1001,949,I$2)&amp;""),""))</f>
        <v/>
      </c>
      <c r="J950">
        <f>IF(J$2=0,"",IFERROR(TRIM(INDEX('Pegar calibracion'!$A$1:$BZ$1001,949,J$2)&amp;""),""))</f>
        <v/>
      </c>
      <c r="K950">
        <f>IF(K$2=0,"",IFERROR(TRIM(INDEX('Pegar calibracion'!$A$1:$BZ$1001,949,K$2)&amp;""),""))</f>
        <v/>
      </c>
      <c r="L950">
        <f>IF(L$2=0,"",IFERROR(TRIM(INDEX('Pegar calibracion'!$A$1:$BZ$1001,949,L$2)&amp;""),""))</f>
        <v/>
      </c>
      <c r="M950" s="25">
        <f>IF(D950="","",SUBSTITUTE(SUBSTITUTE(SUBSTITUTE(SUBSTITUTE(SUBSTITUTE(SUBSTITUTE(SUBSTITUTE(SUBSTITUTE(SUBSTITUTE(SUBSTITUTE(SUBSTITUTE(SUBSTITUTE(LOWER(TRIM(D950)),"á","a"),"é","e"),"í","i"),"ó","o"),"ú","u"),"ü","u"),"ñ","n"),"à","a"),"è","e"),"ì","i"),"ò","o"),"ù","u"))</f>
        <v/>
      </c>
      <c r="N950" s="25">
        <f>IF(F950="","",SUBSTITUTE(SUBSTITUTE(SUBSTITUTE(SUBSTITUTE(SUBSTITUTE(SUBSTITUTE(SUBSTITUTE(SUBSTITUTE(SUBSTITUTE(SUBSTITUTE(SUBSTITUTE(SUBSTITUTE(LOWER(TRIM(F950)),"á","a"),"é","e"),"í","i"),"ó","o"),"ú","u"),"ü","u"),"ñ","n"),"à","a"),"è","e"),"ì","i"),"ò","o"),"ù","u"))</f>
        <v/>
      </c>
      <c r="O950" s="25">
        <f>IF(M950="confiable",2,IF(M950="dudosa",1,IF(M950="no confiable",0,"")))</f>
        <v/>
      </c>
      <c r="P950" s="25">
        <f>IF(N950="confiable",2,IF(N950="dudosa",1,IF(N950="no confiable",0,"")))</f>
        <v/>
      </c>
      <c r="Q950" s="25">
        <f>IF(AND(ISNUMBER(O950),ISNUMBER(P950)),1,"")</f>
        <v/>
      </c>
      <c r="R950" s="25">
        <f>IF(Q950=1,IF(O950=P950,"Sí","No"),"")</f>
        <v/>
      </c>
      <c r="S950" s="25">
        <f>IF(Q950=1,IF(P950&lt;O950,"Más estricto",IF(P950&gt;O950,"Más permisivo","Igual")),"")</f>
        <v/>
      </c>
      <c r="T950" s="25">
        <f>IF(Q950=1,IF(ABS(O950-P950)=2,1,0),"")</f>
        <v/>
      </c>
      <c r="U950" s="25">
        <f>IF(H950="","","|"&amp;SUBSTITUTE(SUBSTITUTE(TRIM(H950)," |","|"),"| ","|")&amp;"|")</f>
        <v/>
      </c>
      <c r="V950" s="25">
        <f>IF(AND(Q950=1,B950&lt;&gt;""),IF(IFERROR(COUNTIFS(B$3:B950,"="&amp;SUBSTITUTE(SUBSTITUTE(SUBSTITUTE(B950,"~","~~"),"*","~*"),"?","~?"),Q$3:Q950,1),0)=1,MAX(V$2:V949)+1,""),"")</f>
        <v/>
      </c>
      <c r="W950" s="25">
        <f>IF(V950="","",COUNTIFS($B$3:$B$1002,"="&amp;SUBSTITUTE(SUBSTITUTE(SUBSTITUTE(B950,"~","~~"),"*","~*"),"?","~?"),$Q$3:$Q$1002,1)*10000-V950)</f>
        <v/>
      </c>
      <c r="X950" s="25">
        <f>IF(Q950=1,IF(SUBSTITUTE(SUBSTITUTE(SUBSTITUTE(SUBSTITUTE(SUBSTITUTE(SUBSTITUTE(SUBSTITUTE(SUBSTITUTE(SUBSTITUTE(SUBSTITUTE(SUBSTITUTE(SUBSTITUTE(LOWER(TRIM(A950)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950)),"á","a"),"é","e"),"í","i"),"ó","o"),"ú","u"),"ü","u"),"ñ","n"),"à","a"),"è","e"),"ì","i"),"ò","o"),"ù","u")),"")</f>
        <v/>
      </c>
      <c r="Y950" s="25">
        <f>IF(X950="","",IF(IFERROR(COUNTIF(X$3:X950,"="&amp;SUBSTITUTE(SUBSTITUTE(SUBSTITUTE(X950,"~","~~"),"*","~*"),"?","~?")),0)=1,1,""))</f>
        <v/>
      </c>
      <c r="Z950" s="25">
        <f>IF(T950=1,MAX(Z$2:Z949)+1,"")</f>
        <v/>
      </c>
    </row>
    <row r="951">
      <c r="A951">
        <f>IF(A$2=0,"",IFERROR(TRIM(INDEX('Pegar calibracion'!$A$1:$BZ$1001,950,A$2)&amp;""),""))</f>
        <v/>
      </c>
      <c r="B951">
        <f>IF(B$2=0,"",IFERROR(TRIM(INDEX('Pegar calibracion'!$A$1:$BZ$1001,950,B$2)&amp;""),""))</f>
        <v/>
      </c>
      <c r="C951">
        <f>IF(C$2=0,"",IFERROR(TRIM(INDEX('Pegar calibracion'!$A$1:$BZ$1001,950,C$2)&amp;""),""))</f>
        <v/>
      </c>
      <c r="D951">
        <f>IF(D$2=0,"",IFERROR(TRIM(INDEX('Pegar calibracion'!$A$1:$BZ$1001,950,D$2)&amp;""),""))</f>
        <v/>
      </c>
      <c r="E951">
        <f>IF(E$2=0,"",IFERROR(TRIM(INDEX('Pegar calibracion'!$A$1:$BZ$1001,950,E$2)&amp;""),""))</f>
        <v/>
      </c>
      <c r="F951">
        <f>IF(F$2=0,"",IFERROR(TRIM(INDEX('Pegar calibracion'!$A$1:$BZ$1001,950,F$2)&amp;""),""))</f>
        <v/>
      </c>
      <c r="G951">
        <f>IF(G$2=0,"",IFERROR(TRIM(INDEX('Pegar calibracion'!$A$1:$BZ$1001,950,G$2)&amp;""),""))</f>
        <v/>
      </c>
      <c r="H951">
        <f>IF(H$2=0,"",IFERROR(TRIM(INDEX('Pegar calibracion'!$A$1:$BZ$1001,950,H$2)&amp;""),""))</f>
        <v/>
      </c>
      <c r="I951">
        <f>IF(I$2=0,"",IFERROR(TRIM(INDEX('Pegar calibracion'!$A$1:$BZ$1001,950,I$2)&amp;""),""))</f>
        <v/>
      </c>
      <c r="J951">
        <f>IF(J$2=0,"",IFERROR(TRIM(INDEX('Pegar calibracion'!$A$1:$BZ$1001,950,J$2)&amp;""),""))</f>
        <v/>
      </c>
      <c r="K951">
        <f>IF(K$2=0,"",IFERROR(TRIM(INDEX('Pegar calibracion'!$A$1:$BZ$1001,950,K$2)&amp;""),""))</f>
        <v/>
      </c>
      <c r="L951">
        <f>IF(L$2=0,"",IFERROR(TRIM(INDEX('Pegar calibracion'!$A$1:$BZ$1001,950,L$2)&amp;""),""))</f>
        <v/>
      </c>
      <c r="M951" s="25">
        <f>IF(D951="","",SUBSTITUTE(SUBSTITUTE(SUBSTITUTE(SUBSTITUTE(SUBSTITUTE(SUBSTITUTE(SUBSTITUTE(SUBSTITUTE(SUBSTITUTE(SUBSTITUTE(SUBSTITUTE(SUBSTITUTE(LOWER(TRIM(D951)),"á","a"),"é","e"),"í","i"),"ó","o"),"ú","u"),"ü","u"),"ñ","n"),"à","a"),"è","e"),"ì","i"),"ò","o"),"ù","u"))</f>
        <v/>
      </c>
      <c r="N951" s="25">
        <f>IF(F951="","",SUBSTITUTE(SUBSTITUTE(SUBSTITUTE(SUBSTITUTE(SUBSTITUTE(SUBSTITUTE(SUBSTITUTE(SUBSTITUTE(SUBSTITUTE(SUBSTITUTE(SUBSTITUTE(SUBSTITUTE(LOWER(TRIM(F951)),"á","a"),"é","e"),"í","i"),"ó","o"),"ú","u"),"ü","u"),"ñ","n"),"à","a"),"è","e"),"ì","i"),"ò","o"),"ù","u"))</f>
        <v/>
      </c>
      <c r="O951" s="25">
        <f>IF(M951="confiable",2,IF(M951="dudosa",1,IF(M951="no confiable",0,"")))</f>
        <v/>
      </c>
      <c r="P951" s="25">
        <f>IF(N951="confiable",2,IF(N951="dudosa",1,IF(N951="no confiable",0,"")))</f>
        <v/>
      </c>
      <c r="Q951" s="25">
        <f>IF(AND(ISNUMBER(O951),ISNUMBER(P951)),1,"")</f>
        <v/>
      </c>
      <c r="R951" s="25">
        <f>IF(Q951=1,IF(O951=P951,"Sí","No"),"")</f>
        <v/>
      </c>
      <c r="S951" s="25">
        <f>IF(Q951=1,IF(P951&lt;O951,"Más estricto",IF(P951&gt;O951,"Más permisivo","Igual")),"")</f>
        <v/>
      </c>
      <c r="T951" s="25">
        <f>IF(Q951=1,IF(ABS(O951-P951)=2,1,0),"")</f>
        <v/>
      </c>
      <c r="U951" s="25">
        <f>IF(H951="","","|"&amp;SUBSTITUTE(SUBSTITUTE(TRIM(H951)," |","|"),"| ","|")&amp;"|")</f>
        <v/>
      </c>
      <c r="V951" s="25">
        <f>IF(AND(Q951=1,B951&lt;&gt;""),IF(IFERROR(COUNTIFS(B$3:B951,"="&amp;SUBSTITUTE(SUBSTITUTE(SUBSTITUTE(B951,"~","~~"),"*","~*"),"?","~?"),Q$3:Q951,1),0)=1,MAX(V$2:V950)+1,""),"")</f>
        <v/>
      </c>
      <c r="W951" s="25">
        <f>IF(V951="","",COUNTIFS($B$3:$B$1002,"="&amp;SUBSTITUTE(SUBSTITUTE(SUBSTITUTE(B951,"~","~~"),"*","~*"),"?","~?"),$Q$3:$Q$1002,1)*10000-V951)</f>
        <v/>
      </c>
      <c r="X951" s="25">
        <f>IF(Q951=1,IF(SUBSTITUTE(SUBSTITUTE(SUBSTITUTE(SUBSTITUTE(SUBSTITUTE(SUBSTITUTE(SUBSTITUTE(SUBSTITUTE(SUBSTITUTE(SUBSTITUTE(SUBSTITUTE(SUBSTITUTE(LOWER(TRIM(A951)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951)),"á","a"),"é","e"),"í","i"),"ó","o"),"ú","u"),"ü","u"),"ñ","n"),"à","a"),"è","e"),"ì","i"),"ò","o"),"ù","u")),"")</f>
        <v/>
      </c>
      <c r="Y951" s="25">
        <f>IF(X951="","",IF(IFERROR(COUNTIF(X$3:X951,"="&amp;SUBSTITUTE(SUBSTITUTE(SUBSTITUTE(X951,"~","~~"),"*","~*"),"?","~?")),0)=1,1,""))</f>
        <v/>
      </c>
      <c r="Z951" s="25">
        <f>IF(T951=1,MAX(Z$2:Z950)+1,"")</f>
        <v/>
      </c>
    </row>
    <row r="952">
      <c r="A952">
        <f>IF(A$2=0,"",IFERROR(TRIM(INDEX('Pegar calibracion'!$A$1:$BZ$1001,951,A$2)&amp;""),""))</f>
        <v/>
      </c>
      <c r="B952">
        <f>IF(B$2=0,"",IFERROR(TRIM(INDEX('Pegar calibracion'!$A$1:$BZ$1001,951,B$2)&amp;""),""))</f>
        <v/>
      </c>
      <c r="C952">
        <f>IF(C$2=0,"",IFERROR(TRIM(INDEX('Pegar calibracion'!$A$1:$BZ$1001,951,C$2)&amp;""),""))</f>
        <v/>
      </c>
      <c r="D952">
        <f>IF(D$2=0,"",IFERROR(TRIM(INDEX('Pegar calibracion'!$A$1:$BZ$1001,951,D$2)&amp;""),""))</f>
        <v/>
      </c>
      <c r="E952">
        <f>IF(E$2=0,"",IFERROR(TRIM(INDEX('Pegar calibracion'!$A$1:$BZ$1001,951,E$2)&amp;""),""))</f>
        <v/>
      </c>
      <c r="F952">
        <f>IF(F$2=0,"",IFERROR(TRIM(INDEX('Pegar calibracion'!$A$1:$BZ$1001,951,F$2)&amp;""),""))</f>
        <v/>
      </c>
      <c r="G952">
        <f>IF(G$2=0,"",IFERROR(TRIM(INDEX('Pegar calibracion'!$A$1:$BZ$1001,951,G$2)&amp;""),""))</f>
        <v/>
      </c>
      <c r="H952">
        <f>IF(H$2=0,"",IFERROR(TRIM(INDEX('Pegar calibracion'!$A$1:$BZ$1001,951,H$2)&amp;""),""))</f>
        <v/>
      </c>
      <c r="I952">
        <f>IF(I$2=0,"",IFERROR(TRIM(INDEX('Pegar calibracion'!$A$1:$BZ$1001,951,I$2)&amp;""),""))</f>
        <v/>
      </c>
      <c r="J952">
        <f>IF(J$2=0,"",IFERROR(TRIM(INDEX('Pegar calibracion'!$A$1:$BZ$1001,951,J$2)&amp;""),""))</f>
        <v/>
      </c>
      <c r="K952">
        <f>IF(K$2=0,"",IFERROR(TRIM(INDEX('Pegar calibracion'!$A$1:$BZ$1001,951,K$2)&amp;""),""))</f>
        <v/>
      </c>
      <c r="L952">
        <f>IF(L$2=0,"",IFERROR(TRIM(INDEX('Pegar calibracion'!$A$1:$BZ$1001,951,L$2)&amp;""),""))</f>
        <v/>
      </c>
      <c r="M952" s="25">
        <f>IF(D952="","",SUBSTITUTE(SUBSTITUTE(SUBSTITUTE(SUBSTITUTE(SUBSTITUTE(SUBSTITUTE(SUBSTITUTE(SUBSTITUTE(SUBSTITUTE(SUBSTITUTE(SUBSTITUTE(SUBSTITUTE(LOWER(TRIM(D952)),"á","a"),"é","e"),"í","i"),"ó","o"),"ú","u"),"ü","u"),"ñ","n"),"à","a"),"è","e"),"ì","i"),"ò","o"),"ù","u"))</f>
        <v/>
      </c>
      <c r="N952" s="25">
        <f>IF(F952="","",SUBSTITUTE(SUBSTITUTE(SUBSTITUTE(SUBSTITUTE(SUBSTITUTE(SUBSTITUTE(SUBSTITUTE(SUBSTITUTE(SUBSTITUTE(SUBSTITUTE(SUBSTITUTE(SUBSTITUTE(LOWER(TRIM(F952)),"á","a"),"é","e"),"í","i"),"ó","o"),"ú","u"),"ü","u"),"ñ","n"),"à","a"),"è","e"),"ì","i"),"ò","o"),"ù","u"))</f>
        <v/>
      </c>
      <c r="O952" s="25">
        <f>IF(M952="confiable",2,IF(M952="dudosa",1,IF(M952="no confiable",0,"")))</f>
        <v/>
      </c>
      <c r="P952" s="25">
        <f>IF(N952="confiable",2,IF(N952="dudosa",1,IF(N952="no confiable",0,"")))</f>
        <v/>
      </c>
      <c r="Q952" s="25">
        <f>IF(AND(ISNUMBER(O952),ISNUMBER(P952)),1,"")</f>
        <v/>
      </c>
      <c r="R952" s="25">
        <f>IF(Q952=1,IF(O952=P952,"Sí","No"),"")</f>
        <v/>
      </c>
      <c r="S952" s="25">
        <f>IF(Q952=1,IF(P952&lt;O952,"Más estricto",IF(P952&gt;O952,"Más permisivo","Igual")),"")</f>
        <v/>
      </c>
      <c r="T952" s="25">
        <f>IF(Q952=1,IF(ABS(O952-P952)=2,1,0),"")</f>
        <v/>
      </c>
      <c r="U952" s="25">
        <f>IF(H952="","","|"&amp;SUBSTITUTE(SUBSTITUTE(TRIM(H952)," |","|"),"| ","|")&amp;"|")</f>
        <v/>
      </c>
      <c r="V952" s="25">
        <f>IF(AND(Q952=1,B952&lt;&gt;""),IF(IFERROR(COUNTIFS(B$3:B952,"="&amp;SUBSTITUTE(SUBSTITUTE(SUBSTITUTE(B952,"~","~~"),"*","~*"),"?","~?"),Q$3:Q952,1),0)=1,MAX(V$2:V951)+1,""),"")</f>
        <v/>
      </c>
      <c r="W952" s="25">
        <f>IF(V952="","",COUNTIFS($B$3:$B$1002,"="&amp;SUBSTITUTE(SUBSTITUTE(SUBSTITUTE(B952,"~","~~"),"*","~*"),"?","~?"),$Q$3:$Q$1002,1)*10000-V952)</f>
        <v/>
      </c>
      <c r="X952" s="25">
        <f>IF(Q952=1,IF(SUBSTITUTE(SUBSTITUTE(SUBSTITUTE(SUBSTITUTE(SUBSTITUTE(SUBSTITUTE(SUBSTITUTE(SUBSTITUTE(SUBSTITUTE(SUBSTITUTE(SUBSTITUTE(SUBSTITUTE(LOWER(TRIM(A952)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952)),"á","a"),"é","e"),"í","i"),"ó","o"),"ú","u"),"ü","u"),"ñ","n"),"à","a"),"è","e"),"ì","i"),"ò","o"),"ù","u")),"")</f>
        <v/>
      </c>
      <c r="Y952" s="25">
        <f>IF(X952="","",IF(IFERROR(COUNTIF(X$3:X952,"="&amp;SUBSTITUTE(SUBSTITUTE(SUBSTITUTE(X952,"~","~~"),"*","~*"),"?","~?")),0)=1,1,""))</f>
        <v/>
      </c>
      <c r="Z952" s="25">
        <f>IF(T952=1,MAX(Z$2:Z951)+1,"")</f>
        <v/>
      </c>
    </row>
    <row r="953">
      <c r="A953">
        <f>IF(A$2=0,"",IFERROR(TRIM(INDEX('Pegar calibracion'!$A$1:$BZ$1001,952,A$2)&amp;""),""))</f>
        <v/>
      </c>
      <c r="B953">
        <f>IF(B$2=0,"",IFERROR(TRIM(INDEX('Pegar calibracion'!$A$1:$BZ$1001,952,B$2)&amp;""),""))</f>
        <v/>
      </c>
      <c r="C953">
        <f>IF(C$2=0,"",IFERROR(TRIM(INDEX('Pegar calibracion'!$A$1:$BZ$1001,952,C$2)&amp;""),""))</f>
        <v/>
      </c>
      <c r="D953">
        <f>IF(D$2=0,"",IFERROR(TRIM(INDEX('Pegar calibracion'!$A$1:$BZ$1001,952,D$2)&amp;""),""))</f>
        <v/>
      </c>
      <c r="E953">
        <f>IF(E$2=0,"",IFERROR(TRIM(INDEX('Pegar calibracion'!$A$1:$BZ$1001,952,E$2)&amp;""),""))</f>
        <v/>
      </c>
      <c r="F953">
        <f>IF(F$2=0,"",IFERROR(TRIM(INDEX('Pegar calibracion'!$A$1:$BZ$1001,952,F$2)&amp;""),""))</f>
        <v/>
      </c>
      <c r="G953">
        <f>IF(G$2=0,"",IFERROR(TRIM(INDEX('Pegar calibracion'!$A$1:$BZ$1001,952,G$2)&amp;""),""))</f>
        <v/>
      </c>
      <c r="H953">
        <f>IF(H$2=0,"",IFERROR(TRIM(INDEX('Pegar calibracion'!$A$1:$BZ$1001,952,H$2)&amp;""),""))</f>
        <v/>
      </c>
      <c r="I953">
        <f>IF(I$2=0,"",IFERROR(TRIM(INDEX('Pegar calibracion'!$A$1:$BZ$1001,952,I$2)&amp;""),""))</f>
        <v/>
      </c>
      <c r="J953">
        <f>IF(J$2=0,"",IFERROR(TRIM(INDEX('Pegar calibracion'!$A$1:$BZ$1001,952,J$2)&amp;""),""))</f>
        <v/>
      </c>
      <c r="K953">
        <f>IF(K$2=0,"",IFERROR(TRIM(INDEX('Pegar calibracion'!$A$1:$BZ$1001,952,K$2)&amp;""),""))</f>
        <v/>
      </c>
      <c r="L953">
        <f>IF(L$2=0,"",IFERROR(TRIM(INDEX('Pegar calibracion'!$A$1:$BZ$1001,952,L$2)&amp;""),""))</f>
        <v/>
      </c>
      <c r="M953" s="25">
        <f>IF(D953="","",SUBSTITUTE(SUBSTITUTE(SUBSTITUTE(SUBSTITUTE(SUBSTITUTE(SUBSTITUTE(SUBSTITUTE(SUBSTITUTE(SUBSTITUTE(SUBSTITUTE(SUBSTITUTE(SUBSTITUTE(LOWER(TRIM(D953)),"á","a"),"é","e"),"í","i"),"ó","o"),"ú","u"),"ü","u"),"ñ","n"),"à","a"),"è","e"),"ì","i"),"ò","o"),"ù","u"))</f>
        <v/>
      </c>
      <c r="N953" s="25">
        <f>IF(F953="","",SUBSTITUTE(SUBSTITUTE(SUBSTITUTE(SUBSTITUTE(SUBSTITUTE(SUBSTITUTE(SUBSTITUTE(SUBSTITUTE(SUBSTITUTE(SUBSTITUTE(SUBSTITUTE(SUBSTITUTE(LOWER(TRIM(F953)),"á","a"),"é","e"),"í","i"),"ó","o"),"ú","u"),"ü","u"),"ñ","n"),"à","a"),"è","e"),"ì","i"),"ò","o"),"ù","u"))</f>
        <v/>
      </c>
      <c r="O953" s="25">
        <f>IF(M953="confiable",2,IF(M953="dudosa",1,IF(M953="no confiable",0,"")))</f>
        <v/>
      </c>
      <c r="P953" s="25">
        <f>IF(N953="confiable",2,IF(N953="dudosa",1,IF(N953="no confiable",0,"")))</f>
        <v/>
      </c>
      <c r="Q953" s="25">
        <f>IF(AND(ISNUMBER(O953),ISNUMBER(P953)),1,"")</f>
        <v/>
      </c>
      <c r="R953" s="25">
        <f>IF(Q953=1,IF(O953=P953,"Sí","No"),"")</f>
        <v/>
      </c>
      <c r="S953" s="25">
        <f>IF(Q953=1,IF(P953&lt;O953,"Más estricto",IF(P953&gt;O953,"Más permisivo","Igual")),"")</f>
        <v/>
      </c>
      <c r="T953" s="25">
        <f>IF(Q953=1,IF(ABS(O953-P953)=2,1,0),"")</f>
        <v/>
      </c>
      <c r="U953" s="25">
        <f>IF(H953="","","|"&amp;SUBSTITUTE(SUBSTITUTE(TRIM(H953)," |","|"),"| ","|")&amp;"|")</f>
        <v/>
      </c>
      <c r="V953" s="25">
        <f>IF(AND(Q953=1,B953&lt;&gt;""),IF(IFERROR(COUNTIFS(B$3:B953,"="&amp;SUBSTITUTE(SUBSTITUTE(SUBSTITUTE(B953,"~","~~"),"*","~*"),"?","~?"),Q$3:Q953,1),0)=1,MAX(V$2:V952)+1,""),"")</f>
        <v/>
      </c>
      <c r="W953" s="25">
        <f>IF(V953="","",COUNTIFS($B$3:$B$1002,"="&amp;SUBSTITUTE(SUBSTITUTE(SUBSTITUTE(B953,"~","~~"),"*","~*"),"?","~?"),$Q$3:$Q$1002,1)*10000-V953)</f>
        <v/>
      </c>
      <c r="X953" s="25">
        <f>IF(Q953=1,IF(SUBSTITUTE(SUBSTITUTE(SUBSTITUTE(SUBSTITUTE(SUBSTITUTE(SUBSTITUTE(SUBSTITUTE(SUBSTITUTE(SUBSTITUTE(SUBSTITUTE(SUBSTITUTE(SUBSTITUTE(LOWER(TRIM(A953)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953)),"á","a"),"é","e"),"í","i"),"ó","o"),"ú","u"),"ü","u"),"ñ","n"),"à","a"),"è","e"),"ì","i"),"ò","o"),"ù","u")),"")</f>
        <v/>
      </c>
      <c r="Y953" s="25">
        <f>IF(X953="","",IF(IFERROR(COUNTIF(X$3:X953,"="&amp;SUBSTITUTE(SUBSTITUTE(SUBSTITUTE(X953,"~","~~"),"*","~*"),"?","~?")),0)=1,1,""))</f>
        <v/>
      </c>
      <c r="Z953" s="25">
        <f>IF(T953=1,MAX(Z$2:Z952)+1,"")</f>
        <v/>
      </c>
    </row>
    <row r="954">
      <c r="A954">
        <f>IF(A$2=0,"",IFERROR(TRIM(INDEX('Pegar calibracion'!$A$1:$BZ$1001,953,A$2)&amp;""),""))</f>
        <v/>
      </c>
      <c r="B954">
        <f>IF(B$2=0,"",IFERROR(TRIM(INDEX('Pegar calibracion'!$A$1:$BZ$1001,953,B$2)&amp;""),""))</f>
        <v/>
      </c>
      <c r="C954">
        <f>IF(C$2=0,"",IFERROR(TRIM(INDEX('Pegar calibracion'!$A$1:$BZ$1001,953,C$2)&amp;""),""))</f>
        <v/>
      </c>
      <c r="D954">
        <f>IF(D$2=0,"",IFERROR(TRIM(INDEX('Pegar calibracion'!$A$1:$BZ$1001,953,D$2)&amp;""),""))</f>
        <v/>
      </c>
      <c r="E954">
        <f>IF(E$2=0,"",IFERROR(TRIM(INDEX('Pegar calibracion'!$A$1:$BZ$1001,953,E$2)&amp;""),""))</f>
        <v/>
      </c>
      <c r="F954">
        <f>IF(F$2=0,"",IFERROR(TRIM(INDEX('Pegar calibracion'!$A$1:$BZ$1001,953,F$2)&amp;""),""))</f>
        <v/>
      </c>
      <c r="G954">
        <f>IF(G$2=0,"",IFERROR(TRIM(INDEX('Pegar calibracion'!$A$1:$BZ$1001,953,G$2)&amp;""),""))</f>
        <v/>
      </c>
      <c r="H954">
        <f>IF(H$2=0,"",IFERROR(TRIM(INDEX('Pegar calibracion'!$A$1:$BZ$1001,953,H$2)&amp;""),""))</f>
        <v/>
      </c>
      <c r="I954">
        <f>IF(I$2=0,"",IFERROR(TRIM(INDEX('Pegar calibracion'!$A$1:$BZ$1001,953,I$2)&amp;""),""))</f>
        <v/>
      </c>
      <c r="J954">
        <f>IF(J$2=0,"",IFERROR(TRIM(INDEX('Pegar calibracion'!$A$1:$BZ$1001,953,J$2)&amp;""),""))</f>
        <v/>
      </c>
      <c r="K954">
        <f>IF(K$2=0,"",IFERROR(TRIM(INDEX('Pegar calibracion'!$A$1:$BZ$1001,953,K$2)&amp;""),""))</f>
        <v/>
      </c>
      <c r="L954">
        <f>IF(L$2=0,"",IFERROR(TRIM(INDEX('Pegar calibracion'!$A$1:$BZ$1001,953,L$2)&amp;""),""))</f>
        <v/>
      </c>
      <c r="M954" s="25">
        <f>IF(D954="","",SUBSTITUTE(SUBSTITUTE(SUBSTITUTE(SUBSTITUTE(SUBSTITUTE(SUBSTITUTE(SUBSTITUTE(SUBSTITUTE(SUBSTITUTE(SUBSTITUTE(SUBSTITUTE(SUBSTITUTE(LOWER(TRIM(D954)),"á","a"),"é","e"),"í","i"),"ó","o"),"ú","u"),"ü","u"),"ñ","n"),"à","a"),"è","e"),"ì","i"),"ò","o"),"ù","u"))</f>
        <v/>
      </c>
      <c r="N954" s="25">
        <f>IF(F954="","",SUBSTITUTE(SUBSTITUTE(SUBSTITUTE(SUBSTITUTE(SUBSTITUTE(SUBSTITUTE(SUBSTITUTE(SUBSTITUTE(SUBSTITUTE(SUBSTITUTE(SUBSTITUTE(SUBSTITUTE(LOWER(TRIM(F954)),"á","a"),"é","e"),"í","i"),"ó","o"),"ú","u"),"ü","u"),"ñ","n"),"à","a"),"è","e"),"ì","i"),"ò","o"),"ù","u"))</f>
        <v/>
      </c>
      <c r="O954" s="25">
        <f>IF(M954="confiable",2,IF(M954="dudosa",1,IF(M954="no confiable",0,"")))</f>
        <v/>
      </c>
      <c r="P954" s="25">
        <f>IF(N954="confiable",2,IF(N954="dudosa",1,IF(N954="no confiable",0,"")))</f>
        <v/>
      </c>
      <c r="Q954" s="25">
        <f>IF(AND(ISNUMBER(O954),ISNUMBER(P954)),1,"")</f>
        <v/>
      </c>
      <c r="R954" s="25">
        <f>IF(Q954=1,IF(O954=P954,"Sí","No"),"")</f>
        <v/>
      </c>
      <c r="S954" s="25">
        <f>IF(Q954=1,IF(P954&lt;O954,"Más estricto",IF(P954&gt;O954,"Más permisivo","Igual")),"")</f>
        <v/>
      </c>
      <c r="T954" s="25">
        <f>IF(Q954=1,IF(ABS(O954-P954)=2,1,0),"")</f>
        <v/>
      </c>
      <c r="U954" s="25">
        <f>IF(H954="","","|"&amp;SUBSTITUTE(SUBSTITUTE(TRIM(H954)," |","|"),"| ","|")&amp;"|")</f>
        <v/>
      </c>
      <c r="V954" s="25">
        <f>IF(AND(Q954=1,B954&lt;&gt;""),IF(IFERROR(COUNTIFS(B$3:B954,"="&amp;SUBSTITUTE(SUBSTITUTE(SUBSTITUTE(B954,"~","~~"),"*","~*"),"?","~?"),Q$3:Q954,1),0)=1,MAX(V$2:V953)+1,""),"")</f>
        <v/>
      </c>
      <c r="W954" s="25">
        <f>IF(V954="","",COUNTIFS($B$3:$B$1002,"="&amp;SUBSTITUTE(SUBSTITUTE(SUBSTITUTE(B954,"~","~~"),"*","~*"),"?","~?"),$Q$3:$Q$1002,1)*10000-V954)</f>
        <v/>
      </c>
      <c r="X954" s="25">
        <f>IF(Q954=1,IF(SUBSTITUTE(SUBSTITUTE(SUBSTITUTE(SUBSTITUTE(SUBSTITUTE(SUBSTITUTE(SUBSTITUTE(SUBSTITUTE(SUBSTITUTE(SUBSTITUTE(SUBSTITUTE(SUBSTITUTE(LOWER(TRIM(A954)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954)),"á","a"),"é","e"),"í","i"),"ó","o"),"ú","u"),"ü","u"),"ñ","n"),"à","a"),"è","e"),"ì","i"),"ò","o"),"ù","u")),"")</f>
        <v/>
      </c>
      <c r="Y954" s="25">
        <f>IF(X954="","",IF(IFERROR(COUNTIF(X$3:X954,"="&amp;SUBSTITUTE(SUBSTITUTE(SUBSTITUTE(X954,"~","~~"),"*","~*"),"?","~?")),0)=1,1,""))</f>
        <v/>
      </c>
      <c r="Z954" s="25">
        <f>IF(T954=1,MAX(Z$2:Z953)+1,"")</f>
        <v/>
      </c>
    </row>
    <row r="955">
      <c r="A955">
        <f>IF(A$2=0,"",IFERROR(TRIM(INDEX('Pegar calibracion'!$A$1:$BZ$1001,954,A$2)&amp;""),""))</f>
        <v/>
      </c>
      <c r="B955">
        <f>IF(B$2=0,"",IFERROR(TRIM(INDEX('Pegar calibracion'!$A$1:$BZ$1001,954,B$2)&amp;""),""))</f>
        <v/>
      </c>
      <c r="C955">
        <f>IF(C$2=0,"",IFERROR(TRIM(INDEX('Pegar calibracion'!$A$1:$BZ$1001,954,C$2)&amp;""),""))</f>
        <v/>
      </c>
      <c r="D955">
        <f>IF(D$2=0,"",IFERROR(TRIM(INDEX('Pegar calibracion'!$A$1:$BZ$1001,954,D$2)&amp;""),""))</f>
        <v/>
      </c>
      <c r="E955">
        <f>IF(E$2=0,"",IFERROR(TRIM(INDEX('Pegar calibracion'!$A$1:$BZ$1001,954,E$2)&amp;""),""))</f>
        <v/>
      </c>
      <c r="F955">
        <f>IF(F$2=0,"",IFERROR(TRIM(INDEX('Pegar calibracion'!$A$1:$BZ$1001,954,F$2)&amp;""),""))</f>
        <v/>
      </c>
      <c r="G955">
        <f>IF(G$2=0,"",IFERROR(TRIM(INDEX('Pegar calibracion'!$A$1:$BZ$1001,954,G$2)&amp;""),""))</f>
        <v/>
      </c>
      <c r="H955">
        <f>IF(H$2=0,"",IFERROR(TRIM(INDEX('Pegar calibracion'!$A$1:$BZ$1001,954,H$2)&amp;""),""))</f>
        <v/>
      </c>
      <c r="I955">
        <f>IF(I$2=0,"",IFERROR(TRIM(INDEX('Pegar calibracion'!$A$1:$BZ$1001,954,I$2)&amp;""),""))</f>
        <v/>
      </c>
      <c r="J955">
        <f>IF(J$2=0,"",IFERROR(TRIM(INDEX('Pegar calibracion'!$A$1:$BZ$1001,954,J$2)&amp;""),""))</f>
        <v/>
      </c>
      <c r="K955">
        <f>IF(K$2=0,"",IFERROR(TRIM(INDEX('Pegar calibracion'!$A$1:$BZ$1001,954,K$2)&amp;""),""))</f>
        <v/>
      </c>
      <c r="L955">
        <f>IF(L$2=0,"",IFERROR(TRIM(INDEX('Pegar calibracion'!$A$1:$BZ$1001,954,L$2)&amp;""),""))</f>
        <v/>
      </c>
      <c r="M955" s="25">
        <f>IF(D955="","",SUBSTITUTE(SUBSTITUTE(SUBSTITUTE(SUBSTITUTE(SUBSTITUTE(SUBSTITUTE(SUBSTITUTE(SUBSTITUTE(SUBSTITUTE(SUBSTITUTE(SUBSTITUTE(SUBSTITUTE(LOWER(TRIM(D955)),"á","a"),"é","e"),"í","i"),"ó","o"),"ú","u"),"ü","u"),"ñ","n"),"à","a"),"è","e"),"ì","i"),"ò","o"),"ù","u"))</f>
        <v/>
      </c>
      <c r="N955" s="25">
        <f>IF(F955="","",SUBSTITUTE(SUBSTITUTE(SUBSTITUTE(SUBSTITUTE(SUBSTITUTE(SUBSTITUTE(SUBSTITUTE(SUBSTITUTE(SUBSTITUTE(SUBSTITUTE(SUBSTITUTE(SUBSTITUTE(LOWER(TRIM(F955)),"á","a"),"é","e"),"í","i"),"ó","o"),"ú","u"),"ü","u"),"ñ","n"),"à","a"),"è","e"),"ì","i"),"ò","o"),"ù","u"))</f>
        <v/>
      </c>
      <c r="O955" s="25">
        <f>IF(M955="confiable",2,IF(M955="dudosa",1,IF(M955="no confiable",0,"")))</f>
        <v/>
      </c>
      <c r="P955" s="25">
        <f>IF(N955="confiable",2,IF(N955="dudosa",1,IF(N955="no confiable",0,"")))</f>
        <v/>
      </c>
      <c r="Q955" s="25">
        <f>IF(AND(ISNUMBER(O955),ISNUMBER(P955)),1,"")</f>
        <v/>
      </c>
      <c r="R955" s="25">
        <f>IF(Q955=1,IF(O955=P955,"Sí","No"),"")</f>
        <v/>
      </c>
      <c r="S955" s="25">
        <f>IF(Q955=1,IF(P955&lt;O955,"Más estricto",IF(P955&gt;O955,"Más permisivo","Igual")),"")</f>
        <v/>
      </c>
      <c r="T955" s="25">
        <f>IF(Q955=1,IF(ABS(O955-P955)=2,1,0),"")</f>
        <v/>
      </c>
      <c r="U955" s="25">
        <f>IF(H955="","","|"&amp;SUBSTITUTE(SUBSTITUTE(TRIM(H955)," |","|"),"| ","|")&amp;"|")</f>
        <v/>
      </c>
      <c r="V955" s="25">
        <f>IF(AND(Q955=1,B955&lt;&gt;""),IF(IFERROR(COUNTIFS(B$3:B955,"="&amp;SUBSTITUTE(SUBSTITUTE(SUBSTITUTE(B955,"~","~~"),"*","~*"),"?","~?"),Q$3:Q955,1),0)=1,MAX(V$2:V954)+1,""),"")</f>
        <v/>
      </c>
      <c r="W955" s="25">
        <f>IF(V955="","",COUNTIFS($B$3:$B$1002,"="&amp;SUBSTITUTE(SUBSTITUTE(SUBSTITUTE(B955,"~","~~"),"*","~*"),"?","~?"),$Q$3:$Q$1002,1)*10000-V955)</f>
        <v/>
      </c>
      <c r="X955" s="25">
        <f>IF(Q955=1,IF(SUBSTITUTE(SUBSTITUTE(SUBSTITUTE(SUBSTITUTE(SUBSTITUTE(SUBSTITUTE(SUBSTITUTE(SUBSTITUTE(SUBSTITUTE(SUBSTITUTE(SUBSTITUTE(SUBSTITUTE(LOWER(TRIM(A955)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955)),"á","a"),"é","e"),"í","i"),"ó","o"),"ú","u"),"ü","u"),"ñ","n"),"à","a"),"è","e"),"ì","i"),"ò","o"),"ù","u")),"")</f>
        <v/>
      </c>
      <c r="Y955" s="25">
        <f>IF(X955="","",IF(IFERROR(COUNTIF(X$3:X955,"="&amp;SUBSTITUTE(SUBSTITUTE(SUBSTITUTE(X955,"~","~~"),"*","~*"),"?","~?")),0)=1,1,""))</f>
        <v/>
      </c>
      <c r="Z955" s="25">
        <f>IF(T955=1,MAX(Z$2:Z954)+1,"")</f>
        <v/>
      </c>
    </row>
    <row r="956">
      <c r="A956">
        <f>IF(A$2=0,"",IFERROR(TRIM(INDEX('Pegar calibracion'!$A$1:$BZ$1001,955,A$2)&amp;""),""))</f>
        <v/>
      </c>
      <c r="B956">
        <f>IF(B$2=0,"",IFERROR(TRIM(INDEX('Pegar calibracion'!$A$1:$BZ$1001,955,B$2)&amp;""),""))</f>
        <v/>
      </c>
      <c r="C956">
        <f>IF(C$2=0,"",IFERROR(TRIM(INDEX('Pegar calibracion'!$A$1:$BZ$1001,955,C$2)&amp;""),""))</f>
        <v/>
      </c>
      <c r="D956">
        <f>IF(D$2=0,"",IFERROR(TRIM(INDEX('Pegar calibracion'!$A$1:$BZ$1001,955,D$2)&amp;""),""))</f>
        <v/>
      </c>
      <c r="E956">
        <f>IF(E$2=0,"",IFERROR(TRIM(INDEX('Pegar calibracion'!$A$1:$BZ$1001,955,E$2)&amp;""),""))</f>
        <v/>
      </c>
      <c r="F956">
        <f>IF(F$2=0,"",IFERROR(TRIM(INDEX('Pegar calibracion'!$A$1:$BZ$1001,955,F$2)&amp;""),""))</f>
        <v/>
      </c>
      <c r="G956">
        <f>IF(G$2=0,"",IFERROR(TRIM(INDEX('Pegar calibracion'!$A$1:$BZ$1001,955,G$2)&amp;""),""))</f>
        <v/>
      </c>
      <c r="H956">
        <f>IF(H$2=0,"",IFERROR(TRIM(INDEX('Pegar calibracion'!$A$1:$BZ$1001,955,H$2)&amp;""),""))</f>
        <v/>
      </c>
      <c r="I956">
        <f>IF(I$2=0,"",IFERROR(TRIM(INDEX('Pegar calibracion'!$A$1:$BZ$1001,955,I$2)&amp;""),""))</f>
        <v/>
      </c>
      <c r="J956">
        <f>IF(J$2=0,"",IFERROR(TRIM(INDEX('Pegar calibracion'!$A$1:$BZ$1001,955,J$2)&amp;""),""))</f>
        <v/>
      </c>
      <c r="K956">
        <f>IF(K$2=0,"",IFERROR(TRIM(INDEX('Pegar calibracion'!$A$1:$BZ$1001,955,K$2)&amp;""),""))</f>
        <v/>
      </c>
      <c r="L956">
        <f>IF(L$2=0,"",IFERROR(TRIM(INDEX('Pegar calibracion'!$A$1:$BZ$1001,955,L$2)&amp;""),""))</f>
        <v/>
      </c>
      <c r="M956" s="25">
        <f>IF(D956="","",SUBSTITUTE(SUBSTITUTE(SUBSTITUTE(SUBSTITUTE(SUBSTITUTE(SUBSTITUTE(SUBSTITUTE(SUBSTITUTE(SUBSTITUTE(SUBSTITUTE(SUBSTITUTE(SUBSTITUTE(LOWER(TRIM(D956)),"á","a"),"é","e"),"í","i"),"ó","o"),"ú","u"),"ü","u"),"ñ","n"),"à","a"),"è","e"),"ì","i"),"ò","o"),"ù","u"))</f>
        <v/>
      </c>
      <c r="N956" s="25">
        <f>IF(F956="","",SUBSTITUTE(SUBSTITUTE(SUBSTITUTE(SUBSTITUTE(SUBSTITUTE(SUBSTITUTE(SUBSTITUTE(SUBSTITUTE(SUBSTITUTE(SUBSTITUTE(SUBSTITUTE(SUBSTITUTE(LOWER(TRIM(F956)),"á","a"),"é","e"),"í","i"),"ó","o"),"ú","u"),"ü","u"),"ñ","n"),"à","a"),"è","e"),"ì","i"),"ò","o"),"ù","u"))</f>
        <v/>
      </c>
      <c r="O956" s="25">
        <f>IF(M956="confiable",2,IF(M956="dudosa",1,IF(M956="no confiable",0,"")))</f>
        <v/>
      </c>
      <c r="P956" s="25">
        <f>IF(N956="confiable",2,IF(N956="dudosa",1,IF(N956="no confiable",0,"")))</f>
        <v/>
      </c>
      <c r="Q956" s="25">
        <f>IF(AND(ISNUMBER(O956),ISNUMBER(P956)),1,"")</f>
        <v/>
      </c>
      <c r="R956" s="25">
        <f>IF(Q956=1,IF(O956=P956,"Sí","No"),"")</f>
        <v/>
      </c>
      <c r="S956" s="25">
        <f>IF(Q956=1,IF(P956&lt;O956,"Más estricto",IF(P956&gt;O956,"Más permisivo","Igual")),"")</f>
        <v/>
      </c>
      <c r="T956" s="25">
        <f>IF(Q956=1,IF(ABS(O956-P956)=2,1,0),"")</f>
        <v/>
      </c>
      <c r="U956" s="25">
        <f>IF(H956="","","|"&amp;SUBSTITUTE(SUBSTITUTE(TRIM(H956)," |","|"),"| ","|")&amp;"|")</f>
        <v/>
      </c>
      <c r="V956" s="25">
        <f>IF(AND(Q956=1,B956&lt;&gt;""),IF(IFERROR(COUNTIFS(B$3:B956,"="&amp;SUBSTITUTE(SUBSTITUTE(SUBSTITUTE(B956,"~","~~"),"*","~*"),"?","~?"),Q$3:Q956,1),0)=1,MAX(V$2:V955)+1,""),"")</f>
        <v/>
      </c>
      <c r="W956" s="25">
        <f>IF(V956="","",COUNTIFS($B$3:$B$1002,"="&amp;SUBSTITUTE(SUBSTITUTE(SUBSTITUTE(B956,"~","~~"),"*","~*"),"?","~?"),$Q$3:$Q$1002,1)*10000-V956)</f>
        <v/>
      </c>
      <c r="X956" s="25">
        <f>IF(Q956=1,IF(SUBSTITUTE(SUBSTITUTE(SUBSTITUTE(SUBSTITUTE(SUBSTITUTE(SUBSTITUTE(SUBSTITUTE(SUBSTITUTE(SUBSTITUTE(SUBSTITUTE(SUBSTITUTE(SUBSTITUTE(LOWER(TRIM(A956)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956)),"á","a"),"é","e"),"í","i"),"ó","o"),"ú","u"),"ü","u"),"ñ","n"),"à","a"),"è","e"),"ì","i"),"ò","o"),"ù","u")),"")</f>
        <v/>
      </c>
      <c r="Y956" s="25">
        <f>IF(X956="","",IF(IFERROR(COUNTIF(X$3:X956,"="&amp;SUBSTITUTE(SUBSTITUTE(SUBSTITUTE(X956,"~","~~"),"*","~*"),"?","~?")),0)=1,1,""))</f>
        <v/>
      </c>
      <c r="Z956" s="25">
        <f>IF(T956=1,MAX(Z$2:Z955)+1,"")</f>
        <v/>
      </c>
    </row>
    <row r="957">
      <c r="A957">
        <f>IF(A$2=0,"",IFERROR(TRIM(INDEX('Pegar calibracion'!$A$1:$BZ$1001,956,A$2)&amp;""),""))</f>
        <v/>
      </c>
      <c r="B957">
        <f>IF(B$2=0,"",IFERROR(TRIM(INDEX('Pegar calibracion'!$A$1:$BZ$1001,956,B$2)&amp;""),""))</f>
        <v/>
      </c>
      <c r="C957">
        <f>IF(C$2=0,"",IFERROR(TRIM(INDEX('Pegar calibracion'!$A$1:$BZ$1001,956,C$2)&amp;""),""))</f>
        <v/>
      </c>
      <c r="D957">
        <f>IF(D$2=0,"",IFERROR(TRIM(INDEX('Pegar calibracion'!$A$1:$BZ$1001,956,D$2)&amp;""),""))</f>
        <v/>
      </c>
      <c r="E957">
        <f>IF(E$2=0,"",IFERROR(TRIM(INDEX('Pegar calibracion'!$A$1:$BZ$1001,956,E$2)&amp;""),""))</f>
        <v/>
      </c>
      <c r="F957">
        <f>IF(F$2=0,"",IFERROR(TRIM(INDEX('Pegar calibracion'!$A$1:$BZ$1001,956,F$2)&amp;""),""))</f>
        <v/>
      </c>
      <c r="G957">
        <f>IF(G$2=0,"",IFERROR(TRIM(INDEX('Pegar calibracion'!$A$1:$BZ$1001,956,G$2)&amp;""),""))</f>
        <v/>
      </c>
      <c r="H957">
        <f>IF(H$2=0,"",IFERROR(TRIM(INDEX('Pegar calibracion'!$A$1:$BZ$1001,956,H$2)&amp;""),""))</f>
        <v/>
      </c>
      <c r="I957">
        <f>IF(I$2=0,"",IFERROR(TRIM(INDEX('Pegar calibracion'!$A$1:$BZ$1001,956,I$2)&amp;""),""))</f>
        <v/>
      </c>
      <c r="J957">
        <f>IF(J$2=0,"",IFERROR(TRIM(INDEX('Pegar calibracion'!$A$1:$BZ$1001,956,J$2)&amp;""),""))</f>
        <v/>
      </c>
      <c r="K957">
        <f>IF(K$2=0,"",IFERROR(TRIM(INDEX('Pegar calibracion'!$A$1:$BZ$1001,956,K$2)&amp;""),""))</f>
        <v/>
      </c>
      <c r="L957">
        <f>IF(L$2=0,"",IFERROR(TRIM(INDEX('Pegar calibracion'!$A$1:$BZ$1001,956,L$2)&amp;""),""))</f>
        <v/>
      </c>
      <c r="M957" s="25">
        <f>IF(D957="","",SUBSTITUTE(SUBSTITUTE(SUBSTITUTE(SUBSTITUTE(SUBSTITUTE(SUBSTITUTE(SUBSTITUTE(SUBSTITUTE(SUBSTITUTE(SUBSTITUTE(SUBSTITUTE(SUBSTITUTE(LOWER(TRIM(D957)),"á","a"),"é","e"),"í","i"),"ó","o"),"ú","u"),"ü","u"),"ñ","n"),"à","a"),"è","e"),"ì","i"),"ò","o"),"ù","u"))</f>
        <v/>
      </c>
      <c r="N957" s="25">
        <f>IF(F957="","",SUBSTITUTE(SUBSTITUTE(SUBSTITUTE(SUBSTITUTE(SUBSTITUTE(SUBSTITUTE(SUBSTITUTE(SUBSTITUTE(SUBSTITUTE(SUBSTITUTE(SUBSTITUTE(SUBSTITUTE(LOWER(TRIM(F957)),"á","a"),"é","e"),"í","i"),"ó","o"),"ú","u"),"ü","u"),"ñ","n"),"à","a"),"è","e"),"ì","i"),"ò","o"),"ù","u"))</f>
        <v/>
      </c>
      <c r="O957" s="25">
        <f>IF(M957="confiable",2,IF(M957="dudosa",1,IF(M957="no confiable",0,"")))</f>
        <v/>
      </c>
      <c r="P957" s="25">
        <f>IF(N957="confiable",2,IF(N957="dudosa",1,IF(N957="no confiable",0,"")))</f>
        <v/>
      </c>
      <c r="Q957" s="25">
        <f>IF(AND(ISNUMBER(O957),ISNUMBER(P957)),1,"")</f>
        <v/>
      </c>
      <c r="R957" s="25">
        <f>IF(Q957=1,IF(O957=P957,"Sí","No"),"")</f>
        <v/>
      </c>
      <c r="S957" s="25">
        <f>IF(Q957=1,IF(P957&lt;O957,"Más estricto",IF(P957&gt;O957,"Más permisivo","Igual")),"")</f>
        <v/>
      </c>
      <c r="T957" s="25">
        <f>IF(Q957=1,IF(ABS(O957-P957)=2,1,0),"")</f>
        <v/>
      </c>
      <c r="U957" s="25">
        <f>IF(H957="","","|"&amp;SUBSTITUTE(SUBSTITUTE(TRIM(H957)," |","|"),"| ","|")&amp;"|")</f>
        <v/>
      </c>
      <c r="V957" s="25">
        <f>IF(AND(Q957=1,B957&lt;&gt;""),IF(IFERROR(COUNTIFS(B$3:B957,"="&amp;SUBSTITUTE(SUBSTITUTE(SUBSTITUTE(B957,"~","~~"),"*","~*"),"?","~?"),Q$3:Q957,1),0)=1,MAX(V$2:V956)+1,""),"")</f>
        <v/>
      </c>
      <c r="W957" s="25">
        <f>IF(V957="","",COUNTIFS($B$3:$B$1002,"="&amp;SUBSTITUTE(SUBSTITUTE(SUBSTITUTE(B957,"~","~~"),"*","~*"),"?","~?"),$Q$3:$Q$1002,1)*10000-V957)</f>
        <v/>
      </c>
      <c r="X957" s="25">
        <f>IF(Q957=1,IF(SUBSTITUTE(SUBSTITUTE(SUBSTITUTE(SUBSTITUTE(SUBSTITUTE(SUBSTITUTE(SUBSTITUTE(SUBSTITUTE(SUBSTITUTE(SUBSTITUTE(SUBSTITUTE(SUBSTITUTE(LOWER(TRIM(A957)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957)),"á","a"),"é","e"),"í","i"),"ó","o"),"ú","u"),"ü","u"),"ñ","n"),"à","a"),"è","e"),"ì","i"),"ò","o"),"ù","u")),"")</f>
        <v/>
      </c>
      <c r="Y957" s="25">
        <f>IF(X957="","",IF(IFERROR(COUNTIF(X$3:X957,"="&amp;SUBSTITUTE(SUBSTITUTE(SUBSTITUTE(X957,"~","~~"),"*","~*"),"?","~?")),0)=1,1,""))</f>
        <v/>
      </c>
      <c r="Z957" s="25">
        <f>IF(T957=1,MAX(Z$2:Z956)+1,"")</f>
        <v/>
      </c>
    </row>
    <row r="958">
      <c r="A958">
        <f>IF(A$2=0,"",IFERROR(TRIM(INDEX('Pegar calibracion'!$A$1:$BZ$1001,957,A$2)&amp;""),""))</f>
        <v/>
      </c>
      <c r="B958">
        <f>IF(B$2=0,"",IFERROR(TRIM(INDEX('Pegar calibracion'!$A$1:$BZ$1001,957,B$2)&amp;""),""))</f>
        <v/>
      </c>
      <c r="C958">
        <f>IF(C$2=0,"",IFERROR(TRIM(INDEX('Pegar calibracion'!$A$1:$BZ$1001,957,C$2)&amp;""),""))</f>
        <v/>
      </c>
      <c r="D958">
        <f>IF(D$2=0,"",IFERROR(TRIM(INDEX('Pegar calibracion'!$A$1:$BZ$1001,957,D$2)&amp;""),""))</f>
        <v/>
      </c>
      <c r="E958">
        <f>IF(E$2=0,"",IFERROR(TRIM(INDEX('Pegar calibracion'!$A$1:$BZ$1001,957,E$2)&amp;""),""))</f>
        <v/>
      </c>
      <c r="F958">
        <f>IF(F$2=0,"",IFERROR(TRIM(INDEX('Pegar calibracion'!$A$1:$BZ$1001,957,F$2)&amp;""),""))</f>
        <v/>
      </c>
      <c r="G958">
        <f>IF(G$2=0,"",IFERROR(TRIM(INDEX('Pegar calibracion'!$A$1:$BZ$1001,957,G$2)&amp;""),""))</f>
        <v/>
      </c>
      <c r="H958">
        <f>IF(H$2=0,"",IFERROR(TRIM(INDEX('Pegar calibracion'!$A$1:$BZ$1001,957,H$2)&amp;""),""))</f>
        <v/>
      </c>
      <c r="I958">
        <f>IF(I$2=0,"",IFERROR(TRIM(INDEX('Pegar calibracion'!$A$1:$BZ$1001,957,I$2)&amp;""),""))</f>
        <v/>
      </c>
      <c r="J958">
        <f>IF(J$2=0,"",IFERROR(TRIM(INDEX('Pegar calibracion'!$A$1:$BZ$1001,957,J$2)&amp;""),""))</f>
        <v/>
      </c>
      <c r="K958">
        <f>IF(K$2=0,"",IFERROR(TRIM(INDEX('Pegar calibracion'!$A$1:$BZ$1001,957,K$2)&amp;""),""))</f>
        <v/>
      </c>
      <c r="L958">
        <f>IF(L$2=0,"",IFERROR(TRIM(INDEX('Pegar calibracion'!$A$1:$BZ$1001,957,L$2)&amp;""),""))</f>
        <v/>
      </c>
      <c r="M958" s="25">
        <f>IF(D958="","",SUBSTITUTE(SUBSTITUTE(SUBSTITUTE(SUBSTITUTE(SUBSTITUTE(SUBSTITUTE(SUBSTITUTE(SUBSTITUTE(SUBSTITUTE(SUBSTITUTE(SUBSTITUTE(SUBSTITUTE(LOWER(TRIM(D958)),"á","a"),"é","e"),"í","i"),"ó","o"),"ú","u"),"ü","u"),"ñ","n"),"à","a"),"è","e"),"ì","i"),"ò","o"),"ù","u"))</f>
        <v/>
      </c>
      <c r="N958" s="25">
        <f>IF(F958="","",SUBSTITUTE(SUBSTITUTE(SUBSTITUTE(SUBSTITUTE(SUBSTITUTE(SUBSTITUTE(SUBSTITUTE(SUBSTITUTE(SUBSTITUTE(SUBSTITUTE(SUBSTITUTE(SUBSTITUTE(LOWER(TRIM(F958)),"á","a"),"é","e"),"í","i"),"ó","o"),"ú","u"),"ü","u"),"ñ","n"),"à","a"),"è","e"),"ì","i"),"ò","o"),"ù","u"))</f>
        <v/>
      </c>
      <c r="O958" s="25">
        <f>IF(M958="confiable",2,IF(M958="dudosa",1,IF(M958="no confiable",0,"")))</f>
        <v/>
      </c>
      <c r="P958" s="25">
        <f>IF(N958="confiable",2,IF(N958="dudosa",1,IF(N958="no confiable",0,"")))</f>
        <v/>
      </c>
      <c r="Q958" s="25">
        <f>IF(AND(ISNUMBER(O958),ISNUMBER(P958)),1,"")</f>
        <v/>
      </c>
      <c r="R958" s="25">
        <f>IF(Q958=1,IF(O958=P958,"Sí","No"),"")</f>
        <v/>
      </c>
      <c r="S958" s="25">
        <f>IF(Q958=1,IF(P958&lt;O958,"Más estricto",IF(P958&gt;O958,"Más permisivo","Igual")),"")</f>
        <v/>
      </c>
      <c r="T958" s="25">
        <f>IF(Q958=1,IF(ABS(O958-P958)=2,1,0),"")</f>
        <v/>
      </c>
      <c r="U958" s="25">
        <f>IF(H958="","","|"&amp;SUBSTITUTE(SUBSTITUTE(TRIM(H958)," |","|"),"| ","|")&amp;"|")</f>
        <v/>
      </c>
      <c r="V958" s="25">
        <f>IF(AND(Q958=1,B958&lt;&gt;""),IF(IFERROR(COUNTIFS(B$3:B958,"="&amp;SUBSTITUTE(SUBSTITUTE(SUBSTITUTE(B958,"~","~~"),"*","~*"),"?","~?"),Q$3:Q958,1),0)=1,MAX(V$2:V957)+1,""),"")</f>
        <v/>
      </c>
      <c r="W958" s="25">
        <f>IF(V958="","",COUNTIFS($B$3:$B$1002,"="&amp;SUBSTITUTE(SUBSTITUTE(SUBSTITUTE(B958,"~","~~"),"*","~*"),"?","~?"),$Q$3:$Q$1002,1)*10000-V958)</f>
        <v/>
      </c>
      <c r="X958" s="25">
        <f>IF(Q958=1,IF(SUBSTITUTE(SUBSTITUTE(SUBSTITUTE(SUBSTITUTE(SUBSTITUTE(SUBSTITUTE(SUBSTITUTE(SUBSTITUTE(SUBSTITUTE(SUBSTITUTE(SUBSTITUTE(SUBSTITUTE(LOWER(TRIM(A958)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958)),"á","a"),"é","e"),"í","i"),"ó","o"),"ú","u"),"ü","u"),"ñ","n"),"à","a"),"è","e"),"ì","i"),"ò","o"),"ù","u")),"")</f>
        <v/>
      </c>
      <c r="Y958" s="25">
        <f>IF(X958="","",IF(IFERROR(COUNTIF(X$3:X958,"="&amp;SUBSTITUTE(SUBSTITUTE(SUBSTITUTE(X958,"~","~~"),"*","~*"),"?","~?")),0)=1,1,""))</f>
        <v/>
      </c>
      <c r="Z958" s="25">
        <f>IF(T958=1,MAX(Z$2:Z957)+1,"")</f>
        <v/>
      </c>
    </row>
    <row r="959">
      <c r="A959">
        <f>IF(A$2=0,"",IFERROR(TRIM(INDEX('Pegar calibracion'!$A$1:$BZ$1001,958,A$2)&amp;""),""))</f>
        <v/>
      </c>
      <c r="B959">
        <f>IF(B$2=0,"",IFERROR(TRIM(INDEX('Pegar calibracion'!$A$1:$BZ$1001,958,B$2)&amp;""),""))</f>
        <v/>
      </c>
      <c r="C959">
        <f>IF(C$2=0,"",IFERROR(TRIM(INDEX('Pegar calibracion'!$A$1:$BZ$1001,958,C$2)&amp;""),""))</f>
        <v/>
      </c>
      <c r="D959">
        <f>IF(D$2=0,"",IFERROR(TRIM(INDEX('Pegar calibracion'!$A$1:$BZ$1001,958,D$2)&amp;""),""))</f>
        <v/>
      </c>
      <c r="E959">
        <f>IF(E$2=0,"",IFERROR(TRIM(INDEX('Pegar calibracion'!$A$1:$BZ$1001,958,E$2)&amp;""),""))</f>
        <v/>
      </c>
      <c r="F959">
        <f>IF(F$2=0,"",IFERROR(TRIM(INDEX('Pegar calibracion'!$A$1:$BZ$1001,958,F$2)&amp;""),""))</f>
        <v/>
      </c>
      <c r="G959">
        <f>IF(G$2=0,"",IFERROR(TRIM(INDEX('Pegar calibracion'!$A$1:$BZ$1001,958,G$2)&amp;""),""))</f>
        <v/>
      </c>
      <c r="H959">
        <f>IF(H$2=0,"",IFERROR(TRIM(INDEX('Pegar calibracion'!$A$1:$BZ$1001,958,H$2)&amp;""),""))</f>
        <v/>
      </c>
      <c r="I959">
        <f>IF(I$2=0,"",IFERROR(TRIM(INDEX('Pegar calibracion'!$A$1:$BZ$1001,958,I$2)&amp;""),""))</f>
        <v/>
      </c>
      <c r="J959">
        <f>IF(J$2=0,"",IFERROR(TRIM(INDEX('Pegar calibracion'!$A$1:$BZ$1001,958,J$2)&amp;""),""))</f>
        <v/>
      </c>
      <c r="K959">
        <f>IF(K$2=0,"",IFERROR(TRIM(INDEX('Pegar calibracion'!$A$1:$BZ$1001,958,K$2)&amp;""),""))</f>
        <v/>
      </c>
      <c r="L959">
        <f>IF(L$2=0,"",IFERROR(TRIM(INDEX('Pegar calibracion'!$A$1:$BZ$1001,958,L$2)&amp;""),""))</f>
        <v/>
      </c>
      <c r="M959" s="25">
        <f>IF(D959="","",SUBSTITUTE(SUBSTITUTE(SUBSTITUTE(SUBSTITUTE(SUBSTITUTE(SUBSTITUTE(SUBSTITUTE(SUBSTITUTE(SUBSTITUTE(SUBSTITUTE(SUBSTITUTE(SUBSTITUTE(LOWER(TRIM(D959)),"á","a"),"é","e"),"í","i"),"ó","o"),"ú","u"),"ü","u"),"ñ","n"),"à","a"),"è","e"),"ì","i"),"ò","o"),"ù","u"))</f>
        <v/>
      </c>
      <c r="N959" s="25">
        <f>IF(F959="","",SUBSTITUTE(SUBSTITUTE(SUBSTITUTE(SUBSTITUTE(SUBSTITUTE(SUBSTITUTE(SUBSTITUTE(SUBSTITUTE(SUBSTITUTE(SUBSTITUTE(SUBSTITUTE(SUBSTITUTE(LOWER(TRIM(F959)),"á","a"),"é","e"),"í","i"),"ó","o"),"ú","u"),"ü","u"),"ñ","n"),"à","a"),"è","e"),"ì","i"),"ò","o"),"ù","u"))</f>
        <v/>
      </c>
      <c r="O959" s="25">
        <f>IF(M959="confiable",2,IF(M959="dudosa",1,IF(M959="no confiable",0,"")))</f>
        <v/>
      </c>
      <c r="P959" s="25">
        <f>IF(N959="confiable",2,IF(N959="dudosa",1,IF(N959="no confiable",0,"")))</f>
        <v/>
      </c>
      <c r="Q959" s="25">
        <f>IF(AND(ISNUMBER(O959),ISNUMBER(P959)),1,"")</f>
        <v/>
      </c>
      <c r="R959" s="25">
        <f>IF(Q959=1,IF(O959=P959,"Sí","No"),"")</f>
        <v/>
      </c>
      <c r="S959" s="25">
        <f>IF(Q959=1,IF(P959&lt;O959,"Más estricto",IF(P959&gt;O959,"Más permisivo","Igual")),"")</f>
        <v/>
      </c>
      <c r="T959" s="25">
        <f>IF(Q959=1,IF(ABS(O959-P959)=2,1,0),"")</f>
        <v/>
      </c>
      <c r="U959" s="25">
        <f>IF(H959="","","|"&amp;SUBSTITUTE(SUBSTITUTE(TRIM(H959)," |","|"),"| ","|")&amp;"|")</f>
        <v/>
      </c>
      <c r="V959" s="25">
        <f>IF(AND(Q959=1,B959&lt;&gt;""),IF(IFERROR(COUNTIFS(B$3:B959,"="&amp;SUBSTITUTE(SUBSTITUTE(SUBSTITUTE(B959,"~","~~"),"*","~*"),"?","~?"),Q$3:Q959,1),0)=1,MAX(V$2:V958)+1,""),"")</f>
        <v/>
      </c>
      <c r="W959" s="25">
        <f>IF(V959="","",COUNTIFS($B$3:$B$1002,"="&amp;SUBSTITUTE(SUBSTITUTE(SUBSTITUTE(B959,"~","~~"),"*","~*"),"?","~?"),$Q$3:$Q$1002,1)*10000-V959)</f>
        <v/>
      </c>
      <c r="X959" s="25">
        <f>IF(Q959=1,IF(SUBSTITUTE(SUBSTITUTE(SUBSTITUTE(SUBSTITUTE(SUBSTITUTE(SUBSTITUTE(SUBSTITUTE(SUBSTITUTE(SUBSTITUTE(SUBSTITUTE(SUBSTITUTE(SUBSTITUTE(LOWER(TRIM(A959)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959)),"á","a"),"é","e"),"í","i"),"ó","o"),"ú","u"),"ü","u"),"ñ","n"),"à","a"),"è","e"),"ì","i"),"ò","o"),"ù","u")),"")</f>
        <v/>
      </c>
      <c r="Y959" s="25">
        <f>IF(X959="","",IF(IFERROR(COUNTIF(X$3:X959,"="&amp;SUBSTITUTE(SUBSTITUTE(SUBSTITUTE(X959,"~","~~"),"*","~*"),"?","~?")),0)=1,1,""))</f>
        <v/>
      </c>
      <c r="Z959" s="25">
        <f>IF(T959=1,MAX(Z$2:Z958)+1,"")</f>
        <v/>
      </c>
    </row>
    <row r="960">
      <c r="A960">
        <f>IF(A$2=0,"",IFERROR(TRIM(INDEX('Pegar calibracion'!$A$1:$BZ$1001,959,A$2)&amp;""),""))</f>
        <v/>
      </c>
      <c r="B960">
        <f>IF(B$2=0,"",IFERROR(TRIM(INDEX('Pegar calibracion'!$A$1:$BZ$1001,959,B$2)&amp;""),""))</f>
        <v/>
      </c>
      <c r="C960">
        <f>IF(C$2=0,"",IFERROR(TRIM(INDEX('Pegar calibracion'!$A$1:$BZ$1001,959,C$2)&amp;""),""))</f>
        <v/>
      </c>
      <c r="D960">
        <f>IF(D$2=0,"",IFERROR(TRIM(INDEX('Pegar calibracion'!$A$1:$BZ$1001,959,D$2)&amp;""),""))</f>
        <v/>
      </c>
      <c r="E960">
        <f>IF(E$2=0,"",IFERROR(TRIM(INDEX('Pegar calibracion'!$A$1:$BZ$1001,959,E$2)&amp;""),""))</f>
        <v/>
      </c>
      <c r="F960">
        <f>IF(F$2=0,"",IFERROR(TRIM(INDEX('Pegar calibracion'!$A$1:$BZ$1001,959,F$2)&amp;""),""))</f>
        <v/>
      </c>
      <c r="G960">
        <f>IF(G$2=0,"",IFERROR(TRIM(INDEX('Pegar calibracion'!$A$1:$BZ$1001,959,G$2)&amp;""),""))</f>
        <v/>
      </c>
      <c r="H960">
        <f>IF(H$2=0,"",IFERROR(TRIM(INDEX('Pegar calibracion'!$A$1:$BZ$1001,959,H$2)&amp;""),""))</f>
        <v/>
      </c>
      <c r="I960">
        <f>IF(I$2=0,"",IFERROR(TRIM(INDEX('Pegar calibracion'!$A$1:$BZ$1001,959,I$2)&amp;""),""))</f>
        <v/>
      </c>
      <c r="J960">
        <f>IF(J$2=0,"",IFERROR(TRIM(INDEX('Pegar calibracion'!$A$1:$BZ$1001,959,J$2)&amp;""),""))</f>
        <v/>
      </c>
      <c r="K960">
        <f>IF(K$2=0,"",IFERROR(TRIM(INDEX('Pegar calibracion'!$A$1:$BZ$1001,959,K$2)&amp;""),""))</f>
        <v/>
      </c>
      <c r="L960">
        <f>IF(L$2=0,"",IFERROR(TRIM(INDEX('Pegar calibracion'!$A$1:$BZ$1001,959,L$2)&amp;""),""))</f>
        <v/>
      </c>
      <c r="M960" s="25">
        <f>IF(D960="","",SUBSTITUTE(SUBSTITUTE(SUBSTITUTE(SUBSTITUTE(SUBSTITUTE(SUBSTITUTE(SUBSTITUTE(SUBSTITUTE(SUBSTITUTE(SUBSTITUTE(SUBSTITUTE(SUBSTITUTE(LOWER(TRIM(D960)),"á","a"),"é","e"),"í","i"),"ó","o"),"ú","u"),"ü","u"),"ñ","n"),"à","a"),"è","e"),"ì","i"),"ò","o"),"ù","u"))</f>
        <v/>
      </c>
      <c r="N960" s="25">
        <f>IF(F960="","",SUBSTITUTE(SUBSTITUTE(SUBSTITUTE(SUBSTITUTE(SUBSTITUTE(SUBSTITUTE(SUBSTITUTE(SUBSTITUTE(SUBSTITUTE(SUBSTITUTE(SUBSTITUTE(SUBSTITUTE(LOWER(TRIM(F960)),"á","a"),"é","e"),"í","i"),"ó","o"),"ú","u"),"ü","u"),"ñ","n"),"à","a"),"è","e"),"ì","i"),"ò","o"),"ù","u"))</f>
        <v/>
      </c>
      <c r="O960" s="25">
        <f>IF(M960="confiable",2,IF(M960="dudosa",1,IF(M960="no confiable",0,"")))</f>
        <v/>
      </c>
      <c r="P960" s="25">
        <f>IF(N960="confiable",2,IF(N960="dudosa",1,IF(N960="no confiable",0,"")))</f>
        <v/>
      </c>
      <c r="Q960" s="25">
        <f>IF(AND(ISNUMBER(O960),ISNUMBER(P960)),1,"")</f>
        <v/>
      </c>
      <c r="R960" s="25">
        <f>IF(Q960=1,IF(O960=P960,"Sí","No"),"")</f>
        <v/>
      </c>
      <c r="S960" s="25">
        <f>IF(Q960=1,IF(P960&lt;O960,"Más estricto",IF(P960&gt;O960,"Más permisivo","Igual")),"")</f>
        <v/>
      </c>
      <c r="T960" s="25">
        <f>IF(Q960=1,IF(ABS(O960-P960)=2,1,0),"")</f>
        <v/>
      </c>
      <c r="U960" s="25">
        <f>IF(H960="","","|"&amp;SUBSTITUTE(SUBSTITUTE(TRIM(H960)," |","|"),"| ","|")&amp;"|")</f>
        <v/>
      </c>
      <c r="V960" s="25">
        <f>IF(AND(Q960=1,B960&lt;&gt;""),IF(IFERROR(COUNTIFS(B$3:B960,"="&amp;SUBSTITUTE(SUBSTITUTE(SUBSTITUTE(B960,"~","~~"),"*","~*"),"?","~?"),Q$3:Q960,1),0)=1,MAX(V$2:V959)+1,""),"")</f>
        <v/>
      </c>
      <c r="W960" s="25">
        <f>IF(V960="","",COUNTIFS($B$3:$B$1002,"="&amp;SUBSTITUTE(SUBSTITUTE(SUBSTITUTE(B960,"~","~~"),"*","~*"),"?","~?"),$Q$3:$Q$1002,1)*10000-V960)</f>
        <v/>
      </c>
      <c r="X960" s="25">
        <f>IF(Q960=1,IF(SUBSTITUTE(SUBSTITUTE(SUBSTITUTE(SUBSTITUTE(SUBSTITUTE(SUBSTITUTE(SUBSTITUTE(SUBSTITUTE(SUBSTITUTE(SUBSTITUTE(SUBSTITUTE(SUBSTITUTE(LOWER(TRIM(A960)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960)),"á","a"),"é","e"),"í","i"),"ó","o"),"ú","u"),"ü","u"),"ñ","n"),"à","a"),"è","e"),"ì","i"),"ò","o"),"ù","u")),"")</f>
        <v/>
      </c>
      <c r="Y960" s="25">
        <f>IF(X960="","",IF(IFERROR(COUNTIF(X$3:X960,"="&amp;SUBSTITUTE(SUBSTITUTE(SUBSTITUTE(X960,"~","~~"),"*","~*"),"?","~?")),0)=1,1,""))</f>
        <v/>
      </c>
      <c r="Z960" s="25">
        <f>IF(T960=1,MAX(Z$2:Z959)+1,"")</f>
        <v/>
      </c>
    </row>
    <row r="961">
      <c r="A961">
        <f>IF(A$2=0,"",IFERROR(TRIM(INDEX('Pegar calibracion'!$A$1:$BZ$1001,960,A$2)&amp;""),""))</f>
        <v/>
      </c>
      <c r="B961">
        <f>IF(B$2=0,"",IFERROR(TRIM(INDEX('Pegar calibracion'!$A$1:$BZ$1001,960,B$2)&amp;""),""))</f>
        <v/>
      </c>
      <c r="C961">
        <f>IF(C$2=0,"",IFERROR(TRIM(INDEX('Pegar calibracion'!$A$1:$BZ$1001,960,C$2)&amp;""),""))</f>
        <v/>
      </c>
      <c r="D961">
        <f>IF(D$2=0,"",IFERROR(TRIM(INDEX('Pegar calibracion'!$A$1:$BZ$1001,960,D$2)&amp;""),""))</f>
        <v/>
      </c>
      <c r="E961">
        <f>IF(E$2=0,"",IFERROR(TRIM(INDEX('Pegar calibracion'!$A$1:$BZ$1001,960,E$2)&amp;""),""))</f>
        <v/>
      </c>
      <c r="F961">
        <f>IF(F$2=0,"",IFERROR(TRIM(INDEX('Pegar calibracion'!$A$1:$BZ$1001,960,F$2)&amp;""),""))</f>
        <v/>
      </c>
      <c r="G961">
        <f>IF(G$2=0,"",IFERROR(TRIM(INDEX('Pegar calibracion'!$A$1:$BZ$1001,960,G$2)&amp;""),""))</f>
        <v/>
      </c>
      <c r="H961">
        <f>IF(H$2=0,"",IFERROR(TRIM(INDEX('Pegar calibracion'!$A$1:$BZ$1001,960,H$2)&amp;""),""))</f>
        <v/>
      </c>
      <c r="I961">
        <f>IF(I$2=0,"",IFERROR(TRIM(INDEX('Pegar calibracion'!$A$1:$BZ$1001,960,I$2)&amp;""),""))</f>
        <v/>
      </c>
      <c r="J961">
        <f>IF(J$2=0,"",IFERROR(TRIM(INDEX('Pegar calibracion'!$A$1:$BZ$1001,960,J$2)&amp;""),""))</f>
        <v/>
      </c>
      <c r="K961">
        <f>IF(K$2=0,"",IFERROR(TRIM(INDEX('Pegar calibracion'!$A$1:$BZ$1001,960,K$2)&amp;""),""))</f>
        <v/>
      </c>
      <c r="L961">
        <f>IF(L$2=0,"",IFERROR(TRIM(INDEX('Pegar calibracion'!$A$1:$BZ$1001,960,L$2)&amp;""),""))</f>
        <v/>
      </c>
      <c r="M961" s="25">
        <f>IF(D961="","",SUBSTITUTE(SUBSTITUTE(SUBSTITUTE(SUBSTITUTE(SUBSTITUTE(SUBSTITUTE(SUBSTITUTE(SUBSTITUTE(SUBSTITUTE(SUBSTITUTE(SUBSTITUTE(SUBSTITUTE(LOWER(TRIM(D961)),"á","a"),"é","e"),"í","i"),"ó","o"),"ú","u"),"ü","u"),"ñ","n"),"à","a"),"è","e"),"ì","i"),"ò","o"),"ù","u"))</f>
        <v/>
      </c>
      <c r="N961" s="25">
        <f>IF(F961="","",SUBSTITUTE(SUBSTITUTE(SUBSTITUTE(SUBSTITUTE(SUBSTITUTE(SUBSTITUTE(SUBSTITUTE(SUBSTITUTE(SUBSTITUTE(SUBSTITUTE(SUBSTITUTE(SUBSTITUTE(LOWER(TRIM(F961)),"á","a"),"é","e"),"í","i"),"ó","o"),"ú","u"),"ü","u"),"ñ","n"),"à","a"),"è","e"),"ì","i"),"ò","o"),"ù","u"))</f>
        <v/>
      </c>
      <c r="O961" s="25">
        <f>IF(M961="confiable",2,IF(M961="dudosa",1,IF(M961="no confiable",0,"")))</f>
        <v/>
      </c>
      <c r="P961" s="25">
        <f>IF(N961="confiable",2,IF(N961="dudosa",1,IF(N961="no confiable",0,"")))</f>
        <v/>
      </c>
      <c r="Q961" s="25">
        <f>IF(AND(ISNUMBER(O961),ISNUMBER(P961)),1,"")</f>
        <v/>
      </c>
      <c r="R961" s="25">
        <f>IF(Q961=1,IF(O961=P961,"Sí","No"),"")</f>
        <v/>
      </c>
      <c r="S961" s="25">
        <f>IF(Q961=1,IF(P961&lt;O961,"Más estricto",IF(P961&gt;O961,"Más permisivo","Igual")),"")</f>
        <v/>
      </c>
      <c r="T961" s="25">
        <f>IF(Q961=1,IF(ABS(O961-P961)=2,1,0),"")</f>
        <v/>
      </c>
      <c r="U961" s="25">
        <f>IF(H961="","","|"&amp;SUBSTITUTE(SUBSTITUTE(TRIM(H961)," |","|"),"| ","|")&amp;"|")</f>
        <v/>
      </c>
      <c r="V961" s="25">
        <f>IF(AND(Q961=1,B961&lt;&gt;""),IF(IFERROR(COUNTIFS(B$3:B961,"="&amp;SUBSTITUTE(SUBSTITUTE(SUBSTITUTE(B961,"~","~~"),"*","~*"),"?","~?"),Q$3:Q961,1),0)=1,MAX(V$2:V960)+1,""),"")</f>
        <v/>
      </c>
      <c r="W961" s="25">
        <f>IF(V961="","",COUNTIFS($B$3:$B$1002,"="&amp;SUBSTITUTE(SUBSTITUTE(SUBSTITUTE(B961,"~","~~"),"*","~*"),"?","~?"),$Q$3:$Q$1002,1)*10000-V961)</f>
        <v/>
      </c>
      <c r="X961" s="25">
        <f>IF(Q961=1,IF(SUBSTITUTE(SUBSTITUTE(SUBSTITUTE(SUBSTITUTE(SUBSTITUTE(SUBSTITUTE(SUBSTITUTE(SUBSTITUTE(SUBSTITUTE(SUBSTITUTE(SUBSTITUTE(SUBSTITUTE(LOWER(TRIM(A961)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961)),"á","a"),"é","e"),"í","i"),"ó","o"),"ú","u"),"ü","u"),"ñ","n"),"à","a"),"è","e"),"ì","i"),"ò","o"),"ù","u")),"")</f>
        <v/>
      </c>
      <c r="Y961" s="25">
        <f>IF(X961="","",IF(IFERROR(COUNTIF(X$3:X961,"="&amp;SUBSTITUTE(SUBSTITUTE(SUBSTITUTE(X961,"~","~~"),"*","~*"),"?","~?")),0)=1,1,""))</f>
        <v/>
      </c>
      <c r="Z961" s="25">
        <f>IF(T961=1,MAX(Z$2:Z960)+1,"")</f>
        <v/>
      </c>
    </row>
    <row r="962">
      <c r="A962">
        <f>IF(A$2=0,"",IFERROR(TRIM(INDEX('Pegar calibracion'!$A$1:$BZ$1001,961,A$2)&amp;""),""))</f>
        <v/>
      </c>
      <c r="B962">
        <f>IF(B$2=0,"",IFERROR(TRIM(INDEX('Pegar calibracion'!$A$1:$BZ$1001,961,B$2)&amp;""),""))</f>
        <v/>
      </c>
      <c r="C962">
        <f>IF(C$2=0,"",IFERROR(TRIM(INDEX('Pegar calibracion'!$A$1:$BZ$1001,961,C$2)&amp;""),""))</f>
        <v/>
      </c>
      <c r="D962">
        <f>IF(D$2=0,"",IFERROR(TRIM(INDEX('Pegar calibracion'!$A$1:$BZ$1001,961,D$2)&amp;""),""))</f>
        <v/>
      </c>
      <c r="E962">
        <f>IF(E$2=0,"",IFERROR(TRIM(INDEX('Pegar calibracion'!$A$1:$BZ$1001,961,E$2)&amp;""),""))</f>
        <v/>
      </c>
      <c r="F962">
        <f>IF(F$2=0,"",IFERROR(TRIM(INDEX('Pegar calibracion'!$A$1:$BZ$1001,961,F$2)&amp;""),""))</f>
        <v/>
      </c>
      <c r="G962">
        <f>IF(G$2=0,"",IFERROR(TRIM(INDEX('Pegar calibracion'!$A$1:$BZ$1001,961,G$2)&amp;""),""))</f>
        <v/>
      </c>
      <c r="H962">
        <f>IF(H$2=0,"",IFERROR(TRIM(INDEX('Pegar calibracion'!$A$1:$BZ$1001,961,H$2)&amp;""),""))</f>
        <v/>
      </c>
      <c r="I962">
        <f>IF(I$2=0,"",IFERROR(TRIM(INDEX('Pegar calibracion'!$A$1:$BZ$1001,961,I$2)&amp;""),""))</f>
        <v/>
      </c>
      <c r="J962">
        <f>IF(J$2=0,"",IFERROR(TRIM(INDEX('Pegar calibracion'!$A$1:$BZ$1001,961,J$2)&amp;""),""))</f>
        <v/>
      </c>
      <c r="K962">
        <f>IF(K$2=0,"",IFERROR(TRIM(INDEX('Pegar calibracion'!$A$1:$BZ$1001,961,K$2)&amp;""),""))</f>
        <v/>
      </c>
      <c r="L962">
        <f>IF(L$2=0,"",IFERROR(TRIM(INDEX('Pegar calibracion'!$A$1:$BZ$1001,961,L$2)&amp;""),""))</f>
        <v/>
      </c>
      <c r="M962" s="25">
        <f>IF(D962="","",SUBSTITUTE(SUBSTITUTE(SUBSTITUTE(SUBSTITUTE(SUBSTITUTE(SUBSTITUTE(SUBSTITUTE(SUBSTITUTE(SUBSTITUTE(SUBSTITUTE(SUBSTITUTE(SUBSTITUTE(LOWER(TRIM(D962)),"á","a"),"é","e"),"í","i"),"ó","o"),"ú","u"),"ü","u"),"ñ","n"),"à","a"),"è","e"),"ì","i"),"ò","o"),"ù","u"))</f>
        <v/>
      </c>
      <c r="N962" s="25">
        <f>IF(F962="","",SUBSTITUTE(SUBSTITUTE(SUBSTITUTE(SUBSTITUTE(SUBSTITUTE(SUBSTITUTE(SUBSTITUTE(SUBSTITUTE(SUBSTITUTE(SUBSTITUTE(SUBSTITUTE(SUBSTITUTE(LOWER(TRIM(F962)),"á","a"),"é","e"),"í","i"),"ó","o"),"ú","u"),"ü","u"),"ñ","n"),"à","a"),"è","e"),"ì","i"),"ò","o"),"ù","u"))</f>
        <v/>
      </c>
      <c r="O962" s="25">
        <f>IF(M962="confiable",2,IF(M962="dudosa",1,IF(M962="no confiable",0,"")))</f>
        <v/>
      </c>
      <c r="P962" s="25">
        <f>IF(N962="confiable",2,IF(N962="dudosa",1,IF(N962="no confiable",0,"")))</f>
        <v/>
      </c>
      <c r="Q962" s="25">
        <f>IF(AND(ISNUMBER(O962),ISNUMBER(P962)),1,"")</f>
        <v/>
      </c>
      <c r="R962" s="25">
        <f>IF(Q962=1,IF(O962=P962,"Sí","No"),"")</f>
        <v/>
      </c>
      <c r="S962" s="25">
        <f>IF(Q962=1,IF(P962&lt;O962,"Más estricto",IF(P962&gt;O962,"Más permisivo","Igual")),"")</f>
        <v/>
      </c>
      <c r="T962" s="25">
        <f>IF(Q962=1,IF(ABS(O962-P962)=2,1,0),"")</f>
        <v/>
      </c>
      <c r="U962" s="25">
        <f>IF(H962="","","|"&amp;SUBSTITUTE(SUBSTITUTE(TRIM(H962)," |","|"),"| ","|")&amp;"|")</f>
        <v/>
      </c>
      <c r="V962" s="25">
        <f>IF(AND(Q962=1,B962&lt;&gt;""),IF(IFERROR(COUNTIFS(B$3:B962,"="&amp;SUBSTITUTE(SUBSTITUTE(SUBSTITUTE(B962,"~","~~"),"*","~*"),"?","~?"),Q$3:Q962,1),0)=1,MAX(V$2:V961)+1,""),"")</f>
        <v/>
      </c>
      <c r="W962" s="25">
        <f>IF(V962="","",COUNTIFS($B$3:$B$1002,"="&amp;SUBSTITUTE(SUBSTITUTE(SUBSTITUTE(B962,"~","~~"),"*","~*"),"?","~?"),$Q$3:$Q$1002,1)*10000-V962)</f>
        <v/>
      </c>
      <c r="X962" s="25">
        <f>IF(Q962=1,IF(SUBSTITUTE(SUBSTITUTE(SUBSTITUTE(SUBSTITUTE(SUBSTITUTE(SUBSTITUTE(SUBSTITUTE(SUBSTITUTE(SUBSTITUTE(SUBSTITUTE(SUBSTITUTE(SUBSTITUTE(LOWER(TRIM(A962)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962)),"á","a"),"é","e"),"í","i"),"ó","o"),"ú","u"),"ü","u"),"ñ","n"),"à","a"),"è","e"),"ì","i"),"ò","o"),"ù","u")),"")</f>
        <v/>
      </c>
      <c r="Y962" s="25">
        <f>IF(X962="","",IF(IFERROR(COUNTIF(X$3:X962,"="&amp;SUBSTITUTE(SUBSTITUTE(SUBSTITUTE(X962,"~","~~"),"*","~*"),"?","~?")),0)=1,1,""))</f>
        <v/>
      </c>
      <c r="Z962" s="25">
        <f>IF(T962=1,MAX(Z$2:Z961)+1,"")</f>
        <v/>
      </c>
    </row>
    <row r="963">
      <c r="A963">
        <f>IF(A$2=0,"",IFERROR(TRIM(INDEX('Pegar calibracion'!$A$1:$BZ$1001,962,A$2)&amp;""),""))</f>
        <v/>
      </c>
      <c r="B963">
        <f>IF(B$2=0,"",IFERROR(TRIM(INDEX('Pegar calibracion'!$A$1:$BZ$1001,962,B$2)&amp;""),""))</f>
        <v/>
      </c>
      <c r="C963">
        <f>IF(C$2=0,"",IFERROR(TRIM(INDEX('Pegar calibracion'!$A$1:$BZ$1001,962,C$2)&amp;""),""))</f>
        <v/>
      </c>
      <c r="D963">
        <f>IF(D$2=0,"",IFERROR(TRIM(INDEX('Pegar calibracion'!$A$1:$BZ$1001,962,D$2)&amp;""),""))</f>
        <v/>
      </c>
      <c r="E963">
        <f>IF(E$2=0,"",IFERROR(TRIM(INDEX('Pegar calibracion'!$A$1:$BZ$1001,962,E$2)&amp;""),""))</f>
        <v/>
      </c>
      <c r="F963">
        <f>IF(F$2=0,"",IFERROR(TRIM(INDEX('Pegar calibracion'!$A$1:$BZ$1001,962,F$2)&amp;""),""))</f>
        <v/>
      </c>
      <c r="G963">
        <f>IF(G$2=0,"",IFERROR(TRIM(INDEX('Pegar calibracion'!$A$1:$BZ$1001,962,G$2)&amp;""),""))</f>
        <v/>
      </c>
      <c r="H963">
        <f>IF(H$2=0,"",IFERROR(TRIM(INDEX('Pegar calibracion'!$A$1:$BZ$1001,962,H$2)&amp;""),""))</f>
        <v/>
      </c>
      <c r="I963">
        <f>IF(I$2=0,"",IFERROR(TRIM(INDEX('Pegar calibracion'!$A$1:$BZ$1001,962,I$2)&amp;""),""))</f>
        <v/>
      </c>
      <c r="J963">
        <f>IF(J$2=0,"",IFERROR(TRIM(INDEX('Pegar calibracion'!$A$1:$BZ$1001,962,J$2)&amp;""),""))</f>
        <v/>
      </c>
      <c r="K963">
        <f>IF(K$2=0,"",IFERROR(TRIM(INDEX('Pegar calibracion'!$A$1:$BZ$1001,962,K$2)&amp;""),""))</f>
        <v/>
      </c>
      <c r="L963">
        <f>IF(L$2=0,"",IFERROR(TRIM(INDEX('Pegar calibracion'!$A$1:$BZ$1001,962,L$2)&amp;""),""))</f>
        <v/>
      </c>
      <c r="M963" s="25">
        <f>IF(D963="","",SUBSTITUTE(SUBSTITUTE(SUBSTITUTE(SUBSTITUTE(SUBSTITUTE(SUBSTITUTE(SUBSTITUTE(SUBSTITUTE(SUBSTITUTE(SUBSTITUTE(SUBSTITUTE(SUBSTITUTE(LOWER(TRIM(D963)),"á","a"),"é","e"),"í","i"),"ó","o"),"ú","u"),"ü","u"),"ñ","n"),"à","a"),"è","e"),"ì","i"),"ò","o"),"ù","u"))</f>
        <v/>
      </c>
      <c r="N963" s="25">
        <f>IF(F963="","",SUBSTITUTE(SUBSTITUTE(SUBSTITUTE(SUBSTITUTE(SUBSTITUTE(SUBSTITUTE(SUBSTITUTE(SUBSTITUTE(SUBSTITUTE(SUBSTITUTE(SUBSTITUTE(SUBSTITUTE(LOWER(TRIM(F963)),"á","a"),"é","e"),"í","i"),"ó","o"),"ú","u"),"ü","u"),"ñ","n"),"à","a"),"è","e"),"ì","i"),"ò","o"),"ù","u"))</f>
        <v/>
      </c>
      <c r="O963" s="25">
        <f>IF(M963="confiable",2,IF(M963="dudosa",1,IF(M963="no confiable",0,"")))</f>
        <v/>
      </c>
      <c r="P963" s="25">
        <f>IF(N963="confiable",2,IF(N963="dudosa",1,IF(N963="no confiable",0,"")))</f>
        <v/>
      </c>
      <c r="Q963" s="25">
        <f>IF(AND(ISNUMBER(O963),ISNUMBER(P963)),1,"")</f>
        <v/>
      </c>
      <c r="R963" s="25">
        <f>IF(Q963=1,IF(O963=P963,"Sí","No"),"")</f>
        <v/>
      </c>
      <c r="S963" s="25">
        <f>IF(Q963=1,IF(P963&lt;O963,"Más estricto",IF(P963&gt;O963,"Más permisivo","Igual")),"")</f>
        <v/>
      </c>
      <c r="T963" s="25">
        <f>IF(Q963=1,IF(ABS(O963-P963)=2,1,0),"")</f>
        <v/>
      </c>
      <c r="U963" s="25">
        <f>IF(H963="","","|"&amp;SUBSTITUTE(SUBSTITUTE(TRIM(H963)," |","|"),"| ","|")&amp;"|")</f>
        <v/>
      </c>
      <c r="V963" s="25">
        <f>IF(AND(Q963=1,B963&lt;&gt;""),IF(IFERROR(COUNTIFS(B$3:B963,"="&amp;SUBSTITUTE(SUBSTITUTE(SUBSTITUTE(B963,"~","~~"),"*","~*"),"?","~?"),Q$3:Q963,1),0)=1,MAX(V$2:V962)+1,""),"")</f>
        <v/>
      </c>
      <c r="W963" s="25">
        <f>IF(V963="","",COUNTIFS($B$3:$B$1002,"="&amp;SUBSTITUTE(SUBSTITUTE(SUBSTITUTE(B963,"~","~~"),"*","~*"),"?","~?"),$Q$3:$Q$1002,1)*10000-V963)</f>
        <v/>
      </c>
      <c r="X963" s="25">
        <f>IF(Q963=1,IF(SUBSTITUTE(SUBSTITUTE(SUBSTITUTE(SUBSTITUTE(SUBSTITUTE(SUBSTITUTE(SUBSTITUTE(SUBSTITUTE(SUBSTITUTE(SUBSTITUTE(SUBSTITUTE(SUBSTITUTE(LOWER(TRIM(A963)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963)),"á","a"),"é","e"),"í","i"),"ó","o"),"ú","u"),"ü","u"),"ñ","n"),"à","a"),"è","e"),"ì","i"),"ò","o"),"ù","u")),"")</f>
        <v/>
      </c>
      <c r="Y963" s="25">
        <f>IF(X963="","",IF(IFERROR(COUNTIF(X$3:X963,"="&amp;SUBSTITUTE(SUBSTITUTE(SUBSTITUTE(X963,"~","~~"),"*","~*"),"?","~?")),0)=1,1,""))</f>
        <v/>
      </c>
      <c r="Z963" s="25">
        <f>IF(T963=1,MAX(Z$2:Z962)+1,"")</f>
        <v/>
      </c>
    </row>
    <row r="964">
      <c r="A964">
        <f>IF(A$2=0,"",IFERROR(TRIM(INDEX('Pegar calibracion'!$A$1:$BZ$1001,963,A$2)&amp;""),""))</f>
        <v/>
      </c>
      <c r="B964">
        <f>IF(B$2=0,"",IFERROR(TRIM(INDEX('Pegar calibracion'!$A$1:$BZ$1001,963,B$2)&amp;""),""))</f>
        <v/>
      </c>
      <c r="C964">
        <f>IF(C$2=0,"",IFERROR(TRIM(INDEX('Pegar calibracion'!$A$1:$BZ$1001,963,C$2)&amp;""),""))</f>
        <v/>
      </c>
      <c r="D964">
        <f>IF(D$2=0,"",IFERROR(TRIM(INDEX('Pegar calibracion'!$A$1:$BZ$1001,963,D$2)&amp;""),""))</f>
        <v/>
      </c>
      <c r="E964">
        <f>IF(E$2=0,"",IFERROR(TRIM(INDEX('Pegar calibracion'!$A$1:$BZ$1001,963,E$2)&amp;""),""))</f>
        <v/>
      </c>
      <c r="F964">
        <f>IF(F$2=0,"",IFERROR(TRIM(INDEX('Pegar calibracion'!$A$1:$BZ$1001,963,F$2)&amp;""),""))</f>
        <v/>
      </c>
      <c r="G964">
        <f>IF(G$2=0,"",IFERROR(TRIM(INDEX('Pegar calibracion'!$A$1:$BZ$1001,963,G$2)&amp;""),""))</f>
        <v/>
      </c>
      <c r="H964">
        <f>IF(H$2=0,"",IFERROR(TRIM(INDEX('Pegar calibracion'!$A$1:$BZ$1001,963,H$2)&amp;""),""))</f>
        <v/>
      </c>
      <c r="I964">
        <f>IF(I$2=0,"",IFERROR(TRIM(INDEX('Pegar calibracion'!$A$1:$BZ$1001,963,I$2)&amp;""),""))</f>
        <v/>
      </c>
      <c r="J964">
        <f>IF(J$2=0,"",IFERROR(TRIM(INDEX('Pegar calibracion'!$A$1:$BZ$1001,963,J$2)&amp;""),""))</f>
        <v/>
      </c>
      <c r="K964">
        <f>IF(K$2=0,"",IFERROR(TRIM(INDEX('Pegar calibracion'!$A$1:$BZ$1001,963,K$2)&amp;""),""))</f>
        <v/>
      </c>
      <c r="L964">
        <f>IF(L$2=0,"",IFERROR(TRIM(INDEX('Pegar calibracion'!$A$1:$BZ$1001,963,L$2)&amp;""),""))</f>
        <v/>
      </c>
      <c r="M964" s="25">
        <f>IF(D964="","",SUBSTITUTE(SUBSTITUTE(SUBSTITUTE(SUBSTITUTE(SUBSTITUTE(SUBSTITUTE(SUBSTITUTE(SUBSTITUTE(SUBSTITUTE(SUBSTITUTE(SUBSTITUTE(SUBSTITUTE(LOWER(TRIM(D964)),"á","a"),"é","e"),"í","i"),"ó","o"),"ú","u"),"ü","u"),"ñ","n"),"à","a"),"è","e"),"ì","i"),"ò","o"),"ù","u"))</f>
        <v/>
      </c>
      <c r="N964" s="25">
        <f>IF(F964="","",SUBSTITUTE(SUBSTITUTE(SUBSTITUTE(SUBSTITUTE(SUBSTITUTE(SUBSTITUTE(SUBSTITUTE(SUBSTITUTE(SUBSTITUTE(SUBSTITUTE(SUBSTITUTE(SUBSTITUTE(LOWER(TRIM(F964)),"á","a"),"é","e"),"í","i"),"ó","o"),"ú","u"),"ü","u"),"ñ","n"),"à","a"),"è","e"),"ì","i"),"ò","o"),"ù","u"))</f>
        <v/>
      </c>
      <c r="O964" s="25">
        <f>IF(M964="confiable",2,IF(M964="dudosa",1,IF(M964="no confiable",0,"")))</f>
        <v/>
      </c>
      <c r="P964" s="25">
        <f>IF(N964="confiable",2,IF(N964="dudosa",1,IF(N964="no confiable",0,"")))</f>
        <v/>
      </c>
      <c r="Q964" s="25">
        <f>IF(AND(ISNUMBER(O964),ISNUMBER(P964)),1,"")</f>
        <v/>
      </c>
      <c r="R964" s="25">
        <f>IF(Q964=1,IF(O964=P964,"Sí","No"),"")</f>
        <v/>
      </c>
      <c r="S964" s="25">
        <f>IF(Q964=1,IF(P964&lt;O964,"Más estricto",IF(P964&gt;O964,"Más permisivo","Igual")),"")</f>
        <v/>
      </c>
      <c r="T964" s="25">
        <f>IF(Q964=1,IF(ABS(O964-P964)=2,1,0),"")</f>
        <v/>
      </c>
      <c r="U964" s="25">
        <f>IF(H964="","","|"&amp;SUBSTITUTE(SUBSTITUTE(TRIM(H964)," |","|"),"| ","|")&amp;"|")</f>
        <v/>
      </c>
      <c r="V964" s="25">
        <f>IF(AND(Q964=1,B964&lt;&gt;""),IF(IFERROR(COUNTIFS(B$3:B964,"="&amp;SUBSTITUTE(SUBSTITUTE(SUBSTITUTE(B964,"~","~~"),"*","~*"),"?","~?"),Q$3:Q964,1),0)=1,MAX(V$2:V963)+1,""),"")</f>
        <v/>
      </c>
      <c r="W964" s="25">
        <f>IF(V964="","",COUNTIFS($B$3:$B$1002,"="&amp;SUBSTITUTE(SUBSTITUTE(SUBSTITUTE(B964,"~","~~"),"*","~*"),"?","~?"),$Q$3:$Q$1002,1)*10000-V964)</f>
        <v/>
      </c>
      <c r="X964" s="25">
        <f>IF(Q964=1,IF(SUBSTITUTE(SUBSTITUTE(SUBSTITUTE(SUBSTITUTE(SUBSTITUTE(SUBSTITUTE(SUBSTITUTE(SUBSTITUTE(SUBSTITUTE(SUBSTITUTE(SUBSTITUTE(SUBSTITUTE(LOWER(TRIM(A964)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964)),"á","a"),"é","e"),"í","i"),"ó","o"),"ú","u"),"ü","u"),"ñ","n"),"à","a"),"è","e"),"ì","i"),"ò","o"),"ù","u")),"")</f>
        <v/>
      </c>
      <c r="Y964" s="25">
        <f>IF(X964="","",IF(IFERROR(COUNTIF(X$3:X964,"="&amp;SUBSTITUTE(SUBSTITUTE(SUBSTITUTE(X964,"~","~~"),"*","~*"),"?","~?")),0)=1,1,""))</f>
        <v/>
      </c>
      <c r="Z964" s="25">
        <f>IF(T964=1,MAX(Z$2:Z963)+1,"")</f>
        <v/>
      </c>
    </row>
    <row r="965">
      <c r="A965">
        <f>IF(A$2=0,"",IFERROR(TRIM(INDEX('Pegar calibracion'!$A$1:$BZ$1001,964,A$2)&amp;""),""))</f>
        <v/>
      </c>
      <c r="B965">
        <f>IF(B$2=0,"",IFERROR(TRIM(INDEX('Pegar calibracion'!$A$1:$BZ$1001,964,B$2)&amp;""),""))</f>
        <v/>
      </c>
      <c r="C965">
        <f>IF(C$2=0,"",IFERROR(TRIM(INDEX('Pegar calibracion'!$A$1:$BZ$1001,964,C$2)&amp;""),""))</f>
        <v/>
      </c>
      <c r="D965">
        <f>IF(D$2=0,"",IFERROR(TRIM(INDEX('Pegar calibracion'!$A$1:$BZ$1001,964,D$2)&amp;""),""))</f>
        <v/>
      </c>
      <c r="E965">
        <f>IF(E$2=0,"",IFERROR(TRIM(INDEX('Pegar calibracion'!$A$1:$BZ$1001,964,E$2)&amp;""),""))</f>
        <v/>
      </c>
      <c r="F965">
        <f>IF(F$2=0,"",IFERROR(TRIM(INDEX('Pegar calibracion'!$A$1:$BZ$1001,964,F$2)&amp;""),""))</f>
        <v/>
      </c>
      <c r="G965">
        <f>IF(G$2=0,"",IFERROR(TRIM(INDEX('Pegar calibracion'!$A$1:$BZ$1001,964,G$2)&amp;""),""))</f>
        <v/>
      </c>
      <c r="H965">
        <f>IF(H$2=0,"",IFERROR(TRIM(INDEX('Pegar calibracion'!$A$1:$BZ$1001,964,H$2)&amp;""),""))</f>
        <v/>
      </c>
      <c r="I965">
        <f>IF(I$2=0,"",IFERROR(TRIM(INDEX('Pegar calibracion'!$A$1:$BZ$1001,964,I$2)&amp;""),""))</f>
        <v/>
      </c>
      <c r="J965">
        <f>IF(J$2=0,"",IFERROR(TRIM(INDEX('Pegar calibracion'!$A$1:$BZ$1001,964,J$2)&amp;""),""))</f>
        <v/>
      </c>
      <c r="K965">
        <f>IF(K$2=0,"",IFERROR(TRIM(INDEX('Pegar calibracion'!$A$1:$BZ$1001,964,K$2)&amp;""),""))</f>
        <v/>
      </c>
      <c r="L965">
        <f>IF(L$2=0,"",IFERROR(TRIM(INDEX('Pegar calibracion'!$A$1:$BZ$1001,964,L$2)&amp;""),""))</f>
        <v/>
      </c>
      <c r="M965" s="25">
        <f>IF(D965="","",SUBSTITUTE(SUBSTITUTE(SUBSTITUTE(SUBSTITUTE(SUBSTITUTE(SUBSTITUTE(SUBSTITUTE(SUBSTITUTE(SUBSTITUTE(SUBSTITUTE(SUBSTITUTE(SUBSTITUTE(LOWER(TRIM(D965)),"á","a"),"é","e"),"í","i"),"ó","o"),"ú","u"),"ü","u"),"ñ","n"),"à","a"),"è","e"),"ì","i"),"ò","o"),"ù","u"))</f>
        <v/>
      </c>
      <c r="N965" s="25">
        <f>IF(F965="","",SUBSTITUTE(SUBSTITUTE(SUBSTITUTE(SUBSTITUTE(SUBSTITUTE(SUBSTITUTE(SUBSTITUTE(SUBSTITUTE(SUBSTITUTE(SUBSTITUTE(SUBSTITUTE(SUBSTITUTE(LOWER(TRIM(F965)),"á","a"),"é","e"),"í","i"),"ó","o"),"ú","u"),"ü","u"),"ñ","n"),"à","a"),"è","e"),"ì","i"),"ò","o"),"ù","u"))</f>
        <v/>
      </c>
      <c r="O965" s="25">
        <f>IF(M965="confiable",2,IF(M965="dudosa",1,IF(M965="no confiable",0,"")))</f>
        <v/>
      </c>
      <c r="P965" s="25">
        <f>IF(N965="confiable",2,IF(N965="dudosa",1,IF(N965="no confiable",0,"")))</f>
        <v/>
      </c>
      <c r="Q965" s="25">
        <f>IF(AND(ISNUMBER(O965),ISNUMBER(P965)),1,"")</f>
        <v/>
      </c>
      <c r="R965" s="25">
        <f>IF(Q965=1,IF(O965=P965,"Sí","No"),"")</f>
        <v/>
      </c>
      <c r="S965" s="25">
        <f>IF(Q965=1,IF(P965&lt;O965,"Más estricto",IF(P965&gt;O965,"Más permisivo","Igual")),"")</f>
        <v/>
      </c>
      <c r="T965" s="25">
        <f>IF(Q965=1,IF(ABS(O965-P965)=2,1,0),"")</f>
        <v/>
      </c>
      <c r="U965" s="25">
        <f>IF(H965="","","|"&amp;SUBSTITUTE(SUBSTITUTE(TRIM(H965)," |","|"),"| ","|")&amp;"|")</f>
        <v/>
      </c>
      <c r="V965" s="25">
        <f>IF(AND(Q965=1,B965&lt;&gt;""),IF(IFERROR(COUNTIFS(B$3:B965,"="&amp;SUBSTITUTE(SUBSTITUTE(SUBSTITUTE(B965,"~","~~"),"*","~*"),"?","~?"),Q$3:Q965,1),0)=1,MAX(V$2:V964)+1,""),"")</f>
        <v/>
      </c>
      <c r="W965" s="25">
        <f>IF(V965="","",COUNTIFS($B$3:$B$1002,"="&amp;SUBSTITUTE(SUBSTITUTE(SUBSTITUTE(B965,"~","~~"),"*","~*"),"?","~?"),$Q$3:$Q$1002,1)*10000-V965)</f>
        <v/>
      </c>
      <c r="X965" s="25">
        <f>IF(Q965=1,IF(SUBSTITUTE(SUBSTITUTE(SUBSTITUTE(SUBSTITUTE(SUBSTITUTE(SUBSTITUTE(SUBSTITUTE(SUBSTITUTE(SUBSTITUTE(SUBSTITUTE(SUBSTITUTE(SUBSTITUTE(LOWER(TRIM(A965)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965)),"á","a"),"é","e"),"í","i"),"ó","o"),"ú","u"),"ü","u"),"ñ","n"),"à","a"),"è","e"),"ì","i"),"ò","o"),"ù","u")),"")</f>
        <v/>
      </c>
      <c r="Y965" s="25">
        <f>IF(X965="","",IF(IFERROR(COUNTIF(X$3:X965,"="&amp;SUBSTITUTE(SUBSTITUTE(SUBSTITUTE(X965,"~","~~"),"*","~*"),"?","~?")),0)=1,1,""))</f>
        <v/>
      </c>
      <c r="Z965" s="25">
        <f>IF(T965=1,MAX(Z$2:Z964)+1,"")</f>
        <v/>
      </c>
    </row>
    <row r="966">
      <c r="A966">
        <f>IF(A$2=0,"",IFERROR(TRIM(INDEX('Pegar calibracion'!$A$1:$BZ$1001,965,A$2)&amp;""),""))</f>
        <v/>
      </c>
      <c r="B966">
        <f>IF(B$2=0,"",IFERROR(TRIM(INDEX('Pegar calibracion'!$A$1:$BZ$1001,965,B$2)&amp;""),""))</f>
        <v/>
      </c>
      <c r="C966">
        <f>IF(C$2=0,"",IFERROR(TRIM(INDEX('Pegar calibracion'!$A$1:$BZ$1001,965,C$2)&amp;""),""))</f>
        <v/>
      </c>
      <c r="D966">
        <f>IF(D$2=0,"",IFERROR(TRIM(INDEX('Pegar calibracion'!$A$1:$BZ$1001,965,D$2)&amp;""),""))</f>
        <v/>
      </c>
      <c r="E966">
        <f>IF(E$2=0,"",IFERROR(TRIM(INDEX('Pegar calibracion'!$A$1:$BZ$1001,965,E$2)&amp;""),""))</f>
        <v/>
      </c>
      <c r="F966">
        <f>IF(F$2=0,"",IFERROR(TRIM(INDEX('Pegar calibracion'!$A$1:$BZ$1001,965,F$2)&amp;""),""))</f>
        <v/>
      </c>
      <c r="G966">
        <f>IF(G$2=0,"",IFERROR(TRIM(INDEX('Pegar calibracion'!$A$1:$BZ$1001,965,G$2)&amp;""),""))</f>
        <v/>
      </c>
      <c r="H966">
        <f>IF(H$2=0,"",IFERROR(TRIM(INDEX('Pegar calibracion'!$A$1:$BZ$1001,965,H$2)&amp;""),""))</f>
        <v/>
      </c>
      <c r="I966">
        <f>IF(I$2=0,"",IFERROR(TRIM(INDEX('Pegar calibracion'!$A$1:$BZ$1001,965,I$2)&amp;""),""))</f>
        <v/>
      </c>
      <c r="J966">
        <f>IF(J$2=0,"",IFERROR(TRIM(INDEX('Pegar calibracion'!$A$1:$BZ$1001,965,J$2)&amp;""),""))</f>
        <v/>
      </c>
      <c r="K966">
        <f>IF(K$2=0,"",IFERROR(TRIM(INDEX('Pegar calibracion'!$A$1:$BZ$1001,965,K$2)&amp;""),""))</f>
        <v/>
      </c>
      <c r="L966">
        <f>IF(L$2=0,"",IFERROR(TRIM(INDEX('Pegar calibracion'!$A$1:$BZ$1001,965,L$2)&amp;""),""))</f>
        <v/>
      </c>
      <c r="M966" s="25">
        <f>IF(D966="","",SUBSTITUTE(SUBSTITUTE(SUBSTITUTE(SUBSTITUTE(SUBSTITUTE(SUBSTITUTE(SUBSTITUTE(SUBSTITUTE(SUBSTITUTE(SUBSTITUTE(SUBSTITUTE(SUBSTITUTE(LOWER(TRIM(D966)),"á","a"),"é","e"),"í","i"),"ó","o"),"ú","u"),"ü","u"),"ñ","n"),"à","a"),"è","e"),"ì","i"),"ò","o"),"ù","u"))</f>
        <v/>
      </c>
      <c r="N966" s="25">
        <f>IF(F966="","",SUBSTITUTE(SUBSTITUTE(SUBSTITUTE(SUBSTITUTE(SUBSTITUTE(SUBSTITUTE(SUBSTITUTE(SUBSTITUTE(SUBSTITUTE(SUBSTITUTE(SUBSTITUTE(SUBSTITUTE(LOWER(TRIM(F966)),"á","a"),"é","e"),"í","i"),"ó","o"),"ú","u"),"ü","u"),"ñ","n"),"à","a"),"è","e"),"ì","i"),"ò","o"),"ù","u"))</f>
        <v/>
      </c>
      <c r="O966" s="25">
        <f>IF(M966="confiable",2,IF(M966="dudosa",1,IF(M966="no confiable",0,"")))</f>
        <v/>
      </c>
      <c r="P966" s="25">
        <f>IF(N966="confiable",2,IF(N966="dudosa",1,IF(N966="no confiable",0,"")))</f>
        <v/>
      </c>
      <c r="Q966" s="25">
        <f>IF(AND(ISNUMBER(O966),ISNUMBER(P966)),1,"")</f>
        <v/>
      </c>
      <c r="R966" s="25">
        <f>IF(Q966=1,IF(O966=P966,"Sí","No"),"")</f>
        <v/>
      </c>
      <c r="S966" s="25">
        <f>IF(Q966=1,IF(P966&lt;O966,"Más estricto",IF(P966&gt;O966,"Más permisivo","Igual")),"")</f>
        <v/>
      </c>
      <c r="T966" s="25">
        <f>IF(Q966=1,IF(ABS(O966-P966)=2,1,0),"")</f>
        <v/>
      </c>
      <c r="U966" s="25">
        <f>IF(H966="","","|"&amp;SUBSTITUTE(SUBSTITUTE(TRIM(H966)," |","|"),"| ","|")&amp;"|")</f>
        <v/>
      </c>
      <c r="V966" s="25">
        <f>IF(AND(Q966=1,B966&lt;&gt;""),IF(IFERROR(COUNTIFS(B$3:B966,"="&amp;SUBSTITUTE(SUBSTITUTE(SUBSTITUTE(B966,"~","~~"),"*","~*"),"?","~?"),Q$3:Q966,1),0)=1,MAX(V$2:V965)+1,""),"")</f>
        <v/>
      </c>
      <c r="W966" s="25">
        <f>IF(V966="","",COUNTIFS($B$3:$B$1002,"="&amp;SUBSTITUTE(SUBSTITUTE(SUBSTITUTE(B966,"~","~~"),"*","~*"),"?","~?"),$Q$3:$Q$1002,1)*10000-V966)</f>
        <v/>
      </c>
      <c r="X966" s="25">
        <f>IF(Q966=1,IF(SUBSTITUTE(SUBSTITUTE(SUBSTITUTE(SUBSTITUTE(SUBSTITUTE(SUBSTITUTE(SUBSTITUTE(SUBSTITUTE(SUBSTITUTE(SUBSTITUTE(SUBSTITUTE(SUBSTITUTE(LOWER(TRIM(A966)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966)),"á","a"),"é","e"),"í","i"),"ó","o"),"ú","u"),"ü","u"),"ñ","n"),"à","a"),"è","e"),"ì","i"),"ò","o"),"ù","u")),"")</f>
        <v/>
      </c>
      <c r="Y966" s="25">
        <f>IF(X966="","",IF(IFERROR(COUNTIF(X$3:X966,"="&amp;SUBSTITUTE(SUBSTITUTE(SUBSTITUTE(X966,"~","~~"),"*","~*"),"?","~?")),0)=1,1,""))</f>
        <v/>
      </c>
      <c r="Z966" s="25">
        <f>IF(T966=1,MAX(Z$2:Z965)+1,"")</f>
        <v/>
      </c>
    </row>
    <row r="967">
      <c r="A967">
        <f>IF(A$2=0,"",IFERROR(TRIM(INDEX('Pegar calibracion'!$A$1:$BZ$1001,966,A$2)&amp;""),""))</f>
        <v/>
      </c>
      <c r="B967">
        <f>IF(B$2=0,"",IFERROR(TRIM(INDEX('Pegar calibracion'!$A$1:$BZ$1001,966,B$2)&amp;""),""))</f>
        <v/>
      </c>
      <c r="C967">
        <f>IF(C$2=0,"",IFERROR(TRIM(INDEX('Pegar calibracion'!$A$1:$BZ$1001,966,C$2)&amp;""),""))</f>
        <v/>
      </c>
      <c r="D967">
        <f>IF(D$2=0,"",IFERROR(TRIM(INDEX('Pegar calibracion'!$A$1:$BZ$1001,966,D$2)&amp;""),""))</f>
        <v/>
      </c>
      <c r="E967">
        <f>IF(E$2=0,"",IFERROR(TRIM(INDEX('Pegar calibracion'!$A$1:$BZ$1001,966,E$2)&amp;""),""))</f>
        <v/>
      </c>
      <c r="F967">
        <f>IF(F$2=0,"",IFERROR(TRIM(INDEX('Pegar calibracion'!$A$1:$BZ$1001,966,F$2)&amp;""),""))</f>
        <v/>
      </c>
      <c r="G967">
        <f>IF(G$2=0,"",IFERROR(TRIM(INDEX('Pegar calibracion'!$A$1:$BZ$1001,966,G$2)&amp;""),""))</f>
        <v/>
      </c>
      <c r="H967">
        <f>IF(H$2=0,"",IFERROR(TRIM(INDEX('Pegar calibracion'!$A$1:$BZ$1001,966,H$2)&amp;""),""))</f>
        <v/>
      </c>
      <c r="I967">
        <f>IF(I$2=0,"",IFERROR(TRIM(INDEX('Pegar calibracion'!$A$1:$BZ$1001,966,I$2)&amp;""),""))</f>
        <v/>
      </c>
      <c r="J967">
        <f>IF(J$2=0,"",IFERROR(TRIM(INDEX('Pegar calibracion'!$A$1:$BZ$1001,966,J$2)&amp;""),""))</f>
        <v/>
      </c>
      <c r="K967">
        <f>IF(K$2=0,"",IFERROR(TRIM(INDEX('Pegar calibracion'!$A$1:$BZ$1001,966,K$2)&amp;""),""))</f>
        <v/>
      </c>
      <c r="L967">
        <f>IF(L$2=0,"",IFERROR(TRIM(INDEX('Pegar calibracion'!$A$1:$BZ$1001,966,L$2)&amp;""),""))</f>
        <v/>
      </c>
      <c r="M967" s="25">
        <f>IF(D967="","",SUBSTITUTE(SUBSTITUTE(SUBSTITUTE(SUBSTITUTE(SUBSTITUTE(SUBSTITUTE(SUBSTITUTE(SUBSTITUTE(SUBSTITUTE(SUBSTITUTE(SUBSTITUTE(SUBSTITUTE(LOWER(TRIM(D967)),"á","a"),"é","e"),"í","i"),"ó","o"),"ú","u"),"ü","u"),"ñ","n"),"à","a"),"è","e"),"ì","i"),"ò","o"),"ù","u"))</f>
        <v/>
      </c>
      <c r="N967" s="25">
        <f>IF(F967="","",SUBSTITUTE(SUBSTITUTE(SUBSTITUTE(SUBSTITUTE(SUBSTITUTE(SUBSTITUTE(SUBSTITUTE(SUBSTITUTE(SUBSTITUTE(SUBSTITUTE(SUBSTITUTE(SUBSTITUTE(LOWER(TRIM(F967)),"á","a"),"é","e"),"í","i"),"ó","o"),"ú","u"),"ü","u"),"ñ","n"),"à","a"),"è","e"),"ì","i"),"ò","o"),"ù","u"))</f>
        <v/>
      </c>
      <c r="O967" s="25">
        <f>IF(M967="confiable",2,IF(M967="dudosa",1,IF(M967="no confiable",0,"")))</f>
        <v/>
      </c>
      <c r="P967" s="25">
        <f>IF(N967="confiable",2,IF(N967="dudosa",1,IF(N967="no confiable",0,"")))</f>
        <v/>
      </c>
      <c r="Q967" s="25">
        <f>IF(AND(ISNUMBER(O967),ISNUMBER(P967)),1,"")</f>
        <v/>
      </c>
      <c r="R967" s="25">
        <f>IF(Q967=1,IF(O967=P967,"Sí","No"),"")</f>
        <v/>
      </c>
      <c r="S967" s="25">
        <f>IF(Q967=1,IF(P967&lt;O967,"Más estricto",IF(P967&gt;O967,"Más permisivo","Igual")),"")</f>
        <v/>
      </c>
      <c r="T967" s="25">
        <f>IF(Q967=1,IF(ABS(O967-P967)=2,1,0),"")</f>
        <v/>
      </c>
      <c r="U967" s="25">
        <f>IF(H967="","","|"&amp;SUBSTITUTE(SUBSTITUTE(TRIM(H967)," |","|"),"| ","|")&amp;"|")</f>
        <v/>
      </c>
      <c r="V967" s="25">
        <f>IF(AND(Q967=1,B967&lt;&gt;""),IF(IFERROR(COUNTIFS(B$3:B967,"="&amp;SUBSTITUTE(SUBSTITUTE(SUBSTITUTE(B967,"~","~~"),"*","~*"),"?","~?"),Q$3:Q967,1),0)=1,MAX(V$2:V966)+1,""),"")</f>
        <v/>
      </c>
      <c r="W967" s="25">
        <f>IF(V967="","",COUNTIFS($B$3:$B$1002,"="&amp;SUBSTITUTE(SUBSTITUTE(SUBSTITUTE(B967,"~","~~"),"*","~*"),"?","~?"),$Q$3:$Q$1002,1)*10000-V967)</f>
        <v/>
      </c>
      <c r="X967" s="25">
        <f>IF(Q967=1,IF(SUBSTITUTE(SUBSTITUTE(SUBSTITUTE(SUBSTITUTE(SUBSTITUTE(SUBSTITUTE(SUBSTITUTE(SUBSTITUTE(SUBSTITUTE(SUBSTITUTE(SUBSTITUTE(SUBSTITUTE(LOWER(TRIM(A967)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967)),"á","a"),"é","e"),"í","i"),"ó","o"),"ú","u"),"ü","u"),"ñ","n"),"à","a"),"è","e"),"ì","i"),"ò","o"),"ù","u")),"")</f>
        <v/>
      </c>
      <c r="Y967" s="25">
        <f>IF(X967="","",IF(IFERROR(COUNTIF(X$3:X967,"="&amp;SUBSTITUTE(SUBSTITUTE(SUBSTITUTE(X967,"~","~~"),"*","~*"),"?","~?")),0)=1,1,""))</f>
        <v/>
      </c>
      <c r="Z967" s="25">
        <f>IF(T967=1,MAX(Z$2:Z966)+1,"")</f>
        <v/>
      </c>
    </row>
    <row r="968">
      <c r="A968">
        <f>IF(A$2=0,"",IFERROR(TRIM(INDEX('Pegar calibracion'!$A$1:$BZ$1001,967,A$2)&amp;""),""))</f>
        <v/>
      </c>
      <c r="B968">
        <f>IF(B$2=0,"",IFERROR(TRIM(INDEX('Pegar calibracion'!$A$1:$BZ$1001,967,B$2)&amp;""),""))</f>
        <v/>
      </c>
      <c r="C968">
        <f>IF(C$2=0,"",IFERROR(TRIM(INDEX('Pegar calibracion'!$A$1:$BZ$1001,967,C$2)&amp;""),""))</f>
        <v/>
      </c>
      <c r="D968">
        <f>IF(D$2=0,"",IFERROR(TRIM(INDEX('Pegar calibracion'!$A$1:$BZ$1001,967,D$2)&amp;""),""))</f>
        <v/>
      </c>
      <c r="E968">
        <f>IF(E$2=0,"",IFERROR(TRIM(INDEX('Pegar calibracion'!$A$1:$BZ$1001,967,E$2)&amp;""),""))</f>
        <v/>
      </c>
      <c r="F968">
        <f>IF(F$2=0,"",IFERROR(TRIM(INDEX('Pegar calibracion'!$A$1:$BZ$1001,967,F$2)&amp;""),""))</f>
        <v/>
      </c>
      <c r="G968">
        <f>IF(G$2=0,"",IFERROR(TRIM(INDEX('Pegar calibracion'!$A$1:$BZ$1001,967,G$2)&amp;""),""))</f>
        <v/>
      </c>
      <c r="H968">
        <f>IF(H$2=0,"",IFERROR(TRIM(INDEX('Pegar calibracion'!$A$1:$BZ$1001,967,H$2)&amp;""),""))</f>
        <v/>
      </c>
      <c r="I968">
        <f>IF(I$2=0,"",IFERROR(TRIM(INDEX('Pegar calibracion'!$A$1:$BZ$1001,967,I$2)&amp;""),""))</f>
        <v/>
      </c>
      <c r="J968">
        <f>IF(J$2=0,"",IFERROR(TRIM(INDEX('Pegar calibracion'!$A$1:$BZ$1001,967,J$2)&amp;""),""))</f>
        <v/>
      </c>
      <c r="K968">
        <f>IF(K$2=0,"",IFERROR(TRIM(INDEX('Pegar calibracion'!$A$1:$BZ$1001,967,K$2)&amp;""),""))</f>
        <v/>
      </c>
      <c r="L968">
        <f>IF(L$2=0,"",IFERROR(TRIM(INDEX('Pegar calibracion'!$A$1:$BZ$1001,967,L$2)&amp;""),""))</f>
        <v/>
      </c>
      <c r="M968" s="25">
        <f>IF(D968="","",SUBSTITUTE(SUBSTITUTE(SUBSTITUTE(SUBSTITUTE(SUBSTITUTE(SUBSTITUTE(SUBSTITUTE(SUBSTITUTE(SUBSTITUTE(SUBSTITUTE(SUBSTITUTE(SUBSTITUTE(LOWER(TRIM(D968)),"á","a"),"é","e"),"í","i"),"ó","o"),"ú","u"),"ü","u"),"ñ","n"),"à","a"),"è","e"),"ì","i"),"ò","o"),"ù","u"))</f>
        <v/>
      </c>
      <c r="N968" s="25">
        <f>IF(F968="","",SUBSTITUTE(SUBSTITUTE(SUBSTITUTE(SUBSTITUTE(SUBSTITUTE(SUBSTITUTE(SUBSTITUTE(SUBSTITUTE(SUBSTITUTE(SUBSTITUTE(SUBSTITUTE(SUBSTITUTE(LOWER(TRIM(F968)),"á","a"),"é","e"),"í","i"),"ó","o"),"ú","u"),"ü","u"),"ñ","n"),"à","a"),"è","e"),"ì","i"),"ò","o"),"ù","u"))</f>
        <v/>
      </c>
      <c r="O968" s="25">
        <f>IF(M968="confiable",2,IF(M968="dudosa",1,IF(M968="no confiable",0,"")))</f>
        <v/>
      </c>
      <c r="P968" s="25">
        <f>IF(N968="confiable",2,IF(N968="dudosa",1,IF(N968="no confiable",0,"")))</f>
        <v/>
      </c>
      <c r="Q968" s="25">
        <f>IF(AND(ISNUMBER(O968),ISNUMBER(P968)),1,"")</f>
        <v/>
      </c>
      <c r="R968" s="25">
        <f>IF(Q968=1,IF(O968=P968,"Sí","No"),"")</f>
        <v/>
      </c>
      <c r="S968" s="25">
        <f>IF(Q968=1,IF(P968&lt;O968,"Más estricto",IF(P968&gt;O968,"Más permisivo","Igual")),"")</f>
        <v/>
      </c>
      <c r="T968" s="25">
        <f>IF(Q968=1,IF(ABS(O968-P968)=2,1,0),"")</f>
        <v/>
      </c>
      <c r="U968" s="25">
        <f>IF(H968="","","|"&amp;SUBSTITUTE(SUBSTITUTE(TRIM(H968)," |","|"),"| ","|")&amp;"|")</f>
        <v/>
      </c>
      <c r="V968" s="25">
        <f>IF(AND(Q968=1,B968&lt;&gt;""),IF(IFERROR(COUNTIFS(B$3:B968,"="&amp;SUBSTITUTE(SUBSTITUTE(SUBSTITUTE(B968,"~","~~"),"*","~*"),"?","~?"),Q$3:Q968,1),0)=1,MAX(V$2:V967)+1,""),"")</f>
        <v/>
      </c>
      <c r="W968" s="25">
        <f>IF(V968="","",COUNTIFS($B$3:$B$1002,"="&amp;SUBSTITUTE(SUBSTITUTE(SUBSTITUTE(B968,"~","~~"),"*","~*"),"?","~?"),$Q$3:$Q$1002,1)*10000-V968)</f>
        <v/>
      </c>
      <c r="X968" s="25">
        <f>IF(Q968=1,IF(SUBSTITUTE(SUBSTITUTE(SUBSTITUTE(SUBSTITUTE(SUBSTITUTE(SUBSTITUTE(SUBSTITUTE(SUBSTITUTE(SUBSTITUTE(SUBSTITUTE(SUBSTITUTE(SUBSTITUTE(LOWER(TRIM(A968)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968)),"á","a"),"é","e"),"í","i"),"ó","o"),"ú","u"),"ü","u"),"ñ","n"),"à","a"),"è","e"),"ì","i"),"ò","o"),"ù","u")),"")</f>
        <v/>
      </c>
      <c r="Y968" s="25">
        <f>IF(X968="","",IF(IFERROR(COUNTIF(X$3:X968,"="&amp;SUBSTITUTE(SUBSTITUTE(SUBSTITUTE(X968,"~","~~"),"*","~*"),"?","~?")),0)=1,1,""))</f>
        <v/>
      </c>
      <c r="Z968" s="25">
        <f>IF(T968=1,MAX(Z$2:Z967)+1,"")</f>
        <v/>
      </c>
    </row>
    <row r="969">
      <c r="A969">
        <f>IF(A$2=0,"",IFERROR(TRIM(INDEX('Pegar calibracion'!$A$1:$BZ$1001,968,A$2)&amp;""),""))</f>
        <v/>
      </c>
      <c r="B969">
        <f>IF(B$2=0,"",IFERROR(TRIM(INDEX('Pegar calibracion'!$A$1:$BZ$1001,968,B$2)&amp;""),""))</f>
        <v/>
      </c>
      <c r="C969">
        <f>IF(C$2=0,"",IFERROR(TRIM(INDEX('Pegar calibracion'!$A$1:$BZ$1001,968,C$2)&amp;""),""))</f>
        <v/>
      </c>
      <c r="D969">
        <f>IF(D$2=0,"",IFERROR(TRIM(INDEX('Pegar calibracion'!$A$1:$BZ$1001,968,D$2)&amp;""),""))</f>
        <v/>
      </c>
      <c r="E969">
        <f>IF(E$2=0,"",IFERROR(TRIM(INDEX('Pegar calibracion'!$A$1:$BZ$1001,968,E$2)&amp;""),""))</f>
        <v/>
      </c>
      <c r="F969">
        <f>IF(F$2=0,"",IFERROR(TRIM(INDEX('Pegar calibracion'!$A$1:$BZ$1001,968,F$2)&amp;""),""))</f>
        <v/>
      </c>
      <c r="G969">
        <f>IF(G$2=0,"",IFERROR(TRIM(INDEX('Pegar calibracion'!$A$1:$BZ$1001,968,G$2)&amp;""),""))</f>
        <v/>
      </c>
      <c r="H969">
        <f>IF(H$2=0,"",IFERROR(TRIM(INDEX('Pegar calibracion'!$A$1:$BZ$1001,968,H$2)&amp;""),""))</f>
        <v/>
      </c>
      <c r="I969">
        <f>IF(I$2=0,"",IFERROR(TRIM(INDEX('Pegar calibracion'!$A$1:$BZ$1001,968,I$2)&amp;""),""))</f>
        <v/>
      </c>
      <c r="J969">
        <f>IF(J$2=0,"",IFERROR(TRIM(INDEX('Pegar calibracion'!$A$1:$BZ$1001,968,J$2)&amp;""),""))</f>
        <v/>
      </c>
      <c r="K969">
        <f>IF(K$2=0,"",IFERROR(TRIM(INDEX('Pegar calibracion'!$A$1:$BZ$1001,968,K$2)&amp;""),""))</f>
        <v/>
      </c>
      <c r="L969">
        <f>IF(L$2=0,"",IFERROR(TRIM(INDEX('Pegar calibracion'!$A$1:$BZ$1001,968,L$2)&amp;""),""))</f>
        <v/>
      </c>
      <c r="M969" s="25">
        <f>IF(D969="","",SUBSTITUTE(SUBSTITUTE(SUBSTITUTE(SUBSTITUTE(SUBSTITUTE(SUBSTITUTE(SUBSTITUTE(SUBSTITUTE(SUBSTITUTE(SUBSTITUTE(SUBSTITUTE(SUBSTITUTE(LOWER(TRIM(D969)),"á","a"),"é","e"),"í","i"),"ó","o"),"ú","u"),"ü","u"),"ñ","n"),"à","a"),"è","e"),"ì","i"),"ò","o"),"ù","u"))</f>
        <v/>
      </c>
      <c r="N969" s="25">
        <f>IF(F969="","",SUBSTITUTE(SUBSTITUTE(SUBSTITUTE(SUBSTITUTE(SUBSTITUTE(SUBSTITUTE(SUBSTITUTE(SUBSTITUTE(SUBSTITUTE(SUBSTITUTE(SUBSTITUTE(SUBSTITUTE(LOWER(TRIM(F969)),"á","a"),"é","e"),"í","i"),"ó","o"),"ú","u"),"ü","u"),"ñ","n"),"à","a"),"è","e"),"ì","i"),"ò","o"),"ù","u"))</f>
        <v/>
      </c>
      <c r="O969" s="25">
        <f>IF(M969="confiable",2,IF(M969="dudosa",1,IF(M969="no confiable",0,"")))</f>
        <v/>
      </c>
      <c r="P969" s="25">
        <f>IF(N969="confiable",2,IF(N969="dudosa",1,IF(N969="no confiable",0,"")))</f>
        <v/>
      </c>
      <c r="Q969" s="25">
        <f>IF(AND(ISNUMBER(O969),ISNUMBER(P969)),1,"")</f>
        <v/>
      </c>
      <c r="R969" s="25">
        <f>IF(Q969=1,IF(O969=P969,"Sí","No"),"")</f>
        <v/>
      </c>
      <c r="S969" s="25">
        <f>IF(Q969=1,IF(P969&lt;O969,"Más estricto",IF(P969&gt;O969,"Más permisivo","Igual")),"")</f>
        <v/>
      </c>
      <c r="T969" s="25">
        <f>IF(Q969=1,IF(ABS(O969-P969)=2,1,0),"")</f>
        <v/>
      </c>
      <c r="U969" s="25">
        <f>IF(H969="","","|"&amp;SUBSTITUTE(SUBSTITUTE(TRIM(H969)," |","|"),"| ","|")&amp;"|")</f>
        <v/>
      </c>
      <c r="V969" s="25">
        <f>IF(AND(Q969=1,B969&lt;&gt;""),IF(IFERROR(COUNTIFS(B$3:B969,"="&amp;SUBSTITUTE(SUBSTITUTE(SUBSTITUTE(B969,"~","~~"),"*","~*"),"?","~?"),Q$3:Q969,1),0)=1,MAX(V$2:V968)+1,""),"")</f>
        <v/>
      </c>
      <c r="W969" s="25">
        <f>IF(V969="","",COUNTIFS($B$3:$B$1002,"="&amp;SUBSTITUTE(SUBSTITUTE(SUBSTITUTE(B969,"~","~~"),"*","~*"),"?","~?"),$Q$3:$Q$1002,1)*10000-V969)</f>
        <v/>
      </c>
      <c r="X969" s="25">
        <f>IF(Q969=1,IF(SUBSTITUTE(SUBSTITUTE(SUBSTITUTE(SUBSTITUTE(SUBSTITUTE(SUBSTITUTE(SUBSTITUTE(SUBSTITUTE(SUBSTITUTE(SUBSTITUTE(SUBSTITUTE(SUBSTITUTE(LOWER(TRIM(A969)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969)),"á","a"),"é","e"),"í","i"),"ó","o"),"ú","u"),"ü","u"),"ñ","n"),"à","a"),"è","e"),"ì","i"),"ò","o"),"ù","u")),"")</f>
        <v/>
      </c>
      <c r="Y969" s="25">
        <f>IF(X969="","",IF(IFERROR(COUNTIF(X$3:X969,"="&amp;SUBSTITUTE(SUBSTITUTE(SUBSTITUTE(X969,"~","~~"),"*","~*"),"?","~?")),0)=1,1,""))</f>
        <v/>
      </c>
      <c r="Z969" s="25">
        <f>IF(T969=1,MAX(Z$2:Z968)+1,"")</f>
        <v/>
      </c>
    </row>
    <row r="970">
      <c r="A970">
        <f>IF(A$2=0,"",IFERROR(TRIM(INDEX('Pegar calibracion'!$A$1:$BZ$1001,969,A$2)&amp;""),""))</f>
        <v/>
      </c>
      <c r="B970">
        <f>IF(B$2=0,"",IFERROR(TRIM(INDEX('Pegar calibracion'!$A$1:$BZ$1001,969,B$2)&amp;""),""))</f>
        <v/>
      </c>
      <c r="C970">
        <f>IF(C$2=0,"",IFERROR(TRIM(INDEX('Pegar calibracion'!$A$1:$BZ$1001,969,C$2)&amp;""),""))</f>
        <v/>
      </c>
      <c r="D970">
        <f>IF(D$2=0,"",IFERROR(TRIM(INDEX('Pegar calibracion'!$A$1:$BZ$1001,969,D$2)&amp;""),""))</f>
        <v/>
      </c>
      <c r="E970">
        <f>IF(E$2=0,"",IFERROR(TRIM(INDEX('Pegar calibracion'!$A$1:$BZ$1001,969,E$2)&amp;""),""))</f>
        <v/>
      </c>
      <c r="F970">
        <f>IF(F$2=0,"",IFERROR(TRIM(INDEX('Pegar calibracion'!$A$1:$BZ$1001,969,F$2)&amp;""),""))</f>
        <v/>
      </c>
      <c r="G970">
        <f>IF(G$2=0,"",IFERROR(TRIM(INDEX('Pegar calibracion'!$A$1:$BZ$1001,969,G$2)&amp;""),""))</f>
        <v/>
      </c>
      <c r="H970">
        <f>IF(H$2=0,"",IFERROR(TRIM(INDEX('Pegar calibracion'!$A$1:$BZ$1001,969,H$2)&amp;""),""))</f>
        <v/>
      </c>
      <c r="I970">
        <f>IF(I$2=0,"",IFERROR(TRIM(INDEX('Pegar calibracion'!$A$1:$BZ$1001,969,I$2)&amp;""),""))</f>
        <v/>
      </c>
      <c r="J970">
        <f>IF(J$2=0,"",IFERROR(TRIM(INDEX('Pegar calibracion'!$A$1:$BZ$1001,969,J$2)&amp;""),""))</f>
        <v/>
      </c>
      <c r="K970">
        <f>IF(K$2=0,"",IFERROR(TRIM(INDEX('Pegar calibracion'!$A$1:$BZ$1001,969,K$2)&amp;""),""))</f>
        <v/>
      </c>
      <c r="L970">
        <f>IF(L$2=0,"",IFERROR(TRIM(INDEX('Pegar calibracion'!$A$1:$BZ$1001,969,L$2)&amp;""),""))</f>
        <v/>
      </c>
      <c r="M970" s="25">
        <f>IF(D970="","",SUBSTITUTE(SUBSTITUTE(SUBSTITUTE(SUBSTITUTE(SUBSTITUTE(SUBSTITUTE(SUBSTITUTE(SUBSTITUTE(SUBSTITUTE(SUBSTITUTE(SUBSTITUTE(SUBSTITUTE(LOWER(TRIM(D970)),"á","a"),"é","e"),"í","i"),"ó","o"),"ú","u"),"ü","u"),"ñ","n"),"à","a"),"è","e"),"ì","i"),"ò","o"),"ù","u"))</f>
        <v/>
      </c>
      <c r="N970" s="25">
        <f>IF(F970="","",SUBSTITUTE(SUBSTITUTE(SUBSTITUTE(SUBSTITUTE(SUBSTITUTE(SUBSTITUTE(SUBSTITUTE(SUBSTITUTE(SUBSTITUTE(SUBSTITUTE(SUBSTITUTE(SUBSTITUTE(LOWER(TRIM(F970)),"á","a"),"é","e"),"í","i"),"ó","o"),"ú","u"),"ü","u"),"ñ","n"),"à","a"),"è","e"),"ì","i"),"ò","o"),"ù","u"))</f>
        <v/>
      </c>
      <c r="O970" s="25">
        <f>IF(M970="confiable",2,IF(M970="dudosa",1,IF(M970="no confiable",0,"")))</f>
        <v/>
      </c>
      <c r="P970" s="25">
        <f>IF(N970="confiable",2,IF(N970="dudosa",1,IF(N970="no confiable",0,"")))</f>
        <v/>
      </c>
      <c r="Q970" s="25">
        <f>IF(AND(ISNUMBER(O970),ISNUMBER(P970)),1,"")</f>
        <v/>
      </c>
      <c r="R970" s="25">
        <f>IF(Q970=1,IF(O970=P970,"Sí","No"),"")</f>
        <v/>
      </c>
      <c r="S970" s="25">
        <f>IF(Q970=1,IF(P970&lt;O970,"Más estricto",IF(P970&gt;O970,"Más permisivo","Igual")),"")</f>
        <v/>
      </c>
      <c r="T970" s="25">
        <f>IF(Q970=1,IF(ABS(O970-P970)=2,1,0),"")</f>
        <v/>
      </c>
      <c r="U970" s="25">
        <f>IF(H970="","","|"&amp;SUBSTITUTE(SUBSTITUTE(TRIM(H970)," |","|"),"| ","|")&amp;"|")</f>
        <v/>
      </c>
      <c r="V970" s="25">
        <f>IF(AND(Q970=1,B970&lt;&gt;""),IF(IFERROR(COUNTIFS(B$3:B970,"="&amp;SUBSTITUTE(SUBSTITUTE(SUBSTITUTE(B970,"~","~~"),"*","~*"),"?","~?"),Q$3:Q970,1),0)=1,MAX(V$2:V969)+1,""),"")</f>
        <v/>
      </c>
      <c r="W970" s="25">
        <f>IF(V970="","",COUNTIFS($B$3:$B$1002,"="&amp;SUBSTITUTE(SUBSTITUTE(SUBSTITUTE(B970,"~","~~"),"*","~*"),"?","~?"),$Q$3:$Q$1002,1)*10000-V970)</f>
        <v/>
      </c>
      <c r="X970" s="25">
        <f>IF(Q970=1,IF(SUBSTITUTE(SUBSTITUTE(SUBSTITUTE(SUBSTITUTE(SUBSTITUTE(SUBSTITUTE(SUBSTITUTE(SUBSTITUTE(SUBSTITUTE(SUBSTITUTE(SUBSTITUTE(SUBSTITUTE(LOWER(TRIM(A970)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970)),"á","a"),"é","e"),"í","i"),"ó","o"),"ú","u"),"ü","u"),"ñ","n"),"à","a"),"è","e"),"ì","i"),"ò","o"),"ù","u")),"")</f>
        <v/>
      </c>
      <c r="Y970" s="25">
        <f>IF(X970="","",IF(IFERROR(COUNTIF(X$3:X970,"="&amp;SUBSTITUTE(SUBSTITUTE(SUBSTITUTE(X970,"~","~~"),"*","~*"),"?","~?")),0)=1,1,""))</f>
        <v/>
      </c>
      <c r="Z970" s="25">
        <f>IF(T970=1,MAX(Z$2:Z969)+1,"")</f>
        <v/>
      </c>
    </row>
    <row r="971">
      <c r="A971">
        <f>IF(A$2=0,"",IFERROR(TRIM(INDEX('Pegar calibracion'!$A$1:$BZ$1001,970,A$2)&amp;""),""))</f>
        <v/>
      </c>
      <c r="B971">
        <f>IF(B$2=0,"",IFERROR(TRIM(INDEX('Pegar calibracion'!$A$1:$BZ$1001,970,B$2)&amp;""),""))</f>
        <v/>
      </c>
      <c r="C971">
        <f>IF(C$2=0,"",IFERROR(TRIM(INDEX('Pegar calibracion'!$A$1:$BZ$1001,970,C$2)&amp;""),""))</f>
        <v/>
      </c>
      <c r="D971">
        <f>IF(D$2=0,"",IFERROR(TRIM(INDEX('Pegar calibracion'!$A$1:$BZ$1001,970,D$2)&amp;""),""))</f>
        <v/>
      </c>
      <c r="E971">
        <f>IF(E$2=0,"",IFERROR(TRIM(INDEX('Pegar calibracion'!$A$1:$BZ$1001,970,E$2)&amp;""),""))</f>
        <v/>
      </c>
      <c r="F971">
        <f>IF(F$2=0,"",IFERROR(TRIM(INDEX('Pegar calibracion'!$A$1:$BZ$1001,970,F$2)&amp;""),""))</f>
        <v/>
      </c>
      <c r="G971">
        <f>IF(G$2=0,"",IFERROR(TRIM(INDEX('Pegar calibracion'!$A$1:$BZ$1001,970,G$2)&amp;""),""))</f>
        <v/>
      </c>
      <c r="H971">
        <f>IF(H$2=0,"",IFERROR(TRIM(INDEX('Pegar calibracion'!$A$1:$BZ$1001,970,H$2)&amp;""),""))</f>
        <v/>
      </c>
      <c r="I971">
        <f>IF(I$2=0,"",IFERROR(TRIM(INDEX('Pegar calibracion'!$A$1:$BZ$1001,970,I$2)&amp;""),""))</f>
        <v/>
      </c>
      <c r="J971">
        <f>IF(J$2=0,"",IFERROR(TRIM(INDEX('Pegar calibracion'!$A$1:$BZ$1001,970,J$2)&amp;""),""))</f>
        <v/>
      </c>
      <c r="K971">
        <f>IF(K$2=0,"",IFERROR(TRIM(INDEX('Pegar calibracion'!$A$1:$BZ$1001,970,K$2)&amp;""),""))</f>
        <v/>
      </c>
      <c r="L971">
        <f>IF(L$2=0,"",IFERROR(TRIM(INDEX('Pegar calibracion'!$A$1:$BZ$1001,970,L$2)&amp;""),""))</f>
        <v/>
      </c>
      <c r="M971" s="25">
        <f>IF(D971="","",SUBSTITUTE(SUBSTITUTE(SUBSTITUTE(SUBSTITUTE(SUBSTITUTE(SUBSTITUTE(SUBSTITUTE(SUBSTITUTE(SUBSTITUTE(SUBSTITUTE(SUBSTITUTE(SUBSTITUTE(LOWER(TRIM(D971)),"á","a"),"é","e"),"í","i"),"ó","o"),"ú","u"),"ü","u"),"ñ","n"),"à","a"),"è","e"),"ì","i"),"ò","o"),"ù","u"))</f>
        <v/>
      </c>
      <c r="N971" s="25">
        <f>IF(F971="","",SUBSTITUTE(SUBSTITUTE(SUBSTITUTE(SUBSTITUTE(SUBSTITUTE(SUBSTITUTE(SUBSTITUTE(SUBSTITUTE(SUBSTITUTE(SUBSTITUTE(SUBSTITUTE(SUBSTITUTE(LOWER(TRIM(F971)),"á","a"),"é","e"),"í","i"),"ó","o"),"ú","u"),"ü","u"),"ñ","n"),"à","a"),"è","e"),"ì","i"),"ò","o"),"ù","u"))</f>
        <v/>
      </c>
      <c r="O971" s="25">
        <f>IF(M971="confiable",2,IF(M971="dudosa",1,IF(M971="no confiable",0,"")))</f>
        <v/>
      </c>
      <c r="P971" s="25">
        <f>IF(N971="confiable",2,IF(N971="dudosa",1,IF(N971="no confiable",0,"")))</f>
        <v/>
      </c>
      <c r="Q971" s="25">
        <f>IF(AND(ISNUMBER(O971),ISNUMBER(P971)),1,"")</f>
        <v/>
      </c>
      <c r="R971" s="25">
        <f>IF(Q971=1,IF(O971=P971,"Sí","No"),"")</f>
        <v/>
      </c>
      <c r="S971" s="25">
        <f>IF(Q971=1,IF(P971&lt;O971,"Más estricto",IF(P971&gt;O971,"Más permisivo","Igual")),"")</f>
        <v/>
      </c>
      <c r="T971" s="25">
        <f>IF(Q971=1,IF(ABS(O971-P971)=2,1,0),"")</f>
        <v/>
      </c>
      <c r="U971" s="25">
        <f>IF(H971="","","|"&amp;SUBSTITUTE(SUBSTITUTE(TRIM(H971)," |","|"),"| ","|")&amp;"|")</f>
        <v/>
      </c>
      <c r="V971" s="25">
        <f>IF(AND(Q971=1,B971&lt;&gt;""),IF(IFERROR(COUNTIFS(B$3:B971,"="&amp;SUBSTITUTE(SUBSTITUTE(SUBSTITUTE(B971,"~","~~"),"*","~*"),"?","~?"),Q$3:Q971,1),0)=1,MAX(V$2:V970)+1,""),"")</f>
        <v/>
      </c>
      <c r="W971" s="25">
        <f>IF(V971="","",COUNTIFS($B$3:$B$1002,"="&amp;SUBSTITUTE(SUBSTITUTE(SUBSTITUTE(B971,"~","~~"),"*","~*"),"?","~?"),$Q$3:$Q$1002,1)*10000-V971)</f>
        <v/>
      </c>
      <c r="X971" s="25">
        <f>IF(Q971=1,IF(SUBSTITUTE(SUBSTITUTE(SUBSTITUTE(SUBSTITUTE(SUBSTITUTE(SUBSTITUTE(SUBSTITUTE(SUBSTITUTE(SUBSTITUTE(SUBSTITUTE(SUBSTITUTE(SUBSTITUTE(LOWER(TRIM(A971)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971)),"á","a"),"é","e"),"í","i"),"ó","o"),"ú","u"),"ü","u"),"ñ","n"),"à","a"),"è","e"),"ì","i"),"ò","o"),"ù","u")),"")</f>
        <v/>
      </c>
      <c r="Y971" s="25">
        <f>IF(X971="","",IF(IFERROR(COUNTIF(X$3:X971,"="&amp;SUBSTITUTE(SUBSTITUTE(SUBSTITUTE(X971,"~","~~"),"*","~*"),"?","~?")),0)=1,1,""))</f>
        <v/>
      </c>
      <c r="Z971" s="25">
        <f>IF(T971=1,MAX(Z$2:Z970)+1,"")</f>
        <v/>
      </c>
    </row>
    <row r="972">
      <c r="A972">
        <f>IF(A$2=0,"",IFERROR(TRIM(INDEX('Pegar calibracion'!$A$1:$BZ$1001,971,A$2)&amp;""),""))</f>
        <v/>
      </c>
      <c r="B972">
        <f>IF(B$2=0,"",IFERROR(TRIM(INDEX('Pegar calibracion'!$A$1:$BZ$1001,971,B$2)&amp;""),""))</f>
        <v/>
      </c>
      <c r="C972">
        <f>IF(C$2=0,"",IFERROR(TRIM(INDEX('Pegar calibracion'!$A$1:$BZ$1001,971,C$2)&amp;""),""))</f>
        <v/>
      </c>
      <c r="D972">
        <f>IF(D$2=0,"",IFERROR(TRIM(INDEX('Pegar calibracion'!$A$1:$BZ$1001,971,D$2)&amp;""),""))</f>
        <v/>
      </c>
      <c r="E972">
        <f>IF(E$2=0,"",IFERROR(TRIM(INDEX('Pegar calibracion'!$A$1:$BZ$1001,971,E$2)&amp;""),""))</f>
        <v/>
      </c>
      <c r="F972">
        <f>IF(F$2=0,"",IFERROR(TRIM(INDEX('Pegar calibracion'!$A$1:$BZ$1001,971,F$2)&amp;""),""))</f>
        <v/>
      </c>
      <c r="G972">
        <f>IF(G$2=0,"",IFERROR(TRIM(INDEX('Pegar calibracion'!$A$1:$BZ$1001,971,G$2)&amp;""),""))</f>
        <v/>
      </c>
      <c r="H972">
        <f>IF(H$2=0,"",IFERROR(TRIM(INDEX('Pegar calibracion'!$A$1:$BZ$1001,971,H$2)&amp;""),""))</f>
        <v/>
      </c>
      <c r="I972">
        <f>IF(I$2=0,"",IFERROR(TRIM(INDEX('Pegar calibracion'!$A$1:$BZ$1001,971,I$2)&amp;""),""))</f>
        <v/>
      </c>
      <c r="J972">
        <f>IF(J$2=0,"",IFERROR(TRIM(INDEX('Pegar calibracion'!$A$1:$BZ$1001,971,J$2)&amp;""),""))</f>
        <v/>
      </c>
      <c r="K972">
        <f>IF(K$2=0,"",IFERROR(TRIM(INDEX('Pegar calibracion'!$A$1:$BZ$1001,971,K$2)&amp;""),""))</f>
        <v/>
      </c>
      <c r="L972">
        <f>IF(L$2=0,"",IFERROR(TRIM(INDEX('Pegar calibracion'!$A$1:$BZ$1001,971,L$2)&amp;""),""))</f>
        <v/>
      </c>
      <c r="M972" s="25">
        <f>IF(D972="","",SUBSTITUTE(SUBSTITUTE(SUBSTITUTE(SUBSTITUTE(SUBSTITUTE(SUBSTITUTE(SUBSTITUTE(SUBSTITUTE(SUBSTITUTE(SUBSTITUTE(SUBSTITUTE(SUBSTITUTE(LOWER(TRIM(D972)),"á","a"),"é","e"),"í","i"),"ó","o"),"ú","u"),"ü","u"),"ñ","n"),"à","a"),"è","e"),"ì","i"),"ò","o"),"ù","u"))</f>
        <v/>
      </c>
      <c r="N972" s="25">
        <f>IF(F972="","",SUBSTITUTE(SUBSTITUTE(SUBSTITUTE(SUBSTITUTE(SUBSTITUTE(SUBSTITUTE(SUBSTITUTE(SUBSTITUTE(SUBSTITUTE(SUBSTITUTE(SUBSTITUTE(SUBSTITUTE(LOWER(TRIM(F972)),"á","a"),"é","e"),"í","i"),"ó","o"),"ú","u"),"ü","u"),"ñ","n"),"à","a"),"è","e"),"ì","i"),"ò","o"),"ù","u"))</f>
        <v/>
      </c>
      <c r="O972" s="25">
        <f>IF(M972="confiable",2,IF(M972="dudosa",1,IF(M972="no confiable",0,"")))</f>
        <v/>
      </c>
      <c r="P972" s="25">
        <f>IF(N972="confiable",2,IF(N972="dudosa",1,IF(N972="no confiable",0,"")))</f>
        <v/>
      </c>
      <c r="Q972" s="25">
        <f>IF(AND(ISNUMBER(O972),ISNUMBER(P972)),1,"")</f>
        <v/>
      </c>
      <c r="R972" s="25">
        <f>IF(Q972=1,IF(O972=P972,"Sí","No"),"")</f>
        <v/>
      </c>
      <c r="S972" s="25">
        <f>IF(Q972=1,IF(P972&lt;O972,"Más estricto",IF(P972&gt;O972,"Más permisivo","Igual")),"")</f>
        <v/>
      </c>
      <c r="T972" s="25">
        <f>IF(Q972=1,IF(ABS(O972-P972)=2,1,0),"")</f>
        <v/>
      </c>
      <c r="U972" s="25">
        <f>IF(H972="","","|"&amp;SUBSTITUTE(SUBSTITUTE(TRIM(H972)," |","|"),"| ","|")&amp;"|")</f>
        <v/>
      </c>
      <c r="V972" s="25">
        <f>IF(AND(Q972=1,B972&lt;&gt;""),IF(IFERROR(COUNTIFS(B$3:B972,"="&amp;SUBSTITUTE(SUBSTITUTE(SUBSTITUTE(B972,"~","~~"),"*","~*"),"?","~?"),Q$3:Q972,1),0)=1,MAX(V$2:V971)+1,""),"")</f>
        <v/>
      </c>
      <c r="W972" s="25">
        <f>IF(V972="","",COUNTIFS($B$3:$B$1002,"="&amp;SUBSTITUTE(SUBSTITUTE(SUBSTITUTE(B972,"~","~~"),"*","~*"),"?","~?"),$Q$3:$Q$1002,1)*10000-V972)</f>
        <v/>
      </c>
      <c r="X972" s="25">
        <f>IF(Q972=1,IF(SUBSTITUTE(SUBSTITUTE(SUBSTITUTE(SUBSTITUTE(SUBSTITUTE(SUBSTITUTE(SUBSTITUTE(SUBSTITUTE(SUBSTITUTE(SUBSTITUTE(SUBSTITUTE(SUBSTITUTE(LOWER(TRIM(A972)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972)),"á","a"),"é","e"),"í","i"),"ó","o"),"ú","u"),"ü","u"),"ñ","n"),"à","a"),"è","e"),"ì","i"),"ò","o"),"ù","u")),"")</f>
        <v/>
      </c>
      <c r="Y972" s="25">
        <f>IF(X972="","",IF(IFERROR(COUNTIF(X$3:X972,"="&amp;SUBSTITUTE(SUBSTITUTE(SUBSTITUTE(X972,"~","~~"),"*","~*"),"?","~?")),0)=1,1,""))</f>
        <v/>
      </c>
      <c r="Z972" s="25">
        <f>IF(T972=1,MAX(Z$2:Z971)+1,"")</f>
        <v/>
      </c>
    </row>
    <row r="973">
      <c r="A973">
        <f>IF(A$2=0,"",IFERROR(TRIM(INDEX('Pegar calibracion'!$A$1:$BZ$1001,972,A$2)&amp;""),""))</f>
        <v/>
      </c>
      <c r="B973">
        <f>IF(B$2=0,"",IFERROR(TRIM(INDEX('Pegar calibracion'!$A$1:$BZ$1001,972,B$2)&amp;""),""))</f>
        <v/>
      </c>
      <c r="C973">
        <f>IF(C$2=0,"",IFERROR(TRIM(INDEX('Pegar calibracion'!$A$1:$BZ$1001,972,C$2)&amp;""),""))</f>
        <v/>
      </c>
      <c r="D973">
        <f>IF(D$2=0,"",IFERROR(TRIM(INDEX('Pegar calibracion'!$A$1:$BZ$1001,972,D$2)&amp;""),""))</f>
        <v/>
      </c>
      <c r="E973">
        <f>IF(E$2=0,"",IFERROR(TRIM(INDEX('Pegar calibracion'!$A$1:$BZ$1001,972,E$2)&amp;""),""))</f>
        <v/>
      </c>
      <c r="F973">
        <f>IF(F$2=0,"",IFERROR(TRIM(INDEX('Pegar calibracion'!$A$1:$BZ$1001,972,F$2)&amp;""),""))</f>
        <v/>
      </c>
      <c r="G973">
        <f>IF(G$2=0,"",IFERROR(TRIM(INDEX('Pegar calibracion'!$A$1:$BZ$1001,972,G$2)&amp;""),""))</f>
        <v/>
      </c>
      <c r="H973">
        <f>IF(H$2=0,"",IFERROR(TRIM(INDEX('Pegar calibracion'!$A$1:$BZ$1001,972,H$2)&amp;""),""))</f>
        <v/>
      </c>
      <c r="I973">
        <f>IF(I$2=0,"",IFERROR(TRIM(INDEX('Pegar calibracion'!$A$1:$BZ$1001,972,I$2)&amp;""),""))</f>
        <v/>
      </c>
      <c r="J973">
        <f>IF(J$2=0,"",IFERROR(TRIM(INDEX('Pegar calibracion'!$A$1:$BZ$1001,972,J$2)&amp;""),""))</f>
        <v/>
      </c>
      <c r="K973">
        <f>IF(K$2=0,"",IFERROR(TRIM(INDEX('Pegar calibracion'!$A$1:$BZ$1001,972,K$2)&amp;""),""))</f>
        <v/>
      </c>
      <c r="L973">
        <f>IF(L$2=0,"",IFERROR(TRIM(INDEX('Pegar calibracion'!$A$1:$BZ$1001,972,L$2)&amp;""),""))</f>
        <v/>
      </c>
      <c r="M973" s="25">
        <f>IF(D973="","",SUBSTITUTE(SUBSTITUTE(SUBSTITUTE(SUBSTITUTE(SUBSTITUTE(SUBSTITUTE(SUBSTITUTE(SUBSTITUTE(SUBSTITUTE(SUBSTITUTE(SUBSTITUTE(SUBSTITUTE(LOWER(TRIM(D973)),"á","a"),"é","e"),"í","i"),"ó","o"),"ú","u"),"ü","u"),"ñ","n"),"à","a"),"è","e"),"ì","i"),"ò","o"),"ù","u"))</f>
        <v/>
      </c>
      <c r="N973" s="25">
        <f>IF(F973="","",SUBSTITUTE(SUBSTITUTE(SUBSTITUTE(SUBSTITUTE(SUBSTITUTE(SUBSTITUTE(SUBSTITUTE(SUBSTITUTE(SUBSTITUTE(SUBSTITUTE(SUBSTITUTE(SUBSTITUTE(LOWER(TRIM(F973)),"á","a"),"é","e"),"í","i"),"ó","o"),"ú","u"),"ü","u"),"ñ","n"),"à","a"),"è","e"),"ì","i"),"ò","o"),"ù","u"))</f>
        <v/>
      </c>
      <c r="O973" s="25">
        <f>IF(M973="confiable",2,IF(M973="dudosa",1,IF(M973="no confiable",0,"")))</f>
        <v/>
      </c>
      <c r="P973" s="25">
        <f>IF(N973="confiable",2,IF(N973="dudosa",1,IF(N973="no confiable",0,"")))</f>
        <v/>
      </c>
      <c r="Q973" s="25">
        <f>IF(AND(ISNUMBER(O973),ISNUMBER(P973)),1,"")</f>
        <v/>
      </c>
      <c r="R973" s="25">
        <f>IF(Q973=1,IF(O973=P973,"Sí","No"),"")</f>
        <v/>
      </c>
      <c r="S973" s="25">
        <f>IF(Q973=1,IF(P973&lt;O973,"Más estricto",IF(P973&gt;O973,"Más permisivo","Igual")),"")</f>
        <v/>
      </c>
      <c r="T973" s="25">
        <f>IF(Q973=1,IF(ABS(O973-P973)=2,1,0),"")</f>
        <v/>
      </c>
      <c r="U973" s="25">
        <f>IF(H973="","","|"&amp;SUBSTITUTE(SUBSTITUTE(TRIM(H973)," |","|"),"| ","|")&amp;"|")</f>
        <v/>
      </c>
      <c r="V973" s="25">
        <f>IF(AND(Q973=1,B973&lt;&gt;""),IF(IFERROR(COUNTIFS(B$3:B973,"="&amp;SUBSTITUTE(SUBSTITUTE(SUBSTITUTE(B973,"~","~~"),"*","~*"),"?","~?"),Q$3:Q973,1),0)=1,MAX(V$2:V972)+1,""),"")</f>
        <v/>
      </c>
      <c r="W973" s="25">
        <f>IF(V973="","",COUNTIFS($B$3:$B$1002,"="&amp;SUBSTITUTE(SUBSTITUTE(SUBSTITUTE(B973,"~","~~"),"*","~*"),"?","~?"),$Q$3:$Q$1002,1)*10000-V973)</f>
        <v/>
      </c>
      <c r="X973" s="25">
        <f>IF(Q973=1,IF(SUBSTITUTE(SUBSTITUTE(SUBSTITUTE(SUBSTITUTE(SUBSTITUTE(SUBSTITUTE(SUBSTITUTE(SUBSTITUTE(SUBSTITUTE(SUBSTITUTE(SUBSTITUTE(SUBSTITUTE(LOWER(TRIM(A973)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973)),"á","a"),"é","e"),"í","i"),"ó","o"),"ú","u"),"ü","u"),"ñ","n"),"à","a"),"è","e"),"ì","i"),"ò","o"),"ù","u")),"")</f>
        <v/>
      </c>
      <c r="Y973" s="25">
        <f>IF(X973="","",IF(IFERROR(COUNTIF(X$3:X973,"="&amp;SUBSTITUTE(SUBSTITUTE(SUBSTITUTE(X973,"~","~~"),"*","~*"),"?","~?")),0)=1,1,""))</f>
        <v/>
      </c>
      <c r="Z973" s="25">
        <f>IF(T973=1,MAX(Z$2:Z972)+1,"")</f>
        <v/>
      </c>
    </row>
    <row r="974">
      <c r="A974">
        <f>IF(A$2=0,"",IFERROR(TRIM(INDEX('Pegar calibracion'!$A$1:$BZ$1001,973,A$2)&amp;""),""))</f>
        <v/>
      </c>
      <c r="B974">
        <f>IF(B$2=0,"",IFERROR(TRIM(INDEX('Pegar calibracion'!$A$1:$BZ$1001,973,B$2)&amp;""),""))</f>
        <v/>
      </c>
      <c r="C974">
        <f>IF(C$2=0,"",IFERROR(TRIM(INDEX('Pegar calibracion'!$A$1:$BZ$1001,973,C$2)&amp;""),""))</f>
        <v/>
      </c>
      <c r="D974">
        <f>IF(D$2=0,"",IFERROR(TRIM(INDEX('Pegar calibracion'!$A$1:$BZ$1001,973,D$2)&amp;""),""))</f>
        <v/>
      </c>
      <c r="E974">
        <f>IF(E$2=0,"",IFERROR(TRIM(INDEX('Pegar calibracion'!$A$1:$BZ$1001,973,E$2)&amp;""),""))</f>
        <v/>
      </c>
      <c r="F974">
        <f>IF(F$2=0,"",IFERROR(TRIM(INDEX('Pegar calibracion'!$A$1:$BZ$1001,973,F$2)&amp;""),""))</f>
        <v/>
      </c>
      <c r="G974">
        <f>IF(G$2=0,"",IFERROR(TRIM(INDEX('Pegar calibracion'!$A$1:$BZ$1001,973,G$2)&amp;""),""))</f>
        <v/>
      </c>
      <c r="H974">
        <f>IF(H$2=0,"",IFERROR(TRIM(INDEX('Pegar calibracion'!$A$1:$BZ$1001,973,H$2)&amp;""),""))</f>
        <v/>
      </c>
      <c r="I974">
        <f>IF(I$2=0,"",IFERROR(TRIM(INDEX('Pegar calibracion'!$A$1:$BZ$1001,973,I$2)&amp;""),""))</f>
        <v/>
      </c>
      <c r="J974">
        <f>IF(J$2=0,"",IFERROR(TRIM(INDEX('Pegar calibracion'!$A$1:$BZ$1001,973,J$2)&amp;""),""))</f>
        <v/>
      </c>
      <c r="K974">
        <f>IF(K$2=0,"",IFERROR(TRIM(INDEX('Pegar calibracion'!$A$1:$BZ$1001,973,K$2)&amp;""),""))</f>
        <v/>
      </c>
      <c r="L974">
        <f>IF(L$2=0,"",IFERROR(TRIM(INDEX('Pegar calibracion'!$A$1:$BZ$1001,973,L$2)&amp;""),""))</f>
        <v/>
      </c>
      <c r="M974" s="25">
        <f>IF(D974="","",SUBSTITUTE(SUBSTITUTE(SUBSTITUTE(SUBSTITUTE(SUBSTITUTE(SUBSTITUTE(SUBSTITUTE(SUBSTITUTE(SUBSTITUTE(SUBSTITUTE(SUBSTITUTE(SUBSTITUTE(LOWER(TRIM(D974)),"á","a"),"é","e"),"í","i"),"ó","o"),"ú","u"),"ü","u"),"ñ","n"),"à","a"),"è","e"),"ì","i"),"ò","o"),"ù","u"))</f>
        <v/>
      </c>
      <c r="N974" s="25">
        <f>IF(F974="","",SUBSTITUTE(SUBSTITUTE(SUBSTITUTE(SUBSTITUTE(SUBSTITUTE(SUBSTITUTE(SUBSTITUTE(SUBSTITUTE(SUBSTITUTE(SUBSTITUTE(SUBSTITUTE(SUBSTITUTE(LOWER(TRIM(F974)),"á","a"),"é","e"),"í","i"),"ó","o"),"ú","u"),"ü","u"),"ñ","n"),"à","a"),"è","e"),"ì","i"),"ò","o"),"ù","u"))</f>
        <v/>
      </c>
      <c r="O974" s="25">
        <f>IF(M974="confiable",2,IF(M974="dudosa",1,IF(M974="no confiable",0,"")))</f>
        <v/>
      </c>
      <c r="P974" s="25">
        <f>IF(N974="confiable",2,IF(N974="dudosa",1,IF(N974="no confiable",0,"")))</f>
        <v/>
      </c>
      <c r="Q974" s="25">
        <f>IF(AND(ISNUMBER(O974),ISNUMBER(P974)),1,"")</f>
        <v/>
      </c>
      <c r="R974" s="25">
        <f>IF(Q974=1,IF(O974=P974,"Sí","No"),"")</f>
        <v/>
      </c>
      <c r="S974" s="25">
        <f>IF(Q974=1,IF(P974&lt;O974,"Más estricto",IF(P974&gt;O974,"Más permisivo","Igual")),"")</f>
        <v/>
      </c>
      <c r="T974" s="25">
        <f>IF(Q974=1,IF(ABS(O974-P974)=2,1,0),"")</f>
        <v/>
      </c>
      <c r="U974" s="25">
        <f>IF(H974="","","|"&amp;SUBSTITUTE(SUBSTITUTE(TRIM(H974)," |","|"),"| ","|")&amp;"|")</f>
        <v/>
      </c>
      <c r="V974" s="25">
        <f>IF(AND(Q974=1,B974&lt;&gt;""),IF(IFERROR(COUNTIFS(B$3:B974,"="&amp;SUBSTITUTE(SUBSTITUTE(SUBSTITUTE(B974,"~","~~"),"*","~*"),"?","~?"),Q$3:Q974,1),0)=1,MAX(V$2:V973)+1,""),"")</f>
        <v/>
      </c>
      <c r="W974" s="25">
        <f>IF(V974="","",COUNTIFS($B$3:$B$1002,"="&amp;SUBSTITUTE(SUBSTITUTE(SUBSTITUTE(B974,"~","~~"),"*","~*"),"?","~?"),$Q$3:$Q$1002,1)*10000-V974)</f>
        <v/>
      </c>
      <c r="X974" s="25">
        <f>IF(Q974=1,IF(SUBSTITUTE(SUBSTITUTE(SUBSTITUTE(SUBSTITUTE(SUBSTITUTE(SUBSTITUTE(SUBSTITUTE(SUBSTITUTE(SUBSTITUTE(SUBSTITUTE(SUBSTITUTE(SUBSTITUTE(LOWER(TRIM(A974)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974)),"á","a"),"é","e"),"í","i"),"ó","o"),"ú","u"),"ü","u"),"ñ","n"),"à","a"),"è","e"),"ì","i"),"ò","o"),"ù","u")),"")</f>
        <v/>
      </c>
      <c r="Y974" s="25">
        <f>IF(X974="","",IF(IFERROR(COUNTIF(X$3:X974,"="&amp;SUBSTITUTE(SUBSTITUTE(SUBSTITUTE(X974,"~","~~"),"*","~*"),"?","~?")),0)=1,1,""))</f>
        <v/>
      </c>
      <c r="Z974" s="25">
        <f>IF(T974=1,MAX(Z$2:Z973)+1,"")</f>
        <v/>
      </c>
    </row>
    <row r="975">
      <c r="A975">
        <f>IF(A$2=0,"",IFERROR(TRIM(INDEX('Pegar calibracion'!$A$1:$BZ$1001,974,A$2)&amp;""),""))</f>
        <v/>
      </c>
      <c r="B975">
        <f>IF(B$2=0,"",IFERROR(TRIM(INDEX('Pegar calibracion'!$A$1:$BZ$1001,974,B$2)&amp;""),""))</f>
        <v/>
      </c>
      <c r="C975">
        <f>IF(C$2=0,"",IFERROR(TRIM(INDEX('Pegar calibracion'!$A$1:$BZ$1001,974,C$2)&amp;""),""))</f>
        <v/>
      </c>
      <c r="D975">
        <f>IF(D$2=0,"",IFERROR(TRIM(INDEX('Pegar calibracion'!$A$1:$BZ$1001,974,D$2)&amp;""),""))</f>
        <v/>
      </c>
      <c r="E975">
        <f>IF(E$2=0,"",IFERROR(TRIM(INDEX('Pegar calibracion'!$A$1:$BZ$1001,974,E$2)&amp;""),""))</f>
        <v/>
      </c>
      <c r="F975">
        <f>IF(F$2=0,"",IFERROR(TRIM(INDEX('Pegar calibracion'!$A$1:$BZ$1001,974,F$2)&amp;""),""))</f>
        <v/>
      </c>
      <c r="G975">
        <f>IF(G$2=0,"",IFERROR(TRIM(INDEX('Pegar calibracion'!$A$1:$BZ$1001,974,G$2)&amp;""),""))</f>
        <v/>
      </c>
      <c r="H975">
        <f>IF(H$2=0,"",IFERROR(TRIM(INDEX('Pegar calibracion'!$A$1:$BZ$1001,974,H$2)&amp;""),""))</f>
        <v/>
      </c>
      <c r="I975">
        <f>IF(I$2=0,"",IFERROR(TRIM(INDEX('Pegar calibracion'!$A$1:$BZ$1001,974,I$2)&amp;""),""))</f>
        <v/>
      </c>
      <c r="J975">
        <f>IF(J$2=0,"",IFERROR(TRIM(INDEX('Pegar calibracion'!$A$1:$BZ$1001,974,J$2)&amp;""),""))</f>
        <v/>
      </c>
      <c r="K975">
        <f>IF(K$2=0,"",IFERROR(TRIM(INDEX('Pegar calibracion'!$A$1:$BZ$1001,974,K$2)&amp;""),""))</f>
        <v/>
      </c>
      <c r="L975">
        <f>IF(L$2=0,"",IFERROR(TRIM(INDEX('Pegar calibracion'!$A$1:$BZ$1001,974,L$2)&amp;""),""))</f>
        <v/>
      </c>
      <c r="M975" s="25">
        <f>IF(D975="","",SUBSTITUTE(SUBSTITUTE(SUBSTITUTE(SUBSTITUTE(SUBSTITUTE(SUBSTITUTE(SUBSTITUTE(SUBSTITUTE(SUBSTITUTE(SUBSTITUTE(SUBSTITUTE(SUBSTITUTE(LOWER(TRIM(D975)),"á","a"),"é","e"),"í","i"),"ó","o"),"ú","u"),"ü","u"),"ñ","n"),"à","a"),"è","e"),"ì","i"),"ò","o"),"ù","u"))</f>
        <v/>
      </c>
      <c r="N975" s="25">
        <f>IF(F975="","",SUBSTITUTE(SUBSTITUTE(SUBSTITUTE(SUBSTITUTE(SUBSTITUTE(SUBSTITUTE(SUBSTITUTE(SUBSTITUTE(SUBSTITUTE(SUBSTITUTE(SUBSTITUTE(SUBSTITUTE(LOWER(TRIM(F975)),"á","a"),"é","e"),"í","i"),"ó","o"),"ú","u"),"ü","u"),"ñ","n"),"à","a"),"è","e"),"ì","i"),"ò","o"),"ù","u"))</f>
        <v/>
      </c>
      <c r="O975" s="25">
        <f>IF(M975="confiable",2,IF(M975="dudosa",1,IF(M975="no confiable",0,"")))</f>
        <v/>
      </c>
      <c r="P975" s="25">
        <f>IF(N975="confiable",2,IF(N975="dudosa",1,IF(N975="no confiable",0,"")))</f>
        <v/>
      </c>
      <c r="Q975" s="25">
        <f>IF(AND(ISNUMBER(O975),ISNUMBER(P975)),1,"")</f>
        <v/>
      </c>
      <c r="R975" s="25">
        <f>IF(Q975=1,IF(O975=P975,"Sí","No"),"")</f>
        <v/>
      </c>
      <c r="S975" s="25">
        <f>IF(Q975=1,IF(P975&lt;O975,"Más estricto",IF(P975&gt;O975,"Más permisivo","Igual")),"")</f>
        <v/>
      </c>
      <c r="T975" s="25">
        <f>IF(Q975=1,IF(ABS(O975-P975)=2,1,0),"")</f>
        <v/>
      </c>
      <c r="U975" s="25">
        <f>IF(H975="","","|"&amp;SUBSTITUTE(SUBSTITUTE(TRIM(H975)," |","|"),"| ","|")&amp;"|")</f>
        <v/>
      </c>
      <c r="V975" s="25">
        <f>IF(AND(Q975=1,B975&lt;&gt;""),IF(IFERROR(COUNTIFS(B$3:B975,"="&amp;SUBSTITUTE(SUBSTITUTE(SUBSTITUTE(B975,"~","~~"),"*","~*"),"?","~?"),Q$3:Q975,1),0)=1,MAX(V$2:V974)+1,""),"")</f>
        <v/>
      </c>
      <c r="W975" s="25">
        <f>IF(V975="","",COUNTIFS($B$3:$B$1002,"="&amp;SUBSTITUTE(SUBSTITUTE(SUBSTITUTE(B975,"~","~~"),"*","~*"),"?","~?"),$Q$3:$Q$1002,1)*10000-V975)</f>
        <v/>
      </c>
      <c r="X975" s="25">
        <f>IF(Q975=1,IF(SUBSTITUTE(SUBSTITUTE(SUBSTITUTE(SUBSTITUTE(SUBSTITUTE(SUBSTITUTE(SUBSTITUTE(SUBSTITUTE(SUBSTITUTE(SUBSTITUTE(SUBSTITUTE(SUBSTITUTE(LOWER(TRIM(A975)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975)),"á","a"),"é","e"),"í","i"),"ó","o"),"ú","u"),"ü","u"),"ñ","n"),"à","a"),"è","e"),"ì","i"),"ò","o"),"ù","u")),"")</f>
        <v/>
      </c>
      <c r="Y975" s="25">
        <f>IF(X975="","",IF(IFERROR(COUNTIF(X$3:X975,"="&amp;SUBSTITUTE(SUBSTITUTE(SUBSTITUTE(X975,"~","~~"),"*","~*"),"?","~?")),0)=1,1,""))</f>
        <v/>
      </c>
      <c r="Z975" s="25">
        <f>IF(T975=1,MAX(Z$2:Z974)+1,"")</f>
        <v/>
      </c>
    </row>
    <row r="976">
      <c r="A976">
        <f>IF(A$2=0,"",IFERROR(TRIM(INDEX('Pegar calibracion'!$A$1:$BZ$1001,975,A$2)&amp;""),""))</f>
        <v/>
      </c>
      <c r="B976">
        <f>IF(B$2=0,"",IFERROR(TRIM(INDEX('Pegar calibracion'!$A$1:$BZ$1001,975,B$2)&amp;""),""))</f>
        <v/>
      </c>
      <c r="C976">
        <f>IF(C$2=0,"",IFERROR(TRIM(INDEX('Pegar calibracion'!$A$1:$BZ$1001,975,C$2)&amp;""),""))</f>
        <v/>
      </c>
      <c r="D976">
        <f>IF(D$2=0,"",IFERROR(TRIM(INDEX('Pegar calibracion'!$A$1:$BZ$1001,975,D$2)&amp;""),""))</f>
        <v/>
      </c>
      <c r="E976">
        <f>IF(E$2=0,"",IFERROR(TRIM(INDEX('Pegar calibracion'!$A$1:$BZ$1001,975,E$2)&amp;""),""))</f>
        <v/>
      </c>
      <c r="F976">
        <f>IF(F$2=0,"",IFERROR(TRIM(INDEX('Pegar calibracion'!$A$1:$BZ$1001,975,F$2)&amp;""),""))</f>
        <v/>
      </c>
      <c r="G976">
        <f>IF(G$2=0,"",IFERROR(TRIM(INDEX('Pegar calibracion'!$A$1:$BZ$1001,975,G$2)&amp;""),""))</f>
        <v/>
      </c>
      <c r="H976">
        <f>IF(H$2=0,"",IFERROR(TRIM(INDEX('Pegar calibracion'!$A$1:$BZ$1001,975,H$2)&amp;""),""))</f>
        <v/>
      </c>
      <c r="I976">
        <f>IF(I$2=0,"",IFERROR(TRIM(INDEX('Pegar calibracion'!$A$1:$BZ$1001,975,I$2)&amp;""),""))</f>
        <v/>
      </c>
      <c r="J976">
        <f>IF(J$2=0,"",IFERROR(TRIM(INDEX('Pegar calibracion'!$A$1:$BZ$1001,975,J$2)&amp;""),""))</f>
        <v/>
      </c>
      <c r="K976">
        <f>IF(K$2=0,"",IFERROR(TRIM(INDEX('Pegar calibracion'!$A$1:$BZ$1001,975,K$2)&amp;""),""))</f>
        <v/>
      </c>
      <c r="L976">
        <f>IF(L$2=0,"",IFERROR(TRIM(INDEX('Pegar calibracion'!$A$1:$BZ$1001,975,L$2)&amp;""),""))</f>
        <v/>
      </c>
      <c r="M976" s="25">
        <f>IF(D976="","",SUBSTITUTE(SUBSTITUTE(SUBSTITUTE(SUBSTITUTE(SUBSTITUTE(SUBSTITUTE(SUBSTITUTE(SUBSTITUTE(SUBSTITUTE(SUBSTITUTE(SUBSTITUTE(SUBSTITUTE(LOWER(TRIM(D976)),"á","a"),"é","e"),"í","i"),"ó","o"),"ú","u"),"ü","u"),"ñ","n"),"à","a"),"è","e"),"ì","i"),"ò","o"),"ù","u"))</f>
        <v/>
      </c>
      <c r="N976" s="25">
        <f>IF(F976="","",SUBSTITUTE(SUBSTITUTE(SUBSTITUTE(SUBSTITUTE(SUBSTITUTE(SUBSTITUTE(SUBSTITUTE(SUBSTITUTE(SUBSTITUTE(SUBSTITUTE(SUBSTITUTE(SUBSTITUTE(LOWER(TRIM(F976)),"á","a"),"é","e"),"í","i"),"ó","o"),"ú","u"),"ü","u"),"ñ","n"),"à","a"),"è","e"),"ì","i"),"ò","o"),"ù","u"))</f>
        <v/>
      </c>
      <c r="O976" s="25">
        <f>IF(M976="confiable",2,IF(M976="dudosa",1,IF(M976="no confiable",0,"")))</f>
        <v/>
      </c>
      <c r="P976" s="25">
        <f>IF(N976="confiable",2,IF(N976="dudosa",1,IF(N976="no confiable",0,"")))</f>
        <v/>
      </c>
      <c r="Q976" s="25">
        <f>IF(AND(ISNUMBER(O976),ISNUMBER(P976)),1,"")</f>
        <v/>
      </c>
      <c r="R976" s="25">
        <f>IF(Q976=1,IF(O976=P976,"Sí","No"),"")</f>
        <v/>
      </c>
      <c r="S976" s="25">
        <f>IF(Q976=1,IF(P976&lt;O976,"Más estricto",IF(P976&gt;O976,"Más permisivo","Igual")),"")</f>
        <v/>
      </c>
      <c r="T976" s="25">
        <f>IF(Q976=1,IF(ABS(O976-P976)=2,1,0),"")</f>
        <v/>
      </c>
      <c r="U976" s="25">
        <f>IF(H976="","","|"&amp;SUBSTITUTE(SUBSTITUTE(TRIM(H976)," |","|"),"| ","|")&amp;"|")</f>
        <v/>
      </c>
      <c r="V976" s="25">
        <f>IF(AND(Q976=1,B976&lt;&gt;""),IF(IFERROR(COUNTIFS(B$3:B976,"="&amp;SUBSTITUTE(SUBSTITUTE(SUBSTITUTE(B976,"~","~~"),"*","~*"),"?","~?"),Q$3:Q976,1),0)=1,MAX(V$2:V975)+1,""),"")</f>
        <v/>
      </c>
      <c r="W976" s="25">
        <f>IF(V976="","",COUNTIFS($B$3:$B$1002,"="&amp;SUBSTITUTE(SUBSTITUTE(SUBSTITUTE(B976,"~","~~"),"*","~*"),"?","~?"),$Q$3:$Q$1002,1)*10000-V976)</f>
        <v/>
      </c>
      <c r="X976" s="25">
        <f>IF(Q976=1,IF(SUBSTITUTE(SUBSTITUTE(SUBSTITUTE(SUBSTITUTE(SUBSTITUTE(SUBSTITUTE(SUBSTITUTE(SUBSTITUTE(SUBSTITUTE(SUBSTITUTE(SUBSTITUTE(SUBSTITUTE(LOWER(TRIM(A976)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976)),"á","a"),"é","e"),"í","i"),"ó","o"),"ú","u"),"ü","u"),"ñ","n"),"à","a"),"è","e"),"ì","i"),"ò","o"),"ù","u")),"")</f>
        <v/>
      </c>
      <c r="Y976" s="25">
        <f>IF(X976="","",IF(IFERROR(COUNTIF(X$3:X976,"="&amp;SUBSTITUTE(SUBSTITUTE(SUBSTITUTE(X976,"~","~~"),"*","~*"),"?","~?")),0)=1,1,""))</f>
        <v/>
      </c>
      <c r="Z976" s="25">
        <f>IF(T976=1,MAX(Z$2:Z975)+1,"")</f>
        <v/>
      </c>
    </row>
    <row r="977">
      <c r="A977">
        <f>IF(A$2=0,"",IFERROR(TRIM(INDEX('Pegar calibracion'!$A$1:$BZ$1001,976,A$2)&amp;""),""))</f>
        <v/>
      </c>
      <c r="B977">
        <f>IF(B$2=0,"",IFERROR(TRIM(INDEX('Pegar calibracion'!$A$1:$BZ$1001,976,B$2)&amp;""),""))</f>
        <v/>
      </c>
      <c r="C977">
        <f>IF(C$2=0,"",IFERROR(TRIM(INDEX('Pegar calibracion'!$A$1:$BZ$1001,976,C$2)&amp;""),""))</f>
        <v/>
      </c>
      <c r="D977">
        <f>IF(D$2=0,"",IFERROR(TRIM(INDEX('Pegar calibracion'!$A$1:$BZ$1001,976,D$2)&amp;""),""))</f>
        <v/>
      </c>
      <c r="E977">
        <f>IF(E$2=0,"",IFERROR(TRIM(INDEX('Pegar calibracion'!$A$1:$BZ$1001,976,E$2)&amp;""),""))</f>
        <v/>
      </c>
      <c r="F977">
        <f>IF(F$2=0,"",IFERROR(TRIM(INDEX('Pegar calibracion'!$A$1:$BZ$1001,976,F$2)&amp;""),""))</f>
        <v/>
      </c>
      <c r="G977">
        <f>IF(G$2=0,"",IFERROR(TRIM(INDEX('Pegar calibracion'!$A$1:$BZ$1001,976,G$2)&amp;""),""))</f>
        <v/>
      </c>
      <c r="H977">
        <f>IF(H$2=0,"",IFERROR(TRIM(INDEX('Pegar calibracion'!$A$1:$BZ$1001,976,H$2)&amp;""),""))</f>
        <v/>
      </c>
      <c r="I977">
        <f>IF(I$2=0,"",IFERROR(TRIM(INDEX('Pegar calibracion'!$A$1:$BZ$1001,976,I$2)&amp;""),""))</f>
        <v/>
      </c>
      <c r="J977">
        <f>IF(J$2=0,"",IFERROR(TRIM(INDEX('Pegar calibracion'!$A$1:$BZ$1001,976,J$2)&amp;""),""))</f>
        <v/>
      </c>
      <c r="K977">
        <f>IF(K$2=0,"",IFERROR(TRIM(INDEX('Pegar calibracion'!$A$1:$BZ$1001,976,K$2)&amp;""),""))</f>
        <v/>
      </c>
      <c r="L977">
        <f>IF(L$2=0,"",IFERROR(TRIM(INDEX('Pegar calibracion'!$A$1:$BZ$1001,976,L$2)&amp;""),""))</f>
        <v/>
      </c>
      <c r="M977" s="25">
        <f>IF(D977="","",SUBSTITUTE(SUBSTITUTE(SUBSTITUTE(SUBSTITUTE(SUBSTITUTE(SUBSTITUTE(SUBSTITUTE(SUBSTITUTE(SUBSTITUTE(SUBSTITUTE(SUBSTITUTE(SUBSTITUTE(LOWER(TRIM(D977)),"á","a"),"é","e"),"í","i"),"ó","o"),"ú","u"),"ü","u"),"ñ","n"),"à","a"),"è","e"),"ì","i"),"ò","o"),"ù","u"))</f>
        <v/>
      </c>
      <c r="N977" s="25">
        <f>IF(F977="","",SUBSTITUTE(SUBSTITUTE(SUBSTITUTE(SUBSTITUTE(SUBSTITUTE(SUBSTITUTE(SUBSTITUTE(SUBSTITUTE(SUBSTITUTE(SUBSTITUTE(SUBSTITUTE(SUBSTITUTE(LOWER(TRIM(F977)),"á","a"),"é","e"),"í","i"),"ó","o"),"ú","u"),"ü","u"),"ñ","n"),"à","a"),"è","e"),"ì","i"),"ò","o"),"ù","u"))</f>
        <v/>
      </c>
      <c r="O977" s="25">
        <f>IF(M977="confiable",2,IF(M977="dudosa",1,IF(M977="no confiable",0,"")))</f>
        <v/>
      </c>
      <c r="P977" s="25">
        <f>IF(N977="confiable",2,IF(N977="dudosa",1,IF(N977="no confiable",0,"")))</f>
        <v/>
      </c>
      <c r="Q977" s="25">
        <f>IF(AND(ISNUMBER(O977),ISNUMBER(P977)),1,"")</f>
        <v/>
      </c>
      <c r="R977" s="25">
        <f>IF(Q977=1,IF(O977=P977,"Sí","No"),"")</f>
        <v/>
      </c>
      <c r="S977" s="25">
        <f>IF(Q977=1,IF(P977&lt;O977,"Más estricto",IF(P977&gt;O977,"Más permisivo","Igual")),"")</f>
        <v/>
      </c>
      <c r="T977" s="25">
        <f>IF(Q977=1,IF(ABS(O977-P977)=2,1,0),"")</f>
        <v/>
      </c>
      <c r="U977" s="25">
        <f>IF(H977="","","|"&amp;SUBSTITUTE(SUBSTITUTE(TRIM(H977)," |","|"),"| ","|")&amp;"|")</f>
        <v/>
      </c>
      <c r="V977" s="25">
        <f>IF(AND(Q977=1,B977&lt;&gt;""),IF(IFERROR(COUNTIFS(B$3:B977,"="&amp;SUBSTITUTE(SUBSTITUTE(SUBSTITUTE(B977,"~","~~"),"*","~*"),"?","~?"),Q$3:Q977,1),0)=1,MAX(V$2:V976)+1,""),"")</f>
        <v/>
      </c>
      <c r="W977" s="25">
        <f>IF(V977="","",COUNTIFS($B$3:$B$1002,"="&amp;SUBSTITUTE(SUBSTITUTE(SUBSTITUTE(B977,"~","~~"),"*","~*"),"?","~?"),$Q$3:$Q$1002,1)*10000-V977)</f>
        <v/>
      </c>
      <c r="X977" s="25">
        <f>IF(Q977=1,IF(SUBSTITUTE(SUBSTITUTE(SUBSTITUTE(SUBSTITUTE(SUBSTITUTE(SUBSTITUTE(SUBSTITUTE(SUBSTITUTE(SUBSTITUTE(SUBSTITUTE(SUBSTITUTE(SUBSTITUTE(LOWER(TRIM(A977)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977)),"á","a"),"é","e"),"í","i"),"ó","o"),"ú","u"),"ü","u"),"ñ","n"),"à","a"),"è","e"),"ì","i"),"ò","o"),"ù","u")),"")</f>
        <v/>
      </c>
      <c r="Y977" s="25">
        <f>IF(X977="","",IF(IFERROR(COUNTIF(X$3:X977,"="&amp;SUBSTITUTE(SUBSTITUTE(SUBSTITUTE(X977,"~","~~"),"*","~*"),"?","~?")),0)=1,1,""))</f>
        <v/>
      </c>
      <c r="Z977" s="25">
        <f>IF(T977=1,MAX(Z$2:Z976)+1,"")</f>
        <v/>
      </c>
    </row>
    <row r="978">
      <c r="A978">
        <f>IF(A$2=0,"",IFERROR(TRIM(INDEX('Pegar calibracion'!$A$1:$BZ$1001,977,A$2)&amp;""),""))</f>
        <v/>
      </c>
      <c r="B978">
        <f>IF(B$2=0,"",IFERROR(TRIM(INDEX('Pegar calibracion'!$A$1:$BZ$1001,977,B$2)&amp;""),""))</f>
        <v/>
      </c>
      <c r="C978">
        <f>IF(C$2=0,"",IFERROR(TRIM(INDEX('Pegar calibracion'!$A$1:$BZ$1001,977,C$2)&amp;""),""))</f>
        <v/>
      </c>
      <c r="D978">
        <f>IF(D$2=0,"",IFERROR(TRIM(INDEX('Pegar calibracion'!$A$1:$BZ$1001,977,D$2)&amp;""),""))</f>
        <v/>
      </c>
      <c r="E978">
        <f>IF(E$2=0,"",IFERROR(TRIM(INDEX('Pegar calibracion'!$A$1:$BZ$1001,977,E$2)&amp;""),""))</f>
        <v/>
      </c>
      <c r="F978">
        <f>IF(F$2=0,"",IFERROR(TRIM(INDEX('Pegar calibracion'!$A$1:$BZ$1001,977,F$2)&amp;""),""))</f>
        <v/>
      </c>
      <c r="G978">
        <f>IF(G$2=0,"",IFERROR(TRIM(INDEX('Pegar calibracion'!$A$1:$BZ$1001,977,G$2)&amp;""),""))</f>
        <v/>
      </c>
      <c r="H978">
        <f>IF(H$2=0,"",IFERROR(TRIM(INDEX('Pegar calibracion'!$A$1:$BZ$1001,977,H$2)&amp;""),""))</f>
        <v/>
      </c>
      <c r="I978">
        <f>IF(I$2=0,"",IFERROR(TRIM(INDEX('Pegar calibracion'!$A$1:$BZ$1001,977,I$2)&amp;""),""))</f>
        <v/>
      </c>
      <c r="J978">
        <f>IF(J$2=0,"",IFERROR(TRIM(INDEX('Pegar calibracion'!$A$1:$BZ$1001,977,J$2)&amp;""),""))</f>
        <v/>
      </c>
      <c r="K978">
        <f>IF(K$2=0,"",IFERROR(TRIM(INDEX('Pegar calibracion'!$A$1:$BZ$1001,977,K$2)&amp;""),""))</f>
        <v/>
      </c>
      <c r="L978">
        <f>IF(L$2=0,"",IFERROR(TRIM(INDEX('Pegar calibracion'!$A$1:$BZ$1001,977,L$2)&amp;""),""))</f>
        <v/>
      </c>
      <c r="M978" s="25">
        <f>IF(D978="","",SUBSTITUTE(SUBSTITUTE(SUBSTITUTE(SUBSTITUTE(SUBSTITUTE(SUBSTITUTE(SUBSTITUTE(SUBSTITUTE(SUBSTITUTE(SUBSTITUTE(SUBSTITUTE(SUBSTITUTE(LOWER(TRIM(D978)),"á","a"),"é","e"),"í","i"),"ó","o"),"ú","u"),"ü","u"),"ñ","n"),"à","a"),"è","e"),"ì","i"),"ò","o"),"ù","u"))</f>
        <v/>
      </c>
      <c r="N978" s="25">
        <f>IF(F978="","",SUBSTITUTE(SUBSTITUTE(SUBSTITUTE(SUBSTITUTE(SUBSTITUTE(SUBSTITUTE(SUBSTITUTE(SUBSTITUTE(SUBSTITUTE(SUBSTITUTE(SUBSTITUTE(SUBSTITUTE(LOWER(TRIM(F978)),"á","a"),"é","e"),"í","i"),"ó","o"),"ú","u"),"ü","u"),"ñ","n"),"à","a"),"è","e"),"ì","i"),"ò","o"),"ù","u"))</f>
        <v/>
      </c>
      <c r="O978" s="25">
        <f>IF(M978="confiable",2,IF(M978="dudosa",1,IF(M978="no confiable",0,"")))</f>
        <v/>
      </c>
      <c r="P978" s="25">
        <f>IF(N978="confiable",2,IF(N978="dudosa",1,IF(N978="no confiable",0,"")))</f>
        <v/>
      </c>
      <c r="Q978" s="25">
        <f>IF(AND(ISNUMBER(O978),ISNUMBER(P978)),1,"")</f>
        <v/>
      </c>
      <c r="R978" s="25">
        <f>IF(Q978=1,IF(O978=P978,"Sí","No"),"")</f>
        <v/>
      </c>
      <c r="S978" s="25">
        <f>IF(Q978=1,IF(P978&lt;O978,"Más estricto",IF(P978&gt;O978,"Más permisivo","Igual")),"")</f>
        <v/>
      </c>
      <c r="T978" s="25">
        <f>IF(Q978=1,IF(ABS(O978-P978)=2,1,0),"")</f>
        <v/>
      </c>
      <c r="U978" s="25">
        <f>IF(H978="","","|"&amp;SUBSTITUTE(SUBSTITUTE(TRIM(H978)," |","|"),"| ","|")&amp;"|")</f>
        <v/>
      </c>
      <c r="V978" s="25">
        <f>IF(AND(Q978=1,B978&lt;&gt;""),IF(IFERROR(COUNTIFS(B$3:B978,"="&amp;SUBSTITUTE(SUBSTITUTE(SUBSTITUTE(B978,"~","~~"),"*","~*"),"?","~?"),Q$3:Q978,1),0)=1,MAX(V$2:V977)+1,""),"")</f>
        <v/>
      </c>
      <c r="W978" s="25">
        <f>IF(V978="","",COUNTIFS($B$3:$B$1002,"="&amp;SUBSTITUTE(SUBSTITUTE(SUBSTITUTE(B978,"~","~~"),"*","~*"),"?","~?"),$Q$3:$Q$1002,1)*10000-V978)</f>
        <v/>
      </c>
      <c r="X978" s="25">
        <f>IF(Q978=1,IF(SUBSTITUTE(SUBSTITUTE(SUBSTITUTE(SUBSTITUTE(SUBSTITUTE(SUBSTITUTE(SUBSTITUTE(SUBSTITUTE(SUBSTITUTE(SUBSTITUTE(SUBSTITUTE(SUBSTITUTE(LOWER(TRIM(A978)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978)),"á","a"),"é","e"),"í","i"),"ó","o"),"ú","u"),"ü","u"),"ñ","n"),"à","a"),"è","e"),"ì","i"),"ò","o"),"ù","u")),"")</f>
        <v/>
      </c>
      <c r="Y978" s="25">
        <f>IF(X978="","",IF(IFERROR(COUNTIF(X$3:X978,"="&amp;SUBSTITUTE(SUBSTITUTE(SUBSTITUTE(X978,"~","~~"),"*","~*"),"?","~?")),0)=1,1,""))</f>
        <v/>
      </c>
      <c r="Z978" s="25">
        <f>IF(T978=1,MAX(Z$2:Z977)+1,"")</f>
        <v/>
      </c>
    </row>
    <row r="979">
      <c r="A979">
        <f>IF(A$2=0,"",IFERROR(TRIM(INDEX('Pegar calibracion'!$A$1:$BZ$1001,978,A$2)&amp;""),""))</f>
        <v/>
      </c>
      <c r="B979">
        <f>IF(B$2=0,"",IFERROR(TRIM(INDEX('Pegar calibracion'!$A$1:$BZ$1001,978,B$2)&amp;""),""))</f>
        <v/>
      </c>
      <c r="C979">
        <f>IF(C$2=0,"",IFERROR(TRIM(INDEX('Pegar calibracion'!$A$1:$BZ$1001,978,C$2)&amp;""),""))</f>
        <v/>
      </c>
      <c r="D979">
        <f>IF(D$2=0,"",IFERROR(TRIM(INDEX('Pegar calibracion'!$A$1:$BZ$1001,978,D$2)&amp;""),""))</f>
        <v/>
      </c>
      <c r="E979">
        <f>IF(E$2=0,"",IFERROR(TRIM(INDEX('Pegar calibracion'!$A$1:$BZ$1001,978,E$2)&amp;""),""))</f>
        <v/>
      </c>
      <c r="F979">
        <f>IF(F$2=0,"",IFERROR(TRIM(INDEX('Pegar calibracion'!$A$1:$BZ$1001,978,F$2)&amp;""),""))</f>
        <v/>
      </c>
      <c r="G979">
        <f>IF(G$2=0,"",IFERROR(TRIM(INDEX('Pegar calibracion'!$A$1:$BZ$1001,978,G$2)&amp;""),""))</f>
        <v/>
      </c>
      <c r="H979">
        <f>IF(H$2=0,"",IFERROR(TRIM(INDEX('Pegar calibracion'!$A$1:$BZ$1001,978,H$2)&amp;""),""))</f>
        <v/>
      </c>
      <c r="I979">
        <f>IF(I$2=0,"",IFERROR(TRIM(INDEX('Pegar calibracion'!$A$1:$BZ$1001,978,I$2)&amp;""),""))</f>
        <v/>
      </c>
      <c r="J979">
        <f>IF(J$2=0,"",IFERROR(TRIM(INDEX('Pegar calibracion'!$A$1:$BZ$1001,978,J$2)&amp;""),""))</f>
        <v/>
      </c>
      <c r="K979">
        <f>IF(K$2=0,"",IFERROR(TRIM(INDEX('Pegar calibracion'!$A$1:$BZ$1001,978,K$2)&amp;""),""))</f>
        <v/>
      </c>
      <c r="L979">
        <f>IF(L$2=0,"",IFERROR(TRIM(INDEX('Pegar calibracion'!$A$1:$BZ$1001,978,L$2)&amp;""),""))</f>
        <v/>
      </c>
      <c r="M979" s="25">
        <f>IF(D979="","",SUBSTITUTE(SUBSTITUTE(SUBSTITUTE(SUBSTITUTE(SUBSTITUTE(SUBSTITUTE(SUBSTITUTE(SUBSTITUTE(SUBSTITUTE(SUBSTITUTE(SUBSTITUTE(SUBSTITUTE(LOWER(TRIM(D979)),"á","a"),"é","e"),"í","i"),"ó","o"),"ú","u"),"ü","u"),"ñ","n"),"à","a"),"è","e"),"ì","i"),"ò","o"),"ù","u"))</f>
        <v/>
      </c>
      <c r="N979" s="25">
        <f>IF(F979="","",SUBSTITUTE(SUBSTITUTE(SUBSTITUTE(SUBSTITUTE(SUBSTITUTE(SUBSTITUTE(SUBSTITUTE(SUBSTITUTE(SUBSTITUTE(SUBSTITUTE(SUBSTITUTE(SUBSTITUTE(LOWER(TRIM(F979)),"á","a"),"é","e"),"í","i"),"ó","o"),"ú","u"),"ü","u"),"ñ","n"),"à","a"),"è","e"),"ì","i"),"ò","o"),"ù","u"))</f>
        <v/>
      </c>
      <c r="O979" s="25">
        <f>IF(M979="confiable",2,IF(M979="dudosa",1,IF(M979="no confiable",0,"")))</f>
        <v/>
      </c>
      <c r="P979" s="25">
        <f>IF(N979="confiable",2,IF(N979="dudosa",1,IF(N979="no confiable",0,"")))</f>
        <v/>
      </c>
      <c r="Q979" s="25">
        <f>IF(AND(ISNUMBER(O979),ISNUMBER(P979)),1,"")</f>
        <v/>
      </c>
      <c r="R979" s="25">
        <f>IF(Q979=1,IF(O979=P979,"Sí","No"),"")</f>
        <v/>
      </c>
      <c r="S979" s="25">
        <f>IF(Q979=1,IF(P979&lt;O979,"Más estricto",IF(P979&gt;O979,"Más permisivo","Igual")),"")</f>
        <v/>
      </c>
      <c r="T979" s="25">
        <f>IF(Q979=1,IF(ABS(O979-P979)=2,1,0),"")</f>
        <v/>
      </c>
      <c r="U979" s="25">
        <f>IF(H979="","","|"&amp;SUBSTITUTE(SUBSTITUTE(TRIM(H979)," |","|"),"| ","|")&amp;"|")</f>
        <v/>
      </c>
      <c r="V979" s="25">
        <f>IF(AND(Q979=1,B979&lt;&gt;""),IF(IFERROR(COUNTIFS(B$3:B979,"="&amp;SUBSTITUTE(SUBSTITUTE(SUBSTITUTE(B979,"~","~~"),"*","~*"),"?","~?"),Q$3:Q979,1),0)=1,MAX(V$2:V978)+1,""),"")</f>
        <v/>
      </c>
      <c r="W979" s="25">
        <f>IF(V979="","",COUNTIFS($B$3:$B$1002,"="&amp;SUBSTITUTE(SUBSTITUTE(SUBSTITUTE(B979,"~","~~"),"*","~*"),"?","~?"),$Q$3:$Q$1002,1)*10000-V979)</f>
        <v/>
      </c>
      <c r="X979" s="25">
        <f>IF(Q979=1,IF(SUBSTITUTE(SUBSTITUTE(SUBSTITUTE(SUBSTITUTE(SUBSTITUTE(SUBSTITUTE(SUBSTITUTE(SUBSTITUTE(SUBSTITUTE(SUBSTITUTE(SUBSTITUTE(SUBSTITUTE(LOWER(TRIM(A979)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979)),"á","a"),"é","e"),"í","i"),"ó","o"),"ú","u"),"ü","u"),"ñ","n"),"à","a"),"è","e"),"ì","i"),"ò","o"),"ù","u")),"")</f>
        <v/>
      </c>
      <c r="Y979" s="25">
        <f>IF(X979="","",IF(IFERROR(COUNTIF(X$3:X979,"="&amp;SUBSTITUTE(SUBSTITUTE(SUBSTITUTE(X979,"~","~~"),"*","~*"),"?","~?")),0)=1,1,""))</f>
        <v/>
      </c>
      <c r="Z979" s="25">
        <f>IF(T979=1,MAX(Z$2:Z978)+1,"")</f>
        <v/>
      </c>
    </row>
    <row r="980">
      <c r="A980">
        <f>IF(A$2=0,"",IFERROR(TRIM(INDEX('Pegar calibracion'!$A$1:$BZ$1001,979,A$2)&amp;""),""))</f>
        <v/>
      </c>
      <c r="B980">
        <f>IF(B$2=0,"",IFERROR(TRIM(INDEX('Pegar calibracion'!$A$1:$BZ$1001,979,B$2)&amp;""),""))</f>
        <v/>
      </c>
      <c r="C980">
        <f>IF(C$2=0,"",IFERROR(TRIM(INDEX('Pegar calibracion'!$A$1:$BZ$1001,979,C$2)&amp;""),""))</f>
        <v/>
      </c>
      <c r="D980">
        <f>IF(D$2=0,"",IFERROR(TRIM(INDEX('Pegar calibracion'!$A$1:$BZ$1001,979,D$2)&amp;""),""))</f>
        <v/>
      </c>
      <c r="E980">
        <f>IF(E$2=0,"",IFERROR(TRIM(INDEX('Pegar calibracion'!$A$1:$BZ$1001,979,E$2)&amp;""),""))</f>
        <v/>
      </c>
      <c r="F980">
        <f>IF(F$2=0,"",IFERROR(TRIM(INDEX('Pegar calibracion'!$A$1:$BZ$1001,979,F$2)&amp;""),""))</f>
        <v/>
      </c>
      <c r="G980">
        <f>IF(G$2=0,"",IFERROR(TRIM(INDEX('Pegar calibracion'!$A$1:$BZ$1001,979,G$2)&amp;""),""))</f>
        <v/>
      </c>
      <c r="H980">
        <f>IF(H$2=0,"",IFERROR(TRIM(INDEX('Pegar calibracion'!$A$1:$BZ$1001,979,H$2)&amp;""),""))</f>
        <v/>
      </c>
      <c r="I980">
        <f>IF(I$2=0,"",IFERROR(TRIM(INDEX('Pegar calibracion'!$A$1:$BZ$1001,979,I$2)&amp;""),""))</f>
        <v/>
      </c>
      <c r="J980">
        <f>IF(J$2=0,"",IFERROR(TRIM(INDEX('Pegar calibracion'!$A$1:$BZ$1001,979,J$2)&amp;""),""))</f>
        <v/>
      </c>
      <c r="K980">
        <f>IF(K$2=0,"",IFERROR(TRIM(INDEX('Pegar calibracion'!$A$1:$BZ$1001,979,K$2)&amp;""),""))</f>
        <v/>
      </c>
      <c r="L980">
        <f>IF(L$2=0,"",IFERROR(TRIM(INDEX('Pegar calibracion'!$A$1:$BZ$1001,979,L$2)&amp;""),""))</f>
        <v/>
      </c>
      <c r="M980" s="25">
        <f>IF(D980="","",SUBSTITUTE(SUBSTITUTE(SUBSTITUTE(SUBSTITUTE(SUBSTITUTE(SUBSTITUTE(SUBSTITUTE(SUBSTITUTE(SUBSTITUTE(SUBSTITUTE(SUBSTITUTE(SUBSTITUTE(LOWER(TRIM(D980)),"á","a"),"é","e"),"í","i"),"ó","o"),"ú","u"),"ü","u"),"ñ","n"),"à","a"),"è","e"),"ì","i"),"ò","o"),"ù","u"))</f>
        <v/>
      </c>
      <c r="N980" s="25">
        <f>IF(F980="","",SUBSTITUTE(SUBSTITUTE(SUBSTITUTE(SUBSTITUTE(SUBSTITUTE(SUBSTITUTE(SUBSTITUTE(SUBSTITUTE(SUBSTITUTE(SUBSTITUTE(SUBSTITUTE(SUBSTITUTE(LOWER(TRIM(F980)),"á","a"),"é","e"),"í","i"),"ó","o"),"ú","u"),"ü","u"),"ñ","n"),"à","a"),"è","e"),"ì","i"),"ò","o"),"ù","u"))</f>
        <v/>
      </c>
      <c r="O980" s="25">
        <f>IF(M980="confiable",2,IF(M980="dudosa",1,IF(M980="no confiable",0,"")))</f>
        <v/>
      </c>
      <c r="P980" s="25">
        <f>IF(N980="confiable",2,IF(N980="dudosa",1,IF(N980="no confiable",0,"")))</f>
        <v/>
      </c>
      <c r="Q980" s="25">
        <f>IF(AND(ISNUMBER(O980),ISNUMBER(P980)),1,"")</f>
        <v/>
      </c>
      <c r="R980" s="25">
        <f>IF(Q980=1,IF(O980=P980,"Sí","No"),"")</f>
        <v/>
      </c>
      <c r="S980" s="25">
        <f>IF(Q980=1,IF(P980&lt;O980,"Más estricto",IF(P980&gt;O980,"Más permisivo","Igual")),"")</f>
        <v/>
      </c>
      <c r="T980" s="25">
        <f>IF(Q980=1,IF(ABS(O980-P980)=2,1,0),"")</f>
        <v/>
      </c>
      <c r="U980" s="25">
        <f>IF(H980="","","|"&amp;SUBSTITUTE(SUBSTITUTE(TRIM(H980)," |","|"),"| ","|")&amp;"|")</f>
        <v/>
      </c>
      <c r="V980" s="25">
        <f>IF(AND(Q980=1,B980&lt;&gt;""),IF(IFERROR(COUNTIFS(B$3:B980,"="&amp;SUBSTITUTE(SUBSTITUTE(SUBSTITUTE(B980,"~","~~"),"*","~*"),"?","~?"),Q$3:Q980,1),0)=1,MAX(V$2:V979)+1,""),"")</f>
        <v/>
      </c>
      <c r="W980" s="25">
        <f>IF(V980="","",COUNTIFS($B$3:$B$1002,"="&amp;SUBSTITUTE(SUBSTITUTE(SUBSTITUTE(B980,"~","~~"),"*","~*"),"?","~?"),$Q$3:$Q$1002,1)*10000-V980)</f>
        <v/>
      </c>
      <c r="X980" s="25">
        <f>IF(Q980=1,IF(SUBSTITUTE(SUBSTITUTE(SUBSTITUTE(SUBSTITUTE(SUBSTITUTE(SUBSTITUTE(SUBSTITUTE(SUBSTITUTE(SUBSTITUTE(SUBSTITUTE(SUBSTITUTE(SUBSTITUTE(LOWER(TRIM(A980)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980)),"á","a"),"é","e"),"í","i"),"ó","o"),"ú","u"),"ü","u"),"ñ","n"),"à","a"),"è","e"),"ì","i"),"ò","o"),"ù","u")),"")</f>
        <v/>
      </c>
      <c r="Y980" s="25">
        <f>IF(X980="","",IF(IFERROR(COUNTIF(X$3:X980,"="&amp;SUBSTITUTE(SUBSTITUTE(SUBSTITUTE(X980,"~","~~"),"*","~*"),"?","~?")),0)=1,1,""))</f>
        <v/>
      </c>
      <c r="Z980" s="25">
        <f>IF(T980=1,MAX(Z$2:Z979)+1,"")</f>
        <v/>
      </c>
    </row>
    <row r="981">
      <c r="A981">
        <f>IF(A$2=0,"",IFERROR(TRIM(INDEX('Pegar calibracion'!$A$1:$BZ$1001,980,A$2)&amp;""),""))</f>
        <v/>
      </c>
      <c r="B981">
        <f>IF(B$2=0,"",IFERROR(TRIM(INDEX('Pegar calibracion'!$A$1:$BZ$1001,980,B$2)&amp;""),""))</f>
        <v/>
      </c>
      <c r="C981">
        <f>IF(C$2=0,"",IFERROR(TRIM(INDEX('Pegar calibracion'!$A$1:$BZ$1001,980,C$2)&amp;""),""))</f>
        <v/>
      </c>
      <c r="D981">
        <f>IF(D$2=0,"",IFERROR(TRIM(INDEX('Pegar calibracion'!$A$1:$BZ$1001,980,D$2)&amp;""),""))</f>
        <v/>
      </c>
      <c r="E981">
        <f>IF(E$2=0,"",IFERROR(TRIM(INDEX('Pegar calibracion'!$A$1:$BZ$1001,980,E$2)&amp;""),""))</f>
        <v/>
      </c>
      <c r="F981">
        <f>IF(F$2=0,"",IFERROR(TRIM(INDEX('Pegar calibracion'!$A$1:$BZ$1001,980,F$2)&amp;""),""))</f>
        <v/>
      </c>
      <c r="G981">
        <f>IF(G$2=0,"",IFERROR(TRIM(INDEX('Pegar calibracion'!$A$1:$BZ$1001,980,G$2)&amp;""),""))</f>
        <v/>
      </c>
      <c r="H981">
        <f>IF(H$2=0,"",IFERROR(TRIM(INDEX('Pegar calibracion'!$A$1:$BZ$1001,980,H$2)&amp;""),""))</f>
        <v/>
      </c>
      <c r="I981">
        <f>IF(I$2=0,"",IFERROR(TRIM(INDEX('Pegar calibracion'!$A$1:$BZ$1001,980,I$2)&amp;""),""))</f>
        <v/>
      </c>
      <c r="J981">
        <f>IF(J$2=0,"",IFERROR(TRIM(INDEX('Pegar calibracion'!$A$1:$BZ$1001,980,J$2)&amp;""),""))</f>
        <v/>
      </c>
      <c r="K981">
        <f>IF(K$2=0,"",IFERROR(TRIM(INDEX('Pegar calibracion'!$A$1:$BZ$1001,980,K$2)&amp;""),""))</f>
        <v/>
      </c>
      <c r="L981">
        <f>IF(L$2=0,"",IFERROR(TRIM(INDEX('Pegar calibracion'!$A$1:$BZ$1001,980,L$2)&amp;""),""))</f>
        <v/>
      </c>
      <c r="M981" s="25">
        <f>IF(D981="","",SUBSTITUTE(SUBSTITUTE(SUBSTITUTE(SUBSTITUTE(SUBSTITUTE(SUBSTITUTE(SUBSTITUTE(SUBSTITUTE(SUBSTITUTE(SUBSTITUTE(SUBSTITUTE(SUBSTITUTE(LOWER(TRIM(D981)),"á","a"),"é","e"),"í","i"),"ó","o"),"ú","u"),"ü","u"),"ñ","n"),"à","a"),"è","e"),"ì","i"),"ò","o"),"ù","u"))</f>
        <v/>
      </c>
      <c r="N981" s="25">
        <f>IF(F981="","",SUBSTITUTE(SUBSTITUTE(SUBSTITUTE(SUBSTITUTE(SUBSTITUTE(SUBSTITUTE(SUBSTITUTE(SUBSTITUTE(SUBSTITUTE(SUBSTITUTE(SUBSTITUTE(SUBSTITUTE(LOWER(TRIM(F981)),"á","a"),"é","e"),"í","i"),"ó","o"),"ú","u"),"ü","u"),"ñ","n"),"à","a"),"è","e"),"ì","i"),"ò","o"),"ù","u"))</f>
        <v/>
      </c>
      <c r="O981" s="25">
        <f>IF(M981="confiable",2,IF(M981="dudosa",1,IF(M981="no confiable",0,"")))</f>
        <v/>
      </c>
      <c r="P981" s="25">
        <f>IF(N981="confiable",2,IF(N981="dudosa",1,IF(N981="no confiable",0,"")))</f>
        <v/>
      </c>
      <c r="Q981" s="25">
        <f>IF(AND(ISNUMBER(O981),ISNUMBER(P981)),1,"")</f>
        <v/>
      </c>
      <c r="R981" s="25">
        <f>IF(Q981=1,IF(O981=P981,"Sí","No"),"")</f>
        <v/>
      </c>
      <c r="S981" s="25">
        <f>IF(Q981=1,IF(P981&lt;O981,"Más estricto",IF(P981&gt;O981,"Más permisivo","Igual")),"")</f>
        <v/>
      </c>
      <c r="T981" s="25">
        <f>IF(Q981=1,IF(ABS(O981-P981)=2,1,0),"")</f>
        <v/>
      </c>
      <c r="U981" s="25">
        <f>IF(H981="","","|"&amp;SUBSTITUTE(SUBSTITUTE(TRIM(H981)," |","|"),"| ","|")&amp;"|")</f>
        <v/>
      </c>
      <c r="V981" s="25">
        <f>IF(AND(Q981=1,B981&lt;&gt;""),IF(IFERROR(COUNTIFS(B$3:B981,"="&amp;SUBSTITUTE(SUBSTITUTE(SUBSTITUTE(B981,"~","~~"),"*","~*"),"?","~?"),Q$3:Q981,1),0)=1,MAX(V$2:V980)+1,""),"")</f>
        <v/>
      </c>
      <c r="W981" s="25">
        <f>IF(V981="","",COUNTIFS($B$3:$B$1002,"="&amp;SUBSTITUTE(SUBSTITUTE(SUBSTITUTE(B981,"~","~~"),"*","~*"),"?","~?"),$Q$3:$Q$1002,1)*10000-V981)</f>
        <v/>
      </c>
      <c r="X981" s="25">
        <f>IF(Q981=1,IF(SUBSTITUTE(SUBSTITUTE(SUBSTITUTE(SUBSTITUTE(SUBSTITUTE(SUBSTITUTE(SUBSTITUTE(SUBSTITUTE(SUBSTITUTE(SUBSTITUTE(SUBSTITUTE(SUBSTITUTE(LOWER(TRIM(A981)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981)),"á","a"),"é","e"),"í","i"),"ó","o"),"ú","u"),"ü","u"),"ñ","n"),"à","a"),"è","e"),"ì","i"),"ò","o"),"ù","u")),"")</f>
        <v/>
      </c>
      <c r="Y981" s="25">
        <f>IF(X981="","",IF(IFERROR(COUNTIF(X$3:X981,"="&amp;SUBSTITUTE(SUBSTITUTE(SUBSTITUTE(X981,"~","~~"),"*","~*"),"?","~?")),0)=1,1,""))</f>
        <v/>
      </c>
      <c r="Z981" s="25">
        <f>IF(T981=1,MAX(Z$2:Z980)+1,"")</f>
        <v/>
      </c>
    </row>
    <row r="982">
      <c r="A982">
        <f>IF(A$2=0,"",IFERROR(TRIM(INDEX('Pegar calibracion'!$A$1:$BZ$1001,981,A$2)&amp;""),""))</f>
        <v/>
      </c>
      <c r="B982">
        <f>IF(B$2=0,"",IFERROR(TRIM(INDEX('Pegar calibracion'!$A$1:$BZ$1001,981,B$2)&amp;""),""))</f>
        <v/>
      </c>
      <c r="C982">
        <f>IF(C$2=0,"",IFERROR(TRIM(INDEX('Pegar calibracion'!$A$1:$BZ$1001,981,C$2)&amp;""),""))</f>
        <v/>
      </c>
      <c r="D982">
        <f>IF(D$2=0,"",IFERROR(TRIM(INDEX('Pegar calibracion'!$A$1:$BZ$1001,981,D$2)&amp;""),""))</f>
        <v/>
      </c>
      <c r="E982">
        <f>IF(E$2=0,"",IFERROR(TRIM(INDEX('Pegar calibracion'!$A$1:$BZ$1001,981,E$2)&amp;""),""))</f>
        <v/>
      </c>
      <c r="F982">
        <f>IF(F$2=0,"",IFERROR(TRIM(INDEX('Pegar calibracion'!$A$1:$BZ$1001,981,F$2)&amp;""),""))</f>
        <v/>
      </c>
      <c r="G982">
        <f>IF(G$2=0,"",IFERROR(TRIM(INDEX('Pegar calibracion'!$A$1:$BZ$1001,981,G$2)&amp;""),""))</f>
        <v/>
      </c>
      <c r="H982">
        <f>IF(H$2=0,"",IFERROR(TRIM(INDEX('Pegar calibracion'!$A$1:$BZ$1001,981,H$2)&amp;""),""))</f>
        <v/>
      </c>
      <c r="I982">
        <f>IF(I$2=0,"",IFERROR(TRIM(INDEX('Pegar calibracion'!$A$1:$BZ$1001,981,I$2)&amp;""),""))</f>
        <v/>
      </c>
      <c r="J982">
        <f>IF(J$2=0,"",IFERROR(TRIM(INDEX('Pegar calibracion'!$A$1:$BZ$1001,981,J$2)&amp;""),""))</f>
        <v/>
      </c>
      <c r="K982">
        <f>IF(K$2=0,"",IFERROR(TRIM(INDEX('Pegar calibracion'!$A$1:$BZ$1001,981,K$2)&amp;""),""))</f>
        <v/>
      </c>
      <c r="L982">
        <f>IF(L$2=0,"",IFERROR(TRIM(INDEX('Pegar calibracion'!$A$1:$BZ$1001,981,L$2)&amp;""),""))</f>
        <v/>
      </c>
      <c r="M982" s="25">
        <f>IF(D982="","",SUBSTITUTE(SUBSTITUTE(SUBSTITUTE(SUBSTITUTE(SUBSTITUTE(SUBSTITUTE(SUBSTITUTE(SUBSTITUTE(SUBSTITUTE(SUBSTITUTE(SUBSTITUTE(SUBSTITUTE(LOWER(TRIM(D982)),"á","a"),"é","e"),"í","i"),"ó","o"),"ú","u"),"ü","u"),"ñ","n"),"à","a"),"è","e"),"ì","i"),"ò","o"),"ù","u"))</f>
        <v/>
      </c>
      <c r="N982" s="25">
        <f>IF(F982="","",SUBSTITUTE(SUBSTITUTE(SUBSTITUTE(SUBSTITUTE(SUBSTITUTE(SUBSTITUTE(SUBSTITUTE(SUBSTITUTE(SUBSTITUTE(SUBSTITUTE(SUBSTITUTE(SUBSTITUTE(LOWER(TRIM(F982)),"á","a"),"é","e"),"í","i"),"ó","o"),"ú","u"),"ü","u"),"ñ","n"),"à","a"),"è","e"),"ì","i"),"ò","o"),"ù","u"))</f>
        <v/>
      </c>
      <c r="O982" s="25">
        <f>IF(M982="confiable",2,IF(M982="dudosa",1,IF(M982="no confiable",0,"")))</f>
        <v/>
      </c>
      <c r="P982" s="25">
        <f>IF(N982="confiable",2,IF(N982="dudosa",1,IF(N982="no confiable",0,"")))</f>
        <v/>
      </c>
      <c r="Q982" s="25">
        <f>IF(AND(ISNUMBER(O982),ISNUMBER(P982)),1,"")</f>
        <v/>
      </c>
      <c r="R982" s="25">
        <f>IF(Q982=1,IF(O982=P982,"Sí","No"),"")</f>
        <v/>
      </c>
      <c r="S982" s="25">
        <f>IF(Q982=1,IF(P982&lt;O982,"Más estricto",IF(P982&gt;O982,"Más permisivo","Igual")),"")</f>
        <v/>
      </c>
      <c r="T982" s="25">
        <f>IF(Q982=1,IF(ABS(O982-P982)=2,1,0),"")</f>
        <v/>
      </c>
      <c r="U982" s="25">
        <f>IF(H982="","","|"&amp;SUBSTITUTE(SUBSTITUTE(TRIM(H982)," |","|"),"| ","|")&amp;"|")</f>
        <v/>
      </c>
      <c r="V982" s="25">
        <f>IF(AND(Q982=1,B982&lt;&gt;""),IF(IFERROR(COUNTIFS(B$3:B982,"="&amp;SUBSTITUTE(SUBSTITUTE(SUBSTITUTE(B982,"~","~~"),"*","~*"),"?","~?"),Q$3:Q982,1),0)=1,MAX(V$2:V981)+1,""),"")</f>
        <v/>
      </c>
      <c r="W982" s="25">
        <f>IF(V982="","",COUNTIFS($B$3:$B$1002,"="&amp;SUBSTITUTE(SUBSTITUTE(SUBSTITUTE(B982,"~","~~"),"*","~*"),"?","~?"),$Q$3:$Q$1002,1)*10000-V982)</f>
        <v/>
      </c>
      <c r="X982" s="25">
        <f>IF(Q982=1,IF(SUBSTITUTE(SUBSTITUTE(SUBSTITUTE(SUBSTITUTE(SUBSTITUTE(SUBSTITUTE(SUBSTITUTE(SUBSTITUTE(SUBSTITUTE(SUBSTITUTE(SUBSTITUTE(SUBSTITUTE(LOWER(TRIM(A982)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982)),"á","a"),"é","e"),"í","i"),"ó","o"),"ú","u"),"ü","u"),"ñ","n"),"à","a"),"è","e"),"ì","i"),"ò","o"),"ù","u")),"")</f>
        <v/>
      </c>
      <c r="Y982" s="25">
        <f>IF(X982="","",IF(IFERROR(COUNTIF(X$3:X982,"="&amp;SUBSTITUTE(SUBSTITUTE(SUBSTITUTE(X982,"~","~~"),"*","~*"),"?","~?")),0)=1,1,""))</f>
        <v/>
      </c>
      <c r="Z982" s="25">
        <f>IF(T982=1,MAX(Z$2:Z981)+1,"")</f>
        <v/>
      </c>
    </row>
    <row r="983">
      <c r="A983">
        <f>IF(A$2=0,"",IFERROR(TRIM(INDEX('Pegar calibracion'!$A$1:$BZ$1001,982,A$2)&amp;""),""))</f>
        <v/>
      </c>
      <c r="B983">
        <f>IF(B$2=0,"",IFERROR(TRIM(INDEX('Pegar calibracion'!$A$1:$BZ$1001,982,B$2)&amp;""),""))</f>
        <v/>
      </c>
      <c r="C983">
        <f>IF(C$2=0,"",IFERROR(TRIM(INDEX('Pegar calibracion'!$A$1:$BZ$1001,982,C$2)&amp;""),""))</f>
        <v/>
      </c>
      <c r="D983">
        <f>IF(D$2=0,"",IFERROR(TRIM(INDEX('Pegar calibracion'!$A$1:$BZ$1001,982,D$2)&amp;""),""))</f>
        <v/>
      </c>
      <c r="E983">
        <f>IF(E$2=0,"",IFERROR(TRIM(INDEX('Pegar calibracion'!$A$1:$BZ$1001,982,E$2)&amp;""),""))</f>
        <v/>
      </c>
      <c r="F983">
        <f>IF(F$2=0,"",IFERROR(TRIM(INDEX('Pegar calibracion'!$A$1:$BZ$1001,982,F$2)&amp;""),""))</f>
        <v/>
      </c>
      <c r="G983">
        <f>IF(G$2=0,"",IFERROR(TRIM(INDEX('Pegar calibracion'!$A$1:$BZ$1001,982,G$2)&amp;""),""))</f>
        <v/>
      </c>
      <c r="H983">
        <f>IF(H$2=0,"",IFERROR(TRIM(INDEX('Pegar calibracion'!$A$1:$BZ$1001,982,H$2)&amp;""),""))</f>
        <v/>
      </c>
      <c r="I983">
        <f>IF(I$2=0,"",IFERROR(TRIM(INDEX('Pegar calibracion'!$A$1:$BZ$1001,982,I$2)&amp;""),""))</f>
        <v/>
      </c>
      <c r="J983">
        <f>IF(J$2=0,"",IFERROR(TRIM(INDEX('Pegar calibracion'!$A$1:$BZ$1001,982,J$2)&amp;""),""))</f>
        <v/>
      </c>
      <c r="K983">
        <f>IF(K$2=0,"",IFERROR(TRIM(INDEX('Pegar calibracion'!$A$1:$BZ$1001,982,K$2)&amp;""),""))</f>
        <v/>
      </c>
      <c r="L983">
        <f>IF(L$2=0,"",IFERROR(TRIM(INDEX('Pegar calibracion'!$A$1:$BZ$1001,982,L$2)&amp;""),""))</f>
        <v/>
      </c>
      <c r="M983" s="25">
        <f>IF(D983="","",SUBSTITUTE(SUBSTITUTE(SUBSTITUTE(SUBSTITUTE(SUBSTITUTE(SUBSTITUTE(SUBSTITUTE(SUBSTITUTE(SUBSTITUTE(SUBSTITUTE(SUBSTITUTE(SUBSTITUTE(LOWER(TRIM(D983)),"á","a"),"é","e"),"í","i"),"ó","o"),"ú","u"),"ü","u"),"ñ","n"),"à","a"),"è","e"),"ì","i"),"ò","o"),"ù","u"))</f>
        <v/>
      </c>
      <c r="N983" s="25">
        <f>IF(F983="","",SUBSTITUTE(SUBSTITUTE(SUBSTITUTE(SUBSTITUTE(SUBSTITUTE(SUBSTITUTE(SUBSTITUTE(SUBSTITUTE(SUBSTITUTE(SUBSTITUTE(SUBSTITUTE(SUBSTITUTE(LOWER(TRIM(F983)),"á","a"),"é","e"),"í","i"),"ó","o"),"ú","u"),"ü","u"),"ñ","n"),"à","a"),"è","e"),"ì","i"),"ò","o"),"ù","u"))</f>
        <v/>
      </c>
      <c r="O983" s="25">
        <f>IF(M983="confiable",2,IF(M983="dudosa",1,IF(M983="no confiable",0,"")))</f>
        <v/>
      </c>
      <c r="P983" s="25">
        <f>IF(N983="confiable",2,IF(N983="dudosa",1,IF(N983="no confiable",0,"")))</f>
        <v/>
      </c>
      <c r="Q983" s="25">
        <f>IF(AND(ISNUMBER(O983),ISNUMBER(P983)),1,"")</f>
        <v/>
      </c>
      <c r="R983" s="25">
        <f>IF(Q983=1,IF(O983=P983,"Sí","No"),"")</f>
        <v/>
      </c>
      <c r="S983" s="25">
        <f>IF(Q983=1,IF(P983&lt;O983,"Más estricto",IF(P983&gt;O983,"Más permisivo","Igual")),"")</f>
        <v/>
      </c>
      <c r="T983" s="25">
        <f>IF(Q983=1,IF(ABS(O983-P983)=2,1,0),"")</f>
        <v/>
      </c>
      <c r="U983" s="25">
        <f>IF(H983="","","|"&amp;SUBSTITUTE(SUBSTITUTE(TRIM(H983)," |","|"),"| ","|")&amp;"|")</f>
        <v/>
      </c>
      <c r="V983" s="25">
        <f>IF(AND(Q983=1,B983&lt;&gt;""),IF(IFERROR(COUNTIFS(B$3:B983,"="&amp;SUBSTITUTE(SUBSTITUTE(SUBSTITUTE(B983,"~","~~"),"*","~*"),"?","~?"),Q$3:Q983,1),0)=1,MAX(V$2:V982)+1,""),"")</f>
        <v/>
      </c>
      <c r="W983" s="25">
        <f>IF(V983="","",COUNTIFS($B$3:$B$1002,"="&amp;SUBSTITUTE(SUBSTITUTE(SUBSTITUTE(B983,"~","~~"),"*","~*"),"?","~?"),$Q$3:$Q$1002,1)*10000-V983)</f>
        <v/>
      </c>
      <c r="X983" s="25">
        <f>IF(Q983=1,IF(SUBSTITUTE(SUBSTITUTE(SUBSTITUTE(SUBSTITUTE(SUBSTITUTE(SUBSTITUTE(SUBSTITUTE(SUBSTITUTE(SUBSTITUTE(SUBSTITUTE(SUBSTITUTE(SUBSTITUTE(LOWER(TRIM(A983)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983)),"á","a"),"é","e"),"í","i"),"ó","o"),"ú","u"),"ü","u"),"ñ","n"),"à","a"),"è","e"),"ì","i"),"ò","o"),"ù","u")),"")</f>
        <v/>
      </c>
      <c r="Y983" s="25">
        <f>IF(X983="","",IF(IFERROR(COUNTIF(X$3:X983,"="&amp;SUBSTITUTE(SUBSTITUTE(SUBSTITUTE(X983,"~","~~"),"*","~*"),"?","~?")),0)=1,1,""))</f>
        <v/>
      </c>
      <c r="Z983" s="25">
        <f>IF(T983=1,MAX(Z$2:Z982)+1,"")</f>
        <v/>
      </c>
    </row>
    <row r="984">
      <c r="A984">
        <f>IF(A$2=0,"",IFERROR(TRIM(INDEX('Pegar calibracion'!$A$1:$BZ$1001,983,A$2)&amp;""),""))</f>
        <v/>
      </c>
      <c r="B984">
        <f>IF(B$2=0,"",IFERROR(TRIM(INDEX('Pegar calibracion'!$A$1:$BZ$1001,983,B$2)&amp;""),""))</f>
        <v/>
      </c>
      <c r="C984">
        <f>IF(C$2=0,"",IFERROR(TRIM(INDEX('Pegar calibracion'!$A$1:$BZ$1001,983,C$2)&amp;""),""))</f>
        <v/>
      </c>
      <c r="D984">
        <f>IF(D$2=0,"",IFERROR(TRIM(INDEX('Pegar calibracion'!$A$1:$BZ$1001,983,D$2)&amp;""),""))</f>
        <v/>
      </c>
      <c r="E984">
        <f>IF(E$2=0,"",IFERROR(TRIM(INDEX('Pegar calibracion'!$A$1:$BZ$1001,983,E$2)&amp;""),""))</f>
        <v/>
      </c>
      <c r="F984">
        <f>IF(F$2=0,"",IFERROR(TRIM(INDEX('Pegar calibracion'!$A$1:$BZ$1001,983,F$2)&amp;""),""))</f>
        <v/>
      </c>
      <c r="G984">
        <f>IF(G$2=0,"",IFERROR(TRIM(INDEX('Pegar calibracion'!$A$1:$BZ$1001,983,G$2)&amp;""),""))</f>
        <v/>
      </c>
      <c r="H984">
        <f>IF(H$2=0,"",IFERROR(TRIM(INDEX('Pegar calibracion'!$A$1:$BZ$1001,983,H$2)&amp;""),""))</f>
        <v/>
      </c>
      <c r="I984">
        <f>IF(I$2=0,"",IFERROR(TRIM(INDEX('Pegar calibracion'!$A$1:$BZ$1001,983,I$2)&amp;""),""))</f>
        <v/>
      </c>
      <c r="J984">
        <f>IF(J$2=0,"",IFERROR(TRIM(INDEX('Pegar calibracion'!$A$1:$BZ$1001,983,J$2)&amp;""),""))</f>
        <v/>
      </c>
      <c r="K984">
        <f>IF(K$2=0,"",IFERROR(TRIM(INDEX('Pegar calibracion'!$A$1:$BZ$1001,983,K$2)&amp;""),""))</f>
        <v/>
      </c>
      <c r="L984">
        <f>IF(L$2=0,"",IFERROR(TRIM(INDEX('Pegar calibracion'!$A$1:$BZ$1001,983,L$2)&amp;""),""))</f>
        <v/>
      </c>
      <c r="M984" s="25">
        <f>IF(D984="","",SUBSTITUTE(SUBSTITUTE(SUBSTITUTE(SUBSTITUTE(SUBSTITUTE(SUBSTITUTE(SUBSTITUTE(SUBSTITUTE(SUBSTITUTE(SUBSTITUTE(SUBSTITUTE(SUBSTITUTE(LOWER(TRIM(D984)),"á","a"),"é","e"),"í","i"),"ó","o"),"ú","u"),"ü","u"),"ñ","n"),"à","a"),"è","e"),"ì","i"),"ò","o"),"ù","u"))</f>
        <v/>
      </c>
      <c r="N984" s="25">
        <f>IF(F984="","",SUBSTITUTE(SUBSTITUTE(SUBSTITUTE(SUBSTITUTE(SUBSTITUTE(SUBSTITUTE(SUBSTITUTE(SUBSTITUTE(SUBSTITUTE(SUBSTITUTE(SUBSTITUTE(SUBSTITUTE(LOWER(TRIM(F984)),"á","a"),"é","e"),"í","i"),"ó","o"),"ú","u"),"ü","u"),"ñ","n"),"à","a"),"è","e"),"ì","i"),"ò","o"),"ù","u"))</f>
        <v/>
      </c>
      <c r="O984" s="25">
        <f>IF(M984="confiable",2,IF(M984="dudosa",1,IF(M984="no confiable",0,"")))</f>
        <v/>
      </c>
      <c r="P984" s="25">
        <f>IF(N984="confiable",2,IF(N984="dudosa",1,IF(N984="no confiable",0,"")))</f>
        <v/>
      </c>
      <c r="Q984" s="25">
        <f>IF(AND(ISNUMBER(O984),ISNUMBER(P984)),1,"")</f>
        <v/>
      </c>
      <c r="R984" s="25">
        <f>IF(Q984=1,IF(O984=P984,"Sí","No"),"")</f>
        <v/>
      </c>
      <c r="S984" s="25">
        <f>IF(Q984=1,IF(P984&lt;O984,"Más estricto",IF(P984&gt;O984,"Más permisivo","Igual")),"")</f>
        <v/>
      </c>
      <c r="T984" s="25">
        <f>IF(Q984=1,IF(ABS(O984-P984)=2,1,0),"")</f>
        <v/>
      </c>
      <c r="U984" s="25">
        <f>IF(H984="","","|"&amp;SUBSTITUTE(SUBSTITUTE(TRIM(H984)," |","|"),"| ","|")&amp;"|")</f>
        <v/>
      </c>
      <c r="V984" s="25">
        <f>IF(AND(Q984=1,B984&lt;&gt;""),IF(IFERROR(COUNTIFS(B$3:B984,"="&amp;SUBSTITUTE(SUBSTITUTE(SUBSTITUTE(B984,"~","~~"),"*","~*"),"?","~?"),Q$3:Q984,1),0)=1,MAX(V$2:V983)+1,""),"")</f>
        <v/>
      </c>
      <c r="W984" s="25">
        <f>IF(V984="","",COUNTIFS($B$3:$B$1002,"="&amp;SUBSTITUTE(SUBSTITUTE(SUBSTITUTE(B984,"~","~~"),"*","~*"),"?","~?"),$Q$3:$Q$1002,1)*10000-V984)</f>
        <v/>
      </c>
      <c r="X984" s="25">
        <f>IF(Q984=1,IF(SUBSTITUTE(SUBSTITUTE(SUBSTITUTE(SUBSTITUTE(SUBSTITUTE(SUBSTITUTE(SUBSTITUTE(SUBSTITUTE(SUBSTITUTE(SUBSTITUTE(SUBSTITUTE(SUBSTITUTE(LOWER(TRIM(A984)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984)),"á","a"),"é","e"),"í","i"),"ó","o"),"ú","u"),"ü","u"),"ñ","n"),"à","a"),"è","e"),"ì","i"),"ò","o"),"ù","u")),"")</f>
        <v/>
      </c>
      <c r="Y984" s="25">
        <f>IF(X984="","",IF(IFERROR(COUNTIF(X$3:X984,"="&amp;SUBSTITUTE(SUBSTITUTE(SUBSTITUTE(X984,"~","~~"),"*","~*"),"?","~?")),0)=1,1,""))</f>
        <v/>
      </c>
      <c r="Z984" s="25">
        <f>IF(T984=1,MAX(Z$2:Z983)+1,"")</f>
        <v/>
      </c>
    </row>
    <row r="985">
      <c r="A985">
        <f>IF(A$2=0,"",IFERROR(TRIM(INDEX('Pegar calibracion'!$A$1:$BZ$1001,984,A$2)&amp;""),""))</f>
        <v/>
      </c>
      <c r="B985">
        <f>IF(B$2=0,"",IFERROR(TRIM(INDEX('Pegar calibracion'!$A$1:$BZ$1001,984,B$2)&amp;""),""))</f>
        <v/>
      </c>
      <c r="C985">
        <f>IF(C$2=0,"",IFERROR(TRIM(INDEX('Pegar calibracion'!$A$1:$BZ$1001,984,C$2)&amp;""),""))</f>
        <v/>
      </c>
      <c r="D985">
        <f>IF(D$2=0,"",IFERROR(TRIM(INDEX('Pegar calibracion'!$A$1:$BZ$1001,984,D$2)&amp;""),""))</f>
        <v/>
      </c>
      <c r="E985">
        <f>IF(E$2=0,"",IFERROR(TRIM(INDEX('Pegar calibracion'!$A$1:$BZ$1001,984,E$2)&amp;""),""))</f>
        <v/>
      </c>
      <c r="F985">
        <f>IF(F$2=0,"",IFERROR(TRIM(INDEX('Pegar calibracion'!$A$1:$BZ$1001,984,F$2)&amp;""),""))</f>
        <v/>
      </c>
      <c r="G985">
        <f>IF(G$2=0,"",IFERROR(TRIM(INDEX('Pegar calibracion'!$A$1:$BZ$1001,984,G$2)&amp;""),""))</f>
        <v/>
      </c>
      <c r="H985">
        <f>IF(H$2=0,"",IFERROR(TRIM(INDEX('Pegar calibracion'!$A$1:$BZ$1001,984,H$2)&amp;""),""))</f>
        <v/>
      </c>
      <c r="I985">
        <f>IF(I$2=0,"",IFERROR(TRIM(INDEX('Pegar calibracion'!$A$1:$BZ$1001,984,I$2)&amp;""),""))</f>
        <v/>
      </c>
      <c r="J985">
        <f>IF(J$2=0,"",IFERROR(TRIM(INDEX('Pegar calibracion'!$A$1:$BZ$1001,984,J$2)&amp;""),""))</f>
        <v/>
      </c>
      <c r="K985">
        <f>IF(K$2=0,"",IFERROR(TRIM(INDEX('Pegar calibracion'!$A$1:$BZ$1001,984,K$2)&amp;""),""))</f>
        <v/>
      </c>
      <c r="L985">
        <f>IF(L$2=0,"",IFERROR(TRIM(INDEX('Pegar calibracion'!$A$1:$BZ$1001,984,L$2)&amp;""),""))</f>
        <v/>
      </c>
      <c r="M985" s="25">
        <f>IF(D985="","",SUBSTITUTE(SUBSTITUTE(SUBSTITUTE(SUBSTITUTE(SUBSTITUTE(SUBSTITUTE(SUBSTITUTE(SUBSTITUTE(SUBSTITUTE(SUBSTITUTE(SUBSTITUTE(SUBSTITUTE(LOWER(TRIM(D985)),"á","a"),"é","e"),"í","i"),"ó","o"),"ú","u"),"ü","u"),"ñ","n"),"à","a"),"è","e"),"ì","i"),"ò","o"),"ù","u"))</f>
        <v/>
      </c>
      <c r="N985" s="25">
        <f>IF(F985="","",SUBSTITUTE(SUBSTITUTE(SUBSTITUTE(SUBSTITUTE(SUBSTITUTE(SUBSTITUTE(SUBSTITUTE(SUBSTITUTE(SUBSTITUTE(SUBSTITUTE(SUBSTITUTE(SUBSTITUTE(LOWER(TRIM(F985)),"á","a"),"é","e"),"í","i"),"ó","o"),"ú","u"),"ü","u"),"ñ","n"),"à","a"),"è","e"),"ì","i"),"ò","o"),"ù","u"))</f>
        <v/>
      </c>
      <c r="O985" s="25">
        <f>IF(M985="confiable",2,IF(M985="dudosa",1,IF(M985="no confiable",0,"")))</f>
        <v/>
      </c>
      <c r="P985" s="25">
        <f>IF(N985="confiable",2,IF(N985="dudosa",1,IF(N985="no confiable",0,"")))</f>
        <v/>
      </c>
      <c r="Q985" s="25">
        <f>IF(AND(ISNUMBER(O985),ISNUMBER(P985)),1,"")</f>
        <v/>
      </c>
      <c r="R985" s="25">
        <f>IF(Q985=1,IF(O985=P985,"Sí","No"),"")</f>
        <v/>
      </c>
      <c r="S985" s="25">
        <f>IF(Q985=1,IF(P985&lt;O985,"Más estricto",IF(P985&gt;O985,"Más permisivo","Igual")),"")</f>
        <v/>
      </c>
      <c r="T985" s="25">
        <f>IF(Q985=1,IF(ABS(O985-P985)=2,1,0),"")</f>
        <v/>
      </c>
      <c r="U985" s="25">
        <f>IF(H985="","","|"&amp;SUBSTITUTE(SUBSTITUTE(TRIM(H985)," |","|"),"| ","|")&amp;"|")</f>
        <v/>
      </c>
      <c r="V985" s="25">
        <f>IF(AND(Q985=1,B985&lt;&gt;""),IF(IFERROR(COUNTIFS(B$3:B985,"="&amp;SUBSTITUTE(SUBSTITUTE(SUBSTITUTE(B985,"~","~~"),"*","~*"),"?","~?"),Q$3:Q985,1),0)=1,MAX(V$2:V984)+1,""),"")</f>
        <v/>
      </c>
      <c r="W985" s="25">
        <f>IF(V985="","",COUNTIFS($B$3:$B$1002,"="&amp;SUBSTITUTE(SUBSTITUTE(SUBSTITUTE(B985,"~","~~"),"*","~*"),"?","~?"),$Q$3:$Q$1002,1)*10000-V985)</f>
        <v/>
      </c>
      <c r="X985" s="25">
        <f>IF(Q985=1,IF(SUBSTITUTE(SUBSTITUTE(SUBSTITUTE(SUBSTITUTE(SUBSTITUTE(SUBSTITUTE(SUBSTITUTE(SUBSTITUTE(SUBSTITUTE(SUBSTITUTE(SUBSTITUTE(SUBSTITUTE(LOWER(TRIM(A985)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985)),"á","a"),"é","e"),"í","i"),"ó","o"),"ú","u"),"ü","u"),"ñ","n"),"à","a"),"è","e"),"ì","i"),"ò","o"),"ù","u")),"")</f>
        <v/>
      </c>
      <c r="Y985" s="25">
        <f>IF(X985="","",IF(IFERROR(COUNTIF(X$3:X985,"="&amp;SUBSTITUTE(SUBSTITUTE(SUBSTITUTE(X985,"~","~~"),"*","~*"),"?","~?")),0)=1,1,""))</f>
        <v/>
      </c>
      <c r="Z985" s="25">
        <f>IF(T985=1,MAX(Z$2:Z984)+1,"")</f>
        <v/>
      </c>
    </row>
    <row r="986">
      <c r="A986">
        <f>IF(A$2=0,"",IFERROR(TRIM(INDEX('Pegar calibracion'!$A$1:$BZ$1001,985,A$2)&amp;""),""))</f>
        <v/>
      </c>
      <c r="B986">
        <f>IF(B$2=0,"",IFERROR(TRIM(INDEX('Pegar calibracion'!$A$1:$BZ$1001,985,B$2)&amp;""),""))</f>
        <v/>
      </c>
      <c r="C986">
        <f>IF(C$2=0,"",IFERROR(TRIM(INDEX('Pegar calibracion'!$A$1:$BZ$1001,985,C$2)&amp;""),""))</f>
        <v/>
      </c>
      <c r="D986">
        <f>IF(D$2=0,"",IFERROR(TRIM(INDEX('Pegar calibracion'!$A$1:$BZ$1001,985,D$2)&amp;""),""))</f>
        <v/>
      </c>
      <c r="E986">
        <f>IF(E$2=0,"",IFERROR(TRIM(INDEX('Pegar calibracion'!$A$1:$BZ$1001,985,E$2)&amp;""),""))</f>
        <v/>
      </c>
      <c r="F986">
        <f>IF(F$2=0,"",IFERROR(TRIM(INDEX('Pegar calibracion'!$A$1:$BZ$1001,985,F$2)&amp;""),""))</f>
        <v/>
      </c>
      <c r="G986">
        <f>IF(G$2=0,"",IFERROR(TRIM(INDEX('Pegar calibracion'!$A$1:$BZ$1001,985,G$2)&amp;""),""))</f>
        <v/>
      </c>
      <c r="H986">
        <f>IF(H$2=0,"",IFERROR(TRIM(INDEX('Pegar calibracion'!$A$1:$BZ$1001,985,H$2)&amp;""),""))</f>
        <v/>
      </c>
      <c r="I986">
        <f>IF(I$2=0,"",IFERROR(TRIM(INDEX('Pegar calibracion'!$A$1:$BZ$1001,985,I$2)&amp;""),""))</f>
        <v/>
      </c>
      <c r="J986">
        <f>IF(J$2=0,"",IFERROR(TRIM(INDEX('Pegar calibracion'!$A$1:$BZ$1001,985,J$2)&amp;""),""))</f>
        <v/>
      </c>
      <c r="K986">
        <f>IF(K$2=0,"",IFERROR(TRIM(INDEX('Pegar calibracion'!$A$1:$BZ$1001,985,K$2)&amp;""),""))</f>
        <v/>
      </c>
      <c r="L986">
        <f>IF(L$2=0,"",IFERROR(TRIM(INDEX('Pegar calibracion'!$A$1:$BZ$1001,985,L$2)&amp;""),""))</f>
        <v/>
      </c>
      <c r="M986" s="25">
        <f>IF(D986="","",SUBSTITUTE(SUBSTITUTE(SUBSTITUTE(SUBSTITUTE(SUBSTITUTE(SUBSTITUTE(SUBSTITUTE(SUBSTITUTE(SUBSTITUTE(SUBSTITUTE(SUBSTITUTE(SUBSTITUTE(LOWER(TRIM(D986)),"á","a"),"é","e"),"í","i"),"ó","o"),"ú","u"),"ü","u"),"ñ","n"),"à","a"),"è","e"),"ì","i"),"ò","o"),"ù","u"))</f>
        <v/>
      </c>
      <c r="N986" s="25">
        <f>IF(F986="","",SUBSTITUTE(SUBSTITUTE(SUBSTITUTE(SUBSTITUTE(SUBSTITUTE(SUBSTITUTE(SUBSTITUTE(SUBSTITUTE(SUBSTITUTE(SUBSTITUTE(SUBSTITUTE(SUBSTITUTE(LOWER(TRIM(F986)),"á","a"),"é","e"),"í","i"),"ó","o"),"ú","u"),"ü","u"),"ñ","n"),"à","a"),"è","e"),"ì","i"),"ò","o"),"ù","u"))</f>
        <v/>
      </c>
      <c r="O986" s="25">
        <f>IF(M986="confiable",2,IF(M986="dudosa",1,IF(M986="no confiable",0,"")))</f>
        <v/>
      </c>
      <c r="P986" s="25">
        <f>IF(N986="confiable",2,IF(N986="dudosa",1,IF(N986="no confiable",0,"")))</f>
        <v/>
      </c>
      <c r="Q986" s="25">
        <f>IF(AND(ISNUMBER(O986),ISNUMBER(P986)),1,"")</f>
        <v/>
      </c>
      <c r="R986" s="25">
        <f>IF(Q986=1,IF(O986=P986,"Sí","No"),"")</f>
        <v/>
      </c>
      <c r="S986" s="25">
        <f>IF(Q986=1,IF(P986&lt;O986,"Más estricto",IF(P986&gt;O986,"Más permisivo","Igual")),"")</f>
        <v/>
      </c>
      <c r="T986" s="25">
        <f>IF(Q986=1,IF(ABS(O986-P986)=2,1,0),"")</f>
        <v/>
      </c>
      <c r="U986" s="25">
        <f>IF(H986="","","|"&amp;SUBSTITUTE(SUBSTITUTE(TRIM(H986)," |","|"),"| ","|")&amp;"|")</f>
        <v/>
      </c>
      <c r="V986" s="25">
        <f>IF(AND(Q986=1,B986&lt;&gt;""),IF(IFERROR(COUNTIFS(B$3:B986,"="&amp;SUBSTITUTE(SUBSTITUTE(SUBSTITUTE(B986,"~","~~"),"*","~*"),"?","~?"),Q$3:Q986,1),0)=1,MAX(V$2:V985)+1,""),"")</f>
        <v/>
      </c>
      <c r="W986" s="25">
        <f>IF(V986="","",COUNTIFS($B$3:$B$1002,"="&amp;SUBSTITUTE(SUBSTITUTE(SUBSTITUTE(B986,"~","~~"),"*","~*"),"?","~?"),$Q$3:$Q$1002,1)*10000-V986)</f>
        <v/>
      </c>
      <c r="X986" s="25">
        <f>IF(Q986=1,IF(SUBSTITUTE(SUBSTITUTE(SUBSTITUTE(SUBSTITUTE(SUBSTITUTE(SUBSTITUTE(SUBSTITUTE(SUBSTITUTE(SUBSTITUTE(SUBSTITUTE(SUBSTITUTE(SUBSTITUTE(LOWER(TRIM(A986)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986)),"á","a"),"é","e"),"í","i"),"ó","o"),"ú","u"),"ü","u"),"ñ","n"),"à","a"),"è","e"),"ì","i"),"ò","o"),"ù","u")),"")</f>
        <v/>
      </c>
      <c r="Y986" s="25">
        <f>IF(X986="","",IF(IFERROR(COUNTIF(X$3:X986,"="&amp;SUBSTITUTE(SUBSTITUTE(SUBSTITUTE(X986,"~","~~"),"*","~*"),"?","~?")),0)=1,1,""))</f>
        <v/>
      </c>
      <c r="Z986" s="25">
        <f>IF(T986=1,MAX(Z$2:Z985)+1,"")</f>
        <v/>
      </c>
    </row>
    <row r="987">
      <c r="A987">
        <f>IF(A$2=0,"",IFERROR(TRIM(INDEX('Pegar calibracion'!$A$1:$BZ$1001,986,A$2)&amp;""),""))</f>
        <v/>
      </c>
      <c r="B987">
        <f>IF(B$2=0,"",IFERROR(TRIM(INDEX('Pegar calibracion'!$A$1:$BZ$1001,986,B$2)&amp;""),""))</f>
        <v/>
      </c>
      <c r="C987">
        <f>IF(C$2=0,"",IFERROR(TRIM(INDEX('Pegar calibracion'!$A$1:$BZ$1001,986,C$2)&amp;""),""))</f>
        <v/>
      </c>
      <c r="D987">
        <f>IF(D$2=0,"",IFERROR(TRIM(INDEX('Pegar calibracion'!$A$1:$BZ$1001,986,D$2)&amp;""),""))</f>
        <v/>
      </c>
      <c r="E987">
        <f>IF(E$2=0,"",IFERROR(TRIM(INDEX('Pegar calibracion'!$A$1:$BZ$1001,986,E$2)&amp;""),""))</f>
        <v/>
      </c>
      <c r="F987">
        <f>IF(F$2=0,"",IFERROR(TRIM(INDEX('Pegar calibracion'!$A$1:$BZ$1001,986,F$2)&amp;""),""))</f>
        <v/>
      </c>
      <c r="G987">
        <f>IF(G$2=0,"",IFERROR(TRIM(INDEX('Pegar calibracion'!$A$1:$BZ$1001,986,G$2)&amp;""),""))</f>
        <v/>
      </c>
      <c r="H987">
        <f>IF(H$2=0,"",IFERROR(TRIM(INDEX('Pegar calibracion'!$A$1:$BZ$1001,986,H$2)&amp;""),""))</f>
        <v/>
      </c>
      <c r="I987">
        <f>IF(I$2=0,"",IFERROR(TRIM(INDEX('Pegar calibracion'!$A$1:$BZ$1001,986,I$2)&amp;""),""))</f>
        <v/>
      </c>
      <c r="J987">
        <f>IF(J$2=0,"",IFERROR(TRIM(INDEX('Pegar calibracion'!$A$1:$BZ$1001,986,J$2)&amp;""),""))</f>
        <v/>
      </c>
      <c r="K987">
        <f>IF(K$2=0,"",IFERROR(TRIM(INDEX('Pegar calibracion'!$A$1:$BZ$1001,986,K$2)&amp;""),""))</f>
        <v/>
      </c>
      <c r="L987">
        <f>IF(L$2=0,"",IFERROR(TRIM(INDEX('Pegar calibracion'!$A$1:$BZ$1001,986,L$2)&amp;""),""))</f>
        <v/>
      </c>
      <c r="M987" s="25">
        <f>IF(D987="","",SUBSTITUTE(SUBSTITUTE(SUBSTITUTE(SUBSTITUTE(SUBSTITUTE(SUBSTITUTE(SUBSTITUTE(SUBSTITUTE(SUBSTITUTE(SUBSTITUTE(SUBSTITUTE(SUBSTITUTE(LOWER(TRIM(D987)),"á","a"),"é","e"),"í","i"),"ó","o"),"ú","u"),"ü","u"),"ñ","n"),"à","a"),"è","e"),"ì","i"),"ò","o"),"ù","u"))</f>
        <v/>
      </c>
      <c r="N987" s="25">
        <f>IF(F987="","",SUBSTITUTE(SUBSTITUTE(SUBSTITUTE(SUBSTITUTE(SUBSTITUTE(SUBSTITUTE(SUBSTITUTE(SUBSTITUTE(SUBSTITUTE(SUBSTITUTE(SUBSTITUTE(SUBSTITUTE(LOWER(TRIM(F987)),"á","a"),"é","e"),"í","i"),"ó","o"),"ú","u"),"ü","u"),"ñ","n"),"à","a"),"è","e"),"ì","i"),"ò","o"),"ù","u"))</f>
        <v/>
      </c>
      <c r="O987" s="25">
        <f>IF(M987="confiable",2,IF(M987="dudosa",1,IF(M987="no confiable",0,"")))</f>
        <v/>
      </c>
      <c r="P987" s="25">
        <f>IF(N987="confiable",2,IF(N987="dudosa",1,IF(N987="no confiable",0,"")))</f>
        <v/>
      </c>
      <c r="Q987" s="25">
        <f>IF(AND(ISNUMBER(O987),ISNUMBER(P987)),1,"")</f>
        <v/>
      </c>
      <c r="R987" s="25">
        <f>IF(Q987=1,IF(O987=P987,"Sí","No"),"")</f>
        <v/>
      </c>
      <c r="S987" s="25">
        <f>IF(Q987=1,IF(P987&lt;O987,"Más estricto",IF(P987&gt;O987,"Más permisivo","Igual")),"")</f>
        <v/>
      </c>
      <c r="T987" s="25">
        <f>IF(Q987=1,IF(ABS(O987-P987)=2,1,0),"")</f>
        <v/>
      </c>
      <c r="U987" s="25">
        <f>IF(H987="","","|"&amp;SUBSTITUTE(SUBSTITUTE(TRIM(H987)," |","|"),"| ","|")&amp;"|")</f>
        <v/>
      </c>
      <c r="V987" s="25">
        <f>IF(AND(Q987=1,B987&lt;&gt;""),IF(IFERROR(COUNTIFS(B$3:B987,"="&amp;SUBSTITUTE(SUBSTITUTE(SUBSTITUTE(B987,"~","~~"),"*","~*"),"?","~?"),Q$3:Q987,1),0)=1,MAX(V$2:V986)+1,""),"")</f>
        <v/>
      </c>
      <c r="W987" s="25">
        <f>IF(V987="","",COUNTIFS($B$3:$B$1002,"="&amp;SUBSTITUTE(SUBSTITUTE(SUBSTITUTE(B987,"~","~~"),"*","~*"),"?","~?"),$Q$3:$Q$1002,1)*10000-V987)</f>
        <v/>
      </c>
      <c r="X987" s="25">
        <f>IF(Q987=1,IF(SUBSTITUTE(SUBSTITUTE(SUBSTITUTE(SUBSTITUTE(SUBSTITUTE(SUBSTITUTE(SUBSTITUTE(SUBSTITUTE(SUBSTITUTE(SUBSTITUTE(SUBSTITUTE(SUBSTITUTE(LOWER(TRIM(A987)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987)),"á","a"),"é","e"),"í","i"),"ó","o"),"ú","u"),"ü","u"),"ñ","n"),"à","a"),"è","e"),"ì","i"),"ò","o"),"ù","u")),"")</f>
        <v/>
      </c>
      <c r="Y987" s="25">
        <f>IF(X987="","",IF(IFERROR(COUNTIF(X$3:X987,"="&amp;SUBSTITUTE(SUBSTITUTE(SUBSTITUTE(X987,"~","~~"),"*","~*"),"?","~?")),0)=1,1,""))</f>
        <v/>
      </c>
      <c r="Z987" s="25">
        <f>IF(T987=1,MAX(Z$2:Z986)+1,"")</f>
        <v/>
      </c>
    </row>
    <row r="988">
      <c r="A988">
        <f>IF(A$2=0,"",IFERROR(TRIM(INDEX('Pegar calibracion'!$A$1:$BZ$1001,987,A$2)&amp;""),""))</f>
        <v/>
      </c>
      <c r="B988">
        <f>IF(B$2=0,"",IFERROR(TRIM(INDEX('Pegar calibracion'!$A$1:$BZ$1001,987,B$2)&amp;""),""))</f>
        <v/>
      </c>
      <c r="C988">
        <f>IF(C$2=0,"",IFERROR(TRIM(INDEX('Pegar calibracion'!$A$1:$BZ$1001,987,C$2)&amp;""),""))</f>
        <v/>
      </c>
      <c r="D988">
        <f>IF(D$2=0,"",IFERROR(TRIM(INDEX('Pegar calibracion'!$A$1:$BZ$1001,987,D$2)&amp;""),""))</f>
        <v/>
      </c>
      <c r="E988">
        <f>IF(E$2=0,"",IFERROR(TRIM(INDEX('Pegar calibracion'!$A$1:$BZ$1001,987,E$2)&amp;""),""))</f>
        <v/>
      </c>
      <c r="F988">
        <f>IF(F$2=0,"",IFERROR(TRIM(INDEX('Pegar calibracion'!$A$1:$BZ$1001,987,F$2)&amp;""),""))</f>
        <v/>
      </c>
      <c r="G988">
        <f>IF(G$2=0,"",IFERROR(TRIM(INDEX('Pegar calibracion'!$A$1:$BZ$1001,987,G$2)&amp;""),""))</f>
        <v/>
      </c>
      <c r="H988">
        <f>IF(H$2=0,"",IFERROR(TRIM(INDEX('Pegar calibracion'!$A$1:$BZ$1001,987,H$2)&amp;""),""))</f>
        <v/>
      </c>
      <c r="I988">
        <f>IF(I$2=0,"",IFERROR(TRIM(INDEX('Pegar calibracion'!$A$1:$BZ$1001,987,I$2)&amp;""),""))</f>
        <v/>
      </c>
      <c r="J988">
        <f>IF(J$2=0,"",IFERROR(TRIM(INDEX('Pegar calibracion'!$A$1:$BZ$1001,987,J$2)&amp;""),""))</f>
        <v/>
      </c>
      <c r="K988">
        <f>IF(K$2=0,"",IFERROR(TRIM(INDEX('Pegar calibracion'!$A$1:$BZ$1001,987,K$2)&amp;""),""))</f>
        <v/>
      </c>
      <c r="L988">
        <f>IF(L$2=0,"",IFERROR(TRIM(INDEX('Pegar calibracion'!$A$1:$BZ$1001,987,L$2)&amp;""),""))</f>
        <v/>
      </c>
      <c r="M988" s="25">
        <f>IF(D988="","",SUBSTITUTE(SUBSTITUTE(SUBSTITUTE(SUBSTITUTE(SUBSTITUTE(SUBSTITUTE(SUBSTITUTE(SUBSTITUTE(SUBSTITUTE(SUBSTITUTE(SUBSTITUTE(SUBSTITUTE(LOWER(TRIM(D988)),"á","a"),"é","e"),"í","i"),"ó","o"),"ú","u"),"ü","u"),"ñ","n"),"à","a"),"è","e"),"ì","i"),"ò","o"),"ù","u"))</f>
        <v/>
      </c>
      <c r="N988" s="25">
        <f>IF(F988="","",SUBSTITUTE(SUBSTITUTE(SUBSTITUTE(SUBSTITUTE(SUBSTITUTE(SUBSTITUTE(SUBSTITUTE(SUBSTITUTE(SUBSTITUTE(SUBSTITUTE(SUBSTITUTE(SUBSTITUTE(LOWER(TRIM(F988)),"á","a"),"é","e"),"í","i"),"ó","o"),"ú","u"),"ü","u"),"ñ","n"),"à","a"),"è","e"),"ì","i"),"ò","o"),"ù","u"))</f>
        <v/>
      </c>
      <c r="O988" s="25">
        <f>IF(M988="confiable",2,IF(M988="dudosa",1,IF(M988="no confiable",0,"")))</f>
        <v/>
      </c>
      <c r="P988" s="25">
        <f>IF(N988="confiable",2,IF(N988="dudosa",1,IF(N988="no confiable",0,"")))</f>
        <v/>
      </c>
      <c r="Q988" s="25">
        <f>IF(AND(ISNUMBER(O988),ISNUMBER(P988)),1,"")</f>
        <v/>
      </c>
      <c r="R988" s="25">
        <f>IF(Q988=1,IF(O988=P988,"Sí","No"),"")</f>
        <v/>
      </c>
      <c r="S988" s="25">
        <f>IF(Q988=1,IF(P988&lt;O988,"Más estricto",IF(P988&gt;O988,"Más permisivo","Igual")),"")</f>
        <v/>
      </c>
      <c r="T988" s="25">
        <f>IF(Q988=1,IF(ABS(O988-P988)=2,1,0),"")</f>
        <v/>
      </c>
      <c r="U988" s="25">
        <f>IF(H988="","","|"&amp;SUBSTITUTE(SUBSTITUTE(TRIM(H988)," |","|"),"| ","|")&amp;"|")</f>
        <v/>
      </c>
      <c r="V988" s="25">
        <f>IF(AND(Q988=1,B988&lt;&gt;""),IF(IFERROR(COUNTIFS(B$3:B988,"="&amp;SUBSTITUTE(SUBSTITUTE(SUBSTITUTE(B988,"~","~~"),"*","~*"),"?","~?"),Q$3:Q988,1),0)=1,MAX(V$2:V987)+1,""),"")</f>
        <v/>
      </c>
      <c r="W988" s="25">
        <f>IF(V988="","",COUNTIFS($B$3:$B$1002,"="&amp;SUBSTITUTE(SUBSTITUTE(SUBSTITUTE(B988,"~","~~"),"*","~*"),"?","~?"),$Q$3:$Q$1002,1)*10000-V988)</f>
        <v/>
      </c>
      <c r="X988" s="25">
        <f>IF(Q988=1,IF(SUBSTITUTE(SUBSTITUTE(SUBSTITUTE(SUBSTITUTE(SUBSTITUTE(SUBSTITUTE(SUBSTITUTE(SUBSTITUTE(SUBSTITUTE(SUBSTITUTE(SUBSTITUTE(SUBSTITUTE(LOWER(TRIM(A988)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988)),"á","a"),"é","e"),"í","i"),"ó","o"),"ú","u"),"ü","u"),"ñ","n"),"à","a"),"è","e"),"ì","i"),"ò","o"),"ù","u")),"")</f>
        <v/>
      </c>
      <c r="Y988" s="25">
        <f>IF(X988="","",IF(IFERROR(COUNTIF(X$3:X988,"="&amp;SUBSTITUTE(SUBSTITUTE(SUBSTITUTE(X988,"~","~~"),"*","~*"),"?","~?")),0)=1,1,""))</f>
        <v/>
      </c>
      <c r="Z988" s="25">
        <f>IF(T988=1,MAX(Z$2:Z987)+1,"")</f>
        <v/>
      </c>
    </row>
    <row r="989">
      <c r="A989">
        <f>IF(A$2=0,"",IFERROR(TRIM(INDEX('Pegar calibracion'!$A$1:$BZ$1001,988,A$2)&amp;""),""))</f>
        <v/>
      </c>
      <c r="B989">
        <f>IF(B$2=0,"",IFERROR(TRIM(INDEX('Pegar calibracion'!$A$1:$BZ$1001,988,B$2)&amp;""),""))</f>
        <v/>
      </c>
      <c r="C989">
        <f>IF(C$2=0,"",IFERROR(TRIM(INDEX('Pegar calibracion'!$A$1:$BZ$1001,988,C$2)&amp;""),""))</f>
        <v/>
      </c>
      <c r="D989">
        <f>IF(D$2=0,"",IFERROR(TRIM(INDEX('Pegar calibracion'!$A$1:$BZ$1001,988,D$2)&amp;""),""))</f>
        <v/>
      </c>
      <c r="E989">
        <f>IF(E$2=0,"",IFERROR(TRIM(INDEX('Pegar calibracion'!$A$1:$BZ$1001,988,E$2)&amp;""),""))</f>
        <v/>
      </c>
      <c r="F989">
        <f>IF(F$2=0,"",IFERROR(TRIM(INDEX('Pegar calibracion'!$A$1:$BZ$1001,988,F$2)&amp;""),""))</f>
        <v/>
      </c>
      <c r="G989">
        <f>IF(G$2=0,"",IFERROR(TRIM(INDEX('Pegar calibracion'!$A$1:$BZ$1001,988,G$2)&amp;""),""))</f>
        <v/>
      </c>
      <c r="H989">
        <f>IF(H$2=0,"",IFERROR(TRIM(INDEX('Pegar calibracion'!$A$1:$BZ$1001,988,H$2)&amp;""),""))</f>
        <v/>
      </c>
      <c r="I989">
        <f>IF(I$2=0,"",IFERROR(TRIM(INDEX('Pegar calibracion'!$A$1:$BZ$1001,988,I$2)&amp;""),""))</f>
        <v/>
      </c>
      <c r="J989">
        <f>IF(J$2=0,"",IFERROR(TRIM(INDEX('Pegar calibracion'!$A$1:$BZ$1001,988,J$2)&amp;""),""))</f>
        <v/>
      </c>
      <c r="K989">
        <f>IF(K$2=0,"",IFERROR(TRIM(INDEX('Pegar calibracion'!$A$1:$BZ$1001,988,K$2)&amp;""),""))</f>
        <v/>
      </c>
      <c r="L989">
        <f>IF(L$2=0,"",IFERROR(TRIM(INDEX('Pegar calibracion'!$A$1:$BZ$1001,988,L$2)&amp;""),""))</f>
        <v/>
      </c>
      <c r="M989" s="25">
        <f>IF(D989="","",SUBSTITUTE(SUBSTITUTE(SUBSTITUTE(SUBSTITUTE(SUBSTITUTE(SUBSTITUTE(SUBSTITUTE(SUBSTITUTE(SUBSTITUTE(SUBSTITUTE(SUBSTITUTE(SUBSTITUTE(LOWER(TRIM(D989)),"á","a"),"é","e"),"í","i"),"ó","o"),"ú","u"),"ü","u"),"ñ","n"),"à","a"),"è","e"),"ì","i"),"ò","o"),"ù","u"))</f>
        <v/>
      </c>
      <c r="N989" s="25">
        <f>IF(F989="","",SUBSTITUTE(SUBSTITUTE(SUBSTITUTE(SUBSTITUTE(SUBSTITUTE(SUBSTITUTE(SUBSTITUTE(SUBSTITUTE(SUBSTITUTE(SUBSTITUTE(SUBSTITUTE(SUBSTITUTE(LOWER(TRIM(F989)),"á","a"),"é","e"),"í","i"),"ó","o"),"ú","u"),"ü","u"),"ñ","n"),"à","a"),"è","e"),"ì","i"),"ò","o"),"ù","u"))</f>
        <v/>
      </c>
      <c r="O989" s="25">
        <f>IF(M989="confiable",2,IF(M989="dudosa",1,IF(M989="no confiable",0,"")))</f>
        <v/>
      </c>
      <c r="P989" s="25">
        <f>IF(N989="confiable",2,IF(N989="dudosa",1,IF(N989="no confiable",0,"")))</f>
        <v/>
      </c>
      <c r="Q989" s="25">
        <f>IF(AND(ISNUMBER(O989),ISNUMBER(P989)),1,"")</f>
        <v/>
      </c>
      <c r="R989" s="25">
        <f>IF(Q989=1,IF(O989=P989,"Sí","No"),"")</f>
        <v/>
      </c>
      <c r="S989" s="25">
        <f>IF(Q989=1,IF(P989&lt;O989,"Más estricto",IF(P989&gt;O989,"Más permisivo","Igual")),"")</f>
        <v/>
      </c>
      <c r="T989" s="25">
        <f>IF(Q989=1,IF(ABS(O989-P989)=2,1,0),"")</f>
        <v/>
      </c>
      <c r="U989" s="25">
        <f>IF(H989="","","|"&amp;SUBSTITUTE(SUBSTITUTE(TRIM(H989)," |","|"),"| ","|")&amp;"|")</f>
        <v/>
      </c>
      <c r="V989" s="25">
        <f>IF(AND(Q989=1,B989&lt;&gt;""),IF(IFERROR(COUNTIFS(B$3:B989,"="&amp;SUBSTITUTE(SUBSTITUTE(SUBSTITUTE(B989,"~","~~"),"*","~*"),"?","~?"),Q$3:Q989,1),0)=1,MAX(V$2:V988)+1,""),"")</f>
        <v/>
      </c>
      <c r="W989" s="25">
        <f>IF(V989="","",COUNTIFS($B$3:$B$1002,"="&amp;SUBSTITUTE(SUBSTITUTE(SUBSTITUTE(B989,"~","~~"),"*","~*"),"?","~?"),$Q$3:$Q$1002,1)*10000-V989)</f>
        <v/>
      </c>
      <c r="X989" s="25">
        <f>IF(Q989=1,IF(SUBSTITUTE(SUBSTITUTE(SUBSTITUTE(SUBSTITUTE(SUBSTITUTE(SUBSTITUTE(SUBSTITUTE(SUBSTITUTE(SUBSTITUTE(SUBSTITUTE(SUBSTITUTE(SUBSTITUTE(LOWER(TRIM(A989)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989)),"á","a"),"é","e"),"í","i"),"ó","o"),"ú","u"),"ü","u"),"ñ","n"),"à","a"),"è","e"),"ì","i"),"ò","o"),"ù","u")),"")</f>
        <v/>
      </c>
      <c r="Y989" s="25">
        <f>IF(X989="","",IF(IFERROR(COUNTIF(X$3:X989,"="&amp;SUBSTITUTE(SUBSTITUTE(SUBSTITUTE(X989,"~","~~"),"*","~*"),"?","~?")),0)=1,1,""))</f>
        <v/>
      </c>
      <c r="Z989" s="25">
        <f>IF(T989=1,MAX(Z$2:Z988)+1,"")</f>
        <v/>
      </c>
    </row>
    <row r="990">
      <c r="A990">
        <f>IF(A$2=0,"",IFERROR(TRIM(INDEX('Pegar calibracion'!$A$1:$BZ$1001,989,A$2)&amp;""),""))</f>
        <v/>
      </c>
      <c r="B990">
        <f>IF(B$2=0,"",IFERROR(TRIM(INDEX('Pegar calibracion'!$A$1:$BZ$1001,989,B$2)&amp;""),""))</f>
        <v/>
      </c>
      <c r="C990">
        <f>IF(C$2=0,"",IFERROR(TRIM(INDEX('Pegar calibracion'!$A$1:$BZ$1001,989,C$2)&amp;""),""))</f>
        <v/>
      </c>
      <c r="D990">
        <f>IF(D$2=0,"",IFERROR(TRIM(INDEX('Pegar calibracion'!$A$1:$BZ$1001,989,D$2)&amp;""),""))</f>
        <v/>
      </c>
      <c r="E990">
        <f>IF(E$2=0,"",IFERROR(TRIM(INDEX('Pegar calibracion'!$A$1:$BZ$1001,989,E$2)&amp;""),""))</f>
        <v/>
      </c>
      <c r="F990">
        <f>IF(F$2=0,"",IFERROR(TRIM(INDEX('Pegar calibracion'!$A$1:$BZ$1001,989,F$2)&amp;""),""))</f>
        <v/>
      </c>
      <c r="G990">
        <f>IF(G$2=0,"",IFERROR(TRIM(INDEX('Pegar calibracion'!$A$1:$BZ$1001,989,G$2)&amp;""),""))</f>
        <v/>
      </c>
      <c r="H990">
        <f>IF(H$2=0,"",IFERROR(TRIM(INDEX('Pegar calibracion'!$A$1:$BZ$1001,989,H$2)&amp;""),""))</f>
        <v/>
      </c>
      <c r="I990">
        <f>IF(I$2=0,"",IFERROR(TRIM(INDEX('Pegar calibracion'!$A$1:$BZ$1001,989,I$2)&amp;""),""))</f>
        <v/>
      </c>
      <c r="J990">
        <f>IF(J$2=0,"",IFERROR(TRIM(INDEX('Pegar calibracion'!$A$1:$BZ$1001,989,J$2)&amp;""),""))</f>
        <v/>
      </c>
      <c r="K990">
        <f>IF(K$2=0,"",IFERROR(TRIM(INDEX('Pegar calibracion'!$A$1:$BZ$1001,989,K$2)&amp;""),""))</f>
        <v/>
      </c>
      <c r="L990">
        <f>IF(L$2=0,"",IFERROR(TRIM(INDEX('Pegar calibracion'!$A$1:$BZ$1001,989,L$2)&amp;""),""))</f>
        <v/>
      </c>
      <c r="M990" s="25">
        <f>IF(D990="","",SUBSTITUTE(SUBSTITUTE(SUBSTITUTE(SUBSTITUTE(SUBSTITUTE(SUBSTITUTE(SUBSTITUTE(SUBSTITUTE(SUBSTITUTE(SUBSTITUTE(SUBSTITUTE(SUBSTITUTE(LOWER(TRIM(D990)),"á","a"),"é","e"),"í","i"),"ó","o"),"ú","u"),"ü","u"),"ñ","n"),"à","a"),"è","e"),"ì","i"),"ò","o"),"ù","u"))</f>
        <v/>
      </c>
      <c r="N990" s="25">
        <f>IF(F990="","",SUBSTITUTE(SUBSTITUTE(SUBSTITUTE(SUBSTITUTE(SUBSTITUTE(SUBSTITUTE(SUBSTITUTE(SUBSTITUTE(SUBSTITUTE(SUBSTITUTE(SUBSTITUTE(SUBSTITUTE(LOWER(TRIM(F990)),"á","a"),"é","e"),"í","i"),"ó","o"),"ú","u"),"ü","u"),"ñ","n"),"à","a"),"è","e"),"ì","i"),"ò","o"),"ù","u"))</f>
        <v/>
      </c>
      <c r="O990" s="25">
        <f>IF(M990="confiable",2,IF(M990="dudosa",1,IF(M990="no confiable",0,"")))</f>
        <v/>
      </c>
      <c r="P990" s="25">
        <f>IF(N990="confiable",2,IF(N990="dudosa",1,IF(N990="no confiable",0,"")))</f>
        <v/>
      </c>
      <c r="Q990" s="25">
        <f>IF(AND(ISNUMBER(O990),ISNUMBER(P990)),1,"")</f>
        <v/>
      </c>
      <c r="R990" s="25">
        <f>IF(Q990=1,IF(O990=P990,"Sí","No"),"")</f>
        <v/>
      </c>
      <c r="S990" s="25">
        <f>IF(Q990=1,IF(P990&lt;O990,"Más estricto",IF(P990&gt;O990,"Más permisivo","Igual")),"")</f>
        <v/>
      </c>
      <c r="T990" s="25">
        <f>IF(Q990=1,IF(ABS(O990-P990)=2,1,0),"")</f>
        <v/>
      </c>
      <c r="U990" s="25">
        <f>IF(H990="","","|"&amp;SUBSTITUTE(SUBSTITUTE(TRIM(H990)," |","|"),"| ","|")&amp;"|")</f>
        <v/>
      </c>
      <c r="V990" s="25">
        <f>IF(AND(Q990=1,B990&lt;&gt;""),IF(IFERROR(COUNTIFS(B$3:B990,"="&amp;SUBSTITUTE(SUBSTITUTE(SUBSTITUTE(B990,"~","~~"),"*","~*"),"?","~?"),Q$3:Q990,1),0)=1,MAX(V$2:V989)+1,""),"")</f>
        <v/>
      </c>
      <c r="W990" s="25">
        <f>IF(V990="","",COUNTIFS($B$3:$B$1002,"="&amp;SUBSTITUTE(SUBSTITUTE(SUBSTITUTE(B990,"~","~~"),"*","~*"),"?","~?"),$Q$3:$Q$1002,1)*10000-V990)</f>
        <v/>
      </c>
      <c r="X990" s="25">
        <f>IF(Q990=1,IF(SUBSTITUTE(SUBSTITUTE(SUBSTITUTE(SUBSTITUTE(SUBSTITUTE(SUBSTITUTE(SUBSTITUTE(SUBSTITUTE(SUBSTITUTE(SUBSTITUTE(SUBSTITUTE(SUBSTITUTE(LOWER(TRIM(A990)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990)),"á","a"),"é","e"),"í","i"),"ó","o"),"ú","u"),"ü","u"),"ñ","n"),"à","a"),"è","e"),"ì","i"),"ò","o"),"ù","u")),"")</f>
        <v/>
      </c>
      <c r="Y990" s="25">
        <f>IF(X990="","",IF(IFERROR(COUNTIF(X$3:X990,"="&amp;SUBSTITUTE(SUBSTITUTE(SUBSTITUTE(X990,"~","~~"),"*","~*"),"?","~?")),0)=1,1,""))</f>
        <v/>
      </c>
      <c r="Z990" s="25">
        <f>IF(T990=1,MAX(Z$2:Z989)+1,"")</f>
        <v/>
      </c>
    </row>
    <row r="991">
      <c r="A991">
        <f>IF(A$2=0,"",IFERROR(TRIM(INDEX('Pegar calibracion'!$A$1:$BZ$1001,990,A$2)&amp;""),""))</f>
        <v/>
      </c>
      <c r="B991">
        <f>IF(B$2=0,"",IFERROR(TRIM(INDEX('Pegar calibracion'!$A$1:$BZ$1001,990,B$2)&amp;""),""))</f>
        <v/>
      </c>
      <c r="C991">
        <f>IF(C$2=0,"",IFERROR(TRIM(INDEX('Pegar calibracion'!$A$1:$BZ$1001,990,C$2)&amp;""),""))</f>
        <v/>
      </c>
      <c r="D991">
        <f>IF(D$2=0,"",IFERROR(TRIM(INDEX('Pegar calibracion'!$A$1:$BZ$1001,990,D$2)&amp;""),""))</f>
        <v/>
      </c>
      <c r="E991">
        <f>IF(E$2=0,"",IFERROR(TRIM(INDEX('Pegar calibracion'!$A$1:$BZ$1001,990,E$2)&amp;""),""))</f>
        <v/>
      </c>
      <c r="F991">
        <f>IF(F$2=0,"",IFERROR(TRIM(INDEX('Pegar calibracion'!$A$1:$BZ$1001,990,F$2)&amp;""),""))</f>
        <v/>
      </c>
      <c r="G991">
        <f>IF(G$2=0,"",IFERROR(TRIM(INDEX('Pegar calibracion'!$A$1:$BZ$1001,990,G$2)&amp;""),""))</f>
        <v/>
      </c>
      <c r="H991">
        <f>IF(H$2=0,"",IFERROR(TRIM(INDEX('Pegar calibracion'!$A$1:$BZ$1001,990,H$2)&amp;""),""))</f>
        <v/>
      </c>
      <c r="I991">
        <f>IF(I$2=0,"",IFERROR(TRIM(INDEX('Pegar calibracion'!$A$1:$BZ$1001,990,I$2)&amp;""),""))</f>
        <v/>
      </c>
      <c r="J991">
        <f>IF(J$2=0,"",IFERROR(TRIM(INDEX('Pegar calibracion'!$A$1:$BZ$1001,990,J$2)&amp;""),""))</f>
        <v/>
      </c>
      <c r="K991">
        <f>IF(K$2=0,"",IFERROR(TRIM(INDEX('Pegar calibracion'!$A$1:$BZ$1001,990,K$2)&amp;""),""))</f>
        <v/>
      </c>
      <c r="L991">
        <f>IF(L$2=0,"",IFERROR(TRIM(INDEX('Pegar calibracion'!$A$1:$BZ$1001,990,L$2)&amp;""),""))</f>
        <v/>
      </c>
      <c r="M991" s="25">
        <f>IF(D991="","",SUBSTITUTE(SUBSTITUTE(SUBSTITUTE(SUBSTITUTE(SUBSTITUTE(SUBSTITUTE(SUBSTITUTE(SUBSTITUTE(SUBSTITUTE(SUBSTITUTE(SUBSTITUTE(SUBSTITUTE(LOWER(TRIM(D991)),"á","a"),"é","e"),"í","i"),"ó","o"),"ú","u"),"ü","u"),"ñ","n"),"à","a"),"è","e"),"ì","i"),"ò","o"),"ù","u"))</f>
        <v/>
      </c>
      <c r="N991" s="25">
        <f>IF(F991="","",SUBSTITUTE(SUBSTITUTE(SUBSTITUTE(SUBSTITUTE(SUBSTITUTE(SUBSTITUTE(SUBSTITUTE(SUBSTITUTE(SUBSTITUTE(SUBSTITUTE(SUBSTITUTE(SUBSTITUTE(LOWER(TRIM(F991)),"á","a"),"é","e"),"í","i"),"ó","o"),"ú","u"),"ü","u"),"ñ","n"),"à","a"),"è","e"),"ì","i"),"ò","o"),"ù","u"))</f>
        <v/>
      </c>
      <c r="O991" s="25">
        <f>IF(M991="confiable",2,IF(M991="dudosa",1,IF(M991="no confiable",0,"")))</f>
        <v/>
      </c>
      <c r="P991" s="25">
        <f>IF(N991="confiable",2,IF(N991="dudosa",1,IF(N991="no confiable",0,"")))</f>
        <v/>
      </c>
      <c r="Q991" s="25">
        <f>IF(AND(ISNUMBER(O991),ISNUMBER(P991)),1,"")</f>
        <v/>
      </c>
      <c r="R991" s="25">
        <f>IF(Q991=1,IF(O991=P991,"Sí","No"),"")</f>
        <v/>
      </c>
      <c r="S991" s="25">
        <f>IF(Q991=1,IF(P991&lt;O991,"Más estricto",IF(P991&gt;O991,"Más permisivo","Igual")),"")</f>
        <v/>
      </c>
      <c r="T991" s="25">
        <f>IF(Q991=1,IF(ABS(O991-P991)=2,1,0),"")</f>
        <v/>
      </c>
      <c r="U991" s="25">
        <f>IF(H991="","","|"&amp;SUBSTITUTE(SUBSTITUTE(TRIM(H991)," |","|"),"| ","|")&amp;"|")</f>
        <v/>
      </c>
      <c r="V991" s="25">
        <f>IF(AND(Q991=1,B991&lt;&gt;""),IF(IFERROR(COUNTIFS(B$3:B991,"="&amp;SUBSTITUTE(SUBSTITUTE(SUBSTITUTE(B991,"~","~~"),"*","~*"),"?","~?"),Q$3:Q991,1),0)=1,MAX(V$2:V990)+1,""),"")</f>
        <v/>
      </c>
      <c r="W991" s="25">
        <f>IF(V991="","",COUNTIFS($B$3:$B$1002,"="&amp;SUBSTITUTE(SUBSTITUTE(SUBSTITUTE(B991,"~","~~"),"*","~*"),"?","~?"),$Q$3:$Q$1002,1)*10000-V991)</f>
        <v/>
      </c>
      <c r="X991" s="25">
        <f>IF(Q991=1,IF(SUBSTITUTE(SUBSTITUTE(SUBSTITUTE(SUBSTITUTE(SUBSTITUTE(SUBSTITUTE(SUBSTITUTE(SUBSTITUTE(SUBSTITUTE(SUBSTITUTE(SUBSTITUTE(SUBSTITUTE(LOWER(TRIM(A991)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991)),"á","a"),"é","e"),"í","i"),"ó","o"),"ú","u"),"ü","u"),"ñ","n"),"à","a"),"è","e"),"ì","i"),"ò","o"),"ù","u")),"")</f>
        <v/>
      </c>
      <c r="Y991" s="25">
        <f>IF(X991="","",IF(IFERROR(COUNTIF(X$3:X991,"="&amp;SUBSTITUTE(SUBSTITUTE(SUBSTITUTE(X991,"~","~~"),"*","~*"),"?","~?")),0)=1,1,""))</f>
        <v/>
      </c>
      <c r="Z991" s="25">
        <f>IF(T991=1,MAX(Z$2:Z990)+1,"")</f>
        <v/>
      </c>
    </row>
    <row r="992">
      <c r="A992">
        <f>IF(A$2=0,"",IFERROR(TRIM(INDEX('Pegar calibracion'!$A$1:$BZ$1001,991,A$2)&amp;""),""))</f>
        <v/>
      </c>
      <c r="B992">
        <f>IF(B$2=0,"",IFERROR(TRIM(INDEX('Pegar calibracion'!$A$1:$BZ$1001,991,B$2)&amp;""),""))</f>
        <v/>
      </c>
      <c r="C992">
        <f>IF(C$2=0,"",IFERROR(TRIM(INDEX('Pegar calibracion'!$A$1:$BZ$1001,991,C$2)&amp;""),""))</f>
        <v/>
      </c>
      <c r="D992">
        <f>IF(D$2=0,"",IFERROR(TRIM(INDEX('Pegar calibracion'!$A$1:$BZ$1001,991,D$2)&amp;""),""))</f>
        <v/>
      </c>
      <c r="E992">
        <f>IF(E$2=0,"",IFERROR(TRIM(INDEX('Pegar calibracion'!$A$1:$BZ$1001,991,E$2)&amp;""),""))</f>
        <v/>
      </c>
      <c r="F992">
        <f>IF(F$2=0,"",IFERROR(TRIM(INDEX('Pegar calibracion'!$A$1:$BZ$1001,991,F$2)&amp;""),""))</f>
        <v/>
      </c>
      <c r="G992">
        <f>IF(G$2=0,"",IFERROR(TRIM(INDEX('Pegar calibracion'!$A$1:$BZ$1001,991,G$2)&amp;""),""))</f>
        <v/>
      </c>
      <c r="H992">
        <f>IF(H$2=0,"",IFERROR(TRIM(INDEX('Pegar calibracion'!$A$1:$BZ$1001,991,H$2)&amp;""),""))</f>
        <v/>
      </c>
      <c r="I992">
        <f>IF(I$2=0,"",IFERROR(TRIM(INDEX('Pegar calibracion'!$A$1:$BZ$1001,991,I$2)&amp;""),""))</f>
        <v/>
      </c>
      <c r="J992">
        <f>IF(J$2=0,"",IFERROR(TRIM(INDEX('Pegar calibracion'!$A$1:$BZ$1001,991,J$2)&amp;""),""))</f>
        <v/>
      </c>
      <c r="K992">
        <f>IF(K$2=0,"",IFERROR(TRIM(INDEX('Pegar calibracion'!$A$1:$BZ$1001,991,K$2)&amp;""),""))</f>
        <v/>
      </c>
      <c r="L992">
        <f>IF(L$2=0,"",IFERROR(TRIM(INDEX('Pegar calibracion'!$A$1:$BZ$1001,991,L$2)&amp;""),""))</f>
        <v/>
      </c>
      <c r="M992" s="25">
        <f>IF(D992="","",SUBSTITUTE(SUBSTITUTE(SUBSTITUTE(SUBSTITUTE(SUBSTITUTE(SUBSTITUTE(SUBSTITUTE(SUBSTITUTE(SUBSTITUTE(SUBSTITUTE(SUBSTITUTE(SUBSTITUTE(LOWER(TRIM(D992)),"á","a"),"é","e"),"í","i"),"ó","o"),"ú","u"),"ü","u"),"ñ","n"),"à","a"),"è","e"),"ì","i"),"ò","o"),"ù","u"))</f>
        <v/>
      </c>
      <c r="N992" s="25">
        <f>IF(F992="","",SUBSTITUTE(SUBSTITUTE(SUBSTITUTE(SUBSTITUTE(SUBSTITUTE(SUBSTITUTE(SUBSTITUTE(SUBSTITUTE(SUBSTITUTE(SUBSTITUTE(SUBSTITUTE(SUBSTITUTE(LOWER(TRIM(F992)),"á","a"),"é","e"),"í","i"),"ó","o"),"ú","u"),"ü","u"),"ñ","n"),"à","a"),"è","e"),"ì","i"),"ò","o"),"ù","u"))</f>
        <v/>
      </c>
      <c r="O992" s="25">
        <f>IF(M992="confiable",2,IF(M992="dudosa",1,IF(M992="no confiable",0,"")))</f>
        <v/>
      </c>
      <c r="P992" s="25">
        <f>IF(N992="confiable",2,IF(N992="dudosa",1,IF(N992="no confiable",0,"")))</f>
        <v/>
      </c>
      <c r="Q992" s="25">
        <f>IF(AND(ISNUMBER(O992),ISNUMBER(P992)),1,"")</f>
        <v/>
      </c>
      <c r="R992" s="25">
        <f>IF(Q992=1,IF(O992=P992,"Sí","No"),"")</f>
        <v/>
      </c>
      <c r="S992" s="25">
        <f>IF(Q992=1,IF(P992&lt;O992,"Más estricto",IF(P992&gt;O992,"Más permisivo","Igual")),"")</f>
        <v/>
      </c>
      <c r="T992" s="25">
        <f>IF(Q992=1,IF(ABS(O992-P992)=2,1,0),"")</f>
        <v/>
      </c>
      <c r="U992" s="25">
        <f>IF(H992="","","|"&amp;SUBSTITUTE(SUBSTITUTE(TRIM(H992)," |","|"),"| ","|")&amp;"|")</f>
        <v/>
      </c>
      <c r="V992" s="25">
        <f>IF(AND(Q992=1,B992&lt;&gt;""),IF(IFERROR(COUNTIFS(B$3:B992,"="&amp;SUBSTITUTE(SUBSTITUTE(SUBSTITUTE(B992,"~","~~"),"*","~*"),"?","~?"),Q$3:Q992,1),0)=1,MAX(V$2:V991)+1,""),"")</f>
        <v/>
      </c>
      <c r="W992" s="25">
        <f>IF(V992="","",COUNTIFS($B$3:$B$1002,"="&amp;SUBSTITUTE(SUBSTITUTE(SUBSTITUTE(B992,"~","~~"),"*","~*"),"?","~?"),$Q$3:$Q$1002,1)*10000-V992)</f>
        <v/>
      </c>
      <c r="X992" s="25">
        <f>IF(Q992=1,IF(SUBSTITUTE(SUBSTITUTE(SUBSTITUTE(SUBSTITUTE(SUBSTITUTE(SUBSTITUTE(SUBSTITUTE(SUBSTITUTE(SUBSTITUTE(SUBSTITUTE(SUBSTITUTE(SUBSTITUTE(LOWER(TRIM(A992)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992)),"á","a"),"é","e"),"í","i"),"ó","o"),"ú","u"),"ü","u"),"ñ","n"),"à","a"),"è","e"),"ì","i"),"ò","o"),"ù","u")),"")</f>
        <v/>
      </c>
      <c r="Y992" s="25">
        <f>IF(X992="","",IF(IFERROR(COUNTIF(X$3:X992,"="&amp;SUBSTITUTE(SUBSTITUTE(SUBSTITUTE(X992,"~","~~"),"*","~*"),"?","~?")),0)=1,1,""))</f>
        <v/>
      </c>
      <c r="Z992" s="25">
        <f>IF(T992=1,MAX(Z$2:Z991)+1,"")</f>
        <v/>
      </c>
    </row>
    <row r="993">
      <c r="A993">
        <f>IF(A$2=0,"",IFERROR(TRIM(INDEX('Pegar calibracion'!$A$1:$BZ$1001,992,A$2)&amp;""),""))</f>
        <v/>
      </c>
      <c r="B993">
        <f>IF(B$2=0,"",IFERROR(TRIM(INDEX('Pegar calibracion'!$A$1:$BZ$1001,992,B$2)&amp;""),""))</f>
        <v/>
      </c>
      <c r="C993">
        <f>IF(C$2=0,"",IFERROR(TRIM(INDEX('Pegar calibracion'!$A$1:$BZ$1001,992,C$2)&amp;""),""))</f>
        <v/>
      </c>
      <c r="D993">
        <f>IF(D$2=0,"",IFERROR(TRIM(INDEX('Pegar calibracion'!$A$1:$BZ$1001,992,D$2)&amp;""),""))</f>
        <v/>
      </c>
      <c r="E993">
        <f>IF(E$2=0,"",IFERROR(TRIM(INDEX('Pegar calibracion'!$A$1:$BZ$1001,992,E$2)&amp;""),""))</f>
        <v/>
      </c>
      <c r="F993">
        <f>IF(F$2=0,"",IFERROR(TRIM(INDEX('Pegar calibracion'!$A$1:$BZ$1001,992,F$2)&amp;""),""))</f>
        <v/>
      </c>
      <c r="G993">
        <f>IF(G$2=0,"",IFERROR(TRIM(INDEX('Pegar calibracion'!$A$1:$BZ$1001,992,G$2)&amp;""),""))</f>
        <v/>
      </c>
      <c r="H993">
        <f>IF(H$2=0,"",IFERROR(TRIM(INDEX('Pegar calibracion'!$A$1:$BZ$1001,992,H$2)&amp;""),""))</f>
        <v/>
      </c>
      <c r="I993">
        <f>IF(I$2=0,"",IFERROR(TRIM(INDEX('Pegar calibracion'!$A$1:$BZ$1001,992,I$2)&amp;""),""))</f>
        <v/>
      </c>
      <c r="J993">
        <f>IF(J$2=0,"",IFERROR(TRIM(INDEX('Pegar calibracion'!$A$1:$BZ$1001,992,J$2)&amp;""),""))</f>
        <v/>
      </c>
      <c r="K993">
        <f>IF(K$2=0,"",IFERROR(TRIM(INDEX('Pegar calibracion'!$A$1:$BZ$1001,992,K$2)&amp;""),""))</f>
        <v/>
      </c>
      <c r="L993">
        <f>IF(L$2=0,"",IFERROR(TRIM(INDEX('Pegar calibracion'!$A$1:$BZ$1001,992,L$2)&amp;""),""))</f>
        <v/>
      </c>
      <c r="M993" s="25">
        <f>IF(D993="","",SUBSTITUTE(SUBSTITUTE(SUBSTITUTE(SUBSTITUTE(SUBSTITUTE(SUBSTITUTE(SUBSTITUTE(SUBSTITUTE(SUBSTITUTE(SUBSTITUTE(SUBSTITUTE(SUBSTITUTE(LOWER(TRIM(D993)),"á","a"),"é","e"),"í","i"),"ó","o"),"ú","u"),"ü","u"),"ñ","n"),"à","a"),"è","e"),"ì","i"),"ò","o"),"ù","u"))</f>
        <v/>
      </c>
      <c r="N993" s="25">
        <f>IF(F993="","",SUBSTITUTE(SUBSTITUTE(SUBSTITUTE(SUBSTITUTE(SUBSTITUTE(SUBSTITUTE(SUBSTITUTE(SUBSTITUTE(SUBSTITUTE(SUBSTITUTE(SUBSTITUTE(SUBSTITUTE(LOWER(TRIM(F993)),"á","a"),"é","e"),"í","i"),"ó","o"),"ú","u"),"ü","u"),"ñ","n"),"à","a"),"è","e"),"ì","i"),"ò","o"),"ù","u"))</f>
        <v/>
      </c>
      <c r="O993" s="25">
        <f>IF(M993="confiable",2,IF(M993="dudosa",1,IF(M993="no confiable",0,"")))</f>
        <v/>
      </c>
      <c r="P993" s="25">
        <f>IF(N993="confiable",2,IF(N993="dudosa",1,IF(N993="no confiable",0,"")))</f>
        <v/>
      </c>
      <c r="Q993" s="25">
        <f>IF(AND(ISNUMBER(O993),ISNUMBER(P993)),1,"")</f>
        <v/>
      </c>
      <c r="R993" s="25">
        <f>IF(Q993=1,IF(O993=P993,"Sí","No"),"")</f>
        <v/>
      </c>
      <c r="S993" s="25">
        <f>IF(Q993=1,IF(P993&lt;O993,"Más estricto",IF(P993&gt;O993,"Más permisivo","Igual")),"")</f>
        <v/>
      </c>
      <c r="T993" s="25">
        <f>IF(Q993=1,IF(ABS(O993-P993)=2,1,0),"")</f>
        <v/>
      </c>
      <c r="U993" s="25">
        <f>IF(H993="","","|"&amp;SUBSTITUTE(SUBSTITUTE(TRIM(H993)," |","|"),"| ","|")&amp;"|")</f>
        <v/>
      </c>
      <c r="V993" s="25">
        <f>IF(AND(Q993=1,B993&lt;&gt;""),IF(IFERROR(COUNTIFS(B$3:B993,"="&amp;SUBSTITUTE(SUBSTITUTE(SUBSTITUTE(B993,"~","~~"),"*","~*"),"?","~?"),Q$3:Q993,1),0)=1,MAX(V$2:V992)+1,""),"")</f>
        <v/>
      </c>
      <c r="W993" s="25">
        <f>IF(V993="","",COUNTIFS($B$3:$B$1002,"="&amp;SUBSTITUTE(SUBSTITUTE(SUBSTITUTE(B993,"~","~~"),"*","~*"),"?","~?"),$Q$3:$Q$1002,1)*10000-V993)</f>
        <v/>
      </c>
      <c r="X993" s="25">
        <f>IF(Q993=1,IF(SUBSTITUTE(SUBSTITUTE(SUBSTITUTE(SUBSTITUTE(SUBSTITUTE(SUBSTITUTE(SUBSTITUTE(SUBSTITUTE(SUBSTITUTE(SUBSTITUTE(SUBSTITUTE(SUBSTITUTE(LOWER(TRIM(A993)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993)),"á","a"),"é","e"),"í","i"),"ó","o"),"ú","u"),"ü","u"),"ñ","n"),"à","a"),"è","e"),"ì","i"),"ò","o"),"ù","u")),"")</f>
        <v/>
      </c>
      <c r="Y993" s="25">
        <f>IF(X993="","",IF(IFERROR(COUNTIF(X$3:X993,"="&amp;SUBSTITUTE(SUBSTITUTE(SUBSTITUTE(X993,"~","~~"),"*","~*"),"?","~?")),0)=1,1,""))</f>
        <v/>
      </c>
      <c r="Z993" s="25">
        <f>IF(T993=1,MAX(Z$2:Z992)+1,"")</f>
        <v/>
      </c>
    </row>
    <row r="994">
      <c r="A994">
        <f>IF(A$2=0,"",IFERROR(TRIM(INDEX('Pegar calibracion'!$A$1:$BZ$1001,993,A$2)&amp;""),""))</f>
        <v/>
      </c>
      <c r="B994">
        <f>IF(B$2=0,"",IFERROR(TRIM(INDEX('Pegar calibracion'!$A$1:$BZ$1001,993,B$2)&amp;""),""))</f>
        <v/>
      </c>
      <c r="C994">
        <f>IF(C$2=0,"",IFERROR(TRIM(INDEX('Pegar calibracion'!$A$1:$BZ$1001,993,C$2)&amp;""),""))</f>
        <v/>
      </c>
      <c r="D994">
        <f>IF(D$2=0,"",IFERROR(TRIM(INDEX('Pegar calibracion'!$A$1:$BZ$1001,993,D$2)&amp;""),""))</f>
        <v/>
      </c>
      <c r="E994">
        <f>IF(E$2=0,"",IFERROR(TRIM(INDEX('Pegar calibracion'!$A$1:$BZ$1001,993,E$2)&amp;""),""))</f>
        <v/>
      </c>
      <c r="F994">
        <f>IF(F$2=0,"",IFERROR(TRIM(INDEX('Pegar calibracion'!$A$1:$BZ$1001,993,F$2)&amp;""),""))</f>
        <v/>
      </c>
      <c r="G994">
        <f>IF(G$2=0,"",IFERROR(TRIM(INDEX('Pegar calibracion'!$A$1:$BZ$1001,993,G$2)&amp;""),""))</f>
        <v/>
      </c>
      <c r="H994">
        <f>IF(H$2=0,"",IFERROR(TRIM(INDEX('Pegar calibracion'!$A$1:$BZ$1001,993,H$2)&amp;""),""))</f>
        <v/>
      </c>
      <c r="I994">
        <f>IF(I$2=0,"",IFERROR(TRIM(INDEX('Pegar calibracion'!$A$1:$BZ$1001,993,I$2)&amp;""),""))</f>
        <v/>
      </c>
      <c r="J994">
        <f>IF(J$2=0,"",IFERROR(TRIM(INDEX('Pegar calibracion'!$A$1:$BZ$1001,993,J$2)&amp;""),""))</f>
        <v/>
      </c>
      <c r="K994">
        <f>IF(K$2=0,"",IFERROR(TRIM(INDEX('Pegar calibracion'!$A$1:$BZ$1001,993,K$2)&amp;""),""))</f>
        <v/>
      </c>
      <c r="L994">
        <f>IF(L$2=0,"",IFERROR(TRIM(INDEX('Pegar calibracion'!$A$1:$BZ$1001,993,L$2)&amp;""),""))</f>
        <v/>
      </c>
      <c r="M994" s="25">
        <f>IF(D994="","",SUBSTITUTE(SUBSTITUTE(SUBSTITUTE(SUBSTITUTE(SUBSTITUTE(SUBSTITUTE(SUBSTITUTE(SUBSTITUTE(SUBSTITUTE(SUBSTITUTE(SUBSTITUTE(SUBSTITUTE(LOWER(TRIM(D994)),"á","a"),"é","e"),"í","i"),"ó","o"),"ú","u"),"ü","u"),"ñ","n"),"à","a"),"è","e"),"ì","i"),"ò","o"),"ù","u"))</f>
        <v/>
      </c>
      <c r="N994" s="25">
        <f>IF(F994="","",SUBSTITUTE(SUBSTITUTE(SUBSTITUTE(SUBSTITUTE(SUBSTITUTE(SUBSTITUTE(SUBSTITUTE(SUBSTITUTE(SUBSTITUTE(SUBSTITUTE(SUBSTITUTE(SUBSTITUTE(LOWER(TRIM(F994)),"á","a"),"é","e"),"í","i"),"ó","o"),"ú","u"),"ü","u"),"ñ","n"),"à","a"),"è","e"),"ì","i"),"ò","o"),"ù","u"))</f>
        <v/>
      </c>
      <c r="O994" s="25">
        <f>IF(M994="confiable",2,IF(M994="dudosa",1,IF(M994="no confiable",0,"")))</f>
        <v/>
      </c>
      <c r="P994" s="25">
        <f>IF(N994="confiable",2,IF(N994="dudosa",1,IF(N994="no confiable",0,"")))</f>
        <v/>
      </c>
      <c r="Q994" s="25">
        <f>IF(AND(ISNUMBER(O994),ISNUMBER(P994)),1,"")</f>
        <v/>
      </c>
      <c r="R994" s="25">
        <f>IF(Q994=1,IF(O994=P994,"Sí","No"),"")</f>
        <v/>
      </c>
      <c r="S994" s="25">
        <f>IF(Q994=1,IF(P994&lt;O994,"Más estricto",IF(P994&gt;O994,"Más permisivo","Igual")),"")</f>
        <v/>
      </c>
      <c r="T994" s="25">
        <f>IF(Q994=1,IF(ABS(O994-P994)=2,1,0),"")</f>
        <v/>
      </c>
      <c r="U994" s="25">
        <f>IF(H994="","","|"&amp;SUBSTITUTE(SUBSTITUTE(TRIM(H994)," |","|"),"| ","|")&amp;"|")</f>
        <v/>
      </c>
      <c r="V994" s="25">
        <f>IF(AND(Q994=1,B994&lt;&gt;""),IF(IFERROR(COUNTIFS(B$3:B994,"="&amp;SUBSTITUTE(SUBSTITUTE(SUBSTITUTE(B994,"~","~~"),"*","~*"),"?","~?"),Q$3:Q994,1),0)=1,MAX(V$2:V993)+1,""),"")</f>
        <v/>
      </c>
      <c r="W994" s="25">
        <f>IF(V994="","",COUNTIFS($B$3:$B$1002,"="&amp;SUBSTITUTE(SUBSTITUTE(SUBSTITUTE(B994,"~","~~"),"*","~*"),"?","~?"),$Q$3:$Q$1002,1)*10000-V994)</f>
        <v/>
      </c>
      <c r="X994" s="25">
        <f>IF(Q994=1,IF(SUBSTITUTE(SUBSTITUTE(SUBSTITUTE(SUBSTITUTE(SUBSTITUTE(SUBSTITUTE(SUBSTITUTE(SUBSTITUTE(SUBSTITUTE(SUBSTITUTE(SUBSTITUTE(SUBSTITUTE(LOWER(TRIM(A994)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994)),"á","a"),"é","e"),"í","i"),"ó","o"),"ú","u"),"ü","u"),"ñ","n"),"à","a"),"è","e"),"ì","i"),"ò","o"),"ù","u")),"")</f>
        <v/>
      </c>
      <c r="Y994" s="25">
        <f>IF(X994="","",IF(IFERROR(COUNTIF(X$3:X994,"="&amp;SUBSTITUTE(SUBSTITUTE(SUBSTITUTE(X994,"~","~~"),"*","~*"),"?","~?")),0)=1,1,""))</f>
        <v/>
      </c>
      <c r="Z994" s="25">
        <f>IF(T994=1,MAX(Z$2:Z993)+1,"")</f>
        <v/>
      </c>
    </row>
    <row r="995">
      <c r="A995">
        <f>IF(A$2=0,"",IFERROR(TRIM(INDEX('Pegar calibracion'!$A$1:$BZ$1001,994,A$2)&amp;""),""))</f>
        <v/>
      </c>
      <c r="B995">
        <f>IF(B$2=0,"",IFERROR(TRIM(INDEX('Pegar calibracion'!$A$1:$BZ$1001,994,B$2)&amp;""),""))</f>
        <v/>
      </c>
      <c r="C995">
        <f>IF(C$2=0,"",IFERROR(TRIM(INDEX('Pegar calibracion'!$A$1:$BZ$1001,994,C$2)&amp;""),""))</f>
        <v/>
      </c>
      <c r="D995">
        <f>IF(D$2=0,"",IFERROR(TRIM(INDEX('Pegar calibracion'!$A$1:$BZ$1001,994,D$2)&amp;""),""))</f>
        <v/>
      </c>
      <c r="E995">
        <f>IF(E$2=0,"",IFERROR(TRIM(INDEX('Pegar calibracion'!$A$1:$BZ$1001,994,E$2)&amp;""),""))</f>
        <v/>
      </c>
      <c r="F995">
        <f>IF(F$2=0,"",IFERROR(TRIM(INDEX('Pegar calibracion'!$A$1:$BZ$1001,994,F$2)&amp;""),""))</f>
        <v/>
      </c>
      <c r="G995">
        <f>IF(G$2=0,"",IFERROR(TRIM(INDEX('Pegar calibracion'!$A$1:$BZ$1001,994,G$2)&amp;""),""))</f>
        <v/>
      </c>
      <c r="H995">
        <f>IF(H$2=0,"",IFERROR(TRIM(INDEX('Pegar calibracion'!$A$1:$BZ$1001,994,H$2)&amp;""),""))</f>
        <v/>
      </c>
      <c r="I995">
        <f>IF(I$2=0,"",IFERROR(TRIM(INDEX('Pegar calibracion'!$A$1:$BZ$1001,994,I$2)&amp;""),""))</f>
        <v/>
      </c>
      <c r="J995">
        <f>IF(J$2=0,"",IFERROR(TRIM(INDEX('Pegar calibracion'!$A$1:$BZ$1001,994,J$2)&amp;""),""))</f>
        <v/>
      </c>
      <c r="K995">
        <f>IF(K$2=0,"",IFERROR(TRIM(INDEX('Pegar calibracion'!$A$1:$BZ$1001,994,K$2)&amp;""),""))</f>
        <v/>
      </c>
      <c r="L995">
        <f>IF(L$2=0,"",IFERROR(TRIM(INDEX('Pegar calibracion'!$A$1:$BZ$1001,994,L$2)&amp;""),""))</f>
        <v/>
      </c>
      <c r="M995" s="25">
        <f>IF(D995="","",SUBSTITUTE(SUBSTITUTE(SUBSTITUTE(SUBSTITUTE(SUBSTITUTE(SUBSTITUTE(SUBSTITUTE(SUBSTITUTE(SUBSTITUTE(SUBSTITUTE(SUBSTITUTE(SUBSTITUTE(LOWER(TRIM(D995)),"á","a"),"é","e"),"í","i"),"ó","o"),"ú","u"),"ü","u"),"ñ","n"),"à","a"),"è","e"),"ì","i"),"ò","o"),"ù","u"))</f>
        <v/>
      </c>
      <c r="N995" s="25">
        <f>IF(F995="","",SUBSTITUTE(SUBSTITUTE(SUBSTITUTE(SUBSTITUTE(SUBSTITUTE(SUBSTITUTE(SUBSTITUTE(SUBSTITUTE(SUBSTITUTE(SUBSTITUTE(SUBSTITUTE(SUBSTITUTE(LOWER(TRIM(F995)),"á","a"),"é","e"),"í","i"),"ó","o"),"ú","u"),"ü","u"),"ñ","n"),"à","a"),"è","e"),"ì","i"),"ò","o"),"ù","u"))</f>
        <v/>
      </c>
      <c r="O995" s="25">
        <f>IF(M995="confiable",2,IF(M995="dudosa",1,IF(M995="no confiable",0,"")))</f>
        <v/>
      </c>
      <c r="P995" s="25">
        <f>IF(N995="confiable",2,IF(N995="dudosa",1,IF(N995="no confiable",0,"")))</f>
        <v/>
      </c>
      <c r="Q995" s="25">
        <f>IF(AND(ISNUMBER(O995),ISNUMBER(P995)),1,"")</f>
        <v/>
      </c>
      <c r="R995" s="25">
        <f>IF(Q995=1,IF(O995=P995,"Sí","No"),"")</f>
        <v/>
      </c>
      <c r="S995" s="25">
        <f>IF(Q995=1,IF(P995&lt;O995,"Más estricto",IF(P995&gt;O995,"Más permisivo","Igual")),"")</f>
        <v/>
      </c>
      <c r="T995" s="25">
        <f>IF(Q995=1,IF(ABS(O995-P995)=2,1,0),"")</f>
        <v/>
      </c>
      <c r="U995" s="25">
        <f>IF(H995="","","|"&amp;SUBSTITUTE(SUBSTITUTE(TRIM(H995)," |","|"),"| ","|")&amp;"|")</f>
        <v/>
      </c>
      <c r="V995" s="25">
        <f>IF(AND(Q995=1,B995&lt;&gt;""),IF(IFERROR(COUNTIFS(B$3:B995,"="&amp;SUBSTITUTE(SUBSTITUTE(SUBSTITUTE(B995,"~","~~"),"*","~*"),"?","~?"),Q$3:Q995,1),0)=1,MAX(V$2:V994)+1,""),"")</f>
        <v/>
      </c>
      <c r="W995" s="25">
        <f>IF(V995="","",COUNTIFS($B$3:$B$1002,"="&amp;SUBSTITUTE(SUBSTITUTE(SUBSTITUTE(B995,"~","~~"),"*","~*"),"?","~?"),$Q$3:$Q$1002,1)*10000-V995)</f>
        <v/>
      </c>
      <c r="X995" s="25">
        <f>IF(Q995=1,IF(SUBSTITUTE(SUBSTITUTE(SUBSTITUTE(SUBSTITUTE(SUBSTITUTE(SUBSTITUTE(SUBSTITUTE(SUBSTITUTE(SUBSTITUTE(SUBSTITUTE(SUBSTITUTE(SUBSTITUTE(LOWER(TRIM(A995)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995)),"á","a"),"é","e"),"í","i"),"ó","o"),"ú","u"),"ü","u"),"ñ","n"),"à","a"),"è","e"),"ì","i"),"ò","o"),"ù","u")),"")</f>
        <v/>
      </c>
      <c r="Y995" s="25">
        <f>IF(X995="","",IF(IFERROR(COUNTIF(X$3:X995,"="&amp;SUBSTITUTE(SUBSTITUTE(SUBSTITUTE(X995,"~","~~"),"*","~*"),"?","~?")),0)=1,1,""))</f>
        <v/>
      </c>
      <c r="Z995" s="25">
        <f>IF(T995=1,MAX(Z$2:Z994)+1,"")</f>
        <v/>
      </c>
    </row>
    <row r="996">
      <c r="A996">
        <f>IF(A$2=0,"",IFERROR(TRIM(INDEX('Pegar calibracion'!$A$1:$BZ$1001,995,A$2)&amp;""),""))</f>
        <v/>
      </c>
      <c r="B996">
        <f>IF(B$2=0,"",IFERROR(TRIM(INDEX('Pegar calibracion'!$A$1:$BZ$1001,995,B$2)&amp;""),""))</f>
        <v/>
      </c>
      <c r="C996">
        <f>IF(C$2=0,"",IFERROR(TRIM(INDEX('Pegar calibracion'!$A$1:$BZ$1001,995,C$2)&amp;""),""))</f>
        <v/>
      </c>
      <c r="D996">
        <f>IF(D$2=0,"",IFERROR(TRIM(INDEX('Pegar calibracion'!$A$1:$BZ$1001,995,D$2)&amp;""),""))</f>
        <v/>
      </c>
      <c r="E996">
        <f>IF(E$2=0,"",IFERROR(TRIM(INDEX('Pegar calibracion'!$A$1:$BZ$1001,995,E$2)&amp;""),""))</f>
        <v/>
      </c>
      <c r="F996">
        <f>IF(F$2=0,"",IFERROR(TRIM(INDEX('Pegar calibracion'!$A$1:$BZ$1001,995,F$2)&amp;""),""))</f>
        <v/>
      </c>
      <c r="G996">
        <f>IF(G$2=0,"",IFERROR(TRIM(INDEX('Pegar calibracion'!$A$1:$BZ$1001,995,G$2)&amp;""),""))</f>
        <v/>
      </c>
      <c r="H996">
        <f>IF(H$2=0,"",IFERROR(TRIM(INDEX('Pegar calibracion'!$A$1:$BZ$1001,995,H$2)&amp;""),""))</f>
        <v/>
      </c>
      <c r="I996">
        <f>IF(I$2=0,"",IFERROR(TRIM(INDEX('Pegar calibracion'!$A$1:$BZ$1001,995,I$2)&amp;""),""))</f>
        <v/>
      </c>
      <c r="J996">
        <f>IF(J$2=0,"",IFERROR(TRIM(INDEX('Pegar calibracion'!$A$1:$BZ$1001,995,J$2)&amp;""),""))</f>
        <v/>
      </c>
      <c r="K996">
        <f>IF(K$2=0,"",IFERROR(TRIM(INDEX('Pegar calibracion'!$A$1:$BZ$1001,995,K$2)&amp;""),""))</f>
        <v/>
      </c>
      <c r="L996">
        <f>IF(L$2=0,"",IFERROR(TRIM(INDEX('Pegar calibracion'!$A$1:$BZ$1001,995,L$2)&amp;""),""))</f>
        <v/>
      </c>
      <c r="M996" s="25">
        <f>IF(D996="","",SUBSTITUTE(SUBSTITUTE(SUBSTITUTE(SUBSTITUTE(SUBSTITUTE(SUBSTITUTE(SUBSTITUTE(SUBSTITUTE(SUBSTITUTE(SUBSTITUTE(SUBSTITUTE(SUBSTITUTE(LOWER(TRIM(D996)),"á","a"),"é","e"),"í","i"),"ó","o"),"ú","u"),"ü","u"),"ñ","n"),"à","a"),"è","e"),"ì","i"),"ò","o"),"ù","u"))</f>
        <v/>
      </c>
      <c r="N996" s="25">
        <f>IF(F996="","",SUBSTITUTE(SUBSTITUTE(SUBSTITUTE(SUBSTITUTE(SUBSTITUTE(SUBSTITUTE(SUBSTITUTE(SUBSTITUTE(SUBSTITUTE(SUBSTITUTE(SUBSTITUTE(SUBSTITUTE(LOWER(TRIM(F996)),"á","a"),"é","e"),"í","i"),"ó","o"),"ú","u"),"ü","u"),"ñ","n"),"à","a"),"è","e"),"ì","i"),"ò","o"),"ù","u"))</f>
        <v/>
      </c>
      <c r="O996" s="25">
        <f>IF(M996="confiable",2,IF(M996="dudosa",1,IF(M996="no confiable",0,"")))</f>
        <v/>
      </c>
      <c r="P996" s="25">
        <f>IF(N996="confiable",2,IF(N996="dudosa",1,IF(N996="no confiable",0,"")))</f>
        <v/>
      </c>
      <c r="Q996" s="25">
        <f>IF(AND(ISNUMBER(O996),ISNUMBER(P996)),1,"")</f>
        <v/>
      </c>
      <c r="R996" s="25">
        <f>IF(Q996=1,IF(O996=P996,"Sí","No"),"")</f>
        <v/>
      </c>
      <c r="S996" s="25">
        <f>IF(Q996=1,IF(P996&lt;O996,"Más estricto",IF(P996&gt;O996,"Más permisivo","Igual")),"")</f>
        <v/>
      </c>
      <c r="T996" s="25">
        <f>IF(Q996=1,IF(ABS(O996-P996)=2,1,0),"")</f>
        <v/>
      </c>
      <c r="U996" s="25">
        <f>IF(H996="","","|"&amp;SUBSTITUTE(SUBSTITUTE(TRIM(H996)," |","|"),"| ","|")&amp;"|")</f>
        <v/>
      </c>
      <c r="V996" s="25">
        <f>IF(AND(Q996=1,B996&lt;&gt;""),IF(IFERROR(COUNTIFS(B$3:B996,"="&amp;SUBSTITUTE(SUBSTITUTE(SUBSTITUTE(B996,"~","~~"),"*","~*"),"?","~?"),Q$3:Q996,1),0)=1,MAX(V$2:V995)+1,""),"")</f>
        <v/>
      </c>
      <c r="W996" s="25">
        <f>IF(V996="","",COUNTIFS($B$3:$B$1002,"="&amp;SUBSTITUTE(SUBSTITUTE(SUBSTITUTE(B996,"~","~~"),"*","~*"),"?","~?"),$Q$3:$Q$1002,1)*10000-V996)</f>
        <v/>
      </c>
      <c r="X996" s="25">
        <f>IF(Q996=1,IF(SUBSTITUTE(SUBSTITUTE(SUBSTITUTE(SUBSTITUTE(SUBSTITUTE(SUBSTITUTE(SUBSTITUTE(SUBSTITUTE(SUBSTITUTE(SUBSTITUTE(SUBSTITUTE(SUBSTITUTE(LOWER(TRIM(A996)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996)),"á","a"),"é","e"),"í","i"),"ó","o"),"ú","u"),"ü","u"),"ñ","n"),"à","a"),"è","e"),"ì","i"),"ò","o"),"ù","u")),"")</f>
        <v/>
      </c>
      <c r="Y996" s="25">
        <f>IF(X996="","",IF(IFERROR(COUNTIF(X$3:X996,"="&amp;SUBSTITUTE(SUBSTITUTE(SUBSTITUTE(X996,"~","~~"),"*","~*"),"?","~?")),0)=1,1,""))</f>
        <v/>
      </c>
      <c r="Z996" s="25">
        <f>IF(T996=1,MAX(Z$2:Z995)+1,"")</f>
        <v/>
      </c>
    </row>
    <row r="997">
      <c r="A997">
        <f>IF(A$2=0,"",IFERROR(TRIM(INDEX('Pegar calibracion'!$A$1:$BZ$1001,996,A$2)&amp;""),""))</f>
        <v/>
      </c>
      <c r="B997">
        <f>IF(B$2=0,"",IFERROR(TRIM(INDEX('Pegar calibracion'!$A$1:$BZ$1001,996,B$2)&amp;""),""))</f>
        <v/>
      </c>
      <c r="C997">
        <f>IF(C$2=0,"",IFERROR(TRIM(INDEX('Pegar calibracion'!$A$1:$BZ$1001,996,C$2)&amp;""),""))</f>
        <v/>
      </c>
      <c r="D997">
        <f>IF(D$2=0,"",IFERROR(TRIM(INDEX('Pegar calibracion'!$A$1:$BZ$1001,996,D$2)&amp;""),""))</f>
        <v/>
      </c>
      <c r="E997">
        <f>IF(E$2=0,"",IFERROR(TRIM(INDEX('Pegar calibracion'!$A$1:$BZ$1001,996,E$2)&amp;""),""))</f>
        <v/>
      </c>
      <c r="F997">
        <f>IF(F$2=0,"",IFERROR(TRIM(INDEX('Pegar calibracion'!$A$1:$BZ$1001,996,F$2)&amp;""),""))</f>
        <v/>
      </c>
      <c r="G997">
        <f>IF(G$2=0,"",IFERROR(TRIM(INDEX('Pegar calibracion'!$A$1:$BZ$1001,996,G$2)&amp;""),""))</f>
        <v/>
      </c>
      <c r="H997">
        <f>IF(H$2=0,"",IFERROR(TRIM(INDEX('Pegar calibracion'!$A$1:$BZ$1001,996,H$2)&amp;""),""))</f>
        <v/>
      </c>
      <c r="I997">
        <f>IF(I$2=0,"",IFERROR(TRIM(INDEX('Pegar calibracion'!$A$1:$BZ$1001,996,I$2)&amp;""),""))</f>
        <v/>
      </c>
      <c r="J997">
        <f>IF(J$2=0,"",IFERROR(TRIM(INDEX('Pegar calibracion'!$A$1:$BZ$1001,996,J$2)&amp;""),""))</f>
        <v/>
      </c>
      <c r="K997">
        <f>IF(K$2=0,"",IFERROR(TRIM(INDEX('Pegar calibracion'!$A$1:$BZ$1001,996,K$2)&amp;""),""))</f>
        <v/>
      </c>
      <c r="L997">
        <f>IF(L$2=0,"",IFERROR(TRIM(INDEX('Pegar calibracion'!$A$1:$BZ$1001,996,L$2)&amp;""),""))</f>
        <v/>
      </c>
      <c r="M997" s="25">
        <f>IF(D997="","",SUBSTITUTE(SUBSTITUTE(SUBSTITUTE(SUBSTITUTE(SUBSTITUTE(SUBSTITUTE(SUBSTITUTE(SUBSTITUTE(SUBSTITUTE(SUBSTITUTE(SUBSTITUTE(SUBSTITUTE(LOWER(TRIM(D997)),"á","a"),"é","e"),"í","i"),"ó","o"),"ú","u"),"ü","u"),"ñ","n"),"à","a"),"è","e"),"ì","i"),"ò","o"),"ù","u"))</f>
        <v/>
      </c>
      <c r="N997" s="25">
        <f>IF(F997="","",SUBSTITUTE(SUBSTITUTE(SUBSTITUTE(SUBSTITUTE(SUBSTITUTE(SUBSTITUTE(SUBSTITUTE(SUBSTITUTE(SUBSTITUTE(SUBSTITUTE(SUBSTITUTE(SUBSTITUTE(LOWER(TRIM(F997)),"á","a"),"é","e"),"í","i"),"ó","o"),"ú","u"),"ü","u"),"ñ","n"),"à","a"),"è","e"),"ì","i"),"ò","o"),"ù","u"))</f>
        <v/>
      </c>
      <c r="O997" s="25">
        <f>IF(M997="confiable",2,IF(M997="dudosa",1,IF(M997="no confiable",0,"")))</f>
        <v/>
      </c>
      <c r="P997" s="25">
        <f>IF(N997="confiable",2,IF(N997="dudosa",1,IF(N997="no confiable",0,"")))</f>
        <v/>
      </c>
      <c r="Q997" s="25">
        <f>IF(AND(ISNUMBER(O997),ISNUMBER(P997)),1,"")</f>
        <v/>
      </c>
      <c r="R997" s="25">
        <f>IF(Q997=1,IF(O997=P997,"Sí","No"),"")</f>
        <v/>
      </c>
      <c r="S997" s="25">
        <f>IF(Q997=1,IF(P997&lt;O997,"Más estricto",IF(P997&gt;O997,"Más permisivo","Igual")),"")</f>
        <v/>
      </c>
      <c r="T997" s="25">
        <f>IF(Q997=1,IF(ABS(O997-P997)=2,1,0),"")</f>
        <v/>
      </c>
      <c r="U997" s="25">
        <f>IF(H997="","","|"&amp;SUBSTITUTE(SUBSTITUTE(TRIM(H997)," |","|"),"| ","|")&amp;"|")</f>
        <v/>
      </c>
      <c r="V997" s="25">
        <f>IF(AND(Q997=1,B997&lt;&gt;""),IF(IFERROR(COUNTIFS(B$3:B997,"="&amp;SUBSTITUTE(SUBSTITUTE(SUBSTITUTE(B997,"~","~~"),"*","~*"),"?","~?"),Q$3:Q997,1),0)=1,MAX(V$2:V996)+1,""),"")</f>
        <v/>
      </c>
      <c r="W997" s="25">
        <f>IF(V997="","",COUNTIFS($B$3:$B$1002,"="&amp;SUBSTITUTE(SUBSTITUTE(SUBSTITUTE(B997,"~","~~"),"*","~*"),"?","~?"),$Q$3:$Q$1002,1)*10000-V997)</f>
        <v/>
      </c>
      <c r="X997" s="25">
        <f>IF(Q997=1,IF(SUBSTITUTE(SUBSTITUTE(SUBSTITUTE(SUBSTITUTE(SUBSTITUTE(SUBSTITUTE(SUBSTITUTE(SUBSTITUTE(SUBSTITUTE(SUBSTITUTE(SUBSTITUTE(SUBSTITUTE(LOWER(TRIM(A997)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997)),"á","a"),"é","e"),"í","i"),"ó","o"),"ú","u"),"ü","u"),"ñ","n"),"à","a"),"è","e"),"ì","i"),"ò","o"),"ù","u")),"")</f>
        <v/>
      </c>
      <c r="Y997" s="25">
        <f>IF(X997="","",IF(IFERROR(COUNTIF(X$3:X997,"="&amp;SUBSTITUTE(SUBSTITUTE(SUBSTITUTE(X997,"~","~~"),"*","~*"),"?","~?")),0)=1,1,""))</f>
        <v/>
      </c>
      <c r="Z997" s="25">
        <f>IF(T997=1,MAX(Z$2:Z996)+1,"")</f>
        <v/>
      </c>
    </row>
    <row r="998">
      <c r="A998">
        <f>IF(A$2=0,"",IFERROR(TRIM(INDEX('Pegar calibracion'!$A$1:$BZ$1001,997,A$2)&amp;""),""))</f>
        <v/>
      </c>
      <c r="B998">
        <f>IF(B$2=0,"",IFERROR(TRIM(INDEX('Pegar calibracion'!$A$1:$BZ$1001,997,B$2)&amp;""),""))</f>
        <v/>
      </c>
      <c r="C998">
        <f>IF(C$2=0,"",IFERROR(TRIM(INDEX('Pegar calibracion'!$A$1:$BZ$1001,997,C$2)&amp;""),""))</f>
        <v/>
      </c>
      <c r="D998">
        <f>IF(D$2=0,"",IFERROR(TRIM(INDEX('Pegar calibracion'!$A$1:$BZ$1001,997,D$2)&amp;""),""))</f>
        <v/>
      </c>
      <c r="E998">
        <f>IF(E$2=0,"",IFERROR(TRIM(INDEX('Pegar calibracion'!$A$1:$BZ$1001,997,E$2)&amp;""),""))</f>
        <v/>
      </c>
      <c r="F998">
        <f>IF(F$2=0,"",IFERROR(TRIM(INDEX('Pegar calibracion'!$A$1:$BZ$1001,997,F$2)&amp;""),""))</f>
        <v/>
      </c>
      <c r="G998">
        <f>IF(G$2=0,"",IFERROR(TRIM(INDEX('Pegar calibracion'!$A$1:$BZ$1001,997,G$2)&amp;""),""))</f>
        <v/>
      </c>
      <c r="H998">
        <f>IF(H$2=0,"",IFERROR(TRIM(INDEX('Pegar calibracion'!$A$1:$BZ$1001,997,H$2)&amp;""),""))</f>
        <v/>
      </c>
      <c r="I998">
        <f>IF(I$2=0,"",IFERROR(TRIM(INDEX('Pegar calibracion'!$A$1:$BZ$1001,997,I$2)&amp;""),""))</f>
        <v/>
      </c>
      <c r="J998">
        <f>IF(J$2=0,"",IFERROR(TRIM(INDEX('Pegar calibracion'!$A$1:$BZ$1001,997,J$2)&amp;""),""))</f>
        <v/>
      </c>
      <c r="K998">
        <f>IF(K$2=0,"",IFERROR(TRIM(INDEX('Pegar calibracion'!$A$1:$BZ$1001,997,K$2)&amp;""),""))</f>
        <v/>
      </c>
      <c r="L998">
        <f>IF(L$2=0,"",IFERROR(TRIM(INDEX('Pegar calibracion'!$A$1:$BZ$1001,997,L$2)&amp;""),""))</f>
        <v/>
      </c>
      <c r="M998" s="25">
        <f>IF(D998="","",SUBSTITUTE(SUBSTITUTE(SUBSTITUTE(SUBSTITUTE(SUBSTITUTE(SUBSTITUTE(SUBSTITUTE(SUBSTITUTE(SUBSTITUTE(SUBSTITUTE(SUBSTITUTE(SUBSTITUTE(LOWER(TRIM(D998)),"á","a"),"é","e"),"í","i"),"ó","o"),"ú","u"),"ü","u"),"ñ","n"),"à","a"),"è","e"),"ì","i"),"ò","o"),"ù","u"))</f>
        <v/>
      </c>
      <c r="N998" s="25">
        <f>IF(F998="","",SUBSTITUTE(SUBSTITUTE(SUBSTITUTE(SUBSTITUTE(SUBSTITUTE(SUBSTITUTE(SUBSTITUTE(SUBSTITUTE(SUBSTITUTE(SUBSTITUTE(SUBSTITUTE(SUBSTITUTE(LOWER(TRIM(F998)),"á","a"),"é","e"),"í","i"),"ó","o"),"ú","u"),"ü","u"),"ñ","n"),"à","a"),"è","e"),"ì","i"),"ò","o"),"ù","u"))</f>
        <v/>
      </c>
      <c r="O998" s="25">
        <f>IF(M998="confiable",2,IF(M998="dudosa",1,IF(M998="no confiable",0,"")))</f>
        <v/>
      </c>
      <c r="P998" s="25">
        <f>IF(N998="confiable",2,IF(N998="dudosa",1,IF(N998="no confiable",0,"")))</f>
        <v/>
      </c>
      <c r="Q998" s="25">
        <f>IF(AND(ISNUMBER(O998),ISNUMBER(P998)),1,"")</f>
        <v/>
      </c>
      <c r="R998" s="25">
        <f>IF(Q998=1,IF(O998=P998,"Sí","No"),"")</f>
        <v/>
      </c>
      <c r="S998" s="25">
        <f>IF(Q998=1,IF(P998&lt;O998,"Más estricto",IF(P998&gt;O998,"Más permisivo","Igual")),"")</f>
        <v/>
      </c>
      <c r="T998" s="25">
        <f>IF(Q998=1,IF(ABS(O998-P998)=2,1,0),"")</f>
        <v/>
      </c>
      <c r="U998" s="25">
        <f>IF(H998="","","|"&amp;SUBSTITUTE(SUBSTITUTE(TRIM(H998)," |","|"),"| ","|")&amp;"|")</f>
        <v/>
      </c>
      <c r="V998" s="25">
        <f>IF(AND(Q998=1,B998&lt;&gt;""),IF(IFERROR(COUNTIFS(B$3:B998,"="&amp;SUBSTITUTE(SUBSTITUTE(SUBSTITUTE(B998,"~","~~"),"*","~*"),"?","~?"),Q$3:Q998,1),0)=1,MAX(V$2:V997)+1,""),"")</f>
        <v/>
      </c>
      <c r="W998" s="25">
        <f>IF(V998="","",COUNTIFS($B$3:$B$1002,"="&amp;SUBSTITUTE(SUBSTITUTE(SUBSTITUTE(B998,"~","~~"),"*","~*"),"?","~?"),$Q$3:$Q$1002,1)*10000-V998)</f>
        <v/>
      </c>
      <c r="X998" s="25">
        <f>IF(Q998=1,IF(SUBSTITUTE(SUBSTITUTE(SUBSTITUTE(SUBSTITUTE(SUBSTITUTE(SUBSTITUTE(SUBSTITUTE(SUBSTITUTE(SUBSTITUTE(SUBSTITUTE(SUBSTITUTE(SUBSTITUTE(LOWER(TRIM(A998)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998)),"á","a"),"é","e"),"í","i"),"ó","o"),"ú","u"),"ü","u"),"ñ","n"),"à","a"),"è","e"),"ì","i"),"ò","o"),"ù","u")),"")</f>
        <v/>
      </c>
      <c r="Y998" s="25">
        <f>IF(X998="","",IF(IFERROR(COUNTIF(X$3:X998,"="&amp;SUBSTITUTE(SUBSTITUTE(SUBSTITUTE(X998,"~","~~"),"*","~*"),"?","~?")),0)=1,1,""))</f>
        <v/>
      </c>
      <c r="Z998" s="25">
        <f>IF(T998=1,MAX(Z$2:Z997)+1,"")</f>
        <v/>
      </c>
    </row>
    <row r="999">
      <c r="A999">
        <f>IF(A$2=0,"",IFERROR(TRIM(INDEX('Pegar calibracion'!$A$1:$BZ$1001,998,A$2)&amp;""),""))</f>
        <v/>
      </c>
      <c r="B999">
        <f>IF(B$2=0,"",IFERROR(TRIM(INDEX('Pegar calibracion'!$A$1:$BZ$1001,998,B$2)&amp;""),""))</f>
        <v/>
      </c>
      <c r="C999">
        <f>IF(C$2=0,"",IFERROR(TRIM(INDEX('Pegar calibracion'!$A$1:$BZ$1001,998,C$2)&amp;""),""))</f>
        <v/>
      </c>
      <c r="D999">
        <f>IF(D$2=0,"",IFERROR(TRIM(INDEX('Pegar calibracion'!$A$1:$BZ$1001,998,D$2)&amp;""),""))</f>
        <v/>
      </c>
      <c r="E999">
        <f>IF(E$2=0,"",IFERROR(TRIM(INDEX('Pegar calibracion'!$A$1:$BZ$1001,998,E$2)&amp;""),""))</f>
        <v/>
      </c>
      <c r="F999">
        <f>IF(F$2=0,"",IFERROR(TRIM(INDEX('Pegar calibracion'!$A$1:$BZ$1001,998,F$2)&amp;""),""))</f>
        <v/>
      </c>
      <c r="G999">
        <f>IF(G$2=0,"",IFERROR(TRIM(INDEX('Pegar calibracion'!$A$1:$BZ$1001,998,G$2)&amp;""),""))</f>
        <v/>
      </c>
      <c r="H999">
        <f>IF(H$2=0,"",IFERROR(TRIM(INDEX('Pegar calibracion'!$A$1:$BZ$1001,998,H$2)&amp;""),""))</f>
        <v/>
      </c>
      <c r="I999">
        <f>IF(I$2=0,"",IFERROR(TRIM(INDEX('Pegar calibracion'!$A$1:$BZ$1001,998,I$2)&amp;""),""))</f>
        <v/>
      </c>
      <c r="J999">
        <f>IF(J$2=0,"",IFERROR(TRIM(INDEX('Pegar calibracion'!$A$1:$BZ$1001,998,J$2)&amp;""),""))</f>
        <v/>
      </c>
      <c r="K999">
        <f>IF(K$2=0,"",IFERROR(TRIM(INDEX('Pegar calibracion'!$A$1:$BZ$1001,998,K$2)&amp;""),""))</f>
        <v/>
      </c>
      <c r="L999">
        <f>IF(L$2=0,"",IFERROR(TRIM(INDEX('Pegar calibracion'!$A$1:$BZ$1001,998,L$2)&amp;""),""))</f>
        <v/>
      </c>
      <c r="M999" s="25">
        <f>IF(D999="","",SUBSTITUTE(SUBSTITUTE(SUBSTITUTE(SUBSTITUTE(SUBSTITUTE(SUBSTITUTE(SUBSTITUTE(SUBSTITUTE(SUBSTITUTE(SUBSTITUTE(SUBSTITUTE(SUBSTITUTE(LOWER(TRIM(D999)),"á","a"),"é","e"),"í","i"),"ó","o"),"ú","u"),"ü","u"),"ñ","n"),"à","a"),"è","e"),"ì","i"),"ò","o"),"ù","u"))</f>
        <v/>
      </c>
      <c r="N999" s="25">
        <f>IF(F999="","",SUBSTITUTE(SUBSTITUTE(SUBSTITUTE(SUBSTITUTE(SUBSTITUTE(SUBSTITUTE(SUBSTITUTE(SUBSTITUTE(SUBSTITUTE(SUBSTITUTE(SUBSTITUTE(SUBSTITUTE(LOWER(TRIM(F999)),"á","a"),"é","e"),"í","i"),"ó","o"),"ú","u"),"ü","u"),"ñ","n"),"à","a"),"è","e"),"ì","i"),"ò","o"),"ù","u"))</f>
        <v/>
      </c>
      <c r="O999" s="25">
        <f>IF(M999="confiable",2,IF(M999="dudosa",1,IF(M999="no confiable",0,"")))</f>
        <v/>
      </c>
      <c r="P999" s="25">
        <f>IF(N999="confiable",2,IF(N999="dudosa",1,IF(N999="no confiable",0,"")))</f>
        <v/>
      </c>
      <c r="Q999" s="25">
        <f>IF(AND(ISNUMBER(O999),ISNUMBER(P999)),1,"")</f>
        <v/>
      </c>
      <c r="R999" s="25">
        <f>IF(Q999=1,IF(O999=P999,"Sí","No"),"")</f>
        <v/>
      </c>
      <c r="S999" s="25">
        <f>IF(Q999=1,IF(P999&lt;O999,"Más estricto",IF(P999&gt;O999,"Más permisivo","Igual")),"")</f>
        <v/>
      </c>
      <c r="T999" s="25">
        <f>IF(Q999=1,IF(ABS(O999-P999)=2,1,0),"")</f>
        <v/>
      </c>
      <c r="U999" s="25">
        <f>IF(H999="","","|"&amp;SUBSTITUTE(SUBSTITUTE(TRIM(H999)," |","|"),"| ","|")&amp;"|")</f>
        <v/>
      </c>
      <c r="V999" s="25">
        <f>IF(AND(Q999=1,B999&lt;&gt;""),IF(IFERROR(COUNTIFS(B$3:B999,"="&amp;SUBSTITUTE(SUBSTITUTE(SUBSTITUTE(B999,"~","~~"),"*","~*"),"?","~?"),Q$3:Q999,1),0)=1,MAX(V$2:V998)+1,""),"")</f>
        <v/>
      </c>
      <c r="W999" s="25">
        <f>IF(V999="","",COUNTIFS($B$3:$B$1002,"="&amp;SUBSTITUTE(SUBSTITUTE(SUBSTITUTE(B999,"~","~~"),"*","~*"),"?","~?"),$Q$3:$Q$1002,1)*10000-V999)</f>
        <v/>
      </c>
      <c r="X999" s="25">
        <f>IF(Q999=1,IF(SUBSTITUTE(SUBSTITUTE(SUBSTITUTE(SUBSTITUTE(SUBSTITUTE(SUBSTITUTE(SUBSTITUTE(SUBSTITUTE(SUBSTITUTE(SUBSTITUTE(SUBSTITUTE(SUBSTITUTE(LOWER(TRIM(A999)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999)),"á","a"),"é","e"),"í","i"),"ó","o"),"ú","u"),"ü","u"),"ñ","n"),"à","a"),"è","e"),"ì","i"),"ò","o"),"ù","u")),"")</f>
        <v/>
      </c>
      <c r="Y999" s="25">
        <f>IF(X999="","",IF(IFERROR(COUNTIF(X$3:X999,"="&amp;SUBSTITUTE(SUBSTITUTE(SUBSTITUTE(X999,"~","~~"),"*","~*"),"?","~?")),0)=1,1,""))</f>
        <v/>
      </c>
      <c r="Z999" s="25">
        <f>IF(T999=1,MAX(Z$2:Z998)+1,"")</f>
        <v/>
      </c>
    </row>
    <row r="1000">
      <c r="A1000">
        <f>IF(A$2=0,"",IFERROR(TRIM(INDEX('Pegar calibracion'!$A$1:$BZ$1001,999,A$2)&amp;""),""))</f>
        <v/>
      </c>
      <c r="B1000">
        <f>IF(B$2=0,"",IFERROR(TRIM(INDEX('Pegar calibracion'!$A$1:$BZ$1001,999,B$2)&amp;""),""))</f>
        <v/>
      </c>
      <c r="C1000">
        <f>IF(C$2=0,"",IFERROR(TRIM(INDEX('Pegar calibracion'!$A$1:$BZ$1001,999,C$2)&amp;""),""))</f>
        <v/>
      </c>
      <c r="D1000">
        <f>IF(D$2=0,"",IFERROR(TRIM(INDEX('Pegar calibracion'!$A$1:$BZ$1001,999,D$2)&amp;""),""))</f>
        <v/>
      </c>
      <c r="E1000">
        <f>IF(E$2=0,"",IFERROR(TRIM(INDEX('Pegar calibracion'!$A$1:$BZ$1001,999,E$2)&amp;""),""))</f>
        <v/>
      </c>
      <c r="F1000">
        <f>IF(F$2=0,"",IFERROR(TRIM(INDEX('Pegar calibracion'!$A$1:$BZ$1001,999,F$2)&amp;""),""))</f>
        <v/>
      </c>
      <c r="G1000">
        <f>IF(G$2=0,"",IFERROR(TRIM(INDEX('Pegar calibracion'!$A$1:$BZ$1001,999,G$2)&amp;""),""))</f>
        <v/>
      </c>
      <c r="H1000">
        <f>IF(H$2=0,"",IFERROR(TRIM(INDEX('Pegar calibracion'!$A$1:$BZ$1001,999,H$2)&amp;""),""))</f>
        <v/>
      </c>
      <c r="I1000">
        <f>IF(I$2=0,"",IFERROR(TRIM(INDEX('Pegar calibracion'!$A$1:$BZ$1001,999,I$2)&amp;""),""))</f>
        <v/>
      </c>
      <c r="J1000">
        <f>IF(J$2=0,"",IFERROR(TRIM(INDEX('Pegar calibracion'!$A$1:$BZ$1001,999,J$2)&amp;""),""))</f>
        <v/>
      </c>
      <c r="K1000">
        <f>IF(K$2=0,"",IFERROR(TRIM(INDEX('Pegar calibracion'!$A$1:$BZ$1001,999,K$2)&amp;""),""))</f>
        <v/>
      </c>
      <c r="L1000">
        <f>IF(L$2=0,"",IFERROR(TRIM(INDEX('Pegar calibracion'!$A$1:$BZ$1001,999,L$2)&amp;""),""))</f>
        <v/>
      </c>
      <c r="M1000" s="25">
        <f>IF(D1000="","",SUBSTITUTE(SUBSTITUTE(SUBSTITUTE(SUBSTITUTE(SUBSTITUTE(SUBSTITUTE(SUBSTITUTE(SUBSTITUTE(SUBSTITUTE(SUBSTITUTE(SUBSTITUTE(SUBSTITUTE(LOWER(TRIM(D1000)),"á","a"),"é","e"),"í","i"),"ó","o"),"ú","u"),"ü","u"),"ñ","n"),"à","a"),"è","e"),"ì","i"),"ò","o"),"ù","u"))</f>
        <v/>
      </c>
      <c r="N1000" s="25">
        <f>IF(F1000="","",SUBSTITUTE(SUBSTITUTE(SUBSTITUTE(SUBSTITUTE(SUBSTITUTE(SUBSTITUTE(SUBSTITUTE(SUBSTITUTE(SUBSTITUTE(SUBSTITUTE(SUBSTITUTE(SUBSTITUTE(LOWER(TRIM(F1000)),"á","a"),"é","e"),"í","i"),"ó","o"),"ú","u"),"ü","u"),"ñ","n"),"à","a"),"è","e"),"ì","i"),"ò","o"),"ù","u"))</f>
        <v/>
      </c>
      <c r="O1000" s="25">
        <f>IF(M1000="confiable",2,IF(M1000="dudosa",1,IF(M1000="no confiable",0,"")))</f>
        <v/>
      </c>
      <c r="P1000" s="25">
        <f>IF(N1000="confiable",2,IF(N1000="dudosa",1,IF(N1000="no confiable",0,"")))</f>
        <v/>
      </c>
      <c r="Q1000" s="25">
        <f>IF(AND(ISNUMBER(O1000),ISNUMBER(P1000)),1,"")</f>
        <v/>
      </c>
      <c r="R1000" s="25">
        <f>IF(Q1000=1,IF(O1000=P1000,"Sí","No"),"")</f>
        <v/>
      </c>
      <c r="S1000" s="25">
        <f>IF(Q1000=1,IF(P1000&lt;O1000,"Más estricto",IF(P1000&gt;O1000,"Más permisivo","Igual")),"")</f>
        <v/>
      </c>
      <c r="T1000" s="25">
        <f>IF(Q1000=1,IF(ABS(O1000-P1000)=2,1,0),"")</f>
        <v/>
      </c>
      <c r="U1000" s="25">
        <f>IF(H1000="","","|"&amp;SUBSTITUTE(SUBSTITUTE(TRIM(H1000)," |","|"),"| ","|")&amp;"|")</f>
        <v/>
      </c>
      <c r="V1000" s="25">
        <f>IF(AND(Q1000=1,B1000&lt;&gt;""),IF(IFERROR(COUNTIFS(B$3:B1000,"="&amp;SUBSTITUTE(SUBSTITUTE(SUBSTITUTE(B1000,"~","~~"),"*","~*"),"?","~?"),Q$3:Q1000,1),0)=1,MAX(V$2:V999)+1,""),"")</f>
        <v/>
      </c>
      <c r="W1000" s="25">
        <f>IF(V1000="","",COUNTIFS($B$3:$B$1002,"="&amp;SUBSTITUTE(SUBSTITUTE(SUBSTITUTE(B1000,"~","~~"),"*","~*"),"?","~?"),$Q$3:$Q$1002,1)*10000-V1000)</f>
        <v/>
      </c>
      <c r="X1000" s="25">
        <f>IF(Q1000=1,IF(SUBSTITUTE(SUBSTITUTE(SUBSTITUTE(SUBSTITUTE(SUBSTITUTE(SUBSTITUTE(SUBSTITUTE(SUBSTITUTE(SUBSTITUTE(SUBSTITUTE(SUBSTITUTE(SUBSTITUTE(LOWER(TRIM(A1000)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1000)),"á","a"),"é","e"),"í","i"),"ó","o"),"ú","u"),"ü","u"),"ñ","n"),"à","a"),"è","e"),"ì","i"),"ò","o"),"ù","u")),"")</f>
        <v/>
      </c>
      <c r="Y1000" s="25">
        <f>IF(X1000="","",IF(IFERROR(COUNTIF(X$3:X1000,"="&amp;SUBSTITUTE(SUBSTITUTE(SUBSTITUTE(X1000,"~","~~"),"*","~*"),"?","~?")),0)=1,1,""))</f>
        <v/>
      </c>
      <c r="Z1000" s="25">
        <f>IF(T1000=1,MAX(Z$2:Z999)+1,"")</f>
        <v/>
      </c>
    </row>
    <row r="1001">
      <c r="A1001">
        <f>IF(A$2=0,"",IFERROR(TRIM(INDEX('Pegar calibracion'!$A$1:$BZ$1001,1000,A$2)&amp;""),""))</f>
        <v/>
      </c>
      <c r="B1001">
        <f>IF(B$2=0,"",IFERROR(TRIM(INDEX('Pegar calibracion'!$A$1:$BZ$1001,1000,B$2)&amp;""),""))</f>
        <v/>
      </c>
      <c r="C1001">
        <f>IF(C$2=0,"",IFERROR(TRIM(INDEX('Pegar calibracion'!$A$1:$BZ$1001,1000,C$2)&amp;""),""))</f>
        <v/>
      </c>
      <c r="D1001">
        <f>IF(D$2=0,"",IFERROR(TRIM(INDEX('Pegar calibracion'!$A$1:$BZ$1001,1000,D$2)&amp;""),""))</f>
        <v/>
      </c>
      <c r="E1001">
        <f>IF(E$2=0,"",IFERROR(TRIM(INDEX('Pegar calibracion'!$A$1:$BZ$1001,1000,E$2)&amp;""),""))</f>
        <v/>
      </c>
      <c r="F1001">
        <f>IF(F$2=0,"",IFERROR(TRIM(INDEX('Pegar calibracion'!$A$1:$BZ$1001,1000,F$2)&amp;""),""))</f>
        <v/>
      </c>
      <c r="G1001">
        <f>IF(G$2=0,"",IFERROR(TRIM(INDEX('Pegar calibracion'!$A$1:$BZ$1001,1000,G$2)&amp;""),""))</f>
        <v/>
      </c>
      <c r="H1001">
        <f>IF(H$2=0,"",IFERROR(TRIM(INDEX('Pegar calibracion'!$A$1:$BZ$1001,1000,H$2)&amp;""),""))</f>
        <v/>
      </c>
      <c r="I1001">
        <f>IF(I$2=0,"",IFERROR(TRIM(INDEX('Pegar calibracion'!$A$1:$BZ$1001,1000,I$2)&amp;""),""))</f>
        <v/>
      </c>
      <c r="J1001">
        <f>IF(J$2=0,"",IFERROR(TRIM(INDEX('Pegar calibracion'!$A$1:$BZ$1001,1000,J$2)&amp;""),""))</f>
        <v/>
      </c>
      <c r="K1001">
        <f>IF(K$2=0,"",IFERROR(TRIM(INDEX('Pegar calibracion'!$A$1:$BZ$1001,1000,K$2)&amp;""),""))</f>
        <v/>
      </c>
      <c r="L1001">
        <f>IF(L$2=0,"",IFERROR(TRIM(INDEX('Pegar calibracion'!$A$1:$BZ$1001,1000,L$2)&amp;""),""))</f>
        <v/>
      </c>
      <c r="M1001" s="25">
        <f>IF(D1001="","",SUBSTITUTE(SUBSTITUTE(SUBSTITUTE(SUBSTITUTE(SUBSTITUTE(SUBSTITUTE(SUBSTITUTE(SUBSTITUTE(SUBSTITUTE(SUBSTITUTE(SUBSTITUTE(SUBSTITUTE(LOWER(TRIM(D1001)),"á","a"),"é","e"),"í","i"),"ó","o"),"ú","u"),"ü","u"),"ñ","n"),"à","a"),"è","e"),"ì","i"),"ò","o"),"ù","u"))</f>
        <v/>
      </c>
      <c r="N1001" s="25">
        <f>IF(F1001="","",SUBSTITUTE(SUBSTITUTE(SUBSTITUTE(SUBSTITUTE(SUBSTITUTE(SUBSTITUTE(SUBSTITUTE(SUBSTITUTE(SUBSTITUTE(SUBSTITUTE(SUBSTITUTE(SUBSTITUTE(LOWER(TRIM(F1001)),"á","a"),"é","e"),"í","i"),"ó","o"),"ú","u"),"ü","u"),"ñ","n"),"à","a"),"è","e"),"ì","i"),"ò","o"),"ù","u"))</f>
        <v/>
      </c>
      <c r="O1001" s="25">
        <f>IF(M1001="confiable",2,IF(M1001="dudosa",1,IF(M1001="no confiable",0,"")))</f>
        <v/>
      </c>
      <c r="P1001" s="25">
        <f>IF(N1001="confiable",2,IF(N1001="dudosa",1,IF(N1001="no confiable",0,"")))</f>
        <v/>
      </c>
      <c r="Q1001" s="25">
        <f>IF(AND(ISNUMBER(O1001),ISNUMBER(P1001)),1,"")</f>
        <v/>
      </c>
      <c r="R1001" s="25">
        <f>IF(Q1001=1,IF(O1001=P1001,"Sí","No"),"")</f>
        <v/>
      </c>
      <c r="S1001" s="25">
        <f>IF(Q1001=1,IF(P1001&lt;O1001,"Más estricto",IF(P1001&gt;O1001,"Más permisivo","Igual")),"")</f>
        <v/>
      </c>
      <c r="T1001" s="25">
        <f>IF(Q1001=1,IF(ABS(O1001-P1001)=2,1,0),"")</f>
        <v/>
      </c>
      <c r="U1001" s="25">
        <f>IF(H1001="","","|"&amp;SUBSTITUTE(SUBSTITUTE(TRIM(H1001)," |","|"),"| ","|")&amp;"|")</f>
        <v/>
      </c>
      <c r="V1001" s="25">
        <f>IF(AND(Q1001=1,B1001&lt;&gt;""),IF(IFERROR(COUNTIFS(B$3:B1001,"="&amp;SUBSTITUTE(SUBSTITUTE(SUBSTITUTE(B1001,"~","~~"),"*","~*"),"?","~?"),Q$3:Q1001,1),0)=1,MAX(V$2:V1000)+1,""),"")</f>
        <v/>
      </c>
      <c r="W1001" s="25">
        <f>IF(V1001="","",COUNTIFS($B$3:$B$1002,"="&amp;SUBSTITUTE(SUBSTITUTE(SUBSTITUTE(B1001,"~","~~"),"*","~*"),"?","~?"),$Q$3:$Q$1002,1)*10000-V1001)</f>
        <v/>
      </c>
      <c r="X1001" s="25">
        <f>IF(Q1001=1,IF(SUBSTITUTE(SUBSTITUTE(SUBSTITUTE(SUBSTITUTE(SUBSTITUTE(SUBSTITUTE(SUBSTITUTE(SUBSTITUTE(SUBSTITUTE(SUBSTITUTE(SUBSTITUTE(SUBSTITUTE(LOWER(TRIM(A1001)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1001)),"á","a"),"é","e"),"í","i"),"ó","o"),"ú","u"),"ü","u"),"ñ","n"),"à","a"),"è","e"),"ì","i"),"ò","o"),"ù","u")),"")</f>
        <v/>
      </c>
      <c r="Y1001" s="25">
        <f>IF(X1001="","",IF(IFERROR(COUNTIF(X$3:X1001,"="&amp;SUBSTITUTE(SUBSTITUTE(SUBSTITUTE(X1001,"~","~~"),"*","~*"),"?","~?")),0)=1,1,""))</f>
        <v/>
      </c>
      <c r="Z1001" s="25">
        <f>IF(T1001=1,MAX(Z$2:Z1000)+1,"")</f>
        <v/>
      </c>
    </row>
    <row r="1002">
      <c r="A1002">
        <f>IF(A$2=0,"",IFERROR(TRIM(INDEX('Pegar calibracion'!$A$1:$BZ$1001,1001,A$2)&amp;""),""))</f>
        <v/>
      </c>
      <c r="B1002">
        <f>IF(B$2=0,"",IFERROR(TRIM(INDEX('Pegar calibracion'!$A$1:$BZ$1001,1001,B$2)&amp;""),""))</f>
        <v/>
      </c>
      <c r="C1002">
        <f>IF(C$2=0,"",IFERROR(TRIM(INDEX('Pegar calibracion'!$A$1:$BZ$1001,1001,C$2)&amp;""),""))</f>
        <v/>
      </c>
      <c r="D1002">
        <f>IF(D$2=0,"",IFERROR(TRIM(INDEX('Pegar calibracion'!$A$1:$BZ$1001,1001,D$2)&amp;""),""))</f>
        <v/>
      </c>
      <c r="E1002">
        <f>IF(E$2=0,"",IFERROR(TRIM(INDEX('Pegar calibracion'!$A$1:$BZ$1001,1001,E$2)&amp;""),""))</f>
        <v/>
      </c>
      <c r="F1002">
        <f>IF(F$2=0,"",IFERROR(TRIM(INDEX('Pegar calibracion'!$A$1:$BZ$1001,1001,F$2)&amp;""),""))</f>
        <v/>
      </c>
      <c r="G1002">
        <f>IF(G$2=0,"",IFERROR(TRIM(INDEX('Pegar calibracion'!$A$1:$BZ$1001,1001,G$2)&amp;""),""))</f>
        <v/>
      </c>
      <c r="H1002">
        <f>IF(H$2=0,"",IFERROR(TRIM(INDEX('Pegar calibracion'!$A$1:$BZ$1001,1001,H$2)&amp;""),""))</f>
        <v/>
      </c>
      <c r="I1002">
        <f>IF(I$2=0,"",IFERROR(TRIM(INDEX('Pegar calibracion'!$A$1:$BZ$1001,1001,I$2)&amp;""),""))</f>
        <v/>
      </c>
      <c r="J1002">
        <f>IF(J$2=0,"",IFERROR(TRIM(INDEX('Pegar calibracion'!$A$1:$BZ$1001,1001,J$2)&amp;""),""))</f>
        <v/>
      </c>
      <c r="K1002">
        <f>IF(K$2=0,"",IFERROR(TRIM(INDEX('Pegar calibracion'!$A$1:$BZ$1001,1001,K$2)&amp;""),""))</f>
        <v/>
      </c>
      <c r="L1002">
        <f>IF(L$2=0,"",IFERROR(TRIM(INDEX('Pegar calibracion'!$A$1:$BZ$1001,1001,L$2)&amp;""),""))</f>
        <v/>
      </c>
      <c r="M1002" s="25">
        <f>IF(D1002="","",SUBSTITUTE(SUBSTITUTE(SUBSTITUTE(SUBSTITUTE(SUBSTITUTE(SUBSTITUTE(SUBSTITUTE(SUBSTITUTE(SUBSTITUTE(SUBSTITUTE(SUBSTITUTE(SUBSTITUTE(LOWER(TRIM(D1002)),"á","a"),"é","e"),"í","i"),"ó","o"),"ú","u"),"ü","u"),"ñ","n"),"à","a"),"è","e"),"ì","i"),"ò","o"),"ù","u"))</f>
        <v/>
      </c>
      <c r="N1002" s="25">
        <f>IF(F1002="","",SUBSTITUTE(SUBSTITUTE(SUBSTITUTE(SUBSTITUTE(SUBSTITUTE(SUBSTITUTE(SUBSTITUTE(SUBSTITUTE(SUBSTITUTE(SUBSTITUTE(SUBSTITUTE(SUBSTITUTE(LOWER(TRIM(F1002)),"á","a"),"é","e"),"í","i"),"ó","o"),"ú","u"),"ü","u"),"ñ","n"),"à","a"),"è","e"),"ì","i"),"ò","o"),"ù","u"))</f>
        <v/>
      </c>
      <c r="O1002" s="25">
        <f>IF(M1002="confiable",2,IF(M1002="dudosa",1,IF(M1002="no confiable",0,"")))</f>
        <v/>
      </c>
      <c r="P1002" s="25">
        <f>IF(N1002="confiable",2,IF(N1002="dudosa",1,IF(N1002="no confiable",0,"")))</f>
        <v/>
      </c>
      <c r="Q1002" s="25">
        <f>IF(AND(ISNUMBER(O1002),ISNUMBER(P1002)),1,"")</f>
        <v/>
      </c>
      <c r="R1002" s="25">
        <f>IF(Q1002=1,IF(O1002=P1002,"Sí","No"),"")</f>
        <v/>
      </c>
      <c r="S1002" s="25">
        <f>IF(Q1002=1,IF(P1002&lt;O1002,"Más estricto",IF(P1002&gt;O1002,"Más permisivo","Igual")),"")</f>
        <v/>
      </c>
      <c r="T1002" s="25">
        <f>IF(Q1002=1,IF(ABS(O1002-P1002)=2,1,0),"")</f>
        <v/>
      </c>
      <c r="U1002" s="25">
        <f>IF(H1002="","","|"&amp;SUBSTITUTE(SUBSTITUTE(TRIM(H1002)," |","|"),"| ","|")&amp;"|")</f>
        <v/>
      </c>
      <c r="V1002" s="25">
        <f>IF(AND(Q1002=1,B1002&lt;&gt;""),IF(IFERROR(COUNTIFS(B$3:B1002,"="&amp;SUBSTITUTE(SUBSTITUTE(SUBSTITUTE(B1002,"~","~~"),"*","~*"),"?","~?"),Q$3:Q1002,1),0)=1,MAX(V$2:V1001)+1,""),"")</f>
        <v/>
      </c>
      <c r="W1002" s="25">
        <f>IF(V1002="","",COUNTIFS($B$3:$B$1002,"="&amp;SUBSTITUTE(SUBSTITUTE(SUBSTITUTE(B1002,"~","~~"),"*","~*"),"?","~?"),$Q$3:$Q$1002,1)*10000-V1002)</f>
        <v/>
      </c>
      <c r="X1002" s="25">
        <f>IF(Q1002=1,IF(SUBSTITUTE(SUBSTITUTE(SUBSTITUTE(SUBSTITUTE(SUBSTITUTE(SUBSTITUTE(SUBSTITUTE(SUBSTITUTE(SUBSTITUTE(SUBSTITUTE(SUBSTITUTE(SUBSTITUTE(LOWER(TRIM(A1002)),"á","a"),"é","e"),"í","i"),"ó","o"),"ú","u"),"ü","u"),"ñ","n"),"à","a"),"è","e"),"ì","i"),"ò","o"),"ù","u")="","(sin apodo)",SUBSTITUTE(SUBSTITUTE(SUBSTITUTE(SUBSTITUTE(SUBSTITUTE(SUBSTITUTE(SUBSTITUTE(SUBSTITUTE(SUBSTITUTE(SUBSTITUTE(SUBSTITUTE(SUBSTITUTE(LOWER(TRIM(A1002)),"á","a"),"é","e"),"í","i"),"ó","o"),"ú","u"),"ü","u"),"ñ","n"),"à","a"),"è","e"),"ì","i"),"ò","o"),"ù","u")),"")</f>
        <v/>
      </c>
      <c r="Y1002" s="25">
        <f>IF(X1002="","",IF(IFERROR(COUNTIF(X$3:X1002,"="&amp;SUBSTITUTE(SUBSTITUTE(SUBSTITUTE(X1002,"~","~~"),"*","~*"),"?","~?")),0)=1,1,""))</f>
        <v/>
      </c>
      <c r="Z1002" s="25">
        <f>IF(T1002=1,MAX(Z$2:Z1001)+1,"")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Z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45" customHeight="1">
      <c r="A1" s="7" t="inlineStr">
        <is>
          <t>area</t>
        </is>
      </c>
      <c r="B1" s="7" t="inlineStr">
        <is>
          <t>grado</t>
        </is>
      </c>
      <c r="C1" s="7" t="inlineStr">
        <is>
          <t>funciones_probadas[]</t>
        </is>
      </c>
      <c r="D1" s="7" t="inlineStr">
        <is>
          <t>utilidad_semaforo</t>
        </is>
      </c>
      <c r="E1" s="7" t="inlineStr">
        <is>
          <t>coincide_criterio</t>
        </is>
      </c>
      <c r="F1" s="7" t="inlineStr">
        <is>
          <t>ejemplo_desacuerdo</t>
        </is>
      </c>
      <c r="G1" s="7" t="inlineStr">
        <is>
          <t>claridad</t>
        </is>
      </c>
      <c r="H1" s="7" t="inlineStr">
        <is>
          <t>usaria_en_clase</t>
        </is>
      </c>
      <c r="I1" s="7" t="inlineStr">
        <is>
          <t>imprescindible[]</t>
        </is>
      </c>
      <c r="J1" s="7" t="inlineStr">
        <is>
          <t>imprescindible_otro</t>
        </is>
      </c>
      <c r="K1" s="7" t="inlineStr">
        <is>
          <t>cambio_principal</t>
        </is>
      </c>
      <c r="L1" s="7" t="inlineStr">
        <is>
          <t>contratar</t>
        </is>
      </c>
      <c r="M1" s="7" t="inlineStr">
        <is>
          <t>precio_razonable</t>
        </is>
      </c>
      <c r="N1" s="7" t="inlineStr">
        <is>
          <t>preocupaciones</t>
        </is>
      </c>
      <c r="O1" s="7" t="inlineStr">
        <is>
          <t>correo_contacto</t>
        </is>
      </c>
      <c r="P1" s="7" t="inlineStr">
        <is>
          <t>consentimiento</t>
        </is>
      </c>
      <c r="Q1" s="23" t="inlineStr">
        <is>
          <t>Fila válida (1 = respondió utilidad o uso en clase)</t>
        </is>
      </c>
      <c r="R1" s="23" t="inlineStr">
        <is>
          <t>Utilidad del semáforo (1 a 5)</t>
        </is>
      </c>
      <c r="S1" s="23" t="inlineStr">
        <is>
          <t>coincide_criterio (normalizado)</t>
        </is>
      </c>
      <c r="T1" s="23" t="inlineStr">
        <is>
          <t>claridad (normalizado)</t>
        </is>
      </c>
      <c r="U1" s="23" t="inlineStr">
        <is>
          <t>usaria_en_clase (normalizado)</t>
        </is>
      </c>
      <c r="V1" s="23" t="inlineStr">
        <is>
          <t>contratar (normalizado)</t>
        </is>
      </c>
      <c r="W1" s="23" t="inlineStr">
        <is>
          <t>imprescindible (normalizado)</t>
        </is>
      </c>
      <c r="X1" s="23" t="inlineStr">
        <is>
          <t>Usaría en clase (1 = «Si, en la proxima tarea» o «Si, con cambios»)</t>
        </is>
      </c>
      <c r="Y1" s="23" t="inlineStr">
        <is>
          <t>Área: n.º de aparición</t>
        </is>
      </c>
      <c r="Z1" s="23" t="inlineStr">
        <is>
          <t>Área: orden</t>
        </is>
      </c>
    </row>
    <row r="2">
      <c r="A2" s="24">
        <f>IFERROR(MATCH("area",'Pegar docentes'!$A$1:$BZ$1,0),IFERROR(MATCH("area[]",'Pegar docentes'!$A$1:$BZ$1,0),0))</f>
        <v/>
      </c>
      <c r="B2" s="24">
        <f>IFERROR(MATCH("grado",'Pegar docentes'!$A$1:$BZ$1,0),IFERROR(MATCH("grado[]",'Pegar docentes'!$A$1:$BZ$1,0),0))</f>
        <v/>
      </c>
      <c r="C2" s="24">
        <f>IFERROR(MATCH("funciones_probadas[]",'Pegar docentes'!$A$1:$BZ$1,0),IFERROR(MATCH("funciones_probadas",'Pegar docentes'!$A$1:$BZ$1,0),IFERROR(MATCH("funciones probadas",'Pegar docentes'!$A$1:$BZ$1,0),0)))</f>
        <v/>
      </c>
      <c r="D2" s="24">
        <f>IFERROR(MATCH("utilidad_semaforo",'Pegar docentes'!$A$1:$BZ$1,0),IFERROR(MATCH("utilidad_semaforo[]",'Pegar docentes'!$A$1:$BZ$1,0),IFERROR(MATCH("utilidad semaforo",'Pegar docentes'!$A$1:$BZ$1,0),0)))</f>
        <v/>
      </c>
      <c r="E2" s="24">
        <f>IFERROR(MATCH("coincide_criterio",'Pegar docentes'!$A$1:$BZ$1,0),IFERROR(MATCH("coincide_criterio[]",'Pegar docentes'!$A$1:$BZ$1,0),IFERROR(MATCH("coincide criterio",'Pegar docentes'!$A$1:$BZ$1,0),0)))</f>
        <v/>
      </c>
      <c r="F2" s="24">
        <f>IFERROR(MATCH("ejemplo_desacuerdo",'Pegar docentes'!$A$1:$BZ$1,0),IFERROR(MATCH("ejemplo_desacuerdo[]",'Pegar docentes'!$A$1:$BZ$1,0),IFERROR(MATCH("ejemplo desacuerdo",'Pegar docentes'!$A$1:$BZ$1,0),0)))</f>
        <v/>
      </c>
      <c r="G2" s="24">
        <f>IFERROR(MATCH("claridad",'Pegar docentes'!$A$1:$BZ$1,0),IFERROR(MATCH("claridad[]",'Pegar docentes'!$A$1:$BZ$1,0),0))</f>
        <v/>
      </c>
      <c r="H2" s="24">
        <f>IFERROR(MATCH("usaria_en_clase",'Pegar docentes'!$A$1:$BZ$1,0),IFERROR(MATCH("usaria_en_clase[]",'Pegar docentes'!$A$1:$BZ$1,0),IFERROR(MATCH("usaria en clase",'Pegar docentes'!$A$1:$BZ$1,0),0)))</f>
        <v/>
      </c>
      <c r="I2" s="24">
        <f>IFERROR(MATCH("imprescindible[]",'Pegar docentes'!$A$1:$BZ$1,0),IFERROR(MATCH("imprescindible",'Pegar docentes'!$A$1:$BZ$1,0),0))</f>
        <v/>
      </c>
      <c r="J2" s="24">
        <f>IFERROR(MATCH("imprescindible_otro",'Pegar docentes'!$A$1:$BZ$1,0),IFERROR(MATCH("imprescindible_otro[]",'Pegar docentes'!$A$1:$BZ$1,0),IFERROR(MATCH("imprescindible otro",'Pegar docentes'!$A$1:$BZ$1,0),0)))</f>
        <v/>
      </c>
      <c r="K2" s="24">
        <f>IFERROR(MATCH("cambio_principal",'Pegar docentes'!$A$1:$BZ$1,0),IFERROR(MATCH("cambio_principal[]",'Pegar docentes'!$A$1:$BZ$1,0),IFERROR(MATCH("cambio principal",'Pegar docentes'!$A$1:$BZ$1,0),0)))</f>
        <v/>
      </c>
      <c r="L2" s="24">
        <f>IFERROR(MATCH("contratar",'Pegar docentes'!$A$1:$BZ$1,0),IFERROR(MATCH("contratar[]",'Pegar docentes'!$A$1:$BZ$1,0),0))</f>
        <v/>
      </c>
      <c r="M2" s="24">
        <f>IFERROR(MATCH("precio_razonable",'Pegar docentes'!$A$1:$BZ$1,0),IFERROR(MATCH("precio_razonable[]",'Pegar docentes'!$A$1:$BZ$1,0),IFERROR(MATCH("precio razonable",'Pegar docentes'!$A$1:$BZ$1,0),0)))</f>
        <v/>
      </c>
      <c r="N2" s="24">
        <f>IFERROR(MATCH("preocupaciones",'Pegar docentes'!$A$1:$BZ$1,0),IFERROR(MATCH("preocupaciones[]",'Pegar docentes'!$A$1:$BZ$1,0),0))</f>
        <v/>
      </c>
      <c r="O2" s="24">
        <f>IFERROR(MATCH("correo_contacto",'Pegar docentes'!$A$1:$BZ$1,0),IFERROR(MATCH("correo_contacto[]",'Pegar docentes'!$A$1:$BZ$1,0),IFERROR(MATCH("correo contacto",'Pegar docentes'!$A$1:$BZ$1,0),0)))</f>
        <v/>
      </c>
      <c r="P2" s="24">
        <f>IFERROR(MATCH("consentimiento",'Pegar docentes'!$A$1:$BZ$1,0),IFERROR(MATCH("consentimiento[]",'Pegar docentes'!$A$1:$BZ$1,0),0))</f>
        <v/>
      </c>
      <c r="Q2" s="6" t="inlineStr">
        <is>
          <t>calculada</t>
        </is>
      </c>
      <c r="R2" s="6" t="inlineStr">
        <is>
          <t>calculada</t>
        </is>
      </c>
      <c r="S2" s="6" t="inlineStr">
        <is>
          <t>calculada</t>
        </is>
      </c>
      <c r="T2" s="6" t="inlineStr">
        <is>
          <t>calculada</t>
        </is>
      </c>
      <c r="U2" s="6" t="inlineStr">
        <is>
          <t>calculada</t>
        </is>
      </c>
      <c r="V2" s="6" t="inlineStr">
        <is>
          <t>calculada</t>
        </is>
      </c>
      <c r="W2" s="6" t="inlineStr">
        <is>
          <t>calculada</t>
        </is>
      </c>
      <c r="X2" s="6" t="inlineStr">
        <is>
          <t>calculada</t>
        </is>
      </c>
      <c r="Y2" s="6" t="inlineStr">
        <is>
          <t>calculada</t>
        </is>
      </c>
      <c r="Z2" s="6" t="inlineStr">
        <is>
          <t>calculada</t>
        </is>
      </c>
    </row>
    <row r="3">
      <c r="A3">
        <f>IF(A$2=0,"",IFERROR(TRIM(INDEX('Pegar docentes'!$A$1:$BZ$1001,2,A$2)&amp;""),""))</f>
        <v/>
      </c>
      <c r="B3">
        <f>IF(B$2=0,"",IFERROR(TRIM(INDEX('Pegar docentes'!$A$1:$BZ$1001,2,B$2)&amp;""),""))</f>
        <v/>
      </c>
      <c r="C3">
        <f>IF(C$2=0,"",IFERROR(TRIM(INDEX('Pegar docentes'!$A$1:$BZ$1001,2,C$2)&amp;""),""))</f>
        <v/>
      </c>
      <c r="D3">
        <f>IF(D$2=0,"",IFERROR(TRIM(INDEX('Pegar docentes'!$A$1:$BZ$1001,2,D$2)&amp;""),""))</f>
        <v/>
      </c>
      <c r="E3">
        <f>IF(E$2=0,"",IFERROR(TRIM(INDEX('Pegar docentes'!$A$1:$BZ$1001,2,E$2)&amp;""),""))</f>
        <v/>
      </c>
      <c r="F3">
        <f>IF(F$2=0,"",IFERROR(TRIM(INDEX('Pegar docentes'!$A$1:$BZ$1001,2,F$2)&amp;""),""))</f>
        <v/>
      </c>
      <c r="G3">
        <f>IF(G$2=0,"",IFERROR(TRIM(INDEX('Pegar docentes'!$A$1:$BZ$1001,2,G$2)&amp;""),""))</f>
        <v/>
      </c>
      <c r="H3">
        <f>IF(H$2=0,"",IFERROR(TRIM(INDEX('Pegar docentes'!$A$1:$BZ$1001,2,H$2)&amp;""),""))</f>
        <v/>
      </c>
      <c r="I3">
        <f>IF(I$2=0,"",IFERROR(TRIM(INDEX('Pegar docentes'!$A$1:$BZ$1001,2,I$2)&amp;""),""))</f>
        <v/>
      </c>
      <c r="J3">
        <f>IF(J$2=0,"",IFERROR(TRIM(INDEX('Pegar docentes'!$A$1:$BZ$1001,2,J$2)&amp;""),""))</f>
        <v/>
      </c>
      <c r="K3">
        <f>IF(K$2=0,"",IFERROR(TRIM(INDEX('Pegar docentes'!$A$1:$BZ$1001,2,K$2)&amp;""),""))</f>
        <v/>
      </c>
      <c r="L3">
        <f>IF(L$2=0,"",IFERROR(TRIM(INDEX('Pegar docentes'!$A$1:$BZ$1001,2,L$2)&amp;""),""))</f>
        <v/>
      </c>
      <c r="M3">
        <f>IF(M$2=0,"",IFERROR(TRIM(INDEX('Pegar docentes'!$A$1:$BZ$1001,2,M$2)&amp;""),""))</f>
        <v/>
      </c>
      <c r="N3">
        <f>IF(N$2=0,"",IFERROR(TRIM(INDEX('Pegar docentes'!$A$1:$BZ$1001,2,N$2)&amp;""),""))</f>
        <v/>
      </c>
      <c r="O3">
        <f>IF(O$2=0,"",IFERROR(TRIM(INDEX('Pegar docentes'!$A$1:$BZ$1001,2,O$2)&amp;""),""))</f>
        <v/>
      </c>
      <c r="P3">
        <f>IF(P$2=0,"",IFERROR(TRIM(INDEX('Pegar docentes'!$A$1:$BZ$1001,2,P$2)&amp;""),""))</f>
        <v/>
      </c>
      <c r="Q3" s="25">
        <f>IF(OR(D3&lt;&gt;"",H3&lt;&gt;""),1,"")</f>
        <v/>
      </c>
      <c r="R3" s="25">
        <f>IF(Q3=1,IF(ISNUMBER(FIND("#"&amp;MID(D3,1,1)&amp;"#","#0#1#2#3#4#5#6#7#8#9#")),IF(ISNUMBER(FIND("#"&amp;MID(D3,2,1)&amp;"#","#0#1#2#3#4#5#6#7#8#9#")),IF(AND(VALUE(LEFT(D3,2))&gt;=1,VALUE(LEFT(D3,2))&lt;=5),VALUE(LEFT(D3,2)),""),IF(AND(VALUE(LEFT(D3,1))&gt;=1,VALUE(LEFT(D3,1))&lt;=5),VALUE(LEFT(D3,1)),"")),""),"")</f>
        <v/>
      </c>
      <c r="S3" s="25">
        <f>IF(AND(Q3=1,E3&lt;&gt;""),SUBSTITUTE(SUBSTITUTE(SUBSTITUTE(SUBSTITUTE(SUBSTITUTE(SUBSTITUTE(SUBSTITUTE(SUBSTITUTE(SUBSTITUTE(SUBSTITUTE(SUBSTITUTE(SUBSTITUTE(LOWER(TRIM(E3)),"á","a"),"é","e"),"í","i"),"ó","o"),"ú","u"),"ü","u"),"ñ","n"),"à","a"),"è","e"),"ì","i"),"ò","o"),"ù","u"),"")</f>
        <v/>
      </c>
      <c r="T3" s="25">
        <f>IF(AND(Q3=1,G3&lt;&gt;""),SUBSTITUTE(SUBSTITUTE(SUBSTITUTE(SUBSTITUTE(SUBSTITUTE(SUBSTITUTE(SUBSTITUTE(SUBSTITUTE(SUBSTITUTE(SUBSTITUTE(SUBSTITUTE(SUBSTITUTE(LOWER(TRIM(G3)),"á","a"),"é","e"),"í","i"),"ó","o"),"ú","u"),"ü","u"),"ñ","n"),"à","a"),"è","e"),"ì","i"),"ò","o"),"ù","u"),"")</f>
        <v/>
      </c>
      <c r="U3" s="25">
        <f>IF(AND(Q3=1,H3&lt;&gt;""),SUBSTITUTE(SUBSTITUTE(SUBSTITUTE(SUBSTITUTE(SUBSTITUTE(SUBSTITUTE(SUBSTITUTE(SUBSTITUTE(SUBSTITUTE(SUBSTITUTE(SUBSTITUTE(SUBSTITUTE(LOWER(TRIM(H3)),"á","a"),"é","e"),"í","i"),"ó","o"),"ú","u"),"ü","u"),"ñ","n"),"à","a"),"è","e"),"ì","i"),"ò","o"),"ù","u"),"")</f>
        <v/>
      </c>
      <c r="V3" s="25">
        <f>IF(AND(Q3=1,L3&lt;&gt;""),SUBSTITUTE(SUBSTITUTE(SUBSTITUTE(SUBSTITUTE(SUBSTITUTE(SUBSTITUTE(SUBSTITUTE(SUBSTITUTE(SUBSTITUTE(SUBSTITUTE(SUBSTITUTE(SUBSTITUTE(LOWER(TRIM(L3)),"á","a"),"é","e"),"í","i"),"ó","o"),"ú","u"),"ü","u"),"ñ","n"),"à","a"),"è","e"),"ì","i"),"ò","o"),"ù","u"),"")</f>
        <v/>
      </c>
      <c r="W3" s="25">
        <f>IF(AND(Q3=1,I3&lt;&gt;""),SUBSTITUTE(SUBSTITUTE(SUBSTITUTE(SUBSTITUTE(SUBSTITUTE(SUBSTITUTE(SUBSTITUTE(SUBSTITUTE(SUBSTITUTE(SUBSTITUTE(SUBSTITUTE(SUBSTITUTE(LOWER(TRIM(I3)),"á","a"),"é","e"),"í","i"),"ó","o"),"ú","u"),"ü","u"),"ñ","n"),"à","a"),"è","e"),"ì","i"),"ò","o"),"ù","u"),"")</f>
        <v/>
      </c>
      <c r="X3" s="25">
        <f>IF(U3="","",IF(OR(U3="si, en la proxima tarea",U3="si, con cambios"),1,0))</f>
        <v/>
      </c>
      <c r="Y3" s="25">
        <f>IF(AND(Q3=1,A3&lt;&gt;""),IF(IFERROR(COUNTIFS(A$3:A3,"="&amp;SUBSTITUTE(SUBSTITUTE(SUBSTITUTE(A3,"~","~~"),"*","~*"),"?","~?"),Q$3:Q3,1),0)=1,MAX(Y$2:Y2)+1,""),"")</f>
        <v/>
      </c>
      <c r="Z3" s="25">
        <f>IF(Y3="","",COUNTIFS($A$3:$A$1002,"="&amp;SUBSTITUTE(SUBSTITUTE(SUBSTITUTE(A3,"~","~~"),"*","~*"),"?","~?"),$Q$3:$Q$1002,1)*10000-Y3)</f>
        <v/>
      </c>
    </row>
    <row r="4">
      <c r="A4">
        <f>IF(A$2=0,"",IFERROR(TRIM(INDEX('Pegar docentes'!$A$1:$BZ$1001,3,A$2)&amp;""),""))</f>
        <v/>
      </c>
      <c r="B4">
        <f>IF(B$2=0,"",IFERROR(TRIM(INDEX('Pegar docentes'!$A$1:$BZ$1001,3,B$2)&amp;""),""))</f>
        <v/>
      </c>
      <c r="C4">
        <f>IF(C$2=0,"",IFERROR(TRIM(INDEX('Pegar docentes'!$A$1:$BZ$1001,3,C$2)&amp;""),""))</f>
        <v/>
      </c>
      <c r="D4">
        <f>IF(D$2=0,"",IFERROR(TRIM(INDEX('Pegar docentes'!$A$1:$BZ$1001,3,D$2)&amp;""),""))</f>
        <v/>
      </c>
      <c r="E4">
        <f>IF(E$2=0,"",IFERROR(TRIM(INDEX('Pegar docentes'!$A$1:$BZ$1001,3,E$2)&amp;""),""))</f>
        <v/>
      </c>
      <c r="F4">
        <f>IF(F$2=0,"",IFERROR(TRIM(INDEX('Pegar docentes'!$A$1:$BZ$1001,3,F$2)&amp;""),""))</f>
        <v/>
      </c>
      <c r="G4">
        <f>IF(G$2=0,"",IFERROR(TRIM(INDEX('Pegar docentes'!$A$1:$BZ$1001,3,G$2)&amp;""),""))</f>
        <v/>
      </c>
      <c r="H4">
        <f>IF(H$2=0,"",IFERROR(TRIM(INDEX('Pegar docentes'!$A$1:$BZ$1001,3,H$2)&amp;""),""))</f>
        <v/>
      </c>
      <c r="I4">
        <f>IF(I$2=0,"",IFERROR(TRIM(INDEX('Pegar docentes'!$A$1:$BZ$1001,3,I$2)&amp;""),""))</f>
        <v/>
      </c>
      <c r="J4">
        <f>IF(J$2=0,"",IFERROR(TRIM(INDEX('Pegar docentes'!$A$1:$BZ$1001,3,J$2)&amp;""),""))</f>
        <v/>
      </c>
      <c r="K4">
        <f>IF(K$2=0,"",IFERROR(TRIM(INDEX('Pegar docentes'!$A$1:$BZ$1001,3,K$2)&amp;""),""))</f>
        <v/>
      </c>
      <c r="L4">
        <f>IF(L$2=0,"",IFERROR(TRIM(INDEX('Pegar docentes'!$A$1:$BZ$1001,3,L$2)&amp;""),""))</f>
        <v/>
      </c>
      <c r="M4">
        <f>IF(M$2=0,"",IFERROR(TRIM(INDEX('Pegar docentes'!$A$1:$BZ$1001,3,M$2)&amp;""),""))</f>
        <v/>
      </c>
      <c r="N4">
        <f>IF(N$2=0,"",IFERROR(TRIM(INDEX('Pegar docentes'!$A$1:$BZ$1001,3,N$2)&amp;""),""))</f>
        <v/>
      </c>
      <c r="O4">
        <f>IF(O$2=0,"",IFERROR(TRIM(INDEX('Pegar docentes'!$A$1:$BZ$1001,3,O$2)&amp;""),""))</f>
        <v/>
      </c>
      <c r="P4">
        <f>IF(P$2=0,"",IFERROR(TRIM(INDEX('Pegar docentes'!$A$1:$BZ$1001,3,P$2)&amp;""),""))</f>
        <v/>
      </c>
      <c r="Q4" s="25">
        <f>IF(OR(D4&lt;&gt;"",H4&lt;&gt;""),1,"")</f>
        <v/>
      </c>
      <c r="R4" s="25">
        <f>IF(Q4=1,IF(ISNUMBER(FIND("#"&amp;MID(D4,1,1)&amp;"#","#0#1#2#3#4#5#6#7#8#9#")),IF(ISNUMBER(FIND("#"&amp;MID(D4,2,1)&amp;"#","#0#1#2#3#4#5#6#7#8#9#")),IF(AND(VALUE(LEFT(D4,2))&gt;=1,VALUE(LEFT(D4,2))&lt;=5),VALUE(LEFT(D4,2)),""),IF(AND(VALUE(LEFT(D4,1))&gt;=1,VALUE(LEFT(D4,1))&lt;=5),VALUE(LEFT(D4,1)),"")),""),"")</f>
        <v/>
      </c>
      <c r="S4" s="25">
        <f>IF(AND(Q4=1,E4&lt;&gt;""),SUBSTITUTE(SUBSTITUTE(SUBSTITUTE(SUBSTITUTE(SUBSTITUTE(SUBSTITUTE(SUBSTITUTE(SUBSTITUTE(SUBSTITUTE(SUBSTITUTE(SUBSTITUTE(SUBSTITUTE(LOWER(TRIM(E4)),"á","a"),"é","e"),"í","i"),"ó","o"),"ú","u"),"ü","u"),"ñ","n"),"à","a"),"è","e"),"ì","i"),"ò","o"),"ù","u"),"")</f>
        <v/>
      </c>
      <c r="T4" s="25">
        <f>IF(AND(Q4=1,G4&lt;&gt;""),SUBSTITUTE(SUBSTITUTE(SUBSTITUTE(SUBSTITUTE(SUBSTITUTE(SUBSTITUTE(SUBSTITUTE(SUBSTITUTE(SUBSTITUTE(SUBSTITUTE(SUBSTITUTE(SUBSTITUTE(LOWER(TRIM(G4)),"á","a"),"é","e"),"í","i"),"ó","o"),"ú","u"),"ü","u"),"ñ","n"),"à","a"),"è","e"),"ì","i"),"ò","o"),"ù","u"),"")</f>
        <v/>
      </c>
      <c r="U4" s="25">
        <f>IF(AND(Q4=1,H4&lt;&gt;""),SUBSTITUTE(SUBSTITUTE(SUBSTITUTE(SUBSTITUTE(SUBSTITUTE(SUBSTITUTE(SUBSTITUTE(SUBSTITUTE(SUBSTITUTE(SUBSTITUTE(SUBSTITUTE(SUBSTITUTE(LOWER(TRIM(H4)),"á","a"),"é","e"),"í","i"),"ó","o"),"ú","u"),"ü","u"),"ñ","n"),"à","a"),"è","e"),"ì","i"),"ò","o"),"ù","u"),"")</f>
        <v/>
      </c>
      <c r="V4" s="25">
        <f>IF(AND(Q4=1,L4&lt;&gt;""),SUBSTITUTE(SUBSTITUTE(SUBSTITUTE(SUBSTITUTE(SUBSTITUTE(SUBSTITUTE(SUBSTITUTE(SUBSTITUTE(SUBSTITUTE(SUBSTITUTE(SUBSTITUTE(SUBSTITUTE(LOWER(TRIM(L4)),"á","a"),"é","e"),"í","i"),"ó","o"),"ú","u"),"ü","u"),"ñ","n"),"à","a"),"è","e"),"ì","i"),"ò","o"),"ù","u"),"")</f>
        <v/>
      </c>
      <c r="W4" s="25">
        <f>IF(AND(Q4=1,I4&lt;&gt;""),SUBSTITUTE(SUBSTITUTE(SUBSTITUTE(SUBSTITUTE(SUBSTITUTE(SUBSTITUTE(SUBSTITUTE(SUBSTITUTE(SUBSTITUTE(SUBSTITUTE(SUBSTITUTE(SUBSTITUTE(LOWER(TRIM(I4)),"á","a"),"é","e"),"í","i"),"ó","o"),"ú","u"),"ü","u"),"ñ","n"),"à","a"),"è","e"),"ì","i"),"ò","o"),"ù","u"),"")</f>
        <v/>
      </c>
      <c r="X4" s="25">
        <f>IF(U4="","",IF(OR(U4="si, en la proxima tarea",U4="si, con cambios"),1,0))</f>
        <v/>
      </c>
      <c r="Y4" s="25">
        <f>IF(AND(Q4=1,A4&lt;&gt;""),IF(IFERROR(COUNTIFS(A$3:A4,"="&amp;SUBSTITUTE(SUBSTITUTE(SUBSTITUTE(A4,"~","~~"),"*","~*"),"?","~?"),Q$3:Q4,1),0)=1,MAX(Y$2:Y3)+1,""),"")</f>
        <v/>
      </c>
      <c r="Z4" s="25">
        <f>IF(Y4="","",COUNTIFS($A$3:$A$1002,"="&amp;SUBSTITUTE(SUBSTITUTE(SUBSTITUTE(A4,"~","~~"),"*","~*"),"?","~?"),$Q$3:$Q$1002,1)*10000-Y4)</f>
        <v/>
      </c>
    </row>
    <row r="5">
      <c r="A5">
        <f>IF(A$2=0,"",IFERROR(TRIM(INDEX('Pegar docentes'!$A$1:$BZ$1001,4,A$2)&amp;""),""))</f>
        <v/>
      </c>
      <c r="B5">
        <f>IF(B$2=0,"",IFERROR(TRIM(INDEX('Pegar docentes'!$A$1:$BZ$1001,4,B$2)&amp;""),""))</f>
        <v/>
      </c>
      <c r="C5">
        <f>IF(C$2=0,"",IFERROR(TRIM(INDEX('Pegar docentes'!$A$1:$BZ$1001,4,C$2)&amp;""),""))</f>
        <v/>
      </c>
      <c r="D5">
        <f>IF(D$2=0,"",IFERROR(TRIM(INDEX('Pegar docentes'!$A$1:$BZ$1001,4,D$2)&amp;""),""))</f>
        <v/>
      </c>
      <c r="E5">
        <f>IF(E$2=0,"",IFERROR(TRIM(INDEX('Pegar docentes'!$A$1:$BZ$1001,4,E$2)&amp;""),""))</f>
        <v/>
      </c>
      <c r="F5">
        <f>IF(F$2=0,"",IFERROR(TRIM(INDEX('Pegar docentes'!$A$1:$BZ$1001,4,F$2)&amp;""),""))</f>
        <v/>
      </c>
      <c r="G5">
        <f>IF(G$2=0,"",IFERROR(TRIM(INDEX('Pegar docentes'!$A$1:$BZ$1001,4,G$2)&amp;""),""))</f>
        <v/>
      </c>
      <c r="H5">
        <f>IF(H$2=0,"",IFERROR(TRIM(INDEX('Pegar docentes'!$A$1:$BZ$1001,4,H$2)&amp;""),""))</f>
        <v/>
      </c>
      <c r="I5">
        <f>IF(I$2=0,"",IFERROR(TRIM(INDEX('Pegar docentes'!$A$1:$BZ$1001,4,I$2)&amp;""),""))</f>
        <v/>
      </c>
      <c r="J5">
        <f>IF(J$2=0,"",IFERROR(TRIM(INDEX('Pegar docentes'!$A$1:$BZ$1001,4,J$2)&amp;""),""))</f>
        <v/>
      </c>
      <c r="K5">
        <f>IF(K$2=0,"",IFERROR(TRIM(INDEX('Pegar docentes'!$A$1:$BZ$1001,4,K$2)&amp;""),""))</f>
        <v/>
      </c>
      <c r="L5">
        <f>IF(L$2=0,"",IFERROR(TRIM(INDEX('Pegar docentes'!$A$1:$BZ$1001,4,L$2)&amp;""),""))</f>
        <v/>
      </c>
      <c r="M5">
        <f>IF(M$2=0,"",IFERROR(TRIM(INDEX('Pegar docentes'!$A$1:$BZ$1001,4,M$2)&amp;""),""))</f>
        <v/>
      </c>
      <c r="N5">
        <f>IF(N$2=0,"",IFERROR(TRIM(INDEX('Pegar docentes'!$A$1:$BZ$1001,4,N$2)&amp;""),""))</f>
        <v/>
      </c>
      <c r="O5">
        <f>IF(O$2=0,"",IFERROR(TRIM(INDEX('Pegar docentes'!$A$1:$BZ$1001,4,O$2)&amp;""),""))</f>
        <v/>
      </c>
      <c r="P5">
        <f>IF(P$2=0,"",IFERROR(TRIM(INDEX('Pegar docentes'!$A$1:$BZ$1001,4,P$2)&amp;""),""))</f>
        <v/>
      </c>
      <c r="Q5" s="25">
        <f>IF(OR(D5&lt;&gt;"",H5&lt;&gt;""),1,"")</f>
        <v/>
      </c>
      <c r="R5" s="25">
        <f>IF(Q5=1,IF(ISNUMBER(FIND("#"&amp;MID(D5,1,1)&amp;"#","#0#1#2#3#4#5#6#7#8#9#")),IF(ISNUMBER(FIND("#"&amp;MID(D5,2,1)&amp;"#","#0#1#2#3#4#5#6#7#8#9#")),IF(AND(VALUE(LEFT(D5,2))&gt;=1,VALUE(LEFT(D5,2))&lt;=5),VALUE(LEFT(D5,2)),""),IF(AND(VALUE(LEFT(D5,1))&gt;=1,VALUE(LEFT(D5,1))&lt;=5),VALUE(LEFT(D5,1)),"")),""),"")</f>
        <v/>
      </c>
      <c r="S5" s="25">
        <f>IF(AND(Q5=1,E5&lt;&gt;""),SUBSTITUTE(SUBSTITUTE(SUBSTITUTE(SUBSTITUTE(SUBSTITUTE(SUBSTITUTE(SUBSTITUTE(SUBSTITUTE(SUBSTITUTE(SUBSTITUTE(SUBSTITUTE(SUBSTITUTE(LOWER(TRIM(E5)),"á","a"),"é","e"),"í","i"),"ó","o"),"ú","u"),"ü","u"),"ñ","n"),"à","a"),"è","e"),"ì","i"),"ò","o"),"ù","u"),"")</f>
        <v/>
      </c>
      <c r="T5" s="25">
        <f>IF(AND(Q5=1,G5&lt;&gt;""),SUBSTITUTE(SUBSTITUTE(SUBSTITUTE(SUBSTITUTE(SUBSTITUTE(SUBSTITUTE(SUBSTITUTE(SUBSTITUTE(SUBSTITUTE(SUBSTITUTE(SUBSTITUTE(SUBSTITUTE(LOWER(TRIM(G5)),"á","a"),"é","e"),"í","i"),"ó","o"),"ú","u"),"ü","u"),"ñ","n"),"à","a"),"è","e"),"ì","i"),"ò","o"),"ù","u"),"")</f>
        <v/>
      </c>
      <c r="U5" s="25">
        <f>IF(AND(Q5=1,H5&lt;&gt;""),SUBSTITUTE(SUBSTITUTE(SUBSTITUTE(SUBSTITUTE(SUBSTITUTE(SUBSTITUTE(SUBSTITUTE(SUBSTITUTE(SUBSTITUTE(SUBSTITUTE(SUBSTITUTE(SUBSTITUTE(LOWER(TRIM(H5)),"á","a"),"é","e"),"í","i"),"ó","o"),"ú","u"),"ü","u"),"ñ","n"),"à","a"),"è","e"),"ì","i"),"ò","o"),"ù","u"),"")</f>
        <v/>
      </c>
      <c r="V5" s="25">
        <f>IF(AND(Q5=1,L5&lt;&gt;""),SUBSTITUTE(SUBSTITUTE(SUBSTITUTE(SUBSTITUTE(SUBSTITUTE(SUBSTITUTE(SUBSTITUTE(SUBSTITUTE(SUBSTITUTE(SUBSTITUTE(SUBSTITUTE(SUBSTITUTE(LOWER(TRIM(L5)),"á","a"),"é","e"),"í","i"),"ó","o"),"ú","u"),"ü","u"),"ñ","n"),"à","a"),"è","e"),"ì","i"),"ò","o"),"ù","u"),"")</f>
        <v/>
      </c>
      <c r="W5" s="25">
        <f>IF(AND(Q5=1,I5&lt;&gt;""),SUBSTITUTE(SUBSTITUTE(SUBSTITUTE(SUBSTITUTE(SUBSTITUTE(SUBSTITUTE(SUBSTITUTE(SUBSTITUTE(SUBSTITUTE(SUBSTITUTE(SUBSTITUTE(SUBSTITUTE(LOWER(TRIM(I5)),"á","a"),"é","e"),"í","i"),"ó","o"),"ú","u"),"ü","u"),"ñ","n"),"à","a"),"è","e"),"ì","i"),"ò","o"),"ù","u"),"")</f>
        <v/>
      </c>
      <c r="X5" s="25">
        <f>IF(U5="","",IF(OR(U5="si, en la proxima tarea",U5="si, con cambios"),1,0))</f>
        <v/>
      </c>
      <c r="Y5" s="25">
        <f>IF(AND(Q5=1,A5&lt;&gt;""),IF(IFERROR(COUNTIFS(A$3:A5,"="&amp;SUBSTITUTE(SUBSTITUTE(SUBSTITUTE(A5,"~","~~"),"*","~*"),"?","~?"),Q$3:Q5,1),0)=1,MAX(Y$2:Y4)+1,""),"")</f>
        <v/>
      </c>
      <c r="Z5" s="25">
        <f>IF(Y5="","",COUNTIFS($A$3:$A$1002,"="&amp;SUBSTITUTE(SUBSTITUTE(SUBSTITUTE(A5,"~","~~"),"*","~*"),"?","~?"),$Q$3:$Q$1002,1)*10000-Y5)</f>
        <v/>
      </c>
    </row>
    <row r="6">
      <c r="A6">
        <f>IF(A$2=0,"",IFERROR(TRIM(INDEX('Pegar docentes'!$A$1:$BZ$1001,5,A$2)&amp;""),""))</f>
        <v/>
      </c>
      <c r="B6">
        <f>IF(B$2=0,"",IFERROR(TRIM(INDEX('Pegar docentes'!$A$1:$BZ$1001,5,B$2)&amp;""),""))</f>
        <v/>
      </c>
      <c r="C6">
        <f>IF(C$2=0,"",IFERROR(TRIM(INDEX('Pegar docentes'!$A$1:$BZ$1001,5,C$2)&amp;""),""))</f>
        <v/>
      </c>
      <c r="D6">
        <f>IF(D$2=0,"",IFERROR(TRIM(INDEX('Pegar docentes'!$A$1:$BZ$1001,5,D$2)&amp;""),""))</f>
        <v/>
      </c>
      <c r="E6">
        <f>IF(E$2=0,"",IFERROR(TRIM(INDEX('Pegar docentes'!$A$1:$BZ$1001,5,E$2)&amp;""),""))</f>
        <v/>
      </c>
      <c r="F6">
        <f>IF(F$2=0,"",IFERROR(TRIM(INDEX('Pegar docentes'!$A$1:$BZ$1001,5,F$2)&amp;""),""))</f>
        <v/>
      </c>
      <c r="G6">
        <f>IF(G$2=0,"",IFERROR(TRIM(INDEX('Pegar docentes'!$A$1:$BZ$1001,5,G$2)&amp;""),""))</f>
        <v/>
      </c>
      <c r="H6">
        <f>IF(H$2=0,"",IFERROR(TRIM(INDEX('Pegar docentes'!$A$1:$BZ$1001,5,H$2)&amp;""),""))</f>
        <v/>
      </c>
      <c r="I6">
        <f>IF(I$2=0,"",IFERROR(TRIM(INDEX('Pegar docentes'!$A$1:$BZ$1001,5,I$2)&amp;""),""))</f>
        <v/>
      </c>
      <c r="J6">
        <f>IF(J$2=0,"",IFERROR(TRIM(INDEX('Pegar docentes'!$A$1:$BZ$1001,5,J$2)&amp;""),""))</f>
        <v/>
      </c>
      <c r="K6">
        <f>IF(K$2=0,"",IFERROR(TRIM(INDEX('Pegar docentes'!$A$1:$BZ$1001,5,K$2)&amp;""),""))</f>
        <v/>
      </c>
      <c r="L6">
        <f>IF(L$2=0,"",IFERROR(TRIM(INDEX('Pegar docentes'!$A$1:$BZ$1001,5,L$2)&amp;""),""))</f>
        <v/>
      </c>
      <c r="M6">
        <f>IF(M$2=0,"",IFERROR(TRIM(INDEX('Pegar docentes'!$A$1:$BZ$1001,5,M$2)&amp;""),""))</f>
        <v/>
      </c>
      <c r="N6">
        <f>IF(N$2=0,"",IFERROR(TRIM(INDEX('Pegar docentes'!$A$1:$BZ$1001,5,N$2)&amp;""),""))</f>
        <v/>
      </c>
      <c r="O6">
        <f>IF(O$2=0,"",IFERROR(TRIM(INDEX('Pegar docentes'!$A$1:$BZ$1001,5,O$2)&amp;""),""))</f>
        <v/>
      </c>
      <c r="P6">
        <f>IF(P$2=0,"",IFERROR(TRIM(INDEX('Pegar docentes'!$A$1:$BZ$1001,5,P$2)&amp;""),""))</f>
        <v/>
      </c>
      <c r="Q6" s="25">
        <f>IF(OR(D6&lt;&gt;"",H6&lt;&gt;""),1,"")</f>
        <v/>
      </c>
      <c r="R6" s="25">
        <f>IF(Q6=1,IF(ISNUMBER(FIND("#"&amp;MID(D6,1,1)&amp;"#","#0#1#2#3#4#5#6#7#8#9#")),IF(ISNUMBER(FIND("#"&amp;MID(D6,2,1)&amp;"#","#0#1#2#3#4#5#6#7#8#9#")),IF(AND(VALUE(LEFT(D6,2))&gt;=1,VALUE(LEFT(D6,2))&lt;=5),VALUE(LEFT(D6,2)),""),IF(AND(VALUE(LEFT(D6,1))&gt;=1,VALUE(LEFT(D6,1))&lt;=5),VALUE(LEFT(D6,1)),"")),""),"")</f>
        <v/>
      </c>
      <c r="S6" s="25">
        <f>IF(AND(Q6=1,E6&lt;&gt;""),SUBSTITUTE(SUBSTITUTE(SUBSTITUTE(SUBSTITUTE(SUBSTITUTE(SUBSTITUTE(SUBSTITUTE(SUBSTITUTE(SUBSTITUTE(SUBSTITUTE(SUBSTITUTE(SUBSTITUTE(LOWER(TRIM(E6)),"á","a"),"é","e"),"í","i"),"ó","o"),"ú","u"),"ü","u"),"ñ","n"),"à","a"),"è","e"),"ì","i"),"ò","o"),"ù","u"),"")</f>
        <v/>
      </c>
      <c r="T6" s="25">
        <f>IF(AND(Q6=1,G6&lt;&gt;""),SUBSTITUTE(SUBSTITUTE(SUBSTITUTE(SUBSTITUTE(SUBSTITUTE(SUBSTITUTE(SUBSTITUTE(SUBSTITUTE(SUBSTITUTE(SUBSTITUTE(SUBSTITUTE(SUBSTITUTE(LOWER(TRIM(G6)),"á","a"),"é","e"),"í","i"),"ó","o"),"ú","u"),"ü","u"),"ñ","n"),"à","a"),"è","e"),"ì","i"),"ò","o"),"ù","u"),"")</f>
        <v/>
      </c>
      <c r="U6" s="25">
        <f>IF(AND(Q6=1,H6&lt;&gt;""),SUBSTITUTE(SUBSTITUTE(SUBSTITUTE(SUBSTITUTE(SUBSTITUTE(SUBSTITUTE(SUBSTITUTE(SUBSTITUTE(SUBSTITUTE(SUBSTITUTE(SUBSTITUTE(SUBSTITUTE(LOWER(TRIM(H6)),"á","a"),"é","e"),"í","i"),"ó","o"),"ú","u"),"ü","u"),"ñ","n"),"à","a"),"è","e"),"ì","i"),"ò","o"),"ù","u"),"")</f>
        <v/>
      </c>
      <c r="V6" s="25">
        <f>IF(AND(Q6=1,L6&lt;&gt;""),SUBSTITUTE(SUBSTITUTE(SUBSTITUTE(SUBSTITUTE(SUBSTITUTE(SUBSTITUTE(SUBSTITUTE(SUBSTITUTE(SUBSTITUTE(SUBSTITUTE(SUBSTITUTE(SUBSTITUTE(LOWER(TRIM(L6)),"á","a"),"é","e"),"í","i"),"ó","o"),"ú","u"),"ü","u"),"ñ","n"),"à","a"),"è","e"),"ì","i"),"ò","o"),"ù","u"),"")</f>
        <v/>
      </c>
      <c r="W6" s="25">
        <f>IF(AND(Q6=1,I6&lt;&gt;""),SUBSTITUTE(SUBSTITUTE(SUBSTITUTE(SUBSTITUTE(SUBSTITUTE(SUBSTITUTE(SUBSTITUTE(SUBSTITUTE(SUBSTITUTE(SUBSTITUTE(SUBSTITUTE(SUBSTITUTE(LOWER(TRIM(I6)),"á","a"),"é","e"),"í","i"),"ó","o"),"ú","u"),"ü","u"),"ñ","n"),"à","a"),"è","e"),"ì","i"),"ò","o"),"ù","u"),"")</f>
        <v/>
      </c>
      <c r="X6" s="25">
        <f>IF(U6="","",IF(OR(U6="si, en la proxima tarea",U6="si, con cambios"),1,0))</f>
        <v/>
      </c>
      <c r="Y6" s="25">
        <f>IF(AND(Q6=1,A6&lt;&gt;""),IF(IFERROR(COUNTIFS(A$3:A6,"="&amp;SUBSTITUTE(SUBSTITUTE(SUBSTITUTE(A6,"~","~~"),"*","~*"),"?","~?"),Q$3:Q6,1),0)=1,MAX(Y$2:Y5)+1,""),"")</f>
        <v/>
      </c>
      <c r="Z6" s="25">
        <f>IF(Y6="","",COUNTIFS($A$3:$A$1002,"="&amp;SUBSTITUTE(SUBSTITUTE(SUBSTITUTE(A6,"~","~~"),"*","~*"),"?","~?"),$Q$3:$Q$1002,1)*10000-Y6)</f>
        <v/>
      </c>
    </row>
    <row r="7">
      <c r="A7">
        <f>IF(A$2=0,"",IFERROR(TRIM(INDEX('Pegar docentes'!$A$1:$BZ$1001,6,A$2)&amp;""),""))</f>
        <v/>
      </c>
      <c r="B7">
        <f>IF(B$2=0,"",IFERROR(TRIM(INDEX('Pegar docentes'!$A$1:$BZ$1001,6,B$2)&amp;""),""))</f>
        <v/>
      </c>
      <c r="C7">
        <f>IF(C$2=0,"",IFERROR(TRIM(INDEX('Pegar docentes'!$A$1:$BZ$1001,6,C$2)&amp;""),""))</f>
        <v/>
      </c>
      <c r="D7">
        <f>IF(D$2=0,"",IFERROR(TRIM(INDEX('Pegar docentes'!$A$1:$BZ$1001,6,D$2)&amp;""),""))</f>
        <v/>
      </c>
      <c r="E7">
        <f>IF(E$2=0,"",IFERROR(TRIM(INDEX('Pegar docentes'!$A$1:$BZ$1001,6,E$2)&amp;""),""))</f>
        <v/>
      </c>
      <c r="F7">
        <f>IF(F$2=0,"",IFERROR(TRIM(INDEX('Pegar docentes'!$A$1:$BZ$1001,6,F$2)&amp;""),""))</f>
        <v/>
      </c>
      <c r="G7">
        <f>IF(G$2=0,"",IFERROR(TRIM(INDEX('Pegar docentes'!$A$1:$BZ$1001,6,G$2)&amp;""),""))</f>
        <v/>
      </c>
      <c r="H7">
        <f>IF(H$2=0,"",IFERROR(TRIM(INDEX('Pegar docentes'!$A$1:$BZ$1001,6,H$2)&amp;""),""))</f>
        <v/>
      </c>
      <c r="I7">
        <f>IF(I$2=0,"",IFERROR(TRIM(INDEX('Pegar docentes'!$A$1:$BZ$1001,6,I$2)&amp;""),""))</f>
        <v/>
      </c>
      <c r="J7">
        <f>IF(J$2=0,"",IFERROR(TRIM(INDEX('Pegar docentes'!$A$1:$BZ$1001,6,J$2)&amp;""),""))</f>
        <v/>
      </c>
      <c r="K7">
        <f>IF(K$2=0,"",IFERROR(TRIM(INDEX('Pegar docentes'!$A$1:$BZ$1001,6,K$2)&amp;""),""))</f>
        <v/>
      </c>
      <c r="L7">
        <f>IF(L$2=0,"",IFERROR(TRIM(INDEX('Pegar docentes'!$A$1:$BZ$1001,6,L$2)&amp;""),""))</f>
        <v/>
      </c>
      <c r="M7">
        <f>IF(M$2=0,"",IFERROR(TRIM(INDEX('Pegar docentes'!$A$1:$BZ$1001,6,M$2)&amp;""),""))</f>
        <v/>
      </c>
      <c r="N7">
        <f>IF(N$2=0,"",IFERROR(TRIM(INDEX('Pegar docentes'!$A$1:$BZ$1001,6,N$2)&amp;""),""))</f>
        <v/>
      </c>
      <c r="O7">
        <f>IF(O$2=0,"",IFERROR(TRIM(INDEX('Pegar docentes'!$A$1:$BZ$1001,6,O$2)&amp;""),""))</f>
        <v/>
      </c>
      <c r="P7">
        <f>IF(P$2=0,"",IFERROR(TRIM(INDEX('Pegar docentes'!$A$1:$BZ$1001,6,P$2)&amp;""),""))</f>
        <v/>
      </c>
      <c r="Q7" s="25">
        <f>IF(OR(D7&lt;&gt;"",H7&lt;&gt;""),1,"")</f>
        <v/>
      </c>
      <c r="R7" s="25">
        <f>IF(Q7=1,IF(ISNUMBER(FIND("#"&amp;MID(D7,1,1)&amp;"#","#0#1#2#3#4#5#6#7#8#9#")),IF(ISNUMBER(FIND("#"&amp;MID(D7,2,1)&amp;"#","#0#1#2#3#4#5#6#7#8#9#")),IF(AND(VALUE(LEFT(D7,2))&gt;=1,VALUE(LEFT(D7,2))&lt;=5),VALUE(LEFT(D7,2)),""),IF(AND(VALUE(LEFT(D7,1))&gt;=1,VALUE(LEFT(D7,1))&lt;=5),VALUE(LEFT(D7,1)),"")),""),"")</f>
        <v/>
      </c>
      <c r="S7" s="25">
        <f>IF(AND(Q7=1,E7&lt;&gt;""),SUBSTITUTE(SUBSTITUTE(SUBSTITUTE(SUBSTITUTE(SUBSTITUTE(SUBSTITUTE(SUBSTITUTE(SUBSTITUTE(SUBSTITUTE(SUBSTITUTE(SUBSTITUTE(SUBSTITUTE(LOWER(TRIM(E7)),"á","a"),"é","e"),"í","i"),"ó","o"),"ú","u"),"ü","u"),"ñ","n"),"à","a"),"è","e"),"ì","i"),"ò","o"),"ù","u"),"")</f>
        <v/>
      </c>
      <c r="T7" s="25">
        <f>IF(AND(Q7=1,G7&lt;&gt;""),SUBSTITUTE(SUBSTITUTE(SUBSTITUTE(SUBSTITUTE(SUBSTITUTE(SUBSTITUTE(SUBSTITUTE(SUBSTITUTE(SUBSTITUTE(SUBSTITUTE(SUBSTITUTE(SUBSTITUTE(LOWER(TRIM(G7)),"á","a"),"é","e"),"í","i"),"ó","o"),"ú","u"),"ü","u"),"ñ","n"),"à","a"),"è","e"),"ì","i"),"ò","o"),"ù","u"),"")</f>
        <v/>
      </c>
      <c r="U7" s="25">
        <f>IF(AND(Q7=1,H7&lt;&gt;""),SUBSTITUTE(SUBSTITUTE(SUBSTITUTE(SUBSTITUTE(SUBSTITUTE(SUBSTITUTE(SUBSTITUTE(SUBSTITUTE(SUBSTITUTE(SUBSTITUTE(SUBSTITUTE(SUBSTITUTE(LOWER(TRIM(H7)),"á","a"),"é","e"),"í","i"),"ó","o"),"ú","u"),"ü","u"),"ñ","n"),"à","a"),"è","e"),"ì","i"),"ò","o"),"ù","u"),"")</f>
        <v/>
      </c>
      <c r="V7" s="25">
        <f>IF(AND(Q7=1,L7&lt;&gt;""),SUBSTITUTE(SUBSTITUTE(SUBSTITUTE(SUBSTITUTE(SUBSTITUTE(SUBSTITUTE(SUBSTITUTE(SUBSTITUTE(SUBSTITUTE(SUBSTITUTE(SUBSTITUTE(SUBSTITUTE(LOWER(TRIM(L7)),"á","a"),"é","e"),"í","i"),"ó","o"),"ú","u"),"ü","u"),"ñ","n"),"à","a"),"è","e"),"ì","i"),"ò","o"),"ù","u"),"")</f>
        <v/>
      </c>
      <c r="W7" s="25">
        <f>IF(AND(Q7=1,I7&lt;&gt;""),SUBSTITUTE(SUBSTITUTE(SUBSTITUTE(SUBSTITUTE(SUBSTITUTE(SUBSTITUTE(SUBSTITUTE(SUBSTITUTE(SUBSTITUTE(SUBSTITUTE(SUBSTITUTE(SUBSTITUTE(LOWER(TRIM(I7)),"á","a"),"é","e"),"í","i"),"ó","o"),"ú","u"),"ü","u"),"ñ","n"),"à","a"),"è","e"),"ì","i"),"ò","o"),"ù","u"),"")</f>
        <v/>
      </c>
      <c r="X7" s="25">
        <f>IF(U7="","",IF(OR(U7="si, en la proxima tarea",U7="si, con cambios"),1,0))</f>
        <v/>
      </c>
      <c r="Y7" s="25">
        <f>IF(AND(Q7=1,A7&lt;&gt;""),IF(IFERROR(COUNTIFS(A$3:A7,"="&amp;SUBSTITUTE(SUBSTITUTE(SUBSTITUTE(A7,"~","~~"),"*","~*"),"?","~?"),Q$3:Q7,1),0)=1,MAX(Y$2:Y6)+1,""),"")</f>
        <v/>
      </c>
      <c r="Z7" s="25">
        <f>IF(Y7="","",COUNTIFS($A$3:$A$1002,"="&amp;SUBSTITUTE(SUBSTITUTE(SUBSTITUTE(A7,"~","~~"),"*","~*"),"?","~?"),$Q$3:$Q$1002,1)*10000-Y7)</f>
        <v/>
      </c>
    </row>
    <row r="8">
      <c r="A8">
        <f>IF(A$2=0,"",IFERROR(TRIM(INDEX('Pegar docentes'!$A$1:$BZ$1001,7,A$2)&amp;""),""))</f>
        <v/>
      </c>
      <c r="B8">
        <f>IF(B$2=0,"",IFERROR(TRIM(INDEX('Pegar docentes'!$A$1:$BZ$1001,7,B$2)&amp;""),""))</f>
        <v/>
      </c>
      <c r="C8">
        <f>IF(C$2=0,"",IFERROR(TRIM(INDEX('Pegar docentes'!$A$1:$BZ$1001,7,C$2)&amp;""),""))</f>
        <v/>
      </c>
      <c r="D8">
        <f>IF(D$2=0,"",IFERROR(TRIM(INDEX('Pegar docentes'!$A$1:$BZ$1001,7,D$2)&amp;""),""))</f>
        <v/>
      </c>
      <c r="E8">
        <f>IF(E$2=0,"",IFERROR(TRIM(INDEX('Pegar docentes'!$A$1:$BZ$1001,7,E$2)&amp;""),""))</f>
        <v/>
      </c>
      <c r="F8">
        <f>IF(F$2=0,"",IFERROR(TRIM(INDEX('Pegar docentes'!$A$1:$BZ$1001,7,F$2)&amp;""),""))</f>
        <v/>
      </c>
      <c r="G8">
        <f>IF(G$2=0,"",IFERROR(TRIM(INDEX('Pegar docentes'!$A$1:$BZ$1001,7,G$2)&amp;""),""))</f>
        <v/>
      </c>
      <c r="H8">
        <f>IF(H$2=0,"",IFERROR(TRIM(INDEX('Pegar docentes'!$A$1:$BZ$1001,7,H$2)&amp;""),""))</f>
        <v/>
      </c>
      <c r="I8">
        <f>IF(I$2=0,"",IFERROR(TRIM(INDEX('Pegar docentes'!$A$1:$BZ$1001,7,I$2)&amp;""),""))</f>
        <v/>
      </c>
      <c r="J8">
        <f>IF(J$2=0,"",IFERROR(TRIM(INDEX('Pegar docentes'!$A$1:$BZ$1001,7,J$2)&amp;""),""))</f>
        <v/>
      </c>
      <c r="K8">
        <f>IF(K$2=0,"",IFERROR(TRIM(INDEX('Pegar docentes'!$A$1:$BZ$1001,7,K$2)&amp;""),""))</f>
        <v/>
      </c>
      <c r="L8">
        <f>IF(L$2=0,"",IFERROR(TRIM(INDEX('Pegar docentes'!$A$1:$BZ$1001,7,L$2)&amp;""),""))</f>
        <v/>
      </c>
      <c r="M8">
        <f>IF(M$2=0,"",IFERROR(TRIM(INDEX('Pegar docentes'!$A$1:$BZ$1001,7,M$2)&amp;""),""))</f>
        <v/>
      </c>
      <c r="N8">
        <f>IF(N$2=0,"",IFERROR(TRIM(INDEX('Pegar docentes'!$A$1:$BZ$1001,7,N$2)&amp;""),""))</f>
        <v/>
      </c>
      <c r="O8">
        <f>IF(O$2=0,"",IFERROR(TRIM(INDEX('Pegar docentes'!$A$1:$BZ$1001,7,O$2)&amp;""),""))</f>
        <v/>
      </c>
      <c r="P8">
        <f>IF(P$2=0,"",IFERROR(TRIM(INDEX('Pegar docentes'!$A$1:$BZ$1001,7,P$2)&amp;""),""))</f>
        <v/>
      </c>
      <c r="Q8" s="25">
        <f>IF(OR(D8&lt;&gt;"",H8&lt;&gt;""),1,"")</f>
        <v/>
      </c>
      <c r="R8" s="25">
        <f>IF(Q8=1,IF(ISNUMBER(FIND("#"&amp;MID(D8,1,1)&amp;"#","#0#1#2#3#4#5#6#7#8#9#")),IF(ISNUMBER(FIND("#"&amp;MID(D8,2,1)&amp;"#","#0#1#2#3#4#5#6#7#8#9#")),IF(AND(VALUE(LEFT(D8,2))&gt;=1,VALUE(LEFT(D8,2))&lt;=5),VALUE(LEFT(D8,2)),""),IF(AND(VALUE(LEFT(D8,1))&gt;=1,VALUE(LEFT(D8,1))&lt;=5),VALUE(LEFT(D8,1)),"")),""),"")</f>
        <v/>
      </c>
      <c r="S8" s="25">
        <f>IF(AND(Q8=1,E8&lt;&gt;""),SUBSTITUTE(SUBSTITUTE(SUBSTITUTE(SUBSTITUTE(SUBSTITUTE(SUBSTITUTE(SUBSTITUTE(SUBSTITUTE(SUBSTITUTE(SUBSTITUTE(SUBSTITUTE(SUBSTITUTE(LOWER(TRIM(E8)),"á","a"),"é","e"),"í","i"),"ó","o"),"ú","u"),"ü","u"),"ñ","n"),"à","a"),"è","e"),"ì","i"),"ò","o"),"ù","u"),"")</f>
        <v/>
      </c>
      <c r="T8" s="25">
        <f>IF(AND(Q8=1,G8&lt;&gt;""),SUBSTITUTE(SUBSTITUTE(SUBSTITUTE(SUBSTITUTE(SUBSTITUTE(SUBSTITUTE(SUBSTITUTE(SUBSTITUTE(SUBSTITUTE(SUBSTITUTE(SUBSTITUTE(SUBSTITUTE(LOWER(TRIM(G8)),"á","a"),"é","e"),"í","i"),"ó","o"),"ú","u"),"ü","u"),"ñ","n"),"à","a"),"è","e"),"ì","i"),"ò","o"),"ù","u"),"")</f>
        <v/>
      </c>
      <c r="U8" s="25">
        <f>IF(AND(Q8=1,H8&lt;&gt;""),SUBSTITUTE(SUBSTITUTE(SUBSTITUTE(SUBSTITUTE(SUBSTITUTE(SUBSTITUTE(SUBSTITUTE(SUBSTITUTE(SUBSTITUTE(SUBSTITUTE(SUBSTITUTE(SUBSTITUTE(LOWER(TRIM(H8)),"á","a"),"é","e"),"í","i"),"ó","o"),"ú","u"),"ü","u"),"ñ","n"),"à","a"),"è","e"),"ì","i"),"ò","o"),"ù","u"),"")</f>
        <v/>
      </c>
      <c r="V8" s="25">
        <f>IF(AND(Q8=1,L8&lt;&gt;""),SUBSTITUTE(SUBSTITUTE(SUBSTITUTE(SUBSTITUTE(SUBSTITUTE(SUBSTITUTE(SUBSTITUTE(SUBSTITUTE(SUBSTITUTE(SUBSTITUTE(SUBSTITUTE(SUBSTITUTE(LOWER(TRIM(L8)),"á","a"),"é","e"),"í","i"),"ó","o"),"ú","u"),"ü","u"),"ñ","n"),"à","a"),"è","e"),"ì","i"),"ò","o"),"ù","u"),"")</f>
        <v/>
      </c>
      <c r="W8" s="25">
        <f>IF(AND(Q8=1,I8&lt;&gt;""),SUBSTITUTE(SUBSTITUTE(SUBSTITUTE(SUBSTITUTE(SUBSTITUTE(SUBSTITUTE(SUBSTITUTE(SUBSTITUTE(SUBSTITUTE(SUBSTITUTE(SUBSTITUTE(SUBSTITUTE(LOWER(TRIM(I8)),"á","a"),"é","e"),"í","i"),"ó","o"),"ú","u"),"ü","u"),"ñ","n"),"à","a"),"è","e"),"ì","i"),"ò","o"),"ù","u"),"")</f>
        <v/>
      </c>
      <c r="X8" s="25">
        <f>IF(U8="","",IF(OR(U8="si, en la proxima tarea",U8="si, con cambios"),1,0))</f>
        <v/>
      </c>
      <c r="Y8" s="25">
        <f>IF(AND(Q8=1,A8&lt;&gt;""),IF(IFERROR(COUNTIFS(A$3:A8,"="&amp;SUBSTITUTE(SUBSTITUTE(SUBSTITUTE(A8,"~","~~"),"*","~*"),"?","~?"),Q$3:Q8,1),0)=1,MAX(Y$2:Y7)+1,""),"")</f>
        <v/>
      </c>
      <c r="Z8" s="25">
        <f>IF(Y8="","",COUNTIFS($A$3:$A$1002,"="&amp;SUBSTITUTE(SUBSTITUTE(SUBSTITUTE(A8,"~","~~"),"*","~*"),"?","~?"),$Q$3:$Q$1002,1)*10000-Y8)</f>
        <v/>
      </c>
    </row>
    <row r="9">
      <c r="A9">
        <f>IF(A$2=0,"",IFERROR(TRIM(INDEX('Pegar docentes'!$A$1:$BZ$1001,8,A$2)&amp;""),""))</f>
        <v/>
      </c>
      <c r="B9">
        <f>IF(B$2=0,"",IFERROR(TRIM(INDEX('Pegar docentes'!$A$1:$BZ$1001,8,B$2)&amp;""),""))</f>
        <v/>
      </c>
      <c r="C9">
        <f>IF(C$2=0,"",IFERROR(TRIM(INDEX('Pegar docentes'!$A$1:$BZ$1001,8,C$2)&amp;""),""))</f>
        <v/>
      </c>
      <c r="D9">
        <f>IF(D$2=0,"",IFERROR(TRIM(INDEX('Pegar docentes'!$A$1:$BZ$1001,8,D$2)&amp;""),""))</f>
        <v/>
      </c>
      <c r="E9">
        <f>IF(E$2=0,"",IFERROR(TRIM(INDEX('Pegar docentes'!$A$1:$BZ$1001,8,E$2)&amp;""),""))</f>
        <v/>
      </c>
      <c r="F9">
        <f>IF(F$2=0,"",IFERROR(TRIM(INDEX('Pegar docentes'!$A$1:$BZ$1001,8,F$2)&amp;""),""))</f>
        <v/>
      </c>
      <c r="G9">
        <f>IF(G$2=0,"",IFERROR(TRIM(INDEX('Pegar docentes'!$A$1:$BZ$1001,8,G$2)&amp;""),""))</f>
        <v/>
      </c>
      <c r="H9">
        <f>IF(H$2=0,"",IFERROR(TRIM(INDEX('Pegar docentes'!$A$1:$BZ$1001,8,H$2)&amp;""),""))</f>
        <v/>
      </c>
      <c r="I9">
        <f>IF(I$2=0,"",IFERROR(TRIM(INDEX('Pegar docentes'!$A$1:$BZ$1001,8,I$2)&amp;""),""))</f>
        <v/>
      </c>
      <c r="J9">
        <f>IF(J$2=0,"",IFERROR(TRIM(INDEX('Pegar docentes'!$A$1:$BZ$1001,8,J$2)&amp;""),""))</f>
        <v/>
      </c>
      <c r="K9">
        <f>IF(K$2=0,"",IFERROR(TRIM(INDEX('Pegar docentes'!$A$1:$BZ$1001,8,K$2)&amp;""),""))</f>
        <v/>
      </c>
      <c r="L9">
        <f>IF(L$2=0,"",IFERROR(TRIM(INDEX('Pegar docentes'!$A$1:$BZ$1001,8,L$2)&amp;""),""))</f>
        <v/>
      </c>
      <c r="M9">
        <f>IF(M$2=0,"",IFERROR(TRIM(INDEX('Pegar docentes'!$A$1:$BZ$1001,8,M$2)&amp;""),""))</f>
        <v/>
      </c>
      <c r="N9">
        <f>IF(N$2=0,"",IFERROR(TRIM(INDEX('Pegar docentes'!$A$1:$BZ$1001,8,N$2)&amp;""),""))</f>
        <v/>
      </c>
      <c r="O9">
        <f>IF(O$2=0,"",IFERROR(TRIM(INDEX('Pegar docentes'!$A$1:$BZ$1001,8,O$2)&amp;""),""))</f>
        <v/>
      </c>
      <c r="P9">
        <f>IF(P$2=0,"",IFERROR(TRIM(INDEX('Pegar docentes'!$A$1:$BZ$1001,8,P$2)&amp;""),""))</f>
        <v/>
      </c>
      <c r="Q9" s="25">
        <f>IF(OR(D9&lt;&gt;"",H9&lt;&gt;""),1,"")</f>
        <v/>
      </c>
      <c r="R9" s="25">
        <f>IF(Q9=1,IF(ISNUMBER(FIND("#"&amp;MID(D9,1,1)&amp;"#","#0#1#2#3#4#5#6#7#8#9#")),IF(ISNUMBER(FIND("#"&amp;MID(D9,2,1)&amp;"#","#0#1#2#3#4#5#6#7#8#9#")),IF(AND(VALUE(LEFT(D9,2))&gt;=1,VALUE(LEFT(D9,2))&lt;=5),VALUE(LEFT(D9,2)),""),IF(AND(VALUE(LEFT(D9,1))&gt;=1,VALUE(LEFT(D9,1))&lt;=5),VALUE(LEFT(D9,1)),"")),""),"")</f>
        <v/>
      </c>
      <c r="S9" s="25">
        <f>IF(AND(Q9=1,E9&lt;&gt;""),SUBSTITUTE(SUBSTITUTE(SUBSTITUTE(SUBSTITUTE(SUBSTITUTE(SUBSTITUTE(SUBSTITUTE(SUBSTITUTE(SUBSTITUTE(SUBSTITUTE(SUBSTITUTE(SUBSTITUTE(LOWER(TRIM(E9)),"á","a"),"é","e"),"í","i"),"ó","o"),"ú","u"),"ü","u"),"ñ","n"),"à","a"),"è","e"),"ì","i"),"ò","o"),"ù","u"),"")</f>
        <v/>
      </c>
      <c r="T9" s="25">
        <f>IF(AND(Q9=1,G9&lt;&gt;""),SUBSTITUTE(SUBSTITUTE(SUBSTITUTE(SUBSTITUTE(SUBSTITUTE(SUBSTITUTE(SUBSTITUTE(SUBSTITUTE(SUBSTITUTE(SUBSTITUTE(SUBSTITUTE(SUBSTITUTE(LOWER(TRIM(G9)),"á","a"),"é","e"),"í","i"),"ó","o"),"ú","u"),"ü","u"),"ñ","n"),"à","a"),"è","e"),"ì","i"),"ò","o"),"ù","u"),"")</f>
        <v/>
      </c>
      <c r="U9" s="25">
        <f>IF(AND(Q9=1,H9&lt;&gt;""),SUBSTITUTE(SUBSTITUTE(SUBSTITUTE(SUBSTITUTE(SUBSTITUTE(SUBSTITUTE(SUBSTITUTE(SUBSTITUTE(SUBSTITUTE(SUBSTITUTE(SUBSTITUTE(SUBSTITUTE(LOWER(TRIM(H9)),"á","a"),"é","e"),"í","i"),"ó","o"),"ú","u"),"ü","u"),"ñ","n"),"à","a"),"è","e"),"ì","i"),"ò","o"),"ù","u"),"")</f>
        <v/>
      </c>
      <c r="V9" s="25">
        <f>IF(AND(Q9=1,L9&lt;&gt;""),SUBSTITUTE(SUBSTITUTE(SUBSTITUTE(SUBSTITUTE(SUBSTITUTE(SUBSTITUTE(SUBSTITUTE(SUBSTITUTE(SUBSTITUTE(SUBSTITUTE(SUBSTITUTE(SUBSTITUTE(LOWER(TRIM(L9)),"á","a"),"é","e"),"í","i"),"ó","o"),"ú","u"),"ü","u"),"ñ","n"),"à","a"),"è","e"),"ì","i"),"ò","o"),"ù","u"),"")</f>
        <v/>
      </c>
      <c r="W9" s="25">
        <f>IF(AND(Q9=1,I9&lt;&gt;""),SUBSTITUTE(SUBSTITUTE(SUBSTITUTE(SUBSTITUTE(SUBSTITUTE(SUBSTITUTE(SUBSTITUTE(SUBSTITUTE(SUBSTITUTE(SUBSTITUTE(SUBSTITUTE(SUBSTITUTE(LOWER(TRIM(I9)),"á","a"),"é","e"),"í","i"),"ó","o"),"ú","u"),"ü","u"),"ñ","n"),"à","a"),"è","e"),"ì","i"),"ò","o"),"ù","u"),"")</f>
        <v/>
      </c>
      <c r="X9" s="25">
        <f>IF(U9="","",IF(OR(U9="si, en la proxima tarea",U9="si, con cambios"),1,0))</f>
        <v/>
      </c>
      <c r="Y9" s="25">
        <f>IF(AND(Q9=1,A9&lt;&gt;""),IF(IFERROR(COUNTIFS(A$3:A9,"="&amp;SUBSTITUTE(SUBSTITUTE(SUBSTITUTE(A9,"~","~~"),"*","~*"),"?","~?"),Q$3:Q9,1),0)=1,MAX(Y$2:Y8)+1,""),"")</f>
        <v/>
      </c>
      <c r="Z9" s="25">
        <f>IF(Y9="","",COUNTIFS($A$3:$A$1002,"="&amp;SUBSTITUTE(SUBSTITUTE(SUBSTITUTE(A9,"~","~~"),"*","~*"),"?","~?"),$Q$3:$Q$1002,1)*10000-Y9)</f>
        <v/>
      </c>
    </row>
    <row r="10">
      <c r="A10">
        <f>IF(A$2=0,"",IFERROR(TRIM(INDEX('Pegar docentes'!$A$1:$BZ$1001,9,A$2)&amp;""),""))</f>
        <v/>
      </c>
      <c r="B10">
        <f>IF(B$2=0,"",IFERROR(TRIM(INDEX('Pegar docentes'!$A$1:$BZ$1001,9,B$2)&amp;""),""))</f>
        <v/>
      </c>
      <c r="C10">
        <f>IF(C$2=0,"",IFERROR(TRIM(INDEX('Pegar docentes'!$A$1:$BZ$1001,9,C$2)&amp;""),""))</f>
        <v/>
      </c>
      <c r="D10">
        <f>IF(D$2=0,"",IFERROR(TRIM(INDEX('Pegar docentes'!$A$1:$BZ$1001,9,D$2)&amp;""),""))</f>
        <v/>
      </c>
      <c r="E10">
        <f>IF(E$2=0,"",IFERROR(TRIM(INDEX('Pegar docentes'!$A$1:$BZ$1001,9,E$2)&amp;""),""))</f>
        <v/>
      </c>
      <c r="F10">
        <f>IF(F$2=0,"",IFERROR(TRIM(INDEX('Pegar docentes'!$A$1:$BZ$1001,9,F$2)&amp;""),""))</f>
        <v/>
      </c>
      <c r="G10">
        <f>IF(G$2=0,"",IFERROR(TRIM(INDEX('Pegar docentes'!$A$1:$BZ$1001,9,G$2)&amp;""),""))</f>
        <v/>
      </c>
      <c r="H10">
        <f>IF(H$2=0,"",IFERROR(TRIM(INDEX('Pegar docentes'!$A$1:$BZ$1001,9,H$2)&amp;""),""))</f>
        <v/>
      </c>
      <c r="I10">
        <f>IF(I$2=0,"",IFERROR(TRIM(INDEX('Pegar docentes'!$A$1:$BZ$1001,9,I$2)&amp;""),""))</f>
        <v/>
      </c>
      <c r="J10">
        <f>IF(J$2=0,"",IFERROR(TRIM(INDEX('Pegar docentes'!$A$1:$BZ$1001,9,J$2)&amp;""),""))</f>
        <v/>
      </c>
      <c r="K10">
        <f>IF(K$2=0,"",IFERROR(TRIM(INDEX('Pegar docentes'!$A$1:$BZ$1001,9,K$2)&amp;""),""))</f>
        <v/>
      </c>
      <c r="L10">
        <f>IF(L$2=0,"",IFERROR(TRIM(INDEX('Pegar docentes'!$A$1:$BZ$1001,9,L$2)&amp;""),""))</f>
        <v/>
      </c>
      <c r="M10">
        <f>IF(M$2=0,"",IFERROR(TRIM(INDEX('Pegar docentes'!$A$1:$BZ$1001,9,M$2)&amp;""),""))</f>
        <v/>
      </c>
      <c r="N10">
        <f>IF(N$2=0,"",IFERROR(TRIM(INDEX('Pegar docentes'!$A$1:$BZ$1001,9,N$2)&amp;""),""))</f>
        <v/>
      </c>
      <c r="O10">
        <f>IF(O$2=0,"",IFERROR(TRIM(INDEX('Pegar docentes'!$A$1:$BZ$1001,9,O$2)&amp;""),""))</f>
        <v/>
      </c>
      <c r="P10">
        <f>IF(P$2=0,"",IFERROR(TRIM(INDEX('Pegar docentes'!$A$1:$BZ$1001,9,P$2)&amp;""),""))</f>
        <v/>
      </c>
      <c r="Q10" s="25">
        <f>IF(OR(D10&lt;&gt;"",H10&lt;&gt;""),1,"")</f>
        <v/>
      </c>
      <c r="R10" s="25">
        <f>IF(Q10=1,IF(ISNUMBER(FIND("#"&amp;MID(D10,1,1)&amp;"#","#0#1#2#3#4#5#6#7#8#9#")),IF(ISNUMBER(FIND("#"&amp;MID(D10,2,1)&amp;"#","#0#1#2#3#4#5#6#7#8#9#")),IF(AND(VALUE(LEFT(D10,2))&gt;=1,VALUE(LEFT(D10,2))&lt;=5),VALUE(LEFT(D10,2)),""),IF(AND(VALUE(LEFT(D10,1))&gt;=1,VALUE(LEFT(D10,1))&lt;=5),VALUE(LEFT(D10,1)),"")),""),"")</f>
        <v/>
      </c>
      <c r="S10" s="25">
        <f>IF(AND(Q10=1,E10&lt;&gt;""),SUBSTITUTE(SUBSTITUTE(SUBSTITUTE(SUBSTITUTE(SUBSTITUTE(SUBSTITUTE(SUBSTITUTE(SUBSTITUTE(SUBSTITUTE(SUBSTITUTE(SUBSTITUTE(SUBSTITUTE(LOWER(TRIM(E10)),"á","a"),"é","e"),"í","i"),"ó","o"),"ú","u"),"ü","u"),"ñ","n"),"à","a"),"è","e"),"ì","i"),"ò","o"),"ù","u"),"")</f>
        <v/>
      </c>
      <c r="T10" s="25">
        <f>IF(AND(Q10=1,G10&lt;&gt;""),SUBSTITUTE(SUBSTITUTE(SUBSTITUTE(SUBSTITUTE(SUBSTITUTE(SUBSTITUTE(SUBSTITUTE(SUBSTITUTE(SUBSTITUTE(SUBSTITUTE(SUBSTITUTE(SUBSTITUTE(LOWER(TRIM(G10)),"á","a"),"é","e"),"í","i"),"ó","o"),"ú","u"),"ü","u"),"ñ","n"),"à","a"),"è","e"),"ì","i"),"ò","o"),"ù","u"),"")</f>
        <v/>
      </c>
      <c r="U10" s="25">
        <f>IF(AND(Q10=1,H10&lt;&gt;""),SUBSTITUTE(SUBSTITUTE(SUBSTITUTE(SUBSTITUTE(SUBSTITUTE(SUBSTITUTE(SUBSTITUTE(SUBSTITUTE(SUBSTITUTE(SUBSTITUTE(SUBSTITUTE(SUBSTITUTE(LOWER(TRIM(H10)),"á","a"),"é","e"),"í","i"),"ó","o"),"ú","u"),"ü","u"),"ñ","n"),"à","a"),"è","e"),"ì","i"),"ò","o"),"ù","u"),"")</f>
        <v/>
      </c>
      <c r="V10" s="25">
        <f>IF(AND(Q10=1,L10&lt;&gt;""),SUBSTITUTE(SUBSTITUTE(SUBSTITUTE(SUBSTITUTE(SUBSTITUTE(SUBSTITUTE(SUBSTITUTE(SUBSTITUTE(SUBSTITUTE(SUBSTITUTE(SUBSTITUTE(SUBSTITUTE(LOWER(TRIM(L10)),"á","a"),"é","e"),"í","i"),"ó","o"),"ú","u"),"ü","u"),"ñ","n"),"à","a"),"è","e"),"ì","i"),"ò","o"),"ù","u"),"")</f>
        <v/>
      </c>
      <c r="W10" s="25">
        <f>IF(AND(Q10=1,I10&lt;&gt;""),SUBSTITUTE(SUBSTITUTE(SUBSTITUTE(SUBSTITUTE(SUBSTITUTE(SUBSTITUTE(SUBSTITUTE(SUBSTITUTE(SUBSTITUTE(SUBSTITUTE(SUBSTITUTE(SUBSTITUTE(LOWER(TRIM(I10)),"á","a"),"é","e"),"í","i"),"ó","o"),"ú","u"),"ü","u"),"ñ","n"),"à","a"),"è","e"),"ì","i"),"ò","o"),"ù","u"),"")</f>
        <v/>
      </c>
      <c r="X10" s="25">
        <f>IF(U10="","",IF(OR(U10="si, en la proxima tarea",U10="si, con cambios"),1,0))</f>
        <v/>
      </c>
      <c r="Y10" s="25">
        <f>IF(AND(Q10=1,A10&lt;&gt;""),IF(IFERROR(COUNTIFS(A$3:A10,"="&amp;SUBSTITUTE(SUBSTITUTE(SUBSTITUTE(A10,"~","~~"),"*","~*"),"?","~?"),Q$3:Q10,1),0)=1,MAX(Y$2:Y9)+1,""),"")</f>
        <v/>
      </c>
      <c r="Z10" s="25">
        <f>IF(Y10="","",COUNTIFS($A$3:$A$1002,"="&amp;SUBSTITUTE(SUBSTITUTE(SUBSTITUTE(A10,"~","~~"),"*","~*"),"?","~?"),$Q$3:$Q$1002,1)*10000-Y10)</f>
        <v/>
      </c>
    </row>
    <row r="11">
      <c r="A11">
        <f>IF(A$2=0,"",IFERROR(TRIM(INDEX('Pegar docentes'!$A$1:$BZ$1001,10,A$2)&amp;""),""))</f>
        <v/>
      </c>
      <c r="B11">
        <f>IF(B$2=0,"",IFERROR(TRIM(INDEX('Pegar docentes'!$A$1:$BZ$1001,10,B$2)&amp;""),""))</f>
        <v/>
      </c>
      <c r="C11">
        <f>IF(C$2=0,"",IFERROR(TRIM(INDEX('Pegar docentes'!$A$1:$BZ$1001,10,C$2)&amp;""),""))</f>
        <v/>
      </c>
      <c r="D11">
        <f>IF(D$2=0,"",IFERROR(TRIM(INDEX('Pegar docentes'!$A$1:$BZ$1001,10,D$2)&amp;""),""))</f>
        <v/>
      </c>
      <c r="E11">
        <f>IF(E$2=0,"",IFERROR(TRIM(INDEX('Pegar docentes'!$A$1:$BZ$1001,10,E$2)&amp;""),""))</f>
        <v/>
      </c>
      <c r="F11">
        <f>IF(F$2=0,"",IFERROR(TRIM(INDEX('Pegar docentes'!$A$1:$BZ$1001,10,F$2)&amp;""),""))</f>
        <v/>
      </c>
      <c r="G11">
        <f>IF(G$2=0,"",IFERROR(TRIM(INDEX('Pegar docentes'!$A$1:$BZ$1001,10,G$2)&amp;""),""))</f>
        <v/>
      </c>
      <c r="H11">
        <f>IF(H$2=0,"",IFERROR(TRIM(INDEX('Pegar docentes'!$A$1:$BZ$1001,10,H$2)&amp;""),""))</f>
        <v/>
      </c>
      <c r="I11">
        <f>IF(I$2=0,"",IFERROR(TRIM(INDEX('Pegar docentes'!$A$1:$BZ$1001,10,I$2)&amp;""),""))</f>
        <v/>
      </c>
      <c r="J11">
        <f>IF(J$2=0,"",IFERROR(TRIM(INDEX('Pegar docentes'!$A$1:$BZ$1001,10,J$2)&amp;""),""))</f>
        <v/>
      </c>
      <c r="K11">
        <f>IF(K$2=0,"",IFERROR(TRIM(INDEX('Pegar docentes'!$A$1:$BZ$1001,10,K$2)&amp;""),""))</f>
        <v/>
      </c>
      <c r="L11">
        <f>IF(L$2=0,"",IFERROR(TRIM(INDEX('Pegar docentes'!$A$1:$BZ$1001,10,L$2)&amp;""),""))</f>
        <v/>
      </c>
      <c r="M11">
        <f>IF(M$2=0,"",IFERROR(TRIM(INDEX('Pegar docentes'!$A$1:$BZ$1001,10,M$2)&amp;""),""))</f>
        <v/>
      </c>
      <c r="N11">
        <f>IF(N$2=0,"",IFERROR(TRIM(INDEX('Pegar docentes'!$A$1:$BZ$1001,10,N$2)&amp;""),""))</f>
        <v/>
      </c>
      <c r="O11">
        <f>IF(O$2=0,"",IFERROR(TRIM(INDEX('Pegar docentes'!$A$1:$BZ$1001,10,O$2)&amp;""),""))</f>
        <v/>
      </c>
      <c r="P11">
        <f>IF(P$2=0,"",IFERROR(TRIM(INDEX('Pegar docentes'!$A$1:$BZ$1001,10,P$2)&amp;""),""))</f>
        <v/>
      </c>
      <c r="Q11" s="25">
        <f>IF(OR(D11&lt;&gt;"",H11&lt;&gt;""),1,"")</f>
        <v/>
      </c>
      <c r="R11" s="25">
        <f>IF(Q11=1,IF(ISNUMBER(FIND("#"&amp;MID(D11,1,1)&amp;"#","#0#1#2#3#4#5#6#7#8#9#")),IF(ISNUMBER(FIND("#"&amp;MID(D11,2,1)&amp;"#","#0#1#2#3#4#5#6#7#8#9#")),IF(AND(VALUE(LEFT(D11,2))&gt;=1,VALUE(LEFT(D11,2))&lt;=5),VALUE(LEFT(D11,2)),""),IF(AND(VALUE(LEFT(D11,1))&gt;=1,VALUE(LEFT(D11,1))&lt;=5),VALUE(LEFT(D11,1)),"")),""),"")</f>
        <v/>
      </c>
      <c r="S11" s="25">
        <f>IF(AND(Q11=1,E11&lt;&gt;""),SUBSTITUTE(SUBSTITUTE(SUBSTITUTE(SUBSTITUTE(SUBSTITUTE(SUBSTITUTE(SUBSTITUTE(SUBSTITUTE(SUBSTITUTE(SUBSTITUTE(SUBSTITUTE(SUBSTITUTE(LOWER(TRIM(E11)),"á","a"),"é","e"),"í","i"),"ó","o"),"ú","u"),"ü","u"),"ñ","n"),"à","a"),"è","e"),"ì","i"),"ò","o"),"ù","u"),"")</f>
        <v/>
      </c>
      <c r="T11" s="25">
        <f>IF(AND(Q11=1,G11&lt;&gt;""),SUBSTITUTE(SUBSTITUTE(SUBSTITUTE(SUBSTITUTE(SUBSTITUTE(SUBSTITUTE(SUBSTITUTE(SUBSTITUTE(SUBSTITUTE(SUBSTITUTE(SUBSTITUTE(SUBSTITUTE(LOWER(TRIM(G11)),"á","a"),"é","e"),"í","i"),"ó","o"),"ú","u"),"ü","u"),"ñ","n"),"à","a"),"è","e"),"ì","i"),"ò","o"),"ù","u"),"")</f>
        <v/>
      </c>
      <c r="U11" s="25">
        <f>IF(AND(Q11=1,H11&lt;&gt;""),SUBSTITUTE(SUBSTITUTE(SUBSTITUTE(SUBSTITUTE(SUBSTITUTE(SUBSTITUTE(SUBSTITUTE(SUBSTITUTE(SUBSTITUTE(SUBSTITUTE(SUBSTITUTE(SUBSTITUTE(LOWER(TRIM(H11)),"á","a"),"é","e"),"í","i"),"ó","o"),"ú","u"),"ü","u"),"ñ","n"),"à","a"),"è","e"),"ì","i"),"ò","o"),"ù","u"),"")</f>
        <v/>
      </c>
      <c r="V11" s="25">
        <f>IF(AND(Q11=1,L11&lt;&gt;""),SUBSTITUTE(SUBSTITUTE(SUBSTITUTE(SUBSTITUTE(SUBSTITUTE(SUBSTITUTE(SUBSTITUTE(SUBSTITUTE(SUBSTITUTE(SUBSTITUTE(SUBSTITUTE(SUBSTITUTE(LOWER(TRIM(L11)),"á","a"),"é","e"),"í","i"),"ó","o"),"ú","u"),"ü","u"),"ñ","n"),"à","a"),"è","e"),"ì","i"),"ò","o"),"ù","u"),"")</f>
        <v/>
      </c>
      <c r="W11" s="25">
        <f>IF(AND(Q11=1,I11&lt;&gt;""),SUBSTITUTE(SUBSTITUTE(SUBSTITUTE(SUBSTITUTE(SUBSTITUTE(SUBSTITUTE(SUBSTITUTE(SUBSTITUTE(SUBSTITUTE(SUBSTITUTE(SUBSTITUTE(SUBSTITUTE(LOWER(TRIM(I11)),"á","a"),"é","e"),"í","i"),"ó","o"),"ú","u"),"ü","u"),"ñ","n"),"à","a"),"è","e"),"ì","i"),"ò","o"),"ù","u"),"")</f>
        <v/>
      </c>
      <c r="X11" s="25">
        <f>IF(U11="","",IF(OR(U11="si, en la proxima tarea",U11="si, con cambios"),1,0))</f>
        <v/>
      </c>
      <c r="Y11" s="25">
        <f>IF(AND(Q11=1,A11&lt;&gt;""),IF(IFERROR(COUNTIFS(A$3:A11,"="&amp;SUBSTITUTE(SUBSTITUTE(SUBSTITUTE(A11,"~","~~"),"*","~*"),"?","~?"),Q$3:Q11,1),0)=1,MAX(Y$2:Y10)+1,""),"")</f>
        <v/>
      </c>
      <c r="Z11" s="25">
        <f>IF(Y11="","",COUNTIFS($A$3:$A$1002,"="&amp;SUBSTITUTE(SUBSTITUTE(SUBSTITUTE(A11,"~","~~"),"*","~*"),"?","~?"),$Q$3:$Q$1002,1)*10000-Y11)</f>
        <v/>
      </c>
    </row>
    <row r="12">
      <c r="A12">
        <f>IF(A$2=0,"",IFERROR(TRIM(INDEX('Pegar docentes'!$A$1:$BZ$1001,11,A$2)&amp;""),""))</f>
        <v/>
      </c>
      <c r="B12">
        <f>IF(B$2=0,"",IFERROR(TRIM(INDEX('Pegar docentes'!$A$1:$BZ$1001,11,B$2)&amp;""),""))</f>
        <v/>
      </c>
      <c r="C12">
        <f>IF(C$2=0,"",IFERROR(TRIM(INDEX('Pegar docentes'!$A$1:$BZ$1001,11,C$2)&amp;""),""))</f>
        <v/>
      </c>
      <c r="D12">
        <f>IF(D$2=0,"",IFERROR(TRIM(INDEX('Pegar docentes'!$A$1:$BZ$1001,11,D$2)&amp;""),""))</f>
        <v/>
      </c>
      <c r="E12">
        <f>IF(E$2=0,"",IFERROR(TRIM(INDEX('Pegar docentes'!$A$1:$BZ$1001,11,E$2)&amp;""),""))</f>
        <v/>
      </c>
      <c r="F12">
        <f>IF(F$2=0,"",IFERROR(TRIM(INDEX('Pegar docentes'!$A$1:$BZ$1001,11,F$2)&amp;""),""))</f>
        <v/>
      </c>
      <c r="G12">
        <f>IF(G$2=0,"",IFERROR(TRIM(INDEX('Pegar docentes'!$A$1:$BZ$1001,11,G$2)&amp;""),""))</f>
        <v/>
      </c>
      <c r="H12">
        <f>IF(H$2=0,"",IFERROR(TRIM(INDEX('Pegar docentes'!$A$1:$BZ$1001,11,H$2)&amp;""),""))</f>
        <v/>
      </c>
      <c r="I12">
        <f>IF(I$2=0,"",IFERROR(TRIM(INDEX('Pegar docentes'!$A$1:$BZ$1001,11,I$2)&amp;""),""))</f>
        <v/>
      </c>
      <c r="J12">
        <f>IF(J$2=0,"",IFERROR(TRIM(INDEX('Pegar docentes'!$A$1:$BZ$1001,11,J$2)&amp;""),""))</f>
        <v/>
      </c>
      <c r="K12">
        <f>IF(K$2=0,"",IFERROR(TRIM(INDEX('Pegar docentes'!$A$1:$BZ$1001,11,K$2)&amp;""),""))</f>
        <v/>
      </c>
      <c r="L12">
        <f>IF(L$2=0,"",IFERROR(TRIM(INDEX('Pegar docentes'!$A$1:$BZ$1001,11,L$2)&amp;""),""))</f>
        <v/>
      </c>
      <c r="M12">
        <f>IF(M$2=0,"",IFERROR(TRIM(INDEX('Pegar docentes'!$A$1:$BZ$1001,11,M$2)&amp;""),""))</f>
        <v/>
      </c>
      <c r="N12">
        <f>IF(N$2=0,"",IFERROR(TRIM(INDEX('Pegar docentes'!$A$1:$BZ$1001,11,N$2)&amp;""),""))</f>
        <v/>
      </c>
      <c r="O12">
        <f>IF(O$2=0,"",IFERROR(TRIM(INDEX('Pegar docentes'!$A$1:$BZ$1001,11,O$2)&amp;""),""))</f>
        <v/>
      </c>
      <c r="P12">
        <f>IF(P$2=0,"",IFERROR(TRIM(INDEX('Pegar docentes'!$A$1:$BZ$1001,11,P$2)&amp;""),""))</f>
        <v/>
      </c>
      <c r="Q12" s="25">
        <f>IF(OR(D12&lt;&gt;"",H12&lt;&gt;""),1,"")</f>
        <v/>
      </c>
      <c r="R12" s="25">
        <f>IF(Q12=1,IF(ISNUMBER(FIND("#"&amp;MID(D12,1,1)&amp;"#","#0#1#2#3#4#5#6#7#8#9#")),IF(ISNUMBER(FIND("#"&amp;MID(D12,2,1)&amp;"#","#0#1#2#3#4#5#6#7#8#9#")),IF(AND(VALUE(LEFT(D12,2))&gt;=1,VALUE(LEFT(D12,2))&lt;=5),VALUE(LEFT(D12,2)),""),IF(AND(VALUE(LEFT(D12,1))&gt;=1,VALUE(LEFT(D12,1))&lt;=5),VALUE(LEFT(D12,1)),"")),""),"")</f>
        <v/>
      </c>
      <c r="S12" s="25">
        <f>IF(AND(Q12=1,E12&lt;&gt;""),SUBSTITUTE(SUBSTITUTE(SUBSTITUTE(SUBSTITUTE(SUBSTITUTE(SUBSTITUTE(SUBSTITUTE(SUBSTITUTE(SUBSTITUTE(SUBSTITUTE(SUBSTITUTE(SUBSTITUTE(LOWER(TRIM(E12)),"á","a"),"é","e"),"í","i"),"ó","o"),"ú","u"),"ü","u"),"ñ","n"),"à","a"),"è","e"),"ì","i"),"ò","o"),"ù","u"),"")</f>
        <v/>
      </c>
      <c r="T12" s="25">
        <f>IF(AND(Q12=1,G12&lt;&gt;""),SUBSTITUTE(SUBSTITUTE(SUBSTITUTE(SUBSTITUTE(SUBSTITUTE(SUBSTITUTE(SUBSTITUTE(SUBSTITUTE(SUBSTITUTE(SUBSTITUTE(SUBSTITUTE(SUBSTITUTE(LOWER(TRIM(G12)),"á","a"),"é","e"),"í","i"),"ó","o"),"ú","u"),"ü","u"),"ñ","n"),"à","a"),"è","e"),"ì","i"),"ò","o"),"ù","u"),"")</f>
        <v/>
      </c>
      <c r="U12" s="25">
        <f>IF(AND(Q12=1,H12&lt;&gt;""),SUBSTITUTE(SUBSTITUTE(SUBSTITUTE(SUBSTITUTE(SUBSTITUTE(SUBSTITUTE(SUBSTITUTE(SUBSTITUTE(SUBSTITUTE(SUBSTITUTE(SUBSTITUTE(SUBSTITUTE(LOWER(TRIM(H12)),"á","a"),"é","e"),"í","i"),"ó","o"),"ú","u"),"ü","u"),"ñ","n"),"à","a"),"è","e"),"ì","i"),"ò","o"),"ù","u"),"")</f>
        <v/>
      </c>
      <c r="V12" s="25">
        <f>IF(AND(Q12=1,L12&lt;&gt;""),SUBSTITUTE(SUBSTITUTE(SUBSTITUTE(SUBSTITUTE(SUBSTITUTE(SUBSTITUTE(SUBSTITUTE(SUBSTITUTE(SUBSTITUTE(SUBSTITUTE(SUBSTITUTE(SUBSTITUTE(LOWER(TRIM(L12)),"á","a"),"é","e"),"í","i"),"ó","o"),"ú","u"),"ü","u"),"ñ","n"),"à","a"),"è","e"),"ì","i"),"ò","o"),"ù","u"),"")</f>
        <v/>
      </c>
      <c r="W12" s="25">
        <f>IF(AND(Q12=1,I12&lt;&gt;""),SUBSTITUTE(SUBSTITUTE(SUBSTITUTE(SUBSTITUTE(SUBSTITUTE(SUBSTITUTE(SUBSTITUTE(SUBSTITUTE(SUBSTITUTE(SUBSTITUTE(SUBSTITUTE(SUBSTITUTE(LOWER(TRIM(I12)),"á","a"),"é","e"),"í","i"),"ó","o"),"ú","u"),"ü","u"),"ñ","n"),"à","a"),"è","e"),"ì","i"),"ò","o"),"ù","u"),"")</f>
        <v/>
      </c>
      <c r="X12" s="25">
        <f>IF(U12="","",IF(OR(U12="si, en la proxima tarea",U12="si, con cambios"),1,0))</f>
        <v/>
      </c>
      <c r="Y12" s="25">
        <f>IF(AND(Q12=1,A12&lt;&gt;""),IF(IFERROR(COUNTIFS(A$3:A12,"="&amp;SUBSTITUTE(SUBSTITUTE(SUBSTITUTE(A12,"~","~~"),"*","~*"),"?","~?"),Q$3:Q12,1),0)=1,MAX(Y$2:Y11)+1,""),"")</f>
        <v/>
      </c>
      <c r="Z12" s="25">
        <f>IF(Y12="","",COUNTIFS($A$3:$A$1002,"="&amp;SUBSTITUTE(SUBSTITUTE(SUBSTITUTE(A12,"~","~~"),"*","~*"),"?","~?"),$Q$3:$Q$1002,1)*10000-Y12)</f>
        <v/>
      </c>
    </row>
    <row r="13">
      <c r="A13">
        <f>IF(A$2=0,"",IFERROR(TRIM(INDEX('Pegar docentes'!$A$1:$BZ$1001,12,A$2)&amp;""),""))</f>
        <v/>
      </c>
      <c r="B13">
        <f>IF(B$2=0,"",IFERROR(TRIM(INDEX('Pegar docentes'!$A$1:$BZ$1001,12,B$2)&amp;""),""))</f>
        <v/>
      </c>
      <c r="C13">
        <f>IF(C$2=0,"",IFERROR(TRIM(INDEX('Pegar docentes'!$A$1:$BZ$1001,12,C$2)&amp;""),""))</f>
        <v/>
      </c>
      <c r="D13">
        <f>IF(D$2=0,"",IFERROR(TRIM(INDEX('Pegar docentes'!$A$1:$BZ$1001,12,D$2)&amp;""),""))</f>
        <v/>
      </c>
      <c r="E13">
        <f>IF(E$2=0,"",IFERROR(TRIM(INDEX('Pegar docentes'!$A$1:$BZ$1001,12,E$2)&amp;""),""))</f>
        <v/>
      </c>
      <c r="F13">
        <f>IF(F$2=0,"",IFERROR(TRIM(INDEX('Pegar docentes'!$A$1:$BZ$1001,12,F$2)&amp;""),""))</f>
        <v/>
      </c>
      <c r="G13">
        <f>IF(G$2=0,"",IFERROR(TRIM(INDEX('Pegar docentes'!$A$1:$BZ$1001,12,G$2)&amp;""),""))</f>
        <v/>
      </c>
      <c r="H13">
        <f>IF(H$2=0,"",IFERROR(TRIM(INDEX('Pegar docentes'!$A$1:$BZ$1001,12,H$2)&amp;""),""))</f>
        <v/>
      </c>
      <c r="I13">
        <f>IF(I$2=0,"",IFERROR(TRIM(INDEX('Pegar docentes'!$A$1:$BZ$1001,12,I$2)&amp;""),""))</f>
        <v/>
      </c>
      <c r="J13">
        <f>IF(J$2=0,"",IFERROR(TRIM(INDEX('Pegar docentes'!$A$1:$BZ$1001,12,J$2)&amp;""),""))</f>
        <v/>
      </c>
      <c r="K13">
        <f>IF(K$2=0,"",IFERROR(TRIM(INDEX('Pegar docentes'!$A$1:$BZ$1001,12,K$2)&amp;""),""))</f>
        <v/>
      </c>
      <c r="L13">
        <f>IF(L$2=0,"",IFERROR(TRIM(INDEX('Pegar docentes'!$A$1:$BZ$1001,12,L$2)&amp;""),""))</f>
        <v/>
      </c>
      <c r="M13">
        <f>IF(M$2=0,"",IFERROR(TRIM(INDEX('Pegar docentes'!$A$1:$BZ$1001,12,M$2)&amp;""),""))</f>
        <v/>
      </c>
      <c r="N13">
        <f>IF(N$2=0,"",IFERROR(TRIM(INDEX('Pegar docentes'!$A$1:$BZ$1001,12,N$2)&amp;""),""))</f>
        <v/>
      </c>
      <c r="O13">
        <f>IF(O$2=0,"",IFERROR(TRIM(INDEX('Pegar docentes'!$A$1:$BZ$1001,12,O$2)&amp;""),""))</f>
        <v/>
      </c>
      <c r="P13">
        <f>IF(P$2=0,"",IFERROR(TRIM(INDEX('Pegar docentes'!$A$1:$BZ$1001,12,P$2)&amp;""),""))</f>
        <v/>
      </c>
      <c r="Q13" s="25">
        <f>IF(OR(D13&lt;&gt;"",H13&lt;&gt;""),1,"")</f>
        <v/>
      </c>
      <c r="R13" s="25">
        <f>IF(Q13=1,IF(ISNUMBER(FIND("#"&amp;MID(D13,1,1)&amp;"#","#0#1#2#3#4#5#6#7#8#9#")),IF(ISNUMBER(FIND("#"&amp;MID(D13,2,1)&amp;"#","#0#1#2#3#4#5#6#7#8#9#")),IF(AND(VALUE(LEFT(D13,2))&gt;=1,VALUE(LEFT(D13,2))&lt;=5),VALUE(LEFT(D13,2)),""),IF(AND(VALUE(LEFT(D13,1))&gt;=1,VALUE(LEFT(D13,1))&lt;=5),VALUE(LEFT(D13,1)),"")),""),"")</f>
        <v/>
      </c>
      <c r="S13" s="25">
        <f>IF(AND(Q13=1,E13&lt;&gt;""),SUBSTITUTE(SUBSTITUTE(SUBSTITUTE(SUBSTITUTE(SUBSTITUTE(SUBSTITUTE(SUBSTITUTE(SUBSTITUTE(SUBSTITUTE(SUBSTITUTE(SUBSTITUTE(SUBSTITUTE(LOWER(TRIM(E13)),"á","a"),"é","e"),"í","i"),"ó","o"),"ú","u"),"ü","u"),"ñ","n"),"à","a"),"è","e"),"ì","i"),"ò","o"),"ù","u"),"")</f>
        <v/>
      </c>
      <c r="T13" s="25">
        <f>IF(AND(Q13=1,G13&lt;&gt;""),SUBSTITUTE(SUBSTITUTE(SUBSTITUTE(SUBSTITUTE(SUBSTITUTE(SUBSTITUTE(SUBSTITUTE(SUBSTITUTE(SUBSTITUTE(SUBSTITUTE(SUBSTITUTE(SUBSTITUTE(LOWER(TRIM(G13)),"á","a"),"é","e"),"í","i"),"ó","o"),"ú","u"),"ü","u"),"ñ","n"),"à","a"),"è","e"),"ì","i"),"ò","o"),"ù","u"),"")</f>
        <v/>
      </c>
      <c r="U13" s="25">
        <f>IF(AND(Q13=1,H13&lt;&gt;""),SUBSTITUTE(SUBSTITUTE(SUBSTITUTE(SUBSTITUTE(SUBSTITUTE(SUBSTITUTE(SUBSTITUTE(SUBSTITUTE(SUBSTITUTE(SUBSTITUTE(SUBSTITUTE(SUBSTITUTE(LOWER(TRIM(H13)),"á","a"),"é","e"),"í","i"),"ó","o"),"ú","u"),"ü","u"),"ñ","n"),"à","a"),"è","e"),"ì","i"),"ò","o"),"ù","u"),"")</f>
        <v/>
      </c>
      <c r="V13" s="25">
        <f>IF(AND(Q13=1,L13&lt;&gt;""),SUBSTITUTE(SUBSTITUTE(SUBSTITUTE(SUBSTITUTE(SUBSTITUTE(SUBSTITUTE(SUBSTITUTE(SUBSTITUTE(SUBSTITUTE(SUBSTITUTE(SUBSTITUTE(SUBSTITUTE(LOWER(TRIM(L13)),"á","a"),"é","e"),"í","i"),"ó","o"),"ú","u"),"ü","u"),"ñ","n"),"à","a"),"è","e"),"ì","i"),"ò","o"),"ù","u"),"")</f>
        <v/>
      </c>
      <c r="W13" s="25">
        <f>IF(AND(Q13=1,I13&lt;&gt;""),SUBSTITUTE(SUBSTITUTE(SUBSTITUTE(SUBSTITUTE(SUBSTITUTE(SUBSTITUTE(SUBSTITUTE(SUBSTITUTE(SUBSTITUTE(SUBSTITUTE(SUBSTITUTE(SUBSTITUTE(LOWER(TRIM(I13)),"á","a"),"é","e"),"í","i"),"ó","o"),"ú","u"),"ü","u"),"ñ","n"),"à","a"),"è","e"),"ì","i"),"ò","o"),"ù","u"),"")</f>
        <v/>
      </c>
      <c r="X13" s="25">
        <f>IF(U13="","",IF(OR(U13="si, en la proxima tarea",U13="si, con cambios"),1,0))</f>
        <v/>
      </c>
      <c r="Y13" s="25">
        <f>IF(AND(Q13=1,A13&lt;&gt;""),IF(IFERROR(COUNTIFS(A$3:A13,"="&amp;SUBSTITUTE(SUBSTITUTE(SUBSTITUTE(A13,"~","~~"),"*","~*"),"?","~?"),Q$3:Q13,1),0)=1,MAX(Y$2:Y12)+1,""),"")</f>
        <v/>
      </c>
      <c r="Z13" s="25">
        <f>IF(Y13="","",COUNTIFS($A$3:$A$1002,"="&amp;SUBSTITUTE(SUBSTITUTE(SUBSTITUTE(A13,"~","~~"),"*","~*"),"?","~?"),$Q$3:$Q$1002,1)*10000-Y13)</f>
        <v/>
      </c>
    </row>
    <row r="14">
      <c r="A14">
        <f>IF(A$2=0,"",IFERROR(TRIM(INDEX('Pegar docentes'!$A$1:$BZ$1001,13,A$2)&amp;""),""))</f>
        <v/>
      </c>
      <c r="B14">
        <f>IF(B$2=0,"",IFERROR(TRIM(INDEX('Pegar docentes'!$A$1:$BZ$1001,13,B$2)&amp;""),""))</f>
        <v/>
      </c>
      <c r="C14">
        <f>IF(C$2=0,"",IFERROR(TRIM(INDEX('Pegar docentes'!$A$1:$BZ$1001,13,C$2)&amp;""),""))</f>
        <v/>
      </c>
      <c r="D14">
        <f>IF(D$2=0,"",IFERROR(TRIM(INDEX('Pegar docentes'!$A$1:$BZ$1001,13,D$2)&amp;""),""))</f>
        <v/>
      </c>
      <c r="E14">
        <f>IF(E$2=0,"",IFERROR(TRIM(INDEX('Pegar docentes'!$A$1:$BZ$1001,13,E$2)&amp;""),""))</f>
        <v/>
      </c>
      <c r="F14">
        <f>IF(F$2=0,"",IFERROR(TRIM(INDEX('Pegar docentes'!$A$1:$BZ$1001,13,F$2)&amp;""),""))</f>
        <v/>
      </c>
      <c r="G14">
        <f>IF(G$2=0,"",IFERROR(TRIM(INDEX('Pegar docentes'!$A$1:$BZ$1001,13,G$2)&amp;""),""))</f>
        <v/>
      </c>
      <c r="H14">
        <f>IF(H$2=0,"",IFERROR(TRIM(INDEX('Pegar docentes'!$A$1:$BZ$1001,13,H$2)&amp;""),""))</f>
        <v/>
      </c>
      <c r="I14">
        <f>IF(I$2=0,"",IFERROR(TRIM(INDEX('Pegar docentes'!$A$1:$BZ$1001,13,I$2)&amp;""),""))</f>
        <v/>
      </c>
      <c r="J14">
        <f>IF(J$2=0,"",IFERROR(TRIM(INDEX('Pegar docentes'!$A$1:$BZ$1001,13,J$2)&amp;""),""))</f>
        <v/>
      </c>
      <c r="K14">
        <f>IF(K$2=0,"",IFERROR(TRIM(INDEX('Pegar docentes'!$A$1:$BZ$1001,13,K$2)&amp;""),""))</f>
        <v/>
      </c>
      <c r="L14">
        <f>IF(L$2=0,"",IFERROR(TRIM(INDEX('Pegar docentes'!$A$1:$BZ$1001,13,L$2)&amp;""),""))</f>
        <v/>
      </c>
      <c r="M14">
        <f>IF(M$2=0,"",IFERROR(TRIM(INDEX('Pegar docentes'!$A$1:$BZ$1001,13,M$2)&amp;""),""))</f>
        <v/>
      </c>
      <c r="N14">
        <f>IF(N$2=0,"",IFERROR(TRIM(INDEX('Pegar docentes'!$A$1:$BZ$1001,13,N$2)&amp;""),""))</f>
        <v/>
      </c>
      <c r="O14">
        <f>IF(O$2=0,"",IFERROR(TRIM(INDEX('Pegar docentes'!$A$1:$BZ$1001,13,O$2)&amp;""),""))</f>
        <v/>
      </c>
      <c r="P14">
        <f>IF(P$2=0,"",IFERROR(TRIM(INDEX('Pegar docentes'!$A$1:$BZ$1001,13,P$2)&amp;""),""))</f>
        <v/>
      </c>
      <c r="Q14" s="25">
        <f>IF(OR(D14&lt;&gt;"",H14&lt;&gt;""),1,"")</f>
        <v/>
      </c>
      <c r="R14" s="25">
        <f>IF(Q14=1,IF(ISNUMBER(FIND("#"&amp;MID(D14,1,1)&amp;"#","#0#1#2#3#4#5#6#7#8#9#")),IF(ISNUMBER(FIND("#"&amp;MID(D14,2,1)&amp;"#","#0#1#2#3#4#5#6#7#8#9#")),IF(AND(VALUE(LEFT(D14,2))&gt;=1,VALUE(LEFT(D14,2))&lt;=5),VALUE(LEFT(D14,2)),""),IF(AND(VALUE(LEFT(D14,1))&gt;=1,VALUE(LEFT(D14,1))&lt;=5),VALUE(LEFT(D14,1)),"")),""),"")</f>
        <v/>
      </c>
      <c r="S14" s="25">
        <f>IF(AND(Q14=1,E14&lt;&gt;""),SUBSTITUTE(SUBSTITUTE(SUBSTITUTE(SUBSTITUTE(SUBSTITUTE(SUBSTITUTE(SUBSTITUTE(SUBSTITUTE(SUBSTITUTE(SUBSTITUTE(SUBSTITUTE(SUBSTITUTE(LOWER(TRIM(E14)),"á","a"),"é","e"),"í","i"),"ó","o"),"ú","u"),"ü","u"),"ñ","n"),"à","a"),"è","e"),"ì","i"),"ò","o"),"ù","u"),"")</f>
        <v/>
      </c>
      <c r="T14" s="25">
        <f>IF(AND(Q14=1,G14&lt;&gt;""),SUBSTITUTE(SUBSTITUTE(SUBSTITUTE(SUBSTITUTE(SUBSTITUTE(SUBSTITUTE(SUBSTITUTE(SUBSTITUTE(SUBSTITUTE(SUBSTITUTE(SUBSTITUTE(SUBSTITUTE(LOWER(TRIM(G14)),"á","a"),"é","e"),"í","i"),"ó","o"),"ú","u"),"ü","u"),"ñ","n"),"à","a"),"è","e"),"ì","i"),"ò","o"),"ù","u"),"")</f>
        <v/>
      </c>
      <c r="U14" s="25">
        <f>IF(AND(Q14=1,H14&lt;&gt;""),SUBSTITUTE(SUBSTITUTE(SUBSTITUTE(SUBSTITUTE(SUBSTITUTE(SUBSTITUTE(SUBSTITUTE(SUBSTITUTE(SUBSTITUTE(SUBSTITUTE(SUBSTITUTE(SUBSTITUTE(LOWER(TRIM(H14)),"á","a"),"é","e"),"í","i"),"ó","o"),"ú","u"),"ü","u"),"ñ","n"),"à","a"),"è","e"),"ì","i"),"ò","o"),"ù","u"),"")</f>
        <v/>
      </c>
      <c r="V14" s="25">
        <f>IF(AND(Q14=1,L14&lt;&gt;""),SUBSTITUTE(SUBSTITUTE(SUBSTITUTE(SUBSTITUTE(SUBSTITUTE(SUBSTITUTE(SUBSTITUTE(SUBSTITUTE(SUBSTITUTE(SUBSTITUTE(SUBSTITUTE(SUBSTITUTE(LOWER(TRIM(L14)),"á","a"),"é","e"),"í","i"),"ó","o"),"ú","u"),"ü","u"),"ñ","n"),"à","a"),"è","e"),"ì","i"),"ò","o"),"ù","u"),"")</f>
        <v/>
      </c>
      <c r="W14" s="25">
        <f>IF(AND(Q14=1,I14&lt;&gt;""),SUBSTITUTE(SUBSTITUTE(SUBSTITUTE(SUBSTITUTE(SUBSTITUTE(SUBSTITUTE(SUBSTITUTE(SUBSTITUTE(SUBSTITUTE(SUBSTITUTE(SUBSTITUTE(SUBSTITUTE(LOWER(TRIM(I14)),"á","a"),"é","e"),"í","i"),"ó","o"),"ú","u"),"ü","u"),"ñ","n"),"à","a"),"è","e"),"ì","i"),"ò","o"),"ù","u"),"")</f>
        <v/>
      </c>
      <c r="X14" s="25">
        <f>IF(U14="","",IF(OR(U14="si, en la proxima tarea",U14="si, con cambios"),1,0))</f>
        <v/>
      </c>
      <c r="Y14" s="25">
        <f>IF(AND(Q14=1,A14&lt;&gt;""),IF(IFERROR(COUNTIFS(A$3:A14,"="&amp;SUBSTITUTE(SUBSTITUTE(SUBSTITUTE(A14,"~","~~"),"*","~*"),"?","~?"),Q$3:Q14,1),0)=1,MAX(Y$2:Y13)+1,""),"")</f>
        <v/>
      </c>
      <c r="Z14" s="25">
        <f>IF(Y14="","",COUNTIFS($A$3:$A$1002,"="&amp;SUBSTITUTE(SUBSTITUTE(SUBSTITUTE(A14,"~","~~"),"*","~*"),"?","~?"),$Q$3:$Q$1002,1)*10000-Y14)</f>
        <v/>
      </c>
    </row>
    <row r="15">
      <c r="A15">
        <f>IF(A$2=0,"",IFERROR(TRIM(INDEX('Pegar docentes'!$A$1:$BZ$1001,14,A$2)&amp;""),""))</f>
        <v/>
      </c>
      <c r="B15">
        <f>IF(B$2=0,"",IFERROR(TRIM(INDEX('Pegar docentes'!$A$1:$BZ$1001,14,B$2)&amp;""),""))</f>
        <v/>
      </c>
      <c r="C15">
        <f>IF(C$2=0,"",IFERROR(TRIM(INDEX('Pegar docentes'!$A$1:$BZ$1001,14,C$2)&amp;""),""))</f>
        <v/>
      </c>
      <c r="D15">
        <f>IF(D$2=0,"",IFERROR(TRIM(INDEX('Pegar docentes'!$A$1:$BZ$1001,14,D$2)&amp;""),""))</f>
        <v/>
      </c>
      <c r="E15">
        <f>IF(E$2=0,"",IFERROR(TRIM(INDEX('Pegar docentes'!$A$1:$BZ$1001,14,E$2)&amp;""),""))</f>
        <v/>
      </c>
      <c r="F15">
        <f>IF(F$2=0,"",IFERROR(TRIM(INDEX('Pegar docentes'!$A$1:$BZ$1001,14,F$2)&amp;""),""))</f>
        <v/>
      </c>
      <c r="G15">
        <f>IF(G$2=0,"",IFERROR(TRIM(INDEX('Pegar docentes'!$A$1:$BZ$1001,14,G$2)&amp;""),""))</f>
        <v/>
      </c>
      <c r="H15">
        <f>IF(H$2=0,"",IFERROR(TRIM(INDEX('Pegar docentes'!$A$1:$BZ$1001,14,H$2)&amp;""),""))</f>
        <v/>
      </c>
      <c r="I15">
        <f>IF(I$2=0,"",IFERROR(TRIM(INDEX('Pegar docentes'!$A$1:$BZ$1001,14,I$2)&amp;""),""))</f>
        <v/>
      </c>
      <c r="J15">
        <f>IF(J$2=0,"",IFERROR(TRIM(INDEX('Pegar docentes'!$A$1:$BZ$1001,14,J$2)&amp;""),""))</f>
        <v/>
      </c>
      <c r="K15">
        <f>IF(K$2=0,"",IFERROR(TRIM(INDEX('Pegar docentes'!$A$1:$BZ$1001,14,K$2)&amp;""),""))</f>
        <v/>
      </c>
      <c r="L15">
        <f>IF(L$2=0,"",IFERROR(TRIM(INDEX('Pegar docentes'!$A$1:$BZ$1001,14,L$2)&amp;""),""))</f>
        <v/>
      </c>
      <c r="M15">
        <f>IF(M$2=0,"",IFERROR(TRIM(INDEX('Pegar docentes'!$A$1:$BZ$1001,14,M$2)&amp;""),""))</f>
        <v/>
      </c>
      <c r="N15">
        <f>IF(N$2=0,"",IFERROR(TRIM(INDEX('Pegar docentes'!$A$1:$BZ$1001,14,N$2)&amp;""),""))</f>
        <v/>
      </c>
      <c r="O15">
        <f>IF(O$2=0,"",IFERROR(TRIM(INDEX('Pegar docentes'!$A$1:$BZ$1001,14,O$2)&amp;""),""))</f>
        <v/>
      </c>
      <c r="P15">
        <f>IF(P$2=0,"",IFERROR(TRIM(INDEX('Pegar docentes'!$A$1:$BZ$1001,14,P$2)&amp;""),""))</f>
        <v/>
      </c>
      <c r="Q15" s="25">
        <f>IF(OR(D15&lt;&gt;"",H15&lt;&gt;""),1,"")</f>
        <v/>
      </c>
      <c r="R15" s="25">
        <f>IF(Q15=1,IF(ISNUMBER(FIND("#"&amp;MID(D15,1,1)&amp;"#","#0#1#2#3#4#5#6#7#8#9#")),IF(ISNUMBER(FIND("#"&amp;MID(D15,2,1)&amp;"#","#0#1#2#3#4#5#6#7#8#9#")),IF(AND(VALUE(LEFT(D15,2))&gt;=1,VALUE(LEFT(D15,2))&lt;=5),VALUE(LEFT(D15,2)),""),IF(AND(VALUE(LEFT(D15,1))&gt;=1,VALUE(LEFT(D15,1))&lt;=5),VALUE(LEFT(D15,1)),"")),""),"")</f>
        <v/>
      </c>
      <c r="S15" s="25">
        <f>IF(AND(Q15=1,E15&lt;&gt;""),SUBSTITUTE(SUBSTITUTE(SUBSTITUTE(SUBSTITUTE(SUBSTITUTE(SUBSTITUTE(SUBSTITUTE(SUBSTITUTE(SUBSTITUTE(SUBSTITUTE(SUBSTITUTE(SUBSTITUTE(LOWER(TRIM(E15)),"á","a"),"é","e"),"í","i"),"ó","o"),"ú","u"),"ü","u"),"ñ","n"),"à","a"),"è","e"),"ì","i"),"ò","o"),"ù","u"),"")</f>
        <v/>
      </c>
      <c r="T15" s="25">
        <f>IF(AND(Q15=1,G15&lt;&gt;""),SUBSTITUTE(SUBSTITUTE(SUBSTITUTE(SUBSTITUTE(SUBSTITUTE(SUBSTITUTE(SUBSTITUTE(SUBSTITUTE(SUBSTITUTE(SUBSTITUTE(SUBSTITUTE(SUBSTITUTE(LOWER(TRIM(G15)),"á","a"),"é","e"),"í","i"),"ó","o"),"ú","u"),"ü","u"),"ñ","n"),"à","a"),"è","e"),"ì","i"),"ò","o"),"ù","u"),"")</f>
        <v/>
      </c>
      <c r="U15" s="25">
        <f>IF(AND(Q15=1,H15&lt;&gt;""),SUBSTITUTE(SUBSTITUTE(SUBSTITUTE(SUBSTITUTE(SUBSTITUTE(SUBSTITUTE(SUBSTITUTE(SUBSTITUTE(SUBSTITUTE(SUBSTITUTE(SUBSTITUTE(SUBSTITUTE(LOWER(TRIM(H15)),"á","a"),"é","e"),"í","i"),"ó","o"),"ú","u"),"ü","u"),"ñ","n"),"à","a"),"è","e"),"ì","i"),"ò","o"),"ù","u"),"")</f>
        <v/>
      </c>
      <c r="V15" s="25">
        <f>IF(AND(Q15=1,L15&lt;&gt;""),SUBSTITUTE(SUBSTITUTE(SUBSTITUTE(SUBSTITUTE(SUBSTITUTE(SUBSTITUTE(SUBSTITUTE(SUBSTITUTE(SUBSTITUTE(SUBSTITUTE(SUBSTITUTE(SUBSTITUTE(LOWER(TRIM(L15)),"á","a"),"é","e"),"í","i"),"ó","o"),"ú","u"),"ü","u"),"ñ","n"),"à","a"),"è","e"),"ì","i"),"ò","o"),"ù","u"),"")</f>
        <v/>
      </c>
      <c r="W15" s="25">
        <f>IF(AND(Q15=1,I15&lt;&gt;""),SUBSTITUTE(SUBSTITUTE(SUBSTITUTE(SUBSTITUTE(SUBSTITUTE(SUBSTITUTE(SUBSTITUTE(SUBSTITUTE(SUBSTITUTE(SUBSTITUTE(SUBSTITUTE(SUBSTITUTE(LOWER(TRIM(I15)),"á","a"),"é","e"),"í","i"),"ó","o"),"ú","u"),"ü","u"),"ñ","n"),"à","a"),"è","e"),"ì","i"),"ò","o"),"ù","u"),"")</f>
        <v/>
      </c>
      <c r="X15" s="25">
        <f>IF(U15="","",IF(OR(U15="si, en la proxima tarea",U15="si, con cambios"),1,0))</f>
        <v/>
      </c>
      <c r="Y15" s="25">
        <f>IF(AND(Q15=1,A15&lt;&gt;""),IF(IFERROR(COUNTIFS(A$3:A15,"="&amp;SUBSTITUTE(SUBSTITUTE(SUBSTITUTE(A15,"~","~~"),"*","~*"),"?","~?"),Q$3:Q15,1),0)=1,MAX(Y$2:Y14)+1,""),"")</f>
        <v/>
      </c>
      <c r="Z15" s="25">
        <f>IF(Y15="","",COUNTIFS($A$3:$A$1002,"="&amp;SUBSTITUTE(SUBSTITUTE(SUBSTITUTE(A15,"~","~~"),"*","~*"),"?","~?"),$Q$3:$Q$1002,1)*10000-Y15)</f>
        <v/>
      </c>
    </row>
    <row r="16">
      <c r="A16">
        <f>IF(A$2=0,"",IFERROR(TRIM(INDEX('Pegar docentes'!$A$1:$BZ$1001,15,A$2)&amp;""),""))</f>
        <v/>
      </c>
      <c r="B16">
        <f>IF(B$2=0,"",IFERROR(TRIM(INDEX('Pegar docentes'!$A$1:$BZ$1001,15,B$2)&amp;""),""))</f>
        <v/>
      </c>
      <c r="C16">
        <f>IF(C$2=0,"",IFERROR(TRIM(INDEX('Pegar docentes'!$A$1:$BZ$1001,15,C$2)&amp;""),""))</f>
        <v/>
      </c>
      <c r="D16">
        <f>IF(D$2=0,"",IFERROR(TRIM(INDEX('Pegar docentes'!$A$1:$BZ$1001,15,D$2)&amp;""),""))</f>
        <v/>
      </c>
      <c r="E16">
        <f>IF(E$2=0,"",IFERROR(TRIM(INDEX('Pegar docentes'!$A$1:$BZ$1001,15,E$2)&amp;""),""))</f>
        <v/>
      </c>
      <c r="F16">
        <f>IF(F$2=0,"",IFERROR(TRIM(INDEX('Pegar docentes'!$A$1:$BZ$1001,15,F$2)&amp;""),""))</f>
        <v/>
      </c>
      <c r="G16">
        <f>IF(G$2=0,"",IFERROR(TRIM(INDEX('Pegar docentes'!$A$1:$BZ$1001,15,G$2)&amp;""),""))</f>
        <v/>
      </c>
      <c r="H16">
        <f>IF(H$2=0,"",IFERROR(TRIM(INDEX('Pegar docentes'!$A$1:$BZ$1001,15,H$2)&amp;""),""))</f>
        <v/>
      </c>
      <c r="I16">
        <f>IF(I$2=0,"",IFERROR(TRIM(INDEX('Pegar docentes'!$A$1:$BZ$1001,15,I$2)&amp;""),""))</f>
        <v/>
      </c>
      <c r="J16">
        <f>IF(J$2=0,"",IFERROR(TRIM(INDEX('Pegar docentes'!$A$1:$BZ$1001,15,J$2)&amp;""),""))</f>
        <v/>
      </c>
      <c r="K16">
        <f>IF(K$2=0,"",IFERROR(TRIM(INDEX('Pegar docentes'!$A$1:$BZ$1001,15,K$2)&amp;""),""))</f>
        <v/>
      </c>
      <c r="L16">
        <f>IF(L$2=0,"",IFERROR(TRIM(INDEX('Pegar docentes'!$A$1:$BZ$1001,15,L$2)&amp;""),""))</f>
        <v/>
      </c>
      <c r="M16">
        <f>IF(M$2=0,"",IFERROR(TRIM(INDEX('Pegar docentes'!$A$1:$BZ$1001,15,M$2)&amp;""),""))</f>
        <v/>
      </c>
      <c r="N16">
        <f>IF(N$2=0,"",IFERROR(TRIM(INDEX('Pegar docentes'!$A$1:$BZ$1001,15,N$2)&amp;""),""))</f>
        <v/>
      </c>
      <c r="O16">
        <f>IF(O$2=0,"",IFERROR(TRIM(INDEX('Pegar docentes'!$A$1:$BZ$1001,15,O$2)&amp;""),""))</f>
        <v/>
      </c>
      <c r="P16">
        <f>IF(P$2=0,"",IFERROR(TRIM(INDEX('Pegar docentes'!$A$1:$BZ$1001,15,P$2)&amp;""),""))</f>
        <v/>
      </c>
      <c r="Q16" s="25">
        <f>IF(OR(D16&lt;&gt;"",H16&lt;&gt;""),1,"")</f>
        <v/>
      </c>
      <c r="R16" s="25">
        <f>IF(Q16=1,IF(ISNUMBER(FIND("#"&amp;MID(D16,1,1)&amp;"#","#0#1#2#3#4#5#6#7#8#9#")),IF(ISNUMBER(FIND("#"&amp;MID(D16,2,1)&amp;"#","#0#1#2#3#4#5#6#7#8#9#")),IF(AND(VALUE(LEFT(D16,2))&gt;=1,VALUE(LEFT(D16,2))&lt;=5),VALUE(LEFT(D16,2)),""),IF(AND(VALUE(LEFT(D16,1))&gt;=1,VALUE(LEFT(D16,1))&lt;=5),VALUE(LEFT(D16,1)),"")),""),"")</f>
        <v/>
      </c>
      <c r="S16" s="25">
        <f>IF(AND(Q16=1,E16&lt;&gt;""),SUBSTITUTE(SUBSTITUTE(SUBSTITUTE(SUBSTITUTE(SUBSTITUTE(SUBSTITUTE(SUBSTITUTE(SUBSTITUTE(SUBSTITUTE(SUBSTITUTE(SUBSTITUTE(SUBSTITUTE(LOWER(TRIM(E16)),"á","a"),"é","e"),"í","i"),"ó","o"),"ú","u"),"ü","u"),"ñ","n"),"à","a"),"è","e"),"ì","i"),"ò","o"),"ù","u"),"")</f>
        <v/>
      </c>
      <c r="T16" s="25">
        <f>IF(AND(Q16=1,G16&lt;&gt;""),SUBSTITUTE(SUBSTITUTE(SUBSTITUTE(SUBSTITUTE(SUBSTITUTE(SUBSTITUTE(SUBSTITUTE(SUBSTITUTE(SUBSTITUTE(SUBSTITUTE(SUBSTITUTE(SUBSTITUTE(LOWER(TRIM(G16)),"á","a"),"é","e"),"í","i"),"ó","o"),"ú","u"),"ü","u"),"ñ","n"),"à","a"),"è","e"),"ì","i"),"ò","o"),"ù","u"),"")</f>
        <v/>
      </c>
      <c r="U16" s="25">
        <f>IF(AND(Q16=1,H16&lt;&gt;""),SUBSTITUTE(SUBSTITUTE(SUBSTITUTE(SUBSTITUTE(SUBSTITUTE(SUBSTITUTE(SUBSTITUTE(SUBSTITUTE(SUBSTITUTE(SUBSTITUTE(SUBSTITUTE(SUBSTITUTE(LOWER(TRIM(H16)),"á","a"),"é","e"),"í","i"),"ó","o"),"ú","u"),"ü","u"),"ñ","n"),"à","a"),"è","e"),"ì","i"),"ò","o"),"ù","u"),"")</f>
        <v/>
      </c>
      <c r="V16" s="25">
        <f>IF(AND(Q16=1,L16&lt;&gt;""),SUBSTITUTE(SUBSTITUTE(SUBSTITUTE(SUBSTITUTE(SUBSTITUTE(SUBSTITUTE(SUBSTITUTE(SUBSTITUTE(SUBSTITUTE(SUBSTITUTE(SUBSTITUTE(SUBSTITUTE(LOWER(TRIM(L16)),"á","a"),"é","e"),"í","i"),"ó","o"),"ú","u"),"ü","u"),"ñ","n"),"à","a"),"è","e"),"ì","i"),"ò","o"),"ù","u"),"")</f>
        <v/>
      </c>
      <c r="W16" s="25">
        <f>IF(AND(Q16=1,I16&lt;&gt;""),SUBSTITUTE(SUBSTITUTE(SUBSTITUTE(SUBSTITUTE(SUBSTITUTE(SUBSTITUTE(SUBSTITUTE(SUBSTITUTE(SUBSTITUTE(SUBSTITUTE(SUBSTITUTE(SUBSTITUTE(LOWER(TRIM(I16)),"á","a"),"é","e"),"í","i"),"ó","o"),"ú","u"),"ü","u"),"ñ","n"),"à","a"),"è","e"),"ì","i"),"ò","o"),"ù","u"),"")</f>
        <v/>
      </c>
      <c r="X16" s="25">
        <f>IF(U16="","",IF(OR(U16="si, en la proxima tarea",U16="si, con cambios"),1,0))</f>
        <v/>
      </c>
      <c r="Y16" s="25">
        <f>IF(AND(Q16=1,A16&lt;&gt;""),IF(IFERROR(COUNTIFS(A$3:A16,"="&amp;SUBSTITUTE(SUBSTITUTE(SUBSTITUTE(A16,"~","~~"),"*","~*"),"?","~?"),Q$3:Q16,1),0)=1,MAX(Y$2:Y15)+1,""),"")</f>
        <v/>
      </c>
      <c r="Z16" s="25">
        <f>IF(Y16="","",COUNTIFS($A$3:$A$1002,"="&amp;SUBSTITUTE(SUBSTITUTE(SUBSTITUTE(A16,"~","~~"),"*","~*"),"?","~?"),$Q$3:$Q$1002,1)*10000-Y16)</f>
        <v/>
      </c>
    </row>
    <row r="17">
      <c r="A17">
        <f>IF(A$2=0,"",IFERROR(TRIM(INDEX('Pegar docentes'!$A$1:$BZ$1001,16,A$2)&amp;""),""))</f>
        <v/>
      </c>
      <c r="B17">
        <f>IF(B$2=0,"",IFERROR(TRIM(INDEX('Pegar docentes'!$A$1:$BZ$1001,16,B$2)&amp;""),""))</f>
        <v/>
      </c>
      <c r="C17">
        <f>IF(C$2=0,"",IFERROR(TRIM(INDEX('Pegar docentes'!$A$1:$BZ$1001,16,C$2)&amp;""),""))</f>
        <v/>
      </c>
      <c r="D17">
        <f>IF(D$2=0,"",IFERROR(TRIM(INDEX('Pegar docentes'!$A$1:$BZ$1001,16,D$2)&amp;""),""))</f>
        <v/>
      </c>
      <c r="E17">
        <f>IF(E$2=0,"",IFERROR(TRIM(INDEX('Pegar docentes'!$A$1:$BZ$1001,16,E$2)&amp;""),""))</f>
        <v/>
      </c>
      <c r="F17">
        <f>IF(F$2=0,"",IFERROR(TRIM(INDEX('Pegar docentes'!$A$1:$BZ$1001,16,F$2)&amp;""),""))</f>
        <v/>
      </c>
      <c r="G17">
        <f>IF(G$2=0,"",IFERROR(TRIM(INDEX('Pegar docentes'!$A$1:$BZ$1001,16,G$2)&amp;""),""))</f>
        <v/>
      </c>
      <c r="H17">
        <f>IF(H$2=0,"",IFERROR(TRIM(INDEX('Pegar docentes'!$A$1:$BZ$1001,16,H$2)&amp;""),""))</f>
        <v/>
      </c>
      <c r="I17">
        <f>IF(I$2=0,"",IFERROR(TRIM(INDEX('Pegar docentes'!$A$1:$BZ$1001,16,I$2)&amp;""),""))</f>
        <v/>
      </c>
      <c r="J17">
        <f>IF(J$2=0,"",IFERROR(TRIM(INDEX('Pegar docentes'!$A$1:$BZ$1001,16,J$2)&amp;""),""))</f>
        <v/>
      </c>
      <c r="K17">
        <f>IF(K$2=0,"",IFERROR(TRIM(INDEX('Pegar docentes'!$A$1:$BZ$1001,16,K$2)&amp;""),""))</f>
        <v/>
      </c>
      <c r="L17">
        <f>IF(L$2=0,"",IFERROR(TRIM(INDEX('Pegar docentes'!$A$1:$BZ$1001,16,L$2)&amp;""),""))</f>
        <v/>
      </c>
      <c r="M17">
        <f>IF(M$2=0,"",IFERROR(TRIM(INDEX('Pegar docentes'!$A$1:$BZ$1001,16,M$2)&amp;""),""))</f>
        <v/>
      </c>
      <c r="N17">
        <f>IF(N$2=0,"",IFERROR(TRIM(INDEX('Pegar docentes'!$A$1:$BZ$1001,16,N$2)&amp;""),""))</f>
        <v/>
      </c>
      <c r="O17">
        <f>IF(O$2=0,"",IFERROR(TRIM(INDEX('Pegar docentes'!$A$1:$BZ$1001,16,O$2)&amp;""),""))</f>
        <v/>
      </c>
      <c r="P17">
        <f>IF(P$2=0,"",IFERROR(TRIM(INDEX('Pegar docentes'!$A$1:$BZ$1001,16,P$2)&amp;""),""))</f>
        <v/>
      </c>
      <c r="Q17" s="25">
        <f>IF(OR(D17&lt;&gt;"",H17&lt;&gt;""),1,"")</f>
        <v/>
      </c>
      <c r="R17" s="25">
        <f>IF(Q17=1,IF(ISNUMBER(FIND("#"&amp;MID(D17,1,1)&amp;"#","#0#1#2#3#4#5#6#7#8#9#")),IF(ISNUMBER(FIND("#"&amp;MID(D17,2,1)&amp;"#","#0#1#2#3#4#5#6#7#8#9#")),IF(AND(VALUE(LEFT(D17,2))&gt;=1,VALUE(LEFT(D17,2))&lt;=5),VALUE(LEFT(D17,2)),""),IF(AND(VALUE(LEFT(D17,1))&gt;=1,VALUE(LEFT(D17,1))&lt;=5),VALUE(LEFT(D17,1)),"")),""),"")</f>
        <v/>
      </c>
      <c r="S17" s="25">
        <f>IF(AND(Q17=1,E17&lt;&gt;""),SUBSTITUTE(SUBSTITUTE(SUBSTITUTE(SUBSTITUTE(SUBSTITUTE(SUBSTITUTE(SUBSTITUTE(SUBSTITUTE(SUBSTITUTE(SUBSTITUTE(SUBSTITUTE(SUBSTITUTE(LOWER(TRIM(E17)),"á","a"),"é","e"),"í","i"),"ó","o"),"ú","u"),"ü","u"),"ñ","n"),"à","a"),"è","e"),"ì","i"),"ò","o"),"ù","u"),"")</f>
        <v/>
      </c>
      <c r="T17" s="25">
        <f>IF(AND(Q17=1,G17&lt;&gt;""),SUBSTITUTE(SUBSTITUTE(SUBSTITUTE(SUBSTITUTE(SUBSTITUTE(SUBSTITUTE(SUBSTITUTE(SUBSTITUTE(SUBSTITUTE(SUBSTITUTE(SUBSTITUTE(SUBSTITUTE(LOWER(TRIM(G17)),"á","a"),"é","e"),"í","i"),"ó","o"),"ú","u"),"ü","u"),"ñ","n"),"à","a"),"è","e"),"ì","i"),"ò","o"),"ù","u"),"")</f>
        <v/>
      </c>
      <c r="U17" s="25">
        <f>IF(AND(Q17=1,H17&lt;&gt;""),SUBSTITUTE(SUBSTITUTE(SUBSTITUTE(SUBSTITUTE(SUBSTITUTE(SUBSTITUTE(SUBSTITUTE(SUBSTITUTE(SUBSTITUTE(SUBSTITUTE(SUBSTITUTE(SUBSTITUTE(LOWER(TRIM(H17)),"á","a"),"é","e"),"í","i"),"ó","o"),"ú","u"),"ü","u"),"ñ","n"),"à","a"),"è","e"),"ì","i"),"ò","o"),"ù","u"),"")</f>
        <v/>
      </c>
      <c r="V17" s="25">
        <f>IF(AND(Q17=1,L17&lt;&gt;""),SUBSTITUTE(SUBSTITUTE(SUBSTITUTE(SUBSTITUTE(SUBSTITUTE(SUBSTITUTE(SUBSTITUTE(SUBSTITUTE(SUBSTITUTE(SUBSTITUTE(SUBSTITUTE(SUBSTITUTE(LOWER(TRIM(L17)),"á","a"),"é","e"),"í","i"),"ó","o"),"ú","u"),"ü","u"),"ñ","n"),"à","a"),"è","e"),"ì","i"),"ò","o"),"ù","u"),"")</f>
        <v/>
      </c>
      <c r="W17" s="25">
        <f>IF(AND(Q17=1,I17&lt;&gt;""),SUBSTITUTE(SUBSTITUTE(SUBSTITUTE(SUBSTITUTE(SUBSTITUTE(SUBSTITUTE(SUBSTITUTE(SUBSTITUTE(SUBSTITUTE(SUBSTITUTE(SUBSTITUTE(SUBSTITUTE(LOWER(TRIM(I17)),"á","a"),"é","e"),"í","i"),"ó","o"),"ú","u"),"ü","u"),"ñ","n"),"à","a"),"è","e"),"ì","i"),"ò","o"),"ù","u"),"")</f>
        <v/>
      </c>
      <c r="X17" s="25">
        <f>IF(U17="","",IF(OR(U17="si, en la proxima tarea",U17="si, con cambios"),1,0))</f>
        <v/>
      </c>
      <c r="Y17" s="25">
        <f>IF(AND(Q17=1,A17&lt;&gt;""),IF(IFERROR(COUNTIFS(A$3:A17,"="&amp;SUBSTITUTE(SUBSTITUTE(SUBSTITUTE(A17,"~","~~"),"*","~*"),"?","~?"),Q$3:Q17,1),0)=1,MAX(Y$2:Y16)+1,""),"")</f>
        <v/>
      </c>
      <c r="Z17" s="25">
        <f>IF(Y17="","",COUNTIFS($A$3:$A$1002,"="&amp;SUBSTITUTE(SUBSTITUTE(SUBSTITUTE(A17,"~","~~"),"*","~*"),"?","~?"),$Q$3:$Q$1002,1)*10000-Y17)</f>
        <v/>
      </c>
    </row>
    <row r="18">
      <c r="A18">
        <f>IF(A$2=0,"",IFERROR(TRIM(INDEX('Pegar docentes'!$A$1:$BZ$1001,17,A$2)&amp;""),""))</f>
        <v/>
      </c>
      <c r="B18">
        <f>IF(B$2=0,"",IFERROR(TRIM(INDEX('Pegar docentes'!$A$1:$BZ$1001,17,B$2)&amp;""),""))</f>
        <v/>
      </c>
      <c r="C18">
        <f>IF(C$2=0,"",IFERROR(TRIM(INDEX('Pegar docentes'!$A$1:$BZ$1001,17,C$2)&amp;""),""))</f>
        <v/>
      </c>
      <c r="D18">
        <f>IF(D$2=0,"",IFERROR(TRIM(INDEX('Pegar docentes'!$A$1:$BZ$1001,17,D$2)&amp;""),""))</f>
        <v/>
      </c>
      <c r="E18">
        <f>IF(E$2=0,"",IFERROR(TRIM(INDEX('Pegar docentes'!$A$1:$BZ$1001,17,E$2)&amp;""),""))</f>
        <v/>
      </c>
      <c r="F18">
        <f>IF(F$2=0,"",IFERROR(TRIM(INDEX('Pegar docentes'!$A$1:$BZ$1001,17,F$2)&amp;""),""))</f>
        <v/>
      </c>
      <c r="G18">
        <f>IF(G$2=0,"",IFERROR(TRIM(INDEX('Pegar docentes'!$A$1:$BZ$1001,17,G$2)&amp;""),""))</f>
        <v/>
      </c>
      <c r="H18">
        <f>IF(H$2=0,"",IFERROR(TRIM(INDEX('Pegar docentes'!$A$1:$BZ$1001,17,H$2)&amp;""),""))</f>
        <v/>
      </c>
      <c r="I18">
        <f>IF(I$2=0,"",IFERROR(TRIM(INDEX('Pegar docentes'!$A$1:$BZ$1001,17,I$2)&amp;""),""))</f>
        <v/>
      </c>
      <c r="J18">
        <f>IF(J$2=0,"",IFERROR(TRIM(INDEX('Pegar docentes'!$A$1:$BZ$1001,17,J$2)&amp;""),""))</f>
        <v/>
      </c>
      <c r="K18">
        <f>IF(K$2=0,"",IFERROR(TRIM(INDEX('Pegar docentes'!$A$1:$BZ$1001,17,K$2)&amp;""),""))</f>
        <v/>
      </c>
      <c r="L18">
        <f>IF(L$2=0,"",IFERROR(TRIM(INDEX('Pegar docentes'!$A$1:$BZ$1001,17,L$2)&amp;""),""))</f>
        <v/>
      </c>
      <c r="M18">
        <f>IF(M$2=0,"",IFERROR(TRIM(INDEX('Pegar docentes'!$A$1:$BZ$1001,17,M$2)&amp;""),""))</f>
        <v/>
      </c>
      <c r="N18">
        <f>IF(N$2=0,"",IFERROR(TRIM(INDEX('Pegar docentes'!$A$1:$BZ$1001,17,N$2)&amp;""),""))</f>
        <v/>
      </c>
      <c r="O18">
        <f>IF(O$2=0,"",IFERROR(TRIM(INDEX('Pegar docentes'!$A$1:$BZ$1001,17,O$2)&amp;""),""))</f>
        <v/>
      </c>
      <c r="P18">
        <f>IF(P$2=0,"",IFERROR(TRIM(INDEX('Pegar docentes'!$A$1:$BZ$1001,17,P$2)&amp;""),""))</f>
        <v/>
      </c>
      <c r="Q18" s="25">
        <f>IF(OR(D18&lt;&gt;"",H18&lt;&gt;""),1,"")</f>
        <v/>
      </c>
      <c r="R18" s="25">
        <f>IF(Q18=1,IF(ISNUMBER(FIND("#"&amp;MID(D18,1,1)&amp;"#","#0#1#2#3#4#5#6#7#8#9#")),IF(ISNUMBER(FIND("#"&amp;MID(D18,2,1)&amp;"#","#0#1#2#3#4#5#6#7#8#9#")),IF(AND(VALUE(LEFT(D18,2))&gt;=1,VALUE(LEFT(D18,2))&lt;=5),VALUE(LEFT(D18,2)),""),IF(AND(VALUE(LEFT(D18,1))&gt;=1,VALUE(LEFT(D18,1))&lt;=5),VALUE(LEFT(D18,1)),"")),""),"")</f>
        <v/>
      </c>
      <c r="S18" s="25">
        <f>IF(AND(Q18=1,E18&lt;&gt;""),SUBSTITUTE(SUBSTITUTE(SUBSTITUTE(SUBSTITUTE(SUBSTITUTE(SUBSTITUTE(SUBSTITUTE(SUBSTITUTE(SUBSTITUTE(SUBSTITUTE(SUBSTITUTE(SUBSTITUTE(LOWER(TRIM(E18)),"á","a"),"é","e"),"í","i"),"ó","o"),"ú","u"),"ü","u"),"ñ","n"),"à","a"),"è","e"),"ì","i"),"ò","o"),"ù","u"),"")</f>
        <v/>
      </c>
      <c r="T18" s="25">
        <f>IF(AND(Q18=1,G18&lt;&gt;""),SUBSTITUTE(SUBSTITUTE(SUBSTITUTE(SUBSTITUTE(SUBSTITUTE(SUBSTITUTE(SUBSTITUTE(SUBSTITUTE(SUBSTITUTE(SUBSTITUTE(SUBSTITUTE(SUBSTITUTE(LOWER(TRIM(G18)),"á","a"),"é","e"),"í","i"),"ó","o"),"ú","u"),"ü","u"),"ñ","n"),"à","a"),"è","e"),"ì","i"),"ò","o"),"ù","u"),"")</f>
        <v/>
      </c>
      <c r="U18" s="25">
        <f>IF(AND(Q18=1,H18&lt;&gt;""),SUBSTITUTE(SUBSTITUTE(SUBSTITUTE(SUBSTITUTE(SUBSTITUTE(SUBSTITUTE(SUBSTITUTE(SUBSTITUTE(SUBSTITUTE(SUBSTITUTE(SUBSTITUTE(SUBSTITUTE(LOWER(TRIM(H18)),"á","a"),"é","e"),"í","i"),"ó","o"),"ú","u"),"ü","u"),"ñ","n"),"à","a"),"è","e"),"ì","i"),"ò","o"),"ù","u"),"")</f>
        <v/>
      </c>
      <c r="V18" s="25">
        <f>IF(AND(Q18=1,L18&lt;&gt;""),SUBSTITUTE(SUBSTITUTE(SUBSTITUTE(SUBSTITUTE(SUBSTITUTE(SUBSTITUTE(SUBSTITUTE(SUBSTITUTE(SUBSTITUTE(SUBSTITUTE(SUBSTITUTE(SUBSTITUTE(LOWER(TRIM(L18)),"á","a"),"é","e"),"í","i"),"ó","o"),"ú","u"),"ü","u"),"ñ","n"),"à","a"),"è","e"),"ì","i"),"ò","o"),"ù","u"),"")</f>
        <v/>
      </c>
      <c r="W18" s="25">
        <f>IF(AND(Q18=1,I18&lt;&gt;""),SUBSTITUTE(SUBSTITUTE(SUBSTITUTE(SUBSTITUTE(SUBSTITUTE(SUBSTITUTE(SUBSTITUTE(SUBSTITUTE(SUBSTITUTE(SUBSTITUTE(SUBSTITUTE(SUBSTITUTE(LOWER(TRIM(I18)),"á","a"),"é","e"),"í","i"),"ó","o"),"ú","u"),"ü","u"),"ñ","n"),"à","a"),"è","e"),"ì","i"),"ò","o"),"ù","u"),"")</f>
        <v/>
      </c>
      <c r="X18" s="25">
        <f>IF(U18="","",IF(OR(U18="si, en la proxima tarea",U18="si, con cambios"),1,0))</f>
        <v/>
      </c>
      <c r="Y18" s="25">
        <f>IF(AND(Q18=1,A18&lt;&gt;""),IF(IFERROR(COUNTIFS(A$3:A18,"="&amp;SUBSTITUTE(SUBSTITUTE(SUBSTITUTE(A18,"~","~~"),"*","~*"),"?","~?"),Q$3:Q18,1),0)=1,MAX(Y$2:Y17)+1,""),"")</f>
        <v/>
      </c>
      <c r="Z18" s="25">
        <f>IF(Y18="","",COUNTIFS($A$3:$A$1002,"="&amp;SUBSTITUTE(SUBSTITUTE(SUBSTITUTE(A18,"~","~~"),"*","~*"),"?","~?"),$Q$3:$Q$1002,1)*10000-Y18)</f>
        <v/>
      </c>
    </row>
    <row r="19">
      <c r="A19">
        <f>IF(A$2=0,"",IFERROR(TRIM(INDEX('Pegar docentes'!$A$1:$BZ$1001,18,A$2)&amp;""),""))</f>
        <v/>
      </c>
      <c r="B19">
        <f>IF(B$2=0,"",IFERROR(TRIM(INDEX('Pegar docentes'!$A$1:$BZ$1001,18,B$2)&amp;""),""))</f>
        <v/>
      </c>
      <c r="C19">
        <f>IF(C$2=0,"",IFERROR(TRIM(INDEX('Pegar docentes'!$A$1:$BZ$1001,18,C$2)&amp;""),""))</f>
        <v/>
      </c>
      <c r="D19">
        <f>IF(D$2=0,"",IFERROR(TRIM(INDEX('Pegar docentes'!$A$1:$BZ$1001,18,D$2)&amp;""),""))</f>
        <v/>
      </c>
      <c r="E19">
        <f>IF(E$2=0,"",IFERROR(TRIM(INDEX('Pegar docentes'!$A$1:$BZ$1001,18,E$2)&amp;""),""))</f>
        <v/>
      </c>
      <c r="F19">
        <f>IF(F$2=0,"",IFERROR(TRIM(INDEX('Pegar docentes'!$A$1:$BZ$1001,18,F$2)&amp;""),""))</f>
        <v/>
      </c>
      <c r="G19">
        <f>IF(G$2=0,"",IFERROR(TRIM(INDEX('Pegar docentes'!$A$1:$BZ$1001,18,G$2)&amp;""),""))</f>
        <v/>
      </c>
      <c r="H19">
        <f>IF(H$2=0,"",IFERROR(TRIM(INDEX('Pegar docentes'!$A$1:$BZ$1001,18,H$2)&amp;""),""))</f>
        <v/>
      </c>
      <c r="I19">
        <f>IF(I$2=0,"",IFERROR(TRIM(INDEX('Pegar docentes'!$A$1:$BZ$1001,18,I$2)&amp;""),""))</f>
        <v/>
      </c>
      <c r="J19">
        <f>IF(J$2=0,"",IFERROR(TRIM(INDEX('Pegar docentes'!$A$1:$BZ$1001,18,J$2)&amp;""),""))</f>
        <v/>
      </c>
      <c r="K19">
        <f>IF(K$2=0,"",IFERROR(TRIM(INDEX('Pegar docentes'!$A$1:$BZ$1001,18,K$2)&amp;""),""))</f>
        <v/>
      </c>
      <c r="L19">
        <f>IF(L$2=0,"",IFERROR(TRIM(INDEX('Pegar docentes'!$A$1:$BZ$1001,18,L$2)&amp;""),""))</f>
        <v/>
      </c>
      <c r="M19">
        <f>IF(M$2=0,"",IFERROR(TRIM(INDEX('Pegar docentes'!$A$1:$BZ$1001,18,M$2)&amp;""),""))</f>
        <v/>
      </c>
      <c r="N19">
        <f>IF(N$2=0,"",IFERROR(TRIM(INDEX('Pegar docentes'!$A$1:$BZ$1001,18,N$2)&amp;""),""))</f>
        <v/>
      </c>
      <c r="O19">
        <f>IF(O$2=0,"",IFERROR(TRIM(INDEX('Pegar docentes'!$A$1:$BZ$1001,18,O$2)&amp;""),""))</f>
        <v/>
      </c>
      <c r="P19">
        <f>IF(P$2=0,"",IFERROR(TRIM(INDEX('Pegar docentes'!$A$1:$BZ$1001,18,P$2)&amp;""),""))</f>
        <v/>
      </c>
      <c r="Q19" s="25">
        <f>IF(OR(D19&lt;&gt;"",H19&lt;&gt;""),1,"")</f>
        <v/>
      </c>
      <c r="R19" s="25">
        <f>IF(Q19=1,IF(ISNUMBER(FIND("#"&amp;MID(D19,1,1)&amp;"#","#0#1#2#3#4#5#6#7#8#9#")),IF(ISNUMBER(FIND("#"&amp;MID(D19,2,1)&amp;"#","#0#1#2#3#4#5#6#7#8#9#")),IF(AND(VALUE(LEFT(D19,2))&gt;=1,VALUE(LEFT(D19,2))&lt;=5),VALUE(LEFT(D19,2)),""),IF(AND(VALUE(LEFT(D19,1))&gt;=1,VALUE(LEFT(D19,1))&lt;=5),VALUE(LEFT(D19,1)),"")),""),"")</f>
        <v/>
      </c>
      <c r="S19" s="25">
        <f>IF(AND(Q19=1,E19&lt;&gt;""),SUBSTITUTE(SUBSTITUTE(SUBSTITUTE(SUBSTITUTE(SUBSTITUTE(SUBSTITUTE(SUBSTITUTE(SUBSTITUTE(SUBSTITUTE(SUBSTITUTE(SUBSTITUTE(SUBSTITUTE(LOWER(TRIM(E19)),"á","a"),"é","e"),"í","i"),"ó","o"),"ú","u"),"ü","u"),"ñ","n"),"à","a"),"è","e"),"ì","i"),"ò","o"),"ù","u"),"")</f>
        <v/>
      </c>
      <c r="T19" s="25">
        <f>IF(AND(Q19=1,G19&lt;&gt;""),SUBSTITUTE(SUBSTITUTE(SUBSTITUTE(SUBSTITUTE(SUBSTITUTE(SUBSTITUTE(SUBSTITUTE(SUBSTITUTE(SUBSTITUTE(SUBSTITUTE(SUBSTITUTE(SUBSTITUTE(LOWER(TRIM(G19)),"á","a"),"é","e"),"í","i"),"ó","o"),"ú","u"),"ü","u"),"ñ","n"),"à","a"),"è","e"),"ì","i"),"ò","o"),"ù","u"),"")</f>
        <v/>
      </c>
      <c r="U19" s="25">
        <f>IF(AND(Q19=1,H19&lt;&gt;""),SUBSTITUTE(SUBSTITUTE(SUBSTITUTE(SUBSTITUTE(SUBSTITUTE(SUBSTITUTE(SUBSTITUTE(SUBSTITUTE(SUBSTITUTE(SUBSTITUTE(SUBSTITUTE(SUBSTITUTE(LOWER(TRIM(H19)),"á","a"),"é","e"),"í","i"),"ó","o"),"ú","u"),"ü","u"),"ñ","n"),"à","a"),"è","e"),"ì","i"),"ò","o"),"ù","u"),"")</f>
        <v/>
      </c>
      <c r="V19" s="25">
        <f>IF(AND(Q19=1,L19&lt;&gt;""),SUBSTITUTE(SUBSTITUTE(SUBSTITUTE(SUBSTITUTE(SUBSTITUTE(SUBSTITUTE(SUBSTITUTE(SUBSTITUTE(SUBSTITUTE(SUBSTITUTE(SUBSTITUTE(SUBSTITUTE(LOWER(TRIM(L19)),"á","a"),"é","e"),"í","i"),"ó","o"),"ú","u"),"ü","u"),"ñ","n"),"à","a"),"è","e"),"ì","i"),"ò","o"),"ù","u"),"")</f>
        <v/>
      </c>
      <c r="W19" s="25">
        <f>IF(AND(Q19=1,I19&lt;&gt;""),SUBSTITUTE(SUBSTITUTE(SUBSTITUTE(SUBSTITUTE(SUBSTITUTE(SUBSTITUTE(SUBSTITUTE(SUBSTITUTE(SUBSTITUTE(SUBSTITUTE(SUBSTITUTE(SUBSTITUTE(LOWER(TRIM(I19)),"á","a"),"é","e"),"í","i"),"ó","o"),"ú","u"),"ü","u"),"ñ","n"),"à","a"),"è","e"),"ì","i"),"ò","o"),"ù","u"),"")</f>
        <v/>
      </c>
      <c r="X19" s="25">
        <f>IF(U19="","",IF(OR(U19="si, en la proxima tarea",U19="si, con cambios"),1,0))</f>
        <v/>
      </c>
      <c r="Y19" s="25">
        <f>IF(AND(Q19=1,A19&lt;&gt;""),IF(IFERROR(COUNTIFS(A$3:A19,"="&amp;SUBSTITUTE(SUBSTITUTE(SUBSTITUTE(A19,"~","~~"),"*","~*"),"?","~?"),Q$3:Q19,1),0)=1,MAX(Y$2:Y18)+1,""),"")</f>
        <v/>
      </c>
      <c r="Z19" s="25">
        <f>IF(Y19="","",COUNTIFS($A$3:$A$1002,"="&amp;SUBSTITUTE(SUBSTITUTE(SUBSTITUTE(A19,"~","~~"),"*","~*"),"?","~?"),$Q$3:$Q$1002,1)*10000-Y19)</f>
        <v/>
      </c>
    </row>
    <row r="20">
      <c r="A20">
        <f>IF(A$2=0,"",IFERROR(TRIM(INDEX('Pegar docentes'!$A$1:$BZ$1001,19,A$2)&amp;""),""))</f>
        <v/>
      </c>
      <c r="B20">
        <f>IF(B$2=0,"",IFERROR(TRIM(INDEX('Pegar docentes'!$A$1:$BZ$1001,19,B$2)&amp;""),""))</f>
        <v/>
      </c>
      <c r="C20">
        <f>IF(C$2=0,"",IFERROR(TRIM(INDEX('Pegar docentes'!$A$1:$BZ$1001,19,C$2)&amp;""),""))</f>
        <v/>
      </c>
      <c r="D20">
        <f>IF(D$2=0,"",IFERROR(TRIM(INDEX('Pegar docentes'!$A$1:$BZ$1001,19,D$2)&amp;""),""))</f>
        <v/>
      </c>
      <c r="E20">
        <f>IF(E$2=0,"",IFERROR(TRIM(INDEX('Pegar docentes'!$A$1:$BZ$1001,19,E$2)&amp;""),""))</f>
        <v/>
      </c>
      <c r="F20">
        <f>IF(F$2=0,"",IFERROR(TRIM(INDEX('Pegar docentes'!$A$1:$BZ$1001,19,F$2)&amp;""),""))</f>
        <v/>
      </c>
      <c r="G20">
        <f>IF(G$2=0,"",IFERROR(TRIM(INDEX('Pegar docentes'!$A$1:$BZ$1001,19,G$2)&amp;""),""))</f>
        <v/>
      </c>
      <c r="H20">
        <f>IF(H$2=0,"",IFERROR(TRIM(INDEX('Pegar docentes'!$A$1:$BZ$1001,19,H$2)&amp;""),""))</f>
        <v/>
      </c>
      <c r="I20">
        <f>IF(I$2=0,"",IFERROR(TRIM(INDEX('Pegar docentes'!$A$1:$BZ$1001,19,I$2)&amp;""),""))</f>
        <v/>
      </c>
      <c r="J20">
        <f>IF(J$2=0,"",IFERROR(TRIM(INDEX('Pegar docentes'!$A$1:$BZ$1001,19,J$2)&amp;""),""))</f>
        <v/>
      </c>
      <c r="K20">
        <f>IF(K$2=0,"",IFERROR(TRIM(INDEX('Pegar docentes'!$A$1:$BZ$1001,19,K$2)&amp;""),""))</f>
        <v/>
      </c>
      <c r="L20">
        <f>IF(L$2=0,"",IFERROR(TRIM(INDEX('Pegar docentes'!$A$1:$BZ$1001,19,L$2)&amp;""),""))</f>
        <v/>
      </c>
      <c r="M20">
        <f>IF(M$2=0,"",IFERROR(TRIM(INDEX('Pegar docentes'!$A$1:$BZ$1001,19,M$2)&amp;""),""))</f>
        <v/>
      </c>
      <c r="N20">
        <f>IF(N$2=0,"",IFERROR(TRIM(INDEX('Pegar docentes'!$A$1:$BZ$1001,19,N$2)&amp;""),""))</f>
        <v/>
      </c>
      <c r="O20">
        <f>IF(O$2=0,"",IFERROR(TRIM(INDEX('Pegar docentes'!$A$1:$BZ$1001,19,O$2)&amp;""),""))</f>
        <v/>
      </c>
      <c r="P20">
        <f>IF(P$2=0,"",IFERROR(TRIM(INDEX('Pegar docentes'!$A$1:$BZ$1001,19,P$2)&amp;""),""))</f>
        <v/>
      </c>
      <c r="Q20" s="25">
        <f>IF(OR(D20&lt;&gt;"",H20&lt;&gt;""),1,"")</f>
        <v/>
      </c>
      <c r="R20" s="25">
        <f>IF(Q20=1,IF(ISNUMBER(FIND("#"&amp;MID(D20,1,1)&amp;"#","#0#1#2#3#4#5#6#7#8#9#")),IF(ISNUMBER(FIND("#"&amp;MID(D20,2,1)&amp;"#","#0#1#2#3#4#5#6#7#8#9#")),IF(AND(VALUE(LEFT(D20,2))&gt;=1,VALUE(LEFT(D20,2))&lt;=5),VALUE(LEFT(D20,2)),""),IF(AND(VALUE(LEFT(D20,1))&gt;=1,VALUE(LEFT(D20,1))&lt;=5),VALUE(LEFT(D20,1)),"")),""),"")</f>
        <v/>
      </c>
      <c r="S20" s="25">
        <f>IF(AND(Q20=1,E20&lt;&gt;""),SUBSTITUTE(SUBSTITUTE(SUBSTITUTE(SUBSTITUTE(SUBSTITUTE(SUBSTITUTE(SUBSTITUTE(SUBSTITUTE(SUBSTITUTE(SUBSTITUTE(SUBSTITUTE(SUBSTITUTE(LOWER(TRIM(E20)),"á","a"),"é","e"),"í","i"),"ó","o"),"ú","u"),"ü","u"),"ñ","n"),"à","a"),"è","e"),"ì","i"),"ò","o"),"ù","u"),"")</f>
        <v/>
      </c>
      <c r="T20" s="25">
        <f>IF(AND(Q20=1,G20&lt;&gt;""),SUBSTITUTE(SUBSTITUTE(SUBSTITUTE(SUBSTITUTE(SUBSTITUTE(SUBSTITUTE(SUBSTITUTE(SUBSTITUTE(SUBSTITUTE(SUBSTITUTE(SUBSTITUTE(SUBSTITUTE(LOWER(TRIM(G20)),"á","a"),"é","e"),"í","i"),"ó","o"),"ú","u"),"ü","u"),"ñ","n"),"à","a"),"è","e"),"ì","i"),"ò","o"),"ù","u"),"")</f>
        <v/>
      </c>
      <c r="U20" s="25">
        <f>IF(AND(Q20=1,H20&lt;&gt;""),SUBSTITUTE(SUBSTITUTE(SUBSTITUTE(SUBSTITUTE(SUBSTITUTE(SUBSTITUTE(SUBSTITUTE(SUBSTITUTE(SUBSTITUTE(SUBSTITUTE(SUBSTITUTE(SUBSTITUTE(LOWER(TRIM(H20)),"á","a"),"é","e"),"í","i"),"ó","o"),"ú","u"),"ü","u"),"ñ","n"),"à","a"),"è","e"),"ì","i"),"ò","o"),"ù","u"),"")</f>
        <v/>
      </c>
      <c r="V20" s="25">
        <f>IF(AND(Q20=1,L20&lt;&gt;""),SUBSTITUTE(SUBSTITUTE(SUBSTITUTE(SUBSTITUTE(SUBSTITUTE(SUBSTITUTE(SUBSTITUTE(SUBSTITUTE(SUBSTITUTE(SUBSTITUTE(SUBSTITUTE(SUBSTITUTE(LOWER(TRIM(L20)),"á","a"),"é","e"),"í","i"),"ó","o"),"ú","u"),"ü","u"),"ñ","n"),"à","a"),"è","e"),"ì","i"),"ò","o"),"ù","u"),"")</f>
        <v/>
      </c>
      <c r="W20" s="25">
        <f>IF(AND(Q20=1,I20&lt;&gt;""),SUBSTITUTE(SUBSTITUTE(SUBSTITUTE(SUBSTITUTE(SUBSTITUTE(SUBSTITUTE(SUBSTITUTE(SUBSTITUTE(SUBSTITUTE(SUBSTITUTE(SUBSTITUTE(SUBSTITUTE(LOWER(TRIM(I20)),"á","a"),"é","e"),"í","i"),"ó","o"),"ú","u"),"ü","u"),"ñ","n"),"à","a"),"è","e"),"ì","i"),"ò","o"),"ù","u"),"")</f>
        <v/>
      </c>
      <c r="X20" s="25">
        <f>IF(U20="","",IF(OR(U20="si, en la proxima tarea",U20="si, con cambios"),1,0))</f>
        <v/>
      </c>
      <c r="Y20" s="25">
        <f>IF(AND(Q20=1,A20&lt;&gt;""),IF(IFERROR(COUNTIFS(A$3:A20,"="&amp;SUBSTITUTE(SUBSTITUTE(SUBSTITUTE(A20,"~","~~"),"*","~*"),"?","~?"),Q$3:Q20,1),0)=1,MAX(Y$2:Y19)+1,""),"")</f>
        <v/>
      </c>
      <c r="Z20" s="25">
        <f>IF(Y20="","",COUNTIFS($A$3:$A$1002,"="&amp;SUBSTITUTE(SUBSTITUTE(SUBSTITUTE(A20,"~","~~"),"*","~*"),"?","~?"),$Q$3:$Q$1002,1)*10000-Y20)</f>
        <v/>
      </c>
    </row>
    <row r="21">
      <c r="A21">
        <f>IF(A$2=0,"",IFERROR(TRIM(INDEX('Pegar docentes'!$A$1:$BZ$1001,20,A$2)&amp;""),""))</f>
        <v/>
      </c>
      <c r="B21">
        <f>IF(B$2=0,"",IFERROR(TRIM(INDEX('Pegar docentes'!$A$1:$BZ$1001,20,B$2)&amp;""),""))</f>
        <v/>
      </c>
      <c r="C21">
        <f>IF(C$2=0,"",IFERROR(TRIM(INDEX('Pegar docentes'!$A$1:$BZ$1001,20,C$2)&amp;""),""))</f>
        <v/>
      </c>
      <c r="D21">
        <f>IF(D$2=0,"",IFERROR(TRIM(INDEX('Pegar docentes'!$A$1:$BZ$1001,20,D$2)&amp;""),""))</f>
        <v/>
      </c>
      <c r="E21">
        <f>IF(E$2=0,"",IFERROR(TRIM(INDEX('Pegar docentes'!$A$1:$BZ$1001,20,E$2)&amp;""),""))</f>
        <v/>
      </c>
      <c r="F21">
        <f>IF(F$2=0,"",IFERROR(TRIM(INDEX('Pegar docentes'!$A$1:$BZ$1001,20,F$2)&amp;""),""))</f>
        <v/>
      </c>
      <c r="G21">
        <f>IF(G$2=0,"",IFERROR(TRIM(INDEX('Pegar docentes'!$A$1:$BZ$1001,20,G$2)&amp;""),""))</f>
        <v/>
      </c>
      <c r="H21">
        <f>IF(H$2=0,"",IFERROR(TRIM(INDEX('Pegar docentes'!$A$1:$BZ$1001,20,H$2)&amp;""),""))</f>
        <v/>
      </c>
      <c r="I21">
        <f>IF(I$2=0,"",IFERROR(TRIM(INDEX('Pegar docentes'!$A$1:$BZ$1001,20,I$2)&amp;""),""))</f>
        <v/>
      </c>
      <c r="J21">
        <f>IF(J$2=0,"",IFERROR(TRIM(INDEX('Pegar docentes'!$A$1:$BZ$1001,20,J$2)&amp;""),""))</f>
        <v/>
      </c>
      <c r="K21">
        <f>IF(K$2=0,"",IFERROR(TRIM(INDEX('Pegar docentes'!$A$1:$BZ$1001,20,K$2)&amp;""),""))</f>
        <v/>
      </c>
      <c r="L21">
        <f>IF(L$2=0,"",IFERROR(TRIM(INDEX('Pegar docentes'!$A$1:$BZ$1001,20,L$2)&amp;""),""))</f>
        <v/>
      </c>
      <c r="M21">
        <f>IF(M$2=0,"",IFERROR(TRIM(INDEX('Pegar docentes'!$A$1:$BZ$1001,20,M$2)&amp;""),""))</f>
        <v/>
      </c>
      <c r="N21">
        <f>IF(N$2=0,"",IFERROR(TRIM(INDEX('Pegar docentes'!$A$1:$BZ$1001,20,N$2)&amp;""),""))</f>
        <v/>
      </c>
      <c r="O21">
        <f>IF(O$2=0,"",IFERROR(TRIM(INDEX('Pegar docentes'!$A$1:$BZ$1001,20,O$2)&amp;""),""))</f>
        <v/>
      </c>
      <c r="P21">
        <f>IF(P$2=0,"",IFERROR(TRIM(INDEX('Pegar docentes'!$A$1:$BZ$1001,20,P$2)&amp;""),""))</f>
        <v/>
      </c>
      <c r="Q21" s="25">
        <f>IF(OR(D21&lt;&gt;"",H21&lt;&gt;""),1,"")</f>
        <v/>
      </c>
      <c r="R21" s="25">
        <f>IF(Q21=1,IF(ISNUMBER(FIND("#"&amp;MID(D21,1,1)&amp;"#","#0#1#2#3#4#5#6#7#8#9#")),IF(ISNUMBER(FIND("#"&amp;MID(D21,2,1)&amp;"#","#0#1#2#3#4#5#6#7#8#9#")),IF(AND(VALUE(LEFT(D21,2))&gt;=1,VALUE(LEFT(D21,2))&lt;=5),VALUE(LEFT(D21,2)),""),IF(AND(VALUE(LEFT(D21,1))&gt;=1,VALUE(LEFT(D21,1))&lt;=5),VALUE(LEFT(D21,1)),"")),""),"")</f>
        <v/>
      </c>
      <c r="S21" s="25">
        <f>IF(AND(Q21=1,E21&lt;&gt;""),SUBSTITUTE(SUBSTITUTE(SUBSTITUTE(SUBSTITUTE(SUBSTITUTE(SUBSTITUTE(SUBSTITUTE(SUBSTITUTE(SUBSTITUTE(SUBSTITUTE(SUBSTITUTE(SUBSTITUTE(LOWER(TRIM(E21)),"á","a"),"é","e"),"í","i"),"ó","o"),"ú","u"),"ü","u"),"ñ","n"),"à","a"),"è","e"),"ì","i"),"ò","o"),"ù","u"),"")</f>
        <v/>
      </c>
      <c r="T21" s="25">
        <f>IF(AND(Q21=1,G21&lt;&gt;""),SUBSTITUTE(SUBSTITUTE(SUBSTITUTE(SUBSTITUTE(SUBSTITUTE(SUBSTITUTE(SUBSTITUTE(SUBSTITUTE(SUBSTITUTE(SUBSTITUTE(SUBSTITUTE(SUBSTITUTE(LOWER(TRIM(G21)),"á","a"),"é","e"),"í","i"),"ó","o"),"ú","u"),"ü","u"),"ñ","n"),"à","a"),"è","e"),"ì","i"),"ò","o"),"ù","u"),"")</f>
        <v/>
      </c>
      <c r="U21" s="25">
        <f>IF(AND(Q21=1,H21&lt;&gt;""),SUBSTITUTE(SUBSTITUTE(SUBSTITUTE(SUBSTITUTE(SUBSTITUTE(SUBSTITUTE(SUBSTITUTE(SUBSTITUTE(SUBSTITUTE(SUBSTITUTE(SUBSTITUTE(SUBSTITUTE(LOWER(TRIM(H21)),"á","a"),"é","e"),"í","i"),"ó","o"),"ú","u"),"ü","u"),"ñ","n"),"à","a"),"è","e"),"ì","i"),"ò","o"),"ù","u"),"")</f>
        <v/>
      </c>
      <c r="V21" s="25">
        <f>IF(AND(Q21=1,L21&lt;&gt;""),SUBSTITUTE(SUBSTITUTE(SUBSTITUTE(SUBSTITUTE(SUBSTITUTE(SUBSTITUTE(SUBSTITUTE(SUBSTITUTE(SUBSTITUTE(SUBSTITUTE(SUBSTITUTE(SUBSTITUTE(LOWER(TRIM(L21)),"á","a"),"é","e"),"í","i"),"ó","o"),"ú","u"),"ü","u"),"ñ","n"),"à","a"),"è","e"),"ì","i"),"ò","o"),"ù","u"),"")</f>
        <v/>
      </c>
      <c r="W21" s="25">
        <f>IF(AND(Q21=1,I21&lt;&gt;""),SUBSTITUTE(SUBSTITUTE(SUBSTITUTE(SUBSTITUTE(SUBSTITUTE(SUBSTITUTE(SUBSTITUTE(SUBSTITUTE(SUBSTITUTE(SUBSTITUTE(SUBSTITUTE(SUBSTITUTE(LOWER(TRIM(I21)),"á","a"),"é","e"),"í","i"),"ó","o"),"ú","u"),"ü","u"),"ñ","n"),"à","a"),"è","e"),"ì","i"),"ò","o"),"ù","u"),"")</f>
        <v/>
      </c>
      <c r="X21" s="25">
        <f>IF(U21="","",IF(OR(U21="si, en la proxima tarea",U21="si, con cambios"),1,0))</f>
        <v/>
      </c>
      <c r="Y21" s="25">
        <f>IF(AND(Q21=1,A21&lt;&gt;""),IF(IFERROR(COUNTIFS(A$3:A21,"="&amp;SUBSTITUTE(SUBSTITUTE(SUBSTITUTE(A21,"~","~~"),"*","~*"),"?","~?"),Q$3:Q21,1),0)=1,MAX(Y$2:Y20)+1,""),"")</f>
        <v/>
      </c>
      <c r="Z21" s="25">
        <f>IF(Y21="","",COUNTIFS($A$3:$A$1002,"="&amp;SUBSTITUTE(SUBSTITUTE(SUBSTITUTE(A21,"~","~~"),"*","~*"),"?","~?"),$Q$3:$Q$1002,1)*10000-Y21)</f>
        <v/>
      </c>
    </row>
    <row r="22">
      <c r="A22">
        <f>IF(A$2=0,"",IFERROR(TRIM(INDEX('Pegar docentes'!$A$1:$BZ$1001,21,A$2)&amp;""),""))</f>
        <v/>
      </c>
      <c r="B22">
        <f>IF(B$2=0,"",IFERROR(TRIM(INDEX('Pegar docentes'!$A$1:$BZ$1001,21,B$2)&amp;""),""))</f>
        <v/>
      </c>
      <c r="C22">
        <f>IF(C$2=0,"",IFERROR(TRIM(INDEX('Pegar docentes'!$A$1:$BZ$1001,21,C$2)&amp;""),""))</f>
        <v/>
      </c>
      <c r="D22">
        <f>IF(D$2=0,"",IFERROR(TRIM(INDEX('Pegar docentes'!$A$1:$BZ$1001,21,D$2)&amp;""),""))</f>
        <v/>
      </c>
      <c r="E22">
        <f>IF(E$2=0,"",IFERROR(TRIM(INDEX('Pegar docentes'!$A$1:$BZ$1001,21,E$2)&amp;""),""))</f>
        <v/>
      </c>
      <c r="F22">
        <f>IF(F$2=0,"",IFERROR(TRIM(INDEX('Pegar docentes'!$A$1:$BZ$1001,21,F$2)&amp;""),""))</f>
        <v/>
      </c>
      <c r="G22">
        <f>IF(G$2=0,"",IFERROR(TRIM(INDEX('Pegar docentes'!$A$1:$BZ$1001,21,G$2)&amp;""),""))</f>
        <v/>
      </c>
      <c r="H22">
        <f>IF(H$2=0,"",IFERROR(TRIM(INDEX('Pegar docentes'!$A$1:$BZ$1001,21,H$2)&amp;""),""))</f>
        <v/>
      </c>
      <c r="I22">
        <f>IF(I$2=0,"",IFERROR(TRIM(INDEX('Pegar docentes'!$A$1:$BZ$1001,21,I$2)&amp;""),""))</f>
        <v/>
      </c>
      <c r="J22">
        <f>IF(J$2=0,"",IFERROR(TRIM(INDEX('Pegar docentes'!$A$1:$BZ$1001,21,J$2)&amp;""),""))</f>
        <v/>
      </c>
      <c r="K22">
        <f>IF(K$2=0,"",IFERROR(TRIM(INDEX('Pegar docentes'!$A$1:$BZ$1001,21,K$2)&amp;""),""))</f>
        <v/>
      </c>
      <c r="L22">
        <f>IF(L$2=0,"",IFERROR(TRIM(INDEX('Pegar docentes'!$A$1:$BZ$1001,21,L$2)&amp;""),""))</f>
        <v/>
      </c>
      <c r="M22">
        <f>IF(M$2=0,"",IFERROR(TRIM(INDEX('Pegar docentes'!$A$1:$BZ$1001,21,M$2)&amp;""),""))</f>
        <v/>
      </c>
      <c r="N22">
        <f>IF(N$2=0,"",IFERROR(TRIM(INDEX('Pegar docentes'!$A$1:$BZ$1001,21,N$2)&amp;""),""))</f>
        <v/>
      </c>
      <c r="O22">
        <f>IF(O$2=0,"",IFERROR(TRIM(INDEX('Pegar docentes'!$A$1:$BZ$1001,21,O$2)&amp;""),""))</f>
        <v/>
      </c>
      <c r="P22">
        <f>IF(P$2=0,"",IFERROR(TRIM(INDEX('Pegar docentes'!$A$1:$BZ$1001,21,P$2)&amp;""),""))</f>
        <v/>
      </c>
      <c r="Q22" s="25">
        <f>IF(OR(D22&lt;&gt;"",H22&lt;&gt;""),1,"")</f>
        <v/>
      </c>
      <c r="R22" s="25">
        <f>IF(Q22=1,IF(ISNUMBER(FIND("#"&amp;MID(D22,1,1)&amp;"#","#0#1#2#3#4#5#6#7#8#9#")),IF(ISNUMBER(FIND("#"&amp;MID(D22,2,1)&amp;"#","#0#1#2#3#4#5#6#7#8#9#")),IF(AND(VALUE(LEFT(D22,2))&gt;=1,VALUE(LEFT(D22,2))&lt;=5),VALUE(LEFT(D22,2)),""),IF(AND(VALUE(LEFT(D22,1))&gt;=1,VALUE(LEFT(D22,1))&lt;=5),VALUE(LEFT(D22,1)),"")),""),"")</f>
        <v/>
      </c>
      <c r="S22" s="25">
        <f>IF(AND(Q22=1,E22&lt;&gt;""),SUBSTITUTE(SUBSTITUTE(SUBSTITUTE(SUBSTITUTE(SUBSTITUTE(SUBSTITUTE(SUBSTITUTE(SUBSTITUTE(SUBSTITUTE(SUBSTITUTE(SUBSTITUTE(SUBSTITUTE(LOWER(TRIM(E22)),"á","a"),"é","e"),"í","i"),"ó","o"),"ú","u"),"ü","u"),"ñ","n"),"à","a"),"è","e"),"ì","i"),"ò","o"),"ù","u"),"")</f>
        <v/>
      </c>
      <c r="T22" s="25">
        <f>IF(AND(Q22=1,G22&lt;&gt;""),SUBSTITUTE(SUBSTITUTE(SUBSTITUTE(SUBSTITUTE(SUBSTITUTE(SUBSTITUTE(SUBSTITUTE(SUBSTITUTE(SUBSTITUTE(SUBSTITUTE(SUBSTITUTE(SUBSTITUTE(LOWER(TRIM(G22)),"á","a"),"é","e"),"í","i"),"ó","o"),"ú","u"),"ü","u"),"ñ","n"),"à","a"),"è","e"),"ì","i"),"ò","o"),"ù","u"),"")</f>
        <v/>
      </c>
      <c r="U22" s="25">
        <f>IF(AND(Q22=1,H22&lt;&gt;""),SUBSTITUTE(SUBSTITUTE(SUBSTITUTE(SUBSTITUTE(SUBSTITUTE(SUBSTITUTE(SUBSTITUTE(SUBSTITUTE(SUBSTITUTE(SUBSTITUTE(SUBSTITUTE(SUBSTITUTE(LOWER(TRIM(H22)),"á","a"),"é","e"),"í","i"),"ó","o"),"ú","u"),"ü","u"),"ñ","n"),"à","a"),"è","e"),"ì","i"),"ò","o"),"ù","u"),"")</f>
        <v/>
      </c>
      <c r="V22" s="25">
        <f>IF(AND(Q22=1,L22&lt;&gt;""),SUBSTITUTE(SUBSTITUTE(SUBSTITUTE(SUBSTITUTE(SUBSTITUTE(SUBSTITUTE(SUBSTITUTE(SUBSTITUTE(SUBSTITUTE(SUBSTITUTE(SUBSTITUTE(SUBSTITUTE(LOWER(TRIM(L22)),"á","a"),"é","e"),"í","i"),"ó","o"),"ú","u"),"ü","u"),"ñ","n"),"à","a"),"è","e"),"ì","i"),"ò","o"),"ù","u"),"")</f>
        <v/>
      </c>
      <c r="W22" s="25">
        <f>IF(AND(Q22=1,I22&lt;&gt;""),SUBSTITUTE(SUBSTITUTE(SUBSTITUTE(SUBSTITUTE(SUBSTITUTE(SUBSTITUTE(SUBSTITUTE(SUBSTITUTE(SUBSTITUTE(SUBSTITUTE(SUBSTITUTE(SUBSTITUTE(LOWER(TRIM(I22)),"á","a"),"é","e"),"í","i"),"ó","o"),"ú","u"),"ü","u"),"ñ","n"),"à","a"),"è","e"),"ì","i"),"ò","o"),"ù","u"),"")</f>
        <v/>
      </c>
      <c r="X22" s="25">
        <f>IF(U22="","",IF(OR(U22="si, en la proxima tarea",U22="si, con cambios"),1,0))</f>
        <v/>
      </c>
      <c r="Y22" s="25">
        <f>IF(AND(Q22=1,A22&lt;&gt;""),IF(IFERROR(COUNTIFS(A$3:A22,"="&amp;SUBSTITUTE(SUBSTITUTE(SUBSTITUTE(A22,"~","~~"),"*","~*"),"?","~?"),Q$3:Q22,1),0)=1,MAX(Y$2:Y21)+1,""),"")</f>
        <v/>
      </c>
      <c r="Z22" s="25">
        <f>IF(Y22="","",COUNTIFS($A$3:$A$1002,"="&amp;SUBSTITUTE(SUBSTITUTE(SUBSTITUTE(A22,"~","~~"),"*","~*"),"?","~?"),$Q$3:$Q$1002,1)*10000-Y22)</f>
        <v/>
      </c>
    </row>
    <row r="23">
      <c r="A23">
        <f>IF(A$2=0,"",IFERROR(TRIM(INDEX('Pegar docentes'!$A$1:$BZ$1001,22,A$2)&amp;""),""))</f>
        <v/>
      </c>
      <c r="B23">
        <f>IF(B$2=0,"",IFERROR(TRIM(INDEX('Pegar docentes'!$A$1:$BZ$1001,22,B$2)&amp;""),""))</f>
        <v/>
      </c>
      <c r="C23">
        <f>IF(C$2=0,"",IFERROR(TRIM(INDEX('Pegar docentes'!$A$1:$BZ$1001,22,C$2)&amp;""),""))</f>
        <v/>
      </c>
      <c r="D23">
        <f>IF(D$2=0,"",IFERROR(TRIM(INDEX('Pegar docentes'!$A$1:$BZ$1001,22,D$2)&amp;""),""))</f>
        <v/>
      </c>
      <c r="E23">
        <f>IF(E$2=0,"",IFERROR(TRIM(INDEX('Pegar docentes'!$A$1:$BZ$1001,22,E$2)&amp;""),""))</f>
        <v/>
      </c>
      <c r="F23">
        <f>IF(F$2=0,"",IFERROR(TRIM(INDEX('Pegar docentes'!$A$1:$BZ$1001,22,F$2)&amp;""),""))</f>
        <v/>
      </c>
      <c r="G23">
        <f>IF(G$2=0,"",IFERROR(TRIM(INDEX('Pegar docentes'!$A$1:$BZ$1001,22,G$2)&amp;""),""))</f>
        <v/>
      </c>
      <c r="H23">
        <f>IF(H$2=0,"",IFERROR(TRIM(INDEX('Pegar docentes'!$A$1:$BZ$1001,22,H$2)&amp;""),""))</f>
        <v/>
      </c>
      <c r="I23">
        <f>IF(I$2=0,"",IFERROR(TRIM(INDEX('Pegar docentes'!$A$1:$BZ$1001,22,I$2)&amp;""),""))</f>
        <v/>
      </c>
      <c r="J23">
        <f>IF(J$2=0,"",IFERROR(TRIM(INDEX('Pegar docentes'!$A$1:$BZ$1001,22,J$2)&amp;""),""))</f>
        <v/>
      </c>
      <c r="K23">
        <f>IF(K$2=0,"",IFERROR(TRIM(INDEX('Pegar docentes'!$A$1:$BZ$1001,22,K$2)&amp;""),""))</f>
        <v/>
      </c>
      <c r="L23">
        <f>IF(L$2=0,"",IFERROR(TRIM(INDEX('Pegar docentes'!$A$1:$BZ$1001,22,L$2)&amp;""),""))</f>
        <v/>
      </c>
      <c r="M23">
        <f>IF(M$2=0,"",IFERROR(TRIM(INDEX('Pegar docentes'!$A$1:$BZ$1001,22,M$2)&amp;""),""))</f>
        <v/>
      </c>
      <c r="N23">
        <f>IF(N$2=0,"",IFERROR(TRIM(INDEX('Pegar docentes'!$A$1:$BZ$1001,22,N$2)&amp;""),""))</f>
        <v/>
      </c>
      <c r="O23">
        <f>IF(O$2=0,"",IFERROR(TRIM(INDEX('Pegar docentes'!$A$1:$BZ$1001,22,O$2)&amp;""),""))</f>
        <v/>
      </c>
      <c r="P23">
        <f>IF(P$2=0,"",IFERROR(TRIM(INDEX('Pegar docentes'!$A$1:$BZ$1001,22,P$2)&amp;""),""))</f>
        <v/>
      </c>
      <c r="Q23" s="25">
        <f>IF(OR(D23&lt;&gt;"",H23&lt;&gt;""),1,"")</f>
        <v/>
      </c>
      <c r="R23" s="25">
        <f>IF(Q23=1,IF(ISNUMBER(FIND("#"&amp;MID(D23,1,1)&amp;"#","#0#1#2#3#4#5#6#7#8#9#")),IF(ISNUMBER(FIND("#"&amp;MID(D23,2,1)&amp;"#","#0#1#2#3#4#5#6#7#8#9#")),IF(AND(VALUE(LEFT(D23,2))&gt;=1,VALUE(LEFT(D23,2))&lt;=5),VALUE(LEFT(D23,2)),""),IF(AND(VALUE(LEFT(D23,1))&gt;=1,VALUE(LEFT(D23,1))&lt;=5),VALUE(LEFT(D23,1)),"")),""),"")</f>
        <v/>
      </c>
      <c r="S23" s="25">
        <f>IF(AND(Q23=1,E23&lt;&gt;""),SUBSTITUTE(SUBSTITUTE(SUBSTITUTE(SUBSTITUTE(SUBSTITUTE(SUBSTITUTE(SUBSTITUTE(SUBSTITUTE(SUBSTITUTE(SUBSTITUTE(SUBSTITUTE(SUBSTITUTE(LOWER(TRIM(E23)),"á","a"),"é","e"),"í","i"),"ó","o"),"ú","u"),"ü","u"),"ñ","n"),"à","a"),"è","e"),"ì","i"),"ò","o"),"ù","u"),"")</f>
        <v/>
      </c>
      <c r="T23" s="25">
        <f>IF(AND(Q23=1,G23&lt;&gt;""),SUBSTITUTE(SUBSTITUTE(SUBSTITUTE(SUBSTITUTE(SUBSTITUTE(SUBSTITUTE(SUBSTITUTE(SUBSTITUTE(SUBSTITUTE(SUBSTITUTE(SUBSTITUTE(SUBSTITUTE(LOWER(TRIM(G23)),"á","a"),"é","e"),"í","i"),"ó","o"),"ú","u"),"ü","u"),"ñ","n"),"à","a"),"è","e"),"ì","i"),"ò","o"),"ù","u"),"")</f>
        <v/>
      </c>
      <c r="U23" s="25">
        <f>IF(AND(Q23=1,H23&lt;&gt;""),SUBSTITUTE(SUBSTITUTE(SUBSTITUTE(SUBSTITUTE(SUBSTITUTE(SUBSTITUTE(SUBSTITUTE(SUBSTITUTE(SUBSTITUTE(SUBSTITUTE(SUBSTITUTE(SUBSTITUTE(LOWER(TRIM(H23)),"á","a"),"é","e"),"í","i"),"ó","o"),"ú","u"),"ü","u"),"ñ","n"),"à","a"),"è","e"),"ì","i"),"ò","o"),"ù","u"),"")</f>
        <v/>
      </c>
      <c r="V23" s="25">
        <f>IF(AND(Q23=1,L23&lt;&gt;""),SUBSTITUTE(SUBSTITUTE(SUBSTITUTE(SUBSTITUTE(SUBSTITUTE(SUBSTITUTE(SUBSTITUTE(SUBSTITUTE(SUBSTITUTE(SUBSTITUTE(SUBSTITUTE(SUBSTITUTE(LOWER(TRIM(L23)),"á","a"),"é","e"),"í","i"),"ó","o"),"ú","u"),"ü","u"),"ñ","n"),"à","a"),"è","e"),"ì","i"),"ò","o"),"ù","u"),"")</f>
        <v/>
      </c>
      <c r="W23" s="25">
        <f>IF(AND(Q23=1,I23&lt;&gt;""),SUBSTITUTE(SUBSTITUTE(SUBSTITUTE(SUBSTITUTE(SUBSTITUTE(SUBSTITUTE(SUBSTITUTE(SUBSTITUTE(SUBSTITUTE(SUBSTITUTE(SUBSTITUTE(SUBSTITUTE(LOWER(TRIM(I23)),"á","a"),"é","e"),"í","i"),"ó","o"),"ú","u"),"ü","u"),"ñ","n"),"à","a"),"è","e"),"ì","i"),"ò","o"),"ù","u"),"")</f>
        <v/>
      </c>
      <c r="X23" s="25">
        <f>IF(U23="","",IF(OR(U23="si, en la proxima tarea",U23="si, con cambios"),1,0))</f>
        <v/>
      </c>
      <c r="Y23" s="25">
        <f>IF(AND(Q23=1,A23&lt;&gt;""),IF(IFERROR(COUNTIFS(A$3:A23,"="&amp;SUBSTITUTE(SUBSTITUTE(SUBSTITUTE(A23,"~","~~"),"*","~*"),"?","~?"),Q$3:Q23,1),0)=1,MAX(Y$2:Y22)+1,""),"")</f>
        <v/>
      </c>
      <c r="Z23" s="25">
        <f>IF(Y23="","",COUNTIFS($A$3:$A$1002,"="&amp;SUBSTITUTE(SUBSTITUTE(SUBSTITUTE(A23,"~","~~"),"*","~*"),"?","~?"),$Q$3:$Q$1002,1)*10000-Y23)</f>
        <v/>
      </c>
    </row>
    <row r="24">
      <c r="A24">
        <f>IF(A$2=0,"",IFERROR(TRIM(INDEX('Pegar docentes'!$A$1:$BZ$1001,23,A$2)&amp;""),""))</f>
        <v/>
      </c>
      <c r="B24">
        <f>IF(B$2=0,"",IFERROR(TRIM(INDEX('Pegar docentes'!$A$1:$BZ$1001,23,B$2)&amp;""),""))</f>
        <v/>
      </c>
      <c r="C24">
        <f>IF(C$2=0,"",IFERROR(TRIM(INDEX('Pegar docentes'!$A$1:$BZ$1001,23,C$2)&amp;""),""))</f>
        <v/>
      </c>
      <c r="D24">
        <f>IF(D$2=0,"",IFERROR(TRIM(INDEX('Pegar docentes'!$A$1:$BZ$1001,23,D$2)&amp;""),""))</f>
        <v/>
      </c>
      <c r="E24">
        <f>IF(E$2=0,"",IFERROR(TRIM(INDEX('Pegar docentes'!$A$1:$BZ$1001,23,E$2)&amp;""),""))</f>
        <v/>
      </c>
      <c r="F24">
        <f>IF(F$2=0,"",IFERROR(TRIM(INDEX('Pegar docentes'!$A$1:$BZ$1001,23,F$2)&amp;""),""))</f>
        <v/>
      </c>
      <c r="G24">
        <f>IF(G$2=0,"",IFERROR(TRIM(INDEX('Pegar docentes'!$A$1:$BZ$1001,23,G$2)&amp;""),""))</f>
        <v/>
      </c>
      <c r="H24">
        <f>IF(H$2=0,"",IFERROR(TRIM(INDEX('Pegar docentes'!$A$1:$BZ$1001,23,H$2)&amp;""),""))</f>
        <v/>
      </c>
      <c r="I24">
        <f>IF(I$2=0,"",IFERROR(TRIM(INDEX('Pegar docentes'!$A$1:$BZ$1001,23,I$2)&amp;""),""))</f>
        <v/>
      </c>
      <c r="J24">
        <f>IF(J$2=0,"",IFERROR(TRIM(INDEX('Pegar docentes'!$A$1:$BZ$1001,23,J$2)&amp;""),""))</f>
        <v/>
      </c>
      <c r="K24">
        <f>IF(K$2=0,"",IFERROR(TRIM(INDEX('Pegar docentes'!$A$1:$BZ$1001,23,K$2)&amp;""),""))</f>
        <v/>
      </c>
      <c r="L24">
        <f>IF(L$2=0,"",IFERROR(TRIM(INDEX('Pegar docentes'!$A$1:$BZ$1001,23,L$2)&amp;""),""))</f>
        <v/>
      </c>
      <c r="M24">
        <f>IF(M$2=0,"",IFERROR(TRIM(INDEX('Pegar docentes'!$A$1:$BZ$1001,23,M$2)&amp;""),""))</f>
        <v/>
      </c>
      <c r="N24">
        <f>IF(N$2=0,"",IFERROR(TRIM(INDEX('Pegar docentes'!$A$1:$BZ$1001,23,N$2)&amp;""),""))</f>
        <v/>
      </c>
      <c r="O24">
        <f>IF(O$2=0,"",IFERROR(TRIM(INDEX('Pegar docentes'!$A$1:$BZ$1001,23,O$2)&amp;""),""))</f>
        <v/>
      </c>
      <c r="P24">
        <f>IF(P$2=0,"",IFERROR(TRIM(INDEX('Pegar docentes'!$A$1:$BZ$1001,23,P$2)&amp;""),""))</f>
        <v/>
      </c>
      <c r="Q24" s="25">
        <f>IF(OR(D24&lt;&gt;"",H24&lt;&gt;""),1,"")</f>
        <v/>
      </c>
      <c r="R24" s="25">
        <f>IF(Q24=1,IF(ISNUMBER(FIND("#"&amp;MID(D24,1,1)&amp;"#","#0#1#2#3#4#5#6#7#8#9#")),IF(ISNUMBER(FIND("#"&amp;MID(D24,2,1)&amp;"#","#0#1#2#3#4#5#6#7#8#9#")),IF(AND(VALUE(LEFT(D24,2))&gt;=1,VALUE(LEFT(D24,2))&lt;=5),VALUE(LEFT(D24,2)),""),IF(AND(VALUE(LEFT(D24,1))&gt;=1,VALUE(LEFT(D24,1))&lt;=5),VALUE(LEFT(D24,1)),"")),""),"")</f>
        <v/>
      </c>
      <c r="S24" s="25">
        <f>IF(AND(Q24=1,E24&lt;&gt;""),SUBSTITUTE(SUBSTITUTE(SUBSTITUTE(SUBSTITUTE(SUBSTITUTE(SUBSTITUTE(SUBSTITUTE(SUBSTITUTE(SUBSTITUTE(SUBSTITUTE(SUBSTITUTE(SUBSTITUTE(LOWER(TRIM(E24)),"á","a"),"é","e"),"í","i"),"ó","o"),"ú","u"),"ü","u"),"ñ","n"),"à","a"),"è","e"),"ì","i"),"ò","o"),"ù","u"),"")</f>
        <v/>
      </c>
      <c r="T24" s="25">
        <f>IF(AND(Q24=1,G24&lt;&gt;""),SUBSTITUTE(SUBSTITUTE(SUBSTITUTE(SUBSTITUTE(SUBSTITUTE(SUBSTITUTE(SUBSTITUTE(SUBSTITUTE(SUBSTITUTE(SUBSTITUTE(SUBSTITUTE(SUBSTITUTE(LOWER(TRIM(G24)),"á","a"),"é","e"),"í","i"),"ó","o"),"ú","u"),"ü","u"),"ñ","n"),"à","a"),"è","e"),"ì","i"),"ò","o"),"ù","u"),"")</f>
        <v/>
      </c>
      <c r="U24" s="25">
        <f>IF(AND(Q24=1,H24&lt;&gt;""),SUBSTITUTE(SUBSTITUTE(SUBSTITUTE(SUBSTITUTE(SUBSTITUTE(SUBSTITUTE(SUBSTITUTE(SUBSTITUTE(SUBSTITUTE(SUBSTITUTE(SUBSTITUTE(SUBSTITUTE(LOWER(TRIM(H24)),"á","a"),"é","e"),"í","i"),"ó","o"),"ú","u"),"ü","u"),"ñ","n"),"à","a"),"è","e"),"ì","i"),"ò","o"),"ù","u"),"")</f>
        <v/>
      </c>
      <c r="V24" s="25">
        <f>IF(AND(Q24=1,L24&lt;&gt;""),SUBSTITUTE(SUBSTITUTE(SUBSTITUTE(SUBSTITUTE(SUBSTITUTE(SUBSTITUTE(SUBSTITUTE(SUBSTITUTE(SUBSTITUTE(SUBSTITUTE(SUBSTITUTE(SUBSTITUTE(LOWER(TRIM(L24)),"á","a"),"é","e"),"í","i"),"ó","o"),"ú","u"),"ü","u"),"ñ","n"),"à","a"),"è","e"),"ì","i"),"ò","o"),"ù","u"),"")</f>
        <v/>
      </c>
      <c r="W24" s="25">
        <f>IF(AND(Q24=1,I24&lt;&gt;""),SUBSTITUTE(SUBSTITUTE(SUBSTITUTE(SUBSTITUTE(SUBSTITUTE(SUBSTITUTE(SUBSTITUTE(SUBSTITUTE(SUBSTITUTE(SUBSTITUTE(SUBSTITUTE(SUBSTITUTE(LOWER(TRIM(I24)),"á","a"),"é","e"),"í","i"),"ó","o"),"ú","u"),"ü","u"),"ñ","n"),"à","a"),"è","e"),"ì","i"),"ò","o"),"ù","u"),"")</f>
        <v/>
      </c>
      <c r="X24" s="25">
        <f>IF(U24="","",IF(OR(U24="si, en la proxima tarea",U24="si, con cambios"),1,0))</f>
        <v/>
      </c>
      <c r="Y24" s="25">
        <f>IF(AND(Q24=1,A24&lt;&gt;""),IF(IFERROR(COUNTIFS(A$3:A24,"="&amp;SUBSTITUTE(SUBSTITUTE(SUBSTITUTE(A24,"~","~~"),"*","~*"),"?","~?"),Q$3:Q24,1),0)=1,MAX(Y$2:Y23)+1,""),"")</f>
        <v/>
      </c>
      <c r="Z24" s="25">
        <f>IF(Y24="","",COUNTIFS($A$3:$A$1002,"="&amp;SUBSTITUTE(SUBSTITUTE(SUBSTITUTE(A24,"~","~~"),"*","~*"),"?","~?"),$Q$3:$Q$1002,1)*10000-Y24)</f>
        <v/>
      </c>
    </row>
    <row r="25">
      <c r="A25">
        <f>IF(A$2=0,"",IFERROR(TRIM(INDEX('Pegar docentes'!$A$1:$BZ$1001,24,A$2)&amp;""),""))</f>
        <v/>
      </c>
      <c r="B25">
        <f>IF(B$2=0,"",IFERROR(TRIM(INDEX('Pegar docentes'!$A$1:$BZ$1001,24,B$2)&amp;""),""))</f>
        <v/>
      </c>
      <c r="C25">
        <f>IF(C$2=0,"",IFERROR(TRIM(INDEX('Pegar docentes'!$A$1:$BZ$1001,24,C$2)&amp;""),""))</f>
        <v/>
      </c>
      <c r="D25">
        <f>IF(D$2=0,"",IFERROR(TRIM(INDEX('Pegar docentes'!$A$1:$BZ$1001,24,D$2)&amp;""),""))</f>
        <v/>
      </c>
      <c r="E25">
        <f>IF(E$2=0,"",IFERROR(TRIM(INDEX('Pegar docentes'!$A$1:$BZ$1001,24,E$2)&amp;""),""))</f>
        <v/>
      </c>
      <c r="F25">
        <f>IF(F$2=0,"",IFERROR(TRIM(INDEX('Pegar docentes'!$A$1:$BZ$1001,24,F$2)&amp;""),""))</f>
        <v/>
      </c>
      <c r="G25">
        <f>IF(G$2=0,"",IFERROR(TRIM(INDEX('Pegar docentes'!$A$1:$BZ$1001,24,G$2)&amp;""),""))</f>
        <v/>
      </c>
      <c r="H25">
        <f>IF(H$2=0,"",IFERROR(TRIM(INDEX('Pegar docentes'!$A$1:$BZ$1001,24,H$2)&amp;""),""))</f>
        <v/>
      </c>
      <c r="I25">
        <f>IF(I$2=0,"",IFERROR(TRIM(INDEX('Pegar docentes'!$A$1:$BZ$1001,24,I$2)&amp;""),""))</f>
        <v/>
      </c>
      <c r="J25">
        <f>IF(J$2=0,"",IFERROR(TRIM(INDEX('Pegar docentes'!$A$1:$BZ$1001,24,J$2)&amp;""),""))</f>
        <v/>
      </c>
      <c r="K25">
        <f>IF(K$2=0,"",IFERROR(TRIM(INDEX('Pegar docentes'!$A$1:$BZ$1001,24,K$2)&amp;""),""))</f>
        <v/>
      </c>
      <c r="L25">
        <f>IF(L$2=0,"",IFERROR(TRIM(INDEX('Pegar docentes'!$A$1:$BZ$1001,24,L$2)&amp;""),""))</f>
        <v/>
      </c>
      <c r="M25">
        <f>IF(M$2=0,"",IFERROR(TRIM(INDEX('Pegar docentes'!$A$1:$BZ$1001,24,M$2)&amp;""),""))</f>
        <v/>
      </c>
      <c r="N25">
        <f>IF(N$2=0,"",IFERROR(TRIM(INDEX('Pegar docentes'!$A$1:$BZ$1001,24,N$2)&amp;""),""))</f>
        <v/>
      </c>
      <c r="O25">
        <f>IF(O$2=0,"",IFERROR(TRIM(INDEX('Pegar docentes'!$A$1:$BZ$1001,24,O$2)&amp;""),""))</f>
        <v/>
      </c>
      <c r="P25">
        <f>IF(P$2=0,"",IFERROR(TRIM(INDEX('Pegar docentes'!$A$1:$BZ$1001,24,P$2)&amp;""),""))</f>
        <v/>
      </c>
      <c r="Q25" s="25">
        <f>IF(OR(D25&lt;&gt;"",H25&lt;&gt;""),1,"")</f>
        <v/>
      </c>
      <c r="R25" s="25">
        <f>IF(Q25=1,IF(ISNUMBER(FIND("#"&amp;MID(D25,1,1)&amp;"#","#0#1#2#3#4#5#6#7#8#9#")),IF(ISNUMBER(FIND("#"&amp;MID(D25,2,1)&amp;"#","#0#1#2#3#4#5#6#7#8#9#")),IF(AND(VALUE(LEFT(D25,2))&gt;=1,VALUE(LEFT(D25,2))&lt;=5),VALUE(LEFT(D25,2)),""),IF(AND(VALUE(LEFT(D25,1))&gt;=1,VALUE(LEFT(D25,1))&lt;=5),VALUE(LEFT(D25,1)),"")),""),"")</f>
        <v/>
      </c>
      <c r="S25" s="25">
        <f>IF(AND(Q25=1,E25&lt;&gt;""),SUBSTITUTE(SUBSTITUTE(SUBSTITUTE(SUBSTITUTE(SUBSTITUTE(SUBSTITUTE(SUBSTITUTE(SUBSTITUTE(SUBSTITUTE(SUBSTITUTE(SUBSTITUTE(SUBSTITUTE(LOWER(TRIM(E25)),"á","a"),"é","e"),"í","i"),"ó","o"),"ú","u"),"ü","u"),"ñ","n"),"à","a"),"è","e"),"ì","i"),"ò","o"),"ù","u"),"")</f>
        <v/>
      </c>
      <c r="T25" s="25">
        <f>IF(AND(Q25=1,G25&lt;&gt;""),SUBSTITUTE(SUBSTITUTE(SUBSTITUTE(SUBSTITUTE(SUBSTITUTE(SUBSTITUTE(SUBSTITUTE(SUBSTITUTE(SUBSTITUTE(SUBSTITUTE(SUBSTITUTE(SUBSTITUTE(LOWER(TRIM(G25)),"á","a"),"é","e"),"í","i"),"ó","o"),"ú","u"),"ü","u"),"ñ","n"),"à","a"),"è","e"),"ì","i"),"ò","o"),"ù","u"),"")</f>
        <v/>
      </c>
      <c r="U25" s="25">
        <f>IF(AND(Q25=1,H25&lt;&gt;""),SUBSTITUTE(SUBSTITUTE(SUBSTITUTE(SUBSTITUTE(SUBSTITUTE(SUBSTITUTE(SUBSTITUTE(SUBSTITUTE(SUBSTITUTE(SUBSTITUTE(SUBSTITUTE(SUBSTITUTE(LOWER(TRIM(H25)),"á","a"),"é","e"),"í","i"),"ó","o"),"ú","u"),"ü","u"),"ñ","n"),"à","a"),"è","e"),"ì","i"),"ò","o"),"ù","u"),"")</f>
        <v/>
      </c>
      <c r="V25" s="25">
        <f>IF(AND(Q25=1,L25&lt;&gt;""),SUBSTITUTE(SUBSTITUTE(SUBSTITUTE(SUBSTITUTE(SUBSTITUTE(SUBSTITUTE(SUBSTITUTE(SUBSTITUTE(SUBSTITUTE(SUBSTITUTE(SUBSTITUTE(SUBSTITUTE(LOWER(TRIM(L25)),"á","a"),"é","e"),"í","i"),"ó","o"),"ú","u"),"ü","u"),"ñ","n"),"à","a"),"è","e"),"ì","i"),"ò","o"),"ù","u"),"")</f>
        <v/>
      </c>
      <c r="W25" s="25">
        <f>IF(AND(Q25=1,I25&lt;&gt;""),SUBSTITUTE(SUBSTITUTE(SUBSTITUTE(SUBSTITUTE(SUBSTITUTE(SUBSTITUTE(SUBSTITUTE(SUBSTITUTE(SUBSTITUTE(SUBSTITUTE(SUBSTITUTE(SUBSTITUTE(LOWER(TRIM(I25)),"á","a"),"é","e"),"í","i"),"ó","o"),"ú","u"),"ü","u"),"ñ","n"),"à","a"),"è","e"),"ì","i"),"ò","o"),"ù","u"),"")</f>
        <v/>
      </c>
      <c r="X25" s="25">
        <f>IF(U25="","",IF(OR(U25="si, en la proxima tarea",U25="si, con cambios"),1,0))</f>
        <v/>
      </c>
      <c r="Y25" s="25">
        <f>IF(AND(Q25=1,A25&lt;&gt;""),IF(IFERROR(COUNTIFS(A$3:A25,"="&amp;SUBSTITUTE(SUBSTITUTE(SUBSTITUTE(A25,"~","~~"),"*","~*"),"?","~?"),Q$3:Q25,1),0)=1,MAX(Y$2:Y24)+1,""),"")</f>
        <v/>
      </c>
      <c r="Z25" s="25">
        <f>IF(Y25="","",COUNTIFS($A$3:$A$1002,"="&amp;SUBSTITUTE(SUBSTITUTE(SUBSTITUTE(A25,"~","~~"),"*","~*"),"?","~?"),$Q$3:$Q$1002,1)*10000-Y25)</f>
        <v/>
      </c>
    </row>
    <row r="26">
      <c r="A26">
        <f>IF(A$2=0,"",IFERROR(TRIM(INDEX('Pegar docentes'!$A$1:$BZ$1001,25,A$2)&amp;""),""))</f>
        <v/>
      </c>
      <c r="B26">
        <f>IF(B$2=0,"",IFERROR(TRIM(INDEX('Pegar docentes'!$A$1:$BZ$1001,25,B$2)&amp;""),""))</f>
        <v/>
      </c>
      <c r="C26">
        <f>IF(C$2=0,"",IFERROR(TRIM(INDEX('Pegar docentes'!$A$1:$BZ$1001,25,C$2)&amp;""),""))</f>
        <v/>
      </c>
      <c r="D26">
        <f>IF(D$2=0,"",IFERROR(TRIM(INDEX('Pegar docentes'!$A$1:$BZ$1001,25,D$2)&amp;""),""))</f>
        <v/>
      </c>
      <c r="E26">
        <f>IF(E$2=0,"",IFERROR(TRIM(INDEX('Pegar docentes'!$A$1:$BZ$1001,25,E$2)&amp;""),""))</f>
        <v/>
      </c>
      <c r="F26">
        <f>IF(F$2=0,"",IFERROR(TRIM(INDEX('Pegar docentes'!$A$1:$BZ$1001,25,F$2)&amp;""),""))</f>
        <v/>
      </c>
      <c r="G26">
        <f>IF(G$2=0,"",IFERROR(TRIM(INDEX('Pegar docentes'!$A$1:$BZ$1001,25,G$2)&amp;""),""))</f>
        <v/>
      </c>
      <c r="H26">
        <f>IF(H$2=0,"",IFERROR(TRIM(INDEX('Pegar docentes'!$A$1:$BZ$1001,25,H$2)&amp;""),""))</f>
        <v/>
      </c>
      <c r="I26">
        <f>IF(I$2=0,"",IFERROR(TRIM(INDEX('Pegar docentes'!$A$1:$BZ$1001,25,I$2)&amp;""),""))</f>
        <v/>
      </c>
      <c r="J26">
        <f>IF(J$2=0,"",IFERROR(TRIM(INDEX('Pegar docentes'!$A$1:$BZ$1001,25,J$2)&amp;""),""))</f>
        <v/>
      </c>
      <c r="K26">
        <f>IF(K$2=0,"",IFERROR(TRIM(INDEX('Pegar docentes'!$A$1:$BZ$1001,25,K$2)&amp;""),""))</f>
        <v/>
      </c>
      <c r="L26">
        <f>IF(L$2=0,"",IFERROR(TRIM(INDEX('Pegar docentes'!$A$1:$BZ$1001,25,L$2)&amp;""),""))</f>
        <v/>
      </c>
      <c r="M26">
        <f>IF(M$2=0,"",IFERROR(TRIM(INDEX('Pegar docentes'!$A$1:$BZ$1001,25,M$2)&amp;""),""))</f>
        <v/>
      </c>
      <c r="N26">
        <f>IF(N$2=0,"",IFERROR(TRIM(INDEX('Pegar docentes'!$A$1:$BZ$1001,25,N$2)&amp;""),""))</f>
        <v/>
      </c>
      <c r="O26">
        <f>IF(O$2=0,"",IFERROR(TRIM(INDEX('Pegar docentes'!$A$1:$BZ$1001,25,O$2)&amp;""),""))</f>
        <v/>
      </c>
      <c r="P26">
        <f>IF(P$2=0,"",IFERROR(TRIM(INDEX('Pegar docentes'!$A$1:$BZ$1001,25,P$2)&amp;""),""))</f>
        <v/>
      </c>
      <c r="Q26" s="25">
        <f>IF(OR(D26&lt;&gt;"",H26&lt;&gt;""),1,"")</f>
        <v/>
      </c>
      <c r="R26" s="25">
        <f>IF(Q26=1,IF(ISNUMBER(FIND("#"&amp;MID(D26,1,1)&amp;"#","#0#1#2#3#4#5#6#7#8#9#")),IF(ISNUMBER(FIND("#"&amp;MID(D26,2,1)&amp;"#","#0#1#2#3#4#5#6#7#8#9#")),IF(AND(VALUE(LEFT(D26,2))&gt;=1,VALUE(LEFT(D26,2))&lt;=5),VALUE(LEFT(D26,2)),""),IF(AND(VALUE(LEFT(D26,1))&gt;=1,VALUE(LEFT(D26,1))&lt;=5),VALUE(LEFT(D26,1)),"")),""),"")</f>
        <v/>
      </c>
      <c r="S26" s="25">
        <f>IF(AND(Q26=1,E26&lt;&gt;""),SUBSTITUTE(SUBSTITUTE(SUBSTITUTE(SUBSTITUTE(SUBSTITUTE(SUBSTITUTE(SUBSTITUTE(SUBSTITUTE(SUBSTITUTE(SUBSTITUTE(SUBSTITUTE(SUBSTITUTE(LOWER(TRIM(E26)),"á","a"),"é","e"),"í","i"),"ó","o"),"ú","u"),"ü","u"),"ñ","n"),"à","a"),"è","e"),"ì","i"),"ò","o"),"ù","u"),"")</f>
        <v/>
      </c>
      <c r="T26" s="25">
        <f>IF(AND(Q26=1,G26&lt;&gt;""),SUBSTITUTE(SUBSTITUTE(SUBSTITUTE(SUBSTITUTE(SUBSTITUTE(SUBSTITUTE(SUBSTITUTE(SUBSTITUTE(SUBSTITUTE(SUBSTITUTE(SUBSTITUTE(SUBSTITUTE(LOWER(TRIM(G26)),"á","a"),"é","e"),"í","i"),"ó","o"),"ú","u"),"ü","u"),"ñ","n"),"à","a"),"è","e"),"ì","i"),"ò","o"),"ù","u"),"")</f>
        <v/>
      </c>
      <c r="U26" s="25">
        <f>IF(AND(Q26=1,H26&lt;&gt;""),SUBSTITUTE(SUBSTITUTE(SUBSTITUTE(SUBSTITUTE(SUBSTITUTE(SUBSTITUTE(SUBSTITUTE(SUBSTITUTE(SUBSTITUTE(SUBSTITUTE(SUBSTITUTE(SUBSTITUTE(LOWER(TRIM(H26)),"á","a"),"é","e"),"í","i"),"ó","o"),"ú","u"),"ü","u"),"ñ","n"),"à","a"),"è","e"),"ì","i"),"ò","o"),"ù","u"),"")</f>
        <v/>
      </c>
      <c r="V26" s="25">
        <f>IF(AND(Q26=1,L26&lt;&gt;""),SUBSTITUTE(SUBSTITUTE(SUBSTITUTE(SUBSTITUTE(SUBSTITUTE(SUBSTITUTE(SUBSTITUTE(SUBSTITUTE(SUBSTITUTE(SUBSTITUTE(SUBSTITUTE(SUBSTITUTE(LOWER(TRIM(L26)),"á","a"),"é","e"),"í","i"),"ó","o"),"ú","u"),"ü","u"),"ñ","n"),"à","a"),"è","e"),"ì","i"),"ò","o"),"ù","u"),"")</f>
        <v/>
      </c>
      <c r="W26" s="25">
        <f>IF(AND(Q26=1,I26&lt;&gt;""),SUBSTITUTE(SUBSTITUTE(SUBSTITUTE(SUBSTITUTE(SUBSTITUTE(SUBSTITUTE(SUBSTITUTE(SUBSTITUTE(SUBSTITUTE(SUBSTITUTE(SUBSTITUTE(SUBSTITUTE(LOWER(TRIM(I26)),"á","a"),"é","e"),"í","i"),"ó","o"),"ú","u"),"ü","u"),"ñ","n"),"à","a"),"è","e"),"ì","i"),"ò","o"),"ù","u"),"")</f>
        <v/>
      </c>
      <c r="X26" s="25">
        <f>IF(U26="","",IF(OR(U26="si, en la proxima tarea",U26="si, con cambios"),1,0))</f>
        <v/>
      </c>
      <c r="Y26" s="25">
        <f>IF(AND(Q26=1,A26&lt;&gt;""),IF(IFERROR(COUNTIFS(A$3:A26,"="&amp;SUBSTITUTE(SUBSTITUTE(SUBSTITUTE(A26,"~","~~"),"*","~*"),"?","~?"),Q$3:Q26,1),0)=1,MAX(Y$2:Y25)+1,""),"")</f>
        <v/>
      </c>
      <c r="Z26" s="25">
        <f>IF(Y26="","",COUNTIFS($A$3:$A$1002,"="&amp;SUBSTITUTE(SUBSTITUTE(SUBSTITUTE(A26,"~","~~"),"*","~*"),"?","~?"),$Q$3:$Q$1002,1)*10000-Y26)</f>
        <v/>
      </c>
    </row>
    <row r="27">
      <c r="A27">
        <f>IF(A$2=0,"",IFERROR(TRIM(INDEX('Pegar docentes'!$A$1:$BZ$1001,26,A$2)&amp;""),""))</f>
        <v/>
      </c>
      <c r="B27">
        <f>IF(B$2=0,"",IFERROR(TRIM(INDEX('Pegar docentes'!$A$1:$BZ$1001,26,B$2)&amp;""),""))</f>
        <v/>
      </c>
      <c r="C27">
        <f>IF(C$2=0,"",IFERROR(TRIM(INDEX('Pegar docentes'!$A$1:$BZ$1001,26,C$2)&amp;""),""))</f>
        <v/>
      </c>
      <c r="D27">
        <f>IF(D$2=0,"",IFERROR(TRIM(INDEX('Pegar docentes'!$A$1:$BZ$1001,26,D$2)&amp;""),""))</f>
        <v/>
      </c>
      <c r="E27">
        <f>IF(E$2=0,"",IFERROR(TRIM(INDEX('Pegar docentes'!$A$1:$BZ$1001,26,E$2)&amp;""),""))</f>
        <v/>
      </c>
      <c r="F27">
        <f>IF(F$2=0,"",IFERROR(TRIM(INDEX('Pegar docentes'!$A$1:$BZ$1001,26,F$2)&amp;""),""))</f>
        <v/>
      </c>
      <c r="G27">
        <f>IF(G$2=0,"",IFERROR(TRIM(INDEX('Pegar docentes'!$A$1:$BZ$1001,26,G$2)&amp;""),""))</f>
        <v/>
      </c>
      <c r="H27">
        <f>IF(H$2=0,"",IFERROR(TRIM(INDEX('Pegar docentes'!$A$1:$BZ$1001,26,H$2)&amp;""),""))</f>
        <v/>
      </c>
      <c r="I27">
        <f>IF(I$2=0,"",IFERROR(TRIM(INDEX('Pegar docentes'!$A$1:$BZ$1001,26,I$2)&amp;""),""))</f>
        <v/>
      </c>
      <c r="J27">
        <f>IF(J$2=0,"",IFERROR(TRIM(INDEX('Pegar docentes'!$A$1:$BZ$1001,26,J$2)&amp;""),""))</f>
        <v/>
      </c>
      <c r="K27">
        <f>IF(K$2=0,"",IFERROR(TRIM(INDEX('Pegar docentes'!$A$1:$BZ$1001,26,K$2)&amp;""),""))</f>
        <v/>
      </c>
      <c r="L27">
        <f>IF(L$2=0,"",IFERROR(TRIM(INDEX('Pegar docentes'!$A$1:$BZ$1001,26,L$2)&amp;""),""))</f>
        <v/>
      </c>
      <c r="M27">
        <f>IF(M$2=0,"",IFERROR(TRIM(INDEX('Pegar docentes'!$A$1:$BZ$1001,26,M$2)&amp;""),""))</f>
        <v/>
      </c>
      <c r="N27">
        <f>IF(N$2=0,"",IFERROR(TRIM(INDEX('Pegar docentes'!$A$1:$BZ$1001,26,N$2)&amp;""),""))</f>
        <v/>
      </c>
      <c r="O27">
        <f>IF(O$2=0,"",IFERROR(TRIM(INDEX('Pegar docentes'!$A$1:$BZ$1001,26,O$2)&amp;""),""))</f>
        <v/>
      </c>
      <c r="P27">
        <f>IF(P$2=0,"",IFERROR(TRIM(INDEX('Pegar docentes'!$A$1:$BZ$1001,26,P$2)&amp;""),""))</f>
        <v/>
      </c>
      <c r="Q27" s="25">
        <f>IF(OR(D27&lt;&gt;"",H27&lt;&gt;""),1,"")</f>
        <v/>
      </c>
      <c r="R27" s="25">
        <f>IF(Q27=1,IF(ISNUMBER(FIND("#"&amp;MID(D27,1,1)&amp;"#","#0#1#2#3#4#5#6#7#8#9#")),IF(ISNUMBER(FIND("#"&amp;MID(D27,2,1)&amp;"#","#0#1#2#3#4#5#6#7#8#9#")),IF(AND(VALUE(LEFT(D27,2))&gt;=1,VALUE(LEFT(D27,2))&lt;=5),VALUE(LEFT(D27,2)),""),IF(AND(VALUE(LEFT(D27,1))&gt;=1,VALUE(LEFT(D27,1))&lt;=5),VALUE(LEFT(D27,1)),"")),""),"")</f>
        <v/>
      </c>
      <c r="S27" s="25">
        <f>IF(AND(Q27=1,E27&lt;&gt;""),SUBSTITUTE(SUBSTITUTE(SUBSTITUTE(SUBSTITUTE(SUBSTITUTE(SUBSTITUTE(SUBSTITUTE(SUBSTITUTE(SUBSTITUTE(SUBSTITUTE(SUBSTITUTE(SUBSTITUTE(LOWER(TRIM(E27)),"á","a"),"é","e"),"í","i"),"ó","o"),"ú","u"),"ü","u"),"ñ","n"),"à","a"),"è","e"),"ì","i"),"ò","o"),"ù","u"),"")</f>
        <v/>
      </c>
      <c r="T27" s="25">
        <f>IF(AND(Q27=1,G27&lt;&gt;""),SUBSTITUTE(SUBSTITUTE(SUBSTITUTE(SUBSTITUTE(SUBSTITUTE(SUBSTITUTE(SUBSTITUTE(SUBSTITUTE(SUBSTITUTE(SUBSTITUTE(SUBSTITUTE(SUBSTITUTE(LOWER(TRIM(G27)),"á","a"),"é","e"),"í","i"),"ó","o"),"ú","u"),"ü","u"),"ñ","n"),"à","a"),"è","e"),"ì","i"),"ò","o"),"ù","u"),"")</f>
        <v/>
      </c>
      <c r="U27" s="25">
        <f>IF(AND(Q27=1,H27&lt;&gt;""),SUBSTITUTE(SUBSTITUTE(SUBSTITUTE(SUBSTITUTE(SUBSTITUTE(SUBSTITUTE(SUBSTITUTE(SUBSTITUTE(SUBSTITUTE(SUBSTITUTE(SUBSTITUTE(SUBSTITUTE(LOWER(TRIM(H27)),"á","a"),"é","e"),"í","i"),"ó","o"),"ú","u"),"ü","u"),"ñ","n"),"à","a"),"è","e"),"ì","i"),"ò","o"),"ù","u"),"")</f>
        <v/>
      </c>
      <c r="V27" s="25">
        <f>IF(AND(Q27=1,L27&lt;&gt;""),SUBSTITUTE(SUBSTITUTE(SUBSTITUTE(SUBSTITUTE(SUBSTITUTE(SUBSTITUTE(SUBSTITUTE(SUBSTITUTE(SUBSTITUTE(SUBSTITUTE(SUBSTITUTE(SUBSTITUTE(LOWER(TRIM(L27)),"á","a"),"é","e"),"í","i"),"ó","o"),"ú","u"),"ü","u"),"ñ","n"),"à","a"),"è","e"),"ì","i"),"ò","o"),"ù","u"),"")</f>
        <v/>
      </c>
      <c r="W27" s="25">
        <f>IF(AND(Q27=1,I27&lt;&gt;""),SUBSTITUTE(SUBSTITUTE(SUBSTITUTE(SUBSTITUTE(SUBSTITUTE(SUBSTITUTE(SUBSTITUTE(SUBSTITUTE(SUBSTITUTE(SUBSTITUTE(SUBSTITUTE(SUBSTITUTE(LOWER(TRIM(I27)),"á","a"),"é","e"),"í","i"),"ó","o"),"ú","u"),"ü","u"),"ñ","n"),"à","a"),"è","e"),"ì","i"),"ò","o"),"ù","u"),"")</f>
        <v/>
      </c>
      <c r="X27" s="25">
        <f>IF(U27="","",IF(OR(U27="si, en la proxima tarea",U27="si, con cambios"),1,0))</f>
        <v/>
      </c>
      <c r="Y27" s="25">
        <f>IF(AND(Q27=1,A27&lt;&gt;""),IF(IFERROR(COUNTIFS(A$3:A27,"="&amp;SUBSTITUTE(SUBSTITUTE(SUBSTITUTE(A27,"~","~~"),"*","~*"),"?","~?"),Q$3:Q27,1),0)=1,MAX(Y$2:Y26)+1,""),"")</f>
        <v/>
      </c>
      <c r="Z27" s="25">
        <f>IF(Y27="","",COUNTIFS($A$3:$A$1002,"="&amp;SUBSTITUTE(SUBSTITUTE(SUBSTITUTE(A27,"~","~~"),"*","~*"),"?","~?"),$Q$3:$Q$1002,1)*10000-Y27)</f>
        <v/>
      </c>
    </row>
    <row r="28">
      <c r="A28">
        <f>IF(A$2=0,"",IFERROR(TRIM(INDEX('Pegar docentes'!$A$1:$BZ$1001,27,A$2)&amp;""),""))</f>
        <v/>
      </c>
      <c r="B28">
        <f>IF(B$2=0,"",IFERROR(TRIM(INDEX('Pegar docentes'!$A$1:$BZ$1001,27,B$2)&amp;""),""))</f>
        <v/>
      </c>
      <c r="C28">
        <f>IF(C$2=0,"",IFERROR(TRIM(INDEX('Pegar docentes'!$A$1:$BZ$1001,27,C$2)&amp;""),""))</f>
        <v/>
      </c>
      <c r="D28">
        <f>IF(D$2=0,"",IFERROR(TRIM(INDEX('Pegar docentes'!$A$1:$BZ$1001,27,D$2)&amp;""),""))</f>
        <v/>
      </c>
      <c r="E28">
        <f>IF(E$2=0,"",IFERROR(TRIM(INDEX('Pegar docentes'!$A$1:$BZ$1001,27,E$2)&amp;""),""))</f>
        <v/>
      </c>
      <c r="F28">
        <f>IF(F$2=0,"",IFERROR(TRIM(INDEX('Pegar docentes'!$A$1:$BZ$1001,27,F$2)&amp;""),""))</f>
        <v/>
      </c>
      <c r="G28">
        <f>IF(G$2=0,"",IFERROR(TRIM(INDEX('Pegar docentes'!$A$1:$BZ$1001,27,G$2)&amp;""),""))</f>
        <v/>
      </c>
      <c r="H28">
        <f>IF(H$2=0,"",IFERROR(TRIM(INDEX('Pegar docentes'!$A$1:$BZ$1001,27,H$2)&amp;""),""))</f>
        <v/>
      </c>
      <c r="I28">
        <f>IF(I$2=0,"",IFERROR(TRIM(INDEX('Pegar docentes'!$A$1:$BZ$1001,27,I$2)&amp;""),""))</f>
        <v/>
      </c>
      <c r="J28">
        <f>IF(J$2=0,"",IFERROR(TRIM(INDEX('Pegar docentes'!$A$1:$BZ$1001,27,J$2)&amp;""),""))</f>
        <v/>
      </c>
      <c r="K28">
        <f>IF(K$2=0,"",IFERROR(TRIM(INDEX('Pegar docentes'!$A$1:$BZ$1001,27,K$2)&amp;""),""))</f>
        <v/>
      </c>
      <c r="L28">
        <f>IF(L$2=0,"",IFERROR(TRIM(INDEX('Pegar docentes'!$A$1:$BZ$1001,27,L$2)&amp;""),""))</f>
        <v/>
      </c>
      <c r="M28">
        <f>IF(M$2=0,"",IFERROR(TRIM(INDEX('Pegar docentes'!$A$1:$BZ$1001,27,M$2)&amp;""),""))</f>
        <v/>
      </c>
      <c r="N28">
        <f>IF(N$2=0,"",IFERROR(TRIM(INDEX('Pegar docentes'!$A$1:$BZ$1001,27,N$2)&amp;""),""))</f>
        <v/>
      </c>
      <c r="O28">
        <f>IF(O$2=0,"",IFERROR(TRIM(INDEX('Pegar docentes'!$A$1:$BZ$1001,27,O$2)&amp;""),""))</f>
        <v/>
      </c>
      <c r="P28">
        <f>IF(P$2=0,"",IFERROR(TRIM(INDEX('Pegar docentes'!$A$1:$BZ$1001,27,P$2)&amp;""),""))</f>
        <v/>
      </c>
      <c r="Q28" s="25">
        <f>IF(OR(D28&lt;&gt;"",H28&lt;&gt;""),1,"")</f>
        <v/>
      </c>
      <c r="R28" s="25">
        <f>IF(Q28=1,IF(ISNUMBER(FIND("#"&amp;MID(D28,1,1)&amp;"#","#0#1#2#3#4#5#6#7#8#9#")),IF(ISNUMBER(FIND("#"&amp;MID(D28,2,1)&amp;"#","#0#1#2#3#4#5#6#7#8#9#")),IF(AND(VALUE(LEFT(D28,2))&gt;=1,VALUE(LEFT(D28,2))&lt;=5),VALUE(LEFT(D28,2)),""),IF(AND(VALUE(LEFT(D28,1))&gt;=1,VALUE(LEFT(D28,1))&lt;=5),VALUE(LEFT(D28,1)),"")),""),"")</f>
        <v/>
      </c>
      <c r="S28" s="25">
        <f>IF(AND(Q28=1,E28&lt;&gt;""),SUBSTITUTE(SUBSTITUTE(SUBSTITUTE(SUBSTITUTE(SUBSTITUTE(SUBSTITUTE(SUBSTITUTE(SUBSTITUTE(SUBSTITUTE(SUBSTITUTE(SUBSTITUTE(SUBSTITUTE(LOWER(TRIM(E28)),"á","a"),"é","e"),"í","i"),"ó","o"),"ú","u"),"ü","u"),"ñ","n"),"à","a"),"è","e"),"ì","i"),"ò","o"),"ù","u"),"")</f>
        <v/>
      </c>
      <c r="T28" s="25">
        <f>IF(AND(Q28=1,G28&lt;&gt;""),SUBSTITUTE(SUBSTITUTE(SUBSTITUTE(SUBSTITUTE(SUBSTITUTE(SUBSTITUTE(SUBSTITUTE(SUBSTITUTE(SUBSTITUTE(SUBSTITUTE(SUBSTITUTE(SUBSTITUTE(LOWER(TRIM(G28)),"á","a"),"é","e"),"í","i"),"ó","o"),"ú","u"),"ü","u"),"ñ","n"),"à","a"),"è","e"),"ì","i"),"ò","o"),"ù","u"),"")</f>
        <v/>
      </c>
      <c r="U28" s="25">
        <f>IF(AND(Q28=1,H28&lt;&gt;""),SUBSTITUTE(SUBSTITUTE(SUBSTITUTE(SUBSTITUTE(SUBSTITUTE(SUBSTITUTE(SUBSTITUTE(SUBSTITUTE(SUBSTITUTE(SUBSTITUTE(SUBSTITUTE(SUBSTITUTE(LOWER(TRIM(H28)),"á","a"),"é","e"),"í","i"),"ó","o"),"ú","u"),"ü","u"),"ñ","n"),"à","a"),"è","e"),"ì","i"),"ò","o"),"ù","u"),"")</f>
        <v/>
      </c>
      <c r="V28" s="25">
        <f>IF(AND(Q28=1,L28&lt;&gt;""),SUBSTITUTE(SUBSTITUTE(SUBSTITUTE(SUBSTITUTE(SUBSTITUTE(SUBSTITUTE(SUBSTITUTE(SUBSTITUTE(SUBSTITUTE(SUBSTITUTE(SUBSTITUTE(SUBSTITUTE(LOWER(TRIM(L28)),"á","a"),"é","e"),"í","i"),"ó","o"),"ú","u"),"ü","u"),"ñ","n"),"à","a"),"è","e"),"ì","i"),"ò","o"),"ù","u"),"")</f>
        <v/>
      </c>
      <c r="W28" s="25">
        <f>IF(AND(Q28=1,I28&lt;&gt;""),SUBSTITUTE(SUBSTITUTE(SUBSTITUTE(SUBSTITUTE(SUBSTITUTE(SUBSTITUTE(SUBSTITUTE(SUBSTITUTE(SUBSTITUTE(SUBSTITUTE(SUBSTITUTE(SUBSTITUTE(LOWER(TRIM(I28)),"á","a"),"é","e"),"í","i"),"ó","o"),"ú","u"),"ü","u"),"ñ","n"),"à","a"),"è","e"),"ì","i"),"ò","o"),"ù","u"),"")</f>
        <v/>
      </c>
      <c r="X28" s="25">
        <f>IF(U28="","",IF(OR(U28="si, en la proxima tarea",U28="si, con cambios"),1,0))</f>
        <v/>
      </c>
      <c r="Y28" s="25">
        <f>IF(AND(Q28=1,A28&lt;&gt;""),IF(IFERROR(COUNTIFS(A$3:A28,"="&amp;SUBSTITUTE(SUBSTITUTE(SUBSTITUTE(A28,"~","~~"),"*","~*"),"?","~?"),Q$3:Q28,1),0)=1,MAX(Y$2:Y27)+1,""),"")</f>
        <v/>
      </c>
      <c r="Z28" s="25">
        <f>IF(Y28="","",COUNTIFS($A$3:$A$1002,"="&amp;SUBSTITUTE(SUBSTITUTE(SUBSTITUTE(A28,"~","~~"),"*","~*"),"?","~?"),$Q$3:$Q$1002,1)*10000-Y28)</f>
        <v/>
      </c>
    </row>
    <row r="29">
      <c r="A29">
        <f>IF(A$2=0,"",IFERROR(TRIM(INDEX('Pegar docentes'!$A$1:$BZ$1001,28,A$2)&amp;""),""))</f>
        <v/>
      </c>
      <c r="B29">
        <f>IF(B$2=0,"",IFERROR(TRIM(INDEX('Pegar docentes'!$A$1:$BZ$1001,28,B$2)&amp;""),""))</f>
        <v/>
      </c>
      <c r="C29">
        <f>IF(C$2=0,"",IFERROR(TRIM(INDEX('Pegar docentes'!$A$1:$BZ$1001,28,C$2)&amp;""),""))</f>
        <v/>
      </c>
      <c r="D29">
        <f>IF(D$2=0,"",IFERROR(TRIM(INDEX('Pegar docentes'!$A$1:$BZ$1001,28,D$2)&amp;""),""))</f>
        <v/>
      </c>
      <c r="E29">
        <f>IF(E$2=0,"",IFERROR(TRIM(INDEX('Pegar docentes'!$A$1:$BZ$1001,28,E$2)&amp;""),""))</f>
        <v/>
      </c>
      <c r="F29">
        <f>IF(F$2=0,"",IFERROR(TRIM(INDEX('Pegar docentes'!$A$1:$BZ$1001,28,F$2)&amp;""),""))</f>
        <v/>
      </c>
      <c r="G29">
        <f>IF(G$2=0,"",IFERROR(TRIM(INDEX('Pegar docentes'!$A$1:$BZ$1001,28,G$2)&amp;""),""))</f>
        <v/>
      </c>
      <c r="H29">
        <f>IF(H$2=0,"",IFERROR(TRIM(INDEX('Pegar docentes'!$A$1:$BZ$1001,28,H$2)&amp;""),""))</f>
        <v/>
      </c>
      <c r="I29">
        <f>IF(I$2=0,"",IFERROR(TRIM(INDEX('Pegar docentes'!$A$1:$BZ$1001,28,I$2)&amp;""),""))</f>
        <v/>
      </c>
      <c r="J29">
        <f>IF(J$2=0,"",IFERROR(TRIM(INDEX('Pegar docentes'!$A$1:$BZ$1001,28,J$2)&amp;""),""))</f>
        <v/>
      </c>
      <c r="K29">
        <f>IF(K$2=0,"",IFERROR(TRIM(INDEX('Pegar docentes'!$A$1:$BZ$1001,28,K$2)&amp;""),""))</f>
        <v/>
      </c>
      <c r="L29">
        <f>IF(L$2=0,"",IFERROR(TRIM(INDEX('Pegar docentes'!$A$1:$BZ$1001,28,L$2)&amp;""),""))</f>
        <v/>
      </c>
      <c r="M29">
        <f>IF(M$2=0,"",IFERROR(TRIM(INDEX('Pegar docentes'!$A$1:$BZ$1001,28,M$2)&amp;""),""))</f>
        <v/>
      </c>
      <c r="N29">
        <f>IF(N$2=0,"",IFERROR(TRIM(INDEX('Pegar docentes'!$A$1:$BZ$1001,28,N$2)&amp;""),""))</f>
        <v/>
      </c>
      <c r="O29">
        <f>IF(O$2=0,"",IFERROR(TRIM(INDEX('Pegar docentes'!$A$1:$BZ$1001,28,O$2)&amp;""),""))</f>
        <v/>
      </c>
      <c r="P29">
        <f>IF(P$2=0,"",IFERROR(TRIM(INDEX('Pegar docentes'!$A$1:$BZ$1001,28,P$2)&amp;""),""))</f>
        <v/>
      </c>
      <c r="Q29" s="25">
        <f>IF(OR(D29&lt;&gt;"",H29&lt;&gt;""),1,"")</f>
        <v/>
      </c>
      <c r="R29" s="25">
        <f>IF(Q29=1,IF(ISNUMBER(FIND("#"&amp;MID(D29,1,1)&amp;"#","#0#1#2#3#4#5#6#7#8#9#")),IF(ISNUMBER(FIND("#"&amp;MID(D29,2,1)&amp;"#","#0#1#2#3#4#5#6#7#8#9#")),IF(AND(VALUE(LEFT(D29,2))&gt;=1,VALUE(LEFT(D29,2))&lt;=5),VALUE(LEFT(D29,2)),""),IF(AND(VALUE(LEFT(D29,1))&gt;=1,VALUE(LEFT(D29,1))&lt;=5),VALUE(LEFT(D29,1)),"")),""),"")</f>
        <v/>
      </c>
      <c r="S29" s="25">
        <f>IF(AND(Q29=1,E29&lt;&gt;""),SUBSTITUTE(SUBSTITUTE(SUBSTITUTE(SUBSTITUTE(SUBSTITUTE(SUBSTITUTE(SUBSTITUTE(SUBSTITUTE(SUBSTITUTE(SUBSTITUTE(SUBSTITUTE(SUBSTITUTE(LOWER(TRIM(E29)),"á","a"),"é","e"),"í","i"),"ó","o"),"ú","u"),"ü","u"),"ñ","n"),"à","a"),"è","e"),"ì","i"),"ò","o"),"ù","u"),"")</f>
        <v/>
      </c>
      <c r="T29" s="25">
        <f>IF(AND(Q29=1,G29&lt;&gt;""),SUBSTITUTE(SUBSTITUTE(SUBSTITUTE(SUBSTITUTE(SUBSTITUTE(SUBSTITUTE(SUBSTITUTE(SUBSTITUTE(SUBSTITUTE(SUBSTITUTE(SUBSTITUTE(SUBSTITUTE(LOWER(TRIM(G29)),"á","a"),"é","e"),"í","i"),"ó","o"),"ú","u"),"ü","u"),"ñ","n"),"à","a"),"è","e"),"ì","i"),"ò","o"),"ù","u"),"")</f>
        <v/>
      </c>
      <c r="U29" s="25">
        <f>IF(AND(Q29=1,H29&lt;&gt;""),SUBSTITUTE(SUBSTITUTE(SUBSTITUTE(SUBSTITUTE(SUBSTITUTE(SUBSTITUTE(SUBSTITUTE(SUBSTITUTE(SUBSTITUTE(SUBSTITUTE(SUBSTITUTE(SUBSTITUTE(LOWER(TRIM(H29)),"á","a"),"é","e"),"í","i"),"ó","o"),"ú","u"),"ü","u"),"ñ","n"),"à","a"),"è","e"),"ì","i"),"ò","o"),"ù","u"),"")</f>
        <v/>
      </c>
      <c r="V29" s="25">
        <f>IF(AND(Q29=1,L29&lt;&gt;""),SUBSTITUTE(SUBSTITUTE(SUBSTITUTE(SUBSTITUTE(SUBSTITUTE(SUBSTITUTE(SUBSTITUTE(SUBSTITUTE(SUBSTITUTE(SUBSTITUTE(SUBSTITUTE(SUBSTITUTE(LOWER(TRIM(L29)),"á","a"),"é","e"),"í","i"),"ó","o"),"ú","u"),"ü","u"),"ñ","n"),"à","a"),"è","e"),"ì","i"),"ò","o"),"ù","u"),"")</f>
        <v/>
      </c>
      <c r="W29" s="25">
        <f>IF(AND(Q29=1,I29&lt;&gt;""),SUBSTITUTE(SUBSTITUTE(SUBSTITUTE(SUBSTITUTE(SUBSTITUTE(SUBSTITUTE(SUBSTITUTE(SUBSTITUTE(SUBSTITUTE(SUBSTITUTE(SUBSTITUTE(SUBSTITUTE(LOWER(TRIM(I29)),"á","a"),"é","e"),"í","i"),"ó","o"),"ú","u"),"ü","u"),"ñ","n"),"à","a"),"è","e"),"ì","i"),"ò","o"),"ù","u"),"")</f>
        <v/>
      </c>
      <c r="X29" s="25">
        <f>IF(U29="","",IF(OR(U29="si, en la proxima tarea",U29="si, con cambios"),1,0))</f>
        <v/>
      </c>
      <c r="Y29" s="25">
        <f>IF(AND(Q29=1,A29&lt;&gt;""),IF(IFERROR(COUNTIFS(A$3:A29,"="&amp;SUBSTITUTE(SUBSTITUTE(SUBSTITUTE(A29,"~","~~"),"*","~*"),"?","~?"),Q$3:Q29,1),0)=1,MAX(Y$2:Y28)+1,""),"")</f>
        <v/>
      </c>
      <c r="Z29" s="25">
        <f>IF(Y29="","",COUNTIFS($A$3:$A$1002,"="&amp;SUBSTITUTE(SUBSTITUTE(SUBSTITUTE(A29,"~","~~"),"*","~*"),"?","~?"),$Q$3:$Q$1002,1)*10000-Y29)</f>
        <v/>
      </c>
    </row>
    <row r="30">
      <c r="A30">
        <f>IF(A$2=0,"",IFERROR(TRIM(INDEX('Pegar docentes'!$A$1:$BZ$1001,29,A$2)&amp;""),""))</f>
        <v/>
      </c>
      <c r="B30">
        <f>IF(B$2=0,"",IFERROR(TRIM(INDEX('Pegar docentes'!$A$1:$BZ$1001,29,B$2)&amp;""),""))</f>
        <v/>
      </c>
      <c r="C30">
        <f>IF(C$2=0,"",IFERROR(TRIM(INDEX('Pegar docentes'!$A$1:$BZ$1001,29,C$2)&amp;""),""))</f>
        <v/>
      </c>
      <c r="D30">
        <f>IF(D$2=0,"",IFERROR(TRIM(INDEX('Pegar docentes'!$A$1:$BZ$1001,29,D$2)&amp;""),""))</f>
        <v/>
      </c>
      <c r="E30">
        <f>IF(E$2=0,"",IFERROR(TRIM(INDEX('Pegar docentes'!$A$1:$BZ$1001,29,E$2)&amp;""),""))</f>
        <v/>
      </c>
      <c r="F30">
        <f>IF(F$2=0,"",IFERROR(TRIM(INDEX('Pegar docentes'!$A$1:$BZ$1001,29,F$2)&amp;""),""))</f>
        <v/>
      </c>
      <c r="G30">
        <f>IF(G$2=0,"",IFERROR(TRIM(INDEX('Pegar docentes'!$A$1:$BZ$1001,29,G$2)&amp;""),""))</f>
        <v/>
      </c>
      <c r="H30">
        <f>IF(H$2=0,"",IFERROR(TRIM(INDEX('Pegar docentes'!$A$1:$BZ$1001,29,H$2)&amp;""),""))</f>
        <v/>
      </c>
      <c r="I30">
        <f>IF(I$2=0,"",IFERROR(TRIM(INDEX('Pegar docentes'!$A$1:$BZ$1001,29,I$2)&amp;""),""))</f>
        <v/>
      </c>
      <c r="J30">
        <f>IF(J$2=0,"",IFERROR(TRIM(INDEX('Pegar docentes'!$A$1:$BZ$1001,29,J$2)&amp;""),""))</f>
        <v/>
      </c>
      <c r="K30">
        <f>IF(K$2=0,"",IFERROR(TRIM(INDEX('Pegar docentes'!$A$1:$BZ$1001,29,K$2)&amp;""),""))</f>
        <v/>
      </c>
      <c r="L30">
        <f>IF(L$2=0,"",IFERROR(TRIM(INDEX('Pegar docentes'!$A$1:$BZ$1001,29,L$2)&amp;""),""))</f>
        <v/>
      </c>
      <c r="M30">
        <f>IF(M$2=0,"",IFERROR(TRIM(INDEX('Pegar docentes'!$A$1:$BZ$1001,29,M$2)&amp;""),""))</f>
        <v/>
      </c>
      <c r="N30">
        <f>IF(N$2=0,"",IFERROR(TRIM(INDEX('Pegar docentes'!$A$1:$BZ$1001,29,N$2)&amp;""),""))</f>
        <v/>
      </c>
      <c r="O30">
        <f>IF(O$2=0,"",IFERROR(TRIM(INDEX('Pegar docentes'!$A$1:$BZ$1001,29,O$2)&amp;""),""))</f>
        <v/>
      </c>
      <c r="P30">
        <f>IF(P$2=0,"",IFERROR(TRIM(INDEX('Pegar docentes'!$A$1:$BZ$1001,29,P$2)&amp;""),""))</f>
        <v/>
      </c>
      <c r="Q30" s="25">
        <f>IF(OR(D30&lt;&gt;"",H30&lt;&gt;""),1,"")</f>
        <v/>
      </c>
      <c r="R30" s="25">
        <f>IF(Q30=1,IF(ISNUMBER(FIND("#"&amp;MID(D30,1,1)&amp;"#","#0#1#2#3#4#5#6#7#8#9#")),IF(ISNUMBER(FIND("#"&amp;MID(D30,2,1)&amp;"#","#0#1#2#3#4#5#6#7#8#9#")),IF(AND(VALUE(LEFT(D30,2))&gt;=1,VALUE(LEFT(D30,2))&lt;=5),VALUE(LEFT(D30,2)),""),IF(AND(VALUE(LEFT(D30,1))&gt;=1,VALUE(LEFT(D30,1))&lt;=5),VALUE(LEFT(D30,1)),"")),""),"")</f>
        <v/>
      </c>
      <c r="S30" s="25">
        <f>IF(AND(Q30=1,E30&lt;&gt;""),SUBSTITUTE(SUBSTITUTE(SUBSTITUTE(SUBSTITUTE(SUBSTITUTE(SUBSTITUTE(SUBSTITUTE(SUBSTITUTE(SUBSTITUTE(SUBSTITUTE(SUBSTITUTE(SUBSTITUTE(LOWER(TRIM(E30)),"á","a"),"é","e"),"í","i"),"ó","o"),"ú","u"),"ü","u"),"ñ","n"),"à","a"),"è","e"),"ì","i"),"ò","o"),"ù","u"),"")</f>
        <v/>
      </c>
      <c r="T30" s="25">
        <f>IF(AND(Q30=1,G30&lt;&gt;""),SUBSTITUTE(SUBSTITUTE(SUBSTITUTE(SUBSTITUTE(SUBSTITUTE(SUBSTITUTE(SUBSTITUTE(SUBSTITUTE(SUBSTITUTE(SUBSTITUTE(SUBSTITUTE(SUBSTITUTE(LOWER(TRIM(G30)),"á","a"),"é","e"),"í","i"),"ó","o"),"ú","u"),"ü","u"),"ñ","n"),"à","a"),"è","e"),"ì","i"),"ò","o"),"ù","u"),"")</f>
        <v/>
      </c>
      <c r="U30" s="25">
        <f>IF(AND(Q30=1,H30&lt;&gt;""),SUBSTITUTE(SUBSTITUTE(SUBSTITUTE(SUBSTITUTE(SUBSTITUTE(SUBSTITUTE(SUBSTITUTE(SUBSTITUTE(SUBSTITUTE(SUBSTITUTE(SUBSTITUTE(SUBSTITUTE(LOWER(TRIM(H30)),"á","a"),"é","e"),"í","i"),"ó","o"),"ú","u"),"ü","u"),"ñ","n"),"à","a"),"è","e"),"ì","i"),"ò","o"),"ù","u"),"")</f>
        <v/>
      </c>
      <c r="V30" s="25">
        <f>IF(AND(Q30=1,L30&lt;&gt;""),SUBSTITUTE(SUBSTITUTE(SUBSTITUTE(SUBSTITUTE(SUBSTITUTE(SUBSTITUTE(SUBSTITUTE(SUBSTITUTE(SUBSTITUTE(SUBSTITUTE(SUBSTITUTE(SUBSTITUTE(LOWER(TRIM(L30)),"á","a"),"é","e"),"í","i"),"ó","o"),"ú","u"),"ü","u"),"ñ","n"),"à","a"),"è","e"),"ì","i"),"ò","o"),"ù","u"),"")</f>
        <v/>
      </c>
      <c r="W30" s="25">
        <f>IF(AND(Q30=1,I30&lt;&gt;""),SUBSTITUTE(SUBSTITUTE(SUBSTITUTE(SUBSTITUTE(SUBSTITUTE(SUBSTITUTE(SUBSTITUTE(SUBSTITUTE(SUBSTITUTE(SUBSTITUTE(SUBSTITUTE(SUBSTITUTE(LOWER(TRIM(I30)),"á","a"),"é","e"),"í","i"),"ó","o"),"ú","u"),"ü","u"),"ñ","n"),"à","a"),"è","e"),"ì","i"),"ò","o"),"ù","u"),"")</f>
        <v/>
      </c>
      <c r="X30" s="25">
        <f>IF(U30="","",IF(OR(U30="si, en la proxima tarea",U30="si, con cambios"),1,0))</f>
        <v/>
      </c>
      <c r="Y30" s="25">
        <f>IF(AND(Q30=1,A30&lt;&gt;""),IF(IFERROR(COUNTIFS(A$3:A30,"="&amp;SUBSTITUTE(SUBSTITUTE(SUBSTITUTE(A30,"~","~~"),"*","~*"),"?","~?"),Q$3:Q30,1),0)=1,MAX(Y$2:Y29)+1,""),"")</f>
        <v/>
      </c>
      <c r="Z30" s="25">
        <f>IF(Y30="","",COUNTIFS($A$3:$A$1002,"="&amp;SUBSTITUTE(SUBSTITUTE(SUBSTITUTE(A30,"~","~~"),"*","~*"),"?","~?"),$Q$3:$Q$1002,1)*10000-Y30)</f>
        <v/>
      </c>
    </row>
    <row r="31">
      <c r="A31">
        <f>IF(A$2=0,"",IFERROR(TRIM(INDEX('Pegar docentes'!$A$1:$BZ$1001,30,A$2)&amp;""),""))</f>
        <v/>
      </c>
      <c r="B31">
        <f>IF(B$2=0,"",IFERROR(TRIM(INDEX('Pegar docentes'!$A$1:$BZ$1001,30,B$2)&amp;""),""))</f>
        <v/>
      </c>
      <c r="C31">
        <f>IF(C$2=0,"",IFERROR(TRIM(INDEX('Pegar docentes'!$A$1:$BZ$1001,30,C$2)&amp;""),""))</f>
        <v/>
      </c>
      <c r="D31">
        <f>IF(D$2=0,"",IFERROR(TRIM(INDEX('Pegar docentes'!$A$1:$BZ$1001,30,D$2)&amp;""),""))</f>
        <v/>
      </c>
      <c r="E31">
        <f>IF(E$2=0,"",IFERROR(TRIM(INDEX('Pegar docentes'!$A$1:$BZ$1001,30,E$2)&amp;""),""))</f>
        <v/>
      </c>
      <c r="F31">
        <f>IF(F$2=0,"",IFERROR(TRIM(INDEX('Pegar docentes'!$A$1:$BZ$1001,30,F$2)&amp;""),""))</f>
        <v/>
      </c>
      <c r="G31">
        <f>IF(G$2=0,"",IFERROR(TRIM(INDEX('Pegar docentes'!$A$1:$BZ$1001,30,G$2)&amp;""),""))</f>
        <v/>
      </c>
      <c r="H31">
        <f>IF(H$2=0,"",IFERROR(TRIM(INDEX('Pegar docentes'!$A$1:$BZ$1001,30,H$2)&amp;""),""))</f>
        <v/>
      </c>
      <c r="I31">
        <f>IF(I$2=0,"",IFERROR(TRIM(INDEX('Pegar docentes'!$A$1:$BZ$1001,30,I$2)&amp;""),""))</f>
        <v/>
      </c>
      <c r="J31">
        <f>IF(J$2=0,"",IFERROR(TRIM(INDEX('Pegar docentes'!$A$1:$BZ$1001,30,J$2)&amp;""),""))</f>
        <v/>
      </c>
      <c r="K31">
        <f>IF(K$2=0,"",IFERROR(TRIM(INDEX('Pegar docentes'!$A$1:$BZ$1001,30,K$2)&amp;""),""))</f>
        <v/>
      </c>
      <c r="L31">
        <f>IF(L$2=0,"",IFERROR(TRIM(INDEX('Pegar docentes'!$A$1:$BZ$1001,30,L$2)&amp;""),""))</f>
        <v/>
      </c>
      <c r="M31">
        <f>IF(M$2=0,"",IFERROR(TRIM(INDEX('Pegar docentes'!$A$1:$BZ$1001,30,M$2)&amp;""),""))</f>
        <v/>
      </c>
      <c r="N31">
        <f>IF(N$2=0,"",IFERROR(TRIM(INDEX('Pegar docentes'!$A$1:$BZ$1001,30,N$2)&amp;""),""))</f>
        <v/>
      </c>
      <c r="O31">
        <f>IF(O$2=0,"",IFERROR(TRIM(INDEX('Pegar docentes'!$A$1:$BZ$1001,30,O$2)&amp;""),""))</f>
        <v/>
      </c>
      <c r="P31">
        <f>IF(P$2=0,"",IFERROR(TRIM(INDEX('Pegar docentes'!$A$1:$BZ$1001,30,P$2)&amp;""),""))</f>
        <v/>
      </c>
      <c r="Q31" s="25">
        <f>IF(OR(D31&lt;&gt;"",H31&lt;&gt;""),1,"")</f>
        <v/>
      </c>
      <c r="R31" s="25">
        <f>IF(Q31=1,IF(ISNUMBER(FIND("#"&amp;MID(D31,1,1)&amp;"#","#0#1#2#3#4#5#6#7#8#9#")),IF(ISNUMBER(FIND("#"&amp;MID(D31,2,1)&amp;"#","#0#1#2#3#4#5#6#7#8#9#")),IF(AND(VALUE(LEFT(D31,2))&gt;=1,VALUE(LEFT(D31,2))&lt;=5),VALUE(LEFT(D31,2)),""),IF(AND(VALUE(LEFT(D31,1))&gt;=1,VALUE(LEFT(D31,1))&lt;=5),VALUE(LEFT(D31,1)),"")),""),"")</f>
        <v/>
      </c>
      <c r="S31" s="25">
        <f>IF(AND(Q31=1,E31&lt;&gt;""),SUBSTITUTE(SUBSTITUTE(SUBSTITUTE(SUBSTITUTE(SUBSTITUTE(SUBSTITUTE(SUBSTITUTE(SUBSTITUTE(SUBSTITUTE(SUBSTITUTE(SUBSTITUTE(SUBSTITUTE(LOWER(TRIM(E31)),"á","a"),"é","e"),"í","i"),"ó","o"),"ú","u"),"ü","u"),"ñ","n"),"à","a"),"è","e"),"ì","i"),"ò","o"),"ù","u"),"")</f>
        <v/>
      </c>
      <c r="T31" s="25">
        <f>IF(AND(Q31=1,G31&lt;&gt;""),SUBSTITUTE(SUBSTITUTE(SUBSTITUTE(SUBSTITUTE(SUBSTITUTE(SUBSTITUTE(SUBSTITUTE(SUBSTITUTE(SUBSTITUTE(SUBSTITUTE(SUBSTITUTE(SUBSTITUTE(LOWER(TRIM(G31)),"á","a"),"é","e"),"í","i"),"ó","o"),"ú","u"),"ü","u"),"ñ","n"),"à","a"),"è","e"),"ì","i"),"ò","o"),"ù","u"),"")</f>
        <v/>
      </c>
      <c r="U31" s="25">
        <f>IF(AND(Q31=1,H31&lt;&gt;""),SUBSTITUTE(SUBSTITUTE(SUBSTITUTE(SUBSTITUTE(SUBSTITUTE(SUBSTITUTE(SUBSTITUTE(SUBSTITUTE(SUBSTITUTE(SUBSTITUTE(SUBSTITUTE(SUBSTITUTE(LOWER(TRIM(H31)),"á","a"),"é","e"),"í","i"),"ó","o"),"ú","u"),"ü","u"),"ñ","n"),"à","a"),"è","e"),"ì","i"),"ò","o"),"ù","u"),"")</f>
        <v/>
      </c>
      <c r="V31" s="25">
        <f>IF(AND(Q31=1,L31&lt;&gt;""),SUBSTITUTE(SUBSTITUTE(SUBSTITUTE(SUBSTITUTE(SUBSTITUTE(SUBSTITUTE(SUBSTITUTE(SUBSTITUTE(SUBSTITUTE(SUBSTITUTE(SUBSTITUTE(SUBSTITUTE(LOWER(TRIM(L31)),"á","a"),"é","e"),"í","i"),"ó","o"),"ú","u"),"ü","u"),"ñ","n"),"à","a"),"è","e"),"ì","i"),"ò","o"),"ù","u"),"")</f>
        <v/>
      </c>
      <c r="W31" s="25">
        <f>IF(AND(Q31=1,I31&lt;&gt;""),SUBSTITUTE(SUBSTITUTE(SUBSTITUTE(SUBSTITUTE(SUBSTITUTE(SUBSTITUTE(SUBSTITUTE(SUBSTITUTE(SUBSTITUTE(SUBSTITUTE(SUBSTITUTE(SUBSTITUTE(LOWER(TRIM(I31)),"á","a"),"é","e"),"í","i"),"ó","o"),"ú","u"),"ü","u"),"ñ","n"),"à","a"),"è","e"),"ì","i"),"ò","o"),"ù","u"),"")</f>
        <v/>
      </c>
      <c r="X31" s="25">
        <f>IF(U31="","",IF(OR(U31="si, en la proxima tarea",U31="si, con cambios"),1,0))</f>
        <v/>
      </c>
      <c r="Y31" s="25">
        <f>IF(AND(Q31=1,A31&lt;&gt;""),IF(IFERROR(COUNTIFS(A$3:A31,"="&amp;SUBSTITUTE(SUBSTITUTE(SUBSTITUTE(A31,"~","~~"),"*","~*"),"?","~?"),Q$3:Q31,1),0)=1,MAX(Y$2:Y30)+1,""),"")</f>
        <v/>
      </c>
      <c r="Z31" s="25">
        <f>IF(Y31="","",COUNTIFS($A$3:$A$1002,"="&amp;SUBSTITUTE(SUBSTITUTE(SUBSTITUTE(A31,"~","~~"),"*","~*"),"?","~?"),$Q$3:$Q$1002,1)*10000-Y31)</f>
        <v/>
      </c>
    </row>
    <row r="32">
      <c r="A32">
        <f>IF(A$2=0,"",IFERROR(TRIM(INDEX('Pegar docentes'!$A$1:$BZ$1001,31,A$2)&amp;""),""))</f>
        <v/>
      </c>
      <c r="B32">
        <f>IF(B$2=0,"",IFERROR(TRIM(INDEX('Pegar docentes'!$A$1:$BZ$1001,31,B$2)&amp;""),""))</f>
        <v/>
      </c>
      <c r="C32">
        <f>IF(C$2=0,"",IFERROR(TRIM(INDEX('Pegar docentes'!$A$1:$BZ$1001,31,C$2)&amp;""),""))</f>
        <v/>
      </c>
      <c r="D32">
        <f>IF(D$2=0,"",IFERROR(TRIM(INDEX('Pegar docentes'!$A$1:$BZ$1001,31,D$2)&amp;""),""))</f>
        <v/>
      </c>
      <c r="E32">
        <f>IF(E$2=0,"",IFERROR(TRIM(INDEX('Pegar docentes'!$A$1:$BZ$1001,31,E$2)&amp;""),""))</f>
        <v/>
      </c>
      <c r="F32">
        <f>IF(F$2=0,"",IFERROR(TRIM(INDEX('Pegar docentes'!$A$1:$BZ$1001,31,F$2)&amp;""),""))</f>
        <v/>
      </c>
      <c r="G32">
        <f>IF(G$2=0,"",IFERROR(TRIM(INDEX('Pegar docentes'!$A$1:$BZ$1001,31,G$2)&amp;""),""))</f>
        <v/>
      </c>
      <c r="H32">
        <f>IF(H$2=0,"",IFERROR(TRIM(INDEX('Pegar docentes'!$A$1:$BZ$1001,31,H$2)&amp;""),""))</f>
        <v/>
      </c>
      <c r="I32">
        <f>IF(I$2=0,"",IFERROR(TRIM(INDEX('Pegar docentes'!$A$1:$BZ$1001,31,I$2)&amp;""),""))</f>
        <v/>
      </c>
      <c r="J32">
        <f>IF(J$2=0,"",IFERROR(TRIM(INDEX('Pegar docentes'!$A$1:$BZ$1001,31,J$2)&amp;""),""))</f>
        <v/>
      </c>
      <c r="K32">
        <f>IF(K$2=0,"",IFERROR(TRIM(INDEX('Pegar docentes'!$A$1:$BZ$1001,31,K$2)&amp;""),""))</f>
        <v/>
      </c>
      <c r="L32">
        <f>IF(L$2=0,"",IFERROR(TRIM(INDEX('Pegar docentes'!$A$1:$BZ$1001,31,L$2)&amp;""),""))</f>
        <v/>
      </c>
      <c r="M32">
        <f>IF(M$2=0,"",IFERROR(TRIM(INDEX('Pegar docentes'!$A$1:$BZ$1001,31,M$2)&amp;""),""))</f>
        <v/>
      </c>
      <c r="N32">
        <f>IF(N$2=0,"",IFERROR(TRIM(INDEX('Pegar docentes'!$A$1:$BZ$1001,31,N$2)&amp;""),""))</f>
        <v/>
      </c>
      <c r="O32">
        <f>IF(O$2=0,"",IFERROR(TRIM(INDEX('Pegar docentes'!$A$1:$BZ$1001,31,O$2)&amp;""),""))</f>
        <v/>
      </c>
      <c r="P32">
        <f>IF(P$2=0,"",IFERROR(TRIM(INDEX('Pegar docentes'!$A$1:$BZ$1001,31,P$2)&amp;""),""))</f>
        <v/>
      </c>
      <c r="Q32" s="25">
        <f>IF(OR(D32&lt;&gt;"",H32&lt;&gt;""),1,"")</f>
        <v/>
      </c>
      <c r="R32" s="25">
        <f>IF(Q32=1,IF(ISNUMBER(FIND("#"&amp;MID(D32,1,1)&amp;"#","#0#1#2#3#4#5#6#7#8#9#")),IF(ISNUMBER(FIND("#"&amp;MID(D32,2,1)&amp;"#","#0#1#2#3#4#5#6#7#8#9#")),IF(AND(VALUE(LEFT(D32,2))&gt;=1,VALUE(LEFT(D32,2))&lt;=5),VALUE(LEFT(D32,2)),""),IF(AND(VALUE(LEFT(D32,1))&gt;=1,VALUE(LEFT(D32,1))&lt;=5),VALUE(LEFT(D32,1)),"")),""),"")</f>
        <v/>
      </c>
      <c r="S32" s="25">
        <f>IF(AND(Q32=1,E32&lt;&gt;""),SUBSTITUTE(SUBSTITUTE(SUBSTITUTE(SUBSTITUTE(SUBSTITUTE(SUBSTITUTE(SUBSTITUTE(SUBSTITUTE(SUBSTITUTE(SUBSTITUTE(SUBSTITUTE(SUBSTITUTE(LOWER(TRIM(E32)),"á","a"),"é","e"),"í","i"),"ó","o"),"ú","u"),"ü","u"),"ñ","n"),"à","a"),"è","e"),"ì","i"),"ò","o"),"ù","u"),"")</f>
        <v/>
      </c>
      <c r="T32" s="25">
        <f>IF(AND(Q32=1,G32&lt;&gt;""),SUBSTITUTE(SUBSTITUTE(SUBSTITUTE(SUBSTITUTE(SUBSTITUTE(SUBSTITUTE(SUBSTITUTE(SUBSTITUTE(SUBSTITUTE(SUBSTITUTE(SUBSTITUTE(SUBSTITUTE(LOWER(TRIM(G32)),"á","a"),"é","e"),"í","i"),"ó","o"),"ú","u"),"ü","u"),"ñ","n"),"à","a"),"è","e"),"ì","i"),"ò","o"),"ù","u"),"")</f>
        <v/>
      </c>
      <c r="U32" s="25">
        <f>IF(AND(Q32=1,H32&lt;&gt;""),SUBSTITUTE(SUBSTITUTE(SUBSTITUTE(SUBSTITUTE(SUBSTITUTE(SUBSTITUTE(SUBSTITUTE(SUBSTITUTE(SUBSTITUTE(SUBSTITUTE(SUBSTITUTE(SUBSTITUTE(LOWER(TRIM(H32)),"á","a"),"é","e"),"í","i"),"ó","o"),"ú","u"),"ü","u"),"ñ","n"),"à","a"),"è","e"),"ì","i"),"ò","o"),"ù","u"),"")</f>
        <v/>
      </c>
      <c r="V32" s="25">
        <f>IF(AND(Q32=1,L32&lt;&gt;""),SUBSTITUTE(SUBSTITUTE(SUBSTITUTE(SUBSTITUTE(SUBSTITUTE(SUBSTITUTE(SUBSTITUTE(SUBSTITUTE(SUBSTITUTE(SUBSTITUTE(SUBSTITUTE(SUBSTITUTE(LOWER(TRIM(L32)),"á","a"),"é","e"),"í","i"),"ó","o"),"ú","u"),"ü","u"),"ñ","n"),"à","a"),"è","e"),"ì","i"),"ò","o"),"ù","u"),"")</f>
        <v/>
      </c>
      <c r="W32" s="25">
        <f>IF(AND(Q32=1,I32&lt;&gt;""),SUBSTITUTE(SUBSTITUTE(SUBSTITUTE(SUBSTITUTE(SUBSTITUTE(SUBSTITUTE(SUBSTITUTE(SUBSTITUTE(SUBSTITUTE(SUBSTITUTE(SUBSTITUTE(SUBSTITUTE(LOWER(TRIM(I32)),"á","a"),"é","e"),"í","i"),"ó","o"),"ú","u"),"ü","u"),"ñ","n"),"à","a"),"è","e"),"ì","i"),"ò","o"),"ù","u"),"")</f>
        <v/>
      </c>
      <c r="X32" s="25">
        <f>IF(U32="","",IF(OR(U32="si, en la proxima tarea",U32="si, con cambios"),1,0))</f>
        <v/>
      </c>
      <c r="Y32" s="25">
        <f>IF(AND(Q32=1,A32&lt;&gt;""),IF(IFERROR(COUNTIFS(A$3:A32,"="&amp;SUBSTITUTE(SUBSTITUTE(SUBSTITUTE(A32,"~","~~"),"*","~*"),"?","~?"),Q$3:Q32,1),0)=1,MAX(Y$2:Y31)+1,""),"")</f>
        <v/>
      </c>
      <c r="Z32" s="25">
        <f>IF(Y32="","",COUNTIFS($A$3:$A$1002,"="&amp;SUBSTITUTE(SUBSTITUTE(SUBSTITUTE(A32,"~","~~"),"*","~*"),"?","~?"),$Q$3:$Q$1002,1)*10000-Y32)</f>
        <v/>
      </c>
    </row>
    <row r="33">
      <c r="A33">
        <f>IF(A$2=0,"",IFERROR(TRIM(INDEX('Pegar docentes'!$A$1:$BZ$1001,32,A$2)&amp;""),""))</f>
        <v/>
      </c>
      <c r="B33">
        <f>IF(B$2=0,"",IFERROR(TRIM(INDEX('Pegar docentes'!$A$1:$BZ$1001,32,B$2)&amp;""),""))</f>
        <v/>
      </c>
      <c r="C33">
        <f>IF(C$2=0,"",IFERROR(TRIM(INDEX('Pegar docentes'!$A$1:$BZ$1001,32,C$2)&amp;""),""))</f>
        <v/>
      </c>
      <c r="D33">
        <f>IF(D$2=0,"",IFERROR(TRIM(INDEX('Pegar docentes'!$A$1:$BZ$1001,32,D$2)&amp;""),""))</f>
        <v/>
      </c>
      <c r="E33">
        <f>IF(E$2=0,"",IFERROR(TRIM(INDEX('Pegar docentes'!$A$1:$BZ$1001,32,E$2)&amp;""),""))</f>
        <v/>
      </c>
      <c r="F33">
        <f>IF(F$2=0,"",IFERROR(TRIM(INDEX('Pegar docentes'!$A$1:$BZ$1001,32,F$2)&amp;""),""))</f>
        <v/>
      </c>
      <c r="G33">
        <f>IF(G$2=0,"",IFERROR(TRIM(INDEX('Pegar docentes'!$A$1:$BZ$1001,32,G$2)&amp;""),""))</f>
        <v/>
      </c>
      <c r="H33">
        <f>IF(H$2=0,"",IFERROR(TRIM(INDEX('Pegar docentes'!$A$1:$BZ$1001,32,H$2)&amp;""),""))</f>
        <v/>
      </c>
      <c r="I33">
        <f>IF(I$2=0,"",IFERROR(TRIM(INDEX('Pegar docentes'!$A$1:$BZ$1001,32,I$2)&amp;""),""))</f>
        <v/>
      </c>
      <c r="J33">
        <f>IF(J$2=0,"",IFERROR(TRIM(INDEX('Pegar docentes'!$A$1:$BZ$1001,32,J$2)&amp;""),""))</f>
        <v/>
      </c>
      <c r="K33">
        <f>IF(K$2=0,"",IFERROR(TRIM(INDEX('Pegar docentes'!$A$1:$BZ$1001,32,K$2)&amp;""),""))</f>
        <v/>
      </c>
      <c r="L33">
        <f>IF(L$2=0,"",IFERROR(TRIM(INDEX('Pegar docentes'!$A$1:$BZ$1001,32,L$2)&amp;""),""))</f>
        <v/>
      </c>
      <c r="M33">
        <f>IF(M$2=0,"",IFERROR(TRIM(INDEX('Pegar docentes'!$A$1:$BZ$1001,32,M$2)&amp;""),""))</f>
        <v/>
      </c>
      <c r="N33">
        <f>IF(N$2=0,"",IFERROR(TRIM(INDEX('Pegar docentes'!$A$1:$BZ$1001,32,N$2)&amp;""),""))</f>
        <v/>
      </c>
      <c r="O33">
        <f>IF(O$2=0,"",IFERROR(TRIM(INDEX('Pegar docentes'!$A$1:$BZ$1001,32,O$2)&amp;""),""))</f>
        <v/>
      </c>
      <c r="P33">
        <f>IF(P$2=0,"",IFERROR(TRIM(INDEX('Pegar docentes'!$A$1:$BZ$1001,32,P$2)&amp;""),""))</f>
        <v/>
      </c>
      <c r="Q33" s="25">
        <f>IF(OR(D33&lt;&gt;"",H33&lt;&gt;""),1,"")</f>
        <v/>
      </c>
      <c r="R33" s="25">
        <f>IF(Q33=1,IF(ISNUMBER(FIND("#"&amp;MID(D33,1,1)&amp;"#","#0#1#2#3#4#5#6#7#8#9#")),IF(ISNUMBER(FIND("#"&amp;MID(D33,2,1)&amp;"#","#0#1#2#3#4#5#6#7#8#9#")),IF(AND(VALUE(LEFT(D33,2))&gt;=1,VALUE(LEFT(D33,2))&lt;=5),VALUE(LEFT(D33,2)),""),IF(AND(VALUE(LEFT(D33,1))&gt;=1,VALUE(LEFT(D33,1))&lt;=5),VALUE(LEFT(D33,1)),"")),""),"")</f>
        <v/>
      </c>
      <c r="S33" s="25">
        <f>IF(AND(Q33=1,E33&lt;&gt;""),SUBSTITUTE(SUBSTITUTE(SUBSTITUTE(SUBSTITUTE(SUBSTITUTE(SUBSTITUTE(SUBSTITUTE(SUBSTITUTE(SUBSTITUTE(SUBSTITUTE(SUBSTITUTE(SUBSTITUTE(LOWER(TRIM(E33)),"á","a"),"é","e"),"í","i"),"ó","o"),"ú","u"),"ü","u"),"ñ","n"),"à","a"),"è","e"),"ì","i"),"ò","o"),"ù","u"),"")</f>
        <v/>
      </c>
      <c r="T33" s="25">
        <f>IF(AND(Q33=1,G33&lt;&gt;""),SUBSTITUTE(SUBSTITUTE(SUBSTITUTE(SUBSTITUTE(SUBSTITUTE(SUBSTITUTE(SUBSTITUTE(SUBSTITUTE(SUBSTITUTE(SUBSTITUTE(SUBSTITUTE(SUBSTITUTE(LOWER(TRIM(G33)),"á","a"),"é","e"),"í","i"),"ó","o"),"ú","u"),"ü","u"),"ñ","n"),"à","a"),"è","e"),"ì","i"),"ò","o"),"ù","u"),"")</f>
        <v/>
      </c>
      <c r="U33" s="25">
        <f>IF(AND(Q33=1,H33&lt;&gt;""),SUBSTITUTE(SUBSTITUTE(SUBSTITUTE(SUBSTITUTE(SUBSTITUTE(SUBSTITUTE(SUBSTITUTE(SUBSTITUTE(SUBSTITUTE(SUBSTITUTE(SUBSTITUTE(SUBSTITUTE(LOWER(TRIM(H33)),"á","a"),"é","e"),"í","i"),"ó","o"),"ú","u"),"ü","u"),"ñ","n"),"à","a"),"è","e"),"ì","i"),"ò","o"),"ù","u"),"")</f>
        <v/>
      </c>
      <c r="V33" s="25">
        <f>IF(AND(Q33=1,L33&lt;&gt;""),SUBSTITUTE(SUBSTITUTE(SUBSTITUTE(SUBSTITUTE(SUBSTITUTE(SUBSTITUTE(SUBSTITUTE(SUBSTITUTE(SUBSTITUTE(SUBSTITUTE(SUBSTITUTE(SUBSTITUTE(LOWER(TRIM(L33)),"á","a"),"é","e"),"í","i"),"ó","o"),"ú","u"),"ü","u"),"ñ","n"),"à","a"),"è","e"),"ì","i"),"ò","o"),"ù","u"),"")</f>
        <v/>
      </c>
      <c r="W33" s="25">
        <f>IF(AND(Q33=1,I33&lt;&gt;""),SUBSTITUTE(SUBSTITUTE(SUBSTITUTE(SUBSTITUTE(SUBSTITUTE(SUBSTITUTE(SUBSTITUTE(SUBSTITUTE(SUBSTITUTE(SUBSTITUTE(SUBSTITUTE(SUBSTITUTE(LOWER(TRIM(I33)),"á","a"),"é","e"),"í","i"),"ó","o"),"ú","u"),"ü","u"),"ñ","n"),"à","a"),"è","e"),"ì","i"),"ò","o"),"ù","u"),"")</f>
        <v/>
      </c>
      <c r="X33" s="25">
        <f>IF(U33="","",IF(OR(U33="si, en la proxima tarea",U33="si, con cambios"),1,0))</f>
        <v/>
      </c>
      <c r="Y33" s="25">
        <f>IF(AND(Q33=1,A33&lt;&gt;""),IF(IFERROR(COUNTIFS(A$3:A33,"="&amp;SUBSTITUTE(SUBSTITUTE(SUBSTITUTE(A33,"~","~~"),"*","~*"),"?","~?"),Q$3:Q33,1),0)=1,MAX(Y$2:Y32)+1,""),"")</f>
        <v/>
      </c>
      <c r="Z33" s="25">
        <f>IF(Y33="","",COUNTIFS($A$3:$A$1002,"="&amp;SUBSTITUTE(SUBSTITUTE(SUBSTITUTE(A33,"~","~~"),"*","~*"),"?","~?"),$Q$3:$Q$1002,1)*10000-Y33)</f>
        <v/>
      </c>
    </row>
    <row r="34">
      <c r="A34">
        <f>IF(A$2=0,"",IFERROR(TRIM(INDEX('Pegar docentes'!$A$1:$BZ$1001,33,A$2)&amp;""),""))</f>
        <v/>
      </c>
      <c r="B34">
        <f>IF(B$2=0,"",IFERROR(TRIM(INDEX('Pegar docentes'!$A$1:$BZ$1001,33,B$2)&amp;""),""))</f>
        <v/>
      </c>
      <c r="C34">
        <f>IF(C$2=0,"",IFERROR(TRIM(INDEX('Pegar docentes'!$A$1:$BZ$1001,33,C$2)&amp;""),""))</f>
        <v/>
      </c>
      <c r="D34">
        <f>IF(D$2=0,"",IFERROR(TRIM(INDEX('Pegar docentes'!$A$1:$BZ$1001,33,D$2)&amp;""),""))</f>
        <v/>
      </c>
      <c r="E34">
        <f>IF(E$2=0,"",IFERROR(TRIM(INDEX('Pegar docentes'!$A$1:$BZ$1001,33,E$2)&amp;""),""))</f>
        <v/>
      </c>
      <c r="F34">
        <f>IF(F$2=0,"",IFERROR(TRIM(INDEX('Pegar docentes'!$A$1:$BZ$1001,33,F$2)&amp;""),""))</f>
        <v/>
      </c>
      <c r="G34">
        <f>IF(G$2=0,"",IFERROR(TRIM(INDEX('Pegar docentes'!$A$1:$BZ$1001,33,G$2)&amp;""),""))</f>
        <v/>
      </c>
      <c r="H34">
        <f>IF(H$2=0,"",IFERROR(TRIM(INDEX('Pegar docentes'!$A$1:$BZ$1001,33,H$2)&amp;""),""))</f>
        <v/>
      </c>
      <c r="I34">
        <f>IF(I$2=0,"",IFERROR(TRIM(INDEX('Pegar docentes'!$A$1:$BZ$1001,33,I$2)&amp;""),""))</f>
        <v/>
      </c>
      <c r="J34">
        <f>IF(J$2=0,"",IFERROR(TRIM(INDEX('Pegar docentes'!$A$1:$BZ$1001,33,J$2)&amp;""),""))</f>
        <v/>
      </c>
      <c r="K34">
        <f>IF(K$2=0,"",IFERROR(TRIM(INDEX('Pegar docentes'!$A$1:$BZ$1001,33,K$2)&amp;""),""))</f>
        <v/>
      </c>
      <c r="L34">
        <f>IF(L$2=0,"",IFERROR(TRIM(INDEX('Pegar docentes'!$A$1:$BZ$1001,33,L$2)&amp;""),""))</f>
        <v/>
      </c>
      <c r="M34">
        <f>IF(M$2=0,"",IFERROR(TRIM(INDEX('Pegar docentes'!$A$1:$BZ$1001,33,M$2)&amp;""),""))</f>
        <v/>
      </c>
      <c r="N34">
        <f>IF(N$2=0,"",IFERROR(TRIM(INDEX('Pegar docentes'!$A$1:$BZ$1001,33,N$2)&amp;""),""))</f>
        <v/>
      </c>
      <c r="O34">
        <f>IF(O$2=0,"",IFERROR(TRIM(INDEX('Pegar docentes'!$A$1:$BZ$1001,33,O$2)&amp;""),""))</f>
        <v/>
      </c>
      <c r="P34">
        <f>IF(P$2=0,"",IFERROR(TRIM(INDEX('Pegar docentes'!$A$1:$BZ$1001,33,P$2)&amp;""),""))</f>
        <v/>
      </c>
      <c r="Q34" s="25">
        <f>IF(OR(D34&lt;&gt;"",H34&lt;&gt;""),1,"")</f>
        <v/>
      </c>
      <c r="R34" s="25">
        <f>IF(Q34=1,IF(ISNUMBER(FIND("#"&amp;MID(D34,1,1)&amp;"#","#0#1#2#3#4#5#6#7#8#9#")),IF(ISNUMBER(FIND("#"&amp;MID(D34,2,1)&amp;"#","#0#1#2#3#4#5#6#7#8#9#")),IF(AND(VALUE(LEFT(D34,2))&gt;=1,VALUE(LEFT(D34,2))&lt;=5),VALUE(LEFT(D34,2)),""),IF(AND(VALUE(LEFT(D34,1))&gt;=1,VALUE(LEFT(D34,1))&lt;=5),VALUE(LEFT(D34,1)),"")),""),"")</f>
        <v/>
      </c>
      <c r="S34" s="25">
        <f>IF(AND(Q34=1,E34&lt;&gt;""),SUBSTITUTE(SUBSTITUTE(SUBSTITUTE(SUBSTITUTE(SUBSTITUTE(SUBSTITUTE(SUBSTITUTE(SUBSTITUTE(SUBSTITUTE(SUBSTITUTE(SUBSTITUTE(SUBSTITUTE(LOWER(TRIM(E34)),"á","a"),"é","e"),"í","i"),"ó","o"),"ú","u"),"ü","u"),"ñ","n"),"à","a"),"è","e"),"ì","i"),"ò","o"),"ù","u"),"")</f>
        <v/>
      </c>
      <c r="T34" s="25">
        <f>IF(AND(Q34=1,G34&lt;&gt;""),SUBSTITUTE(SUBSTITUTE(SUBSTITUTE(SUBSTITUTE(SUBSTITUTE(SUBSTITUTE(SUBSTITUTE(SUBSTITUTE(SUBSTITUTE(SUBSTITUTE(SUBSTITUTE(SUBSTITUTE(LOWER(TRIM(G34)),"á","a"),"é","e"),"í","i"),"ó","o"),"ú","u"),"ü","u"),"ñ","n"),"à","a"),"è","e"),"ì","i"),"ò","o"),"ù","u"),"")</f>
        <v/>
      </c>
      <c r="U34" s="25">
        <f>IF(AND(Q34=1,H34&lt;&gt;""),SUBSTITUTE(SUBSTITUTE(SUBSTITUTE(SUBSTITUTE(SUBSTITUTE(SUBSTITUTE(SUBSTITUTE(SUBSTITUTE(SUBSTITUTE(SUBSTITUTE(SUBSTITUTE(SUBSTITUTE(LOWER(TRIM(H34)),"á","a"),"é","e"),"í","i"),"ó","o"),"ú","u"),"ü","u"),"ñ","n"),"à","a"),"è","e"),"ì","i"),"ò","o"),"ù","u"),"")</f>
        <v/>
      </c>
      <c r="V34" s="25">
        <f>IF(AND(Q34=1,L34&lt;&gt;""),SUBSTITUTE(SUBSTITUTE(SUBSTITUTE(SUBSTITUTE(SUBSTITUTE(SUBSTITUTE(SUBSTITUTE(SUBSTITUTE(SUBSTITUTE(SUBSTITUTE(SUBSTITUTE(SUBSTITUTE(LOWER(TRIM(L34)),"á","a"),"é","e"),"í","i"),"ó","o"),"ú","u"),"ü","u"),"ñ","n"),"à","a"),"è","e"),"ì","i"),"ò","o"),"ù","u"),"")</f>
        <v/>
      </c>
      <c r="W34" s="25">
        <f>IF(AND(Q34=1,I34&lt;&gt;""),SUBSTITUTE(SUBSTITUTE(SUBSTITUTE(SUBSTITUTE(SUBSTITUTE(SUBSTITUTE(SUBSTITUTE(SUBSTITUTE(SUBSTITUTE(SUBSTITUTE(SUBSTITUTE(SUBSTITUTE(LOWER(TRIM(I34)),"á","a"),"é","e"),"í","i"),"ó","o"),"ú","u"),"ü","u"),"ñ","n"),"à","a"),"è","e"),"ì","i"),"ò","o"),"ù","u"),"")</f>
        <v/>
      </c>
      <c r="X34" s="25">
        <f>IF(U34="","",IF(OR(U34="si, en la proxima tarea",U34="si, con cambios"),1,0))</f>
        <v/>
      </c>
      <c r="Y34" s="25">
        <f>IF(AND(Q34=1,A34&lt;&gt;""),IF(IFERROR(COUNTIFS(A$3:A34,"="&amp;SUBSTITUTE(SUBSTITUTE(SUBSTITUTE(A34,"~","~~"),"*","~*"),"?","~?"),Q$3:Q34,1),0)=1,MAX(Y$2:Y33)+1,""),"")</f>
        <v/>
      </c>
      <c r="Z34" s="25">
        <f>IF(Y34="","",COUNTIFS($A$3:$A$1002,"="&amp;SUBSTITUTE(SUBSTITUTE(SUBSTITUTE(A34,"~","~~"),"*","~*"),"?","~?"),$Q$3:$Q$1002,1)*10000-Y34)</f>
        <v/>
      </c>
    </row>
    <row r="35">
      <c r="A35">
        <f>IF(A$2=0,"",IFERROR(TRIM(INDEX('Pegar docentes'!$A$1:$BZ$1001,34,A$2)&amp;""),""))</f>
        <v/>
      </c>
      <c r="B35">
        <f>IF(B$2=0,"",IFERROR(TRIM(INDEX('Pegar docentes'!$A$1:$BZ$1001,34,B$2)&amp;""),""))</f>
        <v/>
      </c>
      <c r="C35">
        <f>IF(C$2=0,"",IFERROR(TRIM(INDEX('Pegar docentes'!$A$1:$BZ$1001,34,C$2)&amp;""),""))</f>
        <v/>
      </c>
      <c r="D35">
        <f>IF(D$2=0,"",IFERROR(TRIM(INDEX('Pegar docentes'!$A$1:$BZ$1001,34,D$2)&amp;""),""))</f>
        <v/>
      </c>
      <c r="E35">
        <f>IF(E$2=0,"",IFERROR(TRIM(INDEX('Pegar docentes'!$A$1:$BZ$1001,34,E$2)&amp;""),""))</f>
        <v/>
      </c>
      <c r="F35">
        <f>IF(F$2=0,"",IFERROR(TRIM(INDEX('Pegar docentes'!$A$1:$BZ$1001,34,F$2)&amp;""),""))</f>
        <v/>
      </c>
      <c r="G35">
        <f>IF(G$2=0,"",IFERROR(TRIM(INDEX('Pegar docentes'!$A$1:$BZ$1001,34,G$2)&amp;""),""))</f>
        <v/>
      </c>
      <c r="H35">
        <f>IF(H$2=0,"",IFERROR(TRIM(INDEX('Pegar docentes'!$A$1:$BZ$1001,34,H$2)&amp;""),""))</f>
        <v/>
      </c>
      <c r="I35">
        <f>IF(I$2=0,"",IFERROR(TRIM(INDEX('Pegar docentes'!$A$1:$BZ$1001,34,I$2)&amp;""),""))</f>
        <v/>
      </c>
      <c r="J35">
        <f>IF(J$2=0,"",IFERROR(TRIM(INDEX('Pegar docentes'!$A$1:$BZ$1001,34,J$2)&amp;""),""))</f>
        <v/>
      </c>
      <c r="K35">
        <f>IF(K$2=0,"",IFERROR(TRIM(INDEX('Pegar docentes'!$A$1:$BZ$1001,34,K$2)&amp;""),""))</f>
        <v/>
      </c>
      <c r="L35">
        <f>IF(L$2=0,"",IFERROR(TRIM(INDEX('Pegar docentes'!$A$1:$BZ$1001,34,L$2)&amp;""),""))</f>
        <v/>
      </c>
      <c r="M35">
        <f>IF(M$2=0,"",IFERROR(TRIM(INDEX('Pegar docentes'!$A$1:$BZ$1001,34,M$2)&amp;""),""))</f>
        <v/>
      </c>
      <c r="N35">
        <f>IF(N$2=0,"",IFERROR(TRIM(INDEX('Pegar docentes'!$A$1:$BZ$1001,34,N$2)&amp;""),""))</f>
        <v/>
      </c>
      <c r="O35">
        <f>IF(O$2=0,"",IFERROR(TRIM(INDEX('Pegar docentes'!$A$1:$BZ$1001,34,O$2)&amp;""),""))</f>
        <v/>
      </c>
      <c r="P35">
        <f>IF(P$2=0,"",IFERROR(TRIM(INDEX('Pegar docentes'!$A$1:$BZ$1001,34,P$2)&amp;""),""))</f>
        <v/>
      </c>
      <c r="Q35" s="25">
        <f>IF(OR(D35&lt;&gt;"",H35&lt;&gt;""),1,"")</f>
        <v/>
      </c>
      <c r="R35" s="25">
        <f>IF(Q35=1,IF(ISNUMBER(FIND("#"&amp;MID(D35,1,1)&amp;"#","#0#1#2#3#4#5#6#7#8#9#")),IF(ISNUMBER(FIND("#"&amp;MID(D35,2,1)&amp;"#","#0#1#2#3#4#5#6#7#8#9#")),IF(AND(VALUE(LEFT(D35,2))&gt;=1,VALUE(LEFT(D35,2))&lt;=5),VALUE(LEFT(D35,2)),""),IF(AND(VALUE(LEFT(D35,1))&gt;=1,VALUE(LEFT(D35,1))&lt;=5),VALUE(LEFT(D35,1)),"")),""),"")</f>
        <v/>
      </c>
      <c r="S35" s="25">
        <f>IF(AND(Q35=1,E35&lt;&gt;""),SUBSTITUTE(SUBSTITUTE(SUBSTITUTE(SUBSTITUTE(SUBSTITUTE(SUBSTITUTE(SUBSTITUTE(SUBSTITUTE(SUBSTITUTE(SUBSTITUTE(SUBSTITUTE(SUBSTITUTE(LOWER(TRIM(E35)),"á","a"),"é","e"),"í","i"),"ó","o"),"ú","u"),"ü","u"),"ñ","n"),"à","a"),"è","e"),"ì","i"),"ò","o"),"ù","u"),"")</f>
        <v/>
      </c>
      <c r="T35" s="25">
        <f>IF(AND(Q35=1,G35&lt;&gt;""),SUBSTITUTE(SUBSTITUTE(SUBSTITUTE(SUBSTITUTE(SUBSTITUTE(SUBSTITUTE(SUBSTITUTE(SUBSTITUTE(SUBSTITUTE(SUBSTITUTE(SUBSTITUTE(SUBSTITUTE(LOWER(TRIM(G35)),"á","a"),"é","e"),"í","i"),"ó","o"),"ú","u"),"ü","u"),"ñ","n"),"à","a"),"è","e"),"ì","i"),"ò","o"),"ù","u"),"")</f>
        <v/>
      </c>
      <c r="U35" s="25">
        <f>IF(AND(Q35=1,H35&lt;&gt;""),SUBSTITUTE(SUBSTITUTE(SUBSTITUTE(SUBSTITUTE(SUBSTITUTE(SUBSTITUTE(SUBSTITUTE(SUBSTITUTE(SUBSTITUTE(SUBSTITUTE(SUBSTITUTE(SUBSTITUTE(LOWER(TRIM(H35)),"á","a"),"é","e"),"í","i"),"ó","o"),"ú","u"),"ü","u"),"ñ","n"),"à","a"),"è","e"),"ì","i"),"ò","o"),"ù","u"),"")</f>
        <v/>
      </c>
      <c r="V35" s="25">
        <f>IF(AND(Q35=1,L35&lt;&gt;""),SUBSTITUTE(SUBSTITUTE(SUBSTITUTE(SUBSTITUTE(SUBSTITUTE(SUBSTITUTE(SUBSTITUTE(SUBSTITUTE(SUBSTITUTE(SUBSTITUTE(SUBSTITUTE(SUBSTITUTE(LOWER(TRIM(L35)),"á","a"),"é","e"),"í","i"),"ó","o"),"ú","u"),"ü","u"),"ñ","n"),"à","a"),"è","e"),"ì","i"),"ò","o"),"ù","u"),"")</f>
        <v/>
      </c>
      <c r="W35" s="25">
        <f>IF(AND(Q35=1,I35&lt;&gt;""),SUBSTITUTE(SUBSTITUTE(SUBSTITUTE(SUBSTITUTE(SUBSTITUTE(SUBSTITUTE(SUBSTITUTE(SUBSTITUTE(SUBSTITUTE(SUBSTITUTE(SUBSTITUTE(SUBSTITUTE(LOWER(TRIM(I35)),"á","a"),"é","e"),"í","i"),"ó","o"),"ú","u"),"ü","u"),"ñ","n"),"à","a"),"è","e"),"ì","i"),"ò","o"),"ù","u"),"")</f>
        <v/>
      </c>
      <c r="X35" s="25">
        <f>IF(U35="","",IF(OR(U35="si, en la proxima tarea",U35="si, con cambios"),1,0))</f>
        <v/>
      </c>
      <c r="Y35" s="25">
        <f>IF(AND(Q35=1,A35&lt;&gt;""),IF(IFERROR(COUNTIFS(A$3:A35,"="&amp;SUBSTITUTE(SUBSTITUTE(SUBSTITUTE(A35,"~","~~"),"*","~*"),"?","~?"),Q$3:Q35,1),0)=1,MAX(Y$2:Y34)+1,""),"")</f>
        <v/>
      </c>
      <c r="Z35" s="25">
        <f>IF(Y35="","",COUNTIFS($A$3:$A$1002,"="&amp;SUBSTITUTE(SUBSTITUTE(SUBSTITUTE(A35,"~","~~"),"*","~*"),"?","~?"),$Q$3:$Q$1002,1)*10000-Y35)</f>
        <v/>
      </c>
    </row>
    <row r="36">
      <c r="A36">
        <f>IF(A$2=0,"",IFERROR(TRIM(INDEX('Pegar docentes'!$A$1:$BZ$1001,35,A$2)&amp;""),""))</f>
        <v/>
      </c>
      <c r="B36">
        <f>IF(B$2=0,"",IFERROR(TRIM(INDEX('Pegar docentes'!$A$1:$BZ$1001,35,B$2)&amp;""),""))</f>
        <v/>
      </c>
      <c r="C36">
        <f>IF(C$2=0,"",IFERROR(TRIM(INDEX('Pegar docentes'!$A$1:$BZ$1001,35,C$2)&amp;""),""))</f>
        <v/>
      </c>
      <c r="D36">
        <f>IF(D$2=0,"",IFERROR(TRIM(INDEX('Pegar docentes'!$A$1:$BZ$1001,35,D$2)&amp;""),""))</f>
        <v/>
      </c>
      <c r="E36">
        <f>IF(E$2=0,"",IFERROR(TRIM(INDEX('Pegar docentes'!$A$1:$BZ$1001,35,E$2)&amp;""),""))</f>
        <v/>
      </c>
      <c r="F36">
        <f>IF(F$2=0,"",IFERROR(TRIM(INDEX('Pegar docentes'!$A$1:$BZ$1001,35,F$2)&amp;""),""))</f>
        <v/>
      </c>
      <c r="G36">
        <f>IF(G$2=0,"",IFERROR(TRIM(INDEX('Pegar docentes'!$A$1:$BZ$1001,35,G$2)&amp;""),""))</f>
        <v/>
      </c>
      <c r="H36">
        <f>IF(H$2=0,"",IFERROR(TRIM(INDEX('Pegar docentes'!$A$1:$BZ$1001,35,H$2)&amp;""),""))</f>
        <v/>
      </c>
      <c r="I36">
        <f>IF(I$2=0,"",IFERROR(TRIM(INDEX('Pegar docentes'!$A$1:$BZ$1001,35,I$2)&amp;""),""))</f>
        <v/>
      </c>
      <c r="J36">
        <f>IF(J$2=0,"",IFERROR(TRIM(INDEX('Pegar docentes'!$A$1:$BZ$1001,35,J$2)&amp;""),""))</f>
        <v/>
      </c>
      <c r="K36">
        <f>IF(K$2=0,"",IFERROR(TRIM(INDEX('Pegar docentes'!$A$1:$BZ$1001,35,K$2)&amp;""),""))</f>
        <v/>
      </c>
      <c r="L36">
        <f>IF(L$2=0,"",IFERROR(TRIM(INDEX('Pegar docentes'!$A$1:$BZ$1001,35,L$2)&amp;""),""))</f>
        <v/>
      </c>
      <c r="M36">
        <f>IF(M$2=0,"",IFERROR(TRIM(INDEX('Pegar docentes'!$A$1:$BZ$1001,35,M$2)&amp;""),""))</f>
        <v/>
      </c>
      <c r="N36">
        <f>IF(N$2=0,"",IFERROR(TRIM(INDEX('Pegar docentes'!$A$1:$BZ$1001,35,N$2)&amp;""),""))</f>
        <v/>
      </c>
      <c r="O36">
        <f>IF(O$2=0,"",IFERROR(TRIM(INDEX('Pegar docentes'!$A$1:$BZ$1001,35,O$2)&amp;""),""))</f>
        <v/>
      </c>
      <c r="P36">
        <f>IF(P$2=0,"",IFERROR(TRIM(INDEX('Pegar docentes'!$A$1:$BZ$1001,35,P$2)&amp;""),""))</f>
        <v/>
      </c>
      <c r="Q36" s="25">
        <f>IF(OR(D36&lt;&gt;"",H36&lt;&gt;""),1,"")</f>
        <v/>
      </c>
      <c r="R36" s="25">
        <f>IF(Q36=1,IF(ISNUMBER(FIND("#"&amp;MID(D36,1,1)&amp;"#","#0#1#2#3#4#5#6#7#8#9#")),IF(ISNUMBER(FIND("#"&amp;MID(D36,2,1)&amp;"#","#0#1#2#3#4#5#6#7#8#9#")),IF(AND(VALUE(LEFT(D36,2))&gt;=1,VALUE(LEFT(D36,2))&lt;=5),VALUE(LEFT(D36,2)),""),IF(AND(VALUE(LEFT(D36,1))&gt;=1,VALUE(LEFT(D36,1))&lt;=5),VALUE(LEFT(D36,1)),"")),""),"")</f>
        <v/>
      </c>
      <c r="S36" s="25">
        <f>IF(AND(Q36=1,E36&lt;&gt;""),SUBSTITUTE(SUBSTITUTE(SUBSTITUTE(SUBSTITUTE(SUBSTITUTE(SUBSTITUTE(SUBSTITUTE(SUBSTITUTE(SUBSTITUTE(SUBSTITUTE(SUBSTITUTE(SUBSTITUTE(LOWER(TRIM(E36)),"á","a"),"é","e"),"í","i"),"ó","o"),"ú","u"),"ü","u"),"ñ","n"),"à","a"),"è","e"),"ì","i"),"ò","o"),"ù","u"),"")</f>
        <v/>
      </c>
      <c r="T36" s="25">
        <f>IF(AND(Q36=1,G36&lt;&gt;""),SUBSTITUTE(SUBSTITUTE(SUBSTITUTE(SUBSTITUTE(SUBSTITUTE(SUBSTITUTE(SUBSTITUTE(SUBSTITUTE(SUBSTITUTE(SUBSTITUTE(SUBSTITUTE(SUBSTITUTE(LOWER(TRIM(G36)),"á","a"),"é","e"),"í","i"),"ó","o"),"ú","u"),"ü","u"),"ñ","n"),"à","a"),"è","e"),"ì","i"),"ò","o"),"ù","u"),"")</f>
        <v/>
      </c>
      <c r="U36" s="25">
        <f>IF(AND(Q36=1,H36&lt;&gt;""),SUBSTITUTE(SUBSTITUTE(SUBSTITUTE(SUBSTITUTE(SUBSTITUTE(SUBSTITUTE(SUBSTITUTE(SUBSTITUTE(SUBSTITUTE(SUBSTITUTE(SUBSTITUTE(SUBSTITUTE(LOWER(TRIM(H36)),"á","a"),"é","e"),"í","i"),"ó","o"),"ú","u"),"ü","u"),"ñ","n"),"à","a"),"è","e"),"ì","i"),"ò","o"),"ù","u"),"")</f>
        <v/>
      </c>
      <c r="V36" s="25">
        <f>IF(AND(Q36=1,L36&lt;&gt;""),SUBSTITUTE(SUBSTITUTE(SUBSTITUTE(SUBSTITUTE(SUBSTITUTE(SUBSTITUTE(SUBSTITUTE(SUBSTITUTE(SUBSTITUTE(SUBSTITUTE(SUBSTITUTE(SUBSTITUTE(LOWER(TRIM(L36)),"á","a"),"é","e"),"í","i"),"ó","o"),"ú","u"),"ü","u"),"ñ","n"),"à","a"),"è","e"),"ì","i"),"ò","o"),"ù","u"),"")</f>
        <v/>
      </c>
      <c r="W36" s="25">
        <f>IF(AND(Q36=1,I36&lt;&gt;""),SUBSTITUTE(SUBSTITUTE(SUBSTITUTE(SUBSTITUTE(SUBSTITUTE(SUBSTITUTE(SUBSTITUTE(SUBSTITUTE(SUBSTITUTE(SUBSTITUTE(SUBSTITUTE(SUBSTITUTE(LOWER(TRIM(I36)),"á","a"),"é","e"),"í","i"),"ó","o"),"ú","u"),"ü","u"),"ñ","n"),"à","a"),"è","e"),"ì","i"),"ò","o"),"ù","u"),"")</f>
        <v/>
      </c>
      <c r="X36" s="25">
        <f>IF(U36="","",IF(OR(U36="si, en la proxima tarea",U36="si, con cambios"),1,0))</f>
        <v/>
      </c>
      <c r="Y36" s="25">
        <f>IF(AND(Q36=1,A36&lt;&gt;""),IF(IFERROR(COUNTIFS(A$3:A36,"="&amp;SUBSTITUTE(SUBSTITUTE(SUBSTITUTE(A36,"~","~~"),"*","~*"),"?","~?"),Q$3:Q36,1),0)=1,MAX(Y$2:Y35)+1,""),"")</f>
        <v/>
      </c>
      <c r="Z36" s="25">
        <f>IF(Y36="","",COUNTIFS($A$3:$A$1002,"="&amp;SUBSTITUTE(SUBSTITUTE(SUBSTITUTE(A36,"~","~~"),"*","~*"),"?","~?"),$Q$3:$Q$1002,1)*10000-Y36)</f>
        <v/>
      </c>
    </row>
    <row r="37">
      <c r="A37">
        <f>IF(A$2=0,"",IFERROR(TRIM(INDEX('Pegar docentes'!$A$1:$BZ$1001,36,A$2)&amp;""),""))</f>
        <v/>
      </c>
      <c r="B37">
        <f>IF(B$2=0,"",IFERROR(TRIM(INDEX('Pegar docentes'!$A$1:$BZ$1001,36,B$2)&amp;""),""))</f>
        <v/>
      </c>
      <c r="C37">
        <f>IF(C$2=0,"",IFERROR(TRIM(INDEX('Pegar docentes'!$A$1:$BZ$1001,36,C$2)&amp;""),""))</f>
        <v/>
      </c>
      <c r="D37">
        <f>IF(D$2=0,"",IFERROR(TRIM(INDEX('Pegar docentes'!$A$1:$BZ$1001,36,D$2)&amp;""),""))</f>
        <v/>
      </c>
      <c r="E37">
        <f>IF(E$2=0,"",IFERROR(TRIM(INDEX('Pegar docentes'!$A$1:$BZ$1001,36,E$2)&amp;""),""))</f>
        <v/>
      </c>
      <c r="F37">
        <f>IF(F$2=0,"",IFERROR(TRIM(INDEX('Pegar docentes'!$A$1:$BZ$1001,36,F$2)&amp;""),""))</f>
        <v/>
      </c>
      <c r="G37">
        <f>IF(G$2=0,"",IFERROR(TRIM(INDEX('Pegar docentes'!$A$1:$BZ$1001,36,G$2)&amp;""),""))</f>
        <v/>
      </c>
      <c r="H37">
        <f>IF(H$2=0,"",IFERROR(TRIM(INDEX('Pegar docentes'!$A$1:$BZ$1001,36,H$2)&amp;""),""))</f>
        <v/>
      </c>
      <c r="I37">
        <f>IF(I$2=0,"",IFERROR(TRIM(INDEX('Pegar docentes'!$A$1:$BZ$1001,36,I$2)&amp;""),""))</f>
        <v/>
      </c>
      <c r="J37">
        <f>IF(J$2=0,"",IFERROR(TRIM(INDEX('Pegar docentes'!$A$1:$BZ$1001,36,J$2)&amp;""),""))</f>
        <v/>
      </c>
      <c r="K37">
        <f>IF(K$2=0,"",IFERROR(TRIM(INDEX('Pegar docentes'!$A$1:$BZ$1001,36,K$2)&amp;""),""))</f>
        <v/>
      </c>
      <c r="L37">
        <f>IF(L$2=0,"",IFERROR(TRIM(INDEX('Pegar docentes'!$A$1:$BZ$1001,36,L$2)&amp;""),""))</f>
        <v/>
      </c>
      <c r="M37">
        <f>IF(M$2=0,"",IFERROR(TRIM(INDEX('Pegar docentes'!$A$1:$BZ$1001,36,M$2)&amp;""),""))</f>
        <v/>
      </c>
      <c r="N37">
        <f>IF(N$2=0,"",IFERROR(TRIM(INDEX('Pegar docentes'!$A$1:$BZ$1001,36,N$2)&amp;""),""))</f>
        <v/>
      </c>
      <c r="O37">
        <f>IF(O$2=0,"",IFERROR(TRIM(INDEX('Pegar docentes'!$A$1:$BZ$1001,36,O$2)&amp;""),""))</f>
        <v/>
      </c>
      <c r="P37">
        <f>IF(P$2=0,"",IFERROR(TRIM(INDEX('Pegar docentes'!$A$1:$BZ$1001,36,P$2)&amp;""),""))</f>
        <v/>
      </c>
      <c r="Q37" s="25">
        <f>IF(OR(D37&lt;&gt;"",H37&lt;&gt;""),1,"")</f>
        <v/>
      </c>
      <c r="R37" s="25">
        <f>IF(Q37=1,IF(ISNUMBER(FIND("#"&amp;MID(D37,1,1)&amp;"#","#0#1#2#3#4#5#6#7#8#9#")),IF(ISNUMBER(FIND("#"&amp;MID(D37,2,1)&amp;"#","#0#1#2#3#4#5#6#7#8#9#")),IF(AND(VALUE(LEFT(D37,2))&gt;=1,VALUE(LEFT(D37,2))&lt;=5),VALUE(LEFT(D37,2)),""),IF(AND(VALUE(LEFT(D37,1))&gt;=1,VALUE(LEFT(D37,1))&lt;=5),VALUE(LEFT(D37,1)),"")),""),"")</f>
        <v/>
      </c>
      <c r="S37" s="25">
        <f>IF(AND(Q37=1,E37&lt;&gt;""),SUBSTITUTE(SUBSTITUTE(SUBSTITUTE(SUBSTITUTE(SUBSTITUTE(SUBSTITUTE(SUBSTITUTE(SUBSTITUTE(SUBSTITUTE(SUBSTITUTE(SUBSTITUTE(SUBSTITUTE(LOWER(TRIM(E37)),"á","a"),"é","e"),"í","i"),"ó","o"),"ú","u"),"ü","u"),"ñ","n"),"à","a"),"è","e"),"ì","i"),"ò","o"),"ù","u"),"")</f>
        <v/>
      </c>
      <c r="T37" s="25">
        <f>IF(AND(Q37=1,G37&lt;&gt;""),SUBSTITUTE(SUBSTITUTE(SUBSTITUTE(SUBSTITUTE(SUBSTITUTE(SUBSTITUTE(SUBSTITUTE(SUBSTITUTE(SUBSTITUTE(SUBSTITUTE(SUBSTITUTE(SUBSTITUTE(LOWER(TRIM(G37)),"á","a"),"é","e"),"í","i"),"ó","o"),"ú","u"),"ü","u"),"ñ","n"),"à","a"),"è","e"),"ì","i"),"ò","o"),"ù","u"),"")</f>
        <v/>
      </c>
      <c r="U37" s="25">
        <f>IF(AND(Q37=1,H37&lt;&gt;""),SUBSTITUTE(SUBSTITUTE(SUBSTITUTE(SUBSTITUTE(SUBSTITUTE(SUBSTITUTE(SUBSTITUTE(SUBSTITUTE(SUBSTITUTE(SUBSTITUTE(SUBSTITUTE(SUBSTITUTE(LOWER(TRIM(H37)),"á","a"),"é","e"),"í","i"),"ó","o"),"ú","u"),"ü","u"),"ñ","n"),"à","a"),"è","e"),"ì","i"),"ò","o"),"ù","u"),"")</f>
        <v/>
      </c>
      <c r="V37" s="25">
        <f>IF(AND(Q37=1,L37&lt;&gt;""),SUBSTITUTE(SUBSTITUTE(SUBSTITUTE(SUBSTITUTE(SUBSTITUTE(SUBSTITUTE(SUBSTITUTE(SUBSTITUTE(SUBSTITUTE(SUBSTITUTE(SUBSTITUTE(SUBSTITUTE(LOWER(TRIM(L37)),"á","a"),"é","e"),"í","i"),"ó","o"),"ú","u"),"ü","u"),"ñ","n"),"à","a"),"è","e"),"ì","i"),"ò","o"),"ù","u"),"")</f>
        <v/>
      </c>
      <c r="W37" s="25">
        <f>IF(AND(Q37=1,I37&lt;&gt;""),SUBSTITUTE(SUBSTITUTE(SUBSTITUTE(SUBSTITUTE(SUBSTITUTE(SUBSTITUTE(SUBSTITUTE(SUBSTITUTE(SUBSTITUTE(SUBSTITUTE(SUBSTITUTE(SUBSTITUTE(LOWER(TRIM(I37)),"á","a"),"é","e"),"í","i"),"ó","o"),"ú","u"),"ü","u"),"ñ","n"),"à","a"),"è","e"),"ì","i"),"ò","o"),"ù","u"),"")</f>
        <v/>
      </c>
      <c r="X37" s="25">
        <f>IF(U37="","",IF(OR(U37="si, en la proxima tarea",U37="si, con cambios"),1,0))</f>
        <v/>
      </c>
      <c r="Y37" s="25">
        <f>IF(AND(Q37=1,A37&lt;&gt;""),IF(IFERROR(COUNTIFS(A$3:A37,"="&amp;SUBSTITUTE(SUBSTITUTE(SUBSTITUTE(A37,"~","~~"),"*","~*"),"?","~?"),Q$3:Q37,1),0)=1,MAX(Y$2:Y36)+1,""),"")</f>
        <v/>
      </c>
      <c r="Z37" s="25">
        <f>IF(Y37="","",COUNTIFS($A$3:$A$1002,"="&amp;SUBSTITUTE(SUBSTITUTE(SUBSTITUTE(A37,"~","~~"),"*","~*"),"?","~?"),$Q$3:$Q$1002,1)*10000-Y37)</f>
        <v/>
      </c>
    </row>
    <row r="38">
      <c r="A38">
        <f>IF(A$2=0,"",IFERROR(TRIM(INDEX('Pegar docentes'!$A$1:$BZ$1001,37,A$2)&amp;""),""))</f>
        <v/>
      </c>
      <c r="B38">
        <f>IF(B$2=0,"",IFERROR(TRIM(INDEX('Pegar docentes'!$A$1:$BZ$1001,37,B$2)&amp;""),""))</f>
        <v/>
      </c>
      <c r="C38">
        <f>IF(C$2=0,"",IFERROR(TRIM(INDEX('Pegar docentes'!$A$1:$BZ$1001,37,C$2)&amp;""),""))</f>
        <v/>
      </c>
      <c r="D38">
        <f>IF(D$2=0,"",IFERROR(TRIM(INDEX('Pegar docentes'!$A$1:$BZ$1001,37,D$2)&amp;""),""))</f>
        <v/>
      </c>
      <c r="E38">
        <f>IF(E$2=0,"",IFERROR(TRIM(INDEX('Pegar docentes'!$A$1:$BZ$1001,37,E$2)&amp;""),""))</f>
        <v/>
      </c>
      <c r="F38">
        <f>IF(F$2=0,"",IFERROR(TRIM(INDEX('Pegar docentes'!$A$1:$BZ$1001,37,F$2)&amp;""),""))</f>
        <v/>
      </c>
      <c r="G38">
        <f>IF(G$2=0,"",IFERROR(TRIM(INDEX('Pegar docentes'!$A$1:$BZ$1001,37,G$2)&amp;""),""))</f>
        <v/>
      </c>
      <c r="H38">
        <f>IF(H$2=0,"",IFERROR(TRIM(INDEX('Pegar docentes'!$A$1:$BZ$1001,37,H$2)&amp;""),""))</f>
        <v/>
      </c>
      <c r="I38">
        <f>IF(I$2=0,"",IFERROR(TRIM(INDEX('Pegar docentes'!$A$1:$BZ$1001,37,I$2)&amp;""),""))</f>
        <v/>
      </c>
      <c r="J38">
        <f>IF(J$2=0,"",IFERROR(TRIM(INDEX('Pegar docentes'!$A$1:$BZ$1001,37,J$2)&amp;""),""))</f>
        <v/>
      </c>
      <c r="K38">
        <f>IF(K$2=0,"",IFERROR(TRIM(INDEX('Pegar docentes'!$A$1:$BZ$1001,37,K$2)&amp;""),""))</f>
        <v/>
      </c>
      <c r="L38">
        <f>IF(L$2=0,"",IFERROR(TRIM(INDEX('Pegar docentes'!$A$1:$BZ$1001,37,L$2)&amp;""),""))</f>
        <v/>
      </c>
      <c r="M38">
        <f>IF(M$2=0,"",IFERROR(TRIM(INDEX('Pegar docentes'!$A$1:$BZ$1001,37,M$2)&amp;""),""))</f>
        <v/>
      </c>
      <c r="N38">
        <f>IF(N$2=0,"",IFERROR(TRIM(INDEX('Pegar docentes'!$A$1:$BZ$1001,37,N$2)&amp;""),""))</f>
        <v/>
      </c>
      <c r="O38">
        <f>IF(O$2=0,"",IFERROR(TRIM(INDEX('Pegar docentes'!$A$1:$BZ$1001,37,O$2)&amp;""),""))</f>
        <v/>
      </c>
      <c r="P38">
        <f>IF(P$2=0,"",IFERROR(TRIM(INDEX('Pegar docentes'!$A$1:$BZ$1001,37,P$2)&amp;""),""))</f>
        <v/>
      </c>
      <c r="Q38" s="25">
        <f>IF(OR(D38&lt;&gt;"",H38&lt;&gt;""),1,"")</f>
        <v/>
      </c>
      <c r="R38" s="25">
        <f>IF(Q38=1,IF(ISNUMBER(FIND("#"&amp;MID(D38,1,1)&amp;"#","#0#1#2#3#4#5#6#7#8#9#")),IF(ISNUMBER(FIND("#"&amp;MID(D38,2,1)&amp;"#","#0#1#2#3#4#5#6#7#8#9#")),IF(AND(VALUE(LEFT(D38,2))&gt;=1,VALUE(LEFT(D38,2))&lt;=5),VALUE(LEFT(D38,2)),""),IF(AND(VALUE(LEFT(D38,1))&gt;=1,VALUE(LEFT(D38,1))&lt;=5),VALUE(LEFT(D38,1)),"")),""),"")</f>
        <v/>
      </c>
      <c r="S38" s="25">
        <f>IF(AND(Q38=1,E38&lt;&gt;""),SUBSTITUTE(SUBSTITUTE(SUBSTITUTE(SUBSTITUTE(SUBSTITUTE(SUBSTITUTE(SUBSTITUTE(SUBSTITUTE(SUBSTITUTE(SUBSTITUTE(SUBSTITUTE(SUBSTITUTE(LOWER(TRIM(E38)),"á","a"),"é","e"),"í","i"),"ó","o"),"ú","u"),"ü","u"),"ñ","n"),"à","a"),"è","e"),"ì","i"),"ò","o"),"ù","u"),"")</f>
        <v/>
      </c>
      <c r="T38" s="25">
        <f>IF(AND(Q38=1,G38&lt;&gt;""),SUBSTITUTE(SUBSTITUTE(SUBSTITUTE(SUBSTITUTE(SUBSTITUTE(SUBSTITUTE(SUBSTITUTE(SUBSTITUTE(SUBSTITUTE(SUBSTITUTE(SUBSTITUTE(SUBSTITUTE(LOWER(TRIM(G38)),"á","a"),"é","e"),"í","i"),"ó","o"),"ú","u"),"ü","u"),"ñ","n"),"à","a"),"è","e"),"ì","i"),"ò","o"),"ù","u"),"")</f>
        <v/>
      </c>
      <c r="U38" s="25">
        <f>IF(AND(Q38=1,H38&lt;&gt;""),SUBSTITUTE(SUBSTITUTE(SUBSTITUTE(SUBSTITUTE(SUBSTITUTE(SUBSTITUTE(SUBSTITUTE(SUBSTITUTE(SUBSTITUTE(SUBSTITUTE(SUBSTITUTE(SUBSTITUTE(LOWER(TRIM(H38)),"á","a"),"é","e"),"í","i"),"ó","o"),"ú","u"),"ü","u"),"ñ","n"),"à","a"),"è","e"),"ì","i"),"ò","o"),"ù","u"),"")</f>
        <v/>
      </c>
      <c r="V38" s="25">
        <f>IF(AND(Q38=1,L38&lt;&gt;""),SUBSTITUTE(SUBSTITUTE(SUBSTITUTE(SUBSTITUTE(SUBSTITUTE(SUBSTITUTE(SUBSTITUTE(SUBSTITUTE(SUBSTITUTE(SUBSTITUTE(SUBSTITUTE(SUBSTITUTE(LOWER(TRIM(L38)),"á","a"),"é","e"),"í","i"),"ó","o"),"ú","u"),"ü","u"),"ñ","n"),"à","a"),"è","e"),"ì","i"),"ò","o"),"ù","u"),"")</f>
        <v/>
      </c>
      <c r="W38" s="25">
        <f>IF(AND(Q38=1,I38&lt;&gt;""),SUBSTITUTE(SUBSTITUTE(SUBSTITUTE(SUBSTITUTE(SUBSTITUTE(SUBSTITUTE(SUBSTITUTE(SUBSTITUTE(SUBSTITUTE(SUBSTITUTE(SUBSTITUTE(SUBSTITUTE(LOWER(TRIM(I38)),"á","a"),"é","e"),"í","i"),"ó","o"),"ú","u"),"ü","u"),"ñ","n"),"à","a"),"è","e"),"ì","i"),"ò","o"),"ù","u"),"")</f>
        <v/>
      </c>
      <c r="X38" s="25">
        <f>IF(U38="","",IF(OR(U38="si, en la proxima tarea",U38="si, con cambios"),1,0))</f>
        <v/>
      </c>
      <c r="Y38" s="25">
        <f>IF(AND(Q38=1,A38&lt;&gt;""),IF(IFERROR(COUNTIFS(A$3:A38,"="&amp;SUBSTITUTE(SUBSTITUTE(SUBSTITUTE(A38,"~","~~"),"*","~*"),"?","~?"),Q$3:Q38,1),0)=1,MAX(Y$2:Y37)+1,""),"")</f>
        <v/>
      </c>
      <c r="Z38" s="25">
        <f>IF(Y38="","",COUNTIFS($A$3:$A$1002,"="&amp;SUBSTITUTE(SUBSTITUTE(SUBSTITUTE(A38,"~","~~"),"*","~*"),"?","~?"),$Q$3:$Q$1002,1)*10000-Y38)</f>
        <v/>
      </c>
    </row>
    <row r="39">
      <c r="A39">
        <f>IF(A$2=0,"",IFERROR(TRIM(INDEX('Pegar docentes'!$A$1:$BZ$1001,38,A$2)&amp;""),""))</f>
        <v/>
      </c>
      <c r="B39">
        <f>IF(B$2=0,"",IFERROR(TRIM(INDEX('Pegar docentes'!$A$1:$BZ$1001,38,B$2)&amp;""),""))</f>
        <v/>
      </c>
      <c r="C39">
        <f>IF(C$2=0,"",IFERROR(TRIM(INDEX('Pegar docentes'!$A$1:$BZ$1001,38,C$2)&amp;""),""))</f>
        <v/>
      </c>
      <c r="D39">
        <f>IF(D$2=0,"",IFERROR(TRIM(INDEX('Pegar docentes'!$A$1:$BZ$1001,38,D$2)&amp;""),""))</f>
        <v/>
      </c>
      <c r="E39">
        <f>IF(E$2=0,"",IFERROR(TRIM(INDEX('Pegar docentes'!$A$1:$BZ$1001,38,E$2)&amp;""),""))</f>
        <v/>
      </c>
      <c r="F39">
        <f>IF(F$2=0,"",IFERROR(TRIM(INDEX('Pegar docentes'!$A$1:$BZ$1001,38,F$2)&amp;""),""))</f>
        <v/>
      </c>
      <c r="G39">
        <f>IF(G$2=0,"",IFERROR(TRIM(INDEX('Pegar docentes'!$A$1:$BZ$1001,38,G$2)&amp;""),""))</f>
        <v/>
      </c>
      <c r="H39">
        <f>IF(H$2=0,"",IFERROR(TRIM(INDEX('Pegar docentes'!$A$1:$BZ$1001,38,H$2)&amp;""),""))</f>
        <v/>
      </c>
      <c r="I39">
        <f>IF(I$2=0,"",IFERROR(TRIM(INDEX('Pegar docentes'!$A$1:$BZ$1001,38,I$2)&amp;""),""))</f>
        <v/>
      </c>
      <c r="J39">
        <f>IF(J$2=0,"",IFERROR(TRIM(INDEX('Pegar docentes'!$A$1:$BZ$1001,38,J$2)&amp;""),""))</f>
        <v/>
      </c>
      <c r="K39">
        <f>IF(K$2=0,"",IFERROR(TRIM(INDEX('Pegar docentes'!$A$1:$BZ$1001,38,K$2)&amp;""),""))</f>
        <v/>
      </c>
      <c r="L39">
        <f>IF(L$2=0,"",IFERROR(TRIM(INDEX('Pegar docentes'!$A$1:$BZ$1001,38,L$2)&amp;""),""))</f>
        <v/>
      </c>
      <c r="M39">
        <f>IF(M$2=0,"",IFERROR(TRIM(INDEX('Pegar docentes'!$A$1:$BZ$1001,38,M$2)&amp;""),""))</f>
        <v/>
      </c>
      <c r="N39">
        <f>IF(N$2=0,"",IFERROR(TRIM(INDEX('Pegar docentes'!$A$1:$BZ$1001,38,N$2)&amp;""),""))</f>
        <v/>
      </c>
      <c r="O39">
        <f>IF(O$2=0,"",IFERROR(TRIM(INDEX('Pegar docentes'!$A$1:$BZ$1001,38,O$2)&amp;""),""))</f>
        <v/>
      </c>
      <c r="P39">
        <f>IF(P$2=0,"",IFERROR(TRIM(INDEX('Pegar docentes'!$A$1:$BZ$1001,38,P$2)&amp;""),""))</f>
        <v/>
      </c>
      <c r="Q39" s="25">
        <f>IF(OR(D39&lt;&gt;"",H39&lt;&gt;""),1,"")</f>
        <v/>
      </c>
      <c r="R39" s="25">
        <f>IF(Q39=1,IF(ISNUMBER(FIND("#"&amp;MID(D39,1,1)&amp;"#","#0#1#2#3#4#5#6#7#8#9#")),IF(ISNUMBER(FIND("#"&amp;MID(D39,2,1)&amp;"#","#0#1#2#3#4#5#6#7#8#9#")),IF(AND(VALUE(LEFT(D39,2))&gt;=1,VALUE(LEFT(D39,2))&lt;=5),VALUE(LEFT(D39,2)),""),IF(AND(VALUE(LEFT(D39,1))&gt;=1,VALUE(LEFT(D39,1))&lt;=5),VALUE(LEFT(D39,1)),"")),""),"")</f>
        <v/>
      </c>
      <c r="S39" s="25">
        <f>IF(AND(Q39=1,E39&lt;&gt;""),SUBSTITUTE(SUBSTITUTE(SUBSTITUTE(SUBSTITUTE(SUBSTITUTE(SUBSTITUTE(SUBSTITUTE(SUBSTITUTE(SUBSTITUTE(SUBSTITUTE(SUBSTITUTE(SUBSTITUTE(LOWER(TRIM(E39)),"á","a"),"é","e"),"í","i"),"ó","o"),"ú","u"),"ü","u"),"ñ","n"),"à","a"),"è","e"),"ì","i"),"ò","o"),"ù","u"),"")</f>
        <v/>
      </c>
      <c r="T39" s="25">
        <f>IF(AND(Q39=1,G39&lt;&gt;""),SUBSTITUTE(SUBSTITUTE(SUBSTITUTE(SUBSTITUTE(SUBSTITUTE(SUBSTITUTE(SUBSTITUTE(SUBSTITUTE(SUBSTITUTE(SUBSTITUTE(SUBSTITUTE(SUBSTITUTE(LOWER(TRIM(G39)),"á","a"),"é","e"),"í","i"),"ó","o"),"ú","u"),"ü","u"),"ñ","n"),"à","a"),"è","e"),"ì","i"),"ò","o"),"ù","u"),"")</f>
        <v/>
      </c>
      <c r="U39" s="25">
        <f>IF(AND(Q39=1,H39&lt;&gt;""),SUBSTITUTE(SUBSTITUTE(SUBSTITUTE(SUBSTITUTE(SUBSTITUTE(SUBSTITUTE(SUBSTITUTE(SUBSTITUTE(SUBSTITUTE(SUBSTITUTE(SUBSTITUTE(SUBSTITUTE(LOWER(TRIM(H39)),"á","a"),"é","e"),"í","i"),"ó","o"),"ú","u"),"ü","u"),"ñ","n"),"à","a"),"è","e"),"ì","i"),"ò","o"),"ù","u"),"")</f>
        <v/>
      </c>
      <c r="V39" s="25">
        <f>IF(AND(Q39=1,L39&lt;&gt;""),SUBSTITUTE(SUBSTITUTE(SUBSTITUTE(SUBSTITUTE(SUBSTITUTE(SUBSTITUTE(SUBSTITUTE(SUBSTITUTE(SUBSTITUTE(SUBSTITUTE(SUBSTITUTE(SUBSTITUTE(LOWER(TRIM(L39)),"á","a"),"é","e"),"í","i"),"ó","o"),"ú","u"),"ü","u"),"ñ","n"),"à","a"),"è","e"),"ì","i"),"ò","o"),"ù","u"),"")</f>
        <v/>
      </c>
      <c r="W39" s="25">
        <f>IF(AND(Q39=1,I39&lt;&gt;""),SUBSTITUTE(SUBSTITUTE(SUBSTITUTE(SUBSTITUTE(SUBSTITUTE(SUBSTITUTE(SUBSTITUTE(SUBSTITUTE(SUBSTITUTE(SUBSTITUTE(SUBSTITUTE(SUBSTITUTE(LOWER(TRIM(I39)),"á","a"),"é","e"),"í","i"),"ó","o"),"ú","u"),"ü","u"),"ñ","n"),"à","a"),"è","e"),"ì","i"),"ò","o"),"ù","u"),"")</f>
        <v/>
      </c>
      <c r="X39" s="25">
        <f>IF(U39="","",IF(OR(U39="si, en la proxima tarea",U39="si, con cambios"),1,0))</f>
        <v/>
      </c>
      <c r="Y39" s="25">
        <f>IF(AND(Q39=1,A39&lt;&gt;""),IF(IFERROR(COUNTIFS(A$3:A39,"="&amp;SUBSTITUTE(SUBSTITUTE(SUBSTITUTE(A39,"~","~~"),"*","~*"),"?","~?"),Q$3:Q39,1),0)=1,MAX(Y$2:Y38)+1,""),"")</f>
        <v/>
      </c>
      <c r="Z39" s="25">
        <f>IF(Y39="","",COUNTIFS($A$3:$A$1002,"="&amp;SUBSTITUTE(SUBSTITUTE(SUBSTITUTE(A39,"~","~~"),"*","~*"),"?","~?"),$Q$3:$Q$1002,1)*10000-Y39)</f>
        <v/>
      </c>
    </row>
    <row r="40">
      <c r="A40">
        <f>IF(A$2=0,"",IFERROR(TRIM(INDEX('Pegar docentes'!$A$1:$BZ$1001,39,A$2)&amp;""),""))</f>
        <v/>
      </c>
      <c r="B40">
        <f>IF(B$2=0,"",IFERROR(TRIM(INDEX('Pegar docentes'!$A$1:$BZ$1001,39,B$2)&amp;""),""))</f>
        <v/>
      </c>
      <c r="C40">
        <f>IF(C$2=0,"",IFERROR(TRIM(INDEX('Pegar docentes'!$A$1:$BZ$1001,39,C$2)&amp;""),""))</f>
        <v/>
      </c>
      <c r="D40">
        <f>IF(D$2=0,"",IFERROR(TRIM(INDEX('Pegar docentes'!$A$1:$BZ$1001,39,D$2)&amp;""),""))</f>
        <v/>
      </c>
      <c r="E40">
        <f>IF(E$2=0,"",IFERROR(TRIM(INDEX('Pegar docentes'!$A$1:$BZ$1001,39,E$2)&amp;""),""))</f>
        <v/>
      </c>
      <c r="F40">
        <f>IF(F$2=0,"",IFERROR(TRIM(INDEX('Pegar docentes'!$A$1:$BZ$1001,39,F$2)&amp;""),""))</f>
        <v/>
      </c>
      <c r="G40">
        <f>IF(G$2=0,"",IFERROR(TRIM(INDEX('Pegar docentes'!$A$1:$BZ$1001,39,G$2)&amp;""),""))</f>
        <v/>
      </c>
      <c r="H40">
        <f>IF(H$2=0,"",IFERROR(TRIM(INDEX('Pegar docentes'!$A$1:$BZ$1001,39,H$2)&amp;""),""))</f>
        <v/>
      </c>
      <c r="I40">
        <f>IF(I$2=0,"",IFERROR(TRIM(INDEX('Pegar docentes'!$A$1:$BZ$1001,39,I$2)&amp;""),""))</f>
        <v/>
      </c>
      <c r="J40">
        <f>IF(J$2=0,"",IFERROR(TRIM(INDEX('Pegar docentes'!$A$1:$BZ$1001,39,J$2)&amp;""),""))</f>
        <v/>
      </c>
      <c r="K40">
        <f>IF(K$2=0,"",IFERROR(TRIM(INDEX('Pegar docentes'!$A$1:$BZ$1001,39,K$2)&amp;""),""))</f>
        <v/>
      </c>
      <c r="L40">
        <f>IF(L$2=0,"",IFERROR(TRIM(INDEX('Pegar docentes'!$A$1:$BZ$1001,39,L$2)&amp;""),""))</f>
        <v/>
      </c>
      <c r="M40">
        <f>IF(M$2=0,"",IFERROR(TRIM(INDEX('Pegar docentes'!$A$1:$BZ$1001,39,M$2)&amp;""),""))</f>
        <v/>
      </c>
      <c r="N40">
        <f>IF(N$2=0,"",IFERROR(TRIM(INDEX('Pegar docentes'!$A$1:$BZ$1001,39,N$2)&amp;""),""))</f>
        <v/>
      </c>
      <c r="O40">
        <f>IF(O$2=0,"",IFERROR(TRIM(INDEX('Pegar docentes'!$A$1:$BZ$1001,39,O$2)&amp;""),""))</f>
        <v/>
      </c>
      <c r="P40">
        <f>IF(P$2=0,"",IFERROR(TRIM(INDEX('Pegar docentes'!$A$1:$BZ$1001,39,P$2)&amp;""),""))</f>
        <v/>
      </c>
      <c r="Q40" s="25">
        <f>IF(OR(D40&lt;&gt;"",H40&lt;&gt;""),1,"")</f>
        <v/>
      </c>
      <c r="R40" s="25">
        <f>IF(Q40=1,IF(ISNUMBER(FIND("#"&amp;MID(D40,1,1)&amp;"#","#0#1#2#3#4#5#6#7#8#9#")),IF(ISNUMBER(FIND("#"&amp;MID(D40,2,1)&amp;"#","#0#1#2#3#4#5#6#7#8#9#")),IF(AND(VALUE(LEFT(D40,2))&gt;=1,VALUE(LEFT(D40,2))&lt;=5),VALUE(LEFT(D40,2)),""),IF(AND(VALUE(LEFT(D40,1))&gt;=1,VALUE(LEFT(D40,1))&lt;=5),VALUE(LEFT(D40,1)),"")),""),"")</f>
        <v/>
      </c>
      <c r="S40" s="25">
        <f>IF(AND(Q40=1,E40&lt;&gt;""),SUBSTITUTE(SUBSTITUTE(SUBSTITUTE(SUBSTITUTE(SUBSTITUTE(SUBSTITUTE(SUBSTITUTE(SUBSTITUTE(SUBSTITUTE(SUBSTITUTE(SUBSTITUTE(SUBSTITUTE(LOWER(TRIM(E40)),"á","a"),"é","e"),"í","i"),"ó","o"),"ú","u"),"ü","u"),"ñ","n"),"à","a"),"è","e"),"ì","i"),"ò","o"),"ù","u"),"")</f>
        <v/>
      </c>
      <c r="T40" s="25">
        <f>IF(AND(Q40=1,G40&lt;&gt;""),SUBSTITUTE(SUBSTITUTE(SUBSTITUTE(SUBSTITUTE(SUBSTITUTE(SUBSTITUTE(SUBSTITUTE(SUBSTITUTE(SUBSTITUTE(SUBSTITUTE(SUBSTITUTE(SUBSTITUTE(LOWER(TRIM(G40)),"á","a"),"é","e"),"í","i"),"ó","o"),"ú","u"),"ü","u"),"ñ","n"),"à","a"),"è","e"),"ì","i"),"ò","o"),"ù","u"),"")</f>
        <v/>
      </c>
      <c r="U40" s="25">
        <f>IF(AND(Q40=1,H40&lt;&gt;""),SUBSTITUTE(SUBSTITUTE(SUBSTITUTE(SUBSTITUTE(SUBSTITUTE(SUBSTITUTE(SUBSTITUTE(SUBSTITUTE(SUBSTITUTE(SUBSTITUTE(SUBSTITUTE(SUBSTITUTE(LOWER(TRIM(H40)),"á","a"),"é","e"),"í","i"),"ó","o"),"ú","u"),"ü","u"),"ñ","n"),"à","a"),"è","e"),"ì","i"),"ò","o"),"ù","u"),"")</f>
        <v/>
      </c>
      <c r="V40" s="25">
        <f>IF(AND(Q40=1,L40&lt;&gt;""),SUBSTITUTE(SUBSTITUTE(SUBSTITUTE(SUBSTITUTE(SUBSTITUTE(SUBSTITUTE(SUBSTITUTE(SUBSTITUTE(SUBSTITUTE(SUBSTITUTE(SUBSTITUTE(SUBSTITUTE(LOWER(TRIM(L40)),"á","a"),"é","e"),"í","i"),"ó","o"),"ú","u"),"ü","u"),"ñ","n"),"à","a"),"è","e"),"ì","i"),"ò","o"),"ù","u"),"")</f>
        <v/>
      </c>
      <c r="W40" s="25">
        <f>IF(AND(Q40=1,I40&lt;&gt;""),SUBSTITUTE(SUBSTITUTE(SUBSTITUTE(SUBSTITUTE(SUBSTITUTE(SUBSTITUTE(SUBSTITUTE(SUBSTITUTE(SUBSTITUTE(SUBSTITUTE(SUBSTITUTE(SUBSTITUTE(LOWER(TRIM(I40)),"á","a"),"é","e"),"í","i"),"ó","o"),"ú","u"),"ü","u"),"ñ","n"),"à","a"),"è","e"),"ì","i"),"ò","o"),"ù","u"),"")</f>
        <v/>
      </c>
      <c r="X40" s="25">
        <f>IF(U40="","",IF(OR(U40="si, en la proxima tarea",U40="si, con cambios"),1,0))</f>
        <v/>
      </c>
      <c r="Y40" s="25">
        <f>IF(AND(Q40=1,A40&lt;&gt;""),IF(IFERROR(COUNTIFS(A$3:A40,"="&amp;SUBSTITUTE(SUBSTITUTE(SUBSTITUTE(A40,"~","~~"),"*","~*"),"?","~?"),Q$3:Q40,1),0)=1,MAX(Y$2:Y39)+1,""),"")</f>
        <v/>
      </c>
      <c r="Z40" s="25">
        <f>IF(Y40="","",COUNTIFS($A$3:$A$1002,"="&amp;SUBSTITUTE(SUBSTITUTE(SUBSTITUTE(A40,"~","~~"),"*","~*"),"?","~?"),$Q$3:$Q$1002,1)*10000-Y40)</f>
        <v/>
      </c>
    </row>
    <row r="41">
      <c r="A41">
        <f>IF(A$2=0,"",IFERROR(TRIM(INDEX('Pegar docentes'!$A$1:$BZ$1001,40,A$2)&amp;""),""))</f>
        <v/>
      </c>
      <c r="B41">
        <f>IF(B$2=0,"",IFERROR(TRIM(INDEX('Pegar docentes'!$A$1:$BZ$1001,40,B$2)&amp;""),""))</f>
        <v/>
      </c>
      <c r="C41">
        <f>IF(C$2=0,"",IFERROR(TRIM(INDEX('Pegar docentes'!$A$1:$BZ$1001,40,C$2)&amp;""),""))</f>
        <v/>
      </c>
      <c r="D41">
        <f>IF(D$2=0,"",IFERROR(TRIM(INDEX('Pegar docentes'!$A$1:$BZ$1001,40,D$2)&amp;""),""))</f>
        <v/>
      </c>
      <c r="E41">
        <f>IF(E$2=0,"",IFERROR(TRIM(INDEX('Pegar docentes'!$A$1:$BZ$1001,40,E$2)&amp;""),""))</f>
        <v/>
      </c>
      <c r="F41">
        <f>IF(F$2=0,"",IFERROR(TRIM(INDEX('Pegar docentes'!$A$1:$BZ$1001,40,F$2)&amp;""),""))</f>
        <v/>
      </c>
      <c r="G41">
        <f>IF(G$2=0,"",IFERROR(TRIM(INDEX('Pegar docentes'!$A$1:$BZ$1001,40,G$2)&amp;""),""))</f>
        <v/>
      </c>
      <c r="H41">
        <f>IF(H$2=0,"",IFERROR(TRIM(INDEX('Pegar docentes'!$A$1:$BZ$1001,40,H$2)&amp;""),""))</f>
        <v/>
      </c>
      <c r="I41">
        <f>IF(I$2=0,"",IFERROR(TRIM(INDEX('Pegar docentes'!$A$1:$BZ$1001,40,I$2)&amp;""),""))</f>
        <v/>
      </c>
      <c r="J41">
        <f>IF(J$2=0,"",IFERROR(TRIM(INDEX('Pegar docentes'!$A$1:$BZ$1001,40,J$2)&amp;""),""))</f>
        <v/>
      </c>
      <c r="K41">
        <f>IF(K$2=0,"",IFERROR(TRIM(INDEX('Pegar docentes'!$A$1:$BZ$1001,40,K$2)&amp;""),""))</f>
        <v/>
      </c>
      <c r="L41">
        <f>IF(L$2=0,"",IFERROR(TRIM(INDEX('Pegar docentes'!$A$1:$BZ$1001,40,L$2)&amp;""),""))</f>
        <v/>
      </c>
      <c r="M41">
        <f>IF(M$2=0,"",IFERROR(TRIM(INDEX('Pegar docentes'!$A$1:$BZ$1001,40,M$2)&amp;""),""))</f>
        <v/>
      </c>
      <c r="N41">
        <f>IF(N$2=0,"",IFERROR(TRIM(INDEX('Pegar docentes'!$A$1:$BZ$1001,40,N$2)&amp;""),""))</f>
        <v/>
      </c>
      <c r="O41">
        <f>IF(O$2=0,"",IFERROR(TRIM(INDEX('Pegar docentes'!$A$1:$BZ$1001,40,O$2)&amp;""),""))</f>
        <v/>
      </c>
      <c r="P41">
        <f>IF(P$2=0,"",IFERROR(TRIM(INDEX('Pegar docentes'!$A$1:$BZ$1001,40,P$2)&amp;""),""))</f>
        <v/>
      </c>
      <c r="Q41" s="25">
        <f>IF(OR(D41&lt;&gt;"",H41&lt;&gt;""),1,"")</f>
        <v/>
      </c>
      <c r="R41" s="25">
        <f>IF(Q41=1,IF(ISNUMBER(FIND("#"&amp;MID(D41,1,1)&amp;"#","#0#1#2#3#4#5#6#7#8#9#")),IF(ISNUMBER(FIND("#"&amp;MID(D41,2,1)&amp;"#","#0#1#2#3#4#5#6#7#8#9#")),IF(AND(VALUE(LEFT(D41,2))&gt;=1,VALUE(LEFT(D41,2))&lt;=5),VALUE(LEFT(D41,2)),""),IF(AND(VALUE(LEFT(D41,1))&gt;=1,VALUE(LEFT(D41,1))&lt;=5),VALUE(LEFT(D41,1)),"")),""),"")</f>
        <v/>
      </c>
      <c r="S41" s="25">
        <f>IF(AND(Q41=1,E41&lt;&gt;""),SUBSTITUTE(SUBSTITUTE(SUBSTITUTE(SUBSTITUTE(SUBSTITUTE(SUBSTITUTE(SUBSTITUTE(SUBSTITUTE(SUBSTITUTE(SUBSTITUTE(SUBSTITUTE(SUBSTITUTE(LOWER(TRIM(E41)),"á","a"),"é","e"),"í","i"),"ó","o"),"ú","u"),"ü","u"),"ñ","n"),"à","a"),"è","e"),"ì","i"),"ò","o"),"ù","u"),"")</f>
        <v/>
      </c>
      <c r="T41" s="25">
        <f>IF(AND(Q41=1,G41&lt;&gt;""),SUBSTITUTE(SUBSTITUTE(SUBSTITUTE(SUBSTITUTE(SUBSTITUTE(SUBSTITUTE(SUBSTITUTE(SUBSTITUTE(SUBSTITUTE(SUBSTITUTE(SUBSTITUTE(SUBSTITUTE(LOWER(TRIM(G41)),"á","a"),"é","e"),"í","i"),"ó","o"),"ú","u"),"ü","u"),"ñ","n"),"à","a"),"è","e"),"ì","i"),"ò","o"),"ù","u"),"")</f>
        <v/>
      </c>
      <c r="U41" s="25">
        <f>IF(AND(Q41=1,H41&lt;&gt;""),SUBSTITUTE(SUBSTITUTE(SUBSTITUTE(SUBSTITUTE(SUBSTITUTE(SUBSTITUTE(SUBSTITUTE(SUBSTITUTE(SUBSTITUTE(SUBSTITUTE(SUBSTITUTE(SUBSTITUTE(LOWER(TRIM(H41)),"á","a"),"é","e"),"í","i"),"ó","o"),"ú","u"),"ü","u"),"ñ","n"),"à","a"),"è","e"),"ì","i"),"ò","o"),"ù","u"),"")</f>
        <v/>
      </c>
      <c r="V41" s="25">
        <f>IF(AND(Q41=1,L41&lt;&gt;""),SUBSTITUTE(SUBSTITUTE(SUBSTITUTE(SUBSTITUTE(SUBSTITUTE(SUBSTITUTE(SUBSTITUTE(SUBSTITUTE(SUBSTITUTE(SUBSTITUTE(SUBSTITUTE(SUBSTITUTE(LOWER(TRIM(L41)),"á","a"),"é","e"),"í","i"),"ó","o"),"ú","u"),"ü","u"),"ñ","n"),"à","a"),"è","e"),"ì","i"),"ò","o"),"ù","u"),"")</f>
        <v/>
      </c>
      <c r="W41" s="25">
        <f>IF(AND(Q41=1,I41&lt;&gt;""),SUBSTITUTE(SUBSTITUTE(SUBSTITUTE(SUBSTITUTE(SUBSTITUTE(SUBSTITUTE(SUBSTITUTE(SUBSTITUTE(SUBSTITUTE(SUBSTITUTE(SUBSTITUTE(SUBSTITUTE(LOWER(TRIM(I41)),"á","a"),"é","e"),"í","i"),"ó","o"),"ú","u"),"ü","u"),"ñ","n"),"à","a"),"è","e"),"ì","i"),"ò","o"),"ù","u"),"")</f>
        <v/>
      </c>
      <c r="X41" s="25">
        <f>IF(U41="","",IF(OR(U41="si, en la proxima tarea",U41="si, con cambios"),1,0))</f>
        <v/>
      </c>
      <c r="Y41" s="25">
        <f>IF(AND(Q41=1,A41&lt;&gt;""),IF(IFERROR(COUNTIFS(A$3:A41,"="&amp;SUBSTITUTE(SUBSTITUTE(SUBSTITUTE(A41,"~","~~"),"*","~*"),"?","~?"),Q$3:Q41,1),0)=1,MAX(Y$2:Y40)+1,""),"")</f>
        <v/>
      </c>
      <c r="Z41" s="25">
        <f>IF(Y41="","",COUNTIFS($A$3:$A$1002,"="&amp;SUBSTITUTE(SUBSTITUTE(SUBSTITUTE(A41,"~","~~"),"*","~*"),"?","~?"),$Q$3:$Q$1002,1)*10000-Y41)</f>
        <v/>
      </c>
    </row>
    <row r="42">
      <c r="A42">
        <f>IF(A$2=0,"",IFERROR(TRIM(INDEX('Pegar docentes'!$A$1:$BZ$1001,41,A$2)&amp;""),""))</f>
        <v/>
      </c>
      <c r="B42">
        <f>IF(B$2=0,"",IFERROR(TRIM(INDEX('Pegar docentes'!$A$1:$BZ$1001,41,B$2)&amp;""),""))</f>
        <v/>
      </c>
      <c r="C42">
        <f>IF(C$2=0,"",IFERROR(TRIM(INDEX('Pegar docentes'!$A$1:$BZ$1001,41,C$2)&amp;""),""))</f>
        <v/>
      </c>
      <c r="D42">
        <f>IF(D$2=0,"",IFERROR(TRIM(INDEX('Pegar docentes'!$A$1:$BZ$1001,41,D$2)&amp;""),""))</f>
        <v/>
      </c>
      <c r="E42">
        <f>IF(E$2=0,"",IFERROR(TRIM(INDEX('Pegar docentes'!$A$1:$BZ$1001,41,E$2)&amp;""),""))</f>
        <v/>
      </c>
      <c r="F42">
        <f>IF(F$2=0,"",IFERROR(TRIM(INDEX('Pegar docentes'!$A$1:$BZ$1001,41,F$2)&amp;""),""))</f>
        <v/>
      </c>
      <c r="G42">
        <f>IF(G$2=0,"",IFERROR(TRIM(INDEX('Pegar docentes'!$A$1:$BZ$1001,41,G$2)&amp;""),""))</f>
        <v/>
      </c>
      <c r="H42">
        <f>IF(H$2=0,"",IFERROR(TRIM(INDEX('Pegar docentes'!$A$1:$BZ$1001,41,H$2)&amp;""),""))</f>
        <v/>
      </c>
      <c r="I42">
        <f>IF(I$2=0,"",IFERROR(TRIM(INDEX('Pegar docentes'!$A$1:$BZ$1001,41,I$2)&amp;""),""))</f>
        <v/>
      </c>
      <c r="J42">
        <f>IF(J$2=0,"",IFERROR(TRIM(INDEX('Pegar docentes'!$A$1:$BZ$1001,41,J$2)&amp;""),""))</f>
        <v/>
      </c>
      <c r="K42">
        <f>IF(K$2=0,"",IFERROR(TRIM(INDEX('Pegar docentes'!$A$1:$BZ$1001,41,K$2)&amp;""),""))</f>
        <v/>
      </c>
      <c r="L42">
        <f>IF(L$2=0,"",IFERROR(TRIM(INDEX('Pegar docentes'!$A$1:$BZ$1001,41,L$2)&amp;""),""))</f>
        <v/>
      </c>
      <c r="M42">
        <f>IF(M$2=0,"",IFERROR(TRIM(INDEX('Pegar docentes'!$A$1:$BZ$1001,41,M$2)&amp;""),""))</f>
        <v/>
      </c>
      <c r="N42">
        <f>IF(N$2=0,"",IFERROR(TRIM(INDEX('Pegar docentes'!$A$1:$BZ$1001,41,N$2)&amp;""),""))</f>
        <v/>
      </c>
      <c r="O42">
        <f>IF(O$2=0,"",IFERROR(TRIM(INDEX('Pegar docentes'!$A$1:$BZ$1001,41,O$2)&amp;""),""))</f>
        <v/>
      </c>
      <c r="P42">
        <f>IF(P$2=0,"",IFERROR(TRIM(INDEX('Pegar docentes'!$A$1:$BZ$1001,41,P$2)&amp;""),""))</f>
        <v/>
      </c>
      <c r="Q42" s="25">
        <f>IF(OR(D42&lt;&gt;"",H42&lt;&gt;""),1,"")</f>
        <v/>
      </c>
      <c r="R42" s="25">
        <f>IF(Q42=1,IF(ISNUMBER(FIND("#"&amp;MID(D42,1,1)&amp;"#","#0#1#2#3#4#5#6#7#8#9#")),IF(ISNUMBER(FIND("#"&amp;MID(D42,2,1)&amp;"#","#0#1#2#3#4#5#6#7#8#9#")),IF(AND(VALUE(LEFT(D42,2))&gt;=1,VALUE(LEFT(D42,2))&lt;=5),VALUE(LEFT(D42,2)),""),IF(AND(VALUE(LEFT(D42,1))&gt;=1,VALUE(LEFT(D42,1))&lt;=5),VALUE(LEFT(D42,1)),"")),""),"")</f>
        <v/>
      </c>
      <c r="S42" s="25">
        <f>IF(AND(Q42=1,E42&lt;&gt;""),SUBSTITUTE(SUBSTITUTE(SUBSTITUTE(SUBSTITUTE(SUBSTITUTE(SUBSTITUTE(SUBSTITUTE(SUBSTITUTE(SUBSTITUTE(SUBSTITUTE(SUBSTITUTE(SUBSTITUTE(LOWER(TRIM(E42)),"á","a"),"é","e"),"í","i"),"ó","o"),"ú","u"),"ü","u"),"ñ","n"),"à","a"),"è","e"),"ì","i"),"ò","o"),"ù","u"),"")</f>
        <v/>
      </c>
      <c r="T42" s="25">
        <f>IF(AND(Q42=1,G42&lt;&gt;""),SUBSTITUTE(SUBSTITUTE(SUBSTITUTE(SUBSTITUTE(SUBSTITUTE(SUBSTITUTE(SUBSTITUTE(SUBSTITUTE(SUBSTITUTE(SUBSTITUTE(SUBSTITUTE(SUBSTITUTE(LOWER(TRIM(G42)),"á","a"),"é","e"),"í","i"),"ó","o"),"ú","u"),"ü","u"),"ñ","n"),"à","a"),"è","e"),"ì","i"),"ò","o"),"ù","u"),"")</f>
        <v/>
      </c>
      <c r="U42" s="25">
        <f>IF(AND(Q42=1,H42&lt;&gt;""),SUBSTITUTE(SUBSTITUTE(SUBSTITUTE(SUBSTITUTE(SUBSTITUTE(SUBSTITUTE(SUBSTITUTE(SUBSTITUTE(SUBSTITUTE(SUBSTITUTE(SUBSTITUTE(SUBSTITUTE(LOWER(TRIM(H42)),"á","a"),"é","e"),"í","i"),"ó","o"),"ú","u"),"ü","u"),"ñ","n"),"à","a"),"è","e"),"ì","i"),"ò","o"),"ù","u"),"")</f>
        <v/>
      </c>
      <c r="V42" s="25">
        <f>IF(AND(Q42=1,L42&lt;&gt;""),SUBSTITUTE(SUBSTITUTE(SUBSTITUTE(SUBSTITUTE(SUBSTITUTE(SUBSTITUTE(SUBSTITUTE(SUBSTITUTE(SUBSTITUTE(SUBSTITUTE(SUBSTITUTE(SUBSTITUTE(LOWER(TRIM(L42)),"á","a"),"é","e"),"í","i"),"ó","o"),"ú","u"),"ü","u"),"ñ","n"),"à","a"),"è","e"),"ì","i"),"ò","o"),"ù","u"),"")</f>
        <v/>
      </c>
      <c r="W42" s="25">
        <f>IF(AND(Q42=1,I42&lt;&gt;""),SUBSTITUTE(SUBSTITUTE(SUBSTITUTE(SUBSTITUTE(SUBSTITUTE(SUBSTITUTE(SUBSTITUTE(SUBSTITUTE(SUBSTITUTE(SUBSTITUTE(SUBSTITUTE(SUBSTITUTE(LOWER(TRIM(I42)),"á","a"),"é","e"),"í","i"),"ó","o"),"ú","u"),"ü","u"),"ñ","n"),"à","a"),"è","e"),"ì","i"),"ò","o"),"ù","u"),"")</f>
        <v/>
      </c>
      <c r="X42" s="25">
        <f>IF(U42="","",IF(OR(U42="si, en la proxima tarea",U42="si, con cambios"),1,0))</f>
        <v/>
      </c>
      <c r="Y42" s="25">
        <f>IF(AND(Q42=1,A42&lt;&gt;""),IF(IFERROR(COUNTIFS(A$3:A42,"="&amp;SUBSTITUTE(SUBSTITUTE(SUBSTITUTE(A42,"~","~~"),"*","~*"),"?","~?"),Q$3:Q42,1),0)=1,MAX(Y$2:Y41)+1,""),"")</f>
        <v/>
      </c>
      <c r="Z42" s="25">
        <f>IF(Y42="","",COUNTIFS($A$3:$A$1002,"="&amp;SUBSTITUTE(SUBSTITUTE(SUBSTITUTE(A42,"~","~~"),"*","~*"),"?","~?"),$Q$3:$Q$1002,1)*10000-Y42)</f>
        <v/>
      </c>
    </row>
    <row r="43">
      <c r="A43">
        <f>IF(A$2=0,"",IFERROR(TRIM(INDEX('Pegar docentes'!$A$1:$BZ$1001,42,A$2)&amp;""),""))</f>
        <v/>
      </c>
      <c r="B43">
        <f>IF(B$2=0,"",IFERROR(TRIM(INDEX('Pegar docentes'!$A$1:$BZ$1001,42,B$2)&amp;""),""))</f>
        <v/>
      </c>
      <c r="C43">
        <f>IF(C$2=0,"",IFERROR(TRIM(INDEX('Pegar docentes'!$A$1:$BZ$1001,42,C$2)&amp;""),""))</f>
        <v/>
      </c>
      <c r="D43">
        <f>IF(D$2=0,"",IFERROR(TRIM(INDEX('Pegar docentes'!$A$1:$BZ$1001,42,D$2)&amp;""),""))</f>
        <v/>
      </c>
      <c r="E43">
        <f>IF(E$2=0,"",IFERROR(TRIM(INDEX('Pegar docentes'!$A$1:$BZ$1001,42,E$2)&amp;""),""))</f>
        <v/>
      </c>
      <c r="F43">
        <f>IF(F$2=0,"",IFERROR(TRIM(INDEX('Pegar docentes'!$A$1:$BZ$1001,42,F$2)&amp;""),""))</f>
        <v/>
      </c>
      <c r="G43">
        <f>IF(G$2=0,"",IFERROR(TRIM(INDEX('Pegar docentes'!$A$1:$BZ$1001,42,G$2)&amp;""),""))</f>
        <v/>
      </c>
      <c r="H43">
        <f>IF(H$2=0,"",IFERROR(TRIM(INDEX('Pegar docentes'!$A$1:$BZ$1001,42,H$2)&amp;""),""))</f>
        <v/>
      </c>
      <c r="I43">
        <f>IF(I$2=0,"",IFERROR(TRIM(INDEX('Pegar docentes'!$A$1:$BZ$1001,42,I$2)&amp;""),""))</f>
        <v/>
      </c>
      <c r="J43">
        <f>IF(J$2=0,"",IFERROR(TRIM(INDEX('Pegar docentes'!$A$1:$BZ$1001,42,J$2)&amp;""),""))</f>
        <v/>
      </c>
      <c r="K43">
        <f>IF(K$2=0,"",IFERROR(TRIM(INDEX('Pegar docentes'!$A$1:$BZ$1001,42,K$2)&amp;""),""))</f>
        <v/>
      </c>
      <c r="L43">
        <f>IF(L$2=0,"",IFERROR(TRIM(INDEX('Pegar docentes'!$A$1:$BZ$1001,42,L$2)&amp;""),""))</f>
        <v/>
      </c>
      <c r="M43">
        <f>IF(M$2=0,"",IFERROR(TRIM(INDEX('Pegar docentes'!$A$1:$BZ$1001,42,M$2)&amp;""),""))</f>
        <v/>
      </c>
      <c r="N43">
        <f>IF(N$2=0,"",IFERROR(TRIM(INDEX('Pegar docentes'!$A$1:$BZ$1001,42,N$2)&amp;""),""))</f>
        <v/>
      </c>
      <c r="O43">
        <f>IF(O$2=0,"",IFERROR(TRIM(INDEX('Pegar docentes'!$A$1:$BZ$1001,42,O$2)&amp;""),""))</f>
        <v/>
      </c>
      <c r="P43">
        <f>IF(P$2=0,"",IFERROR(TRIM(INDEX('Pegar docentes'!$A$1:$BZ$1001,42,P$2)&amp;""),""))</f>
        <v/>
      </c>
      <c r="Q43" s="25">
        <f>IF(OR(D43&lt;&gt;"",H43&lt;&gt;""),1,"")</f>
        <v/>
      </c>
      <c r="R43" s="25">
        <f>IF(Q43=1,IF(ISNUMBER(FIND("#"&amp;MID(D43,1,1)&amp;"#","#0#1#2#3#4#5#6#7#8#9#")),IF(ISNUMBER(FIND("#"&amp;MID(D43,2,1)&amp;"#","#0#1#2#3#4#5#6#7#8#9#")),IF(AND(VALUE(LEFT(D43,2))&gt;=1,VALUE(LEFT(D43,2))&lt;=5),VALUE(LEFT(D43,2)),""),IF(AND(VALUE(LEFT(D43,1))&gt;=1,VALUE(LEFT(D43,1))&lt;=5),VALUE(LEFT(D43,1)),"")),""),"")</f>
        <v/>
      </c>
      <c r="S43" s="25">
        <f>IF(AND(Q43=1,E43&lt;&gt;""),SUBSTITUTE(SUBSTITUTE(SUBSTITUTE(SUBSTITUTE(SUBSTITUTE(SUBSTITUTE(SUBSTITUTE(SUBSTITUTE(SUBSTITUTE(SUBSTITUTE(SUBSTITUTE(SUBSTITUTE(LOWER(TRIM(E43)),"á","a"),"é","e"),"í","i"),"ó","o"),"ú","u"),"ü","u"),"ñ","n"),"à","a"),"è","e"),"ì","i"),"ò","o"),"ù","u"),"")</f>
        <v/>
      </c>
      <c r="T43" s="25">
        <f>IF(AND(Q43=1,G43&lt;&gt;""),SUBSTITUTE(SUBSTITUTE(SUBSTITUTE(SUBSTITUTE(SUBSTITUTE(SUBSTITUTE(SUBSTITUTE(SUBSTITUTE(SUBSTITUTE(SUBSTITUTE(SUBSTITUTE(SUBSTITUTE(LOWER(TRIM(G43)),"á","a"),"é","e"),"í","i"),"ó","o"),"ú","u"),"ü","u"),"ñ","n"),"à","a"),"è","e"),"ì","i"),"ò","o"),"ù","u"),"")</f>
        <v/>
      </c>
      <c r="U43" s="25">
        <f>IF(AND(Q43=1,H43&lt;&gt;""),SUBSTITUTE(SUBSTITUTE(SUBSTITUTE(SUBSTITUTE(SUBSTITUTE(SUBSTITUTE(SUBSTITUTE(SUBSTITUTE(SUBSTITUTE(SUBSTITUTE(SUBSTITUTE(SUBSTITUTE(LOWER(TRIM(H43)),"á","a"),"é","e"),"í","i"),"ó","o"),"ú","u"),"ü","u"),"ñ","n"),"à","a"),"è","e"),"ì","i"),"ò","o"),"ù","u"),"")</f>
        <v/>
      </c>
      <c r="V43" s="25">
        <f>IF(AND(Q43=1,L43&lt;&gt;""),SUBSTITUTE(SUBSTITUTE(SUBSTITUTE(SUBSTITUTE(SUBSTITUTE(SUBSTITUTE(SUBSTITUTE(SUBSTITUTE(SUBSTITUTE(SUBSTITUTE(SUBSTITUTE(SUBSTITUTE(LOWER(TRIM(L43)),"á","a"),"é","e"),"í","i"),"ó","o"),"ú","u"),"ü","u"),"ñ","n"),"à","a"),"è","e"),"ì","i"),"ò","o"),"ù","u"),"")</f>
        <v/>
      </c>
      <c r="W43" s="25">
        <f>IF(AND(Q43=1,I43&lt;&gt;""),SUBSTITUTE(SUBSTITUTE(SUBSTITUTE(SUBSTITUTE(SUBSTITUTE(SUBSTITUTE(SUBSTITUTE(SUBSTITUTE(SUBSTITUTE(SUBSTITUTE(SUBSTITUTE(SUBSTITUTE(LOWER(TRIM(I43)),"á","a"),"é","e"),"í","i"),"ó","o"),"ú","u"),"ü","u"),"ñ","n"),"à","a"),"è","e"),"ì","i"),"ò","o"),"ù","u"),"")</f>
        <v/>
      </c>
      <c r="X43" s="25">
        <f>IF(U43="","",IF(OR(U43="si, en la proxima tarea",U43="si, con cambios"),1,0))</f>
        <v/>
      </c>
      <c r="Y43" s="25">
        <f>IF(AND(Q43=1,A43&lt;&gt;""),IF(IFERROR(COUNTIFS(A$3:A43,"="&amp;SUBSTITUTE(SUBSTITUTE(SUBSTITUTE(A43,"~","~~"),"*","~*"),"?","~?"),Q$3:Q43,1),0)=1,MAX(Y$2:Y42)+1,""),"")</f>
        <v/>
      </c>
      <c r="Z43" s="25">
        <f>IF(Y43="","",COUNTIFS($A$3:$A$1002,"="&amp;SUBSTITUTE(SUBSTITUTE(SUBSTITUTE(A43,"~","~~"),"*","~*"),"?","~?"),$Q$3:$Q$1002,1)*10000-Y43)</f>
        <v/>
      </c>
    </row>
    <row r="44">
      <c r="A44">
        <f>IF(A$2=0,"",IFERROR(TRIM(INDEX('Pegar docentes'!$A$1:$BZ$1001,43,A$2)&amp;""),""))</f>
        <v/>
      </c>
      <c r="B44">
        <f>IF(B$2=0,"",IFERROR(TRIM(INDEX('Pegar docentes'!$A$1:$BZ$1001,43,B$2)&amp;""),""))</f>
        <v/>
      </c>
      <c r="C44">
        <f>IF(C$2=0,"",IFERROR(TRIM(INDEX('Pegar docentes'!$A$1:$BZ$1001,43,C$2)&amp;""),""))</f>
        <v/>
      </c>
      <c r="D44">
        <f>IF(D$2=0,"",IFERROR(TRIM(INDEX('Pegar docentes'!$A$1:$BZ$1001,43,D$2)&amp;""),""))</f>
        <v/>
      </c>
      <c r="E44">
        <f>IF(E$2=0,"",IFERROR(TRIM(INDEX('Pegar docentes'!$A$1:$BZ$1001,43,E$2)&amp;""),""))</f>
        <v/>
      </c>
      <c r="F44">
        <f>IF(F$2=0,"",IFERROR(TRIM(INDEX('Pegar docentes'!$A$1:$BZ$1001,43,F$2)&amp;""),""))</f>
        <v/>
      </c>
      <c r="G44">
        <f>IF(G$2=0,"",IFERROR(TRIM(INDEX('Pegar docentes'!$A$1:$BZ$1001,43,G$2)&amp;""),""))</f>
        <v/>
      </c>
      <c r="H44">
        <f>IF(H$2=0,"",IFERROR(TRIM(INDEX('Pegar docentes'!$A$1:$BZ$1001,43,H$2)&amp;""),""))</f>
        <v/>
      </c>
      <c r="I44">
        <f>IF(I$2=0,"",IFERROR(TRIM(INDEX('Pegar docentes'!$A$1:$BZ$1001,43,I$2)&amp;""),""))</f>
        <v/>
      </c>
      <c r="J44">
        <f>IF(J$2=0,"",IFERROR(TRIM(INDEX('Pegar docentes'!$A$1:$BZ$1001,43,J$2)&amp;""),""))</f>
        <v/>
      </c>
      <c r="K44">
        <f>IF(K$2=0,"",IFERROR(TRIM(INDEX('Pegar docentes'!$A$1:$BZ$1001,43,K$2)&amp;""),""))</f>
        <v/>
      </c>
      <c r="L44">
        <f>IF(L$2=0,"",IFERROR(TRIM(INDEX('Pegar docentes'!$A$1:$BZ$1001,43,L$2)&amp;""),""))</f>
        <v/>
      </c>
      <c r="M44">
        <f>IF(M$2=0,"",IFERROR(TRIM(INDEX('Pegar docentes'!$A$1:$BZ$1001,43,M$2)&amp;""),""))</f>
        <v/>
      </c>
      <c r="N44">
        <f>IF(N$2=0,"",IFERROR(TRIM(INDEX('Pegar docentes'!$A$1:$BZ$1001,43,N$2)&amp;""),""))</f>
        <v/>
      </c>
      <c r="O44">
        <f>IF(O$2=0,"",IFERROR(TRIM(INDEX('Pegar docentes'!$A$1:$BZ$1001,43,O$2)&amp;""),""))</f>
        <v/>
      </c>
      <c r="P44">
        <f>IF(P$2=0,"",IFERROR(TRIM(INDEX('Pegar docentes'!$A$1:$BZ$1001,43,P$2)&amp;""),""))</f>
        <v/>
      </c>
      <c r="Q44" s="25">
        <f>IF(OR(D44&lt;&gt;"",H44&lt;&gt;""),1,"")</f>
        <v/>
      </c>
      <c r="R44" s="25">
        <f>IF(Q44=1,IF(ISNUMBER(FIND("#"&amp;MID(D44,1,1)&amp;"#","#0#1#2#3#4#5#6#7#8#9#")),IF(ISNUMBER(FIND("#"&amp;MID(D44,2,1)&amp;"#","#0#1#2#3#4#5#6#7#8#9#")),IF(AND(VALUE(LEFT(D44,2))&gt;=1,VALUE(LEFT(D44,2))&lt;=5),VALUE(LEFT(D44,2)),""),IF(AND(VALUE(LEFT(D44,1))&gt;=1,VALUE(LEFT(D44,1))&lt;=5),VALUE(LEFT(D44,1)),"")),""),"")</f>
        <v/>
      </c>
      <c r="S44" s="25">
        <f>IF(AND(Q44=1,E44&lt;&gt;""),SUBSTITUTE(SUBSTITUTE(SUBSTITUTE(SUBSTITUTE(SUBSTITUTE(SUBSTITUTE(SUBSTITUTE(SUBSTITUTE(SUBSTITUTE(SUBSTITUTE(SUBSTITUTE(SUBSTITUTE(LOWER(TRIM(E44)),"á","a"),"é","e"),"í","i"),"ó","o"),"ú","u"),"ü","u"),"ñ","n"),"à","a"),"è","e"),"ì","i"),"ò","o"),"ù","u"),"")</f>
        <v/>
      </c>
      <c r="T44" s="25">
        <f>IF(AND(Q44=1,G44&lt;&gt;""),SUBSTITUTE(SUBSTITUTE(SUBSTITUTE(SUBSTITUTE(SUBSTITUTE(SUBSTITUTE(SUBSTITUTE(SUBSTITUTE(SUBSTITUTE(SUBSTITUTE(SUBSTITUTE(SUBSTITUTE(LOWER(TRIM(G44)),"á","a"),"é","e"),"í","i"),"ó","o"),"ú","u"),"ü","u"),"ñ","n"),"à","a"),"è","e"),"ì","i"),"ò","o"),"ù","u"),"")</f>
        <v/>
      </c>
      <c r="U44" s="25">
        <f>IF(AND(Q44=1,H44&lt;&gt;""),SUBSTITUTE(SUBSTITUTE(SUBSTITUTE(SUBSTITUTE(SUBSTITUTE(SUBSTITUTE(SUBSTITUTE(SUBSTITUTE(SUBSTITUTE(SUBSTITUTE(SUBSTITUTE(SUBSTITUTE(LOWER(TRIM(H44)),"á","a"),"é","e"),"í","i"),"ó","o"),"ú","u"),"ü","u"),"ñ","n"),"à","a"),"è","e"),"ì","i"),"ò","o"),"ù","u"),"")</f>
        <v/>
      </c>
      <c r="V44" s="25">
        <f>IF(AND(Q44=1,L44&lt;&gt;""),SUBSTITUTE(SUBSTITUTE(SUBSTITUTE(SUBSTITUTE(SUBSTITUTE(SUBSTITUTE(SUBSTITUTE(SUBSTITUTE(SUBSTITUTE(SUBSTITUTE(SUBSTITUTE(SUBSTITUTE(LOWER(TRIM(L44)),"á","a"),"é","e"),"í","i"),"ó","o"),"ú","u"),"ü","u"),"ñ","n"),"à","a"),"è","e"),"ì","i"),"ò","o"),"ù","u"),"")</f>
        <v/>
      </c>
      <c r="W44" s="25">
        <f>IF(AND(Q44=1,I44&lt;&gt;""),SUBSTITUTE(SUBSTITUTE(SUBSTITUTE(SUBSTITUTE(SUBSTITUTE(SUBSTITUTE(SUBSTITUTE(SUBSTITUTE(SUBSTITUTE(SUBSTITUTE(SUBSTITUTE(SUBSTITUTE(LOWER(TRIM(I44)),"á","a"),"é","e"),"í","i"),"ó","o"),"ú","u"),"ü","u"),"ñ","n"),"à","a"),"è","e"),"ì","i"),"ò","o"),"ù","u"),"")</f>
        <v/>
      </c>
      <c r="X44" s="25">
        <f>IF(U44="","",IF(OR(U44="si, en la proxima tarea",U44="si, con cambios"),1,0))</f>
        <v/>
      </c>
      <c r="Y44" s="25">
        <f>IF(AND(Q44=1,A44&lt;&gt;""),IF(IFERROR(COUNTIFS(A$3:A44,"="&amp;SUBSTITUTE(SUBSTITUTE(SUBSTITUTE(A44,"~","~~"),"*","~*"),"?","~?"),Q$3:Q44,1),0)=1,MAX(Y$2:Y43)+1,""),"")</f>
        <v/>
      </c>
      <c r="Z44" s="25">
        <f>IF(Y44="","",COUNTIFS($A$3:$A$1002,"="&amp;SUBSTITUTE(SUBSTITUTE(SUBSTITUTE(A44,"~","~~"),"*","~*"),"?","~?"),$Q$3:$Q$1002,1)*10000-Y44)</f>
        <v/>
      </c>
    </row>
    <row r="45">
      <c r="A45">
        <f>IF(A$2=0,"",IFERROR(TRIM(INDEX('Pegar docentes'!$A$1:$BZ$1001,44,A$2)&amp;""),""))</f>
        <v/>
      </c>
      <c r="B45">
        <f>IF(B$2=0,"",IFERROR(TRIM(INDEX('Pegar docentes'!$A$1:$BZ$1001,44,B$2)&amp;""),""))</f>
        <v/>
      </c>
      <c r="C45">
        <f>IF(C$2=0,"",IFERROR(TRIM(INDEX('Pegar docentes'!$A$1:$BZ$1001,44,C$2)&amp;""),""))</f>
        <v/>
      </c>
      <c r="D45">
        <f>IF(D$2=0,"",IFERROR(TRIM(INDEX('Pegar docentes'!$A$1:$BZ$1001,44,D$2)&amp;""),""))</f>
        <v/>
      </c>
      <c r="E45">
        <f>IF(E$2=0,"",IFERROR(TRIM(INDEX('Pegar docentes'!$A$1:$BZ$1001,44,E$2)&amp;""),""))</f>
        <v/>
      </c>
      <c r="F45">
        <f>IF(F$2=0,"",IFERROR(TRIM(INDEX('Pegar docentes'!$A$1:$BZ$1001,44,F$2)&amp;""),""))</f>
        <v/>
      </c>
      <c r="G45">
        <f>IF(G$2=0,"",IFERROR(TRIM(INDEX('Pegar docentes'!$A$1:$BZ$1001,44,G$2)&amp;""),""))</f>
        <v/>
      </c>
      <c r="H45">
        <f>IF(H$2=0,"",IFERROR(TRIM(INDEX('Pegar docentes'!$A$1:$BZ$1001,44,H$2)&amp;""),""))</f>
        <v/>
      </c>
      <c r="I45">
        <f>IF(I$2=0,"",IFERROR(TRIM(INDEX('Pegar docentes'!$A$1:$BZ$1001,44,I$2)&amp;""),""))</f>
        <v/>
      </c>
      <c r="J45">
        <f>IF(J$2=0,"",IFERROR(TRIM(INDEX('Pegar docentes'!$A$1:$BZ$1001,44,J$2)&amp;""),""))</f>
        <v/>
      </c>
      <c r="K45">
        <f>IF(K$2=0,"",IFERROR(TRIM(INDEX('Pegar docentes'!$A$1:$BZ$1001,44,K$2)&amp;""),""))</f>
        <v/>
      </c>
      <c r="L45">
        <f>IF(L$2=0,"",IFERROR(TRIM(INDEX('Pegar docentes'!$A$1:$BZ$1001,44,L$2)&amp;""),""))</f>
        <v/>
      </c>
      <c r="M45">
        <f>IF(M$2=0,"",IFERROR(TRIM(INDEX('Pegar docentes'!$A$1:$BZ$1001,44,M$2)&amp;""),""))</f>
        <v/>
      </c>
      <c r="N45">
        <f>IF(N$2=0,"",IFERROR(TRIM(INDEX('Pegar docentes'!$A$1:$BZ$1001,44,N$2)&amp;""),""))</f>
        <v/>
      </c>
      <c r="O45">
        <f>IF(O$2=0,"",IFERROR(TRIM(INDEX('Pegar docentes'!$A$1:$BZ$1001,44,O$2)&amp;""),""))</f>
        <v/>
      </c>
      <c r="P45">
        <f>IF(P$2=0,"",IFERROR(TRIM(INDEX('Pegar docentes'!$A$1:$BZ$1001,44,P$2)&amp;""),""))</f>
        <v/>
      </c>
      <c r="Q45" s="25">
        <f>IF(OR(D45&lt;&gt;"",H45&lt;&gt;""),1,"")</f>
        <v/>
      </c>
      <c r="R45" s="25">
        <f>IF(Q45=1,IF(ISNUMBER(FIND("#"&amp;MID(D45,1,1)&amp;"#","#0#1#2#3#4#5#6#7#8#9#")),IF(ISNUMBER(FIND("#"&amp;MID(D45,2,1)&amp;"#","#0#1#2#3#4#5#6#7#8#9#")),IF(AND(VALUE(LEFT(D45,2))&gt;=1,VALUE(LEFT(D45,2))&lt;=5),VALUE(LEFT(D45,2)),""),IF(AND(VALUE(LEFT(D45,1))&gt;=1,VALUE(LEFT(D45,1))&lt;=5),VALUE(LEFT(D45,1)),"")),""),"")</f>
        <v/>
      </c>
      <c r="S45" s="25">
        <f>IF(AND(Q45=1,E45&lt;&gt;""),SUBSTITUTE(SUBSTITUTE(SUBSTITUTE(SUBSTITUTE(SUBSTITUTE(SUBSTITUTE(SUBSTITUTE(SUBSTITUTE(SUBSTITUTE(SUBSTITUTE(SUBSTITUTE(SUBSTITUTE(LOWER(TRIM(E45)),"á","a"),"é","e"),"í","i"),"ó","o"),"ú","u"),"ü","u"),"ñ","n"),"à","a"),"è","e"),"ì","i"),"ò","o"),"ù","u"),"")</f>
        <v/>
      </c>
      <c r="T45" s="25">
        <f>IF(AND(Q45=1,G45&lt;&gt;""),SUBSTITUTE(SUBSTITUTE(SUBSTITUTE(SUBSTITUTE(SUBSTITUTE(SUBSTITUTE(SUBSTITUTE(SUBSTITUTE(SUBSTITUTE(SUBSTITUTE(SUBSTITUTE(SUBSTITUTE(LOWER(TRIM(G45)),"á","a"),"é","e"),"í","i"),"ó","o"),"ú","u"),"ü","u"),"ñ","n"),"à","a"),"è","e"),"ì","i"),"ò","o"),"ù","u"),"")</f>
        <v/>
      </c>
      <c r="U45" s="25">
        <f>IF(AND(Q45=1,H45&lt;&gt;""),SUBSTITUTE(SUBSTITUTE(SUBSTITUTE(SUBSTITUTE(SUBSTITUTE(SUBSTITUTE(SUBSTITUTE(SUBSTITUTE(SUBSTITUTE(SUBSTITUTE(SUBSTITUTE(SUBSTITUTE(LOWER(TRIM(H45)),"á","a"),"é","e"),"í","i"),"ó","o"),"ú","u"),"ü","u"),"ñ","n"),"à","a"),"è","e"),"ì","i"),"ò","o"),"ù","u"),"")</f>
        <v/>
      </c>
      <c r="V45" s="25">
        <f>IF(AND(Q45=1,L45&lt;&gt;""),SUBSTITUTE(SUBSTITUTE(SUBSTITUTE(SUBSTITUTE(SUBSTITUTE(SUBSTITUTE(SUBSTITUTE(SUBSTITUTE(SUBSTITUTE(SUBSTITUTE(SUBSTITUTE(SUBSTITUTE(LOWER(TRIM(L45)),"á","a"),"é","e"),"í","i"),"ó","o"),"ú","u"),"ü","u"),"ñ","n"),"à","a"),"è","e"),"ì","i"),"ò","o"),"ù","u"),"")</f>
        <v/>
      </c>
      <c r="W45" s="25">
        <f>IF(AND(Q45=1,I45&lt;&gt;""),SUBSTITUTE(SUBSTITUTE(SUBSTITUTE(SUBSTITUTE(SUBSTITUTE(SUBSTITUTE(SUBSTITUTE(SUBSTITUTE(SUBSTITUTE(SUBSTITUTE(SUBSTITUTE(SUBSTITUTE(LOWER(TRIM(I45)),"á","a"),"é","e"),"í","i"),"ó","o"),"ú","u"),"ü","u"),"ñ","n"),"à","a"),"è","e"),"ì","i"),"ò","o"),"ù","u"),"")</f>
        <v/>
      </c>
      <c r="X45" s="25">
        <f>IF(U45="","",IF(OR(U45="si, en la proxima tarea",U45="si, con cambios"),1,0))</f>
        <v/>
      </c>
      <c r="Y45" s="25">
        <f>IF(AND(Q45=1,A45&lt;&gt;""),IF(IFERROR(COUNTIFS(A$3:A45,"="&amp;SUBSTITUTE(SUBSTITUTE(SUBSTITUTE(A45,"~","~~"),"*","~*"),"?","~?"),Q$3:Q45,1),0)=1,MAX(Y$2:Y44)+1,""),"")</f>
        <v/>
      </c>
      <c r="Z45" s="25">
        <f>IF(Y45="","",COUNTIFS($A$3:$A$1002,"="&amp;SUBSTITUTE(SUBSTITUTE(SUBSTITUTE(A45,"~","~~"),"*","~*"),"?","~?"),$Q$3:$Q$1002,1)*10000-Y45)</f>
        <v/>
      </c>
    </row>
    <row r="46">
      <c r="A46">
        <f>IF(A$2=0,"",IFERROR(TRIM(INDEX('Pegar docentes'!$A$1:$BZ$1001,45,A$2)&amp;""),""))</f>
        <v/>
      </c>
      <c r="B46">
        <f>IF(B$2=0,"",IFERROR(TRIM(INDEX('Pegar docentes'!$A$1:$BZ$1001,45,B$2)&amp;""),""))</f>
        <v/>
      </c>
      <c r="C46">
        <f>IF(C$2=0,"",IFERROR(TRIM(INDEX('Pegar docentes'!$A$1:$BZ$1001,45,C$2)&amp;""),""))</f>
        <v/>
      </c>
      <c r="D46">
        <f>IF(D$2=0,"",IFERROR(TRIM(INDEX('Pegar docentes'!$A$1:$BZ$1001,45,D$2)&amp;""),""))</f>
        <v/>
      </c>
      <c r="E46">
        <f>IF(E$2=0,"",IFERROR(TRIM(INDEX('Pegar docentes'!$A$1:$BZ$1001,45,E$2)&amp;""),""))</f>
        <v/>
      </c>
      <c r="F46">
        <f>IF(F$2=0,"",IFERROR(TRIM(INDEX('Pegar docentes'!$A$1:$BZ$1001,45,F$2)&amp;""),""))</f>
        <v/>
      </c>
      <c r="G46">
        <f>IF(G$2=0,"",IFERROR(TRIM(INDEX('Pegar docentes'!$A$1:$BZ$1001,45,G$2)&amp;""),""))</f>
        <v/>
      </c>
      <c r="H46">
        <f>IF(H$2=0,"",IFERROR(TRIM(INDEX('Pegar docentes'!$A$1:$BZ$1001,45,H$2)&amp;""),""))</f>
        <v/>
      </c>
      <c r="I46">
        <f>IF(I$2=0,"",IFERROR(TRIM(INDEX('Pegar docentes'!$A$1:$BZ$1001,45,I$2)&amp;""),""))</f>
        <v/>
      </c>
      <c r="J46">
        <f>IF(J$2=0,"",IFERROR(TRIM(INDEX('Pegar docentes'!$A$1:$BZ$1001,45,J$2)&amp;""),""))</f>
        <v/>
      </c>
      <c r="K46">
        <f>IF(K$2=0,"",IFERROR(TRIM(INDEX('Pegar docentes'!$A$1:$BZ$1001,45,K$2)&amp;""),""))</f>
        <v/>
      </c>
      <c r="L46">
        <f>IF(L$2=0,"",IFERROR(TRIM(INDEX('Pegar docentes'!$A$1:$BZ$1001,45,L$2)&amp;""),""))</f>
        <v/>
      </c>
      <c r="M46">
        <f>IF(M$2=0,"",IFERROR(TRIM(INDEX('Pegar docentes'!$A$1:$BZ$1001,45,M$2)&amp;""),""))</f>
        <v/>
      </c>
      <c r="N46">
        <f>IF(N$2=0,"",IFERROR(TRIM(INDEX('Pegar docentes'!$A$1:$BZ$1001,45,N$2)&amp;""),""))</f>
        <v/>
      </c>
      <c r="O46">
        <f>IF(O$2=0,"",IFERROR(TRIM(INDEX('Pegar docentes'!$A$1:$BZ$1001,45,O$2)&amp;""),""))</f>
        <v/>
      </c>
      <c r="P46">
        <f>IF(P$2=0,"",IFERROR(TRIM(INDEX('Pegar docentes'!$A$1:$BZ$1001,45,P$2)&amp;""),""))</f>
        <v/>
      </c>
      <c r="Q46" s="25">
        <f>IF(OR(D46&lt;&gt;"",H46&lt;&gt;""),1,"")</f>
        <v/>
      </c>
      <c r="R46" s="25">
        <f>IF(Q46=1,IF(ISNUMBER(FIND("#"&amp;MID(D46,1,1)&amp;"#","#0#1#2#3#4#5#6#7#8#9#")),IF(ISNUMBER(FIND("#"&amp;MID(D46,2,1)&amp;"#","#0#1#2#3#4#5#6#7#8#9#")),IF(AND(VALUE(LEFT(D46,2))&gt;=1,VALUE(LEFT(D46,2))&lt;=5),VALUE(LEFT(D46,2)),""),IF(AND(VALUE(LEFT(D46,1))&gt;=1,VALUE(LEFT(D46,1))&lt;=5),VALUE(LEFT(D46,1)),"")),""),"")</f>
        <v/>
      </c>
      <c r="S46" s="25">
        <f>IF(AND(Q46=1,E46&lt;&gt;""),SUBSTITUTE(SUBSTITUTE(SUBSTITUTE(SUBSTITUTE(SUBSTITUTE(SUBSTITUTE(SUBSTITUTE(SUBSTITUTE(SUBSTITUTE(SUBSTITUTE(SUBSTITUTE(SUBSTITUTE(LOWER(TRIM(E46)),"á","a"),"é","e"),"í","i"),"ó","o"),"ú","u"),"ü","u"),"ñ","n"),"à","a"),"è","e"),"ì","i"),"ò","o"),"ù","u"),"")</f>
        <v/>
      </c>
      <c r="T46" s="25">
        <f>IF(AND(Q46=1,G46&lt;&gt;""),SUBSTITUTE(SUBSTITUTE(SUBSTITUTE(SUBSTITUTE(SUBSTITUTE(SUBSTITUTE(SUBSTITUTE(SUBSTITUTE(SUBSTITUTE(SUBSTITUTE(SUBSTITUTE(SUBSTITUTE(LOWER(TRIM(G46)),"á","a"),"é","e"),"í","i"),"ó","o"),"ú","u"),"ü","u"),"ñ","n"),"à","a"),"è","e"),"ì","i"),"ò","o"),"ù","u"),"")</f>
        <v/>
      </c>
      <c r="U46" s="25">
        <f>IF(AND(Q46=1,H46&lt;&gt;""),SUBSTITUTE(SUBSTITUTE(SUBSTITUTE(SUBSTITUTE(SUBSTITUTE(SUBSTITUTE(SUBSTITUTE(SUBSTITUTE(SUBSTITUTE(SUBSTITUTE(SUBSTITUTE(SUBSTITUTE(LOWER(TRIM(H46)),"á","a"),"é","e"),"í","i"),"ó","o"),"ú","u"),"ü","u"),"ñ","n"),"à","a"),"è","e"),"ì","i"),"ò","o"),"ù","u"),"")</f>
        <v/>
      </c>
      <c r="V46" s="25">
        <f>IF(AND(Q46=1,L46&lt;&gt;""),SUBSTITUTE(SUBSTITUTE(SUBSTITUTE(SUBSTITUTE(SUBSTITUTE(SUBSTITUTE(SUBSTITUTE(SUBSTITUTE(SUBSTITUTE(SUBSTITUTE(SUBSTITUTE(SUBSTITUTE(LOWER(TRIM(L46)),"á","a"),"é","e"),"í","i"),"ó","o"),"ú","u"),"ü","u"),"ñ","n"),"à","a"),"è","e"),"ì","i"),"ò","o"),"ù","u"),"")</f>
        <v/>
      </c>
      <c r="W46" s="25">
        <f>IF(AND(Q46=1,I46&lt;&gt;""),SUBSTITUTE(SUBSTITUTE(SUBSTITUTE(SUBSTITUTE(SUBSTITUTE(SUBSTITUTE(SUBSTITUTE(SUBSTITUTE(SUBSTITUTE(SUBSTITUTE(SUBSTITUTE(SUBSTITUTE(LOWER(TRIM(I46)),"á","a"),"é","e"),"í","i"),"ó","o"),"ú","u"),"ü","u"),"ñ","n"),"à","a"),"è","e"),"ì","i"),"ò","o"),"ù","u"),"")</f>
        <v/>
      </c>
      <c r="X46" s="25">
        <f>IF(U46="","",IF(OR(U46="si, en la proxima tarea",U46="si, con cambios"),1,0))</f>
        <v/>
      </c>
      <c r="Y46" s="25">
        <f>IF(AND(Q46=1,A46&lt;&gt;""),IF(IFERROR(COUNTIFS(A$3:A46,"="&amp;SUBSTITUTE(SUBSTITUTE(SUBSTITUTE(A46,"~","~~"),"*","~*"),"?","~?"),Q$3:Q46,1),0)=1,MAX(Y$2:Y45)+1,""),"")</f>
        <v/>
      </c>
      <c r="Z46" s="25">
        <f>IF(Y46="","",COUNTIFS($A$3:$A$1002,"="&amp;SUBSTITUTE(SUBSTITUTE(SUBSTITUTE(A46,"~","~~"),"*","~*"),"?","~?"),$Q$3:$Q$1002,1)*10000-Y46)</f>
        <v/>
      </c>
    </row>
    <row r="47">
      <c r="A47">
        <f>IF(A$2=0,"",IFERROR(TRIM(INDEX('Pegar docentes'!$A$1:$BZ$1001,46,A$2)&amp;""),""))</f>
        <v/>
      </c>
      <c r="B47">
        <f>IF(B$2=0,"",IFERROR(TRIM(INDEX('Pegar docentes'!$A$1:$BZ$1001,46,B$2)&amp;""),""))</f>
        <v/>
      </c>
      <c r="C47">
        <f>IF(C$2=0,"",IFERROR(TRIM(INDEX('Pegar docentes'!$A$1:$BZ$1001,46,C$2)&amp;""),""))</f>
        <v/>
      </c>
      <c r="D47">
        <f>IF(D$2=0,"",IFERROR(TRIM(INDEX('Pegar docentes'!$A$1:$BZ$1001,46,D$2)&amp;""),""))</f>
        <v/>
      </c>
      <c r="E47">
        <f>IF(E$2=0,"",IFERROR(TRIM(INDEX('Pegar docentes'!$A$1:$BZ$1001,46,E$2)&amp;""),""))</f>
        <v/>
      </c>
      <c r="F47">
        <f>IF(F$2=0,"",IFERROR(TRIM(INDEX('Pegar docentes'!$A$1:$BZ$1001,46,F$2)&amp;""),""))</f>
        <v/>
      </c>
      <c r="G47">
        <f>IF(G$2=0,"",IFERROR(TRIM(INDEX('Pegar docentes'!$A$1:$BZ$1001,46,G$2)&amp;""),""))</f>
        <v/>
      </c>
      <c r="H47">
        <f>IF(H$2=0,"",IFERROR(TRIM(INDEX('Pegar docentes'!$A$1:$BZ$1001,46,H$2)&amp;""),""))</f>
        <v/>
      </c>
      <c r="I47">
        <f>IF(I$2=0,"",IFERROR(TRIM(INDEX('Pegar docentes'!$A$1:$BZ$1001,46,I$2)&amp;""),""))</f>
        <v/>
      </c>
      <c r="J47">
        <f>IF(J$2=0,"",IFERROR(TRIM(INDEX('Pegar docentes'!$A$1:$BZ$1001,46,J$2)&amp;""),""))</f>
        <v/>
      </c>
      <c r="K47">
        <f>IF(K$2=0,"",IFERROR(TRIM(INDEX('Pegar docentes'!$A$1:$BZ$1001,46,K$2)&amp;""),""))</f>
        <v/>
      </c>
      <c r="L47">
        <f>IF(L$2=0,"",IFERROR(TRIM(INDEX('Pegar docentes'!$A$1:$BZ$1001,46,L$2)&amp;""),""))</f>
        <v/>
      </c>
      <c r="M47">
        <f>IF(M$2=0,"",IFERROR(TRIM(INDEX('Pegar docentes'!$A$1:$BZ$1001,46,M$2)&amp;""),""))</f>
        <v/>
      </c>
      <c r="N47">
        <f>IF(N$2=0,"",IFERROR(TRIM(INDEX('Pegar docentes'!$A$1:$BZ$1001,46,N$2)&amp;""),""))</f>
        <v/>
      </c>
      <c r="O47">
        <f>IF(O$2=0,"",IFERROR(TRIM(INDEX('Pegar docentes'!$A$1:$BZ$1001,46,O$2)&amp;""),""))</f>
        <v/>
      </c>
      <c r="P47">
        <f>IF(P$2=0,"",IFERROR(TRIM(INDEX('Pegar docentes'!$A$1:$BZ$1001,46,P$2)&amp;""),""))</f>
        <v/>
      </c>
      <c r="Q47" s="25">
        <f>IF(OR(D47&lt;&gt;"",H47&lt;&gt;""),1,"")</f>
        <v/>
      </c>
      <c r="R47" s="25">
        <f>IF(Q47=1,IF(ISNUMBER(FIND("#"&amp;MID(D47,1,1)&amp;"#","#0#1#2#3#4#5#6#7#8#9#")),IF(ISNUMBER(FIND("#"&amp;MID(D47,2,1)&amp;"#","#0#1#2#3#4#5#6#7#8#9#")),IF(AND(VALUE(LEFT(D47,2))&gt;=1,VALUE(LEFT(D47,2))&lt;=5),VALUE(LEFT(D47,2)),""),IF(AND(VALUE(LEFT(D47,1))&gt;=1,VALUE(LEFT(D47,1))&lt;=5),VALUE(LEFT(D47,1)),"")),""),"")</f>
        <v/>
      </c>
      <c r="S47" s="25">
        <f>IF(AND(Q47=1,E47&lt;&gt;""),SUBSTITUTE(SUBSTITUTE(SUBSTITUTE(SUBSTITUTE(SUBSTITUTE(SUBSTITUTE(SUBSTITUTE(SUBSTITUTE(SUBSTITUTE(SUBSTITUTE(SUBSTITUTE(SUBSTITUTE(LOWER(TRIM(E47)),"á","a"),"é","e"),"í","i"),"ó","o"),"ú","u"),"ü","u"),"ñ","n"),"à","a"),"è","e"),"ì","i"),"ò","o"),"ù","u"),"")</f>
        <v/>
      </c>
      <c r="T47" s="25">
        <f>IF(AND(Q47=1,G47&lt;&gt;""),SUBSTITUTE(SUBSTITUTE(SUBSTITUTE(SUBSTITUTE(SUBSTITUTE(SUBSTITUTE(SUBSTITUTE(SUBSTITUTE(SUBSTITUTE(SUBSTITUTE(SUBSTITUTE(SUBSTITUTE(LOWER(TRIM(G47)),"á","a"),"é","e"),"í","i"),"ó","o"),"ú","u"),"ü","u"),"ñ","n"),"à","a"),"è","e"),"ì","i"),"ò","o"),"ù","u"),"")</f>
        <v/>
      </c>
      <c r="U47" s="25">
        <f>IF(AND(Q47=1,H47&lt;&gt;""),SUBSTITUTE(SUBSTITUTE(SUBSTITUTE(SUBSTITUTE(SUBSTITUTE(SUBSTITUTE(SUBSTITUTE(SUBSTITUTE(SUBSTITUTE(SUBSTITUTE(SUBSTITUTE(SUBSTITUTE(LOWER(TRIM(H47)),"á","a"),"é","e"),"í","i"),"ó","o"),"ú","u"),"ü","u"),"ñ","n"),"à","a"),"è","e"),"ì","i"),"ò","o"),"ù","u"),"")</f>
        <v/>
      </c>
      <c r="V47" s="25">
        <f>IF(AND(Q47=1,L47&lt;&gt;""),SUBSTITUTE(SUBSTITUTE(SUBSTITUTE(SUBSTITUTE(SUBSTITUTE(SUBSTITUTE(SUBSTITUTE(SUBSTITUTE(SUBSTITUTE(SUBSTITUTE(SUBSTITUTE(SUBSTITUTE(LOWER(TRIM(L47)),"á","a"),"é","e"),"í","i"),"ó","o"),"ú","u"),"ü","u"),"ñ","n"),"à","a"),"è","e"),"ì","i"),"ò","o"),"ù","u"),"")</f>
        <v/>
      </c>
      <c r="W47" s="25">
        <f>IF(AND(Q47=1,I47&lt;&gt;""),SUBSTITUTE(SUBSTITUTE(SUBSTITUTE(SUBSTITUTE(SUBSTITUTE(SUBSTITUTE(SUBSTITUTE(SUBSTITUTE(SUBSTITUTE(SUBSTITUTE(SUBSTITUTE(SUBSTITUTE(LOWER(TRIM(I47)),"á","a"),"é","e"),"í","i"),"ó","o"),"ú","u"),"ü","u"),"ñ","n"),"à","a"),"è","e"),"ì","i"),"ò","o"),"ù","u"),"")</f>
        <v/>
      </c>
      <c r="X47" s="25">
        <f>IF(U47="","",IF(OR(U47="si, en la proxima tarea",U47="si, con cambios"),1,0))</f>
        <v/>
      </c>
      <c r="Y47" s="25">
        <f>IF(AND(Q47=1,A47&lt;&gt;""),IF(IFERROR(COUNTIFS(A$3:A47,"="&amp;SUBSTITUTE(SUBSTITUTE(SUBSTITUTE(A47,"~","~~"),"*","~*"),"?","~?"),Q$3:Q47,1),0)=1,MAX(Y$2:Y46)+1,""),"")</f>
        <v/>
      </c>
      <c r="Z47" s="25">
        <f>IF(Y47="","",COUNTIFS($A$3:$A$1002,"="&amp;SUBSTITUTE(SUBSTITUTE(SUBSTITUTE(A47,"~","~~"),"*","~*"),"?","~?"),$Q$3:$Q$1002,1)*10000-Y47)</f>
        <v/>
      </c>
    </row>
    <row r="48">
      <c r="A48">
        <f>IF(A$2=0,"",IFERROR(TRIM(INDEX('Pegar docentes'!$A$1:$BZ$1001,47,A$2)&amp;""),""))</f>
        <v/>
      </c>
      <c r="B48">
        <f>IF(B$2=0,"",IFERROR(TRIM(INDEX('Pegar docentes'!$A$1:$BZ$1001,47,B$2)&amp;""),""))</f>
        <v/>
      </c>
      <c r="C48">
        <f>IF(C$2=0,"",IFERROR(TRIM(INDEX('Pegar docentes'!$A$1:$BZ$1001,47,C$2)&amp;""),""))</f>
        <v/>
      </c>
      <c r="D48">
        <f>IF(D$2=0,"",IFERROR(TRIM(INDEX('Pegar docentes'!$A$1:$BZ$1001,47,D$2)&amp;""),""))</f>
        <v/>
      </c>
      <c r="E48">
        <f>IF(E$2=0,"",IFERROR(TRIM(INDEX('Pegar docentes'!$A$1:$BZ$1001,47,E$2)&amp;""),""))</f>
        <v/>
      </c>
      <c r="F48">
        <f>IF(F$2=0,"",IFERROR(TRIM(INDEX('Pegar docentes'!$A$1:$BZ$1001,47,F$2)&amp;""),""))</f>
        <v/>
      </c>
      <c r="G48">
        <f>IF(G$2=0,"",IFERROR(TRIM(INDEX('Pegar docentes'!$A$1:$BZ$1001,47,G$2)&amp;""),""))</f>
        <v/>
      </c>
      <c r="H48">
        <f>IF(H$2=0,"",IFERROR(TRIM(INDEX('Pegar docentes'!$A$1:$BZ$1001,47,H$2)&amp;""),""))</f>
        <v/>
      </c>
      <c r="I48">
        <f>IF(I$2=0,"",IFERROR(TRIM(INDEX('Pegar docentes'!$A$1:$BZ$1001,47,I$2)&amp;""),""))</f>
        <v/>
      </c>
      <c r="J48">
        <f>IF(J$2=0,"",IFERROR(TRIM(INDEX('Pegar docentes'!$A$1:$BZ$1001,47,J$2)&amp;""),""))</f>
        <v/>
      </c>
      <c r="K48">
        <f>IF(K$2=0,"",IFERROR(TRIM(INDEX('Pegar docentes'!$A$1:$BZ$1001,47,K$2)&amp;""),""))</f>
        <v/>
      </c>
      <c r="L48">
        <f>IF(L$2=0,"",IFERROR(TRIM(INDEX('Pegar docentes'!$A$1:$BZ$1001,47,L$2)&amp;""),""))</f>
        <v/>
      </c>
      <c r="M48">
        <f>IF(M$2=0,"",IFERROR(TRIM(INDEX('Pegar docentes'!$A$1:$BZ$1001,47,M$2)&amp;""),""))</f>
        <v/>
      </c>
      <c r="N48">
        <f>IF(N$2=0,"",IFERROR(TRIM(INDEX('Pegar docentes'!$A$1:$BZ$1001,47,N$2)&amp;""),""))</f>
        <v/>
      </c>
      <c r="O48">
        <f>IF(O$2=0,"",IFERROR(TRIM(INDEX('Pegar docentes'!$A$1:$BZ$1001,47,O$2)&amp;""),""))</f>
        <v/>
      </c>
      <c r="P48">
        <f>IF(P$2=0,"",IFERROR(TRIM(INDEX('Pegar docentes'!$A$1:$BZ$1001,47,P$2)&amp;""),""))</f>
        <v/>
      </c>
      <c r="Q48" s="25">
        <f>IF(OR(D48&lt;&gt;"",H48&lt;&gt;""),1,"")</f>
        <v/>
      </c>
      <c r="R48" s="25">
        <f>IF(Q48=1,IF(ISNUMBER(FIND("#"&amp;MID(D48,1,1)&amp;"#","#0#1#2#3#4#5#6#7#8#9#")),IF(ISNUMBER(FIND("#"&amp;MID(D48,2,1)&amp;"#","#0#1#2#3#4#5#6#7#8#9#")),IF(AND(VALUE(LEFT(D48,2))&gt;=1,VALUE(LEFT(D48,2))&lt;=5),VALUE(LEFT(D48,2)),""),IF(AND(VALUE(LEFT(D48,1))&gt;=1,VALUE(LEFT(D48,1))&lt;=5),VALUE(LEFT(D48,1)),"")),""),"")</f>
        <v/>
      </c>
      <c r="S48" s="25">
        <f>IF(AND(Q48=1,E48&lt;&gt;""),SUBSTITUTE(SUBSTITUTE(SUBSTITUTE(SUBSTITUTE(SUBSTITUTE(SUBSTITUTE(SUBSTITUTE(SUBSTITUTE(SUBSTITUTE(SUBSTITUTE(SUBSTITUTE(SUBSTITUTE(LOWER(TRIM(E48)),"á","a"),"é","e"),"í","i"),"ó","o"),"ú","u"),"ü","u"),"ñ","n"),"à","a"),"è","e"),"ì","i"),"ò","o"),"ù","u"),"")</f>
        <v/>
      </c>
      <c r="T48" s="25">
        <f>IF(AND(Q48=1,G48&lt;&gt;""),SUBSTITUTE(SUBSTITUTE(SUBSTITUTE(SUBSTITUTE(SUBSTITUTE(SUBSTITUTE(SUBSTITUTE(SUBSTITUTE(SUBSTITUTE(SUBSTITUTE(SUBSTITUTE(SUBSTITUTE(LOWER(TRIM(G48)),"á","a"),"é","e"),"í","i"),"ó","o"),"ú","u"),"ü","u"),"ñ","n"),"à","a"),"è","e"),"ì","i"),"ò","o"),"ù","u"),"")</f>
        <v/>
      </c>
      <c r="U48" s="25">
        <f>IF(AND(Q48=1,H48&lt;&gt;""),SUBSTITUTE(SUBSTITUTE(SUBSTITUTE(SUBSTITUTE(SUBSTITUTE(SUBSTITUTE(SUBSTITUTE(SUBSTITUTE(SUBSTITUTE(SUBSTITUTE(SUBSTITUTE(SUBSTITUTE(LOWER(TRIM(H48)),"á","a"),"é","e"),"í","i"),"ó","o"),"ú","u"),"ü","u"),"ñ","n"),"à","a"),"è","e"),"ì","i"),"ò","o"),"ù","u"),"")</f>
        <v/>
      </c>
      <c r="V48" s="25">
        <f>IF(AND(Q48=1,L48&lt;&gt;""),SUBSTITUTE(SUBSTITUTE(SUBSTITUTE(SUBSTITUTE(SUBSTITUTE(SUBSTITUTE(SUBSTITUTE(SUBSTITUTE(SUBSTITUTE(SUBSTITUTE(SUBSTITUTE(SUBSTITUTE(LOWER(TRIM(L48)),"á","a"),"é","e"),"í","i"),"ó","o"),"ú","u"),"ü","u"),"ñ","n"),"à","a"),"è","e"),"ì","i"),"ò","o"),"ù","u"),"")</f>
        <v/>
      </c>
      <c r="W48" s="25">
        <f>IF(AND(Q48=1,I48&lt;&gt;""),SUBSTITUTE(SUBSTITUTE(SUBSTITUTE(SUBSTITUTE(SUBSTITUTE(SUBSTITUTE(SUBSTITUTE(SUBSTITUTE(SUBSTITUTE(SUBSTITUTE(SUBSTITUTE(SUBSTITUTE(LOWER(TRIM(I48)),"á","a"),"é","e"),"í","i"),"ó","o"),"ú","u"),"ü","u"),"ñ","n"),"à","a"),"è","e"),"ì","i"),"ò","o"),"ù","u"),"")</f>
        <v/>
      </c>
      <c r="X48" s="25">
        <f>IF(U48="","",IF(OR(U48="si, en la proxima tarea",U48="si, con cambios"),1,0))</f>
        <v/>
      </c>
      <c r="Y48" s="25">
        <f>IF(AND(Q48=1,A48&lt;&gt;""),IF(IFERROR(COUNTIFS(A$3:A48,"="&amp;SUBSTITUTE(SUBSTITUTE(SUBSTITUTE(A48,"~","~~"),"*","~*"),"?","~?"),Q$3:Q48,1),0)=1,MAX(Y$2:Y47)+1,""),"")</f>
        <v/>
      </c>
      <c r="Z48" s="25">
        <f>IF(Y48="","",COUNTIFS($A$3:$A$1002,"="&amp;SUBSTITUTE(SUBSTITUTE(SUBSTITUTE(A48,"~","~~"),"*","~*"),"?","~?"),$Q$3:$Q$1002,1)*10000-Y48)</f>
        <v/>
      </c>
    </row>
    <row r="49">
      <c r="A49">
        <f>IF(A$2=0,"",IFERROR(TRIM(INDEX('Pegar docentes'!$A$1:$BZ$1001,48,A$2)&amp;""),""))</f>
        <v/>
      </c>
      <c r="B49">
        <f>IF(B$2=0,"",IFERROR(TRIM(INDEX('Pegar docentes'!$A$1:$BZ$1001,48,B$2)&amp;""),""))</f>
        <v/>
      </c>
      <c r="C49">
        <f>IF(C$2=0,"",IFERROR(TRIM(INDEX('Pegar docentes'!$A$1:$BZ$1001,48,C$2)&amp;""),""))</f>
        <v/>
      </c>
      <c r="D49">
        <f>IF(D$2=0,"",IFERROR(TRIM(INDEX('Pegar docentes'!$A$1:$BZ$1001,48,D$2)&amp;""),""))</f>
        <v/>
      </c>
      <c r="E49">
        <f>IF(E$2=0,"",IFERROR(TRIM(INDEX('Pegar docentes'!$A$1:$BZ$1001,48,E$2)&amp;""),""))</f>
        <v/>
      </c>
      <c r="F49">
        <f>IF(F$2=0,"",IFERROR(TRIM(INDEX('Pegar docentes'!$A$1:$BZ$1001,48,F$2)&amp;""),""))</f>
        <v/>
      </c>
      <c r="G49">
        <f>IF(G$2=0,"",IFERROR(TRIM(INDEX('Pegar docentes'!$A$1:$BZ$1001,48,G$2)&amp;""),""))</f>
        <v/>
      </c>
      <c r="H49">
        <f>IF(H$2=0,"",IFERROR(TRIM(INDEX('Pegar docentes'!$A$1:$BZ$1001,48,H$2)&amp;""),""))</f>
        <v/>
      </c>
      <c r="I49">
        <f>IF(I$2=0,"",IFERROR(TRIM(INDEX('Pegar docentes'!$A$1:$BZ$1001,48,I$2)&amp;""),""))</f>
        <v/>
      </c>
      <c r="J49">
        <f>IF(J$2=0,"",IFERROR(TRIM(INDEX('Pegar docentes'!$A$1:$BZ$1001,48,J$2)&amp;""),""))</f>
        <v/>
      </c>
      <c r="K49">
        <f>IF(K$2=0,"",IFERROR(TRIM(INDEX('Pegar docentes'!$A$1:$BZ$1001,48,K$2)&amp;""),""))</f>
        <v/>
      </c>
      <c r="L49">
        <f>IF(L$2=0,"",IFERROR(TRIM(INDEX('Pegar docentes'!$A$1:$BZ$1001,48,L$2)&amp;""),""))</f>
        <v/>
      </c>
      <c r="M49">
        <f>IF(M$2=0,"",IFERROR(TRIM(INDEX('Pegar docentes'!$A$1:$BZ$1001,48,M$2)&amp;""),""))</f>
        <v/>
      </c>
      <c r="N49">
        <f>IF(N$2=0,"",IFERROR(TRIM(INDEX('Pegar docentes'!$A$1:$BZ$1001,48,N$2)&amp;""),""))</f>
        <v/>
      </c>
      <c r="O49">
        <f>IF(O$2=0,"",IFERROR(TRIM(INDEX('Pegar docentes'!$A$1:$BZ$1001,48,O$2)&amp;""),""))</f>
        <v/>
      </c>
      <c r="P49">
        <f>IF(P$2=0,"",IFERROR(TRIM(INDEX('Pegar docentes'!$A$1:$BZ$1001,48,P$2)&amp;""),""))</f>
        <v/>
      </c>
      <c r="Q49" s="25">
        <f>IF(OR(D49&lt;&gt;"",H49&lt;&gt;""),1,"")</f>
        <v/>
      </c>
      <c r="R49" s="25">
        <f>IF(Q49=1,IF(ISNUMBER(FIND("#"&amp;MID(D49,1,1)&amp;"#","#0#1#2#3#4#5#6#7#8#9#")),IF(ISNUMBER(FIND("#"&amp;MID(D49,2,1)&amp;"#","#0#1#2#3#4#5#6#7#8#9#")),IF(AND(VALUE(LEFT(D49,2))&gt;=1,VALUE(LEFT(D49,2))&lt;=5),VALUE(LEFT(D49,2)),""),IF(AND(VALUE(LEFT(D49,1))&gt;=1,VALUE(LEFT(D49,1))&lt;=5),VALUE(LEFT(D49,1)),"")),""),"")</f>
        <v/>
      </c>
      <c r="S49" s="25">
        <f>IF(AND(Q49=1,E49&lt;&gt;""),SUBSTITUTE(SUBSTITUTE(SUBSTITUTE(SUBSTITUTE(SUBSTITUTE(SUBSTITUTE(SUBSTITUTE(SUBSTITUTE(SUBSTITUTE(SUBSTITUTE(SUBSTITUTE(SUBSTITUTE(LOWER(TRIM(E49)),"á","a"),"é","e"),"í","i"),"ó","o"),"ú","u"),"ü","u"),"ñ","n"),"à","a"),"è","e"),"ì","i"),"ò","o"),"ù","u"),"")</f>
        <v/>
      </c>
      <c r="T49" s="25">
        <f>IF(AND(Q49=1,G49&lt;&gt;""),SUBSTITUTE(SUBSTITUTE(SUBSTITUTE(SUBSTITUTE(SUBSTITUTE(SUBSTITUTE(SUBSTITUTE(SUBSTITUTE(SUBSTITUTE(SUBSTITUTE(SUBSTITUTE(SUBSTITUTE(LOWER(TRIM(G49)),"á","a"),"é","e"),"í","i"),"ó","o"),"ú","u"),"ü","u"),"ñ","n"),"à","a"),"è","e"),"ì","i"),"ò","o"),"ù","u"),"")</f>
        <v/>
      </c>
      <c r="U49" s="25">
        <f>IF(AND(Q49=1,H49&lt;&gt;""),SUBSTITUTE(SUBSTITUTE(SUBSTITUTE(SUBSTITUTE(SUBSTITUTE(SUBSTITUTE(SUBSTITUTE(SUBSTITUTE(SUBSTITUTE(SUBSTITUTE(SUBSTITUTE(SUBSTITUTE(LOWER(TRIM(H49)),"á","a"),"é","e"),"í","i"),"ó","o"),"ú","u"),"ü","u"),"ñ","n"),"à","a"),"è","e"),"ì","i"),"ò","o"),"ù","u"),"")</f>
        <v/>
      </c>
      <c r="V49" s="25">
        <f>IF(AND(Q49=1,L49&lt;&gt;""),SUBSTITUTE(SUBSTITUTE(SUBSTITUTE(SUBSTITUTE(SUBSTITUTE(SUBSTITUTE(SUBSTITUTE(SUBSTITUTE(SUBSTITUTE(SUBSTITUTE(SUBSTITUTE(SUBSTITUTE(LOWER(TRIM(L49)),"á","a"),"é","e"),"í","i"),"ó","o"),"ú","u"),"ü","u"),"ñ","n"),"à","a"),"è","e"),"ì","i"),"ò","o"),"ù","u"),"")</f>
        <v/>
      </c>
      <c r="W49" s="25">
        <f>IF(AND(Q49=1,I49&lt;&gt;""),SUBSTITUTE(SUBSTITUTE(SUBSTITUTE(SUBSTITUTE(SUBSTITUTE(SUBSTITUTE(SUBSTITUTE(SUBSTITUTE(SUBSTITUTE(SUBSTITUTE(SUBSTITUTE(SUBSTITUTE(LOWER(TRIM(I49)),"á","a"),"é","e"),"í","i"),"ó","o"),"ú","u"),"ü","u"),"ñ","n"),"à","a"),"è","e"),"ì","i"),"ò","o"),"ù","u"),"")</f>
        <v/>
      </c>
      <c r="X49" s="25">
        <f>IF(U49="","",IF(OR(U49="si, en la proxima tarea",U49="si, con cambios"),1,0))</f>
        <v/>
      </c>
      <c r="Y49" s="25">
        <f>IF(AND(Q49=1,A49&lt;&gt;""),IF(IFERROR(COUNTIFS(A$3:A49,"="&amp;SUBSTITUTE(SUBSTITUTE(SUBSTITUTE(A49,"~","~~"),"*","~*"),"?","~?"),Q$3:Q49,1),0)=1,MAX(Y$2:Y48)+1,""),"")</f>
        <v/>
      </c>
      <c r="Z49" s="25">
        <f>IF(Y49="","",COUNTIFS($A$3:$A$1002,"="&amp;SUBSTITUTE(SUBSTITUTE(SUBSTITUTE(A49,"~","~~"),"*","~*"),"?","~?"),$Q$3:$Q$1002,1)*10000-Y49)</f>
        <v/>
      </c>
    </row>
    <row r="50">
      <c r="A50">
        <f>IF(A$2=0,"",IFERROR(TRIM(INDEX('Pegar docentes'!$A$1:$BZ$1001,49,A$2)&amp;""),""))</f>
        <v/>
      </c>
      <c r="B50">
        <f>IF(B$2=0,"",IFERROR(TRIM(INDEX('Pegar docentes'!$A$1:$BZ$1001,49,B$2)&amp;""),""))</f>
        <v/>
      </c>
      <c r="C50">
        <f>IF(C$2=0,"",IFERROR(TRIM(INDEX('Pegar docentes'!$A$1:$BZ$1001,49,C$2)&amp;""),""))</f>
        <v/>
      </c>
      <c r="D50">
        <f>IF(D$2=0,"",IFERROR(TRIM(INDEX('Pegar docentes'!$A$1:$BZ$1001,49,D$2)&amp;""),""))</f>
        <v/>
      </c>
      <c r="E50">
        <f>IF(E$2=0,"",IFERROR(TRIM(INDEX('Pegar docentes'!$A$1:$BZ$1001,49,E$2)&amp;""),""))</f>
        <v/>
      </c>
      <c r="F50">
        <f>IF(F$2=0,"",IFERROR(TRIM(INDEX('Pegar docentes'!$A$1:$BZ$1001,49,F$2)&amp;""),""))</f>
        <v/>
      </c>
      <c r="G50">
        <f>IF(G$2=0,"",IFERROR(TRIM(INDEX('Pegar docentes'!$A$1:$BZ$1001,49,G$2)&amp;""),""))</f>
        <v/>
      </c>
      <c r="H50">
        <f>IF(H$2=0,"",IFERROR(TRIM(INDEX('Pegar docentes'!$A$1:$BZ$1001,49,H$2)&amp;""),""))</f>
        <v/>
      </c>
      <c r="I50">
        <f>IF(I$2=0,"",IFERROR(TRIM(INDEX('Pegar docentes'!$A$1:$BZ$1001,49,I$2)&amp;""),""))</f>
        <v/>
      </c>
      <c r="J50">
        <f>IF(J$2=0,"",IFERROR(TRIM(INDEX('Pegar docentes'!$A$1:$BZ$1001,49,J$2)&amp;""),""))</f>
        <v/>
      </c>
      <c r="K50">
        <f>IF(K$2=0,"",IFERROR(TRIM(INDEX('Pegar docentes'!$A$1:$BZ$1001,49,K$2)&amp;""),""))</f>
        <v/>
      </c>
      <c r="L50">
        <f>IF(L$2=0,"",IFERROR(TRIM(INDEX('Pegar docentes'!$A$1:$BZ$1001,49,L$2)&amp;""),""))</f>
        <v/>
      </c>
      <c r="M50">
        <f>IF(M$2=0,"",IFERROR(TRIM(INDEX('Pegar docentes'!$A$1:$BZ$1001,49,M$2)&amp;""),""))</f>
        <v/>
      </c>
      <c r="N50">
        <f>IF(N$2=0,"",IFERROR(TRIM(INDEX('Pegar docentes'!$A$1:$BZ$1001,49,N$2)&amp;""),""))</f>
        <v/>
      </c>
      <c r="O50">
        <f>IF(O$2=0,"",IFERROR(TRIM(INDEX('Pegar docentes'!$A$1:$BZ$1001,49,O$2)&amp;""),""))</f>
        <v/>
      </c>
      <c r="P50">
        <f>IF(P$2=0,"",IFERROR(TRIM(INDEX('Pegar docentes'!$A$1:$BZ$1001,49,P$2)&amp;""),""))</f>
        <v/>
      </c>
      <c r="Q50" s="25">
        <f>IF(OR(D50&lt;&gt;"",H50&lt;&gt;""),1,"")</f>
        <v/>
      </c>
      <c r="R50" s="25">
        <f>IF(Q50=1,IF(ISNUMBER(FIND("#"&amp;MID(D50,1,1)&amp;"#","#0#1#2#3#4#5#6#7#8#9#")),IF(ISNUMBER(FIND("#"&amp;MID(D50,2,1)&amp;"#","#0#1#2#3#4#5#6#7#8#9#")),IF(AND(VALUE(LEFT(D50,2))&gt;=1,VALUE(LEFT(D50,2))&lt;=5),VALUE(LEFT(D50,2)),""),IF(AND(VALUE(LEFT(D50,1))&gt;=1,VALUE(LEFT(D50,1))&lt;=5),VALUE(LEFT(D50,1)),"")),""),"")</f>
        <v/>
      </c>
      <c r="S50" s="25">
        <f>IF(AND(Q50=1,E50&lt;&gt;""),SUBSTITUTE(SUBSTITUTE(SUBSTITUTE(SUBSTITUTE(SUBSTITUTE(SUBSTITUTE(SUBSTITUTE(SUBSTITUTE(SUBSTITUTE(SUBSTITUTE(SUBSTITUTE(SUBSTITUTE(LOWER(TRIM(E50)),"á","a"),"é","e"),"í","i"),"ó","o"),"ú","u"),"ü","u"),"ñ","n"),"à","a"),"è","e"),"ì","i"),"ò","o"),"ù","u"),"")</f>
        <v/>
      </c>
      <c r="T50" s="25">
        <f>IF(AND(Q50=1,G50&lt;&gt;""),SUBSTITUTE(SUBSTITUTE(SUBSTITUTE(SUBSTITUTE(SUBSTITUTE(SUBSTITUTE(SUBSTITUTE(SUBSTITUTE(SUBSTITUTE(SUBSTITUTE(SUBSTITUTE(SUBSTITUTE(LOWER(TRIM(G50)),"á","a"),"é","e"),"í","i"),"ó","o"),"ú","u"),"ü","u"),"ñ","n"),"à","a"),"è","e"),"ì","i"),"ò","o"),"ù","u"),"")</f>
        <v/>
      </c>
      <c r="U50" s="25">
        <f>IF(AND(Q50=1,H50&lt;&gt;""),SUBSTITUTE(SUBSTITUTE(SUBSTITUTE(SUBSTITUTE(SUBSTITUTE(SUBSTITUTE(SUBSTITUTE(SUBSTITUTE(SUBSTITUTE(SUBSTITUTE(SUBSTITUTE(SUBSTITUTE(LOWER(TRIM(H50)),"á","a"),"é","e"),"í","i"),"ó","o"),"ú","u"),"ü","u"),"ñ","n"),"à","a"),"è","e"),"ì","i"),"ò","o"),"ù","u"),"")</f>
        <v/>
      </c>
      <c r="V50" s="25">
        <f>IF(AND(Q50=1,L50&lt;&gt;""),SUBSTITUTE(SUBSTITUTE(SUBSTITUTE(SUBSTITUTE(SUBSTITUTE(SUBSTITUTE(SUBSTITUTE(SUBSTITUTE(SUBSTITUTE(SUBSTITUTE(SUBSTITUTE(SUBSTITUTE(LOWER(TRIM(L50)),"á","a"),"é","e"),"í","i"),"ó","o"),"ú","u"),"ü","u"),"ñ","n"),"à","a"),"è","e"),"ì","i"),"ò","o"),"ù","u"),"")</f>
        <v/>
      </c>
      <c r="W50" s="25">
        <f>IF(AND(Q50=1,I50&lt;&gt;""),SUBSTITUTE(SUBSTITUTE(SUBSTITUTE(SUBSTITUTE(SUBSTITUTE(SUBSTITUTE(SUBSTITUTE(SUBSTITUTE(SUBSTITUTE(SUBSTITUTE(SUBSTITUTE(SUBSTITUTE(LOWER(TRIM(I50)),"á","a"),"é","e"),"í","i"),"ó","o"),"ú","u"),"ü","u"),"ñ","n"),"à","a"),"è","e"),"ì","i"),"ò","o"),"ù","u"),"")</f>
        <v/>
      </c>
      <c r="X50" s="25">
        <f>IF(U50="","",IF(OR(U50="si, en la proxima tarea",U50="si, con cambios"),1,0))</f>
        <v/>
      </c>
      <c r="Y50" s="25">
        <f>IF(AND(Q50=1,A50&lt;&gt;""),IF(IFERROR(COUNTIFS(A$3:A50,"="&amp;SUBSTITUTE(SUBSTITUTE(SUBSTITUTE(A50,"~","~~"),"*","~*"),"?","~?"),Q$3:Q50,1),0)=1,MAX(Y$2:Y49)+1,""),"")</f>
        <v/>
      </c>
      <c r="Z50" s="25">
        <f>IF(Y50="","",COUNTIFS($A$3:$A$1002,"="&amp;SUBSTITUTE(SUBSTITUTE(SUBSTITUTE(A50,"~","~~"),"*","~*"),"?","~?"),$Q$3:$Q$1002,1)*10000-Y50)</f>
        <v/>
      </c>
    </row>
    <row r="51">
      <c r="A51">
        <f>IF(A$2=0,"",IFERROR(TRIM(INDEX('Pegar docentes'!$A$1:$BZ$1001,50,A$2)&amp;""),""))</f>
        <v/>
      </c>
      <c r="B51">
        <f>IF(B$2=0,"",IFERROR(TRIM(INDEX('Pegar docentes'!$A$1:$BZ$1001,50,B$2)&amp;""),""))</f>
        <v/>
      </c>
      <c r="C51">
        <f>IF(C$2=0,"",IFERROR(TRIM(INDEX('Pegar docentes'!$A$1:$BZ$1001,50,C$2)&amp;""),""))</f>
        <v/>
      </c>
      <c r="D51">
        <f>IF(D$2=0,"",IFERROR(TRIM(INDEX('Pegar docentes'!$A$1:$BZ$1001,50,D$2)&amp;""),""))</f>
        <v/>
      </c>
      <c r="E51">
        <f>IF(E$2=0,"",IFERROR(TRIM(INDEX('Pegar docentes'!$A$1:$BZ$1001,50,E$2)&amp;""),""))</f>
        <v/>
      </c>
      <c r="F51">
        <f>IF(F$2=0,"",IFERROR(TRIM(INDEX('Pegar docentes'!$A$1:$BZ$1001,50,F$2)&amp;""),""))</f>
        <v/>
      </c>
      <c r="G51">
        <f>IF(G$2=0,"",IFERROR(TRIM(INDEX('Pegar docentes'!$A$1:$BZ$1001,50,G$2)&amp;""),""))</f>
        <v/>
      </c>
      <c r="H51">
        <f>IF(H$2=0,"",IFERROR(TRIM(INDEX('Pegar docentes'!$A$1:$BZ$1001,50,H$2)&amp;""),""))</f>
        <v/>
      </c>
      <c r="I51">
        <f>IF(I$2=0,"",IFERROR(TRIM(INDEX('Pegar docentes'!$A$1:$BZ$1001,50,I$2)&amp;""),""))</f>
        <v/>
      </c>
      <c r="J51">
        <f>IF(J$2=0,"",IFERROR(TRIM(INDEX('Pegar docentes'!$A$1:$BZ$1001,50,J$2)&amp;""),""))</f>
        <v/>
      </c>
      <c r="K51">
        <f>IF(K$2=0,"",IFERROR(TRIM(INDEX('Pegar docentes'!$A$1:$BZ$1001,50,K$2)&amp;""),""))</f>
        <v/>
      </c>
      <c r="L51">
        <f>IF(L$2=0,"",IFERROR(TRIM(INDEX('Pegar docentes'!$A$1:$BZ$1001,50,L$2)&amp;""),""))</f>
        <v/>
      </c>
      <c r="M51">
        <f>IF(M$2=0,"",IFERROR(TRIM(INDEX('Pegar docentes'!$A$1:$BZ$1001,50,M$2)&amp;""),""))</f>
        <v/>
      </c>
      <c r="N51">
        <f>IF(N$2=0,"",IFERROR(TRIM(INDEX('Pegar docentes'!$A$1:$BZ$1001,50,N$2)&amp;""),""))</f>
        <v/>
      </c>
      <c r="O51">
        <f>IF(O$2=0,"",IFERROR(TRIM(INDEX('Pegar docentes'!$A$1:$BZ$1001,50,O$2)&amp;""),""))</f>
        <v/>
      </c>
      <c r="P51">
        <f>IF(P$2=0,"",IFERROR(TRIM(INDEX('Pegar docentes'!$A$1:$BZ$1001,50,P$2)&amp;""),""))</f>
        <v/>
      </c>
      <c r="Q51" s="25">
        <f>IF(OR(D51&lt;&gt;"",H51&lt;&gt;""),1,"")</f>
        <v/>
      </c>
      <c r="R51" s="25">
        <f>IF(Q51=1,IF(ISNUMBER(FIND("#"&amp;MID(D51,1,1)&amp;"#","#0#1#2#3#4#5#6#7#8#9#")),IF(ISNUMBER(FIND("#"&amp;MID(D51,2,1)&amp;"#","#0#1#2#3#4#5#6#7#8#9#")),IF(AND(VALUE(LEFT(D51,2))&gt;=1,VALUE(LEFT(D51,2))&lt;=5),VALUE(LEFT(D51,2)),""),IF(AND(VALUE(LEFT(D51,1))&gt;=1,VALUE(LEFT(D51,1))&lt;=5),VALUE(LEFT(D51,1)),"")),""),"")</f>
        <v/>
      </c>
      <c r="S51" s="25">
        <f>IF(AND(Q51=1,E51&lt;&gt;""),SUBSTITUTE(SUBSTITUTE(SUBSTITUTE(SUBSTITUTE(SUBSTITUTE(SUBSTITUTE(SUBSTITUTE(SUBSTITUTE(SUBSTITUTE(SUBSTITUTE(SUBSTITUTE(SUBSTITUTE(LOWER(TRIM(E51)),"á","a"),"é","e"),"í","i"),"ó","o"),"ú","u"),"ü","u"),"ñ","n"),"à","a"),"è","e"),"ì","i"),"ò","o"),"ù","u"),"")</f>
        <v/>
      </c>
      <c r="T51" s="25">
        <f>IF(AND(Q51=1,G51&lt;&gt;""),SUBSTITUTE(SUBSTITUTE(SUBSTITUTE(SUBSTITUTE(SUBSTITUTE(SUBSTITUTE(SUBSTITUTE(SUBSTITUTE(SUBSTITUTE(SUBSTITUTE(SUBSTITUTE(SUBSTITUTE(LOWER(TRIM(G51)),"á","a"),"é","e"),"í","i"),"ó","o"),"ú","u"),"ü","u"),"ñ","n"),"à","a"),"è","e"),"ì","i"),"ò","o"),"ù","u"),"")</f>
        <v/>
      </c>
      <c r="U51" s="25">
        <f>IF(AND(Q51=1,H51&lt;&gt;""),SUBSTITUTE(SUBSTITUTE(SUBSTITUTE(SUBSTITUTE(SUBSTITUTE(SUBSTITUTE(SUBSTITUTE(SUBSTITUTE(SUBSTITUTE(SUBSTITUTE(SUBSTITUTE(SUBSTITUTE(LOWER(TRIM(H51)),"á","a"),"é","e"),"í","i"),"ó","o"),"ú","u"),"ü","u"),"ñ","n"),"à","a"),"è","e"),"ì","i"),"ò","o"),"ù","u"),"")</f>
        <v/>
      </c>
      <c r="V51" s="25">
        <f>IF(AND(Q51=1,L51&lt;&gt;""),SUBSTITUTE(SUBSTITUTE(SUBSTITUTE(SUBSTITUTE(SUBSTITUTE(SUBSTITUTE(SUBSTITUTE(SUBSTITUTE(SUBSTITUTE(SUBSTITUTE(SUBSTITUTE(SUBSTITUTE(LOWER(TRIM(L51)),"á","a"),"é","e"),"í","i"),"ó","o"),"ú","u"),"ü","u"),"ñ","n"),"à","a"),"è","e"),"ì","i"),"ò","o"),"ù","u"),"")</f>
        <v/>
      </c>
      <c r="W51" s="25">
        <f>IF(AND(Q51=1,I51&lt;&gt;""),SUBSTITUTE(SUBSTITUTE(SUBSTITUTE(SUBSTITUTE(SUBSTITUTE(SUBSTITUTE(SUBSTITUTE(SUBSTITUTE(SUBSTITUTE(SUBSTITUTE(SUBSTITUTE(SUBSTITUTE(LOWER(TRIM(I51)),"á","a"),"é","e"),"í","i"),"ó","o"),"ú","u"),"ü","u"),"ñ","n"),"à","a"),"è","e"),"ì","i"),"ò","o"),"ù","u"),"")</f>
        <v/>
      </c>
      <c r="X51" s="25">
        <f>IF(U51="","",IF(OR(U51="si, en la proxima tarea",U51="si, con cambios"),1,0))</f>
        <v/>
      </c>
      <c r="Y51" s="25">
        <f>IF(AND(Q51=1,A51&lt;&gt;""),IF(IFERROR(COUNTIFS(A$3:A51,"="&amp;SUBSTITUTE(SUBSTITUTE(SUBSTITUTE(A51,"~","~~"),"*","~*"),"?","~?"),Q$3:Q51,1),0)=1,MAX(Y$2:Y50)+1,""),"")</f>
        <v/>
      </c>
      <c r="Z51" s="25">
        <f>IF(Y51="","",COUNTIFS($A$3:$A$1002,"="&amp;SUBSTITUTE(SUBSTITUTE(SUBSTITUTE(A51,"~","~~"),"*","~*"),"?","~?"),$Q$3:$Q$1002,1)*10000-Y51)</f>
        <v/>
      </c>
    </row>
    <row r="52">
      <c r="A52">
        <f>IF(A$2=0,"",IFERROR(TRIM(INDEX('Pegar docentes'!$A$1:$BZ$1001,51,A$2)&amp;""),""))</f>
        <v/>
      </c>
      <c r="B52">
        <f>IF(B$2=0,"",IFERROR(TRIM(INDEX('Pegar docentes'!$A$1:$BZ$1001,51,B$2)&amp;""),""))</f>
        <v/>
      </c>
      <c r="C52">
        <f>IF(C$2=0,"",IFERROR(TRIM(INDEX('Pegar docentes'!$A$1:$BZ$1001,51,C$2)&amp;""),""))</f>
        <v/>
      </c>
      <c r="D52">
        <f>IF(D$2=0,"",IFERROR(TRIM(INDEX('Pegar docentes'!$A$1:$BZ$1001,51,D$2)&amp;""),""))</f>
        <v/>
      </c>
      <c r="E52">
        <f>IF(E$2=0,"",IFERROR(TRIM(INDEX('Pegar docentes'!$A$1:$BZ$1001,51,E$2)&amp;""),""))</f>
        <v/>
      </c>
      <c r="F52">
        <f>IF(F$2=0,"",IFERROR(TRIM(INDEX('Pegar docentes'!$A$1:$BZ$1001,51,F$2)&amp;""),""))</f>
        <v/>
      </c>
      <c r="G52">
        <f>IF(G$2=0,"",IFERROR(TRIM(INDEX('Pegar docentes'!$A$1:$BZ$1001,51,G$2)&amp;""),""))</f>
        <v/>
      </c>
      <c r="H52">
        <f>IF(H$2=0,"",IFERROR(TRIM(INDEX('Pegar docentes'!$A$1:$BZ$1001,51,H$2)&amp;""),""))</f>
        <v/>
      </c>
      <c r="I52">
        <f>IF(I$2=0,"",IFERROR(TRIM(INDEX('Pegar docentes'!$A$1:$BZ$1001,51,I$2)&amp;""),""))</f>
        <v/>
      </c>
      <c r="J52">
        <f>IF(J$2=0,"",IFERROR(TRIM(INDEX('Pegar docentes'!$A$1:$BZ$1001,51,J$2)&amp;""),""))</f>
        <v/>
      </c>
      <c r="K52">
        <f>IF(K$2=0,"",IFERROR(TRIM(INDEX('Pegar docentes'!$A$1:$BZ$1001,51,K$2)&amp;""),""))</f>
        <v/>
      </c>
      <c r="L52">
        <f>IF(L$2=0,"",IFERROR(TRIM(INDEX('Pegar docentes'!$A$1:$BZ$1001,51,L$2)&amp;""),""))</f>
        <v/>
      </c>
      <c r="M52">
        <f>IF(M$2=0,"",IFERROR(TRIM(INDEX('Pegar docentes'!$A$1:$BZ$1001,51,M$2)&amp;""),""))</f>
        <v/>
      </c>
      <c r="N52">
        <f>IF(N$2=0,"",IFERROR(TRIM(INDEX('Pegar docentes'!$A$1:$BZ$1001,51,N$2)&amp;""),""))</f>
        <v/>
      </c>
      <c r="O52">
        <f>IF(O$2=0,"",IFERROR(TRIM(INDEX('Pegar docentes'!$A$1:$BZ$1001,51,O$2)&amp;""),""))</f>
        <v/>
      </c>
      <c r="P52">
        <f>IF(P$2=0,"",IFERROR(TRIM(INDEX('Pegar docentes'!$A$1:$BZ$1001,51,P$2)&amp;""),""))</f>
        <v/>
      </c>
      <c r="Q52" s="25">
        <f>IF(OR(D52&lt;&gt;"",H52&lt;&gt;""),1,"")</f>
        <v/>
      </c>
      <c r="R52" s="25">
        <f>IF(Q52=1,IF(ISNUMBER(FIND("#"&amp;MID(D52,1,1)&amp;"#","#0#1#2#3#4#5#6#7#8#9#")),IF(ISNUMBER(FIND("#"&amp;MID(D52,2,1)&amp;"#","#0#1#2#3#4#5#6#7#8#9#")),IF(AND(VALUE(LEFT(D52,2))&gt;=1,VALUE(LEFT(D52,2))&lt;=5),VALUE(LEFT(D52,2)),""),IF(AND(VALUE(LEFT(D52,1))&gt;=1,VALUE(LEFT(D52,1))&lt;=5),VALUE(LEFT(D52,1)),"")),""),"")</f>
        <v/>
      </c>
      <c r="S52" s="25">
        <f>IF(AND(Q52=1,E52&lt;&gt;""),SUBSTITUTE(SUBSTITUTE(SUBSTITUTE(SUBSTITUTE(SUBSTITUTE(SUBSTITUTE(SUBSTITUTE(SUBSTITUTE(SUBSTITUTE(SUBSTITUTE(SUBSTITUTE(SUBSTITUTE(LOWER(TRIM(E52)),"á","a"),"é","e"),"í","i"),"ó","o"),"ú","u"),"ü","u"),"ñ","n"),"à","a"),"è","e"),"ì","i"),"ò","o"),"ù","u"),"")</f>
        <v/>
      </c>
      <c r="T52" s="25">
        <f>IF(AND(Q52=1,G52&lt;&gt;""),SUBSTITUTE(SUBSTITUTE(SUBSTITUTE(SUBSTITUTE(SUBSTITUTE(SUBSTITUTE(SUBSTITUTE(SUBSTITUTE(SUBSTITUTE(SUBSTITUTE(SUBSTITUTE(SUBSTITUTE(LOWER(TRIM(G52)),"á","a"),"é","e"),"í","i"),"ó","o"),"ú","u"),"ü","u"),"ñ","n"),"à","a"),"è","e"),"ì","i"),"ò","o"),"ù","u"),"")</f>
        <v/>
      </c>
      <c r="U52" s="25">
        <f>IF(AND(Q52=1,H52&lt;&gt;""),SUBSTITUTE(SUBSTITUTE(SUBSTITUTE(SUBSTITUTE(SUBSTITUTE(SUBSTITUTE(SUBSTITUTE(SUBSTITUTE(SUBSTITUTE(SUBSTITUTE(SUBSTITUTE(SUBSTITUTE(LOWER(TRIM(H52)),"á","a"),"é","e"),"í","i"),"ó","o"),"ú","u"),"ü","u"),"ñ","n"),"à","a"),"è","e"),"ì","i"),"ò","o"),"ù","u"),"")</f>
        <v/>
      </c>
      <c r="V52" s="25">
        <f>IF(AND(Q52=1,L52&lt;&gt;""),SUBSTITUTE(SUBSTITUTE(SUBSTITUTE(SUBSTITUTE(SUBSTITUTE(SUBSTITUTE(SUBSTITUTE(SUBSTITUTE(SUBSTITUTE(SUBSTITUTE(SUBSTITUTE(SUBSTITUTE(LOWER(TRIM(L52)),"á","a"),"é","e"),"í","i"),"ó","o"),"ú","u"),"ü","u"),"ñ","n"),"à","a"),"è","e"),"ì","i"),"ò","o"),"ù","u"),"")</f>
        <v/>
      </c>
      <c r="W52" s="25">
        <f>IF(AND(Q52=1,I52&lt;&gt;""),SUBSTITUTE(SUBSTITUTE(SUBSTITUTE(SUBSTITUTE(SUBSTITUTE(SUBSTITUTE(SUBSTITUTE(SUBSTITUTE(SUBSTITUTE(SUBSTITUTE(SUBSTITUTE(SUBSTITUTE(LOWER(TRIM(I52)),"á","a"),"é","e"),"í","i"),"ó","o"),"ú","u"),"ü","u"),"ñ","n"),"à","a"),"è","e"),"ì","i"),"ò","o"),"ù","u"),"")</f>
        <v/>
      </c>
      <c r="X52" s="25">
        <f>IF(U52="","",IF(OR(U52="si, en la proxima tarea",U52="si, con cambios"),1,0))</f>
        <v/>
      </c>
      <c r="Y52" s="25">
        <f>IF(AND(Q52=1,A52&lt;&gt;""),IF(IFERROR(COUNTIFS(A$3:A52,"="&amp;SUBSTITUTE(SUBSTITUTE(SUBSTITUTE(A52,"~","~~"),"*","~*"),"?","~?"),Q$3:Q52,1),0)=1,MAX(Y$2:Y51)+1,""),"")</f>
        <v/>
      </c>
      <c r="Z52" s="25">
        <f>IF(Y52="","",COUNTIFS($A$3:$A$1002,"="&amp;SUBSTITUTE(SUBSTITUTE(SUBSTITUTE(A52,"~","~~"),"*","~*"),"?","~?"),$Q$3:$Q$1002,1)*10000-Y52)</f>
        <v/>
      </c>
    </row>
    <row r="53">
      <c r="A53">
        <f>IF(A$2=0,"",IFERROR(TRIM(INDEX('Pegar docentes'!$A$1:$BZ$1001,52,A$2)&amp;""),""))</f>
        <v/>
      </c>
      <c r="B53">
        <f>IF(B$2=0,"",IFERROR(TRIM(INDEX('Pegar docentes'!$A$1:$BZ$1001,52,B$2)&amp;""),""))</f>
        <v/>
      </c>
      <c r="C53">
        <f>IF(C$2=0,"",IFERROR(TRIM(INDEX('Pegar docentes'!$A$1:$BZ$1001,52,C$2)&amp;""),""))</f>
        <v/>
      </c>
      <c r="D53">
        <f>IF(D$2=0,"",IFERROR(TRIM(INDEX('Pegar docentes'!$A$1:$BZ$1001,52,D$2)&amp;""),""))</f>
        <v/>
      </c>
      <c r="E53">
        <f>IF(E$2=0,"",IFERROR(TRIM(INDEX('Pegar docentes'!$A$1:$BZ$1001,52,E$2)&amp;""),""))</f>
        <v/>
      </c>
      <c r="F53">
        <f>IF(F$2=0,"",IFERROR(TRIM(INDEX('Pegar docentes'!$A$1:$BZ$1001,52,F$2)&amp;""),""))</f>
        <v/>
      </c>
      <c r="G53">
        <f>IF(G$2=0,"",IFERROR(TRIM(INDEX('Pegar docentes'!$A$1:$BZ$1001,52,G$2)&amp;""),""))</f>
        <v/>
      </c>
      <c r="H53">
        <f>IF(H$2=0,"",IFERROR(TRIM(INDEX('Pegar docentes'!$A$1:$BZ$1001,52,H$2)&amp;""),""))</f>
        <v/>
      </c>
      <c r="I53">
        <f>IF(I$2=0,"",IFERROR(TRIM(INDEX('Pegar docentes'!$A$1:$BZ$1001,52,I$2)&amp;""),""))</f>
        <v/>
      </c>
      <c r="J53">
        <f>IF(J$2=0,"",IFERROR(TRIM(INDEX('Pegar docentes'!$A$1:$BZ$1001,52,J$2)&amp;""),""))</f>
        <v/>
      </c>
      <c r="K53">
        <f>IF(K$2=0,"",IFERROR(TRIM(INDEX('Pegar docentes'!$A$1:$BZ$1001,52,K$2)&amp;""),""))</f>
        <v/>
      </c>
      <c r="L53">
        <f>IF(L$2=0,"",IFERROR(TRIM(INDEX('Pegar docentes'!$A$1:$BZ$1001,52,L$2)&amp;""),""))</f>
        <v/>
      </c>
      <c r="M53">
        <f>IF(M$2=0,"",IFERROR(TRIM(INDEX('Pegar docentes'!$A$1:$BZ$1001,52,M$2)&amp;""),""))</f>
        <v/>
      </c>
      <c r="N53">
        <f>IF(N$2=0,"",IFERROR(TRIM(INDEX('Pegar docentes'!$A$1:$BZ$1001,52,N$2)&amp;""),""))</f>
        <v/>
      </c>
      <c r="O53">
        <f>IF(O$2=0,"",IFERROR(TRIM(INDEX('Pegar docentes'!$A$1:$BZ$1001,52,O$2)&amp;""),""))</f>
        <v/>
      </c>
      <c r="P53">
        <f>IF(P$2=0,"",IFERROR(TRIM(INDEX('Pegar docentes'!$A$1:$BZ$1001,52,P$2)&amp;""),""))</f>
        <v/>
      </c>
      <c r="Q53" s="25">
        <f>IF(OR(D53&lt;&gt;"",H53&lt;&gt;""),1,"")</f>
        <v/>
      </c>
      <c r="R53" s="25">
        <f>IF(Q53=1,IF(ISNUMBER(FIND("#"&amp;MID(D53,1,1)&amp;"#","#0#1#2#3#4#5#6#7#8#9#")),IF(ISNUMBER(FIND("#"&amp;MID(D53,2,1)&amp;"#","#0#1#2#3#4#5#6#7#8#9#")),IF(AND(VALUE(LEFT(D53,2))&gt;=1,VALUE(LEFT(D53,2))&lt;=5),VALUE(LEFT(D53,2)),""),IF(AND(VALUE(LEFT(D53,1))&gt;=1,VALUE(LEFT(D53,1))&lt;=5),VALUE(LEFT(D53,1)),"")),""),"")</f>
        <v/>
      </c>
      <c r="S53" s="25">
        <f>IF(AND(Q53=1,E53&lt;&gt;""),SUBSTITUTE(SUBSTITUTE(SUBSTITUTE(SUBSTITUTE(SUBSTITUTE(SUBSTITUTE(SUBSTITUTE(SUBSTITUTE(SUBSTITUTE(SUBSTITUTE(SUBSTITUTE(SUBSTITUTE(LOWER(TRIM(E53)),"á","a"),"é","e"),"í","i"),"ó","o"),"ú","u"),"ü","u"),"ñ","n"),"à","a"),"è","e"),"ì","i"),"ò","o"),"ù","u"),"")</f>
        <v/>
      </c>
      <c r="T53" s="25">
        <f>IF(AND(Q53=1,G53&lt;&gt;""),SUBSTITUTE(SUBSTITUTE(SUBSTITUTE(SUBSTITUTE(SUBSTITUTE(SUBSTITUTE(SUBSTITUTE(SUBSTITUTE(SUBSTITUTE(SUBSTITUTE(SUBSTITUTE(SUBSTITUTE(LOWER(TRIM(G53)),"á","a"),"é","e"),"í","i"),"ó","o"),"ú","u"),"ü","u"),"ñ","n"),"à","a"),"è","e"),"ì","i"),"ò","o"),"ù","u"),"")</f>
        <v/>
      </c>
      <c r="U53" s="25">
        <f>IF(AND(Q53=1,H53&lt;&gt;""),SUBSTITUTE(SUBSTITUTE(SUBSTITUTE(SUBSTITUTE(SUBSTITUTE(SUBSTITUTE(SUBSTITUTE(SUBSTITUTE(SUBSTITUTE(SUBSTITUTE(SUBSTITUTE(SUBSTITUTE(LOWER(TRIM(H53)),"á","a"),"é","e"),"í","i"),"ó","o"),"ú","u"),"ü","u"),"ñ","n"),"à","a"),"è","e"),"ì","i"),"ò","o"),"ù","u"),"")</f>
        <v/>
      </c>
      <c r="V53" s="25">
        <f>IF(AND(Q53=1,L53&lt;&gt;""),SUBSTITUTE(SUBSTITUTE(SUBSTITUTE(SUBSTITUTE(SUBSTITUTE(SUBSTITUTE(SUBSTITUTE(SUBSTITUTE(SUBSTITUTE(SUBSTITUTE(SUBSTITUTE(SUBSTITUTE(LOWER(TRIM(L53)),"á","a"),"é","e"),"í","i"),"ó","o"),"ú","u"),"ü","u"),"ñ","n"),"à","a"),"è","e"),"ì","i"),"ò","o"),"ù","u"),"")</f>
        <v/>
      </c>
      <c r="W53" s="25">
        <f>IF(AND(Q53=1,I53&lt;&gt;""),SUBSTITUTE(SUBSTITUTE(SUBSTITUTE(SUBSTITUTE(SUBSTITUTE(SUBSTITUTE(SUBSTITUTE(SUBSTITUTE(SUBSTITUTE(SUBSTITUTE(SUBSTITUTE(SUBSTITUTE(LOWER(TRIM(I53)),"á","a"),"é","e"),"í","i"),"ó","o"),"ú","u"),"ü","u"),"ñ","n"),"à","a"),"è","e"),"ì","i"),"ò","o"),"ù","u"),"")</f>
        <v/>
      </c>
      <c r="X53" s="25">
        <f>IF(U53="","",IF(OR(U53="si, en la proxima tarea",U53="si, con cambios"),1,0))</f>
        <v/>
      </c>
      <c r="Y53" s="25">
        <f>IF(AND(Q53=1,A53&lt;&gt;""),IF(IFERROR(COUNTIFS(A$3:A53,"="&amp;SUBSTITUTE(SUBSTITUTE(SUBSTITUTE(A53,"~","~~"),"*","~*"),"?","~?"),Q$3:Q53,1),0)=1,MAX(Y$2:Y52)+1,""),"")</f>
        <v/>
      </c>
      <c r="Z53" s="25">
        <f>IF(Y53="","",COUNTIFS($A$3:$A$1002,"="&amp;SUBSTITUTE(SUBSTITUTE(SUBSTITUTE(A53,"~","~~"),"*","~*"),"?","~?"),$Q$3:$Q$1002,1)*10000-Y53)</f>
        <v/>
      </c>
    </row>
    <row r="54">
      <c r="A54">
        <f>IF(A$2=0,"",IFERROR(TRIM(INDEX('Pegar docentes'!$A$1:$BZ$1001,53,A$2)&amp;""),""))</f>
        <v/>
      </c>
      <c r="B54">
        <f>IF(B$2=0,"",IFERROR(TRIM(INDEX('Pegar docentes'!$A$1:$BZ$1001,53,B$2)&amp;""),""))</f>
        <v/>
      </c>
      <c r="C54">
        <f>IF(C$2=0,"",IFERROR(TRIM(INDEX('Pegar docentes'!$A$1:$BZ$1001,53,C$2)&amp;""),""))</f>
        <v/>
      </c>
      <c r="D54">
        <f>IF(D$2=0,"",IFERROR(TRIM(INDEX('Pegar docentes'!$A$1:$BZ$1001,53,D$2)&amp;""),""))</f>
        <v/>
      </c>
      <c r="E54">
        <f>IF(E$2=0,"",IFERROR(TRIM(INDEX('Pegar docentes'!$A$1:$BZ$1001,53,E$2)&amp;""),""))</f>
        <v/>
      </c>
      <c r="F54">
        <f>IF(F$2=0,"",IFERROR(TRIM(INDEX('Pegar docentes'!$A$1:$BZ$1001,53,F$2)&amp;""),""))</f>
        <v/>
      </c>
      <c r="G54">
        <f>IF(G$2=0,"",IFERROR(TRIM(INDEX('Pegar docentes'!$A$1:$BZ$1001,53,G$2)&amp;""),""))</f>
        <v/>
      </c>
      <c r="H54">
        <f>IF(H$2=0,"",IFERROR(TRIM(INDEX('Pegar docentes'!$A$1:$BZ$1001,53,H$2)&amp;""),""))</f>
        <v/>
      </c>
      <c r="I54">
        <f>IF(I$2=0,"",IFERROR(TRIM(INDEX('Pegar docentes'!$A$1:$BZ$1001,53,I$2)&amp;""),""))</f>
        <v/>
      </c>
      <c r="J54">
        <f>IF(J$2=0,"",IFERROR(TRIM(INDEX('Pegar docentes'!$A$1:$BZ$1001,53,J$2)&amp;""),""))</f>
        <v/>
      </c>
      <c r="K54">
        <f>IF(K$2=0,"",IFERROR(TRIM(INDEX('Pegar docentes'!$A$1:$BZ$1001,53,K$2)&amp;""),""))</f>
        <v/>
      </c>
      <c r="L54">
        <f>IF(L$2=0,"",IFERROR(TRIM(INDEX('Pegar docentes'!$A$1:$BZ$1001,53,L$2)&amp;""),""))</f>
        <v/>
      </c>
      <c r="M54">
        <f>IF(M$2=0,"",IFERROR(TRIM(INDEX('Pegar docentes'!$A$1:$BZ$1001,53,M$2)&amp;""),""))</f>
        <v/>
      </c>
      <c r="N54">
        <f>IF(N$2=0,"",IFERROR(TRIM(INDEX('Pegar docentes'!$A$1:$BZ$1001,53,N$2)&amp;""),""))</f>
        <v/>
      </c>
      <c r="O54">
        <f>IF(O$2=0,"",IFERROR(TRIM(INDEX('Pegar docentes'!$A$1:$BZ$1001,53,O$2)&amp;""),""))</f>
        <v/>
      </c>
      <c r="P54">
        <f>IF(P$2=0,"",IFERROR(TRIM(INDEX('Pegar docentes'!$A$1:$BZ$1001,53,P$2)&amp;""),""))</f>
        <v/>
      </c>
      <c r="Q54" s="25">
        <f>IF(OR(D54&lt;&gt;"",H54&lt;&gt;""),1,"")</f>
        <v/>
      </c>
      <c r="R54" s="25">
        <f>IF(Q54=1,IF(ISNUMBER(FIND("#"&amp;MID(D54,1,1)&amp;"#","#0#1#2#3#4#5#6#7#8#9#")),IF(ISNUMBER(FIND("#"&amp;MID(D54,2,1)&amp;"#","#0#1#2#3#4#5#6#7#8#9#")),IF(AND(VALUE(LEFT(D54,2))&gt;=1,VALUE(LEFT(D54,2))&lt;=5),VALUE(LEFT(D54,2)),""),IF(AND(VALUE(LEFT(D54,1))&gt;=1,VALUE(LEFT(D54,1))&lt;=5),VALUE(LEFT(D54,1)),"")),""),"")</f>
        <v/>
      </c>
      <c r="S54" s="25">
        <f>IF(AND(Q54=1,E54&lt;&gt;""),SUBSTITUTE(SUBSTITUTE(SUBSTITUTE(SUBSTITUTE(SUBSTITUTE(SUBSTITUTE(SUBSTITUTE(SUBSTITUTE(SUBSTITUTE(SUBSTITUTE(SUBSTITUTE(SUBSTITUTE(LOWER(TRIM(E54)),"á","a"),"é","e"),"í","i"),"ó","o"),"ú","u"),"ü","u"),"ñ","n"),"à","a"),"è","e"),"ì","i"),"ò","o"),"ù","u"),"")</f>
        <v/>
      </c>
      <c r="T54" s="25">
        <f>IF(AND(Q54=1,G54&lt;&gt;""),SUBSTITUTE(SUBSTITUTE(SUBSTITUTE(SUBSTITUTE(SUBSTITUTE(SUBSTITUTE(SUBSTITUTE(SUBSTITUTE(SUBSTITUTE(SUBSTITUTE(SUBSTITUTE(SUBSTITUTE(LOWER(TRIM(G54)),"á","a"),"é","e"),"í","i"),"ó","o"),"ú","u"),"ü","u"),"ñ","n"),"à","a"),"è","e"),"ì","i"),"ò","o"),"ù","u"),"")</f>
        <v/>
      </c>
      <c r="U54" s="25">
        <f>IF(AND(Q54=1,H54&lt;&gt;""),SUBSTITUTE(SUBSTITUTE(SUBSTITUTE(SUBSTITUTE(SUBSTITUTE(SUBSTITUTE(SUBSTITUTE(SUBSTITUTE(SUBSTITUTE(SUBSTITUTE(SUBSTITUTE(SUBSTITUTE(LOWER(TRIM(H54)),"á","a"),"é","e"),"í","i"),"ó","o"),"ú","u"),"ü","u"),"ñ","n"),"à","a"),"è","e"),"ì","i"),"ò","o"),"ù","u"),"")</f>
        <v/>
      </c>
      <c r="V54" s="25">
        <f>IF(AND(Q54=1,L54&lt;&gt;""),SUBSTITUTE(SUBSTITUTE(SUBSTITUTE(SUBSTITUTE(SUBSTITUTE(SUBSTITUTE(SUBSTITUTE(SUBSTITUTE(SUBSTITUTE(SUBSTITUTE(SUBSTITUTE(SUBSTITUTE(LOWER(TRIM(L54)),"á","a"),"é","e"),"í","i"),"ó","o"),"ú","u"),"ü","u"),"ñ","n"),"à","a"),"è","e"),"ì","i"),"ò","o"),"ù","u"),"")</f>
        <v/>
      </c>
      <c r="W54" s="25">
        <f>IF(AND(Q54=1,I54&lt;&gt;""),SUBSTITUTE(SUBSTITUTE(SUBSTITUTE(SUBSTITUTE(SUBSTITUTE(SUBSTITUTE(SUBSTITUTE(SUBSTITUTE(SUBSTITUTE(SUBSTITUTE(SUBSTITUTE(SUBSTITUTE(LOWER(TRIM(I54)),"á","a"),"é","e"),"í","i"),"ó","o"),"ú","u"),"ü","u"),"ñ","n"),"à","a"),"è","e"),"ì","i"),"ò","o"),"ù","u"),"")</f>
        <v/>
      </c>
      <c r="X54" s="25">
        <f>IF(U54="","",IF(OR(U54="si, en la proxima tarea",U54="si, con cambios"),1,0))</f>
        <v/>
      </c>
      <c r="Y54" s="25">
        <f>IF(AND(Q54=1,A54&lt;&gt;""),IF(IFERROR(COUNTIFS(A$3:A54,"="&amp;SUBSTITUTE(SUBSTITUTE(SUBSTITUTE(A54,"~","~~"),"*","~*"),"?","~?"),Q$3:Q54,1),0)=1,MAX(Y$2:Y53)+1,""),"")</f>
        <v/>
      </c>
      <c r="Z54" s="25">
        <f>IF(Y54="","",COUNTIFS($A$3:$A$1002,"="&amp;SUBSTITUTE(SUBSTITUTE(SUBSTITUTE(A54,"~","~~"),"*","~*"),"?","~?"),$Q$3:$Q$1002,1)*10000-Y54)</f>
        <v/>
      </c>
    </row>
    <row r="55">
      <c r="A55">
        <f>IF(A$2=0,"",IFERROR(TRIM(INDEX('Pegar docentes'!$A$1:$BZ$1001,54,A$2)&amp;""),""))</f>
        <v/>
      </c>
      <c r="B55">
        <f>IF(B$2=0,"",IFERROR(TRIM(INDEX('Pegar docentes'!$A$1:$BZ$1001,54,B$2)&amp;""),""))</f>
        <v/>
      </c>
      <c r="C55">
        <f>IF(C$2=0,"",IFERROR(TRIM(INDEX('Pegar docentes'!$A$1:$BZ$1001,54,C$2)&amp;""),""))</f>
        <v/>
      </c>
      <c r="D55">
        <f>IF(D$2=0,"",IFERROR(TRIM(INDEX('Pegar docentes'!$A$1:$BZ$1001,54,D$2)&amp;""),""))</f>
        <v/>
      </c>
      <c r="E55">
        <f>IF(E$2=0,"",IFERROR(TRIM(INDEX('Pegar docentes'!$A$1:$BZ$1001,54,E$2)&amp;""),""))</f>
        <v/>
      </c>
      <c r="F55">
        <f>IF(F$2=0,"",IFERROR(TRIM(INDEX('Pegar docentes'!$A$1:$BZ$1001,54,F$2)&amp;""),""))</f>
        <v/>
      </c>
      <c r="G55">
        <f>IF(G$2=0,"",IFERROR(TRIM(INDEX('Pegar docentes'!$A$1:$BZ$1001,54,G$2)&amp;""),""))</f>
        <v/>
      </c>
      <c r="H55">
        <f>IF(H$2=0,"",IFERROR(TRIM(INDEX('Pegar docentes'!$A$1:$BZ$1001,54,H$2)&amp;""),""))</f>
        <v/>
      </c>
      <c r="I55">
        <f>IF(I$2=0,"",IFERROR(TRIM(INDEX('Pegar docentes'!$A$1:$BZ$1001,54,I$2)&amp;""),""))</f>
        <v/>
      </c>
      <c r="J55">
        <f>IF(J$2=0,"",IFERROR(TRIM(INDEX('Pegar docentes'!$A$1:$BZ$1001,54,J$2)&amp;""),""))</f>
        <v/>
      </c>
      <c r="K55">
        <f>IF(K$2=0,"",IFERROR(TRIM(INDEX('Pegar docentes'!$A$1:$BZ$1001,54,K$2)&amp;""),""))</f>
        <v/>
      </c>
      <c r="L55">
        <f>IF(L$2=0,"",IFERROR(TRIM(INDEX('Pegar docentes'!$A$1:$BZ$1001,54,L$2)&amp;""),""))</f>
        <v/>
      </c>
      <c r="M55">
        <f>IF(M$2=0,"",IFERROR(TRIM(INDEX('Pegar docentes'!$A$1:$BZ$1001,54,M$2)&amp;""),""))</f>
        <v/>
      </c>
      <c r="N55">
        <f>IF(N$2=0,"",IFERROR(TRIM(INDEX('Pegar docentes'!$A$1:$BZ$1001,54,N$2)&amp;""),""))</f>
        <v/>
      </c>
      <c r="O55">
        <f>IF(O$2=0,"",IFERROR(TRIM(INDEX('Pegar docentes'!$A$1:$BZ$1001,54,O$2)&amp;""),""))</f>
        <v/>
      </c>
      <c r="P55">
        <f>IF(P$2=0,"",IFERROR(TRIM(INDEX('Pegar docentes'!$A$1:$BZ$1001,54,P$2)&amp;""),""))</f>
        <v/>
      </c>
      <c r="Q55" s="25">
        <f>IF(OR(D55&lt;&gt;"",H55&lt;&gt;""),1,"")</f>
        <v/>
      </c>
      <c r="R55" s="25">
        <f>IF(Q55=1,IF(ISNUMBER(FIND("#"&amp;MID(D55,1,1)&amp;"#","#0#1#2#3#4#5#6#7#8#9#")),IF(ISNUMBER(FIND("#"&amp;MID(D55,2,1)&amp;"#","#0#1#2#3#4#5#6#7#8#9#")),IF(AND(VALUE(LEFT(D55,2))&gt;=1,VALUE(LEFT(D55,2))&lt;=5),VALUE(LEFT(D55,2)),""),IF(AND(VALUE(LEFT(D55,1))&gt;=1,VALUE(LEFT(D55,1))&lt;=5),VALUE(LEFT(D55,1)),"")),""),"")</f>
        <v/>
      </c>
      <c r="S55" s="25">
        <f>IF(AND(Q55=1,E55&lt;&gt;""),SUBSTITUTE(SUBSTITUTE(SUBSTITUTE(SUBSTITUTE(SUBSTITUTE(SUBSTITUTE(SUBSTITUTE(SUBSTITUTE(SUBSTITUTE(SUBSTITUTE(SUBSTITUTE(SUBSTITUTE(LOWER(TRIM(E55)),"á","a"),"é","e"),"í","i"),"ó","o"),"ú","u"),"ü","u"),"ñ","n"),"à","a"),"è","e"),"ì","i"),"ò","o"),"ù","u"),"")</f>
        <v/>
      </c>
      <c r="T55" s="25">
        <f>IF(AND(Q55=1,G55&lt;&gt;""),SUBSTITUTE(SUBSTITUTE(SUBSTITUTE(SUBSTITUTE(SUBSTITUTE(SUBSTITUTE(SUBSTITUTE(SUBSTITUTE(SUBSTITUTE(SUBSTITUTE(SUBSTITUTE(SUBSTITUTE(LOWER(TRIM(G55)),"á","a"),"é","e"),"í","i"),"ó","o"),"ú","u"),"ü","u"),"ñ","n"),"à","a"),"è","e"),"ì","i"),"ò","o"),"ù","u"),"")</f>
        <v/>
      </c>
      <c r="U55" s="25">
        <f>IF(AND(Q55=1,H55&lt;&gt;""),SUBSTITUTE(SUBSTITUTE(SUBSTITUTE(SUBSTITUTE(SUBSTITUTE(SUBSTITUTE(SUBSTITUTE(SUBSTITUTE(SUBSTITUTE(SUBSTITUTE(SUBSTITUTE(SUBSTITUTE(LOWER(TRIM(H55)),"á","a"),"é","e"),"í","i"),"ó","o"),"ú","u"),"ü","u"),"ñ","n"),"à","a"),"è","e"),"ì","i"),"ò","o"),"ù","u"),"")</f>
        <v/>
      </c>
      <c r="V55" s="25">
        <f>IF(AND(Q55=1,L55&lt;&gt;""),SUBSTITUTE(SUBSTITUTE(SUBSTITUTE(SUBSTITUTE(SUBSTITUTE(SUBSTITUTE(SUBSTITUTE(SUBSTITUTE(SUBSTITUTE(SUBSTITUTE(SUBSTITUTE(SUBSTITUTE(LOWER(TRIM(L55)),"á","a"),"é","e"),"í","i"),"ó","o"),"ú","u"),"ü","u"),"ñ","n"),"à","a"),"è","e"),"ì","i"),"ò","o"),"ù","u"),"")</f>
        <v/>
      </c>
      <c r="W55" s="25">
        <f>IF(AND(Q55=1,I55&lt;&gt;""),SUBSTITUTE(SUBSTITUTE(SUBSTITUTE(SUBSTITUTE(SUBSTITUTE(SUBSTITUTE(SUBSTITUTE(SUBSTITUTE(SUBSTITUTE(SUBSTITUTE(SUBSTITUTE(SUBSTITUTE(LOWER(TRIM(I55)),"á","a"),"é","e"),"í","i"),"ó","o"),"ú","u"),"ü","u"),"ñ","n"),"à","a"),"è","e"),"ì","i"),"ò","o"),"ù","u"),"")</f>
        <v/>
      </c>
      <c r="X55" s="25">
        <f>IF(U55="","",IF(OR(U55="si, en la proxima tarea",U55="si, con cambios"),1,0))</f>
        <v/>
      </c>
      <c r="Y55" s="25">
        <f>IF(AND(Q55=1,A55&lt;&gt;""),IF(IFERROR(COUNTIFS(A$3:A55,"="&amp;SUBSTITUTE(SUBSTITUTE(SUBSTITUTE(A55,"~","~~"),"*","~*"),"?","~?"),Q$3:Q55,1),0)=1,MAX(Y$2:Y54)+1,""),"")</f>
        <v/>
      </c>
      <c r="Z55" s="25">
        <f>IF(Y55="","",COUNTIFS($A$3:$A$1002,"="&amp;SUBSTITUTE(SUBSTITUTE(SUBSTITUTE(A55,"~","~~"),"*","~*"),"?","~?"),$Q$3:$Q$1002,1)*10000-Y55)</f>
        <v/>
      </c>
    </row>
    <row r="56">
      <c r="A56">
        <f>IF(A$2=0,"",IFERROR(TRIM(INDEX('Pegar docentes'!$A$1:$BZ$1001,55,A$2)&amp;""),""))</f>
        <v/>
      </c>
      <c r="B56">
        <f>IF(B$2=0,"",IFERROR(TRIM(INDEX('Pegar docentes'!$A$1:$BZ$1001,55,B$2)&amp;""),""))</f>
        <v/>
      </c>
      <c r="C56">
        <f>IF(C$2=0,"",IFERROR(TRIM(INDEX('Pegar docentes'!$A$1:$BZ$1001,55,C$2)&amp;""),""))</f>
        <v/>
      </c>
      <c r="D56">
        <f>IF(D$2=0,"",IFERROR(TRIM(INDEX('Pegar docentes'!$A$1:$BZ$1001,55,D$2)&amp;""),""))</f>
        <v/>
      </c>
      <c r="E56">
        <f>IF(E$2=0,"",IFERROR(TRIM(INDEX('Pegar docentes'!$A$1:$BZ$1001,55,E$2)&amp;""),""))</f>
        <v/>
      </c>
      <c r="F56">
        <f>IF(F$2=0,"",IFERROR(TRIM(INDEX('Pegar docentes'!$A$1:$BZ$1001,55,F$2)&amp;""),""))</f>
        <v/>
      </c>
      <c r="G56">
        <f>IF(G$2=0,"",IFERROR(TRIM(INDEX('Pegar docentes'!$A$1:$BZ$1001,55,G$2)&amp;""),""))</f>
        <v/>
      </c>
      <c r="H56">
        <f>IF(H$2=0,"",IFERROR(TRIM(INDEX('Pegar docentes'!$A$1:$BZ$1001,55,H$2)&amp;""),""))</f>
        <v/>
      </c>
      <c r="I56">
        <f>IF(I$2=0,"",IFERROR(TRIM(INDEX('Pegar docentes'!$A$1:$BZ$1001,55,I$2)&amp;""),""))</f>
        <v/>
      </c>
      <c r="J56">
        <f>IF(J$2=0,"",IFERROR(TRIM(INDEX('Pegar docentes'!$A$1:$BZ$1001,55,J$2)&amp;""),""))</f>
        <v/>
      </c>
      <c r="K56">
        <f>IF(K$2=0,"",IFERROR(TRIM(INDEX('Pegar docentes'!$A$1:$BZ$1001,55,K$2)&amp;""),""))</f>
        <v/>
      </c>
      <c r="L56">
        <f>IF(L$2=0,"",IFERROR(TRIM(INDEX('Pegar docentes'!$A$1:$BZ$1001,55,L$2)&amp;""),""))</f>
        <v/>
      </c>
      <c r="M56">
        <f>IF(M$2=0,"",IFERROR(TRIM(INDEX('Pegar docentes'!$A$1:$BZ$1001,55,M$2)&amp;""),""))</f>
        <v/>
      </c>
      <c r="N56">
        <f>IF(N$2=0,"",IFERROR(TRIM(INDEX('Pegar docentes'!$A$1:$BZ$1001,55,N$2)&amp;""),""))</f>
        <v/>
      </c>
      <c r="O56">
        <f>IF(O$2=0,"",IFERROR(TRIM(INDEX('Pegar docentes'!$A$1:$BZ$1001,55,O$2)&amp;""),""))</f>
        <v/>
      </c>
      <c r="P56">
        <f>IF(P$2=0,"",IFERROR(TRIM(INDEX('Pegar docentes'!$A$1:$BZ$1001,55,P$2)&amp;""),""))</f>
        <v/>
      </c>
      <c r="Q56" s="25">
        <f>IF(OR(D56&lt;&gt;"",H56&lt;&gt;""),1,"")</f>
        <v/>
      </c>
      <c r="R56" s="25">
        <f>IF(Q56=1,IF(ISNUMBER(FIND("#"&amp;MID(D56,1,1)&amp;"#","#0#1#2#3#4#5#6#7#8#9#")),IF(ISNUMBER(FIND("#"&amp;MID(D56,2,1)&amp;"#","#0#1#2#3#4#5#6#7#8#9#")),IF(AND(VALUE(LEFT(D56,2))&gt;=1,VALUE(LEFT(D56,2))&lt;=5),VALUE(LEFT(D56,2)),""),IF(AND(VALUE(LEFT(D56,1))&gt;=1,VALUE(LEFT(D56,1))&lt;=5),VALUE(LEFT(D56,1)),"")),""),"")</f>
        <v/>
      </c>
      <c r="S56" s="25">
        <f>IF(AND(Q56=1,E56&lt;&gt;""),SUBSTITUTE(SUBSTITUTE(SUBSTITUTE(SUBSTITUTE(SUBSTITUTE(SUBSTITUTE(SUBSTITUTE(SUBSTITUTE(SUBSTITUTE(SUBSTITUTE(SUBSTITUTE(SUBSTITUTE(LOWER(TRIM(E56)),"á","a"),"é","e"),"í","i"),"ó","o"),"ú","u"),"ü","u"),"ñ","n"),"à","a"),"è","e"),"ì","i"),"ò","o"),"ù","u"),"")</f>
        <v/>
      </c>
      <c r="T56" s="25">
        <f>IF(AND(Q56=1,G56&lt;&gt;""),SUBSTITUTE(SUBSTITUTE(SUBSTITUTE(SUBSTITUTE(SUBSTITUTE(SUBSTITUTE(SUBSTITUTE(SUBSTITUTE(SUBSTITUTE(SUBSTITUTE(SUBSTITUTE(SUBSTITUTE(LOWER(TRIM(G56)),"á","a"),"é","e"),"í","i"),"ó","o"),"ú","u"),"ü","u"),"ñ","n"),"à","a"),"è","e"),"ì","i"),"ò","o"),"ù","u"),"")</f>
        <v/>
      </c>
      <c r="U56" s="25">
        <f>IF(AND(Q56=1,H56&lt;&gt;""),SUBSTITUTE(SUBSTITUTE(SUBSTITUTE(SUBSTITUTE(SUBSTITUTE(SUBSTITUTE(SUBSTITUTE(SUBSTITUTE(SUBSTITUTE(SUBSTITUTE(SUBSTITUTE(SUBSTITUTE(LOWER(TRIM(H56)),"á","a"),"é","e"),"í","i"),"ó","o"),"ú","u"),"ü","u"),"ñ","n"),"à","a"),"è","e"),"ì","i"),"ò","o"),"ù","u"),"")</f>
        <v/>
      </c>
      <c r="V56" s="25">
        <f>IF(AND(Q56=1,L56&lt;&gt;""),SUBSTITUTE(SUBSTITUTE(SUBSTITUTE(SUBSTITUTE(SUBSTITUTE(SUBSTITUTE(SUBSTITUTE(SUBSTITUTE(SUBSTITUTE(SUBSTITUTE(SUBSTITUTE(SUBSTITUTE(LOWER(TRIM(L56)),"á","a"),"é","e"),"í","i"),"ó","o"),"ú","u"),"ü","u"),"ñ","n"),"à","a"),"è","e"),"ì","i"),"ò","o"),"ù","u"),"")</f>
        <v/>
      </c>
      <c r="W56" s="25">
        <f>IF(AND(Q56=1,I56&lt;&gt;""),SUBSTITUTE(SUBSTITUTE(SUBSTITUTE(SUBSTITUTE(SUBSTITUTE(SUBSTITUTE(SUBSTITUTE(SUBSTITUTE(SUBSTITUTE(SUBSTITUTE(SUBSTITUTE(SUBSTITUTE(LOWER(TRIM(I56)),"á","a"),"é","e"),"í","i"),"ó","o"),"ú","u"),"ü","u"),"ñ","n"),"à","a"),"è","e"),"ì","i"),"ò","o"),"ù","u"),"")</f>
        <v/>
      </c>
      <c r="X56" s="25">
        <f>IF(U56="","",IF(OR(U56="si, en la proxima tarea",U56="si, con cambios"),1,0))</f>
        <v/>
      </c>
      <c r="Y56" s="25">
        <f>IF(AND(Q56=1,A56&lt;&gt;""),IF(IFERROR(COUNTIFS(A$3:A56,"="&amp;SUBSTITUTE(SUBSTITUTE(SUBSTITUTE(A56,"~","~~"),"*","~*"),"?","~?"),Q$3:Q56,1),0)=1,MAX(Y$2:Y55)+1,""),"")</f>
        <v/>
      </c>
      <c r="Z56" s="25">
        <f>IF(Y56="","",COUNTIFS($A$3:$A$1002,"="&amp;SUBSTITUTE(SUBSTITUTE(SUBSTITUTE(A56,"~","~~"),"*","~*"),"?","~?"),$Q$3:$Q$1002,1)*10000-Y56)</f>
        <v/>
      </c>
    </row>
    <row r="57">
      <c r="A57">
        <f>IF(A$2=0,"",IFERROR(TRIM(INDEX('Pegar docentes'!$A$1:$BZ$1001,56,A$2)&amp;""),""))</f>
        <v/>
      </c>
      <c r="B57">
        <f>IF(B$2=0,"",IFERROR(TRIM(INDEX('Pegar docentes'!$A$1:$BZ$1001,56,B$2)&amp;""),""))</f>
        <v/>
      </c>
      <c r="C57">
        <f>IF(C$2=0,"",IFERROR(TRIM(INDEX('Pegar docentes'!$A$1:$BZ$1001,56,C$2)&amp;""),""))</f>
        <v/>
      </c>
      <c r="D57">
        <f>IF(D$2=0,"",IFERROR(TRIM(INDEX('Pegar docentes'!$A$1:$BZ$1001,56,D$2)&amp;""),""))</f>
        <v/>
      </c>
      <c r="E57">
        <f>IF(E$2=0,"",IFERROR(TRIM(INDEX('Pegar docentes'!$A$1:$BZ$1001,56,E$2)&amp;""),""))</f>
        <v/>
      </c>
      <c r="F57">
        <f>IF(F$2=0,"",IFERROR(TRIM(INDEX('Pegar docentes'!$A$1:$BZ$1001,56,F$2)&amp;""),""))</f>
        <v/>
      </c>
      <c r="G57">
        <f>IF(G$2=0,"",IFERROR(TRIM(INDEX('Pegar docentes'!$A$1:$BZ$1001,56,G$2)&amp;""),""))</f>
        <v/>
      </c>
      <c r="H57">
        <f>IF(H$2=0,"",IFERROR(TRIM(INDEX('Pegar docentes'!$A$1:$BZ$1001,56,H$2)&amp;""),""))</f>
        <v/>
      </c>
      <c r="I57">
        <f>IF(I$2=0,"",IFERROR(TRIM(INDEX('Pegar docentes'!$A$1:$BZ$1001,56,I$2)&amp;""),""))</f>
        <v/>
      </c>
      <c r="J57">
        <f>IF(J$2=0,"",IFERROR(TRIM(INDEX('Pegar docentes'!$A$1:$BZ$1001,56,J$2)&amp;""),""))</f>
        <v/>
      </c>
      <c r="K57">
        <f>IF(K$2=0,"",IFERROR(TRIM(INDEX('Pegar docentes'!$A$1:$BZ$1001,56,K$2)&amp;""),""))</f>
        <v/>
      </c>
      <c r="L57">
        <f>IF(L$2=0,"",IFERROR(TRIM(INDEX('Pegar docentes'!$A$1:$BZ$1001,56,L$2)&amp;""),""))</f>
        <v/>
      </c>
      <c r="M57">
        <f>IF(M$2=0,"",IFERROR(TRIM(INDEX('Pegar docentes'!$A$1:$BZ$1001,56,M$2)&amp;""),""))</f>
        <v/>
      </c>
      <c r="N57">
        <f>IF(N$2=0,"",IFERROR(TRIM(INDEX('Pegar docentes'!$A$1:$BZ$1001,56,N$2)&amp;""),""))</f>
        <v/>
      </c>
      <c r="O57">
        <f>IF(O$2=0,"",IFERROR(TRIM(INDEX('Pegar docentes'!$A$1:$BZ$1001,56,O$2)&amp;""),""))</f>
        <v/>
      </c>
      <c r="P57">
        <f>IF(P$2=0,"",IFERROR(TRIM(INDEX('Pegar docentes'!$A$1:$BZ$1001,56,P$2)&amp;""),""))</f>
        <v/>
      </c>
      <c r="Q57" s="25">
        <f>IF(OR(D57&lt;&gt;"",H57&lt;&gt;""),1,"")</f>
        <v/>
      </c>
      <c r="R57" s="25">
        <f>IF(Q57=1,IF(ISNUMBER(FIND("#"&amp;MID(D57,1,1)&amp;"#","#0#1#2#3#4#5#6#7#8#9#")),IF(ISNUMBER(FIND("#"&amp;MID(D57,2,1)&amp;"#","#0#1#2#3#4#5#6#7#8#9#")),IF(AND(VALUE(LEFT(D57,2))&gt;=1,VALUE(LEFT(D57,2))&lt;=5),VALUE(LEFT(D57,2)),""),IF(AND(VALUE(LEFT(D57,1))&gt;=1,VALUE(LEFT(D57,1))&lt;=5),VALUE(LEFT(D57,1)),"")),""),"")</f>
        <v/>
      </c>
      <c r="S57" s="25">
        <f>IF(AND(Q57=1,E57&lt;&gt;""),SUBSTITUTE(SUBSTITUTE(SUBSTITUTE(SUBSTITUTE(SUBSTITUTE(SUBSTITUTE(SUBSTITUTE(SUBSTITUTE(SUBSTITUTE(SUBSTITUTE(SUBSTITUTE(SUBSTITUTE(LOWER(TRIM(E57)),"á","a"),"é","e"),"í","i"),"ó","o"),"ú","u"),"ü","u"),"ñ","n"),"à","a"),"è","e"),"ì","i"),"ò","o"),"ù","u"),"")</f>
        <v/>
      </c>
      <c r="T57" s="25">
        <f>IF(AND(Q57=1,G57&lt;&gt;""),SUBSTITUTE(SUBSTITUTE(SUBSTITUTE(SUBSTITUTE(SUBSTITUTE(SUBSTITUTE(SUBSTITUTE(SUBSTITUTE(SUBSTITUTE(SUBSTITUTE(SUBSTITUTE(SUBSTITUTE(LOWER(TRIM(G57)),"á","a"),"é","e"),"í","i"),"ó","o"),"ú","u"),"ü","u"),"ñ","n"),"à","a"),"è","e"),"ì","i"),"ò","o"),"ù","u"),"")</f>
        <v/>
      </c>
      <c r="U57" s="25">
        <f>IF(AND(Q57=1,H57&lt;&gt;""),SUBSTITUTE(SUBSTITUTE(SUBSTITUTE(SUBSTITUTE(SUBSTITUTE(SUBSTITUTE(SUBSTITUTE(SUBSTITUTE(SUBSTITUTE(SUBSTITUTE(SUBSTITUTE(SUBSTITUTE(LOWER(TRIM(H57)),"á","a"),"é","e"),"í","i"),"ó","o"),"ú","u"),"ü","u"),"ñ","n"),"à","a"),"è","e"),"ì","i"),"ò","o"),"ù","u"),"")</f>
        <v/>
      </c>
      <c r="V57" s="25">
        <f>IF(AND(Q57=1,L57&lt;&gt;""),SUBSTITUTE(SUBSTITUTE(SUBSTITUTE(SUBSTITUTE(SUBSTITUTE(SUBSTITUTE(SUBSTITUTE(SUBSTITUTE(SUBSTITUTE(SUBSTITUTE(SUBSTITUTE(SUBSTITUTE(LOWER(TRIM(L57)),"á","a"),"é","e"),"í","i"),"ó","o"),"ú","u"),"ü","u"),"ñ","n"),"à","a"),"è","e"),"ì","i"),"ò","o"),"ù","u"),"")</f>
        <v/>
      </c>
      <c r="W57" s="25">
        <f>IF(AND(Q57=1,I57&lt;&gt;""),SUBSTITUTE(SUBSTITUTE(SUBSTITUTE(SUBSTITUTE(SUBSTITUTE(SUBSTITUTE(SUBSTITUTE(SUBSTITUTE(SUBSTITUTE(SUBSTITUTE(SUBSTITUTE(SUBSTITUTE(LOWER(TRIM(I57)),"á","a"),"é","e"),"í","i"),"ó","o"),"ú","u"),"ü","u"),"ñ","n"),"à","a"),"è","e"),"ì","i"),"ò","o"),"ù","u"),"")</f>
        <v/>
      </c>
      <c r="X57" s="25">
        <f>IF(U57="","",IF(OR(U57="si, en la proxima tarea",U57="si, con cambios"),1,0))</f>
        <v/>
      </c>
      <c r="Y57" s="25">
        <f>IF(AND(Q57=1,A57&lt;&gt;""),IF(IFERROR(COUNTIFS(A$3:A57,"="&amp;SUBSTITUTE(SUBSTITUTE(SUBSTITUTE(A57,"~","~~"),"*","~*"),"?","~?"),Q$3:Q57,1),0)=1,MAX(Y$2:Y56)+1,""),"")</f>
        <v/>
      </c>
      <c r="Z57" s="25">
        <f>IF(Y57="","",COUNTIFS($A$3:$A$1002,"="&amp;SUBSTITUTE(SUBSTITUTE(SUBSTITUTE(A57,"~","~~"),"*","~*"),"?","~?"),$Q$3:$Q$1002,1)*10000-Y57)</f>
        <v/>
      </c>
    </row>
    <row r="58">
      <c r="A58">
        <f>IF(A$2=0,"",IFERROR(TRIM(INDEX('Pegar docentes'!$A$1:$BZ$1001,57,A$2)&amp;""),""))</f>
        <v/>
      </c>
      <c r="B58">
        <f>IF(B$2=0,"",IFERROR(TRIM(INDEX('Pegar docentes'!$A$1:$BZ$1001,57,B$2)&amp;""),""))</f>
        <v/>
      </c>
      <c r="C58">
        <f>IF(C$2=0,"",IFERROR(TRIM(INDEX('Pegar docentes'!$A$1:$BZ$1001,57,C$2)&amp;""),""))</f>
        <v/>
      </c>
      <c r="D58">
        <f>IF(D$2=0,"",IFERROR(TRIM(INDEX('Pegar docentes'!$A$1:$BZ$1001,57,D$2)&amp;""),""))</f>
        <v/>
      </c>
      <c r="E58">
        <f>IF(E$2=0,"",IFERROR(TRIM(INDEX('Pegar docentes'!$A$1:$BZ$1001,57,E$2)&amp;""),""))</f>
        <v/>
      </c>
      <c r="F58">
        <f>IF(F$2=0,"",IFERROR(TRIM(INDEX('Pegar docentes'!$A$1:$BZ$1001,57,F$2)&amp;""),""))</f>
        <v/>
      </c>
      <c r="G58">
        <f>IF(G$2=0,"",IFERROR(TRIM(INDEX('Pegar docentes'!$A$1:$BZ$1001,57,G$2)&amp;""),""))</f>
        <v/>
      </c>
      <c r="H58">
        <f>IF(H$2=0,"",IFERROR(TRIM(INDEX('Pegar docentes'!$A$1:$BZ$1001,57,H$2)&amp;""),""))</f>
        <v/>
      </c>
      <c r="I58">
        <f>IF(I$2=0,"",IFERROR(TRIM(INDEX('Pegar docentes'!$A$1:$BZ$1001,57,I$2)&amp;""),""))</f>
        <v/>
      </c>
      <c r="J58">
        <f>IF(J$2=0,"",IFERROR(TRIM(INDEX('Pegar docentes'!$A$1:$BZ$1001,57,J$2)&amp;""),""))</f>
        <v/>
      </c>
      <c r="K58">
        <f>IF(K$2=0,"",IFERROR(TRIM(INDEX('Pegar docentes'!$A$1:$BZ$1001,57,K$2)&amp;""),""))</f>
        <v/>
      </c>
      <c r="L58">
        <f>IF(L$2=0,"",IFERROR(TRIM(INDEX('Pegar docentes'!$A$1:$BZ$1001,57,L$2)&amp;""),""))</f>
        <v/>
      </c>
      <c r="M58">
        <f>IF(M$2=0,"",IFERROR(TRIM(INDEX('Pegar docentes'!$A$1:$BZ$1001,57,M$2)&amp;""),""))</f>
        <v/>
      </c>
      <c r="N58">
        <f>IF(N$2=0,"",IFERROR(TRIM(INDEX('Pegar docentes'!$A$1:$BZ$1001,57,N$2)&amp;""),""))</f>
        <v/>
      </c>
      <c r="O58">
        <f>IF(O$2=0,"",IFERROR(TRIM(INDEX('Pegar docentes'!$A$1:$BZ$1001,57,O$2)&amp;""),""))</f>
        <v/>
      </c>
      <c r="P58">
        <f>IF(P$2=0,"",IFERROR(TRIM(INDEX('Pegar docentes'!$A$1:$BZ$1001,57,P$2)&amp;""),""))</f>
        <v/>
      </c>
      <c r="Q58" s="25">
        <f>IF(OR(D58&lt;&gt;"",H58&lt;&gt;""),1,"")</f>
        <v/>
      </c>
      <c r="R58" s="25">
        <f>IF(Q58=1,IF(ISNUMBER(FIND("#"&amp;MID(D58,1,1)&amp;"#","#0#1#2#3#4#5#6#7#8#9#")),IF(ISNUMBER(FIND("#"&amp;MID(D58,2,1)&amp;"#","#0#1#2#3#4#5#6#7#8#9#")),IF(AND(VALUE(LEFT(D58,2))&gt;=1,VALUE(LEFT(D58,2))&lt;=5),VALUE(LEFT(D58,2)),""),IF(AND(VALUE(LEFT(D58,1))&gt;=1,VALUE(LEFT(D58,1))&lt;=5),VALUE(LEFT(D58,1)),"")),""),"")</f>
        <v/>
      </c>
      <c r="S58" s="25">
        <f>IF(AND(Q58=1,E58&lt;&gt;""),SUBSTITUTE(SUBSTITUTE(SUBSTITUTE(SUBSTITUTE(SUBSTITUTE(SUBSTITUTE(SUBSTITUTE(SUBSTITUTE(SUBSTITUTE(SUBSTITUTE(SUBSTITUTE(SUBSTITUTE(LOWER(TRIM(E58)),"á","a"),"é","e"),"í","i"),"ó","o"),"ú","u"),"ü","u"),"ñ","n"),"à","a"),"è","e"),"ì","i"),"ò","o"),"ù","u"),"")</f>
        <v/>
      </c>
      <c r="T58" s="25">
        <f>IF(AND(Q58=1,G58&lt;&gt;""),SUBSTITUTE(SUBSTITUTE(SUBSTITUTE(SUBSTITUTE(SUBSTITUTE(SUBSTITUTE(SUBSTITUTE(SUBSTITUTE(SUBSTITUTE(SUBSTITUTE(SUBSTITUTE(SUBSTITUTE(LOWER(TRIM(G58)),"á","a"),"é","e"),"í","i"),"ó","o"),"ú","u"),"ü","u"),"ñ","n"),"à","a"),"è","e"),"ì","i"),"ò","o"),"ù","u"),"")</f>
        <v/>
      </c>
      <c r="U58" s="25">
        <f>IF(AND(Q58=1,H58&lt;&gt;""),SUBSTITUTE(SUBSTITUTE(SUBSTITUTE(SUBSTITUTE(SUBSTITUTE(SUBSTITUTE(SUBSTITUTE(SUBSTITUTE(SUBSTITUTE(SUBSTITUTE(SUBSTITUTE(SUBSTITUTE(LOWER(TRIM(H58)),"á","a"),"é","e"),"í","i"),"ó","o"),"ú","u"),"ü","u"),"ñ","n"),"à","a"),"è","e"),"ì","i"),"ò","o"),"ù","u"),"")</f>
        <v/>
      </c>
      <c r="V58" s="25">
        <f>IF(AND(Q58=1,L58&lt;&gt;""),SUBSTITUTE(SUBSTITUTE(SUBSTITUTE(SUBSTITUTE(SUBSTITUTE(SUBSTITUTE(SUBSTITUTE(SUBSTITUTE(SUBSTITUTE(SUBSTITUTE(SUBSTITUTE(SUBSTITUTE(LOWER(TRIM(L58)),"á","a"),"é","e"),"í","i"),"ó","o"),"ú","u"),"ü","u"),"ñ","n"),"à","a"),"è","e"),"ì","i"),"ò","o"),"ù","u"),"")</f>
        <v/>
      </c>
      <c r="W58" s="25">
        <f>IF(AND(Q58=1,I58&lt;&gt;""),SUBSTITUTE(SUBSTITUTE(SUBSTITUTE(SUBSTITUTE(SUBSTITUTE(SUBSTITUTE(SUBSTITUTE(SUBSTITUTE(SUBSTITUTE(SUBSTITUTE(SUBSTITUTE(SUBSTITUTE(LOWER(TRIM(I58)),"á","a"),"é","e"),"í","i"),"ó","o"),"ú","u"),"ü","u"),"ñ","n"),"à","a"),"è","e"),"ì","i"),"ò","o"),"ù","u"),"")</f>
        <v/>
      </c>
      <c r="X58" s="25">
        <f>IF(U58="","",IF(OR(U58="si, en la proxima tarea",U58="si, con cambios"),1,0))</f>
        <v/>
      </c>
      <c r="Y58" s="25">
        <f>IF(AND(Q58=1,A58&lt;&gt;""),IF(IFERROR(COUNTIFS(A$3:A58,"="&amp;SUBSTITUTE(SUBSTITUTE(SUBSTITUTE(A58,"~","~~"),"*","~*"),"?","~?"),Q$3:Q58,1),0)=1,MAX(Y$2:Y57)+1,""),"")</f>
        <v/>
      </c>
      <c r="Z58" s="25">
        <f>IF(Y58="","",COUNTIFS($A$3:$A$1002,"="&amp;SUBSTITUTE(SUBSTITUTE(SUBSTITUTE(A58,"~","~~"),"*","~*"),"?","~?"),$Q$3:$Q$1002,1)*10000-Y58)</f>
        <v/>
      </c>
    </row>
    <row r="59">
      <c r="A59">
        <f>IF(A$2=0,"",IFERROR(TRIM(INDEX('Pegar docentes'!$A$1:$BZ$1001,58,A$2)&amp;""),""))</f>
        <v/>
      </c>
      <c r="B59">
        <f>IF(B$2=0,"",IFERROR(TRIM(INDEX('Pegar docentes'!$A$1:$BZ$1001,58,B$2)&amp;""),""))</f>
        <v/>
      </c>
      <c r="C59">
        <f>IF(C$2=0,"",IFERROR(TRIM(INDEX('Pegar docentes'!$A$1:$BZ$1001,58,C$2)&amp;""),""))</f>
        <v/>
      </c>
      <c r="D59">
        <f>IF(D$2=0,"",IFERROR(TRIM(INDEX('Pegar docentes'!$A$1:$BZ$1001,58,D$2)&amp;""),""))</f>
        <v/>
      </c>
      <c r="E59">
        <f>IF(E$2=0,"",IFERROR(TRIM(INDEX('Pegar docentes'!$A$1:$BZ$1001,58,E$2)&amp;""),""))</f>
        <v/>
      </c>
      <c r="F59">
        <f>IF(F$2=0,"",IFERROR(TRIM(INDEX('Pegar docentes'!$A$1:$BZ$1001,58,F$2)&amp;""),""))</f>
        <v/>
      </c>
      <c r="G59">
        <f>IF(G$2=0,"",IFERROR(TRIM(INDEX('Pegar docentes'!$A$1:$BZ$1001,58,G$2)&amp;""),""))</f>
        <v/>
      </c>
      <c r="H59">
        <f>IF(H$2=0,"",IFERROR(TRIM(INDEX('Pegar docentes'!$A$1:$BZ$1001,58,H$2)&amp;""),""))</f>
        <v/>
      </c>
      <c r="I59">
        <f>IF(I$2=0,"",IFERROR(TRIM(INDEX('Pegar docentes'!$A$1:$BZ$1001,58,I$2)&amp;""),""))</f>
        <v/>
      </c>
      <c r="J59">
        <f>IF(J$2=0,"",IFERROR(TRIM(INDEX('Pegar docentes'!$A$1:$BZ$1001,58,J$2)&amp;""),""))</f>
        <v/>
      </c>
      <c r="K59">
        <f>IF(K$2=0,"",IFERROR(TRIM(INDEX('Pegar docentes'!$A$1:$BZ$1001,58,K$2)&amp;""),""))</f>
        <v/>
      </c>
      <c r="L59">
        <f>IF(L$2=0,"",IFERROR(TRIM(INDEX('Pegar docentes'!$A$1:$BZ$1001,58,L$2)&amp;""),""))</f>
        <v/>
      </c>
      <c r="M59">
        <f>IF(M$2=0,"",IFERROR(TRIM(INDEX('Pegar docentes'!$A$1:$BZ$1001,58,M$2)&amp;""),""))</f>
        <v/>
      </c>
      <c r="N59">
        <f>IF(N$2=0,"",IFERROR(TRIM(INDEX('Pegar docentes'!$A$1:$BZ$1001,58,N$2)&amp;""),""))</f>
        <v/>
      </c>
      <c r="O59">
        <f>IF(O$2=0,"",IFERROR(TRIM(INDEX('Pegar docentes'!$A$1:$BZ$1001,58,O$2)&amp;""),""))</f>
        <v/>
      </c>
      <c r="P59">
        <f>IF(P$2=0,"",IFERROR(TRIM(INDEX('Pegar docentes'!$A$1:$BZ$1001,58,P$2)&amp;""),""))</f>
        <v/>
      </c>
      <c r="Q59" s="25">
        <f>IF(OR(D59&lt;&gt;"",H59&lt;&gt;""),1,"")</f>
        <v/>
      </c>
      <c r="R59" s="25">
        <f>IF(Q59=1,IF(ISNUMBER(FIND("#"&amp;MID(D59,1,1)&amp;"#","#0#1#2#3#4#5#6#7#8#9#")),IF(ISNUMBER(FIND("#"&amp;MID(D59,2,1)&amp;"#","#0#1#2#3#4#5#6#7#8#9#")),IF(AND(VALUE(LEFT(D59,2))&gt;=1,VALUE(LEFT(D59,2))&lt;=5),VALUE(LEFT(D59,2)),""),IF(AND(VALUE(LEFT(D59,1))&gt;=1,VALUE(LEFT(D59,1))&lt;=5),VALUE(LEFT(D59,1)),"")),""),"")</f>
        <v/>
      </c>
      <c r="S59" s="25">
        <f>IF(AND(Q59=1,E59&lt;&gt;""),SUBSTITUTE(SUBSTITUTE(SUBSTITUTE(SUBSTITUTE(SUBSTITUTE(SUBSTITUTE(SUBSTITUTE(SUBSTITUTE(SUBSTITUTE(SUBSTITUTE(SUBSTITUTE(SUBSTITUTE(LOWER(TRIM(E59)),"á","a"),"é","e"),"í","i"),"ó","o"),"ú","u"),"ü","u"),"ñ","n"),"à","a"),"è","e"),"ì","i"),"ò","o"),"ù","u"),"")</f>
        <v/>
      </c>
      <c r="T59" s="25">
        <f>IF(AND(Q59=1,G59&lt;&gt;""),SUBSTITUTE(SUBSTITUTE(SUBSTITUTE(SUBSTITUTE(SUBSTITUTE(SUBSTITUTE(SUBSTITUTE(SUBSTITUTE(SUBSTITUTE(SUBSTITUTE(SUBSTITUTE(SUBSTITUTE(LOWER(TRIM(G59)),"á","a"),"é","e"),"í","i"),"ó","o"),"ú","u"),"ü","u"),"ñ","n"),"à","a"),"è","e"),"ì","i"),"ò","o"),"ù","u"),"")</f>
        <v/>
      </c>
      <c r="U59" s="25">
        <f>IF(AND(Q59=1,H59&lt;&gt;""),SUBSTITUTE(SUBSTITUTE(SUBSTITUTE(SUBSTITUTE(SUBSTITUTE(SUBSTITUTE(SUBSTITUTE(SUBSTITUTE(SUBSTITUTE(SUBSTITUTE(SUBSTITUTE(SUBSTITUTE(LOWER(TRIM(H59)),"á","a"),"é","e"),"í","i"),"ó","o"),"ú","u"),"ü","u"),"ñ","n"),"à","a"),"è","e"),"ì","i"),"ò","o"),"ù","u"),"")</f>
        <v/>
      </c>
      <c r="V59" s="25">
        <f>IF(AND(Q59=1,L59&lt;&gt;""),SUBSTITUTE(SUBSTITUTE(SUBSTITUTE(SUBSTITUTE(SUBSTITUTE(SUBSTITUTE(SUBSTITUTE(SUBSTITUTE(SUBSTITUTE(SUBSTITUTE(SUBSTITUTE(SUBSTITUTE(LOWER(TRIM(L59)),"á","a"),"é","e"),"í","i"),"ó","o"),"ú","u"),"ü","u"),"ñ","n"),"à","a"),"è","e"),"ì","i"),"ò","o"),"ù","u"),"")</f>
        <v/>
      </c>
      <c r="W59" s="25">
        <f>IF(AND(Q59=1,I59&lt;&gt;""),SUBSTITUTE(SUBSTITUTE(SUBSTITUTE(SUBSTITUTE(SUBSTITUTE(SUBSTITUTE(SUBSTITUTE(SUBSTITUTE(SUBSTITUTE(SUBSTITUTE(SUBSTITUTE(SUBSTITUTE(LOWER(TRIM(I59)),"á","a"),"é","e"),"í","i"),"ó","o"),"ú","u"),"ü","u"),"ñ","n"),"à","a"),"è","e"),"ì","i"),"ò","o"),"ù","u"),"")</f>
        <v/>
      </c>
      <c r="X59" s="25">
        <f>IF(U59="","",IF(OR(U59="si, en la proxima tarea",U59="si, con cambios"),1,0))</f>
        <v/>
      </c>
      <c r="Y59" s="25">
        <f>IF(AND(Q59=1,A59&lt;&gt;""),IF(IFERROR(COUNTIFS(A$3:A59,"="&amp;SUBSTITUTE(SUBSTITUTE(SUBSTITUTE(A59,"~","~~"),"*","~*"),"?","~?"),Q$3:Q59,1),0)=1,MAX(Y$2:Y58)+1,""),"")</f>
        <v/>
      </c>
      <c r="Z59" s="25">
        <f>IF(Y59="","",COUNTIFS($A$3:$A$1002,"="&amp;SUBSTITUTE(SUBSTITUTE(SUBSTITUTE(A59,"~","~~"),"*","~*"),"?","~?"),$Q$3:$Q$1002,1)*10000-Y59)</f>
        <v/>
      </c>
    </row>
    <row r="60">
      <c r="A60">
        <f>IF(A$2=0,"",IFERROR(TRIM(INDEX('Pegar docentes'!$A$1:$BZ$1001,59,A$2)&amp;""),""))</f>
        <v/>
      </c>
      <c r="B60">
        <f>IF(B$2=0,"",IFERROR(TRIM(INDEX('Pegar docentes'!$A$1:$BZ$1001,59,B$2)&amp;""),""))</f>
        <v/>
      </c>
      <c r="C60">
        <f>IF(C$2=0,"",IFERROR(TRIM(INDEX('Pegar docentes'!$A$1:$BZ$1001,59,C$2)&amp;""),""))</f>
        <v/>
      </c>
      <c r="D60">
        <f>IF(D$2=0,"",IFERROR(TRIM(INDEX('Pegar docentes'!$A$1:$BZ$1001,59,D$2)&amp;""),""))</f>
        <v/>
      </c>
      <c r="E60">
        <f>IF(E$2=0,"",IFERROR(TRIM(INDEX('Pegar docentes'!$A$1:$BZ$1001,59,E$2)&amp;""),""))</f>
        <v/>
      </c>
      <c r="F60">
        <f>IF(F$2=0,"",IFERROR(TRIM(INDEX('Pegar docentes'!$A$1:$BZ$1001,59,F$2)&amp;""),""))</f>
        <v/>
      </c>
      <c r="G60">
        <f>IF(G$2=0,"",IFERROR(TRIM(INDEX('Pegar docentes'!$A$1:$BZ$1001,59,G$2)&amp;""),""))</f>
        <v/>
      </c>
      <c r="H60">
        <f>IF(H$2=0,"",IFERROR(TRIM(INDEX('Pegar docentes'!$A$1:$BZ$1001,59,H$2)&amp;""),""))</f>
        <v/>
      </c>
      <c r="I60">
        <f>IF(I$2=0,"",IFERROR(TRIM(INDEX('Pegar docentes'!$A$1:$BZ$1001,59,I$2)&amp;""),""))</f>
        <v/>
      </c>
      <c r="J60">
        <f>IF(J$2=0,"",IFERROR(TRIM(INDEX('Pegar docentes'!$A$1:$BZ$1001,59,J$2)&amp;""),""))</f>
        <v/>
      </c>
      <c r="K60">
        <f>IF(K$2=0,"",IFERROR(TRIM(INDEX('Pegar docentes'!$A$1:$BZ$1001,59,K$2)&amp;""),""))</f>
        <v/>
      </c>
      <c r="L60">
        <f>IF(L$2=0,"",IFERROR(TRIM(INDEX('Pegar docentes'!$A$1:$BZ$1001,59,L$2)&amp;""),""))</f>
        <v/>
      </c>
      <c r="M60">
        <f>IF(M$2=0,"",IFERROR(TRIM(INDEX('Pegar docentes'!$A$1:$BZ$1001,59,M$2)&amp;""),""))</f>
        <v/>
      </c>
      <c r="N60">
        <f>IF(N$2=0,"",IFERROR(TRIM(INDEX('Pegar docentes'!$A$1:$BZ$1001,59,N$2)&amp;""),""))</f>
        <v/>
      </c>
      <c r="O60">
        <f>IF(O$2=0,"",IFERROR(TRIM(INDEX('Pegar docentes'!$A$1:$BZ$1001,59,O$2)&amp;""),""))</f>
        <v/>
      </c>
      <c r="P60">
        <f>IF(P$2=0,"",IFERROR(TRIM(INDEX('Pegar docentes'!$A$1:$BZ$1001,59,P$2)&amp;""),""))</f>
        <v/>
      </c>
      <c r="Q60" s="25">
        <f>IF(OR(D60&lt;&gt;"",H60&lt;&gt;""),1,"")</f>
        <v/>
      </c>
      <c r="R60" s="25">
        <f>IF(Q60=1,IF(ISNUMBER(FIND("#"&amp;MID(D60,1,1)&amp;"#","#0#1#2#3#4#5#6#7#8#9#")),IF(ISNUMBER(FIND("#"&amp;MID(D60,2,1)&amp;"#","#0#1#2#3#4#5#6#7#8#9#")),IF(AND(VALUE(LEFT(D60,2))&gt;=1,VALUE(LEFT(D60,2))&lt;=5),VALUE(LEFT(D60,2)),""),IF(AND(VALUE(LEFT(D60,1))&gt;=1,VALUE(LEFT(D60,1))&lt;=5),VALUE(LEFT(D60,1)),"")),""),"")</f>
        <v/>
      </c>
      <c r="S60" s="25">
        <f>IF(AND(Q60=1,E60&lt;&gt;""),SUBSTITUTE(SUBSTITUTE(SUBSTITUTE(SUBSTITUTE(SUBSTITUTE(SUBSTITUTE(SUBSTITUTE(SUBSTITUTE(SUBSTITUTE(SUBSTITUTE(SUBSTITUTE(SUBSTITUTE(LOWER(TRIM(E60)),"á","a"),"é","e"),"í","i"),"ó","o"),"ú","u"),"ü","u"),"ñ","n"),"à","a"),"è","e"),"ì","i"),"ò","o"),"ù","u"),"")</f>
        <v/>
      </c>
      <c r="T60" s="25">
        <f>IF(AND(Q60=1,G60&lt;&gt;""),SUBSTITUTE(SUBSTITUTE(SUBSTITUTE(SUBSTITUTE(SUBSTITUTE(SUBSTITUTE(SUBSTITUTE(SUBSTITUTE(SUBSTITUTE(SUBSTITUTE(SUBSTITUTE(SUBSTITUTE(LOWER(TRIM(G60)),"á","a"),"é","e"),"í","i"),"ó","o"),"ú","u"),"ü","u"),"ñ","n"),"à","a"),"è","e"),"ì","i"),"ò","o"),"ù","u"),"")</f>
        <v/>
      </c>
      <c r="U60" s="25">
        <f>IF(AND(Q60=1,H60&lt;&gt;""),SUBSTITUTE(SUBSTITUTE(SUBSTITUTE(SUBSTITUTE(SUBSTITUTE(SUBSTITUTE(SUBSTITUTE(SUBSTITUTE(SUBSTITUTE(SUBSTITUTE(SUBSTITUTE(SUBSTITUTE(LOWER(TRIM(H60)),"á","a"),"é","e"),"í","i"),"ó","o"),"ú","u"),"ü","u"),"ñ","n"),"à","a"),"è","e"),"ì","i"),"ò","o"),"ù","u"),"")</f>
        <v/>
      </c>
      <c r="V60" s="25">
        <f>IF(AND(Q60=1,L60&lt;&gt;""),SUBSTITUTE(SUBSTITUTE(SUBSTITUTE(SUBSTITUTE(SUBSTITUTE(SUBSTITUTE(SUBSTITUTE(SUBSTITUTE(SUBSTITUTE(SUBSTITUTE(SUBSTITUTE(SUBSTITUTE(LOWER(TRIM(L60)),"á","a"),"é","e"),"í","i"),"ó","o"),"ú","u"),"ü","u"),"ñ","n"),"à","a"),"è","e"),"ì","i"),"ò","o"),"ù","u"),"")</f>
        <v/>
      </c>
      <c r="W60" s="25">
        <f>IF(AND(Q60=1,I60&lt;&gt;""),SUBSTITUTE(SUBSTITUTE(SUBSTITUTE(SUBSTITUTE(SUBSTITUTE(SUBSTITUTE(SUBSTITUTE(SUBSTITUTE(SUBSTITUTE(SUBSTITUTE(SUBSTITUTE(SUBSTITUTE(LOWER(TRIM(I60)),"á","a"),"é","e"),"í","i"),"ó","o"),"ú","u"),"ü","u"),"ñ","n"),"à","a"),"è","e"),"ì","i"),"ò","o"),"ù","u"),"")</f>
        <v/>
      </c>
      <c r="X60" s="25">
        <f>IF(U60="","",IF(OR(U60="si, en la proxima tarea",U60="si, con cambios"),1,0))</f>
        <v/>
      </c>
      <c r="Y60" s="25">
        <f>IF(AND(Q60=1,A60&lt;&gt;""),IF(IFERROR(COUNTIFS(A$3:A60,"="&amp;SUBSTITUTE(SUBSTITUTE(SUBSTITUTE(A60,"~","~~"),"*","~*"),"?","~?"),Q$3:Q60,1),0)=1,MAX(Y$2:Y59)+1,""),"")</f>
        <v/>
      </c>
      <c r="Z60" s="25">
        <f>IF(Y60="","",COUNTIFS($A$3:$A$1002,"="&amp;SUBSTITUTE(SUBSTITUTE(SUBSTITUTE(A60,"~","~~"),"*","~*"),"?","~?"),$Q$3:$Q$1002,1)*10000-Y60)</f>
        <v/>
      </c>
    </row>
    <row r="61">
      <c r="A61">
        <f>IF(A$2=0,"",IFERROR(TRIM(INDEX('Pegar docentes'!$A$1:$BZ$1001,60,A$2)&amp;""),""))</f>
        <v/>
      </c>
      <c r="B61">
        <f>IF(B$2=0,"",IFERROR(TRIM(INDEX('Pegar docentes'!$A$1:$BZ$1001,60,B$2)&amp;""),""))</f>
        <v/>
      </c>
      <c r="C61">
        <f>IF(C$2=0,"",IFERROR(TRIM(INDEX('Pegar docentes'!$A$1:$BZ$1001,60,C$2)&amp;""),""))</f>
        <v/>
      </c>
      <c r="D61">
        <f>IF(D$2=0,"",IFERROR(TRIM(INDEX('Pegar docentes'!$A$1:$BZ$1001,60,D$2)&amp;""),""))</f>
        <v/>
      </c>
      <c r="E61">
        <f>IF(E$2=0,"",IFERROR(TRIM(INDEX('Pegar docentes'!$A$1:$BZ$1001,60,E$2)&amp;""),""))</f>
        <v/>
      </c>
      <c r="F61">
        <f>IF(F$2=0,"",IFERROR(TRIM(INDEX('Pegar docentes'!$A$1:$BZ$1001,60,F$2)&amp;""),""))</f>
        <v/>
      </c>
      <c r="G61">
        <f>IF(G$2=0,"",IFERROR(TRIM(INDEX('Pegar docentes'!$A$1:$BZ$1001,60,G$2)&amp;""),""))</f>
        <v/>
      </c>
      <c r="H61">
        <f>IF(H$2=0,"",IFERROR(TRIM(INDEX('Pegar docentes'!$A$1:$BZ$1001,60,H$2)&amp;""),""))</f>
        <v/>
      </c>
      <c r="I61">
        <f>IF(I$2=0,"",IFERROR(TRIM(INDEX('Pegar docentes'!$A$1:$BZ$1001,60,I$2)&amp;""),""))</f>
        <v/>
      </c>
      <c r="J61">
        <f>IF(J$2=0,"",IFERROR(TRIM(INDEX('Pegar docentes'!$A$1:$BZ$1001,60,J$2)&amp;""),""))</f>
        <v/>
      </c>
      <c r="K61">
        <f>IF(K$2=0,"",IFERROR(TRIM(INDEX('Pegar docentes'!$A$1:$BZ$1001,60,K$2)&amp;""),""))</f>
        <v/>
      </c>
      <c r="L61">
        <f>IF(L$2=0,"",IFERROR(TRIM(INDEX('Pegar docentes'!$A$1:$BZ$1001,60,L$2)&amp;""),""))</f>
        <v/>
      </c>
      <c r="M61">
        <f>IF(M$2=0,"",IFERROR(TRIM(INDEX('Pegar docentes'!$A$1:$BZ$1001,60,M$2)&amp;""),""))</f>
        <v/>
      </c>
      <c r="N61">
        <f>IF(N$2=0,"",IFERROR(TRIM(INDEX('Pegar docentes'!$A$1:$BZ$1001,60,N$2)&amp;""),""))</f>
        <v/>
      </c>
      <c r="O61">
        <f>IF(O$2=0,"",IFERROR(TRIM(INDEX('Pegar docentes'!$A$1:$BZ$1001,60,O$2)&amp;""),""))</f>
        <v/>
      </c>
      <c r="P61">
        <f>IF(P$2=0,"",IFERROR(TRIM(INDEX('Pegar docentes'!$A$1:$BZ$1001,60,P$2)&amp;""),""))</f>
        <v/>
      </c>
      <c r="Q61" s="25">
        <f>IF(OR(D61&lt;&gt;"",H61&lt;&gt;""),1,"")</f>
        <v/>
      </c>
      <c r="R61" s="25">
        <f>IF(Q61=1,IF(ISNUMBER(FIND("#"&amp;MID(D61,1,1)&amp;"#","#0#1#2#3#4#5#6#7#8#9#")),IF(ISNUMBER(FIND("#"&amp;MID(D61,2,1)&amp;"#","#0#1#2#3#4#5#6#7#8#9#")),IF(AND(VALUE(LEFT(D61,2))&gt;=1,VALUE(LEFT(D61,2))&lt;=5),VALUE(LEFT(D61,2)),""),IF(AND(VALUE(LEFT(D61,1))&gt;=1,VALUE(LEFT(D61,1))&lt;=5),VALUE(LEFT(D61,1)),"")),""),"")</f>
        <v/>
      </c>
      <c r="S61" s="25">
        <f>IF(AND(Q61=1,E61&lt;&gt;""),SUBSTITUTE(SUBSTITUTE(SUBSTITUTE(SUBSTITUTE(SUBSTITUTE(SUBSTITUTE(SUBSTITUTE(SUBSTITUTE(SUBSTITUTE(SUBSTITUTE(SUBSTITUTE(SUBSTITUTE(LOWER(TRIM(E61)),"á","a"),"é","e"),"í","i"),"ó","o"),"ú","u"),"ü","u"),"ñ","n"),"à","a"),"è","e"),"ì","i"),"ò","o"),"ù","u"),"")</f>
        <v/>
      </c>
      <c r="T61" s="25">
        <f>IF(AND(Q61=1,G61&lt;&gt;""),SUBSTITUTE(SUBSTITUTE(SUBSTITUTE(SUBSTITUTE(SUBSTITUTE(SUBSTITUTE(SUBSTITUTE(SUBSTITUTE(SUBSTITUTE(SUBSTITUTE(SUBSTITUTE(SUBSTITUTE(LOWER(TRIM(G61)),"á","a"),"é","e"),"í","i"),"ó","o"),"ú","u"),"ü","u"),"ñ","n"),"à","a"),"è","e"),"ì","i"),"ò","o"),"ù","u"),"")</f>
        <v/>
      </c>
      <c r="U61" s="25">
        <f>IF(AND(Q61=1,H61&lt;&gt;""),SUBSTITUTE(SUBSTITUTE(SUBSTITUTE(SUBSTITUTE(SUBSTITUTE(SUBSTITUTE(SUBSTITUTE(SUBSTITUTE(SUBSTITUTE(SUBSTITUTE(SUBSTITUTE(SUBSTITUTE(LOWER(TRIM(H61)),"á","a"),"é","e"),"í","i"),"ó","o"),"ú","u"),"ü","u"),"ñ","n"),"à","a"),"è","e"),"ì","i"),"ò","o"),"ù","u"),"")</f>
        <v/>
      </c>
      <c r="V61" s="25">
        <f>IF(AND(Q61=1,L61&lt;&gt;""),SUBSTITUTE(SUBSTITUTE(SUBSTITUTE(SUBSTITUTE(SUBSTITUTE(SUBSTITUTE(SUBSTITUTE(SUBSTITUTE(SUBSTITUTE(SUBSTITUTE(SUBSTITUTE(SUBSTITUTE(LOWER(TRIM(L61)),"á","a"),"é","e"),"í","i"),"ó","o"),"ú","u"),"ü","u"),"ñ","n"),"à","a"),"è","e"),"ì","i"),"ò","o"),"ù","u"),"")</f>
        <v/>
      </c>
      <c r="W61" s="25">
        <f>IF(AND(Q61=1,I61&lt;&gt;""),SUBSTITUTE(SUBSTITUTE(SUBSTITUTE(SUBSTITUTE(SUBSTITUTE(SUBSTITUTE(SUBSTITUTE(SUBSTITUTE(SUBSTITUTE(SUBSTITUTE(SUBSTITUTE(SUBSTITUTE(LOWER(TRIM(I61)),"á","a"),"é","e"),"í","i"),"ó","o"),"ú","u"),"ü","u"),"ñ","n"),"à","a"),"è","e"),"ì","i"),"ò","o"),"ù","u"),"")</f>
        <v/>
      </c>
      <c r="X61" s="25">
        <f>IF(U61="","",IF(OR(U61="si, en la proxima tarea",U61="si, con cambios"),1,0))</f>
        <v/>
      </c>
      <c r="Y61" s="25">
        <f>IF(AND(Q61=1,A61&lt;&gt;""),IF(IFERROR(COUNTIFS(A$3:A61,"="&amp;SUBSTITUTE(SUBSTITUTE(SUBSTITUTE(A61,"~","~~"),"*","~*"),"?","~?"),Q$3:Q61,1),0)=1,MAX(Y$2:Y60)+1,""),"")</f>
        <v/>
      </c>
      <c r="Z61" s="25">
        <f>IF(Y61="","",COUNTIFS($A$3:$A$1002,"="&amp;SUBSTITUTE(SUBSTITUTE(SUBSTITUTE(A61,"~","~~"),"*","~*"),"?","~?"),$Q$3:$Q$1002,1)*10000-Y61)</f>
        <v/>
      </c>
    </row>
    <row r="62">
      <c r="A62">
        <f>IF(A$2=0,"",IFERROR(TRIM(INDEX('Pegar docentes'!$A$1:$BZ$1001,61,A$2)&amp;""),""))</f>
        <v/>
      </c>
      <c r="B62">
        <f>IF(B$2=0,"",IFERROR(TRIM(INDEX('Pegar docentes'!$A$1:$BZ$1001,61,B$2)&amp;""),""))</f>
        <v/>
      </c>
      <c r="C62">
        <f>IF(C$2=0,"",IFERROR(TRIM(INDEX('Pegar docentes'!$A$1:$BZ$1001,61,C$2)&amp;""),""))</f>
        <v/>
      </c>
      <c r="D62">
        <f>IF(D$2=0,"",IFERROR(TRIM(INDEX('Pegar docentes'!$A$1:$BZ$1001,61,D$2)&amp;""),""))</f>
        <v/>
      </c>
      <c r="E62">
        <f>IF(E$2=0,"",IFERROR(TRIM(INDEX('Pegar docentes'!$A$1:$BZ$1001,61,E$2)&amp;""),""))</f>
        <v/>
      </c>
      <c r="F62">
        <f>IF(F$2=0,"",IFERROR(TRIM(INDEX('Pegar docentes'!$A$1:$BZ$1001,61,F$2)&amp;""),""))</f>
        <v/>
      </c>
      <c r="G62">
        <f>IF(G$2=0,"",IFERROR(TRIM(INDEX('Pegar docentes'!$A$1:$BZ$1001,61,G$2)&amp;""),""))</f>
        <v/>
      </c>
      <c r="H62">
        <f>IF(H$2=0,"",IFERROR(TRIM(INDEX('Pegar docentes'!$A$1:$BZ$1001,61,H$2)&amp;""),""))</f>
        <v/>
      </c>
      <c r="I62">
        <f>IF(I$2=0,"",IFERROR(TRIM(INDEX('Pegar docentes'!$A$1:$BZ$1001,61,I$2)&amp;""),""))</f>
        <v/>
      </c>
      <c r="J62">
        <f>IF(J$2=0,"",IFERROR(TRIM(INDEX('Pegar docentes'!$A$1:$BZ$1001,61,J$2)&amp;""),""))</f>
        <v/>
      </c>
      <c r="K62">
        <f>IF(K$2=0,"",IFERROR(TRIM(INDEX('Pegar docentes'!$A$1:$BZ$1001,61,K$2)&amp;""),""))</f>
        <v/>
      </c>
      <c r="L62">
        <f>IF(L$2=0,"",IFERROR(TRIM(INDEX('Pegar docentes'!$A$1:$BZ$1001,61,L$2)&amp;""),""))</f>
        <v/>
      </c>
      <c r="M62">
        <f>IF(M$2=0,"",IFERROR(TRIM(INDEX('Pegar docentes'!$A$1:$BZ$1001,61,M$2)&amp;""),""))</f>
        <v/>
      </c>
      <c r="N62">
        <f>IF(N$2=0,"",IFERROR(TRIM(INDEX('Pegar docentes'!$A$1:$BZ$1001,61,N$2)&amp;""),""))</f>
        <v/>
      </c>
      <c r="O62">
        <f>IF(O$2=0,"",IFERROR(TRIM(INDEX('Pegar docentes'!$A$1:$BZ$1001,61,O$2)&amp;""),""))</f>
        <v/>
      </c>
      <c r="P62">
        <f>IF(P$2=0,"",IFERROR(TRIM(INDEX('Pegar docentes'!$A$1:$BZ$1001,61,P$2)&amp;""),""))</f>
        <v/>
      </c>
      <c r="Q62" s="25">
        <f>IF(OR(D62&lt;&gt;"",H62&lt;&gt;""),1,"")</f>
        <v/>
      </c>
      <c r="R62" s="25">
        <f>IF(Q62=1,IF(ISNUMBER(FIND("#"&amp;MID(D62,1,1)&amp;"#","#0#1#2#3#4#5#6#7#8#9#")),IF(ISNUMBER(FIND("#"&amp;MID(D62,2,1)&amp;"#","#0#1#2#3#4#5#6#7#8#9#")),IF(AND(VALUE(LEFT(D62,2))&gt;=1,VALUE(LEFT(D62,2))&lt;=5),VALUE(LEFT(D62,2)),""),IF(AND(VALUE(LEFT(D62,1))&gt;=1,VALUE(LEFT(D62,1))&lt;=5),VALUE(LEFT(D62,1)),"")),""),"")</f>
        <v/>
      </c>
      <c r="S62" s="25">
        <f>IF(AND(Q62=1,E62&lt;&gt;""),SUBSTITUTE(SUBSTITUTE(SUBSTITUTE(SUBSTITUTE(SUBSTITUTE(SUBSTITUTE(SUBSTITUTE(SUBSTITUTE(SUBSTITUTE(SUBSTITUTE(SUBSTITUTE(SUBSTITUTE(LOWER(TRIM(E62)),"á","a"),"é","e"),"í","i"),"ó","o"),"ú","u"),"ü","u"),"ñ","n"),"à","a"),"è","e"),"ì","i"),"ò","o"),"ù","u"),"")</f>
        <v/>
      </c>
      <c r="T62" s="25">
        <f>IF(AND(Q62=1,G62&lt;&gt;""),SUBSTITUTE(SUBSTITUTE(SUBSTITUTE(SUBSTITUTE(SUBSTITUTE(SUBSTITUTE(SUBSTITUTE(SUBSTITUTE(SUBSTITUTE(SUBSTITUTE(SUBSTITUTE(SUBSTITUTE(LOWER(TRIM(G62)),"á","a"),"é","e"),"í","i"),"ó","o"),"ú","u"),"ü","u"),"ñ","n"),"à","a"),"è","e"),"ì","i"),"ò","o"),"ù","u"),"")</f>
        <v/>
      </c>
      <c r="U62" s="25">
        <f>IF(AND(Q62=1,H62&lt;&gt;""),SUBSTITUTE(SUBSTITUTE(SUBSTITUTE(SUBSTITUTE(SUBSTITUTE(SUBSTITUTE(SUBSTITUTE(SUBSTITUTE(SUBSTITUTE(SUBSTITUTE(SUBSTITUTE(SUBSTITUTE(LOWER(TRIM(H62)),"á","a"),"é","e"),"í","i"),"ó","o"),"ú","u"),"ü","u"),"ñ","n"),"à","a"),"è","e"),"ì","i"),"ò","o"),"ù","u"),"")</f>
        <v/>
      </c>
      <c r="V62" s="25">
        <f>IF(AND(Q62=1,L62&lt;&gt;""),SUBSTITUTE(SUBSTITUTE(SUBSTITUTE(SUBSTITUTE(SUBSTITUTE(SUBSTITUTE(SUBSTITUTE(SUBSTITUTE(SUBSTITUTE(SUBSTITUTE(SUBSTITUTE(SUBSTITUTE(LOWER(TRIM(L62)),"á","a"),"é","e"),"í","i"),"ó","o"),"ú","u"),"ü","u"),"ñ","n"),"à","a"),"è","e"),"ì","i"),"ò","o"),"ù","u"),"")</f>
        <v/>
      </c>
      <c r="W62" s="25">
        <f>IF(AND(Q62=1,I62&lt;&gt;""),SUBSTITUTE(SUBSTITUTE(SUBSTITUTE(SUBSTITUTE(SUBSTITUTE(SUBSTITUTE(SUBSTITUTE(SUBSTITUTE(SUBSTITUTE(SUBSTITUTE(SUBSTITUTE(SUBSTITUTE(LOWER(TRIM(I62)),"á","a"),"é","e"),"í","i"),"ó","o"),"ú","u"),"ü","u"),"ñ","n"),"à","a"),"è","e"),"ì","i"),"ò","o"),"ù","u"),"")</f>
        <v/>
      </c>
      <c r="X62" s="25">
        <f>IF(U62="","",IF(OR(U62="si, en la proxima tarea",U62="si, con cambios"),1,0))</f>
        <v/>
      </c>
      <c r="Y62" s="25">
        <f>IF(AND(Q62=1,A62&lt;&gt;""),IF(IFERROR(COUNTIFS(A$3:A62,"="&amp;SUBSTITUTE(SUBSTITUTE(SUBSTITUTE(A62,"~","~~"),"*","~*"),"?","~?"),Q$3:Q62,1),0)=1,MAX(Y$2:Y61)+1,""),"")</f>
        <v/>
      </c>
      <c r="Z62" s="25">
        <f>IF(Y62="","",COUNTIFS($A$3:$A$1002,"="&amp;SUBSTITUTE(SUBSTITUTE(SUBSTITUTE(A62,"~","~~"),"*","~*"),"?","~?"),$Q$3:$Q$1002,1)*10000-Y62)</f>
        <v/>
      </c>
    </row>
    <row r="63">
      <c r="A63">
        <f>IF(A$2=0,"",IFERROR(TRIM(INDEX('Pegar docentes'!$A$1:$BZ$1001,62,A$2)&amp;""),""))</f>
        <v/>
      </c>
      <c r="B63">
        <f>IF(B$2=0,"",IFERROR(TRIM(INDEX('Pegar docentes'!$A$1:$BZ$1001,62,B$2)&amp;""),""))</f>
        <v/>
      </c>
      <c r="C63">
        <f>IF(C$2=0,"",IFERROR(TRIM(INDEX('Pegar docentes'!$A$1:$BZ$1001,62,C$2)&amp;""),""))</f>
        <v/>
      </c>
      <c r="D63">
        <f>IF(D$2=0,"",IFERROR(TRIM(INDEX('Pegar docentes'!$A$1:$BZ$1001,62,D$2)&amp;""),""))</f>
        <v/>
      </c>
      <c r="E63">
        <f>IF(E$2=0,"",IFERROR(TRIM(INDEX('Pegar docentes'!$A$1:$BZ$1001,62,E$2)&amp;""),""))</f>
        <v/>
      </c>
      <c r="F63">
        <f>IF(F$2=0,"",IFERROR(TRIM(INDEX('Pegar docentes'!$A$1:$BZ$1001,62,F$2)&amp;""),""))</f>
        <v/>
      </c>
      <c r="G63">
        <f>IF(G$2=0,"",IFERROR(TRIM(INDEX('Pegar docentes'!$A$1:$BZ$1001,62,G$2)&amp;""),""))</f>
        <v/>
      </c>
      <c r="H63">
        <f>IF(H$2=0,"",IFERROR(TRIM(INDEX('Pegar docentes'!$A$1:$BZ$1001,62,H$2)&amp;""),""))</f>
        <v/>
      </c>
      <c r="I63">
        <f>IF(I$2=0,"",IFERROR(TRIM(INDEX('Pegar docentes'!$A$1:$BZ$1001,62,I$2)&amp;""),""))</f>
        <v/>
      </c>
      <c r="J63">
        <f>IF(J$2=0,"",IFERROR(TRIM(INDEX('Pegar docentes'!$A$1:$BZ$1001,62,J$2)&amp;""),""))</f>
        <v/>
      </c>
      <c r="K63">
        <f>IF(K$2=0,"",IFERROR(TRIM(INDEX('Pegar docentes'!$A$1:$BZ$1001,62,K$2)&amp;""),""))</f>
        <v/>
      </c>
      <c r="L63">
        <f>IF(L$2=0,"",IFERROR(TRIM(INDEX('Pegar docentes'!$A$1:$BZ$1001,62,L$2)&amp;""),""))</f>
        <v/>
      </c>
      <c r="M63">
        <f>IF(M$2=0,"",IFERROR(TRIM(INDEX('Pegar docentes'!$A$1:$BZ$1001,62,M$2)&amp;""),""))</f>
        <v/>
      </c>
      <c r="N63">
        <f>IF(N$2=0,"",IFERROR(TRIM(INDEX('Pegar docentes'!$A$1:$BZ$1001,62,N$2)&amp;""),""))</f>
        <v/>
      </c>
      <c r="O63">
        <f>IF(O$2=0,"",IFERROR(TRIM(INDEX('Pegar docentes'!$A$1:$BZ$1001,62,O$2)&amp;""),""))</f>
        <v/>
      </c>
      <c r="P63">
        <f>IF(P$2=0,"",IFERROR(TRIM(INDEX('Pegar docentes'!$A$1:$BZ$1001,62,P$2)&amp;""),""))</f>
        <v/>
      </c>
      <c r="Q63" s="25">
        <f>IF(OR(D63&lt;&gt;"",H63&lt;&gt;""),1,"")</f>
        <v/>
      </c>
      <c r="R63" s="25">
        <f>IF(Q63=1,IF(ISNUMBER(FIND("#"&amp;MID(D63,1,1)&amp;"#","#0#1#2#3#4#5#6#7#8#9#")),IF(ISNUMBER(FIND("#"&amp;MID(D63,2,1)&amp;"#","#0#1#2#3#4#5#6#7#8#9#")),IF(AND(VALUE(LEFT(D63,2))&gt;=1,VALUE(LEFT(D63,2))&lt;=5),VALUE(LEFT(D63,2)),""),IF(AND(VALUE(LEFT(D63,1))&gt;=1,VALUE(LEFT(D63,1))&lt;=5),VALUE(LEFT(D63,1)),"")),""),"")</f>
        <v/>
      </c>
      <c r="S63" s="25">
        <f>IF(AND(Q63=1,E63&lt;&gt;""),SUBSTITUTE(SUBSTITUTE(SUBSTITUTE(SUBSTITUTE(SUBSTITUTE(SUBSTITUTE(SUBSTITUTE(SUBSTITUTE(SUBSTITUTE(SUBSTITUTE(SUBSTITUTE(SUBSTITUTE(LOWER(TRIM(E63)),"á","a"),"é","e"),"í","i"),"ó","o"),"ú","u"),"ü","u"),"ñ","n"),"à","a"),"è","e"),"ì","i"),"ò","o"),"ù","u"),"")</f>
        <v/>
      </c>
      <c r="T63" s="25">
        <f>IF(AND(Q63=1,G63&lt;&gt;""),SUBSTITUTE(SUBSTITUTE(SUBSTITUTE(SUBSTITUTE(SUBSTITUTE(SUBSTITUTE(SUBSTITUTE(SUBSTITUTE(SUBSTITUTE(SUBSTITUTE(SUBSTITUTE(SUBSTITUTE(LOWER(TRIM(G63)),"á","a"),"é","e"),"í","i"),"ó","o"),"ú","u"),"ü","u"),"ñ","n"),"à","a"),"è","e"),"ì","i"),"ò","o"),"ù","u"),"")</f>
        <v/>
      </c>
      <c r="U63" s="25">
        <f>IF(AND(Q63=1,H63&lt;&gt;""),SUBSTITUTE(SUBSTITUTE(SUBSTITUTE(SUBSTITUTE(SUBSTITUTE(SUBSTITUTE(SUBSTITUTE(SUBSTITUTE(SUBSTITUTE(SUBSTITUTE(SUBSTITUTE(SUBSTITUTE(LOWER(TRIM(H63)),"á","a"),"é","e"),"í","i"),"ó","o"),"ú","u"),"ü","u"),"ñ","n"),"à","a"),"è","e"),"ì","i"),"ò","o"),"ù","u"),"")</f>
        <v/>
      </c>
      <c r="V63" s="25">
        <f>IF(AND(Q63=1,L63&lt;&gt;""),SUBSTITUTE(SUBSTITUTE(SUBSTITUTE(SUBSTITUTE(SUBSTITUTE(SUBSTITUTE(SUBSTITUTE(SUBSTITUTE(SUBSTITUTE(SUBSTITUTE(SUBSTITUTE(SUBSTITUTE(LOWER(TRIM(L63)),"á","a"),"é","e"),"í","i"),"ó","o"),"ú","u"),"ü","u"),"ñ","n"),"à","a"),"è","e"),"ì","i"),"ò","o"),"ù","u"),"")</f>
        <v/>
      </c>
      <c r="W63" s="25">
        <f>IF(AND(Q63=1,I63&lt;&gt;""),SUBSTITUTE(SUBSTITUTE(SUBSTITUTE(SUBSTITUTE(SUBSTITUTE(SUBSTITUTE(SUBSTITUTE(SUBSTITUTE(SUBSTITUTE(SUBSTITUTE(SUBSTITUTE(SUBSTITUTE(LOWER(TRIM(I63)),"á","a"),"é","e"),"í","i"),"ó","o"),"ú","u"),"ü","u"),"ñ","n"),"à","a"),"è","e"),"ì","i"),"ò","o"),"ù","u"),"")</f>
        <v/>
      </c>
      <c r="X63" s="25">
        <f>IF(U63="","",IF(OR(U63="si, en la proxima tarea",U63="si, con cambios"),1,0))</f>
        <v/>
      </c>
      <c r="Y63" s="25">
        <f>IF(AND(Q63=1,A63&lt;&gt;""),IF(IFERROR(COUNTIFS(A$3:A63,"="&amp;SUBSTITUTE(SUBSTITUTE(SUBSTITUTE(A63,"~","~~"),"*","~*"),"?","~?"),Q$3:Q63,1),0)=1,MAX(Y$2:Y62)+1,""),"")</f>
        <v/>
      </c>
      <c r="Z63" s="25">
        <f>IF(Y63="","",COUNTIFS($A$3:$A$1002,"="&amp;SUBSTITUTE(SUBSTITUTE(SUBSTITUTE(A63,"~","~~"),"*","~*"),"?","~?"),$Q$3:$Q$1002,1)*10000-Y63)</f>
        <v/>
      </c>
    </row>
    <row r="64">
      <c r="A64">
        <f>IF(A$2=0,"",IFERROR(TRIM(INDEX('Pegar docentes'!$A$1:$BZ$1001,63,A$2)&amp;""),""))</f>
        <v/>
      </c>
      <c r="B64">
        <f>IF(B$2=0,"",IFERROR(TRIM(INDEX('Pegar docentes'!$A$1:$BZ$1001,63,B$2)&amp;""),""))</f>
        <v/>
      </c>
      <c r="C64">
        <f>IF(C$2=0,"",IFERROR(TRIM(INDEX('Pegar docentes'!$A$1:$BZ$1001,63,C$2)&amp;""),""))</f>
        <v/>
      </c>
      <c r="D64">
        <f>IF(D$2=0,"",IFERROR(TRIM(INDEX('Pegar docentes'!$A$1:$BZ$1001,63,D$2)&amp;""),""))</f>
        <v/>
      </c>
      <c r="E64">
        <f>IF(E$2=0,"",IFERROR(TRIM(INDEX('Pegar docentes'!$A$1:$BZ$1001,63,E$2)&amp;""),""))</f>
        <v/>
      </c>
      <c r="F64">
        <f>IF(F$2=0,"",IFERROR(TRIM(INDEX('Pegar docentes'!$A$1:$BZ$1001,63,F$2)&amp;""),""))</f>
        <v/>
      </c>
      <c r="G64">
        <f>IF(G$2=0,"",IFERROR(TRIM(INDEX('Pegar docentes'!$A$1:$BZ$1001,63,G$2)&amp;""),""))</f>
        <v/>
      </c>
      <c r="H64">
        <f>IF(H$2=0,"",IFERROR(TRIM(INDEX('Pegar docentes'!$A$1:$BZ$1001,63,H$2)&amp;""),""))</f>
        <v/>
      </c>
      <c r="I64">
        <f>IF(I$2=0,"",IFERROR(TRIM(INDEX('Pegar docentes'!$A$1:$BZ$1001,63,I$2)&amp;""),""))</f>
        <v/>
      </c>
      <c r="J64">
        <f>IF(J$2=0,"",IFERROR(TRIM(INDEX('Pegar docentes'!$A$1:$BZ$1001,63,J$2)&amp;""),""))</f>
        <v/>
      </c>
      <c r="K64">
        <f>IF(K$2=0,"",IFERROR(TRIM(INDEX('Pegar docentes'!$A$1:$BZ$1001,63,K$2)&amp;""),""))</f>
        <v/>
      </c>
      <c r="L64">
        <f>IF(L$2=0,"",IFERROR(TRIM(INDEX('Pegar docentes'!$A$1:$BZ$1001,63,L$2)&amp;""),""))</f>
        <v/>
      </c>
      <c r="M64">
        <f>IF(M$2=0,"",IFERROR(TRIM(INDEX('Pegar docentes'!$A$1:$BZ$1001,63,M$2)&amp;""),""))</f>
        <v/>
      </c>
      <c r="N64">
        <f>IF(N$2=0,"",IFERROR(TRIM(INDEX('Pegar docentes'!$A$1:$BZ$1001,63,N$2)&amp;""),""))</f>
        <v/>
      </c>
      <c r="O64">
        <f>IF(O$2=0,"",IFERROR(TRIM(INDEX('Pegar docentes'!$A$1:$BZ$1001,63,O$2)&amp;""),""))</f>
        <v/>
      </c>
      <c r="P64">
        <f>IF(P$2=0,"",IFERROR(TRIM(INDEX('Pegar docentes'!$A$1:$BZ$1001,63,P$2)&amp;""),""))</f>
        <v/>
      </c>
      <c r="Q64" s="25">
        <f>IF(OR(D64&lt;&gt;"",H64&lt;&gt;""),1,"")</f>
        <v/>
      </c>
      <c r="R64" s="25">
        <f>IF(Q64=1,IF(ISNUMBER(FIND("#"&amp;MID(D64,1,1)&amp;"#","#0#1#2#3#4#5#6#7#8#9#")),IF(ISNUMBER(FIND("#"&amp;MID(D64,2,1)&amp;"#","#0#1#2#3#4#5#6#7#8#9#")),IF(AND(VALUE(LEFT(D64,2))&gt;=1,VALUE(LEFT(D64,2))&lt;=5),VALUE(LEFT(D64,2)),""),IF(AND(VALUE(LEFT(D64,1))&gt;=1,VALUE(LEFT(D64,1))&lt;=5),VALUE(LEFT(D64,1)),"")),""),"")</f>
        <v/>
      </c>
      <c r="S64" s="25">
        <f>IF(AND(Q64=1,E64&lt;&gt;""),SUBSTITUTE(SUBSTITUTE(SUBSTITUTE(SUBSTITUTE(SUBSTITUTE(SUBSTITUTE(SUBSTITUTE(SUBSTITUTE(SUBSTITUTE(SUBSTITUTE(SUBSTITUTE(SUBSTITUTE(LOWER(TRIM(E64)),"á","a"),"é","e"),"í","i"),"ó","o"),"ú","u"),"ü","u"),"ñ","n"),"à","a"),"è","e"),"ì","i"),"ò","o"),"ù","u"),"")</f>
        <v/>
      </c>
      <c r="T64" s="25">
        <f>IF(AND(Q64=1,G64&lt;&gt;""),SUBSTITUTE(SUBSTITUTE(SUBSTITUTE(SUBSTITUTE(SUBSTITUTE(SUBSTITUTE(SUBSTITUTE(SUBSTITUTE(SUBSTITUTE(SUBSTITUTE(SUBSTITUTE(SUBSTITUTE(LOWER(TRIM(G64)),"á","a"),"é","e"),"í","i"),"ó","o"),"ú","u"),"ü","u"),"ñ","n"),"à","a"),"è","e"),"ì","i"),"ò","o"),"ù","u"),"")</f>
        <v/>
      </c>
      <c r="U64" s="25">
        <f>IF(AND(Q64=1,H64&lt;&gt;""),SUBSTITUTE(SUBSTITUTE(SUBSTITUTE(SUBSTITUTE(SUBSTITUTE(SUBSTITUTE(SUBSTITUTE(SUBSTITUTE(SUBSTITUTE(SUBSTITUTE(SUBSTITUTE(SUBSTITUTE(LOWER(TRIM(H64)),"á","a"),"é","e"),"í","i"),"ó","o"),"ú","u"),"ü","u"),"ñ","n"),"à","a"),"è","e"),"ì","i"),"ò","o"),"ù","u"),"")</f>
        <v/>
      </c>
      <c r="V64" s="25">
        <f>IF(AND(Q64=1,L64&lt;&gt;""),SUBSTITUTE(SUBSTITUTE(SUBSTITUTE(SUBSTITUTE(SUBSTITUTE(SUBSTITUTE(SUBSTITUTE(SUBSTITUTE(SUBSTITUTE(SUBSTITUTE(SUBSTITUTE(SUBSTITUTE(LOWER(TRIM(L64)),"á","a"),"é","e"),"í","i"),"ó","o"),"ú","u"),"ü","u"),"ñ","n"),"à","a"),"è","e"),"ì","i"),"ò","o"),"ù","u"),"")</f>
        <v/>
      </c>
      <c r="W64" s="25">
        <f>IF(AND(Q64=1,I64&lt;&gt;""),SUBSTITUTE(SUBSTITUTE(SUBSTITUTE(SUBSTITUTE(SUBSTITUTE(SUBSTITUTE(SUBSTITUTE(SUBSTITUTE(SUBSTITUTE(SUBSTITUTE(SUBSTITUTE(SUBSTITUTE(LOWER(TRIM(I64)),"á","a"),"é","e"),"í","i"),"ó","o"),"ú","u"),"ü","u"),"ñ","n"),"à","a"),"è","e"),"ì","i"),"ò","o"),"ù","u"),"")</f>
        <v/>
      </c>
      <c r="X64" s="25">
        <f>IF(U64="","",IF(OR(U64="si, en la proxima tarea",U64="si, con cambios"),1,0))</f>
        <v/>
      </c>
      <c r="Y64" s="25">
        <f>IF(AND(Q64=1,A64&lt;&gt;""),IF(IFERROR(COUNTIFS(A$3:A64,"="&amp;SUBSTITUTE(SUBSTITUTE(SUBSTITUTE(A64,"~","~~"),"*","~*"),"?","~?"),Q$3:Q64,1),0)=1,MAX(Y$2:Y63)+1,""),"")</f>
        <v/>
      </c>
      <c r="Z64" s="25">
        <f>IF(Y64="","",COUNTIFS($A$3:$A$1002,"="&amp;SUBSTITUTE(SUBSTITUTE(SUBSTITUTE(A64,"~","~~"),"*","~*"),"?","~?"),$Q$3:$Q$1002,1)*10000-Y64)</f>
        <v/>
      </c>
    </row>
    <row r="65">
      <c r="A65">
        <f>IF(A$2=0,"",IFERROR(TRIM(INDEX('Pegar docentes'!$A$1:$BZ$1001,64,A$2)&amp;""),""))</f>
        <v/>
      </c>
      <c r="B65">
        <f>IF(B$2=0,"",IFERROR(TRIM(INDEX('Pegar docentes'!$A$1:$BZ$1001,64,B$2)&amp;""),""))</f>
        <v/>
      </c>
      <c r="C65">
        <f>IF(C$2=0,"",IFERROR(TRIM(INDEX('Pegar docentes'!$A$1:$BZ$1001,64,C$2)&amp;""),""))</f>
        <v/>
      </c>
      <c r="D65">
        <f>IF(D$2=0,"",IFERROR(TRIM(INDEX('Pegar docentes'!$A$1:$BZ$1001,64,D$2)&amp;""),""))</f>
        <v/>
      </c>
      <c r="E65">
        <f>IF(E$2=0,"",IFERROR(TRIM(INDEX('Pegar docentes'!$A$1:$BZ$1001,64,E$2)&amp;""),""))</f>
        <v/>
      </c>
      <c r="F65">
        <f>IF(F$2=0,"",IFERROR(TRIM(INDEX('Pegar docentes'!$A$1:$BZ$1001,64,F$2)&amp;""),""))</f>
        <v/>
      </c>
      <c r="G65">
        <f>IF(G$2=0,"",IFERROR(TRIM(INDEX('Pegar docentes'!$A$1:$BZ$1001,64,G$2)&amp;""),""))</f>
        <v/>
      </c>
      <c r="H65">
        <f>IF(H$2=0,"",IFERROR(TRIM(INDEX('Pegar docentes'!$A$1:$BZ$1001,64,H$2)&amp;""),""))</f>
        <v/>
      </c>
      <c r="I65">
        <f>IF(I$2=0,"",IFERROR(TRIM(INDEX('Pegar docentes'!$A$1:$BZ$1001,64,I$2)&amp;""),""))</f>
        <v/>
      </c>
      <c r="J65">
        <f>IF(J$2=0,"",IFERROR(TRIM(INDEX('Pegar docentes'!$A$1:$BZ$1001,64,J$2)&amp;""),""))</f>
        <v/>
      </c>
      <c r="K65">
        <f>IF(K$2=0,"",IFERROR(TRIM(INDEX('Pegar docentes'!$A$1:$BZ$1001,64,K$2)&amp;""),""))</f>
        <v/>
      </c>
      <c r="L65">
        <f>IF(L$2=0,"",IFERROR(TRIM(INDEX('Pegar docentes'!$A$1:$BZ$1001,64,L$2)&amp;""),""))</f>
        <v/>
      </c>
      <c r="M65">
        <f>IF(M$2=0,"",IFERROR(TRIM(INDEX('Pegar docentes'!$A$1:$BZ$1001,64,M$2)&amp;""),""))</f>
        <v/>
      </c>
      <c r="N65">
        <f>IF(N$2=0,"",IFERROR(TRIM(INDEX('Pegar docentes'!$A$1:$BZ$1001,64,N$2)&amp;""),""))</f>
        <v/>
      </c>
      <c r="O65">
        <f>IF(O$2=0,"",IFERROR(TRIM(INDEX('Pegar docentes'!$A$1:$BZ$1001,64,O$2)&amp;""),""))</f>
        <v/>
      </c>
      <c r="P65">
        <f>IF(P$2=0,"",IFERROR(TRIM(INDEX('Pegar docentes'!$A$1:$BZ$1001,64,P$2)&amp;""),""))</f>
        <v/>
      </c>
      <c r="Q65" s="25">
        <f>IF(OR(D65&lt;&gt;"",H65&lt;&gt;""),1,"")</f>
        <v/>
      </c>
      <c r="R65" s="25">
        <f>IF(Q65=1,IF(ISNUMBER(FIND("#"&amp;MID(D65,1,1)&amp;"#","#0#1#2#3#4#5#6#7#8#9#")),IF(ISNUMBER(FIND("#"&amp;MID(D65,2,1)&amp;"#","#0#1#2#3#4#5#6#7#8#9#")),IF(AND(VALUE(LEFT(D65,2))&gt;=1,VALUE(LEFT(D65,2))&lt;=5),VALUE(LEFT(D65,2)),""),IF(AND(VALUE(LEFT(D65,1))&gt;=1,VALUE(LEFT(D65,1))&lt;=5),VALUE(LEFT(D65,1)),"")),""),"")</f>
        <v/>
      </c>
      <c r="S65" s="25">
        <f>IF(AND(Q65=1,E65&lt;&gt;""),SUBSTITUTE(SUBSTITUTE(SUBSTITUTE(SUBSTITUTE(SUBSTITUTE(SUBSTITUTE(SUBSTITUTE(SUBSTITUTE(SUBSTITUTE(SUBSTITUTE(SUBSTITUTE(SUBSTITUTE(LOWER(TRIM(E65)),"á","a"),"é","e"),"í","i"),"ó","o"),"ú","u"),"ü","u"),"ñ","n"),"à","a"),"è","e"),"ì","i"),"ò","o"),"ù","u"),"")</f>
        <v/>
      </c>
      <c r="T65" s="25">
        <f>IF(AND(Q65=1,G65&lt;&gt;""),SUBSTITUTE(SUBSTITUTE(SUBSTITUTE(SUBSTITUTE(SUBSTITUTE(SUBSTITUTE(SUBSTITUTE(SUBSTITUTE(SUBSTITUTE(SUBSTITUTE(SUBSTITUTE(SUBSTITUTE(LOWER(TRIM(G65)),"á","a"),"é","e"),"í","i"),"ó","o"),"ú","u"),"ü","u"),"ñ","n"),"à","a"),"è","e"),"ì","i"),"ò","o"),"ù","u"),"")</f>
        <v/>
      </c>
      <c r="U65" s="25">
        <f>IF(AND(Q65=1,H65&lt;&gt;""),SUBSTITUTE(SUBSTITUTE(SUBSTITUTE(SUBSTITUTE(SUBSTITUTE(SUBSTITUTE(SUBSTITUTE(SUBSTITUTE(SUBSTITUTE(SUBSTITUTE(SUBSTITUTE(SUBSTITUTE(LOWER(TRIM(H65)),"á","a"),"é","e"),"í","i"),"ó","o"),"ú","u"),"ü","u"),"ñ","n"),"à","a"),"è","e"),"ì","i"),"ò","o"),"ù","u"),"")</f>
        <v/>
      </c>
      <c r="V65" s="25">
        <f>IF(AND(Q65=1,L65&lt;&gt;""),SUBSTITUTE(SUBSTITUTE(SUBSTITUTE(SUBSTITUTE(SUBSTITUTE(SUBSTITUTE(SUBSTITUTE(SUBSTITUTE(SUBSTITUTE(SUBSTITUTE(SUBSTITUTE(SUBSTITUTE(LOWER(TRIM(L65)),"á","a"),"é","e"),"í","i"),"ó","o"),"ú","u"),"ü","u"),"ñ","n"),"à","a"),"è","e"),"ì","i"),"ò","o"),"ù","u"),"")</f>
        <v/>
      </c>
      <c r="W65" s="25">
        <f>IF(AND(Q65=1,I65&lt;&gt;""),SUBSTITUTE(SUBSTITUTE(SUBSTITUTE(SUBSTITUTE(SUBSTITUTE(SUBSTITUTE(SUBSTITUTE(SUBSTITUTE(SUBSTITUTE(SUBSTITUTE(SUBSTITUTE(SUBSTITUTE(LOWER(TRIM(I65)),"á","a"),"é","e"),"í","i"),"ó","o"),"ú","u"),"ü","u"),"ñ","n"),"à","a"),"è","e"),"ì","i"),"ò","o"),"ù","u"),"")</f>
        <v/>
      </c>
      <c r="X65" s="25">
        <f>IF(U65="","",IF(OR(U65="si, en la proxima tarea",U65="si, con cambios"),1,0))</f>
        <v/>
      </c>
      <c r="Y65" s="25">
        <f>IF(AND(Q65=1,A65&lt;&gt;""),IF(IFERROR(COUNTIFS(A$3:A65,"="&amp;SUBSTITUTE(SUBSTITUTE(SUBSTITUTE(A65,"~","~~"),"*","~*"),"?","~?"),Q$3:Q65,1),0)=1,MAX(Y$2:Y64)+1,""),"")</f>
        <v/>
      </c>
      <c r="Z65" s="25">
        <f>IF(Y65="","",COUNTIFS($A$3:$A$1002,"="&amp;SUBSTITUTE(SUBSTITUTE(SUBSTITUTE(A65,"~","~~"),"*","~*"),"?","~?"),$Q$3:$Q$1002,1)*10000-Y65)</f>
        <v/>
      </c>
    </row>
    <row r="66">
      <c r="A66">
        <f>IF(A$2=0,"",IFERROR(TRIM(INDEX('Pegar docentes'!$A$1:$BZ$1001,65,A$2)&amp;""),""))</f>
        <v/>
      </c>
      <c r="B66">
        <f>IF(B$2=0,"",IFERROR(TRIM(INDEX('Pegar docentes'!$A$1:$BZ$1001,65,B$2)&amp;""),""))</f>
        <v/>
      </c>
      <c r="C66">
        <f>IF(C$2=0,"",IFERROR(TRIM(INDEX('Pegar docentes'!$A$1:$BZ$1001,65,C$2)&amp;""),""))</f>
        <v/>
      </c>
      <c r="D66">
        <f>IF(D$2=0,"",IFERROR(TRIM(INDEX('Pegar docentes'!$A$1:$BZ$1001,65,D$2)&amp;""),""))</f>
        <v/>
      </c>
      <c r="E66">
        <f>IF(E$2=0,"",IFERROR(TRIM(INDEX('Pegar docentes'!$A$1:$BZ$1001,65,E$2)&amp;""),""))</f>
        <v/>
      </c>
      <c r="F66">
        <f>IF(F$2=0,"",IFERROR(TRIM(INDEX('Pegar docentes'!$A$1:$BZ$1001,65,F$2)&amp;""),""))</f>
        <v/>
      </c>
      <c r="G66">
        <f>IF(G$2=0,"",IFERROR(TRIM(INDEX('Pegar docentes'!$A$1:$BZ$1001,65,G$2)&amp;""),""))</f>
        <v/>
      </c>
      <c r="H66">
        <f>IF(H$2=0,"",IFERROR(TRIM(INDEX('Pegar docentes'!$A$1:$BZ$1001,65,H$2)&amp;""),""))</f>
        <v/>
      </c>
      <c r="I66">
        <f>IF(I$2=0,"",IFERROR(TRIM(INDEX('Pegar docentes'!$A$1:$BZ$1001,65,I$2)&amp;""),""))</f>
        <v/>
      </c>
      <c r="J66">
        <f>IF(J$2=0,"",IFERROR(TRIM(INDEX('Pegar docentes'!$A$1:$BZ$1001,65,J$2)&amp;""),""))</f>
        <v/>
      </c>
      <c r="K66">
        <f>IF(K$2=0,"",IFERROR(TRIM(INDEX('Pegar docentes'!$A$1:$BZ$1001,65,K$2)&amp;""),""))</f>
        <v/>
      </c>
      <c r="L66">
        <f>IF(L$2=0,"",IFERROR(TRIM(INDEX('Pegar docentes'!$A$1:$BZ$1001,65,L$2)&amp;""),""))</f>
        <v/>
      </c>
      <c r="M66">
        <f>IF(M$2=0,"",IFERROR(TRIM(INDEX('Pegar docentes'!$A$1:$BZ$1001,65,M$2)&amp;""),""))</f>
        <v/>
      </c>
      <c r="N66">
        <f>IF(N$2=0,"",IFERROR(TRIM(INDEX('Pegar docentes'!$A$1:$BZ$1001,65,N$2)&amp;""),""))</f>
        <v/>
      </c>
      <c r="O66">
        <f>IF(O$2=0,"",IFERROR(TRIM(INDEX('Pegar docentes'!$A$1:$BZ$1001,65,O$2)&amp;""),""))</f>
        <v/>
      </c>
      <c r="P66">
        <f>IF(P$2=0,"",IFERROR(TRIM(INDEX('Pegar docentes'!$A$1:$BZ$1001,65,P$2)&amp;""),""))</f>
        <v/>
      </c>
      <c r="Q66" s="25">
        <f>IF(OR(D66&lt;&gt;"",H66&lt;&gt;""),1,"")</f>
        <v/>
      </c>
      <c r="R66" s="25">
        <f>IF(Q66=1,IF(ISNUMBER(FIND("#"&amp;MID(D66,1,1)&amp;"#","#0#1#2#3#4#5#6#7#8#9#")),IF(ISNUMBER(FIND("#"&amp;MID(D66,2,1)&amp;"#","#0#1#2#3#4#5#6#7#8#9#")),IF(AND(VALUE(LEFT(D66,2))&gt;=1,VALUE(LEFT(D66,2))&lt;=5),VALUE(LEFT(D66,2)),""),IF(AND(VALUE(LEFT(D66,1))&gt;=1,VALUE(LEFT(D66,1))&lt;=5),VALUE(LEFT(D66,1)),"")),""),"")</f>
        <v/>
      </c>
      <c r="S66" s="25">
        <f>IF(AND(Q66=1,E66&lt;&gt;""),SUBSTITUTE(SUBSTITUTE(SUBSTITUTE(SUBSTITUTE(SUBSTITUTE(SUBSTITUTE(SUBSTITUTE(SUBSTITUTE(SUBSTITUTE(SUBSTITUTE(SUBSTITUTE(SUBSTITUTE(LOWER(TRIM(E66)),"á","a"),"é","e"),"í","i"),"ó","o"),"ú","u"),"ü","u"),"ñ","n"),"à","a"),"è","e"),"ì","i"),"ò","o"),"ù","u"),"")</f>
        <v/>
      </c>
      <c r="T66" s="25">
        <f>IF(AND(Q66=1,G66&lt;&gt;""),SUBSTITUTE(SUBSTITUTE(SUBSTITUTE(SUBSTITUTE(SUBSTITUTE(SUBSTITUTE(SUBSTITUTE(SUBSTITUTE(SUBSTITUTE(SUBSTITUTE(SUBSTITUTE(SUBSTITUTE(LOWER(TRIM(G66)),"á","a"),"é","e"),"í","i"),"ó","o"),"ú","u"),"ü","u"),"ñ","n"),"à","a"),"è","e"),"ì","i"),"ò","o"),"ù","u"),"")</f>
        <v/>
      </c>
      <c r="U66" s="25">
        <f>IF(AND(Q66=1,H66&lt;&gt;""),SUBSTITUTE(SUBSTITUTE(SUBSTITUTE(SUBSTITUTE(SUBSTITUTE(SUBSTITUTE(SUBSTITUTE(SUBSTITUTE(SUBSTITUTE(SUBSTITUTE(SUBSTITUTE(SUBSTITUTE(LOWER(TRIM(H66)),"á","a"),"é","e"),"í","i"),"ó","o"),"ú","u"),"ü","u"),"ñ","n"),"à","a"),"è","e"),"ì","i"),"ò","o"),"ù","u"),"")</f>
        <v/>
      </c>
      <c r="V66" s="25">
        <f>IF(AND(Q66=1,L66&lt;&gt;""),SUBSTITUTE(SUBSTITUTE(SUBSTITUTE(SUBSTITUTE(SUBSTITUTE(SUBSTITUTE(SUBSTITUTE(SUBSTITUTE(SUBSTITUTE(SUBSTITUTE(SUBSTITUTE(SUBSTITUTE(LOWER(TRIM(L66)),"á","a"),"é","e"),"í","i"),"ó","o"),"ú","u"),"ü","u"),"ñ","n"),"à","a"),"è","e"),"ì","i"),"ò","o"),"ù","u"),"")</f>
        <v/>
      </c>
      <c r="W66" s="25">
        <f>IF(AND(Q66=1,I66&lt;&gt;""),SUBSTITUTE(SUBSTITUTE(SUBSTITUTE(SUBSTITUTE(SUBSTITUTE(SUBSTITUTE(SUBSTITUTE(SUBSTITUTE(SUBSTITUTE(SUBSTITUTE(SUBSTITUTE(SUBSTITUTE(LOWER(TRIM(I66)),"á","a"),"é","e"),"í","i"),"ó","o"),"ú","u"),"ü","u"),"ñ","n"),"à","a"),"è","e"),"ì","i"),"ò","o"),"ù","u"),"")</f>
        <v/>
      </c>
      <c r="X66" s="25">
        <f>IF(U66="","",IF(OR(U66="si, en la proxima tarea",U66="si, con cambios"),1,0))</f>
        <v/>
      </c>
      <c r="Y66" s="25">
        <f>IF(AND(Q66=1,A66&lt;&gt;""),IF(IFERROR(COUNTIFS(A$3:A66,"="&amp;SUBSTITUTE(SUBSTITUTE(SUBSTITUTE(A66,"~","~~"),"*","~*"),"?","~?"),Q$3:Q66,1),0)=1,MAX(Y$2:Y65)+1,""),"")</f>
        <v/>
      </c>
      <c r="Z66" s="25">
        <f>IF(Y66="","",COUNTIFS($A$3:$A$1002,"="&amp;SUBSTITUTE(SUBSTITUTE(SUBSTITUTE(A66,"~","~~"),"*","~*"),"?","~?"),$Q$3:$Q$1002,1)*10000-Y66)</f>
        <v/>
      </c>
    </row>
    <row r="67">
      <c r="A67">
        <f>IF(A$2=0,"",IFERROR(TRIM(INDEX('Pegar docentes'!$A$1:$BZ$1001,66,A$2)&amp;""),""))</f>
        <v/>
      </c>
      <c r="B67">
        <f>IF(B$2=0,"",IFERROR(TRIM(INDEX('Pegar docentes'!$A$1:$BZ$1001,66,B$2)&amp;""),""))</f>
        <v/>
      </c>
      <c r="C67">
        <f>IF(C$2=0,"",IFERROR(TRIM(INDEX('Pegar docentes'!$A$1:$BZ$1001,66,C$2)&amp;""),""))</f>
        <v/>
      </c>
      <c r="D67">
        <f>IF(D$2=0,"",IFERROR(TRIM(INDEX('Pegar docentes'!$A$1:$BZ$1001,66,D$2)&amp;""),""))</f>
        <v/>
      </c>
      <c r="E67">
        <f>IF(E$2=0,"",IFERROR(TRIM(INDEX('Pegar docentes'!$A$1:$BZ$1001,66,E$2)&amp;""),""))</f>
        <v/>
      </c>
      <c r="F67">
        <f>IF(F$2=0,"",IFERROR(TRIM(INDEX('Pegar docentes'!$A$1:$BZ$1001,66,F$2)&amp;""),""))</f>
        <v/>
      </c>
      <c r="G67">
        <f>IF(G$2=0,"",IFERROR(TRIM(INDEX('Pegar docentes'!$A$1:$BZ$1001,66,G$2)&amp;""),""))</f>
        <v/>
      </c>
      <c r="H67">
        <f>IF(H$2=0,"",IFERROR(TRIM(INDEX('Pegar docentes'!$A$1:$BZ$1001,66,H$2)&amp;""),""))</f>
        <v/>
      </c>
      <c r="I67">
        <f>IF(I$2=0,"",IFERROR(TRIM(INDEX('Pegar docentes'!$A$1:$BZ$1001,66,I$2)&amp;""),""))</f>
        <v/>
      </c>
      <c r="J67">
        <f>IF(J$2=0,"",IFERROR(TRIM(INDEX('Pegar docentes'!$A$1:$BZ$1001,66,J$2)&amp;""),""))</f>
        <v/>
      </c>
      <c r="K67">
        <f>IF(K$2=0,"",IFERROR(TRIM(INDEX('Pegar docentes'!$A$1:$BZ$1001,66,K$2)&amp;""),""))</f>
        <v/>
      </c>
      <c r="L67">
        <f>IF(L$2=0,"",IFERROR(TRIM(INDEX('Pegar docentes'!$A$1:$BZ$1001,66,L$2)&amp;""),""))</f>
        <v/>
      </c>
      <c r="M67">
        <f>IF(M$2=0,"",IFERROR(TRIM(INDEX('Pegar docentes'!$A$1:$BZ$1001,66,M$2)&amp;""),""))</f>
        <v/>
      </c>
      <c r="N67">
        <f>IF(N$2=0,"",IFERROR(TRIM(INDEX('Pegar docentes'!$A$1:$BZ$1001,66,N$2)&amp;""),""))</f>
        <v/>
      </c>
      <c r="O67">
        <f>IF(O$2=0,"",IFERROR(TRIM(INDEX('Pegar docentes'!$A$1:$BZ$1001,66,O$2)&amp;""),""))</f>
        <v/>
      </c>
      <c r="P67">
        <f>IF(P$2=0,"",IFERROR(TRIM(INDEX('Pegar docentes'!$A$1:$BZ$1001,66,P$2)&amp;""),""))</f>
        <v/>
      </c>
      <c r="Q67" s="25">
        <f>IF(OR(D67&lt;&gt;"",H67&lt;&gt;""),1,"")</f>
        <v/>
      </c>
      <c r="R67" s="25">
        <f>IF(Q67=1,IF(ISNUMBER(FIND("#"&amp;MID(D67,1,1)&amp;"#","#0#1#2#3#4#5#6#7#8#9#")),IF(ISNUMBER(FIND("#"&amp;MID(D67,2,1)&amp;"#","#0#1#2#3#4#5#6#7#8#9#")),IF(AND(VALUE(LEFT(D67,2))&gt;=1,VALUE(LEFT(D67,2))&lt;=5),VALUE(LEFT(D67,2)),""),IF(AND(VALUE(LEFT(D67,1))&gt;=1,VALUE(LEFT(D67,1))&lt;=5),VALUE(LEFT(D67,1)),"")),""),"")</f>
        <v/>
      </c>
      <c r="S67" s="25">
        <f>IF(AND(Q67=1,E67&lt;&gt;""),SUBSTITUTE(SUBSTITUTE(SUBSTITUTE(SUBSTITUTE(SUBSTITUTE(SUBSTITUTE(SUBSTITUTE(SUBSTITUTE(SUBSTITUTE(SUBSTITUTE(SUBSTITUTE(SUBSTITUTE(LOWER(TRIM(E67)),"á","a"),"é","e"),"í","i"),"ó","o"),"ú","u"),"ü","u"),"ñ","n"),"à","a"),"è","e"),"ì","i"),"ò","o"),"ù","u"),"")</f>
        <v/>
      </c>
      <c r="T67" s="25">
        <f>IF(AND(Q67=1,G67&lt;&gt;""),SUBSTITUTE(SUBSTITUTE(SUBSTITUTE(SUBSTITUTE(SUBSTITUTE(SUBSTITUTE(SUBSTITUTE(SUBSTITUTE(SUBSTITUTE(SUBSTITUTE(SUBSTITUTE(SUBSTITUTE(LOWER(TRIM(G67)),"á","a"),"é","e"),"í","i"),"ó","o"),"ú","u"),"ü","u"),"ñ","n"),"à","a"),"è","e"),"ì","i"),"ò","o"),"ù","u"),"")</f>
        <v/>
      </c>
      <c r="U67" s="25">
        <f>IF(AND(Q67=1,H67&lt;&gt;""),SUBSTITUTE(SUBSTITUTE(SUBSTITUTE(SUBSTITUTE(SUBSTITUTE(SUBSTITUTE(SUBSTITUTE(SUBSTITUTE(SUBSTITUTE(SUBSTITUTE(SUBSTITUTE(SUBSTITUTE(LOWER(TRIM(H67)),"á","a"),"é","e"),"í","i"),"ó","o"),"ú","u"),"ü","u"),"ñ","n"),"à","a"),"è","e"),"ì","i"),"ò","o"),"ù","u"),"")</f>
        <v/>
      </c>
      <c r="V67" s="25">
        <f>IF(AND(Q67=1,L67&lt;&gt;""),SUBSTITUTE(SUBSTITUTE(SUBSTITUTE(SUBSTITUTE(SUBSTITUTE(SUBSTITUTE(SUBSTITUTE(SUBSTITUTE(SUBSTITUTE(SUBSTITUTE(SUBSTITUTE(SUBSTITUTE(LOWER(TRIM(L67)),"á","a"),"é","e"),"í","i"),"ó","o"),"ú","u"),"ü","u"),"ñ","n"),"à","a"),"è","e"),"ì","i"),"ò","o"),"ù","u"),"")</f>
        <v/>
      </c>
      <c r="W67" s="25">
        <f>IF(AND(Q67=1,I67&lt;&gt;""),SUBSTITUTE(SUBSTITUTE(SUBSTITUTE(SUBSTITUTE(SUBSTITUTE(SUBSTITUTE(SUBSTITUTE(SUBSTITUTE(SUBSTITUTE(SUBSTITUTE(SUBSTITUTE(SUBSTITUTE(LOWER(TRIM(I67)),"á","a"),"é","e"),"í","i"),"ó","o"),"ú","u"),"ü","u"),"ñ","n"),"à","a"),"è","e"),"ì","i"),"ò","o"),"ù","u"),"")</f>
        <v/>
      </c>
      <c r="X67" s="25">
        <f>IF(U67="","",IF(OR(U67="si, en la proxima tarea",U67="si, con cambios"),1,0))</f>
        <v/>
      </c>
      <c r="Y67" s="25">
        <f>IF(AND(Q67=1,A67&lt;&gt;""),IF(IFERROR(COUNTIFS(A$3:A67,"="&amp;SUBSTITUTE(SUBSTITUTE(SUBSTITUTE(A67,"~","~~"),"*","~*"),"?","~?"),Q$3:Q67,1),0)=1,MAX(Y$2:Y66)+1,""),"")</f>
        <v/>
      </c>
      <c r="Z67" s="25">
        <f>IF(Y67="","",COUNTIFS($A$3:$A$1002,"="&amp;SUBSTITUTE(SUBSTITUTE(SUBSTITUTE(A67,"~","~~"),"*","~*"),"?","~?"),$Q$3:$Q$1002,1)*10000-Y67)</f>
        <v/>
      </c>
    </row>
    <row r="68">
      <c r="A68">
        <f>IF(A$2=0,"",IFERROR(TRIM(INDEX('Pegar docentes'!$A$1:$BZ$1001,67,A$2)&amp;""),""))</f>
        <v/>
      </c>
      <c r="B68">
        <f>IF(B$2=0,"",IFERROR(TRIM(INDEX('Pegar docentes'!$A$1:$BZ$1001,67,B$2)&amp;""),""))</f>
        <v/>
      </c>
      <c r="C68">
        <f>IF(C$2=0,"",IFERROR(TRIM(INDEX('Pegar docentes'!$A$1:$BZ$1001,67,C$2)&amp;""),""))</f>
        <v/>
      </c>
      <c r="D68">
        <f>IF(D$2=0,"",IFERROR(TRIM(INDEX('Pegar docentes'!$A$1:$BZ$1001,67,D$2)&amp;""),""))</f>
        <v/>
      </c>
      <c r="E68">
        <f>IF(E$2=0,"",IFERROR(TRIM(INDEX('Pegar docentes'!$A$1:$BZ$1001,67,E$2)&amp;""),""))</f>
        <v/>
      </c>
      <c r="F68">
        <f>IF(F$2=0,"",IFERROR(TRIM(INDEX('Pegar docentes'!$A$1:$BZ$1001,67,F$2)&amp;""),""))</f>
        <v/>
      </c>
      <c r="G68">
        <f>IF(G$2=0,"",IFERROR(TRIM(INDEX('Pegar docentes'!$A$1:$BZ$1001,67,G$2)&amp;""),""))</f>
        <v/>
      </c>
      <c r="H68">
        <f>IF(H$2=0,"",IFERROR(TRIM(INDEX('Pegar docentes'!$A$1:$BZ$1001,67,H$2)&amp;""),""))</f>
        <v/>
      </c>
      <c r="I68">
        <f>IF(I$2=0,"",IFERROR(TRIM(INDEX('Pegar docentes'!$A$1:$BZ$1001,67,I$2)&amp;""),""))</f>
        <v/>
      </c>
      <c r="J68">
        <f>IF(J$2=0,"",IFERROR(TRIM(INDEX('Pegar docentes'!$A$1:$BZ$1001,67,J$2)&amp;""),""))</f>
        <v/>
      </c>
      <c r="K68">
        <f>IF(K$2=0,"",IFERROR(TRIM(INDEX('Pegar docentes'!$A$1:$BZ$1001,67,K$2)&amp;""),""))</f>
        <v/>
      </c>
      <c r="L68">
        <f>IF(L$2=0,"",IFERROR(TRIM(INDEX('Pegar docentes'!$A$1:$BZ$1001,67,L$2)&amp;""),""))</f>
        <v/>
      </c>
      <c r="M68">
        <f>IF(M$2=0,"",IFERROR(TRIM(INDEX('Pegar docentes'!$A$1:$BZ$1001,67,M$2)&amp;""),""))</f>
        <v/>
      </c>
      <c r="N68">
        <f>IF(N$2=0,"",IFERROR(TRIM(INDEX('Pegar docentes'!$A$1:$BZ$1001,67,N$2)&amp;""),""))</f>
        <v/>
      </c>
      <c r="O68">
        <f>IF(O$2=0,"",IFERROR(TRIM(INDEX('Pegar docentes'!$A$1:$BZ$1001,67,O$2)&amp;""),""))</f>
        <v/>
      </c>
      <c r="P68">
        <f>IF(P$2=0,"",IFERROR(TRIM(INDEX('Pegar docentes'!$A$1:$BZ$1001,67,P$2)&amp;""),""))</f>
        <v/>
      </c>
      <c r="Q68" s="25">
        <f>IF(OR(D68&lt;&gt;"",H68&lt;&gt;""),1,"")</f>
        <v/>
      </c>
      <c r="R68" s="25">
        <f>IF(Q68=1,IF(ISNUMBER(FIND("#"&amp;MID(D68,1,1)&amp;"#","#0#1#2#3#4#5#6#7#8#9#")),IF(ISNUMBER(FIND("#"&amp;MID(D68,2,1)&amp;"#","#0#1#2#3#4#5#6#7#8#9#")),IF(AND(VALUE(LEFT(D68,2))&gt;=1,VALUE(LEFT(D68,2))&lt;=5),VALUE(LEFT(D68,2)),""),IF(AND(VALUE(LEFT(D68,1))&gt;=1,VALUE(LEFT(D68,1))&lt;=5),VALUE(LEFT(D68,1)),"")),""),"")</f>
        <v/>
      </c>
      <c r="S68" s="25">
        <f>IF(AND(Q68=1,E68&lt;&gt;""),SUBSTITUTE(SUBSTITUTE(SUBSTITUTE(SUBSTITUTE(SUBSTITUTE(SUBSTITUTE(SUBSTITUTE(SUBSTITUTE(SUBSTITUTE(SUBSTITUTE(SUBSTITUTE(SUBSTITUTE(LOWER(TRIM(E68)),"á","a"),"é","e"),"í","i"),"ó","o"),"ú","u"),"ü","u"),"ñ","n"),"à","a"),"è","e"),"ì","i"),"ò","o"),"ù","u"),"")</f>
        <v/>
      </c>
      <c r="T68" s="25">
        <f>IF(AND(Q68=1,G68&lt;&gt;""),SUBSTITUTE(SUBSTITUTE(SUBSTITUTE(SUBSTITUTE(SUBSTITUTE(SUBSTITUTE(SUBSTITUTE(SUBSTITUTE(SUBSTITUTE(SUBSTITUTE(SUBSTITUTE(SUBSTITUTE(LOWER(TRIM(G68)),"á","a"),"é","e"),"í","i"),"ó","o"),"ú","u"),"ü","u"),"ñ","n"),"à","a"),"è","e"),"ì","i"),"ò","o"),"ù","u"),"")</f>
        <v/>
      </c>
      <c r="U68" s="25">
        <f>IF(AND(Q68=1,H68&lt;&gt;""),SUBSTITUTE(SUBSTITUTE(SUBSTITUTE(SUBSTITUTE(SUBSTITUTE(SUBSTITUTE(SUBSTITUTE(SUBSTITUTE(SUBSTITUTE(SUBSTITUTE(SUBSTITUTE(SUBSTITUTE(LOWER(TRIM(H68)),"á","a"),"é","e"),"í","i"),"ó","o"),"ú","u"),"ü","u"),"ñ","n"),"à","a"),"è","e"),"ì","i"),"ò","o"),"ù","u"),"")</f>
        <v/>
      </c>
      <c r="V68" s="25">
        <f>IF(AND(Q68=1,L68&lt;&gt;""),SUBSTITUTE(SUBSTITUTE(SUBSTITUTE(SUBSTITUTE(SUBSTITUTE(SUBSTITUTE(SUBSTITUTE(SUBSTITUTE(SUBSTITUTE(SUBSTITUTE(SUBSTITUTE(SUBSTITUTE(LOWER(TRIM(L68)),"á","a"),"é","e"),"í","i"),"ó","o"),"ú","u"),"ü","u"),"ñ","n"),"à","a"),"è","e"),"ì","i"),"ò","o"),"ù","u"),"")</f>
        <v/>
      </c>
      <c r="W68" s="25">
        <f>IF(AND(Q68=1,I68&lt;&gt;""),SUBSTITUTE(SUBSTITUTE(SUBSTITUTE(SUBSTITUTE(SUBSTITUTE(SUBSTITUTE(SUBSTITUTE(SUBSTITUTE(SUBSTITUTE(SUBSTITUTE(SUBSTITUTE(SUBSTITUTE(LOWER(TRIM(I68)),"á","a"),"é","e"),"í","i"),"ó","o"),"ú","u"),"ü","u"),"ñ","n"),"à","a"),"è","e"),"ì","i"),"ò","o"),"ù","u"),"")</f>
        <v/>
      </c>
      <c r="X68" s="25">
        <f>IF(U68="","",IF(OR(U68="si, en la proxima tarea",U68="si, con cambios"),1,0))</f>
        <v/>
      </c>
      <c r="Y68" s="25">
        <f>IF(AND(Q68=1,A68&lt;&gt;""),IF(IFERROR(COUNTIFS(A$3:A68,"="&amp;SUBSTITUTE(SUBSTITUTE(SUBSTITUTE(A68,"~","~~"),"*","~*"),"?","~?"),Q$3:Q68,1),0)=1,MAX(Y$2:Y67)+1,""),"")</f>
        <v/>
      </c>
      <c r="Z68" s="25">
        <f>IF(Y68="","",COUNTIFS($A$3:$A$1002,"="&amp;SUBSTITUTE(SUBSTITUTE(SUBSTITUTE(A68,"~","~~"),"*","~*"),"?","~?"),$Q$3:$Q$1002,1)*10000-Y68)</f>
        <v/>
      </c>
    </row>
    <row r="69">
      <c r="A69">
        <f>IF(A$2=0,"",IFERROR(TRIM(INDEX('Pegar docentes'!$A$1:$BZ$1001,68,A$2)&amp;""),""))</f>
        <v/>
      </c>
      <c r="B69">
        <f>IF(B$2=0,"",IFERROR(TRIM(INDEX('Pegar docentes'!$A$1:$BZ$1001,68,B$2)&amp;""),""))</f>
        <v/>
      </c>
      <c r="C69">
        <f>IF(C$2=0,"",IFERROR(TRIM(INDEX('Pegar docentes'!$A$1:$BZ$1001,68,C$2)&amp;""),""))</f>
        <v/>
      </c>
      <c r="D69">
        <f>IF(D$2=0,"",IFERROR(TRIM(INDEX('Pegar docentes'!$A$1:$BZ$1001,68,D$2)&amp;""),""))</f>
        <v/>
      </c>
      <c r="E69">
        <f>IF(E$2=0,"",IFERROR(TRIM(INDEX('Pegar docentes'!$A$1:$BZ$1001,68,E$2)&amp;""),""))</f>
        <v/>
      </c>
      <c r="F69">
        <f>IF(F$2=0,"",IFERROR(TRIM(INDEX('Pegar docentes'!$A$1:$BZ$1001,68,F$2)&amp;""),""))</f>
        <v/>
      </c>
      <c r="G69">
        <f>IF(G$2=0,"",IFERROR(TRIM(INDEX('Pegar docentes'!$A$1:$BZ$1001,68,G$2)&amp;""),""))</f>
        <v/>
      </c>
      <c r="H69">
        <f>IF(H$2=0,"",IFERROR(TRIM(INDEX('Pegar docentes'!$A$1:$BZ$1001,68,H$2)&amp;""),""))</f>
        <v/>
      </c>
      <c r="I69">
        <f>IF(I$2=0,"",IFERROR(TRIM(INDEX('Pegar docentes'!$A$1:$BZ$1001,68,I$2)&amp;""),""))</f>
        <v/>
      </c>
      <c r="J69">
        <f>IF(J$2=0,"",IFERROR(TRIM(INDEX('Pegar docentes'!$A$1:$BZ$1001,68,J$2)&amp;""),""))</f>
        <v/>
      </c>
      <c r="K69">
        <f>IF(K$2=0,"",IFERROR(TRIM(INDEX('Pegar docentes'!$A$1:$BZ$1001,68,K$2)&amp;""),""))</f>
        <v/>
      </c>
      <c r="L69">
        <f>IF(L$2=0,"",IFERROR(TRIM(INDEX('Pegar docentes'!$A$1:$BZ$1001,68,L$2)&amp;""),""))</f>
        <v/>
      </c>
      <c r="M69">
        <f>IF(M$2=0,"",IFERROR(TRIM(INDEX('Pegar docentes'!$A$1:$BZ$1001,68,M$2)&amp;""),""))</f>
        <v/>
      </c>
      <c r="N69">
        <f>IF(N$2=0,"",IFERROR(TRIM(INDEX('Pegar docentes'!$A$1:$BZ$1001,68,N$2)&amp;""),""))</f>
        <v/>
      </c>
      <c r="O69">
        <f>IF(O$2=0,"",IFERROR(TRIM(INDEX('Pegar docentes'!$A$1:$BZ$1001,68,O$2)&amp;""),""))</f>
        <v/>
      </c>
      <c r="P69">
        <f>IF(P$2=0,"",IFERROR(TRIM(INDEX('Pegar docentes'!$A$1:$BZ$1001,68,P$2)&amp;""),""))</f>
        <v/>
      </c>
      <c r="Q69" s="25">
        <f>IF(OR(D69&lt;&gt;"",H69&lt;&gt;""),1,"")</f>
        <v/>
      </c>
      <c r="R69" s="25">
        <f>IF(Q69=1,IF(ISNUMBER(FIND("#"&amp;MID(D69,1,1)&amp;"#","#0#1#2#3#4#5#6#7#8#9#")),IF(ISNUMBER(FIND("#"&amp;MID(D69,2,1)&amp;"#","#0#1#2#3#4#5#6#7#8#9#")),IF(AND(VALUE(LEFT(D69,2))&gt;=1,VALUE(LEFT(D69,2))&lt;=5),VALUE(LEFT(D69,2)),""),IF(AND(VALUE(LEFT(D69,1))&gt;=1,VALUE(LEFT(D69,1))&lt;=5),VALUE(LEFT(D69,1)),"")),""),"")</f>
        <v/>
      </c>
      <c r="S69" s="25">
        <f>IF(AND(Q69=1,E69&lt;&gt;""),SUBSTITUTE(SUBSTITUTE(SUBSTITUTE(SUBSTITUTE(SUBSTITUTE(SUBSTITUTE(SUBSTITUTE(SUBSTITUTE(SUBSTITUTE(SUBSTITUTE(SUBSTITUTE(SUBSTITUTE(LOWER(TRIM(E69)),"á","a"),"é","e"),"í","i"),"ó","o"),"ú","u"),"ü","u"),"ñ","n"),"à","a"),"è","e"),"ì","i"),"ò","o"),"ù","u"),"")</f>
        <v/>
      </c>
      <c r="T69" s="25">
        <f>IF(AND(Q69=1,G69&lt;&gt;""),SUBSTITUTE(SUBSTITUTE(SUBSTITUTE(SUBSTITUTE(SUBSTITUTE(SUBSTITUTE(SUBSTITUTE(SUBSTITUTE(SUBSTITUTE(SUBSTITUTE(SUBSTITUTE(SUBSTITUTE(LOWER(TRIM(G69)),"á","a"),"é","e"),"í","i"),"ó","o"),"ú","u"),"ü","u"),"ñ","n"),"à","a"),"è","e"),"ì","i"),"ò","o"),"ù","u"),"")</f>
        <v/>
      </c>
      <c r="U69" s="25">
        <f>IF(AND(Q69=1,H69&lt;&gt;""),SUBSTITUTE(SUBSTITUTE(SUBSTITUTE(SUBSTITUTE(SUBSTITUTE(SUBSTITUTE(SUBSTITUTE(SUBSTITUTE(SUBSTITUTE(SUBSTITUTE(SUBSTITUTE(SUBSTITUTE(LOWER(TRIM(H69)),"á","a"),"é","e"),"í","i"),"ó","o"),"ú","u"),"ü","u"),"ñ","n"),"à","a"),"è","e"),"ì","i"),"ò","o"),"ù","u"),"")</f>
        <v/>
      </c>
      <c r="V69" s="25">
        <f>IF(AND(Q69=1,L69&lt;&gt;""),SUBSTITUTE(SUBSTITUTE(SUBSTITUTE(SUBSTITUTE(SUBSTITUTE(SUBSTITUTE(SUBSTITUTE(SUBSTITUTE(SUBSTITUTE(SUBSTITUTE(SUBSTITUTE(SUBSTITUTE(LOWER(TRIM(L69)),"á","a"),"é","e"),"í","i"),"ó","o"),"ú","u"),"ü","u"),"ñ","n"),"à","a"),"è","e"),"ì","i"),"ò","o"),"ù","u"),"")</f>
        <v/>
      </c>
      <c r="W69" s="25">
        <f>IF(AND(Q69=1,I69&lt;&gt;""),SUBSTITUTE(SUBSTITUTE(SUBSTITUTE(SUBSTITUTE(SUBSTITUTE(SUBSTITUTE(SUBSTITUTE(SUBSTITUTE(SUBSTITUTE(SUBSTITUTE(SUBSTITUTE(SUBSTITUTE(LOWER(TRIM(I69)),"á","a"),"é","e"),"í","i"),"ó","o"),"ú","u"),"ü","u"),"ñ","n"),"à","a"),"è","e"),"ì","i"),"ò","o"),"ù","u"),"")</f>
        <v/>
      </c>
      <c r="X69" s="25">
        <f>IF(U69="","",IF(OR(U69="si, en la proxima tarea",U69="si, con cambios"),1,0))</f>
        <v/>
      </c>
      <c r="Y69" s="25">
        <f>IF(AND(Q69=1,A69&lt;&gt;""),IF(IFERROR(COUNTIFS(A$3:A69,"="&amp;SUBSTITUTE(SUBSTITUTE(SUBSTITUTE(A69,"~","~~"),"*","~*"),"?","~?"),Q$3:Q69,1),0)=1,MAX(Y$2:Y68)+1,""),"")</f>
        <v/>
      </c>
      <c r="Z69" s="25">
        <f>IF(Y69="","",COUNTIFS($A$3:$A$1002,"="&amp;SUBSTITUTE(SUBSTITUTE(SUBSTITUTE(A69,"~","~~"),"*","~*"),"?","~?"),$Q$3:$Q$1002,1)*10000-Y69)</f>
        <v/>
      </c>
    </row>
    <row r="70">
      <c r="A70">
        <f>IF(A$2=0,"",IFERROR(TRIM(INDEX('Pegar docentes'!$A$1:$BZ$1001,69,A$2)&amp;""),""))</f>
        <v/>
      </c>
      <c r="B70">
        <f>IF(B$2=0,"",IFERROR(TRIM(INDEX('Pegar docentes'!$A$1:$BZ$1001,69,B$2)&amp;""),""))</f>
        <v/>
      </c>
      <c r="C70">
        <f>IF(C$2=0,"",IFERROR(TRIM(INDEX('Pegar docentes'!$A$1:$BZ$1001,69,C$2)&amp;""),""))</f>
        <v/>
      </c>
      <c r="D70">
        <f>IF(D$2=0,"",IFERROR(TRIM(INDEX('Pegar docentes'!$A$1:$BZ$1001,69,D$2)&amp;""),""))</f>
        <v/>
      </c>
      <c r="E70">
        <f>IF(E$2=0,"",IFERROR(TRIM(INDEX('Pegar docentes'!$A$1:$BZ$1001,69,E$2)&amp;""),""))</f>
        <v/>
      </c>
      <c r="F70">
        <f>IF(F$2=0,"",IFERROR(TRIM(INDEX('Pegar docentes'!$A$1:$BZ$1001,69,F$2)&amp;""),""))</f>
        <v/>
      </c>
      <c r="G70">
        <f>IF(G$2=0,"",IFERROR(TRIM(INDEX('Pegar docentes'!$A$1:$BZ$1001,69,G$2)&amp;""),""))</f>
        <v/>
      </c>
      <c r="H70">
        <f>IF(H$2=0,"",IFERROR(TRIM(INDEX('Pegar docentes'!$A$1:$BZ$1001,69,H$2)&amp;""),""))</f>
        <v/>
      </c>
      <c r="I70">
        <f>IF(I$2=0,"",IFERROR(TRIM(INDEX('Pegar docentes'!$A$1:$BZ$1001,69,I$2)&amp;""),""))</f>
        <v/>
      </c>
      <c r="J70">
        <f>IF(J$2=0,"",IFERROR(TRIM(INDEX('Pegar docentes'!$A$1:$BZ$1001,69,J$2)&amp;""),""))</f>
        <v/>
      </c>
      <c r="K70">
        <f>IF(K$2=0,"",IFERROR(TRIM(INDEX('Pegar docentes'!$A$1:$BZ$1001,69,K$2)&amp;""),""))</f>
        <v/>
      </c>
      <c r="L70">
        <f>IF(L$2=0,"",IFERROR(TRIM(INDEX('Pegar docentes'!$A$1:$BZ$1001,69,L$2)&amp;""),""))</f>
        <v/>
      </c>
      <c r="M70">
        <f>IF(M$2=0,"",IFERROR(TRIM(INDEX('Pegar docentes'!$A$1:$BZ$1001,69,M$2)&amp;""),""))</f>
        <v/>
      </c>
      <c r="N70">
        <f>IF(N$2=0,"",IFERROR(TRIM(INDEX('Pegar docentes'!$A$1:$BZ$1001,69,N$2)&amp;""),""))</f>
        <v/>
      </c>
      <c r="O70">
        <f>IF(O$2=0,"",IFERROR(TRIM(INDEX('Pegar docentes'!$A$1:$BZ$1001,69,O$2)&amp;""),""))</f>
        <v/>
      </c>
      <c r="P70">
        <f>IF(P$2=0,"",IFERROR(TRIM(INDEX('Pegar docentes'!$A$1:$BZ$1001,69,P$2)&amp;""),""))</f>
        <v/>
      </c>
      <c r="Q70" s="25">
        <f>IF(OR(D70&lt;&gt;"",H70&lt;&gt;""),1,"")</f>
        <v/>
      </c>
      <c r="R70" s="25">
        <f>IF(Q70=1,IF(ISNUMBER(FIND("#"&amp;MID(D70,1,1)&amp;"#","#0#1#2#3#4#5#6#7#8#9#")),IF(ISNUMBER(FIND("#"&amp;MID(D70,2,1)&amp;"#","#0#1#2#3#4#5#6#7#8#9#")),IF(AND(VALUE(LEFT(D70,2))&gt;=1,VALUE(LEFT(D70,2))&lt;=5),VALUE(LEFT(D70,2)),""),IF(AND(VALUE(LEFT(D70,1))&gt;=1,VALUE(LEFT(D70,1))&lt;=5),VALUE(LEFT(D70,1)),"")),""),"")</f>
        <v/>
      </c>
      <c r="S70" s="25">
        <f>IF(AND(Q70=1,E70&lt;&gt;""),SUBSTITUTE(SUBSTITUTE(SUBSTITUTE(SUBSTITUTE(SUBSTITUTE(SUBSTITUTE(SUBSTITUTE(SUBSTITUTE(SUBSTITUTE(SUBSTITUTE(SUBSTITUTE(SUBSTITUTE(LOWER(TRIM(E70)),"á","a"),"é","e"),"í","i"),"ó","o"),"ú","u"),"ü","u"),"ñ","n"),"à","a"),"è","e"),"ì","i"),"ò","o"),"ù","u"),"")</f>
        <v/>
      </c>
      <c r="T70" s="25">
        <f>IF(AND(Q70=1,G70&lt;&gt;""),SUBSTITUTE(SUBSTITUTE(SUBSTITUTE(SUBSTITUTE(SUBSTITUTE(SUBSTITUTE(SUBSTITUTE(SUBSTITUTE(SUBSTITUTE(SUBSTITUTE(SUBSTITUTE(SUBSTITUTE(LOWER(TRIM(G70)),"á","a"),"é","e"),"í","i"),"ó","o"),"ú","u"),"ü","u"),"ñ","n"),"à","a"),"è","e"),"ì","i"),"ò","o"),"ù","u"),"")</f>
        <v/>
      </c>
      <c r="U70" s="25">
        <f>IF(AND(Q70=1,H70&lt;&gt;""),SUBSTITUTE(SUBSTITUTE(SUBSTITUTE(SUBSTITUTE(SUBSTITUTE(SUBSTITUTE(SUBSTITUTE(SUBSTITUTE(SUBSTITUTE(SUBSTITUTE(SUBSTITUTE(SUBSTITUTE(LOWER(TRIM(H70)),"á","a"),"é","e"),"í","i"),"ó","o"),"ú","u"),"ü","u"),"ñ","n"),"à","a"),"è","e"),"ì","i"),"ò","o"),"ù","u"),"")</f>
        <v/>
      </c>
      <c r="V70" s="25">
        <f>IF(AND(Q70=1,L70&lt;&gt;""),SUBSTITUTE(SUBSTITUTE(SUBSTITUTE(SUBSTITUTE(SUBSTITUTE(SUBSTITUTE(SUBSTITUTE(SUBSTITUTE(SUBSTITUTE(SUBSTITUTE(SUBSTITUTE(SUBSTITUTE(LOWER(TRIM(L70)),"á","a"),"é","e"),"í","i"),"ó","o"),"ú","u"),"ü","u"),"ñ","n"),"à","a"),"è","e"),"ì","i"),"ò","o"),"ù","u"),"")</f>
        <v/>
      </c>
      <c r="W70" s="25">
        <f>IF(AND(Q70=1,I70&lt;&gt;""),SUBSTITUTE(SUBSTITUTE(SUBSTITUTE(SUBSTITUTE(SUBSTITUTE(SUBSTITUTE(SUBSTITUTE(SUBSTITUTE(SUBSTITUTE(SUBSTITUTE(SUBSTITUTE(SUBSTITUTE(LOWER(TRIM(I70)),"á","a"),"é","e"),"í","i"),"ó","o"),"ú","u"),"ü","u"),"ñ","n"),"à","a"),"è","e"),"ì","i"),"ò","o"),"ù","u"),"")</f>
        <v/>
      </c>
      <c r="X70" s="25">
        <f>IF(U70="","",IF(OR(U70="si, en la proxima tarea",U70="si, con cambios"),1,0))</f>
        <v/>
      </c>
      <c r="Y70" s="25">
        <f>IF(AND(Q70=1,A70&lt;&gt;""),IF(IFERROR(COUNTIFS(A$3:A70,"="&amp;SUBSTITUTE(SUBSTITUTE(SUBSTITUTE(A70,"~","~~"),"*","~*"),"?","~?"),Q$3:Q70,1),0)=1,MAX(Y$2:Y69)+1,""),"")</f>
        <v/>
      </c>
      <c r="Z70" s="25">
        <f>IF(Y70="","",COUNTIFS($A$3:$A$1002,"="&amp;SUBSTITUTE(SUBSTITUTE(SUBSTITUTE(A70,"~","~~"),"*","~*"),"?","~?"),$Q$3:$Q$1002,1)*10000-Y70)</f>
        <v/>
      </c>
    </row>
    <row r="71">
      <c r="A71">
        <f>IF(A$2=0,"",IFERROR(TRIM(INDEX('Pegar docentes'!$A$1:$BZ$1001,70,A$2)&amp;""),""))</f>
        <v/>
      </c>
      <c r="B71">
        <f>IF(B$2=0,"",IFERROR(TRIM(INDEX('Pegar docentes'!$A$1:$BZ$1001,70,B$2)&amp;""),""))</f>
        <v/>
      </c>
      <c r="C71">
        <f>IF(C$2=0,"",IFERROR(TRIM(INDEX('Pegar docentes'!$A$1:$BZ$1001,70,C$2)&amp;""),""))</f>
        <v/>
      </c>
      <c r="D71">
        <f>IF(D$2=0,"",IFERROR(TRIM(INDEX('Pegar docentes'!$A$1:$BZ$1001,70,D$2)&amp;""),""))</f>
        <v/>
      </c>
      <c r="E71">
        <f>IF(E$2=0,"",IFERROR(TRIM(INDEX('Pegar docentes'!$A$1:$BZ$1001,70,E$2)&amp;""),""))</f>
        <v/>
      </c>
      <c r="F71">
        <f>IF(F$2=0,"",IFERROR(TRIM(INDEX('Pegar docentes'!$A$1:$BZ$1001,70,F$2)&amp;""),""))</f>
        <v/>
      </c>
      <c r="G71">
        <f>IF(G$2=0,"",IFERROR(TRIM(INDEX('Pegar docentes'!$A$1:$BZ$1001,70,G$2)&amp;""),""))</f>
        <v/>
      </c>
      <c r="H71">
        <f>IF(H$2=0,"",IFERROR(TRIM(INDEX('Pegar docentes'!$A$1:$BZ$1001,70,H$2)&amp;""),""))</f>
        <v/>
      </c>
      <c r="I71">
        <f>IF(I$2=0,"",IFERROR(TRIM(INDEX('Pegar docentes'!$A$1:$BZ$1001,70,I$2)&amp;""),""))</f>
        <v/>
      </c>
      <c r="J71">
        <f>IF(J$2=0,"",IFERROR(TRIM(INDEX('Pegar docentes'!$A$1:$BZ$1001,70,J$2)&amp;""),""))</f>
        <v/>
      </c>
      <c r="K71">
        <f>IF(K$2=0,"",IFERROR(TRIM(INDEX('Pegar docentes'!$A$1:$BZ$1001,70,K$2)&amp;""),""))</f>
        <v/>
      </c>
      <c r="L71">
        <f>IF(L$2=0,"",IFERROR(TRIM(INDEX('Pegar docentes'!$A$1:$BZ$1001,70,L$2)&amp;""),""))</f>
        <v/>
      </c>
      <c r="M71">
        <f>IF(M$2=0,"",IFERROR(TRIM(INDEX('Pegar docentes'!$A$1:$BZ$1001,70,M$2)&amp;""),""))</f>
        <v/>
      </c>
      <c r="N71">
        <f>IF(N$2=0,"",IFERROR(TRIM(INDEX('Pegar docentes'!$A$1:$BZ$1001,70,N$2)&amp;""),""))</f>
        <v/>
      </c>
      <c r="O71">
        <f>IF(O$2=0,"",IFERROR(TRIM(INDEX('Pegar docentes'!$A$1:$BZ$1001,70,O$2)&amp;""),""))</f>
        <v/>
      </c>
      <c r="P71">
        <f>IF(P$2=0,"",IFERROR(TRIM(INDEX('Pegar docentes'!$A$1:$BZ$1001,70,P$2)&amp;""),""))</f>
        <v/>
      </c>
      <c r="Q71" s="25">
        <f>IF(OR(D71&lt;&gt;"",H71&lt;&gt;""),1,"")</f>
        <v/>
      </c>
      <c r="R71" s="25">
        <f>IF(Q71=1,IF(ISNUMBER(FIND("#"&amp;MID(D71,1,1)&amp;"#","#0#1#2#3#4#5#6#7#8#9#")),IF(ISNUMBER(FIND("#"&amp;MID(D71,2,1)&amp;"#","#0#1#2#3#4#5#6#7#8#9#")),IF(AND(VALUE(LEFT(D71,2))&gt;=1,VALUE(LEFT(D71,2))&lt;=5),VALUE(LEFT(D71,2)),""),IF(AND(VALUE(LEFT(D71,1))&gt;=1,VALUE(LEFT(D71,1))&lt;=5),VALUE(LEFT(D71,1)),"")),""),"")</f>
        <v/>
      </c>
      <c r="S71" s="25">
        <f>IF(AND(Q71=1,E71&lt;&gt;""),SUBSTITUTE(SUBSTITUTE(SUBSTITUTE(SUBSTITUTE(SUBSTITUTE(SUBSTITUTE(SUBSTITUTE(SUBSTITUTE(SUBSTITUTE(SUBSTITUTE(SUBSTITUTE(SUBSTITUTE(LOWER(TRIM(E71)),"á","a"),"é","e"),"í","i"),"ó","o"),"ú","u"),"ü","u"),"ñ","n"),"à","a"),"è","e"),"ì","i"),"ò","o"),"ù","u"),"")</f>
        <v/>
      </c>
      <c r="T71" s="25">
        <f>IF(AND(Q71=1,G71&lt;&gt;""),SUBSTITUTE(SUBSTITUTE(SUBSTITUTE(SUBSTITUTE(SUBSTITUTE(SUBSTITUTE(SUBSTITUTE(SUBSTITUTE(SUBSTITUTE(SUBSTITUTE(SUBSTITUTE(SUBSTITUTE(LOWER(TRIM(G71)),"á","a"),"é","e"),"í","i"),"ó","o"),"ú","u"),"ü","u"),"ñ","n"),"à","a"),"è","e"),"ì","i"),"ò","o"),"ù","u"),"")</f>
        <v/>
      </c>
      <c r="U71" s="25">
        <f>IF(AND(Q71=1,H71&lt;&gt;""),SUBSTITUTE(SUBSTITUTE(SUBSTITUTE(SUBSTITUTE(SUBSTITUTE(SUBSTITUTE(SUBSTITUTE(SUBSTITUTE(SUBSTITUTE(SUBSTITUTE(SUBSTITUTE(SUBSTITUTE(LOWER(TRIM(H71)),"á","a"),"é","e"),"í","i"),"ó","o"),"ú","u"),"ü","u"),"ñ","n"),"à","a"),"è","e"),"ì","i"),"ò","o"),"ù","u"),"")</f>
        <v/>
      </c>
      <c r="V71" s="25">
        <f>IF(AND(Q71=1,L71&lt;&gt;""),SUBSTITUTE(SUBSTITUTE(SUBSTITUTE(SUBSTITUTE(SUBSTITUTE(SUBSTITUTE(SUBSTITUTE(SUBSTITUTE(SUBSTITUTE(SUBSTITUTE(SUBSTITUTE(SUBSTITUTE(LOWER(TRIM(L71)),"á","a"),"é","e"),"í","i"),"ó","o"),"ú","u"),"ü","u"),"ñ","n"),"à","a"),"è","e"),"ì","i"),"ò","o"),"ù","u"),"")</f>
        <v/>
      </c>
      <c r="W71" s="25">
        <f>IF(AND(Q71=1,I71&lt;&gt;""),SUBSTITUTE(SUBSTITUTE(SUBSTITUTE(SUBSTITUTE(SUBSTITUTE(SUBSTITUTE(SUBSTITUTE(SUBSTITUTE(SUBSTITUTE(SUBSTITUTE(SUBSTITUTE(SUBSTITUTE(LOWER(TRIM(I71)),"á","a"),"é","e"),"í","i"),"ó","o"),"ú","u"),"ü","u"),"ñ","n"),"à","a"),"è","e"),"ì","i"),"ò","o"),"ù","u"),"")</f>
        <v/>
      </c>
      <c r="X71" s="25">
        <f>IF(U71="","",IF(OR(U71="si, en la proxima tarea",U71="si, con cambios"),1,0))</f>
        <v/>
      </c>
      <c r="Y71" s="25">
        <f>IF(AND(Q71=1,A71&lt;&gt;""),IF(IFERROR(COUNTIFS(A$3:A71,"="&amp;SUBSTITUTE(SUBSTITUTE(SUBSTITUTE(A71,"~","~~"),"*","~*"),"?","~?"),Q$3:Q71,1),0)=1,MAX(Y$2:Y70)+1,""),"")</f>
        <v/>
      </c>
      <c r="Z71" s="25">
        <f>IF(Y71="","",COUNTIFS($A$3:$A$1002,"="&amp;SUBSTITUTE(SUBSTITUTE(SUBSTITUTE(A71,"~","~~"),"*","~*"),"?","~?"),$Q$3:$Q$1002,1)*10000-Y71)</f>
        <v/>
      </c>
    </row>
    <row r="72">
      <c r="A72">
        <f>IF(A$2=0,"",IFERROR(TRIM(INDEX('Pegar docentes'!$A$1:$BZ$1001,71,A$2)&amp;""),""))</f>
        <v/>
      </c>
      <c r="B72">
        <f>IF(B$2=0,"",IFERROR(TRIM(INDEX('Pegar docentes'!$A$1:$BZ$1001,71,B$2)&amp;""),""))</f>
        <v/>
      </c>
      <c r="C72">
        <f>IF(C$2=0,"",IFERROR(TRIM(INDEX('Pegar docentes'!$A$1:$BZ$1001,71,C$2)&amp;""),""))</f>
        <v/>
      </c>
      <c r="D72">
        <f>IF(D$2=0,"",IFERROR(TRIM(INDEX('Pegar docentes'!$A$1:$BZ$1001,71,D$2)&amp;""),""))</f>
        <v/>
      </c>
      <c r="E72">
        <f>IF(E$2=0,"",IFERROR(TRIM(INDEX('Pegar docentes'!$A$1:$BZ$1001,71,E$2)&amp;""),""))</f>
        <v/>
      </c>
      <c r="F72">
        <f>IF(F$2=0,"",IFERROR(TRIM(INDEX('Pegar docentes'!$A$1:$BZ$1001,71,F$2)&amp;""),""))</f>
        <v/>
      </c>
      <c r="G72">
        <f>IF(G$2=0,"",IFERROR(TRIM(INDEX('Pegar docentes'!$A$1:$BZ$1001,71,G$2)&amp;""),""))</f>
        <v/>
      </c>
      <c r="H72">
        <f>IF(H$2=0,"",IFERROR(TRIM(INDEX('Pegar docentes'!$A$1:$BZ$1001,71,H$2)&amp;""),""))</f>
        <v/>
      </c>
      <c r="I72">
        <f>IF(I$2=0,"",IFERROR(TRIM(INDEX('Pegar docentes'!$A$1:$BZ$1001,71,I$2)&amp;""),""))</f>
        <v/>
      </c>
      <c r="J72">
        <f>IF(J$2=0,"",IFERROR(TRIM(INDEX('Pegar docentes'!$A$1:$BZ$1001,71,J$2)&amp;""),""))</f>
        <v/>
      </c>
      <c r="K72">
        <f>IF(K$2=0,"",IFERROR(TRIM(INDEX('Pegar docentes'!$A$1:$BZ$1001,71,K$2)&amp;""),""))</f>
        <v/>
      </c>
      <c r="L72">
        <f>IF(L$2=0,"",IFERROR(TRIM(INDEX('Pegar docentes'!$A$1:$BZ$1001,71,L$2)&amp;""),""))</f>
        <v/>
      </c>
      <c r="M72">
        <f>IF(M$2=0,"",IFERROR(TRIM(INDEX('Pegar docentes'!$A$1:$BZ$1001,71,M$2)&amp;""),""))</f>
        <v/>
      </c>
      <c r="N72">
        <f>IF(N$2=0,"",IFERROR(TRIM(INDEX('Pegar docentes'!$A$1:$BZ$1001,71,N$2)&amp;""),""))</f>
        <v/>
      </c>
      <c r="O72">
        <f>IF(O$2=0,"",IFERROR(TRIM(INDEX('Pegar docentes'!$A$1:$BZ$1001,71,O$2)&amp;""),""))</f>
        <v/>
      </c>
      <c r="P72">
        <f>IF(P$2=0,"",IFERROR(TRIM(INDEX('Pegar docentes'!$A$1:$BZ$1001,71,P$2)&amp;""),""))</f>
        <v/>
      </c>
      <c r="Q72" s="25">
        <f>IF(OR(D72&lt;&gt;"",H72&lt;&gt;""),1,"")</f>
        <v/>
      </c>
      <c r="R72" s="25">
        <f>IF(Q72=1,IF(ISNUMBER(FIND("#"&amp;MID(D72,1,1)&amp;"#","#0#1#2#3#4#5#6#7#8#9#")),IF(ISNUMBER(FIND("#"&amp;MID(D72,2,1)&amp;"#","#0#1#2#3#4#5#6#7#8#9#")),IF(AND(VALUE(LEFT(D72,2))&gt;=1,VALUE(LEFT(D72,2))&lt;=5),VALUE(LEFT(D72,2)),""),IF(AND(VALUE(LEFT(D72,1))&gt;=1,VALUE(LEFT(D72,1))&lt;=5),VALUE(LEFT(D72,1)),"")),""),"")</f>
        <v/>
      </c>
      <c r="S72" s="25">
        <f>IF(AND(Q72=1,E72&lt;&gt;""),SUBSTITUTE(SUBSTITUTE(SUBSTITUTE(SUBSTITUTE(SUBSTITUTE(SUBSTITUTE(SUBSTITUTE(SUBSTITUTE(SUBSTITUTE(SUBSTITUTE(SUBSTITUTE(SUBSTITUTE(LOWER(TRIM(E72)),"á","a"),"é","e"),"í","i"),"ó","o"),"ú","u"),"ü","u"),"ñ","n"),"à","a"),"è","e"),"ì","i"),"ò","o"),"ù","u"),"")</f>
        <v/>
      </c>
      <c r="T72" s="25">
        <f>IF(AND(Q72=1,G72&lt;&gt;""),SUBSTITUTE(SUBSTITUTE(SUBSTITUTE(SUBSTITUTE(SUBSTITUTE(SUBSTITUTE(SUBSTITUTE(SUBSTITUTE(SUBSTITUTE(SUBSTITUTE(SUBSTITUTE(SUBSTITUTE(LOWER(TRIM(G72)),"á","a"),"é","e"),"í","i"),"ó","o"),"ú","u"),"ü","u"),"ñ","n"),"à","a"),"è","e"),"ì","i"),"ò","o"),"ù","u"),"")</f>
        <v/>
      </c>
      <c r="U72" s="25">
        <f>IF(AND(Q72=1,H72&lt;&gt;""),SUBSTITUTE(SUBSTITUTE(SUBSTITUTE(SUBSTITUTE(SUBSTITUTE(SUBSTITUTE(SUBSTITUTE(SUBSTITUTE(SUBSTITUTE(SUBSTITUTE(SUBSTITUTE(SUBSTITUTE(LOWER(TRIM(H72)),"á","a"),"é","e"),"í","i"),"ó","o"),"ú","u"),"ü","u"),"ñ","n"),"à","a"),"è","e"),"ì","i"),"ò","o"),"ù","u"),"")</f>
        <v/>
      </c>
      <c r="V72" s="25">
        <f>IF(AND(Q72=1,L72&lt;&gt;""),SUBSTITUTE(SUBSTITUTE(SUBSTITUTE(SUBSTITUTE(SUBSTITUTE(SUBSTITUTE(SUBSTITUTE(SUBSTITUTE(SUBSTITUTE(SUBSTITUTE(SUBSTITUTE(SUBSTITUTE(LOWER(TRIM(L72)),"á","a"),"é","e"),"í","i"),"ó","o"),"ú","u"),"ü","u"),"ñ","n"),"à","a"),"è","e"),"ì","i"),"ò","o"),"ù","u"),"")</f>
        <v/>
      </c>
      <c r="W72" s="25">
        <f>IF(AND(Q72=1,I72&lt;&gt;""),SUBSTITUTE(SUBSTITUTE(SUBSTITUTE(SUBSTITUTE(SUBSTITUTE(SUBSTITUTE(SUBSTITUTE(SUBSTITUTE(SUBSTITUTE(SUBSTITUTE(SUBSTITUTE(SUBSTITUTE(LOWER(TRIM(I72)),"á","a"),"é","e"),"í","i"),"ó","o"),"ú","u"),"ü","u"),"ñ","n"),"à","a"),"è","e"),"ì","i"),"ò","o"),"ù","u"),"")</f>
        <v/>
      </c>
      <c r="X72" s="25">
        <f>IF(U72="","",IF(OR(U72="si, en la proxima tarea",U72="si, con cambios"),1,0))</f>
        <v/>
      </c>
      <c r="Y72" s="25">
        <f>IF(AND(Q72=1,A72&lt;&gt;""),IF(IFERROR(COUNTIFS(A$3:A72,"="&amp;SUBSTITUTE(SUBSTITUTE(SUBSTITUTE(A72,"~","~~"),"*","~*"),"?","~?"),Q$3:Q72,1),0)=1,MAX(Y$2:Y71)+1,""),"")</f>
        <v/>
      </c>
      <c r="Z72" s="25">
        <f>IF(Y72="","",COUNTIFS($A$3:$A$1002,"="&amp;SUBSTITUTE(SUBSTITUTE(SUBSTITUTE(A72,"~","~~"),"*","~*"),"?","~?"),$Q$3:$Q$1002,1)*10000-Y72)</f>
        <v/>
      </c>
    </row>
    <row r="73">
      <c r="A73">
        <f>IF(A$2=0,"",IFERROR(TRIM(INDEX('Pegar docentes'!$A$1:$BZ$1001,72,A$2)&amp;""),""))</f>
        <v/>
      </c>
      <c r="B73">
        <f>IF(B$2=0,"",IFERROR(TRIM(INDEX('Pegar docentes'!$A$1:$BZ$1001,72,B$2)&amp;""),""))</f>
        <v/>
      </c>
      <c r="C73">
        <f>IF(C$2=0,"",IFERROR(TRIM(INDEX('Pegar docentes'!$A$1:$BZ$1001,72,C$2)&amp;""),""))</f>
        <v/>
      </c>
      <c r="D73">
        <f>IF(D$2=0,"",IFERROR(TRIM(INDEX('Pegar docentes'!$A$1:$BZ$1001,72,D$2)&amp;""),""))</f>
        <v/>
      </c>
      <c r="E73">
        <f>IF(E$2=0,"",IFERROR(TRIM(INDEX('Pegar docentes'!$A$1:$BZ$1001,72,E$2)&amp;""),""))</f>
        <v/>
      </c>
      <c r="F73">
        <f>IF(F$2=0,"",IFERROR(TRIM(INDEX('Pegar docentes'!$A$1:$BZ$1001,72,F$2)&amp;""),""))</f>
        <v/>
      </c>
      <c r="G73">
        <f>IF(G$2=0,"",IFERROR(TRIM(INDEX('Pegar docentes'!$A$1:$BZ$1001,72,G$2)&amp;""),""))</f>
        <v/>
      </c>
      <c r="H73">
        <f>IF(H$2=0,"",IFERROR(TRIM(INDEX('Pegar docentes'!$A$1:$BZ$1001,72,H$2)&amp;""),""))</f>
        <v/>
      </c>
      <c r="I73">
        <f>IF(I$2=0,"",IFERROR(TRIM(INDEX('Pegar docentes'!$A$1:$BZ$1001,72,I$2)&amp;""),""))</f>
        <v/>
      </c>
      <c r="J73">
        <f>IF(J$2=0,"",IFERROR(TRIM(INDEX('Pegar docentes'!$A$1:$BZ$1001,72,J$2)&amp;""),""))</f>
        <v/>
      </c>
      <c r="K73">
        <f>IF(K$2=0,"",IFERROR(TRIM(INDEX('Pegar docentes'!$A$1:$BZ$1001,72,K$2)&amp;""),""))</f>
        <v/>
      </c>
      <c r="L73">
        <f>IF(L$2=0,"",IFERROR(TRIM(INDEX('Pegar docentes'!$A$1:$BZ$1001,72,L$2)&amp;""),""))</f>
        <v/>
      </c>
      <c r="M73">
        <f>IF(M$2=0,"",IFERROR(TRIM(INDEX('Pegar docentes'!$A$1:$BZ$1001,72,M$2)&amp;""),""))</f>
        <v/>
      </c>
      <c r="N73">
        <f>IF(N$2=0,"",IFERROR(TRIM(INDEX('Pegar docentes'!$A$1:$BZ$1001,72,N$2)&amp;""),""))</f>
        <v/>
      </c>
      <c r="O73">
        <f>IF(O$2=0,"",IFERROR(TRIM(INDEX('Pegar docentes'!$A$1:$BZ$1001,72,O$2)&amp;""),""))</f>
        <v/>
      </c>
      <c r="P73">
        <f>IF(P$2=0,"",IFERROR(TRIM(INDEX('Pegar docentes'!$A$1:$BZ$1001,72,P$2)&amp;""),""))</f>
        <v/>
      </c>
      <c r="Q73" s="25">
        <f>IF(OR(D73&lt;&gt;"",H73&lt;&gt;""),1,"")</f>
        <v/>
      </c>
      <c r="R73" s="25">
        <f>IF(Q73=1,IF(ISNUMBER(FIND("#"&amp;MID(D73,1,1)&amp;"#","#0#1#2#3#4#5#6#7#8#9#")),IF(ISNUMBER(FIND("#"&amp;MID(D73,2,1)&amp;"#","#0#1#2#3#4#5#6#7#8#9#")),IF(AND(VALUE(LEFT(D73,2))&gt;=1,VALUE(LEFT(D73,2))&lt;=5),VALUE(LEFT(D73,2)),""),IF(AND(VALUE(LEFT(D73,1))&gt;=1,VALUE(LEFT(D73,1))&lt;=5),VALUE(LEFT(D73,1)),"")),""),"")</f>
        <v/>
      </c>
      <c r="S73" s="25">
        <f>IF(AND(Q73=1,E73&lt;&gt;""),SUBSTITUTE(SUBSTITUTE(SUBSTITUTE(SUBSTITUTE(SUBSTITUTE(SUBSTITUTE(SUBSTITUTE(SUBSTITUTE(SUBSTITUTE(SUBSTITUTE(SUBSTITUTE(SUBSTITUTE(LOWER(TRIM(E73)),"á","a"),"é","e"),"í","i"),"ó","o"),"ú","u"),"ü","u"),"ñ","n"),"à","a"),"è","e"),"ì","i"),"ò","o"),"ù","u"),"")</f>
        <v/>
      </c>
      <c r="T73" s="25">
        <f>IF(AND(Q73=1,G73&lt;&gt;""),SUBSTITUTE(SUBSTITUTE(SUBSTITUTE(SUBSTITUTE(SUBSTITUTE(SUBSTITUTE(SUBSTITUTE(SUBSTITUTE(SUBSTITUTE(SUBSTITUTE(SUBSTITUTE(SUBSTITUTE(LOWER(TRIM(G73)),"á","a"),"é","e"),"í","i"),"ó","o"),"ú","u"),"ü","u"),"ñ","n"),"à","a"),"è","e"),"ì","i"),"ò","o"),"ù","u"),"")</f>
        <v/>
      </c>
      <c r="U73" s="25">
        <f>IF(AND(Q73=1,H73&lt;&gt;""),SUBSTITUTE(SUBSTITUTE(SUBSTITUTE(SUBSTITUTE(SUBSTITUTE(SUBSTITUTE(SUBSTITUTE(SUBSTITUTE(SUBSTITUTE(SUBSTITUTE(SUBSTITUTE(SUBSTITUTE(LOWER(TRIM(H73)),"á","a"),"é","e"),"í","i"),"ó","o"),"ú","u"),"ü","u"),"ñ","n"),"à","a"),"è","e"),"ì","i"),"ò","o"),"ù","u"),"")</f>
        <v/>
      </c>
      <c r="V73" s="25">
        <f>IF(AND(Q73=1,L73&lt;&gt;""),SUBSTITUTE(SUBSTITUTE(SUBSTITUTE(SUBSTITUTE(SUBSTITUTE(SUBSTITUTE(SUBSTITUTE(SUBSTITUTE(SUBSTITUTE(SUBSTITUTE(SUBSTITUTE(SUBSTITUTE(LOWER(TRIM(L73)),"á","a"),"é","e"),"í","i"),"ó","o"),"ú","u"),"ü","u"),"ñ","n"),"à","a"),"è","e"),"ì","i"),"ò","o"),"ù","u"),"")</f>
        <v/>
      </c>
      <c r="W73" s="25">
        <f>IF(AND(Q73=1,I73&lt;&gt;""),SUBSTITUTE(SUBSTITUTE(SUBSTITUTE(SUBSTITUTE(SUBSTITUTE(SUBSTITUTE(SUBSTITUTE(SUBSTITUTE(SUBSTITUTE(SUBSTITUTE(SUBSTITUTE(SUBSTITUTE(LOWER(TRIM(I73)),"á","a"),"é","e"),"í","i"),"ó","o"),"ú","u"),"ü","u"),"ñ","n"),"à","a"),"è","e"),"ì","i"),"ò","o"),"ù","u"),"")</f>
        <v/>
      </c>
      <c r="X73" s="25">
        <f>IF(U73="","",IF(OR(U73="si, en la proxima tarea",U73="si, con cambios"),1,0))</f>
        <v/>
      </c>
      <c r="Y73" s="25">
        <f>IF(AND(Q73=1,A73&lt;&gt;""),IF(IFERROR(COUNTIFS(A$3:A73,"="&amp;SUBSTITUTE(SUBSTITUTE(SUBSTITUTE(A73,"~","~~"),"*","~*"),"?","~?"),Q$3:Q73,1),0)=1,MAX(Y$2:Y72)+1,""),"")</f>
        <v/>
      </c>
      <c r="Z73" s="25">
        <f>IF(Y73="","",COUNTIFS($A$3:$A$1002,"="&amp;SUBSTITUTE(SUBSTITUTE(SUBSTITUTE(A73,"~","~~"),"*","~*"),"?","~?"),$Q$3:$Q$1002,1)*10000-Y73)</f>
        <v/>
      </c>
    </row>
    <row r="74">
      <c r="A74">
        <f>IF(A$2=0,"",IFERROR(TRIM(INDEX('Pegar docentes'!$A$1:$BZ$1001,73,A$2)&amp;""),""))</f>
        <v/>
      </c>
      <c r="B74">
        <f>IF(B$2=0,"",IFERROR(TRIM(INDEX('Pegar docentes'!$A$1:$BZ$1001,73,B$2)&amp;""),""))</f>
        <v/>
      </c>
      <c r="C74">
        <f>IF(C$2=0,"",IFERROR(TRIM(INDEX('Pegar docentes'!$A$1:$BZ$1001,73,C$2)&amp;""),""))</f>
        <v/>
      </c>
      <c r="D74">
        <f>IF(D$2=0,"",IFERROR(TRIM(INDEX('Pegar docentes'!$A$1:$BZ$1001,73,D$2)&amp;""),""))</f>
        <v/>
      </c>
      <c r="E74">
        <f>IF(E$2=0,"",IFERROR(TRIM(INDEX('Pegar docentes'!$A$1:$BZ$1001,73,E$2)&amp;""),""))</f>
        <v/>
      </c>
      <c r="F74">
        <f>IF(F$2=0,"",IFERROR(TRIM(INDEX('Pegar docentes'!$A$1:$BZ$1001,73,F$2)&amp;""),""))</f>
        <v/>
      </c>
      <c r="G74">
        <f>IF(G$2=0,"",IFERROR(TRIM(INDEX('Pegar docentes'!$A$1:$BZ$1001,73,G$2)&amp;""),""))</f>
        <v/>
      </c>
      <c r="H74">
        <f>IF(H$2=0,"",IFERROR(TRIM(INDEX('Pegar docentes'!$A$1:$BZ$1001,73,H$2)&amp;""),""))</f>
        <v/>
      </c>
      <c r="I74">
        <f>IF(I$2=0,"",IFERROR(TRIM(INDEX('Pegar docentes'!$A$1:$BZ$1001,73,I$2)&amp;""),""))</f>
        <v/>
      </c>
      <c r="J74">
        <f>IF(J$2=0,"",IFERROR(TRIM(INDEX('Pegar docentes'!$A$1:$BZ$1001,73,J$2)&amp;""),""))</f>
        <v/>
      </c>
      <c r="K74">
        <f>IF(K$2=0,"",IFERROR(TRIM(INDEX('Pegar docentes'!$A$1:$BZ$1001,73,K$2)&amp;""),""))</f>
        <v/>
      </c>
      <c r="L74">
        <f>IF(L$2=0,"",IFERROR(TRIM(INDEX('Pegar docentes'!$A$1:$BZ$1001,73,L$2)&amp;""),""))</f>
        <v/>
      </c>
      <c r="M74">
        <f>IF(M$2=0,"",IFERROR(TRIM(INDEX('Pegar docentes'!$A$1:$BZ$1001,73,M$2)&amp;""),""))</f>
        <v/>
      </c>
      <c r="N74">
        <f>IF(N$2=0,"",IFERROR(TRIM(INDEX('Pegar docentes'!$A$1:$BZ$1001,73,N$2)&amp;""),""))</f>
        <v/>
      </c>
      <c r="O74">
        <f>IF(O$2=0,"",IFERROR(TRIM(INDEX('Pegar docentes'!$A$1:$BZ$1001,73,O$2)&amp;""),""))</f>
        <v/>
      </c>
      <c r="P74">
        <f>IF(P$2=0,"",IFERROR(TRIM(INDEX('Pegar docentes'!$A$1:$BZ$1001,73,P$2)&amp;""),""))</f>
        <v/>
      </c>
      <c r="Q74" s="25">
        <f>IF(OR(D74&lt;&gt;"",H74&lt;&gt;""),1,"")</f>
        <v/>
      </c>
      <c r="R74" s="25">
        <f>IF(Q74=1,IF(ISNUMBER(FIND("#"&amp;MID(D74,1,1)&amp;"#","#0#1#2#3#4#5#6#7#8#9#")),IF(ISNUMBER(FIND("#"&amp;MID(D74,2,1)&amp;"#","#0#1#2#3#4#5#6#7#8#9#")),IF(AND(VALUE(LEFT(D74,2))&gt;=1,VALUE(LEFT(D74,2))&lt;=5),VALUE(LEFT(D74,2)),""),IF(AND(VALUE(LEFT(D74,1))&gt;=1,VALUE(LEFT(D74,1))&lt;=5),VALUE(LEFT(D74,1)),"")),""),"")</f>
        <v/>
      </c>
      <c r="S74" s="25">
        <f>IF(AND(Q74=1,E74&lt;&gt;""),SUBSTITUTE(SUBSTITUTE(SUBSTITUTE(SUBSTITUTE(SUBSTITUTE(SUBSTITUTE(SUBSTITUTE(SUBSTITUTE(SUBSTITUTE(SUBSTITUTE(SUBSTITUTE(SUBSTITUTE(LOWER(TRIM(E74)),"á","a"),"é","e"),"í","i"),"ó","o"),"ú","u"),"ü","u"),"ñ","n"),"à","a"),"è","e"),"ì","i"),"ò","o"),"ù","u"),"")</f>
        <v/>
      </c>
      <c r="T74" s="25">
        <f>IF(AND(Q74=1,G74&lt;&gt;""),SUBSTITUTE(SUBSTITUTE(SUBSTITUTE(SUBSTITUTE(SUBSTITUTE(SUBSTITUTE(SUBSTITUTE(SUBSTITUTE(SUBSTITUTE(SUBSTITUTE(SUBSTITUTE(SUBSTITUTE(LOWER(TRIM(G74)),"á","a"),"é","e"),"í","i"),"ó","o"),"ú","u"),"ü","u"),"ñ","n"),"à","a"),"è","e"),"ì","i"),"ò","o"),"ù","u"),"")</f>
        <v/>
      </c>
      <c r="U74" s="25">
        <f>IF(AND(Q74=1,H74&lt;&gt;""),SUBSTITUTE(SUBSTITUTE(SUBSTITUTE(SUBSTITUTE(SUBSTITUTE(SUBSTITUTE(SUBSTITUTE(SUBSTITUTE(SUBSTITUTE(SUBSTITUTE(SUBSTITUTE(SUBSTITUTE(LOWER(TRIM(H74)),"á","a"),"é","e"),"í","i"),"ó","o"),"ú","u"),"ü","u"),"ñ","n"),"à","a"),"è","e"),"ì","i"),"ò","o"),"ù","u"),"")</f>
        <v/>
      </c>
      <c r="V74" s="25">
        <f>IF(AND(Q74=1,L74&lt;&gt;""),SUBSTITUTE(SUBSTITUTE(SUBSTITUTE(SUBSTITUTE(SUBSTITUTE(SUBSTITUTE(SUBSTITUTE(SUBSTITUTE(SUBSTITUTE(SUBSTITUTE(SUBSTITUTE(SUBSTITUTE(LOWER(TRIM(L74)),"á","a"),"é","e"),"í","i"),"ó","o"),"ú","u"),"ü","u"),"ñ","n"),"à","a"),"è","e"),"ì","i"),"ò","o"),"ù","u"),"")</f>
        <v/>
      </c>
      <c r="W74" s="25">
        <f>IF(AND(Q74=1,I74&lt;&gt;""),SUBSTITUTE(SUBSTITUTE(SUBSTITUTE(SUBSTITUTE(SUBSTITUTE(SUBSTITUTE(SUBSTITUTE(SUBSTITUTE(SUBSTITUTE(SUBSTITUTE(SUBSTITUTE(SUBSTITUTE(LOWER(TRIM(I74)),"á","a"),"é","e"),"í","i"),"ó","o"),"ú","u"),"ü","u"),"ñ","n"),"à","a"),"è","e"),"ì","i"),"ò","o"),"ù","u"),"")</f>
        <v/>
      </c>
      <c r="X74" s="25">
        <f>IF(U74="","",IF(OR(U74="si, en la proxima tarea",U74="si, con cambios"),1,0))</f>
        <v/>
      </c>
      <c r="Y74" s="25">
        <f>IF(AND(Q74=1,A74&lt;&gt;""),IF(IFERROR(COUNTIFS(A$3:A74,"="&amp;SUBSTITUTE(SUBSTITUTE(SUBSTITUTE(A74,"~","~~"),"*","~*"),"?","~?"),Q$3:Q74,1),0)=1,MAX(Y$2:Y73)+1,""),"")</f>
        <v/>
      </c>
      <c r="Z74" s="25">
        <f>IF(Y74="","",COUNTIFS($A$3:$A$1002,"="&amp;SUBSTITUTE(SUBSTITUTE(SUBSTITUTE(A74,"~","~~"),"*","~*"),"?","~?"),$Q$3:$Q$1002,1)*10000-Y74)</f>
        <v/>
      </c>
    </row>
    <row r="75">
      <c r="A75">
        <f>IF(A$2=0,"",IFERROR(TRIM(INDEX('Pegar docentes'!$A$1:$BZ$1001,74,A$2)&amp;""),""))</f>
        <v/>
      </c>
      <c r="B75">
        <f>IF(B$2=0,"",IFERROR(TRIM(INDEX('Pegar docentes'!$A$1:$BZ$1001,74,B$2)&amp;""),""))</f>
        <v/>
      </c>
      <c r="C75">
        <f>IF(C$2=0,"",IFERROR(TRIM(INDEX('Pegar docentes'!$A$1:$BZ$1001,74,C$2)&amp;""),""))</f>
        <v/>
      </c>
      <c r="D75">
        <f>IF(D$2=0,"",IFERROR(TRIM(INDEX('Pegar docentes'!$A$1:$BZ$1001,74,D$2)&amp;""),""))</f>
        <v/>
      </c>
      <c r="E75">
        <f>IF(E$2=0,"",IFERROR(TRIM(INDEX('Pegar docentes'!$A$1:$BZ$1001,74,E$2)&amp;""),""))</f>
        <v/>
      </c>
      <c r="F75">
        <f>IF(F$2=0,"",IFERROR(TRIM(INDEX('Pegar docentes'!$A$1:$BZ$1001,74,F$2)&amp;""),""))</f>
        <v/>
      </c>
      <c r="G75">
        <f>IF(G$2=0,"",IFERROR(TRIM(INDEX('Pegar docentes'!$A$1:$BZ$1001,74,G$2)&amp;""),""))</f>
        <v/>
      </c>
      <c r="H75">
        <f>IF(H$2=0,"",IFERROR(TRIM(INDEX('Pegar docentes'!$A$1:$BZ$1001,74,H$2)&amp;""),""))</f>
        <v/>
      </c>
      <c r="I75">
        <f>IF(I$2=0,"",IFERROR(TRIM(INDEX('Pegar docentes'!$A$1:$BZ$1001,74,I$2)&amp;""),""))</f>
        <v/>
      </c>
      <c r="J75">
        <f>IF(J$2=0,"",IFERROR(TRIM(INDEX('Pegar docentes'!$A$1:$BZ$1001,74,J$2)&amp;""),""))</f>
        <v/>
      </c>
      <c r="K75">
        <f>IF(K$2=0,"",IFERROR(TRIM(INDEX('Pegar docentes'!$A$1:$BZ$1001,74,K$2)&amp;""),""))</f>
        <v/>
      </c>
      <c r="L75">
        <f>IF(L$2=0,"",IFERROR(TRIM(INDEX('Pegar docentes'!$A$1:$BZ$1001,74,L$2)&amp;""),""))</f>
        <v/>
      </c>
      <c r="M75">
        <f>IF(M$2=0,"",IFERROR(TRIM(INDEX('Pegar docentes'!$A$1:$BZ$1001,74,M$2)&amp;""),""))</f>
        <v/>
      </c>
      <c r="N75">
        <f>IF(N$2=0,"",IFERROR(TRIM(INDEX('Pegar docentes'!$A$1:$BZ$1001,74,N$2)&amp;""),""))</f>
        <v/>
      </c>
      <c r="O75">
        <f>IF(O$2=0,"",IFERROR(TRIM(INDEX('Pegar docentes'!$A$1:$BZ$1001,74,O$2)&amp;""),""))</f>
        <v/>
      </c>
      <c r="P75">
        <f>IF(P$2=0,"",IFERROR(TRIM(INDEX('Pegar docentes'!$A$1:$BZ$1001,74,P$2)&amp;""),""))</f>
        <v/>
      </c>
      <c r="Q75" s="25">
        <f>IF(OR(D75&lt;&gt;"",H75&lt;&gt;""),1,"")</f>
        <v/>
      </c>
      <c r="R75" s="25">
        <f>IF(Q75=1,IF(ISNUMBER(FIND("#"&amp;MID(D75,1,1)&amp;"#","#0#1#2#3#4#5#6#7#8#9#")),IF(ISNUMBER(FIND("#"&amp;MID(D75,2,1)&amp;"#","#0#1#2#3#4#5#6#7#8#9#")),IF(AND(VALUE(LEFT(D75,2))&gt;=1,VALUE(LEFT(D75,2))&lt;=5),VALUE(LEFT(D75,2)),""),IF(AND(VALUE(LEFT(D75,1))&gt;=1,VALUE(LEFT(D75,1))&lt;=5),VALUE(LEFT(D75,1)),"")),""),"")</f>
        <v/>
      </c>
      <c r="S75" s="25">
        <f>IF(AND(Q75=1,E75&lt;&gt;""),SUBSTITUTE(SUBSTITUTE(SUBSTITUTE(SUBSTITUTE(SUBSTITUTE(SUBSTITUTE(SUBSTITUTE(SUBSTITUTE(SUBSTITUTE(SUBSTITUTE(SUBSTITUTE(SUBSTITUTE(LOWER(TRIM(E75)),"á","a"),"é","e"),"í","i"),"ó","o"),"ú","u"),"ü","u"),"ñ","n"),"à","a"),"è","e"),"ì","i"),"ò","o"),"ù","u"),"")</f>
        <v/>
      </c>
      <c r="T75" s="25">
        <f>IF(AND(Q75=1,G75&lt;&gt;""),SUBSTITUTE(SUBSTITUTE(SUBSTITUTE(SUBSTITUTE(SUBSTITUTE(SUBSTITUTE(SUBSTITUTE(SUBSTITUTE(SUBSTITUTE(SUBSTITUTE(SUBSTITUTE(SUBSTITUTE(LOWER(TRIM(G75)),"á","a"),"é","e"),"í","i"),"ó","o"),"ú","u"),"ü","u"),"ñ","n"),"à","a"),"è","e"),"ì","i"),"ò","o"),"ù","u"),"")</f>
        <v/>
      </c>
      <c r="U75" s="25">
        <f>IF(AND(Q75=1,H75&lt;&gt;""),SUBSTITUTE(SUBSTITUTE(SUBSTITUTE(SUBSTITUTE(SUBSTITUTE(SUBSTITUTE(SUBSTITUTE(SUBSTITUTE(SUBSTITUTE(SUBSTITUTE(SUBSTITUTE(SUBSTITUTE(LOWER(TRIM(H75)),"á","a"),"é","e"),"í","i"),"ó","o"),"ú","u"),"ü","u"),"ñ","n"),"à","a"),"è","e"),"ì","i"),"ò","o"),"ù","u"),"")</f>
        <v/>
      </c>
      <c r="V75" s="25">
        <f>IF(AND(Q75=1,L75&lt;&gt;""),SUBSTITUTE(SUBSTITUTE(SUBSTITUTE(SUBSTITUTE(SUBSTITUTE(SUBSTITUTE(SUBSTITUTE(SUBSTITUTE(SUBSTITUTE(SUBSTITUTE(SUBSTITUTE(SUBSTITUTE(LOWER(TRIM(L75)),"á","a"),"é","e"),"í","i"),"ó","o"),"ú","u"),"ü","u"),"ñ","n"),"à","a"),"è","e"),"ì","i"),"ò","o"),"ù","u"),"")</f>
        <v/>
      </c>
      <c r="W75" s="25">
        <f>IF(AND(Q75=1,I75&lt;&gt;""),SUBSTITUTE(SUBSTITUTE(SUBSTITUTE(SUBSTITUTE(SUBSTITUTE(SUBSTITUTE(SUBSTITUTE(SUBSTITUTE(SUBSTITUTE(SUBSTITUTE(SUBSTITUTE(SUBSTITUTE(LOWER(TRIM(I75)),"á","a"),"é","e"),"í","i"),"ó","o"),"ú","u"),"ü","u"),"ñ","n"),"à","a"),"è","e"),"ì","i"),"ò","o"),"ù","u"),"")</f>
        <v/>
      </c>
      <c r="X75" s="25">
        <f>IF(U75="","",IF(OR(U75="si, en la proxima tarea",U75="si, con cambios"),1,0))</f>
        <v/>
      </c>
      <c r="Y75" s="25">
        <f>IF(AND(Q75=1,A75&lt;&gt;""),IF(IFERROR(COUNTIFS(A$3:A75,"="&amp;SUBSTITUTE(SUBSTITUTE(SUBSTITUTE(A75,"~","~~"),"*","~*"),"?","~?"),Q$3:Q75,1),0)=1,MAX(Y$2:Y74)+1,""),"")</f>
        <v/>
      </c>
      <c r="Z75" s="25">
        <f>IF(Y75="","",COUNTIFS($A$3:$A$1002,"="&amp;SUBSTITUTE(SUBSTITUTE(SUBSTITUTE(A75,"~","~~"),"*","~*"),"?","~?"),$Q$3:$Q$1002,1)*10000-Y75)</f>
        <v/>
      </c>
    </row>
    <row r="76">
      <c r="A76">
        <f>IF(A$2=0,"",IFERROR(TRIM(INDEX('Pegar docentes'!$A$1:$BZ$1001,75,A$2)&amp;""),""))</f>
        <v/>
      </c>
      <c r="B76">
        <f>IF(B$2=0,"",IFERROR(TRIM(INDEX('Pegar docentes'!$A$1:$BZ$1001,75,B$2)&amp;""),""))</f>
        <v/>
      </c>
      <c r="C76">
        <f>IF(C$2=0,"",IFERROR(TRIM(INDEX('Pegar docentes'!$A$1:$BZ$1001,75,C$2)&amp;""),""))</f>
        <v/>
      </c>
      <c r="D76">
        <f>IF(D$2=0,"",IFERROR(TRIM(INDEX('Pegar docentes'!$A$1:$BZ$1001,75,D$2)&amp;""),""))</f>
        <v/>
      </c>
      <c r="E76">
        <f>IF(E$2=0,"",IFERROR(TRIM(INDEX('Pegar docentes'!$A$1:$BZ$1001,75,E$2)&amp;""),""))</f>
        <v/>
      </c>
      <c r="F76">
        <f>IF(F$2=0,"",IFERROR(TRIM(INDEX('Pegar docentes'!$A$1:$BZ$1001,75,F$2)&amp;""),""))</f>
        <v/>
      </c>
      <c r="G76">
        <f>IF(G$2=0,"",IFERROR(TRIM(INDEX('Pegar docentes'!$A$1:$BZ$1001,75,G$2)&amp;""),""))</f>
        <v/>
      </c>
      <c r="H76">
        <f>IF(H$2=0,"",IFERROR(TRIM(INDEX('Pegar docentes'!$A$1:$BZ$1001,75,H$2)&amp;""),""))</f>
        <v/>
      </c>
      <c r="I76">
        <f>IF(I$2=0,"",IFERROR(TRIM(INDEX('Pegar docentes'!$A$1:$BZ$1001,75,I$2)&amp;""),""))</f>
        <v/>
      </c>
      <c r="J76">
        <f>IF(J$2=0,"",IFERROR(TRIM(INDEX('Pegar docentes'!$A$1:$BZ$1001,75,J$2)&amp;""),""))</f>
        <v/>
      </c>
      <c r="K76">
        <f>IF(K$2=0,"",IFERROR(TRIM(INDEX('Pegar docentes'!$A$1:$BZ$1001,75,K$2)&amp;""),""))</f>
        <v/>
      </c>
      <c r="L76">
        <f>IF(L$2=0,"",IFERROR(TRIM(INDEX('Pegar docentes'!$A$1:$BZ$1001,75,L$2)&amp;""),""))</f>
        <v/>
      </c>
      <c r="M76">
        <f>IF(M$2=0,"",IFERROR(TRIM(INDEX('Pegar docentes'!$A$1:$BZ$1001,75,M$2)&amp;""),""))</f>
        <v/>
      </c>
      <c r="N76">
        <f>IF(N$2=0,"",IFERROR(TRIM(INDEX('Pegar docentes'!$A$1:$BZ$1001,75,N$2)&amp;""),""))</f>
        <v/>
      </c>
      <c r="O76">
        <f>IF(O$2=0,"",IFERROR(TRIM(INDEX('Pegar docentes'!$A$1:$BZ$1001,75,O$2)&amp;""),""))</f>
        <v/>
      </c>
      <c r="P76">
        <f>IF(P$2=0,"",IFERROR(TRIM(INDEX('Pegar docentes'!$A$1:$BZ$1001,75,P$2)&amp;""),""))</f>
        <v/>
      </c>
      <c r="Q76" s="25">
        <f>IF(OR(D76&lt;&gt;"",H76&lt;&gt;""),1,"")</f>
        <v/>
      </c>
      <c r="R76" s="25">
        <f>IF(Q76=1,IF(ISNUMBER(FIND("#"&amp;MID(D76,1,1)&amp;"#","#0#1#2#3#4#5#6#7#8#9#")),IF(ISNUMBER(FIND("#"&amp;MID(D76,2,1)&amp;"#","#0#1#2#3#4#5#6#7#8#9#")),IF(AND(VALUE(LEFT(D76,2))&gt;=1,VALUE(LEFT(D76,2))&lt;=5),VALUE(LEFT(D76,2)),""),IF(AND(VALUE(LEFT(D76,1))&gt;=1,VALUE(LEFT(D76,1))&lt;=5),VALUE(LEFT(D76,1)),"")),""),"")</f>
        <v/>
      </c>
      <c r="S76" s="25">
        <f>IF(AND(Q76=1,E76&lt;&gt;""),SUBSTITUTE(SUBSTITUTE(SUBSTITUTE(SUBSTITUTE(SUBSTITUTE(SUBSTITUTE(SUBSTITUTE(SUBSTITUTE(SUBSTITUTE(SUBSTITUTE(SUBSTITUTE(SUBSTITUTE(LOWER(TRIM(E76)),"á","a"),"é","e"),"í","i"),"ó","o"),"ú","u"),"ü","u"),"ñ","n"),"à","a"),"è","e"),"ì","i"),"ò","o"),"ù","u"),"")</f>
        <v/>
      </c>
      <c r="T76" s="25">
        <f>IF(AND(Q76=1,G76&lt;&gt;""),SUBSTITUTE(SUBSTITUTE(SUBSTITUTE(SUBSTITUTE(SUBSTITUTE(SUBSTITUTE(SUBSTITUTE(SUBSTITUTE(SUBSTITUTE(SUBSTITUTE(SUBSTITUTE(SUBSTITUTE(LOWER(TRIM(G76)),"á","a"),"é","e"),"í","i"),"ó","o"),"ú","u"),"ü","u"),"ñ","n"),"à","a"),"è","e"),"ì","i"),"ò","o"),"ù","u"),"")</f>
        <v/>
      </c>
      <c r="U76" s="25">
        <f>IF(AND(Q76=1,H76&lt;&gt;""),SUBSTITUTE(SUBSTITUTE(SUBSTITUTE(SUBSTITUTE(SUBSTITUTE(SUBSTITUTE(SUBSTITUTE(SUBSTITUTE(SUBSTITUTE(SUBSTITUTE(SUBSTITUTE(SUBSTITUTE(LOWER(TRIM(H76)),"á","a"),"é","e"),"í","i"),"ó","o"),"ú","u"),"ü","u"),"ñ","n"),"à","a"),"è","e"),"ì","i"),"ò","o"),"ù","u"),"")</f>
        <v/>
      </c>
      <c r="V76" s="25">
        <f>IF(AND(Q76=1,L76&lt;&gt;""),SUBSTITUTE(SUBSTITUTE(SUBSTITUTE(SUBSTITUTE(SUBSTITUTE(SUBSTITUTE(SUBSTITUTE(SUBSTITUTE(SUBSTITUTE(SUBSTITUTE(SUBSTITUTE(SUBSTITUTE(LOWER(TRIM(L76)),"á","a"),"é","e"),"í","i"),"ó","o"),"ú","u"),"ü","u"),"ñ","n"),"à","a"),"è","e"),"ì","i"),"ò","o"),"ù","u"),"")</f>
        <v/>
      </c>
      <c r="W76" s="25">
        <f>IF(AND(Q76=1,I76&lt;&gt;""),SUBSTITUTE(SUBSTITUTE(SUBSTITUTE(SUBSTITUTE(SUBSTITUTE(SUBSTITUTE(SUBSTITUTE(SUBSTITUTE(SUBSTITUTE(SUBSTITUTE(SUBSTITUTE(SUBSTITUTE(LOWER(TRIM(I76)),"á","a"),"é","e"),"í","i"),"ó","o"),"ú","u"),"ü","u"),"ñ","n"),"à","a"),"è","e"),"ì","i"),"ò","o"),"ù","u"),"")</f>
        <v/>
      </c>
      <c r="X76" s="25">
        <f>IF(U76="","",IF(OR(U76="si, en la proxima tarea",U76="si, con cambios"),1,0))</f>
        <v/>
      </c>
      <c r="Y76" s="25">
        <f>IF(AND(Q76=1,A76&lt;&gt;""),IF(IFERROR(COUNTIFS(A$3:A76,"="&amp;SUBSTITUTE(SUBSTITUTE(SUBSTITUTE(A76,"~","~~"),"*","~*"),"?","~?"),Q$3:Q76,1),0)=1,MAX(Y$2:Y75)+1,""),"")</f>
        <v/>
      </c>
      <c r="Z76" s="25">
        <f>IF(Y76="","",COUNTIFS($A$3:$A$1002,"="&amp;SUBSTITUTE(SUBSTITUTE(SUBSTITUTE(A76,"~","~~"),"*","~*"),"?","~?"),$Q$3:$Q$1002,1)*10000-Y76)</f>
        <v/>
      </c>
    </row>
    <row r="77">
      <c r="A77">
        <f>IF(A$2=0,"",IFERROR(TRIM(INDEX('Pegar docentes'!$A$1:$BZ$1001,76,A$2)&amp;""),""))</f>
        <v/>
      </c>
      <c r="B77">
        <f>IF(B$2=0,"",IFERROR(TRIM(INDEX('Pegar docentes'!$A$1:$BZ$1001,76,B$2)&amp;""),""))</f>
        <v/>
      </c>
      <c r="C77">
        <f>IF(C$2=0,"",IFERROR(TRIM(INDEX('Pegar docentes'!$A$1:$BZ$1001,76,C$2)&amp;""),""))</f>
        <v/>
      </c>
      <c r="D77">
        <f>IF(D$2=0,"",IFERROR(TRIM(INDEX('Pegar docentes'!$A$1:$BZ$1001,76,D$2)&amp;""),""))</f>
        <v/>
      </c>
      <c r="E77">
        <f>IF(E$2=0,"",IFERROR(TRIM(INDEX('Pegar docentes'!$A$1:$BZ$1001,76,E$2)&amp;""),""))</f>
        <v/>
      </c>
      <c r="F77">
        <f>IF(F$2=0,"",IFERROR(TRIM(INDEX('Pegar docentes'!$A$1:$BZ$1001,76,F$2)&amp;""),""))</f>
        <v/>
      </c>
      <c r="G77">
        <f>IF(G$2=0,"",IFERROR(TRIM(INDEX('Pegar docentes'!$A$1:$BZ$1001,76,G$2)&amp;""),""))</f>
        <v/>
      </c>
      <c r="H77">
        <f>IF(H$2=0,"",IFERROR(TRIM(INDEX('Pegar docentes'!$A$1:$BZ$1001,76,H$2)&amp;""),""))</f>
        <v/>
      </c>
      <c r="I77">
        <f>IF(I$2=0,"",IFERROR(TRIM(INDEX('Pegar docentes'!$A$1:$BZ$1001,76,I$2)&amp;""),""))</f>
        <v/>
      </c>
      <c r="J77">
        <f>IF(J$2=0,"",IFERROR(TRIM(INDEX('Pegar docentes'!$A$1:$BZ$1001,76,J$2)&amp;""),""))</f>
        <v/>
      </c>
      <c r="K77">
        <f>IF(K$2=0,"",IFERROR(TRIM(INDEX('Pegar docentes'!$A$1:$BZ$1001,76,K$2)&amp;""),""))</f>
        <v/>
      </c>
      <c r="L77">
        <f>IF(L$2=0,"",IFERROR(TRIM(INDEX('Pegar docentes'!$A$1:$BZ$1001,76,L$2)&amp;""),""))</f>
        <v/>
      </c>
      <c r="M77">
        <f>IF(M$2=0,"",IFERROR(TRIM(INDEX('Pegar docentes'!$A$1:$BZ$1001,76,M$2)&amp;""),""))</f>
        <v/>
      </c>
      <c r="N77">
        <f>IF(N$2=0,"",IFERROR(TRIM(INDEX('Pegar docentes'!$A$1:$BZ$1001,76,N$2)&amp;""),""))</f>
        <v/>
      </c>
      <c r="O77">
        <f>IF(O$2=0,"",IFERROR(TRIM(INDEX('Pegar docentes'!$A$1:$BZ$1001,76,O$2)&amp;""),""))</f>
        <v/>
      </c>
      <c r="P77">
        <f>IF(P$2=0,"",IFERROR(TRIM(INDEX('Pegar docentes'!$A$1:$BZ$1001,76,P$2)&amp;""),""))</f>
        <v/>
      </c>
      <c r="Q77" s="25">
        <f>IF(OR(D77&lt;&gt;"",H77&lt;&gt;""),1,"")</f>
        <v/>
      </c>
      <c r="R77" s="25">
        <f>IF(Q77=1,IF(ISNUMBER(FIND("#"&amp;MID(D77,1,1)&amp;"#","#0#1#2#3#4#5#6#7#8#9#")),IF(ISNUMBER(FIND("#"&amp;MID(D77,2,1)&amp;"#","#0#1#2#3#4#5#6#7#8#9#")),IF(AND(VALUE(LEFT(D77,2))&gt;=1,VALUE(LEFT(D77,2))&lt;=5),VALUE(LEFT(D77,2)),""),IF(AND(VALUE(LEFT(D77,1))&gt;=1,VALUE(LEFT(D77,1))&lt;=5),VALUE(LEFT(D77,1)),"")),""),"")</f>
        <v/>
      </c>
      <c r="S77" s="25">
        <f>IF(AND(Q77=1,E77&lt;&gt;""),SUBSTITUTE(SUBSTITUTE(SUBSTITUTE(SUBSTITUTE(SUBSTITUTE(SUBSTITUTE(SUBSTITUTE(SUBSTITUTE(SUBSTITUTE(SUBSTITUTE(SUBSTITUTE(SUBSTITUTE(LOWER(TRIM(E77)),"á","a"),"é","e"),"í","i"),"ó","o"),"ú","u"),"ü","u"),"ñ","n"),"à","a"),"è","e"),"ì","i"),"ò","o"),"ù","u"),"")</f>
        <v/>
      </c>
      <c r="T77" s="25">
        <f>IF(AND(Q77=1,G77&lt;&gt;""),SUBSTITUTE(SUBSTITUTE(SUBSTITUTE(SUBSTITUTE(SUBSTITUTE(SUBSTITUTE(SUBSTITUTE(SUBSTITUTE(SUBSTITUTE(SUBSTITUTE(SUBSTITUTE(SUBSTITUTE(LOWER(TRIM(G77)),"á","a"),"é","e"),"í","i"),"ó","o"),"ú","u"),"ü","u"),"ñ","n"),"à","a"),"è","e"),"ì","i"),"ò","o"),"ù","u"),"")</f>
        <v/>
      </c>
      <c r="U77" s="25">
        <f>IF(AND(Q77=1,H77&lt;&gt;""),SUBSTITUTE(SUBSTITUTE(SUBSTITUTE(SUBSTITUTE(SUBSTITUTE(SUBSTITUTE(SUBSTITUTE(SUBSTITUTE(SUBSTITUTE(SUBSTITUTE(SUBSTITUTE(SUBSTITUTE(LOWER(TRIM(H77)),"á","a"),"é","e"),"í","i"),"ó","o"),"ú","u"),"ü","u"),"ñ","n"),"à","a"),"è","e"),"ì","i"),"ò","o"),"ù","u"),"")</f>
        <v/>
      </c>
      <c r="V77" s="25">
        <f>IF(AND(Q77=1,L77&lt;&gt;""),SUBSTITUTE(SUBSTITUTE(SUBSTITUTE(SUBSTITUTE(SUBSTITUTE(SUBSTITUTE(SUBSTITUTE(SUBSTITUTE(SUBSTITUTE(SUBSTITUTE(SUBSTITUTE(SUBSTITUTE(LOWER(TRIM(L77)),"á","a"),"é","e"),"í","i"),"ó","o"),"ú","u"),"ü","u"),"ñ","n"),"à","a"),"è","e"),"ì","i"),"ò","o"),"ù","u"),"")</f>
        <v/>
      </c>
      <c r="W77" s="25">
        <f>IF(AND(Q77=1,I77&lt;&gt;""),SUBSTITUTE(SUBSTITUTE(SUBSTITUTE(SUBSTITUTE(SUBSTITUTE(SUBSTITUTE(SUBSTITUTE(SUBSTITUTE(SUBSTITUTE(SUBSTITUTE(SUBSTITUTE(SUBSTITUTE(LOWER(TRIM(I77)),"á","a"),"é","e"),"í","i"),"ó","o"),"ú","u"),"ü","u"),"ñ","n"),"à","a"),"è","e"),"ì","i"),"ò","o"),"ù","u"),"")</f>
        <v/>
      </c>
      <c r="X77" s="25">
        <f>IF(U77="","",IF(OR(U77="si, en la proxima tarea",U77="si, con cambios"),1,0))</f>
        <v/>
      </c>
      <c r="Y77" s="25">
        <f>IF(AND(Q77=1,A77&lt;&gt;""),IF(IFERROR(COUNTIFS(A$3:A77,"="&amp;SUBSTITUTE(SUBSTITUTE(SUBSTITUTE(A77,"~","~~"),"*","~*"),"?","~?"),Q$3:Q77,1),0)=1,MAX(Y$2:Y76)+1,""),"")</f>
        <v/>
      </c>
      <c r="Z77" s="25">
        <f>IF(Y77="","",COUNTIFS($A$3:$A$1002,"="&amp;SUBSTITUTE(SUBSTITUTE(SUBSTITUTE(A77,"~","~~"),"*","~*"),"?","~?"),$Q$3:$Q$1002,1)*10000-Y77)</f>
        <v/>
      </c>
    </row>
    <row r="78">
      <c r="A78">
        <f>IF(A$2=0,"",IFERROR(TRIM(INDEX('Pegar docentes'!$A$1:$BZ$1001,77,A$2)&amp;""),""))</f>
        <v/>
      </c>
      <c r="B78">
        <f>IF(B$2=0,"",IFERROR(TRIM(INDEX('Pegar docentes'!$A$1:$BZ$1001,77,B$2)&amp;""),""))</f>
        <v/>
      </c>
      <c r="C78">
        <f>IF(C$2=0,"",IFERROR(TRIM(INDEX('Pegar docentes'!$A$1:$BZ$1001,77,C$2)&amp;""),""))</f>
        <v/>
      </c>
      <c r="D78">
        <f>IF(D$2=0,"",IFERROR(TRIM(INDEX('Pegar docentes'!$A$1:$BZ$1001,77,D$2)&amp;""),""))</f>
        <v/>
      </c>
      <c r="E78">
        <f>IF(E$2=0,"",IFERROR(TRIM(INDEX('Pegar docentes'!$A$1:$BZ$1001,77,E$2)&amp;""),""))</f>
        <v/>
      </c>
      <c r="F78">
        <f>IF(F$2=0,"",IFERROR(TRIM(INDEX('Pegar docentes'!$A$1:$BZ$1001,77,F$2)&amp;""),""))</f>
        <v/>
      </c>
      <c r="G78">
        <f>IF(G$2=0,"",IFERROR(TRIM(INDEX('Pegar docentes'!$A$1:$BZ$1001,77,G$2)&amp;""),""))</f>
        <v/>
      </c>
      <c r="H78">
        <f>IF(H$2=0,"",IFERROR(TRIM(INDEX('Pegar docentes'!$A$1:$BZ$1001,77,H$2)&amp;""),""))</f>
        <v/>
      </c>
      <c r="I78">
        <f>IF(I$2=0,"",IFERROR(TRIM(INDEX('Pegar docentes'!$A$1:$BZ$1001,77,I$2)&amp;""),""))</f>
        <v/>
      </c>
      <c r="J78">
        <f>IF(J$2=0,"",IFERROR(TRIM(INDEX('Pegar docentes'!$A$1:$BZ$1001,77,J$2)&amp;""),""))</f>
        <v/>
      </c>
      <c r="K78">
        <f>IF(K$2=0,"",IFERROR(TRIM(INDEX('Pegar docentes'!$A$1:$BZ$1001,77,K$2)&amp;""),""))</f>
        <v/>
      </c>
      <c r="L78">
        <f>IF(L$2=0,"",IFERROR(TRIM(INDEX('Pegar docentes'!$A$1:$BZ$1001,77,L$2)&amp;""),""))</f>
        <v/>
      </c>
      <c r="M78">
        <f>IF(M$2=0,"",IFERROR(TRIM(INDEX('Pegar docentes'!$A$1:$BZ$1001,77,M$2)&amp;""),""))</f>
        <v/>
      </c>
      <c r="N78">
        <f>IF(N$2=0,"",IFERROR(TRIM(INDEX('Pegar docentes'!$A$1:$BZ$1001,77,N$2)&amp;""),""))</f>
        <v/>
      </c>
      <c r="O78">
        <f>IF(O$2=0,"",IFERROR(TRIM(INDEX('Pegar docentes'!$A$1:$BZ$1001,77,O$2)&amp;""),""))</f>
        <v/>
      </c>
      <c r="P78">
        <f>IF(P$2=0,"",IFERROR(TRIM(INDEX('Pegar docentes'!$A$1:$BZ$1001,77,P$2)&amp;""),""))</f>
        <v/>
      </c>
      <c r="Q78" s="25">
        <f>IF(OR(D78&lt;&gt;"",H78&lt;&gt;""),1,"")</f>
        <v/>
      </c>
      <c r="R78" s="25">
        <f>IF(Q78=1,IF(ISNUMBER(FIND("#"&amp;MID(D78,1,1)&amp;"#","#0#1#2#3#4#5#6#7#8#9#")),IF(ISNUMBER(FIND("#"&amp;MID(D78,2,1)&amp;"#","#0#1#2#3#4#5#6#7#8#9#")),IF(AND(VALUE(LEFT(D78,2))&gt;=1,VALUE(LEFT(D78,2))&lt;=5),VALUE(LEFT(D78,2)),""),IF(AND(VALUE(LEFT(D78,1))&gt;=1,VALUE(LEFT(D78,1))&lt;=5),VALUE(LEFT(D78,1)),"")),""),"")</f>
        <v/>
      </c>
      <c r="S78" s="25">
        <f>IF(AND(Q78=1,E78&lt;&gt;""),SUBSTITUTE(SUBSTITUTE(SUBSTITUTE(SUBSTITUTE(SUBSTITUTE(SUBSTITUTE(SUBSTITUTE(SUBSTITUTE(SUBSTITUTE(SUBSTITUTE(SUBSTITUTE(SUBSTITUTE(LOWER(TRIM(E78)),"á","a"),"é","e"),"í","i"),"ó","o"),"ú","u"),"ü","u"),"ñ","n"),"à","a"),"è","e"),"ì","i"),"ò","o"),"ù","u"),"")</f>
        <v/>
      </c>
      <c r="T78" s="25">
        <f>IF(AND(Q78=1,G78&lt;&gt;""),SUBSTITUTE(SUBSTITUTE(SUBSTITUTE(SUBSTITUTE(SUBSTITUTE(SUBSTITUTE(SUBSTITUTE(SUBSTITUTE(SUBSTITUTE(SUBSTITUTE(SUBSTITUTE(SUBSTITUTE(LOWER(TRIM(G78)),"á","a"),"é","e"),"í","i"),"ó","o"),"ú","u"),"ü","u"),"ñ","n"),"à","a"),"è","e"),"ì","i"),"ò","o"),"ù","u"),"")</f>
        <v/>
      </c>
      <c r="U78" s="25">
        <f>IF(AND(Q78=1,H78&lt;&gt;""),SUBSTITUTE(SUBSTITUTE(SUBSTITUTE(SUBSTITUTE(SUBSTITUTE(SUBSTITUTE(SUBSTITUTE(SUBSTITUTE(SUBSTITUTE(SUBSTITUTE(SUBSTITUTE(SUBSTITUTE(LOWER(TRIM(H78)),"á","a"),"é","e"),"í","i"),"ó","o"),"ú","u"),"ü","u"),"ñ","n"),"à","a"),"è","e"),"ì","i"),"ò","o"),"ù","u"),"")</f>
        <v/>
      </c>
      <c r="V78" s="25">
        <f>IF(AND(Q78=1,L78&lt;&gt;""),SUBSTITUTE(SUBSTITUTE(SUBSTITUTE(SUBSTITUTE(SUBSTITUTE(SUBSTITUTE(SUBSTITUTE(SUBSTITUTE(SUBSTITUTE(SUBSTITUTE(SUBSTITUTE(SUBSTITUTE(LOWER(TRIM(L78)),"á","a"),"é","e"),"í","i"),"ó","o"),"ú","u"),"ü","u"),"ñ","n"),"à","a"),"è","e"),"ì","i"),"ò","o"),"ù","u"),"")</f>
        <v/>
      </c>
      <c r="W78" s="25">
        <f>IF(AND(Q78=1,I78&lt;&gt;""),SUBSTITUTE(SUBSTITUTE(SUBSTITUTE(SUBSTITUTE(SUBSTITUTE(SUBSTITUTE(SUBSTITUTE(SUBSTITUTE(SUBSTITUTE(SUBSTITUTE(SUBSTITUTE(SUBSTITUTE(LOWER(TRIM(I78)),"á","a"),"é","e"),"í","i"),"ó","o"),"ú","u"),"ü","u"),"ñ","n"),"à","a"),"è","e"),"ì","i"),"ò","o"),"ù","u"),"")</f>
        <v/>
      </c>
      <c r="X78" s="25">
        <f>IF(U78="","",IF(OR(U78="si, en la proxima tarea",U78="si, con cambios"),1,0))</f>
        <v/>
      </c>
      <c r="Y78" s="25">
        <f>IF(AND(Q78=1,A78&lt;&gt;""),IF(IFERROR(COUNTIFS(A$3:A78,"="&amp;SUBSTITUTE(SUBSTITUTE(SUBSTITUTE(A78,"~","~~"),"*","~*"),"?","~?"),Q$3:Q78,1),0)=1,MAX(Y$2:Y77)+1,""),"")</f>
        <v/>
      </c>
      <c r="Z78" s="25">
        <f>IF(Y78="","",COUNTIFS($A$3:$A$1002,"="&amp;SUBSTITUTE(SUBSTITUTE(SUBSTITUTE(A78,"~","~~"),"*","~*"),"?","~?"),$Q$3:$Q$1002,1)*10000-Y78)</f>
        <v/>
      </c>
    </row>
    <row r="79">
      <c r="A79">
        <f>IF(A$2=0,"",IFERROR(TRIM(INDEX('Pegar docentes'!$A$1:$BZ$1001,78,A$2)&amp;""),""))</f>
        <v/>
      </c>
      <c r="B79">
        <f>IF(B$2=0,"",IFERROR(TRIM(INDEX('Pegar docentes'!$A$1:$BZ$1001,78,B$2)&amp;""),""))</f>
        <v/>
      </c>
      <c r="C79">
        <f>IF(C$2=0,"",IFERROR(TRIM(INDEX('Pegar docentes'!$A$1:$BZ$1001,78,C$2)&amp;""),""))</f>
        <v/>
      </c>
      <c r="D79">
        <f>IF(D$2=0,"",IFERROR(TRIM(INDEX('Pegar docentes'!$A$1:$BZ$1001,78,D$2)&amp;""),""))</f>
        <v/>
      </c>
      <c r="E79">
        <f>IF(E$2=0,"",IFERROR(TRIM(INDEX('Pegar docentes'!$A$1:$BZ$1001,78,E$2)&amp;""),""))</f>
        <v/>
      </c>
      <c r="F79">
        <f>IF(F$2=0,"",IFERROR(TRIM(INDEX('Pegar docentes'!$A$1:$BZ$1001,78,F$2)&amp;""),""))</f>
        <v/>
      </c>
      <c r="G79">
        <f>IF(G$2=0,"",IFERROR(TRIM(INDEX('Pegar docentes'!$A$1:$BZ$1001,78,G$2)&amp;""),""))</f>
        <v/>
      </c>
      <c r="H79">
        <f>IF(H$2=0,"",IFERROR(TRIM(INDEX('Pegar docentes'!$A$1:$BZ$1001,78,H$2)&amp;""),""))</f>
        <v/>
      </c>
      <c r="I79">
        <f>IF(I$2=0,"",IFERROR(TRIM(INDEX('Pegar docentes'!$A$1:$BZ$1001,78,I$2)&amp;""),""))</f>
        <v/>
      </c>
      <c r="J79">
        <f>IF(J$2=0,"",IFERROR(TRIM(INDEX('Pegar docentes'!$A$1:$BZ$1001,78,J$2)&amp;""),""))</f>
        <v/>
      </c>
      <c r="K79">
        <f>IF(K$2=0,"",IFERROR(TRIM(INDEX('Pegar docentes'!$A$1:$BZ$1001,78,K$2)&amp;""),""))</f>
        <v/>
      </c>
      <c r="L79">
        <f>IF(L$2=0,"",IFERROR(TRIM(INDEX('Pegar docentes'!$A$1:$BZ$1001,78,L$2)&amp;""),""))</f>
        <v/>
      </c>
      <c r="M79">
        <f>IF(M$2=0,"",IFERROR(TRIM(INDEX('Pegar docentes'!$A$1:$BZ$1001,78,M$2)&amp;""),""))</f>
        <v/>
      </c>
      <c r="N79">
        <f>IF(N$2=0,"",IFERROR(TRIM(INDEX('Pegar docentes'!$A$1:$BZ$1001,78,N$2)&amp;""),""))</f>
        <v/>
      </c>
      <c r="O79">
        <f>IF(O$2=0,"",IFERROR(TRIM(INDEX('Pegar docentes'!$A$1:$BZ$1001,78,O$2)&amp;""),""))</f>
        <v/>
      </c>
      <c r="P79">
        <f>IF(P$2=0,"",IFERROR(TRIM(INDEX('Pegar docentes'!$A$1:$BZ$1001,78,P$2)&amp;""),""))</f>
        <v/>
      </c>
      <c r="Q79" s="25">
        <f>IF(OR(D79&lt;&gt;"",H79&lt;&gt;""),1,"")</f>
        <v/>
      </c>
      <c r="R79" s="25">
        <f>IF(Q79=1,IF(ISNUMBER(FIND("#"&amp;MID(D79,1,1)&amp;"#","#0#1#2#3#4#5#6#7#8#9#")),IF(ISNUMBER(FIND("#"&amp;MID(D79,2,1)&amp;"#","#0#1#2#3#4#5#6#7#8#9#")),IF(AND(VALUE(LEFT(D79,2))&gt;=1,VALUE(LEFT(D79,2))&lt;=5),VALUE(LEFT(D79,2)),""),IF(AND(VALUE(LEFT(D79,1))&gt;=1,VALUE(LEFT(D79,1))&lt;=5),VALUE(LEFT(D79,1)),"")),""),"")</f>
        <v/>
      </c>
      <c r="S79" s="25">
        <f>IF(AND(Q79=1,E79&lt;&gt;""),SUBSTITUTE(SUBSTITUTE(SUBSTITUTE(SUBSTITUTE(SUBSTITUTE(SUBSTITUTE(SUBSTITUTE(SUBSTITUTE(SUBSTITUTE(SUBSTITUTE(SUBSTITUTE(SUBSTITUTE(LOWER(TRIM(E79)),"á","a"),"é","e"),"í","i"),"ó","o"),"ú","u"),"ü","u"),"ñ","n"),"à","a"),"è","e"),"ì","i"),"ò","o"),"ù","u"),"")</f>
        <v/>
      </c>
      <c r="T79" s="25">
        <f>IF(AND(Q79=1,G79&lt;&gt;""),SUBSTITUTE(SUBSTITUTE(SUBSTITUTE(SUBSTITUTE(SUBSTITUTE(SUBSTITUTE(SUBSTITUTE(SUBSTITUTE(SUBSTITUTE(SUBSTITUTE(SUBSTITUTE(SUBSTITUTE(LOWER(TRIM(G79)),"á","a"),"é","e"),"í","i"),"ó","o"),"ú","u"),"ü","u"),"ñ","n"),"à","a"),"è","e"),"ì","i"),"ò","o"),"ù","u"),"")</f>
        <v/>
      </c>
      <c r="U79" s="25">
        <f>IF(AND(Q79=1,H79&lt;&gt;""),SUBSTITUTE(SUBSTITUTE(SUBSTITUTE(SUBSTITUTE(SUBSTITUTE(SUBSTITUTE(SUBSTITUTE(SUBSTITUTE(SUBSTITUTE(SUBSTITUTE(SUBSTITUTE(SUBSTITUTE(LOWER(TRIM(H79)),"á","a"),"é","e"),"í","i"),"ó","o"),"ú","u"),"ü","u"),"ñ","n"),"à","a"),"è","e"),"ì","i"),"ò","o"),"ù","u"),"")</f>
        <v/>
      </c>
      <c r="V79" s="25">
        <f>IF(AND(Q79=1,L79&lt;&gt;""),SUBSTITUTE(SUBSTITUTE(SUBSTITUTE(SUBSTITUTE(SUBSTITUTE(SUBSTITUTE(SUBSTITUTE(SUBSTITUTE(SUBSTITUTE(SUBSTITUTE(SUBSTITUTE(SUBSTITUTE(LOWER(TRIM(L79)),"á","a"),"é","e"),"í","i"),"ó","o"),"ú","u"),"ü","u"),"ñ","n"),"à","a"),"è","e"),"ì","i"),"ò","o"),"ù","u"),"")</f>
        <v/>
      </c>
      <c r="W79" s="25">
        <f>IF(AND(Q79=1,I79&lt;&gt;""),SUBSTITUTE(SUBSTITUTE(SUBSTITUTE(SUBSTITUTE(SUBSTITUTE(SUBSTITUTE(SUBSTITUTE(SUBSTITUTE(SUBSTITUTE(SUBSTITUTE(SUBSTITUTE(SUBSTITUTE(LOWER(TRIM(I79)),"á","a"),"é","e"),"í","i"),"ó","o"),"ú","u"),"ü","u"),"ñ","n"),"à","a"),"è","e"),"ì","i"),"ò","o"),"ù","u"),"")</f>
        <v/>
      </c>
      <c r="X79" s="25">
        <f>IF(U79="","",IF(OR(U79="si, en la proxima tarea",U79="si, con cambios"),1,0))</f>
        <v/>
      </c>
      <c r="Y79" s="25">
        <f>IF(AND(Q79=1,A79&lt;&gt;""),IF(IFERROR(COUNTIFS(A$3:A79,"="&amp;SUBSTITUTE(SUBSTITUTE(SUBSTITUTE(A79,"~","~~"),"*","~*"),"?","~?"),Q$3:Q79,1),0)=1,MAX(Y$2:Y78)+1,""),"")</f>
        <v/>
      </c>
      <c r="Z79" s="25">
        <f>IF(Y79="","",COUNTIFS($A$3:$A$1002,"="&amp;SUBSTITUTE(SUBSTITUTE(SUBSTITUTE(A79,"~","~~"),"*","~*"),"?","~?"),$Q$3:$Q$1002,1)*10000-Y79)</f>
        <v/>
      </c>
    </row>
    <row r="80">
      <c r="A80">
        <f>IF(A$2=0,"",IFERROR(TRIM(INDEX('Pegar docentes'!$A$1:$BZ$1001,79,A$2)&amp;""),""))</f>
        <v/>
      </c>
      <c r="B80">
        <f>IF(B$2=0,"",IFERROR(TRIM(INDEX('Pegar docentes'!$A$1:$BZ$1001,79,B$2)&amp;""),""))</f>
        <v/>
      </c>
      <c r="C80">
        <f>IF(C$2=0,"",IFERROR(TRIM(INDEX('Pegar docentes'!$A$1:$BZ$1001,79,C$2)&amp;""),""))</f>
        <v/>
      </c>
      <c r="D80">
        <f>IF(D$2=0,"",IFERROR(TRIM(INDEX('Pegar docentes'!$A$1:$BZ$1001,79,D$2)&amp;""),""))</f>
        <v/>
      </c>
      <c r="E80">
        <f>IF(E$2=0,"",IFERROR(TRIM(INDEX('Pegar docentes'!$A$1:$BZ$1001,79,E$2)&amp;""),""))</f>
        <v/>
      </c>
      <c r="F80">
        <f>IF(F$2=0,"",IFERROR(TRIM(INDEX('Pegar docentes'!$A$1:$BZ$1001,79,F$2)&amp;""),""))</f>
        <v/>
      </c>
      <c r="G80">
        <f>IF(G$2=0,"",IFERROR(TRIM(INDEX('Pegar docentes'!$A$1:$BZ$1001,79,G$2)&amp;""),""))</f>
        <v/>
      </c>
      <c r="H80">
        <f>IF(H$2=0,"",IFERROR(TRIM(INDEX('Pegar docentes'!$A$1:$BZ$1001,79,H$2)&amp;""),""))</f>
        <v/>
      </c>
      <c r="I80">
        <f>IF(I$2=0,"",IFERROR(TRIM(INDEX('Pegar docentes'!$A$1:$BZ$1001,79,I$2)&amp;""),""))</f>
        <v/>
      </c>
      <c r="J80">
        <f>IF(J$2=0,"",IFERROR(TRIM(INDEX('Pegar docentes'!$A$1:$BZ$1001,79,J$2)&amp;""),""))</f>
        <v/>
      </c>
      <c r="K80">
        <f>IF(K$2=0,"",IFERROR(TRIM(INDEX('Pegar docentes'!$A$1:$BZ$1001,79,K$2)&amp;""),""))</f>
        <v/>
      </c>
      <c r="L80">
        <f>IF(L$2=0,"",IFERROR(TRIM(INDEX('Pegar docentes'!$A$1:$BZ$1001,79,L$2)&amp;""),""))</f>
        <v/>
      </c>
      <c r="M80">
        <f>IF(M$2=0,"",IFERROR(TRIM(INDEX('Pegar docentes'!$A$1:$BZ$1001,79,M$2)&amp;""),""))</f>
        <v/>
      </c>
      <c r="N80">
        <f>IF(N$2=0,"",IFERROR(TRIM(INDEX('Pegar docentes'!$A$1:$BZ$1001,79,N$2)&amp;""),""))</f>
        <v/>
      </c>
      <c r="O80">
        <f>IF(O$2=0,"",IFERROR(TRIM(INDEX('Pegar docentes'!$A$1:$BZ$1001,79,O$2)&amp;""),""))</f>
        <v/>
      </c>
      <c r="P80">
        <f>IF(P$2=0,"",IFERROR(TRIM(INDEX('Pegar docentes'!$A$1:$BZ$1001,79,P$2)&amp;""),""))</f>
        <v/>
      </c>
      <c r="Q80" s="25">
        <f>IF(OR(D80&lt;&gt;"",H80&lt;&gt;""),1,"")</f>
        <v/>
      </c>
      <c r="R80" s="25">
        <f>IF(Q80=1,IF(ISNUMBER(FIND("#"&amp;MID(D80,1,1)&amp;"#","#0#1#2#3#4#5#6#7#8#9#")),IF(ISNUMBER(FIND("#"&amp;MID(D80,2,1)&amp;"#","#0#1#2#3#4#5#6#7#8#9#")),IF(AND(VALUE(LEFT(D80,2))&gt;=1,VALUE(LEFT(D80,2))&lt;=5),VALUE(LEFT(D80,2)),""),IF(AND(VALUE(LEFT(D80,1))&gt;=1,VALUE(LEFT(D80,1))&lt;=5),VALUE(LEFT(D80,1)),"")),""),"")</f>
        <v/>
      </c>
      <c r="S80" s="25">
        <f>IF(AND(Q80=1,E80&lt;&gt;""),SUBSTITUTE(SUBSTITUTE(SUBSTITUTE(SUBSTITUTE(SUBSTITUTE(SUBSTITUTE(SUBSTITUTE(SUBSTITUTE(SUBSTITUTE(SUBSTITUTE(SUBSTITUTE(SUBSTITUTE(LOWER(TRIM(E80)),"á","a"),"é","e"),"í","i"),"ó","o"),"ú","u"),"ü","u"),"ñ","n"),"à","a"),"è","e"),"ì","i"),"ò","o"),"ù","u"),"")</f>
        <v/>
      </c>
      <c r="T80" s="25">
        <f>IF(AND(Q80=1,G80&lt;&gt;""),SUBSTITUTE(SUBSTITUTE(SUBSTITUTE(SUBSTITUTE(SUBSTITUTE(SUBSTITUTE(SUBSTITUTE(SUBSTITUTE(SUBSTITUTE(SUBSTITUTE(SUBSTITUTE(SUBSTITUTE(LOWER(TRIM(G80)),"á","a"),"é","e"),"í","i"),"ó","o"),"ú","u"),"ü","u"),"ñ","n"),"à","a"),"è","e"),"ì","i"),"ò","o"),"ù","u"),"")</f>
        <v/>
      </c>
      <c r="U80" s="25">
        <f>IF(AND(Q80=1,H80&lt;&gt;""),SUBSTITUTE(SUBSTITUTE(SUBSTITUTE(SUBSTITUTE(SUBSTITUTE(SUBSTITUTE(SUBSTITUTE(SUBSTITUTE(SUBSTITUTE(SUBSTITUTE(SUBSTITUTE(SUBSTITUTE(LOWER(TRIM(H80)),"á","a"),"é","e"),"í","i"),"ó","o"),"ú","u"),"ü","u"),"ñ","n"),"à","a"),"è","e"),"ì","i"),"ò","o"),"ù","u"),"")</f>
        <v/>
      </c>
      <c r="V80" s="25">
        <f>IF(AND(Q80=1,L80&lt;&gt;""),SUBSTITUTE(SUBSTITUTE(SUBSTITUTE(SUBSTITUTE(SUBSTITUTE(SUBSTITUTE(SUBSTITUTE(SUBSTITUTE(SUBSTITUTE(SUBSTITUTE(SUBSTITUTE(SUBSTITUTE(LOWER(TRIM(L80)),"á","a"),"é","e"),"í","i"),"ó","o"),"ú","u"),"ü","u"),"ñ","n"),"à","a"),"è","e"),"ì","i"),"ò","o"),"ù","u"),"")</f>
        <v/>
      </c>
      <c r="W80" s="25">
        <f>IF(AND(Q80=1,I80&lt;&gt;""),SUBSTITUTE(SUBSTITUTE(SUBSTITUTE(SUBSTITUTE(SUBSTITUTE(SUBSTITUTE(SUBSTITUTE(SUBSTITUTE(SUBSTITUTE(SUBSTITUTE(SUBSTITUTE(SUBSTITUTE(LOWER(TRIM(I80)),"á","a"),"é","e"),"í","i"),"ó","o"),"ú","u"),"ü","u"),"ñ","n"),"à","a"),"è","e"),"ì","i"),"ò","o"),"ù","u"),"")</f>
        <v/>
      </c>
      <c r="X80" s="25">
        <f>IF(U80="","",IF(OR(U80="si, en la proxima tarea",U80="si, con cambios"),1,0))</f>
        <v/>
      </c>
      <c r="Y80" s="25">
        <f>IF(AND(Q80=1,A80&lt;&gt;""),IF(IFERROR(COUNTIFS(A$3:A80,"="&amp;SUBSTITUTE(SUBSTITUTE(SUBSTITUTE(A80,"~","~~"),"*","~*"),"?","~?"),Q$3:Q80,1),0)=1,MAX(Y$2:Y79)+1,""),"")</f>
        <v/>
      </c>
      <c r="Z80" s="25">
        <f>IF(Y80="","",COUNTIFS($A$3:$A$1002,"="&amp;SUBSTITUTE(SUBSTITUTE(SUBSTITUTE(A80,"~","~~"),"*","~*"),"?","~?"),$Q$3:$Q$1002,1)*10000-Y80)</f>
        <v/>
      </c>
    </row>
    <row r="81">
      <c r="A81">
        <f>IF(A$2=0,"",IFERROR(TRIM(INDEX('Pegar docentes'!$A$1:$BZ$1001,80,A$2)&amp;""),""))</f>
        <v/>
      </c>
      <c r="B81">
        <f>IF(B$2=0,"",IFERROR(TRIM(INDEX('Pegar docentes'!$A$1:$BZ$1001,80,B$2)&amp;""),""))</f>
        <v/>
      </c>
      <c r="C81">
        <f>IF(C$2=0,"",IFERROR(TRIM(INDEX('Pegar docentes'!$A$1:$BZ$1001,80,C$2)&amp;""),""))</f>
        <v/>
      </c>
      <c r="D81">
        <f>IF(D$2=0,"",IFERROR(TRIM(INDEX('Pegar docentes'!$A$1:$BZ$1001,80,D$2)&amp;""),""))</f>
        <v/>
      </c>
      <c r="E81">
        <f>IF(E$2=0,"",IFERROR(TRIM(INDEX('Pegar docentes'!$A$1:$BZ$1001,80,E$2)&amp;""),""))</f>
        <v/>
      </c>
      <c r="F81">
        <f>IF(F$2=0,"",IFERROR(TRIM(INDEX('Pegar docentes'!$A$1:$BZ$1001,80,F$2)&amp;""),""))</f>
        <v/>
      </c>
      <c r="G81">
        <f>IF(G$2=0,"",IFERROR(TRIM(INDEX('Pegar docentes'!$A$1:$BZ$1001,80,G$2)&amp;""),""))</f>
        <v/>
      </c>
      <c r="H81">
        <f>IF(H$2=0,"",IFERROR(TRIM(INDEX('Pegar docentes'!$A$1:$BZ$1001,80,H$2)&amp;""),""))</f>
        <v/>
      </c>
      <c r="I81">
        <f>IF(I$2=0,"",IFERROR(TRIM(INDEX('Pegar docentes'!$A$1:$BZ$1001,80,I$2)&amp;""),""))</f>
        <v/>
      </c>
      <c r="J81">
        <f>IF(J$2=0,"",IFERROR(TRIM(INDEX('Pegar docentes'!$A$1:$BZ$1001,80,J$2)&amp;""),""))</f>
        <v/>
      </c>
      <c r="K81">
        <f>IF(K$2=0,"",IFERROR(TRIM(INDEX('Pegar docentes'!$A$1:$BZ$1001,80,K$2)&amp;""),""))</f>
        <v/>
      </c>
      <c r="L81">
        <f>IF(L$2=0,"",IFERROR(TRIM(INDEX('Pegar docentes'!$A$1:$BZ$1001,80,L$2)&amp;""),""))</f>
        <v/>
      </c>
      <c r="M81">
        <f>IF(M$2=0,"",IFERROR(TRIM(INDEX('Pegar docentes'!$A$1:$BZ$1001,80,M$2)&amp;""),""))</f>
        <v/>
      </c>
      <c r="N81">
        <f>IF(N$2=0,"",IFERROR(TRIM(INDEX('Pegar docentes'!$A$1:$BZ$1001,80,N$2)&amp;""),""))</f>
        <v/>
      </c>
      <c r="O81">
        <f>IF(O$2=0,"",IFERROR(TRIM(INDEX('Pegar docentes'!$A$1:$BZ$1001,80,O$2)&amp;""),""))</f>
        <v/>
      </c>
      <c r="P81">
        <f>IF(P$2=0,"",IFERROR(TRIM(INDEX('Pegar docentes'!$A$1:$BZ$1001,80,P$2)&amp;""),""))</f>
        <v/>
      </c>
      <c r="Q81" s="25">
        <f>IF(OR(D81&lt;&gt;"",H81&lt;&gt;""),1,"")</f>
        <v/>
      </c>
      <c r="R81" s="25">
        <f>IF(Q81=1,IF(ISNUMBER(FIND("#"&amp;MID(D81,1,1)&amp;"#","#0#1#2#3#4#5#6#7#8#9#")),IF(ISNUMBER(FIND("#"&amp;MID(D81,2,1)&amp;"#","#0#1#2#3#4#5#6#7#8#9#")),IF(AND(VALUE(LEFT(D81,2))&gt;=1,VALUE(LEFT(D81,2))&lt;=5),VALUE(LEFT(D81,2)),""),IF(AND(VALUE(LEFT(D81,1))&gt;=1,VALUE(LEFT(D81,1))&lt;=5),VALUE(LEFT(D81,1)),"")),""),"")</f>
        <v/>
      </c>
      <c r="S81" s="25">
        <f>IF(AND(Q81=1,E81&lt;&gt;""),SUBSTITUTE(SUBSTITUTE(SUBSTITUTE(SUBSTITUTE(SUBSTITUTE(SUBSTITUTE(SUBSTITUTE(SUBSTITUTE(SUBSTITUTE(SUBSTITUTE(SUBSTITUTE(SUBSTITUTE(LOWER(TRIM(E81)),"á","a"),"é","e"),"í","i"),"ó","o"),"ú","u"),"ü","u"),"ñ","n"),"à","a"),"è","e"),"ì","i"),"ò","o"),"ù","u"),"")</f>
        <v/>
      </c>
      <c r="T81" s="25">
        <f>IF(AND(Q81=1,G81&lt;&gt;""),SUBSTITUTE(SUBSTITUTE(SUBSTITUTE(SUBSTITUTE(SUBSTITUTE(SUBSTITUTE(SUBSTITUTE(SUBSTITUTE(SUBSTITUTE(SUBSTITUTE(SUBSTITUTE(SUBSTITUTE(LOWER(TRIM(G81)),"á","a"),"é","e"),"í","i"),"ó","o"),"ú","u"),"ü","u"),"ñ","n"),"à","a"),"è","e"),"ì","i"),"ò","o"),"ù","u"),"")</f>
        <v/>
      </c>
      <c r="U81" s="25">
        <f>IF(AND(Q81=1,H81&lt;&gt;""),SUBSTITUTE(SUBSTITUTE(SUBSTITUTE(SUBSTITUTE(SUBSTITUTE(SUBSTITUTE(SUBSTITUTE(SUBSTITUTE(SUBSTITUTE(SUBSTITUTE(SUBSTITUTE(SUBSTITUTE(LOWER(TRIM(H81)),"á","a"),"é","e"),"í","i"),"ó","o"),"ú","u"),"ü","u"),"ñ","n"),"à","a"),"è","e"),"ì","i"),"ò","o"),"ù","u"),"")</f>
        <v/>
      </c>
      <c r="V81" s="25">
        <f>IF(AND(Q81=1,L81&lt;&gt;""),SUBSTITUTE(SUBSTITUTE(SUBSTITUTE(SUBSTITUTE(SUBSTITUTE(SUBSTITUTE(SUBSTITUTE(SUBSTITUTE(SUBSTITUTE(SUBSTITUTE(SUBSTITUTE(SUBSTITUTE(LOWER(TRIM(L81)),"á","a"),"é","e"),"í","i"),"ó","o"),"ú","u"),"ü","u"),"ñ","n"),"à","a"),"è","e"),"ì","i"),"ò","o"),"ù","u"),"")</f>
        <v/>
      </c>
      <c r="W81" s="25">
        <f>IF(AND(Q81=1,I81&lt;&gt;""),SUBSTITUTE(SUBSTITUTE(SUBSTITUTE(SUBSTITUTE(SUBSTITUTE(SUBSTITUTE(SUBSTITUTE(SUBSTITUTE(SUBSTITUTE(SUBSTITUTE(SUBSTITUTE(SUBSTITUTE(LOWER(TRIM(I81)),"á","a"),"é","e"),"í","i"),"ó","o"),"ú","u"),"ü","u"),"ñ","n"),"à","a"),"è","e"),"ì","i"),"ò","o"),"ù","u"),"")</f>
        <v/>
      </c>
      <c r="X81" s="25">
        <f>IF(U81="","",IF(OR(U81="si, en la proxima tarea",U81="si, con cambios"),1,0))</f>
        <v/>
      </c>
      <c r="Y81" s="25">
        <f>IF(AND(Q81=1,A81&lt;&gt;""),IF(IFERROR(COUNTIFS(A$3:A81,"="&amp;SUBSTITUTE(SUBSTITUTE(SUBSTITUTE(A81,"~","~~"),"*","~*"),"?","~?"),Q$3:Q81,1),0)=1,MAX(Y$2:Y80)+1,""),"")</f>
        <v/>
      </c>
      <c r="Z81" s="25">
        <f>IF(Y81="","",COUNTIFS($A$3:$A$1002,"="&amp;SUBSTITUTE(SUBSTITUTE(SUBSTITUTE(A81,"~","~~"),"*","~*"),"?","~?"),$Q$3:$Q$1002,1)*10000-Y81)</f>
        <v/>
      </c>
    </row>
    <row r="82">
      <c r="A82">
        <f>IF(A$2=0,"",IFERROR(TRIM(INDEX('Pegar docentes'!$A$1:$BZ$1001,81,A$2)&amp;""),""))</f>
        <v/>
      </c>
      <c r="B82">
        <f>IF(B$2=0,"",IFERROR(TRIM(INDEX('Pegar docentes'!$A$1:$BZ$1001,81,B$2)&amp;""),""))</f>
        <v/>
      </c>
      <c r="C82">
        <f>IF(C$2=0,"",IFERROR(TRIM(INDEX('Pegar docentes'!$A$1:$BZ$1001,81,C$2)&amp;""),""))</f>
        <v/>
      </c>
      <c r="D82">
        <f>IF(D$2=0,"",IFERROR(TRIM(INDEX('Pegar docentes'!$A$1:$BZ$1001,81,D$2)&amp;""),""))</f>
        <v/>
      </c>
      <c r="E82">
        <f>IF(E$2=0,"",IFERROR(TRIM(INDEX('Pegar docentes'!$A$1:$BZ$1001,81,E$2)&amp;""),""))</f>
        <v/>
      </c>
      <c r="F82">
        <f>IF(F$2=0,"",IFERROR(TRIM(INDEX('Pegar docentes'!$A$1:$BZ$1001,81,F$2)&amp;""),""))</f>
        <v/>
      </c>
      <c r="G82">
        <f>IF(G$2=0,"",IFERROR(TRIM(INDEX('Pegar docentes'!$A$1:$BZ$1001,81,G$2)&amp;""),""))</f>
        <v/>
      </c>
      <c r="H82">
        <f>IF(H$2=0,"",IFERROR(TRIM(INDEX('Pegar docentes'!$A$1:$BZ$1001,81,H$2)&amp;""),""))</f>
        <v/>
      </c>
      <c r="I82">
        <f>IF(I$2=0,"",IFERROR(TRIM(INDEX('Pegar docentes'!$A$1:$BZ$1001,81,I$2)&amp;""),""))</f>
        <v/>
      </c>
      <c r="J82">
        <f>IF(J$2=0,"",IFERROR(TRIM(INDEX('Pegar docentes'!$A$1:$BZ$1001,81,J$2)&amp;""),""))</f>
        <v/>
      </c>
      <c r="K82">
        <f>IF(K$2=0,"",IFERROR(TRIM(INDEX('Pegar docentes'!$A$1:$BZ$1001,81,K$2)&amp;""),""))</f>
        <v/>
      </c>
      <c r="L82">
        <f>IF(L$2=0,"",IFERROR(TRIM(INDEX('Pegar docentes'!$A$1:$BZ$1001,81,L$2)&amp;""),""))</f>
        <v/>
      </c>
      <c r="M82">
        <f>IF(M$2=0,"",IFERROR(TRIM(INDEX('Pegar docentes'!$A$1:$BZ$1001,81,M$2)&amp;""),""))</f>
        <v/>
      </c>
      <c r="N82">
        <f>IF(N$2=0,"",IFERROR(TRIM(INDEX('Pegar docentes'!$A$1:$BZ$1001,81,N$2)&amp;""),""))</f>
        <v/>
      </c>
      <c r="O82">
        <f>IF(O$2=0,"",IFERROR(TRIM(INDEX('Pegar docentes'!$A$1:$BZ$1001,81,O$2)&amp;""),""))</f>
        <v/>
      </c>
      <c r="P82">
        <f>IF(P$2=0,"",IFERROR(TRIM(INDEX('Pegar docentes'!$A$1:$BZ$1001,81,P$2)&amp;""),""))</f>
        <v/>
      </c>
      <c r="Q82" s="25">
        <f>IF(OR(D82&lt;&gt;"",H82&lt;&gt;""),1,"")</f>
        <v/>
      </c>
      <c r="R82" s="25">
        <f>IF(Q82=1,IF(ISNUMBER(FIND("#"&amp;MID(D82,1,1)&amp;"#","#0#1#2#3#4#5#6#7#8#9#")),IF(ISNUMBER(FIND("#"&amp;MID(D82,2,1)&amp;"#","#0#1#2#3#4#5#6#7#8#9#")),IF(AND(VALUE(LEFT(D82,2))&gt;=1,VALUE(LEFT(D82,2))&lt;=5),VALUE(LEFT(D82,2)),""),IF(AND(VALUE(LEFT(D82,1))&gt;=1,VALUE(LEFT(D82,1))&lt;=5),VALUE(LEFT(D82,1)),"")),""),"")</f>
        <v/>
      </c>
      <c r="S82" s="25">
        <f>IF(AND(Q82=1,E82&lt;&gt;""),SUBSTITUTE(SUBSTITUTE(SUBSTITUTE(SUBSTITUTE(SUBSTITUTE(SUBSTITUTE(SUBSTITUTE(SUBSTITUTE(SUBSTITUTE(SUBSTITUTE(SUBSTITUTE(SUBSTITUTE(LOWER(TRIM(E82)),"á","a"),"é","e"),"í","i"),"ó","o"),"ú","u"),"ü","u"),"ñ","n"),"à","a"),"è","e"),"ì","i"),"ò","o"),"ù","u"),"")</f>
        <v/>
      </c>
      <c r="T82" s="25">
        <f>IF(AND(Q82=1,G82&lt;&gt;""),SUBSTITUTE(SUBSTITUTE(SUBSTITUTE(SUBSTITUTE(SUBSTITUTE(SUBSTITUTE(SUBSTITUTE(SUBSTITUTE(SUBSTITUTE(SUBSTITUTE(SUBSTITUTE(SUBSTITUTE(LOWER(TRIM(G82)),"á","a"),"é","e"),"í","i"),"ó","o"),"ú","u"),"ü","u"),"ñ","n"),"à","a"),"è","e"),"ì","i"),"ò","o"),"ù","u"),"")</f>
        <v/>
      </c>
      <c r="U82" s="25">
        <f>IF(AND(Q82=1,H82&lt;&gt;""),SUBSTITUTE(SUBSTITUTE(SUBSTITUTE(SUBSTITUTE(SUBSTITUTE(SUBSTITUTE(SUBSTITUTE(SUBSTITUTE(SUBSTITUTE(SUBSTITUTE(SUBSTITUTE(SUBSTITUTE(LOWER(TRIM(H82)),"á","a"),"é","e"),"í","i"),"ó","o"),"ú","u"),"ü","u"),"ñ","n"),"à","a"),"è","e"),"ì","i"),"ò","o"),"ù","u"),"")</f>
        <v/>
      </c>
      <c r="V82" s="25">
        <f>IF(AND(Q82=1,L82&lt;&gt;""),SUBSTITUTE(SUBSTITUTE(SUBSTITUTE(SUBSTITUTE(SUBSTITUTE(SUBSTITUTE(SUBSTITUTE(SUBSTITUTE(SUBSTITUTE(SUBSTITUTE(SUBSTITUTE(SUBSTITUTE(LOWER(TRIM(L82)),"á","a"),"é","e"),"í","i"),"ó","o"),"ú","u"),"ü","u"),"ñ","n"),"à","a"),"è","e"),"ì","i"),"ò","o"),"ù","u"),"")</f>
        <v/>
      </c>
      <c r="W82" s="25">
        <f>IF(AND(Q82=1,I82&lt;&gt;""),SUBSTITUTE(SUBSTITUTE(SUBSTITUTE(SUBSTITUTE(SUBSTITUTE(SUBSTITUTE(SUBSTITUTE(SUBSTITUTE(SUBSTITUTE(SUBSTITUTE(SUBSTITUTE(SUBSTITUTE(LOWER(TRIM(I82)),"á","a"),"é","e"),"í","i"),"ó","o"),"ú","u"),"ü","u"),"ñ","n"),"à","a"),"è","e"),"ì","i"),"ò","o"),"ù","u"),"")</f>
        <v/>
      </c>
      <c r="X82" s="25">
        <f>IF(U82="","",IF(OR(U82="si, en la proxima tarea",U82="si, con cambios"),1,0))</f>
        <v/>
      </c>
      <c r="Y82" s="25">
        <f>IF(AND(Q82=1,A82&lt;&gt;""),IF(IFERROR(COUNTIFS(A$3:A82,"="&amp;SUBSTITUTE(SUBSTITUTE(SUBSTITUTE(A82,"~","~~"),"*","~*"),"?","~?"),Q$3:Q82,1),0)=1,MAX(Y$2:Y81)+1,""),"")</f>
        <v/>
      </c>
      <c r="Z82" s="25">
        <f>IF(Y82="","",COUNTIFS($A$3:$A$1002,"="&amp;SUBSTITUTE(SUBSTITUTE(SUBSTITUTE(A82,"~","~~"),"*","~*"),"?","~?"),$Q$3:$Q$1002,1)*10000-Y82)</f>
        <v/>
      </c>
    </row>
    <row r="83">
      <c r="A83">
        <f>IF(A$2=0,"",IFERROR(TRIM(INDEX('Pegar docentes'!$A$1:$BZ$1001,82,A$2)&amp;""),""))</f>
        <v/>
      </c>
      <c r="B83">
        <f>IF(B$2=0,"",IFERROR(TRIM(INDEX('Pegar docentes'!$A$1:$BZ$1001,82,B$2)&amp;""),""))</f>
        <v/>
      </c>
      <c r="C83">
        <f>IF(C$2=0,"",IFERROR(TRIM(INDEX('Pegar docentes'!$A$1:$BZ$1001,82,C$2)&amp;""),""))</f>
        <v/>
      </c>
      <c r="D83">
        <f>IF(D$2=0,"",IFERROR(TRIM(INDEX('Pegar docentes'!$A$1:$BZ$1001,82,D$2)&amp;""),""))</f>
        <v/>
      </c>
      <c r="E83">
        <f>IF(E$2=0,"",IFERROR(TRIM(INDEX('Pegar docentes'!$A$1:$BZ$1001,82,E$2)&amp;""),""))</f>
        <v/>
      </c>
      <c r="F83">
        <f>IF(F$2=0,"",IFERROR(TRIM(INDEX('Pegar docentes'!$A$1:$BZ$1001,82,F$2)&amp;""),""))</f>
        <v/>
      </c>
      <c r="G83">
        <f>IF(G$2=0,"",IFERROR(TRIM(INDEX('Pegar docentes'!$A$1:$BZ$1001,82,G$2)&amp;""),""))</f>
        <v/>
      </c>
      <c r="H83">
        <f>IF(H$2=0,"",IFERROR(TRIM(INDEX('Pegar docentes'!$A$1:$BZ$1001,82,H$2)&amp;""),""))</f>
        <v/>
      </c>
      <c r="I83">
        <f>IF(I$2=0,"",IFERROR(TRIM(INDEX('Pegar docentes'!$A$1:$BZ$1001,82,I$2)&amp;""),""))</f>
        <v/>
      </c>
      <c r="J83">
        <f>IF(J$2=0,"",IFERROR(TRIM(INDEX('Pegar docentes'!$A$1:$BZ$1001,82,J$2)&amp;""),""))</f>
        <v/>
      </c>
      <c r="K83">
        <f>IF(K$2=0,"",IFERROR(TRIM(INDEX('Pegar docentes'!$A$1:$BZ$1001,82,K$2)&amp;""),""))</f>
        <v/>
      </c>
      <c r="L83">
        <f>IF(L$2=0,"",IFERROR(TRIM(INDEX('Pegar docentes'!$A$1:$BZ$1001,82,L$2)&amp;""),""))</f>
        <v/>
      </c>
      <c r="M83">
        <f>IF(M$2=0,"",IFERROR(TRIM(INDEX('Pegar docentes'!$A$1:$BZ$1001,82,M$2)&amp;""),""))</f>
        <v/>
      </c>
      <c r="N83">
        <f>IF(N$2=0,"",IFERROR(TRIM(INDEX('Pegar docentes'!$A$1:$BZ$1001,82,N$2)&amp;""),""))</f>
        <v/>
      </c>
      <c r="O83">
        <f>IF(O$2=0,"",IFERROR(TRIM(INDEX('Pegar docentes'!$A$1:$BZ$1001,82,O$2)&amp;""),""))</f>
        <v/>
      </c>
      <c r="P83">
        <f>IF(P$2=0,"",IFERROR(TRIM(INDEX('Pegar docentes'!$A$1:$BZ$1001,82,P$2)&amp;""),""))</f>
        <v/>
      </c>
      <c r="Q83" s="25">
        <f>IF(OR(D83&lt;&gt;"",H83&lt;&gt;""),1,"")</f>
        <v/>
      </c>
      <c r="R83" s="25">
        <f>IF(Q83=1,IF(ISNUMBER(FIND("#"&amp;MID(D83,1,1)&amp;"#","#0#1#2#3#4#5#6#7#8#9#")),IF(ISNUMBER(FIND("#"&amp;MID(D83,2,1)&amp;"#","#0#1#2#3#4#5#6#7#8#9#")),IF(AND(VALUE(LEFT(D83,2))&gt;=1,VALUE(LEFT(D83,2))&lt;=5),VALUE(LEFT(D83,2)),""),IF(AND(VALUE(LEFT(D83,1))&gt;=1,VALUE(LEFT(D83,1))&lt;=5),VALUE(LEFT(D83,1)),"")),""),"")</f>
        <v/>
      </c>
      <c r="S83" s="25">
        <f>IF(AND(Q83=1,E83&lt;&gt;""),SUBSTITUTE(SUBSTITUTE(SUBSTITUTE(SUBSTITUTE(SUBSTITUTE(SUBSTITUTE(SUBSTITUTE(SUBSTITUTE(SUBSTITUTE(SUBSTITUTE(SUBSTITUTE(SUBSTITUTE(LOWER(TRIM(E83)),"á","a"),"é","e"),"í","i"),"ó","o"),"ú","u"),"ü","u"),"ñ","n"),"à","a"),"è","e"),"ì","i"),"ò","o"),"ù","u"),"")</f>
        <v/>
      </c>
      <c r="T83" s="25">
        <f>IF(AND(Q83=1,G83&lt;&gt;""),SUBSTITUTE(SUBSTITUTE(SUBSTITUTE(SUBSTITUTE(SUBSTITUTE(SUBSTITUTE(SUBSTITUTE(SUBSTITUTE(SUBSTITUTE(SUBSTITUTE(SUBSTITUTE(SUBSTITUTE(LOWER(TRIM(G83)),"á","a"),"é","e"),"í","i"),"ó","o"),"ú","u"),"ü","u"),"ñ","n"),"à","a"),"è","e"),"ì","i"),"ò","o"),"ù","u"),"")</f>
        <v/>
      </c>
      <c r="U83" s="25">
        <f>IF(AND(Q83=1,H83&lt;&gt;""),SUBSTITUTE(SUBSTITUTE(SUBSTITUTE(SUBSTITUTE(SUBSTITUTE(SUBSTITUTE(SUBSTITUTE(SUBSTITUTE(SUBSTITUTE(SUBSTITUTE(SUBSTITUTE(SUBSTITUTE(LOWER(TRIM(H83)),"á","a"),"é","e"),"í","i"),"ó","o"),"ú","u"),"ü","u"),"ñ","n"),"à","a"),"è","e"),"ì","i"),"ò","o"),"ù","u"),"")</f>
        <v/>
      </c>
      <c r="V83" s="25">
        <f>IF(AND(Q83=1,L83&lt;&gt;""),SUBSTITUTE(SUBSTITUTE(SUBSTITUTE(SUBSTITUTE(SUBSTITUTE(SUBSTITUTE(SUBSTITUTE(SUBSTITUTE(SUBSTITUTE(SUBSTITUTE(SUBSTITUTE(SUBSTITUTE(LOWER(TRIM(L83)),"á","a"),"é","e"),"í","i"),"ó","o"),"ú","u"),"ü","u"),"ñ","n"),"à","a"),"è","e"),"ì","i"),"ò","o"),"ù","u"),"")</f>
        <v/>
      </c>
      <c r="W83" s="25">
        <f>IF(AND(Q83=1,I83&lt;&gt;""),SUBSTITUTE(SUBSTITUTE(SUBSTITUTE(SUBSTITUTE(SUBSTITUTE(SUBSTITUTE(SUBSTITUTE(SUBSTITUTE(SUBSTITUTE(SUBSTITUTE(SUBSTITUTE(SUBSTITUTE(LOWER(TRIM(I83)),"á","a"),"é","e"),"í","i"),"ó","o"),"ú","u"),"ü","u"),"ñ","n"),"à","a"),"è","e"),"ì","i"),"ò","o"),"ù","u"),"")</f>
        <v/>
      </c>
      <c r="X83" s="25">
        <f>IF(U83="","",IF(OR(U83="si, en la proxima tarea",U83="si, con cambios"),1,0))</f>
        <v/>
      </c>
      <c r="Y83" s="25">
        <f>IF(AND(Q83=1,A83&lt;&gt;""),IF(IFERROR(COUNTIFS(A$3:A83,"="&amp;SUBSTITUTE(SUBSTITUTE(SUBSTITUTE(A83,"~","~~"),"*","~*"),"?","~?"),Q$3:Q83,1),0)=1,MAX(Y$2:Y82)+1,""),"")</f>
        <v/>
      </c>
      <c r="Z83" s="25">
        <f>IF(Y83="","",COUNTIFS($A$3:$A$1002,"="&amp;SUBSTITUTE(SUBSTITUTE(SUBSTITUTE(A83,"~","~~"),"*","~*"),"?","~?"),$Q$3:$Q$1002,1)*10000-Y83)</f>
        <v/>
      </c>
    </row>
    <row r="84">
      <c r="A84">
        <f>IF(A$2=0,"",IFERROR(TRIM(INDEX('Pegar docentes'!$A$1:$BZ$1001,83,A$2)&amp;""),""))</f>
        <v/>
      </c>
      <c r="B84">
        <f>IF(B$2=0,"",IFERROR(TRIM(INDEX('Pegar docentes'!$A$1:$BZ$1001,83,B$2)&amp;""),""))</f>
        <v/>
      </c>
      <c r="C84">
        <f>IF(C$2=0,"",IFERROR(TRIM(INDEX('Pegar docentes'!$A$1:$BZ$1001,83,C$2)&amp;""),""))</f>
        <v/>
      </c>
      <c r="D84">
        <f>IF(D$2=0,"",IFERROR(TRIM(INDEX('Pegar docentes'!$A$1:$BZ$1001,83,D$2)&amp;""),""))</f>
        <v/>
      </c>
      <c r="E84">
        <f>IF(E$2=0,"",IFERROR(TRIM(INDEX('Pegar docentes'!$A$1:$BZ$1001,83,E$2)&amp;""),""))</f>
        <v/>
      </c>
      <c r="F84">
        <f>IF(F$2=0,"",IFERROR(TRIM(INDEX('Pegar docentes'!$A$1:$BZ$1001,83,F$2)&amp;""),""))</f>
        <v/>
      </c>
      <c r="G84">
        <f>IF(G$2=0,"",IFERROR(TRIM(INDEX('Pegar docentes'!$A$1:$BZ$1001,83,G$2)&amp;""),""))</f>
        <v/>
      </c>
      <c r="H84">
        <f>IF(H$2=0,"",IFERROR(TRIM(INDEX('Pegar docentes'!$A$1:$BZ$1001,83,H$2)&amp;""),""))</f>
        <v/>
      </c>
      <c r="I84">
        <f>IF(I$2=0,"",IFERROR(TRIM(INDEX('Pegar docentes'!$A$1:$BZ$1001,83,I$2)&amp;""),""))</f>
        <v/>
      </c>
      <c r="J84">
        <f>IF(J$2=0,"",IFERROR(TRIM(INDEX('Pegar docentes'!$A$1:$BZ$1001,83,J$2)&amp;""),""))</f>
        <v/>
      </c>
      <c r="K84">
        <f>IF(K$2=0,"",IFERROR(TRIM(INDEX('Pegar docentes'!$A$1:$BZ$1001,83,K$2)&amp;""),""))</f>
        <v/>
      </c>
      <c r="L84">
        <f>IF(L$2=0,"",IFERROR(TRIM(INDEX('Pegar docentes'!$A$1:$BZ$1001,83,L$2)&amp;""),""))</f>
        <v/>
      </c>
      <c r="M84">
        <f>IF(M$2=0,"",IFERROR(TRIM(INDEX('Pegar docentes'!$A$1:$BZ$1001,83,M$2)&amp;""),""))</f>
        <v/>
      </c>
      <c r="N84">
        <f>IF(N$2=0,"",IFERROR(TRIM(INDEX('Pegar docentes'!$A$1:$BZ$1001,83,N$2)&amp;""),""))</f>
        <v/>
      </c>
      <c r="O84">
        <f>IF(O$2=0,"",IFERROR(TRIM(INDEX('Pegar docentes'!$A$1:$BZ$1001,83,O$2)&amp;""),""))</f>
        <v/>
      </c>
      <c r="P84">
        <f>IF(P$2=0,"",IFERROR(TRIM(INDEX('Pegar docentes'!$A$1:$BZ$1001,83,P$2)&amp;""),""))</f>
        <v/>
      </c>
      <c r="Q84" s="25">
        <f>IF(OR(D84&lt;&gt;"",H84&lt;&gt;""),1,"")</f>
        <v/>
      </c>
      <c r="R84" s="25">
        <f>IF(Q84=1,IF(ISNUMBER(FIND("#"&amp;MID(D84,1,1)&amp;"#","#0#1#2#3#4#5#6#7#8#9#")),IF(ISNUMBER(FIND("#"&amp;MID(D84,2,1)&amp;"#","#0#1#2#3#4#5#6#7#8#9#")),IF(AND(VALUE(LEFT(D84,2))&gt;=1,VALUE(LEFT(D84,2))&lt;=5),VALUE(LEFT(D84,2)),""),IF(AND(VALUE(LEFT(D84,1))&gt;=1,VALUE(LEFT(D84,1))&lt;=5),VALUE(LEFT(D84,1)),"")),""),"")</f>
        <v/>
      </c>
      <c r="S84" s="25">
        <f>IF(AND(Q84=1,E84&lt;&gt;""),SUBSTITUTE(SUBSTITUTE(SUBSTITUTE(SUBSTITUTE(SUBSTITUTE(SUBSTITUTE(SUBSTITUTE(SUBSTITUTE(SUBSTITUTE(SUBSTITUTE(SUBSTITUTE(SUBSTITUTE(LOWER(TRIM(E84)),"á","a"),"é","e"),"í","i"),"ó","o"),"ú","u"),"ü","u"),"ñ","n"),"à","a"),"è","e"),"ì","i"),"ò","o"),"ù","u"),"")</f>
        <v/>
      </c>
      <c r="T84" s="25">
        <f>IF(AND(Q84=1,G84&lt;&gt;""),SUBSTITUTE(SUBSTITUTE(SUBSTITUTE(SUBSTITUTE(SUBSTITUTE(SUBSTITUTE(SUBSTITUTE(SUBSTITUTE(SUBSTITUTE(SUBSTITUTE(SUBSTITUTE(SUBSTITUTE(LOWER(TRIM(G84)),"á","a"),"é","e"),"í","i"),"ó","o"),"ú","u"),"ü","u"),"ñ","n"),"à","a"),"è","e"),"ì","i"),"ò","o"),"ù","u"),"")</f>
        <v/>
      </c>
      <c r="U84" s="25">
        <f>IF(AND(Q84=1,H84&lt;&gt;""),SUBSTITUTE(SUBSTITUTE(SUBSTITUTE(SUBSTITUTE(SUBSTITUTE(SUBSTITUTE(SUBSTITUTE(SUBSTITUTE(SUBSTITUTE(SUBSTITUTE(SUBSTITUTE(SUBSTITUTE(LOWER(TRIM(H84)),"á","a"),"é","e"),"í","i"),"ó","o"),"ú","u"),"ü","u"),"ñ","n"),"à","a"),"è","e"),"ì","i"),"ò","o"),"ù","u"),"")</f>
        <v/>
      </c>
      <c r="V84" s="25">
        <f>IF(AND(Q84=1,L84&lt;&gt;""),SUBSTITUTE(SUBSTITUTE(SUBSTITUTE(SUBSTITUTE(SUBSTITUTE(SUBSTITUTE(SUBSTITUTE(SUBSTITUTE(SUBSTITUTE(SUBSTITUTE(SUBSTITUTE(SUBSTITUTE(LOWER(TRIM(L84)),"á","a"),"é","e"),"í","i"),"ó","o"),"ú","u"),"ü","u"),"ñ","n"),"à","a"),"è","e"),"ì","i"),"ò","o"),"ù","u"),"")</f>
        <v/>
      </c>
      <c r="W84" s="25">
        <f>IF(AND(Q84=1,I84&lt;&gt;""),SUBSTITUTE(SUBSTITUTE(SUBSTITUTE(SUBSTITUTE(SUBSTITUTE(SUBSTITUTE(SUBSTITUTE(SUBSTITUTE(SUBSTITUTE(SUBSTITUTE(SUBSTITUTE(SUBSTITUTE(LOWER(TRIM(I84)),"á","a"),"é","e"),"í","i"),"ó","o"),"ú","u"),"ü","u"),"ñ","n"),"à","a"),"è","e"),"ì","i"),"ò","o"),"ù","u"),"")</f>
        <v/>
      </c>
      <c r="X84" s="25">
        <f>IF(U84="","",IF(OR(U84="si, en la proxima tarea",U84="si, con cambios"),1,0))</f>
        <v/>
      </c>
      <c r="Y84" s="25">
        <f>IF(AND(Q84=1,A84&lt;&gt;""),IF(IFERROR(COUNTIFS(A$3:A84,"="&amp;SUBSTITUTE(SUBSTITUTE(SUBSTITUTE(A84,"~","~~"),"*","~*"),"?","~?"),Q$3:Q84,1),0)=1,MAX(Y$2:Y83)+1,""),"")</f>
        <v/>
      </c>
      <c r="Z84" s="25">
        <f>IF(Y84="","",COUNTIFS($A$3:$A$1002,"="&amp;SUBSTITUTE(SUBSTITUTE(SUBSTITUTE(A84,"~","~~"),"*","~*"),"?","~?"),$Q$3:$Q$1002,1)*10000-Y84)</f>
        <v/>
      </c>
    </row>
    <row r="85">
      <c r="A85">
        <f>IF(A$2=0,"",IFERROR(TRIM(INDEX('Pegar docentes'!$A$1:$BZ$1001,84,A$2)&amp;""),""))</f>
        <v/>
      </c>
      <c r="B85">
        <f>IF(B$2=0,"",IFERROR(TRIM(INDEX('Pegar docentes'!$A$1:$BZ$1001,84,B$2)&amp;""),""))</f>
        <v/>
      </c>
      <c r="C85">
        <f>IF(C$2=0,"",IFERROR(TRIM(INDEX('Pegar docentes'!$A$1:$BZ$1001,84,C$2)&amp;""),""))</f>
        <v/>
      </c>
      <c r="D85">
        <f>IF(D$2=0,"",IFERROR(TRIM(INDEX('Pegar docentes'!$A$1:$BZ$1001,84,D$2)&amp;""),""))</f>
        <v/>
      </c>
      <c r="E85">
        <f>IF(E$2=0,"",IFERROR(TRIM(INDEX('Pegar docentes'!$A$1:$BZ$1001,84,E$2)&amp;""),""))</f>
        <v/>
      </c>
      <c r="F85">
        <f>IF(F$2=0,"",IFERROR(TRIM(INDEX('Pegar docentes'!$A$1:$BZ$1001,84,F$2)&amp;""),""))</f>
        <v/>
      </c>
      <c r="G85">
        <f>IF(G$2=0,"",IFERROR(TRIM(INDEX('Pegar docentes'!$A$1:$BZ$1001,84,G$2)&amp;""),""))</f>
        <v/>
      </c>
      <c r="H85">
        <f>IF(H$2=0,"",IFERROR(TRIM(INDEX('Pegar docentes'!$A$1:$BZ$1001,84,H$2)&amp;""),""))</f>
        <v/>
      </c>
      <c r="I85">
        <f>IF(I$2=0,"",IFERROR(TRIM(INDEX('Pegar docentes'!$A$1:$BZ$1001,84,I$2)&amp;""),""))</f>
        <v/>
      </c>
      <c r="J85">
        <f>IF(J$2=0,"",IFERROR(TRIM(INDEX('Pegar docentes'!$A$1:$BZ$1001,84,J$2)&amp;""),""))</f>
        <v/>
      </c>
      <c r="K85">
        <f>IF(K$2=0,"",IFERROR(TRIM(INDEX('Pegar docentes'!$A$1:$BZ$1001,84,K$2)&amp;""),""))</f>
        <v/>
      </c>
      <c r="L85">
        <f>IF(L$2=0,"",IFERROR(TRIM(INDEX('Pegar docentes'!$A$1:$BZ$1001,84,L$2)&amp;""),""))</f>
        <v/>
      </c>
      <c r="M85">
        <f>IF(M$2=0,"",IFERROR(TRIM(INDEX('Pegar docentes'!$A$1:$BZ$1001,84,M$2)&amp;""),""))</f>
        <v/>
      </c>
      <c r="N85">
        <f>IF(N$2=0,"",IFERROR(TRIM(INDEX('Pegar docentes'!$A$1:$BZ$1001,84,N$2)&amp;""),""))</f>
        <v/>
      </c>
      <c r="O85">
        <f>IF(O$2=0,"",IFERROR(TRIM(INDEX('Pegar docentes'!$A$1:$BZ$1001,84,O$2)&amp;""),""))</f>
        <v/>
      </c>
      <c r="P85">
        <f>IF(P$2=0,"",IFERROR(TRIM(INDEX('Pegar docentes'!$A$1:$BZ$1001,84,P$2)&amp;""),""))</f>
        <v/>
      </c>
      <c r="Q85" s="25">
        <f>IF(OR(D85&lt;&gt;"",H85&lt;&gt;""),1,"")</f>
        <v/>
      </c>
      <c r="R85" s="25">
        <f>IF(Q85=1,IF(ISNUMBER(FIND("#"&amp;MID(D85,1,1)&amp;"#","#0#1#2#3#4#5#6#7#8#9#")),IF(ISNUMBER(FIND("#"&amp;MID(D85,2,1)&amp;"#","#0#1#2#3#4#5#6#7#8#9#")),IF(AND(VALUE(LEFT(D85,2))&gt;=1,VALUE(LEFT(D85,2))&lt;=5),VALUE(LEFT(D85,2)),""),IF(AND(VALUE(LEFT(D85,1))&gt;=1,VALUE(LEFT(D85,1))&lt;=5),VALUE(LEFT(D85,1)),"")),""),"")</f>
        <v/>
      </c>
      <c r="S85" s="25">
        <f>IF(AND(Q85=1,E85&lt;&gt;""),SUBSTITUTE(SUBSTITUTE(SUBSTITUTE(SUBSTITUTE(SUBSTITUTE(SUBSTITUTE(SUBSTITUTE(SUBSTITUTE(SUBSTITUTE(SUBSTITUTE(SUBSTITUTE(SUBSTITUTE(LOWER(TRIM(E85)),"á","a"),"é","e"),"í","i"),"ó","o"),"ú","u"),"ü","u"),"ñ","n"),"à","a"),"è","e"),"ì","i"),"ò","o"),"ù","u"),"")</f>
        <v/>
      </c>
      <c r="T85" s="25">
        <f>IF(AND(Q85=1,G85&lt;&gt;""),SUBSTITUTE(SUBSTITUTE(SUBSTITUTE(SUBSTITUTE(SUBSTITUTE(SUBSTITUTE(SUBSTITUTE(SUBSTITUTE(SUBSTITUTE(SUBSTITUTE(SUBSTITUTE(SUBSTITUTE(LOWER(TRIM(G85)),"á","a"),"é","e"),"í","i"),"ó","o"),"ú","u"),"ü","u"),"ñ","n"),"à","a"),"è","e"),"ì","i"),"ò","o"),"ù","u"),"")</f>
        <v/>
      </c>
      <c r="U85" s="25">
        <f>IF(AND(Q85=1,H85&lt;&gt;""),SUBSTITUTE(SUBSTITUTE(SUBSTITUTE(SUBSTITUTE(SUBSTITUTE(SUBSTITUTE(SUBSTITUTE(SUBSTITUTE(SUBSTITUTE(SUBSTITUTE(SUBSTITUTE(SUBSTITUTE(LOWER(TRIM(H85)),"á","a"),"é","e"),"í","i"),"ó","o"),"ú","u"),"ü","u"),"ñ","n"),"à","a"),"è","e"),"ì","i"),"ò","o"),"ù","u"),"")</f>
        <v/>
      </c>
      <c r="V85" s="25">
        <f>IF(AND(Q85=1,L85&lt;&gt;""),SUBSTITUTE(SUBSTITUTE(SUBSTITUTE(SUBSTITUTE(SUBSTITUTE(SUBSTITUTE(SUBSTITUTE(SUBSTITUTE(SUBSTITUTE(SUBSTITUTE(SUBSTITUTE(SUBSTITUTE(LOWER(TRIM(L85)),"á","a"),"é","e"),"í","i"),"ó","o"),"ú","u"),"ü","u"),"ñ","n"),"à","a"),"è","e"),"ì","i"),"ò","o"),"ù","u"),"")</f>
        <v/>
      </c>
      <c r="W85" s="25">
        <f>IF(AND(Q85=1,I85&lt;&gt;""),SUBSTITUTE(SUBSTITUTE(SUBSTITUTE(SUBSTITUTE(SUBSTITUTE(SUBSTITUTE(SUBSTITUTE(SUBSTITUTE(SUBSTITUTE(SUBSTITUTE(SUBSTITUTE(SUBSTITUTE(LOWER(TRIM(I85)),"á","a"),"é","e"),"í","i"),"ó","o"),"ú","u"),"ü","u"),"ñ","n"),"à","a"),"è","e"),"ì","i"),"ò","o"),"ù","u"),"")</f>
        <v/>
      </c>
      <c r="X85" s="25">
        <f>IF(U85="","",IF(OR(U85="si, en la proxima tarea",U85="si, con cambios"),1,0))</f>
        <v/>
      </c>
      <c r="Y85" s="25">
        <f>IF(AND(Q85=1,A85&lt;&gt;""),IF(IFERROR(COUNTIFS(A$3:A85,"="&amp;SUBSTITUTE(SUBSTITUTE(SUBSTITUTE(A85,"~","~~"),"*","~*"),"?","~?"),Q$3:Q85,1),0)=1,MAX(Y$2:Y84)+1,""),"")</f>
        <v/>
      </c>
      <c r="Z85" s="25">
        <f>IF(Y85="","",COUNTIFS($A$3:$A$1002,"="&amp;SUBSTITUTE(SUBSTITUTE(SUBSTITUTE(A85,"~","~~"),"*","~*"),"?","~?"),$Q$3:$Q$1002,1)*10000-Y85)</f>
        <v/>
      </c>
    </row>
    <row r="86">
      <c r="A86">
        <f>IF(A$2=0,"",IFERROR(TRIM(INDEX('Pegar docentes'!$A$1:$BZ$1001,85,A$2)&amp;""),""))</f>
        <v/>
      </c>
      <c r="B86">
        <f>IF(B$2=0,"",IFERROR(TRIM(INDEX('Pegar docentes'!$A$1:$BZ$1001,85,B$2)&amp;""),""))</f>
        <v/>
      </c>
      <c r="C86">
        <f>IF(C$2=0,"",IFERROR(TRIM(INDEX('Pegar docentes'!$A$1:$BZ$1001,85,C$2)&amp;""),""))</f>
        <v/>
      </c>
      <c r="D86">
        <f>IF(D$2=0,"",IFERROR(TRIM(INDEX('Pegar docentes'!$A$1:$BZ$1001,85,D$2)&amp;""),""))</f>
        <v/>
      </c>
      <c r="E86">
        <f>IF(E$2=0,"",IFERROR(TRIM(INDEX('Pegar docentes'!$A$1:$BZ$1001,85,E$2)&amp;""),""))</f>
        <v/>
      </c>
      <c r="F86">
        <f>IF(F$2=0,"",IFERROR(TRIM(INDEX('Pegar docentes'!$A$1:$BZ$1001,85,F$2)&amp;""),""))</f>
        <v/>
      </c>
      <c r="G86">
        <f>IF(G$2=0,"",IFERROR(TRIM(INDEX('Pegar docentes'!$A$1:$BZ$1001,85,G$2)&amp;""),""))</f>
        <v/>
      </c>
      <c r="H86">
        <f>IF(H$2=0,"",IFERROR(TRIM(INDEX('Pegar docentes'!$A$1:$BZ$1001,85,H$2)&amp;""),""))</f>
        <v/>
      </c>
      <c r="I86">
        <f>IF(I$2=0,"",IFERROR(TRIM(INDEX('Pegar docentes'!$A$1:$BZ$1001,85,I$2)&amp;""),""))</f>
        <v/>
      </c>
      <c r="J86">
        <f>IF(J$2=0,"",IFERROR(TRIM(INDEX('Pegar docentes'!$A$1:$BZ$1001,85,J$2)&amp;""),""))</f>
        <v/>
      </c>
      <c r="K86">
        <f>IF(K$2=0,"",IFERROR(TRIM(INDEX('Pegar docentes'!$A$1:$BZ$1001,85,K$2)&amp;""),""))</f>
        <v/>
      </c>
      <c r="L86">
        <f>IF(L$2=0,"",IFERROR(TRIM(INDEX('Pegar docentes'!$A$1:$BZ$1001,85,L$2)&amp;""),""))</f>
        <v/>
      </c>
      <c r="M86">
        <f>IF(M$2=0,"",IFERROR(TRIM(INDEX('Pegar docentes'!$A$1:$BZ$1001,85,M$2)&amp;""),""))</f>
        <v/>
      </c>
      <c r="N86">
        <f>IF(N$2=0,"",IFERROR(TRIM(INDEX('Pegar docentes'!$A$1:$BZ$1001,85,N$2)&amp;""),""))</f>
        <v/>
      </c>
      <c r="O86">
        <f>IF(O$2=0,"",IFERROR(TRIM(INDEX('Pegar docentes'!$A$1:$BZ$1001,85,O$2)&amp;""),""))</f>
        <v/>
      </c>
      <c r="P86">
        <f>IF(P$2=0,"",IFERROR(TRIM(INDEX('Pegar docentes'!$A$1:$BZ$1001,85,P$2)&amp;""),""))</f>
        <v/>
      </c>
      <c r="Q86" s="25">
        <f>IF(OR(D86&lt;&gt;"",H86&lt;&gt;""),1,"")</f>
        <v/>
      </c>
      <c r="R86" s="25">
        <f>IF(Q86=1,IF(ISNUMBER(FIND("#"&amp;MID(D86,1,1)&amp;"#","#0#1#2#3#4#5#6#7#8#9#")),IF(ISNUMBER(FIND("#"&amp;MID(D86,2,1)&amp;"#","#0#1#2#3#4#5#6#7#8#9#")),IF(AND(VALUE(LEFT(D86,2))&gt;=1,VALUE(LEFT(D86,2))&lt;=5),VALUE(LEFT(D86,2)),""),IF(AND(VALUE(LEFT(D86,1))&gt;=1,VALUE(LEFT(D86,1))&lt;=5),VALUE(LEFT(D86,1)),"")),""),"")</f>
        <v/>
      </c>
      <c r="S86" s="25">
        <f>IF(AND(Q86=1,E86&lt;&gt;""),SUBSTITUTE(SUBSTITUTE(SUBSTITUTE(SUBSTITUTE(SUBSTITUTE(SUBSTITUTE(SUBSTITUTE(SUBSTITUTE(SUBSTITUTE(SUBSTITUTE(SUBSTITUTE(SUBSTITUTE(LOWER(TRIM(E86)),"á","a"),"é","e"),"í","i"),"ó","o"),"ú","u"),"ü","u"),"ñ","n"),"à","a"),"è","e"),"ì","i"),"ò","o"),"ù","u"),"")</f>
        <v/>
      </c>
      <c r="T86" s="25">
        <f>IF(AND(Q86=1,G86&lt;&gt;""),SUBSTITUTE(SUBSTITUTE(SUBSTITUTE(SUBSTITUTE(SUBSTITUTE(SUBSTITUTE(SUBSTITUTE(SUBSTITUTE(SUBSTITUTE(SUBSTITUTE(SUBSTITUTE(SUBSTITUTE(LOWER(TRIM(G86)),"á","a"),"é","e"),"í","i"),"ó","o"),"ú","u"),"ü","u"),"ñ","n"),"à","a"),"è","e"),"ì","i"),"ò","o"),"ù","u"),"")</f>
        <v/>
      </c>
      <c r="U86" s="25">
        <f>IF(AND(Q86=1,H86&lt;&gt;""),SUBSTITUTE(SUBSTITUTE(SUBSTITUTE(SUBSTITUTE(SUBSTITUTE(SUBSTITUTE(SUBSTITUTE(SUBSTITUTE(SUBSTITUTE(SUBSTITUTE(SUBSTITUTE(SUBSTITUTE(LOWER(TRIM(H86)),"á","a"),"é","e"),"í","i"),"ó","o"),"ú","u"),"ü","u"),"ñ","n"),"à","a"),"è","e"),"ì","i"),"ò","o"),"ù","u"),"")</f>
        <v/>
      </c>
      <c r="V86" s="25">
        <f>IF(AND(Q86=1,L86&lt;&gt;""),SUBSTITUTE(SUBSTITUTE(SUBSTITUTE(SUBSTITUTE(SUBSTITUTE(SUBSTITUTE(SUBSTITUTE(SUBSTITUTE(SUBSTITUTE(SUBSTITUTE(SUBSTITUTE(SUBSTITUTE(LOWER(TRIM(L86)),"á","a"),"é","e"),"í","i"),"ó","o"),"ú","u"),"ü","u"),"ñ","n"),"à","a"),"è","e"),"ì","i"),"ò","o"),"ù","u"),"")</f>
        <v/>
      </c>
      <c r="W86" s="25">
        <f>IF(AND(Q86=1,I86&lt;&gt;""),SUBSTITUTE(SUBSTITUTE(SUBSTITUTE(SUBSTITUTE(SUBSTITUTE(SUBSTITUTE(SUBSTITUTE(SUBSTITUTE(SUBSTITUTE(SUBSTITUTE(SUBSTITUTE(SUBSTITUTE(LOWER(TRIM(I86)),"á","a"),"é","e"),"í","i"),"ó","o"),"ú","u"),"ü","u"),"ñ","n"),"à","a"),"è","e"),"ì","i"),"ò","o"),"ù","u"),"")</f>
        <v/>
      </c>
      <c r="X86" s="25">
        <f>IF(U86="","",IF(OR(U86="si, en la proxima tarea",U86="si, con cambios"),1,0))</f>
        <v/>
      </c>
      <c r="Y86" s="25">
        <f>IF(AND(Q86=1,A86&lt;&gt;""),IF(IFERROR(COUNTIFS(A$3:A86,"="&amp;SUBSTITUTE(SUBSTITUTE(SUBSTITUTE(A86,"~","~~"),"*","~*"),"?","~?"),Q$3:Q86,1),0)=1,MAX(Y$2:Y85)+1,""),"")</f>
        <v/>
      </c>
      <c r="Z86" s="25">
        <f>IF(Y86="","",COUNTIFS($A$3:$A$1002,"="&amp;SUBSTITUTE(SUBSTITUTE(SUBSTITUTE(A86,"~","~~"),"*","~*"),"?","~?"),$Q$3:$Q$1002,1)*10000-Y86)</f>
        <v/>
      </c>
    </row>
    <row r="87">
      <c r="A87">
        <f>IF(A$2=0,"",IFERROR(TRIM(INDEX('Pegar docentes'!$A$1:$BZ$1001,86,A$2)&amp;""),""))</f>
        <v/>
      </c>
      <c r="B87">
        <f>IF(B$2=0,"",IFERROR(TRIM(INDEX('Pegar docentes'!$A$1:$BZ$1001,86,B$2)&amp;""),""))</f>
        <v/>
      </c>
      <c r="C87">
        <f>IF(C$2=0,"",IFERROR(TRIM(INDEX('Pegar docentes'!$A$1:$BZ$1001,86,C$2)&amp;""),""))</f>
        <v/>
      </c>
      <c r="D87">
        <f>IF(D$2=0,"",IFERROR(TRIM(INDEX('Pegar docentes'!$A$1:$BZ$1001,86,D$2)&amp;""),""))</f>
        <v/>
      </c>
      <c r="E87">
        <f>IF(E$2=0,"",IFERROR(TRIM(INDEX('Pegar docentes'!$A$1:$BZ$1001,86,E$2)&amp;""),""))</f>
        <v/>
      </c>
      <c r="F87">
        <f>IF(F$2=0,"",IFERROR(TRIM(INDEX('Pegar docentes'!$A$1:$BZ$1001,86,F$2)&amp;""),""))</f>
        <v/>
      </c>
      <c r="G87">
        <f>IF(G$2=0,"",IFERROR(TRIM(INDEX('Pegar docentes'!$A$1:$BZ$1001,86,G$2)&amp;""),""))</f>
        <v/>
      </c>
      <c r="H87">
        <f>IF(H$2=0,"",IFERROR(TRIM(INDEX('Pegar docentes'!$A$1:$BZ$1001,86,H$2)&amp;""),""))</f>
        <v/>
      </c>
      <c r="I87">
        <f>IF(I$2=0,"",IFERROR(TRIM(INDEX('Pegar docentes'!$A$1:$BZ$1001,86,I$2)&amp;""),""))</f>
        <v/>
      </c>
      <c r="J87">
        <f>IF(J$2=0,"",IFERROR(TRIM(INDEX('Pegar docentes'!$A$1:$BZ$1001,86,J$2)&amp;""),""))</f>
        <v/>
      </c>
      <c r="K87">
        <f>IF(K$2=0,"",IFERROR(TRIM(INDEX('Pegar docentes'!$A$1:$BZ$1001,86,K$2)&amp;""),""))</f>
        <v/>
      </c>
      <c r="L87">
        <f>IF(L$2=0,"",IFERROR(TRIM(INDEX('Pegar docentes'!$A$1:$BZ$1001,86,L$2)&amp;""),""))</f>
        <v/>
      </c>
      <c r="M87">
        <f>IF(M$2=0,"",IFERROR(TRIM(INDEX('Pegar docentes'!$A$1:$BZ$1001,86,M$2)&amp;""),""))</f>
        <v/>
      </c>
      <c r="N87">
        <f>IF(N$2=0,"",IFERROR(TRIM(INDEX('Pegar docentes'!$A$1:$BZ$1001,86,N$2)&amp;""),""))</f>
        <v/>
      </c>
      <c r="O87">
        <f>IF(O$2=0,"",IFERROR(TRIM(INDEX('Pegar docentes'!$A$1:$BZ$1001,86,O$2)&amp;""),""))</f>
        <v/>
      </c>
      <c r="P87">
        <f>IF(P$2=0,"",IFERROR(TRIM(INDEX('Pegar docentes'!$A$1:$BZ$1001,86,P$2)&amp;""),""))</f>
        <v/>
      </c>
      <c r="Q87" s="25">
        <f>IF(OR(D87&lt;&gt;"",H87&lt;&gt;""),1,"")</f>
        <v/>
      </c>
      <c r="R87" s="25">
        <f>IF(Q87=1,IF(ISNUMBER(FIND("#"&amp;MID(D87,1,1)&amp;"#","#0#1#2#3#4#5#6#7#8#9#")),IF(ISNUMBER(FIND("#"&amp;MID(D87,2,1)&amp;"#","#0#1#2#3#4#5#6#7#8#9#")),IF(AND(VALUE(LEFT(D87,2))&gt;=1,VALUE(LEFT(D87,2))&lt;=5),VALUE(LEFT(D87,2)),""),IF(AND(VALUE(LEFT(D87,1))&gt;=1,VALUE(LEFT(D87,1))&lt;=5),VALUE(LEFT(D87,1)),"")),""),"")</f>
        <v/>
      </c>
      <c r="S87" s="25">
        <f>IF(AND(Q87=1,E87&lt;&gt;""),SUBSTITUTE(SUBSTITUTE(SUBSTITUTE(SUBSTITUTE(SUBSTITUTE(SUBSTITUTE(SUBSTITUTE(SUBSTITUTE(SUBSTITUTE(SUBSTITUTE(SUBSTITUTE(SUBSTITUTE(LOWER(TRIM(E87)),"á","a"),"é","e"),"í","i"),"ó","o"),"ú","u"),"ü","u"),"ñ","n"),"à","a"),"è","e"),"ì","i"),"ò","o"),"ù","u"),"")</f>
        <v/>
      </c>
      <c r="T87" s="25">
        <f>IF(AND(Q87=1,G87&lt;&gt;""),SUBSTITUTE(SUBSTITUTE(SUBSTITUTE(SUBSTITUTE(SUBSTITUTE(SUBSTITUTE(SUBSTITUTE(SUBSTITUTE(SUBSTITUTE(SUBSTITUTE(SUBSTITUTE(SUBSTITUTE(LOWER(TRIM(G87)),"á","a"),"é","e"),"í","i"),"ó","o"),"ú","u"),"ü","u"),"ñ","n"),"à","a"),"è","e"),"ì","i"),"ò","o"),"ù","u"),"")</f>
        <v/>
      </c>
      <c r="U87" s="25">
        <f>IF(AND(Q87=1,H87&lt;&gt;""),SUBSTITUTE(SUBSTITUTE(SUBSTITUTE(SUBSTITUTE(SUBSTITUTE(SUBSTITUTE(SUBSTITUTE(SUBSTITUTE(SUBSTITUTE(SUBSTITUTE(SUBSTITUTE(SUBSTITUTE(LOWER(TRIM(H87)),"á","a"),"é","e"),"í","i"),"ó","o"),"ú","u"),"ü","u"),"ñ","n"),"à","a"),"è","e"),"ì","i"),"ò","o"),"ù","u"),"")</f>
        <v/>
      </c>
      <c r="V87" s="25">
        <f>IF(AND(Q87=1,L87&lt;&gt;""),SUBSTITUTE(SUBSTITUTE(SUBSTITUTE(SUBSTITUTE(SUBSTITUTE(SUBSTITUTE(SUBSTITUTE(SUBSTITUTE(SUBSTITUTE(SUBSTITUTE(SUBSTITUTE(SUBSTITUTE(LOWER(TRIM(L87)),"á","a"),"é","e"),"í","i"),"ó","o"),"ú","u"),"ü","u"),"ñ","n"),"à","a"),"è","e"),"ì","i"),"ò","o"),"ù","u"),"")</f>
        <v/>
      </c>
      <c r="W87" s="25">
        <f>IF(AND(Q87=1,I87&lt;&gt;""),SUBSTITUTE(SUBSTITUTE(SUBSTITUTE(SUBSTITUTE(SUBSTITUTE(SUBSTITUTE(SUBSTITUTE(SUBSTITUTE(SUBSTITUTE(SUBSTITUTE(SUBSTITUTE(SUBSTITUTE(LOWER(TRIM(I87)),"á","a"),"é","e"),"í","i"),"ó","o"),"ú","u"),"ü","u"),"ñ","n"),"à","a"),"è","e"),"ì","i"),"ò","o"),"ù","u"),"")</f>
        <v/>
      </c>
      <c r="X87" s="25">
        <f>IF(U87="","",IF(OR(U87="si, en la proxima tarea",U87="si, con cambios"),1,0))</f>
        <v/>
      </c>
      <c r="Y87" s="25">
        <f>IF(AND(Q87=1,A87&lt;&gt;""),IF(IFERROR(COUNTIFS(A$3:A87,"="&amp;SUBSTITUTE(SUBSTITUTE(SUBSTITUTE(A87,"~","~~"),"*","~*"),"?","~?"),Q$3:Q87,1),0)=1,MAX(Y$2:Y86)+1,""),"")</f>
        <v/>
      </c>
      <c r="Z87" s="25">
        <f>IF(Y87="","",COUNTIFS($A$3:$A$1002,"="&amp;SUBSTITUTE(SUBSTITUTE(SUBSTITUTE(A87,"~","~~"),"*","~*"),"?","~?"),$Q$3:$Q$1002,1)*10000-Y87)</f>
        <v/>
      </c>
    </row>
    <row r="88">
      <c r="A88">
        <f>IF(A$2=0,"",IFERROR(TRIM(INDEX('Pegar docentes'!$A$1:$BZ$1001,87,A$2)&amp;""),""))</f>
        <v/>
      </c>
      <c r="B88">
        <f>IF(B$2=0,"",IFERROR(TRIM(INDEX('Pegar docentes'!$A$1:$BZ$1001,87,B$2)&amp;""),""))</f>
        <v/>
      </c>
      <c r="C88">
        <f>IF(C$2=0,"",IFERROR(TRIM(INDEX('Pegar docentes'!$A$1:$BZ$1001,87,C$2)&amp;""),""))</f>
        <v/>
      </c>
      <c r="D88">
        <f>IF(D$2=0,"",IFERROR(TRIM(INDEX('Pegar docentes'!$A$1:$BZ$1001,87,D$2)&amp;""),""))</f>
        <v/>
      </c>
      <c r="E88">
        <f>IF(E$2=0,"",IFERROR(TRIM(INDEX('Pegar docentes'!$A$1:$BZ$1001,87,E$2)&amp;""),""))</f>
        <v/>
      </c>
      <c r="F88">
        <f>IF(F$2=0,"",IFERROR(TRIM(INDEX('Pegar docentes'!$A$1:$BZ$1001,87,F$2)&amp;""),""))</f>
        <v/>
      </c>
      <c r="G88">
        <f>IF(G$2=0,"",IFERROR(TRIM(INDEX('Pegar docentes'!$A$1:$BZ$1001,87,G$2)&amp;""),""))</f>
        <v/>
      </c>
      <c r="H88">
        <f>IF(H$2=0,"",IFERROR(TRIM(INDEX('Pegar docentes'!$A$1:$BZ$1001,87,H$2)&amp;""),""))</f>
        <v/>
      </c>
      <c r="I88">
        <f>IF(I$2=0,"",IFERROR(TRIM(INDEX('Pegar docentes'!$A$1:$BZ$1001,87,I$2)&amp;""),""))</f>
        <v/>
      </c>
      <c r="J88">
        <f>IF(J$2=0,"",IFERROR(TRIM(INDEX('Pegar docentes'!$A$1:$BZ$1001,87,J$2)&amp;""),""))</f>
        <v/>
      </c>
      <c r="K88">
        <f>IF(K$2=0,"",IFERROR(TRIM(INDEX('Pegar docentes'!$A$1:$BZ$1001,87,K$2)&amp;""),""))</f>
        <v/>
      </c>
      <c r="L88">
        <f>IF(L$2=0,"",IFERROR(TRIM(INDEX('Pegar docentes'!$A$1:$BZ$1001,87,L$2)&amp;""),""))</f>
        <v/>
      </c>
      <c r="M88">
        <f>IF(M$2=0,"",IFERROR(TRIM(INDEX('Pegar docentes'!$A$1:$BZ$1001,87,M$2)&amp;""),""))</f>
        <v/>
      </c>
      <c r="N88">
        <f>IF(N$2=0,"",IFERROR(TRIM(INDEX('Pegar docentes'!$A$1:$BZ$1001,87,N$2)&amp;""),""))</f>
        <v/>
      </c>
      <c r="O88">
        <f>IF(O$2=0,"",IFERROR(TRIM(INDEX('Pegar docentes'!$A$1:$BZ$1001,87,O$2)&amp;""),""))</f>
        <v/>
      </c>
      <c r="P88">
        <f>IF(P$2=0,"",IFERROR(TRIM(INDEX('Pegar docentes'!$A$1:$BZ$1001,87,P$2)&amp;""),""))</f>
        <v/>
      </c>
      <c r="Q88" s="25">
        <f>IF(OR(D88&lt;&gt;"",H88&lt;&gt;""),1,"")</f>
        <v/>
      </c>
      <c r="R88" s="25">
        <f>IF(Q88=1,IF(ISNUMBER(FIND("#"&amp;MID(D88,1,1)&amp;"#","#0#1#2#3#4#5#6#7#8#9#")),IF(ISNUMBER(FIND("#"&amp;MID(D88,2,1)&amp;"#","#0#1#2#3#4#5#6#7#8#9#")),IF(AND(VALUE(LEFT(D88,2))&gt;=1,VALUE(LEFT(D88,2))&lt;=5),VALUE(LEFT(D88,2)),""),IF(AND(VALUE(LEFT(D88,1))&gt;=1,VALUE(LEFT(D88,1))&lt;=5),VALUE(LEFT(D88,1)),"")),""),"")</f>
        <v/>
      </c>
      <c r="S88" s="25">
        <f>IF(AND(Q88=1,E88&lt;&gt;""),SUBSTITUTE(SUBSTITUTE(SUBSTITUTE(SUBSTITUTE(SUBSTITUTE(SUBSTITUTE(SUBSTITUTE(SUBSTITUTE(SUBSTITUTE(SUBSTITUTE(SUBSTITUTE(SUBSTITUTE(LOWER(TRIM(E88)),"á","a"),"é","e"),"í","i"),"ó","o"),"ú","u"),"ü","u"),"ñ","n"),"à","a"),"è","e"),"ì","i"),"ò","o"),"ù","u"),"")</f>
        <v/>
      </c>
      <c r="T88" s="25">
        <f>IF(AND(Q88=1,G88&lt;&gt;""),SUBSTITUTE(SUBSTITUTE(SUBSTITUTE(SUBSTITUTE(SUBSTITUTE(SUBSTITUTE(SUBSTITUTE(SUBSTITUTE(SUBSTITUTE(SUBSTITUTE(SUBSTITUTE(SUBSTITUTE(LOWER(TRIM(G88)),"á","a"),"é","e"),"í","i"),"ó","o"),"ú","u"),"ü","u"),"ñ","n"),"à","a"),"è","e"),"ì","i"),"ò","o"),"ù","u"),"")</f>
        <v/>
      </c>
      <c r="U88" s="25">
        <f>IF(AND(Q88=1,H88&lt;&gt;""),SUBSTITUTE(SUBSTITUTE(SUBSTITUTE(SUBSTITUTE(SUBSTITUTE(SUBSTITUTE(SUBSTITUTE(SUBSTITUTE(SUBSTITUTE(SUBSTITUTE(SUBSTITUTE(SUBSTITUTE(LOWER(TRIM(H88)),"á","a"),"é","e"),"í","i"),"ó","o"),"ú","u"),"ü","u"),"ñ","n"),"à","a"),"è","e"),"ì","i"),"ò","o"),"ù","u"),"")</f>
        <v/>
      </c>
      <c r="V88" s="25">
        <f>IF(AND(Q88=1,L88&lt;&gt;""),SUBSTITUTE(SUBSTITUTE(SUBSTITUTE(SUBSTITUTE(SUBSTITUTE(SUBSTITUTE(SUBSTITUTE(SUBSTITUTE(SUBSTITUTE(SUBSTITUTE(SUBSTITUTE(SUBSTITUTE(LOWER(TRIM(L88)),"á","a"),"é","e"),"í","i"),"ó","o"),"ú","u"),"ü","u"),"ñ","n"),"à","a"),"è","e"),"ì","i"),"ò","o"),"ù","u"),"")</f>
        <v/>
      </c>
      <c r="W88" s="25">
        <f>IF(AND(Q88=1,I88&lt;&gt;""),SUBSTITUTE(SUBSTITUTE(SUBSTITUTE(SUBSTITUTE(SUBSTITUTE(SUBSTITUTE(SUBSTITUTE(SUBSTITUTE(SUBSTITUTE(SUBSTITUTE(SUBSTITUTE(SUBSTITUTE(LOWER(TRIM(I88)),"á","a"),"é","e"),"í","i"),"ó","o"),"ú","u"),"ü","u"),"ñ","n"),"à","a"),"è","e"),"ì","i"),"ò","o"),"ù","u"),"")</f>
        <v/>
      </c>
      <c r="X88" s="25">
        <f>IF(U88="","",IF(OR(U88="si, en la proxima tarea",U88="si, con cambios"),1,0))</f>
        <v/>
      </c>
      <c r="Y88" s="25">
        <f>IF(AND(Q88=1,A88&lt;&gt;""),IF(IFERROR(COUNTIFS(A$3:A88,"="&amp;SUBSTITUTE(SUBSTITUTE(SUBSTITUTE(A88,"~","~~"),"*","~*"),"?","~?"),Q$3:Q88,1),0)=1,MAX(Y$2:Y87)+1,""),"")</f>
        <v/>
      </c>
      <c r="Z88" s="25">
        <f>IF(Y88="","",COUNTIFS($A$3:$A$1002,"="&amp;SUBSTITUTE(SUBSTITUTE(SUBSTITUTE(A88,"~","~~"),"*","~*"),"?","~?"),$Q$3:$Q$1002,1)*10000-Y88)</f>
        <v/>
      </c>
    </row>
    <row r="89">
      <c r="A89">
        <f>IF(A$2=0,"",IFERROR(TRIM(INDEX('Pegar docentes'!$A$1:$BZ$1001,88,A$2)&amp;""),""))</f>
        <v/>
      </c>
      <c r="B89">
        <f>IF(B$2=0,"",IFERROR(TRIM(INDEX('Pegar docentes'!$A$1:$BZ$1001,88,B$2)&amp;""),""))</f>
        <v/>
      </c>
      <c r="C89">
        <f>IF(C$2=0,"",IFERROR(TRIM(INDEX('Pegar docentes'!$A$1:$BZ$1001,88,C$2)&amp;""),""))</f>
        <v/>
      </c>
      <c r="D89">
        <f>IF(D$2=0,"",IFERROR(TRIM(INDEX('Pegar docentes'!$A$1:$BZ$1001,88,D$2)&amp;""),""))</f>
        <v/>
      </c>
      <c r="E89">
        <f>IF(E$2=0,"",IFERROR(TRIM(INDEX('Pegar docentes'!$A$1:$BZ$1001,88,E$2)&amp;""),""))</f>
        <v/>
      </c>
      <c r="F89">
        <f>IF(F$2=0,"",IFERROR(TRIM(INDEX('Pegar docentes'!$A$1:$BZ$1001,88,F$2)&amp;""),""))</f>
        <v/>
      </c>
      <c r="G89">
        <f>IF(G$2=0,"",IFERROR(TRIM(INDEX('Pegar docentes'!$A$1:$BZ$1001,88,G$2)&amp;""),""))</f>
        <v/>
      </c>
      <c r="H89">
        <f>IF(H$2=0,"",IFERROR(TRIM(INDEX('Pegar docentes'!$A$1:$BZ$1001,88,H$2)&amp;""),""))</f>
        <v/>
      </c>
      <c r="I89">
        <f>IF(I$2=0,"",IFERROR(TRIM(INDEX('Pegar docentes'!$A$1:$BZ$1001,88,I$2)&amp;""),""))</f>
        <v/>
      </c>
      <c r="J89">
        <f>IF(J$2=0,"",IFERROR(TRIM(INDEX('Pegar docentes'!$A$1:$BZ$1001,88,J$2)&amp;""),""))</f>
        <v/>
      </c>
      <c r="K89">
        <f>IF(K$2=0,"",IFERROR(TRIM(INDEX('Pegar docentes'!$A$1:$BZ$1001,88,K$2)&amp;""),""))</f>
        <v/>
      </c>
      <c r="L89">
        <f>IF(L$2=0,"",IFERROR(TRIM(INDEX('Pegar docentes'!$A$1:$BZ$1001,88,L$2)&amp;""),""))</f>
        <v/>
      </c>
      <c r="M89">
        <f>IF(M$2=0,"",IFERROR(TRIM(INDEX('Pegar docentes'!$A$1:$BZ$1001,88,M$2)&amp;""),""))</f>
        <v/>
      </c>
      <c r="N89">
        <f>IF(N$2=0,"",IFERROR(TRIM(INDEX('Pegar docentes'!$A$1:$BZ$1001,88,N$2)&amp;""),""))</f>
        <v/>
      </c>
      <c r="O89">
        <f>IF(O$2=0,"",IFERROR(TRIM(INDEX('Pegar docentes'!$A$1:$BZ$1001,88,O$2)&amp;""),""))</f>
        <v/>
      </c>
      <c r="P89">
        <f>IF(P$2=0,"",IFERROR(TRIM(INDEX('Pegar docentes'!$A$1:$BZ$1001,88,P$2)&amp;""),""))</f>
        <v/>
      </c>
      <c r="Q89" s="25">
        <f>IF(OR(D89&lt;&gt;"",H89&lt;&gt;""),1,"")</f>
        <v/>
      </c>
      <c r="R89" s="25">
        <f>IF(Q89=1,IF(ISNUMBER(FIND("#"&amp;MID(D89,1,1)&amp;"#","#0#1#2#3#4#5#6#7#8#9#")),IF(ISNUMBER(FIND("#"&amp;MID(D89,2,1)&amp;"#","#0#1#2#3#4#5#6#7#8#9#")),IF(AND(VALUE(LEFT(D89,2))&gt;=1,VALUE(LEFT(D89,2))&lt;=5),VALUE(LEFT(D89,2)),""),IF(AND(VALUE(LEFT(D89,1))&gt;=1,VALUE(LEFT(D89,1))&lt;=5),VALUE(LEFT(D89,1)),"")),""),"")</f>
        <v/>
      </c>
      <c r="S89" s="25">
        <f>IF(AND(Q89=1,E89&lt;&gt;""),SUBSTITUTE(SUBSTITUTE(SUBSTITUTE(SUBSTITUTE(SUBSTITUTE(SUBSTITUTE(SUBSTITUTE(SUBSTITUTE(SUBSTITUTE(SUBSTITUTE(SUBSTITUTE(SUBSTITUTE(LOWER(TRIM(E89)),"á","a"),"é","e"),"í","i"),"ó","o"),"ú","u"),"ü","u"),"ñ","n"),"à","a"),"è","e"),"ì","i"),"ò","o"),"ù","u"),"")</f>
        <v/>
      </c>
      <c r="T89" s="25">
        <f>IF(AND(Q89=1,G89&lt;&gt;""),SUBSTITUTE(SUBSTITUTE(SUBSTITUTE(SUBSTITUTE(SUBSTITUTE(SUBSTITUTE(SUBSTITUTE(SUBSTITUTE(SUBSTITUTE(SUBSTITUTE(SUBSTITUTE(SUBSTITUTE(LOWER(TRIM(G89)),"á","a"),"é","e"),"í","i"),"ó","o"),"ú","u"),"ü","u"),"ñ","n"),"à","a"),"è","e"),"ì","i"),"ò","o"),"ù","u"),"")</f>
        <v/>
      </c>
      <c r="U89" s="25">
        <f>IF(AND(Q89=1,H89&lt;&gt;""),SUBSTITUTE(SUBSTITUTE(SUBSTITUTE(SUBSTITUTE(SUBSTITUTE(SUBSTITUTE(SUBSTITUTE(SUBSTITUTE(SUBSTITUTE(SUBSTITUTE(SUBSTITUTE(SUBSTITUTE(LOWER(TRIM(H89)),"á","a"),"é","e"),"í","i"),"ó","o"),"ú","u"),"ü","u"),"ñ","n"),"à","a"),"è","e"),"ì","i"),"ò","o"),"ù","u"),"")</f>
        <v/>
      </c>
      <c r="V89" s="25">
        <f>IF(AND(Q89=1,L89&lt;&gt;""),SUBSTITUTE(SUBSTITUTE(SUBSTITUTE(SUBSTITUTE(SUBSTITUTE(SUBSTITUTE(SUBSTITUTE(SUBSTITUTE(SUBSTITUTE(SUBSTITUTE(SUBSTITUTE(SUBSTITUTE(LOWER(TRIM(L89)),"á","a"),"é","e"),"í","i"),"ó","o"),"ú","u"),"ü","u"),"ñ","n"),"à","a"),"è","e"),"ì","i"),"ò","o"),"ù","u"),"")</f>
        <v/>
      </c>
      <c r="W89" s="25">
        <f>IF(AND(Q89=1,I89&lt;&gt;""),SUBSTITUTE(SUBSTITUTE(SUBSTITUTE(SUBSTITUTE(SUBSTITUTE(SUBSTITUTE(SUBSTITUTE(SUBSTITUTE(SUBSTITUTE(SUBSTITUTE(SUBSTITUTE(SUBSTITUTE(LOWER(TRIM(I89)),"á","a"),"é","e"),"í","i"),"ó","o"),"ú","u"),"ü","u"),"ñ","n"),"à","a"),"è","e"),"ì","i"),"ò","o"),"ù","u"),"")</f>
        <v/>
      </c>
      <c r="X89" s="25">
        <f>IF(U89="","",IF(OR(U89="si, en la proxima tarea",U89="si, con cambios"),1,0))</f>
        <v/>
      </c>
      <c r="Y89" s="25">
        <f>IF(AND(Q89=1,A89&lt;&gt;""),IF(IFERROR(COUNTIFS(A$3:A89,"="&amp;SUBSTITUTE(SUBSTITUTE(SUBSTITUTE(A89,"~","~~"),"*","~*"),"?","~?"),Q$3:Q89,1),0)=1,MAX(Y$2:Y88)+1,""),"")</f>
        <v/>
      </c>
      <c r="Z89" s="25">
        <f>IF(Y89="","",COUNTIFS($A$3:$A$1002,"="&amp;SUBSTITUTE(SUBSTITUTE(SUBSTITUTE(A89,"~","~~"),"*","~*"),"?","~?"),$Q$3:$Q$1002,1)*10000-Y89)</f>
        <v/>
      </c>
    </row>
    <row r="90">
      <c r="A90">
        <f>IF(A$2=0,"",IFERROR(TRIM(INDEX('Pegar docentes'!$A$1:$BZ$1001,89,A$2)&amp;""),""))</f>
        <v/>
      </c>
      <c r="B90">
        <f>IF(B$2=0,"",IFERROR(TRIM(INDEX('Pegar docentes'!$A$1:$BZ$1001,89,B$2)&amp;""),""))</f>
        <v/>
      </c>
      <c r="C90">
        <f>IF(C$2=0,"",IFERROR(TRIM(INDEX('Pegar docentes'!$A$1:$BZ$1001,89,C$2)&amp;""),""))</f>
        <v/>
      </c>
      <c r="D90">
        <f>IF(D$2=0,"",IFERROR(TRIM(INDEX('Pegar docentes'!$A$1:$BZ$1001,89,D$2)&amp;""),""))</f>
        <v/>
      </c>
      <c r="E90">
        <f>IF(E$2=0,"",IFERROR(TRIM(INDEX('Pegar docentes'!$A$1:$BZ$1001,89,E$2)&amp;""),""))</f>
        <v/>
      </c>
      <c r="F90">
        <f>IF(F$2=0,"",IFERROR(TRIM(INDEX('Pegar docentes'!$A$1:$BZ$1001,89,F$2)&amp;""),""))</f>
        <v/>
      </c>
      <c r="G90">
        <f>IF(G$2=0,"",IFERROR(TRIM(INDEX('Pegar docentes'!$A$1:$BZ$1001,89,G$2)&amp;""),""))</f>
        <v/>
      </c>
      <c r="H90">
        <f>IF(H$2=0,"",IFERROR(TRIM(INDEX('Pegar docentes'!$A$1:$BZ$1001,89,H$2)&amp;""),""))</f>
        <v/>
      </c>
      <c r="I90">
        <f>IF(I$2=0,"",IFERROR(TRIM(INDEX('Pegar docentes'!$A$1:$BZ$1001,89,I$2)&amp;""),""))</f>
        <v/>
      </c>
      <c r="J90">
        <f>IF(J$2=0,"",IFERROR(TRIM(INDEX('Pegar docentes'!$A$1:$BZ$1001,89,J$2)&amp;""),""))</f>
        <v/>
      </c>
      <c r="K90">
        <f>IF(K$2=0,"",IFERROR(TRIM(INDEX('Pegar docentes'!$A$1:$BZ$1001,89,K$2)&amp;""),""))</f>
        <v/>
      </c>
      <c r="L90">
        <f>IF(L$2=0,"",IFERROR(TRIM(INDEX('Pegar docentes'!$A$1:$BZ$1001,89,L$2)&amp;""),""))</f>
        <v/>
      </c>
      <c r="M90">
        <f>IF(M$2=0,"",IFERROR(TRIM(INDEX('Pegar docentes'!$A$1:$BZ$1001,89,M$2)&amp;""),""))</f>
        <v/>
      </c>
      <c r="N90">
        <f>IF(N$2=0,"",IFERROR(TRIM(INDEX('Pegar docentes'!$A$1:$BZ$1001,89,N$2)&amp;""),""))</f>
        <v/>
      </c>
      <c r="O90">
        <f>IF(O$2=0,"",IFERROR(TRIM(INDEX('Pegar docentes'!$A$1:$BZ$1001,89,O$2)&amp;""),""))</f>
        <v/>
      </c>
      <c r="P90">
        <f>IF(P$2=0,"",IFERROR(TRIM(INDEX('Pegar docentes'!$A$1:$BZ$1001,89,P$2)&amp;""),""))</f>
        <v/>
      </c>
      <c r="Q90" s="25">
        <f>IF(OR(D90&lt;&gt;"",H90&lt;&gt;""),1,"")</f>
        <v/>
      </c>
      <c r="R90" s="25">
        <f>IF(Q90=1,IF(ISNUMBER(FIND("#"&amp;MID(D90,1,1)&amp;"#","#0#1#2#3#4#5#6#7#8#9#")),IF(ISNUMBER(FIND("#"&amp;MID(D90,2,1)&amp;"#","#0#1#2#3#4#5#6#7#8#9#")),IF(AND(VALUE(LEFT(D90,2))&gt;=1,VALUE(LEFT(D90,2))&lt;=5),VALUE(LEFT(D90,2)),""),IF(AND(VALUE(LEFT(D90,1))&gt;=1,VALUE(LEFT(D90,1))&lt;=5),VALUE(LEFT(D90,1)),"")),""),"")</f>
        <v/>
      </c>
      <c r="S90" s="25">
        <f>IF(AND(Q90=1,E90&lt;&gt;""),SUBSTITUTE(SUBSTITUTE(SUBSTITUTE(SUBSTITUTE(SUBSTITUTE(SUBSTITUTE(SUBSTITUTE(SUBSTITUTE(SUBSTITUTE(SUBSTITUTE(SUBSTITUTE(SUBSTITUTE(LOWER(TRIM(E90)),"á","a"),"é","e"),"í","i"),"ó","o"),"ú","u"),"ü","u"),"ñ","n"),"à","a"),"è","e"),"ì","i"),"ò","o"),"ù","u"),"")</f>
        <v/>
      </c>
      <c r="T90" s="25">
        <f>IF(AND(Q90=1,G90&lt;&gt;""),SUBSTITUTE(SUBSTITUTE(SUBSTITUTE(SUBSTITUTE(SUBSTITUTE(SUBSTITUTE(SUBSTITUTE(SUBSTITUTE(SUBSTITUTE(SUBSTITUTE(SUBSTITUTE(SUBSTITUTE(LOWER(TRIM(G90)),"á","a"),"é","e"),"í","i"),"ó","o"),"ú","u"),"ü","u"),"ñ","n"),"à","a"),"è","e"),"ì","i"),"ò","o"),"ù","u"),"")</f>
        <v/>
      </c>
      <c r="U90" s="25">
        <f>IF(AND(Q90=1,H90&lt;&gt;""),SUBSTITUTE(SUBSTITUTE(SUBSTITUTE(SUBSTITUTE(SUBSTITUTE(SUBSTITUTE(SUBSTITUTE(SUBSTITUTE(SUBSTITUTE(SUBSTITUTE(SUBSTITUTE(SUBSTITUTE(LOWER(TRIM(H90)),"á","a"),"é","e"),"í","i"),"ó","o"),"ú","u"),"ü","u"),"ñ","n"),"à","a"),"è","e"),"ì","i"),"ò","o"),"ù","u"),"")</f>
        <v/>
      </c>
      <c r="V90" s="25">
        <f>IF(AND(Q90=1,L90&lt;&gt;""),SUBSTITUTE(SUBSTITUTE(SUBSTITUTE(SUBSTITUTE(SUBSTITUTE(SUBSTITUTE(SUBSTITUTE(SUBSTITUTE(SUBSTITUTE(SUBSTITUTE(SUBSTITUTE(SUBSTITUTE(LOWER(TRIM(L90)),"á","a"),"é","e"),"í","i"),"ó","o"),"ú","u"),"ü","u"),"ñ","n"),"à","a"),"è","e"),"ì","i"),"ò","o"),"ù","u"),"")</f>
        <v/>
      </c>
      <c r="W90" s="25">
        <f>IF(AND(Q90=1,I90&lt;&gt;""),SUBSTITUTE(SUBSTITUTE(SUBSTITUTE(SUBSTITUTE(SUBSTITUTE(SUBSTITUTE(SUBSTITUTE(SUBSTITUTE(SUBSTITUTE(SUBSTITUTE(SUBSTITUTE(SUBSTITUTE(LOWER(TRIM(I90)),"á","a"),"é","e"),"í","i"),"ó","o"),"ú","u"),"ü","u"),"ñ","n"),"à","a"),"è","e"),"ì","i"),"ò","o"),"ù","u"),"")</f>
        <v/>
      </c>
      <c r="X90" s="25">
        <f>IF(U90="","",IF(OR(U90="si, en la proxima tarea",U90="si, con cambios"),1,0))</f>
        <v/>
      </c>
      <c r="Y90" s="25">
        <f>IF(AND(Q90=1,A90&lt;&gt;""),IF(IFERROR(COUNTIFS(A$3:A90,"="&amp;SUBSTITUTE(SUBSTITUTE(SUBSTITUTE(A90,"~","~~"),"*","~*"),"?","~?"),Q$3:Q90,1),0)=1,MAX(Y$2:Y89)+1,""),"")</f>
        <v/>
      </c>
      <c r="Z90" s="25">
        <f>IF(Y90="","",COUNTIFS($A$3:$A$1002,"="&amp;SUBSTITUTE(SUBSTITUTE(SUBSTITUTE(A90,"~","~~"),"*","~*"),"?","~?"),$Q$3:$Q$1002,1)*10000-Y90)</f>
        <v/>
      </c>
    </row>
    <row r="91">
      <c r="A91">
        <f>IF(A$2=0,"",IFERROR(TRIM(INDEX('Pegar docentes'!$A$1:$BZ$1001,90,A$2)&amp;""),""))</f>
        <v/>
      </c>
      <c r="B91">
        <f>IF(B$2=0,"",IFERROR(TRIM(INDEX('Pegar docentes'!$A$1:$BZ$1001,90,B$2)&amp;""),""))</f>
        <v/>
      </c>
      <c r="C91">
        <f>IF(C$2=0,"",IFERROR(TRIM(INDEX('Pegar docentes'!$A$1:$BZ$1001,90,C$2)&amp;""),""))</f>
        <v/>
      </c>
      <c r="D91">
        <f>IF(D$2=0,"",IFERROR(TRIM(INDEX('Pegar docentes'!$A$1:$BZ$1001,90,D$2)&amp;""),""))</f>
        <v/>
      </c>
      <c r="E91">
        <f>IF(E$2=0,"",IFERROR(TRIM(INDEX('Pegar docentes'!$A$1:$BZ$1001,90,E$2)&amp;""),""))</f>
        <v/>
      </c>
      <c r="F91">
        <f>IF(F$2=0,"",IFERROR(TRIM(INDEX('Pegar docentes'!$A$1:$BZ$1001,90,F$2)&amp;""),""))</f>
        <v/>
      </c>
      <c r="G91">
        <f>IF(G$2=0,"",IFERROR(TRIM(INDEX('Pegar docentes'!$A$1:$BZ$1001,90,G$2)&amp;""),""))</f>
        <v/>
      </c>
      <c r="H91">
        <f>IF(H$2=0,"",IFERROR(TRIM(INDEX('Pegar docentes'!$A$1:$BZ$1001,90,H$2)&amp;""),""))</f>
        <v/>
      </c>
      <c r="I91">
        <f>IF(I$2=0,"",IFERROR(TRIM(INDEX('Pegar docentes'!$A$1:$BZ$1001,90,I$2)&amp;""),""))</f>
        <v/>
      </c>
      <c r="J91">
        <f>IF(J$2=0,"",IFERROR(TRIM(INDEX('Pegar docentes'!$A$1:$BZ$1001,90,J$2)&amp;""),""))</f>
        <v/>
      </c>
      <c r="K91">
        <f>IF(K$2=0,"",IFERROR(TRIM(INDEX('Pegar docentes'!$A$1:$BZ$1001,90,K$2)&amp;""),""))</f>
        <v/>
      </c>
      <c r="L91">
        <f>IF(L$2=0,"",IFERROR(TRIM(INDEX('Pegar docentes'!$A$1:$BZ$1001,90,L$2)&amp;""),""))</f>
        <v/>
      </c>
      <c r="M91">
        <f>IF(M$2=0,"",IFERROR(TRIM(INDEX('Pegar docentes'!$A$1:$BZ$1001,90,M$2)&amp;""),""))</f>
        <v/>
      </c>
      <c r="N91">
        <f>IF(N$2=0,"",IFERROR(TRIM(INDEX('Pegar docentes'!$A$1:$BZ$1001,90,N$2)&amp;""),""))</f>
        <v/>
      </c>
      <c r="O91">
        <f>IF(O$2=0,"",IFERROR(TRIM(INDEX('Pegar docentes'!$A$1:$BZ$1001,90,O$2)&amp;""),""))</f>
        <v/>
      </c>
      <c r="P91">
        <f>IF(P$2=0,"",IFERROR(TRIM(INDEX('Pegar docentes'!$A$1:$BZ$1001,90,P$2)&amp;""),""))</f>
        <v/>
      </c>
      <c r="Q91" s="25">
        <f>IF(OR(D91&lt;&gt;"",H91&lt;&gt;""),1,"")</f>
        <v/>
      </c>
      <c r="R91" s="25">
        <f>IF(Q91=1,IF(ISNUMBER(FIND("#"&amp;MID(D91,1,1)&amp;"#","#0#1#2#3#4#5#6#7#8#9#")),IF(ISNUMBER(FIND("#"&amp;MID(D91,2,1)&amp;"#","#0#1#2#3#4#5#6#7#8#9#")),IF(AND(VALUE(LEFT(D91,2))&gt;=1,VALUE(LEFT(D91,2))&lt;=5),VALUE(LEFT(D91,2)),""),IF(AND(VALUE(LEFT(D91,1))&gt;=1,VALUE(LEFT(D91,1))&lt;=5),VALUE(LEFT(D91,1)),"")),""),"")</f>
        <v/>
      </c>
      <c r="S91" s="25">
        <f>IF(AND(Q91=1,E91&lt;&gt;""),SUBSTITUTE(SUBSTITUTE(SUBSTITUTE(SUBSTITUTE(SUBSTITUTE(SUBSTITUTE(SUBSTITUTE(SUBSTITUTE(SUBSTITUTE(SUBSTITUTE(SUBSTITUTE(SUBSTITUTE(LOWER(TRIM(E91)),"á","a"),"é","e"),"í","i"),"ó","o"),"ú","u"),"ü","u"),"ñ","n"),"à","a"),"è","e"),"ì","i"),"ò","o"),"ù","u"),"")</f>
        <v/>
      </c>
      <c r="T91" s="25">
        <f>IF(AND(Q91=1,G91&lt;&gt;""),SUBSTITUTE(SUBSTITUTE(SUBSTITUTE(SUBSTITUTE(SUBSTITUTE(SUBSTITUTE(SUBSTITUTE(SUBSTITUTE(SUBSTITUTE(SUBSTITUTE(SUBSTITUTE(SUBSTITUTE(LOWER(TRIM(G91)),"á","a"),"é","e"),"í","i"),"ó","o"),"ú","u"),"ü","u"),"ñ","n"),"à","a"),"è","e"),"ì","i"),"ò","o"),"ù","u"),"")</f>
        <v/>
      </c>
      <c r="U91" s="25">
        <f>IF(AND(Q91=1,H91&lt;&gt;""),SUBSTITUTE(SUBSTITUTE(SUBSTITUTE(SUBSTITUTE(SUBSTITUTE(SUBSTITUTE(SUBSTITUTE(SUBSTITUTE(SUBSTITUTE(SUBSTITUTE(SUBSTITUTE(SUBSTITUTE(LOWER(TRIM(H91)),"á","a"),"é","e"),"í","i"),"ó","o"),"ú","u"),"ü","u"),"ñ","n"),"à","a"),"è","e"),"ì","i"),"ò","o"),"ù","u"),"")</f>
        <v/>
      </c>
      <c r="V91" s="25">
        <f>IF(AND(Q91=1,L91&lt;&gt;""),SUBSTITUTE(SUBSTITUTE(SUBSTITUTE(SUBSTITUTE(SUBSTITUTE(SUBSTITUTE(SUBSTITUTE(SUBSTITUTE(SUBSTITUTE(SUBSTITUTE(SUBSTITUTE(SUBSTITUTE(LOWER(TRIM(L91)),"á","a"),"é","e"),"í","i"),"ó","o"),"ú","u"),"ü","u"),"ñ","n"),"à","a"),"è","e"),"ì","i"),"ò","o"),"ù","u"),"")</f>
        <v/>
      </c>
      <c r="W91" s="25">
        <f>IF(AND(Q91=1,I91&lt;&gt;""),SUBSTITUTE(SUBSTITUTE(SUBSTITUTE(SUBSTITUTE(SUBSTITUTE(SUBSTITUTE(SUBSTITUTE(SUBSTITUTE(SUBSTITUTE(SUBSTITUTE(SUBSTITUTE(SUBSTITUTE(LOWER(TRIM(I91)),"á","a"),"é","e"),"í","i"),"ó","o"),"ú","u"),"ü","u"),"ñ","n"),"à","a"),"è","e"),"ì","i"),"ò","o"),"ù","u"),"")</f>
        <v/>
      </c>
      <c r="X91" s="25">
        <f>IF(U91="","",IF(OR(U91="si, en la proxima tarea",U91="si, con cambios"),1,0))</f>
        <v/>
      </c>
      <c r="Y91" s="25">
        <f>IF(AND(Q91=1,A91&lt;&gt;""),IF(IFERROR(COUNTIFS(A$3:A91,"="&amp;SUBSTITUTE(SUBSTITUTE(SUBSTITUTE(A91,"~","~~"),"*","~*"),"?","~?"),Q$3:Q91,1),0)=1,MAX(Y$2:Y90)+1,""),"")</f>
        <v/>
      </c>
      <c r="Z91" s="25">
        <f>IF(Y91="","",COUNTIFS($A$3:$A$1002,"="&amp;SUBSTITUTE(SUBSTITUTE(SUBSTITUTE(A91,"~","~~"),"*","~*"),"?","~?"),$Q$3:$Q$1002,1)*10000-Y91)</f>
        <v/>
      </c>
    </row>
    <row r="92">
      <c r="A92">
        <f>IF(A$2=0,"",IFERROR(TRIM(INDEX('Pegar docentes'!$A$1:$BZ$1001,91,A$2)&amp;""),""))</f>
        <v/>
      </c>
      <c r="B92">
        <f>IF(B$2=0,"",IFERROR(TRIM(INDEX('Pegar docentes'!$A$1:$BZ$1001,91,B$2)&amp;""),""))</f>
        <v/>
      </c>
      <c r="C92">
        <f>IF(C$2=0,"",IFERROR(TRIM(INDEX('Pegar docentes'!$A$1:$BZ$1001,91,C$2)&amp;""),""))</f>
        <v/>
      </c>
      <c r="D92">
        <f>IF(D$2=0,"",IFERROR(TRIM(INDEX('Pegar docentes'!$A$1:$BZ$1001,91,D$2)&amp;""),""))</f>
        <v/>
      </c>
      <c r="E92">
        <f>IF(E$2=0,"",IFERROR(TRIM(INDEX('Pegar docentes'!$A$1:$BZ$1001,91,E$2)&amp;""),""))</f>
        <v/>
      </c>
      <c r="F92">
        <f>IF(F$2=0,"",IFERROR(TRIM(INDEX('Pegar docentes'!$A$1:$BZ$1001,91,F$2)&amp;""),""))</f>
        <v/>
      </c>
      <c r="G92">
        <f>IF(G$2=0,"",IFERROR(TRIM(INDEX('Pegar docentes'!$A$1:$BZ$1001,91,G$2)&amp;""),""))</f>
        <v/>
      </c>
      <c r="H92">
        <f>IF(H$2=0,"",IFERROR(TRIM(INDEX('Pegar docentes'!$A$1:$BZ$1001,91,H$2)&amp;""),""))</f>
        <v/>
      </c>
      <c r="I92">
        <f>IF(I$2=0,"",IFERROR(TRIM(INDEX('Pegar docentes'!$A$1:$BZ$1001,91,I$2)&amp;""),""))</f>
        <v/>
      </c>
      <c r="J92">
        <f>IF(J$2=0,"",IFERROR(TRIM(INDEX('Pegar docentes'!$A$1:$BZ$1001,91,J$2)&amp;""),""))</f>
        <v/>
      </c>
      <c r="K92">
        <f>IF(K$2=0,"",IFERROR(TRIM(INDEX('Pegar docentes'!$A$1:$BZ$1001,91,K$2)&amp;""),""))</f>
        <v/>
      </c>
      <c r="L92">
        <f>IF(L$2=0,"",IFERROR(TRIM(INDEX('Pegar docentes'!$A$1:$BZ$1001,91,L$2)&amp;""),""))</f>
        <v/>
      </c>
      <c r="M92">
        <f>IF(M$2=0,"",IFERROR(TRIM(INDEX('Pegar docentes'!$A$1:$BZ$1001,91,M$2)&amp;""),""))</f>
        <v/>
      </c>
      <c r="N92">
        <f>IF(N$2=0,"",IFERROR(TRIM(INDEX('Pegar docentes'!$A$1:$BZ$1001,91,N$2)&amp;""),""))</f>
        <v/>
      </c>
      <c r="O92">
        <f>IF(O$2=0,"",IFERROR(TRIM(INDEX('Pegar docentes'!$A$1:$BZ$1001,91,O$2)&amp;""),""))</f>
        <v/>
      </c>
      <c r="P92">
        <f>IF(P$2=0,"",IFERROR(TRIM(INDEX('Pegar docentes'!$A$1:$BZ$1001,91,P$2)&amp;""),""))</f>
        <v/>
      </c>
      <c r="Q92" s="25">
        <f>IF(OR(D92&lt;&gt;"",H92&lt;&gt;""),1,"")</f>
        <v/>
      </c>
      <c r="R92" s="25">
        <f>IF(Q92=1,IF(ISNUMBER(FIND("#"&amp;MID(D92,1,1)&amp;"#","#0#1#2#3#4#5#6#7#8#9#")),IF(ISNUMBER(FIND("#"&amp;MID(D92,2,1)&amp;"#","#0#1#2#3#4#5#6#7#8#9#")),IF(AND(VALUE(LEFT(D92,2))&gt;=1,VALUE(LEFT(D92,2))&lt;=5),VALUE(LEFT(D92,2)),""),IF(AND(VALUE(LEFT(D92,1))&gt;=1,VALUE(LEFT(D92,1))&lt;=5),VALUE(LEFT(D92,1)),"")),""),"")</f>
        <v/>
      </c>
      <c r="S92" s="25">
        <f>IF(AND(Q92=1,E92&lt;&gt;""),SUBSTITUTE(SUBSTITUTE(SUBSTITUTE(SUBSTITUTE(SUBSTITUTE(SUBSTITUTE(SUBSTITUTE(SUBSTITUTE(SUBSTITUTE(SUBSTITUTE(SUBSTITUTE(SUBSTITUTE(LOWER(TRIM(E92)),"á","a"),"é","e"),"í","i"),"ó","o"),"ú","u"),"ü","u"),"ñ","n"),"à","a"),"è","e"),"ì","i"),"ò","o"),"ù","u"),"")</f>
        <v/>
      </c>
      <c r="T92" s="25">
        <f>IF(AND(Q92=1,G92&lt;&gt;""),SUBSTITUTE(SUBSTITUTE(SUBSTITUTE(SUBSTITUTE(SUBSTITUTE(SUBSTITUTE(SUBSTITUTE(SUBSTITUTE(SUBSTITUTE(SUBSTITUTE(SUBSTITUTE(SUBSTITUTE(LOWER(TRIM(G92)),"á","a"),"é","e"),"í","i"),"ó","o"),"ú","u"),"ü","u"),"ñ","n"),"à","a"),"è","e"),"ì","i"),"ò","o"),"ù","u"),"")</f>
        <v/>
      </c>
      <c r="U92" s="25">
        <f>IF(AND(Q92=1,H92&lt;&gt;""),SUBSTITUTE(SUBSTITUTE(SUBSTITUTE(SUBSTITUTE(SUBSTITUTE(SUBSTITUTE(SUBSTITUTE(SUBSTITUTE(SUBSTITUTE(SUBSTITUTE(SUBSTITUTE(SUBSTITUTE(LOWER(TRIM(H92)),"á","a"),"é","e"),"í","i"),"ó","o"),"ú","u"),"ü","u"),"ñ","n"),"à","a"),"è","e"),"ì","i"),"ò","o"),"ù","u"),"")</f>
        <v/>
      </c>
      <c r="V92" s="25">
        <f>IF(AND(Q92=1,L92&lt;&gt;""),SUBSTITUTE(SUBSTITUTE(SUBSTITUTE(SUBSTITUTE(SUBSTITUTE(SUBSTITUTE(SUBSTITUTE(SUBSTITUTE(SUBSTITUTE(SUBSTITUTE(SUBSTITUTE(SUBSTITUTE(LOWER(TRIM(L92)),"á","a"),"é","e"),"í","i"),"ó","o"),"ú","u"),"ü","u"),"ñ","n"),"à","a"),"è","e"),"ì","i"),"ò","o"),"ù","u"),"")</f>
        <v/>
      </c>
      <c r="W92" s="25">
        <f>IF(AND(Q92=1,I92&lt;&gt;""),SUBSTITUTE(SUBSTITUTE(SUBSTITUTE(SUBSTITUTE(SUBSTITUTE(SUBSTITUTE(SUBSTITUTE(SUBSTITUTE(SUBSTITUTE(SUBSTITUTE(SUBSTITUTE(SUBSTITUTE(LOWER(TRIM(I92)),"á","a"),"é","e"),"í","i"),"ó","o"),"ú","u"),"ü","u"),"ñ","n"),"à","a"),"è","e"),"ì","i"),"ò","o"),"ù","u"),"")</f>
        <v/>
      </c>
      <c r="X92" s="25">
        <f>IF(U92="","",IF(OR(U92="si, en la proxima tarea",U92="si, con cambios"),1,0))</f>
        <v/>
      </c>
      <c r="Y92" s="25">
        <f>IF(AND(Q92=1,A92&lt;&gt;""),IF(IFERROR(COUNTIFS(A$3:A92,"="&amp;SUBSTITUTE(SUBSTITUTE(SUBSTITUTE(A92,"~","~~"),"*","~*"),"?","~?"),Q$3:Q92,1),0)=1,MAX(Y$2:Y91)+1,""),"")</f>
        <v/>
      </c>
      <c r="Z92" s="25">
        <f>IF(Y92="","",COUNTIFS($A$3:$A$1002,"="&amp;SUBSTITUTE(SUBSTITUTE(SUBSTITUTE(A92,"~","~~"),"*","~*"),"?","~?"),$Q$3:$Q$1002,1)*10000-Y92)</f>
        <v/>
      </c>
    </row>
    <row r="93">
      <c r="A93">
        <f>IF(A$2=0,"",IFERROR(TRIM(INDEX('Pegar docentes'!$A$1:$BZ$1001,92,A$2)&amp;""),""))</f>
        <v/>
      </c>
      <c r="B93">
        <f>IF(B$2=0,"",IFERROR(TRIM(INDEX('Pegar docentes'!$A$1:$BZ$1001,92,B$2)&amp;""),""))</f>
        <v/>
      </c>
      <c r="C93">
        <f>IF(C$2=0,"",IFERROR(TRIM(INDEX('Pegar docentes'!$A$1:$BZ$1001,92,C$2)&amp;""),""))</f>
        <v/>
      </c>
      <c r="D93">
        <f>IF(D$2=0,"",IFERROR(TRIM(INDEX('Pegar docentes'!$A$1:$BZ$1001,92,D$2)&amp;""),""))</f>
        <v/>
      </c>
      <c r="E93">
        <f>IF(E$2=0,"",IFERROR(TRIM(INDEX('Pegar docentes'!$A$1:$BZ$1001,92,E$2)&amp;""),""))</f>
        <v/>
      </c>
      <c r="F93">
        <f>IF(F$2=0,"",IFERROR(TRIM(INDEX('Pegar docentes'!$A$1:$BZ$1001,92,F$2)&amp;""),""))</f>
        <v/>
      </c>
      <c r="G93">
        <f>IF(G$2=0,"",IFERROR(TRIM(INDEX('Pegar docentes'!$A$1:$BZ$1001,92,G$2)&amp;""),""))</f>
        <v/>
      </c>
      <c r="H93">
        <f>IF(H$2=0,"",IFERROR(TRIM(INDEX('Pegar docentes'!$A$1:$BZ$1001,92,H$2)&amp;""),""))</f>
        <v/>
      </c>
      <c r="I93">
        <f>IF(I$2=0,"",IFERROR(TRIM(INDEX('Pegar docentes'!$A$1:$BZ$1001,92,I$2)&amp;""),""))</f>
        <v/>
      </c>
      <c r="J93">
        <f>IF(J$2=0,"",IFERROR(TRIM(INDEX('Pegar docentes'!$A$1:$BZ$1001,92,J$2)&amp;""),""))</f>
        <v/>
      </c>
      <c r="K93">
        <f>IF(K$2=0,"",IFERROR(TRIM(INDEX('Pegar docentes'!$A$1:$BZ$1001,92,K$2)&amp;""),""))</f>
        <v/>
      </c>
      <c r="L93">
        <f>IF(L$2=0,"",IFERROR(TRIM(INDEX('Pegar docentes'!$A$1:$BZ$1001,92,L$2)&amp;""),""))</f>
        <v/>
      </c>
      <c r="M93">
        <f>IF(M$2=0,"",IFERROR(TRIM(INDEX('Pegar docentes'!$A$1:$BZ$1001,92,M$2)&amp;""),""))</f>
        <v/>
      </c>
      <c r="N93">
        <f>IF(N$2=0,"",IFERROR(TRIM(INDEX('Pegar docentes'!$A$1:$BZ$1001,92,N$2)&amp;""),""))</f>
        <v/>
      </c>
      <c r="O93">
        <f>IF(O$2=0,"",IFERROR(TRIM(INDEX('Pegar docentes'!$A$1:$BZ$1001,92,O$2)&amp;""),""))</f>
        <v/>
      </c>
      <c r="P93">
        <f>IF(P$2=0,"",IFERROR(TRIM(INDEX('Pegar docentes'!$A$1:$BZ$1001,92,P$2)&amp;""),""))</f>
        <v/>
      </c>
      <c r="Q93" s="25">
        <f>IF(OR(D93&lt;&gt;"",H93&lt;&gt;""),1,"")</f>
        <v/>
      </c>
      <c r="R93" s="25">
        <f>IF(Q93=1,IF(ISNUMBER(FIND("#"&amp;MID(D93,1,1)&amp;"#","#0#1#2#3#4#5#6#7#8#9#")),IF(ISNUMBER(FIND("#"&amp;MID(D93,2,1)&amp;"#","#0#1#2#3#4#5#6#7#8#9#")),IF(AND(VALUE(LEFT(D93,2))&gt;=1,VALUE(LEFT(D93,2))&lt;=5),VALUE(LEFT(D93,2)),""),IF(AND(VALUE(LEFT(D93,1))&gt;=1,VALUE(LEFT(D93,1))&lt;=5),VALUE(LEFT(D93,1)),"")),""),"")</f>
        <v/>
      </c>
      <c r="S93" s="25">
        <f>IF(AND(Q93=1,E93&lt;&gt;""),SUBSTITUTE(SUBSTITUTE(SUBSTITUTE(SUBSTITUTE(SUBSTITUTE(SUBSTITUTE(SUBSTITUTE(SUBSTITUTE(SUBSTITUTE(SUBSTITUTE(SUBSTITUTE(SUBSTITUTE(LOWER(TRIM(E93)),"á","a"),"é","e"),"í","i"),"ó","o"),"ú","u"),"ü","u"),"ñ","n"),"à","a"),"è","e"),"ì","i"),"ò","o"),"ù","u"),"")</f>
        <v/>
      </c>
      <c r="T93" s="25">
        <f>IF(AND(Q93=1,G93&lt;&gt;""),SUBSTITUTE(SUBSTITUTE(SUBSTITUTE(SUBSTITUTE(SUBSTITUTE(SUBSTITUTE(SUBSTITUTE(SUBSTITUTE(SUBSTITUTE(SUBSTITUTE(SUBSTITUTE(SUBSTITUTE(LOWER(TRIM(G93)),"á","a"),"é","e"),"í","i"),"ó","o"),"ú","u"),"ü","u"),"ñ","n"),"à","a"),"è","e"),"ì","i"),"ò","o"),"ù","u"),"")</f>
        <v/>
      </c>
      <c r="U93" s="25">
        <f>IF(AND(Q93=1,H93&lt;&gt;""),SUBSTITUTE(SUBSTITUTE(SUBSTITUTE(SUBSTITUTE(SUBSTITUTE(SUBSTITUTE(SUBSTITUTE(SUBSTITUTE(SUBSTITUTE(SUBSTITUTE(SUBSTITUTE(SUBSTITUTE(LOWER(TRIM(H93)),"á","a"),"é","e"),"í","i"),"ó","o"),"ú","u"),"ü","u"),"ñ","n"),"à","a"),"è","e"),"ì","i"),"ò","o"),"ù","u"),"")</f>
        <v/>
      </c>
      <c r="V93" s="25">
        <f>IF(AND(Q93=1,L93&lt;&gt;""),SUBSTITUTE(SUBSTITUTE(SUBSTITUTE(SUBSTITUTE(SUBSTITUTE(SUBSTITUTE(SUBSTITUTE(SUBSTITUTE(SUBSTITUTE(SUBSTITUTE(SUBSTITUTE(SUBSTITUTE(LOWER(TRIM(L93)),"á","a"),"é","e"),"í","i"),"ó","o"),"ú","u"),"ü","u"),"ñ","n"),"à","a"),"è","e"),"ì","i"),"ò","o"),"ù","u"),"")</f>
        <v/>
      </c>
      <c r="W93" s="25">
        <f>IF(AND(Q93=1,I93&lt;&gt;""),SUBSTITUTE(SUBSTITUTE(SUBSTITUTE(SUBSTITUTE(SUBSTITUTE(SUBSTITUTE(SUBSTITUTE(SUBSTITUTE(SUBSTITUTE(SUBSTITUTE(SUBSTITUTE(SUBSTITUTE(LOWER(TRIM(I93)),"á","a"),"é","e"),"í","i"),"ó","o"),"ú","u"),"ü","u"),"ñ","n"),"à","a"),"è","e"),"ì","i"),"ò","o"),"ù","u"),"")</f>
        <v/>
      </c>
      <c r="X93" s="25">
        <f>IF(U93="","",IF(OR(U93="si, en la proxima tarea",U93="si, con cambios"),1,0))</f>
        <v/>
      </c>
      <c r="Y93" s="25">
        <f>IF(AND(Q93=1,A93&lt;&gt;""),IF(IFERROR(COUNTIFS(A$3:A93,"="&amp;SUBSTITUTE(SUBSTITUTE(SUBSTITUTE(A93,"~","~~"),"*","~*"),"?","~?"),Q$3:Q93,1),0)=1,MAX(Y$2:Y92)+1,""),"")</f>
        <v/>
      </c>
      <c r="Z93" s="25">
        <f>IF(Y93="","",COUNTIFS($A$3:$A$1002,"="&amp;SUBSTITUTE(SUBSTITUTE(SUBSTITUTE(A93,"~","~~"),"*","~*"),"?","~?"),$Q$3:$Q$1002,1)*10000-Y93)</f>
        <v/>
      </c>
    </row>
    <row r="94">
      <c r="A94">
        <f>IF(A$2=0,"",IFERROR(TRIM(INDEX('Pegar docentes'!$A$1:$BZ$1001,93,A$2)&amp;""),""))</f>
        <v/>
      </c>
      <c r="B94">
        <f>IF(B$2=0,"",IFERROR(TRIM(INDEX('Pegar docentes'!$A$1:$BZ$1001,93,B$2)&amp;""),""))</f>
        <v/>
      </c>
      <c r="C94">
        <f>IF(C$2=0,"",IFERROR(TRIM(INDEX('Pegar docentes'!$A$1:$BZ$1001,93,C$2)&amp;""),""))</f>
        <v/>
      </c>
      <c r="D94">
        <f>IF(D$2=0,"",IFERROR(TRIM(INDEX('Pegar docentes'!$A$1:$BZ$1001,93,D$2)&amp;""),""))</f>
        <v/>
      </c>
      <c r="E94">
        <f>IF(E$2=0,"",IFERROR(TRIM(INDEX('Pegar docentes'!$A$1:$BZ$1001,93,E$2)&amp;""),""))</f>
        <v/>
      </c>
      <c r="F94">
        <f>IF(F$2=0,"",IFERROR(TRIM(INDEX('Pegar docentes'!$A$1:$BZ$1001,93,F$2)&amp;""),""))</f>
        <v/>
      </c>
      <c r="G94">
        <f>IF(G$2=0,"",IFERROR(TRIM(INDEX('Pegar docentes'!$A$1:$BZ$1001,93,G$2)&amp;""),""))</f>
        <v/>
      </c>
      <c r="H94">
        <f>IF(H$2=0,"",IFERROR(TRIM(INDEX('Pegar docentes'!$A$1:$BZ$1001,93,H$2)&amp;""),""))</f>
        <v/>
      </c>
      <c r="I94">
        <f>IF(I$2=0,"",IFERROR(TRIM(INDEX('Pegar docentes'!$A$1:$BZ$1001,93,I$2)&amp;""),""))</f>
        <v/>
      </c>
      <c r="J94">
        <f>IF(J$2=0,"",IFERROR(TRIM(INDEX('Pegar docentes'!$A$1:$BZ$1001,93,J$2)&amp;""),""))</f>
        <v/>
      </c>
      <c r="K94">
        <f>IF(K$2=0,"",IFERROR(TRIM(INDEX('Pegar docentes'!$A$1:$BZ$1001,93,K$2)&amp;""),""))</f>
        <v/>
      </c>
      <c r="L94">
        <f>IF(L$2=0,"",IFERROR(TRIM(INDEX('Pegar docentes'!$A$1:$BZ$1001,93,L$2)&amp;""),""))</f>
        <v/>
      </c>
      <c r="M94">
        <f>IF(M$2=0,"",IFERROR(TRIM(INDEX('Pegar docentes'!$A$1:$BZ$1001,93,M$2)&amp;""),""))</f>
        <v/>
      </c>
      <c r="N94">
        <f>IF(N$2=0,"",IFERROR(TRIM(INDEX('Pegar docentes'!$A$1:$BZ$1001,93,N$2)&amp;""),""))</f>
        <v/>
      </c>
      <c r="O94">
        <f>IF(O$2=0,"",IFERROR(TRIM(INDEX('Pegar docentes'!$A$1:$BZ$1001,93,O$2)&amp;""),""))</f>
        <v/>
      </c>
      <c r="P94">
        <f>IF(P$2=0,"",IFERROR(TRIM(INDEX('Pegar docentes'!$A$1:$BZ$1001,93,P$2)&amp;""),""))</f>
        <v/>
      </c>
      <c r="Q94" s="25">
        <f>IF(OR(D94&lt;&gt;"",H94&lt;&gt;""),1,"")</f>
        <v/>
      </c>
      <c r="R94" s="25">
        <f>IF(Q94=1,IF(ISNUMBER(FIND("#"&amp;MID(D94,1,1)&amp;"#","#0#1#2#3#4#5#6#7#8#9#")),IF(ISNUMBER(FIND("#"&amp;MID(D94,2,1)&amp;"#","#0#1#2#3#4#5#6#7#8#9#")),IF(AND(VALUE(LEFT(D94,2))&gt;=1,VALUE(LEFT(D94,2))&lt;=5),VALUE(LEFT(D94,2)),""),IF(AND(VALUE(LEFT(D94,1))&gt;=1,VALUE(LEFT(D94,1))&lt;=5),VALUE(LEFT(D94,1)),"")),""),"")</f>
        <v/>
      </c>
      <c r="S94" s="25">
        <f>IF(AND(Q94=1,E94&lt;&gt;""),SUBSTITUTE(SUBSTITUTE(SUBSTITUTE(SUBSTITUTE(SUBSTITUTE(SUBSTITUTE(SUBSTITUTE(SUBSTITUTE(SUBSTITUTE(SUBSTITUTE(SUBSTITUTE(SUBSTITUTE(LOWER(TRIM(E94)),"á","a"),"é","e"),"í","i"),"ó","o"),"ú","u"),"ü","u"),"ñ","n"),"à","a"),"è","e"),"ì","i"),"ò","o"),"ù","u"),"")</f>
        <v/>
      </c>
      <c r="T94" s="25">
        <f>IF(AND(Q94=1,G94&lt;&gt;""),SUBSTITUTE(SUBSTITUTE(SUBSTITUTE(SUBSTITUTE(SUBSTITUTE(SUBSTITUTE(SUBSTITUTE(SUBSTITUTE(SUBSTITUTE(SUBSTITUTE(SUBSTITUTE(SUBSTITUTE(LOWER(TRIM(G94)),"á","a"),"é","e"),"í","i"),"ó","o"),"ú","u"),"ü","u"),"ñ","n"),"à","a"),"è","e"),"ì","i"),"ò","o"),"ù","u"),"")</f>
        <v/>
      </c>
      <c r="U94" s="25">
        <f>IF(AND(Q94=1,H94&lt;&gt;""),SUBSTITUTE(SUBSTITUTE(SUBSTITUTE(SUBSTITUTE(SUBSTITUTE(SUBSTITUTE(SUBSTITUTE(SUBSTITUTE(SUBSTITUTE(SUBSTITUTE(SUBSTITUTE(SUBSTITUTE(LOWER(TRIM(H94)),"á","a"),"é","e"),"í","i"),"ó","o"),"ú","u"),"ü","u"),"ñ","n"),"à","a"),"è","e"),"ì","i"),"ò","o"),"ù","u"),"")</f>
        <v/>
      </c>
      <c r="V94" s="25">
        <f>IF(AND(Q94=1,L94&lt;&gt;""),SUBSTITUTE(SUBSTITUTE(SUBSTITUTE(SUBSTITUTE(SUBSTITUTE(SUBSTITUTE(SUBSTITUTE(SUBSTITUTE(SUBSTITUTE(SUBSTITUTE(SUBSTITUTE(SUBSTITUTE(LOWER(TRIM(L94)),"á","a"),"é","e"),"í","i"),"ó","o"),"ú","u"),"ü","u"),"ñ","n"),"à","a"),"è","e"),"ì","i"),"ò","o"),"ù","u"),"")</f>
        <v/>
      </c>
      <c r="W94" s="25">
        <f>IF(AND(Q94=1,I94&lt;&gt;""),SUBSTITUTE(SUBSTITUTE(SUBSTITUTE(SUBSTITUTE(SUBSTITUTE(SUBSTITUTE(SUBSTITUTE(SUBSTITUTE(SUBSTITUTE(SUBSTITUTE(SUBSTITUTE(SUBSTITUTE(LOWER(TRIM(I94)),"á","a"),"é","e"),"í","i"),"ó","o"),"ú","u"),"ü","u"),"ñ","n"),"à","a"),"è","e"),"ì","i"),"ò","o"),"ù","u"),"")</f>
        <v/>
      </c>
      <c r="X94" s="25">
        <f>IF(U94="","",IF(OR(U94="si, en la proxima tarea",U94="si, con cambios"),1,0))</f>
        <v/>
      </c>
      <c r="Y94" s="25">
        <f>IF(AND(Q94=1,A94&lt;&gt;""),IF(IFERROR(COUNTIFS(A$3:A94,"="&amp;SUBSTITUTE(SUBSTITUTE(SUBSTITUTE(A94,"~","~~"),"*","~*"),"?","~?"),Q$3:Q94,1),0)=1,MAX(Y$2:Y93)+1,""),"")</f>
        <v/>
      </c>
      <c r="Z94" s="25">
        <f>IF(Y94="","",COUNTIFS($A$3:$A$1002,"="&amp;SUBSTITUTE(SUBSTITUTE(SUBSTITUTE(A94,"~","~~"),"*","~*"),"?","~?"),$Q$3:$Q$1002,1)*10000-Y94)</f>
        <v/>
      </c>
    </row>
    <row r="95">
      <c r="A95">
        <f>IF(A$2=0,"",IFERROR(TRIM(INDEX('Pegar docentes'!$A$1:$BZ$1001,94,A$2)&amp;""),""))</f>
        <v/>
      </c>
      <c r="B95">
        <f>IF(B$2=0,"",IFERROR(TRIM(INDEX('Pegar docentes'!$A$1:$BZ$1001,94,B$2)&amp;""),""))</f>
        <v/>
      </c>
      <c r="C95">
        <f>IF(C$2=0,"",IFERROR(TRIM(INDEX('Pegar docentes'!$A$1:$BZ$1001,94,C$2)&amp;""),""))</f>
        <v/>
      </c>
      <c r="D95">
        <f>IF(D$2=0,"",IFERROR(TRIM(INDEX('Pegar docentes'!$A$1:$BZ$1001,94,D$2)&amp;""),""))</f>
        <v/>
      </c>
      <c r="E95">
        <f>IF(E$2=0,"",IFERROR(TRIM(INDEX('Pegar docentes'!$A$1:$BZ$1001,94,E$2)&amp;""),""))</f>
        <v/>
      </c>
      <c r="F95">
        <f>IF(F$2=0,"",IFERROR(TRIM(INDEX('Pegar docentes'!$A$1:$BZ$1001,94,F$2)&amp;""),""))</f>
        <v/>
      </c>
      <c r="G95">
        <f>IF(G$2=0,"",IFERROR(TRIM(INDEX('Pegar docentes'!$A$1:$BZ$1001,94,G$2)&amp;""),""))</f>
        <v/>
      </c>
      <c r="H95">
        <f>IF(H$2=0,"",IFERROR(TRIM(INDEX('Pegar docentes'!$A$1:$BZ$1001,94,H$2)&amp;""),""))</f>
        <v/>
      </c>
      <c r="I95">
        <f>IF(I$2=0,"",IFERROR(TRIM(INDEX('Pegar docentes'!$A$1:$BZ$1001,94,I$2)&amp;""),""))</f>
        <v/>
      </c>
      <c r="J95">
        <f>IF(J$2=0,"",IFERROR(TRIM(INDEX('Pegar docentes'!$A$1:$BZ$1001,94,J$2)&amp;""),""))</f>
        <v/>
      </c>
      <c r="K95">
        <f>IF(K$2=0,"",IFERROR(TRIM(INDEX('Pegar docentes'!$A$1:$BZ$1001,94,K$2)&amp;""),""))</f>
        <v/>
      </c>
      <c r="L95">
        <f>IF(L$2=0,"",IFERROR(TRIM(INDEX('Pegar docentes'!$A$1:$BZ$1001,94,L$2)&amp;""),""))</f>
        <v/>
      </c>
      <c r="M95">
        <f>IF(M$2=0,"",IFERROR(TRIM(INDEX('Pegar docentes'!$A$1:$BZ$1001,94,M$2)&amp;""),""))</f>
        <v/>
      </c>
      <c r="N95">
        <f>IF(N$2=0,"",IFERROR(TRIM(INDEX('Pegar docentes'!$A$1:$BZ$1001,94,N$2)&amp;""),""))</f>
        <v/>
      </c>
      <c r="O95">
        <f>IF(O$2=0,"",IFERROR(TRIM(INDEX('Pegar docentes'!$A$1:$BZ$1001,94,O$2)&amp;""),""))</f>
        <v/>
      </c>
      <c r="P95">
        <f>IF(P$2=0,"",IFERROR(TRIM(INDEX('Pegar docentes'!$A$1:$BZ$1001,94,P$2)&amp;""),""))</f>
        <v/>
      </c>
      <c r="Q95" s="25">
        <f>IF(OR(D95&lt;&gt;"",H95&lt;&gt;""),1,"")</f>
        <v/>
      </c>
      <c r="R95" s="25">
        <f>IF(Q95=1,IF(ISNUMBER(FIND("#"&amp;MID(D95,1,1)&amp;"#","#0#1#2#3#4#5#6#7#8#9#")),IF(ISNUMBER(FIND("#"&amp;MID(D95,2,1)&amp;"#","#0#1#2#3#4#5#6#7#8#9#")),IF(AND(VALUE(LEFT(D95,2))&gt;=1,VALUE(LEFT(D95,2))&lt;=5),VALUE(LEFT(D95,2)),""),IF(AND(VALUE(LEFT(D95,1))&gt;=1,VALUE(LEFT(D95,1))&lt;=5),VALUE(LEFT(D95,1)),"")),""),"")</f>
        <v/>
      </c>
      <c r="S95" s="25">
        <f>IF(AND(Q95=1,E95&lt;&gt;""),SUBSTITUTE(SUBSTITUTE(SUBSTITUTE(SUBSTITUTE(SUBSTITUTE(SUBSTITUTE(SUBSTITUTE(SUBSTITUTE(SUBSTITUTE(SUBSTITUTE(SUBSTITUTE(SUBSTITUTE(LOWER(TRIM(E95)),"á","a"),"é","e"),"í","i"),"ó","o"),"ú","u"),"ü","u"),"ñ","n"),"à","a"),"è","e"),"ì","i"),"ò","o"),"ù","u"),"")</f>
        <v/>
      </c>
      <c r="T95" s="25">
        <f>IF(AND(Q95=1,G95&lt;&gt;""),SUBSTITUTE(SUBSTITUTE(SUBSTITUTE(SUBSTITUTE(SUBSTITUTE(SUBSTITUTE(SUBSTITUTE(SUBSTITUTE(SUBSTITUTE(SUBSTITUTE(SUBSTITUTE(SUBSTITUTE(LOWER(TRIM(G95)),"á","a"),"é","e"),"í","i"),"ó","o"),"ú","u"),"ü","u"),"ñ","n"),"à","a"),"è","e"),"ì","i"),"ò","o"),"ù","u"),"")</f>
        <v/>
      </c>
      <c r="U95" s="25">
        <f>IF(AND(Q95=1,H95&lt;&gt;""),SUBSTITUTE(SUBSTITUTE(SUBSTITUTE(SUBSTITUTE(SUBSTITUTE(SUBSTITUTE(SUBSTITUTE(SUBSTITUTE(SUBSTITUTE(SUBSTITUTE(SUBSTITUTE(SUBSTITUTE(LOWER(TRIM(H95)),"á","a"),"é","e"),"í","i"),"ó","o"),"ú","u"),"ü","u"),"ñ","n"),"à","a"),"è","e"),"ì","i"),"ò","o"),"ù","u"),"")</f>
        <v/>
      </c>
      <c r="V95" s="25">
        <f>IF(AND(Q95=1,L95&lt;&gt;""),SUBSTITUTE(SUBSTITUTE(SUBSTITUTE(SUBSTITUTE(SUBSTITUTE(SUBSTITUTE(SUBSTITUTE(SUBSTITUTE(SUBSTITUTE(SUBSTITUTE(SUBSTITUTE(SUBSTITUTE(LOWER(TRIM(L95)),"á","a"),"é","e"),"í","i"),"ó","o"),"ú","u"),"ü","u"),"ñ","n"),"à","a"),"è","e"),"ì","i"),"ò","o"),"ù","u"),"")</f>
        <v/>
      </c>
      <c r="W95" s="25">
        <f>IF(AND(Q95=1,I95&lt;&gt;""),SUBSTITUTE(SUBSTITUTE(SUBSTITUTE(SUBSTITUTE(SUBSTITUTE(SUBSTITUTE(SUBSTITUTE(SUBSTITUTE(SUBSTITUTE(SUBSTITUTE(SUBSTITUTE(SUBSTITUTE(LOWER(TRIM(I95)),"á","a"),"é","e"),"í","i"),"ó","o"),"ú","u"),"ü","u"),"ñ","n"),"à","a"),"è","e"),"ì","i"),"ò","o"),"ù","u"),"")</f>
        <v/>
      </c>
      <c r="X95" s="25">
        <f>IF(U95="","",IF(OR(U95="si, en la proxima tarea",U95="si, con cambios"),1,0))</f>
        <v/>
      </c>
      <c r="Y95" s="25">
        <f>IF(AND(Q95=1,A95&lt;&gt;""),IF(IFERROR(COUNTIFS(A$3:A95,"="&amp;SUBSTITUTE(SUBSTITUTE(SUBSTITUTE(A95,"~","~~"),"*","~*"),"?","~?"),Q$3:Q95,1),0)=1,MAX(Y$2:Y94)+1,""),"")</f>
        <v/>
      </c>
      <c r="Z95" s="25">
        <f>IF(Y95="","",COUNTIFS($A$3:$A$1002,"="&amp;SUBSTITUTE(SUBSTITUTE(SUBSTITUTE(A95,"~","~~"),"*","~*"),"?","~?"),$Q$3:$Q$1002,1)*10000-Y95)</f>
        <v/>
      </c>
    </row>
    <row r="96">
      <c r="A96">
        <f>IF(A$2=0,"",IFERROR(TRIM(INDEX('Pegar docentes'!$A$1:$BZ$1001,95,A$2)&amp;""),""))</f>
        <v/>
      </c>
      <c r="B96">
        <f>IF(B$2=0,"",IFERROR(TRIM(INDEX('Pegar docentes'!$A$1:$BZ$1001,95,B$2)&amp;""),""))</f>
        <v/>
      </c>
      <c r="C96">
        <f>IF(C$2=0,"",IFERROR(TRIM(INDEX('Pegar docentes'!$A$1:$BZ$1001,95,C$2)&amp;""),""))</f>
        <v/>
      </c>
      <c r="D96">
        <f>IF(D$2=0,"",IFERROR(TRIM(INDEX('Pegar docentes'!$A$1:$BZ$1001,95,D$2)&amp;""),""))</f>
        <v/>
      </c>
      <c r="E96">
        <f>IF(E$2=0,"",IFERROR(TRIM(INDEX('Pegar docentes'!$A$1:$BZ$1001,95,E$2)&amp;""),""))</f>
        <v/>
      </c>
      <c r="F96">
        <f>IF(F$2=0,"",IFERROR(TRIM(INDEX('Pegar docentes'!$A$1:$BZ$1001,95,F$2)&amp;""),""))</f>
        <v/>
      </c>
      <c r="G96">
        <f>IF(G$2=0,"",IFERROR(TRIM(INDEX('Pegar docentes'!$A$1:$BZ$1001,95,G$2)&amp;""),""))</f>
        <v/>
      </c>
      <c r="H96">
        <f>IF(H$2=0,"",IFERROR(TRIM(INDEX('Pegar docentes'!$A$1:$BZ$1001,95,H$2)&amp;""),""))</f>
        <v/>
      </c>
      <c r="I96">
        <f>IF(I$2=0,"",IFERROR(TRIM(INDEX('Pegar docentes'!$A$1:$BZ$1001,95,I$2)&amp;""),""))</f>
        <v/>
      </c>
      <c r="J96">
        <f>IF(J$2=0,"",IFERROR(TRIM(INDEX('Pegar docentes'!$A$1:$BZ$1001,95,J$2)&amp;""),""))</f>
        <v/>
      </c>
      <c r="K96">
        <f>IF(K$2=0,"",IFERROR(TRIM(INDEX('Pegar docentes'!$A$1:$BZ$1001,95,K$2)&amp;""),""))</f>
        <v/>
      </c>
      <c r="L96">
        <f>IF(L$2=0,"",IFERROR(TRIM(INDEX('Pegar docentes'!$A$1:$BZ$1001,95,L$2)&amp;""),""))</f>
        <v/>
      </c>
      <c r="M96">
        <f>IF(M$2=0,"",IFERROR(TRIM(INDEX('Pegar docentes'!$A$1:$BZ$1001,95,M$2)&amp;""),""))</f>
        <v/>
      </c>
      <c r="N96">
        <f>IF(N$2=0,"",IFERROR(TRIM(INDEX('Pegar docentes'!$A$1:$BZ$1001,95,N$2)&amp;""),""))</f>
        <v/>
      </c>
      <c r="O96">
        <f>IF(O$2=0,"",IFERROR(TRIM(INDEX('Pegar docentes'!$A$1:$BZ$1001,95,O$2)&amp;""),""))</f>
        <v/>
      </c>
      <c r="P96">
        <f>IF(P$2=0,"",IFERROR(TRIM(INDEX('Pegar docentes'!$A$1:$BZ$1001,95,P$2)&amp;""),""))</f>
        <v/>
      </c>
      <c r="Q96" s="25">
        <f>IF(OR(D96&lt;&gt;"",H96&lt;&gt;""),1,"")</f>
        <v/>
      </c>
      <c r="R96" s="25">
        <f>IF(Q96=1,IF(ISNUMBER(FIND("#"&amp;MID(D96,1,1)&amp;"#","#0#1#2#3#4#5#6#7#8#9#")),IF(ISNUMBER(FIND("#"&amp;MID(D96,2,1)&amp;"#","#0#1#2#3#4#5#6#7#8#9#")),IF(AND(VALUE(LEFT(D96,2))&gt;=1,VALUE(LEFT(D96,2))&lt;=5),VALUE(LEFT(D96,2)),""),IF(AND(VALUE(LEFT(D96,1))&gt;=1,VALUE(LEFT(D96,1))&lt;=5),VALUE(LEFT(D96,1)),"")),""),"")</f>
        <v/>
      </c>
      <c r="S96" s="25">
        <f>IF(AND(Q96=1,E96&lt;&gt;""),SUBSTITUTE(SUBSTITUTE(SUBSTITUTE(SUBSTITUTE(SUBSTITUTE(SUBSTITUTE(SUBSTITUTE(SUBSTITUTE(SUBSTITUTE(SUBSTITUTE(SUBSTITUTE(SUBSTITUTE(LOWER(TRIM(E96)),"á","a"),"é","e"),"í","i"),"ó","o"),"ú","u"),"ü","u"),"ñ","n"),"à","a"),"è","e"),"ì","i"),"ò","o"),"ù","u"),"")</f>
        <v/>
      </c>
      <c r="T96" s="25">
        <f>IF(AND(Q96=1,G96&lt;&gt;""),SUBSTITUTE(SUBSTITUTE(SUBSTITUTE(SUBSTITUTE(SUBSTITUTE(SUBSTITUTE(SUBSTITUTE(SUBSTITUTE(SUBSTITUTE(SUBSTITUTE(SUBSTITUTE(SUBSTITUTE(LOWER(TRIM(G96)),"á","a"),"é","e"),"í","i"),"ó","o"),"ú","u"),"ü","u"),"ñ","n"),"à","a"),"è","e"),"ì","i"),"ò","o"),"ù","u"),"")</f>
        <v/>
      </c>
      <c r="U96" s="25">
        <f>IF(AND(Q96=1,H96&lt;&gt;""),SUBSTITUTE(SUBSTITUTE(SUBSTITUTE(SUBSTITUTE(SUBSTITUTE(SUBSTITUTE(SUBSTITUTE(SUBSTITUTE(SUBSTITUTE(SUBSTITUTE(SUBSTITUTE(SUBSTITUTE(LOWER(TRIM(H96)),"á","a"),"é","e"),"í","i"),"ó","o"),"ú","u"),"ü","u"),"ñ","n"),"à","a"),"è","e"),"ì","i"),"ò","o"),"ù","u"),"")</f>
        <v/>
      </c>
      <c r="V96" s="25">
        <f>IF(AND(Q96=1,L96&lt;&gt;""),SUBSTITUTE(SUBSTITUTE(SUBSTITUTE(SUBSTITUTE(SUBSTITUTE(SUBSTITUTE(SUBSTITUTE(SUBSTITUTE(SUBSTITUTE(SUBSTITUTE(SUBSTITUTE(SUBSTITUTE(LOWER(TRIM(L96)),"á","a"),"é","e"),"í","i"),"ó","o"),"ú","u"),"ü","u"),"ñ","n"),"à","a"),"è","e"),"ì","i"),"ò","o"),"ù","u"),"")</f>
        <v/>
      </c>
      <c r="W96" s="25">
        <f>IF(AND(Q96=1,I96&lt;&gt;""),SUBSTITUTE(SUBSTITUTE(SUBSTITUTE(SUBSTITUTE(SUBSTITUTE(SUBSTITUTE(SUBSTITUTE(SUBSTITUTE(SUBSTITUTE(SUBSTITUTE(SUBSTITUTE(SUBSTITUTE(LOWER(TRIM(I96)),"á","a"),"é","e"),"í","i"),"ó","o"),"ú","u"),"ü","u"),"ñ","n"),"à","a"),"è","e"),"ì","i"),"ò","o"),"ù","u"),"")</f>
        <v/>
      </c>
      <c r="X96" s="25">
        <f>IF(U96="","",IF(OR(U96="si, en la proxima tarea",U96="si, con cambios"),1,0))</f>
        <v/>
      </c>
      <c r="Y96" s="25">
        <f>IF(AND(Q96=1,A96&lt;&gt;""),IF(IFERROR(COUNTIFS(A$3:A96,"="&amp;SUBSTITUTE(SUBSTITUTE(SUBSTITUTE(A96,"~","~~"),"*","~*"),"?","~?"),Q$3:Q96,1),0)=1,MAX(Y$2:Y95)+1,""),"")</f>
        <v/>
      </c>
      <c r="Z96" s="25">
        <f>IF(Y96="","",COUNTIFS($A$3:$A$1002,"="&amp;SUBSTITUTE(SUBSTITUTE(SUBSTITUTE(A96,"~","~~"),"*","~*"),"?","~?"),$Q$3:$Q$1002,1)*10000-Y96)</f>
        <v/>
      </c>
    </row>
    <row r="97">
      <c r="A97">
        <f>IF(A$2=0,"",IFERROR(TRIM(INDEX('Pegar docentes'!$A$1:$BZ$1001,96,A$2)&amp;""),""))</f>
        <v/>
      </c>
      <c r="B97">
        <f>IF(B$2=0,"",IFERROR(TRIM(INDEX('Pegar docentes'!$A$1:$BZ$1001,96,B$2)&amp;""),""))</f>
        <v/>
      </c>
      <c r="C97">
        <f>IF(C$2=0,"",IFERROR(TRIM(INDEX('Pegar docentes'!$A$1:$BZ$1001,96,C$2)&amp;""),""))</f>
        <v/>
      </c>
      <c r="D97">
        <f>IF(D$2=0,"",IFERROR(TRIM(INDEX('Pegar docentes'!$A$1:$BZ$1001,96,D$2)&amp;""),""))</f>
        <v/>
      </c>
      <c r="E97">
        <f>IF(E$2=0,"",IFERROR(TRIM(INDEX('Pegar docentes'!$A$1:$BZ$1001,96,E$2)&amp;""),""))</f>
        <v/>
      </c>
      <c r="F97">
        <f>IF(F$2=0,"",IFERROR(TRIM(INDEX('Pegar docentes'!$A$1:$BZ$1001,96,F$2)&amp;""),""))</f>
        <v/>
      </c>
      <c r="G97">
        <f>IF(G$2=0,"",IFERROR(TRIM(INDEX('Pegar docentes'!$A$1:$BZ$1001,96,G$2)&amp;""),""))</f>
        <v/>
      </c>
      <c r="H97">
        <f>IF(H$2=0,"",IFERROR(TRIM(INDEX('Pegar docentes'!$A$1:$BZ$1001,96,H$2)&amp;""),""))</f>
        <v/>
      </c>
      <c r="I97">
        <f>IF(I$2=0,"",IFERROR(TRIM(INDEX('Pegar docentes'!$A$1:$BZ$1001,96,I$2)&amp;""),""))</f>
        <v/>
      </c>
      <c r="J97">
        <f>IF(J$2=0,"",IFERROR(TRIM(INDEX('Pegar docentes'!$A$1:$BZ$1001,96,J$2)&amp;""),""))</f>
        <v/>
      </c>
      <c r="K97">
        <f>IF(K$2=0,"",IFERROR(TRIM(INDEX('Pegar docentes'!$A$1:$BZ$1001,96,K$2)&amp;""),""))</f>
        <v/>
      </c>
      <c r="L97">
        <f>IF(L$2=0,"",IFERROR(TRIM(INDEX('Pegar docentes'!$A$1:$BZ$1001,96,L$2)&amp;""),""))</f>
        <v/>
      </c>
      <c r="M97">
        <f>IF(M$2=0,"",IFERROR(TRIM(INDEX('Pegar docentes'!$A$1:$BZ$1001,96,M$2)&amp;""),""))</f>
        <v/>
      </c>
      <c r="N97">
        <f>IF(N$2=0,"",IFERROR(TRIM(INDEX('Pegar docentes'!$A$1:$BZ$1001,96,N$2)&amp;""),""))</f>
        <v/>
      </c>
      <c r="O97">
        <f>IF(O$2=0,"",IFERROR(TRIM(INDEX('Pegar docentes'!$A$1:$BZ$1001,96,O$2)&amp;""),""))</f>
        <v/>
      </c>
      <c r="P97">
        <f>IF(P$2=0,"",IFERROR(TRIM(INDEX('Pegar docentes'!$A$1:$BZ$1001,96,P$2)&amp;""),""))</f>
        <v/>
      </c>
      <c r="Q97" s="25">
        <f>IF(OR(D97&lt;&gt;"",H97&lt;&gt;""),1,"")</f>
        <v/>
      </c>
      <c r="R97" s="25">
        <f>IF(Q97=1,IF(ISNUMBER(FIND("#"&amp;MID(D97,1,1)&amp;"#","#0#1#2#3#4#5#6#7#8#9#")),IF(ISNUMBER(FIND("#"&amp;MID(D97,2,1)&amp;"#","#0#1#2#3#4#5#6#7#8#9#")),IF(AND(VALUE(LEFT(D97,2))&gt;=1,VALUE(LEFT(D97,2))&lt;=5),VALUE(LEFT(D97,2)),""),IF(AND(VALUE(LEFT(D97,1))&gt;=1,VALUE(LEFT(D97,1))&lt;=5),VALUE(LEFT(D97,1)),"")),""),"")</f>
        <v/>
      </c>
      <c r="S97" s="25">
        <f>IF(AND(Q97=1,E97&lt;&gt;""),SUBSTITUTE(SUBSTITUTE(SUBSTITUTE(SUBSTITUTE(SUBSTITUTE(SUBSTITUTE(SUBSTITUTE(SUBSTITUTE(SUBSTITUTE(SUBSTITUTE(SUBSTITUTE(SUBSTITUTE(LOWER(TRIM(E97)),"á","a"),"é","e"),"í","i"),"ó","o"),"ú","u"),"ü","u"),"ñ","n"),"à","a"),"è","e"),"ì","i"),"ò","o"),"ù","u"),"")</f>
        <v/>
      </c>
      <c r="T97" s="25">
        <f>IF(AND(Q97=1,G97&lt;&gt;""),SUBSTITUTE(SUBSTITUTE(SUBSTITUTE(SUBSTITUTE(SUBSTITUTE(SUBSTITUTE(SUBSTITUTE(SUBSTITUTE(SUBSTITUTE(SUBSTITUTE(SUBSTITUTE(SUBSTITUTE(LOWER(TRIM(G97)),"á","a"),"é","e"),"í","i"),"ó","o"),"ú","u"),"ü","u"),"ñ","n"),"à","a"),"è","e"),"ì","i"),"ò","o"),"ù","u"),"")</f>
        <v/>
      </c>
      <c r="U97" s="25">
        <f>IF(AND(Q97=1,H97&lt;&gt;""),SUBSTITUTE(SUBSTITUTE(SUBSTITUTE(SUBSTITUTE(SUBSTITUTE(SUBSTITUTE(SUBSTITUTE(SUBSTITUTE(SUBSTITUTE(SUBSTITUTE(SUBSTITUTE(SUBSTITUTE(LOWER(TRIM(H97)),"á","a"),"é","e"),"í","i"),"ó","o"),"ú","u"),"ü","u"),"ñ","n"),"à","a"),"è","e"),"ì","i"),"ò","o"),"ù","u"),"")</f>
        <v/>
      </c>
      <c r="V97" s="25">
        <f>IF(AND(Q97=1,L97&lt;&gt;""),SUBSTITUTE(SUBSTITUTE(SUBSTITUTE(SUBSTITUTE(SUBSTITUTE(SUBSTITUTE(SUBSTITUTE(SUBSTITUTE(SUBSTITUTE(SUBSTITUTE(SUBSTITUTE(SUBSTITUTE(LOWER(TRIM(L97)),"á","a"),"é","e"),"í","i"),"ó","o"),"ú","u"),"ü","u"),"ñ","n"),"à","a"),"è","e"),"ì","i"),"ò","o"),"ù","u"),"")</f>
        <v/>
      </c>
      <c r="W97" s="25">
        <f>IF(AND(Q97=1,I97&lt;&gt;""),SUBSTITUTE(SUBSTITUTE(SUBSTITUTE(SUBSTITUTE(SUBSTITUTE(SUBSTITUTE(SUBSTITUTE(SUBSTITUTE(SUBSTITUTE(SUBSTITUTE(SUBSTITUTE(SUBSTITUTE(LOWER(TRIM(I97)),"á","a"),"é","e"),"í","i"),"ó","o"),"ú","u"),"ü","u"),"ñ","n"),"à","a"),"è","e"),"ì","i"),"ò","o"),"ù","u"),"")</f>
        <v/>
      </c>
      <c r="X97" s="25">
        <f>IF(U97="","",IF(OR(U97="si, en la proxima tarea",U97="si, con cambios"),1,0))</f>
        <v/>
      </c>
      <c r="Y97" s="25">
        <f>IF(AND(Q97=1,A97&lt;&gt;""),IF(IFERROR(COUNTIFS(A$3:A97,"="&amp;SUBSTITUTE(SUBSTITUTE(SUBSTITUTE(A97,"~","~~"),"*","~*"),"?","~?"),Q$3:Q97,1),0)=1,MAX(Y$2:Y96)+1,""),"")</f>
        <v/>
      </c>
      <c r="Z97" s="25">
        <f>IF(Y97="","",COUNTIFS($A$3:$A$1002,"="&amp;SUBSTITUTE(SUBSTITUTE(SUBSTITUTE(A97,"~","~~"),"*","~*"),"?","~?"),$Q$3:$Q$1002,1)*10000-Y97)</f>
        <v/>
      </c>
    </row>
    <row r="98">
      <c r="A98">
        <f>IF(A$2=0,"",IFERROR(TRIM(INDEX('Pegar docentes'!$A$1:$BZ$1001,97,A$2)&amp;""),""))</f>
        <v/>
      </c>
      <c r="B98">
        <f>IF(B$2=0,"",IFERROR(TRIM(INDEX('Pegar docentes'!$A$1:$BZ$1001,97,B$2)&amp;""),""))</f>
        <v/>
      </c>
      <c r="C98">
        <f>IF(C$2=0,"",IFERROR(TRIM(INDEX('Pegar docentes'!$A$1:$BZ$1001,97,C$2)&amp;""),""))</f>
        <v/>
      </c>
      <c r="D98">
        <f>IF(D$2=0,"",IFERROR(TRIM(INDEX('Pegar docentes'!$A$1:$BZ$1001,97,D$2)&amp;""),""))</f>
        <v/>
      </c>
      <c r="E98">
        <f>IF(E$2=0,"",IFERROR(TRIM(INDEX('Pegar docentes'!$A$1:$BZ$1001,97,E$2)&amp;""),""))</f>
        <v/>
      </c>
      <c r="F98">
        <f>IF(F$2=0,"",IFERROR(TRIM(INDEX('Pegar docentes'!$A$1:$BZ$1001,97,F$2)&amp;""),""))</f>
        <v/>
      </c>
      <c r="G98">
        <f>IF(G$2=0,"",IFERROR(TRIM(INDEX('Pegar docentes'!$A$1:$BZ$1001,97,G$2)&amp;""),""))</f>
        <v/>
      </c>
      <c r="H98">
        <f>IF(H$2=0,"",IFERROR(TRIM(INDEX('Pegar docentes'!$A$1:$BZ$1001,97,H$2)&amp;""),""))</f>
        <v/>
      </c>
      <c r="I98">
        <f>IF(I$2=0,"",IFERROR(TRIM(INDEX('Pegar docentes'!$A$1:$BZ$1001,97,I$2)&amp;""),""))</f>
        <v/>
      </c>
      <c r="J98">
        <f>IF(J$2=0,"",IFERROR(TRIM(INDEX('Pegar docentes'!$A$1:$BZ$1001,97,J$2)&amp;""),""))</f>
        <v/>
      </c>
      <c r="K98">
        <f>IF(K$2=0,"",IFERROR(TRIM(INDEX('Pegar docentes'!$A$1:$BZ$1001,97,K$2)&amp;""),""))</f>
        <v/>
      </c>
      <c r="L98">
        <f>IF(L$2=0,"",IFERROR(TRIM(INDEX('Pegar docentes'!$A$1:$BZ$1001,97,L$2)&amp;""),""))</f>
        <v/>
      </c>
      <c r="M98">
        <f>IF(M$2=0,"",IFERROR(TRIM(INDEX('Pegar docentes'!$A$1:$BZ$1001,97,M$2)&amp;""),""))</f>
        <v/>
      </c>
      <c r="N98">
        <f>IF(N$2=0,"",IFERROR(TRIM(INDEX('Pegar docentes'!$A$1:$BZ$1001,97,N$2)&amp;""),""))</f>
        <v/>
      </c>
      <c r="O98">
        <f>IF(O$2=0,"",IFERROR(TRIM(INDEX('Pegar docentes'!$A$1:$BZ$1001,97,O$2)&amp;""),""))</f>
        <v/>
      </c>
      <c r="P98">
        <f>IF(P$2=0,"",IFERROR(TRIM(INDEX('Pegar docentes'!$A$1:$BZ$1001,97,P$2)&amp;""),""))</f>
        <v/>
      </c>
      <c r="Q98" s="25">
        <f>IF(OR(D98&lt;&gt;"",H98&lt;&gt;""),1,"")</f>
        <v/>
      </c>
      <c r="R98" s="25">
        <f>IF(Q98=1,IF(ISNUMBER(FIND("#"&amp;MID(D98,1,1)&amp;"#","#0#1#2#3#4#5#6#7#8#9#")),IF(ISNUMBER(FIND("#"&amp;MID(D98,2,1)&amp;"#","#0#1#2#3#4#5#6#7#8#9#")),IF(AND(VALUE(LEFT(D98,2))&gt;=1,VALUE(LEFT(D98,2))&lt;=5),VALUE(LEFT(D98,2)),""),IF(AND(VALUE(LEFT(D98,1))&gt;=1,VALUE(LEFT(D98,1))&lt;=5),VALUE(LEFT(D98,1)),"")),""),"")</f>
        <v/>
      </c>
      <c r="S98" s="25">
        <f>IF(AND(Q98=1,E98&lt;&gt;""),SUBSTITUTE(SUBSTITUTE(SUBSTITUTE(SUBSTITUTE(SUBSTITUTE(SUBSTITUTE(SUBSTITUTE(SUBSTITUTE(SUBSTITUTE(SUBSTITUTE(SUBSTITUTE(SUBSTITUTE(LOWER(TRIM(E98)),"á","a"),"é","e"),"í","i"),"ó","o"),"ú","u"),"ü","u"),"ñ","n"),"à","a"),"è","e"),"ì","i"),"ò","o"),"ù","u"),"")</f>
        <v/>
      </c>
      <c r="T98" s="25">
        <f>IF(AND(Q98=1,G98&lt;&gt;""),SUBSTITUTE(SUBSTITUTE(SUBSTITUTE(SUBSTITUTE(SUBSTITUTE(SUBSTITUTE(SUBSTITUTE(SUBSTITUTE(SUBSTITUTE(SUBSTITUTE(SUBSTITUTE(SUBSTITUTE(LOWER(TRIM(G98)),"á","a"),"é","e"),"í","i"),"ó","o"),"ú","u"),"ü","u"),"ñ","n"),"à","a"),"è","e"),"ì","i"),"ò","o"),"ù","u"),"")</f>
        <v/>
      </c>
      <c r="U98" s="25">
        <f>IF(AND(Q98=1,H98&lt;&gt;""),SUBSTITUTE(SUBSTITUTE(SUBSTITUTE(SUBSTITUTE(SUBSTITUTE(SUBSTITUTE(SUBSTITUTE(SUBSTITUTE(SUBSTITUTE(SUBSTITUTE(SUBSTITUTE(SUBSTITUTE(LOWER(TRIM(H98)),"á","a"),"é","e"),"í","i"),"ó","o"),"ú","u"),"ü","u"),"ñ","n"),"à","a"),"è","e"),"ì","i"),"ò","o"),"ù","u"),"")</f>
        <v/>
      </c>
      <c r="V98" s="25">
        <f>IF(AND(Q98=1,L98&lt;&gt;""),SUBSTITUTE(SUBSTITUTE(SUBSTITUTE(SUBSTITUTE(SUBSTITUTE(SUBSTITUTE(SUBSTITUTE(SUBSTITUTE(SUBSTITUTE(SUBSTITUTE(SUBSTITUTE(SUBSTITUTE(LOWER(TRIM(L98)),"á","a"),"é","e"),"í","i"),"ó","o"),"ú","u"),"ü","u"),"ñ","n"),"à","a"),"è","e"),"ì","i"),"ò","o"),"ù","u"),"")</f>
        <v/>
      </c>
      <c r="W98" s="25">
        <f>IF(AND(Q98=1,I98&lt;&gt;""),SUBSTITUTE(SUBSTITUTE(SUBSTITUTE(SUBSTITUTE(SUBSTITUTE(SUBSTITUTE(SUBSTITUTE(SUBSTITUTE(SUBSTITUTE(SUBSTITUTE(SUBSTITUTE(SUBSTITUTE(LOWER(TRIM(I98)),"á","a"),"é","e"),"í","i"),"ó","o"),"ú","u"),"ü","u"),"ñ","n"),"à","a"),"è","e"),"ì","i"),"ò","o"),"ù","u"),"")</f>
        <v/>
      </c>
      <c r="X98" s="25">
        <f>IF(U98="","",IF(OR(U98="si, en la proxima tarea",U98="si, con cambios"),1,0))</f>
        <v/>
      </c>
      <c r="Y98" s="25">
        <f>IF(AND(Q98=1,A98&lt;&gt;""),IF(IFERROR(COUNTIFS(A$3:A98,"="&amp;SUBSTITUTE(SUBSTITUTE(SUBSTITUTE(A98,"~","~~"),"*","~*"),"?","~?"),Q$3:Q98,1),0)=1,MAX(Y$2:Y97)+1,""),"")</f>
        <v/>
      </c>
      <c r="Z98" s="25">
        <f>IF(Y98="","",COUNTIFS($A$3:$A$1002,"="&amp;SUBSTITUTE(SUBSTITUTE(SUBSTITUTE(A98,"~","~~"),"*","~*"),"?","~?"),$Q$3:$Q$1002,1)*10000-Y98)</f>
        <v/>
      </c>
    </row>
    <row r="99">
      <c r="A99">
        <f>IF(A$2=0,"",IFERROR(TRIM(INDEX('Pegar docentes'!$A$1:$BZ$1001,98,A$2)&amp;""),""))</f>
        <v/>
      </c>
      <c r="B99">
        <f>IF(B$2=0,"",IFERROR(TRIM(INDEX('Pegar docentes'!$A$1:$BZ$1001,98,B$2)&amp;""),""))</f>
        <v/>
      </c>
      <c r="C99">
        <f>IF(C$2=0,"",IFERROR(TRIM(INDEX('Pegar docentes'!$A$1:$BZ$1001,98,C$2)&amp;""),""))</f>
        <v/>
      </c>
      <c r="D99">
        <f>IF(D$2=0,"",IFERROR(TRIM(INDEX('Pegar docentes'!$A$1:$BZ$1001,98,D$2)&amp;""),""))</f>
        <v/>
      </c>
      <c r="E99">
        <f>IF(E$2=0,"",IFERROR(TRIM(INDEX('Pegar docentes'!$A$1:$BZ$1001,98,E$2)&amp;""),""))</f>
        <v/>
      </c>
      <c r="F99">
        <f>IF(F$2=0,"",IFERROR(TRIM(INDEX('Pegar docentes'!$A$1:$BZ$1001,98,F$2)&amp;""),""))</f>
        <v/>
      </c>
      <c r="G99">
        <f>IF(G$2=0,"",IFERROR(TRIM(INDEX('Pegar docentes'!$A$1:$BZ$1001,98,G$2)&amp;""),""))</f>
        <v/>
      </c>
      <c r="H99">
        <f>IF(H$2=0,"",IFERROR(TRIM(INDEX('Pegar docentes'!$A$1:$BZ$1001,98,H$2)&amp;""),""))</f>
        <v/>
      </c>
      <c r="I99">
        <f>IF(I$2=0,"",IFERROR(TRIM(INDEX('Pegar docentes'!$A$1:$BZ$1001,98,I$2)&amp;""),""))</f>
        <v/>
      </c>
      <c r="J99">
        <f>IF(J$2=0,"",IFERROR(TRIM(INDEX('Pegar docentes'!$A$1:$BZ$1001,98,J$2)&amp;""),""))</f>
        <v/>
      </c>
      <c r="K99">
        <f>IF(K$2=0,"",IFERROR(TRIM(INDEX('Pegar docentes'!$A$1:$BZ$1001,98,K$2)&amp;""),""))</f>
        <v/>
      </c>
      <c r="L99">
        <f>IF(L$2=0,"",IFERROR(TRIM(INDEX('Pegar docentes'!$A$1:$BZ$1001,98,L$2)&amp;""),""))</f>
        <v/>
      </c>
      <c r="M99">
        <f>IF(M$2=0,"",IFERROR(TRIM(INDEX('Pegar docentes'!$A$1:$BZ$1001,98,M$2)&amp;""),""))</f>
        <v/>
      </c>
      <c r="N99">
        <f>IF(N$2=0,"",IFERROR(TRIM(INDEX('Pegar docentes'!$A$1:$BZ$1001,98,N$2)&amp;""),""))</f>
        <v/>
      </c>
      <c r="O99">
        <f>IF(O$2=0,"",IFERROR(TRIM(INDEX('Pegar docentes'!$A$1:$BZ$1001,98,O$2)&amp;""),""))</f>
        <v/>
      </c>
      <c r="P99">
        <f>IF(P$2=0,"",IFERROR(TRIM(INDEX('Pegar docentes'!$A$1:$BZ$1001,98,P$2)&amp;""),""))</f>
        <v/>
      </c>
      <c r="Q99" s="25">
        <f>IF(OR(D99&lt;&gt;"",H99&lt;&gt;""),1,"")</f>
        <v/>
      </c>
      <c r="R99" s="25">
        <f>IF(Q99=1,IF(ISNUMBER(FIND("#"&amp;MID(D99,1,1)&amp;"#","#0#1#2#3#4#5#6#7#8#9#")),IF(ISNUMBER(FIND("#"&amp;MID(D99,2,1)&amp;"#","#0#1#2#3#4#5#6#7#8#9#")),IF(AND(VALUE(LEFT(D99,2))&gt;=1,VALUE(LEFT(D99,2))&lt;=5),VALUE(LEFT(D99,2)),""),IF(AND(VALUE(LEFT(D99,1))&gt;=1,VALUE(LEFT(D99,1))&lt;=5),VALUE(LEFT(D99,1)),"")),""),"")</f>
        <v/>
      </c>
      <c r="S99" s="25">
        <f>IF(AND(Q99=1,E99&lt;&gt;""),SUBSTITUTE(SUBSTITUTE(SUBSTITUTE(SUBSTITUTE(SUBSTITUTE(SUBSTITUTE(SUBSTITUTE(SUBSTITUTE(SUBSTITUTE(SUBSTITUTE(SUBSTITUTE(SUBSTITUTE(LOWER(TRIM(E99)),"á","a"),"é","e"),"í","i"),"ó","o"),"ú","u"),"ü","u"),"ñ","n"),"à","a"),"è","e"),"ì","i"),"ò","o"),"ù","u"),"")</f>
        <v/>
      </c>
      <c r="T99" s="25">
        <f>IF(AND(Q99=1,G99&lt;&gt;""),SUBSTITUTE(SUBSTITUTE(SUBSTITUTE(SUBSTITUTE(SUBSTITUTE(SUBSTITUTE(SUBSTITUTE(SUBSTITUTE(SUBSTITUTE(SUBSTITUTE(SUBSTITUTE(SUBSTITUTE(LOWER(TRIM(G99)),"á","a"),"é","e"),"í","i"),"ó","o"),"ú","u"),"ü","u"),"ñ","n"),"à","a"),"è","e"),"ì","i"),"ò","o"),"ù","u"),"")</f>
        <v/>
      </c>
      <c r="U99" s="25">
        <f>IF(AND(Q99=1,H99&lt;&gt;""),SUBSTITUTE(SUBSTITUTE(SUBSTITUTE(SUBSTITUTE(SUBSTITUTE(SUBSTITUTE(SUBSTITUTE(SUBSTITUTE(SUBSTITUTE(SUBSTITUTE(SUBSTITUTE(SUBSTITUTE(LOWER(TRIM(H99)),"á","a"),"é","e"),"í","i"),"ó","o"),"ú","u"),"ü","u"),"ñ","n"),"à","a"),"è","e"),"ì","i"),"ò","o"),"ù","u"),"")</f>
        <v/>
      </c>
      <c r="V99" s="25">
        <f>IF(AND(Q99=1,L99&lt;&gt;""),SUBSTITUTE(SUBSTITUTE(SUBSTITUTE(SUBSTITUTE(SUBSTITUTE(SUBSTITUTE(SUBSTITUTE(SUBSTITUTE(SUBSTITUTE(SUBSTITUTE(SUBSTITUTE(SUBSTITUTE(LOWER(TRIM(L99)),"á","a"),"é","e"),"í","i"),"ó","o"),"ú","u"),"ü","u"),"ñ","n"),"à","a"),"è","e"),"ì","i"),"ò","o"),"ù","u"),"")</f>
        <v/>
      </c>
      <c r="W99" s="25">
        <f>IF(AND(Q99=1,I99&lt;&gt;""),SUBSTITUTE(SUBSTITUTE(SUBSTITUTE(SUBSTITUTE(SUBSTITUTE(SUBSTITUTE(SUBSTITUTE(SUBSTITUTE(SUBSTITUTE(SUBSTITUTE(SUBSTITUTE(SUBSTITUTE(LOWER(TRIM(I99)),"á","a"),"é","e"),"í","i"),"ó","o"),"ú","u"),"ü","u"),"ñ","n"),"à","a"),"è","e"),"ì","i"),"ò","o"),"ù","u"),"")</f>
        <v/>
      </c>
      <c r="X99" s="25">
        <f>IF(U99="","",IF(OR(U99="si, en la proxima tarea",U99="si, con cambios"),1,0))</f>
        <v/>
      </c>
      <c r="Y99" s="25">
        <f>IF(AND(Q99=1,A99&lt;&gt;""),IF(IFERROR(COUNTIFS(A$3:A99,"="&amp;SUBSTITUTE(SUBSTITUTE(SUBSTITUTE(A99,"~","~~"),"*","~*"),"?","~?"),Q$3:Q99,1),0)=1,MAX(Y$2:Y98)+1,""),"")</f>
        <v/>
      </c>
      <c r="Z99" s="25">
        <f>IF(Y99="","",COUNTIFS($A$3:$A$1002,"="&amp;SUBSTITUTE(SUBSTITUTE(SUBSTITUTE(A99,"~","~~"),"*","~*"),"?","~?"),$Q$3:$Q$1002,1)*10000-Y99)</f>
        <v/>
      </c>
    </row>
    <row r="100">
      <c r="A100">
        <f>IF(A$2=0,"",IFERROR(TRIM(INDEX('Pegar docentes'!$A$1:$BZ$1001,99,A$2)&amp;""),""))</f>
        <v/>
      </c>
      <c r="B100">
        <f>IF(B$2=0,"",IFERROR(TRIM(INDEX('Pegar docentes'!$A$1:$BZ$1001,99,B$2)&amp;""),""))</f>
        <v/>
      </c>
      <c r="C100">
        <f>IF(C$2=0,"",IFERROR(TRIM(INDEX('Pegar docentes'!$A$1:$BZ$1001,99,C$2)&amp;""),""))</f>
        <v/>
      </c>
      <c r="D100">
        <f>IF(D$2=0,"",IFERROR(TRIM(INDEX('Pegar docentes'!$A$1:$BZ$1001,99,D$2)&amp;""),""))</f>
        <v/>
      </c>
      <c r="E100">
        <f>IF(E$2=0,"",IFERROR(TRIM(INDEX('Pegar docentes'!$A$1:$BZ$1001,99,E$2)&amp;""),""))</f>
        <v/>
      </c>
      <c r="F100">
        <f>IF(F$2=0,"",IFERROR(TRIM(INDEX('Pegar docentes'!$A$1:$BZ$1001,99,F$2)&amp;""),""))</f>
        <v/>
      </c>
      <c r="G100">
        <f>IF(G$2=0,"",IFERROR(TRIM(INDEX('Pegar docentes'!$A$1:$BZ$1001,99,G$2)&amp;""),""))</f>
        <v/>
      </c>
      <c r="H100">
        <f>IF(H$2=0,"",IFERROR(TRIM(INDEX('Pegar docentes'!$A$1:$BZ$1001,99,H$2)&amp;""),""))</f>
        <v/>
      </c>
      <c r="I100">
        <f>IF(I$2=0,"",IFERROR(TRIM(INDEX('Pegar docentes'!$A$1:$BZ$1001,99,I$2)&amp;""),""))</f>
        <v/>
      </c>
      <c r="J100">
        <f>IF(J$2=0,"",IFERROR(TRIM(INDEX('Pegar docentes'!$A$1:$BZ$1001,99,J$2)&amp;""),""))</f>
        <v/>
      </c>
      <c r="K100">
        <f>IF(K$2=0,"",IFERROR(TRIM(INDEX('Pegar docentes'!$A$1:$BZ$1001,99,K$2)&amp;""),""))</f>
        <v/>
      </c>
      <c r="L100">
        <f>IF(L$2=0,"",IFERROR(TRIM(INDEX('Pegar docentes'!$A$1:$BZ$1001,99,L$2)&amp;""),""))</f>
        <v/>
      </c>
      <c r="M100">
        <f>IF(M$2=0,"",IFERROR(TRIM(INDEX('Pegar docentes'!$A$1:$BZ$1001,99,M$2)&amp;""),""))</f>
        <v/>
      </c>
      <c r="N100">
        <f>IF(N$2=0,"",IFERROR(TRIM(INDEX('Pegar docentes'!$A$1:$BZ$1001,99,N$2)&amp;""),""))</f>
        <v/>
      </c>
      <c r="O100">
        <f>IF(O$2=0,"",IFERROR(TRIM(INDEX('Pegar docentes'!$A$1:$BZ$1001,99,O$2)&amp;""),""))</f>
        <v/>
      </c>
      <c r="P100">
        <f>IF(P$2=0,"",IFERROR(TRIM(INDEX('Pegar docentes'!$A$1:$BZ$1001,99,P$2)&amp;""),""))</f>
        <v/>
      </c>
      <c r="Q100" s="25">
        <f>IF(OR(D100&lt;&gt;"",H100&lt;&gt;""),1,"")</f>
        <v/>
      </c>
      <c r="R100" s="25">
        <f>IF(Q100=1,IF(ISNUMBER(FIND("#"&amp;MID(D100,1,1)&amp;"#","#0#1#2#3#4#5#6#7#8#9#")),IF(ISNUMBER(FIND("#"&amp;MID(D100,2,1)&amp;"#","#0#1#2#3#4#5#6#7#8#9#")),IF(AND(VALUE(LEFT(D100,2))&gt;=1,VALUE(LEFT(D100,2))&lt;=5),VALUE(LEFT(D100,2)),""),IF(AND(VALUE(LEFT(D100,1))&gt;=1,VALUE(LEFT(D100,1))&lt;=5),VALUE(LEFT(D100,1)),"")),""),"")</f>
        <v/>
      </c>
      <c r="S100" s="25">
        <f>IF(AND(Q100=1,E100&lt;&gt;""),SUBSTITUTE(SUBSTITUTE(SUBSTITUTE(SUBSTITUTE(SUBSTITUTE(SUBSTITUTE(SUBSTITUTE(SUBSTITUTE(SUBSTITUTE(SUBSTITUTE(SUBSTITUTE(SUBSTITUTE(LOWER(TRIM(E100)),"á","a"),"é","e"),"í","i"),"ó","o"),"ú","u"),"ü","u"),"ñ","n"),"à","a"),"è","e"),"ì","i"),"ò","o"),"ù","u"),"")</f>
        <v/>
      </c>
      <c r="T100" s="25">
        <f>IF(AND(Q100=1,G100&lt;&gt;""),SUBSTITUTE(SUBSTITUTE(SUBSTITUTE(SUBSTITUTE(SUBSTITUTE(SUBSTITUTE(SUBSTITUTE(SUBSTITUTE(SUBSTITUTE(SUBSTITUTE(SUBSTITUTE(SUBSTITUTE(LOWER(TRIM(G100)),"á","a"),"é","e"),"í","i"),"ó","o"),"ú","u"),"ü","u"),"ñ","n"),"à","a"),"è","e"),"ì","i"),"ò","o"),"ù","u"),"")</f>
        <v/>
      </c>
      <c r="U100" s="25">
        <f>IF(AND(Q100=1,H100&lt;&gt;""),SUBSTITUTE(SUBSTITUTE(SUBSTITUTE(SUBSTITUTE(SUBSTITUTE(SUBSTITUTE(SUBSTITUTE(SUBSTITUTE(SUBSTITUTE(SUBSTITUTE(SUBSTITUTE(SUBSTITUTE(LOWER(TRIM(H100)),"á","a"),"é","e"),"í","i"),"ó","o"),"ú","u"),"ü","u"),"ñ","n"),"à","a"),"è","e"),"ì","i"),"ò","o"),"ù","u"),"")</f>
        <v/>
      </c>
      <c r="V100" s="25">
        <f>IF(AND(Q100=1,L100&lt;&gt;""),SUBSTITUTE(SUBSTITUTE(SUBSTITUTE(SUBSTITUTE(SUBSTITUTE(SUBSTITUTE(SUBSTITUTE(SUBSTITUTE(SUBSTITUTE(SUBSTITUTE(SUBSTITUTE(SUBSTITUTE(LOWER(TRIM(L100)),"á","a"),"é","e"),"í","i"),"ó","o"),"ú","u"),"ü","u"),"ñ","n"),"à","a"),"è","e"),"ì","i"),"ò","o"),"ù","u"),"")</f>
        <v/>
      </c>
      <c r="W100" s="25">
        <f>IF(AND(Q100=1,I100&lt;&gt;""),SUBSTITUTE(SUBSTITUTE(SUBSTITUTE(SUBSTITUTE(SUBSTITUTE(SUBSTITUTE(SUBSTITUTE(SUBSTITUTE(SUBSTITUTE(SUBSTITUTE(SUBSTITUTE(SUBSTITUTE(LOWER(TRIM(I100)),"á","a"),"é","e"),"í","i"),"ó","o"),"ú","u"),"ü","u"),"ñ","n"),"à","a"),"è","e"),"ì","i"),"ò","o"),"ù","u"),"")</f>
        <v/>
      </c>
      <c r="X100" s="25">
        <f>IF(U100="","",IF(OR(U100="si, en la proxima tarea",U100="si, con cambios"),1,0))</f>
        <v/>
      </c>
      <c r="Y100" s="25">
        <f>IF(AND(Q100=1,A100&lt;&gt;""),IF(IFERROR(COUNTIFS(A$3:A100,"="&amp;SUBSTITUTE(SUBSTITUTE(SUBSTITUTE(A100,"~","~~"),"*","~*"),"?","~?"),Q$3:Q100,1),0)=1,MAX(Y$2:Y99)+1,""),"")</f>
        <v/>
      </c>
      <c r="Z100" s="25">
        <f>IF(Y100="","",COUNTIFS($A$3:$A$1002,"="&amp;SUBSTITUTE(SUBSTITUTE(SUBSTITUTE(A100,"~","~~"),"*","~*"),"?","~?"),$Q$3:$Q$1002,1)*10000-Y100)</f>
        <v/>
      </c>
    </row>
    <row r="101">
      <c r="A101">
        <f>IF(A$2=0,"",IFERROR(TRIM(INDEX('Pegar docentes'!$A$1:$BZ$1001,100,A$2)&amp;""),""))</f>
        <v/>
      </c>
      <c r="B101">
        <f>IF(B$2=0,"",IFERROR(TRIM(INDEX('Pegar docentes'!$A$1:$BZ$1001,100,B$2)&amp;""),""))</f>
        <v/>
      </c>
      <c r="C101">
        <f>IF(C$2=0,"",IFERROR(TRIM(INDEX('Pegar docentes'!$A$1:$BZ$1001,100,C$2)&amp;""),""))</f>
        <v/>
      </c>
      <c r="D101">
        <f>IF(D$2=0,"",IFERROR(TRIM(INDEX('Pegar docentes'!$A$1:$BZ$1001,100,D$2)&amp;""),""))</f>
        <v/>
      </c>
      <c r="E101">
        <f>IF(E$2=0,"",IFERROR(TRIM(INDEX('Pegar docentes'!$A$1:$BZ$1001,100,E$2)&amp;""),""))</f>
        <v/>
      </c>
      <c r="F101">
        <f>IF(F$2=0,"",IFERROR(TRIM(INDEX('Pegar docentes'!$A$1:$BZ$1001,100,F$2)&amp;""),""))</f>
        <v/>
      </c>
      <c r="G101">
        <f>IF(G$2=0,"",IFERROR(TRIM(INDEX('Pegar docentes'!$A$1:$BZ$1001,100,G$2)&amp;""),""))</f>
        <v/>
      </c>
      <c r="H101">
        <f>IF(H$2=0,"",IFERROR(TRIM(INDEX('Pegar docentes'!$A$1:$BZ$1001,100,H$2)&amp;""),""))</f>
        <v/>
      </c>
      <c r="I101">
        <f>IF(I$2=0,"",IFERROR(TRIM(INDEX('Pegar docentes'!$A$1:$BZ$1001,100,I$2)&amp;""),""))</f>
        <v/>
      </c>
      <c r="J101">
        <f>IF(J$2=0,"",IFERROR(TRIM(INDEX('Pegar docentes'!$A$1:$BZ$1001,100,J$2)&amp;""),""))</f>
        <v/>
      </c>
      <c r="K101">
        <f>IF(K$2=0,"",IFERROR(TRIM(INDEX('Pegar docentes'!$A$1:$BZ$1001,100,K$2)&amp;""),""))</f>
        <v/>
      </c>
      <c r="L101">
        <f>IF(L$2=0,"",IFERROR(TRIM(INDEX('Pegar docentes'!$A$1:$BZ$1001,100,L$2)&amp;""),""))</f>
        <v/>
      </c>
      <c r="M101">
        <f>IF(M$2=0,"",IFERROR(TRIM(INDEX('Pegar docentes'!$A$1:$BZ$1001,100,M$2)&amp;""),""))</f>
        <v/>
      </c>
      <c r="N101">
        <f>IF(N$2=0,"",IFERROR(TRIM(INDEX('Pegar docentes'!$A$1:$BZ$1001,100,N$2)&amp;""),""))</f>
        <v/>
      </c>
      <c r="O101">
        <f>IF(O$2=0,"",IFERROR(TRIM(INDEX('Pegar docentes'!$A$1:$BZ$1001,100,O$2)&amp;""),""))</f>
        <v/>
      </c>
      <c r="P101">
        <f>IF(P$2=0,"",IFERROR(TRIM(INDEX('Pegar docentes'!$A$1:$BZ$1001,100,P$2)&amp;""),""))</f>
        <v/>
      </c>
      <c r="Q101" s="25">
        <f>IF(OR(D101&lt;&gt;"",H101&lt;&gt;""),1,"")</f>
        <v/>
      </c>
      <c r="R101" s="25">
        <f>IF(Q101=1,IF(ISNUMBER(FIND("#"&amp;MID(D101,1,1)&amp;"#","#0#1#2#3#4#5#6#7#8#9#")),IF(ISNUMBER(FIND("#"&amp;MID(D101,2,1)&amp;"#","#0#1#2#3#4#5#6#7#8#9#")),IF(AND(VALUE(LEFT(D101,2))&gt;=1,VALUE(LEFT(D101,2))&lt;=5),VALUE(LEFT(D101,2)),""),IF(AND(VALUE(LEFT(D101,1))&gt;=1,VALUE(LEFT(D101,1))&lt;=5),VALUE(LEFT(D101,1)),"")),""),"")</f>
        <v/>
      </c>
      <c r="S101" s="25">
        <f>IF(AND(Q101=1,E101&lt;&gt;""),SUBSTITUTE(SUBSTITUTE(SUBSTITUTE(SUBSTITUTE(SUBSTITUTE(SUBSTITUTE(SUBSTITUTE(SUBSTITUTE(SUBSTITUTE(SUBSTITUTE(SUBSTITUTE(SUBSTITUTE(LOWER(TRIM(E101)),"á","a"),"é","e"),"í","i"),"ó","o"),"ú","u"),"ü","u"),"ñ","n"),"à","a"),"è","e"),"ì","i"),"ò","o"),"ù","u"),"")</f>
        <v/>
      </c>
      <c r="T101" s="25">
        <f>IF(AND(Q101=1,G101&lt;&gt;""),SUBSTITUTE(SUBSTITUTE(SUBSTITUTE(SUBSTITUTE(SUBSTITUTE(SUBSTITUTE(SUBSTITUTE(SUBSTITUTE(SUBSTITUTE(SUBSTITUTE(SUBSTITUTE(SUBSTITUTE(LOWER(TRIM(G101)),"á","a"),"é","e"),"í","i"),"ó","o"),"ú","u"),"ü","u"),"ñ","n"),"à","a"),"è","e"),"ì","i"),"ò","o"),"ù","u"),"")</f>
        <v/>
      </c>
      <c r="U101" s="25">
        <f>IF(AND(Q101=1,H101&lt;&gt;""),SUBSTITUTE(SUBSTITUTE(SUBSTITUTE(SUBSTITUTE(SUBSTITUTE(SUBSTITUTE(SUBSTITUTE(SUBSTITUTE(SUBSTITUTE(SUBSTITUTE(SUBSTITUTE(SUBSTITUTE(LOWER(TRIM(H101)),"á","a"),"é","e"),"í","i"),"ó","o"),"ú","u"),"ü","u"),"ñ","n"),"à","a"),"è","e"),"ì","i"),"ò","o"),"ù","u"),"")</f>
        <v/>
      </c>
      <c r="V101" s="25">
        <f>IF(AND(Q101=1,L101&lt;&gt;""),SUBSTITUTE(SUBSTITUTE(SUBSTITUTE(SUBSTITUTE(SUBSTITUTE(SUBSTITUTE(SUBSTITUTE(SUBSTITUTE(SUBSTITUTE(SUBSTITUTE(SUBSTITUTE(SUBSTITUTE(LOWER(TRIM(L101)),"á","a"),"é","e"),"í","i"),"ó","o"),"ú","u"),"ü","u"),"ñ","n"),"à","a"),"è","e"),"ì","i"),"ò","o"),"ù","u"),"")</f>
        <v/>
      </c>
      <c r="W101" s="25">
        <f>IF(AND(Q101=1,I101&lt;&gt;""),SUBSTITUTE(SUBSTITUTE(SUBSTITUTE(SUBSTITUTE(SUBSTITUTE(SUBSTITUTE(SUBSTITUTE(SUBSTITUTE(SUBSTITUTE(SUBSTITUTE(SUBSTITUTE(SUBSTITUTE(LOWER(TRIM(I101)),"á","a"),"é","e"),"í","i"),"ó","o"),"ú","u"),"ü","u"),"ñ","n"),"à","a"),"è","e"),"ì","i"),"ò","o"),"ù","u"),"")</f>
        <v/>
      </c>
      <c r="X101" s="25">
        <f>IF(U101="","",IF(OR(U101="si, en la proxima tarea",U101="si, con cambios"),1,0))</f>
        <v/>
      </c>
      <c r="Y101" s="25">
        <f>IF(AND(Q101=1,A101&lt;&gt;""),IF(IFERROR(COUNTIFS(A$3:A101,"="&amp;SUBSTITUTE(SUBSTITUTE(SUBSTITUTE(A101,"~","~~"),"*","~*"),"?","~?"),Q$3:Q101,1),0)=1,MAX(Y$2:Y100)+1,""),"")</f>
        <v/>
      </c>
      <c r="Z101" s="25">
        <f>IF(Y101="","",COUNTIFS($A$3:$A$1002,"="&amp;SUBSTITUTE(SUBSTITUTE(SUBSTITUTE(A101,"~","~~"),"*","~*"),"?","~?"),$Q$3:$Q$1002,1)*10000-Y101)</f>
        <v/>
      </c>
    </row>
    <row r="102">
      <c r="A102">
        <f>IF(A$2=0,"",IFERROR(TRIM(INDEX('Pegar docentes'!$A$1:$BZ$1001,101,A$2)&amp;""),""))</f>
        <v/>
      </c>
      <c r="B102">
        <f>IF(B$2=0,"",IFERROR(TRIM(INDEX('Pegar docentes'!$A$1:$BZ$1001,101,B$2)&amp;""),""))</f>
        <v/>
      </c>
      <c r="C102">
        <f>IF(C$2=0,"",IFERROR(TRIM(INDEX('Pegar docentes'!$A$1:$BZ$1001,101,C$2)&amp;""),""))</f>
        <v/>
      </c>
      <c r="D102">
        <f>IF(D$2=0,"",IFERROR(TRIM(INDEX('Pegar docentes'!$A$1:$BZ$1001,101,D$2)&amp;""),""))</f>
        <v/>
      </c>
      <c r="E102">
        <f>IF(E$2=0,"",IFERROR(TRIM(INDEX('Pegar docentes'!$A$1:$BZ$1001,101,E$2)&amp;""),""))</f>
        <v/>
      </c>
      <c r="F102">
        <f>IF(F$2=0,"",IFERROR(TRIM(INDEX('Pegar docentes'!$A$1:$BZ$1001,101,F$2)&amp;""),""))</f>
        <v/>
      </c>
      <c r="G102">
        <f>IF(G$2=0,"",IFERROR(TRIM(INDEX('Pegar docentes'!$A$1:$BZ$1001,101,G$2)&amp;""),""))</f>
        <v/>
      </c>
      <c r="H102">
        <f>IF(H$2=0,"",IFERROR(TRIM(INDEX('Pegar docentes'!$A$1:$BZ$1001,101,H$2)&amp;""),""))</f>
        <v/>
      </c>
      <c r="I102">
        <f>IF(I$2=0,"",IFERROR(TRIM(INDEX('Pegar docentes'!$A$1:$BZ$1001,101,I$2)&amp;""),""))</f>
        <v/>
      </c>
      <c r="J102">
        <f>IF(J$2=0,"",IFERROR(TRIM(INDEX('Pegar docentes'!$A$1:$BZ$1001,101,J$2)&amp;""),""))</f>
        <v/>
      </c>
      <c r="K102">
        <f>IF(K$2=0,"",IFERROR(TRIM(INDEX('Pegar docentes'!$A$1:$BZ$1001,101,K$2)&amp;""),""))</f>
        <v/>
      </c>
      <c r="L102">
        <f>IF(L$2=0,"",IFERROR(TRIM(INDEX('Pegar docentes'!$A$1:$BZ$1001,101,L$2)&amp;""),""))</f>
        <v/>
      </c>
      <c r="M102">
        <f>IF(M$2=0,"",IFERROR(TRIM(INDEX('Pegar docentes'!$A$1:$BZ$1001,101,M$2)&amp;""),""))</f>
        <v/>
      </c>
      <c r="N102">
        <f>IF(N$2=0,"",IFERROR(TRIM(INDEX('Pegar docentes'!$A$1:$BZ$1001,101,N$2)&amp;""),""))</f>
        <v/>
      </c>
      <c r="O102">
        <f>IF(O$2=0,"",IFERROR(TRIM(INDEX('Pegar docentes'!$A$1:$BZ$1001,101,O$2)&amp;""),""))</f>
        <v/>
      </c>
      <c r="P102">
        <f>IF(P$2=0,"",IFERROR(TRIM(INDEX('Pegar docentes'!$A$1:$BZ$1001,101,P$2)&amp;""),""))</f>
        <v/>
      </c>
      <c r="Q102" s="25">
        <f>IF(OR(D102&lt;&gt;"",H102&lt;&gt;""),1,"")</f>
        <v/>
      </c>
      <c r="R102" s="25">
        <f>IF(Q102=1,IF(ISNUMBER(FIND("#"&amp;MID(D102,1,1)&amp;"#","#0#1#2#3#4#5#6#7#8#9#")),IF(ISNUMBER(FIND("#"&amp;MID(D102,2,1)&amp;"#","#0#1#2#3#4#5#6#7#8#9#")),IF(AND(VALUE(LEFT(D102,2))&gt;=1,VALUE(LEFT(D102,2))&lt;=5),VALUE(LEFT(D102,2)),""),IF(AND(VALUE(LEFT(D102,1))&gt;=1,VALUE(LEFT(D102,1))&lt;=5),VALUE(LEFT(D102,1)),"")),""),"")</f>
        <v/>
      </c>
      <c r="S102" s="25">
        <f>IF(AND(Q102=1,E102&lt;&gt;""),SUBSTITUTE(SUBSTITUTE(SUBSTITUTE(SUBSTITUTE(SUBSTITUTE(SUBSTITUTE(SUBSTITUTE(SUBSTITUTE(SUBSTITUTE(SUBSTITUTE(SUBSTITUTE(SUBSTITUTE(LOWER(TRIM(E102)),"á","a"),"é","e"),"í","i"),"ó","o"),"ú","u"),"ü","u"),"ñ","n"),"à","a"),"è","e"),"ì","i"),"ò","o"),"ù","u"),"")</f>
        <v/>
      </c>
      <c r="T102" s="25">
        <f>IF(AND(Q102=1,G102&lt;&gt;""),SUBSTITUTE(SUBSTITUTE(SUBSTITUTE(SUBSTITUTE(SUBSTITUTE(SUBSTITUTE(SUBSTITUTE(SUBSTITUTE(SUBSTITUTE(SUBSTITUTE(SUBSTITUTE(SUBSTITUTE(LOWER(TRIM(G102)),"á","a"),"é","e"),"í","i"),"ó","o"),"ú","u"),"ü","u"),"ñ","n"),"à","a"),"è","e"),"ì","i"),"ò","o"),"ù","u"),"")</f>
        <v/>
      </c>
      <c r="U102" s="25">
        <f>IF(AND(Q102=1,H102&lt;&gt;""),SUBSTITUTE(SUBSTITUTE(SUBSTITUTE(SUBSTITUTE(SUBSTITUTE(SUBSTITUTE(SUBSTITUTE(SUBSTITUTE(SUBSTITUTE(SUBSTITUTE(SUBSTITUTE(SUBSTITUTE(LOWER(TRIM(H102)),"á","a"),"é","e"),"í","i"),"ó","o"),"ú","u"),"ü","u"),"ñ","n"),"à","a"),"è","e"),"ì","i"),"ò","o"),"ù","u"),"")</f>
        <v/>
      </c>
      <c r="V102" s="25">
        <f>IF(AND(Q102=1,L102&lt;&gt;""),SUBSTITUTE(SUBSTITUTE(SUBSTITUTE(SUBSTITUTE(SUBSTITUTE(SUBSTITUTE(SUBSTITUTE(SUBSTITUTE(SUBSTITUTE(SUBSTITUTE(SUBSTITUTE(SUBSTITUTE(LOWER(TRIM(L102)),"á","a"),"é","e"),"í","i"),"ó","o"),"ú","u"),"ü","u"),"ñ","n"),"à","a"),"è","e"),"ì","i"),"ò","o"),"ù","u"),"")</f>
        <v/>
      </c>
      <c r="W102" s="25">
        <f>IF(AND(Q102=1,I102&lt;&gt;""),SUBSTITUTE(SUBSTITUTE(SUBSTITUTE(SUBSTITUTE(SUBSTITUTE(SUBSTITUTE(SUBSTITUTE(SUBSTITUTE(SUBSTITUTE(SUBSTITUTE(SUBSTITUTE(SUBSTITUTE(LOWER(TRIM(I102)),"á","a"),"é","e"),"í","i"),"ó","o"),"ú","u"),"ü","u"),"ñ","n"),"à","a"),"è","e"),"ì","i"),"ò","o"),"ù","u"),"")</f>
        <v/>
      </c>
      <c r="X102" s="25">
        <f>IF(U102="","",IF(OR(U102="si, en la proxima tarea",U102="si, con cambios"),1,0))</f>
        <v/>
      </c>
      <c r="Y102" s="25">
        <f>IF(AND(Q102=1,A102&lt;&gt;""),IF(IFERROR(COUNTIFS(A$3:A102,"="&amp;SUBSTITUTE(SUBSTITUTE(SUBSTITUTE(A102,"~","~~"),"*","~*"),"?","~?"),Q$3:Q102,1),0)=1,MAX(Y$2:Y101)+1,""),"")</f>
        <v/>
      </c>
      <c r="Z102" s="25">
        <f>IF(Y102="","",COUNTIFS($A$3:$A$1002,"="&amp;SUBSTITUTE(SUBSTITUTE(SUBSTITUTE(A102,"~","~~"),"*","~*"),"?","~?"),$Q$3:$Q$1002,1)*10000-Y102)</f>
        <v/>
      </c>
    </row>
    <row r="103">
      <c r="A103">
        <f>IF(A$2=0,"",IFERROR(TRIM(INDEX('Pegar docentes'!$A$1:$BZ$1001,102,A$2)&amp;""),""))</f>
        <v/>
      </c>
      <c r="B103">
        <f>IF(B$2=0,"",IFERROR(TRIM(INDEX('Pegar docentes'!$A$1:$BZ$1001,102,B$2)&amp;""),""))</f>
        <v/>
      </c>
      <c r="C103">
        <f>IF(C$2=0,"",IFERROR(TRIM(INDEX('Pegar docentes'!$A$1:$BZ$1001,102,C$2)&amp;""),""))</f>
        <v/>
      </c>
      <c r="D103">
        <f>IF(D$2=0,"",IFERROR(TRIM(INDEX('Pegar docentes'!$A$1:$BZ$1001,102,D$2)&amp;""),""))</f>
        <v/>
      </c>
      <c r="E103">
        <f>IF(E$2=0,"",IFERROR(TRIM(INDEX('Pegar docentes'!$A$1:$BZ$1001,102,E$2)&amp;""),""))</f>
        <v/>
      </c>
      <c r="F103">
        <f>IF(F$2=0,"",IFERROR(TRIM(INDEX('Pegar docentes'!$A$1:$BZ$1001,102,F$2)&amp;""),""))</f>
        <v/>
      </c>
      <c r="G103">
        <f>IF(G$2=0,"",IFERROR(TRIM(INDEX('Pegar docentes'!$A$1:$BZ$1001,102,G$2)&amp;""),""))</f>
        <v/>
      </c>
      <c r="H103">
        <f>IF(H$2=0,"",IFERROR(TRIM(INDEX('Pegar docentes'!$A$1:$BZ$1001,102,H$2)&amp;""),""))</f>
        <v/>
      </c>
      <c r="I103">
        <f>IF(I$2=0,"",IFERROR(TRIM(INDEX('Pegar docentes'!$A$1:$BZ$1001,102,I$2)&amp;""),""))</f>
        <v/>
      </c>
      <c r="J103">
        <f>IF(J$2=0,"",IFERROR(TRIM(INDEX('Pegar docentes'!$A$1:$BZ$1001,102,J$2)&amp;""),""))</f>
        <v/>
      </c>
      <c r="K103">
        <f>IF(K$2=0,"",IFERROR(TRIM(INDEX('Pegar docentes'!$A$1:$BZ$1001,102,K$2)&amp;""),""))</f>
        <v/>
      </c>
      <c r="L103">
        <f>IF(L$2=0,"",IFERROR(TRIM(INDEX('Pegar docentes'!$A$1:$BZ$1001,102,L$2)&amp;""),""))</f>
        <v/>
      </c>
      <c r="M103">
        <f>IF(M$2=0,"",IFERROR(TRIM(INDEX('Pegar docentes'!$A$1:$BZ$1001,102,M$2)&amp;""),""))</f>
        <v/>
      </c>
      <c r="N103">
        <f>IF(N$2=0,"",IFERROR(TRIM(INDEX('Pegar docentes'!$A$1:$BZ$1001,102,N$2)&amp;""),""))</f>
        <v/>
      </c>
      <c r="O103">
        <f>IF(O$2=0,"",IFERROR(TRIM(INDEX('Pegar docentes'!$A$1:$BZ$1001,102,O$2)&amp;""),""))</f>
        <v/>
      </c>
      <c r="P103">
        <f>IF(P$2=0,"",IFERROR(TRIM(INDEX('Pegar docentes'!$A$1:$BZ$1001,102,P$2)&amp;""),""))</f>
        <v/>
      </c>
      <c r="Q103" s="25">
        <f>IF(OR(D103&lt;&gt;"",H103&lt;&gt;""),1,"")</f>
        <v/>
      </c>
      <c r="R103" s="25">
        <f>IF(Q103=1,IF(ISNUMBER(FIND("#"&amp;MID(D103,1,1)&amp;"#","#0#1#2#3#4#5#6#7#8#9#")),IF(ISNUMBER(FIND("#"&amp;MID(D103,2,1)&amp;"#","#0#1#2#3#4#5#6#7#8#9#")),IF(AND(VALUE(LEFT(D103,2))&gt;=1,VALUE(LEFT(D103,2))&lt;=5),VALUE(LEFT(D103,2)),""),IF(AND(VALUE(LEFT(D103,1))&gt;=1,VALUE(LEFT(D103,1))&lt;=5),VALUE(LEFT(D103,1)),"")),""),"")</f>
        <v/>
      </c>
      <c r="S103" s="25">
        <f>IF(AND(Q103=1,E103&lt;&gt;""),SUBSTITUTE(SUBSTITUTE(SUBSTITUTE(SUBSTITUTE(SUBSTITUTE(SUBSTITUTE(SUBSTITUTE(SUBSTITUTE(SUBSTITUTE(SUBSTITUTE(SUBSTITUTE(SUBSTITUTE(LOWER(TRIM(E103)),"á","a"),"é","e"),"í","i"),"ó","o"),"ú","u"),"ü","u"),"ñ","n"),"à","a"),"è","e"),"ì","i"),"ò","o"),"ù","u"),"")</f>
        <v/>
      </c>
      <c r="T103" s="25">
        <f>IF(AND(Q103=1,G103&lt;&gt;""),SUBSTITUTE(SUBSTITUTE(SUBSTITUTE(SUBSTITUTE(SUBSTITUTE(SUBSTITUTE(SUBSTITUTE(SUBSTITUTE(SUBSTITUTE(SUBSTITUTE(SUBSTITUTE(SUBSTITUTE(LOWER(TRIM(G103)),"á","a"),"é","e"),"í","i"),"ó","o"),"ú","u"),"ü","u"),"ñ","n"),"à","a"),"è","e"),"ì","i"),"ò","o"),"ù","u"),"")</f>
        <v/>
      </c>
      <c r="U103" s="25">
        <f>IF(AND(Q103=1,H103&lt;&gt;""),SUBSTITUTE(SUBSTITUTE(SUBSTITUTE(SUBSTITUTE(SUBSTITUTE(SUBSTITUTE(SUBSTITUTE(SUBSTITUTE(SUBSTITUTE(SUBSTITUTE(SUBSTITUTE(SUBSTITUTE(LOWER(TRIM(H103)),"á","a"),"é","e"),"í","i"),"ó","o"),"ú","u"),"ü","u"),"ñ","n"),"à","a"),"è","e"),"ì","i"),"ò","o"),"ù","u"),"")</f>
        <v/>
      </c>
      <c r="V103" s="25">
        <f>IF(AND(Q103=1,L103&lt;&gt;""),SUBSTITUTE(SUBSTITUTE(SUBSTITUTE(SUBSTITUTE(SUBSTITUTE(SUBSTITUTE(SUBSTITUTE(SUBSTITUTE(SUBSTITUTE(SUBSTITUTE(SUBSTITUTE(SUBSTITUTE(LOWER(TRIM(L103)),"á","a"),"é","e"),"í","i"),"ó","o"),"ú","u"),"ü","u"),"ñ","n"),"à","a"),"è","e"),"ì","i"),"ò","o"),"ù","u"),"")</f>
        <v/>
      </c>
      <c r="W103" s="25">
        <f>IF(AND(Q103=1,I103&lt;&gt;""),SUBSTITUTE(SUBSTITUTE(SUBSTITUTE(SUBSTITUTE(SUBSTITUTE(SUBSTITUTE(SUBSTITUTE(SUBSTITUTE(SUBSTITUTE(SUBSTITUTE(SUBSTITUTE(SUBSTITUTE(LOWER(TRIM(I103)),"á","a"),"é","e"),"í","i"),"ó","o"),"ú","u"),"ü","u"),"ñ","n"),"à","a"),"è","e"),"ì","i"),"ò","o"),"ù","u"),"")</f>
        <v/>
      </c>
      <c r="X103" s="25">
        <f>IF(U103="","",IF(OR(U103="si, en la proxima tarea",U103="si, con cambios"),1,0))</f>
        <v/>
      </c>
      <c r="Y103" s="25">
        <f>IF(AND(Q103=1,A103&lt;&gt;""),IF(IFERROR(COUNTIFS(A$3:A103,"="&amp;SUBSTITUTE(SUBSTITUTE(SUBSTITUTE(A103,"~","~~"),"*","~*"),"?","~?"),Q$3:Q103,1),0)=1,MAX(Y$2:Y102)+1,""),"")</f>
        <v/>
      </c>
      <c r="Z103" s="25">
        <f>IF(Y103="","",COUNTIFS($A$3:$A$1002,"="&amp;SUBSTITUTE(SUBSTITUTE(SUBSTITUTE(A103,"~","~~"),"*","~*"),"?","~?"),$Q$3:$Q$1002,1)*10000-Y103)</f>
        <v/>
      </c>
    </row>
    <row r="104">
      <c r="A104">
        <f>IF(A$2=0,"",IFERROR(TRIM(INDEX('Pegar docentes'!$A$1:$BZ$1001,103,A$2)&amp;""),""))</f>
        <v/>
      </c>
      <c r="B104">
        <f>IF(B$2=0,"",IFERROR(TRIM(INDEX('Pegar docentes'!$A$1:$BZ$1001,103,B$2)&amp;""),""))</f>
        <v/>
      </c>
      <c r="C104">
        <f>IF(C$2=0,"",IFERROR(TRIM(INDEX('Pegar docentes'!$A$1:$BZ$1001,103,C$2)&amp;""),""))</f>
        <v/>
      </c>
      <c r="D104">
        <f>IF(D$2=0,"",IFERROR(TRIM(INDEX('Pegar docentes'!$A$1:$BZ$1001,103,D$2)&amp;""),""))</f>
        <v/>
      </c>
      <c r="E104">
        <f>IF(E$2=0,"",IFERROR(TRIM(INDEX('Pegar docentes'!$A$1:$BZ$1001,103,E$2)&amp;""),""))</f>
        <v/>
      </c>
      <c r="F104">
        <f>IF(F$2=0,"",IFERROR(TRIM(INDEX('Pegar docentes'!$A$1:$BZ$1001,103,F$2)&amp;""),""))</f>
        <v/>
      </c>
      <c r="G104">
        <f>IF(G$2=0,"",IFERROR(TRIM(INDEX('Pegar docentes'!$A$1:$BZ$1001,103,G$2)&amp;""),""))</f>
        <v/>
      </c>
      <c r="H104">
        <f>IF(H$2=0,"",IFERROR(TRIM(INDEX('Pegar docentes'!$A$1:$BZ$1001,103,H$2)&amp;""),""))</f>
        <v/>
      </c>
      <c r="I104">
        <f>IF(I$2=0,"",IFERROR(TRIM(INDEX('Pegar docentes'!$A$1:$BZ$1001,103,I$2)&amp;""),""))</f>
        <v/>
      </c>
      <c r="J104">
        <f>IF(J$2=0,"",IFERROR(TRIM(INDEX('Pegar docentes'!$A$1:$BZ$1001,103,J$2)&amp;""),""))</f>
        <v/>
      </c>
      <c r="K104">
        <f>IF(K$2=0,"",IFERROR(TRIM(INDEX('Pegar docentes'!$A$1:$BZ$1001,103,K$2)&amp;""),""))</f>
        <v/>
      </c>
      <c r="L104">
        <f>IF(L$2=0,"",IFERROR(TRIM(INDEX('Pegar docentes'!$A$1:$BZ$1001,103,L$2)&amp;""),""))</f>
        <v/>
      </c>
      <c r="M104">
        <f>IF(M$2=0,"",IFERROR(TRIM(INDEX('Pegar docentes'!$A$1:$BZ$1001,103,M$2)&amp;""),""))</f>
        <v/>
      </c>
      <c r="N104">
        <f>IF(N$2=0,"",IFERROR(TRIM(INDEX('Pegar docentes'!$A$1:$BZ$1001,103,N$2)&amp;""),""))</f>
        <v/>
      </c>
      <c r="O104">
        <f>IF(O$2=0,"",IFERROR(TRIM(INDEX('Pegar docentes'!$A$1:$BZ$1001,103,O$2)&amp;""),""))</f>
        <v/>
      </c>
      <c r="P104">
        <f>IF(P$2=0,"",IFERROR(TRIM(INDEX('Pegar docentes'!$A$1:$BZ$1001,103,P$2)&amp;""),""))</f>
        <v/>
      </c>
      <c r="Q104" s="25">
        <f>IF(OR(D104&lt;&gt;"",H104&lt;&gt;""),1,"")</f>
        <v/>
      </c>
      <c r="R104" s="25">
        <f>IF(Q104=1,IF(ISNUMBER(FIND("#"&amp;MID(D104,1,1)&amp;"#","#0#1#2#3#4#5#6#7#8#9#")),IF(ISNUMBER(FIND("#"&amp;MID(D104,2,1)&amp;"#","#0#1#2#3#4#5#6#7#8#9#")),IF(AND(VALUE(LEFT(D104,2))&gt;=1,VALUE(LEFT(D104,2))&lt;=5),VALUE(LEFT(D104,2)),""),IF(AND(VALUE(LEFT(D104,1))&gt;=1,VALUE(LEFT(D104,1))&lt;=5),VALUE(LEFT(D104,1)),"")),""),"")</f>
        <v/>
      </c>
      <c r="S104" s="25">
        <f>IF(AND(Q104=1,E104&lt;&gt;""),SUBSTITUTE(SUBSTITUTE(SUBSTITUTE(SUBSTITUTE(SUBSTITUTE(SUBSTITUTE(SUBSTITUTE(SUBSTITUTE(SUBSTITUTE(SUBSTITUTE(SUBSTITUTE(SUBSTITUTE(LOWER(TRIM(E104)),"á","a"),"é","e"),"í","i"),"ó","o"),"ú","u"),"ü","u"),"ñ","n"),"à","a"),"è","e"),"ì","i"),"ò","o"),"ù","u"),"")</f>
        <v/>
      </c>
      <c r="T104" s="25">
        <f>IF(AND(Q104=1,G104&lt;&gt;""),SUBSTITUTE(SUBSTITUTE(SUBSTITUTE(SUBSTITUTE(SUBSTITUTE(SUBSTITUTE(SUBSTITUTE(SUBSTITUTE(SUBSTITUTE(SUBSTITUTE(SUBSTITUTE(SUBSTITUTE(LOWER(TRIM(G104)),"á","a"),"é","e"),"í","i"),"ó","o"),"ú","u"),"ü","u"),"ñ","n"),"à","a"),"è","e"),"ì","i"),"ò","o"),"ù","u"),"")</f>
        <v/>
      </c>
      <c r="U104" s="25">
        <f>IF(AND(Q104=1,H104&lt;&gt;""),SUBSTITUTE(SUBSTITUTE(SUBSTITUTE(SUBSTITUTE(SUBSTITUTE(SUBSTITUTE(SUBSTITUTE(SUBSTITUTE(SUBSTITUTE(SUBSTITUTE(SUBSTITUTE(SUBSTITUTE(LOWER(TRIM(H104)),"á","a"),"é","e"),"í","i"),"ó","o"),"ú","u"),"ü","u"),"ñ","n"),"à","a"),"è","e"),"ì","i"),"ò","o"),"ù","u"),"")</f>
        <v/>
      </c>
      <c r="V104" s="25">
        <f>IF(AND(Q104=1,L104&lt;&gt;""),SUBSTITUTE(SUBSTITUTE(SUBSTITUTE(SUBSTITUTE(SUBSTITUTE(SUBSTITUTE(SUBSTITUTE(SUBSTITUTE(SUBSTITUTE(SUBSTITUTE(SUBSTITUTE(SUBSTITUTE(LOWER(TRIM(L104)),"á","a"),"é","e"),"í","i"),"ó","o"),"ú","u"),"ü","u"),"ñ","n"),"à","a"),"è","e"),"ì","i"),"ò","o"),"ù","u"),"")</f>
        <v/>
      </c>
      <c r="W104" s="25">
        <f>IF(AND(Q104=1,I104&lt;&gt;""),SUBSTITUTE(SUBSTITUTE(SUBSTITUTE(SUBSTITUTE(SUBSTITUTE(SUBSTITUTE(SUBSTITUTE(SUBSTITUTE(SUBSTITUTE(SUBSTITUTE(SUBSTITUTE(SUBSTITUTE(LOWER(TRIM(I104)),"á","a"),"é","e"),"í","i"),"ó","o"),"ú","u"),"ü","u"),"ñ","n"),"à","a"),"è","e"),"ì","i"),"ò","o"),"ù","u"),"")</f>
        <v/>
      </c>
      <c r="X104" s="25">
        <f>IF(U104="","",IF(OR(U104="si, en la proxima tarea",U104="si, con cambios"),1,0))</f>
        <v/>
      </c>
      <c r="Y104" s="25">
        <f>IF(AND(Q104=1,A104&lt;&gt;""),IF(IFERROR(COUNTIFS(A$3:A104,"="&amp;SUBSTITUTE(SUBSTITUTE(SUBSTITUTE(A104,"~","~~"),"*","~*"),"?","~?"),Q$3:Q104,1),0)=1,MAX(Y$2:Y103)+1,""),"")</f>
        <v/>
      </c>
      <c r="Z104" s="25">
        <f>IF(Y104="","",COUNTIFS($A$3:$A$1002,"="&amp;SUBSTITUTE(SUBSTITUTE(SUBSTITUTE(A104,"~","~~"),"*","~*"),"?","~?"),$Q$3:$Q$1002,1)*10000-Y104)</f>
        <v/>
      </c>
    </row>
    <row r="105">
      <c r="A105">
        <f>IF(A$2=0,"",IFERROR(TRIM(INDEX('Pegar docentes'!$A$1:$BZ$1001,104,A$2)&amp;""),""))</f>
        <v/>
      </c>
      <c r="B105">
        <f>IF(B$2=0,"",IFERROR(TRIM(INDEX('Pegar docentes'!$A$1:$BZ$1001,104,B$2)&amp;""),""))</f>
        <v/>
      </c>
      <c r="C105">
        <f>IF(C$2=0,"",IFERROR(TRIM(INDEX('Pegar docentes'!$A$1:$BZ$1001,104,C$2)&amp;""),""))</f>
        <v/>
      </c>
      <c r="D105">
        <f>IF(D$2=0,"",IFERROR(TRIM(INDEX('Pegar docentes'!$A$1:$BZ$1001,104,D$2)&amp;""),""))</f>
        <v/>
      </c>
      <c r="E105">
        <f>IF(E$2=0,"",IFERROR(TRIM(INDEX('Pegar docentes'!$A$1:$BZ$1001,104,E$2)&amp;""),""))</f>
        <v/>
      </c>
      <c r="F105">
        <f>IF(F$2=0,"",IFERROR(TRIM(INDEX('Pegar docentes'!$A$1:$BZ$1001,104,F$2)&amp;""),""))</f>
        <v/>
      </c>
      <c r="G105">
        <f>IF(G$2=0,"",IFERROR(TRIM(INDEX('Pegar docentes'!$A$1:$BZ$1001,104,G$2)&amp;""),""))</f>
        <v/>
      </c>
      <c r="H105">
        <f>IF(H$2=0,"",IFERROR(TRIM(INDEX('Pegar docentes'!$A$1:$BZ$1001,104,H$2)&amp;""),""))</f>
        <v/>
      </c>
      <c r="I105">
        <f>IF(I$2=0,"",IFERROR(TRIM(INDEX('Pegar docentes'!$A$1:$BZ$1001,104,I$2)&amp;""),""))</f>
        <v/>
      </c>
      <c r="J105">
        <f>IF(J$2=0,"",IFERROR(TRIM(INDEX('Pegar docentes'!$A$1:$BZ$1001,104,J$2)&amp;""),""))</f>
        <v/>
      </c>
      <c r="K105">
        <f>IF(K$2=0,"",IFERROR(TRIM(INDEX('Pegar docentes'!$A$1:$BZ$1001,104,K$2)&amp;""),""))</f>
        <v/>
      </c>
      <c r="L105">
        <f>IF(L$2=0,"",IFERROR(TRIM(INDEX('Pegar docentes'!$A$1:$BZ$1001,104,L$2)&amp;""),""))</f>
        <v/>
      </c>
      <c r="M105">
        <f>IF(M$2=0,"",IFERROR(TRIM(INDEX('Pegar docentes'!$A$1:$BZ$1001,104,M$2)&amp;""),""))</f>
        <v/>
      </c>
      <c r="N105">
        <f>IF(N$2=0,"",IFERROR(TRIM(INDEX('Pegar docentes'!$A$1:$BZ$1001,104,N$2)&amp;""),""))</f>
        <v/>
      </c>
      <c r="O105">
        <f>IF(O$2=0,"",IFERROR(TRIM(INDEX('Pegar docentes'!$A$1:$BZ$1001,104,O$2)&amp;""),""))</f>
        <v/>
      </c>
      <c r="P105">
        <f>IF(P$2=0,"",IFERROR(TRIM(INDEX('Pegar docentes'!$A$1:$BZ$1001,104,P$2)&amp;""),""))</f>
        <v/>
      </c>
      <c r="Q105" s="25">
        <f>IF(OR(D105&lt;&gt;"",H105&lt;&gt;""),1,"")</f>
        <v/>
      </c>
      <c r="R105" s="25">
        <f>IF(Q105=1,IF(ISNUMBER(FIND("#"&amp;MID(D105,1,1)&amp;"#","#0#1#2#3#4#5#6#7#8#9#")),IF(ISNUMBER(FIND("#"&amp;MID(D105,2,1)&amp;"#","#0#1#2#3#4#5#6#7#8#9#")),IF(AND(VALUE(LEFT(D105,2))&gt;=1,VALUE(LEFT(D105,2))&lt;=5),VALUE(LEFT(D105,2)),""),IF(AND(VALUE(LEFT(D105,1))&gt;=1,VALUE(LEFT(D105,1))&lt;=5),VALUE(LEFT(D105,1)),"")),""),"")</f>
        <v/>
      </c>
      <c r="S105" s="25">
        <f>IF(AND(Q105=1,E105&lt;&gt;""),SUBSTITUTE(SUBSTITUTE(SUBSTITUTE(SUBSTITUTE(SUBSTITUTE(SUBSTITUTE(SUBSTITUTE(SUBSTITUTE(SUBSTITUTE(SUBSTITUTE(SUBSTITUTE(SUBSTITUTE(LOWER(TRIM(E105)),"á","a"),"é","e"),"í","i"),"ó","o"),"ú","u"),"ü","u"),"ñ","n"),"à","a"),"è","e"),"ì","i"),"ò","o"),"ù","u"),"")</f>
        <v/>
      </c>
      <c r="T105" s="25">
        <f>IF(AND(Q105=1,G105&lt;&gt;""),SUBSTITUTE(SUBSTITUTE(SUBSTITUTE(SUBSTITUTE(SUBSTITUTE(SUBSTITUTE(SUBSTITUTE(SUBSTITUTE(SUBSTITUTE(SUBSTITUTE(SUBSTITUTE(SUBSTITUTE(LOWER(TRIM(G105)),"á","a"),"é","e"),"í","i"),"ó","o"),"ú","u"),"ü","u"),"ñ","n"),"à","a"),"è","e"),"ì","i"),"ò","o"),"ù","u"),"")</f>
        <v/>
      </c>
      <c r="U105" s="25">
        <f>IF(AND(Q105=1,H105&lt;&gt;""),SUBSTITUTE(SUBSTITUTE(SUBSTITUTE(SUBSTITUTE(SUBSTITUTE(SUBSTITUTE(SUBSTITUTE(SUBSTITUTE(SUBSTITUTE(SUBSTITUTE(SUBSTITUTE(SUBSTITUTE(LOWER(TRIM(H105)),"á","a"),"é","e"),"í","i"),"ó","o"),"ú","u"),"ü","u"),"ñ","n"),"à","a"),"è","e"),"ì","i"),"ò","o"),"ù","u"),"")</f>
        <v/>
      </c>
      <c r="V105" s="25">
        <f>IF(AND(Q105=1,L105&lt;&gt;""),SUBSTITUTE(SUBSTITUTE(SUBSTITUTE(SUBSTITUTE(SUBSTITUTE(SUBSTITUTE(SUBSTITUTE(SUBSTITUTE(SUBSTITUTE(SUBSTITUTE(SUBSTITUTE(SUBSTITUTE(LOWER(TRIM(L105)),"á","a"),"é","e"),"í","i"),"ó","o"),"ú","u"),"ü","u"),"ñ","n"),"à","a"),"è","e"),"ì","i"),"ò","o"),"ù","u"),"")</f>
        <v/>
      </c>
      <c r="W105" s="25">
        <f>IF(AND(Q105=1,I105&lt;&gt;""),SUBSTITUTE(SUBSTITUTE(SUBSTITUTE(SUBSTITUTE(SUBSTITUTE(SUBSTITUTE(SUBSTITUTE(SUBSTITUTE(SUBSTITUTE(SUBSTITUTE(SUBSTITUTE(SUBSTITUTE(LOWER(TRIM(I105)),"á","a"),"é","e"),"í","i"),"ó","o"),"ú","u"),"ü","u"),"ñ","n"),"à","a"),"è","e"),"ì","i"),"ò","o"),"ù","u"),"")</f>
        <v/>
      </c>
      <c r="X105" s="25">
        <f>IF(U105="","",IF(OR(U105="si, en la proxima tarea",U105="si, con cambios"),1,0))</f>
        <v/>
      </c>
      <c r="Y105" s="25">
        <f>IF(AND(Q105=1,A105&lt;&gt;""),IF(IFERROR(COUNTIFS(A$3:A105,"="&amp;SUBSTITUTE(SUBSTITUTE(SUBSTITUTE(A105,"~","~~"),"*","~*"),"?","~?"),Q$3:Q105,1),0)=1,MAX(Y$2:Y104)+1,""),"")</f>
        <v/>
      </c>
      <c r="Z105" s="25">
        <f>IF(Y105="","",COUNTIFS($A$3:$A$1002,"="&amp;SUBSTITUTE(SUBSTITUTE(SUBSTITUTE(A105,"~","~~"),"*","~*"),"?","~?"),$Q$3:$Q$1002,1)*10000-Y105)</f>
        <v/>
      </c>
    </row>
    <row r="106">
      <c r="A106">
        <f>IF(A$2=0,"",IFERROR(TRIM(INDEX('Pegar docentes'!$A$1:$BZ$1001,105,A$2)&amp;""),""))</f>
        <v/>
      </c>
      <c r="B106">
        <f>IF(B$2=0,"",IFERROR(TRIM(INDEX('Pegar docentes'!$A$1:$BZ$1001,105,B$2)&amp;""),""))</f>
        <v/>
      </c>
      <c r="C106">
        <f>IF(C$2=0,"",IFERROR(TRIM(INDEX('Pegar docentes'!$A$1:$BZ$1001,105,C$2)&amp;""),""))</f>
        <v/>
      </c>
      <c r="D106">
        <f>IF(D$2=0,"",IFERROR(TRIM(INDEX('Pegar docentes'!$A$1:$BZ$1001,105,D$2)&amp;""),""))</f>
        <v/>
      </c>
      <c r="E106">
        <f>IF(E$2=0,"",IFERROR(TRIM(INDEX('Pegar docentes'!$A$1:$BZ$1001,105,E$2)&amp;""),""))</f>
        <v/>
      </c>
      <c r="F106">
        <f>IF(F$2=0,"",IFERROR(TRIM(INDEX('Pegar docentes'!$A$1:$BZ$1001,105,F$2)&amp;""),""))</f>
        <v/>
      </c>
      <c r="G106">
        <f>IF(G$2=0,"",IFERROR(TRIM(INDEX('Pegar docentes'!$A$1:$BZ$1001,105,G$2)&amp;""),""))</f>
        <v/>
      </c>
      <c r="H106">
        <f>IF(H$2=0,"",IFERROR(TRIM(INDEX('Pegar docentes'!$A$1:$BZ$1001,105,H$2)&amp;""),""))</f>
        <v/>
      </c>
      <c r="I106">
        <f>IF(I$2=0,"",IFERROR(TRIM(INDEX('Pegar docentes'!$A$1:$BZ$1001,105,I$2)&amp;""),""))</f>
        <v/>
      </c>
      <c r="J106">
        <f>IF(J$2=0,"",IFERROR(TRIM(INDEX('Pegar docentes'!$A$1:$BZ$1001,105,J$2)&amp;""),""))</f>
        <v/>
      </c>
      <c r="K106">
        <f>IF(K$2=0,"",IFERROR(TRIM(INDEX('Pegar docentes'!$A$1:$BZ$1001,105,K$2)&amp;""),""))</f>
        <v/>
      </c>
      <c r="L106">
        <f>IF(L$2=0,"",IFERROR(TRIM(INDEX('Pegar docentes'!$A$1:$BZ$1001,105,L$2)&amp;""),""))</f>
        <v/>
      </c>
      <c r="M106">
        <f>IF(M$2=0,"",IFERROR(TRIM(INDEX('Pegar docentes'!$A$1:$BZ$1001,105,M$2)&amp;""),""))</f>
        <v/>
      </c>
      <c r="N106">
        <f>IF(N$2=0,"",IFERROR(TRIM(INDEX('Pegar docentes'!$A$1:$BZ$1001,105,N$2)&amp;""),""))</f>
        <v/>
      </c>
      <c r="O106">
        <f>IF(O$2=0,"",IFERROR(TRIM(INDEX('Pegar docentes'!$A$1:$BZ$1001,105,O$2)&amp;""),""))</f>
        <v/>
      </c>
      <c r="P106">
        <f>IF(P$2=0,"",IFERROR(TRIM(INDEX('Pegar docentes'!$A$1:$BZ$1001,105,P$2)&amp;""),""))</f>
        <v/>
      </c>
      <c r="Q106" s="25">
        <f>IF(OR(D106&lt;&gt;"",H106&lt;&gt;""),1,"")</f>
        <v/>
      </c>
      <c r="R106" s="25">
        <f>IF(Q106=1,IF(ISNUMBER(FIND("#"&amp;MID(D106,1,1)&amp;"#","#0#1#2#3#4#5#6#7#8#9#")),IF(ISNUMBER(FIND("#"&amp;MID(D106,2,1)&amp;"#","#0#1#2#3#4#5#6#7#8#9#")),IF(AND(VALUE(LEFT(D106,2))&gt;=1,VALUE(LEFT(D106,2))&lt;=5),VALUE(LEFT(D106,2)),""),IF(AND(VALUE(LEFT(D106,1))&gt;=1,VALUE(LEFT(D106,1))&lt;=5),VALUE(LEFT(D106,1)),"")),""),"")</f>
        <v/>
      </c>
      <c r="S106" s="25">
        <f>IF(AND(Q106=1,E106&lt;&gt;""),SUBSTITUTE(SUBSTITUTE(SUBSTITUTE(SUBSTITUTE(SUBSTITUTE(SUBSTITUTE(SUBSTITUTE(SUBSTITUTE(SUBSTITUTE(SUBSTITUTE(SUBSTITUTE(SUBSTITUTE(LOWER(TRIM(E106)),"á","a"),"é","e"),"í","i"),"ó","o"),"ú","u"),"ü","u"),"ñ","n"),"à","a"),"è","e"),"ì","i"),"ò","o"),"ù","u"),"")</f>
        <v/>
      </c>
      <c r="T106" s="25">
        <f>IF(AND(Q106=1,G106&lt;&gt;""),SUBSTITUTE(SUBSTITUTE(SUBSTITUTE(SUBSTITUTE(SUBSTITUTE(SUBSTITUTE(SUBSTITUTE(SUBSTITUTE(SUBSTITUTE(SUBSTITUTE(SUBSTITUTE(SUBSTITUTE(LOWER(TRIM(G106)),"á","a"),"é","e"),"í","i"),"ó","o"),"ú","u"),"ü","u"),"ñ","n"),"à","a"),"è","e"),"ì","i"),"ò","o"),"ù","u"),"")</f>
        <v/>
      </c>
      <c r="U106" s="25">
        <f>IF(AND(Q106=1,H106&lt;&gt;""),SUBSTITUTE(SUBSTITUTE(SUBSTITUTE(SUBSTITUTE(SUBSTITUTE(SUBSTITUTE(SUBSTITUTE(SUBSTITUTE(SUBSTITUTE(SUBSTITUTE(SUBSTITUTE(SUBSTITUTE(LOWER(TRIM(H106)),"á","a"),"é","e"),"í","i"),"ó","o"),"ú","u"),"ü","u"),"ñ","n"),"à","a"),"è","e"),"ì","i"),"ò","o"),"ù","u"),"")</f>
        <v/>
      </c>
      <c r="V106" s="25">
        <f>IF(AND(Q106=1,L106&lt;&gt;""),SUBSTITUTE(SUBSTITUTE(SUBSTITUTE(SUBSTITUTE(SUBSTITUTE(SUBSTITUTE(SUBSTITUTE(SUBSTITUTE(SUBSTITUTE(SUBSTITUTE(SUBSTITUTE(SUBSTITUTE(LOWER(TRIM(L106)),"á","a"),"é","e"),"í","i"),"ó","o"),"ú","u"),"ü","u"),"ñ","n"),"à","a"),"è","e"),"ì","i"),"ò","o"),"ù","u"),"")</f>
        <v/>
      </c>
      <c r="W106" s="25">
        <f>IF(AND(Q106=1,I106&lt;&gt;""),SUBSTITUTE(SUBSTITUTE(SUBSTITUTE(SUBSTITUTE(SUBSTITUTE(SUBSTITUTE(SUBSTITUTE(SUBSTITUTE(SUBSTITUTE(SUBSTITUTE(SUBSTITUTE(SUBSTITUTE(LOWER(TRIM(I106)),"á","a"),"é","e"),"í","i"),"ó","o"),"ú","u"),"ü","u"),"ñ","n"),"à","a"),"è","e"),"ì","i"),"ò","o"),"ù","u"),"")</f>
        <v/>
      </c>
      <c r="X106" s="25">
        <f>IF(U106="","",IF(OR(U106="si, en la proxima tarea",U106="si, con cambios"),1,0))</f>
        <v/>
      </c>
      <c r="Y106" s="25">
        <f>IF(AND(Q106=1,A106&lt;&gt;""),IF(IFERROR(COUNTIFS(A$3:A106,"="&amp;SUBSTITUTE(SUBSTITUTE(SUBSTITUTE(A106,"~","~~"),"*","~*"),"?","~?"),Q$3:Q106,1),0)=1,MAX(Y$2:Y105)+1,""),"")</f>
        <v/>
      </c>
      <c r="Z106" s="25">
        <f>IF(Y106="","",COUNTIFS($A$3:$A$1002,"="&amp;SUBSTITUTE(SUBSTITUTE(SUBSTITUTE(A106,"~","~~"),"*","~*"),"?","~?"),$Q$3:$Q$1002,1)*10000-Y106)</f>
        <v/>
      </c>
    </row>
    <row r="107">
      <c r="A107">
        <f>IF(A$2=0,"",IFERROR(TRIM(INDEX('Pegar docentes'!$A$1:$BZ$1001,106,A$2)&amp;""),""))</f>
        <v/>
      </c>
      <c r="B107">
        <f>IF(B$2=0,"",IFERROR(TRIM(INDEX('Pegar docentes'!$A$1:$BZ$1001,106,B$2)&amp;""),""))</f>
        <v/>
      </c>
      <c r="C107">
        <f>IF(C$2=0,"",IFERROR(TRIM(INDEX('Pegar docentes'!$A$1:$BZ$1001,106,C$2)&amp;""),""))</f>
        <v/>
      </c>
      <c r="D107">
        <f>IF(D$2=0,"",IFERROR(TRIM(INDEX('Pegar docentes'!$A$1:$BZ$1001,106,D$2)&amp;""),""))</f>
        <v/>
      </c>
      <c r="E107">
        <f>IF(E$2=0,"",IFERROR(TRIM(INDEX('Pegar docentes'!$A$1:$BZ$1001,106,E$2)&amp;""),""))</f>
        <v/>
      </c>
      <c r="F107">
        <f>IF(F$2=0,"",IFERROR(TRIM(INDEX('Pegar docentes'!$A$1:$BZ$1001,106,F$2)&amp;""),""))</f>
        <v/>
      </c>
      <c r="G107">
        <f>IF(G$2=0,"",IFERROR(TRIM(INDEX('Pegar docentes'!$A$1:$BZ$1001,106,G$2)&amp;""),""))</f>
        <v/>
      </c>
      <c r="H107">
        <f>IF(H$2=0,"",IFERROR(TRIM(INDEX('Pegar docentes'!$A$1:$BZ$1001,106,H$2)&amp;""),""))</f>
        <v/>
      </c>
      <c r="I107">
        <f>IF(I$2=0,"",IFERROR(TRIM(INDEX('Pegar docentes'!$A$1:$BZ$1001,106,I$2)&amp;""),""))</f>
        <v/>
      </c>
      <c r="J107">
        <f>IF(J$2=0,"",IFERROR(TRIM(INDEX('Pegar docentes'!$A$1:$BZ$1001,106,J$2)&amp;""),""))</f>
        <v/>
      </c>
      <c r="K107">
        <f>IF(K$2=0,"",IFERROR(TRIM(INDEX('Pegar docentes'!$A$1:$BZ$1001,106,K$2)&amp;""),""))</f>
        <v/>
      </c>
      <c r="L107">
        <f>IF(L$2=0,"",IFERROR(TRIM(INDEX('Pegar docentes'!$A$1:$BZ$1001,106,L$2)&amp;""),""))</f>
        <v/>
      </c>
      <c r="M107">
        <f>IF(M$2=0,"",IFERROR(TRIM(INDEX('Pegar docentes'!$A$1:$BZ$1001,106,M$2)&amp;""),""))</f>
        <v/>
      </c>
      <c r="N107">
        <f>IF(N$2=0,"",IFERROR(TRIM(INDEX('Pegar docentes'!$A$1:$BZ$1001,106,N$2)&amp;""),""))</f>
        <v/>
      </c>
      <c r="O107">
        <f>IF(O$2=0,"",IFERROR(TRIM(INDEX('Pegar docentes'!$A$1:$BZ$1001,106,O$2)&amp;""),""))</f>
        <v/>
      </c>
      <c r="P107">
        <f>IF(P$2=0,"",IFERROR(TRIM(INDEX('Pegar docentes'!$A$1:$BZ$1001,106,P$2)&amp;""),""))</f>
        <v/>
      </c>
      <c r="Q107" s="25">
        <f>IF(OR(D107&lt;&gt;"",H107&lt;&gt;""),1,"")</f>
        <v/>
      </c>
      <c r="R107" s="25">
        <f>IF(Q107=1,IF(ISNUMBER(FIND("#"&amp;MID(D107,1,1)&amp;"#","#0#1#2#3#4#5#6#7#8#9#")),IF(ISNUMBER(FIND("#"&amp;MID(D107,2,1)&amp;"#","#0#1#2#3#4#5#6#7#8#9#")),IF(AND(VALUE(LEFT(D107,2))&gt;=1,VALUE(LEFT(D107,2))&lt;=5),VALUE(LEFT(D107,2)),""),IF(AND(VALUE(LEFT(D107,1))&gt;=1,VALUE(LEFT(D107,1))&lt;=5),VALUE(LEFT(D107,1)),"")),""),"")</f>
        <v/>
      </c>
      <c r="S107" s="25">
        <f>IF(AND(Q107=1,E107&lt;&gt;""),SUBSTITUTE(SUBSTITUTE(SUBSTITUTE(SUBSTITUTE(SUBSTITUTE(SUBSTITUTE(SUBSTITUTE(SUBSTITUTE(SUBSTITUTE(SUBSTITUTE(SUBSTITUTE(SUBSTITUTE(LOWER(TRIM(E107)),"á","a"),"é","e"),"í","i"),"ó","o"),"ú","u"),"ü","u"),"ñ","n"),"à","a"),"è","e"),"ì","i"),"ò","o"),"ù","u"),"")</f>
        <v/>
      </c>
      <c r="T107" s="25">
        <f>IF(AND(Q107=1,G107&lt;&gt;""),SUBSTITUTE(SUBSTITUTE(SUBSTITUTE(SUBSTITUTE(SUBSTITUTE(SUBSTITUTE(SUBSTITUTE(SUBSTITUTE(SUBSTITUTE(SUBSTITUTE(SUBSTITUTE(SUBSTITUTE(LOWER(TRIM(G107)),"á","a"),"é","e"),"í","i"),"ó","o"),"ú","u"),"ü","u"),"ñ","n"),"à","a"),"è","e"),"ì","i"),"ò","o"),"ù","u"),"")</f>
        <v/>
      </c>
      <c r="U107" s="25">
        <f>IF(AND(Q107=1,H107&lt;&gt;""),SUBSTITUTE(SUBSTITUTE(SUBSTITUTE(SUBSTITUTE(SUBSTITUTE(SUBSTITUTE(SUBSTITUTE(SUBSTITUTE(SUBSTITUTE(SUBSTITUTE(SUBSTITUTE(SUBSTITUTE(LOWER(TRIM(H107)),"á","a"),"é","e"),"í","i"),"ó","o"),"ú","u"),"ü","u"),"ñ","n"),"à","a"),"è","e"),"ì","i"),"ò","o"),"ù","u"),"")</f>
        <v/>
      </c>
      <c r="V107" s="25">
        <f>IF(AND(Q107=1,L107&lt;&gt;""),SUBSTITUTE(SUBSTITUTE(SUBSTITUTE(SUBSTITUTE(SUBSTITUTE(SUBSTITUTE(SUBSTITUTE(SUBSTITUTE(SUBSTITUTE(SUBSTITUTE(SUBSTITUTE(SUBSTITUTE(LOWER(TRIM(L107)),"á","a"),"é","e"),"í","i"),"ó","o"),"ú","u"),"ü","u"),"ñ","n"),"à","a"),"è","e"),"ì","i"),"ò","o"),"ù","u"),"")</f>
        <v/>
      </c>
      <c r="W107" s="25">
        <f>IF(AND(Q107=1,I107&lt;&gt;""),SUBSTITUTE(SUBSTITUTE(SUBSTITUTE(SUBSTITUTE(SUBSTITUTE(SUBSTITUTE(SUBSTITUTE(SUBSTITUTE(SUBSTITUTE(SUBSTITUTE(SUBSTITUTE(SUBSTITUTE(LOWER(TRIM(I107)),"á","a"),"é","e"),"í","i"),"ó","o"),"ú","u"),"ü","u"),"ñ","n"),"à","a"),"è","e"),"ì","i"),"ò","o"),"ù","u"),"")</f>
        <v/>
      </c>
      <c r="X107" s="25">
        <f>IF(U107="","",IF(OR(U107="si, en la proxima tarea",U107="si, con cambios"),1,0))</f>
        <v/>
      </c>
      <c r="Y107" s="25">
        <f>IF(AND(Q107=1,A107&lt;&gt;""),IF(IFERROR(COUNTIFS(A$3:A107,"="&amp;SUBSTITUTE(SUBSTITUTE(SUBSTITUTE(A107,"~","~~"),"*","~*"),"?","~?"),Q$3:Q107,1),0)=1,MAX(Y$2:Y106)+1,""),"")</f>
        <v/>
      </c>
      <c r="Z107" s="25">
        <f>IF(Y107="","",COUNTIFS($A$3:$A$1002,"="&amp;SUBSTITUTE(SUBSTITUTE(SUBSTITUTE(A107,"~","~~"),"*","~*"),"?","~?"),$Q$3:$Q$1002,1)*10000-Y107)</f>
        <v/>
      </c>
    </row>
    <row r="108">
      <c r="A108">
        <f>IF(A$2=0,"",IFERROR(TRIM(INDEX('Pegar docentes'!$A$1:$BZ$1001,107,A$2)&amp;""),""))</f>
        <v/>
      </c>
      <c r="B108">
        <f>IF(B$2=0,"",IFERROR(TRIM(INDEX('Pegar docentes'!$A$1:$BZ$1001,107,B$2)&amp;""),""))</f>
        <v/>
      </c>
      <c r="C108">
        <f>IF(C$2=0,"",IFERROR(TRIM(INDEX('Pegar docentes'!$A$1:$BZ$1001,107,C$2)&amp;""),""))</f>
        <v/>
      </c>
      <c r="D108">
        <f>IF(D$2=0,"",IFERROR(TRIM(INDEX('Pegar docentes'!$A$1:$BZ$1001,107,D$2)&amp;""),""))</f>
        <v/>
      </c>
      <c r="E108">
        <f>IF(E$2=0,"",IFERROR(TRIM(INDEX('Pegar docentes'!$A$1:$BZ$1001,107,E$2)&amp;""),""))</f>
        <v/>
      </c>
      <c r="F108">
        <f>IF(F$2=0,"",IFERROR(TRIM(INDEX('Pegar docentes'!$A$1:$BZ$1001,107,F$2)&amp;""),""))</f>
        <v/>
      </c>
      <c r="G108">
        <f>IF(G$2=0,"",IFERROR(TRIM(INDEX('Pegar docentes'!$A$1:$BZ$1001,107,G$2)&amp;""),""))</f>
        <v/>
      </c>
      <c r="H108">
        <f>IF(H$2=0,"",IFERROR(TRIM(INDEX('Pegar docentes'!$A$1:$BZ$1001,107,H$2)&amp;""),""))</f>
        <v/>
      </c>
      <c r="I108">
        <f>IF(I$2=0,"",IFERROR(TRIM(INDEX('Pegar docentes'!$A$1:$BZ$1001,107,I$2)&amp;""),""))</f>
        <v/>
      </c>
      <c r="J108">
        <f>IF(J$2=0,"",IFERROR(TRIM(INDEX('Pegar docentes'!$A$1:$BZ$1001,107,J$2)&amp;""),""))</f>
        <v/>
      </c>
      <c r="K108">
        <f>IF(K$2=0,"",IFERROR(TRIM(INDEX('Pegar docentes'!$A$1:$BZ$1001,107,K$2)&amp;""),""))</f>
        <v/>
      </c>
      <c r="L108">
        <f>IF(L$2=0,"",IFERROR(TRIM(INDEX('Pegar docentes'!$A$1:$BZ$1001,107,L$2)&amp;""),""))</f>
        <v/>
      </c>
      <c r="M108">
        <f>IF(M$2=0,"",IFERROR(TRIM(INDEX('Pegar docentes'!$A$1:$BZ$1001,107,M$2)&amp;""),""))</f>
        <v/>
      </c>
      <c r="N108">
        <f>IF(N$2=0,"",IFERROR(TRIM(INDEX('Pegar docentes'!$A$1:$BZ$1001,107,N$2)&amp;""),""))</f>
        <v/>
      </c>
      <c r="O108">
        <f>IF(O$2=0,"",IFERROR(TRIM(INDEX('Pegar docentes'!$A$1:$BZ$1001,107,O$2)&amp;""),""))</f>
        <v/>
      </c>
      <c r="P108">
        <f>IF(P$2=0,"",IFERROR(TRIM(INDEX('Pegar docentes'!$A$1:$BZ$1001,107,P$2)&amp;""),""))</f>
        <v/>
      </c>
      <c r="Q108" s="25">
        <f>IF(OR(D108&lt;&gt;"",H108&lt;&gt;""),1,"")</f>
        <v/>
      </c>
      <c r="R108" s="25">
        <f>IF(Q108=1,IF(ISNUMBER(FIND("#"&amp;MID(D108,1,1)&amp;"#","#0#1#2#3#4#5#6#7#8#9#")),IF(ISNUMBER(FIND("#"&amp;MID(D108,2,1)&amp;"#","#0#1#2#3#4#5#6#7#8#9#")),IF(AND(VALUE(LEFT(D108,2))&gt;=1,VALUE(LEFT(D108,2))&lt;=5),VALUE(LEFT(D108,2)),""),IF(AND(VALUE(LEFT(D108,1))&gt;=1,VALUE(LEFT(D108,1))&lt;=5),VALUE(LEFT(D108,1)),"")),""),"")</f>
        <v/>
      </c>
      <c r="S108" s="25">
        <f>IF(AND(Q108=1,E108&lt;&gt;""),SUBSTITUTE(SUBSTITUTE(SUBSTITUTE(SUBSTITUTE(SUBSTITUTE(SUBSTITUTE(SUBSTITUTE(SUBSTITUTE(SUBSTITUTE(SUBSTITUTE(SUBSTITUTE(SUBSTITUTE(LOWER(TRIM(E108)),"á","a"),"é","e"),"í","i"),"ó","o"),"ú","u"),"ü","u"),"ñ","n"),"à","a"),"è","e"),"ì","i"),"ò","o"),"ù","u"),"")</f>
        <v/>
      </c>
      <c r="T108" s="25">
        <f>IF(AND(Q108=1,G108&lt;&gt;""),SUBSTITUTE(SUBSTITUTE(SUBSTITUTE(SUBSTITUTE(SUBSTITUTE(SUBSTITUTE(SUBSTITUTE(SUBSTITUTE(SUBSTITUTE(SUBSTITUTE(SUBSTITUTE(SUBSTITUTE(LOWER(TRIM(G108)),"á","a"),"é","e"),"í","i"),"ó","o"),"ú","u"),"ü","u"),"ñ","n"),"à","a"),"è","e"),"ì","i"),"ò","o"),"ù","u"),"")</f>
        <v/>
      </c>
      <c r="U108" s="25">
        <f>IF(AND(Q108=1,H108&lt;&gt;""),SUBSTITUTE(SUBSTITUTE(SUBSTITUTE(SUBSTITUTE(SUBSTITUTE(SUBSTITUTE(SUBSTITUTE(SUBSTITUTE(SUBSTITUTE(SUBSTITUTE(SUBSTITUTE(SUBSTITUTE(LOWER(TRIM(H108)),"á","a"),"é","e"),"í","i"),"ó","o"),"ú","u"),"ü","u"),"ñ","n"),"à","a"),"è","e"),"ì","i"),"ò","o"),"ù","u"),"")</f>
        <v/>
      </c>
      <c r="V108" s="25">
        <f>IF(AND(Q108=1,L108&lt;&gt;""),SUBSTITUTE(SUBSTITUTE(SUBSTITUTE(SUBSTITUTE(SUBSTITUTE(SUBSTITUTE(SUBSTITUTE(SUBSTITUTE(SUBSTITUTE(SUBSTITUTE(SUBSTITUTE(SUBSTITUTE(LOWER(TRIM(L108)),"á","a"),"é","e"),"í","i"),"ó","o"),"ú","u"),"ü","u"),"ñ","n"),"à","a"),"è","e"),"ì","i"),"ò","o"),"ù","u"),"")</f>
        <v/>
      </c>
      <c r="W108" s="25">
        <f>IF(AND(Q108=1,I108&lt;&gt;""),SUBSTITUTE(SUBSTITUTE(SUBSTITUTE(SUBSTITUTE(SUBSTITUTE(SUBSTITUTE(SUBSTITUTE(SUBSTITUTE(SUBSTITUTE(SUBSTITUTE(SUBSTITUTE(SUBSTITUTE(LOWER(TRIM(I108)),"á","a"),"é","e"),"í","i"),"ó","o"),"ú","u"),"ü","u"),"ñ","n"),"à","a"),"è","e"),"ì","i"),"ò","o"),"ù","u"),"")</f>
        <v/>
      </c>
      <c r="X108" s="25">
        <f>IF(U108="","",IF(OR(U108="si, en la proxima tarea",U108="si, con cambios"),1,0))</f>
        <v/>
      </c>
      <c r="Y108" s="25">
        <f>IF(AND(Q108=1,A108&lt;&gt;""),IF(IFERROR(COUNTIFS(A$3:A108,"="&amp;SUBSTITUTE(SUBSTITUTE(SUBSTITUTE(A108,"~","~~"),"*","~*"),"?","~?"),Q$3:Q108,1),0)=1,MAX(Y$2:Y107)+1,""),"")</f>
        <v/>
      </c>
      <c r="Z108" s="25">
        <f>IF(Y108="","",COUNTIFS($A$3:$A$1002,"="&amp;SUBSTITUTE(SUBSTITUTE(SUBSTITUTE(A108,"~","~~"),"*","~*"),"?","~?"),$Q$3:$Q$1002,1)*10000-Y108)</f>
        <v/>
      </c>
    </row>
    <row r="109">
      <c r="A109">
        <f>IF(A$2=0,"",IFERROR(TRIM(INDEX('Pegar docentes'!$A$1:$BZ$1001,108,A$2)&amp;""),""))</f>
        <v/>
      </c>
      <c r="B109">
        <f>IF(B$2=0,"",IFERROR(TRIM(INDEX('Pegar docentes'!$A$1:$BZ$1001,108,B$2)&amp;""),""))</f>
        <v/>
      </c>
      <c r="C109">
        <f>IF(C$2=0,"",IFERROR(TRIM(INDEX('Pegar docentes'!$A$1:$BZ$1001,108,C$2)&amp;""),""))</f>
        <v/>
      </c>
      <c r="D109">
        <f>IF(D$2=0,"",IFERROR(TRIM(INDEX('Pegar docentes'!$A$1:$BZ$1001,108,D$2)&amp;""),""))</f>
        <v/>
      </c>
      <c r="E109">
        <f>IF(E$2=0,"",IFERROR(TRIM(INDEX('Pegar docentes'!$A$1:$BZ$1001,108,E$2)&amp;""),""))</f>
        <v/>
      </c>
      <c r="F109">
        <f>IF(F$2=0,"",IFERROR(TRIM(INDEX('Pegar docentes'!$A$1:$BZ$1001,108,F$2)&amp;""),""))</f>
        <v/>
      </c>
      <c r="G109">
        <f>IF(G$2=0,"",IFERROR(TRIM(INDEX('Pegar docentes'!$A$1:$BZ$1001,108,G$2)&amp;""),""))</f>
        <v/>
      </c>
      <c r="H109">
        <f>IF(H$2=0,"",IFERROR(TRIM(INDEX('Pegar docentes'!$A$1:$BZ$1001,108,H$2)&amp;""),""))</f>
        <v/>
      </c>
      <c r="I109">
        <f>IF(I$2=0,"",IFERROR(TRIM(INDEX('Pegar docentes'!$A$1:$BZ$1001,108,I$2)&amp;""),""))</f>
        <v/>
      </c>
      <c r="J109">
        <f>IF(J$2=0,"",IFERROR(TRIM(INDEX('Pegar docentes'!$A$1:$BZ$1001,108,J$2)&amp;""),""))</f>
        <v/>
      </c>
      <c r="K109">
        <f>IF(K$2=0,"",IFERROR(TRIM(INDEX('Pegar docentes'!$A$1:$BZ$1001,108,K$2)&amp;""),""))</f>
        <v/>
      </c>
      <c r="L109">
        <f>IF(L$2=0,"",IFERROR(TRIM(INDEX('Pegar docentes'!$A$1:$BZ$1001,108,L$2)&amp;""),""))</f>
        <v/>
      </c>
      <c r="M109">
        <f>IF(M$2=0,"",IFERROR(TRIM(INDEX('Pegar docentes'!$A$1:$BZ$1001,108,M$2)&amp;""),""))</f>
        <v/>
      </c>
      <c r="N109">
        <f>IF(N$2=0,"",IFERROR(TRIM(INDEX('Pegar docentes'!$A$1:$BZ$1001,108,N$2)&amp;""),""))</f>
        <v/>
      </c>
      <c r="O109">
        <f>IF(O$2=0,"",IFERROR(TRIM(INDEX('Pegar docentes'!$A$1:$BZ$1001,108,O$2)&amp;""),""))</f>
        <v/>
      </c>
      <c r="P109">
        <f>IF(P$2=0,"",IFERROR(TRIM(INDEX('Pegar docentes'!$A$1:$BZ$1001,108,P$2)&amp;""),""))</f>
        <v/>
      </c>
      <c r="Q109" s="25">
        <f>IF(OR(D109&lt;&gt;"",H109&lt;&gt;""),1,"")</f>
        <v/>
      </c>
      <c r="R109" s="25">
        <f>IF(Q109=1,IF(ISNUMBER(FIND("#"&amp;MID(D109,1,1)&amp;"#","#0#1#2#3#4#5#6#7#8#9#")),IF(ISNUMBER(FIND("#"&amp;MID(D109,2,1)&amp;"#","#0#1#2#3#4#5#6#7#8#9#")),IF(AND(VALUE(LEFT(D109,2))&gt;=1,VALUE(LEFT(D109,2))&lt;=5),VALUE(LEFT(D109,2)),""),IF(AND(VALUE(LEFT(D109,1))&gt;=1,VALUE(LEFT(D109,1))&lt;=5),VALUE(LEFT(D109,1)),"")),""),"")</f>
        <v/>
      </c>
      <c r="S109" s="25">
        <f>IF(AND(Q109=1,E109&lt;&gt;""),SUBSTITUTE(SUBSTITUTE(SUBSTITUTE(SUBSTITUTE(SUBSTITUTE(SUBSTITUTE(SUBSTITUTE(SUBSTITUTE(SUBSTITUTE(SUBSTITUTE(SUBSTITUTE(SUBSTITUTE(LOWER(TRIM(E109)),"á","a"),"é","e"),"í","i"),"ó","o"),"ú","u"),"ü","u"),"ñ","n"),"à","a"),"è","e"),"ì","i"),"ò","o"),"ù","u"),"")</f>
        <v/>
      </c>
      <c r="T109" s="25">
        <f>IF(AND(Q109=1,G109&lt;&gt;""),SUBSTITUTE(SUBSTITUTE(SUBSTITUTE(SUBSTITUTE(SUBSTITUTE(SUBSTITUTE(SUBSTITUTE(SUBSTITUTE(SUBSTITUTE(SUBSTITUTE(SUBSTITUTE(SUBSTITUTE(LOWER(TRIM(G109)),"á","a"),"é","e"),"í","i"),"ó","o"),"ú","u"),"ü","u"),"ñ","n"),"à","a"),"è","e"),"ì","i"),"ò","o"),"ù","u"),"")</f>
        <v/>
      </c>
      <c r="U109" s="25">
        <f>IF(AND(Q109=1,H109&lt;&gt;""),SUBSTITUTE(SUBSTITUTE(SUBSTITUTE(SUBSTITUTE(SUBSTITUTE(SUBSTITUTE(SUBSTITUTE(SUBSTITUTE(SUBSTITUTE(SUBSTITUTE(SUBSTITUTE(SUBSTITUTE(LOWER(TRIM(H109)),"á","a"),"é","e"),"í","i"),"ó","o"),"ú","u"),"ü","u"),"ñ","n"),"à","a"),"è","e"),"ì","i"),"ò","o"),"ù","u"),"")</f>
        <v/>
      </c>
      <c r="V109" s="25">
        <f>IF(AND(Q109=1,L109&lt;&gt;""),SUBSTITUTE(SUBSTITUTE(SUBSTITUTE(SUBSTITUTE(SUBSTITUTE(SUBSTITUTE(SUBSTITUTE(SUBSTITUTE(SUBSTITUTE(SUBSTITUTE(SUBSTITUTE(SUBSTITUTE(LOWER(TRIM(L109)),"á","a"),"é","e"),"í","i"),"ó","o"),"ú","u"),"ü","u"),"ñ","n"),"à","a"),"è","e"),"ì","i"),"ò","o"),"ù","u"),"")</f>
        <v/>
      </c>
      <c r="W109" s="25">
        <f>IF(AND(Q109=1,I109&lt;&gt;""),SUBSTITUTE(SUBSTITUTE(SUBSTITUTE(SUBSTITUTE(SUBSTITUTE(SUBSTITUTE(SUBSTITUTE(SUBSTITUTE(SUBSTITUTE(SUBSTITUTE(SUBSTITUTE(SUBSTITUTE(LOWER(TRIM(I109)),"á","a"),"é","e"),"í","i"),"ó","o"),"ú","u"),"ü","u"),"ñ","n"),"à","a"),"è","e"),"ì","i"),"ò","o"),"ù","u"),"")</f>
        <v/>
      </c>
      <c r="X109" s="25">
        <f>IF(U109="","",IF(OR(U109="si, en la proxima tarea",U109="si, con cambios"),1,0))</f>
        <v/>
      </c>
      <c r="Y109" s="25">
        <f>IF(AND(Q109=1,A109&lt;&gt;""),IF(IFERROR(COUNTIFS(A$3:A109,"="&amp;SUBSTITUTE(SUBSTITUTE(SUBSTITUTE(A109,"~","~~"),"*","~*"),"?","~?"),Q$3:Q109,1),0)=1,MAX(Y$2:Y108)+1,""),"")</f>
        <v/>
      </c>
      <c r="Z109" s="25">
        <f>IF(Y109="","",COUNTIFS($A$3:$A$1002,"="&amp;SUBSTITUTE(SUBSTITUTE(SUBSTITUTE(A109,"~","~~"),"*","~*"),"?","~?"),$Q$3:$Q$1002,1)*10000-Y109)</f>
        <v/>
      </c>
    </row>
    <row r="110">
      <c r="A110">
        <f>IF(A$2=0,"",IFERROR(TRIM(INDEX('Pegar docentes'!$A$1:$BZ$1001,109,A$2)&amp;""),""))</f>
        <v/>
      </c>
      <c r="B110">
        <f>IF(B$2=0,"",IFERROR(TRIM(INDEX('Pegar docentes'!$A$1:$BZ$1001,109,B$2)&amp;""),""))</f>
        <v/>
      </c>
      <c r="C110">
        <f>IF(C$2=0,"",IFERROR(TRIM(INDEX('Pegar docentes'!$A$1:$BZ$1001,109,C$2)&amp;""),""))</f>
        <v/>
      </c>
      <c r="D110">
        <f>IF(D$2=0,"",IFERROR(TRIM(INDEX('Pegar docentes'!$A$1:$BZ$1001,109,D$2)&amp;""),""))</f>
        <v/>
      </c>
      <c r="E110">
        <f>IF(E$2=0,"",IFERROR(TRIM(INDEX('Pegar docentes'!$A$1:$BZ$1001,109,E$2)&amp;""),""))</f>
        <v/>
      </c>
      <c r="F110">
        <f>IF(F$2=0,"",IFERROR(TRIM(INDEX('Pegar docentes'!$A$1:$BZ$1001,109,F$2)&amp;""),""))</f>
        <v/>
      </c>
      <c r="G110">
        <f>IF(G$2=0,"",IFERROR(TRIM(INDEX('Pegar docentes'!$A$1:$BZ$1001,109,G$2)&amp;""),""))</f>
        <v/>
      </c>
      <c r="H110">
        <f>IF(H$2=0,"",IFERROR(TRIM(INDEX('Pegar docentes'!$A$1:$BZ$1001,109,H$2)&amp;""),""))</f>
        <v/>
      </c>
      <c r="I110">
        <f>IF(I$2=0,"",IFERROR(TRIM(INDEX('Pegar docentes'!$A$1:$BZ$1001,109,I$2)&amp;""),""))</f>
        <v/>
      </c>
      <c r="J110">
        <f>IF(J$2=0,"",IFERROR(TRIM(INDEX('Pegar docentes'!$A$1:$BZ$1001,109,J$2)&amp;""),""))</f>
        <v/>
      </c>
      <c r="K110">
        <f>IF(K$2=0,"",IFERROR(TRIM(INDEX('Pegar docentes'!$A$1:$BZ$1001,109,K$2)&amp;""),""))</f>
        <v/>
      </c>
      <c r="L110">
        <f>IF(L$2=0,"",IFERROR(TRIM(INDEX('Pegar docentes'!$A$1:$BZ$1001,109,L$2)&amp;""),""))</f>
        <v/>
      </c>
      <c r="M110">
        <f>IF(M$2=0,"",IFERROR(TRIM(INDEX('Pegar docentes'!$A$1:$BZ$1001,109,M$2)&amp;""),""))</f>
        <v/>
      </c>
      <c r="N110">
        <f>IF(N$2=0,"",IFERROR(TRIM(INDEX('Pegar docentes'!$A$1:$BZ$1001,109,N$2)&amp;""),""))</f>
        <v/>
      </c>
      <c r="O110">
        <f>IF(O$2=0,"",IFERROR(TRIM(INDEX('Pegar docentes'!$A$1:$BZ$1001,109,O$2)&amp;""),""))</f>
        <v/>
      </c>
      <c r="P110">
        <f>IF(P$2=0,"",IFERROR(TRIM(INDEX('Pegar docentes'!$A$1:$BZ$1001,109,P$2)&amp;""),""))</f>
        <v/>
      </c>
      <c r="Q110" s="25">
        <f>IF(OR(D110&lt;&gt;"",H110&lt;&gt;""),1,"")</f>
        <v/>
      </c>
      <c r="R110" s="25">
        <f>IF(Q110=1,IF(ISNUMBER(FIND("#"&amp;MID(D110,1,1)&amp;"#","#0#1#2#3#4#5#6#7#8#9#")),IF(ISNUMBER(FIND("#"&amp;MID(D110,2,1)&amp;"#","#0#1#2#3#4#5#6#7#8#9#")),IF(AND(VALUE(LEFT(D110,2))&gt;=1,VALUE(LEFT(D110,2))&lt;=5),VALUE(LEFT(D110,2)),""),IF(AND(VALUE(LEFT(D110,1))&gt;=1,VALUE(LEFT(D110,1))&lt;=5),VALUE(LEFT(D110,1)),"")),""),"")</f>
        <v/>
      </c>
      <c r="S110" s="25">
        <f>IF(AND(Q110=1,E110&lt;&gt;""),SUBSTITUTE(SUBSTITUTE(SUBSTITUTE(SUBSTITUTE(SUBSTITUTE(SUBSTITUTE(SUBSTITUTE(SUBSTITUTE(SUBSTITUTE(SUBSTITUTE(SUBSTITUTE(SUBSTITUTE(LOWER(TRIM(E110)),"á","a"),"é","e"),"í","i"),"ó","o"),"ú","u"),"ü","u"),"ñ","n"),"à","a"),"è","e"),"ì","i"),"ò","o"),"ù","u"),"")</f>
        <v/>
      </c>
      <c r="T110" s="25">
        <f>IF(AND(Q110=1,G110&lt;&gt;""),SUBSTITUTE(SUBSTITUTE(SUBSTITUTE(SUBSTITUTE(SUBSTITUTE(SUBSTITUTE(SUBSTITUTE(SUBSTITUTE(SUBSTITUTE(SUBSTITUTE(SUBSTITUTE(SUBSTITUTE(LOWER(TRIM(G110)),"á","a"),"é","e"),"í","i"),"ó","o"),"ú","u"),"ü","u"),"ñ","n"),"à","a"),"è","e"),"ì","i"),"ò","o"),"ù","u"),"")</f>
        <v/>
      </c>
      <c r="U110" s="25">
        <f>IF(AND(Q110=1,H110&lt;&gt;""),SUBSTITUTE(SUBSTITUTE(SUBSTITUTE(SUBSTITUTE(SUBSTITUTE(SUBSTITUTE(SUBSTITUTE(SUBSTITUTE(SUBSTITUTE(SUBSTITUTE(SUBSTITUTE(SUBSTITUTE(LOWER(TRIM(H110)),"á","a"),"é","e"),"í","i"),"ó","o"),"ú","u"),"ü","u"),"ñ","n"),"à","a"),"è","e"),"ì","i"),"ò","o"),"ù","u"),"")</f>
        <v/>
      </c>
      <c r="V110" s="25">
        <f>IF(AND(Q110=1,L110&lt;&gt;""),SUBSTITUTE(SUBSTITUTE(SUBSTITUTE(SUBSTITUTE(SUBSTITUTE(SUBSTITUTE(SUBSTITUTE(SUBSTITUTE(SUBSTITUTE(SUBSTITUTE(SUBSTITUTE(SUBSTITUTE(LOWER(TRIM(L110)),"á","a"),"é","e"),"í","i"),"ó","o"),"ú","u"),"ü","u"),"ñ","n"),"à","a"),"è","e"),"ì","i"),"ò","o"),"ù","u"),"")</f>
        <v/>
      </c>
      <c r="W110" s="25">
        <f>IF(AND(Q110=1,I110&lt;&gt;""),SUBSTITUTE(SUBSTITUTE(SUBSTITUTE(SUBSTITUTE(SUBSTITUTE(SUBSTITUTE(SUBSTITUTE(SUBSTITUTE(SUBSTITUTE(SUBSTITUTE(SUBSTITUTE(SUBSTITUTE(LOWER(TRIM(I110)),"á","a"),"é","e"),"í","i"),"ó","o"),"ú","u"),"ü","u"),"ñ","n"),"à","a"),"è","e"),"ì","i"),"ò","o"),"ù","u"),"")</f>
        <v/>
      </c>
      <c r="X110" s="25">
        <f>IF(U110="","",IF(OR(U110="si, en la proxima tarea",U110="si, con cambios"),1,0))</f>
        <v/>
      </c>
      <c r="Y110" s="25">
        <f>IF(AND(Q110=1,A110&lt;&gt;""),IF(IFERROR(COUNTIFS(A$3:A110,"="&amp;SUBSTITUTE(SUBSTITUTE(SUBSTITUTE(A110,"~","~~"),"*","~*"),"?","~?"),Q$3:Q110,1),0)=1,MAX(Y$2:Y109)+1,""),"")</f>
        <v/>
      </c>
      <c r="Z110" s="25">
        <f>IF(Y110="","",COUNTIFS($A$3:$A$1002,"="&amp;SUBSTITUTE(SUBSTITUTE(SUBSTITUTE(A110,"~","~~"),"*","~*"),"?","~?"),$Q$3:$Q$1002,1)*10000-Y110)</f>
        <v/>
      </c>
    </row>
    <row r="111">
      <c r="A111">
        <f>IF(A$2=0,"",IFERROR(TRIM(INDEX('Pegar docentes'!$A$1:$BZ$1001,110,A$2)&amp;""),""))</f>
        <v/>
      </c>
      <c r="B111">
        <f>IF(B$2=0,"",IFERROR(TRIM(INDEX('Pegar docentes'!$A$1:$BZ$1001,110,B$2)&amp;""),""))</f>
        <v/>
      </c>
      <c r="C111">
        <f>IF(C$2=0,"",IFERROR(TRIM(INDEX('Pegar docentes'!$A$1:$BZ$1001,110,C$2)&amp;""),""))</f>
        <v/>
      </c>
      <c r="D111">
        <f>IF(D$2=0,"",IFERROR(TRIM(INDEX('Pegar docentes'!$A$1:$BZ$1001,110,D$2)&amp;""),""))</f>
        <v/>
      </c>
      <c r="E111">
        <f>IF(E$2=0,"",IFERROR(TRIM(INDEX('Pegar docentes'!$A$1:$BZ$1001,110,E$2)&amp;""),""))</f>
        <v/>
      </c>
      <c r="F111">
        <f>IF(F$2=0,"",IFERROR(TRIM(INDEX('Pegar docentes'!$A$1:$BZ$1001,110,F$2)&amp;""),""))</f>
        <v/>
      </c>
      <c r="G111">
        <f>IF(G$2=0,"",IFERROR(TRIM(INDEX('Pegar docentes'!$A$1:$BZ$1001,110,G$2)&amp;""),""))</f>
        <v/>
      </c>
      <c r="H111">
        <f>IF(H$2=0,"",IFERROR(TRIM(INDEX('Pegar docentes'!$A$1:$BZ$1001,110,H$2)&amp;""),""))</f>
        <v/>
      </c>
      <c r="I111">
        <f>IF(I$2=0,"",IFERROR(TRIM(INDEX('Pegar docentes'!$A$1:$BZ$1001,110,I$2)&amp;""),""))</f>
        <v/>
      </c>
      <c r="J111">
        <f>IF(J$2=0,"",IFERROR(TRIM(INDEX('Pegar docentes'!$A$1:$BZ$1001,110,J$2)&amp;""),""))</f>
        <v/>
      </c>
      <c r="K111">
        <f>IF(K$2=0,"",IFERROR(TRIM(INDEX('Pegar docentes'!$A$1:$BZ$1001,110,K$2)&amp;""),""))</f>
        <v/>
      </c>
      <c r="L111">
        <f>IF(L$2=0,"",IFERROR(TRIM(INDEX('Pegar docentes'!$A$1:$BZ$1001,110,L$2)&amp;""),""))</f>
        <v/>
      </c>
      <c r="M111">
        <f>IF(M$2=0,"",IFERROR(TRIM(INDEX('Pegar docentes'!$A$1:$BZ$1001,110,M$2)&amp;""),""))</f>
        <v/>
      </c>
      <c r="N111">
        <f>IF(N$2=0,"",IFERROR(TRIM(INDEX('Pegar docentes'!$A$1:$BZ$1001,110,N$2)&amp;""),""))</f>
        <v/>
      </c>
      <c r="O111">
        <f>IF(O$2=0,"",IFERROR(TRIM(INDEX('Pegar docentes'!$A$1:$BZ$1001,110,O$2)&amp;""),""))</f>
        <v/>
      </c>
      <c r="P111">
        <f>IF(P$2=0,"",IFERROR(TRIM(INDEX('Pegar docentes'!$A$1:$BZ$1001,110,P$2)&amp;""),""))</f>
        <v/>
      </c>
      <c r="Q111" s="25">
        <f>IF(OR(D111&lt;&gt;"",H111&lt;&gt;""),1,"")</f>
        <v/>
      </c>
      <c r="R111" s="25">
        <f>IF(Q111=1,IF(ISNUMBER(FIND("#"&amp;MID(D111,1,1)&amp;"#","#0#1#2#3#4#5#6#7#8#9#")),IF(ISNUMBER(FIND("#"&amp;MID(D111,2,1)&amp;"#","#0#1#2#3#4#5#6#7#8#9#")),IF(AND(VALUE(LEFT(D111,2))&gt;=1,VALUE(LEFT(D111,2))&lt;=5),VALUE(LEFT(D111,2)),""),IF(AND(VALUE(LEFT(D111,1))&gt;=1,VALUE(LEFT(D111,1))&lt;=5),VALUE(LEFT(D111,1)),"")),""),"")</f>
        <v/>
      </c>
      <c r="S111" s="25">
        <f>IF(AND(Q111=1,E111&lt;&gt;""),SUBSTITUTE(SUBSTITUTE(SUBSTITUTE(SUBSTITUTE(SUBSTITUTE(SUBSTITUTE(SUBSTITUTE(SUBSTITUTE(SUBSTITUTE(SUBSTITUTE(SUBSTITUTE(SUBSTITUTE(LOWER(TRIM(E111)),"á","a"),"é","e"),"í","i"),"ó","o"),"ú","u"),"ü","u"),"ñ","n"),"à","a"),"è","e"),"ì","i"),"ò","o"),"ù","u"),"")</f>
        <v/>
      </c>
      <c r="T111" s="25">
        <f>IF(AND(Q111=1,G111&lt;&gt;""),SUBSTITUTE(SUBSTITUTE(SUBSTITUTE(SUBSTITUTE(SUBSTITUTE(SUBSTITUTE(SUBSTITUTE(SUBSTITUTE(SUBSTITUTE(SUBSTITUTE(SUBSTITUTE(SUBSTITUTE(LOWER(TRIM(G111)),"á","a"),"é","e"),"í","i"),"ó","o"),"ú","u"),"ü","u"),"ñ","n"),"à","a"),"è","e"),"ì","i"),"ò","o"),"ù","u"),"")</f>
        <v/>
      </c>
      <c r="U111" s="25">
        <f>IF(AND(Q111=1,H111&lt;&gt;""),SUBSTITUTE(SUBSTITUTE(SUBSTITUTE(SUBSTITUTE(SUBSTITUTE(SUBSTITUTE(SUBSTITUTE(SUBSTITUTE(SUBSTITUTE(SUBSTITUTE(SUBSTITUTE(SUBSTITUTE(LOWER(TRIM(H111)),"á","a"),"é","e"),"í","i"),"ó","o"),"ú","u"),"ü","u"),"ñ","n"),"à","a"),"è","e"),"ì","i"),"ò","o"),"ù","u"),"")</f>
        <v/>
      </c>
      <c r="V111" s="25">
        <f>IF(AND(Q111=1,L111&lt;&gt;""),SUBSTITUTE(SUBSTITUTE(SUBSTITUTE(SUBSTITUTE(SUBSTITUTE(SUBSTITUTE(SUBSTITUTE(SUBSTITUTE(SUBSTITUTE(SUBSTITUTE(SUBSTITUTE(SUBSTITUTE(LOWER(TRIM(L111)),"á","a"),"é","e"),"í","i"),"ó","o"),"ú","u"),"ü","u"),"ñ","n"),"à","a"),"è","e"),"ì","i"),"ò","o"),"ù","u"),"")</f>
        <v/>
      </c>
      <c r="W111" s="25">
        <f>IF(AND(Q111=1,I111&lt;&gt;""),SUBSTITUTE(SUBSTITUTE(SUBSTITUTE(SUBSTITUTE(SUBSTITUTE(SUBSTITUTE(SUBSTITUTE(SUBSTITUTE(SUBSTITUTE(SUBSTITUTE(SUBSTITUTE(SUBSTITUTE(LOWER(TRIM(I111)),"á","a"),"é","e"),"í","i"),"ó","o"),"ú","u"),"ü","u"),"ñ","n"),"à","a"),"è","e"),"ì","i"),"ò","o"),"ù","u"),"")</f>
        <v/>
      </c>
      <c r="X111" s="25">
        <f>IF(U111="","",IF(OR(U111="si, en la proxima tarea",U111="si, con cambios"),1,0))</f>
        <v/>
      </c>
      <c r="Y111" s="25">
        <f>IF(AND(Q111=1,A111&lt;&gt;""),IF(IFERROR(COUNTIFS(A$3:A111,"="&amp;SUBSTITUTE(SUBSTITUTE(SUBSTITUTE(A111,"~","~~"),"*","~*"),"?","~?"),Q$3:Q111,1),0)=1,MAX(Y$2:Y110)+1,""),"")</f>
        <v/>
      </c>
      <c r="Z111" s="25">
        <f>IF(Y111="","",COUNTIFS($A$3:$A$1002,"="&amp;SUBSTITUTE(SUBSTITUTE(SUBSTITUTE(A111,"~","~~"),"*","~*"),"?","~?"),$Q$3:$Q$1002,1)*10000-Y111)</f>
        <v/>
      </c>
    </row>
    <row r="112">
      <c r="A112">
        <f>IF(A$2=0,"",IFERROR(TRIM(INDEX('Pegar docentes'!$A$1:$BZ$1001,111,A$2)&amp;""),""))</f>
        <v/>
      </c>
      <c r="B112">
        <f>IF(B$2=0,"",IFERROR(TRIM(INDEX('Pegar docentes'!$A$1:$BZ$1001,111,B$2)&amp;""),""))</f>
        <v/>
      </c>
      <c r="C112">
        <f>IF(C$2=0,"",IFERROR(TRIM(INDEX('Pegar docentes'!$A$1:$BZ$1001,111,C$2)&amp;""),""))</f>
        <v/>
      </c>
      <c r="D112">
        <f>IF(D$2=0,"",IFERROR(TRIM(INDEX('Pegar docentes'!$A$1:$BZ$1001,111,D$2)&amp;""),""))</f>
        <v/>
      </c>
      <c r="E112">
        <f>IF(E$2=0,"",IFERROR(TRIM(INDEX('Pegar docentes'!$A$1:$BZ$1001,111,E$2)&amp;""),""))</f>
        <v/>
      </c>
      <c r="F112">
        <f>IF(F$2=0,"",IFERROR(TRIM(INDEX('Pegar docentes'!$A$1:$BZ$1001,111,F$2)&amp;""),""))</f>
        <v/>
      </c>
      <c r="G112">
        <f>IF(G$2=0,"",IFERROR(TRIM(INDEX('Pegar docentes'!$A$1:$BZ$1001,111,G$2)&amp;""),""))</f>
        <v/>
      </c>
      <c r="H112">
        <f>IF(H$2=0,"",IFERROR(TRIM(INDEX('Pegar docentes'!$A$1:$BZ$1001,111,H$2)&amp;""),""))</f>
        <v/>
      </c>
      <c r="I112">
        <f>IF(I$2=0,"",IFERROR(TRIM(INDEX('Pegar docentes'!$A$1:$BZ$1001,111,I$2)&amp;""),""))</f>
        <v/>
      </c>
      <c r="J112">
        <f>IF(J$2=0,"",IFERROR(TRIM(INDEX('Pegar docentes'!$A$1:$BZ$1001,111,J$2)&amp;""),""))</f>
        <v/>
      </c>
      <c r="K112">
        <f>IF(K$2=0,"",IFERROR(TRIM(INDEX('Pegar docentes'!$A$1:$BZ$1001,111,K$2)&amp;""),""))</f>
        <v/>
      </c>
      <c r="L112">
        <f>IF(L$2=0,"",IFERROR(TRIM(INDEX('Pegar docentes'!$A$1:$BZ$1001,111,L$2)&amp;""),""))</f>
        <v/>
      </c>
      <c r="M112">
        <f>IF(M$2=0,"",IFERROR(TRIM(INDEX('Pegar docentes'!$A$1:$BZ$1001,111,M$2)&amp;""),""))</f>
        <v/>
      </c>
      <c r="N112">
        <f>IF(N$2=0,"",IFERROR(TRIM(INDEX('Pegar docentes'!$A$1:$BZ$1001,111,N$2)&amp;""),""))</f>
        <v/>
      </c>
      <c r="O112">
        <f>IF(O$2=0,"",IFERROR(TRIM(INDEX('Pegar docentes'!$A$1:$BZ$1001,111,O$2)&amp;""),""))</f>
        <v/>
      </c>
      <c r="P112">
        <f>IF(P$2=0,"",IFERROR(TRIM(INDEX('Pegar docentes'!$A$1:$BZ$1001,111,P$2)&amp;""),""))</f>
        <v/>
      </c>
      <c r="Q112" s="25">
        <f>IF(OR(D112&lt;&gt;"",H112&lt;&gt;""),1,"")</f>
        <v/>
      </c>
      <c r="R112" s="25">
        <f>IF(Q112=1,IF(ISNUMBER(FIND("#"&amp;MID(D112,1,1)&amp;"#","#0#1#2#3#4#5#6#7#8#9#")),IF(ISNUMBER(FIND("#"&amp;MID(D112,2,1)&amp;"#","#0#1#2#3#4#5#6#7#8#9#")),IF(AND(VALUE(LEFT(D112,2))&gt;=1,VALUE(LEFT(D112,2))&lt;=5),VALUE(LEFT(D112,2)),""),IF(AND(VALUE(LEFT(D112,1))&gt;=1,VALUE(LEFT(D112,1))&lt;=5),VALUE(LEFT(D112,1)),"")),""),"")</f>
        <v/>
      </c>
      <c r="S112" s="25">
        <f>IF(AND(Q112=1,E112&lt;&gt;""),SUBSTITUTE(SUBSTITUTE(SUBSTITUTE(SUBSTITUTE(SUBSTITUTE(SUBSTITUTE(SUBSTITUTE(SUBSTITUTE(SUBSTITUTE(SUBSTITUTE(SUBSTITUTE(SUBSTITUTE(LOWER(TRIM(E112)),"á","a"),"é","e"),"í","i"),"ó","o"),"ú","u"),"ü","u"),"ñ","n"),"à","a"),"è","e"),"ì","i"),"ò","o"),"ù","u"),"")</f>
        <v/>
      </c>
      <c r="T112" s="25">
        <f>IF(AND(Q112=1,G112&lt;&gt;""),SUBSTITUTE(SUBSTITUTE(SUBSTITUTE(SUBSTITUTE(SUBSTITUTE(SUBSTITUTE(SUBSTITUTE(SUBSTITUTE(SUBSTITUTE(SUBSTITUTE(SUBSTITUTE(SUBSTITUTE(LOWER(TRIM(G112)),"á","a"),"é","e"),"í","i"),"ó","o"),"ú","u"),"ü","u"),"ñ","n"),"à","a"),"è","e"),"ì","i"),"ò","o"),"ù","u"),"")</f>
        <v/>
      </c>
      <c r="U112" s="25">
        <f>IF(AND(Q112=1,H112&lt;&gt;""),SUBSTITUTE(SUBSTITUTE(SUBSTITUTE(SUBSTITUTE(SUBSTITUTE(SUBSTITUTE(SUBSTITUTE(SUBSTITUTE(SUBSTITUTE(SUBSTITUTE(SUBSTITUTE(SUBSTITUTE(LOWER(TRIM(H112)),"á","a"),"é","e"),"í","i"),"ó","o"),"ú","u"),"ü","u"),"ñ","n"),"à","a"),"è","e"),"ì","i"),"ò","o"),"ù","u"),"")</f>
        <v/>
      </c>
      <c r="V112" s="25">
        <f>IF(AND(Q112=1,L112&lt;&gt;""),SUBSTITUTE(SUBSTITUTE(SUBSTITUTE(SUBSTITUTE(SUBSTITUTE(SUBSTITUTE(SUBSTITUTE(SUBSTITUTE(SUBSTITUTE(SUBSTITUTE(SUBSTITUTE(SUBSTITUTE(LOWER(TRIM(L112)),"á","a"),"é","e"),"í","i"),"ó","o"),"ú","u"),"ü","u"),"ñ","n"),"à","a"),"è","e"),"ì","i"),"ò","o"),"ù","u"),"")</f>
        <v/>
      </c>
      <c r="W112" s="25">
        <f>IF(AND(Q112=1,I112&lt;&gt;""),SUBSTITUTE(SUBSTITUTE(SUBSTITUTE(SUBSTITUTE(SUBSTITUTE(SUBSTITUTE(SUBSTITUTE(SUBSTITUTE(SUBSTITUTE(SUBSTITUTE(SUBSTITUTE(SUBSTITUTE(LOWER(TRIM(I112)),"á","a"),"é","e"),"í","i"),"ó","o"),"ú","u"),"ü","u"),"ñ","n"),"à","a"),"è","e"),"ì","i"),"ò","o"),"ù","u"),"")</f>
        <v/>
      </c>
      <c r="X112" s="25">
        <f>IF(U112="","",IF(OR(U112="si, en la proxima tarea",U112="si, con cambios"),1,0))</f>
        <v/>
      </c>
      <c r="Y112" s="25">
        <f>IF(AND(Q112=1,A112&lt;&gt;""),IF(IFERROR(COUNTIFS(A$3:A112,"="&amp;SUBSTITUTE(SUBSTITUTE(SUBSTITUTE(A112,"~","~~"),"*","~*"),"?","~?"),Q$3:Q112,1),0)=1,MAX(Y$2:Y111)+1,""),"")</f>
        <v/>
      </c>
      <c r="Z112" s="25">
        <f>IF(Y112="","",COUNTIFS($A$3:$A$1002,"="&amp;SUBSTITUTE(SUBSTITUTE(SUBSTITUTE(A112,"~","~~"),"*","~*"),"?","~?"),$Q$3:$Q$1002,1)*10000-Y112)</f>
        <v/>
      </c>
    </row>
    <row r="113">
      <c r="A113">
        <f>IF(A$2=0,"",IFERROR(TRIM(INDEX('Pegar docentes'!$A$1:$BZ$1001,112,A$2)&amp;""),""))</f>
        <v/>
      </c>
      <c r="B113">
        <f>IF(B$2=0,"",IFERROR(TRIM(INDEX('Pegar docentes'!$A$1:$BZ$1001,112,B$2)&amp;""),""))</f>
        <v/>
      </c>
      <c r="C113">
        <f>IF(C$2=0,"",IFERROR(TRIM(INDEX('Pegar docentes'!$A$1:$BZ$1001,112,C$2)&amp;""),""))</f>
        <v/>
      </c>
      <c r="D113">
        <f>IF(D$2=0,"",IFERROR(TRIM(INDEX('Pegar docentes'!$A$1:$BZ$1001,112,D$2)&amp;""),""))</f>
        <v/>
      </c>
      <c r="E113">
        <f>IF(E$2=0,"",IFERROR(TRIM(INDEX('Pegar docentes'!$A$1:$BZ$1001,112,E$2)&amp;""),""))</f>
        <v/>
      </c>
      <c r="F113">
        <f>IF(F$2=0,"",IFERROR(TRIM(INDEX('Pegar docentes'!$A$1:$BZ$1001,112,F$2)&amp;""),""))</f>
        <v/>
      </c>
      <c r="G113">
        <f>IF(G$2=0,"",IFERROR(TRIM(INDEX('Pegar docentes'!$A$1:$BZ$1001,112,G$2)&amp;""),""))</f>
        <v/>
      </c>
      <c r="H113">
        <f>IF(H$2=0,"",IFERROR(TRIM(INDEX('Pegar docentes'!$A$1:$BZ$1001,112,H$2)&amp;""),""))</f>
        <v/>
      </c>
      <c r="I113">
        <f>IF(I$2=0,"",IFERROR(TRIM(INDEX('Pegar docentes'!$A$1:$BZ$1001,112,I$2)&amp;""),""))</f>
        <v/>
      </c>
      <c r="J113">
        <f>IF(J$2=0,"",IFERROR(TRIM(INDEX('Pegar docentes'!$A$1:$BZ$1001,112,J$2)&amp;""),""))</f>
        <v/>
      </c>
      <c r="K113">
        <f>IF(K$2=0,"",IFERROR(TRIM(INDEX('Pegar docentes'!$A$1:$BZ$1001,112,K$2)&amp;""),""))</f>
        <v/>
      </c>
      <c r="L113">
        <f>IF(L$2=0,"",IFERROR(TRIM(INDEX('Pegar docentes'!$A$1:$BZ$1001,112,L$2)&amp;""),""))</f>
        <v/>
      </c>
      <c r="M113">
        <f>IF(M$2=0,"",IFERROR(TRIM(INDEX('Pegar docentes'!$A$1:$BZ$1001,112,M$2)&amp;""),""))</f>
        <v/>
      </c>
      <c r="N113">
        <f>IF(N$2=0,"",IFERROR(TRIM(INDEX('Pegar docentes'!$A$1:$BZ$1001,112,N$2)&amp;""),""))</f>
        <v/>
      </c>
      <c r="O113">
        <f>IF(O$2=0,"",IFERROR(TRIM(INDEX('Pegar docentes'!$A$1:$BZ$1001,112,O$2)&amp;""),""))</f>
        <v/>
      </c>
      <c r="P113">
        <f>IF(P$2=0,"",IFERROR(TRIM(INDEX('Pegar docentes'!$A$1:$BZ$1001,112,P$2)&amp;""),""))</f>
        <v/>
      </c>
      <c r="Q113" s="25">
        <f>IF(OR(D113&lt;&gt;"",H113&lt;&gt;""),1,"")</f>
        <v/>
      </c>
      <c r="R113" s="25">
        <f>IF(Q113=1,IF(ISNUMBER(FIND("#"&amp;MID(D113,1,1)&amp;"#","#0#1#2#3#4#5#6#7#8#9#")),IF(ISNUMBER(FIND("#"&amp;MID(D113,2,1)&amp;"#","#0#1#2#3#4#5#6#7#8#9#")),IF(AND(VALUE(LEFT(D113,2))&gt;=1,VALUE(LEFT(D113,2))&lt;=5),VALUE(LEFT(D113,2)),""),IF(AND(VALUE(LEFT(D113,1))&gt;=1,VALUE(LEFT(D113,1))&lt;=5),VALUE(LEFT(D113,1)),"")),""),"")</f>
        <v/>
      </c>
      <c r="S113" s="25">
        <f>IF(AND(Q113=1,E113&lt;&gt;""),SUBSTITUTE(SUBSTITUTE(SUBSTITUTE(SUBSTITUTE(SUBSTITUTE(SUBSTITUTE(SUBSTITUTE(SUBSTITUTE(SUBSTITUTE(SUBSTITUTE(SUBSTITUTE(SUBSTITUTE(LOWER(TRIM(E113)),"á","a"),"é","e"),"í","i"),"ó","o"),"ú","u"),"ü","u"),"ñ","n"),"à","a"),"è","e"),"ì","i"),"ò","o"),"ù","u"),"")</f>
        <v/>
      </c>
      <c r="T113" s="25">
        <f>IF(AND(Q113=1,G113&lt;&gt;""),SUBSTITUTE(SUBSTITUTE(SUBSTITUTE(SUBSTITUTE(SUBSTITUTE(SUBSTITUTE(SUBSTITUTE(SUBSTITUTE(SUBSTITUTE(SUBSTITUTE(SUBSTITUTE(SUBSTITUTE(LOWER(TRIM(G113)),"á","a"),"é","e"),"í","i"),"ó","o"),"ú","u"),"ü","u"),"ñ","n"),"à","a"),"è","e"),"ì","i"),"ò","o"),"ù","u"),"")</f>
        <v/>
      </c>
      <c r="U113" s="25">
        <f>IF(AND(Q113=1,H113&lt;&gt;""),SUBSTITUTE(SUBSTITUTE(SUBSTITUTE(SUBSTITUTE(SUBSTITUTE(SUBSTITUTE(SUBSTITUTE(SUBSTITUTE(SUBSTITUTE(SUBSTITUTE(SUBSTITUTE(SUBSTITUTE(LOWER(TRIM(H113)),"á","a"),"é","e"),"í","i"),"ó","o"),"ú","u"),"ü","u"),"ñ","n"),"à","a"),"è","e"),"ì","i"),"ò","o"),"ù","u"),"")</f>
        <v/>
      </c>
      <c r="V113" s="25">
        <f>IF(AND(Q113=1,L113&lt;&gt;""),SUBSTITUTE(SUBSTITUTE(SUBSTITUTE(SUBSTITUTE(SUBSTITUTE(SUBSTITUTE(SUBSTITUTE(SUBSTITUTE(SUBSTITUTE(SUBSTITUTE(SUBSTITUTE(SUBSTITUTE(LOWER(TRIM(L113)),"á","a"),"é","e"),"í","i"),"ó","o"),"ú","u"),"ü","u"),"ñ","n"),"à","a"),"è","e"),"ì","i"),"ò","o"),"ù","u"),"")</f>
        <v/>
      </c>
      <c r="W113" s="25">
        <f>IF(AND(Q113=1,I113&lt;&gt;""),SUBSTITUTE(SUBSTITUTE(SUBSTITUTE(SUBSTITUTE(SUBSTITUTE(SUBSTITUTE(SUBSTITUTE(SUBSTITUTE(SUBSTITUTE(SUBSTITUTE(SUBSTITUTE(SUBSTITUTE(LOWER(TRIM(I113)),"á","a"),"é","e"),"í","i"),"ó","o"),"ú","u"),"ü","u"),"ñ","n"),"à","a"),"è","e"),"ì","i"),"ò","o"),"ù","u"),"")</f>
        <v/>
      </c>
      <c r="X113" s="25">
        <f>IF(U113="","",IF(OR(U113="si, en la proxima tarea",U113="si, con cambios"),1,0))</f>
        <v/>
      </c>
      <c r="Y113" s="25">
        <f>IF(AND(Q113=1,A113&lt;&gt;""),IF(IFERROR(COUNTIFS(A$3:A113,"="&amp;SUBSTITUTE(SUBSTITUTE(SUBSTITUTE(A113,"~","~~"),"*","~*"),"?","~?"),Q$3:Q113,1),0)=1,MAX(Y$2:Y112)+1,""),"")</f>
        <v/>
      </c>
      <c r="Z113" s="25">
        <f>IF(Y113="","",COUNTIFS($A$3:$A$1002,"="&amp;SUBSTITUTE(SUBSTITUTE(SUBSTITUTE(A113,"~","~~"),"*","~*"),"?","~?"),$Q$3:$Q$1002,1)*10000-Y113)</f>
        <v/>
      </c>
    </row>
    <row r="114">
      <c r="A114">
        <f>IF(A$2=0,"",IFERROR(TRIM(INDEX('Pegar docentes'!$A$1:$BZ$1001,113,A$2)&amp;""),""))</f>
        <v/>
      </c>
      <c r="B114">
        <f>IF(B$2=0,"",IFERROR(TRIM(INDEX('Pegar docentes'!$A$1:$BZ$1001,113,B$2)&amp;""),""))</f>
        <v/>
      </c>
      <c r="C114">
        <f>IF(C$2=0,"",IFERROR(TRIM(INDEX('Pegar docentes'!$A$1:$BZ$1001,113,C$2)&amp;""),""))</f>
        <v/>
      </c>
      <c r="D114">
        <f>IF(D$2=0,"",IFERROR(TRIM(INDEX('Pegar docentes'!$A$1:$BZ$1001,113,D$2)&amp;""),""))</f>
        <v/>
      </c>
      <c r="E114">
        <f>IF(E$2=0,"",IFERROR(TRIM(INDEX('Pegar docentes'!$A$1:$BZ$1001,113,E$2)&amp;""),""))</f>
        <v/>
      </c>
      <c r="F114">
        <f>IF(F$2=0,"",IFERROR(TRIM(INDEX('Pegar docentes'!$A$1:$BZ$1001,113,F$2)&amp;""),""))</f>
        <v/>
      </c>
      <c r="G114">
        <f>IF(G$2=0,"",IFERROR(TRIM(INDEX('Pegar docentes'!$A$1:$BZ$1001,113,G$2)&amp;""),""))</f>
        <v/>
      </c>
      <c r="H114">
        <f>IF(H$2=0,"",IFERROR(TRIM(INDEX('Pegar docentes'!$A$1:$BZ$1001,113,H$2)&amp;""),""))</f>
        <v/>
      </c>
      <c r="I114">
        <f>IF(I$2=0,"",IFERROR(TRIM(INDEX('Pegar docentes'!$A$1:$BZ$1001,113,I$2)&amp;""),""))</f>
        <v/>
      </c>
      <c r="J114">
        <f>IF(J$2=0,"",IFERROR(TRIM(INDEX('Pegar docentes'!$A$1:$BZ$1001,113,J$2)&amp;""),""))</f>
        <v/>
      </c>
      <c r="K114">
        <f>IF(K$2=0,"",IFERROR(TRIM(INDEX('Pegar docentes'!$A$1:$BZ$1001,113,K$2)&amp;""),""))</f>
        <v/>
      </c>
      <c r="L114">
        <f>IF(L$2=0,"",IFERROR(TRIM(INDEX('Pegar docentes'!$A$1:$BZ$1001,113,L$2)&amp;""),""))</f>
        <v/>
      </c>
      <c r="M114">
        <f>IF(M$2=0,"",IFERROR(TRIM(INDEX('Pegar docentes'!$A$1:$BZ$1001,113,M$2)&amp;""),""))</f>
        <v/>
      </c>
      <c r="N114">
        <f>IF(N$2=0,"",IFERROR(TRIM(INDEX('Pegar docentes'!$A$1:$BZ$1001,113,N$2)&amp;""),""))</f>
        <v/>
      </c>
      <c r="O114">
        <f>IF(O$2=0,"",IFERROR(TRIM(INDEX('Pegar docentes'!$A$1:$BZ$1001,113,O$2)&amp;""),""))</f>
        <v/>
      </c>
      <c r="P114">
        <f>IF(P$2=0,"",IFERROR(TRIM(INDEX('Pegar docentes'!$A$1:$BZ$1001,113,P$2)&amp;""),""))</f>
        <v/>
      </c>
      <c r="Q114" s="25">
        <f>IF(OR(D114&lt;&gt;"",H114&lt;&gt;""),1,"")</f>
        <v/>
      </c>
      <c r="R114" s="25">
        <f>IF(Q114=1,IF(ISNUMBER(FIND("#"&amp;MID(D114,1,1)&amp;"#","#0#1#2#3#4#5#6#7#8#9#")),IF(ISNUMBER(FIND("#"&amp;MID(D114,2,1)&amp;"#","#0#1#2#3#4#5#6#7#8#9#")),IF(AND(VALUE(LEFT(D114,2))&gt;=1,VALUE(LEFT(D114,2))&lt;=5),VALUE(LEFT(D114,2)),""),IF(AND(VALUE(LEFT(D114,1))&gt;=1,VALUE(LEFT(D114,1))&lt;=5),VALUE(LEFT(D114,1)),"")),""),"")</f>
        <v/>
      </c>
      <c r="S114" s="25">
        <f>IF(AND(Q114=1,E114&lt;&gt;""),SUBSTITUTE(SUBSTITUTE(SUBSTITUTE(SUBSTITUTE(SUBSTITUTE(SUBSTITUTE(SUBSTITUTE(SUBSTITUTE(SUBSTITUTE(SUBSTITUTE(SUBSTITUTE(SUBSTITUTE(LOWER(TRIM(E114)),"á","a"),"é","e"),"í","i"),"ó","o"),"ú","u"),"ü","u"),"ñ","n"),"à","a"),"è","e"),"ì","i"),"ò","o"),"ù","u"),"")</f>
        <v/>
      </c>
      <c r="T114" s="25">
        <f>IF(AND(Q114=1,G114&lt;&gt;""),SUBSTITUTE(SUBSTITUTE(SUBSTITUTE(SUBSTITUTE(SUBSTITUTE(SUBSTITUTE(SUBSTITUTE(SUBSTITUTE(SUBSTITUTE(SUBSTITUTE(SUBSTITUTE(SUBSTITUTE(LOWER(TRIM(G114)),"á","a"),"é","e"),"í","i"),"ó","o"),"ú","u"),"ü","u"),"ñ","n"),"à","a"),"è","e"),"ì","i"),"ò","o"),"ù","u"),"")</f>
        <v/>
      </c>
      <c r="U114" s="25">
        <f>IF(AND(Q114=1,H114&lt;&gt;""),SUBSTITUTE(SUBSTITUTE(SUBSTITUTE(SUBSTITUTE(SUBSTITUTE(SUBSTITUTE(SUBSTITUTE(SUBSTITUTE(SUBSTITUTE(SUBSTITUTE(SUBSTITUTE(SUBSTITUTE(LOWER(TRIM(H114)),"á","a"),"é","e"),"í","i"),"ó","o"),"ú","u"),"ü","u"),"ñ","n"),"à","a"),"è","e"),"ì","i"),"ò","o"),"ù","u"),"")</f>
        <v/>
      </c>
      <c r="V114" s="25">
        <f>IF(AND(Q114=1,L114&lt;&gt;""),SUBSTITUTE(SUBSTITUTE(SUBSTITUTE(SUBSTITUTE(SUBSTITUTE(SUBSTITUTE(SUBSTITUTE(SUBSTITUTE(SUBSTITUTE(SUBSTITUTE(SUBSTITUTE(SUBSTITUTE(LOWER(TRIM(L114)),"á","a"),"é","e"),"í","i"),"ó","o"),"ú","u"),"ü","u"),"ñ","n"),"à","a"),"è","e"),"ì","i"),"ò","o"),"ù","u"),"")</f>
        <v/>
      </c>
      <c r="W114" s="25">
        <f>IF(AND(Q114=1,I114&lt;&gt;""),SUBSTITUTE(SUBSTITUTE(SUBSTITUTE(SUBSTITUTE(SUBSTITUTE(SUBSTITUTE(SUBSTITUTE(SUBSTITUTE(SUBSTITUTE(SUBSTITUTE(SUBSTITUTE(SUBSTITUTE(LOWER(TRIM(I114)),"á","a"),"é","e"),"í","i"),"ó","o"),"ú","u"),"ü","u"),"ñ","n"),"à","a"),"è","e"),"ì","i"),"ò","o"),"ù","u"),"")</f>
        <v/>
      </c>
      <c r="X114" s="25">
        <f>IF(U114="","",IF(OR(U114="si, en la proxima tarea",U114="si, con cambios"),1,0))</f>
        <v/>
      </c>
      <c r="Y114" s="25">
        <f>IF(AND(Q114=1,A114&lt;&gt;""),IF(IFERROR(COUNTIFS(A$3:A114,"="&amp;SUBSTITUTE(SUBSTITUTE(SUBSTITUTE(A114,"~","~~"),"*","~*"),"?","~?"),Q$3:Q114,1),0)=1,MAX(Y$2:Y113)+1,""),"")</f>
        <v/>
      </c>
      <c r="Z114" s="25">
        <f>IF(Y114="","",COUNTIFS($A$3:$A$1002,"="&amp;SUBSTITUTE(SUBSTITUTE(SUBSTITUTE(A114,"~","~~"),"*","~*"),"?","~?"),$Q$3:$Q$1002,1)*10000-Y114)</f>
        <v/>
      </c>
    </row>
    <row r="115">
      <c r="A115">
        <f>IF(A$2=0,"",IFERROR(TRIM(INDEX('Pegar docentes'!$A$1:$BZ$1001,114,A$2)&amp;""),""))</f>
        <v/>
      </c>
      <c r="B115">
        <f>IF(B$2=0,"",IFERROR(TRIM(INDEX('Pegar docentes'!$A$1:$BZ$1001,114,B$2)&amp;""),""))</f>
        <v/>
      </c>
      <c r="C115">
        <f>IF(C$2=0,"",IFERROR(TRIM(INDEX('Pegar docentes'!$A$1:$BZ$1001,114,C$2)&amp;""),""))</f>
        <v/>
      </c>
      <c r="D115">
        <f>IF(D$2=0,"",IFERROR(TRIM(INDEX('Pegar docentes'!$A$1:$BZ$1001,114,D$2)&amp;""),""))</f>
        <v/>
      </c>
      <c r="E115">
        <f>IF(E$2=0,"",IFERROR(TRIM(INDEX('Pegar docentes'!$A$1:$BZ$1001,114,E$2)&amp;""),""))</f>
        <v/>
      </c>
      <c r="F115">
        <f>IF(F$2=0,"",IFERROR(TRIM(INDEX('Pegar docentes'!$A$1:$BZ$1001,114,F$2)&amp;""),""))</f>
        <v/>
      </c>
      <c r="G115">
        <f>IF(G$2=0,"",IFERROR(TRIM(INDEX('Pegar docentes'!$A$1:$BZ$1001,114,G$2)&amp;""),""))</f>
        <v/>
      </c>
      <c r="H115">
        <f>IF(H$2=0,"",IFERROR(TRIM(INDEX('Pegar docentes'!$A$1:$BZ$1001,114,H$2)&amp;""),""))</f>
        <v/>
      </c>
      <c r="I115">
        <f>IF(I$2=0,"",IFERROR(TRIM(INDEX('Pegar docentes'!$A$1:$BZ$1001,114,I$2)&amp;""),""))</f>
        <v/>
      </c>
      <c r="J115">
        <f>IF(J$2=0,"",IFERROR(TRIM(INDEX('Pegar docentes'!$A$1:$BZ$1001,114,J$2)&amp;""),""))</f>
        <v/>
      </c>
      <c r="K115">
        <f>IF(K$2=0,"",IFERROR(TRIM(INDEX('Pegar docentes'!$A$1:$BZ$1001,114,K$2)&amp;""),""))</f>
        <v/>
      </c>
      <c r="L115">
        <f>IF(L$2=0,"",IFERROR(TRIM(INDEX('Pegar docentes'!$A$1:$BZ$1001,114,L$2)&amp;""),""))</f>
        <v/>
      </c>
      <c r="M115">
        <f>IF(M$2=0,"",IFERROR(TRIM(INDEX('Pegar docentes'!$A$1:$BZ$1001,114,M$2)&amp;""),""))</f>
        <v/>
      </c>
      <c r="N115">
        <f>IF(N$2=0,"",IFERROR(TRIM(INDEX('Pegar docentes'!$A$1:$BZ$1001,114,N$2)&amp;""),""))</f>
        <v/>
      </c>
      <c r="O115">
        <f>IF(O$2=0,"",IFERROR(TRIM(INDEX('Pegar docentes'!$A$1:$BZ$1001,114,O$2)&amp;""),""))</f>
        <v/>
      </c>
      <c r="P115">
        <f>IF(P$2=0,"",IFERROR(TRIM(INDEX('Pegar docentes'!$A$1:$BZ$1001,114,P$2)&amp;""),""))</f>
        <v/>
      </c>
      <c r="Q115" s="25">
        <f>IF(OR(D115&lt;&gt;"",H115&lt;&gt;""),1,"")</f>
        <v/>
      </c>
      <c r="R115" s="25">
        <f>IF(Q115=1,IF(ISNUMBER(FIND("#"&amp;MID(D115,1,1)&amp;"#","#0#1#2#3#4#5#6#7#8#9#")),IF(ISNUMBER(FIND("#"&amp;MID(D115,2,1)&amp;"#","#0#1#2#3#4#5#6#7#8#9#")),IF(AND(VALUE(LEFT(D115,2))&gt;=1,VALUE(LEFT(D115,2))&lt;=5),VALUE(LEFT(D115,2)),""),IF(AND(VALUE(LEFT(D115,1))&gt;=1,VALUE(LEFT(D115,1))&lt;=5),VALUE(LEFT(D115,1)),"")),""),"")</f>
        <v/>
      </c>
      <c r="S115" s="25">
        <f>IF(AND(Q115=1,E115&lt;&gt;""),SUBSTITUTE(SUBSTITUTE(SUBSTITUTE(SUBSTITUTE(SUBSTITUTE(SUBSTITUTE(SUBSTITUTE(SUBSTITUTE(SUBSTITUTE(SUBSTITUTE(SUBSTITUTE(SUBSTITUTE(LOWER(TRIM(E115)),"á","a"),"é","e"),"í","i"),"ó","o"),"ú","u"),"ü","u"),"ñ","n"),"à","a"),"è","e"),"ì","i"),"ò","o"),"ù","u"),"")</f>
        <v/>
      </c>
      <c r="T115" s="25">
        <f>IF(AND(Q115=1,G115&lt;&gt;""),SUBSTITUTE(SUBSTITUTE(SUBSTITUTE(SUBSTITUTE(SUBSTITUTE(SUBSTITUTE(SUBSTITUTE(SUBSTITUTE(SUBSTITUTE(SUBSTITUTE(SUBSTITUTE(SUBSTITUTE(LOWER(TRIM(G115)),"á","a"),"é","e"),"í","i"),"ó","o"),"ú","u"),"ü","u"),"ñ","n"),"à","a"),"è","e"),"ì","i"),"ò","o"),"ù","u"),"")</f>
        <v/>
      </c>
      <c r="U115" s="25">
        <f>IF(AND(Q115=1,H115&lt;&gt;""),SUBSTITUTE(SUBSTITUTE(SUBSTITUTE(SUBSTITUTE(SUBSTITUTE(SUBSTITUTE(SUBSTITUTE(SUBSTITUTE(SUBSTITUTE(SUBSTITUTE(SUBSTITUTE(SUBSTITUTE(LOWER(TRIM(H115)),"á","a"),"é","e"),"í","i"),"ó","o"),"ú","u"),"ü","u"),"ñ","n"),"à","a"),"è","e"),"ì","i"),"ò","o"),"ù","u"),"")</f>
        <v/>
      </c>
      <c r="V115" s="25">
        <f>IF(AND(Q115=1,L115&lt;&gt;""),SUBSTITUTE(SUBSTITUTE(SUBSTITUTE(SUBSTITUTE(SUBSTITUTE(SUBSTITUTE(SUBSTITUTE(SUBSTITUTE(SUBSTITUTE(SUBSTITUTE(SUBSTITUTE(SUBSTITUTE(LOWER(TRIM(L115)),"á","a"),"é","e"),"í","i"),"ó","o"),"ú","u"),"ü","u"),"ñ","n"),"à","a"),"è","e"),"ì","i"),"ò","o"),"ù","u"),"")</f>
        <v/>
      </c>
      <c r="W115" s="25">
        <f>IF(AND(Q115=1,I115&lt;&gt;""),SUBSTITUTE(SUBSTITUTE(SUBSTITUTE(SUBSTITUTE(SUBSTITUTE(SUBSTITUTE(SUBSTITUTE(SUBSTITUTE(SUBSTITUTE(SUBSTITUTE(SUBSTITUTE(SUBSTITUTE(LOWER(TRIM(I115)),"á","a"),"é","e"),"í","i"),"ó","o"),"ú","u"),"ü","u"),"ñ","n"),"à","a"),"è","e"),"ì","i"),"ò","o"),"ù","u"),"")</f>
        <v/>
      </c>
      <c r="X115" s="25">
        <f>IF(U115="","",IF(OR(U115="si, en la proxima tarea",U115="si, con cambios"),1,0))</f>
        <v/>
      </c>
      <c r="Y115" s="25">
        <f>IF(AND(Q115=1,A115&lt;&gt;""),IF(IFERROR(COUNTIFS(A$3:A115,"="&amp;SUBSTITUTE(SUBSTITUTE(SUBSTITUTE(A115,"~","~~"),"*","~*"),"?","~?"),Q$3:Q115,1),0)=1,MAX(Y$2:Y114)+1,""),"")</f>
        <v/>
      </c>
      <c r="Z115" s="25">
        <f>IF(Y115="","",COUNTIFS($A$3:$A$1002,"="&amp;SUBSTITUTE(SUBSTITUTE(SUBSTITUTE(A115,"~","~~"),"*","~*"),"?","~?"),$Q$3:$Q$1002,1)*10000-Y115)</f>
        <v/>
      </c>
    </row>
    <row r="116">
      <c r="A116">
        <f>IF(A$2=0,"",IFERROR(TRIM(INDEX('Pegar docentes'!$A$1:$BZ$1001,115,A$2)&amp;""),""))</f>
        <v/>
      </c>
      <c r="B116">
        <f>IF(B$2=0,"",IFERROR(TRIM(INDEX('Pegar docentes'!$A$1:$BZ$1001,115,B$2)&amp;""),""))</f>
        <v/>
      </c>
      <c r="C116">
        <f>IF(C$2=0,"",IFERROR(TRIM(INDEX('Pegar docentes'!$A$1:$BZ$1001,115,C$2)&amp;""),""))</f>
        <v/>
      </c>
      <c r="D116">
        <f>IF(D$2=0,"",IFERROR(TRIM(INDEX('Pegar docentes'!$A$1:$BZ$1001,115,D$2)&amp;""),""))</f>
        <v/>
      </c>
      <c r="E116">
        <f>IF(E$2=0,"",IFERROR(TRIM(INDEX('Pegar docentes'!$A$1:$BZ$1001,115,E$2)&amp;""),""))</f>
        <v/>
      </c>
      <c r="F116">
        <f>IF(F$2=0,"",IFERROR(TRIM(INDEX('Pegar docentes'!$A$1:$BZ$1001,115,F$2)&amp;""),""))</f>
        <v/>
      </c>
      <c r="G116">
        <f>IF(G$2=0,"",IFERROR(TRIM(INDEX('Pegar docentes'!$A$1:$BZ$1001,115,G$2)&amp;""),""))</f>
        <v/>
      </c>
      <c r="H116">
        <f>IF(H$2=0,"",IFERROR(TRIM(INDEX('Pegar docentes'!$A$1:$BZ$1001,115,H$2)&amp;""),""))</f>
        <v/>
      </c>
      <c r="I116">
        <f>IF(I$2=0,"",IFERROR(TRIM(INDEX('Pegar docentes'!$A$1:$BZ$1001,115,I$2)&amp;""),""))</f>
        <v/>
      </c>
      <c r="J116">
        <f>IF(J$2=0,"",IFERROR(TRIM(INDEX('Pegar docentes'!$A$1:$BZ$1001,115,J$2)&amp;""),""))</f>
        <v/>
      </c>
      <c r="K116">
        <f>IF(K$2=0,"",IFERROR(TRIM(INDEX('Pegar docentes'!$A$1:$BZ$1001,115,K$2)&amp;""),""))</f>
        <v/>
      </c>
      <c r="L116">
        <f>IF(L$2=0,"",IFERROR(TRIM(INDEX('Pegar docentes'!$A$1:$BZ$1001,115,L$2)&amp;""),""))</f>
        <v/>
      </c>
      <c r="M116">
        <f>IF(M$2=0,"",IFERROR(TRIM(INDEX('Pegar docentes'!$A$1:$BZ$1001,115,M$2)&amp;""),""))</f>
        <v/>
      </c>
      <c r="N116">
        <f>IF(N$2=0,"",IFERROR(TRIM(INDEX('Pegar docentes'!$A$1:$BZ$1001,115,N$2)&amp;""),""))</f>
        <v/>
      </c>
      <c r="O116">
        <f>IF(O$2=0,"",IFERROR(TRIM(INDEX('Pegar docentes'!$A$1:$BZ$1001,115,O$2)&amp;""),""))</f>
        <v/>
      </c>
      <c r="P116">
        <f>IF(P$2=0,"",IFERROR(TRIM(INDEX('Pegar docentes'!$A$1:$BZ$1001,115,P$2)&amp;""),""))</f>
        <v/>
      </c>
      <c r="Q116" s="25">
        <f>IF(OR(D116&lt;&gt;"",H116&lt;&gt;""),1,"")</f>
        <v/>
      </c>
      <c r="R116" s="25">
        <f>IF(Q116=1,IF(ISNUMBER(FIND("#"&amp;MID(D116,1,1)&amp;"#","#0#1#2#3#4#5#6#7#8#9#")),IF(ISNUMBER(FIND("#"&amp;MID(D116,2,1)&amp;"#","#0#1#2#3#4#5#6#7#8#9#")),IF(AND(VALUE(LEFT(D116,2))&gt;=1,VALUE(LEFT(D116,2))&lt;=5),VALUE(LEFT(D116,2)),""),IF(AND(VALUE(LEFT(D116,1))&gt;=1,VALUE(LEFT(D116,1))&lt;=5),VALUE(LEFT(D116,1)),"")),""),"")</f>
        <v/>
      </c>
      <c r="S116" s="25">
        <f>IF(AND(Q116=1,E116&lt;&gt;""),SUBSTITUTE(SUBSTITUTE(SUBSTITUTE(SUBSTITUTE(SUBSTITUTE(SUBSTITUTE(SUBSTITUTE(SUBSTITUTE(SUBSTITUTE(SUBSTITUTE(SUBSTITUTE(SUBSTITUTE(LOWER(TRIM(E116)),"á","a"),"é","e"),"í","i"),"ó","o"),"ú","u"),"ü","u"),"ñ","n"),"à","a"),"è","e"),"ì","i"),"ò","o"),"ù","u"),"")</f>
        <v/>
      </c>
      <c r="T116" s="25">
        <f>IF(AND(Q116=1,G116&lt;&gt;""),SUBSTITUTE(SUBSTITUTE(SUBSTITUTE(SUBSTITUTE(SUBSTITUTE(SUBSTITUTE(SUBSTITUTE(SUBSTITUTE(SUBSTITUTE(SUBSTITUTE(SUBSTITUTE(SUBSTITUTE(LOWER(TRIM(G116)),"á","a"),"é","e"),"í","i"),"ó","o"),"ú","u"),"ü","u"),"ñ","n"),"à","a"),"è","e"),"ì","i"),"ò","o"),"ù","u"),"")</f>
        <v/>
      </c>
      <c r="U116" s="25">
        <f>IF(AND(Q116=1,H116&lt;&gt;""),SUBSTITUTE(SUBSTITUTE(SUBSTITUTE(SUBSTITUTE(SUBSTITUTE(SUBSTITUTE(SUBSTITUTE(SUBSTITUTE(SUBSTITUTE(SUBSTITUTE(SUBSTITUTE(SUBSTITUTE(LOWER(TRIM(H116)),"á","a"),"é","e"),"í","i"),"ó","o"),"ú","u"),"ü","u"),"ñ","n"),"à","a"),"è","e"),"ì","i"),"ò","o"),"ù","u"),"")</f>
        <v/>
      </c>
      <c r="V116" s="25">
        <f>IF(AND(Q116=1,L116&lt;&gt;""),SUBSTITUTE(SUBSTITUTE(SUBSTITUTE(SUBSTITUTE(SUBSTITUTE(SUBSTITUTE(SUBSTITUTE(SUBSTITUTE(SUBSTITUTE(SUBSTITUTE(SUBSTITUTE(SUBSTITUTE(LOWER(TRIM(L116)),"á","a"),"é","e"),"í","i"),"ó","o"),"ú","u"),"ü","u"),"ñ","n"),"à","a"),"è","e"),"ì","i"),"ò","o"),"ù","u"),"")</f>
        <v/>
      </c>
      <c r="W116" s="25">
        <f>IF(AND(Q116=1,I116&lt;&gt;""),SUBSTITUTE(SUBSTITUTE(SUBSTITUTE(SUBSTITUTE(SUBSTITUTE(SUBSTITUTE(SUBSTITUTE(SUBSTITUTE(SUBSTITUTE(SUBSTITUTE(SUBSTITUTE(SUBSTITUTE(LOWER(TRIM(I116)),"á","a"),"é","e"),"í","i"),"ó","o"),"ú","u"),"ü","u"),"ñ","n"),"à","a"),"è","e"),"ì","i"),"ò","o"),"ù","u"),"")</f>
        <v/>
      </c>
      <c r="X116" s="25">
        <f>IF(U116="","",IF(OR(U116="si, en la proxima tarea",U116="si, con cambios"),1,0))</f>
        <v/>
      </c>
      <c r="Y116" s="25">
        <f>IF(AND(Q116=1,A116&lt;&gt;""),IF(IFERROR(COUNTIFS(A$3:A116,"="&amp;SUBSTITUTE(SUBSTITUTE(SUBSTITUTE(A116,"~","~~"),"*","~*"),"?","~?"),Q$3:Q116,1),0)=1,MAX(Y$2:Y115)+1,""),"")</f>
        <v/>
      </c>
      <c r="Z116" s="25">
        <f>IF(Y116="","",COUNTIFS($A$3:$A$1002,"="&amp;SUBSTITUTE(SUBSTITUTE(SUBSTITUTE(A116,"~","~~"),"*","~*"),"?","~?"),$Q$3:$Q$1002,1)*10000-Y116)</f>
        <v/>
      </c>
    </row>
    <row r="117">
      <c r="A117">
        <f>IF(A$2=0,"",IFERROR(TRIM(INDEX('Pegar docentes'!$A$1:$BZ$1001,116,A$2)&amp;""),""))</f>
        <v/>
      </c>
      <c r="B117">
        <f>IF(B$2=0,"",IFERROR(TRIM(INDEX('Pegar docentes'!$A$1:$BZ$1001,116,B$2)&amp;""),""))</f>
        <v/>
      </c>
      <c r="C117">
        <f>IF(C$2=0,"",IFERROR(TRIM(INDEX('Pegar docentes'!$A$1:$BZ$1001,116,C$2)&amp;""),""))</f>
        <v/>
      </c>
      <c r="D117">
        <f>IF(D$2=0,"",IFERROR(TRIM(INDEX('Pegar docentes'!$A$1:$BZ$1001,116,D$2)&amp;""),""))</f>
        <v/>
      </c>
      <c r="E117">
        <f>IF(E$2=0,"",IFERROR(TRIM(INDEX('Pegar docentes'!$A$1:$BZ$1001,116,E$2)&amp;""),""))</f>
        <v/>
      </c>
      <c r="F117">
        <f>IF(F$2=0,"",IFERROR(TRIM(INDEX('Pegar docentes'!$A$1:$BZ$1001,116,F$2)&amp;""),""))</f>
        <v/>
      </c>
      <c r="G117">
        <f>IF(G$2=0,"",IFERROR(TRIM(INDEX('Pegar docentes'!$A$1:$BZ$1001,116,G$2)&amp;""),""))</f>
        <v/>
      </c>
      <c r="H117">
        <f>IF(H$2=0,"",IFERROR(TRIM(INDEX('Pegar docentes'!$A$1:$BZ$1001,116,H$2)&amp;""),""))</f>
        <v/>
      </c>
      <c r="I117">
        <f>IF(I$2=0,"",IFERROR(TRIM(INDEX('Pegar docentes'!$A$1:$BZ$1001,116,I$2)&amp;""),""))</f>
        <v/>
      </c>
      <c r="J117">
        <f>IF(J$2=0,"",IFERROR(TRIM(INDEX('Pegar docentes'!$A$1:$BZ$1001,116,J$2)&amp;""),""))</f>
        <v/>
      </c>
      <c r="K117">
        <f>IF(K$2=0,"",IFERROR(TRIM(INDEX('Pegar docentes'!$A$1:$BZ$1001,116,K$2)&amp;""),""))</f>
        <v/>
      </c>
      <c r="L117">
        <f>IF(L$2=0,"",IFERROR(TRIM(INDEX('Pegar docentes'!$A$1:$BZ$1001,116,L$2)&amp;""),""))</f>
        <v/>
      </c>
      <c r="M117">
        <f>IF(M$2=0,"",IFERROR(TRIM(INDEX('Pegar docentes'!$A$1:$BZ$1001,116,M$2)&amp;""),""))</f>
        <v/>
      </c>
      <c r="N117">
        <f>IF(N$2=0,"",IFERROR(TRIM(INDEX('Pegar docentes'!$A$1:$BZ$1001,116,N$2)&amp;""),""))</f>
        <v/>
      </c>
      <c r="O117">
        <f>IF(O$2=0,"",IFERROR(TRIM(INDEX('Pegar docentes'!$A$1:$BZ$1001,116,O$2)&amp;""),""))</f>
        <v/>
      </c>
      <c r="P117">
        <f>IF(P$2=0,"",IFERROR(TRIM(INDEX('Pegar docentes'!$A$1:$BZ$1001,116,P$2)&amp;""),""))</f>
        <v/>
      </c>
      <c r="Q117" s="25">
        <f>IF(OR(D117&lt;&gt;"",H117&lt;&gt;""),1,"")</f>
        <v/>
      </c>
      <c r="R117" s="25">
        <f>IF(Q117=1,IF(ISNUMBER(FIND("#"&amp;MID(D117,1,1)&amp;"#","#0#1#2#3#4#5#6#7#8#9#")),IF(ISNUMBER(FIND("#"&amp;MID(D117,2,1)&amp;"#","#0#1#2#3#4#5#6#7#8#9#")),IF(AND(VALUE(LEFT(D117,2))&gt;=1,VALUE(LEFT(D117,2))&lt;=5),VALUE(LEFT(D117,2)),""),IF(AND(VALUE(LEFT(D117,1))&gt;=1,VALUE(LEFT(D117,1))&lt;=5),VALUE(LEFT(D117,1)),"")),""),"")</f>
        <v/>
      </c>
      <c r="S117" s="25">
        <f>IF(AND(Q117=1,E117&lt;&gt;""),SUBSTITUTE(SUBSTITUTE(SUBSTITUTE(SUBSTITUTE(SUBSTITUTE(SUBSTITUTE(SUBSTITUTE(SUBSTITUTE(SUBSTITUTE(SUBSTITUTE(SUBSTITUTE(SUBSTITUTE(LOWER(TRIM(E117)),"á","a"),"é","e"),"í","i"),"ó","o"),"ú","u"),"ü","u"),"ñ","n"),"à","a"),"è","e"),"ì","i"),"ò","o"),"ù","u"),"")</f>
        <v/>
      </c>
      <c r="T117" s="25">
        <f>IF(AND(Q117=1,G117&lt;&gt;""),SUBSTITUTE(SUBSTITUTE(SUBSTITUTE(SUBSTITUTE(SUBSTITUTE(SUBSTITUTE(SUBSTITUTE(SUBSTITUTE(SUBSTITUTE(SUBSTITUTE(SUBSTITUTE(SUBSTITUTE(LOWER(TRIM(G117)),"á","a"),"é","e"),"í","i"),"ó","o"),"ú","u"),"ü","u"),"ñ","n"),"à","a"),"è","e"),"ì","i"),"ò","o"),"ù","u"),"")</f>
        <v/>
      </c>
      <c r="U117" s="25">
        <f>IF(AND(Q117=1,H117&lt;&gt;""),SUBSTITUTE(SUBSTITUTE(SUBSTITUTE(SUBSTITUTE(SUBSTITUTE(SUBSTITUTE(SUBSTITUTE(SUBSTITUTE(SUBSTITUTE(SUBSTITUTE(SUBSTITUTE(SUBSTITUTE(LOWER(TRIM(H117)),"á","a"),"é","e"),"í","i"),"ó","o"),"ú","u"),"ü","u"),"ñ","n"),"à","a"),"è","e"),"ì","i"),"ò","o"),"ù","u"),"")</f>
        <v/>
      </c>
      <c r="V117" s="25">
        <f>IF(AND(Q117=1,L117&lt;&gt;""),SUBSTITUTE(SUBSTITUTE(SUBSTITUTE(SUBSTITUTE(SUBSTITUTE(SUBSTITUTE(SUBSTITUTE(SUBSTITUTE(SUBSTITUTE(SUBSTITUTE(SUBSTITUTE(SUBSTITUTE(LOWER(TRIM(L117)),"á","a"),"é","e"),"í","i"),"ó","o"),"ú","u"),"ü","u"),"ñ","n"),"à","a"),"è","e"),"ì","i"),"ò","o"),"ù","u"),"")</f>
        <v/>
      </c>
      <c r="W117" s="25">
        <f>IF(AND(Q117=1,I117&lt;&gt;""),SUBSTITUTE(SUBSTITUTE(SUBSTITUTE(SUBSTITUTE(SUBSTITUTE(SUBSTITUTE(SUBSTITUTE(SUBSTITUTE(SUBSTITUTE(SUBSTITUTE(SUBSTITUTE(SUBSTITUTE(LOWER(TRIM(I117)),"á","a"),"é","e"),"í","i"),"ó","o"),"ú","u"),"ü","u"),"ñ","n"),"à","a"),"è","e"),"ì","i"),"ò","o"),"ù","u"),"")</f>
        <v/>
      </c>
      <c r="X117" s="25">
        <f>IF(U117="","",IF(OR(U117="si, en la proxima tarea",U117="si, con cambios"),1,0))</f>
        <v/>
      </c>
      <c r="Y117" s="25">
        <f>IF(AND(Q117=1,A117&lt;&gt;""),IF(IFERROR(COUNTIFS(A$3:A117,"="&amp;SUBSTITUTE(SUBSTITUTE(SUBSTITUTE(A117,"~","~~"),"*","~*"),"?","~?"),Q$3:Q117,1),0)=1,MAX(Y$2:Y116)+1,""),"")</f>
        <v/>
      </c>
      <c r="Z117" s="25">
        <f>IF(Y117="","",COUNTIFS($A$3:$A$1002,"="&amp;SUBSTITUTE(SUBSTITUTE(SUBSTITUTE(A117,"~","~~"),"*","~*"),"?","~?"),$Q$3:$Q$1002,1)*10000-Y117)</f>
        <v/>
      </c>
    </row>
    <row r="118">
      <c r="A118">
        <f>IF(A$2=0,"",IFERROR(TRIM(INDEX('Pegar docentes'!$A$1:$BZ$1001,117,A$2)&amp;""),""))</f>
        <v/>
      </c>
      <c r="B118">
        <f>IF(B$2=0,"",IFERROR(TRIM(INDEX('Pegar docentes'!$A$1:$BZ$1001,117,B$2)&amp;""),""))</f>
        <v/>
      </c>
      <c r="C118">
        <f>IF(C$2=0,"",IFERROR(TRIM(INDEX('Pegar docentes'!$A$1:$BZ$1001,117,C$2)&amp;""),""))</f>
        <v/>
      </c>
      <c r="D118">
        <f>IF(D$2=0,"",IFERROR(TRIM(INDEX('Pegar docentes'!$A$1:$BZ$1001,117,D$2)&amp;""),""))</f>
        <v/>
      </c>
      <c r="E118">
        <f>IF(E$2=0,"",IFERROR(TRIM(INDEX('Pegar docentes'!$A$1:$BZ$1001,117,E$2)&amp;""),""))</f>
        <v/>
      </c>
      <c r="F118">
        <f>IF(F$2=0,"",IFERROR(TRIM(INDEX('Pegar docentes'!$A$1:$BZ$1001,117,F$2)&amp;""),""))</f>
        <v/>
      </c>
      <c r="G118">
        <f>IF(G$2=0,"",IFERROR(TRIM(INDEX('Pegar docentes'!$A$1:$BZ$1001,117,G$2)&amp;""),""))</f>
        <v/>
      </c>
      <c r="H118">
        <f>IF(H$2=0,"",IFERROR(TRIM(INDEX('Pegar docentes'!$A$1:$BZ$1001,117,H$2)&amp;""),""))</f>
        <v/>
      </c>
      <c r="I118">
        <f>IF(I$2=0,"",IFERROR(TRIM(INDEX('Pegar docentes'!$A$1:$BZ$1001,117,I$2)&amp;""),""))</f>
        <v/>
      </c>
      <c r="J118">
        <f>IF(J$2=0,"",IFERROR(TRIM(INDEX('Pegar docentes'!$A$1:$BZ$1001,117,J$2)&amp;""),""))</f>
        <v/>
      </c>
      <c r="K118">
        <f>IF(K$2=0,"",IFERROR(TRIM(INDEX('Pegar docentes'!$A$1:$BZ$1001,117,K$2)&amp;""),""))</f>
        <v/>
      </c>
      <c r="L118">
        <f>IF(L$2=0,"",IFERROR(TRIM(INDEX('Pegar docentes'!$A$1:$BZ$1001,117,L$2)&amp;""),""))</f>
        <v/>
      </c>
      <c r="M118">
        <f>IF(M$2=0,"",IFERROR(TRIM(INDEX('Pegar docentes'!$A$1:$BZ$1001,117,M$2)&amp;""),""))</f>
        <v/>
      </c>
      <c r="N118">
        <f>IF(N$2=0,"",IFERROR(TRIM(INDEX('Pegar docentes'!$A$1:$BZ$1001,117,N$2)&amp;""),""))</f>
        <v/>
      </c>
      <c r="O118">
        <f>IF(O$2=0,"",IFERROR(TRIM(INDEX('Pegar docentes'!$A$1:$BZ$1001,117,O$2)&amp;""),""))</f>
        <v/>
      </c>
      <c r="P118">
        <f>IF(P$2=0,"",IFERROR(TRIM(INDEX('Pegar docentes'!$A$1:$BZ$1001,117,P$2)&amp;""),""))</f>
        <v/>
      </c>
      <c r="Q118" s="25">
        <f>IF(OR(D118&lt;&gt;"",H118&lt;&gt;""),1,"")</f>
        <v/>
      </c>
      <c r="R118" s="25">
        <f>IF(Q118=1,IF(ISNUMBER(FIND("#"&amp;MID(D118,1,1)&amp;"#","#0#1#2#3#4#5#6#7#8#9#")),IF(ISNUMBER(FIND("#"&amp;MID(D118,2,1)&amp;"#","#0#1#2#3#4#5#6#7#8#9#")),IF(AND(VALUE(LEFT(D118,2))&gt;=1,VALUE(LEFT(D118,2))&lt;=5),VALUE(LEFT(D118,2)),""),IF(AND(VALUE(LEFT(D118,1))&gt;=1,VALUE(LEFT(D118,1))&lt;=5),VALUE(LEFT(D118,1)),"")),""),"")</f>
        <v/>
      </c>
      <c r="S118" s="25">
        <f>IF(AND(Q118=1,E118&lt;&gt;""),SUBSTITUTE(SUBSTITUTE(SUBSTITUTE(SUBSTITUTE(SUBSTITUTE(SUBSTITUTE(SUBSTITUTE(SUBSTITUTE(SUBSTITUTE(SUBSTITUTE(SUBSTITUTE(SUBSTITUTE(LOWER(TRIM(E118)),"á","a"),"é","e"),"í","i"),"ó","o"),"ú","u"),"ü","u"),"ñ","n"),"à","a"),"è","e"),"ì","i"),"ò","o"),"ù","u"),"")</f>
        <v/>
      </c>
      <c r="T118" s="25">
        <f>IF(AND(Q118=1,G118&lt;&gt;""),SUBSTITUTE(SUBSTITUTE(SUBSTITUTE(SUBSTITUTE(SUBSTITUTE(SUBSTITUTE(SUBSTITUTE(SUBSTITUTE(SUBSTITUTE(SUBSTITUTE(SUBSTITUTE(SUBSTITUTE(LOWER(TRIM(G118)),"á","a"),"é","e"),"í","i"),"ó","o"),"ú","u"),"ü","u"),"ñ","n"),"à","a"),"è","e"),"ì","i"),"ò","o"),"ù","u"),"")</f>
        <v/>
      </c>
      <c r="U118" s="25">
        <f>IF(AND(Q118=1,H118&lt;&gt;""),SUBSTITUTE(SUBSTITUTE(SUBSTITUTE(SUBSTITUTE(SUBSTITUTE(SUBSTITUTE(SUBSTITUTE(SUBSTITUTE(SUBSTITUTE(SUBSTITUTE(SUBSTITUTE(SUBSTITUTE(LOWER(TRIM(H118)),"á","a"),"é","e"),"í","i"),"ó","o"),"ú","u"),"ü","u"),"ñ","n"),"à","a"),"è","e"),"ì","i"),"ò","o"),"ù","u"),"")</f>
        <v/>
      </c>
      <c r="V118" s="25">
        <f>IF(AND(Q118=1,L118&lt;&gt;""),SUBSTITUTE(SUBSTITUTE(SUBSTITUTE(SUBSTITUTE(SUBSTITUTE(SUBSTITUTE(SUBSTITUTE(SUBSTITUTE(SUBSTITUTE(SUBSTITUTE(SUBSTITUTE(SUBSTITUTE(LOWER(TRIM(L118)),"á","a"),"é","e"),"í","i"),"ó","o"),"ú","u"),"ü","u"),"ñ","n"),"à","a"),"è","e"),"ì","i"),"ò","o"),"ù","u"),"")</f>
        <v/>
      </c>
      <c r="W118" s="25">
        <f>IF(AND(Q118=1,I118&lt;&gt;""),SUBSTITUTE(SUBSTITUTE(SUBSTITUTE(SUBSTITUTE(SUBSTITUTE(SUBSTITUTE(SUBSTITUTE(SUBSTITUTE(SUBSTITUTE(SUBSTITUTE(SUBSTITUTE(SUBSTITUTE(LOWER(TRIM(I118)),"á","a"),"é","e"),"í","i"),"ó","o"),"ú","u"),"ü","u"),"ñ","n"),"à","a"),"è","e"),"ì","i"),"ò","o"),"ù","u"),"")</f>
        <v/>
      </c>
      <c r="X118" s="25">
        <f>IF(U118="","",IF(OR(U118="si, en la proxima tarea",U118="si, con cambios"),1,0))</f>
        <v/>
      </c>
      <c r="Y118" s="25">
        <f>IF(AND(Q118=1,A118&lt;&gt;""),IF(IFERROR(COUNTIFS(A$3:A118,"="&amp;SUBSTITUTE(SUBSTITUTE(SUBSTITUTE(A118,"~","~~"),"*","~*"),"?","~?"),Q$3:Q118,1),0)=1,MAX(Y$2:Y117)+1,""),"")</f>
        <v/>
      </c>
      <c r="Z118" s="25">
        <f>IF(Y118="","",COUNTIFS($A$3:$A$1002,"="&amp;SUBSTITUTE(SUBSTITUTE(SUBSTITUTE(A118,"~","~~"),"*","~*"),"?","~?"),$Q$3:$Q$1002,1)*10000-Y118)</f>
        <v/>
      </c>
    </row>
    <row r="119">
      <c r="A119">
        <f>IF(A$2=0,"",IFERROR(TRIM(INDEX('Pegar docentes'!$A$1:$BZ$1001,118,A$2)&amp;""),""))</f>
        <v/>
      </c>
      <c r="B119">
        <f>IF(B$2=0,"",IFERROR(TRIM(INDEX('Pegar docentes'!$A$1:$BZ$1001,118,B$2)&amp;""),""))</f>
        <v/>
      </c>
      <c r="C119">
        <f>IF(C$2=0,"",IFERROR(TRIM(INDEX('Pegar docentes'!$A$1:$BZ$1001,118,C$2)&amp;""),""))</f>
        <v/>
      </c>
      <c r="D119">
        <f>IF(D$2=0,"",IFERROR(TRIM(INDEX('Pegar docentes'!$A$1:$BZ$1001,118,D$2)&amp;""),""))</f>
        <v/>
      </c>
      <c r="E119">
        <f>IF(E$2=0,"",IFERROR(TRIM(INDEX('Pegar docentes'!$A$1:$BZ$1001,118,E$2)&amp;""),""))</f>
        <v/>
      </c>
      <c r="F119">
        <f>IF(F$2=0,"",IFERROR(TRIM(INDEX('Pegar docentes'!$A$1:$BZ$1001,118,F$2)&amp;""),""))</f>
        <v/>
      </c>
      <c r="G119">
        <f>IF(G$2=0,"",IFERROR(TRIM(INDEX('Pegar docentes'!$A$1:$BZ$1001,118,G$2)&amp;""),""))</f>
        <v/>
      </c>
      <c r="H119">
        <f>IF(H$2=0,"",IFERROR(TRIM(INDEX('Pegar docentes'!$A$1:$BZ$1001,118,H$2)&amp;""),""))</f>
        <v/>
      </c>
      <c r="I119">
        <f>IF(I$2=0,"",IFERROR(TRIM(INDEX('Pegar docentes'!$A$1:$BZ$1001,118,I$2)&amp;""),""))</f>
        <v/>
      </c>
      <c r="J119">
        <f>IF(J$2=0,"",IFERROR(TRIM(INDEX('Pegar docentes'!$A$1:$BZ$1001,118,J$2)&amp;""),""))</f>
        <v/>
      </c>
      <c r="K119">
        <f>IF(K$2=0,"",IFERROR(TRIM(INDEX('Pegar docentes'!$A$1:$BZ$1001,118,K$2)&amp;""),""))</f>
        <v/>
      </c>
      <c r="L119">
        <f>IF(L$2=0,"",IFERROR(TRIM(INDEX('Pegar docentes'!$A$1:$BZ$1001,118,L$2)&amp;""),""))</f>
        <v/>
      </c>
      <c r="M119">
        <f>IF(M$2=0,"",IFERROR(TRIM(INDEX('Pegar docentes'!$A$1:$BZ$1001,118,M$2)&amp;""),""))</f>
        <v/>
      </c>
      <c r="N119">
        <f>IF(N$2=0,"",IFERROR(TRIM(INDEX('Pegar docentes'!$A$1:$BZ$1001,118,N$2)&amp;""),""))</f>
        <v/>
      </c>
      <c r="O119">
        <f>IF(O$2=0,"",IFERROR(TRIM(INDEX('Pegar docentes'!$A$1:$BZ$1001,118,O$2)&amp;""),""))</f>
        <v/>
      </c>
      <c r="P119">
        <f>IF(P$2=0,"",IFERROR(TRIM(INDEX('Pegar docentes'!$A$1:$BZ$1001,118,P$2)&amp;""),""))</f>
        <v/>
      </c>
      <c r="Q119" s="25">
        <f>IF(OR(D119&lt;&gt;"",H119&lt;&gt;""),1,"")</f>
        <v/>
      </c>
      <c r="R119" s="25">
        <f>IF(Q119=1,IF(ISNUMBER(FIND("#"&amp;MID(D119,1,1)&amp;"#","#0#1#2#3#4#5#6#7#8#9#")),IF(ISNUMBER(FIND("#"&amp;MID(D119,2,1)&amp;"#","#0#1#2#3#4#5#6#7#8#9#")),IF(AND(VALUE(LEFT(D119,2))&gt;=1,VALUE(LEFT(D119,2))&lt;=5),VALUE(LEFT(D119,2)),""),IF(AND(VALUE(LEFT(D119,1))&gt;=1,VALUE(LEFT(D119,1))&lt;=5),VALUE(LEFT(D119,1)),"")),""),"")</f>
        <v/>
      </c>
      <c r="S119" s="25">
        <f>IF(AND(Q119=1,E119&lt;&gt;""),SUBSTITUTE(SUBSTITUTE(SUBSTITUTE(SUBSTITUTE(SUBSTITUTE(SUBSTITUTE(SUBSTITUTE(SUBSTITUTE(SUBSTITUTE(SUBSTITUTE(SUBSTITUTE(SUBSTITUTE(LOWER(TRIM(E119)),"á","a"),"é","e"),"í","i"),"ó","o"),"ú","u"),"ü","u"),"ñ","n"),"à","a"),"è","e"),"ì","i"),"ò","o"),"ù","u"),"")</f>
        <v/>
      </c>
      <c r="T119" s="25">
        <f>IF(AND(Q119=1,G119&lt;&gt;""),SUBSTITUTE(SUBSTITUTE(SUBSTITUTE(SUBSTITUTE(SUBSTITUTE(SUBSTITUTE(SUBSTITUTE(SUBSTITUTE(SUBSTITUTE(SUBSTITUTE(SUBSTITUTE(SUBSTITUTE(LOWER(TRIM(G119)),"á","a"),"é","e"),"í","i"),"ó","o"),"ú","u"),"ü","u"),"ñ","n"),"à","a"),"è","e"),"ì","i"),"ò","o"),"ù","u"),"")</f>
        <v/>
      </c>
      <c r="U119" s="25">
        <f>IF(AND(Q119=1,H119&lt;&gt;""),SUBSTITUTE(SUBSTITUTE(SUBSTITUTE(SUBSTITUTE(SUBSTITUTE(SUBSTITUTE(SUBSTITUTE(SUBSTITUTE(SUBSTITUTE(SUBSTITUTE(SUBSTITUTE(SUBSTITUTE(LOWER(TRIM(H119)),"á","a"),"é","e"),"í","i"),"ó","o"),"ú","u"),"ü","u"),"ñ","n"),"à","a"),"è","e"),"ì","i"),"ò","o"),"ù","u"),"")</f>
        <v/>
      </c>
      <c r="V119" s="25">
        <f>IF(AND(Q119=1,L119&lt;&gt;""),SUBSTITUTE(SUBSTITUTE(SUBSTITUTE(SUBSTITUTE(SUBSTITUTE(SUBSTITUTE(SUBSTITUTE(SUBSTITUTE(SUBSTITUTE(SUBSTITUTE(SUBSTITUTE(SUBSTITUTE(LOWER(TRIM(L119)),"á","a"),"é","e"),"í","i"),"ó","o"),"ú","u"),"ü","u"),"ñ","n"),"à","a"),"è","e"),"ì","i"),"ò","o"),"ù","u"),"")</f>
        <v/>
      </c>
      <c r="W119" s="25">
        <f>IF(AND(Q119=1,I119&lt;&gt;""),SUBSTITUTE(SUBSTITUTE(SUBSTITUTE(SUBSTITUTE(SUBSTITUTE(SUBSTITUTE(SUBSTITUTE(SUBSTITUTE(SUBSTITUTE(SUBSTITUTE(SUBSTITUTE(SUBSTITUTE(LOWER(TRIM(I119)),"á","a"),"é","e"),"í","i"),"ó","o"),"ú","u"),"ü","u"),"ñ","n"),"à","a"),"è","e"),"ì","i"),"ò","o"),"ù","u"),"")</f>
        <v/>
      </c>
      <c r="X119" s="25">
        <f>IF(U119="","",IF(OR(U119="si, en la proxima tarea",U119="si, con cambios"),1,0))</f>
        <v/>
      </c>
      <c r="Y119" s="25">
        <f>IF(AND(Q119=1,A119&lt;&gt;""),IF(IFERROR(COUNTIFS(A$3:A119,"="&amp;SUBSTITUTE(SUBSTITUTE(SUBSTITUTE(A119,"~","~~"),"*","~*"),"?","~?"),Q$3:Q119,1),0)=1,MAX(Y$2:Y118)+1,""),"")</f>
        <v/>
      </c>
      <c r="Z119" s="25">
        <f>IF(Y119="","",COUNTIFS($A$3:$A$1002,"="&amp;SUBSTITUTE(SUBSTITUTE(SUBSTITUTE(A119,"~","~~"),"*","~*"),"?","~?"),$Q$3:$Q$1002,1)*10000-Y119)</f>
        <v/>
      </c>
    </row>
    <row r="120">
      <c r="A120">
        <f>IF(A$2=0,"",IFERROR(TRIM(INDEX('Pegar docentes'!$A$1:$BZ$1001,119,A$2)&amp;""),""))</f>
        <v/>
      </c>
      <c r="B120">
        <f>IF(B$2=0,"",IFERROR(TRIM(INDEX('Pegar docentes'!$A$1:$BZ$1001,119,B$2)&amp;""),""))</f>
        <v/>
      </c>
      <c r="C120">
        <f>IF(C$2=0,"",IFERROR(TRIM(INDEX('Pegar docentes'!$A$1:$BZ$1001,119,C$2)&amp;""),""))</f>
        <v/>
      </c>
      <c r="D120">
        <f>IF(D$2=0,"",IFERROR(TRIM(INDEX('Pegar docentes'!$A$1:$BZ$1001,119,D$2)&amp;""),""))</f>
        <v/>
      </c>
      <c r="E120">
        <f>IF(E$2=0,"",IFERROR(TRIM(INDEX('Pegar docentes'!$A$1:$BZ$1001,119,E$2)&amp;""),""))</f>
        <v/>
      </c>
      <c r="F120">
        <f>IF(F$2=0,"",IFERROR(TRIM(INDEX('Pegar docentes'!$A$1:$BZ$1001,119,F$2)&amp;""),""))</f>
        <v/>
      </c>
      <c r="G120">
        <f>IF(G$2=0,"",IFERROR(TRIM(INDEX('Pegar docentes'!$A$1:$BZ$1001,119,G$2)&amp;""),""))</f>
        <v/>
      </c>
      <c r="H120">
        <f>IF(H$2=0,"",IFERROR(TRIM(INDEX('Pegar docentes'!$A$1:$BZ$1001,119,H$2)&amp;""),""))</f>
        <v/>
      </c>
      <c r="I120">
        <f>IF(I$2=0,"",IFERROR(TRIM(INDEX('Pegar docentes'!$A$1:$BZ$1001,119,I$2)&amp;""),""))</f>
        <v/>
      </c>
      <c r="J120">
        <f>IF(J$2=0,"",IFERROR(TRIM(INDEX('Pegar docentes'!$A$1:$BZ$1001,119,J$2)&amp;""),""))</f>
        <v/>
      </c>
      <c r="K120">
        <f>IF(K$2=0,"",IFERROR(TRIM(INDEX('Pegar docentes'!$A$1:$BZ$1001,119,K$2)&amp;""),""))</f>
        <v/>
      </c>
      <c r="L120">
        <f>IF(L$2=0,"",IFERROR(TRIM(INDEX('Pegar docentes'!$A$1:$BZ$1001,119,L$2)&amp;""),""))</f>
        <v/>
      </c>
      <c r="M120">
        <f>IF(M$2=0,"",IFERROR(TRIM(INDEX('Pegar docentes'!$A$1:$BZ$1001,119,M$2)&amp;""),""))</f>
        <v/>
      </c>
      <c r="N120">
        <f>IF(N$2=0,"",IFERROR(TRIM(INDEX('Pegar docentes'!$A$1:$BZ$1001,119,N$2)&amp;""),""))</f>
        <v/>
      </c>
      <c r="O120">
        <f>IF(O$2=0,"",IFERROR(TRIM(INDEX('Pegar docentes'!$A$1:$BZ$1001,119,O$2)&amp;""),""))</f>
        <v/>
      </c>
      <c r="P120">
        <f>IF(P$2=0,"",IFERROR(TRIM(INDEX('Pegar docentes'!$A$1:$BZ$1001,119,P$2)&amp;""),""))</f>
        <v/>
      </c>
      <c r="Q120" s="25">
        <f>IF(OR(D120&lt;&gt;"",H120&lt;&gt;""),1,"")</f>
        <v/>
      </c>
      <c r="R120" s="25">
        <f>IF(Q120=1,IF(ISNUMBER(FIND("#"&amp;MID(D120,1,1)&amp;"#","#0#1#2#3#4#5#6#7#8#9#")),IF(ISNUMBER(FIND("#"&amp;MID(D120,2,1)&amp;"#","#0#1#2#3#4#5#6#7#8#9#")),IF(AND(VALUE(LEFT(D120,2))&gt;=1,VALUE(LEFT(D120,2))&lt;=5),VALUE(LEFT(D120,2)),""),IF(AND(VALUE(LEFT(D120,1))&gt;=1,VALUE(LEFT(D120,1))&lt;=5),VALUE(LEFT(D120,1)),"")),""),"")</f>
        <v/>
      </c>
      <c r="S120" s="25">
        <f>IF(AND(Q120=1,E120&lt;&gt;""),SUBSTITUTE(SUBSTITUTE(SUBSTITUTE(SUBSTITUTE(SUBSTITUTE(SUBSTITUTE(SUBSTITUTE(SUBSTITUTE(SUBSTITUTE(SUBSTITUTE(SUBSTITUTE(SUBSTITUTE(LOWER(TRIM(E120)),"á","a"),"é","e"),"í","i"),"ó","o"),"ú","u"),"ü","u"),"ñ","n"),"à","a"),"è","e"),"ì","i"),"ò","o"),"ù","u"),"")</f>
        <v/>
      </c>
      <c r="T120" s="25">
        <f>IF(AND(Q120=1,G120&lt;&gt;""),SUBSTITUTE(SUBSTITUTE(SUBSTITUTE(SUBSTITUTE(SUBSTITUTE(SUBSTITUTE(SUBSTITUTE(SUBSTITUTE(SUBSTITUTE(SUBSTITUTE(SUBSTITUTE(SUBSTITUTE(LOWER(TRIM(G120)),"á","a"),"é","e"),"í","i"),"ó","o"),"ú","u"),"ü","u"),"ñ","n"),"à","a"),"è","e"),"ì","i"),"ò","o"),"ù","u"),"")</f>
        <v/>
      </c>
      <c r="U120" s="25">
        <f>IF(AND(Q120=1,H120&lt;&gt;""),SUBSTITUTE(SUBSTITUTE(SUBSTITUTE(SUBSTITUTE(SUBSTITUTE(SUBSTITUTE(SUBSTITUTE(SUBSTITUTE(SUBSTITUTE(SUBSTITUTE(SUBSTITUTE(SUBSTITUTE(LOWER(TRIM(H120)),"á","a"),"é","e"),"í","i"),"ó","o"),"ú","u"),"ü","u"),"ñ","n"),"à","a"),"è","e"),"ì","i"),"ò","o"),"ù","u"),"")</f>
        <v/>
      </c>
      <c r="V120" s="25">
        <f>IF(AND(Q120=1,L120&lt;&gt;""),SUBSTITUTE(SUBSTITUTE(SUBSTITUTE(SUBSTITUTE(SUBSTITUTE(SUBSTITUTE(SUBSTITUTE(SUBSTITUTE(SUBSTITUTE(SUBSTITUTE(SUBSTITUTE(SUBSTITUTE(LOWER(TRIM(L120)),"á","a"),"é","e"),"í","i"),"ó","o"),"ú","u"),"ü","u"),"ñ","n"),"à","a"),"è","e"),"ì","i"),"ò","o"),"ù","u"),"")</f>
        <v/>
      </c>
      <c r="W120" s="25">
        <f>IF(AND(Q120=1,I120&lt;&gt;""),SUBSTITUTE(SUBSTITUTE(SUBSTITUTE(SUBSTITUTE(SUBSTITUTE(SUBSTITUTE(SUBSTITUTE(SUBSTITUTE(SUBSTITUTE(SUBSTITUTE(SUBSTITUTE(SUBSTITUTE(LOWER(TRIM(I120)),"á","a"),"é","e"),"í","i"),"ó","o"),"ú","u"),"ü","u"),"ñ","n"),"à","a"),"è","e"),"ì","i"),"ò","o"),"ù","u"),"")</f>
        <v/>
      </c>
      <c r="X120" s="25">
        <f>IF(U120="","",IF(OR(U120="si, en la proxima tarea",U120="si, con cambios"),1,0))</f>
        <v/>
      </c>
      <c r="Y120" s="25">
        <f>IF(AND(Q120=1,A120&lt;&gt;""),IF(IFERROR(COUNTIFS(A$3:A120,"="&amp;SUBSTITUTE(SUBSTITUTE(SUBSTITUTE(A120,"~","~~"),"*","~*"),"?","~?"),Q$3:Q120,1),0)=1,MAX(Y$2:Y119)+1,""),"")</f>
        <v/>
      </c>
      <c r="Z120" s="25">
        <f>IF(Y120="","",COUNTIFS($A$3:$A$1002,"="&amp;SUBSTITUTE(SUBSTITUTE(SUBSTITUTE(A120,"~","~~"),"*","~*"),"?","~?"),$Q$3:$Q$1002,1)*10000-Y120)</f>
        <v/>
      </c>
    </row>
    <row r="121">
      <c r="A121">
        <f>IF(A$2=0,"",IFERROR(TRIM(INDEX('Pegar docentes'!$A$1:$BZ$1001,120,A$2)&amp;""),""))</f>
        <v/>
      </c>
      <c r="B121">
        <f>IF(B$2=0,"",IFERROR(TRIM(INDEX('Pegar docentes'!$A$1:$BZ$1001,120,B$2)&amp;""),""))</f>
        <v/>
      </c>
      <c r="C121">
        <f>IF(C$2=0,"",IFERROR(TRIM(INDEX('Pegar docentes'!$A$1:$BZ$1001,120,C$2)&amp;""),""))</f>
        <v/>
      </c>
      <c r="D121">
        <f>IF(D$2=0,"",IFERROR(TRIM(INDEX('Pegar docentes'!$A$1:$BZ$1001,120,D$2)&amp;""),""))</f>
        <v/>
      </c>
      <c r="E121">
        <f>IF(E$2=0,"",IFERROR(TRIM(INDEX('Pegar docentes'!$A$1:$BZ$1001,120,E$2)&amp;""),""))</f>
        <v/>
      </c>
      <c r="F121">
        <f>IF(F$2=0,"",IFERROR(TRIM(INDEX('Pegar docentes'!$A$1:$BZ$1001,120,F$2)&amp;""),""))</f>
        <v/>
      </c>
      <c r="G121">
        <f>IF(G$2=0,"",IFERROR(TRIM(INDEX('Pegar docentes'!$A$1:$BZ$1001,120,G$2)&amp;""),""))</f>
        <v/>
      </c>
      <c r="H121">
        <f>IF(H$2=0,"",IFERROR(TRIM(INDEX('Pegar docentes'!$A$1:$BZ$1001,120,H$2)&amp;""),""))</f>
        <v/>
      </c>
      <c r="I121">
        <f>IF(I$2=0,"",IFERROR(TRIM(INDEX('Pegar docentes'!$A$1:$BZ$1001,120,I$2)&amp;""),""))</f>
        <v/>
      </c>
      <c r="J121">
        <f>IF(J$2=0,"",IFERROR(TRIM(INDEX('Pegar docentes'!$A$1:$BZ$1001,120,J$2)&amp;""),""))</f>
        <v/>
      </c>
      <c r="K121">
        <f>IF(K$2=0,"",IFERROR(TRIM(INDEX('Pegar docentes'!$A$1:$BZ$1001,120,K$2)&amp;""),""))</f>
        <v/>
      </c>
      <c r="L121">
        <f>IF(L$2=0,"",IFERROR(TRIM(INDEX('Pegar docentes'!$A$1:$BZ$1001,120,L$2)&amp;""),""))</f>
        <v/>
      </c>
      <c r="M121">
        <f>IF(M$2=0,"",IFERROR(TRIM(INDEX('Pegar docentes'!$A$1:$BZ$1001,120,M$2)&amp;""),""))</f>
        <v/>
      </c>
      <c r="N121">
        <f>IF(N$2=0,"",IFERROR(TRIM(INDEX('Pegar docentes'!$A$1:$BZ$1001,120,N$2)&amp;""),""))</f>
        <v/>
      </c>
      <c r="O121">
        <f>IF(O$2=0,"",IFERROR(TRIM(INDEX('Pegar docentes'!$A$1:$BZ$1001,120,O$2)&amp;""),""))</f>
        <v/>
      </c>
      <c r="P121">
        <f>IF(P$2=0,"",IFERROR(TRIM(INDEX('Pegar docentes'!$A$1:$BZ$1001,120,P$2)&amp;""),""))</f>
        <v/>
      </c>
      <c r="Q121" s="25">
        <f>IF(OR(D121&lt;&gt;"",H121&lt;&gt;""),1,"")</f>
        <v/>
      </c>
      <c r="R121" s="25">
        <f>IF(Q121=1,IF(ISNUMBER(FIND("#"&amp;MID(D121,1,1)&amp;"#","#0#1#2#3#4#5#6#7#8#9#")),IF(ISNUMBER(FIND("#"&amp;MID(D121,2,1)&amp;"#","#0#1#2#3#4#5#6#7#8#9#")),IF(AND(VALUE(LEFT(D121,2))&gt;=1,VALUE(LEFT(D121,2))&lt;=5),VALUE(LEFT(D121,2)),""),IF(AND(VALUE(LEFT(D121,1))&gt;=1,VALUE(LEFT(D121,1))&lt;=5),VALUE(LEFT(D121,1)),"")),""),"")</f>
        <v/>
      </c>
      <c r="S121" s="25">
        <f>IF(AND(Q121=1,E121&lt;&gt;""),SUBSTITUTE(SUBSTITUTE(SUBSTITUTE(SUBSTITUTE(SUBSTITUTE(SUBSTITUTE(SUBSTITUTE(SUBSTITUTE(SUBSTITUTE(SUBSTITUTE(SUBSTITUTE(SUBSTITUTE(LOWER(TRIM(E121)),"á","a"),"é","e"),"í","i"),"ó","o"),"ú","u"),"ü","u"),"ñ","n"),"à","a"),"è","e"),"ì","i"),"ò","o"),"ù","u"),"")</f>
        <v/>
      </c>
      <c r="T121" s="25">
        <f>IF(AND(Q121=1,G121&lt;&gt;""),SUBSTITUTE(SUBSTITUTE(SUBSTITUTE(SUBSTITUTE(SUBSTITUTE(SUBSTITUTE(SUBSTITUTE(SUBSTITUTE(SUBSTITUTE(SUBSTITUTE(SUBSTITUTE(SUBSTITUTE(LOWER(TRIM(G121)),"á","a"),"é","e"),"í","i"),"ó","o"),"ú","u"),"ü","u"),"ñ","n"),"à","a"),"è","e"),"ì","i"),"ò","o"),"ù","u"),"")</f>
        <v/>
      </c>
      <c r="U121" s="25">
        <f>IF(AND(Q121=1,H121&lt;&gt;""),SUBSTITUTE(SUBSTITUTE(SUBSTITUTE(SUBSTITUTE(SUBSTITUTE(SUBSTITUTE(SUBSTITUTE(SUBSTITUTE(SUBSTITUTE(SUBSTITUTE(SUBSTITUTE(SUBSTITUTE(LOWER(TRIM(H121)),"á","a"),"é","e"),"í","i"),"ó","o"),"ú","u"),"ü","u"),"ñ","n"),"à","a"),"è","e"),"ì","i"),"ò","o"),"ù","u"),"")</f>
        <v/>
      </c>
      <c r="V121" s="25">
        <f>IF(AND(Q121=1,L121&lt;&gt;""),SUBSTITUTE(SUBSTITUTE(SUBSTITUTE(SUBSTITUTE(SUBSTITUTE(SUBSTITUTE(SUBSTITUTE(SUBSTITUTE(SUBSTITUTE(SUBSTITUTE(SUBSTITUTE(SUBSTITUTE(LOWER(TRIM(L121)),"á","a"),"é","e"),"í","i"),"ó","o"),"ú","u"),"ü","u"),"ñ","n"),"à","a"),"è","e"),"ì","i"),"ò","o"),"ù","u"),"")</f>
        <v/>
      </c>
      <c r="W121" s="25">
        <f>IF(AND(Q121=1,I121&lt;&gt;""),SUBSTITUTE(SUBSTITUTE(SUBSTITUTE(SUBSTITUTE(SUBSTITUTE(SUBSTITUTE(SUBSTITUTE(SUBSTITUTE(SUBSTITUTE(SUBSTITUTE(SUBSTITUTE(SUBSTITUTE(LOWER(TRIM(I121)),"á","a"),"é","e"),"í","i"),"ó","o"),"ú","u"),"ü","u"),"ñ","n"),"à","a"),"è","e"),"ì","i"),"ò","o"),"ù","u"),"")</f>
        <v/>
      </c>
      <c r="X121" s="25">
        <f>IF(U121="","",IF(OR(U121="si, en la proxima tarea",U121="si, con cambios"),1,0))</f>
        <v/>
      </c>
      <c r="Y121" s="25">
        <f>IF(AND(Q121=1,A121&lt;&gt;""),IF(IFERROR(COUNTIFS(A$3:A121,"="&amp;SUBSTITUTE(SUBSTITUTE(SUBSTITUTE(A121,"~","~~"),"*","~*"),"?","~?"),Q$3:Q121,1),0)=1,MAX(Y$2:Y120)+1,""),"")</f>
        <v/>
      </c>
      <c r="Z121" s="25">
        <f>IF(Y121="","",COUNTIFS($A$3:$A$1002,"="&amp;SUBSTITUTE(SUBSTITUTE(SUBSTITUTE(A121,"~","~~"),"*","~*"),"?","~?"),$Q$3:$Q$1002,1)*10000-Y121)</f>
        <v/>
      </c>
    </row>
    <row r="122">
      <c r="A122">
        <f>IF(A$2=0,"",IFERROR(TRIM(INDEX('Pegar docentes'!$A$1:$BZ$1001,121,A$2)&amp;""),""))</f>
        <v/>
      </c>
      <c r="B122">
        <f>IF(B$2=0,"",IFERROR(TRIM(INDEX('Pegar docentes'!$A$1:$BZ$1001,121,B$2)&amp;""),""))</f>
        <v/>
      </c>
      <c r="C122">
        <f>IF(C$2=0,"",IFERROR(TRIM(INDEX('Pegar docentes'!$A$1:$BZ$1001,121,C$2)&amp;""),""))</f>
        <v/>
      </c>
      <c r="D122">
        <f>IF(D$2=0,"",IFERROR(TRIM(INDEX('Pegar docentes'!$A$1:$BZ$1001,121,D$2)&amp;""),""))</f>
        <v/>
      </c>
      <c r="E122">
        <f>IF(E$2=0,"",IFERROR(TRIM(INDEX('Pegar docentes'!$A$1:$BZ$1001,121,E$2)&amp;""),""))</f>
        <v/>
      </c>
      <c r="F122">
        <f>IF(F$2=0,"",IFERROR(TRIM(INDEX('Pegar docentes'!$A$1:$BZ$1001,121,F$2)&amp;""),""))</f>
        <v/>
      </c>
      <c r="G122">
        <f>IF(G$2=0,"",IFERROR(TRIM(INDEX('Pegar docentes'!$A$1:$BZ$1001,121,G$2)&amp;""),""))</f>
        <v/>
      </c>
      <c r="H122">
        <f>IF(H$2=0,"",IFERROR(TRIM(INDEX('Pegar docentes'!$A$1:$BZ$1001,121,H$2)&amp;""),""))</f>
        <v/>
      </c>
      <c r="I122">
        <f>IF(I$2=0,"",IFERROR(TRIM(INDEX('Pegar docentes'!$A$1:$BZ$1001,121,I$2)&amp;""),""))</f>
        <v/>
      </c>
      <c r="J122">
        <f>IF(J$2=0,"",IFERROR(TRIM(INDEX('Pegar docentes'!$A$1:$BZ$1001,121,J$2)&amp;""),""))</f>
        <v/>
      </c>
      <c r="K122">
        <f>IF(K$2=0,"",IFERROR(TRIM(INDEX('Pegar docentes'!$A$1:$BZ$1001,121,K$2)&amp;""),""))</f>
        <v/>
      </c>
      <c r="L122">
        <f>IF(L$2=0,"",IFERROR(TRIM(INDEX('Pegar docentes'!$A$1:$BZ$1001,121,L$2)&amp;""),""))</f>
        <v/>
      </c>
      <c r="M122">
        <f>IF(M$2=0,"",IFERROR(TRIM(INDEX('Pegar docentes'!$A$1:$BZ$1001,121,M$2)&amp;""),""))</f>
        <v/>
      </c>
      <c r="N122">
        <f>IF(N$2=0,"",IFERROR(TRIM(INDEX('Pegar docentes'!$A$1:$BZ$1001,121,N$2)&amp;""),""))</f>
        <v/>
      </c>
      <c r="O122">
        <f>IF(O$2=0,"",IFERROR(TRIM(INDEX('Pegar docentes'!$A$1:$BZ$1001,121,O$2)&amp;""),""))</f>
        <v/>
      </c>
      <c r="P122">
        <f>IF(P$2=0,"",IFERROR(TRIM(INDEX('Pegar docentes'!$A$1:$BZ$1001,121,P$2)&amp;""),""))</f>
        <v/>
      </c>
      <c r="Q122" s="25">
        <f>IF(OR(D122&lt;&gt;"",H122&lt;&gt;""),1,"")</f>
        <v/>
      </c>
      <c r="R122" s="25">
        <f>IF(Q122=1,IF(ISNUMBER(FIND("#"&amp;MID(D122,1,1)&amp;"#","#0#1#2#3#4#5#6#7#8#9#")),IF(ISNUMBER(FIND("#"&amp;MID(D122,2,1)&amp;"#","#0#1#2#3#4#5#6#7#8#9#")),IF(AND(VALUE(LEFT(D122,2))&gt;=1,VALUE(LEFT(D122,2))&lt;=5),VALUE(LEFT(D122,2)),""),IF(AND(VALUE(LEFT(D122,1))&gt;=1,VALUE(LEFT(D122,1))&lt;=5),VALUE(LEFT(D122,1)),"")),""),"")</f>
        <v/>
      </c>
      <c r="S122" s="25">
        <f>IF(AND(Q122=1,E122&lt;&gt;""),SUBSTITUTE(SUBSTITUTE(SUBSTITUTE(SUBSTITUTE(SUBSTITUTE(SUBSTITUTE(SUBSTITUTE(SUBSTITUTE(SUBSTITUTE(SUBSTITUTE(SUBSTITUTE(SUBSTITUTE(LOWER(TRIM(E122)),"á","a"),"é","e"),"í","i"),"ó","o"),"ú","u"),"ü","u"),"ñ","n"),"à","a"),"è","e"),"ì","i"),"ò","o"),"ù","u"),"")</f>
        <v/>
      </c>
      <c r="T122" s="25">
        <f>IF(AND(Q122=1,G122&lt;&gt;""),SUBSTITUTE(SUBSTITUTE(SUBSTITUTE(SUBSTITUTE(SUBSTITUTE(SUBSTITUTE(SUBSTITUTE(SUBSTITUTE(SUBSTITUTE(SUBSTITUTE(SUBSTITUTE(SUBSTITUTE(LOWER(TRIM(G122)),"á","a"),"é","e"),"í","i"),"ó","o"),"ú","u"),"ü","u"),"ñ","n"),"à","a"),"è","e"),"ì","i"),"ò","o"),"ù","u"),"")</f>
        <v/>
      </c>
      <c r="U122" s="25">
        <f>IF(AND(Q122=1,H122&lt;&gt;""),SUBSTITUTE(SUBSTITUTE(SUBSTITUTE(SUBSTITUTE(SUBSTITUTE(SUBSTITUTE(SUBSTITUTE(SUBSTITUTE(SUBSTITUTE(SUBSTITUTE(SUBSTITUTE(SUBSTITUTE(LOWER(TRIM(H122)),"á","a"),"é","e"),"í","i"),"ó","o"),"ú","u"),"ü","u"),"ñ","n"),"à","a"),"è","e"),"ì","i"),"ò","o"),"ù","u"),"")</f>
        <v/>
      </c>
      <c r="V122" s="25">
        <f>IF(AND(Q122=1,L122&lt;&gt;""),SUBSTITUTE(SUBSTITUTE(SUBSTITUTE(SUBSTITUTE(SUBSTITUTE(SUBSTITUTE(SUBSTITUTE(SUBSTITUTE(SUBSTITUTE(SUBSTITUTE(SUBSTITUTE(SUBSTITUTE(LOWER(TRIM(L122)),"á","a"),"é","e"),"í","i"),"ó","o"),"ú","u"),"ü","u"),"ñ","n"),"à","a"),"è","e"),"ì","i"),"ò","o"),"ù","u"),"")</f>
        <v/>
      </c>
      <c r="W122" s="25">
        <f>IF(AND(Q122=1,I122&lt;&gt;""),SUBSTITUTE(SUBSTITUTE(SUBSTITUTE(SUBSTITUTE(SUBSTITUTE(SUBSTITUTE(SUBSTITUTE(SUBSTITUTE(SUBSTITUTE(SUBSTITUTE(SUBSTITUTE(SUBSTITUTE(LOWER(TRIM(I122)),"á","a"),"é","e"),"í","i"),"ó","o"),"ú","u"),"ü","u"),"ñ","n"),"à","a"),"è","e"),"ì","i"),"ò","o"),"ù","u"),"")</f>
        <v/>
      </c>
      <c r="X122" s="25">
        <f>IF(U122="","",IF(OR(U122="si, en la proxima tarea",U122="si, con cambios"),1,0))</f>
        <v/>
      </c>
      <c r="Y122" s="25">
        <f>IF(AND(Q122=1,A122&lt;&gt;""),IF(IFERROR(COUNTIFS(A$3:A122,"="&amp;SUBSTITUTE(SUBSTITUTE(SUBSTITUTE(A122,"~","~~"),"*","~*"),"?","~?"),Q$3:Q122,1),0)=1,MAX(Y$2:Y121)+1,""),"")</f>
        <v/>
      </c>
      <c r="Z122" s="25">
        <f>IF(Y122="","",COUNTIFS($A$3:$A$1002,"="&amp;SUBSTITUTE(SUBSTITUTE(SUBSTITUTE(A122,"~","~~"),"*","~*"),"?","~?"),$Q$3:$Q$1002,1)*10000-Y122)</f>
        <v/>
      </c>
    </row>
    <row r="123">
      <c r="A123">
        <f>IF(A$2=0,"",IFERROR(TRIM(INDEX('Pegar docentes'!$A$1:$BZ$1001,122,A$2)&amp;""),""))</f>
        <v/>
      </c>
      <c r="B123">
        <f>IF(B$2=0,"",IFERROR(TRIM(INDEX('Pegar docentes'!$A$1:$BZ$1001,122,B$2)&amp;""),""))</f>
        <v/>
      </c>
      <c r="C123">
        <f>IF(C$2=0,"",IFERROR(TRIM(INDEX('Pegar docentes'!$A$1:$BZ$1001,122,C$2)&amp;""),""))</f>
        <v/>
      </c>
      <c r="D123">
        <f>IF(D$2=0,"",IFERROR(TRIM(INDEX('Pegar docentes'!$A$1:$BZ$1001,122,D$2)&amp;""),""))</f>
        <v/>
      </c>
      <c r="E123">
        <f>IF(E$2=0,"",IFERROR(TRIM(INDEX('Pegar docentes'!$A$1:$BZ$1001,122,E$2)&amp;""),""))</f>
        <v/>
      </c>
      <c r="F123">
        <f>IF(F$2=0,"",IFERROR(TRIM(INDEX('Pegar docentes'!$A$1:$BZ$1001,122,F$2)&amp;""),""))</f>
        <v/>
      </c>
      <c r="G123">
        <f>IF(G$2=0,"",IFERROR(TRIM(INDEX('Pegar docentes'!$A$1:$BZ$1001,122,G$2)&amp;""),""))</f>
        <v/>
      </c>
      <c r="H123">
        <f>IF(H$2=0,"",IFERROR(TRIM(INDEX('Pegar docentes'!$A$1:$BZ$1001,122,H$2)&amp;""),""))</f>
        <v/>
      </c>
      <c r="I123">
        <f>IF(I$2=0,"",IFERROR(TRIM(INDEX('Pegar docentes'!$A$1:$BZ$1001,122,I$2)&amp;""),""))</f>
        <v/>
      </c>
      <c r="J123">
        <f>IF(J$2=0,"",IFERROR(TRIM(INDEX('Pegar docentes'!$A$1:$BZ$1001,122,J$2)&amp;""),""))</f>
        <v/>
      </c>
      <c r="K123">
        <f>IF(K$2=0,"",IFERROR(TRIM(INDEX('Pegar docentes'!$A$1:$BZ$1001,122,K$2)&amp;""),""))</f>
        <v/>
      </c>
      <c r="L123">
        <f>IF(L$2=0,"",IFERROR(TRIM(INDEX('Pegar docentes'!$A$1:$BZ$1001,122,L$2)&amp;""),""))</f>
        <v/>
      </c>
      <c r="M123">
        <f>IF(M$2=0,"",IFERROR(TRIM(INDEX('Pegar docentes'!$A$1:$BZ$1001,122,M$2)&amp;""),""))</f>
        <v/>
      </c>
      <c r="N123">
        <f>IF(N$2=0,"",IFERROR(TRIM(INDEX('Pegar docentes'!$A$1:$BZ$1001,122,N$2)&amp;""),""))</f>
        <v/>
      </c>
      <c r="O123">
        <f>IF(O$2=0,"",IFERROR(TRIM(INDEX('Pegar docentes'!$A$1:$BZ$1001,122,O$2)&amp;""),""))</f>
        <v/>
      </c>
      <c r="P123">
        <f>IF(P$2=0,"",IFERROR(TRIM(INDEX('Pegar docentes'!$A$1:$BZ$1001,122,P$2)&amp;""),""))</f>
        <v/>
      </c>
      <c r="Q123" s="25">
        <f>IF(OR(D123&lt;&gt;"",H123&lt;&gt;""),1,"")</f>
        <v/>
      </c>
      <c r="R123" s="25">
        <f>IF(Q123=1,IF(ISNUMBER(FIND("#"&amp;MID(D123,1,1)&amp;"#","#0#1#2#3#4#5#6#7#8#9#")),IF(ISNUMBER(FIND("#"&amp;MID(D123,2,1)&amp;"#","#0#1#2#3#4#5#6#7#8#9#")),IF(AND(VALUE(LEFT(D123,2))&gt;=1,VALUE(LEFT(D123,2))&lt;=5),VALUE(LEFT(D123,2)),""),IF(AND(VALUE(LEFT(D123,1))&gt;=1,VALUE(LEFT(D123,1))&lt;=5),VALUE(LEFT(D123,1)),"")),""),"")</f>
        <v/>
      </c>
      <c r="S123" s="25">
        <f>IF(AND(Q123=1,E123&lt;&gt;""),SUBSTITUTE(SUBSTITUTE(SUBSTITUTE(SUBSTITUTE(SUBSTITUTE(SUBSTITUTE(SUBSTITUTE(SUBSTITUTE(SUBSTITUTE(SUBSTITUTE(SUBSTITUTE(SUBSTITUTE(LOWER(TRIM(E123)),"á","a"),"é","e"),"í","i"),"ó","o"),"ú","u"),"ü","u"),"ñ","n"),"à","a"),"è","e"),"ì","i"),"ò","o"),"ù","u"),"")</f>
        <v/>
      </c>
      <c r="T123" s="25">
        <f>IF(AND(Q123=1,G123&lt;&gt;""),SUBSTITUTE(SUBSTITUTE(SUBSTITUTE(SUBSTITUTE(SUBSTITUTE(SUBSTITUTE(SUBSTITUTE(SUBSTITUTE(SUBSTITUTE(SUBSTITUTE(SUBSTITUTE(SUBSTITUTE(LOWER(TRIM(G123)),"á","a"),"é","e"),"í","i"),"ó","o"),"ú","u"),"ü","u"),"ñ","n"),"à","a"),"è","e"),"ì","i"),"ò","o"),"ù","u"),"")</f>
        <v/>
      </c>
      <c r="U123" s="25">
        <f>IF(AND(Q123=1,H123&lt;&gt;""),SUBSTITUTE(SUBSTITUTE(SUBSTITUTE(SUBSTITUTE(SUBSTITUTE(SUBSTITUTE(SUBSTITUTE(SUBSTITUTE(SUBSTITUTE(SUBSTITUTE(SUBSTITUTE(SUBSTITUTE(LOWER(TRIM(H123)),"á","a"),"é","e"),"í","i"),"ó","o"),"ú","u"),"ü","u"),"ñ","n"),"à","a"),"è","e"),"ì","i"),"ò","o"),"ù","u"),"")</f>
        <v/>
      </c>
      <c r="V123" s="25">
        <f>IF(AND(Q123=1,L123&lt;&gt;""),SUBSTITUTE(SUBSTITUTE(SUBSTITUTE(SUBSTITUTE(SUBSTITUTE(SUBSTITUTE(SUBSTITUTE(SUBSTITUTE(SUBSTITUTE(SUBSTITUTE(SUBSTITUTE(SUBSTITUTE(LOWER(TRIM(L123)),"á","a"),"é","e"),"í","i"),"ó","o"),"ú","u"),"ü","u"),"ñ","n"),"à","a"),"è","e"),"ì","i"),"ò","o"),"ù","u"),"")</f>
        <v/>
      </c>
      <c r="W123" s="25">
        <f>IF(AND(Q123=1,I123&lt;&gt;""),SUBSTITUTE(SUBSTITUTE(SUBSTITUTE(SUBSTITUTE(SUBSTITUTE(SUBSTITUTE(SUBSTITUTE(SUBSTITUTE(SUBSTITUTE(SUBSTITUTE(SUBSTITUTE(SUBSTITUTE(LOWER(TRIM(I123)),"á","a"),"é","e"),"í","i"),"ó","o"),"ú","u"),"ü","u"),"ñ","n"),"à","a"),"è","e"),"ì","i"),"ò","o"),"ù","u"),"")</f>
        <v/>
      </c>
      <c r="X123" s="25">
        <f>IF(U123="","",IF(OR(U123="si, en la proxima tarea",U123="si, con cambios"),1,0))</f>
        <v/>
      </c>
      <c r="Y123" s="25">
        <f>IF(AND(Q123=1,A123&lt;&gt;""),IF(IFERROR(COUNTIFS(A$3:A123,"="&amp;SUBSTITUTE(SUBSTITUTE(SUBSTITUTE(A123,"~","~~"),"*","~*"),"?","~?"),Q$3:Q123,1),0)=1,MAX(Y$2:Y122)+1,""),"")</f>
        <v/>
      </c>
      <c r="Z123" s="25">
        <f>IF(Y123="","",COUNTIFS($A$3:$A$1002,"="&amp;SUBSTITUTE(SUBSTITUTE(SUBSTITUTE(A123,"~","~~"),"*","~*"),"?","~?"),$Q$3:$Q$1002,1)*10000-Y123)</f>
        <v/>
      </c>
    </row>
    <row r="124">
      <c r="A124">
        <f>IF(A$2=0,"",IFERROR(TRIM(INDEX('Pegar docentes'!$A$1:$BZ$1001,123,A$2)&amp;""),""))</f>
        <v/>
      </c>
      <c r="B124">
        <f>IF(B$2=0,"",IFERROR(TRIM(INDEX('Pegar docentes'!$A$1:$BZ$1001,123,B$2)&amp;""),""))</f>
        <v/>
      </c>
      <c r="C124">
        <f>IF(C$2=0,"",IFERROR(TRIM(INDEX('Pegar docentes'!$A$1:$BZ$1001,123,C$2)&amp;""),""))</f>
        <v/>
      </c>
      <c r="D124">
        <f>IF(D$2=0,"",IFERROR(TRIM(INDEX('Pegar docentes'!$A$1:$BZ$1001,123,D$2)&amp;""),""))</f>
        <v/>
      </c>
      <c r="E124">
        <f>IF(E$2=0,"",IFERROR(TRIM(INDEX('Pegar docentes'!$A$1:$BZ$1001,123,E$2)&amp;""),""))</f>
        <v/>
      </c>
      <c r="F124">
        <f>IF(F$2=0,"",IFERROR(TRIM(INDEX('Pegar docentes'!$A$1:$BZ$1001,123,F$2)&amp;""),""))</f>
        <v/>
      </c>
      <c r="G124">
        <f>IF(G$2=0,"",IFERROR(TRIM(INDEX('Pegar docentes'!$A$1:$BZ$1001,123,G$2)&amp;""),""))</f>
        <v/>
      </c>
      <c r="H124">
        <f>IF(H$2=0,"",IFERROR(TRIM(INDEX('Pegar docentes'!$A$1:$BZ$1001,123,H$2)&amp;""),""))</f>
        <v/>
      </c>
      <c r="I124">
        <f>IF(I$2=0,"",IFERROR(TRIM(INDEX('Pegar docentes'!$A$1:$BZ$1001,123,I$2)&amp;""),""))</f>
        <v/>
      </c>
      <c r="J124">
        <f>IF(J$2=0,"",IFERROR(TRIM(INDEX('Pegar docentes'!$A$1:$BZ$1001,123,J$2)&amp;""),""))</f>
        <v/>
      </c>
      <c r="K124">
        <f>IF(K$2=0,"",IFERROR(TRIM(INDEX('Pegar docentes'!$A$1:$BZ$1001,123,K$2)&amp;""),""))</f>
        <v/>
      </c>
      <c r="L124">
        <f>IF(L$2=0,"",IFERROR(TRIM(INDEX('Pegar docentes'!$A$1:$BZ$1001,123,L$2)&amp;""),""))</f>
        <v/>
      </c>
      <c r="M124">
        <f>IF(M$2=0,"",IFERROR(TRIM(INDEX('Pegar docentes'!$A$1:$BZ$1001,123,M$2)&amp;""),""))</f>
        <v/>
      </c>
      <c r="N124">
        <f>IF(N$2=0,"",IFERROR(TRIM(INDEX('Pegar docentes'!$A$1:$BZ$1001,123,N$2)&amp;""),""))</f>
        <v/>
      </c>
      <c r="O124">
        <f>IF(O$2=0,"",IFERROR(TRIM(INDEX('Pegar docentes'!$A$1:$BZ$1001,123,O$2)&amp;""),""))</f>
        <v/>
      </c>
      <c r="P124">
        <f>IF(P$2=0,"",IFERROR(TRIM(INDEX('Pegar docentes'!$A$1:$BZ$1001,123,P$2)&amp;""),""))</f>
        <v/>
      </c>
      <c r="Q124" s="25">
        <f>IF(OR(D124&lt;&gt;"",H124&lt;&gt;""),1,"")</f>
        <v/>
      </c>
      <c r="R124" s="25">
        <f>IF(Q124=1,IF(ISNUMBER(FIND("#"&amp;MID(D124,1,1)&amp;"#","#0#1#2#3#4#5#6#7#8#9#")),IF(ISNUMBER(FIND("#"&amp;MID(D124,2,1)&amp;"#","#0#1#2#3#4#5#6#7#8#9#")),IF(AND(VALUE(LEFT(D124,2))&gt;=1,VALUE(LEFT(D124,2))&lt;=5),VALUE(LEFT(D124,2)),""),IF(AND(VALUE(LEFT(D124,1))&gt;=1,VALUE(LEFT(D124,1))&lt;=5),VALUE(LEFT(D124,1)),"")),""),"")</f>
        <v/>
      </c>
      <c r="S124" s="25">
        <f>IF(AND(Q124=1,E124&lt;&gt;""),SUBSTITUTE(SUBSTITUTE(SUBSTITUTE(SUBSTITUTE(SUBSTITUTE(SUBSTITUTE(SUBSTITUTE(SUBSTITUTE(SUBSTITUTE(SUBSTITUTE(SUBSTITUTE(SUBSTITUTE(LOWER(TRIM(E124)),"á","a"),"é","e"),"í","i"),"ó","o"),"ú","u"),"ü","u"),"ñ","n"),"à","a"),"è","e"),"ì","i"),"ò","o"),"ù","u"),"")</f>
        <v/>
      </c>
      <c r="T124" s="25">
        <f>IF(AND(Q124=1,G124&lt;&gt;""),SUBSTITUTE(SUBSTITUTE(SUBSTITUTE(SUBSTITUTE(SUBSTITUTE(SUBSTITUTE(SUBSTITUTE(SUBSTITUTE(SUBSTITUTE(SUBSTITUTE(SUBSTITUTE(SUBSTITUTE(LOWER(TRIM(G124)),"á","a"),"é","e"),"í","i"),"ó","o"),"ú","u"),"ü","u"),"ñ","n"),"à","a"),"è","e"),"ì","i"),"ò","o"),"ù","u"),"")</f>
        <v/>
      </c>
      <c r="U124" s="25">
        <f>IF(AND(Q124=1,H124&lt;&gt;""),SUBSTITUTE(SUBSTITUTE(SUBSTITUTE(SUBSTITUTE(SUBSTITUTE(SUBSTITUTE(SUBSTITUTE(SUBSTITUTE(SUBSTITUTE(SUBSTITUTE(SUBSTITUTE(SUBSTITUTE(LOWER(TRIM(H124)),"á","a"),"é","e"),"í","i"),"ó","o"),"ú","u"),"ü","u"),"ñ","n"),"à","a"),"è","e"),"ì","i"),"ò","o"),"ù","u"),"")</f>
        <v/>
      </c>
      <c r="V124" s="25">
        <f>IF(AND(Q124=1,L124&lt;&gt;""),SUBSTITUTE(SUBSTITUTE(SUBSTITUTE(SUBSTITUTE(SUBSTITUTE(SUBSTITUTE(SUBSTITUTE(SUBSTITUTE(SUBSTITUTE(SUBSTITUTE(SUBSTITUTE(SUBSTITUTE(LOWER(TRIM(L124)),"á","a"),"é","e"),"í","i"),"ó","o"),"ú","u"),"ü","u"),"ñ","n"),"à","a"),"è","e"),"ì","i"),"ò","o"),"ù","u"),"")</f>
        <v/>
      </c>
      <c r="W124" s="25">
        <f>IF(AND(Q124=1,I124&lt;&gt;""),SUBSTITUTE(SUBSTITUTE(SUBSTITUTE(SUBSTITUTE(SUBSTITUTE(SUBSTITUTE(SUBSTITUTE(SUBSTITUTE(SUBSTITUTE(SUBSTITUTE(SUBSTITUTE(SUBSTITUTE(LOWER(TRIM(I124)),"á","a"),"é","e"),"í","i"),"ó","o"),"ú","u"),"ü","u"),"ñ","n"),"à","a"),"è","e"),"ì","i"),"ò","o"),"ù","u"),"")</f>
        <v/>
      </c>
      <c r="X124" s="25">
        <f>IF(U124="","",IF(OR(U124="si, en la proxima tarea",U124="si, con cambios"),1,0))</f>
        <v/>
      </c>
      <c r="Y124" s="25">
        <f>IF(AND(Q124=1,A124&lt;&gt;""),IF(IFERROR(COUNTIFS(A$3:A124,"="&amp;SUBSTITUTE(SUBSTITUTE(SUBSTITUTE(A124,"~","~~"),"*","~*"),"?","~?"),Q$3:Q124,1),0)=1,MAX(Y$2:Y123)+1,""),"")</f>
        <v/>
      </c>
      <c r="Z124" s="25">
        <f>IF(Y124="","",COUNTIFS($A$3:$A$1002,"="&amp;SUBSTITUTE(SUBSTITUTE(SUBSTITUTE(A124,"~","~~"),"*","~*"),"?","~?"),$Q$3:$Q$1002,1)*10000-Y124)</f>
        <v/>
      </c>
    </row>
    <row r="125">
      <c r="A125">
        <f>IF(A$2=0,"",IFERROR(TRIM(INDEX('Pegar docentes'!$A$1:$BZ$1001,124,A$2)&amp;""),""))</f>
        <v/>
      </c>
      <c r="B125">
        <f>IF(B$2=0,"",IFERROR(TRIM(INDEX('Pegar docentes'!$A$1:$BZ$1001,124,B$2)&amp;""),""))</f>
        <v/>
      </c>
      <c r="C125">
        <f>IF(C$2=0,"",IFERROR(TRIM(INDEX('Pegar docentes'!$A$1:$BZ$1001,124,C$2)&amp;""),""))</f>
        <v/>
      </c>
      <c r="D125">
        <f>IF(D$2=0,"",IFERROR(TRIM(INDEX('Pegar docentes'!$A$1:$BZ$1001,124,D$2)&amp;""),""))</f>
        <v/>
      </c>
      <c r="E125">
        <f>IF(E$2=0,"",IFERROR(TRIM(INDEX('Pegar docentes'!$A$1:$BZ$1001,124,E$2)&amp;""),""))</f>
        <v/>
      </c>
      <c r="F125">
        <f>IF(F$2=0,"",IFERROR(TRIM(INDEX('Pegar docentes'!$A$1:$BZ$1001,124,F$2)&amp;""),""))</f>
        <v/>
      </c>
      <c r="G125">
        <f>IF(G$2=0,"",IFERROR(TRIM(INDEX('Pegar docentes'!$A$1:$BZ$1001,124,G$2)&amp;""),""))</f>
        <v/>
      </c>
      <c r="H125">
        <f>IF(H$2=0,"",IFERROR(TRIM(INDEX('Pegar docentes'!$A$1:$BZ$1001,124,H$2)&amp;""),""))</f>
        <v/>
      </c>
      <c r="I125">
        <f>IF(I$2=0,"",IFERROR(TRIM(INDEX('Pegar docentes'!$A$1:$BZ$1001,124,I$2)&amp;""),""))</f>
        <v/>
      </c>
      <c r="J125">
        <f>IF(J$2=0,"",IFERROR(TRIM(INDEX('Pegar docentes'!$A$1:$BZ$1001,124,J$2)&amp;""),""))</f>
        <v/>
      </c>
      <c r="K125">
        <f>IF(K$2=0,"",IFERROR(TRIM(INDEX('Pegar docentes'!$A$1:$BZ$1001,124,K$2)&amp;""),""))</f>
        <v/>
      </c>
      <c r="L125">
        <f>IF(L$2=0,"",IFERROR(TRIM(INDEX('Pegar docentes'!$A$1:$BZ$1001,124,L$2)&amp;""),""))</f>
        <v/>
      </c>
      <c r="M125">
        <f>IF(M$2=0,"",IFERROR(TRIM(INDEX('Pegar docentes'!$A$1:$BZ$1001,124,M$2)&amp;""),""))</f>
        <v/>
      </c>
      <c r="N125">
        <f>IF(N$2=0,"",IFERROR(TRIM(INDEX('Pegar docentes'!$A$1:$BZ$1001,124,N$2)&amp;""),""))</f>
        <v/>
      </c>
      <c r="O125">
        <f>IF(O$2=0,"",IFERROR(TRIM(INDEX('Pegar docentes'!$A$1:$BZ$1001,124,O$2)&amp;""),""))</f>
        <v/>
      </c>
      <c r="P125">
        <f>IF(P$2=0,"",IFERROR(TRIM(INDEX('Pegar docentes'!$A$1:$BZ$1001,124,P$2)&amp;""),""))</f>
        <v/>
      </c>
      <c r="Q125" s="25">
        <f>IF(OR(D125&lt;&gt;"",H125&lt;&gt;""),1,"")</f>
        <v/>
      </c>
      <c r="R125" s="25">
        <f>IF(Q125=1,IF(ISNUMBER(FIND("#"&amp;MID(D125,1,1)&amp;"#","#0#1#2#3#4#5#6#7#8#9#")),IF(ISNUMBER(FIND("#"&amp;MID(D125,2,1)&amp;"#","#0#1#2#3#4#5#6#7#8#9#")),IF(AND(VALUE(LEFT(D125,2))&gt;=1,VALUE(LEFT(D125,2))&lt;=5),VALUE(LEFT(D125,2)),""),IF(AND(VALUE(LEFT(D125,1))&gt;=1,VALUE(LEFT(D125,1))&lt;=5),VALUE(LEFT(D125,1)),"")),""),"")</f>
        <v/>
      </c>
      <c r="S125" s="25">
        <f>IF(AND(Q125=1,E125&lt;&gt;""),SUBSTITUTE(SUBSTITUTE(SUBSTITUTE(SUBSTITUTE(SUBSTITUTE(SUBSTITUTE(SUBSTITUTE(SUBSTITUTE(SUBSTITUTE(SUBSTITUTE(SUBSTITUTE(SUBSTITUTE(LOWER(TRIM(E125)),"á","a"),"é","e"),"í","i"),"ó","o"),"ú","u"),"ü","u"),"ñ","n"),"à","a"),"è","e"),"ì","i"),"ò","o"),"ù","u"),"")</f>
        <v/>
      </c>
      <c r="T125" s="25">
        <f>IF(AND(Q125=1,G125&lt;&gt;""),SUBSTITUTE(SUBSTITUTE(SUBSTITUTE(SUBSTITUTE(SUBSTITUTE(SUBSTITUTE(SUBSTITUTE(SUBSTITUTE(SUBSTITUTE(SUBSTITUTE(SUBSTITUTE(SUBSTITUTE(LOWER(TRIM(G125)),"á","a"),"é","e"),"í","i"),"ó","o"),"ú","u"),"ü","u"),"ñ","n"),"à","a"),"è","e"),"ì","i"),"ò","o"),"ù","u"),"")</f>
        <v/>
      </c>
      <c r="U125" s="25">
        <f>IF(AND(Q125=1,H125&lt;&gt;""),SUBSTITUTE(SUBSTITUTE(SUBSTITUTE(SUBSTITUTE(SUBSTITUTE(SUBSTITUTE(SUBSTITUTE(SUBSTITUTE(SUBSTITUTE(SUBSTITUTE(SUBSTITUTE(SUBSTITUTE(LOWER(TRIM(H125)),"á","a"),"é","e"),"í","i"),"ó","o"),"ú","u"),"ü","u"),"ñ","n"),"à","a"),"è","e"),"ì","i"),"ò","o"),"ù","u"),"")</f>
        <v/>
      </c>
      <c r="V125" s="25">
        <f>IF(AND(Q125=1,L125&lt;&gt;""),SUBSTITUTE(SUBSTITUTE(SUBSTITUTE(SUBSTITUTE(SUBSTITUTE(SUBSTITUTE(SUBSTITUTE(SUBSTITUTE(SUBSTITUTE(SUBSTITUTE(SUBSTITUTE(SUBSTITUTE(LOWER(TRIM(L125)),"á","a"),"é","e"),"í","i"),"ó","o"),"ú","u"),"ü","u"),"ñ","n"),"à","a"),"è","e"),"ì","i"),"ò","o"),"ù","u"),"")</f>
        <v/>
      </c>
      <c r="W125" s="25">
        <f>IF(AND(Q125=1,I125&lt;&gt;""),SUBSTITUTE(SUBSTITUTE(SUBSTITUTE(SUBSTITUTE(SUBSTITUTE(SUBSTITUTE(SUBSTITUTE(SUBSTITUTE(SUBSTITUTE(SUBSTITUTE(SUBSTITUTE(SUBSTITUTE(LOWER(TRIM(I125)),"á","a"),"é","e"),"í","i"),"ó","o"),"ú","u"),"ü","u"),"ñ","n"),"à","a"),"è","e"),"ì","i"),"ò","o"),"ù","u"),"")</f>
        <v/>
      </c>
      <c r="X125" s="25">
        <f>IF(U125="","",IF(OR(U125="si, en la proxima tarea",U125="si, con cambios"),1,0))</f>
        <v/>
      </c>
      <c r="Y125" s="25">
        <f>IF(AND(Q125=1,A125&lt;&gt;""),IF(IFERROR(COUNTIFS(A$3:A125,"="&amp;SUBSTITUTE(SUBSTITUTE(SUBSTITUTE(A125,"~","~~"),"*","~*"),"?","~?"),Q$3:Q125,1),0)=1,MAX(Y$2:Y124)+1,""),"")</f>
        <v/>
      </c>
      <c r="Z125" s="25">
        <f>IF(Y125="","",COUNTIFS($A$3:$A$1002,"="&amp;SUBSTITUTE(SUBSTITUTE(SUBSTITUTE(A125,"~","~~"),"*","~*"),"?","~?"),$Q$3:$Q$1002,1)*10000-Y125)</f>
        <v/>
      </c>
    </row>
    <row r="126">
      <c r="A126">
        <f>IF(A$2=0,"",IFERROR(TRIM(INDEX('Pegar docentes'!$A$1:$BZ$1001,125,A$2)&amp;""),""))</f>
        <v/>
      </c>
      <c r="B126">
        <f>IF(B$2=0,"",IFERROR(TRIM(INDEX('Pegar docentes'!$A$1:$BZ$1001,125,B$2)&amp;""),""))</f>
        <v/>
      </c>
      <c r="C126">
        <f>IF(C$2=0,"",IFERROR(TRIM(INDEX('Pegar docentes'!$A$1:$BZ$1001,125,C$2)&amp;""),""))</f>
        <v/>
      </c>
      <c r="D126">
        <f>IF(D$2=0,"",IFERROR(TRIM(INDEX('Pegar docentes'!$A$1:$BZ$1001,125,D$2)&amp;""),""))</f>
        <v/>
      </c>
      <c r="E126">
        <f>IF(E$2=0,"",IFERROR(TRIM(INDEX('Pegar docentes'!$A$1:$BZ$1001,125,E$2)&amp;""),""))</f>
        <v/>
      </c>
      <c r="F126">
        <f>IF(F$2=0,"",IFERROR(TRIM(INDEX('Pegar docentes'!$A$1:$BZ$1001,125,F$2)&amp;""),""))</f>
        <v/>
      </c>
      <c r="G126">
        <f>IF(G$2=0,"",IFERROR(TRIM(INDEX('Pegar docentes'!$A$1:$BZ$1001,125,G$2)&amp;""),""))</f>
        <v/>
      </c>
      <c r="H126">
        <f>IF(H$2=0,"",IFERROR(TRIM(INDEX('Pegar docentes'!$A$1:$BZ$1001,125,H$2)&amp;""),""))</f>
        <v/>
      </c>
      <c r="I126">
        <f>IF(I$2=0,"",IFERROR(TRIM(INDEX('Pegar docentes'!$A$1:$BZ$1001,125,I$2)&amp;""),""))</f>
        <v/>
      </c>
      <c r="J126">
        <f>IF(J$2=0,"",IFERROR(TRIM(INDEX('Pegar docentes'!$A$1:$BZ$1001,125,J$2)&amp;""),""))</f>
        <v/>
      </c>
      <c r="K126">
        <f>IF(K$2=0,"",IFERROR(TRIM(INDEX('Pegar docentes'!$A$1:$BZ$1001,125,K$2)&amp;""),""))</f>
        <v/>
      </c>
      <c r="L126">
        <f>IF(L$2=0,"",IFERROR(TRIM(INDEX('Pegar docentes'!$A$1:$BZ$1001,125,L$2)&amp;""),""))</f>
        <v/>
      </c>
      <c r="M126">
        <f>IF(M$2=0,"",IFERROR(TRIM(INDEX('Pegar docentes'!$A$1:$BZ$1001,125,M$2)&amp;""),""))</f>
        <v/>
      </c>
      <c r="N126">
        <f>IF(N$2=0,"",IFERROR(TRIM(INDEX('Pegar docentes'!$A$1:$BZ$1001,125,N$2)&amp;""),""))</f>
        <v/>
      </c>
      <c r="O126">
        <f>IF(O$2=0,"",IFERROR(TRIM(INDEX('Pegar docentes'!$A$1:$BZ$1001,125,O$2)&amp;""),""))</f>
        <v/>
      </c>
      <c r="P126">
        <f>IF(P$2=0,"",IFERROR(TRIM(INDEX('Pegar docentes'!$A$1:$BZ$1001,125,P$2)&amp;""),""))</f>
        <v/>
      </c>
      <c r="Q126" s="25">
        <f>IF(OR(D126&lt;&gt;"",H126&lt;&gt;""),1,"")</f>
        <v/>
      </c>
      <c r="R126" s="25">
        <f>IF(Q126=1,IF(ISNUMBER(FIND("#"&amp;MID(D126,1,1)&amp;"#","#0#1#2#3#4#5#6#7#8#9#")),IF(ISNUMBER(FIND("#"&amp;MID(D126,2,1)&amp;"#","#0#1#2#3#4#5#6#7#8#9#")),IF(AND(VALUE(LEFT(D126,2))&gt;=1,VALUE(LEFT(D126,2))&lt;=5),VALUE(LEFT(D126,2)),""),IF(AND(VALUE(LEFT(D126,1))&gt;=1,VALUE(LEFT(D126,1))&lt;=5),VALUE(LEFT(D126,1)),"")),""),"")</f>
        <v/>
      </c>
      <c r="S126" s="25">
        <f>IF(AND(Q126=1,E126&lt;&gt;""),SUBSTITUTE(SUBSTITUTE(SUBSTITUTE(SUBSTITUTE(SUBSTITUTE(SUBSTITUTE(SUBSTITUTE(SUBSTITUTE(SUBSTITUTE(SUBSTITUTE(SUBSTITUTE(SUBSTITUTE(LOWER(TRIM(E126)),"á","a"),"é","e"),"í","i"),"ó","o"),"ú","u"),"ü","u"),"ñ","n"),"à","a"),"è","e"),"ì","i"),"ò","o"),"ù","u"),"")</f>
        <v/>
      </c>
      <c r="T126" s="25">
        <f>IF(AND(Q126=1,G126&lt;&gt;""),SUBSTITUTE(SUBSTITUTE(SUBSTITUTE(SUBSTITUTE(SUBSTITUTE(SUBSTITUTE(SUBSTITUTE(SUBSTITUTE(SUBSTITUTE(SUBSTITUTE(SUBSTITUTE(SUBSTITUTE(LOWER(TRIM(G126)),"á","a"),"é","e"),"í","i"),"ó","o"),"ú","u"),"ü","u"),"ñ","n"),"à","a"),"è","e"),"ì","i"),"ò","o"),"ù","u"),"")</f>
        <v/>
      </c>
      <c r="U126" s="25">
        <f>IF(AND(Q126=1,H126&lt;&gt;""),SUBSTITUTE(SUBSTITUTE(SUBSTITUTE(SUBSTITUTE(SUBSTITUTE(SUBSTITUTE(SUBSTITUTE(SUBSTITUTE(SUBSTITUTE(SUBSTITUTE(SUBSTITUTE(SUBSTITUTE(LOWER(TRIM(H126)),"á","a"),"é","e"),"í","i"),"ó","o"),"ú","u"),"ü","u"),"ñ","n"),"à","a"),"è","e"),"ì","i"),"ò","o"),"ù","u"),"")</f>
        <v/>
      </c>
      <c r="V126" s="25">
        <f>IF(AND(Q126=1,L126&lt;&gt;""),SUBSTITUTE(SUBSTITUTE(SUBSTITUTE(SUBSTITUTE(SUBSTITUTE(SUBSTITUTE(SUBSTITUTE(SUBSTITUTE(SUBSTITUTE(SUBSTITUTE(SUBSTITUTE(SUBSTITUTE(LOWER(TRIM(L126)),"á","a"),"é","e"),"í","i"),"ó","o"),"ú","u"),"ü","u"),"ñ","n"),"à","a"),"è","e"),"ì","i"),"ò","o"),"ù","u"),"")</f>
        <v/>
      </c>
      <c r="W126" s="25">
        <f>IF(AND(Q126=1,I126&lt;&gt;""),SUBSTITUTE(SUBSTITUTE(SUBSTITUTE(SUBSTITUTE(SUBSTITUTE(SUBSTITUTE(SUBSTITUTE(SUBSTITUTE(SUBSTITUTE(SUBSTITUTE(SUBSTITUTE(SUBSTITUTE(LOWER(TRIM(I126)),"á","a"),"é","e"),"í","i"),"ó","o"),"ú","u"),"ü","u"),"ñ","n"),"à","a"),"è","e"),"ì","i"),"ò","o"),"ù","u"),"")</f>
        <v/>
      </c>
      <c r="X126" s="25">
        <f>IF(U126="","",IF(OR(U126="si, en la proxima tarea",U126="si, con cambios"),1,0))</f>
        <v/>
      </c>
      <c r="Y126" s="25">
        <f>IF(AND(Q126=1,A126&lt;&gt;""),IF(IFERROR(COUNTIFS(A$3:A126,"="&amp;SUBSTITUTE(SUBSTITUTE(SUBSTITUTE(A126,"~","~~"),"*","~*"),"?","~?"),Q$3:Q126,1),0)=1,MAX(Y$2:Y125)+1,""),"")</f>
        <v/>
      </c>
      <c r="Z126" s="25">
        <f>IF(Y126="","",COUNTIFS($A$3:$A$1002,"="&amp;SUBSTITUTE(SUBSTITUTE(SUBSTITUTE(A126,"~","~~"),"*","~*"),"?","~?"),$Q$3:$Q$1002,1)*10000-Y126)</f>
        <v/>
      </c>
    </row>
    <row r="127">
      <c r="A127">
        <f>IF(A$2=0,"",IFERROR(TRIM(INDEX('Pegar docentes'!$A$1:$BZ$1001,126,A$2)&amp;""),""))</f>
        <v/>
      </c>
      <c r="B127">
        <f>IF(B$2=0,"",IFERROR(TRIM(INDEX('Pegar docentes'!$A$1:$BZ$1001,126,B$2)&amp;""),""))</f>
        <v/>
      </c>
      <c r="C127">
        <f>IF(C$2=0,"",IFERROR(TRIM(INDEX('Pegar docentes'!$A$1:$BZ$1001,126,C$2)&amp;""),""))</f>
        <v/>
      </c>
      <c r="D127">
        <f>IF(D$2=0,"",IFERROR(TRIM(INDEX('Pegar docentes'!$A$1:$BZ$1001,126,D$2)&amp;""),""))</f>
        <v/>
      </c>
      <c r="E127">
        <f>IF(E$2=0,"",IFERROR(TRIM(INDEX('Pegar docentes'!$A$1:$BZ$1001,126,E$2)&amp;""),""))</f>
        <v/>
      </c>
      <c r="F127">
        <f>IF(F$2=0,"",IFERROR(TRIM(INDEX('Pegar docentes'!$A$1:$BZ$1001,126,F$2)&amp;""),""))</f>
        <v/>
      </c>
      <c r="G127">
        <f>IF(G$2=0,"",IFERROR(TRIM(INDEX('Pegar docentes'!$A$1:$BZ$1001,126,G$2)&amp;""),""))</f>
        <v/>
      </c>
      <c r="H127">
        <f>IF(H$2=0,"",IFERROR(TRIM(INDEX('Pegar docentes'!$A$1:$BZ$1001,126,H$2)&amp;""),""))</f>
        <v/>
      </c>
      <c r="I127">
        <f>IF(I$2=0,"",IFERROR(TRIM(INDEX('Pegar docentes'!$A$1:$BZ$1001,126,I$2)&amp;""),""))</f>
        <v/>
      </c>
      <c r="J127">
        <f>IF(J$2=0,"",IFERROR(TRIM(INDEX('Pegar docentes'!$A$1:$BZ$1001,126,J$2)&amp;""),""))</f>
        <v/>
      </c>
      <c r="K127">
        <f>IF(K$2=0,"",IFERROR(TRIM(INDEX('Pegar docentes'!$A$1:$BZ$1001,126,K$2)&amp;""),""))</f>
        <v/>
      </c>
      <c r="L127">
        <f>IF(L$2=0,"",IFERROR(TRIM(INDEX('Pegar docentes'!$A$1:$BZ$1001,126,L$2)&amp;""),""))</f>
        <v/>
      </c>
      <c r="M127">
        <f>IF(M$2=0,"",IFERROR(TRIM(INDEX('Pegar docentes'!$A$1:$BZ$1001,126,M$2)&amp;""),""))</f>
        <v/>
      </c>
      <c r="N127">
        <f>IF(N$2=0,"",IFERROR(TRIM(INDEX('Pegar docentes'!$A$1:$BZ$1001,126,N$2)&amp;""),""))</f>
        <v/>
      </c>
      <c r="O127">
        <f>IF(O$2=0,"",IFERROR(TRIM(INDEX('Pegar docentes'!$A$1:$BZ$1001,126,O$2)&amp;""),""))</f>
        <v/>
      </c>
      <c r="P127">
        <f>IF(P$2=0,"",IFERROR(TRIM(INDEX('Pegar docentes'!$A$1:$BZ$1001,126,P$2)&amp;""),""))</f>
        <v/>
      </c>
      <c r="Q127" s="25">
        <f>IF(OR(D127&lt;&gt;"",H127&lt;&gt;""),1,"")</f>
        <v/>
      </c>
      <c r="R127" s="25">
        <f>IF(Q127=1,IF(ISNUMBER(FIND("#"&amp;MID(D127,1,1)&amp;"#","#0#1#2#3#4#5#6#7#8#9#")),IF(ISNUMBER(FIND("#"&amp;MID(D127,2,1)&amp;"#","#0#1#2#3#4#5#6#7#8#9#")),IF(AND(VALUE(LEFT(D127,2))&gt;=1,VALUE(LEFT(D127,2))&lt;=5),VALUE(LEFT(D127,2)),""),IF(AND(VALUE(LEFT(D127,1))&gt;=1,VALUE(LEFT(D127,1))&lt;=5),VALUE(LEFT(D127,1)),"")),""),"")</f>
        <v/>
      </c>
      <c r="S127" s="25">
        <f>IF(AND(Q127=1,E127&lt;&gt;""),SUBSTITUTE(SUBSTITUTE(SUBSTITUTE(SUBSTITUTE(SUBSTITUTE(SUBSTITUTE(SUBSTITUTE(SUBSTITUTE(SUBSTITUTE(SUBSTITUTE(SUBSTITUTE(SUBSTITUTE(LOWER(TRIM(E127)),"á","a"),"é","e"),"í","i"),"ó","o"),"ú","u"),"ü","u"),"ñ","n"),"à","a"),"è","e"),"ì","i"),"ò","o"),"ù","u"),"")</f>
        <v/>
      </c>
      <c r="T127" s="25">
        <f>IF(AND(Q127=1,G127&lt;&gt;""),SUBSTITUTE(SUBSTITUTE(SUBSTITUTE(SUBSTITUTE(SUBSTITUTE(SUBSTITUTE(SUBSTITUTE(SUBSTITUTE(SUBSTITUTE(SUBSTITUTE(SUBSTITUTE(SUBSTITUTE(LOWER(TRIM(G127)),"á","a"),"é","e"),"í","i"),"ó","o"),"ú","u"),"ü","u"),"ñ","n"),"à","a"),"è","e"),"ì","i"),"ò","o"),"ù","u"),"")</f>
        <v/>
      </c>
      <c r="U127" s="25">
        <f>IF(AND(Q127=1,H127&lt;&gt;""),SUBSTITUTE(SUBSTITUTE(SUBSTITUTE(SUBSTITUTE(SUBSTITUTE(SUBSTITUTE(SUBSTITUTE(SUBSTITUTE(SUBSTITUTE(SUBSTITUTE(SUBSTITUTE(SUBSTITUTE(LOWER(TRIM(H127)),"á","a"),"é","e"),"í","i"),"ó","o"),"ú","u"),"ü","u"),"ñ","n"),"à","a"),"è","e"),"ì","i"),"ò","o"),"ù","u"),"")</f>
        <v/>
      </c>
      <c r="V127" s="25">
        <f>IF(AND(Q127=1,L127&lt;&gt;""),SUBSTITUTE(SUBSTITUTE(SUBSTITUTE(SUBSTITUTE(SUBSTITUTE(SUBSTITUTE(SUBSTITUTE(SUBSTITUTE(SUBSTITUTE(SUBSTITUTE(SUBSTITUTE(SUBSTITUTE(LOWER(TRIM(L127)),"á","a"),"é","e"),"í","i"),"ó","o"),"ú","u"),"ü","u"),"ñ","n"),"à","a"),"è","e"),"ì","i"),"ò","o"),"ù","u"),"")</f>
        <v/>
      </c>
      <c r="W127" s="25">
        <f>IF(AND(Q127=1,I127&lt;&gt;""),SUBSTITUTE(SUBSTITUTE(SUBSTITUTE(SUBSTITUTE(SUBSTITUTE(SUBSTITUTE(SUBSTITUTE(SUBSTITUTE(SUBSTITUTE(SUBSTITUTE(SUBSTITUTE(SUBSTITUTE(LOWER(TRIM(I127)),"á","a"),"é","e"),"í","i"),"ó","o"),"ú","u"),"ü","u"),"ñ","n"),"à","a"),"è","e"),"ì","i"),"ò","o"),"ù","u"),"")</f>
        <v/>
      </c>
      <c r="X127" s="25">
        <f>IF(U127="","",IF(OR(U127="si, en la proxima tarea",U127="si, con cambios"),1,0))</f>
        <v/>
      </c>
      <c r="Y127" s="25">
        <f>IF(AND(Q127=1,A127&lt;&gt;""),IF(IFERROR(COUNTIFS(A$3:A127,"="&amp;SUBSTITUTE(SUBSTITUTE(SUBSTITUTE(A127,"~","~~"),"*","~*"),"?","~?"),Q$3:Q127,1),0)=1,MAX(Y$2:Y126)+1,""),"")</f>
        <v/>
      </c>
      <c r="Z127" s="25">
        <f>IF(Y127="","",COUNTIFS($A$3:$A$1002,"="&amp;SUBSTITUTE(SUBSTITUTE(SUBSTITUTE(A127,"~","~~"),"*","~*"),"?","~?"),$Q$3:$Q$1002,1)*10000-Y127)</f>
        <v/>
      </c>
    </row>
    <row r="128">
      <c r="A128">
        <f>IF(A$2=0,"",IFERROR(TRIM(INDEX('Pegar docentes'!$A$1:$BZ$1001,127,A$2)&amp;""),""))</f>
        <v/>
      </c>
      <c r="B128">
        <f>IF(B$2=0,"",IFERROR(TRIM(INDEX('Pegar docentes'!$A$1:$BZ$1001,127,B$2)&amp;""),""))</f>
        <v/>
      </c>
      <c r="C128">
        <f>IF(C$2=0,"",IFERROR(TRIM(INDEX('Pegar docentes'!$A$1:$BZ$1001,127,C$2)&amp;""),""))</f>
        <v/>
      </c>
      <c r="D128">
        <f>IF(D$2=0,"",IFERROR(TRIM(INDEX('Pegar docentes'!$A$1:$BZ$1001,127,D$2)&amp;""),""))</f>
        <v/>
      </c>
      <c r="E128">
        <f>IF(E$2=0,"",IFERROR(TRIM(INDEX('Pegar docentes'!$A$1:$BZ$1001,127,E$2)&amp;""),""))</f>
        <v/>
      </c>
      <c r="F128">
        <f>IF(F$2=0,"",IFERROR(TRIM(INDEX('Pegar docentes'!$A$1:$BZ$1001,127,F$2)&amp;""),""))</f>
        <v/>
      </c>
      <c r="G128">
        <f>IF(G$2=0,"",IFERROR(TRIM(INDEX('Pegar docentes'!$A$1:$BZ$1001,127,G$2)&amp;""),""))</f>
        <v/>
      </c>
      <c r="H128">
        <f>IF(H$2=0,"",IFERROR(TRIM(INDEX('Pegar docentes'!$A$1:$BZ$1001,127,H$2)&amp;""),""))</f>
        <v/>
      </c>
      <c r="I128">
        <f>IF(I$2=0,"",IFERROR(TRIM(INDEX('Pegar docentes'!$A$1:$BZ$1001,127,I$2)&amp;""),""))</f>
        <v/>
      </c>
      <c r="J128">
        <f>IF(J$2=0,"",IFERROR(TRIM(INDEX('Pegar docentes'!$A$1:$BZ$1001,127,J$2)&amp;""),""))</f>
        <v/>
      </c>
      <c r="K128">
        <f>IF(K$2=0,"",IFERROR(TRIM(INDEX('Pegar docentes'!$A$1:$BZ$1001,127,K$2)&amp;""),""))</f>
        <v/>
      </c>
      <c r="L128">
        <f>IF(L$2=0,"",IFERROR(TRIM(INDEX('Pegar docentes'!$A$1:$BZ$1001,127,L$2)&amp;""),""))</f>
        <v/>
      </c>
      <c r="M128">
        <f>IF(M$2=0,"",IFERROR(TRIM(INDEX('Pegar docentes'!$A$1:$BZ$1001,127,M$2)&amp;""),""))</f>
        <v/>
      </c>
      <c r="N128">
        <f>IF(N$2=0,"",IFERROR(TRIM(INDEX('Pegar docentes'!$A$1:$BZ$1001,127,N$2)&amp;""),""))</f>
        <v/>
      </c>
      <c r="O128">
        <f>IF(O$2=0,"",IFERROR(TRIM(INDEX('Pegar docentes'!$A$1:$BZ$1001,127,O$2)&amp;""),""))</f>
        <v/>
      </c>
      <c r="P128">
        <f>IF(P$2=0,"",IFERROR(TRIM(INDEX('Pegar docentes'!$A$1:$BZ$1001,127,P$2)&amp;""),""))</f>
        <v/>
      </c>
      <c r="Q128" s="25">
        <f>IF(OR(D128&lt;&gt;"",H128&lt;&gt;""),1,"")</f>
        <v/>
      </c>
      <c r="R128" s="25">
        <f>IF(Q128=1,IF(ISNUMBER(FIND("#"&amp;MID(D128,1,1)&amp;"#","#0#1#2#3#4#5#6#7#8#9#")),IF(ISNUMBER(FIND("#"&amp;MID(D128,2,1)&amp;"#","#0#1#2#3#4#5#6#7#8#9#")),IF(AND(VALUE(LEFT(D128,2))&gt;=1,VALUE(LEFT(D128,2))&lt;=5),VALUE(LEFT(D128,2)),""),IF(AND(VALUE(LEFT(D128,1))&gt;=1,VALUE(LEFT(D128,1))&lt;=5),VALUE(LEFT(D128,1)),"")),""),"")</f>
        <v/>
      </c>
      <c r="S128" s="25">
        <f>IF(AND(Q128=1,E128&lt;&gt;""),SUBSTITUTE(SUBSTITUTE(SUBSTITUTE(SUBSTITUTE(SUBSTITUTE(SUBSTITUTE(SUBSTITUTE(SUBSTITUTE(SUBSTITUTE(SUBSTITUTE(SUBSTITUTE(SUBSTITUTE(LOWER(TRIM(E128)),"á","a"),"é","e"),"í","i"),"ó","o"),"ú","u"),"ü","u"),"ñ","n"),"à","a"),"è","e"),"ì","i"),"ò","o"),"ù","u"),"")</f>
        <v/>
      </c>
      <c r="T128" s="25">
        <f>IF(AND(Q128=1,G128&lt;&gt;""),SUBSTITUTE(SUBSTITUTE(SUBSTITUTE(SUBSTITUTE(SUBSTITUTE(SUBSTITUTE(SUBSTITUTE(SUBSTITUTE(SUBSTITUTE(SUBSTITUTE(SUBSTITUTE(SUBSTITUTE(LOWER(TRIM(G128)),"á","a"),"é","e"),"í","i"),"ó","o"),"ú","u"),"ü","u"),"ñ","n"),"à","a"),"è","e"),"ì","i"),"ò","o"),"ù","u"),"")</f>
        <v/>
      </c>
      <c r="U128" s="25">
        <f>IF(AND(Q128=1,H128&lt;&gt;""),SUBSTITUTE(SUBSTITUTE(SUBSTITUTE(SUBSTITUTE(SUBSTITUTE(SUBSTITUTE(SUBSTITUTE(SUBSTITUTE(SUBSTITUTE(SUBSTITUTE(SUBSTITUTE(SUBSTITUTE(LOWER(TRIM(H128)),"á","a"),"é","e"),"í","i"),"ó","o"),"ú","u"),"ü","u"),"ñ","n"),"à","a"),"è","e"),"ì","i"),"ò","o"),"ù","u"),"")</f>
        <v/>
      </c>
      <c r="V128" s="25">
        <f>IF(AND(Q128=1,L128&lt;&gt;""),SUBSTITUTE(SUBSTITUTE(SUBSTITUTE(SUBSTITUTE(SUBSTITUTE(SUBSTITUTE(SUBSTITUTE(SUBSTITUTE(SUBSTITUTE(SUBSTITUTE(SUBSTITUTE(SUBSTITUTE(LOWER(TRIM(L128)),"á","a"),"é","e"),"í","i"),"ó","o"),"ú","u"),"ü","u"),"ñ","n"),"à","a"),"è","e"),"ì","i"),"ò","o"),"ù","u"),"")</f>
        <v/>
      </c>
      <c r="W128" s="25">
        <f>IF(AND(Q128=1,I128&lt;&gt;""),SUBSTITUTE(SUBSTITUTE(SUBSTITUTE(SUBSTITUTE(SUBSTITUTE(SUBSTITUTE(SUBSTITUTE(SUBSTITUTE(SUBSTITUTE(SUBSTITUTE(SUBSTITUTE(SUBSTITUTE(LOWER(TRIM(I128)),"á","a"),"é","e"),"í","i"),"ó","o"),"ú","u"),"ü","u"),"ñ","n"),"à","a"),"è","e"),"ì","i"),"ò","o"),"ù","u"),"")</f>
        <v/>
      </c>
      <c r="X128" s="25">
        <f>IF(U128="","",IF(OR(U128="si, en la proxima tarea",U128="si, con cambios"),1,0))</f>
        <v/>
      </c>
      <c r="Y128" s="25">
        <f>IF(AND(Q128=1,A128&lt;&gt;""),IF(IFERROR(COUNTIFS(A$3:A128,"="&amp;SUBSTITUTE(SUBSTITUTE(SUBSTITUTE(A128,"~","~~"),"*","~*"),"?","~?"),Q$3:Q128,1),0)=1,MAX(Y$2:Y127)+1,""),"")</f>
        <v/>
      </c>
      <c r="Z128" s="25">
        <f>IF(Y128="","",COUNTIFS($A$3:$A$1002,"="&amp;SUBSTITUTE(SUBSTITUTE(SUBSTITUTE(A128,"~","~~"),"*","~*"),"?","~?"),$Q$3:$Q$1002,1)*10000-Y128)</f>
        <v/>
      </c>
    </row>
    <row r="129">
      <c r="A129">
        <f>IF(A$2=0,"",IFERROR(TRIM(INDEX('Pegar docentes'!$A$1:$BZ$1001,128,A$2)&amp;""),""))</f>
        <v/>
      </c>
      <c r="B129">
        <f>IF(B$2=0,"",IFERROR(TRIM(INDEX('Pegar docentes'!$A$1:$BZ$1001,128,B$2)&amp;""),""))</f>
        <v/>
      </c>
      <c r="C129">
        <f>IF(C$2=0,"",IFERROR(TRIM(INDEX('Pegar docentes'!$A$1:$BZ$1001,128,C$2)&amp;""),""))</f>
        <v/>
      </c>
      <c r="D129">
        <f>IF(D$2=0,"",IFERROR(TRIM(INDEX('Pegar docentes'!$A$1:$BZ$1001,128,D$2)&amp;""),""))</f>
        <v/>
      </c>
      <c r="E129">
        <f>IF(E$2=0,"",IFERROR(TRIM(INDEX('Pegar docentes'!$A$1:$BZ$1001,128,E$2)&amp;""),""))</f>
        <v/>
      </c>
      <c r="F129">
        <f>IF(F$2=0,"",IFERROR(TRIM(INDEX('Pegar docentes'!$A$1:$BZ$1001,128,F$2)&amp;""),""))</f>
        <v/>
      </c>
      <c r="G129">
        <f>IF(G$2=0,"",IFERROR(TRIM(INDEX('Pegar docentes'!$A$1:$BZ$1001,128,G$2)&amp;""),""))</f>
        <v/>
      </c>
      <c r="H129">
        <f>IF(H$2=0,"",IFERROR(TRIM(INDEX('Pegar docentes'!$A$1:$BZ$1001,128,H$2)&amp;""),""))</f>
        <v/>
      </c>
      <c r="I129">
        <f>IF(I$2=0,"",IFERROR(TRIM(INDEX('Pegar docentes'!$A$1:$BZ$1001,128,I$2)&amp;""),""))</f>
        <v/>
      </c>
      <c r="J129">
        <f>IF(J$2=0,"",IFERROR(TRIM(INDEX('Pegar docentes'!$A$1:$BZ$1001,128,J$2)&amp;""),""))</f>
        <v/>
      </c>
      <c r="K129">
        <f>IF(K$2=0,"",IFERROR(TRIM(INDEX('Pegar docentes'!$A$1:$BZ$1001,128,K$2)&amp;""),""))</f>
        <v/>
      </c>
      <c r="L129">
        <f>IF(L$2=0,"",IFERROR(TRIM(INDEX('Pegar docentes'!$A$1:$BZ$1001,128,L$2)&amp;""),""))</f>
        <v/>
      </c>
      <c r="M129">
        <f>IF(M$2=0,"",IFERROR(TRIM(INDEX('Pegar docentes'!$A$1:$BZ$1001,128,M$2)&amp;""),""))</f>
        <v/>
      </c>
      <c r="N129">
        <f>IF(N$2=0,"",IFERROR(TRIM(INDEX('Pegar docentes'!$A$1:$BZ$1001,128,N$2)&amp;""),""))</f>
        <v/>
      </c>
      <c r="O129">
        <f>IF(O$2=0,"",IFERROR(TRIM(INDEX('Pegar docentes'!$A$1:$BZ$1001,128,O$2)&amp;""),""))</f>
        <v/>
      </c>
      <c r="P129">
        <f>IF(P$2=0,"",IFERROR(TRIM(INDEX('Pegar docentes'!$A$1:$BZ$1001,128,P$2)&amp;""),""))</f>
        <v/>
      </c>
      <c r="Q129" s="25">
        <f>IF(OR(D129&lt;&gt;"",H129&lt;&gt;""),1,"")</f>
        <v/>
      </c>
      <c r="R129" s="25">
        <f>IF(Q129=1,IF(ISNUMBER(FIND("#"&amp;MID(D129,1,1)&amp;"#","#0#1#2#3#4#5#6#7#8#9#")),IF(ISNUMBER(FIND("#"&amp;MID(D129,2,1)&amp;"#","#0#1#2#3#4#5#6#7#8#9#")),IF(AND(VALUE(LEFT(D129,2))&gt;=1,VALUE(LEFT(D129,2))&lt;=5),VALUE(LEFT(D129,2)),""),IF(AND(VALUE(LEFT(D129,1))&gt;=1,VALUE(LEFT(D129,1))&lt;=5),VALUE(LEFT(D129,1)),"")),""),"")</f>
        <v/>
      </c>
      <c r="S129" s="25">
        <f>IF(AND(Q129=1,E129&lt;&gt;""),SUBSTITUTE(SUBSTITUTE(SUBSTITUTE(SUBSTITUTE(SUBSTITUTE(SUBSTITUTE(SUBSTITUTE(SUBSTITUTE(SUBSTITUTE(SUBSTITUTE(SUBSTITUTE(SUBSTITUTE(LOWER(TRIM(E129)),"á","a"),"é","e"),"í","i"),"ó","o"),"ú","u"),"ü","u"),"ñ","n"),"à","a"),"è","e"),"ì","i"),"ò","o"),"ù","u"),"")</f>
        <v/>
      </c>
      <c r="T129" s="25">
        <f>IF(AND(Q129=1,G129&lt;&gt;""),SUBSTITUTE(SUBSTITUTE(SUBSTITUTE(SUBSTITUTE(SUBSTITUTE(SUBSTITUTE(SUBSTITUTE(SUBSTITUTE(SUBSTITUTE(SUBSTITUTE(SUBSTITUTE(SUBSTITUTE(LOWER(TRIM(G129)),"á","a"),"é","e"),"í","i"),"ó","o"),"ú","u"),"ü","u"),"ñ","n"),"à","a"),"è","e"),"ì","i"),"ò","o"),"ù","u"),"")</f>
        <v/>
      </c>
      <c r="U129" s="25">
        <f>IF(AND(Q129=1,H129&lt;&gt;""),SUBSTITUTE(SUBSTITUTE(SUBSTITUTE(SUBSTITUTE(SUBSTITUTE(SUBSTITUTE(SUBSTITUTE(SUBSTITUTE(SUBSTITUTE(SUBSTITUTE(SUBSTITUTE(SUBSTITUTE(LOWER(TRIM(H129)),"á","a"),"é","e"),"í","i"),"ó","o"),"ú","u"),"ü","u"),"ñ","n"),"à","a"),"è","e"),"ì","i"),"ò","o"),"ù","u"),"")</f>
        <v/>
      </c>
      <c r="V129" s="25">
        <f>IF(AND(Q129=1,L129&lt;&gt;""),SUBSTITUTE(SUBSTITUTE(SUBSTITUTE(SUBSTITUTE(SUBSTITUTE(SUBSTITUTE(SUBSTITUTE(SUBSTITUTE(SUBSTITUTE(SUBSTITUTE(SUBSTITUTE(SUBSTITUTE(LOWER(TRIM(L129)),"á","a"),"é","e"),"í","i"),"ó","o"),"ú","u"),"ü","u"),"ñ","n"),"à","a"),"è","e"),"ì","i"),"ò","o"),"ù","u"),"")</f>
        <v/>
      </c>
      <c r="W129" s="25">
        <f>IF(AND(Q129=1,I129&lt;&gt;""),SUBSTITUTE(SUBSTITUTE(SUBSTITUTE(SUBSTITUTE(SUBSTITUTE(SUBSTITUTE(SUBSTITUTE(SUBSTITUTE(SUBSTITUTE(SUBSTITUTE(SUBSTITUTE(SUBSTITUTE(LOWER(TRIM(I129)),"á","a"),"é","e"),"í","i"),"ó","o"),"ú","u"),"ü","u"),"ñ","n"),"à","a"),"è","e"),"ì","i"),"ò","o"),"ù","u"),"")</f>
        <v/>
      </c>
      <c r="X129" s="25">
        <f>IF(U129="","",IF(OR(U129="si, en la proxima tarea",U129="si, con cambios"),1,0))</f>
        <v/>
      </c>
      <c r="Y129" s="25">
        <f>IF(AND(Q129=1,A129&lt;&gt;""),IF(IFERROR(COUNTIFS(A$3:A129,"="&amp;SUBSTITUTE(SUBSTITUTE(SUBSTITUTE(A129,"~","~~"),"*","~*"),"?","~?"),Q$3:Q129,1),0)=1,MAX(Y$2:Y128)+1,""),"")</f>
        <v/>
      </c>
      <c r="Z129" s="25">
        <f>IF(Y129="","",COUNTIFS($A$3:$A$1002,"="&amp;SUBSTITUTE(SUBSTITUTE(SUBSTITUTE(A129,"~","~~"),"*","~*"),"?","~?"),$Q$3:$Q$1002,1)*10000-Y129)</f>
        <v/>
      </c>
    </row>
    <row r="130">
      <c r="A130">
        <f>IF(A$2=0,"",IFERROR(TRIM(INDEX('Pegar docentes'!$A$1:$BZ$1001,129,A$2)&amp;""),""))</f>
        <v/>
      </c>
      <c r="B130">
        <f>IF(B$2=0,"",IFERROR(TRIM(INDEX('Pegar docentes'!$A$1:$BZ$1001,129,B$2)&amp;""),""))</f>
        <v/>
      </c>
      <c r="C130">
        <f>IF(C$2=0,"",IFERROR(TRIM(INDEX('Pegar docentes'!$A$1:$BZ$1001,129,C$2)&amp;""),""))</f>
        <v/>
      </c>
      <c r="D130">
        <f>IF(D$2=0,"",IFERROR(TRIM(INDEX('Pegar docentes'!$A$1:$BZ$1001,129,D$2)&amp;""),""))</f>
        <v/>
      </c>
      <c r="E130">
        <f>IF(E$2=0,"",IFERROR(TRIM(INDEX('Pegar docentes'!$A$1:$BZ$1001,129,E$2)&amp;""),""))</f>
        <v/>
      </c>
      <c r="F130">
        <f>IF(F$2=0,"",IFERROR(TRIM(INDEX('Pegar docentes'!$A$1:$BZ$1001,129,F$2)&amp;""),""))</f>
        <v/>
      </c>
      <c r="G130">
        <f>IF(G$2=0,"",IFERROR(TRIM(INDEX('Pegar docentes'!$A$1:$BZ$1001,129,G$2)&amp;""),""))</f>
        <v/>
      </c>
      <c r="H130">
        <f>IF(H$2=0,"",IFERROR(TRIM(INDEX('Pegar docentes'!$A$1:$BZ$1001,129,H$2)&amp;""),""))</f>
        <v/>
      </c>
      <c r="I130">
        <f>IF(I$2=0,"",IFERROR(TRIM(INDEX('Pegar docentes'!$A$1:$BZ$1001,129,I$2)&amp;""),""))</f>
        <v/>
      </c>
      <c r="J130">
        <f>IF(J$2=0,"",IFERROR(TRIM(INDEX('Pegar docentes'!$A$1:$BZ$1001,129,J$2)&amp;""),""))</f>
        <v/>
      </c>
      <c r="K130">
        <f>IF(K$2=0,"",IFERROR(TRIM(INDEX('Pegar docentes'!$A$1:$BZ$1001,129,K$2)&amp;""),""))</f>
        <v/>
      </c>
      <c r="L130">
        <f>IF(L$2=0,"",IFERROR(TRIM(INDEX('Pegar docentes'!$A$1:$BZ$1001,129,L$2)&amp;""),""))</f>
        <v/>
      </c>
      <c r="M130">
        <f>IF(M$2=0,"",IFERROR(TRIM(INDEX('Pegar docentes'!$A$1:$BZ$1001,129,M$2)&amp;""),""))</f>
        <v/>
      </c>
      <c r="N130">
        <f>IF(N$2=0,"",IFERROR(TRIM(INDEX('Pegar docentes'!$A$1:$BZ$1001,129,N$2)&amp;""),""))</f>
        <v/>
      </c>
      <c r="O130">
        <f>IF(O$2=0,"",IFERROR(TRIM(INDEX('Pegar docentes'!$A$1:$BZ$1001,129,O$2)&amp;""),""))</f>
        <v/>
      </c>
      <c r="P130">
        <f>IF(P$2=0,"",IFERROR(TRIM(INDEX('Pegar docentes'!$A$1:$BZ$1001,129,P$2)&amp;""),""))</f>
        <v/>
      </c>
      <c r="Q130" s="25">
        <f>IF(OR(D130&lt;&gt;"",H130&lt;&gt;""),1,"")</f>
        <v/>
      </c>
      <c r="R130" s="25">
        <f>IF(Q130=1,IF(ISNUMBER(FIND("#"&amp;MID(D130,1,1)&amp;"#","#0#1#2#3#4#5#6#7#8#9#")),IF(ISNUMBER(FIND("#"&amp;MID(D130,2,1)&amp;"#","#0#1#2#3#4#5#6#7#8#9#")),IF(AND(VALUE(LEFT(D130,2))&gt;=1,VALUE(LEFT(D130,2))&lt;=5),VALUE(LEFT(D130,2)),""),IF(AND(VALUE(LEFT(D130,1))&gt;=1,VALUE(LEFT(D130,1))&lt;=5),VALUE(LEFT(D130,1)),"")),""),"")</f>
        <v/>
      </c>
      <c r="S130" s="25">
        <f>IF(AND(Q130=1,E130&lt;&gt;""),SUBSTITUTE(SUBSTITUTE(SUBSTITUTE(SUBSTITUTE(SUBSTITUTE(SUBSTITUTE(SUBSTITUTE(SUBSTITUTE(SUBSTITUTE(SUBSTITUTE(SUBSTITUTE(SUBSTITUTE(LOWER(TRIM(E130)),"á","a"),"é","e"),"í","i"),"ó","o"),"ú","u"),"ü","u"),"ñ","n"),"à","a"),"è","e"),"ì","i"),"ò","o"),"ù","u"),"")</f>
        <v/>
      </c>
      <c r="T130" s="25">
        <f>IF(AND(Q130=1,G130&lt;&gt;""),SUBSTITUTE(SUBSTITUTE(SUBSTITUTE(SUBSTITUTE(SUBSTITUTE(SUBSTITUTE(SUBSTITUTE(SUBSTITUTE(SUBSTITUTE(SUBSTITUTE(SUBSTITUTE(SUBSTITUTE(LOWER(TRIM(G130)),"á","a"),"é","e"),"í","i"),"ó","o"),"ú","u"),"ü","u"),"ñ","n"),"à","a"),"è","e"),"ì","i"),"ò","o"),"ù","u"),"")</f>
        <v/>
      </c>
      <c r="U130" s="25">
        <f>IF(AND(Q130=1,H130&lt;&gt;""),SUBSTITUTE(SUBSTITUTE(SUBSTITUTE(SUBSTITUTE(SUBSTITUTE(SUBSTITUTE(SUBSTITUTE(SUBSTITUTE(SUBSTITUTE(SUBSTITUTE(SUBSTITUTE(SUBSTITUTE(LOWER(TRIM(H130)),"á","a"),"é","e"),"í","i"),"ó","o"),"ú","u"),"ü","u"),"ñ","n"),"à","a"),"è","e"),"ì","i"),"ò","o"),"ù","u"),"")</f>
        <v/>
      </c>
      <c r="V130" s="25">
        <f>IF(AND(Q130=1,L130&lt;&gt;""),SUBSTITUTE(SUBSTITUTE(SUBSTITUTE(SUBSTITUTE(SUBSTITUTE(SUBSTITUTE(SUBSTITUTE(SUBSTITUTE(SUBSTITUTE(SUBSTITUTE(SUBSTITUTE(SUBSTITUTE(LOWER(TRIM(L130)),"á","a"),"é","e"),"í","i"),"ó","o"),"ú","u"),"ü","u"),"ñ","n"),"à","a"),"è","e"),"ì","i"),"ò","o"),"ù","u"),"")</f>
        <v/>
      </c>
      <c r="W130" s="25">
        <f>IF(AND(Q130=1,I130&lt;&gt;""),SUBSTITUTE(SUBSTITUTE(SUBSTITUTE(SUBSTITUTE(SUBSTITUTE(SUBSTITUTE(SUBSTITUTE(SUBSTITUTE(SUBSTITUTE(SUBSTITUTE(SUBSTITUTE(SUBSTITUTE(LOWER(TRIM(I130)),"á","a"),"é","e"),"í","i"),"ó","o"),"ú","u"),"ü","u"),"ñ","n"),"à","a"),"è","e"),"ì","i"),"ò","o"),"ù","u"),"")</f>
        <v/>
      </c>
      <c r="X130" s="25">
        <f>IF(U130="","",IF(OR(U130="si, en la proxima tarea",U130="si, con cambios"),1,0))</f>
        <v/>
      </c>
      <c r="Y130" s="25">
        <f>IF(AND(Q130=1,A130&lt;&gt;""),IF(IFERROR(COUNTIFS(A$3:A130,"="&amp;SUBSTITUTE(SUBSTITUTE(SUBSTITUTE(A130,"~","~~"),"*","~*"),"?","~?"),Q$3:Q130,1),0)=1,MAX(Y$2:Y129)+1,""),"")</f>
        <v/>
      </c>
      <c r="Z130" s="25">
        <f>IF(Y130="","",COUNTIFS($A$3:$A$1002,"="&amp;SUBSTITUTE(SUBSTITUTE(SUBSTITUTE(A130,"~","~~"),"*","~*"),"?","~?"),$Q$3:$Q$1002,1)*10000-Y130)</f>
        <v/>
      </c>
    </row>
    <row r="131">
      <c r="A131">
        <f>IF(A$2=0,"",IFERROR(TRIM(INDEX('Pegar docentes'!$A$1:$BZ$1001,130,A$2)&amp;""),""))</f>
        <v/>
      </c>
      <c r="B131">
        <f>IF(B$2=0,"",IFERROR(TRIM(INDEX('Pegar docentes'!$A$1:$BZ$1001,130,B$2)&amp;""),""))</f>
        <v/>
      </c>
      <c r="C131">
        <f>IF(C$2=0,"",IFERROR(TRIM(INDEX('Pegar docentes'!$A$1:$BZ$1001,130,C$2)&amp;""),""))</f>
        <v/>
      </c>
      <c r="D131">
        <f>IF(D$2=0,"",IFERROR(TRIM(INDEX('Pegar docentes'!$A$1:$BZ$1001,130,D$2)&amp;""),""))</f>
        <v/>
      </c>
      <c r="E131">
        <f>IF(E$2=0,"",IFERROR(TRIM(INDEX('Pegar docentes'!$A$1:$BZ$1001,130,E$2)&amp;""),""))</f>
        <v/>
      </c>
      <c r="F131">
        <f>IF(F$2=0,"",IFERROR(TRIM(INDEX('Pegar docentes'!$A$1:$BZ$1001,130,F$2)&amp;""),""))</f>
        <v/>
      </c>
      <c r="G131">
        <f>IF(G$2=0,"",IFERROR(TRIM(INDEX('Pegar docentes'!$A$1:$BZ$1001,130,G$2)&amp;""),""))</f>
        <v/>
      </c>
      <c r="H131">
        <f>IF(H$2=0,"",IFERROR(TRIM(INDEX('Pegar docentes'!$A$1:$BZ$1001,130,H$2)&amp;""),""))</f>
        <v/>
      </c>
      <c r="I131">
        <f>IF(I$2=0,"",IFERROR(TRIM(INDEX('Pegar docentes'!$A$1:$BZ$1001,130,I$2)&amp;""),""))</f>
        <v/>
      </c>
      <c r="J131">
        <f>IF(J$2=0,"",IFERROR(TRIM(INDEX('Pegar docentes'!$A$1:$BZ$1001,130,J$2)&amp;""),""))</f>
        <v/>
      </c>
      <c r="K131">
        <f>IF(K$2=0,"",IFERROR(TRIM(INDEX('Pegar docentes'!$A$1:$BZ$1001,130,K$2)&amp;""),""))</f>
        <v/>
      </c>
      <c r="L131">
        <f>IF(L$2=0,"",IFERROR(TRIM(INDEX('Pegar docentes'!$A$1:$BZ$1001,130,L$2)&amp;""),""))</f>
        <v/>
      </c>
      <c r="M131">
        <f>IF(M$2=0,"",IFERROR(TRIM(INDEX('Pegar docentes'!$A$1:$BZ$1001,130,M$2)&amp;""),""))</f>
        <v/>
      </c>
      <c r="N131">
        <f>IF(N$2=0,"",IFERROR(TRIM(INDEX('Pegar docentes'!$A$1:$BZ$1001,130,N$2)&amp;""),""))</f>
        <v/>
      </c>
      <c r="O131">
        <f>IF(O$2=0,"",IFERROR(TRIM(INDEX('Pegar docentes'!$A$1:$BZ$1001,130,O$2)&amp;""),""))</f>
        <v/>
      </c>
      <c r="P131">
        <f>IF(P$2=0,"",IFERROR(TRIM(INDEX('Pegar docentes'!$A$1:$BZ$1001,130,P$2)&amp;""),""))</f>
        <v/>
      </c>
      <c r="Q131" s="25">
        <f>IF(OR(D131&lt;&gt;"",H131&lt;&gt;""),1,"")</f>
        <v/>
      </c>
      <c r="R131" s="25">
        <f>IF(Q131=1,IF(ISNUMBER(FIND("#"&amp;MID(D131,1,1)&amp;"#","#0#1#2#3#4#5#6#7#8#9#")),IF(ISNUMBER(FIND("#"&amp;MID(D131,2,1)&amp;"#","#0#1#2#3#4#5#6#7#8#9#")),IF(AND(VALUE(LEFT(D131,2))&gt;=1,VALUE(LEFT(D131,2))&lt;=5),VALUE(LEFT(D131,2)),""),IF(AND(VALUE(LEFT(D131,1))&gt;=1,VALUE(LEFT(D131,1))&lt;=5),VALUE(LEFT(D131,1)),"")),""),"")</f>
        <v/>
      </c>
      <c r="S131" s="25">
        <f>IF(AND(Q131=1,E131&lt;&gt;""),SUBSTITUTE(SUBSTITUTE(SUBSTITUTE(SUBSTITUTE(SUBSTITUTE(SUBSTITUTE(SUBSTITUTE(SUBSTITUTE(SUBSTITUTE(SUBSTITUTE(SUBSTITUTE(SUBSTITUTE(LOWER(TRIM(E131)),"á","a"),"é","e"),"í","i"),"ó","o"),"ú","u"),"ü","u"),"ñ","n"),"à","a"),"è","e"),"ì","i"),"ò","o"),"ù","u"),"")</f>
        <v/>
      </c>
      <c r="T131" s="25">
        <f>IF(AND(Q131=1,G131&lt;&gt;""),SUBSTITUTE(SUBSTITUTE(SUBSTITUTE(SUBSTITUTE(SUBSTITUTE(SUBSTITUTE(SUBSTITUTE(SUBSTITUTE(SUBSTITUTE(SUBSTITUTE(SUBSTITUTE(SUBSTITUTE(LOWER(TRIM(G131)),"á","a"),"é","e"),"í","i"),"ó","o"),"ú","u"),"ü","u"),"ñ","n"),"à","a"),"è","e"),"ì","i"),"ò","o"),"ù","u"),"")</f>
        <v/>
      </c>
      <c r="U131" s="25">
        <f>IF(AND(Q131=1,H131&lt;&gt;""),SUBSTITUTE(SUBSTITUTE(SUBSTITUTE(SUBSTITUTE(SUBSTITUTE(SUBSTITUTE(SUBSTITUTE(SUBSTITUTE(SUBSTITUTE(SUBSTITUTE(SUBSTITUTE(SUBSTITUTE(LOWER(TRIM(H131)),"á","a"),"é","e"),"í","i"),"ó","o"),"ú","u"),"ü","u"),"ñ","n"),"à","a"),"è","e"),"ì","i"),"ò","o"),"ù","u"),"")</f>
        <v/>
      </c>
      <c r="V131" s="25">
        <f>IF(AND(Q131=1,L131&lt;&gt;""),SUBSTITUTE(SUBSTITUTE(SUBSTITUTE(SUBSTITUTE(SUBSTITUTE(SUBSTITUTE(SUBSTITUTE(SUBSTITUTE(SUBSTITUTE(SUBSTITUTE(SUBSTITUTE(SUBSTITUTE(LOWER(TRIM(L131)),"á","a"),"é","e"),"í","i"),"ó","o"),"ú","u"),"ü","u"),"ñ","n"),"à","a"),"è","e"),"ì","i"),"ò","o"),"ù","u"),"")</f>
        <v/>
      </c>
      <c r="W131" s="25">
        <f>IF(AND(Q131=1,I131&lt;&gt;""),SUBSTITUTE(SUBSTITUTE(SUBSTITUTE(SUBSTITUTE(SUBSTITUTE(SUBSTITUTE(SUBSTITUTE(SUBSTITUTE(SUBSTITUTE(SUBSTITUTE(SUBSTITUTE(SUBSTITUTE(LOWER(TRIM(I131)),"á","a"),"é","e"),"í","i"),"ó","o"),"ú","u"),"ü","u"),"ñ","n"),"à","a"),"è","e"),"ì","i"),"ò","o"),"ù","u"),"")</f>
        <v/>
      </c>
      <c r="X131" s="25">
        <f>IF(U131="","",IF(OR(U131="si, en la proxima tarea",U131="si, con cambios"),1,0))</f>
        <v/>
      </c>
      <c r="Y131" s="25">
        <f>IF(AND(Q131=1,A131&lt;&gt;""),IF(IFERROR(COUNTIFS(A$3:A131,"="&amp;SUBSTITUTE(SUBSTITUTE(SUBSTITUTE(A131,"~","~~"),"*","~*"),"?","~?"),Q$3:Q131,1),0)=1,MAX(Y$2:Y130)+1,""),"")</f>
        <v/>
      </c>
      <c r="Z131" s="25">
        <f>IF(Y131="","",COUNTIFS($A$3:$A$1002,"="&amp;SUBSTITUTE(SUBSTITUTE(SUBSTITUTE(A131,"~","~~"),"*","~*"),"?","~?"),$Q$3:$Q$1002,1)*10000-Y131)</f>
        <v/>
      </c>
    </row>
    <row r="132">
      <c r="A132">
        <f>IF(A$2=0,"",IFERROR(TRIM(INDEX('Pegar docentes'!$A$1:$BZ$1001,131,A$2)&amp;""),""))</f>
        <v/>
      </c>
      <c r="B132">
        <f>IF(B$2=0,"",IFERROR(TRIM(INDEX('Pegar docentes'!$A$1:$BZ$1001,131,B$2)&amp;""),""))</f>
        <v/>
      </c>
      <c r="C132">
        <f>IF(C$2=0,"",IFERROR(TRIM(INDEX('Pegar docentes'!$A$1:$BZ$1001,131,C$2)&amp;""),""))</f>
        <v/>
      </c>
      <c r="D132">
        <f>IF(D$2=0,"",IFERROR(TRIM(INDEX('Pegar docentes'!$A$1:$BZ$1001,131,D$2)&amp;""),""))</f>
        <v/>
      </c>
      <c r="E132">
        <f>IF(E$2=0,"",IFERROR(TRIM(INDEX('Pegar docentes'!$A$1:$BZ$1001,131,E$2)&amp;""),""))</f>
        <v/>
      </c>
      <c r="F132">
        <f>IF(F$2=0,"",IFERROR(TRIM(INDEX('Pegar docentes'!$A$1:$BZ$1001,131,F$2)&amp;""),""))</f>
        <v/>
      </c>
      <c r="G132">
        <f>IF(G$2=0,"",IFERROR(TRIM(INDEX('Pegar docentes'!$A$1:$BZ$1001,131,G$2)&amp;""),""))</f>
        <v/>
      </c>
      <c r="H132">
        <f>IF(H$2=0,"",IFERROR(TRIM(INDEX('Pegar docentes'!$A$1:$BZ$1001,131,H$2)&amp;""),""))</f>
        <v/>
      </c>
      <c r="I132">
        <f>IF(I$2=0,"",IFERROR(TRIM(INDEX('Pegar docentes'!$A$1:$BZ$1001,131,I$2)&amp;""),""))</f>
        <v/>
      </c>
      <c r="J132">
        <f>IF(J$2=0,"",IFERROR(TRIM(INDEX('Pegar docentes'!$A$1:$BZ$1001,131,J$2)&amp;""),""))</f>
        <v/>
      </c>
      <c r="K132">
        <f>IF(K$2=0,"",IFERROR(TRIM(INDEX('Pegar docentes'!$A$1:$BZ$1001,131,K$2)&amp;""),""))</f>
        <v/>
      </c>
      <c r="L132">
        <f>IF(L$2=0,"",IFERROR(TRIM(INDEX('Pegar docentes'!$A$1:$BZ$1001,131,L$2)&amp;""),""))</f>
        <v/>
      </c>
      <c r="M132">
        <f>IF(M$2=0,"",IFERROR(TRIM(INDEX('Pegar docentes'!$A$1:$BZ$1001,131,M$2)&amp;""),""))</f>
        <v/>
      </c>
      <c r="N132">
        <f>IF(N$2=0,"",IFERROR(TRIM(INDEX('Pegar docentes'!$A$1:$BZ$1001,131,N$2)&amp;""),""))</f>
        <v/>
      </c>
      <c r="O132">
        <f>IF(O$2=0,"",IFERROR(TRIM(INDEX('Pegar docentes'!$A$1:$BZ$1001,131,O$2)&amp;""),""))</f>
        <v/>
      </c>
      <c r="P132">
        <f>IF(P$2=0,"",IFERROR(TRIM(INDEX('Pegar docentes'!$A$1:$BZ$1001,131,P$2)&amp;""),""))</f>
        <v/>
      </c>
      <c r="Q132" s="25">
        <f>IF(OR(D132&lt;&gt;"",H132&lt;&gt;""),1,"")</f>
        <v/>
      </c>
      <c r="R132" s="25">
        <f>IF(Q132=1,IF(ISNUMBER(FIND("#"&amp;MID(D132,1,1)&amp;"#","#0#1#2#3#4#5#6#7#8#9#")),IF(ISNUMBER(FIND("#"&amp;MID(D132,2,1)&amp;"#","#0#1#2#3#4#5#6#7#8#9#")),IF(AND(VALUE(LEFT(D132,2))&gt;=1,VALUE(LEFT(D132,2))&lt;=5),VALUE(LEFT(D132,2)),""),IF(AND(VALUE(LEFT(D132,1))&gt;=1,VALUE(LEFT(D132,1))&lt;=5),VALUE(LEFT(D132,1)),"")),""),"")</f>
        <v/>
      </c>
      <c r="S132" s="25">
        <f>IF(AND(Q132=1,E132&lt;&gt;""),SUBSTITUTE(SUBSTITUTE(SUBSTITUTE(SUBSTITUTE(SUBSTITUTE(SUBSTITUTE(SUBSTITUTE(SUBSTITUTE(SUBSTITUTE(SUBSTITUTE(SUBSTITUTE(SUBSTITUTE(LOWER(TRIM(E132)),"á","a"),"é","e"),"í","i"),"ó","o"),"ú","u"),"ü","u"),"ñ","n"),"à","a"),"è","e"),"ì","i"),"ò","o"),"ù","u"),"")</f>
        <v/>
      </c>
      <c r="T132" s="25">
        <f>IF(AND(Q132=1,G132&lt;&gt;""),SUBSTITUTE(SUBSTITUTE(SUBSTITUTE(SUBSTITUTE(SUBSTITUTE(SUBSTITUTE(SUBSTITUTE(SUBSTITUTE(SUBSTITUTE(SUBSTITUTE(SUBSTITUTE(SUBSTITUTE(LOWER(TRIM(G132)),"á","a"),"é","e"),"í","i"),"ó","o"),"ú","u"),"ü","u"),"ñ","n"),"à","a"),"è","e"),"ì","i"),"ò","o"),"ù","u"),"")</f>
        <v/>
      </c>
      <c r="U132" s="25">
        <f>IF(AND(Q132=1,H132&lt;&gt;""),SUBSTITUTE(SUBSTITUTE(SUBSTITUTE(SUBSTITUTE(SUBSTITUTE(SUBSTITUTE(SUBSTITUTE(SUBSTITUTE(SUBSTITUTE(SUBSTITUTE(SUBSTITUTE(SUBSTITUTE(LOWER(TRIM(H132)),"á","a"),"é","e"),"í","i"),"ó","o"),"ú","u"),"ü","u"),"ñ","n"),"à","a"),"è","e"),"ì","i"),"ò","o"),"ù","u"),"")</f>
        <v/>
      </c>
      <c r="V132" s="25">
        <f>IF(AND(Q132=1,L132&lt;&gt;""),SUBSTITUTE(SUBSTITUTE(SUBSTITUTE(SUBSTITUTE(SUBSTITUTE(SUBSTITUTE(SUBSTITUTE(SUBSTITUTE(SUBSTITUTE(SUBSTITUTE(SUBSTITUTE(SUBSTITUTE(LOWER(TRIM(L132)),"á","a"),"é","e"),"í","i"),"ó","o"),"ú","u"),"ü","u"),"ñ","n"),"à","a"),"è","e"),"ì","i"),"ò","o"),"ù","u"),"")</f>
        <v/>
      </c>
      <c r="W132" s="25">
        <f>IF(AND(Q132=1,I132&lt;&gt;""),SUBSTITUTE(SUBSTITUTE(SUBSTITUTE(SUBSTITUTE(SUBSTITUTE(SUBSTITUTE(SUBSTITUTE(SUBSTITUTE(SUBSTITUTE(SUBSTITUTE(SUBSTITUTE(SUBSTITUTE(LOWER(TRIM(I132)),"á","a"),"é","e"),"í","i"),"ó","o"),"ú","u"),"ü","u"),"ñ","n"),"à","a"),"è","e"),"ì","i"),"ò","o"),"ù","u"),"")</f>
        <v/>
      </c>
      <c r="X132" s="25">
        <f>IF(U132="","",IF(OR(U132="si, en la proxima tarea",U132="si, con cambios"),1,0))</f>
        <v/>
      </c>
      <c r="Y132" s="25">
        <f>IF(AND(Q132=1,A132&lt;&gt;""),IF(IFERROR(COUNTIFS(A$3:A132,"="&amp;SUBSTITUTE(SUBSTITUTE(SUBSTITUTE(A132,"~","~~"),"*","~*"),"?","~?"),Q$3:Q132,1),0)=1,MAX(Y$2:Y131)+1,""),"")</f>
        <v/>
      </c>
      <c r="Z132" s="25">
        <f>IF(Y132="","",COUNTIFS($A$3:$A$1002,"="&amp;SUBSTITUTE(SUBSTITUTE(SUBSTITUTE(A132,"~","~~"),"*","~*"),"?","~?"),$Q$3:$Q$1002,1)*10000-Y132)</f>
        <v/>
      </c>
    </row>
    <row r="133">
      <c r="A133">
        <f>IF(A$2=0,"",IFERROR(TRIM(INDEX('Pegar docentes'!$A$1:$BZ$1001,132,A$2)&amp;""),""))</f>
        <v/>
      </c>
      <c r="B133">
        <f>IF(B$2=0,"",IFERROR(TRIM(INDEX('Pegar docentes'!$A$1:$BZ$1001,132,B$2)&amp;""),""))</f>
        <v/>
      </c>
      <c r="C133">
        <f>IF(C$2=0,"",IFERROR(TRIM(INDEX('Pegar docentes'!$A$1:$BZ$1001,132,C$2)&amp;""),""))</f>
        <v/>
      </c>
      <c r="D133">
        <f>IF(D$2=0,"",IFERROR(TRIM(INDEX('Pegar docentes'!$A$1:$BZ$1001,132,D$2)&amp;""),""))</f>
        <v/>
      </c>
      <c r="E133">
        <f>IF(E$2=0,"",IFERROR(TRIM(INDEX('Pegar docentes'!$A$1:$BZ$1001,132,E$2)&amp;""),""))</f>
        <v/>
      </c>
      <c r="F133">
        <f>IF(F$2=0,"",IFERROR(TRIM(INDEX('Pegar docentes'!$A$1:$BZ$1001,132,F$2)&amp;""),""))</f>
        <v/>
      </c>
      <c r="G133">
        <f>IF(G$2=0,"",IFERROR(TRIM(INDEX('Pegar docentes'!$A$1:$BZ$1001,132,G$2)&amp;""),""))</f>
        <v/>
      </c>
      <c r="H133">
        <f>IF(H$2=0,"",IFERROR(TRIM(INDEX('Pegar docentes'!$A$1:$BZ$1001,132,H$2)&amp;""),""))</f>
        <v/>
      </c>
      <c r="I133">
        <f>IF(I$2=0,"",IFERROR(TRIM(INDEX('Pegar docentes'!$A$1:$BZ$1001,132,I$2)&amp;""),""))</f>
        <v/>
      </c>
      <c r="J133">
        <f>IF(J$2=0,"",IFERROR(TRIM(INDEX('Pegar docentes'!$A$1:$BZ$1001,132,J$2)&amp;""),""))</f>
        <v/>
      </c>
      <c r="K133">
        <f>IF(K$2=0,"",IFERROR(TRIM(INDEX('Pegar docentes'!$A$1:$BZ$1001,132,K$2)&amp;""),""))</f>
        <v/>
      </c>
      <c r="L133">
        <f>IF(L$2=0,"",IFERROR(TRIM(INDEX('Pegar docentes'!$A$1:$BZ$1001,132,L$2)&amp;""),""))</f>
        <v/>
      </c>
      <c r="M133">
        <f>IF(M$2=0,"",IFERROR(TRIM(INDEX('Pegar docentes'!$A$1:$BZ$1001,132,M$2)&amp;""),""))</f>
        <v/>
      </c>
      <c r="N133">
        <f>IF(N$2=0,"",IFERROR(TRIM(INDEX('Pegar docentes'!$A$1:$BZ$1001,132,N$2)&amp;""),""))</f>
        <v/>
      </c>
      <c r="O133">
        <f>IF(O$2=0,"",IFERROR(TRIM(INDEX('Pegar docentes'!$A$1:$BZ$1001,132,O$2)&amp;""),""))</f>
        <v/>
      </c>
      <c r="P133">
        <f>IF(P$2=0,"",IFERROR(TRIM(INDEX('Pegar docentes'!$A$1:$BZ$1001,132,P$2)&amp;""),""))</f>
        <v/>
      </c>
      <c r="Q133" s="25">
        <f>IF(OR(D133&lt;&gt;"",H133&lt;&gt;""),1,"")</f>
        <v/>
      </c>
      <c r="R133" s="25">
        <f>IF(Q133=1,IF(ISNUMBER(FIND("#"&amp;MID(D133,1,1)&amp;"#","#0#1#2#3#4#5#6#7#8#9#")),IF(ISNUMBER(FIND("#"&amp;MID(D133,2,1)&amp;"#","#0#1#2#3#4#5#6#7#8#9#")),IF(AND(VALUE(LEFT(D133,2))&gt;=1,VALUE(LEFT(D133,2))&lt;=5),VALUE(LEFT(D133,2)),""),IF(AND(VALUE(LEFT(D133,1))&gt;=1,VALUE(LEFT(D133,1))&lt;=5),VALUE(LEFT(D133,1)),"")),""),"")</f>
        <v/>
      </c>
      <c r="S133" s="25">
        <f>IF(AND(Q133=1,E133&lt;&gt;""),SUBSTITUTE(SUBSTITUTE(SUBSTITUTE(SUBSTITUTE(SUBSTITUTE(SUBSTITUTE(SUBSTITUTE(SUBSTITUTE(SUBSTITUTE(SUBSTITUTE(SUBSTITUTE(SUBSTITUTE(LOWER(TRIM(E133)),"á","a"),"é","e"),"í","i"),"ó","o"),"ú","u"),"ü","u"),"ñ","n"),"à","a"),"è","e"),"ì","i"),"ò","o"),"ù","u"),"")</f>
        <v/>
      </c>
      <c r="T133" s="25">
        <f>IF(AND(Q133=1,G133&lt;&gt;""),SUBSTITUTE(SUBSTITUTE(SUBSTITUTE(SUBSTITUTE(SUBSTITUTE(SUBSTITUTE(SUBSTITUTE(SUBSTITUTE(SUBSTITUTE(SUBSTITUTE(SUBSTITUTE(SUBSTITUTE(LOWER(TRIM(G133)),"á","a"),"é","e"),"í","i"),"ó","o"),"ú","u"),"ü","u"),"ñ","n"),"à","a"),"è","e"),"ì","i"),"ò","o"),"ù","u"),"")</f>
        <v/>
      </c>
      <c r="U133" s="25">
        <f>IF(AND(Q133=1,H133&lt;&gt;""),SUBSTITUTE(SUBSTITUTE(SUBSTITUTE(SUBSTITUTE(SUBSTITUTE(SUBSTITUTE(SUBSTITUTE(SUBSTITUTE(SUBSTITUTE(SUBSTITUTE(SUBSTITUTE(SUBSTITUTE(LOWER(TRIM(H133)),"á","a"),"é","e"),"í","i"),"ó","o"),"ú","u"),"ü","u"),"ñ","n"),"à","a"),"è","e"),"ì","i"),"ò","o"),"ù","u"),"")</f>
        <v/>
      </c>
      <c r="V133" s="25">
        <f>IF(AND(Q133=1,L133&lt;&gt;""),SUBSTITUTE(SUBSTITUTE(SUBSTITUTE(SUBSTITUTE(SUBSTITUTE(SUBSTITUTE(SUBSTITUTE(SUBSTITUTE(SUBSTITUTE(SUBSTITUTE(SUBSTITUTE(SUBSTITUTE(LOWER(TRIM(L133)),"á","a"),"é","e"),"í","i"),"ó","o"),"ú","u"),"ü","u"),"ñ","n"),"à","a"),"è","e"),"ì","i"),"ò","o"),"ù","u"),"")</f>
        <v/>
      </c>
      <c r="W133" s="25">
        <f>IF(AND(Q133=1,I133&lt;&gt;""),SUBSTITUTE(SUBSTITUTE(SUBSTITUTE(SUBSTITUTE(SUBSTITUTE(SUBSTITUTE(SUBSTITUTE(SUBSTITUTE(SUBSTITUTE(SUBSTITUTE(SUBSTITUTE(SUBSTITUTE(LOWER(TRIM(I133)),"á","a"),"é","e"),"í","i"),"ó","o"),"ú","u"),"ü","u"),"ñ","n"),"à","a"),"è","e"),"ì","i"),"ò","o"),"ù","u"),"")</f>
        <v/>
      </c>
      <c r="X133" s="25">
        <f>IF(U133="","",IF(OR(U133="si, en la proxima tarea",U133="si, con cambios"),1,0))</f>
        <v/>
      </c>
      <c r="Y133" s="25">
        <f>IF(AND(Q133=1,A133&lt;&gt;""),IF(IFERROR(COUNTIFS(A$3:A133,"="&amp;SUBSTITUTE(SUBSTITUTE(SUBSTITUTE(A133,"~","~~"),"*","~*"),"?","~?"),Q$3:Q133,1),0)=1,MAX(Y$2:Y132)+1,""),"")</f>
        <v/>
      </c>
      <c r="Z133" s="25">
        <f>IF(Y133="","",COUNTIFS($A$3:$A$1002,"="&amp;SUBSTITUTE(SUBSTITUTE(SUBSTITUTE(A133,"~","~~"),"*","~*"),"?","~?"),$Q$3:$Q$1002,1)*10000-Y133)</f>
        <v/>
      </c>
    </row>
    <row r="134">
      <c r="A134">
        <f>IF(A$2=0,"",IFERROR(TRIM(INDEX('Pegar docentes'!$A$1:$BZ$1001,133,A$2)&amp;""),""))</f>
        <v/>
      </c>
      <c r="B134">
        <f>IF(B$2=0,"",IFERROR(TRIM(INDEX('Pegar docentes'!$A$1:$BZ$1001,133,B$2)&amp;""),""))</f>
        <v/>
      </c>
      <c r="C134">
        <f>IF(C$2=0,"",IFERROR(TRIM(INDEX('Pegar docentes'!$A$1:$BZ$1001,133,C$2)&amp;""),""))</f>
        <v/>
      </c>
      <c r="D134">
        <f>IF(D$2=0,"",IFERROR(TRIM(INDEX('Pegar docentes'!$A$1:$BZ$1001,133,D$2)&amp;""),""))</f>
        <v/>
      </c>
      <c r="E134">
        <f>IF(E$2=0,"",IFERROR(TRIM(INDEX('Pegar docentes'!$A$1:$BZ$1001,133,E$2)&amp;""),""))</f>
        <v/>
      </c>
      <c r="F134">
        <f>IF(F$2=0,"",IFERROR(TRIM(INDEX('Pegar docentes'!$A$1:$BZ$1001,133,F$2)&amp;""),""))</f>
        <v/>
      </c>
      <c r="G134">
        <f>IF(G$2=0,"",IFERROR(TRIM(INDEX('Pegar docentes'!$A$1:$BZ$1001,133,G$2)&amp;""),""))</f>
        <v/>
      </c>
      <c r="H134">
        <f>IF(H$2=0,"",IFERROR(TRIM(INDEX('Pegar docentes'!$A$1:$BZ$1001,133,H$2)&amp;""),""))</f>
        <v/>
      </c>
      <c r="I134">
        <f>IF(I$2=0,"",IFERROR(TRIM(INDEX('Pegar docentes'!$A$1:$BZ$1001,133,I$2)&amp;""),""))</f>
        <v/>
      </c>
      <c r="J134">
        <f>IF(J$2=0,"",IFERROR(TRIM(INDEX('Pegar docentes'!$A$1:$BZ$1001,133,J$2)&amp;""),""))</f>
        <v/>
      </c>
      <c r="K134">
        <f>IF(K$2=0,"",IFERROR(TRIM(INDEX('Pegar docentes'!$A$1:$BZ$1001,133,K$2)&amp;""),""))</f>
        <v/>
      </c>
      <c r="L134">
        <f>IF(L$2=0,"",IFERROR(TRIM(INDEX('Pegar docentes'!$A$1:$BZ$1001,133,L$2)&amp;""),""))</f>
        <v/>
      </c>
      <c r="M134">
        <f>IF(M$2=0,"",IFERROR(TRIM(INDEX('Pegar docentes'!$A$1:$BZ$1001,133,M$2)&amp;""),""))</f>
        <v/>
      </c>
      <c r="N134">
        <f>IF(N$2=0,"",IFERROR(TRIM(INDEX('Pegar docentes'!$A$1:$BZ$1001,133,N$2)&amp;""),""))</f>
        <v/>
      </c>
      <c r="O134">
        <f>IF(O$2=0,"",IFERROR(TRIM(INDEX('Pegar docentes'!$A$1:$BZ$1001,133,O$2)&amp;""),""))</f>
        <v/>
      </c>
      <c r="P134">
        <f>IF(P$2=0,"",IFERROR(TRIM(INDEX('Pegar docentes'!$A$1:$BZ$1001,133,P$2)&amp;""),""))</f>
        <v/>
      </c>
      <c r="Q134" s="25">
        <f>IF(OR(D134&lt;&gt;"",H134&lt;&gt;""),1,"")</f>
        <v/>
      </c>
      <c r="R134" s="25">
        <f>IF(Q134=1,IF(ISNUMBER(FIND("#"&amp;MID(D134,1,1)&amp;"#","#0#1#2#3#4#5#6#7#8#9#")),IF(ISNUMBER(FIND("#"&amp;MID(D134,2,1)&amp;"#","#0#1#2#3#4#5#6#7#8#9#")),IF(AND(VALUE(LEFT(D134,2))&gt;=1,VALUE(LEFT(D134,2))&lt;=5),VALUE(LEFT(D134,2)),""),IF(AND(VALUE(LEFT(D134,1))&gt;=1,VALUE(LEFT(D134,1))&lt;=5),VALUE(LEFT(D134,1)),"")),""),"")</f>
        <v/>
      </c>
      <c r="S134" s="25">
        <f>IF(AND(Q134=1,E134&lt;&gt;""),SUBSTITUTE(SUBSTITUTE(SUBSTITUTE(SUBSTITUTE(SUBSTITUTE(SUBSTITUTE(SUBSTITUTE(SUBSTITUTE(SUBSTITUTE(SUBSTITUTE(SUBSTITUTE(SUBSTITUTE(LOWER(TRIM(E134)),"á","a"),"é","e"),"í","i"),"ó","o"),"ú","u"),"ü","u"),"ñ","n"),"à","a"),"è","e"),"ì","i"),"ò","o"),"ù","u"),"")</f>
        <v/>
      </c>
      <c r="T134" s="25">
        <f>IF(AND(Q134=1,G134&lt;&gt;""),SUBSTITUTE(SUBSTITUTE(SUBSTITUTE(SUBSTITUTE(SUBSTITUTE(SUBSTITUTE(SUBSTITUTE(SUBSTITUTE(SUBSTITUTE(SUBSTITUTE(SUBSTITUTE(SUBSTITUTE(LOWER(TRIM(G134)),"á","a"),"é","e"),"í","i"),"ó","o"),"ú","u"),"ü","u"),"ñ","n"),"à","a"),"è","e"),"ì","i"),"ò","o"),"ù","u"),"")</f>
        <v/>
      </c>
      <c r="U134" s="25">
        <f>IF(AND(Q134=1,H134&lt;&gt;""),SUBSTITUTE(SUBSTITUTE(SUBSTITUTE(SUBSTITUTE(SUBSTITUTE(SUBSTITUTE(SUBSTITUTE(SUBSTITUTE(SUBSTITUTE(SUBSTITUTE(SUBSTITUTE(SUBSTITUTE(LOWER(TRIM(H134)),"á","a"),"é","e"),"í","i"),"ó","o"),"ú","u"),"ü","u"),"ñ","n"),"à","a"),"è","e"),"ì","i"),"ò","o"),"ù","u"),"")</f>
        <v/>
      </c>
      <c r="V134" s="25">
        <f>IF(AND(Q134=1,L134&lt;&gt;""),SUBSTITUTE(SUBSTITUTE(SUBSTITUTE(SUBSTITUTE(SUBSTITUTE(SUBSTITUTE(SUBSTITUTE(SUBSTITUTE(SUBSTITUTE(SUBSTITUTE(SUBSTITUTE(SUBSTITUTE(LOWER(TRIM(L134)),"á","a"),"é","e"),"í","i"),"ó","o"),"ú","u"),"ü","u"),"ñ","n"),"à","a"),"è","e"),"ì","i"),"ò","o"),"ù","u"),"")</f>
        <v/>
      </c>
      <c r="W134" s="25">
        <f>IF(AND(Q134=1,I134&lt;&gt;""),SUBSTITUTE(SUBSTITUTE(SUBSTITUTE(SUBSTITUTE(SUBSTITUTE(SUBSTITUTE(SUBSTITUTE(SUBSTITUTE(SUBSTITUTE(SUBSTITUTE(SUBSTITUTE(SUBSTITUTE(LOWER(TRIM(I134)),"á","a"),"é","e"),"í","i"),"ó","o"),"ú","u"),"ü","u"),"ñ","n"),"à","a"),"è","e"),"ì","i"),"ò","o"),"ù","u"),"")</f>
        <v/>
      </c>
      <c r="X134" s="25">
        <f>IF(U134="","",IF(OR(U134="si, en la proxima tarea",U134="si, con cambios"),1,0))</f>
        <v/>
      </c>
      <c r="Y134" s="25">
        <f>IF(AND(Q134=1,A134&lt;&gt;""),IF(IFERROR(COUNTIFS(A$3:A134,"="&amp;SUBSTITUTE(SUBSTITUTE(SUBSTITUTE(A134,"~","~~"),"*","~*"),"?","~?"),Q$3:Q134,1),0)=1,MAX(Y$2:Y133)+1,""),"")</f>
        <v/>
      </c>
      <c r="Z134" s="25">
        <f>IF(Y134="","",COUNTIFS($A$3:$A$1002,"="&amp;SUBSTITUTE(SUBSTITUTE(SUBSTITUTE(A134,"~","~~"),"*","~*"),"?","~?"),$Q$3:$Q$1002,1)*10000-Y134)</f>
        <v/>
      </c>
    </row>
    <row r="135">
      <c r="A135">
        <f>IF(A$2=0,"",IFERROR(TRIM(INDEX('Pegar docentes'!$A$1:$BZ$1001,134,A$2)&amp;""),""))</f>
        <v/>
      </c>
      <c r="B135">
        <f>IF(B$2=0,"",IFERROR(TRIM(INDEX('Pegar docentes'!$A$1:$BZ$1001,134,B$2)&amp;""),""))</f>
        <v/>
      </c>
      <c r="C135">
        <f>IF(C$2=0,"",IFERROR(TRIM(INDEX('Pegar docentes'!$A$1:$BZ$1001,134,C$2)&amp;""),""))</f>
        <v/>
      </c>
      <c r="D135">
        <f>IF(D$2=0,"",IFERROR(TRIM(INDEX('Pegar docentes'!$A$1:$BZ$1001,134,D$2)&amp;""),""))</f>
        <v/>
      </c>
      <c r="E135">
        <f>IF(E$2=0,"",IFERROR(TRIM(INDEX('Pegar docentes'!$A$1:$BZ$1001,134,E$2)&amp;""),""))</f>
        <v/>
      </c>
      <c r="F135">
        <f>IF(F$2=0,"",IFERROR(TRIM(INDEX('Pegar docentes'!$A$1:$BZ$1001,134,F$2)&amp;""),""))</f>
        <v/>
      </c>
      <c r="G135">
        <f>IF(G$2=0,"",IFERROR(TRIM(INDEX('Pegar docentes'!$A$1:$BZ$1001,134,G$2)&amp;""),""))</f>
        <v/>
      </c>
      <c r="H135">
        <f>IF(H$2=0,"",IFERROR(TRIM(INDEX('Pegar docentes'!$A$1:$BZ$1001,134,H$2)&amp;""),""))</f>
        <v/>
      </c>
      <c r="I135">
        <f>IF(I$2=0,"",IFERROR(TRIM(INDEX('Pegar docentes'!$A$1:$BZ$1001,134,I$2)&amp;""),""))</f>
        <v/>
      </c>
      <c r="J135">
        <f>IF(J$2=0,"",IFERROR(TRIM(INDEX('Pegar docentes'!$A$1:$BZ$1001,134,J$2)&amp;""),""))</f>
        <v/>
      </c>
      <c r="K135">
        <f>IF(K$2=0,"",IFERROR(TRIM(INDEX('Pegar docentes'!$A$1:$BZ$1001,134,K$2)&amp;""),""))</f>
        <v/>
      </c>
      <c r="L135">
        <f>IF(L$2=0,"",IFERROR(TRIM(INDEX('Pegar docentes'!$A$1:$BZ$1001,134,L$2)&amp;""),""))</f>
        <v/>
      </c>
      <c r="M135">
        <f>IF(M$2=0,"",IFERROR(TRIM(INDEX('Pegar docentes'!$A$1:$BZ$1001,134,M$2)&amp;""),""))</f>
        <v/>
      </c>
      <c r="N135">
        <f>IF(N$2=0,"",IFERROR(TRIM(INDEX('Pegar docentes'!$A$1:$BZ$1001,134,N$2)&amp;""),""))</f>
        <v/>
      </c>
      <c r="O135">
        <f>IF(O$2=0,"",IFERROR(TRIM(INDEX('Pegar docentes'!$A$1:$BZ$1001,134,O$2)&amp;""),""))</f>
        <v/>
      </c>
      <c r="P135">
        <f>IF(P$2=0,"",IFERROR(TRIM(INDEX('Pegar docentes'!$A$1:$BZ$1001,134,P$2)&amp;""),""))</f>
        <v/>
      </c>
      <c r="Q135" s="25">
        <f>IF(OR(D135&lt;&gt;"",H135&lt;&gt;""),1,"")</f>
        <v/>
      </c>
      <c r="R135" s="25">
        <f>IF(Q135=1,IF(ISNUMBER(FIND("#"&amp;MID(D135,1,1)&amp;"#","#0#1#2#3#4#5#6#7#8#9#")),IF(ISNUMBER(FIND("#"&amp;MID(D135,2,1)&amp;"#","#0#1#2#3#4#5#6#7#8#9#")),IF(AND(VALUE(LEFT(D135,2))&gt;=1,VALUE(LEFT(D135,2))&lt;=5),VALUE(LEFT(D135,2)),""),IF(AND(VALUE(LEFT(D135,1))&gt;=1,VALUE(LEFT(D135,1))&lt;=5),VALUE(LEFT(D135,1)),"")),""),"")</f>
        <v/>
      </c>
      <c r="S135" s="25">
        <f>IF(AND(Q135=1,E135&lt;&gt;""),SUBSTITUTE(SUBSTITUTE(SUBSTITUTE(SUBSTITUTE(SUBSTITUTE(SUBSTITUTE(SUBSTITUTE(SUBSTITUTE(SUBSTITUTE(SUBSTITUTE(SUBSTITUTE(SUBSTITUTE(LOWER(TRIM(E135)),"á","a"),"é","e"),"í","i"),"ó","o"),"ú","u"),"ü","u"),"ñ","n"),"à","a"),"è","e"),"ì","i"),"ò","o"),"ù","u"),"")</f>
        <v/>
      </c>
      <c r="T135" s="25">
        <f>IF(AND(Q135=1,G135&lt;&gt;""),SUBSTITUTE(SUBSTITUTE(SUBSTITUTE(SUBSTITUTE(SUBSTITUTE(SUBSTITUTE(SUBSTITUTE(SUBSTITUTE(SUBSTITUTE(SUBSTITUTE(SUBSTITUTE(SUBSTITUTE(LOWER(TRIM(G135)),"á","a"),"é","e"),"í","i"),"ó","o"),"ú","u"),"ü","u"),"ñ","n"),"à","a"),"è","e"),"ì","i"),"ò","o"),"ù","u"),"")</f>
        <v/>
      </c>
      <c r="U135" s="25">
        <f>IF(AND(Q135=1,H135&lt;&gt;""),SUBSTITUTE(SUBSTITUTE(SUBSTITUTE(SUBSTITUTE(SUBSTITUTE(SUBSTITUTE(SUBSTITUTE(SUBSTITUTE(SUBSTITUTE(SUBSTITUTE(SUBSTITUTE(SUBSTITUTE(LOWER(TRIM(H135)),"á","a"),"é","e"),"í","i"),"ó","o"),"ú","u"),"ü","u"),"ñ","n"),"à","a"),"è","e"),"ì","i"),"ò","o"),"ù","u"),"")</f>
        <v/>
      </c>
      <c r="V135" s="25">
        <f>IF(AND(Q135=1,L135&lt;&gt;""),SUBSTITUTE(SUBSTITUTE(SUBSTITUTE(SUBSTITUTE(SUBSTITUTE(SUBSTITUTE(SUBSTITUTE(SUBSTITUTE(SUBSTITUTE(SUBSTITUTE(SUBSTITUTE(SUBSTITUTE(LOWER(TRIM(L135)),"á","a"),"é","e"),"í","i"),"ó","o"),"ú","u"),"ü","u"),"ñ","n"),"à","a"),"è","e"),"ì","i"),"ò","o"),"ù","u"),"")</f>
        <v/>
      </c>
      <c r="W135" s="25">
        <f>IF(AND(Q135=1,I135&lt;&gt;""),SUBSTITUTE(SUBSTITUTE(SUBSTITUTE(SUBSTITUTE(SUBSTITUTE(SUBSTITUTE(SUBSTITUTE(SUBSTITUTE(SUBSTITUTE(SUBSTITUTE(SUBSTITUTE(SUBSTITUTE(LOWER(TRIM(I135)),"á","a"),"é","e"),"í","i"),"ó","o"),"ú","u"),"ü","u"),"ñ","n"),"à","a"),"è","e"),"ì","i"),"ò","o"),"ù","u"),"")</f>
        <v/>
      </c>
      <c r="X135" s="25">
        <f>IF(U135="","",IF(OR(U135="si, en la proxima tarea",U135="si, con cambios"),1,0))</f>
        <v/>
      </c>
      <c r="Y135" s="25">
        <f>IF(AND(Q135=1,A135&lt;&gt;""),IF(IFERROR(COUNTIFS(A$3:A135,"="&amp;SUBSTITUTE(SUBSTITUTE(SUBSTITUTE(A135,"~","~~"),"*","~*"),"?","~?"),Q$3:Q135,1),0)=1,MAX(Y$2:Y134)+1,""),"")</f>
        <v/>
      </c>
      <c r="Z135" s="25">
        <f>IF(Y135="","",COUNTIFS($A$3:$A$1002,"="&amp;SUBSTITUTE(SUBSTITUTE(SUBSTITUTE(A135,"~","~~"),"*","~*"),"?","~?"),$Q$3:$Q$1002,1)*10000-Y135)</f>
        <v/>
      </c>
    </row>
    <row r="136">
      <c r="A136">
        <f>IF(A$2=0,"",IFERROR(TRIM(INDEX('Pegar docentes'!$A$1:$BZ$1001,135,A$2)&amp;""),""))</f>
        <v/>
      </c>
      <c r="B136">
        <f>IF(B$2=0,"",IFERROR(TRIM(INDEX('Pegar docentes'!$A$1:$BZ$1001,135,B$2)&amp;""),""))</f>
        <v/>
      </c>
      <c r="C136">
        <f>IF(C$2=0,"",IFERROR(TRIM(INDEX('Pegar docentes'!$A$1:$BZ$1001,135,C$2)&amp;""),""))</f>
        <v/>
      </c>
      <c r="D136">
        <f>IF(D$2=0,"",IFERROR(TRIM(INDEX('Pegar docentes'!$A$1:$BZ$1001,135,D$2)&amp;""),""))</f>
        <v/>
      </c>
      <c r="E136">
        <f>IF(E$2=0,"",IFERROR(TRIM(INDEX('Pegar docentes'!$A$1:$BZ$1001,135,E$2)&amp;""),""))</f>
        <v/>
      </c>
      <c r="F136">
        <f>IF(F$2=0,"",IFERROR(TRIM(INDEX('Pegar docentes'!$A$1:$BZ$1001,135,F$2)&amp;""),""))</f>
        <v/>
      </c>
      <c r="G136">
        <f>IF(G$2=0,"",IFERROR(TRIM(INDEX('Pegar docentes'!$A$1:$BZ$1001,135,G$2)&amp;""),""))</f>
        <v/>
      </c>
      <c r="H136">
        <f>IF(H$2=0,"",IFERROR(TRIM(INDEX('Pegar docentes'!$A$1:$BZ$1001,135,H$2)&amp;""),""))</f>
        <v/>
      </c>
      <c r="I136">
        <f>IF(I$2=0,"",IFERROR(TRIM(INDEX('Pegar docentes'!$A$1:$BZ$1001,135,I$2)&amp;""),""))</f>
        <v/>
      </c>
      <c r="J136">
        <f>IF(J$2=0,"",IFERROR(TRIM(INDEX('Pegar docentes'!$A$1:$BZ$1001,135,J$2)&amp;""),""))</f>
        <v/>
      </c>
      <c r="K136">
        <f>IF(K$2=0,"",IFERROR(TRIM(INDEX('Pegar docentes'!$A$1:$BZ$1001,135,K$2)&amp;""),""))</f>
        <v/>
      </c>
      <c r="L136">
        <f>IF(L$2=0,"",IFERROR(TRIM(INDEX('Pegar docentes'!$A$1:$BZ$1001,135,L$2)&amp;""),""))</f>
        <v/>
      </c>
      <c r="M136">
        <f>IF(M$2=0,"",IFERROR(TRIM(INDEX('Pegar docentes'!$A$1:$BZ$1001,135,M$2)&amp;""),""))</f>
        <v/>
      </c>
      <c r="N136">
        <f>IF(N$2=0,"",IFERROR(TRIM(INDEX('Pegar docentes'!$A$1:$BZ$1001,135,N$2)&amp;""),""))</f>
        <v/>
      </c>
      <c r="O136">
        <f>IF(O$2=0,"",IFERROR(TRIM(INDEX('Pegar docentes'!$A$1:$BZ$1001,135,O$2)&amp;""),""))</f>
        <v/>
      </c>
      <c r="P136">
        <f>IF(P$2=0,"",IFERROR(TRIM(INDEX('Pegar docentes'!$A$1:$BZ$1001,135,P$2)&amp;""),""))</f>
        <v/>
      </c>
      <c r="Q136" s="25">
        <f>IF(OR(D136&lt;&gt;"",H136&lt;&gt;""),1,"")</f>
        <v/>
      </c>
      <c r="R136" s="25">
        <f>IF(Q136=1,IF(ISNUMBER(FIND("#"&amp;MID(D136,1,1)&amp;"#","#0#1#2#3#4#5#6#7#8#9#")),IF(ISNUMBER(FIND("#"&amp;MID(D136,2,1)&amp;"#","#0#1#2#3#4#5#6#7#8#9#")),IF(AND(VALUE(LEFT(D136,2))&gt;=1,VALUE(LEFT(D136,2))&lt;=5),VALUE(LEFT(D136,2)),""),IF(AND(VALUE(LEFT(D136,1))&gt;=1,VALUE(LEFT(D136,1))&lt;=5),VALUE(LEFT(D136,1)),"")),""),"")</f>
        <v/>
      </c>
      <c r="S136" s="25">
        <f>IF(AND(Q136=1,E136&lt;&gt;""),SUBSTITUTE(SUBSTITUTE(SUBSTITUTE(SUBSTITUTE(SUBSTITUTE(SUBSTITUTE(SUBSTITUTE(SUBSTITUTE(SUBSTITUTE(SUBSTITUTE(SUBSTITUTE(SUBSTITUTE(LOWER(TRIM(E136)),"á","a"),"é","e"),"í","i"),"ó","o"),"ú","u"),"ü","u"),"ñ","n"),"à","a"),"è","e"),"ì","i"),"ò","o"),"ù","u"),"")</f>
        <v/>
      </c>
      <c r="T136" s="25">
        <f>IF(AND(Q136=1,G136&lt;&gt;""),SUBSTITUTE(SUBSTITUTE(SUBSTITUTE(SUBSTITUTE(SUBSTITUTE(SUBSTITUTE(SUBSTITUTE(SUBSTITUTE(SUBSTITUTE(SUBSTITUTE(SUBSTITUTE(SUBSTITUTE(LOWER(TRIM(G136)),"á","a"),"é","e"),"í","i"),"ó","o"),"ú","u"),"ü","u"),"ñ","n"),"à","a"),"è","e"),"ì","i"),"ò","o"),"ù","u"),"")</f>
        <v/>
      </c>
      <c r="U136" s="25">
        <f>IF(AND(Q136=1,H136&lt;&gt;""),SUBSTITUTE(SUBSTITUTE(SUBSTITUTE(SUBSTITUTE(SUBSTITUTE(SUBSTITUTE(SUBSTITUTE(SUBSTITUTE(SUBSTITUTE(SUBSTITUTE(SUBSTITUTE(SUBSTITUTE(LOWER(TRIM(H136)),"á","a"),"é","e"),"í","i"),"ó","o"),"ú","u"),"ü","u"),"ñ","n"),"à","a"),"è","e"),"ì","i"),"ò","o"),"ù","u"),"")</f>
        <v/>
      </c>
      <c r="V136" s="25">
        <f>IF(AND(Q136=1,L136&lt;&gt;""),SUBSTITUTE(SUBSTITUTE(SUBSTITUTE(SUBSTITUTE(SUBSTITUTE(SUBSTITUTE(SUBSTITUTE(SUBSTITUTE(SUBSTITUTE(SUBSTITUTE(SUBSTITUTE(SUBSTITUTE(LOWER(TRIM(L136)),"á","a"),"é","e"),"í","i"),"ó","o"),"ú","u"),"ü","u"),"ñ","n"),"à","a"),"è","e"),"ì","i"),"ò","o"),"ù","u"),"")</f>
        <v/>
      </c>
      <c r="W136" s="25">
        <f>IF(AND(Q136=1,I136&lt;&gt;""),SUBSTITUTE(SUBSTITUTE(SUBSTITUTE(SUBSTITUTE(SUBSTITUTE(SUBSTITUTE(SUBSTITUTE(SUBSTITUTE(SUBSTITUTE(SUBSTITUTE(SUBSTITUTE(SUBSTITUTE(LOWER(TRIM(I136)),"á","a"),"é","e"),"í","i"),"ó","o"),"ú","u"),"ü","u"),"ñ","n"),"à","a"),"è","e"),"ì","i"),"ò","o"),"ù","u"),"")</f>
        <v/>
      </c>
      <c r="X136" s="25">
        <f>IF(U136="","",IF(OR(U136="si, en la proxima tarea",U136="si, con cambios"),1,0))</f>
        <v/>
      </c>
      <c r="Y136" s="25">
        <f>IF(AND(Q136=1,A136&lt;&gt;""),IF(IFERROR(COUNTIFS(A$3:A136,"="&amp;SUBSTITUTE(SUBSTITUTE(SUBSTITUTE(A136,"~","~~"),"*","~*"),"?","~?"),Q$3:Q136,1),0)=1,MAX(Y$2:Y135)+1,""),"")</f>
        <v/>
      </c>
      <c r="Z136" s="25">
        <f>IF(Y136="","",COUNTIFS($A$3:$A$1002,"="&amp;SUBSTITUTE(SUBSTITUTE(SUBSTITUTE(A136,"~","~~"),"*","~*"),"?","~?"),$Q$3:$Q$1002,1)*10000-Y136)</f>
        <v/>
      </c>
    </row>
    <row r="137">
      <c r="A137">
        <f>IF(A$2=0,"",IFERROR(TRIM(INDEX('Pegar docentes'!$A$1:$BZ$1001,136,A$2)&amp;""),""))</f>
        <v/>
      </c>
      <c r="B137">
        <f>IF(B$2=0,"",IFERROR(TRIM(INDEX('Pegar docentes'!$A$1:$BZ$1001,136,B$2)&amp;""),""))</f>
        <v/>
      </c>
      <c r="C137">
        <f>IF(C$2=0,"",IFERROR(TRIM(INDEX('Pegar docentes'!$A$1:$BZ$1001,136,C$2)&amp;""),""))</f>
        <v/>
      </c>
      <c r="D137">
        <f>IF(D$2=0,"",IFERROR(TRIM(INDEX('Pegar docentes'!$A$1:$BZ$1001,136,D$2)&amp;""),""))</f>
        <v/>
      </c>
      <c r="E137">
        <f>IF(E$2=0,"",IFERROR(TRIM(INDEX('Pegar docentes'!$A$1:$BZ$1001,136,E$2)&amp;""),""))</f>
        <v/>
      </c>
      <c r="F137">
        <f>IF(F$2=0,"",IFERROR(TRIM(INDEX('Pegar docentes'!$A$1:$BZ$1001,136,F$2)&amp;""),""))</f>
        <v/>
      </c>
      <c r="G137">
        <f>IF(G$2=0,"",IFERROR(TRIM(INDEX('Pegar docentes'!$A$1:$BZ$1001,136,G$2)&amp;""),""))</f>
        <v/>
      </c>
      <c r="H137">
        <f>IF(H$2=0,"",IFERROR(TRIM(INDEX('Pegar docentes'!$A$1:$BZ$1001,136,H$2)&amp;""),""))</f>
        <v/>
      </c>
      <c r="I137">
        <f>IF(I$2=0,"",IFERROR(TRIM(INDEX('Pegar docentes'!$A$1:$BZ$1001,136,I$2)&amp;""),""))</f>
        <v/>
      </c>
      <c r="J137">
        <f>IF(J$2=0,"",IFERROR(TRIM(INDEX('Pegar docentes'!$A$1:$BZ$1001,136,J$2)&amp;""),""))</f>
        <v/>
      </c>
      <c r="K137">
        <f>IF(K$2=0,"",IFERROR(TRIM(INDEX('Pegar docentes'!$A$1:$BZ$1001,136,K$2)&amp;""),""))</f>
        <v/>
      </c>
      <c r="L137">
        <f>IF(L$2=0,"",IFERROR(TRIM(INDEX('Pegar docentes'!$A$1:$BZ$1001,136,L$2)&amp;""),""))</f>
        <v/>
      </c>
      <c r="M137">
        <f>IF(M$2=0,"",IFERROR(TRIM(INDEX('Pegar docentes'!$A$1:$BZ$1001,136,M$2)&amp;""),""))</f>
        <v/>
      </c>
      <c r="N137">
        <f>IF(N$2=0,"",IFERROR(TRIM(INDEX('Pegar docentes'!$A$1:$BZ$1001,136,N$2)&amp;""),""))</f>
        <v/>
      </c>
      <c r="O137">
        <f>IF(O$2=0,"",IFERROR(TRIM(INDEX('Pegar docentes'!$A$1:$BZ$1001,136,O$2)&amp;""),""))</f>
        <v/>
      </c>
      <c r="P137">
        <f>IF(P$2=0,"",IFERROR(TRIM(INDEX('Pegar docentes'!$A$1:$BZ$1001,136,P$2)&amp;""),""))</f>
        <v/>
      </c>
      <c r="Q137" s="25">
        <f>IF(OR(D137&lt;&gt;"",H137&lt;&gt;""),1,"")</f>
        <v/>
      </c>
      <c r="R137" s="25">
        <f>IF(Q137=1,IF(ISNUMBER(FIND("#"&amp;MID(D137,1,1)&amp;"#","#0#1#2#3#4#5#6#7#8#9#")),IF(ISNUMBER(FIND("#"&amp;MID(D137,2,1)&amp;"#","#0#1#2#3#4#5#6#7#8#9#")),IF(AND(VALUE(LEFT(D137,2))&gt;=1,VALUE(LEFT(D137,2))&lt;=5),VALUE(LEFT(D137,2)),""),IF(AND(VALUE(LEFT(D137,1))&gt;=1,VALUE(LEFT(D137,1))&lt;=5),VALUE(LEFT(D137,1)),"")),""),"")</f>
        <v/>
      </c>
      <c r="S137" s="25">
        <f>IF(AND(Q137=1,E137&lt;&gt;""),SUBSTITUTE(SUBSTITUTE(SUBSTITUTE(SUBSTITUTE(SUBSTITUTE(SUBSTITUTE(SUBSTITUTE(SUBSTITUTE(SUBSTITUTE(SUBSTITUTE(SUBSTITUTE(SUBSTITUTE(LOWER(TRIM(E137)),"á","a"),"é","e"),"í","i"),"ó","o"),"ú","u"),"ü","u"),"ñ","n"),"à","a"),"è","e"),"ì","i"),"ò","o"),"ù","u"),"")</f>
        <v/>
      </c>
      <c r="T137" s="25">
        <f>IF(AND(Q137=1,G137&lt;&gt;""),SUBSTITUTE(SUBSTITUTE(SUBSTITUTE(SUBSTITUTE(SUBSTITUTE(SUBSTITUTE(SUBSTITUTE(SUBSTITUTE(SUBSTITUTE(SUBSTITUTE(SUBSTITUTE(SUBSTITUTE(LOWER(TRIM(G137)),"á","a"),"é","e"),"í","i"),"ó","o"),"ú","u"),"ü","u"),"ñ","n"),"à","a"),"è","e"),"ì","i"),"ò","o"),"ù","u"),"")</f>
        <v/>
      </c>
      <c r="U137" s="25">
        <f>IF(AND(Q137=1,H137&lt;&gt;""),SUBSTITUTE(SUBSTITUTE(SUBSTITUTE(SUBSTITUTE(SUBSTITUTE(SUBSTITUTE(SUBSTITUTE(SUBSTITUTE(SUBSTITUTE(SUBSTITUTE(SUBSTITUTE(SUBSTITUTE(LOWER(TRIM(H137)),"á","a"),"é","e"),"í","i"),"ó","o"),"ú","u"),"ü","u"),"ñ","n"),"à","a"),"è","e"),"ì","i"),"ò","o"),"ù","u"),"")</f>
        <v/>
      </c>
      <c r="V137" s="25">
        <f>IF(AND(Q137=1,L137&lt;&gt;""),SUBSTITUTE(SUBSTITUTE(SUBSTITUTE(SUBSTITUTE(SUBSTITUTE(SUBSTITUTE(SUBSTITUTE(SUBSTITUTE(SUBSTITUTE(SUBSTITUTE(SUBSTITUTE(SUBSTITUTE(LOWER(TRIM(L137)),"á","a"),"é","e"),"í","i"),"ó","o"),"ú","u"),"ü","u"),"ñ","n"),"à","a"),"è","e"),"ì","i"),"ò","o"),"ù","u"),"")</f>
        <v/>
      </c>
      <c r="W137" s="25">
        <f>IF(AND(Q137=1,I137&lt;&gt;""),SUBSTITUTE(SUBSTITUTE(SUBSTITUTE(SUBSTITUTE(SUBSTITUTE(SUBSTITUTE(SUBSTITUTE(SUBSTITUTE(SUBSTITUTE(SUBSTITUTE(SUBSTITUTE(SUBSTITUTE(LOWER(TRIM(I137)),"á","a"),"é","e"),"í","i"),"ó","o"),"ú","u"),"ü","u"),"ñ","n"),"à","a"),"è","e"),"ì","i"),"ò","o"),"ù","u"),"")</f>
        <v/>
      </c>
      <c r="X137" s="25">
        <f>IF(U137="","",IF(OR(U137="si, en la proxima tarea",U137="si, con cambios"),1,0))</f>
        <v/>
      </c>
      <c r="Y137" s="25">
        <f>IF(AND(Q137=1,A137&lt;&gt;""),IF(IFERROR(COUNTIFS(A$3:A137,"="&amp;SUBSTITUTE(SUBSTITUTE(SUBSTITUTE(A137,"~","~~"),"*","~*"),"?","~?"),Q$3:Q137,1),0)=1,MAX(Y$2:Y136)+1,""),"")</f>
        <v/>
      </c>
      <c r="Z137" s="25">
        <f>IF(Y137="","",COUNTIFS($A$3:$A$1002,"="&amp;SUBSTITUTE(SUBSTITUTE(SUBSTITUTE(A137,"~","~~"),"*","~*"),"?","~?"),$Q$3:$Q$1002,1)*10000-Y137)</f>
        <v/>
      </c>
    </row>
    <row r="138">
      <c r="A138">
        <f>IF(A$2=0,"",IFERROR(TRIM(INDEX('Pegar docentes'!$A$1:$BZ$1001,137,A$2)&amp;""),""))</f>
        <v/>
      </c>
      <c r="B138">
        <f>IF(B$2=0,"",IFERROR(TRIM(INDEX('Pegar docentes'!$A$1:$BZ$1001,137,B$2)&amp;""),""))</f>
        <v/>
      </c>
      <c r="C138">
        <f>IF(C$2=0,"",IFERROR(TRIM(INDEX('Pegar docentes'!$A$1:$BZ$1001,137,C$2)&amp;""),""))</f>
        <v/>
      </c>
      <c r="D138">
        <f>IF(D$2=0,"",IFERROR(TRIM(INDEX('Pegar docentes'!$A$1:$BZ$1001,137,D$2)&amp;""),""))</f>
        <v/>
      </c>
      <c r="E138">
        <f>IF(E$2=0,"",IFERROR(TRIM(INDEX('Pegar docentes'!$A$1:$BZ$1001,137,E$2)&amp;""),""))</f>
        <v/>
      </c>
      <c r="F138">
        <f>IF(F$2=0,"",IFERROR(TRIM(INDEX('Pegar docentes'!$A$1:$BZ$1001,137,F$2)&amp;""),""))</f>
        <v/>
      </c>
      <c r="G138">
        <f>IF(G$2=0,"",IFERROR(TRIM(INDEX('Pegar docentes'!$A$1:$BZ$1001,137,G$2)&amp;""),""))</f>
        <v/>
      </c>
      <c r="H138">
        <f>IF(H$2=0,"",IFERROR(TRIM(INDEX('Pegar docentes'!$A$1:$BZ$1001,137,H$2)&amp;""),""))</f>
        <v/>
      </c>
      <c r="I138">
        <f>IF(I$2=0,"",IFERROR(TRIM(INDEX('Pegar docentes'!$A$1:$BZ$1001,137,I$2)&amp;""),""))</f>
        <v/>
      </c>
      <c r="J138">
        <f>IF(J$2=0,"",IFERROR(TRIM(INDEX('Pegar docentes'!$A$1:$BZ$1001,137,J$2)&amp;""),""))</f>
        <v/>
      </c>
      <c r="K138">
        <f>IF(K$2=0,"",IFERROR(TRIM(INDEX('Pegar docentes'!$A$1:$BZ$1001,137,K$2)&amp;""),""))</f>
        <v/>
      </c>
      <c r="L138">
        <f>IF(L$2=0,"",IFERROR(TRIM(INDEX('Pegar docentes'!$A$1:$BZ$1001,137,L$2)&amp;""),""))</f>
        <v/>
      </c>
      <c r="M138">
        <f>IF(M$2=0,"",IFERROR(TRIM(INDEX('Pegar docentes'!$A$1:$BZ$1001,137,M$2)&amp;""),""))</f>
        <v/>
      </c>
      <c r="N138">
        <f>IF(N$2=0,"",IFERROR(TRIM(INDEX('Pegar docentes'!$A$1:$BZ$1001,137,N$2)&amp;""),""))</f>
        <v/>
      </c>
      <c r="O138">
        <f>IF(O$2=0,"",IFERROR(TRIM(INDEX('Pegar docentes'!$A$1:$BZ$1001,137,O$2)&amp;""),""))</f>
        <v/>
      </c>
      <c r="P138">
        <f>IF(P$2=0,"",IFERROR(TRIM(INDEX('Pegar docentes'!$A$1:$BZ$1001,137,P$2)&amp;""),""))</f>
        <v/>
      </c>
      <c r="Q138" s="25">
        <f>IF(OR(D138&lt;&gt;"",H138&lt;&gt;""),1,"")</f>
        <v/>
      </c>
      <c r="R138" s="25">
        <f>IF(Q138=1,IF(ISNUMBER(FIND("#"&amp;MID(D138,1,1)&amp;"#","#0#1#2#3#4#5#6#7#8#9#")),IF(ISNUMBER(FIND("#"&amp;MID(D138,2,1)&amp;"#","#0#1#2#3#4#5#6#7#8#9#")),IF(AND(VALUE(LEFT(D138,2))&gt;=1,VALUE(LEFT(D138,2))&lt;=5),VALUE(LEFT(D138,2)),""),IF(AND(VALUE(LEFT(D138,1))&gt;=1,VALUE(LEFT(D138,1))&lt;=5),VALUE(LEFT(D138,1)),"")),""),"")</f>
        <v/>
      </c>
      <c r="S138" s="25">
        <f>IF(AND(Q138=1,E138&lt;&gt;""),SUBSTITUTE(SUBSTITUTE(SUBSTITUTE(SUBSTITUTE(SUBSTITUTE(SUBSTITUTE(SUBSTITUTE(SUBSTITUTE(SUBSTITUTE(SUBSTITUTE(SUBSTITUTE(SUBSTITUTE(LOWER(TRIM(E138)),"á","a"),"é","e"),"í","i"),"ó","o"),"ú","u"),"ü","u"),"ñ","n"),"à","a"),"è","e"),"ì","i"),"ò","o"),"ù","u"),"")</f>
        <v/>
      </c>
      <c r="T138" s="25">
        <f>IF(AND(Q138=1,G138&lt;&gt;""),SUBSTITUTE(SUBSTITUTE(SUBSTITUTE(SUBSTITUTE(SUBSTITUTE(SUBSTITUTE(SUBSTITUTE(SUBSTITUTE(SUBSTITUTE(SUBSTITUTE(SUBSTITUTE(SUBSTITUTE(LOWER(TRIM(G138)),"á","a"),"é","e"),"í","i"),"ó","o"),"ú","u"),"ü","u"),"ñ","n"),"à","a"),"è","e"),"ì","i"),"ò","o"),"ù","u"),"")</f>
        <v/>
      </c>
      <c r="U138" s="25">
        <f>IF(AND(Q138=1,H138&lt;&gt;""),SUBSTITUTE(SUBSTITUTE(SUBSTITUTE(SUBSTITUTE(SUBSTITUTE(SUBSTITUTE(SUBSTITUTE(SUBSTITUTE(SUBSTITUTE(SUBSTITUTE(SUBSTITUTE(SUBSTITUTE(LOWER(TRIM(H138)),"á","a"),"é","e"),"í","i"),"ó","o"),"ú","u"),"ü","u"),"ñ","n"),"à","a"),"è","e"),"ì","i"),"ò","o"),"ù","u"),"")</f>
        <v/>
      </c>
      <c r="V138" s="25">
        <f>IF(AND(Q138=1,L138&lt;&gt;""),SUBSTITUTE(SUBSTITUTE(SUBSTITUTE(SUBSTITUTE(SUBSTITUTE(SUBSTITUTE(SUBSTITUTE(SUBSTITUTE(SUBSTITUTE(SUBSTITUTE(SUBSTITUTE(SUBSTITUTE(LOWER(TRIM(L138)),"á","a"),"é","e"),"í","i"),"ó","o"),"ú","u"),"ü","u"),"ñ","n"),"à","a"),"è","e"),"ì","i"),"ò","o"),"ù","u"),"")</f>
        <v/>
      </c>
      <c r="W138" s="25">
        <f>IF(AND(Q138=1,I138&lt;&gt;""),SUBSTITUTE(SUBSTITUTE(SUBSTITUTE(SUBSTITUTE(SUBSTITUTE(SUBSTITUTE(SUBSTITUTE(SUBSTITUTE(SUBSTITUTE(SUBSTITUTE(SUBSTITUTE(SUBSTITUTE(LOWER(TRIM(I138)),"á","a"),"é","e"),"í","i"),"ó","o"),"ú","u"),"ü","u"),"ñ","n"),"à","a"),"è","e"),"ì","i"),"ò","o"),"ù","u"),"")</f>
        <v/>
      </c>
      <c r="X138" s="25">
        <f>IF(U138="","",IF(OR(U138="si, en la proxima tarea",U138="si, con cambios"),1,0))</f>
        <v/>
      </c>
      <c r="Y138" s="25">
        <f>IF(AND(Q138=1,A138&lt;&gt;""),IF(IFERROR(COUNTIFS(A$3:A138,"="&amp;SUBSTITUTE(SUBSTITUTE(SUBSTITUTE(A138,"~","~~"),"*","~*"),"?","~?"),Q$3:Q138,1),0)=1,MAX(Y$2:Y137)+1,""),"")</f>
        <v/>
      </c>
      <c r="Z138" s="25">
        <f>IF(Y138="","",COUNTIFS($A$3:$A$1002,"="&amp;SUBSTITUTE(SUBSTITUTE(SUBSTITUTE(A138,"~","~~"),"*","~*"),"?","~?"),$Q$3:$Q$1002,1)*10000-Y138)</f>
        <v/>
      </c>
    </row>
    <row r="139">
      <c r="A139">
        <f>IF(A$2=0,"",IFERROR(TRIM(INDEX('Pegar docentes'!$A$1:$BZ$1001,138,A$2)&amp;""),""))</f>
        <v/>
      </c>
      <c r="B139">
        <f>IF(B$2=0,"",IFERROR(TRIM(INDEX('Pegar docentes'!$A$1:$BZ$1001,138,B$2)&amp;""),""))</f>
        <v/>
      </c>
      <c r="C139">
        <f>IF(C$2=0,"",IFERROR(TRIM(INDEX('Pegar docentes'!$A$1:$BZ$1001,138,C$2)&amp;""),""))</f>
        <v/>
      </c>
      <c r="D139">
        <f>IF(D$2=0,"",IFERROR(TRIM(INDEX('Pegar docentes'!$A$1:$BZ$1001,138,D$2)&amp;""),""))</f>
        <v/>
      </c>
      <c r="E139">
        <f>IF(E$2=0,"",IFERROR(TRIM(INDEX('Pegar docentes'!$A$1:$BZ$1001,138,E$2)&amp;""),""))</f>
        <v/>
      </c>
      <c r="F139">
        <f>IF(F$2=0,"",IFERROR(TRIM(INDEX('Pegar docentes'!$A$1:$BZ$1001,138,F$2)&amp;""),""))</f>
        <v/>
      </c>
      <c r="G139">
        <f>IF(G$2=0,"",IFERROR(TRIM(INDEX('Pegar docentes'!$A$1:$BZ$1001,138,G$2)&amp;""),""))</f>
        <v/>
      </c>
      <c r="H139">
        <f>IF(H$2=0,"",IFERROR(TRIM(INDEX('Pegar docentes'!$A$1:$BZ$1001,138,H$2)&amp;""),""))</f>
        <v/>
      </c>
      <c r="I139">
        <f>IF(I$2=0,"",IFERROR(TRIM(INDEX('Pegar docentes'!$A$1:$BZ$1001,138,I$2)&amp;""),""))</f>
        <v/>
      </c>
      <c r="J139">
        <f>IF(J$2=0,"",IFERROR(TRIM(INDEX('Pegar docentes'!$A$1:$BZ$1001,138,J$2)&amp;""),""))</f>
        <v/>
      </c>
      <c r="K139">
        <f>IF(K$2=0,"",IFERROR(TRIM(INDEX('Pegar docentes'!$A$1:$BZ$1001,138,K$2)&amp;""),""))</f>
        <v/>
      </c>
      <c r="L139">
        <f>IF(L$2=0,"",IFERROR(TRIM(INDEX('Pegar docentes'!$A$1:$BZ$1001,138,L$2)&amp;""),""))</f>
        <v/>
      </c>
      <c r="M139">
        <f>IF(M$2=0,"",IFERROR(TRIM(INDEX('Pegar docentes'!$A$1:$BZ$1001,138,M$2)&amp;""),""))</f>
        <v/>
      </c>
      <c r="N139">
        <f>IF(N$2=0,"",IFERROR(TRIM(INDEX('Pegar docentes'!$A$1:$BZ$1001,138,N$2)&amp;""),""))</f>
        <v/>
      </c>
      <c r="O139">
        <f>IF(O$2=0,"",IFERROR(TRIM(INDEX('Pegar docentes'!$A$1:$BZ$1001,138,O$2)&amp;""),""))</f>
        <v/>
      </c>
      <c r="P139">
        <f>IF(P$2=0,"",IFERROR(TRIM(INDEX('Pegar docentes'!$A$1:$BZ$1001,138,P$2)&amp;""),""))</f>
        <v/>
      </c>
      <c r="Q139" s="25">
        <f>IF(OR(D139&lt;&gt;"",H139&lt;&gt;""),1,"")</f>
        <v/>
      </c>
      <c r="R139" s="25">
        <f>IF(Q139=1,IF(ISNUMBER(FIND("#"&amp;MID(D139,1,1)&amp;"#","#0#1#2#3#4#5#6#7#8#9#")),IF(ISNUMBER(FIND("#"&amp;MID(D139,2,1)&amp;"#","#0#1#2#3#4#5#6#7#8#9#")),IF(AND(VALUE(LEFT(D139,2))&gt;=1,VALUE(LEFT(D139,2))&lt;=5),VALUE(LEFT(D139,2)),""),IF(AND(VALUE(LEFT(D139,1))&gt;=1,VALUE(LEFT(D139,1))&lt;=5),VALUE(LEFT(D139,1)),"")),""),"")</f>
        <v/>
      </c>
      <c r="S139" s="25">
        <f>IF(AND(Q139=1,E139&lt;&gt;""),SUBSTITUTE(SUBSTITUTE(SUBSTITUTE(SUBSTITUTE(SUBSTITUTE(SUBSTITUTE(SUBSTITUTE(SUBSTITUTE(SUBSTITUTE(SUBSTITUTE(SUBSTITUTE(SUBSTITUTE(LOWER(TRIM(E139)),"á","a"),"é","e"),"í","i"),"ó","o"),"ú","u"),"ü","u"),"ñ","n"),"à","a"),"è","e"),"ì","i"),"ò","o"),"ù","u"),"")</f>
        <v/>
      </c>
      <c r="T139" s="25">
        <f>IF(AND(Q139=1,G139&lt;&gt;""),SUBSTITUTE(SUBSTITUTE(SUBSTITUTE(SUBSTITUTE(SUBSTITUTE(SUBSTITUTE(SUBSTITUTE(SUBSTITUTE(SUBSTITUTE(SUBSTITUTE(SUBSTITUTE(SUBSTITUTE(LOWER(TRIM(G139)),"á","a"),"é","e"),"í","i"),"ó","o"),"ú","u"),"ü","u"),"ñ","n"),"à","a"),"è","e"),"ì","i"),"ò","o"),"ù","u"),"")</f>
        <v/>
      </c>
      <c r="U139" s="25">
        <f>IF(AND(Q139=1,H139&lt;&gt;""),SUBSTITUTE(SUBSTITUTE(SUBSTITUTE(SUBSTITUTE(SUBSTITUTE(SUBSTITUTE(SUBSTITUTE(SUBSTITUTE(SUBSTITUTE(SUBSTITUTE(SUBSTITUTE(SUBSTITUTE(LOWER(TRIM(H139)),"á","a"),"é","e"),"í","i"),"ó","o"),"ú","u"),"ü","u"),"ñ","n"),"à","a"),"è","e"),"ì","i"),"ò","o"),"ù","u"),"")</f>
        <v/>
      </c>
      <c r="V139" s="25">
        <f>IF(AND(Q139=1,L139&lt;&gt;""),SUBSTITUTE(SUBSTITUTE(SUBSTITUTE(SUBSTITUTE(SUBSTITUTE(SUBSTITUTE(SUBSTITUTE(SUBSTITUTE(SUBSTITUTE(SUBSTITUTE(SUBSTITUTE(SUBSTITUTE(LOWER(TRIM(L139)),"á","a"),"é","e"),"í","i"),"ó","o"),"ú","u"),"ü","u"),"ñ","n"),"à","a"),"è","e"),"ì","i"),"ò","o"),"ù","u"),"")</f>
        <v/>
      </c>
      <c r="W139" s="25">
        <f>IF(AND(Q139=1,I139&lt;&gt;""),SUBSTITUTE(SUBSTITUTE(SUBSTITUTE(SUBSTITUTE(SUBSTITUTE(SUBSTITUTE(SUBSTITUTE(SUBSTITUTE(SUBSTITUTE(SUBSTITUTE(SUBSTITUTE(SUBSTITUTE(LOWER(TRIM(I139)),"á","a"),"é","e"),"í","i"),"ó","o"),"ú","u"),"ü","u"),"ñ","n"),"à","a"),"è","e"),"ì","i"),"ò","o"),"ù","u"),"")</f>
        <v/>
      </c>
      <c r="X139" s="25">
        <f>IF(U139="","",IF(OR(U139="si, en la proxima tarea",U139="si, con cambios"),1,0))</f>
        <v/>
      </c>
      <c r="Y139" s="25">
        <f>IF(AND(Q139=1,A139&lt;&gt;""),IF(IFERROR(COUNTIFS(A$3:A139,"="&amp;SUBSTITUTE(SUBSTITUTE(SUBSTITUTE(A139,"~","~~"),"*","~*"),"?","~?"),Q$3:Q139,1),0)=1,MAX(Y$2:Y138)+1,""),"")</f>
        <v/>
      </c>
      <c r="Z139" s="25">
        <f>IF(Y139="","",COUNTIFS($A$3:$A$1002,"="&amp;SUBSTITUTE(SUBSTITUTE(SUBSTITUTE(A139,"~","~~"),"*","~*"),"?","~?"),$Q$3:$Q$1002,1)*10000-Y139)</f>
        <v/>
      </c>
    </row>
    <row r="140">
      <c r="A140">
        <f>IF(A$2=0,"",IFERROR(TRIM(INDEX('Pegar docentes'!$A$1:$BZ$1001,139,A$2)&amp;""),""))</f>
        <v/>
      </c>
      <c r="B140">
        <f>IF(B$2=0,"",IFERROR(TRIM(INDEX('Pegar docentes'!$A$1:$BZ$1001,139,B$2)&amp;""),""))</f>
        <v/>
      </c>
      <c r="C140">
        <f>IF(C$2=0,"",IFERROR(TRIM(INDEX('Pegar docentes'!$A$1:$BZ$1001,139,C$2)&amp;""),""))</f>
        <v/>
      </c>
      <c r="D140">
        <f>IF(D$2=0,"",IFERROR(TRIM(INDEX('Pegar docentes'!$A$1:$BZ$1001,139,D$2)&amp;""),""))</f>
        <v/>
      </c>
      <c r="E140">
        <f>IF(E$2=0,"",IFERROR(TRIM(INDEX('Pegar docentes'!$A$1:$BZ$1001,139,E$2)&amp;""),""))</f>
        <v/>
      </c>
      <c r="F140">
        <f>IF(F$2=0,"",IFERROR(TRIM(INDEX('Pegar docentes'!$A$1:$BZ$1001,139,F$2)&amp;""),""))</f>
        <v/>
      </c>
      <c r="G140">
        <f>IF(G$2=0,"",IFERROR(TRIM(INDEX('Pegar docentes'!$A$1:$BZ$1001,139,G$2)&amp;""),""))</f>
        <v/>
      </c>
      <c r="H140">
        <f>IF(H$2=0,"",IFERROR(TRIM(INDEX('Pegar docentes'!$A$1:$BZ$1001,139,H$2)&amp;""),""))</f>
        <v/>
      </c>
      <c r="I140">
        <f>IF(I$2=0,"",IFERROR(TRIM(INDEX('Pegar docentes'!$A$1:$BZ$1001,139,I$2)&amp;""),""))</f>
        <v/>
      </c>
      <c r="J140">
        <f>IF(J$2=0,"",IFERROR(TRIM(INDEX('Pegar docentes'!$A$1:$BZ$1001,139,J$2)&amp;""),""))</f>
        <v/>
      </c>
      <c r="K140">
        <f>IF(K$2=0,"",IFERROR(TRIM(INDEX('Pegar docentes'!$A$1:$BZ$1001,139,K$2)&amp;""),""))</f>
        <v/>
      </c>
      <c r="L140">
        <f>IF(L$2=0,"",IFERROR(TRIM(INDEX('Pegar docentes'!$A$1:$BZ$1001,139,L$2)&amp;""),""))</f>
        <v/>
      </c>
      <c r="M140">
        <f>IF(M$2=0,"",IFERROR(TRIM(INDEX('Pegar docentes'!$A$1:$BZ$1001,139,M$2)&amp;""),""))</f>
        <v/>
      </c>
      <c r="N140">
        <f>IF(N$2=0,"",IFERROR(TRIM(INDEX('Pegar docentes'!$A$1:$BZ$1001,139,N$2)&amp;""),""))</f>
        <v/>
      </c>
      <c r="O140">
        <f>IF(O$2=0,"",IFERROR(TRIM(INDEX('Pegar docentes'!$A$1:$BZ$1001,139,O$2)&amp;""),""))</f>
        <v/>
      </c>
      <c r="P140">
        <f>IF(P$2=0,"",IFERROR(TRIM(INDEX('Pegar docentes'!$A$1:$BZ$1001,139,P$2)&amp;""),""))</f>
        <v/>
      </c>
      <c r="Q140" s="25">
        <f>IF(OR(D140&lt;&gt;"",H140&lt;&gt;""),1,"")</f>
        <v/>
      </c>
      <c r="R140" s="25">
        <f>IF(Q140=1,IF(ISNUMBER(FIND("#"&amp;MID(D140,1,1)&amp;"#","#0#1#2#3#4#5#6#7#8#9#")),IF(ISNUMBER(FIND("#"&amp;MID(D140,2,1)&amp;"#","#0#1#2#3#4#5#6#7#8#9#")),IF(AND(VALUE(LEFT(D140,2))&gt;=1,VALUE(LEFT(D140,2))&lt;=5),VALUE(LEFT(D140,2)),""),IF(AND(VALUE(LEFT(D140,1))&gt;=1,VALUE(LEFT(D140,1))&lt;=5),VALUE(LEFT(D140,1)),"")),""),"")</f>
        <v/>
      </c>
      <c r="S140" s="25">
        <f>IF(AND(Q140=1,E140&lt;&gt;""),SUBSTITUTE(SUBSTITUTE(SUBSTITUTE(SUBSTITUTE(SUBSTITUTE(SUBSTITUTE(SUBSTITUTE(SUBSTITUTE(SUBSTITUTE(SUBSTITUTE(SUBSTITUTE(SUBSTITUTE(LOWER(TRIM(E140)),"á","a"),"é","e"),"í","i"),"ó","o"),"ú","u"),"ü","u"),"ñ","n"),"à","a"),"è","e"),"ì","i"),"ò","o"),"ù","u"),"")</f>
        <v/>
      </c>
      <c r="T140" s="25">
        <f>IF(AND(Q140=1,G140&lt;&gt;""),SUBSTITUTE(SUBSTITUTE(SUBSTITUTE(SUBSTITUTE(SUBSTITUTE(SUBSTITUTE(SUBSTITUTE(SUBSTITUTE(SUBSTITUTE(SUBSTITUTE(SUBSTITUTE(SUBSTITUTE(LOWER(TRIM(G140)),"á","a"),"é","e"),"í","i"),"ó","o"),"ú","u"),"ü","u"),"ñ","n"),"à","a"),"è","e"),"ì","i"),"ò","o"),"ù","u"),"")</f>
        <v/>
      </c>
      <c r="U140" s="25">
        <f>IF(AND(Q140=1,H140&lt;&gt;""),SUBSTITUTE(SUBSTITUTE(SUBSTITUTE(SUBSTITUTE(SUBSTITUTE(SUBSTITUTE(SUBSTITUTE(SUBSTITUTE(SUBSTITUTE(SUBSTITUTE(SUBSTITUTE(SUBSTITUTE(LOWER(TRIM(H140)),"á","a"),"é","e"),"í","i"),"ó","o"),"ú","u"),"ü","u"),"ñ","n"),"à","a"),"è","e"),"ì","i"),"ò","o"),"ù","u"),"")</f>
        <v/>
      </c>
      <c r="V140" s="25">
        <f>IF(AND(Q140=1,L140&lt;&gt;""),SUBSTITUTE(SUBSTITUTE(SUBSTITUTE(SUBSTITUTE(SUBSTITUTE(SUBSTITUTE(SUBSTITUTE(SUBSTITUTE(SUBSTITUTE(SUBSTITUTE(SUBSTITUTE(SUBSTITUTE(LOWER(TRIM(L140)),"á","a"),"é","e"),"í","i"),"ó","o"),"ú","u"),"ü","u"),"ñ","n"),"à","a"),"è","e"),"ì","i"),"ò","o"),"ù","u"),"")</f>
        <v/>
      </c>
      <c r="W140" s="25">
        <f>IF(AND(Q140=1,I140&lt;&gt;""),SUBSTITUTE(SUBSTITUTE(SUBSTITUTE(SUBSTITUTE(SUBSTITUTE(SUBSTITUTE(SUBSTITUTE(SUBSTITUTE(SUBSTITUTE(SUBSTITUTE(SUBSTITUTE(SUBSTITUTE(LOWER(TRIM(I140)),"á","a"),"é","e"),"í","i"),"ó","o"),"ú","u"),"ü","u"),"ñ","n"),"à","a"),"è","e"),"ì","i"),"ò","o"),"ù","u"),"")</f>
        <v/>
      </c>
      <c r="X140" s="25">
        <f>IF(U140="","",IF(OR(U140="si, en la proxima tarea",U140="si, con cambios"),1,0))</f>
        <v/>
      </c>
      <c r="Y140" s="25">
        <f>IF(AND(Q140=1,A140&lt;&gt;""),IF(IFERROR(COUNTIFS(A$3:A140,"="&amp;SUBSTITUTE(SUBSTITUTE(SUBSTITUTE(A140,"~","~~"),"*","~*"),"?","~?"),Q$3:Q140,1),0)=1,MAX(Y$2:Y139)+1,""),"")</f>
        <v/>
      </c>
      <c r="Z140" s="25">
        <f>IF(Y140="","",COUNTIFS($A$3:$A$1002,"="&amp;SUBSTITUTE(SUBSTITUTE(SUBSTITUTE(A140,"~","~~"),"*","~*"),"?","~?"),$Q$3:$Q$1002,1)*10000-Y140)</f>
        <v/>
      </c>
    </row>
    <row r="141">
      <c r="A141">
        <f>IF(A$2=0,"",IFERROR(TRIM(INDEX('Pegar docentes'!$A$1:$BZ$1001,140,A$2)&amp;""),""))</f>
        <v/>
      </c>
      <c r="B141">
        <f>IF(B$2=0,"",IFERROR(TRIM(INDEX('Pegar docentes'!$A$1:$BZ$1001,140,B$2)&amp;""),""))</f>
        <v/>
      </c>
      <c r="C141">
        <f>IF(C$2=0,"",IFERROR(TRIM(INDEX('Pegar docentes'!$A$1:$BZ$1001,140,C$2)&amp;""),""))</f>
        <v/>
      </c>
      <c r="D141">
        <f>IF(D$2=0,"",IFERROR(TRIM(INDEX('Pegar docentes'!$A$1:$BZ$1001,140,D$2)&amp;""),""))</f>
        <v/>
      </c>
      <c r="E141">
        <f>IF(E$2=0,"",IFERROR(TRIM(INDEX('Pegar docentes'!$A$1:$BZ$1001,140,E$2)&amp;""),""))</f>
        <v/>
      </c>
      <c r="F141">
        <f>IF(F$2=0,"",IFERROR(TRIM(INDEX('Pegar docentes'!$A$1:$BZ$1001,140,F$2)&amp;""),""))</f>
        <v/>
      </c>
      <c r="G141">
        <f>IF(G$2=0,"",IFERROR(TRIM(INDEX('Pegar docentes'!$A$1:$BZ$1001,140,G$2)&amp;""),""))</f>
        <v/>
      </c>
      <c r="H141">
        <f>IF(H$2=0,"",IFERROR(TRIM(INDEX('Pegar docentes'!$A$1:$BZ$1001,140,H$2)&amp;""),""))</f>
        <v/>
      </c>
      <c r="I141">
        <f>IF(I$2=0,"",IFERROR(TRIM(INDEX('Pegar docentes'!$A$1:$BZ$1001,140,I$2)&amp;""),""))</f>
        <v/>
      </c>
      <c r="J141">
        <f>IF(J$2=0,"",IFERROR(TRIM(INDEX('Pegar docentes'!$A$1:$BZ$1001,140,J$2)&amp;""),""))</f>
        <v/>
      </c>
      <c r="K141">
        <f>IF(K$2=0,"",IFERROR(TRIM(INDEX('Pegar docentes'!$A$1:$BZ$1001,140,K$2)&amp;""),""))</f>
        <v/>
      </c>
      <c r="L141">
        <f>IF(L$2=0,"",IFERROR(TRIM(INDEX('Pegar docentes'!$A$1:$BZ$1001,140,L$2)&amp;""),""))</f>
        <v/>
      </c>
      <c r="M141">
        <f>IF(M$2=0,"",IFERROR(TRIM(INDEX('Pegar docentes'!$A$1:$BZ$1001,140,M$2)&amp;""),""))</f>
        <v/>
      </c>
      <c r="N141">
        <f>IF(N$2=0,"",IFERROR(TRIM(INDEX('Pegar docentes'!$A$1:$BZ$1001,140,N$2)&amp;""),""))</f>
        <v/>
      </c>
      <c r="O141">
        <f>IF(O$2=0,"",IFERROR(TRIM(INDEX('Pegar docentes'!$A$1:$BZ$1001,140,O$2)&amp;""),""))</f>
        <v/>
      </c>
      <c r="P141">
        <f>IF(P$2=0,"",IFERROR(TRIM(INDEX('Pegar docentes'!$A$1:$BZ$1001,140,P$2)&amp;""),""))</f>
        <v/>
      </c>
      <c r="Q141" s="25">
        <f>IF(OR(D141&lt;&gt;"",H141&lt;&gt;""),1,"")</f>
        <v/>
      </c>
      <c r="R141" s="25">
        <f>IF(Q141=1,IF(ISNUMBER(FIND("#"&amp;MID(D141,1,1)&amp;"#","#0#1#2#3#4#5#6#7#8#9#")),IF(ISNUMBER(FIND("#"&amp;MID(D141,2,1)&amp;"#","#0#1#2#3#4#5#6#7#8#9#")),IF(AND(VALUE(LEFT(D141,2))&gt;=1,VALUE(LEFT(D141,2))&lt;=5),VALUE(LEFT(D141,2)),""),IF(AND(VALUE(LEFT(D141,1))&gt;=1,VALUE(LEFT(D141,1))&lt;=5),VALUE(LEFT(D141,1)),"")),""),"")</f>
        <v/>
      </c>
      <c r="S141" s="25">
        <f>IF(AND(Q141=1,E141&lt;&gt;""),SUBSTITUTE(SUBSTITUTE(SUBSTITUTE(SUBSTITUTE(SUBSTITUTE(SUBSTITUTE(SUBSTITUTE(SUBSTITUTE(SUBSTITUTE(SUBSTITUTE(SUBSTITUTE(SUBSTITUTE(LOWER(TRIM(E141)),"á","a"),"é","e"),"í","i"),"ó","o"),"ú","u"),"ü","u"),"ñ","n"),"à","a"),"è","e"),"ì","i"),"ò","o"),"ù","u"),"")</f>
        <v/>
      </c>
      <c r="T141" s="25">
        <f>IF(AND(Q141=1,G141&lt;&gt;""),SUBSTITUTE(SUBSTITUTE(SUBSTITUTE(SUBSTITUTE(SUBSTITUTE(SUBSTITUTE(SUBSTITUTE(SUBSTITUTE(SUBSTITUTE(SUBSTITUTE(SUBSTITUTE(SUBSTITUTE(LOWER(TRIM(G141)),"á","a"),"é","e"),"í","i"),"ó","o"),"ú","u"),"ü","u"),"ñ","n"),"à","a"),"è","e"),"ì","i"),"ò","o"),"ù","u"),"")</f>
        <v/>
      </c>
      <c r="U141" s="25">
        <f>IF(AND(Q141=1,H141&lt;&gt;""),SUBSTITUTE(SUBSTITUTE(SUBSTITUTE(SUBSTITUTE(SUBSTITUTE(SUBSTITUTE(SUBSTITUTE(SUBSTITUTE(SUBSTITUTE(SUBSTITUTE(SUBSTITUTE(SUBSTITUTE(LOWER(TRIM(H141)),"á","a"),"é","e"),"í","i"),"ó","o"),"ú","u"),"ü","u"),"ñ","n"),"à","a"),"è","e"),"ì","i"),"ò","o"),"ù","u"),"")</f>
        <v/>
      </c>
      <c r="V141" s="25">
        <f>IF(AND(Q141=1,L141&lt;&gt;""),SUBSTITUTE(SUBSTITUTE(SUBSTITUTE(SUBSTITUTE(SUBSTITUTE(SUBSTITUTE(SUBSTITUTE(SUBSTITUTE(SUBSTITUTE(SUBSTITUTE(SUBSTITUTE(SUBSTITUTE(LOWER(TRIM(L141)),"á","a"),"é","e"),"í","i"),"ó","o"),"ú","u"),"ü","u"),"ñ","n"),"à","a"),"è","e"),"ì","i"),"ò","o"),"ù","u"),"")</f>
        <v/>
      </c>
      <c r="W141" s="25">
        <f>IF(AND(Q141=1,I141&lt;&gt;""),SUBSTITUTE(SUBSTITUTE(SUBSTITUTE(SUBSTITUTE(SUBSTITUTE(SUBSTITUTE(SUBSTITUTE(SUBSTITUTE(SUBSTITUTE(SUBSTITUTE(SUBSTITUTE(SUBSTITUTE(LOWER(TRIM(I141)),"á","a"),"é","e"),"í","i"),"ó","o"),"ú","u"),"ü","u"),"ñ","n"),"à","a"),"è","e"),"ì","i"),"ò","o"),"ù","u"),"")</f>
        <v/>
      </c>
      <c r="X141" s="25">
        <f>IF(U141="","",IF(OR(U141="si, en la proxima tarea",U141="si, con cambios"),1,0))</f>
        <v/>
      </c>
      <c r="Y141" s="25">
        <f>IF(AND(Q141=1,A141&lt;&gt;""),IF(IFERROR(COUNTIFS(A$3:A141,"="&amp;SUBSTITUTE(SUBSTITUTE(SUBSTITUTE(A141,"~","~~"),"*","~*"),"?","~?"),Q$3:Q141,1),0)=1,MAX(Y$2:Y140)+1,""),"")</f>
        <v/>
      </c>
      <c r="Z141" s="25">
        <f>IF(Y141="","",COUNTIFS($A$3:$A$1002,"="&amp;SUBSTITUTE(SUBSTITUTE(SUBSTITUTE(A141,"~","~~"),"*","~*"),"?","~?"),$Q$3:$Q$1002,1)*10000-Y141)</f>
        <v/>
      </c>
    </row>
    <row r="142">
      <c r="A142">
        <f>IF(A$2=0,"",IFERROR(TRIM(INDEX('Pegar docentes'!$A$1:$BZ$1001,141,A$2)&amp;""),""))</f>
        <v/>
      </c>
      <c r="B142">
        <f>IF(B$2=0,"",IFERROR(TRIM(INDEX('Pegar docentes'!$A$1:$BZ$1001,141,B$2)&amp;""),""))</f>
        <v/>
      </c>
      <c r="C142">
        <f>IF(C$2=0,"",IFERROR(TRIM(INDEX('Pegar docentes'!$A$1:$BZ$1001,141,C$2)&amp;""),""))</f>
        <v/>
      </c>
      <c r="D142">
        <f>IF(D$2=0,"",IFERROR(TRIM(INDEX('Pegar docentes'!$A$1:$BZ$1001,141,D$2)&amp;""),""))</f>
        <v/>
      </c>
      <c r="E142">
        <f>IF(E$2=0,"",IFERROR(TRIM(INDEX('Pegar docentes'!$A$1:$BZ$1001,141,E$2)&amp;""),""))</f>
        <v/>
      </c>
      <c r="F142">
        <f>IF(F$2=0,"",IFERROR(TRIM(INDEX('Pegar docentes'!$A$1:$BZ$1001,141,F$2)&amp;""),""))</f>
        <v/>
      </c>
      <c r="G142">
        <f>IF(G$2=0,"",IFERROR(TRIM(INDEX('Pegar docentes'!$A$1:$BZ$1001,141,G$2)&amp;""),""))</f>
        <v/>
      </c>
      <c r="H142">
        <f>IF(H$2=0,"",IFERROR(TRIM(INDEX('Pegar docentes'!$A$1:$BZ$1001,141,H$2)&amp;""),""))</f>
        <v/>
      </c>
      <c r="I142">
        <f>IF(I$2=0,"",IFERROR(TRIM(INDEX('Pegar docentes'!$A$1:$BZ$1001,141,I$2)&amp;""),""))</f>
        <v/>
      </c>
      <c r="J142">
        <f>IF(J$2=0,"",IFERROR(TRIM(INDEX('Pegar docentes'!$A$1:$BZ$1001,141,J$2)&amp;""),""))</f>
        <v/>
      </c>
      <c r="K142">
        <f>IF(K$2=0,"",IFERROR(TRIM(INDEX('Pegar docentes'!$A$1:$BZ$1001,141,K$2)&amp;""),""))</f>
        <v/>
      </c>
      <c r="L142">
        <f>IF(L$2=0,"",IFERROR(TRIM(INDEX('Pegar docentes'!$A$1:$BZ$1001,141,L$2)&amp;""),""))</f>
        <v/>
      </c>
      <c r="M142">
        <f>IF(M$2=0,"",IFERROR(TRIM(INDEX('Pegar docentes'!$A$1:$BZ$1001,141,M$2)&amp;""),""))</f>
        <v/>
      </c>
      <c r="N142">
        <f>IF(N$2=0,"",IFERROR(TRIM(INDEX('Pegar docentes'!$A$1:$BZ$1001,141,N$2)&amp;""),""))</f>
        <v/>
      </c>
      <c r="O142">
        <f>IF(O$2=0,"",IFERROR(TRIM(INDEX('Pegar docentes'!$A$1:$BZ$1001,141,O$2)&amp;""),""))</f>
        <v/>
      </c>
      <c r="P142">
        <f>IF(P$2=0,"",IFERROR(TRIM(INDEX('Pegar docentes'!$A$1:$BZ$1001,141,P$2)&amp;""),""))</f>
        <v/>
      </c>
      <c r="Q142" s="25">
        <f>IF(OR(D142&lt;&gt;"",H142&lt;&gt;""),1,"")</f>
        <v/>
      </c>
      <c r="R142" s="25">
        <f>IF(Q142=1,IF(ISNUMBER(FIND("#"&amp;MID(D142,1,1)&amp;"#","#0#1#2#3#4#5#6#7#8#9#")),IF(ISNUMBER(FIND("#"&amp;MID(D142,2,1)&amp;"#","#0#1#2#3#4#5#6#7#8#9#")),IF(AND(VALUE(LEFT(D142,2))&gt;=1,VALUE(LEFT(D142,2))&lt;=5),VALUE(LEFT(D142,2)),""),IF(AND(VALUE(LEFT(D142,1))&gt;=1,VALUE(LEFT(D142,1))&lt;=5),VALUE(LEFT(D142,1)),"")),""),"")</f>
        <v/>
      </c>
      <c r="S142" s="25">
        <f>IF(AND(Q142=1,E142&lt;&gt;""),SUBSTITUTE(SUBSTITUTE(SUBSTITUTE(SUBSTITUTE(SUBSTITUTE(SUBSTITUTE(SUBSTITUTE(SUBSTITUTE(SUBSTITUTE(SUBSTITUTE(SUBSTITUTE(SUBSTITUTE(LOWER(TRIM(E142)),"á","a"),"é","e"),"í","i"),"ó","o"),"ú","u"),"ü","u"),"ñ","n"),"à","a"),"è","e"),"ì","i"),"ò","o"),"ù","u"),"")</f>
        <v/>
      </c>
      <c r="T142" s="25">
        <f>IF(AND(Q142=1,G142&lt;&gt;""),SUBSTITUTE(SUBSTITUTE(SUBSTITUTE(SUBSTITUTE(SUBSTITUTE(SUBSTITUTE(SUBSTITUTE(SUBSTITUTE(SUBSTITUTE(SUBSTITUTE(SUBSTITUTE(SUBSTITUTE(LOWER(TRIM(G142)),"á","a"),"é","e"),"í","i"),"ó","o"),"ú","u"),"ü","u"),"ñ","n"),"à","a"),"è","e"),"ì","i"),"ò","o"),"ù","u"),"")</f>
        <v/>
      </c>
      <c r="U142" s="25">
        <f>IF(AND(Q142=1,H142&lt;&gt;""),SUBSTITUTE(SUBSTITUTE(SUBSTITUTE(SUBSTITUTE(SUBSTITUTE(SUBSTITUTE(SUBSTITUTE(SUBSTITUTE(SUBSTITUTE(SUBSTITUTE(SUBSTITUTE(SUBSTITUTE(LOWER(TRIM(H142)),"á","a"),"é","e"),"í","i"),"ó","o"),"ú","u"),"ü","u"),"ñ","n"),"à","a"),"è","e"),"ì","i"),"ò","o"),"ù","u"),"")</f>
        <v/>
      </c>
      <c r="V142" s="25">
        <f>IF(AND(Q142=1,L142&lt;&gt;""),SUBSTITUTE(SUBSTITUTE(SUBSTITUTE(SUBSTITUTE(SUBSTITUTE(SUBSTITUTE(SUBSTITUTE(SUBSTITUTE(SUBSTITUTE(SUBSTITUTE(SUBSTITUTE(SUBSTITUTE(LOWER(TRIM(L142)),"á","a"),"é","e"),"í","i"),"ó","o"),"ú","u"),"ü","u"),"ñ","n"),"à","a"),"è","e"),"ì","i"),"ò","o"),"ù","u"),"")</f>
        <v/>
      </c>
      <c r="W142" s="25">
        <f>IF(AND(Q142=1,I142&lt;&gt;""),SUBSTITUTE(SUBSTITUTE(SUBSTITUTE(SUBSTITUTE(SUBSTITUTE(SUBSTITUTE(SUBSTITUTE(SUBSTITUTE(SUBSTITUTE(SUBSTITUTE(SUBSTITUTE(SUBSTITUTE(LOWER(TRIM(I142)),"á","a"),"é","e"),"í","i"),"ó","o"),"ú","u"),"ü","u"),"ñ","n"),"à","a"),"è","e"),"ì","i"),"ò","o"),"ù","u"),"")</f>
        <v/>
      </c>
      <c r="X142" s="25">
        <f>IF(U142="","",IF(OR(U142="si, en la proxima tarea",U142="si, con cambios"),1,0))</f>
        <v/>
      </c>
      <c r="Y142" s="25">
        <f>IF(AND(Q142=1,A142&lt;&gt;""),IF(IFERROR(COUNTIFS(A$3:A142,"="&amp;SUBSTITUTE(SUBSTITUTE(SUBSTITUTE(A142,"~","~~"),"*","~*"),"?","~?"),Q$3:Q142,1),0)=1,MAX(Y$2:Y141)+1,""),"")</f>
        <v/>
      </c>
      <c r="Z142" s="25">
        <f>IF(Y142="","",COUNTIFS($A$3:$A$1002,"="&amp;SUBSTITUTE(SUBSTITUTE(SUBSTITUTE(A142,"~","~~"),"*","~*"),"?","~?"),$Q$3:$Q$1002,1)*10000-Y142)</f>
        <v/>
      </c>
    </row>
    <row r="143">
      <c r="A143">
        <f>IF(A$2=0,"",IFERROR(TRIM(INDEX('Pegar docentes'!$A$1:$BZ$1001,142,A$2)&amp;""),""))</f>
        <v/>
      </c>
      <c r="B143">
        <f>IF(B$2=0,"",IFERROR(TRIM(INDEX('Pegar docentes'!$A$1:$BZ$1001,142,B$2)&amp;""),""))</f>
        <v/>
      </c>
      <c r="C143">
        <f>IF(C$2=0,"",IFERROR(TRIM(INDEX('Pegar docentes'!$A$1:$BZ$1001,142,C$2)&amp;""),""))</f>
        <v/>
      </c>
      <c r="D143">
        <f>IF(D$2=0,"",IFERROR(TRIM(INDEX('Pegar docentes'!$A$1:$BZ$1001,142,D$2)&amp;""),""))</f>
        <v/>
      </c>
      <c r="E143">
        <f>IF(E$2=0,"",IFERROR(TRIM(INDEX('Pegar docentes'!$A$1:$BZ$1001,142,E$2)&amp;""),""))</f>
        <v/>
      </c>
      <c r="F143">
        <f>IF(F$2=0,"",IFERROR(TRIM(INDEX('Pegar docentes'!$A$1:$BZ$1001,142,F$2)&amp;""),""))</f>
        <v/>
      </c>
      <c r="G143">
        <f>IF(G$2=0,"",IFERROR(TRIM(INDEX('Pegar docentes'!$A$1:$BZ$1001,142,G$2)&amp;""),""))</f>
        <v/>
      </c>
      <c r="H143">
        <f>IF(H$2=0,"",IFERROR(TRIM(INDEX('Pegar docentes'!$A$1:$BZ$1001,142,H$2)&amp;""),""))</f>
        <v/>
      </c>
      <c r="I143">
        <f>IF(I$2=0,"",IFERROR(TRIM(INDEX('Pegar docentes'!$A$1:$BZ$1001,142,I$2)&amp;""),""))</f>
        <v/>
      </c>
      <c r="J143">
        <f>IF(J$2=0,"",IFERROR(TRIM(INDEX('Pegar docentes'!$A$1:$BZ$1001,142,J$2)&amp;""),""))</f>
        <v/>
      </c>
      <c r="K143">
        <f>IF(K$2=0,"",IFERROR(TRIM(INDEX('Pegar docentes'!$A$1:$BZ$1001,142,K$2)&amp;""),""))</f>
        <v/>
      </c>
      <c r="L143">
        <f>IF(L$2=0,"",IFERROR(TRIM(INDEX('Pegar docentes'!$A$1:$BZ$1001,142,L$2)&amp;""),""))</f>
        <v/>
      </c>
      <c r="M143">
        <f>IF(M$2=0,"",IFERROR(TRIM(INDEX('Pegar docentes'!$A$1:$BZ$1001,142,M$2)&amp;""),""))</f>
        <v/>
      </c>
      <c r="N143">
        <f>IF(N$2=0,"",IFERROR(TRIM(INDEX('Pegar docentes'!$A$1:$BZ$1001,142,N$2)&amp;""),""))</f>
        <v/>
      </c>
      <c r="O143">
        <f>IF(O$2=0,"",IFERROR(TRIM(INDEX('Pegar docentes'!$A$1:$BZ$1001,142,O$2)&amp;""),""))</f>
        <v/>
      </c>
      <c r="P143">
        <f>IF(P$2=0,"",IFERROR(TRIM(INDEX('Pegar docentes'!$A$1:$BZ$1001,142,P$2)&amp;""),""))</f>
        <v/>
      </c>
      <c r="Q143" s="25">
        <f>IF(OR(D143&lt;&gt;"",H143&lt;&gt;""),1,"")</f>
        <v/>
      </c>
      <c r="R143" s="25">
        <f>IF(Q143=1,IF(ISNUMBER(FIND("#"&amp;MID(D143,1,1)&amp;"#","#0#1#2#3#4#5#6#7#8#9#")),IF(ISNUMBER(FIND("#"&amp;MID(D143,2,1)&amp;"#","#0#1#2#3#4#5#6#7#8#9#")),IF(AND(VALUE(LEFT(D143,2))&gt;=1,VALUE(LEFT(D143,2))&lt;=5),VALUE(LEFT(D143,2)),""),IF(AND(VALUE(LEFT(D143,1))&gt;=1,VALUE(LEFT(D143,1))&lt;=5),VALUE(LEFT(D143,1)),"")),""),"")</f>
        <v/>
      </c>
      <c r="S143" s="25">
        <f>IF(AND(Q143=1,E143&lt;&gt;""),SUBSTITUTE(SUBSTITUTE(SUBSTITUTE(SUBSTITUTE(SUBSTITUTE(SUBSTITUTE(SUBSTITUTE(SUBSTITUTE(SUBSTITUTE(SUBSTITUTE(SUBSTITUTE(SUBSTITUTE(LOWER(TRIM(E143)),"á","a"),"é","e"),"í","i"),"ó","o"),"ú","u"),"ü","u"),"ñ","n"),"à","a"),"è","e"),"ì","i"),"ò","o"),"ù","u"),"")</f>
        <v/>
      </c>
      <c r="T143" s="25">
        <f>IF(AND(Q143=1,G143&lt;&gt;""),SUBSTITUTE(SUBSTITUTE(SUBSTITUTE(SUBSTITUTE(SUBSTITUTE(SUBSTITUTE(SUBSTITUTE(SUBSTITUTE(SUBSTITUTE(SUBSTITUTE(SUBSTITUTE(SUBSTITUTE(LOWER(TRIM(G143)),"á","a"),"é","e"),"í","i"),"ó","o"),"ú","u"),"ü","u"),"ñ","n"),"à","a"),"è","e"),"ì","i"),"ò","o"),"ù","u"),"")</f>
        <v/>
      </c>
      <c r="U143" s="25">
        <f>IF(AND(Q143=1,H143&lt;&gt;""),SUBSTITUTE(SUBSTITUTE(SUBSTITUTE(SUBSTITUTE(SUBSTITUTE(SUBSTITUTE(SUBSTITUTE(SUBSTITUTE(SUBSTITUTE(SUBSTITUTE(SUBSTITUTE(SUBSTITUTE(LOWER(TRIM(H143)),"á","a"),"é","e"),"í","i"),"ó","o"),"ú","u"),"ü","u"),"ñ","n"),"à","a"),"è","e"),"ì","i"),"ò","o"),"ù","u"),"")</f>
        <v/>
      </c>
      <c r="V143" s="25">
        <f>IF(AND(Q143=1,L143&lt;&gt;""),SUBSTITUTE(SUBSTITUTE(SUBSTITUTE(SUBSTITUTE(SUBSTITUTE(SUBSTITUTE(SUBSTITUTE(SUBSTITUTE(SUBSTITUTE(SUBSTITUTE(SUBSTITUTE(SUBSTITUTE(LOWER(TRIM(L143)),"á","a"),"é","e"),"í","i"),"ó","o"),"ú","u"),"ü","u"),"ñ","n"),"à","a"),"è","e"),"ì","i"),"ò","o"),"ù","u"),"")</f>
        <v/>
      </c>
      <c r="W143" s="25">
        <f>IF(AND(Q143=1,I143&lt;&gt;""),SUBSTITUTE(SUBSTITUTE(SUBSTITUTE(SUBSTITUTE(SUBSTITUTE(SUBSTITUTE(SUBSTITUTE(SUBSTITUTE(SUBSTITUTE(SUBSTITUTE(SUBSTITUTE(SUBSTITUTE(LOWER(TRIM(I143)),"á","a"),"é","e"),"í","i"),"ó","o"),"ú","u"),"ü","u"),"ñ","n"),"à","a"),"è","e"),"ì","i"),"ò","o"),"ù","u"),"")</f>
        <v/>
      </c>
      <c r="X143" s="25">
        <f>IF(U143="","",IF(OR(U143="si, en la proxima tarea",U143="si, con cambios"),1,0))</f>
        <v/>
      </c>
      <c r="Y143" s="25">
        <f>IF(AND(Q143=1,A143&lt;&gt;""),IF(IFERROR(COUNTIFS(A$3:A143,"="&amp;SUBSTITUTE(SUBSTITUTE(SUBSTITUTE(A143,"~","~~"),"*","~*"),"?","~?"),Q$3:Q143,1),0)=1,MAX(Y$2:Y142)+1,""),"")</f>
        <v/>
      </c>
      <c r="Z143" s="25">
        <f>IF(Y143="","",COUNTIFS($A$3:$A$1002,"="&amp;SUBSTITUTE(SUBSTITUTE(SUBSTITUTE(A143,"~","~~"),"*","~*"),"?","~?"),$Q$3:$Q$1002,1)*10000-Y143)</f>
        <v/>
      </c>
    </row>
    <row r="144">
      <c r="A144">
        <f>IF(A$2=0,"",IFERROR(TRIM(INDEX('Pegar docentes'!$A$1:$BZ$1001,143,A$2)&amp;""),""))</f>
        <v/>
      </c>
      <c r="B144">
        <f>IF(B$2=0,"",IFERROR(TRIM(INDEX('Pegar docentes'!$A$1:$BZ$1001,143,B$2)&amp;""),""))</f>
        <v/>
      </c>
      <c r="C144">
        <f>IF(C$2=0,"",IFERROR(TRIM(INDEX('Pegar docentes'!$A$1:$BZ$1001,143,C$2)&amp;""),""))</f>
        <v/>
      </c>
      <c r="D144">
        <f>IF(D$2=0,"",IFERROR(TRIM(INDEX('Pegar docentes'!$A$1:$BZ$1001,143,D$2)&amp;""),""))</f>
        <v/>
      </c>
      <c r="E144">
        <f>IF(E$2=0,"",IFERROR(TRIM(INDEX('Pegar docentes'!$A$1:$BZ$1001,143,E$2)&amp;""),""))</f>
        <v/>
      </c>
      <c r="F144">
        <f>IF(F$2=0,"",IFERROR(TRIM(INDEX('Pegar docentes'!$A$1:$BZ$1001,143,F$2)&amp;""),""))</f>
        <v/>
      </c>
      <c r="G144">
        <f>IF(G$2=0,"",IFERROR(TRIM(INDEX('Pegar docentes'!$A$1:$BZ$1001,143,G$2)&amp;""),""))</f>
        <v/>
      </c>
      <c r="H144">
        <f>IF(H$2=0,"",IFERROR(TRIM(INDEX('Pegar docentes'!$A$1:$BZ$1001,143,H$2)&amp;""),""))</f>
        <v/>
      </c>
      <c r="I144">
        <f>IF(I$2=0,"",IFERROR(TRIM(INDEX('Pegar docentes'!$A$1:$BZ$1001,143,I$2)&amp;""),""))</f>
        <v/>
      </c>
      <c r="J144">
        <f>IF(J$2=0,"",IFERROR(TRIM(INDEX('Pegar docentes'!$A$1:$BZ$1001,143,J$2)&amp;""),""))</f>
        <v/>
      </c>
      <c r="K144">
        <f>IF(K$2=0,"",IFERROR(TRIM(INDEX('Pegar docentes'!$A$1:$BZ$1001,143,K$2)&amp;""),""))</f>
        <v/>
      </c>
      <c r="L144">
        <f>IF(L$2=0,"",IFERROR(TRIM(INDEX('Pegar docentes'!$A$1:$BZ$1001,143,L$2)&amp;""),""))</f>
        <v/>
      </c>
      <c r="M144">
        <f>IF(M$2=0,"",IFERROR(TRIM(INDEX('Pegar docentes'!$A$1:$BZ$1001,143,M$2)&amp;""),""))</f>
        <v/>
      </c>
      <c r="N144">
        <f>IF(N$2=0,"",IFERROR(TRIM(INDEX('Pegar docentes'!$A$1:$BZ$1001,143,N$2)&amp;""),""))</f>
        <v/>
      </c>
      <c r="O144">
        <f>IF(O$2=0,"",IFERROR(TRIM(INDEX('Pegar docentes'!$A$1:$BZ$1001,143,O$2)&amp;""),""))</f>
        <v/>
      </c>
      <c r="P144">
        <f>IF(P$2=0,"",IFERROR(TRIM(INDEX('Pegar docentes'!$A$1:$BZ$1001,143,P$2)&amp;""),""))</f>
        <v/>
      </c>
      <c r="Q144" s="25">
        <f>IF(OR(D144&lt;&gt;"",H144&lt;&gt;""),1,"")</f>
        <v/>
      </c>
      <c r="R144" s="25">
        <f>IF(Q144=1,IF(ISNUMBER(FIND("#"&amp;MID(D144,1,1)&amp;"#","#0#1#2#3#4#5#6#7#8#9#")),IF(ISNUMBER(FIND("#"&amp;MID(D144,2,1)&amp;"#","#0#1#2#3#4#5#6#7#8#9#")),IF(AND(VALUE(LEFT(D144,2))&gt;=1,VALUE(LEFT(D144,2))&lt;=5),VALUE(LEFT(D144,2)),""),IF(AND(VALUE(LEFT(D144,1))&gt;=1,VALUE(LEFT(D144,1))&lt;=5),VALUE(LEFT(D144,1)),"")),""),"")</f>
        <v/>
      </c>
      <c r="S144" s="25">
        <f>IF(AND(Q144=1,E144&lt;&gt;""),SUBSTITUTE(SUBSTITUTE(SUBSTITUTE(SUBSTITUTE(SUBSTITUTE(SUBSTITUTE(SUBSTITUTE(SUBSTITUTE(SUBSTITUTE(SUBSTITUTE(SUBSTITUTE(SUBSTITUTE(LOWER(TRIM(E144)),"á","a"),"é","e"),"í","i"),"ó","o"),"ú","u"),"ü","u"),"ñ","n"),"à","a"),"è","e"),"ì","i"),"ò","o"),"ù","u"),"")</f>
        <v/>
      </c>
      <c r="T144" s="25">
        <f>IF(AND(Q144=1,G144&lt;&gt;""),SUBSTITUTE(SUBSTITUTE(SUBSTITUTE(SUBSTITUTE(SUBSTITUTE(SUBSTITUTE(SUBSTITUTE(SUBSTITUTE(SUBSTITUTE(SUBSTITUTE(SUBSTITUTE(SUBSTITUTE(LOWER(TRIM(G144)),"á","a"),"é","e"),"í","i"),"ó","o"),"ú","u"),"ü","u"),"ñ","n"),"à","a"),"è","e"),"ì","i"),"ò","o"),"ù","u"),"")</f>
        <v/>
      </c>
      <c r="U144" s="25">
        <f>IF(AND(Q144=1,H144&lt;&gt;""),SUBSTITUTE(SUBSTITUTE(SUBSTITUTE(SUBSTITUTE(SUBSTITUTE(SUBSTITUTE(SUBSTITUTE(SUBSTITUTE(SUBSTITUTE(SUBSTITUTE(SUBSTITUTE(SUBSTITUTE(LOWER(TRIM(H144)),"á","a"),"é","e"),"í","i"),"ó","o"),"ú","u"),"ü","u"),"ñ","n"),"à","a"),"è","e"),"ì","i"),"ò","o"),"ù","u"),"")</f>
        <v/>
      </c>
      <c r="V144" s="25">
        <f>IF(AND(Q144=1,L144&lt;&gt;""),SUBSTITUTE(SUBSTITUTE(SUBSTITUTE(SUBSTITUTE(SUBSTITUTE(SUBSTITUTE(SUBSTITUTE(SUBSTITUTE(SUBSTITUTE(SUBSTITUTE(SUBSTITUTE(SUBSTITUTE(LOWER(TRIM(L144)),"á","a"),"é","e"),"í","i"),"ó","o"),"ú","u"),"ü","u"),"ñ","n"),"à","a"),"è","e"),"ì","i"),"ò","o"),"ù","u"),"")</f>
        <v/>
      </c>
      <c r="W144" s="25">
        <f>IF(AND(Q144=1,I144&lt;&gt;""),SUBSTITUTE(SUBSTITUTE(SUBSTITUTE(SUBSTITUTE(SUBSTITUTE(SUBSTITUTE(SUBSTITUTE(SUBSTITUTE(SUBSTITUTE(SUBSTITUTE(SUBSTITUTE(SUBSTITUTE(LOWER(TRIM(I144)),"á","a"),"é","e"),"í","i"),"ó","o"),"ú","u"),"ü","u"),"ñ","n"),"à","a"),"è","e"),"ì","i"),"ò","o"),"ù","u"),"")</f>
        <v/>
      </c>
      <c r="X144" s="25">
        <f>IF(U144="","",IF(OR(U144="si, en la proxima tarea",U144="si, con cambios"),1,0))</f>
        <v/>
      </c>
      <c r="Y144" s="25">
        <f>IF(AND(Q144=1,A144&lt;&gt;""),IF(IFERROR(COUNTIFS(A$3:A144,"="&amp;SUBSTITUTE(SUBSTITUTE(SUBSTITUTE(A144,"~","~~"),"*","~*"),"?","~?"),Q$3:Q144,1),0)=1,MAX(Y$2:Y143)+1,""),"")</f>
        <v/>
      </c>
      <c r="Z144" s="25">
        <f>IF(Y144="","",COUNTIFS($A$3:$A$1002,"="&amp;SUBSTITUTE(SUBSTITUTE(SUBSTITUTE(A144,"~","~~"),"*","~*"),"?","~?"),$Q$3:$Q$1002,1)*10000-Y144)</f>
        <v/>
      </c>
    </row>
    <row r="145">
      <c r="A145">
        <f>IF(A$2=0,"",IFERROR(TRIM(INDEX('Pegar docentes'!$A$1:$BZ$1001,144,A$2)&amp;""),""))</f>
        <v/>
      </c>
      <c r="B145">
        <f>IF(B$2=0,"",IFERROR(TRIM(INDEX('Pegar docentes'!$A$1:$BZ$1001,144,B$2)&amp;""),""))</f>
        <v/>
      </c>
      <c r="C145">
        <f>IF(C$2=0,"",IFERROR(TRIM(INDEX('Pegar docentes'!$A$1:$BZ$1001,144,C$2)&amp;""),""))</f>
        <v/>
      </c>
      <c r="D145">
        <f>IF(D$2=0,"",IFERROR(TRIM(INDEX('Pegar docentes'!$A$1:$BZ$1001,144,D$2)&amp;""),""))</f>
        <v/>
      </c>
      <c r="E145">
        <f>IF(E$2=0,"",IFERROR(TRIM(INDEX('Pegar docentes'!$A$1:$BZ$1001,144,E$2)&amp;""),""))</f>
        <v/>
      </c>
      <c r="F145">
        <f>IF(F$2=0,"",IFERROR(TRIM(INDEX('Pegar docentes'!$A$1:$BZ$1001,144,F$2)&amp;""),""))</f>
        <v/>
      </c>
      <c r="G145">
        <f>IF(G$2=0,"",IFERROR(TRIM(INDEX('Pegar docentes'!$A$1:$BZ$1001,144,G$2)&amp;""),""))</f>
        <v/>
      </c>
      <c r="H145">
        <f>IF(H$2=0,"",IFERROR(TRIM(INDEX('Pegar docentes'!$A$1:$BZ$1001,144,H$2)&amp;""),""))</f>
        <v/>
      </c>
      <c r="I145">
        <f>IF(I$2=0,"",IFERROR(TRIM(INDEX('Pegar docentes'!$A$1:$BZ$1001,144,I$2)&amp;""),""))</f>
        <v/>
      </c>
      <c r="J145">
        <f>IF(J$2=0,"",IFERROR(TRIM(INDEX('Pegar docentes'!$A$1:$BZ$1001,144,J$2)&amp;""),""))</f>
        <v/>
      </c>
      <c r="K145">
        <f>IF(K$2=0,"",IFERROR(TRIM(INDEX('Pegar docentes'!$A$1:$BZ$1001,144,K$2)&amp;""),""))</f>
        <v/>
      </c>
      <c r="L145">
        <f>IF(L$2=0,"",IFERROR(TRIM(INDEX('Pegar docentes'!$A$1:$BZ$1001,144,L$2)&amp;""),""))</f>
        <v/>
      </c>
      <c r="M145">
        <f>IF(M$2=0,"",IFERROR(TRIM(INDEX('Pegar docentes'!$A$1:$BZ$1001,144,M$2)&amp;""),""))</f>
        <v/>
      </c>
      <c r="N145">
        <f>IF(N$2=0,"",IFERROR(TRIM(INDEX('Pegar docentes'!$A$1:$BZ$1001,144,N$2)&amp;""),""))</f>
        <v/>
      </c>
      <c r="O145">
        <f>IF(O$2=0,"",IFERROR(TRIM(INDEX('Pegar docentes'!$A$1:$BZ$1001,144,O$2)&amp;""),""))</f>
        <v/>
      </c>
      <c r="P145">
        <f>IF(P$2=0,"",IFERROR(TRIM(INDEX('Pegar docentes'!$A$1:$BZ$1001,144,P$2)&amp;""),""))</f>
        <v/>
      </c>
      <c r="Q145" s="25">
        <f>IF(OR(D145&lt;&gt;"",H145&lt;&gt;""),1,"")</f>
        <v/>
      </c>
      <c r="R145" s="25">
        <f>IF(Q145=1,IF(ISNUMBER(FIND("#"&amp;MID(D145,1,1)&amp;"#","#0#1#2#3#4#5#6#7#8#9#")),IF(ISNUMBER(FIND("#"&amp;MID(D145,2,1)&amp;"#","#0#1#2#3#4#5#6#7#8#9#")),IF(AND(VALUE(LEFT(D145,2))&gt;=1,VALUE(LEFT(D145,2))&lt;=5),VALUE(LEFT(D145,2)),""),IF(AND(VALUE(LEFT(D145,1))&gt;=1,VALUE(LEFT(D145,1))&lt;=5),VALUE(LEFT(D145,1)),"")),""),"")</f>
        <v/>
      </c>
      <c r="S145" s="25">
        <f>IF(AND(Q145=1,E145&lt;&gt;""),SUBSTITUTE(SUBSTITUTE(SUBSTITUTE(SUBSTITUTE(SUBSTITUTE(SUBSTITUTE(SUBSTITUTE(SUBSTITUTE(SUBSTITUTE(SUBSTITUTE(SUBSTITUTE(SUBSTITUTE(LOWER(TRIM(E145)),"á","a"),"é","e"),"í","i"),"ó","o"),"ú","u"),"ü","u"),"ñ","n"),"à","a"),"è","e"),"ì","i"),"ò","o"),"ù","u"),"")</f>
        <v/>
      </c>
      <c r="T145" s="25">
        <f>IF(AND(Q145=1,G145&lt;&gt;""),SUBSTITUTE(SUBSTITUTE(SUBSTITUTE(SUBSTITUTE(SUBSTITUTE(SUBSTITUTE(SUBSTITUTE(SUBSTITUTE(SUBSTITUTE(SUBSTITUTE(SUBSTITUTE(SUBSTITUTE(LOWER(TRIM(G145)),"á","a"),"é","e"),"í","i"),"ó","o"),"ú","u"),"ü","u"),"ñ","n"),"à","a"),"è","e"),"ì","i"),"ò","o"),"ù","u"),"")</f>
        <v/>
      </c>
      <c r="U145" s="25">
        <f>IF(AND(Q145=1,H145&lt;&gt;""),SUBSTITUTE(SUBSTITUTE(SUBSTITUTE(SUBSTITUTE(SUBSTITUTE(SUBSTITUTE(SUBSTITUTE(SUBSTITUTE(SUBSTITUTE(SUBSTITUTE(SUBSTITUTE(SUBSTITUTE(LOWER(TRIM(H145)),"á","a"),"é","e"),"í","i"),"ó","o"),"ú","u"),"ü","u"),"ñ","n"),"à","a"),"è","e"),"ì","i"),"ò","o"),"ù","u"),"")</f>
        <v/>
      </c>
      <c r="V145" s="25">
        <f>IF(AND(Q145=1,L145&lt;&gt;""),SUBSTITUTE(SUBSTITUTE(SUBSTITUTE(SUBSTITUTE(SUBSTITUTE(SUBSTITUTE(SUBSTITUTE(SUBSTITUTE(SUBSTITUTE(SUBSTITUTE(SUBSTITUTE(SUBSTITUTE(LOWER(TRIM(L145)),"á","a"),"é","e"),"í","i"),"ó","o"),"ú","u"),"ü","u"),"ñ","n"),"à","a"),"è","e"),"ì","i"),"ò","o"),"ù","u"),"")</f>
        <v/>
      </c>
      <c r="W145" s="25">
        <f>IF(AND(Q145=1,I145&lt;&gt;""),SUBSTITUTE(SUBSTITUTE(SUBSTITUTE(SUBSTITUTE(SUBSTITUTE(SUBSTITUTE(SUBSTITUTE(SUBSTITUTE(SUBSTITUTE(SUBSTITUTE(SUBSTITUTE(SUBSTITUTE(LOWER(TRIM(I145)),"á","a"),"é","e"),"í","i"),"ó","o"),"ú","u"),"ü","u"),"ñ","n"),"à","a"),"è","e"),"ì","i"),"ò","o"),"ù","u"),"")</f>
        <v/>
      </c>
      <c r="X145" s="25">
        <f>IF(U145="","",IF(OR(U145="si, en la proxima tarea",U145="si, con cambios"),1,0))</f>
        <v/>
      </c>
      <c r="Y145" s="25">
        <f>IF(AND(Q145=1,A145&lt;&gt;""),IF(IFERROR(COUNTIFS(A$3:A145,"="&amp;SUBSTITUTE(SUBSTITUTE(SUBSTITUTE(A145,"~","~~"),"*","~*"),"?","~?"),Q$3:Q145,1),0)=1,MAX(Y$2:Y144)+1,""),"")</f>
        <v/>
      </c>
      <c r="Z145" s="25">
        <f>IF(Y145="","",COUNTIFS($A$3:$A$1002,"="&amp;SUBSTITUTE(SUBSTITUTE(SUBSTITUTE(A145,"~","~~"),"*","~*"),"?","~?"),$Q$3:$Q$1002,1)*10000-Y145)</f>
        <v/>
      </c>
    </row>
    <row r="146">
      <c r="A146">
        <f>IF(A$2=0,"",IFERROR(TRIM(INDEX('Pegar docentes'!$A$1:$BZ$1001,145,A$2)&amp;""),""))</f>
        <v/>
      </c>
      <c r="B146">
        <f>IF(B$2=0,"",IFERROR(TRIM(INDEX('Pegar docentes'!$A$1:$BZ$1001,145,B$2)&amp;""),""))</f>
        <v/>
      </c>
      <c r="C146">
        <f>IF(C$2=0,"",IFERROR(TRIM(INDEX('Pegar docentes'!$A$1:$BZ$1001,145,C$2)&amp;""),""))</f>
        <v/>
      </c>
      <c r="D146">
        <f>IF(D$2=0,"",IFERROR(TRIM(INDEX('Pegar docentes'!$A$1:$BZ$1001,145,D$2)&amp;""),""))</f>
        <v/>
      </c>
      <c r="E146">
        <f>IF(E$2=0,"",IFERROR(TRIM(INDEX('Pegar docentes'!$A$1:$BZ$1001,145,E$2)&amp;""),""))</f>
        <v/>
      </c>
      <c r="F146">
        <f>IF(F$2=0,"",IFERROR(TRIM(INDEX('Pegar docentes'!$A$1:$BZ$1001,145,F$2)&amp;""),""))</f>
        <v/>
      </c>
      <c r="G146">
        <f>IF(G$2=0,"",IFERROR(TRIM(INDEX('Pegar docentes'!$A$1:$BZ$1001,145,G$2)&amp;""),""))</f>
        <v/>
      </c>
      <c r="H146">
        <f>IF(H$2=0,"",IFERROR(TRIM(INDEX('Pegar docentes'!$A$1:$BZ$1001,145,H$2)&amp;""),""))</f>
        <v/>
      </c>
      <c r="I146">
        <f>IF(I$2=0,"",IFERROR(TRIM(INDEX('Pegar docentes'!$A$1:$BZ$1001,145,I$2)&amp;""),""))</f>
        <v/>
      </c>
      <c r="J146">
        <f>IF(J$2=0,"",IFERROR(TRIM(INDEX('Pegar docentes'!$A$1:$BZ$1001,145,J$2)&amp;""),""))</f>
        <v/>
      </c>
      <c r="K146">
        <f>IF(K$2=0,"",IFERROR(TRIM(INDEX('Pegar docentes'!$A$1:$BZ$1001,145,K$2)&amp;""),""))</f>
        <v/>
      </c>
      <c r="L146">
        <f>IF(L$2=0,"",IFERROR(TRIM(INDEX('Pegar docentes'!$A$1:$BZ$1001,145,L$2)&amp;""),""))</f>
        <v/>
      </c>
      <c r="M146">
        <f>IF(M$2=0,"",IFERROR(TRIM(INDEX('Pegar docentes'!$A$1:$BZ$1001,145,M$2)&amp;""),""))</f>
        <v/>
      </c>
      <c r="N146">
        <f>IF(N$2=0,"",IFERROR(TRIM(INDEX('Pegar docentes'!$A$1:$BZ$1001,145,N$2)&amp;""),""))</f>
        <v/>
      </c>
      <c r="O146">
        <f>IF(O$2=0,"",IFERROR(TRIM(INDEX('Pegar docentes'!$A$1:$BZ$1001,145,O$2)&amp;""),""))</f>
        <v/>
      </c>
      <c r="P146">
        <f>IF(P$2=0,"",IFERROR(TRIM(INDEX('Pegar docentes'!$A$1:$BZ$1001,145,P$2)&amp;""),""))</f>
        <v/>
      </c>
      <c r="Q146" s="25">
        <f>IF(OR(D146&lt;&gt;"",H146&lt;&gt;""),1,"")</f>
        <v/>
      </c>
      <c r="R146" s="25">
        <f>IF(Q146=1,IF(ISNUMBER(FIND("#"&amp;MID(D146,1,1)&amp;"#","#0#1#2#3#4#5#6#7#8#9#")),IF(ISNUMBER(FIND("#"&amp;MID(D146,2,1)&amp;"#","#0#1#2#3#4#5#6#7#8#9#")),IF(AND(VALUE(LEFT(D146,2))&gt;=1,VALUE(LEFT(D146,2))&lt;=5),VALUE(LEFT(D146,2)),""),IF(AND(VALUE(LEFT(D146,1))&gt;=1,VALUE(LEFT(D146,1))&lt;=5),VALUE(LEFT(D146,1)),"")),""),"")</f>
        <v/>
      </c>
      <c r="S146" s="25">
        <f>IF(AND(Q146=1,E146&lt;&gt;""),SUBSTITUTE(SUBSTITUTE(SUBSTITUTE(SUBSTITUTE(SUBSTITUTE(SUBSTITUTE(SUBSTITUTE(SUBSTITUTE(SUBSTITUTE(SUBSTITUTE(SUBSTITUTE(SUBSTITUTE(LOWER(TRIM(E146)),"á","a"),"é","e"),"í","i"),"ó","o"),"ú","u"),"ü","u"),"ñ","n"),"à","a"),"è","e"),"ì","i"),"ò","o"),"ù","u"),"")</f>
        <v/>
      </c>
      <c r="T146" s="25">
        <f>IF(AND(Q146=1,G146&lt;&gt;""),SUBSTITUTE(SUBSTITUTE(SUBSTITUTE(SUBSTITUTE(SUBSTITUTE(SUBSTITUTE(SUBSTITUTE(SUBSTITUTE(SUBSTITUTE(SUBSTITUTE(SUBSTITUTE(SUBSTITUTE(LOWER(TRIM(G146)),"á","a"),"é","e"),"í","i"),"ó","o"),"ú","u"),"ü","u"),"ñ","n"),"à","a"),"è","e"),"ì","i"),"ò","o"),"ù","u"),"")</f>
        <v/>
      </c>
      <c r="U146" s="25">
        <f>IF(AND(Q146=1,H146&lt;&gt;""),SUBSTITUTE(SUBSTITUTE(SUBSTITUTE(SUBSTITUTE(SUBSTITUTE(SUBSTITUTE(SUBSTITUTE(SUBSTITUTE(SUBSTITUTE(SUBSTITUTE(SUBSTITUTE(SUBSTITUTE(LOWER(TRIM(H146)),"á","a"),"é","e"),"í","i"),"ó","o"),"ú","u"),"ü","u"),"ñ","n"),"à","a"),"è","e"),"ì","i"),"ò","o"),"ù","u"),"")</f>
        <v/>
      </c>
      <c r="V146" s="25">
        <f>IF(AND(Q146=1,L146&lt;&gt;""),SUBSTITUTE(SUBSTITUTE(SUBSTITUTE(SUBSTITUTE(SUBSTITUTE(SUBSTITUTE(SUBSTITUTE(SUBSTITUTE(SUBSTITUTE(SUBSTITUTE(SUBSTITUTE(SUBSTITUTE(LOWER(TRIM(L146)),"á","a"),"é","e"),"í","i"),"ó","o"),"ú","u"),"ü","u"),"ñ","n"),"à","a"),"è","e"),"ì","i"),"ò","o"),"ù","u"),"")</f>
        <v/>
      </c>
      <c r="W146" s="25">
        <f>IF(AND(Q146=1,I146&lt;&gt;""),SUBSTITUTE(SUBSTITUTE(SUBSTITUTE(SUBSTITUTE(SUBSTITUTE(SUBSTITUTE(SUBSTITUTE(SUBSTITUTE(SUBSTITUTE(SUBSTITUTE(SUBSTITUTE(SUBSTITUTE(LOWER(TRIM(I146)),"á","a"),"é","e"),"í","i"),"ó","o"),"ú","u"),"ü","u"),"ñ","n"),"à","a"),"è","e"),"ì","i"),"ò","o"),"ù","u"),"")</f>
        <v/>
      </c>
      <c r="X146" s="25">
        <f>IF(U146="","",IF(OR(U146="si, en la proxima tarea",U146="si, con cambios"),1,0))</f>
        <v/>
      </c>
      <c r="Y146" s="25">
        <f>IF(AND(Q146=1,A146&lt;&gt;""),IF(IFERROR(COUNTIFS(A$3:A146,"="&amp;SUBSTITUTE(SUBSTITUTE(SUBSTITUTE(A146,"~","~~"),"*","~*"),"?","~?"),Q$3:Q146,1),0)=1,MAX(Y$2:Y145)+1,""),"")</f>
        <v/>
      </c>
      <c r="Z146" s="25">
        <f>IF(Y146="","",COUNTIFS($A$3:$A$1002,"="&amp;SUBSTITUTE(SUBSTITUTE(SUBSTITUTE(A146,"~","~~"),"*","~*"),"?","~?"),$Q$3:$Q$1002,1)*10000-Y146)</f>
        <v/>
      </c>
    </row>
    <row r="147">
      <c r="A147">
        <f>IF(A$2=0,"",IFERROR(TRIM(INDEX('Pegar docentes'!$A$1:$BZ$1001,146,A$2)&amp;""),""))</f>
        <v/>
      </c>
      <c r="B147">
        <f>IF(B$2=0,"",IFERROR(TRIM(INDEX('Pegar docentes'!$A$1:$BZ$1001,146,B$2)&amp;""),""))</f>
        <v/>
      </c>
      <c r="C147">
        <f>IF(C$2=0,"",IFERROR(TRIM(INDEX('Pegar docentes'!$A$1:$BZ$1001,146,C$2)&amp;""),""))</f>
        <v/>
      </c>
      <c r="D147">
        <f>IF(D$2=0,"",IFERROR(TRIM(INDEX('Pegar docentes'!$A$1:$BZ$1001,146,D$2)&amp;""),""))</f>
        <v/>
      </c>
      <c r="E147">
        <f>IF(E$2=0,"",IFERROR(TRIM(INDEX('Pegar docentes'!$A$1:$BZ$1001,146,E$2)&amp;""),""))</f>
        <v/>
      </c>
      <c r="F147">
        <f>IF(F$2=0,"",IFERROR(TRIM(INDEX('Pegar docentes'!$A$1:$BZ$1001,146,F$2)&amp;""),""))</f>
        <v/>
      </c>
      <c r="G147">
        <f>IF(G$2=0,"",IFERROR(TRIM(INDEX('Pegar docentes'!$A$1:$BZ$1001,146,G$2)&amp;""),""))</f>
        <v/>
      </c>
      <c r="H147">
        <f>IF(H$2=0,"",IFERROR(TRIM(INDEX('Pegar docentes'!$A$1:$BZ$1001,146,H$2)&amp;""),""))</f>
        <v/>
      </c>
      <c r="I147">
        <f>IF(I$2=0,"",IFERROR(TRIM(INDEX('Pegar docentes'!$A$1:$BZ$1001,146,I$2)&amp;""),""))</f>
        <v/>
      </c>
      <c r="J147">
        <f>IF(J$2=0,"",IFERROR(TRIM(INDEX('Pegar docentes'!$A$1:$BZ$1001,146,J$2)&amp;""),""))</f>
        <v/>
      </c>
      <c r="K147">
        <f>IF(K$2=0,"",IFERROR(TRIM(INDEX('Pegar docentes'!$A$1:$BZ$1001,146,K$2)&amp;""),""))</f>
        <v/>
      </c>
      <c r="L147">
        <f>IF(L$2=0,"",IFERROR(TRIM(INDEX('Pegar docentes'!$A$1:$BZ$1001,146,L$2)&amp;""),""))</f>
        <v/>
      </c>
      <c r="M147">
        <f>IF(M$2=0,"",IFERROR(TRIM(INDEX('Pegar docentes'!$A$1:$BZ$1001,146,M$2)&amp;""),""))</f>
        <v/>
      </c>
      <c r="N147">
        <f>IF(N$2=0,"",IFERROR(TRIM(INDEX('Pegar docentes'!$A$1:$BZ$1001,146,N$2)&amp;""),""))</f>
        <v/>
      </c>
      <c r="O147">
        <f>IF(O$2=0,"",IFERROR(TRIM(INDEX('Pegar docentes'!$A$1:$BZ$1001,146,O$2)&amp;""),""))</f>
        <v/>
      </c>
      <c r="P147">
        <f>IF(P$2=0,"",IFERROR(TRIM(INDEX('Pegar docentes'!$A$1:$BZ$1001,146,P$2)&amp;""),""))</f>
        <v/>
      </c>
      <c r="Q147" s="25">
        <f>IF(OR(D147&lt;&gt;"",H147&lt;&gt;""),1,"")</f>
        <v/>
      </c>
      <c r="R147" s="25">
        <f>IF(Q147=1,IF(ISNUMBER(FIND("#"&amp;MID(D147,1,1)&amp;"#","#0#1#2#3#4#5#6#7#8#9#")),IF(ISNUMBER(FIND("#"&amp;MID(D147,2,1)&amp;"#","#0#1#2#3#4#5#6#7#8#9#")),IF(AND(VALUE(LEFT(D147,2))&gt;=1,VALUE(LEFT(D147,2))&lt;=5),VALUE(LEFT(D147,2)),""),IF(AND(VALUE(LEFT(D147,1))&gt;=1,VALUE(LEFT(D147,1))&lt;=5),VALUE(LEFT(D147,1)),"")),""),"")</f>
        <v/>
      </c>
      <c r="S147" s="25">
        <f>IF(AND(Q147=1,E147&lt;&gt;""),SUBSTITUTE(SUBSTITUTE(SUBSTITUTE(SUBSTITUTE(SUBSTITUTE(SUBSTITUTE(SUBSTITUTE(SUBSTITUTE(SUBSTITUTE(SUBSTITUTE(SUBSTITUTE(SUBSTITUTE(LOWER(TRIM(E147)),"á","a"),"é","e"),"í","i"),"ó","o"),"ú","u"),"ü","u"),"ñ","n"),"à","a"),"è","e"),"ì","i"),"ò","o"),"ù","u"),"")</f>
        <v/>
      </c>
      <c r="T147" s="25">
        <f>IF(AND(Q147=1,G147&lt;&gt;""),SUBSTITUTE(SUBSTITUTE(SUBSTITUTE(SUBSTITUTE(SUBSTITUTE(SUBSTITUTE(SUBSTITUTE(SUBSTITUTE(SUBSTITUTE(SUBSTITUTE(SUBSTITUTE(SUBSTITUTE(LOWER(TRIM(G147)),"á","a"),"é","e"),"í","i"),"ó","o"),"ú","u"),"ü","u"),"ñ","n"),"à","a"),"è","e"),"ì","i"),"ò","o"),"ù","u"),"")</f>
        <v/>
      </c>
      <c r="U147" s="25">
        <f>IF(AND(Q147=1,H147&lt;&gt;""),SUBSTITUTE(SUBSTITUTE(SUBSTITUTE(SUBSTITUTE(SUBSTITUTE(SUBSTITUTE(SUBSTITUTE(SUBSTITUTE(SUBSTITUTE(SUBSTITUTE(SUBSTITUTE(SUBSTITUTE(LOWER(TRIM(H147)),"á","a"),"é","e"),"í","i"),"ó","o"),"ú","u"),"ü","u"),"ñ","n"),"à","a"),"è","e"),"ì","i"),"ò","o"),"ù","u"),"")</f>
        <v/>
      </c>
      <c r="V147" s="25">
        <f>IF(AND(Q147=1,L147&lt;&gt;""),SUBSTITUTE(SUBSTITUTE(SUBSTITUTE(SUBSTITUTE(SUBSTITUTE(SUBSTITUTE(SUBSTITUTE(SUBSTITUTE(SUBSTITUTE(SUBSTITUTE(SUBSTITUTE(SUBSTITUTE(LOWER(TRIM(L147)),"á","a"),"é","e"),"í","i"),"ó","o"),"ú","u"),"ü","u"),"ñ","n"),"à","a"),"è","e"),"ì","i"),"ò","o"),"ù","u"),"")</f>
        <v/>
      </c>
      <c r="W147" s="25">
        <f>IF(AND(Q147=1,I147&lt;&gt;""),SUBSTITUTE(SUBSTITUTE(SUBSTITUTE(SUBSTITUTE(SUBSTITUTE(SUBSTITUTE(SUBSTITUTE(SUBSTITUTE(SUBSTITUTE(SUBSTITUTE(SUBSTITUTE(SUBSTITUTE(LOWER(TRIM(I147)),"á","a"),"é","e"),"í","i"),"ó","o"),"ú","u"),"ü","u"),"ñ","n"),"à","a"),"è","e"),"ì","i"),"ò","o"),"ù","u"),"")</f>
        <v/>
      </c>
      <c r="X147" s="25">
        <f>IF(U147="","",IF(OR(U147="si, en la proxima tarea",U147="si, con cambios"),1,0))</f>
        <v/>
      </c>
      <c r="Y147" s="25">
        <f>IF(AND(Q147=1,A147&lt;&gt;""),IF(IFERROR(COUNTIFS(A$3:A147,"="&amp;SUBSTITUTE(SUBSTITUTE(SUBSTITUTE(A147,"~","~~"),"*","~*"),"?","~?"),Q$3:Q147,1),0)=1,MAX(Y$2:Y146)+1,""),"")</f>
        <v/>
      </c>
      <c r="Z147" s="25">
        <f>IF(Y147="","",COUNTIFS($A$3:$A$1002,"="&amp;SUBSTITUTE(SUBSTITUTE(SUBSTITUTE(A147,"~","~~"),"*","~*"),"?","~?"),$Q$3:$Q$1002,1)*10000-Y147)</f>
        <v/>
      </c>
    </row>
    <row r="148">
      <c r="A148">
        <f>IF(A$2=0,"",IFERROR(TRIM(INDEX('Pegar docentes'!$A$1:$BZ$1001,147,A$2)&amp;""),""))</f>
        <v/>
      </c>
      <c r="B148">
        <f>IF(B$2=0,"",IFERROR(TRIM(INDEX('Pegar docentes'!$A$1:$BZ$1001,147,B$2)&amp;""),""))</f>
        <v/>
      </c>
      <c r="C148">
        <f>IF(C$2=0,"",IFERROR(TRIM(INDEX('Pegar docentes'!$A$1:$BZ$1001,147,C$2)&amp;""),""))</f>
        <v/>
      </c>
      <c r="D148">
        <f>IF(D$2=0,"",IFERROR(TRIM(INDEX('Pegar docentes'!$A$1:$BZ$1001,147,D$2)&amp;""),""))</f>
        <v/>
      </c>
      <c r="E148">
        <f>IF(E$2=0,"",IFERROR(TRIM(INDEX('Pegar docentes'!$A$1:$BZ$1001,147,E$2)&amp;""),""))</f>
        <v/>
      </c>
      <c r="F148">
        <f>IF(F$2=0,"",IFERROR(TRIM(INDEX('Pegar docentes'!$A$1:$BZ$1001,147,F$2)&amp;""),""))</f>
        <v/>
      </c>
      <c r="G148">
        <f>IF(G$2=0,"",IFERROR(TRIM(INDEX('Pegar docentes'!$A$1:$BZ$1001,147,G$2)&amp;""),""))</f>
        <v/>
      </c>
      <c r="H148">
        <f>IF(H$2=0,"",IFERROR(TRIM(INDEX('Pegar docentes'!$A$1:$BZ$1001,147,H$2)&amp;""),""))</f>
        <v/>
      </c>
      <c r="I148">
        <f>IF(I$2=0,"",IFERROR(TRIM(INDEX('Pegar docentes'!$A$1:$BZ$1001,147,I$2)&amp;""),""))</f>
        <v/>
      </c>
      <c r="J148">
        <f>IF(J$2=0,"",IFERROR(TRIM(INDEX('Pegar docentes'!$A$1:$BZ$1001,147,J$2)&amp;""),""))</f>
        <v/>
      </c>
      <c r="K148">
        <f>IF(K$2=0,"",IFERROR(TRIM(INDEX('Pegar docentes'!$A$1:$BZ$1001,147,K$2)&amp;""),""))</f>
        <v/>
      </c>
      <c r="L148">
        <f>IF(L$2=0,"",IFERROR(TRIM(INDEX('Pegar docentes'!$A$1:$BZ$1001,147,L$2)&amp;""),""))</f>
        <v/>
      </c>
      <c r="M148">
        <f>IF(M$2=0,"",IFERROR(TRIM(INDEX('Pegar docentes'!$A$1:$BZ$1001,147,M$2)&amp;""),""))</f>
        <v/>
      </c>
      <c r="N148">
        <f>IF(N$2=0,"",IFERROR(TRIM(INDEX('Pegar docentes'!$A$1:$BZ$1001,147,N$2)&amp;""),""))</f>
        <v/>
      </c>
      <c r="O148">
        <f>IF(O$2=0,"",IFERROR(TRIM(INDEX('Pegar docentes'!$A$1:$BZ$1001,147,O$2)&amp;""),""))</f>
        <v/>
      </c>
      <c r="P148">
        <f>IF(P$2=0,"",IFERROR(TRIM(INDEX('Pegar docentes'!$A$1:$BZ$1001,147,P$2)&amp;""),""))</f>
        <v/>
      </c>
      <c r="Q148" s="25">
        <f>IF(OR(D148&lt;&gt;"",H148&lt;&gt;""),1,"")</f>
        <v/>
      </c>
      <c r="R148" s="25">
        <f>IF(Q148=1,IF(ISNUMBER(FIND("#"&amp;MID(D148,1,1)&amp;"#","#0#1#2#3#4#5#6#7#8#9#")),IF(ISNUMBER(FIND("#"&amp;MID(D148,2,1)&amp;"#","#0#1#2#3#4#5#6#7#8#9#")),IF(AND(VALUE(LEFT(D148,2))&gt;=1,VALUE(LEFT(D148,2))&lt;=5),VALUE(LEFT(D148,2)),""),IF(AND(VALUE(LEFT(D148,1))&gt;=1,VALUE(LEFT(D148,1))&lt;=5),VALUE(LEFT(D148,1)),"")),""),"")</f>
        <v/>
      </c>
      <c r="S148" s="25">
        <f>IF(AND(Q148=1,E148&lt;&gt;""),SUBSTITUTE(SUBSTITUTE(SUBSTITUTE(SUBSTITUTE(SUBSTITUTE(SUBSTITUTE(SUBSTITUTE(SUBSTITUTE(SUBSTITUTE(SUBSTITUTE(SUBSTITUTE(SUBSTITUTE(LOWER(TRIM(E148)),"á","a"),"é","e"),"í","i"),"ó","o"),"ú","u"),"ü","u"),"ñ","n"),"à","a"),"è","e"),"ì","i"),"ò","o"),"ù","u"),"")</f>
        <v/>
      </c>
      <c r="T148" s="25">
        <f>IF(AND(Q148=1,G148&lt;&gt;""),SUBSTITUTE(SUBSTITUTE(SUBSTITUTE(SUBSTITUTE(SUBSTITUTE(SUBSTITUTE(SUBSTITUTE(SUBSTITUTE(SUBSTITUTE(SUBSTITUTE(SUBSTITUTE(SUBSTITUTE(LOWER(TRIM(G148)),"á","a"),"é","e"),"í","i"),"ó","o"),"ú","u"),"ü","u"),"ñ","n"),"à","a"),"è","e"),"ì","i"),"ò","o"),"ù","u"),"")</f>
        <v/>
      </c>
      <c r="U148" s="25">
        <f>IF(AND(Q148=1,H148&lt;&gt;""),SUBSTITUTE(SUBSTITUTE(SUBSTITUTE(SUBSTITUTE(SUBSTITUTE(SUBSTITUTE(SUBSTITUTE(SUBSTITUTE(SUBSTITUTE(SUBSTITUTE(SUBSTITUTE(SUBSTITUTE(LOWER(TRIM(H148)),"á","a"),"é","e"),"í","i"),"ó","o"),"ú","u"),"ü","u"),"ñ","n"),"à","a"),"è","e"),"ì","i"),"ò","o"),"ù","u"),"")</f>
        <v/>
      </c>
      <c r="V148" s="25">
        <f>IF(AND(Q148=1,L148&lt;&gt;""),SUBSTITUTE(SUBSTITUTE(SUBSTITUTE(SUBSTITUTE(SUBSTITUTE(SUBSTITUTE(SUBSTITUTE(SUBSTITUTE(SUBSTITUTE(SUBSTITUTE(SUBSTITUTE(SUBSTITUTE(LOWER(TRIM(L148)),"á","a"),"é","e"),"í","i"),"ó","o"),"ú","u"),"ü","u"),"ñ","n"),"à","a"),"è","e"),"ì","i"),"ò","o"),"ù","u"),"")</f>
        <v/>
      </c>
      <c r="W148" s="25">
        <f>IF(AND(Q148=1,I148&lt;&gt;""),SUBSTITUTE(SUBSTITUTE(SUBSTITUTE(SUBSTITUTE(SUBSTITUTE(SUBSTITUTE(SUBSTITUTE(SUBSTITUTE(SUBSTITUTE(SUBSTITUTE(SUBSTITUTE(SUBSTITUTE(LOWER(TRIM(I148)),"á","a"),"é","e"),"í","i"),"ó","o"),"ú","u"),"ü","u"),"ñ","n"),"à","a"),"è","e"),"ì","i"),"ò","o"),"ù","u"),"")</f>
        <v/>
      </c>
      <c r="X148" s="25">
        <f>IF(U148="","",IF(OR(U148="si, en la proxima tarea",U148="si, con cambios"),1,0))</f>
        <v/>
      </c>
      <c r="Y148" s="25">
        <f>IF(AND(Q148=1,A148&lt;&gt;""),IF(IFERROR(COUNTIFS(A$3:A148,"="&amp;SUBSTITUTE(SUBSTITUTE(SUBSTITUTE(A148,"~","~~"),"*","~*"),"?","~?"),Q$3:Q148,1),0)=1,MAX(Y$2:Y147)+1,""),"")</f>
        <v/>
      </c>
      <c r="Z148" s="25">
        <f>IF(Y148="","",COUNTIFS($A$3:$A$1002,"="&amp;SUBSTITUTE(SUBSTITUTE(SUBSTITUTE(A148,"~","~~"),"*","~*"),"?","~?"),$Q$3:$Q$1002,1)*10000-Y148)</f>
        <v/>
      </c>
    </row>
    <row r="149">
      <c r="A149">
        <f>IF(A$2=0,"",IFERROR(TRIM(INDEX('Pegar docentes'!$A$1:$BZ$1001,148,A$2)&amp;""),""))</f>
        <v/>
      </c>
      <c r="B149">
        <f>IF(B$2=0,"",IFERROR(TRIM(INDEX('Pegar docentes'!$A$1:$BZ$1001,148,B$2)&amp;""),""))</f>
        <v/>
      </c>
      <c r="C149">
        <f>IF(C$2=0,"",IFERROR(TRIM(INDEX('Pegar docentes'!$A$1:$BZ$1001,148,C$2)&amp;""),""))</f>
        <v/>
      </c>
      <c r="D149">
        <f>IF(D$2=0,"",IFERROR(TRIM(INDEX('Pegar docentes'!$A$1:$BZ$1001,148,D$2)&amp;""),""))</f>
        <v/>
      </c>
      <c r="E149">
        <f>IF(E$2=0,"",IFERROR(TRIM(INDEX('Pegar docentes'!$A$1:$BZ$1001,148,E$2)&amp;""),""))</f>
        <v/>
      </c>
      <c r="F149">
        <f>IF(F$2=0,"",IFERROR(TRIM(INDEX('Pegar docentes'!$A$1:$BZ$1001,148,F$2)&amp;""),""))</f>
        <v/>
      </c>
      <c r="G149">
        <f>IF(G$2=0,"",IFERROR(TRIM(INDEX('Pegar docentes'!$A$1:$BZ$1001,148,G$2)&amp;""),""))</f>
        <v/>
      </c>
      <c r="H149">
        <f>IF(H$2=0,"",IFERROR(TRIM(INDEX('Pegar docentes'!$A$1:$BZ$1001,148,H$2)&amp;""),""))</f>
        <v/>
      </c>
      <c r="I149">
        <f>IF(I$2=0,"",IFERROR(TRIM(INDEX('Pegar docentes'!$A$1:$BZ$1001,148,I$2)&amp;""),""))</f>
        <v/>
      </c>
      <c r="J149">
        <f>IF(J$2=0,"",IFERROR(TRIM(INDEX('Pegar docentes'!$A$1:$BZ$1001,148,J$2)&amp;""),""))</f>
        <v/>
      </c>
      <c r="K149">
        <f>IF(K$2=0,"",IFERROR(TRIM(INDEX('Pegar docentes'!$A$1:$BZ$1001,148,K$2)&amp;""),""))</f>
        <v/>
      </c>
      <c r="L149">
        <f>IF(L$2=0,"",IFERROR(TRIM(INDEX('Pegar docentes'!$A$1:$BZ$1001,148,L$2)&amp;""),""))</f>
        <v/>
      </c>
      <c r="M149">
        <f>IF(M$2=0,"",IFERROR(TRIM(INDEX('Pegar docentes'!$A$1:$BZ$1001,148,M$2)&amp;""),""))</f>
        <v/>
      </c>
      <c r="N149">
        <f>IF(N$2=0,"",IFERROR(TRIM(INDEX('Pegar docentes'!$A$1:$BZ$1001,148,N$2)&amp;""),""))</f>
        <v/>
      </c>
      <c r="O149">
        <f>IF(O$2=0,"",IFERROR(TRIM(INDEX('Pegar docentes'!$A$1:$BZ$1001,148,O$2)&amp;""),""))</f>
        <v/>
      </c>
      <c r="P149">
        <f>IF(P$2=0,"",IFERROR(TRIM(INDEX('Pegar docentes'!$A$1:$BZ$1001,148,P$2)&amp;""),""))</f>
        <v/>
      </c>
      <c r="Q149" s="25">
        <f>IF(OR(D149&lt;&gt;"",H149&lt;&gt;""),1,"")</f>
        <v/>
      </c>
      <c r="R149" s="25">
        <f>IF(Q149=1,IF(ISNUMBER(FIND("#"&amp;MID(D149,1,1)&amp;"#","#0#1#2#3#4#5#6#7#8#9#")),IF(ISNUMBER(FIND("#"&amp;MID(D149,2,1)&amp;"#","#0#1#2#3#4#5#6#7#8#9#")),IF(AND(VALUE(LEFT(D149,2))&gt;=1,VALUE(LEFT(D149,2))&lt;=5),VALUE(LEFT(D149,2)),""),IF(AND(VALUE(LEFT(D149,1))&gt;=1,VALUE(LEFT(D149,1))&lt;=5),VALUE(LEFT(D149,1)),"")),""),"")</f>
        <v/>
      </c>
      <c r="S149" s="25">
        <f>IF(AND(Q149=1,E149&lt;&gt;""),SUBSTITUTE(SUBSTITUTE(SUBSTITUTE(SUBSTITUTE(SUBSTITUTE(SUBSTITUTE(SUBSTITUTE(SUBSTITUTE(SUBSTITUTE(SUBSTITUTE(SUBSTITUTE(SUBSTITUTE(LOWER(TRIM(E149)),"á","a"),"é","e"),"í","i"),"ó","o"),"ú","u"),"ü","u"),"ñ","n"),"à","a"),"è","e"),"ì","i"),"ò","o"),"ù","u"),"")</f>
        <v/>
      </c>
      <c r="T149" s="25">
        <f>IF(AND(Q149=1,G149&lt;&gt;""),SUBSTITUTE(SUBSTITUTE(SUBSTITUTE(SUBSTITUTE(SUBSTITUTE(SUBSTITUTE(SUBSTITUTE(SUBSTITUTE(SUBSTITUTE(SUBSTITUTE(SUBSTITUTE(SUBSTITUTE(LOWER(TRIM(G149)),"á","a"),"é","e"),"í","i"),"ó","o"),"ú","u"),"ü","u"),"ñ","n"),"à","a"),"è","e"),"ì","i"),"ò","o"),"ù","u"),"")</f>
        <v/>
      </c>
      <c r="U149" s="25">
        <f>IF(AND(Q149=1,H149&lt;&gt;""),SUBSTITUTE(SUBSTITUTE(SUBSTITUTE(SUBSTITUTE(SUBSTITUTE(SUBSTITUTE(SUBSTITUTE(SUBSTITUTE(SUBSTITUTE(SUBSTITUTE(SUBSTITUTE(SUBSTITUTE(LOWER(TRIM(H149)),"á","a"),"é","e"),"í","i"),"ó","o"),"ú","u"),"ü","u"),"ñ","n"),"à","a"),"è","e"),"ì","i"),"ò","o"),"ù","u"),"")</f>
        <v/>
      </c>
      <c r="V149" s="25">
        <f>IF(AND(Q149=1,L149&lt;&gt;""),SUBSTITUTE(SUBSTITUTE(SUBSTITUTE(SUBSTITUTE(SUBSTITUTE(SUBSTITUTE(SUBSTITUTE(SUBSTITUTE(SUBSTITUTE(SUBSTITUTE(SUBSTITUTE(SUBSTITUTE(LOWER(TRIM(L149)),"á","a"),"é","e"),"í","i"),"ó","o"),"ú","u"),"ü","u"),"ñ","n"),"à","a"),"è","e"),"ì","i"),"ò","o"),"ù","u"),"")</f>
        <v/>
      </c>
      <c r="W149" s="25">
        <f>IF(AND(Q149=1,I149&lt;&gt;""),SUBSTITUTE(SUBSTITUTE(SUBSTITUTE(SUBSTITUTE(SUBSTITUTE(SUBSTITUTE(SUBSTITUTE(SUBSTITUTE(SUBSTITUTE(SUBSTITUTE(SUBSTITUTE(SUBSTITUTE(LOWER(TRIM(I149)),"á","a"),"é","e"),"í","i"),"ó","o"),"ú","u"),"ü","u"),"ñ","n"),"à","a"),"è","e"),"ì","i"),"ò","o"),"ù","u"),"")</f>
        <v/>
      </c>
      <c r="X149" s="25">
        <f>IF(U149="","",IF(OR(U149="si, en la proxima tarea",U149="si, con cambios"),1,0))</f>
        <v/>
      </c>
      <c r="Y149" s="25">
        <f>IF(AND(Q149=1,A149&lt;&gt;""),IF(IFERROR(COUNTIFS(A$3:A149,"="&amp;SUBSTITUTE(SUBSTITUTE(SUBSTITUTE(A149,"~","~~"),"*","~*"),"?","~?"),Q$3:Q149,1),0)=1,MAX(Y$2:Y148)+1,""),"")</f>
        <v/>
      </c>
      <c r="Z149" s="25">
        <f>IF(Y149="","",COUNTIFS($A$3:$A$1002,"="&amp;SUBSTITUTE(SUBSTITUTE(SUBSTITUTE(A149,"~","~~"),"*","~*"),"?","~?"),$Q$3:$Q$1002,1)*10000-Y149)</f>
        <v/>
      </c>
    </row>
    <row r="150">
      <c r="A150">
        <f>IF(A$2=0,"",IFERROR(TRIM(INDEX('Pegar docentes'!$A$1:$BZ$1001,149,A$2)&amp;""),""))</f>
        <v/>
      </c>
      <c r="B150">
        <f>IF(B$2=0,"",IFERROR(TRIM(INDEX('Pegar docentes'!$A$1:$BZ$1001,149,B$2)&amp;""),""))</f>
        <v/>
      </c>
      <c r="C150">
        <f>IF(C$2=0,"",IFERROR(TRIM(INDEX('Pegar docentes'!$A$1:$BZ$1001,149,C$2)&amp;""),""))</f>
        <v/>
      </c>
      <c r="D150">
        <f>IF(D$2=0,"",IFERROR(TRIM(INDEX('Pegar docentes'!$A$1:$BZ$1001,149,D$2)&amp;""),""))</f>
        <v/>
      </c>
      <c r="E150">
        <f>IF(E$2=0,"",IFERROR(TRIM(INDEX('Pegar docentes'!$A$1:$BZ$1001,149,E$2)&amp;""),""))</f>
        <v/>
      </c>
      <c r="F150">
        <f>IF(F$2=0,"",IFERROR(TRIM(INDEX('Pegar docentes'!$A$1:$BZ$1001,149,F$2)&amp;""),""))</f>
        <v/>
      </c>
      <c r="G150">
        <f>IF(G$2=0,"",IFERROR(TRIM(INDEX('Pegar docentes'!$A$1:$BZ$1001,149,G$2)&amp;""),""))</f>
        <v/>
      </c>
      <c r="H150">
        <f>IF(H$2=0,"",IFERROR(TRIM(INDEX('Pegar docentes'!$A$1:$BZ$1001,149,H$2)&amp;""),""))</f>
        <v/>
      </c>
      <c r="I150">
        <f>IF(I$2=0,"",IFERROR(TRIM(INDEX('Pegar docentes'!$A$1:$BZ$1001,149,I$2)&amp;""),""))</f>
        <v/>
      </c>
      <c r="J150">
        <f>IF(J$2=0,"",IFERROR(TRIM(INDEX('Pegar docentes'!$A$1:$BZ$1001,149,J$2)&amp;""),""))</f>
        <v/>
      </c>
      <c r="K150">
        <f>IF(K$2=0,"",IFERROR(TRIM(INDEX('Pegar docentes'!$A$1:$BZ$1001,149,K$2)&amp;""),""))</f>
        <v/>
      </c>
      <c r="L150">
        <f>IF(L$2=0,"",IFERROR(TRIM(INDEX('Pegar docentes'!$A$1:$BZ$1001,149,L$2)&amp;""),""))</f>
        <v/>
      </c>
      <c r="M150">
        <f>IF(M$2=0,"",IFERROR(TRIM(INDEX('Pegar docentes'!$A$1:$BZ$1001,149,M$2)&amp;""),""))</f>
        <v/>
      </c>
      <c r="N150">
        <f>IF(N$2=0,"",IFERROR(TRIM(INDEX('Pegar docentes'!$A$1:$BZ$1001,149,N$2)&amp;""),""))</f>
        <v/>
      </c>
      <c r="O150">
        <f>IF(O$2=0,"",IFERROR(TRIM(INDEX('Pegar docentes'!$A$1:$BZ$1001,149,O$2)&amp;""),""))</f>
        <v/>
      </c>
      <c r="P150">
        <f>IF(P$2=0,"",IFERROR(TRIM(INDEX('Pegar docentes'!$A$1:$BZ$1001,149,P$2)&amp;""),""))</f>
        <v/>
      </c>
      <c r="Q150" s="25">
        <f>IF(OR(D150&lt;&gt;"",H150&lt;&gt;""),1,"")</f>
        <v/>
      </c>
      <c r="R150" s="25">
        <f>IF(Q150=1,IF(ISNUMBER(FIND("#"&amp;MID(D150,1,1)&amp;"#","#0#1#2#3#4#5#6#7#8#9#")),IF(ISNUMBER(FIND("#"&amp;MID(D150,2,1)&amp;"#","#0#1#2#3#4#5#6#7#8#9#")),IF(AND(VALUE(LEFT(D150,2))&gt;=1,VALUE(LEFT(D150,2))&lt;=5),VALUE(LEFT(D150,2)),""),IF(AND(VALUE(LEFT(D150,1))&gt;=1,VALUE(LEFT(D150,1))&lt;=5),VALUE(LEFT(D150,1)),"")),""),"")</f>
        <v/>
      </c>
      <c r="S150" s="25">
        <f>IF(AND(Q150=1,E150&lt;&gt;""),SUBSTITUTE(SUBSTITUTE(SUBSTITUTE(SUBSTITUTE(SUBSTITUTE(SUBSTITUTE(SUBSTITUTE(SUBSTITUTE(SUBSTITUTE(SUBSTITUTE(SUBSTITUTE(SUBSTITUTE(LOWER(TRIM(E150)),"á","a"),"é","e"),"í","i"),"ó","o"),"ú","u"),"ü","u"),"ñ","n"),"à","a"),"è","e"),"ì","i"),"ò","o"),"ù","u"),"")</f>
        <v/>
      </c>
      <c r="T150" s="25">
        <f>IF(AND(Q150=1,G150&lt;&gt;""),SUBSTITUTE(SUBSTITUTE(SUBSTITUTE(SUBSTITUTE(SUBSTITUTE(SUBSTITUTE(SUBSTITUTE(SUBSTITUTE(SUBSTITUTE(SUBSTITUTE(SUBSTITUTE(SUBSTITUTE(LOWER(TRIM(G150)),"á","a"),"é","e"),"í","i"),"ó","o"),"ú","u"),"ü","u"),"ñ","n"),"à","a"),"è","e"),"ì","i"),"ò","o"),"ù","u"),"")</f>
        <v/>
      </c>
      <c r="U150" s="25">
        <f>IF(AND(Q150=1,H150&lt;&gt;""),SUBSTITUTE(SUBSTITUTE(SUBSTITUTE(SUBSTITUTE(SUBSTITUTE(SUBSTITUTE(SUBSTITUTE(SUBSTITUTE(SUBSTITUTE(SUBSTITUTE(SUBSTITUTE(SUBSTITUTE(LOWER(TRIM(H150)),"á","a"),"é","e"),"í","i"),"ó","o"),"ú","u"),"ü","u"),"ñ","n"),"à","a"),"è","e"),"ì","i"),"ò","o"),"ù","u"),"")</f>
        <v/>
      </c>
      <c r="V150" s="25">
        <f>IF(AND(Q150=1,L150&lt;&gt;""),SUBSTITUTE(SUBSTITUTE(SUBSTITUTE(SUBSTITUTE(SUBSTITUTE(SUBSTITUTE(SUBSTITUTE(SUBSTITUTE(SUBSTITUTE(SUBSTITUTE(SUBSTITUTE(SUBSTITUTE(LOWER(TRIM(L150)),"á","a"),"é","e"),"í","i"),"ó","o"),"ú","u"),"ü","u"),"ñ","n"),"à","a"),"è","e"),"ì","i"),"ò","o"),"ù","u"),"")</f>
        <v/>
      </c>
      <c r="W150" s="25">
        <f>IF(AND(Q150=1,I150&lt;&gt;""),SUBSTITUTE(SUBSTITUTE(SUBSTITUTE(SUBSTITUTE(SUBSTITUTE(SUBSTITUTE(SUBSTITUTE(SUBSTITUTE(SUBSTITUTE(SUBSTITUTE(SUBSTITUTE(SUBSTITUTE(LOWER(TRIM(I150)),"á","a"),"é","e"),"í","i"),"ó","o"),"ú","u"),"ü","u"),"ñ","n"),"à","a"),"è","e"),"ì","i"),"ò","o"),"ù","u"),"")</f>
        <v/>
      </c>
      <c r="X150" s="25">
        <f>IF(U150="","",IF(OR(U150="si, en la proxima tarea",U150="si, con cambios"),1,0))</f>
        <v/>
      </c>
      <c r="Y150" s="25">
        <f>IF(AND(Q150=1,A150&lt;&gt;""),IF(IFERROR(COUNTIFS(A$3:A150,"="&amp;SUBSTITUTE(SUBSTITUTE(SUBSTITUTE(A150,"~","~~"),"*","~*"),"?","~?"),Q$3:Q150,1),0)=1,MAX(Y$2:Y149)+1,""),"")</f>
        <v/>
      </c>
      <c r="Z150" s="25">
        <f>IF(Y150="","",COUNTIFS($A$3:$A$1002,"="&amp;SUBSTITUTE(SUBSTITUTE(SUBSTITUTE(A150,"~","~~"),"*","~*"),"?","~?"),$Q$3:$Q$1002,1)*10000-Y150)</f>
        <v/>
      </c>
    </row>
    <row r="151">
      <c r="A151">
        <f>IF(A$2=0,"",IFERROR(TRIM(INDEX('Pegar docentes'!$A$1:$BZ$1001,150,A$2)&amp;""),""))</f>
        <v/>
      </c>
      <c r="B151">
        <f>IF(B$2=0,"",IFERROR(TRIM(INDEX('Pegar docentes'!$A$1:$BZ$1001,150,B$2)&amp;""),""))</f>
        <v/>
      </c>
      <c r="C151">
        <f>IF(C$2=0,"",IFERROR(TRIM(INDEX('Pegar docentes'!$A$1:$BZ$1001,150,C$2)&amp;""),""))</f>
        <v/>
      </c>
      <c r="D151">
        <f>IF(D$2=0,"",IFERROR(TRIM(INDEX('Pegar docentes'!$A$1:$BZ$1001,150,D$2)&amp;""),""))</f>
        <v/>
      </c>
      <c r="E151">
        <f>IF(E$2=0,"",IFERROR(TRIM(INDEX('Pegar docentes'!$A$1:$BZ$1001,150,E$2)&amp;""),""))</f>
        <v/>
      </c>
      <c r="F151">
        <f>IF(F$2=0,"",IFERROR(TRIM(INDEX('Pegar docentes'!$A$1:$BZ$1001,150,F$2)&amp;""),""))</f>
        <v/>
      </c>
      <c r="G151">
        <f>IF(G$2=0,"",IFERROR(TRIM(INDEX('Pegar docentes'!$A$1:$BZ$1001,150,G$2)&amp;""),""))</f>
        <v/>
      </c>
      <c r="H151">
        <f>IF(H$2=0,"",IFERROR(TRIM(INDEX('Pegar docentes'!$A$1:$BZ$1001,150,H$2)&amp;""),""))</f>
        <v/>
      </c>
      <c r="I151">
        <f>IF(I$2=0,"",IFERROR(TRIM(INDEX('Pegar docentes'!$A$1:$BZ$1001,150,I$2)&amp;""),""))</f>
        <v/>
      </c>
      <c r="J151">
        <f>IF(J$2=0,"",IFERROR(TRIM(INDEX('Pegar docentes'!$A$1:$BZ$1001,150,J$2)&amp;""),""))</f>
        <v/>
      </c>
      <c r="K151">
        <f>IF(K$2=0,"",IFERROR(TRIM(INDEX('Pegar docentes'!$A$1:$BZ$1001,150,K$2)&amp;""),""))</f>
        <v/>
      </c>
      <c r="L151">
        <f>IF(L$2=0,"",IFERROR(TRIM(INDEX('Pegar docentes'!$A$1:$BZ$1001,150,L$2)&amp;""),""))</f>
        <v/>
      </c>
      <c r="M151">
        <f>IF(M$2=0,"",IFERROR(TRIM(INDEX('Pegar docentes'!$A$1:$BZ$1001,150,M$2)&amp;""),""))</f>
        <v/>
      </c>
      <c r="N151">
        <f>IF(N$2=0,"",IFERROR(TRIM(INDEX('Pegar docentes'!$A$1:$BZ$1001,150,N$2)&amp;""),""))</f>
        <v/>
      </c>
      <c r="O151">
        <f>IF(O$2=0,"",IFERROR(TRIM(INDEX('Pegar docentes'!$A$1:$BZ$1001,150,O$2)&amp;""),""))</f>
        <v/>
      </c>
      <c r="P151">
        <f>IF(P$2=0,"",IFERROR(TRIM(INDEX('Pegar docentes'!$A$1:$BZ$1001,150,P$2)&amp;""),""))</f>
        <v/>
      </c>
      <c r="Q151" s="25">
        <f>IF(OR(D151&lt;&gt;"",H151&lt;&gt;""),1,"")</f>
        <v/>
      </c>
      <c r="R151" s="25">
        <f>IF(Q151=1,IF(ISNUMBER(FIND("#"&amp;MID(D151,1,1)&amp;"#","#0#1#2#3#4#5#6#7#8#9#")),IF(ISNUMBER(FIND("#"&amp;MID(D151,2,1)&amp;"#","#0#1#2#3#4#5#6#7#8#9#")),IF(AND(VALUE(LEFT(D151,2))&gt;=1,VALUE(LEFT(D151,2))&lt;=5),VALUE(LEFT(D151,2)),""),IF(AND(VALUE(LEFT(D151,1))&gt;=1,VALUE(LEFT(D151,1))&lt;=5),VALUE(LEFT(D151,1)),"")),""),"")</f>
        <v/>
      </c>
      <c r="S151" s="25">
        <f>IF(AND(Q151=1,E151&lt;&gt;""),SUBSTITUTE(SUBSTITUTE(SUBSTITUTE(SUBSTITUTE(SUBSTITUTE(SUBSTITUTE(SUBSTITUTE(SUBSTITUTE(SUBSTITUTE(SUBSTITUTE(SUBSTITUTE(SUBSTITUTE(LOWER(TRIM(E151)),"á","a"),"é","e"),"í","i"),"ó","o"),"ú","u"),"ü","u"),"ñ","n"),"à","a"),"è","e"),"ì","i"),"ò","o"),"ù","u"),"")</f>
        <v/>
      </c>
      <c r="T151" s="25">
        <f>IF(AND(Q151=1,G151&lt;&gt;""),SUBSTITUTE(SUBSTITUTE(SUBSTITUTE(SUBSTITUTE(SUBSTITUTE(SUBSTITUTE(SUBSTITUTE(SUBSTITUTE(SUBSTITUTE(SUBSTITUTE(SUBSTITUTE(SUBSTITUTE(LOWER(TRIM(G151)),"á","a"),"é","e"),"í","i"),"ó","o"),"ú","u"),"ü","u"),"ñ","n"),"à","a"),"è","e"),"ì","i"),"ò","o"),"ù","u"),"")</f>
        <v/>
      </c>
      <c r="U151" s="25">
        <f>IF(AND(Q151=1,H151&lt;&gt;""),SUBSTITUTE(SUBSTITUTE(SUBSTITUTE(SUBSTITUTE(SUBSTITUTE(SUBSTITUTE(SUBSTITUTE(SUBSTITUTE(SUBSTITUTE(SUBSTITUTE(SUBSTITUTE(SUBSTITUTE(LOWER(TRIM(H151)),"á","a"),"é","e"),"í","i"),"ó","o"),"ú","u"),"ü","u"),"ñ","n"),"à","a"),"è","e"),"ì","i"),"ò","o"),"ù","u"),"")</f>
        <v/>
      </c>
      <c r="V151" s="25">
        <f>IF(AND(Q151=1,L151&lt;&gt;""),SUBSTITUTE(SUBSTITUTE(SUBSTITUTE(SUBSTITUTE(SUBSTITUTE(SUBSTITUTE(SUBSTITUTE(SUBSTITUTE(SUBSTITUTE(SUBSTITUTE(SUBSTITUTE(SUBSTITUTE(LOWER(TRIM(L151)),"á","a"),"é","e"),"í","i"),"ó","o"),"ú","u"),"ü","u"),"ñ","n"),"à","a"),"è","e"),"ì","i"),"ò","o"),"ù","u"),"")</f>
        <v/>
      </c>
      <c r="W151" s="25">
        <f>IF(AND(Q151=1,I151&lt;&gt;""),SUBSTITUTE(SUBSTITUTE(SUBSTITUTE(SUBSTITUTE(SUBSTITUTE(SUBSTITUTE(SUBSTITUTE(SUBSTITUTE(SUBSTITUTE(SUBSTITUTE(SUBSTITUTE(SUBSTITUTE(LOWER(TRIM(I151)),"á","a"),"é","e"),"í","i"),"ó","o"),"ú","u"),"ü","u"),"ñ","n"),"à","a"),"è","e"),"ì","i"),"ò","o"),"ù","u"),"")</f>
        <v/>
      </c>
      <c r="X151" s="25">
        <f>IF(U151="","",IF(OR(U151="si, en la proxima tarea",U151="si, con cambios"),1,0))</f>
        <v/>
      </c>
      <c r="Y151" s="25">
        <f>IF(AND(Q151=1,A151&lt;&gt;""),IF(IFERROR(COUNTIFS(A$3:A151,"="&amp;SUBSTITUTE(SUBSTITUTE(SUBSTITUTE(A151,"~","~~"),"*","~*"),"?","~?"),Q$3:Q151,1),0)=1,MAX(Y$2:Y150)+1,""),"")</f>
        <v/>
      </c>
      <c r="Z151" s="25">
        <f>IF(Y151="","",COUNTIFS($A$3:$A$1002,"="&amp;SUBSTITUTE(SUBSTITUTE(SUBSTITUTE(A151,"~","~~"),"*","~*"),"?","~?"),$Q$3:$Q$1002,1)*10000-Y151)</f>
        <v/>
      </c>
    </row>
    <row r="152">
      <c r="A152">
        <f>IF(A$2=0,"",IFERROR(TRIM(INDEX('Pegar docentes'!$A$1:$BZ$1001,151,A$2)&amp;""),""))</f>
        <v/>
      </c>
      <c r="B152">
        <f>IF(B$2=0,"",IFERROR(TRIM(INDEX('Pegar docentes'!$A$1:$BZ$1001,151,B$2)&amp;""),""))</f>
        <v/>
      </c>
      <c r="C152">
        <f>IF(C$2=0,"",IFERROR(TRIM(INDEX('Pegar docentes'!$A$1:$BZ$1001,151,C$2)&amp;""),""))</f>
        <v/>
      </c>
      <c r="D152">
        <f>IF(D$2=0,"",IFERROR(TRIM(INDEX('Pegar docentes'!$A$1:$BZ$1001,151,D$2)&amp;""),""))</f>
        <v/>
      </c>
      <c r="E152">
        <f>IF(E$2=0,"",IFERROR(TRIM(INDEX('Pegar docentes'!$A$1:$BZ$1001,151,E$2)&amp;""),""))</f>
        <v/>
      </c>
      <c r="F152">
        <f>IF(F$2=0,"",IFERROR(TRIM(INDEX('Pegar docentes'!$A$1:$BZ$1001,151,F$2)&amp;""),""))</f>
        <v/>
      </c>
      <c r="G152">
        <f>IF(G$2=0,"",IFERROR(TRIM(INDEX('Pegar docentes'!$A$1:$BZ$1001,151,G$2)&amp;""),""))</f>
        <v/>
      </c>
      <c r="H152">
        <f>IF(H$2=0,"",IFERROR(TRIM(INDEX('Pegar docentes'!$A$1:$BZ$1001,151,H$2)&amp;""),""))</f>
        <v/>
      </c>
      <c r="I152">
        <f>IF(I$2=0,"",IFERROR(TRIM(INDEX('Pegar docentes'!$A$1:$BZ$1001,151,I$2)&amp;""),""))</f>
        <v/>
      </c>
      <c r="J152">
        <f>IF(J$2=0,"",IFERROR(TRIM(INDEX('Pegar docentes'!$A$1:$BZ$1001,151,J$2)&amp;""),""))</f>
        <v/>
      </c>
      <c r="K152">
        <f>IF(K$2=0,"",IFERROR(TRIM(INDEX('Pegar docentes'!$A$1:$BZ$1001,151,K$2)&amp;""),""))</f>
        <v/>
      </c>
      <c r="L152">
        <f>IF(L$2=0,"",IFERROR(TRIM(INDEX('Pegar docentes'!$A$1:$BZ$1001,151,L$2)&amp;""),""))</f>
        <v/>
      </c>
      <c r="M152">
        <f>IF(M$2=0,"",IFERROR(TRIM(INDEX('Pegar docentes'!$A$1:$BZ$1001,151,M$2)&amp;""),""))</f>
        <v/>
      </c>
      <c r="N152">
        <f>IF(N$2=0,"",IFERROR(TRIM(INDEX('Pegar docentes'!$A$1:$BZ$1001,151,N$2)&amp;""),""))</f>
        <v/>
      </c>
      <c r="O152">
        <f>IF(O$2=0,"",IFERROR(TRIM(INDEX('Pegar docentes'!$A$1:$BZ$1001,151,O$2)&amp;""),""))</f>
        <v/>
      </c>
      <c r="P152">
        <f>IF(P$2=0,"",IFERROR(TRIM(INDEX('Pegar docentes'!$A$1:$BZ$1001,151,P$2)&amp;""),""))</f>
        <v/>
      </c>
      <c r="Q152" s="25">
        <f>IF(OR(D152&lt;&gt;"",H152&lt;&gt;""),1,"")</f>
        <v/>
      </c>
      <c r="R152" s="25">
        <f>IF(Q152=1,IF(ISNUMBER(FIND("#"&amp;MID(D152,1,1)&amp;"#","#0#1#2#3#4#5#6#7#8#9#")),IF(ISNUMBER(FIND("#"&amp;MID(D152,2,1)&amp;"#","#0#1#2#3#4#5#6#7#8#9#")),IF(AND(VALUE(LEFT(D152,2))&gt;=1,VALUE(LEFT(D152,2))&lt;=5),VALUE(LEFT(D152,2)),""),IF(AND(VALUE(LEFT(D152,1))&gt;=1,VALUE(LEFT(D152,1))&lt;=5),VALUE(LEFT(D152,1)),"")),""),"")</f>
        <v/>
      </c>
      <c r="S152" s="25">
        <f>IF(AND(Q152=1,E152&lt;&gt;""),SUBSTITUTE(SUBSTITUTE(SUBSTITUTE(SUBSTITUTE(SUBSTITUTE(SUBSTITUTE(SUBSTITUTE(SUBSTITUTE(SUBSTITUTE(SUBSTITUTE(SUBSTITUTE(SUBSTITUTE(LOWER(TRIM(E152)),"á","a"),"é","e"),"í","i"),"ó","o"),"ú","u"),"ü","u"),"ñ","n"),"à","a"),"è","e"),"ì","i"),"ò","o"),"ù","u"),"")</f>
        <v/>
      </c>
      <c r="T152" s="25">
        <f>IF(AND(Q152=1,G152&lt;&gt;""),SUBSTITUTE(SUBSTITUTE(SUBSTITUTE(SUBSTITUTE(SUBSTITUTE(SUBSTITUTE(SUBSTITUTE(SUBSTITUTE(SUBSTITUTE(SUBSTITUTE(SUBSTITUTE(SUBSTITUTE(LOWER(TRIM(G152)),"á","a"),"é","e"),"í","i"),"ó","o"),"ú","u"),"ü","u"),"ñ","n"),"à","a"),"è","e"),"ì","i"),"ò","o"),"ù","u"),"")</f>
        <v/>
      </c>
      <c r="U152" s="25">
        <f>IF(AND(Q152=1,H152&lt;&gt;""),SUBSTITUTE(SUBSTITUTE(SUBSTITUTE(SUBSTITUTE(SUBSTITUTE(SUBSTITUTE(SUBSTITUTE(SUBSTITUTE(SUBSTITUTE(SUBSTITUTE(SUBSTITUTE(SUBSTITUTE(LOWER(TRIM(H152)),"á","a"),"é","e"),"í","i"),"ó","o"),"ú","u"),"ü","u"),"ñ","n"),"à","a"),"è","e"),"ì","i"),"ò","o"),"ù","u"),"")</f>
        <v/>
      </c>
      <c r="V152" s="25">
        <f>IF(AND(Q152=1,L152&lt;&gt;""),SUBSTITUTE(SUBSTITUTE(SUBSTITUTE(SUBSTITUTE(SUBSTITUTE(SUBSTITUTE(SUBSTITUTE(SUBSTITUTE(SUBSTITUTE(SUBSTITUTE(SUBSTITUTE(SUBSTITUTE(LOWER(TRIM(L152)),"á","a"),"é","e"),"í","i"),"ó","o"),"ú","u"),"ü","u"),"ñ","n"),"à","a"),"è","e"),"ì","i"),"ò","o"),"ù","u"),"")</f>
        <v/>
      </c>
      <c r="W152" s="25">
        <f>IF(AND(Q152=1,I152&lt;&gt;""),SUBSTITUTE(SUBSTITUTE(SUBSTITUTE(SUBSTITUTE(SUBSTITUTE(SUBSTITUTE(SUBSTITUTE(SUBSTITUTE(SUBSTITUTE(SUBSTITUTE(SUBSTITUTE(SUBSTITUTE(LOWER(TRIM(I152)),"á","a"),"é","e"),"í","i"),"ó","o"),"ú","u"),"ü","u"),"ñ","n"),"à","a"),"è","e"),"ì","i"),"ò","o"),"ù","u"),"")</f>
        <v/>
      </c>
      <c r="X152" s="25">
        <f>IF(U152="","",IF(OR(U152="si, en la proxima tarea",U152="si, con cambios"),1,0))</f>
        <v/>
      </c>
      <c r="Y152" s="25">
        <f>IF(AND(Q152=1,A152&lt;&gt;""),IF(IFERROR(COUNTIFS(A$3:A152,"="&amp;SUBSTITUTE(SUBSTITUTE(SUBSTITUTE(A152,"~","~~"),"*","~*"),"?","~?"),Q$3:Q152,1),0)=1,MAX(Y$2:Y151)+1,""),"")</f>
        <v/>
      </c>
      <c r="Z152" s="25">
        <f>IF(Y152="","",COUNTIFS($A$3:$A$1002,"="&amp;SUBSTITUTE(SUBSTITUTE(SUBSTITUTE(A152,"~","~~"),"*","~*"),"?","~?"),$Q$3:$Q$1002,1)*10000-Y152)</f>
        <v/>
      </c>
    </row>
    <row r="153">
      <c r="A153">
        <f>IF(A$2=0,"",IFERROR(TRIM(INDEX('Pegar docentes'!$A$1:$BZ$1001,152,A$2)&amp;""),""))</f>
        <v/>
      </c>
      <c r="B153">
        <f>IF(B$2=0,"",IFERROR(TRIM(INDEX('Pegar docentes'!$A$1:$BZ$1001,152,B$2)&amp;""),""))</f>
        <v/>
      </c>
      <c r="C153">
        <f>IF(C$2=0,"",IFERROR(TRIM(INDEX('Pegar docentes'!$A$1:$BZ$1001,152,C$2)&amp;""),""))</f>
        <v/>
      </c>
      <c r="D153">
        <f>IF(D$2=0,"",IFERROR(TRIM(INDEX('Pegar docentes'!$A$1:$BZ$1001,152,D$2)&amp;""),""))</f>
        <v/>
      </c>
      <c r="E153">
        <f>IF(E$2=0,"",IFERROR(TRIM(INDEX('Pegar docentes'!$A$1:$BZ$1001,152,E$2)&amp;""),""))</f>
        <v/>
      </c>
      <c r="F153">
        <f>IF(F$2=0,"",IFERROR(TRIM(INDEX('Pegar docentes'!$A$1:$BZ$1001,152,F$2)&amp;""),""))</f>
        <v/>
      </c>
      <c r="G153">
        <f>IF(G$2=0,"",IFERROR(TRIM(INDEX('Pegar docentes'!$A$1:$BZ$1001,152,G$2)&amp;""),""))</f>
        <v/>
      </c>
      <c r="H153">
        <f>IF(H$2=0,"",IFERROR(TRIM(INDEX('Pegar docentes'!$A$1:$BZ$1001,152,H$2)&amp;""),""))</f>
        <v/>
      </c>
      <c r="I153">
        <f>IF(I$2=0,"",IFERROR(TRIM(INDEX('Pegar docentes'!$A$1:$BZ$1001,152,I$2)&amp;""),""))</f>
        <v/>
      </c>
      <c r="J153">
        <f>IF(J$2=0,"",IFERROR(TRIM(INDEX('Pegar docentes'!$A$1:$BZ$1001,152,J$2)&amp;""),""))</f>
        <v/>
      </c>
      <c r="K153">
        <f>IF(K$2=0,"",IFERROR(TRIM(INDEX('Pegar docentes'!$A$1:$BZ$1001,152,K$2)&amp;""),""))</f>
        <v/>
      </c>
      <c r="L153">
        <f>IF(L$2=0,"",IFERROR(TRIM(INDEX('Pegar docentes'!$A$1:$BZ$1001,152,L$2)&amp;""),""))</f>
        <v/>
      </c>
      <c r="M153">
        <f>IF(M$2=0,"",IFERROR(TRIM(INDEX('Pegar docentes'!$A$1:$BZ$1001,152,M$2)&amp;""),""))</f>
        <v/>
      </c>
      <c r="N153">
        <f>IF(N$2=0,"",IFERROR(TRIM(INDEX('Pegar docentes'!$A$1:$BZ$1001,152,N$2)&amp;""),""))</f>
        <v/>
      </c>
      <c r="O153">
        <f>IF(O$2=0,"",IFERROR(TRIM(INDEX('Pegar docentes'!$A$1:$BZ$1001,152,O$2)&amp;""),""))</f>
        <v/>
      </c>
      <c r="P153">
        <f>IF(P$2=0,"",IFERROR(TRIM(INDEX('Pegar docentes'!$A$1:$BZ$1001,152,P$2)&amp;""),""))</f>
        <v/>
      </c>
      <c r="Q153" s="25">
        <f>IF(OR(D153&lt;&gt;"",H153&lt;&gt;""),1,"")</f>
        <v/>
      </c>
      <c r="R153" s="25">
        <f>IF(Q153=1,IF(ISNUMBER(FIND("#"&amp;MID(D153,1,1)&amp;"#","#0#1#2#3#4#5#6#7#8#9#")),IF(ISNUMBER(FIND("#"&amp;MID(D153,2,1)&amp;"#","#0#1#2#3#4#5#6#7#8#9#")),IF(AND(VALUE(LEFT(D153,2))&gt;=1,VALUE(LEFT(D153,2))&lt;=5),VALUE(LEFT(D153,2)),""),IF(AND(VALUE(LEFT(D153,1))&gt;=1,VALUE(LEFT(D153,1))&lt;=5),VALUE(LEFT(D153,1)),"")),""),"")</f>
        <v/>
      </c>
      <c r="S153" s="25">
        <f>IF(AND(Q153=1,E153&lt;&gt;""),SUBSTITUTE(SUBSTITUTE(SUBSTITUTE(SUBSTITUTE(SUBSTITUTE(SUBSTITUTE(SUBSTITUTE(SUBSTITUTE(SUBSTITUTE(SUBSTITUTE(SUBSTITUTE(SUBSTITUTE(LOWER(TRIM(E153)),"á","a"),"é","e"),"í","i"),"ó","o"),"ú","u"),"ü","u"),"ñ","n"),"à","a"),"è","e"),"ì","i"),"ò","o"),"ù","u"),"")</f>
        <v/>
      </c>
      <c r="T153" s="25">
        <f>IF(AND(Q153=1,G153&lt;&gt;""),SUBSTITUTE(SUBSTITUTE(SUBSTITUTE(SUBSTITUTE(SUBSTITUTE(SUBSTITUTE(SUBSTITUTE(SUBSTITUTE(SUBSTITUTE(SUBSTITUTE(SUBSTITUTE(SUBSTITUTE(LOWER(TRIM(G153)),"á","a"),"é","e"),"í","i"),"ó","o"),"ú","u"),"ü","u"),"ñ","n"),"à","a"),"è","e"),"ì","i"),"ò","o"),"ù","u"),"")</f>
        <v/>
      </c>
      <c r="U153" s="25">
        <f>IF(AND(Q153=1,H153&lt;&gt;""),SUBSTITUTE(SUBSTITUTE(SUBSTITUTE(SUBSTITUTE(SUBSTITUTE(SUBSTITUTE(SUBSTITUTE(SUBSTITUTE(SUBSTITUTE(SUBSTITUTE(SUBSTITUTE(SUBSTITUTE(LOWER(TRIM(H153)),"á","a"),"é","e"),"í","i"),"ó","o"),"ú","u"),"ü","u"),"ñ","n"),"à","a"),"è","e"),"ì","i"),"ò","o"),"ù","u"),"")</f>
        <v/>
      </c>
      <c r="V153" s="25">
        <f>IF(AND(Q153=1,L153&lt;&gt;""),SUBSTITUTE(SUBSTITUTE(SUBSTITUTE(SUBSTITUTE(SUBSTITUTE(SUBSTITUTE(SUBSTITUTE(SUBSTITUTE(SUBSTITUTE(SUBSTITUTE(SUBSTITUTE(SUBSTITUTE(LOWER(TRIM(L153)),"á","a"),"é","e"),"í","i"),"ó","o"),"ú","u"),"ü","u"),"ñ","n"),"à","a"),"è","e"),"ì","i"),"ò","o"),"ù","u"),"")</f>
        <v/>
      </c>
      <c r="W153" s="25">
        <f>IF(AND(Q153=1,I153&lt;&gt;""),SUBSTITUTE(SUBSTITUTE(SUBSTITUTE(SUBSTITUTE(SUBSTITUTE(SUBSTITUTE(SUBSTITUTE(SUBSTITUTE(SUBSTITUTE(SUBSTITUTE(SUBSTITUTE(SUBSTITUTE(LOWER(TRIM(I153)),"á","a"),"é","e"),"í","i"),"ó","o"),"ú","u"),"ü","u"),"ñ","n"),"à","a"),"è","e"),"ì","i"),"ò","o"),"ù","u"),"")</f>
        <v/>
      </c>
      <c r="X153" s="25">
        <f>IF(U153="","",IF(OR(U153="si, en la proxima tarea",U153="si, con cambios"),1,0))</f>
        <v/>
      </c>
      <c r="Y153" s="25">
        <f>IF(AND(Q153=1,A153&lt;&gt;""),IF(IFERROR(COUNTIFS(A$3:A153,"="&amp;SUBSTITUTE(SUBSTITUTE(SUBSTITUTE(A153,"~","~~"),"*","~*"),"?","~?"),Q$3:Q153,1),0)=1,MAX(Y$2:Y152)+1,""),"")</f>
        <v/>
      </c>
      <c r="Z153" s="25">
        <f>IF(Y153="","",COUNTIFS($A$3:$A$1002,"="&amp;SUBSTITUTE(SUBSTITUTE(SUBSTITUTE(A153,"~","~~"),"*","~*"),"?","~?"),$Q$3:$Q$1002,1)*10000-Y153)</f>
        <v/>
      </c>
    </row>
    <row r="154">
      <c r="A154">
        <f>IF(A$2=0,"",IFERROR(TRIM(INDEX('Pegar docentes'!$A$1:$BZ$1001,153,A$2)&amp;""),""))</f>
        <v/>
      </c>
      <c r="B154">
        <f>IF(B$2=0,"",IFERROR(TRIM(INDEX('Pegar docentes'!$A$1:$BZ$1001,153,B$2)&amp;""),""))</f>
        <v/>
      </c>
      <c r="C154">
        <f>IF(C$2=0,"",IFERROR(TRIM(INDEX('Pegar docentes'!$A$1:$BZ$1001,153,C$2)&amp;""),""))</f>
        <v/>
      </c>
      <c r="D154">
        <f>IF(D$2=0,"",IFERROR(TRIM(INDEX('Pegar docentes'!$A$1:$BZ$1001,153,D$2)&amp;""),""))</f>
        <v/>
      </c>
      <c r="E154">
        <f>IF(E$2=0,"",IFERROR(TRIM(INDEX('Pegar docentes'!$A$1:$BZ$1001,153,E$2)&amp;""),""))</f>
        <v/>
      </c>
      <c r="F154">
        <f>IF(F$2=0,"",IFERROR(TRIM(INDEX('Pegar docentes'!$A$1:$BZ$1001,153,F$2)&amp;""),""))</f>
        <v/>
      </c>
      <c r="G154">
        <f>IF(G$2=0,"",IFERROR(TRIM(INDEX('Pegar docentes'!$A$1:$BZ$1001,153,G$2)&amp;""),""))</f>
        <v/>
      </c>
      <c r="H154">
        <f>IF(H$2=0,"",IFERROR(TRIM(INDEX('Pegar docentes'!$A$1:$BZ$1001,153,H$2)&amp;""),""))</f>
        <v/>
      </c>
      <c r="I154">
        <f>IF(I$2=0,"",IFERROR(TRIM(INDEX('Pegar docentes'!$A$1:$BZ$1001,153,I$2)&amp;""),""))</f>
        <v/>
      </c>
      <c r="J154">
        <f>IF(J$2=0,"",IFERROR(TRIM(INDEX('Pegar docentes'!$A$1:$BZ$1001,153,J$2)&amp;""),""))</f>
        <v/>
      </c>
      <c r="K154">
        <f>IF(K$2=0,"",IFERROR(TRIM(INDEX('Pegar docentes'!$A$1:$BZ$1001,153,K$2)&amp;""),""))</f>
        <v/>
      </c>
      <c r="L154">
        <f>IF(L$2=0,"",IFERROR(TRIM(INDEX('Pegar docentes'!$A$1:$BZ$1001,153,L$2)&amp;""),""))</f>
        <v/>
      </c>
      <c r="M154">
        <f>IF(M$2=0,"",IFERROR(TRIM(INDEX('Pegar docentes'!$A$1:$BZ$1001,153,M$2)&amp;""),""))</f>
        <v/>
      </c>
      <c r="N154">
        <f>IF(N$2=0,"",IFERROR(TRIM(INDEX('Pegar docentes'!$A$1:$BZ$1001,153,N$2)&amp;""),""))</f>
        <v/>
      </c>
      <c r="O154">
        <f>IF(O$2=0,"",IFERROR(TRIM(INDEX('Pegar docentes'!$A$1:$BZ$1001,153,O$2)&amp;""),""))</f>
        <v/>
      </c>
      <c r="P154">
        <f>IF(P$2=0,"",IFERROR(TRIM(INDEX('Pegar docentes'!$A$1:$BZ$1001,153,P$2)&amp;""),""))</f>
        <v/>
      </c>
      <c r="Q154" s="25">
        <f>IF(OR(D154&lt;&gt;"",H154&lt;&gt;""),1,"")</f>
        <v/>
      </c>
      <c r="R154" s="25">
        <f>IF(Q154=1,IF(ISNUMBER(FIND("#"&amp;MID(D154,1,1)&amp;"#","#0#1#2#3#4#5#6#7#8#9#")),IF(ISNUMBER(FIND("#"&amp;MID(D154,2,1)&amp;"#","#0#1#2#3#4#5#6#7#8#9#")),IF(AND(VALUE(LEFT(D154,2))&gt;=1,VALUE(LEFT(D154,2))&lt;=5),VALUE(LEFT(D154,2)),""),IF(AND(VALUE(LEFT(D154,1))&gt;=1,VALUE(LEFT(D154,1))&lt;=5),VALUE(LEFT(D154,1)),"")),""),"")</f>
        <v/>
      </c>
      <c r="S154" s="25">
        <f>IF(AND(Q154=1,E154&lt;&gt;""),SUBSTITUTE(SUBSTITUTE(SUBSTITUTE(SUBSTITUTE(SUBSTITUTE(SUBSTITUTE(SUBSTITUTE(SUBSTITUTE(SUBSTITUTE(SUBSTITUTE(SUBSTITUTE(SUBSTITUTE(LOWER(TRIM(E154)),"á","a"),"é","e"),"í","i"),"ó","o"),"ú","u"),"ü","u"),"ñ","n"),"à","a"),"è","e"),"ì","i"),"ò","o"),"ù","u"),"")</f>
        <v/>
      </c>
      <c r="T154" s="25">
        <f>IF(AND(Q154=1,G154&lt;&gt;""),SUBSTITUTE(SUBSTITUTE(SUBSTITUTE(SUBSTITUTE(SUBSTITUTE(SUBSTITUTE(SUBSTITUTE(SUBSTITUTE(SUBSTITUTE(SUBSTITUTE(SUBSTITUTE(SUBSTITUTE(LOWER(TRIM(G154)),"á","a"),"é","e"),"í","i"),"ó","o"),"ú","u"),"ü","u"),"ñ","n"),"à","a"),"è","e"),"ì","i"),"ò","o"),"ù","u"),"")</f>
        <v/>
      </c>
      <c r="U154" s="25">
        <f>IF(AND(Q154=1,H154&lt;&gt;""),SUBSTITUTE(SUBSTITUTE(SUBSTITUTE(SUBSTITUTE(SUBSTITUTE(SUBSTITUTE(SUBSTITUTE(SUBSTITUTE(SUBSTITUTE(SUBSTITUTE(SUBSTITUTE(SUBSTITUTE(LOWER(TRIM(H154)),"á","a"),"é","e"),"í","i"),"ó","o"),"ú","u"),"ü","u"),"ñ","n"),"à","a"),"è","e"),"ì","i"),"ò","o"),"ù","u"),"")</f>
        <v/>
      </c>
      <c r="V154" s="25">
        <f>IF(AND(Q154=1,L154&lt;&gt;""),SUBSTITUTE(SUBSTITUTE(SUBSTITUTE(SUBSTITUTE(SUBSTITUTE(SUBSTITUTE(SUBSTITUTE(SUBSTITUTE(SUBSTITUTE(SUBSTITUTE(SUBSTITUTE(SUBSTITUTE(LOWER(TRIM(L154)),"á","a"),"é","e"),"í","i"),"ó","o"),"ú","u"),"ü","u"),"ñ","n"),"à","a"),"è","e"),"ì","i"),"ò","o"),"ù","u"),"")</f>
        <v/>
      </c>
      <c r="W154" s="25">
        <f>IF(AND(Q154=1,I154&lt;&gt;""),SUBSTITUTE(SUBSTITUTE(SUBSTITUTE(SUBSTITUTE(SUBSTITUTE(SUBSTITUTE(SUBSTITUTE(SUBSTITUTE(SUBSTITUTE(SUBSTITUTE(SUBSTITUTE(SUBSTITUTE(LOWER(TRIM(I154)),"á","a"),"é","e"),"í","i"),"ó","o"),"ú","u"),"ü","u"),"ñ","n"),"à","a"),"è","e"),"ì","i"),"ò","o"),"ù","u"),"")</f>
        <v/>
      </c>
      <c r="X154" s="25">
        <f>IF(U154="","",IF(OR(U154="si, en la proxima tarea",U154="si, con cambios"),1,0))</f>
        <v/>
      </c>
      <c r="Y154" s="25">
        <f>IF(AND(Q154=1,A154&lt;&gt;""),IF(IFERROR(COUNTIFS(A$3:A154,"="&amp;SUBSTITUTE(SUBSTITUTE(SUBSTITUTE(A154,"~","~~"),"*","~*"),"?","~?"),Q$3:Q154,1),0)=1,MAX(Y$2:Y153)+1,""),"")</f>
        <v/>
      </c>
      <c r="Z154" s="25">
        <f>IF(Y154="","",COUNTIFS($A$3:$A$1002,"="&amp;SUBSTITUTE(SUBSTITUTE(SUBSTITUTE(A154,"~","~~"),"*","~*"),"?","~?"),$Q$3:$Q$1002,1)*10000-Y154)</f>
        <v/>
      </c>
    </row>
    <row r="155">
      <c r="A155">
        <f>IF(A$2=0,"",IFERROR(TRIM(INDEX('Pegar docentes'!$A$1:$BZ$1001,154,A$2)&amp;""),""))</f>
        <v/>
      </c>
      <c r="B155">
        <f>IF(B$2=0,"",IFERROR(TRIM(INDEX('Pegar docentes'!$A$1:$BZ$1001,154,B$2)&amp;""),""))</f>
        <v/>
      </c>
      <c r="C155">
        <f>IF(C$2=0,"",IFERROR(TRIM(INDEX('Pegar docentes'!$A$1:$BZ$1001,154,C$2)&amp;""),""))</f>
        <v/>
      </c>
      <c r="D155">
        <f>IF(D$2=0,"",IFERROR(TRIM(INDEX('Pegar docentes'!$A$1:$BZ$1001,154,D$2)&amp;""),""))</f>
        <v/>
      </c>
      <c r="E155">
        <f>IF(E$2=0,"",IFERROR(TRIM(INDEX('Pegar docentes'!$A$1:$BZ$1001,154,E$2)&amp;""),""))</f>
        <v/>
      </c>
      <c r="F155">
        <f>IF(F$2=0,"",IFERROR(TRIM(INDEX('Pegar docentes'!$A$1:$BZ$1001,154,F$2)&amp;""),""))</f>
        <v/>
      </c>
      <c r="G155">
        <f>IF(G$2=0,"",IFERROR(TRIM(INDEX('Pegar docentes'!$A$1:$BZ$1001,154,G$2)&amp;""),""))</f>
        <v/>
      </c>
      <c r="H155">
        <f>IF(H$2=0,"",IFERROR(TRIM(INDEX('Pegar docentes'!$A$1:$BZ$1001,154,H$2)&amp;""),""))</f>
        <v/>
      </c>
      <c r="I155">
        <f>IF(I$2=0,"",IFERROR(TRIM(INDEX('Pegar docentes'!$A$1:$BZ$1001,154,I$2)&amp;""),""))</f>
        <v/>
      </c>
      <c r="J155">
        <f>IF(J$2=0,"",IFERROR(TRIM(INDEX('Pegar docentes'!$A$1:$BZ$1001,154,J$2)&amp;""),""))</f>
        <v/>
      </c>
      <c r="K155">
        <f>IF(K$2=0,"",IFERROR(TRIM(INDEX('Pegar docentes'!$A$1:$BZ$1001,154,K$2)&amp;""),""))</f>
        <v/>
      </c>
      <c r="L155">
        <f>IF(L$2=0,"",IFERROR(TRIM(INDEX('Pegar docentes'!$A$1:$BZ$1001,154,L$2)&amp;""),""))</f>
        <v/>
      </c>
      <c r="M155">
        <f>IF(M$2=0,"",IFERROR(TRIM(INDEX('Pegar docentes'!$A$1:$BZ$1001,154,M$2)&amp;""),""))</f>
        <v/>
      </c>
      <c r="N155">
        <f>IF(N$2=0,"",IFERROR(TRIM(INDEX('Pegar docentes'!$A$1:$BZ$1001,154,N$2)&amp;""),""))</f>
        <v/>
      </c>
      <c r="O155">
        <f>IF(O$2=0,"",IFERROR(TRIM(INDEX('Pegar docentes'!$A$1:$BZ$1001,154,O$2)&amp;""),""))</f>
        <v/>
      </c>
      <c r="P155">
        <f>IF(P$2=0,"",IFERROR(TRIM(INDEX('Pegar docentes'!$A$1:$BZ$1001,154,P$2)&amp;""),""))</f>
        <v/>
      </c>
      <c r="Q155" s="25">
        <f>IF(OR(D155&lt;&gt;"",H155&lt;&gt;""),1,"")</f>
        <v/>
      </c>
      <c r="R155" s="25">
        <f>IF(Q155=1,IF(ISNUMBER(FIND("#"&amp;MID(D155,1,1)&amp;"#","#0#1#2#3#4#5#6#7#8#9#")),IF(ISNUMBER(FIND("#"&amp;MID(D155,2,1)&amp;"#","#0#1#2#3#4#5#6#7#8#9#")),IF(AND(VALUE(LEFT(D155,2))&gt;=1,VALUE(LEFT(D155,2))&lt;=5),VALUE(LEFT(D155,2)),""),IF(AND(VALUE(LEFT(D155,1))&gt;=1,VALUE(LEFT(D155,1))&lt;=5),VALUE(LEFT(D155,1)),"")),""),"")</f>
        <v/>
      </c>
      <c r="S155" s="25">
        <f>IF(AND(Q155=1,E155&lt;&gt;""),SUBSTITUTE(SUBSTITUTE(SUBSTITUTE(SUBSTITUTE(SUBSTITUTE(SUBSTITUTE(SUBSTITUTE(SUBSTITUTE(SUBSTITUTE(SUBSTITUTE(SUBSTITUTE(SUBSTITUTE(LOWER(TRIM(E155)),"á","a"),"é","e"),"í","i"),"ó","o"),"ú","u"),"ü","u"),"ñ","n"),"à","a"),"è","e"),"ì","i"),"ò","o"),"ù","u"),"")</f>
        <v/>
      </c>
      <c r="T155" s="25">
        <f>IF(AND(Q155=1,G155&lt;&gt;""),SUBSTITUTE(SUBSTITUTE(SUBSTITUTE(SUBSTITUTE(SUBSTITUTE(SUBSTITUTE(SUBSTITUTE(SUBSTITUTE(SUBSTITUTE(SUBSTITUTE(SUBSTITUTE(SUBSTITUTE(LOWER(TRIM(G155)),"á","a"),"é","e"),"í","i"),"ó","o"),"ú","u"),"ü","u"),"ñ","n"),"à","a"),"è","e"),"ì","i"),"ò","o"),"ù","u"),"")</f>
        <v/>
      </c>
      <c r="U155" s="25">
        <f>IF(AND(Q155=1,H155&lt;&gt;""),SUBSTITUTE(SUBSTITUTE(SUBSTITUTE(SUBSTITUTE(SUBSTITUTE(SUBSTITUTE(SUBSTITUTE(SUBSTITUTE(SUBSTITUTE(SUBSTITUTE(SUBSTITUTE(SUBSTITUTE(LOWER(TRIM(H155)),"á","a"),"é","e"),"í","i"),"ó","o"),"ú","u"),"ü","u"),"ñ","n"),"à","a"),"è","e"),"ì","i"),"ò","o"),"ù","u"),"")</f>
        <v/>
      </c>
      <c r="V155" s="25">
        <f>IF(AND(Q155=1,L155&lt;&gt;""),SUBSTITUTE(SUBSTITUTE(SUBSTITUTE(SUBSTITUTE(SUBSTITUTE(SUBSTITUTE(SUBSTITUTE(SUBSTITUTE(SUBSTITUTE(SUBSTITUTE(SUBSTITUTE(SUBSTITUTE(LOWER(TRIM(L155)),"á","a"),"é","e"),"í","i"),"ó","o"),"ú","u"),"ü","u"),"ñ","n"),"à","a"),"è","e"),"ì","i"),"ò","o"),"ù","u"),"")</f>
        <v/>
      </c>
      <c r="W155" s="25">
        <f>IF(AND(Q155=1,I155&lt;&gt;""),SUBSTITUTE(SUBSTITUTE(SUBSTITUTE(SUBSTITUTE(SUBSTITUTE(SUBSTITUTE(SUBSTITUTE(SUBSTITUTE(SUBSTITUTE(SUBSTITUTE(SUBSTITUTE(SUBSTITUTE(LOWER(TRIM(I155)),"á","a"),"é","e"),"í","i"),"ó","o"),"ú","u"),"ü","u"),"ñ","n"),"à","a"),"è","e"),"ì","i"),"ò","o"),"ù","u"),"")</f>
        <v/>
      </c>
      <c r="X155" s="25">
        <f>IF(U155="","",IF(OR(U155="si, en la proxima tarea",U155="si, con cambios"),1,0))</f>
        <v/>
      </c>
      <c r="Y155" s="25">
        <f>IF(AND(Q155=1,A155&lt;&gt;""),IF(IFERROR(COUNTIFS(A$3:A155,"="&amp;SUBSTITUTE(SUBSTITUTE(SUBSTITUTE(A155,"~","~~"),"*","~*"),"?","~?"),Q$3:Q155,1),0)=1,MAX(Y$2:Y154)+1,""),"")</f>
        <v/>
      </c>
      <c r="Z155" s="25">
        <f>IF(Y155="","",COUNTIFS($A$3:$A$1002,"="&amp;SUBSTITUTE(SUBSTITUTE(SUBSTITUTE(A155,"~","~~"),"*","~*"),"?","~?"),$Q$3:$Q$1002,1)*10000-Y155)</f>
        <v/>
      </c>
    </row>
    <row r="156">
      <c r="A156">
        <f>IF(A$2=0,"",IFERROR(TRIM(INDEX('Pegar docentes'!$A$1:$BZ$1001,155,A$2)&amp;""),""))</f>
        <v/>
      </c>
      <c r="B156">
        <f>IF(B$2=0,"",IFERROR(TRIM(INDEX('Pegar docentes'!$A$1:$BZ$1001,155,B$2)&amp;""),""))</f>
        <v/>
      </c>
      <c r="C156">
        <f>IF(C$2=0,"",IFERROR(TRIM(INDEX('Pegar docentes'!$A$1:$BZ$1001,155,C$2)&amp;""),""))</f>
        <v/>
      </c>
      <c r="D156">
        <f>IF(D$2=0,"",IFERROR(TRIM(INDEX('Pegar docentes'!$A$1:$BZ$1001,155,D$2)&amp;""),""))</f>
        <v/>
      </c>
      <c r="E156">
        <f>IF(E$2=0,"",IFERROR(TRIM(INDEX('Pegar docentes'!$A$1:$BZ$1001,155,E$2)&amp;""),""))</f>
        <v/>
      </c>
      <c r="F156">
        <f>IF(F$2=0,"",IFERROR(TRIM(INDEX('Pegar docentes'!$A$1:$BZ$1001,155,F$2)&amp;""),""))</f>
        <v/>
      </c>
      <c r="G156">
        <f>IF(G$2=0,"",IFERROR(TRIM(INDEX('Pegar docentes'!$A$1:$BZ$1001,155,G$2)&amp;""),""))</f>
        <v/>
      </c>
      <c r="H156">
        <f>IF(H$2=0,"",IFERROR(TRIM(INDEX('Pegar docentes'!$A$1:$BZ$1001,155,H$2)&amp;""),""))</f>
        <v/>
      </c>
      <c r="I156">
        <f>IF(I$2=0,"",IFERROR(TRIM(INDEX('Pegar docentes'!$A$1:$BZ$1001,155,I$2)&amp;""),""))</f>
        <v/>
      </c>
      <c r="J156">
        <f>IF(J$2=0,"",IFERROR(TRIM(INDEX('Pegar docentes'!$A$1:$BZ$1001,155,J$2)&amp;""),""))</f>
        <v/>
      </c>
      <c r="K156">
        <f>IF(K$2=0,"",IFERROR(TRIM(INDEX('Pegar docentes'!$A$1:$BZ$1001,155,K$2)&amp;""),""))</f>
        <v/>
      </c>
      <c r="L156">
        <f>IF(L$2=0,"",IFERROR(TRIM(INDEX('Pegar docentes'!$A$1:$BZ$1001,155,L$2)&amp;""),""))</f>
        <v/>
      </c>
      <c r="M156">
        <f>IF(M$2=0,"",IFERROR(TRIM(INDEX('Pegar docentes'!$A$1:$BZ$1001,155,M$2)&amp;""),""))</f>
        <v/>
      </c>
      <c r="N156">
        <f>IF(N$2=0,"",IFERROR(TRIM(INDEX('Pegar docentes'!$A$1:$BZ$1001,155,N$2)&amp;""),""))</f>
        <v/>
      </c>
      <c r="O156">
        <f>IF(O$2=0,"",IFERROR(TRIM(INDEX('Pegar docentes'!$A$1:$BZ$1001,155,O$2)&amp;""),""))</f>
        <v/>
      </c>
      <c r="P156">
        <f>IF(P$2=0,"",IFERROR(TRIM(INDEX('Pegar docentes'!$A$1:$BZ$1001,155,P$2)&amp;""),""))</f>
        <v/>
      </c>
      <c r="Q156" s="25">
        <f>IF(OR(D156&lt;&gt;"",H156&lt;&gt;""),1,"")</f>
        <v/>
      </c>
      <c r="R156" s="25">
        <f>IF(Q156=1,IF(ISNUMBER(FIND("#"&amp;MID(D156,1,1)&amp;"#","#0#1#2#3#4#5#6#7#8#9#")),IF(ISNUMBER(FIND("#"&amp;MID(D156,2,1)&amp;"#","#0#1#2#3#4#5#6#7#8#9#")),IF(AND(VALUE(LEFT(D156,2))&gt;=1,VALUE(LEFT(D156,2))&lt;=5),VALUE(LEFT(D156,2)),""),IF(AND(VALUE(LEFT(D156,1))&gt;=1,VALUE(LEFT(D156,1))&lt;=5),VALUE(LEFT(D156,1)),"")),""),"")</f>
        <v/>
      </c>
      <c r="S156" s="25">
        <f>IF(AND(Q156=1,E156&lt;&gt;""),SUBSTITUTE(SUBSTITUTE(SUBSTITUTE(SUBSTITUTE(SUBSTITUTE(SUBSTITUTE(SUBSTITUTE(SUBSTITUTE(SUBSTITUTE(SUBSTITUTE(SUBSTITUTE(SUBSTITUTE(LOWER(TRIM(E156)),"á","a"),"é","e"),"í","i"),"ó","o"),"ú","u"),"ü","u"),"ñ","n"),"à","a"),"è","e"),"ì","i"),"ò","o"),"ù","u"),"")</f>
        <v/>
      </c>
      <c r="T156" s="25">
        <f>IF(AND(Q156=1,G156&lt;&gt;""),SUBSTITUTE(SUBSTITUTE(SUBSTITUTE(SUBSTITUTE(SUBSTITUTE(SUBSTITUTE(SUBSTITUTE(SUBSTITUTE(SUBSTITUTE(SUBSTITUTE(SUBSTITUTE(SUBSTITUTE(LOWER(TRIM(G156)),"á","a"),"é","e"),"í","i"),"ó","o"),"ú","u"),"ü","u"),"ñ","n"),"à","a"),"è","e"),"ì","i"),"ò","o"),"ù","u"),"")</f>
        <v/>
      </c>
      <c r="U156" s="25">
        <f>IF(AND(Q156=1,H156&lt;&gt;""),SUBSTITUTE(SUBSTITUTE(SUBSTITUTE(SUBSTITUTE(SUBSTITUTE(SUBSTITUTE(SUBSTITUTE(SUBSTITUTE(SUBSTITUTE(SUBSTITUTE(SUBSTITUTE(SUBSTITUTE(LOWER(TRIM(H156)),"á","a"),"é","e"),"í","i"),"ó","o"),"ú","u"),"ü","u"),"ñ","n"),"à","a"),"è","e"),"ì","i"),"ò","o"),"ù","u"),"")</f>
        <v/>
      </c>
      <c r="V156" s="25">
        <f>IF(AND(Q156=1,L156&lt;&gt;""),SUBSTITUTE(SUBSTITUTE(SUBSTITUTE(SUBSTITUTE(SUBSTITUTE(SUBSTITUTE(SUBSTITUTE(SUBSTITUTE(SUBSTITUTE(SUBSTITUTE(SUBSTITUTE(SUBSTITUTE(LOWER(TRIM(L156)),"á","a"),"é","e"),"í","i"),"ó","o"),"ú","u"),"ü","u"),"ñ","n"),"à","a"),"è","e"),"ì","i"),"ò","o"),"ù","u"),"")</f>
        <v/>
      </c>
      <c r="W156" s="25">
        <f>IF(AND(Q156=1,I156&lt;&gt;""),SUBSTITUTE(SUBSTITUTE(SUBSTITUTE(SUBSTITUTE(SUBSTITUTE(SUBSTITUTE(SUBSTITUTE(SUBSTITUTE(SUBSTITUTE(SUBSTITUTE(SUBSTITUTE(SUBSTITUTE(LOWER(TRIM(I156)),"á","a"),"é","e"),"í","i"),"ó","o"),"ú","u"),"ü","u"),"ñ","n"),"à","a"),"è","e"),"ì","i"),"ò","o"),"ù","u"),"")</f>
        <v/>
      </c>
      <c r="X156" s="25">
        <f>IF(U156="","",IF(OR(U156="si, en la proxima tarea",U156="si, con cambios"),1,0))</f>
        <v/>
      </c>
      <c r="Y156" s="25">
        <f>IF(AND(Q156=1,A156&lt;&gt;""),IF(IFERROR(COUNTIFS(A$3:A156,"="&amp;SUBSTITUTE(SUBSTITUTE(SUBSTITUTE(A156,"~","~~"),"*","~*"),"?","~?"),Q$3:Q156,1),0)=1,MAX(Y$2:Y155)+1,""),"")</f>
        <v/>
      </c>
      <c r="Z156" s="25">
        <f>IF(Y156="","",COUNTIFS($A$3:$A$1002,"="&amp;SUBSTITUTE(SUBSTITUTE(SUBSTITUTE(A156,"~","~~"),"*","~*"),"?","~?"),$Q$3:$Q$1002,1)*10000-Y156)</f>
        <v/>
      </c>
    </row>
    <row r="157">
      <c r="A157">
        <f>IF(A$2=0,"",IFERROR(TRIM(INDEX('Pegar docentes'!$A$1:$BZ$1001,156,A$2)&amp;""),""))</f>
        <v/>
      </c>
      <c r="B157">
        <f>IF(B$2=0,"",IFERROR(TRIM(INDEX('Pegar docentes'!$A$1:$BZ$1001,156,B$2)&amp;""),""))</f>
        <v/>
      </c>
      <c r="C157">
        <f>IF(C$2=0,"",IFERROR(TRIM(INDEX('Pegar docentes'!$A$1:$BZ$1001,156,C$2)&amp;""),""))</f>
        <v/>
      </c>
      <c r="D157">
        <f>IF(D$2=0,"",IFERROR(TRIM(INDEX('Pegar docentes'!$A$1:$BZ$1001,156,D$2)&amp;""),""))</f>
        <v/>
      </c>
      <c r="E157">
        <f>IF(E$2=0,"",IFERROR(TRIM(INDEX('Pegar docentes'!$A$1:$BZ$1001,156,E$2)&amp;""),""))</f>
        <v/>
      </c>
      <c r="F157">
        <f>IF(F$2=0,"",IFERROR(TRIM(INDEX('Pegar docentes'!$A$1:$BZ$1001,156,F$2)&amp;""),""))</f>
        <v/>
      </c>
      <c r="G157">
        <f>IF(G$2=0,"",IFERROR(TRIM(INDEX('Pegar docentes'!$A$1:$BZ$1001,156,G$2)&amp;""),""))</f>
        <v/>
      </c>
      <c r="H157">
        <f>IF(H$2=0,"",IFERROR(TRIM(INDEX('Pegar docentes'!$A$1:$BZ$1001,156,H$2)&amp;""),""))</f>
        <v/>
      </c>
      <c r="I157">
        <f>IF(I$2=0,"",IFERROR(TRIM(INDEX('Pegar docentes'!$A$1:$BZ$1001,156,I$2)&amp;""),""))</f>
        <v/>
      </c>
      <c r="J157">
        <f>IF(J$2=0,"",IFERROR(TRIM(INDEX('Pegar docentes'!$A$1:$BZ$1001,156,J$2)&amp;""),""))</f>
        <v/>
      </c>
      <c r="K157">
        <f>IF(K$2=0,"",IFERROR(TRIM(INDEX('Pegar docentes'!$A$1:$BZ$1001,156,K$2)&amp;""),""))</f>
        <v/>
      </c>
      <c r="L157">
        <f>IF(L$2=0,"",IFERROR(TRIM(INDEX('Pegar docentes'!$A$1:$BZ$1001,156,L$2)&amp;""),""))</f>
        <v/>
      </c>
      <c r="M157">
        <f>IF(M$2=0,"",IFERROR(TRIM(INDEX('Pegar docentes'!$A$1:$BZ$1001,156,M$2)&amp;""),""))</f>
        <v/>
      </c>
      <c r="N157">
        <f>IF(N$2=0,"",IFERROR(TRIM(INDEX('Pegar docentes'!$A$1:$BZ$1001,156,N$2)&amp;""),""))</f>
        <v/>
      </c>
      <c r="O157">
        <f>IF(O$2=0,"",IFERROR(TRIM(INDEX('Pegar docentes'!$A$1:$BZ$1001,156,O$2)&amp;""),""))</f>
        <v/>
      </c>
      <c r="P157">
        <f>IF(P$2=0,"",IFERROR(TRIM(INDEX('Pegar docentes'!$A$1:$BZ$1001,156,P$2)&amp;""),""))</f>
        <v/>
      </c>
      <c r="Q157" s="25">
        <f>IF(OR(D157&lt;&gt;"",H157&lt;&gt;""),1,"")</f>
        <v/>
      </c>
      <c r="R157" s="25">
        <f>IF(Q157=1,IF(ISNUMBER(FIND("#"&amp;MID(D157,1,1)&amp;"#","#0#1#2#3#4#5#6#7#8#9#")),IF(ISNUMBER(FIND("#"&amp;MID(D157,2,1)&amp;"#","#0#1#2#3#4#5#6#7#8#9#")),IF(AND(VALUE(LEFT(D157,2))&gt;=1,VALUE(LEFT(D157,2))&lt;=5),VALUE(LEFT(D157,2)),""),IF(AND(VALUE(LEFT(D157,1))&gt;=1,VALUE(LEFT(D157,1))&lt;=5),VALUE(LEFT(D157,1)),"")),""),"")</f>
        <v/>
      </c>
      <c r="S157" s="25">
        <f>IF(AND(Q157=1,E157&lt;&gt;""),SUBSTITUTE(SUBSTITUTE(SUBSTITUTE(SUBSTITUTE(SUBSTITUTE(SUBSTITUTE(SUBSTITUTE(SUBSTITUTE(SUBSTITUTE(SUBSTITUTE(SUBSTITUTE(SUBSTITUTE(LOWER(TRIM(E157)),"á","a"),"é","e"),"í","i"),"ó","o"),"ú","u"),"ü","u"),"ñ","n"),"à","a"),"è","e"),"ì","i"),"ò","o"),"ù","u"),"")</f>
        <v/>
      </c>
      <c r="T157" s="25">
        <f>IF(AND(Q157=1,G157&lt;&gt;""),SUBSTITUTE(SUBSTITUTE(SUBSTITUTE(SUBSTITUTE(SUBSTITUTE(SUBSTITUTE(SUBSTITUTE(SUBSTITUTE(SUBSTITUTE(SUBSTITUTE(SUBSTITUTE(SUBSTITUTE(LOWER(TRIM(G157)),"á","a"),"é","e"),"í","i"),"ó","o"),"ú","u"),"ü","u"),"ñ","n"),"à","a"),"è","e"),"ì","i"),"ò","o"),"ù","u"),"")</f>
        <v/>
      </c>
      <c r="U157" s="25">
        <f>IF(AND(Q157=1,H157&lt;&gt;""),SUBSTITUTE(SUBSTITUTE(SUBSTITUTE(SUBSTITUTE(SUBSTITUTE(SUBSTITUTE(SUBSTITUTE(SUBSTITUTE(SUBSTITUTE(SUBSTITUTE(SUBSTITUTE(SUBSTITUTE(LOWER(TRIM(H157)),"á","a"),"é","e"),"í","i"),"ó","o"),"ú","u"),"ü","u"),"ñ","n"),"à","a"),"è","e"),"ì","i"),"ò","o"),"ù","u"),"")</f>
        <v/>
      </c>
      <c r="V157" s="25">
        <f>IF(AND(Q157=1,L157&lt;&gt;""),SUBSTITUTE(SUBSTITUTE(SUBSTITUTE(SUBSTITUTE(SUBSTITUTE(SUBSTITUTE(SUBSTITUTE(SUBSTITUTE(SUBSTITUTE(SUBSTITUTE(SUBSTITUTE(SUBSTITUTE(LOWER(TRIM(L157)),"á","a"),"é","e"),"í","i"),"ó","o"),"ú","u"),"ü","u"),"ñ","n"),"à","a"),"è","e"),"ì","i"),"ò","o"),"ù","u"),"")</f>
        <v/>
      </c>
      <c r="W157" s="25">
        <f>IF(AND(Q157=1,I157&lt;&gt;""),SUBSTITUTE(SUBSTITUTE(SUBSTITUTE(SUBSTITUTE(SUBSTITUTE(SUBSTITUTE(SUBSTITUTE(SUBSTITUTE(SUBSTITUTE(SUBSTITUTE(SUBSTITUTE(SUBSTITUTE(LOWER(TRIM(I157)),"á","a"),"é","e"),"í","i"),"ó","o"),"ú","u"),"ü","u"),"ñ","n"),"à","a"),"è","e"),"ì","i"),"ò","o"),"ù","u"),"")</f>
        <v/>
      </c>
      <c r="X157" s="25">
        <f>IF(U157="","",IF(OR(U157="si, en la proxima tarea",U157="si, con cambios"),1,0))</f>
        <v/>
      </c>
      <c r="Y157" s="25">
        <f>IF(AND(Q157=1,A157&lt;&gt;""),IF(IFERROR(COUNTIFS(A$3:A157,"="&amp;SUBSTITUTE(SUBSTITUTE(SUBSTITUTE(A157,"~","~~"),"*","~*"),"?","~?"),Q$3:Q157,1),0)=1,MAX(Y$2:Y156)+1,""),"")</f>
        <v/>
      </c>
      <c r="Z157" s="25">
        <f>IF(Y157="","",COUNTIFS($A$3:$A$1002,"="&amp;SUBSTITUTE(SUBSTITUTE(SUBSTITUTE(A157,"~","~~"),"*","~*"),"?","~?"),$Q$3:$Q$1002,1)*10000-Y157)</f>
        <v/>
      </c>
    </row>
    <row r="158">
      <c r="A158">
        <f>IF(A$2=0,"",IFERROR(TRIM(INDEX('Pegar docentes'!$A$1:$BZ$1001,157,A$2)&amp;""),""))</f>
        <v/>
      </c>
      <c r="B158">
        <f>IF(B$2=0,"",IFERROR(TRIM(INDEX('Pegar docentes'!$A$1:$BZ$1001,157,B$2)&amp;""),""))</f>
        <v/>
      </c>
      <c r="C158">
        <f>IF(C$2=0,"",IFERROR(TRIM(INDEX('Pegar docentes'!$A$1:$BZ$1001,157,C$2)&amp;""),""))</f>
        <v/>
      </c>
      <c r="D158">
        <f>IF(D$2=0,"",IFERROR(TRIM(INDEX('Pegar docentes'!$A$1:$BZ$1001,157,D$2)&amp;""),""))</f>
        <v/>
      </c>
      <c r="E158">
        <f>IF(E$2=0,"",IFERROR(TRIM(INDEX('Pegar docentes'!$A$1:$BZ$1001,157,E$2)&amp;""),""))</f>
        <v/>
      </c>
      <c r="F158">
        <f>IF(F$2=0,"",IFERROR(TRIM(INDEX('Pegar docentes'!$A$1:$BZ$1001,157,F$2)&amp;""),""))</f>
        <v/>
      </c>
      <c r="G158">
        <f>IF(G$2=0,"",IFERROR(TRIM(INDEX('Pegar docentes'!$A$1:$BZ$1001,157,G$2)&amp;""),""))</f>
        <v/>
      </c>
      <c r="H158">
        <f>IF(H$2=0,"",IFERROR(TRIM(INDEX('Pegar docentes'!$A$1:$BZ$1001,157,H$2)&amp;""),""))</f>
        <v/>
      </c>
      <c r="I158">
        <f>IF(I$2=0,"",IFERROR(TRIM(INDEX('Pegar docentes'!$A$1:$BZ$1001,157,I$2)&amp;""),""))</f>
        <v/>
      </c>
      <c r="J158">
        <f>IF(J$2=0,"",IFERROR(TRIM(INDEX('Pegar docentes'!$A$1:$BZ$1001,157,J$2)&amp;""),""))</f>
        <v/>
      </c>
      <c r="K158">
        <f>IF(K$2=0,"",IFERROR(TRIM(INDEX('Pegar docentes'!$A$1:$BZ$1001,157,K$2)&amp;""),""))</f>
        <v/>
      </c>
      <c r="L158">
        <f>IF(L$2=0,"",IFERROR(TRIM(INDEX('Pegar docentes'!$A$1:$BZ$1001,157,L$2)&amp;""),""))</f>
        <v/>
      </c>
      <c r="M158">
        <f>IF(M$2=0,"",IFERROR(TRIM(INDEX('Pegar docentes'!$A$1:$BZ$1001,157,M$2)&amp;""),""))</f>
        <v/>
      </c>
      <c r="N158">
        <f>IF(N$2=0,"",IFERROR(TRIM(INDEX('Pegar docentes'!$A$1:$BZ$1001,157,N$2)&amp;""),""))</f>
        <v/>
      </c>
      <c r="O158">
        <f>IF(O$2=0,"",IFERROR(TRIM(INDEX('Pegar docentes'!$A$1:$BZ$1001,157,O$2)&amp;""),""))</f>
        <v/>
      </c>
      <c r="P158">
        <f>IF(P$2=0,"",IFERROR(TRIM(INDEX('Pegar docentes'!$A$1:$BZ$1001,157,P$2)&amp;""),""))</f>
        <v/>
      </c>
      <c r="Q158" s="25">
        <f>IF(OR(D158&lt;&gt;"",H158&lt;&gt;""),1,"")</f>
        <v/>
      </c>
      <c r="R158" s="25">
        <f>IF(Q158=1,IF(ISNUMBER(FIND("#"&amp;MID(D158,1,1)&amp;"#","#0#1#2#3#4#5#6#7#8#9#")),IF(ISNUMBER(FIND("#"&amp;MID(D158,2,1)&amp;"#","#0#1#2#3#4#5#6#7#8#9#")),IF(AND(VALUE(LEFT(D158,2))&gt;=1,VALUE(LEFT(D158,2))&lt;=5),VALUE(LEFT(D158,2)),""),IF(AND(VALUE(LEFT(D158,1))&gt;=1,VALUE(LEFT(D158,1))&lt;=5),VALUE(LEFT(D158,1)),"")),""),"")</f>
        <v/>
      </c>
      <c r="S158" s="25">
        <f>IF(AND(Q158=1,E158&lt;&gt;""),SUBSTITUTE(SUBSTITUTE(SUBSTITUTE(SUBSTITUTE(SUBSTITUTE(SUBSTITUTE(SUBSTITUTE(SUBSTITUTE(SUBSTITUTE(SUBSTITUTE(SUBSTITUTE(SUBSTITUTE(LOWER(TRIM(E158)),"á","a"),"é","e"),"í","i"),"ó","o"),"ú","u"),"ü","u"),"ñ","n"),"à","a"),"è","e"),"ì","i"),"ò","o"),"ù","u"),"")</f>
        <v/>
      </c>
      <c r="T158" s="25">
        <f>IF(AND(Q158=1,G158&lt;&gt;""),SUBSTITUTE(SUBSTITUTE(SUBSTITUTE(SUBSTITUTE(SUBSTITUTE(SUBSTITUTE(SUBSTITUTE(SUBSTITUTE(SUBSTITUTE(SUBSTITUTE(SUBSTITUTE(SUBSTITUTE(LOWER(TRIM(G158)),"á","a"),"é","e"),"í","i"),"ó","o"),"ú","u"),"ü","u"),"ñ","n"),"à","a"),"è","e"),"ì","i"),"ò","o"),"ù","u"),"")</f>
        <v/>
      </c>
      <c r="U158" s="25">
        <f>IF(AND(Q158=1,H158&lt;&gt;""),SUBSTITUTE(SUBSTITUTE(SUBSTITUTE(SUBSTITUTE(SUBSTITUTE(SUBSTITUTE(SUBSTITUTE(SUBSTITUTE(SUBSTITUTE(SUBSTITUTE(SUBSTITUTE(SUBSTITUTE(LOWER(TRIM(H158)),"á","a"),"é","e"),"í","i"),"ó","o"),"ú","u"),"ü","u"),"ñ","n"),"à","a"),"è","e"),"ì","i"),"ò","o"),"ù","u"),"")</f>
        <v/>
      </c>
      <c r="V158" s="25">
        <f>IF(AND(Q158=1,L158&lt;&gt;""),SUBSTITUTE(SUBSTITUTE(SUBSTITUTE(SUBSTITUTE(SUBSTITUTE(SUBSTITUTE(SUBSTITUTE(SUBSTITUTE(SUBSTITUTE(SUBSTITUTE(SUBSTITUTE(SUBSTITUTE(LOWER(TRIM(L158)),"á","a"),"é","e"),"í","i"),"ó","o"),"ú","u"),"ü","u"),"ñ","n"),"à","a"),"è","e"),"ì","i"),"ò","o"),"ù","u"),"")</f>
        <v/>
      </c>
      <c r="W158" s="25">
        <f>IF(AND(Q158=1,I158&lt;&gt;""),SUBSTITUTE(SUBSTITUTE(SUBSTITUTE(SUBSTITUTE(SUBSTITUTE(SUBSTITUTE(SUBSTITUTE(SUBSTITUTE(SUBSTITUTE(SUBSTITUTE(SUBSTITUTE(SUBSTITUTE(LOWER(TRIM(I158)),"á","a"),"é","e"),"í","i"),"ó","o"),"ú","u"),"ü","u"),"ñ","n"),"à","a"),"è","e"),"ì","i"),"ò","o"),"ù","u"),"")</f>
        <v/>
      </c>
      <c r="X158" s="25">
        <f>IF(U158="","",IF(OR(U158="si, en la proxima tarea",U158="si, con cambios"),1,0))</f>
        <v/>
      </c>
      <c r="Y158" s="25">
        <f>IF(AND(Q158=1,A158&lt;&gt;""),IF(IFERROR(COUNTIFS(A$3:A158,"="&amp;SUBSTITUTE(SUBSTITUTE(SUBSTITUTE(A158,"~","~~"),"*","~*"),"?","~?"),Q$3:Q158,1),0)=1,MAX(Y$2:Y157)+1,""),"")</f>
        <v/>
      </c>
      <c r="Z158" s="25">
        <f>IF(Y158="","",COUNTIFS($A$3:$A$1002,"="&amp;SUBSTITUTE(SUBSTITUTE(SUBSTITUTE(A158,"~","~~"),"*","~*"),"?","~?"),$Q$3:$Q$1002,1)*10000-Y158)</f>
        <v/>
      </c>
    </row>
    <row r="159">
      <c r="A159">
        <f>IF(A$2=0,"",IFERROR(TRIM(INDEX('Pegar docentes'!$A$1:$BZ$1001,158,A$2)&amp;""),""))</f>
        <v/>
      </c>
      <c r="B159">
        <f>IF(B$2=0,"",IFERROR(TRIM(INDEX('Pegar docentes'!$A$1:$BZ$1001,158,B$2)&amp;""),""))</f>
        <v/>
      </c>
      <c r="C159">
        <f>IF(C$2=0,"",IFERROR(TRIM(INDEX('Pegar docentes'!$A$1:$BZ$1001,158,C$2)&amp;""),""))</f>
        <v/>
      </c>
      <c r="D159">
        <f>IF(D$2=0,"",IFERROR(TRIM(INDEX('Pegar docentes'!$A$1:$BZ$1001,158,D$2)&amp;""),""))</f>
        <v/>
      </c>
      <c r="E159">
        <f>IF(E$2=0,"",IFERROR(TRIM(INDEX('Pegar docentes'!$A$1:$BZ$1001,158,E$2)&amp;""),""))</f>
        <v/>
      </c>
      <c r="F159">
        <f>IF(F$2=0,"",IFERROR(TRIM(INDEX('Pegar docentes'!$A$1:$BZ$1001,158,F$2)&amp;""),""))</f>
        <v/>
      </c>
      <c r="G159">
        <f>IF(G$2=0,"",IFERROR(TRIM(INDEX('Pegar docentes'!$A$1:$BZ$1001,158,G$2)&amp;""),""))</f>
        <v/>
      </c>
      <c r="H159">
        <f>IF(H$2=0,"",IFERROR(TRIM(INDEX('Pegar docentes'!$A$1:$BZ$1001,158,H$2)&amp;""),""))</f>
        <v/>
      </c>
      <c r="I159">
        <f>IF(I$2=0,"",IFERROR(TRIM(INDEX('Pegar docentes'!$A$1:$BZ$1001,158,I$2)&amp;""),""))</f>
        <v/>
      </c>
      <c r="J159">
        <f>IF(J$2=0,"",IFERROR(TRIM(INDEX('Pegar docentes'!$A$1:$BZ$1001,158,J$2)&amp;""),""))</f>
        <v/>
      </c>
      <c r="K159">
        <f>IF(K$2=0,"",IFERROR(TRIM(INDEX('Pegar docentes'!$A$1:$BZ$1001,158,K$2)&amp;""),""))</f>
        <v/>
      </c>
      <c r="L159">
        <f>IF(L$2=0,"",IFERROR(TRIM(INDEX('Pegar docentes'!$A$1:$BZ$1001,158,L$2)&amp;""),""))</f>
        <v/>
      </c>
      <c r="M159">
        <f>IF(M$2=0,"",IFERROR(TRIM(INDEX('Pegar docentes'!$A$1:$BZ$1001,158,M$2)&amp;""),""))</f>
        <v/>
      </c>
      <c r="N159">
        <f>IF(N$2=0,"",IFERROR(TRIM(INDEX('Pegar docentes'!$A$1:$BZ$1001,158,N$2)&amp;""),""))</f>
        <v/>
      </c>
      <c r="O159">
        <f>IF(O$2=0,"",IFERROR(TRIM(INDEX('Pegar docentes'!$A$1:$BZ$1001,158,O$2)&amp;""),""))</f>
        <v/>
      </c>
      <c r="P159">
        <f>IF(P$2=0,"",IFERROR(TRIM(INDEX('Pegar docentes'!$A$1:$BZ$1001,158,P$2)&amp;""),""))</f>
        <v/>
      </c>
      <c r="Q159" s="25">
        <f>IF(OR(D159&lt;&gt;"",H159&lt;&gt;""),1,"")</f>
        <v/>
      </c>
      <c r="R159" s="25">
        <f>IF(Q159=1,IF(ISNUMBER(FIND("#"&amp;MID(D159,1,1)&amp;"#","#0#1#2#3#4#5#6#7#8#9#")),IF(ISNUMBER(FIND("#"&amp;MID(D159,2,1)&amp;"#","#0#1#2#3#4#5#6#7#8#9#")),IF(AND(VALUE(LEFT(D159,2))&gt;=1,VALUE(LEFT(D159,2))&lt;=5),VALUE(LEFT(D159,2)),""),IF(AND(VALUE(LEFT(D159,1))&gt;=1,VALUE(LEFT(D159,1))&lt;=5),VALUE(LEFT(D159,1)),"")),""),"")</f>
        <v/>
      </c>
      <c r="S159" s="25">
        <f>IF(AND(Q159=1,E159&lt;&gt;""),SUBSTITUTE(SUBSTITUTE(SUBSTITUTE(SUBSTITUTE(SUBSTITUTE(SUBSTITUTE(SUBSTITUTE(SUBSTITUTE(SUBSTITUTE(SUBSTITUTE(SUBSTITUTE(SUBSTITUTE(LOWER(TRIM(E159)),"á","a"),"é","e"),"í","i"),"ó","o"),"ú","u"),"ü","u"),"ñ","n"),"à","a"),"è","e"),"ì","i"),"ò","o"),"ù","u"),"")</f>
        <v/>
      </c>
      <c r="T159" s="25">
        <f>IF(AND(Q159=1,G159&lt;&gt;""),SUBSTITUTE(SUBSTITUTE(SUBSTITUTE(SUBSTITUTE(SUBSTITUTE(SUBSTITUTE(SUBSTITUTE(SUBSTITUTE(SUBSTITUTE(SUBSTITUTE(SUBSTITUTE(SUBSTITUTE(LOWER(TRIM(G159)),"á","a"),"é","e"),"í","i"),"ó","o"),"ú","u"),"ü","u"),"ñ","n"),"à","a"),"è","e"),"ì","i"),"ò","o"),"ù","u"),"")</f>
        <v/>
      </c>
      <c r="U159" s="25">
        <f>IF(AND(Q159=1,H159&lt;&gt;""),SUBSTITUTE(SUBSTITUTE(SUBSTITUTE(SUBSTITUTE(SUBSTITUTE(SUBSTITUTE(SUBSTITUTE(SUBSTITUTE(SUBSTITUTE(SUBSTITUTE(SUBSTITUTE(SUBSTITUTE(LOWER(TRIM(H159)),"á","a"),"é","e"),"í","i"),"ó","o"),"ú","u"),"ü","u"),"ñ","n"),"à","a"),"è","e"),"ì","i"),"ò","o"),"ù","u"),"")</f>
        <v/>
      </c>
      <c r="V159" s="25">
        <f>IF(AND(Q159=1,L159&lt;&gt;""),SUBSTITUTE(SUBSTITUTE(SUBSTITUTE(SUBSTITUTE(SUBSTITUTE(SUBSTITUTE(SUBSTITUTE(SUBSTITUTE(SUBSTITUTE(SUBSTITUTE(SUBSTITUTE(SUBSTITUTE(LOWER(TRIM(L159)),"á","a"),"é","e"),"í","i"),"ó","o"),"ú","u"),"ü","u"),"ñ","n"),"à","a"),"è","e"),"ì","i"),"ò","o"),"ù","u"),"")</f>
        <v/>
      </c>
      <c r="W159" s="25">
        <f>IF(AND(Q159=1,I159&lt;&gt;""),SUBSTITUTE(SUBSTITUTE(SUBSTITUTE(SUBSTITUTE(SUBSTITUTE(SUBSTITUTE(SUBSTITUTE(SUBSTITUTE(SUBSTITUTE(SUBSTITUTE(SUBSTITUTE(SUBSTITUTE(LOWER(TRIM(I159)),"á","a"),"é","e"),"í","i"),"ó","o"),"ú","u"),"ü","u"),"ñ","n"),"à","a"),"è","e"),"ì","i"),"ò","o"),"ù","u"),"")</f>
        <v/>
      </c>
      <c r="X159" s="25">
        <f>IF(U159="","",IF(OR(U159="si, en la proxima tarea",U159="si, con cambios"),1,0))</f>
        <v/>
      </c>
      <c r="Y159" s="25">
        <f>IF(AND(Q159=1,A159&lt;&gt;""),IF(IFERROR(COUNTIFS(A$3:A159,"="&amp;SUBSTITUTE(SUBSTITUTE(SUBSTITUTE(A159,"~","~~"),"*","~*"),"?","~?"),Q$3:Q159,1),0)=1,MAX(Y$2:Y158)+1,""),"")</f>
        <v/>
      </c>
      <c r="Z159" s="25">
        <f>IF(Y159="","",COUNTIFS($A$3:$A$1002,"="&amp;SUBSTITUTE(SUBSTITUTE(SUBSTITUTE(A159,"~","~~"),"*","~*"),"?","~?"),$Q$3:$Q$1002,1)*10000-Y159)</f>
        <v/>
      </c>
    </row>
    <row r="160">
      <c r="A160">
        <f>IF(A$2=0,"",IFERROR(TRIM(INDEX('Pegar docentes'!$A$1:$BZ$1001,159,A$2)&amp;""),""))</f>
        <v/>
      </c>
      <c r="B160">
        <f>IF(B$2=0,"",IFERROR(TRIM(INDEX('Pegar docentes'!$A$1:$BZ$1001,159,B$2)&amp;""),""))</f>
        <v/>
      </c>
      <c r="C160">
        <f>IF(C$2=0,"",IFERROR(TRIM(INDEX('Pegar docentes'!$A$1:$BZ$1001,159,C$2)&amp;""),""))</f>
        <v/>
      </c>
      <c r="D160">
        <f>IF(D$2=0,"",IFERROR(TRIM(INDEX('Pegar docentes'!$A$1:$BZ$1001,159,D$2)&amp;""),""))</f>
        <v/>
      </c>
      <c r="E160">
        <f>IF(E$2=0,"",IFERROR(TRIM(INDEX('Pegar docentes'!$A$1:$BZ$1001,159,E$2)&amp;""),""))</f>
        <v/>
      </c>
      <c r="F160">
        <f>IF(F$2=0,"",IFERROR(TRIM(INDEX('Pegar docentes'!$A$1:$BZ$1001,159,F$2)&amp;""),""))</f>
        <v/>
      </c>
      <c r="G160">
        <f>IF(G$2=0,"",IFERROR(TRIM(INDEX('Pegar docentes'!$A$1:$BZ$1001,159,G$2)&amp;""),""))</f>
        <v/>
      </c>
      <c r="H160">
        <f>IF(H$2=0,"",IFERROR(TRIM(INDEX('Pegar docentes'!$A$1:$BZ$1001,159,H$2)&amp;""),""))</f>
        <v/>
      </c>
      <c r="I160">
        <f>IF(I$2=0,"",IFERROR(TRIM(INDEX('Pegar docentes'!$A$1:$BZ$1001,159,I$2)&amp;""),""))</f>
        <v/>
      </c>
      <c r="J160">
        <f>IF(J$2=0,"",IFERROR(TRIM(INDEX('Pegar docentes'!$A$1:$BZ$1001,159,J$2)&amp;""),""))</f>
        <v/>
      </c>
      <c r="K160">
        <f>IF(K$2=0,"",IFERROR(TRIM(INDEX('Pegar docentes'!$A$1:$BZ$1001,159,K$2)&amp;""),""))</f>
        <v/>
      </c>
      <c r="L160">
        <f>IF(L$2=0,"",IFERROR(TRIM(INDEX('Pegar docentes'!$A$1:$BZ$1001,159,L$2)&amp;""),""))</f>
        <v/>
      </c>
      <c r="M160">
        <f>IF(M$2=0,"",IFERROR(TRIM(INDEX('Pegar docentes'!$A$1:$BZ$1001,159,M$2)&amp;""),""))</f>
        <v/>
      </c>
      <c r="N160">
        <f>IF(N$2=0,"",IFERROR(TRIM(INDEX('Pegar docentes'!$A$1:$BZ$1001,159,N$2)&amp;""),""))</f>
        <v/>
      </c>
      <c r="O160">
        <f>IF(O$2=0,"",IFERROR(TRIM(INDEX('Pegar docentes'!$A$1:$BZ$1001,159,O$2)&amp;""),""))</f>
        <v/>
      </c>
      <c r="P160">
        <f>IF(P$2=0,"",IFERROR(TRIM(INDEX('Pegar docentes'!$A$1:$BZ$1001,159,P$2)&amp;""),""))</f>
        <v/>
      </c>
      <c r="Q160" s="25">
        <f>IF(OR(D160&lt;&gt;"",H160&lt;&gt;""),1,"")</f>
        <v/>
      </c>
      <c r="R160" s="25">
        <f>IF(Q160=1,IF(ISNUMBER(FIND("#"&amp;MID(D160,1,1)&amp;"#","#0#1#2#3#4#5#6#7#8#9#")),IF(ISNUMBER(FIND("#"&amp;MID(D160,2,1)&amp;"#","#0#1#2#3#4#5#6#7#8#9#")),IF(AND(VALUE(LEFT(D160,2))&gt;=1,VALUE(LEFT(D160,2))&lt;=5),VALUE(LEFT(D160,2)),""),IF(AND(VALUE(LEFT(D160,1))&gt;=1,VALUE(LEFT(D160,1))&lt;=5),VALUE(LEFT(D160,1)),"")),""),"")</f>
        <v/>
      </c>
      <c r="S160" s="25">
        <f>IF(AND(Q160=1,E160&lt;&gt;""),SUBSTITUTE(SUBSTITUTE(SUBSTITUTE(SUBSTITUTE(SUBSTITUTE(SUBSTITUTE(SUBSTITUTE(SUBSTITUTE(SUBSTITUTE(SUBSTITUTE(SUBSTITUTE(SUBSTITUTE(LOWER(TRIM(E160)),"á","a"),"é","e"),"í","i"),"ó","o"),"ú","u"),"ü","u"),"ñ","n"),"à","a"),"è","e"),"ì","i"),"ò","o"),"ù","u"),"")</f>
        <v/>
      </c>
      <c r="T160" s="25">
        <f>IF(AND(Q160=1,G160&lt;&gt;""),SUBSTITUTE(SUBSTITUTE(SUBSTITUTE(SUBSTITUTE(SUBSTITUTE(SUBSTITUTE(SUBSTITUTE(SUBSTITUTE(SUBSTITUTE(SUBSTITUTE(SUBSTITUTE(SUBSTITUTE(LOWER(TRIM(G160)),"á","a"),"é","e"),"í","i"),"ó","o"),"ú","u"),"ü","u"),"ñ","n"),"à","a"),"è","e"),"ì","i"),"ò","o"),"ù","u"),"")</f>
        <v/>
      </c>
      <c r="U160" s="25">
        <f>IF(AND(Q160=1,H160&lt;&gt;""),SUBSTITUTE(SUBSTITUTE(SUBSTITUTE(SUBSTITUTE(SUBSTITUTE(SUBSTITUTE(SUBSTITUTE(SUBSTITUTE(SUBSTITUTE(SUBSTITUTE(SUBSTITUTE(SUBSTITUTE(LOWER(TRIM(H160)),"á","a"),"é","e"),"í","i"),"ó","o"),"ú","u"),"ü","u"),"ñ","n"),"à","a"),"è","e"),"ì","i"),"ò","o"),"ù","u"),"")</f>
        <v/>
      </c>
      <c r="V160" s="25">
        <f>IF(AND(Q160=1,L160&lt;&gt;""),SUBSTITUTE(SUBSTITUTE(SUBSTITUTE(SUBSTITUTE(SUBSTITUTE(SUBSTITUTE(SUBSTITUTE(SUBSTITUTE(SUBSTITUTE(SUBSTITUTE(SUBSTITUTE(SUBSTITUTE(LOWER(TRIM(L160)),"á","a"),"é","e"),"í","i"),"ó","o"),"ú","u"),"ü","u"),"ñ","n"),"à","a"),"è","e"),"ì","i"),"ò","o"),"ù","u"),"")</f>
        <v/>
      </c>
      <c r="W160" s="25">
        <f>IF(AND(Q160=1,I160&lt;&gt;""),SUBSTITUTE(SUBSTITUTE(SUBSTITUTE(SUBSTITUTE(SUBSTITUTE(SUBSTITUTE(SUBSTITUTE(SUBSTITUTE(SUBSTITUTE(SUBSTITUTE(SUBSTITUTE(SUBSTITUTE(LOWER(TRIM(I160)),"á","a"),"é","e"),"í","i"),"ó","o"),"ú","u"),"ü","u"),"ñ","n"),"à","a"),"è","e"),"ì","i"),"ò","o"),"ù","u"),"")</f>
        <v/>
      </c>
      <c r="X160" s="25">
        <f>IF(U160="","",IF(OR(U160="si, en la proxima tarea",U160="si, con cambios"),1,0))</f>
        <v/>
      </c>
      <c r="Y160" s="25">
        <f>IF(AND(Q160=1,A160&lt;&gt;""),IF(IFERROR(COUNTIFS(A$3:A160,"="&amp;SUBSTITUTE(SUBSTITUTE(SUBSTITUTE(A160,"~","~~"),"*","~*"),"?","~?"),Q$3:Q160,1),0)=1,MAX(Y$2:Y159)+1,""),"")</f>
        <v/>
      </c>
      <c r="Z160" s="25">
        <f>IF(Y160="","",COUNTIFS($A$3:$A$1002,"="&amp;SUBSTITUTE(SUBSTITUTE(SUBSTITUTE(A160,"~","~~"),"*","~*"),"?","~?"),$Q$3:$Q$1002,1)*10000-Y160)</f>
        <v/>
      </c>
    </row>
    <row r="161">
      <c r="A161">
        <f>IF(A$2=0,"",IFERROR(TRIM(INDEX('Pegar docentes'!$A$1:$BZ$1001,160,A$2)&amp;""),""))</f>
        <v/>
      </c>
      <c r="B161">
        <f>IF(B$2=0,"",IFERROR(TRIM(INDEX('Pegar docentes'!$A$1:$BZ$1001,160,B$2)&amp;""),""))</f>
        <v/>
      </c>
      <c r="C161">
        <f>IF(C$2=0,"",IFERROR(TRIM(INDEX('Pegar docentes'!$A$1:$BZ$1001,160,C$2)&amp;""),""))</f>
        <v/>
      </c>
      <c r="D161">
        <f>IF(D$2=0,"",IFERROR(TRIM(INDEX('Pegar docentes'!$A$1:$BZ$1001,160,D$2)&amp;""),""))</f>
        <v/>
      </c>
      <c r="E161">
        <f>IF(E$2=0,"",IFERROR(TRIM(INDEX('Pegar docentes'!$A$1:$BZ$1001,160,E$2)&amp;""),""))</f>
        <v/>
      </c>
      <c r="F161">
        <f>IF(F$2=0,"",IFERROR(TRIM(INDEX('Pegar docentes'!$A$1:$BZ$1001,160,F$2)&amp;""),""))</f>
        <v/>
      </c>
      <c r="G161">
        <f>IF(G$2=0,"",IFERROR(TRIM(INDEX('Pegar docentes'!$A$1:$BZ$1001,160,G$2)&amp;""),""))</f>
        <v/>
      </c>
      <c r="H161">
        <f>IF(H$2=0,"",IFERROR(TRIM(INDEX('Pegar docentes'!$A$1:$BZ$1001,160,H$2)&amp;""),""))</f>
        <v/>
      </c>
      <c r="I161">
        <f>IF(I$2=0,"",IFERROR(TRIM(INDEX('Pegar docentes'!$A$1:$BZ$1001,160,I$2)&amp;""),""))</f>
        <v/>
      </c>
      <c r="J161">
        <f>IF(J$2=0,"",IFERROR(TRIM(INDEX('Pegar docentes'!$A$1:$BZ$1001,160,J$2)&amp;""),""))</f>
        <v/>
      </c>
      <c r="K161">
        <f>IF(K$2=0,"",IFERROR(TRIM(INDEX('Pegar docentes'!$A$1:$BZ$1001,160,K$2)&amp;""),""))</f>
        <v/>
      </c>
      <c r="L161">
        <f>IF(L$2=0,"",IFERROR(TRIM(INDEX('Pegar docentes'!$A$1:$BZ$1001,160,L$2)&amp;""),""))</f>
        <v/>
      </c>
      <c r="M161">
        <f>IF(M$2=0,"",IFERROR(TRIM(INDEX('Pegar docentes'!$A$1:$BZ$1001,160,M$2)&amp;""),""))</f>
        <v/>
      </c>
      <c r="N161">
        <f>IF(N$2=0,"",IFERROR(TRIM(INDEX('Pegar docentes'!$A$1:$BZ$1001,160,N$2)&amp;""),""))</f>
        <v/>
      </c>
      <c r="O161">
        <f>IF(O$2=0,"",IFERROR(TRIM(INDEX('Pegar docentes'!$A$1:$BZ$1001,160,O$2)&amp;""),""))</f>
        <v/>
      </c>
      <c r="P161">
        <f>IF(P$2=0,"",IFERROR(TRIM(INDEX('Pegar docentes'!$A$1:$BZ$1001,160,P$2)&amp;""),""))</f>
        <v/>
      </c>
      <c r="Q161" s="25">
        <f>IF(OR(D161&lt;&gt;"",H161&lt;&gt;""),1,"")</f>
        <v/>
      </c>
      <c r="R161" s="25">
        <f>IF(Q161=1,IF(ISNUMBER(FIND("#"&amp;MID(D161,1,1)&amp;"#","#0#1#2#3#4#5#6#7#8#9#")),IF(ISNUMBER(FIND("#"&amp;MID(D161,2,1)&amp;"#","#0#1#2#3#4#5#6#7#8#9#")),IF(AND(VALUE(LEFT(D161,2))&gt;=1,VALUE(LEFT(D161,2))&lt;=5),VALUE(LEFT(D161,2)),""),IF(AND(VALUE(LEFT(D161,1))&gt;=1,VALUE(LEFT(D161,1))&lt;=5),VALUE(LEFT(D161,1)),"")),""),"")</f>
        <v/>
      </c>
      <c r="S161" s="25">
        <f>IF(AND(Q161=1,E161&lt;&gt;""),SUBSTITUTE(SUBSTITUTE(SUBSTITUTE(SUBSTITUTE(SUBSTITUTE(SUBSTITUTE(SUBSTITUTE(SUBSTITUTE(SUBSTITUTE(SUBSTITUTE(SUBSTITUTE(SUBSTITUTE(LOWER(TRIM(E161)),"á","a"),"é","e"),"í","i"),"ó","o"),"ú","u"),"ü","u"),"ñ","n"),"à","a"),"è","e"),"ì","i"),"ò","o"),"ù","u"),"")</f>
        <v/>
      </c>
      <c r="T161" s="25">
        <f>IF(AND(Q161=1,G161&lt;&gt;""),SUBSTITUTE(SUBSTITUTE(SUBSTITUTE(SUBSTITUTE(SUBSTITUTE(SUBSTITUTE(SUBSTITUTE(SUBSTITUTE(SUBSTITUTE(SUBSTITUTE(SUBSTITUTE(SUBSTITUTE(LOWER(TRIM(G161)),"á","a"),"é","e"),"í","i"),"ó","o"),"ú","u"),"ü","u"),"ñ","n"),"à","a"),"è","e"),"ì","i"),"ò","o"),"ù","u"),"")</f>
        <v/>
      </c>
      <c r="U161" s="25">
        <f>IF(AND(Q161=1,H161&lt;&gt;""),SUBSTITUTE(SUBSTITUTE(SUBSTITUTE(SUBSTITUTE(SUBSTITUTE(SUBSTITUTE(SUBSTITUTE(SUBSTITUTE(SUBSTITUTE(SUBSTITUTE(SUBSTITUTE(SUBSTITUTE(LOWER(TRIM(H161)),"á","a"),"é","e"),"í","i"),"ó","o"),"ú","u"),"ü","u"),"ñ","n"),"à","a"),"è","e"),"ì","i"),"ò","o"),"ù","u"),"")</f>
        <v/>
      </c>
      <c r="V161" s="25">
        <f>IF(AND(Q161=1,L161&lt;&gt;""),SUBSTITUTE(SUBSTITUTE(SUBSTITUTE(SUBSTITUTE(SUBSTITUTE(SUBSTITUTE(SUBSTITUTE(SUBSTITUTE(SUBSTITUTE(SUBSTITUTE(SUBSTITUTE(SUBSTITUTE(LOWER(TRIM(L161)),"á","a"),"é","e"),"í","i"),"ó","o"),"ú","u"),"ü","u"),"ñ","n"),"à","a"),"è","e"),"ì","i"),"ò","o"),"ù","u"),"")</f>
        <v/>
      </c>
      <c r="W161" s="25">
        <f>IF(AND(Q161=1,I161&lt;&gt;""),SUBSTITUTE(SUBSTITUTE(SUBSTITUTE(SUBSTITUTE(SUBSTITUTE(SUBSTITUTE(SUBSTITUTE(SUBSTITUTE(SUBSTITUTE(SUBSTITUTE(SUBSTITUTE(SUBSTITUTE(LOWER(TRIM(I161)),"á","a"),"é","e"),"í","i"),"ó","o"),"ú","u"),"ü","u"),"ñ","n"),"à","a"),"è","e"),"ì","i"),"ò","o"),"ù","u"),"")</f>
        <v/>
      </c>
      <c r="X161" s="25">
        <f>IF(U161="","",IF(OR(U161="si, en la proxima tarea",U161="si, con cambios"),1,0))</f>
        <v/>
      </c>
      <c r="Y161" s="25">
        <f>IF(AND(Q161=1,A161&lt;&gt;""),IF(IFERROR(COUNTIFS(A$3:A161,"="&amp;SUBSTITUTE(SUBSTITUTE(SUBSTITUTE(A161,"~","~~"),"*","~*"),"?","~?"),Q$3:Q161,1),0)=1,MAX(Y$2:Y160)+1,""),"")</f>
        <v/>
      </c>
      <c r="Z161" s="25">
        <f>IF(Y161="","",COUNTIFS($A$3:$A$1002,"="&amp;SUBSTITUTE(SUBSTITUTE(SUBSTITUTE(A161,"~","~~"),"*","~*"),"?","~?"),$Q$3:$Q$1002,1)*10000-Y161)</f>
        <v/>
      </c>
    </row>
    <row r="162">
      <c r="A162">
        <f>IF(A$2=0,"",IFERROR(TRIM(INDEX('Pegar docentes'!$A$1:$BZ$1001,161,A$2)&amp;""),""))</f>
        <v/>
      </c>
      <c r="B162">
        <f>IF(B$2=0,"",IFERROR(TRIM(INDEX('Pegar docentes'!$A$1:$BZ$1001,161,B$2)&amp;""),""))</f>
        <v/>
      </c>
      <c r="C162">
        <f>IF(C$2=0,"",IFERROR(TRIM(INDEX('Pegar docentes'!$A$1:$BZ$1001,161,C$2)&amp;""),""))</f>
        <v/>
      </c>
      <c r="D162">
        <f>IF(D$2=0,"",IFERROR(TRIM(INDEX('Pegar docentes'!$A$1:$BZ$1001,161,D$2)&amp;""),""))</f>
        <v/>
      </c>
      <c r="E162">
        <f>IF(E$2=0,"",IFERROR(TRIM(INDEX('Pegar docentes'!$A$1:$BZ$1001,161,E$2)&amp;""),""))</f>
        <v/>
      </c>
      <c r="F162">
        <f>IF(F$2=0,"",IFERROR(TRIM(INDEX('Pegar docentes'!$A$1:$BZ$1001,161,F$2)&amp;""),""))</f>
        <v/>
      </c>
      <c r="G162">
        <f>IF(G$2=0,"",IFERROR(TRIM(INDEX('Pegar docentes'!$A$1:$BZ$1001,161,G$2)&amp;""),""))</f>
        <v/>
      </c>
      <c r="H162">
        <f>IF(H$2=0,"",IFERROR(TRIM(INDEX('Pegar docentes'!$A$1:$BZ$1001,161,H$2)&amp;""),""))</f>
        <v/>
      </c>
      <c r="I162">
        <f>IF(I$2=0,"",IFERROR(TRIM(INDEX('Pegar docentes'!$A$1:$BZ$1001,161,I$2)&amp;""),""))</f>
        <v/>
      </c>
      <c r="J162">
        <f>IF(J$2=0,"",IFERROR(TRIM(INDEX('Pegar docentes'!$A$1:$BZ$1001,161,J$2)&amp;""),""))</f>
        <v/>
      </c>
      <c r="K162">
        <f>IF(K$2=0,"",IFERROR(TRIM(INDEX('Pegar docentes'!$A$1:$BZ$1001,161,K$2)&amp;""),""))</f>
        <v/>
      </c>
      <c r="L162">
        <f>IF(L$2=0,"",IFERROR(TRIM(INDEX('Pegar docentes'!$A$1:$BZ$1001,161,L$2)&amp;""),""))</f>
        <v/>
      </c>
      <c r="M162">
        <f>IF(M$2=0,"",IFERROR(TRIM(INDEX('Pegar docentes'!$A$1:$BZ$1001,161,M$2)&amp;""),""))</f>
        <v/>
      </c>
      <c r="N162">
        <f>IF(N$2=0,"",IFERROR(TRIM(INDEX('Pegar docentes'!$A$1:$BZ$1001,161,N$2)&amp;""),""))</f>
        <v/>
      </c>
      <c r="O162">
        <f>IF(O$2=0,"",IFERROR(TRIM(INDEX('Pegar docentes'!$A$1:$BZ$1001,161,O$2)&amp;""),""))</f>
        <v/>
      </c>
      <c r="P162">
        <f>IF(P$2=0,"",IFERROR(TRIM(INDEX('Pegar docentes'!$A$1:$BZ$1001,161,P$2)&amp;""),""))</f>
        <v/>
      </c>
      <c r="Q162" s="25">
        <f>IF(OR(D162&lt;&gt;"",H162&lt;&gt;""),1,"")</f>
        <v/>
      </c>
      <c r="R162" s="25">
        <f>IF(Q162=1,IF(ISNUMBER(FIND("#"&amp;MID(D162,1,1)&amp;"#","#0#1#2#3#4#5#6#7#8#9#")),IF(ISNUMBER(FIND("#"&amp;MID(D162,2,1)&amp;"#","#0#1#2#3#4#5#6#7#8#9#")),IF(AND(VALUE(LEFT(D162,2))&gt;=1,VALUE(LEFT(D162,2))&lt;=5),VALUE(LEFT(D162,2)),""),IF(AND(VALUE(LEFT(D162,1))&gt;=1,VALUE(LEFT(D162,1))&lt;=5),VALUE(LEFT(D162,1)),"")),""),"")</f>
        <v/>
      </c>
      <c r="S162" s="25">
        <f>IF(AND(Q162=1,E162&lt;&gt;""),SUBSTITUTE(SUBSTITUTE(SUBSTITUTE(SUBSTITUTE(SUBSTITUTE(SUBSTITUTE(SUBSTITUTE(SUBSTITUTE(SUBSTITUTE(SUBSTITUTE(SUBSTITUTE(SUBSTITUTE(LOWER(TRIM(E162)),"á","a"),"é","e"),"í","i"),"ó","o"),"ú","u"),"ü","u"),"ñ","n"),"à","a"),"è","e"),"ì","i"),"ò","o"),"ù","u"),"")</f>
        <v/>
      </c>
      <c r="T162" s="25">
        <f>IF(AND(Q162=1,G162&lt;&gt;""),SUBSTITUTE(SUBSTITUTE(SUBSTITUTE(SUBSTITUTE(SUBSTITUTE(SUBSTITUTE(SUBSTITUTE(SUBSTITUTE(SUBSTITUTE(SUBSTITUTE(SUBSTITUTE(SUBSTITUTE(LOWER(TRIM(G162)),"á","a"),"é","e"),"í","i"),"ó","o"),"ú","u"),"ü","u"),"ñ","n"),"à","a"),"è","e"),"ì","i"),"ò","o"),"ù","u"),"")</f>
        <v/>
      </c>
      <c r="U162" s="25">
        <f>IF(AND(Q162=1,H162&lt;&gt;""),SUBSTITUTE(SUBSTITUTE(SUBSTITUTE(SUBSTITUTE(SUBSTITUTE(SUBSTITUTE(SUBSTITUTE(SUBSTITUTE(SUBSTITUTE(SUBSTITUTE(SUBSTITUTE(SUBSTITUTE(LOWER(TRIM(H162)),"á","a"),"é","e"),"í","i"),"ó","o"),"ú","u"),"ü","u"),"ñ","n"),"à","a"),"è","e"),"ì","i"),"ò","o"),"ù","u"),"")</f>
        <v/>
      </c>
      <c r="V162" s="25">
        <f>IF(AND(Q162=1,L162&lt;&gt;""),SUBSTITUTE(SUBSTITUTE(SUBSTITUTE(SUBSTITUTE(SUBSTITUTE(SUBSTITUTE(SUBSTITUTE(SUBSTITUTE(SUBSTITUTE(SUBSTITUTE(SUBSTITUTE(SUBSTITUTE(LOWER(TRIM(L162)),"á","a"),"é","e"),"í","i"),"ó","o"),"ú","u"),"ü","u"),"ñ","n"),"à","a"),"è","e"),"ì","i"),"ò","o"),"ù","u"),"")</f>
        <v/>
      </c>
      <c r="W162" s="25">
        <f>IF(AND(Q162=1,I162&lt;&gt;""),SUBSTITUTE(SUBSTITUTE(SUBSTITUTE(SUBSTITUTE(SUBSTITUTE(SUBSTITUTE(SUBSTITUTE(SUBSTITUTE(SUBSTITUTE(SUBSTITUTE(SUBSTITUTE(SUBSTITUTE(LOWER(TRIM(I162)),"á","a"),"é","e"),"í","i"),"ó","o"),"ú","u"),"ü","u"),"ñ","n"),"à","a"),"è","e"),"ì","i"),"ò","o"),"ù","u"),"")</f>
        <v/>
      </c>
      <c r="X162" s="25">
        <f>IF(U162="","",IF(OR(U162="si, en la proxima tarea",U162="si, con cambios"),1,0))</f>
        <v/>
      </c>
      <c r="Y162" s="25">
        <f>IF(AND(Q162=1,A162&lt;&gt;""),IF(IFERROR(COUNTIFS(A$3:A162,"="&amp;SUBSTITUTE(SUBSTITUTE(SUBSTITUTE(A162,"~","~~"),"*","~*"),"?","~?"),Q$3:Q162,1),0)=1,MAX(Y$2:Y161)+1,""),"")</f>
        <v/>
      </c>
      <c r="Z162" s="25">
        <f>IF(Y162="","",COUNTIFS($A$3:$A$1002,"="&amp;SUBSTITUTE(SUBSTITUTE(SUBSTITUTE(A162,"~","~~"),"*","~*"),"?","~?"),$Q$3:$Q$1002,1)*10000-Y162)</f>
        <v/>
      </c>
    </row>
    <row r="163">
      <c r="A163">
        <f>IF(A$2=0,"",IFERROR(TRIM(INDEX('Pegar docentes'!$A$1:$BZ$1001,162,A$2)&amp;""),""))</f>
        <v/>
      </c>
      <c r="B163">
        <f>IF(B$2=0,"",IFERROR(TRIM(INDEX('Pegar docentes'!$A$1:$BZ$1001,162,B$2)&amp;""),""))</f>
        <v/>
      </c>
      <c r="C163">
        <f>IF(C$2=0,"",IFERROR(TRIM(INDEX('Pegar docentes'!$A$1:$BZ$1001,162,C$2)&amp;""),""))</f>
        <v/>
      </c>
      <c r="D163">
        <f>IF(D$2=0,"",IFERROR(TRIM(INDEX('Pegar docentes'!$A$1:$BZ$1001,162,D$2)&amp;""),""))</f>
        <v/>
      </c>
      <c r="E163">
        <f>IF(E$2=0,"",IFERROR(TRIM(INDEX('Pegar docentes'!$A$1:$BZ$1001,162,E$2)&amp;""),""))</f>
        <v/>
      </c>
      <c r="F163">
        <f>IF(F$2=0,"",IFERROR(TRIM(INDEX('Pegar docentes'!$A$1:$BZ$1001,162,F$2)&amp;""),""))</f>
        <v/>
      </c>
      <c r="G163">
        <f>IF(G$2=0,"",IFERROR(TRIM(INDEX('Pegar docentes'!$A$1:$BZ$1001,162,G$2)&amp;""),""))</f>
        <v/>
      </c>
      <c r="H163">
        <f>IF(H$2=0,"",IFERROR(TRIM(INDEX('Pegar docentes'!$A$1:$BZ$1001,162,H$2)&amp;""),""))</f>
        <v/>
      </c>
      <c r="I163">
        <f>IF(I$2=0,"",IFERROR(TRIM(INDEX('Pegar docentes'!$A$1:$BZ$1001,162,I$2)&amp;""),""))</f>
        <v/>
      </c>
      <c r="J163">
        <f>IF(J$2=0,"",IFERROR(TRIM(INDEX('Pegar docentes'!$A$1:$BZ$1001,162,J$2)&amp;""),""))</f>
        <v/>
      </c>
      <c r="K163">
        <f>IF(K$2=0,"",IFERROR(TRIM(INDEX('Pegar docentes'!$A$1:$BZ$1001,162,K$2)&amp;""),""))</f>
        <v/>
      </c>
      <c r="L163">
        <f>IF(L$2=0,"",IFERROR(TRIM(INDEX('Pegar docentes'!$A$1:$BZ$1001,162,L$2)&amp;""),""))</f>
        <v/>
      </c>
      <c r="M163">
        <f>IF(M$2=0,"",IFERROR(TRIM(INDEX('Pegar docentes'!$A$1:$BZ$1001,162,M$2)&amp;""),""))</f>
        <v/>
      </c>
      <c r="N163">
        <f>IF(N$2=0,"",IFERROR(TRIM(INDEX('Pegar docentes'!$A$1:$BZ$1001,162,N$2)&amp;""),""))</f>
        <v/>
      </c>
      <c r="O163">
        <f>IF(O$2=0,"",IFERROR(TRIM(INDEX('Pegar docentes'!$A$1:$BZ$1001,162,O$2)&amp;""),""))</f>
        <v/>
      </c>
      <c r="P163">
        <f>IF(P$2=0,"",IFERROR(TRIM(INDEX('Pegar docentes'!$A$1:$BZ$1001,162,P$2)&amp;""),""))</f>
        <v/>
      </c>
      <c r="Q163" s="25">
        <f>IF(OR(D163&lt;&gt;"",H163&lt;&gt;""),1,"")</f>
        <v/>
      </c>
      <c r="R163" s="25">
        <f>IF(Q163=1,IF(ISNUMBER(FIND("#"&amp;MID(D163,1,1)&amp;"#","#0#1#2#3#4#5#6#7#8#9#")),IF(ISNUMBER(FIND("#"&amp;MID(D163,2,1)&amp;"#","#0#1#2#3#4#5#6#7#8#9#")),IF(AND(VALUE(LEFT(D163,2))&gt;=1,VALUE(LEFT(D163,2))&lt;=5),VALUE(LEFT(D163,2)),""),IF(AND(VALUE(LEFT(D163,1))&gt;=1,VALUE(LEFT(D163,1))&lt;=5),VALUE(LEFT(D163,1)),"")),""),"")</f>
        <v/>
      </c>
      <c r="S163" s="25">
        <f>IF(AND(Q163=1,E163&lt;&gt;""),SUBSTITUTE(SUBSTITUTE(SUBSTITUTE(SUBSTITUTE(SUBSTITUTE(SUBSTITUTE(SUBSTITUTE(SUBSTITUTE(SUBSTITUTE(SUBSTITUTE(SUBSTITUTE(SUBSTITUTE(LOWER(TRIM(E163)),"á","a"),"é","e"),"í","i"),"ó","o"),"ú","u"),"ü","u"),"ñ","n"),"à","a"),"è","e"),"ì","i"),"ò","o"),"ù","u"),"")</f>
        <v/>
      </c>
      <c r="T163" s="25">
        <f>IF(AND(Q163=1,G163&lt;&gt;""),SUBSTITUTE(SUBSTITUTE(SUBSTITUTE(SUBSTITUTE(SUBSTITUTE(SUBSTITUTE(SUBSTITUTE(SUBSTITUTE(SUBSTITUTE(SUBSTITUTE(SUBSTITUTE(SUBSTITUTE(LOWER(TRIM(G163)),"á","a"),"é","e"),"í","i"),"ó","o"),"ú","u"),"ü","u"),"ñ","n"),"à","a"),"è","e"),"ì","i"),"ò","o"),"ù","u"),"")</f>
        <v/>
      </c>
      <c r="U163" s="25">
        <f>IF(AND(Q163=1,H163&lt;&gt;""),SUBSTITUTE(SUBSTITUTE(SUBSTITUTE(SUBSTITUTE(SUBSTITUTE(SUBSTITUTE(SUBSTITUTE(SUBSTITUTE(SUBSTITUTE(SUBSTITUTE(SUBSTITUTE(SUBSTITUTE(LOWER(TRIM(H163)),"á","a"),"é","e"),"í","i"),"ó","o"),"ú","u"),"ü","u"),"ñ","n"),"à","a"),"è","e"),"ì","i"),"ò","o"),"ù","u"),"")</f>
        <v/>
      </c>
      <c r="V163" s="25">
        <f>IF(AND(Q163=1,L163&lt;&gt;""),SUBSTITUTE(SUBSTITUTE(SUBSTITUTE(SUBSTITUTE(SUBSTITUTE(SUBSTITUTE(SUBSTITUTE(SUBSTITUTE(SUBSTITUTE(SUBSTITUTE(SUBSTITUTE(SUBSTITUTE(LOWER(TRIM(L163)),"á","a"),"é","e"),"í","i"),"ó","o"),"ú","u"),"ü","u"),"ñ","n"),"à","a"),"è","e"),"ì","i"),"ò","o"),"ù","u"),"")</f>
        <v/>
      </c>
      <c r="W163" s="25">
        <f>IF(AND(Q163=1,I163&lt;&gt;""),SUBSTITUTE(SUBSTITUTE(SUBSTITUTE(SUBSTITUTE(SUBSTITUTE(SUBSTITUTE(SUBSTITUTE(SUBSTITUTE(SUBSTITUTE(SUBSTITUTE(SUBSTITUTE(SUBSTITUTE(LOWER(TRIM(I163)),"á","a"),"é","e"),"í","i"),"ó","o"),"ú","u"),"ü","u"),"ñ","n"),"à","a"),"è","e"),"ì","i"),"ò","o"),"ù","u"),"")</f>
        <v/>
      </c>
      <c r="X163" s="25">
        <f>IF(U163="","",IF(OR(U163="si, en la proxima tarea",U163="si, con cambios"),1,0))</f>
        <v/>
      </c>
      <c r="Y163" s="25">
        <f>IF(AND(Q163=1,A163&lt;&gt;""),IF(IFERROR(COUNTIFS(A$3:A163,"="&amp;SUBSTITUTE(SUBSTITUTE(SUBSTITUTE(A163,"~","~~"),"*","~*"),"?","~?"),Q$3:Q163,1),0)=1,MAX(Y$2:Y162)+1,""),"")</f>
        <v/>
      </c>
      <c r="Z163" s="25">
        <f>IF(Y163="","",COUNTIFS($A$3:$A$1002,"="&amp;SUBSTITUTE(SUBSTITUTE(SUBSTITUTE(A163,"~","~~"),"*","~*"),"?","~?"),$Q$3:$Q$1002,1)*10000-Y163)</f>
        <v/>
      </c>
    </row>
    <row r="164">
      <c r="A164">
        <f>IF(A$2=0,"",IFERROR(TRIM(INDEX('Pegar docentes'!$A$1:$BZ$1001,163,A$2)&amp;""),""))</f>
        <v/>
      </c>
      <c r="B164">
        <f>IF(B$2=0,"",IFERROR(TRIM(INDEX('Pegar docentes'!$A$1:$BZ$1001,163,B$2)&amp;""),""))</f>
        <v/>
      </c>
      <c r="C164">
        <f>IF(C$2=0,"",IFERROR(TRIM(INDEX('Pegar docentes'!$A$1:$BZ$1001,163,C$2)&amp;""),""))</f>
        <v/>
      </c>
      <c r="D164">
        <f>IF(D$2=0,"",IFERROR(TRIM(INDEX('Pegar docentes'!$A$1:$BZ$1001,163,D$2)&amp;""),""))</f>
        <v/>
      </c>
      <c r="E164">
        <f>IF(E$2=0,"",IFERROR(TRIM(INDEX('Pegar docentes'!$A$1:$BZ$1001,163,E$2)&amp;""),""))</f>
        <v/>
      </c>
      <c r="F164">
        <f>IF(F$2=0,"",IFERROR(TRIM(INDEX('Pegar docentes'!$A$1:$BZ$1001,163,F$2)&amp;""),""))</f>
        <v/>
      </c>
      <c r="G164">
        <f>IF(G$2=0,"",IFERROR(TRIM(INDEX('Pegar docentes'!$A$1:$BZ$1001,163,G$2)&amp;""),""))</f>
        <v/>
      </c>
      <c r="H164">
        <f>IF(H$2=0,"",IFERROR(TRIM(INDEX('Pegar docentes'!$A$1:$BZ$1001,163,H$2)&amp;""),""))</f>
        <v/>
      </c>
      <c r="I164">
        <f>IF(I$2=0,"",IFERROR(TRIM(INDEX('Pegar docentes'!$A$1:$BZ$1001,163,I$2)&amp;""),""))</f>
        <v/>
      </c>
      <c r="J164">
        <f>IF(J$2=0,"",IFERROR(TRIM(INDEX('Pegar docentes'!$A$1:$BZ$1001,163,J$2)&amp;""),""))</f>
        <v/>
      </c>
      <c r="K164">
        <f>IF(K$2=0,"",IFERROR(TRIM(INDEX('Pegar docentes'!$A$1:$BZ$1001,163,K$2)&amp;""),""))</f>
        <v/>
      </c>
      <c r="L164">
        <f>IF(L$2=0,"",IFERROR(TRIM(INDEX('Pegar docentes'!$A$1:$BZ$1001,163,L$2)&amp;""),""))</f>
        <v/>
      </c>
      <c r="M164">
        <f>IF(M$2=0,"",IFERROR(TRIM(INDEX('Pegar docentes'!$A$1:$BZ$1001,163,M$2)&amp;""),""))</f>
        <v/>
      </c>
      <c r="N164">
        <f>IF(N$2=0,"",IFERROR(TRIM(INDEX('Pegar docentes'!$A$1:$BZ$1001,163,N$2)&amp;""),""))</f>
        <v/>
      </c>
      <c r="O164">
        <f>IF(O$2=0,"",IFERROR(TRIM(INDEX('Pegar docentes'!$A$1:$BZ$1001,163,O$2)&amp;""),""))</f>
        <v/>
      </c>
      <c r="P164">
        <f>IF(P$2=0,"",IFERROR(TRIM(INDEX('Pegar docentes'!$A$1:$BZ$1001,163,P$2)&amp;""),""))</f>
        <v/>
      </c>
      <c r="Q164" s="25">
        <f>IF(OR(D164&lt;&gt;"",H164&lt;&gt;""),1,"")</f>
        <v/>
      </c>
      <c r="R164" s="25">
        <f>IF(Q164=1,IF(ISNUMBER(FIND("#"&amp;MID(D164,1,1)&amp;"#","#0#1#2#3#4#5#6#7#8#9#")),IF(ISNUMBER(FIND("#"&amp;MID(D164,2,1)&amp;"#","#0#1#2#3#4#5#6#7#8#9#")),IF(AND(VALUE(LEFT(D164,2))&gt;=1,VALUE(LEFT(D164,2))&lt;=5),VALUE(LEFT(D164,2)),""),IF(AND(VALUE(LEFT(D164,1))&gt;=1,VALUE(LEFT(D164,1))&lt;=5),VALUE(LEFT(D164,1)),"")),""),"")</f>
        <v/>
      </c>
      <c r="S164" s="25">
        <f>IF(AND(Q164=1,E164&lt;&gt;""),SUBSTITUTE(SUBSTITUTE(SUBSTITUTE(SUBSTITUTE(SUBSTITUTE(SUBSTITUTE(SUBSTITUTE(SUBSTITUTE(SUBSTITUTE(SUBSTITUTE(SUBSTITUTE(SUBSTITUTE(LOWER(TRIM(E164)),"á","a"),"é","e"),"í","i"),"ó","o"),"ú","u"),"ü","u"),"ñ","n"),"à","a"),"è","e"),"ì","i"),"ò","o"),"ù","u"),"")</f>
        <v/>
      </c>
      <c r="T164" s="25">
        <f>IF(AND(Q164=1,G164&lt;&gt;""),SUBSTITUTE(SUBSTITUTE(SUBSTITUTE(SUBSTITUTE(SUBSTITUTE(SUBSTITUTE(SUBSTITUTE(SUBSTITUTE(SUBSTITUTE(SUBSTITUTE(SUBSTITUTE(SUBSTITUTE(LOWER(TRIM(G164)),"á","a"),"é","e"),"í","i"),"ó","o"),"ú","u"),"ü","u"),"ñ","n"),"à","a"),"è","e"),"ì","i"),"ò","o"),"ù","u"),"")</f>
        <v/>
      </c>
      <c r="U164" s="25">
        <f>IF(AND(Q164=1,H164&lt;&gt;""),SUBSTITUTE(SUBSTITUTE(SUBSTITUTE(SUBSTITUTE(SUBSTITUTE(SUBSTITUTE(SUBSTITUTE(SUBSTITUTE(SUBSTITUTE(SUBSTITUTE(SUBSTITUTE(SUBSTITUTE(LOWER(TRIM(H164)),"á","a"),"é","e"),"í","i"),"ó","o"),"ú","u"),"ü","u"),"ñ","n"),"à","a"),"è","e"),"ì","i"),"ò","o"),"ù","u"),"")</f>
        <v/>
      </c>
      <c r="V164" s="25">
        <f>IF(AND(Q164=1,L164&lt;&gt;""),SUBSTITUTE(SUBSTITUTE(SUBSTITUTE(SUBSTITUTE(SUBSTITUTE(SUBSTITUTE(SUBSTITUTE(SUBSTITUTE(SUBSTITUTE(SUBSTITUTE(SUBSTITUTE(SUBSTITUTE(LOWER(TRIM(L164)),"á","a"),"é","e"),"í","i"),"ó","o"),"ú","u"),"ü","u"),"ñ","n"),"à","a"),"è","e"),"ì","i"),"ò","o"),"ù","u"),"")</f>
        <v/>
      </c>
      <c r="W164" s="25">
        <f>IF(AND(Q164=1,I164&lt;&gt;""),SUBSTITUTE(SUBSTITUTE(SUBSTITUTE(SUBSTITUTE(SUBSTITUTE(SUBSTITUTE(SUBSTITUTE(SUBSTITUTE(SUBSTITUTE(SUBSTITUTE(SUBSTITUTE(SUBSTITUTE(LOWER(TRIM(I164)),"á","a"),"é","e"),"í","i"),"ó","o"),"ú","u"),"ü","u"),"ñ","n"),"à","a"),"è","e"),"ì","i"),"ò","o"),"ù","u"),"")</f>
        <v/>
      </c>
      <c r="X164" s="25">
        <f>IF(U164="","",IF(OR(U164="si, en la proxima tarea",U164="si, con cambios"),1,0))</f>
        <v/>
      </c>
      <c r="Y164" s="25">
        <f>IF(AND(Q164=1,A164&lt;&gt;""),IF(IFERROR(COUNTIFS(A$3:A164,"="&amp;SUBSTITUTE(SUBSTITUTE(SUBSTITUTE(A164,"~","~~"),"*","~*"),"?","~?"),Q$3:Q164,1),0)=1,MAX(Y$2:Y163)+1,""),"")</f>
        <v/>
      </c>
      <c r="Z164" s="25">
        <f>IF(Y164="","",COUNTIFS($A$3:$A$1002,"="&amp;SUBSTITUTE(SUBSTITUTE(SUBSTITUTE(A164,"~","~~"),"*","~*"),"?","~?"),$Q$3:$Q$1002,1)*10000-Y164)</f>
        <v/>
      </c>
    </row>
    <row r="165">
      <c r="A165">
        <f>IF(A$2=0,"",IFERROR(TRIM(INDEX('Pegar docentes'!$A$1:$BZ$1001,164,A$2)&amp;""),""))</f>
        <v/>
      </c>
      <c r="B165">
        <f>IF(B$2=0,"",IFERROR(TRIM(INDEX('Pegar docentes'!$A$1:$BZ$1001,164,B$2)&amp;""),""))</f>
        <v/>
      </c>
      <c r="C165">
        <f>IF(C$2=0,"",IFERROR(TRIM(INDEX('Pegar docentes'!$A$1:$BZ$1001,164,C$2)&amp;""),""))</f>
        <v/>
      </c>
      <c r="D165">
        <f>IF(D$2=0,"",IFERROR(TRIM(INDEX('Pegar docentes'!$A$1:$BZ$1001,164,D$2)&amp;""),""))</f>
        <v/>
      </c>
      <c r="E165">
        <f>IF(E$2=0,"",IFERROR(TRIM(INDEX('Pegar docentes'!$A$1:$BZ$1001,164,E$2)&amp;""),""))</f>
        <v/>
      </c>
      <c r="F165">
        <f>IF(F$2=0,"",IFERROR(TRIM(INDEX('Pegar docentes'!$A$1:$BZ$1001,164,F$2)&amp;""),""))</f>
        <v/>
      </c>
      <c r="G165">
        <f>IF(G$2=0,"",IFERROR(TRIM(INDEX('Pegar docentes'!$A$1:$BZ$1001,164,G$2)&amp;""),""))</f>
        <v/>
      </c>
      <c r="H165">
        <f>IF(H$2=0,"",IFERROR(TRIM(INDEX('Pegar docentes'!$A$1:$BZ$1001,164,H$2)&amp;""),""))</f>
        <v/>
      </c>
      <c r="I165">
        <f>IF(I$2=0,"",IFERROR(TRIM(INDEX('Pegar docentes'!$A$1:$BZ$1001,164,I$2)&amp;""),""))</f>
        <v/>
      </c>
      <c r="J165">
        <f>IF(J$2=0,"",IFERROR(TRIM(INDEX('Pegar docentes'!$A$1:$BZ$1001,164,J$2)&amp;""),""))</f>
        <v/>
      </c>
      <c r="K165">
        <f>IF(K$2=0,"",IFERROR(TRIM(INDEX('Pegar docentes'!$A$1:$BZ$1001,164,K$2)&amp;""),""))</f>
        <v/>
      </c>
      <c r="L165">
        <f>IF(L$2=0,"",IFERROR(TRIM(INDEX('Pegar docentes'!$A$1:$BZ$1001,164,L$2)&amp;""),""))</f>
        <v/>
      </c>
      <c r="M165">
        <f>IF(M$2=0,"",IFERROR(TRIM(INDEX('Pegar docentes'!$A$1:$BZ$1001,164,M$2)&amp;""),""))</f>
        <v/>
      </c>
      <c r="N165">
        <f>IF(N$2=0,"",IFERROR(TRIM(INDEX('Pegar docentes'!$A$1:$BZ$1001,164,N$2)&amp;""),""))</f>
        <v/>
      </c>
      <c r="O165">
        <f>IF(O$2=0,"",IFERROR(TRIM(INDEX('Pegar docentes'!$A$1:$BZ$1001,164,O$2)&amp;""),""))</f>
        <v/>
      </c>
      <c r="P165">
        <f>IF(P$2=0,"",IFERROR(TRIM(INDEX('Pegar docentes'!$A$1:$BZ$1001,164,P$2)&amp;""),""))</f>
        <v/>
      </c>
      <c r="Q165" s="25">
        <f>IF(OR(D165&lt;&gt;"",H165&lt;&gt;""),1,"")</f>
        <v/>
      </c>
      <c r="R165" s="25">
        <f>IF(Q165=1,IF(ISNUMBER(FIND("#"&amp;MID(D165,1,1)&amp;"#","#0#1#2#3#4#5#6#7#8#9#")),IF(ISNUMBER(FIND("#"&amp;MID(D165,2,1)&amp;"#","#0#1#2#3#4#5#6#7#8#9#")),IF(AND(VALUE(LEFT(D165,2))&gt;=1,VALUE(LEFT(D165,2))&lt;=5),VALUE(LEFT(D165,2)),""),IF(AND(VALUE(LEFT(D165,1))&gt;=1,VALUE(LEFT(D165,1))&lt;=5),VALUE(LEFT(D165,1)),"")),""),"")</f>
        <v/>
      </c>
      <c r="S165" s="25">
        <f>IF(AND(Q165=1,E165&lt;&gt;""),SUBSTITUTE(SUBSTITUTE(SUBSTITUTE(SUBSTITUTE(SUBSTITUTE(SUBSTITUTE(SUBSTITUTE(SUBSTITUTE(SUBSTITUTE(SUBSTITUTE(SUBSTITUTE(SUBSTITUTE(LOWER(TRIM(E165)),"á","a"),"é","e"),"í","i"),"ó","o"),"ú","u"),"ü","u"),"ñ","n"),"à","a"),"è","e"),"ì","i"),"ò","o"),"ù","u"),"")</f>
        <v/>
      </c>
      <c r="T165" s="25">
        <f>IF(AND(Q165=1,G165&lt;&gt;""),SUBSTITUTE(SUBSTITUTE(SUBSTITUTE(SUBSTITUTE(SUBSTITUTE(SUBSTITUTE(SUBSTITUTE(SUBSTITUTE(SUBSTITUTE(SUBSTITUTE(SUBSTITUTE(SUBSTITUTE(LOWER(TRIM(G165)),"á","a"),"é","e"),"í","i"),"ó","o"),"ú","u"),"ü","u"),"ñ","n"),"à","a"),"è","e"),"ì","i"),"ò","o"),"ù","u"),"")</f>
        <v/>
      </c>
      <c r="U165" s="25">
        <f>IF(AND(Q165=1,H165&lt;&gt;""),SUBSTITUTE(SUBSTITUTE(SUBSTITUTE(SUBSTITUTE(SUBSTITUTE(SUBSTITUTE(SUBSTITUTE(SUBSTITUTE(SUBSTITUTE(SUBSTITUTE(SUBSTITUTE(SUBSTITUTE(LOWER(TRIM(H165)),"á","a"),"é","e"),"í","i"),"ó","o"),"ú","u"),"ü","u"),"ñ","n"),"à","a"),"è","e"),"ì","i"),"ò","o"),"ù","u"),"")</f>
        <v/>
      </c>
      <c r="V165" s="25">
        <f>IF(AND(Q165=1,L165&lt;&gt;""),SUBSTITUTE(SUBSTITUTE(SUBSTITUTE(SUBSTITUTE(SUBSTITUTE(SUBSTITUTE(SUBSTITUTE(SUBSTITUTE(SUBSTITUTE(SUBSTITUTE(SUBSTITUTE(SUBSTITUTE(LOWER(TRIM(L165)),"á","a"),"é","e"),"í","i"),"ó","o"),"ú","u"),"ü","u"),"ñ","n"),"à","a"),"è","e"),"ì","i"),"ò","o"),"ù","u"),"")</f>
        <v/>
      </c>
      <c r="W165" s="25">
        <f>IF(AND(Q165=1,I165&lt;&gt;""),SUBSTITUTE(SUBSTITUTE(SUBSTITUTE(SUBSTITUTE(SUBSTITUTE(SUBSTITUTE(SUBSTITUTE(SUBSTITUTE(SUBSTITUTE(SUBSTITUTE(SUBSTITUTE(SUBSTITUTE(LOWER(TRIM(I165)),"á","a"),"é","e"),"í","i"),"ó","o"),"ú","u"),"ü","u"),"ñ","n"),"à","a"),"è","e"),"ì","i"),"ò","o"),"ù","u"),"")</f>
        <v/>
      </c>
      <c r="X165" s="25">
        <f>IF(U165="","",IF(OR(U165="si, en la proxima tarea",U165="si, con cambios"),1,0))</f>
        <v/>
      </c>
      <c r="Y165" s="25">
        <f>IF(AND(Q165=1,A165&lt;&gt;""),IF(IFERROR(COUNTIFS(A$3:A165,"="&amp;SUBSTITUTE(SUBSTITUTE(SUBSTITUTE(A165,"~","~~"),"*","~*"),"?","~?"),Q$3:Q165,1),0)=1,MAX(Y$2:Y164)+1,""),"")</f>
        <v/>
      </c>
      <c r="Z165" s="25">
        <f>IF(Y165="","",COUNTIFS($A$3:$A$1002,"="&amp;SUBSTITUTE(SUBSTITUTE(SUBSTITUTE(A165,"~","~~"),"*","~*"),"?","~?"),$Q$3:$Q$1002,1)*10000-Y165)</f>
        <v/>
      </c>
    </row>
    <row r="166">
      <c r="A166">
        <f>IF(A$2=0,"",IFERROR(TRIM(INDEX('Pegar docentes'!$A$1:$BZ$1001,165,A$2)&amp;""),""))</f>
        <v/>
      </c>
      <c r="B166">
        <f>IF(B$2=0,"",IFERROR(TRIM(INDEX('Pegar docentes'!$A$1:$BZ$1001,165,B$2)&amp;""),""))</f>
        <v/>
      </c>
      <c r="C166">
        <f>IF(C$2=0,"",IFERROR(TRIM(INDEX('Pegar docentes'!$A$1:$BZ$1001,165,C$2)&amp;""),""))</f>
        <v/>
      </c>
      <c r="D166">
        <f>IF(D$2=0,"",IFERROR(TRIM(INDEX('Pegar docentes'!$A$1:$BZ$1001,165,D$2)&amp;""),""))</f>
        <v/>
      </c>
      <c r="E166">
        <f>IF(E$2=0,"",IFERROR(TRIM(INDEX('Pegar docentes'!$A$1:$BZ$1001,165,E$2)&amp;""),""))</f>
        <v/>
      </c>
      <c r="F166">
        <f>IF(F$2=0,"",IFERROR(TRIM(INDEX('Pegar docentes'!$A$1:$BZ$1001,165,F$2)&amp;""),""))</f>
        <v/>
      </c>
      <c r="G166">
        <f>IF(G$2=0,"",IFERROR(TRIM(INDEX('Pegar docentes'!$A$1:$BZ$1001,165,G$2)&amp;""),""))</f>
        <v/>
      </c>
      <c r="H166">
        <f>IF(H$2=0,"",IFERROR(TRIM(INDEX('Pegar docentes'!$A$1:$BZ$1001,165,H$2)&amp;""),""))</f>
        <v/>
      </c>
      <c r="I166">
        <f>IF(I$2=0,"",IFERROR(TRIM(INDEX('Pegar docentes'!$A$1:$BZ$1001,165,I$2)&amp;""),""))</f>
        <v/>
      </c>
      <c r="J166">
        <f>IF(J$2=0,"",IFERROR(TRIM(INDEX('Pegar docentes'!$A$1:$BZ$1001,165,J$2)&amp;""),""))</f>
        <v/>
      </c>
      <c r="K166">
        <f>IF(K$2=0,"",IFERROR(TRIM(INDEX('Pegar docentes'!$A$1:$BZ$1001,165,K$2)&amp;""),""))</f>
        <v/>
      </c>
      <c r="L166">
        <f>IF(L$2=0,"",IFERROR(TRIM(INDEX('Pegar docentes'!$A$1:$BZ$1001,165,L$2)&amp;""),""))</f>
        <v/>
      </c>
      <c r="M166">
        <f>IF(M$2=0,"",IFERROR(TRIM(INDEX('Pegar docentes'!$A$1:$BZ$1001,165,M$2)&amp;""),""))</f>
        <v/>
      </c>
      <c r="N166">
        <f>IF(N$2=0,"",IFERROR(TRIM(INDEX('Pegar docentes'!$A$1:$BZ$1001,165,N$2)&amp;""),""))</f>
        <v/>
      </c>
      <c r="O166">
        <f>IF(O$2=0,"",IFERROR(TRIM(INDEX('Pegar docentes'!$A$1:$BZ$1001,165,O$2)&amp;""),""))</f>
        <v/>
      </c>
      <c r="P166">
        <f>IF(P$2=0,"",IFERROR(TRIM(INDEX('Pegar docentes'!$A$1:$BZ$1001,165,P$2)&amp;""),""))</f>
        <v/>
      </c>
      <c r="Q166" s="25">
        <f>IF(OR(D166&lt;&gt;"",H166&lt;&gt;""),1,"")</f>
        <v/>
      </c>
      <c r="R166" s="25">
        <f>IF(Q166=1,IF(ISNUMBER(FIND("#"&amp;MID(D166,1,1)&amp;"#","#0#1#2#3#4#5#6#7#8#9#")),IF(ISNUMBER(FIND("#"&amp;MID(D166,2,1)&amp;"#","#0#1#2#3#4#5#6#7#8#9#")),IF(AND(VALUE(LEFT(D166,2))&gt;=1,VALUE(LEFT(D166,2))&lt;=5),VALUE(LEFT(D166,2)),""),IF(AND(VALUE(LEFT(D166,1))&gt;=1,VALUE(LEFT(D166,1))&lt;=5),VALUE(LEFT(D166,1)),"")),""),"")</f>
        <v/>
      </c>
      <c r="S166" s="25">
        <f>IF(AND(Q166=1,E166&lt;&gt;""),SUBSTITUTE(SUBSTITUTE(SUBSTITUTE(SUBSTITUTE(SUBSTITUTE(SUBSTITUTE(SUBSTITUTE(SUBSTITUTE(SUBSTITUTE(SUBSTITUTE(SUBSTITUTE(SUBSTITUTE(LOWER(TRIM(E166)),"á","a"),"é","e"),"í","i"),"ó","o"),"ú","u"),"ü","u"),"ñ","n"),"à","a"),"è","e"),"ì","i"),"ò","o"),"ù","u"),"")</f>
        <v/>
      </c>
      <c r="T166" s="25">
        <f>IF(AND(Q166=1,G166&lt;&gt;""),SUBSTITUTE(SUBSTITUTE(SUBSTITUTE(SUBSTITUTE(SUBSTITUTE(SUBSTITUTE(SUBSTITUTE(SUBSTITUTE(SUBSTITUTE(SUBSTITUTE(SUBSTITUTE(SUBSTITUTE(LOWER(TRIM(G166)),"á","a"),"é","e"),"í","i"),"ó","o"),"ú","u"),"ü","u"),"ñ","n"),"à","a"),"è","e"),"ì","i"),"ò","o"),"ù","u"),"")</f>
        <v/>
      </c>
      <c r="U166" s="25">
        <f>IF(AND(Q166=1,H166&lt;&gt;""),SUBSTITUTE(SUBSTITUTE(SUBSTITUTE(SUBSTITUTE(SUBSTITUTE(SUBSTITUTE(SUBSTITUTE(SUBSTITUTE(SUBSTITUTE(SUBSTITUTE(SUBSTITUTE(SUBSTITUTE(LOWER(TRIM(H166)),"á","a"),"é","e"),"í","i"),"ó","o"),"ú","u"),"ü","u"),"ñ","n"),"à","a"),"è","e"),"ì","i"),"ò","o"),"ù","u"),"")</f>
        <v/>
      </c>
      <c r="V166" s="25">
        <f>IF(AND(Q166=1,L166&lt;&gt;""),SUBSTITUTE(SUBSTITUTE(SUBSTITUTE(SUBSTITUTE(SUBSTITUTE(SUBSTITUTE(SUBSTITUTE(SUBSTITUTE(SUBSTITUTE(SUBSTITUTE(SUBSTITUTE(SUBSTITUTE(LOWER(TRIM(L166)),"á","a"),"é","e"),"í","i"),"ó","o"),"ú","u"),"ü","u"),"ñ","n"),"à","a"),"è","e"),"ì","i"),"ò","o"),"ù","u"),"")</f>
        <v/>
      </c>
      <c r="W166" s="25">
        <f>IF(AND(Q166=1,I166&lt;&gt;""),SUBSTITUTE(SUBSTITUTE(SUBSTITUTE(SUBSTITUTE(SUBSTITUTE(SUBSTITUTE(SUBSTITUTE(SUBSTITUTE(SUBSTITUTE(SUBSTITUTE(SUBSTITUTE(SUBSTITUTE(LOWER(TRIM(I166)),"á","a"),"é","e"),"í","i"),"ó","o"),"ú","u"),"ü","u"),"ñ","n"),"à","a"),"è","e"),"ì","i"),"ò","o"),"ù","u"),"")</f>
        <v/>
      </c>
      <c r="X166" s="25">
        <f>IF(U166="","",IF(OR(U166="si, en la proxima tarea",U166="si, con cambios"),1,0))</f>
        <v/>
      </c>
      <c r="Y166" s="25">
        <f>IF(AND(Q166=1,A166&lt;&gt;""),IF(IFERROR(COUNTIFS(A$3:A166,"="&amp;SUBSTITUTE(SUBSTITUTE(SUBSTITUTE(A166,"~","~~"),"*","~*"),"?","~?"),Q$3:Q166,1),0)=1,MAX(Y$2:Y165)+1,""),"")</f>
        <v/>
      </c>
      <c r="Z166" s="25">
        <f>IF(Y166="","",COUNTIFS($A$3:$A$1002,"="&amp;SUBSTITUTE(SUBSTITUTE(SUBSTITUTE(A166,"~","~~"),"*","~*"),"?","~?"),$Q$3:$Q$1002,1)*10000-Y166)</f>
        <v/>
      </c>
    </row>
    <row r="167">
      <c r="A167">
        <f>IF(A$2=0,"",IFERROR(TRIM(INDEX('Pegar docentes'!$A$1:$BZ$1001,166,A$2)&amp;""),""))</f>
        <v/>
      </c>
      <c r="B167">
        <f>IF(B$2=0,"",IFERROR(TRIM(INDEX('Pegar docentes'!$A$1:$BZ$1001,166,B$2)&amp;""),""))</f>
        <v/>
      </c>
      <c r="C167">
        <f>IF(C$2=0,"",IFERROR(TRIM(INDEX('Pegar docentes'!$A$1:$BZ$1001,166,C$2)&amp;""),""))</f>
        <v/>
      </c>
      <c r="D167">
        <f>IF(D$2=0,"",IFERROR(TRIM(INDEX('Pegar docentes'!$A$1:$BZ$1001,166,D$2)&amp;""),""))</f>
        <v/>
      </c>
      <c r="E167">
        <f>IF(E$2=0,"",IFERROR(TRIM(INDEX('Pegar docentes'!$A$1:$BZ$1001,166,E$2)&amp;""),""))</f>
        <v/>
      </c>
      <c r="F167">
        <f>IF(F$2=0,"",IFERROR(TRIM(INDEX('Pegar docentes'!$A$1:$BZ$1001,166,F$2)&amp;""),""))</f>
        <v/>
      </c>
      <c r="G167">
        <f>IF(G$2=0,"",IFERROR(TRIM(INDEX('Pegar docentes'!$A$1:$BZ$1001,166,G$2)&amp;""),""))</f>
        <v/>
      </c>
      <c r="H167">
        <f>IF(H$2=0,"",IFERROR(TRIM(INDEX('Pegar docentes'!$A$1:$BZ$1001,166,H$2)&amp;""),""))</f>
        <v/>
      </c>
      <c r="I167">
        <f>IF(I$2=0,"",IFERROR(TRIM(INDEX('Pegar docentes'!$A$1:$BZ$1001,166,I$2)&amp;""),""))</f>
        <v/>
      </c>
      <c r="J167">
        <f>IF(J$2=0,"",IFERROR(TRIM(INDEX('Pegar docentes'!$A$1:$BZ$1001,166,J$2)&amp;""),""))</f>
        <v/>
      </c>
      <c r="K167">
        <f>IF(K$2=0,"",IFERROR(TRIM(INDEX('Pegar docentes'!$A$1:$BZ$1001,166,K$2)&amp;""),""))</f>
        <v/>
      </c>
      <c r="L167">
        <f>IF(L$2=0,"",IFERROR(TRIM(INDEX('Pegar docentes'!$A$1:$BZ$1001,166,L$2)&amp;""),""))</f>
        <v/>
      </c>
      <c r="M167">
        <f>IF(M$2=0,"",IFERROR(TRIM(INDEX('Pegar docentes'!$A$1:$BZ$1001,166,M$2)&amp;""),""))</f>
        <v/>
      </c>
      <c r="N167">
        <f>IF(N$2=0,"",IFERROR(TRIM(INDEX('Pegar docentes'!$A$1:$BZ$1001,166,N$2)&amp;""),""))</f>
        <v/>
      </c>
      <c r="O167">
        <f>IF(O$2=0,"",IFERROR(TRIM(INDEX('Pegar docentes'!$A$1:$BZ$1001,166,O$2)&amp;""),""))</f>
        <v/>
      </c>
      <c r="P167">
        <f>IF(P$2=0,"",IFERROR(TRIM(INDEX('Pegar docentes'!$A$1:$BZ$1001,166,P$2)&amp;""),""))</f>
        <v/>
      </c>
      <c r="Q167" s="25">
        <f>IF(OR(D167&lt;&gt;"",H167&lt;&gt;""),1,"")</f>
        <v/>
      </c>
      <c r="R167" s="25">
        <f>IF(Q167=1,IF(ISNUMBER(FIND("#"&amp;MID(D167,1,1)&amp;"#","#0#1#2#3#4#5#6#7#8#9#")),IF(ISNUMBER(FIND("#"&amp;MID(D167,2,1)&amp;"#","#0#1#2#3#4#5#6#7#8#9#")),IF(AND(VALUE(LEFT(D167,2))&gt;=1,VALUE(LEFT(D167,2))&lt;=5),VALUE(LEFT(D167,2)),""),IF(AND(VALUE(LEFT(D167,1))&gt;=1,VALUE(LEFT(D167,1))&lt;=5),VALUE(LEFT(D167,1)),"")),""),"")</f>
        <v/>
      </c>
      <c r="S167" s="25">
        <f>IF(AND(Q167=1,E167&lt;&gt;""),SUBSTITUTE(SUBSTITUTE(SUBSTITUTE(SUBSTITUTE(SUBSTITUTE(SUBSTITUTE(SUBSTITUTE(SUBSTITUTE(SUBSTITUTE(SUBSTITUTE(SUBSTITUTE(SUBSTITUTE(LOWER(TRIM(E167)),"á","a"),"é","e"),"í","i"),"ó","o"),"ú","u"),"ü","u"),"ñ","n"),"à","a"),"è","e"),"ì","i"),"ò","o"),"ù","u"),"")</f>
        <v/>
      </c>
      <c r="T167" s="25">
        <f>IF(AND(Q167=1,G167&lt;&gt;""),SUBSTITUTE(SUBSTITUTE(SUBSTITUTE(SUBSTITUTE(SUBSTITUTE(SUBSTITUTE(SUBSTITUTE(SUBSTITUTE(SUBSTITUTE(SUBSTITUTE(SUBSTITUTE(SUBSTITUTE(LOWER(TRIM(G167)),"á","a"),"é","e"),"í","i"),"ó","o"),"ú","u"),"ü","u"),"ñ","n"),"à","a"),"è","e"),"ì","i"),"ò","o"),"ù","u"),"")</f>
        <v/>
      </c>
      <c r="U167" s="25">
        <f>IF(AND(Q167=1,H167&lt;&gt;""),SUBSTITUTE(SUBSTITUTE(SUBSTITUTE(SUBSTITUTE(SUBSTITUTE(SUBSTITUTE(SUBSTITUTE(SUBSTITUTE(SUBSTITUTE(SUBSTITUTE(SUBSTITUTE(SUBSTITUTE(LOWER(TRIM(H167)),"á","a"),"é","e"),"í","i"),"ó","o"),"ú","u"),"ü","u"),"ñ","n"),"à","a"),"è","e"),"ì","i"),"ò","o"),"ù","u"),"")</f>
        <v/>
      </c>
      <c r="V167" s="25">
        <f>IF(AND(Q167=1,L167&lt;&gt;""),SUBSTITUTE(SUBSTITUTE(SUBSTITUTE(SUBSTITUTE(SUBSTITUTE(SUBSTITUTE(SUBSTITUTE(SUBSTITUTE(SUBSTITUTE(SUBSTITUTE(SUBSTITUTE(SUBSTITUTE(LOWER(TRIM(L167)),"á","a"),"é","e"),"í","i"),"ó","o"),"ú","u"),"ü","u"),"ñ","n"),"à","a"),"è","e"),"ì","i"),"ò","o"),"ù","u"),"")</f>
        <v/>
      </c>
      <c r="W167" s="25">
        <f>IF(AND(Q167=1,I167&lt;&gt;""),SUBSTITUTE(SUBSTITUTE(SUBSTITUTE(SUBSTITUTE(SUBSTITUTE(SUBSTITUTE(SUBSTITUTE(SUBSTITUTE(SUBSTITUTE(SUBSTITUTE(SUBSTITUTE(SUBSTITUTE(LOWER(TRIM(I167)),"á","a"),"é","e"),"í","i"),"ó","o"),"ú","u"),"ü","u"),"ñ","n"),"à","a"),"è","e"),"ì","i"),"ò","o"),"ù","u"),"")</f>
        <v/>
      </c>
      <c r="X167" s="25">
        <f>IF(U167="","",IF(OR(U167="si, en la proxima tarea",U167="si, con cambios"),1,0))</f>
        <v/>
      </c>
      <c r="Y167" s="25">
        <f>IF(AND(Q167=1,A167&lt;&gt;""),IF(IFERROR(COUNTIFS(A$3:A167,"="&amp;SUBSTITUTE(SUBSTITUTE(SUBSTITUTE(A167,"~","~~"),"*","~*"),"?","~?"),Q$3:Q167,1),0)=1,MAX(Y$2:Y166)+1,""),"")</f>
        <v/>
      </c>
      <c r="Z167" s="25">
        <f>IF(Y167="","",COUNTIFS($A$3:$A$1002,"="&amp;SUBSTITUTE(SUBSTITUTE(SUBSTITUTE(A167,"~","~~"),"*","~*"),"?","~?"),$Q$3:$Q$1002,1)*10000-Y167)</f>
        <v/>
      </c>
    </row>
    <row r="168">
      <c r="A168">
        <f>IF(A$2=0,"",IFERROR(TRIM(INDEX('Pegar docentes'!$A$1:$BZ$1001,167,A$2)&amp;""),""))</f>
        <v/>
      </c>
      <c r="B168">
        <f>IF(B$2=0,"",IFERROR(TRIM(INDEX('Pegar docentes'!$A$1:$BZ$1001,167,B$2)&amp;""),""))</f>
        <v/>
      </c>
      <c r="C168">
        <f>IF(C$2=0,"",IFERROR(TRIM(INDEX('Pegar docentes'!$A$1:$BZ$1001,167,C$2)&amp;""),""))</f>
        <v/>
      </c>
      <c r="D168">
        <f>IF(D$2=0,"",IFERROR(TRIM(INDEX('Pegar docentes'!$A$1:$BZ$1001,167,D$2)&amp;""),""))</f>
        <v/>
      </c>
      <c r="E168">
        <f>IF(E$2=0,"",IFERROR(TRIM(INDEX('Pegar docentes'!$A$1:$BZ$1001,167,E$2)&amp;""),""))</f>
        <v/>
      </c>
      <c r="F168">
        <f>IF(F$2=0,"",IFERROR(TRIM(INDEX('Pegar docentes'!$A$1:$BZ$1001,167,F$2)&amp;""),""))</f>
        <v/>
      </c>
      <c r="G168">
        <f>IF(G$2=0,"",IFERROR(TRIM(INDEX('Pegar docentes'!$A$1:$BZ$1001,167,G$2)&amp;""),""))</f>
        <v/>
      </c>
      <c r="H168">
        <f>IF(H$2=0,"",IFERROR(TRIM(INDEX('Pegar docentes'!$A$1:$BZ$1001,167,H$2)&amp;""),""))</f>
        <v/>
      </c>
      <c r="I168">
        <f>IF(I$2=0,"",IFERROR(TRIM(INDEX('Pegar docentes'!$A$1:$BZ$1001,167,I$2)&amp;""),""))</f>
        <v/>
      </c>
      <c r="J168">
        <f>IF(J$2=0,"",IFERROR(TRIM(INDEX('Pegar docentes'!$A$1:$BZ$1001,167,J$2)&amp;""),""))</f>
        <v/>
      </c>
      <c r="K168">
        <f>IF(K$2=0,"",IFERROR(TRIM(INDEX('Pegar docentes'!$A$1:$BZ$1001,167,K$2)&amp;""),""))</f>
        <v/>
      </c>
      <c r="L168">
        <f>IF(L$2=0,"",IFERROR(TRIM(INDEX('Pegar docentes'!$A$1:$BZ$1001,167,L$2)&amp;""),""))</f>
        <v/>
      </c>
      <c r="M168">
        <f>IF(M$2=0,"",IFERROR(TRIM(INDEX('Pegar docentes'!$A$1:$BZ$1001,167,M$2)&amp;""),""))</f>
        <v/>
      </c>
      <c r="N168">
        <f>IF(N$2=0,"",IFERROR(TRIM(INDEX('Pegar docentes'!$A$1:$BZ$1001,167,N$2)&amp;""),""))</f>
        <v/>
      </c>
      <c r="O168">
        <f>IF(O$2=0,"",IFERROR(TRIM(INDEX('Pegar docentes'!$A$1:$BZ$1001,167,O$2)&amp;""),""))</f>
        <v/>
      </c>
      <c r="P168">
        <f>IF(P$2=0,"",IFERROR(TRIM(INDEX('Pegar docentes'!$A$1:$BZ$1001,167,P$2)&amp;""),""))</f>
        <v/>
      </c>
      <c r="Q168" s="25">
        <f>IF(OR(D168&lt;&gt;"",H168&lt;&gt;""),1,"")</f>
        <v/>
      </c>
      <c r="R168" s="25">
        <f>IF(Q168=1,IF(ISNUMBER(FIND("#"&amp;MID(D168,1,1)&amp;"#","#0#1#2#3#4#5#6#7#8#9#")),IF(ISNUMBER(FIND("#"&amp;MID(D168,2,1)&amp;"#","#0#1#2#3#4#5#6#7#8#9#")),IF(AND(VALUE(LEFT(D168,2))&gt;=1,VALUE(LEFT(D168,2))&lt;=5),VALUE(LEFT(D168,2)),""),IF(AND(VALUE(LEFT(D168,1))&gt;=1,VALUE(LEFT(D168,1))&lt;=5),VALUE(LEFT(D168,1)),"")),""),"")</f>
        <v/>
      </c>
      <c r="S168" s="25">
        <f>IF(AND(Q168=1,E168&lt;&gt;""),SUBSTITUTE(SUBSTITUTE(SUBSTITUTE(SUBSTITUTE(SUBSTITUTE(SUBSTITUTE(SUBSTITUTE(SUBSTITUTE(SUBSTITUTE(SUBSTITUTE(SUBSTITUTE(SUBSTITUTE(LOWER(TRIM(E168)),"á","a"),"é","e"),"í","i"),"ó","o"),"ú","u"),"ü","u"),"ñ","n"),"à","a"),"è","e"),"ì","i"),"ò","o"),"ù","u"),"")</f>
        <v/>
      </c>
      <c r="T168" s="25">
        <f>IF(AND(Q168=1,G168&lt;&gt;""),SUBSTITUTE(SUBSTITUTE(SUBSTITUTE(SUBSTITUTE(SUBSTITUTE(SUBSTITUTE(SUBSTITUTE(SUBSTITUTE(SUBSTITUTE(SUBSTITUTE(SUBSTITUTE(SUBSTITUTE(LOWER(TRIM(G168)),"á","a"),"é","e"),"í","i"),"ó","o"),"ú","u"),"ü","u"),"ñ","n"),"à","a"),"è","e"),"ì","i"),"ò","o"),"ù","u"),"")</f>
        <v/>
      </c>
      <c r="U168" s="25">
        <f>IF(AND(Q168=1,H168&lt;&gt;""),SUBSTITUTE(SUBSTITUTE(SUBSTITUTE(SUBSTITUTE(SUBSTITUTE(SUBSTITUTE(SUBSTITUTE(SUBSTITUTE(SUBSTITUTE(SUBSTITUTE(SUBSTITUTE(SUBSTITUTE(LOWER(TRIM(H168)),"á","a"),"é","e"),"í","i"),"ó","o"),"ú","u"),"ü","u"),"ñ","n"),"à","a"),"è","e"),"ì","i"),"ò","o"),"ù","u"),"")</f>
        <v/>
      </c>
      <c r="V168" s="25">
        <f>IF(AND(Q168=1,L168&lt;&gt;""),SUBSTITUTE(SUBSTITUTE(SUBSTITUTE(SUBSTITUTE(SUBSTITUTE(SUBSTITUTE(SUBSTITUTE(SUBSTITUTE(SUBSTITUTE(SUBSTITUTE(SUBSTITUTE(SUBSTITUTE(LOWER(TRIM(L168)),"á","a"),"é","e"),"í","i"),"ó","o"),"ú","u"),"ü","u"),"ñ","n"),"à","a"),"è","e"),"ì","i"),"ò","o"),"ù","u"),"")</f>
        <v/>
      </c>
      <c r="W168" s="25">
        <f>IF(AND(Q168=1,I168&lt;&gt;""),SUBSTITUTE(SUBSTITUTE(SUBSTITUTE(SUBSTITUTE(SUBSTITUTE(SUBSTITUTE(SUBSTITUTE(SUBSTITUTE(SUBSTITUTE(SUBSTITUTE(SUBSTITUTE(SUBSTITUTE(LOWER(TRIM(I168)),"á","a"),"é","e"),"í","i"),"ó","o"),"ú","u"),"ü","u"),"ñ","n"),"à","a"),"è","e"),"ì","i"),"ò","o"),"ù","u"),"")</f>
        <v/>
      </c>
      <c r="X168" s="25">
        <f>IF(U168="","",IF(OR(U168="si, en la proxima tarea",U168="si, con cambios"),1,0))</f>
        <v/>
      </c>
      <c r="Y168" s="25">
        <f>IF(AND(Q168=1,A168&lt;&gt;""),IF(IFERROR(COUNTIFS(A$3:A168,"="&amp;SUBSTITUTE(SUBSTITUTE(SUBSTITUTE(A168,"~","~~"),"*","~*"),"?","~?"),Q$3:Q168,1),0)=1,MAX(Y$2:Y167)+1,""),"")</f>
        <v/>
      </c>
      <c r="Z168" s="25">
        <f>IF(Y168="","",COUNTIFS($A$3:$A$1002,"="&amp;SUBSTITUTE(SUBSTITUTE(SUBSTITUTE(A168,"~","~~"),"*","~*"),"?","~?"),$Q$3:$Q$1002,1)*10000-Y168)</f>
        <v/>
      </c>
    </row>
    <row r="169">
      <c r="A169">
        <f>IF(A$2=0,"",IFERROR(TRIM(INDEX('Pegar docentes'!$A$1:$BZ$1001,168,A$2)&amp;""),""))</f>
        <v/>
      </c>
      <c r="B169">
        <f>IF(B$2=0,"",IFERROR(TRIM(INDEX('Pegar docentes'!$A$1:$BZ$1001,168,B$2)&amp;""),""))</f>
        <v/>
      </c>
      <c r="C169">
        <f>IF(C$2=0,"",IFERROR(TRIM(INDEX('Pegar docentes'!$A$1:$BZ$1001,168,C$2)&amp;""),""))</f>
        <v/>
      </c>
      <c r="D169">
        <f>IF(D$2=0,"",IFERROR(TRIM(INDEX('Pegar docentes'!$A$1:$BZ$1001,168,D$2)&amp;""),""))</f>
        <v/>
      </c>
      <c r="E169">
        <f>IF(E$2=0,"",IFERROR(TRIM(INDEX('Pegar docentes'!$A$1:$BZ$1001,168,E$2)&amp;""),""))</f>
        <v/>
      </c>
      <c r="F169">
        <f>IF(F$2=0,"",IFERROR(TRIM(INDEX('Pegar docentes'!$A$1:$BZ$1001,168,F$2)&amp;""),""))</f>
        <v/>
      </c>
      <c r="G169">
        <f>IF(G$2=0,"",IFERROR(TRIM(INDEX('Pegar docentes'!$A$1:$BZ$1001,168,G$2)&amp;""),""))</f>
        <v/>
      </c>
      <c r="H169">
        <f>IF(H$2=0,"",IFERROR(TRIM(INDEX('Pegar docentes'!$A$1:$BZ$1001,168,H$2)&amp;""),""))</f>
        <v/>
      </c>
      <c r="I169">
        <f>IF(I$2=0,"",IFERROR(TRIM(INDEX('Pegar docentes'!$A$1:$BZ$1001,168,I$2)&amp;""),""))</f>
        <v/>
      </c>
      <c r="J169">
        <f>IF(J$2=0,"",IFERROR(TRIM(INDEX('Pegar docentes'!$A$1:$BZ$1001,168,J$2)&amp;""),""))</f>
        <v/>
      </c>
      <c r="K169">
        <f>IF(K$2=0,"",IFERROR(TRIM(INDEX('Pegar docentes'!$A$1:$BZ$1001,168,K$2)&amp;""),""))</f>
        <v/>
      </c>
      <c r="L169">
        <f>IF(L$2=0,"",IFERROR(TRIM(INDEX('Pegar docentes'!$A$1:$BZ$1001,168,L$2)&amp;""),""))</f>
        <v/>
      </c>
      <c r="M169">
        <f>IF(M$2=0,"",IFERROR(TRIM(INDEX('Pegar docentes'!$A$1:$BZ$1001,168,M$2)&amp;""),""))</f>
        <v/>
      </c>
      <c r="N169">
        <f>IF(N$2=0,"",IFERROR(TRIM(INDEX('Pegar docentes'!$A$1:$BZ$1001,168,N$2)&amp;""),""))</f>
        <v/>
      </c>
      <c r="O169">
        <f>IF(O$2=0,"",IFERROR(TRIM(INDEX('Pegar docentes'!$A$1:$BZ$1001,168,O$2)&amp;""),""))</f>
        <v/>
      </c>
      <c r="P169">
        <f>IF(P$2=0,"",IFERROR(TRIM(INDEX('Pegar docentes'!$A$1:$BZ$1001,168,P$2)&amp;""),""))</f>
        <v/>
      </c>
      <c r="Q169" s="25">
        <f>IF(OR(D169&lt;&gt;"",H169&lt;&gt;""),1,"")</f>
        <v/>
      </c>
      <c r="R169" s="25">
        <f>IF(Q169=1,IF(ISNUMBER(FIND("#"&amp;MID(D169,1,1)&amp;"#","#0#1#2#3#4#5#6#7#8#9#")),IF(ISNUMBER(FIND("#"&amp;MID(D169,2,1)&amp;"#","#0#1#2#3#4#5#6#7#8#9#")),IF(AND(VALUE(LEFT(D169,2))&gt;=1,VALUE(LEFT(D169,2))&lt;=5),VALUE(LEFT(D169,2)),""),IF(AND(VALUE(LEFT(D169,1))&gt;=1,VALUE(LEFT(D169,1))&lt;=5),VALUE(LEFT(D169,1)),"")),""),"")</f>
        <v/>
      </c>
      <c r="S169" s="25">
        <f>IF(AND(Q169=1,E169&lt;&gt;""),SUBSTITUTE(SUBSTITUTE(SUBSTITUTE(SUBSTITUTE(SUBSTITUTE(SUBSTITUTE(SUBSTITUTE(SUBSTITUTE(SUBSTITUTE(SUBSTITUTE(SUBSTITUTE(SUBSTITUTE(LOWER(TRIM(E169)),"á","a"),"é","e"),"í","i"),"ó","o"),"ú","u"),"ü","u"),"ñ","n"),"à","a"),"è","e"),"ì","i"),"ò","o"),"ù","u"),"")</f>
        <v/>
      </c>
      <c r="T169" s="25">
        <f>IF(AND(Q169=1,G169&lt;&gt;""),SUBSTITUTE(SUBSTITUTE(SUBSTITUTE(SUBSTITUTE(SUBSTITUTE(SUBSTITUTE(SUBSTITUTE(SUBSTITUTE(SUBSTITUTE(SUBSTITUTE(SUBSTITUTE(SUBSTITUTE(LOWER(TRIM(G169)),"á","a"),"é","e"),"í","i"),"ó","o"),"ú","u"),"ü","u"),"ñ","n"),"à","a"),"è","e"),"ì","i"),"ò","o"),"ù","u"),"")</f>
        <v/>
      </c>
      <c r="U169" s="25">
        <f>IF(AND(Q169=1,H169&lt;&gt;""),SUBSTITUTE(SUBSTITUTE(SUBSTITUTE(SUBSTITUTE(SUBSTITUTE(SUBSTITUTE(SUBSTITUTE(SUBSTITUTE(SUBSTITUTE(SUBSTITUTE(SUBSTITUTE(SUBSTITUTE(LOWER(TRIM(H169)),"á","a"),"é","e"),"í","i"),"ó","o"),"ú","u"),"ü","u"),"ñ","n"),"à","a"),"è","e"),"ì","i"),"ò","o"),"ù","u"),"")</f>
        <v/>
      </c>
      <c r="V169" s="25">
        <f>IF(AND(Q169=1,L169&lt;&gt;""),SUBSTITUTE(SUBSTITUTE(SUBSTITUTE(SUBSTITUTE(SUBSTITUTE(SUBSTITUTE(SUBSTITUTE(SUBSTITUTE(SUBSTITUTE(SUBSTITUTE(SUBSTITUTE(SUBSTITUTE(LOWER(TRIM(L169)),"á","a"),"é","e"),"í","i"),"ó","o"),"ú","u"),"ü","u"),"ñ","n"),"à","a"),"è","e"),"ì","i"),"ò","o"),"ù","u"),"")</f>
        <v/>
      </c>
      <c r="W169" s="25">
        <f>IF(AND(Q169=1,I169&lt;&gt;""),SUBSTITUTE(SUBSTITUTE(SUBSTITUTE(SUBSTITUTE(SUBSTITUTE(SUBSTITUTE(SUBSTITUTE(SUBSTITUTE(SUBSTITUTE(SUBSTITUTE(SUBSTITUTE(SUBSTITUTE(LOWER(TRIM(I169)),"á","a"),"é","e"),"í","i"),"ó","o"),"ú","u"),"ü","u"),"ñ","n"),"à","a"),"è","e"),"ì","i"),"ò","o"),"ù","u"),"")</f>
        <v/>
      </c>
      <c r="X169" s="25">
        <f>IF(U169="","",IF(OR(U169="si, en la proxima tarea",U169="si, con cambios"),1,0))</f>
        <v/>
      </c>
      <c r="Y169" s="25">
        <f>IF(AND(Q169=1,A169&lt;&gt;""),IF(IFERROR(COUNTIFS(A$3:A169,"="&amp;SUBSTITUTE(SUBSTITUTE(SUBSTITUTE(A169,"~","~~"),"*","~*"),"?","~?"),Q$3:Q169,1),0)=1,MAX(Y$2:Y168)+1,""),"")</f>
        <v/>
      </c>
      <c r="Z169" s="25">
        <f>IF(Y169="","",COUNTIFS($A$3:$A$1002,"="&amp;SUBSTITUTE(SUBSTITUTE(SUBSTITUTE(A169,"~","~~"),"*","~*"),"?","~?"),$Q$3:$Q$1002,1)*10000-Y169)</f>
        <v/>
      </c>
    </row>
    <row r="170">
      <c r="A170">
        <f>IF(A$2=0,"",IFERROR(TRIM(INDEX('Pegar docentes'!$A$1:$BZ$1001,169,A$2)&amp;""),""))</f>
        <v/>
      </c>
      <c r="B170">
        <f>IF(B$2=0,"",IFERROR(TRIM(INDEX('Pegar docentes'!$A$1:$BZ$1001,169,B$2)&amp;""),""))</f>
        <v/>
      </c>
      <c r="C170">
        <f>IF(C$2=0,"",IFERROR(TRIM(INDEX('Pegar docentes'!$A$1:$BZ$1001,169,C$2)&amp;""),""))</f>
        <v/>
      </c>
      <c r="D170">
        <f>IF(D$2=0,"",IFERROR(TRIM(INDEX('Pegar docentes'!$A$1:$BZ$1001,169,D$2)&amp;""),""))</f>
        <v/>
      </c>
      <c r="E170">
        <f>IF(E$2=0,"",IFERROR(TRIM(INDEX('Pegar docentes'!$A$1:$BZ$1001,169,E$2)&amp;""),""))</f>
        <v/>
      </c>
      <c r="F170">
        <f>IF(F$2=0,"",IFERROR(TRIM(INDEX('Pegar docentes'!$A$1:$BZ$1001,169,F$2)&amp;""),""))</f>
        <v/>
      </c>
      <c r="G170">
        <f>IF(G$2=0,"",IFERROR(TRIM(INDEX('Pegar docentes'!$A$1:$BZ$1001,169,G$2)&amp;""),""))</f>
        <v/>
      </c>
      <c r="H170">
        <f>IF(H$2=0,"",IFERROR(TRIM(INDEX('Pegar docentes'!$A$1:$BZ$1001,169,H$2)&amp;""),""))</f>
        <v/>
      </c>
      <c r="I170">
        <f>IF(I$2=0,"",IFERROR(TRIM(INDEX('Pegar docentes'!$A$1:$BZ$1001,169,I$2)&amp;""),""))</f>
        <v/>
      </c>
      <c r="J170">
        <f>IF(J$2=0,"",IFERROR(TRIM(INDEX('Pegar docentes'!$A$1:$BZ$1001,169,J$2)&amp;""),""))</f>
        <v/>
      </c>
      <c r="K170">
        <f>IF(K$2=0,"",IFERROR(TRIM(INDEX('Pegar docentes'!$A$1:$BZ$1001,169,K$2)&amp;""),""))</f>
        <v/>
      </c>
      <c r="L170">
        <f>IF(L$2=0,"",IFERROR(TRIM(INDEX('Pegar docentes'!$A$1:$BZ$1001,169,L$2)&amp;""),""))</f>
        <v/>
      </c>
      <c r="M170">
        <f>IF(M$2=0,"",IFERROR(TRIM(INDEX('Pegar docentes'!$A$1:$BZ$1001,169,M$2)&amp;""),""))</f>
        <v/>
      </c>
      <c r="N170">
        <f>IF(N$2=0,"",IFERROR(TRIM(INDEX('Pegar docentes'!$A$1:$BZ$1001,169,N$2)&amp;""),""))</f>
        <v/>
      </c>
      <c r="O170">
        <f>IF(O$2=0,"",IFERROR(TRIM(INDEX('Pegar docentes'!$A$1:$BZ$1001,169,O$2)&amp;""),""))</f>
        <v/>
      </c>
      <c r="P170">
        <f>IF(P$2=0,"",IFERROR(TRIM(INDEX('Pegar docentes'!$A$1:$BZ$1001,169,P$2)&amp;""),""))</f>
        <v/>
      </c>
      <c r="Q170" s="25">
        <f>IF(OR(D170&lt;&gt;"",H170&lt;&gt;""),1,"")</f>
        <v/>
      </c>
      <c r="R170" s="25">
        <f>IF(Q170=1,IF(ISNUMBER(FIND("#"&amp;MID(D170,1,1)&amp;"#","#0#1#2#3#4#5#6#7#8#9#")),IF(ISNUMBER(FIND("#"&amp;MID(D170,2,1)&amp;"#","#0#1#2#3#4#5#6#7#8#9#")),IF(AND(VALUE(LEFT(D170,2))&gt;=1,VALUE(LEFT(D170,2))&lt;=5),VALUE(LEFT(D170,2)),""),IF(AND(VALUE(LEFT(D170,1))&gt;=1,VALUE(LEFT(D170,1))&lt;=5),VALUE(LEFT(D170,1)),"")),""),"")</f>
        <v/>
      </c>
      <c r="S170" s="25">
        <f>IF(AND(Q170=1,E170&lt;&gt;""),SUBSTITUTE(SUBSTITUTE(SUBSTITUTE(SUBSTITUTE(SUBSTITUTE(SUBSTITUTE(SUBSTITUTE(SUBSTITUTE(SUBSTITUTE(SUBSTITUTE(SUBSTITUTE(SUBSTITUTE(LOWER(TRIM(E170)),"á","a"),"é","e"),"í","i"),"ó","o"),"ú","u"),"ü","u"),"ñ","n"),"à","a"),"è","e"),"ì","i"),"ò","o"),"ù","u"),"")</f>
        <v/>
      </c>
      <c r="T170" s="25">
        <f>IF(AND(Q170=1,G170&lt;&gt;""),SUBSTITUTE(SUBSTITUTE(SUBSTITUTE(SUBSTITUTE(SUBSTITUTE(SUBSTITUTE(SUBSTITUTE(SUBSTITUTE(SUBSTITUTE(SUBSTITUTE(SUBSTITUTE(SUBSTITUTE(LOWER(TRIM(G170)),"á","a"),"é","e"),"í","i"),"ó","o"),"ú","u"),"ü","u"),"ñ","n"),"à","a"),"è","e"),"ì","i"),"ò","o"),"ù","u"),"")</f>
        <v/>
      </c>
      <c r="U170" s="25">
        <f>IF(AND(Q170=1,H170&lt;&gt;""),SUBSTITUTE(SUBSTITUTE(SUBSTITUTE(SUBSTITUTE(SUBSTITUTE(SUBSTITUTE(SUBSTITUTE(SUBSTITUTE(SUBSTITUTE(SUBSTITUTE(SUBSTITUTE(SUBSTITUTE(LOWER(TRIM(H170)),"á","a"),"é","e"),"í","i"),"ó","o"),"ú","u"),"ü","u"),"ñ","n"),"à","a"),"è","e"),"ì","i"),"ò","o"),"ù","u"),"")</f>
        <v/>
      </c>
      <c r="V170" s="25">
        <f>IF(AND(Q170=1,L170&lt;&gt;""),SUBSTITUTE(SUBSTITUTE(SUBSTITUTE(SUBSTITUTE(SUBSTITUTE(SUBSTITUTE(SUBSTITUTE(SUBSTITUTE(SUBSTITUTE(SUBSTITUTE(SUBSTITUTE(SUBSTITUTE(LOWER(TRIM(L170)),"á","a"),"é","e"),"í","i"),"ó","o"),"ú","u"),"ü","u"),"ñ","n"),"à","a"),"è","e"),"ì","i"),"ò","o"),"ù","u"),"")</f>
        <v/>
      </c>
      <c r="W170" s="25">
        <f>IF(AND(Q170=1,I170&lt;&gt;""),SUBSTITUTE(SUBSTITUTE(SUBSTITUTE(SUBSTITUTE(SUBSTITUTE(SUBSTITUTE(SUBSTITUTE(SUBSTITUTE(SUBSTITUTE(SUBSTITUTE(SUBSTITUTE(SUBSTITUTE(LOWER(TRIM(I170)),"á","a"),"é","e"),"í","i"),"ó","o"),"ú","u"),"ü","u"),"ñ","n"),"à","a"),"è","e"),"ì","i"),"ò","o"),"ù","u"),"")</f>
        <v/>
      </c>
      <c r="X170" s="25">
        <f>IF(U170="","",IF(OR(U170="si, en la proxima tarea",U170="si, con cambios"),1,0))</f>
        <v/>
      </c>
      <c r="Y170" s="25">
        <f>IF(AND(Q170=1,A170&lt;&gt;""),IF(IFERROR(COUNTIFS(A$3:A170,"="&amp;SUBSTITUTE(SUBSTITUTE(SUBSTITUTE(A170,"~","~~"),"*","~*"),"?","~?"),Q$3:Q170,1),0)=1,MAX(Y$2:Y169)+1,""),"")</f>
        <v/>
      </c>
      <c r="Z170" s="25">
        <f>IF(Y170="","",COUNTIFS($A$3:$A$1002,"="&amp;SUBSTITUTE(SUBSTITUTE(SUBSTITUTE(A170,"~","~~"),"*","~*"),"?","~?"),$Q$3:$Q$1002,1)*10000-Y170)</f>
        <v/>
      </c>
    </row>
    <row r="171">
      <c r="A171">
        <f>IF(A$2=0,"",IFERROR(TRIM(INDEX('Pegar docentes'!$A$1:$BZ$1001,170,A$2)&amp;""),""))</f>
        <v/>
      </c>
      <c r="B171">
        <f>IF(B$2=0,"",IFERROR(TRIM(INDEX('Pegar docentes'!$A$1:$BZ$1001,170,B$2)&amp;""),""))</f>
        <v/>
      </c>
      <c r="C171">
        <f>IF(C$2=0,"",IFERROR(TRIM(INDEX('Pegar docentes'!$A$1:$BZ$1001,170,C$2)&amp;""),""))</f>
        <v/>
      </c>
      <c r="D171">
        <f>IF(D$2=0,"",IFERROR(TRIM(INDEX('Pegar docentes'!$A$1:$BZ$1001,170,D$2)&amp;""),""))</f>
        <v/>
      </c>
      <c r="E171">
        <f>IF(E$2=0,"",IFERROR(TRIM(INDEX('Pegar docentes'!$A$1:$BZ$1001,170,E$2)&amp;""),""))</f>
        <v/>
      </c>
      <c r="F171">
        <f>IF(F$2=0,"",IFERROR(TRIM(INDEX('Pegar docentes'!$A$1:$BZ$1001,170,F$2)&amp;""),""))</f>
        <v/>
      </c>
      <c r="G171">
        <f>IF(G$2=0,"",IFERROR(TRIM(INDEX('Pegar docentes'!$A$1:$BZ$1001,170,G$2)&amp;""),""))</f>
        <v/>
      </c>
      <c r="H171">
        <f>IF(H$2=0,"",IFERROR(TRIM(INDEX('Pegar docentes'!$A$1:$BZ$1001,170,H$2)&amp;""),""))</f>
        <v/>
      </c>
      <c r="I171">
        <f>IF(I$2=0,"",IFERROR(TRIM(INDEX('Pegar docentes'!$A$1:$BZ$1001,170,I$2)&amp;""),""))</f>
        <v/>
      </c>
      <c r="J171">
        <f>IF(J$2=0,"",IFERROR(TRIM(INDEX('Pegar docentes'!$A$1:$BZ$1001,170,J$2)&amp;""),""))</f>
        <v/>
      </c>
      <c r="K171">
        <f>IF(K$2=0,"",IFERROR(TRIM(INDEX('Pegar docentes'!$A$1:$BZ$1001,170,K$2)&amp;""),""))</f>
        <v/>
      </c>
      <c r="L171">
        <f>IF(L$2=0,"",IFERROR(TRIM(INDEX('Pegar docentes'!$A$1:$BZ$1001,170,L$2)&amp;""),""))</f>
        <v/>
      </c>
      <c r="M171">
        <f>IF(M$2=0,"",IFERROR(TRIM(INDEX('Pegar docentes'!$A$1:$BZ$1001,170,M$2)&amp;""),""))</f>
        <v/>
      </c>
      <c r="N171">
        <f>IF(N$2=0,"",IFERROR(TRIM(INDEX('Pegar docentes'!$A$1:$BZ$1001,170,N$2)&amp;""),""))</f>
        <v/>
      </c>
      <c r="O171">
        <f>IF(O$2=0,"",IFERROR(TRIM(INDEX('Pegar docentes'!$A$1:$BZ$1001,170,O$2)&amp;""),""))</f>
        <v/>
      </c>
      <c r="P171">
        <f>IF(P$2=0,"",IFERROR(TRIM(INDEX('Pegar docentes'!$A$1:$BZ$1001,170,P$2)&amp;""),""))</f>
        <v/>
      </c>
      <c r="Q171" s="25">
        <f>IF(OR(D171&lt;&gt;"",H171&lt;&gt;""),1,"")</f>
        <v/>
      </c>
      <c r="R171" s="25">
        <f>IF(Q171=1,IF(ISNUMBER(FIND("#"&amp;MID(D171,1,1)&amp;"#","#0#1#2#3#4#5#6#7#8#9#")),IF(ISNUMBER(FIND("#"&amp;MID(D171,2,1)&amp;"#","#0#1#2#3#4#5#6#7#8#9#")),IF(AND(VALUE(LEFT(D171,2))&gt;=1,VALUE(LEFT(D171,2))&lt;=5),VALUE(LEFT(D171,2)),""),IF(AND(VALUE(LEFT(D171,1))&gt;=1,VALUE(LEFT(D171,1))&lt;=5),VALUE(LEFT(D171,1)),"")),""),"")</f>
        <v/>
      </c>
      <c r="S171" s="25">
        <f>IF(AND(Q171=1,E171&lt;&gt;""),SUBSTITUTE(SUBSTITUTE(SUBSTITUTE(SUBSTITUTE(SUBSTITUTE(SUBSTITUTE(SUBSTITUTE(SUBSTITUTE(SUBSTITUTE(SUBSTITUTE(SUBSTITUTE(SUBSTITUTE(LOWER(TRIM(E171)),"á","a"),"é","e"),"í","i"),"ó","o"),"ú","u"),"ü","u"),"ñ","n"),"à","a"),"è","e"),"ì","i"),"ò","o"),"ù","u"),"")</f>
        <v/>
      </c>
      <c r="T171" s="25">
        <f>IF(AND(Q171=1,G171&lt;&gt;""),SUBSTITUTE(SUBSTITUTE(SUBSTITUTE(SUBSTITUTE(SUBSTITUTE(SUBSTITUTE(SUBSTITUTE(SUBSTITUTE(SUBSTITUTE(SUBSTITUTE(SUBSTITUTE(SUBSTITUTE(LOWER(TRIM(G171)),"á","a"),"é","e"),"í","i"),"ó","o"),"ú","u"),"ü","u"),"ñ","n"),"à","a"),"è","e"),"ì","i"),"ò","o"),"ù","u"),"")</f>
        <v/>
      </c>
      <c r="U171" s="25">
        <f>IF(AND(Q171=1,H171&lt;&gt;""),SUBSTITUTE(SUBSTITUTE(SUBSTITUTE(SUBSTITUTE(SUBSTITUTE(SUBSTITUTE(SUBSTITUTE(SUBSTITUTE(SUBSTITUTE(SUBSTITUTE(SUBSTITUTE(SUBSTITUTE(LOWER(TRIM(H171)),"á","a"),"é","e"),"í","i"),"ó","o"),"ú","u"),"ü","u"),"ñ","n"),"à","a"),"è","e"),"ì","i"),"ò","o"),"ù","u"),"")</f>
        <v/>
      </c>
      <c r="V171" s="25">
        <f>IF(AND(Q171=1,L171&lt;&gt;""),SUBSTITUTE(SUBSTITUTE(SUBSTITUTE(SUBSTITUTE(SUBSTITUTE(SUBSTITUTE(SUBSTITUTE(SUBSTITUTE(SUBSTITUTE(SUBSTITUTE(SUBSTITUTE(SUBSTITUTE(LOWER(TRIM(L171)),"á","a"),"é","e"),"í","i"),"ó","o"),"ú","u"),"ü","u"),"ñ","n"),"à","a"),"è","e"),"ì","i"),"ò","o"),"ù","u"),"")</f>
        <v/>
      </c>
      <c r="W171" s="25">
        <f>IF(AND(Q171=1,I171&lt;&gt;""),SUBSTITUTE(SUBSTITUTE(SUBSTITUTE(SUBSTITUTE(SUBSTITUTE(SUBSTITUTE(SUBSTITUTE(SUBSTITUTE(SUBSTITUTE(SUBSTITUTE(SUBSTITUTE(SUBSTITUTE(LOWER(TRIM(I171)),"á","a"),"é","e"),"í","i"),"ó","o"),"ú","u"),"ü","u"),"ñ","n"),"à","a"),"è","e"),"ì","i"),"ò","o"),"ù","u"),"")</f>
        <v/>
      </c>
      <c r="X171" s="25">
        <f>IF(U171="","",IF(OR(U171="si, en la proxima tarea",U171="si, con cambios"),1,0))</f>
        <v/>
      </c>
      <c r="Y171" s="25">
        <f>IF(AND(Q171=1,A171&lt;&gt;""),IF(IFERROR(COUNTIFS(A$3:A171,"="&amp;SUBSTITUTE(SUBSTITUTE(SUBSTITUTE(A171,"~","~~"),"*","~*"),"?","~?"),Q$3:Q171,1),0)=1,MAX(Y$2:Y170)+1,""),"")</f>
        <v/>
      </c>
      <c r="Z171" s="25">
        <f>IF(Y171="","",COUNTIFS($A$3:$A$1002,"="&amp;SUBSTITUTE(SUBSTITUTE(SUBSTITUTE(A171,"~","~~"),"*","~*"),"?","~?"),$Q$3:$Q$1002,1)*10000-Y171)</f>
        <v/>
      </c>
    </row>
    <row r="172">
      <c r="A172">
        <f>IF(A$2=0,"",IFERROR(TRIM(INDEX('Pegar docentes'!$A$1:$BZ$1001,171,A$2)&amp;""),""))</f>
        <v/>
      </c>
      <c r="B172">
        <f>IF(B$2=0,"",IFERROR(TRIM(INDEX('Pegar docentes'!$A$1:$BZ$1001,171,B$2)&amp;""),""))</f>
        <v/>
      </c>
      <c r="C172">
        <f>IF(C$2=0,"",IFERROR(TRIM(INDEX('Pegar docentes'!$A$1:$BZ$1001,171,C$2)&amp;""),""))</f>
        <v/>
      </c>
      <c r="D172">
        <f>IF(D$2=0,"",IFERROR(TRIM(INDEX('Pegar docentes'!$A$1:$BZ$1001,171,D$2)&amp;""),""))</f>
        <v/>
      </c>
      <c r="E172">
        <f>IF(E$2=0,"",IFERROR(TRIM(INDEX('Pegar docentes'!$A$1:$BZ$1001,171,E$2)&amp;""),""))</f>
        <v/>
      </c>
      <c r="F172">
        <f>IF(F$2=0,"",IFERROR(TRIM(INDEX('Pegar docentes'!$A$1:$BZ$1001,171,F$2)&amp;""),""))</f>
        <v/>
      </c>
      <c r="G172">
        <f>IF(G$2=0,"",IFERROR(TRIM(INDEX('Pegar docentes'!$A$1:$BZ$1001,171,G$2)&amp;""),""))</f>
        <v/>
      </c>
      <c r="H172">
        <f>IF(H$2=0,"",IFERROR(TRIM(INDEX('Pegar docentes'!$A$1:$BZ$1001,171,H$2)&amp;""),""))</f>
        <v/>
      </c>
      <c r="I172">
        <f>IF(I$2=0,"",IFERROR(TRIM(INDEX('Pegar docentes'!$A$1:$BZ$1001,171,I$2)&amp;""),""))</f>
        <v/>
      </c>
      <c r="J172">
        <f>IF(J$2=0,"",IFERROR(TRIM(INDEX('Pegar docentes'!$A$1:$BZ$1001,171,J$2)&amp;""),""))</f>
        <v/>
      </c>
      <c r="K172">
        <f>IF(K$2=0,"",IFERROR(TRIM(INDEX('Pegar docentes'!$A$1:$BZ$1001,171,K$2)&amp;""),""))</f>
        <v/>
      </c>
      <c r="L172">
        <f>IF(L$2=0,"",IFERROR(TRIM(INDEX('Pegar docentes'!$A$1:$BZ$1001,171,L$2)&amp;""),""))</f>
        <v/>
      </c>
      <c r="M172">
        <f>IF(M$2=0,"",IFERROR(TRIM(INDEX('Pegar docentes'!$A$1:$BZ$1001,171,M$2)&amp;""),""))</f>
        <v/>
      </c>
      <c r="N172">
        <f>IF(N$2=0,"",IFERROR(TRIM(INDEX('Pegar docentes'!$A$1:$BZ$1001,171,N$2)&amp;""),""))</f>
        <v/>
      </c>
      <c r="O172">
        <f>IF(O$2=0,"",IFERROR(TRIM(INDEX('Pegar docentes'!$A$1:$BZ$1001,171,O$2)&amp;""),""))</f>
        <v/>
      </c>
      <c r="P172">
        <f>IF(P$2=0,"",IFERROR(TRIM(INDEX('Pegar docentes'!$A$1:$BZ$1001,171,P$2)&amp;""),""))</f>
        <v/>
      </c>
      <c r="Q172" s="25">
        <f>IF(OR(D172&lt;&gt;"",H172&lt;&gt;""),1,"")</f>
        <v/>
      </c>
      <c r="R172" s="25">
        <f>IF(Q172=1,IF(ISNUMBER(FIND("#"&amp;MID(D172,1,1)&amp;"#","#0#1#2#3#4#5#6#7#8#9#")),IF(ISNUMBER(FIND("#"&amp;MID(D172,2,1)&amp;"#","#0#1#2#3#4#5#6#7#8#9#")),IF(AND(VALUE(LEFT(D172,2))&gt;=1,VALUE(LEFT(D172,2))&lt;=5),VALUE(LEFT(D172,2)),""),IF(AND(VALUE(LEFT(D172,1))&gt;=1,VALUE(LEFT(D172,1))&lt;=5),VALUE(LEFT(D172,1)),"")),""),"")</f>
        <v/>
      </c>
      <c r="S172" s="25">
        <f>IF(AND(Q172=1,E172&lt;&gt;""),SUBSTITUTE(SUBSTITUTE(SUBSTITUTE(SUBSTITUTE(SUBSTITUTE(SUBSTITUTE(SUBSTITUTE(SUBSTITUTE(SUBSTITUTE(SUBSTITUTE(SUBSTITUTE(SUBSTITUTE(LOWER(TRIM(E172)),"á","a"),"é","e"),"í","i"),"ó","o"),"ú","u"),"ü","u"),"ñ","n"),"à","a"),"è","e"),"ì","i"),"ò","o"),"ù","u"),"")</f>
        <v/>
      </c>
      <c r="T172" s="25">
        <f>IF(AND(Q172=1,G172&lt;&gt;""),SUBSTITUTE(SUBSTITUTE(SUBSTITUTE(SUBSTITUTE(SUBSTITUTE(SUBSTITUTE(SUBSTITUTE(SUBSTITUTE(SUBSTITUTE(SUBSTITUTE(SUBSTITUTE(SUBSTITUTE(LOWER(TRIM(G172)),"á","a"),"é","e"),"í","i"),"ó","o"),"ú","u"),"ü","u"),"ñ","n"),"à","a"),"è","e"),"ì","i"),"ò","o"),"ù","u"),"")</f>
        <v/>
      </c>
      <c r="U172" s="25">
        <f>IF(AND(Q172=1,H172&lt;&gt;""),SUBSTITUTE(SUBSTITUTE(SUBSTITUTE(SUBSTITUTE(SUBSTITUTE(SUBSTITUTE(SUBSTITUTE(SUBSTITUTE(SUBSTITUTE(SUBSTITUTE(SUBSTITUTE(SUBSTITUTE(LOWER(TRIM(H172)),"á","a"),"é","e"),"í","i"),"ó","o"),"ú","u"),"ü","u"),"ñ","n"),"à","a"),"è","e"),"ì","i"),"ò","o"),"ù","u"),"")</f>
        <v/>
      </c>
      <c r="V172" s="25">
        <f>IF(AND(Q172=1,L172&lt;&gt;""),SUBSTITUTE(SUBSTITUTE(SUBSTITUTE(SUBSTITUTE(SUBSTITUTE(SUBSTITUTE(SUBSTITUTE(SUBSTITUTE(SUBSTITUTE(SUBSTITUTE(SUBSTITUTE(SUBSTITUTE(LOWER(TRIM(L172)),"á","a"),"é","e"),"í","i"),"ó","o"),"ú","u"),"ü","u"),"ñ","n"),"à","a"),"è","e"),"ì","i"),"ò","o"),"ù","u"),"")</f>
        <v/>
      </c>
      <c r="W172" s="25">
        <f>IF(AND(Q172=1,I172&lt;&gt;""),SUBSTITUTE(SUBSTITUTE(SUBSTITUTE(SUBSTITUTE(SUBSTITUTE(SUBSTITUTE(SUBSTITUTE(SUBSTITUTE(SUBSTITUTE(SUBSTITUTE(SUBSTITUTE(SUBSTITUTE(LOWER(TRIM(I172)),"á","a"),"é","e"),"í","i"),"ó","o"),"ú","u"),"ü","u"),"ñ","n"),"à","a"),"è","e"),"ì","i"),"ò","o"),"ù","u"),"")</f>
        <v/>
      </c>
      <c r="X172" s="25">
        <f>IF(U172="","",IF(OR(U172="si, en la proxima tarea",U172="si, con cambios"),1,0))</f>
        <v/>
      </c>
      <c r="Y172" s="25">
        <f>IF(AND(Q172=1,A172&lt;&gt;""),IF(IFERROR(COUNTIFS(A$3:A172,"="&amp;SUBSTITUTE(SUBSTITUTE(SUBSTITUTE(A172,"~","~~"),"*","~*"),"?","~?"),Q$3:Q172,1),0)=1,MAX(Y$2:Y171)+1,""),"")</f>
        <v/>
      </c>
      <c r="Z172" s="25">
        <f>IF(Y172="","",COUNTIFS($A$3:$A$1002,"="&amp;SUBSTITUTE(SUBSTITUTE(SUBSTITUTE(A172,"~","~~"),"*","~*"),"?","~?"),$Q$3:$Q$1002,1)*10000-Y172)</f>
        <v/>
      </c>
    </row>
    <row r="173">
      <c r="A173">
        <f>IF(A$2=0,"",IFERROR(TRIM(INDEX('Pegar docentes'!$A$1:$BZ$1001,172,A$2)&amp;""),""))</f>
        <v/>
      </c>
      <c r="B173">
        <f>IF(B$2=0,"",IFERROR(TRIM(INDEX('Pegar docentes'!$A$1:$BZ$1001,172,B$2)&amp;""),""))</f>
        <v/>
      </c>
      <c r="C173">
        <f>IF(C$2=0,"",IFERROR(TRIM(INDEX('Pegar docentes'!$A$1:$BZ$1001,172,C$2)&amp;""),""))</f>
        <v/>
      </c>
      <c r="D173">
        <f>IF(D$2=0,"",IFERROR(TRIM(INDEX('Pegar docentes'!$A$1:$BZ$1001,172,D$2)&amp;""),""))</f>
        <v/>
      </c>
      <c r="E173">
        <f>IF(E$2=0,"",IFERROR(TRIM(INDEX('Pegar docentes'!$A$1:$BZ$1001,172,E$2)&amp;""),""))</f>
        <v/>
      </c>
      <c r="F173">
        <f>IF(F$2=0,"",IFERROR(TRIM(INDEX('Pegar docentes'!$A$1:$BZ$1001,172,F$2)&amp;""),""))</f>
        <v/>
      </c>
      <c r="G173">
        <f>IF(G$2=0,"",IFERROR(TRIM(INDEX('Pegar docentes'!$A$1:$BZ$1001,172,G$2)&amp;""),""))</f>
        <v/>
      </c>
      <c r="H173">
        <f>IF(H$2=0,"",IFERROR(TRIM(INDEX('Pegar docentes'!$A$1:$BZ$1001,172,H$2)&amp;""),""))</f>
        <v/>
      </c>
      <c r="I173">
        <f>IF(I$2=0,"",IFERROR(TRIM(INDEX('Pegar docentes'!$A$1:$BZ$1001,172,I$2)&amp;""),""))</f>
        <v/>
      </c>
      <c r="J173">
        <f>IF(J$2=0,"",IFERROR(TRIM(INDEX('Pegar docentes'!$A$1:$BZ$1001,172,J$2)&amp;""),""))</f>
        <v/>
      </c>
      <c r="K173">
        <f>IF(K$2=0,"",IFERROR(TRIM(INDEX('Pegar docentes'!$A$1:$BZ$1001,172,K$2)&amp;""),""))</f>
        <v/>
      </c>
      <c r="L173">
        <f>IF(L$2=0,"",IFERROR(TRIM(INDEX('Pegar docentes'!$A$1:$BZ$1001,172,L$2)&amp;""),""))</f>
        <v/>
      </c>
      <c r="M173">
        <f>IF(M$2=0,"",IFERROR(TRIM(INDEX('Pegar docentes'!$A$1:$BZ$1001,172,M$2)&amp;""),""))</f>
        <v/>
      </c>
      <c r="N173">
        <f>IF(N$2=0,"",IFERROR(TRIM(INDEX('Pegar docentes'!$A$1:$BZ$1001,172,N$2)&amp;""),""))</f>
        <v/>
      </c>
      <c r="O173">
        <f>IF(O$2=0,"",IFERROR(TRIM(INDEX('Pegar docentes'!$A$1:$BZ$1001,172,O$2)&amp;""),""))</f>
        <v/>
      </c>
      <c r="P173">
        <f>IF(P$2=0,"",IFERROR(TRIM(INDEX('Pegar docentes'!$A$1:$BZ$1001,172,P$2)&amp;""),""))</f>
        <v/>
      </c>
      <c r="Q173" s="25">
        <f>IF(OR(D173&lt;&gt;"",H173&lt;&gt;""),1,"")</f>
        <v/>
      </c>
      <c r="R173" s="25">
        <f>IF(Q173=1,IF(ISNUMBER(FIND("#"&amp;MID(D173,1,1)&amp;"#","#0#1#2#3#4#5#6#7#8#9#")),IF(ISNUMBER(FIND("#"&amp;MID(D173,2,1)&amp;"#","#0#1#2#3#4#5#6#7#8#9#")),IF(AND(VALUE(LEFT(D173,2))&gt;=1,VALUE(LEFT(D173,2))&lt;=5),VALUE(LEFT(D173,2)),""),IF(AND(VALUE(LEFT(D173,1))&gt;=1,VALUE(LEFT(D173,1))&lt;=5),VALUE(LEFT(D173,1)),"")),""),"")</f>
        <v/>
      </c>
      <c r="S173" s="25">
        <f>IF(AND(Q173=1,E173&lt;&gt;""),SUBSTITUTE(SUBSTITUTE(SUBSTITUTE(SUBSTITUTE(SUBSTITUTE(SUBSTITUTE(SUBSTITUTE(SUBSTITUTE(SUBSTITUTE(SUBSTITUTE(SUBSTITUTE(SUBSTITUTE(LOWER(TRIM(E173)),"á","a"),"é","e"),"í","i"),"ó","o"),"ú","u"),"ü","u"),"ñ","n"),"à","a"),"è","e"),"ì","i"),"ò","o"),"ù","u"),"")</f>
        <v/>
      </c>
      <c r="T173" s="25">
        <f>IF(AND(Q173=1,G173&lt;&gt;""),SUBSTITUTE(SUBSTITUTE(SUBSTITUTE(SUBSTITUTE(SUBSTITUTE(SUBSTITUTE(SUBSTITUTE(SUBSTITUTE(SUBSTITUTE(SUBSTITUTE(SUBSTITUTE(SUBSTITUTE(LOWER(TRIM(G173)),"á","a"),"é","e"),"í","i"),"ó","o"),"ú","u"),"ü","u"),"ñ","n"),"à","a"),"è","e"),"ì","i"),"ò","o"),"ù","u"),"")</f>
        <v/>
      </c>
      <c r="U173" s="25">
        <f>IF(AND(Q173=1,H173&lt;&gt;""),SUBSTITUTE(SUBSTITUTE(SUBSTITUTE(SUBSTITUTE(SUBSTITUTE(SUBSTITUTE(SUBSTITUTE(SUBSTITUTE(SUBSTITUTE(SUBSTITUTE(SUBSTITUTE(SUBSTITUTE(LOWER(TRIM(H173)),"á","a"),"é","e"),"í","i"),"ó","o"),"ú","u"),"ü","u"),"ñ","n"),"à","a"),"è","e"),"ì","i"),"ò","o"),"ù","u"),"")</f>
        <v/>
      </c>
      <c r="V173" s="25">
        <f>IF(AND(Q173=1,L173&lt;&gt;""),SUBSTITUTE(SUBSTITUTE(SUBSTITUTE(SUBSTITUTE(SUBSTITUTE(SUBSTITUTE(SUBSTITUTE(SUBSTITUTE(SUBSTITUTE(SUBSTITUTE(SUBSTITUTE(SUBSTITUTE(LOWER(TRIM(L173)),"á","a"),"é","e"),"í","i"),"ó","o"),"ú","u"),"ü","u"),"ñ","n"),"à","a"),"è","e"),"ì","i"),"ò","o"),"ù","u"),"")</f>
        <v/>
      </c>
      <c r="W173" s="25">
        <f>IF(AND(Q173=1,I173&lt;&gt;""),SUBSTITUTE(SUBSTITUTE(SUBSTITUTE(SUBSTITUTE(SUBSTITUTE(SUBSTITUTE(SUBSTITUTE(SUBSTITUTE(SUBSTITUTE(SUBSTITUTE(SUBSTITUTE(SUBSTITUTE(LOWER(TRIM(I173)),"á","a"),"é","e"),"í","i"),"ó","o"),"ú","u"),"ü","u"),"ñ","n"),"à","a"),"è","e"),"ì","i"),"ò","o"),"ù","u"),"")</f>
        <v/>
      </c>
      <c r="X173" s="25">
        <f>IF(U173="","",IF(OR(U173="si, en la proxima tarea",U173="si, con cambios"),1,0))</f>
        <v/>
      </c>
      <c r="Y173" s="25">
        <f>IF(AND(Q173=1,A173&lt;&gt;""),IF(IFERROR(COUNTIFS(A$3:A173,"="&amp;SUBSTITUTE(SUBSTITUTE(SUBSTITUTE(A173,"~","~~"),"*","~*"),"?","~?"),Q$3:Q173,1),0)=1,MAX(Y$2:Y172)+1,""),"")</f>
        <v/>
      </c>
      <c r="Z173" s="25">
        <f>IF(Y173="","",COUNTIFS($A$3:$A$1002,"="&amp;SUBSTITUTE(SUBSTITUTE(SUBSTITUTE(A173,"~","~~"),"*","~*"),"?","~?"),$Q$3:$Q$1002,1)*10000-Y173)</f>
        <v/>
      </c>
    </row>
    <row r="174">
      <c r="A174">
        <f>IF(A$2=0,"",IFERROR(TRIM(INDEX('Pegar docentes'!$A$1:$BZ$1001,173,A$2)&amp;""),""))</f>
        <v/>
      </c>
      <c r="B174">
        <f>IF(B$2=0,"",IFERROR(TRIM(INDEX('Pegar docentes'!$A$1:$BZ$1001,173,B$2)&amp;""),""))</f>
        <v/>
      </c>
      <c r="C174">
        <f>IF(C$2=0,"",IFERROR(TRIM(INDEX('Pegar docentes'!$A$1:$BZ$1001,173,C$2)&amp;""),""))</f>
        <v/>
      </c>
      <c r="D174">
        <f>IF(D$2=0,"",IFERROR(TRIM(INDEX('Pegar docentes'!$A$1:$BZ$1001,173,D$2)&amp;""),""))</f>
        <v/>
      </c>
      <c r="E174">
        <f>IF(E$2=0,"",IFERROR(TRIM(INDEX('Pegar docentes'!$A$1:$BZ$1001,173,E$2)&amp;""),""))</f>
        <v/>
      </c>
      <c r="F174">
        <f>IF(F$2=0,"",IFERROR(TRIM(INDEX('Pegar docentes'!$A$1:$BZ$1001,173,F$2)&amp;""),""))</f>
        <v/>
      </c>
      <c r="G174">
        <f>IF(G$2=0,"",IFERROR(TRIM(INDEX('Pegar docentes'!$A$1:$BZ$1001,173,G$2)&amp;""),""))</f>
        <v/>
      </c>
      <c r="H174">
        <f>IF(H$2=0,"",IFERROR(TRIM(INDEX('Pegar docentes'!$A$1:$BZ$1001,173,H$2)&amp;""),""))</f>
        <v/>
      </c>
      <c r="I174">
        <f>IF(I$2=0,"",IFERROR(TRIM(INDEX('Pegar docentes'!$A$1:$BZ$1001,173,I$2)&amp;""),""))</f>
        <v/>
      </c>
      <c r="J174">
        <f>IF(J$2=0,"",IFERROR(TRIM(INDEX('Pegar docentes'!$A$1:$BZ$1001,173,J$2)&amp;""),""))</f>
        <v/>
      </c>
      <c r="K174">
        <f>IF(K$2=0,"",IFERROR(TRIM(INDEX('Pegar docentes'!$A$1:$BZ$1001,173,K$2)&amp;""),""))</f>
        <v/>
      </c>
      <c r="L174">
        <f>IF(L$2=0,"",IFERROR(TRIM(INDEX('Pegar docentes'!$A$1:$BZ$1001,173,L$2)&amp;""),""))</f>
        <v/>
      </c>
      <c r="M174">
        <f>IF(M$2=0,"",IFERROR(TRIM(INDEX('Pegar docentes'!$A$1:$BZ$1001,173,M$2)&amp;""),""))</f>
        <v/>
      </c>
      <c r="N174">
        <f>IF(N$2=0,"",IFERROR(TRIM(INDEX('Pegar docentes'!$A$1:$BZ$1001,173,N$2)&amp;""),""))</f>
        <v/>
      </c>
      <c r="O174">
        <f>IF(O$2=0,"",IFERROR(TRIM(INDEX('Pegar docentes'!$A$1:$BZ$1001,173,O$2)&amp;""),""))</f>
        <v/>
      </c>
      <c r="P174">
        <f>IF(P$2=0,"",IFERROR(TRIM(INDEX('Pegar docentes'!$A$1:$BZ$1001,173,P$2)&amp;""),""))</f>
        <v/>
      </c>
      <c r="Q174" s="25">
        <f>IF(OR(D174&lt;&gt;"",H174&lt;&gt;""),1,"")</f>
        <v/>
      </c>
      <c r="R174" s="25">
        <f>IF(Q174=1,IF(ISNUMBER(FIND("#"&amp;MID(D174,1,1)&amp;"#","#0#1#2#3#4#5#6#7#8#9#")),IF(ISNUMBER(FIND("#"&amp;MID(D174,2,1)&amp;"#","#0#1#2#3#4#5#6#7#8#9#")),IF(AND(VALUE(LEFT(D174,2))&gt;=1,VALUE(LEFT(D174,2))&lt;=5),VALUE(LEFT(D174,2)),""),IF(AND(VALUE(LEFT(D174,1))&gt;=1,VALUE(LEFT(D174,1))&lt;=5),VALUE(LEFT(D174,1)),"")),""),"")</f>
        <v/>
      </c>
      <c r="S174" s="25">
        <f>IF(AND(Q174=1,E174&lt;&gt;""),SUBSTITUTE(SUBSTITUTE(SUBSTITUTE(SUBSTITUTE(SUBSTITUTE(SUBSTITUTE(SUBSTITUTE(SUBSTITUTE(SUBSTITUTE(SUBSTITUTE(SUBSTITUTE(SUBSTITUTE(LOWER(TRIM(E174)),"á","a"),"é","e"),"í","i"),"ó","o"),"ú","u"),"ü","u"),"ñ","n"),"à","a"),"è","e"),"ì","i"),"ò","o"),"ù","u"),"")</f>
        <v/>
      </c>
      <c r="T174" s="25">
        <f>IF(AND(Q174=1,G174&lt;&gt;""),SUBSTITUTE(SUBSTITUTE(SUBSTITUTE(SUBSTITUTE(SUBSTITUTE(SUBSTITUTE(SUBSTITUTE(SUBSTITUTE(SUBSTITUTE(SUBSTITUTE(SUBSTITUTE(SUBSTITUTE(LOWER(TRIM(G174)),"á","a"),"é","e"),"í","i"),"ó","o"),"ú","u"),"ü","u"),"ñ","n"),"à","a"),"è","e"),"ì","i"),"ò","o"),"ù","u"),"")</f>
        <v/>
      </c>
      <c r="U174" s="25">
        <f>IF(AND(Q174=1,H174&lt;&gt;""),SUBSTITUTE(SUBSTITUTE(SUBSTITUTE(SUBSTITUTE(SUBSTITUTE(SUBSTITUTE(SUBSTITUTE(SUBSTITUTE(SUBSTITUTE(SUBSTITUTE(SUBSTITUTE(SUBSTITUTE(LOWER(TRIM(H174)),"á","a"),"é","e"),"í","i"),"ó","o"),"ú","u"),"ü","u"),"ñ","n"),"à","a"),"è","e"),"ì","i"),"ò","o"),"ù","u"),"")</f>
        <v/>
      </c>
      <c r="V174" s="25">
        <f>IF(AND(Q174=1,L174&lt;&gt;""),SUBSTITUTE(SUBSTITUTE(SUBSTITUTE(SUBSTITUTE(SUBSTITUTE(SUBSTITUTE(SUBSTITUTE(SUBSTITUTE(SUBSTITUTE(SUBSTITUTE(SUBSTITUTE(SUBSTITUTE(LOWER(TRIM(L174)),"á","a"),"é","e"),"í","i"),"ó","o"),"ú","u"),"ü","u"),"ñ","n"),"à","a"),"è","e"),"ì","i"),"ò","o"),"ù","u"),"")</f>
        <v/>
      </c>
      <c r="W174" s="25">
        <f>IF(AND(Q174=1,I174&lt;&gt;""),SUBSTITUTE(SUBSTITUTE(SUBSTITUTE(SUBSTITUTE(SUBSTITUTE(SUBSTITUTE(SUBSTITUTE(SUBSTITUTE(SUBSTITUTE(SUBSTITUTE(SUBSTITUTE(SUBSTITUTE(LOWER(TRIM(I174)),"á","a"),"é","e"),"í","i"),"ó","o"),"ú","u"),"ü","u"),"ñ","n"),"à","a"),"è","e"),"ì","i"),"ò","o"),"ù","u"),"")</f>
        <v/>
      </c>
      <c r="X174" s="25">
        <f>IF(U174="","",IF(OR(U174="si, en la proxima tarea",U174="si, con cambios"),1,0))</f>
        <v/>
      </c>
      <c r="Y174" s="25">
        <f>IF(AND(Q174=1,A174&lt;&gt;""),IF(IFERROR(COUNTIFS(A$3:A174,"="&amp;SUBSTITUTE(SUBSTITUTE(SUBSTITUTE(A174,"~","~~"),"*","~*"),"?","~?"),Q$3:Q174,1),0)=1,MAX(Y$2:Y173)+1,""),"")</f>
        <v/>
      </c>
      <c r="Z174" s="25">
        <f>IF(Y174="","",COUNTIFS($A$3:$A$1002,"="&amp;SUBSTITUTE(SUBSTITUTE(SUBSTITUTE(A174,"~","~~"),"*","~*"),"?","~?"),$Q$3:$Q$1002,1)*10000-Y174)</f>
        <v/>
      </c>
    </row>
    <row r="175">
      <c r="A175">
        <f>IF(A$2=0,"",IFERROR(TRIM(INDEX('Pegar docentes'!$A$1:$BZ$1001,174,A$2)&amp;""),""))</f>
        <v/>
      </c>
      <c r="B175">
        <f>IF(B$2=0,"",IFERROR(TRIM(INDEX('Pegar docentes'!$A$1:$BZ$1001,174,B$2)&amp;""),""))</f>
        <v/>
      </c>
      <c r="C175">
        <f>IF(C$2=0,"",IFERROR(TRIM(INDEX('Pegar docentes'!$A$1:$BZ$1001,174,C$2)&amp;""),""))</f>
        <v/>
      </c>
      <c r="D175">
        <f>IF(D$2=0,"",IFERROR(TRIM(INDEX('Pegar docentes'!$A$1:$BZ$1001,174,D$2)&amp;""),""))</f>
        <v/>
      </c>
      <c r="E175">
        <f>IF(E$2=0,"",IFERROR(TRIM(INDEX('Pegar docentes'!$A$1:$BZ$1001,174,E$2)&amp;""),""))</f>
        <v/>
      </c>
      <c r="F175">
        <f>IF(F$2=0,"",IFERROR(TRIM(INDEX('Pegar docentes'!$A$1:$BZ$1001,174,F$2)&amp;""),""))</f>
        <v/>
      </c>
      <c r="G175">
        <f>IF(G$2=0,"",IFERROR(TRIM(INDEX('Pegar docentes'!$A$1:$BZ$1001,174,G$2)&amp;""),""))</f>
        <v/>
      </c>
      <c r="H175">
        <f>IF(H$2=0,"",IFERROR(TRIM(INDEX('Pegar docentes'!$A$1:$BZ$1001,174,H$2)&amp;""),""))</f>
        <v/>
      </c>
      <c r="I175">
        <f>IF(I$2=0,"",IFERROR(TRIM(INDEX('Pegar docentes'!$A$1:$BZ$1001,174,I$2)&amp;""),""))</f>
        <v/>
      </c>
      <c r="J175">
        <f>IF(J$2=0,"",IFERROR(TRIM(INDEX('Pegar docentes'!$A$1:$BZ$1001,174,J$2)&amp;""),""))</f>
        <v/>
      </c>
      <c r="K175">
        <f>IF(K$2=0,"",IFERROR(TRIM(INDEX('Pegar docentes'!$A$1:$BZ$1001,174,K$2)&amp;""),""))</f>
        <v/>
      </c>
      <c r="L175">
        <f>IF(L$2=0,"",IFERROR(TRIM(INDEX('Pegar docentes'!$A$1:$BZ$1001,174,L$2)&amp;""),""))</f>
        <v/>
      </c>
      <c r="M175">
        <f>IF(M$2=0,"",IFERROR(TRIM(INDEX('Pegar docentes'!$A$1:$BZ$1001,174,M$2)&amp;""),""))</f>
        <v/>
      </c>
      <c r="N175">
        <f>IF(N$2=0,"",IFERROR(TRIM(INDEX('Pegar docentes'!$A$1:$BZ$1001,174,N$2)&amp;""),""))</f>
        <v/>
      </c>
      <c r="O175">
        <f>IF(O$2=0,"",IFERROR(TRIM(INDEX('Pegar docentes'!$A$1:$BZ$1001,174,O$2)&amp;""),""))</f>
        <v/>
      </c>
      <c r="P175">
        <f>IF(P$2=0,"",IFERROR(TRIM(INDEX('Pegar docentes'!$A$1:$BZ$1001,174,P$2)&amp;""),""))</f>
        <v/>
      </c>
      <c r="Q175" s="25">
        <f>IF(OR(D175&lt;&gt;"",H175&lt;&gt;""),1,"")</f>
        <v/>
      </c>
      <c r="R175" s="25">
        <f>IF(Q175=1,IF(ISNUMBER(FIND("#"&amp;MID(D175,1,1)&amp;"#","#0#1#2#3#4#5#6#7#8#9#")),IF(ISNUMBER(FIND("#"&amp;MID(D175,2,1)&amp;"#","#0#1#2#3#4#5#6#7#8#9#")),IF(AND(VALUE(LEFT(D175,2))&gt;=1,VALUE(LEFT(D175,2))&lt;=5),VALUE(LEFT(D175,2)),""),IF(AND(VALUE(LEFT(D175,1))&gt;=1,VALUE(LEFT(D175,1))&lt;=5),VALUE(LEFT(D175,1)),"")),""),"")</f>
        <v/>
      </c>
      <c r="S175" s="25">
        <f>IF(AND(Q175=1,E175&lt;&gt;""),SUBSTITUTE(SUBSTITUTE(SUBSTITUTE(SUBSTITUTE(SUBSTITUTE(SUBSTITUTE(SUBSTITUTE(SUBSTITUTE(SUBSTITUTE(SUBSTITUTE(SUBSTITUTE(SUBSTITUTE(LOWER(TRIM(E175)),"á","a"),"é","e"),"í","i"),"ó","o"),"ú","u"),"ü","u"),"ñ","n"),"à","a"),"è","e"),"ì","i"),"ò","o"),"ù","u"),"")</f>
        <v/>
      </c>
      <c r="T175" s="25">
        <f>IF(AND(Q175=1,G175&lt;&gt;""),SUBSTITUTE(SUBSTITUTE(SUBSTITUTE(SUBSTITUTE(SUBSTITUTE(SUBSTITUTE(SUBSTITUTE(SUBSTITUTE(SUBSTITUTE(SUBSTITUTE(SUBSTITUTE(SUBSTITUTE(LOWER(TRIM(G175)),"á","a"),"é","e"),"í","i"),"ó","o"),"ú","u"),"ü","u"),"ñ","n"),"à","a"),"è","e"),"ì","i"),"ò","o"),"ù","u"),"")</f>
        <v/>
      </c>
      <c r="U175" s="25">
        <f>IF(AND(Q175=1,H175&lt;&gt;""),SUBSTITUTE(SUBSTITUTE(SUBSTITUTE(SUBSTITUTE(SUBSTITUTE(SUBSTITUTE(SUBSTITUTE(SUBSTITUTE(SUBSTITUTE(SUBSTITUTE(SUBSTITUTE(SUBSTITUTE(LOWER(TRIM(H175)),"á","a"),"é","e"),"í","i"),"ó","o"),"ú","u"),"ü","u"),"ñ","n"),"à","a"),"è","e"),"ì","i"),"ò","o"),"ù","u"),"")</f>
        <v/>
      </c>
      <c r="V175" s="25">
        <f>IF(AND(Q175=1,L175&lt;&gt;""),SUBSTITUTE(SUBSTITUTE(SUBSTITUTE(SUBSTITUTE(SUBSTITUTE(SUBSTITUTE(SUBSTITUTE(SUBSTITUTE(SUBSTITUTE(SUBSTITUTE(SUBSTITUTE(SUBSTITUTE(LOWER(TRIM(L175)),"á","a"),"é","e"),"í","i"),"ó","o"),"ú","u"),"ü","u"),"ñ","n"),"à","a"),"è","e"),"ì","i"),"ò","o"),"ù","u"),"")</f>
        <v/>
      </c>
      <c r="W175" s="25">
        <f>IF(AND(Q175=1,I175&lt;&gt;""),SUBSTITUTE(SUBSTITUTE(SUBSTITUTE(SUBSTITUTE(SUBSTITUTE(SUBSTITUTE(SUBSTITUTE(SUBSTITUTE(SUBSTITUTE(SUBSTITUTE(SUBSTITUTE(SUBSTITUTE(LOWER(TRIM(I175)),"á","a"),"é","e"),"í","i"),"ó","o"),"ú","u"),"ü","u"),"ñ","n"),"à","a"),"è","e"),"ì","i"),"ò","o"),"ù","u"),"")</f>
        <v/>
      </c>
      <c r="X175" s="25">
        <f>IF(U175="","",IF(OR(U175="si, en la proxima tarea",U175="si, con cambios"),1,0))</f>
        <v/>
      </c>
      <c r="Y175" s="25">
        <f>IF(AND(Q175=1,A175&lt;&gt;""),IF(IFERROR(COUNTIFS(A$3:A175,"="&amp;SUBSTITUTE(SUBSTITUTE(SUBSTITUTE(A175,"~","~~"),"*","~*"),"?","~?"),Q$3:Q175,1),0)=1,MAX(Y$2:Y174)+1,""),"")</f>
        <v/>
      </c>
      <c r="Z175" s="25">
        <f>IF(Y175="","",COUNTIFS($A$3:$A$1002,"="&amp;SUBSTITUTE(SUBSTITUTE(SUBSTITUTE(A175,"~","~~"),"*","~*"),"?","~?"),$Q$3:$Q$1002,1)*10000-Y175)</f>
        <v/>
      </c>
    </row>
    <row r="176">
      <c r="A176">
        <f>IF(A$2=0,"",IFERROR(TRIM(INDEX('Pegar docentes'!$A$1:$BZ$1001,175,A$2)&amp;""),""))</f>
        <v/>
      </c>
      <c r="B176">
        <f>IF(B$2=0,"",IFERROR(TRIM(INDEX('Pegar docentes'!$A$1:$BZ$1001,175,B$2)&amp;""),""))</f>
        <v/>
      </c>
      <c r="C176">
        <f>IF(C$2=0,"",IFERROR(TRIM(INDEX('Pegar docentes'!$A$1:$BZ$1001,175,C$2)&amp;""),""))</f>
        <v/>
      </c>
      <c r="D176">
        <f>IF(D$2=0,"",IFERROR(TRIM(INDEX('Pegar docentes'!$A$1:$BZ$1001,175,D$2)&amp;""),""))</f>
        <v/>
      </c>
      <c r="E176">
        <f>IF(E$2=0,"",IFERROR(TRIM(INDEX('Pegar docentes'!$A$1:$BZ$1001,175,E$2)&amp;""),""))</f>
        <v/>
      </c>
      <c r="F176">
        <f>IF(F$2=0,"",IFERROR(TRIM(INDEX('Pegar docentes'!$A$1:$BZ$1001,175,F$2)&amp;""),""))</f>
        <v/>
      </c>
      <c r="G176">
        <f>IF(G$2=0,"",IFERROR(TRIM(INDEX('Pegar docentes'!$A$1:$BZ$1001,175,G$2)&amp;""),""))</f>
        <v/>
      </c>
      <c r="H176">
        <f>IF(H$2=0,"",IFERROR(TRIM(INDEX('Pegar docentes'!$A$1:$BZ$1001,175,H$2)&amp;""),""))</f>
        <v/>
      </c>
      <c r="I176">
        <f>IF(I$2=0,"",IFERROR(TRIM(INDEX('Pegar docentes'!$A$1:$BZ$1001,175,I$2)&amp;""),""))</f>
        <v/>
      </c>
      <c r="J176">
        <f>IF(J$2=0,"",IFERROR(TRIM(INDEX('Pegar docentes'!$A$1:$BZ$1001,175,J$2)&amp;""),""))</f>
        <v/>
      </c>
      <c r="K176">
        <f>IF(K$2=0,"",IFERROR(TRIM(INDEX('Pegar docentes'!$A$1:$BZ$1001,175,K$2)&amp;""),""))</f>
        <v/>
      </c>
      <c r="L176">
        <f>IF(L$2=0,"",IFERROR(TRIM(INDEX('Pegar docentes'!$A$1:$BZ$1001,175,L$2)&amp;""),""))</f>
        <v/>
      </c>
      <c r="M176">
        <f>IF(M$2=0,"",IFERROR(TRIM(INDEX('Pegar docentes'!$A$1:$BZ$1001,175,M$2)&amp;""),""))</f>
        <v/>
      </c>
      <c r="N176">
        <f>IF(N$2=0,"",IFERROR(TRIM(INDEX('Pegar docentes'!$A$1:$BZ$1001,175,N$2)&amp;""),""))</f>
        <v/>
      </c>
      <c r="O176">
        <f>IF(O$2=0,"",IFERROR(TRIM(INDEX('Pegar docentes'!$A$1:$BZ$1001,175,O$2)&amp;""),""))</f>
        <v/>
      </c>
      <c r="P176">
        <f>IF(P$2=0,"",IFERROR(TRIM(INDEX('Pegar docentes'!$A$1:$BZ$1001,175,P$2)&amp;""),""))</f>
        <v/>
      </c>
      <c r="Q176" s="25">
        <f>IF(OR(D176&lt;&gt;"",H176&lt;&gt;""),1,"")</f>
        <v/>
      </c>
      <c r="R176" s="25">
        <f>IF(Q176=1,IF(ISNUMBER(FIND("#"&amp;MID(D176,1,1)&amp;"#","#0#1#2#3#4#5#6#7#8#9#")),IF(ISNUMBER(FIND("#"&amp;MID(D176,2,1)&amp;"#","#0#1#2#3#4#5#6#7#8#9#")),IF(AND(VALUE(LEFT(D176,2))&gt;=1,VALUE(LEFT(D176,2))&lt;=5),VALUE(LEFT(D176,2)),""),IF(AND(VALUE(LEFT(D176,1))&gt;=1,VALUE(LEFT(D176,1))&lt;=5),VALUE(LEFT(D176,1)),"")),""),"")</f>
        <v/>
      </c>
      <c r="S176" s="25">
        <f>IF(AND(Q176=1,E176&lt;&gt;""),SUBSTITUTE(SUBSTITUTE(SUBSTITUTE(SUBSTITUTE(SUBSTITUTE(SUBSTITUTE(SUBSTITUTE(SUBSTITUTE(SUBSTITUTE(SUBSTITUTE(SUBSTITUTE(SUBSTITUTE(LOWER(TRIM(E176)),"á","a"),"é","e"),"í","i"),"ó","o"),"ú","u"),"ü","u"),"ñ","n"),"à","a"),"è","e"),"ì","i"),"ò","o"),"ù","u"),"")</f>
        <v/>
      </c>
      <c r="T176" s="25">
        <f>IF(AND(Q176=1,G176&lt;&gt;""),SUBSTITUTE(SUBSTITUTE(SUBSTITUTE(SUBSTITUTE(SUBSTITUTE(SUBSTITUTE(SUBSTITUTE(SUBSTITUTE(SUBSTITUTE(SUBSTITUTE(SUBSTITUTE(SUBSTITUTE(LOWER(TRIM(G176)),"á","a"),"é","e"),"í","i"),"ó","o"),"ú","u"),"ü","u"),"ñ","n"),"à","a"),"è","e"),"ì","i"),"ò","o"),"ù","u"),"")</f>
        <v/>
      </c>
      <c r="U176" s="25">
        <f>IF(AND(Q176=1,H176&lt;&gt;""),SUBSTITUTE(SUBSTITUTE(SUBSTITUTE(SUBSTITUTE(SUBSTITUTE(SUBSTITUTE(SUBSTITUTE(SUBSTITUTE(SUBSTITUTE(SUBSTITUTE(SUBSTITUTE(SUBSTITUTE(LOWER(TRIM(H176)),"á","a"),"é","e"),"í","i"),"ó","o"),"ú","u"),"ü","u"),"ñ","n"),"à","a"),"è","e"),"ì","i"),"ò","o"),"ù","u"),"")</f>
        <v/>
      </c>
      <c r="V176" s="25">
        <f>IF(AND(Q176=1,L176&lt;&gt;""),SUBSTITUTE(SUBSTITUTE(SUBSTITUTE(SUBSTITUTE(SUBSTITUTE(SUBSTITUTE(SUBSTITUTE(SUBSTITUTE(SUBSTITUTE(SUBSTITUTE(SUBSTITUTE(SUBSTITUTE(LOWER(TRIM(L176)),"á","a"),"é","e"),"í","i"),"ó","o"),"ú","u"),"ü","u"),"ñ","n"),"à","a"),"è","e"),"ì","i"),"ò","o"),"ù","u"),"")</f>
        <v/>
      </c>
      <c r="W176" s="25">
        <f>IF(AND(Q176=1,I176&lt;&gt;""),SUBSTITUTE(SUBSTITUTE(SUBSTITUTE(SUBSTITUTE(SUBSTITUTE(SUBSTITUTE(SUBSTITUTE(SUBSTITUTE(SUBSTITUTE(SUBSTITUTE(SUBSTITUTE(SUBSTITUTE(LOWER(TRIM(I176)),"á","a"),"é","e"),"í","i"),"ó","o"),"ú","u"),"ü","u"),"ñ","n"),"à","a"),"è","e"),"ì","i"),"ò","o"),"ù","u"),"")</f>
        <v/>
      </c>
      <c r="X176" s="25">
        <f>IF(U176="","",IF(OR(U176="si, en la proxima tarea",U176="si, con cambios"),1,0))</f>
        <v/>
      </c>
      <c r="Y176" s="25">
        <f>IF(AND(Q176=1,A176&lt;&gt;""),IF(IFERROR(COUNTIFS(A$3:A176,"="&amp;SUBSTITUTE(SUBSTITUTE(SUBSTITUTE(A176,"~","~~"),"*","~*"),"?","~?"),Q$3:Q176,1),0)=1,MAX(Y$2:Y175)+1,""),"")</f>
        <v/>
      </c>
      <c r="Z176" s="25">
        <f>IF(Y176="","",COUNTIFS($A$3:$A$1002,"="&amp;SUBSTITUTE(SUBSTITUTE(SUBSTITUTE(A176,"~","~~"),"*","~*"),"?","~?"),$Q$3:$Q$1002,1)*10000-Y176)</f>
        <v/>
      </c>
    </row>
    <row r="177">
      <c r="A177">
        <f>IF(A$2=0,"",IFERROR(TRIM(INDEX('Pegar docentes'!$A$1:$BZ$1001,176,A$2)&amp;""),""))</f>
        <v/>
      </c>
      <c r="B177">
        <f>IF(B$2=0,"",IFERROR(TRIM(INDEX('Pegar docentes'!$A$1:$BZ$1001,176,B$2)&amp;""),""))</f>
        <v/>
      </c>
      <c r="C177">
        <f>IF(C$2=0,"",IFERROR(TRIM(INDEX('Pegar docentes'!$A$1:$BZ$1001,176,C$2)&amp;""),""))</f>
        <v/>
      </c>
      <c r="D177">
        <f>IF(D$2=0,"",IFERROR(TRIM(INDEX('Pegar docentes'!$A$1:$BZ$1001,176,D$2)&amp;""),""))</f>
        <v/>
      </c>
      <c r="E177">
        <f>IF(E$2=0,"",IFERROR(TRIM(INDEX('Pegar docentes'!$A$1:$BZ$1001,176,E$2)&amp;""),""))</f>
        <v/>
      </c>
      <c r="F177">
        <f>IF(F$2=0,"",IFERROR(TRIM(INDEX('Pegar docentes'!$A$1:$BZ$1001,176,F$2)&amp;""),""))</f>
        <v/>
      </c>
      <c r="G177">
        <f>IF(G$2=0,"",IFERROR(TRIM(INDEX('Pegar docentes'!$A$1:$BZ$1001,176,G$2)&amp;""),""))</f>
        <v/>
      </c>
      <c r="H177">
        <f>IF(H$2=0,"",IFERROR(TRIM(INDEX('Pegar docentes'!$A$1:$BZ$1001,176,H$2)&amp;""),""))</f>
        <v/>
      </c>
      <c r="I177">
        <f>IF(I$2=0,"",IFERROR(TRIM(INDEX('Pegar docentes'!$A$1:$BZ$1001,176,I$2)&amp;""),""))</f>
        <v/>
      </c>
      <c r="J177">
        <f>IF(J$2=0,"",IFERROR(TRIM(INDEX('Pegar docentes'!$A$1:$BZ$1001,176,J$2)&amp;""),""))</f>
        <v/>
      </c>
      <c r="K177">
        <f>IF(K$2=0,"",IFERROR(TRIM(INDEX('Pegar docentes'!$A$1:$BZ$1001,176,K$2)&amp;""),""))</f>
        <v/>
      </c>
      <c r="L177">
        <f>IF(L$2=0,"",IFERROR(TRIM(INDEX('Pegar docentes'!$A$1:$BZ$1001,176,L$2)&amp;""),""))</f>
        <v/>
      </c>
      <c r="M177">
        <f>IF(M$2=0,"",IFERROR(TRIM(INDEX('Pegar docentes'!$A$1:$BZ$1001,176,M$2)&amp;""),""))</f>
        <v/>
      </c>
      <c r="N177">
        <f>IF(N$2=0,"",IFERROR(TRIM(INDEX('Pegar docentes'!$A$1:$BZ$1001,176,N$2)&amp;""),""))</f>
        <v/>
      </c>
      <c r="O177">
        <f>IF(O$2=0,"",IFERROR(TRIM(INDEX('Pegar docentes'!$A$1:$BZ$1001,176,O$2)&amp;""),""))</f>
        <v/>
      </c>
      <c r="P177">
        <f>IF(P$2=0,"",IFERROR(TRIM(INDEX('Pegar docentes'!$A$1:$BZ$1001,176,P$2)&amp;""),""))</f>
        <v/>
      </c>
      <c r="Q177" s="25">
        <f>IF(OR(D177&lt;&gt;"",H177&lt;&gt;""),1,"")</f>
        <v/>
      </c>
      <c r="R177" s="25">
        <f>IF(Q177=1,IF(ISNUMBER(FIND("#"&amp;MID(D177,1,1)&amp;"#","#0#1#2#3#4#5#6#7#8#9#")),IF(ISNUMBER(FIND("#"&amp;MID(D177,2,1)&amp;"#","#0#1#2#3#4#5#6#7#8#9#")),IF(AND(VALUE(LEFT(D177,2))&gt;=1,VALUE(LEFT(D177,2))&lt;=5),VALUE(LEFT(D177,2)),""),IF(AND(VALUE(LEFT(D177,1))&gt;=1,VALUE(LEFT(D177,1))&lt;=5),VALUE(LEFT(D177,1)),"")),""),"")</f>
        <v/>
      </c>
      <c r="S177" s="25">
        <f>IF(AND(Q177=1,E177&lt;&gt;""),SUBSTITUTE(SUBSTITUTE(SUBSTITUTE(SUBSTITUTE(SUBSTITUTE(SUBSTITUTE(SUBSTITUTE(SUBSTITUTE(SUBSTITUTE(SUBSTITUTE(SUBSTITUTE(SUBSTITUTE(LOWER(TRIM(E177)),"á","a"),"é","e"),"í","i"),"ó","o"),"ú","u"),"ü","u"),"ñ","n"),"à","a"),"è","e"),"ì","i"),"ò","o"),"ù","u"),"")</f>
        <v/>
      </c>
      <c r="T177" s="25">
        <f>IF(AND(Q177=1,G177&lt;&gt;""),SUBSTITUTE(SUBSTITUTE(SUBSTITUTE(SUBSTITUTE(SUBSTITUTE(SUBSTITUTE(SUBSTITUTE(SUBSTITUTE(SUBSTITUTE(SUBSTITUTE(SUBSTITUTE(SUBSTITUTE(LOWER(TRIM(G177)),"á","a"),"é","e"),"í","i"),"ó","o"),"ú","u"),"ü","u"),"ñ","n"),"à","a"),"è","e"),"ì","i"),"ò","o"),"ù","u"),"")</f>
        <v/>
      </c>
      <c r="U177" s="25">
        <f>IF(AND(Q177=1,H177&lt;&gt;""),SUBSTITUTE(SUBSTITUTE(SUBSTITUTE(SUBSTITUTE(SUBSTITUTE(SUBSTITUTE(SUBSTITUTE(SUBSTITUTE(SUBSTITUTE(SUBSTITUTE(SUBSTITUTE(SUBSTITUTE(LOWER(TRIM(H177)),"á","a"),"é","e"),"í","i"),"ó","o"),"ú","u"),"ü","u"),"ñ","n"),"à","a"),"è","e"),"ì","i"),"ò","o"),"ù","u"),"")</f>
        <v/>
      </c>
      <c r="V177" s="25">
        <f>IF(AND(Q177=1,L177&lt;&gt;""),SUBSTITUTE(SUBSTITUTE(SUBSTITUTE(SUBSTITUTE(SUBSTITUTE(SUBSTITUTE(SUBSTITUTE(SUBSTITUTE(SUBSTITUTE(SUBSTITUTE(SUBSTITUTE(SUBSTITUTE(LOWER(TRIM(L177)),"á","a"),"é","e"),"í","i"),"ó","o"),"ú","u"),"ü","u"),"ñ","n"),"à","a"),"è","e"),"ì","i"),"ò","o"),"ù","u"),"")</f>
        <v/>
      </c>
      <c r="W177" s="25">
        <f>IF(AND(Q177=1,I177&lt;&gt;""),SUBSTITUTE(SUBSTITUTE(SUBSTITUTE(SUBSTITUTE(SUBSTITUTE(SUBSTITUTE(SUBSTITUTE(SUBSTITUTE(SUBSTITUTE(SUBSTITUTE(SUBSTITUTE(SUBSTITUTE(LOWER(TRIM(I177)),"á","a"),"é","e"),"í","i"),"ó","o"),"ú","u"),"ü","u"),"ñ","n"),"à","a"),"è","e"),"ì","i"),"ò","o"),"ù","u"),"")</f>
        <v/>
      </c>
      <c r="X177" s="25">
        <f>IF(U177="","",IF(OR(U177="si, en la proxima tarea",U177="si, con cambios"),1,0))</f>
        <v/>
      </c>
      <c r="Y177" s="25">
        <f>IF(AND(Q177=1,A177&lt;&gt;""),IF(IFERROR(COUNTIFS(A$3:A177,"="&amp;SUBSTITUTE(SUBSTITUTE(SUBSTITUTE(A177,"~","~~"),"*","~*"),"?","~?"),Q$3:Q177,1),0)=1,MAX(Y$2:Y176)+1,""),"")</f>
        <v/>
      </c>
      <c r="Z177" s="25">
        <f>IF(Y177="","",COUNTIFS($A$3:$A$1002,"="&amp;SUBSTITUTE(SUBSTITUTE(SUBSTITUTE(A177,"~","~~"),"*","~*"),"?","~?"),$Q$3:$Q$1002,1)*10000-Y177)</f>
        <v/>
      </c>
    </row>
    <row r="178">
      <c r="A178">
        <f>IF(A$2=0,"",IFERROR(TRIM(INDEX('Pegar docentes'!$A$1:$BZ$1001,177,A$2)&amp;""),""))</f>
        <v/>
      </c>
      <c r="B178">
        <f>IF(B$2=0,"",IFERROR(TRIM(INDEX('Pegar docentes'!$A$1:$BZ$1001,177,B$2)&amp;""),""))</f>
        <v/>
      </c>
      <c r="C178">
        <f>IF(C$2=0,"",IFERROR(TRIM(INDEX('Pegar docentes'!$A$1:$BZ$1001,177,C$2)&amp;""),""))</f>
        <v/>
      </c>
      <c r="D178">
        <f>IF(D$2=0,"",IFERROR(TRIM(INDEX('Pegar docentes'!$A$1:$BZ$1001,177,D$2)&amp;""),""))</f>
        <v/>
      </c>
      <c r="E178">
        <f>IF(E$2=0,"",IFERROR(TRIM(INDEX('Pegar docentes'!$A$1:$BZ$1001,177,E$2)&amp;""),""))</f>
        <v/>
      </c>
      <c r="F178">
        <f>IF(F$2=0,"",IFERROR(TRIM(INDEX('Pegar docentes'!$A$1:$BZ$1001,177,F$2)&amp;""),""))</f>
        <v/>
      </c>
      <c r="G178">
        <f>IF(G$2=0,"",IFERROR(TRIM(INDEX('Pegar docentes'!$A$1:$BZ$1001,177,G$2)&amp;""),""))</f>
        <v/>
      </c>
      <c r="H178">
        <f>IF(H$2=0,"",IFERROR(TRIM(INDEX('Pegar docentes'!$A$1:$BZ$1001,177,H$2)&amp;""),""))</f>
        <v/>
      </c>
      <c r="I178">
        <f>IF(I$2=0,"",IFERROR(TRIM(INDEX('Pegar docentes'!$A$1:$BZ$1001,177,I$2)&amp;""),""))</f>
        <v/>
      </c>
      <c r="J178">
        <f>IF(J$2=0,"",IFERROR(TRIM(INDEX('Pegar docentes'!$A$1:$BZ$1001,177,J$2)&amp;""),""))</f>
        <v/>
      </c>
      <c r="K178">
        <f>IF(K$2=0,"",IFERROR(TRIM(INDEX('Pegar docentes'!$A$1:$BZ$1001,177,K$2)&amp;""),""))</f>
        <v/>
      </c>
      <c r="L178">
        <f>IF(L$2=0,"",IFERROR(TRIM(INDEX('Pegar docentes'!$A$1:$BZ$1001,177,L$2)&amp;""),""))</f>
        <v/>
      </c>
      <c r="M178">
        <f>IF(M$2=0,"",IFERROR(TRIM(INDEX('Pegar docentes'!$A$1:$BZ$1001,177,M$2)&amp;""),""))</f>
        <v/>
      </c>
      <c r="N178">
        <f>IF(N$2=0,"",IFERROR(TRIM(INDEX('Pegar docentes'!$A$1:$BZ$1001,177,N$2)&amp;""),""))</f>
        <v/>
      </c>
      <c r="O178">
        <f>IF(O$2=0,"",IFERROR(TRIM(INDEX('Pegar docentes'!$A$1:$BZ$1001,177,O$2)&amp;""),""))</f>
        <v/>
      </c>
      <c r="P178">
        <f>IF(P$2=0,"",IFERROR(TRIM(INDEX('Pegar docentes'!$A$1:$BZ$1001,177,P$2)&amp;""),""))</f>
        <v/>
      </c>
      <c r="Q178" s="25">
        <f>IF(OR(D178&lt;&gt;"",H178&lt;&gt;""),1,"")</f>
        <v/>
      </c>
      <c r="R178" s="25">
        <f>IF(Q178=1,IF(ISNUMBER(FIND("#"&amp;MID(D178,1,1)&amp;"#","#0#1#2#3#4#5#6#7#8#9#")),IF(ISNUMBER(FIND("#"&amp;MID(D178,2,1)&amp;"#","#0#1#2#3#4#5#6#7#8#9#")),IF(AND(VALUE(LEFT(D178,2))&gt;=1,VALUE(LEFT(D178,2))&lt;=5),VALUE(LEFT(D178,2)),""),IF(AND(VALUE(LEFT(D178,1))&gt;=1,VALUE(LEFT(D178,1))&lt;=5),VALUE(LEFT(D178,1)),"")),""),"")</f>
        <v/>
      </c>
      <c r="S178" s="25">
        <f>IF(AND(Q178=1,E178&lt;&gt;""),SUBSTITUTE(SUBSTITUTE(SUBSTITUTE(SUBSTITUTE(SUBSTITUTE(SUBSTITUTE(SUBSTITUTE(SUBSTITUTE(SUBSTITUTE(SUBSTITUTE(SUBSTITUTE(SUBSTITUTE(LOWER(TRIM(E178)),"á","a"),"é","e"),"í","i"),"ó","o"),"ú","u"),"ü","u"),"ñ","n"),"à","a"),"è","e"),"ì","i"),"ò","o"),"ù","u"),"")</f>
        <v/>
      </c>
      <c r="T178" s="25">
        <f>IF(AND(Q178=1,G178&lt;&gt;""),SUBSTITUTE(SUBSTITUTE(SUBSTITUTE(SUBSTITUTE(SUBSTITUTE(SUBSTITUTE(SUBSTITUTE(SUBSTITUTE(SUBSTITUTE(SUBSTITUTE(SUBSTITUTE(SUBSTITUTE(LOWER(TRIM(G178)),"á","a"),"é","e"),"í","i"),"ó","o"),"ú","u"),"ü","u"),"ñ","n"),"à","a"),"è","e"),"ì","i"),"ò","o"),"ù","u"),"")</f>
        <v/>
      </c>
      <c r="U178" s="25">
        <f>IF(AND(Q178=1,H178&lt;&gt;""),SUBSTITUTE(SUBSTITUTE(SUBSTITUTE(SUBSTITUTE(SUBSTITUTE(SUBSTITUTE(SUBSTITUTE(SUBSTITUTE(SUBSTITUTE(SUBSTITUTE(SUBSTITUTE(SUBSTITUTE(LOWER(TRIM(H178)),"á","a"),"é","e"),"í","i"),"ó","o"),"ú","u"),"ü","u"),"ñ","n"),"à","a"),"è","e"),"ì","i"),"ò","o"),"ù","u"),"")</f>
        <v/>
      </c>
      <c r="V178" s="25">
        <f>IF(AND(Q178=1,L178&lt;&gt;""),SUBSTITUTE(SUBSTITUTE(SUBSTITUTE(SUBSTITUTE(SUBSTITUTE(SUBSTITUTE(SUBSTITUTE(SUBSTITUTE(SUBSTITUTE(SUBSTITUTE(SUBSTITUTE(SUBSTITUTE(LOWER(TRIM(L178)),"á","a"),"é","e"),"í","i"),"ó","o"),"ú","u"),"ü","u"),"ñ","n"),"à","a"),"è","e"),"ì","i"),"ò","o"),"ù","u"),"")</f>
        <v/>
      </c>
      <c r="W178" s="25">
        <f>IF(AND(Q178=1,I178&lt;&gt;""),SUBSTITUTE(SUBSTITUTE(SUBSTITUTE(SUBSTITUTE(SUBSTITUTE(SUBSTITUTE(SUBSTITUTE(SUBSTITUTE(SUBSTITUTE(SUBSTITUTE(SUBSTITUTE(SUBSTITUTE(LOWER(TRIM(I178)),"á","a"),"é","e"),"í","i"),"ó","o"),"ú","u"),"ü","u"),"ñ","n"),"à","a"),"è","e"),"ì","i"),"ò","o"),"ù","u"),"")</f>
        <v/>
      </c>
      <c r="X178" s="25">
        <f>IF(U178="","",IF(OR(U178="si, en la proxima tarea",U178="si, con cambios"),1,0))</f>
        <v/>
      </c>
      <c r="Y178" s="25">
        <f>IF(AND(Q178=1,A178&lt;&gt;""),IF(IFERROR(COUNTIFS(A$3:A178,"="&amp;SUBSTITUTE(SUBSTITUTE(SUBSTITUTE(A178,"~","~~"),"*","~*"),"?","~?"),Q$3:Q178,1),0)=1,MAX(Y$2:Y177)+1,""),"")</f>
        <v/>
      </c>
      <c r="Z178" s="25">
        <f>IF(Y178="","",COUNTIFS($A$3:$A$1002,"="&amp;SUBSTITUTE(SUBSTITUTE(SUBSTITUTE(A178,"~","~~"),"*","~*"),"?","~?"),$Q$3:$Q$1002,1)*10000-Y178)</f>
        <v/>
      </c>
    </row>
    <row r="179">
      <c r="A179">
        <f>IF(A$2=0,"",IFERROR(TRIM(INDEX('Pegar docentes'!$A$1:$BZ$1001,178,A$2)&amp;""),""))</f>
        <v/>
      </c>
      <c r="B179">
        <f>IF(B$2=0,"",IFERROR(TRIM(INDEX('Pegar docentes'!$A$1:$BZ$1001,178,B$2)&amp;""),""))</f>
        <v/>
      </c>
      <c r="C179">
        <f>IF(C$2=0,"",IFERROR(TRIM(INDEX('Pegar docentes'!$A$1:$BZ$1001,178,C$2)&amp;""),""))</f>
        <v/>
      </c>
      <c r="D179">
        <f>IF(D$2=0,"",IFERROR(TRIM(INDEX('Pegar docentes'!$A$1:$BZ$1001,178,D$2)&amp;""),""))</f>
        <v/>
      </c>
      <c r="E179">
        <f>IF(E$2=0,"",IFERROR(TRIM(INDEX('Pegar docentes'!$A$1:$BZ$1001,178,E$2)&amp;""),""))</f>
        <v/>
      </c>
      <c r="F179">
        <f>IF(F$2=0,"",IFERROR(TRIM(INDEX('Pegar docentes'!$A$1:$BZ$1001,178,F$2)&amp;""),""))</f>
        <v/>
      </c>
      <c r="G179">
        <f>IF(G$2=0,"",IFERROR(TRIM(INDEX('Pegar docentes'!$A$1:$BZ$1001,178,G$2)&amp;""),""))</f>
        <v/>
      </c>
      <c r="H179">
        <f>IF(H$2=0,"",IFERROR(TRIM(INDEX('Pegar docentes'!$A$1:$BZ$1001,178,H$2)&amp;""),""))</f>
        <v/>
      </c>
      <c r="I179">
        <f>IF(I$2=0,"",IFERROR(TRIM(INDEX('Pegar docentes'!$A$1:$BZ$1001,178,I$2)&amp;""),""))</f>
        <v/>
      </c>
      <c r="J179">
        <f>IF(J$2=0,"",IFERROR(TRIM(INDEX('Pegar docentes'!$A$1:$BZ$1001,178,J$2)&amp;""),""))</f>
        <v/>
      </c>
      <c r="K179">
        <f>IF(K$2=0,"",IFERROR(TRIM(INDEX('Pegar docentes'!$A$1:$BZ$1001,178,K$2)&amp;""),""))</f>
        <v/>
      </c>
      <c r="L179">
        <f>IF(L$2=0,"",IFERROR(TRIM(INDEX('Pegar docentes'!$A$1:$BZ$1001,178,L$2)&amp;""),""))</f>
        <v/>
      </c>
      <c r="M179">
        <f>IF(M$2=0,"",IFERROR(TRIM(INDEX('Pegar docentes'!$A$1:$BZ$1001,178,M$2)&amp;""),""))</f>
        <v/>
      </c>
      <c r="N179">
        <f>IF(N$2=0,"",IFERROR(TRIM(INDEX('Pegar docentes'!$A$1:$BZ$1001,178,N$2)&amp;""),""))</f>
        <v/>
      </c>
      <c r="O179">
        <f>IF(O$2=0,"",IFERROR(TRIM(INDEX('Pegar docentes'!$A$1:$BZ$1001,178,O$2)&amp;""),""))</f>
        <v/>
      </c>
      <c r="P179">
        <f>IF(P$2=0,"",IFERROR(TRIM(INDEX('Pegar docentes'!$A$1:$BZ$1001,178,P$2)&amp;""),""))</f>
        <v/>
      </c>
      <c r="Q179" s="25">
        <f>IF(OR(D179&lt;&gt;"",H179&lt;&gt;""),1,"")</f>
        <v/>
      </c>
      <c r="R179" s="25">
        <f>IF(Q179=1,IF(ISNUMBER(FIND("#"&amp;MID(D179,1,1)&amp;"#","#0#1#2#3#4#5#6#7#8#9#")),IF(ISNUMBER(FIND("#"&amp;MID(D179,2,1)&amp;"#","#0#1#2#3#4#5#6#7#8#9#")),IF(AND(VALUE(LEFT(D179,2))&gt;=1,VALUE(LEFT(D179,2))&lt;=5),VALUE(LEFT(D179,2)),""),IF(AND(VALUE(LEFT(D179,1))&gt;=1,VALUE(LEFT(D179,1))&lt;=5),VALUE(LEFT(D179,1)),"")),""),"")</f>
        <v/>
      </c>
      <c r="S179" s="25">
        <f>IF(AND(Q179=1,E179&lt;&gt;""),SUBSTITUTE(SUBSTITUTE(SUBSTITUTE(SUBSTITUTE(SUBSTITUTE(SUBSTITUTE(SUBSTITUTE(SUBSTITUTE(SUBSTITUTE(SUBSTITUTE(SUBSTITUTE(SUBSTITUTE(LOWER(TRIM(E179)),"á","a"),"é","e"),"í","i"),"ó","o"),"ú","u"),"ü","u"),"ñ","n"),"à","a"),"è","e"),"ì","i"),"ò","o"),"ù","u"),"")</f>
        <v/>
      </c>
      <c r="T179" s="25">
        <f>IF(AND(Q179=1,G179&lt;&gt;""),SUBSTITUTE(SUBSTITUTE(SUBSTITUTE(SUBSTITUTE(SUBSTITUTE(SUBSTITUTE(SUBSTITUTE(SUBSTITUTE(SUBSTITUTE(SUBSTITUTE(SUBSTITUTE(SUBSTITUTE(LOWER(TRIM(G179)),"á","a"),"é","e"),"í","i"),"ó","o"),"ú","u"),"ü","u"),"ñ","n"),"à","a"),"è","e"),"ì","i"),"ò","o"),"ù","u"),"")</f>
        <v/>
      </c>
      <c r="U179" s="25">
        <f>IF(AND(Q179=1,H179&lt;&gt;""),SUBSTITUTE(SUBSTITUTE(SUBSTITUTE(SUBSTITUTE(SUBSTITUTE(SUBSTITUTE(SUBSTITUTE(SUBSTITUTE(SUBSTITUTE(SUBSTITUTE(SUBSTITUTE(SUBSTITUTE(LOWER(TRIM(H179)),"á","a"),"é","e"),"í","i"),"ó","o"),"ú","u"),"ü","u"),"ñ","n"),"à","a"),"è","e"),"ì","i"),"ò","o"),"ù","u"),"")</f>
        <v/>
      </c>
      <c r="V179" s="25">
        <f>IF(AND(Q179=1,L179&lt;&gt;""),SUBSTITUTE(SUBSTITUTE(SUBSTITUTE(SUBSTITUTE(SUBSTITUTE(SUBSTITUTE(SUBSTITUTE(SUBSTITUTE(SUBSTITUTE(SUBSTITUTE(SUBSTITUTE(SUBSTITUTE(LOWER(TRIM(L179)),"á","a"),"é","e"),"í","i"),"ó","o"),"ú","u"),"ü","u"),"ñ","n"),"à","a"),"è","e"),"ì","i"),"ò","o"),"ù","u"),"")</f>
        <v/>
      </c>
      <c r="W179" s="25">
        <f>IF(AND(Q179=1,I179&lt;&gt;""),SUBSTITUTE(SUBSTITUTE(SUBSTITUTE(SUBSTITUTE(SUBSTITUTE(SUBSTITUTE(SUBSTITUTE(SUBSTITUTE(SUBSTITUTE(SUBSTITUTE(SUBSTITUTE(SUBSTITUTE(LOWER(TRIM(I179)),"á","a"),"é","e"),"í","i"),"ó","o"),"ú","u"),"ü","u"),"ñ","n"),"à","a"),"è","e"),"ì","i"),"ò","o"),"ù","u"),"")</f>
        <v/>
      </c>
      <c r="X179" s="25">
        <f>IF(U179="","",IF(OR(U179="si, en la proxima tarea",U179="si, con cambios"),1,0))</f>
        <v/>
      </c>
      <c r="Y179" s="25">
        <f>IF(AND(Q179=1,A179&lt;&gt;""),IF(IFERROR(COUNTIFS(A$3:A179,"="&amp;SUBSTITUTE(SUBSTITUTE(SUBSTITUTE(A179,"~","~~"),"*","~*"),"?","~?"),Q$3:Q179,1),0)=1,MAX(Y$2:Y178)+1,""),"")</f>
        <v/>
      </c>
      <c r="Z179" s="25">
        <f>IF(Y179="","",COUNTIFS($A$3:$A$1002,"="&amp;SUBSTITUTE(SUBSTITUTE(SUBSTITUTE(A179,"~","~~"),"*","~*"),"?","~?"),$Q$3:$Q$1002,1)*10000-Y179)</f>
        <v/>
      </c>
    </row>
    <row r="180">
      <c r="A180">
        <f>IF(A$2=0,"",IFERROR(TRIM(INDEX('Pegar docentes'!$A$1:$BZ$1001,179,A$2)&amp;""),""))</f>
        <v/>
      </c>
      <c r="B180">
        <f>IF(B$2=0,"",IFERROR(TRIM(INDEX('Pegar docentes'!$A$1:$BZ$1001,179,B$2)&amp;""),""))</f>
        <v/>
      </c>
      <c r="C180">
        <f>IF(C$2=0,"",IFERROR(TRIM(INDEX('Pegar docentes'!$A$1:$BZ$1001,179,C$2)&amp;""),""))</f>
        <v/>
      </c>
      <c r="D180">
        <f>IF(D$2=0,"",IFERROR(TRIM(INDEX('Pegar docentes'!$A$1:$BZ$1001,179,D$2)&amp;""),""))</f>
        <v/>
      </c>
      <c r="E180">
        <f>IF(E$2=0,"",IFERROR(TRIM(INDEX('Pegar docentes'!$A$1:$BZ$1001,179,E$2)&amp;""),""))</f>
        <v/>
      </c>
      <c r="F180">
        <f>IF(F$2=0,"",IFERROR(TRIM(INDEX('Pegar docentes'!$A$1:$BZ$1001,179,F$2)&amp;""),""))</f>
        <v/>
      </c>
      <c r="G180">
        <f>IF(G$2=0,"",IFERROR(TRIM(INDEX('Pegar docentes'!$A$1:$BZ$1001,179,G$2)&amp;""),""))</f>
        <v/>
      </c>
      <c r="H180">
        <f>IF(H$2=0,"",IFERROR(TRIM(INDEX('Pegar docentes'!$A$1:$BZ$1001,179,H$2)&amp;""),""))</f>
        <v/>
      </c>
      <c r="I180">
        <f>IF(I$2=0,"",IFERROR(TRIM(INDEX('Pegar docentes'!$A$1:$BZ$1001,179,I$2)&amp;""),""))</f>
        <v/>
      </c>
      <c r="J180">
        <f>IF(J$2=0,"",IFERROR(TRIM(INDEX('Pegar docentes'!$A$1:$BZ$1001,179,J$2)&amp;""),""))</f>
        <v/>
      </c>
      <c r="K180">
        <f>IF(K$2=0,"",IFERROR(TRIM(INDEX('Pegar docentes'!$A$1:$BZ$1001,179,K$2)&amp;""),""))</f>
        <v/>
      </c>
      <c r="L180">
        <f>IF(L$2=0,"",IFERROR(TRIM(INDEX('Pegar docentes'!$A$1:$BZ$1001,179,L$2)&amp;""),""))</f>
        <v/>
      </c>
      <c r="M180">
        <f>IF(M$2=0,"",IFERROR(TRIM(INDEX('Pegar docentes'!$A$1:$BZ$1001,179,M$2)&amp;""),""))</f>
        <v/>
      </c>
      <c r="N180">
        <f>IF(N$2=0,"",IFERROR(TRIM(INDEX('Pegar docentes'!$A$1:$BZ$1001,179,N$2)&amp;""),""))</f>
        <v/>
      </c>
      <c r="O180">
        <f>IF(O$2=0,"",IFERROR(TRIM(INDEX('Pegar docentes'!$A$1:$BZ$1001,179,O$2)&amp;""),""))</f>
        <v/>
      </c>
      <c r="P180">
        <f>IF(P$2=0,"",IFERROR(TRIM(INDEX('Pegar docentes'!$A$1:$BZ$1001,179,P$2)&amp;""),""))</f>
        <v/>
      </c>
      <c r="Q180" s="25">
        <f>IF(OR(D180&lt;&gt;"",H180&lt;&gt;""),1,"")</f>
        <v/>
      </c>
      <c r="R180" s="25">
        <f>IF(Q180=1,IF(ISNUMBER(FIND("#"&amp;MID(D180,1,1)&amp;"#","#0#1#2#3#4#5#6#7#8#9#")),IF(ISNUMBER(FIND("#"&amp;MID(D180,2,1)&amp;"#","#0#1#2#3#4#5#6#7#8#9#")),IF(AND(VALUE(LEFT(D180,2))&gt;=1,VALUE(LEFT(D180,2))&lt;=5),VALUE(LEFT(D180,2)),""),IF(AND(VALUE(LEFT(D180,1))&gt;=1,VALUE(LEFT(D180,1))&lt;=5),VALUE(LEFT(D180,1)),"")),""),"")</f>
        <v/>
      </c>
      <c r="S180" s="25">
        <f>IF(AND(Q180=1,E180&lt;&gt;""),SUBSTITUTE(SUBSTITUTE(SUBSTITUTE(SUBSTITUTE(SUBSTITUTE(SUBSTITUTE(SUBSTITUTE(SUBSTITUTE(SUBSTITUTE(SUBSTITUTE(SUBSTITUTE(SUBSTITUTE(LOWER(TRIM(E180)),"á","a"),"é","e"),"í","i"),"ó","o"),"ú","u"),"ü","u"),"ñ","n"),"à","a"),"è","e"),"ì","i"),"ò","o"),"ù","u"),"")</f>
        <v/>
      </c>
      <c r="T180" s="25">
        <f>IF(AND(Q180=1,G180&lt;&gt;""),SUBSTITUTE(SUBSTITUTE(SUBSTITUTE(SUBSTITUTE(SUBSTITUTE(SUBSTITUTE(SUBSTITUTE(SUBSTITUTE(SUBSTITUTE(SUBSTITUTE(SUBSTITUTE(SUBSTITUTE(LOWER(TRIM(G180)),"á","a"),"é","e"),"í","i"),"ó","o"),"ú","u"),"ü","u"),"ñ","n"),"à","a"),"è","e"),"ì","i"),"ò","o"),"ù","u"),"")</f>
        <v/>
      </c>
      <c r="U180" s="25">
        <f>IF(AND(Q180=1,H180&lt;&gt;""),SUBSTITUTE(SUBSTITUTE(SUBSTITUTE(SUBSTITUTE(SUBSTITUTE(SUBSTITUTE(SUBSTITUTE(SUBSTITUTE(SUBSTITUTE(SUBSTITUTE(SUBSTITUTE(SUBSTITUTE(LOWER(TRIM(H180)),"á","a"),"é","e"),"í","i"),"ó","o"),"ú","u"),"ü","u"),"ñ","n"),"à","a"),"è","e"),"ì","i"),"ò","o"),"ù","u"),"")</f>
        <v/>
      </c>
      <c r="V180" s="25">
        <f>IF(AND(Q180=1,L180&lt;&gt;""),SUBSTITUTE(SUBSTITUTE(SUBSTITUTE(SUBSTITUTE(SUBSTITUTE(SUBSTITUTE(SUBSTITUTE(SUBSTITUTE(SUBSTITUTE(SUBSTITUTE(SUBSTITUTE(SUBSTITUTE(LOWER(TRIM(L180)),"á","a"),"é","e"),"í","i"),"ó","o"),"ú","u"),"ü","u"),"ñ","n"),"à","a"),"è","e"),"ì","i"),"ò","o"),"ù","u"),"")</f>
        <v/>
      </c>
      <c r="W180" s="25">
        <f>IF(AND(Q180=1,I180&lt;&gt;""),SUBSTITUTE(SUBSTITUTE(SUBSTITUTE(SUBSTITUTE(SUBSTITUTE(SUBSTITUTE(SUBSTITUTE(SUBSTITUTE(SUBSTITUTE(SUBSTITUTE(SUBSTITUTE(SUBSTITUTE(LOWER(TRIM(I180)),"á","a"),"é","e"),"í","i"),"ó","o"),"ú","u"),"ü","u"),"ñ","n"),"à","a"),"è","e"),"ì","i"),"ò","o"),"ù","u"),"")</f>
        <v/>
      </c>
      <c r="X180" s="25">
        <f>IF(U180="","",IF(OR(U180="si, en la proxima tarea",U180="si, con cambios"),1,0))</f>
        <v/>
      </c>
      <c r="Y180" s="25">
        <f>IF(AND(Q180=1,A180&lt;&gt;""),IF(IFERROR(COUNTIFS(A$3:A180,"="&amp;SUBSTITUTE(SUBSTITUTE(SUBSTITUTE(A180,"~","~~"),"*","~*"),"?","~?"),Q$3:Q180,1),0)=1,MAX(Y$2:Y179)+1,""),"")</f>
        <v/>
      </c>
      <c r="Z180" s="25">
        <f>IF(Y180="","",COUNTIFS($A$3:$A$1002,"="&amp;SUBSTITUTE(SUBSTITUTE(SUBSTITUTE(A180,"~","~~"),"*","~*"),"?","~?"),$Q$3:$Q$1002,1)*10000-Y180)</f>
        <v/>
      </c>
    </row>
    <row r="181">
      <c r="A181">
        <f>IF(A$2=0,"",IFERROR(TRIM(INDEX('Pegar docentes'!$A$1:$BZ$1001,180,A$2)&amp;""),""))</f>
        <v/>
      </c>
      <c r="B181">
        <f>IF(B$2=0,"",IFERROR(TRIM(INDEX('Pegar docentes'!$A$1:$BZ$1001,180,B$2)&amp;""),""))</f>
        <v/>
      </c>
      <c r="C181">
        <f>IF(C$2=0,"",IFERROR(TRIM(INDEX('Pegar docentes'!$A$1:$BZ$1001,180,C$2)&amp;""),""))</f>
        <v/>
      </c>
      <c r="D181">
        <f>IF(D$2=0,"",IFERROR(TRIM(INDEX('Pegar docentes'!$A$1:$BZ$1001,180,D$2)&amp;""),""))</f>
        <v/>
      </c>
      <c r="E181">
        <f>IF(E$2=0,"",IFERROR(TRIM(INDEX('Pegar docentes'!$A$1:$BZ$1001,180,E$2)&amp;""),""))</f>
        <v/>
      </c>
      <c r="F181">
        <f>IF(F$2=0,"",IFERROR(TRIM(INDEX('Pegar docentes'!$A$1:$BZ$1001,180,F$2)&amp;""),""))</f>
        <v/>
      </c>
      <c r="G181">
        <f>IF(G$2=0,"",IFERROR(TRIM(INDEX('Pegar docentes'!$A$1:$BZ$1001,180,G$2)&amp;""),""))</f>
        <v/>
      </c>
      <c r="H181">
        <f>IF(H$2=0,"",IFERROR(TRIM(INDEX('Pegar docentes'!$A$1:$BZ$1001,180,H$2)&amp;""),""))</f>
        <v/>
      </c>
      <c r="I181">
        <f>IF(I$2=0,"",IFERROR(TRIM(INDEX('Pegar docentes'!$A$1:$BZ$1001,180,I$2)&amp;""),""))</f>
        <v/>
      </c>
      <c r="J181">
        <f>IF(J$2=0,"",IFERROR(TRIM(INDEX('Pegar docentes'!$A$1:$BZ$1001,180,J$2)&amp;""),""))</f>
        <v/>
      </c>
      <c r="K181">
        <f>IF(K$2=0,"",IFERROR(TRIM(INDEX('Pegar docentes'!$A$1:$BZ$1001,180,K$2)&amp;""),""))</f>
        <v/>
      </c>
      <c r="L181">
        <f>IF(L$2=0,"",IFERROR(TRIM(INDEX('Pegar docentes'!$A$1:$BZ$1001,180,L$2)&amp;""),""))</f>
        <v/>
      </c>
      <c r="M181">
        <f>IF(M$2=0,"",IFERROR(TRIM(INDEX('Pegar docentes'!$A$1:$BZ$1001,180,M$2)&amp;""),""))</f>
        <v/>
      </c>
      <c r="N181">
        <f>IF(N$2=0,"",IFERROR(TRIM(INDEX('Pegar docentes'!$A$1:$BZ$1001,180,N$2)&amp;""),""))</f>
        <v/>
      </c>
      <c r="O181">
        <f>IF(O$2=0,"",IFERROR(TRIM(INDEX('Pegar docentes'!$A$1:$BZ$1001,180,O$2)&amp;""),""))</f>
        <v/>
      </c>
      <c r="P181">
        <f>IF(P$2=0,"",IFERROR(TRIM(INDEX('Pegar docentes'!$A$1:$BZ$1001,180,P$2)&amp;""),""))</f>
        <v/>
      </c>
      <c r="Q181" s="25">
        <f>IF(OR(D181&lt;&gt;"",H181&lt;&gt;""),1,"")</f>
        <v/>
      </c>
      <c r="R181" s="25">
        <f>IF(Q181=1,IF(ISNUMBER(FIND("#"&amp;MID(D181,1,1)&amp;"#","#0#1#2#3#4#5#6#7#8#9#")),IF(ISNUMBER(FIND("#"&amp;MID(D181,2,1)&amp;"#","#0#1#2#3#4#5#6#7#8#9#")),IF(AND(VALUE(LEFT(D181,2))&gt;=1,VALUE(LEFT(D181,2))&lt;=5),VALUE(LEFT(D181,2)),""),IF(AND(VALUE(LEFT(D181,1))&gt;=1,VALUE(LEFT(D181,1))&lt;=5),VALUE(LEFT(D181,1)),"")),""),"")</f>
        <v/>
      </c>
      <c r="S181" s="25">
        <f>IF(AND(Q181=1,E181&lt;&gt;""),SUBSTITUTE(SUBSTITUTE(SUBSTITUTE(SUBSTITUTE(SUBSTITUTE(SUBSTITUTE(SUBSTITUTE(SUBSTITUTE(SUBSTITUTE(SUBSTITUTE(SUBSTITUTE(SUBSTITUTE(LOWER(TRIM(E181)),"á","a"),"é","e"),"í","i"),"ó","o"),"ú","u"),"ü","u"),"ñ","n"),"à","a"),"è","e"),"ì","i"),"ò","o"),"ù","u"),"")</f>
        <v/>
      </c>
      <c r="T181" s="25">
        <f>IF(AND(Q181=1,G181&lt;&gt;""),SUBSTITUTE(SUBSTITUTE(SUBSTITUTE(SUBSTITUTE(SUBSTITUTE(SUBSTITUTE(SUBSTITUTE(SUBSTITUTE(SUBSTITUTE(SUBSTITUTE(SUBSTITUTE(SUBSTITUTE(LOWER(TRIM(G181)),"á","a"),"é","e"),"í","i"),"ó","o"),"ú","u"),"ü","u"),"ñ","n"),"à","a"),"è","e"),"ì","i"),"ò","o"),"ù","u"),"")</f>
        <v/>
      </c>
      <c r="U181" s="25">
        <f>IF(AND(Q181=1,H181&lt;&gt;""),SUBSTITUTE(SUBSTITUTE(SUBSTITUTE(SUBSTITUTE(SUBSTITUTE(SUBSTITUTE(SUBSTITUTE(SUBSTITUTE(SUBSTITUTE(SUBSTITUTE(SUBSTITUTE(SUBSTITUTE(LOWER(TRIM(H181)),"á","a"),"é","e"),"í","i"),"ó","o"),"ú","u"),"ü","u"),"ñ","n"),"à","a"),"è","e"),"ì","i"),"ò","o"),"ù","u"),"")</f>
        <v/>
      </c>
      <c r="V181" s="25">
        <f>IF(AND(Q181=1,L181&lt;&gt;""),SUBSTITUTE(SUBSTITUTE(SUBSTITUTE(SUBSTITUTE(SUBSTITUTE(SUBSTITUTE(SUBSTITUTE(SUBSTITUTE(SUBSTITUTE(SUBSTITUTE(SUBSTITUTE(SUBSTITUTE(LOWER(TRIM(L181)),"á","a"),"é","e"),"í","i"),"ó","o"),"ú","u"),"ü","u"),"ñ","n"),"à","a"),"è","e"),"ì","i"),"ò","o"),"ù","u"),"")</f>
        <v/>
      </c>
      <c r="W181" s="25">
        <f>IF(AND(Q181=1,I181&lt;&gt;""),SUBSTITUTE(SUBSTITUTE(SUBSTITUTE(SUBSTITUTE(SUBSTITUTE(SUBSTITUTE(SUBSTITUTE(SUBSTITUTE(SUBSTITUTE(SUBSTITUTE(SUBSTITUTE(SUBSTITUTE(LOWER(TRIM(I181)),"á","a"),"é","e"),"í","i"),"ó","o"),"ú","u"),"ü","u"),"ñ","n"),"à","a"),"è","e"),"ì","i"),"ò","o"),"ù","u"),"")</f>
        <v/>
      </c>
      <c r="X181" s="25">
        <f>IF(U181="","",IF(OR(U181="si, en la proxima tarea",U181="si, con cambios"),1,0))</f>
        <v/>
      </c>
      <c r="Y181" s="25">
        <f>IF(AND(Q181=1,A181&lt;&gt;""),IF(IFERROR(COUNTIFS(A$3:A181,"="&amp;SUBSTITUTE(SUBSTITUTE(SUBSTITUTE(A181,"~","~~"),"*","~*"),"?","~?"),Q$3:Q181,1),0)=1,MAX(Y$2:Y180)+1,""),"")</f>
        <v/>
      </c>
      <c r="Z181" s="25">
        <f>IF(Y181="","",COUNTIFS($A$3:$A$1002,"="&amp;SUBSTITUTE(SUBSTITUTE(SUBSTITUTE(A181,"~","~~"),"*","~*"),"?","~?"),$Q$3:$Q$1002,1)*10000-Y181)</f>
        <v/>
      </c>
    </row>
    <row r="182">
      <c r="A182">
        <f>IF(A$2=0,"",IFERROR(TRIM(INDEX('Pegar docentes'!$A$1:$BZ$1001,181,A$2)&amp;""),""))</f>
        <v/>
      </c>
      <c r="B182">
        <f>IF(B$2=0,"",IFERROR(TRIM(INDEX('Pegar docentes'!$A$1:$BZ$1001,181,B$2)&amp;""),""))</f>
        <v/>
      </c>
      <c r="C182">
        <f>IF(C$2=0,"",IFERROR(TRIM(INDEX('Pegar docentes'!$A$1:$BZ$1001,181,C$2)&amp;""),""))</f>
        <v/>
      </c>
      <c r="D182">
        <f>IF(D$2=0,"",IFERROR(TRIM(INDEX('Pegar docentes'!$A$1:$BZ$1001,181,D$2)&amp;""),""))</f>
        <v/>
      </c>
      <c r="E182">
        <f>IF(E$2=0,"",IFERROR(TRIM(INDEX('Pegar docentes'!$A$1:$BZ$1001,181,E$2)&amp;""),""))</f>
        <v/>
      </c>
      <c r="F182">
        <f>IF(F$2=0,"",IFERROR(TRIM(INDEX('Pegar docentes'!$A$1:$BZ$1001,181,F$2)&amp;""),""))</f>
        <v/>
      </c>
      <c r="G182">
        <f>IF(G$2=0,"",IFERROR(TRIM(INDEX('Pegar docentes'!$A$1:$BZ$1001,181,G$2)&amp;""),""))</f>
        <v/>
      </c>
      <c r="H182">
        <f>IF(H$2=0,"",IFERROR(TRIM(INDEX('Pegar docentes'!$A$1:$BZ$1001,181,H$2)&amp;""),""))</f>
        <v/>
      </c>
      <c r="I182">
        <f>IF(I$2=0,"",IFERROR(TRIM(INDEX('Pegar docentes'!$A$1:$BZ$1001,181,I$2)&amp;""),""))</f>
        <v/>
      </c>
      <c r="J182">
        <f>IF(J$2=0,"",IFERROR(TRIM(INDEX('Pegar docentes'!$A$1:$BZ$1001,181,J$2)&amp;""),""))</f>
        <v/>
      </c>
      <c r="K182">
        <f>IF(K$2=0,"",IFERROR(TRIM(INDEX('Pegar docentes'!$A$1:$BZ$1001,181,K$2)&amp;""),""))</f>
        <v/>
      </c>
      <c r="L182">
        <f>IF(L$2=0,"",IFERROR(TRIM(INDEX('Pegar docentes'!$A$1:$BZ$1001,181,L$2)&amp;""),""))</f>
        <v/>
      </c>
      <c r="M182">
        <f>IF(M$2=0,"",IFERROR(TRIM(INDEX('Pegar docentes'!$A$1:$BZ$1001,181,M$2)&amp;""),""))</f>
        <v/>
      </c>
      <c r="N182">
        <f>IF(N$2=0,"",IFERROR(TRIM(INDEX('Pegar docentes'!$A$1:$BZ$1001,181,N$2)&amp;""),""))</f>
        <v/>
      </c>
      <c r="O182">
        <f>IF(O$2=0,"",IFERROR(TRIM(INDEX('Pegar docentes'!$A$1:$BZ$1001,181,O$2)&amp;""),""))</f>
        <v/>
      </c>
      <c r="P182">
        <f>IF(P$2=0,"",IFERROR(TRIM(INDEX('Pegar docentes'!$A$1:$BZ$1001,181,P$2)&amp;""),""))</f>
        <v/>
      </c>
      <c r="Q182" s="25">
        <f>IF(OR(D182&lt;&gt;"",H182&lt;&gt;""),1,"")</f>
        <v/>
      </c>
      <c r="R182" s="25">
        <f>IF(Q182=1,IF(ISNUMBER(FIND("#"&amp;MID(D182,1,1)&amp;"#","#0#1#2#3#4#5#6#7#8#9#")),IF(ISNUMBER(FIND("#"&amp;MID(D182,2,1)&amp;"#","#0#1#2#3#4#5#6#7#8#9#")),IF(AND(VALUE(LEFT(D182,2))&gt;=1,VALUE(LEFT(D182,2))&lt;=5),VALUE(LEFT(D182,2)),""),IF(AND(VALUE(LEFT(D182,1))&gt;=1,VALUE(LEFT(D182,1))&lt;=5),VALUE(LEFT(D182,1)),"")),""),"")</f>
        <v/>
      </c>
      <c r="S182" s="25">
        <f>IF(AND(Q182=1,E182&lt;&gt;""),SUBSTITUTE(SUBSTITUTE(SUBSTITUTE(SUBSTITUTE(SUBSTITUTE(SUBSTITUTE(SUBSTITUTE(SUBSTITUTE(SUBSTITUTE(SUBSTITUTE(SUBSTITUTE(SUBSTITUTE(LOWER(TRIM(E182)),"á","a"),"é","e"),"í","i"),"ó","o"),"ú","u"),"ü","u"),"ñ","n"),"à","a"),"è","e"),"ì","i"),"ò","o"),"ù","u"),"")</f>
        <v/>
      </c>
      <c r="T182" s="25">
        <f>IF(AND(Q182=1,G182&lt;&gt;""),SUBSTITUTE(SUBSTITUTE(SUBSTITUTE(SUBSTITUTE(SUBSTITUTE(SUBSTITUTE(SUBSTITUTE(SUBSTITUTE(SUBSTITUTE(SUBSTITUTE(SUBSTITUTE(SUBSTITUTE(LOWER(TRIM(G182)),"á","a"),"é","e"),"í","i"),"ó","o"),"ú","u"),"ü","u"),"ñ","n"),"à","a"),"è","e"),"ì","i"),"ò","o"),"ù","u"),"")</f>
        <v/>
      </c>
      <c r="U182" s="25">
        <f>IF(AND(Q182=1,H182&lt;&gt;""),SUBSTITUTE(SUBSTITUTE(SUBSTITUTE(SUBSTITUTE(SUBSTITUTE(SUBSTITUTE(SUBSTITUTE(SUBSTITUTE(SUBSTITUTE(SUBSTITUTE(SUBSTITUTE(SUBSTITUTE(LOWER(TRIM(H182)),"á","a"),"é","e"),"í","i"),"ó","o"),"ú","u"),"ü","u"),"ñ","n"),"à","a"),"è","e"),"ì","i"),"ò","o"),"ù","u"),"")</f>
        <v/>
      </c>
      <c r="V182" s="25">
        <f>IF(AND(Q182=1,L182&lt;&gt;""),SUBSTITUTE(SUBSTITUTE(SUBSTITUTE(SUBSTITUTE(SUBSTITUTE(SUBSTITUTE(SUBSTITUTE(SUBSTITUTE(SUBSTITUTE(SUBSTITUTE(SUBSTITUTE(SUBSTITUTE(LOWER(TRIM(L182)),"á","a"),"é","e"),"í","i"),"ó","o"),"ú","u"),"ü","u"),"ñ","n"),"à","a"),"è","e"),"ì","i"),"ò","o"),"ù","u"),"")</f>
        <v/>
      </c>
      <c r="W182" s="25">
        <f>IF(AND(Q182=1,I182&lt;&gt;""),SUBSTITUTE(SUBSTITUTE(SUBSTITUTE(SUBSTITUTE(SUBSTITUTE(SUBSTITUTE(SUBSTITUTE(SUBSTITUTE(SUBSTITUTE(SUBSTITUTE(SUBSTITUTE(SUBSTITUTE(LOWER(TRIM(I182)),"á","a"),"é","e"),"í","i"),"ó","o"),"ú","u"),"ü","u"),"ñ","n"),"à","a"),"è","e"),"ì","i"),"ò","o"),"ù","u"),"")</f>
        <v/>
      </c>
      <c r="X182" s="25">
        <f>IF(U182="","",IF(OR(U182="si, en la proxima tarea",U182="si, con cambios"),1,0))</f>
        <v/>
      </c>
      <c r="Y182" s="25">
        <f>IF(AND(Q182=1,A182&lt;&gt;""),IF(IFERROR(COUNTIFS(A$3:A182,"="&amp;SUBSTITUTE(SUBSTITUTE(SUBSTITUTE(A182,"~","~~"),"*","~*"),"?","~?"),Q$3:Q182,1),0)=1,MAX(Y$2:Y181)+1,""),"")</f>
        <v/>
      </c>
      <c r="Z182" s="25">
        <f>IF(Y182="","",COUNTIFS($A$3:$A$1002,"="&amp;SUBSTITUTE(SUBSTITUTE(SUBSTITUTE(A182,"~","~~"),"*","~*"),"?","~?"),$Q$3:$Q$1002,1)*10000-Y182)</f>
        <v/>
      </c>
    </row>
    <row r="183">
      <c r="A183">
        <f>IF(A$2=0,"",IFERROR(TRIM(INDEX('Pegar docentes'!$A$1:$BZ$1001,182,A$2)&amp;""),""))</f>
        <v/>
      </c>
      <c r="B183">
        <f>IF(B$2=0,"",IFERROR(TRIM(INDEX('Pegar docentes'!$A$1:$BZ$1001,182,B$2)&amp;""),""))</f>
        <v/>
      </c>
      <c r="C183">
        <f>IF(C$2=0,"",IFERROR(TRIM(INDEX('Pegar docentes'!$A$1:$BZ$1001,182,C$2)&amp;""),""))</f>
        <v/>
      </c>
      <c r="D183">
        <f>IF(D$2=0,"",IFERROR(TRIM(INDEX('Pegar docentes'!$A$1:$BZ$1001,182,D$2)&amp;""),""))</f>
        <v/>
      </c>
      <c r="E183">
        <f>IF(E$2=0,"",IFERROR(TRIM(INDEX('Pegar docentes'!$A$1:$BZ$1001,182,E$2)&amp;""),""))</f>
        <v/>
      </c>
      <c r="F183">
        <f>IF(F$2=0,"",IFERROR(TRIM(INDEX('Pegar docentes'!$A$1:$BZ$1001,182,F$2)&amp;""),""))</f>
        <v/>
      </c>
      <c r="G183">
        <f>IF(G$2=0,"",IFERROR(TRIM(INDEX('Pegar docentes'!$A$1:$BZ$1001,182,G$2)&amp;""),""))</f>
        <v/>
      </c>
      <c r="H183">
        <f>IF(H$2=0,"",IFERROR(TRIM(INDEX('Pegar docentes'!$A$1:$BZ$1001,182,H$2)&amp;""),""))</f>
        <v/>
      </c>
      <c r="I183">
        <f>IF(I$2=0,"",IFERROR(TRIM(INDEX('Pegar docentes'!$A$1:$BZ$1001,182,I$2)&amp;""),""))</f>
        <v/>
      </c>
      <c r="J183">
        <f>IF(J$2=0,"",IFERROR(TRIM(INDEX('Pegar docentes'!$A$1:$BZ$1001,182,J$2)&amp;""),""))</f>
        <v/>
      </c>
      <c r="K183">
        <f>IF(K$2=0,"",IFERROR(TRIM(INDEX('Pegar docentes'!$A$1:$BZ$1001,182,K$2)&amp;""),""))</f>
        <v/>
      </c>
      <c r="L183">
        <f>IF(L$2=0,"",IFERROR(TRIM(INDEX('Pegar docentes'!$A$1:$BZ$1001,182,L$2)&amp;""),""))</f>
        <v/>
      </c>
      <c r="M183">
        <f>IF(M$2=0,"",IFERROR(TRIM(INDEX('Pegar docentes'!$A$1:$BZ$1001,182,M$2)&amp;""),""))</f>
        <v/>
      </c>
      <c r="N183">
        <f>IF(N$2=0,"",IFERROR(TRIM(INDEX('Pegar docentes'!$A$1:$BZ$1001,182,N$2)&amp;""),""))</f>
        <v/>
      </c>
      <c r="O183">
        <f>IF(O$2=0,"",IFERROR(TRIM(INDEX('Pegar docentes'!$A$1:$BZ$1001,182,O$2)&amp;""),""))</f>
        <v/>
      </c>
      <c r="P183">
        <f>IF(P$2=0,"",IFERROR(TRIM(INDEX('Pegar docentes'!$A$1:$BZ$1001,182,P$2)&amp;""),""))</f>
        <v/>
      </c>
      <c r="Q183" s="25">
        <f>IF(OR(D183&lt;&gt;"",H183&lt;&gt;""),1,"")</f>
        <v/>
      </c>
      <c r="R183" s="25">
        <f>IF(Q183=1,IF(ISNUMBER(FIND("#"&amp;MID(D183,1,1)&amp;"#","#0#1#2#3#4#5#6#7#8#9#")),IF(ISNUMBER(FIND("#"&amp;MID(D183,2,1)&amp;"#","#0#1#2#3#4#5#6#7#8#9#")),IF(AND(VALUE(LEFT(D183,2))&gt;=1,VALUE(LEFT(D183,2))&lt;=5),VALUE(LEFT(D183,2)),""),IF(AND(VALUE(LEFT(D183,1))&gt;=1,VALUE(LEFT(D183,1))&lt;=5),VALUE(LEFT(D183,1)),"")),""),"")</f>
        <v/>
      </c>
      <c r="S183" s="25">
        <f>IF(AND(Q183=1,E183&lt;&gt;""),SUBSTITUTE(SUBSTITUTE(SUBSTITUTE(SUBSTITUTE(SUBSTITUTE(SUBSTITUTE(SUBSTITUTE(SUBSTITUTE(SUBSTITUTE(SUBSTITUTE(SUBSTITUTE(SUBSTITUTE(LOWER(TRIM(E183)),"á","a"),"é","e"),"í","i"),"ó","o"),"ú","u"),"ü","u"),"ñ","n"),"à","a"),"è","e"),"ì","i"),"ò","o"),"ù","u"),"")</f>
        <v/>
      </c>
      <c r="T183" s="25">
        <f>IF(AND(Q183=1,G183&lt;&gt;""),SUBSTITUTE(SUBSTITUTE(SUBSTITUTE(SUBSTITUTE(SUBSTITUTE(SUBSTITUTE(SUBSTITUTE(SUBSTITUTE(SUBSTITUTE(SUBSTITUTE(SUBSTITUTE(SUBSTITUTE(LOWER(TRIM(G183)),"á","a"),"é","e"),"í","i"),"ó","o"),"ú","u"),"ü","u"),"ñ","n"),"à","a"),"è","e"),"ì","i"),"ò","o"),"ù","u"),"")</f>
        <v/>
      </c>
      <c r="U183" s="25">
        <f>IF(AND(Q183=1,H183&lt;&gt;""),SUBSTITUTE(SUBSTITUTE(SUBSTITUTE(SUBSTITUTE(SUBSTITUTE(SUBSTITUTE(SUBSTITUTE(SUBSTITUTE(SUBSTITUTE(SUBSTITUTE(SUBSTITUTE(SUBSTITUTE(LOWER(TRIM(H183)),"á","a"),"é","e"),"í","i"),"ó","o"),"ú","u"),"ü","u"),"ñ","n"),"à","a"),"è","e"),"ì","i"),"ò","o"),"ù","u"),"")</f>
        <v/>
      </c>
      <c r="V183" s="25">
        <f>IF(AND(Q183=1,L183&lt;&gt;""),SUBSTITUTE(SUBSTITUTE(SUBSTITUTE(SUBSTITUTE(SUBSTITUTE(SUBSTITUTE(SUBSTITUTE(SUBSTITUTE(SUBSTITUTE(SUBSTITUTE(SUBSTITUTE(SUBSTITUTE(LOWER(TRIM(L183)),"á","a"),"é","e"),"í","i"),"ó","o"),"ú","u"),"ü","u"),"ñ","n"),"à","a"),"è","e"),"ì","i"),"ò","o"),"ù","u"),"")</f>
        <v/>
      </c>
      <c r="W183" s="25">
        <f>IF(AND(Q183=1,I183&lt;&gt;""),SUBSTITUTE(SUBSTITUTE(SUBSTITUTE(SUBSTITUTE(SUBSTITUTE(SUBSTITUTE(SUBSTITUTE(SUBSTITUTE(SUBSTITUTE(SUBSTITUTE(SUBSTITUTE(SUBSTITUTE(LOWER(TRIM(I183)),"á","a"),"é","e"),"í","i"),"ó","o"),"ú","u"),"ü","u"),"ñ","n"),"à","a"),"è","e"),"ì","i"),"ò","o"),"ù","u"),"")</f>
        <v/>
      </c>
      <c r="X183" s="25">
        <f>IF(U183="","",IF(OR(U183="si, en la proxima tarea",U183="si, con cambios"),1,0))</f>
        <v/>
      </c>
      <c r="Y183" s="25">
        <f>IF(AND(Q183=1,A183&lt;&gt;""),IF(IFERROR(COUNTIFS(A$3:A183,"="&amp;SUBSTITUTE(SUBSTITUTE(SUBSTITUTE(A183,"~","~~"),"*","~*"),"?","~?"),Q$3:Q183,1),0)=1,MAX(Y$2:Y182)+1,""),"")</f>
        <v/>
      </c>
      <c r="Z183" s="25">
        <f>IF(Y183="","",COUNTIFS($A$3:$A$1002,"="&amp;SUBSTITUTE(SUBSTITUTE(SUBSTITUTE(A183,"~","~~"),"*","~*"),"?","~?"),$Q$3:$Q$1002,1)*10000-Y183)</f>
        <v/>
      </c>
    </row>
    <row r="184">
      <c r="A184">
        <f>IF(A$2=0,"",IFERROR(TRIM(INDEX('Pegar docentes'!$A$1:$BZ$1001,183,A$2)&amp;""),""))</f>
        <v/>
      </c>
      <c r="B184">
        <f>IF(B$2=0,"",IFERROR(TRIM(INDEX('Pegar docentes'!$A$1:$BZ$1001,183,B$2)&amp;""),""))</f>
        <v/>
      </c>
      <c r="C184">
        <f>IF(C$2=0,"",IFERROR(TRIM(INDEX('Pegar docentes'!$A$1:$BZ$1001,183,C$2)&amp;""),""))</f>
        <v/>
      </c>
      <c r="D184">
        <f>IF(D$2=0,"",IFERROR(TRIM(INDEX('Pegar docentes'!$A$1:$BZ$1001,183,D$2)&amp;""),""))</f>
        <v/>
      </c>
      <c r="E184">
        <f>IF(E$2=0,"",IFERROR(TRIM(INDEX('Pegar docentes'!$A$1:$BZ$1001,183,E$2)&amp;""),""))</f>
        <v/>
      </c>
      <c r="F184">
        <f>IF(F$2=0,"",IFERROR(TRIM(INDEX('Pegar docentes'!$A$1:$BZ$1001,183,F$2)&amp;""),""))</f>
        <v/>
      </c>
      <c r="G184">
        <f>IF(G$2=0,"",IFERROR(TRIM(INDEX('Pegar docentes'!$A$1:$BZ$1001,183,G$2)&amp;""),""))</f>
        <v/>
      </c>
      <c r="H184">
        <f>IF(H$2=0,"",IFERROR(TRIM(INDEX('Pegar docentes'!$A$1:$BZ$1001,183,H$2)&amp;""),""))</f>
        <v/>
      </c>
      <c r="I184">
        <f>IF(I$2=0,"",IFERROR(TRIM(INDEX('Pegar docentes'!$A$1:$BZ$1001,183,I$2)&amp;""),""))</f>
        <v/>
      </c>
      <c r="J184">
        <f>IF(J$2=0,"",IFERROR(TRIM(INDEX('Pegar docentes'!$A$1:$BZ$1001,183,J$2)&amp;""),""))</f>
        <v/>
      </c>
      <c r="K184">
        <f>IF(K$2=0,"",IFERROR(TRIM(INDEX('Pegar docentes'!$A$1:$BZ$1001,183,K$2)&amp;""),""))</f>
        <v/>
      </c>
      <c r="L184">
        <f>IF(L$2=0,"",IFERROR(TRIM(INDEX('Pegar docentes'!$A$1:$BZ$1001,183,L$2)&amp;""),""))</f>
        <v/>
      </c>
      <c r="M184">
        <f>IF(M$2=0,"",IFERROR(TRIM(INDEX('Pegar docentes'!$A$1:$BZ$1001,183,M$2)&amp;""),""))</f>
        <v/>
      </c>
      <c r="N184">
        <f>IF(N$2=0,"",IFERROR(TRIM(INDEX('Pegar docentes'!$A$1:$BZ$1001,183,N$2)&amp;""),""))</f>
        <v/>
      </c>
      <c r="O184">
        <f>IF(O$2=0,"",IFERROR(TRIM(INDEX('Pegar docentes'!$A$1:$BZ$1001,183,O$2)&amp;""),""))</f>
        <v/>
      </c>
      <c r="P184">
        <f>IF(P$2=0,"",IFERROR(TRIM(INDEX('Pegar docentes'!$A$1:$BZ$1001,183,P$2)&amp;""),""))</f>
        <v/>
      </c>
      <c r="Q184" s="25">
        <f>IF(OR(D184&lt;&gt;"",H184&lt;&gt;""),1,"")</f>
        <v/>
      </c>
      <c r="R184" s="25">
        <f>IF(Q184=1,IF(ISNUMBER(FIND("#"&amp;MID(D184,1,1)&amp;"#","#0#1#2#3#4#5#6#7#8#9#")),IF(ISNUMBER(FIND("#"&amp;MID(D184,2,1)&amp;"#","#0#1#2#3#4#5#6#7#8#9#")),IF(AND(VALUE(LEFT(D184,2))&gt;=1,VALUE(LEFT(D184,2))&lt;=5),VALUE(LEFT(D184,2)),""),IF(AND(VALUE(LEFT(D184,1))&gt;=1,VALUE(LEFT(D184,1))&lt;=5),VALUE(LEFT(D184,1)),"")),""),"")</f>
        <v/>
      </c>
      <c r="S184" s="25">
        <f>IF(AND(Q184=1,E184&lt;&gt;""),SUBSTITUTE(SUBSTITUTE(SUBSTITUTE(SUBSTITUTE(SUBSTITUTE(SUBSTITUTE(SUBSTITUTE(SUBSTITUTE(SUBSTITUTE(SUBSTITUTE(SUBSTITUTE(SUBSTITUTE(LOWER(TRIM(E184)),"á","a"),"é","e"),"í","i"),"ó","o"),"ú","u"),"ü","u"),"ñ","n"),"à","a"),"è","e"),"ì","i"),"ò","o"),"ù","u"),"")</f>
        <v/>
      </c>
      <c r="T184" s="25">
        <f>IF(AND(Q184=1,G184&lt;&gt;""),SUBSTITUTE(SUBSTITUTE(SUBSTITUTE(SUBSTITUTE(SUBSTITUTE(SUBSTITUTE(SUBSTITUTE(SUBSTITUTE(SUBSTITUTE(SUBSTITUTE(SUBSTITUTE(SUBSTITUTE(LOWER(TRIM(G184)),"á","a"),"é","e"),"í","i"),"ó","o"),"ú","u"),"ü","u"),"ñ","n"),"à","a"),"è","e"),"ì","i"),"ò","o"),"ù","u"),"")</f>
        <v/>
      </c>
      <c r="U184" s="25">
        <f>IF(AND(Q184=1,H184&lt;&gt;""),SUBSTITUTE(SUBSTITUTE(SUBSTITUTE(SUBSTITUTE(SUBSTITUTE(SUBSTITUTE(SUBSTITUTE(SUBSTITUTE(SUBSTITUTE(SUBSTITUTE(SUBSTITUTE(SUBSTITUTE(LOWER(TRIM(H184)),"á","a"),"é","e"),"í","i"),"ó","o"),"ú","u"),"ü","u"),"ñ","n"),"à","a"),"è","e"),"ì","i"),"ò","o"),"ù","u"),"")</f>
        <v/>
      </c>
      <c r="V184" s="25">
        <f>IF(AND(Q184=1,L184&lt;&gt;""),SUBSTITUTE(SUBSTITUTE(SUBSTITUTE(SUBSTITUTE(SUBSTITUTE(SUBSTITUTE(SUBSTITUTE(SUBSTITUTE(SUBSTITUTE(SUBSTITUTE(SUBSTITUTE(SUBSTITUTE(LOWER(TRIM(L184)),"á","a"),"é","e"),"í","i"),"ó","o"),"ú","u"),"ü","u"),"ñ","n"),"à","a"),"è","e"),"ì","i"),"ò","o"),"ù","u"),"")</f>
        <v/>
      </c>
      <c r="W184" s="25">
        <f>IF(AND(Q184=1,I184&lt;&gt;""),SUBSTITUTE(SUBSTITUTE(SUBSTITUTE(SUBSTITUTE(SUBSTITUTE(SUBSTITUTE(SUBSTITUTE(SUBSTITUTE(SUBSTITUTE(SUBSTITUTE(SUBSTITUTE(SUBSTITUTE(LOWER(TRIM(I184)),"á","a"),"é","e"),"í","i"),"ó","o"),"ú","u"),"ü","u"),"ñ","n"),"à","a"),"è","e"),"ì","i"),"ò","o"),"ù","u"),"")</f>
        <v/>
      </c>
      <c r="X184" s="25">
        <f>IF(U184="","",IF(OR(U184="si, en la proxima tarea",U184="si, con cambios"),1,0))</f>
        <v/>
      </c>
      <c r="Y184" s="25">
        <f>IF(AND(Q184=1,A184&lt;&gt;""),IF(IFERROR(COUNTIFS(A$3:A184,"="&amp;SUBSTITUTE(SUBSTITUTE(SUBSTITUTE(A184,"~","~~"),"*","~*"),"?","~?"),Q$3:Q184,1),0)=1,MAX(Y$2:Y183)+1,""),"")</f>
        <v/>
      </c>
      <c r="Z184" s="25">
        <f>IF(Y184="","",COUNTIFS($A$3:$A$1002,"="&amp;SUBSTITUTE(SUBSTITUTE(SUBSTITUTE(A184,"~","~~"),"*","~*"),"?","~?"),$Q$3:$Q$1002,1)*10000-Y184)</f>
        <v/>
      </c>
    </row>
    <row r="185">
      <c r="A185">
        <f>IF(A$2=0,"",IFERROR(TRIM(INDEX('Pegar docentes'!$A$1:$BZ$1001,184,A$2)&amp;""),""))</f>
        <v/>
      </c>
      <c r="B185">
        <f>IF(B$2=0,"",IFERROR(TRIM(INDEX('Pegar docentes'!$A$1:$BZ$1001,184,B$2)&amp;""),""))</f>
        <v/>
      </c>
      <c r="C185">
        <f>IF(C$2=0,"",IFERROR(TRIM(INDEX('Pegar docentes'!$A$1:$BZ$1001,184,C$2)&amp;""),""))</f>
        <v/>
      </c>
      <c r="D185">
        <f>IF(D$2=0,"",IFERROR(TRIM(INDEX('Pegar docentes'!$A$1:$BZ$1001,184,D$2)&amp;""),""))</f>
        <v/>
      </c>
      <c r="E185">
        <f>IF(E$2=0,"",IFERROR(TRIM(INDEX('Pegar docentes'!$A$1:$BZ$1001,184,E$2)&amp;""),""))</f>
        <v/>
      </c>
      <c r="F185">
        <f>IF(F$2=0,"",IFERROR(TRIM(INDEX('Pegar docentes'!$A$1:$BZ$1001,184,F$2)&amp;""),""))</f>
        <v/>
      </c>
      <c r="G185">
        <f>IF(G$2=0,"",IFERROR(TRIM(INDEX('Pegar docentes'!$A$1:$BZ$1001,184,G$2)&amp;""),""))</f>
        <v/>
      </c>
      <c r="H185">
        <f>IF(H$2=0,"",IFERROR(TRIM(INDEX('Pegar docentes'!$A$1:$BZ$1001,184,H$2)&amp;""),""))</f>
        <v/>
      </c>
      <c r="I185">
        <f>IF(I$2=0,"",IFERROR(TRIM(INDEX('Pegar docentes'!$A$1:$BZ$1001,184,I$2)&amp;""),""))</f>
        <v/>
      </c>
      <c r="J185">
        <f>IF(J$2=0,"",IFERROR(TRIM(INDEX('Pegar docentes'!$A$1:$BZ$1001,184,J$2)&amp;""),""))</f>
        <v/>
      </c>
      <c r="K185">
        <f>IF(K$2=0,"",IFERROR(TRIM(INDEX('Pegar docentes'!$A$1:$BZ$1001,184,K$2)&amp;""),""))</f>
        <v/>
      </c>
      <c r="L185">
        <f>IF(L$2=0,"",IFERROR(TRIM(INDEX('Pegar docentes'!$A$1:$BZ$1001,184,L$2)&amp;""),""))</f>
        <v/>
      </c>
      <c r="M185">
        <f>IF(M$2=0,"",IFERROR(TRIM(INDEX('Pegar docentes'!$A$1:$BZ$1001,184,M$2)&amp;""),""))</f>
        <v/>
      </c>
      <c r="N185">
        <f>IF(N$2=0,"",IFERROR(TRIM(INDEX('Pegar docentes'!$A$1:$BZ$1001,184,N$2)&amp;""),""))</f>
        <v/>
      </c>
      <c r="O185">
        <f>IF(O$2=0,"",IFERROR(TRIM(INDEX('Pegar docentes'!$A$1:$BZ$1001,184,O$2)&amp;""),""))</f>
        <v/>
      </c>
      <c r="P185">
        <f>IF(P$2=0,"",IFERROR(TRIM(INDEX('Pegar docentes'!$A$1:$BZ$1001,184,P$2)&amp;""),""))</f>
        <v/>
      </c>
      <c r="Q185" s="25">
        <f>IF(OR(D185&lt;&gt;"",H185&lt;&gt;""),1,"")</f>
        <v/>
      </c>
      <c r="R185" s="25">
        <f>IF(Q185=1,IF(ISNUMBER(FIND("#"&amp;MID(D185,1,1)&amp;"#","#0#1#2#3#4#5#6#7#8#9#")),IF(ISNUMBER(FIND("#"&amp;MID(D185,2,1)&amp;"#","#0#1#2#3#4#5#6#7#8#9#")),IF(AND(VALUE(LEFT(D185,2))&gt;=1,VALUE(LEFT(D185,2))&lt;=5),VALUE(LEFT(D185,2)),""),IF(AND(VALUE(LEFT(D185,1))&gt;=1,VALUE(LEFT(D185,1))&lt;=5),VALUE(LEFT(D185,1)),"")),""),"")</f>
        <v/>
      </c>
      <c r="S185" s="25">
        <f>IF(AND(Q185=1,E185&lt;&gt;""),SUBSTITUTE(SUBSTITUTE(SUBSTITUTE(SUBSTITUTE(SUBSTITUTE(SUBSTITUTE(SUBSTITUTE(SUBSTITUTE(SUBSTITUTE(SUBSTITUTE(SUBSTITUTE(SUBSTITUTE(LOWER(TRIM(E185)),"á","a"),"é","e"),"í","i"),"ó","o"),"ú","u"),"ü","u"),"ñ","n"),"à","a"),"è","e"),"ì","i"),"ò","o"),"ù","u"),"")</f>
        <v/>
      </c>
      <c r="T185" s="25">
        <f>IF(AND(Q185=1,G185&lt;&gt;""),SUBSTITUTE(SUBSTITUTE(SUBSTITUTE(SUBSTITUTE(SUBSTITUTE(SUBSTITUTE(SUBSTITUTE(SUBSTITUTE(SUBSTITUTE(SUBSTITUTE(SUBSTITUTE(SUBSTITUTE(LOWER(TRIM(G185)),"á","a"),"é","e"),"í","i"),"ó","o"),"ú","u"),"ü","u"),"ñ","n"),"à","a"),"è","e"),"ì","i"),"ò","o"),"ù","u"),"")</f>
        <v/>
      </c>
      <c r="U185" s="25">
        <f>IF(AND(Q185=1,H185&lt;&gt;""),SUBSTITUTE(SUBSTITUTE(SUBSTITUTE(SUBSTITUTE(SUBSTITUTE(SUBSTITUTE(SUBSTITUTE(SUBSTITUTE(SUBSTITUTE(SUBSTITUTE(SUBSTITUTE(SUBSTITUTE(LOWER(TRIM(H185)),"á","a"),"é","e"),"í","i"),"ó","o"),"ú","u"),"ü","u"),"ñ","n"),"à","a"),"è","e"),"ì","i"),"ò","o"),"ù","u"),"")</f>
        <v/>
      </c>
      <c r="V185" s="25">
        <f>IF(AND(Q185=1,L185&lt;&gt;""),SUBSTITUTE(SUBSTITUTE(SUBSTITUTE(SUBSTITUTE(SUBSTITUTE(SUBSTITUTE(SUBSTITUTE(SUBSTITUTE(SUBSTITUTE(SUBSTITUTE(SUBSTITUTE(SUBSTITUTE(LOWER(TRIM(L185)),"á","a"),"é","e"),"í","i"),"ó","o"),"ú","u"),"ü","u"),"ñ","n"),"à","a"),"è","e"),"ì","i"),"ò","o"),"ù","u"),"")</f>
        <v/>
      </c>
      <c r="W185" s="25">
        <f>IF(AND(Q185=1,I185&lt;&gt;""),SUBSTITUTE(SUBSTITUTE(SUBSTITUTE(SUBSTITUTE(SUBSTITUTE(SUBSTITUTE(SUBSTITUTE(SUBSTITUTE(SUBSTITUTE(SUBSTITUTE(SUBSTITUTE(SUBSTITUTE(LOWER(TRIM(I185)),"á","a"),"é","e"),"í","i"),"ó","o"),"ú","u"),"ü","u"),"ñ","n"),"à","a"),"è","e"),"ì","i"),"ò","o"),"ù","u"),"")</f>
        <v/>
      </c>
      <c r="X185" s="25">
        <f>IF(U185="","",IF(OR(U185="si, en la proxima tarea",U185="si, con cambios"),1,0))</f>
        <v/>
      </c>
      <c r="Y185" s="25">
        <f>IF(AND(Q185=1,A185&lt;&gt;""),IF(IFERROR(COUNTIFS(A$3:A185,"="&amp;SUBSTITUTE(SUBSTITUTE(SUBSTITUTE(A185,"~","~~"),"*","~*"),"?","~?"),Q$3:Q185,1),0)=1,MAX(Y$2:Y184)+1,""),"")</f>
        <v/>
      </c>
      <c r="Z185" s="25">
        <f>IF(Y185="","",COUNTIFS($A$3:$A$1002,"="&amp;SUBSTITUTE(SUBSTITUTE(SUBSTITUTE(A185,"~","~~"),"*","~*"),"?","~?"),$Q$3:$Q$1002,1)*10000-Y185)</f>
        <v/>
      </c>
    </row>
    <row r="186">
      <c r="A186">
        <f>IF(A$2=0,"",IFERROR(TRIM(INDEX('Pegar docentes'!$A$1:$BZ$1001,185,A$2)&amp;""),""))</f>
        <v/>
      </c>
      <c r="B186">
        <f>IF(B$2=0,"",IFERROR(TRIM(INDEX('Pegar docentes'!$A$1:$BZ$1001,185,B$2)&amp;""),""))</f>
        <v/>
      </c>
      <c r="C186">
        <f>IF(C$2=0,"",IFERROR(TRIM(INDEX('Pegar docentes'!$A$1:$BZ$1001,185,C$2)&amp;""),""))</f>
        <v/>
      </c>
      <c r="D186">
        <f>IF(D$2=0,"",IFERROR(TRIM(INDEX('Pegar docentes'!$A$1:$BZ$1001,185,D$2)&amp;""),""))</f>
        <v/>
      </c>
      <c r="E186">
        <f>IF(E$2=0,"",IFERROR(TRIM(INDEX('Pegar docentes'!$A$1:$BZ$1001,185,E$2)&amp;""),""))</f>
        <v/>
      </c>
      <c r="F186">
        <f>IF(F$2=0,"",IFERROR(TRIM(INDEX('Pegar docentes'!$A$1:$BZ$1001,185,F$2)&amp;""),""))</f>
        <v/>
      </c>
      <c r="G186">
        <f>IF(G$2=0,"",IFERROR(TRIM(INDEX('Pegar docentes'!$A$1:$BZ$1001,185,G$2)&amp;""),""))</f>
        <v/>
      </c>
      <c r="H186">
        <f>IF(H$2=0,"",IFERROR(TRIM(INDEX('Pegar docentes'!$A$1:$BZ$1001,185,H$2)&amp;""),""))</f>
        <v/>
      </c>
      <c r="I186">
        <f>IF(I$2=0,"",IFERROR(TRIM(INDEX('Pegar docentes'!$A$1:$BZ$1001,185,I$2)&amp;""),""))</f>
        <v/>
      </c>
      <c r="J186">
        <f>IF(J$2=0,"",IFERROR(TRIM(INDEX('Pegar docentes'!$A$1:$BZ$1001,185,J$2)&amp;""),""))</f>
        <v/>
      </c>
      <c r="K186">
        <f>IF(K$2=0,"",IFERROR(TRIM(INDEX('Pegar docentes'!$A$1:$BZ$1001,185,K$2)&amp;""),""))</f>
        <v/>
      </c>
      <c r="L186">
        <f>IF(L$2=0,"",IFERROR(TRIM(INDEX('Pegar docentes'!$A$1:$BZ$1001,185,L$2)&amp;""),""))</f>
        <v/>
      </c>
      <c r="M186">
        <f>IF(M$2=0,"",IFERROR(TRIM(INDEX('Pegar docentes'!$A$1:$BZ$1001,185,M$2)&amp;""),""))</f>
        <v/>
      </c>
      <c r="N186">
        <f>IF(N$2=0,"",IFERROR(TRIM(INDEX('Pegar docentes'!$A$1:$BZ$1001,185,N$2)&amp;""),""))</f>
        <v/>
      </c>
      <c r="O186">
        <f>IF(O$2=0,"",IFERROR(TRIM(INDEX('Pegar docentes'!$A$1:$BZ$1001,185,O$2)&amp;""),""))</f>
        <v/>
      </c>
      <c r="P186">
        <f>IF(P$2=0,"",IFERROR(TRIM(INDEX('Pegar docentes'!$A$1:$BZ$1001,185,P$2)&amp;""),""))</f>
        <v/>
      </c>
      <c r="Q186" s="25">
        <f>IF(OR(D186&lt;&gt;"",H186&lt;&gt;""),1,"")</f>
        <v/>
      </c>
      <c r="R186" s="25">
        <f>IF(Q186=1,IF(ISNUMBER(FIND("#"&amp;MID(D186,1,1)&amp;"#","#0#1#2#3#4#5#6#7#8#9#")),IF(ISNUMBER(FIND("#"&amp;MID(D186,2,1)&amp;"#","#0#1#2#3#4#5#6#7#8#9#")),IF(AND(VALUE(LEFT(D186,2))&gt;=1,VALUE(LEFT(D186,2))&lt;=5),VALUE(LEFT(D186,2)),""),IF(AND(VALUE(LEFT(D186,1))&gt;=1,VALUE(LEFT(D186,1))&lt;=5),VALUE(LEFT(D186,1)),"")),""),"")</f>
        <v/>
      </c>
      <c r="S186" s="25">
        <f>IF(AND(Q186=1,E186&lt;&gt;""),SUBSTITUTE(SUBSTITUTE(SUBSTITUTE(SUBSTITUTE(SUBSTITUTE(SUBSTITUTE(SUBSTITUTE(SUBSTITUTE(SUBSTITUTE(SUBSTITUTE(SUBSTITUTE(SUBSTITUTE(LOWER(TRIM(E186)),"á","a"),"é","e"),"í","i"),"ó","o"),"ú","u"),"ü","u"),"ñ","n"),"à","a"),"è","e"),"ì","i"),"ò","o"),"ù","u"),"")</f>
        <v/>
      </c>
      <c r="T186" s="25">
        <f>IF(AND(Q186=1,G186&lt;&gt;""),SUBSTITUTE(SUBSTITUTE(SUBSTITUTE(SUBSTITUTE(SUBSTITUTE(SUBSTITUTE(SUBSTITUTE(SUBSTITUTE(SUBSTITUTE(SUBSTITUTE(SUBSTITUTE(SUBSTITUTE(LOWER(TRIM(G186)),"á","a"),"é","e"),"í","i"),"ó","o"),"ú","u"),"ü","u"),"ñ","n"),"à","a"),"è","e"),"ì","i"),"ò","o"),"ù","u"),"")</f>
        <v/>
      </c>
      <c r="U186" s="25">
        <f>IF(AND(Q186=1,H186&lt;&gt;""),SUBSTITUTE(SUBSTITUTE(SUBSTITUTE(SUBSTITUTE(SUBSTITUTE(SUBSTITUTE(SUBSTITUTE(SUBSTITUTE(SUBSTITUTE(SUBSTITUTE(SUBSTITUTE(SUBSTITUTE(LOWER(TRIM(H186)),"á","a"),"é","e"),"í","i"),"ó","o"),"ú","u"),"ü","u"),"ñ","n"),"à","a"),"è","e"),"ì","i"),"ò","o"),"ù","u"),"")</f>
        <v/>
      </c>
      <c r="V186" s="25">
        <f>IF(AND(Q186=1,L186&lt;&gt;""),SUBSTITUTE(SUBSTITUTE(SUBSTITUTE(SUBSTITUTE(SUBSTITUTE(SUBSTITUTE(SUBSTITUTE(SUBSTITUTE(SUBSTITUTE(SUBSTITUTE(SUBSTITUTE(SUBSTITUTE(LOWER(TRIM(L186)),"á","a"),"é","e"),"í","i"),"ó","o"),"ú","u"),"ü","u"),"ñ","n"),"à","a"),"è","e"),"ì","i"),"ò","o"),"ù","u"),"")</f>
        <v/>
      </c>
      <c r="W186" s="25">
        <f>IF(AND(Q186=1,I186&lt;&gt;""),SUBSTITUTE(SUBSTITUTE(SUBSTITUTE(SUBSTITUTE(SUBSTITUTE(SUBSTITUTE(SUBSTITUTE(SUBSTITUTE(SUBSTITUTE(SUBSTITUTE(SUBSTITUTE(SUBSTITUTE(LOWER(TRIM(I186)),"á","a"),"é","e"),"í","i"),"ó","o"),"ú","u"),"ü","u"),"ñ","n"),"à","a"),"è","e"),"ì","i"),"ò","o"),"ù","u"),"")</f>
        <v/>
      </c>
      <c r="X186" s="25">
        <f>IF(U186="","",IF(OR(U186="si, en la proxima tarea",U186="si, con cambios"),1,0))</f>
        <v/>
      </c>
      <c r="Y186" s="25">
        <f>IF(AND(Q186=1,A186&lt;&gt;""),IF(IFERROR(COUNTIFS(A$3:A186,"="&amp;SUBSTITUTE(SUBSTITUTE(SUBSTITUTE(A186,"~","~~"),"*","~*"),"?","~?"),Q$3:Q186,1),0)=1,MAX(Y$2:Y185)+1,""),"")</f>
        <v/>
      </c>
      <c r="Z186" s="25">
        <f>IF(Y186="","",COUNTIFS($A$3:$A$1002,"="&amp;SUBSTITUTE(SUBSTITUTE(SUBSTITUTE(A186,"~","~~"),"*","~*"),"?","~?"),$Q$3:$Q$1002,1)*10000-Y186)</f>
        <v/>
      </c>
    </row>
    <row r="187">
      <c r="A187">
        <f>IF(A$2=0,"",IFERROR(TRIM(INDEX('Pegar docentes'!$A$1:$BZ$1001,186,A$2)&amp;""),""))</f>
        <v/>
      </c>
      <c r="B187">
        <f>IF(B$2=0,"",IFERROR(TRIM(INDEX('Pegar docentes'!$A$1:$BZ$1001,186,B$2)&amp;""),""))</f>
        <v/>
      </c>
      <c r="C187">
        <f>IF(C$2=0,"",IFERROR(TRIM(INDEX('Pegar docentes'!$A$1:$BZ$1001,186,C$2)&amp;""),""))</f>
        <v/>
      </c>
      <c r="D187">
        <f>IF(D$2=0,"",IFERROR(TRIM(INDEX('Pegar docentes'!$A$1:$BZ$1001,186,D$2)&amp;""),""))</f>
        <v/>
      </c>
      <c r="E187">
        <f>IF(E$2=0,"",IFERROR(TRIM(INDEX('Pegar docentes'!$A$1:$BZ$1001,186,E$2)&amp;""),""))</f>
        <v/>
      </c>
      <c r="F187">
        <f>IF(F$2=0,"",IFERROR(TRIM(INDEX('Pegar docentes'!$A$1:$BZ$1001,186,F$2)&amp;""),""))</f>
        <v/>
      </c>
      <c r="G187">
        <f>IF(G$2=0,"",IFERROR(TRIM(INDEX('Pegar docentes'!$A$1:$BZ$1001,186,G$2)&amp;""),""))</f>
        <v/>
      </c>
      <c r="H187">
        <f>IF(H$2=0,"",IFERROR(TRIM(INDEX('Pegar docentes'!$A$1:$BZ$1001,186,H$2)&amp;""),""))</f>
        <v/>
      </c>
      <c r="I187">
        <f>IF(I$2=0,"",IFERROR(TRIM(INDEX('Pegar docentes'!$A$1:$BZ$1001,186,I$2)&amp;""),""))</f>
        <v/>
      </c>
      <c r="J187">
        <f>IF(J$2=0,"",IFERROR(TRIM(INDEX('Pegar docentes'!$A$1:$BZ$1001,186,J$2)&amp;""),""))</f>
        <v/>
      </c>
      <c r="K187">
        <f>IF(K$2=0,"",IFERROR(TRIM(INDEX('Pegar docentes'!$A$1:$BZ$1001,186,K$2)&amp;""),""))</f>
        <v/>
      </c>
      <c r="L187">
        <f>IF(L$2=0,"",IFERROR(TRIM(INDEX('Pegar docentes'!$A$1:$BZ$1001,186,L$2)&amp;""),""))</f>
        <v/>
      </c>
      <c r="M187">
        <f>IF(M$2=0,"",IFERROR(TRIM(INDEX('Pegar docentes'!$A$1:$BZ$1001,186,M$2)&amp;""),""))</f>
        <v/>
      </c>
      <c r="N187">
        <f>IF(N$2=0,"",IFERROR(TRIM(INDEX('Pegar docentes'!$A$1:$BZ$1001,186,N$2)&amp;""),""))</f>
        <v/>
      </c>
      <c r="O187">
        <f>IF(O$2=0,"",IFERROR(TRIM(INDEX('Pegar docentes'!$A$1:$BZ$1001,186,O$2)&amp;""),""))</f>
        <v/>
      </c>
      <c r="P187">
        <f>IF(P$2=0,"",IFERROR(TRIM(INDEX('Pegar docentes'!$A$1:$BZ$1001,186,P$2)&amp;""),""))</f>
        <v/>
      </c>
      <c r="Q187" s="25">
        <f>IF(OR(D187&lt;&gt;"",H187&lt;&gt;""),1,"")</f>
        <v/>
      </c>
      <c r="R187" s="25">
        <f>IF(Q187=1,IF(ISNUMBER(FIND("#"&amp;MID(D187,1,1)&amp;"#","#0#1#2#3#4#5#6#7#8#9#")),IF(ISNUMBER(FIND("#"&amp;MID(D187,2,1)&amp;"#","#0#1#2#3#4#5#6#7#8#9#")),IF(AND(VALUE(LEFT(D187,2))&gt;=1,VALUE(LEFT(D187,2))&lt;=5),VALUE(LEFT(D187,2)),""),IF(AND(VALUE(LEFT(D187,1))&gt;=1,VALUE(LEFT(D187,1))&lt;=5),VALUE(LEFT(D187,1)),"")),""),"")</f>
        <v/>
      </c>
      <c r="S187" s="25">
        <f>IF(AND(Q187=1,E187&lt;&gt;""),SUBSTITUTE(SUBSTITUTE(SUBSTITUTE(SUBSTITUTE(SUBSTITUTE(SUBSTITUTE(SUBSTITUTE(SUBSTITUTE(SUBSTITUTE(SUBSTITUTE(SUBSTITUTE(SUBSTITUTE(LOWER(TRIM(E187)),"á","a"),"é","e"),"í","i"),"ó","o"),"ú","u"),"ü","u"),"ñ","n"),"à","a"),"è","e"),"ì","i"),"ò","o"),"ù","u"),"")</f>
        <v/>
      </c>
      <c r="T187" s="25">
        <f>IF(AND(Q187=1,G187&lt;&gt;""),SUBSTITUTE(SUBSTITUTE(SUBSTITUTE(SUBSTITUTE(SUBSTITUTE(SUBSTITUTE(SUBSTITUTE(SUBSTITUTE(SUBSTITUTE(SUBSTITUTE(SUBSTITUTE(SUBSTITUTE(LOWER(TRIM(G187)),"á","a"),"é","e"),"í","i"),"ó","o"),"ú","u"),"ü","u"),"ñ","n"),"à","a"),"è","e"),"ì","i"),"ò","o"),"ù","u"),"")</f>
        <v/>
      </c>
      <c r="U187" s="25">
        <f>IF(AND(Q187=1,H187&lt;&gt;""),SUBSTITUTE(SUBSTITUTE(SUBSTITUTE(SUBSTITUTE(SUBSTITUTE(SUBSTITUTE(SUBSTITUTE(SUBSTITUTE(SUBSTITUTE(SUBSTITUTE(SUBSTITUTE(SUBSTITUTE(LOWER(TRIM(H187)),"á","a"),"é","e"),"í","i"),"ó","o"),"ú","u"),"ü","u"),"ñ","n"),"à","a"),"è","e"),"ì","i"),"ò","o"),"ù","u"),"")</f>
        <v/>
      </c>
      <c r="V187" s="25">
        <f>IF(AND(Q187=1,L187&lt;&gt;""),SUBSTITUTE(SUBSTITUTE(SUBSTITUTE(SUBSTITUTE(SUBSTITUTE(SUBSTITUTE(SUBSTITUTE(SUBSTITUTE(SUBSTITUTE(SUBSTITUTE(SUBSTITUTE(SUBSTITUTE(LOWER(TRIM(L187)),"á","a"),"é","e"),"í","i"),"ó","o"),"ú","u"),"ü","u"),"ñ","n"),"à","a"),"è","e"),"ì","i"),"ò","o"),"ù","u"),"")</f>
        <v/>
      </c>
      <c r="W187" s="25">
        <f>IF(AND(Q187=1,I187&lt;&gt;""),SUBSTITUTE(SUBSTITUTE(SUBSTITUTE(SUBSTITUTE(SUBSTITUTE(SUBSTITUTE(SUBSTITUTE(SUBSTITUTE(SUBSTITUTE(SUBSTITUTE(SUBSTITUTE(SUBSTITUTE(LOWER(TRIM(I187)),"á","a"),"é","e"),"í","i"),"ó","o"),"ú","u"),"ü","u"),"ñ","n"),"à","a"),"è","e"),"ì","i"),"ò","o"),"ù","u"),"")</f>
        <v/>
      </c>
      <c r="X187" s="25">
        <f>IF(U187="","",IF(OR(U187="si, en la proxima tarea",U187="si, con cambios"),1,0))</f>
        <v/>
      </c>
      <c r="Y187" s="25">
        <f>IF(AND(Q187=1,A187&lt;&gt;""),IF(IFERROR(COUNTIFS(A$3:A187,"="&amp;SUBSTITUTE(SUBSTITUTE(SUBSTITUTE(A187,"~","~~"),"*","~*"),"?","~?"),Q$3:Q187,1),0)=1,MAX(Y$2:Y186)+1,""),"")</f>
        <v/>
      </c>
      <c r="Z187" s="25">
        <f>IF(Y187="","",COUNTIFS($A$3:$A$1002,"="&amp;SUBSTITUTE(SUBSTITUTE(SUBSTITUTE(A187,"~","~~"),"*","~*"),"?","~?"),$Q$3:$Q$1002,1)*10000-Y187)</f>
        <v/>
      </c>
    </row>
    <row r="188">
      <c r="A188">
        <f>IF(A$2=0,"",IFERROR(TRIM(INDEX('Pegar docentes'!$A$1:$BZ$1001,187,A$2)&amp;""),""))</f>
        <v/>
      </c>
      <c r="B188">
        <f>IF(B$2=0,"",IFERROR(TRIM(INDEX('Pegar docentes'!$A$1:$BZ$1001,187,B$2)&amp;""),""))</f>
        <v/>
      </c>
      <c r="C188">
        <f>IF(C$2=0,"",IFERROR(TRIM(INDEX('Pegar docentes'!$A$1:$BZ$1001,187,C$2)&amp;""),""))</f>
        <v/>
      </c>
      <c r="D188">
        <f>IF(D$2=0,"",IFERROR(TRIM(INDEX('Pegar docentes'!$A$1:$BZ$1001,187,D$2)&amp;""),""))</f>
        <v/>
      </c>
      <c r="E188">
        <f>IF(E$2=0,"",IFERROR(TRIM(INDEX('Pegar docentes'!$A$1:$BZ$1001,187,E$2)&amp;""),""))</f>
        <v/>
      </c>
      <c r="F188">
        <f>IF(F$2=0,"",IFERROR(TRIM(INDEX('Pegar docentes'!$A$1:$BZ$1001,187,F$2)&amp;""),""))</f>
        <v/>
      </c>
      <c r="G188">
        <f>IF(G$2=0,"",IFERROR(TRIM(INDEX('Pegar docentes'!$A$1:$BZ$1001,187,G$2)&amp;""),""))</f>
        <v/>
      </c>
      <c r="H188">
        <f>IF(H$2=0,"",IFERROR(TRIM(INDEX('Pegar docentes'!$A$1:$BZ$1001,187,H$2)&amp;""),""))</f>
        <v/>
      </c>
      <c r="I188">
        <f>IF(I$2=0,"",IFERROR(TRIM(INDEX('Pegar docentes'!$A$1:$BZ$1001,187,I$2)&amp;""),""))</f>
        <v/>
      </c>
      <c r="J188">
        <f>IF(J$2=0,"",IFERROR(TRIM(INDEX('Pegar docentes'!$A$1:$BZ$1001,187,J$2)&amp;""),""))</f>
        <v/>
      </c>
      <c r="K188">
        <f>IF(K$2=0,"",IFERROR(TRIM(INDEX('Pegar docentes'!$A$1:$BZ$1001,187,K$2)&amp;""),""))</f>
        <v/>
      </c>
      <c r="L188">
        <f>IF(L$2=0,"",IFERROR(TRIM(INDEX('Pegar docentes'!$A$1:$BZ$1001,187,L$2)&amp;""),""))</f>
        <v/>
      </c>
      <c r="M188">
        <f>IF(M$2=0,"",IFERROR(TRIM(INDEX('Pegar docentes'!$A$1:$BZ$1001,187,M$2)&amp;""),""))</f>
        <v/>
      </c>
      <c r="N188">
        <f>IF(N$2=0,"",IFERROR(TRIM(INDEX('Pegar docentes'!$A$1:$BZ$1001,187,N$2)&amp;""),""))</f>
        <v/>
      </c>
      <c r="O188">
        <f>IF(O$2=0,"",IFERROR(TRIM(INDEX('Pegar docentes'!$A$1:$BZ$1001,187,O$2)&amp;""),""))</f>
        <v/>
      </c>
      <c r="P188">
        <f>IF(P$2=0,"",IFERROR(TRIM(INDEX('Pegar docentes'!$A$1:$BZ$1001,187,P$2)&amp;""),""))</f>
        <v/>
      </c>
      <c r="Q188" s="25">
        <f>IF(OR(D188&lt;&gt;"",H188&lt;&gt;""),1,"")</f>
        <v/>
      </c>
      <c r="R188" s="25">
        <f>IF(Q188=1,IF(ISNUMBER(FIND("#"&amp;MID(D188,1,1)&amp;"#","#0#1#2#3#4#5#6#7#8#9#")),IF(ISNUMBER(FIND("#"&amp;MID(D188,2,1)&amp;"#","#0#1#2#3#4#5#6#7#8#9#")),IF(AND(VALUE(LEFT(D188,2))&gt;=1,VALUE(LEFT(D188,2))&lt;=5),VALUE(LEFT(D188,2)),""),IF(AND(VALUE(LEFT(D188,1))&gt;=1,VALUE(LEFT(D188,1))&lt;=5),VALUE(LEFT(D188,1)),"")),""),"")</f>
        <v/>
      </c>
      <c r="S188" s="25">
        <f>IF(AND(Q188=1,E188&lt;&gt;""),SUBSTITUTE(SUBSTITUTE(SUBSTITUTE(SUBSTITUTE(SUBSTITUTE(SUBSTITUTE(SUBSTITUTE(SUBSTITUTE(SUBSTITUTE(SUBSTITUTE(SUBSTITUTE(SUBSTITUTE(LOWER(TRIM(E188)),"á","a"),"é","e"),"í","i"),"ó","o"),"ú","u"),"ü","u"),"ñ","n"),"à","a"),"è","e"),"ì","i"),"ò","o"),"ù","u"),"")</f>
        <v/>
      </c>
      <c r="T188" s="25">
        <f>IF(AND(Q188=1,G188&lt;&gt;""),SUBSTITUTE(SUBSTITUTE(SUBSTITUTE(SUBSTITUTE(SUBSTITUTE(SUBSTITUTE(SUBSTITUTE(SUBSTITUTE(SUBSTITUTE(SUBSTITUTE(SUBSTITUTE(SUBSTITUTE(LOWER(TRIM(G188)),"á","a"),"é","e"),"í","i"),"ó","o"),"ú","u"),"ü","u"),"ñ","n"),"à","a"),"è","e"),"ì","i"),"ò","o"),"ù","u"),"")</f>
        <v/>
      </c>
      <c r="U188" s="25">
        <f>IF(AND(Q188=1,H188&lt;&gt;""),SUBSTITUTE(SUBSTITUTE(SUBSTITUTE(SUBSTITUTE(SUBSTITUTE(SUBSTITUTE(SUBSTITUTE(SUBSTITUTE(SUBSTITUTE(SUBSTITUTE(SUBSTITUTE(SUBSTITUTE(LOWER(TRIM(H188)),"á","a"),"é","e"),"í","i"),"ó","o"),"ú","u"),"ü","u"),"ñ","n"),"à","a"),"è","e"),"ì","i"),"ò","o"),"ù","u"),"")</f>
        <v/>
      </c>
      <c r="V188" s="25">
        <f>IF(AND(Q188=1,L188&lt;&gt;""),SUBSTITUTE(SUBSTITUTE(SUBSTITUTE(SUBSTITUTE(SUBSTITUTE(SUBSTITUTE(SUBSTITUTE(SUBSTITUTE(SUBSTITUTE(SUBSTITUTE(SUBSTITUTE(SUBSTITUTE(LOWER(TRIM(L188)),"á","a"),"é","e"),"í","i"),"ó","o"),"ú","u"),"ü","u"),"ñ","n"),"à","a"),"è","e"),"ì","i"),"ò","o"),"ù","u"),"")</f>
        <v/>
      </c>
      <c r="W188" s="25">
        <f>IF(AND(Q188=1,I188&lt;&gt;""),SUBSTITUTE(SUBSTITUTE(SUBSTITUTE(SUBSTITUTE(SUBSTITUTE(SUBSTITUTE(SUBSTITUTE(SUBSTITUTE(SUBSTITUTE(SUBSTITUTE(SUBSTITUTE(SUBSTITUTE(LOWER(TRIM(I188)),"á","a"),"é","e"),"í","i"),"ó","o"),"ú","u"),"ü","u"),"ñ","n"),"à","a"),"è","e"),"ì","i"),"ò","o"),"ù","u"),"")</f>
        <v/>
      </c>
      <c r="X188" s="25">
        <f>IF(U188="","",IF(OR(U188="si, en la proxima tarea",U188="si, con cambios"),1,0))</f>
        <v/>
      </c>
      <c r="Y188" s="25">
        <f>IF(AND(Q188=1,A188&lt;&gt;""),IF(IFERROR(COUNTIFS(A$3:A188,"="&amp;SUBSTITUTE(SUBSTITUTE(SUBSTITUTE(A188,"~","~~"),"*","~*"),"?","~?"),Q$3:Q188,1),0)=1,MAX(Y$2:Y187)+1,""),"")</f>
        <v/>
      </c>
      <c r="Z188" s="25">
        <f>IF(Y188="","",COUNTIFS($A$3:$A$1002,"="&amp;SUBSTITUTE(SUBSTITUTE(SUBSTITUTE(A188,"~","~~"),"*","~*"),"?","~?"),$Q$3:$Q$1002,1)*10000-Y188)</f>
        <v/>
      </c>
    </row>
    <row r="189">
      <c r="A189">
        <f>IF(A$2=0,"",IFERROR(TRIM(INDEX('Pegar docentes'!$A$1:$BZ$1001,188,A$2)&amp;""),""))</f>
        <v/>
      </c>
      <c r="B189">
        <f>IF(B$2=0,"",IFERROR(TRIM(INDEX('Pegar docentes'!$A$1:$BZ$1001,188,B$2)&amp;""),""))</f>
        <v/>
      </c>
      <c r="C189">
        <f>IF(C$2=0,"",IFERROR(TRIM(INDEX('Pegar docentes'!$A$1:$BZ$1001,188,C$2)&amp;""),""))</f>
        <v/>
      </c>
      <c r="D189">
        <f>IF(D$2=0,"",IFERROR(TRIM(INDEX('Pegar docentes'!$A$1:$BZ$1001,188,D$2)&amp;""),""))</f>
        <v/>
      </c>
      <c r="E189">
        <f>IF(E$2=0,"",IFERROR(TRIM(INDEX('Pegar docentes'!$A$1:$BZ$1001,188,E$2)&amp;""),""))</f>
        <v/>
      </c>
      <c r="F189">
        <f>IF(F$2=0,"",IFERROR(TRIM(INDEX('Pegar docentes'!$A$1:$BZ$1001,188,F$2)&amp;""),""))</f>
        <v/>
      </c>
      <c r="G189">
        <f>IF(G$2=0,"",IFERROR(TRIM(INDEX('Pegar docentes'!$A$1:$BZ$1001,188,G$2)&amp;""),""))</f>
        <v/>
      </c>
      <c r="H189">
        <f>IF(H$2=0,"",IFERROR(TRIM(INDEX('Pegar docentes'!$A$1:$BZ$1001,188,H$2)&amp;""),""))</f>
        <v/>
      </c>
      <c r="I189">
        <f>IF(I$2=0,"",IFERROR(TRIM(INDEX('Pegar docentes'!$A$1:$BZ$1001,188,I$2)&amp;""),""))</f>
        <v/>
      </c>
      <c r="J189">
        <f>IF(J$2=0,"",IFERROR(TRIM(INDEX('Pegar docentes'!$A$1:$BZ$1001,188,J$2)&amp;""),""))</f>
        <v/>
      </c>
      <c r="K189">
        <f>IF(K$2=0,"",IFERROR(TRIM(INDEX('Pegar docentes'!$A$1:$BZ$1001,188,K$2)&amp;""),""))</f>
        <v/>
      </c>
      <c r="L189">
        <f>IF(L$2=0,"",IFERROR(TRIM(INDEX('Pegar docentes'!$A$1:$BZ$1001,188,L$2)&amp;""),""))</f>
        <v/>
      </c>
      <c r="M189">
        <f>IF(M$2=0,"",IFERROR(TRIM(INDEX('Pegar docentes'!$A$1:$BZ$1001,188,M$2)&amp;""),""))</f>
        <v/>
      </c>
      <c r="N189">
        <f>IF(N$2=0,"",IFERROR(TRIM(INDEX('Pegar docentes'!$A$1:$BZ$1001,188,N$2)&amp;""),""))</f>
        <v/>
      </c>
      <c r="O189">
        <f>IF(O$2=0,"",IFERROR(TRIM(INDEX('Pegar docentes'!$A$1:$BZ$1001,188,O$2)&amp;""),""))</f>
        <v/>
      </c>
      <c r="P189">
        <f>IF(P$2=0,"",IFERROR(TRIM(INDEX('Pegar docentes'!$A$1:$BZ$1001,188,P$2)&amp;""),""))</f>
        <v/>
      </c>
      <c r="Q189" s="25">
        <f>IF(OR(D189&lt;&gt;"",H189&lt;&gt;""),1,"")</f>
        <v/>
      </c>
      <c r="R189" s="25">
        <f>IF(Q189=1,IF(ISNUMBER(FIND("#"&amp;MID(D189,1,1)&amp;"#","#0#1#2#3#4#5#6#7#8#9#")),IF(ISNUMBER(FIND("#"&amp;MID(D189,2,1)&amp;"#","#0#1#2#3#4#5#6#7#8#9#")),IF(AND(VALUE(LEFT(D189,2))&gt;=1,VALUE(LEFT(D189,2))&lt;=5),VALUE(LEFT(D189,2)),""),IF(AND(VALUE(LEFT(D189,1))&gt;=1,VALUE(LEFT(D189,1))&lt;=5),VALUE(LEFT(D189,1)),"")),""),"")</f>
        <v/>
      </c>
      <c r="S189" s="25">
        <f>IF(AND(Q189=1,E189&lt;&gt;""),SUBSTITUTE(SUBSTITUTE(SUBSTITUTE(SUBSTITUTE(SUBSTITUTE(SUBSTITUTE(SUBSTITUTE(SUBSTITUTE(SUBSTITUTE(SUBSTITUTE(SUBSTITUTE(SUBSTITUTE(LOWER(TRIM(E189)),"á","a"),"é","e"),"í","i"),"ó","o"),"ú","u"),"ü","u"),"ñ","n"),"à","a"),"è","e"),"ì","i"),"ò","o"),"ù","u"),"")</f>
        <v/>
      </c>
      <c r="T189" s="25">
        <f>IF(AND(Q189=1,G189&lt;&gt;""),SUBSTITUTE(SUBSTITUTE(SUBSTITUTE(SUBSTITUTE(SUBSTITUTE(SUBSTITUTE(SUBSTITUTE(SUBSTITUTE(SUBSTITUTE(SUBSTITUTE(SUBSTITUTE(SUBSTITUTE(LOWER(TRIM(G189)),"á","a"),"é","e"),"í","i"),"ó","o"),"ú","u"),"ü","u"),"ñ","n"),"à","a"),"è","e"),"ì","i"),"ò","o"),"ù","u"),"")</f>
        <v/>
      </c>
      <c r="U189" s="25">
        <f>IF(AND(Q189=1,H189&lt;&gt;""),SUBSTITUTE(SUBSTITUTE(SUBSTITUTE(SUBSTITUTE(SUBSTITUTE(SUBSTITUTE(SUBSTITUTE(SUBSTITUTE(SUBSTITUTE(SUBSTITUTE(SUBSTITUTE(SUBSTITUTE(LOWER(TRIM(H189)),"á","a"),"é","e"),"í","i"),"ó","o"),"ú","u"),"ü","u"),"ñ","n"),"à","a"),"è","e"),"ì","i"),"ò","o"),"ù","u"),"")</f>
        <v/>
      </c>
      <c r="V189" s="25">
        <f>IF(AND(Q189=1,L189&lt;&gt;""),SUBSTITUTE(SUBSTITUTE(SUBSTITUTE(SUBSTITUTE(SUBSTITUTE(SUBSTITUTE(SUBSTITUTE(SUBSTITUTE(SUBSTITUTE(SUBSTITUTE(SUBSTITUTE(SUBSTITUTE(LOWER(TRIM(L189)),"á","a"),"é","e"),"í","i"),"ó","o"),"ú","u"),"ü","u"),"ñ","n"),"à","a"),"è","e"),"ì","i"),"ò","o"),"ù","u"),"")</f>
        <v/>
      </c>
      <c r="W189" s="25">
        <f>IF(AND(Q189=1,I189&lt;&gt;""),SUBSTITUTE(SUBSTITUTE(SUBSTITUTE(SUBSTITUTE(SUBSTITUTE(SUBSTITUTE(SUBSTITUTE(SUBSTITUTE(SUBSTITUTE(SUBSTITUTE(SUBSTITUTE(SUBSTITUTE(LOWER(TRIM(I189)),"á","a"),"é","e"),"í","i"),"ó","o"),"ú","u"),"ü","u"),"ñ","n"),"à","a"),"è","e"),"ì","i"),"ò","o"),"ù","u"),"")</f>
        <v/>
      </c>
      <c r="X189" s="25">
        <f>IF(U189="","",IF(OR(U189="si, en la proxima tarea",U189="si, con cambios"),1,0))</f>
        <v/>
      </c>
      <c r="Y189" s="25">
        <f>IF(AND(Q189=1,A189&lt;&gt;""),IF(IFERROR(COUNTIFS(A$3:A189,"="&amp;SUBSTITUTE(SUBSTITUTE(SUBSTITUTE(A189,"~","~~"),"*","~*"),"?","~?"),Q$3:Q189,1),0)=1,MAX(Y$2:Y188)+1,""),"")</f>
        <v/>
      </c>
      <c r="Z189" s="25">
        <f>IF(Y189="","",COUNTIFS($A$3:$A$1002,"="&amp;SUBSTITUTE(SUBSTITUTE(SUBSTITUTE(A189,"~","~~"),"*","~*"),"?","~?"),$Q$3:$Q$1002,1)*10000-Y189)</f>
        <v/>
      </c>
    </row>
    <row r="190">
      <c r="A190">
        <f>IF(A$2=0,"",IFERROR(TRIM(INDEX('Pegar docentes'!$A$1:$BZ$1001,189,A$2)&amp;""),""))</f>
        <v/>
      </c>
      <c r="B190">
        <f>IF(B$2=0,"",IFERROR(TRIM(INDEX('Pegar docentes'!$A$1:$BZ$1001,189,B$2)&amp;""),""))</f>
        <v/>
      </c>
      <c r="C190">
        <f>IF(C$2=0,"",IFERROR(TRIM(INDEX('Pegar docentes'!$A$1:$BZ$1001,189,C$2)&amp;""),""))</f>
        <v/>
      </c>
      <c r="D190">
        <f>IF(D$2=0,"",IFERROR(TRIM(INDEX('Pegar docentes'!$A$1:$BZ$1001,189,D$2)&amp;""),""))</f>
        <v/>
      </c>
      <c r="E190">
        <f>IF(E$2=0,"",IFERROR(TRIM(INDEX('Pegar docentes'!$A$1:$BZ$1001,189,E$2)&amp;""),""))</f>
        <v/>
      </c>
      <c r="F190">
        <f>IF(F$2=0,"",IFERROR(TRIM(INDEX('Pegar docentes'!$A$1:$BZ$1001,189,F$2)&amp;""),""))</f>
        <v/>
      </c>
      <c r="G190">
        <f>IF(G$2=0,"",IFERROR(TRIM(INDEX('Pegar docentes'!$A$1:$BZ$1001,189,G$2)&amp;""),""))</f>
        <v/>
      </c>
      <c r="H190">
        <f>IF(H$2=0,"",IFERROR(TRIM(INDEX('Pegar docentes'!$A$1:$BZ$1001,189,H$2)&amp;""),""))</f>
        <v/>
      </c>
      <c r="I190">
        <f>IF(I$2=0,"",IFERROR(TRIM(INDEX('Pegar docentes'!$A$1:$BZ$1001,189,I$2)&amp;""),""))</f>
        <v/>
      </c>
      <c r="J190">
        <f>IF(J$2=0,"",IFERROR(TRIM(INDEX('Pegar docentes'!$A$1:$BZ$1001,189,J$2)&amp;""),""))</f>
        <v/>
      </c>
      <c r="K190">
        <f>IF(K$2=0,"",IFERROR(TRIM(INDEX('Pegar docentes'!$A$1:$BZ$1001,189,K$2)&amp;""),""))</f>
        <v/>
      </c>
      <c r="L190">
        <f>IF(L$2=0,"",IFERROR(TRIM(INDEX('Pegar docentes'!$A$1:$BZ$1001,189,L$2)&amp;""),""))</f>
        <v/>
      </c>
      <c r="M190">
        <f>IF(M$2=0,"",IFERROR(TRIM(INDEX('Pegar docentes'!$A$1:$BZ$1001,189,M$2)&amp;""),""))</f>
        <v/>
      </c>
      <c r="N190">
        <f>IF(N$2=0,"",IFERROR(TRIM(INDEX('Pegar docentes'!$A$1:$BZ$1001,189,N$2)&amp;""),""))</f>
        <v/>
      </c>
      <c r="O190">
        <f>IF(O$2=0,"",IFERROR(TRIM(INDEX('Pegar docentes'!$A$1:$BZ$1001,189,O$2)&amp;""),""))</f>
        <v/>
      </c>
      <c r="P190">
        <f>IF(P$2=0,"",IFERROR(TRIM(INDEX('Pegar docentes'!$A$1:$BZ$1001,189,P$2)&amp;""),""))</f>
        <v/>
      </c>
      <c r="Q190" s="25">
        <f>IF(OR(D190&lt;&gt;"",H190&lt;&gt;""),1,"")</f>
        <v/>
      </c>
      <c r="R190" s="25">
        <f>IF(Q190=1,IF(ISNUMBER(FIND("#"&amp;MID(D190,1,1)&amp;"#","#0#1#2#3#4#5#6#7#8#9#")),IF(ISNUMBER(FIND("#"&amp;MID(D190,2,1)&amp;"#","#0#1#2#3#4#5#6#7#8#9#")),IF(AND(VALUE(LEFT(D190,2))&gt;=1,VALUE(LEFT(D190,2))&lt;=5),VALUE(LEFT(D190,2)),""),IF(AND(VALUE(LEFT(D190,1))&gt;=1,VALUE(LEFT(D190,1))&lt;=5),VALUE(LEFT(D190,1)),"")),""),"")</f>
        <v/>
      </c>
      <c r="S190" s="25">
        <f>IF(AND(Q190=1,E190&lt;&gt;""),SUBSTITUTE(SUBSTITUTE(SUBSTITUTE(SUBSTITUTE(SUBSTITUTE(SUBSTITUTE(SUBSTITUTE(SUBSTITUTE(SUBSTITUTE(SUBSTITUTE(SUBSTITUTE(SUBSTITUTE(LOWER(TRIM(E190)),"á","a"),"é","e"),"í","i"),"ó","o"),"ú","u"),"ü","u"),"ñ","n"),"à","a"),"è","e"),"ì","i"),"ò","o"),"ù","u"),"")</f>
        <v/>
      </c>
      <c r="T190" s="25">
        <f>IF(AND(Q190=1,G190&lt;&gt;""),SUBSTITUTE(SUBSTITUTE(SUBSTITUTE(SUBSTITUTE(SUBSTITUTE(SUBSTITUTE(SUBSTITUTE(SUBSTITUTE(SUBSTITUTE(SUBSTITUTE(SUBSTITUTE(SUBSTITUTE(LOWER(TRIM(G190)),"á","a"),"é","e"),"í","i"),"ó","o"),"ú","u"),"ü","u"),"ñ","n"),"à","a"),"è","e"),"ì","i"),"ò","o"),"ù","u"),"")</f>
        <v/>
      </c>
      <c r="U190" s="25">
        <f>IF(AND(Q190=1,H190&lt;&gt;""),SUBSTITUTE(SUBSTITUTE(SUBSTITUTE(SUBSTITUTE(SUBSTITUTE(SUBSTITUTE(SUBSTITUTE(SUBSTITUTE(SUBSTITUTE(SUBSTITUTE(SUBSTITUTE(SUBSTITUTE(LOWER(TRIM(H190)),"á","a"),"é","e"),"í","i"),"ó","o"),"ú","u"),"ü","u"),"ñ","n"),"à","a"),"è","e"),"ì","i"),"ò","o"),"ù","u"),"")</f>
        <v/>
      </c>
      <c r="V190" s="25">
        <f>IF(AND(Q190=1,L190&lt;&gt;""),SUBSTITUTE(SUBSTITUTE(SUBSTITUTE(SUBSTITUTE(SUBSTITUTE(SUBSTITUTE(SUBSTITUTE(SUBSTITUTE(SUBSTITUTE(SUBSTITUTE(SUBSTITUTE(SUBSTITUTE(LOWER(TRIM(L190)),"á","a"),"é","e"),"í","i"),"ó","o"),"ú","u"),"ü","u"),"ñ","n"),"à","a"),"è","e"),"ì","i"),"ò","o"),"ù","u"),"")</f>
        <v/>
      </c>
      <c r="W190" s="25">
        <f>IF(AND(Q190=1,I190&lt;&gt;""),SUBSTITUTE(SUBSTITUTE(SUBSTITUTE(SUBSTITUTE(SUBSTITUTE(SUBSTITUTE(SUBSTITUTE(SUBSTITUTE(SUBSTITUTE(SUBSTITUTE(SUBSTITUTE(SUBSTITUTE(LOWER(TRIM(I190)),"á","a"),"é","e"),"í","i"),"ó","o"),"ú","u"),"ü","u"),"ñ","n"),"à","a"),"è","e"),"ì","i"),"ò","o"),"ù","u"),"")</f>
        <v/>
      </c>
      <c r="X190" s="25">
        <f>IF(U190="","",IF(OR(U190="si, en la proxima tarea",U190="si, con cambios"),1,0))</f>
        <v/>
      </c>
      <c r="Y190" s="25">
        <f>IF(AND(Q190=1,A190&lt;&gt;""),IF(IFERROR(COUNTIFS(A$3:A190,"="&amp;SUBSTITUTE(SUBSTITUTE(SUBSTITUTE(A190,"~","~~"),"*","~*"),"?","~?"),Q$3:Q190,1),0)=1,MAX(Y$2:Y189)+1,""),"")</f>
        <v/>
      </c>
      <c r="Z190" s="25">
        <f>IF(Y190="","",COUNTIFS($A$3:$A$1002,"="&amp;SUBSTITUTE(SUBSTITUTE(SUBSTITUTE(A190,"~","~~"),"*","~*"),"?","~?"),$Q$3:$Q$1002,1)*10000-Y190)</f>
        <v/>
      </c>
    </row>
    <row r="191">
      <c r="A191">
        <f>IF(A$2=0,"",IFERROR(TRIM(INDEX('Pegar docentes'!$A$1:$BZ$1001,190,A$2)&amp;""),""))</f>
        <v/>
      </c>
      <c r="B191">
        <f>IF(B$2=0,"",IFERROR(TRIM(INDEX('Pegar docentes'!$A$1:$BZ$1001,190,B$2)&amp;""),""))</f>
        <v/>
      </c>
      <c r="C191">
        <f>IF(C$2=0,"",IFERROR(TRIM(INDEX('Pegar docentes'!$A$1:$BZ$1001,190,C$2)&amp;""),""))</f>
        <v/>
      </c>
      <c r="D191">
        <f>IF(D$2=0,"",IFERROR(TRIM(INDEX('Pegar docentes'!$A$1:$BZ$1001,190,D$2)&amp;""),""))</f>
        <v/>
      </c>
      <c r="E191">
        <f>IF(E$2=0,"",IFERROR(TRIM(INDEX('Pegar docentes'!$A$1:$BZ$1001,190,E$2)&amp;""),""))</f>
        <v/>
      </c>
      <c r="F191">
        <f>IF(F$2=0,"",IFERROR(TRIM(INDEX('Pegar docentes'!$A$1:$BZ$1001,190,F$2)&amp;""),""))</f>
        <v/>
      </c>
      <c r="G191">
        <f>IF(G$2=0,"",IFERROR(TRIM(INDEX('Pegar docentes'!$A$1:$BZ$1001,190,G$2)&amp;""),""))</f>
        <v/>
      </c>
      <c r="H191">
        <f>IF(H$2=0,"",IFERROR(TRIM(INDEX('Pegar docentes'!$A$1:$BZ$1001,190,H$2)&amp;""),""))</f>
        <v/>
      </c>
      <c r="I191">
        <f>IF(I$2=0,"",IFERROR(TRIM(INDEX('Pegar docentes'!$A$1:$BZ$1001,190,I$2)&amp;""),""))</f>
        <v/>
      </c>
      <c r="J191">
        <f>IF(J$2=0,"",IFERROR(TRIM(INDEX('Pegar docentes'!$A$1:$BZ$1001,190,J$2)&amp;""),""))</f>
        <v/>
      </c>
      <c r="K191">
        <f>IF(K$2=0,"",IFERROR(TRIM(INDEX('Pegar docentes'!$A$1:$BZ$1001,190,K$2)&amp;""),""))</f>
        <v/>
      </c>
      <c r="L191">
        <f>IF(L$2=0,"",IFERROR(TRIM(INDEX('Pegar docentes'!$A$1:$BZ$1001,190,L$2)&amp;""),""))</f>
        <v/>
      </c>
      <c r="M191">
        <f>IF(M$2=0,"",IFERROR(TRIM(INDEX('Pegar docentes'!$A$1:$BZ$1001,190,M$2)&amp;""),""))</f>
        <v/>
      </c>
      <c r="N191">
        <f>IF(N$2=0,"",IFERROR(TRIM(INDEX('Pegar docentes'!$A$1:$BZ$1001,190,N$2)&amp;""),""))</f>
        <v/>
      </c>
      <c r="O191">
        <f>IF(O$2=0,"",IFERROR(TRIM(INDEX('Pegar docentes'!$A$1:$BZ$1001,190,O$2)&amp;""),""))</f>
        <v/>
      </c>
      <c r="P191">
        <f>IF(P$2=0,"",IFERROR(TRIM(INDEX('Pegar docentes'!$A$1:$BZ$1001,190,P$2)&amp;""),""))</f>
        <v/>
      </c>
      <c r="Q191" s="25">
        <f>IF(OR(D191&lt;&gt;"",H191&lt;&gt;""),1,"")</f>
        <v/>
      </c>
      <c r="R191" s="25">
        <f>IF(Q191=1,IF(ISNUMBER(FIND("#"&amp;MID(D191,1,1)&amp;"#","#0#1#2#3#4#5#6#7#8#9#")),IF(ISNUMBER(FIND("#"&amp;MID(D191,2,1)&amp;"#","#0#1#2#3#4#5#6#7#8#9#")),IF(AND(VALUE(LEFT(D191,2))&gt;=1,VALUE(LEFT(D191,2))&lt;=5),VALUE(LEFT(D191,2)),""),IF(AND(VALUE(LEFT(D191,1))&gt;=1,VALUE(LEFT(D191,1))&lt;=5),VALUE(LEFT(D191,1)),"")),""),"")</f>
        <v/>
      </c>
      <c r="S191" s="25">
        <f>IF(AND(Q191=1,E191&lt;&gt;""),SUBSTITUTE(SUBSTITUTE(SUBSTITUTE(SUBSTITUTE(SUBSTITUTE(SUBSTITUTE(SUBSTITUTE(SUBSTITUTE(SUBSTITUTE(SUBSTITUTE(SUBSTITUTE(SUBSTITUTE(LOWER(TRIM(E191)),"á","a"),"é","e"),"í","i"),"ó","o"),"ú","u"),"ü","u"),"ñ","n"),"à","a"),"è","e"),"ì","i"),"ò","o"),"ù","u"),"")</f>
        <v/>
      </c>
      <c r="T191" s="25">
        <f>IF(AND(Q191=1,G191&lt;&gt;""),SUBSTITUTE(SUBSTITUTE(SUBSTITUTE(SUBSTITUTE(SUBSTITUTE(SUBSTITUTE(SUBSTITUTE(SUBSTITUTE(SUBSTITUTE(SUBSTITUTE(SUBSTITUTE(SUBSTITUTE(LOWER(TRIM(G191)),"á","a"),"é","e"),"í","i"),"ó","o"),"ú","u"),"ü","u"),"ñ","n"),"à","a"),"è","e"),"ì","i"),"ò","o"),"ù","u"),"")</f>
        <v/>
      </c>
      <c r="U191" s="25">
        <f>IF(AND(Q191=1,H191&lt;&gt;""),SUBSTITUTE(SUBSTITUTE(SUBSTITUTE(SUBSTITUTE(SUBSTITUTE(SUBSTITUTE(SUBSTITUTE(SUBSTITUTE(SUBSTITUTE(SUBSTITUTE(SUBSTITUTE(SUBSTITUTE(LOWER(TRIM(H191)),"á","a"),"é","e"),"í","i"),"ó","o"),"ú","u"),"ü","u"),"ñ","n"),"à","a"),"è","e"),"ì","i"),"ò","o"),"ù","u"),"")</f>
        <v/>
      </c>
      <c r="V191" s="25">
        <f>IF(AND(Q191=1,L191&lt;&gt;""),SUBSTITUTE(SUBSTITUTE(SUBSTITUTE(SUBSTITUTE(SUBSTITUTE(SUBSTITUTE(SUBSTITUTE(SUBSTITUTE(SUBSTITUTE(SUBSTITUTE(SUBSTITUTE(SUBSTITUTE(LOWER(TRIM(L191)),"á","a"),"é","e"),"í","i"),"ó","o"),"ú","u"),"ü","u"),"ñ","n"),"à","a"),"è","e"),"ì","i"),"ò","o"),"ù","u"),"")</f>
        <v/>
      </c>
      <c r="W191" s="25">
        <f>IF(AND(Q191=1,I191&lt;&gt;""),SUBSTITUTE(SUBSTITUTE(SUBSTITUTE(SUBSTITUTE(SUBSTITUTE(SUBSTITUTE(SUBSTITUTE(SUBSTITUTE(SUBSTITUTE(SUBSTITUTE(SUBSTITUTE(SUBSTITUTE(LOWER(TRIM(I191)),"á","a"),"é","e"),"í","i"),"ó","o"),"ú","u"),"ü","u"),"ñ","n"),"à","a"),"è","e"),"ì","i"),"ò","o"),"ù","u"),"")</f>
        <v/>
      </c>
      <c r="X191" s="25">
        <f>IF(U191="","",IF(OR(U191="si, en la proxima tarea",U191="si, con cambios"),1,0))</f>
        <v/>
      </c>
      <c r="Y191" s="25">
        <f>IF(AND(Q191=1,A191&lt;&gt;""),IF(IFERROR(COUNTIFS(A$3:A191,"="&amp;SUBSTITUTE(SUBSTITUTE(SUBSTITUTE(A191,"~","~~"),"*","~*"),"?","~?"),Q$3:Q191,1),0)=1,MAX(Y$2:Y190)+1,""),"")</f>
        <v/>
      </c>
      <c r="Z191" s="25">
        <f>IF(Y191="","",COUNTIFS($A$3:$A$1002,"="&amp;SUBSTITUTE(SUBSTITUTE(SUBSTITUTE(A191,"~","~~"),"*","~*"),"?","~?"),$Q$3:$Q$1002,1)*10000-Y191)</f>
        <v/>
      </c>
    </row>
    <row r="192">
      <c r="A192">
        <f>IF(A$2=0,"",IFERROR(TRIM(INDEX('Pegar docentes'!$A$1:$BZ$1001,191,A$2)&amp;""),""))</f>
        <v/>
      </c>
      <c r="B192">
        <f>IF(B$2=0,"",IFERROR(TRIM(INDEX('Pegar docentes'!$A$1:$BZ$1001,191,B$2)&amp;""),""))</f>
        <v/>
      </c>
      <c r="C192">
        <f>IF(C$2=0,"",IFERROR(TRIM(INDEX('Pegar docentes'!$A$1:$BZ$1001,191,C$2)&amp;""),""))</f>
        <v/>
      </c>
      <c r="D192">
        <f>IF(D$2=0,"",IFERROR(TRIM(INDEX('Pegar docentes'!$A$1:$BZ$1001,191,D$2)&amp;""),""))</f>
        <v/>
      </c>
      <c r="E192">
        <f>IF(E$2=0,"",IFERROR(TRIM(INDEX('Pegar docentes'!$A$1:$BZ$1001,191,E$2)&amp;""),""))</f>
        <v/>
      </c>
      <c r="F192">
        <f>IF(F$2=0,"",IFERROR(TRIM(INDEX('Pegar docentes'!$A$1:$BZ$1001,191,F$2)&amp;""),""))</f>
        <v/>
      </c>
      <c r="G192">
        <f>IF(G$2=0,"",IFERROR(TRIM(INDEX('Pegar docentes'!$A$1:$BZ$1001,191,G$2)&amp;""),""))</f>
        <v/>
      </c>
      <c r="H192">
        <f>IF(H$2=0,"",IFERROR(TRIM(INDEX('Pegar docentes'!$A$1:$BZ$1001,191,H$2)&amp;""),""))</f>
        <v/>
      </c>
      <c r="I192">
        <f>IF(I$2=0,"",IFERROR(TRIM(INDEX('Pegar docentes'!$A$1:$BZ$1001,191,I$2)&amp;""),""))</f>
        <v/>
      </c>
      <c r="J192">
        <f>IF(J$2=0,"",IFERROR(TRIM(INDEX('Pegar docentes'!$A$1:$BZ$1001,191,J$2)&amp;""),""))</f>
        <v/>
      </c>
      <c r="K192">
        <f>IF(K$2=0,"",IFERROR(TRIM(INDEX('Pegar docentes'!$A$1:$BZ$1001,191,K$2)&amp;""),""))</f>
        <v/>
      </c>
      <c r="L192">
        <f>IF(L$2=0,"",IFERROR(TRIM(INDEX('Pegar docentes'!$A$1:$BZ$1001,191,L$2)&amp;""),""))</f>
        <v/>
      </c>
      <c r="M192">
        <f>IF(M$2=0,"",IFERROR(TRIM(INDEX('Pegar docentes'!$A$1:$BZ$1001,191,M$2)&amp;""),""))</f>
        <v/>
      </c>
      <c r="N192">
        <f>IF(N$2=0,"",IFERROR(TRIM(INDEX('Pegar docentes'!$A$1:$BZ$1001,191,N$2)&amp;""),""))</f>
        <v/>
      </c>
      <c r="O192">
        <f>IF(O$2=0,"",IFERROR(TRIM(INDEX('Pegar docentes'!$A$1:$BZ$1001,191,O$2)&amp;""),""))</f>
        <v/>
      </c>
      <c r="P192">
        <f>IF(P$2=0,"",IFERROR(TRIM(INDEX('Pegar docentes'!$A$1:$BZ$1001,191,P$2)&amp;""),""))</f>
        <v/>
      </c>
      <c r="Q192" s="25">
        <f>IF(OR(D192&lt;&gt;"",H192&lt;&gt;""),1,"")</f>
        <v/>
      </c>
      <c r="R192" s="25">
        <f>IF(Q192=1,IF(ISNUMBER(FIND("#"&amp;MID(D192,1,1)&amp;"#","#0#1#2#3#4#5#6#7#8#9#")),IF(ISNUMBER(FIND("#"&amp;MID(D192,2,1)&amp;"#","#0#1#2#3#4#5#6#7#8#9#")),IF(AND(VALUE(LEFT(D192,2))&gt;=1,VALUE(LEFT(D192,2))&lt;=5),VALUE(LEFT(D192,2)),""),IF(AND(VALUE(LEFT(D192,1))&gt;=1,VALUE(LEFT(D192,1))&lt;=5),VALUE(LEFT(D192,1)),"")),""),"")</f>
        <v/>
      </c>
      <c r="S192" s="25">
        <f>IF(AND(Q192=1,E192&lt;&gt;""),SUBSTITUTE(SUBSTITUTE(SUBSTITUTE(SUBSTITUTE(SUBSTITUTE(SUBSTITUTE(SUBSTITUTE(SUBSTITUTE(SUBSTITUTE(SUBSTITUTE(SUBSTITUTE(SUBSTITUTE(LOWER(TRIM(E192)),"á","a"),"é","e"),"í","i"),"ó","o"),"ú","u"),"ü","u"),"ñ","n"),"à","a"),"è","e"),"ì","i"),"ò","o"),"ù","u"),"")</f>
        <v/>
      </c>
      <c r="T192" s="25">
        <f>IF(AND(Q192=1,G192&lt;&gt;""),SUBSTITUTE(SUBSTITUTE(SUBSTITUTE(SUBSTITUTE(SUBSTITUTE(SUBSTITUTE(SUBSTITUTE(SUBSTITUTE(SUBSTITUTE(SUBSTITUTE(SUBSTITUTE(SUBSTITUTE(LOWER(TRIM(G192)),"á","a"),"é","e"),"í","i"),"ó","o"),"ú","u"),"ü","u"),"ñ","n"),"à","a"),"è","e"),"ì","i"),"ò","o"),"ù","u"),"")</f>
        <v/>
      </c>
      <c r="U192" s="25">
        <f>IF(AND(Q192=1,H192&lt;&gt;""),SUBSTITUTE(SUBSTITUTE(SUBSTITUTE(SUBSTITUTE(SUBSTITUTE(SUBSTITUTE(SUBSTITUTE(SUBSTITUTE(SUBSTITUTE(SUBSTITUTE(SUBSTITUTE(SUBSTITUTE(LOWER(TRIM(H192)),"á","a"),"é","e"),"í","i"),"ó","o"),"ú","u"),"ü","u"),"ñ","n"),"à","a"),"è","e"),"ì","i"),"ò","o"),"ù","u"),"")</f>
        <v/>
      </c>
      <c r="V192" s="25">
        <f>IF(AND(Q192=1,L192&lt;&gt;""),SUBSTITUTE(SUBSTITUTE(SUBSTITUTE(SUBSTITUTE(SUBSTITUTE(SUBSTITUTE(SUBSTITUTE(SUBSTITUTE(SUBSTITUTE(SUBSTITUTE(SUBSTITUTE(SUBSTITUTE(LOWER(TRIM(L192)),"á","a"),"é","e"),"í","i"),"ó","o"),"ú","u"),"ü","u"),"ñ","n"),"à","a"),"è","e"),"ì","i"),"ò","o"),"ù","u"),"")</f>
        <v/>
      </c>
      <c r="W192" s="25">
        <f>IF(AND(Q192=1,I192&lt;&gt;""),SUBSTITUTE(SUBSTITUTE(SUBSTITUTE(SUBSTITUTE(SUBSTITUTE(SUBSTITUTE(SUBSTITUTE(SUBSTITUTE(SUBSTITUTE(SUBSTITUTE(SUBSTITUTE(SUBSTITUTE(LOWER(TRIM(I192)),"á","a"),"é","e"),"í","i"),"ó","o"),"ú","u"),"ü","u"),"ñ","n"),"à","a"),"è","e"),"ì","i"),"ò","o"),"ù","u"),"")</f>
        <v/>
      </c>
      <c r="X192" s="25">
        <f>IF(U192="","",IF(OR(U192="si, en la proxima tarea",U192="si, con cambios"),1,0))</f>
        <v/>
      </c>
      <c r="Y192" s="25">
        <f>IF(AND(Q192=1,A192&lt;&gt;""),IF(IFERROR(COUNTIFS(A$3:A192,"="&amp;SUBSTITUTE(SUBSTITUTE(SUBSTITUTE(A192,"~","~~"),"*","~*"),"?","~?"),Q$3:Q192,1),0)=1,MAX(Y$2:Y191)+1,""),"")</f>
        <v/>
      </c>
      <c r="Z192" s="25">
        <f>IF(Y192="","",COUNTIFS($A$3:$A$1002,"="&amp;SUBSTITUTE(SUBSTITUTE(SUBSTITUTE(A192,"~","~~"),"*","~*"),"?","~?"),$Q$3:$Q$1002,1)*10000-Y192)</f>
        <v/>
      </c>
    </row>
    <row r="193">
      <c r="A193">
        <f>IF(A$2=0,"",IFERROR(TRIM(INDEX('Pegar docentes'!$A$1:$BZ$1001,192,A$2)&amp;""),""))</f>
        <v/>
      </c>
      <c r="B193">
        <f>IF(B$2=0,"",IFERROR(TRIM(INDEX('Pegar docentes'!$A$1:$BZ$1001,192,B$2)&amp;""),""))</f>
        <v/>
      </c>
      <c r="C193">
        <f>IF(C$2=0,"",IFERROR(TRIM(INDEX('Pegar docentes'!$A$1:$BZ$1001,192,C$2)&amp;""),""))</f>
        <v/>
      </c>
      <c r="D193">
        <f>IF(D$2=0,"",IFERROR(TRIM(INDEX('Pegar docentes'!$A$1:$BZ$1001,192,D$2)&amp;""),""))</f>
        <v/>
      </c>
      <c r="E193">
        <f>IF(E$2=0,"",IFERROR(TRIM(INDEX('Pegar docentes'!$A$1:$BZ$1001,192,E$2)&amp;""),""))</f>
        <v/>
      </c>
      <c r="F193">
        <f>IF(F$2=0,"",IFERROR(TRIM(INDEX('Pegar docentes'!$A$1:$BZ$1001,192,F$2)&amp;""),""))</f>
        <v/>
      </c>
      <c r="G193">
        <f>IF(G$2=0,"",IFERROR(TRIM(INDEX('Pegar docentes'!$A$1:$BZ$1001,192,G$2)&amp;""),""))</f>
        <v/>
      </c>
      <c r="H193">
        <f>IF(H$2=0,"",IFERROR(TRIM(INDEX('Pegar docentes'!$A$1:$BZ$1001,192,H$2)&amp;""),""))</f>
        <v/>
      </c>
      <c r="I193">
        <f>IF(I$2=0,"",IFERROR(TRIM(INDEX('Pegar docentes'!$A$1:$BZ$1001,192,I$2)&amp;""),""))</f>
        <v/>
      </c>
      <c r="J193">
        <f>IF(J$2=0,"",IFERROR(TRIM(INDEX('Pegar docentes'!$A$1:$BZ$1001,192,J$2)&amp;""),""))</f>
        <v/>
      </c>
      <c r="K193">
        <f>IF(K$2=0,"",IFERROR(TRIM(INDEX('Pegar docentes'!$A$1:$BZ$1001,192,K$2)&amp;""),""))</f>
        <v/>
      </c>
      <c r="L193">
        <f>IF(L$2=0,"",IFERROR(TRIM(INDEX('Pegar docentes'!$A$1:$BZ$1001,192,L$2)&amp;""),""))</f>
        <v/>
      </c>
      <c r="M193">
        <f>IF(M$2=0,"",IFERROR(TRIM(INDEX('Pegar docentes'!$A$1:$BZ$1001,192,M$2)&amp;""),""))</f>
        <v/>
      </c>
      <c r="N193">
        <f>IF(N$2=0,"",IFERROR(TRIM(INDEX('Pegar docentes'!$A$1:$BZ$1001,192,N$2)&amp;""),""))</f>
        <v/>
      </c>
      <c r="O193">
        <f>IF(O$2=0,"",IFERROR(TRIM(INDEX('Pegar docentes'!$A$1:$BZ$1001,192,O$2)&amp;""),""))</f>
        <v/>
      </c>
      <c r="P193">
        <f>IF(P$2=0,"",IFERROR(TRIM(INDEX('Pegar docentes'!$A$1:$BZ$1001,192,P$2)&amp;""),""))</f>
        <v/>
      </c>
      <c r="Q193" s="25">
        <f>IF(OR(D193&lt;&gt;"",H193&lt;&gt;""),1,"")</f>
        <v/>
      </c>
      <c r="R193" s="25">
        <f>IF(Q193=1,IF(ISNUMBER(FIND("#"&amp;MID(D193,1,1)&amp;"#","#0#1#2#3#4#5#6#7#8#9#")),IF(ISNUMBER(FIND("#"&amp;MID(D193,2,1)&amp;"#","#0#1#2#3#4#5#6#7#8#9#")),IF(AND(VALUE(LEFT(D193,2))&gt;=1,VALUE(LEFT(D193,2))&lt;=5),VALUE(LEFT(D193,2)),""),IF(AND(VALUE(LEFT(D193,1))&gt;=1,VALUE(LEFT(D193,1))&lt;=5),VALUE(LEFT(D193,1)),"")),""),"")</f>
        <v/>
      </c>
      <c r="S193" s="25">
        <f>IF(AND(Q193=1,E193&lt;&gt;""),SUBSTITUTE(SUBSTITUTE(SUBSTITUTE(SUBSTITUTE(SUBSTITUTE(SUBSTITUTE(SUBSTITUTE(SUBSTITUTE(SUBSTITUTE(SUBSTITUTE(SUBSTITUTE(SUBSTITUTE(LOWER(TRIM(E193)),"á","a"),"é","e"),"í","i"),"ó","o"),"ú","u"),"ü","u"),"ñ","n"),"à","a"),"è","e"),"ì","i"),"ò","o"),"ù","u"),"")</f>
        <v/>
      </c>
      <c r="T193" s="25">
        <f>IF(AND(Q193=1,G193&lt;&gt;""),SUBSTITUTE(SUBSTITUTE(SUBSTITUTE(SUBSTITUTE(SUBSTITUTE(SUBSTITUTE(SUBSTITUTE(SUBSTITUTE(SUBSTITUTE(SUBSTITUTE(SUBSTITUTE(SUBSTITUTE(LOWER(TRIM(G193)),"á","a"),"é","e"),"í","i"),"ó","o"),"ú","u"),"ü","u"),"ñ","n"),"à","a"),"è","e"),"ì","i"),"ò","o"),"ù","u"),"")</f>
        <v/>
      </c>
      <c r="U193" s="25">
        <f>IF(AND(Q193=1,H193&lt;&gt;""),SUBSTITUTE(SUBSTITUTE(SUBSTITUTE(SUBSTITUTE(SUBSTITUTE(SUBSTITUTE(SUBSTITUTE(SUBSTITUTE(SUBSTITUTE(SUBSTITUTE(SUBSTITUTE(SUBSTITUTE(LOWER(TRIM(H193)),"á","a"),"é","e"),"í","i"),"ó","o"),"ú","u"),"ü","u"),"ñ","n"),"à","a"),"è","e"),"ì","i"),"ò","o"),"ù","u"),"")</f>
        <v/>
      </c>
      <c r="V193" s="25">
        <f>IF(AND(Q193=1,L193&lt;&gt;""),SUBSTITUTE(SUBSTITUTE(SUBSTITUTE(SUBSTITUTE(SUBSTITUTE(SUBSTITUTE(SUBSTITUTE(SUBSTITUTE(SUBSTITUTE(SUBSTITUTE(SUBSTITUTE(SUBSTITUTE(LOWER(TRIM(L193)),"á","a"),"é","e"),"í","i"),"ó","o"),"ú","u"),"ü","u"),"ñ","n"),"à","a"),"è","e"),"ì","i"),"ò","o"),"ù","u"),"")</f>
        <v/>
      </c>
      <c r="W193" s="25">
        <f>IF(AND(Q193=1,I193&lt;&gt;""),SUBSTITUTE(SUBSTITUTE(SUBSTITUTE(SUBSTITUTE(SUBSTITUTE(SUBSTITUTE(SUBSTITUTE(SUBSTITUTE(SUBSTITUTE(SUBSTITUTE(SUBSTITUTE(SUBSTITUTE(LOWER(TRIM(I193)),"á","a"),"é","e"),"í","i"),"ó","o"),"ú","u"),"ü","u"),"ñ","n"),"à","a"),"è","e"),"ì","i"),"ò","o"),"ù","u"),"")</f>
        <v/>
      </c>
      <c r="X193" s="25">
        <f>IF(U193="","",IF(OR(U193="si, en la proxima tarea",U193="si, con cambios"),1,0))</f>
        <v/>
      </c>
      <c r="Y193" s="25">
        <f>IF(AND(Q193=1,A193&lt;&gt;""),IF(IFERROR(COUNTIFS(A$3:A193,"="&amp;SUBSTITUTE(SUBSTITUTE(SUBSTITUTE(A193,"~","~~"),"*","~*"),"?","~?"),Q$3:Q193,1),0)=1,MAX(Y$2:Y192)+1,""),"")</f>
        <v/>
      </c>
      <c r="Z193" s="25">
        <f>IF(Y193="","",COUNTIFS($A$3:$A$1002,"="&amp;SUBSTITUTE(SUBSTITUTE(SUBSTITUTE(A193,"~","~~"),"*","~*"),"?","~?"),$Q$3:$Q$1002,1)*10000-Y193)</f>
        <v/>
      </c>
    </row>
    <row r="194">
      <c r="A194">
        <f>IF(A$2=0,"",IFERROR(TRIM(INDEX('Pegar docentes'!$A$1:$BZ$1001,193,A$2)&amp;""),""))</f>
        <v/>
      </c>
      <c r="B194">
        <f>IF(B$2=0,"",IFERROR(TRIM(INDEX('Pegar docentes'!$A$1:$BZ$1001,193,B$2)&amp;""),""))</f>
        <v/>
      </c>
      <c r="C194">
        <f>IF(C$2=0,"",IFERROR(TRIM(INDEX('Pegar docentes'!$A$1:$BZ$1001,193,C$2)&amp;""),""))</f>
        <v/>
      </c>
      <c r="D194">
        <f>IF(D$2=0,"",IFERROR(TRIM(INDEX('Pegar docentes'!$A$1:$BZ$1001,193,D$2)&amp;""),""))</f>
        <v/>
      </c>
      <c r="E194">
        <f>IF(E$2=0,"",IFERROR(TRIM(INDEX('Pegar docentes'!$A$1:$BZ$1001,193,E$2)&amp;""),""))</f>
        <v/>
      </c>
      <c r="F194">
        <f>IF(F$2=0,"",IFERROR(TRIM(INDEX('Pegar docentes'!$A$1:$BZ$1001,193,F$2)&amp;""),""))</f>
        <v/>
      </c>
      <c r="G194">
        <f>IF(G$2=0,"",IFERROR(TRIM(INDEX('Pegar docentes'!$A$1:$BZ$1001,193,G$2)&amp;""),""))</f>
        <v/>
      </c>
      <c r="H194">
        <f>IF(H$2=0,"",IFERROR(TRIM(INDEX('Pegar docentes'!$A$1:$BZ$1001,193,H$2)&amp;""),""))</f>
        <v/>
      </c>
      <c r="I194">
        <f>IF(I$2=0,"",IFERROR(TRIM(INDEX('Pegar docentes'!$A$1:$BZ$1001,193,I$2)&amp;""),""))</f>
        <v/>
      </c>
      <c r="J194">
        <f>IF(J$2=0,"",IFERROR(TRIM(INDEX('Pegar docentes'!$A$1:$BZ$1001,193,J$2)&amp;""),""))</f>
        <v/>
      </c>
      <c r="K194">
        <f>IF(K$2=0,"",IFERROR(TRIM(INDEX('Pegar docentes'!$A$1:$BZ$1001,193,K$2)&amp;""),""))</f>
        <v/>
      </c>
      <c r="L194">
        <f>IF(L$2=0,"",IFERROR(TRIM(INDEX('Pegar docentes'!$A$1:$BZ$1001,193,L$2)&amp;""),""))</f>
        <v/>
      </c>
      <c r="M194">
        <f>IF(M$2=0,"",IFERROR(TRIM(INDEX('Pegar docentes'!$A$1:$BZ$1001,193,M$2)&amp;""),""))</f>
        <v/>
      </c>
      <c r="N194">
        <f>IF(N$2=0,"",IFERROR(TRIM(INDEX('Pegar docentes'!$A$1:$BZ$1001,193,N$2)&amp;""),""))</f>
        <v/>
      </c>
      <c r="O194">
        <f>IF(O$2=0,"",IFERROR(TRIM(INDEX('Pegar docentes'!$A$1:$BZ$1001,193,O$2)&amp;""),""))</f>
        <v/>
      </c>
      <c r="P194">
        <f>IF(P$2=0,"",IFERROR(TRIM(INDEX('Pegar docentes'!$A$1:$BZ$1001,193,P$2)&amp;""),""))</f>
        <v/>
      </c>
      <c r="Q194" s="25">
        <f>IF(OR(D194&lt;&gt;"",H194&lt;&gt;""),1,"")</f>
        <v/>
      </c>
      <c r="R194" s="25">
        <f>IF(Q194=1,IF(ISNUMBER(FIND("#"&amp;MID(D194,1,1)&amp;"#","#0#1#2#3#4#5#6#7#8#9#")),IF(ISNUMBER(FIND("#"&amp;MID(D194,2,1)&amp;"#","#0#1#2#3#4#5#6#7#8#9#")),IF(AND(VALUE(LEFT(D194,2))&gt;=1,VALUE(LEFT(D194,2))&lt;=5),VALUE(LEFT(D194,2)),""),IF(AND(VALUE(LEFT(D194,1))&gt;=1,VALUE(LEFT(D194,1))&lt;=5),VALUE(LEFT(D194,1)),"")),""),"")</f>
        <v/>
      </c>
      <c r="S194" s="25">
        <f>IF(AND(Q194=1,E194&lt;&gt;""),SUBSTITUTE(SUBSTITUTE(SUBSTITUTE(SUBSTITUTE(SUBSTITUTE(SUBSTITUTE(SUBSTITUTE(SUBSTITUTE(SUBSTITUTE(SUBSTITUTE(SUBSTITUTE(SUBSTITUTE(LOWER(TRIM(E194)),"á","a"),"é","e"),"í","i"),"ó","o"),"ú","u"),"ü","u"),"ñ","n"),"à","a"),"è","e"),"ì","i"),"ò","o"),"ù","u"),"")</f>
        <v/>
      </c>
      <c r="T194" s="25">
        <f>IF(AND(Q194=1,G194&lt;&gt;""),SUBSTITUTE(SUBSTITUTE(SUBSTITUTE(SUBSTITUTE(SUBSTITUTE(SUBSTITUTE(SUBSTITUTE(SUBSTITUTE(SUBSTITUTE(SUBSTITUTE(SUBSTITUTE(SUBSTITUTE(LOWER(TRIM(G194)),"á","a"),"é","e"),"í","i"),"ó","o"),"ú","u"),"ü","u"),"ñ","n"),"à","a"),"è","e"),"ì","i"),"ò","o"),"ù","u"),"")</f>
        <v/>
      </c>
      <c r="U194" s="25">
        <f>IF(AND(Q194=1,H194&lt;&gt;""),SUBSTITUTE(SUBSTITUTE(SUBSTITUTE(SUBSTITUTE(SUBSTITUTE(SUBSTITUTE(SUBSTITUTE(SUBSTITUTE(SUBSTITUTE(SUBSTITUTE(SUBSTITUTE(SUBSTITUTE(LOWER(TRIM(H194)),"á","a"),"é","e"),"í","i"),"ó","o"),"ú","u"),"ü","u"),"ñ","n"),"à","a"),"è","e"),"ì","i"),"ò","o"),"ù","u"),"")</f>
        <v/>
      </c>
      <c r="V194" s="25">
        <f>IF(AND(Q194=1,L194&lt;&gt;""),SUBSTITUTE(SUBSTITUTE(SUBSTITUTE(SUBSTITUTE(SUBSTITUTE(SUBSTITUTE(SUBSTITUTE(SUBSTITUTE(SUBSTITUTE(SUBSTITUTE(SUBSTITUTE(SUBSTITUTE(LOWER(TRIM(L194)),"á","a"),"é","e"),"í","i"),"ó","o"),"ú","u"),"ü","u"),"ñ","n"),"à","a"),"è","e"),"ì","i"),"ò","o"),"ù","u"),"")</f>
        <v/>
      </c>
      <c r="W194" s="25">
        <f>IF(AND(Q194=1,I194&lt;&gt;""),SUBSTITUTE(SUBSTITUTE(SUBSTITUTE(SUBSTITUTE(SUBSTITUTE(SUBSTITUTE(SUBSTITUTE(SUBSTITUTE(SUBSTITUTE(SUBSTITUTE(SUBSTITUTE(SUBSTITUTE(LOWER(TRIM(I194)),"á","a"),"é","e"),"í","i"),"ó","o"),"ú","u"),"ü","u"),"ñ","n"),"à","a"),"è","e"),"ì","i"),"ò","o"),"ù","u"),"")</f>
        <v/>
      </c>
      <c r="X194" s="25">
        <f>IF(U194="","",IF(OR(U194="si, en la proxima tarea",U194="si, con cambios"),1,0))</f>
        <v/>
      </c>
      <c r="Y194" s="25">
        <f>IF(AND(Q194=1,A194&lt;&gt;""),IF(IFERROR(COUNTIFS(A$3:A194,"="&amp;SUBSTITUTE(SUBSTITUTE(SUBSTITUTE(A194,"~","~~"),"*","~*"),"?","~?"),Q$3:Q194,1),0)=1,MAX(Y$2:Y193)+1,""),"")</f>
        <v/>
      </c>
      <c r="Z194" s="25">
        <f>IF(Y194="","",COUNTIFS($A$3:$A$1002,"="&amp;SUBSTITUTE(SUBSTITUTE(SUBSTITUTE(A194,"~","~~"),"*","~*"),"?","~?"),$Q$3:$Q$1002,1)*10000-Y194)</f>
        <v/>
      </c>
    </row>
    <row r="195">
      <c r="A195">
        <f>IF(A$2=0,"",IFERROR(TRIM(INDEX('Pegar docentes'!$A$1:$BZ$1001,194,A$2)&amp;""),""))</f>
        <v/>
      </c>
      <c r="B195">
        <f>IF(B$2=0,"",IFERROR(TRIM(INDEX('Pegar docentes'!$A$1:$BZ$1001,194,B$2)&amp;""),""))</f>
        <v/>
      </c>
      <c r="C195">
        <f>IF(C$2=0,"",IFERROR(TRIM(INDEX('Pegar docentes'!$A$1:$BZ$1001,194,C$2)&amp;""),""))</f>
        <v/>
      </c>
      <c r="D195">
        <f>IF(D$2=0,"",IFERROR(TRIM(INDEX('Pegar docentes'!$A$1:$BZ$1001,194,D$2)&amp;""),""))</f>
        <v/>
      </c>
      <c r="E195">
        <f>IF(E$2=0,"",IFERROR(TRIM(INDEX('Pegar docentes'!$A$1:$BZ$1001,194,E$2)&amp;""),""))</f>
        <v/>
      </c>
      <c r="F195">
        <f>IF(F$2=0,"",IFERROR(TRIM(INDEX('Pegar docentes'!$A$1:$BZ$1001,194,F$2)&amp;""),""))</f>
        <v/>
      </c>
      <c r="G195">
        <f>IF(G$2=0,"",IFERROR(TRIM(INDEX('Pegar docentes'!$A$1:$BZ$1001,194,G$2)&amp;""),""))</f>
        <v/>
      </c>
      <c r="H195">
        <f>IF(H$2=0,"",IFERROR(TRIM(INDEX('Pegar docentes'!$A$1:$BZ$1001,194,H$2)&amp;""),""))</f>
        <v/>
      </c>
      <c r="I195">
        <f>IF(I$2=0,"",IFERROR(TRIM(INDEX('Pegar docentes'!$A$1:$BZ$1001,194,I$2)&amp;""),""))</f>
        <v/>
      </c>
      <c r="J195">
        <f>IF(J$2=0,"",IFERROR(TRIM(INDEX('Pegar docentes'!$A$1:$BZ$1001,194,J$2)&amp;""),""))</f>
        <v/>
      </c>
      <c r="K195">
        <f>IF(K$2=0,"",IFERROR(TRIM(INDEX('Pegar docentes'!$A$1:$BZ$1001,194,K$2)&amp;""),""))</f>
        <v/>
      </c>
      <c r="L195">
        <f>IF(L$2=0,"",IFERROR(TRIM(INDEX('Pegar docentes'!$A$1:$BZ$1001,194,L$2)&amp;""),""))</f>
        <v/>
      </c>
      <c r="M195">
        <f>IF(M$2=0,"",IFERROR(TRIM(INDEX('Pegar docentes'!$A$1:$BZ$1001,194,M$2)&amp;""),""))</f>
        <v/>
      </c>
      <c r="N195">
        <f>IF(N$2=0,"",IFERROR(TRIM(INDEX('Pegar docentes'!$A$1:$BZ$1001,194,N$2)&amp;""),""))</f>
        <v/>
      </c>
      <c r="O195">
        <f>IF(O$2=0,"",IFERROR(TRIM(INDEX('Pegar docentes'!$A$1:$BZ$1001,194,O$2)&amp;""),""))</f>
        <v/>
      </c>
      <c r="P195">
        <f>IF(P$2=0,"",IFERROR(TRIM(INDEX('Pegar docentes'!$A$1:$BZ$1001,194,P$2)&amp;""),""))</f>
        <v/>
      </c>
      <c r="Q195" s="25">
        <f>IF(OR(D195&lt;&gt;"",H195&lt;&gt;""),1,"")</f>
        <v/>
      </c>
      <c r="R195" s="25">
        <f>IF(Q195=1,IF(ISNUMBER(FIND("#"&amp;MID(D195,1,1)&amp;"#","#0#1#2#3#4#5#6#7#8#9#")),IF(ISNUMBER(FIND("#"&amp;MID(D195,2,1)&amp;"#","#0#1#2#3#4#5#6#7#8#9#")),IF(AND(VALUE(LEFT(D195,2))&gt;=1,VALUE(LEFT(D195,2))&lt;=5),VALUE(LEFT(D195,2)),""),IF(AND(VALUE(LEFT(D195,1))&gt;=1,VALUE(LEFT(D195,1))&lt;=5),VALUE(LEFT(D195,1)),"")),""),"")</f>
        <v/>
      </c>
      <c r="S195" s="25">
        <f>IF(AND(Q195=1,E195&lt;&gt;""),SUBSTITUTE(SUBSTITUTE(SUBSTITUTE(SUBSTITUTE(SUBSTITUTE(SUBSTITUTE(SUBSTITUTE(SUBSTITUTE(SUBSTITUTE(SUBSTITUTE(SUBSTITUTE(SUBSTITUTE(LOWER(TRIM(E195)),"á","a"),"é","e"),"í","i"),"ó","o"),"ú","u"),"ü","u"),"ñ","n"),"à","a"),"è","e"),"ì","i"),"ò","o"),"ù","u"),"")</f>
        <v/>
      </c>
      <c r="T195" s="25">
        <f>IF(AND(Q195=1,G195&lt;&gt;""),SUBSTITUTE(SUBSTITUTE(SUBSTITUTE(SUBSTITUTE(SUBSTITUTE(SUBSTITUTE(SUBSTITUTE(SUBSTITUTE(SUBSTITUTE(SUBSTITUTE(SUBSTITUTE(SUBSTITUTE(LOWER(TRIM(G195)),"á","a"),"é","e"),"í","i"),"ó","o"),"ú","u"),"ü","u"),"ñ","n"),"à","a"),"è","e"),"ì","i"),"ò","o"),"ù","u"),"")</f>
        <v/>
      </c>
      <c r="U195" s="25">
        <f>IF(AND(Q195=1,H195&lt;&gt;""),SUBSTITUTE(SUBSTITUTE(SUBSTITUTE(SUBSTITUTE(SUBSTITUTE(SUBSTITUTE(SUBSTITUTE(SUBSTITUTE(SUBSTITUTE(SUBSTITUTE(SUBSTITUTE(SUBSTITUTE(LOWER(TRIM(H195)),"á","a"),"é","e"),"í","i"),"ó","o"),"ú","u"),"ü","u"),"ñ","n"),"à","a"),"è","e"),"ì","i"),"ò","o"),"ù","u"),"")</f>
        <v/>
      </c>
      <c r="V195" s="25">
        <f>IF(AND(Q195=1,L195&lt;&gt;""),SUBSTITUTE(SUBSTITUTE(SUBSTITUTE(SUBSTITUTE(SUBSTITUTE(SUBSTITUTE(SUBSTITUTE(SUBSTITUTE(SUBSTITUTE(SUBSTITUTE(SUBSTITUTE(SUBSTITUTE(LOWER(TRIM(L195)),"á","a"),"é","e"),"í","i"),"ó","o"),"ú","u"),"ü","u"),"ñ","n"),"à","a"),"è","e"),"ì","i"),"ò","o"),"ù","u"),"")</f>
        <v/>
      </c>
      <c r="W195" s="25">
        <f>IF(AND(Q195=1,I195&lt;&gt;""),SUBSTITUTE(SUBSTITUTE(SUBSTITUTE(SUBSTITUTE(SUBSTITUTE(SUBSTITUTE(SUBSTITUTE(SUBSTITUTE(SUBSTITUTE(SUBSTITUTE(SUBSTITUTE(SUBSTITUTE(LOWER(TRIM(I195)),"á","a"),"é","e"),"í","i"),"ó","o"),"ú","u"),"ü","u"),"ñ","n"),"à","a"),"è","e"),"ì","i"),"ò","o"),"ù","u"),"")</f>
        <v/>
      </c>
      <c r="X195" s="25">
        <f>IF(U195="","",IF(OR(U195="si, en la proxima tarea",U195="si, con cambios"),1,0))</f>
        <v/>
      </c>
      <c r="Y195" s="25">
        <f>IF(AND(Q195=1,A195&lt;&gt;""),IF(IFERROR(COUNTIFS(A$3:A195,"="&amp;SUBSTITUTE(SUBSTITUTE(SUBSTITUTE(A195,"~","~~"),"*","~*"),"?","~?"),Q$3:Q195,1),0)=1,MAX(Y$2:Y194)+1,""),"")</f>
        <v/>
      </c>
      <c r="Z195" s="25">
        <f>IF(Y195="","",COUNTIFS($A$3:$A$1002,"="&amp;SUBSTITUTE(SUBSTITUTE(SUBSTITUTE(A195,"~","~~"),"*","~*"),"?","~?"),$Q$3:$Q$1002,1)*10000-Y195)</f>
        <v/>
      </c>
    </row>
    <row r="196">
      <c r="A196">
        <f>IF(A$2=0,"",IFERROR(TRIM(INDEX('Pegar docentes'!$A$1:$BZ$1001,195,A$2)&amp;""),""))</f>
        <v/>
      </c>
      <c r="B196">
        <f>IF(B$2=0,"",IFERROR(TRIM(INDEX('Pegar docentes'!$A$1:$BZ$1001,195,B$2)&amp;""),""))</f>
        <v/>
      </c>
      <c r="C196">
        <f>IF(C$2=0,"",IFERROR(TRIM(INDEX('Pegar docentes'!$A$1:$BZ$1001,195,C$2)&amp;""),""))</f>
        <v/>
      </c>
      <c r="D196">
        <f>IF(D$2=0,"",IFERROR(TRIM(INDEX('Pegar docentes'!$A$1:$BZ$1001,195,D$2)&amp;""),""))</f>
        <v/>
      </c>
      <c r="E196">
        <f>IF(E$2=0,"",IFERROR(TRIM(INDEX('Pegar docentes'!$A$1:$BZ$1001,195,E$2)&amp;""),""))</f>
        <v/>
      </c>
      <c r="F196">
        <f>IF(F$2=0,"",IFERROR(TRIM(INDEX('Pegar docentes'!$A$1:$BZ$1001,195,F$2)&amp;""),""))</f>
        <v/>
      </c>
      <c r="G196">
        <f>IF(G$2=0,"",IFERROR(TRIM(INDEX('Pegar docentes'!$A$1:$BZ$1001,195,G$2)&amp;""),""))</f>
        <v/>
      </c>
      <c r="H196">
        <f>IF(H$2=0,"",IFERROR(TRIM(INDEX('Pegar docentes'!$A$1:$BZ$1001,195,H$2)&amp;""),""))</f>
        <v/>
      </c>
      <c r="I196">
        <f>IF(I$2=0,"",IFERROR(TRIM(INDEX('Pegar docentes'!$A$1:$BZ$1001,195,I$2)&amp;""),""))</f>
        <v/>
      </c>
      <c r="J196">
        <f>IF(J$2=0,"",IFERROR(TRIM(INDEX('Pegar docentes'!$A$1:$BZ$1001,195,J$2)&amp;""),""))</f>
        <v/>
      </c>
      <c r="K196">
        <f>IF(K$2=0,"",IFERROR(TRIM(INDEX('Pegar docentes'!$A$1:$BZ$1001,195,K$2)&amp;""),""))</f>
        <v/>
      </c>
      <c r="L196">
        <f>IF(L$2=0,"",IFERROR(TRIM(INDEX('Pegar docentes'!$A$1:$BZ$1001,195,L$2)&amp;""),""))</f>
        <v/>
      </c>
      <c r="M196">
        <f>IF(M$2=0,"",IFERROR(TRIM(INDEX('Pegar docentes'!$A$1:$BZ$1001,195,M$2)&amp;""),""))</f>
        <v/>
      </c>
      <c r="N196">
        <f>IF(N$2=0,"",IFERROR(TRIM(INDEX('Pegar docentes'!$A$1:$BZ$1001,195,N$2)&amp;""),""))</f>
        <v/>
      </c>
      <c r="O196">
        <f>IF(O$2=0,"",IFERROR(TRIM(INDEX('Pegar docentes'!$A$1:$BZ$1001,195,O$2)&amp;""),""))</f>
        <v/>
      </c>
      <c r="P196">
        <f>IF(P$2=0,"",IFERROR(TRIM(INDEX('Pegar docentes'!$A$1:$BZ$1001,195,P$2)&amp;""),""))</f>
        <v/>
      </c>
      <c r="Q196" s="25">
        <f>IF(OR(D196&lt;&gt;"",H196&lt;&gt;""),1,"")</f>
        <v/>
      </c>
      <c r="R196" s="25">
        <f>IF(Q196=1,IF(ISNUMBER(FIND("#"&amp;MID(D196,1,1)&amp;"#","#0#1#2#3#4#5#6#7#8#9#")),IF(ISNUMBER(FIND("#"&amp;MID(D196,2,1)&amp;"#","#0#1#2#3#4#5#6#7#8#9#")),IF(AND(VALUE(LEFT(D196,2))&gt;=1,VALUE(LEFT(D196,2))&lt;=5),VALUE(LEFT(D196,2)),""),IF(AND(VALUE(LEFT(D196,1))&gt;=1,VALUE(LEFT(D196,1))&lt;=5),VALUE(LEFT(D196,1)),"")),""),"")</f>
        <v/>
      </c>
      <c r="S196" s="25">
        <f>IF(AND(Q196=1,E196&lt;&gt;""),SUBSTITUTE(SUBSTITUTE(SUBSTITUTE(SUBSTITUTE(SUBSTITUTE(SUBSTITUTE(SUBSTITUTE(SUBSTITUTE(SUBSTITUTE(SUBSTITUTE(SUBSTITUTE(SUBSTITUTE(LOWER(TRIM(E196)),"á","a"),"é","e"),"í","i"),"ó","o"),"ú","u"),"ü","u"),"ñ","n"),"à","a"),"è","e"),"ì","i"),"ò","o"),"ù","u"),"")</f>
        <v/>
      </c>
      <c r="T196" s="25">
        <f>IF(AND(Q196=1,G196&lt;&gt;""),SUBSTITUTE(SUBSTITUTE(SUBSTITUTE(SUBSTITUTE(SUBSTITUTE(SUBSTITUTE(SUBSTITUTE(SUBSTITUTE(SUBSTITUTE(SUBSTITUTE(SUBSTITUTE(SUBSTITUTE(LOWER(TRIM(G196)),"á","a"),"é","e"),"í","i"),"ó","o"),"ú","u"),"ü","u"),"ñ","n"),"à","a"),"è","e"),"ì","i"),"ò","o"),"ù","u"),"")</f>
        <v/>
      </c>
      <c r="U196" s="25">
        <f>IF(AND(Q196=1,H196&lt;&gt;""),SUBSTITUTE(SUBSTITUTE(SUBSTITUTE(SUBSTITUTE(SUBSTITUTE(SUBSTITUTE(SUBSTITUTE(SUBSTITUTE(SUBSTITUTE(SUBSTITUTE(SUBSTITUTE(SUBSTITUTE(LOWER(TRIM(H196)),"á","a"),"é","e"),"í","i"),"ó","o"),"ú","u"),"ü","u"),"ñ","n"),"à","a"),"è","e"),"ì","i"),"ò","o"),"ù","u"),"")</f>
        <v/>
      </c>
      <c r="V196" s="25">
        <f>IF(AND(Q196=1,L196&lt;&gt;""),SUBSTITUTE(SUBSTITUTE(SUBSTITUTE(SUBSTITUTE(SUBSTITUTE(SUBSTITUTE(SUBSTITUTE(SUBSTITUTE(SUBSTITUTE(SUBSTITUTE(SUBSTITUTE(SUBSTITUTE(LOWER(TRIM(L196)),"á","a"),"é","e"),"í","i"),"ó","o"),"ú","u"),"ü","u"),"ñ","n"),"à","a"),"è","e"),"ì","i"),"ò","o"),"ù","u"),"")</f>
        <v/>
      </c>
      <c r="W196" s="25">
        <f>IF(AND(Q196=1,I196&lt;&gt;""),SUBSTITUTE(SUBSTITUTE(SUBSTITUTE(SUBSTITUTE(SUBSTITUTE(SUBSTITUTE(SUBSTITUTE(SUBSTITUTE(SUBSTITUTE(SUBSTITUTE(SUBSTITUTE(SUBSTITUTE(LOWER(TRIM(I196)),"á","a"),"é","e"),"í","i"),"ó","o"),"ú","u"),"ü","u"),"ñ","n"),"à","a"),"è","e"),"ì","i"),"ò","o"),"ù","u"),"")</f>
        <v/>
      </c>
      <c r="X196" s="25">
        <f>IF(U196="","",IF(OR(U196="si, en la proxima tarea",U196="si, con cambios"),1,0))</f>
        <v/>
      </c>
      <c r="Y196" s="25">
        <f>IF(AND(Q196=1,A196&lt;&gt;""),IF(IFERROR(COUNTIFS(A$3:A196,"="&amp;SUBSTITUTE(SUBSTITUTE(SUBSTITUTE(A196,"~","~~"),"*","~*"),"?","~?"),Q$3:Q196,1),0)=1,MAX(Y$2:Y195)+1,""),"")</f>
        <v/>
      </c>
      <c r="Z196" s="25">
        <f>IF(Y196="","",COUNTIFS($A$3:$A$1002,"="&amp;SUBSTITUTE(SUBSTITUTE(SUBSTITUTE(A196,"~","~~"),"*","~*"),"?","~?"),$Q$3:$Q$1002,1)*10000-Y196)</f>
        <v/>
      </c>
    </row>
    <row r="197">
      <c r="A197">
        <f>IF(A$2=0,"",IFERROR(TRIM(INDEX('Pegar docentes'!$A$1:$BZ$1001,196,A$2)&amp;""),""))</f>
        <v/>
      </c>
      <c r="B197">
        <f>IF(B$2=0,"",IFERROR(TRIM(INDEX('Pegar docentes'!$A$1:$BZ$1001,196,B$2)&amp;""),""))</f>
        <v/>
      </c>
      <c r="C197">
        <f>IF(C$2=0,"",IFERROR(TRIM(INDEX('Pegar docentes'!$A$1:$BZ$1001,196,C$2)&amp;""),""))</f>
        <v/>
      </c>
      <c r="D197">
        <f>IF(D$2=0,"",IFERROR(TRIM(INDEX('Pegar docentes'!$A$1:$BZ$1001,196,D$2)&amp;""),""))</f>
        <v/>
      </c>
      <c r="E197">
        <f>IF(E$2=0,"",IFERROR(TRIM(INDEX('Pegar docentes'!$A$1:$BZ$1001,196,E$2)&amp;""),""))</f>
        <v/>
      </c>
      <c r="F197">
        <f>IF(F$2=0,"",IFERROR(TRIM(INDEX('Pegar docentes'!$A$1:$BZ$1001,196,F$2)&amp;""),""))</f>
        <v/>
      </c>
      <c r="G197">
        <f>IF(G$2=0,"",IFERROR(TRIM(INDEX('Pegar docentes'!$A$1:$BZ$1001,196,G$2)&amp;""),""))</f>
        <v/>
      </c>
      <c r="H197">
        <f>IF(H$2=0,"",IFERROR(TRIM(INDEX('Pegar docentes'!$A$1:$BZ$1001,196,H$2)&amp;""),""))</f>
        <v/>
      </c>
      <c r="I197">
        <f>IF(I$2=0,"",IFERROR(TRIM(INDEX('Pegar docentes'!$A$1:$BZ$1001,196,I$2)&amp;""),""))</f>
        <v/>
      </c>
      <c r="J197">
        <f>IF(J$2=0,"",IFERROR(TRIM(INDEX('Pegar docentes'!$A$1:$BZ$1001,196,J$2)&amp;""),""))</f>
        <v/>
      </c>
      <c r="K197">
        <f>IF(K$2=0,"",IFERROR(TRIM(INDEX('Pegar docentes'!$A$1:$BZ$1001,196,K$2)&amp;""),""))</f>
        <v/>
      </c>
      <c r="L197">
        <f>IF(L$2=0,"",IFERROR(TRIM(INDEX('Pegar docentes'!$A$1:$BZ$1001,196,L$2)&amp;""),""))</f>
        <v/>
      </c>
      <c r="M197">
        <f>IF(M$2=0,"",IFERROR(TRIM(INDEX('Pegar docentes'!$A$1:$BZ$1001,196,M$2)&amp;""),""))</f>
        <v/>
      </c>
      <c r="N197">
        <f>IF(N$2=0,"",IFERROR(TRIM(INDEX('Pegar docentes'!$A$1:$BZ$1001,196,N$2)&amp;""),""))</f>
        <v/>
      </c>
      <c r="O197">
        <f>IF(O$2=0,"",IFERROR(TRIM(INDEX('Pegar docentes'!$A$1:$BZ$1001,196,O$2)&amp;""),""))</f>
        <v/>
      </c>
      <c r="P197">
        <f>IF(P$2=0,"",IFERROR(TRIM(INDEX('Pegar docentes'!$A$1:$BZ$1001,196,P$2)&amp;""),""))</f>
        <v/>
      </c>
      <c r="Q197" s="25">
        <f>IF(OR(D197&lt;&gt;"",H197&lt;&gt;""),1,"")</f>
        <v/>
      </c>
      <c r="R197" s="25">
        <f>IF(Q197=1,IF(ISNUMBER(FIND("#"&amp;MID(D197,1,1)&amp;"#","#0#1#2#3#4#5#6#7#8#9#")),IF(ISNUMBER(FIND("#"&amp;MID(D197,2,1)&amp;"#","#0#1#2#3#4#5#6#7#8#9#")),IF(AND(VALUE(LEFT(D197,2))&gt;=1,VALUE(LEFT(D197,2))&lt;=5),VALUE(LEFT(D197,2)),""),IF(AND(VALUE(LEFT(D197,1))&gt;=1,VALUE(LEFT(D197,1))&lt;=5),VALUE(LEFT(D197,1)),"")),""),"")</f>
        <v/>
      </c>
      <c r="S197" s="25">
        <f>IF(AND(Q197=1,E197&lt;&gt;""),SUBSTITUTE(SUBSTITUTE(SUBSTITUTE(SUBSTITUTE(SUBSTITUTE(SUBSTITUTE(SUBSTITUTE(SUBSTITUTE(SUBSTITUTE(SUBSTITUTE(SUBSTITUTE(SUBSTITUTE(LOWER(TRIM(E197)),"á","a"),"é","e"),"í","i"),"ó","o"),"ú","u"),"ü","u"),"ñ","n"),"à","a"),"è","e"),"ì","i"),"ò","o"),"ù","u"),"")</f>
        <v/>
      </c>
      <c r="T197" s="25">
        <f>IF(AND(Q197=1,G197&lt;&gt;""),SUBSTITUTE(SUBSTITUTE(SUBSTITUTE(SUBSTITUTE(SUBSTITUTE(SUBSTITUTE(SUBSTITUTE(SUBSTITUTE(SUBSTITUTE(SUBSTITUTE(SUBSTITUTE(SUBSTITUTE(LOWER(TRIM(G197)),"á","a"),"é","e"),"í","i"),"ó","o"),"ú","u"),"ü","u"),"ñ","n"),"à","a"),"è","e"),"ì","i"),"ò","o"),"ù","u"),"")</f>
        <v/>
      </c>
      <c r="U197" s="25">
        <f>IF(AND(Q197=1,H197&lt;&gt;""),SUBSTITUTE(SUBSTITUTE(SUBSTITUTE(SUBSTITUTE(SUBSTITUTE(SUBSTITUTE(SUBSTITUTE(SUBSTITUTE(SUBSTITUTE(SUBSTITUTE(SUBSTITUTE(SUBSTITUTE(LOWER(TRIM(H197)),"á","a"),"é","e"),"í","i"),"ó","o"),"ú","u"),"ü","u"),"ñ","n"),"à","a"),"è","e"),"ì","i"),"ò","o"),"ù","u"),"")</f>
        <v/>
      </c>
      <c r="V197" s="25">
        <f>IF(AND(Q197=1,L197&lt;&gt;""),SUBSTITUTE(SUBSTITUTE(SUBSTITUTE(SUBSTITUTE(SUBSTITUTE(SUBSTITUTE(SUBSTITUTE(SUBSTITUTE(SUBSTITUTE(SUBSTITUTE(SUBSTITUTE(SUBSTITUTE(LOWER(TRIM(L197)),"á","a"),"é","e"),"í","i"),"ó","o"),"ú","u"),"ü","u"),"ñ","n"),"à","a"),"è","e"),"ì","i"),"ò","o"),"ù","u"),"")</f>
        <v/>
      </c>
      <c r="W197" s="25">
        <f>IF(AND(Q197=1,I197&lt;&gt;""),SUBSTITUTE(SUBSTITUTE(SUBSTITUTE(SUBSTITUTE(SUBSTITUTE(SUBSTITUTE(SUBSTITUTE(SUBSTITUTE(SUBSTITUTE(SUBSTITUTE(SUBSTITUTE(SUBSTITUTE(LOWER(TRIM(I197)),"á","a"),"é","e"),"í","i"),"ó","o"),"ú","u"),"ü","u"),"ñ","n"),"à","a"),"è","e"),"ì","i"),"ò","o"),"ù","u"),"")</f>
        <v/>
      </c>
      <c r="X197" s="25">
        <f>IF(U197="","",IF(OR(U197="si, en la proxima tarea",U197="si, con cambios"),1,0))</f>
        <v/>
      </c>
      <c r="Y197" s="25">
        <f>IF(AND(Q197=1,A197&lt;&gt;""),IF(IFERROR(COUNTIFS(A$3:A197,"="&amp;SUBSTITUTE(SUBSTITUTE(SUBSTITUTE(A197,"~","~~"),"*","~*"),"?","~?"),Q$3:Q197,1),0)=1,MAX(Y$2:Y196)+1,""),"")</f>
        <v/>
      </c>
      <c r="Z197" s="25">
        <f>IF(Y197="","",COUNTIFS($A$3:$A$1002,"="&amp;SUBSTITUTE(SUBSTITUTE(SUBSTITUTE(A197,"~","~~"),"*","~*"),"?","~?"),$Q$3:$Q$1002,1)*10000-Y197)</f>
        <v/>
      </c>
    </row>
    <row r="198">
      <c r="A198">
        <f>IF(A$2=0,"",IFERROR(TRIM(INDEX('Pegar docentes'!$A$1:$BZ$1001,197,A$2)&amp;""),""))</f>
        <v/>
      </c>
      <c r="B198">
        <f>IF(B$2=0,"",IFERROR(TRIM(INDEX('Pegar docentes'!$A$1:$BZ$1001,197,B$2)&amp;""),""))</f>
        <v/>
      </c>
      <c r="C198">
        <f>IF(C$2=0,"",IFERROR(TRIM(INDEX('Pegar docentes'!$A$1:$BZ$1001,197,C$2)&amp;""),""))</f>
        <v/>
      </c>
      <c r="D198">
        <f>IF(D$2=0,"",IFERROR(TRIM(INDEX('Pegar docentes'!$A$1:$BZ$1001,197,D$2)&amp;""),""))</f>
        <v/>
      </c>
      <c r="E198">
        <f>IF(E$2=0,"",IFERROR(TRIM(INDEX('Pegar docentes'!$A$1:$BZ$1001,197,E$2)&amp;""),""))</f>
        <v/>
      </c>
      <c r="F198">
        <f>IF(F$2=0,"",IFERROR(TRIM(INDEX('Pegar docentes'!$A$1:$BZ$1001,197,F$2)&amp;""),""))</f>
        <v/>
      </c>
      <c r="G198">
        <f>IF(G$2=0,"",IFERROR(TRIM(INDEX('Pegar docentes'!$A$1:$BZ$1001,197,G$2)&amp;""),""))</f>
        <v/>
      </c>
      <c r="H198">
        <f>IF(H$2=0,"",IFERROR(TRIM(INDEX('Pegar docentes'!$A$1:$BZ$1001,197,H$2)&amp;""),""))</f>
        <v/>
      </c>
      <c r="I198">
        <f>IF(I$2=0,"",IFERROR(TRIM(INDEX('Pegar docentes'!$A$1:$BZ$1001,197,I$2)&amp;""),""))</f>
        <v/>
      </c>
      <c r="J198">
        <f>IF(J$2=0,"",IFERROR(TRIM(INDEX('Pegar docentes'!$A$1:$BZ$1001,197,J$2)&amp;""),""))</f>
        <v/>
      </c>
      <c r="K198">
        <f>IF(K$2=0,"",IFERROR(TRIM(INDEX('Pegar docentes'!$A$1:$BZ$1001,197,K$2)&amp;""),""))</f>
        <v/>
      </c>
      <c r="L198">
        <f>IF(L$2=0,"",IFERROR(TRIM(INDEX('Pegar docentes'!$A$1:$BZ$1001,197,L$2)&amp;""),""))</f>
        <v/>
      </c>
      <c r="M198">
        <f>IF(M$2=0,"",IFERROR(TRIM(INDEX('Pegar docentes'!$A$1:$BZ$1001,197,M$2)&amp;""),""))</f>
        <v/>
      </c>
      <c r="N198">
        <f>IF(N$2=0,"",IFERROR(TRIM(INDEX('Pegar docentes'!$A$1:$BZ$1001,197,N$2)&amp;""),""))</f>
        <v/>
      </c>
      <c r="O198">
        <f>IF(O$2=0,"",IFERROR(TRIM(INDEX('Pegar docentes'!$A$1:$BZ$1001,197,O$2)&amp;""),""))</f>
        <v/>
      </c>
      <c r="P198">
        <f>IF(P$2=0,"",IFERROR(TRIM(INDEX('Pegar docentes'!$A$1:$BZ$1001,197,P$2)&amp;""),""))</f>
        <v/>
      </c>
      <c r="Q198" s="25">
        <f>IF(OR(D198&lt;&gt;"",H198&lt;&gt;""),1,"")</f>
        <v/>
      </c>
      <c r="R198" s="25">
        <f>IF(Q198=1,IF(ISNUMBER(FIND("#"&amp;MID(D198,1,1)&amp;"#","#0#1#2#3#4#5#6#7#8#9#")),IF(ISNUMBER(FIND("#"&amp;MID(D198,2,1)&amp;"#","#0#1#2#3#4#5#6#7#8#9#")),IF(AND(VALUE(LEFT(D198,2))&gt;=1,VALUE(LEFT(D198,2))&lt;=5),VALUE(LEFT(D198,2)),""),IF(AND(VALUE(LEFT(D198,1))&gt;=1,VALUE(LEFT(D198,1))&lt;=5),VALUE(LEFT(D198,1)),"")),""),"")</f>
        <v/>
      </c>
      <c r="S198" s="25">
        <f>IF(AND(Q198=1,E198&lt;&gt;""),SUBSTITUTE(SUBSTITUTE(SUBSTITUTE(SUBSTITUTE(SUBSTITUTE(SUBSTITUTE(SUBSTITUTE(SUBSTITUTE(SUBSTITUTE(SUBSTITUTE(SUBSTITUTE(SUBSTITUTE(LOWER(TRIM(E198)),"á","a"),"é","e"),"í","i"),"ó","o"),"ú","u"),"ü","u"),"ñ","n"),"à","a"),"è","e"),"ì","i"),"ò","o"),"ù","u"),"")</f>
        <v/>
      </c>
      <c r="T198" s="25">
        <f>IF(AND(Q198=1,G198&lt;&gt;""),SUBSTITUTE(SUBSTITUTE(SUBSTITUTE(SUBSTITUTE(SUBSTITUTE(SUBSTITUTE(SUBSTITUTE(SUBSTITUTE(SUBSTITUTE(SUBSTITUTE(SUBSTITUTE(SUBSTITUTE(LOWER(TRIM(G198)),"á","a"),"é","e"),"í","i"),"ó","o"),"ú","u"),"ü","u"),"ñ","n"),"à","a"),"è","e"),"ì","i"),"ò","o"),"ù","u"),"")</f>
        <v/>
      </c>
      <c r="U198" s="25">
        <f>IF(AND(Q198=1,H198&lt;&gt;""),SUBSTITUTE(SUBSTITUTE(SUBSTITUTE(SUBSTITUTE(SUBSTITUTE(SUBSTITUTE(SUBSTITUTE(SUBSTITUTE(SUBSTITUTE(SUBSTITUTE(SUBSTITUTE(SUBSTITUTE(LOWER(TRIM(H198)),"á","a"),"é","e"),"í","i"),"ó","o"),"ú","u"),"ü","u"),"ñ","n"),"à","a"),"è","e"),"ì","i"),"ò","o"),"ù","u"),"")</f>
        <v/>
      </c>
      <c r="V198" s="25">
        <f>IF(AND(Q198=1,L198&lt;&gt;""),SUBSTITUTE(SUBSTITUTE(SUBSTITUTE(SUBSTITUTE(SUBSTITUTE(SUBSTITUTE(SUBSTITUTE(SUBSTITUTE(SUBSTITUTE(SUBSTITUTE(SUBSTITUTE(SUBSTITUTE(LOWER(TRIM(L198)),"á","a"),"é","e"),"í","i"),"ó","o"),"ú","u"),"ü","u"),"ñ","n"),"à","a"),"è","e"),"ì","i"),"ò","o"),"ù","u"),"")</f>
        <v/>
      </c>
      <c r="W198" s="25">
        <f>IF(AND(Q198=1,I198&lt;&gt;""),SUBSTITUTE(SUBSTITUTE(SUBSTITUTE(SUBSTITUTE(SUBSTITUTE(SUBSTITUTE(SUBSTITUTE(SUBSTITUTE(SUBSTITUTE(SUBSTITUTE(SUBSTITUTE(SUBSTITUTE(LOWER(TRIM(I198)),"á","a"),"é","e"),"í","i"),"ó","o"),"ú","u"),"ü","u"),"ñ","n"),"à","a"),"è","e"),"ì","i"),"ò","o"),"ù","u"),"")</f>
        <v/>
      </c>
      <c r="X198" s="25">
        <f>IF(U198="","",IF(OR(U198="si, en la proxima tarea",U198="si, con cambios"),1,0))</f>
        <v/>
      </c>
      <c r="Y198" s="25">
        <f>IF(AND(Q198=1,A198&lt;&gt;""),IF(IFERROR(COUNTIFS(A$3:A198,"="&amp;SUBSTITUTE(SUBSTITUTE(SUBSTITUTE(A198,"~","~~"),"*","~*"),"?","~?"),Q$3:Q198,1),0)=1,MAX(Y$2:Y197)+1,""),"")</f>
        <v/>
      </c>
      <c r="Z198" s="25">
        <f>IF(Y198="","",COUNTIFS($A$3:$A$1002,"="&amp;SUBSTITUTE(SUBSTITUTE(SUBSTITUTE(A198,"~","~~"),"*","~*"),"?","~?"),$Q$3:$Q$1002,1)*10000-Y198)</f>
        <v/>
      </c>
    </row>
    <row r="199">
      <c r="A199">
        <f>IF(A$2=0,"",IFERROR(TRIM(INDEX('Pegar docentes'!$A$1:$BZ$1001,198,A$2)&amp;""),""))</f>
        <v/>
      </c>
      <c r="B199">
        <f>IF(B$2=0,"",IFERROR(TRIM(INDEX('Pegar docentes'!$A$1:$BZ$1001,198,B$2)&amp;""),""))</f>
        <v/>
      </c>
      <c r="C199">
        <f>IF(C$2=0,"",IFERROR(TRIM(INDEX('Pegar docentes'!$A$1:$BZ$1001,198,C$2)&amp;""),""))</f>
        <v/>
      </c>
      <c r="D199">
        <f>IF(D$2=0,"",IFERROR(TRIM(INDEX('Pegar docentes'!$A$1:$BZ$1001,198,D$2)&amp;""),""))</f>
        <v/>
      </c>
      <c r="E199">
        <f>IF(E$2=0,"",IFERROR(TRIM(INDEX('Pegar docentes'!$A$1:$BZ$1001,198,E$2)&amp;""),""))</f>
        <v/>
      </c>
      <c r="F199">
        <f>IF(F$2=0,"",IFERROR(TRIM(INDEX('Pegar docentes'!$A$1:$BZ$1001,198,F$2)&amp;""),""))</f>
        <v/>
      </c>
      <c r="G199">
        <f>IF(G$2=0,"",IFERROR(TRIM(INDEX('Pegar docentes'!$A$1:$BZ$1001,198,G$2)&amp;""),""))</f>
        <v/>
      </c>
      <c r="H199">
        <f>IF(H$2=0,"",IFERROR(TRIM(INDEX('Pegar docentes'!$A$1:$BZ$1001,198,H$2)&amp;""),""))</f>
        <v/>
      </c>
      <c r="I199">
        <f>IF(I$2=0,"",IFERROR(TRIM(INDEX('Pegar docentes'!$A$1:$BZ$1001,198,I$2)&amp;""),""))</f>
        <v/>
      </c>
      <c r="J199">
        <f>IF(J$2=0,"",IFERROR(TRIM(INDEX('Pegar docentes'!$A$1:$BZ$1001,198,J$2)&amp;""),""))</f>
        <v/>
      </c>
      <c r="K199">
        <f>IF(K$2=0,"",IFERROR(TRIM(INDEX('Pegar docentes'!$A$1:$BZ$1001,198,K$2)&amp;""),""))</f>
        <v/>
      </c>
      <c r="L199">
        <f>IF(L$2=0,"",IFERROR(TRIM(INDEX('Pegar docentes'!$A$1:$BZ$1001,198,L$2)&amp;""),""))</f>
        <v/>
      </c>
      <c r="M199">
        <f>IF(M$2=0,"",IFERROR(TRIM(INDEX('Pegar docentes'!$A$1:$BZ$1001,198,M$2)&amp;""),""))</f>
        <v/>
      </c>
      <c r="N199">
        <f>IF(N$2=0,"",IFERROR(TRIM(INDEX('Pegar docentes'!$A$1:$BZ$1001,198,N$2)&amp;""),""))</f>
        <v/>
      </c>
      <c r="O199">
        <f>IF(O$2=0,"",IFERROR(TRIM(INDEX('Pegar docentes'!$A$1:$BZ$1001,198,O$2)&amp;""),""))</f>
        <v/>
      </c>
      <c r="P199">
        <f>IF(P$2=0,"",IFERROR(TRIM(INDEX('Pegar docentes'!$A$1:$BZ$1001,198,P$2)&amp;""),""))</f>
        <v/>
      </c>
      <c r="Q199" s="25">
        <f>IF(OR(D199&lt;&gt;"",H199&lt;&gt;""),1,"")</f>
        <v/>
      </c>
      <c r="R199" s="25">
        <f>IF(Q199=1,IF(ISNUMBER(FIND("#"&amp;MID(D199,1,1)&amp;"#","#0#1#2#3#4#5#6#7#8#9#")),IF(ISNUMBER(FIND("#"&amp;MID(D199,2,1)&amp;"#","#0#1#2#3#4#5#6#7#8#9#")),IF(AND(VALUE(LEFT(D199,2))&gt;=1,VALUE(LEFT(D199,2))&lt;=5),VALUE(LEFT(D199,2)),""),IF(AND(VALUE(LEFT(D199,1))&gt;=1,VALUE(LEFT(D199,1))&lt;=5),VALUE(LEFT(D199,1)),"")),""),"")</f>
        <v/>
      </c>
      <c r="S199" s="25">
        <f>IF(AND(Q199=1,E199&lt;&gt;""),SUBSTITUTE(SUBSTITUTE(SUBSTITUTE(SUBSTITUTE(SUBSTITUTE(SUBSTITUTE(SUBSTITUTE(SUBSTITUTE(SUBSTITUTE(SUBSTITUTE(SUBSTITUTE(SUBSTITUTE(LOWER(TRIM(E199)),"á","a"),"é","e"),"í","i"),"ó","o"),"ú","u"),"ü","u"),"ñ","n"),"à","a"),"è","e"),"ì","i"),"ò","o"),"ù","u"),"")</f>
        <v/>
      </c>
      <c r="T199" s="25">
        <f>IF(AND(Q199=1,G199&lt;&gt;""),SUBSTITUTE(SUBSTITUTE(SUBSTITUTE(SUBSTITUTE(SUBSTITUTE(SUBSTITUTE(SUBSTITUTE(SUBSTITUTE(SUBSTITUTE(SUBSTITUTE(SUBSTITUTE(SUBSTITUTE(LOWER(TRIM(G199)),"á","a"),"é","e"),"í","i"),"ó","o"),"ú","u"),"ü","u"),"ñ","n"),"à","a"),"è","e"),"ì","i"),"ò","o"),"ù","u"),"")</f>
        <v/>
      </c>
      <c r="U199" s="25">
        <f>IF(AND(Q199=1,H199&lt;&gt;""),SUBSTITUTE(SUBSTITUTE(SUBSTITUTE(SUBSTITUTE(SUBSTITUTE(SUBSTITUTE(SUBSTITUTE(SUBSTITUTE(SUBSTITUTE(SUBSTITUTE(SUBSTITUTE(SUBSTITUTE(LOWER(TRIM(H199)),"á","a"),"é","e"),"í","i"),"ó","o"),"ú","u"),"ü","u"),"ñ","n"),"à","a"),"è","e"),"ì","i"),"ò","o"),"ù","u"),"")</f>
        <v/>
      </c>
      <c r="V199" s="25">
        <f>IF(AND(Q199=1,L199&lt;&gt;""),SUBSTITUTE(SUBSTITUTE(SUBSTITUTE(SUBSTITUTE(SUBSTITUTE(SUBSTITUTE(SUBSTITUTE(SUBSTITUTE(SUBSTITUTE(SUBSTITUTE(SUBSTITUTE(SUBSTITUTE(LOWER(TRIM(L199)),"á","a"),"é","e"),"í","i"),"ó","o"),"ú","u"),"ü","u"),"ñ","n"),"à","a"),"è","e"),"ì","i"),"ò","o"),"ù","u"),"")</f>
        <v/>
      </c>
      <c r="W199" s="25">
        <f>IF(AND(Q199=1,I199&lt;&gt;""),SUBSTITUTE(SUBSTITUTE(SUBSTITUTE(SUBSTITUTE(SUBSTITUTE(SUBSTITUTE(SUBSTITUTE(SUBSTITUTE(SUBSTITUTE(SUBSTITUTE(SUBSTITUTE(SUBSTITUTE(LOWER(TRIM(I199)),"á","a"),"é","e"),"í","i"),"ó","o"),"ú","u"),"ü","u"),"ñ","n"),"à","a"),"è","e"),"ì","i"),"ò","o"),"ù","u"),"")</f>
        <v/>
      </c>
      <c r="X199" s="25">
        <f>IF(U199="","",IF(OR(U199="si, en la proxima tarea",U199="si, con cambios"),1,0))</f>
        <v/>
      </c>
      <c r="Y199" s="25">
        <f>IF(AND(Q199=1,A199&lt;&gt;""),IF(IFERROR(COUNTIFS(A$3:A199,"="&amp;SUBSTITUTE(SUBSTITUTE(SUBSTITUTE(A199,"~","~~"),"*","~*"),"?","~?"),Q$3:Q199,1),0)=1,MAX(Y$2:Y198)+1,""),"")</f>
        <v/>
      </c>
      <c r="Z199" s="25">
        <f>IF(Y199="","",COUNTIFS($A$3:$A$1002,"="&amp;SUBSTITUTE(SUBSTITUTE(SUBSTITUTE(A199,"~","~~"),"*","~*"),"?","~?"),$Q$3:$Q$1002,1)*10000-Y199)</f>
        <v/>
      </c>
    </row>
    <row r="200">
      <c r="A200">
        <f>IF(A$2=0,"",IFERROR(TRIM(INDEX('Pegar docentes'!$A$1:$BZ$1001,199,A$2)&amp;""),""))</f>
        <v/>
      </c>
      <c r="B200">
        <f>IF(B$2=0,"",IFERROR(TRIM(INDEX('Pegar docentes'!$A$1:$BZ$1001,199,B$2)&amp;""),""))</f>
        <v/>
      </c>
      <c r="C200">
        <f>IF(C$2=0,"",IFERROR(TRIM(INDEX('Pegar docentes'!$A$1:$BZ$1001,199,C$2)&amp;""),""))</f>
        <v/>
      </c>
      <c r="D200">
        <f>IF(D$2=0,"",IFERROR(TRIM(INDEX('Pegar docentes'!$A$1:$BZ$1001,199,D$2)&amp;""),""))</f>
        <v/>
      </c>
      <c r="E200">
        <f>IF(E$2=0,"",IFERROR(TRIM(INDEX('Pegar docentes'!$A$1:$BZ$1001,199,E$2)&amp;""),""))</f>
        <v/>
      </c>
      <c r="F200">
        <f>IF(F$2=0,"",IFERROR(TRIM(INDEX('Pegar docentes'!$A$1:$BZ$1001,199,F$2)&amp;""),""))</f>
        <v/>
      </c>
      <c r="G200">
        <f>IF(G$2=0,"",IFERROR(TRIM(INDEX('Pegar docentes'!$A$1:$BZ$1001,199,G$2)&amp;""),""))</f>
        <v/>
      </c>
      <c r="H200">
        <f>IF(H$2=0,"",IFERROR(TRIM(INDEX('Pegar docentes'!$A$1:$BZ$1001,199,H$2)&amp;""),""))</f>
        <v/>
      </c>
      <c r="I200">
        <f>IF(I$2=0,"",IFERROR(TRIM(INDEX('Pegar docentes'!$A$1:$BZ$1001,199,I$2)&amp;""),""))</f>
        <v/>
      </c>
      <c r="J200">
        <f>IF(J$2=0,"",IFERROR(TRIM(INDEX('Pegar docentes'!$A$1:$BZ$1001,199,J$2)&amp;""),""))</f>
        <v/>
      </c>
      <c r="K200">
        <f>IF(K$2=0,"",IFERROR(TRIM(INDEX('Pegar docentes'!$A$1:$BZ$1001,199,K$2)&amp;""),""))</f>
        <v/>
      </c>
      <c r="L200">
        <f>IF(L$2=0,"",IFERROR(TRIM(INDEX('Pegar docentes'!$A$1:$BZ$1001,199,L$2)&amp;""),""))</f>
        <v/>
      </c>
      <c r="M200">
        <f>IF(M$2=0,"",IFERROR(TRIM(INDEX('Pegar docentes'!$A$1:$BZ$1001,199,M$2)&amp;""),""))</f>
        <v/>
      </c>
      <c r="N200">
        <f>IF(N$2=0,"",IFERROR(TRIM(INDEX('Pegar docentes'!$A$1:$BZ$1001,199,N$2)&amp;""),""))</f>
        <v/>
      </c>
      <c r="O200">
        <f>IF(O$2=0,"",IFERROR(TRIM(INDEX('Pegar docentes'!$A$1:$BZ$1001,199,O$2)&amp;""),""))</f>
        <v/>
      </c>
      <c r="P200">
        <f>IF(P$2=0,"",IFERROR(TRIM(INDEX('Pegar docentes'!$A$1:$BZ$1001,199,P$2)&amp;""),""))</f>
        <v/>
      </c>
      <c r="Q200" s="25">
        <f>IF(OR(D200&lt;&gt;"",H200&lt;&gt;""),1,"")</f>
        <v/>
      </c>
      <c r="R200" s="25">
        <f>IF(Q200=1,IF(ISNUMBER(FIND("#"&amp;MID(D200,1,1)&amp;"#","#0#1#2#3#4#5#6#7#8#9#")),IF(ISNUMBER(FIND("#"&amp;MID(D200,2,1)&amp;"#","#0#1#2#3#4#5#6#7#8#9#")),IF(AND(VALUE(LEFT(D200,2))&gt;=1,VALUE(LEFT(D200,2))&lt;=5),VALUE(LEFT(D200,2)),""),IF(AND(VALUE(LEFT(D200,1))&gt;=1,VALUE(LEFT(D200,1))&lt;=5),VALUE(LEFT(D200,1)),"")),""),"")</f>
        <v/>
      </c>
      <c r="S200" s="25">
        <f>IF(AND(Q200=1,E200&lt;&gt;""),SUBSTITUTE(SUBSTITUTE(SUBSTITUTE(SUBSTITUTE(SUBSTITUTE(SUBSTITUTE(SUBSTITUTE(SUBSTITUTE(SUBSTITUTE(SUBSTITUTE(SUBSTITUTE(SUBSTITUTE(LOWER(TRIM(E200)),"á","a"),"é","e"),"í","i"),"ó","o"),"ú","u"),"ü","u"),"ñ","n"),"à","a"),"è","e"),"ì","i"),"ò","o"),"ù","u"),"")</f>
        <v/>
      </c>
      <c r="T200" s="25">
        <f>IF(AND(Q200=1,G200&lt;&gt;""),SUBSTITUTE(SUBSTITUTE(SUBSTITUTE(SUBSTITUTE(SUBSTITUTE(SUBSTITUTE(SUBSTITUTE(SUBSTITUTE(SUBSTITUTE(SUBSTITUTE(SUBSTITUTE(SUBSTITUTE(LOWER(TRIM(G200)),"á","a"),"é","e"),"í","i"),"ó","o"),"ú","u"),"ü","u"),"ñ","n"),"à","a"),"è","e"),"ì","i"),"ò","o"),"ù","u"),"")</f>
        <v/>
      </c>
      <c r="U200" s="25">
        <f>IF(AND(Q200=1,H200&lt;&gt;""),SUBSTITUTE(SUBSTITUTE(SUBSTITUTE(SUBSTITUTE(SUBSTITUTE(SUBSTITUTE(SUBSTITUTE(SUBSTITUTE(SUBSTITUTE(SUBSTITUTE(SUBSTITUTE(SUBSTITUTE(LOWER(TRIM(H200)),"á","a"),"é","e"),"í","i"),"ó","o"),"ú","u"),"ü","u"),"ñ","n"),"à","a"),"è","e"),"ì","i"),"ò","o"),"ù","u"),"")</f>
        <v/>
      </c>
      <c r="V200" s="25">
        <f>IF(AND(Q200=1,L200&lt;&gt;""),SUBSTITUTE(SUBSTITUTE(SUBSTITUTE(SUBSTITUTE(SUBSTITUTE(SUBSTITUTE(SUBSTITUTE(SUBSTITUTE(SUBSTITUTE(SUBSTITUTE(SUBSTITUTE(SUBSTITUTE(LOWER(TRIM(L200)),"á","a"),"é","e"),"í","i"),"ó","o"),"ú","u"),"ü","u"),"ñ","n"),"à","a"),"è","e"),"ì","i"),"ò","o"),"ù","u"),"")</f>
        <v/>
      </c>
      <c r="W200" s="25">
        <f>IF(AND(Q200=1,I200&lt;&gt;""),SUBSTITUTE(SUBSTITUTE(SUBSTITUTE(SUBSTITUTE(SUBSTITUTE(SUBSTITUTE(SUBSTITUTE(SUBSTITUTE(SUBSTITUTE(SUBSTITUTE(SUBSTITUTE(SUBSTITUTE(LOWER(TRIM(I200)),"á","a"),"é","e"),"í","i"),"ó","o"),"ú","u"),"ü","u"),"ñ","n"),"à","a"),"è","e"),"ì","i"),"ò","o"),"ù","u"),"")</f>
        <v/>
      </c>
      <c r="X200" s="25">
        <f>IF(U200="","",IF(OR(U200="si, en la proxima tarea",U200="si, con cambios"),1,0))</f>
        <v/>
      </c>
      <c r="Y200" s="25">
        <f>IF(AND(Q200=1,A200&lt;&gt;""),IF(IFERROR(COUNTIFS(A$3:A200,"="&amp;SUBSTITUTE(SUBSTITUTE(SUBSTITUTE(A200,"~","~~"),"*","~*"),"?","~?"),Q$3:Q200,1),0)=1,MAX(Y$2:Y199)+1,""),"")</f>
        <v/>
      </c>
      <c r="Z200" s="25">
        <f>IF(Y200="","",COUNTIFS($A$3:$A$1002,"="&amp;SUBSTITUTE(SUBSTITUTE(SUBSTITUTE(A200,"~","~~"),"*","~*"),"?","~?"),$Q$3:$Q$1002,1)*10000-Y200)</f>
        <v/>
      </c>
    </row>
    <row r="201">
      <c r="A201">
        <f>IF(A$2=0,"",IFERROR(TRIM(INDEX('Pegar docentes'!$A$1:$BZ$1001,200,A$2)&amp;""),""))</f>
        <v/>
      </c>
      <c r="B201">
        <f>IF(B$2=0,"",IFERROR(TRIM(INDEX('Pegar docentes'!$A$1:$BZ$1001,200,B$2)&amp;""),""))</f>
        <v/>
      </c>
      <c r="C201">
        <f>IF(C$2=0,"",IFERROR(TRIM(INDEX('Pegar docentes'!$A$1:$BZ$1001,200,C$2)&amp;""),""))</f>
        <v/>
      </c>
      <c r="D201">
        <f>IF(D$2=0,"",IFERROR(TRIM(INDEX('Pegar docentes'!$A$1:$BZ$1001,200,D$2)&amp;""),""))</f>
        <v/>
      </c>
      <c r="E201">
        <f>IF(E$2=0,"",IFERROR(TRIM(INDEX('Pegar docentes'!$A$1:$BZ$1001,200,E$2)&amp;""),""))</f>
        <v/>
      </c>
      <c r="F201">
        <f>IF(F$2=0,"",IFERROR(TRIM(INDEX('Pegar docentes'!$A$1:$BZ$1001,200,F$2)&amp;""),""))</f>
        <v/>
      </c>
      <c r="G201">
        <f>IF(G$2=0,"",IFERROR(TRIM(INDEX('Pegar docentes'!$A$1:$BZ$1001,200,G$2)&amp;""),""))</f>
        <v/>
      </c>
      <c r="H201">
        <f>IF(H$2=0,"",IFERROR(TRIM(INDEX('Pegar docentes'!$A$1:$BZ$1001,200,H$2)&amp;""),""))</f>
        <v/>
      </c>
      <c r="I201">
        <f>IF(I$2=0,"",IFERROR(TRIM(INDEX('Pegar docentes'!$A$1:$BZ$1001,200,I$2)&amp;""),""))</f>
        <v/>
      </c>
      <c r="J201">
        <f>IF(J$2=0,"",IFERROR(TRIM(INDEX('Pegar docentes'!$A$1:$BZ$1001,200,J$2)&amp;""),""))</f>
        <v/>
      </c>
      <c r="K201">
        <f>IF(K$2=0,"",IFERROR(TRIM(INDEX('Pegar docentes'!$A$1:$BZ$1001,200,K$2)&amp;""),""))</f>
        <v/>
      </c>
      <c r="L201">
        <f>IF(L$2=0,"",IFERROR(TRIM(INDEX('Pegar docentes'!$A$1:$BZ$1001,200,L$2)&amp;""),""))</f>
        <v/>
      </c>
      <c r="M201">
        <f>IF(M$2=0,"",IFERROR(TRIM(INDEX('Pegar docentes'!$A$1:$BZ$1001,200,M$2)&amp;""),""))</f>
        <v/>
      </c>
      <c r="N201">
        <f>IF(N$2=0,"",IFERROR(TRIM(INDEX('Pegar docentes'!$A$1:$BZ$1001,200,N$2)&amp;""),""))</f>
        <v/>
      </c>
      <c r="O201">
        <f>IF(O$2=0,"",IFERROR(TRIM(INDEX('Pegar docentes'!$A$1:$BZ$1001,200,O$2)&amp;""),""))</f>
        <v/>
      </c>
      <c r="P201">
        <f>IF(P$2=0,"",IFERROR(TRIM(INDEX('Pegar docentes'!$A$1:$BZ$1001,200,P$2)&amp;""),""))</f>
        <v/>
      </c>
      <c r="Q201" s="25">
        <f>IF(OR(D201&lt;&gt;"",H201&lt;&gt;""),1,"")</f>
        <v/>
      </c>
      <c r="R201" s="25">
        <f>IF(Q201=1,IF(ISNUMBER(FIND("#"&amp;MID(D201,1,1)&amp;"#","#0#1#2#3#4#5#6#7#8#9#")),IF(ISNUMBER(FIND("#"&amp;MID(D201,2,1)&amp;"#","#0#1#2#3#4#5#6#7#8#9#")),IF(AND(VALUE(LEFT(D201,2))&gt;=1,VALUE(LEFT(D201,2))&lt;=5),VALUE(LEFT(D201,2)),""),IF(AND(VALUE(LEFT(D201,1))&gt;=1,VALUE(LEFT(D201,1))&lt;=5),VALUE(LEFT(D201,1)),"")),""),"")</f>
        <v/>
      </c>
      <c r="S201" s="25">
        <f>IF(AND(Q201=1,E201&lt;&gt;""),SUBSTITUTE(SUBSTITUTE(SUBSTITUTE(SUBSTITUTE(SUBSTITUTE(SUBSTITUTE(SUBSTITUTE(SUBSTITUTE(SUBSTITUTE(SUBSTITUTE(SUBSTITUTE(SUBSTITUTE(LOWER(TRIM(E201)),"á","a"),"é","e"),"í","i"),"ó","o"),"ú","u"),"ü","u"),"ñ","n"),"à","a"),"è","e"),"ì","i"),"ò","o"),"ù","u"),"")</f>
        <v/>
      </c>
      <c r="T201" s="25">
        <f>IF(AND(Q201=1,G201&lt;&gt;""),SUBSTITUTE(SUBSTITUTE(SUBSTITUTE(SUBSTITUTE(SUBSTITUTE(SUBSTITUTE(SUBSTITUTE(SUBSTITUTE(SUBSTITUTE(SUBSTITUTE(SUBSTITUTE(SUBSTITUTE(LOWER(TRIM(G201)),"á","a"),"é","e"),"í","i"),"ó","o"),"ú","u"),"ü","u"),"ñ","n"),"à","a"),"è","e"),"ì","i"),"ò","o"),"ù","u"),"")</f>
        <v/>
      </c>
      <c r="U201" s="25">
        <f>IF(AND(Q201=1,H201&lt;&gt;""),SUBSTITUTE(SUBSTITUTE(SUBSTITUTE(SUBSTITUTE(SUBSTITUTE(SUBSTITUTE(SUBSTITUTE(SUBSTITUTE(SUBSTITUTE(SUBSTITUTE(SUBSTITUTE(SUBSTITUTE(LOWER(TRIM(H201)),"á","a"),"é","e"),"í","i"),"ó","o"),"ú","u"),"ü","u"),"ñ","n"),"à","a"),"è","e"),"ì","i"),"ò","o"),"ù","u"),"")</f>
        <v/>
      </c>
      <c r="V201" s="25">
        <f>IF(AND(Q201=1,L201&lt;&gt;""),SUBSTITUTE(SUBSTITUTE(SUBSTITUTE(SUBSTITUTE(SUBSTITUTE(SUBSTITUTE(SUBSTITUTE(SUBSTITUTE(SUBSTITUTE(SUBSTITUTE(SUBSTITUTE(SUBSTITUTE(LOWER(TRIM(L201)),"á","a"),"é","e"),"í","i"),"ó","o"),"ú","u"),"ü","u"),"ñ","n"),"à","a"),"è","e"),"ì","i"),"ò","o"),"ù","u"),"")</f>
        <v/>
      </c>
      <c r="W201" s="25">
        <f>IF(AND(Q201=1,I201&lt;&gt;""),SUBSTITUTE(SUBSTITUTE(SUBSTITUTE(SUBSTITUTE(SUBSTITUTE(SUBSTITUTE(SUBSTITUTE(SUBSTITUTE(SUBSTITUTE(SUBSTITUTE(SUBSTITUTE(SUBSTITUTE(LOWER(TRIM(I201)),"á","a"),"é","e"),"í","i"),"ó","o"),"ú","u"),"ü","u"),"ñ","n"),"à","a"),"è","e"),"ì","i"),"ò","o"),"ù","u"),"")</f>
        <v/>
      </c>
      <c r="X201" s="25">
        <f>IF(U201="","",IF(OR(U201="si, en la proxima tarea",U201="si, con cambios"),1,0))</f>
        <v/>
      </c>
      <c r="Y201" s="25">
        <f>IF(AND(Q201=1,A201&lt;&gt;""),IF(IFERROR(COUNTIFS(A$3:A201,"="&amp;SUBSTITUTE(SUBSTITUTE(SUBSTITUTE(A201,"~","~~"),"*","~*"),"?","~?"),Q$3:Q201,1),0)=1,MAX(Y$2:Y200)+1,""),"")</f>
        <v/>
      </c>
      <c r="Z201" s="25">
        <f>IF(Y201="","",COUNTIFS($A$3:$A$1002,"="&amp;SUBSTITUTE(SUBSTITUTE(SUBSTITUTE(A201,"~","~~"),"*","~*"),"?","~?"),$Q$3:$Q$1002,1)*10000-Y201)</f>
        <v/>
      </c>
    </row>
    <row r="202">
      <c r="A202">
        <f>IF(A$2=0,"",IFERROR(TRIM(INDEX('Pegar docentes'!$A$1:$BZ$1001,201,A$2)&amp;""),""))</f>
        <v/>
      </c>
      <c r="B202">
        <f>IF(B$2=0,"",IFERROR(TRIM(INDEX('Pegar docentes'!$A$1:$BZ$1001,201,B$2)&amp;""),""))</f>
        <v/>
      </c>
      <c r="C202">
        <f>IF(C$2=0,"",IFERROR(TRIM(INDEX('Pegar docentes'!$A$1:$BZ$1001,201,C$2)&amp;""),""))</f>
        <v/>
      </c>
      <c r="D202">
        <f>IF(D$2=0,"",IFERROR(TRIM(INDEX('Pegar docentes'!$A$1:$BZ$1001,201,D$2)&amp;""),""))</f>
        <v/>
      </c>
      <c r="E202">
        <f>IF(E$2=0,"",IFERROR(TRIM(INDEX('Pegar docentes'!$A$1:$BZ$1001,201,E$2)&amp;""),""))</f>
        <v/>
      </c>
      <c r="F202">
        <f>IF(F$2=0,"",IFERROR(TRIM(INDEX('Pegar docentes'!$A$1:$BZ$1001,201,F$2)&amp;""),""))</f>
        <v/>
      </c>
      <c r="G202">
        <f>IF(G$2=0,"",IFERROR(TRIM(INDEX('Pegar docentes'!$A$1:$BZ$1001,201,G$2)&amp;""),""))</f>
        <v/>
      </c>
      <c r="H202">
        <f>IF(H$2=0,"",IFERROR(TRIM(INDEX('Pegar docentes'!$A$1:$BZ$1001,201,H$2)&amp;""),""))</f>
        <v/>
      </c>
      <c r="I202">
        <f>IF(I$2=0,"",IFERROR(TRIM(INDEX('Pegar docentes'!$A$1:$BZ$1001,201,I$2)&amp;""),""))</f>
        <v/>
      </c>
      <c r="J202">
        <f>IF(J$2=0,"",IFERROR(TRIM(INDEX('Pegar docentes'!$A$1:$BZ$1001,201,J$2)&amp;""),""))</f>
        <v/>
      </c>
      <c r="K202">
        <f>IF(K$2=0,"",IFERROR(TRIM(INDEX('Pegar docentes'!$A$1:$BZ$1001,201,K$2)&amp;""),""))</f>
        <v/>
      </c>
      <c r="L202">
        <f>IF(L$2=0,"",IFERROR(TRIM(INDEX('Pegar docentes'!$A$1:$BZ$1001,201,L$2)&amp;""),""))</f>
        <v/>
      </c>
      <c r="M202">
        <f>IF(M$2=0,"",IFERROR(TRIM(INDEX('Pegar docentes'!$A$1:$BZ$1001,201,M$2)&amp;""),""))</f>
        <v/>
      </c>
      <c r="N202">
        <f>IF(N$2=0,"",IFERROR(TRIM(INDEX('Pegar docentes'!$A$1:$BZ$1001,201,N$2)&amp;""),""))</f>
        <v/>
      </c>
      <c r="O202">
        <f>IF(O$2=0,"",IFERROR(TRIM(INDEX('Pegar docentes'!$A$1:$BZ$1001,201,O$2)&amp;""),""))</f>
        <v/>
      </c>
      <c r="P202">
        <f>IF(P$2=0,"",IFERROR(TRIM(INDEX('Pegar docentes'!$A$1:$BZ$1001,201,P$2)&amp;""),""))</f>
        <v/>
      </c>
      <c r="Q202" s="25">
        <f>IF(OR(D202&lt;&gt;"",H202&lt;&gt;""),1,"")</f>
        <v/>
      </c>
      <c r="R202" s="25">
        <f>IF(Q202=1,IF(ISNUMBER(FIND("#"&amp;MID(D202,1,1)&amp;"#","#0#1#2#3#4#5#6#7#8#9#")),IF(ISNUMBER(FIND("#"&amp;MID(D202,2,1)&amp;"#","#0#1#2#3#4#5#6#7#8#9#")),IF(AND(VALUE(LEFT(D202,2))&gt;=1,VALUE(LEFT(D202,2))&lt;=5),VALUE(LEFT(D202,2)),""),IF(AND(VALUE(LEFT(D202,1))&gt;=1,VALUE(LEFT(D202,1))&lt;=5),VALUE(LEFT(D202,1)),"")),""),"")</f>
        <v/>
      </c>
      <c r="S202" s="25">
        <f>IF(AND(Q202=1,E202&lt;&gt;""),SUBSTITUTE(SUBSTITUTE(SUBSTITUTE(SUBSTITUTE(SUBSTITUTE(SUBSTITUTE(SUBSTITUTE(SUBSTITUTE(SUBSTITUTE(SUBSTITUTE(SUBSTITUTE(SUBSTITUTE(LOWER(TRIM(E202)),"á","a"),"é","e"),"í","i"),"ó","o"),"ú","u"),"ü","u"),"ñ","n"),"à","a"),"è","e"),"ì","i"),"ò","o"),"ù","u"),"")</f>
        <v/>
      </c>
      <c r="T202" s="25">
        <f>IF(AND(Q202=1,G202&lt;&gt;""),SUBSTITUTE(SUBSTITUTE(SUBSTITUTE(SUBSTITUTE(SUBSTITUTE(SUBSTITUTE(SUBSTITUTE(SUBSTITUTE(SUBSTITUTE(SUBSTITUTE(SUBSTITUTE(SUBSTITUTE(LOWER(TRIM(G202)),"á","a"),"é","e"),"í","i"),"ó","o"),"ú","u"),"ü","u"),"ñ","n"),"à","a"),"è","e"),"ì","i"),"ò","o"),"ù","u"),"")</f>
        <v/>
      </c>
      <c r="U202" s="25">
        <f>IF(AND(Q202=1,H202&lt;&gt;""),SUBSTITUTE(SUBSTITUTE(SUBSTITUTE(SUBSTITUTE(SUBSTITUTE(SUBSTITUTE(SUBSTITUTE(SUBSTITUTE(SUBSTITUTE(SUBSTITUTE(SUBSTITUTE(SUBSTITUTE(LOWER(TRIM(H202)),"á","a"),"é","e"),"í","i"),"ó","o"),"ú","u"),"ü","u"),"ñ","n"),"à","a"),"è","e"),"ì","i"),"ò","o"),"ù","u"),"")</f>
        <v/>
      </c>
      <c r="V202" s="25">
        <f>IF(AND(Q202=1,L202&lt;&gt;""),SUBSTITUTE(SUBSTITUTE(SUBSTITUTE(SUBSTITUTE(SUBSTITUTE(SUBSTITUTE(SUBSTITUTE(SUBSTITUTE(SUBSTITUTE(SUBSTITUTE(SUBSTITUTE(SUBSTITUTE(LOWER(TRIM(L202)),"á","a"),"é","e"),"í","i"),"ó","o"),"ú","u"),"ü","u"),"ñ","n"),"à","a"),"è","e"),"ì","i"),"ò","o"),"ù","u"),"")</f>
        <v/>
      </c>
      <c r="W202" s="25">
        <f>IF(AND(Q202=1,I202&lt;&gt;""),SUBSTITUTE(SUBSTITUTE(SUBSTITUTE(SUBSTITUTE(SUBSTITUTE(SUBSTITUTE(SUBSTITUTE(SUBSTITUTE(SUBSTITUTE(SUBSTITUTE(SUBSTITUTE(SUBSTITUTE(LOWER(TRIM(I202)),"á","a"),"é","e"),"í","i"),"ó","o"),"ú","u"),"ü","u"),"ñ","n"),"à","a"),"è","e"),"ì","i"),"ò","o"),"ù","u"),"")</f>
        <v/>
      </c>
      <c r="X202" s="25">
        <f>IF(U202="","",IF(OR(U202="si, en la proxima tarea",U202="si, con cambios"),1,0))</f>
        <v/>
      </c>
      <c r="Y202" s="25">
        <f>IF(AND(Q202=1,A202&lt;&gt;""),IF(IFERROR(COUNTIFS(A$3:A202,"="&amp;SUBSTITUTE(SUBSTITUTE(SUBSTITUTE(A202,"~","~~"),"*","~*"),"?","~?"),Q$3:Q202,1),0)=1,MAX(Y$2:Y201)+1,""),"")</f>
        <v/>
      </c>
      <c r="Z202" s="25">
        <f>IF(Y202="","",COUNTIFS($A$3:$A$1002,"="&amp;SUBSTITUTE(SUBSTITUTE(SUBSTITUTE(A202,"~","~~"),"*","~*"),"?","~?"),$Q$3:$Q$1002,1)*10000-Y202)</f>
        <v/>
      </c>
    </row>
    <row r="203">
      <c r="A203">
        <f>IF(A$2=0,"",IFERROR(TRIM(INDEX('Pegar docentes'!$A$1:$BZ$1001,202,A$2)&amp;""),""))</f>
        <v/>
      </c>
      <c r="B203">
        <f>IF(B$2=0,"",IFERROR(TRIM(INDEX('Pegar docentes'!$A$1:$BZ$1001,202,B$2)&amp;""),""))</f>
        <v/>
      </c>
      <c r="C203">
        <f>IF(C$2=0,"",IFERROR(TRIM(INDEX('Pegar docentes'!$A$1:$BZ$1001,202,C$2)&amp;""),""))</f>
        <v/>
      </c>
      <c r="D203">
        <f>IF(D$2=0,"",IFERROR(TRIM(INDEX('Pegar docentes'!$A$1:$BZ$1001,202,D$2)&amp;""),""))</f>
        <v/>
      </c>
      <c r="E203">
        <f>IF(E$2=0,"",IFERROR(TRIM(INDEX('Pegar docentes'!$A$1:$BZ$1001,202,E$2)&amp;""),""))</f>
        <v/>
      </c>
      <c r="F203">
        <f>IF(F$2=0,"",IFERROR(TRIM(INDEX('Pegar docentes'!$A$1:$BZ$1001,202,F$2)&amp;""),""))</f>
        <v/>
      </c>
      <c r="G203">
        <f>IF(G$2=0,"",IFERROR(TRIM(INDEX('Pegar docentes'!$A$1:$BZ$1001,202,G$2)&amp;""),""))</f>
        <v/>
      </c>
      <c r="H203">
        <f>IF(H$2=0,"",IFERROR(TRIM(INDEX('Pegar docentes'!$A$1:$BZ$1001,202,H$2)&amp;""),""))</f>
        <v/>
      </c>
      <c r="I203">
        <f>IF(I$2=0,"",IFERROR(TRIM(INDEX('Pegar docentes'!$A$1:$BZ$1001,202,I$2)&amp;""),""))</f>
        <v/>
      </c>
      <c r="J203">
        <f>IF(J$2=0,"",IFERROR(TRIM(INDEX('Pegar docentes'!$A$1:$BZ$1001,202,J$2)&amp;""),""))</f>
        <v/>
      </c>
      <c r="K203">
        <f>IF(K$2=0,"",IFERROR(TRIM(INDEX('Pegar docentes'!$A$1:$BZ$1001,202,K$2)&amp;""),""))</f>
        <v/>
      </c>
      <c r="L203">
        <f>IF(L$2=0,"",IFERROR(TRIM(INDEX('Pegar docentes'!$A$1:$BZ$1001,202,L$2)&amp;""),""))</f>
        <v/>
      </c>
      <c r="M203">
        <f>IF(M$2=0,"",IFERROR(TRIM(INDEX('Pegar docentes'!$A$1:$BZ$1001,202,M$2)&amp;""),""))</f>
        <v/>
      </c>
      <c r="N203">
        <f>IF(N$2=0,"",IFERROR(TRIM(INDEX('Pegar docentes'!$A$1:$BZ$1001,202,N$2)&amp;""),""))</f>
        <v/>
      </c>
      <c r="O203">
        <f>IF(O$2=0,"",IFERROR(TRIM(INDEX('Pegar docentes'!$A$1:$BZ$1001,202,O$2)&amp;""),""))</f>
        <v/>
      </c>
      <c r="P203">
        <f>IF(P$2=0,"",IFERROR(TRIM(INDEX('Pegar docentes'!$A$1:$BZ$1001,202,P$2)&amp;""),""))</f>
        <v/>
      </c>
      <c r="Q203" s="25">
        <f>IF(OR(D203&lt;&gt;"",H203&lt;&gt;""),1,"")</f>
        <v/>
      </c>
      <c r="R203" s="25">
        <f>IF(Q203=1,IF(ISNUMBER(FIND("#"&amp;MID(D203,1,1)&amp;"#","#0#1#2#3#4#5#6#7#8#9#")),IF(ISNUMBER(FIND("#"&amp;MID(D203,2,1)&amp;"#","#0#1#2#3#4#5#6#7#8#9#")),IF(AND(VALUE(LEFT(D203,2))&gt;=1,VALUE(LEFT(D203,2))&lt;=5),VALUE(LEFT(D203,2)),""),IF(AND(VALUE(LEFT(D203,1))&gt;=1,VALUE(LEFT(D203,1))&lt;=5),VALUE(LEFT(D203,1)),"")),""),"")</f>
        <v/>
      </c>
      <c r="S203" s="25">
        <f>IF(AND(Q203=1,E203&lt;&gt;""),SUBSTITUTE(SUBSTITUTE(SUBSTITUTE(SUBSTITUTE(SUBSTITUTE(SUBSTITUTE(SUBSTITUTE(SUBSTITUTE(SUBSTITUTE(SUBSTITUTE(SUBSTITUTE(SUBSTITUTE(LOWER(TRIM(E203)),"á","a"),"é","e"),"í","i"),"ó","o"),"ú","u"),"ü","u"),"ñ","n"),"à","a"),"è","e"),"ì","i"),"ò","o"),"ù","u"),"")</f>
        <v/>
      </c>
      <c r="T203" s="25">
        <f>IF(AND(Q203=1,G203&lt;&gt;""),SUBSTITUTE(SUBSTITUTE(SUBSTITUTE(SUBSTITUTE(SUBSTITUTE(SUBSTITUTE(SUBSTITUTE(SUBSTITUTE(SUBSTITUTE(SUBSTITUTE(SUBSTITUTE(SUBSTITUTE(LOWER(TRIM(G203)),"á","a"),"é","e"),"í","i"),"ó","o"),"ú","u"),"ü","u"),"ñ","n"),"à","a"),"è","e"),"ì","i"),"ò","o"),"ù","u"),"")</f>
        <v/>
      </c>
      <c r="U203" s="25">
        <f>IF(AND(Q203=1,H203&lt;&gt;""),SUBSTITUTE(SUBSTITUTE(SUBSTITUTE(SUBSTITUTE(SUBSTITUTE(SUBSTITUTE(SUBSTITUTE(SUBSTITUTE(SUBSTITUTE(SUBSTITUTE(SUBSTITUTE(SUBSTITUTE(LOWER(TRIM(H203)),"á","a"),"é","e"),"í","i"),"ó","o"),"ú","u"),"ü","u"),"ñ","n"),"à","a"),"è","e"),"ì","i"),"ò","o"),"ù","u"),"")</f>
        <v/>
      </c>
      <c r="V203" s="25">
        <f>IF(AND(Q203=1,L203&lt;&gt;""),SUBSTITUTE(SUBSTITUTE(SUBSTITUTE(SUBSTITUTE(SUBSTITUTE(SUBSTITUTE(SUBSTITUTE(SUBSTITUTE(SUBSTITUTE(SUBSTITUTE(SUBSTITUTE(SUBSTITUTE(LOWER(TRIM(L203)),"á","a"),"é","e"),"í","i"),"ó","o"),"ú","u"),"ü","u"),"ñ","n"),"à","a"),"è","e"),"ì","i"),"ò","o"),"ù","u"),"")</f>
        <v/>
      </c>
      <c r="W203" s="25">
        <f>IF(AND(Q203=1,I203&lt;&gt;""),SUBSTITUTE(SUBSTITUTE(SUBSTITUTE(SUBSTITUTE(SUBSTITUTE(SUBSTITUTE(SUBSTITUTE(SUBSTITUTE(SUBSTITUTE(SUBSTITUTE(SUBSTITUTE(SUBSTITUTE(LOWER(TRIM(I203)),"á","a"),"é","e"),"í","i"),"ó","o"),"ú","u"),"ü","u"),"ñ","n"),"à","a"),"è","e"),"ì","i"),"ò","o"),"ù","u"),"")</f>
        <v/>
      </c>
      <c r="X203" s="25">
        <f>IF(U203="","",IF(OR(U203="si, en la proxima tarea",U203="si, con cambios"),1,0))</f>
        <v/>
      </c>
      <c r="Y203" s="25">
        <f>IF(AND(Q203=1,A203&lt;&gt;""),IF(IFERROR(COUNTIFS(A$3:A203,"="&amp;SUBSTITUTE(SUBSTITUTE(SUBSTITUTE(A203,"~","~~"),"*","~*"),"?","~?"),Q$3:Q203,1),0)=1,MAX(Y$2:Y202)+1,""),"")</f>
        <v/>
      </c>
      <c r="Z203" s="25">
        <f>IF(Y203="","",COUNTIFS($A$3:$A$1002,"="&amp;SUBSTITUTE(SUBSTITUTE(SUBSTITUTE(A203,"~","~~"),"*","~*"),"?","~?"),$Q$3:$Q$1002,1)*10000-Y203)</f>
        <v/>
      </c>
    </row>
    <row r="204">
      <c r="A204">
        <f>IF(A$2=0,"",IFERROR(TRIM(INDEX('Pegar docentes'!$A$1:$BZ$1001,203,A$2)&amp;""),""))</f>
        <v/>
      </c>
      <c r="B204">
        <f>IF(B$2=0,"",IFERROR(TRIM(INDEX('Pegar docentes'!$A$1:$BZ$1001,203,B$2)&amp;""),""))</f>
        <v/>
      </c>
      <c r="C204">
        <f>IF(C$2=0,"",IFERROR(TRIM(INDEX('Pegar docentes'!$A$1:$BZ$1001,203,C$2)&amp;""),""))</f>
        <v/>
      </c>
      <c r="D204">
        <f>IF(D$2=0,"",IFERROR(TRIM(INDEX('Pegar docentes'!$A$1:$BZ$1001,203,D$2)&amp;""),""))</f>
        <v/>
      </c>
      <c r="E204">
        <f>IF(E$2=0,"",IFERROR(TRIM(INDEX('Pegar docentes'!$A$1:$BZ$1001,203,E$2)&amp;""),""))</f>
        <v/>
      </c>
      <c r="F204">
        <f>IF(F$2=0,"",IFERROR(TRIM(INDEX('Pegar docentes'!$A$1:$BZ$1001,203,F$2)&amp;""),""))</f>
        <v/>
      </c>
      <c r="G204">
        <f>IF(G$2=0,"",IFERROR(TRIM(INDEX('Pegar docentes'!$A$1:$BZ$1001,203,G$2)&amp;""),""))</f>
        <v/>
      </c>
      <c r="H204">
        <f>IF(H$2=0,"",IFERROR(TRIM(INDEX('Pegar docentes'!$A$1:$BZ$1001,203,H$2)&amp;""),""))</f>
        <v/>
      </c>
      <c r="I204">
        <f>IF(I$2=0,"",IFERROR(TRIM(INDEX('Pegar docentes'!$A$1:$BZ$1001,203,I$2)&amp;""),""))</f>
        <v/>
      </c>
      <c r="J204">
        <f>IF(J$2=0,"",IFERROR(TRIM(INDEX('Pegar docentes'!$A$1:$BZ$1001,203,J$2)&amp;""),""))</f>
        <v/>
      </c>
      <c r="K204">
        <f>IF(K$2=0,"",IFERROR(TRIM(INDEX('Pegar docentes'!$A$1:$BZ$1001,203,K$2)&amp;""),""))</f>
        <v/>
      </c>
      <c r="L204">
        <f>IF(L$2=0,"",IFERROR(TRIM(INDEX('Pegar docentes'!$A$1:$BZ$1001,203,L$2)&amp;""),""))</f>
        <v/>
      </c>
      <c r="M204">
        <f>IF(M$2=0,"",IFERROR(TRIM(INDEX('Pegar docentes'!$A$1:$BZ$1001,203,M$2)&amp;""),""))</f>
        <v/>
      </c>
      <c r="N204">
        <f>IF(N$2=0,"",IFERROR(TRIM(INDEX('Pegar docentes'!$A$1:$BZ$1001,203,N$2)&amp;""),""))</f>
        <v/>
      </c>
      <c r="O204">
        <f>IF(O$2=0,"",IFERROR(TRIM(INDEX('Pegar docentes'!$A$1:$BZ$1001,203,O$2)&amp;""),""))</f>
        <v/>
      </c>
      <c r="P204">
        <f>IF(P$2=0,"",IFERROR(TRIM(INDEX('Pegar docentes'!$A$1:$BZ$1001,203,P$2)&amp;""),""))</f>
        <v/>
      </c>
      <c r="Q204" s="25">
        <f>IF(OR(D204&lt;&gt;"",H204&lt;&gt;""),1,"")</f>
        <v/>
      </c>
      <c r="R204" s="25">
        <f>IF(Q204=1,IF(ISNUMBER(FIND("#"&amp;MID(D204,1,1)&amp;"#","#0#1#2#3#4#5#6#7#8#9#")),IF(ISNUMBER(FIND("#"&amp;MID(D204,2,1)&amp;"#","#0#1#2#3#4#5#6#7#8#9#")),IF(AND(VALUE(LEFT(D204,2))&gt;=1,VALUE(LEFT(D204,2))&lt;=5),VALUE(LEFT(D204,2)),""),IF(AND(VALUE(LEFT(D204,1))&gt;=1,VALUE(LEFT(D204,1))&lt;=5),VALUE(LEFT(D204,1)),"")),""),"")</f>
        <v/>
      </c>
      <c r="S204" s="25">
        <f>IF(AND(Q204=1,E204&lt;&gt;""),SUBSTITUTE(SUBSTITUTE(SUBSTITUTE(SUBSTITUTE(SUBSTITUTE(SUBSTITUTE(SUBSTITUTE(SUBSTITUTE(SUBSTITUTE(SUBSTITUTE(SUBSTITUTE(SUBSTITUTE(LOWER(TRIM(E204)),"á","a"),"é","e"),"í","i"),"ó","o"),"ú","u"),"ü","u"),"ñ","n"),"à","a"),"è","e"),"ì","i"),"ò","o"),"ù","u"),"")</f>
        <v/>
      </c>
      <c r="T204" s="25">
        <f>IF(AND(Q204=1,G204&lt;&gt;""),SUBSTITUTE(SUBSTITUTE(SUBSTITUTE(SUBSTITUTE(SUBSTITUTE(SUBSTITUTE(SUBSTITUTE(SUBSTITUTE(SUBSTITUTE(SUBSTITUTE(SUBSTITUTE(SUBSTITUTE(LOWER(TRIM(G204)),"á","a"),"é","e"),"í","i"),"ó","o"),"ú","u"),"ü","u"),"ñ","n"),"à","a"),"è","e"),"ì","i"),"ò","o"),"ù","u"),"")</f>
        <v/>
      </c>
      <c r="U204" s="25">
        <f>IF(AND(Q204=1,H204&lt;&gt;""),SUBSTITUTE(SUBSTITUTE(SUBSTITUTE(SUBSTITUTE(SUBSTITUTE(SUBSTITUTE(SUBSTITUTE(SUBSTITUTE(SUBSTITUTE(SUBSTITUTE(SUBSTITUTE(SUBSTITUTE(LOWER(TRIM(H204)),"á","a"),"é","e"),"í","i"),"ó","o"),"ú","u"),"ü","u"),"ñ","n"),"à","a"),"è","e"),"ì","i"),"ò","o"),"ù","u"),"")</f>
        <v/>
      </c>
      <c r="V204" s="25">
        <f>IF(AND(Q204=1,L204&lt;&gt;""),SUBSTITUTE(SUBSTITUTE(SUBSTITUTE(SUBSTITUTE(SUBSTITUTE(SUBSTITUTE(SUBSTITUTE(SUBSTITUTE(SUBSTITUTE(SUBSTITUTE(SUBSTITUTE(SUBSTITUTE(LOWER(TRIM(L204)),"á","a"),"é","e"),"í","i"),"ó","o"),"ú","u"),"ü","u"),"ñ","n"),"à","a"),"è","e"),"ì","i"),"ò","o"),"ù","u"),"")</f>
        <v/>
      </c>
      <c r="W204" s="25">
        <f>IF(AND(Q204=1,I204&lt;&gt;""),SUBSTITUTE(SUBSTITUTE(SUBSTITUTE(SUBSTITUTE(SUBSTITUTE(SUBSTITUTE(SUBSTITUTE(SUBSTITUTE(SUBSTITUTE(SUBSTITUTE(SUBSTITUTE(SUBSTITUTE(LOWER(TRIM(I204)),"á","a"),"é","e"),"í","i"),"ó","o"),"ú","u"),"ü","u"),"ñ","n"),"à","a"),"è","e"),"ì","i"),"ò","o"),"ù","u"),"")</f>
        <v/>
      </c>
      <c r="X204" s="25">
        <f>IF(U204="","",IF(OR(U204="si, en la proxima tarea",U204="si, con cambios"),1,0))</f>
        <v/>
      </c>
      <c r="Y204" s="25">
        <f>IF(AND(Q204=1,A204&lt;&gt;""),IF(IFERROR(COUNTIFS(A$3:A204,"="&amp;SUBSTITUTE(SUBSTITUTE(SUBSTITUTE(A204,"~","~~"),"*","~*"),"?","~?"),Q$3:Q204,1),0)=1,MAX(Y$2:Y203)+1,""),"")</f>
        <v/>
      </c>
      <c r="Z204" s="25">
        <f>IF(Y204="","",COUNTIFS($A$3:$A$1002,"="&amp;SUBSTITUTE(SUBSTITUTE(SUBSTITUTE(A204,"~","~~"),"*","~*"),"?","~?"),$Q$3:$Q$1002,1)*10000-Y204)</f>
        <v/>
      </c>
    </row>
    <row r="205">
      <c r="A205">
        <f>IF(A$2=0,"",IFERROR(TRIM(INDEX('Pegar docentes'!$A$1:$BZ$1001,204,A$2)&amp;""),""))</f>
        <v/>
      </c>
      <c r="B205">
        <f>IF(B$2=0,"",IFERROR(TRIM(INDEX('Pegar docentes'!$A$1:$BZ$1001,204,B$2)&amp;""),""))</f>
        <v/>
      </c>
      <c r="C205">
        <f>IF(C$2=0,"",IFERROR(TRIM(INDEX('Pegar docentes'!$A$1:$BZ$1001,204,C$2)&amp;""),""))</f>
        <v/>
      </c>
      <c r="D205">
        <f>IF(D$2=0,"",IFERROR(TRIM(INDEX('Pegar docentes'!$A$1:$BZ$1001,204,D$2)&amp;""),""))</f>
        <v/>
      </c>
      <c r="E205">
        <f>IF(E$2=0,"",IFERROR(TRIM(INDEX('Pegar docentes'!$A$1:$BZ$1001,204,E$2)&amp;""),""))</f>
        <v/>
      </c>
      <c r="F205">
        <f>IF(F$2=0,"",IFERROR(TRIM(INDEX('Pegar docentes'!$A$1:$BZ$1001,204,F$2)&amp;""),""))</f>
        <v/>
      </c>
      <c r="G205">
        <f>IF(G$2=0,"",IFERROR(TRIM(INDEX('Pegar docentes'!$A$1:$BZ$1001,204,G$2)&amp;""),""))</f>
        <v/>
      </c>
      <c r="H205">
        <f>IF(H$2=0,"",IFERROR(TRIM(INDEX('Pegar docentes'!$A$1:$BZ$1001,204,H$2)&amp;""),""))</f>
        <v/>
      </c>
      <c r="I205">
        <f>IF(I$2=0,"",IFERROR(TRIM(INDEX('Pegar docentes'!$A$1:$BZ$1001,204,I$2)&amp;""),""))</f>
        <v/>
      </c>
      <c r="J205">
        <f>IF(J$2=0,"",IFERROR(TRIM(INDEX('Pegar docentes'!$A$1:$BZ$1001,204,J$2)&amp;""),""))</f>
        <v/>
      </c>
      <c r="K205">
        <f>IF(K$2=0,"",IFERROR(TRIM(INDEX('Pegar docentes'!$A$1:$BZ$1001,204,K$2)&amp;""),""))</f>
        <v/>
      </c>
      <c r="L205">
        <f>IF(L$2=0,"",IFERROR(TRIM(INDEX('Pegar docentes'!$A$1:$BZ$1001,204,L$2)&amp;""),""))</f>
        <v/>
      </c>
      <c r="M205">
        <f>IF(M$2=0,"",IFERROR(TRIM(INDEX('Pegar docentes'!$A$1:$BZ$1001,204,M$2)&amp;""),""))</f>
        <v/>
      </c>
      <c r="N205">
        <f>IF(N$2=0,"",IFERROR(TRIM(INDEX('Pegar docentes'!$A$1:$BZ$1001,204,N$2)&amp;""),""))</f>
        <v/>
      </c>
      <c r="O205">
        <f>IF(O$2=0,"",IFERROR(TRIM(INDEX('Pegar docentes'!$A$1:$BZ$1001,204,O$2)&amp;""),""))</f>
        <v/>
      </c>
      <c r="P205">
        <f>IF(P$2=0,"",IFERROR(TRIM(INDEX('Pegar docentes'!$A$1:$BZ$1001,204,P$2)&amp;""),""))</f>
        <v/>
      </c>
      <c r="Q205" s="25">
        <f>IF(OR(D205&lt;&gt;"",H205&lt;&gt;""),1,"")</f>
        <v/>
      </c>
      <c r="R205" s="25">
        <f>IF(Q205=1,IF(ISNUMBER(FIND("#"&amp;MID(D205,1,1)&amp;"#","#0#1#2#3#4#5#6#7#8#9#")),IF(ISNUMBER(FIND("#"&amp;MID(D205,2,1)&amp;"#","#0#1#2#3#4#5#6#7#8#9#")),IF(AND(VALUE(LEFT(D205,2))&gt;=1,VALUE(LEFT(D205,2))&lt;=5),VALUE(LEFT(D205,2)),""),IF(AND(VALUE(LEFT(D205,1))&gt;=1,VALUE(LEFT(D205,1))&lt;=5),VALUE(LEFT(D205,1)),"")),""),"")</f>
        <v/>
      </c>
      <c r="S205" s="25">
        <f>IF(AND(Q205=1,E205&lt;&gt;""),SUBSTITUTE(SUBSTITUTE(SUBSTITUTE(SUBSTITUTE(SUBSTITUTE(SUBSTITUTE(SUBSTITUTE(SUBSTITUTE(SUBSTITUTE(SUBSTITUTE(SUBSTITUTE(SUBSTITUTE(LOWER(TRIM(E205)),"á","a"),"é","e"),"í","i"),"ó","o"),"ú","u"),"ü","u"),"ñ","n"),"à","a"),"è","e"),"ì","i"),"ò","o"),"ù","u"),"")</f>
        <v/>
      </c>
      <c r="T205" s="25">
        <f>IF(AND(Q205=1,G205&lt;&gt;""),SUBSTITUTE(SUBSTITUTE(SUBSTITUTE(SUBSTITUTE(SUBSTITUTE(SUBSTITUTE(SUBSTITUTE(SUBSTITUTE(SUBSTITUTE(SUBSTITUTE(SUBSTITUTE(SUBSTITUTE(LOWER(TRIM(G205)),"á","a"),"é","e"),"í","i"),"ó","o"),"ú","u"),"ü","u"),"ñ","n"),"à","a"),"è","e"),"ì","i"),"ò","o"),"ù","u"),"")</f>
        <v/>
      </c>
      <c r="U205" s="25">
        <f>IF(AND(Q205=1,H205&lt;&gt;""),SUBSTITUTE(SUBSTITUTE(SUBSTITUTE(SUBSTITUTE(SUBSTITUTE(SUBSTITUTE(SUBSTITUTE(SUBSTITUTE(SUBSTITUTE(SUBSTITUTE(SUBSTITUTE(SUBSTITUTE(LOWER(TRIM(H205)),"á","a"),"é","e"),"í","i"),"ó","o"),"ú","u"),"ü","u"),"ñ","n"),"à","a"),"è","e"),"ì","i"),"ò","o"),"ù","u"),"")</f>
        <v/>
      </c>
      <c r="V205" s="25">
        <f>IF(AND(Q205=1,L205&lt;&gt;""),SUBSTITUTE(SUBSTITUTE(SUBSTITUTE(SUBSTITUTE(SUBSTITUTE(SUBSTITUTE(SUBSTITUTE(SUBSTITUTE(SUBSTITUTE(SUBSTITUTE(SUBSTITUTE(SUBSTITUTE(LOWER(TRIM(L205)),"á","a"),"é","e"),"í","i"),"ó","o"),"ú","u"),"ü","u"),"ñ","n"),"à","a"),"è","e"),"ì","i"),"ò","o"),"ù","u"),"")</f>
        <v/>
      </c>
      <c r="W205" s="25">
        <f>IF(AND(Q205=1,I205&lt;&gt;""),SUBSTITUTE(SUBSTITUTE(SUBSTITUTE(SUBSTITUTE(SUBSTITUTE(SUBSTITUTE(SUBSTITUTE(SUBSTITUTE(SUBSTITUTE(SUBSTITUTE(SUBSTITUTE(SUBSTITUTE(LOWER(TRIM(I205)),"á","a"),"é","e"),"í","i"),"ó","o"),"ú","u"),"ü","u"),"ñ","n"),"à","a"),"è","e"),"ì","i"),"ò","o"),"ù","u"),"")</f>
        <v/>
      </c>
      <c r="X205" s="25">
        <f>IF(U205="","",IF(OR(U205="si, en la proxima tarea",U205="si, con cambios"),1,0))</f>
        <v/>
      </c>
      <c r="Y205" s="25">
        <f>IF(AND(Q205=1,A205&lt;&gt;""),IF(IFERROR(COUNTIFS(A$3:A205,"="&amp;SUBSTITUTE(SUBSTITUTE(SUBSTITUTE(A205,"~","~~"),"*","~*"),"?","~?"),Q$3:Q205,1),0)=1,MAX(Y$2:Y204)+1,""),"")</f>
        <v/>
      </c>
      <c r="Z205" s="25">
        <f>IF(Y205="","",COUNTIFS($A$3:$A$1002,"="&amp;SUBSTITUTE(SUBSTITUTE(SUBSTITUTE(A205,"~","~~"),"*","~*"),"?","~?"),$Q$3:$Q$1002,1)*10000-Y205)</f>
        <v/>
      </c>
    </row>
    <row r="206">
      <c r="A206">
        <f>IF(A$2=0,"",IFERROR(TRIM(INDEX('Pegar docentes'!$A$1:$BZ$1001,205,A$2)&amp;""),""))</f>
        <v/>
      </c>
      <c r="B206">
        <f>IF(B$2=0,"",IFERROR(TRIM(INDEX('Pegar docentes'!$A$1:$BZ$1001,205,B$2)&amp;""),""))</f>
        <v/>
      </c>
      <c r="C206">
        <f>IF(C$2=0,"",IFERROR(TRIM(INDEX('Pegar docentes'!$A$1:$BZ$1001,205,C$2)&amp;""),""))</f>
        <v/>
      </c>
      <c r="D206">
        <f>IF(D$2=0,"",IFERROR(TRIM(INDEX('Pegar docentes'!$A$1:$BZ$1001,205,D$2)&amp;""),""))</f>
        <v/>
      </c>
      <c r="E206">
        <f>IF(E$2=0,"",IFERROR(TRIM(INDEX('Pegar docentes'!$A$1:$BZ$1001,205,E$2)&amp;""),""))</f>
        <v/>
      </c>
      <c r="F206">
        <f>IF(F$2=0,"",IFERROR(TRIM(INDEX('Pegar docentes'!$A$1:$BZ$1001,205,F$2)&amp;""),""))</f>
        <v/>
      </c>
      <c r="G206">
        <f>IF(G$2=0,"",IFERROR(TRIM(INDEX('Pegar docentes'!$A$1:$BZ$1001,205,G$2)&amp;""),""))</f>
        <v/>
      </c>
      <c r="H206">
        <f>IF(H$2=0,"",IFERROR(TRIM(INDEX('Pegar docentes'!$A$1:$BZ$1001,205,H$2)&amp;""),""))</f>
        <v/>
      </c>
      <c r="I206">
        <f>IF(I$2=0,"",IFERROR(TRIM(INDEX('Pegar docentes'!$A$1:$BZ$1001,205,I$2)&amp;""),""))</f>
        <v/>
      </c>
      <c r="J206">
        <f>IF(J$2=0,"",IFERROR(TRIM(INDEX('Pegar docentes'!$A$1:$BZ$1001,205,J$2)&amp;""),""))</f>
        <v/>
      </c>
      <c r="K206">
        <f>IF(K$2=0,"",IFERROR(TRIM(INDEX('Pegar docentes'!$A$1:$BZ$1001,205,K$2)&amp;""),""))</f>
        <v/>
      </c>
      <c r="L206">
        <f>IF(L$2=0,"",IFERROR(TRIM(INDEX('Pegar docentes'!$A$1:$BZ$1001,205,L$2)&amp;""),""))</f>
        <v/>
      </c>
      <c r="M206">
        <f>IF(M$2=0,"",IFERROR(TRIM(INDEX('Pegar docentes'!$A$1:$BZ$1001,205,M$2)&amp;""),""))</f>
        <v/>
      </c>
      <c r="N206">
        <f>IF(N$2=0,"",IFERROR(TRIM(INDEX('Pegar docentes'!$A$1:$BZ$1001,205,N$2)&amp;""),""))</f>
        <v/>
      </c>
      <c r="O206">
        <f>IF(O$2=0,"",IFERROR(TRIM(INDEX('Pegar docentes'!$A$1:$BZ$1001,205,O$2)&amp;""),""))</f>
        <v/>
      </c>
      <c r="P206">
        <f>IF(P$2=0,"",IFERROR(TRIM(INDEX('Pegar docentes'!$A$1:$BZ$1001,205,P$2)&amp;""),""))</f>
        <v/>
      </c>
      <c r="Q206" s="25">
        <f>IF(OR(D206&lt;&gt;"",H206&lt;&gt;""),1,"")</f>
        <v/>
      </c>
      <c r="R206" s="25">
        <f>IF(Q206=1,IF(ISNUMBER(FIND("#"&amp;MID(D206,1,1)&amp;"#","#0#1#2#3#4#5#6#7#8#9#")),IF(ISNUMBER(FIND("#"&amp;MID(D206,2,1)&amp;"#","#0#1#2#3#4#5#6#7#8#9#")),IF(AND(VALUE(LEFT(D206,2))&gt;=1,VALUE(LEFT(D206,2))&lt;=5),VALUE(LEFT(D206,2)),""),IF(AND(VALUE(LEFT(D206,1))&gt;=1,VALUE(LEFT(D206,1))&lt;=5),VALUE(LEFT(D206,1)),"")),""),"")</f>
        <v/>
      </c>
      <c r="S206" s="25">
        <f>IF(AND(Q206=1,E206&lt;&gt;""),SUBSTITUTE(SUBSTITUTE(SUBSTITUTE(SUBSTITUTE(SUBSTITUTE(SUBSTITUTE(SUBSTITUTE(SUBSTITUTE(SUBSTITUTE(SUBSTITUTE(SUBSTITUTE(SUBSTITUTE(LOWER(TRIM(E206)),"á","a"),"é","e"),"í","i"),"ó","o"),"ú","u"),"ü","u"),"ñ","n"),"à","a"),"è","e"),"ì","i"),"ò","o"),"ù","u"),"")</f>
        <v/>
      </c>
      <c r="T206" s="25">
        <f>IF(AND(Q206=1,G206&lt;&gt;""),SUBSTITUTE(SUBSTITUTE(SUBSTITUTE(SUBSTITUTE(SUBSTITUTE(SUBSTITUTE(SUBSTITUTE(SUBSTITUTE(SUBSTITUTE(SUBSTITUTE(SUBSTITUTE(SUBSTITUTE(LOWER(TRIM(G206)),"á","a"),"é","e"),"í","i"),"ó","o"),"ú","u"),"ü","u"),"ñ","n"),"à","a"),"è","e"),"ì","i"),"ò","o"),"ù","u"),"")</f>
        <v/>
      </c>
      <c r="U206" s="25">
        <f>IF(AND(Q206=1,H206&lt;&gt;""),SUBSTITUTE(SUBSTITUTE(SUBSTITUTE(SUBSTITUTE(SUBSTITUTE(SUBSTITUTE(SUBSTITUTE(SUBSTITUTE(SUBSTITUTE(SUBSTITUTE(SUBSTITUTE(SUBSTITUTE(LOWER(TRIM(H206)),"á","a"),"é","e"),"í","i"),"ó","o"),"ú","u"),"ü","u"),"ñ","n"),"à","a"),"è","e"),"ì","i"),"ò","o"),"ù","u"),"")</f>
        <v/>
      </c>
      <c r="V206" s="25">
        <f>IF(AND(Q206=1,L206&lt;&gt;""),SUBSTITUTE(SUBSTITUTE(SUBSTITUTE(SUBSTITUTE(SUBSTITUTE(SUBSTITUTE(SUBSTITUTE(SUBSTITUTE(SUBSTITUTE(SUBSTITUTE(SUBSTITUTE(SUBSTITUTE(LOWER(TRIM(L206)),"á","a"),"é","e"),"í","i"),"ó","o"),"ú","u"),"ü","u"),"ñ","n"),"à","a"),"è","e"),"ì","i"),"ò","o"),"ù","u"),"")</f>
        <v/>
      </c>
      <c r="W206" s="25">
        <f>IF(AND(Q206=1,I206&lt;&gt;""),SUBSTITUTE(SUBSTITUTE(SUBSTITUTE(SUBSTITUTE(SUBSTITUTE(SUBSTITUTE(SUBSTITUTE(SUBSTITUTE(SUBSTITUTE(SUBSTITUTE(SUBSTITUTE(SUBSTITUTE(LOWER(TRIM(I206)),"á","a"),"é","e"),"í","i"),"ó","o"),"ú","u"),"ü","u"),"ñ","n"),"à","a"),"è","e"),"ì","i"),"ò","o"),"ù","u"),"")</f>
        <v/>
      </c>
      <c r="X206" s="25">
        <f>IF(U206="","",IF(OR(U206="si, en la proxima tarea",U206="si, con cambios"),1,0))</f>
        <v/>
      </c>
      <c r="Y206" s="25">
        <f>IF(AND(Q206=1,A206&lt;&gt;""),IF(IFERROR(COUNTIFS(A$3:A206,"="&amp;SUBSTITUTE(SUBSTITUTE(SUBSTITUTE(A206,"~","~~"),"*","~*"),"?","~?"),Q$3:Q206,1),0)=1,MAX(Y$2:Y205)+1,""),"")</f>
        <v/>
      </c>
      <c r="Z206" s="25">
        <f>IF(Y206="","",COUNTIFS($A$3:$A$1002,"="&amp;SUBSTITUTE(SUBSTITUTE(SUBSTITUTE(A206,"~","~~"),"*","~*"),"?","~?"),$Q$3:$Q$1002,1)*10000-Y206)</f>
        <v/>
      </c>
    </row>
    <row r="207">
      <c r="A207">
        <f>IF(A$2=0,"",IFERROR(TRIM(INDEX('Pegar docentes'!$A$1:$BZ$1001,206,A$2)&amp;""),""))</f>
        <v/>
      </c>
      <c r="B207">
        <f>IF(B$2=0,"",IFERROR(TRIM(INDEX('Pegar docentes'!$A$1:$BZ$1001,206,B$2)&amp;""),""))</f>
        <v/>
      </c>
      <c r="C207">
        <f>IF(C$2=0,"",IFERROR(TRIM(INDEX('Pegar docentes'!$A$1:$BZ$1001,206,C$2)&amp;""),""))</f>
        <v/>
      </c>
      <c r="D207">
        <f>IF(D$2=0,"",IFERROR(TRIM(INDEX('Pegar docentes'!$A$1:$BZ$1001,206,D$2)&amp;""),""))</f>
        <v/>
      </c>
      <c r="E207">
        <f>IF(E$2=0,"",IFERROR(TRIM(INDEX('Pegar docentes'!$A$1:$BZ$1001,206,E$2)&amp;""),""))</f>
        <v/>
      </c>
      <c r="F207">
        <f>IF(F$2=0,"",IFERROR(TRIM(INDEX('Pegar docentes'!$A$1:$BZ$1001,206,F$2)&amp;""),""))</f>
        <v/>
      </c>
      <c r="G207">
        <f>IF(G$2=0,"",IFERROR(TRIM(INDEX('Pegar docentes'!$A$1:$BZ$1001,206,G$2)&amp;""),""))</f>
        <v/>
      </c>
      <c r="H207">
        <f>IF(H$2=0,"",IFERROR(TRIM(INDEX('Pegar docentes'!$A$1:$BZ$1001,206,H$2)&amp;""),""))</f>
        <v/>
      </c>
      <c r="I207">
        <f>IF(I$2=0,"",IFERROR(TRIM(INDEX('Pegar docentes'!$A$1:$BZ$1001,206,I$2)&amp;""),""))</f>
        <v/>
      </c>
      <c r="J207">
        <f>IF(J$2=0,"",IFERROR(TRIM(INDEX('Pegar docentes'!$A$1:$BZ$1001,206,J$2)&amp;""),""))</f>
        <v/>
      </c>
      <c r="K207">
        <f>IF(K$2=0,"",IFERROR(TRIM(INDEX('Pegar docentes'!$A$1:$BZ$1001,206,K$2)&amp;""),""))</f>
        <v/>
      </c>
      <c r="L207">
        <f>IF(L$2=0,"",IFERROR(TRIM(INDEX('Pegar docentes'!$A$1:$BZ$1001,206,L$2)&amp;""),""))</f>
        <v/>
      </c>
      <c r="M207">
        <f>IF(M$2=0,"",IFERROR(TRIM(INDEX('Pegar docentes'!$A$1:$BZ$1001,206,M$2)&amp;""),""))</f>
        <v/>
      </c>
      <c r="N207">
        <f>IF(N$2=0,"",IFERROR(TRIM(INDEX('Pegar docentes'!$A$1:$BZ$1001,206,N$2)&amp;""),""))</f>
        <v/>
      </c>
      <c r="O207">
        <f>IF(O$2=0,"",IFERROR(TRIM(INDEX('Pegar docentes'!$A$1:$BZ$1001,206,O$2)&amp;""),""))</f>
        <v/>
      </c>
      <c r="P207">
        <f>IF(P$2=0,"",IFERROR(TRIM(INDEX('Pegar docentes'!$A$1:$BZ$1001,206,P$2)&amp;""),""))</f>
        <v/>
      </c>
      <c r="Q207" s="25">
        <f>IF(OR(D207&lt;&gt;"",H207&lt;&gt;""),1,"")</f>
        <v/>
      </c>
      <c r="R207" s="25">
        <f>IF(Q207=1,IF(ISNUMBER(FIND("#"&amp;MID(D207,1,1)&amp;"#","#0#1#2#3#4#5#6#7#8#9#")),IF(ISNUMBER(FIND("#"&amp;MID(D207,2,1)&amp;"#","#0#1#2#3#4#5#6#7#8#9#")),IF(AND(VALUE(LEFT(D207,2))&gt;=1,VALUE(LEFT(D207,2))&lt;=5),VALUE(LEFT(D207,2)),""),IF(AND(VALUE(LEFT(D207,1))&gt;=1,VALUE(LEFT(D207,1))&lt;=5),VALUE(LEFT(D207,1)),"")),""),"")</f>
        <v/>
      </c>
      <c r="S207" s="25">
        <f>IF(AND(Q207=1,E207&lt;&gt;""),SUBSTITUTE(SUBSTITUTE(SUBSTITUTE(SUBSTITUTE(SUBSTITUTE(SUBSTITUTE(SUBSTITUTE(SUBSTITUTE(SUBSTITUTE(SUBSTITUTE(SUBSTITUTE(SUBSTITUTE(LOWER(TRIM(E207)),"á","a"),"é","e"),"í","i"),"ó","o"),"ú","u"),"ü","u"),"ñ","n"),"à","a"),"è","e"),"ì","i"),"ò","o"),"ù","u"),"")</f>
        <v/>
      </c>
      <c r="T207" s="25">
        <f>IF(AND(Q207=1,G207&lt;&gt;""),SUBSTITUTE(SUBSTITUTE(SUBSTITUTE(SUBSTITUTE(SUBSTITUTE(SUBSTITUTE(SUBSTITUTE(SUBSTITUTE(SUBSTITUTE(SUBSTITUTE(SUBSTITUTE(SUBSTITUTE(LOWER(TRIM(G207)),"á","a"),"é","e"),"í","i"),"ó","o"),"ú","u"),"ü","u"),"ñ","n"),"à","a"),"è","e"),"ì","i"),"ò","o"),"ù","u"),"")</f>
        <v/>
      </c>
      <c r="U207" s="25">
        <f>IF(AND(Q207=1,H207&lt;&gt;""),SUBSTITUTE(SUBSTITUTE(SUBSTITUTE(SUBSTITUTE(SUBSTITUTE(SUBSTITUTE(SUBSTITUTE(SUBSTITUTE(SUBSTITUTE(SUBSTITUTE(SUBSTITUTE(SUBSTITUTE(LOWER(TRIM(H207)),"á","a"),"é","e"),"í","i"),"ó","o"),"ú","u"),"ü","u"),"ñ","n"),"à","a"),"è","e"),"ì","i"),"ò","o"),"ù","u"),"")</f>
        <v/>
      </c>
      <c r="V207" s="25">
        <f>IF(AND(Q207=1,L207&lt;&gt;""),SUBSTITUTE(SUBSTITUTE(SUBSTITUTE(SUBSTITUTE(SUBSTITUTE(SUBSTITUTE(SUBSTITUTE(SUBSTITUTE(SUBSTITUTE(SUBSTITUTE(SUBSTITUTE(SUBSTITUTE(LOWER(TRIM(L207)),"á","a"),"é","e"),"í","i"),"ó","o"),"ú","u"),"ü","u"),"ñ","n"),"à","a"),"è","e"),"ì","i"),"ò","o"),"ù","u"),"")</f>
        <v/>
      </c>
      <c r="W207" s="25">
        <f>IF(AND(Q207=1,I207&lt;&gt;""),SUBSTITUTE(SUBSTITUTE(SUBSTITUTE(SUBSTITUTE(SUBSTITUTE(SUBSTITUTE(SUBSTITUTE(SUBSTITUTE(SUBSTITUTE(SUBSTITUTE(SUBSTITUTE(SUBSTITUTE(LOWER(TRIM(I207)),"á","a"),"é","e"),"í","i"),"ó","o"),"ú","u"),"ü","u"),"ñ","n"),"à","a"),"è","e"),"ì","i"),"ò","o"),"ù","u"),"")</f>
        <v/>
      </c>
      <c r="X207" s="25">
        <f>IF(U207="","",IF(OR(U207="si, en la proxima tarea",U207="si, con cambios"),1,0))</f>
        <v/>
      </c>
      <c r="Y207" s="25">
        <f>IF(AND(Q207=1,A207&lt;&gt;""),IF(IFERROR(COUNTIFS(A$3:A207,"="&amp;SUBSTITUTE(SUBSTITUTE(SUBSTITUTE(A207,"~","~~"),"*","~*"),"?","~?"),Q$3:Q207,1),0)=1,MAX(Y$2:Y206)+1,""),"")</f>
        <v/>
      </c>
      <c r="Z207" s="25">
        <f>IF(Y207="","",COUNTIFS($A$3:$A$1002,"="&amp;SUBSTITUTE(SUBSTITUTE(SUBSTITUTE(A207,"~","~~"),"*","~*"),"?","~?"),$Q$3:$Q$1002,1)*10000-Y207)</f>
        <v/>
      </c>
    </row>
    <row r="208">
      <c r="A208">
        <f>IF(A$2=0,"",IFERROR(TRIM(INDEX('Pegar docentes'!$A$1:$BZ$1001,207,A$2)&amp;""),""))</f>
        <v/>
      </c>
      <c r="B208">
        <f>IF(B$2=0,"",IFERROR(TRIM(INDEX('Pegar docentes'!$A$1:$BZ$1001,207,B$2)&amp;""),""))</f>
        <v/>
      </c>
      <c r="C208">
        <f>IF(C$2=0,"",IFERROR(TRIM(INDEX('Pegar docentes'!$A$1:$BZ$1001,207,C$2)&amp;""),""))</f>
        <v/>
      </c>
      <c r="D208">
        <f>IF(D$2=0,"",IFERROR(TRIM(INDEX('Pegar docentes'!$A$1:$BZ$1001,207,D$2)&amp;""),""))</f>
        <v/>
      </c>
      <c r="E208">
        <f>IF(E$2=0,"",IFERROR(TRIM(INDEX('Pegar docentes'!$A$1:$BZ$1001,207,E$2)&amp;""),""))</f>
        <v/>
      </c>
      <c r="F208">
        <f>IF(F$2=0,"",IFERROR(TRIM(INDEX('Pegar docentes'!$A$1:$BZ$1001,207,F$2)&amp;""),""))</f>
        <v/>
      </c>
      <c r="G208">
        <f>IF(G$2=0,"",IFERROR(TRIM(INDEX('Pegar docentes'!$A$1:$BZ$1001,207,G$2)&amp;""),""))</f>
        <v/>
      </c>
      <c r="H208">
        <f>IF(H$2=0,"",IFERROR(TRIM(INDEX('Pegar docentes'!$A$1:$BZ$1001,207,H$2)&amp;""),""))</f>
        <v/>
      </c>
      <c r="I208">
        <f>IF(I$2=0,"",IFERROR(TRIM(INDEX('Pegar docentes'!$A$1:$BZ$1001,207,I$2)&amp;""),""))</f>
        <v/>
      </c>
      <c r="J208">
        <f>IF(J$2=0,"",IFERROR(TRIM(INDEX('Pegar docentes'!$A$1:$BZ$1001,207,J$2)&amp;""),""))</f>
        <v/>
      </c>
      <c r="K208">
        <f>IF(K$2=0,"",IFERROR(TRIM(INDEX('Pegar docentes'!$A$1:$BZ$1001,207,K$2)&amp;""),""))</f>
        <v/>
      </c>
      <c r="L208">
        <f>IF(L$2=0,"",IFERROR(TRIM(INDEX('Pegar docentes'!$A$1:$BZ$1001,207,L$2)&amp;""),""))</f>
        <v/>
      </c>
      <c r="M208">
        <f>IF(M$2=0,"",IFERROR(TRIM(INDEX('Pegar docentes'!$A$1:$BZ$1001,207,M$2)&amp;""),""))</f>
        <v/>
      </c>
      <c r="N208">
        <f>IF(N$2=0,"",IFERROR(TRIM(INDEX('Pegar docentes'!$A$1:$BZ$1001,207,N$2)&amp;""),""))</f>
        <v/>
      </c>
      <c r="O208">
        <f>IF(O$2=0,"",IFERROR(TRIM(INDEX('Pegar docentes'!$A$1:$BZ$1001,207,O$2)&amp;""),""))</f>
        <v/>
      </c>
      <c r="P208">
        <f>IF(P$2=0,"",IFERROR(TRIM(INDEX('Pegar docentes'!$A$1:$BZ$1001,207,P$2)&amp;""),""))</f>
        <v/>
      </c>
      <c r="Q208" s="25">
        <f>IF(OR(D208&lt;&gt;"",H208&lt;&gt;""),1,"")</f>
        <v/>
      </c>
      <c r="R208" s="25">
        <f>IF(Q208=1,IF(ISNUMBER(FIND("#"&amp;MID(D208,1,1)&amp;"#","#0#1#2#3#4#5#6#7#8#9#")),IF(ISNUMBER(FIND("#"&amp;MID(D208,2,1)&amp;"#","#0#1#2#3#4#5#6#7#8#9#")),IF(AND(VALUE(LEFT(D208,2))&gt;=1,VALUE(LEFT(D208,2))&lt;=5),VALUE(LEFT(D208,2)),""),IF(AND(VALUE(LEFT(D208,1))&gt;=1,VALUE(LEFT(D208,1))&lt;=5),VALUE(LEFT(D208,1)),"")),""),"")</f>
        <v/>
      </c>
      <c r="S208" s="25">
        <f>IF(AND(Q208=1,E208&lt;&gt;""),SUBSTITUTE(SUBSTITUTE(SUBSTITUTE(SUBSTITUTE(SUBSTITUTE(SUBSTITUTE(SUBSTITUTE(SUBSTITUTE(SUBSTITUTE(SUBSTITUTE(SUBSTITUTE(SUBSTITUTE(LOWER(TRIM(E208)),"á","a"),"é","e"),"í","i"),"ó","o"),"ú","u"),"ü","u"),"ñ","n"),"à","a"),"è","e"),"ì","i"),"ò","o"),"ù","u"),"")</f>
        <v/>
      </c>
      <c r="T208" s="25">
        <f>IF(AND(Q208=1,G208&lt;&gt;""),SUBSTITUTE(SUBSTITUTE(SUBSTITUTE(SUBSTITUTE(SUBSTITUTE(SUBSTITUTE(SUBSTITUTE(SUBSTITUTE(SUBSTITUTE(SUBSTITUTE(SUBSTITUTE(SUBSTITUTE(LOWER(TRIM(G208)),"á","a"),"é","e"),"í","i"),"ó","o"),"ú","u"),"ü","u"),"ñ","n"),"à","a"),"è","e"),"ì","i"),"ò","o"),"ù","u"),"")</f>
        <v/>
      </c>
      <c r="U208" s="25">
        <f>IF(AND(Q208=1,H208&lt;&gt;""),SUBSTITUTE(SUBSTITUTE(SUBSTITUTE(SUBSTITUTE(SUBSTITUTE(SUBSTITUTE(SUBSTITUTE(SUBSTITUTE(SUBSTITUTE(SUBSTITUTE(SUBSTITUTE(SUBSTITUTE(LOWER(TRIM(H208)),"á","a"),"é","e"),"í","i"),"ó","o"),"ú","u"),"ü","u"),"ñ","n"),"à","a"),"è","e"),"ì","i"),"ò","o"),"ù","u"),"")</f>
        <v/>
      </c>
      <c r="V208" s="25">
        <f>IF(AND(Q208=1,L208&lt;&gt;""),SUBSTITUTE(SUBSTITUTE(SUBSTITUTE(SUBSTITUTE(SUBSTITUTE(SUBSTITUTE(SUBSTITUTE(SUBSTITUTE(SUBSTITUTE(SUBSTITUTE(SUBSTITUTE(SUBSTITUTE(LOWER(TRIM(L208)),"á","a"),"é","e"),"í","i"),"ó","o"),"ú","u"),"ü","u"),"ñ","n"),"à","a"),"è","e"),"ì","i"),"ò","o"),"ù","u"),"")</f>
        <v/>
      </c>
      <c r="W208" s="25">
        <f>IF(AND(Q208=1,I208&lt;&gt;""),SUBSTITUTE(SUBSTITUTE(SUBSTITUTE(SUBSTITUTE(SUBSTITUTE(SUBSTITUTE(SUBSTITUTE(SUBSTITUTE(SUBSTITUTE(SUBSTITUTE(SUBSTITUTE(SUBSTITUTE(LOWER(TRIM(I208)),"á","a"),"é","e"),"í","i"),"ó","o"),"ú","u"),"ü","u"),"ñ","n"),"à","a"),"è","e"),"ì","i"),"ò","o"),"ù","u"),"")</f>
        <v/>
      </c>
      <c r="X208" s="25">
        <f>IF(U208="","",IF(OR(U208="si, en la proxima tarea",U208="si, con cambios"),1,0))</f>
        <v/>
      </c>
      <c r="Y208" s="25">
        <f>IF(AND(Q208=1,A208&lt;&gt;""),IF(IFERROR(COUNTIFS(A$3:A208,"="&amp;SUBSTITUTE(SUBSTITUTE(SUBSTITUTE(A208,"~","~~"),"*","~*"),"?","~?"),Q$3:Q208,1),0)=1,MAX(Y$2:Y207)+1,""),"")</f>
        <v/>
      </c>
      <c r="Z208" s="25">
        <f>IF(Y208="","",COUNTIFS($A$3:$A$1002,"="&amp;SUBSTITUTE(SUBSTITUTE(SUBSTITUTE(A208,"~","~~"),"*","~*"),"?","~?"),$Q$3:$Q$1002,1)*10000-Y208)</f>
        <v/>
      </c>
    </row>
    <row r="209">
      <c r="A209">
        <f>IF(A$2=0,"",IFERROR(TRIM(INDEX('Pegar docentes'!$A$1:$BZ$1001,208,A$2)&amp;""),""))</f>
        <v/>
      </c>
      <c r="B209">
        <f>IF(B$2=0,"",IFERROR(TRIM(INDEX('Pegar docentes'!$A$1:$BZ$1001,208,B$2)&amp;""),""))</f>
        <v/>
      </c>
      <c r="C209">
        <f>IF(C$2=0,"",IFERROR(TRIM(INDEX('Pegar docentes'!$A$1:$BZ$1001,208,C$2)&amp;""),""))</f>
        <v/>
      </c>
      <c r="D209">
        <f>IF(D$2=0,"",IFERROR(TRIM(INDEX('Pegar docentes'!$A$1:$BZ$1001,208,D$2)&amp;""),""))</f>
        <v/>
      </c>
      <c r="E209">
        <f>IF(E$2=0,"",IFERROR(TRIM(INDEX('Pegar docentes'!$A$1:$BZ$1001,208,E$2)&amp;""),""))</f>
        <v/>
      </c>
      <c r="F209">
        <f>IF(F$2=0,"",IFERROR(TRIM(INDEX('Pegar docentes'!$A$1:$BZ$1001,208,F$2)&amp;""),""))</f>
        <v/>
      </c>
      <c r="G209">
        <f>IF(G$2=0,"",IFERROR(TRIM(INDEX('Pegar docentes'!$A$1:$BZ$1001,208,G$2)&amp;""),""))</f>
        <v/>
      </c>
      <c r="H209">
        <f>IF(H$2=0,"",IFERROR(TRIM(INDEX('Pegar docentes'!$A$1:$BZ$1001,208,H$2)&amp;""),""))</f>
        <v/>
      </c>
      <c r="I209">
        <f>IF(I$2=0,"",IFERROR(TRIM(INDEX('Pegar docentes'!$A$1:$BZ$1001,208,I$2)&amp;""),""))</f>
        <v/>
      </c>
      <c r="J209">
        <f>IF(J$2=0,"",IFERROR(TRIM(INDEX('Pegar docentes'!$A$1:$BZ$1001,208,J$2)&amp;""),""))</f>
        <v/>
      </c>
      <c r="K209">
        <f>IF(K$2=0,"",IFERROR(TRIM(INDEX('Pegar docentes'!$A$1:$BZ$1001,208,K$2)&amp;""),""))</f>
        <v/>
      </c>
      <c r="L209">
        <f>IF(L$2=0,"",IFERROR(TRIM(INDEX('Pegar docentes'!$A$1:$BZ$1001,208,L$2)&amp;""),""))</f>
        <v/>
      </c>
      <c r="M209">
        <f>IF(M$2=0,"",IFERROR(TRIM(INDEX('Pegar docentes'!$A$1:$BZ$1001,208,M$2)&amp;""),""))</f>
        <v/>
      </c>
      <c r="N209">
        <f>IF(N$2=0,"",IFERROR(TRIM(INDEX('Pegar docentes'!$A$1:$BZ$1001,208,N$2)&amp;""),""))</f>
        <v/>
      </c>
      <c r="O209">
        <f>IF(O$2=0,"",IFERROR(TRIM(INDEX('Pegar docentes'!$A$1:$BZ$1001,208,O$2)&amp;""),""))</f>
        <v/>
      </c>
      <c r="P209">
        <f>IF(P$2=0,"",IFERROR(TRIM(INDEX('Pegar docentes'!$A$1:$BZ$1001,208,P$2)&amp;""),""))</f>
        <v/>
      </c>
      <c r="Q209" s="25">
        <f>IF(OR(D209&lt;&gt;"",H209&lt;&gt;""),1,"")</f>
        <v/>
      </c>
      <c r="R209" s="25">
        <f>IF(Q209=1,IF(ISNUMBER(FIND("#"&amp;MID(D209,1,1)&amp;"#","#0#1#2#3#4#5#6#7#8#9#")),IF(ISNUMBER(FIND("#"&amp;MID(D209,2,1)&amp;"#","#0#1#2#3#4#5#6#7#8#9#")),IF(AND(VALUE(LEFT(D209,2))&gt;=1,VALUE(LEFT(D209,2))&lt;=5),VALUE(LEFT(D209,2)),""),IF(AND(VALUE(LEFT(D209,1))&gt;=1,VALUE(LEFT(D209,1))&lt;=5),VALUE(LEFT(D209,1)),"")),""),"")</f>
        <v/>
      </c>
      <c r="S209" s="25">
        <f>IF(AND(Q209=1,E209&lt;&gt;""),SUBSTITUTE(SUBSTITUTE(SUBSTITUTE(SUBSTITUTE(SUBSTITUTE(SUBSTITUTE(SUBSTITUTE(SUBSTITUTE(SUBSTITUTE(SUBSTITUTE(SUBSTITUTE(SUBSTITUTE(LOWER(TRIM(E209)),"á","a"),"é","e"),"í","i"),"ó","o"),"ú","u"),"ü","u"),"ñ","n"),"à","a"),"è","e"),"ì","i"),"ò","o"),"ù","u"),"")</f>
        <v/>
      </c>
      <c r="T209" s="25">
        <f>IF(AND(Q209=1,G209&lt;&gt;""),SUBSTITUTE(SUBSTITUTE(SUBSTITUTE(SUBSTITUTE(SUBSTITUTE(SUBSTITUTE(SUBSTITUTE(SUBSTITUTE(SUBSTITUTE(SUBSTITUTE(SUBSTITUTE(SUBSTITUTE(LOWER(TRIM(G209)),"á","a"),"é","e"),"í","i"),"ó","o"),"ú","u"),"ü","u"),"ñ","n"),"à","a"),"è","e"),"ì","i"),"ò","o"),"ù","u"),"")</f>
        <v/>
      </c>
      <c r="U209" s="25">
        <f>IF(AND(Q209=1,H209&lt;&gt;""),SUBSTITUTE(SUBSTITUTE(SUBSTITUTE(SUBSTITUTE(SUBSTITUTE(SUBSTITUTE(SUBSTITUTE(SUBSTITUTE(SUBSTITUTE(SUBSTITUTE(SUBSTITUTE(SUBSTITUTE(LOWER(TRIM(H209)),"á","a"),"é","e"),"í","i"),"ó","o"),"ú","u"),"ü","u"),"ñ","n"),"à","a"),"è","e"),"ì","i"),"ò","o"),"ù","u"),"")</f>
        <v/>
      </c>
      <c r="V209" s="25">
        <f>IF(AND(Q209=1,L209&lt;&gt;""),SUBSTITUTE(SUBSTITUTE(SUBSTITUTE(SUBSTITUTE(SUBSTITUTE(SUBSTITUTE(SUBSTITUTE(SUBSTITUTE(SUBSTITUTE(SUBSTITUTE(SUBSTITUTE(SUBSTITUTE(LOWER(TRIM(L209)),"á","a"),"é","e"),"í","i"),"ó","o"),"ú","u"),"ü","u"),"ñ","n"),"à","a"),"è","e"),"ì","i"),"ò","o"),"ù","u"),"")</f>
        <v/>
      </c>
      <c r="W209" s="25">
        <f>IF(AND(Q209=1,I209&lt;&gt;""),SUBSTITUTE(SUBSTITUTE(SUBSTITUTE(SUBSTITUTE(SUBSTITUTE(SUBSTITUTE(SUBSTITUTE(SUBSTITUTE(SUBSTITUTE(SUBSTITUTE(SUBSTITUTE(SUBSTITUTE(LOWER(TRIM(I209)),"á","a"),"é","e"),"í","i"),"ó","o"),"ú","u"),"ü","u"),"ñ","n"),"à","a"),"è","e"),"ì","i"),"ò","o"),"ù","u"),"")</f>
        <v/>
      </c>
      <c r="X209" s="25">
        <f>IF(U209="","",IF(OR(U209="si, en la proxima tarea",U209="si, con cambios"),1,0))</f>
        <v/>
      </c>
      <c r="Y209" s="25">
        <f>IF(AND(Q209=1,A209&lt;&gt;""),IF(IFERROR(COUNTIFS(A$3:A209,"="&amp;SUBSTITUTE(SUBSTITUTE(SUBSTITUTE(A209,"~","~~"),"*","~*"),"?","~?"),Q$3:Q209,1),0)=1,MAX(Y$2:Y208)+1,""),"")</f>
        <v/>
      </c>
      <c r="Z209" s="25">
        <f>IF(Y209="","",COUNTIFS($A$3:$A$1002,"="&amp;SUBSTITUTE(SUBSTITUTE(SUBSTITUTE(A209,"~","~~"),"*","~*"),"?","~?"),$Q$3:$Q$1002,1)*10000-Y209)</f>
        <v/>
      </c>
    </row>
    <row r="210">
      <c r="A210">
        <f>IF(A$2=0,"",IFERROR(TRIM(INDEX('Pegar docentes'!$A$1:$BZ$1001,209,A$2)&amp;""),""))</f>
        <v/>
      </c>
      <c r="B210">
        <f>IF(B$2=0,"",IFERROR(TRIM(INDEX('Pegar docentes'!$A$1:$BZ$1001,209,B$2)&amp;""),""))</f>
        <v/>
      </c>
      <c r="C210">
        <f>IF(C$2=0,"",IFERROR(TRIM(INDEX('Pegar docentes'!$A$1:$BZ$1001,209,C$2)&amp;""),""))</f>
        <v/>
      </c>
      <c r="D210">
        <f>IF(D$2=0,"",IFERROR(TRIM(INDEX('Pegar docentes'!$A$1:$BZ$1001,209,D$2)&amp;""),""))</f>
        <v/>
      </c>
      <c r="E210">
        <f>IF(E$2=0,"",IFERROR(TRIM(INDEX('Pegar docentes'!$A$1:$BZ$1001,209,E$2)&amp;""),""))</f>
        <v/>
      </c>
      <c r="F210">
        <f>IF(F$2=0,"",IFERROR(TRIM(INDEX('Pegar docentes'!$A$1:$BZ$1001,209,F$2)&amp;""),""))</f>
        <v/>
      </c>
      <c r="G210">
        <f>IF(G$2=0,"",IFERROR(TRIM(INDEX('Pegar docentes'!$A$1:$BZ$1001,209,G$2)&amp;""),""))</f>
        <v/>
      </c>
      <c r="H210">
        <f>IF(H$2=0,"",IFERROR(TRIM(INDEX('Pegar docentes'!$A$1:$BZ$1001,209,H$2)&amp;""),""))</f>
        <v/>
      </c>
      <c r="I210">
        <f>IF(I$2=0,"",IFERROR(TRIM(INDEX('Pegar docentes'!$A$1:$BZ$1001,209,I$2)&amp;""),""))</f>
        <v/>
      </c>
      <c r="J210">
        <f>IF(J$2=0,"",IFERROR(TRIM(INDEX('Pegar docentes'!$A$1:$BZ$1001,209,J$2)&amp;""),""))</f>
        <v/>
      </c>
      <c r="K210">
        <f>IF(K$2=0,"",IFERROR(TRIM(INDEX('Pegar docentes'!$A$1:$BZ$1001,209,K$2)&amp;""),""))</f>
        <v/>
      </c>
      <c r="L210">
        <f>IF(L$2=0,"",IFERROR(TRIM(INDEX('Pegar docentes'!$A$1:$BZ$1001,209,L$2)&amp;""),""))</f>
        <v/>
      </c>
      <c r="M210">
        <f>IF(M$2=0,"",IFERROR(TRIM(INDEX('Pegar docentes'!$A$1:$BZ$1001,209,M$2)&amp;""),""))</f>
        <v/>
      </c>
      <c r="N210">
        <f>IF(N$2=0,"",IFERROR(TRIM(INDEX('Pegar docentes'!$A$1:$BZ$1001,209,N$2)&amp;""),""))</f>
        <v/>
      </c>
      <c r="O210">
        <f>IF(O$2=0,"",IFERROR(TRIM(INDEX('Pegar docentes'!$A$1:$BZ$1001,209,O$2)&amp;""),""))</f>
        <v/>
      </c>
      <c r="P210">
        <f>IF(P$2=0,"",IFERROR(TRIM(INDEX('Pegar docentes'!$A$1:$BZ$1001,209,P$2)&amp;""),""))</f>
        <v/>
      </c>
      <c r="Q210" s="25">
        <f>IF(OR(D210&lt;&gt;"",H210&lt;&gt;""),1,"")</f>
        <v/>
      </c>
      <c r="R210" s="25">
        <f>IF(Q210=1,IF(ISNUMBER(FIND("#"&amp;MID(D210,1,1)&amp;"#","#0#1#2#3#4#5#6#7#8#9#")),IF(ISNUMBER(FIND("#"&amp;MID(D210,2,1)&amp;"#","#0#1#2#3#4#5#6#7#8#9#")),IF(AND(VALUE(LEFT(D210,2))&gt;=1,VALUE(LEFT(D210,2))&lt;=5),VALUE(LEFT(D210,2)),""),IF(AND(VALUE(LEFT(D210,1))&gt;=1,VALUE(LEFT(D210,1))&lt;=5),VALUE(LEFT(D210,1)),"")),""),"")</f>
        <v/>
      </c>
      <c r="S210" s="25">
        <f>IF(AND(Q210=1,E210&lt;&gt;""),SUBSTITUTE(SUBSTITUTE(SUBSTITUTE(SUBSTITUTE(SUBSTITUTE(SUBSTITUTE(SUBSTITUTE(SUBSTITUTE(SUBSTITUTE(SUBSTITUTE(SUBSTITUTE(SUBSTITUTE(LOWER(TRIM(E210)),"á","a"),"é","e"),"í","i"),"ó","o"),"ú","u"),"ü","u"),"ñ","n"),"à","a"),"è","e"),"ì","i"),"ò","o"),"ù","u"),"")</f>
        <v/>
      </c>
      <c r="T210" s="25">
        <f>IF(AND(Q210=1,G210&lt;&gt;""),SUBSTITUTE(SUBSTITUTE(SUBSTITUTE(SUBSTITUTE(SUBSTITUTE(SUBSTITUTE(SUBSTITUTE(SUBSTITUTE(SUBSTITUTE(SUBSTITUTE(SUBSTITUTE(SUBSTITUTE(LOWER(TRIM(G210)),"á","a"),"é","e"),"í","i"),"ó","o"),"ú","u"),"ü","u"),"ñ","n"),"à","a"),"è","e"),"ì","i"),"ò","o"),"ù","u"),"")</f>
        <v/>
      </c>
      <c r="U210" s="25">
        <f>IF(AND(Q210=1,H210&lt;&gt;""),SUBSTITUTE(SUBSTITUTE(SUBSTITUTE(SUBSTITUTE(SUBSTITUTE(SUBSTITUTE(SUBSTITUTE(SUBSTITUTE(SUBSTITUTE(SUBSTITUTE(SUBSTITUTE(SUBSTITUTE(LOWER(TRIM(H210)),"á","a"),"é","e"),"í","i"),"ó","o"),"ú","u"),"ü","u"),"ñ","n"),"à","a"),"è","e"),"ì","i"),"ò","o"),"ù","u"),"")</f>
        <v/>
      </c>
      <c r="V210" s="25">
        <f>IF(AND(Q210=1,L210&lt;&gt;""),SUBSTITUTE(SUBSTITUTE(SUBSTITUTE(SUBSTITUTE(SUBSTITUTE(SUBSTITUTE(SUBSTITUTE(SUBSTITUTE(SUBSTITUTE(SUBSTITUTE(SUBSTITUTE(SUBSTITUTE(LOWER(TRIM(L210)),"á","a"),"é","e"),"í","i"),"ó","o"),"ú","u"),"ü","u"),"ñ","n"),"à","a"),"è","e"),"ì","i"),"ò","o"),"ù","u"),"")</f>
        <v/>
      </c>
      <c r="W210" s="25">
        <f>IF(AND(Q210=1,I210&lt;&gt;""),SUBSTITUTE(SUBSTITUTE(SUBSTITUTE(SUBSTITUTE(SUBSTITUTE(SUBSTITUTE(SUBSTITUTE(SUBSTITUTE(SUBSTITUTE(SUBSTITUTE(SUBSTITUTE(SUBSTITUTE(LOWER(TRIM(I210)),"á","a"),"é","e"),"í","i"),"ó","o"),"ú","u"),"ü","u"),"ñ","n"),"à","a"),"è","e"),"ì","i"),"ò","o"),"ù","u"),"")</f>
        <v/>
      </c>
      <c r="X210" s="25">
        <f>IF(U210="","",IF(OR(U210="si, en la proxima tarea",U210="si, con cambios"),1,0))</f>
        <v/>
      </c>
      <c r="Y210" s="25">
        <f>IF(AND(Q210=1,A210&lt;&gt;""),IF(IFERROR(COUNTIFS(A$3:A210,"="&amp;SUBSTITUTE(SUBSTITUTE(SUBSTITUTE(A210,"~","~~"),"*","~*"),"?","~?"),Q$3:Q210,1),0)=1,MAX(Y$2:Y209)+1,""),"")</f>
        <v/>
      </c>
      <c r="Z210" s="25">
        <f>IF(Y210="","",COUNTIFS($A$3:$A$1002,"="&amp;SUBSTITUTE(SUBSTITUTE(SUBSTITUTE(A210,"~","~~"),"*","~*"),"?","~?"),$Q$3:$Q$1002,1)*10000-Y210)</f>
        <v/>
      </c>
    </row>
    <row r="211">
      <c r="A211">
        <f>IF(A$2=0,"",IFERROR(TRIM(INDEX('Pegar docentes'!$A$1:$BZ$1001,210,A$2)&amp;""),""))</f>
        <v/>
      </c>
      <c r="B211">
        <f>IF(B$2=0,"",IFERROR(TRIM(INDEX('Pegar docentes'!$A$1:$BZ$1001,210,B$2)&amp;""),""))</f>
        <v/>
      </c>
      <c r="C211">
        <f>IF(C$2=0,"",IFERROR(TRIM(INDEX('Pegar docentes'!$A$1:$BZ$1001,210,C$2)&amp;""),""))</f>
        <v/>
      </c>
      <c r="D211">
        <f>IF(D$2=0,"",IFERROR(TRIM(INDEX('Pegar docentes'!$A$1:$BZ$1001,210,D$2)&amp;""),""))</f>
        <v/>
      </c>
      <c r="E211">
        <f>IF(E$2=0,"",IFERROR(TRIM(INDEX('Pegar docentes'!$A$1:$BZ$1001,210,E$2)&amp;""),""))</f>
        <v/>
      </c>
      <c r="F211">
        <f>IF(F$2=0,"",IFERROR(TRIM(INDEX('Pegar docentes'!$A$1:$BZ$1001,210,F$2)&amp;""),""))</f>
        <v/>
      </c>
      <c r="G211">
        <f>IF(G$2=0,"",IFERROR(TRIM(INDEX('Pegar docentes'!$A$1:$BZ$1001,210,G$2)&amp;""),""))</f>
        <v/>
      </c>
      <c r="H211">
        <f>IF(H$2=0,"",IFERROR(TRIM(INDEX('Pegar docentes'!$A$1:$BZ$1001,210,H$2)&amp;""),""))</f>
        <v/>
      </c>
      <c r="I211">
        <f>IF(I$2=0,"",IFERROR(TRIM(INDEX('Pegar docentes'!$A$1:$BZ$1001,210,I$2)&amp;""),""))</f>
        <v/>
      </c>
      <c r="J211">
        <f>IF(J$2=0,"",IFERROR(TRIM(INDEX('Pegar docentes'!$A$1:$BZ$1001,210,J$2)&amp;""),""))</f>
        <v/>
      </c>
      <c r="K211">
        <f>IF(K$2=0,"",IFERROR(TRIM(INDEX('Pegar docentes'!$A$1:$BZ$1001,210,K$2)&amp;""),""))</f>
        <v/>
      </c>
      <c r="L211">
        <f>IF(L$2=0,"",IFERROR(TRIM(INDEX('Pegar docentes'!$A$1:$BZ$1001,210,L$2)&amp;""),""))</f>
        <v/>
      </c>
      <c r="M211">
        <f>IF(M$2=0,"",IFERROR(TRIM(INDEX('Pegar docentes'!$A$1:$BZ$1001,210,M$2)&amp;""),""))</f>
        <v/>
      </c>
      <c r="N211">
        <f>IF(N$2=0,"",IFERROR(TRIM(INDEX('Pegar docentes'!$A$1:$BZ$1001,210,N$2)&amp;""),""))</f>
        <v/>
      </c>
      <c r="O211">
        <f>IF(O$2=0,"",IFERROR(TRIM(INDEX('Pegar docentes'!$A$1:$BZ$1001,210,O$2)&amp;""),""))</f>
        <v/>
      </c>
      <c r="P211">
        <f>IF(P$2=0,"",IFERROR(TRIM(INDEX('Pegar docentes'!$A$1:$BZ$1001,210,P$2)&amp;""),""))</f>
        <v/>
      </c>
      <c r="Q211" s="25">
        <f>IF(OR(D211&lt;&gt;"",H211&lt;&gt;""),1,"")</f>
        <v/>
      </c>
      <c r="R211" s="25">
        <f>IF(Q211=1,IF(ISNUMBER(FIND("#"&amp;MID(D211,1,1)&amp;"#","#0#1#2#3#4#5#6#7#8#9#")),IF(ISNUMBER(FIND("#"&amp;MID(D211,2,1)&amp;"#","#0#1#2#3#4#5#6#7#8#9#")),IF(AND(VALUE(LEFT(D211,2))&gt;=1,VALUE(LEFT(D211,2))&lt;=5),VALUE(LEFT(D211,2)),""),IF(AND(VALUE(LEFT(D211,1))&gt;=1,VALUE(LEFT(D211,1))&lt;=5),VALUE(LEFT(D211,1)),"")),""),"")</f>
        <v/>
      </c>
      <c r="S211" s="25">
        <f>IF(AND(Q211=1,E211&lt;&gt;""),SUBSTITUTE(SUBSTITUTE(SUBSTITUTE(SUBSTITUTE(SUBSTITUTE(SUBSTITUTE(SUBSTITUTE(SUBSTITUTE(SUBSTITUTE(SUBSTITUTE(SUBSTITUTE(SUBSTITUTE(LOWER(TRIM(E211)),"á","a"),"é","e"),"í","i"),"ó","o"),"ú","u"),"ü","u"),"ñ","n"),"à","a"),"è","e"),"ì","i"),"ò","o"),"ù","u"),"")</f>
        <v/>
      </c>
      <c r="T211" s="25">
        <f>IF(AND(Q211=1,G211&lt;&gt;""),SUBSTITUTE(SUBSTITUTE(SUBSTITUTE(SUBSTITUTE(SUBSTITUTE(SUBSTITUTE(SUBSTITUTE(SUBSTITUTE(SUBSTITUTE(SUBSTITUTE(SUBSTITUTE(SUBSTITUTE(LOWER(TRIM(G211)),"á","a"),"é","e"),"í","i"),"ó","o"),"ú","u"),"ü","u"),"ñ","n"),"à","a"),"è","e"),"ì","i"),"ò","o"),"ù","u"),"")</f>
        <v/>
      </c>
      <c r="U211" s="25">
        <f>IF(AND(Q211=1,H211&lt;&gt;""),SUBSTITUTE(SUBSTITUTE(SUBSTITUTE(SUBSTITUTE(SUBSTITUTE(SUBSTITUTE(SUBSTITUTE(SUBSTITUTE(SUBSTITUTE(SUBSTITUTE(SUBSTITUTE(SUBSTITUTE(LOWER(TRIM(H211)),"á","a"),"é","e"),"í","i"),"ó","o"),"ú","u"),"ü","u"),"ñ","n"),"à","a"),"è","e"),"ì","i"),"ò","o"),"ù","u"),"")</f>
        <v/>
      </c>
      <c r="V211" s="25">
        <f>IF(AND(Q211=1,L211&lt;&gt;""),SUBSTITUTE(SUBSTITUTE(SUBSTITUTE(SUBSTITUTE(SUBSTITUTE(SUBSTITUTE(SUBSTITUTE(SUBSTITUTE(SUBSTITUTE(SUBSTITUTE(SUBSTITUTE(SUBSTITUTE(LOWER(TRIM(L211)),"á","a"),"é","e"),"í","i"),"ó","o"),"ú","u"),"ü","u"),"ñ","n"),"à","a"),"è","e"),"ì","i"),"ò","o"),"ù","u"),"")</f>
        <v/>
      </c>
      <c r="W211" s="25">
        <f>IF(AND(Q211=1,I211&lt;&gt;""),SUBSTITUTE(SUBSTITUTE(SUBSTITUTE(SUBSTITUTE(SUBSTITUTE(SUBSTITUTE(SUBSTITUTE(SUBSTITUTE(SUBSTITUTE(SUBSTITUTE(SUBSTITUTE(SUBSTITUTE(LOWER(TRIM(I211)),"á","a"),"é","e"),"í","i"),"ó","o"),"ú","u"),"ü","u"),"ñ","n"),"à","a"),"è","e"),"ì","i"),"ò","o"),"ù","u"),"")</f>
        <v/>
      </c>
      <c r="X211" s="25">
        <f>IF(U211="","",IF(OR(U211="si, en la proxima tarea",U211="si, con cambios"),1,0))</f>
        <v/>
      </c>
      <c r="Y211" s="25">
        <f>IF(AND(Q211=1,A211&lt;&gt;""),IF(IFERROR(COUNTIFS(A$3:A211,"="&amp;SUBSTITUTE(SUBSTITUTE(SUBSTITUTE(A211,"~","~~"),"*","~*"),"?","~?"),Q$3:Q211,1),0)=1,MAX(Y$2:Y210)+1,""),"")</f>
        <v/>
      </c>
      <c r="Z211" s="25">
        <f>IF(Y211="","",COUNTIFS($A$3:$A$1002,"="&amp;SUBSTITUTE(SUBSTITUTE(SUBSTITUTE(A211,"~","~~"),"*","~*"),"?","~?"),$Q$3:$Q$1002,1)*10000-Y211)</f>
        <v/>
      </c>
    </row>
    <row r="212">
      <c r="A212">
        <f>IF(A$2=0,"",IFERROR(TRIM(INDEX('Pegar docentes'!$A$1:$BZ$1001,211,A$2)&amp;""),""))</f>
        <v/>
      </c>
      <c r="B212">
        <f>IF(B$2=0,"",IFERROR(TRIM(INDEX('Pegar docentes'!$A$1:$BZ$1001,211,B$2)&amp;""),""))</f>
        <v/>
      </c>
      <c r="C212">
        <f>IF(C$2=0,"",IFERROR(TRIM(INDEX('Pegar docentes'!$A$1:$BZ$1001,211,C$2)&amp;""),""))</f>
        <v/>
      </c>
      <c r="D212">
        <f>IF(D$2=0,"",IFERROR(TRIM(INDEX('Pegar docentes'!$A$1:$BZ$1001,211,D$2)&amp;""),""))</f>
        <v/>
      </c>
      <c r="E212">
        <f>IF(E$2=0,"",IFERROR(TRIM(INDEX('Pegar docentes'!$A$1:$BZ$1001,211,E$2)&amp;""),""))</f>
        <v/>
      </c>
      <c r="F212">
        <f>IF(F$2=0,"",IFERROR(TRIM(INDEX('Pegar docentes'!$A$1:$BZ$1001,211,F$2)&amp;""),""))</f>
        <v/>
      </c>
      <c r="G212">
        <f>IF(G$2=0,"",IFERROR(TRIM(INDEX('Pegar docentes'!$A$1:$BZ$1001,211,G$2)&amp;""),""))</f>
        <v/>
      </c>
      <c r="H212">
        <f>IF(H$2=0,"",IFERROR(TRIM(INDEX('Pegar docentes'!$A$1:$BZ$1001,211,H$2)&amp;""),""))</f>
        <v/>
      </c>
      <c r="I212">
        <f>IF(I$2=0,"",IFERROR(TRIM(INDEX('Pegar docentes'!$A$1:$BZ$1001,211,I$2)&amp;""),""))</f>
        <v/>
      </c>
      <c r="J212">
        <f>IF(J$2=0,"",IFERROR(TRIM(INDEX('Pegar docentes'!$A$1:$BZ$1001,211,J$2)&amp;""),""))</f>
        <v/>
      </c>
      <c r="K212">
        <f>IF(K$2=0,"",IFERROR(TRIM(INDEX('Pegar docentes'!$A$1:$BZ$1001,211,K$2)&amp;""),""))</f>
        <v/>
      </c>
      <c r="L212">
        <f>IF(L$2=0,"",IFERROR(TRIM(INDEX('Pegar docentes'!$A$1:$BZ$1001,211,L$2)&amp;""),""))</f>
        <v/>
      </c>
      <c r="M212">
        <f>IF(M$2=0,"",IFERROR(TRIM(INDEX('Pegar docentes'!$A$1:$BZ$1001,211,M$2)&amp;""),""))</f>
        <v/>
      </c>
      <c r="N212">
        <f>IF(N$2=0,"",IFERROR(TRIM(INDEX('Pegar docentes'!$A$1:$BZ$1001,211,N$2)&amp;""),""))</f>
        <v/>
      </c>
      <c r="O212">
        <f>IF(O$2=0,"",IFERROR(TRIM(INDEX('Pegar docentes'!$A$1:$BZ$1001,211,O$2)&amp;""),""))</f>
        <v/>
      </c>
      <c r="P212">
        <f>IF(P$2=0,"",IFERROR(TRIM(INDEX('Pegar docentes'!$A$1:$BZ$1001,211,P$2)&amp;""),""))</f>
        <v/>
      </c>
      <c r="Q212" s="25">
        <f>IF(OR(D212&lt;&gt;"",H212&lt;&gt;""),1,"")</f>
        <v/>
      </c>
      <c r="R212" s="25">
        <f>IF(Q212=1,IF(ISNUMBER(FIND("#"&amp;MID(D212,1,1)&amp;"#","#0#1#2#3#4#5#6#7#8#9#")),IF(ISNUMBER(FIND("#"&amp;MID(D212,2,1)&amp;"#","#0#1#2#3#4#5#6#7#8#9#")),IF(AND(VALUE(LEFT(D212,2))&gt;=1,VALUE(LEFT(D212,2))&lt;=5),VALUE(LEFT(D212,2)),""),IF(AND(VALUE(LEFT(D212,1))&gt;=1,VALUE(LEFT(D212,1))&lt;=5),VALUE(LEFT(D212,1)),"")),""),"")</f>
        <v/>
      </c>
      <c r="S212" s="25">
        <f>IF(AND(Q212=1,E212&lt;&gt;""),SUBSTITUTE(SUBSTITUTE(SUBSTITUTE(SUBSTITUTE(SUBSTITUTE(SUBSTITUTE(SUBSTITUTE(SUBSTITUTE(SUBSTITUTE(SUBSTITUTE(SUBSTITUTE(SUBSTITUTE(LOWER(TRIM(E212)),"á","a"),"é","e"),"í","i"),"ó","o"),"ú","u"),"ü","u"),"ñ","n"),"à","a"),"è","e"),"ì","i"),"ò","o"),"ù","u"),"")</f>
        <v/>
      </c>
      <c r="T212" s="25">
        <f>IF(AND(Q212=1,G212&lt;&gt;""),SUBSTITUTE(SUBSTITUTE(SUBSTITUTE(SUBSTITUTE(SUBSTITUTE(SUBSTITUTE(SUBSTITUTE(SUBSTITUTE(SUBSTITUTE(SUBSTITUTE(SUBSTITUTE(SUBSTITUTE(LOWER(TRIM(G212)),"á","a"),"é","e"),"í","i"),"ó","o"),"ú","u"),"ü","u"),"ñ","n"),"à","a"),"è","e"),"ì","i"),"ò","o"),"ù","u"),"")</f>
        <v/>
      </c>
      <c r="U212" s="25">
        <f>IF(AND(Q212=1,H212&lt;&gt;""),SUBSTITUTE(SUBSTITUTE(SUBSTITUTE(SUBSTITUTE(SUBSTITUTE(SUBSTITUTE(SUBSTITUTE(SUBSTITUTE(SUBSTITUTE(SUBSTITUTE(SUBSTITUTE(SUBSTITUTE(LOWER(TRIM(H212)),"á","a"),"é","e"),"í","i"),"ó","o"),"ú","u"),"ü","u"),"ñ","n"),"à","a"),"è","e"),"ì","i"),"ò","o"),"ù","u"),"")</f>
        <v/>
      </c>
      <c r="V212" s="25">
        <f>IF(AND(Q212=1,L212&lt;&gt;""),SUBSTITUTE(SUBSTITUTE(SUBSTITUTE(SUBSTITUTE(SUBSTITUTE(SUBSTITUTE(SUBSTITUTE(SUBSTITUTE(SUBSTITUTE(SUBSTITUTE(SUBSTITUTE(SUBSTITUTE(LOWER(TRIM(L212)),"á","a"),"é","e"),"í","i"),"ó","o"),"ú","u"),"ü","u"),"ñ","n"),"à","a"),"è","e"),"ì","i"),"ò","o"),"ù","u"),"")</f>
        <v/>
      </c>
      <c r="W212" s="25">
        <f>IF(AND(Q212=1,I212&lt;&gt;""),SUBSTITUTE(SUBSTITUTE(SUBSTITUTE(SUBSTITUTE(SUBSTITUTE(SUBSTITUTE(SUBSTITUTE(SUBSTITUTE(SUBSTITUTE(SUBSTITUTE(SUBSTITUTE(SUBSTITUTE(LOWER(TRIM(I212)),"á","a"),"é","e"),"í","i"),"ó","o"),"ú","u"),"ü","u"),"ñ","n"),"à","a"),"è","e"),"ì","i"),"ò","o"),"ù","u"),"")</f>
        <v/>
      </c>
      <c r="X212" s="25">
        <f>IF(U212="","",IF(OR(U212="si, en la proxima tarea",U212="si, con cambios"),1,0))</f>
        <v/>
      </c>
      <c r="Y212" s="25">
        <f>IF(AND(Q212=1,A212&lt;&gt;""),IF(IFERROR(COUNTIFS(A$3:A212,"="&amp;SUBSTITUTE(SUBSTITUTE(SUBSTITUTE(A212,"~","~~"),"*","~*"),"?","~?"),Q$3:Q212,1),0)=1,MAX(Y$2:Y211)+1,""),"")</f>
        <v/>
      </c>
      <c r="Z212" s="25">
        <f>IF(Y212="","",COUNTIFS($A$3:$A$1002,"="&amp;SUBSTITUTE(SUBSTITUTE(SUBSTITUTE(A212,"~","~~"),"*","~*"),"?","~?"),$Q$3:$Q$1002,1)*10000-Y212)</f>
        <v/>
      </c>
    </row>
    <row r="213">
      <c r="A213">
        <f>IF(A$2=0,"",IFERROR(TRIM(INDEX('Pegar docentes'!$A$1:$BZ$1001,212,A$2)&amp;""),""))</f>
        <v/>
      </c>
      <c r="B213">
        <f>IF(B$2=0,"",IFERROR(TRIM(INDEX('Pegar docentes'!$A$1:$BZ$1001,212,B$2)&amp;""),""))</f>
        <v/>
      </c>
      <c r="C213">
        <f>IF(C$2=0,"",IFERROR(TRIM(INDEX('Pegar docentes'!$A$1:$BZ$1001,212,C$2)&amp;""),""))</f>
        <v/>
      </c>
      <c r="D213">
        <f>IF(D$2=0,"",IFERROR(TRIM(INDEX('Pegar docentes'!$A$1:$BZ$1001,212,D$2)&amp;""),""))</f>
        <v/>
      </c>
      <c r="E213">
        <f>IF(E$2=0,"",IFERROR(TRIM(INDEX('Pegar docentes'!$A$1:$BZ$1001,212,E$2)&amp;""),""))</f>
        <v/>
      </c>
      <c r="F213">
        <f>IF(F$2=0,"",IFERROR(TRIM(INDEX('Pegar docentes'!$A$1:$BZ$1001,212,F$2)&amp;""),""))</f>
        <v/>
      </c>
      <c r="G213">
        <f>IF(G$2=0,"",IFERROR(TRIM(INDEX('Pegar docentes'!$A$1:$BZ$1001,212,G$2)&amp;""),""))</f>
        <v/>
      </c>
      <c r="H213">
        <f>IF(H$2=0,"",IFERROR(TRIM(INDEX('Pegar docentes'!$A$1:$BZ$1001,212,H$2)&amp;""),""))</f>
        <v/>
      </c>
      <c r="I213">
        <f>IF(I$2=0,"",IFERROR(TRIM(INDEX('Pegar docentes'!$A$1:$BZ$1001,212,I$2)&amp;""),""))</f>
        <v/>
      </c>
      <c r="J213">
        <f>IF(J$2=0,"",IFERROR(TRIM(INDEX('Pegar docentes'!$A$1:$BZ$1001,212,J$2)&amp;""),""))</f>
        <v/>
      </c>
      <c r="K213">
        <f>IF(K$2=0,"",IFERROR(TRIM(INDEX('Pegar docentes'!$A$1:$BZ$1001,212,K$2)&amp;""),""))</f>
        <v/>
      </c>
      <c r="L213">
        <f>IF(L$2=0,"",IFERROR(TRIM(INDEX('Pegar docentes'!$A$1:$BZ$1001,212,L$2)&amp;""),""))</f>
        <v/>
      </c>
      <c r="M213">
        <f>IF(M$2=0,"",IFERROR(TRIM(INDEX('Pegar docentes'!$A$1:$BZ$1001,212,M$2)&amp;""),""))</f>
        <v/>
      </c>
      <c r="N213">
        <f>IF(N$2=0,"",IFERROR(TRIM(INDEX('Pegar docentes'!$A$1:$BZ$1001,212,N$2)&amp;""),""))</f>
        <v/>
      </c>
      <c r="O213">
        <f>IF(O$2=0,"",IFERROR(TRIM(INDEX('Pegar docentes'!$A$1:$BZ$1001,212,O$2)&amp;""),""))</f>
        <v/>
      </c>
      <c r="P213">
        <f>IF(P$2=0,"",IFERROR(TRIM(INDEX('Pegar docentes'!$A$1:$BZ$1001,212,P$2)&amp;""),""))</f>
        <v/>
      </c>
      <c r="Q213" s="25">
        <f>IF(OR(D213&lt;&gt;"",H213&lt;&gt;""),1,"")</f>
        <v/>
      </c>
      <c r="R213" s="25">
        <f>IF(Q213=1,IF(ISNUMBER(FIND("#"&amp;MID(D213,1,1)&amp;"#","#0#1#2#3#4#5#6#7#8#9#")),IF(ISNUMBER(FIND("#"&amp;MID(D213,2,1)&amp;"#","#0#1#2#3#4#5#6#7#8#9#")),IF(AND(VALUE(LEFT(D213,2))&gt;=1,VALUE(LEFT(D213,2))&lt;=5),VALUE(LEFT(D213,2)),""),IF(AND(VALUE(LEFT(D213,1))&gt;=1,VALUE(LEFT(D213,1))&lt;=5),VALUE(LEFT(D213,1)),"")),""),"")</f>
        <v/>
      </c>
      <c r="S213" s="25">
        <f>IF(AND(Q213=1,E213&lt;&gt;""),SUBSTITUTE(SUBSTITUTE(SUBSTITUTE(SUBSTITUTE(SUBSTITUTE(SUBSTITUTE(SUBSTITUTE(SUBSTITUTE(SUBSTITUTE(SUBSTITUTE(SUBSTITUTE(SUBSTITUTE(LOWER(TRIM(E213)),"á","a"),"é","e"),"í","i"),"ó","o"),"ú","u"),"ü","u"),"ñ","n"),"à","a"),"è","e"),"ì","i"),"ò","o"),"ù","u"),"")</f>
        <v/>
      </c>
      <c r="T213" s="25">
        <f>IF(AND(Q213=1,G213&lt;&gt;""),SUBSTITUTE(SUBSTITUTE(SUBSTITUTE(SUBSTITUTE(SUBSTITUTE(SUBSTITUTE(SUBSTITUTE(SUBSTITUTE(SUBSTITUTE(SUBSTITUTE(SUBSTITUTE(SUBSTITUTE(LOWER(TRIM(G213)),"á","a"),"é","e"),"í","i"),"ó","o"),"ú","u"),"ü","u"),"ñ","n"),"à","a"),"è","e"),"ì","i"),"ò","o"),"ù","u"),"")</f>
        <v/>
      </c>
      <c r="U213" s="25">
        <f>IF(AND(Q213=1,H213&lt;&gt;""),SUBSTITUTE(SUBSTITUTE(SUBSTITUTE(SUBSTITUTE(SUBSTITUTE(SUBSTITUTE(SUBSTITUTE(SUBSTITUTE(SUBSTITUTE(SUBSTITUTE(SUBSTITUTE(SUBSTITUTE(LOWER(TRIM(H213)),"á","a"),"é","e"),"í","i"),"ó","o"),"ú","u"),"ü","u"),"ñ","n"),"à","a"),"è","e"),"ì","i"),"ò","o"),"ù","u"),"")</f>
        <v/>
      </c>
      <c r="V213" s="25">
        <f>IF(AND(Q213=1,L213&lt;&gt;""),SUBSTITUTE(SUBSTITUTE(SUBSTITUTE(SUBSTITUTE(SUBSTITUTE(SUBSTITUTE(SUBSTITUTE(SUBSTITUTE(SUBSTITUTE(SUBSTITUTE(SUBSTITUTE(SUBSTITUTE(LOWER(TRIM(L213)),"á","a"),"é","e"),"í","i"),"ó","o"),"ú","u"),"ü","u"),"ñ","n"),"à","a"),"è","e"),"ì","i"),"ò","o"),"ù","u"),"")</f>
        <v/>
      </c>
      <c r="W213" s="25">
        <f>IF(AND(Q213=1,I213&lt;&gt;""),SUBSTITUTE(SUBSTITUTE(SUBSTITUTE(SUBSTITUTE(SUBSTITUTE(SUBSTITUTE(SUBSTITUTE(SUBSTITUTE(SUBSTITUTE(SUBSTITUTE(SUBSTITUTE(SUBSTITUTE(LOWER(TRIM(I213)),"á","a"),"é","e"),"í","i"),"ó","o"),"ú","u"),"ü","u"),"ñ","n"),"à","a"),"è","e"),"ì","i"),"ò","o"),"ù","u"),"")</f>
        <v/>
      </c>
      <c r="X213" s="25">
        <f>IF(U213="","",IF(OR(U213="si, en la proxima tarea",U213="si, con cambios"),1,0))</f>
        <v/>
      </c>
      <c r="Y213" s="25">
        <f>IF(AND(Q213=1,A213&lt;&gt;""),IF(IFERROR(COUNTIFS(A$3:A213,"="&amp;SUBSTITUTE(SUBSTITUTE(SUBSTITUTE(A213,"~","~~"),"*","~*"),"?","~?"),Q$3:Q213,1),0)=1,MAX(Y$2:Y212)+1,""),"")</f>
        <v/>
      </c>
      <c r="Z213" s="25">
        <f>IF(Y213="","",COUNTIFS($A$3:$A$1002,"="&amp;SUBSTITUTE(SUBSTITUTE(SUBSTITUTE(A213,"~","~~"),"*","~*"),"?","~?"),$Q$3:$Q$1002,1)*10000-Y213)</f>
        <v/>
      </c>
    </row>
    <row r="214">
      <c r="A214">
        <f>IF(A$2=0,"",IFERROR(TRIM(INDEX('Pegar docentes'!$A$1:$BZ$1001,213,A$2)&amp;""),""))</f>
        <v/>
      </c>
      <c r="B214">
        <f>IF(B$2=0,"",IFERROR(TRIM(INDEX('Pegar docentes'!$A$1:$BZ$1001,213,B$2)&amp;""),""))</f>
        <v/>
      </c>
      <c r="C214">
        <f>IF(C$2=0,"",IFERROR(TRIM(INDEX('Pegar docentes'!$A$1:$BZ$1001,213,C$2)&amp;""),""))</f>
        <v/>
      </c>
      <c r="D214">
        <f>IF(D$2=0,"",IFERROR(TRIM(INDEX('Pegar docentes'!$A$1:$BZ$1001,213,D$2)&amp;""),""))</f>
        <v/>
      </c>
      <c r="E214">
        <f>IF(E$2=0,"",IFERROR(TRIM(INDEX('Pegar docentes'!$A$1:$BZ$1001,213,E$2)&amp;""),""))</f>
        <v/>
      </c>
      <c r="F214">
        <f>IF(F$2=0,"",IFERROR(TRIM(INDEX('Pegar docentes'!$A$1:$BZ$1001,213,F$2)&amp;""),""))</f>
        <v/>
      </c>
      <c r="G214">
        <f>IF(G$2=0,"",IFERROR(TRIM(INDEX('Pegar docentes'!$A$1:$BZ$1001,213,G$2)&amp;""),""))</f>
        <v/>
      </c>
      <c r="H214">
        <f>IF(H$2=0,"",IFERROR(TRIM(INDEX('Pegar docentes'!$A$1:$BZ$1001,213,H$2)&amp;""),""))</f>
        <v/>
      </c>
      <c r="I214">
        <f>IF(I$2=0,"",IFERROR(TRIM(INDEX('Pegar docentes'!$A$1:$BZ$1001,213,I$2)&amp;""),""))</f>
        <v/>
      </c>
      <c r="J214">
        <f>IF(J$2=0,"",IFERROR(TRIM(INDEX('Pegar docentes'!$A$1:$BZ$1001,213,J$2)&amp;""),""))</f>
        <v/>
      </c>
      <c r="K214">
        <f>IF(K$2=0,"",IFERROR(TRIM(INDEX('Pegar docentes'!$A$1:$BZ$1001,213,K$2)&amp;""),""))</f>
        <v/>
      </c>
      <c r="L214">
        <f>IF(L$2=0,"",IFERROR(TRIM(INDEX('Pegar docentes'!$A$1:$BZ$1001,213,L$2)&amp;""),""))</f>
        <v/>
      </c>
      <c r="M214">
        <f>IF(M$2=0,"",IFERROR(TRIM(INDEX('Pegar docentes'!$A$1:$BZ$1001,213,M$2)&amp;""),""))</f>
        <v/>
      </c>
      <c r="N214">
        <f>IF(N$2=0,"",IFERROR(TRIM(INDEX('Pegar docentes'!$A$1:$BZ$1001,213,N$2)&amp;""),""))</f>
        <v/>
      </c>
      <c r="O214">
        <f>IF(O$2=0,"",IFERROR(TRIM(INDEX('Pegar docentes'!$A$1:$BZ$1001,213,O$2)&amp;""),""))</f>
        <v/>
      </c>
      <c r="P214">
        <f>IF(P$2=0,"",IFERROR(TRIM(INDEX('Pegar docentes'!$A$1:$BZ$1001,213,P$2)&amp;""),""))</f>
        <v/>
      </c>
      <c r="Q214" s="25">
        <f>IF(OR(D214&lt;&gt;"",H214&lt;&gt;""),1,"")</f>
        <v/>
      </c>
      <c r="R214" s="25">
        <f>IF(Q214=1,IF(ISNUMBER(FIND("#"&amp;MID(D214,1,1)&amp;"#","#0#1#2#3#4#5#6#7#8#9#")),IF(ISNUMBER(FIND("#"&amp;MID(D214,2,1)&amp;"#","#0#1#2#3#4#5#6#7#8#9#")),IF(AND(VALUE(LEFT(D214,2))&gt;=1,VALUE(LEFT(D214,2))&lt;=5),VALUE(LEFT(D214,2)),""),IF(AND(VALUE(LEFT(D214,1))&gt;=1,VALUE(LEFT(D214,1))&lt;=5),VALUE(LEFT(D214,1)),"")),""),"")</f>
        <v/>
      </c>
      <c r="S214" s="25">
        <f>IF(AND(Q214=1,E214&lt;&gt;""),SUBSTITUTE(SUBSTITUTE(SUBSTITUTE(SUBSTITUTE(SUBSTITUTE(SUBSTITUTE(SUBSTITUTE(SUBSTITUTE(SUBSTITUTE(SUBSTITUTE(SUBSTITUTE(SUBSTITUTE(LOWER(TRIM(E214)),"á","a"),"é","e"),"í","i"),"ó","o"),"ú","u"),"ü","u"),"ñ","n"),"à","a"),"è","e"),"ì","i"),"ò","o"),"ù","u"),"")</f>
        <v/>
      </c>
      <c r="T214" s="25">
        <f>IF(AND(Q214=1,G214&lt;&gt;""),SUBSTITUTE(SUBSTITUTE(SUBSTITUTE(SUBSTITUTE(SUBSTITUTE(SUBSTITUTE(SUBSTITUTE(SUBSTITUTE(SUBSTITUTE(SUBSTITUTE(SUBSTITUTE(SUBSTITUTE(LOWER(TRIM(G214)),"á","a"),"é","e"),"í","i"),"ó","o"),"ú","u"),"ü","u"),"ñ","n"),"à","a"),"è","e"),"ì","i"),"ò","o"),"ù","u"),"")</f>
        <v/>
      </c>
      <c r="U214" s="25">
        <f>IF(AND(Q214=1,H214&lt;&gt;""),SUBSTITUTE(SUBSTITUTE(SUBSTITUTE(SUBSTITUTE(SUBSTITUTE(SUBSTITUTE(SUBSTITUTE(SUBSTITUTE(SUBSTITUTE(SUBSTITUTE(SUBSTITUTE(SUBSTITUTE(LOWER(TRIM(H214)),"á","a"),"é","e"),"í","i"),"ó","o"),"ú","u"),"ü","u"),"ñ","n"),"à","a"),"è","e"),"ì","i"),"ò","o"),"ù","u"),"")</f>
        <v/>
      </c>
      <c r="V214" s="25">
        <f>IF(AND(Q214=1,L214&lt;&gt;""),SUBSTITUTE(SUBSTITUTE(SUBSTITUTE(SUBSTITUTE(SUBSTITUTE(SUBSTITUTE(SUBSTITUTE(SUBSTITUTE(SUBSTITUTE(SUBSTITUTE(SUBSTITUTE(SUBSTITUTE(LOWER(TRIM(L214)),"á","a"),"é","e"),"í","i"),"ó","o"),"ú","u"),"ü","u"),"ñ","n"),"à","a"),"è","e"),"ì","i"),"ò","o"),"ù","u"),"")</f>
        <v/>
      </c>
      <c r="W214" s="25">
        <f>IF(AND(Q214=1,I214&lt;&gt;""),SUBSTITUTE(SUBSTITUTE(SUBSTITUTE(SUBSTITUTE(SUBSTITUTE(SUBSTITUTE(SUBSTITUTE(SUBSTITUTE(SUBSTITUTE(SUBSTITUTE(SUBSTITUTE(SUBSTITUTE(LOWER(TRIM(I214)),"á","a"),"é","e"),"í","i"),"ó","o"),"ú","u"),"ü","u"),"ñ","n"),"à","a"),"è","e"),"ì","i"),"ò","o"),"ù","u"),"")</f>
        <v/>
      </c>
      <c r="X214" s="25">
        <f>IF(U214="","",IF(OR(U214="si, en la proxima tarea",U214="si, con cambios"),1,0))</f>
        <v/>
      </c>
      <c r="Y214" s="25">
        <f>IF(AND(Q214=1,A214&lt;&gt;""),IF(IFERROR(COUNTIFS(A$3:A214,"="&amp;SUBSTITUTE(SUBSTITUTE(SUBSTITUTE(A214,"~","~~"),"*","~*"),"?","~?"),Q$3:Q214,1),0)=1,MAX(Y$2:Y213)+1,""),"")</f>
        <v/>
      </c>
      <c r="Z214" s="25">
        <f>IF(Y214="","",COUNTIFS($A$3:$A$1002,"="&amp;SUBSTITUTE(SUBSTITUTE(SUBSTITUTE(A214,"~","~~"),"*","~*"),"?","~?"),$Q$3:$Q$1002,1)*10000-Y214)</f>
        <v/>
      </c>
    </row>
    <row r="215">
      <c r="A215">
        <f>IF(A$2=0,"",IFERROR(TRIM(INDEX('Pegar docentes'!$A$1:$BZ$1001,214,A$2)&amp;""),""))</f>
        <v/>
      </c>
      <c r="B215">
        <f>IF(B$2=0,"",IFERROR(TRIM(INDEX('Pegar docentes'!$A$1:$BZ$1001,214,B$2)&amp;""),""))</f>
        <v/>
      </c>
      <c r="C215">
        <f>IF(C$2=0,"",IFERROR(TRIM(INDEX('Pegar docentes'!$A$1:$BZ$1001,214,C$2)&amp;""),""))</f>
        <v/>
      </c>
      <c r="D215">
        <f>IF(D$2=0,"",IFERROR(TRIM(INDEX('Pegar docentes'!$A$1:$BZ$1001,214,D$2)&amp;""),""))</f>
        <v/>
      </c>
      <c r="E215">
        <f>IF(E$2=0,"",IFERROR(TRIM(INDEX('Pegar docentes'!$A$1:$BZ$1001,214,E$2)&amp;""),""))</f>
        <v/>
      </c>
      <c r="F215">
        <f>IF(F$2=0,"",IFERROR(TRIM(INDEX('Pegar docentes'!$A$1:$BZ$1001,214,F$2)&amp;""),""))</f>
        <v/>
      </c>
      <c r="G215">
        <f>IF(G$2=0,"",IFERROR(TRIM(INDEX('Pegar docentes'!$A$1:$BZ$1001,214,G$2)&amp;""),""))</f>
        <v/>
      </c>
      <c r="H215">
        <f>IF(H$2=0,"",IFERROR(TRIM(INDEX('Pegar docentes'!$A$1:$BZ$1001,214,H$2)&amp;""),""))</f>
        <v/>
      </c>
      <c r="I215">
        <f>IF(I$2=0,"",IFERROR(TRIM(INDEX('Pegar docentes'!$A$1:$BZ$1001,214,I$2)&amp;""),""))</f>
        <v/>
      </c>
      <c r="J215">
        <f>IF(J$2=0,"",IFERROR(TRIM(INDEX('Pegar docentes'!$A$1:$BZ$1001,214,J$2)&amp;""),""))</f>
        <v/>
      </c>
      <c r="K215">
        <f>IF(K$2=0,"",IFERROR(TRIM(INDEX('Pegar docentes'!$A$1:$BZ$1001,214,K$2)&amp;""),""))</f>
        <v/>
      </c>
      <c r="L215">
        <f>IF(L$2=0,"",IFERROR(TRIM(INDEX('Pegar docentes'!$A$1:$BZ$1001,214,L$2)&amp;""),""))</f>
        <v/>
      </c>
      <c r="M215">
        <f>IF(M$2=0,"",IFERROR(TRIM(INDEX('Pegar docentes'!$A$1:$BZ$1001,214,M$2)&amp;""),""))</f>
        <v/>
      </c>
      <c r="N215">
        <f>IF(N$2=0,"",IFERROR(TRIM(INDEX('Pegar docentes'!$A$1:$BZ$1001,214,N$2)&amp;""),""))</f>
        <v/>
      </c>
      <c r="O215">
        <f>IF(O$2=0,"",IFERROR(TRIM(INDEX('Pegar docentes'!$A$1:$BZ$1001,214,O$2)&amp;""),""))</f>
        <v/>
      </c>
      <c r="P215">
        <f>IF(P$2=0,"",IFERROR(TRIM(INDEX('Pegar docentes'!$A$1:$BZ$1001,214,P$2)&amp;""),""))</f>
        <v/>
      </c>
      <c r="Q215" s="25">
        <f>IF(OR(D215&lt;&gt;"",H215&lt;&gt;""),1,"")</f>
        <v/>
      </c>
      <c r="R215" s="25">
        <f>IF(Q215=1,IF(ISNUMBER(FIND("#"&amp;MID(D215,1,1)&amp;"#","#0#1#2#3#4#5#6#7#8#9#")),IF(ISNUMBER(FIND("#"&amp;MID(D215,2,1)&amp;"#","#0#1#2#3#4#5#6#7#8#9#")),IF(AND(VALUE(LEFT(D215,2))&gt;=1,VALUE(LEFT(D215,2))&lt;=5),VALUE(LEFT(D215,2)),""),IF(AND(VALUE(LEFT(D215,1))&gt;=1,VALUE(LEFT(D215,1))&lt;=5),VALUE(LEFT(D215,1)),"")),""),"")</f>
        <v/>
      </c>
      <c r="S215" s="25">
        <f>IF(AND(Q215=1,E215&lt;&gt;""),SUBSTITUTE(SUBSTITUTE(SUBSTITUTE(SUBSTITUTE(SUBSTITUTE(SUBSTITUTE(SUBSTITUTE(SUBSTITUTE(SUBSTITUTE(SUBSTITUTE(SUBSTITUTE(SUBSTITUTE(LOWER(TRIM(E215)),"á","a"),"é","e"),"í","i"),"ó","o"),"ú","u"),"ü","u"),"ñ","n"),"à","a"),"è","e"),"ì","i"),"ò","o"),"ù","u"),"")</f>
        <v/>
      </c>
      <c r="T215" s="25">
        <f>IF(AND(Q215=1,G215&lt;&gt;""),SUBSTITUTE(SUBSTITUTE(SUBSTITUTE(SUBSTITUTE(SUBSTITUTE(SUBSTITUTE(SUBSTITUTE(SUBSTITUTE(SUBSTITUTE(SUBSTITUTE(SUBSTITUTE(SUBSTITUTE(LOWER(TRIM(G215)),"á","a"),"é","e"),"í","i"),"ó","o"),"ú","u"),"ü","u"),"ñ","n"),"à","a"),"è","e"),"ì","i"),"ò","o"),"ù","u"),"")</f>
        <v/>
      </c>
      <c r="U215" s="25">
        <f>IF(AND(Q215=1,H215&lt;&gt;""),SUBSTITUTE(SUBSTITUTE(SUBSTITUTE(SUBSTITUTE(SUBSTITUTE(SUBSTITUTE(SUBSTITUTE(SUBSTITUTE(SUBSTITUTE(SUBSTITUTE(SUBSTITUTE(SUBSTITUTE(LOWER(TRIM(H215)),"á","a"),"é","e"),"í","i"),"ó","o"),"ú","u"),"ü","u"),"ñ","n"),"à","a"),"è","e"),"ì","i"),"ò","o"),"ù","u"),"")</f>
        <v/>
      </c>
      <c r="V215" s="25">
        <f>IF(AND(Q215=1,L215&lt;&gt;""),SUBSTITUTE(SUBSTITUTE(SUBSTITUTE(SUBSTITUTE(SUBSTITUTE(SUBSTITUTE(SUBSTITUTE(SUBSTITUTE(SUBSTITUTE(SUBSTITUTE(SUBSTITUTE(SUBSTITUTE(LOWER(TRIM(L215)),"á","a"),"é","e"),"í","i"),"ó","o"),"ú","u"),"ü","u"),"ñ","n"),"à","a"),"è","e"),"ì","i"),"ò","o"),"ù","u"),"")</f>
        <v/>
      </c>
      <c r="W215" s="25">
        <f>IF(AND(Q215=1,I215&lt;&gt;""),SUBSTITUTE(SUBSTITUTE(SUBSTITUTE(SUBSTITUTE(SUBSTITUTE(SUBSTITUTE(SUBSTITUTE(SUBSTITUTE(SUBSTITUTE(SUBSTITUTE(SUBSTITUTE(SUBSTITUTE(LOWER(TRIM(I215)),"á","a"),"é","e"),"í","i"),"ó","o"),"ú","u"),"ü","u"),"ñ","n"),"à","a"),"è","e"),"ì","i"),"ò","o"),"ù","u"),"")</f>
        <v/>
      </c>
      <c r="X215" s="25">
        <f>IF(U215="","",IF(OR(U215="si, en la proxima tarea",U215="si, con cambios"),1,0))</f>
        <v/>
      </c>
      <c r="Y215" s="25">
        <f>IF(AND(Q215=1,A215&lt;&gt;""),IF(IFERROR(COUNTIFS(A$3:A215,"="&amp;SUBSTITUTE(SUBSTITUTE(SUBSTITUTE(A215,"~","~~"),"*","~*"),"?","~?"),Q$3:Q215,1),0)=1,MAX(Y$2:Y214)+1,""),"")</f>
        <v/>
      </c>
      <c r="Z215" s="25">
        <f>IF(Y215="","",COUNTIFS($A$3:$A$1002,"="&amp;SUBSTITUTE(SUBSTITUTE(SUBSTITUTE(A215,"~","~~"),"*","~*"),"?","~?"),$Q$3:$Q$1002,1)*10000-Y215)</f>
        <v/>
      </c>
    </row>
    <row r="216">
      <c r="A216">
        <f>IF(A$2=0,"",IFERROR(TRIM(INDEX('Pegar docentes'!$A$1:$BZ$1001,215,A$2)&amp;""),""))</f>
        <v/>
      </c>
      <c r="B216">
        <f>IF(B$2=0,"",IFERROR(TRIM(INDEX('Pegar docentes'!$A$1:$BZ$1001,215,B$2)&amp;""),""))</f>
        <v/>
      </c>
      <c r="C216">
        <f>IF(C$2=0,"",IFERROR(TRIM(INDEX('Pegar docentes'!$A$1:$BZ$1001,215,C$2)&amp;""),""))</f>
        <v/>
      </c>
      <c r="D216">
        <f>IF(D$2=0,"",IFERROR(TRIM(INDEX('Pegar docentes'!$A$1:$BZ$1001,215,D$2)&amp;""),""))</f>
        <v/>
      </c>
      <c r="E216">
        <f>IF(E$2=0,"",IFERROR(TRIM(INDEX('Pegar docentes'!$A$1:$BZ$1001,215,E$2)&amp;""),""))</f>
        <v/>
      </c>
      <c r="F216">
        <f>IF(F$2=0,"",IFERROR(TRIM(INDEX('Pegar docentes'!$A$1:$BZ$1001,215,F$2)&amp;""),""))</f>
        <v/>
      </c>
      <c r="G216">
        <f>IF(G$2=0,"",IFERROR(TRIM(INDEX('Pegar docentes'!$A$1:$BZ$1001,215,G$2)&amp;""),""))</f>
        <v/>
      </c>
      <c r="H216">
        <f>IF(H$2=0,"",IFERROR(TRIM(INDEX('Pegar docentes'!$A$1:$BZ$1001,215,H$2)&amp;""),""))</f>
        <v/>
      </c>
      <c r="I216">
        <f>IF(I$2=0,"",IFERROR(TRIM(INDEX('Pegar docentes'!$A$1:$BZ$1001,215,I$2)&amp;""),""))</f>
        <v/>
      </c>
      <c r="J216">
        <f>IF(J$2=0,"",IFERROR(TRIM(INDEX('Pegar docentes'!$A$1:$BZ$1001,215,J$2)&amp;""),""))</f>
        <v/>
      </c>
      <c r="K216">
        <f>IF(K$2=0,"",IFERROR(TRIM(INDEX('Pegar docentes'!$A$1:$BZ$1001,215,K$2)&amp;""),""))</f>
        <v/>
      </c>
      <c r="L216">
        <f>IF(L$2=0,"",IFERROR(TRIM(INDEX('Pegar docentes'!$A$1:$BZ$1001,215,L$2)&amp;""),""))</f>
        <v/>
      </c>
      <c r="M216">
        <f>IF(M$2=0,"",IFERROR(TRIM(INDEX('Pegar docentes'!$A$1:$BZ$1001,215,M$2)&amp;""),""))</f>
        <v/>
      </c>
      <c r="N216">
        <f>IF(N$2=0,"",IFERROR(TRIM(INDEX('Pegar docentes'!$A$1:$BZ$1001,215,N$2)&amp;""),""))</f>
        <v/>
      </c>
      <c r="O216">
        <f>IF(O$2=0,"",IFERROR(TRIM(INDEX('Pegar docentes'!$A$1:$BZ$1001,215,O$2)&amp;""),""))</f>
        <v/>
      </c>
      <c r="P216">
        <f>IF(P$2=0,"",IFERROR(TRIM(INDEX('Pegar docentes'!$A$1:$BZ$1001,215,P$2)&amp;""),""))</f>
        <v/>
      </c>
      <c r="Q216" s="25">
        <f>IF(OR(D216&lt;&gt;"",H216&lt;&gt;""),1,"")</f>
        <v/>
      </c>
      <c r="R216" s="25">
        <f>IF(Q216=1,IF(ISNUMBER(FIND("#"&amp;MID(D216,1,1)&amp;"#","#0#1#2#3#4#5#6#7#8#9#")),IF(ISNUMBER(FIND("#"&amp;MID(D216,2,1)&amp;"#","#0#1#2#3#4#5#6#7#8#9#")),IF(AND(VALUE(LEFT(D216,2))&gt;=1,VALUE(LEFT(D216,2))&lt;=5),VALUE(LEFT(D216,2)),""),IF(AND(VALUE(LEFT(D216,1))&gt;=1,VALUE(LEFT(D216,1))&lt;=5),VALUE(LEFT(D216,1)),"")),""),"")</f>
        <v/>
      </c>
      <c r="S216" s="25">
        <f>IF(AND(Q216=1,E216&lt;&gt;""),SUBSTITUTE(SUBSTITUTE(SUBSTITUTE(SUBSTITUTE(SUBSTITUTE(SUBSTITUTE(SUBSTITUTE(SUBSTITUTE(SUBSTITUTE(SUBSTITUTE(SUBSTITUTE(SUBSTITUTE(LOWER(TRIM(E216)),"á","a"),"é","e"),"í","i"),"ó","o"),"ú","u"),"ü","u"),"ñ","n"),"à","a"),"è","e"),"ì","i"),"ò","o"),"ù","u"),"")</f>
        <v/>
      </c>
      <c r="T216" s="25">
        <f>IF(AND(Q216=1,G216&lt;&gt;""),SUBSTITUTE(SUBSTITUTE(SUBSTITUTE(SUBSTITUTE(SUBSTITUTE(SUBSTITUTE(SUBSTITUTE(SUBSTITUTE(SUBSTITUTE(SUBSTITUTE(SUBSTITUTE(SUBSTITUTE(LOWER(TRIM(G216)),"á","a"),"é","e"),"í","i"),"ó","o"),"ú","u"),"ü","u"),"ñ","n"),"à","a"),"è","e"),"ì","i"),"ò","o"),"ù","u"),"")</f>
        <v/>
      </c>
      <c r="U216" s="25">
        <f>IF(AND(Q216=1,H216&lt;&gt;""),SUBSTITUTE(SUBSTITUTE(SUBSTITUTE(SUBSTITUTE(SUBSTITUTE(SUBSTITUTE(SUBSTITUTE(SUBSTITUTE(SUBSTITUTE(SUBSTITUTE(SUBSTITUTE(SUBSTITUTE(LOWER(TRIM(H216)),"á","a"),"é","e"),"í","i"),"ó","o"),"ú","u"),"ü","u"),"ñ","n"),"à","a"),"è","e"),"ì","i"),"ò","o"),"ù","u"),"")</f>
        <v/>
      </c>
      <c r="V216" s="25">
        <f>IF(AND(Q216=1,L216&lt;&gt;""),SUBSTITUTE(SUBSTITUTE(SUBSTITUTE(SUBSTITUTE(SUBSTITUTE(SUBSTITUTE(SUBSTITUTE(SUBSTITUTE(SUBSTITUTE(SUBSTITUTE(SUBSTITUTE(SUBSTITUTE(LOWER(TRIM(L216)),"á","a"),"é","e"),"í","i"),"ó","o"),"ú","u"),"ü","u"),"ñ","n"),"à","a"),"è","e"),"ì","i"),"ò","o"),"ù","u"),"")</f>
        <v/>
      </c>
      <c r="W216" s="25">
        <f>IF(AND(Q216=1,I216&lt;&gt;""),SUBSTITUTE(SUBSTITUTE(SUBSTITUTE(SUBSTITUTE(SUBSTITUTE(SUBSTITUTE(SUBSTITUTE(SUBSTITUTE(SUBSTITUTE(SUBSTITUTE(SUBSTITUTE(SUBSTITUTE(LOWER(TRIM(I216)),"á","a"),"é","e"),"í","i"),"ó","o"),"ú","u"),"ü","u"),"ñ","n"),"à","a"),"è","e"),"ì","i"),"ò","o"),"ù","u"),"")</f>
        <v/>
      </c>
      <c r="X216" s="25">
        <f>IF(U216="","",IF(OR(U216="si, en la proxima tarea",U216="si, con cambios"),1,0))</f>
        <v/>
      </c>
      <c r="Y216" s="25">
        <f>IF(AND(Q216=1,A216&lt;&gt;""),IF(IFERROR(COUNTIFS(A$3:A216,"="&amp;SUBSTITUTE(SUBSTITUTE(SUBSTITUTE(A216,"~","~~"),"*","~*"),"?","~?"),Q$3:Q216,1),0)=1,MAX(Y$2:Y215)+1,""),"")</f>
        <v/>
      </c>
      <c r="Z216" s="25">
        <f>IF(Y216="","",COUNTIFS($A$3:$A$1002,"="&amp;SUBSTITUTE(SUBSTITUTE(SUBSTITUTE(A216,"~","~~"),"*","~*"),"?","~?"),$Q$3:$Q$1002,1)*10000-Y216)</f>
        <v/>
      </c>
    </row>
    <row r="217">
      <c r="A217">
        <f>IF(A$2=0,"",IFERROR(TRIM(INDEX('Pegar docentes'!$A$1:$BZ$1001,216,A$2)&amp;""),""))</f>
        <v/>
      </c>
      <c r="B217">
        <f>IF(B$2=0,"",IFERROR(TRIM(INDEX('Pegar docentes'!$A$1:$BZ$1001,216,B$2)&amp;""),""))</f>
        <v/>
      </c>
      <c r="C217">
        <f>IF(C$2=0,"",IFERROR(TRIM(INDEX('Pegar docentes'!$A$1:$BZ$1001,216,C$2)&amp;""),""))</f>
        <v/>
      </c>
      <c r="D217">
        <f>IF(D$2=0,"",IFERROR(TRIM(INDEX('Pegar docentes'!$A$1:$BZ$1001,216,D$2)&amp;""),""))</f>
        <v/>
      </c>
      <c r="E217">
        <f>IF(E$2=0,"",IFERROR(TRIM(INDEX('Pegar docentes'!$A$1:$BZ$1001,216,E$2)&amp;""),""))</f>
        <v/>
      </c>
      <c r="F217">
        <f>IF(F$2=0,"",IFERROR(TRIM(INDEX('Pegar docentes'!$A$1:$BZ$1001,216,F$2)&amp;""),""))</f>
        <v/>
      </c>
      <c r="G217">
        <f>IF(G$2=0,"",IFERROR(TRIM(INDEX('Pegar docentes'!$A$1:$BZ$1001,216,G$2)&amp;""),""))</f>
        <v/>
      </c>
      <c r="H217">
        <f>IF(H$2=0,"",IFERROR(TRIM(INDEX('Pegar docentes'!$A$1:$BZ$1001,216,H$2)&amp;""),""))</f>
        <v/>
      </c>
      <c r="I217">
        <f>IF(I$2=0,"",IFERROR(TRIM(INDEX('Pegar docentes'!$A$1:$BZ$1001,216,I$2)&amp;""),""))</f>
        <v/>
      </c>
      <c r="J217">
        <f>IF(J$2=0,"",IFERROR(TRIM(INDEX('Pegar docentes'!$A$1:$BZ$1001,216,J$2)&amp;""),""))</f>
        <v/>
      </c>
      <c r="K217">
        <f>IF(K$2=0,"",IFERROR(TRIM(INDEX('Pegar docentes'!$A$1:$BZ$1001,216,K$2)&amp;""),""))</f>
        <v/>
      </c>
      <c r="L217">
        <f>IF(L$2=0,"",IFERROR(TRIM(INDEX('Pegar docentes'!$A$1:$BZ$1001,216,L$2)&amp;""),""))</f>
        <v/>
      </c>
      <c r="M217">
        <f>IF(M$2=0,"",IFERROR(TRIM(INDEX('Pegar docentes'!$A$1:$BZ$1001,216,M$2)&amp;""),""))</f>
        <v/>
      </c>
      <c r="N217">
        <f>IF(N$2=0,"",IFERROR(TRIM(INDEX('Pegar docentes'!$A$1:$BZ$1001,216,N$2)&amp;""),""))</f>
        <v/>
      </c>
      <c r="O217">
        <f>IF(O$2=0,"",IFERROR(TRIM(INDEX('Pegar docentes'!$A$1:$BZ$1001,216,O$2)&amp;""),""))</f>
        <v/>
      </c>
      <c r="P217">
        <f>IF(P$2=0,"",IFERROR(TRIM(INDEX('Pegar docentes'!$A$1:$BZ$1001,216,P$2)&amp;""),""))</f>
        <v/>
      </c>
      <c r="Q217" s="25">
        <f>IF(OR(D217&lt;&gt;"",H217&lt;&gt;""),1,"")</f>
        <v/>
      </c>
      <c r="R217" s="25">
        <f>IF(Q217=1,IF(ISNUMBER(FIND("#"&amp;MID(D217,1,1)&amp;"#","#0#1#2#3#4#5#6#7#8#9#")),IF(ISNUMBER(FIND("#"&amp;MID(D217,2,1)&amp;"#","#0#1#2#3#4#5#6#7#8#9#")),IF(AND(VALUE(LEFT(D217,2))&gt;=1,VALUE(LEFT(D217,2))&lt;=5),VALUE(LEFT(D217,2)),""),IF(AND(VALUE(LEFT(D217,1))&gt;=1,VALUE(LEFT(D217,1))&lt;=5),VALUE(LEFT(D217,1)),"")),""),"")</f>
        <v/>
      </c>
      <c r="S217" s="25">
        <f>IF(AND(Q217=1,E217&lt;&gt;""),SUBSTITUTE(SUBSTITUTE(SUBSTITUTE(SUBSTITUTE(SUBSTITUTE(SUBSTITUTE(SUBSTITUTE(SUBSTITUTE(SUBSTITUTE(SUBSTITUTE(SUBSTITUTE(SUBSTITUTE(LOWER(TRIM(E217)),"á","a"),"é","e"),"í","i"),"ó","o"),"ú","u"),"ü","u"),"ñ","n"),"à","a"),"è","e"),"ì","i"),"ò","o"),"ù","u"),"")</f>
        <v/>
      </c>
      <c r="T217" s="25">
        <f>IF(AND(Q217=1,G217&lt;&gt;""),SUBSTITUTE(SUBSTITUTE(SUBSTITUTE(SUBSTITUTE(SUBSTITUTE(SUBSTITUTE(SUBSTITUTE(SUBSTITUTE(SUBSTITUTE(SUBSTITUTE(SUBSTITUTE(SUBSTITUTE(LOWER(TRIM(G217)),"á","a"),"é","e"),"í","i"),"ó","o"),"ú","u"),"ü","u"),"ñ","n"),"à","a"),"è","e"),"ì","i"),"ò","o"),"ù","u"),"")</f>
        <v/>
      </c>
      <c r="U217" s="25">
        <f>IF(AND(Q217=1,H217&lt;&gt;""),SUBSTITUTE(SUBSTITUTE(SUBSTITUTE(SUBSTITUTE(SUBSTITUTE(SUBSTITUTE(SUBSTITUTE(SUBSTITUTE(SUBSTITUTE(SUBSTITUTE(SUBSTITUTE(SUBSTITUTE(LOWER(TRIM(H217)),"á","a"),"é","e"),"í","i"),"ó","o"),"ú","u"),"ü","u"),"ñ","n"),"à","a"),"è","e"),"ì","i"),"ò","o"),"ù","u"),"")</f>
        <v/>
      </c>
      <c r="V217" s="25">
        <f>IF(AND(Q217=1,L217&lt;&gt;""),SUBSTITUTE(SUBSTITUTE(SUBSTITUTE(SUBSTITUTE(SUBSTITUTE(SUBSTITUTE(SUBSTITUTE(SUBSTITUTE(SUBSTITUTE(SUBSTITUTE(SUBSTITUTE(SUBSTITUTE(LOWER(TRIM(L217)),"á","a"),"é","e"),"í","i"),"ó","o"),"ú","u"),"ü","u"),"ñ","n"),"à","a"),"è","e"),"ì","i"),"ò","o"),"ù","u"),"")</f>
        <v/>
      </c>
      <c r="W217" s="25">
        <f>IF(AND(Q217=1,I217&lt;&gt;""),SUBSTITUTE(SUBSTITUTE(SUBSTITUTE(SUBSTITUTE(SUBSTITUTE(SUBSTITUTE(SUBSTITUTE(SUBSTITUTE(SUBSTITUTE(SUBSTITUTE(SUBSTITUTE(SUBSTITUTE(LOWER(TRIM(I217)),"á","a"),"é","e"),"í","i"),"ó","o"),"ú","u"),"ü","u"),"ñ","n"),"à","a"),"è","e"),"ì","i"),"ò","o"),"ù","u"),"")</f>
        <v/>
      </c>
      <c r="X217" s="25">
        <f>IF(U217="","",IF(OR(U217="si, en la proxima tarea",U217="si, con cambios"),1,0))</f>
        <v/>
      </c>
      <c r="Y217" s="25">
        <f>IF(AND(Q217=1,A217&lt;&gt;""),IF(IFERROR(COUNTIFS(A$3:A217,"="&amp;SUBSTITUTE(SUBSTITUTE(SUBSTITUTE(A217,"~","~~"),"*","~*"),"?","~?"),Q$3:Q217,1),0)=1,MAX(Y$2:Y216)+1,""),"")</f>
        <v/>
      </c>
      <c r="Z217" s="25">
        <f>IF(Y217="","",COUNTIFS($A$3:$A$1002,"="&amp;SUBSTITUTE(SUBSTITUTE(SUBSTITUTE(A217,"~","~~"),"*","~*"),"?","~?"),$Q$3:$Q$1002,1)*10000-Y217)</f>
        <v/>
      </c>
    </row>
    <row r="218">
      <c r="A218">
        <f>IF(A$2=0,"",IFERROR(TRIM(INDEX('Pegar docentes'!$A$1:$BZ$1001,217,A$2)&amp;""),""))</f>
        <v/>
      </c>
      <c r="B218">
        <f>IF(B$2=0,"",IFERROR(TRIM(INDEX('Pegar docentes'!$A$1:$BZ$1001,217,B$2)&amp;""),""))</f>
        <v/>
      </c>
      <c r="C218">
        <f>IF(C$2=0,"",IFERROR(TRIM(INDEX('Pegar docentes'!$A$1:$BZ$1001,217,C$2)&amp;""),""))</f>
        <v/>
      </c>
      <c r="D218">
        <f>IF(D$2=0,"",IFERROR(TRIM(INDEX('Pegar docentes'!$A$1:$BZ$1001,217,D$2)&amp;""),""))</f>
        <v/>
      </c>
      <c r="E218">
        <f>IF(E$2=0,"",IFERROR(TRIM(INDEX('Pegar docentes'!$A$1:$BZ$1001,217,E$2)&amp;""),""))</f>
        <v/>
      </c>
      <c r="F218">
        <f>IF(F$2=0,"",IFERROR(TRIM(INDEX('Pegar docentes'!$A$1:$BZ$1001,217,F$2)&amp;""),""))</f>
        <v/>
      </c>
      <c r="G218">
        <f>IF(G$2=0,"",IFERROR(TRIM(INDEX('Pegar docentes'!$A$1:$BZ$1001,217,G$2)&amp;""),""))</f>
        <v/>
      </c>
      <c r="H218">
        <f>IF(H$2=0,"",IFERROR(TRIM(INDEX('Pegar docentes'!$A$1:$BZ$1001,217,H$2)&amp;""),""))</f>
        <v/>
      </c>
      <c r="I218">
        <f>IF(I$2=0,"",IFERROR(TRIM(INDEX('Pegar docentes'!$A$1:$BZ$1001,217,I$2)&amp;""),""))</f>
        <v/>
      </c>
      <c r="J218">
        <f>IF(J$2=0,"",IFERROR(TRIM(INDEX('Pegar docentes'!$A$1:$BZ$1001,217,J$2)&amp;""),""))</f>
        <v/>
      </c>
      <c r="K218">
        <f>IF(K$2=0,"",IFERROR(TRIM(INDEX('Pegar docentes'!$A$1:$BZ$1001,217,K$2)&amp;""),""))</f>
        <v/>
      </c>
      <c r="L218">
        <f>IF(L$2=0,"",IFERROR(TRIM(INDEX('Pegar docentes'!$A$1:$BZ$1001,217,L$2)&amp;""),""))</f>
        <v/>
      </c>
      <c r="M218">
        <f>IF(M$2=0,"",IFERROR(TRIM(INDEX('Pegar docentes'!$A$1:$BZ$1001,217,M$2)&amp;""),""))</f>
        <v/>
      </c>
      <c r="N218">
        <f>IF(N$2=0,"",IFERROR(TRIM(INDEX('Pegar docentes'!$A$1:$BZ$1001,217,N$2)&amp;""),""))</f>
        <v/>
      </c>
      <c r="O218">
        <f>IF(O$2=0,"",IFERROR(TRIM(INDEX('Pegar docentes'!$A$1:$BZ$1001,217,O$2)&amp;""),""))</f>
        <v/>
      </c>
      <c r="P218">
        <f>IF(P$2=0,"",IFERROR(TRIM(INDEX('Pegar docentes'!$A$1:$BZ$1001,217,P$2)&amp;""),""))</f>
        <v/>
      </c>
      <c r="Q218" s="25">
        <f>IF(OR(D218&lt;&gt;"",H218&lt;&gt;""),1,"")</f>
        <v/>
      </c>
      <c r="R218" s="25">
        <f>IF(Q218=1,IF(ISNUMBER(FIND("#"&amp;MID(D218,1,1)&amp;"#","#0#1#2#3#4#5#6#7#8#9#")),IF(ISNUMBER(FIND("#"&amp;MID(D218,2,1)&amp;"#","#0#1#2#3#4#5#6#7#8#9#")),IF(AND(VALUE(LEFT(D218,2))&gt;=1,VALUE(LEFT(D218,2))&lt;=5),VALUE(LEFT(D218,2)),""),IF(AND(VALUE(LEFT(D218,1))&gt;=1,VALUE(LEFT(D218,1))&lt;=5),VALUE(LEFT(D218,1)),"")),""),"")</f>
        <v/>
      </c>
      <c r="S218" s="25">
        <f>IF(AND(Q218=1,E218&lt;&gt;""),SUBSTITUTE(SUBSTITUTE(SUBSTITUTE(SUBSTITUTE(SUBSTITUTE(SUBSTITUTE(SUBSTITUTE(SUBSTITUTE(SUBSTITUTE(SUBSTITUTE(SUBSTITUTE(SUBSTITUTE(LOWER(TRIM(E218)),"á","a"),"é","e"),"í","i"),"ó","o"),"ú","u"),"ü","u"),"ñ","n"),"à","a"),"è","e"),"ì","i"),"ò","o"),"ù","u"),"")</f>
        <v/>
      </c>
      <c r="T218" s="25">
        <f>IF(AND(Q218=1,G218&lt;&gt;""),SUBSTITUTE(SUBSTITUTE(SUBSTITUTE(SUBSTITUTE(SUBSTITUTE(SUBSTITUTE(SUBSTITUTE(SUBSTITUTE(SUBSTITUTE(SUBSTITUTE(SUBSTITUTE(SUBSTITUTE(LOWER(TRIM(G218)),"á","a"),"é","e"),"í","i"),"ó","o"),"ú","u"),"ü","u"),"ñ","n"),"à","a"),"è","e"),"ì","i"),"ò","o"),"ù","u"),"")</f>
        <v/>
      </c>
      <c r="U218" s="25">
        <f>IF(AND(Q218=1,H218&lt;&gt;""),SUBSTITUTE(SUBSTITUTE(SUBSTITUTE(SUBSTITUTE(SUBSTITUTE(SUBSTITUTE(SUBSTITUTE(SUBSTITUTE(SUBSTITUTE(SUBSTITUTE(SUBSTITUTE(SUBSTITUTE(LOWER(TRIM(H218)),"á","a"),"é","e"),"í","i"),"ó","o"),"ú","u"),"ü","u"),"ñ","n"),"à","a"),"è","e"),"ì","i"),"ò","o"),"ù","u"),"")</f>
        <v/>
      </c>
      <c r="V218" s="25">
        <f>IF(AND(Q218=1,L218&lt;&gt;""),SUBSTITUTE(SUBSTITUTE(SUBSTITUTE(SUBSTITUTE(SUBSTITUTE(SUBSTITUTE(SUBSTITUTE(SUBSTITUTE(SUBSTITUTE(SUBSTITUTE(SUBSTITUTE(SUBSTITUTE(LOWER(TRIM(L218)),"á","a"),"é","e"),"í","i"),"ó","o"),"ú","u"),"ü","u"),"ñ","n"),"à","a"),"è","e"),"ì","i"),"ò","o"),"ù","u"),"")</f>
        <v/>
      </c>
      <c r="W218" s="25">
        <f>IF(AND(Q218=1,I218&lt;&gt;""),SUBSTITUTE(SUBSTITUTE(SUBSTITUTE(SUBSTITUTE(SUBSTITUTE(SUBSTITUTE(SUBSTITUTE(SUBSTITUTE(SUBSTITUTE(SUBSTITUTE(SUBSTITUTE(SUBSTITUTE(LOWER(TRIM(I218)),"á","a"),"é","e"),"í","i"),"ó","o"),"ú","u"),"ü","u"),"ñ","n"),"à","a"),"è","e"),"ì","i"),"ò","o"),"ù","u"),"")</f>
        <v/>
      </c>
      <c r="X218" s="25">
        <f>IF(U218="","",IF(OR(U218="si, en la proxima tarea",U218="si, con cambios"),1,0))</f>
        <v/>
      </c>
      <c r="Y218" s="25">
        <f>IF(AND(Q218=1,A218&lt;&gt;""),IF(IFERROR(COUNTIFS(A$3:A218,"="&amp;SUBSTITUTE(SUBSTITUTE(SUBSTITUTE(A218,"~","~~"),"*","~*"),"?","~?"),Q$3:Q218,1),0)=1,MAX(Y$2:Y217)+1,""),"")</f>
        <v/>
      </c>
      <c r="Z218" s="25">
        <f>IF(Y218="","",COUNTIFS($A$3:$A$1002,"="&amp;SUBSTITUTE(SUBSTITUTE(SUBSTITUTE(A218,"~","~~"),"*","~*"),"?","~?"),$Q$3:$Q$1002,1)*10000-Y218)</f>
        <v/>
      </c>
    </row>
    <row r="219">
      <c r="A219">
        <f>IF(A$2=0,"",IFERROR(TRIM(INDEX('Pegar docentes'!$A$1:$BZ$1001,218,A$2)&amp;""),""))</f>
        <v/>
      </c>
      <c r="B219">
        <f>IF(B$2=0,"",IFERROR(TRIM(INDEX('Pegar docentes'!$A$1:$BZ$1001,218,B$2)&amp;""),""))</f>
        <v/>
      </c>
      <c r="C219">
        <f>IF(C$2=0,"",IFERROR(TRIM(INDEX('Pegar docentes'!$A$1:$BZ$1001,218,C$2)&amp;""),""))</f>
        <v/>
      </c>
      <c r="D219">
        <f>IF(D$2=0,"",IFERROR(TRIM(INDEX('Pegar docentes'!$A$1:$BZ$1001,218,D$2)&amp;""),""))</f>
        <v/>
      </c>
      <c r="E219">
        <f>IF(E$2=0,"",IFERROR(TRIM(INDEX('Pegar docentes'!$A$1:$BZ$1001,218,E$2)&amp;""),""))</f>
        <v/>
      </c>
      <c r="F219">
        <f>IF(F$2=0,"",IFERROR(TRIM(INDEX('Pegar docentes'!$A$1:$BZ$1001,218,F$2)&amp;""),""))</f>
        <v/>
      </c>
      <c r="G219">
        <f>IF(G$2=0,"",IFERROR(TRIM(INDEX('Pegar docentes'!$A$1:$BZ$1001,218,G$2)&amp;""),""))</f>
        <v/>
      </c>
      <c r="H219">
        <f>IF(H$2=0,"",IFERROR(TRIM(INDEX('Pegar docentes'!$A$1:$BZ$1001,218,H$2)&amp;""),""))</f>
        <v/>
      </c>
      <c r="I219">
        <f>IF(I$2=0,"",IFERROR(TRIM(INDEX('Pegar docentes'!$A$1:$BZ$1001,218,I$2)&amp;""),""))</f>
        <v/>
      </c>
      <c r="J219">
        <f>IF(J$2=0,"",IFERROR(TRIM(INDEX('Pegar docentes'!$A$1:$BZ$1001,218,J$2)&amp;""),""))</f>
        <v/>
      </c>
      <c r="K219">
        <f>IF(K$2=0,"",IFERROR(TRIM(INDEX('Pegar docentes'!$A$1:$BZ$1001,218,K$2)&amp;""),""))</f>
        <v/>
      </c>
      <c r="L219">
        <f>IF(L$2=0,"",IFERROR(TRIM(INDEX('Pegar docentes'!$A$1:$BZ$1001,218,L$2)&amp;""),""))</f>
        <v/>
      </c>
      <c r="M219">
        <f>IF(M$2=0,"",IFERROR(TRIM(INDEX('Pegar docentes'!$A$1:$BZ$1001,218,M$2)&amp;""),""))</f>
        <v/>
      </c>
      <c r="N219">
        <f>IF(N$2=0,"",IFERROR(TRIM(INDEX('Pegar docentes'!$A$1:$BZ$1001,218,N$2)&amp;""),""))</f>
        <v/>
      </c>
      <c r="O219">
        <f>IF(O$2=0,"",IFERROR(TRIM(INDEX('Pegar docentes'!$A$1:$BZ$1001,218,O$2)&amp;""),""))</f>
        <v/>
      </c>
      <c r="P219">
        <f>IF(P$2=0,"",IFERROR(TRIM(INDEX('Pegar docentes'!$A$1:$BZ$1001,218,P$2)&amp;""),""))</f>
        <v/>
      </c>
      <c r="Q219" s="25">
        <f>IF(OR(D219&lt;&gt;"",H219&lt;&gt;""),1,"")</f>
        <v/>
      </c>
      <c r="R219" s="25">
        <f>IF(Q219=1,IF(ISNUMBER(FIND("#"&amp;MID(D219,1,1)&amp;"#","#0#1#2#3#4#5#6#7#8#9#")),IF(ISNUMBER(FIND("#"&amp;MID(D219,2,1)&amp;"#","#0#1#2#3#4#5#6#7#8#9#")),IF(AND(VALUE(LEFT(D219,2))&gt;=1,VALUE(LEFT(D219,2))&lt;=5),VALUE(LEFT(D219,2)),""),IF(AND(VALUE(LEFT(D219,1))&gt;=1,VALUE(LEFT(D219,1))&lt;=5),VALUE(LEFT(D219,1)),"")),""),"")</f>
        <v/>
      </c>
      <c r="S219" s="25">
        <f>IF(AND(Q219=1,E219&lt;&gt;""),SUBSTITUTE(SUBSTITUTE(SUBSTITUTE(SUBSTITUTE(SUBSTITUTE(SUBSTITUTE(SUBSTITUTE(SUBSTITUTE(SUBSTITUTE(SUBSTITUTE(SUBSTITUTE(SUBSTITUTE(LOWER(TRIM(E219)),"á","a"),"é","e"),"í","i"),"ó","o"),"ú","u"),"ü","u"),"ñ","n"),"à","a"),"è","e"),"ì","i"),"ò","o"),"ù","u"),"")</f>
        <v/>
      </c>
      <c r="T219" s="25">
        <f>IF(AND(Q219=1,G219&lt;&gt;""),SUBSTITUTE(SUBSTITUTE(SUBSTITUTE(SUBSTITUTE(SUBSTITUTE(SUBSTITUTE(SUBSTITUTE(SUBSTITUTE(SUBSTITUTE(SUBSTITUTE(SUBSTITUTE(SUBSTITUTE(LOWER(TRIM(G219)),"á","a"),"é","e"),"í","i"),"ó","o"),"ú","u"),"ü","u"),"ñ","n"),"à","a"),"è","e"),"ì","i"),"ò","o"),"ù","u"),"")</f>
        <v/>
      </c>
      <c r="U219" s="25">
        <f>IF(AND(Q219=1,H219&lt;&gt;""),SUBSTITUTE(SUBSTITUTE(SUBSTITUTE(SUBSTITUTE(SUBSTITUTE(SUBSTITUTE(SUBSTITUTE(SUBSTITUTE(SUBSTITUTE(SUBSTITUTE(SUBSTITUTE(SUBSTITUTE(LOWER(TRIM(H219)),"á","a"),"é","e"),"í","i"),"ó","o"),"ú","u"),"ü","u"),"ñ","n"),"à","a"),"è","e"),"ì","i"),"ò","o"),"ù","u"),"")</f>
        <v/>
      </c>
      <c r="V219" s="25">
        <f>IF(AND(Q219=1,L219&lt;&gt;""),SUBSTITUTE(SUBSTITUTE(SUBSTITUTE(SUBSTITUTE(SUBSTITUTE(SUBSTITUTE(SUBSTITUTE(SUBSTITUTE(SUBSTITUTE(SUBSTITUTE(SUBSTITUTE(SUBSTITUTE(LOWER(TRIM(L219)),"á","a"),"é","e"),"í","i"),"ó","o"),"ú","u"),"ü","u"),"ñ","n"),"à","a"),"è","e"),"ì","i"),"ò","o"),"ù","u"),"")</f>
        <v/>
      </c>
      <c r="W219" s="25">
        <f>IF(AND(Q219=1,I219&lt;&gt;""),SUBSTITUTE(SUBSTITUTE(SUBSTITUTE(SUBSTITUTE(SUBSTITUTE(SUBSTITUTE(SUBSTITUTE(SUBSTITUTE(SUBSTITUTE(SUBSTITUTE(SUBSTITUTE(SUBSTITUTE(LOWER(TRIM(I219)),"á","a"),"é","e"),"í","i"),"ó","o"),"ú","u"),"ü","u"),"ñ","n"),"à","a"),"è","e"),"ì","i"),"ò","o"),"ù","u"),"")</f>
        <v/>
      </c>
      <c r="X219" s="25">
        <f>IF(U219="","",IF(OR(U219="si, en la proxima tarea",U219="si, con cambios"),1,0))</f>
        <v/>
      </c>
      <c r="Y219" s="25">
        <f>IF(AND(Q219=1,A219&lt;&gt;""),IF(IFERROR(COUNTIFS(A$3:A219,"="&amp;SUBSTITUTE(SUBSTITUTE(SUBSTITUTE(A219,"~","~~"),"*","~*"),"?","~?"),Q$3:Q219,1),0)=1,MAX(Y$2:Y218)+1,""),"")</f>
        <v/>
      </c>
      <c r="Z219" s="25">
        <f>IF(Y219="","",COUNTIFS($A$3:$A$1002,"="&amp;SUBSTITUTE(SUBSTITUTE(SUBSTITUTE(A219,"~","~~"),"*","~*"),"?","~?"),$Q$3:$Q$1002,1)*10000-Y219)</f>
        <v/>
      </c>
    </row>
    <row r="220">
      <c r="A220">
        <f>IF(A$2=0,"",IFERROR(TRIM(INDEX('Pegar docentes'!$A$1:$BZ$1001,219,A$2)&amp;""),""))</f>
        <v/>
      </c>
      <c r="B220">
        <f>IF(B$2=0,"",IFERROR(TRIM(INDEX('Pegar docentes'!$A$1:$BZ$1001,219,B$2)&amp;""),""))</f>
        <v/>
      </c>
      <c r="C220">
        <f>IF(C$2=0,"",IFERROR(TRIM(INDEX('Pegar docentes'!$A$1:$BZ$1001,219,C$2)&amp;""),""))</f>
        <v/>
      </c>
      <c r="D220">
        <f>IF(D$2=0,"",IFERROR(TRIM(INDEX('Pegar docentes'!$A$1:$BZ$1001,219,D$2)&amp;""),""))</f>
        <v/>
      </c>
      <c r="E220">
        <f>IF(E$2=0,"",IFERROR(TRIM(INDEX('Pegar docentes'!$A$1:$BZ$1001,219,E$2)&amp;""),""))</f>
        <v/>
      </c>
      <c r="F220">
        <f>IF(F$2=0,"",IFERROR(TRIM(INDEX('Pegar docentes'!$A$1:$BZ$1001,219,F$2)&amp;""),""))</f>
        <v/>
      </c>
      <c r="G220">
        <f>IF(G$2=0,"",IFERROR(TRIM(INDEX('Pegar docentes'!$A$1:$BZ$1001,219,G$2)&amp;""),""))</f>
        <v/>
      </c>
      <c r="H220">
        <f>IF(H$2=0,"",IFERROR(TRIM(INDEX('Pegar docentes'!$A$1:$BZ$1001,219,H$2)&amp;""),""))</f>
        <v/>
      </c>
      <c r="I220">
        <f>IF(I$2=0,"",IFERROR(TRIM(INDEX('Pegar docentes'!$A$1:$BZ$1001,219,I$2)&amp;""),""))</f>
        <v/>
      </c>
      <c r="J220">
        <f>IF(J$2=0,"",IFERROR(TRIM(INDEX('Pegar docentes'!$A$1:$BZ$1001,219,J$2)&amp;""),""))</f>
        <v/>
      </c>
      <c r="K220">
        <f>IF(K$2=0,"",IFERROR(TRIM(INDEX('Pegar docentes'!$A$1:$BZ$1001,219,K$2)&amp;""),""))</f>
        <v/>
      </c>
      <c r="L220">
        <f>IF(L$2=0,"",IFERROR(TRIM(INDEX('Pegar docentes'!$A$1:$BZ$1001,219,L$2)&amp;""),""))</f>
        <v/>
      </c>
      <c r="M220">
        <f>IF(M$2=0,"",IFERROR(TRIM(INDEX('Pegar docentes'!$A$1:$BZ$1001,219,M$2)&amp;""),""))</f>
        <v/>
      </c>
      <c r="N220">
        <f>IF(N$2=0,"",IFERROR(TRIM(INDEX('Pegar docentes'!$A$1:$BZ$1001,219,N$2)&amp;""),""))</f>
        <v/>
      </c>
      <c r="O220">
        <f>IF(O$2=0,"",IFERROR(TRIM(INDEX('Pegar docentes'!$A$1:$BZ$1001,219,O$2)&amp;""),""))</f>
        <v/>
      </c>
      <c r="P220">
        <f>IF(P$2=0,"",IFERROR(TRIM(INDEX('Pegar docentes'!$A$1:$BZ$1001,219,P$2)&amp;""),""))</f>
        <v/>
      </c>
      <c r="Q220" s="25">
        <f>IF(OR(D220&lt;&gt;"",H220&lt;&gt;""),1,"")</f>
        <v/>
      </c>
      <c r="R220" s="25">
        <f>IF(Q220=1,IF(ISNUMBER(FIND("#"&amp;MID(D220,1,1)&amp;"#","#0#1#2#3#4#5#6#7#8#9#")),IF(ISNUMBER(FIND("#"&amp;MID(D220,2,1)&amp;"#","#0#1#2#3#4#5#6#7#8#9#")),IF(AND(VALUE(LEFT(D220,2))&gt;=1,VALUE(LEFT(D220,2))&lt;=5),VALUE(LEFT(D220,2)),""),IF(AND(VALUE(LEFT(D220,1))&gt;=1,VALUE(LEFT(D220,1))&lt;=5),VALUE(LEFT(D220,1)),"")),""),"")</f>
        <v/>
      </c>
      <c r="S220" s="25">
        <f>IF(AND(Q220=1,E220&lt;&gt;""),SUBSTITUTE(SUBSTITUTE(SUBSTITUTE(SUBSTITUTE(SUBSTITUTE(SUBSTITUTE(SUBSTITUTE(SUBSTITUTE(SUBSTITUTE(SUBSTITUTE(SUBSTITUTE(SUBSTITUTE(LOWER(TRIM(E220)),"á","a"),"é","e"),"í","i"),"ó","o"),"ú","u"),"ü","u"),"ñ","n"),"à","a"),"è","e"),"ì","i"),"ò","o"),"ù","u"),"")</f>
        <v/>
      </c>
      <c r="T220" s="25">
        <f>IF(AND(Q220=1,G220&lt;&gt;""),SUBSTITUTE(SUBSTITUTE(SUBSTITUTE(SUBSTITUTE(SUBSTITUTE(SUBSTITUTE(SUBSTITUTE(SUBSTITUTE(SUBSTITUTE(SUBSTITUTE(SUBSTITUTE(SUBSTITUTE(LOWER(TRIM(G220)),"á","a"),"é","e"),"í","i"),"ó","o"),"ú","u"),"ü","u"),"ñ","n"),"à","a"),"è","e"),"ì","i"),"ò","o"),"ù","u"),"")</f>
        <v/>
      </c>
      <c r="U220" s="25">
        <f>IF(AND(Q220=1,H220&lt;&gt;""),SUBSTITUTE(SUBSTITUTE(SUBSTITUTE(SUBSTITUTE(SUBSTITUTE(SUBSTITUTE(SUBSTITUTE(SUBSTITUTE(SUBSTITUTE(SUBSTITUTE(SUBSTITUTE(SUBSTITUTE(LOWER(TRIM(H220)),"á","a"),"é","e"),"í","i"),"ó","o"),"ú","u"),"ü","u"),"ñ","n"),"à","a"),"è","e"),"ì","i"),"ò","o"),"ù","u"),"")</f>
        <v/>
      </c>
      <c r="V220" s="25">
        <f>IF(AND(Q220=1,L220&lt;&gt;""),SUBSTITUTE(SUBSTITUTE(SUBSTITUTE(SUBSTITUTE(SUBSTITUTE(SUBSTITUTE(SUBSTITUTE(SUBSTITUTE(SUBSTITUTE(SUBSTITUTE(SUBSTITUTE(SUBSTITUTE(LOWER(TRIM(L220)),"á","a"),"é","e"),"í","i"),"ó","o"),"ú","u"),"ü","u"),"ñ","n"),"à","a"),"è","e"),"ì","i"),"ò","o"),"ù","u"),"")</f>
        <v/>
      </c>
      <c r="W220" s="25">
        <f>IF(AND(Q220=1,I220&lt;&gt;""),SUBSTITUTE(SUBSTITUTE(SUBSTITUTE(SUBSTITUTE(SUBSTITUTE(SUBSTITUTE(SUBSTITUTE(SUBSTITUTE(SUBSTITUTE(SUBSTITUTE(SUBSTITUTE(SUBSTITUTE(LOWER(TRIM(I220)),"á","a"),"é","e"),"í","i"),"ó","o"),"ú","u"),"ü","u"),"ñ","n"),"à","a"),"è","e"),"ì","i"),"ò","o"),"ù","u"),"")</f>
        <v/>
      </c>
      <c r="X220" s="25">
        <f>IF(U220="","",IF(OR(U220="si, en la proxima tarea",U220="si, con cambios"),1,0))</f>
        <v/>
      </c>
      <c r="Y220" s="25">
        <f>IF(AND(Q220=1,A220&lt;&gt;""),IF(IFERROR(COUNTIFS(A$3:A220,"="&amp;SUBSTITUTE(SUBSTITUTE(SUBSTITUTE(A220,"~","~~"),"*","~*"),"?","~?"),Q$3:Q220,1),0)=1,MAX(Y$2:Y219)+1,""),"")</f>
        <v/>
      </c>
      <c r="Z220" s="25">
        <f>IF(Y220="","",COUNTIFS($A$3:$A$1002,"="&amp;SUBSTITUTE(SUBSTITUTE(SUBSTITUTE(A220,"~","~~"),"*","~*"),"?","~?"),$Q$3:$Q$1002,1)*10000-Y220)</f>
        <v/>
      </c>
    </row>
    <row r="221">
      <c r="A221">
        <f>IF(A$2=0,"",IFERROR(TRIM(INDEX('Pegar docentes'!$A$1:$BZ$1001,220,A$2)&amp;""),""))</f>
        <v/>
      </c>
      <c r="B221">
        <f>IF(B$2=0,"",IFERROR(TRIM(INDEX('Pegar docentes'!$A$1:$BZ$1001,220,B$2)&amp;""),""))</f>
        <v/>
      </c>
      <c r="C221">
        <f>IF(C$2=0,"",IFERROR(TRIM(INDEX('Pegar docentes'!$A$1:$BZ$1001,220,C$2)&amp;""),""))</f>
        <v/>
      </c>
      <c r="D221">
        <f>IF(D$2=0,"",IFERROR(TRIM(INDEX('Pegar docentes'!$A$1:$BZ$1001,220,D$2)&amp;""),""))</f>
        <v/>
      </c>
      <c r="E221">
        <f>IF(E$2=0,"",IFERROR(TRIM(INDEX('Pegar docentes'!$A$1:$BZ$1001,220,E$2)&amp;""),""))</f>
        <v/>
      </c>
      <c r="F221">
        <f>IF(F$2=0,"",IFERROR(TRIM(INDEX('Pegar docentes'!$A$1:$BZ$1001,220,F$2)&amp;""),""))</f>
        <v/>
      </c>
      <c r="G221">
        <f>IF(G$2=0,"",IFERROR(TRIM(INDEX('Pegar docentes'!$A$1:$BZ$1001,220,G$2)&amp;""),""))</f>
        <v/>
      </c>
      <c r="H221">
        <f>IF(H$2=0,"",IFERROR(TRIM(INDEX('Pegar docentes'!$A$1:$BZ$1001,220,H$2)&amp;""),""))</f>
        <v/>
      </c>
      <c r="I221">
        <f>IF(I$2=0,"",IFERROR(TRIM(INDEX('Pegar docentes'!$A$1:$BZ$1001,220,I$2)&amp;""),""))</f>
        <v/>
      </c>
      <c r="J221">
        <f>IF(J$2=0,"",IFERROR(TRIM(INDEX('Pegar docentes'!$A$1:$BZ$1001,220,J$2)&amp;""),""))</f>
        <v/>
      </c>
      <c r="K221">
        <f>IF(K$2=0,"",IFERROR(TRIM(INDEX('Pegar docentes'!$A$1:$BZ$1001,220,K$2)&amp;""),""))</f>
        <v/>
      </c>
      <c r="L221">
        <f>IF(L$2=0,"",IFERROR(TRIM(INDEX('Pegar docentes'!$A$1:$BZ$1001,220,L$2)&amp;""),""))</f>
        <v/>
      </c>
      <c r="M221">
        <f>IF(M$2=0,"",IFERROR(TRIM(INDEX('Pegar docentes'!$A$1:$BZ$1001,220,M$2)&amp;""),""))</f>
        <v/>
      </c>
      <c r="N221">
        <f>IF(N$2=0,"",IFERROR(TRIM(INDEX('Pegar docentes'!$A$1:$BZ$1001,220,N$2)&amp;""),""))</f>
        <v/>
      </c>
      <c r="O221">
        <f>IF(O$2=0,"",IFERROR(TRIM(INDEX('Pegar docentes'!$A$1:$BZ$1001,220,O$2)&amp;""),""))</f>
        <v/>
      </c>
      <c r="P221">
        <f>IF(P$2=0,"",IFERROR(TRIM(INDEX('Pegar docentes'!$A$1:$BZ$1001,220,P$2)&amp;""),""))</f>
        <v/>
      </c>
      <c r="Q221" s="25">
        <f>IF(OR(D221&lt;&gt;"",H221&lt;&gt;""),1,"")</f>
        <v/>
      </c>
      <c r="R221" s="25">
        <f>IF(Q221=1,IF(ISNUMBER(FIND("#"&amp;MID(D221,1,1)&amp;"#","#0#1#2#3#4#5#6#7#8#9#")),IF(ISNUMBER(FIND("#"&amp;MID(D221,2,1)&amp;"#","#0#1#2#3#4#5#6#7#8#9#")),IF(AND(VALUE(LEFT(D221,2))&gt;=1,VALUE(LEFT(D221,2))&lt;=5),VALUE(LEFT(D221,2)),""),IF(AND(VALUE(LEFT(D221,1))&gt;=1,VALUE(LEFT(D221,1))&lt;=5),VALUE(LEFT(D221,1)),"")),""),"")</f>
        <v/>
      </c>
      <c r="S221" s="25">
        <f>IF(AND(Q221=1,E221&lt;&gt;""),SUBSTITUTE(SUBSTITUTE(SUBSTITUTE(SUBSTITUTE(SUBSTITUTE(SUBSTITUTE(SUBSTITUTE(SUBSTITUTE(SUBSTITUTE(SUBSTITUTE(SUBSTITUTE(SUBSTITUTE(LOWER(TRIM(E221)),"á","a"),"é","e"),"í","i"),"ó","o"),"ú","u"),"ü","u"),"ñ","n"),"à","a"),"è","e"),"ì","i"),"ò","o"),"ù","u"),"")</f>
        <v/>
      </c>
      <c r="T221" s="25">
        <f>IF(AND(Q221=1,G221&lt;&gt;""),SUBSTITUTE(SUBSTITUTE(SUBSTITUTE(SUBSTITUTE(SUBSTITUTE(SUBSTITUTE(SUBSTITUTE(SUBSTITUTE(SUBSTITUTE(SUBSTITUTE(SUBSTITUTE(SUBSTITUTE(LOWER(TRIM(G221)),"á","a"),"é","e"),"í","i"),"ó","o"),"ú","u"),"ü","u"),"ñ","n"),"à","a"),"è","e"),"ì","i"),"ò","o"),"ù","u"),"")</f>
        <v/>
      </c>
      <c r="U221" s="25">
        <f>IF(AND(Q221=1,H221&lt;&gt;""),SUBSTITUTE(SUBSTITUTE(SUBSTITUTE(SUBSTITUTE(SUBSTITUTE(SUBSTITUTE(SUBSTITUTE(SUBSTITUTE(SUBSTITUTE(SUBSTITUTE(SUBSTITUTE(SUBSTITUTE(LOWER(TRIM(H221)),"á","a"),"é","e"),"í","i"),"ó","o"),"ú","u"),"ü","u"),"ñ","n"),"à","a"),"è","e"),"ì","i"),"ò","o"),"ù","u"),"")</f>
        <v/>
      </c>
      <c r="V221" s="25">
        <f>IF(AND(Q221=1,L221&lt;&gt;""),SUBSTITUTE(SUBSTITUTE(SUBSTITUTE(SUBSTITUTE(SUBSTITUTE(SUBSTITUTE(SUBSTITUTE(SUBSTITUTE(SUBSTITUTE(SUBSTITUTE(SUBSTITUTE(SUBSTITUTE(LOWER(TRIM(L221)),"á","a"),"é","e"),"í","i"),"ó","o"),"ú","u"),"ü","u"),"ñ","n"),"à","a"),"è","e"),"ì","i"),"ò","o"),"ù","u"),"")</f>
        <v/>
      </c>
      <c r="W221" s="25">
        <f>IF(AND(Q221=1,I221&lt;&gt;""),SUBSTITUTE(SUBSTITUTE(SUBSTITUTE(SUBSTITUTE(SUBSTITUTE(SUBSTITUTE(SUBSTITUTE(SUBSTITUTE(SUBSTITUTE(SUBSTITUTE(SUBSTITUTE(SUBSTITUTE(LOWER(TRIM(I221)),"á","a"),"é","e"),"í","i"),"ó","o"),"ú","u"),"ü","u"),"ñ","n"),"à","a"),"è","e"),"ì","i"),"ò","o"),"ù","u"),"")</f>
        <v/>
      </c>
      <c r="X221" s="25">
        <f>IF(U221="","",IF(OR(U221="si, en la proxima tarea",U221="si, con cambios"),1,0))</f>
        <v/>
      </c>
      <c r="Y221" s="25">
        <f>IF(AND(Q221=1,A221&lt;&gt;""),IF(IFERROR(COUNTIFS(A$3:A221,"="&amp;SUBSTITUTE(SUBSTITUTE(SUBSTITUTE(A221,"~","~~"),"*","~*"),"?","~?"),Q$3:Q221,1),0)=1,MAX(Y$2:Y220)+1,""),"")</f>
        <v/>
      </c>
      <c r="Z221" s="25">
        <f>IF(Y221="","",COUNTIFS($A$3:$A$1002,"="&amp;SUBSTITUTE(SUBSTITUTE(SUBSTITUTE(A221,"~","~~"),"*","~*"),"?","~?"),$Q$3:$Q$1002,1)*10000-Y221)</f>
        <v/>
      </c>
    </row>
    <row r="222">
      <c r="A222">
        <f>IF(A$2=0,"",IFERROR(TRIM(INDEX('Pegar docentes'!$A$1:$BZ$1001,221,A$2)&amp;""),""))</f>
        <v/>
      </c>
      <c r="B222">
        <f>IF(B$2=0,"",IFERROR(TRIM(INDEX('Pegar docentes'!$A$1:$BZ$1001,221,B$2)&amp;""),""))</f>
        <v/>
      </c>
      <c r="C222">
        <f>IF(C$2=0,"",IFERROR(TRIM(INDEX('Pegar docentes'!$A$1:$BZ$1001,221,C$2)&amp;""),""))</f>
        <v/>
      </c>
      <c r="D222">
        <f>IF(D$2=0,"",IFERROR(TRIM(INDEX('Pegar docentes'!$A$1:$BZ$1001,221,D$2)&amp;""),""))</f>
        <v/>
      </c>
      <c r="E222">
        <f>IF(E$2=0,"",IFERROR(TRIM(INDEX('Pegar docentes'!$A$1:$BZ$1001,221,E$2)&amp;""),""))</f>
        <v/>
      </c>
      <c r="F222">
        <f>IF(F$2=0,"",IFERROR(TRIM(INDEX('Pegar docentes'!$A$1:$BZ$1001,221,F$2)&amp;""),""))</f>
        <v/>
      </c>
      <c r="G222">
        <f>IF(G$2=0,"",IFERROR(TRIM(INDEX('Pegar docentes'!$A$1:$BZ$1001,221,G$2)&amp;""),""))</f>
        <v/>
      </c>
      <c r="H222">
        <f>IF(H$2=0,"",IFERROR(TRIM(INDEX('Pegar docentes'!$A$1:$BZ$1001,221,H$2)&amp;""),""))</f>
        <v/>
      </c>
      <c r="I222">
        <f>IF(I$2=0,"",IFERROR(TRIM(INDEX('Pegar docentes'!$A$1:$BZ$1001,221,I$2)&amp;""),""))</f>
        <v/>
      </c>
      <c r="J222">
        <f>IF(J$2=0,"",IFERROR(TRIM(INDEX('Pegar docentes'!$A$1:$BZ$1001,221,J$2)&amp;""),""))</f>
        <v/>
      </c>
      <c r="K222">
        <f>IF(K$2=0,"",IFERROR(TRIM(INDEX('Pegar docentes'!$A$1:$BZ$1001,221,K$2)&amp;""),""))</f>
        <v/>
      </c>
      <c r="L222">
        <f>IF(L$2=0,"",IFERROR(TRIM(INDEX('Pegar docentes'!$A$1:$BZ$1001,221,L$2)&amp;""),""))</f>
        <v/>
      </c>
      <c r="M222">
        <f>IF(M$2=0,"",IFERROR(TRIM(INDEX('Pegar docentes'!$A$1:$BZ$1001,221,M$2)&amp;""),""))</f>
        <v/>
      </c>
      <c r="N222">
        <f>IF(N$2=0,"",IFERROR(TRIM(INDEX('Pegar docentes'!$A$1:$BZ$1001,221,N$2)&amp;""),""))</f>
        <v/>
      </c>
      <c r="O222">
        <f>IF(O$2=0,"",IFERROR(TRIM(INDEX('Pegar docentes'!$A$1:$BZ$1001,221,O$2)&amp;""),""))</f>
        <v/>
      </c>
      <c r="P222">
        <f>IF(P$2=0,"",IFERROR(TRIM(INDEX('Pegar docentes'!$A$1:$BZ$1001,221,P$2)&amp;""),""))</f>
        <v/>
      </c>
      <c r="Q222" s="25">
        <f>IF(OR(D222&lt;&gt;"",H222&lt;&gt;""),1,"")</f>
        <v/>
      </c>
      <c r="R222" s="25">
        <f>IF(Q222=1,IF(ISNUMBER(FIND("#"&amp;MID(D222,1,1)&amp;"#","#0#1#2#3#4#5#6#7#8#9#")),IF(ISNUMBER(FIND("#"&amp;MID(D222,2,1)&amp;"#","#0#1#2#3#4#5#6#7#8#9#")),IF(AND(VALUE(LEFT(D222,2))&gt;=1,VALUE(LEFT(D222,2))&lt;=5),VALUE(LEFT(D222,2)),""),IF(AND(VALUE(LEFT(D222,1))&gt;=1,VALUE(LEFT(D222,1))&lt;=5),VALUE(LEFT(D222,1)),"")),""),"")</f>
        <v/>
      </c>
      <c r="S222" s="25">
        <f>IF(AND(Q222=1,E222&lt;&gt;""),SUBSTITUTE(SUBSTITUTE(SUBSTITUTE(SUBSTITUTE(SUBSTITUTE(SUBSTITUTE(SUBSTITUTE(SUBSTITUTE(SUBSTITUTE(SUBSTITUTE(SUBSTITUTE(SUBSTITUTE(LOWER(TRIM(E222)),"á","a"),"é","e"),"í","i"),"ó","o"),"ú","u"),"ü","u"),"ñ","n"),"à","a"),"è","e"),"ì","i"),"ò","o"),"ù","u"),"")</f>
        <v/>
      </c>
      <c r="T222" s="25">
        <f>IF(AND(Q222=1,G222&lt;&gt;""),SUBSTITUTE(SUBSTITUTE(SUBSTITUTE(SUBSTITUTE(SUBSTITUTE(SUBSTITUTE(SUBSTITUTE(SUBSTITUTE(SUBSTITUTE(SUBSTITUTE(SUBSTITUTE(SUBSTITUTE(LOWER(TRIM(G222)),"á","a"),"é","e"),"í","i"),"ó","o"),"ú","u"),"ü","u"),"ñ","n"),"à","a"),"è","e"),"ì","i"),"ò","o"),"ù","u"),"")</f>
        <v/>
      </c>
      <c r="U222" s="25">
        <f>IF(AND(Q222=1,H222&lt;&gt;""),SUBSTITUTE(SUBSTITUTE(SUBSTITUTE(SUBSTITUTE(SUBSTITUTE(SUBSTITUTE(SUBSTITUTE(SUBSTITUTE(SUBSTITUTE(SUBSTITUTE(SUBSTITUTE(SUBSTITUTE(LOWER(TRIM(H222)),"á","a"),"é","e"),"í","i"),"ó","o"),"ú","u"),"ü","u"),"ñ","n"),"à","a"),"è","e"),"ì","i"),"ò","o"),"ù","u"),"")</f>
        <v/>
      </c>
      <c r="V222" s="25">
        <f>IF(AND(Q222=1,L222&lt;&gt;""),SUBSTITUTE(SUBSTITUTE(SUBSTITUTE(SUBSTITUTE(SUBSTITUTE(SUBSTITUTE(SUBSTITUTE(SUBSTITUTE(SUBSTITUTE(SUBSTITUTE(SUBSTITUTE(SUBSTITUTE(LOWER(TRIM(L222)),"á","a"),"é","e"),"í","i"),"ó","o"),"ú","u"),"ü","u"),"ñ","n"),"à","a"),"è","e"),"ì","i"),"ò","o"),"ù","u"),"")</f>
        <v/>
      </c>
      <c r="W222" s="25">
        <f>IF(AND(Q222=1,I222&lt;&gt;""),SUBSTITUTE(SUBSTITUTE(SUBSTITUTE(SUBSTITUTE(SUBSTITUTE(SUBSTITUTE(SUBSTITUTE(SUBSTITUTE(SUBSTITUTE(SUBSTITUTE(SUBSTITUTE(SUBSTITUTE(LOWER(TRIM(I222)),"á","a"),"é","e"),"í","i"),"ó","o"),"ú","u"),"ü","u"),"ñ","n"),"à","a"),"è","e"),"ì","i"),"ò","o"),"ù","u"),"")</f>
        <v/>
      </c>
      <c r="X222" s="25">
        <f>IF(U222="","",IF(OR(U222="si, en la proxima tarea",U222="si, con cambios"),1,0))</f>
        <v/>
      </c>
      <c r="Y222" s="25">
        <f>IF(AND(Q222=1,A222&lt;&gt;""),IF(IFERROR(COUNTIFS(A$3:A222,"="&amp;SUBSTITUTE(SUBSTITUTE(SUBSTITUTE(A222,"~","~~"),"*","~*"),"?","~?"),Q$3:Q222,1),0)=1,MAX(Y$2:Y221)+1,""),"")</f>
        <v/>
      </c>
      <c r="Z222" s="25">
        <f>IF(Y222="","",COUNTIFS($A$3:$A$1002,"="&amp;SUBSTITUTE(SUBSTITUTE(SUBSTITUTE(A222,"~","~~"),"*","~*"),"?","~?"),$Q$3:$Q$1002,1)*10000-Y222)</f>
        <v/>
      </c>
    </row>
    <row r="223">
      <c r="A223">
        <f>IF(A$2=0,"",IFERROR(TRIM(INDEX('Pegar docentes'!$A$1:$BZ$1001,222,A$2)&amp;""),""))</f>
        <v/>
      </c>
      <c r="B223">
        <f>IF(B$2=0,"",IFERROR(TRIM(INDEX('Pegar docentes'!$A$1:$BZ$1001,222,B$2)&amp;""),""))</f>
        <v/>
      </c>
      <c r="C223">
        <f>IF(C$2=0,"",IFERROR(TRIM(INDEX('Pegar docentes'!$A$1:$BZ$1001,222,C$2)&amp;""),""))</f>
        <v/>
      </c>
      <c r="D223">
        <f>IF(D$2=0,"",IFERROR(TRIM(INDEX('Pegar docentes'!$A$1:$BZ$1001,222,D$2)&amp;""),""))</f>
        <v/>
      </c>
      <c r="E223">
        <f>IF(E$2=0,"",IFERROR(TRIM(INDEX('Pegar docentes'!$A$1:$BZ$1001,222,E$2)&amp;""),""))</f>
        <v/>
      </c>
      <c r="F223">
        <f>IF(F$2=0,"",IFERROR(TRIM(INDEX('Pegar docentes'!$A$1:$BZ$1001,222,F$2)&amp;""),""))</f>
        <v/>
      </c>
      <c r="G223">
        <f>IF(G$2=0,"",IFERROR(TRIM(INDEX('Pegar docentes'!$A$1:$BZ$1001,222,G$2)&amp;""),""))</f>
        <v/>
      </c>
      <c r="H223">
        <f>IF(H$2=0,"",IFERROR(TRIM(INDEX('Pegar docentes'!$A$1:$BZ$1001,222,H$2)&amp;""),""))</f>
        <v/>
      </c>
      <c r="I223">
        <f>IF(I$2=0,"",IFERROR(TRIM(INDEX('Pegar docentes'!$A$1:$BZ$1001,222,I$2)&amp;""),""))</f>
        <v/>
      </c>
      <c r="J223">
        <f>IF(J$2=0,"",IFERROR(TRIM(INDEX('Pegar docentes'!$A$1:$BZ$1001,222,J$2)&amp;""),""))</f>
        <v/>
      </c>
      <c r="K223">
        <f>IF(K$2=0,"",IFERROR(TRIM(INDEX('Pegar docentes'!$A$1:$BZ$1001,222,K$2)&amp;""),""))</f>
        <v/>
      </c>
      <c r="L223">
        <f>IF(L$2=0,"",IFERROR(TRIM(INDEX('Pegar docentes'!$A$1:$BZ$1001,222,L$2)&amp;""),""))</f>
        <v/>
      </c>
      <c r="M223">
        <f>IF(M$2=0,"",IFERROR(TRIM(INDEX('Pegar docentes'!$A$1:$BZ$1001,222,M$2)&amp;""),""))</f>
        <v/>
      </c>
      <c r="N223">
        <f>IF(N$2=0,"",IFERROR(TRIM(INDEX('Pegar docentes'!$A$1:$BZ$1001,222,N$2)&amp;""),""))</f>
        <v/>
      </c>
      <c r="O223">
        <f>IF(O$2=0,"",IFERROR(TRIM(INDEX('Pegar docentes'!$A$1:$BZ$1001,222,O$2)&amp;""),""))</f>
        <v/>
      </c>
      <c r="P223">
        <f>IF(P$2=0,"",IFERROR(TRIM(INDEX('Pegar docentes'!$A$1:$BZ$1001,222,P$2)&amp;""),""))</f>
        <v/>
      </c>
      <c r="Q223" s="25">
        <f>IF(OR(D223&lt;&gt;"",H223&lt;&gt;""),1,"")</f>
        <v/>
      </c>
      <c r="R223" s="25">
        <f>IF(Q223=1,IF(ISNUMBER(FIND("#"&amp;MID(D223,1,1)&amp;"#","#0#1#2#3#4#5#6#7#8#9#")),IF(ISNUMBER(FIND("#"&amp;MID(D223,2,1)&amp;"#","#0#1#2#3#4#5#6#7#8#9#")),IF(AND(VALUE(LEFT(D223,2))&gt;=1,VALUE(LEFT(D223,2))&lt;=5),VALUE(LEFT(D223,2)),""),IF(AND(VALUE(LEFT(D223,1))&gt;=1,VALUE(LEFT(D223,1))&lt;=5),VALUE(LEFT(D223,1)),"")),""),"")</f>
        <v/>
      </c>
      <c r="S223" s="25">
        <f>IF(AND(Q223=1,E223&lt;&gt;""),SUBSTITUTE(SUBSTITUTE(SUBSTITUTE(SUBSTITUTE(SUBSTITUTE(SUBSTITUTE(SUBSTITUTE(SUBSTITUTE(SUBSTITUTE(SUBSTITUTE(SUBSTITUTE(SUBSTITUTE(LOWER(TRIM(E223)),"á","a"),"é","e"),"í","i"),"ó","o"),"ú","u"),"ü","u"),"ñ","n"),"à","a"),"è","e"),"ì","i"),"ò","o"),"ù","u"),"")</f>
        <v/>
      </c>
      <c r="T223" s="25">
        <f>IF(AND(Q223=1,G223&lt;&gt;""),SUBSTITUTE(SUBSTITUTE(SUBSTITUTE(SUBSTITUTE(SUBSTITUTE(SUBSTITUTE(SUBSTITUTE(SUBSTITUTE(SUBSTITUTE(SUBSTITUTE(SUBSTITUTE(SUBSTITUTE(LOWER(TRIM(G223)),"á","a"),"é","e"),"í","i"),"ó","o"),"ú","u"),"ü","u"),"ñ","n"),"à","a"),"è","e"),"ì","i"),"ò","o"),"ù","u"),"")</f>
        <v/>
      </c>
      <c r="U223" s="25">
        <f>IF(AND(Q223=1,H223&lt;&gt;""),SUBSTITUTE(SUBSTITUTE(SUBSTITUTE(SUBSTITUTE(SUBSTITUTE(SUBSTITUTE(SUBSTITUTE(SUBSTITUTE(SUBSTITUTE(SUBSTITUTE(SUBSTITUTE(SUBSTITUTE(LOWER(TRIM(H223)),"á","a"),"é","e"),"í","i"),"ó","o"),"ú","u"),"ü","u"),"ñ","n"),"à","a"),"è","e"),"ì","i"),"ò","o"),"ù","u"),"")</f>
        <v/>
      </c>
      <c r="V223" s="25">
        <f>IF(AND(Q223=1,L223&lt;&gt;""),SUBSTITUTE(SUBSTITUTE(SUBSTITUTE(SUBSTITUTE(SUBSTITUTE(SUBSTITUTE(SUBSTITUTE(SUBSTITUTE(SUBSTITUTE(SUBSTITUTE(SUBSTITUTE(SUBSTITUTE(LOWER(TRIM(L223)),"á","a"),"é","e"),"í","i"),"ó","o"),"ú","u"),"ü","u"),"ñ","n"),"à","a"),"è","e"),"ì","i"),"ò","o"),"ù","u"),"")</f>
        <v/>
      </c>
      <c r="W223" s="25">
        <f>IF(AND(Q223=1,I223&lt;&gt;""),SUBSTITUTE(SUBSTITUTE(SUBSTITUTE(SUBSTITUTE(SUBSTITUTE(SUBSTITUTE(SUBSTITUTE(SUBSTITUTE(SUBSTITUTE(SUBSTITUTE(SUBSTITUTE(SUBSTITUTE(LOWER(TRIM(I223)),"á","a"),"é","e"),"í","i"),"ó","o"),"ú","u"),"ü","u"),"ñ","n"),"à","a"),"è","e"),"ì","i"),"ò","o"),"ù","u"),"")</f>
        <v/>
      </c>
      <c r="X223" s="25">
        <f>IF(U223="","",IF(OR(U223="si, en la proxima tarea",U223="si, con cambios"),1,0))</f>
        <v/>
      </c>
      <c r="Y223" s="25">
        <f>IF(AND(Q223=1,A223&lt;&gt;""),IF(IFERROR(COUNTIFS(A$3:A223,"="&amp;SUBSTITUTE(SUBSTITUTE(SUBSTITUTE(A223,"~","~~"),"*","~*"),"?","~?"),Q$3:Q223,1),0)=1,MAX(Y$2:Y222)+1,""),"")</f>
        <v/>
      </c>
      <c r="Z223" s="25">
        <f>IF(Y223="","",COUNTIFS($A$3:$A$1002,"="&amp;SUBSTITUTE(SUBSTITUTE(SUBSTITUTE(A223,"~","~~"),"*","~*"),"?","~?"),$Q$3:$Q$1002,1)*10000-Y223)</f>
        <v/>
      </c>
    </row>
    <row r="224">
      <c r="A224">
        <f>IF(A$2=0,"",IFERROR(TRIM(INDEX('Pegar docentes'!$A$1:$BZ$1001,223,A$2)&amp;""),""))</f>
        <v/>
      </c>
      <c r="B224">
        <f>IF(B$2=0,"",IFERROR(TRIM(INDEX('Pegar docentes'!$A$1:$BZ$1001,223,B$2)&amp;""),""))</f>
        <v/>
      </c>
      <c r="C224">
        <f>IF(C$2=0,"",IFERROR(TRIM(INDEX('Pegar docentes'!$A$1:$BZ$1001,223,C$2)&amp;""),""))</f>
        <v/>
      </c>
      <c r="D224">
        <f>IF(D$2=0,"",IFERROR(TRIM(INDEX('Pegar docentes'!$A$1:$BZ$1001,223,D$2)&amp;""),""))</f>
        <v/>
      </c>
      <c r="E224">
        <f>IF(E$2=0,"",IFERROR(TRIM(INDEX('Pegar docentes'!$A$1:$BZ$1001,223,E$2)&amp;""),""))</f>
        <v/>
      </c>
      <c r="F224">
        <f>IF(F$2=0,"",IFERROR(TRIM(INDEX('Pegar docentes'!$A$1:$BZ$1001,223,F$2)&amp;""),""))</f>
        <v/>
      </c>
      <c r="G224">
        <f>IF(G$2=0,"",IFERROR(TRIM(INDEX('Pegar docentes'!$A$1:$BZ$1001,223,G$2)&amp;""),""))</f>
        <v/>
      </c>
      <c r="H224">
        <f>IF(H$2=0,"",IFERROR(TRIM(INDEX('Pegar docentes'!$A$1:$BZ$1001,223,H$2)&amp;""),""))</f>
        <v/>
      </c>
      <c r="I224">
        <f>IF(I$2=0,"",IFERROR(TRIM(INDEX('Pegar docentes'!$A$1:$BZ$1001,223,I$2)&amp;""),""))</f>
        <v/>
      </c>
      <c r="J224">
        <f>IF(J$2=0,"",IFERROR(TRIM(INDEX('Pegar docentes'!$A$1:$BZ$1001,223,J$2)&amp;""),""))</f>
        <v/>
      </c>
      <c r="K224">
        <f>IF(K$2=0,"",IFERROR(TRIM(INDEX('Pegar docentes'!$A$1:$BZ$1001,223,K$2)&amp;""),""))</f>
        <v/>
      </c>
      <c r="L224">
        <f>IF(L$2=0,"",IFERROR(TRIM(INDEX('Pegar docentes'!$A$1:$BZ$1001,223,L$2)&amp;""),""))</f>
        <v/>
      </c>
      <c r="M224">
        <f>IF(M$2=0,"",IFERROR(TRIM(INDEX('Pegar docentes'!$A$1:$BZ$1001,223,M$2)&amp;""),""))</f>
        <v/>
      </c>
      <c r="N224">
        <f>IF(N$2=0,"",IFERROR(TRIM(INDEX('Pegar docentes'!$A$1:$BZ$1001,223,N$2)&amp;""),""))</f>
        <v/>
      </c>
      <c r="O224">
        <f>IF(O$2=0,"",IFERROR(TRIM(INDEX('Pegar docentes'!$A$1:$BZ$1001,223,O$2)&amp;""),""))</f>
        <v/>
      </c>
      <c r="P224">
        <f>IF(P$2=0,"",IFERROR(TRIM(INDEX('Pegar docentes'!$A$1:$BZ$1001,223,P$2)&amp;""),""))</f>
        <v/>
      </c>
      <c r="Q224" s="25">
        <f>IF(OR(D224&lt;&gt;"",H224&lt;&gt;""),1,"")</f>
        <v/>
      </c>
      <c r="R224" s="25">
        <f>IF(Q224=1,IF(ISNUMBER(FIND("#"&amp;MID(D224,1,1)&amp;"#","#0#1#2#3#4#5#6#7#8#9#")),IF(ISNUMBER(FIND("#"&amp;MID(D224,2,1)&amp;"#","#0#1#2#3#4#5#6#7#8#9#")),IF(AND(VALUE(LEFT(D224,2))&gt;=1,VALUE(LEFT(D224,2))&lt;=5),VALUE(LEFT(D224,2)),""),IF(AND(VALUE(LEFT(D224,1))&gt;=1,VALUE(LEFT(D224,1))&lt;=5),VALUE(LEFT(D224,1)),"")),""),"")</f>
        <v/>
      </c>
      <c r="S224" s="25">
        <f>IF(AND(Q224=1,E224&lt;&gt;""),SUBSTITUTE(SUBSTITUTE(SUBSTITUTE(SUBSTITUTE(SUBSTITUTE(SUBSTITUTE(SUBSTITUTE(SUBSTITUTE(SUBSTITUTE(SUBSTITUTE(SUBSTITUTE(SUBSTITUTE(LOWER(TRIM(E224)),"á","a"),"é","e"),"í","i"),"ó","o"),"ú","u"),"ü","u"),"ñ","n"),"à","a"),"è","e"),"ì","i"),"ò","o"),"ù","u"),"")</f>
        <v/>
      </c>
      <c r="T224" s="25">
        <f>IF(AND(Q224=1,G224&lt;&gt;""),SUBSTITUTE(SUBSTITUTE(SUBSTITUTE(SUBSTITUTE(SUBSTITUTE(SUBSTITUTE(SUBSTITUTE(SUBSTITUTE(SUBSTITUTE(SUBSTITUTE(SUBSTITUTE(SUBSTITUTE(LOWER(TRIM(G224)),"á","a"),"é","e"),"í","i"),"ó","o"),"ú","u"),"ü","u"),"ñ","n"),"à","a"),"è","e"),"ì","i"),"ò","o"),"ù","u"),"")</f>
        <v/>
      </c>
      <c r="U224" s="25">
        <f>IF(AND(Q224=1,H224&lt;&gt;""),SUBSTITUTE(SUBSTITUTE(SUBSTITUTE(SUBSTITUTE(SUBSTITUTE(SUBSTITUTE(SUBSTITUTE(SUBSTITUTE(SUBSTITUTE(SUBSTITUTE(SUBSTITUTE(SUBSTITUTE(LOWER(TRIM(H224)),"á","a"),"é","e"),"í","i"),"ó","o"),"ú","u"),"ü","u"),"ñ","n"),"à","a"),"è","e"),"ì","i"),"ò","o"),"ù","u"),"")</f>
        <v/>
      </c>
      <c r="V224" s="25">
        <f>IF(AND(Q224=1,L224&lt;&gt;""),SUBSTITUTE(SUBSTITUTE(SUBSTITUTE(SUBSTITUTE(SUBSTITUTE(SUBSTITUTE(SUBSTITUTE(SUBSTITUTE(SUBSTITUTE(SUBSTITUTE(SUBSTITUTE(SUBSTITUTE(LOWER(TRIM(L224)),"á","a"),"é","e"),"í","i"),"ó","o"),"ú","u"),"ü","u"),"ñ","n"),"à","a"),"è","e"),"ì","i"),"ò","o"),"ù","u"),"")</f>
        <v/>
      </c>
      <c r="W224" s="25">
        <f>IF(AND(Q224=1,I224&lt;&gt;""),SUBSTITUTE(SUBSTITUTE(SUBSTITUTE(SUBSTITUTE(SUBSTITUTE(SUBSTITUTE(SUBSTITUTE(SUBSTITUTE(SUBSTITUTE(SUBSTITUTE(SUBSTITUTE(SUBSTITUTE(LOWER(TRIM(I224)),"á","a"),"é","e"),"í","i"),"ó","o"),"ú","u"),"ü","u"),"ñ","n"),"à","a"),"è","e"),"ì","i"),"ò","o"),"ù","u"),"")</f>
        <v/>
      </c>
      <c r="X224" s="25">
        <f>IF(U224="","",IF(OR(U224="si, en la proxima tarea",U224="si, con cambios"),1,0))</f>
        <v/>
      </c>
      <c r="Y224" s="25">
        <f>IF(AND(Q224=1,A224&lt;&gt;""),IF(IFERROR(COUNTIFS(A$3:A224,"="&amp;SUBSTITUTE(SUBSTITUTE(SUBSTITUTE(A224,"~","~~"),"*","~*"),"?","~?"),Q$3:Q224,1),0)=1,MAX(Y$2:Y223)+1,""),"")</f>
        <v/>
      </c>
      <c r="Z224" s="25">
        <f>IF(Y224="","",COUNTIFS($A$3:$A$1002,"="&amp;SUBSTITUTE(SUBSTITUTE(SUBSTITUTE(A224,"~","~~"),"*","~*"),"?","~?"),$Q$3:$Q$1002,1)*10000-Y224)</f>
        <v/>
      </c>
    </row>
    <row r="225">
      <c r="A225">
        <f>IF(A$2=0,"",IFERROR(TRIM(INDEX('Pegar docentes'!$A$1:$BZ$1001,224,A$2)&amp;""),""))</f>
        <v/>
      </c>
      <c r="B225">
        <f>IF(B$2=0,"",IFERROR(TRIM(INDEX('Pegar docentes'!$A$1:$BZ$1001,224,B$2)&amp;""),""))</f>
        <v/>
      </c>
      <c r="C225">
        <f>IF(C$2=0,"",IFERROR(TRIM(INDEX('Pegar docentes'!$A$1:$BZ$1001,224,C$2)&amp;""),""))</f>
        <v/>
      </c>
      <c r="D225">
        <f>IF(D$2=0,"",IFERROR(TRIM(INDEX('Pegar docentes'!$A$1:$BZ$1001,224,D$2)&amp;""),""))</f>
        <v/>
      </c>
      <c r="E225">
        <f>IF(E$2=0,"",IFERROR(TRIM(INDEX('Pegar docentes'!$A$1:$BZ$1001,224,E$2)&amp;""),""))</f>
        <v/>
      </c>
      <c r="F225">
        <f>IF(F$2=0,"",IFERROR(TRIM(INDEX('Pegar docentes'!$A$1:$BZ$1001,224,F$2)&amp;""),""))</f>
        <v/>
      </c>
      <c r="G225">
        <f>IF(G$2=0,"",IFERROR(TRIM(INDEX('Pegar docentes'!$A$1:$BZ$1001,224,G$2)&amp;""),""))</f>
        <v/>
      </c>
      <c r="H225">
        <f>IF(H$2=0,"",IFERROR(TRIM(INDEX('Pegar docentes'!$A$1:$BZ$1001,224,H$2)&amp;""),""))</f>
        <v/>
      </c>
      <c r="I225">
        <f>IF(I$2=0,"",IFERROR(TRIM(INDEX('Pegar docentes'!$A$1:$BZ$1001,224,I$2)&amp;""),""))</f>
        <v/>
      </c>
      <c r="J225">
        <f>IF(J$2=0,"",IFERROR(TRIM(INDEX('Pegar docentes'!$A$1:$BZ$1001,224,J$2)&amp;""),""))</f>
        <v/>
      </c>
      <c r="K225">
        <f>IF(K$2=0,"",IFERROR(TRIM(INDEX('Pegar docentes'!$A$1:$BZ$1001,224,K$2)&amp;""),""))</f>
        <v/>
      </c>
      <c r="L225">
        <f>IF(L$2=0,"",IFERROR(TRIM(INDEX('Pegar docentes'!$A$1:$BZ$1001,224,L$2)&amp;""),""))</f>
        <v/>
      </c>
      <c r="M225">
        <f>IF(M$2=0,"",IFERROR(TRIM(INDEX('Pegar docentes'!$A$1:$BZ$1001,224,M$2)&amp;""),""))</f>
        <v/>
      </c>
      <c r="N225">
        <f>IF(N$2=0,"",IFERROR(TRIM(INDEX('Pegar docentes'!$A$1:$BZ$1001,224,N$2)&amp;""),""))</f>
        <v/>
      </c>
      <c r="O225">
        <f>IF(O$2=0,"",IFERROR(TRIM(INDEX('Pegar docentes'!$A$1:$BZ$1001,224,O$2)&amp;""),""))</f>
        <v/>
      </c>
      <c r="P225">
        <f>IF(P$2=0,"",IFERROR(TRIM(INDEX('Pegar docentes'!$A$1:$BZ$1001,224,P$2)&amp;""),""))</f>
        <v/>
      </c>
      <c r="Q225" s="25">
        <f>IF(OR(D225&lt;&gt;"",H225&lt;&gt;""),1,"")</f>
        <v/>
      </c>
      <c r="R225" s="25">
        <f>IF(Q225=1,IF(ISNUMBER(FIND("#"&amp;MID(D225,1,1)&amp;"#","#0#1#2#3#4#5#6#7#8#9#")),IF(ISNUMBER(FIND("#"&amp;MID(D225,2,1)&amp;"#","#0#1#2#3#4#5#6#7#8#9#")),IF(AND(VALUE(LEFT(D225,2))&gt;=1,VALUE(LEFT(D225,2))&lt;=5),VALUE(LEFT(D225,2)),""),IF(AND(VALUE(LEFT(D225,1))&gt;=1,VALUE(LEFT(D225,1))&lt;=5),VALUE(LEFT(D225,1)),"")),""),"")</f>
        <v/>
      </c>
      <c r="S225" s="25">
        <f>IF(AND(Q225=1,E225&lt;&gt;""),SUBSTITUTE(SUBSTITUTE(SUBSTITUTE(SUBSTITUTE(SUBSTITUTE(SUBSTITUTE(SUBSTITUTE(SUBSTITUTE(SUBSTITUTE(SUBSTITUTE(SUBSTITUTE(SUBSTITUTE(LOWER(TRIM(E225)),"á","a"),"é","e"),"í","i"),"ó","o"),"ú","u"),"ü","u"),"ñ","n"),"à","a"),"è","e"),"ì","i"),"ò","o"),"ù","u"),"")</f>
        <v/>
      </c>
      <c r="T225" s="25">
        <f>IF(AND(Q225=1,G225&lt;&gt;""),SUBSTITUTE(SUBSTITUTE(SUBSTITUTE(SUBSTITUTE(SUBSTITUTE(SUBSTITUTE(SUBSTITUTE(SUBSTITUTE(SUBSTITUTE(SUBSTITUTE(SUBSTITUTE(SUBSTITUTE(LOWER(TRIM(G225)),"á","a"),"é","e"),"í","i"),"ó","o"),"ú","u"),"ü","u"),"ñ","n"),"à","a"),"è","e"),"ì","i"),"ò","o"),"ù","u"),"")</f>
        <v/>
      </c>
      <c r="U225" s="25">
        <f>IF(AND(Q225=1,H225&lt;&gt;""),SUBSTITUTE(SUBSTITUTE(SUBSTITUTE(SUBSTITUTE(SUBSTITUTE(SUBSTITUTE(SUBSTITUTE(SUBSTITUTE(SUBSTITUTE(SUBSTITUTE(SUBSTITUTE(SUBSTITUTE(LOWER(TRIM(H225)),"á","a"),"é","e"),"í","i"),"ó","o"),"ú","u"),"ü","u"),"ñ","n"),"à","a"),"è","e"),"ì","i"),"ò","o"),"ù","u"),"")</f>
        <v/>
      </c>
      <c r="V225" s="25">
        <f>IF(AND(Q225=1,L225&lt;&gt;""),SUBSTITUTE(SUBSTITUTE(SUBSTITUTE(SUBSTITUTE(SUBSTITUTE(SUBSTITUTE(SUBSTITUTE(SUBSTITUTE(SUBSTITUTE(SUBSTITUTE(SUBSTITUTE(SUBSTITUTE(LOWER(TRIM(L225)),"á","a"),"é","e"),"í","i"),"ó","o"),"ú","u"),"ü","u"),"ñ","n"),"à","a"),"è","e"),"ì","i"),"ò","o"),"ù","u"),"")</f>
        <v/>
      </c>
      <c r="W225" s="25">
        <f>IF(AND(Q225=1,I225&lt;&gt;""),SUBSTITUTE(SUBSTITUTE(SUBSTITUTE(SUBSTITUTE(SUBSTITUTE(SUBSTITUTE(SUBSTITUTE(SUBSTITUTE(SUBSTITUTE(SUBSTITUTE(SUBSTITUTE(SUBSTITUTE(LOWER(TRIM(I225)),"á","a"),"é","e"),"í","i"),"ó","o"),"ú","u"),"ü","u"),"ñ","n"),"à","a"),"è","e"),"ì","i"),"ò","o"),"ù","u"),"")</f>
        <v/>
      </c>
      <c r="X225" s="25">
        <f>IF(U225="","",IF(OR(U225="si, en la proxima tarea",U225="si, con cambios"),1,0))</f>
        <v/>
      </c>
      <c r="Y225" s="25">
        <f>IF(AND(Q225=1,A225&lt;&gt;""),IF(IFERROR(COUNTIFS(A$3:A225,"="&amp;SUBSTITUTE(SUBSTITUTE(SUBSTITUTE(A225,"~","~~"),"*","~*"),"?","~?"),Q$3:Q225,1),0)=1,MAX(Y$2:Y224)+1,""),"")</f>
        <v/>
      </c>
      <c r="Z225" s="25">
        <f>IF(Y225="","",COUNTIFS($A$3:$A$1002,"="&amp;SUBSTITUTE(SUBSTITUTE(SUBSTITUTE(A225,"~","~~"),"*","~*"),"?","~?"),$Q$3:$Q$1002,1)*10000-Y225)</f>
        <v/>
      </c>
    </row>
    <row r="226">
      <c r="A226">
        <f>IF(A$2=0,"",IFERROR(TRIM(INDEX('Pegar docentes'!$A$1:$BZ$1001,225,A$2)&amp;""),""))</f>
        <v/>
      </c>
      <c r="B226">
        <f>IF(B$2=0,"",IFERROR(TRIM(INDEX('Pegar docentes'!$A$1:$BZ$1001,225,B$2)&amp;""),""))</f>
        <v/>
      </c>
      <c r="C226">
        <f>IF(C$2=0,"",IFERROR(TRIM(INDEX('Pegar docentes'!$A$1:$BZ$1001,225,C$2)&amp;""),""))</f>
        <v/>
      </c>
      <c r="D226">
        <f>IF(D$2=0,"",IFERROR(TRIM(INDEX('Pegar docentes'!$A$1:$BZ$1001,225,D$2)&amp;""),""))</f>
        <v/>
      </c>
      <c r="E226">
        <f>IF(E$2=0,"",IFERROR(TRIM(INDEX('Pegar docentes'!$A$1:$BZ$1001,225,E$2)&amp;""),""))</f>
        <v/>
      </c>
      <c r="F226">
        <f>IF(F$2=0,"",IFERROR(TRIM(INDEX('Pegar docentes'!$A$1:$BZ$1001,225,F$2)&amp;""),""))</f>
        <v/>
      </c>
      <c r="G226">
        <f>IF(G$2=0,"",IFERROR(TRIM(INDEX('Pegar docentes'!$A$1:$BZ$1001,225,G$2)&amp;""),""))</f>
        <v/>
      </c>
      <c r="H226">
        <f>IF(H$2=0,"",IFERROR(TRIM(INDEX('Pegar docentes'!$A$1:$BZ$1001,225,H$2)&amp;""),""))</f>
        <v/>
      </c>
      <c r="I226">
        <f>IF(I$2=0,"",IFERROR(TRIM(INDEX('Pegar docentes'!$A$1:$BZ$1001,225,I$2)&amp;""),""))</f>
        <v/>
      </c>
      <c r="J226">
        <f>IF(J$2=0,"",IFERROR(TRIM(INDEX('Pegar docentes'!$A$1:$BZ$1001,225,J$2)&amp;""),""))</f>
        <v/>
      </c>
      <c r="K226">
        <f>IF(K$2=0,"",IFERROR(TRIM(INDEX('Pegar docentes'!$A$1:$BZ$1001,225,K$2)&amp;""),""))</f>
        <v/>
      </c>
      <c r="L226">
        <f>IF(L$2=0,"",IFERROR(TRIM(INDEX('Pegar docentes'!$A$1:$BZ$1001,225,L$2)&amp;""),""))</f>
        <v/>
      </c>
      <c r="M226">
        <f>IF(M$2=0,"",IFERROR(TRIM(INDEX('Pegar docentes'!$A$1:$BZ$1001,225,M$2)&amp;""),""))</f>
        <v/>
      </c>
      <c r="N226">
        <f>IF(N$2=0,"",IFERROR(TRIM(INDEX('Pegar docentes'!$A$1:$BZ$1001,225,N$2)&amp;""),""))</f>
        <v/>
      </c>
      <c r="O226">
        <f>IF(O$2=0,"",IFERROR(TRIM(INDEX('Pegar docentes'!$A$1:$BZ$1001,225,O$2)&amp;""),""))</f>
        <v/>
      </c>
      <c r="P226">
        <f>IF(P$2=0,"",IFERROR(TRIM(INDEX('Pegar docentes'!$A$1:$BZ$1001,225,P$2)&amp;""),""))</f>
        <v/>
      </c>
      <c r="Q226" s="25">
        <f>IF(OR(D226&lt;&gt;"",H226&lt;&gt;""),1,"")</f>
        <v/>
      </c>
      <c r="R226" s="25">
        <f>IF(Q226=1,IF(ISNUMBER(FIND("#"&amp;MID(D226,1,1)&amp;"#","#0#1#2#3#4#5#6#7#8#9#")),IF(ISNUMBER(FIND("#"&amp;MID(D226,2,1)&amp;"#","#0#1#2#3#4#5#6#7#8#9#")),IF(AND(VALUE(LEFT(D226,2))&gt;=1,VALUE(LEFT(D226,2))&lt;=5),VALUE(LEFT(D226,2)),""),IF(AND(VALUE(LEFT(D226,1))&gt;=1,VALUE(LEFT(D226,1))&lt;=5),VALUE(LEFT(D226,1)),"")),""),"")</f>
        <v/>
      </c>
      <c r="S226" s="25">
        <f>IF(AND(Q226=1,E226&lt;&gt;""),SUBSTITUTE(SUBSTITUTE(SUBSTITUTE(SUBSTITUTE(SUBSTITUTE(SUBSTITUTE(SUBSTITUTE(SUBSTITUTE(SUBSTITUTE(SUBSTITUTE(SUBSTITUTE(SUBSTITUTE(LOWER(TRIM(E226)),"á","a"),"é","e"),"í","i"),"ó","o"),"ú","u"),"ü","u"),"ñ","n"),"à","a"),"è","e"),"ì","i"),"ò","o"),"ù","u"),"")</f>
        <v/>
      </c>
      <c r="T226" s="25">
        <f>IF(AND(Q226=1,G226&lt;&gt;""),SUBSTITUTE(SUBSTITUTE(SUBSTITUTE(SUBSTITUTE(SUBSTITUTE(SUBSTITUTE(SUBSTITUTE(SUBSTITUTE(SUBSTITUTE(SUBSTITUTE(SUBSTITUTE(SUBSTITUTE(LOWER(TRIM(G226)),"á","a"),"é","e"),"í","i"),"ó","o"),"ú","u"),"ü","u"),"ñ","n"),"à","a"),"è","e"),"ì","i"),"ò","o"),"ù","u"),"")</f>
        <v/>
      </c>
      <c r="U226" s="25">
        <f>IF(AND(Q226=1,H226&lt;&gt;""),SUBSTITUTE(SUBSTITUTE(SUBSTITUTE(SUBSTITUTE(SUBSTITUTE(SUBSTITUTE(SUBSTITUTE(SUBSTITUTE(SUBSTITUTE(SUBSTITUTE(SUBSTITUTE(SUBSTITUTE(LOWER(TRIM(H226)),"á","a"),"é","e"),"í","i"),"ó","o"),"ú","u"),"ü","u"),"ñ","n"),"à","a"),"è","e"),"ì","i"),"ò","o"),"ù","u"),"")</f>
        <v/>
      </c>
      <c r="V226" s="25">
        <f>IF(AND(Q226=1,L226&lt;&gt;""),SUBSTITUTE(SUBSTITUTE(SUBSTITUTE(SUBSTITUTE(SUBSTITUTE(SUBSTITUTE(SUBSTITUTE(SUBSTITUTE(SUBSTITUTE(SUBSTITUTE(SUBSTITUTE(SUBSTITUTE(LOWER(TRIM(L226)),"á","a"),"é","e"),"í","i"),"ó","o"),"ú","u"),"ü","u"),"ñ","n"),"à","a"),"è","e"),"ì","i"),"ò","o"),"ù","u"),"")</f>
        <v/>
      </c>
      <c r="W226" s="25">
        <f>IF(AND(Q226=1,I226&lt;&gt;""),SUBSTITUTE(SUBSTITUTE(SUBSTITUTE(SUBSTITUTE(SUBSTITUTE(SUBSTITUTE(SUBSTITUTE(SUBSTITUTE(SUBSTITUTE(SUBSTITUTE(SUBSTITUTE(SUBSTITUTE(LOWER(TRIM(I226)),"á","a"),"é","e"),"í","i"),"ó","o"),"ú","u"),"ü","u"),"ñ","n"),"à","a"),"è","e"),"ì","i"),"ò","o"),"ù","u"),"")</f>
        <v/>
      </c>
      <c r="X226" s="25">
        <f>IF(U226="","",IF(OR(U226="si, en la proxima tarea",U226="si, con cambios"),1,0))</f>
        <v/>
      </c>
      <c r="Y226" s="25">
        <f>IF(AND(Q226=1,A226&lt;&gt;""),IF(IFERROR(COUNTIFS(A$3:A226,"="&amp;SUBSTITUTE(SUBSTITUTE(SUBSTITUTE(A226,"~","~~"),"*","~*"),"?","~?"),Q$3:Q226,1),0)=1,MAX(Y$2:Y225)+1,""),"")</f>
        <v/>
      </c>
      <c r="Z226" s="25">
        <f>IF(Y226="","",COUNTIFS($A$3:$A$1002,"="&amp;SUBSTITUTE(SUBSTITUTE(SUBSTITUTE(A226,"~","~~"),"*","~*"),"?","~?"),$Q$3:$Q$1002,1)*10000-Y226)</f>
        <v/>
      </c>
    </row>
    <row r="227">
      <c r="A227">
        <f>IF(A$2=0,"",IFERROR(TRIM(INDEX('Pegar docentes'!$A$1:$BZ$1001,226,A$2)&amp;""),""))</f>
        <v/>
      </c>
      <c r="B227">
        <f>IF(B$2=0,"",IFERROR(TRIM(INDEX('Pegar docentes'!$A$1:$BZ$1001,226,B$2)&amp;""),""))</f>
        <v/>
      </c>
      <c r="C227">
        <f>IF(C$2=0,"",IFERROR(TRIM(INDEX('Pegar docentes'!$A$1:$BZ$1001,226,C$2)&amp;""),""))</f>
        <v/>
      </c>
      <c r="D227">
        <f>IF(D$2=0,"",IFERROR(TRIM(INDEX('Pegar docentes'!$A$1:$BZ$1001,226,D$2)&amp;""),""))</f>
        <v/>
      </c>
      <c r="E227">
        <f>IF(E$2=0,"",IFERROR(TRIM(INDEX('Pegar docentes'!$A$1:$BZ$1001,226,E$2)&amp;""),""))</f>
        <v/>
      </c>
      <c r="F227">
        <f>IF(F$2=0,"",IFERROR(TRIM(INDEX('Pegar docentes'!$A$1:$BZ$1001,226,F$2)&amp;""),""))</f>
        <v/>
      </c>
      <c r="G227">
        <f>IF(G$2=0,"",IFERROR(TRIM(INDEX('Pegar docentes'!$A$1:$BZ$1001,226,G$2)&amp;""),""))</f>
        <v/>
      </c>
      <c r="H227">
        <f>IF(H$2=0,"",IFERROR(TRIM(INDEX('Pegar docentes'!$A$1:$BZ$1001,226,H$2)&amp;""),""))</f>
        <v/>
      </c>
      <c r="I227">
        <f>IF(I$2=0,"",IFERROR(TRIM(INDEX('Pegar docentes'!$A$1:$BZ$1001,226,I$2)&amp;""),""))</f>
        <v/>
      </c>
      <c r="J227">
        <f>IF(J$2=0,"",IFERROR(TRIM(INDEX('Pegar docentes'!$A$1:$BZ$1001,226,J$2)&amp;""),""))</f>
        <v/>
      </c>
      <c r="K227">
        <f>IF(K$2=0,"",IFERROR(TRIM(INDEX('Pegar docentes'!$A$1:$BZ$1001,226,K$2)&amp;""),""))</f>
        <v/>
      </c>
      <c r="L227">
        <f>IF(L$2=0,"",IFERROR(TRIM(INDEX('Pegar docentes'!$A$1:$BZ$1001,226,L$2)&amp;""),""))</f>
        <v/>
      </c>
      <c r="M227">
        <f>IF(M$2=0,"",IFERROR(TRIM(INDEX('Pegar docentes'!$A$1:$BZ$1001,226,M$2)&amp;""),""))</f>
        <v/>
      </c>
      <c r="N227">
        <f>IF(N$2=0,"",IFERROR(TRIM(INDEX('Pegar docentes'!$A$1:$BZ$1001,226,N$2)&amp;""),""))</f>
        <v/>
      </c>
      <c r="O227">
        <f>IF(O$2=0,"",IFERROR(TRIM(INDEX('Pegar docentes'!$A$1:$BZ$1001,226,O$2)&amp;""),""))</f>
        <v/>
      </c>
      <c r="P227">
        <f>IF(P$2=0,"",IFERROR(TRIM(INDEX('Pegar docentes'!$A$1:$BZ$1001,226,P$2)&amp;""),""))</f>
        <v/>
      </c>
      <c r="Q227" s="25">
        <f>IF(OR(D227&lt;&gt;"",H227&lt;&gt;""),1,"")</f>
        <v/>
      </c>
      <c r="R227" s="25">
        <f>IF(Q227=1,IF(ISNUMBER(FIND("#"&amp;MID(D227,1,1)&amp;"#","#0#1#2#3#4#5#6#7#8#9#")),IF(ISNUMBER(FIND("#"&amp;MID(D227,2,1)&amp;"#","#0#1#2#3#4#5#6#7#8#9#")),IF(AND(VALUE(LEFT(D227,2))&gt;=1,VALUE(LEFT(D227,2))&lt;=5),VALUE(LEFT(D227,2)),""),IF(AND(VALUE(LEFT(D227,1))&gt;=1,VALUE(LEFT(D227,1))&lt;=5),VALUE(LEFT(D227,1)),"")),""),"")</f>
        <v/>
      </c>
      <c r="S227" s="25">
        <f>IF(AND(Q227=1,E227&lt;&gt;""),SUBSTITUTE(SUBSTITUTE(SUBSTITUTE(SUBSTITUTE(SUBSTITUTE(SUBSTITUTE(SUBSTITUTE(SUBSTITUTE(SUBSTITUTE(SUBSTITUTE(SUBSTITUTE(SUBSTITUTE(LOWER(TRIM(E227)),"á","a"),"é","e"),"í","i"),"ó","o"),"ú","u"),"ü","u"),"ñ","n"),"à","a"),"è","e"),"ì","i"),"ò","o"),"ù","u"),"")</f>
        <v/>
      </c>
      <c r="T227" s="25">
        <f>IF(AND(Q227=1,G227&lt;&gt;""),SUBSTITUTE(SUBSTITUTE(SUBSTITUTE(SUBSTITUTE(SUBSTITUTE(SUBSTITUTE(SUBSTITUTE(SUBSTITUTE(SUBSTITUTE(SUBSTITUTE(SUBSTITUTE(SUBSTITUTE(LOWER(TRIM(G227)),"á","a"),"é","e"),"í","i"),"ó","o"),"ú","u"),"ü","u"),"ñ","n"),"à","a"),"è","e"),"ì","i"),"ò","o"),"ù","u"),"")</f>
        <v/>
      </c>
      <c r="U227" s="25">
        <f>IF(AND(Q227=1,H227&lt;&gt;""),SUBSTITUTE(SUBSTITUTE(SUBSTITUTE(SUBSTITUTE(SUBSTITUTE(SUBSTITUTE(SUBSTITUTE(SUBSTITUTE(SUBSTITUTE(SUBSTITUTE(SUBSTITUTE(SUBSTITUTE(LOWER(TRIM(H227)),"á","a"),"é","e"),"í","i"),"ó","o"),"ú","u"),"ü","u"),"ñ","n"),"à","a"),"è","e"),"ì","i"),"ò","o"),"ù","u"),"")</f>
        <v/>
      </c>
      <c r="V227" s="25">
        <f>IF(AND(Q227=1,L227&lt;&gt;""),SUBSTITUTE(SUBSTITUTE(SUBSTITUTE(SUBSTITUTE(SUBSTITUTE(SUBSTITUTE(SUBSTITUTE(SUBSTITUTE(SUBSTITUTE(SUBSTITUTE(SUBSTITUTE(SUBSTITUTE(LOWER(TRIM(L227)),"á","a"),"é","e"),"í","i"),"ó","o"),"ú","u"),"ü","u"),"ñ","n"),"à","a"),"è","e"),"ì","i"),"ò","o"),"ù","u"),"")</f>
        <v/>
      </c>
      <c r="W227" s="25">
        <f>IF(AND(Q227=1,I227&lt;&gt;""),SUBSTITUTE(SUBSTITUTE(SUBSTITUTE(SUBSTITUTE(SUBSTITUTE(SUBSTITUTE(SUBSTITUTE(SUBSTITUTE(SUBSTITUTE(SUBSTITUTE(SUBSTITUTE(SUBSTITUTE(LOWER(TRIM(I227)),"á","a"),"é","e"),"í","i"),"ó","o"),"ú","u"),"ü","u"),"ñ","n"),"à","a"),"è","e"),"ì","i"),"ò","o"),"ù","u"),"")</f>
        <v/>
      </c>
      <c r="X227" s="25">
        <f>IF(U227="","",IF(OR(U227="si, en la proxima tarea",U227="si, con cambios"),1,0))</f>
        <v/>
      </c>
      <c r="Y227" s="25">
        <f>IF(AND(Q227=1,A227&lt;&gt;""),IF(IFERROR(COUNTIFS(A$3:A227,"="&amp;SUBSTITUTE(SUBSTITUTE(SUBSTITUTE(A227,"~","~~"),"*","~*"),"?","~?"),Q$3:Q227,1),0)=1,MAX(Y$2:Y226)+1,""),"")</f>
        <v/>
      </c>
      <c r="Z227" s="25">
        <f>IF(Y227="","",COUNTIFS($A$3:$A$1002,"="&amp;SUBSTITUTE(SUBSTITUTE(SUBSTITUTE(A227,"~","~~"),"*","~*"),"?","~?"),$Q$3:$Q$1002,1)*10000-Y227)</f>
        <v/>
      </c>
    </row>
    <row r="228">
      <c r="A228">
        <f>IF(A$2=0,"",IFERROR(TRIM(INDEX('Pegar docentes'!$A$1:$BZ$1001,227,A$2)&amp;""),""))</f>
        <v/>
      </c>
      <c r="B228">
        <f>IF(B$2=0,"",IFERROR(TRIM(INDEX('Pegar docentes'!$A$1:$BZ$1001,227,B$2)&amp;""),""))</f>
        <v/>
      </c>
      <c r="C228">
        <f>IF(C$2=0,"",IFERROR(TRIM(INDEX('Pegar docentes'!$A$1:$BZ$1001,227,C$2)&amp;""),""))</f>
        <v/>
      </c>
      <c r="D228">
        <f>IF(D$2=0,"",IFERROR(TRIM(INDEX('Pegar docentes'!$A$1:$BZ$1001,227,D$2)&amp;""),""))</f>
        <v/>
      </c>
      <c r="E228">
        <f>IF(E$2=0,"",IFERROR(TRIM(INDEX('Pegar docentes'!$A$1:$BZ$1001,227,E$2)&amp;""),""))</f>
        <v/>
      </c>
      <c r="F228">
        <f>IF(F$2=0,"",IFERROR(TRIM(INDEX('Pegar docentes'!$A$1:$BZ$1001,227,F$2)&amp;""),""))</f>
        <v/>
      </c>
      <c r="G228">
        <f>IF(G$2=0,"",IFERROR(TRIM(INDEX('Pegar docentes'!$A$1:$BZ$1001,227,G$2)&amp;""),""))</f>
        <v/>
      </c>
      <c r="H228">
        <f>IF(H$2=0,"",IFERROR(TRIM(INDEX('Pegar docentes'!$A$1:$BZ$1001,227,H$2)&amp;""),""))</f>
        <v/>
      </c>
      <c r="I228">
        <f>IF(I$2=0,"",IFERROR(TRIM(INDEX('Pegar docentes'!$A$1:$BZ$1001,227,I$2)&amp;""),""))</f>
        <v/>
      </c>
      <c r="J228">
        <f>IF(J$2=0,"",IFERROR(TRIM(INDEX('Pegar docentes'!$A$1:$BZ$1001,227,J$2)&amp;""),""))</f>
        <v/>
      </c>
      <c r="K228">
        <f>IF(K$2=0,"",IFERROR(TRIM(INDEX('Pegar docentes'!$A$1:$BZ$1001,227,K$2)&amp;""),""))</f>
        <v/>
      </c>
      <c r="L228">
        <f>IF(L$2=0,"",IFERROR(TRIM(INDEX('Pegar docentes'!$A$1:$BZ$1001,227,L$2)&amp;""),""))</f>
        <v/>
      </c>
      <c r="M228">
        <f>IF(M$2=0,"",IFERROR(TRIM(INDEX('Pegar docentes'!$A$1:$BZ$1001,227,M$2)&amp;""),""))</f>
        <v/>
      </c>
      <c r="N228">
        <f>IF(N$2=0,"",IFERROR(TRIM(INDEX('Pegar docentes'!$A$1:$BZ$1001,227,N$2)&amp;""),""))</f>
        <v/>
      </c>
      <c r="O228">
        <f>IF(O$2=0,"",IFERROR(TRIM(INDEX('Pegar docentes'!$A$1:$BZ$1001,227,O$2)&amp;""),""))</f>
        <v/>
      </c>
      <c r="P228">
        <f>IF(P$2=0,"",IFERROR(TRIM(INDEX('Pegar docentes'!$A$1:$BZ$1001,227,P$2)&amp;""),""))</f>
        <v/>
      </c>
      <c r="Q228" s="25">
        <f>IF(OR(D228&lt;&gt;"",H228&lt;&gt;""),1,"")</f>
        <v/>
      </c>
      <c r="R228" s="25">
        <f>IF(Q228=1,IF(ISNUMBER(FIND("#"&amp;MID(D228,1,1)&amp;"#","#0#1#2#3#4#5#6#7#8#9#")),IF(ISNUMBER(FIND("#"&amp;MID(D228,2,1)&amp;"#","#0#1#2#3#4#5#6#7#8#9#")),IF(AND(VALUE(LEFT(D228,2))&gt;=1,VALUE(LEFT(D228,2))&lt;=5),VALUE(LEFT(D228,2)),""),IF(AND(VALUE(LEFT(D228,1))&gt;=1,VALUE(LEFT(D228,1))&lt;=5),VALUE(LEFT(D228,1)),"")),""),"")</f>
        <v/>
      </c>
      <c r="S228" s="25">
        <f>IF(AND(Q228=1,E228&lt;&gt;""),SUBSTITUTE(SUBSTITUTE(SUBSTITUTE(SUBSTITUTE(SUBSTITUTE(SUBSTITUTE(SUBSTITUTE(SUBSTITUTE(SUBSTITUTE(SUBSTITUTE(SUBSTITUTE(SUBSTITUTE(LOWER(TRIM(E228)),"á","a"),"é","e"),"í","i"),"ó","o"),"ú","u"),"ü","u"),"ñ","n"),"à","a"),"è","e"),"ì","i"),"ò","o"),"ù","u"),"")</f>
        <v/>
      </c>
      <c r="T228" s="25">
        <f>IF(AND(Q228=1,G228&lt;&gt;""),SUBSTITUTE(SUBSTITUTE(SUBSTITUTE(SUBSTITUTE(SUBSTITUTE(SUBSTITUTE(SUBSTITUTE(SUBSTITUTE(SUBSTITUTE(SUBSTITUTE(SUBSTITUTE(SUBSTITUTE(LOWER(TRIM(G228)),"á","a"),"é","e"),"í","i"),"ó","o"),"ú","u"),"ü","u"),"ñ","n"),"à","a"),"è","e"),"ì","i"),"ò","o"),"ù","u"),"")</f>
        <v/>
      </c>
      <c r="U228" s="25">
        <f>IF(AND(Q228=1,H228&lt;&gt;""),SUBSTITUTE(SUBSTITUTE(SUBSTITUTE(SUBSTITUTE(SUBSTITUTE(SUBSTITUTE(SUBSTITUTE(SUBSTITUTE(SUBSTITUTE(SUBSTITUTE(SUBSTITUTE(SUBSTITUTE(LOWER(TRIM(H228)),"á","a"),"é","e"),"í","i"),"ó","o"),"ú","u"),"ü","u"),"ñ","n"),"à","a"),"è","e"),"ì","i"),"ò","o"),"ù","u"),"")</f>
        <v/>
      </c>
      <c r="V228" s="25">
        <f>IF(AND(Q228=1,L228&lt;&gt;""),SUBSTITUTE(SUBSTITUTE(SUBSTITUTE(SUBSTITUTE(SUBSTITUTE(SUBSTITUTE(SUBSTITUTE(SUBSTITUTE(SUBSTITUTE(SUBSTITUTE(SUBSTITUTE(SUBSTITUTE(LOWER(TRIM(L228)),"á","a"),"é","e"),"í","i"),"ó","o"),"ú","u"),"ü","u"),"ñ","n"),"à","a"),"è","e"),"ì","i"),"ò","o"),"ù","u"),"")</f>
        <v/>
      </c>
      <c r="W228" s="25">
        <f>IF(AND(Q228=1,I228&lt;&gt;""),SUBSTITUTE(SUBSTITUTE(SUBSTITUTE(SUBSTITUTE(SUBSTITUTE(SUBSTITUTE(SUBSTITUTE(SUBSTITUTE(SUBSTITUTE(SUBSTITUTE(SUBSTITUTE(SUBSTITUTE(LOWER(TRIM(I228)),"á","a"),"é","e"),"í","i"),"ó","o"),"ú","u"),"ü","u"),"ñ","n"),"à","a"),"è","e"),"ì","i"),"ò","o"),"ù","u"),"")</f>
        <v/>
      </c>
      <c r="X228" s="25">
        <f>IF(U228="","",IF(OR(U228="si, en la proxima tarea",U228="si, con cambios"),1,0))</f>
        <v/>
      </c>
      <c r="Y228" s="25">
        <f>IF(AND(Q228=1,A228&lt;&gt;""),IF(IFERROR(COUNTIFS(A$3:A228,"="&amp;SUBSTITUTE(SUBSTITUTE(SUBSTITUTE(A228,"~","~~"),"*","~*"),"?","~?"),Q$3:Q228,1),0)=1,MAX(Y$2:Y227)+1,""),"")</f>
        <v/>
      </c>
      <c r="Z228" s="25">
        <f>IF(Y228="","",COUNTIFS($A$3:$A$1002,"="&amp;SUBSTITUTE(SUBSTITUTE(SUBSTITUTE(A228,"~","~~"),"*","~*"),"?","~?"),$Q$3:$Q$1002,1)*10000-Y228)</f>
        <v/>
      </c>
    </row>
    <row r="229">
      <c r="A229">
        <f>IF(A$2=0,"",IFERROR(TRIM(INDEX('Pegar docentes'!$A$1:$BZ$1001,228,A$2)&amp;""),""))</f>
        <v/>
      </c>
      <c r="B229">
        <f>IF(B$2=0,"",IFERROR(TRIM(INDEX('Pegar docentes'!$A$1:$BZ$1001,228,B$2)&amp;""),""))</f>
        <v/>
      </c>
      <c r="C229">
        <f>IF(C$2=0,"",IFERROR(TRIM(INDEX('Pegar docentes'!$A$1:$BZ$1001,228,C$2)&amp;""),""))</f>
        <v/>
      </c>
      <c r="D229">
        <f>IF(D$2=0,"",IFERROR(TRIM(INDEX('Pegar docentes'!$A$1:$BZ$1001,228,D$2)&amp;""),""))</f>
        <v/>
      </c>
      <c r="E229">
        <f>IF(E$2=0,"",IFERROR(TRIM(INDEX('Pegar docentes'!$A$1:$BZ$1001,228,E$2)&amp;""),""))</f>
        <v/>
      </c>
      <c r="F229">
        <f>IF(F$2=0,"",IFERROR(TRIM(INDEX('Pegar docentes'!$A$1:$BZ$1001,228,F$2)&amp;""),""))</f>
        <v/>
      </c>
      <c r="G229">
        <f>IF(G$2=0,"",IFERROR(TRIM(INDEX('Pegar docentes'!$A$1:$BZ$1001,228,G$2)&amp;""),""))</f>
        <v/>
      </c>
      <c r="H229">
        <f>IF(H$2=0,"",IFERROR(TRIM(INDEX('Pegar docentes'!$A$1:$BZ$1001,228,H$2)&amp;""),""))</f>
        <v/>
      </c>
      <c r="I229">
        <f>IF(I$2=0,"",IFERROR(TRIM(INDEX('Pegar docentes'!$A$1:$BZ$1001,228,I$2)&amp;""),""))</f>
        <v/>
      </c>
      <c r="J229">
        <f>IF(J$2=0,"",IFERROR(TRIM(INDEX('Pegar docentes'!$A$1:$BZ$1001,228,J$2)&amp;""),""))</f>
        <v/>
      </c>
      <c r="K229">
        <f>IF(K$2=0,"",IFERROR(TRIM(INDEX('Pegar docentes'!$A$1:$BZ$1001,228,K$2)&amp;""),""))</f>
        <v/>
      </c>
      <c r="L229">
        <f>IF(L$2=0,"",IFERROR(TRIM(INDEX('Pegar docentes'!$A$1:$BZ$1001,228,L$2)&amp;""),""))</f>
        <v/>
      </c>
      <c r="M229">
        <f>IF(M$2=0,"",IFERROR(TRIM(INDEX('Pegar docentes'!$A$1:$BZ$1001,228,M$2)&amp;""),""))</f>
        <v/>
      </c>
      <c r="N229">
        <f>IF(N$2=0,"",IFERROR(TRIM(INDEX('Pegar docentes'!$A$1:$BZ$1001,228,N$2)&amp;""),""))</f>
        <v/>
      </c>
      <c r="O229">
        <f>IF(O$2=0,"",IFERROR(TRIM(INDEX('Pegar docentes'!$A$1:$BZ$1001,228,O$2)&amp;""),""))</f>
        <v/>
      </c>
      <c r="P229">
        <f>IF(P$2=0,"",IFERROR(TRIM(INDEX('Pegar docentes'!$A$1:$BZ$1001,228,P$2)&amp;""),""))</f>
        <v/>
      </c>
      <c r="Q229" s="25">
        <f>IF(OR(D229&lt;&gt;"",H229&lt;&gt;""),1,"")</f>
        <v/>
      </c>
      <c r="R229" s="25">
        <f>IF(Q229=1,IF(ISNUMBER(FIND("#"&amp;MID(D229,1,1)&amp;"#","#0#1#2#3#4#5#6#7#8#9#")),IF(ISNUMBER(FIND("#"&amp;MID(D229,2,1)&amp;"#","#0#1#2#3#4#5#6#7#8#9#")),IF(AND(VALUE(LEFT(D229,2))&gt;=1,VALUE(LEFT(D229,2))&lt;=5),VALUE(LEFT(D229,2)),""),IF(AND(VALUE(LEFT(D229,1))&gt;=1,VALUE(LEFT(D229,1))&lt;=5),VALUE(LEFT(D229,1)),"")),""),"")</f>
        <v/>
      </c>
      <c r="S229" s="25">
        <f>IF(AND(Q229=1,E229&lt;&gt;""),SUBSTITUTE(SUBSTITUTE(SUBSTITUTE(SUBSTITUTE(SUBSTITUTE(SUBSTITUTE(SUBSTITUTE(SUBSTITUTE(SUBSTITUTE(SUBSTITUTE(SUBSTITUTE(SUBSTITUTE(LOWER(TRIM(E229)),"á","a"),"é","e"),"í","i"),"ó","o"),"ú","u"),"ü","u"),"ñ","n"),"à","a"),"è","e"),"ì","i"),"ò","o"),"ù","u"),"")</f>
        <v/>
      </c>
      <c r="T229" s="25">
        <f>IF(AND(Q229=1,G229&lt;&gt;""),SUBSTITUTE(SUBSTITUTE(SUBSTITUTE(SUBSTITUTE(SUBSTITUTE(SUBSTITUTE(SUBSTITUTE(SUBSTITUTE(SUBSTITUTE(SUBSTITUTE(SUBSTITUTE(SUBSTITUTE(LOWER(TRIM(G229)),"á","a"),"é","e"),"í","i"),"ó","o"),"ú","u"),"ü","u"),"ñ","n"),"à","a"),"è","e"),"ì","i"),"ò","o"),"ù","u"),"")</f>
        <v/>
      </c>
      <c r="U229" s="25">
        <f>IF(AND(Q229=1,H229&lt;&gt;""),SUBSTITUTE(SUBSTITUTE(SUBSTITUTE(SUBSTITUTE(SUBSTITUTE(SUBSTITUTE(SUBSTITUTE(SUBSTITUTE(SUBSTITUTE(SUBSTITUTE(SUBSTITUTE(SUBSTITUTE(LOWER(TRIM(H229)),"á","a"),"é","e"),"í","i"),"ó","o"),"ú","u"),"ü","u"),"ñ","n"),"à","a"),"è","e"),"ì","i"),"ò","o"),"ù","u"),"")</f>
        <v/>
      </c>
      <c r="V229" s="25">
        <f>IF(AND(Q229=1,L229&lt;&gt;""),SUBSTITUTE(SUBSTITUTE(SUBSTITUTE(SUBSTITUTE(SUBSTITUTE(SUBSTITUTE(SUBSTITUTE(SUBSTITUTE(SUBSTITUTE(SUBSTITUTE(SUBSTITUTE(SUBSTITUTE(LOWER(TRIM(L229)),"á","a"),"é","e"),"í","i"),"ó","o"),"ú","u"),"ü","u"),"ñ","n"),"à","a"),"è","e"),"ì","i"),"ò","o"),"ù","u"),"")</f>
        <v/>
      </c>
      <c r="W229" s="25">
        <f>IF(AND(Q229=1,I229&lt;&gt;""),SUBSTITUTE(SUBSTITUTE(SUBSTITUTE(SUBSTITUTE(SUBSTITUTE(SUBSTITUTE(SUBSTITUTE(SUBSTITUTE(SUBSTITUTE(SUBSTITUTE(SUBSTITUTE(SUBSTITUTE(LOWER(TRIM(I229)),"á","a"),"é","e"),"í","i"),"ó","o"),"ú","u"),"ü","u"),"ñ","n"),"à","a"),"è","e"),"ì","i"),"ò","o"),"ù","u"),"")</f>
        <v/>
      </c>
      <c r="X229" s="25">
        <f>IF(U229="","",IF(OR(U229="si, en la proxima tarea",U229="si, con cambios"),1,0))</f>
        <v/>
      </c>
      <c r="Y229" s="25">
        <f>IF(AND(Q229=1,A229&lt;&gt;""),IF(IFERROR(COUNTIFS(A$3:A229,"="&amp;SUBSTITUTE(SUBSTITUTE(SUBSTITUTE(A229,"~","~~"),"*","~*"),"?","~?"),Q$3:Q229,1),0)=1,MAX(Y$2:Y228)+1,""),"")</f>
        <v/>
      </c>
      <c r="Z229" s="25">
        <f>IF(Y229="","",COUNTIFS($A$3:$A$1002,"="&amp;SUBSTITUTE(SUBSTITUTE(SUBSTITUTE(A229,"~","~~"),"*","~*"),"?","~?"),$Q$3:$Q$1002,1)*10000-Y229)</f>
        <v/>
      </c>
    </row>
    <row r="230">
      <c r="A230">
        <f>IF(A$2=0,"",IFERROR(TRIM(INDEX('Pegar docentes'!$A$1:$BZ$1001,229,A$2)&amp;""),""))</f>
        <v/>
      </c>
      <c r="B230">
        <f>IF(B$2=0,"",IFERROR(TRIM(INDEX('Pegar docentes'!$A$1:$BZ$1001,229,B$2)&amp;""),""))</f>
        <v/>
      </c>
      <c r="C230">
        <f>IF(C$2=0,"",IFERROR(TRIM(INDEX('Pegar docentes'!$A$1:$BZ$1001,229,C$2)&amp;""),""))</f>
        <v/>
      </c>
      <c r="D230">
        <f>IF(D$2=0,"",IFERROR(TRIM(INDEX('Pegar docentes'!$A$1:$BZ$1001,229,D$2)&amp;""),""))</f>
        <v/>
      </c>
      <c r="E230">
        <f>IF(E$2=0,"",IFERROR(TRIM(INDEX('Pegar docentes'!$A$1:$BZ$1001,229,E$2)&amp;""),""))</f>
        <v/>
      </c>
      <c r="F230">
        <f>IF(F$2=0,"",IFERROR(TRIM(INDEX('Pegar docentes'!$A$1:$BZ$1001,229,F$2)&amp;""),""))</f>
        <v/>
      </c>
      <c r="G230">
        <f>IF(G$2=0,"",IFERROR(TRIM(INDEX('Pegar docentes'!$A$1:$BZ$1001,229,G$2)&amp;""),""))</f>
        <v/>
      </c>
      <c r="H230">
        <f>IF(H$2=0,"",IFERROR(TRIM(INDEX('Pegar docentes'!$A$1:$BZ$1001,229,H$2)&amp;""),""))</f>
        <v/>
      </c>
      <c r="I230">
        <f>IF(I$2=0,"",IFERROR(TRIM(INDEX('Pegar docentes'!$A$1:$BZ$1001,229,I$2)&amp;""),""))</f>
        <v/>
      </c>
      <c r="J230">
        <f>IF(J$2=0,"",IFERROR(TRIM(INDEX('Pegar docentes'!$A$1:$BZ$1001,229,J$2)&amp;""),""))</f>
        <v/>
      </c>
      <c r="K230">
        <f>IF(K$2=0,"",IFERROR(TRIM(INDEX('Pegar docentes'!$A$1:$BZ$1001,229,K$2)&amp;""),""))</f>
        <v/>
      </c>
      <c r="L230">
        <f>IF(L$2=0,"",IFERROR(TRIM(INDEX('Pegar docentes'!$A$1:$BZ$1001,229,L$2)&amp;""),""))</f>
        <v/>
      </c>
      <c r="M230">
        <f>IF(M$2=0,"",IFERROR(TRIM(INDEX('Pegar docentes'!$A$1:$BZ$1001,229,M$2)&amp;""),""))</f>
        <v/>
      </c>
      <c r="N230">
        <f>IF(N$2=0,"",IFERROR(TRIM(INDEX('Pegar docentes'!$A$1:$BZ$1001,229,N$2)&amp;""),""))</f>
        <v/>
      </c>
      <c r="O230">
        <f>IF(O$2=0,"",IFERROR(TRIM(INDEX('Pegar docentes'!$A$1:$BZ$1001,229,O$2)&amp;""),""))</f>
        <v/>
      </c>
      <c r="P230">
        <f>IF(P$2=0,"",IFERROR(TRIM(INDEX('Pegar docentes'!$A$1:$BZ$1001,229,P$2)&amp;""),""))</f>
        <v/>
      </c>
      <c r="Q230" s="25">
        <f>IF(OR(D230&lt;&gt;"",H230&lt;&gt;""),1,"")</f>
        <v/>
      </c>
      <c r="R230" s="25">
        <f>IF(Q230=1,IF(ISNUMBER(FIND("#"&amp;MID(D230,1,1)&amp;"#","#0#1#2#3#4#5#6#7#8#9#")),IF(ISNUMBER(FIND("#"&amp;MID(D230,2,1)&amp;"#","#0#1#2#3#4#5#6#7#8#9#")),IF(AND(VALUE(LEFT(D230,2))&gt;=1,VALUE(LEFT(D230,2))&lt;=5),VALUE(LEFT(D230,2)),""),IF(AND(VALUE(LEFT(D230,1))&gt;=1,VALUE(LEFT(D230,1))&lt;=5),VALUE(LEFT(D230,1)),"")),""),"")</f>
        <v/>
      </c>
      <c r="S230" s="25">
        <f>IF(AND(Q230=1,E230&lt;&gt;""),SUBSTITUTE(SUBSTITUTE(SUBSTITUTE(SUBSTITUTE(SUBSTITUTE(SUBSTITUTE(SUBSTITUTE(SUBSTITUTE(SUBSTITUTE(SUBSTITUTE(SUBSTITUTE(SUBSTITUTE(LOWER(TRIM(E230)),"á","a"),"é","e"),"í","i"),"ó","o"),"ú","u"),"ü","u"),"ñ","n"),"à","a"),"è","e"),"ì","i"),"ò","o"),"ù","u"),"")</f>
        <v/>
      </c>
      <c r="T230" s="25">
        <f>IF(AND(Q230=1,G230&lt;&gt;""),SUBSTITUTE(SUBSTITUTE(SUBSTITUTE(SUBSTITUTE(SUBSTITUTE(SUBSTITUTE(SUBSTITUTE(SUBSTITUTE(SUBSTITUTE(SUBSTITUTE(SUBSTITUTE(SUBSTITUTE(LOWER(TRIM(G230)),"á","a"),"é","e"),"í","i"),"ó","o"),"ú","u"),"ü","u"),"ñ","n"),"à","a"),"è","e"),"ì","i"),"ò","o"),"ù","u"),"")</f>
        <v/>
      </c>
      <c r="U230" s="25">
        <f>IF(AND(Q230=1,H230&lt;&gt;""),SUBSTITUTE(SUBSTITUTE(SUBSTITUTE(SUBSTITUTE(SUBSTITUTE(SUBSTITUTE(SUBSTITUTE(SUBSTITUTE(SUBSTITUTE(SUBSTITUTE(SUBSTITUTE(SUBSTITUTE(LOWER(TRIM(H230)),"á","a"),"é","e"),"í","i"),"ó","o"),"ú","u"),"ü","u"),"ñ","n"),"à","a"),"è","e"),"ì","i"),"ò","o"),"ù","u"),"")</f>
        <v/>
      </c>
      <c r="V230" s="25">
        <f>IF(AND(Q230=1,L230&lt;&gt;""),SUBSTITUTE(SUBSTITUTE(SUBSTITUTE(SUBSTITUTE(SUBSTITUTE(SUBSTITUTE(SUBSTITUTE(SUBSTITUTE(SUBSTITUTE(SUBSTITUTE(SUBSTITUTE(SUBSTITUTE(LOWER(TRIM(L230)),"á","a"),"é","e"),"í","i"),"ó","o"),"ú","u"),"ü","u"),"ñ","n"),"à","a"),"è","e"),"ì","i"),"ò","o"),"ù","u"),"")</f>
        <v/>
      </c>
      <c r="W230" s="25">
        <f>IF(AND(Q230=1,I230&lt;&gt;""),SUBSTITUTE(SUBSTITUTE(SUBSTITUTE(SUBSTITUTE(SUBSTITUTE(SUBSTITUTE(SUBSTITUTE(SUBSTITUTE(SUBSTITUTE(SUBSTITUTE(SUBSTITUTE(SUBSTITUTE(LOWER(TRIM(I230)),"á","a"),"é","e"),"í","i"),"ó","o"),"ú","u"),"ü","u"),"ñ","n"),"à","a"),"è","e"),"ì","i"),"ò","o"),"ù","u"),"")</f>
        <v/>
      </c>
      <c r="X230" s="25">
        <f>IF(U230="","",IF(OR(U230="si, en la proxima tarea",U230="si, con cambios"),1,0))</f>
        <v/>
      </c>
      <c r="Y230" s="25">
        <f>IF(AND(Q230=1,A230&lt;&gt;""),IF(IFERROR(COUNTIFS(A$3:A230,"="&amp;SUBSTITUTE(SUBSTITUTE(SUBSTITUTE(A230,"~","~~"),"*","~*"),"?","~?"),Q$3:Q230,1),0)=1,MAX(Y$2:Y229)+1,""),"")</f>
        <v/>
      </c>
      <c r="Z230" s="25">
        <f>IF(Y230="","",COUNTIFS($A$3:$A$1002,"="&amp;SUBSTITUTE(SUBSTITUTE(SUBSTITUTE(A230,"~","~~"),"*","~*"),"?","~?"),$Q$3:$Q$1002,1)*10000-Y230)</f>
        <v/>
      </c>
    </row>
    <row r="231">
      <c r="A231">
        <f>IF(A$2=0,"",IFERROR(TRIM(INDEX('Pegar docentes'!$A$1:$BZ$1001,230,A$2)&amp;""),""))</f>
        <v/>
      </c>
      <c r="B231">
        <f>IF(B$2=0,"",IFERROR(TRIM(INDEX('Pegar docentes'!$A$1:$BZ$1001,230,B$2)&amp;""),""))</f>
        <v/>
      </c>
      <c r="C231">
        <f>IF(C$2=0,"",IFERROR(TRIM(INDEX('Pegar docentes'!$A$1:$BZ$1001,230,C$2)&amp;""),""))</f>
        <v/>
      </c>
      <c r="D231">
        <f>IF(D$2=0,"",IFERROR(TRIM(INDEX('Pegar docentes'!$A$1:$BZ$1001,230,D$2)&amp;""),""))</f>
        <v/>
      </c>
      <c r="E231">
        <f>IF(E$2=0,"",IFERROR(TRIM(INDEX('Pegar docentes'!$A$1:$BZ$1001,230,E$2)&amp;""),""))</f>
        <v/>
      </c>
      <c r="F231">
        <f>IF(F$2=0,"",IFERROR(TRIM(INDEX('Pegar docentes'!$A$1:$BZ$1001,230,F$2)&amp;""),""))</f>
        <v/>
      </c>
      <c r="G231">
        <f>IF(G$2=0,"",IFERROR(TRIM(INDEX('Pegar docentes'!$A$1:$BZ$1001,230,G$2)&amp;""),""))</f>
        <v/>
      </c>
      <c r="H231">
        <f>IF(H$2=0,"",IFERROR(TRIM(INDEX('Pegar docentes'!$A$1:$BZ$1001,230,H$2)&amp;""),""))</f>
        <v/>
      </c>
      <c r="I231">
        <f>IF(I$2=0,"",IFERROR(TRIM(INDEX('Pegar docentes'!$A$1:$BZ$1001,230,I$2)&amp;""),""))</f>
        <v/>
      </c>
      <c r="J231">
        <f>IF(J$2=0,"",IFERROR(TRIM(INDEX('Pegar docentes'!$A$1:$BZ$1001,230,J$2)&amp;""),""))</f>
        <v/>
      </c>
      <c r="K231">
        <f>IF(K$2=0,"",IFERROR(TRIM(INDEX('Pegar docentes'!$A$1:$BZ$1001,230,K$2)&amp;""),""))</f>
        <v/>
      </c>
      <c r="L231">
        <f>IF(L$2=0,"",IFERROR(TRIM(INDEX('Pegar docentes'!$A$1:$BZ$1001,230,L$2)&amp;""),""))</f>
        <v/>
      </c>
      <c r="M231">
        <f>IF(M$2=0,"",IFERROR(TRIM(INDEX('Pegar docentes'!$A$1:$BZ$1001,230,M$2)&amp;""),""))</f>
        <v/>
      </c>
      <c r="N231">
        <f>IF(N$2=0,"",IFERROR(TRIM(INDEX('Pegar docentes'!$A$1:$BZ$1001,230,N$2)&amp;""),""))</f>
        <v/>
      </c>
      <c r="O231">
        <f>IF(O$2=0,"",IFERROR(TRIM(INDEX('Pegar docentes'!$A$1:$BZ$1001,230,O$2)&amp;""),""))</f>
        <v/>
      </c>
      <c r="P231">
        <f>IF(P$2=0,"",IFERROR(TRIM(INDEX('Pegar docentes'!$A$1:$BZ$1001,230,P$2)&amp;""),""))</f>
        <v/>
      </c>
      <c r="Q231" s="25">
        <f>IF(OR(D231&lt;&gt;"",H231&lt;&gt;""),1,"")</f>
        <v/>
      </c>
      <c r="R231" s="25">
        <f>IF(Q231=1,IF(ISNUMBER(FIND("#"&amp;MID(D231,1,1)&amp;"#","#0#1#2#3#4#5#6#7#8#9#")),IF(ISNUMBER(FIND("#"&amp;MID(D231,2,1)&amp;"#","#0#1#2#3#4#5#6#7#8#9#")),IF(AND(VALUE(LEFT(D231,2))&gt;=1,VALUE(LEFT(D231,2))&lt;=5),VALUE(LEFT(D231,2)),""),IF(AND(VALUE(LEFT(D231,1))&gt;=1,VALUE(LEFT(D231,1))&lt;=5),VALUE(LEFT(D231,1)),"")),""),"")</f>
        <v/>
      </c>
      <c r="S231" s="25">
        <f>IF(AND(Q231=1,E231&lt;&gt;""),SUBSTITUTE(SUBSTITUTE(SUBSTITUTE(SUBSTITUTE(SUBSTITUTE(SUBSTITUTE(SUBSTITUTE(SUBSTITUTE(SUBSTITUTE(SUBSTITUTE(SUBSTITUTE(SUBSTITUTE(LOWER(TRIM(E231)),"á","a"),"é","e"),"í","i"),"ó","o"),"ú","u"),"ü","u"),"ñ","n"),"à","a"),"è","e"),"ì","i"),"ò","o"),"ù","u"),"")</f>
        <v/>
      </c>
      <c r="T231" s="25">
        <f>IF(AND(Q231=1,G231&lt;&gt;""),SUBSTITUTE(SUBSTITUTE(SUBSTITUTE(SUBSTITUTE(SUBSTITUTE(SUBSTITUTE(SUBSTITUTE(SUBSTITUTE(SUBSTITUTE(SUBSTITUTE(SUBSTITUTE(SUBSTITUTE(LOWER(TRIM(G231)),"á","a"),"é","e"),"í","i"),"ó","o"),"ú","u"),"ü","u"),"ñ","n"),"à","a"),"è","e"),"ì","i"),"ò","o"),"ù","u"),"")</f>
        <v/>
      </c>
      <c r="U231" s="25">
        <f>IF(AND(Q231=1,H231&lt;&gt;""),SUBSTITUTE(SUBSTITUTE(SUBSTITUTE(SUBSTITUTE(SUBSTITUTE(SUBSTITUTE(SUBSTITUTE(SUBSTITUTE(SUBSTITUTE(SUBSTITUTE(SUBSTITUTE(SUBSTITUTE(LOWER(TRIM(H231)),"á","a"),"é","e"),"í","i"),"ó","o"),"ú","u"),"ü","u"),"ñ","n"),"à","a"),"è","e"),"ì","i"),"ò","o"),"ù","u"),"")</f>
        <v/>
      </c>
      <c r="V231" s="25">
        <f>IF(AND(Q231=1,L231&lt;&gt;""),SUBSTITUTE(SUBSTITUTE(SUBSTITUTE(SUBSTITUTE(SUBSTITUTE(SUBSTITUTE(SUBSTITUTE(SUBSTITUTE(SUBSTITUTE(SUBSTITUTE(SUBSTITUTE(SUBSTITUTE(LOWER(TRIM(L231)),"á","a"),"é","e"),"í","i"),"ó","o"),"ú","u"),"ü","u"),"ñ","n"),"à","a"),"è","e"),"ì","i"),"ò","o"),"ù","u"),"")</f>
        <v/>
      </c>
      <c r="W231" s="25">
        <f>IF(AND(Q231=1,I231&lt;&gt;""),SUBSTITUTE(SUBSTITUTE(SUBSTITUTE(SUBSTITUTE(SUBSTITUTE(SUBSTITUTE(SUBSTITUTE(SUBSTITUTE(SUBSTITUTE(SUBSTITUTE(SUBSTITUTE(SUBSTITUTE(LOWER(TRIM(I231)),"á","a"),"é","e"),"í","i"),"ó","o"),"ú","u"),"ü","u"),"ñ","n"),"à","a"),"è","e"),"ì","i"),"ò","o"),"ù","u"),"")</f>
        <v/>
      </c>
      <c r="X231" s="25">
        <f>IF(U231="","",IF(OR(U231="si, en la proxima tarea",U231="si, con cambios"),1,0))</f>
        <v/>
      </c>
      <c r="Y231" s="25">
        <f>IF(AND(Q231=1,A231&lt;&gt;""),IF(IFERROR(COUNTIFS(A$3:A231,"="&amp;SUBSTITUTE(SUBSTITUTE(SUBSTITUTE(A231,"~","~~"),"*","~*"),"?","~?"),Q$3:Q231,1),0)=1,MAX(Y$2:Y230)+1,""),"")</f>
        <v/>
      </c>
      <c r="Z231" s="25">
        <f>IF(Y231="","",COUNTIFS($A$3:$A$1002,"="&amp;SUBSTITUTE(SUBSTITUTE(SUBSTITUTE(A231,"~","~~"),"*","~*"),"?","~?"),$Q$3:$Q$1002,1)*10000-Y231)</f>
        <v/>
      </c>
    </row>
    <row r="232">
      <c r="A232">
        <f>IF(A$2=0,"",IFERROR(TRIM(INDEX('Pegar docentes'!$A$1:$BZ$1001,231,A$2)&amp;""),""))</f>
        <v/>
      </c>
      <c r="B232">
        <f>IF(B$2=0,"",IFERROR(TRIM(INDEX('Pegar docentes'!$A$1:$BZ$1001,231,B$2)&amp;""),""))</f>
        <v/>
      </c>
      <c r="C232">
        <f>IF(C$2=0,"",IFERROR(TRIM(INDEX('Pegar docentes'!$A$1:$BZ$1001,231,C$2)&amp;""),""))</f>
        <v/>
      </c>
      <c r="D232">
        <f>IF(D$2=0,"",IFERROR(TRIM(INDEX('Pegar docentes'!$A$1:$BZ$1001,231,D$2)&amp;""),""))</f>
        <v/>
      </c>
      <c r="E232">
        <f>IF(E$2=0,"",IFERROR(TRIM(INDEX('Pegar docentes'!$A$1:$BZ$1001,231,E$2)&amp;""),""))</f>
        <v/>
      </c>
      <c r="F232">
        <f>IF(F$2=0,"",IFERROR(TRIM(INDEX('Pegar docentes'!$A$1:$BZ$1001,231,F$2)&amp;""),""))</f>
        <v/>
      </c>
      <c r="G232">
        <f>IF(G$2=0,"",IFERROR(TRIM(INDEX('Pegar docentes'!$A$1:$BZ$1001,231,G$2)&amp;""),""))</f>
        <v/>
      </c>
      <c r="H232">
        <f>IF(H$2=0,"",IFERROR(TRIM(INDEX('Pegar docentes'!$A$1:$BZ$1001,231,H$2)&amp;""),""))</f>
        <v/>
      </c>
      <c r="I232">
        <f>IF(I$2=0,"",IFERROR(TRIM(INDEX('Pegar docentes'!$A$1:$BZ$1001,231,I$2)&amp;""),""))</f>
        <v/>
      </c>
      <c r="J232">
        <f>IF(J$2=0,"",IFERROR(TRIM(INDEX('Pegar docentes'!$A$1:$BZ$1001,231,J$2)&amp;""),""))</f>
        <v/>
      </c>
      <c r="K232">
        <f>IF(K$2=0,"",IFERROR(TRIM(INDEX('Pegar docentes'!$A$1:$BZ$1001,231,K$2)&amp;""),""))</f>
        <v/>
      </c>
      <c r="L232">
        <f>IF(L$2=0,"",IFERROR(TRIM(INDEX('Pegar docentes'!$A$1:$BZ$1001,231,L$2)&amp;""),""))</f>
        <v/>
      </c>
      <c r="M232">
        <f>IF(M$2=0,"",IFERROR(TRIM(INDEX('Pegar docentes'!$A$1:$BZ$1001,231,M$2)&amp;""),""))</f>
        <v/>
      </c>
      <c r="N232">
        <f>IF(N$2=0,"",IFERROR(TRIM(INDEX('Pegar docentes'!$A$1:$BZ$1001,231,N$2)&amp;""),""))</f>
        <v/>
      </c>
      <c r="O232">
        <f>IF(O$2=0,"",IFERROR(TRIM(INDEX('Pegar docentes'!$A$1:$BZ$1001,231,O$2)&amp;""),""))</f>
        <v/>
      </c>
      <c r="P232">
        <f>IF(P$2=0,"",IFERROR(TRIM(INDEX('Pegar docentes'!$A$1:$BZ$1001,231,P$2)&amp;""),""))</f>
        <v/>
      </c>
      <c r="Q232" s="25">
        <f>IF(OR(D232&lt;&gt;"",H232&lt;&gt;""),1,"")</f>
        <v/>
      </c>
      <c r="R232" s="25">
        <f>IF(Q232=1,IF(ISNUMBER(FIND("#"&amp;MID(D232,1,1)&amp;"#","#0#1#2#3#4#5#6#7#8#9#")),IF(ISNUMBER(FIND("#"&amp;MID(D232,2,1)&amp;"#","#0#1#2#3#4#5#6#7#8#9#")),IF(AND(VALUE(LEFT(D232,2))&gt;=1,VALUE(LEFT(D232,2))&lt;=5),VALUE(LEFT(D232,2)),""),IF(AND(VALUE(LEFT(D232,1))&gt;=1,VALUE(LEFT(D232,1))&lt;=5),VALUE(LEFT(D232,1)),"")),""),"")</f>
        <v/>
      </c>
      <c r="S232" s="25">
        <f>IF(AND(Q232=1,E232&lt;&gt;""),SUBSTITUTE(SUBSTITUTE(SUBSTITUTE(SUBSTITUTE(SUBSTITUTE(SUBSTITUTE(SUBSTITUTE(SUBSTITUTE(SUBSTITUTE(SUBSTITUTE(SUBSTITUTE(SUBSTITUTE(LOWER(TRIM(E232)),"á","a"),"é","e"),"í","i"),"ó","o"),"ú","u"),"ü","u"),"ñ","n"),"à","a"),"è","e"),"ì","i"),"ò","o"),"ù","u"),"")</f>
        <v/>
      </c>
      <c r="T232" s="25">
        <f>IF(AND(Q232=1,G232&lt;&gt;""),SUBSTITUTE(SUBSTITUTE(SUBSTITUTE(SUBSTITUTE(SUBSTITUTE(SUBSTITUTE(SUBSTITUTE(SUBSTITUTE(SUBSTITUTE(SUBSTITUTE(SUBSTITUTE(SUBSTITUTE(LOWER(TRIM(G232)),"á","a"),"é","e"),"í","i"),"ó","o"),"ú","u"),"ü","u"),"ñ","n"),"à","a"),"è","e"),"ì","i"),"ò","o"),"ù","u"),"")</f>
        <v/>
      </c>
      <c r="U232" s="25">
        <f>IF(AND(Q232=1,H232&lt;&gt;""),SUBSTITUTE(SUBSTITUTE(SUBSTITUTE(SUBSTITUTE(SUBSTITUTE(SUBSTITUTE(SUBSTITUTE(SUBSTITUTE(SUBSTITUTE(SUBSTITUTE(SUBSTITUTE(SUBSTITUTE(LOWER(TRIM(H232)),"á","a"),"é","e"),"í","i"),"ó","o"),"ú","u"),"ü","u"),"ñ","n"),"à","a"),"è","e"),"ì","i"),"ò","o"),"ù","u"),"")</f>
        <v/>
      </c>
      <c r="V232" s="25">
        <f>IF(AND(Q232=1,L232&lt;&gt;""),SUBSTITUTE(SUBSTITUTE(SUBSTITUTE(SUBSTITUTE(SUBSTITUTE(SUBSTITUTE(SUBSTITUTE(SUBSTITUTE(SUBSTITUTE(SUBSTITUTE(SUBSTITUTE(SUBSTITUTE(LOWER(TRIM(L232)),"á","a"),"é","e"),"í","i"),"ó","o"),"ú","u"),"ü","u"),"ñ","n"),"à","a"),"è","e"),"ì","i"),"ò","o"),"ù","u"),"")</f>
        <v/>
      </c>
      <c r="W232" s="25">
        <f>IF(AND(Q232=1,I232&lt;&gt;""),SUBSTITUTE(SUBSTITUTE(SUBSTITUTE(SUBSTITUTE(SUBSTITUTE(SUBSTITUTE(SUBSTITUTE(SUBSTITUTE(SUBSTITUTE(SUBSTITUTE(SUBSTITUTE(SUBSTITUTE(LOWER(TRIM(I232)),"á","a"),"é","e"),"í","i"),"ó","o"),"ú","u"),"ü","u"),"ñ","n"),"à","a"),"è","e"),"ì","i"),"ò","o"),"ù","u"),"")</f>
        <v/>
      </c>
      <c r="X232" s="25">
        <f>IF(U232="","",IF(OR(U232="si, en la proxima tarea",U232="si, con cambios"),1,0))</f>
        <v/>
      </c>
      <c r="Y232" s="25">
        <f>IF(AND(Q232=1,A232&lt;&gt;""),IF(IFERROR(COUNTIFS(A$3:A232,"="&amp;SUBSTITUTE(SUBSTITUTE(SUBSTITUTE(A232,"~","~~"),"*","~*"),"?","~?"),Q$3:Q232,1),0)=1,MAX(Y$2:Y231)+1,""),"")</f>
        <v/>
      </c>
      <c r="Z232" s="25">
        <f>IF(Y232="","",COUNTIFS($A$3:$A$1002,"="&amp;SUBSTITUTE(SUBSTITUTE(SUBSTITUTE(A232,"~","~~"),"*","~*"),"?","~?"),$Q$3:$Q$1002,1)*10000-Y232)</f>
        <v/>
      </c>
    </row>
    <row r="233">
      <c r="A233">
        <f>IF(A$2=0,"",IFERROR(TRIM(INDEX('Pegar docentes'!$A$1:$BZ$1001,232,A$2)&amp;""),""))</f>
        <v/>
      </c>
      <c r="B233">
        <f>IF(B$2=0,"",IFERROR(TRIM(INDEX('Pegar docentes'!$A$1:$BZ$1001,232,B$2)&amp;""),""))</f>
        <v/>
      </c>
      <c r="C233">
        <f>IF(C$2=0,"",IFERROR(TRIM(INDEX('Pegar docentes'!$A$1:$BZ$1001,232,C$2)&amp;""),""))</f>
        <v/>
      </c>
      <c r="D233">
        <f>IF(D$2=0,"",IFERROR(TRIM(INDEX('Pegar docentes'!$A$1:$BZ$1001,232,D$2)&amp;""),""))</f>
        <v/>
      </c>
      <c r="E233">
        <f>IF(E$2=0,"",IFERROR(TRIM(INDEX('Pegar docentes'!$A$1:$BZ$1001,232,E$2)&amp;""),""))</f>
        <v/>
      </c>
      <c r="F233">
        <f>IF(F$2=0,"",IFERROR(TRIM(INDEX('Pegar docentes'!$A$1:$BZ$1001,232,F$2)&amp;""),""))</f>
        <v/>
      </c>
      <c r="G233">
        <f>IF(G$2=0,"",IFERROR(TRIM(INDEX('Pegar docentes'!$A$1:$BZ$1001,232,G$2)&amp;""),""))</f>
        <v/>
      </c>
      <c r="H233">
        <f>IF(H$2=0,"",IFERROR(TRIM(INDEX('Pegar docentes'!$A$1:$BZ$1001,232,H$2)&amp;""),""))</f>
        <v/>
      </c>
      <c r="I233">
        <f>IF(I$2=0,"",IFERROR(TRIM(INDEX('Pegar docentes'!$A$1:$BZ$1001,232,I$2)&amp;""),""))</f>
        <v/>
      </c>
      <c r="J233">
        <f>IF(J$2=0,"",IFERROR(TRIM(INDEX('Pegar docentes'!$A$1:$BZ$1001,232,J$2)&amp;""),""))</f>
        <v/>
      </c>
      <c r="K233">
        <f>IF(K$2=0,"",IFERROR(TRIM(INDEX('Pegar docentes'!$A$1:$BZ$1001,232,K$2)&amp;""),""))</f>
        <v/>
      </c>
      <c r="L233">
        <f>IF(L$2=0,"",IFERROR(TRIM(INDEX('Pegar docentes'!$A$1:$BZ$1001,232,L$2)&amp;""),""))</f>
        <v/>
      </c>
      <c r="M233">
        <f>IF(M$2=0,"",IFERROR(TRIM(INDEX('Pegar docentes'!$A$1:$BZ$1001,232,M$2)&amp;""),""))</f>
        <v/>
      </c>
      <c r="N233">
        <f>IF(N$2=0,"",IFERROR(TRIM(INDEX('Pegar docentes'!$A$1:$BZ$1001,232,N$2)&amp;""),""))</f>
        <v/>
      </c>
      <c r="O233">
        <f>IF(O$2=0,"",IFERROR(TRIM(INDEX('Pegar docentes'!$A$1:$BZ$1001,232,O$2)&amp;""),""))</f>
        <v/>
      </c>
      <c r="P233">
        <f>IF(P$2=0,"",IFERROR(TRIM(INDEX('Pegar docentes'!$A$1:$BZ$1001,232,P$2)&amp;""),""))</f>
        <v/>
      </c>
      <c r="Q233" s="25">
        <f>IF(OR(D233&lt;&gt;"",H233&lt;&gt;""),1,"")</f>
        <v/>
      </c>
      <c r="R233" s="25">
        <f>IF(Q233=1,IF(ISNUMBER(FIND("#"&amp;MID(D233,1,1)&amp;"#","#0#1#2#3#4#5#6#7#8#9#")),IF(ISNUMBER(FIND("#"&amp;MID(D233,2,1)&amp;"#","#0#1#2#3#4#5#6#7#8#9#")),IF(AND(VALUE(LEFT(D233,2))&gt;=1,VALUE(LEFT(D233,2))&lt;=5),VALUE(LEFT(D233,2)),""),IF(AND(VALUE(LEFT(D233,1))&gt;=1,VALUE(LEFT(D233,1))&lt;=5),VALUE(LEFT(D233,1)),"")),""),"")</f>
        <v/>
      </c>
      <c r="S233" s="25">
        <f>IF(AND(Q233=1,E233&lt;&gt;""),SUBSTITUTE(SUBSTITUTE(SUBSTITUTE(SUBSTITUTE(SUBSTITUTE(SUBSTITUTE(SUBSTITUTE(SUBSTITUTE(SUBSTITUTE(SUBSTITUTE(SUBSTITUTE(SUBSTITUTE(LOWER(TRIM(E233)),"á","a"),"é","e"),"í","i"),"ó","o"),"ú","u"),"ü","u"),"ñ","n"),"à","a"),"è","e"),"ì","i"),"ò","o"),"ù","u"),"")</f>
        <v/>
      </c>
      <c r="T233" s="25">
        <f>IF(AND(Q233=1,G233&lt;&gt;""),SUBSTITUTE(SUBSTITUTE(SUBSTITUTE(SUBSTITUTE(SUBSTITUTE(SUBSTITUTE(SUBSTITUTE(SUBSTITUTE(SUBSTITUTE(SUBSTITUTE(SUBSTITUTE(SUBSTITUTE(LOWER(TRIM(G233)),"á","a"),"é","e"),"í","i"),"ó","o"),"ú","u"),"ü","u"),"ñ","n"),"à","a"),"è","e"),"ì","i"),"ò","o"),"ù","u"),"")</f>
        <v/>
      </c>
      <c r="U233" s="25">
        <f>IF(AND(Q233=1,H233&lt;&gt;""),SUBSTITUTE(SUBSTITUTE(SUBSTITUTE(SUBSTITUTE(SUBSTITUTE(SUBSTITUTE(SUBSTITUTE(SUBSTITUTE(SUBSTITUTE(SUBSTITUTE(SUBSTITUTE(SUBSTITUTE(LOWER(TRIM(H233)),"á","a"),"é","e"),"í","i"),"ó","o"),"ú","u"),"ü","u"),"ñ","n"),"à","a"),"è","e"),"ì","i"),"ò","o"),"ù","u"),"")</f>
        <v/>
      </c>
      <c r="V233" s="25">
        <f>IF(AND(Q233=1,L233&lt;&gt;""),SUBSTITUTE(SUBSTITUTE(SUBSTITUTE(SUBSTITUTE(SUBSTITUTE(SUBSTITUTE(SUBSTITUTE(SUBSTITUTE(SUBSTITUTE(SUBSTITUTE(SUBSTITUTE(SUBSTITUTE(LOWER(TRIM(L233)),"á","a"),"é","e"),"í","i"),"ó","o"),"ú","u"),"ü","u"),"ñ","n"),"à","a"),"è","e"),"ì","i"),"ò","o"),"ù","u"),"")</f>
        <v/>
      </c>
      <c r="W233" s="25">
        <f>IF(AND(Q233=1,I233&lt;&gt;""),SUBSTITUTE(SUBSTITUTE(SUBSTITUTE(SUBSTITUTE(SUBSTITUTE(SUBSTITUTE(SUBSTITUTE(SUBSTITUTE(SUBSTITUTE(SUBSTITUTE(SUBSTITUTE(SUBSTITUTE(LOWER(TRIM(I233)),"á","a"),"é","e"),"í","i"),"ó","o"),"ú","u"),"ü","u"),"ñ","n"),"à","a"),"è","e"),"ì","i"),"ò","o"),"ù","u"),"")</f>
        <v/>
      </c>
      <c r="X233" s="25">
        <f>IF(U233="","",IF(OR(U233="si, en la proxima tarea",U233="si, con cambios"),1,0))</f>
        <v/>
      </c>
      <c r="Y233" s="25">
        <f>IF(AND(Q233=1,A233&lt;&gt;""),IF(IFERROR(COUNTIFS(A$3:A233,"="&amp;SUBSTITUTE(SUBSTITUTE(SUBSTITUTE(A233,"~","~~"),"*","~*"),"?","~?"),Q$3:Q233,1),0)=1,MAX(Y$2:Y232)+1,""),"")</f>
        <v/>
      </c>
      <c r="Z233" s="25">
        <f>IF(Y233="","",COUNTIFS($A$3:$A$1002,"="&amp;SUBSTITUTE(SUBSTITUTE(SUBSTITUTE(A233,"~","~~"),"*","~*"),"?","~?"),$Q$3:$Q$1002,1)*10000-Y233)</f>
        <v/>
      </c>
    </row>
    <row r="234">
      <c r="A234">
        <f>IF(A$2=0,"",IFERROR(TRIM(INDEX('Pegar docentes'!$A$1:$BZ$1001,233,A$2)&amp;""),""))</f>
        <v/>
      </c>
      <c r="B234">
        <f>IF(B$2=0,"",IFERROR(TRIM(INDEX('Pegar docentes'!$A$1:$BZ$1001,233,B$2)&amp;""),""))</f>
        <v/>
      </c>
      <c r="C234">
        <f>IF(C$2=0,"",IFERROR(TRIM(INDEX('Pegar docentes'!$A$1:$BZ$1001,233,C$2)&amp;""),""))</f>
        <v/>
      </c>
      <c r="D234">
        <f>IF(D$2=0,"",IFERROR(TRIM(INDEX('Pegar docentes'!$A$1:$BZ$1001,233,D$2)&amp;""),""))</f>
        <v/>
      </c>
      <c r="E234">
        <f>IF(E$2=0,"",IFERROR(TRIM(INDEX('Pegar docentes'!$A$1:$BZ$1001,233,E$2)&amp;""),""))</f>
        <v/>
      </c>
      <c r="F234">
        <f>IF(F$2=0,"",IFERROR(TRIM(INDEX('Pegar docentes'!$A$1:$BZ$1001,233,F$2)&amp;""),""))</f>
        <v/>
      </c>
      <c r="G234">
        <f>IF(G$2=0,"",IFERROR(TRIM(INDEX('Pegar docentes'!$A$1:$BZ$1001,233,G$2)&amp;""),""))</f>
        <v/>
      </c>
      <c r="H234">
        <f>IF(H$2=0,"",IFERROR(TRIM(INDEX('Pegar docentes'!$A$1:$BZ$1001,233,H$2)&amp;""),""))</f>
        <v/>
      </c>
      <c r="I234">
        <f>IF(I$2=0,"",IFERROR(TRIM(INDEX('Pegar docentes'!$A$1:$BZ$1001,233,I$2)&amp;""),""))</f>
        <v/>
      </c>
      <c r="J234">
        <f>IF(J$2=0,"",IFERROR(TRIM(INDEX('Pegar docentes'!$A$1:$BZ$1001,233,J$2)&amp;""),""))</f>
        <v/>
      </c>
      <c r="K234">
        <f>IF(K$2=0,"",IFERROR(TRIM(INDEX('Pegar docentes'!$A$1:$BZ$1001,233,K$2)&amp;""),""))</f>
        <v/>
      </c>
      <c r="L234">
        <f>IF(L$2=0,"",IFERROR(TRIM(INDEX('Pegar docentes'!$A$1:$BZ$1001,233,L$2)&amp;""),""))</f>
        <v/>
      </c>
      <c r="M234">
        <f>IF(M$2=0,"",IFERROR(TRIM(INDEX('Pegar docentes'!$A$1:$BZ$1001,233,M$2)&amp;""),""))</f>
        <v/>
      </c>
      <c r="N234">
        <f>IF(N$2=0,"",IFERROR(TRIM(INDEX('Pegar docentes'!$A$1:$BZ$1001,233,N$2)&amp;""),""))</f>
        <v/>
      </c>
      <c r="O234">
        <f>IF(O$2=0,"",IFERROR(TRIM(INDEX('Pegar docentes'!$A$1:$BZ$1001,233,O$2)&amp;""),""))</f>
        <v/>
      </c>
      <c r="P234">
        <f>IF(P$2=0,"",IFERROR(TRIM(INDEX('Pegar docentes'!$A$1:$BZ$1001,233,P$2)&amp;""),""))</f>
        <v/>
      </c>
      <c r="Q234" s="25">
        <f>IF(OR(D234&lt;&gt;"",H234&lt;&gt;""),1,"")</f>
        <v/>
      </c>
      <c r="R234" s="25">
        <f>IF(Q234=1,IF(ISNUMBER(FIND("#"&amp;MID(D234,1,1)&amp;"#","#0#1#2#3#4#5#6#7#8#9#")),IF(ISNUMBER(FIND("#"&amp;MID(D234,2,1)&amp;"#","#0#1#2#3#4#5#6#7#8#9#")),IF(AND(VALUE(LEFT(D234,2))&gt;=1,VALUE(LEFT(D234,2))&lt;=5),VALUE(LEFT(D234,2)),""),IF(AND(VALUE(LEFT(D234,1))&gt;=1,VALUE(LEFT(D234,1))&lt;=5),VALUE(LEFT(D234,1)),"")),""),"")</f>
        <v/>
      </c>
      <c r="S234" s="25">
        <f>IF(AND(Q234=1,E234&lt;&gt;""),SUBSTITUTE(SUBSTITUTE(SUBSTITUTE(SUBSTITUTE(SUBSTITUTE(SUBSTITUTE(SUBSTITUTE(SUBSTITUTE(SUBSTITUTE(SUBSTITUTE(SUBSTITUTE(SUBSTITUTE(LOWER(TRIM(E234)),"á","a"),"é","e"),"í","i"),"ó","o"),"ú","u"),"ü","u"),"ñ","n"),"à","a"),"è","e"),"ì","i"),"ò","o"),"ù","u"),"")</f>
        <v/>
      </c>
      <c r="T234" s="25">
        <f>IF(AND(Q234=1,G234&lt;&gt;""),SUBSTITUTE(SUBSTITUTE(SUBSTITUTE(SUBSTITUTE(SUBSTITUTE(SUBSTITUTE(SUBSTITUTE(SUBSTITUTE(SUBSTITUTE(SUBSTITUTE(SUBSTITUTE(SUBSTITUTE(LOWER(TRIM(G234)),"á","a"),"é","e"),"í","i"),"ó","o"),"ú","u"),"ü","u"),"ñ","n"),"à","a"),"è","e"),"ì","i"),"ò","o"),"ù","u"),"")</f>
        <v/>
      </c>
      <c r="U234" s="25">
        <f>IF(AND(Q234=1,H234&lt;&gt;""),SUBSTITUTE(SUBSTITUTE(SUBSTITUTE(SUBSTITUTE(SUBSTITUTE(SUBSTITUTE(SUBSTITUTE(SUBSTITUTE(SUBSTITUTE(SUBSTITUTE(SUBSTITUTE(SUBSTITUTE(LOWER(TRIM(H234)),"á","a"),"é","e"),"í","i"),"ó","o"),"ú","u"),"ü","u"),"ñ","n"),"à","a"),"è","e"),"ì","i"),"ò","o"),"ù","u"),"")</f>
        <v/>
      </c>
      <c r="V234" s="25">
        <f>IF(AND(Q234=1,L234&lt;&gt;""),SUBSTITUTE(SUBSTITUTE(SUBSTITUTE(SUBSTITUTE(SUBSTITUTE(SUBSTITUTE(SUBSTITUTE(SUBSTITUTE(SUBSTITUTE(SUBSTITUTE(SUBSTITUTE(SUBSTITUTE(LOWER(TRIM(L234)),"á","a"),"é","e"),"í","i"),"ó","o"),"ú","u"),"ü","u"),"ñ","n"),"à","a"),"è","e"),"ì","i"),"ò","o"),"ù","u"),"")</f>
        <v/>
      </c>
      <c r="W234" s="25">
        <f>IF(AND(Q234=1,I234&lt;&gt;""),SUBSTITUTE(SUBSTITUTE(SUBSTITUTE(SUBSTITUTE(SUBSTITUTE(SUBSTITUTE(SUBSTITUTE(SUBSTITUTE(SUBSTITUTE(SUBSTITUTE(SUBSTITUTE(SUBSTITUTE(LOWER(TRIM(I234)),"á","a"),"é","e"),"í","i"),"ó","o"),"ú","u"),"ü","u"),"ñ","n"),"à","a"),"è","e"),"ì","i"),"ò","o"),"ù","u"),"")</f>
        <v/>
      </c>
      <c r="X234" s="25">
        <f>IF(U234="","",IF(OR(U234="si, en la proxima tarea",U234="si, con cambios"),1,0))</f>
        <v/>
      </c>
      <c r="Y234" s="25">
        <f>IF(AND(Q234=1,A234&lt;&gt;""),IF(IFERROR(COUNTIFS(A$3:A234,"="&amp;SUBSTITUTE(SUBSTITUTE(SUBSTITUTE(A234,"~","~~"),"*","~*"),"?","~?"),Q$3:Q234,1),0)=1,MAX(Y$2:Y233)+1,""),"")</f>
        <v/>
      </c>
      <c r="Z234" s="25">
        <f>IF(Y234="","",COUNTIFS($A$3:$A$1002,"="&amp;SUBSTITUTE(SUBSTITUTE(SUBSTITUTE(A234,"~","~~"),"*","~*"),"?","~?"),$Q$3:$Q$1002,1)*10000-Y234)</f>
        <v/>
      </c>
    </row>
    <row r="235">
      <c r="A235">
        <f>IF(A$2=0,"",IFERROR(TRIM(INDEX('Pegar docentes'!$A$1:$BZ$1001,234,A$2)&amp;""),""))</f>
        <v/>
      </c>
      <c r="B235">
        <f>IF(B$2=0,"",IFERROR(TRIM(INDEX('Pegar docentes'!$A$1:$BZ$1001,234,B$2)&amp;""),""))</f>
        <v/>
      </c>
      <c r="C235">
        <f>IF(C$2=0,"",IFERROR(TRIM(INDEX('Pegar docentes'!$A$1:$BZ$1001,234,C$2)&amp;""),""))</f>
        <v/>
      </c>
      <c r="D235">
        <f>IF(D$2=0,"",IFERROR(TRIM(INDEX('Pegar docentes'!$A$1:$BZ$1001,234,D$2)&amp;""),""))</f>
        <v/>
      </c>
      <c r="E235">
        <f>IF(E$2=0,"",IFERROR(TRIM(INDEX('Pegar docentes'!$A$1:$BZ$1001,234,E$2)&amp;""),""))</f>
        <v/>
      </c>
      <c r="F235">
        <f>IF(F$2=0,"",IFERROR(TRIM(INDEX('Pegar docentes'!$A$1:$BZ$1001,234,F$2)&amp;""),""))</f>
        <v/>
      </c>
      <c r="G235">
        <f>IF(G$2=0,"",IFERROR(TRIM(INDEX('Pegar docentes'!$A$1:$BZ$1001,234,G$2)&amp;""),""))</f>
        <v/>
      </c>
      <c r="H235">
        <f>IF(H$2=0,"",IFERROR(TRIM(INDEX('Pegar docentes'!$A$1:$BZ$1001,234,H$2)&amp;""),""))</f>
        <v/>
      </c>
      <c r="I235">
        <f>IF(I$2=0,"",IFERROR(TRIM(INDEX('Pegar docentes'!$A$1:$BZ$1001,234,I$2)&amp;""),""))</f>
        <v/>
      </c>
      <c r="J235">
        <f>IF(J$2=0,"",IFERROR(TRIM(INDEX('Pegar docentes'!$A$1:$BZ$1001,234,J$2)&amp;""),""))</f>
        <v/>
      </c>
      <c r="K235">
        <f>IF(K$2=0,"",IFERROR(TRIM(INDEX('Pegar docentes'!$A$1:$BZ$1001,234,K$2)&amp;""),""))</f>
        <v/>
      </c>
      <c r="L235">
        <f>IF(L$2=0,"",IFERROR(TRIM(INDEX('Pegar docentes'!$A$1:$BZ$1001,234,L$2)&amp;""),""))</f>
        <v/>
      </c>
      <c r="M235">
        <f>IF(M$2=0,"",IFERROR(TRIM(INDEX('Pegar docentes'!$A$1:$BZ$1001,234,M$2)&amp;""),""))</f>
        <v/>
      </c>
      <c r="N235">
        <f>IF(N$2=0,"",IFERROR(TRIM(INDEX('Pegar docentes'!$A$1:$BZ$1001,234,N$2)&amp;""),""))</f>
        <v/>
      </c>
      <c r="O235">
        <f>IF(O$2=0,"",IFERROR(TRIM(INDEX('Pegar docentes'!$A$1:$BZ$1001,234,O$2)&amp;""),""))</f>
        <v/>
      </c>
      <c r="P235">
        <f>IF(P$2=0,"",IFERROR(TRIM(INDEX('Pegar docentes'!$A$1:$BZ$1001,234,P$2)&amp;""),""))</f>
        <v/>
      </c>
      <c r="Q235" s="25">
        <f>IF(OR(D235&lt;&gt;"",H235&lt;&gt;""),1,"")</f>
        <v/>
      </c>
      <c r="R235" s="25">
        <f>IF(Q235=1,IF(ISNUMBER(FIND("#"&amp;MID(D235,1,1)&amp;"#","#0#1#2#3#4#5#6#7#8#9#")),IF(ISNUMBER(FIND("#"&amp;MID(D235,2,1)&amp;"#","#0#1#2#3#4#5#6#7#8#9#")),IF(AND(VALUE(LEFT(D235,2))&gt;=1,VALUE(LEFT(D235,2))&lt;=5),VALUE(LEFT(D235,2)),""),IF(AND(VALUE(LEFT(D235,1))&gt;=1,VALUE(LEFT(D235,1))&lt;=5),VALUE(LEFT(D235,1)),"")),""),"")</f>
        <v/>
      </c>
      <c r="S235" s="25">
        <f>IF(AND(Q235=1,E235&lt;&gt;""),SUBSTITUTE(SUBSTITUTE(SUBSTITUTE(SUBSTITUTE(SUBSTITUTE(SUBSTITUTE(SUBSTITUTE(SUBSTITUTE(SUBSTITUTE(SUBSTITUTE(SUBSTITUTE(SUBSTITUTE(LOWER(TRIM(E235)),"á","a"),"é","e"),"í","i"),"ó","o"),"ú","u"),"ü","u"),"ñ","n"),"à","a"),"è","e"),"ì","i"),"ò","o"),"ù","u"),"")</f>
        <v/>
      </c>
      <c r="T235" s="25">
        <f>IF(AND(Q235=1,G235&lt;&gt;""),SUBSTITUTE(SUBSTITUTE(SUBSTITUTE(SUBSTITUTE(SUBSTITUTE(SUBSTITUTE(SUBSTITUTE(SUBSTITUTE(SUBSTITUTE(SUBSTITUTE(SUBSTITUTE(SUBSTITUTE(LOWER(TRIM(G235)),"á","a"),"é","e"),"í","i"),"ó","o"),"ú","u"),"ü","u"),"ñ","n"),"à","a"),"è","e"),"ì","i"),"ò","o"),"ù","u"),"")</f>
        <v/>
      </c>
      <c r="U235" s="25">
        <f>IF(AND(Q235=1,H235&lt;&gt;""),SUBSTITUTE(SUBSTITUTE(SUBSTITUTE(SUBSTITUTE(SUBSTITUTE(SUBSTITUTE(SUBSTITUTE(SUBSTITUTE(SUBSTITUTE(SUBSTITUTE(SUBSTITUTE(SUBSTITUTE(LOWER(TRIM(H235)),"á","a"),"é","e"),"í","i"),"ó","o"),"ú","u"),"ü","u"),"ñ","n"),"à","a"),"è","e"),"ì","i"),"ò","o"),"ù","u"),"")</f>
        <v/>
      </c>
      <c r="V235" s="25">
        <f>IF(AND(Q235=1,L235&lt;&gt;""),SUBSTITUTE(SUBSTITUTE(SUBSTITUTE(SUBSTITUTE(SUBSTITUTE(SUBSTITUTE(SUBSTITUTE(SUBSTITUTE(SUBSTITUTE(SUBSTITUTE(SUBSTITUTE(SUBSTITUTE(LOWER(TRIM(L235)),"á","a"),"é","e"),"í","i"),"ó","o"),"ú","u"),"ü","u"),"ñ","n"),"à","a"),"è","e"),"ì","i"),"ò","o"),"ù","u"),"")</f>
        <v/>
      </c>
      <c r="W235" s="25">
        <f>IF(AND(Q235=1,I235&lt;&gt;""),SUBSTITUTE(SUBSTITUTE(SUBSTITUTE(SUBSTITUTE(SUBSTITUTE(SUBSTITUTE(SUBSTITUTE(SUBSTITUTE(SUBSTITUTE(SUBSTITUTE(SUBSTITUTE(SUBSTITUTE(LOWER(TRIM(I235)),"á","a"),"é","e"),"í","i"),"ó","o"),"ú","u"),"ü","u"),"ñ","n"),"à","a"),"è","e"),"ì","i"),"ò","o"),"ù","u"),"")</f>
        <v/>
      </c>
      <c r="X235" s="25">
        <f>IF(U235="","",IF(OR(U235="si, en la proxima tarea",U235="si, con cambios"),1,0))</f>
        <v/>
      </c>
      <c r="Y235" s="25">
        <f>IF(AND(Q235=1,A235&lt;&gt;""),IF(IFERROR(COUNTIFS(A$3:A235,"="&amp;SUBSTITUTE(SUBSTITUTE(SUBSTITUTE(A235,"~","~~"),"*","~*"),"?","~?"),Q$3:Q235,1),0)=1,MAX(Y$2:Y234)+1,""),"")</f>
        <v/>
      </c>
      <c r="Z235" s="25">
        <f>IF(Y235="","",COUNTIFS($A$3:$A$1002,"="&amp;SUBSTITUTE(SUBSTITUTE(SUBSTITUTE(A235,"~","~~"),"*","~*"),"?","~?"),$Q$3:$Q$1002,1)*10000-Y235)</f>
        <v/>
      </c>
    </row>
    <row r="236">
      <c r="A236">
        <f>IF(A$2=0,"",IFERROR(TRIM(INDEX('Pegar docentes'!$A$1:$BZ$1001,235,A$2)&amp;""),""))</f>
        <v/>
      </c>
      <c r="B236">
        <f>IF(B$2=0,"",IFERROR(TRIM(INDEX('Pegar docentes'!$A$1:$BZ$1001,235,B$2)&amp;""),""))</f>
        <v/>
      </c>
      <c r="C236">
        <f>IF(C$2=0,"",IFERROR(TRIM(INDEX('Pegar docentes'!$A$1:$BZ$1001,235,C$2)&amp;""),""))</f>
        <v/>
      </c>
      <c r="D236">
        <f>IF(D$2=0,"",IFERROR(TRIM(INDEX('Pegar docentes'!$A$1:$BZ$1001,235,D$2)&amp;""),""))</f>
        <v/>
      </c>
      <c r="E236">
        <f>IF(E$2=0,"",IFERROR(TRIM(INDEX('Pegar docentes'!$A$1:$BZ$1001,235,E$2)&amp;""),""))</f>
        <v/>
      </c>
      <c r="F236">
        <f>IF(F$2=0,"",IFERROR(TRIM(INDEX('Pegar docentes'!$A$1:$BZ$1001,235,F$2)&amp;""),""))</f>
        <v/>
      </c>
      <c r="G236">
        <f>IF(G$2=0,"",IFERROR(TRIM(INDEX('Pegar docentes'!$A$1:$BZ$1001,235,G$2)&amp;""),""))</f>
        <v/>
      </c>
      <c r="H236">
        <f>IF(H$2=0,"",IFERROR(TRIM(INDEX('Pegar docentes'!$A$1:$BZ$1001,235,H$2)&amp;""),""))</f>
        <v/>
      </c>
      <c r="I236">
        <f>IF(I$2=0,"",IFERROR(TRIM(INDEX('Pegar docentes'!$A$1:$BZ$1001,235,I$2)&amp;""),""))</f>
        <v/>
      </c>
      <c r="J236">
        <f>IF(J$2=0,"",IFERROR(TRIM(INDEX('Pegar docentes'!$A$1:$BZ$1001,235,J$2)&amp;""),""))</f>
        <v/>
      </c>
      <c r="K236">
        <f>IF(K$2=0,"",IFERROR(TRIM(INDEX('Pegar docentes'!$A$1:$BZ$1001,235,K$2)&amp;""),""))</f>
        <v/>
      </c>
      <c r="L236">
        <f>IF(L$2=0,"",IFERROR(TRIM(INDEX('Pegar docentes'!$A$1:$BZ$1001,235,L$2)&amp;""),""))</f>
        <v/>
      </c>
      <c r="M236">
        <f>IF(M$2=0,"",IFERROR(TRIM(INDEX('Pegar docentes'!$A$1:$BZ$1001,235,M$2)&amp;""),""))</f>
        <v/>
      </c>
      <c r="N236">
        <f>IF(N$2=0,"",IFERROR(TRIM(INDEX('Pegar docentes'!$A$1:$BZ$1001,235,N$2)&amp;""),""))</f>
        <v/>
      </c>
      <c r="O236">
        <f>IF(O$2=0,"",IFERROR(TRIM(INDEX('Pegar docentes'!$A$1:$BZ$1001,235,O$2)&amp;""),""))</f>
        <v/>
      </c>
      <c r="P236">
        <f>IF(P$2=0,"",IFERROR(TRIM(INDEX('Pegar docentes'!$A$1:$BZ$1001,235,P$2)&amp;""),""))</f>
        <v/>
      </c>
      <c r="Q236" s="25">
        <f>IF(OR(D236&lt;&gt;"",H236&lt;&gt;""),1,"")</f>
        <v/>
      </c>
      <c r="R236" s="25">
        <f>IF(Q236=1,IF(ISNUMBER(FIND("#"&amp;MID(D236,1,1)&amp;"#","#0#1#2#3#4#5#6#7#8#9#")),IF(ISNUMBER(FIND("#"&amp;MID(D236,2,1)&amp;"#","#0#1#2#3#4#5#6#7#8#9#")),IF(AND(VALUE(LEFT(D236,2))&gt;=1,VALUE(LEFT(D236,2))&lt;=5),VALUE(LEFT(D236,2)),""),IF(AND(VALUE(LEFT(D236,1))&gt;=1,VALUE(LEFT(D236,1))&lt;=5),VALUE(LEFT(D236,1)),"")),""),"")</f>
        <v/>
      </c>
      <c r="S236" s="25">
        <f>IF(AND(Q236=1,E236&lt;&gt;""),SUBSTITUTE(SUBSTITUTE(SUBSTITUTE(SUBSTITUTE(SUBSTITUTE(SUBSTITUTE(SUBSTITUTE(SUBSTITUTE(SUBSTITUTE(SUBSTITUTE(SUBSTITUTE(SUBSTITUTE(LOWER(TRIM(E236)),"á","a"),"é","e"),"í","i"),"ó","o"),"ú","u"),"ü","u"),"ñ","n"),"à","a"),"è","e"),"ì","i"),"ò","o"),"ù","u"),"")</f>
        <v/>
      </c>
      <c r="T236" s="25">
        <f>IF(AND(Q236=1,G236&lt;&gt;""),SUBSTITUTE(SUBSTITUTE(SUBSTITUTE(SUBSTITUTE(SUBSTITUTE(SUBSTITUTE(SUBSTITUTE(SUBSTITUTE(SUBSTITUTE(SUBSTITUTE(SUBSTITUTE(SUBSTITUTE(LOWER(TRIM(G236)),"á","a"),"é","e"),"í","i"),"ó","o"),"ú","u"),"ü","u"),"ñ","n"),"à","a"),"è","e"),"ì","i"),"ò","o"),"ù","u"),"")</f>
        <v/>
      </c>
      <c r="U236" s="25">
        <f>IF(AND(Q236=1,H236&lt;&gt;""),SUBSTITUTE(SUBSTITUTE(SUBSTITUTE(SUBSTITUTE(SUBSTITUTE(SUBSTITUTE(SUBSTITUTE(SUBSTITUTE(SUBSTITUTE(SUBSTITUTE(SUBSTITUTE(SUBSTITUTE(LOWER(TRIM(H236)),"á","a"),"é","e"),"í","i"),"ó","o"),"ú","u"),"ü","u"),"ñ","n"),"à","a"),"è","e"),"ì","i"),"ò","o"),"ù","u"),"")</f>
        <v/>
      </c>
      <c r="V236" s="25">
        <f>IF(AND(Q236=1,L236&lt;&gt;""),SUBSTITUTE(SUBSTITUTE(SUBSTITUTE(SUBSTITUTE(SUBSTITUTE(SUBSTITUTE(SUBSTITUTE(SUBSTITUTE(SUBSTITUTE(SUBSTITUTE(SUBSTITUTE(SUBSTITUTE(LOWER(TRIM(L236)),"á","a"),"é","e"),"í","i"),"ó","o"),"ú","u"),"ü","u"),"ñ","n"),"à","a"),"è","e"),"ì","i"),"ò","o"),"ù","u"),"")</f>
        <v/>
      </c>
      <c r="W236" s="25">
        <f>IF(AND(Q236=1,I236&lt;&gt;""),SUBSTITUTE(SUBSTITUTE(SUBSTITUTE(SUBSTITUTE(SUBSTITUTE(SUBSTITUTE(SUBSTITUTE(SUBSTITUTE(SUBSTITUTE(SUBSTITUTE(SUBSTITUTE(SUBSTITUTE(LOWER(TRIM(I236)),"á","a"),"é","e"),"í","i"),"ó","o"),"ú","u"),"ü","u"),"ñ","n"),"à","a"),"è","e"),"ì","i"),"ò","o"),"ù","u"),"")</f>
        <v/>
      </c>
      <c r="X236" s="25">
        <f>IF(U236="","",IF(OR(U236="si, en la proxima tarea",U236="si, con cambios"),1,0))</f>
        <v/>
      </c>
      <c r="Y236" s="25">
        <f>IF(AND(Q236=1,A236&lt;&gt;""),IF(IFERROR(COUNTIFS(A$3:A236,"="&amp;SUBSTITUTE(SUBSTITUTE(SUBSTITUTE(A236,"~","~~"),"*","~*"),"?","~?"),Q$3:Q236,1),0)=1,MAX(Y$2:Y235)+1,""),"")</f>
        <v/>
      </c>
      <c r="Z236" s="25">
        <f>IF(Y236="","",COUNTIFS($A$3:$A$1002,"="&amp;SUBSTITUTE(SUBSTITUTE(SUBSTITUTE(A236,"~","~~"),"*","~*"),"?","~?"),$Q$3:$Q$1002,1)*10000-Y236)</f>
        <v/>
      </c>
    </row>
    <row r="237">
      <c r="A237">
        <f>IF(A$2=0,"",IFERROR(TRIM(INDEX('Pegar docentes'!$A$1:$BZ$1001,236,A$2)&amp;""),""))</f>
        <v/>
      </c>
      <c r="B237">
        <f>IF(B$2=0,"",IFERROR(TRIM(INDEX('Pegar docentes'!$A$1:$BZ$1001,236,B$2)&amp;""),""))</f>
        <v/>
      </c>
      <c r="C237">
        <f>IF(C$2=0,"",IFERROR(TRIM(INDEX('Pegar docentes'!$A$1:$BZ$1001,236,C$2)&amp;""),""))</f>
        <v/>
      </c>
      <c r="D237">
        <f>IF(D$2=0,"",IFERROR(TRIM(INDEX('Pegar docentes'!$A$1:$BZ$1001,236,D$2)&amp;""),""))</f>
        <v/>
      </c>
      <c r="E237">
        <f>IF(E$2=0,"",IFERROR(TRIM(INDEX('Pegar docentes'!$A$1:$BZ$1001,236,E$2)&amp;""),""))</f>
        <v/>
      </c>
      <c r="F237">
        <f>IF(F$2=0,"",IFERROR(TRIM(INDEX('Pegar docentes'!$A$1:$BZ$1001,236,F$2)&amp;""),""))</f>
        <v/>
      </c>
      <c r="G237">
        <f>IF(G$2=0,"",IFERROR(TRIM(INDEX('Pegar docentes'!$A$1:$BZ$1001,236,G$2)&amp;""),""))</f>
        <v/>
      </c>
      <c r="H237">
        <f>IF(H$2=0,"",IFERROR(TRIM(INDEX('Pegar docentes'!$A$1:$BZ$1001,236,H$2)&amp;""),""))</f>
        <v/>
      </c>
      <c r="I237">
        <f>IF(I$2=0,"",IFERROR(TRIM(INDEX('Pegar docentes'!$A$1:$BZ$1001,236,I$2)&amp;""),""))</f>
        <v/>
      </c>
      <c r="J237">
        <f>IF(J$2=0,"",IFERROR(TRIM(INDEX('Pegar docentes'!$A$1:$BZ$1001,236,J$2)&amp;""),""))</f>
        <v/>
      </c>
      <c r="K237">
        <f>IF(K$2=0,"",IFERROR(TRIM(INDEX('Pegar docentes'!$A$1:$BZ$1001,236,K$2)&amp;""),""))</f>
        <v/>
      </c>
      <c r="L237">
        <f>IF(L$2=0,"",IFERROR(TRIM(INDEX('Pegar docentes'!$A$1:$BZ$1001,236,L$2)&amp;""),""))</f>
        <v/>
      </c>
      <c r="M237">
        <f>IF(M$2=0,"",IFERROR(TRIM(INDEX('Pegar docentes'!$A$1:$BZ$1001,236,M$2)&amp;""),""))</f>
        <v/>
      </c>
      <c r="N237">
        <f>IF(N$2=0,"",IFERROR(TRIM(INDEX('Pegar docentes'!$A$1:$BZ$1001,236,N$2)&amp;""),""))</f>
        <v/>
      </c>
      <c r="O237">
        <f>IF(O$2=0,"",IFERROR(TRIM(INDEX('Pegar docentes'!$A$1:$BZ$1001,236,O$2)&amp;""),""))</f>
        <v/>
      </c>
      <c r="P237">
        <f>IF(P$2=0,"",IFERROR(TRIM(INDEX('Pegar docentes'!$A$1:$BZ$1001,236,P$2)&amp;""),""))</f>
        <v/>
      </c>
      <c r="Q237" s="25">
        <f>IF(OR(D237&lt;&gt;"",H237&lt;&gt;""),1,"")</f>
        <v/>
      </c>
      <c r="R237" s="25">
        <f>IF(Q237=1,IF(ISNUMBER(FIND("#"&amp;MID(D237,1,1)&amp;"#","#0#1#2#3#4#5#6#7#8#9#")),IF(ISNUMBER(FIND("#"&amp;MID(D237,2,1)&amp;"#","#0#1#2#3#4#5#6#7#8#9#")),IF(AND(VALUE(LEFT(D237,2))&gt;=1,VALUE(LEFT(D237,2))&lt;=5),VALUE(LEFT(D237,2)),""),IF(AND(VALUE(LEFT(D237,1))&gt;=1,VALUE(LEFT(D237,1))&lt;=5),VALUE(LEFT(D237,1)),"")),""),"")</f>
        <v/>
      </c>
      <c r="S237" s="25">
        <f>IF(AND(Q237=1,E237&lt;&gt;""),SUBSTITUTE(SUBSTITUTE(SUBSTITUTE(SUBSTITUTE(SUBSTITUTE(SUBSTITUTE(SUBSTITUTE(SUBSTITUTE(SUBSTITUTE(SUBSTITUTE(SUBSTITUTE(SUBSTITUTE(LOWER(TRIM(E237)),"á","a"),"é","e"),"í","i"),"ó","o"),"ú","u"),"ü","u"),"ñ","n"),"à","a"),"è","e"),"ì","i"),"ò","o"),"ù","u"),"")</f>
        <v/>
      </c>
      <c r="T237" s="25">
        <f>IF(AND(Q237=1,G237&lt;&gt;""),SUBSTITUTE(SUBSTITUTE(SUBSTITUTE(SUBSTITUTE(SUBSTITUTE(SUBSTITUTE(SUBSTITUTE(SUBSTITUTE(SUBSTITUTE(SUBSTITUTE(SUBSTITUTE(SUBSTITUTE(LOWER(TRIM(G237)),"á","a"),"é","e"),"í","i"),"ó","o"),"ú","u"),"ü","u"),"ñ","n"),"à","a"),"è","e"),"ì","i"),"ò","o"),"ù","u"),"")</f>
        <v/>
      </c>
      <c r="U237" s="25">
        <f>IF(AND(Q237=1,H237&lt;&gt;""),SUBSTITUTE(SUBSTITUTE(SUBSTITUTE(SUBSTITUTE(SUBSTITUTE(SUBSTITUTE(SUBSTITUTE(SUBSTITUTE(SUBSTITUTE(SUBSTITUTE(SUBSTITUTE(SUBSTITUTE(LOWER(TRIM(H237)),"á","a"),"é","e"),"í","i"),"ó","o"),"ú","u"),"ü","u"),"ñ","n"),"à","a"),"è","e"),"ì","i"),"ò","o"),"ù","u"),"")</f>
        <v/>
      </c>
      <c r="V237" s="25">
        <f>IF(AND(Q237=1,L237&lt;&gt;""),SUBSTITUTE(SUBSTITUTE(SUBSTITUTE(SUBSTITUTE(SUBSTITUTE(SUBSTITUTE(SUBSTITUTE(SUBSTITUTE(SUBSTITUTE(SUBSTITUTE(SUBSTITUTE(SUBSTITUTE(LOWER(TRIM(L237)),"á","a"),"é","e"),"í","i"),"ó","o"),"ú","u"),"ü","u"),"ñ","n"),"à","a"),"è","e"),"ì","i"),"ò","o"),"ù","u"),"")</f>
        <v/>
      </c>
      <c r="W237" s="25">
        <f>IF(AND(Q237=1,I237&lt;&gt;""),SUBSTITUTE(SUBSTITUTE(SUBSTITUTE(SUBSTITUTE(SUBSTITUTE(SUBSTITUTE(SUBSTITUTE(SUBSTITUTE(SUBSTITUTE(SUBSTITUTE(SUBSTITUTE(SUBSTITUTE(LOWER(TRIM(I237)),"á","a"),"é","e"),"í","i"),"ó","o"),"ú","u"),"ü","u"),"ñ","n"),"à","a"),"è","e"),"ì","i"),"ò","o"),"ù","u"),"")</f>
        <v/>
      </c>
      <c r="X237" s="25">
        <f>IF(U237="","",IF(OR(U237="si, en la proxima tarea",U237="si, con cambios"),1,0))</f>
        <v/>
      </c>
      <c r="Y237" s="25">
        <f>IF(AND(Q237=1,A237&lt;&gt;""),IF(IFERROR(COUNTIFS(A$3:A237,"="&amp;SUBSTITUTE(SUBSTITUTE(SUBSTITUTE(A237,"~","~~"),"*","~*"),"?","~?"),Q$3:Q237,1),0)=1,MAX(Y$2:Y236)+1,""),"")</f>
        <v/>
      </c>
      <c r="Z237" s="25">
        <f>IF(Y237="","",COUNTIFS($A$3:$A$1002,"="&amp;SUBSTITUTE(SUBSTITUTE(SUBSTITUTE(A237,"~","~~"),"*","~*"),"?","~?"),$Q$3:$Q$1002,1)*10000-Y237)</f>
        <v/>
      </c>
    </row>
    <row r="238">
      <c r="A238">
        <f>IF(A$2=0,"",IFERROR(TRIM(INDEX('Pegar docentes'!$A$1:$BZ$1001,237,A$2)&amp;""),""))</f>
        <v/>
      </c>
      <c r="B238">
        <f>IF(B$2=0,"",IFERROR(TRIM(INDEX('Pegar docentes'!$A$1:$BZ$1001,237,B$2)&amp;""),""))</f>
        <v/>
      </c>
      <c r="C238">
        <f>IF(C$2=0,"",IFERROR(TRIM(INDEX('Pegar docentes'!$A$1:$BZ$1001,237,C$2)&amp;""),""))</f>
        <v/>
      </c>
      <c r="D238">
        <f>IF(D$2=0,"",IFERROR(TRIM(INDEX('Pegar docentes'!$A$1:$BZ$1001,237,D$2)&amp;""),""))</f>
        <v/>
      </c>
      <c r="E238">
        <f>IF(E$2=0,"",IFERROR(TRIM(INDEX('Pegar docentes'!$A$1:$BZ$1001,237,E$2)&amp;""),""))</f>
        <v/>
      </c>
      <c r="F238">
        <f>IF(F$2=0,"",IFERROR(TRIM(INDEX('Pegar docentes'!$A$1:$BZ$1001,237,F$2)&amp;""),""))</f>
        <v/>
      </c>
      <c r="G238">
        <f>IF(G$2=0,"",IFERROR(TRIM(INDEX('Pegar docentes'!$A$1:$BZ$1001,237,G$2)&amp;""),""))</f>
        <v/>
      </c>
      <c r="H238">
        <f>IF(H$2=0,"",IFERROR(TRIM(INDEX('Pegar docentes'!$A$1:$BZ$1001,237,H$2)&amp;""),""))</f>
        <v/>
      </c>
      <c r="I238">
        <f>IF(I$2=0,"",IFERROR(TRIM(INDEX('Pegar docentes'!$A$1:$BZ$1001,237,I$2)&amp;""),""))</f>
        <v/>
      </c>
      <c r="J238">
        <f>IF(J$2=0,"",IFERROR(TRIM(INDEX('Pegar docentes'!$A$1:$BZ$1001,237,J$2)&amp;""),""))</f>
        <v/>
      </c>
      <c r="K238">
        <f>IF(K$2=0,"",IFERROR(TRIM(INDEX('Pegar docentes'!$A$1:$BZ$1001,237,K$2)&amp;""),""))</f>
        <v/>
      </c>
      <c r="L238">
        <f>IF(L$2=0,"",IFERROR(TRIM(INDEX('Pegar docentes'!$A$1:$BZ$1001,237,L$2)&amp;""),""))</f>
        <v/>
      </c>
      <c r="M238">
        <f>IF(M$2=0,"",IFERROR(TRIM(INDEX('Pegar docentes'!$A$1:$BZ$1001,237,M$2)&amp;""),""))</f>
        <v/>
      </c>
      <c r="N238">
        <f>IF(N$2=0,"",IFERROR(TRIM(INDEX('Pegar docentes'!$A$1:$BZ$1001,237,N$2)&amp;""),""))</f>
        <v/>
      </c>
      <c r="O238">
        <f>IF(O$2=0,"",IFERROR(TRIM(INDEX('Pegar docentes'!$A$1:$BZ$1001,237,O$2)&amp;""),""))</f>
        <v/>
      </c>
      <c r="P238">
        <f>IF(P$2=0,"",IFERROR(TRIM(INDEX('Pegar docentes'!$A$1:$BZ$1001,237,P$2)&amp;""),""))</f>
        <v/>
      </c>
      <c r="Q238" s="25">
        <f>IF(OR(D238&lt;&gt;"",H238&lt;&gt;""),1,"")</f>
        <v/>
      </c>
      <c r="R238" s="25">
        <f>IF(Q238=1,IF(ISNUMBER(FIND("#"&amp;MID(D238,1,1)&amp;"#","#0#1#2#3#4#5#6#7#8#9#")),IF(ISNUMBER(FIND("#"&amp;MID(D238,2,1)&amp;"#","#0#1#2#3#4#5#6#7#8#9#")),IF(AND(VALUE(LEFT(D238,2))&gt;=1,VALUE(LEFT(D238,2))&lt;=5),VALUE(LEFT(D238,2)),""),IF(AND(VALUE(LEFT(D238,1))&gt;=1,VALUE(LEFT(D238,1))&lt;=5),VALUE(LEFT(D238,1)),"")),""),"")</f>
        <v/>
      </c>
      <c r="S238" s="25">
        <f>IF(AND(Q238=1,E238&lt;&gt;""),SUBSTITUTE(SUBSTITUTE(SUBSTITUTE(SUBSTITUTE(SUBSTITUTE(SUBSTITUTE(SUBSTITUTE(SUBSTITUTE(SUBSTITUTE(SUBSTITUTE(SUBSTITUTE(SUBSTITUTE(LOWER(TRIM(E238)),"á","a"),"é","e"),"í","i"),"ó","o"),"ú","u"),"ü","u"),"ñ","n"),"à","a"),"è","e"),"ì","i"),"ò","o"),"ù","u"),"")</f>
        <v/>
      </c>
      <c r="T238" s="25">
        <f>IF(AND(Q238=1,G238&lt;&gt;""),SUBSTITUTE(SUBSTITUTE(SUBSTITUTE(SUBSTITUTE(SUBSTITUTE(SUBSTITUTE(SUBSTITUTE(SUBSTITUTE(SUBSTITUTE(SUBSTITUTE(SUBSTITUTE(SUBSTITUTE(LOWER(TRIM(G238)),"á","a"),"é","e"),"í","i"),"ó","o"),"ú","u"),"ü","u"),"ñ","n"),"à","a"),"è","e"),"ì","i"),"ò","o"),"ù","u"),"")</f>
        <v/>
      </c>
      <c r="U238" s="25">
        <f>IF(AND(Q238=1,H238&lt;&gt;""),SUBSTITUTE(SUBSTITUTE(SUBSTITUTE(SUBSTITUTE(SUBSTITUTE(SUBSTITUTE(SUBSTITUTE(SUBSTITUTE(SUBSTITUTE(SUBSTITUTE(SUBSTITUTE(SUBSTITUTE(LOWER(TRIM(H238)),"á","a"),"é","e"),"í","i"),"ó","o"),"ú","u"),"ü","u"),"ñ","n"),"à","a"),"è","e"),"ì","i"),"ò","o"),"ù","u"),"")</f>
        <v/>
      </c>
      <c r="V238" s="25">
        <f>IF(AND(Q238=1,L238&lt;&gt;""),SUBSTITUTE(SUBSTITUTE(SUBSTITUTE(SUBSTITUTE(SUBSTITUTE(SUBSTITUTE(SUBSTITUTE(SUBSTITUTE(SUBSTITUTE(SUBSTITUTE(SUBSTITUTE(SUBSTITUTE(LOWER(TRIM(L238)),"á","a"),"é","e"),"í","i"),"ó","o"),"ú","u"),"ü","u"),"ñ","n"),"à","a"),"è","e"),"ì","i"),"ò","o"),"ù","u"),"")</f>
        <v/>
      </c>
      <c r="W238" s="25">
        <f>IF(AND(Q238=1,I238&lt;&gt;""),SUBSTITUTE(SUBSTITUTE(SUBSTITUTE(SUBSTITUTE(SUBSTITUTE(SUBSTITUTE(SUBSTITUTE(SUBSTITUTE(SUBSTITUTE(SUBSTITUTE(SUBSTITUTE(SUBSTITUTE(LOWER(TRIM(I238)),"á","a"),"é","e"),"í","i"),"ó","o"),"ú","u"),"ü","u"),"ñ","n"),"à","a"),"è","e"),"ì","i"),"ò","o"),"ù","u"),"")</f>
        <v/>
      </c>
      <c r="X238" s="25">
        <f>IF(U238="","",IF(OR(U238="si, en la proxima tarea",U238="si, con cambios"),1,0))</f>
        <v/>
      </c>
      <c r="Y238" s="25">
        <f>IF(AND(Q238=1,A238&lt;&gt;""),IF(IFERROR(COUNTIFS(A$3:A238,"="&amp;SUBSTITUTE(SUBSTITUTE(SUBSTITUTE(A238,"~","~~"),"*","~*"),"?","~?"),Q$3:Q238,1),0)=1,MAX(Y$2:Y237)+1,""),"")</f>
        <v/>
      </c>
      <c r="Z238" s="25">
        <f>IF(Y238="","",COUNTIFS($A$3:$A$1002,"="&amp;SUBSTITUTE(SUBSTITUTE(SUBSTITUTE(A238,"~","~~"),"*","~*"),"?","~?"),$Q$3:$Q$1002,1)*10000-Y238)</f>
        <v/>
      </c>
    </row>
    <row r="239">
      <c r="A239">
        <f>IF(A$2=0,"",IFERROR(TRIM(INDEX('Pegar docentes'!$A$1:$BZ$1001,238,A$2)&amp;""),""))</f>
        <v/>
      </c>
      <c r="B239">
        <f>IF(B$2=0,"",IFERROR(TRIM(INDEX('Pegar docentes'!$A$1:$BZ$1001,238,B$2)&amp;""),""))</f>
        <v/>
      </c>
      <c r="C239">
        <f>IF(C$2=0,"",IFERROR(TRIM(INDEX('Pegar docentes'!$A$1:$BZ$1001,238,C$2)&amp;""),""))</f>
        <v/>
      </c>
      <c r="D239">
        <f>IF(D$2=0,"",IFERROR(TRIM(INDEX('Pegar docentes'!$A$1:$BZ$1001,238,D$2)&amp;""),""))</f>
        <v/>
      </c>
      <c r="E239">
        <f>IF(E$2=0,"",IFERROR(TRIM(INDEX('Pegar docentes'!$A$1:$BZ$1001,238,E$2)&amp;""),""))</f>
        <v/>
      </c>
      <c r="F239">
        <f>IF(F$2=0,"",IFERROR(TRIM(INDEX('Pegar docentes'!$A$1:$BZ$1001,238,F$2)&amp;""),""))</f>
        <v/>
      </c>
      <c r="G239">
        <f>IF(G$2=0,"",IFERROR(TRIM(INDEX('Pegar docentes'!$A$1:$BZ$1001,238,G$2)&amp;""),""))</f>
        <v/>
      </c>
      <c r="H239">
        <f>IF(H$2=0,"",IFERROR(TRIM(INDEX('Pegar docentes'!$A$1:$BZ$1001,238,H$2)&amp;""),""))</f>
        <v/>
      </c>
      <c r="I239">
        <f>IF(I$2=0,"",IFERROR(TRIM(INDEX('Pegar docentes'!$A$1:$BZ$1001,238,I$2)&amp;""),""))</f>
        <v/>
      </c>
      <c r="J239">
        <f>IF(J$2=0,"",IFERROR(TRIM(INDEX('Pegar docentes'!$A$1:$BZ$1001,238,J$2)&amp;""),""))</f>
        <v/>
      </c>
      <c r="K239">
        <f>IF(K$2=0,"",IFERROR(TRIM(INDEX('Pegar docentes'!$A$1:$BZ$1001,238,K$2)&amp;""),""))</f>
        <v/>
      </c>
      <c r="L239">
        <f>IF(L$2=0,"",IFERROR(TRIM(INDEX('Pegar docentes'!$A$1:$BZ$1001,238,L$2)&amp;""),""))</f>
        <v/>
      </c>
      <c r="M239">
        <f>IF(M$2=0,"",IFERROR(TRIM(INDEX('Pegar docentes'!$A$1:$BZ$1001,238,M$2)&amp;""),""))</f>
        <v/>
      </c>
      <c r="N239">
        <f>IF(N$2=0,"",IFERROR(TRIM(INDEX('Pegar docentes'!$A$1:$BZ$1001,238,N$2)&amp;""),""))</f>
        <v/>
      </c>
      <c r="O239">
        <f>IF(O$2=0,"",IFERROR(TRIM(INDEX('Pegar docentes'!$A$1:$BZ$1001,238,O$2)&amp;""),""))</f>
        <v/>
      </c>
      <c r="P239">
        <f>IF(P$2=0,"",IFERROR(TRIM(INDEX('Pegar docentes'!$A$1:$BZ$1001,238,P$2)&amp;""),""))</f>
        <v/>
      </c>
      <c r="Q239" s="25">
        <f>IF(OR(D239&lt;&gt;"",H239&lt;&gt;""),1,"")</f>
        <v/>
      </c>
      <c r="R239" s="25">
        <f>IF(Q239=1,IF(ISNUMBER(FIND("#"&amp;MID(D239,1,1)&amp;"#","#0#1#2#3#4#5#6#7#8#9#")),IF(ISNUMBER(FIND("#"&amp;MID(D239,2,1)&amp;"#","#0#1#2#3#4#5#6#7#8#9#")),IF(AND(VALUE(LEFT(D239,2))&gt;=1,VALUE(LEFT(D239,2))&lt;=5),VALUE(LEFT(D239,2)),""),IF(AND(VALUE(LEFT(D239,1))&gt;=1,VALUE(LEFT(D239,1))&lt;=5),VALUE(LEFT(D239,1)),"")),""),"")</f>
        <v/>
      </c>
      <c r="S239" s="25">
        <f>IF(AND(Q239=1,E239&lt;&gt;""),SUBSTITUTE(SUBSTITUTE(SUBSTITUTE(SUBSTITUTE(SUBSTITUTE(SUBSTITUTE(SUBSTITUTE(SUBSTITUTE(SUBSTITUTE(SUBSTITUTE(SUBSTITUTE(SUBSTITUTE(LOWER(TRIM(E239)),"á","a"),"é","e"),"í","i"),"ó","o"),"ú","u"),"ü","u"),"ñ","n"),"à","a"),"è","e"),"ì","i"),"ò","o"),"ù","u"),"")</f>
        <v/>
      </c>
      <c r="T239" s="25">
        <f>IF(AND(Q239=1,G239&lt;&gt;""),SUBSTITUTE(SUBSTITUTE(SUBSTITUTE(SUBSTITUTE(SUBSTITUTE(SUBSTITUTE(SUBSTITUTE(SUBSTITUTE(SUBSTITUTE(SUBSTITUTE(SUBSTITUTE(SUBSTITUTE(LOWER(TRIM(G239)),"á","a"),"é","e"),"í","i"),"ó","o"),"ú","u"),"ü","u"),"ñ","n"),"à","a"),"è","e"),"ì","i"),"ò","o"),"ù","u"),"")</f>
        <v/>
      </c>
      <c r="U239" s="25">
        <f>IF(AND(Q239=1,H239&lt;&gt;""),SUBSTITUTE(SUBSTITUTE(SUBSTITUTE(SUBSTITUTE(SUBSTITUTE(SUBSTITUTE(SUBSTITUTE(SUBSTITUTE(SUBSTITUTE(SUBSTITUTE(SUBSTITUTE(SUBSTITUTE(LOWER(TRIM(H239)),"á","a"),"é","e"),"í","i"),"ó","o"),"ú","u"),"ü","u"),"ñ","n"),"à","a"),"è","e"),"ì","i"),"ò","o"),"ù","u"),"")</f>
        <v/>
      </c>
      <c r="V239" s="25">
        <f>IF(AND(Q239=1,L239&lt;&gt;""),SUBSTITUTE(SUBSTITUTE(SUBSTITUTE(SUBSTITUTE(SUBSTITUTE(SUBSTITUTE(SUBSTITUTE(SUBSTITUTE(SUBSTITUTE(SUBSTITUTE(SUBSTITUTE(SUBSTITUTE(LOWER(TRIM(L239)),"á","a"),"é","e"),"í","i"),"ó","o"),"ú","u"),"ü","u"),"ñ","n"),"à","a"),"è","e"),"ì","i"),"ò","o"),"ù","u"),"")</f>
        <v/>
      </c>
      <c r="W239" s="25">
        <f>IF(AND(Q239=1,I239&lt;&gt;""),SUBSTITUTE(SUBSTITUTE(SUBSTITUTE(SUBSTITUTE(SUBSTITUTE(SUBSTITUTE(SUBSTITUTE(SUBSTITUTE(SUBSTITUTE(SUBSTITUTE(SUBSTITUTE(SUBSTITUTE(LOWER(TRIM(I239)),"á","a"),"é","e"),"í","i"),"ó","o"),"ú","u"),"ü","u"),"ñ","n"),"à","a"),"è","e"),"ì","i"),"ò","o"),"ù","u"),"")</f>
        <v/>
      </c>
      <c r="X239" s="25">
        <f>IF(U239="","",IF(OR(U239="si, en la proxima tarea",U239="si, con cambios"),1,0))</f>
        <v/>
      </c>
      <c r="Y239" s="25">
        <f>IF(AND(Q239=1,A239&lt;&gt;""),IF(IFERROR(COUNTIFS(A$3:A239,"="&amp;SUBSTITUTE(SUBSTITUTE(SUBSTITUTE(A239,"~","~~"),"*","~*"),"?","~?"),Q$3:Q239,1),0)=1,MAX(Y$2:Y238)+1,""),"")</f>
        <v/>
      </c>
      <c r="Z239" s="25">
        <f>IF(Y239="","",COUNTIFS($A$3:$A$1002,"="&amp;SUBSTITUTE(SUBSTITUTE(SUBSTITUTE(A239,"~","~~"),"*","~*"),"?","~?"),$Q$3:$Q$1002,1)*10000-Y239)</f>
        <v/>
      </c>
    </row>
    <row r="240">
      <c r="A240">
        <f>IF(A$2=0,"",IFERROR(TRIM(INDEX('Pegar docentes'!$A$1:$BZ$1001,239,A$2)&amp;""),""))</f>
        <v/>
      </c>
      <c r="B240">
        <f>IF(B$2=0,"",IFERROR(TRIM(INDEX('Pegar docentes'!$A$1:$BZ$1001,239,B$2)&amp;""),""))</f>
        <v/>
      </c>
      <c r="C240">
        <f>IF(C$2=0,"",IFERROR(TRIM(INDEX('Pegar docentes'!$A$1:$BZ$1001,239,C$2)&amp;""),""))</f>
        <v/>
      </c>
      <c r="D240">
        <f>IF(D$2=0,"",IFERROR(TRIM(INDEX('Pegar docentes'!$A$1:$BZ$1001,239,D$2)&amp;""),""))</f>
        <v/>
      </c>
      <c r="E240">
        <f>IF(E$2=0,"",IFERROR(TRIM(INDEX('Pegar docentes'!$A$1:$BZ$1001,239,E$2)&amp;""),""))</f>
        <v/>
      </c>
      <c r="F240">
        <f>IF(F$2=0,"",IFERROR(TRIM(INDEX('Pegar docentes'!$A$1:$BZ$1001,239,F$2)&amp;""),""))</f>
        <v/>
      </c>
      <c r="G240">
        <f>IF(G$2=0,"",IFERROR(TRIM(INDEX('Pegar docentes'!$A$1:$BZ$1001,239,G$2)&amp;""),""))</f>
        <v/>
      </c>
      <c r="H240">
        <f>IF(H$2=0,"",IFERROR(TRIM(INDEX('Pegar docentes'!$A$1:$BZ$1001,239,H$2)&amp;""),""))</f>
        <v/>
      </c>
      <c r="I240">
        <f>IF(I$2=0,"",IFERROR(TRIM(INDEX('Pegar docentes'!$A$1:$BZ$1001,239,I$2)&amp;""),""))</f>
        <v/>
      </c>
      <c r="J240">
        <f>IF(J$2=0,"",IFERROR(TRIM(INDEX('Pegar docentes'!$A$1:$BZ$1001,239,J$2)&amp;""),""))</f>
        <v/>
      </c>
      <c r="K240">
        <f>IF(K$2=0,"",IFERROR(TRIM(INDEX('Pegar docentes'!$A$1:$BZ$1001,239,K$2)&amp;""),""))</f>
        <v/>
      </c>
      <c r="L240">
        <f>IF(L$2=0,"",IFERROR(TRIM(INDEX('Pegar docentes'!$A$1:$BZ$1001,239,L$2)&amp;""),""))</f>
        <v/>
      </c>
      <c r="M240">
        <f>IF(M$2=0,"",IFERROR(TRIM(INDEX('Pegar docentes'!$A$1:$BZ$1001,239,M$2)&amp;""),""))</f>
        <v/>
      </c>
      <c r="N240">
        <f>IF(N$2=0,"",IFERROR(TRIM(INDEX('Pegar docentes'!$A$1:$BZ$1001,239,N$2)&amp;""),""))</f>
        <v/>
      </c>
      <c r="O240">
        <f>IF(O$2=0,"",IFERROR(TRIM(INDEX('Pegar docentes'!$A$1:$BZ$1001,239,O$2)&amp;""),""))</f>
        <v/>
      </c>
      <c r="P240">
        <f>IF(P$2=0,"",IFERROR(TRIM(INDEX('Pegar docentes'!$A$1:$BZ$1001,239,P$2)&amp;""),""))</f>
        <v/>
      </c>
      <c r="Q240" s="25">
        <f>IF(OR(D240&lt;&gt;"",H240&lt;&gt;""),1,"")</f>
        <v/>
      </c>
      <c r="R240" s="25">
        <f>IF(Q240=1,IF(ISNUMBER(FIND("#"&amp;MID(D240,1,1)&amp;"#","#0#1#2#3#4#5#6#7#8#9#")),IF(ISNUMBER(FIND("#"&amp;MID(D240,2,1)&amp;"#","#0#1#2#3#4#5#6#7#8#9#")),IF(AND(VALUE(LEFT(D240,2))&gt;=1,VALUE(LEFT(D240,2))&lt;=5),VALUE(LEFT(D240,2)),""),IF(AND(VALUE(LEFT(D240,1))&gt;=1,VALUE(LEFT(D240,1))&lt;=5),VALUE(LEFT(D240,1)),"")),""),"")</f>
        <v/>
      </c>
      <c r="S240" s="25">
        <f>IF(AND(Q240=1,E240&lt;&gt;""),SUBSTITUTE(SUBSTITUTE(SUBSTITUTE(SUBSTITUTE(SUBSTITUTE(SUBSTITUTE(SUBSTITUTE(SUBSTITUTE(SUBSTITUTE(SUBSTITUTE(SUBSTITUTE(SUBSTITUTE(LOWER(TRIM(E240)),"á","a"),"é","e"),"í","i"),"ó","o"),"ú","u"),"ü","u"),"ñ","n"),"à","a"),"è","e"),"ì","i"),"ò","o"),"ù","u"),"")</f>
        <v/>
      </c>
      <c r="T240" s="25">
        <f>IF(AND(Q240=1,G240&lt;&gt;""),SUBSTITUTE(SUBSTITUTE(SUBSTITUTE(SUBSTITUTE(SUBSTITUTE(SUBSTITUTE(SUBSTITUTE(SUBSTITUTE(SUBSTITUTE(SUBSTITUTE(SUBSTITUTE(SUBSTITUTE(LOWER(TRIM(G240)),"á","a"),"é","e"),"í","i"),"ó","o"),"ú","u"),"ü","u"),"ñ","n"),"à","a"),"è","e"),"ì","i"),"ò","o"),"ù","u"),"")</f>
        <v/>
      </c>
      <c r="U240" s="25">
        <f>IF(AND(Q240=1,H240&lt;&gt;""),SUBSTITUTE(SUBSTITUTE(SUBSTITUTE(SUBSTITUTE(SUBSTITUTE(SUBSTITUTE(SUBSTITUTE(SUBSTITUTE(SUBSTITUTE(SUBSTITUTE(SUBSTITUTE(SUBSTITUTE(LOWER(TRIM(H240)),"á","a"),"é","e"),"í","i"),"ó","o"),"ú","u"),"ü","u"),"ñ","n"),"à","a"),"è","e"),"ì","i"),"ò","o"),"ù","u"),"")</f>
        <v/>
      </c>
      <c r="V240" s="25">
        <f>IF(AND(Q240=1,L240&lt;&gt;""),SUBSTITUTE(SUBSTITUTE(SUBSTITUTE(SUBSTITUTE(SUBSTITUTE(SUBSTITUTE(SUBSTITUTE(SUBSTITUTE(SUBSTITUTE(SUBSTITUTE(SUBSTITUTE(SUBSTITUTE(LOWER(TRIM(L240)),"á","a"),"é","e"),"í","i"),"ó","o"),"ú","u"),"ü","u"),"ñ","n"),"à","a"),"è","e"),"ì","i"),"ò","o"),"ù","u"),"")</f>
        <v/>
      </c>
      <c r="W240" s="25">
        <f>IF(AND(Q240=1,I240&lt;&gt;""),SUBSTITUTE(SUBSTITUTE(SUBSTITUTE(SUBSTITUTE(SUBSTITUTE(SUBSTITUTE(SUBSTITUTE(SUBSTITUTE(SUBSTITUTE(SUBSTITUTE(SUBSTITUTE(SUBSTITUTE(LOWER(TRIM(I240)),"á","a"),"é","e"),"í","i"),"ó","o"),"ú","u"),"ü","u"),"ñ","n"),"à","a"),"è","e"),"ì","i"),"ò","o"),"ù","u"),"")</f>
        <v/>
      </c>
      <c r="X240" s="25">
        <f>IF(U240="","",IF(OR(U240="si, en la proxima tarea",U240="si, con cambios"),1,0))</f>
        <v/>
      </c>
      <c r="Y240" s="25">
        <f>IF(AND(Q240=1,A240&lt;&gt;""),IF(IFERROR(COUNTIFS(A$3:A240,"="&amp;SUBSTITUTE(SUBSTITUTE(SUBSTITUTE(A240,"~","~~"),"*","~*"),"?","~?"),Q$3:Q240,1),0)=1,MAX(Y$2:Y239)+1,""),"")</f>
        <v/>
      </c>
      <c r="Z240" s="25">
        <f>IF(Y240="","",COUNTIFS($A$3:$A$1002,"="&amp;SUBSTITUTE(SUBSTITUTE(SUBSTITUTE(A240,"~","~~"),"*","~*"),"?","~?"),$Q$3:$Q$1002,1)*10000-Y240)</f>
        <v/>
      </c>
    </row>
    <row r="241">
      <c r="A241">
        <f>IF(A$2=0,"",IFERROR(TRIM(INDEX('Pegar docentes'!$A$1:$BZ$1001,240,A$2)&amp;""),""))</f>
        <v/>
      </c>
      <c r="B241">
        <f>IF(B$2=0,"",IFERROR(TRIM(INDEX('Pegar docentes'!$A$1:$BZ$1001,240,B$2)&amp;""),""))</f>
        <v/>
      </c>
      <c r="C241">
        <f>IF(C$2=0,"",IFERROR(TRIM(INDEX('Pegar docentes'!$A$1:$BZ$1001,240,C$2)&amp;""),""))</f>
        <v/>
      </c>
      <c r="D241">
        <f>IF(D$2=0,"",IFERROR(TRIM(INDEX('Pegar docentes'!$A$1:$BZ$1001,240,D$2)&amp;""),""))</f>
        <v/>
      </c>
      <c r="E241">
        <f>IF(E$2=0,"",IFERROR(TRIM(INDEX('Pegar docentes'!$A$1:$BZ$1001,240,E$2)&amp;""),""))</f>
        <v/>
      </c>
      <c r="F241">
        <f>IF(F$2=0,"",IFERROR(TRIM(INDEX('Pegar docentes'!$A$1:$BZ$1001,240,F$2)&amp;""),""))</f>
        <v/>
      </c>
      <c r="G241">
        <f>IF(G$2=0,"",IFERROR(TRIM(INDEX('Pegar docentes'!$A$1:$BZ$1001,240,G$2)&amp;""),""))</f>
        <v/>
      </c>
      <c r="H241">
        <f>IF(H$2=0,"",IFERROR(TRIM(INDEX('Pegar docentes'!$A$1:$BZ$1001,240,H$2)&amp;""),""))</f>
        <v/>
      </c>
      <c r="I241">
        <f>IF(I$2=0,"",IFERROR(TRIM(INDEX('Pegar docentes'!$A$1:$BZ$1001,240,I$2)&amp;""),""))</f>
        <v/>
      </c>
      <c r="J241">
        <f>IF(J$2=0,"",IFERROR(TRIM(INDEX('Pegar docentes'!$A$1:$BZ$1001,240,J$2)&amp;""),""))</f>
        <v/>
      </c>
      <c r="K241">
        <f>IF(K$2=0,"",IFERROR(TRIM(INDEX('Pegar docentes'!$A$1:$BZ$1001,240,K$2)&amp;""),""))</f>
        <v/>
      </c>
      <c r="L241">
        <f>IF(L$2=0,"",IFERROR(TRIM(INDEX('Pegar docentes'!$A$1:$BZ$1001,240,L$2)&amp;""),""))</f>
        <v/>
      </c>
      <c r="M241">
        <f>IF(M$2=0,"",IFERROR(TRIM(INDEX('Pegar docentes'!$A$1:$BZ$1001,240,M$2)&amp;""),""))</f>
        <v/>
      </c>
      <c r="N241">
        <f>IF(N$2=0,"",IFERROR(TRIM(INDEX('Pegar docentes'!$A$1:$BZ$1001,240,N$2)&amp;""),""))</f>
        <v/>
      </c>
      <c r="O241">
        <f>IF(O$2=0,"",IFERROR(TRIM(INDEX('Pegar docentes'!$A$1:$BZ$1001,240,O$2)&amp;""),""))</f>
        <v/>
      </c>
      <c r="P241">
        <f>IF(P$2=0,"",IFERROR(TRIM(INDEX('Pegar docentes'!$A$1:$BZ$1001,240,P$2)&amp;""),""))</f>
        <v/>
      </c>
      <c r="Q241" s="25">
        <f>IF(OR(D241&lt;&gt;"",H241&lt;&gt;""),1,"")</f>
        <v/>
      </c>
      <c r="R241" s="25">
        <f>IF(Q241=1,IF(ISNUMBER(FIND("#"&amp;MID(D241,1,1)&amp;"#","#0#1#2#3#4#5#6#7#8#9#")),IF(ISNUMBER(FIND("#"&amp;MID(D241,2,1)&amp;"#","#0#1#2#3#4#5#6#7#8#9#")),IF(AND(VALUE(LEFT(D241,2))&gt;=1,VALUE(LEFT(D241,2))&lt;=5),VALUE(LEFT(D241,2)),""),IF(AND(VALUE(LEFT(D241,1))&gt;=1,VALUE(LEFT(D241,1))&lt;=5),VALUE(LEFT(D241,1)),"")),""),"")</f>
        <v/>
      </c>
      <c r="S241" s="25">
        <f>IF(AND(Q241=1,E241&lt;&gt;""),SUBSTITUTE(SUBSTITUTE(SUBSTITUTE(SUBSTITUTE(SUBSTITUTE(SUBSTITUTE(SUBSTITUTE(SUBSTITUTE(SUBSTITUTE(SUBSTITUTE(SUBSTITUTE(SUBSTITUTE(LOWER(TRIM(E241)),"á","a"),"é","e"),"í","i"),"ó","o"),"ú","u"),"ü","u"),"ñ","n"),"à","a"),"è","e"),"ì","i"),"ò","o"),"ù","u"),"")</f>
        <v/>
      </c>
      <c r="T241" s="25">
        <f>IF(AND(Q241=1,G241&lt;&gt;""),SUBSTITUTE(SUBSTITUTE(SUBSTITUTE(SUBSTITUTE(SUBSTITUTE(SUBSTITUTE(SUBSTITUTE(SUBSTITUTE(SUBSTITUTE(SUBSTITUTE(SUBSTITUTE(SUBSTITUTE(LOWER(TRIM(G241)),"á","a"),"é","e"),"í","i"),"ó","o"),"ú","u"),"ü","u"),"ñ","n"),"à","a"),"è","e"),"ì","i"),"ò","o"),"ù","u"),"")</f>
        <v/>
      </c>
      <c r="U241" s="25">
        <f>IF(AND(Q241=1,H241&lt;&gt;""),SUBSTITUTE(SUBSTITUTE(SUBSTITUTE(SUBSTITUTE(SUBSTITUTE(SUBSTITUTE(SUBSTITUTE(SUBSTITUTE(SUBSTITUTE(SUBSTITUTE(SUBSTITUTE(SUBSTITUTE(LOWER(TRIM(H241)),"á","a"),"é","e"),"í","i"),"ó","o"),"ú","u"),"ü","u"),"ñ","n"),"à","a"),"è","e"),"ì","i"),"ò","o"),"ù","u"),"")</f>
        <v/>
      </c>
      <c r="V241" s="25">
        <f>IF(AND(Q241=1,L241&lt;&gt;""),SUBSTITUTE(SUBSTITUTE(SUBSTITUTE(SUBSTITUTE(SUBSTITUTE(SUBSTITUTE(SUBSTITUTE(SUBSTITUTE(SUBSTITUTE(SUBSTITUTE(SUBSTITUTE(SUBSTITUTE(LOWER(TRIM(L241)),"á","a"),"é","e"),"í","i"),"ó","o"),"ú","u"),"ü","u"),"ñ","n"),"à","a"),"è","e"),"ì","i"),"ò","o"),"ù","u"),"")</f>
        <v/>
      </c>
      <c r="W241" s="25">
        <f>IF(AND(Q241=1,I241&lt;&gt;""),SUBSTITUTE(SUBSTITUTE(SUBSTITUTE(SUBSTITUTE(SUBSTITUTE(SUBSTITUTE(SUBSTITUTE(SUBSTITUTE(SUBSTITUTE(SUBSTITUTE(SUBSTITUTE(SUBSTITUTE(LOWER(TRIM(I241)),"á","a"),"é","e"),"í","i"),"ó","o"),"ú","u"),"ü","u"),"ñ","n"),"à","a"),"è","e"),"ì","i"),"ò","o"),"ù","u"),"")</f>
        <v/>
      </c>
      <c r="X241" s="25">
        <f>IF(U241="","",IF(OR(U241="si, en la proxima tarea",U241="si, con cambios"),1,0))</f>
        <v/>
      </c>
      <c r="Y241" s="25">
        <f>IF(AND(Q241=1,A241&lt;&gt;""),IF(IFERROR(COUNTIFS(A$3:A241,"="&amp;SUBSTITUTE(SUBSTITUTE(SUBSTITUTE(A241,"~","~~"),"*","~*"),"?","~?"),Q$3:Q241,1),0)=1,MAX(Y$2:Y240)+1,""),"")</f>
        <v/>
      </c>
      <c r="Z241" s="25">
        <f>IF(Y241="","",COUNTIFS($A$3:$A$1002,"="&amp;SUBSTITUTE(SUBSTITUTE(SUBSTITUTE(A241,"~","~~"),"*","~*"),"?","~?"),$Q$3:$Q$1002,1)*10000-Y241)</f>
        <v/>
      </c>
    </row>
    <row r="242">
      <c r="A242">
        <f>IF(A$2=0,"",IFERROR(TRIM(INDEX('Pegar docentes'!$A$1:$BZ$1001,241,A$2)&amp;""),""))</f>
        <v/>
      </c>
      <c r="B242">
        <f>IF(B$2=0,"",IFERROR(TRIM(INDEX('Pegar docentes'!$A$1:$BZ$1001,241,B$2)&amp;""),""))</f>
        <v/>
      </c>
      <c r="C242">
        <f>IF(C$2=0,"",IFERROR(TRIM(INDEX('Pegar docentes'!$A$1:$BZ$1001,241,C$2)&amp;""),""))</f>
        <v/>
      </c>
      <c r="D242">
        <f>IF(D$2=0,"",IFERROR(TRIM(INDEX('Pegar docentes'!$A$1:$BZ$1001,241,D$2)&amp;""),""))</f>
        <v/>
      </c>
      <c r="E242">
        <f>IF(E$2=0,"",IFERROR(TRIM(INDEX('Pegar docentes'!$A$1:$BZ$1001,241,E$2)&amp;""),""))</f>
        <v/>
      </c>
      <c r="F242">
        <f>IF(F$2=0,"",IFERROR(TRIM(INDEX('Pegar docentes'!$A$1:$BZ$1001,241,F$2)&amp;""),""))</f>
        <v/>
      </c>
      <c r="G242">
        <f>IF(G$2=0,"",IFERROR(TRIM(INDEX('Pegar docentes'!$A$1:$BZ$1001,241,G$2)&amp;""),""))</f>
        <v/>
      </c>
      <c r="H242">
        <f>IF(H$2=0,"",IFERROR(TRIM(INDEX('Pegar docentes'!$A$1:$BZ$1001,241,H$2)&amp;""),""))</f>
        <v/>
      </c>
      <c r="I242">
        <f>IF(I$2=0,"",IFERROR(TRIM(INDEX('Pegar docentes'!$A$1:$BZ$1001,241,I$2)&amp;""),""))</f>
        <v/>
      </c>
      <c r="J242">
        <f>IF(J$2=0,"",IFERROR(TRIM(INDEX('Pegar docentes'!$A$1:$BZ$1001,241,J$2)&amp;""),""))</f>
        <v/>
      </c>
      <c r="K242">
        <f>IF(K$2=0,"",IFERROR(TRIM(INDEX('Pegar docentes'!$A$1:$BZ$1001,241,K$2)&amp;""),""))</f>
        <v/>
      </c>
      <c r="L242">
        <f>IF(L$2=0,"",IFERROR(TRIM(INDEX('Pegar docentes'!$A$1:$BZ$1001,241,L$2)&amp;""),""))</f>
        <v/>
      </c>
      <c r="M242">
        <f>IF(M$2=0,"",IFERROR(TRIM(INDEX('Pegar docentes'!$A$1:$BZ$1001,241,M$2)&amp;""),""))</f>
        <v/>
      </c>
      <c r="N242">
        <f>IF(N$2=0,"",IFERROR(TRIM(INDEX('Pegar docentes'!$A$1:$BZ$1001,241,N$2)&amp;""),""))</f>
        <v/>
      </c>
      <c r="O242">
        <f>IF(O$2=0,"",IFERROR(TRIM(INDEX('Pegar docentes'!$A$1:$BZ$1001,241,O$2)&amp;""),""))</f>
        <v/>
      </c>
      <c r="P242">
        <f>IF(P$2=0,"",IFERROR(TRIM(INDEX('Pegar docentes'!$A$1:$BZ$1001,241,P$2)&amp;""),""))</f>
        <v/>
      </c>
      <c r="Q242" s="25">
        <f>IF(OR(D242&lt;&gt;"",H242&lt;&gt;""),1,"")</f>
        <v/>
      </c>
      <c r="R242" s="25">
        <f>IF(Q242=1,IF(ISNUMBER(FIND("#"&amp;MID(D242,1,1)&amp;"#","#0#1#2#3#4#5#6#7#8#9#")),IF(ISNUMBER(FIND("#"&amp;MID(D242,2,1)&amp;"#","#0#1#2#3#4#5#6#7#8#9#")),IF(AND(VALUE(LEFT(D242,2))&gt;=1,VALUE(LEFT(D242,2))&lt;=5),VALUE(LEFT(D242,2)),""),IF(AND(VALUE(LEFT(D242,1))&gt;=1,VALUE(LEFT(D242,1))&lt;=5),VALUE(LEFT(D242,1)),"")),""),"")</f>
        <v/>
      </c>
      <c r="S242" s="25">
        <f>IF(AND(Q242=1,E242&lt;&gt;""),SUBSTITUTE(SUBSTITUTE(SUBSTITUTE(SUBSTITUTE(SUBSTITUTE(SUBSTITUTE(SUBSTITUTE(SUBSTITUTE(SUBSTITUTE(SUBSTITUTE(SUBSTITUTE(SUBSTITUTE(LOWER(TRIM(E242)),"á","a"),"é","e"),"í","i"),"ó","o"),"ú","u"),"ü","u"),"ñ","n"),"à","a"),"è","e"),"ì","i"),"ò","o"),"ù","u"),"")</f>
        <v/>
      </c>
      <c r="T242" s="25">
        <f>IF(AND(Q242=1,G242&lt;&gt;""),SUBSTITUTE(SUBSTITUTE(SUBSTITUTE(SUBSTITUTE(SUBSTITUTE(SUBSTITUTE(SUBSTITUTE(SUBSTITUTE(SUBSTITUTE(SUBSTITUTE(SUBSTITUTE(SUBSTITUTE(LOWER(TRIM(G242)),"á","a"),"é","e"),"í","i"),"ó","o"),"ú","u"),"ü","u"),"ñ","n"),"à","a"),"è","e"),"ì","i"),"ò","o"),"ù","u"),"")</f>
        <v/>
      </c>
      <c r="U242" s="25">
        <f>IF(AND(Q242=1,H242&lt;&gt;""),SUBSTITUTE(SUBSTITUTE(SUBSTITUTE(SUBSTITUTE(SUBSTITUTE(SUBSTITUTE(SUBSTITUTE(SUBSTITUTE(SUBSTITUTE(SUBSTITUTE(SUBSTITUTE(SUBSTITUTE(LOWER(TRIM(H242)),"á","a"),"é","e"),"í","i"),"ó","o"),"ú","u"),"ü","u"),"ñ","n"),"à","a"),"è","e"),"ì","i"),"ò","o"),"ù","u"),"")</f>
        <v/>
      </c>
      <c r="V242" s="25">
        <f>IF(AND(Q242=1,L242&lt;&gt;""),SUBSTITUTE(SUBSTITUTE(SUBSTITUTE(SUBSTITUTE(SUBSTITUTE(SUBSTITUTE(SUBSTITUTE(SUBSTITUTE(SUBSTITUTE(SUBSTITUTE(SUBSTITUTE(SUBSTITUTE(LOWER(TRIM(L242)),"á","a"),"é","e"),"í","i"),"ó","o"),"ú","u"),"ü","u"),"ñ","n"),"à","a"),"è","e"),"ì","i"),"ò","o"),"ù","u"),"")</f>
        <v/>
      </c>
      <c r="W242" s="25">
        <f>IF(AND(Q242=1,I242&lt;&gt;""),SUBSTITUTE(SUBSTITUTE(SUBSTITUTE(SUBSTITUTE(SUBSTITUTE(SUBSTITUTE(SUBSTITUTE(SUBSTITUTE(SUBSTITUTE(SUBSTITUTE(SUBSTITUTE(SUBSTITUTE(LOWER(TRIM(I242)),"á","a"),"é","e"),"í","i"),"ó","o"),"ú","u"),"ü","u"),"ñ","n"),"à","a"),"è","e"),"ì","i"),"ò","o"),"ù","u"),"")</f>
        <v/>
      </c>
      <c r="X242" s="25">
        <f>IF(U242="","",IF(OR(U242="si, en la proxima tarea",U242="si, con cambios"),1,0))</f>
        <v/>
      </c>
      <c r="Y242" s="25">
        <f>IF(AND(Q242=1,A242&lt;&gt;""),IF(IFERROR(COUNTIFS(A$3:A242,"="&amp;SUBSTITUTE(SUBSTITUTE(SUBSTITUTE(A242,"~","~~"),"*","~*"),"?","~?"),Q$3:Q242,1),0)=1,MAX(Y$2:Y241)+1,""),"")</f>
        <v/>
      </c>
      <c r="Z242" s="25">
        <f>IF(Y242="","",COUNTIFS($A$3:$A$1002,"="&amp;SUBSTITUTE(SUBSTITUTE(SUBSTITUTE(A242,"~","~~"),"*","~*"),"?","~?"),$Q$3:$Q$1002,1)*10000-Y242)</f>
        <v/>
      </c>
    </row>
    <row r="243">
      <c r="A243">
        <f>IF(A$2=0,"",IFERROR(TRIM(INDEX('Pegar docentes'!$A$1:$BZ$1001,242,A$2)&amp;""),""))</f>
        <v/>
      </c>
      <c r="B243">
        <f>IF(B$2=0,"",IFERROR(TRIM(INDEX('Pegar docentes'!$A$1:$BZ$1001,242,B$2)&amp;""),""))</f>
        <v/>
      </c>
      <c r="C243">
        <f>IF(C$2=0,"",IFERROR(TRIM(INDEX('Pegar docentes'!$A$1:$BZ$1001,242,C$2)&amp;""),""))</f>
        <v/>
      </c>
      <c r="D243">
        <f>IF(D$2=0,"",IFERROR(TRIM(INDEX('Pegar docentes'!$A$1:$BZ$1001,242,D$2)&amp;""),""))</f>
        <v/>
      </c>
      <c r="E243">
        <f>IF(E$2=0,"",IFERROR(TRIM(INDEX('Pegar docentes'!$A$1:$BZ$1001,242,E$2)&amp;""),""))</f>
        <v/>
      </c>
      <c r="F243">
        <f>IF(F$2=0,"",IFERROR(TRIM(INDEX('Pegar docentes'!$A$1:$BZ$1001,242,F$2)&amp;""),""))</f>
        <v/>
      </c>
      <c r="G243">
        <f>IF(G$2=0,"",IFERROR(TRIM(INDEX('Pegar docentes'!$A$1:$BZ$1001,242,G$2)&amp;""),""))</f>
        <v/>
      </c>
      <c r="H243">
        <f>IF(H$2=0,"",IFERROR(TRIM(INDEX('Pegar docentes'!$A$1:$BZ$1001,242,H$2)&amp;""),""))</f>
        <v/>
      </c>
      <c r="I243">
        <f>IF(I$2=0,"",IFERROR(TRIM(INDEX('Pegar docentes'!$A$1:$BZ$1001,242,I$2)&amp;""),""))</f>
        <v/>
      </c>
      <c r="J243">
        <f>IF(J$2=0,"",IFERROR(TRIM(INDEX('Pegar docentes'!$A$1:$BZ$1001,242,J$2)&amp;""),""))</f>
        <v/>
      </c>
      <c r="K243">
        <f>IF(K$2=0,"",IFERROR(TRIM(INDEX('Pegar docentes'!$A$1:$BZ$1001,242,K$2)&amp;""),""))</f>
        <v/>
      </c>
      <c r="L243">
        <f>IF(L$2=0,"",IFERROR(TRIM(INDEX('Pegar docentes'!$A$1:$BZ$1001,242,L$2)&amp;""),""))</f>
        <v/>
      </c>
      <c r="M243">
        <f>IF(M$2=0,"",IFERROR(TRIM(INDEX('Pegar docentes'!$A$1:$BZ$1001,242,M$2)&amp;""),""))</f>
        <v/>
      </c>
      <c r="N243">
        <f>IF(N$2=0,"",IFERROR(TRIM(INDEX('Pegar docentes'!$A$1:$BZ$1001,242,N$2)&amp;""),""))</f>
        <v/>
      </c>
      <c r="O243">
        <f>IF(O$2=0,"",IFERROR(TRIM(INDEX('Pegar docentes'!$A$1:$BZ$1001,242,O$2)&amp;""),""))</f>
        <v/>
      </c>
      <c r="P243">
        <f>IF(P$2=0,"",IFERROR(TRIM(INDEX('Pegar docentes'!$A$1:$BZ$1001,242,P$2)&amp;""),""))</f>
        <v/>
      </c>
      <c r="Q243" s="25">
        <f>IF(OR(D243&lt;&gt;"",H243&lt;&gt;""),1,"")</f>
        <v/>
      </c>
      <c r="R243" s="25">
        <f>IF(Q243=1,IF(ISNUMBER(FIND("#"&amp;MID(D243,1,1)&amp;"#","#0#1#2#3#4#5#6#7#8#9#")),IF(ISNUMBER(FIND("#"&amp;MID(D243,2,1)&amp;"#","#0#1#2#3#4#5#6#7#8#9#")),IF(AND(VALUE(LEFT(D243,2))&gt;=1,VALUE(LEFT(D243,2))&lt;=5),VALUE(LEFT(D243,2)),""),IF(AND(VALUE(LEFT(D243,1))&gt;=1,VALUE(LEFT(D243,1))&lt;=5),VALUE(LEFT(D243,1)),"")),""),"")</f>
        <v/>
      </c>
      <c r="S243" s="25">
        <f>IF(AND(Q243=1,E243&lt;&gt;""),SUBSTITUTE(SUBSTITUTE(SUBSTITUTE(SUBSTITUTE(SUBSTITUTE(SUBSTITUTE(SUBSTITUTE(SUBSTITUTE(SUBSTITUTE(SUBSTITUTE(SUBSTITUTE(SUBSTITUTE(LOWER(TRIM(E243)),"á","a"),"é","e"),"í","i"),"ó","o"),"ú","u"),"ü","u"),"ñ","n"),"à","a"),"è","e"),"ì","i"),"ò","o"),"ù","u"),"")</f>
        <v/>
      </c>
      <c r="T243" s="25">
        <f>IF(AND(Q243=1,G243&lt;&gt;""),SUBSTITUTE(SUBSTITUTE(SUBSTITUTE(SUBSTITUTE(SUBSTITUTE(SUBSTITUTE(SUBSTITUTE(SUBSTITUTE(SUBSTITUTE(SUBSTITUTE(SUBSTITUTE(SUBSTITUTE(LOWER(TRIM(G243)),"á","a"),"é","e"),"í","i"),"ó","o"),"ú","u"),"ü","u"),"ñ","n"),"à","a"),"è","e"),"ì","i"),"ò","o"),"ù","u"),"")</f>
        <v/>
      </c>
      <c r="U243" s="25">
        <f>IF(AND(Q243=1,H243&lt;&gt;""),SUBSTITUTE(SUBSTITUTE(SUBSTITUTE(SUBSTITUTE(SUBSTITUTE(SUBSTITUTE(SUBSTITUTE(SUBSTITUTE(SUBSTITUTE(SUBSTITUTE(SUBSTITUTE(SUBSTITUTE(LOWER(TRIM(H243)),"á","a"),"é","e"),"í","i"),"ó","o"),"ú","u"),"ü","u"),"ñ","n"),"à","a"),"è","e"),"ì","i"),"ò","o"),"ù","u"),"")</f>
        <v/>
      </c>
      <c r="V243" s="25">
        <f>IF(AND(Q243=1,L243&lt;&gt;""),SUBSTITUTE(SUBSTITUTE(SUBSTITUTE(SUBSTITUTE(SUBSTITUTE(SUBSTITUTE(SUBSTITUTE(SUBSTITUTE(SUBSTITUTE(SUBSTITUTE(SUBSTITUTE(SUBSTITUTE(LOWER(TRIM(L243)),"á","a"),"é","e"),"í","i"),"ó","o"),"ú","u"),"ü","u"),"ñ","n"),"à","a"),"è","e"),"ì","i"),"ò","o"),"ù","u"),"")</f>
        <v/>
      </c>
      <c r="W243" s="25">
        <f>IF(AND(Q243=1,I243&lt;&gt;""),SUBSTITUTE(SUBSTITUTE(SUBSTITUTE(SUBSTITUTE(SUBSTITUTE(SUBSTITUTE(SUBSTITUTE(SUBSTITUTE(SUBSTITUTE(SUBSTITUTE(SUBSTITUTE(SUBSTITUTE(LOWER(TRIM(I243)),"á","a"),"é","e"),"í","i"),"ó","o"),"ú","u"),"ü","u"),"ñ","n"),"à","a"),"è","e"),"ì","i"),"ò","o"),"ù","u"),"")</f>
        <v/>
      </c>
      <c r="X243" s="25">
        <f>IF(U243="","",IF(OR(U243="si, en la proxima tarea",U243="si, con cambios"),1,0))</f>
        <v/>
      </c>
      <c r="Y243" s="25">
        <f>IF(AND(Q243=1,A243&lt;&gt;""),IF(IFERROR(COUNTIFS(A$3:A243,"="&amp;SUBSTITUTE(SUBSTITUTE(SUBSTITUTE(A243,"~","~~"),"*","~*"),"?","~?"),Q$3:Q243,1),0)=1,MAX(Y$2:Y242)+1,""),"")</f>
        <v/>
      </c>
      <c r="Z243" s="25">
        <f>IF(Y243="","",COUNTIFS($A$3:$A$1002,"="&amp;SUBSTITUTE(SUBSTITUTE(SUBSTITUTE(A243,"~","~~"),"*","~*"),"?","~?"),$Q$3:$Q$1002,1)*10000-Y243)</f>
        <v/>
      </c>
    </row>
    <row r="244">
      <c r="A244">
        <f>IF(A$2=0,"",IFERROR(TRIM(INDEX('Pegar docentes'!$A$1:$BZ$1001,243,A$2)&amp;""),""))</f>
        <v/>
      </c>
      <c r="B244">
        <f>IF(B$2=0,"",IFERROR(TRIM(INDEX('Pegar docentes'!$A$1:$BZ$1001,243,B$2)&amp;""),""))</f>
        <v/>
      </c>
      <c r="C244">
        <f>IF(C$2=0,"",IFERROR(TRIM(INDEX('Pegar docentes'!$A$1:$BZ$1001,243,C$2)&amp;""),""))</f>
        <v/>
      </c>
      <c r="D244">
        <f>IF(D$2=0,"",IFERROR(TRIM(INDEX('Pegar docentes'!$A$1:$BZ$1001,243,D$2)&amp;""),""))</f>
        <v/>
      </c>
      <c r="E244">
        <f>IF(E$2=0,"",IFERROR(TRIM(INDEX('Pegar docentes'!$A$1:$BZ$1001,243,E$2)&amp;""),""))</f>
        <v/>
      </c>
      <c r="F244">
        <f>IF(F$2=0,"",IFERROR(TRIM(INDEX('Pegar docentes'!$A$1:$BZ$1001,243,F$2)&amp;""),""))</f>
        <v/>
      </c>
      <c r="G244">
        <f>IF(G$2=0,"",IFERROR(TRIM(INDEX('Pegar docentes'!$A$1:$BZ$1001,243,G$2)&amp;""),""))</f>
        <v/>
      </c>
      <c r="H244">
        <f>IF(H$2=0,"",IFERROR(TRIM(INDEX('Pegar docentes'!$A$1:$BZ$1001,243,H$2)&amp;""),""))</f>
        <v/>
      </c>
      <c r="I244">
        <f>IF(I$2=0,"",IFERROR(TRIM(INDEX('Pegar docentes'!$A$1:$BZ$1001,243,I$2)&amp;""),""))</f>
        <v/>
      </c>
      <c r="J244">
        <f>IF(J$2=0,"",IFERROR(TRIM(INDEX('Pegar docentes'!$A$1:$BZ$1001,243,J$2)&amp;""),""))</f>
        <v/>
      </c>
      <c r="K244">
        <f>IF(K$2=0,"",IFERROR(TRIM(INDEX('Pegar docentes'!$A$1:$BZ$1001,243,K$2)&amp;""),""))</f>
        <v/>
      </c>
      <c r="L244">
        <f>IF(L$2=0,"",IFERROR(TRIM(INDEX('Pegar docentes'!$A$1:$BZ$1001,243,L$2)&amp;""),""))</f>
        <v/>
      </c>
      <c r="M244">
        <f>IF(M$2=0,"",IFERROR(TRIM(INDEX('Pegar docentes'!$A$1:$BZ$1001,243,M$2)&amp;""),""))</f>
        <v/>
      </c>
      <c r="N244">
        <f>IF(N$2=0,"",IFERROR(TRIM(INDEX('Pegar docentes'!$A$1:$BZ$1001,243,N$2)&amp;""),""))</f>
        <v/>
      </c>
      <c r="O244">
        <f>IF(O$2=0,"",IFERROR(TRIM(INDEX('Pegar docentes'!$A$1:$BZ$1001,243,O$2)&amp;""),""))</f>
        <v/>
      </c>
      <c r="P244">
        <f>IF(P$2=0,"",IFERROR(TRIM(INDEX('Pegar docentes'!$A$1:$BZ$1001,243,P$2)&amp;""),""))</f>
        <v/>
      </c>
      <c r="Q244" s="25">
        <f>IF(OR(D244&lt;&gt;"",H244&lt;&gt;""),1,"")</f>
        <v/>
      </c>
      <c r="R244" s="25">
        <f>IF(Q244=1,IF(ISNUMBER(FIND("#"&amp;MID(D244,1,1)&amp;"#","#0#1#2#3#4#5#6#7#8#9#")),IF(ISNUMBER(FIND("#"&amp;MID(D244,2,1)&amp;"#","#0#1#2#3#4#5#6#7#8#9#")),IF(AND(VALUE(LEFT(D244,2))&gt;=1,VALUE(LEFT(D244,2))&lt;=5),VALUE(LEFT(D244,2)),""),IF(AND(VALUE(LEFT(D244,1))&gt;=1,VALUE(LEFT(D244,1))&lt;=5),VALUE(LEFT(D244,1)),"")),""),"")</f>
        <v/>
      </c>
      <c r="S244" s="25">
        <f>IF(AND(Q244=1,E244&lt;&gt;""),SUBSTITUTE(SUBSTITUTE(SUBSTITUTE(SUBSTITUTE(SUBSTITUTE(SUBSTITUTE(SUBSTITUTE(SUBSTITUTE(SUBSTITUTE(SUBSTITUTE(SUBSTITUTE(SUBSTITUTE(LOWER(TRIM(E244)),"á","a"),"é","e"),"í","i"),"ó","o"),"ú","u"),"ü","u"),"ñ","n"),"à","a"),"è","e"),"ì","i"),"ò","o"),"ù","u"),"")</f>
        <v/>
      </c>
      <c r="T244" s="25">
        <f>IF(AND(Q244=1,G244&lt;&gt;""),SUBSTITUTE(SUBSTITUTE(SUBSTITUTE(SUBSTITUTE(SUBSTITUTE(SUBSTITUTE(SUBSTITUTE(SUBSTITUTE(SUBSTITUTE(SUBSTITUTE(SUBSTITUTE(SUBSTITUTE(LOWER(TRIM(G244)),"á","a"),"é","e"),"í","i"),"ó","o"),"ú","u"),"ü","u"),"ñ","n"),"à","a"),"è","e"),"ì","i"),"ò","o"),"ù","u"),"")</f>
        <v/>
      </c>
      <c r="U244" s="25">
        <f>IF(AND(Q244=1,H244&lt;&gt;""),SUBSTITUTE(SUBSTITUTE(SUBSTITUTE(SUBSTITUTE(SUBSTITUTE(SUBSTITUTE(SUBSTITUTE(SUBSTITUTE(SUBSTITUTE(SUBSTITUTE(SUBSTITUTE(SUBSTITUTE(LOWER(TRIM(H244)),"á","a"),"é","e"),"í","i"),"ó","o"),"ú","u"),"ü","u"),"ñ","n"),"à","a"),"è","e"),"ì","i"),"ò","o"),"ù","u"),"")</f>
        <v/>
      </c>
      <c r="V244" s="25">
        <f>IF(AND(Q244=1,L244&lt;&gt;""),SUBSTITUTE(SUBSTITUTE(SUBSTITUTE(SUBSTITUTE(SUBSTITUTE(SUBSTITUTE(SUBSTITUTE(SUBSTITUTE(SUBSTITUTE(SUBSTITUTE(SUBSTITUTE(SUBSTITUTE(LOWER(TRIM(L244)),"á","a"),"é","e"),"í","i"),"ó","o"),"ú","u"),"ü","u"),"ñ","n"),"à","a"),"è","e"),"ì","i"),"ò","o"),"ù","u"),"")</f>
        <v/>
      </c>
      <c r="W244" s="25">
        <f>IF(AND(Q244=1,I244&lt;&gt;""),SUBSTITUTE(SUBSTITUTE(SUBSTITUTE(SUBSTITUTE(SUBSTITUTE(SUBSTITUTE(SUBSTITUTE(SUBSTITUTE(SUBSTITUTE(SUBSTITUTE(SUBSTITUTE(SUBSTITUTE(LOWER(TRIM(I244)),"á","a"),"é","e"),"í","i"),"ó","o"),"ú","u"),"ü","u"),"ñ","n"),"à","a"),"è","e"),"ì","i"),"ò","o"),"ù","u"),"")</f>
        <v/>
      </c>
      <c r="X244" s="25">
        <f>IF(U244="","",IF(OR(U244="si, en la proxima tarea",U244="si, con cambios"),1,0))</f>
        <v/>
      </c>
      <c r="Y244" s="25">
        <f>IF(AND(Q244=1,A244&lt;&gt;""),IF(IFERROR(COUNTIFS(A$3:A244,"="&amp;SUBSTITUTE(SUBSTITUTE(SUBSTITUTE(A244,"~","~~"),"*","~*"),"?","~?"),Q$3:Q244,1),0)=1,MAX(Y$2:Y243)+1,""),"")</f>
        <v/>
      </c>
      <c r="Z244" s="25">
        <f>IF(Y244="","",COUNTIFS($A$3:$A$1002,"="&amp;SUBSTITUTE(SUBSTITUTE(SUBSTITUTE(A244,"~","~~"),"*","~*"),"?","~?"),$Q$3:$Q$1002,1)*10000-Y244)</f>
        <v/>
      </c>
    </row>
    <row r="245">
      <c r="A245">
        <f>IF(A$2=0,"",IFERROR(TRIM(INDEX('Pegar docentes'!$A$1:$BZ$1001,244,A$2)&amp;""),""))</f>
        <v/>
      </c>
      <c r="B245">
        <f>IF(B$2=0,"",IFERROR(TRIM(INDEX('Pegar docentes'!$A$1:$BZ$1001,244,B$2)&amp;""),""))</f>
        <v/>
      </c>
      <c r="C245">
        <f>IF(C$2=0,"",IFERROR(TRIM(INDEX('Pegar docentes'!$A$1:$BZ$1001,244,C$2)&amp;""),""))</f>
        <v/>
      </c>
      <c r="D245">
        <f>IF(D$2=0,"",IFERROR(TRIM(INDEX('Pegar docentes'!$A$1:$BZ$1001,244,D$2)&amp;""),""))</f>
        <v/>
      </c>
      <c r="E245">
        <f>IF(E$2=0,"",IFERROR(TRIM(INDEX('Pegar docentes'!$A$1:$BZ$1001,244,E$2)&amp;""),""))</f>
        <v/>
      </c>
      <c r="F245">
        <f>IF(F$2=0,"",IFERROR(TRIM(INDEX('Pegar docentes'!$A$1:$BZ$1001,244,F$2)&amp;""),""))</f>
        <v/>
      </c>
      <c r="G245">
        <f>IF(G$2=0,"",IFERROR(TRIM(INDEX('Pegar docentes'!$A$1:$BZ$1001,244,G$2)&amp;""),""))</f>
        <v/>
      </c>
      <c r="H245">
        <f>IF(H$2=0,"",IFERROR(TRIM(INDEX('Pegar docentes'!$A$1:$BZ$1001,244,H$2)&amp;""),""))</f>
        <v/>
      </c>
      <c r="I245">
        <f>IF(I$2=0,"",IFERROR(TRIM(INDEX('Pegar docentes'!$A$1:$BZ$1001,244,I$2)&amp;""),""))</f>
        <v/>
      </c>
      <c r="J245">
        <f>IF(J$2=0,"",IFERROR(TRIM(INDEX('Pegar docentes'!$A$1:$BZ$1001,244,J$2)&amp;""),""))</f>
        <v/>
      </c>
      <c r="K245">
        <f>IF(K$2=0,"",IFERROR(TRIM(INDEX('Pegar docentes'!$A$1:$BZ$1001,244,K$2)&amp;""),""))</f>
        <v/>
      </c>
      <c r="L245">
        <f>IF(L$2=0,"",IFERROR(TRIM(INDEX('Pegar docentes'!$A$1:$BZ$1001,244,L$2)&amp;""),""))</f>
        <v/>
      </c>
      <c r="M245">
        <f>IF(M$2=0,"",IFERROR(TRIM(INDEX('Pegar docentes'!$A$1:$BZ$1001,244,M$2)&amp;""),""))</f>
        <v/>
      </c>
      <c r="N245">
        <f>IF(N$2=0,"",IFERROR(TRIM(INDEX('Pegar docentes'!$A$1:$BZ$1001,244,N$2)&amp;""),""))</f>
        <v/>
      </c>
      <c r="O245">
        <f>IF(O$2=0,"",IFERROR(TRIM(INDEX('Pegar docentes'!$A$1:$BZ$1001,244,O$2)&amp;""),""))</f>
        <v/>
      </c>
      <c r="P245">
        <f>IF(P$2=0,"",IFERROR(TRIM(INDEX('Pegar docentes'!$A$1:$BZ$1001,244,P$2)&amp;""),""))</f>
        <v/>
      </c>
      <c r="Q245" s="25">
        <f>IF(OR(D245&lt;&gt;"",H245&lt;&gt;""),1,"")</f>
        <v/>
      </c>
      <c r="R245" s="25">
        <f>IF(Q245=1,IF(ISNUMBER(FIND("#"&amp;MID(D245,1,1)&amp;"#","#0#1#2#3#4#5#6#7#8#9#")),IF(ISNUMBER(FIND("#"&amp;MID(D245,2,1)&amp;"#","#0#1#2#3#4#5#6#7#8#9#")),IF(AND(VALUE(LEFT(D245,2))&gt;=1,VALUE(LEFT(D245,2))&lt;=5),VALUE(LEFT(D245,2)),""),IF(AND(VALUE(LEFT(D245,1))&gt;=1,VALUE(LEFT(D245,1))&lt;=5),VALUE(LEFT(D245,1)),"")),""),"")</f>
        <v/>
      </c>
      <c r="S245" s="25">
        <f>IF(AND(Q245=1,E245&lt;&gt;""),SUBSTITUTE(SUBSTITUTE(SUBSTITUTE(SUBSTITUTE(SUBSTITUTE(SUBSTITUTE(SUBSTITUTE(SUBSTITUTE(SUBSTITUTE(SUBSTITUTE(SUBSTITUTE(SUBSTITUTE(LOWER(TRIM(E245)),"á","a"),"é","e"),"í","i"),"ó","o"),"ú","u"),"ü","u"),"ñ","n"),"à","a"),"è","e"),"ì","i"),"ò","o"),"ù","u"),"")</f>
        <v/>
      </c>
      <c r="T245" s="25">
        <f>IF(AND(Q245=1,G245&lt;&gt;""),SUBSTITUTE(SUBSTITUTE(SUBSTITUTE(SUBSTITUTE(SUBSTITUTE(SUBSTITUTE(SUBSTITUTE(SUBSTITUTE(SUBSTITUTE(SUBSTITUTE(SUBSTITUTE(SUBSTITUTE(LOWER(TRIM(G245)),"á","a"),"é","e"),"í","i"),"ó","o"),"ú","u"),"ü","u"),"ñ","n"),"à","a"),"è","e"),"ì","i"),"ò","o"),"ù","u"),"")</f>
        <v/>
      </c>
      <c r="U245" s="25">
        <f>IF(AND(Q245=1,H245&lt;&gt;""),SUBSTITUTE(SUBSTITUTE(SUBSTITUTE(SUBSTITUTE(SUBSTITUTE(SUBSTITUTE(SUBSTITUTE(SUBSTITUTE(SUBSTITUTE(SUBSTITUTE(SUBSTITUTE(SUBSTITUTE(LOWER(TRIM(H245)),"á","a"),"é","e"),"í","i"),"ó","o"),"ú","u"),"ü","u"),"ñ","n"),"à","a"),"è","e"),"ì","i"),"ò","o"),"ù","u"),"")</f>
        <v/>
      </c>
      <c r="V245" s="25">
        <f>IF(AND(Q245=1,L245&lt;&gt;""),SUBSTITUTE(SUBSTITUTE(SUBSTITUTE(SUBSTITUTE(SUBSTITUTE(SUBSTITUTE(SUBSTITUTE(SUBSTITUTE(SUBSTITUTE(SUBSTITUTE(SUBSTITUTE(SUBSTITUTE(LOWER(TRIM(L245)),"á","a"),"é","e"),"í","i"),"ó","o"),"ú","u"),"ü","u"),"ñ","n"),"à","a"),"è","e"),"ì","i"),"ò","o"),"ù","u"),"")</f>
        <v/>
      </c>
      <c r="W245" s="25">
        <f>IF(AND(Q245=1,I245&lt;&gt;""),SUBSTITUTE(SUBSTITUTE(SUBSTITUTE(SUBSTITUTE(SUBSTITUTE(SUBSTITUTE(SUBSTITUTE(SUBSTITUTE(SUBSTITUTE(SUBSTITUTE(SUBSTITUTE(SUBSTITUTE(LOWER(TRIM(I245)),"á","a"),"é","e"),"í","i"),"ó","o"),"ú","u"),"ü","u"),"ñ","n"),"à","a"),"è","e"),"ì","i"),"ò","o"),"ù","u"),"")</f>
        <v/>
      </c>
      <c r="X245" s="25">
        <f>IF(U245="","",IF(OR(U245="si, en la proxima tarea",U245="si, con cambios"),1,0))</f>
        <v/>
      </c>
      <c r="Y245" s="25">
        <f>IF(AND(Q245=1,A245&lt;&gt;""),IF(IFERROR(COUNTIFS(A$3:A245,"="&amp;SUBSTITUTE(SUBSTITUTE(SUBSTITUTE(A245,"~","~~"),"*","~*"),"?","~?"),Q$3:Q245,1),0)=1,MAX(Y$2:Y244)+1,""),"")</f>
        <v/>
      </c>
      <c r="Z245" s="25">
        <f>IF(Y245="","",COUNTIFS($A$3:$A$1002,"="&amp;SUBSTITUTE(SUBSTITUTE(SUBSTITUTE(A245,"~","~~"),"*","~*"),"?","~?"),$Q$3:$Q$1002,1)*10000-Y245)</f>
        <v/>
      </c>
    </row>
    <row r="246">
      <c r="A246">
        <f>IF(A$2=0,"",IFERROR(TRIM(INDEX('Pegar docentes'!$A$1:$BZ$1001,245,A$2)&amp;""),""))</f>
        <v/>
      </c>
      <c r="B246">
        <f>IF(B$2=0,"",IFERROR(TRIM(INDEX('Pegar docentes'!$A$1:$BZ$1001,245,B$2)&amp;""),""))</f>
        <v/>
      </c>
      <c r="C246">
        <f>IF(C$2=0,"",IFERROR(TRIM(INDEX('Pegar docentes'!$A$1:$BZ$1001,245,C$2)&amp;""),""))</f>
        <v/>
      </c>
      <c r="D246">
        <f>IF(D$2=0,"",IFERROR(TRIM(INDEX('Pegar docentes'!$A$1:$BZ$1001,245,D$2)&amp;""),""))</f>
        <v/>
      </c>
      <c r="E246">
        <f>IF(E$2=0,"",IFERROR(TRIM(INDEX('Pegar docentes'!$A$1:$BZ$1001,245,E$2)&amp;""),""))</f>
        <v/>
      </c>
      <c r="F246">
        <f>IF(F$2=0,"",IFERROR(TRIM(INDEX('Pegar docentes'!$A$1:$BZ$1001,245,F$2)&amp;""),""))</f>
        <v/>
      </c>
      <c r="G246">
        <f>IF(G$2=0,"",IFERROR(TRIM(INDEX('Pegar docentes'!$A$1:$BZ$1001,245,G$2)&amp;""),""))</f>
        <v/>
      </c>
      <c r="H246">
        <f>IF(H$2=0,"",IFERROR(TRIM(INDEX('Pegar docentes'!$A$1:$BZ$1001,245,H$2)&amp;""),""))</f>
        <v/>
      </c>
      <c r="I246">
        <f>IF(I$2=0,"",IFERROR(TRIM(INDEX('Pegar docentes'!$A$1:$BZ$1001,245,I$2)&amp;""),""))</f>
        <v/>
      </c>
      <c r="J246">
        <f>IF(J$2=0,"",IFERROR(TRIM(INDEX('Pegar docentes'!$A$1:$BZ$1001,245,J$2)&amp;""),""))</f>
        <v/>
      </c>
      <c r="K246">
        <f>IF(K$2=0,"",IFERROR(TRIM(INDEX('Pegar docentes'!$A$1:$BZ$1001,245,K$2)&amp;""),""))</f>
        <v/>
      </c>
      <c r="L246">
        <f>IF(L$2=0,"",IFERROR(TRIM(INDEX('Pegar docentes'!$A$1:$BZ$1001,245,L$2)&amp;""),""))</f>
        <v/>
      </c>
      <c r="M246">
        <f>IF(M$2=0,"",IFERROR(TRIM(INDEX('Pegar docentes'!$A$1:$BZ$1001,245,M$2)&amp;""),""))</f>
        <v/>
      </c>
      <c r="N246">
        <f>IF(N$2=0,"",IFERROR(TRIM(INDEX('Pegar docentes'!$A$1:$BZ$1001,245,N$2)&amp;""),""))</f>
        <v/>
      </c>
      <c r="O246">
        <f>IF(O$2=0,"",IFERROR(TRIM(INDEX('Pegar docentes'!$A$1:$BZ$1001,245,O$2)&amp;""),""))</f>
        <v/>
      </c>
      <c r="P246">
        <f>IF(P$2=0,"",IFERROR(TRIM(INDEX('Pegar docentes'!$A$1:$BZ$1001,245,P$2)&amp;""),""))</f>
        <v/>
      </c>
      <c r="Q246" s="25">
        <f>IF(OR(D246&lt;&gt;"",H246&lt;&gt;""),1,"")</f>
        <v/>
      </c>
      <c r="R246" s="25">
        <f>IF(Q246=1,IF(ISNUMBER(FIND("#"&amp;MID(D246,1,1)&amp;"#","#0#1#2#3#4#5#6#7#8#9#")),IF(ISNUMBER(FIND("#"&amp;MID(D246,2,1)&amp;"#","#0#1#2#3#4#5#6#7#8#9#")),IF(AND(VALUE(LEFT(D246,2))&gt;=1,VALUE(LEFT(D246,2))&lt;=5),VALUE(LEFT(D246,2)),""),IF(AND(VALUE(LEFT(D246,1))&gt;=1,VALUE(LEFT(D246,1))&lt;=5),VALUE(LEFT(D246,1)),"")),""),"")</f>
        <v/>
      </c>
      <c r="S246" s="25">
        <f>IF(AND(Q246=1,E246&lt;&gt;""),SUBSTITUTE(SUBSTITUTE(SUBSTITUTE(SUBSTITUTE(SUBSTITUTE(SUBSTITUTE(SUBSTITUTE(SUBSTITUTE(SUBSTITUTE(SUBSTITUTE(SUBSTITUTE(SUBSTITUTE(LOWER(TRIM(E246)),"á","a"),"é","e"),"í","i"),"ó","o"),"ú","u"),"ü","u"),"ñ","n"),"à","a"),"è","e"),"ì","i"),"ò","o"),"ù","u"),"")</f>
        <v/>
      </c>
      <c r="T246" s="25">
        <f>IF(AND(Q246=1,G246&lt;&gt;""),SUBSTITUTE(SUBSTITUTE(SUBSTITUTE(SUBSTITUTE(SUBSTITUTE(SUBSTITUTE(SUBSTITUTE(SUBSTITUTE(SUBSTITUTE(SUBSTITUTE(SUBSTITUTE(SUBSTITUTE(LOWER(TRIM(G246)),"á","a"),"é","e"),"í","i"),"ó","o"),"ú","u"),"ü","u"),"ñ","n"),"à","a"),"è","e"),"ì","i"),"ò","o"),"ù","u"),"")</f>
        <v/>
      </c>
      <c r="U246" s="25">
        <f>IF(AND(Q246=1,H246&lt;&gt;""),SUBSTITUTE(SUBSTITUTE(SUBSTITUTE(SUBSTITUTE(SUBSTITUTE(SUBSTITUTE(SUBSTITUTE(SUBSTITUTE(SUBSTITUTE(SUBSTITUTE(SUBSTITUTE(SUBSTITUTE(LOWER(TRIM(H246)),"á","a"),"é","e"),"í","i"),"ó","o"),"ú","u"),"ü","u"),"ñ","n"),"à","a"),"è","e"),"ì","i"),"ò","o"),"ù","u"),"")</f>
        <v/>
      </c>
      <c r="V246" s="25">
        <f>IF(AND(Q246=1,L246&lt;&gt;""),SUBSTITUTE(SUBSTITUTE(SUBSTITUTE(SUBSTITUTE(SUBSTITUTE(SUBSTITUTE(SUBSTITUTE(SUBSTITUTE(SUBSTITUTE(SUBSTITUTE(SUBSTITUTE(SUBSTITUTE(LOWER(TRIM(L246)),"á","a"),"é","e"),"í","i"),"ó","o"),"ú","u"),"ü","u"),"ñ","n"),"à","a"),"è","e"),"ì","i"),"ò","o"),"ù","u"),"")</f>
        <v/>
      </c>
      <c r="W246" s="25">
        <f>IF(AND(Q246=1,I246&lt;&gt;""),SUBSTITUTE(SUBSTITUTE(SUBSTITUTE(SUBSTITUTE(SUBSTITUTE(SUBSTITUTE(SUBSTITUTE(SUBSTITUTE(SUBSTITUTE(SUBSTITUTE(SUBSTITUTE(SUBSTITUTE(LOWER(TRIM(I246)),"á","a"),"é","e"),"í","i"),"ó","o"),"ú","u"),"ü","u"),"ñ","n"),"à","a"),"è","e"),"ì","i"),"ò","o"),"ù","u"),"")</f>
        <v/>
      </c>
      <c r="X246" s="25">
        <f>IF(U246="","",IF(OR(U246="si, en la proxima tarea",U246="si, con cambios"),1,0))</f>
        <v/>
      </c>
      <c r="Y246" s="25">
        <f>IF(AND(Q246=1,A246&lt;&gt;""),IF(IFERROR(COUNTIFS(A$3:A246,"="&amp;SUBSTITUTE(SUBSTITUTE(SUBSTITUTE(A246,"~","~~"),"*","~*"),"?","~?"),Q$3:Q246,1),0)=1,MAX(Y$2:Y245)+1,""),"")</f>
        <v/>
      </c>
      <c r="Z246" s="25">
        <f>IF(Y246="","",COUNTIFS($A$3:$A$1002,"="&amp;SUBSTITUTE(SUBSTITUTE(SUBSTITUTE(A246,"~","~~"),"*","~*"),"?","~?"),$Q$3:$Q$1002,1)*10000-Y246)</f>
        <v/>
      </c>
    </row>
    <row r="247">
      <c r="A247">
        <f>IF(A$2=0,"",IFERROR(TRIM(INDEX('Pegar docentes'!$A$1:$BZ$1001,246,A$2)&amp;""),""))</f>
        <v/>
      </c>
      <c r="B247">
        <f>IF(B$2=0,"",IFERROR(TRIM(INDEX('Pegar docentes'!$A$1:$BZ$1001,246,B$2)&amp;""),""))</f>
        <v/>
      </c>
      <c r="C247">
        <f>IF(C$2=0,"",IFERROR(TRIM(INDEX('Pegar docentes'!$A$1:$BZ$1001,246,C$2)&amp;""),""))</f>
        <v/>
      </c>
      <c r="D247">
        <f>IF(D$2=0,"",IFERROR(TRIM(INDEX('Pegar docentes'!$A$1:$BZ$1001,246,D$2)&amp;""),""))</f>
        <v/>
      </c>
      <c r="E247">
        <f>IF(E$2=0,"",IFERROR(TRIM(INDEX('Pegar docentes'!$A$1:$BZ$1001,246,E$2)&amp;""),""))</f>
        <v/>
      </c>
      <c r="F247">
        <f>IF(F$2=0,"",IFERROR(TRIM(INDEX('Pegar docentes'!$A$1:$BZ$1001,246,F$2)&amp;""),""))</f>
        <v/>
      </c>
      <c r="G247">
        <f>IF(G$2=0,"",IFERROR(TRIM(INDEX('Pegar docentes'!$A$1:$BZ$1001,246,G$2)&amp;""),""))</f>
        <v/>
      </c>
      <c r="H247">
        <f>IF(H$2=0,"",IFERROR(TRIM(INDEX('Pegar docentes'!$A$1:$BZ$1001,246,H$2)&amp;""),""))</f>
        <v/>
      </c>
      <c r="I247">
        <f>IF(I$2=0,"",IFERROR(TRIM(INDEX('Pegar docentes'!$A$1:$BZ$1001,246,I$2)&amp;""),""))</f>
        <v/>
      </c>
      <c r="J247">
        <f>IF(J$2=0,"",IFERROR(TRIM(INDEX('Pegar docentes'!$A$1:$BZ$1001,246,J$2)&amp;""),""))</f>
        <v/>
      </c>
      <c r="K247">
        <f>IF(K$2=0,"",IFERROR(TRIM(INDEX('Pegar docentes'!$A$1:$BZ$1001,246,K$2)&amp;""),""))</f>
        <v/>
      </c>
      <c r="L247">
        <f>IF(L$2=0,"",IFERROR(TRIM(INDEX('Pegar docentes'!$A$1:$BZ$1001,246,L$2)&amp;""),""))</f>
        <v/>
      </c>
      <c r="M247">
        <f>IF(M$2=0,"",IFERROR(TRIM(INDEX('Pegar docentes'!$A$1:$BZ$1001,246,M$2)&amp;""),""))</f>
        <v/>
      </c>
      <c r="N247">
        <f>IF(N$2=0,"",IFERROR(TRIM(INDEX('Pegar docentes'!$A$1:$BZ$1001,246,N$2)&amp;""),""))</f>
        <v/>
      </c>
      <c r="O247">
        <f>IF(O$2=0,"",IFERROR(TRIM(INDEX('Pegar docentes'!$A$1:$BZ$1001,246,O$2)&amp;""),""))</f>
        <v/>
      </c>
      <c r="P247">
        <f>IF(P$2=0,"",IFERROR(TRIM(INDEX('Pegar docentes'!$A$1:$BZ$1001,246,P$2)&amp;""),""))</f>
        <v/>
      </c>
      <c r="Q247" s="25">
        <f>IF(OR(D247&lt;&gt;"",H247&lt;&gt;""),1,"")</f>
        <v/>
      </c>
      <c r="R247" s="25">
        <f>IF(Q247=1,IF(ISNUMBER(FIND("#"&amp;MID(D247,1,1)&amp;"#","#0#1#2#3#4#5#6#7#8#9#")),IF(ISNUMBER(FIND("#"&amp;MID(D247,2,1)&amp;"#","#0#1#2#3#4#5#6#7#8#9#")),IF(AND(VALUE(LEFT(D247,2))&gt;=1,VALUE(LEFT(D247,2))&lt;=5),VALUE(LEFT(D247,2)),""),IF(AND(VALUE(LEFT(D247,1))&gt;=1,VALUE(LEFT(D247,1))&lt;=5),VALUE(LEFT(D247,1)),"")),""),"")</f>
        <v/>
      </c>
      <c r="S247" s="25">
        <f>IF(AND(Q247=1,E247&lt;&gt;""),SUBSTITUTE(SUBSTITUTE(SUBSTITUTE(SUBSTITUTE(SUBSTITUTE(SUBSTITUTE(SUBSTITUTE(SUBSTITUTE(SUBSTITUTE(SUBSTITUTE(SUBSTITUTE(SUBSTITUTE(LOWER(TRIM(E247)),"á","a"),"é","e"),"í","i"),"ó","o"),"ú","u"),"ü","u"),"ñ","n"),"à","a"),"è","e"),"ì","i"),"ò","o"),"ù","u"),"")</f>
        <v/>
      </c>
      <c r="T247" s="25">
        <f>IF(AND(Q247=1,G247&lt;&gt;""),SUBSTITUTE(SUBSTITUTE(SUBSTITUTE(SUBSTITUTE(SUBSTITUTE(SUBSTITUTE(SUBSTITUTE(SUBSTITUTE(SUBSTITUTE(SUBSTITUTE(SUBSTITUTE(SUBSTITUTE(LOWER(TRIM(G247)),"á","a"),"é","e"),"í","i"),"ó","o"),"ú","u"),"ü","u"),"ñ","n"),"à","a"),"è","e"),"ì","i"),"ò","o"),"ù","u"),"")</f>
        <v/>
      </c>
      <c r="U247" s="25">
        <f>IF(AND(Q247=1,H247&lt;&gt;""),SUBSTITUTE(SUBSTITUTE(SUBSTITUTE(SUBSTITUTE(SUBSTITUTE(SUBSTITUTE(SUBSTITUTE(SUBSTITUTE(SUBSTITUTE(SUBSTITUTE(SUBSTITUTE(SUBSTITUTE(LOWER(TRIM(H247)),"á","a"),"é","e"),"í","i"),"ó","o"),"ú","u"),"ü","u"),"ñ","n"),"à","a"),"è","e"),"ì","i"),"ò","o"),"ù","u"),"")</f>
        <v/>
      </c>
      <c r="V247" s="25">
        <f>IF(AND(Q247=1,L247&lt;&gt;""),SUBSTITUTE(SUBSTITUTE(SUBSTITUTE(SUBSTITUTE(SUBSTITUTE(SUBSTITUTE(SUBSTITUTE(SUBSTITUTE(SUBSTITUTE(SUBSTITUTE(SUBSTITUTE(SUBSTITUTE(LOWER(TRIM(L247)),"á","a"),"é","e"),"í","i"),"ó","o"),"ú","u"),"ü","u"),"ñ","n"),"à","a"),"è","e"),"ì","i"),"ò","o"),"ù","u"),"")</f>
        <v/>
      </c>
      <c r="W247" s="25">
        <f>IF(AND(Q247=1,I247&lt;&gt;""),SUBSTITUTE(SUBSTITUTE(SUBSTITUTE(SUBSTITUTE(SUBSTITUTE(SUBSTITUTE(SUBSTITUTE(SUBSTITUTE(SUBSTITUTE(SUBSTITUTE(SUBSTITUTE(SUBSTITUTE(LOWER(TRIM(I247)),"á","a"),"é","e"),"í","i"),"ó","o"),"ú","u"),"ü","u"),"ñ","n"),"à","a"),"è","e"),"ì","i"),"ò","o"),"ù","u"),"")</f>
        <v/>
      </c>
      <c r="X247" s="25">
        <f>IF(U247="","",IF(OR(U247="si, en la proxima tarea",U247="si, con cambios"),1,0))</f>
        <v/>
      </c>
      <c r="Y247" s="25">
        <f>IF(AND(Q247=1,A247&lt;&gt;""),IF(IFERROR(COUNTIFS(A$3:A247,"="&amp;SUBSTITUTE(SUBSTITUTE(SUBSTITUTE(A247,"~","~~"),"*","~*"),"?","~?"),Q$3:Q247,1),0)=1,MAX(Y$2:Y246)+1,""),"")</f>
        <v/>
      </c>
      <c r="Z247" s="25">
        <f>IF(Y247="","",COUNTIFS($A$3:$A$1002,"="&amp;SUBSTITUTE(SUBSTITUTE(SUBSTITUTE(A247,"~","~~"),"*","~*"),"?","~?"),$Q$3:$Q$1002,1)*10000-Y247)</f>
        <v/>
      </c>
    </row>
    <row r="248">
      <c r="A248">
        <f>IF(A$2=0,"",IFERROR(TRIM(INDEX('Pegar docentes'!$A$1:$BZ$1001,247,A$2)&amp;""),""))</f>
        <v/>
      </c>
      <c r="B248">
        <f>IF(B$2=0,"",IFERROR(TRIM(INDEX('Pegar docentes'!$A$1:$BZ$1001,247,B$2)&amp;""),""))</f>
        <v/>
      </c>
      <c r="C248">
        <f>IF(C$2=0,"",IFERROR(TRIM(INDEX('Pegar docentes'!$A$1:$BZ$1001,247,C$2)&amp;""),""))</f>
        <v/>
      </c>
      <c r="D248">
        <f>IF(D$2=0,"",IFERROR(TRIM(INDEX('Pegar docentes'!$A$1:$BZ$1001,247,D$2)&amp;""),""))</f>
        <v/>
      </c>
      <c r="E248">
        <f>IF(E$2=0,"",IFERROR(TRIM(INDEX('Pegar docentes'!$A$1:$BZ$1001,247,E$2)&amp;""),""))</f>
        <v/>
      </c>
      <c r="F248">
        <f>IF(F$2=0,"",IFERROR(TRIM(INDEX('Pegar docentes'!$A$1:$BZ$1001,247,F$2)&amp;""),""))</f>
        <v/>
      </c>
      <c r="G248">
        <f>IF(G$2=0,"",IFERROR(TRIM(INDEX('Pegar docentes'!$A$1:$BZ$1001,247,G$2)&amp;""),""))</f>
        <v/>
      </c>
      <c r="H248">
        <f>IF(H$2=0,"",IFERROR(TRIM(INDEX('Pegar docentes'!$A$1:$BZ$1001,247,H$2)&amp;""),""))</f>
        <v/>
      </c>
      <c r="I248">
        <f>IF(I$2=0,"",IFERROR(TRIM(INDEX('Pegar docentes'!$A$1:$BZ$1001,247,I$2)&amp;""),""))</f>
        <v/>
      </c>
      <c r="J248">
        <f>IF(J$2=0,"",IFERROR(TRIM(INDEX('Pegar docentes'!$A$1:$BZ$1001,247,J$2)&amp;""),""))</f>
        <v/>
      </c>
      <c r="K248">
        <f>IF(K$2=0,"",IFERROR(TRIM(INDEX('Pegar docentes'!$A$1:$BZ$1001,247,K$2)&amp;""),""))</f>
        <v/>
      </c>
      <c r="L248">
        <f>IF(L$2=0,"",IFERROR(TRIM(INDEX('Pegar docentes'!$A$1:$BZ$1001,247,L$2)&amp;""),""))</f>
        <v/>
      </c>
      <c r="M248">
        <f>IF(M$2=0,"",IFERROR(TRIM(INDEX('Pegar docentes'!$A$1:$BZ$1001,247,M$2)&amp;""),""))</f>
        <v/>
      </c>
      <c r="N248">
        <f>IF(N$2=0,"",IFERROR(TRIM(INDEX('Pegar docentes'!$A$1:$BZ$1001,247,N$2)&amp;""),""))</f>
        <v/>
      </c>
      <c r="O248">
        <f>IF(O$2=0,"",IFERROR(TRIM(INDEX('Pegar docentes'!$A$1:$BZ$1001,247,O$2)&amp;""),""))</f>
        <v/>
      </c>
      <c r="P248">
        <f>IF(P$2=0,"",IFERROR(TRIM(INDEX('Pegar docentes'!$A$1:$BZ$1001,247,P$2)&amp;""),""))</f>
        <v/>
      </c>
      <c r="Q248" s="25">
        <f>IF(OR(D248&lt;&gt;"",H248&lt;&gt;""),1,"")</f>
        <v/>
      </c>
      <c r="R248" s="25">
        <f>IF(Q248=1,IF(ISNUMBER(FIND("#"&amp;MID(D248,1,1)&amp;"#","#0#1#2#3#4#5#6#7#8#9#")),IF(ISNUMBER(FIND("#"&amp;MID(D248,2,1)&amp;"#","#0#1#2#3#4#5#6#7#8#9#")),IF(AND(VALUE(LEFT(D248,2))&gt;=1,VALUE(LEFT(D248,2))&lt;=5),VALUE(LEFT(D248,2)),""),IF(AND(VALUE(LEFT(D248,1))&gt;=1,VALUE(LEFT(D248,1))&lt;=5),VALUE(LEFT(D248,1)),"")),""),"")</f>
        <v/>
      </c>
      <c r="S248" s="25">
        <f>IF(AND(Q248=1,E248&lt;&gt;""),SUBSTITUTE(SUBSTITUTE(SUBSTITUTE(SUBSTITUTE(SUBSTITUTE(SUBSTITUTE(SUBSTITUTE(SUBSTITUTE(SUBSTITUTE(SUBSTITUTE(SUBSTITUTE(SUBSTITUTE(LOWER(TRIM(E248)),"á","a"),"é","e"),"í","i"),"ó","o"),"ú","u"),"ü","u"),"ñ","n"),"à","a"),"è","e"),"ì","i"),"ò","o"),"ù","u"),"")</f>
        <v/>
      </c>
      <c r="T248" s="25">
        <f>IF(AND(Q248=1,G248&lt;&gt;""),SUBSTITUTE(SUBSTITUTE(SUBSTITUTE(SUBSTITUTE(SUBSTITUTE(SUBSTITUTE(SUBSTITUTE(SUBSTITUTE(SUBSTITUTE(SUBSTITUTE(SUBSTITUTE(SUBSTITUTE(LOWER(TRIM(G248)),"á","a"),"é","e"),"í","i"),"ó","o"),"ú","u"),"ü","u"),"ñ","n"),"à","a"),"è","e"),"ì","i"),"ò","o"),"ù","u"),"")</f>
        <v/>
      </c>
      <c r="U248" s="25">
        <f>IF(AND(Q248=1,H248&lt;&gt;""),SUBSTITUTE(SUBSTITUTE(SUBSTITUTE(SUBSTITUTE(SUBSTITUTE(SUBSTITUTE(SUBSTITUTE(SUBSTITUTE(SUBSTITUTE(SUBSTITUTE(SUBSTITUTE(SUBSTITUTE(LOWER(TRIM(H248)),"á","a"),"é","e"),"í","i"),"ó","o"),"ú","u"),"ü","u"),"ñ","n"),"à","a"),"è","e"),"ì","i"),"ò","o"),"ù","u"),"")</f>
        <v/>
      </c>
      <c r="V248" s="25">
        <f>IF(AND(Q248=1,L248&lt;&gt;""),SUBSTITUTE(SUBSTITUTE(SUBSTITUTE(SUBSTITUTE(SUBSTITUTE(SUBSTITUTE(SUBSTITUTE(SUBSTITUTE(SUBSTITUTE(SUBSTITUTE(SUBSTITUTE(SUBSTITUTE(LOWER(TRIM(L248)),"á","a"),"é","e"),"í","i"),"ó","o"),"ú","u"),"ü","u"),"ñ","n"),"à","a"),"è","e"),"ì","i"),"ò","o"),"ù","u"),"")</f>
        <v/>
      </c>
      <c r="W248" s="25">
        <f>IF(AND(Q248=1,I248&lt;&gt;""),SUBSTITUTE(SUBSTITUTE(SUBSTITUTE(SUBSTITUTE(SUBSTITUTE(SUBSTITUTE(SUBSTITUTE(SUBSTITUTE(SUBSTITUTE(SUBSTITUTE(SUBSTITUTE(SUBSTITUTE(LOWER(TRIM(I248)),"á","a"),"é","e"),"í","i"),"ó","o"),"ú","u"),"ü","u"),"ñ","n"),"à","a"),"è","e"),"ì","i"),"ò","o"),"ù","u"),"")</f>
        <v/>
      </c>
      <c r="X248" s="25">
        <f>IF(U248="","",IF(OR(U248="si, en la proxima tarea",U248="si, con cambios"),1,0))</f>
        <v/>
      </c>
      <c r="Y248" s="25">
        <f>IF(AND(Q248=1,A248&lt;&gt;""),IF(IFERROR(COUNTIFS(A$3:A248,"="&amp;SUBSTITUTE(SUBSTITUTE(SUBSTITUTE(A248,"~","~~"),"*","~*"),"?","~?"),Q$3:Q248,1),0)=1,MAX(Y$2:Y247)+1,""),"")</f>
        <v/>
      </c>
      <c r="Z248" s="25">
        <f>IF(Y248="","",COUNTIFS($A$3:$A$1002,"="&amp;SUBSTITUTE(SUBSTITUTE(SUBSTITUTE(A248,"~","~~"),"*","~*"),"?","~?"),$Q$3:$Q$1002,1)*10000-Y248)</f>
        <v/>
      </c>
    </row>
    <row r="249">
      <c r="A249">
        <f>IF(A$2=0,"",IFERROR(TRIM(INDEX('Pegar docentes'!$A$1:$BZ$1001,248,A$2)&amp;""),""))</f>
        <v/>
      </c>
      <c r="B249">
        <f>IF(B$2=0,"",IFERROR(TRIM(INDEX('Pegar docentes'!$A$1:$BZ$1001,248,B$2)&amp;""),""))</f>
        <v/>
      </c>
      <c r="C249">
        <f>IF(C$2=0,"",IFERROR(TRIM(INDEX('Pegar docentes'!$A$1:$BZ$1001,248,C$2)&amp;""),""))</f>
        <v/>
      </c>
      <c r="D249">
        <f>IF(D$2=0,"",IFERROR(TRIM(INDEX('Pegar docentes'!$A$1:$BZ$1001,248,D$2)&amp;""),""))</f>
        <v/>
      </c>
      <c r="E249">
        <f>IF(E$2=0,"",IFERROR(TRIM(INDEX('Pegar docentes'!$A$1:$BZ$1001,248,E$2)&amp;""),""))</f>
        <v/>
      </c>
      <c r="F249">
        <f>IF(F$2=0,"",IFERROR(TRIM(INDEX('Pegar docentes'!$A$1:$BZ$1001,248,F$2)&amp;""),""))</f>
        <v/>
      </c>
      <c r="G249">
        <f>IF(G$2=0,"",IFERROR(TRIM(INDEX('Pegar docentes'!$A$1:$BZ$1001,248,G$2)&amp;""),""))</f>
        <v/>
      </c>
      <c r="H249">
        <f>IF(H$2=0,"",IFERROR(TRIM(INDEX('Pegar docentes'!$A$1:$BZ$1001,248,H$2)&amp;""),""))</f>
        <v/>
      </c>
      <c r="I249">
        <f>IF(I$2=0,"",IFERROR(TRIM(INDEX('Pegar docentes'!$A$1:$BZ$1001,248,I$2)&amp;""),""))</f>
        <v/>
      </c>
      <c r="J249">
        <f>IF(J$2=0,"",IFERROR(TRIM(INDEX('Pegar docentes'!$A$1:$BZ$1001,248,J$2)&amp;""),""))</f>
        <v/>
      </c>
      <c r="K249">
        <f>IF(K$2=0,"",IFERROR(TRIM(INDEX('Pegar docentes'!$A$1:$BZ$1001,248,K$2)&amp;""),""))</f>
        <v/>
      </c>
      <c r="L249">
        <f>IF(L$2=0,"",IFERROR(TRIM(INDEX('Pegar docentes'!$A$1:$BZ$1001,248,L$2)&amp;""),""))</f>
        <v/>
      </c>
      <c r="M249">
        <f>IF(M$2=0,"",IFERROR(TRIM(INDEX('Pegar docentes'!$A$1:$BZ$1001,248,M$2)&amp;""),""))</f>
        <v/>
      </c>
      <c r="N249">
        <f>IF(N$2=0,"",IFERROR(TRIM(INDEX('Pegar docentes'!$A$1:$BZ$1001,248,N$2)&amp;""),""))</f>
        <v/>
      </c>
      <c r="O249">
        <f>IF(O$2=0,"",IFERROR(TRIM(INDEX('Pegar docentes'!$A$1:$BZ$1001,248,O$2)&amp;""),""))</f>
        <v/>
      </c>
      <c r="P249">
        <f>IF(P$2=0,"",IFERROR(TRIM(INDEX('Pegar docentes'!$A$1:$BZ$1001,248,P$2)&amp;""),""))</f>
        <v/>
      </c>
      <c r="Q249" s="25">
        <f>IF(OR(D249&lt;&gt;"",H249&lt;&gt;""),1,"")</f>
        <v/>
      </c>
      <c r="R249" s="25">
        <f>IF(Q249=1,IF(ISNUMBER(FIND("#"&amp;MID(D249,1,1)&amp;"#","#0#1#2#3#4#5#6#7#8#9#")),IF(ISNUMBER(FIND("#"&amp;MID(D249,2,1)&amp;"#","#0#1#2#3#4#5#6#7#8#9#")),IF(AND(VALUE(LEFT(D249,2))&gt;=1,VALUE(LEFT(D249,2))&lt;=5),VALUE(LEFT(D249,2)),""),IF(AND(VALUE(LEFT(D249,1))&gt;=1,VALUE(LEFT(D249,1))&lt;=5),VALUE(LEFT(D249,1)),"")),""),"")</f>
        <v/>
      </c>
      <c r="S249" s="25">
        <f>IF(AND(Q249=1,E249&lt;&gt;""),SUBSTITUTE(SUBSTITUTE(SUBSTITUTE(SUBSTITUTE(SUBSTITUTE(SUBSTITUTE(SUBSTITUTE(SUBSTITUTE(SUBSTITUTE(SUBSTITUTE(SUBSTITUTE(SUBSTITUTE(LOWER(TRIM(E249)),"á","a"),"é","e"),"í","i"),"ó","o"),"ú","u"),"ü","u"),"ñ","n"),"à","a"),"è","e"),"ì","i"),"ò","o"),"ù","u"),"")</f>
        <v/>
      </c>
      <c r="T249" s="25">
        <f>IF(AND(Q249=1,G249&lt;&gt;""),SUBSTITUTE(SUBSTITUTE(SUBSTITUTE(SUBSTITUTE(SUBSTITUTE(SUBSTITUTE(SUBSTITUTE(SUBSTITUTE(SUBSTITUTE(SUBSTITUTE(SUBSTITUTE(SUBSTITUTE(LOWER(TRIM(G249)),"á","a"),"é","e"),"í","i"),"ó","o"),"ú","u"),"ü","u"),"ñ","n"),"à","a"),"è","e"),"ì","i"),"ò","o"),"ù","u"),"")</f>
        <v/>
      </c>
      <c r="U249" s="25">
        <f>IF(AND(Q249=1,H249&lt;&gt;""),SUBSTITUTE(SUBSTITUTE(SUBSTITUTE(SUBSTITUTE(SUBSTITUTE(SUBSTITUTE(SUBSTITUTE(SUBSTITUTE(SUBSTITUTE(SUBSTITUTE(SUBSTITUTE(SUBSTITUTE(LOWER(TRIM(H249)),"á","a"),"é","e"),"í","i"),"ó","o"),"ú","u"),"ü","u"),"ñ","n"),"à","a"),"è","e"),"ì","i"),"ò","o"),"ù","u"),"")</f>
        <v/>
      </c>
      <c r="V249" s="25">
        <f>IF(AND(Q249=1,L249&lt;&gt;""),SUBSTITUTE(SUBSTITUTE(SUBSTITUTE(SUBSTITUTE(SUBSTITUTE(SUBSTITUTE(SUBSTITUTE(SUBSTITUTE(SUBSTITUTE(SUBSTITUTE(SUBSTITUTE(SUBSTITUTE(LOWER(TRIM(L249)),"á","a"),"é","e"),"í","i"),"ó","o"),"ú","u"),"ü","u"),"ñ","n"),"à","a"),"è","e"),"ì","i"),"ò","o"),"ù","u"),"")</f>
        <v/>
      </c>
      <c r="W249" s="25">
        <f>IF(AND(Q249=1,I249&lt;&gt;""),SUBSTITUTE(SUBSTITUTE(SUBSTITUTE(SUBSTITUTE(SUBSTITUTE(SUBSTITUTE(SUBSTITUTE(SUBSTITUTE(SUBSTITUTE(SUBSTITUTE(SUBSTITUTE(SUBSTITUTE(LOWER(TRIM(I249)),"á","a"),"é","e"),"í","i"),"ó","o"),"ú","u"),"ü","u"),"ñ","n"),"à","a"),"è","e"),"ì","i"),"ò","o"),"ù","u"),"")</f>
        <v/>
      </c>
      <c r="X249" s="25">
        <f>IF(U249="","",IF(OR(U249="si, en la proxima tarea",U249="si, con cambios"),1,0))</f>
        <v/>
      </c>
      <c r="Y249" s="25">
        <f>IF(AND(Q249=1,A249&lt;&gt;""),IF(IFERROR(COUNTIFS(A$3:A249,"="&amp;SUBSTITUTE(SUBSTITUTE(SUBSTITUTE(A249,"~","~~"),"*","~*"),"?","~?"),Q$3:Q249,1),0)=1,MAX(Y$2:Y248)+1,""),"")</f>
        <v/>
      </c>
      <c r="Z249" s="25">
        <f>IF(Y249="","",COUNTIFS($A$3:$A$1002,"="&amp;SUBSTITUTE(SUBSTITUTE(SUBSTITUTE(A249,"~","~~"),"*","~*"),"?","~?"),$Q$3:$Q$1002,1)*10000-Y249)</f>
        <v/>
      </c>
    </row>
    <row r="250">
      <c r="A250">
        <f>IF(A$2=0,"",IFERROR(TRIM(INDEX('Pegar docentes'!$A$1:$BZ$1001,249,A$2)&amp;""),""))</f>
        <v/>
      </c>
      <c r="B250">
        <f>IF(B$2=0,"",IFERROR(TRIM(INDEX('Pegar docentes'!$A$1:$BZ$1001,249,B$2)&amp;""),""))</f>
        <v/>
      </c>
      <c r="C250">
        <f>IF(C$2=0,"",IFERROR(TRIM(INDEX('Pegar docentes'!$A$1:$BZ$1001,249,C$2)&amp;""),""))</f>
        <v/>
      </c>
      <c r="D250">
        <f>IF(D$2=0,"",IFERROR(TRIM(INDEX('Pegar docentes'!$A$1:$BZ$1001,249,D$2)&amp;""),""))</f>
        <v/>
      </c>
      <c r="E250">
        <f>IF(E$2=0,"",IFERROR(TRIM(INDEX('Pegar docentes'!$A$1:$BZ$1001,249,E$2)&amp;""),""))</f>
        <v/>
      </c>
      <c r="F250">
        <f>IF(F$2=0,"",IFERROR(TRIM(INDEX('Pegar docentes'!$A$1:$BZ$1001,249,F$2)&amp;""),""))</f>
        <v/>
      </c>
      <c r="G250">
        <f>IF(G$2=0,"",IFERROR(TRIM(INDEX('Pegar docentes'!$A$1:$BZ$1001,249,G$2)&amp;""),""))</f>
        <v/>
      </c>
      <c r="H250">
        <f>IF(H$2=0,"",IFERROR(TRIM(INDEX('Pegar docentes'!$A$1:$BZ$1001,249,H$2)&amp;""),""))</f>
        <v/>
      </c>
      <c r="I250">
        <f>IF(I$2=0,"",IFERROR(TRIM(INDEX('Pegar docentes'!$A$1:$BZ$1001,249,I$2)&amp;""),""))</f>
        <v/>
      </c>
      <c r="J250">
        <f>IF(J$2=0,"",IFERROR(TRIM(INDEX('Pegar docentes'!$A$1:$BZ$1001,249,J$2)&amp;""),""))</f>
        <v/>
      </c>
      <c r="K250">
        <f>IF(K$2=0,"",IFERROR(TRIM(INDEX('Pegar docentes'!$A$1:$BZ$1001,249,K$2)&amp;""),""))</f>
        <v/>
      </c>
      <c r="L250">
        <f>IF(L$2=0,"",IFERROR(TRIM(INDEX('Pegar docentes'!$A$1:$BZ$1001,249,L$2)&amp;""),""))</f>
        <v/>
      </c>
      <c r="M250">
        <f>IF(M$2=0,"",IFERROR(TRIM(INDEX('Pegar docentes'!$A$1:$BZ$1001,249,M$2)&amp;""),""))</f>
        <v/>
      </c>
      <c r="N250">
        <f>IF(N$2=0,"",IFERROR(TRIM(INDEX('Pegar docentes'!$A$1:$BZ$1001,249,N$2)&amp;""),""))</f>
        <v/>
      </c>
      <c r="O250">
        <f>IF(O$2=0,"",IFERROR(TRIM(INDEX('Pegar docentes'!$A$1:$BZ$1001,249,O$2)&amp;""),""))</f>
        <v/>
      </c>
      <c r="P250">
        <f>IF(P$2=0,"",IFERROR(TRIM(INDEX('Pegar docentes'!$A$1:$BZ$1001,249,P$2)&amp;""),""))</f>
        <v/>
      </c>
      <c r="Q250" s="25">
        <f>IF(OR(D250&lt;&gt;"",H250&lt;&gt;""),1,"")</f>
        <v/>
      </c>
      <c r="R250" s="25">
        <f>IF(Q250=1,IF(ISNUMBER(FIND("#"&amp;MID(D250,1,1)&amp;"#","#0#1#2#3#4#5#6#7#8#9#")),IF(ISNUMBER(FIND("#"&amp;MID(D250,2,1)&amp;"#","#0#1#2#3#4#5#6#7#8#9#")),IF(AND(VALUE(LEFT(D250,2))&gt;=1,VALUE(LEFT(D250,2))&lt;=5),VALUE(LEFT(D250,2)),""),IF(AND(VALUE(LEFT(D250,1))&gt;=1,VALUE(LEFT(D250,1))&lt;=5),VALUE(LEFT(D250,1)),"")),""),"")</f>
        <v/>
      </c>
      <c r="S250" s="25">
        <f>IF(AND(Q250=1,E250&lt;&gt;""),SUBSTITUTE(SUBSTITUTE(SUBSTITUTE(SUBSTITUTE(SUBSTITUTE(SUBSTITUTE(SUBSTITUTE(SUBSTITUTE(SUBSTITUTE(SUBSTITUTE(SUBSTITUTE(SUBSTITUTE(LOWER(TRIM(E250)),"á","a"),"é","e"),"í","i"),"ó","o"),"ú","u"),"ü","u"),"ñ","n"),"à","a"),"è","e"),"ì","i"),"ò","o"),"ù","u"),"")</f>
        <v/>
      </c>
      <c r="T250" s="25">
        <f>IF(AND(Q250=1,G250&lt;&gt;""),SUBSTITUTE(SUBSTITUTE(SUBSTITUTE(SUBSTITUTE(SUBSTITUTE(SUBSTITUTE(SUBSTITUTE(SUBSTITUTE(SUBSTITUTE(SUBSTITUTE(SUBSTITUTE(SUBSTITUTE(LOWER(TRIM(G250)),"á","a"),"é","e"),"í","i"),"ó","o"),"ú","u"),"ü","u"),"ñ","n"),"à","a"),"è","e"),"ì","i"),"ò","o"),"ù","u"),"")</f>
        <v/>
      </c>
      <c r="U250" s="25">
        <f>IF(AND(Q250=1,H250&lt;&gt;""),SUBSTITUTE(SUBSTITUTE(SUBSTITUTE(SUBSTITUTE(SUBSTITUTE(SUBSTITUTE(SUBSTITUTE(SUBSTITUTE(SUBSTITUTE(SUBSTITUTE(SUBSTITUTE(SUBSTITUTE(LOWER(TRIM(H250)),"á","a"),"é","e"),"í","i"),"ó","o"),"ú","u"),"ü","u"),"ñ","n"),"à","a"),"è","e"),"ì","i"),"ò","o"),"ù","u"),"")</f>
        <v/>
      </c>
      <c r="V250" s="25">
        <f>IF(AND(Q250=1,L250&lt;&gt;""),SUBSTITUTE(SUBSTITUTE(SUBSTITUTE(SUBSTITUTE(SUBSTITUTE(SUBSTITUTE(SUBSTITUTE(SUBSTITUTE(SUBSTITUTE(SUBSTITUTE(SUBSTITUTE(SUBSTITUTE(LOWER(TRIM(L250)),"á","a"),"é","e"),"í","i"),"ó","o"),"ú","u"),"ü","u"),"ñ","n"),"à","a"),"è","e"),"ì","i"),"ò","o"),"ù","u"),"")</f>
        <v/>
      </c>
      <c r="W250" s="25">
        <f>IF(AND(Q250=1,I250&lt;&gt;""),SUBSTITUTE(SUBSTITUTE(SUBSTITUTE(SUBSTITUTE(SUBSTITUTE(SUBSTITUTE(SUBSTITUTE(SUBSTITUTE(SUBSTITUTE(SUBSTITUTE(SUBSTITUTE(SUBSTITUTE(LOWER(TRIM(I250)),"á","a"),"é","e"),"í","i"),"ó","o"),"ú","u"),"ü","u"),"ñ","n"),"à","a"),"è","e"),"ì","i"),"ò","o"),"ù","u"),"")</f>
        <v/>
      </c>
      <c r="X250" s="25">
        <f>IF(U250="","",IF(OR(U250="si, en la proxima tarea",U250="si, con cambios"),1,0))</f>
        <v/>
      </c>
      <c r="Y250" s="25">
        <f>IF(AND(Q250=1,A250&lt;&gt;""),IF(IFERROR(COUNTIFS(A$3:A250,"="&amp;SUBSTITUTE(SUBSTITUTE(SUBSTITUTE(A250,"~","~~"),"*","~*"),"?","~?"),Q$3:Q250,1),0)=1,MAX(Y$2:Y249)+1,""),"")</f>
        <v/>
      </c>
      <c r="Z250" s="25">
        <f>IF(Y250="","",COUNTIFS($A$3:$A$1002,"="&amp;SUBSTITUTE(SUBSTITUTE(SUBSTITUTE(A250,"~","~~"),"*","~*"),"?","~?"),$Q$3:$Q$1002,1)*10000-Y250)</f>
        <v/>
      </c>
    </row>
    <row r="251">
      <c r="A251">
        <f>IF(A$2=0,"",IFERROR(TRIM(INDEX('Pegar docentes'!$A$1:$BZ$1001,250,A$2)&amp;""),""))</f>
        <v/>
      </c>
      <c r="B251">
        <f>IF(B$2=0,"",IFERROR(TRIM(INDEX('Pegar docentes'!$A$1:$BZ$1001,250,B$2)&amp;""),""))</f>
        <v/>
      </c>
      <c r="C251">
        <f>IF(C$2=0,"",IFERROR(TRIM(INDEX('Pegar docentes'!$A$1:$BZ$1001,250,C$2)&amp;""),""))</f>
        <v/>
      </c>
      <c r="D251">
        <f>IF(D$2=0,"",IFERROR(TRIM(INDEX('Pegar docentes'!$A$1:$BZ$1001,250,D$2)&amp;""),""))</f>
        <v/>
      </c>
      <c r="E251">
        <f>IF(E$2=0,"",IFERROR(TRIM(INDEX('Pegar docentes'!$A$1:$BZ$1001,250,E$2)&amp;""),""))</f>
        <v/>
      </c>
      <c r="F251">
        <f>IF(F$2=0,"",IFERROR(TRIM(INDEX('Pegar docentes'!$A$1:$BZ$1001,250,F$2)&amp;""),""))</f>
        <v/>
      </c>
      <c r="G251">
        <f>IF(G$2=0,"",IFERROR(TRIM(INDEX('Pegar docentes'!$A$1:$BZ$1001,250,G$2)&amp;""),""))</f>
        <v/>
      </c>
      <c r="H251">
        <f>IF(H$2=0,"",IFERROR(TRIM(INDEX('Pegar docentes'!$A$1:$BZ$1001,250,H$2)&amp;""),""))</f>
        <v/>
      </c>
      <c r="I251">
        <f>IF(I$2=0,"",IFERROR(TRIM(INDEX('Pegar docentes'!$A$1:$BZ$1001,250,I$2)&amp;""),""))</f>
        <v/>
      </c>
      <c r="J251">
        <f>IF(J$2=0,"",IFERROR(TRIM(INDEX('Pegar docentes'!$A$1:$BZ$1001,250,J$2)&amp;""),""))</f>
        <v/>
      </c>
      <c r="K251">
        <f>IF(K$2=0,"",IFERROR(TRIM(INDEX('Pegar docentes'!$A$1:$BZ$1001,250,K$2)&amp;""),""))</f>
        <v/>
      </c>
      <c r="L251">
        <f>IF(L$2=0,"",IFERROR(TRIM(INDEX('Pegar docentes'!$A$1:$BZ$1001,250,L$2)&amp;""),""))</f>
        <v/>
      </c>
      <c r="M251">
        <f>IF(M$2=0,"",IFERROR(TRIM(INDEX('Pegar docentes'!$A$1:$BZ$1001,250,M$2)&amp;""),""))</f>
        <v/>
      </c>
      <c r="N251">
        <f>IF(N$2=0,"",IFERROR(TRIM(INDEX('Pegar docentes'!$A$1:$BZ$1001,250,N$2)&amp;""),""))</f>
        <v/>
      </c>
      <c r="O251">
        <f>IF(O$2=0,"",IFERROR(TRIM(INDEX('Pegar docentes'!$A$1:$BZ$1001,250,O$2)&amp;""),""))</f>
        <v/>
      </c>
      <c r="P251">
        <f>IF(P$2=0,"",IFERROR(TRIM(INDEX('Pegar docentes'!$A$1:$BZ$1001,250,P$2)&amp;""),""))</f>
        <v/>
      </c>
      <c r="Q251" s="25">
        <f>IF(OR(D251&lt;&gt;"",H251&lt;&gt;""),1,"")</f>
        <v/>
      </c>
      <c r="R251" s="25">
        <f>IF(Q251=1,IF(ISNUMBER(FIND("#"&amp;MID(D251,1,1)&amp;"#","#0#1#2#3#4#5#6#7#8#9#")),IF(ISNUMBER(FIND("#"&amp;MID(D251,2,1)&amp;"#","#0#1#2#3#4#5#6#7#8#9#")),IF(AND(VALUE(LEFT(D251,2))&gt;=1,VALUE(LEFT(D251,2))&lt;=5),VALUE(LEFT(D251,2)),""),IF(AND(VALUE(LEFT(D251,1))&gt;=1,VALUE(LEFT(D251,1))&lt;=5),VALUE(LEFT(D251,1)),"")),""),"")</f>
        <v/>
      </c>
      <c r="S251" s="25">
        <f>IF(AND(Q251=1,E251&lt;&gt;""),SUBSTITUTE(SUBSTITUTE(SUBSTITUTE(SUBSTITUTE(SUBSTITUTE(SUBSTITUTE(SUBSTITUTE(SUBSTITUTE(SUBSTITUTE(SUBSTITUTE(SUBSTITUTE(SUBSTITUTE(LOWER(TRIM(E251)),"á","a"),"é","e"),"í","i"),"ó","o"),"ú","u"),"ü","u"),"ñ","n"),"à","a"),"è","e"),"ì","i"),"ò","o"),"ù","u"),"")</f>
        <v/>
      </c>
      <c r="T251" s="25">
        <f>IF(AND(Q251=1,G251&lt;&gt;""),SUBSTITUTE(SUBSTITUTE(SUBSTITUTE(SUBSTITUTE(SUBSTITUTE(SUBSTITUTE(SUBSTITUTE(SUBSTITUTE(SUBSTITUTE(SUBSTITUTE(SUBSTITUTE(SUBSTITUTE(LOWER(TRIM(G251)),"á","a"),"é","e"),"í","i"),"ó","o"),"ú","u"),"ü","u"),"ñ","n"),"à","a"),"è","e"),"ì","i"),"ò","o"),"ù","u"),"")</f>
        <v/>
      </c>
      <c r="U251" s="25">
        <f>IF(AND(Q251=1,H251&lt;&gt;""),SUBSTITUTE(SUBSTITUTE(SUBSTITUTE(SUBSTITUTE(SUBSTITUTE(SUBSTITUTE(SUBSTITUTE(SUBSTITUTE(SUBSTITUTE(SUBSTITUTE(SUBSTITUTE(SUBSTITUTE(LOWER(TRIM(H251)),"á","a"),"é","e"),"í","i"),"ó","o"),"ú","u"),"ü","u"),"ñ","n"),"à","a"),"è","e"),"ì","i"),"ò","o"),"ù","u"),"")</f>
        <v/>
      </c>
      <c r="V251" s="25">
        <f>IF(AND(Q251=1,L251&lt;&gt;""),SUBSTITUTE(SUBSTITUTE(SUBSTITUTE(SUBSTITUTE(SUBSTITUTE(SUBSTITUTE(SUBSTITUTE(SUBSTITUTE(SUBSTITUTE(SUBSTITUTE(SUBSTITUTE(SUBSTITUTE(LOWER(TRIM(L251)),"á","a"),"é","e"),"í","i"),"ó","o"),"ú","u"),"ü","u"),"ñ","n"),"à","a"),"è","e"),"ì","i"),"ò","o"),"ù","u"),"")</f>
        <v/>
      </c>
      <c r="W251" s="25">
        <f>IF(AND(Q251=1,I251&lt;&gt;""),SUBSTITUTE(SUBSTITUTE(SUBSTITUTE(SUBSTITUTE(SUBSTITUTE(SUBSTITUTE(SUBSTITUTE(SUBSTITUTE(SUBSTITUTE(SUBSTITUTE(SUBSTITUTE(SUBSTITUTE(LOWER(TRIM(I251)),"á","a"),"é","e"),"í","i"),"ó","o"),"ú","u"),"ü","u"),"ñ","n"),"à","a"),"è","e"),"ì","i"),"ò","o"),"ù","u"),"")</f>
        <v/>
      </c>
      <c r="X251" s="25">
        <f>IF(U251="","",IF(OR(U251="si, en la proxima tarea",U251="si, con cambios"),1,0))</f>
        <v/>
      </c>
      <c r="Y251" s="25">
        <f>IF(AND(Q251=1,A251&lt;&gt;""),IF(IFERROR(COUNTIFS(A$3:A251,"="&amp;SUBSTITUTE(SUBSTITUTE(SUBSTITUTE(A251,"~","~~"),"*","~*"),"?","~?"),Q$3:Q251,1),0)=1,MAX(Y$2:Y250)+1,""),"")</f>
        <v/>
      </c>
      <c r="Z251" s="25">
        <f>IF(Y251="","",COUNTIFS($A$3:$A$1002,"="&amp;SUBSTITUTE(SUBSTITUTE(SUBSTITUTE(A251,"~","~~"),"*","~*"),"?","~?"),$Q$3:$Q$1002,1)*10000-Y251)</f>
        <v/>
      </c>
    </row>
    <row r="252">
      <c r="A252">
        <f>IF(A$2=0,"",IFERROR(TRIM(INDEX('Pegar docentes'!$A$1:$BZ$1001,251,A$2)&amp;""),""))</f>
        <v/>
      </c>
      <c r="B252">
        <f>IF(B$2=0,"",IFERROR(TRIM(INDEX('Pegar docentes'!$A$1:$BZ$1001,251,B$2)&amp;""),""))</f>
        <v/>
      </c>
      <c r="C252">
        <f>IF(C$2=0,"",IFERROR(TRIM(INDEX('Pegar docentes'!$A$1:$BZ$1001,251,C$2)&amp;""),""))</f>
        <v/>
      </c>
      <c r="D252">
        <f>IF(D$2=0,"",IFERROR(TRIM(INDEX('Pegar docentes'!$A$1:$BZ$1001,251,D$2)&amp;""),""))</f>
        <v/>
      </c>
      <c r="E252">
        <f>IF(E$2=0,"",IFERROR(TRIM(INDEX('Pegar docentes'!$A$1:$BZ$1001,251,E$2)&amp;""),""))</f>
        <v/>
      </c>
      <c r="F252">
        <f>IF(F$2=0,"",IFERROR(TRIM(INDEX('Pegar docentes'!$A$1:$BZ$1001,251,F$2)&amp;""),""))</f>
        <v/>
      </c>
      <c r="G252">
        <f>IF(G$2=0,"",IFERROR(TRIM(INDEX('Pegar docentes'!$A$1:$BZ$1001,251,G$2)&amp;""),""))</f>
        <v/>
      </c>
      <c r="H252">
        <f>IF(H$2=0,"",IFERROR(TRIM(INDEX('Pegar docentes'!$A$1:$BZ$1001,251,H$2)&amp;""),""))</f>
        <v/>
      </c>
      <c r="I252">
        <f>IF(I$2=0,"",IFERROR(TRIM(INDEX('Pegar docentes'!$A$1:$BZ$1001,251,I$2)&amp;""),""))</f>
        <v/>
      </c>
      <c r="J252">
        <f>IF(J$2=0,"",IFERROR(TRIM(INDEX('Pegar docentes'!$A$1:$BZ$1001,251,J$2)&amp;""),""))</f>
        <v/>
      </c>
      <c r="K252">
        <f>IF(K$2=0,"",IFERROR(TRIM(INDEX('Pegar docentes'!$A$1:$BZ$1001,251,K$2)&amp;""),""))</f>
        <v/>
      </c>
      <c r="L252">
        <f>IF(L$2=0,"",IFERROR(TRIM(INDEX('Pegar docentes'!$A$1:$BZ$1001,251,L$2)&amp;""),""))</f>
        <v/>
      </c>
      <c r="M252">
        <f>IF(M$2=0,"",IFERROR(TRIM(INDEX('Pegar docentes'!$A$1:$BZ$1001,251,M$2)&amp;""),""))</f>
        <v/>
      </c>
      <c r="N252">
        <f>IF(N$2=0,"",IFERROR(TRIM(INDEX('Pegar docentes'!$A$1:$BZ$1001,251,N$2)&amp;""),""))</f>
        <v/>
      </c>
      <c r="O252">
        <f>IF(O$2=0,"",IFERROR(TRIM(INDEX('Pegar docentes'!$A$1:$BZ$1001,251,O$2)&amp;""),""))</f>
        <v/>
      </c>
      <c r="P252">
        <f>IF(P$2=0,"",IFERROR(TRIM(INDEX('Pegar docentes'!$A$1:$BZ$1001,251,P$2)&amp;""),""))</f>
        <v/>
      </c>
      <c r="Q252" s="25">
        <f>IF(OR(D252&lt;&gt;"",H252&lt;&gt;""),1,"")</f>
        <v/>
      </c>
      <c r="R252" s="25">
        <f>IF(Q252=1,IF(ISNUMBER(FIND("#"&amp;MID(D252,1,1)&amp;"#","#0#1#2#3#4#5#6#7#8#9#")),IF(ISNUMBER(FIND("#"&amp;MID(D252,2,1)&amp;"#","#0#1#2#3#4#5#6#7#8#9#")),IF(AND(VALUE(LEFT(D252,2))&gt;=1,VALUE(LEFT(D252,2))&lt;=5),VALUE(LEFT(D252,2)),""),IF(AND(VALUE(LEFT(D252,1))&gt;=1,VALUE(LEFT(D252,1))&lt;=5),VALUE(LEFT(D252,1)),"")),""),"")</f>
        <v/>
      </c>
      <c r="S252" s="25">
        <f>IF(AND(Q252=1,E252&lt;&gt;""),SUBSTITUTE(SUBSTITUTE(SUBSTITUTE(SUBSTITUTE(SUBSTITUTE(SUBSTITUTE(SUBSTITUTE(SUBSTITUTE(SUBSTITUTE(SUBSTITUTE(SUBSTITUTE(SUBSTITUTE(LOWER(TRIM(E252)),"á","a"),"é","e"),"í","i"),"ó","o"),"ú","u"),"ü","u"),"ñ","n"),"à","a"),"è","e"),"ì","i"),"ò","o"),"ù","u"),"")</f>
        <v/>
      </c>
      <c r="T252" s="25">
        <f>IF(AND(Q252=1,G252&lt;&gt;""),SUBSTITUTE(SUBSTITUTE(SUBSTITUTE(SUBSTITUTE(SUBSTITUTE(SUBSTITUTE(SUBSTITUTE(SUBSTITUTE(SUBSTITUTE(SUBSTITUTE(SUBSTITUTE(SUBSTITUTE(LOWER(TRIM(G252)),"á","a"),"é","e"),"í","i"),"ó","o"),"ú","u"),"ü","u"),"ñ","n"),"à","a"),"è","e"),"ì","i"),"ò","o"),"ù","u"),"")</f>
        <v/>
      </c>
      <c r="U252" s="25">
        <f>IF(AND(Q252=1,H252&lt;&gt;""),SUBSTITUTE(SUBSTITUTE(SUBSTITUTE(SUBSTITUTE(SUBSTITUTE(SUBSTITUTE(SUBSTITUTE(SUBSTITUTE(SUBSTITUTE(SUBSTITUTE(SUBSTITUTE(SUBSTITUTE(LOWER(TRIM(H252)),"á","a"),"é","e"),"í","i"),"ó","o"),"ú","u"),"ü","u"),"ñ","n"),"à","a"),"è","e"),"ì","i"),"ò","o"),"ù","u"),"")</f>
        <v/>
      </c>
      <c r="V252" s="25">
        <f>IF(AND(Q252=1,L252&lt;&gt;""),SUBSTITUTE(SUBSTITUTE(SUBSTITUTE(SUBSTITUTE(SUBSTITUTE(SUBSTITUTE(SUBSTITUTE(SUBSTITUTE(SUBSTITUTE(SUBSTITUTE(SUBSTITUTE(SUBSTITUTE(LOWER(TRIM(L252)),"á","a"),"é","e"),"í","i"),"ó","o"),"ú","u"),"ü","u"),"ñ","n"),"à","a"),"è","e"),"ì","i"),"ò","o"),"ù","u"),"")</f>
        <v/>
      </c>
      <c r="W252" s="25">
        <f>IF(AND(Q252=1,I252&lt;&gt;""),SUBSTITUTE(SUBSTITUTE(SUBSTITUTE(SUBSTITUTE(SUBSTITUTE(SUBSTITUTE(SUBSTITUTE(SUBSTITUTE(SUBSTITUTE(SUBSTITUTE(SUBSTITUTE(SUBSTITUTE(LOWER(TRIM(I252)),"á","a"),"é","e"),"í","i"),"ó","o"),"ú","u"),"ü","u"),"ñ","n"),"à","a"),"è","e"),"ì","i"),"ò","o"),"ù","u"),"")</f>
        <v/>
      </c>
      <c r="X252" s="25">
        <f>IF(U252="","",IF(OR(U252="si, en la proxima tarea",U252="si, con cambios"),1,0))</f>
        <v/>
      </c>
      <c r="Y252" s="25">
        <f>IF(AND(Q252=1,A252&lt;&gt;""),IF(IFERROR(COUNTIFS(A$3:A252,"="&amp;SUBSTITUTE(SUBSTITUTE(SUBSTITUTE(A252,"~","~~"),"*","~*"),"?","~?"),Q$3:Q252,1),0)=1,MAX(Y$2:Y251)+1,""),"")</f>
        <v/>
      </c>
      <c r="Z252" s="25">
        <f>IF(Y252="","",COUNTIFS($A$3:$A$1002,"="&amp;SUBSTITUTE(SUBSTITUTE(SUBSTITUTE(A252,"~","~~"),"*","~*"),"?","~?"),$Q$3:$Q$1002,1)*10000-Y252)</f>
        <v/>
      </c>
    </row>
    <row r="253">
      <c r="A253">
        <f>IF(A$2=0,"",IFERROR(TRIM(INDEX('Pegar docentes'!$A$1:$BZ$1001,252,A$2)&amp;""),""))</f>
        <v/>
      </c>
      <c r="B253">
        <f>IF(B$2=0,"",IFERROR(TRIM(INDEX('Pegar docentes'!$A$1:$BZ$1001,252,B$2)&amp;""),""))</f>
        <v/>
      </c>
      <c r="C253">
        <f>IF(C$2=0,"",IFERROR(TRIM(INDEX('Pegar docentes'!$A$1:$BZ$1001,252,C$2)&amp;""),""))</f>
        <v/>
      </c>
      <c r="D253">
        <f>IF(D$2=0,"",IFERROR(TRIM(INDEX('Pegar docentes'!$A$1:$BZ$1001,252,D$2)&amp;""),""))</f>
        <v/>
      </c>
      <c r="E253">
        <f>IF(E$2=0,"",IFERROR(TRIM(INDEX('Pegar docentes'!$A$1:$BZ$1001,252,E$2)&amp;""),""))</f>
        <v/>
      </c>
      <c r="F253">
        <f>IF(F$2=0,"",IFERROR(TRIM(INDEX('Pegar docentes'!$A$1:$BZ$1001,252,F$2)&amp;""),""))</f>
        <v/>
      </c>
      <c r="G253">
        <f>IF(G$2=0,"",IFERROR(TRIM(INDEX('Pegar docentes'!$A$1:$BZ$1001,252,G$2)&amp;""),""))</f>
        <v/>
      </c>
      <c r="H253">
        <f>IF(H$2=0,"",IFERROR(TRIM(INDEX('Pegar docentes'!$A$1:$BZ$1001,252,H$2)&amp;""),""))</f>
        <v/>
      </c>
      <c r="I253">
        <f>IF(I$2=0,"",IFERROR(TRIM(INDEX('Pegar docentes'!$A$1:$BZ$1001,252,I$2)&amp;""),""))</f>
        <v/>
      </c>
      <c r="J253">
        <f>IF(J$2=0,"",IFERROR(TRIM(INDEX('Pegar docentes'!$A$1:$BZ$1001,252,J$2)&amp;""),""))</f>
        <v/>
      </c>
      <c r="K253">
        <f>IF(K$2=0,"",IFERROR(TRIM(INDEX('Pegar docentes'!$A$1:$BZ$1001,252,K$2)&amp;""),""))</f>
        <v/>
      </c>
      <c r="L253">
        <f>IF(L$2=0,"",IFERROR(TRIM(INDEX('Pegar docentes'!$A$1:$BZ$1001,252,L$2)&amp;""),""))</f>
        <v/>
      </c>
      <c r="M253">
        <f>IF(M$2=0,"",IFERROR(TRIM(INDEX('Pegar docentes'!$A$1:$BZ$1001,252,M$2)&amp;""),""))</f>
        <v/>
      </c>
      <c r="N253">
        <f>IF(N$2=0,"",IFERROR(TRIM(INDEX('Pegar docentes'!$A$1:$BZ$1001,252,N$2)&amp;""),""))</f>
        <v/>
      </c>
      <c r="O253">
        <f>IF(O$2=0,"",IFERROR(TRIM(INDEX('Pegar docentes'!$A$1:$BZ$1001,252,O$2)&amp;""),""))</f>
        <v/>
      </c>
      <c r="P253">
        <f>IF(P$2=0,"",IFERROR(TRIM(INDEX('Pegar docentes'!$A$1:$BZ$1001,252,P$2)&amp;""),""))</f>
        <v/>
      </c>
      <c r="Q253" s="25">
        <f>IF(OR(D253&lt;&gt;"",H253&lt;&gt;""),1,"")</f>
        <v/>
      </c>
      <c r="R253" s="25">
        <f>IF(Q253=1,IF(ISNUMBER(FIND("#"&amp;MID(D253,1,1)&amp;"#","#0#1#2#3#4#5#6#7#8#9#")),IF(ISNUMBER(FIND("#"&amp;MID(D253,2,1)&amp;"#","#0#1#2#3#4#5#6#7#8#9#")),IF(AND(VALUE(LEFT(D253,2))&gt;=1,VALUE(LEFT(D253,2))&lt;=5),VALUE(LEFT(D253,2)),""),IF(AND(VALUE(LEFT(D253,1))&gt;=1,VALUE(LEFT(D253,1))&lt;=5),VALUE(LEFT(D253,1)),"")),""),"")</f>
        <v/>
      </c>
      <c r="S253" s="25">
        <f>IF(AND(Q253=1,E253&lt;&gt;""),SUBSTITUTE(SUBSTITUTE(SUBSTITUTE(SUBSTITUTE(SUBSTITUTE(SUBSTITUTE(SUBSTITUTE(SUBSTITUTE(SUBSTITUTE(SUBSTITUTE(SUBSTITUTE(SUBSTITUTE(LOWER(TRIM(E253)),"á","a"),"é","e"),"í","i"),"ó","o"),"ú","u"),"ü","u"),"ñ","n"),"à","a"),"è","e"),"ì","i"),"ò","o"),"ù","u"),"")</f>
        <v/>
      </c>
      <c r="T253" s="25">
        <f>IF(AND(Q253=1,G253&lt;&gt;""),SUBSTITUTE(SUBSTITUTE(SUBSTITUTE(SUBSTITUTE(SUBSTITUTE(SUBSTITUTE(SUBSTITUTE(SUBSTITUTE(SUBSTITUTE(SUBSTITUTE(SUBSTITUTE(SUBSTITUTE(LOWER(TRIM(G253)),"á","a"),"é","e"),"í","i"),"ó","o"),"ú","u"),"ü","u"),"ñ","n"),"à","a"),"è","e"),"ì","i"),"ò","o"),"ù","u"),"")</f>
        <v/>
      </c>
      <c r="U253" s="25">
        <f>IF(AND(Q253=1,H253&lt;&gt;""),SUBSTITUTE(SUBSTITUTE(SUBSTITUTE(SUBSTITUTE(SUBSTITUTE(SUBSTITUTE(SUBSTITUTE(SUBSTITUTE(SUBSTITUTE(SUBSTITUTE(SUBSTITUTE(SUBSTITUTE(LOWER(TRIM(H253)),"á","a"),"é","e"),"í","i"),"ó","o"),"ú","u"),"ü","u"),"ñ","n"),"à","a"),"è","e"),"ì","i"),"ò","o"),"ù","u"),"")</f>
        <v/>
      </c>
      <c r="V253" s="25">
        <f>IF(AND(Q253=1,L253&lt;&gt;""),SUBSTITUTE(SUBSTITUTE(SUBSTITUTE(SUBSTITUTE(SUBSTITUTE(SUBSTITUTE(SUBSTITUTE(SUBSTITUTE(SUBSTITUTE(SUBSTITUTE(SUBSTITUTE(SUBSTITUTE(LOWER(TRIM(L253)),"á","a"),"é","e"),"í","i"),"ó","o"),"ú","u"),"ü","u"),"ñ","n"),"à","a"),"è","e"),"ì","i"),"ò","o"),"ù","u"),"")</f>
        <v/>
      </c>
      <c r="W253" s="25">
        <f>IF(AND(Q253=1,I253&lt;&gt;""),SUBSTITUTE(SUBSTITUTE(SUBSTITUTE(SUBSTITUTE(SUBSTITUTE(SUBSTITUTE(SUBSTITUTE(SUBSTITUTE(SUBSTITUTE(SUBSTITUTE(SUBSTITUTE(SUBSTITUTE(LOWER(TRIM(I253)),"á","a"),"é","e"),"í","i"),"ó","o"),"ú","u"),"ü","u"),"ñ","n"),"à","a"),"è","e"),"ì","i"),"ò","o"),"ù","u"),"")</f>
        <v/>
      </c>
      <c r="X253" s="25">
        <f>IF(U253="","",IF(OR(U253="si, en la proxima tarea",U253="si, con cambios"),1,0))</f>
        <v/>
      </c>
      <c r="Y253" s="25">
        <f>IF(AND(Q253=1,A253&lt;&gt;""),IF(IFERROR(COUNTIFS(A$3:A253,"="&amp;SUBSTITUTE(SUBSTITUTE(SUBSTITUTE(A253,"~","~~"),"*","~*"),"?","~?"),Q$3:Q253,1),0)=1,MAX(Y$2:Y252)+1,""),"")</f>
        <v/>
      </c>
      <c r="Z253" s="25">
        <f>IF(Y253="","",COUNTIFS($A$3:$A$1002,"="&amp;SUBSTITUTE(SUBSTITUTE(SUBSTITUTE(A253,"~","~~"),"*","~*"),"?","~?"),$Q$3:$Q$1002,1)*10000-Y253)</f>
        <v/>
      </c>
    </row>
    <row r="254">
      <c r="A254">
        <f>IF(A$2=0,"",IFERROR(TRIM(INDEX('Pegar docentes'!$A$1:$BZ$1001,253,A$2)&amp;""),""))</f>
        <v/>
      </c>
      <c r="B254">
        <f>IF(B$2=0,"",IFERROR(TRIM(INDEX('Pegar docentes'!$A$1:$BZ$1001,253,B$2)&amp;""),""))</f>
        <v/>
      </c>
      <c r="C254">
        <f>IF(C$2=0,"",IFERROR(TRIM(INDEX('Pegar docentes'!$A$1:$BZ$1001,253,C$2)&amp;""),""))</f>
        <v/>
      </c>
      <c r="D254">
        <f>IF(D$2=0,"",IFERROR(TRIM(INDEX('Pegar docentes'!$A$1:$BZ$1001,253,D$2)&amp;""),""))</f>
        <v/>
      </c>
      <c r="E254">
        <f>IF(E$2=0,"",IFERROR(TRIM(INDEX('Pegar docentes'!$A$1:$BZ$1001,253,E$2)&amp;""),""))</f>
        <v/>
      </c>
      <c r="F254">
        <f>IF(F$2=0,"",IFERROR(TRIM(INDEX('Pegar docentes'!$A$1:$BZ$1001,253,F$2)&amp;""),""))</f>
        <v/>
      </c>
      <c r="G254">
        <f>IF(G$2=0,"",IFERROR(TRIM(INDEX('Pegar docentes'!$A$1:$BZ$1001,253,G$2)&amp;""),""))</f>
        <v/>
      </c>
      <c r="H254">
        <f>IF(H$2=0,"",IFERROR(TRIM(INDEX('Pegar docentes'!$A$1:$BZ$1001,253,H$2)&amp;""),""))</f>
        <v/>
      </c>
      <c r="I254">
        <f>IF(I$2=0,"",IFERROR(TRIM(INDEX('Pegar docentes'!$A$1:$BZ$1001,253,I$2)&amp;""),""))</f>
        <v/>
      </c>
      <c r="J254">
        <f>IF(J$2=0,"",IFERROR(TRIM(INDEX('Pegar docentes'!$A$1:$BZ$1001,253,J$2)&amp;""),""))</f>
        <v/>
      </c>
      <c r="K254">
        <f>IF(K$2=0,"",IFERROR(TRIM(INDEX('Pegar docentes'!$A$1:$BZ$1001,253,K$2)&amp;""),""))</f>
        <v/>
      </c>
      <c r="L254">
        <f>IF(L$2=0,"",IFERROR(TRIM(INDEX('Pegar docentes'!$A$1:$BZ$1001,253,L$2)&amp;""),""))</f>
        <v/>
      </c>
      <c r="M254">
        <f>IF(M$2=0,"",IFERROR(TRIM(INDEX('Pegar docentes'!$A$1:$BZ$1001,253,M$2)&amp;""),""))</f>
        <v/>
      </c>
      <c r="N254">
        <f>IF(N$2=0,"",IFERROR(TRIM(INDEX('Pegar docentes'!$A$1:$BZ$1001,253,N$2)&amp;""),""))</f>
        <v/>
      </c>
      <c r="O254">
        <f>IF(O$2=0,"",IFERROR(TRIM(INDEX('Pegar docentes'!$A$1:$BZ$1001,253,O$2)&amp;""),""))</f>
        <v/>
      </c>
      <c r="P254">
        <f>IF(P$2=0,"",IFERROR(TRIM(INDEX('Pegar docentes'!$A$1:$BZ$1001,253,P$2)&amp;""),""))</f>
        <v/>
      </c>
      <c r="Q254" s="25">
        <f>IF(OR(D254&lt;&gt;"",H254&lt;&gt;""),1,"")</f>
        <v/>
      </c>
      <c r="R254" s="25">
        <f>IF(Q254=1,IF(ISNUMBER(FIND("#"&amp;MID(D254,1,1)&amp;"#","#0#1#2#3#4#5#6#7#8#9#")),IF(ISNUMBER(FIND("#"&amp;MID(D254,2,1)&amp;"#","#0#1#2#3#4#5#6#7#8#9#")),IF(AND(VALUE(LEFT(D254,2))&gt;=1,VALUE(LEFT(D254,2))&lt;=5),VALUE(LEFT(D254,2)),""),IF(AND(VALUE(LEFT(D254,1))&gt;=1,VALUE(LEFT(D254,1))&lt;=5),VALUE(LEFT(D254,1)),"")),""),"")</f>
        <v/>
      </c>
      <c r="S254" s="25">
        <f>IF(AND(Q254=1,E254&lt;&gt;""),SUBSTITUTE(SUBSTITUTE(SUBSTITUTE(SUBSTITUTE(SUBSTITUTE(SUBSTITUTE(SUBSTITUTE(SUBSTITUTE(SUBSTITUTE(SUBSTITUTE(SUBSTITUTE(SUBSTITUTE(LOWER(TRIM(E254)),"á","a"),"é","e"),"í","i"),"ó","o"),"ú","u"),"ü","u"),"ñ","n"),"à","a"),"è","e"),"ì","i"),"ò","o"),"ù","u"),"")</f>
        <v/>
      </c>
      <c r="T254" s="25">
        <f>IF(AND(Q254=1,G254&lt;&gt;""),SUBSTITUTE(SUBSTITUTE(SUBSTITUTE(SUBSTITUTE(SUBSTITUTE(SUBSTITUTE(SUBSTITUTE(SUBSTITUTE(SUBSTITUTE(SUBSTITUTE(SUBSTITUTE(SUBSTITUTE(LOWER(TRIM(G254)),"á","a"),"é","e"),"í","i"),"ó","o"),"ú","u"),"ü","u"),"ñ","n"),"à","a"),"è","e"),"ì","i"),"ò","o"),"ù","u"),"")</f>
        <v/>
      </c>
      <c r="U254" s="25">
        <f>IF(AND(Q254=1,H254&lt;&gt;""),SUBSTITUTE(SUBSTITUTE(SUBSTITUTE(SUBSTITUTE(SUBSTITUTE(SUBSTITUTE(SUBSTITUTE(SUBSTITUTE(SUBSTITUTE(SUBSTITUTE(SUBSTITUTE(SUBSTITUTE(LOWER(TRIM(H254)),"á","a"),"é","e"),"í","i"),"ó","o"),"ú","u"),"ü","u"),"ñ","n"),"à","a"),"è","e"),"ì","i"),"ò","o"),"ù","u"),"")</f>
        <v/>
      </c>
      <c r="V254" s="25">
        <f>IF(AND(Q254=1,L254&lt;&gt;""),SUBSTITUTE(SUBSTITUTE(SUBSTITUTE(SUBSTITUTE(SUBSTITUTE(SUBSTITUTE(SUBSTITUTE(SUBSTITUTE(SUBSTITUTE(SUBSTITUTE(SUBSTITUTE(SUBSTITUTE(LOWER(TRIM(L254)),"á","a"),"é","e"),"í","i"),"ó","o"),"ú","u"),"ü","u"),"ñ","n"),"à","a"),"è","e"),"ì","i"),"ò","o"),"ù","u"),"")</f>
        <v/>
      </c>
      <c r="W254" s="25">
        <f>IF(AND(Q254=1,I254&lt;&gt;""),SUBSTITUTE(SUBSTITUTE(SUBSTITUTE(SUBSTITUTE(SUBSTITUTE(SUBSTITUTE(SUBSTITUTE(SUBSTITUTE(SUBSTITUTE(SUBSTITUTE(SUBSTITUTE(SUBSTITUTE(LOWER(TRIM(I254)),"á","a"),"é","e"),"í","i"),"ó","o"),"ú","u"),"ü","u"),"ñ","n"),"à","a"),"è","e"),"ì","i"),"ò","o"),"ù","u"),"")</f>
        <v/>
      </c>
      <c r="X254" s="25">
        <f>IF(U254="","",IF(OR(U254="si, en la proxima tarea",U254="si, con cambios"),1,0))</f>
        <v/>
      </c>
      <c r="Y254" s="25">
        <f>IF(AND(Q254=1,A254&lt;&gt;""),IF(IFERROR(COUNTIFS(A$3:A254,"="&amp;SUBSTITUTE(SUBSTITUTE(SUBSTITUTE(A254,"~","~~"),"*","~*"),"?","~?"),Q$3:Q254,1),0)=1,MAX(Y$2:Y253)+1,""),"")</f>
        <v/>
      </c>
      <c r="Z254" s="25">
        <f>IF(Y254="","",COUNTIFS($A$3:$A$1002,"="&amp;SUBSTITUTE(SUBSTITUTE(SUBSTITUTE(A254,"~","~~"),"*","~*"),"?","~?"),$Q$3:$Q$1002,1)*10000-Y254)</f>
        <v/>
      </c>
    </row>
    <row r="255">
      <c r="A255">
        <f>IF(A$2=0,"",IFERROR(TRIM(INDEX('Pegar docentes'!$A$1:$BZ$1001,254,A$2)&amp;""),""))</f>
        <v/>
      </c>
      <c r="B255">
        <f>IF(B$2=0,"",IFERROR(TRIM(INDEX('Pegar docentes'!$A$1:$BZ$1001,254,B$2)&amp;""),""))</f>
        <v/>
      </c>
      <c r="C255">
        <f>IF(C$2=0,"",IFERROR(TRIM(INDEX('Pegar docentes'!$A$1:$BZ$1001,254,C$2)&amp;""),""))</f>
        <v/>
      </c>
      <c r="D255">
        <f>IF(D$2=0,"",IFERROR(TRIM(INDEX('Pegar docentes'!$A$1:$BZ$1001,254,D$2)&amp;""),""))</f>
        <v/>
      </c>
      <c r="E255">
        <f>IF(E$2=0,"",IFERROR(TRIM(INDEX('Pegar docentes'!$A$1:$BZ$1001,254,E$2)&amp;""),""))</f>
        <v/>
      </c>
      <c r="F255">
        <f>IF(F$2=0,"",IFERROR(TRIM(INDEX('Pegar docentes'!$A$1:$BZ$1001,254,F$2)&amp;""),""))</f>
        <v/>
      </c>
      <c r="G255">
        <f>IF(G$2=0,"",IFERROR(TRIM(INDEX('Pegar docentes'!$A$1:$BZ$1001,254,G$2)&amp;""),""))</f>
        <v/>
      </c>
      <c r="H255">
        <f>IF(H$2=0,"",IFERROR(TRIM(INDEX('Pegar docentes'!$A$1:$BZ$1001,254,H$2)&amp;""),""))</f>
        <v/>
      </c>
      <c r="I255">
        <f>IF(I$2=0,"",IFERROR(TRIM(INDEX('Pegar docentes'!$A$1:$BZ$1001,254,I$2)&amp;""),""))</f>
        <v/>
      </c>
      <c r="J255">
        <f>IF(J$2=0,"",IFERROR(TRIM(INDEX('Pegar docentes'!$A$1:$BZ$1001,254,J$2)&amp;""),""))</f>
        <v/>
      </c>
      <c r="K255">
        <f>IF(K$2=0,"",IFERROR(TRIM(INDEX('Pegar docentes'!$A$1:$BZ$1001,254,K$2)&amp;""),""))</f>
        <v/>
      </c>
      <c r="L255">
        <f>IF(L$2=0,"",IFERROR(TRIM(INDEX('Pegar docentes'!$A$1:$BZ$1001,254,L$2)&amp;""),""))</f>
        <v/>
      </c>
      <c r="M255">
        <f>IF(M$2=0,"",IFERROR(TRIM(INDEX('Pegar docentes'!$A$1:$BZ$1001,254,M$2)&amp;""),""))</f>
        <v/>
      </c>
      <c r="N255">
        <f>IF(N$2=0,"",IFERROR(TRIM(INDEX('Pegar docentes'!$A$1:$BZ$1001,254,N$2)&amp;""),""))</f>
        <v/>
      </c>
      <c r="O255">
        <f>IF(O$2=0,"",IFERROR(TRIM(INDEX('Pegar docentes'!$A$1:$BZ$1001,254,O$2)&amp;""),""))</f>
        <v/>
      </c>
      <c r="P255">
        <f>IF(P$2=0,"",IFERROR(TRIM(INDEX('Pegar docentes'!$A$1:$BZ$1001,254,P$2)&amp;""),""))</f>
        <v/>
      </c>
      <c r="Q255" s="25">
        <f>IF(OR(D255&lt;&gt;"",H255&lt;&gt;""),1,"")</f>
        <v/>
      </c>
      <c r="R255" s="25">
        <f>IF(Q255=1,IF(ISNUMBER(FIND("#"&amp;MID(D255,1,1)&amp;"#","#0#1#2#3#4#5#6#7#8#9#")),IF(ISNUMBER(FIND("#"&amp;MID(D255,2,1)&amp;"#","#0#1#2#3#4#5#6#7#8#9#")),IF(AND(VALUE(LEFT(D255,2))&gt;=1,VALUE(LEFT(D255,2))&lt;=5),VALUE(LEFT(D255,2)),""),IF(AND(VALUE(LEFT(D255,1))&gt;=1,VALUE(LEFT(D255,1))&lt;=5),VALUE(LEFT(D255,1)),"")),""),"")</f>
        <v/>
      </c>
      <c r="S255" s="25">
        <f>IF(AND(Q255=1,E255&lt;&gt;""),SUBSTITUTE(SUBSTITUTE(SUBSTITUTE(SUBSTITUTE(SUBSTITUTE(SUBSTITUTE(SUBSTITUTE(SUBSTITUTE(SUBSTITUTE(SUBSTITUTE(SUBSTITUTE(SUBSTITUTE(LOWER(TRIM(E255)),"á","a"),"é","e"),"í","i"),"ó","o"),"ú","u"),"ü","u"),"ñ","n"),"à","a"),"è","e"),"ì","i"),"ò","o"),"ù","u"),"")</f>
        <v/>
      </c>
      <c r="T255" s="25">
        <f>IF(AND(Q255=1,G255&lt;&gt;""),SUBSTITUTE(SUBSTITUTE(SUBSTITUTE(SUBSTITUTE(SUBSTITUTE(SUBSTITUTE(SUBSTITUTE(SUBSTITUTE(SUBSTITUTE(SUBSTITUTE(SUBSTITUTE(SUBSTITUTE(LOWER(TRIM(G255)),"á","a"),"é","e"),"í","i"),"ó","o"),"ú","u"),"ü","u"),"ñ","n"),"à","a"),"è","e"),"ì","i"),"ò","o"),"ù","u"),"")</f>
        <v/>
      </c>
      <c r="U255" s="25">
        <f>IF(AND(Q255=1,H255&lt;&gt;""),SUBSTITUTE(SUBSTITUTE(SUBSTITUTE(SUBSTITUTE(SUBSTITUTE(SUBSTITUTE(SUBSTITUTE(SUBSTITUTE(SUBSTITUTE(SUBSTITUTE(SUBSTITUTE(SUBSTITUTE(LOWER(TRIM(H255)),"á","a"),"é","e"),"í","i"),"ó","o"),"ú","u"),"ü","u"),"ñ","n"),"à","a"),"è","e"),"ì","i"),"ò","o"),"ù","u"),"")</f>
        <v/>
      </c>
      <c r="V255" s="25">
        <f>IF(AND(Q255=1,L255&lt;&gt;""),SUBSTITUTE(SUBSTITUTE(SUBSTITUTE(SUBSTITUTE(SUBSTITUTE(SUBSTITUTE(SUBSTITUTE(SUBSTITUTE(SUBSTITUTE(SUBSTITUTE(SUBSTITUTE(SUBSTITUTE(LOWER(TRIM(L255)),"á","a"),"é","e"),"í","i"),"ó","o"),"ú","u"),"ü","u"),"ñ","n"),"à","a"),"è","e"),"ì","i"),"ò","o"),"ù","u"),"")</f>
        <v/>
      </c>
      <c r="W255" s="25">
        <f>IF(AND(Q255=1,I255&lt;&gt;""),SUBSTITUTE(SUBSTITUTE(SUBSTITUTE(SUBSTITUTE(SUBSTITUTE(SUBSTITUTE(SUBSTITUTE(SUBSTITUTE(SUBSTITUTE(SUBSTITUTE(SUBSTITUTE(SUBSTITUTE(LOWER(TRIM(I255)),"á","a"),"é","e"),"í","i"),"ó","o"),"ú","u"),"ü","u"),"ñ","n"),"à","a"),"è","e"),"ì","i"),"ò","o"),"ù","u"),"")</f>
        <v/>
      </c>
      <c r="X255" s="25">
        <f>IF(U255="","",IF(OR(U255="si, en la proxima tarea",U255="si, con cambios"),1,0))</f>
        <v/>
      </c>
      <c r="Y255" s="25">
        <f>IF(AND(Q255=1,A255&lt;&gt;""),IF(IFERROR(COUNTIFS(A$3:A255,"="&amp;SUBSTITUTE(SUBSTITUTE(SUBSTITUTE(A255,"~","~~"),"*","~*"),"?","~?"),Q$3:Q255,1),0)=1,MAX(Y$2:Y254)+1,""),"")</f>
        <v/>
      </c>
      <c r="Z255" s="25">
        <f>IF(Y255="","",COUNTIFS($A$3:$A$1002,"="&amp;SUBSTITUTE(SUBSTITUTE(SUBSTITUTE(A255,"~","~~"),"*","~*"),"?","~?"),$Q$3:$Q$1002,1)*10000-Y255)</f>
        <v/>
      </c>
    </row>
    <row r="256">
      <c r="A256">
        <f>IF(A$2=0,"",IFERROR(TRIM(INDEX('Pegar docentes'!$A$1:$BZ$1001,255,A$2)&amp;""),""))</f>
        <v/>
      </c>
      <c r="B256">
        <f>IF(B$2=0,"",IFERROR(TRIM(INDEX('Pegar docentes'!$A$1:$BZ$1001,255,B$2)&amp;""),""))</f>
        <v/>
      </c>
      <c r="C256">
        <f>IF(C$2=0,"",IFERROR(TRIM(INDEX('Pegar docentes'!$A$1:$BZ$1001,255,C$2)&amp;""),""))</f>
        <v/>
      </c>
      <c r="D256">
        <f>IF(D$2=0,"",IFERROR(TRIM(INDEX('Pegar docentes'!$A$1:$BZ$1001,255,D$2)&amp;""),""))</f>
        <v/>
      </c>
      <c r="E256">
        <f>IF(E$2=0,"",IFERROR(TRIM(INDEX('Pegar docentes'!$A$1:$BZ$1001,255,E$2)&amp;""),""))</f>
        <v/>
      </c>
      <c r="F256">
        <f>IF(F$2=0,"",IFERROR(TRIM(INDEX('Pegar docentes'!$A$1:$BZ$1001,255,F$2)&amp;""),""))</f>
        <v/>
      </c>
      <c r="G256">
        <f>IF(G$2=0,"",IFERROR(TRIM(INDEX('Pegar docentes'!$A$1:$BZ$1001,255,G$2)&amp;""),""))</f>
        <v/>
      </c>
      <c r="H256">
        <f>IF(H$2=0,"",IFERROR(TRIM(INDEX('Pegar docentes'!$A$1:$BZ$1001,255,H$2)&amp;""),""))</f>
        <v/>
      </c>
      <c r="I256">
        <f>IF(I$2=0,"",IFERROR(TRIM(INDEX('Pegar docentes'!$A$1:$BZ$1001,255,I$2)&amp;""),""))</f>
        <v/>
      </c>
      <c r="J256">
        <f>IF(J$2=0,"",IFERROR(TRIM(INDEX('Pegar docentes'!$A$1:$BZ$1001,255,J$2)&amp;""),""))</f>
        <v/>
      </c>
      <c r="K256">
        <f>IF(K$2=0,"",IFERROR(TRIM(INDEX('Pegar docentes'!$A$1:$BZ$1001,255,K$2)&amp;""),""))</f>
        <v/>
      </c>
      <c r="L256">
        <f>IF(L$2=0,"",IFERROR(TRIM(INDEX('Pegar docentes'!$A$1:$BZ$1001,255,L$2)&amp;""),""))</f>
        <v/>
      </c>
      <c r="M256">
        <f>IF(M$2=0,"",IFERROR(TRIM(INDEX('Pegar docentes'!$A$1:$BZ$1001,255,M$2)&amp;""),""))</f>
        <v/>
      </c>
      <c r="N256">
        <f>IF(N$2=0,"",IFERROR(TRIM(INDEX('Pegar docentes'!$A$1:$BZ$1001,255,N$2)&amp;""),""))</f>
        <v/>
      </c>
      <c r="O256">
        <f>IF(O$2=0,"",IFERROR(TRIM(INDEX('Pegar docentes'!$A$1:$BZ$1001,255,O$2)&amp;""),""))</f>
        <v/>
      </c>
      <c r="P256">
        <f>IF(P$2=0,"",IFERROR(TRIM(INDEX('Pegar docentes'!$A$1:$BZ$1001,255,P$2)&amp;""),""))</f>
        <v/>
      </c>
      <c r="Q256" s="25">
        <f>IF(OR(D256&lt;&gt;"",H256&lt;&gt;""),1,"")</f>
        <v/>
      </c>
      <c r="R256" s="25">
        <f>IF(Q256=1,IF(ISNUMBER(FIND("#"&amp;MID(D256,1,1)&amp;"#","#0#1#2#3#4#5#6#7#8#9#")),IF(ISNUMBER(FIND("#"&amp;MID(D256,2,1)&amp;"#","#0#1#2#3#4#5#6#7#8#9#")),IF(AND(VALUE(LEFT(D256,2))&gt;=1,VALUE(LEFT(D256,2))&lt;=5),VALUE(LEFT(D256,2)),""),IF(AND(VALUE(LEFT(D256,1))&gt;=1,VALUE(LEFT(D256,1))&lt;=5),VALUE(LEFT(D256,1)),"")),""),"")</f>
        <v/>
      </c>
      <c r="S256" s="25">
        <f>IF(AND(Q256=1,E256&lt;&gt;""),SUBSTITUTE(SUBSTITUTE(SUBSTITUTE(SUBSTITUTE(SUBSTITUTE(SUBSTITUTE(SUBSTITUTE(SUBSTITUTE(SUBSTITUTE(SUBSTITUTE(SUBSTITUTE(SUBSTITUTE(LOWER(TRIM(E256)),"á","a"),"é","e"),"í","i"),"ó","o"),"ú","u"),"ü","u"),"ñ","n"),"à","a"),"è","e"),"ì","i"),"ò","o"),"ù","u"),"")</f>
        <v/>
      </c>
      <c r="T256" s="25">
        <f>IF(AND(Q256=1,G256&lt;&gt;""),SUBSTITUTE(SUBSTITUTE(SUBSTITUTE(SUBSTITUTE(SUBSTITUTE(SUBSTITUTE(SUBSTITUTE(SUBSTITUTE(SUBSTITUTE(SUBSTITUTE(SUBSTITUTE(SUBSTITUTE(LOWER(TRIM(G256)),"á","a"),"é","e"),"í","i"),"ó","o"),"ú","u"),"ü","u"),"ñ","n"),"à","a"),"è","e"),"ì","i"),"ò","o"),"ù","u"),"")</f>
        <v/>
      </c>
      <c r="U256" s="25">
        <f>IF(AND(Q256=1,H256&lt;&gt;""),SUBSTITUTE(SUBSTITUTE(SUBSTITUTE(SUBSTITUTE(SUBSTITUTE(SUBSTITUTE(SUBSTITUTE(SUBSTITUTE(SUBSTITUTE(SUBSTITUTE(SUBSTITUTE(SUBSTITUTE(LOWER(TRIM(H256)),"á","a"),"é","e"),"í","i"),"ó","o"),"ú","u"),"ü","u"),"ñ","n"),"à","a"),"è","e"),"ì","i"),"ò","o"),"ù","u"),"")</f>
        <v/>
      </c>
      <c r="V256" s="25">
        <f>IF(AND(Q256=1,L256&lt;&gt;""),SUBSTITUTE(SUBSTITUTE(SUBSTITUTE(SUBSTITUTE(SUBSTITUTE(SUBSTITUTE(SUBSTITUTE(SUBSTITUTE(SUBSTITUTE(SUBSTITUTE(SUBSTITUTE(SUBSTITUTE(LOWER(TRIM(L256)),"á","a"),"é","e"),"í","i"),"ó","o"),"ú","u"),"ü","u"),"ñ","n"),"à","a"),"è","e"),"ì","i"),"ò","o"),"ù","u"),"")</f>
        <v/>
      </c>
      <c r="W256" s="25">
        <f>IF(AND(Q256=1,I256&lt;&gt;""),SUBSTITUTE(SUBSTITUTE(SUBSTITUTE(SUBSTITUTE(SUBSTITUTE(SUBSTITUTE(SUBSTITUTE(SUBSTITUTE(SUBSTITUTE(SUBSTITUTE(SUBSTITUTE(SUBSTITUTE(LOWER(TRIM(I256)),"á","a"),"é","e"),"í","i"),"ó","o"),"ú","u"),"ü","u"),"ñ","n"),"à","a"),"è","e"),"ì","i"),"ò","o"),"ù","u"),"")</f>
        <v/>
      </c>
      <c r="X256" s="25">
        <f>IF(U256="","",IF(OR(U256="si, en la proxima tarea",U256="si, con cambios"),1,0))</f>
        <v/>
      </c>
      <c r="Y256" s="25">
        <f>IF(AND(Q256=1,A256&lt;&gt;""),IF(IFERROR(COUNTIFS(A$3:A256,"="&amp;SUBSTITUTE(SUBSTITUTE(SUBSTITUTE(A256,"~","~~"),"*","~*"),"?","~?"),Q$3:Q256,1),0)=1,MAX(Y$2:Y255)+1,""),"")</f>
        <v/>
      </c>
      <c r="Z256" s="25">
        <f>IF(Y256="","",COUNTIFS($A$3:$A$1002,"="&amp;SUBSTITUTE(SUBSTITUTE(SUBSTITUTE(A256,"~","~~"),"*","~*"),"?","~?"),$Q$3:$Q$1002,1)*10000-Y256)</f>
        <v/>
      </c>
    </row>
    <row r="257">
      <c r="A257">
        <f>IF(A$2=0,"",IFERROR(TRIM(INDEX('Pegar docentes'!$A$1:$BZ$1001,256,A$2)&amp;""),""))</f>
        <v/>
      </c>
      <c r="B257">
        <f>IF(B$2=0,"",IFERROR(TRIM(INDEX('Pegar docentes'!$A$1:$BZ$1001,256,B$2)&amp;""),""))</f>
        <v/>
      </c>
      <c r="C257">
        <f>IF(C$2=0,"",IFERROR(TRIM(INDEX('Pegar docentes'!$A$1:$BZ$1001,256,C$2)&amp;""),""))</f>
        <v/>
      </c>
      <c r="D257">
        <f>IF(D$2=0,"",IFERROR(TRIM(INDEX('Pegar docentes'!$A$1:$BZ$1001,256,D$2)&amp;""),""))</f>
        <v/>
      </c>
      <c r="E257">
        <f>IF(E$2=0,"",IFERROR(TRIM(INDEX('Pegar docentes'!$A$1:$BZ$1001,256,E$2)&amp;""),""))</f>
        <v/>
      </c>
      <c r="F257">
        <f>IF(F$2=0,"",IFERROR(TRIM(INDEX('Pegar docentes'!$A$1:$BZ$1001,256,F$2)&amp;""),""))</f>
        <v/>
      </c>
      <c r="G257">
        <f>IF(G$2=0,"",IFERROR(TRIM(INDEX('Pegar docentes'!$A$1:$BZ$1001,256,G$2)&amp;""),""))</f>
        <v/>
      </c>
      <c r="H257">
        <f>IF(H$2=0,"",IFERROR(TRIM(INDEX('Pegar docentes'!$A$1:$BZ$1001,256,H$2)&amp;""),""))</f>
        <v/>
      </c>
      <c r="I257">
        <f>IF(I$2=0,"",IFERROR(TRIM(INDEX('Pegar docentes'!$A$1:$BZ$1001,256,I$2)&amp;""),""))</f>
        <v/>
      </c>
      <c r="J257">
        <f>IF(J$2=0,"",IFERROR(TRIM(INDEX('Pegar docentes'!$A$1:$BZ$1001,256,J$2)&amp;""),""))</f>
        <v/>
      </c>
      <c r="K257">
        <f>IF(K$2=0,"",IFERROR(TRIM(INDEX('Pegar docentes'!$A$1:$BZ$1001,256,K$2)&amp;""),""))</f>
        <v/>
      </c>
      <c r="L257">
        <f>IF(L$2=0,"",IFERROR(TRIM(INDEX('Pegar docentes'!$A$1:$BZ$1001,256,L$2)&amp;""),""))</f>
        <v/>
      </c>
      <c r="M257">
        <f>IF(M$2=0,"",IFERROR(TRIM(INDEX('Pegar docentes'!$A$1:$BZ$1001,256,M$2)&amp;""),""))</f>
        <v/>
      </c>
      <c r="N257">
        <f>IF(N$2=0,"",IFERROR(TRIM(INDEX('Pegar docentes'!$A$1:$BZ$1001,256,N$2)&amp;""),""))</f>
        <v/>
      </c>
      <c r="O257">
        <f>IF(O$2=0,"",IFERROR(TRIM(INDEX('Pegar docentes'!$A$1:$BZ$1001,256,O$2)&amp;""),""))</f>
        <v/>
      </c>
      <c r="P257">
        <f>IF(P$2=0,"",IFERROR(TRIM(INDEX('Pegar docentes'!$A$1:$BZ$1001,256,P$2)&amp;""),""))</f>
        <v/>
      </c>
      <c r="Q257" s="25">
        <f>IF(OR(D257&lt;&gt;"",H257&lt;&gt;""),1,"")</f>
        <v/>
      </c>
      <c r="R257" s="25">
        <f>IF(Q257=1,IF(ISNUMBER(FIND("#"&amp;MID(D257,1,1)&amp;"#","#0#1#2#3#4#5#6#7#8#9#")),IF(ISNUMBER(FIND("#"&amp;MID(D257,2,1)&amp;"#","#0#1#2#3#4#5#6#7#8#9#")),IF(AND(VALUE(LEFT(D257,2))&gt;=1,VALUE(LEFT(D257,2))&lt;=5),VALUE(LEFT(D257,2)),""),IF(AND(VALUE(LEFT(D257,1))&gt;=1,VALUE(LEFT(D257,1))&lt;=5),VALUE(LEFT(D257,1)),"")),""),"")</f>
        <v/>
      </c>
      <c r="S257" s="25">
        <f>IF(AND(Q257=1,E257&lt;&gt;""),SUBSTITUTE(SUBSTITUTE(SUBSTITUTE(SUBSTITUTE(SUBSTITUTE(SUBSTITUTE(SUBSTITUTE(SUBSTITUTE(SUBSTITUTE(SUBSTITUTE(SUBSTITUTE(SUBSTITUTE(LOWER(TRIM(E257)),"á","a"),"é","e"),"í","i"),"ó","o"),"ú","u"),"ü","u"),"ñ","n"),"à","a"),"è","e"),"ì","i"),"ò","o"),"ù","u"),"")</f>
        <v/>
      </c>
      <c r="T257" s="25">
        <f>IF(AND(Q257=1,G257&lt;&gt;""),SUBSTITUTE(SUBSTITUTE(SUBSTITUTE(SUBSTITUTE(SUBSTITUTE(SUBSTITUTE(SUBSTITUTE(SUBSTITUTE(SUBSTITUTE(SUBSTITUTE(SUBSTITUTE(SUBSTITUTE(LOWER(TRIM(G257)),"á","a"),"é","e"),"í","i"),"ó","o"),"ú","u"),"ü","u"),"ñ","n"),"à","a"),"è","e"),"ì","i"),"ò","o"),"ù","u"),"")</f>
        <v/>
      </c>
      <c r="U257" s="25">
        <f>IF(AND(Q257=1,H257&lt;&gt;""),SUBSTITUTE(SUBSTITUTE(SUBSTITUTE(SUBSTITUTE(SUBSTITUTE(SUBSTITUTE(SUBSTITUTE(SUBSTITUTE(SUBSTITUTE(SUBSTITUTE(SUBSTITUTE(SUBSTITUTE(LOWER(TRIM(H257)),"á","a"),"é","e"),"í","i"),"ó","o"),"ú","u"),"ü","u"),"ñ","n"),"à","a"),"è","e"),"ì","i"),"ò","o"),"ù","u"),"")</f>
        <v/>
      </c>
      <c r="V257" s="25">
        <f>IF(AND(Q257=1,L257&lt;&gt;""),SUBSTITUTE(SUBSTITUTE(SUBSTITUTE(SUBSTITUTE(SUBSTITUTE(SUBSTITUTE(SUBSTITUTE(SUBSTITUTE(SUBSTITUTE(SUBSTITUTE(SUBSTITUTE(SUBSTITUTE(LOWER(TRIM(L257)),"á","a"),"é","e"),"í","i"),"ó","o"),"ú","u"),"ü","u"),"ñ","n"),"à","a"),"è","e"),"ì","i"),"ò","o"),"ù","u"),"")</f>
        <v/>
      </c>
      <c r="W257" s="25">
        <f>IF(AND(Q257=1,I257&lt;&gt;""),SUBSTITUTE(SUBSTITUTE(SUBSTITUTE(SUBSTITUTE(SUBSTITUTE(SUBSTITUTE(SUBSTITUTE(SUBSTITUTE(SUBSTITUTE(SUBSTITUTE(SUBSTITUTE(SUBSTITUTE(LOWER(TRIM(I257)),"á","a"),"é","e"),"í","i"),"ó","o"),"ú","u"),"ü","u"),"ñ","n"),"à","a"),"è","e"),"ì","i"),"ò","o"),"ù","u"),"")</f>
        <v/>
      </c>
      <c r="X257" s="25">
        <f>IF(U257="","",IF(OR(U257="si, en la proxima tarea",U257="si, con cambios"),1,0))</f>
        <v/>
      </c>
      <c r="Y257" s="25">
        <f>IF(AND(Q257=1,A257&lt;&gt;""),IF(IFERROR(COUNTIFS(A$3:A257,"="&amp;SUBSTITUTE(SUBSTITUTE(SUBSTITUTE(A257,"~","~~"),"*","~*"),"?","~?"),Q$3:Q257,1),0)=1,MAX(Y$2:Y256)+1,""),"")</f>
        <v/>
      </c>
      <c r="Z257" s="25">
        <f>IF(Y257="","",COUNTIFS($A$3:$A$1002,"="&amp;SUBSTITUTE(SUBSTITUTE(SUBSTITUTE(A257,"~","~~"),"*","~*"),"?","~?"),$Q$3:$Q$1002,1)*10000-Y257)</f>
        <v/>
      </c>
    </row>
    <row r="258">
      <c r="A258">
        <f>IF(A$2=0,"",IFERROR(TRIM(INDEX('Pegar docentes'!$A$1:$BZ$1001,257,A$2)&amp;""),""))</f>
        <v/>
      </c>
      <c r="B258">
        <f>IF(B$2=0,"",IFERROR(TRIM(INDEX('Pegar docentes'!$A$1:$BZ$1001,257,B$2)&amp;""),""))</f>
        <v/>
      </c>
      <c r="C258">
        <f>IF(C$2=0,"",IFERROR(TRIM(INDEX('Pegar docentes'!$A$1:$BZ$1001,257,C$2)&amp;""),""))</f>
        <v/>
      </c>
      <c r="D258">
        <f>IF(D$2=0,"",IFERROR(TRIM(INDEX('Pegar docentes'!$A$1:$BZ$1001,257,D$2)&amp;""),""))</f>
        <v/>
      </c>
      <c r="E258">
        <f>IF(E$2=0,"",IFERROR(TRIM(INDEX('Pegar docentes'!$A$1:$BZ$1001,257,E$2)&amp;""),""))</f>
        <v/>
      </c>
      <c r="F258">
        <f>IF(F$2=0,"",IFERROR(TRIM(INDEX('Pegar docentes'!$A$1:$BZ$1001,257,F$2)&amp;""),""))</f>
        <v/>
      </c>
      <c r="G258">
        <f>IF(G$2=0,"",IFERROR(TRIM(INDEX('Pegar docentes'!$A$1:$BZ$1001,257,G$2)&amp;""),""))</f>
        <v/>
      </c>
      <c r="H258">
        <f>IF(H$2=0,"",IFERROR(TRIM(INDEX('Pegar docentes'!$A$1:$BZ$1001,257,H$2)&amp;""),""))</f>
        <v/>
      </c>
      <c r="I258">
        <f>IF(I$2=0,"",IFERROR(TRIM(INDEX('Pegar docentes'!$A$1:$BZ$1001,257,I$2)&amp;""),""))</f>
        <v/>
      </c>
      <c r="J258">
        <f>IF(J$2=0,"",IFERROR(TRIM(INDEX('Pegar docentes'!$A$1:$BZ$1001,257,J$2)&amp;""),""))</f>
        <v/>
      </c>
      <c r="K258">
        <f>IF(K$2=0,"",IFERROR(TRIM(INDEX('Pegar docentes'!$A$1:$BZ$1001,257,K$2)&amp;""),""))</f>
        <v/>
      </c>
      <c r="L258">
        <f>IF(L$2=0,"",IFERROR(TRIM(INDEX('Pegar docentes'!$A$1:$BZ$1001,257,L$2)&amp;""),""))</f>
        <v/>
      </c>
      <c r="M258">
        <f>IF(M$2=0,"",IFERROR(TRIM(INDEX('Pegar docentes'!$A$1:$BZ$1001,257,M$2)&amp;""),""))</f>
        <v/>
      </c>
      <c r="N258">
        <f>IF(N$2=0,"",IFERROR(TRIM(INDEX('Pegar docentes'!$A$1:$BZ$1001,257,N$2)&amp;""),""))</f>
        <v/>
      </c>
      <c r="O258">
        <f>IF(O$2=0,"",IFERROR(TRIM(INDEX('Pegar docentes'!$A$1:$BZ$1001,257,O$2)&amp;""),""))</f>
        <v/>
      </c>
      <c r="P258">
        <f>IF(P$2=0,"",IFERROR(TRIM(INDEX('Pegar docentes'!$A$1:$BZ$1001,257,P$2)&amp;""),""))</f>
        <v/>
      </c>
      <c r="Q258" s="25">
        <f>IF(OR(D258&lt;&gt;"",H258&lt;&gt;""),1,"")</f>
        <v/>
      </c>
      <c r="R258" s="25">
        <f>IF(Q258=1,IF(ISNUMBER(FIND("#"&amp;MID(D258,1,1)&amp;"#","#0#1#2#3#4#5#6#7#8#9#")),IF(ISNUMBER(FIND("#"&amp;MID(D258,2,1)&amp;"#","#0#1#2#3#4#5#6#7#8#9#")),IF(AND(VALUE(LEFT(D258,2))&gt;=1,VALUE(LEFT(D258,2))&lt;=5),VALUE(LEFT(D258,2)),""),IF(AND(VALUE(LEFT(D258,1))&gt;=1,VALUE(LEFT(D258,1))&lt;=5),VALUE(LEFT(D258,1)),"")),""),"")</f>
        <v/>
      </c>
      <c r="S258" s="25">
        <f>IF(AND(Q258=1,E258&lt;&gt;""),SUBSTITUTE(SUBSTITUTE(SUBSTITUTE(SUBSTITUTE(SUBSTITUTE(SUBSTITUTE(SUBSTITUTE(SUBSTITUTE(SUBSTITUTE(SUBSTITUTE(SUBSTITUTE(SUBSTITUTE(LOWER(TRIM(E258)),"á","a"),"é","e"),"í","i"),"ó","o"),"ú","u"),"ü","u"),"ñ","n"),"à","a"),"è","e"),"ì","i"),"ò","o"),"ù","u"),"")</f>
        <v/>
      </c>
      <c r="T258" s="25">
        <f>IF(AND(Q258=1,G258&lt;&gt;""),SUBSTITUTE(SUBSTITUTE(SUBSTITUTE(SUBSTITUTE(SUBSTITUTE(SUBSTITUTE(SUBSTITUTE(SUBSTITUTE(SUBSTITUTE(SUBSTITUTE(SUBSTITUTE(SUBSTITUTE(LOWER(TRIM(G258)),"á","a"),"é","e"),"í","i"),"ó","o"),"ú","u"),"ü","u"),"ñ","n"),"à","a"),"è","e"),"ì","i"),"ò","o"),"ù","u"),"")</f>
        <v/>
      </c>
      <c r="U258" s="25">
        <f>IF(AND(Q258=1,H258&lt;&gt;""),SUBSTITUTE(SUBSTITUTE(SUBSTITUTE(SUBSTITUTE(SUBSTITUTE(SUBSTITUTE(SUBSTITUTE(SUBSTITUTE(SUBSTITUTE(SUBSTITUTE(SUBSTITUTE(SUBSTITUTE(LOWER(TRIM(H258)),"á","a"),"é","e"),"í","i"),"ó","o"),"ú","u"),"ü","u"),"ñ","n"),"à","a"),"è","e"),"ì","i"),"ò","o"),"ù","u"),"")</f>
        <v/>
      </c>
      <c r="V258" s="25">
        <f>IF(AND(Q258=1,L258&lt;&gt;""),SUBSTITUTE(SUBSTITUTE(SUBSTITUTE(SUBSTITUTE(SUBSTITUTE(SUBSTITUTE(SUBSTITUTE(SUBSTITUTE(SUBSTITUTE(SUBSTITUTE(SUBSTITUTE(SUBSTITUTE(LOWER(TRIM(L258)),"á","a"),"é","e"),"í","i"),"ó","o"),"ú","u"),"ü","u"),"ñ","n"),"à","a"),"è","e"),"ì","i"),"ò","o"),"ù","u"),"")</f>
        <v/>
      </c>
      <c r="W258" s="25">
        <f>IF(AND(Q258=1,I258&lt;&gt;""),SUBSTITUTE(SUBSTITUTE(SUBSTITUTE(SUBSTITUTE(SUBSTITUTE(SUBSTITUTE(SUBSTITUTE(SUBSTITUTE(SUBSTITUTE(SUBSTITUTE(SUBSTITUTE(SUBSTITUTE(LOWER(TRIM(I258)),"á","a"),"é","e"),"í","i"),"ó","o"),"ú","u"),"ü","u"),"ñ","n"),"à","a"),"è","e"),"ì","i"),"ò","o"),"ù","u"),"")</f>
        <v/>
      </c>
      <c r="X258" s="25">
        <f>IF(U258="","",IF(OR(U258="si, en la proxima tarea",U258="si, con cambios"),1,0))</f>
        <v/>
      </c>
      <c r="Y258" s="25">
        <f>IF(AND(Q258=1,A258&lt;&gt;""),IF(IFERROR(COUNTIFS(A$3:A258,"="&amp;SUBSTITUTE(SUBSTITUTE(SUBSTITUTE(A258,"~","~~"),"*","~*"),"?","~?"),Q$3:Q258,1),0)=1,MAX(Y$2:Y257)+1,""),"")</f>
        <v/>
      </c>
      <c r="Z258" s="25">
        <f>IF(Y258="","",COUNTIFS($A$3:$A$1002,"="&amp;SUBSTITUTE(SUBSTITUTE(SUBSTITUTE(A258,"~","~~"),"*","~*"),"?","~?"),$Q$3:$Q$1002,1)*10000-Y258)</f>
        <v/>
      </c>
    </row>
    <row r="259">
      <c r="A259">
        <f>IF(A$2=0,"",IFERROR(TRIM(INDEX('Pegar docentes'!$A$1:$BZ$1001,258,A$2)&amp;""),""))</f>
        <v/>
      </c>
      <c r="B259">
        <f>IF(B$2=0,"",IFERROR(TRIM(INDEX('Pegar docentes'!$A$1:$BZ$1001,258,B$2)&amp;""),""))</f>
        <v/>
      </c>
      <c r="C259">
        <f>IF(C$2=0,"",IFERROR(TRIM(INDEX('Pegar docentes'!$A$1:$BZ$1001,258,C$2)&amp;""),""))</f>
        <v/>
      </c>
      <c r="D259">
        <f>IF(D$2=0,"",IFERROR(TRIM(INDEX('Pegar docentes'!$A$1:$BZ$1001,258,D$2)&amp;""),""))</f>
        <v/>
      </c>
      <c r="E259">
        <f>IF(E$2=0,"",IFERROR(TRIM(INDEX('Pegar docentes'!$A$1:$BZ$1001,258,E$2)&amp;""),""))</f>
        <v/>
      </c>
      <c r="F259">
        <f>IF(F$2=0,"",IFERROR(TRIM(INDEX('Pegar docentes'!$A$1:$BZ$1001,258,F$2)&amp;""),""))</f>
        <v/>
      </c>
      <c r="G259">
        <f>IF(G$2=0,"",IFERROR(TRIM(INDEX('Pegar docentes'!$A$1:$BZ$1001,258,G$2)&amp;""),""))</f>
        <v/>
      </c>
      <c r="H259">
        <f>IF(H$2=0,"",IFERROR(TRIM(INDEX('Pegar docentes'!$A$1:$BZ$1001,258,H$2)&amp;""),""))</f>
        <v/>
      </c>
      <c r="I259">
        <f>IF(I$2=0,"",IFERROR(TRIM(INDEX('Pegar docentes'!$A$1:$BZ$1001,258,I$2)&amp;""),""))</f>
        <v/>
      </c>
      <c r="J259">
        <f>IF(J$2=0,"",IFERROR(TRIM(INDEX('Pegar docentes'!$A$1:$BZ$1001,258,J$2)&amp;""),""))</f>
        <v/>
      </c>
      <c r="K259">
        <f>IF(K$2=0,"",IFERROR(TRIM(INDEX('Pegar docentes'!$A$1:$BZ$1001,258,K$2)&amp;""),""))</f>
        <v/>
      </c>
      <c r="L259">
        <f>IF(L$2=0,"",IFERROR(TRIM(INDEX('Pegar docentes'!$A$1:$BZ$1001,258,L$2)&amp;""),""))</f>
        <v/>
      </c>
      <c r="M259">
        <f>IF(M$2=0,"",IFERROR(TRIM(INDEX('Pegar docentes'!$A$1:$BZ$1001,258,M$2)&amp;""),""))</f>
        <v/>
      </c>
      <c r="N259">
        <f>IF(N$2=0,"",IFERROR(TRIM(INDEX('Pegar docentes'!$A$1:$BZ$1001,258,N$2)&amp;""),""))</f>
        <v/>
      </c>
      <c r="O259">
        <f>IF(O$2=0,"",IFERROR(TRIM(INDEX('Pegar docentes'!$A$1:$BZ$1001,258,O$2)&amp;""),""))</f>
        <v/>
      </c>
      <c r="P259">
        <f>IF(P$2=0,"",IFERROR(TRIM(INDEX('Pegar docentes'!$A$1:$BZ$1001,258,P$2)&amp;""),""))</f>
        <v/>
      </c>
      <c r="Q259" s="25">
        <f>IF(OR(D259&lt;&gt;"",H259&lt;&gt;""),1,"")</f>
        <v/>
      </c>
      <c r="R259" s="25">
        <f>IF(Q259=1,IF(ISNUMBER(FIND("#"&amp;MID(D259,1,1)&amp;"#","#0#1#2#3#4#5#6#7#8#9#")),IF(ISNUMBER(FIND("#"&amp;MID(D259,2,1)&amp;"#","#0#1#2#3#4#5#6#7#8#9#")),IF(AND(VALUE(LEFT(D259,2))&gt;=1,VALUE(LEFT(D259,2))&lt;=5),VALUE(LEFT(D259,2)),""),IF(AND(VALUE(LEFT(D259,1))&gt;=1,VALUE(LEFT(D259,1))&lt;=5),VALUE(LEFT(D259,1)),"")),""),"")</f>
        <v/>
      </c>
      <c r="S259" s="25">
        <f>IF(AND(Q259=1,E259&lt;&gt;""),SUBSTITUTE(SUBSTITUTE(SUBSTITUTE(SUBSTITUTE(SUBSTITUTE(SUBSTITUTE(SUBSTITUTE(SUBSTITUTE(SUBSTITUTE(SUBSTITUTE(SUBSTITUTE(SUBSTITUTE(LOWER(TRIM(E259)),"á","a"),"é","e"),"í","i"),"ó","o"),"ú","u"),"ü","u"),"ñ","n"),"à","a"),"è","e"),"ì","i"),"ò","o"),"ù","u"),"")</f>
        <v/>
      </c>
      <c r="T259" s="25">
        <f>IF(AND(Q259=1,G259&lt;&gt;""),SUBSTITUTE(SUBSTITUTE(SUBSTITUTE(SUBSTITUTE(SUBSTITUTE(SUBSTITUTE(SUBSTITUTE(SUBSTITUTE(SUBSTITUTE(SUBSTITUTE(SUBSTITUTE(SUBSTITUTE(LOWER(TRIM(G259)),"á","a"),"é","e"),"í","i"),"ó","o"),"ú","u"),"ü","u"),"ñ","n"),"à","a"),"è","e"),"ì","i"),"ò","o"),"ù","u"),"")</f>
        <v/>
      </c>
      <c r="U259" s="25">
        <f>IF(AND(Q259=1,H259&lt;&gt;""),SUBSTITUTE(SUBSTITUTE(SUBSTITUTE(SUBSTITUTE(SUBSTITUTE(SUBSTITUTE(SUBSTITUTE(SUBSTITUTE(SUBSTITUTE(SUBSTITUTE(SUBSTITUTE(SUBSTITUTE(LOWER(TRIM(H259)),"á","a"),"é","e"),"í","i"),"ó","o"),"ú","u"),"ü","u"),"ñ","n"),"à","a"),"è","e"),"ì","i"),"ò","o"),"ù","u"),"")</f>
        <v/>
      </c>
      <c r="V259" s="25">
        <f>IF(AND(Q259=1,L259&lt;&gt;""),SUBSTITUTE(SUBSTITUTE(SUBSTITUTE(SUBSTITUTE(SUBSTITUTE(SUBSTITUTE(SUBSTITUTE(SUBSTITUTE(SUBSTITUTE(SUBSTITUTE(SUBSTITUTE(SUBSTITUTE(LOWER(TRIM(L259)),"á","a"),"é","e"),"í","i"),"ó","o"),"ú","u"),"ü","u"),"ñ","n"),"à","a"),"è","e"),"ì","i"),"ò","o"),"ù","u"),"")</f>
        <v/>
      </c>
      <c r="W259" s="25">
        <f>IF(AND(Q259=1,I259&lt;&gt;""),SUBSTITUTE(SUBSTITUTE(SUBSTITUTE(SUBSTITUTE(SUBSTITUTE(SUBSTITUTE(SUBSTITUTE(SUBSTITUTE(SUBSTITUTE(SUBSTITUTE(SUBSTITUTE(SUBSTITUTE(LOWER(TRIM(I259)),"á","a"),"é","e"),"í","i"),"ó","o"),"ú","u"),"ü","u"),"ñ","n"),"à","a"),"è","e"),"ì","i"),"ò","o"),"ù","u"),"")</f>
        <v/>
      </c>
      <c r="X259" s="25">
        <f>IF(U259="","",IF(OR(U259="si, en la proxima tarea",U259="si, con cambios"),1,0))</f>
        <v/>
      </c>
      <c r="Y259" s="25">
        <f>IF(AND(Q259=1,A259&lt;&gt;""),IF(IFERROR(COUNTIFS(A$3:A259,"="&amp;SUBSTITUTE(SUBSTITUTE(SUBSTITUTE(A259,"~","~~"),"*","~*"),"?","~?"),Q$3:Q259,1),0)=1,MAX(Y$2:Y258)+1,""),"")</f>
        <v/>
      </c>
      <c r="Z259" s="25">
        <f>IF(Y259="","",COUNTIFS($A$3:$A$1002,"="&amp;SUBSTITUTE(SUBSTITUTE(SUBSTITUTE(A259,"~","~~"),"*","~*"),"?","~?"),$Q$3:$Q$1002,1)*10000-Y259)</f>
        <v/>
      </c>
    </row>
    <row r="260">
      <c r="A260">
        <f>IF(A$2=0,"",IFERROR(TRIM(INDEX('Pegar docentes'!$A$1:$BZ$1001,259,A$2)&amp;""),""))</f>
        <v/>
      </c>
      <c r="B260">
        <f>IF(B$2=0,"",IFERROR(TRIM(INDEX('Pegar docentes'!$A$1:$BZ$1001,259,B$2)&amp;""),""))</f>
        <v/>
      </c>
      <c r="C260">
        <f>IF(C$2=0,"",IFERROR(TRIM(INDEX('Pegar docentes'!$A$1:$BZ$1001,259,C$2)&amp;""),""))</f>
        <v/>
      </c>
      <c r="D260">
        <f>IF(D$2=0,"",IFERROR(TRIM(INDEX('Pegar docentes'!$A$1:$BZ$1001,259,D$2)&amp;""),""))</f>
        <v/>
      </c>
      <c r="E260">
        <f>IF(E$2=0,"",IFERROR(TRIM(INDEX('Pegar docentes'!$A$1:$BZ$1001,259,E$2)&amp;""),""))</f>
        <v/>
      </c>
      <c r="F260">
        <f>IF(F$2=0,"",IFERROR(TRIM(INDEX('Pegar docentes'!$A$1:$BZ$1001,259,F$2)&amp;""),""))</f>
        <v/>
      </c>
      <c r="G260">
        <f>IF(G$2=0,"",IFERROR(TRIM(INDEX('Pegar docentes'!$A$1:$BZ$1001,259,G$2)&amp;""),""))</f>
        <v/>
      </c>
      <c r="H260">
        <f>IF(H$2=0,"",IFERROR(TRIM(INDEX('Pegar docentes'!$A$1:$BZ$1001,259,H$2)&amp;""),""))</f>
        <v/>
      </c>
      <c r="I260">
        <f>IF(I$2=0,"",IFERROR(TRIM(INDEX('Pegar docentes'!$A$1:$BZ$1001,259,I$2)&amp;""),""))</f>
        <v/>
      </c>
      <c r="J260">
        <f>IF(J$2=0,"",IFERROR(TRIM(INDEX('Pegar docentes'!$A$1:$BZ$1001,259,J$2)&amp;""),""))</f>
        <v/>
      </c>
      <c r="K260">
        <f>IF(K$2=0,"",IFERROR(TRIM(INDEX('Pegar docentes'!$A$1:$BZ$1001,259,K$2)&amp;""),""))</f>
        <v/>
      </c>
      <c r="L260">
        <f>IF(L$2=0,"",IFERROR(TRIM(INDEX('Pegar docentes'!$A$1:$BZ$1001,259,L$2)&amp;""),""))</f>
        <v/>
      </c>
      <c r="M260">
        <f>IF(M$2=0,"",IFERROR(TRIM(INDEX('Pegar docentes'!$A$1:$BZ$1001,259,M$2)&amp;""),""))</f>
        <v/>
      </c>
      <c r="N260">
        <f>IF(N$2=0,"",IFERROR(TRIM(INDEX('Pegar docentes'!$A$1:$BZ$1001,259,N$2)&amp;""),""))</f>
        <v/>
      </c>
      <c r="O260">
        <f>IF(O$2=0,"",IFERROR(TRIM(INDEX('Pegar docentes'!$A$1:$BZ$1001,259,O$2)&amp;""),""))</f>
        <v/>
      </c>
      <c r="P260">
        <f>IF(P$2=0,"",IFERROR(TRIM(INDEX('Pegar docentes'!$A$1:$BZ$1001,259,P$2)&amp;""),""))</f>
        <v/>
      </c>
      <c r="Q260" s="25">
        <f>IF(OR(D260&lt;&gt;"",H260&lt;&gt;""),1,"")</f>
        <v/>
      </c>
      <c r="R260" s="25">
        <f>IF(Q260=1,IF(ISNUMBER(FIND("#"&amp;MID(D260,1,1)&amp;"#","#0#1#2#3#4#5#6#7#8#9#")),IF(ISNUMBER(FIND("#"&amp;MID(D260,2,1)&amp;"#","#0#1#2#3#4#5#6#7#8#9#")),IF(AND(VALUE(LEFT(D260,2))&gt;=1,VALUE(LEFT(D260,2))&lt;=5),VALUE(LEFT(D260,2)),""),IF(AND(VALUE(LEFT(D260,1))&gt;=1,VALUE(LEFT(D260,1))&lt;=5),VALUE(LEFT(D260,1)),"")),""),"")</f>
        <v/>
      </c>
      <c r="S260" s="25">
        <f>IF(AND(Q260=1,E260&lt;&gt;""),SUBSTITUTE(SUBSTITUTE(SUBSTITUTE(SUBSTITUTE(SUBSTITUTE(SUBSTITUTE(SUBSTITUTE(SUBSTITUTE(SUBSTITUTE(SUBSTITUTE(SUBSTITUTE(SUBSTITUTE(LOWER(TRIM(E260)),"á","a"),"é","e"),"í","i"),"ó","o"),"ú","u"),"ü","u"),"ñ","n"),"à","a"),"è","e"),"ì","i"),"ò","o"),"ù","u"),"")</f>
        <v/>
      </c>
      <c r="T260" s="25">
        <f>IF(AND(Q260=1,G260&lt;&gt;""),SUBSTITUTE(SUBSTITUTE(SUBSTITUTE(SUBSTITUTE(SUBSTITUTE(SUBSTITUTE(SUBSTITUTE(SUBSTITUTE(SUBSTITUTE(SUBSTITUTE(SUBSTITUTE(SUBSTITUTE(LOWER(TRIM(G260)),"á","a"),"é","e"),"í","i"),"ó","o"),"ú","u"),"ü","u"),"ñ","n"),"à","a"),"è","e"),"ì","i"),"ò","o"),"ù","u"),"")</f>
        <v/>
      </c>
      <c r="U260" s="25">
        <f>IF(AND(Q260=1,H260&lt;&gt;""),SUBSTITUTE(SUBSTITUTE(SUBSTITUTE(SUBSTITUTE(SUBSTITUTE(SUBSTITUTE(SUBSTITUTE(SUBSTITUTE(SUBSTITUTE(SUBSTITUTE(SUBSTITUTE(SUBSTITUTE(LOWER(TRIM(H260)),"á","a"),"é","e"),"í","i"),"ó","o"),"ú","u"),"ü","u"),"ñ","n"),"à","a"),"è","e"),"ì","i"),"ò","o"),"ù","u"),"")</f>
        <v/>
      </c>
      <c r="V260" s="25">
        <f>IF(AND(Q260=1,L260&lt;&gt;""),SUBSTITUTE(SUBSTITUTE(SUBSTITUTE(SUBSTITUTE(SUBSTITUTE(SUBSTITUTE(SUBSTITUTE(SUBSTITUTE(SUBSTITUTE(SUBSTITUTE(SUBSTITUTE(SUBSTITUTE(LOWER(TRIM(L260)),"á","a"),"é","e"),"í","i"),"ó","o"),"ú","u"),"ü","u"),"ñ","n"),"à","a"),"è","e"),"ì","i"),"ò","o"),"ù","u"),"")</f>
        <v/>
      </c>
      <c r="W260" s="25">
        <f>IF(AND(Q260=1,I260&lt;&gt;""),SUBSTITUTE(SUBSTITUTE(SUBSTITUTE(SUBSTITUTE(SUBSTITUTE(SUBSTITUTE(SUBSTITUTE(SUBSTITUTE(SUBSTITUTE(SUBSTITUTE(SUBSTITUTE(SUBSTITUTE(LOWER(TRIM(I260)),"á","a"),"é","e"),"í","i"),"ó","o"),"ú","u"),"ü","u"),"ñ","n"),"à","a"),"è","e"),"ì","i"),"ò","o"),"ù","u"),"")</f>
        <v/>
      </c>
      <c r="X260" s="25">
        <f>IF(U260="","",IF(OR(U260="si, en la proxima tarea",U260="si, con cambios"),1,0))</f>
        <v/>
      </c>
      <c r="Y260" s="25">
        <f>IF(AND(Q260=1,A260&lt;&gt;""),IF(IFERROR(COUNTIFS(A$3:A260,"="&amp;SUBSTITUTE(SUBSTITUTE(SUBSTITUTE(A260,"~","~~"),"*","~*"),"?","~?"),Q$3:Q260,1),0)=1,MAX(Y$2:Y259)+1,""),"")</f>
        <v/>
      </c>
      <c r="Z260" s="25">
        <f>IF(Y260="","",COUNTIFS($A$3:$A$1002,"="&amp;SUBSTITUTE(SUBSTITUTE(SUBSTITUTE(A260,"~","~~"),"*","~*"),"?","~?"),$Q$3:$Q$1002,1)*10000-Y260)</f>
        <v/>
      </c>
    </row>
    <row r="261">
      <c r="A261">
        <f>IF(A$2=0,"",IFERROR(TRIM(INDEX('Pegar docentes'!$A$1:$BZ$1001,260,A$2)&amp;""),""))</f>
        <v/>
      </c>
      <c r="B261">
        <f>IF(B$2=0,"",IFERROR(TRIM(INDEX('Pegar docentes'!$A$1:$BZ$1001,260,B$2)&amp;""),""))</f>
        <v/>
      </c>
      <c r="C261">
        <f>IF(C$2=0,"",IFERROR(TRIM(INDEX('Pegar docentes'!$A$1:$BZ$1001,260,C$2)&amp;""),""))</f>
        <v/>
      </c>
      <c r="D261">
        <f>IF(D$2=0,"",IFERROR(TRIM(INDEX('Pegar docentes'!$A$1:$BZ$1001,260,D$2)&amp;""),""))</f>
        <v/>
      </c>
      <c r="E261">
        <f>IF(E$2=0,"",IFERROR(TRIM(INDEX('Pegar docentes'!$A$1:$BZ$1001,260,E$2)&amp;""),""))</f>
        <v/>
      </c>
      <c r="F261">
        <f>IF(F$2=0,"",IFERROR(TRIM(INDEX('Pegar docentes'!$A$1:$BZ$1001,260,F$2)&amp;""),""))</f>
        <v/>
      </c>
      <c r="G261">
        <f>IF(G$2=0,"",IFERROR(TRIM(INDEX('Pegar docentes'!$A$1:$BZ$1001,260,G$2)&amp;""),""))</f>
        <v/>
      </c>
      <c r="H261">
        <f>IF(H$2=0,"",IFERROR(TRIM(INDEX('Pegar docentes'!$A$1:$BZ$1001,260,H$2)&amp;""),""))</f>
        <v/>
      </c>
      <c r="I261">
        <f>IF(I$2=0,"",IFERROR(TRIM(INDEX('Pegar docentes'!$A$1:$BZ$1001,260,I$2)&amp;""),""))</f>
        <v/>
      </c>
      <c r="J261">
        <f>IF(J$2=0,"",IFERROR(TRIM(INDEX('Pegar docentes'!$A$1:$BZ$1001,260,J$2)&amp;""),""))</f>
        <v/>
      </c>
      <c r="K261">
        <f>IF(K$2=0,"",IFERROR(TRIM(INDEX('Pegar docentes'!$A$1:$BZ$1001,260,K$2)&amp;""),""))</f>
        <v/>
      </c>
      <c r="L261">
        <f>IF(L$2=0,"",IFERROR(TRIM(INDEX('Pegar docentes'!$A$1:$BZ$1001,260,L$2)&amp;""),""))</f>
        <v/>
      </c>
      <c r="M261">
        <f>IF(M$2=0,"",IFERROR(TRIM(INDEX('Pegar docentes'!$A$1:$BZ$1001,260,M$2)&amp;""),""))</f>
        <v/>
      </c>
      <c r="N261">
        <f>IF(N$2=0,"",IFERROR(TRIM(INDEX('Pegar docentes'!$A$1:$BZ$1001,260,N$2)&amp;""),""))</f>
        <v/>
      </c>
      <c r="O261">
        <f>IF(O$2=0,"",IFERROR(TRIM(INDEX('Pegar docentes'!$A$1:$BZ$1001,260,O$2)&amp;""),""))</f>
        <v/>
      </c>
      <c r="P261">
        <f>IF(P$2=0,"",IFERROR(TRIM(INDEX('Pegar docentes'!$A$1:$BZ$1001,260,P$2)&amp;""),""))</f>
        <v/>
      </c>
      <c r="Q261" s="25">
        <f>IF(OR(D261&lt;&gt;"",H261&lt;&gt;""),1,"")</f>
        <v/>
      </c>
      <c r="R261" s="25">
        <f>IF(Q261=1,IF(ISNUMBER(FIND("#"&amp;MID(D261,1,1)&amp;"#","#0#1#2#3#4#5#6#7#8#9#")),IF(ISNUMBER(FIND("#"&amp;MID(D261,2,1)&amp;"#","#0#1#2#3#4#5#6#7#8#9#")),IF(AND(VALUE(LEFT(D261,2))&gt;=1,VALUE(LEFT(D261,2))&lt;=5),VALUE(LEFT(D261,2)),""),IF(AND(VALUE(LEFT(D261,1))&gt;=1,VALUE(LEFT(D261,1))&lt;=5),VALUE(LEFT(D261,1)),"")),""),"")</f>
        <v/>
      </c>
      <c r="S261" s="25">
        <f>IF(AND(Q261=1,E261&lt;&gt;""),SUBSTITUTE(SUBSTITUTE(SUBSTITUTE(SUBSTITUTE(SUBSTITUTE(SUBSTITUTE(SUBSTITUTE(SUBSTITUTE(SUBSTITUTE(SUBSTITUTE(SUBSTITUTE(SUBSTITUTE(LOWER(TRIM(E261)),"á","a"),"é","e"),"í","i"),"ó","o"),"ú","u"),"ü","u"),"ñ","n"),"à","a"),"è","e"),"ì","i"),"ò","o"),"ù","u"),"")</f>
        <v/>
      </c>
      <c r="T261" s="25">
        <f>IF(AND(Q261=1,G261&lt;&gt;""),SUBSTITUTE(SUBSTITUTE(SUBSTITUTE(SUBSTITUTE(SUBSTITUTE(SUBSTITUTE(SUBSTITUTE(SUBSTITUTE(SUBSTITUTE(SUBSTITUTE(SUBSTITUTE(SUBSTITUTE(LOWER(TRIM(G261)),"á","a"),"é","e"),"í","i"),"ó","o"),"ú","u"),"ü","u"),"ñ","n"),"à","a"),"è","e"),"ì","i"),"ò","o"),"ù","u"),"")</f>
        <v/>
      </c>
      <c r="U261" s="25">
        <f>IF(AND(Q261=1,H261&lt;&gt;""),SUBSTITUTE(SUBSTITUTE(SUBSTITUTE(SUBSTITUTE(SUBSTITUTE(SUBSTITUTE(SUBSTITUTE(SUBSTITUTE(SUBSTITUTE(SUBSTITUTE(SUBSTITUTE(SUBSTITUTE(LOWER(TRIM(H261)),"á","a"),"é","e"),"í","i"),"ó","o"),"ú","u"),"ü","u"),"ñ","n"),"à","a"),"è","e"),"ì","i"),"ò","o"),"ù","u"),"")</f>
        <v/>
      </c>
      <c r="V261" s="25">
        <f>IF(AND(Q261=1,L261&lt;&gt;""),SUBSTITUTE(SUBSTITUTE(SUBSTITUTE(SUBSTITUTE(SUBSTITUTE(SUBSTITUTE(SUBSTITUTE(SUBSTITUTE(SUBSTITUTE(SUBSTITUTE(SUBSTITUTE(SUBSTITUTE(LOWER(TRIM(L261)),"á","a"),"é","e"),"í","i"),"ó","o"),"ú","u"),"ü","u"),"ñ","n"),"à","a"),"è","e"),"ì","i"),"ò","o"),"ù","u"),"")</f>
        <v/>
      </c>
      <c r="W261" s="25">
        <f>IF(AND(Q261=1,I261&lt;&gt;""),SUBSTITUTE(SUBSTITUTE(SUBSTITUTE(SUBSTITUTE(SUBSTITUTE(SUBSTITUTE(SUBSTITUTE(SUBSTITUTE(SUBSTITUTE(SUBSTITUTE(SUBSTITUTE(SUBSTITUTE(LOWER(TRIM(I261)),"á","a"),"é","e"),"í","i"),"ó","o"),"ú","u"),"ü","u"),"ñ","n"),"à","a"),"è","e"),"ì","i"),"ò","o"),"ù","u"),"")</f>
        <v/>
      </c>
      <c r="X261" s="25">
        <f>IF(U261="","",IF(OR(U261="si, en la proxima tarea",U261="si, con cambios"),1,0))</f>
        <v/>
      </c>
      <c r="Y261" s="25">
        <f>IF(AND(Q261=1,A261&lt;&gt;""),IF(IFERROR(COUNTIFS(A$3:A261,"="&amp;SUBSTITUTE(SUBSTITUTE(SUBSTITUTE(A261,"~","~~"),"*","~*"),"?","~?"),Q$3:Q261,1),0)=1,MAX(Y$2:Y260)+1,""),"")</f>
        <v/>
      </c>
      <c r="Z261" s="25">
        <f>IF(Y261="","",COUNTIFS($A$3:$A$1002,"="&amp;SUBSTITUTE(SUBSTITUTE(SUBSTITUTE(A261,"~","~~"),"*","~*"),"?","~?"),$Q$3:$Q$1002,1)*10000-Y261)</f>
        <v/>
      </c>
    </row>
    <row r="262">
      <c r="A262">
        <f>IF(A$2=0,"",IFERROR(TRIM(INDEX('Pegar docentes'!$A$1:$BZ$1001,261,A$2)&amp;""),""))</f>
        <v/>
      </c>
      <c r="B262">
        <f>IF(B$2=0,"",IFERROR(TRIM(INDEX('Pegar docentes'!$A$1:$BZ$1001,261,B$2)&amp;""),""))</f>
        <v/>
      </c>
      <c r="C262">
        <f>IF(C$2=0,"",IFERROR(TRIM(INDEX('Pegar docentes'!$A$1:$BZ$1001,261,C$2)&amp;""),""))</f>
        <v/>
      </c>
      <c r="D262">
        <f>IF(D$2=0,"",IFERROR(TRIM(INDEX('Pegar docentes'!$A$1:$BZ$1001,261,D$2)&amp;""),""))</f>
        <v/>
      </c>
      <c r="E262">
        <f>IF(E$2=0,"",IFERROR(TRIM(INDEX('Pegar docentes'!$A$1:$BZ$1001,261,E$2)&amp;""),""))</f>
        <v/>
      </c>
      <c r="F262">
        <f>IF(F$2=0,"",IFERROR(TRIM(INDEX('Pegar docentes'!$A$1:$BZ$1001,261,F$2)&amp;""),""))</f>
        <v/>
      </c>
      <c r="G262">
        <f>IF(G$2=0,"",IFERROR(TRIM(INDEX('Pegar docentes'!$A$1:$BZ$1001,261,G$2)&amp;""),""))</f>
        <v/>
      </c>
      <c r="H262">
        <f>IF(H$2=0,"",IFERROR(TRIM(INDEX('Pegar docentes'!$A$1:$BZ$1001,261,H$2)&amp;""),""))</f>
        <v/>
      </c>
      <c r="I262">
        <f>IF(I$2=0,"",IFERROR(TRIM(INDEX('Pegar docentes'!$A$1:$BZ$1001,261,I$2)&amp;""),""))</f>
        <v/>
      </c>
      <c r="J262">
        <f>IF(J$2=0,"",IFERROR(TRIM(INDEX('Pegar docentes'!$A$1:$BZ$1001,261,J$2)&amp;""),""))</f>
        <v/>
      </c>
      <c r="K262">
        <f>IF(K$2=0,"",IFERROR(TRIM(INDEX('Pegar docentes'!$A$1:$BZ$1001,261,K$2)&amp;""),""))</f>
        <v/>
      </c>
      <c r="L262">
        <f>IF(L$2=0,"",IFERROR(TRIM(INDEX('Pegar docentes'!$A$1:$BZ$1001,261,L$2)&amp;""),""))</f>
        <v/>
      </c>
      <c r="M262">
        <f>IF(M$2=0,"",IFERROR(TRIM(INDEX('Pegar docentes'!$A$1:$BZ$1001,261,M$2)&amp;""),""))</f>
        <v/>
      </c>
      <c r="N262">
        <f>IF(N$2=0,"",IFERROR(TRIM(INDEX('Pegar docentes'!$A$1:$BZ$1001,261,N$2)&amp;""),""))</f>
        <v/>
      </c>
      <c r="O262">
        <f>IF(O$2=0,"",IFERROR(TRIM(INDEX('Pegar docentes'!$A$1:$BZ$1001,261,O$2)&amp;""),""))</f>
        <v/>
      </c>
      <c r="P262">
        <f>IF(P$2=0,"",IFERROR(TRIM(INDEX('Pegar docentes'!$A$1:$BZ$1001,261,P$2)&amp;""),""))</f>
        <v/>
      </c>
      <c r="Q262" s="25">
        <f>IF(OR(D262&lt;&gt;"",H262&lt;&gt;""),1,"")</f>
        <v/>
      </c>
      <c r="R262" s="25">
        <f>IF(Q262=1,IF(ISNUMBER(FIND("#"&amp;MID(D262,1,1)&amp;"#","#0#1#2#3#4#5#6#7#8#9#")),IF(ISNUMBER(FIND("#"&amp;MID(D262,2,1)&amp;"#","#0#1#2#3#4#5#6#7#8#9#")),IF(AND(VALUE(LEFT(D262,2))&gt;=1,VALUE(LEFT(D262,2))&lt;=5),VALUE(LEFT(D262,2)),""),IF(AND(VALUE(LEFT(D262,1))&gt;=1,VALUE(LEFT(D262,1))&lt;=5),VALUE(LEFT(D262,1)),"")),""),"")</f>
        <v/>
      </c>
      <c r="S262" s="25">
        <f>IF(AND(Q262=1,E262&lt;&gt;""),SUBSTITUTE(SUBSTITUTE(SUBSTITUTE(SUBSTITUTE(SUBSTITUTE(SUBSTITUTE(SUBSTITUTE(SUBSTITUTE(SUBSTITUTE(SUBSTITUTE(SUBSTITUTE(SUBSTITUTE(LOWER(TRIM(E262)),"á","a"),"é","e"),"í","i"),"ó","o"),"ú","u"),"ü","u"),"ñ","n"),"à","a"),"è","e"),"ì","i"),"ò","o"),"ù","u"),"")</f>
        <v/>
      </c>
      <c r="T262" s="25">
        <f>IF(AND(Q262=1,G262&lt;&gt;""),SUBSTITUTE(SUBSTITUTE(SUBSTITUTE(SUBSTITUTE(SUBSTITUTE(SUBSTITUTE(SUBSTITUTE(SUBSTITUTE(SUBSTITUTE(SUBSTITUTE(SUBSTITUTE(SUBSTITUTE(LOWER(TRIM(G262)),"á","a"),"é","e"),"í","i"),"ó","o"),"ú","u"),"ü","u"),"ñ","n"),"à","a"),"è","e"),"ì","i"),"ò","o"),"ù","u"),"")</f>
        <v/>
      </c>
      <c r="U262" s="25">
        <f>IF(AND(Q262=1,H262&lt;&gt;""),SUBSTITUTE(SUBSTITUTE(SUBSTITUTE(SUBSTITUTE(SUBSTITUTE(SUBSTITUTE(SUBSTITUTE(SUBSTITUTE(SUBSTITUTE(SUBSTITUTE(SUBSTITUTE(SUBSTITUTE(LOWER(TRIM(H262)),"á","a"),"é","e"),"í","i"),"ó","o"),"ú","u"),"ü","u"),"ñ","n"),"à","a"),"è","e"),"ì","i"),"ò","o"),"ù","u"),"")</f>
        <v/>
      </c>
      <c r="V262" s="25">
        <f>IF(AND(Q262=1,L262&lt;&gt;""),SUBSTITUTE(SUBSTITUTE(SUBSTITUTE(SUBSTITUTE(SUBSTITUTE(SUBSTITUTE(SUBSTITUTE(SUBSTITUTE(SUBSTITUTE(SUBSTITUTE(SUBSTITUTE(SUBSTITUTE(LOWER(TRIM(L262)),"á","a"),"é","e"),"í","i"),"ó","o"),"ú","u"),"ü","u"),"ñ","n"),"à","a"),"è","e"),"ì","i"),"ò","o"),"ù","u"),"")</f>
        <v/>
      </c>
      <c r="W262" s="25">
        <f>IF(AND(Q262=1,I262&lt;&gt;""),SUBSTITUTE(SUBSTITUTE(SUBSTITUTE(SUBSTITUTE(SUBSTITUTE(SUBSTITUTE(SUBSTITUTE(SUBSTITUTE(SUBSTITUTE(SUBSTITUTE(SUBSTITUTE(SUBSTITUTE(LOWER(TRIM(I262)),"á","a"),"é","e"),"í","i"),"ó","o"),"ú","u"),"ü","u"),"ñ","n"),"à","a"),"è","e"),"ì","i"),"ò","o"),"ù","u"),"")</f>
        <v/>
      </c>
      <c r="X262" s="25">
        <f>IF(U262="","",IF(OR(U262="si, en la proxima tarea",U262="si, con cambios"),1,0))</f>
        <v/>
      </c>
      <c r="Y262" s="25">
        <f>IF(AND(Q262=1,A262&lt;&gt;""),IF(IFERROR(COUNTIFS(A$3:A262,"="&amp;SUBSTITUTE(SUBSTITUTE(SUBSTITUTE(A262,"~","~~"),"*","~*"),"?","~?"),Q$3:Q262,1),0)=1,MAX(Y$2:Y261)+1,""),"")</f>
        <v/>
      </c>
      <c r="Z262" s="25">
        <f>IF(Y262="","",COUNTIFS($A$3:$A$1002,"="&amp;SUBSTITUTE(SUBSTITUTE(SUBSTITUTE(A262,"~","~~"),"*","~*"),"?","~?"),$Q$3:$Q$1002,1)*10000-Y262)</f>
        <v/>
      </c>
    </row>
    <row r="263">
      <c r="A263">
        <f>IF(A$2=0,"",IFERROR(TRIM(INDEX('Pegar docentes'!$A$1:$BZ$1001,262,A$2)&amp;""),""))</f>
        <v/>
      </c>
      <c r="B263">
        <f>IF(B$2=0,"",IFERROR(TRIM(INDEX('Pegar docentes'!$A$1:$BZ$1001,262,B$2)&amp;""),""))</f>
        <v/>
      </c>
      <c r="C263">
        <f>IF(C$2=0,"",IFERROR(TRIM(INDEX('Pegar docentes'!$A$1:$BZ$1001,262,C$2)&amp;""),""))</f>
        <v/>
      </c>
      <c r="D263">
        <f>IF(D$2=0,"",IFERROR(TRIM(INDEX('Pegar docentes'!$A$1:$BZ$1001,262,D$2)&amp;""),""))</f>
        <v/>
      </c>
      <c r="E263">
        <f>IF(E$2=0,"",IFERROR(TRIM(INDEX('Pegar docentes'!$A$1:$BZ$1001,262,E$2)&amp;""),""))</f>
        <v/>
      </c>
      <c r="F263">
        <f>IF(F$2=0,"",IFERROR(TRIM(INDEX('Pegar docentes'!$A$1:$BZ$1001,262,F$2)&amp;""),""))</f>
        <v/>
      </c>
      <c r="G263">
        <f>IF(G$2=0,"",IFERROR(TRIM(INDEX('Pegar docentes'!$A$1:$BZ$1001,262,G$2)&amp;""),""))</f>
        <v/>
      </c>
      <c r="H263">
        <f>IF(H$2=0,"",IFERROR(TRIM(INDEX('Pegar docentes'!$A$1:$BZ$1001,262,H$2)&amp;""),""))</f>
        <v/>
      </c>
      <c r="I263">
        <f>IF(I$2=0,"",IFERROR(TRIM(INDEX('Pegar docentes'!$A$1:$BZ$1001,262,I$2)&amp;""),""))</f>
        <v/>
      </c>
      <c r="J263">
        <f>IF(J$2=0,"",IFERROR(TRIM(INDEX('Pegar docentes'!$A$1:$BZ$1001,262,J$2)&amp;""),""))</f>
        <v/>
      </c>
      <c r="K263">
        <f>IF(K$2=0,"",IFERROR(TRIM(INDEX('Pegar docentes'!$A$1:$BZ$1001,262,K$2)&amp;""),""))</f>
        <v/>
      </c>
      <c r="L263">
        <f>IF(L$2=0,"",IFERROR(TRIM(INDEX('Pegar docentes'!$A$1:$BZ$1001,262,L$2)&amp;""),""))</f>
        <v/>
      </c>
      <c r="M263">
        <f>IF(M$2=0,"",IFERROR(TRIM(INDEX('Pegar docentes'!$A$1:$BZ$1001,262,M$2)&amp;""),""))</f>
        <v/>
      </c>
      <c r="N263">
        <f>IF(N$2=0,"",IFERROR(TRIM(INDEX('Pegar docentes'!$A$1:$BZ$1001,262,N$2)&amp;""),""))</f>
        <v/>
      </c>
      <c r="O263">
        <f>IF(O$2=0,"",IFERROR(TRIM(INDEX('Pegar docentes'!$A$1:$BZ$1001,262,O$2)&amp;""),""))</f>
        <v/>
      </c>
      <c r="P263">
        <f>IF(P$2=0,"",IFERROR(TRIM(INDEX('Pegar docentes'!$A$1:$BZ$1001,262,P$2)&amp;""),""))</f>
        <v/>
      </c>
      <c r="Q263" s="25">
        <f>IF(OR(D263&lt;&gt;"",H263&lt;&gt;""),1,"")</f>
        <v/>
      </c>
      <c r="R263" s="25">
        <f>IF(Q263=1,IF(ISNUMBER(FIND("#"&amp;MID(D263,1,1)&amp;"#","#0#1#2#3#4#5#6#7#8#9#")),IF(ISNUMBER(FIND("#"&amp;MID(D263,2,1)&amp;"#","#0#1#2#3#4#5#6#7#8#9#")),IF(AND(VALUE(LEFT(D263,2))&gt;=1,VALUE(LEFT(D263,2))&lt;=5),VALUE(LEFT(D263,2)),""),IF(AND(VALUE(LEFT(D263,1))&gt;=1,VALUE(LEFT(D263,1))&lt;=5),VALUE(LEFT(D263,1)),"")),""),"")</f>
        <v/>
      </c>
      <c r="S263" s="25">
        <f>IF(AND(Q263=1,E263&lt;&gt;""),SUBSTITUTE(SUBSTITUTE(SUBSTITUTE(SUBSTITUTE(SUBSTITUTE(SUBSTITUTE(SUBSTITUTE(SUBSTITUTE(SUBSTITUTE(SUBSTITUTE(SUBSTITUTE(SUBSTITUTE(LOWER(TRIM(E263)),"á","a"),"é","e"),"í","i"),"ó","o"),"ú","u"),"ü","u"),"ñ","n"),"à","a"),"è","e"),"ì","i"),"ò","o"),"ù","u"),"")</f>
        <v/>
      </c>
      <c r="T263" s="25">
        <f>IF(AND(Q263=1,G263&lt;&gt;""),SUBSTITUTE(SUBSTITUTE(SUBSTITUTE(SUBSTITUTE(SUBSTITUTE(SUBSTITUTE(SUBSTITUTE(SUBSTITUTE(SUBSTITUTE(SUBSTITUTE(SUBSTITUTE(SUBSTITUTE(LOWER(TRIM(G263)),"á","a"),"é","e"),"í","i"),"ó","o"),"ú","u"),"ü","u"),"ñ","n"),"à","a"),"è","e"),"ì","i"),"ò","o"),"ù","u"),"")</f>
        <v/>
      </c>
      <c r="U263" s="25">
        <f>IF(AND(Q263=1,H263&lt;&gt;""),SUBSTITUTE(SUBSTITUTE(SUBSTITUTE(SUBSTITUTE(SUBSTITUTE(SUBSTITUTE(SUBSTITUTE(SUBSTITUTE(SUBSTITUTE(SUBSTITUTE(SUBSTITUTE(SUBSTITUTE(LOWER(TRIM(H263)),"á","a"),"é","e"),"í","i"),"ó","o"),"ú","u"),"ü","u"),"ñ","n"),"à","a"),"è","e"),"ì","i"),"ò","o"),"ù","u"),"")</f>
        <v/>
      </c>
      <c r="V263" s="25">
        <f>IF(AND(Q263=1,L263&lt;&gt;""),SUBSTITUTE(SUBSTITUTE(SUBSTITUTE(SUBSTITUTE(SUBSTITUTE(SUBSTITUTE(SUBSTITUTE(SUBSTITUTE(SUBSTITUTE(SUBSTITUTE(SUBSTITUTE(SUBSTITUTE(LOWER(TRIM(L263)),"á","a"),"é","e"),"í","i"),"ó","o"),"ú","u"),"ü","u"),"ñ","n"),"à","a"),"è","e"),"ì","i"),"ò","o"),"ù","u"),"")</f>
        <v/>
      </c>
      <c r="W263" s="25">
        <f>IF(AND(Q263=1,I263&lt;&gt;""),SUBSTITUTE(SUBSTITUTE(SUBSTITUTE(SUBSTITUTE(SUBSTITUTE(SUBSTITUTE(SUBSTITUTE(SUBSTITUTE(SUBSTITUTE(SUBSTITUTE(SUBSTITUTE(SUBSTITUTE(LOWER(TRIM(I263)),"á","a"),"é","e"),"í","i"),"ó","o"),"ú","u"),"ü","u"),"ñ","n"),"à","a"),"è","e"),"ì","i"),"ò","o"),"ù","u"),"")</f>
        <v/>
      </c>
      <c r="X263" s="25">
        <f>IF(U263="","",IF(OR(U263="si, en la proxima tarea",U263="si, con cambios"),1,0))</f>
        <v/>
      </c>
      <c r="Y263" s="25">
        <f>IF(AND(Q263=1,A263&lt;&gt;""),IF(IFERROR(COUNTIFS(A$3:A263,"="&amp;SUBSTITUTE(SUBSTITUTE(SUBSTITUTE(A263,"~","~~"),"*","~*"),"?","~?"),Q$3:Q263,1),0)=1,MAX(Y$2:Y262)+1,""),"")</f>
        <v/>
      </c>
      <c r="Z263" s="25">
        <f>IF(Y263="","",COUNTIFS($A$3:$A$1002,"="&amp;SUBSTITUTE(SUBSTITUTE(SUBSTITUTE(A263,"~","~~"),"*","~*"),"?","~?"),$Q$3:$Q$1002,1)*10000-Y263)</f>
        <v/>
      </c>
    </row>
    <row r="264">
      <c r="A264">
        <f>IF(A$2=0,"",IFERROR(TRIM(INDEX('Pegar docentes'!$A$1:$BZ$1001,263,A$2)&amp;""),""))</f>
        <v/>
      </c>
      <c r="B264">
        <f>IF(B$2=0,"",IFERROR(TRIM(INDEX('Pegar docentes'!$A$1:$BZ$1001,263,B$2)&amp;""),""))</f>
        <v/>
      </c>
      <c r="C264">
        <f>IF(C$2=0,"",IFERROR(TRIM(INDEX('Pegar docentes'!$A$1:$BZ$1001,263,C$2)&amp;""),""))</f>
        <v/>
      </c>
      <c r="D264">
        <f>IF(D$2=0,"",IFERROR(TRIM(INDEX('Pegar docentes'!$A$1:$BZ$1001,263,D$2)&amp;""),""))</f>
        <v/>
      </c>
      <c r="E264">
        <f>IF(E$2=0,"",IFERROR(TRIM(INDEX('Pegar docentes'!$A$1:$BZ$1001,263,E$2)&amp;""),""))</f>
        <v/>
      </c>
      <c r="F264">
        <f>IF(F$2=0,"",IFERROR(TRIM(INDEX('Pegar docentes'!$A$1:$BZ$1001,263,F$2)&amp;""),""))</f>
        <v/>
      </c>
      <c r="G264">
        <f>IF(G$2=0,"",IFERROR(TRIM(INDEX('Pegar docentes'!$A$1:$BZ$1001,263,G$2)&amp;""),""))</f>
        <v/>
      </c>
      <c r="H264">
        <f>IF(H$2=0,"",IFERROR(TRIM(INDEX('Pegar docentes'!$A$1:$BZ$1001,263,H$2)&amp;""),""))</f>
        <v/>
      </c>
      <c r="I264">
        <f>IF(I$2=0,"",IFERROR(TRIM(INDEX('Pegar docentes'!$A$1:$BZ$1001,263,I$2)&amp;""),""))</f>
        <v/>
      </c>
      <c r="J264">
        <f>IF(J$2=0,"",IFERROR(TRIM(INDEX('Pegar docentes'!$A$1:$BZ$1001,263,J$2)&amp;""),""))</f>
        <v/>
      </c>
      <c r="K264">
        <f>IF(K$2=0,"",IFERROR(TRIM(INDEX('Pegar docentes'!$A$1:$BZ$1001,263,K$2)&amp;""),""))</f>
        <v/>
      </c>
      <c r="L264">
        <f>IF(L$2=0,"",IFERROR(TRIM(INDEX('Pegar docentes'!$A$1:$BZ$1001,263,L$2)&amp;""),""))</f>
        <v/>
      </c>
      <c r="M264">
        <f>IF(M$2=0,"",IFERROR(TRIM(INDEX('Pegar docentes'!$A$1:$BZ$1001,263,M$2)&amp;""),""))</f>
        <v/>
      </c>
      <c r="N264">
        <f>IF(N$2=0,"",IFERROR(TRIM(INDEX('Pegar docentes'!$A$1:$BZ$1001,263,N$2)&amp;""),""))</f>
        <v/>
      </c>
      <c r="O264">
        <f>IF(O$2=0,"",IFERROR(TRIM(INDEX('Pegar docentes'!$A$1:$BZ$1001,263,O$2)&amp;""),""))</f>
        <v/>
      </c>
      <c r="P264">
        <f>IF(P$2=0,"",IFERROR(TRIM(INDEX('Pegar docentes'!$A$1:$BZ$1001,263,P$2)&amp;""),""))</f>
        <v/>
      </c>
      <c r="Q264" s="25">
        <f>IF(OR(D264&lt;&gt;"",H264&lt;&gt;""),1,"")</f>
        <v/>
      </c>
      <c r="R264" s="25">
        <f>IF(Q264=1,IF(ISNUMBER(FIND("#"&amp;MID(D264,1,1)&amp;"#","#0#1#2#3#4#5#6#7#8#9#")),IF(ISNUMBER(FIND("#"&amp;MID(D264,2,1)&amp;"#","#0#1#2#3#4#5#6#7#8#9#")),IF(AND(VALUE(LEFT(D264,2))&gt;=1,VALUE(LEFT(D264,2))&lt;=5),VALUE(LEFT(D264,2)),""),IF(AND(VALUE(LEFT(D264,1))&gt;=1,VALUE(LEFT(D264,1))&lt;=5),VALUE(LEFT(D264,1)),"")),""),"")</f>
        <v/>
      </c>
      <c r="S264" s="25">
        <f>IF(AND(Q264=1,E264&lt;&gt;""),SUBSTITUTE(SUBSTITUTE(SUBSTITUTE(SUBSTITUTE(SUBSTITUTE(SUBSTITUTE(SUBSTITUTE(SUBSTITUTE(SUBSTITUTE(SUBSTITUTE(SUBSTITUTE(SUBSTITUTE(LOWER(TRIM(E264)),"á","a"),"é","e"),"í","i"),"ó","o"),"ú","u"),"ü","u"),"ñ","n"),"à","a"),"è","e"),"ì","i"),"ò","o"),"ù","u"),"")</f>
        <v/>
      </c>
      <c r="T264" s="25">
        <f>IF(AND(Q264=1,G264&lt;&gt;""),SUBSTITUTE(SUBSTITUTE(SUBSTITUTE(SUBSTITUTE(SUBSTITUTE(SUBSTITUTE(SUBSTITUTE(SUBSTITUTE(SUBSTITUTE(SUBSTITUTE(SUBSTITUTE(SUBSTITUTE(LOWER(TRIM(G264)),"á","a"),"é","e"),"í","i"),"ó","o"),"ú","u"),"ü","u"),"ñ","n"),"à","a"),"è","e"),"ì","i"),"ò","o"),"ù","u"),"")</f>
        <v/>
      </c>
      <c r="U264" s="25">
        <f>IF(AND(Q264=1,H264&lt;&gt;""),SUBSTITUTE(SUBSTITUTE(SUBSTITUTE(SUBSTITUTE(SUBSTITUTE(SUBSTITUTE(SUBSTITUTE(SUBSTITUTE(SUBSTITUTE(SUBSTITUTE(SUBSTITUTE(SUBSTITUTE(LOWER(TRIM(H264)),"á","a"),"é","e"),"í","i"),"ó","o"),"ú","u"),"ü","u"),"ñ","n"),"à","a"),"è","e"),"ì","i"),"ò","o"),"ù","u"),"")</f>
        <v/>
      </c>
      <c r="V264" s="25">
        <f>IF(AND(Q264=1,L264&lt;&gt;""),SUBSTITUTE(SUBSTITUTE(SUBSTITUTE(SUBSTITUTE(SUBSTITUTE(SUBSTITUTE(SUBSTITUTE(SUBSTITUTE(SUBSTITUTE(SUBSTITUTE(SUBSTITUTE(SUBSTITUTE(LOWER(TRIM(L264)),"á","a"),"é","e"),"í","i"),"ó","o"),"ú","u"),"ü","u"),"ñ","n"),"à","a"),"è","e"),"ì","i"),"ò","o"),"ù","u"),"")</f>
        <v/>
      </c>
      <c r="W264" s="25">
        <f>IF(AND(Q264=1,I264&lt;&gt;""),SUBSTITUTE(SUBSTITUTE(SUBSTITUTE(SUBSTITUTE(SUBSTITUTE(SUBSTITUTE(SUBSTITUTE(SUBSTITUTE(SUBSTITUTE(SUBSTITUTE(SUBSTITUTE(SUBSTITUTE(LOWER(TRIM(I264)),"á","a"),"é","e"),"í","i"),"ó","o"),"ú","u"),"ü","u"),"ñ","n"),"à","a"),"è","e"),"ì","i"),"ò","o"),"ù","u"),"")</f>
        <v/>
      </c>
      <c r="X264" s="25">
        <f>IF(U264="","",IF(OR(U264="si, en la proxima tarea",U264="si, con cambios"),1,0))</f>
        <v/>
      </c>
      <c r="Y264" s="25">
        <f>IF(AND(Q264=1,A264&lt;&gt;""),IF(IFERROR(COUNTIFS(A$3:A264,"="&amp;SUBSTITUTE(SUBSTITUTE(SUBSTITUTE(A264,"~","~~"),"*","~*"),"?","~?"),Q$3:Q264,1),0)=1,MAX(Y$2:Y263)+1,""),"")</f>
        <v/>
      </c>
      <c r="Z264" s="25">
        <f>IF(Y264="","",COUNTIFS($A$3:$A$1002,"="&amp;SUBSTITUTE(SUBSTITUTE(SUBSTITUTE(A264,"~","~~"),"*","~*"),"?","~?"),$Q$3:$Q$1002,1)*10000-Y264)</f>
        <v/>
      </c>
    </row>
    <row r="265">
      <c r="A265">
        <f>IF(A$2=0,"",IFERROR(TRIM(INDEX('Pegar docentes'!$A$1:$BZ$1001,264,A$2)&amp;""),""))</f>
        <v/>
      </c>
      <c r="B265">
        <f>IF(B$2=0,"",IFERROR(TRIM(INDEX('Pegar docentes'!$A$1:$BZ$1001,264,B$2)&amp;""),""))</f>
        <v/>
      </c>
      <c r="C265">
        <f>IF(C$2=0,"",IFERROR(TRIM(INDEX('Pegar docentes'!$A$1:$BZ$1001,264,C$2)&amp;""),""))</f>
        <v/>
      </c>
      <c r="D265">
        <f>IF(D$2=0,"",IFERROR(TRIM(INDEX('Pegar docentes'!$A$1:$BZ$1001,264,D$2)&amp;""),""))</f>
        <v/>
      </c>
      <c r="E265">
        <f>IF(E$2=0,"",IFERROR(TRIM(INDEX('Pegar docentes'!$A$1:$BZ$1001,264,E$2)&amp;""),""))</f>
        <v/>
      </c>
      <c r="F265">
        <f>IF(F$2=0,"",IFERROR(TRIM(INDEX('Pegar docentes'!$A$1:$BZ$1001,264,F$2)&amp;""),""))</f>
        <v/>
      </c>
      <c r="G265">
        <f>IF(G$2=0,"",IFERROR(TRIM(INDEX('Pegar docentes'!$A$1:$BZ$1001,264,G$2)&amp;""),""))</f>
        <v/>
      </c>
      <c r="H265">
        <f>IF(H$2=0,"",IFERROR(TRIM(INDEX('Pegar docentes'!$A$1:$BZ$1001,264,H$2)&amp;""),""))</f>
        <v/>
      </c>
      <c r="I265">
        <f>IF(I$2=0,"",IFERROR(TRIM(INDEX('Pegar docentes'!$A$1:$BZ$1001,264,I$2)&amp;""),""))</f>
        <v/>
      </c>
      <c r="J265">
        <f>IF(J$2=0,"",IFERROR(TRIM(INDEX('Pegar docentes'!$A$1:$BZ$1001,264,J$2)&amp;""),""))</f>
        <v/>
      </c>
      <c r="K265">
        <f>IF(K$2=0,"",IFERROR(TRIM(INDEX('Pegar docentes'!$A$1:$BZ$1001,264,K$2)&amp;""),""))</f>
        <v/>
      </c>
      <c r="L265">
        <f>IF(L$2=0,"",IFERROR(TRIM(INDEX('Pegar docentes'!$A$1:$BZ$1001,264,L$2)&amp;""),""))</f>
        <v/>
      </c>
      <c r="M265">
        <f>IF(M$2=0,"",IFERROR(TRIM(INDEX('Pegar docentes'!$A$1:$BZ$1001,264,M$2)&amp;""),""))</f>
        <v/>
      </c>
      <c r="N265">
        <f>IF(N$2=0,"",IFERROR(TRIM(INDEX('Pegar docentes'!$A$1:$BZ$1001,264,N$2)&amp;""),""))</f>
        <v/>
      </c>
      <c r="O265">
        <f>IF(O$2=0,"",IFERROR(TRIM(INDEX('Pegar docentes'!$A$1:$BZ$1001,264,O$2)&amp;""),""))</f>
        <v/>
      </c>
      <c r="P265">
        <f>IF(P$2=0,"",IFERROR(TRIM(INDEX('Pegar docentes'!$A$1:$BZ$1001,264,P$2)&amp;""),""))</f>
        <v/>
      </c>
      <c r="Q265" s="25">
        <f>IF(OR(D265&lt;&gt;"",H265&lt;&gt;""),1,"")</f>
        <v/>
      </c>
      <c r="R265" s="25">
        <f>IF(Q265=1,IF(ISNUMBER(FIND("#"&amp;MID(D265,1,1)&amp;"#","#0#1#2#3#4#5#6#7#8#9#")),IF(ISNUMBER(FIND("#"&amp;MID(D265,2,1)&amp;"#","#0#1#2#3#4#5#6#7#8#9#")),IF(AND(VALUE(LEFT(D265,2))&gt;=1,VALUE(LEFT(D265,2))&lt;=5),VALUE(LEFT(D265,2)),""),IF(AND(VALUE(LEFT(D265,1))&gt;=1,VALUE(LEFT(D265,1))&lt;=5),VALUE(LEFT(D265,1)),"")),""),"")</f>
        <v/>
      </c>
      <c r="S265" s="25">
        <f>IF(AND(Q265=1,E265&lt;&gt;""),SUBSTITUTE(SUBSTITUTE(SUBSTITUTE(SUBSTITUTE(SUBSTITUTE(SUBSTITUTE(SUBSTITUTE(SUBSTITUTE(SUBSTITUTE(SUBSTITUTE(SUBSTITUTE(SUBSTITUTE(LOWER(TRIM(E265)),"á","a"),"é","e"),"í","i"),"ó","o"),"ú","u"),"ü","u"),"ñ","n"),"à","a"),"è","e"),"ì","i"),"ò","o"),"ù","u"),"")</f>
        <v/>
      </c>
      <c r="T265" s="25">
        <f>IF(AND(Q265=1,G265&lt;&gt;""),SUBSTITUTE(SUBSTITUTE(SUBSTITUTE(SUBSTITUTE(SUBSTITUTE(SUBSTITUTE(SUBSTITUTE(SUBSTITUTE(SUBSTITUTE(SUBSTITUTE(SUBSTITUTE(SUBSTITUTE(LOWER(TRIM(G265)),"á","a"),"é","e"),"í","i"),"ó","o"),"ú","u"),"ü","u"),"ñ","n"),"à","a"),"è","e"),"ì","i"),"ò","o"),"ù","u"),"")</f>
        <v/>
      </c>
      <c r="U265" s="25">
        <f>IF(AND(Q265=1,H265&lt;&gt;""),SUBSTITUTE(SUBSTITUTE(SUBSTITUTE(SUBSTITUTE(SUBSTITUTE(SUBSTITUTE(SUBSTITUTE(SUBSTITUTE(SUBSTITUTE(SUBSTITUTE(SUBSTITUTE(SUBSTITUTE(LOWER(TRIM(H265)),"á","a"),"é","e"),"í","i"),"ó","o"),"ú","u"),"ü","u"),"ñ","n"),"à","a"),"è","e"),"ì","i"),"ò","o"),"ù","u"),"")</f>
        <v/>
      </c>
      <c r="V265" s="25">
        <f>IF(AND(Q265=1,L265&lt;&gt;""),SUBSTITUTE(SUBSTITUTE(SUBSTITUTE(SUBSTITUTE(SUBSTITUTE(SUBSTITUTE(SUBSTITUTE(SUBSTITUTE(SUBSTITUTE(SUBSTITUTE(SUBSTITUTE(SUBSTITUTE(LOWER(TRIM(L265)),"á","a"),"é","e"),"í","i"),"ó","o"),"ú","u"),"ü","u"),"ñ","n"),"à","a"),"è","e"),"ì","i"),"ò","o"),"ù","u"),"")</f>
        <v/>
      </c>
      <c r="W265" s="25">
        <f>IF(AND(Q265=1,I265&lt;&gt;""),SUBSTITUTE(SUBSTITUTE(SUBSTITUTE(SUBSTITUTE(SUBSTITUTE(SUBSTITUTE(SUBSTITUTE(SUBSTITUTE(SUBSTITUTE(SUBSTITUTE(SUBSTITUTE(SUBSTITUTE(LOWER(TRIM(I265)),"á","a"),"é","e"),"í","i"),"ó","o"),"ú","u"),"ü","u"),"ñ","n"),"à","a"),"è","e"),"ì","i"),"ò","o"),"ù","u"),"")</f>
        <v/>
      </c>
      <c r="X265" s="25">
        <f>IF(U265="","",IF(OR(U265="si, en la proxima tarea",U265="si, con cambios"),1,0))</f>
        <v/>
      </c>
      <c r="Y265" s="25">
        <f>IF(AND(Q265=1,A265&lt;&gt;""),IF(IFERROR(COUNTIFS(A$3:A265,"="&amp;SUBSTITUTE(SUBSTITUTE(SUBSTITUTE(A265,"~","~~"),"*","~*"),"?","~?"),Q$3:Q265,1),0)=1,MAX(Y$2:Y264)+1,""),"")</f>
        <v/>
      </c>
      <c r="Z265" s="25">
        <f>IF(Y265="","",COUNTIFS($A$3:$A$1002,"="&amp;SUBSTITUTE(SUBSTITUTE(SUBSTITUTE(A265,"~","~~"),"*","~*"),"?","~?"),$Q$3:$Q$1002,1)*10000-Y265)</f>
        <v/>
      </c>
    </row>
    <row r="266">
      <c r="A266">
        <f>IF(A$2=0,"",IFERROR(TRIM(INDEX('Pegar docentes'!$A$1:$BZ$1001,265,A$2)&amp;""),""))</f>
        <v/>
      </c>
      <c r="B266">
        <f>IF(B$2=0,"",IFERROR(TRIM(INDEX('Pegar docentes'!$A$1:$BZ$1001,265,B$2)&amp;""),""))</f>
        <v/>
      </c>
      <c r="C266">
        <f>IF(C$2=0,"",IFERROR(TRIM(INDEX('Pegar docentes'!$A$1:$BZ$1001,265,C$2)&amp;""),""))</f>
        <v/>
      </c>
      <c r="D266">
        <f>IF(D$2=0,"",IFERROR(TRIM(INDEX('Pegar docentes'!$A$1:$BZ$1001,265,D$2)&amp;""),""))</f>
        <v/>
      </c>
      <c r="E266">
        <f>IF(E$2=0,"",IFERROR(TRIM(INDEX('Pegar docentes'!$A$1:$BZ$1001,265,E$2)&amp;""),""))</f>
        <v/>
      </c>
      <c r="F266">
        <f>IF(F$2=0,"",IFERROR(TRIM(INDEX('Pegar docentes'!$A$1:$BZ$1001,265,F$2)&amp;""),""))</f>
        <v/>
      </c>
      <c r="G266">
        <f>IF(G$2=0,"",IFERROR(TRIM(INDEX('Pegar docentes'!$A$1:$BZ$1001,265,G$2)&amp;""),""))</f>
        <v/>
      </c>
      <c r="H266">
        <f>IF(H$2=0,"",IFERROR(TRIM(INDEX('Pegar docentes'!$A$1:$BZ$1001,265,H$2)&amp;""),""))</f>
        <v/>
      </c>
      <c r="I266">
        <f>IF(I$2=0,"",IFERROR(TRIM(INDEX('Pegar docentes'!$A$1:$BZ$1001,265,I$2)&amp;""),""))</f>
        <v/>
      </c>
      <c r="J266">
        <f>IF(J$2=0,"",IFERROR(TRIM(INDEX('Pegar docentes'!$A$1:$BZ$1001,265,J$2)&amp;""),""))</f>
        <v/>
      </c>
      <c r="K266">
        <f>IF(K$2=0,"",IFERROR(TRIM(INDEX('Pegar docentes'!$A$1:$BZ$1001,265,K$2)&amp;""),""))</f>
        <v/>
      </c>
      <c r="L266">
        <f>IF(L$2=0,"",IFERROR(TRIM(INDEX('Pegar docentes'!$A$1:$BZ$1001,265,L$2)&amp;""),""))</f>
        <v/>
      </c>
      <c r="M266">
        <f>IF(M$2=0,"",IFERROR(TRIM(INDEX('Pegar docentes'!$A$1:$BZ$1001,265,M$2)&amp;""),""))</f>
        <v/>
      </c>
      <c r="N266">
        <f>IF(N$2=0,"",IFERROR(TRIM(INDEX('Pegar docentes'!$A$1:$BZ$1001,265,N$2)&amp;""),""))</f>
        <v/>
      </c>
      <c r="O266">
        <f>IF(O$2=0,"",IFERROR(TRIM(INDEX('Pegar docentes'!$A$1:$BZ$1001,265,O$2)&amp;""),""))</f>
        <v/>
      </c>
      <c r="P266">
        <f>IF(P$2=0,"",IFERROR(TRIM(INDEX('Pegar docentes'!$A$1:$BZ$1001,265,P$2)&amp;""),""))</f>
        <v/>
      </c>
      <c r="Q266" s="25">
        <f>IF(OR(D266&lt;&gt;"",H266&lt;&gt;""),1,"")</f>
        <v/>
      </c>
      <c r="R266" s="25">
        <f>IF(Q266=1,IF(ISNUMBER(FIND("#"&amp;MID(D266,1,1)&amp;"#","#0#1#2#3#4#5#6#7#8#9#")),IF(ISNUMBER(FIND("#"&amp;MID(D266,2,1)&amp;"#","#0#1#2#3#4#5#6#7#8#9#")),IF(AND(VALUE(LEFT(D266,2))&gt;=1,VALUE(LEFT(D266,2))&lt;=5),VALUE(LEFT(D266,2)),""),IF(AND(VALUE(LEFT(D266,1))&gt;=1,VALUE(LEFT(D266,1))&lt;=5),VALUE(LEFT(D266,1)),"")),""),"")</f>
        <v/>
      </c>
      <c r="S266" s="25">
        <f>IF(AND(Q266=1,E266&lt;&gt;""),SUBSTITUTE(SUBSTITUTE(SUBSTITUTE(SUBSTITUTE(SUBSTITUTE(SUBSTITUTE(SUBSTITUTE(SUBSTITUTE(SUBSTITUTE(SUBSTITUTE(SUBSTITUTE(SUBSTITUTE(LOWER(TRIM(E266)),"á","a"),"é","e"),"í","i"),"ó","o"),"ú","u"),"ü","u"),"ñ","n"),"à","a"),"è","e"),"ì","i"),"ò","o"),"ù","u"),"")</f>
        <v/>
      </c>
      <c r="T266" s="25">
        <f>IF(AND(Q266=1,G266&lt;&gt;""),SUBSTITUTE(SUBSTITUTE(SUBSTITUTE(SUBSTITUTE(SUBSTITUTE(SUBSTITUTE(SUBSTITUTE(SUBSTITUTE(SUBSTITUTE(SUBSTITUTE(SUBSTITUTE(SUBSTITUTE(LOWER(TRIM(G266)),"á","a"),"é","e"),"í","i"),"ó","o"),"ú","u"),"ü","u"),"ñ","n"),"à","a"),"è","e"),"ì","i"),"ò","o"),"ù","u"),"")</f>
        <v/>
      </c>
      <c r="U266" s="25">
        <f>IF(AND(Q266=1,H266&lt;&gt;""),SUBSTITUTE(SUBSTITUTE(SUBSTITUTE(SUBSTITUTE(SUBSTITUTE(SUBSTITUTE(SUBSTITUTE(SUBSTITUTE(SUBSTITUTE(SUBSTITUTE(SUBSTITUTE(SUBSTITUTE(LOWER(TRIM(H266)),"á","a"),"é","e"),"í","i"),"ó","o"),"ú","u"),"ü","u"),"ñ","n"),"à","a"),"è","e"),"ì","i"),"ò","o"),"ù","u"),"")</f>
        <v/>
      </c>
      <c r="V266" s="25">
        <f>IF(AND(Q266=1,L266&lt;&gt;""),SUBSTITUTE(SUBSTITUTE(SUBSTITUTE(SUBSTITUTE(SUBSTITUTE(SUBSTITUTE(SUBSTITUTE(SUBSTITUTE(SUBSTITUTE(SUBSTITUTE(SUBSTITUTE(SUBSTITUTE(LOWER(TRIM(L266)),"á","a"),"é","e"),"í","i"),"ó","o"),"ú","u"),"ü","u"),"ñ","n"),"à","a"),"è","e"),"ì","i"),"ò","o"),"ù","u"),"")</f>
        <v/>
      </c>
      <c r="W266" s="25">
        <f>IF(AND(Q266=1,I266&lt;&gt;""),SUBSTITUTE(SUBSTITUTE(SUBSTITUTE(SUBSTITUTE(SUBSTITUTE(SUBSTITUTE(SUBSTITUTE(SUBSTITUTE(SUBSTITUTE(SUBSTITUTE(SUBSTITUTE(SUBSTITUTE(LOWER(TRIM(I266)),"á","a"),"é","e"),"í","i"),"ó","o"),"ú","u"),"ü","u"),"ñ","n"),"à","a"),"è","e"),"ì","i"),"ò","o"),"ù","u"),"")</f>
        <v/>
      </c>
      <c r="X266" s="25">
        <f>IF(U266="","",IF(OR(U266="si, en la proxima tarea",U266="si, con cambios"),1,0))</f>
        <v/>
      </c>
      <c r="Y266" s="25">
        <f>IF(AND(Q266=1,A266&lt;&gt;""),IF(IFERROR(COUNTIFS(A$3:A266,"="&amp;SUBSTITUTE(SUBSTITUTE(SUBSTITUTE(A266,"~","~~"),"*","~*"),"?","~?"),Q$3:Q266,1),0)=1,MAX(Y$2:Y265)+1,""),"")</f>
        <v/>
      </c>
      <c r="Z266" s="25">
        <f>IF(Y266="","",COUNTIFS($A$3:$A$1002,"="&amp;SUBSTITUTE(SUBSTITUTE(SUBSTITUTE(A266,"~","~~"),"*","~*"),"?","~?"),$Q$3:$Q$1002,1)*10000-Y266)</f>
        <v/>
      </c>
    </row>
    <row r="267">
      <c r="A267">
        <f>IF(A$2=0,"",IFERROR(TRIM(INDEX('Pegar docentes'!$A$1:$BZ$1001,266,A$2)&amp;""),""))</f>
        <v/>
      </c>
      <c r="B267">
        <f>IF(B$2=0,"",IFERROR(TRIM(INDEX('Pegar docentes'!$A$1:$BZ$1001,266,B$2)&amp;""),""))</f>
        <v/>
      </c>
      <c r="C267">
        <f>IF(C$2=0,"",IFERROR(TRIM(INDEX('Pegar docentes'!$A$1:$BZ$1001,266,C$2)&amp;""),""))</f>
        <v/>
      </c>
      <c r="D267">
        <f>IF(D$2=0,"",IFERROR(TRIM(INDEX('Pegar docentes'!$A$1:$BZ$1001,266,D$2)&amp;""),""))</f>
        <v/>
      </c>
      <c r="E267">
        <f>IF(E$2=0,"",IFERROR(TRIM(INDEX('Pegar docentes'!$A$1:$BZ$1001,266,E$2)&amp;""),""))</f>
        <v/>
      </c>
      <c r="F267">
        <f>IF(F$2=0,"",IFERROR(TRIM(INDEX('Pegar docentes'!$A$1:$BZ$1001,266,F$2)&amp;""),""))</f>
        <v/>
      </c>
      <c r="G267">
        <f>IF(G$2=0,"",IFERROR(TRIM(INDEX('Pegar docentes'!$A$1:$BZ$1001,266,G$2)&amp;""),""))</f>
        <v/>
      </c>
      <c r="H267">
        <f>IF(H$2=0,"",IFERROR(TRIM(INDEX('Pegar docentes'!$A$1:$BZ$1001,266,H$2)&amp;""),""))</f>
        <v/>
      </c>
      <c r="I267">
        <f>IF(I$2=0,"",IFERROR(TRIM(INDEX('Pegar docentes'!$A$1:$BZ$1001,266,I$2)&amp;""),""))</f>
        <v/>
      </c>
      <c r="J267">
        <f>IF(J$2=0,"",IFERROR(TRIM(INDEX('Pegar docentes'!$A$1:$BZ$1001,266,J$2)&amp;""),""))</f>
        <v/>
      </c>
      <c r="K267">
        <f>IF(K$2=0,"",IFERROR(TRIM(INDEX('Pegar docentes'!$A$1:$BZ$1001,266,K$2)&amp;""),""))</f>
        <v/>
      </c>
      <c r="L267">
        <f>IF(L$2=0,"",IFERROR(TRIM(INDEX('Pegar docentes'!$A$1:$BZ$1001,266,L$2)&amp;""),""))</f>
        <v/>
      </c>
      <c r="M267">
        <f>IF(M$2=0,"",IFERROR(TRIM(INDEX('Pegar docentes'!$A$1:$BZ$1001,266,M$2)&amp;""),""))</f>
        <v/>
      </c>
      <c r="N267">
        <f>IF(N$2=0,"",IFERROR(TRIM(INDEX('Pegar docentes'!$A$1:$BZ$1001,266,N$2)&amp;""),""))</f>
        <v/>
      </c>
      <c r="O267">
        <f>IF(O$2=0,"",IFERROR(TRIM(INDEX('Pegar docentes'!$A$1:$BZ$1001,266,O$2)&amp;""),""))</f>
        <v/>
      </c>
      <c r="P267">
        <f>IF(P$2=0,"",IFERROR(TRIM(INDEX('Pegar docentes'!$A$1:$BZ$1001,266,P$2)&amp;""),""))</f>
        <v/>
      </c>
      <c r="Q267" s="25">
        <f>IF(OR(D267&lt;&gt;"",H267&lt;&gt;""),1,"")</f>
        <v/>
      </c>
      <c r="R267" s="25">
        <f>IF(Q267=1,IF(ISNUMBER(FIND("#"&amp;MID(D267,1,1)&amp;"#","#0#1#2#3#4#5#6#7#8#9#")),IF(ISNUMBER(FIND("#"&amp;MID(D267,2,1)&amp;"#","#0#1#2#3#4#5#6#7#8#9#")),IF(AND(VALUE(LEFT(D267,2))&gt;=1,VALUE(LEFT(D267,2))&lt;=5),VALUE(LEFT(D267,2)),""),IF(AND(VALUE(LEFT(D267,1))&gt;=1,VALUE(LEFT(D267,1))&lt;=5),VALUE(LEFT(D267,1)),"")),""),"")</f>
        <v/>
      </c>
      <c r="S267" s="25">
        <f>IF(AND(Q267=1,E267&lt;&gt;""),SUBSTITUTE(SUBSTITUTE(SUBSTITUTE(SUBSTITUTE(SUBSTITUTE(SUBSTITUTE(SUBSTITUTE(SUBSTITUTE(SUBSTITUTE(SUBSTITUTE(SUBSTITUTE(SUBSTITUTE(LOWER(TRIM(E267)),"á","a"),"é","e"),"í","i"),"ó","o"),"ú","u"),"ü","u"),"ñ","n"),"à","a"),"è","e"),"ì","i"),"ò","o"),"ù","u"),"")</f>
        <v/>
      </c>
      <c r="T267" s="25">
        <f>IF(AND(Q267=1,G267&lt;&gt;""),SUBSTITUTE(SUBSTITUTE(SUBSTITUTE(SUBSTITUTE(SUBSTITUTE(SUBSTITUTE(SUBSTITUTE(SUBSTITUTE(SUBSTITUTE(SUBSTITUTE(SUBSTITUTE(SUBSTITUTE(LOWER(TRIM(G267)),"á","a"),"é","e"),"í","i"),"ó","o"),"ú","u"),"ü","u"),"ñ","n"),"à","a"),"è","e"),"ì","i"),"ò","o"),"ù","u"),"")</f>
        <v/>
      </c>
      <c r="U267" s="25">
        <f>IF(AND(Q267=1,H267&lt;&gt;""),SUBSTITUTE(SUBSTITUTE(SUBSTITUTE(SUBSTITUTE(SUBSTITUTE(SUBSTITUTE(SUBSTITUTE(SUBSTITUTE(SUBSTITUTE(SUBSTITUTE(SUBSTITUTE(SUBSTITUTE(LOWER(TRIM(H267)),"á","a"),"é","e"),"í","i"),"ó","o"),"ú","u"),"ü","u"),"ñ","n"),"à","a"),"è","e"),"ì","i"),"ò","o"),"ù","u"),"")</f>
        <v/>
      </c>
      <c r="V267" s="25">
        <f>IF(AND(Q267=1,L267&lt;&gt;""),SUBSTITUTE(SUBSTITUTE(SUBSTITUTE(SUBSTITUTE(SUBSTITUTE(SUBSTITUTE(SUBSTITUTE(SUBSTITUTE(SUBSTITUTE(SUBSTITUTE(SUBSTITUTE(SUBSTITUTE(LOWER(TRIM(L267)),"á","a"),"é","e"),"í","i"),"ó","o"),"ú","u"),"ü","u"),"ñ","n"),"à","a"),"è","e"),"ì","i"),"ò","o"),"ù","u"),"")</f>
        <v/>
      </c>
      <c r="W267" s="25">
        <f>IF(AND(Q267=1,I267&lt;&gt;""),SUBSTITUTE(SUBSTITUTE(SUBSTITUTE(SUBSTITUTE(SUBSTITUTE(SUBSTITUTE(SUBSTITUTE(SUBSTITUTE(SUBSTITUTE(SUBSTITUTE(SUBSTITUTE(SUBSTITUTE(LOWER(TRIM(I267)),"á","a"),"é","e"),"í","i"),"ó","o"),"ú","u"),"ü","u"),"ñ","n"),"à","a"),"è","e"),"ì","i"),"ò","o"),"ù","u"),"")</f>
        <v/>
      </c>
      <c r="X267" s="25">
        <f>IF(U267="","",IF(OR(U267="si, en la proxima tarea",U267="si, con cambios"),1,0))</f>
        <v/>
      </c>
      <c r="Y267" s="25">
        <f>IF(AND(Q267=1,A267&lt;&gt;""),IF(IFERROR(COUNTIFS(A$3:A267,"="&amp;SUBSTITUTE(SUBSTITUTE(SUBSTITUTE(A267,"~","~~"),"*","~*"),"?","~?"),Q$3:Q267,1),0)=1,MAX(Y$2:Y266)+1,""),"")</f>
        <v/>
      </c>
      <c r="Z267" s="25">
        <f>IF(Y267="","",COUNTIFS($A$3:$A$1002,"="&amp;SUBSTITUTE(SUBSTITUTE(SUBSTITUTE(A267,"~","~~"),"*","~*"),"?","~?"),$Q$3:$Q$1002,1)*10000-Y267)</f>
        <v/>
      </c>
    </row>
    <row r="268">
      <c r="A268">
        <f>IF(A$2=0,"",IFERROR(TRIM(INDEX('Pegar docentes'!$A$1:$BZ$1001,267,A$2)&amp;""),""))</f>
        <v/>
      </c>
      <c r="B268">
        <f>IF(B$2=0,"",IFERROR(TRIM(INDEX('Pegar docentes'!$A$1:$BZ$1001,267,B$2)&amp;""),""))</f>
        <v/>
      </c>
      <c r="C268">
        <f>IF(C$2=0,"",IFERROR(TRIM(INDEX('Pegar docentes'!$A$1:$BZ$1001,267,C$2)&amp;""),""))</f>
        <v/>
      </c>
      <c r="D268">
        <f>IF(D$2=0,"",IFERROR(TRIM(INDEX('Pegar docentes'!$A$1:$BZ$1001,267,D$2)&amp;""),""))</f>
        <v/>
      </c>
      <c r="E268">
        <f>IF(E$2=0,"",IFERROR(TRIM(INDEX('Pegar docentes'!$A$1:$BZ$1001,267,E$2)&amp;""),""))</f>
        <v/>
      </c>
      <c r="F268">
        <f>IF(F$2=0,"",IFERROR(TRIM(INDEX('Pegar docentes'!$A$1:$BZ$1001,267,F$2)&amp;""),""))</f>
        <v/>
      </c>
      <c r="G268">
        <f>IF(G$2=0,"",IFERROR(TRIM(INDEX('Pegar docentes'!$A$1:$BZ$1001,267,G$2)&amp;""),""))</f>
        <v/>
      </c>
      <c r="H268">
        <f>IF(H$2=0,"",IFERROR(TRIM(INDEX('Pegar docentes'!$A$1:$BZ$1001,267,H$2)&amp;""),""))</f>
        <v/>
      </c>
      <c r="I268">
        <f>IF(I$2=0,"",IFERROR(TRIM(INDEX('Pegar docentes'!$A$1:$BZ$1001,267,I$2)&amp;""),""))</f>
        <v/>
      </c>
      <c r="J268">
        <f>IF(J$2=0,"",IFERROR(TRIM(INDEX('Pegar docentes'!$A$1:$BZ$1001,267,J$2)&amp;""),""))</f>
        <v/>
      </c>
      <c r="K268">
        <f>IF(K$2=0,"",IFERROR(TRIM(INDEX('Pegar docentes'!$A$1:$BZ$1001,267,K$2)&amp;""),""))</f>
        <v/>
      </c>
      <c r="L268">
        <f>IF(L$2=0,"",IFERROR(TRIM(INDEX('Pegar docentes'!$A$1:$BZ$1001,267,L$2)&amp;""),""))</f>
        <v/>
      </c>
      <c r="M268">
        <f>IF(M$2=0,"",IFERROR(TRIM(INDEX('Pegar docentes'!$A$1:$BZ$1001,267,M$2)&amp;""),""))</f>
        <v/>
      </c>
      <c r="N268">
        <f>IF(N$2=0,"",IFERROR(TRIM(INDEX('Pegar docentes'!$A$1:$BZ$1001,267,N$2)&amp;""),""))</f>
        <v/>
      </c>
      <c r="O268">
        <f>IF(O$2=0,"",IFERROR(TRIM(INDEX('Pegar docentes'!$A$1:$BZ$1001,267,O$2)&amp;""),""))</f>
        <v/>
      </c>
      <c r="P268">
        <f>IF(P$2=0,"",IFERROR(TRIM(INDEX('Pegar docentes'!$A$1:$BZ$1001,267,P$2)&amp;""),""))</f>
        <v/>
      </c>
      <c r="Q268" s="25">
        <f>IF(OR(D268&lt;&gt;"",H268&lt;&gt;""),1,"")</f>
        <v/>
      </c>
      <c r="R268" s="25">
        <f>IF(Q268=1,IF(ISNUMBER(FIND("#"&amp;MID(D268,1,1)&amp;"#","#0#1#2#3#4#5#6#7#8#9#")),IF(ISNUMBER(FIND("#"&amp;MID(D268,2,1)&amp;"#","#0#1#2#3#4#5#6#7#8#9#")),IF(AND(VALUE(LEFT(D268,2))&gt;=1,VALUE(LEFT(D268,2))&lt;=5),VALUE(LEFT(D268,2)),""),IF(AND(VALUE(LEFT(D268,1))&gt;=1,VALUE(LEFT(D268,1))&lt;=5),VALUE(LEFT(D268,1)),"")),""),"")</f>
        <v/>
      </c>
      <c r="S268" s="25">
        <f>IF(AND(Q268=1,E268&lt;&gt;""),SUBSTITUTE(SUBSTITUTE(SUBSTITUTE(SUBSTITUTE(SUBSTITUTE(SUBSTITUTE(SUBSTITUTE(SUBSTITUTE(SUBSTITUTE(SUBSTITUTE(SUBSTITUTE(SUBSTITUTE(LOWER(TRIM(E268)),"á","a"),"é","e"),"í","i"),"ó","o"),"ú","u"),"ü","u"),"ñ","n"),"à","a"),"è","e"),"ì","i"),"ò","o"),"ù","u"),"")</f>
        <v/>
      </c>
      <c r="T268" s="25">
        <f>IF(AND(Q268=1,G268&lt;&gt;""),SUBSTITUTE(SUBSTITUTE(SUBSTITUTE(SUBSTITUTE(SUBSTITUTE(SUBSTITUTE(SUBSTITUTE(SUBSTITUTE(SUBSTITUTE(SUBSTITUTE(SUBSTITUTE(SUBSTITUTE(LOWER(TRIM(G268)),"á","a"),"é","e"),"í","i"),"ó","o"),"ú","u"),"ü","u"),"ñ","n"),"à","a"),"è","e"),"ì","i"),"ò","o"),"ù","u"),"")</f>
        <v/>
      </c>
      <c r="U268" s="25">
        <f>IF(AND(Q268=1,H268&lt;&gt;""),SUBSTITUTE(SUBSTITUTE(SUBSTITUTE(SUBSTITUTE(SUBSTITUTE(SUBSTITUTE(SUBSTITUTE(SUBSTITUTE(SUBSTITUTE(SUBSTITUTE(SUBSTITUTE(SUBSTITUTE(LOWER(TRIM(H268)),"á","a"),"é","e"),"í","i"),"ó","o"),"ú","u"),"ü","u"),"ñ","n"),"à","a"),"è","e"),"ì","i"),"ò","o"),"ù","u"),"")</f>
        <v/>
      </c>
      <c r="V268" s="25">
        <f>IF(AND(Q268=1,L268&lt;&gt;""),SUBSTITUTE(SUBSTITUTE(SUBSTITUTE(SUBSTITUTE(SUBSTITUTE(SUBSTITUTE(SUBSTITUTE(SUBSTITUTE(SUBSTITUTE(SUBSTITUTE(SUBSTITUTE(SUBSTITUTE(LOWER(TRIM(L268)),"á","a"),"é","e"),"í","i"),"ó","o"),"ú","u"),"ü","u"),"ñ","n"),"à","a"),"è","e"),"ì","i"),"ò","o"),"ù","u"),"")</f>
        <v/>
      </c>
      <c r="W268" s="25">
        <f>IF(AND(Q268=1,I268&lt;&gt;""),SUBSTITUTE(SUBSTITUTE(SUBSTITUTE(SUBSTITUTE(SUBSTITUTE(SUBSTITUTE(SUBSTITUTE(SUBSTITUTE(SUBSTITUTE(SUBSTITUTE(SUBSTITUTE(SUBSTITUTE(LOWER(TRIM(I268)),"á","a"),"é","e"),"í","i"),"ó","o"),"ú","u"),"ü","u"),"ñ","n"),"à","a"),"è","e"),"ì","i"),"ò","o"),"ù","u"),"")</f>
        <v/>
      </c>
      <c r="X268" s="25">
        <f>IF(U268="","",IF(OR(U268="si, en la proxima tarea",U268="si, con cambios"),1,0))</f>
        <v/>
      </c>
      <c r="Y268" s="25">
        <f>IF(AND(Q268=1,A268&lt;&gt;""),IF(IFERROR(COUNTIFS(A$3:A268,"="&amp;SUBSTITUTE(SUBSTITUTE(SUBSTITUTE(A268,"~","~~"),"*","~*"),"?","~?"),Q$3:Q268,1),0)=1,MAX(Y$2:Y267)+1,""),"")</f>
        <v/>
      </c>
      <c r="Z268" s="25">
        <f>IF(Y268="","",COUNTIFS($A$3:$A$1002,"="&amp;SUBSTITUTE(SUBSTITUTE(SUBSTITUTE(A268,"~","~~"),"*","~*"),"?","~?"),$Q$3:$Q$1002,1)*10000-Y268)</f>
        <v/>
      </c>
    </row>
    <row r="269">
      <c r="A269">
        <f>IF(A$2=0,"",IFERROR(TRIM(INDEX('Pegar docentes'!$A$1:$BZ$1001,268,A$2)&amp;""),""))</f>
        <v/>
      </c>
      <c r="B269">
        <f>IF(B$2=0,"",IFERROR(TRIM(INDEX('Pegar docentes'!$A$1:$BZ$1001,268,B$2)&amp;""),""))</f>
        <v/>
      </c>
      <c r="C269">
        <f>IF(C$2=0,"",IFERROR(TRIM(INDEX('Pegar docentes'!$A$1:$BZ$1001,268,C$2)&amp;""),""))</f>
        <v/>
      </c>
      <c r="D269">
        <f>IF(D$2=0,"",IFERROR(TRIM(INDEX('Pegar docentes'!$A$1:$BZ$1001,268,D$2)&amp;""),""))</f>
        <v/>
      </c>
      <c r="E269">
        <f>IF(E$2=0,"",IFERROR(TRIM(INDEX('Pegar docentes'!$A$1:$BZ$1001,268,E$2)&amp;""),""))</f>
        <v/>
      </c>
      <c r="F269">
        <f>IF(F$2=0,"",IFERROR(TRIM(INDEX('Pegar docentes'!$A$1:$BZ$1001,268,F$2)&amp;""),""))</f>
        <v/>
      </c>
      <c r="G269">
        <f>IF(G$2=0,"",IFERROR(TRIM(INDEX('Pegar docentes'!$A$1:$BZ$1001,268,G$2)&amp;""),""))</f>
        <v/>
      </c>
      <c r="H269">
        <f>IF(H$2=0,"",IFERROR(TRIM(INDEX('Pegar docentes'!$A$1:$BZ$1001,268,H$2)&amp;""),""))</f>
        <v/>
      </c>
      <c r="I269">
        <f>IF(I$2=0,"",IFERROR(TRIM(INDEX('Pegar docentes'!$A$1:$BZ$1001,268,I$2)&amp;""),""))</f>
        <v/>
      </c>
      <c r="J269">
        <f>IF(J$2=0,"",IFERROR(TRIM(INDEX('Pegar docentes'!$A$1:$BZ$1001,268,J$2)&amp;""),""))</f>
        <v/>
      </c>
      <c r="K269">
        <f>IF(K$2=0,"",IFERROR(TRIM(INDEX('Pegar docentes'!$A$1:$BZ$1001,268,K$2)&amp;""),""))</f>
        <v/>
      </c>
      <c r="L269">
        <f>IF(L$2=0,"",IFERROR(TRIM(INDEX('Pegar docentes'!$A$1:$BZ$1001,268,L$2)&amp;""),""))</f>
        <v/>
      </c>
      <c r="M269">
        <f>IF(M$2=0,"",IFERROR(TRIM(INDEX('Pegar docentes'!$A$1:$BZ$1001,268,M$2)&amp;""),""))</f>
        <v/>
      </c>
      <c r="N269">
        <f>IF(N$2=0,"",IFERROR(TRIM(INDEX('Pegar docentes'!$A$1:$BZ$1001,268,N$2)&amp;""),""))</f>
        <v/>
      </c>
      <c r="O269">
        <f>IF(O$2=0,"",IFERROR(TRIM(INDEX('Pegar docentes'!$A$1:$BZ$1001,268,O$2)&amp;""),""))</f>
        <v/>
      </c>
      <c r="P269">
        <f>IF(P$2=0,"",IFERROR(TRIM(INDEX('Pegar docentes'!$A$1:$BZ$1001,268,P$2)&amp;""),""))</f>
        <v/>
      </c>
      <c r="Q269" s="25">
        <f>IF(OR(D269&lt;&gt;"",H269&lt;&gt;""),1,"")</f>
        <v/>
      </c>
      <c r="R269" s="25">
        <f>IF(Q269=1,IF(ISNUMBER(FIND("#"&amp;MID(D269,1,1)&amp;"#","#0#1#2#3#4#5#6#7#8#9#")),IF(ISNUMBER(FIND("#"&amp;MID(D269,2,1)&amp;"#","#0#1#2#3#4#5#6#7#8#9#")),IF(AND(VALUE(LEFT(D269,2))&gt;=1,VALUE(LEFT(D269,2))&lt;=5),VALUE(LEFT(D269,2)),""),IF(AND(VALUE(LEFT(D269,1))&gt;=1,VALUE(LEFT(D269,1))&lt;=5),VALUE(LEFT(D269,1)),"")),""),"")</f>
        <v/>
      </c>
      <c r="S269" s="25">
        <f>IF(AND(Q269=1,E269&lt;&gt;""),SUBSTITUTE(SUBSTITUTE(SUBSTITUTE(SUBSTITUTE(SUBSTITUTE(SUBSTITUTE(SUBSTITUTE(SUBSTITUTE(SUBSTITUTE(SUBSTITUTE(SUBSTITUTE(SUBSTITUTE(LOWER(TRIM(E269)),"á","a"),"é","e"),"í","i"),"ó","o"),"ú","u"),"ü","u"),"ñ","n"),"à","a"),"è","e"),"ì","i"),"ò","o"),"ù","u"),"")</f>
        <v/>
      </c>
      <c r="T269" s="25">
        <f>IF(AND(Q269=1,G269&lt;&gt;""),SUBSTITUTE(SUBSTITUTE(SUBSTITUTE(SUBSTITUTE(SUBSTITUTE(SUBSTITUTE(SUBSTITUTE(SUBSTITUTE(SUBSTITUTE(SUBSTITUTE(SUBSTITUTE(SUBSTITUTE(LOWER(TRIM(G269)),"á","a"),"é","e"),"í","i"),"ó","o"),"ú","u"),"ü","u"),"ñ","n"),"à","a"),"è","e"),"ì","i"),"ò","o"),"ù","u"),"")</f>
        <v/>
      </c>
      <c r="U269" s="25">
        <f>IF(AND(Q269=1,H269&lt;&gt;""),SUBSTITUTE(SUBSTITUTE(SUBSTITUTE(SUBSTITUTE(SUBSTITUTE(SUBSTITUTE(SUBSTITUTE(SUBSTITUTE(SUBSTITUTE(SUBSTITUTE(SUBSTITUTE(SUBSTITUTE(LOWER(TRIM(H269)),"á","a"),"é","e"),"í","i"),"ó","o"),"ú","u"),"ü","u"),"ñ","n"),"à","a"),"è","e"),"ì","i"),"ò","o"),"ù","u"),"")</f>
        <v/>
      </c>
      <c r="V269" s="25">
        <f>IF(AND(Q269=1,L269&lt;&gt;""),SUBSTITUTE(SUBSTITUTE(SUBSTITUTE(SUBSTITUTE(SUBSTITUTE(SUBSTITUTE(SUBSTITUTE(SUBSTITUTE(SUBSTITUTE(SUBSTITUTE(SUBSTITUTE(SUBSTITUTE(LOWER(TRIM(L269)),"á","a"),"é","e"),"í","i"),"ó","o"),"ú","u"),"ü","u"),"ñ","n"),"à","a"),"è","e"),"ì","i"),"ò","o"),"ù","u"),"")</f>
        <v/>
      </c>
      <c r="W269" s="25">
        <f>IF(AND(Q269=1,I269&lt;&gt;""),SUBSTITUTE(SUBSTITUTE(SUBSTITUTE(SUBSTITUTE(SUBSTITUTE(SUBSTITUTE(SUBSTITUTE(SUBSTITUTE(SUBSTITUTE(SUBSTITUTE(SUBSTITUTE(SUBSTITUTE(LOWER(TRIM(I269)),"á","a"),"é","e"),"í","i"),"ó","o"),"ú","u"),"ü","u"),"ñ","n"),"à","a"),"è","e"),"ì","i"),"ò","o"),"ù","u"),"")</f>
        <v/>
      </c>
      <c r="X269" s="25">
        <f>IF(U269="","",IF(OR(U269="si, en la proxima tarea",U269="si, con cambios"),1,0))</f>
        <v/>
      </c>
      <c r="Y269" s="25">
        <f>IF(AND(Q269=1,A269&lt;&gt;""),IF(IFERROR(COUNTIFS(A$3:A269,"="&amp;SUBSTITUTE(SUBSTITUTE(SUBSTITUTE(A269,"~","~~"),"*","~*"),"?","~?"),Q$3:Q269,1),0)=1,MAX(Y$2:Y268)+1,""),"")</f>
        <v/>
      </c>
      <c r="Z269" s="25">
        <f>IF(Y269="","",COUNTIFS($A$3:$A$1002,"="&amp;SUBSTITUTE(SUBSTITUTE(SUBSTITUTE(A269,"~","~~"),"*","~*"),"?","~?"),$Q$3:$Q$1002,1)*10000-Y269)</f>
        <v/>
      </c>
    </row>
    <row r="270">
      <c r="A270">
        <f>IF(A$2=0,"",IFERROR(TRIM(INDEX('Pegar docentes'!$A$1:$BZ$1001,269,A$2)&amp;""),""))</f>
        <v/>
      </c>
      <c r="B270">
        <f>IF(B$2=0,"",IFERROR(TRIM(INDEX('Pegar docentes'!$A$1:$BZ$1001,269,B$2)&amp;""),""))</f>
        <v/>
      </c>
      <c r="C270">
        <f>IF(C$2=0,"",IFERROR(TRIM(INDEX('Pegar docentes'!$A$1:$BZ$1001,269,C$2)&amp;""),""))</f>
        <v/>
      </c>
      <c r="D270">
        <f>IF(D$2=0,"",IFERROR(TRIM(INDEX('Pegar docentes'!$A$1:$BZ$1001,269,D$2)&amp;""),""))</f>
        <v/>
      </c>
      <c r="E270">
        <f>IF(E$2=0,"",IFERROR(TRIM(INDEX('Pegar docentes'!$A$1:$BZ$1001,269,E$2)&amp;""),""))</f>
        <v/>
      </c>
      <c r="F270">
        <f>IF(F$2=0,"",IFERROR(TRIM(INDEX('Pegar docentes'!$A$1:$BZ$1001,269,F$2)&amp;""),""))</f>
        <v/>
      </c>
      <c r="G270">
        <f>IF(G$2=0,"",IFERROR(TRIM(INDEX('Pegar docentes'!$A$1:$BZ$1001,269,G$2)&amp;""),""))</f>
        <v/>
      </c>
      <c r="H270">
        <f>IF(H$2=0,"",IFERROR(TRIM(INDEX('Pegar docentes'!$A$1:$BZ$1001,269,H$2)&amp;""),""))</f>
        <v/>
      </c>
      <c r="I270">
        <f>IF(I$2=0,"",IFERROR(TRIM(INDEX('Pegar docentes'!$A$1:$BZ$1001,269,I$2)&amp;""),""))</f>
        <v/>
      </c>
      <c r="J270">
        <f>IF(J$2=0,"",IFERROR(TRIM(INDEX('Pegar docentes'!$A$1:$BZ$1001,269,J$2)&amp;""),""))</f>
        <v/>
      </c>
      <c r="K270">
        <f>IF(K$2=0,"",IFERROR(TRIM(INDEX('Pegar docentes'!$A$1:$BZ$1001,269,K$2)&amp;""),""))</f>
        <v/>
      </c>
      <c r="L270">
        <f>IF(L$2=0,"",IFERROR(TRIM(INDEX('Pegar docentes'!$A$1:$BZ$1001,269,L$2)&amp;""),""))</f>
        <v/>
      </c>
      <c r="M270">
        <f>IF(M$2=0,"",IFERROR(TRIM(INDEX('Pegar docentes'!$A$1:$BZ$1001,269,M$2)&amp;""),""))</f>
        <v/>
      </c>
      <c r="N270">
        <f>IF(N$2=0,"",IFERROR(TRIM(INDEX('Pegar docentes'!$A$1:$BZ$1001,269,N$2)&amp;""),""))</f>
        <v/>
      </c>
      <c r="O270">
        <f>IF(O$2=0,"",IFERROR(TRIM(INDEX('Pegar docentes'!$A$1:$BZ$1001,269,O$2)&amp;""),""))</f>
        <v/>
      </c>
      <c r="P270">
        <f>IF(P$2=0,"",IFERROR(TRIM(INDEX('Pegar docentes'!$A$1:$BZ$1001,269,P$2)&amp;""),""))</f>
        <v/>
      </c>
      <c r="Q270" s="25">
        <f>IF(OR(D270&lt;&gt;"",H270&lt;&gt;""),1,"")</f>
        <v/>
      </c>
      <c r="R270" s="25">
        <f>IF(Q270=1,IF(ISNUMBER(FIND("#"&amp;MID(D270,1,1)&amp;"#","#0#1#2#3#4#5#6#7#8#9#")),IF(ISNUMBER(FIND("#"&amp;MID(D270,2,1)&amp;"#","#0#1#2#3#4#5#6#7#8#9#")),IF(AND(VALUE(LEFT(D270,2))&gt;=1,VALUE(LEFT(D270,2))&lt;=5),VALUE(LEFT(D270,2)),""),IF(AND(VALUE(LEFT(D270,1))&gt;=1,VALUE(LEFT(D270,1))&lt;=5),VALUE(LEFT(D270,1)),"")),""),"")</f>
        <v/>
      </c>
      <c r="S270" s="25">
        <f>IF(AND(Q270=1,E270&lt;&gt;""),SUBSTITUTE(SUBSTITUTE(SUBSTITUTE(SUBSTITUTE(SUBSTITUTE(SUBSTITUTE(SUBSTITUTE(SUBSTITUTE(SUBSTITUTE(SUBSTITUTE(SUBSTITUTE(SUBSTITUTE(LOWER(TRIM(E270)),"á","a"),"é","e"),"í","i"),"ó","o"),"ú","u"),"ü","u"),"ñ","n"),"à","a"),"è","e"),"ì","i"),"ò","o"),"ù","u"),"")</f>
        <v/>
      </c>
      <c r="T270" s="25">
        <f>IF(AND(Q270=1,G270&lt;&gt;""),SUBSTITUTE(SUBSTITUTE(SUBSTITUTE(SUBSTITUTE(SUBSTITUTE(SUBSTITUTE(SUBSTITUTE(SUBSTITUTE(SUBSTITUTE(SUBSTITUTE(SUBSTITUTE(SUBSTITUTE(LOWER(TRIM(G270)),"á","a"),"é","e"),"í","i"),"ó","o"),"ú","u"),"ü","u"),"ñ","n"),"à","a"),"è","e"),"ì","i"),"ò","o"),"ù","u"),"")</f>
        <v/>
      </c>
      <c r="U270" s="25">
        <f>IF(AND(Q270=1,H270&lt;&gt;""),SUBSTITUTE(SUBSTITUTE(SUBSTITUTE(SUBSTITUTE(SUBSTITUTE(SUBSTITUTE(SUBSTITUTE(SUBSTITUTE(SUBSTITUTE(SUBSTITUTE(SUBSTITUTE(SUBSTITUTE(LOWER(TRIM(H270)),"á","a"),"é","e"),"í","i"),"ó","o"),"ú","u"),"ü","u"),"ñ","n"),"à","a"),"è","e"),"ì","i"),"ò","o"),"ù","u"),"")</f>
        <v/>
      </c>
      <c r="V270" s="25">
        <f>IF(AND(Q270=1,L270&lt;&gt;""),SUBSTITUTE(SUBSTITUTE(SUBSTITUTE(SUBSTITUTE(SUBSTITUTE(SUBSTITUTE(SUBSTITUTE(SUBSTITUTE(SUBSTITUTE(SUBSTITUTE(SUBSTITUTE(SUBSTITUTE(LOWER(TRIM(L270)),"á","a"),"é","e"),"í","i"),"ó","o"),"ú","u"),"ü","u"),"ñ","n"),"à","a"),"è","e"),"ì","i"),"ò","o"),"ù","u"),"")</f>
        <v/>
      </c>
      <c r="W270" s="25">
        <f>IF(AND(Q270=1,I270&lt;&gt;""),SUBSTITUTE(SUBSTITUTE(SUBSTITUTE(SUBSTITUTE(SUBSTITUTE(SUBSTITUTE(SUBSTITUTE(SUBSTITUTE(SUBSTITUTE(SUBSTITUTE(SUBSTITUTE(SUBSTITUTE(LOWER(TRIM(I270)),"á","a"),"é","e"),"í","i"),"ó","o"),"ú","u"),"ü","u"),"ñ","n"),"à","a"),"è","e"),"ì","i"),"ò","o"),"ù","u"),"")</f>
        <v/>
      </c>
      <c r="X270" s="25">
        <f>IF(U270="","",IF(OR(U270="si, en la proxima tarea",U270="si, con cambios"),1,0))</f>
        <v/>
      </c>
      <c r="Y270" s="25">
        <f>IF(AND(Q270=1,A270&lt;&gt;""),IF(IFERROR(COUNTIFS(A$3:A270,"="&amp;SUBSTITUTE(SUBSTITUTE(SUBSTITUTE(A270,"~","~~"),"*","~*"),"?","~?"),Q$3:Q270,1),0)=1,MAX(Y$2:Y269)+1,""),"")</f>
        <v/>
      </c>
      <c r="Z270" s="25">
        <f>IF(Y270="","",COUNTIFS($A$3:$A$1002,"="&amp;SUBSTITUTE(SUBSTITUTE(SUBSTITUTE(A270,"~","~~"),"*","~*"),"?","~?"),$Q$3:$Q$1002,1)*10000-Y270)</f>
        <v/>
      </c>
    </row>
    <row r="271">
      <c r="A271">
        <f>IF(A$2=0,"",IFERROR(TRIM(INDEX('Pegar docentes'!$A$1:$BZ$1001,270,A$2)&amp;""),""))</f>
        <v/>
      </c>
      <c r="B271">
        <f>IF(B$2=0,"",IFERROR(TRIM(INDEX('Pegar docentes'!$A$1:$BZ$1001,270,B$2)&amp;""),""))</f>
        <v/>
      </c>
      <c r="C271">
        <f>IF(C$2=0,"",IFERROR(TRIM(INDEX('Pegar docentes'!$A$1:$BZ$1001,270,C$2)&amp;""),""))</f>
        <v/>
      </c>
      <c r="D271">
        <f>IF(D$2=0,"",IFERROR(TRIM(INDEX('Pegar docentes'!$A$1:$BZ$1001,270,D$2)&amp;""),""))</f>
        <v/>
      </c>
      <c r="E271">
        <f>IF(E$2=0,"",IFERROR(TRIM(INDEX('Pegar docentes'!$A$1:$BZ$1001,270,E$2)&amp;""),""))</f>
        <v/>
      </c>
      <c r="F271">
        <f>IF(F$2=0,"",IFERROR(TRIM(INDEX('Pegar docentes'!$A$1:$BZ$1001,270,F$2)&amp;""),""))</f>
        <v/>
      </c>
      <c r="G271">
        <f>IF(G$2=0,"",IFERROR(TRIM(INDEX('Pegar docentes'!$A$1:$BZ$1001,270,G$2)&amp;""),""))</f>
        <v/>
      </c>
      <c r="H271">
        <f>IF(H$2=0,"",IFERROR(TRIM(INDEX('Pegar docentes'!$A$1:$BZ$1001,270,H$2)&amp;""),""))</f>
        <v/>
      </c>
      <c r="I271">
        <f>IF(I$2=0,"",IFERROR(TRIM(INDEX('Pegar docentes'!$A$1:$BZ$1001,270,I$2)&amp;""),""))</f>
        <v/>
      </c>
      <c r="J271">
        <f>IF(J$2=0,"",IFERROR(TRIM(INDEX('Pegar docentes'!$A$1:$BZ$1001,270,J$2)&amp;""),""))</f>
        <v/>
      </c>
      <c r="K271">
        <f>IF(K$2=0,"",IFERROR(TRIM(INDEX('Pegar docentes'!$A$1:$BZ$1001,270,K$2)&amp;""),""))</f>
        <v/>
      </c>
      <c r="L271">
        <f>IF(L$2=0,"",IFERROR(TRIM(INDEX('Pegar docentes'!$A$1:$BZ$1001,270,L$2)&amp;""),""))</f>
        <v/>
      </c>
      <c r="M271">
        <f>IF(M$2=0,"",IFERROR(TRIM(INDEX('Pegar docentes'!$A$1:$BZ$1001,270,M$2)&amp;""),""))</f>
        <v/>
      </c>
      <c r="N271">
        <f>IF(N$2=0,"",IFERROR(TRIM(INDEX('Pegar docentes'!$A$1:$BZ$1001,270,N$2)&amp;""),""))</f>
        <v/>
      </c>
      <c r="O271">
        <f>IF(O$2=0,"",IFERROR(TRIM(INDEX('Pegar docentes'!$A$1:$BZ$1001,270,O$2)&amp;""),""))</f>
        <v/>
      </c>
      <c r="P271">
        <f>IF(P$2=0,"",IFERROR(TRIM(INDEX('Pegar docentes'!$A$1:$BZ$1001,270,P$2)&amp;""),""))</f>
        <v/>
      </c>
      <c r="Q271" s="25">
        <f>IF(OR(D271&lt;&gt;"",H271&lt;&gt;""),1,"")</f>
        <v/>
      </c>
      <c r="R271" s="25">
        <f>IF(Q271=1,IF(ISNUMBER(FIND("#"&amp;MID(D271,1,1)&amp;"#","#0#1#2#3#4#5#6#7#8#9#")),IF(ISNUMBER(FIND("#"&amp;MID(D271,2,1)&amp;"#","#0#1#2#3#4#5#6#7#8#9#")),IF(AND(VALUE(LEFT(D271,2))&gt;=1,VALUE(LEFT(D271,2))&lt;=5),VALUE(LEFT(D271,2)),""),IF(AND(VALUE(LEFT(D271,1))&gt;=1,VALUE(LEFT(D271,1))&lt;=5),VALUE(LEFT(D271,1)),"")),""),"")</f>
        <v/>
      </c>
      <c r="S271" s="25">
        <f>IF(AND(Q271=1,E271&lt;&gt;""),SUBSTITUTE(SUBSTITUTE(SUBSTITUTE(SUBSTITUTE(SUBSTITUTE(SUBSTITUTE(SUBSTITUTE(SUBSTITUTE(SUBSTITUTE(SUBSTITUTE(SUBSTITUTE(SUBSTITUTE(LOWER(TRIM(E271)),"á","a"),"é","e"),"í","i"),"ó","o"),"ú","u"),"ü","u"),"ñ","n"),"à","a"),"è","e"),"ì","i"),"ò","o"),"ù","u"),"")</f>
        <v/>
      </c>
      <c r="T271" s="25">
        <f>IF(AND(Q271=1,G271&lt;&gt;""),SUBSTITUTE(SUBSTITUTE(SUBSTITUTE(SUBSTITUTE(SUBSTITUTE(SUBSTITUTE(SUBSTITUTE(SUBSTITUTE(SUBSTITUTE(SUBSTITUTE(SUBSTITUTE(SUBSTITUTE(LOWER(TRIM(G271)),"á","a"),"é","e"),"í","i"),"ó","o"),"ú","u"),"ü","u"),"ñ","n"),"à","a"),"è","e"),"ì","i"),"ò","o"),"ù","u"),"")</f>
        <v/>
      </c>
      <c r="U271" s="25">
        <f>IF(AND(Q271=1,H271&lt;&gt;""),SUBSTITUTE(SUBSTITUTE(SUBSTITUTE(SUBSTITUTE(SUBSTITUTE(SUBSTITUTE(SUBSTITUTE(SUBSTITUTE(SUBSTITUTE(SUBSTITUTE(SUBSTITUTE(SUBSTITUTE(LOWER(TRIM(H271)),"á","a"),"é","e"),"í","i"),"ó","o"),"ú","u"),"ü","u"),"ñ","n"),"à","a"),"è","e"),"ì","i"),"ò","o"),"ù","u"),"")</f>
        <v/>
      </c>
      <c r="V271" s="25">
        <f>IF(AND(Q271=1,L271&lt;&gt;""),SUBSTITUTE(SUBSTITUTE(SUBSTITUTE(SUBSTITUTE(SUBSTITUTE(SUBSTITUTE(SUBSTITUTE(SUBSTITUTE(SUBSTITUTE(SUBSTITUTE(SUBSTITUTE(SUBSTITUTE(LOWER(TRIM(L271)),"á","a"),"é","e"),"í","i"),"ó","o"),"ú","u"),"ü","u"),"ñ","n"),"à","a"),"è","e"),"ì","i"),"ò","o"),"ù","u"),"")</f>
        <v/>
      </c>
      <c r="W271" s="25">
        <f>IF(AND(Q271=1,I271&lt;&gt;""),SUBSTITUTE(SUBSTITUTE(SUBSTITUTE(SUBSTITUTE(SUBSTITUTE(SUBSTITUTE(SUBSTITUTE(SUBSTITUTE(SUBSTITUTE(SUBSTITUTE(SUBSTITUTE(SUBSTITUTE(LOWER(TRIM(I271)),"á","a"),"é","e"),"í","i"),"ó","o"),"ú","u"),"ü","u"),"ñ","n"),"à","a"),"è","e"),"ì","i"),"ò","o"),"ù","u"),"")</f>
        <v/>
      </c>
      <c r="X271" s="25">
        <f>IF(U271="","",IF(OR(U271="si, en la proxima tarea",U271="si, con cambios"),1,0))</f>
        <v/>
      </c>
      <c r="Y271" s="25">
        <f>IF(AND(Q271=1,A271&lt;&gt;""),IF(IFERROR(COUNTIFS(A$3:A271,"="&amp;SUBSTITUTE(SUBSTITUTE(SUBSTITUTE(A271,"~","~~"),"*","~*"),"?","~?"),Q$3:Q271,1),0)=1,MAX(Y$2:Y270)+1,""),"")</f>
        <v/>
      </c>
      <c r="Z271" s="25">
        <f>IF(Y271="","",COUNTIFS($A$3:$A$1002,"="&amp;SUBSTITUTE(SUBSTITUTE(SUBSTITUTE(A271,"~","~~"),"*","~*"),"?","~?"),$Q$3:$Q$1002,1)*10000-Y271)</f>
        <v/>
      </c>
    </row>
    <row r="272">
      <c r="A272">
        <f>IF(A$2=0,"",IFERROR(TRIM(INDEX('Pegar docentes'!$A$1:$BZ$1001,271,A$2)&amp;""),""))</f>
        <v/>
      </c>
      <c r="B272">
        <f>IF(B$2=0,"",IFERROR(TRIM(INDEX('Pegar docentes'!$A$1:$BZ$1001,271,B$2)&amp;""),""))</f>
        <v/>
      </c>
      <c r="C272">
        <f>IF(C$2=0,"",IFERROR(TRIM(INDEX('Pegar docentes'!$A$1:$BZ$1001,271,C$2)&amp;""),""))</f>
        <v/>
      </c>
      <c r="D272">
        <f>IF(D$2=0,"",IFERROR(TRIM(INDEX('Pegar docentes'!$A$1:$BZ$1001,271,D$2)&amp;""),""))</f>
        <v/>
      </c>
      <c r="E272">
        <f>IF(E$2=0,"",IFERROR(TRIM(INDEX('Pegar docentes'!$A$1:$BZ$1001,271,E$2)&amp;""),""))</f>
        <v/>
      </c>
      <c r="F272">
        <f>IF(F$2=0,"",IFERROR(TRIM(INDEX('Pegar docentes'!$A$1:$BZ$1001,271,F$2)&amp;""),""))</f>
        <v/>
      </c>
      <c r="G272">
        <f>IF(G$2=0,"",IFERROR(TRIM(INDEX('Pegar docentes'!$A$1:$BZ$1001,271,G$2)&amp;""),""))</f>
        <v/>
      </c>
      <c r="H272">
        <f>IF(H$2=0,"",IFERROR(TRIM(INDEX('Pegar docentes'!$A$1:$BZ$1001,271,H$2)&amp;""),""))</f>
        <v/>
      </c>
      <c r="I272">
        <f>IF(I$2=0,"",IFERROR(TRIM(INDEX('Pegar docentes'!$A$1:$BZ$1001,271,I$2)&amp;""),""))</f>
        <v/>
      </c>
      <c r="J272">
        <f>IF(J$2=0,"",IFERROR(TRIM(INDEX('Pegar docentes'!$A$1:$BZ$1001,271,J$2)&amp;""),""))</f>
        <v/>
      </c>
      <c r="K272">
        <f>IF(K$2=0,"",IFERROR(TRIM(INDEX('Pegar docentes'!$A$1:$BZ$1001,271,K$2)&amp;""),""))</f>
        <v/>
      </c>
      <c r="L272">
        <f>IF(L$2=0,"",IFERROR(TRIM(INDEX('Pegar docentes'!$A$1:$BZ$1001,271,L$2)&amp;""),""))</f>
        <v/>
      </c>
      <c r="M272">
        <f>IF(M$2=0,"",IFERROR(TRIM(INDEX('Pegar docentes'!$A$1:$BZ$1001,271,M$2)&amp;""),""))</f>
        <v/>
      </c>
      <c r="N272">
        <f>IF(N$2=0,"",IFERROR(TRIM(INDEX('Pegar docentes'!$A$1:$BZ$1001,271,N$2)&amp;""),""))</f>
        <v/>
      </c>
      <c r="O272">
        <f>IF(O$2=0,"",IFERROR(TRIM(INDEX('Pegar docentes'!$A$1:$BZ$1001,271,O$2)&amp;""),""))</f>
        <v/>
      </c>
      <c r="P272">
        <f>IF(P$2=0,"",IFERROR(TRIM(INDEX('Pegar docentes'!$A$1:$BZ$1001,271,P$2)&amp;""),""))</f>
        <v/>
      </c>
      <c r="Q272" s="25">
        <f>IF(OR(D272&lt;&gt;"",H272&lt;&gt;""),1,"")</f>
        <v/>
      </c>
      <c r="R272" s="25">
        <f>IF(Q272=1,IF(ISNUMBER(FIND("#"&amp;MID(D272,1,1)&amp;"#","#0#1#2#3#4#5#6#7#8#9#")),IF(ISNUMBER(FIND("#"&amp;MID(D272,2,1)&amp;"#","#0#1#2#3#4#5#6#7#8#9#")),IF(AND(VALUE(LEFT(D272,2))&gt;=1,VALUE(LEFT(D272,2))&lt;=5),VALUE(LEFT(D272,2)),""),IF(AND(VALUE(LEFT(D272,1))&gt;=1,VALUE(LEFT(D272,1))&lt;=5),VALUE(LEFT(D272,1)),"")),""),"")</f>
        <v/>
      </c>
      <c r="S272" s="25">
        <f>IF(AND(Q272=1,E272&lt;&gt;""),SUBSTITUTE(SUBSTITUTE(SUBSTITUTE(SUBSTITUTE(SUBSTITUTE(SUBSTITUTE(SUBSTITUTE(SUBSTITUTE(SUBSTITUTE(SUBSTITUTE(SUBSTITUTE(SUBSTITUTE(LOWER(TRIM(E272)),"á","a"),"é","e"),"í","i"),"ó","o"),"ú","u"),"ü","u"),"ñ","n"),"à","a"),"è","e"),"ì","i"),"ò","o"),"ù","u"),"")</f>
        <v/>
      </c>
      <c r="T272" s="25">
        <f>IF(AND(Q272=1,G272&lt;&gt;""),SUBSTITUTE(SUBSTITUTE(SUBSTITUTE(SUBSTITUTE(SUBSTITUTE(SUBSTITUTE(SUBSTITUTE(SUBSTITUTE(SUBSTITUTE(SUBSTITUTE(SUBSTITUTE(SUBSTITUTE(LOWER(TRIM(G272)),"á","a"),"é","e"),"í","i"),"ó","o"),"ú","u"),"ü","u"),"ñ","n"),"à","a"),"è","e"),"ì","i"),"ò","o"),"ù","u"),"")</f>
        <v/>
      </c>
      <c r="U272" s="25">
        <f>IF(AND(Q272=1,H272&lt;&gt;""),SUBSTITUTE(SUBSTITUTE(SUBSTITUTE(SUBSTITUTE(SUBSTITUTE(SUBSTITUTE(SUBSTITUTE(SUBSTITUTE(SUBSTITUTE(SUBSTITUTE(SUBSTITUTE(SUBSTITUTE(LOWER(TRIM(H272)),"á","a"),"é","e"),"í","i"),"ó","o"),"ú","u"),"ü","u"),"ñ","n"),"à","a"),"è","e"),"ì","i"),"ò","o"),"ù","u"),"")</f>
        <v/>
      </c>
      <c r="V272" s="25">
        <f>IF(AND(Q272=1,L272&lt;&gt;""),SUBSTITUTE(SUBSTITUTE(SUBSTITUTE(SUBSTITUTE(SUBSTITUTE(SUBSTITUTE(SUBSTITUTE(SUBSTITUTE(SUBSTITUTE(SUBSTITUTE(SUBSTITUTE(SUBSTITUTE(LOWER(TRIM(L272)),"á","a"),"é","e"),"í","i"),"ó","o"),"ú","u"),"ü","u"),"ñ","n"),"à","a"),"è","e"),"ì","i"),"ò","o"),"ù","u"),"")</f>
        <v/>
      </c>
      <c r="W272" s="25">
        <f>IF(AND(Q272=1,I272&lt;&gt;""),SUBSTITUTE(SUBSTITUTE(SUBSTITUTE(SUBSTITUTE(SUBSTITUTE(SUBSTITUTE(SUBSTITUTE(SUBSTITUTE(SUBSTITUTE(SUBSTITUTE(SUBSTITUTE(SUBSTITUTE(LOWER(TRIM(I272)),"á","a"),"é","e"),"í","i"),"ó","o"),"ú","u"),"ü","u"),"ñ","n"),"à","a"),"è","e"),"ì","i"),"ò","o"),"ù","u"),"")</f>
        <v/>
      </c>
      <c r="X272" s="25">
        <f>IF(U272="","",IF(OR(U272="si, en la proxima tarea",U272="si, con cambios"),1,0))</f>
        <v/>
      </c>
      <c r="Y272" s="25">
        <f>IF(AND(Q272=1,A272&lt;&gt;""),IF(IFERROR(COUNTIFS(A$3:A272,"="&amp;SUBSTITUTE(SUBSTITUTE(SUBSTITUTE(A272,"~","~~"),"*","~*"),"?","~?"),Q$3:Q272,1),0)=1,MAX(Y$2:Y271)+1,""),"")</f>
        <v/>
      </c>
      <c r="Z272" s="25">
        <f>IF(Y272="","",COUNTIFS($A$3:$A$1002,"="&amp;SUBSTITUTE(SUBSTITUTE(SUBSTITUTE(A272,"~","~~"),"*","~*"),"?","~?"),$Q$3:$Q$1002,1)*10000-Y272)</f>
        <v/>
      </c>
    </row>
    <row r="273">
      <c r="A273">
        <f>IF(A$2=0,"",IFERROR(TRIM(INDEX('Pegar docentes'!$A$1:$BZ$1001,272,A$2)&amp;""),""))</f>
        <v/>
      </c>
      <c r="B273">
        <f>IF(B$2=0,"",IFERROR(TRIM(INDEX('Pegar docentes'!$A$1:$BZ$1001,272,B$2)&amp;""),""))</f>
        <v/>
      </c>
      <c r="C273">
        <f>IF(C$2=0,"",IFERROR(TRIM(INDEX('Pegar docentes'!$A$1:$BZ$1001,272,C$2)&amp;""),""))</f>
        <v/>
      </c>
      <c r="D273">
        <f>IF(D$2=0,"",IFERROR(TRIM(INDEX('Pegar docentes'!$A$1:$BZ$1001,272,D$2)&amp;""),""))</f>
        <v/>
      </c>
      <c r="E273">
        <f>IF(E$2=0,"",IFERROR(TRIM(INDEX('Pegar docentes'!$A$1:$BZ$1001,272,E$2)&amp;""),""))</f>
        <v/>
      </c>
      <c r="F273">
        <f>IF(F$2=0,"",IFERROR(TRIM(INDEX('Pegar docentes'!$A$1:$BZ$1001,272,F$2)&amp;""),""))</f>
        <v/>
      </c>
      <c r="G273">
        <f>IF(G$2=0,"",IFERROR(TRIM(INDEX('Pegar docentes'!$A$1:$BZ$1001,272,G$2)&amp;""),""))</f>
        <v/>
      </c>
      <c r="H273">
        <f>IF(H$2=0,"",IFERROR(TRIM(INDEX('Pegar docentes'!$A$1:$BZ$1001,272,H$2)&amp;""),""))</f>
        <v/>
      </c>
      <c r="I273">
        <f>IF(I$2=0,"",IFERROR(TRIM(INDEX('Pegar docentes'!$A$1:$BZ$1001,272,I$2)&amp;""),""))</f>
        <v/>
      </c>
      <c r="J273">
        <f>IF(J$2=0,"",IFERROR(TRIM(INDEX('Pegar docentes'!$A$1:$BZ$1001,272,J$2)&amp;""),""))</f>
        <v/>
      </c>
      <c r="K273">
        <f>IF(K$2=0,"",IFERROR(TRIM(INDEX('Pegar docentes'!$A$1:$BZ$1001,272,K$2)&amp;""),""))</f>
        <v/>
      </c>
      <c r="L273">
        <f>IF(L$2=0,"",IFERROR(TRIM(INDEX('Pegar docentes'!$A$1:$BZ$1001,272,L$2)&amp;""),""))</f>
        <v/>
      </c>
      <c r="M273">
        <f>IF(M$2=0,"",IFERROR(TRIM(INDEX('Pegar docentes'!$A$1:$BZ$1001,272,M$2)&amp;""),""))</f>
        <v/>
      </c>
      <c r="N273">
        <f>IF(N$2=0,"",IFERROR(TRIM(INDEX('Pegar docentes'!$A$1:$BZ$1001,272,N$2)&amp;""),""))</f>
        <v/>
      </c>
      <c r="O273">
        <f>IF(O$2=0,"",IFERROR(TRIM(INDEX('Pegar docentes'!$A$1:$BZ$1001,272,O$2)&amp;""),""))</f>
        <v/>
      </c>
      <c r="P273">
        <f>IF(P$2=0,"",IFERROR(TRIM(INDEX('Pegar docentes'!$A$1:$BZ$1001,272,P$2)&amp;""),""))</f>
        <v/>
      </c>
      <c r="Q273" s="25">
        <f>IF(OR(D273&lt;&gt;"",H273&lt;&gt;""),1,"")</f>
        <v/>
      </c>
      <c r="R273" s="25">
        <f>IF(Q273=1,IF(ISNUMBER(FIND("#"&amp;MID(D273,1,1)&amp;"#","#0#1#2#3#4#5#6#7#8#9#")),IF(ISNUMBER(FIND("#"&amp;MID(D273,2,1)&amp;"#","#0#1#2#3#4#5#6#7#8#9#")),IF(AND(VALUE(LEFT(D273,2))&gt;=1,VALUE(LEFT(D273,2))&lt;=5),VALUE(LEFT(D273,2)),""),IF(AND(VALUE(LEFT(D273,1))&gt;=1,VALUE(LEFT(D273,1))&lt;=5),VALUE(LEFT(D273,1)),"")),""),"")</f>
        <v/>
      </c>
      <c r="S273" s="25">
        <f>IF(AND(Q273=1,E273&lt;&gt;""),SUBSTITUTE(SUBSTITUTE(SUBSTITUTE(SUBSTITUTE(SUBSTITUTE(SUBSTITUTE(SUBSTITUTE(SUBSTITUTE(SUBSTITUTE(SUBSTITUTE(SUBSTITUTE(SUBSTITUTE(LOWER(TRIM(E273)),"á","a"),"é","e"),"í","i"),"ó","o"),"ú","u"),"ü","u"),"ñ","n"),"à","a"),"è","e"),"ì","i"),"ò","o"),"ù","u"),"")</f>
        <v/>
      </c>
      <c r="T273" s="25">
        <f>IF(AND(Q273=1,G273&lt;&gt;""),SUBSTITUTE(SUBSTITUTE(SUBSTITUTE(SUBSTITUTE(SUBSTITUTE(SUBSTITUTE(SUBSTITUTE(SUBSTITUTE(SUBSTITUTE(SUBSTITUTE(SUBSTITUTE(SUBSTITUTE(LOWER(TRIM(G273)),"á","a"),"é","e"),"í","i"),"ó","o"),"ú","u"),"ü","u"),"ñ","n"),"à","a"),"è","e"),"ì","i"),"ò","o"),"ù","u"),"")</f>
        <v/>
      </c>
      <c r="U273" s="25">
        <f>IF(AND(Q273=1,H273&lt;&gt;""),SUBSTITUTE(SUBSTITUTE(SUBSTITUTE(SUBSTITUTE(SUBSTITUTE(SUBSTITUTE(SUBSTITUTE(SUBSTITUTE(SUBSTITUTE(SUBSTITUTE(SUBSTITUTE(SUBSTITUTE(LOWER(TRIM(H273)),"á","a"),"é","e"),"í","i"),"ó","o"),"ú","u"),"ü","u"),"ñ","n"),"à","a"),"è","e"),"ì","i"),"ò","o"),"ù","u"),"")</f>
        <v/>
      </c>
      <c r="V273" s="25">
        <f>IF(AND(Q273=1,L273&lt;&gt;""),SUBSTITUTE(SUBSTITUTE(SUBSTITUTE(SUBSTITUTE(SUBSTITUTE(SUBSTITUTE(SUBSTITUTE(SUBSTITUTE(SUBSTITUTE(SUBSTITUTE(SUBSTITUTE(SUBSTITUTE(LOWER(TRIM(L273)),"á","a"),"é","e"),"í","i"),"ó","o"),"ú","u"),"ü","u"),"ñ","n"),"à","a"),"è","e"),"ì","i"),"ò","o"),"ù","u"),"")</f>
        <v/>
      </c>
      <c r="W273" s="25">
        <f>IF(AND(Q273=1,I273&lt;&gt;""),SUBSTITUTE(SUBSTITUTE(SUBSTITUTE(SUBSTITUTE(SUBSTITUTE(SUBSTITUTE(SUBSTITUTE(SUBSTITUTE(SUBSTITUTE(SUBSTITUTE(SUBSTITUTE(SUBSTITUTE(LOWER(TRIM(I273)),"á","a"),"é","e"),"í","i"),"ó","o"),"ú","u"),"ü","u"),"ñ","n"),"à","a"),"è","e"),"ì","i"),"ò","o"),"ù","u"),"")</f>
        <v/>
      </c>
      <c r="X273" s="25">
        <f>IF(U273="","",IF(OR(U273="si, en la proxima tarea",U273="si, con cambios"),1,0))</f>
        <v/>
      </c>
      <c r="Y273" s="25">
        <f>IF(AND(Q273=1,A273&lt;&gt;""),IF(IFERROR(COUNTIFS(A$3:A273,"="&amp;SUBSTITUTE(SUBSTITUTE(SUBSTITUTE(A273,"~","~~"),"*","~*"),"?","~?"),Q$3:Q273,1),0)=1,MAX(Y$2:Y272)+1,""),"")</f>
        <v/>
      </c>
      <c r="Z273" s="25">
        <f>IF(Y273="","",COUNTIFS($A$3:$A$1002,"="&amp;SUBSTITUTE(SUBSTITUTE(SUBSTITUTE(A273,"~","~~"),"*","~*"),"?","~?"),$Q$3:$Q$1002,1)*10000-Y273)</f>
        <v/>
      </c>
    </row>
    <row r="274">
      <c r="A274">
        <f>IF(A$2=0,"",IFERROR(TRIM(INDEX('Pegar docentes'!$A$1:$BZ$1001,273,A$2)&amp;""),""))</f>
        <v/>
      </c>
      <c r="B274">
        <f>IF(B$2=0,"",IFERROR(TRIM(INDEX('Pegar docentes'!$A$1:$BZ$1001,273,B$2)&amp;""),""))</f>
        <v/>
      </c>
      <c r="C274">
        <f>IF(C$2=0,"",IFERROR(TRIM(INDEX('Pegar docentes'!$A$1:$BZ$1001,273,C$2)&amp;""),""))</f>
        <v/>
      </c>
      <c r="D274">
        <f>IF(D$2=0,"",IFERROR(TRIM(INDEX('Pegar docentes'!$A$1:$BZ$1001,273,D$2)&amp;""),""))</f>
        <v/>
      </c>
      <c r="E274">
        <f>IF(E$2=0,"",IFERROR(TRIM(INDEX('Pegar docentes'!$A$1:$BZ$1001,273,E$2)&amp;""),""))</f>
        <v/>
      </c>
      <c r="F274">
        <f>IF(F$2=0,"",IFERROR(TRIM(INDEX('Pegar docentes'!$A$1:$BZ$1001,273,F$2)&amp;""),""))</f>
        <v/>
      </c>
      <c r="G274">
        <f>IF(G$2=0,"",IFERROR(TRIM(INDEX('Pegar docentes'!$A$1:$BZ$1001,273,G$2)&amp;""),""))</f>
        <v/>
      </c>
      <c r="H274">
        <f>IF(H$2=0,"",IFERROR(TRIM(INDEX('Pegar docentes'!$A$1:$BZ$1001,273,H$2)&amp;""),""))</f>
        <v/>
      </c>
      <c r="I274">
        <f>IF(I$2=0,"",IFERROR(TRIM(INDEX('Pegar docentes'!$A$1:$BZ$1001,273,I$2)&amp;""),""))</f>
        <v/>
      </c>
      <c r="J274">
        <f>IF(J$2=0,"",IFERROR(TRIM(INDEX('Pegar docentes'!$A$1:$BZ$1001,273,J$2)&amp;""),""))</f>
        <v/>
      </c>
      <c r="K274">
        <f>IF(K$2=0,"",IFERROR(TRIM(INDEX('Pegar docentes'!$A$1:$BZ$1001,273,K$2)&amp;""),""))</f>
        <v/>
      </c>
      <c r="L274">
        <f>IF(L$2=0,"",IFERROR(TRIM(INDEX('Pegar docentes'!$A$1:$BZ$1001,273,L$2)&amp;""),""))</f>
        <v/>
      </c>
      <c r="M274">
        <f>IF(M$2=0,"",IFERROR(TRIM(INDEX('Pegar docentes'!$A$1:$BZ$1001,273,M$2)&amp;""),""))</f>
        <v/>
      </c>
      <c r="N274">
        <f>IF(N$2=0,"",IFERROR(TRIM(INDEX('Pegar docentes'!$A$1:$BZ$1001,273,N$2)&amp;""),""))</f>
        <v/>
      </c>
      <c r="O274">
        <f>IF(O$2=0,"",IFERROR(TRIM(INDEX('Pegar docentes'!$A$1:$BZ$1001,273,O$2)&amp;""),""))</f>
        <v/>
      </c>
      <c r="P274">
        <f>IF(P$2=0,"",IFERROR(TRIM(INDEX('Pegar docentes'!$A$1:$BZ$1001,273,P$2)&amp;""),""))</f>
        <v/>
      </c>
      <c r="Q274" s="25">
        <f>IF(OR(D274&lt;&gt;"",H274&lt;&gt;""),1,"")</f>
        <v/>
      </c>
      <c r="R274" s="25">
        <f>IF(Q274=1,IF(ISNUMBER(FIND("#"&amp;MID(D274,1,1)&amp;"#","#0#1#2#3#4#5#6#7#8#9#")),IF(ISNUMBER(FIND("#"&amp;MID(D274,2,1)&amp;"#","#0#1#2#3#4#5#6#7#8#9#")),IF(AND(VALUE(LEFT(D274,2))&gt;=1,VALUE(LEFT(D274,2))&lt;=5),VALUE(LEFT(D274,2)),""),IF(AND(VALUE(LEFT(D274,1))&gt;=1,VALUE(LEFT(D274,1))&lt;=5),VALUE(LEFT(D274,1)),"")),""),"")</f>
        <v/>
      </c>
      <c r="S274" s="25">
        <f>IF(AND(Q274=1,E274&lt;&gt;""),SUBSTITUTE(SUBSTITUTE(SUBSTITUTE(SUBSTITUTE(SUBSTITUTE(SUBSTITUTE(SUBSTITUTE(SUBSTITUTE(SUBSTITUTE(SUBSTITUTE(SUBSTITUTE(SUBSTITUTE(LOWER(TRIM(E274)),"á","a"),"é","e"),"í","i"),"ó","o"),"ú","u"),"ü","u"),"ñ","n"),"à","a"),"è","e"),"ì","i"),"ò","o"),"ù","u"),"")</f>
        <v/>
      </c>
      <c r="T274" s="25">
        <f>IF(AND(Q274=1,G274&lt;&gt;""),SUBSTITUTE(SUBSTITUTE(SUBSTITUTE(SUBSTITUTE(SUBSTITUTE(SUBSTITUTE(SUBSTITUTE(SUBSTITUTE(SUBSTITUTE(SUBSTITUTE(SUBSTITUTE(SUBSTITUTE(LOWER(TRIM(G274)),"á","a"),"é","e"),"í","i"),"ó","o"),"ú","u"),"ü","u"),"ñ","n"),"à","a"),"è","e"),"ì","i"),"ò","o"),"ù","u"),"")</f>
        <v/>
      </c>
      <c r="U274" s="25">
        <f>IF(AND(Q274=1,H274&lt;&gt;""),SUBSTITUTE(SUBSTITUTE(SUBSTITUTE(SUBSTITUTE(SUBSTITUTE(SUBSTITUTE(SUBSTITUTE(SUBSTITUTE(SUBSTITUTE(SUBSTITUTE(SUBSTITUTE(SUBSTITUTE(LOWER(TRIM(H274)),"á","a"),"é","e"),"í","i"),"ó","o"),"ú","u"),"ü","u"),"ñ","n"),"à","a"),"è","e"),"ì","i"),"ò","o"),"ù","u"),"")</f>
        <v/>
      </c>
      <c r="V274" s="25">
        <f>IF(AND(Q274=1,L274&lt;&gt;""),SUBSTITUTE(SUBSTITUTE(SUBSTITUTE(SUBSTITUTE(SUBSTITUTE(SUBSTITUTE(SUBSTITUTE(SUBSTITUTE(SUBSTITUTE(SUBSTITUTE(SUBSTITUTE(SUBSTITUTE(LOWER(TRIM(L274)),"á","a"),"é","e"),"í","i"),"ó","o"),"ú","u"),"ü","u"),"ñ","n"),"à","a"),"è","e"),"ì","i"),"ò","o"),"ù","u"),"")</f>
        <v/>
      </c>
      <c r="W274" s="25">
        <f>IF(AND(Q274=1,I274&lt;&gt;""),SUBSTITUTE(SUBSTITUTE(SUBSTITUTE(SUBSTITUTE(SUBSTITUTE(SUBSTITUTE(SUBSTITUTE(SUBSTITUTE(SUBSTITUTE(SUBSTITUTE(SUBSTITUTE(SUBSTITUTE(LOWER(TRIM(I274)),"á","a"),"é","e"),"í","i"),"ó","o"),"ú","u"),"ü","u"),"ñ","n"),"à","a"),"è","e"),"ì","i"),"ò","o"),"ù","u"),"")</f>
        <v/>
      </c>
      <c r="X274" s="25">
        <f>IF(U274="","",IF(OR(U274="si, en la proxima tarea",U274="si, con cambios"),1,0))</f>
        <v/>
      </c>
      <c r="Y274" s="25">
        <f>IF(AND(Q274=1,A274&lt;&gt;""),IF(IFERROR(COUNTIFS(A$3:A274,"="&amp;SUBSTITUTE(SUBSTITUTE(SUBSTITUTE(A274,"~","~~"),"*","~*"),"?","~?"),Q$3:Q274,1),0)=1,MAX(Y$2:Y273)+1,""),"")</f>
        <v/>
      </c>
      <c r="Z274" s="25">
        <f>IF(Y274="","",COUNTIFS($A$3:$A$1002,"="&amp;SUBSTITUTE(SUBSTITUTE(SUBSTITUTE(A274,"~","~~"),"*","~*"),"?","~?"),$Q$3:$Q$1002,1)*10000-Y274)</f>
        <v/>
      </c>
    </row>
    <row r="275">
      <c r="A275">
        <f>IF(A$2=0,"",IFERROR(TRIM(INDEX('Pegar docentes'!$A$1:$BZ$1001,274,A$2)&amp;""),""))</f>
        <v/>
      </c>
      <c r="B275">
        <f>IF(B$2=0,"",IFERROR(TRIM(INDEX('Pegar docentes'!$A$1:$BZ$1001,274,B$2)&amp;""),""))</f>
        <v/>
      </c>
      <c r="C275">
        <f>IF(C$2=0,"",IFERROR(TRIM(INDEX('Pegar docentes'!$A$1:$BZ$1001,274,C$2)&amp;""),""))</f>
        <v/>
      </c>
      <c r="D275">
        <f>IF(D$2=0,"",IFERROR(TRIM(INDEX('Pegar docentes'!$A$1:$BZ$1001,274,D$2)&amp;""),""))</f>
        <v/>
      </c>
      <c r="E275">
        <f>IF(E$2=0,"",IFERROR(TRIM(INDEX('Pegar docentes'!$A$1:$BZ$1001,274,E$2)&amp;""),""))</f>
        <v/>
      </c>
      <c r="F275">
        <f>IF(F$2=0,"",IFERROR(TRIM(INDEX('Pegar docentes'!$A$1:$BZ$1001,274,F$2)&amp;""),""))</f>
        <v/>
      </c>
      <c r="G275">
        <f>IF(G$2=0,"",IFERROR(TRIM(INDEX('Pegar docentes'!$A$1:$BZ$1001,274,G$2)&amp;""),""))</f>
        <v/>
      </c>
      <c r="H275">
        <f>IF(H$2=0,"",IFERROR(TRIM(INDEX('Pegar docentes'!$A$1:$BZ$1001,274,H$2)&amp;""),""))</f>
        <v/>
      </c>
      <c r="I275">
        <f>IF(I$2=0,"",IFERROR(TRIM(INDEX('Pegar docentes'!$A$1:$BZ$1001,274,I$2)&amp;""),""))</f>
        <v/>
      </c>
      <c r="J275">
        <f>IF(J$2=0,"",IFERROR(TRIM(INDEX('Pegar docentes'!$A$1:$BZ$1001,274,J$2)&amp;""),""))</f>
        <v/>
      </c>
      <c r="K275">
        <f>IF(K$2=0,"",IFERROR(TRIM(INDEX('Pegar docentes'!$A$1:$BZ$1001,274,K$2)&amp;""),""))</f>
        <v/>
      </c>
      <c r="L275">
        <f>IF(L$2=0,"",IFERROR(TRIM(INDEX('Pegar docentes'!$A$1:$BZ$1001,274,L$2)&amp;""),""))</f>
        <v/>
      </c>
      <c r="M275">
        <f>IF(M$2=0,"",IFERROR(TRIM(INDEX('Pegar docentes'!$A$1:$BZ$1001,274,M$2)&amp;""),""))</f>
        <v/>
      </c>
      <c r="N275">
        <f>IF(N$2=0,"",IFERROR(TRIM(INDEX('Pegar docentes'!$A$1:$BZ$1001,274,N$2)&amp;""),""))</f>
        <v/>
      </c>
      <c r="O275">
        <f>IF(O$2=0,"",IFERROR(TRIM(INDEX('Pegar docentes'!$A$1:$BZ$1001,274,O$2)&amp;""),""))</f>
        <v/>
      </c>
      <c r="P275">
        <f>IF(P$2=0,"",IFERROR(TRIM(INDEX('Pegar docentes'!$A$1:$BZ$1001,274,P$2)&amp;""),""))</f>
        <v/>
      </c>
      <c r="Q275" s="25">
        <f>IF(OR(D275&lt;&gt;"",H275&lt;&gt;""),1,"")</f>
        <v/>
      </c>
      <c r="R275" s="25">
        <f>IF(Q275=1,IF(ISNUMBER(FIND("#"&amp;MID(D275,1,1)&amp;"#","#0#1#2#3#4#5#6#7#8#9#")),IF(ISNUMBER(FIND("#"&amp;MID(D275,2,1)&amp;"#","#0#1#2#3#4#5#6#7#8#9#")),IF(AND(VALUE(LEFT(D275,2))&gt;=1,VALUE(LEFT(D275,2))&lt;=5),VALUE(LEFT(D275,2)),""),IF(AND(VALUE(LEFT(D275,1))&gt;=1,VALUE(LEFT(D275,1))&lt;=5),VALUE(LEFT(D275,1)),"")),""),"")</f>
        <v/>
      </c>
      <c r="S275" s="25">
        <f>IF(AND(Q275=1,E275&lt;&gt;""),SUBSTITUTE(SUBSTITUTE(SUBSTITUTE(SUBSTITUTE(SUBSTITUTE(SUBSTITUTE(SUBSTITUTE(SUBSTITUTE(SUBSTITUTE(SUBSTITUTE(SUBSTITUTE(SUBSTITUTE(LOWER(TRIM(E275)),"á","a"),"é","e"),"í","i"),"ó","o"),"ú","u"),"ü","u"),"ñ","n"),"à","a"),"è","e"),"ì","i"),"ò","o"),"ù","u"),"")</f>
        <v/>
      </c>
      <c r="T275" s="25">
        <f>IF(AND(Q275=1,G275&lt;&gt;""),SUBSTITUTE(SUBSTITUTE(SUBSTITUTE(SUBSTITUTE(SUBSTITUTE(SUBSTITUTE(SUBSTITUTE(SUBSTITUTE(SUBSTITUTE(SUBSTITUTE(SUBSTITUTE(SUBSTITUTE(LOWER(TRIM(G275)),"á","a"),"é","e"),"í","i"),"ó","o"),"ú","u"),"ü","u"),"ñ","n"),"à","a"),"è","e"),"ì","i"),"ò","o"),"ù","u"),"")</f>
        <v/>
      </c>
      <c r="U275" s="25">
        <f>IF(AND(Q275=1,H275&lt;&gt;""),SUBSTITUTE(SUBSTITUTE(SUBSTITUTE(SUBSTITUTE(SUBSTITUTE(SUBSTITUTE(SUBSTITUTE(SUBSTITUTE(SUBSTITUTE(SUBSTITUTE(SUBSTITUTE(SUBSTITUTE(LOWER(TRIM(H275)),"á","a"),"é","e"),"í","i"),"ó","o"),"ú","u"),"ü","u"),"ñ","n"),"à","a"),"è","e"),"ì","i"),"ò","o"),"ù","u"),"")</f>
        <v/>
      </c>
      <c r="V275" s="25">
        <f>IF(AND(Q275=1,L275&lt;&gt;""),SUBSTITUTE(SUBSTITUTE(SUBSTITUTE(SUBSTITUTE(SUBSTITUTE(SUBSTITUTE(SUBSTITUTE(SUBSTITUTE(SUBSTITUTE(SUBSTITUTE(SUBSTITUTE(SUBSTITUTE(LOWER(TRIM(L275)),"á","a"),"é","e"),"í","i"),"ó","o"),"ú","u"),"ü","u"),"ñ","n"),"à","a"),"è","e"),"ì","i"),"ò","o"),"ù","u"),"")</f>
        <v/>
      </c>
      <c r="W275" s="25">
        <f>IF(AND(Q275=1,I275&lt;&gt;""),SUBSTITUTE(SUBSTITUTE(SUBSTITUTE(SUBSTITUTE(SUBSTITUTE(SUBSTITUTE(SUBSTITUTE(SUBSTITUTE(SUBSTITUTE(SUBSTITUTE(SUBSTITUTE(SUBSTITUTE(LOWER(TRIM(I275)),"á","a"),"é","e"),"í","i"),"ó","o"),"ú","u"),"ü","u"),"ñ","n"),"à","a"),"è","e"),"ì","i"),"ò","o"),"ù","u"),"")</f>
        <v/>
      </c>
      <c r="X275" s="25">
        <f>IF(U275="","",IF(OR(U275="si, en la proxima tarea",U275="si, con cambios"),1,0))</f>
        <v/>
      </c>
      <c r="Y275" s="25">
        <f>IF(AND(Q275=1,A275&lt;&gt;""),IF(IFERROR(COUNTIFS(A$3:A275,"="&amp;SUBSTITUTE(SUBSTITUTE(SUBSTITUTE(A275,"~","~~"),"*","~*"),"?","~?"),Q$3:Q275,1),0)=1,MAX(Y$2:Y274)+1,""),"")</f>
        <v/>
      </c>
      <c r="Z275" s="25">
        <f>IF(Y275="","",COUNTIFS($A$3:$A$1002,"="&amp;SUBSTITUTE(SUBSTITUTE(SUBSTITUTE(A275,"~","~~"),"*","~*"),"?","~?"),$Q$3:$Q$1002,1)*10000-Y275)</f>
        <v/>
      </c>
    </row>
    <row r="276">
      <c r="A276">
        <f>IF(A$2=0,"",IFERROR(TRIM(INDEX('Pegar docentes'!$A$1:$BZ$1001,275,A$2)&amp;""),""))</f>
        <v/>
      </c>
      <c r="B276">
        <f>IF(B$2=0,"",IFERROR(TRIM(INDEX('Pegar docentes'!$A$1:$BZ$1001,275,B$2)&amp;""),""))</f>
        <v/>
      </c>
      <c r="C276">
        <f>IF(C$2=0,"",IFERROR(TRIM(INDEX('Pegar docentes'!$A$1:$BZ$1001,275,C$2)&amp;""),""))</f>
        <v/>
      </c>
      <c r="D276">
        <f>IF(D$2=0,"",IFERROR(TRIM(INDEX('Pegar docentes'!$A$1:$BZ$1001,275,D$2)&amp;""),""))</f>
        <v/>
      </c>
      <c r="E276">
        <f>IF(E$2=0,"",IFERROR(TRIM(INDEX('Pegar docentes'!$A$1:$BZ$1001,275,E$2)&amp;""),""))</f>
        <v/>
      </c>
      <c r="F276">
        <f>IF(F$2=0,"",IFERROR(TRIM(INDEX('Pegar docentes'!$A$1:$BZ$1001,275,F$2)&amp;""),""))</f>
        <v/>
      </c>
      <c r="G276">
        <f>IF(G$2=0,"",IFERROR(TRIM(INDEX('Pegar docentes'!$A$1:$BZ$1001,275,G$2)&amp;""),""))</f>
        <v/>
      </c>
      <c r="H276">
        <f>IF(H$2=0,"",IFERROR(TRIM(INDEX('Pegar docentes'!$A$1:$BZ$1001,275,H$2)&amp;""),""))</f>
        <v/>
      </c>
      <c r="I276">
        <f>IF(I$2=0,"",IFERROR(TRIM(INDEX('Pegar docentes'!$A$1:$BZ$1001,275,I$2)&amp;""),""))</f>
        <v/>
      </c>
      <c r="J276">
        <f>IF(J$2=0,"",IFERROR(TRIM(INDEX('Pegar docentes'!$A$1:$BZ$1001,275,J$2)&amp;""),""))</f>
        <v/>
      </c>
      <c r="K276">
        <f>IF(K$2=0,"",IFERROR(TRIM(INDEX('Pegar docentes'!$A$1:$BZ$1001,275,K$2)&amp;""),""))</f>
        <v/>
      </c>
      <c r="L276">
        <f>IF(L$2=0,"",IFERROR(TRIM(INDEX('Pegar docentes'!$A$1:$BZ$1001,275,L$2)&amp;""),""))</f>
        <v/>
      </c>
      <c r="M276">
        <f>IF(M$2=0,"",IFERROR(TRIM(INDEX('Pegar docentes'!$A$1:$BZ$1001,275,M$2)&amp;""),""))</f>
        <v/>
      </c>
      <c r="N276">
        <f>IF(N$2=0,"",IFERROR(TRIM(INDEX('Pegar docentes'!$A$1:$BZ$1001,275,N$2)&amp;""),""))</f>
        <v/>
      </c>
      <c r="O276">
        <f>IF(O$2=0,"",IFERROR(TRIM(INDEX('Pegar docentes'!$A$1:$BZ$1001,275,O$2)&amp;""),""))</f>
        <v/>
      </c>
      <c r="P276">
        <f>IF(P$2=0,"",IFERROR(TRIM(INDEX('Pegar docentes'!$A$1:$BZ$1001,275,P$2)&amp;""),""))</f>
        <v/>
      </c>
      <c r="Q276" s="25">
        <f>IF(OR(D276&lt;&gt;"",H276&lt;&gt;""),1,"")</f>
        <v/>
      </c>
      <c r="R276" s="25">
        <f>IF(Q276=1,IF(ISNUMBER(FIND("#"&amp;MID(D276,1,1)&amp;"#","#0#1#2#3#4#5#6#7#8#9#")),IF(ISNUMBER(FIND("#"&amp;MID(D276,2,1)&amp;"#","#0#1#2#3#4#5#6#7#8#9#")),IF(AND(VALUE(LEFT(D276,2))&gt;=1,VALUE(LEFT(D276,2))&lt;=5),VALUE(LEFT(D276,2)),""),IF(AND(VALUE(LEFT(D276,1))&gt;=1,VALUE(LEFT(D276,1))&lt;=5),VALUE(LEFT(D276,1)),"")),""),"")</f>
        <v/>
      </c>
      <c r="S276" s="25">
        <f>IF(AND(Q276=1,E276&lt;&gt;""),SUBSTITUTE(SUBSTITUTE(SUBSTITUTE(SUBSTITUTE(SUBSTITUTE(SUBSTITUTE(SUBSTITUTE(SUBSTITUTE(SUBSTITUTE(SUBSTITUTE(SUBSTITUTE(SUBSTITUTE(LOWER(TRIM(E276)),"á","a"),"é","e"),"í","i"),"ó","o"),"ú","u"),"ü","u"),"ñ","n"),"à","a"),"è","e"),"ì","i"),"ò","o"),"ù","u"),"")</f>
        <v/>
      </c>
      <c r="T276" s="25">
        <f>IF(AND(Q276=1,G276&lt;&gt;""),SUBSTITUTE(SUBSTITUTE(SUBSTITUTE(SUBSTITUTE(SUBSTITUTE(SUBSTITUTE(SUBSTITUTE(SUBSTITUTE(SUBSTITUTE(SUBSTITUTE(SUBSTITUTE(SUBSTITUTE(LOWER(TRIM(G276)),"á","a"),"é","e"),"í","i"),"ó","o"),"ú","u"),"ü","u"),"ñ","n"),"à","a"),"è","e"),"ì","i"),"ò","o"),"ù","u"),"")</f>
        <v/>
      </c>
      <c r="U276" s="25">
        <f>IF(AND(Q276=1,H276&lt;&gt;""),SUBSTITUTE(SUBSTITUTE(SUBSTITUTE(SUBSTITUTE(SUBSTITUTE(SUBSTITUTE(SUBSTITUTE(SUBSTITUTE(SUBSTITUTE(SUBSTITUTE(SUBSTITUTE(SUBSTITUTE(LOWER(TRIM(H276)),"á","a"),"é","e"),"í","i"),"ó","o"),"ú","u"),"ü","u"),"ñ","n"),"à","a"),"è","e"),"ì","i"),"ò","o"),"ù","u"),"")</f>
        <v/>
      </c>
      <c r="V276" s="25">
        <f>IF(AND(Q276=1,L276&lt;&gt;""),SUBSTITUTE(SUBSTITUTE(SUBSTITUTE(SUBSTITUTE(SUBSTITUTE(SUBSTITUTE(SUBSTITUTE(SUBSTITUTE(SUBSTITUTE(SUBSTITUTE(SUBSTITUTE(SUBSTITUTE(LOWER(TRIM(L276)),"á","a"),"é","e"),"í","i"),"ó","o"),"ú","u"),"ü","u"),"ñ","n"),"à","a"),"è","e"),"ì","i"),"ò","o"),"ù","u"),"")</f>
        <v/>
      </c>
      <c r="W276" s="25">
        <f>IF(AND(Q276=1,I276&lt;&gt;""),SUBSTITUTE(SUBSTITUTE(SUBSTITUTE(SUBSTITUTE(SUBSTITUTE(SUBSTITUTE(SUBSTITUTE(SUBSTITUTE(SUBSTITUTE(SUBSTITUTE(SUBSTITUTE(SUBSTITUTE(LOWER(TRIM(I276)),"á","a"),"é","e"),"í","i"),"ó","o"),"ú","u"),"ü","u"),"ñ","n"),"à","a"),"è","e"),"ì","i"),"ò","o"),"ù","u"),"")</f>
        <v/>
      </c>
      <c r="X276" s="25">
        <f>IF(U276="","",IF(OR(U276="si, en la proxima tarea",U276="si, con cambios"),1,0))</f>
        <v/>
      </c>
      <c r="Y276" s="25">
        <f>IF(AND(Q276=1,A276&lt;&gt;""),IF(IFERROR(COUNTIFS(A$3:A276,"="&amp;SUBSTITUTE(SUBSTITUTE(SUBSTITUTE(A276,"~","~~"),"*","~*"),"?","~?"),Q$3:Q276,1),0)=1,MAX(Y$2:Y275)+1,""),"")</f>
        <v/>
      </c>
      <c r="Z276" s="25">
        <f>IF(Y276="","",COUNTIFS($A$3:$A$1002,"="&amp;SUBSTITUTE(SUBSTITUTE(SUBSTITUTE(A276,"~","~~"),"*","~*"),"?","~?"),$Q$3:$Q$1002,1)*10000-Y276)</f>
        <v/>
      </c>
    </row>
    <row r="277">
      <c r="A277">
        <f>IF(A$2=0,"",IFERROR(TRIM(INDEX('Pegar docentes'!$A$1:$BZ$1001,276,A$2)&amp;""),""))</f>
        <v/>
      </c>
      <c r="B277">
        <f>IF(B$2=0,"",IFERROR(TRIM(INDEX('Pegar docentes'!$A$1:$BZ$1001,276,B$2)&amp;""),""))</f>
        <v/>
      </c>
      <c r="C277">
        <f>IF(C$2=0,"",IFERROR(TRIM(INDEX('Pegar docentes'!$A$1:$BZ$1001,276,C$2)&amp;""),""))</f>
        <v/>
      </c>
      <c r="D277">
        <f>IF(D$2=0,"",IFERROR(TRIM(INDEX('Pegar docentes'!$A$1:$BZ$1001,276,D$2)&amp;""),""))</f>
        <v/>
      </c>
      <c r="E277">
        <f>IF(E$2=0,"",IFERROR(TRIM(INDEX('Pegar docentes'!$A$1:$BZ$1001,276,E$2)&amp;""),""))</f>
        <v/>
      </c>
      <c r="F277">
        <f>IF(F$2=0,"",IFERROR(TRIM(INDEX('Pegar docentes'!$A$1:$BZ$1001,276,F$2)&amp;""),""))</f>
        <v/>
      </c>
      <c r="G277">
        <f>IF(G$2=0,"",IFERROR(TRIM(INDEX('Pegar docentes'!$A$1:$BZ$1001,276,G$2)&amp;""),""))</f>
        <v/>
      </c>
      <c r="H277">
        <f>IF(H$2=0,"",IFERROR(TRIM(INDEX('Pegar docentes'!$A$1:$BZ$1001,276,H$2)&amp;""),""))</f>
        <v/>
      </c>
      <c r="I277">
        <f>IF(I$2=0,"",IFERROR(TRIM(INDEX('Pegar docentes'!$A$1:$BZ$1001,276,I$2)&amp;""),""))</f>
        <v/>
      </c>
      <c r="J277">
        <f>IF(J$2=0,"",IFERROR(TRIM(INDEX('Pegar docentes'!$A$1:$BZ$1001,276,J$2)&amp;""),""))</f>
        <v/>
      </c>
      <c r="K277">
        <f>IF(K$2=0,"",IFERROR(TRIM(INDEX('Pegar docentes'!$A$1:$BZ$1001,276,K$2)&amp;""),""))</f>
        <v/>
      </c>
      <c r="L277">
        <f>IF(L$2=0,"",IFERROR(TRIM(INDEX('Pegar docentes'!$A$1:$BZ$1001,276,L$2)&amp;""),""))</f>
        <v/>
      </c>
      <c r="M277">
        <f>IF(M$2=0,"",IFERROR(TRIM(INDEX('Pegar docentes'!$A$1:$BZ$1001,276,M$2)&amp;""),""))</f>
        <v/>
      </c>
      <c r="N277">
        <f>IF(N$2=0,"",IFERROR(TRIM(INDEX('Pegar docentes'!$A$1:$BZ$1001,276,N$2)&amp;""),""))</f>
        <v/>
      </c>
      <c r="O277">
        <f>IF(O$2=0,"",IFERROR(TRIM(INDEX('Pegar docentes'!$A$1:$BZ$1001,276,O$2)&amp;""),""))</f>
        <v/>
      </c>
      <c r="P277">
        <f>IF(P$2=0,"",IFERROR(TRIM(INDEX('Pegar docentes'!$A$1:$BZ$1001,276,P$2)&amp;""),""))</f>
        <v/>
      </c>
      <c r="Q277" s="25">
        <f>IF(OR(D277&lt;&gt;"",H277&lt;&gt;""),1,"")</f>
        <v/>
      </c>
      <c r="R277" s="25">
        <f>IF(Q277=1,IF(ISNUMBER(FIND("#"&amp;MID(D277,1,1)&amp;"#","#0#1#2#3#4#5#6#7#8#9#")),IF(ISNUMBER(FIND("#"&amp;MID(D277,2,1)&amp;"#","#0#1#2#3#4#5#6#7#8#9#")),IF(AND(VALUE(LEFT(D277,2))&gt;=1,VALUE(LEFT(D277,2))&lt;=5),VALUE(LEFT(D277,2)),""),IF(AND(VALUE(LEFT(D277,1))&gt;=1,VALUE(LEFT(D277,1))&lt;=5),VALUE(LEFT(D277,1)),"")),""),"")</f>
        <v/>
      </c>
      <c r="S277" s="25">
        <f>IF(AND(Q277=1,E277&lt;&gt;""),SUBSTITUTE(SUBSTITUTE(SUBSTITUTE(SUBSTITUTE(SUBSTITUTE(SUBSTITUTE(SUBSTITUTE(SUBSTITUTE(SUBSTITUTE(SUBSTITUTE(SUBSTITUTE(SUBSTITUTE(LOWER(TRIM(E277)),"á","a"),"é","e"),"í","i"),"ó","o"),"ú","u"),"ü","u"),"ñ","n"),"à","a"),"è","e"),"ì","i"),"ò","o"),"ù","u"),"")</f>
        <v/>
      </c>
      <c r="T277" s="25">
        <f>IF(AND(Q277=1,G277&lt;&gt;""),SUBSTITUTE(SUBSTITUTE(SUBSTITUTE(SUBSTITUTE(SUBSTITUTE(SUBSTITUTE(SUBSTITUTE(SUBSTITUTE(SUBSTITUTE(SUBSTITUTE(SUBSTITUTE(SUBSTITUTE(LOWER(TRIM(G277)),"á","a"),"é","e"),"í","i"),"ó","o"),"ú","u"),"ü","u"),"ñ","n"),"à","a"),"è","e"),"ì","i"),"ò","o"),"ù","u"),"")</f>
        <v/>
      </c>
      <c r="U277" s="25">
        <f>IF(AND(Q277=1,H277&lt;&gt;""),SUBSTITUTE(SUBSTITUTE(SUBSTITUTE(SUBSTITUTE(SUBSTITUTE(SUBSTITUTE(SUBSTITUTE(SUBSTITUTE(SUBSTITUTE(SUBSTITUTE(SUBSTITUTE(SUBSTITUTE(LOWER(TRIM(H277)),"á","a"),"é","e"),"í","i"),"ó","o"),"ú","u"),"ü","u"),"ñ","n"),"à","a"),"è","e"),"ì","i"),"ò","o"),"ù","u"),"")</f>
        <v/>
      </c>
      <c r="V277" s="25">
        <f>IF(AND(Q277=1,L277&lt;&gt;""),SUBSTITUTE(SUBSTITUTE(SUBSTITUTE(SUBSTITUTE(SUBSTITUTE(SUBSTITUTE(SUBSTITUTE(SUBSTITUTE(SUBSTITUTE(SUBSTITUTE(SUBSTITUTE(SUBSTITUTE(LOWER(TRIM(L277)),"á","a"),"é","e"),"í","i"),"ó","o"),"ú","u"),"ü","u"),"ñ","n"),"à","a"),"è","e"),"ì","i"),"ò","o"),"ù","u"),"")</f>
        <v/>
      </c>
      <c r="W277" s="25">
        <f>IF(AND(Q277=1,I277&lt;&gt;""),SUBSTITUTE(SUBSTITUTE(SUBSTITUTE(SUBSTITUTE(SUBSTITUTE(SUBSTITUTE(SUBSTITUTE(SUBSTITUTE(SUBSTITUTE(SUBSTITUTE(SUBSTITUTE(SUBSTITUTE(LOWER(TRIM(I277)),"á","a"),"é","e"),"í","i"),"ó","o"),"ú","u"),"ü","u"),"ñ","n"),"à","a"),"è","e"),"ì","i"),"ò","o"),"ù","u"),"")</f>
        <v/>
      </c>
      <c r="X277" s="25">
        <f>IF(U277="","",IF(OR(U277="si, en la proxima tarea",U277="si, con cambios"),1,0))</f>
        <v/>
      </c>
      <c r="Y277" s="25">
        <f>IF(AND(Q277=1,A277&lt;&gt;""),IF(IFERROR(COUNTIFS(A$3:A277,"="&amp;SUBSTITUTE(SUBSTITUTE(SUBSTITUTE(A277,"~","~~"),"*","~*"),"?","~?"),Q$3:Q277,1),0)=1,MAX(Y$2:Y276)+1,""),"")</f>
        <v/>
      </c>
      <c r="Z277" s="25">
        <f>IF(Y277="","",COUNTIFS($A$3:$A$1002,"="&amp;SUBSTITUTE(SUBSTITUTE(SUBSTITUTE(A277,"~","~~"),"*","~*"),"?","~?"),$Q$3:$Q$1002,1)*10000-Y277)</f>
        <v/>
      </c>
    </row>
    <row r="278">
      <c r="A278">
        <f>IF(A$2=0,"",IFERROR(TRIM(INDEX('Pegar docentes'!$A$1:$BZ$1001,277,A$2)&amp;""),""))</f>
        <v/>
      </c>
      <c r="B278">
        <f>IF(B$2=0,"",IFERROR(TRIM(INDEX('Pegar docentes'!$A$1:$BZ$1001,277,B$2)&amp;""),""))</f>
        <v/>
      </c>
      <c r="C278">
        <f>IF(C$2=0,"",IFERROR(TRIM(INDEX('Pegar docentes'!$A$1:$BZ$1001,277,C$2)&amp;""),""))</f>
        <v/>
      </c>
      <c r="D278">
        <f>IF(D$2=0,"",IFERROR(TRIM(INDEX('Pegar docentes'!$A$1:$BZ$1001,277,D$2)&amp;""),""))</f>
        <v/>
      </c>
      <c r="E278">
        <f>IF(E$2=0,"",IFERROR(TRIM(INDEX('Pegar docentes'!$A$1:$BZ$1001,277,E$2)&amp;""),""))</f>
        <v/>
      </c>
      <c r="F278">
        <f>IF(F$2=0,"",IFERROR(TRIM(INDEX('Pegar docentes'!$A$1:$BZ$1001,277,F$2)&amp;""),""))</f>
        <v/>
      </c>
      <c r="G278">
        <f>IF(G$2=0,"",IFERROR(TRIM(INDEX('Pegar docentes'!$A$1:$BZ$1001,277,G$2)&amp;""),""))</f>
        <v/>
      </c>
      <c r="H278">
        <f>IF(H$2=0,"",IFERROR(TRIM(INDEX('Pegar docentes'!$A$1:$BZ$1001,277,H$2)&amp;""),""))</f>
        <v/>
      </c>
      <c r="I278">
        <f>IF(I$2=0,"",IFERROR(TRIM(INDEX('Pegar docentes'!$A$1:$BZ$1001,277,I$2)&amp;""),""))</f>
        <v/>
      </c>
      <c r="J278">
        <f>IF(J$2=0,"",IFERROR(TRIM(INDEX('Pegar docentes'!$A$1:$BZ$1001,277,J$2)&amp;""),""))</f>
        <v/>
      </c>
      <c r="K278">
        <f>IF(K$2=0,"",IFERROR(TRIM(INDEX('Pegar docentes'!$A$1:$BZ$1001,277,K$2)&amp;""),""))</f>
        <v/>
      </c>
      <c r="L278">
        <f>IF(L$2=0,"",IFERROR(TRIM(INDEX('Pegar docentes'!$A$1:$BZ$1001,277,L$2)&amp;""),""))</f>
        <v/>
      </c>
      <c r="M278">
        <f>IF(M$2=0,"",IFERROR(TRIM(INDEX('Pegar docentes'!$A$1:$BZ$1001,277,M$2)&amp;""),""))</f>
        <v/>
      </c>
      <c r="N278">
        <f>IF(N$2=0,"",IFERROR(TRIM(INDEX('Pegar docentes'!$A$1:$BZ$1001,277,N$2)&amp;""),""))</f>
        <v/>
      </c>
      <c r="O278">
        <f>IF(O$2=0,"",IFERROR(TRIM(INDEX('Pegar docentes'!$A$1:$BZ$1001,277,O$2)&amp;""),""))</f>
        <v/>
      </c>
      <c r="P278">
        <f>IF(P$2=0,"",IFERROR(TRIM(INDEX('Pegar docentes'!$A$1:$BZ$1001,277,P$2)&amp;""),""))</f>
        <v/>
      </c>
      <c r="Q278" s="25">
        <f>IF(OR(D278&lt;&gt;"",H278&lt;&gt;""),1,"")</f>
        <v/>
      </c>
      <c r="R278" s="25">
        <f>IF(Q278=1,IF(ISNUMBER(FIND("#"&amp;MID(D278,1,1)&amp;"#","#0#1#2#3#4#5#6#7#8#9#")),IF(ISNUMBER(FIND("#"&amp;MID(D278,2,1)&amp;"#","#0#1#2#3#4#5#6#7#8#9#")),IF(AND(VALUE(LEFT(D278,2))&gt;=1,VALUE(LEFT(D278,2))&lt;=5),VALUE(LEFT(D278,2)),""),IF(AND(VALUE(LEFT(D278,1))&gt;=1,VALUE(LEFT(D278,1))&lt;=5),VALUE(LEFT(D278,1)),"")),""),"")</f>
        <v/>
      </c>
      <c r="S278" s="25">
        <f>IF(AND(Q278=1,E278&lt;&gt;""),SUBSTITUTE(SUBSTITUTE(SUBSTITUTE(SUBSTITUTE(SUBSTITUTE(SUBSTITUTE(SUBSTITUTE(SUBSTITUTE(SUBSTITUTE(SUBSTITUTE(SUBSTITUTE(SUBSTITUTE(LOWER(TRIM(E278)),"á","a"),"é","e"),"í","i"),"ó","o"),"ú","u"),"ü","u"),"ñ","n"),"à","a"),"è","e"),"ì","i"),"ò","o"),"ù","u"),"")</f>
        <v/>
      </c>
      <c r="T278" s="25">
        <f>IF(AND(Q278=1,G278&lt;&gt;""),SUBSTITUTE(SUBSTITUTE(SUBSTITUTE(SUBSTITUTE(SUBSTITUTE(SUBSTITUTE(SUBSTITUTE(SUBSTITUTE(SUBSTITUTE(SUBSTITUTE(SUBSTITUTE(SUBSTITUTE(LOWER(TRIM(G278)),"á","a"),"é","e"),"í","i"),"ó","o"),"ú","u"),"ü","u"),"ñ","n"),"à","a"),"è","e"),"ì","i"),"ò","o"),"ù","u"),"")</f>
        <v/>
      </c>
      <c r="U278" s="25">
        <f>IF(AND(Q278=1,H278&lt;&gt;""),SUBSTITUTE(SUBSTITUTE(SUBSTITUTE(SUBSTITUTE(SUBSTITUTE(SUBSTITUTE(SUBSTITUTE(SUBSTITUTE(SUBSTITUTE(SUBSTITUTE(SUBSTITUTE(SUBSTITUTE(LOWER(TRIM(H278)),"á","a"),"é","e"),"í","i"),"ó","o"),"ú","u"),"ü","u"),"ñ","n"),"à","a"),"è","e"),"ì","i"),"ò","o"),"ù","u"),"")</f>
        <v/>
      </c>
      <c r="V278" s="25">
        <f>IF(AND(Q278=1,L278&lt;&gt;""),SUBSTITUTE(SUBSTITUTE(SUBSTITUTE(SUBSTITUTE(SUBSTITUTE(SUBSTITUTE(SUBSTITUTE(SUBSTITUTE(SUBSTITUTE(SUBSTITUTE(SUBSTITUTE(SUBSTITUTE(LOWER(TRIM(L278)),"á","a"),"é","e"),"í","i"),"ó","o"),"ú","u"),"ü","u"),"ñ","n"),"à","a"),"è","e"),"ì","i"),"ò","o"),"ù","u"),"")</f>
        <v/>
      </c>
      <c r="W278" s="25">
        <f>IF(AND(Q278=1,I278&lt;&gt;""),SUBSTITUTE(SUBSTITUTE(SUBSTITUTE(SUBSTITUTE(SUBSTITUTE(SUBSTITUTE(SUBSTITUTE(SUBSTITUTE(SUBSTITUTE(SUBSTITUTE(SUBSTITUTE(SUBSTITUTE(LOWER(TRIM(I278)),"á","a"),"é","e"),"í","i"),"ó","o"),"ú","u"),"ü","u"),"ñ","n"),"à","a"),"è","e"),"ì","i"),"ò","o"),"ù","u"),"")</f>
        <v/>
      </c>
      <c r="X278" s="25">
        <f>IF(U278="","",IF(OR(U278="si, en la proxima tarea",U278="si, con cambios"),1,0))</f>
        <v/>
      </c>
      <c r="Y278" s="25">
        <f>IF(AND(Q278=1,A278&lt;&gt;""),IF(IFERROR(COUNTIFS(A$3:A278,"="&amp;SUBSTITUTE(SUBSTITUTE(SUBSTITUTE(A278,"~","~~"),"*","~*"),"?","~?"),Q$3:Q278,1),0)=1,MAX(Y$2:Y277)+1,""),"")</f>
        <v/>
      </c>
      <c r="Z278" s="25">
        <f>IF(Y278="","",COUNTIFS($A$3:$A$1002,"="&amp;SUBSTITUTE(SUBSTITUTE(SUBSTITUTE(A278,"~","~~"),"*","~*"),"?","~?"),$Q$3:$Q$1002,1)*10000-Y278)</f>
        <v/>
      </c>
    </row>
    <row r="279">
      <c r="A279">
        <f>IF(A$2=0,"",IFERROR(TRIM(INDEX('Pegar docentes'!$A$1:$BZ$1001,278,A$2)&amp;""),""))</f>
        <v/>
      </c>
      <c r="B279">
        <f>IF(B$2=0,"",IFERROR(TRIM(INDEX('Pegar docentes'!$A$1:$BZ$1001,278,B$2)&amp;""),""))</f>
        <v/>
      </c>
      <c r="C279">
        <f>IF(C$2=0,"",IFERROR(TRIM(INDEX('Pegar docentes'!$A$1:$BZ$1001,278,C$2)&amp;""),""))</f>
        <v/>
      </c>
      <c r="D279">
        <f>IF(D$2=0,"",IFERROR(TRIM(INDEX('Pegar docentes'!$A$1:$BZ$1001,278,D$2)&amp;""),""))</f>
        <v/>
      </c>
      <c r="E279">
        <f>IF(E$2=0,"",IFERROR(TRIM(INDEX('Pegar docentes'!$A$1:$BZ$1001,278,E$2)&amp;""),""))</f>
        <v/>
      </c>
      <c r="F279">
        <f>IF(F$2=0,"",IFERROR(TRIM(INDEX('Pegar docentes'!$A$1:$BZ$1001,278,F$2)&amp;""),""))</f>
        <v/>
      </c>
      <c r="G279">
        <f>IF(G$2=0,"",IFERROR(TRIM(INDEX('Pegar docentes'!$A$1:$BZ$1001,278,G$2)&amp;""),""))</f>
        <v/>
      </c>
      <c r="H279">
        <f>IF(H$2=0,"",IFERROR(TRIM(INDEX('Pegar docentes'!$A$1:$BZ$1001,278,H$2)&amp;""),""))</f>
        <v/>
      </c>
      <c r="I279">
        <f>IF(I$2=0,"",IFERROR(TRIM(INDEX('Pegar docentes'!$A$1:$BZ$1001,278,I$2)&amp;""),""))</f>
        <v/>
      </c>
      <c r="J279">
        <f>IF(J$2=0,"",IFERROR(TRIM(INDEX('Pegar docentes'!$A$1:$BZ$1001,278,J$2)&amp;""),""))</f>
        <v/>
      </c>
      <c r="K279">
        <f>IF(K$2=0,"",IFERROR(TRIM(INDEX('Pegar docentes'!$A$1:$BZ$1001,278,K$2)&amp;""),""))</f>
        <v/>
      </c>
      <c r="L279">
        <f>IF(L$2=0,"",IFERROR(TRIM(INDEX('Pegar docentes'!$A$1:$BZ$1001,278,L$2)&amp;""),""))</f>
        <v/>
      </c>
      <c r="M279">
        <f>IF(M$2=0,"",IFERROR(TRIM(INDEX('Pegar docentes'!$A$1:$BZ$1001,278,M$2)&amp;""),""))</f>
        <v/>
      </c>
      <c r="N279">
        <f>IF(N$2=0,"",IFERROR(TRIM(INDEX('Pegar docentes'!$A$1:$BZ$1001,278,N$2)&amp;""),""))</f>
        <v/>
      </c>
      <c r="O279">
        <f>IF(O$2=0,"",IFERROR(TRIM(INDEX('Pegar docentes'!$A$1:$BZ$1001,278,O$2)&amp;""),""))</f>
        <v/>
      </c>
      <c r="P279">
        <f>IF(P$2=0,"",IFERROR(TRIM(INDEX('Pegar docentes'!$A$1:$BZ$1001,278,P$2)&amp;""),""))</f>
        <v/>
      </c>
      <c r="Q279" s="25">
        <f>IF(OR(D279&lt;&gt;"",H279&lt;&gt;""),1,"")</f>
        <v/>
      </c>
      <c r="R279" s="25">
        <f>IF(Q279=1,IF(ISNUMBER(FIND("#"&amp;MID(D279,1,1)&amp;"#","#0#1#2#3#4#5#6#7#8#9#")),IF(ISNUMBER(FIND("#"&amp;MID(D279,2,1)&amp;"#","#0#1#2#3#4#5#6#7#8#9#")),IF(AND(VALUE(LEFT(D279,2))&gt;=1,VALUE(LEFT(D279,2))&lt;=5),VALUE(LEFT(D279,2)),""),IF(AND(VALUE(LEFT(D279,1))&gt;=1,VALUE(LEFT(D279,1))&lt;=5),VALUE(LEFT(D279,1)),"")),""),"")</f>
        <v/>
      </c>
      <c r="S279" s="25">
        <f>IF(AND(Q279=1,E279&lt;&gt;""),SUBSTITUTE(SUBSTITUTE(SUBSTITUTE(SUBSTITUTE(SUBSTITUTE(SUBSTITUTE(SUBSTITUTE(SUBSTITUTE(SUBSTITUTE(SUBSTITUTE(SUBSTITUTE(SUBSTITUTE(LOWER(TRIM(E279)),"á","a"),"é","e"),"í","i"),"ó","o"),"ú","u"),"ü","u"),"ñ","n"),"à","a"),"è","e"),"ì","i"),"ò","o"),"ù","u"),"")</f>
        <v/>
      </c>
      <c r="T279" s="25">
        <f>IF(AND(Q279=1,G279&lt;&gt;""),SUBSTITUTE(SUBSTITUTE(SUBSTITUTE(SUBSTITUTE(SUBSTITUTE(SUBSTITUTE(SUBSTITUTE(SUBSTITUTE(SUBSTITUTE(SUBSTITUTE(SUBSTITUTE(SUBSTITUTE(LOWER(TRIM(G279)),"á","a"),"é","e"),"í","i"),"ó","o"),"ú","u"),"ü","u"),"ñ","n"),"à","a"),"è","e"),"ì","i"),"ò","o"),"ù","u"),"")</f>
        <v/>
      </c>
      <c r="U279" s="25">
        <f>IF(AND(Q279=1,H279&lt;&gt;""),SUBSTITUTE(SUBSTITUTE(SUBSTITUTE(SUBSTITUTE(SUBSTITUTE(SUBSTITUTE(SUBSTITUTE(SUBSTITUTE(SUBSTITUTE(SUBSTITUTE(SUBSTITUTE(SUBSTITUTE(LOWER(TRIM(H279)),"á","a"),"é","e"),"í","i"),"ó","o"),"ú","u"),"ü","u"),"ñ","n"),"à","a"),"è","e"),"ì","i"),"ò","o"),"ù","u"),"")</f>
        <v/>
      </c>
      <c r="V279" s="25">
        <f>IF(AND(Q279=1,L279&lt;&gt;""),SUBSTITUTE(SUBSTITUTE(SUBSTITUTE(SUBSTITUTE(SUBSTITUTE(SUBSTITUTE(SUBSTITUTE(SUBSTITUTE(SUBSTITUTE(SUBSTITUTE(SUBSTITUTE(SUBSTITUTE(LOWER(TRIM(L279)),"á","a"),"é","e"),"í","i"),"ó","o"),"ú","u"),"ü","u"),"ñ","n"),"à","a"),"è","e"),"ì","i"),"ò","o"),"ù","u"),"")</f>
        <v/>
      </c>
      <c r="W279" s="25">
        <f>IF(AND(Q279=1,I279&lt;&gt;""),SUBSTITUTE(SUBSTITUTE(SUBSTITUTE(SUBSTITUTE(SUBSTITUTE(SUBSTITUTE(SUBSTITUTE(SUBSTITUTE(SUBSTITUTE(SUBSTITUTE(SUBSTITUTE(SUBSTITUTE(LOWER(TRIM(I279)),"á","a"),"é","e"),"í","i"),"ó","o"),"ú","u"),"ü","u"),"ñ","n"),"à","a"),"è","e"),"ì","i"),"ò","o"),"ù","u"),"")</f>
        <v/>
      </c>
      <c r="X279" s="25">
        <f>IF(U279="","",IF(OR(U279="si, en la proxima tarea",U279="si, con cambios"),1,0))</f>
        <v/>
      </c>
      <c r="Y279" s="25">
        <f>IF(AND(Q279=1,A279&lt;&gt;""),IF(IFERROR(COUNTIFS(A$3:A279,"="&amp;SUBSTITUTE(SUBSTITUTE(SUBSTITUTE(A279,"~","~~"),"*","~*"),"?","~?"),Q$3:Q279,1),0)=1,MAX(Y$2:Y278)+1,""),"")</f>
        <v/>
      </c>
      <c r="Z279" s="25">
        <f>IF(Y279="","",COUNTIFS($A$3:$A$1002,"="&amp;SUBSTITUTE(SUBSTITUTE(SUBSTITUTE(A279,"~","~~"),"*","~*"),"?","~?"),$Q$3:$Q$1002,1)*10000-Y279)</f>
        <v/>
      </c>
    </row>
    <row r="280">
      <c r="A280">
        <f>IF(A$2=0,"",IFERROR(TRIM(INDEX('Pegar docentes'!$A$1:$BZ$1001,279,A$2)&amp;""),""))</f>
        <v/>
      </c>
      <c r="B280">
        <f>IF(B$2=0,"",IFERROR(TRIM(INDEX('Pegar docentes'!$A$1:$BZ$1001,279,B$2)&amp;""),""))</f>
        <v/>
      </c>
      <c r="C280">
        <f>IF(C$2=0,"",IFERROR(TRIM(INDEX('Pegar docentes'!$A$1:$BZ$1001,279,C$2)&amp;""),""))</f>
        <v/>
      </c>
      <c r="D280">
        <f>IF(D$2=0,"",IFERROR(TRIM(INDEX('Pegar docentes'!$A$1:$BZ$1001,279,D$2)&amp;""),""))</f>
        <v/>
      </c>
      <c r="E280">
        <f>IF(E$2=0,"",IFERROR(TRIM(INDEX('Pegar docentes'!$A$1:$BZ$1001,279,E$2)&amp;""),""))</f>
        <v/>
      </c>
      <c r="F280">
        <f>IF(F$2=0,"",IFERROR(TRIM(INDEX('Pegar docentes'!$A$1:$BZ$1001,279,F$2)&amp;""),""))</f>
        <v/>
      </c>
      <c r="G280">
        <f>IF(G$2=0,"",IFERROR(TRIM(INDEX('Pegar docentes'!$A$1:$BZ$1001,279,G$2)&amp;""),""))</f>
        <v/>
      </c>
      <c r="H280">
        <f>IF(H$2=0,"",IFERROR(TRIM(INDEX('Pegar docentes'!$A$1:$BZ$1001,279,H$2)&amp;""),""))</f>
        <v/>
      </c>
      <c r="I280">
        <f>IF(I$2=0,"",IFERROR(TRIM(INDEX('Pegar docentes'!$A$1:$BZ$1001,279,I$2)&amp;""),""))</f>
        <v/>
      </c>
      <c r="J280">
        <f>IF(J$2=0,"",IFERROR(TRIM(INDEX('Pegar docentes'!$A$1:$BZ$1001,279,J$2)&amp;""),""))</f>
        <v/>
      </c>
      <c r="K280">
        <f>IF(K$2=0,"",IFERROR(TRIM(INDEX('Pegar docentes'!$A$1:$BZ$1001,279,K$2)&amp;""),""))</f>
        <v/>
      </c>
      <c r="L280">
        <f>IF(L$2=0,"",IFERROR(TRIM(INDEX('Pegar docentes'!$A$1:$BZ$1001,279,L$2)&amp;""),""))</f>
        <v/>
      </c>
      <c r="M280">
        <f>IF(M$2=0,"",IFERROR(TRIM(INDEX('Pegar docentes'!$A$1:$BZ$1001,279,M$2)&amp;""),""))</f>
        <v/>
      </c>
      <c r="N280">
        <f>IF(N$2=0,"",IFERROR(TRIM(INDEX('Pegar docentes'!$A$1:$BZ$1001,279,N$2)&amp;""),""))</f>
        <v/>
      </c>
      <c r="O280">
        <f>IF(O$2=0,"",IFERROR(TRIM(INDEX('Pegar docentes'!$A$1:$BZ$1001,279,O$2)&amp;""),""))</f>
        <v/>
      </c>
      <c r="P280">
        <f>IF(P$2=0,"",IFERROR(TRIM(INDEX('Pegar docentes'!$A$1:$BZ$1001,279,P$2)&amp;""),""))</f>
        <v/>
      </c>
      <c r="Q280" s="25">
        <f>IF(OR(D280&lt;&gt;"",H280&lt;&gt;""),1,"")</f>
        <v/>
      </c>
      <c r="R280" s="25">
        <f>IF(Q280=1,IF(ISNUMBER(FIND("#"&amp;MID(D280,1,1)&amp;"#","#0#1#2#3#4#5#6#7#8#9#")),IF(ISNUMBER(FIND("#"&amp;MID(D280,2,1)&amp;"#","#0#1#2#3#4#5#6#7#8#9#")),IF(AND(VALUE(LEFT(D280,2))&gt;=1,VALUE(LEFT(D280,2))&lt;=5),VALUE(LEFT(D280,2)),""),IF(AND(VALUE(LEFT(D280,1))&gt;=1,VALUE(LEFT(D280,1))&lt;=5),VALUE(LEFT(D280,1)),"")),""),"")</f>
        <v/>
      </c>
      <c r="S280" s="25">
        <f>IF(AND(Q280=1,E280&lt;&gt;""),SUBSTITUTE(SUBSTITUTE(SUBSTITUTE(SUBSTITUTE(SUBSTITUTE(SUBSTITUTE(SUBSTITUTE(SUBSTITUTE(SUBSTITUTE(SUBSTITUTE(SUBSTITUTE(SUBSTITUTE(LOWER(TRIM(E280)),"á","a"),"é","e"),"í","i"),"ó","o"),"ú","u"),"ü","u"),"ñ","n"),"à","a"),"è","e"),"ì","i"),"ò","o"),"ù","u"),"")</f>
        <v/>
      </c>
      <c r="T280" s="25">
        <f>IF(AND(Q280=1,G280&lt;&gt;""),SUBSTITUTE(SUBSTITUTE(SUBSTITUTE(SUBSTITUTE(SUBSTITUTE(SUBSTITUTE(SUBSTITUTE(SUBSTITUTE(SUBSTITUTE(SUBSTITUTE(SUBSTITUTE(SUBSTITUTE(LOWER(TRIM(G280)),"á","a"),"é","e"),"í","i"),"ó","o"),"ú","u"),"ü","u"),"ñ","n"),"à","a"),"è","e"),"ì","i"),"ò","o"),"ù","u"),"")</f>
        <v/>
      </c>
      <c r="U280" s="25">
        <f>IF(AND(Q280=1,H280&lt;&gt;""),SUBSTITUTE(SUBSTITUTE(SUBSTITUTE(SUBSTITUTE(SUBSTITUTE(SUBSTITUTE(SUBSTITUTE(SUBSTITUTE(SUBSTITUTE(SUBSTITUTE(SUBSTITUTE(SUBSTITUTE(LOWER(TRIM(H280)),"á","a"),"é","e"),"í","i"),"ó","o"),"ú","u"),"ü","u"),"ñ","n"),"à","a"),"è","e"),"ì","i"),"ò","o"),"ù","u"),"")</f>
        <v/>
      </c>
      <c r="V280" s="25">
        <f>IF(AND(Q280=1,L280&lt;&gt;""),SUBSTITUTE(SUBSTITUTE(SUBSTITUTE(SUBSTITUTE(SUBSTITUTE(SUBSTITUTE(SUBSTITUTE(SUBSTITUTE(SUBSTITUTE(SUBSTITUTE(SUBSTITUTE(SUBSTITUTE(LOWER(TRIM(L280)),"á","a"),"é","e"),"í","i"),"ó","o"),"ú","u"),"ü","u"),"ñ","n"),"à","a"),"è","e"),"ì","i"),"ò","o"),"ù","u"),"")</f>
        <v/>
      </c>
      <c r="W280" s="25">
        <f>IF(AND(Q280=1,I280&lt;&gt;""),SUBSTITUTE(SUBSTITUTE(SUBSTITUTE(SUBSTITUTE(SUBSTITUTE(SUBSTITUTE(SUBSTITUTE(SUBSTITUTE(SUBSTITUTE(SUBSTITUTE(SUBSTITUTE(SUBSTITUTE(LOWER(TRIM(I280)),"á","a"),"é","e"),"í","i"),"ó","o"),"ú","u"),"ü","u"),"ñ","n"),"à","a"),"è","e"),"ì","i"),"ò","o"),"ù","u"),"")</f>
        <v/>
      </c>
      <c r="X280" s="25">
        <f>IF(U280="","",IF(OR(U280="si, en la proxima tarea",U280="si, con cambios"),1,0))</f>
        <v/>
      </c>
      <c r="Y280" s="25">
        <f>IF(AND(Q280=1,A280&lt;&gt;""),IF(IFERROR(COUNTIFS(A$3:A280,"="&amp;SUBSTITUTE(SUBSTITUTE(SUBSTITUTE(A280,"~","~~"),"*","~*"),"?","~?"),Q$3:Q280,1),0)=1,MAX(Y$2:Y279)+1,""),"")</f>
        <v/>
      </c>
      <c r="Z280" s="25">
        <f>IF(Y280="","",COUNTIFS($A$3:$A$1002,"="&amp;SUBSTITUTE(SUBSTITUTE(SUBSTITUTE(A280,"~","~~"),"*","~*"),"?","~?"),$Q$3:$Q$1002,1)*10000-Y280)</f>
        <v/>
      </c>
    </row>
    <row r="281">
      <c r="A281">
        <f>IF(A$2=0,"",IFERROR(TRIM(INDEX('Pegar docentes'!$A$1:$BZ$1001,280,A$2)&amp;""),""))</f>
        <v/>
      </c>
      <c r="B281">
        <f>IF(B$2=0,"",IFERROR(TRIM(INDEX('Pegar docentes'!$A$1:$BZ$1001,280,B$2)&amp;""),""))</f>
        <v/>
      </c>
      <c r="C281">
        <f>IF(C$2=0,"",IFERROR(TRIM(INDEX('Pegar docentes'!$A$1:$BZ$1001,280,C$2)&amp;""),""))</f>
        <v/>
      </c>
      <c r="D281">
        <f>IF(D$2=0,"",IFERROR(TRIM(INDEX('Pegar docentes'!$A$1:$BZ$1001,280,D$2)&amp;""),""))</f>
        <v/>
      </c>
      <c r="E281">
        <f>IF(E$2=0,"",IFERROR(TRIM(INDEX('Pegar docentes'!$A$1:$BZ$1001,280,E$2)&amp;""),""))</f>
        <v/>
      </c>
      <c r="F281">
        <f>IF(F$2=0,"",IFERROR(TRIM(INDEX('Pegar docentes'!$A$1:$BZ$1001,280,F$2)&amp;""),""))</f>
        <v/>
      </c>
      <c r="G281">
        <f>IF(G$2=0,"",IFERROR(TRIM(INDEX('Pegar docentes'!$A$1:$BZ$1001,280,G$2)&amp;""),""))</f>
        <v/>
      </c>
      <c r="H281">
        <f>IF(H$2=0,"",IFERROR(TRIM(INDEX('Pegar docentes'!$A$1:$BZ$1001,280,H$2)&amp;""),""))</f>
        <v/>
      </c>
      <c r="I281">
        <f>IF(I$2=0,"",IFERROR(TRIM(INDEX('Pegar docentes'!$A$1:$BZ$1001,280,I$2)&amp;""),""))</f>
        <v/>
      </c>
      <c r="J281">
        <f>IF(J$2=0,"",IFERROR(TRIM(INDEX('Pegar docentes'!$A$1:$BZ$1001,280,J$2)&amp;""),""))</f>
        <v/>
      </c>
      <c r="K281">
        <f>IF(K$2=0,"",IFERROR(TRIM(INDEX('Pegar docentes'!$A$1:$BZ$1001,280,K$2)&amp;""),""))</f>
        <v/>
      </c>
      <c r="L281">
        <f>IF(L$2=0,"",IFERROR(TRIM(INDEX('Pegar docentes'!$A$1:$BZ$1001,280,L$2)&amp;""),""))</f>
        <v/>
      </c>
      <c r="M281">
        <f>IF(M$2=0,"",IFERROR(TRIM(INDEX('Pegar docentes'!$A$1:$BZ$1001,280,M$2)&amp;""),""))</f>
        <v/>
      </c>
      <c r="N281">
        <f>IF(N$2=0,"",IFERROR(TRIM(INDEX('Pegar docentes'!$A$1:$BZ$1001,280,N$2)&amp;""),""))</f>
        <v/>
      </c>
      <c r="O281">
        <f>IF(O$2=0,"",IFERROR(TRIM(INDEX('Pegar docentes'!$A$1:$BZ$1001,280,O$2)&amp;""),""))</f>
        <v/>
      </c>
      <c r="P281">
        <f>IF(P$2=0,"",IFERROR(TRIM(INDEX('Pegar docentes'!$A$1:$BZ$1001,280,P$2)&amp;""),""))</f>
        <v/>
      </c>
      <c r="Q281" s="25">
        <f>IF(OR(D281&lt;&gt;"",H281&lt;&gt;""),1,"")</f>
        <v/>
      </c>
      <c r="R281" s="25">
        <f>IF(Q281=1,IF(ISNUMBER(FIND("#"&amp;MID(D281,1,1)&amp;"#","#0#1#2#3#4#5#6#7#8#9#")),IF(ISNUMBER(FIND("#"&amp;MID(D281,2,1)&amp;"#","#0#1#2#3#4#5#6#7#8#9#")),IF(AND(VALUE(LEFT(D281,2))&gt;=1,VALUE(LEFT(D281,2))&lt;=5),VALUE(LEFT(D281,2)),""),IF(AND(VALUE(LEFT(D281,1))&gt;=1,VALUE(LEFT(D281,1))&lt;=5),VALUE(LEFT(D281,1)),"")),""),"")</f>
        <v/>
      </c>
      <c r="S281" s="25">
        <f>IF(AND(Q281=1,E281&lt;&gt;""),SUBSTITUTE(SUBSTITUTE(SUBSTITUTE(SUBSTITUTE(SUBSTITUTE(SUBSTITUTE(SUBSTITUTE(SUBSTITUTE(SUBSTITUTE(SUBSTITUTE(SUBSTITUTE(SUBSTITUTE(LOWER(TRIM(E281)),"á","a"),"é","e"),"í","i"),"ó","o"),"ú","u"),"ü","u"),"ñ","n"),"à","a"),"è","e"),"ì","i"),"ò","o"),"ù","u"),"")</f>
        <v/>
      </c>
      <c r="T281" s="25">
        <f>IF(AND(Q281=1,G281&lt;&gt;""),SUBSTITUTE(SUBSTITUTE(SUBSTITUTE(SUBSTITUTE(SUBSTITUTE(SUBSTITUTE(SUBSTITUTE(SUBSTITUTE(SUBSTITUTE(SUBSTITUTE(SUBSTITUTE(SUBSTITUTE(LOWER(TRIM(G281)),"á","a"),"é","e"),"í","i"),"ó","o"),"ú","u"),"ü","u"),"ñ","n"),"à","a"),"è","e"),"ì","i"),"ò","o"),"ù","u"),"")</f>
        <v/>
      </c>
      <c r="U281" s="25">
        <f>IF(AND(Q281=1,H281&lt;&gt;""),SUBSTITUTE(SUBSTITUTE(SUBSTITUTE(SUBSTITUTE(SUBSTITUTE(SUBSTITUTE(SUBSTITUTE(SUBSTITUTE(SUBSTITUTE(SUBSTITUTE(SUBSTITUTE(SUBSTITUTE(LOWER(TRIM(H281)),"á","a"),"é","e"),"í","i"),"ó","o"),"ú","u"),"ü","u"),"ñ","n"),"à","a"),"è","e"),"ì","i"),"ò","o"),"ù","u"),"")</f>
        <v/>
      </c>
      <c r="V281" s="25">
        <f>IF(AND(Q281=1,L281&lt;&gt;""),SUBSTITUTE(SUBSTITUTE(SUBSTITUTE(SUBSTITUTE(SUBSTITUTE(SUBSTITUTE(SUBSTITUTE(SUBSTITUTE(SUBSTITUTE(SUBSTITUTE(SUBSTITUTE(SUBSTITUTE(LOWER(TRIM(L281)),"á","a"),"é","e"),"í","i"),"ó","o"),"ú","u"),"ü","u"),"ñ","n"),"à","a"),"è","e"),"ì","i"),"ò","o"),"ù","u"),"")</f>
        <v/>
      </c>
      <c r="W281" s="25">
        <f>IF(AND(Q281=1,I281&lt;&gt;""),SUBSTITUTE(SUBSTITUTE(SUBSTITUTE(SUBSTITUTE(SUBSTITUTE(SUBSTITUTE(SUBSTITUTE(SUBSTITUTE(SUBSTITUTE(SUBSTITUTE(SUBSTITUTE(SUBSTITUTE(LOWER(TRIM(I281)),"á","a"),"é","e"),"í","i"),"ó","o"),"ú","u"),"ü","u"),"ñ","n"),"à","a"),"è","e"),"ì","i"),"ò","o"),"ù","u"),"")</f>
        <v/>
      </c>
      <c r="X281" s="25">
        <f>IF(U281="","",IF(OR(U281="si, en la proxima tarea",U281="si, con cambios"),1,0))</f>
        <v/>
      </c>
      <c r="Y281" s="25">
        <f>IF(AND(Q281=1,A281&lt;&gt;""),IF(IFERROR(COUNTIFS(A$3:A281,"="&amp;SUBSTITUTE(SUBSTITUTE(SUBSTITUTE(A281,"~","~~"),"*","~*"),"?","~?"),Q$3:Q281,1),0)=1,MAX(Y$2:Y280)+1,""),"")</f>
        <v/>
      </c>
      <c r="Z281" s="25">
        <f>IF(Y281="","",COUNTIFS($A$3:$A$1002,"="&amp;SUBSTITUTE(SUBSTITUTE(SUBSTITUTE(A281,"~","~~"),"*","~*"),"?","~?"),$Q$3:$Q$1002,1)*10000-Y281)</f>
        <v/>
      </c>
    </row>
    <row r="282">
      <c r="A282">
        <f>IF(A$2=0,"",IFERROR(TRIM(INDEX('Pegar docentes'!$A$1:$BZ$1001,281,A$2)&amp;""),""))</f>
        <v/>
      </c>
      <c r="B282">
        <f>IF(B$2=0,"",IFERROR(TRIM(INDEX('Pegar docentes'!$A$1:$BZ$1001,281,B$2)&amp;""),""))</f>
        <v/>
      </c>
      <c r="C282">
        <f>IF(C$2=0,"",IFERROR(TRIM(INDEX('Pegar docentes'!$A$1:$BZ$1001,281,C$2)&amp;""),""))</f>
        <v/>
      </c>
      <c r="D282">
        <f>IF(D$2=0,"",IFERROR(TRIM(INDEX('Pegar docentes'!$A$1:$BZ$1001,281,D$2)&amp;""),""))</f>
        <v/>
      </c>
      <c r="E282">
        <f>IF(E$2=0,"",IFERROR(TRIM(INDEX('Pegar docentes'!$A$1:$BZ$1001,281,E$2)&amp;""),""))</f>
        <v/>
      </c>
      <c r="F282">
        <f>IF(F$2=0,"",IFERROR(TRIM(INDEX('Pegar docentes'!$A$1:$BZ$1001,281,F$2)&amp;""),""))</f>
        <v/>
      </c>
      <c r="G282">
        <f>IF(G$2=0,"",IFERROR(TRIM(INDEX('Pegar docentes'!$A$1:$BZ$1001,281,G$2)&amp;""),""))</f>
        <v/>
      </c>
      <c r="H282">
        <f>IF(H$2=0,"",IFERROR(TRIM(INDEX('Pegar docentes'!$A$1:$BZ$1001,281,H$2)&amp;""),""))</f>
        <v/>
      </c>
      <c r="I282">
        <f>IF(I$2=0,"",IFERROR(TRIM(INDEX('Pegar docentes'!$A$1:$BZ$1001,281,I$2)&amp;""),""))</f>
        <v/>
      </c>
      <c r="J282">
        <f>IF(J$2=0,"",IFERROR(TRIM(INDEX('Pegar docentes'!$A$1:$BZ$1001,281,J$2)&amp;""),""))</f>
        <v/>
      </c>
      <c r="K282">
        <f>IF(K$2=0,"",IFERROR(TRIM(INDEX('Pegar docentes'!$A$1:$BZ$1001,281,K$2)&amp;""),""))</f>
        <v/>
      </c>
      <c r="L282">
        <f>IF(L$2=0,"",IFERROR(TRIM(INDEX('Pegar docentes'!$A$1:$BZ$1001,281,L$2)&amp;""),""))</f>
        <v/>
      </c>
      <c r="M282">
        <f>IF(M$2=0,"",IFERROR(TRIM(INDEX('Pegar docentes'!$A$1:$BZ$1001,281,M$2)&amp;""),""))</f>
        <v/>
      </c>
      <c r="N282">
        <f>IF(N$2=0,"",IFERROR(TRIM(INDEX('Pegar docentes'!$A$1:$BZ$1001,281,N$2)&amp;""),""))</f>
        <v/>
      </c>
      <c r="O282">
        <f>IF(O$2=0,"",IFERROR(TRIM(INDEX('Pegar docentes'!$A$1:$BZ$1001,281,O$2)&amp;""),""))</f>
        <v/>
      </c>
      <c r="P282">
        <f>IF(P$2=0,"",IFERROR(TRIM(INDEX('Pegar docentes'!$A$1:$BZ$1001,281,P$2)&amp;""),""))</f>
        <v/>
      </c>
      <c r="Q282" s="25">
        <f>IF(OR(D282&lt;&gt;"",H282&lt;&gt;""),1,"")</f>
        <v/>
      </c>
      <c r="R282" s="25">
        <f>IF(Q282=1,IF(ISNUMBER(FIND("#"&amp;MID(D282,1,1)&amp;"#","#0#1#2#3#4#5#6#7#8#9#")),IF(ISNUMBER(FIND("#"&amp;MID(D282,2,1)&amp;"#","#0#1#2#3#4#5#6#7#8#9#")),IF(AND(VALUE(LEFT(D282,2))&gt;=1,VALUE(LEFT(D282,2))&lt;=5),VALUE(LEFT(D282,2)),""),IF(AND(VALUE(LEFT(D282,1))&gt;=1,VALUE(LEFT(D282,1))&lt;=5),VALUE(LEFT(D282,1)),"")),""),"")</f>
        <v/>
      </c>
      <c r="S282" s="25">
        <f>IF(AND(Q282=1,E282&lt;&gt;""),SUBSTITUTE(SUBSTITUTE(SUBSTITUTE(SUBSTITUTE(SUBSTITUTE(SUBSTITUTE(SUBSTITUTE(SUBSTITUTE(SUBSTITUTE(SUBSTITUTE(SUBSTITUTE(SUBSTITUTE(LOWER(TRIM(E282)),"á","a"),"é","e"),"í","i"),"ó","o"),"ú","u"),"ü","u"),"ñ","n"),"à","a"),"è","e"),"ì","i"),"ò","o"),"ù","u"),"")</f>
        <v/>
      </c>
      <c r="T282" s="25">
        <f>IF(AND(Q282=1,G282&lt;&gt;""),SUBSTITUTE(SUBSTITUTE(SUBSTITUTE(SUBSTITUTE(SUBSTITUTE(SUBSTITUTE(SUBSTITUTE(SUBSTITUTE(SUBSTITUTE(SUBSTITUTE(SUBSTITUTE(SUBSTITUTE(LOWER(TRIM(G282)),"á","a"),"é","e"),"í","i"),"ó","o"),"ú","u"),"ü","u"),"ñ","n"),"à","a"),"è","e"),"ì","i"),"ò","o"),"ù","u"),"")</f>
        <v/>
      </c>
      <c r="U282" s="25">
        <f>IF(AND(Q282=1,H282&lt;&gt;""),SUBSTITUTE(SUBSTITUTE(SUBSTITUTE(SUBSTITUTE(SUBSTITUTE(SUBSTITUTE(SUBSTITUTE(SUBSTITUTE(SUBSTITUTE(SUBSTITUTE(SUBSTITUTE(SUBSTITUTE(LOWER(TRIM(H282)),"á","a"),"é","e"),"í","i"),"ó","o"),"ú","u"),"ü","u"),"ñ","n"),"à","a"),"è","e"),"ì","i"),"ò","o"),"ù","u"),"")</f>
        <v/>
      </c>
      <c r="V282" s="25">
        <f>IF(AND(Q282=1,L282&lt;&gt;""),SUBSTITUTE(SUBSTITUTE(SUBSTITUTE(SUBSTITUTE(SUBSTITUTE(SUBSTITUTE(SUBSTITUTE(SUBSTITUTE(SUBSTITUTE(SUBSTITUTE(SUBSTITUTE(SUBSTITUTE(LOWER(TRIM(L282)),"á","a"),"é","e"),"í","i"),"ó","o"),"ú","u"),"ü","u"),"ñ","n"),"à","a"),"è","e"),"ì","i"),"ò","o"),"ù","u"),"")</f>
        <v/>
      </c>
      <c r="W282" s="25">
        <f>IF(AND(Q282=1,I282&lt;&gt;""),SUBSTITUTE(SUBSTITUTE(SUBSTITUTE(SUBSTITUTE(SUBSTITUTE(SUBSTITUTE(SUBSTITUTE(SUBSTITUTE(SUBSTITUTE(SUBSTITUTE(SUBSTITUTE(SUBSTITUTE(LOWER(TRIM(I282)),"á","a"),"é","e"),"í","i"),"ó","o"),"ú","u"),"ü","u"),"ñ","n"),"à","a"),"è","e"),"ì","i"),"ò","o"),"ù","u"),"")</f>
        <v/>
      </c>
      <c r="X282" s="25">
        <f>IF(U282="","",IF(OR(U282="si, en la proxima tarea",U282="si, con cambios"),1,0))</f>
        <v/>
      </c>
      <c r="Y282" s="25">
        <f>IF(AND(Q282=1,A282&lt;&gt;""),IF(IFERROR(COUNTIFS(A$3:A282,"="&amp;SUBSTITUTE(SUBSTITUTE(SUBSTITUTE(A282,"~","~~"),"*","~*"),"?","~?"),Q$3:Q282,1),0)=1,MAX(Y$2:Y281)+1,""),"")</f>
        <v/>
      </c>
      <c r="Z282" s="25">
        <f>IF(Y282="","",COUNTIFS($A$3:$A$1002,"="&amp;SUBSTITUTE(SUBSTITUTE(SUBSTITUTE(A282,"~","~~"),"*","~*"),"?","~?"),$Q$3:$Q$1002,1)*10000-Y282)</f>
        <v/>
      </c>
    </row>
    <row r="283">
      <c r="A283">
        <f>IF(A$2=0,"",IFERROR(TRIM(INDEX('Pegar docentes'!$A$1:$BZ$1001,282,A$2)&amp;""),""))</f>
        <v/>
      </c>
      <c r="B283">
        <f>IF(B$2=0,"",IFERROR(TRIM(INDEX('Pegar docentes'!$A$1:$BZ$1001,282,B$2)&amp;""),""))</f>
        <v/>
      </c>
      <c r="C283">
        <f>IF(C$2=0,"",IFERROR(TRIM(INDEX('Pegar docentes'!$A$1:$BZ$1001,282,C$2)&amp;""),""))</f>
        <v/>
      </c>
      <c r="D283">
        <f>IF(D$2=0,"",IFERROR(TRIM(INDEX('Pegar docentes'!$A$1:$BZ$1001,282,D$2)&amp;""),""))</f>
        <v/>
      </c>
      <c r="E283">
        <f>IF(E$2=0,"",IFERROR(TRIM(INDEX('Pegar docentes'!$A$1:$BZ$1001,282,E$2)&amp;""),""))</f>
        <v/>
      </c>
      <c r="F283">
        <f>IF(F$2=0,"",IFERROR(TRIM(INDEX('Pegar docentes'!$A$1:$BZ$1001,282,F$2)&amp;""),""))</f>
        <v/>
      </c>
      <c r="G283">
        <f>IF(G$2=0,"",IFERROR(TRIM(INDEX('Pegar docentes'!$A$1:$BZ$1001,282,G$2)&amp;""),""))</f>
        <v/>
      </c>
      <c r="H283">
        <f>IF(H$2=0,"",IFERROR(TRIM(INDEX('Pegar docentes'!$A$1:$BZ$1001,282,H$2)&amp;""),""))</f>
        <v/>
      </c>
      <c r="I283">
        <f>IF(I$2=0,"",IFERROR(TRIM(INDEX('Pegar docentes'!$A$1:$BZ$1001,282,I$2)&amp;""),""))</f>
        <v/>
      </c>
      <c r="J283">
        <f>IF(J$2=0,"",IFERROR(TRIM(INDEX('Pegar docentes'!$A$1:$BZ$1001,282,J$2)&amp;""),""))</f>
        <v/>
      </c>
      <c r="K283">
        <f>IF(K$2=0,"",IFERROR(TRIM(INDEX('Pegar docentes'!$A$1:$BZ$1001,282,K$2)&amp;""),""))</f>
        <v/>
      </c>
      <c r="L283">
        <f>IF(L$2=0,"",IFERROR(TRIM(INDEX('Pegar docentes'!$A$1:$BZ$1001,282,L$2)&amp;""),""))</f>
        <v/>
      </c>
      <c r="M283">
        <f>IF(M$2=0,"",IFERROR(TRIM(INDEX('Pegar docentes'!$A$1:$BZ$1001,282,M$2)&amp;""),""))</f>
        <v/>
      </c>
      <c r="N283">
        <f>IF(N$2=0,"",IFERROR(TRIM(INDEX('Pegar docentes'!$A$1:$BZ$1001,282,N$2)&amp;""),""))</f>
        <v/>
      </c>
      <c r="O283">
        <f>IF(O$2=0,"",IFERROR(TRIM(INDEX('Pegar docentes'!$A$1:$BZ$1001,282,O$2)&amp;""),""))</f>
        <v/>
      </c>
      <c r="P283">
        <f>IF(P$2=0,"",IFERROR(TRIM(INDEX('Pegar docentes'!$A$1:$BZ$1001,282,P$2)&amp;""),""))</f>
        <v/>
      </c>
      <c r="Q283" s="25">
        <f>IF(OR(D283&lt;&gt;"",H283&lt;&gt;""),1,"")</f>
        <v/>
      </c>
      <c r="R283" s="25">
        <f>IF(Q283=1,IF(ISNUMBER(FIND("#"&amp;MID(D283,1,1)&amp;"#","#0#1#2#3#4#5#6#7#8#9#")),IF(ISNUMBER(FIND("#"&amp;MID(D283,2,1)&amp;"#","#0#1#2#3#4#5#6#7#8#9#")),IF(AND(VALUE(LEFT(D283,2))&gt;=1,VALUE(LEFT(D283,2))&lt;=5),VALUE(LEFT(D283,2)),""),IF(AND(VALUE(LEFT(D283,1))&gt;=1,VALUE(LEFT(D283,1))&lt;=5),VALUE(LEFT(D283,1)),"")),""),"")</f>
        <v/>
      </c>
      <c r="S283" s="25">
        <f>IF(AND(Q283=1,E283&lt;&gt;""),SUBSTITUTE(SUBSTITUTE(SUBSTITUTE(SUBSTITUTE(SUBSTITUTE(SUBSTITUTE(SUBSTITUTE(SUBSTITUTE(SUBSTITUTE(SUBSTITUTE(SUBSTITUTE(SUBSTITUTE(LOWER(TRIM(E283)),"á","a"),"é","e"),"í","i"),"ó","o"),"ú","u"),"ü","u"),"ñ","n"),"à","a"),"è","e"),"ì","i"),"ò","o"),"ù","u"),"")</f>
        <v/>
      </c>
      <c r="T283" s="25">
        <f>IF(AND(Q283=1,G283&lt;&gt;""),SUBSTITUTE(SUBSTITUTE(SUBSTITUTE(SUBSTITUTE(SUBSTITUTE(SUBSTITUTE(SUBSTITUTE(SUBSTITUTE(SUBSTITUTE(SUBSTITUTE(SUBSTITUTE(SUBSTITUTE(LOWER(TRIM(G283)),"á","a"),"é","e"),"í","i"),"ó","o"),"ú","u"),"ü","u"),"ñ","n"),"à","a"),"è","e"),"ì","i"),"ò","o"),"ù","u"),"")</f>
        <v/>
      </c>
      <c r="U283" s="25">
        <f>IF(AND(Q283=1,H283&lt;&gt;""),SUBSTITUTE(SUBSTITUTE(SUBSTITUTE(SUBSTITUTE(SUBSTITUTE(SUBSTITUTE(SUBSTITUTE(SUBSTITUTE(SUBSTITUTE(SUBSTITUTE(SUBSTITUTE(SUBSTITUTE(LOWER(TRIM(H283)),"á","a"),"é","e"),"í","i"),"ó","o"),"ú","u"),"ü","u"),"ñ","n"),"à","a"),"è","e"),"ì","i"),"ò","o"),"ù","u"),"")</f>
        <v/>
      </c>
      <c r="V283" s="25">
        <f>IF(AND(Q283=1,L283&lt;&gt;""),SUBSTITUTE(SUBSTITUTE(SUBSTITUTE(SUBSTITUTE(SUBSTITUTE(SUBSTITUTE(SUBSTITUTE(SUBSTITUTE(SUBSTITUTE(SUBSTITUTE(SUBSTITUTE(SUBSTITUTE(LOWER(TRIM(L283)),"á","a"),"é","e"),"í","i"),"ó","o"),"ú","u"),"ü","u"),"ñ","n"),"à","a"),"è","e"),"ì","i"),"ò","o"),"ù","u"),"")</f>
        <v/>
      </c>
      <c r="W283" s="25">
        <f>IF(AND(Q283=1,I283&lt;&gt;""),SUBSTITUTE(SUBSTITUTE(SUBSTITUTE(SUBSTITUTE(SUBSTITUTE(SUBSTITUTE(SUBSTITUTE(SUBSTITUTE(SUBSTITUTE(SUBSTITUTE(SUBSTITUTE(SUBSTITUTE(LOWER(TRIM(I283)),"á","a"),"é","e"),"í","i"),"ó","o"),"ú","u"),"ü","u"),"ñ","n"),"à","a"),"è","e"),"ì","i"),"ò","o"),"ù","u"),"")</f>
        <v/>
      </c>
      <c r="X283" s="25">
        <f>IF(U283="","",IF(OR(U283="si, en la proxima tarea",U283="si, con cambios"),1,0))</f>
        <v/>
      </c>
      <c r="Y283" s="25">
        <f>IF(AND(Q283=1,A283&lt;&gt;""),IF(IFERROR(COUNTIFS(A$3:A283,"="&amp;SUBSTITUTE(SUBSTITUTE(SUBSTITUTE(A283,"~","~~"),"*","~*"),"?","~?"),Q$3:Q283,1),0)=1,MAX(Y$2:Y282)+1,""),"")</f>
        <v/>
      </c>
      <c r="Z283" s="25">
        <f>IF(Y283="","",COUNTIFS($A$3:$A$1002,"="&amp;SUBSTITUTE(SUBSTITUTE(SUBSTITUTE(A283,"~","~~"),"*","~*"),"?","~?"),$Q$3:$Q$1002,1)*10000-Y283)</f>
        <v/>
      </c>
    </row>
    <row r="284">
      <c r="A284">
        <f>IF(A$2=0,"",IFERROR(TRIM(INDEX('Pegar docentes'!$A$1:$BZ$1001,283,A$2)&amp;""),""))</f>
        <v/>
      </c>
      <c r="B284">
        <f>IF(B$2=0,"",IFERROR(TRIM(INDEX('Pegar docentes'!$A$1:$BZ$1001,283,B$2)&amp;""),""))</f>
        <v/>
      </c>
      <c r="C284">
        <f>IF(C$2=0,"",IFERROR(TRIM(INDEX('Pegar docentes'!$A$1:$BZ$1001,283,C$2)&amp;""),""))</f>
        <v/>
      </c>
      <c r="D284">
        <f>IF(D$2=0,"",IFERROR(TRIM(INDEX('Pegar docentes'!$A$1:$BZ$1001,283,D$2)&amp;""),""))</f>
        <v/>
      </c>
      <c r="E284">
        <f>IF(E$2=0,"",IFERROR(TRIM(INDEX('Pegar docentes'!$A$1:$BZ$1001,283,E$2)&amp;""),""))</f>
        <v/>
      </c>
      <c r="F284">
        <f>IF(F$2=0,"",IFERROR(TRIM(INDEX('Pegar docentes'!$A$1:$BZ$1001,283,F$2)&amp;""),""))</f>
        <v/>
      </c>
      <c r="G284">
        <f>IF(G$2=0,"",IFERROR(TRIM(INDEX('Pegar docentes'!$A$1:$BZ$1001,283,G$2)&amp;""),""))</f>
        <v/>
      </c>
      <c r="H284">
        <f>IF(H$2=0,"",IFERROR(TRIM(INDEX('Pegar docentes'!$A$1:$BZ$1001,283,H$2)&amp;""),""))</f>
        <v/>
      </c>
      <c r="I284">
        <f>IF(I$2=0,"",IFERROR(TRIM(INDEX('Pegar docentes'!$A$1:$BZ$1001,283,I$2)&amp;""),""))</f>
        <v/>
      </c>
      <c r="J284">
        <f>IF(J$2=0,"",IFERROR(TRIM(INDEX('Pegar docentes'!$A$1:$BZ$1001,283,J$2)&amp;""),""))</f>
        <v/>
      </c>
      <c r="K284">
        <f>IF(K$2=0,"",IFERROR(TRIM(INDEX('Pegar docentes'!$A$1:$BZ$1001,283,K$2)&amp;""),""))</f>
        <v/>
      </c>
      <c r="L284">
        <f>IF(L$2=0,"",IFERROR(TRIM(INDEX('Pegar docentes'!$A$1:$BZ$1001,283,L$2)&amp;""),""))</f>
        <v/>
      </c>
      <c r="M284">
        <f>IF(M$2=0,"",IFERROR(TRIM(INDEX('Pegar docentes'!$A$1:$BZ$1001,283,M$2)&amp;""),""))</f>
        <v/>
      </c>
      <c r="N284">
        <f>IF(N$2=0,"",IFERROR(TRIM(INDEX('Pegar docentes'!$A$1:$BZ$1001,283,N$2)&amp;""),""))</f>
        <v/>
      </c>
      <c r="O284">
        <f>IF(O$2=0,"",IFERROR(TRIM(INDEX('Pegar docentes'!$A$1:$BZ$1001,283,O$2)&amp;""),""))</f>
        <v/>
      </c>
      <c r="P284">
        <f>IF(P$2=0,"",IFERROR(TRIM(INDEX('Pegar docentes'!$A$1:$BZ$1001,283,P$2)&amp;""),""))</f>
        <v/>
      </c>
      <c r="Q284" s="25">
        <f>IF(OR(D284&lt;&gt;"",H284&lt;&gt;""),1,"")</f>
        <v/>
      </c>
      <c r="R284" s="25">
        <f>IF(Q284=1,IF(ISNUMBER(FIND("#"&amp;MID(D284,1,1)&amp;"#","#0#1#2#3#4#5#6#7#8#9#")),IF(ISNUMBER(FIND("#"&amp;MID(D284,2,1)&amp;"#","#0#1#2#3#4#5#6#7#8#9#")),IF(AND(VALUE(LEFT(D284,2))&gt;=1,VALUE(LEFT(D284,2))&lt;=5),VALUE(LEFT(D284,2)),""),IF(AND(VALUE(LEFT(D284,1))&gt;=1,VALUE(LEFT(D284,1))&lt;=5),VALUE(LEFT(D284,1)),"")),""),"")</f>
        <v/>
      </c>
      <c r="S284" s="25">
        <f>IF(AND(Q284=1,E284&lt;&gt;""),SUBSTITUTE(SUBSTITUTE(SUBSTITUTE(SUBSTITUTE(SUBSTITUTE(SUBSTITUTE(SUBSTITUTE(SUBSTITUTE(SUBSTITUTE(SUBSTITUTE(SUBSTITUTE(SUBSTITUTE(LOWER(TRIM(E284)),"á","a"),"é","e"),"í","i"),"ó","o"),"ú","u"),"ü","u"),"ñ","n"),"à","a"),"è","e"),"ì","i"),"ò","o"),"ù","u"),"")</f>
        <v/>
      </c>
      <c r="T284" s="25">
        <f>IF(AND(Q284=1,G284&lt;&gt;""),SUBSTITUTE(SUBSTITUTE(SUBSTITUTE(SUBSTITUTE(SUBSTITUTE(SUBSTITUTE(SUBSTITUTE(SUBSTITUTE(SUBSTITUTE(SUBSTITUTE(SUBSTITUTE(SUBSTITUTE(LOWER(TRIM(G284)),"á","a"),"é","e"),"í","i"),"ó","o"),"ú","u"),"ü","u"),"ñ","n"),"à","a"),"è","e"),"ì","i"),"ò","o"),"ù","u"),"")</f>
        <v/>
      </c>
      <c r="U284" s="25">
        <f>IF(AND(Q284=1,H284&lt;&gt;""),SUBSTITUTE(SUBSTITUTE(SUBSTITUTE(SUBSTITUTE(SUBSTITUTE(SUBSTITUTE(SUBSTITUTE(SUBSTITUTE(SUBSTITUTE(SUBSTITUTE(SUBSTITUTE(SUBSTITUTE(LOWER(TRIM(H284)),"á","a"),"é","e"),"í","i"),"ó","o"),"ú","u"),"ü","u"),"ñ","n"),"à","a"),"è","e"),"ì","i"),"ò","o"),"ù","u"),"")</f>
        <v/>
      </c>
      <c r="V284" s="25">
        <f>IF(AND(Q284=1,L284&lt;&gt;""),SUBSTITUTE(SUBSTITUTE(SUBSTITUTE(SUBSTITUTE(SUBSTITUTE(SUBSTITUTE(SUBSTITUTE(SUBSTITUTE(SUBSTITUTE(SUBSTITUTE(SUBSTITUTE(SUBSTITUTE(LOWER(TRIM(L284)),"á","a"),"é","e"),"í","i"),"ó","o"),"ú","u"),"ü","u"),"ñ","n"),"à","a"),"è","e"),"ì","i"),"ò","o"),"ù","u"),"")</f>
        <v/>
      </c>
      <c r="W284" s="25">
        <f>IF(AND(Q284=1,I284&lt;&gt;""),SUBSTITUTE(SUBSTITUTE(SUBSTITUTE(SUBSTITUTE(SUBSTITUTE(SUBSTITUTE(SUBSTITUTE(SUBSTITUTE(SUBSTITUTE(SUBSTITUTE(SUBSTITUTE(SUBSTITUTE(LOWER(TRIM(I284)),"á","a"),"é","e"),"í","i"),"ó","o"),"ú","u"),"ü","u"),"ñ","n"),"à","a"),"è","e"),"ì","i"),"ò","o"),"ù","u"),"")</f>
        <v/>
      </c>
      <c r="X284" s="25">
        <f>IF(U284="","",IF(OR(U284="si, en la proxima tarea",U284="si, con cambios"),1,0))</f>
        <v/>
      </c>
      <c r="Y284" s="25">
        <f>IF(AND(Q284=1,A284&lt;&gt;""),IF(IFERROR(COUNTIFS(A$3:A284,"="&amp;SUBSTITUTE(SUBSTITUTE(SUBSTITUTE(A284,"~","~~"),"*","~*"),"?","~?"),Q$3:Q284,1),0)=1,MAX(Y$2:Y283)+1,""),"")</f>
        <v/>
      </c>
      <c r="Z284" s="25">
        <f>IF(Y284="","",COUNTIFS($A$3:$A$1002,"="&amp;SUBSTITUTE(SUBSTITUTE(SUBSTITUTE(A284,"~","~~"),"*","~*"),"?","~?"),$Q$3:$Q$1002,1)*10000-Y284)</f>
        <v/>
      </c>
    </row>
    <row r="285">
      <c r="A285">
        <f>IF(A$2=0,"",IFERROR(TRIM(INDEX('Pegar docentes'!$A$1:$BZ$1001,284,A$2)&amp;""),""))</f>
        <v/>
      </c>
      <c r="B285">
        <f>IF(B$2=0,"",IFERROR(TRIM(INDEX('Pegar docentes'!$A$1:$BZ$1001,284,B$2)&amp;""),""))</f>
        <v/>
      </c>
      <c r="C285">
        <f>IF(C$2=0,"",IFERROR(TRIM(INDEX('Pegar docentes'!$A$1:$BZ$1001,284,C$2)&amp;""),""))</f>
        <v/>
      </c>
      <c r="D285">
        <f>IF(D$2=0,"",IFERROR(TRIM(INDEX('Pegar docentes'!$A$1:$BZ$1001,284,D$2)&amp;""),""))</f>
        <v/>
      </c>
      <c r="E285">
        <f>IF(E$2=0,"",IFERROR(TRIM(INDEX('Pegar docentes'!$A$1:$BZ$1001,284,E$2)&amp;""),""))</f>
        <v/>
      </c>
      <c r="F285">
        <f>IF(F$2=0,"",IFERROR(TRIM(INDEX('Pegar docentes'!$A$1:$BZ$1001,284,F$2)&amp;""),""))</f>
        <v/>
      </c>
      <c r="G285">
        <f>IF(G$2=0,"",IFERROR(TRIM(INDEX('Pegar docentes'!$A$1:$BZ$1001,284,G$2)&amp;""),""))</f>
        <v/>
      </c>
      <c r="H285">
        <f>IF(H$2=0,"",IFERROR(TRIM(INDEX('Pegar docentes'!$A$1:$BZ$1001,284,H$2)&amp;""),""))</f>
        <v/>
      </c>
      <c r="I285">
        <f>IF(I$2=0,"",IFERROR(TRIM(INDEX('Pegar docentes'!$A$1:$BZ$1001,284,I$2)&amp;""),""))</f>
        <v/>
      </c>
      <c r="J285">
        <f>IF(J$2=0,"",IFERROR(TRIM(INDEX('Pegar docentes'!$A$1:$BZ$1001,284,J$2)&amp;""),""))</f>
        <v/>
      </c>
      <c r="K285">
        <f>IF(K$2=0,"",IFERROR(TRIM(INDEX('Pegar docentes'!$A$1:$BZ$1001,284,K$2)&amp;""),""))</f>
        <v/>
      </c>
      <c r="L285">
        <f>IF(L$2=0,"",IFERROR(TRIM(INDEX('Pegar docentes'!$A$1:$BZ$1001,284,L$2)&amp;""),""))</f>
        <v/>
      </c>
      <c r="M285">
        <f>IF(M$2=0,"",IFERROR(TRIM(INDEX('Pegar docentes'!$A$1:$BZ$1001,284,M$2)&amp;""),""))</f>
        <v/>
      </c>
      <c r="N285">
        <f>IF(N$2=0,"",IFERROR(TRIM(INDEX('Pegar docentes'!$A$1:$BZ$1001,284,N$2)&amp;""),""))</f>
        <v/>
      </c>
      <c r="O285">
        <f>IF(O$2=0,"",IFERROR(TRIM(INDEX('Pegar docentes'!$A$1:$BZ$1001,284,O$2)&amp;""),""))</f>
        <v/>
      </c>
      <c r="P285">
        <f>IF(P$2=0,"",IFERROR(TRIM(INDEX('Pegar docentes'!$A$1:$BZ$1001,284,P$2)&amp;""),""))</f>
        <v/>
      </c>
      <c r="Q285" s="25">
        <f>IF(OR(D285&lt;&gt;"",H285&lt;&gt;""),1,"")</f>
        <v/>
      </c>
      <c r="R285" s="25">
        <f>IF(Q285=1,IF(ISNUMBER(FIND("#"&amp;MID(D285,1,1)&amp;"#","#0#1#2#3#4#5#6#7#8#9#")),IF(ISNUMBER(FIND("#"&amp;MID(D285,2,1)&amp;"#","#0#1#2#3#4#5#6#7#8#9#")),IF(AND(VALUE(LEFT(D285,2))&gt;=1,VALUE(LEFT(D285,2))&lt;=5),VALUE(LEFT(D285,2)),""),IF(AND(VALUE(LEFT(D285,1))&gt;=1,VALUE(LEFT(D285,1))&lt;=5),VALUE(LEFT(D285,1)),"")),""),"")</f>
        <v/>
      </c>
      <c r="S285" s="25">
        <f>IF(AND(Q285=1,E285&lt;&gt;""),SUBSTITUTE(SUBSTITUTE(SUBSTITUTE(SUBSTITUTE(SUBSTITUTE(SUBSTITUTE(SUBSTITUTE(SUBSTITUTE(SUBSTITUTE(SUBSTITUTE(SUBSTITUTE(SUBSTITUTE(LOWER(TRIM(E285)),"á","a"),"é","e"),"í","i"),"ó","o"),"ú","u"),"ü","u"),"ñ","n"),"à","a"),"è","e"),"ì","i"),"ò","o"),"ù","u"),"")</f>
        <v/>
      </c>
      <c r="T285" s="25">
        <f>IF(AND(Q285=1,G285&lt;&gt;""),SUBSTITUTE(SUBSTITUTE(SUBSTITUTE(SUBSTITUTE(SUBSTITUTE(SUBSTITUTE(SUBSTITUTE(SUBSTITUTE(SUBSTITUTE(SUBSTITUTE(SUBSTITUTE(SUBSTITUTE(LOWER(TRIM(G285)),"á","a"),"é","e"),"í","i"),"ó","o"),"ú","u"),"ü","u"),"ñ","n"),"à","a"),"è","e"),"ì","i"),"ò","o"),"ù","u"),"")</f>
        <v/>
      </c>
      <c r="U285" s="25">
        <f>IF(AND(Q285=1,H285&lt;&gt;""),SUBSTITUTE(SUBSTITUTE(SUBSTITUTE(SUBSTITUTE(SUBSTITUTE(SUBSTITUTE(SUBSTITUTE(SUBSTITUTE(SUBSTITUTE(SUBSTITUTE(SUBSTITUTE(SUBSTITUTE(LOWER(TRIM(H285)),"á","a"),"é","e"),"í","i"),"ó","o"),"ú","u"),"ü","u"),"ñ","n"),"à","a"),"è","e"),"ì","i"),"ò","o"),"ù","u"),"")</f>
        <v/>
      </c>
      <c r="V285" s="25">
        <f>IF(AND(Q285=1,L285&lt;&gt;""),SUBSTITUTE(SUBSTITUTE(SUBSTITUTE(SUBSTITUTE(SUBSTITUTE(SUBSTITUTE(SUBSTITUTE(SUBSTITUTE(SUBSTITUTE(SUBSTITUTE(SUBSTITUTE(SUBSTITUTE(LOWER(TRIM(L285)),"á","a"),"é","e"),"í","i"),"ó","o"),"ú","u"),"ü","u"),"ñ","n"),"à","a"),"è","e"),"ì","i"),"ò","o"),"ù","u"),"")</f>
        <v/>
      </c>
      <c r="W285" s="25">
        <f>IF(AND(Q285=1,I285&lt;&gt;""),SUBSTITUTE(SUBSTITUTE(SUBSTITUTE(SUBSTITUTE(SUBSTITUTE(SUBSTITUTE(SUBSTITUTE(SUBSTITUTE(SUBSTITUTE(SUBSTITUTE(SUBSTITUTE(SUBSTITUTE(LOWER(TRIM(I285)),"á","a"),"é","e"),"í","i"),"ó","o"),"ú","u"),"ü","u"),"ñ","n"),"à","a"),"è","e"),"ì","i"),"ò","o"),"ù","u"),"")</f>
        <v/>
      </c>
      <c r="X285" s="25">
        <f>IF(U285="","",IF(OR(U285="si, en la proxima tarea",U285="si, con cambios"),1,0))</f>
        <v/>
      </c>
      <c r="Y285" s="25">
        <f>IF(AND(Q285=1,A285&lt;&gt;""),IF(IFERROR(COUNTIFS(A$3:A285,"="&amp;SUBSTITUTE(SUBSTITUTE(SUBSTITUTE(A285,"~","~~"),"*","~*"),"?","~?"),Q$3:Q285,1),0)=1,MAX(Y$2:Y284)+1,""),"")</f>
        <v/>
      </c>
      <c r="Z285" s="25">
        <f>IF(Y285="","",COUNTIFS($A$3:$A$1002,"="&amp;SUBSTITUTE(SUBSTITUTE(SUBSTITUTE(A285,"~","~~"),"*","~*"),"?","~?"),$Q$3:$Q$1002,1)*10000-Y285)</f>
        <v/>
      </c>
    </row>
    <row r="286">
      <c r="A286">
        <f>IF(A$2=0,"",IFERROR(TRIM(INDEX('Pegar docentes'!$A$1:$BZ$1001,285,A$2)&amp;""),""))</f>
        <v/>
      </c>
      <c r="B286">
        <f>IF(B$2=0,"",IFERROR(TRIM(INDEX('Pegar docentes'!$A$1:$BZ$1001,285,B$2)&amp;""),""))</f>
        <v/>
      </c>
      <c r="C286">
        <f>IF(C$2=0,"",IFERROR(TRIM(INDEX('Pegar docentes'!$A$1:$BZ$1001,285,C$2)&amp;""),""))</f>
        <v/>
      </c>
      <c r="D286">
        <f>IF(D$2=0,"",IFERROR(TRIM(INDEX('Pegar docentes'!$A$1:$BZ$1001,285,D$2)&amp;""),""))</f>
        <v/>
      </c>
      <c r="E286">
        <f>IF(E$2=0,"",IFERROR(TRIM(INDEX('Pegar docentes'!$A$1:$BZ$1001,285,E$2)&amp;""),""))</f>
        <v/>
      </c>
      <c r="F286">
        <f>IF(F$2=0,"",IFERROR(TRIM(INDEX('Pegar docentes'!$A$1:$BZ$1001,285,F$2)&amp;""),""))</f>
        <v/>
      </c>
      <c r="G286">
        <f>IF(G$2=0,"",IFERROR(TRIM(INDEX('Pegar docentes'!$A$1:$BZ$1001,285,G$2)&amp;""),""))</f>
        <v/>
      </c>
      <c r="H286">
        <f>IF(H$2=0,"",IFERROR(TRIM(INDEX('Pegar docentes'!$A$1:$BZ$1001,285,H$2)&amp;""),""))</f>
        <v/>
      </c>
      <c r="I286">
        <f>IF(I$2=0,"",IFERROR(TRIM(INDEX('Pegar docentes'!$A$1:$BZ$1001,285,I$2)&amp;""),""))</f>
        <v/>
      </c>
      <c r="J286">
        <f>IF(J$2=0,"",IFERROR(TRIM(INDEX('Pegar docentes'!$A$1:$BZ$1001,285,J$2)&amp;""),""))</f>
        <v/>
      </c>
      <c r="K286">
        <f>IF(K$2=0,"",IFERROR(TRIM(INDEX('Pegar docentes'!$A$1:$BZ$1001,285,K$2)&amp;""),""))</f>
        <v/>
      </c>
      <c r="L286">
        <f>IF(L$2=0,"",IFERROR(TRIM(INDEX('Pegar docentes'!$A$1:$BZ$1001,285,L$2)&amp;""),""))</f>
        <v/>
      </c>
      <c r="M286">
        <f>IF(M$2=0,"",IFERROR(TRIM(INDEX('Pegar docentes'!$A$1:$BZ$1001,285,M$2)&amp;""),""))</f>
        <v/>
      </c>
      <c r="N286">
        <f>IF(N$2=0,"",IFERROR(TRIM(INDEX('Pegar docentes'!$A$1:$BZ$1001,285,N$2)&amp;""),""))</f>
        <v/>
      </c>
      <c r="O286">
        <f>IF(O$2=0,"",IFERROR(TRIM(INDEX('Pegar docentes'!$A$1:$BZ$1001,285,O$2)&amp;""),""))</f>
        <v/>
      </c>
      <c r="P286">
        <f>IF(P$2=0,"",IFERROR(TRIM(INDEX('Pegar docentes'!$A$1:$BZ$1001,285,P$2)&amp;""),""))</f>
        <v/>
      </c>
      <c r="Q286" s="25">
        <f>IF(OR(D286&lt;&gt;"",H286&lt;&gt;""),1,"")</f>
        <v/>
      </c>
      <c r="R286" s="25">
        <f>IF(Q286=1,IF(ISNUMBER(FIND("#"&amp;MID(D286,1,1)&amp;"#","#0#1#2#3#4#5#6#7#8#9#")),IF(ISNUMBER(FIND("#"&amp;MID(D286,2,1)&amp;"#","#0#1#2#3#4#5#6#7#8#9#")),IF(AND(VALUE(LEFT(D286,2))&gt;=1,VALUE(LEFT(D286,2))&lt;=5),VALUE(LEFT(D286,2)),""),IF(AND(VALUE(LEFT(D286,1))&gt;=1,VALUE(LEFT(D286,1))&lt;=5),VALUE(LEFT(D286,1)),"")),""),"")</f>
        <v/>
      </c>
      <c r="S286" s="25">
        <f>IF(AND(Q286=1,E286&lt;&gt;""),SUBSTITUTE(SUBSTITUTE(SUBSTITUTE(SUBSTITUTE(SUBSTITUTE(SUBSTITUTE(SUBSTITUTE(SUBSTITUTE(SUBSTITUTE(SUBSTITUTE(SUBSTITUTE(SUBSTITUTE(LOWER(TRIM(E286)),"á","a"),"é","e"),"í","i"),"ó","o"),"ú","u"),"ü","u"),"ñ","n"),"à","a"),"è","e"),"ì","i"),"ò","o"),"ù","u"),"")</f>
        <v/>
      </c>
      <c r="T286" s="25">
        <f>IF(AND(Q286=1,G286&lt;&gt;""),SUBSTITUTE(SUBSTITUTE(SUBSTITUTE(SUBSTITUTE(SUBSTITUTE(SUBSTITUTE(SUBSTITUTE(SUBSTITUTE(SUBSTITUTE(SUBSTITUTE(SUBSTITUTE(SUBSTITUTE(LOWER(TRIM(G286)),"á","a"),"é","e"),"í","i"),"ó","o"),"ú","u"),"ü","u"),"ñ","n"),"à","a"),"è","e"),"ì","i"),"ò","o"),"ù","u"),"")</f>
        <v/>
      </c>
      <c r="U286" s="25">
        <f>IF(AND(Q286=1,H286&lt;&gt;""),SUBSTITUTE(SUBSTITUTE(SUBSTITUTE(SUBSTITUTE(SUBSTITUTE(SUBSTITUTE(SUBSTITUTE(SUBSTITUTE(SUBSTITUTE(SUBSTITUTE(SUBSTITUTE(SUBSTITUTE(LOWER(TRIM(H286)),"á","a"),"é","e"),"í","i"),"ó","o"),"ú","u"),"ü","u"),"ñ","n"),"à","a"),"è","e"),"ì","i"),"ò","o"),"ù","u"),"")</f>
        <v/>
      </c>
      <c r="V286" s="25">
        <f>IF(AND(Q286=1,L286&lt;&gt;""),SUBSTITUTE(SUBSTITUTE(SUBSTITUTE(SUBSTITUTE(SUBSTITUTE(SUBSTITUTE(SUBSTITUTE(SUBSTITUTE(SUBSTITUTE(SUBSTITUTE(SUBSTITUTE(SUBSTITUTE(LOWER(TRIM(L286)),"á","a"),"é","e"),"í","i"),"ó","o"),"ú","u"),"ü","u"),"ñ","n"),"à","a"),"è","e"),"ì","i"),"ò","o"),"ù","u"),"")</f>
        <v/>
      </c>
      <c r="W286" s="25">
        <f>IF(AND(Q286=1,I286&lt;&gt;""),SUBSTITUTE(SUBSTITUTE(SUBSTITUTE(SUBSTITUTE(SUBSTITUTE(SUBSTITUTE(SUBSTITUTE(SUBSTITUTE(SUBSTITUTE(SUBSTITUTE(SUBSTITUTE(SUBSTITUTE(LOWER(TRIM(I286)),"á","a"),"é","e"),"í","i"),"ó","o"),"ú","u"),"ü","u"),"ñ","n"),"à","a"),"è","e"),"ì","i"),"ò","o"),"ù","u"),"")</f>
        <v/>
      </c>
      <c r="X286" s="25">
        <f>IF(U286="","",IF(OR(U286="si, en la proxima tarea",U286="si, con cambios"),1,0))</f>
        <v/>
      </c>
      <c r="Y286" s="25">
        <f>IF(AND(Q286=1,A286&lt;&gt;""),IF(IFERROR(COUNTIFS(A$3:A286,"="&amp;SUBSTITUTE(SUBSTITUTE(SUBSTITUTE(A286,"~","~~"),"*","~*"),"?","~?"),Q$3:Q286,1),0)=1,MAX(Y$2:Y285)+1,""),"")</f>
        <v/>
      </c>
      <c r="Z286" s="25">
        <f>IF(Y286="","",COUNTIFS($A$3:$A$1002,"="&amp;SUBSTITUTE(SUBSTITUTE(SUBSTITUTE(A286,"~","~~"),"*","~*"),"?","~?"),$Q$3:$Q$1002,1)*10000-Y286)</f>
        <v/>
      </c>
    </row>
    <row r="287">
      <c r="A287">
        <f>IF(A$2=0,"",IFERROR(TRIM(INDEX('Pegar docentes'!$A$1:$BZ$1001,286,A$2)&amp;""),""))</f>
        <v/>
      </c>
      <c r="B287">
        <f>IF(B$2=0,"",IFERROR(TRIM(INDEX('Pegar docentes'!$A$1:$BZ$1001,286,B$2)&amp;""),""))</f>
        <v/>
      </c>
      <c r="C287">
        <f>IF(C$2=0,"",IFERROR(TRIM(INDEX('Pegar docentes'!$A$1:$BZ$1001,286,C$2)&amp;""),""))</f>
        <v/>
      </c>
      <c r="D287">
        <f>IF(D$2=0,"",IFERROR(TRIM(INDEX('Pegar docentes'!$A$1:$BZ$1001,286,D$2)&amp;""),""))</f>
        <v/>
      </c>
      <c r="E287">
        <f>IF(E$2=0,"",IFERROR(TRIM(INDEX('Pegar docentes'!$A$1:$BZ$1001,286,E$2)&amp;""),""))</f>
        <v/>
      </c>
      <c r="F287">
        <f>IF(F$2=0,"",IFERROR(TRIM(INDEX('Pegar docentes'!$A$1:$BZ$1001,286,F$2)&amp;""),""))</f>
        <v/>
      </c>
      <c r="G287">
        <f>IF(G$2=0,"",IFERROR(TRIM(INDEX('Pegar docentes'!$A$1:$BZ$1001,286,G$2)&amp;""),""))</f>
        <v/>
      </c>
      <c r="H287">
        <f>IF(H$2=0,"",IFERROR(TRIM(INDEX('Pegar docentes'!$A$1:$BZ$1001,286,H$2)&amp;""),""))</f>
        <v/>
      </c>
      <c r="I287">
        <f>IF(I$2=0,"",IFERROR(TRIM(INDEX('Pegar docentes'!$A$1:$BZ$1001,286,I$2)&amp;""),""))</f>
        <v/>
      </c>
      <c r="J287">
        <f>IF(J$2=0,"",IFERROR(TRIM(INDEX('Pegar docentes'!$A$1:$BZ$1001,286,J$2)&amp;""),""))</f>
        <v/>
      </c>
      <c r="K287">
        <f>IF(K$2=0,"",IFERROR(TRIM(INDEX('Pegar docentes'!$A$1:$BZ$1001,286,K$2)&amp;""),""))</f>
        <v/>
      </c>
      <c r="L287">
        <f>IF(L$2=0,"",IFERROR(TRIM(INDEX('Pegar docentes'!$A$1:$BZ$1001,286,L$2)&amp;""),""))</f>
        <v/>
      </c>
      <c r="M287">
        <f>IF(M$2=0,"",IFERROR(TRIM(INDEX('Pegar docentes'!$A$1:$BZ$1001,286,M$2)&amp;""),""))</f>
        <v/>
      </c>
      <c r="N287">
        <f>IF(N$2=0,"",IFERROR(TRIM(INDEX('Pegar docentes'!$A$1:$BZ$1001,286,N$2)&amp;""),""))</f>
        <v/>
      </c>
      <c r="O287">
        <f>IF(O$2=0,"",IFERROR(TRIM(INDEX('Pegar docentes'!$A$1:$BZ$1001,286,O$2)&amp;""),""))</f>
        <v/>
      </c>
      <c r="P287">
        <f>IF(P$2=0,"",IFERROR(TRIM(INDEX('Pegar docentes'!$A$1:$BZ$1001,286,P$2)&amp;""),""))</f>
        <v/>
      </c>
      <c r="Q287" s="25">
        <f>IF(OR(D287&lt;&gt;"",H287&lt;&gt;""),1,"")</f>
        <v/>
      </c>
      <c r="R287" s="25">
        <f>IF(Q287=1,IF(ISNUMBER(FIND("#"&amp;MID(D287,1,1)&amp;"#","#0#1#2#3#4#5#6#7#8#9#")),IF(ISNUMBER(FIND("#"&amp;MID(D287,2,1)&amp;"#","#0#1#2#3#4#5#6#7#8#9#")),IF(AND(VALUE(LEFT(D287,2))&gt;=1,VALUE(LEFT(D287,2))&lt;=5),VALUE(LEFT(D287,2)),""),IF(AND(VALUE(LEFT(D287,1))&gt;=1,VALUE(LEFT(D287,1))&lt;=5),VALUE(LEFT(D287,1)),"")),""),"")</f>
        <v/>
      </c>
      <c r="S287" s="25">
        <f>IF(AND(Q287=1,E287&lt;&gt;""),SUBSTITUTE(SUBSTITUTE(SUBSTITUTE(SUBSTITUTE(SUBSTITUTE(SUBSTITUTE(SUBSTITUTE(SUBSTITUTE(SUBSTITUTE(SUBSTITUTE(SUBSTITUTE(SUBSTITUTE(LOWER(TRIM(E287)),"á","a"),"é","e"),"í","i"),"ó","o"),"ú","u"),"ü","u"),"ñ","n"),"à","a"),"è","e"),"ì","i"),"ò","o"),"ù","u"),"")</f>
        <v/>
      </c>
      <c r="T287" s="25">
        <f>IF(AND(Q287=1,G287&lt;&gt;""),SUBSTITUTE(SUBSTITUTE(SUBSTITUTE(SUBSTITUTE(SUBSTITUTE(SUBSTITUTE(SUBSTITUTE(SUBSTITUTE(SUBSTITUTE(SUBSTITUTE(SUBSTITUTE(SUBSTITUTE(LOWER(TRIM(G287)),"á","a"),"é","e"),"í","i"),"ó","o"),"ú","u"),"ü","u"),"ñ","n"),"à","a"),"è","e"),"ì","i"),"ò","o"),"ù","u"),"")</f>
        <v/>
      </c>
      <c r="U287" s="25">
        <f>IF(AND(Q287=1,H287&lt;&gt;""),SUBSTITUTE(SUBSTITUTE(SUBSTITUTE(SUBSTITUTE(SUBSTITUTE(SUBSTITUTE(SUBSTITUTE(SUBSTITUTE(SUBSTITUTE(SUBSTITUTE(SUBSTITUTE(SUBSTITUTE(LOWER(TRIM(H287)),"á","a"),"é","e"),"í","i"),"ó","o"),"ú","u"),"ü","u"),"ñ","n"),"à","a"),"è","e"),"ì","i"),"ò","o"),"ù","u"),"")</f>
        <v/>
      </c>
      <c r="V287" s="25">
        <f>IF(AND(Q287=1,L287&lt;&gt;""),SUBSTITUTE(SUBSTITUTE(SUBSTITUTE(SUBSTITUTE(SUBSTITUTE(SUBSTITUTE(SUBSTITUTE(SUBSTITUTE(SUBSTITUTE(SUBSTITUTE(SUBSTITUTE(SUBSTITUTE(LOWER(TRIM(L287)),"á","a"),"é","e"),"í","i"),"ó","o"),"ú","u"),"ü","u"),"ñ","n"),"à","a"),"è","e"),"ì","i"),"ò","o"),"ù","u"),"")</f>
        <v/>
      </c>
      <c r="W287" s="25">
        <f>IF(AND(Q287=1,I287&lt;&gt;""),SUBSTITUTE(SUBSTITUTE(SUBSTITUTE(SUBSTITUTE(SUBSTITUTE(SUBSTITUTE(SUBSTITUTE(SUBSTITUTE(SUBSTITUTE(SUBSTITUTE(SUBSTITUTE(SUBSTITUTE(LOWER(TRIM(I287)),"á","a"),"é","e"),"í","i"),"ó","o"),"ú","u"),"ü","u"),"ñ","n"),"à","a"),"è","e"),"ì","i"),"ò","o"),"ù","u"),"")</f>
        <v/>
      </c>
      <c r="X287" s="25">
        <f>IF(U287="","",IF(OR(U287="si, en la proxima tarea",U287="si, con cambios"),1,0))</f>
        <v/>
      </c>
      <c r="Y287" s="25">
        <f>IF(AND(Q287=1,A287&lt;&gt;""),IF(IFERROR(COUNTIFS(A$3:A287,"="&amp;SUBSTITUTE(SUBSTITUTE(SUBSTITUTE(A287,"~","~~"),"*","~*"),"?","~?"),Q$3:Q287,1),0)=1,MAX(Y$2:Y286)+1,""),"")</f>
        <v/>
      </c>
      <c r="Z287" s="25">
        <f>IF(Y287="","",COUNTIFS($A$3:$A$1002,"="&amp;SUBSTITUTE(SUBSTITUTE(SUBSTITUTE(A287,"~","~~"),"*","~*"),"?","~?"),$Q$3:$Q$1002,1)*10000-Y287)</f>
        <v/>
      </c>
    </row>
    <row r="288">
      <c r="A288">
        <f>IF(A$2=0,"",IFERROR(TRIM(INDEX('Pegar docentes'!$A$1:$BZ$1001,287,A$2)&amp;""),""))</f>
        <v/>
      </c>
      <c r="B288">
        <f>IF(B$2=0,"",IFERROR(TRIM(INDEX('Pegar docentes'!$A$1:$BZ$1001,287,B$2)&amp;""),""))</f>
        <v/>
      </c>
      <c r="C288">
        <f>IF(C$2=0,"",IFERROR(TRIM(INDEX('Pegar docentes'!$A$1:$BZ$1001,287,C$2)&amp;""),""))</f>
        <v/>
      </c>
      <c r="D288">
        <f>IF(D$2=0,"",IFERROR(TRIM(INDEX('Pegar docentes'!$A$1:$BZ$1001,287,D$2)&amp;""),""))</f>
        <v/>
      </c>
      <c r="E288">
        <f>IF(E$2=0,"",IFERROR(TRIM(INDEX('Pegar docentes'!$A$1:$BZ$1001,287,E$2)&amp;""),""))</f>
        <v/>
      </c>
      <c r="F288">
        <f>IF(F$2=0,"",IFERROR(TRIM(INDEX('Pegar docentes'!$A$1:$BZ$1001,287,F$2)&amp;""),""))</f>
        <v/>
      </c>
      <c r="G288">
        <f>IF(G$2=0,"",IFERROR(TRIM(INDEX('Pegar docentes'!$A$1:$BZ$1001,287,G$2)&amp;""),""))</f>
        <v/>
      </c>
      <c r="H288">
        <f>IF(H$2=0,"",IFERROR(TRIM(INDEX('Pegar docentes'!$A$1:$BZ$1001,287,H$2)&amp;""),""))</f>
        <v/>
      </c>
      <c r="I288">
        <f>IF(I$2=0,"",IFERROR(TRIM(INDEX('Pegar docentes'!$A$1:$BZ$1001,287,I$2)&amp;""),""))</f>
        <v/>
      </c>
      <c r="J288">
        <f>IF(J$2=0,"",IFERROR(TRIM(INDEX('Pegar docentes'!$A$1:$BZ$1001,287,J$2)&amp;""),""))</f>
        <v/>
      </c>
      <c r="K288">
        <f>IF(K$2=0,"",IFERROR(TRIM(INDEX('Pegar docentes'!$A$1:$BZ$1001,287,K$2)&amp;""),""))</f>
        <v/>
      </c>
      <c r="L288">
        <f>IF(L$2=0,"",IFERROR(TRIM(INDEX('Pegar docentes'!$A$1:$BZ$1001,287,L$2)&amp;""),""))</f>
        <v/>
      </c>
      <c r="M288">
        <f>IF(M$2=0,"",IFERROR(TRIM(INDEX('Pegar docentes'!$A$1:$BZ$1001,287,M$2)&amp;""),""))</f>
        <v/>
      </c>
      <c r="N288">
        <f>IF(N$2=0,"",IFERROR(TRIM(INDEX('Pegar docentes'!$A$1:$BZ$1001,287,N$2)&amp;""),""))</f>
        <v/>
      </c>
      <c r="O288">
        <f>IF(O$2=0,"",IFERROR(TRIM(INDEX('Pegar docentes'!$A$1:$BZ$1001,287,O$2)&amp;""),""))</f>
        <v/>
      </c>
      <c r="P288">
        <f>IF(P$2=0,"",IFERROR(TRIM(INDEX('Pegar docentes'!$A$1:$BZ$1001,287,P$2)&amp;""),""))</f>
        <v/>
      </c>
      <c r="Q288" s="25">
        <f>IF(OR(D288&lt;&gt;"",H288&lt;&gt;""),1,"")</f>
        <v/>
      </c>
      <c r="R288" s="25">
        <f>IF(Q288=1,IF(ISNUMBER(FIND("#"&amp;MID(D288,1,1)&amp;"#","#0#1#2#3#4#5#6#7#8#9#")),IF(ISNUMBER(FIND("#"&amp;MID(D288,2,1)&amp;"#","#0#1#2#3#4#5#6#7#8#9#")),IF(AND(VALUE(LEFT(D288,2))&gt;=1,VALUE(LEFT(D288,2))&lt;=5),VALUE(LEFT(D288,2)),""),IF(AND(VALUE(LEFT(D288,1))&gt;=1,VALUE(LEFT(D288,1))&lt;=5),VALUE(LEFT(D288,1)),"")),""),"")</f>
        <v/>
      </c>
      <c r="S288" s="25">
        <f>IF(AND(Q288=1,E288&lt;&gt;""),SUBSTITUTE(SUBSTITUTE(SUBSTITUTE(SUBSTITUTE(SUBSTITUTE(SUBSTITUTE(SUBSTITUTE(SUBSTITUTE(SUBSTITUTE(SUBSTITUTE(SUBSTITUTE(SUBSTITUTE(LOWER(TRIM(E288)),"á","a"),"é","e"),"í","i"),"ó","o"),"ú","u"),"ü","u"),"ñ","n"),"à","a"),"è","e"),"ì","i"),"ò","o"),"ù","u"),"")</f>
        <v/>
      </c>
      <c r="T288" s="25">
        <f>IF(AND(Q288=1,G288&lt;&gt;""),SUBSTITUTE(SUBSTITUTE(SUBSTITUTE(SUBSTITUTE(SUBSTITUTE(SUBSTITUTE(SUBSTITUTE(SUBSTITUTE(SUBSTITUTE(SUBSTITUTE(SUBSTITUTE(SUBSTITUTE(LOWER(TRIM(G288)),"á","a"),"é","e"),"í","i"),"ó","o"),"ú","u"),"ü","u"),"ñ","n"),"à","a"),"è","e"),"ì","i"),"ò","o"),"ù","u"),"")</f>
        <v/>
      </c>
      <c r="U288" s="25">
        <f>IF(AND(Q288=1,H288&lt;&gt;""),SUBSTITUTE(SUBSTITUTE(SUBSTITUTE(SUBSTITUTE(SUBSTITUTE(SUBSTITUTE(SUBSTITUTE(SUBSTITUTE(SUBSTITUTE(SUBSTITUTE(SUBSTITUTE(SUBSTITUTE(LOWER(TRIM(H288)),"á","a"),"é","e"),"í","i"),"ó","o"),"ú","u"),"ü","u"),"ñ","n"),"à","a"),"è","e"),"ì","i"),"ò","o"),"ù","u"),"")</f>
        <v/>
      </c>
      <c r="V288" s="25">
        <f>IF(AND(Q288=1,L288&lt;&gt;""),SUBSTITUTE(SUBSTITUTE(SUBSTITUTE(SUBSTITUTE(SUBSTITUTE(SUBSTITUTE(SUBSTITUTE(SUBSTITUTE(SUBSTITUTE(SUBSTITUTE(SUBSTITUTE(SUBSTITUTE(LOWER(TRIM(L288)),"á","a"),"é","e"),"í","i"),"ó","o"),"ú","u"),"ü","u"),"ñ","n"),"à","a"),"è","e"),"ì","i"),"ò","o"),"ù","u"),"")</f>
        <v/>
      </c>
      <c r="W288" s="25">
        <f>IF(AND(Q288=1,I288&lt;&gt;""),SUBSTITUTE(SUBSTITUTE(SUBSTITUTE(SUBSTITUTE(SUBSTITUTE(SUBSTITUTE(SUBSTITUTE(SUBSTITUTE(SUBSTITUTE(SUBSTITUTE(SUBSTITUTE(SUBSTITUTE(LOWER(TRIM(I288)),"á","a"),"é","e"),"í","i"),"ó","o"),"ú","u"),"ü","u"),"ñ","n"),"à","a"),"è","e"),"ì","i"),"ò","o"),"ù","u"),"")</f>
        <v/>
      </c>
      <c r="X288" s="25">
        <f>IF(U288="","",IF(OR(U288="si, en la proxima tarea",U288="si, con cambios"),1,0))</f>
        <v/>
      </c>
      <c r="Y288" s="25">
        <f>IF(AND(Q288=1,A288&lt;&gt;""),IF(IFERROR(COUNTIFS(A$3:A288,"="&amp;SUBSTITUTE(SUBSTITUTE(SUBSTITUTE(A288,"~","~~"),"*","~*"),"?","~?"),Q$3:Q288,1),0)=1,MAX(Y$2:Y287)+1,""),"")</f>
        <v/>
      </c>
      <c r="Z288" s="25">
        <f>IF(Y288="","",COUNTIFS($A$3:$A$1002,"="&amp;SUBSTITUTE(SUBSTITUTE(SUBSTITUTE(A288,"~","~~"),"*","~*"),"?","~?"),$Q$3:$Q$1002,1)*10000-Y288)</f>
        <v/>
      </c>
    </row>
    <row r="289">
      <c r="A289">
        <f>IF(A$2=0,"",IFERROR(TRIM(INDEX('Pegar docentes'!$A$1:$BZ$1001,288,A$2)&amp;""),""))</f>
        <v/>
      </c>
      <c r="B289">
        <f>IF(B$2=0,"",IFERROR(TRIM(INDEX('Pegar docentes'!$A$1:$BZ$1001,288,B$2)&amp;""),""))</f>
        <v/>
      </c>
      <c r="C289">
        <f>IF(C$2=0,"",IFERROR(TRIM(INDEX('Pegar docentes'!$A$1:$BZ$1001,288,C$2)&amp;""),""))</f>
        <v/>
      </c>
      <c r="D289">
        <f>IF(D$2=0,"",IFERROR(TRIM(INDEX('Pegar docentes'!$A$1:$BZ$1001,288,D$2)&amp;""),""))</f>
        <v/>
      </c>
      <c r="E289">
        <f>IF(E$2=0,"",IFERROR(TRIM(INDEX('Pegar docentes'!$A$1:$BZ$1001,288,E$2)&amp;""),""))</f>
        <v/>
      </c>
      <c r="F289">
        <f>IF(F$2=0,"",IFERROR(TRIM(INDEX('Pegar docentes'!$A$1:$BZ$1001,288,F$2)&amp;""),""))</f>
        <v/>
      </c>
      <c r="G289">
        <f>IF(G$2=0,"",IFERROR(TRIM(INDEX('Pegar docentes'!$A$1:$BZ$1001,288,G$2)&amp;""),""))</f>
        <v/>
      </c>
      <c r="H289">
        <f>IF(H$2=0,"",IFERROR(TRIM(INDEX('Pegar docentes'!$A$1:$BZ$1001,288,H$2)&amp;""),""))</f>
        <v/>
      </c>
      <c r="I289">
        <f>IF(I$2=0,"",IFERROR(TRIM(INDEX('Pegar docentes'!$A$1:$BZ$1001,288,I$2)&amp;""),""))</f>
        <v/>
      </c>
      <c r="J289">
        <f>IF(J$2=0,"",IFERROR(TRIM(INDEX('Pegar docentes'!$A$1:$BZ$1001,288,J$2)&amp;""),""))</f>
        <v/>
      </c>
      <c r="K289">
        <f>IF(K$2=0,"",IFERROR(TRIM(INDEX('Pegar docentes'!$A$1:$BZ$1001,288,K$2)&amp;""),""))</f>
        <v/>
      </c>
      <c r="L289">
        <f>IF(L$2=0,"",IFERROR(TRIM(INDEX('Pegar docentes'!$A$1:$BZ$1001,288,L$2)&amp;""),""))</f>
        <v/>
      </c>
      <c r="M289">
        <f>IF(M$2=0,"",IFERROR(TRIM(INDEX('Pegar docentes'!$A$1:$BZ$1001,288,M$2)&amp;""),""))</f>
        <v/>
      </c>
      <c r="N289">
        <f>IF(N$2=0,"",IFERROR(TRIM(INDEX('Pegar docentes'!$A$1:$BZ$1001,288,N$2)&amp;""),""))</f>
        <v/>
      </c>
      <c r="O289">
        <f>IF(O$2=0,"",IFERROR(TRIM(INDEX('Pegar docentes'!$A$1:$BZ$1001,288,O$2)&amp;""),""))</f>
        <v/>
      </c>
      <c r="P289">
        <f>IF(P$2=0,"",IFERROR(TRIM(INDEX('Pegar docentes'!$A$1:$BZ$1001,288,P$2)&amp;""),""))</f>
        <v/>
      </c>
      <c r="Q289" s="25">
        <f>IF(OR(D289&lt;&gt;"",H289&lt;&gt;""),1,"")</f>
        <v/>
      </c>
      <c r="R289" s="25">
        <f>IF(Q289=1,IF(ISNUMBER(FIND("#"&amp;MID(D289,1,1)&amp;"#","#0#1#2#3#4#5#6#7#8#9#")),IF(ISNUMBER(FIND("#"&amp;MID(D289,2,1)&amp;"#","#0#1#2#3#4#5#6#7#8#9#")),IF(AND(VALUE(LEFT(D289,2))&gt;=1,VALUE(LEFT(D289,2))&lt;=5),VALUE(LEFT(D289,2)),""),IF(AND(VALUE(LEFT(D289,1))&gt;=1,VALUE(LEFT(D289,1))&lt;=5),VALUE(LEFT(D289,1)),"")),""),"")</f>
        <v/>
      </c>
      <c r="S289" s="25">
        <f>IF(AND(Q289=1,E289&lt;&gt;""),SUBSTITUTE(SUBSTITUTE(SUBSTITUTE(SUBSTITUTE(SUBSTITUTE(SUBSTITUTE(SUBSTITUTE(SUBSTITUTE(SUBSTITUTE(SUBSTITUTE(SUBSTITUTE(SUBSTITUTE(LOWER(TRIM(E289)),"á","a"),"é","e"),"í","i"),"ó","o"),"ú","u"),"ü","u"),"ñ","n"),"à","a"),"è","e"),"ì","i"),"ò","o"),"ù","u"),"")</f>
        <v/>
      </c>
      <c r="T289" s="25">
        <f>IF(AND(Q289=1,G289&lt;&gt;""),SUBSTITUTE(SUBSTITUTE(SUBSTITUTE(SUBSTITUTE(SUBSTITUTE(SUBSTITUTE(SUBSTITUTE(SUBSTITUTE(SUBSTITUTE(SUBSTITUTE(SUBSTITUTE(SUBSTITUTE(LOWER(TRIM(G289)),"á","a"),"é","e"),"í","i"),"ó","o"),"ú","u"),"ü","u"),"ñ","n"),"à","a"),"è","e"),"ì","i"),"ò","o"),"ù","u"),"")</f>
        <v/>
      </c>
      <c r="U289" s="25">
        <f>IF(AND(Q289=1,H289&lt;&gt;""),SUBSTITUTE(SUBSTITUTE(SUBSTITUTE(SUBSTITUTE(SUBSTITUTE(SUBSTITUTE(SUBSTITUTE(SUBSTITUTE(SUBSTITUTE(SUBSTITUTE(SUBSTITUTE(SUBSTITUTE(LOWER(TRIM(H289)),"á","a"),"é","e"),"í","i"),"ó","o"),"ú","u"),"ü","u"),"ñ","n"),"à","a"),"è","e"),"ì","i"),"ò","o"),"ù","u"),"")</f>
        <v/>
      </c>
      <c r="V289" s="25">
        <f>IF(AND(Q289=1,L289&lt;&gt;""),SUBSTITUTE(SUBSTITUTE(SUBSTITUTE(SUBSTITUTE(SUBSTITUTE(SUBSTITUTE(SUBSTITUTE(SUBSTITUTE(SUBSTITUTE(SUBSTITUTE(SUBSTITUTE(SUBSTITUTE(LOWER(TRIM(L289)),"á","a"),"é","e"),"í","i"),"ó","o"),"ú","u"),"ü","u"),"ñ","n"),"à","a"),"è","e"),"ì","i"),"ò","o"),"ù","u"),"")</f>
        <v/>
      </c>
      <c r="W289" s="25">
        <f>IF(AND(Q289=1,I289&lt;&gt;""),SUBSTITUTE(SUBSTITUTE(SUBSTITUTE(SUBSTITUTE(SUBSTITUTE(SUBSTITUTE(SUBSTITUTE(SUBSTITUTE(SUBSTITUTE(SUBSTITUTE(SUBSTITUTE(SUBSTITUTE(LOWER(TRIM(I289)),"á","a"),"é","e"),"í","i"),"ó","o"),"ú","u"),"ü","u"),"ñ","n"),"à","a"),"è","e"),"ì","i"),"ò","o"),"ù","u"),"")</f>
        <v/>
      </c>
      <c r="X289" s="25">
        <f>IF(U289="","",IF(OR(U289="si, en la proxima tarea",U289="si, con cambios"),1,0))</f>
        <v/>
      </c>
      <c r="Y289" s="25">
        <f>IF(AND(Q289=1,A289&lt;&gt;""),IF(IFERROR(COUNTIFS(A$3:A289,"="&amp;SUBSTITUTE(SUBSTITUTE(SUBSTITUTE(A289,"~","~~"),"*","~*"),"?","~?"),Q$3:Q289,1),0)=1,MAX(Y$2:Y288)+1,""),"")</f>
        <v/>
      </c>
      <c r="Z289" s="25">
        <f>IF(Y289="","",COUNTIFS($A$3:$A$1002,"="&amp;SUBSTITUTE(SUBSTITUTE(SUBSTITUTE(A289,"~","~~"),"*","~*"),"?","~?"),$Q$3:$Q$1002,1)*10000-Y289)</f>
        <v/>
      </c>
    </row>
    <row r="290">
      <c r="A290">
        <f>IF(A$2=0,"",IFERROR(TRIM(INDEX('Pegar docentes'!$A$1:$BZ$1001,289,A$2)&amp;""),""))</f>
        <v/>
      </c>
      <c r="B290">
        <f>IF(B$2=0,"",IFERROR(TRIM(INDEX('Pegar docentes'!$A$1:$BZ$1001,289,B$2)&amp;""),""))</f>
        <v/>
      </c>
      <c r="C290">
        <f>IF(C$2=0,"",IFERROR(TRIM(INDEX('Pegar docentes'!$A$1:$BZ$1001,289,C$2)&amp;""),""))</f>
        <v/>
      </c>
      <c r="D290">
        <f>IF(D$2=0,"",IFERROR(TRIM(INDEX('Pegar docentes'!$A$1:$BZ$1001,289,D$2)&amp;""),""))</f>
        <v/>
      </c>
      <c r="E290">
        <f>IF(E$2=0,"",IFERROR(TRIM(INDEX('Pegar docentes'!$A$1:$BZ$1001,289,E$2)&amp;""),""))</f>
        <v/>
      </c>
      <c r="F290">
        <f>IF(F$2=0,"",IFERROR(TRIM(INDEX('Pegar docentes'!$A$1:$BZ$1001,289,F$2)&amp;""),""))</f>
        <v/>
      </c>
      <c r="G290">
        <f>IF(G$2=0,"",IFERROR(TRIM(INDEX('Pegar docentes'!$A$1:$BZ$1001,289,G$2)&amp;""),""))</f>
        <v/>
      </c>
      <c r="H290">
        <f>IF(H$2=0,"",IFERROR(TRIM(INDEX('Pegar docentes'!$A$1:$BZ$1001,289,H$2)&amp;""),""))</f>
        <v/>
      </c>
      <c r="I290">
        <f>IF(I$2=0,"",IFERROR(TRIM(INDEX('Pegar docentes'!$A$1:$BZ$1001,289,I$2)&amp;""),""))</f>
        <v/>
      </c>
      <c r="J290">
        <f>IF(J$2=0,"",IFERROR(TRIM(INDEX('Pegar docentes'!$A$1:$BZ$1001,289,J$2)&amp;""),""))</f>
        <v/>
      </c>
      <c r="K290">
        <f>IF(K$2=0,"",IFERROR(TRIM(INDEX('Pegar docentes'!$A$1:$BZ$1001,289,K$2)&amp;""),""))</f>
        <v/>
      </c>
      <c r="L290">
        <f>IF(L$2=0,"",IFERROR(TRIM(INDEX('Pegar docentes'!$A$1:$BZ$1001,289,L$2)&amp;""),""))</f>
        <v/>
      </c>
      <c r="M290">
        <f>IF(M$2=0,"",IFERROR(TRIM(INDEX('Pegar docentes'!$A$1:$BZ$1001,289,M$2)&amp;""),""))</f>
        <v/>
      </c>
      <c r="N290">
        <f>IF(N$2=0,"",IFERROR(TRIM(INDEX('Pegar docentes'!$A$1:$BZ$1001,289,N$2)&amp;""),""))</f>
        <v/>
      </c>
      <c r="O290">
        <f>IF(O$2=0,"",IFERROR(TRIM(INDEX('Pegar docentes'!$A$1:$BZ$1001,289,O$2)&amp;""),""))</f>
        <v/>
      </c>
      <c r="P290">
        <f>IF(P$2=0,"",IFERROR(TRIM(INDEX('Pegar docentes'!$A$1:$BZ$1001,289,P$2)&amp;""),""))</f>
        <v/>
      </c>
      <c r="Q290" s="25">
        <f>IF(OR(D290&lt;&gt;"",H290&lt;&gt;""),1,"")</f>
        <v/>
      </c>
      <c r="R290" s="25">
        <f>IF(Q290=1,IF(ISNUMBER(FIND("#"&amp;MID(D290,1,1)&amp;"#","#0#1#2#3#4#5#6#7#8#9#")),IF(ISNUMBER(FIND("#"&amp;MID(D290,2,1)&amp;"#","#0#1#2#3#4#5#6#7#8#9#")),IF(AND(VALUE(LEFT(D290,2))&gt;=1,VALUE(LEFT(D290,2))&lt;=5),VALUE(LEFT(D290,2)),""),IF(AND(VALUE(LEFT(D290,1))&gt;=1,VALUE(LEFT(D290,1))&lt;=5),VALUE(LEFT(D290,1)),"")),""),"")</f>
        <v/>
      </c>
      <c r="S290" s="25">
        <f>IF(AND(Q290=1,E290&lt;&gt;""),SUBSTITUTE(SUBSTITUTE(SUBSTITUTE(SUBSTITUTE(SUBSTITUTE(SUBSTITUTE(SUBSTITUTE(SUBSTITUTE(SUBSTITUTE(SUBSTITUTE(SUBSTITUTE(SUBSTITUTE(LOWER(TRIM(E290)),"á","a"),"é","e"),"í","i"),"ó","o"),"ú","u"),"ü","u"),"ñ","n"),"à","a"),"è","e"),"ì","i"),"ò","o"),"ù","u"),"")</f>
        <v/>
      </c>
      <c r="T290" s="25">
        <f>IF(AND(Q290=1,G290&lt;&gt;""),SUBSTITUTE(SUBSTITUTE(SUBSTITUTE(SUBSTITUTE(SUBSTITUTE(SUBSTITUTE(SUBSTITUTE(SUBSTITUTE(SUBSTITUTE(SUBSTITUTE(SUBSTITUTE(SUBSTITUTE(LOWER(TRIM(G290)),"á","a"),"é","e"),"í","i"),"ó","o"),"ú","u"),"ü","u"),"ñ","n"),"à","a"),"è","e"),"ì","i"),"ò","o"),"ù","u"),"")</f>
        <v/>
      </c>
      <c r="U290" s="25">
        <f>IF(AND(Q290=1,H290&lt;&gt;""),SUBSTITUTE(SUBSTITUTE(SUBSTITUTE(SUBSTITUTE(SUBSTITUTE(SUBSTITUTE(SUBSTITUTE(SUBSTITUTE(SUBSTITUTE(SUBSTITUTE(SUBSTITUTE(SUBSTITUTE(LOWER(TRIM(H290)),"á","a"),"é","e"),"í","i"),"ó","o"),"ú","u"),"ü","u"),"ñ","n"),"à","a"),"è","e"),"ì","i"),"ò","o"),"ù","u"),"")</f>
        <v/>
      </c>
      <c r="V290" s="25">
        <f>IF(AND(Q290=1,L290&lt;&gt;""),SUBSTITUTE(SUBSTITUTE(SUBSTITUTE(SUBSTITUTE(SUBSTITUTE(SUBSTITUTE(SUBSTITUTE(SUBSTITUTE(SUBSTITUTE(SUBSTITUTE(SUBSTITUTE(SUBSTITUTE(LOWER(TRIM(L290)),"á","a"),"é","e"),"í","i"),"ó","o"),"ú","u"),"ü","u"),"ñ","n"),"à","a"),"è","e"),"ì","i"),"ò","o"),"ù","u"),"")</f>
        <v/>
      </c>
      <c r="W290" s="25">
        <f>IF(AND(Q290=1,I290&lt;&gt;""),SUBSTITUTE(SUBSTITUTE(SUBSTITUTE(SUBSTITUTE(SUBSTITUTE(SUBSTITUTE(SUBSTITUTE(SUBSTITUTE(SUBSTITUTE(SUBSTITUTE(SUBSTITUTE(SUBSTITUTE(LOWER(TRIM(I290)),"á","a"),"é","e"),"í","i"),"ó","o"),"ú","u"),"ü","u"),"ñ","n"),"à","a"),"è","e"),"ì","i"),"ò","o"),"ù","u"),"")</f>
        <v/>
      </c>
      <c r="X290" s="25">
        <f>IF(U290="","",IF(OR(U290="si, en la proxima tarea",U290="si, con cambios"),1,0))</f>
        <v/>
      </c>
      <c r="Y290" s="25">
        <f>IF(AND(Q290=1,A290&lt;&gt;""),IF(IFERROR(COUNTIFS(A$3:A290,"="&amp;SUBSTITUTE(SUBSTITUTE(SUBSTITUTE(A290,"~","~~"),"*","~*"),"?","~?"),Q$3:Q290,1),0)=1,MAX(Y$2:Y289)+1,""),"")</f>
        <v/>
      </c>
      <c r="Z290" s="25">
        <f>IF(Y290="","",COUNTIFS($A$3:$A$1002,"="&amp;SUBSTITUTE(SUBSTITUTE(SUBSTITUTE(A290,"~","~~"),"*","~*"),"?","~?"),$Q$3:$Q$1002,1)*10000-Y290)</f>
        <v/>
      </c>
    </row>
    <row r="291">
      <c r="A291">
        <f>IF(A$2=0,"",IFERROR(TRIM(INDEX('Pegar docentes'!$A$1:$BZ$1001,290,A$2)&amp;""),""))</f>
        <v/>
      </c>
      <c r="B291">
        <f>IF(B$2=0,"",IFERROR(TRIM(INDEX('Pegar docentes'!$A$1:$BZ$1001,290,B$2)&amp;""),""))</f>
        <v/>
      </c>
      <c r="C291">
        <f>IF(C$2=0,"",IFERROR(TRIM(INDEX('Pegar docentes'!$A$1:$BZ$1001,290,C$2)&amp;""),""))</f>
        <v/>
      </c>
      <c r="D291">
        <f>IF(D$2=0,"",IFERROR(TRIM(INDEX('Pegar docentes'!$A$1:$BZ$1001,290,D$2)&amp;""),""))</f>
        <v/>
      </c>
      <c r="E291">
        <f>IF(E$2=0,"",IFERROR(TRIM(INDEX('Pegar docentes'!$A$1:$BZ$1001,290,E$2)&amp;""),""))</f>
        <v/>
      </c>
      <c r="F291">
        <f>IF(F$2=0,"",IFERROR(TRIM(INDEX('Pegar docentes'!$A$1:$BZ$1001,290,F$2)&amp;""),""))</f>
        <v/>
      </c>
      <c r="G291">
        <f>IF(G$2=0,"",IFERROR(TRIM(INDEX('Pegar docentes'!$A$1:$BZ$1001,290,G$2)&amp;""),""))</f>
        <v/>
      </c>
      <c r="H291">
        <f>IF(H$2=0,"",IFERROR(TRIM(INDEX('Pegar docentes'!$A$1:$BZ$1001,290,H$2)&amp;""),""))</f>
        <v/>
      </c>
      <c r="I291">
        <f>IF(I$2=0,"",IFERROR(TRIM(INDEX('Pegar docentes'!$A$1:$BZ$1001,290,I$2)&amp;""),""))</f>
        <v/>
      </c>
      <c r="J291">
        <f>IF(J$2=0,"",IFERROR(TRIM(INDEX('Pegar docentes'!$A$1:$BZ$1001,290,J$2)&amp;""),""))</f>
        <v/>
      </c>
      <c r="K291">
        <f>IF(K$2=0,"",IFERROR(TRIM(INDEX('Pegar docentes'!$A$1:$BZ$1001,290,K$2)&amp;""),""))</f>
        <v/>
      </c>
      <c r="L291">
        <f>IF(L$2=0,"",IFERROR(TRIM(INDEX('Pegar docentes'!$A$1:$BZ$1001,290,L$2)&amp;""),""))</f>
        <v/>
      </c>
      <c r="M291">
        <f>IF(M$2=0,"",IFERROR(TRIM(INDEX('Pegar docentes'!$A$1:$BZ$1001,290,M$2)&amp;""),""))</f>
        <v/>
      </c>
      <c r="N291">
        <f>IF(N$2=0,"",IFERROR(TRIM(INDEX('Pegar docentes'!$A$1:$BZ$1001,290,N$2)&amp;""),""))</f>
        <v/>
      </c>
      <c r="O291">
        <f>IF(O$2=0,"",IFERROR(TRIM(INDEX('Pegar docentes'!$A$1:$BZ$1001,290,O$2)&amp;""),""))</f>
        <v/>
      </c>
      <c r="P291">
        <f>IF(P$2=0,"",IFERROR(TRIM(INDEX('Pegar docentes'!$A$1:$BZ$1001,290,P$2)&amp;""),""))</f>
        <v/>
      </c>
      <c r="Q291" s="25">
        <f>IF(OR(D291&lt;&gt;"",H291&lt;&gt;""),1,"")</f>
        <v/>
      </c>
      <c r="R291" s="25">
        <f>IF(Q291=1,IF(ISNUMBER(FIND("#"&amp;MID(D291,1,1)&amp;"#","#0#1#2#3#4#5#6#7#8#9#")),IF(ISNUMBER(FIND("#"&amp;MID(D291,2,1)&amp;"#","#0#1#2#3#4#5#6#7#8#9#")),IF(AND(VALUE(LEFT(D291,2))&gt;=1,VALUE(LEFT(D291,2))&lt;=5),VALUE(LEFT(D291,2)),""),IF(AND(VALUE(LEFT(D291,1))&gt;=1,VALUE(LEFT(D291,1))&lt;=5),VALUE(LEFT(D291,1)),"")),""),"")</f>
        <v/>
      </c>
      <c r="S291" s="25">
        <f>IF(AND(Q291=1,E291&lt;&gt;""),SUBSTITUTE(SUBSTITUTE(SUBSTITUTE(SUBSTITUTE(SUBSTITUTE(SUBSTITUTE(SUBSTITUTE(SUBSTITUTE(SUBSTITUTE(SUBSTITUTE(SUBSTITUTE(SUBSTITUTE(LOWER(TRIM(E291)),"á","a"),"é","e"),"í","i"),"ó","o"),"ú","u"),"ü","u"),"ñ","n"),"à","a"),"è","e"),"ì","i"),"ò","o"),"ù","u"),"")</f>
        <v/>
      </c>
      <c r="T291" s="25">
        <f>IF(AND(Q291=1,G291&lt;&gt;""),SUBSTITUTE(SUBSTITUTE(SUBSTITUTE(SUBSTITUTE(SUBSTITUTE(SUBSTITUTE(SUBSTITUTE(SUBSTITUTE(SUBSTITUTE(SUBSTITUTE(SUBSTITUTE(SUBSTITUTE(LOWER(TRIM(G291)),"á","a"),"é","e"),"í","i"),"ó","o"),"ú","u"),"ü","u"),"ñ","n"),"à","a"),"è","e"),"ì","i"),"ò","o"),"ù","u"),"")</f>
        <v/>
      </c>
      <c r="U291" s="25">
        <f>IF(AND(Q291=1,H291&lt;&gt;""),SUBSTITUTE(SUBSTITUTE(SUBSTITUTE(SUBSTITUTE(SUBSTITUTE(SUBSTITUTE(SUBSTITUTE(SUBSTITUTE(SUBSTITUTE(SUBSTITUTE(SUBSTITUTE(SUBSTITUTE(LOWER(TRIM(H291)),"á","a"),"é","e"),"í","i"),"ó","o"),"ú","u"),"ü","u"),"ñ","n"),"à","a"),"è","e"),"ì","i"),"ò","o"),"ù","u"),"")</f>
        <v/>
      </c>
      <c r="V291" s="25">
        <f>IF(AND(Q291=1,L291&lt;&gt;""),SUBSTITUTE(SUBSTITUTE(SUBSTITUTE(SUBSTITUTE(SUBSTITUTE(SUBSTITUTE(SUBSTITUTE(SUBSTITUTE(SUBSTITUTE(SUBSTITUTE(SUBSTITUTE(SUBSTITUTE(LOWER(TRIM(L291)),"á","a"),"é","e"),"í","i"),"ó","o"),"ú","u"),"ü","u"),"ñ","n"),"à","a"),"è","e"),"ì","i"),"ò","o"),"ù","u"),"")</f>
        <v/>
      </c>
      <c r="W291" s="25">
        <f>IF(AND(Q291=1,I291&lt;&gt;""),SUBSTITUTE(SUBSTITUTE(SUBSTITUTE(SUBSTITUTE(SUBSTITUTE(SUBSTITUTE(SUBSTITUTE(SUBSTITUTE(SUBSTITUTE(SUBSTITUTE(SUBSTITUTE(SUBSTITUTE(LOWER(TRIM(I291)),"á","a"),"é","e"),"í","i"),"ó","o"),"ú","u"),"ü","u"),"ñ","n"),"à","a"),"è","e"),"ì","i"),"ò","o"),"ù","u"),"")</f>
        <v/>
      </c>
      <c r="X291" s="25">
        <f>IF(U291="","",IF(OR(U291="si, en la proxima tarea",U291="si, con cambios"),1,0))</f>
        <v/>
      </c>
      <c r="Y291" s="25">
        <f>IF(AND(Q291=1,A291&lt;&gt;""),IF(IFERROR(COUNTIFS(A$3:A291,"="&amp;SUBSTITUTE(SUBSTITUTE(SUBSTITUTE(A291,"~","~~"),"*","~*"),"?","~?"),Q$3:Q291,1),0)=1,MAX(Y$2:Y290)+1,""),"")</f>
        <v/>
      </c>
      <c r="Z291" s="25">
        <f>IF(Y291="","",COUNTIFS($A$3:$A$1002,"="&amp;SUBSTITUTE(SUBSTITUTE(SUBSTITUTE(A291,"~","~~"),"*","~*"),"?","~?"),$Q$3:$Q$1002,1)*10000-Y291)</f>
        <v/>
      </c>
    </row>
    <row r="292">
      <c r="A292">
        <f>IF(A$2=0,"",IFERROR(TRIM(INDEX('Pegar docentes'!$A$1:$BZ$1001,291,A$2)&amp;""),""))</f>
        <v/>
      </c>
      <c r="B292">
        <f>IF(B$2=0,"",IFERROR(TRIM(INDEX('Pegar docentes'!$A$1:$BZ$1001,291,B$2)&amp;""),""))</f>
        <v/>
      </c>
      <c r="C292">
        <f>IF(C$2=0,"",IFERROR(TRIM(INDEX('Pegar docentes'!$A$1:$BZ$1001,291,C$2)&amp;""),""))</f>
        <v/>
      </c>
      <c r="D292">
        <f>IF(D$2=0,"",IFERROR(TRIM(INDEX('Pegar docentes'!$A$1:$BZ$1001,291,D$2)&amp;""),""))</f>
        <v/>
      </c>
      <c r="E292">
        <f>IF(E$2=0,"",IFERROR(TRIM(INDEX('Pegar docentes'!$A$1:$BZ$1001,291,E$2)&amp;""),""))</f>
        <v/>
      </c>
      <c r="F292">
        <f>IF(F$2=0,"",IFERROR(TRIM(INDEX('Pegar docentes'!$A$1:$BZ$1001,291,F$2)&amp;""),""))</f>
        <v/>
      </c>
      <c r="G292">
        <f>IF(G$2=0,"",IFERROR(TRIM(INDEX('Pegar docentes'!$A$1:$BZ$1001,291,G$2)&amp;""),""))</f>
        <v/>
      </c>
      <c r="H292">
        <f>IF(H$2=0,"",IFERROR(TRIM(INDEX('Pegar docentes'!$A$1:$BZ$1001,291,H$2)&amp;""),""))</f>
        <v/>
      </c>
      <c r="I292">
        <f>IF(I$2=0,"",IFERROR(TRIM(INDEX('Pegar docentes'!$A$1:$BZ$1001,291,I$2)&amp;""),""))</f>
        <v/>
      </c>
      <c r="J292">
        <f>IF(J$2=0,"",IFERROR(TRIM(INDEX('Pegar docentes'!$A$1:$BZ$1001,291,J$2)&amp;""),""))</f>
        <v/>
      </c>
      <c r="K292">
        <f>IF(K$2=0,"",IFERROR(TRIM(INDEX('Pegar docentes'!$A$1:$BZ$1001,291,K$2)&amp;""),""))</f>
        <v/>
      </c>
      <c r="L292">
        <f>IF(L$2=0,"",IFERROR(TRIM(INDEX('Pegar docentes'!$A$1:$BZ$1001,291,L$2)&amp;""),""))</f>
        <v/>
      </c>
      <c r="M292">
        <f>IF(M$2=0,"",IFERROR(TRIM(INDEX('Pegar docentes'!$A$1:$BZ$1001,291,M$2)&amp;""),""))</f>
        <v/>
      </c>
      <c r="N292">
        <f>IF(N$2=0,"",IFERROR(TRIM(INDEX('Pegar docentes'!$A$1:$BZ$1001,291,N$2)&amp;""),""))</f>
        <v/>
      </c>
      <c r="O292">
        <f>IF(O$2=0,"",IFERROR(TRIM(INDEX('Pegar docentes'!$A$1:$BZ$1001,291,O$2)&amp;""),""))</f>
        <v/>
      </c>
      <c r="P292">
        <f>IF(P$2=0,"",IFERROR(TRIM(INDEX('Pegar docentes'!$A$1:$BZ$1001,291,P$2)&amp;""),""))</f>
        <v/>
      </c>
      <c r="Q292" s="25">
        <f>IF(OR(D292&lt;&gt;"",H292&lt;&gt;""),1,"")</f>
        <v/>
      </c>
      <c r="R292" s="25">
        <f>IF(Q292=1,IF(ISNUMBER(FIND("#"&amp;MID(D292,1,1)&amp;"#","#0#1#2#3#4#5#6#7#8#9#")),IF(ISNUMBER(FIND("#"&amp;MID(D292,2,1)&amp;"#","#0#1#2#3#4#5#6#7#8#9#")),IF(AND(VALUE(LEFT(D292,2))&gt;=1,VALUE(LEFT(D292,2))&lt;=5),VALUE(LEFT(D292,2)),""),IF(AND(VALUE(LEFT(D292,1))&gt;=1,VALUE(LEFT(D292,1))&lt;=5),VALUE(LEFT(D292,1)),"")),""),"")</f>
        <v/>
      </c>
      <c r="S292" s="25">
        <f>IF(AND(Q292=1,E292&lt;&gt;""),SUBSTITUTE(SUBSTITUTE(SUBSTITUTE(SUBSTITUTE(SUBSTITUTE(SUBSTITUTE(SUBSTITUTE(SUBSTITUTE(SUBSTITUTE(SUBSTITUTE(SUBSTITUTE(SUBSTITUTE(LOWER(TRIM(E292)),"á","a"),"é","e"),"í","i"),"ó","o"),"ú","u"),"ü","u"),"ñ","n"),"à","a"),"è","e"),"ì","i"),"ò","o"),"ù","u"),"")</f>
        <v/>
      </c>
      <c r="T292" s="25">
        <f>IF(AND(Q292=1,G292&lt;&gt;""),SUBSTITUTE(SUBSTITUTE(SUBSTITUTE(SUBSTITUTE(SUBSTITUTE(SUBSTITUTE(SUBSTITUTE(SUBSTITUTE(SUBSTITUTE(SUBSTITUTE(SUBSTITUTE(SUBSTITUTE(LOWER(TRIM(G292)),"á","a"),"é","e"),"í","i"),"ó","o"),"ú","u"),"ü","u"),"ñ","n"),"à","a"),"è","e"),"ì","i"),"ò","o"),"ù","u"),"")</f>
        <v/>
      </c>
      <c r="U292" s="25">
        <f>IF(AND(Q292=1,H292&lt;&gt;""),SUBSTITUTE(SUBSTITUTE(SUBSTITUTE(SUBSTITUTE(SUBSTITUTE(SUBSTITUTE(SUBSTITUTE(SUBSTITUTE(SUBSTITUTE(SUBSTITUTE(SUBSTITUTE(SUBSTITUTE(LOWER(TRIM(H292)),"á","a"),"é","e"),"í","i"),"ó","o"),"ú","u"),"ü","u"),"ñ","n"),"à","a"),"è","e"),"ì","i"),"ò","o"),"ù","u"),"")</f>
        <v/>
      </c>
      <c r="V292" s="25">
        <f>IF(AND(Q292=1,L292&lt;&gt;""),SUBSTITUTE(SUBSTITUTE(SUBSTITUTE(SUBSTITUTE(SUBSTITUTE(SUBSTITUTE(SUBSTITUTE(SUBSTITUTE(SUBSTITUTE(SUBSTITUTE(SUBSTITUTE(SUBSTITUTE(LOWER(TRIM(L292)),"á","a"),"é","e"),"í","i"),"ó","o"),"ú","u"),"ü","u"),"ñ","n"),"à","a"),"è","e"),"ì","i"),"ò","o"),"ù","u"),"")</f>
        <v/>
      </c>
      <c r="W292" s="25">
        <f>IF(AND(Q292=1,I292&lt;&gt;""),SUBSTITUTE(SUBSTITUTE(SUBSTITUTE(SUBSTITUTE(SUBSTITUTE(SUBSTITUTE(SUBSTITUTE(SUBSTITUTE(SUBSTITUTE(SUBSTITUTE(SUBSTITUTE(SUBSTITUTE(LOWER(TRIM(I292)),"á","a"),"é","e"),"í","i"),"ó","o"),"ú","u"),"ü","u"),"ñ","n"),"à","a"),"è","e"),"ì","i"),"ò","o"),"ù","u"),"")</f>
        <v/>
      </c>
      <c r="X292" s="25">
        <f>IF(U292="","",IF(OR(U292="si, en la proxima tarea",U292="si, con cambios"),1,0))</f>
        <v/>
      </c>
      <c r="Y292" s="25">
        <f>IF(AND(Q292=1,A292&lt;&gt;""),IF(IFERROR(COUNTIFS(A$3:A292,"="&amp;SUBSTITUTE(SUBSTITUTE(SUBSTITUTE(A292,"~","~~"),"*","~*"),"?","~?"),Q$3:Q292,1),0)=1,MAX(Y$2:Y291)+1,""),"")</f>
        <v/>
      </c>
      <c r="Z292" s="25">
        <f>IF(Y292="","",COUNTIFS($A$3:$A$1002,"="&amp;SUBSTITUTE(SUBSTITUTE(SUBSTITUTE(A292,"~","~~"),"*","~*"),"?","~?"),$Q$3:$Q$1002,1)*10000-Y292)</f>
        <v/>
      </c>
    </row>
    <row r="293">
      <c r="A293">
        <f>IF(A$2=0,"",IFERROR(TRIM(INDEX('Pegar docentes'!$A$1:$BZ$1001,292,A$2)&amp;""),""))</f>
        <v/>
      </c>
      <c r="B293">
        <f>IF(B$2=0,"",IFERROR(TRIM(INDEX('Pegar docentes'!$A$1:$BZ$1001,292,B$2)&amp;""),""))</f>
        <v/>
      </c>
      <c r="C293">
        <f>IF(C$2=0,"",IFERROR(TRIM(INDEX('Pegar docentes'!$A$1:$BZ$1001,292,C$2)&amp;""),""))</f>
        <v/>
      </c>
      <c r="D293">
        <f>IF(D$2=0,"",IFERROR(TRIM(INDEX('Pegar docentes'!$A$1:$BZ$1001,292,D$2)&amp;""),""))</f>
        <v/>
      </c>
      <c r="E293">
        <f>IF(E$2=0,"",IFERROR(TRIM(INDEX('Pegar docentes'!$A$1:$BZ$1001,292,E$2)&amp;""),""))</f>
        <v/>
      </c>
      <c r="F293">
        <f>IF(F$2=0,"",IFERROR(TRIM(INDEX('Pegar docentes'!$A$1:$BZ$1001,292,F$2)&amp;""),""))</f>
        <v/>
      </c>
      <c r="G293">
        <f>IF(G$2=0,"",IFERROR(TRIM(INDEX('Pegar docentes'!$A$1:$BZ$1001,292,G$2)&amp;""),""))</f>
        <v/>
      </c>
      <c r="H293">
        <f>IF(H$2=0,"",IFERROR(TRIM(INDEX('Pegar docentes'!$A$1:$BZ$1001,292,H$2)&amp;""),""))</f>
        <v/>
      </c>
      <c r="I293">
        <f>IF(I$2=0,"",IFERROR(TRIM(INDEX('Pegar docentes'!$A$1:$BZ$1001,292,I$2)&amp;""),""))</f>
        <v/>
      </c>
      <c r="J293">
        <f>IF(J$2=0,"",IFERROR(TRIM(INDEX('Pegar docentes'!$A$1:$BZ$1001,292,J$2)&amp;""),""))</f>
        <v/>
      </c>
      <c r="K293">
        <f>IF(K$2=0,"",IFERROR(TRIM(INDEX('Pegar docentes'!$A$1:$BZ$1001,292,K$2)&amp;""),""))</f>
        <v/>
      </c>
      <c r="L293">
        <f>IF(L$2=0,"",IFERROR(TRIM(INDEX('Pegar docentes'!$A$1:$BZ$1001,292,L$2)&amp;""),""))</f>
        <v/>
      </c>
      <c r="M293">
        <f>IF(M$2=0,"",IFERROR(TRIM(INDEX('Pegar docentes'!$A$1:$BZ$1001,292,M$2)&amp;""),""))</f>
        <v/>
      </c>
      <c r="N293">
        <f>IF(N$2=0,"",IFERROR(TRIM(INDEX('Pegar docentes'!$A$1:$BZ$1001,292,N$2)&amp;""),""))</f>
        <v/>
      </c>
      <c r="O293">
        <f>IF(O$2=0,"",IFERROR(TRIM(INDEX('Pegar docentes'!$A$1:$BZ$1001,292,O$2)&amp;""),""))</f>
        <v/>
      </c>
      <c r="P293">
        <f>IF(P$2=0,"",IFERROR(TRIM(INDEX('Pegar docentes'!$A$1:$BZ$1001,292,P$2)&amp;""),""))</f>
        <v/>
      </c>
      <c r="Q293" s="25">
        <f>IF(OR(D293&lt;&gt;"",H293&lt;&gt;""),1,"")</f>
        <v/>
      </c>
      <c r="R293" s="25">
        <f>IF(Q293=1,IF(ISNUMBER(FIND("#"&amp;MID(D293,1,1)&amp;"#","#0#1#2#3#4#5#6#7#8#9#")),IF(ISNUMBER(FIND("#"&amp;MID(D293,2,1)&amp;"#","#0#1#2#3#4#5#6#7#8#9#")),IF(AND(VALUE(LEFT(D293,2))&gt;=1,VALUE(LEFT(D293,2))&lt;=5),VALUE(LEFT(D293,2)),""),IF(AND(VALUE(LEFT(D293,1))&gt;=1,VALUE(LEFT(D293,1))&lt;=5),VALUE(LEFT(D293,1)),"")),""),"")</f>
        <v/>
      </c>
      <c r="S293" s="25">
        <f>IF(AND(Q293=1,E293&lt;&gt;""),SUBSTITUTE(SUBSTITUTE(SUBSTITUTE(SUBSTITUTE(SUBSTITUTE(SUBSTITUTE(SUBSTITUTE(SUBSTITUTE(SUBSTITUTE(SUBSTITUTE(SUBSTITUTE(SUBSTITUTE(LOWER(TRIM(E293)),"á","a"),"é","e"),"í","i"),"ó","o"),"ú","u"),"ü","u"),"ñ","n"),"à","a"),"è","e"),"ì","i"),"ò","o"),"ù","u"),"")</f>
        <v/>
      </c>
      <c r="T293" s="25">
        <f>IF(AND(Q293=1,G293&lt;&gt;""),SUBSTITUTE(SUBSTITUTE(SUBSTITUTE(SUBSTITUTE(SUBSTITUTE(SUBSTITUTE(SUBSTITUTE(SUBSTITUTE(SUBSTITUTE(SUBSTITUTE(SUBSTITUTE(SUBSTITUTE(LOWER(TRIM(G293)),"á","a"),"é","e"),"í","i"),"ó","o"),"ú","u"),"ü","u"),"ñ","n"),"à","a"),"è","e"),"ì","i"),"ò","o"),"ù","u"),"")</f>
        <v/>
      </c>
      <c r="U293" s="25">
        <f>IF(AND(Q293=1,H293&lt;&gt;""),SUBSTITUTE(SUBSTITUTE(SUBSTITUTE(SUBSTITUTE(SUBSTITUTE(SUBSTITUTE(SUBSTITUTE(SUBSTITUTE(SUBSTITUTE(SUBSTITUTE(SUBSTITUTE(SUBSTITUTE(LOWER(TRIM(H293)),"á","a"),"é","e"),"í","i"),"ó","o"),"ú","u"),"ü","u"),"ñ","n"),"à","a"),"è","e"),"ì","i"),"ò","o"),"ù","u"),"")</f>
        <v/>
      </c>
      <c r="V293" s="25">
        <f>IF(AND(Q293=1,L293&lt;&gt;""),SUBSTITUTE(SUBSTITUTE(SUBSTITUTE(SUBSTITUTE(SUBSTITUTE(SUBSTITUTE(SUBSTITUTE(SUBSTITUTE(SUBSTITUTE(SUBSTITUTE(SUBSTITUTE(SUBSTITUTE(LOWER(TRIM(L293)),"á","a"),"é","e"),"í","i"),"ó","o"),"ú","u"),"ü","u"),"ñ","n"),"à","a"),"è","e"),"ì","i"),"ò","o"),"ù","u"),"")</f>
        <v/>
      </c>
      <c r="W293" s="25">
        <f>IF(AND(Q293=1,I293&lt;&gt;""),SUBSTITUTE(SUBSTITUTE(SUBSTITUTE(SUBSTITUTE(SUBSTITUTE(SUBSTITUTE(SUBSTITUTE(SUBSTITUTE(SUBSTITUTE(SUBSTITUTE(SUBSTITUTE(SUBSTITUTE(LOWER(TRIM(I293)),"á","a"),"é","e"),"í","i"),"ó","o"),"ú","u"),"ü","u"),"ñ","n"),"à","a"),"è","e"),"ì","i"),"ò","o"),"ù","u"),"")</f>
        <v/>
      </c>
      <c r="X293" s="25">
        <f>IF(U293="","",IF(OR(U293="si, en la proxima tarea",U293="si, con cambios"),1,0))</f>
        <v/>
      </c>
      <c r="Y293" s="25">
        <f>IF(AND(Q293=1,A293&lt;&gt;""),IF(IFERROR(COUNTIFS(A$3:A293,"="&amp;SUBSTITUTE(SUBSTITUTE(SUBSTITUTE(A293,"~","~~"),"*","~*"),"?","~?"),Q$3:Q293,1),0)=1,MAX(Y$2:Y292)+1,""),"")</f>
        <v/>
      </c>
      <c r="Z293" s="25">
        <f>IF(Y293="","",COUNTIFS($A$3:$A$1002,"="&amp;SUBSTITUTE(SUBSTITUTE(SUBSTITUTE(A293,"~","~~"),"*","~*"),"?","~?"),$Q$3:$Q$1002,1)*10000-Y293)</f>
        <v/>
      </c>
    </row>
    <row r="294">
      <c r="A294">
        <f>IF(A$2=0,"",IFERROR(TRIM(INDEX('Pegar docentes'!$A$1:$BZ$1001,293,A$2)&amp;""),""))</f>
        <v/>
      </c>
      <c r="B294">
        <f>IF(B$2=0,"",IFERROR(TRIM(INDEX('Pegar docentes'!$A$1:$BZ$1001,293,B$2)&amp;""),""))</f>
        <v/>
      </c>
      <c r="C294">
        <f>IF(C$2=0,"",IFERROR(TRIM(INDEX('Pegar docentes'!$A$1:$BZ$1001,293,C$2)&amp;""),""))</f>
        <v/>
      </c>
      <c r="D294">
        <f>IF(D$2=0,"",IFERROR(TRIM(INDEX('Pegar docentes'!$A$1:$BZ$1001,293,D$2)&amp;""),""))</f>
        <v/>
      </c>
      <c r="E294">
        <f>IF(E$2=0,"",IFERROR(TRIM(INDEX('Pegar docentes'!$A$1:$BZ$1001,293,E$2)&amp;""),""))</f>
        <v/>
      </c>
      <c r="F294">
        <f>IF(F$2=0,"",IFERROR(TRIM(INDEX('Pegar docentes'!$A$1:$BZ$1001,293,F$2)&amp;""),""))</f>
        <v/>
      </c>
      <c r="G294">
        <f>IF(G$2=0,"",IFERROR(TRIM(INDEX('Pegar docentes'!$A$1:$BZ$1001,293,G$2)&amp;""),""))</f>
        <v/>
      </c>
      <c r="H294">
        <f>IF(H$2=0,"",IFERROR(TRIM(INDEX('Pegar docentes'!$A$1:$BZ$1001,293,H$2)&amp;""),""))</f>
        <v/>
      </c>
      <c r="I294">
        <f>IF(I$2=0,"",IFERROR(TRIM(INDEX('Pegar docentes'!$A$1:$BZ$1001,293,I$2)&amp;""),""))</f>
        <v/>
      </c>
      <c r="J294">
        <f>IF(J$2=0,"",IFERROR(TRIM(INDEX('Pegar docentes'!$A$1:$BZ$1001,293,J$2)&amp;""),""))</f>
        <v/>
      </c>
      <c r="K294">
        <f>IF(K$2=0,"",IFERROR(TRIM(INDEX('Pegar docentes'!$A$1:$BZ$1001,293,K$2)&amp;""),""))</f>
        <v/>
      </c>
      <c r="L294">
        <f>IF(L$2=0,"",IFERROR(TRIM(INDEX('Pegar docentes'!$A$1:$BZ$1001,293,L$2)&amp;""),""))</f>
        <v/>
      </c>
      <c r="M294">
        <f>IF(M$2=0,"",IFERROR(TRIM(INDEX('Pegar docentes'!$A$1:$BZ$1001,293,M$2)&amp;""),""))</f>
        <v/>
      </c>
      <c r="N294">
        <f>IF(N$2=0,"",IFERROR(TRIM(INDEX('Pegar docentes'!$A$1:$BZ$1001,293,N$2)&amp;""),""))</f>
        <v/>
      </c>
      <c r="O294">
        <f>IF(O$2=0,"",IFERROR(TRIM(INDEX('Pegar docentes'!$A$1:$BZ$1001,293,O$2)&amp;""),""))</f>
        <v/>
      </c>
      <c r="P294">
        <f>IF(P$2=0,"",IFERROR(TRIM(INDEX('Pegar docentes'!$A$1:$BZ$1001,293,P$2)&amp;""),""))</f>
        <v/>
      </c>
      <c r="Q294" s="25">
        <f>IF(OR(D294&lt;&gt;"",H294&lt;&gt;""),1,"")</f>
        <v/>
      </c>
      <c r="R294" s="25">
        <f>IF(Q294=1,IF(ISNUMBER(FIND("#"&amp;MID(D294,1,1)&amp;"#","#0#1#2#3#4#5#6#7#8#9#")),IF(ISNUMBER(FIND("#"&amp;MID(D294,2,1)&amp;"#","#0#1#2#3#4#5#6#7#8#9#")),IF(AND(VALUE(LEFT(D294,2))&gt;=1,VALUE(LEFT(D294,2))&lt;=5),VALUE(LEFT(D294,2)),""),IF(AND(VALUE(LEFT(D294,1))&gt;=1,VALUE(LEFT(D294,1))&lt;=5),VALUE(LEFT(D294,1)),"")),""),"")</f>
        <v/>
      </c>
      <c r="S294" s="25">
        <f>IF(AND(Q294=1,E294&lt;&gt;""),SUBSTITUTE(SUBSTITUTE(SUBSTITUTE(SUBSTITUTE(SUBSTITUTE(SUBSTITUTE(SUBSTITUTE(SUBSTITUTE(SUBSTITUTE(SUBSTITUTE(SUBSTITUTE(SUBSTITUTE(LOWER(TRIM(E294)),"á","a"),"é","e"),"í","i"),"ó","o"),"ú","u"),"ü","u"),"ñ","n"),"à","a"),"è","e"),"ì","i"),"ò","o"),"ù","u"),"")</f>
        <v/>
      </c>
      <c r="T294" s="25">
        <f>IF(AND(Q294=1,G294&lt;&gt;""),SUBSTITUTE(SUBSTITUTE(SUBSTITUTE(SUBSTITUTE(SUBSTITUTE(SUBSTITUTE(SUBSTITUTE(SUBSTITUTE(SUBSTITUTE(SUBSTITUTE(SUBSTITUTE(SUBSTITUTE(LOWER(TRIM(G294)),"á","a"),"é","e"),"í","i"),"ó","o"),"ú","u"),"ü","u"),"ñ","n"),"à","a"),"è","e"),"ì","i"),"ò","o"),"ù","u"),"")</f>
        <v/>
      </c>
      <c r="U294" s="25">
        <f>IF(AND(Q294=1,H294&lt;&gt;""),SUBSTITUTE(SUBSTITUTE(SUBSTITUTE(SUBSTITUTE(SUBSTITUTE(SUBSTITUTE(SUBSTITUTE(SUBSTITUTE(SUBSTITUTE(SUBSTITUTE(SUBSTITUTE(SUBSTITUTE(LOWER(TRIM(H294)),"á","a"),"é","e"),"í","i"),"ó","o"),"ú","u"),"ü","u"),"ñ","n"),"à","a"),"è","e"),"ì","i"),"ò","o"),"ù","u"),"")</f>
        <v/>
      </c>
      <c r="V294" s="25">
        <f>IF(AND(Q294=1,L294&lt;&gt;""),SUBSTITUTE(SUBSTITUTE(SUBSTITUTE(SUBSTITUTE(SUBSTITUTE(SUBSTITUTE(SUBSTITUTE(SUBSTITUTE(SUBSTITUTE(SUBSTITUTE(SUBSTITUTE(SUBSTITUTE(LOWER(TRIM(L294)),"á","a"),"é","e"),"í","i"),"ó","o"),"ú","u"),"ü","u"),"ñ","n"),"à","a"),"è","e"),"ì","i"),"ò","o"),"ù","u"),"")</f>
        <v/>
      </c>
      <c r="W294" s="25">
        <f>IF(AND(Q294=1,I294&lt;&gt;""),SUBSTITUTE(SUBSTITUTE(SUBSTITUTE(SUBSTITUTE(SUBSTITUTE(SUBSTITUTE(SUBSTITUTE(SUBSTITUTE(SUBSTITUTE(SUBSTITUTE(SUBSTITUTE(SUBSTITUTE(LOWER(TRIM(I294)),"á","a"),"é","e"),"í","i"),"ó","o"),"ú","u"),"ü","u"),"ñ","n"),"à","a"),"è","e"),"ì","i"),"ò","o"),"ù","u"),"")</f>
        <v/>
      </c>
      <c r="X294" s="25">
        <f>IF(U294="","",IF(OR(U294="si, en la proxima tarea",U294="si, con cambios"),1,0))</f>
        <v/>
      </c>
      <c r="Y294" s="25">
        <f>IF(AND(Q294=1,A294&lt;&gt;""),IF(IFERROR(COUNTIFS(A$3:A294,"="&amp;SUBSTITUTE(SUBSTITUTE(SUBSTITUTE(A294,"~","~~"),"*","~*"),"?","~?"),Q$3:Q294,1),0)=1,MAX(Y$2:Y293)+1,""),"")</f>
        <v/>
      </c>
      <c r="Z294" s="25">
        <f>IF(Y294="","",COUNTIFS($A$3:$A$1002,"="&amp;SUBSTITUTE(SUBSTITUTE(SUBSTITUTE(A294,"~","~~"),"*","~*"),"?","~?"),$Q$3:$Q$1002,1)*10000-Y294)</f>
        <v/>
      </c>
    </row>
    <row r="295">
      <c r="A295">
        <f>IF(A$2=0,"",IFERROR(TRIM(INDEX('Pegar docentes'!$A$1:$BZ$1001,294,A$2)&amp;""),""))</f>
        <v/>
      </c>
      <c r="B295">
        <f>IF(B$2=0,"",IFERROR(TRIM(INDEX('Pegar docentes'!$A$1:$BZ$1001,294,B$2)&amp;""),""))</f>
        <v/>
      </c>
      <c r="C295">
        <f>IF(C$2=0,"",IFERROR(TRIM(INDEX('Pegar docentes'!$A$1:$BZ$1001,294,C$2)&amp;""),""))</f>
        <v/>
      </c>
      <c r="D295">
        <f>IF(D$2=0,"",IFERROR(TRIM(INDEX('Pegar docentes'!$A$1:$BZ$1001,294,D$2)&amp;""),""))</f>
        <v/>
      </c>
      <c r="E295">
        <f>IF(E$2=0,"",IFERROR(TRIM(INDEX('Pegar docentes'!$A$1:$BZ$1001,294,E$2)&amp;""),""))</f>
        <v/>
      </c>
      <c r="F295">
        <f>IF(F$2=0,"",IFERROR(TRIM(INDEX('Pegar docentes'!$A$1:$BZ$1001,294,F$2)&amp;""),""))</f>
        <v/>
      </c>
      <c r="G295">
        <f>IF(G$2=0,"",IFERROR(TRIM(INDEX('Pegar docentes'!$A$1:$BZ$1001,294,G$2)&amp;""),""))</f>
        <v/>
      </c>
      <c r="H295">
        <f>IF(H$2=0,"",IFERROR(TRIM(INDEX('Pegar docentes'!$A$1:$BZ$1001,294,H$2)&amp;""),""))</f>
        <v/>
      </c>
      <c r="I295">
        <f>IF(I$2=0,"",IFERROR(TRIM(INDEX('Pegar docentes'!$A$1:$BZ$1001,294,I$2)&amp;""),""))</f>
        <v/>
      </c>
      <c r="J295">
        <f>IF(J$2=0,"",IFERROR(TRIM(INDEX('Pegar docentes'!$A$1:$BZ$1001,294,J$2)&amp;""),""))</f>
        <v/>
      </c>
      <c r="K295">
        <f>IF(K$2=0,"",IFERROR(TRIM(INDEX('Pegar docentes'!$A$1:$BZ$1001,294,K$2)&amp;""),""))</f>
        <v/>
      </c>
      <c r="L295">
        <f>IF(L$2=0,"",IFERROR(TRIM(INDEX('Pegar docentes'!$A$1:$BZ$1001,294,L$2)&amp;""),""))</f>
        <v/>
      </c>
      <c r="M295">
        <f>IF(M$2=0,"",IFERROR(TRIM(INDEX('Pegar docentes'!$A$1:$BZ$1001,294,M$2)&amp;""),""))</f>
        <v/>
      </c>
      <c r="N295">
        <f>IF(N$2=0,"",IFERROR(TRIM(INDEX('Pegar docentes'!$A$1:$BZ$1001,294,N$2)&amp;""),""))</f>
        <v/>
      </c>
      <c r="O295">
        <f>IF(O$2=0,"",IFERROR(TRIM(INDEX('Pegar docentes'!$A$1:$BZ$1001,294,O$2)&amp;""),""))</f>
        <v/>
      </c>
      <c r="P295">
        <f>IF(P$2=0,"",IFERROR(TRIM(INDEX('Pegar docentes'!$A$1:$BZ$1001,294,P$2)&amp;""),""))</f>
        <v/>
      </c>
      <c r="Q295" s="25">
        <f>IF(OR(D295&lt;&gt;"",H295&lt;&gt;""),1,"")</f>
        <v/>
      </c>
      <c r="R295" s="25">
        <f>IF(Q295=1,IF(ISNUMBER(FIND("#"&amp;MID(D295,1,1)&amp;"#","#0#1#2#3#4#5#6#7#8#9#")),IF(ISNUMBER(FIND("#"&amp;MID(D295,2,1)&amp;"#","#0#1#2#3#4#5#6#7#8#9#")),IF(AND(VALUE(LEFT(D295,2))&gt;=1,VALUE(LEFT(D295,2))&lt;=5),VALUE(LEFT(D295,2)),""),IF(AND(VALUE(LEFT(D295,1))&gt;=1,VALUE(LEFT(D295,1))&lt;=5),VALUE(LEFT(D295,1)),"")),""),"")</f>
        <v/>
      </c>
      <c r="S295" s="25">
        <f>IF(AND(Q295=1,E295&lt;&gt;""),SUBSTITUTE(SUBSTITUTE(SUBSTITUTE(SUBSTITUTE(SUBSTITUTE(SUBSTITUTE(SUBSTITUTE(SUBSTITUTE(SUBSTITUTE(SUBSTITUTE(SUBSTITUTE(SUBSTITUTE(LOWER(TRIM(E295)),"á","a"),"é","e"),"í","i"),"ó","o"),"ú","u"),"ü","u"),"ñ","n"),"à","a"),"è","e"),"ì","i"),"ò","o"),"ù","u"),"")</f>
        <v/>
      </c>
      <c r="T295" s="25">
        <f>IF(AND(Q295=1,G295&lt;&gt;""),SUBSTITUTE(SUBSTITUTE(SUBSTITUTE(SUBSTITUTE(SUBSTITUTE(SUBSTITUTE(SUBSTITUTE(SUBSTITUTE(SUBSTITUTE(SUBSTITUTE(SUBSTITUTE(SUBSTITUTE(LOWER(TRIM(G295)),"á","a"),"é","e"),"í","i"),"ó","o"),"ú","u"),"ü","u"),"ñ","n"),"à","a"),"è","e"),"ì","i"),"ò","o"),"ù","u"),"")</f>
        <v/>
      </c>
      <c r="U295" s="25">
        <f>IF(AND(Q295=1,H295&lt;&gt;""),SUBSTITUTE(SUBSTITUTE(SUBSTITUTE(SUBSTITUTE(SUBSTITUTE(SUBSTITUTE(SUBSTITUTE(SUBSTITUTE(SUBSTITUTE(SUBSTITUTE(SUBSTITUTE(SUBSTITUTE(LOWER(TRIM(H295)),"á","a"),"é","e"),"í","i"),"ó","o"),"ú","u"),"ü","u"),"ñ","n"),"à","a"),"è","e"),"ì","i"),"ò","o"),"ù","u"),"")</f>
        <v/>
      </c>
      <c r="V295" s="25">
        <f>IF(AND(Q295=1,L295&lt;&gt;""),SUBSTITUTE(SUBSTITUTE(SUBSTITUTE(SUBSTITUTE(SUBSTITUTE(SUBSTITUTE(SUBSTITUTE(SUBSTITUTE(SUBSTITUTE(SUBSTITUTE(SUBSTITUTE(SUBSTITUTE(LOWER(TRIM(L295)),"á","a"),"é","e"),"í","i"),"ó","o"),"ú","u"),"ü","u"),"ñ","n"),"à","a"),"è","e"),"ì","i"),"ò","o"),"ù","u"),"")</f>
        <v/>
      </c>
      <c r="W295" s="25">
        <f>IF(AND(Q295=1,I295&lt;&gt;""),SUBSTITUTE(SUBSTITUTE(SUBSTITUTE(SUBSTITUTE(SUBSTITUTE(SUBSTITUTE(SUBSTITUTE(SUBSTITUTE(SUBSTITUTE(SUBSTITUTE(SUBSTITUTE(SUBSTITUTE(LOWER(TRIM(I295)),"á","a"),"é","e"),"í","i"),"ó","o"),"ú","u"),"ü","u"),"ñ","n"),"à","a"),"è","e"),"ì","i"),"ò","o"),"ù","u"),"")</f>
        <v/>
      </c>
      <c r="X295" s="25">
        <f>IF(U295="","",IF(OR(U295="si, en la proxima tarea",U295="si, con cambios"),1,0))</f>
        <v/>
      </c>
      <c r="Y295" s="25">
        <f>IF(AND(Q295=1,A295&lt;&gt;""),IF(IFERROR(COUNTIFS(A$3:A295,"="&amp;SUBSTITUTE(SUBSTITUTE(SUBSTITUTE(A295,"~","~~"),"*","~*"),"?","~?"),Q$3:Q295,1),0)=1,MAX(Y$2:Y294)+1,""),"")</f>
        <v/>
      </c>
      <c r="Z295" s="25">
        <f>IF(Y295="","",COUNTIFS($A$3:$A$1002,"="&amp;SUBSTITUTE(SUBSTITUTE(SUBSTITUTE(A295,"~","~~"),"*","~*"),"?","~?"),$Q$3:$Q$1002,1)*10000-Y295)</f>
        <v/>
      </c>
    </row>
    <row r="296">
      <c r="A296">
        <f>IF(A$2=0,"",IFERROR(TRIM(INDEX('Pegar docentes'!$A$1:$BZ$1001,295,A$2)&amp;""),""))</f>
        <v/>
      </c>
      <c r="B296">
        <f>IF(B$2=0,"",IFERROR(TRIM(INDEX('Pegar docentes'!$A$1:$BZ$1001,295,B$2)&amp;""),""))</f>
        <v/>
      </c>
      <c r="C296">
        <f>IF(C$2=0,"",IFERROR(TRIM(INDEX('Pegar docentes'!$A$1:$BZ$1001,295,C$2)&amp;""),""))</f>
        <v/>
      </c>
      <c r="D296">
        <f>IF(D$2=0,"",IFERROR(TRIM(INDEX('Pegar docentes'!$A$1:$BZ$1001,295,D$2)&amp;""),""))</f>
        <v/>
      </c>
      <c r="E296">
        <f>IF(E$2=0,"",IFERROR(TRIM(INDEX('Pegar docentes'!$A$1:$BZ$1001,295,E$2)&amp;""),""))</f>
        <v/>
      </c>
      <c r="F296">
        <f>IF(F$2=0,"",IFERROR(TRIM(INDEX('Pegar docentes'!$A$1:$BZ$1001,295,F$2)&amp;""),""))</f>
        <v/>
      </c>
      <c r="G296">
        <f>IF(G$2=0,"",IFERROR(TRIM(INDEX('Pegar docentes'!$A$1:$BZ$1001,295,G$2)&amp;""),""))</f>
        <v/>
      </c>
      <c r="H296">
        <f>IF(H$2=0,"",IFERROR(TRIM(INDEX('Pegar docentes'!$A$1:$BZ$1001,295,H$2)&amp;""),""))</f>
        <v/>
      </c>
      <c r="I296">
        <f>IF(I$2=0,"",IFERROR(TRIM(INDEX('Pegar docentes'!$A$1:$BZ$1001,295,I$2)&amp;""),""))</f>
        <v/>
      </c>
      <c r="J296">
        <f>IF(J$2=0,"",IFERROR(TRIM(INDEX('Pegar docentes'!$A$1:$BZ$1001,295,J$2)&amp;""),""))</f>
        <v/>
      </c>
      <c r="K296">
        <f>IF(K$2=0,"",IFERROR(TRIM(INDEX('Pegar docentes'!$A$1:$BZ$1001,295,K$2)&amp;""),""))</f>
        <v/>
      </c>
      <c r="L296">
        <f>IF(L$2=0,"",IFERROR(TRIM(INDEX('Pegar docentes'!$A$1:$BZ$1001,295,L$2)&amp;""),""))</f>
        <v/>
      </c>
      <c r="M296">
        <f>IF(M$2=0,"",IFERROR(TRIM(INDEX('Pegar docentes'!$A$1:$BZ$1001,295,M$2)&amp;""),""))</f>
        <v/>
      </c>
      <c r="N296">
        <f>IF(N$2=0,"",IFERROR(TRIM(INDEX('Pegar docentes'!$A$1:$BZ$1001,295,N$2)&amp;""),""))</f>
        <v/>
      </c>
      <c r="O296">
        <f>IF(O$2=0,"",IFERROR(TRIM(INDEX('Pegar docentes'!$A$1:$BZ$1001,295,O$2)&amp;""),""))</f>
        <v/>
      </c>
      <c r="P296">
        <f>IF(P$2=0,"",IFERROR(TRIM(INDEX('Pegar docentes'!$A$1:$BZ$1001,295,P$2)&amp;""),""))</f>
        <v/>
      </c>
      <c r="Q296" s="25">
        <f>IF(OR(D296&lt;&gt;"",H296&lt;&gt;""),1,"")</f>
        <v/>
      </c>
      <c r="R296" s="25">
        <f>IF(Q296=1,IF(ISNUMBER(FIND("#"&amp;MID(D296,1,1)&amp;"#","#0#1#2#3#4#5#6#7#8#9#")),IF(ISNUMBER(FIND("#"&amp;MID(D296,2,1)&amp;"#","#0#1#2#3#4#5#6#7#8#9#")),IF(AND(VALUE(LEFT(D296,2))&gt;=1,VALUE(LEFT(D296,2))&lt;=5),VALUE(LEFT(D296,2)),""),IF(AND(VALUE(LEFT(D296,1))&gt;=1,VALUE(LEFT(D296,1))&lt;=5),VALUE(LEFT(D296,1)),"")),""),"")</f>
        <v/>
      </c>
      <c r="S296" s="25">
        <f>IF(AND(Q296=1,E296&lt;&gt;""),SUBSTITUTE(SUBSTITUTE(SUBSTITUTE(SUBSTITUTE(SUBSTITUTE(SUBSTITUTE(SUBSTITUTE(SUBSTITUTE(SUBSTITUTE(SUBSTITUTE(SUBSTITUTE(SUBSTITUTE(LOWER(TRIM(E296)),"á","a"),"é","e"),"í","i"),"ó","o"),"ú","u"),"ü","u"),"ñ","n"),"à","a"),"è","e"),"ì","i"),"ò","o"),"ù","u"),"")</f>
        <v/>
      </c>
      <c r="T296" s="25">
        <f>IF(AND(Q296=1,G296&lt;&gt;""),SUBSTITUTE(SUBSTITUTE(SUBSTITUTE(SUBSTITUTE(SUBSTITUTE(SUBSTITUTE(SUBSTITUTE(SUBSTITUTE(SUBSTITUTE(SUBSTITUTE(SUBSTITUTE(SUBSTITUTE(LOWER(TRIM(G296)),"á","a"),"é","e"),"í","i"),"ó","o"),"ú","u"),"ü","u"),"ñ","n"),"à","a"),"è","e"),"ì","i"),"ò","o"),"ù","u"),"")</f>
        <v/>
      </c>
      <c r="U296" s="25">
        <f>IF(AND(Q296=1,H296&lt;&gt;""),SUBSTITUTE(SUBSTITUTE(SUBSTITUTE(SUBSTITUTE(SUBSTITUTE(SUBSTITUTE(SUBSTITUTE(SUBSTITUTE(SUBSTITUTE(SUBSTITUTE(SUBSTITUTE(SUBSTITUTE(LOWER(TRIM(H296)),"á","a"),"é","e"),"í","i"),"ó","o"),"ú","u"),"ü","u"),"ñ","n"),"à","a"),"è","e"),"ì","i"),"ò","o"),"ù","u"),"")</f>
        <v/>
      </c>
      <c r="V296" s="25">
        <f>IF(AND(Q296=1,L296&lt;&gt;""),SUBSTITUTE(SUBSTITUTE(SUBSTITUTE(SUBSTITUTE(SUBSTITUTE(SUBSTITUTE(SUBSTITUTE(SUBSTITUTE(SUBSTITUTE(SUBSTITUTE(SUBSTITUTE(SUBSTITUTE(LOWER(TRIM(L296)),"á","a"),"é","e"),"í","i"),"ó","o"),"ú","u"),"ü","u"),"ñ","n"),"à","a"),"è","e"),"ì","i"),"ò","o"),"ù","u"),"")</f>
        <v/>
      </c>
      <c r="W296" s="25">
        <f>IF(AND(Q296=1,I296&lt;&gt;""),SUBSTITUTE(SUBSTITUTE(SUBSTITUTE(SUBSTITUTE(SUBSTITUTE(SUBSTITUTE(SUBSTITUTE(SUBSTITUTE(SUBSTITUTE(SUBSTITUTE(SUBSTITUTE(SUBSTITUTE(LOWER(TRIM(I296)),"á","a"),"é","e"),"í","i"),"ó","o"),"ú","u"),"ü","u"),"ñ","n"),"à","a"),"è","e"),"ì","i"),"ò","o"),"ù","u"),"")</f>
        <v/>
      </c>
      <c r="X296" s="25">
        <f>IF(U296="","",IF(OR(U296="si, en la proxima tarea",U296="si, con cambios"),1,0))</f>
        <v/>
      </c>
      <c r="Y296" s="25">
        <f>IF(AND(Q296=1,A296&lt;&gt;""),IF(IFERROR(COUNTIFS(A$3:A296,"="&amp;SUBSTITUTE(SUBSTITUTE(SUBSTITUTE(A296,"~","~~"),"*","~*"),"?","~?"),Q$3:Q296,1),0)=1,MAX(Y$2:Y295)+1,""),"")</f>
        <v/>
      </c>
      <c r="Z296" s="25">
        <f>IF(Y296="","",COUNTIFS($A$3:$A$1002,"="&amp;SUBSTITUTE(SUBSTITUTE(SUBSTITUTE(A296,"~","~~"),"*","~*"),"?","~?"),$Q$3:$Q$1002,1)*10000-Y296)</f>
        <v/>
      </c>
    </row>
    <row r="297">
      <c r="A297">
        <f>IF(A$2=0,"",IFERROR(TRIM(INDEX('Pegar docentes'!$A$1:$BZ$1001,296,A$2)&amp;""),""))</f>
        <v/>
      </c>
      <c r="B297">
        <f>IF(B$2=0,"",IFERROR(TRIM(INDEX('Pegar docentes'!$A$1:$BZ$1001,296,B$2)&amp;""),""))</f>
        <v/>
      </c>
      <c r="C297">
        <f>IF(C$2=0,"",IFERROR(TRIM(INDEX('Pegar docentes'!$A$1:$BZ$1001,296,C$2)&amp;""),""))</f>
        <v/>
      </c>
      <c r="D297">
        <f>IF(D$2=0,"",IFERROR(TRIM(INDEX('Pegar docentes'!$A$1:$BZ$1001,296,D$2)&amp;""),""))</f>
        <v/>
      </c>
      <c r="E297">
        <f>IF(E$2=0,"",IFERROR(TRIM(INDEX('Pegar docentes'!$A$1:$BZ$1001,296,E$2)&amp;""),""))</f>
        <v/>
      </c>
      <c r="F297">
        <f>IF(F$2=0,"",IFERROR(TRIM(INDEX('Pegar docentes'!$A$1:$BZ$1001,296,F$2)&amp;""),""))</f>
        <v/>
      </c>
      <c r="G297">
        <f>IF(G$2=0,"",IFERROR(TRIM(INDEX('Pegar docentes'!$A$1:$BZ$1001,296,G$2)&amp;""),""))</f>
        <v/>
      </c>
      <c r="H297">
        <f>IF(H$2=0,"",IFERROR(TRIM(INDEX('Pegar docentes'!$A$1:$BZ$1001,296,H$2)&amp;""),""))</f>
        <v/>
      </c>
      <c r="I297">
        <f>IF(I$2=0,"",IFERROR(TRIM(INDEX('Pegar docentes'!$A$1:$BZ$1001,296,I$2)&amp;""),""))</f>
        <v/>
      </c>
      <c r="J297">
        <f>IF(J$2=0,"",IFERROR(TRIM(INDEX('Pegar docentes'!$A$1:$BZ$1001,296,J$2)&amp;""),""))</f>
        <v/>
      </c>
      <c r="K297">
        <f>IF(K$2=0,"",IFERROR(TRIM(INDEX('Pegar docentes'!$A$1:$BZ$1001,296,K$2)&amp;""),""))</f>
        <v/>
      </c>
      <c r="L297">
        <f>IF(L$2=0,"",IFERROR(TRIM(INDEX('Pegar docentes'!$A$1:$BZ$1001,296,L$2)&amp;""),""))</f>
        <v/>
      </c>
      <c r="M297">
        <f>IF(M$2=0,"",IFERROR(TRIM(INDEX('Pegar docentes'!$A$1:$BZ$1001,296,M$2)&amp;""),""))</f>
        <v/>
      </c>
      <c r="N297">
        <f>IF(N$2=0,"",IFERROR(TRIM(INDEX('Pegar docentes'!$A$1:$BZ$1001,296,N$2)&amp;""),""))</f>
        <v/>
      </c>
      <c r="O297">
        <f>IF(O$2=0,"",IFERROR(TRIM(INDEX('Pegar docentes'!$A$1:$BZ$1001,296,O$2)&amp;""),""))</f>
        <v/>
      </c>
      <c r="P297">
        <f>IF(P$2=0,"",IFERROR(TRIM(INDEX('Pegar docentes'!$A$1:$BZ$1001,296,P$2)&amp;""),""))</f>
        <v/>
      </c>
      <c r="Q297" s="25">
        <f>IF(OR(D297&lt;&gt;"",H297&lt;&gt;""),1,"")</f>
        <v/>
      </c>
      <c r="R297" s="25">
        <f>IF(Q297=1,IF(ISNUMBER(FIND("#"&amp;MID(D297,1,1)&amp;"#","#0#1#2#3#4#5#6#7#8#9#")),IF(ISNUMBER(FIND("#"&amp;MID(D297,2,1)&amp;"#","#0#1#2#3#4#5#6#7#8#9#")),IF(AND(VALUE(LEFT(D297,2))&gt;=1,VALUE(LEFT(D297,2))&lt;=5),VALUE(LEFT(D297,2)),""),IF(AND(VALUE(LEFT(D297,1))&gt;=1,VALUE(LEFT(D297,1))&lt;=5),VALUE(LEFT(D297,1)),"")),""),"")</f>
        <v/>
      </c>
      <c r="S297" s="25">
        <f>IF(AND(Q297=1,E297&lt;&gt;""),SUBSTITUTE(SUBSTITUTE(SUBSTITUTE(SUBSTITUTE(SUBSTITUTE(SUBSTITUTE(SUBSTITUTE(SUBSTITUTE(SUBSTITUTE(SUBSTITUTE(SUBSTITUTE(SUBSTITUTE(LOWER(TRIM(E297)),"á","a"),"é","e"),"í","i"),"ó","o"),"ú","u"),"ü","u"),"ñ","n"),"à","a"),"è","e"),"ì","i"),"ò","o"),"ù","u"),"")</f>
        <v/>
      </c>
      <c r="T297" s="25">
        <f>IF(AND(Q297=1,G297&lt;&gt;""),SUBSTITUTE(SUBSTITUTE(SUBSTITUTE(SUBSTITUTE(SUBSTITUTE(SUBSTITUTE(SUBSTITUTE(SUBSTITUTE(SUBSTITUTE(SUBSTITUTE(SUBSTITUTE(SUBSTITUTE(LOWER(TRIM(G297)),"á","a"),"é","e"),"í","i"),"ó","o"),"ú","u"),"ü","u"),"ñ","n"),"à","a"),"è","e"),"ì","i"),"ò","o"),"ù","u"),"")</f>
        <v/>
      </c>
      <c r="U297" s="25">
        <f>IF(AND(Q297=1,H297&lt;&gt;""),SUBSTITUTE(SUBSTITUTE(SUBSTITUTE(SUBSTITUTE(SUBSTITUTE(SUBSTITUTE(SUBSTITUTE(SUBSTITUTE(SUBSTITUTE(SUBSTITUTE(SUBSTITUTE(SUBSTITUTE(LOWER(TRIM(H297)),"á","a"),"é","e"),"í","i"),"ó","o"),"ú","u"),"ü","u"),"ñ","n"),"à","a"),"è","e"),"ì","i"),"ò","o"),"ù","u"),"")</f>
        <v/>
      </c>
      <c r="V297" s="25">
        <f>IF(AND(Q297=1,L297&lt;&gt;""),SUBSTITUTE(SUBSTITUTE(SUBSTITUTE(SUBSTITUTE(SUBSTITUTE(SUBSTITUTE(SUBSTITUTE(SUBSTITUTE(SUBSTITUTE(SUBSTITUTE(SUBSTITUTE(SUBSTITUTE(LOWER(TRIM(L297)),"á","a"),"é","e"),"í","i"),"ó","o"),"ú","u"),"ü","u"),"ñ","n"),"à","a"),"è","e"),"ì","i"),"ò","o"),"ù","u"),"")</f>
        <v/>
      </c>
      <c r="W297" s="25">
        <f>IF(AND(Q297=1,I297&lt;&gt;""),SUBSTITUTE(SUBSTITUTE(SUBSTITUTE(SUBSTITUTE(SUBSTITUTE(SUBSTITUTE(SUBSTITUTE(SUBSTITUTE(SUBSTITUTE(SUBSTITUTE(SUBSTITUTE(SUBSTITUTE(LOWER(TRIM(I297)),"á","a"),"é","e"),"í","i"),"ó","o"),"ú","u"),"ü","u"),"ñ","n"),"à","a"),"è","e"),"ì","i"),"ò","o"),"ù","u"),"")</f>
        <v/>
      </c>
      <c r="X297" s="25">
        <f>IF(U297="","",IF(OR(U297="si, en la proxima tarea",U297="si, con cambios"),1,0))</f>
        <v/>
      </c>
      <c r="Y297" s="25">
        <f>IF(AND(Q297=1,A297&lt;&gt;""),IF(IFERROR(COUNTIFS(A$3:A297,"="&amp;SUBSTITUTE(SUBSTITUTE(SUBSTITUTE(A297,"~","~~"),"*","~*"),"?","~?"),Q$3:Q297,1),0)=1,MAX(Y$2:Y296)+1,""),"")</f>
        <v/>
      </c>
      <c r="Z297" s="25">
        <f>IF(Y297="","",COUNTIFS($A$3:$A$1002,"="&amp;SUBSTITUTE(SUBSTITUTE(SUBSTITUTE(A297,"~","~~"),"*","~*"),"?","~?"),$Q$3:$Q$1002,1)*10000-Y297)</f>
        <v/>
      </c>
    </row>
    <row r="298">
      <c r="A298">
        <f>IF(A$2=0,"",IFERROR(TRIM(INDEX('Pegar docentes'!$A$1:$BZ$1001,297,A$2)&amp;""),""))</f>
        <v/>
      </c>
      <c r="B298">
        <f>IF(B$2=0,"",IFERROR(TRIM(INDEX('Pegar docentes'!$A$1:$BZ$1001,297,B$2)&amp;""),""))</f>
        <v/>
      </c>
      <c r="C298">
        <f>IF(C$2=0,"",IFERROR(TRIM(INDEX('Pegar docentes'!$A$1:$BZ$1001,297,C$2)&amp;""),""))</f>
        <v/>
      </c>
      <c r="D298">
        <f>IF(D$2=0,"",IFERROR(TRIM(INDEX('Pegar docentes'!$A$1:$BZ$1001,297,D$2)&amp;""),""))</f>
        <v/>
      </c>
      <c r="E298">
        <f>IF(E$2=0,"",IFERROR(TRIM(INDEX('Pegar docentes'!$A$1:$BZ$1001,297,E$2)&amp;""),""))</f>
        <v/>
      </c>
      <c r="F298">
        <f>IF(F$2=0,"",IFERROR(TRIM(INDEX('Pegar docentes'!$A$1:$BZ$1001,297,F$2)&amp;""),""))</f>
        <v/>
      </c>
      <c r="G298">
        <f>IF(G$2=0,"",IFERROR(TRIM(INDEX('Pegar docentes'!$A$1:$BZ$1001,297,G$2)&amp;""),""))</f>
        <v/>
      </c>
      <c r="H298">
        <f>IF(H$2=0,"",IFERROR(TRIM(INDEX('Pegar docentes'!$A$1:$BZ$1001,297,H$2)&amp;""),""))</f>
        <v/>
      </c>
      <c r="I298">
        <f>IF(I$2=0,"",IFERROR(TRIM(INDEX('Pegar docentes'!$A$1:$BZ$1001,297,I$2)&amp;""),""))</f>
        <v/>
      </c>
      <c r="J298">
        <f>IF(J$2=0,"",IFERROR(TRIM(INDEX('Pegar docentes'!$A$1:$BZ$1001,297,J$2)&amp;""),""))</f>
        <v/>
      </c>
      <c r="K298">
        <f>IF(K$2=0,"",IFERROR(TRIM(INDEX('Pegar docentes'!$A$1:$BZ$1001,297,K$2)&amp;""),""))</f>
        <v/>
      </c>
      <c r="L298">
        <f>IF(L$2=0,"",IFERROR(TRIM(INDEX('Pegar docentes'!$A$1:$BZ$1001,297,L$2)&amp;""),""))</f>
        <v/>
      </c>
      <c r="M298">
        <f>IF(M$2=0,"",IFERROR(TRIM(INDEX('Pegar docentes'!$A$1:$BZ$1001,297,M$2)&amp;""),""))</f>
        <v/>
      </c>
      <c r="N298">
        <f>IF(N$2=0,"",IFERROR(TRIM(INDEX('Pegar docentes'!$A$1:$BZ$1001,297,N$2)&amp;""),""))</f>
        <v/>
      </c>
      <c r="O298">
        <f>IF(O$2=0,"",IFERROR(TRIM(INDEX('Pegar docentes'!$A$1:$BZ$1001,297,O$2)&amp;""),""))</f>
        <v/>
      </c>
      <c r="P298">
        <f>IF(P$2=0,"",IFERROR(TRIM(INDEX('Pegar docentes'!$A$1:$BZ$1001,297,P$2)&amp;""),""))</f>
        <v/>
      </c>
      <c r="Q298" s="25">
        <f>IF(OR(D298&lt;&gt;"",H298&lt;&gt;""),1,"")</f>
        <v/>
      </c>
      <c r="R298" s="25">
        <f>IF(Q298=1,IF(ISNUMBER(FIND("#"&amp;MID(D298,1,1)&amp;"#","#0#1#2#3#4#5#6#7#8#9#")),IF(ISNUMBER(FIND("#"&amp;MID(D298,2,1)&amp;"#","#0#1#2#3#4#5#6#7#8#9#")),IF(AND(VALUE(LEFT(D298,2))&gt;=1,VALUE(LEFT(D298,2))&lt;=5),VALUE(LEFT(D298,2)),""),IF(AND(VALUE(LEFT(D298,1))&gt;=1,VALUE(LEFT(D298,1))&lt;=5),VALUE(LEFT(D298,1)),"")),""),"")</f>
        <v/>
      </c>
      <c r="S298" s="25">
        <f>IF(AND(Q298=1,E298&lt;&gt;""),SUBSTITUTE(SUBSTITUTE(SUBSTITUTE(SUBSTITUTE(SUBSTITUTE(SUBSTITUTE(SUBSTITUTE(SUBSTITUTE(SUBSTITUTE(SUBSTITUTE(SUBSTITUTE(SUBSTITUTE(LOWER(TRIM(E298)),"á","a"),"é","e"),"í","i"),"ó","o"),"ú","u"),"ü","u"),"ñ","n"),"à","a"),"è","e"),"ì","i"),"ò","o"),"ù","u"),"")</f>
        <v/>
      </c>
      <c r="T298" s="25">
        <f>IF(AND(Q298=1,G298&lt;&gt;""),SUBSTITUTE(SUBSTITUTE(SUBSTITUTE(SUBSTITUTE(SUBSTITUTE(SUBSTITUTE(SUBSTITUTE(SUBSTITUTE(SUBSTITUTE(SUBSTITUTE(SUBSTITUTE(SUBSTITUTE(LOWER(TRIM(G298)),"á","a"),"é","e"),"í","i"),"ó","o"),"ú","u"),"ü","u"),"ñ","n"),"à","a"),"è","e"),"ì","i"),"ò","o"),"ù","u"),"")</f>
        <v/>
      </c>
      <c r="U298" s="25">
        <f>IF(AND(Q298=1,H298&lt;&gt;""),SUBSTITUTE(SUBSTITUTE(SUBSTITUTE(SUBSTITUTE(SUBSTITUTE(SUBSTITUTE(SUBSTITUTE(SUBSTITUTE(SUBSTITUTE(SUBSTITUTE(SUBSTITUTE(SUBSTITUTE(LOWER(TRIM(H298)),"á","a"),"é","e"),"í","i"),"ó","o"),"ú","u"),"ü","u"),"ñ","n"),"à","a"),"è","e"),"ì","i"),"ò","o"),"ù","u"),"")</f>
        <v/>
      </c>
      <c r="V298" s="25">
        <f>IF(AND(Q298=1,L298&lt;&gt;""),SUBSTITUTE(SUBSTITUTE(SUBSTITUTE(SUBSTITUTE(SUBSTITUTE(SUBSTITUTE(SUBSTITUTE(SUBSTITUTE(SUBSTITUTE(SUBSTITUTE(SUBSTITUTE(SUBSTITUTE(LOWER(TRIM(L298)),"á","a"),"é","e"),"í","i"),"ó","o"),"ú","u"),"ü","u"),"ñ","n"),"à","a"),"è","e"),"ì","i"),"ò","o"),"ù","u"),"")</f>
        <v/>
      </c>
      <c r="W298" s="25">
        <f>IF(AND(Q298=1,I298&lt;&gt;""),SUBSTITUTE(SUBSTITUTE(SUBSTITUTE(SUBSTITUTE(SUBSTITUTE(SUBSTITUTE(SUBSTITUTE(SUBSTITUTE(SUBSTITUTE(SUBSTITUTE(SUBSTITUTE(SUBSTITUTE(LOWER(TRIM(I298)),"á","a"),"é","e"),"í","i"),"ó","o"),"ú","u"),"ü","u"),"ñ","n"),"à","a"),"è","e"),"ì","i"),"ò","o"),"ù","u"),"")</f>
        <v/>
      </c>
      <c r="X298" s="25">
        <f>IF(U298="","",IF(OR(U298="si, en la proxima tarea",U298="si, con cambios"),1,0))</f>
        <v/>
      </c>
      <c r="Y298" s="25">
        <f>IF(AND(Q298=1,A298&lt;&gt;""),IF(IFERROR(COUNTIFS(A$3:A298,"="&amp;SUBSTITUTE(SUBSTITUTE(SUBSTITUTE(A298,"~","~~"),"*","~*"),"?","~?"),Q$3:Q298,1),0)=1,MAX(Y$2:Y297)+1,""),"")</f>
        <v/>
      </c>
      <c r="Z298" s="25">
        <f>IF(Y298="","",COUNTIFS($A$3:$A$1002,"="&amp;SUBSTITUTE(SUBSTITUTE(SUBSTITUTE(A298,"~","~~"),"*","~*"),"?","~?"),$Q$3:$Q$1002,1)*10000-Y298)</f>
        <v/>
      </c>
    </row>
    <row r="299">
      <c r="A299">
        <f>IF(A$2=0,"",IFERROR(TRIM(INDEX('Pegar docentes'!$A$1:$BZ$1001,298,A$2)&amp;""),""))</f>
        <v/>
      </c>
      <c r="B299">
        <f>IF(B$2=0,"",IFERROR(TRIM(INDEX('Pegar docentes'!$A$1:$BZ$1001,298,B$2)&amp;""),""))</f>
        <v/>
      </c>
      <c r="C299">
        <f>IF(C$2=0,"",IFERROR(TRIM(INDEX('Pegar docentes'!$A$1:$BZ$1001,298,C$2)&amp;""),""))</f>
        <v/>
      </c>
      <c r="D299">
        <f>IF(D$2=0,"",IFERROR(TRIM(INDEX('Pegar docentes'!$A$1:$BZ$1001,298,D$2)&amp;""),""))</f>
        <v/>
      </c>
      <c r="E299">
        <f>IF(E$2=0,"",IFERROR(TRIM(INDEX('Pegar docentes'!$A$1:$BZ$1001,298,E$2)&amp;""),""))</f>
        <v/>
      </c>
      <c r="F299">
        <f>IF(F$2=0,"",IFERROR(TRIM(INDEX('Pegar docentes'!$A$1:$BZ$1001,298,F$2)&amp;""),""))</f>
        <v/>
      </c>
      <c r="G299">
        <f>IF(G$2=0,"",IFERROR(TRIM(INDEX('Pegar docentes'!$A$1:$BZ$1001,298,G$2)&amp;""),""))</f>
        <v/>
      </c>
      <c r="H299">
        <f>IF(H$2=0,"",IFERROR(TRIM(INDEX('Pegar docentes'!$A$1:$BZ$1001,298,H$2)&amp;""),""))</f>
        <v/>
      </c>
      <c r="I299">
        <f>IF(I$2=0,"",IFERROR(TRIM(INDEX('Pegar docentes'!$A$1:$BZ$1001,298,I$2)&amp;""),""))</f>
        <v/>
      </c>
      <c r="J299">
        <f>IF(J$2=0,"",IFERROR(TRIM(INDEX('Pegar docentes'!$A$1:$BZ$1001,298,J$2)&amp;""),""))</f>
        <v/>
      </c>
      <c r="K299">
        <f>IF(K$2=0,"",IFERROR(TRIM(INDEX('Pegar docentes'!$A$1:$BZ$1001,298,K$2)&amp;""),""))</f>
        <v/>
      </c>
      <c r="L299">
        <f>IF(L$2=0,"",IFERROR(TRIM(INDEX('Pegar docentes'!$A$1:$BZ$1001,298,L$2)&amp;""),""))</f>
        <v/>
      </c>
      <c r="M299">
        <f>IF(M$2=0,"",IFERROR(TRIM(INDEX('Pegar docentes'!$A$1:$BZ$1001,298,M$2)&amp;""),""))</f>
        <v/>
      </c>
      <c r="N299">
        <f>IF(N$2=0,"",IFERROR(TRIM(INDEX('Pegar docentes'!$A$1:$BZ$1001,298,N$2)&amp;""),""))</f>
        <v/>
      </c>
      <c r="O299">
        <f>IF(O$2=0,"",IFERROR(TRIM(INDEX('Pegar docentes'!$A$1:$BZ$1001,298,O$2)&amp;""),""))</f>
        <v/>
      </c>
      <c r="P299">
        <f>IF(P$2=0,"",IFERROR(TRIM(INDEX('Pegar docentes'!$A$1:$BZ$1001,298,P$2)&amp;""),""))</f>
        <v/>
      </c>
      <c r="Q299" s="25">
        <f>IF(OR(D299&lt;&gt;"",H299&lt;&gt;""),1,"")</f>
        <v/>
      </c>
      <c r="R299" s="25">
        <f>IF(Q299=1,IF(ISNUMBER(FIND("#"&amp;MID(D299,1,1)&amp;"#","#0#1#2#3#4#5#6#7#8#9#")),IF(ISNUMBER(FIND("#"&amp;MID(D299,2,1)&amp;"#","#0#1#2#3#4#5#6#7#8#9#")),IF(AND(VALUE(LEFT(D299,2))&gt;=1,VALUE(LEFT(D299,2))&lt;=5),VALUE(LEFT(D299,2)),""),IF(AND(VALUE(LEFT(D299,1))&gt;=1,VALUE(LEFT(D299,1))&lt;=5),VALUE(LEFT(D299,1)),"")),""),"")</f>
        <v/>
      </c>
      <c r="S299" s="25">
        <f>IF(AND(Q299=1,E299&lt;&gt;""),SUBSTITUTE(SUBSTITUTE(SUBSTITUTE(SUBSTITUTE(SUBSTITUTE(SUBSTITUTE(SUBSTITUTE(SUBSTITUTE(SUBSTITUTE(SUBSTITUTE(SUBSTITUTE(SUBSTITUTE(LOWER(TRIM(E299)),"á","a"),"é","e"),"í","i"),"ó","o"),"ú","u"),"ü","u"),"ñ","n"),"à","a"),"è","e"),"ì","i"),"ò","o"),"ù","u"),"")</f>
        <v/>
      </c>
      <c r="T299" s="25">
        <f>IF(AND(Q299=1,G299&lt;&gt;""),SUBSTITUTE(SUBSTITUTE(SUBSTITUTE(SUBSTITUTE(SUBSTITUTE(SUBSTITUTE(SUBSTITUTE(SUBSTITUTE(SUBSTITUTE(SUBSTITUTE(SUBSTITUTE(SUBSTITUTE(LOWER(TRIM(G299)),"á","a"),"é","e"),"í","i"),"ó","o"),"ú","u"),"ü","u"),"ñ","n"),"à","a"),"è","e"),"ì","i"),"ò","o"),"ù","u"),"")</f>
        <v/>
      </c>
      <c r="U299" s="25">
        <f>IF(AND(Q299=1,H299&lt;&gt;""),SUBSTITUTE(SUBSTITUTE(SUBSTITUTE(SUBSTITUTE(SUBSTITUTE(SUBSTITUTE(SUBSTITUTE(SUBSTITUTE(SUBSTITUTE(SUBSTITUTE(SUBSTITUTE(SUBSTITUTE(LOWER(TRIM(H299)),"á","a"),"é","e"),"í","i"),"ó","o"),"ú","u"),"ü","u"),"ñ","n"),"à","a"),"è","e"),"ì","i"),"ò","o"),"ù","u"),"")</f>
        <v/>
      </c>
      <c r="V299" s="25">
        <f>IF(AND(Q299=1,L299&lt;&gt;""),SUBSTITUTE(SUBSTITUTE(SUBSTITUTE(SUBSTITUTE(SUBSTITUTE(SUBSTITUTE(SUBSTITUTE(SUBSTITUTE(SUBSTITUTE(SUBSTITUTE(SUBSTITUTE(SUBSTITUTE(LOWER(TRIM(L299)),"á","a"),"é","e"),"í","i"),"ó","o"),"ú","u"),"ü","u"),"ñ","n"),"à","a"),"è","e"),"ì","i"),"ò","o"),"ù","u"),"")</f>
        <v/>
      </c>
      <c r="W299" s="25">
        <f>IF(AND(Q299=1,I299&lt;&gt;""),SUBSTITUTE(SUBSTITUTE(SUBSTITUTE(SUBSTITUTE(SUBSTITUTE(SUBSTITUTE(SUBSTITUTE(SUBSTITUTE(SUBSTITUTE(SUBSTITUTE(SUBSTITUTE(SUBSTITUTE(LOWER(TRIM(I299)),"á","a"),"é","e"),"í","i"),"ó","o"),"ú","u"),"ü","u"),"ñ","n"),"à","a"),"è","e"),"ì","i"),"ò","o"),"ù","u"),"")</f>
        <v/>
      </c>
      <c r="X299" s="25">
        <f>IF(U299="","",IF(OR(U299="si, en la proxima tarea",U299="si, con cambios"),1,0))</f>
        <v/>
      </c>
      <c r="Y299" s="25">
        <f>IF(AND(Q299=1,A299&lt;&gt;""),IF(IFERROR(COUNTIFS(A$3:A299,"="&amp;SUBSTITUTE(SUBSTITUTE(SUBSTITUTE(A299,"~","~~"),"*","~*"),"?","~?"),Q$3:Q299,1),0)=1,MAX(Y$2:Y298)+1,""),"")</f>
        <v/>
      </c>
      <c r="Z299" s="25">
        <f>IF(Y299="","",COUNTIFS($A$3:$A$1002,"="&amp;SUBSTITUTE(SUBSTITUTE(SUBSTITUTE(A299,"~","~~"),"*","~*"),"?","~?"),$Q$3:$Q$1002,1)*10000-Y299)</f>
        <v/>
      </c>
    </row>
    <row r="300">
      <c r="A300">
        <f>IF(A$2=0,"",IFERROR(TRIM(INDEX('Pegar docentes'!$A$1:$BZ$1001,299,A$2)&amp;""),""))</f>
        <v/>
      </c>
      <c r="B300">
        <f>IF(B$2=0,"",IFERROR(TRIM(INDEX('Pegar docentes'!$A$1:$BZ$1001,299,B$2)&amp;""),""))</f>
        <v/>
      </c>
      <c r="C300">
        <f>IF(C$2=0,"",IFERROR(TRIM(INDEX('Pegar docentes'!$A$1:$BZ$1001,299,C$2)&amp;""),""))</f>
        <v/>
      </c>
      <c r="D300">
        <f>IF(D$2=0,"",IFERROR(TRIM(INDEX('Pegar docentes'!$A$1:$BZ$1001,299,D$2)&amp;""),""))</f>
        <v/>
      </c>
      <c r="E300">
        <f>IF(E$2=0,"",IFERROR(TRIM(INDEX('Pegar docentes'!$A$1:$BZ$1001,299,E$2)&amp;""),""))</f>
        <v/>
      </c>
      <c r="F300">
        <f>IF(F$2=0,"",IFERROR(TRIM(INDEX('Pegar docentes'!$A$1:$BZ$1001,299,F$2)&amp;""),""))</f>
        <v/>
      </c>
      <c r="G300">
        <f>IF(G$2=0,"",IFERROR(TRIM(INDEX('Pegar docentes'!$A$1:$BZ$1001,299,G$2)&amp;""),""))</f>
        <v/>
      </c>
      <c r="H300">
        <f>IF(H$2=0,"",IFERROR(TRIM(INDEX('Pegar docentes'!$A$1:$BZ$1001,299,H$2)&amp;""),""))</f>
        <v/>
      </c>
      <c r="I300">
        <f>IF(I$2=0,"",IFERROR(TRIM(INDEX('Pegar docentes'!$A$1:$BZ$1001,299,I$2)&amp;""),""))</f>
        <v/>
      </c>
      <c r="J300">
        <f>IF(J$2=0,"",IFERROR(TRIM(INDEX('Pegar docentes'!$A$1:$BZ$1001,299,J$2)&amp;""),""))</f>
        <v/>
      </c>
      <c r="K300">
        <f>IF(K$2=0,"",IFERROR(TRIM(INDEX('Pegar docentes'!$A$1:$BZ$1001,299,K$2)&amp;""),""))</f>
        <v/>
      </c>
      <c r="L300">
        <f>IF(L$2=0,"",IFERROR(TRIM(INDEX('Pegar docentes'!$A$1:$BZ$1001,299,L$2)&amp;""),""))</f>
        <v/>
      </c>
      <c r="M300">
        <f>IF(M$2=0,"",IFERROR(TRIM(INDEX('Pegar docentes'!$A$1:$BZ$1001,299,M$2)&amp;""),""))</f>
        <v/>
      </c>
      <c r="N300">
        <f>IF(N$2=0,"",IFERROR(TRIM(INDEX('Pegar docentes'!$A$1:$BZ$1001,299,N$2)&amp;""),""))</f>
        <v/>
      </c>
      <c r="O300">
        <f>IF(O$2=0,"",IFERROR(TRIM(INDEX('Pegar docentes'!$A$1:$BZ$1001,299,O$2)&amp;""),""))</f>
        <v/>
      </c>
      <c r="P300">
        <f>IF(P$2=0,"",IFERROR(TRIM(INDEX('Pegar docentes'!$A$1:$BZ$1001,299,P$2)&amp;""),""))</f>
        <v/>
      </c>
      <c r="Q300" s="25">
        <f>IF(OR(D300&lt;&gt;"",H300&lt;&gt;""),1,"")</f>
        <v/>
      </c>
      <c r="R300" s="25">
        <f>IF(Q300=1,IF(ISNUMBER(FIND("#"&amp;MID(D300,1,1)&amp;"#","#0#1#2#3#4#5#6#7#8#9#")),IF(ISNUMBER(FIND("#"&amp;MID(D300,2,1)&amp;"#","#0#1#2#3#4#5#6#7#8#9#")),IF(AND(VALUE(LEFT(D300,2))&gt;=1,VALUE(LEFT(D300,2))&lt;=5),VALUE(LEFT(D300,2)),""),IF(AND(VALUE(LEFT(D300,1))&gt;=1,VALUE(LEFT(D300,1))&lt;=5),VALUE(LEFT(D300,1)),"")),""),"")</f>
        <v/>
      </c>
      <c r="S300" s="25">
        <f>IF(AND(Q300=1,E300&lt;&gt;""),SUBSTITUTE(SUBSTITUTE(SUBSTITUTE(SUBSTITUTE(SUBSTITUTE(SUBSTITUTE(SUBSTITUTE(SUBSTITUTE(SUBSTITUTE(SUBSTITUTE(SUBSTITUTE(SUBSTITUTE(LOWER(TRIM(E300)),"á","a"),"é","e"),"í","i"),"ó","o"),"ú","u"),"ü","u"),"ñ","n"),"à","a"),"è","e"),"ì","i"),"ò","o"),"ù","u"),"")</f>
        <v/>
      </c>
      <c r="T300" s="25">
        <f>IF(AND(Q300=1,G300&lt;&gt;""),SUBSTITUTE(SUBSTITUTE(SUBSTITUTE(SUBSTITUTE(SUBSTITUTE(SUBSTITUTE(SUBSTITUTE(SUBSTITUTE(SUBSTITUTE(SUBSTITUTE(SUBSTITUTE(SUBSTITUTE(LOWER(TRIM(G300)),"á","a"),"é","e"),"í","i"),"ó","o"),"ú","u"),"ü","u"),"ñ","n"),"à","a"),"è","e"),"ì","i"),"ò","o"),"ù","u"),"")</f>
        <v/>
      </c>
      <c r="U300" s="25">
        <f>IF(AND(Q300=1,H300&lt;&gt;""),SUBSTITUTE(SUBSTITUTE(SUBSTITUTE(SUBSTITUTE(SUBSTITUTE(SUBSTITUTE(SUBSTITUTE(SUBSTITUTE(SUBSTITUTE(SUBSTITUTE(SUBSTITUTE(SUBSTITUTE(LOWER(TRIM(H300)),"á","a"),"é","e"),"í","i"),"ó","o"),"ú","u"),"ü","u"),"ñ","n"),"à","a"),"è","e"),"ì","i"),"ò","o"),"ù","u"),"")</f>
        <v/>
      </c>
      <c r="V300" s="25">
        <f>IF(AND(Q300=1,L300&lt;&gt;""),SUBSTITUTE(SUBSTITUTE(SUBSTITUTE(SUBSTITUTE(SUBSTITUTE(SUBSTITUTE(SUBSTITUTE(SUBSTITUTE(SUBSTITUTE(SUBSTITUTE(SUBSTITUTE(SUBSTITUTE(LOWER(TRIM(L300)),"á","a"),"é","e"),"í","i"),"ó","o"),"ú","u"),"ü","u"),"ñ","n"),"à","a"),"è","e"),"ì","i"),"ò","o"),"ù","u"),"")</f>
        <v/>
      </c>
      <c r="W300" s="25">
        <f>IF(AND(Q300=1,I300&lt;&gt;""),SUBSTITUTE(SUBSTITUTE(SUBSTITUTE(SUBSTITUTE(SUBSTITUTE(SUBSTITUTE(SUBSTITUTE(SUBSTITUTE(SUBSTITUTE(SUBSTITUTE(SUBSTITUTE(SUBSTITUTE(LOWER(TRIM(I300)),"á","a"),"é","e"),"í","i"),"ó","o"),"ú","u"),"ü","u"),"ñ","n"),"à","a"),"è","e"),"ì","i"),"ò","o"),"ù","u"),"")</f>
        <v/>
      </c>
      <c r="X300" s="25">
        <f>IF(U300="","",IF(OR(U300="si, en la proxima tarea",U300="si, con cambios"),1,0))</f>
        <v/>
      </c>
      <c r="Y300" s="25">
        <f>IF(AND(Q300=1,A300&lt;&gt;""),IF(IFERROR(COUNTIFS(A$3:A300,"="&amp;SUBSTITUTE(SUBSTITUTE(SUBSTITUTE(A300,"~","~~"),"*","~*"),"?","~?"),Q$3:Q300,1),0)=1,MAX(Y$2:Y299)+1,""),"")</f>
        <v/>
      </c>
      <c r="Z300" s="25">
        <f>IF(Y300="","",COUNTIFS($A$3:$A$1002,"="&amp;SUBSTITUTE(SUBSTITUTE(SUBSTITUTE(A300,"~","~~"),"*","~*"),"?","~?"),$Q$3:$Q$1002,1)*10000-Y300)</f>
        <v/>
      </c>
    </row>
    <row r="301">
      <c r="A301">
        <f>IF(A$2=0,"",IFERROR(TRIM(INDEX('Pegar docentes'!$A$1:$BZ$1001,300,A$2)&amp;""),""))</f>
        <v/>
      </c>
      <c r="B301">
        <f>IF(B$2=0,"",IFERROR(TRIM(INDEX('Pegar docentes'!$A$1:$BZ$1001,300,B$2)&amp;""),""))</f>
        <v/>
      </c>
      <c r="C301">
        <f>IF(C$2=0,"",IFERROR(TRIM(INDEX('Pegar docentes'!$A$1:$BZ$1001,300,C$2)&amp;""),""))</f>
        <v/>
      </c>
      <c r="D301">
        <f>IF(D$2=0,"",IFERROR(TRIM(INDEX('Pegar docentes'!$A$1:$BZ$1001,300,D$2)&amp;""),""))</f>
        <v/>
      </c>
      <c r="E301">
        <f>IF(E$2=0,"",IFERROR(TRIM(INDEX('Pegar docentes'!$A$1:$BZ$1001,300,E$2)&amp;""),""))</f>
        <v/>
      </c>
      <c r="F301">
        <f>IF(F$2=0,"",IFERROR(TRIM(INDEX('Pegar docentes'!$A$1:$BZ$1001,300,F$2)&amp;""),""))</f>
        <v/>
      </c>
      <c r="G301">
        <f>IF(G$2=0,"",IFERROR(TRIM(INDEX('Pegar docentes'!$A$1:$BZ$1001,300,G$2)&amp;""),""))</f>
        <v/>
      </c>
      <c r="H301">
        <f>IF(H$2=0,"",IFERROR(TRIM(INDEX('Pegar docentes'!$A$1:$BZ$1001,300,H$2)&amp;""),""))</f>
        <v/>
      </c>
      <c r="I301">
        <f>IF(I$2=0,"",IFERROR(TRIM(INDEX('Pegar docentes'!$A$1:$BZ$1001,300,I$2)&amp;""),""))</f>
        <v/>
      </c>
      <c r="J301">
        <f>IF(J$2=0,"",IFERROR(TRIM(INDEX('Pegar docentes'!$A$1:$BZ$1001,300,J$2)&amp;""),""))</f>
        <v/>
      </c>
      <c r="K301">
        <f>IF(K$2=0,"",IFERROR(TRIM(INDEX('Pegar docentes'!$A$1:$BZ$1001,300,K$2)&amp;""),""))</f>
        <v/>
      </c>
      <c r="L301">
        <f>IF(L$2=0,"",IFERROR(TRIM(INDEX('Pegar docentes'!$A$1:$BZ$1001,300,L$2)&amp;""),""))</f>
        <v/>
      </c>
      <c r="M301">
        <f>IF(M$2=0,"",IFERROR(TRIM(INDEX('Pegar docentes'!$A$1:$BZ$1001,300,M$2)&amp;""),""))</f>
        <v/>
      </c>
      <c r="N301">
        <f>IF(N$2=0,"",IFERROR(TRIM(INDEX('Pegar docentes'!$A$1:$BZ$1001,300,N$2)&amp;""),""))</f>
        <v/>
      </c>
      <c r="O301">
        <f>IF(O$2=0,"",IFERROR(TRIM(INDEX('Pegar docentes'!$A$1:$BZ$1001,300,O$2)&amp;""),""))</f>
        <v/>
      </c>
      <c r="P301">
        <f>IF(P$2=0,"",IFERROR(TRIM(INDEX('Pegar docentes'!$A$1:$BZ$1001,300,P$2)&amp;""),""))</f>
        <v/>
      </c>
      <c r="Q301" s="25">
        <f>IF(OR(D301&lt;&gt;"",H301&lt;&gt;""),1,"")</f>
        <v/>
      </c>
      <c r="R301" s="25">
        <f>IF(Q301=1,IF(ISNUMBER(FIND("#"&amp;MID(D301,1,1)&amp;"#","#0#1#2#3#4#5#6#7#8#9#")),IF(ISNUMBER(FIND("#"&amp;MID(D301,2,1)&amp;"#","#0#1#2#3#4#5#6#7#8#9#")),IF(AND(VALUE(LEFT(D301,2))&gt;=1,VALUE(LEFT(D301,2))&lt;=5),VALUE(LEFT(D301,2)),""),IF(AND(VALUE(LEFT(D301,1))&gt;=1,VALUE(LEFT(D301,1))&lt;=5),VALUE(LEFT(D301,1)),"")),""),"")</f>
        <v/>
      </c>
      <c r="S301" s="25">
        <f>IF(AND(Q301=1,E301&lt;&gt;""),SUBSTITUTE(SUBSTITUTE(SUBSTITUTE(SUBSTITUTE(SUBSTITUTE(SUBSTITUTE(SUBSTITUTE(SUBSTITUTE(SUBSTITUTE(SUBSTITUTE(SUBSTITUTE(SUBSTITUTE(LOWER(TRIM(E301)),"á","a"),"é","e"),"í","i"),"ó","o"),"ú","u"),"ü","u"),"ñ","n"),"à","a"),"è","e"),"ì","i"),"ò","o"),"ù","u"),"")</f>
        <v/>
      </c>
      <c r="T301" s="25">
        <f>IF(AND(Q301=1,G301&lt;&gt;""),SUBSTITUTE(SUBSTITUTE(SUBSTITUTE(SUBSTITUTE(SUBSTITUTE(SUBSTITUTE(SUBSTITUTE(SUBSTITUTE(SUBSTITUTE(SUBSTITUTE(SUBSTITUTE(SUBSTITUTE(LOWER(TRIM(G301)),"á","a"),"é","e"),"í","i"),"ó","o"),"ú","u"),"ü","u"),"ñ","n"),"à","a"),"è","e"),"ì","i"),"ò","o"),"ù","u"),"")</f>
        <v/>
      </c>
      <c r="U301" s="25">
        <f>IF(AND(Q301=1,H301&lt;&gt;""),SUBSTITUTE(SUBSTITUTE(SUBSTITUTE(SUBSTITUTE(SUBSTITUTE(SUBSTITUTE(SUBSTITUTE(SUBSTITUTE(SUBSTITUTE(SUBSTITUTE(SUBSTITUTE(SUBSTITUTE(LOWER(TRIM(H301)),"á","a"),"é","e"),"í","i"),"ó","o"),"ú","u"),"ü","u"),"ñ","n"),"à","a"),"è","e"),"ì","i"),"ò","o"),"ù","u"),"")</f>
        <v/>
      </c>
      <c r="V301" s="25">
        <f>IF(AND(Q301=1,L301&lt;&gt;""),SUBSTITUTE(SUBSTITUTE(SUBSTITUTE(SUBSTITUTE(SUBSTITUTE(SUBSTITUTE(SUBSTITUTE(SUBSTITUTE(SUBSTITUTE(SUBSTITUTE(SUBSTITUTE(SUBSTITUTE(LOWER(TRIM(L301)),"á","a"),"é","e"),"í","i"),"ó","o"),"ú","u"),"ü","u"),"ñ","n"),"à","a"),"è","e"),"ì","i"),"ò","o"),"ù","u"),"")</f>
        <v/>
      </c>
      <c r="W301" s="25">
        <f>IF(AND(Q301=1,I301&lt;&gt;""),SUBSTITUTE(SUBSTITUTE(SUBSTITUTE(SUBSTITUTE(SUBSTITUTE(SUBSTITUTE(SUBSTITUTE(SUBSTITUTE(SUBSTITUTE(SUBSTITUTE(SUBSTITUTE(SUBSTITUTE(LOWER(TRIM(I301)),"á","a"),"é","e"),"í","i"),"ó","o"),"ú","u"),"ü","u"),"ñ","n"),"à","a"),"è","e"),"ì","i"),"ò","o"),"ù","u"),"")</f>
        <v/>
      </c>
      <c r="X301" s="25">
        <f>IF(U301="","",IF(OR(U301="si, en la proxima tarea",U301="si, con cambios"),1,0))</f>
        <v/>
      </c>
      <c r="Y301" s="25">
        <f>IF(AND(Q301=1,A301&lt;&gt;""),IF(IFERROR(COUNTIFS(A$3:A301,"="&amp;SUBSTITUTE(SUBSTITUTE(SUBSTITUTE(A301,"~","~~"),"*","~*"),"?","~?"),Q$3:Q301,1),0)=1,MAX(Y$2:Y300)+1,""),"")</f>
        <v/>
      </c>
      <c r="Z301" s="25">
        <f>IF(Y301="","",COUNTIFS($A$3:$A$1002,"="&amp;SUBSTITUTE(SUBSTITUTE(SUBSTITUTE(A301,"~","~~"),"*","~*"),"?","~?"),$Q$3:$Q$1002,1)*10000-Y301)</f>
        <v/>
      </c>
    </row>
    <row r="302">
      <c r="A302">
        <f>IF(A$2=0,"",IFERROR(TRIM(INDEX('Pegar docentes'!$A$1:$BZ$1001,301,A$2)&amp;""),""))</f>
        <v/>
      </c>
      <c r="B302">
        <f>IF(B$2=0,"",IFERROR(TRIM(INDEX('Pegar docentes'!$A$1:$BZ$1001,301,B$2)&amp;""),""))</f>
        <v/>
      </c>
      <c r="C302">
        <f>IF(C$2=0,"",IFERROR(TRIM(INDEX('Pegar docentes'!$A$1:$BZ$1001,301,C$2)&amp;""),""))</f>
        <v/>
      </c>
      <c r="D302">
        <f>IF(D$2=0,"",IFERROR(TRIM(INDEX('Pegar docentes'!$A$1:$BZ$1001,301,D$2)&amp;""),""))</f>
        <v/>
      </c>
      <c r="E302">
        <f>IF(E$2=0,"",IFERROR(TRIM(INDEX('Pegar docentes'!$A$1:$BZ$1001,301,E$2)&amp;""),""))</f>
        <v/>
      </c>
      <c r="F302">
        <f>IF(F$2=0,"",IFERROR(TRIM(INDEX('Pegar docentes'!$A$1:$BZ$1001,301,F$2)&amp;""),""))</f>
        <v/>
      </c>
      <c r="G302">
        <f>IF(G$2=0,"",IFERROR(TRIM(INDEX('Pegar docentes'!$A$1:$BZ$1001,301,G$2)&amp;""),""))</f>
        <v/>
      </c>
      <c r="H302">
        <f>IF(H$2=0,"",IFERROR(TRIM(INDEX('Pegar docentes'!$A$1:$BZ$1001,301,H$2)&amp;""),""))</f>
        <v/>
      </c>
      <c r="I302">
        <f>IF(I$2=0,"",IFERROR(TRIM(INDEX('Pegar docentes'!$A$1:$BZ$1001,301,I$2)&amp;""),""))</f>
        <v/>
      </c>
      <c r="J302">
        <f>IF(J$2=0,"",IFERROR(TRIM(INDEX('Pegar docentes'!$A$1:$BZ$1001,301,J$2)&amp;""),""))</f>
        <v/>
      </c>
      <c r="K302">
        <f>IF(K$2=0,"",IFERROR(TRIM(INDEX('Pegar docentes'!$A$1:$BZ$1001,301,K$2)&amp;""),""))</f>
        <v/>
      </c>
      <c r="L302">
        <f>IF(L$2=0,"",IFERROR(TRIM(INDEX('Pegar docentes'!$A$1:$BZ$1001,301,L$2)&amp;""),""))</f>
        <v/>
      </c>
      <c r="M302">
        <f>IF(M$2=0,"",IFERROR(TRIM(INDEX('Pegar docentes'!$A$1:$BZ$1001,301,M$2)&amp;""),""))</f>
        <v/>
      </c>
      <c r="N302">
        <f>IF(N$2=0,"",IFERROR(TRIM(INDEX('Pegar docentes'!$A$1:$BZ$1001,301,N$2)&amp;""),""))</f>
        <v/>
      </c>
      <c r="O302">
        <f>IF(O$2=0,"",IFERROR(TRIM(INDEX('Pegar docentes'!$A$1:$BZ$1001,301,O$2)&amp;""),""))</f>
        <v/>
      </c>
      <c r="P302">
        <f>IF(P$2=0,"",IFERROR(TRIM(INDEX('Pegar docentes'!$A$1:$BZ$1001,301,P$2)&amp;""),""))</f>
        <v/>
      </c>
      <c r="Q302" s="25">
        <f>IF(OR(D302&lt;&gt;"",H302&lt;&gt;""),1,"")</f>
        <v/>
      </c>
      <c r="R302" s="25">
        <f>IF(Q302=1,IF(ISNUMBER(FIND("#"&amp;MID(D302,1,1)&amp;"#","#0#1#2#3#4#5#6#7#8#9#")),IF(ISNUMBER(FIND("#"&amp;MID(D302,2,1)&amp;"#","#0#1#2#3#4#5#6#7#8#9#")),IF(AND(VALUE(LEFT(D302,2))&gt;=1,VALUE(LEFT(D302,2))&lt;=5),VALUE(LEFT(D302,2)),""),IF(AND(VALUE(LEFT(D302,1))&gt;=1,VALUE(LEFT(D302,1))&lt;=5),VALUE(LEFT(D302,1)),"")),""),"")</f>
        <v/>
      </c>
      <c r="S302" s="25">
        <f>IF(AND(Q302=1,E302&lt;&gt;""),SUBSTITUTE(SUBSTITUTE(SUBSTITUTE(SUBSTITUTE(SUBSTITUTE(SUBSTITUTE(SUBSTITUTE(SUBSTITUTE(SUBSTITUTE(SUBSTITUTE(SUBSTITUTE(SUBSTITUTE(LOWER(TRIM(E302)),"á","a"),"é","e"),"í","i"),"ó","o"),"ú","u"),"ü","u"),"ñ","n"),"à","a"),"è","e"),"ì","i"),"ò","o"),"ù","u"),"")</f>
        <v/>
      </c>
      <c r="T302" s="25">
        <f>IF(AND(Q302=1,G302&lt;&gt;""),SUBSTITUTE(SUBSTITUTE(SUBSTITUTE(SUBSTITUTE(SUBSTITUTE(SUBSTITUTE(SUBSTITUTE(SUBSTITUTE(SUBSTITUTE(SUBSTITUTE(SUBSTITUTE(SUBSTITUTE(LOWER(TRIM(G302)),"á","a"),"é","e"),"í","i"),"ó","o"),"ú","u"),"ü","u"),"ñ","n"),"à","a"),"è","e"),"ì","i"),"ò","o"),"ù","u"),"")</f>
        <v/>
      </c>
      <c r="U302" s="25">
        <f>IF(AND(Q302=1,H302&lt;&gt;""),SUBSTITUTE(SUBSTITUTE(SUBSTITUTE(SUBSTITUTE(SUBSTITUTE(SUBSTITUTE(SUBSTITUTE(SUBSTITUTE(SUBSTITUTE(SUBSTITUTE(SUBSTITUTE(SUBSTITUTE(LOWER(TRIM(H302)),"á","a"),"é","e"),"í","i"),"ó","o"),"ú","u"),"ü","u"),"ñ","n"),"à","a"),"è","e"),"ì","i"),"ò","o"),"ù","u"),"")</f>
        <v/>
      </c>
      <c r="V302" s="25">
        <f>IF(AND(Q302=1,L302&lt;&gt;""),SUBSTITUTE(SUBSTITUTE(SUBSTITUTE(SUBSTITUTE(SUBSTITUTE(SUBSTITUTE(SUBSTITUTE(SUBSTITUTE(SUBSTITUTE(SUBSTITUTE(SUBSTITUTE(SUBSTITUTE(LOWER(TRIM(L302)),"á","a"),"é","e"),"í","i"),"ó","o"),"ú","u"),"ü","u"),"ñ","n"),"à","a"),"è","e"),"ì","i"),"ò","o"),"ù","u"),"")</f>
        <v/>
      </c>
      <c r="W302" s="25">
        <f>IF(AND(Q302=1,I302&lt;&gt;""),SUBSTITUTE(SUBSTITUTE(SUBSTITUTE(SUBSTITUTE(SUBSTITUTE(SUBSTITUTE(SUBSTITUTE(SUBSTITUTE(SUBSTITUTE(SUBSTITUTE(SUBSTITUTE(SUBSTITUTE(LOWER(TRIM(I302)),"á","a"),"é","e"),"í","i"),"ó","o"),"ú","u"),"ü","u"),"ñ","n"),"à","a"),"è","e"),"ì","i"),"ò","o"),"ù","u"),"")</f>
        <v/>
      </c>
      <c r="X302" s="25">
        <f>IF(U302="","",IF(OR(U302="si, en la proxima tarea",U302="si, con cambios"),1,0))</f>
        <v/>
      </c>
      <c r="Y302" s="25">
        <f>IF(AND(Q302=1,A302&lt;&gt;""),IF(IFERROR(COUNTIFS(A$3:A302,"="&amp;SUBSTITUTE(SUBSTITUTE(SUBSTITUTE(A302,"~","~~"),"*","~*"),"?","~?"),Q$3:Q302,1),0)=1,MAX(Y$2:Y301)+1,""),"")</f>
        <v/>
      </c>
      <c r="Z302" s="25">
        <f>IF(Y302="","",COUNTIFS($A$3:$A$1002,"="&amp;SUBSTITUTE(SUBSTITUTE(SUBSTITUTE(A302,"~","~~"),"*","~*"),"?","~?"),$Q$3:$Q$1002,1)*10000-Y302)</f>
        <v/>
      </c>
    </row>
    <row r="303">
      <c r="A303">
        <f>IF(A$2=0,"",IFERROR(TRIM(INDEX('Pegar docentes'!$A$1:$BZ$1001,302,A$2)&amp;""),""))</f>
        <v/>
      </c>
      <c r="B303">
        <f>IF(B$2=0,"",IFERROR(TRIM(INDEX('Pegar docentes'!$A$1:$BZ$1001,302,B$2)&amp;""),""))</f>
        <v/>
      </c>
      <c r="C303">
        <f>IF(C$2=0,"",IFERROR(TRIM(INDEX('Pegar docentes'!$A$1:$BZ$1001,302,C$2)&amp;""),""))</f>
        <v/>
      </c>
      <c r="D303">
        <f>IF(D$2=0,"",IFERROR(TRIM(INDEX('Pegar docentes'!$A$1:$BZ$1001,302,D$2)&amp;""),""))</f>
        <v/>
      </c>
      <c r="E303">
        <f>IF(E$2=0,"",IFERROR(TRIM(INDEX('Pegar docentes'!$A$1:$BZ$1001,302,E$2)&amp;""),""))</f>
        <v/>
      </c>
      <c r="F303">
        <f>IF(F$2=0,"",IFERROR(TRIM(INDEX('Pegar docentes'!$A$1:$BZ$1001,302,F$2)&amp;""),""))</f>
        <v/>
      </c>
      <c r="G303">
        <f>IF(G$2=0,"",IFERROR(TRIM(INDEX('Pegar docentes'!$A$1:$BZ$1001,302,G$2)&amp;""),""))</f>
        <v/>
      </c>
      <c r="H303">
        <f>IF(H$2=0,"",IFERROR(TRIM(INDEX('Pegar docentes'!$A$1:$BZ$1001,302,H$2)&amp;""),""))</f>
        <v/>
      </c>
      <c r="I303">
        <f>IF(I$2=0,"",IFERROR(TRIM(INDEX('Pegar docentes'!$A$1:$BZ$1001,302,I$2)&amp;""),""))</f>
        <v/>
      </c>
      <c r="J303">
        <f>IF(J$2=0,"",IFERROR(TRIM(INDEX('Pegar docentes'!$A$1:$BZ$1001,302,J$2)&amp;""),""))</f>
        <v/>
      </c>
      <c r="K303">
        <f>IF(K$2=0,"",IFERROR(TRIM(INDEX('Pegar docentes'!$A$1:$BZ$1001,302,K$2)&amp;""),""))</f>
        <v/>
      </c>
      <c r="L303">
        <f>IF(L$2=0,"",IFERROR(TRIM(INDEX('Pegar docentes'!$A$1:$BZ$1001,302,L$2)&amp;""),""))</f>
        <v/>
      </c>
      <c r="M303">
        <f>IF(M$2=0,"",IFERROR(TRIM(INDEX('Pegar docentes'!$A$1:$BZ$1001,302,M$2)&amp;""),""))</f>
        <v/>
      </c>
      <c r="N303">
        <f>IF(N$2=0,"",IFERROR(TRIM(INDEX('Pegar docentes'!$A$1:$BZ$1001,302,N$2)&amp;""),""))</f>
        <v/>
      </c>
      <c r="O303">
        <f>IF(O$2=0,"",IFERROR(TRIM(INDEX('Pegar docentes'!$A$1:$BZ$1001,302,O$2)&amp;""),""))</f>
        <v/>
      </c>
      <c r="P303">
        <f>IF(P$2=0,"",IFERROR(TRIM(INDEX('Pegar docentes'!$A$1:$BZ$1001,302,P$2)&amp;""),""))</f>
        <v/>
      </c>
      <c r="Q303" s="25">
        <f>IF(OR(D303&lt;&gt;"",H303&lt;&gt;""),1,"")</f>
        <v/>
      </c>
      <c r="R303" s="25">
        <f>IF(Q303=1,IF(ISNUMBER(FIND("#"&amp;MID(D303,1,1)&amp;"#","#0#1#2#3#4#5#6#7#8#9#")),IF(ISNUMBER(FIND("#"&amp;MID(D303,2,1)&amp;"#","#0#1#2#3#4#5#6#7#8#9#")),IF(AND(VALUE(LEFT(D303,2))&gt;=1,VALUE(LEFT(D303,2))&lt;=5),VALUE(LEFT(D303,2)),""),IF(AND(VALUE(LEFT(D303,1))&gt;=1,VALUE(LEFT(D303,1))&lt;=5),VALUE(LEFT(D303,1)),"")),""),"")</f>
        <v/>
      </c>
      <c r="S303" s="25">
        <f>IF(AND(Q303=1,E303&lt;&gt;""),SUBSTITUTE(SUBSTITUTE(SUBSTITUTE(SUBSTITUTE(SUBSTITUTE(SUBSTITUTE(SUBSTITUTE(SUBSTITUTE(SUBSTITUTE(SUBSTITUTE(SUBSTITUTE(SUBSTITUTE(LOWER(TRIM(E303)),"á","a"),"é","e"),"í","i"),"ó","o"),"ú","u"),"ü","u"),"ñ","n"),"à","a"),"è","e"),"ì","i"),"ò","o"),"ù","u"),"")</f>
        <v/>
      </c>
      <c r="T303" s="25">
        <f>IF(AND(Q303=1,G303&lt;&gt;""),SUBSTITUTE(SUBSTITUTE(SUBSTITUTE(SUBSTITUTE(SUBSTITUTE(SUBSTITUTE(SUBSTITUTE(SUBSTITUTE(SUBSTITUTE(SUBSTITUTE(SUBSTITUTE(SUBSTITUTE(LOWER(TRIM(G303)),"á","a"),"é","e"),"í","i"),"ó","o"),"ú","u"),"ü","u"),"ñ","n"),"à","a"),"è","e"),"ì","i"),"ò","o"),"ù","u"),"")</f>
        <v/>
      </c>
      <c r="U303" s="25">
        <f>IF(AND(Q303=1,H303&lt;&gt;""),SUBSTITUTE(SUBSTITUTE(SUBSTITUTE(SUBSTITUTE(SUBSTITUTE(SUBSTITUTE(SUBSTITUTE(SUBSTITUTE(SUBSTITUTE(SUBSTITUTE(SUBSTITUTE(SUBSTITUTE(LOWER(TRIM(H303)),"á","a"),"é","e"),"í","i"),"ó","o"),"ú","u"),"ü","u"),"ñ","n"),"à","a"),"è","e"),"ì","i"),"ò","o"),"ù","u"),"")</f>
        <v/>
      </c>
      <c r="V303" s="25">
        <f>IF(AND(Q303=1,L303&lt;&gt;""),SUBSTITUTE(SUBSTITUTE(SUBSTITUTE(SUBSTITUTE(SUBSTITUTE(SUBSTITUTE(SUBSTITUTE(SUBSTITUTE(SUBSTITUTE(SUBSTITUTE(SUBSTITUTE(SUBSTITUTE(LOWER(TRIM(L303)),"á","a"),"é","e"),"í","i"),"ó","o"),"ú","u"),"ü","u"),"ñ","n"),"à","a"),"è","e"),"ì","i"),"ò","o"),"ù","u"),"")</f>
        <v/>
      </c>
      <c r="W303" s="25">
        <f>IF(AND(Q303=1,I303&lt;&gt;""),SUBSTITUTE(SUBSTITUTE(SUBSTITUTE(SUBSTITUTE(SUBSTITUTE(SUBSTITUTE(SUBSTITUTE(SUBSTITUTE(SUBSTITUTE(SUBSTITUTE(SUBSTITUTE(SUBSTITUTE(LOWER(TRIM(I303)),"á","a"),"é","e"),"í","i"),"ó","o"),"ú","u"),"ü","u"),"ñ","n"),"à","a"),"è","e"),"ì","i"),"ò","o"),"ù","u"),"")</f>
        <v/>
      </c>
      <c r="X303" s="25">
        <f>IF(U303="","",IF(OR(U303="si, en la proxima tarea",U303="si, con cambios"),1,0))</f>
        <v/>
      </c>
      <c r="Y303" s="25">
        <f>IF(AND(Q303=1,A303&lt;&gt;""),IF(IFERROR(COUNTIFS(A$3:A303,"="&amp;SUBSTITUTE(SUBSTITUTE(SUBSTITUTE(A303,"~","~~"),"*","~*"),"?","~?"),Q$3:Q303,1),0)=1,MAX(Y$2:Y302)+1,""),"")</f>
        <v/>
      </c>
      <c r="Z303" s="25">
        <f>IF(Y303="","",COUNTIFS($A$3:$A$1002,"="&amp;SUBSTITUTE(SUBSTITUTE(SUBSTITUTE(A303,"~","~~"),"*","~*"),"?","~?"),$Q$3:$Q$1002,1)*10000-Y303)</f>
        <v/>
      </c>
    </row>
    <row r="304">
      <c r="A304">
        <f>IF(A$2=0,"",IFERROR(TRIM(INDEX('Pegar docentes'!$A$1:$BZ$1001,303,A$2)&amp;""),""))</f>
        <v/>
      </c>
      <c r="B304">
        <f>IF(B$2=0,"",IFERROR(TRIM(INDEX('Pegar docentes'!$A$1:$BZ$1001,303,B$2)&amp;""),""))</f>
        <v/>
      </c>
      <c r="C304">
        <f>IF(C$2=0,"",IFERROR(TRIM(INDEX('Pegar docentes'!$A$1:$BZ$1001,303,C$2)&amp;""),""))</f>
        <v/>
      </c>
      <c r="D304">
        <f>IF(D$2=0,"",IFERROR(TRIM(INDEX('Pegar docentes'!$A$1:$BZ$1001,303,D$2)&amp;""),""))</f>
        <v/>
      </c>
      <c r="E304">
        <f>IF(E$2=0,"",IFERROR(TRIM(INDEX('Pegar docentes'!$A$1:$BZ$1001,303,E$2)&amp;""),""))</f>
        <v/>
      </c>
      <c r="F304">
        <f>IF(F$2=0,"",IFERROR(TRIM(INDEX('Pegar docentes'!$A$1:$BZ$1001,303,F$2)&amp;""),""))</f>
        <v/>
      </c>
      <c r="G304">
        <f>IF(G$2=0,"",IFERROR(TRIM(INDEX('Pegar docentes'!$A$1:$BZ$1001,303,G$2)&amp;""),""))</f>
        <v/>
      </c>
      <c r="H304">
        <f>IF(H$2=0,"",IFERROR(TRIM(INDEX('Pegar docentes'!$A$1:$BZ$1001,303,H$2)&amp;""),""))</f>
        <v/>
      </c>
      <c r="I304">
        <f>IF(I$2=0,"",IFERROR(TRIM(INDEX('Pegar docentes'!$A$1:$BZ$1001,303,I$2)&amp;""),""))</f>
        <v/>
      </c>
      <c r="J304">
        <f>IF(J$2=0,"",IFERROR(TRIM(INDEX('Pegar docentes'!$A$1:$BZ$1001,303,J$2)&amp;""),""))</f>
        <v/>
      </c>
      <c r="K304">
        <f>IF(K$2=0,"",IFERROR(TRIM(INDEX('Pegar docentes'!$A$1:$BZ$1001,303,K$2)&amp;""),""))</f>
        <v/>
      </c>
      <c r="L304">
        <f>IF(L$2=0,"",IFERROR(TRIM(INDEX('Pegar docentes'!$A$1:$BZ$1001,303,L$2)&amp;""),""))</f>
        <v/>
      </c>
      <c r="M304">
        <f>IF(M$2=0,"",IFERROR(TRIM(INDEX('Pegar docentes'!$A$1:$BZ$1001,303,M$2)&amp;""),""))</f>
        <v/>
      </c>
      <c r="N304">
        <f>IF(N$2=0,"",IFERROR(TRIM(INDEX('Pegar docentes'!$A$1:$BZ$1001,303,N$2)&amp;""),""))</f>
        <v/>
      </c>
      <c r="O304">
        <f>IF(O$2=0,"",IFERROR(TRIM(INDEX('Pegar docentes'!$A$1:$BZ$1001,303,O$2)&amp;""),""))</f>
        <v/>
      </c>
      <c r="P304">
        <f>IF(P$2=0,"",IFERROR(TRIM(INDEX('Pegar docentes'!$A$1:$BZ$1001,303,P$2)&amp;""),""))</f>
        <v/>
      </c>
      <c r="Q304" s="25">
        <f>IF(OR(D304&lt;&gt;"",H304&lt;&gt;""),1,"")</f>
        <v/>
      </c>
      <c r="R304" s="25">
        <f>IF(Q304=1,IF(ISNUMBER(FIND("#"&amp;MID(D304,1,1)&amp;"#","#0#1#2#3#4#5#6#7#8#9#")),IF(ISNUMBER(FIND("#"&amp;MID(D304,2,1)&amp;"#","#0#1#2#3#4#5#6#7#8#9#")),IF(AND(VALUE(LEFT(D304,2))&gt;=1,VALUE(LEFT(D304,2))&lt;=5),VALUE(LEFT(D304,2)),""),IF(AND(VALUE(LEFT(D304,1))&gt;=1,VALUE(LEFT(D304,1))&lt;=5),VALUE(LEFT(D304,1)),"")),""),"")</f>
        <v/>
      </c>
      <c r="S304" s="25">
        <f>IF(AND(Q304=1,E304&lt;&gt;""),SUBSTITUTE(SUBSTITUTE(SUBSTITUTE(SUBSTITUTE(SUBSTITUTE(SUBSTITUTE(SUBSTITUTE(SUBSTITUTE(SUBSTITUTE(SUBSTITUTE(SUBSTITUTE(SUBSTITUTE(LOWER(TRIM(E304)),"á","a"),"é","e"),"í","i"),"ó","o"),"ú","u"),"ü","u"),"ñ","n"),"à","a"),"è","e"),"ì","i"),"ò","o"),"ù","u"),"")</f>
        <v/>
      </c>
      <c r="T304" s="25">
        <f>IF(AND(Q304=1,G304&lt;&gt;""),SUBSTITUTE(SUBSTITUTE(SUBSTITUTE(SUBSTITUTE(SUBSTITUTE(SUBSTITUTE(SUBSTITUTE(SUBSTITUTE(SUBSTITUTE(SUBSTITUTE(SUBSTITUTE(SUBSTITUTE(LOWER(TRIM(G304)),"á","a"),"é","e"),"í","i"),"ó","o"),"ú","u"),"ü","u"),"ñ","n"),"à","a"),"è","e"),"ì","i"),"ò","o"),"ù","u"),"")</f>
        <v/>
      </c>
      <c r="U304" s="25">
        <f>IF(AND(Q304=1,H304&lt;&gt;""),SUBSTITUTE(SUBSTITUTE(SUBSTITUTE(SUBSTITUTE(SUBSTITUTE(SUBSTITUTE(SUBSTITUTE(SUBSTITUTE(SUBSTITUTE(SUBSTITUTE(SUBSTITUTE(SUBSTITUTE(LOWER(TRIM(H304)),"á","a"),"é","e"),"í","i"),"ó","o"),"ú","u"),"ü","u"),"ñ","n"),"à","a"),"è","e"),"ì","i"),"ò","o"),"ù","u"),"")</f>
        <v/>
      </c>
      <c r="V304" s="25">
        <f>IF(AND(Q304=1,L304&lt;&gt;""),SUBSTITUTE(SUBSTITUTE(SUBSTITUTE(SUBSTITUTE(SUBSTITUTE(SUBSTITUTE(SUBSTITUTE(SUBSTITUTE(SUBSTITUTE(SUBSTITUTE(SUBSTITUTE(SUBSTITUTE(LOWER(TRIM(L304)),"á","a"),"é","e"),"í","i"),"ó","o"),"ú","u"),"ü","u"),"ñ","n"),"à","a"),"è","e"),"ì","i"),"ò","o"),"ù","u"),"")</f>
        <v/>
      </c>
      <c r="W304" s="25">
        <f>IF(AND(Q304=1,I304&lt;&gt;""),SUBSTITUTE(SUBSTITUTE(SUBSTITUTE(SUBSTITUTE(SUBSTITUTE(SUBSTITUTE(SUBSTITUTE(SUBSTITUTE(SUBSTITUTE(SUBSTITUTE(SUBSTITUTE(SUBSTITUTE(LOWER(TRIM(I304)),"á","a"),"é","e"),"í","i"),"ó","o"),"ú","u"),"ü","u"),"ñ","n"),"à","a"),"è","e"),"ì","i"),"ò","o"),"ù","u"),"")</f>
        <v/>
      </c>
      <c r="X304" s="25">
        <f>IF(U304="","",IF(OR(U304="si, en la proxima tarea",U304="si, con cambios"),1,0))</f>
        <v/>
      </c>
      <c r="Y304" s="25">
        <f>IF(AND(Q304=1,A304&lt;&gt;""),IF(IFERROR(COUNTIFS(A$3:A304,"="&amp;SUBSTITUTE(SUBSTITUTE(SUBSTITUTE(A304,"~","~~"),"*","~*"),"?","~?"),Q$3:Q304,1),0)=1,MAX(Y$2:Y303)+1,""),"")</f>
        <v/>
      </c>
      <c r="Z304" s="25">
        <f>IF(Y304="","",COUNTIFS($A$3:$A$1002,"="&amp;SUBSTITUTE(SUBSTITUTE(SUBSTITUTE(A304,"~","~~"),"*","~*"),"?","~?"),$Q$3:$Q$1002,1)*10000-Y304)</f>
        <v/>
      </c>
    </row>
    <row r="305">
      <c r="A305">
        <f>IF(A$2=0,"",IFERROR(TRIM(INDEX('Pegar docentes'!$A$1:$BZ$1001,304,A$2)&amp;""),""))</f>
        <v/>
      </c>
      <c r="B305">
        <f>IF(B$2=0,"",IFERROR(TRIM(INDEX('Pegar docentes'!$A$1:$BZ$1001,304,B$2)&amp;""),""))</f>
        <v/>
      </c>
      <c r="C305">
        <f>IF(C$2=0,"",IFERROR(TRIM(INDEX('Pegar docentes'!$A$1:$BZ$1001,304,C$2)&amp;""),""))</f>
        <v/>
      </c>
      <c r="D305">
        <f>IF(D$2=0,"",IFERROR(TRIM(INDEX('Pegar docentes'!$A$1:$BZ$1001,304,D$2)&amp;""),""))</f>
        <v/>
      </c>
      <c r="E305">
        <f>IF(E$2=0,"",IFERROR(TRIM(INDEX('Pegar docentes'!$A$1:$BZ$1001,304,E$2)&amp;""),""))</f>
        <v/>
      </c>
      <c r="F305">
        <f>IF(F$2=0,"",IFERROR(TRIM(INDEX('Pegar docentes'!$A$1:$BZ$1001,304,F$2)&amp;""),""))</f>
        <v/>
      </c>
      <c r="G305">
        <f>IF(G$2=0,"",IFERROR(TRIM(INDEX('Pegar docentes'!$A$1:$BZ$1001,304,G$2)&amp;""),""))</f>
        <v/>
      </c>
      <c r="H305">
        <f>IF(H$2=0,"",IFERROR(TRIM(INDEX('Pegar docentes'!$A$1:$BZ$1001,304,H$2)&amp;""),""))</f>
        <v/>
      </c>
      <c r="I305">
        <f>IF(I$2=0,"",IFERROR(TRIM(INDEX('Pegar docentes'!$A$1:$BZ$1001,304,I$2)&amp;""),""))</f>
        <v/>
      </c>
      <c r="J305">
        <f>IF(J$2=0,"",IFERROR(TRIM(INDEX('Pegar docentes'!$A$1:$BZ$1001,304,J$2)&amp;""),""))</f>
        <v/>
      </c>
      <c r="K305">
        <f>IF(K$2=0,"",IFERROR(TRIM(INDEX('Pegar docentes'!$A$1:$BZ$1001,304,K$2)&amp;""),""))</f>
        <v/>
      </c>
      <c r="L305">
        <f>IF(L$2=0,"",IFERROR(TRIM(INDEX('Pegar docentes'!$A$1:$BZ$1001,304,L$2)&amp;""),""))</f>
        <v/>
      </c>
      <c r="M305">
        <f>IF(M$2=0,"",IFERROR(TRIM(INDEX('Pegar docentes'!$A$1:$BZ$1001,304,M$2)&amp;""),""))</f>
        <v/>
      </c>
      <c r="N305">
        <f>IF(N$2=0,"",IFERROR(TRIM(INDEX('Pegar docentes'!$A$1:$BZ$1001,304,N$2)&amp;""),""))</f>
        <v/>
      </c>
      <c r="O305">
        <f>IF(O$2=0,"",IFERROR(TRIM(INDEX('Pegar docentes'!$A$1:$BZ$1001,304,O$2)&amp;""),""))</f>
        <v/>
      </c>
      <c r="P305">
        <f>IF(P$2=0,"",IFERROR(TRIM(INDEX('Pegar docentes'!$A$1:$BZ$1001,304,P$2)&amp;""),""))</f>
        <v/>
      </c>
      <c r="Q305" s="25">
        <f>IF(OR(D305&lt;&gt;"",H305&lt;&gt;""),1,"")</f>
        <v/>
      </c>
      <c r="R305" s="25">
        <f>IF(Q305=1,IF(ISNUMBER(FIND("#"&amp;MID(D305,1,1)&amp;"#","#0#1#2#3#4#5#6#7#8#9#")),IF(ISNUMBER(FIND("#"&amp;MID(D305,2,1)&amp;"#","#0#1#2#3#4#5#6#7#8#9#")),IF(AND(VALUE(LEFT(D305,2))&gt;=1,VALUE(LEFT(D305,2))&lt;=5),VALUE(LEFT(D305,2)),""),IF(AND(VALUE(LEFT(D305,1))&gt;=1,VALUE(LEFT(D305,1))&lt;=5),VALUE(LEFT(D305,1)),"")),""),"")</f>
        <v/>
      </c>
      <c r="S305" s="25">
        <f>IF(AND(Q305=1,E305&lt;&gt;""),SUBSTITUTE(SUBSTITUTE(SUBSTITUTE(SUBSTITUTE(SUBSTITUTE(SUBSTITUTE(SUBSTITUTE(SUBSTITUTE(SUBSTITUTE(SUBSTITUTE(SUBSTITUTE(SUBSTITUTE(LOWER(TRIM(E305)),"á","a"),"é","e"),"í","i"),"ó","o"),"ú","u"),"ü","u"),"ñ","n"),"à","a"),"è","e"),"ì","i"),"ò","o"),"ù","u"),"")</f>
        <v/>
      </c>
      <c r="T305" s="25">
        <f>IF(AND(Q305=1,G305&lt;&gt;""),SUBSTITUTE(SUBSTITUTE(SUBSTITUTE(SUBSTITUTE(SUBSTITUTE(SUBSTITUTE(SUBSTITUTE(SUBSTITUTE(SUBSTITUTE(SUBSTITUTE(SUBSTITUTE(SUBSTITUTE(LOWER(TRIM(G305)),"á","a"),"é","e"),"í","i"),"ó","o"),"ú","u"),"ü","u"),"ñ","n"),"à","a"),"è","e"),"ì","i"),"ò","o"),"ù","u"),"")</f>
        <v/>
      </c>
      <c r="U305" s="25">
        <f>IF(AND(Q305=1,H305&lt;&gt;""),SUBSTITUTE(SUBSTITUTE(SUBSTITUTE(SUBSTITUTE(SUBSTITUTE(SUBSTITUTE(SUBSTITUTE(SUBSTITUTE(SUBSTITUTE(SUBSTITUTE(SUBSTITUTE(SUBSTITUTE(LOWER(TRIM(H305)),"á","a"),"é","e"),"í","i"),"ó","o"),"ú","u"),"ü","u"),"ñ","n"),"à","a"),"è","e"),"ì","i"),"ò","o"),"ù","u"),"")</f>
        <v/>
      </c>
      <c r="V305" s="25">
        <f>IF(AND(Q305=1,L305&lt;&gt;""),SUBSTITUTE(SUBSTITUTE(SUBSTITUTE(SUBSTITUTE(SUBSTITUTE(SUBSTITUTE(SUBSTITUTE(SUBSTITUTE(SUBSTITUTE(SUBSTITUTE(SUBSTITUTE(SUBSTITUTE(LOWER(TRIM(L305)),"á","a"),"é","e"),"í","i"),"ó","o"),"ú","u"),"ü","u"),"ñ","n"),"à","a"),"è","e"),"ì","i"),"ò","o"),"ù","u"),"")</f>
        <v/>
      </c>
      <c r="W305" s="25">
        <f>IF(AND(Q305=1,I305&lt;&gt;""),SUBSTITUTE(SUBSTITUTE(SUBSTITUTE(SUBSTITUTE(SUBSTITUTE(SUBSTITUTE(SUBSTITUTE(SUBSTITUTE(SUBSTITUTE(SUBSTITUTE(SUBSTITUTE(SUBSTITUTE(LOWER(TRIM(I305)),"á","a"),"é","e"),"í","i"),"ó","o"),"ú","u"),"ü","u"),"ñ","n"),"à","a"),"è","e"),"ì","i"),"ò","o"),"ù","u"),"")</f>
        <v/>
      </c>
      <c r="X305" s="25">
        <f>IF(U305="","",IF(OR(U305="si, en la proxima tarea",U305="si, con cambios"),1,0))</f>
        <v/>
      </c>
      <c r="Y305" s="25">
        <f>IF(AND(Q305=1,A305&lt;&gt;""),IF(IFERROR(COUNTIFS(A$3:A305,"="&amp;SUBSTITUTE(SUBSTITUTE(SUBSTITUTE(A305,"~","~~"),"*","~*"),"?","~?"),Q$3:Q305,1),0)=1,MAX(Y$2:Y304)+1,""),"")</f>
        <v/>
      </c>
      <c r="Z305" s="25">
        <f>IF(Y305="","",COUNTIFS($A$3:$A$1002,"="&amp;SUBSTITUTE(SUBSTITUTE(SUBSTITUTE(A305,"~","~~"),"*","~*"),"?","~?"),$Q$3:$Q$1002,1)*10000-Y305)</f>
        <v/>
      </c>
    </row>
    <row r="306">
      <c r="A306">
        <f>IF(A$2=0,"",IFERROR(TRIM(INDEX('Pegar docentes'!$A$1:$BZ$1001,305,A$2)&amp;""),""))</f>
        <v/>
      </c>
      <c r="B306">
        <f>IF(B$2=0,"",IFERROR(TRIM(INDEX('Pegar docentes'!$A$1:$BZ$1001,305,B$2)&amp;""),""))</f>
        <v/>
      </c>
      <c r="C306">
        <f>IF(C$2=0,"",IFERROR(TRIM(INDEX('Pegar docentes'!$A$1:$BZ$1001,305,C$2)&amp;""),""))</f>
        <v/>
      </c>
      <c r="D306">
        <f>IF(D$2=0,"",IFERROR(TRIM(INDEX('Pegar docentes'!$A$1:$BZ$1001,305,D$2)&amp;""),""))</f>
        <v/>
      </c>
      <c r="E306">
        <f>IF(E$2=0,"",IFERROR(TRIM(INDEX('Pegar docentes'!$A$1:$BZ$1001,305,E$2)&amp;""),""))</f>
        <v/>
      </c>
      <c r="F306">
        <f>IF(F$2=0,"",IFERROR(TRIM(INDEX('Pegar docentes'!$A$1:$BZ$1001,305,F$2)&amp;""),""))</f>
        <v/>
      </c>
      <c r="G306">
        <f>IF(G$2=0,"",IFERROR(TRIM(INDEX('Pegar docentes'!$A$1:$BZ$1001,305,G$2)&amp;""),""))</f>
        <v/>
      </c>
      <c r="H306">
        <f>IF(H$2=0,"",IFERROR(TRIM(INDEX('Pegar docentes'!$A$1:$BZ$1001,305,H$2)&amp;""),""))</f>
        <v/>
      </c>
      <c r="I306">
        <f>IF(I$2=0,"",IFERROR(TRIM(INDEX('Pegar docentes'!$A$1:$BZ$1001,305,I$2)&amp;""),""))</f>
        <v/>
      </c>
      <c r="J306">
        <f>IF(J$2=0,"",IFERROR(TRIM(INDEX('Pegar docentes'!$A$1:$BZ$1001,305,J$2)&amp;""),""))</f>
        <v/>
      </c>
      <c r="K306">
        <f>IF(K$2=0,"",IFERROR(TRIM(INDEX('Pegar docentes'!$A$1:$BZ$1001,305,K$2)&amp;""),""))</f>
        <v/>
      </c>
      <c r="L306">
        <f>IF(L$2=0,"",IFERROR(TRIM(INDEX('Pegar docentes'!$A$1:$BZ$1001,305,L$2)&amp;""),""))</f>
        <v/>
      </c>
      <c r="M306">
        <f>IF(M$2=0,"",IFERROR(TRIM(INDEX('Pegar docentes'!$A$1:$BZ$1001,305,M$2)&amp;""),""))</f>
        <v/>
      </c>
      <c r="N306">
        <f>IF(N$2=0,"",IFERROR(TRIM(INDEX('Pegar docentes'!$A$1:$BZ$1001,305,N$2)&amp;""),""))</f>
        <v/>
      </c>
      <c r="O306">
        <f>IF(O$2=0,"",IFERROR(TRIM(INDEX('Pegar docentes'!$A$1:$BZ$1001,305,O$2)&amp;""),""))</f>
        <v/>
      </c>
      <c r="P306">
        <f>IF(P$2=0,"",IFERROR(TRIM(INDEX('Pegar docentes'!$A$1:$BZ$1001,305,P$2)&amp;""),""))</f>
        <v/>
      </c>
      <c r="Q306" s="25">
        <f>IF(OR(D306&lt;&gt;"",H306&lt;&gt;""),1,"")</f>
        <v/>
      </c>
      <c r="R306" s="25">
        <f>IF(Q306=1,IF(ISNUMBER(FIND("#"&amp;MID(D306,1,1)&amp;"#","#0#1#2#3#4#5#6#7#8#9#")),IF(ISNUMBER(FIND("#"&amp;MID(D306,2,1)&amp;"#","#0#1#2#3#4#5#6#7#8#9#")),IF(AND(VALUE(LEFT(D306,2))&gt;=1,VALUE(LEFT(D306,2))&lt;=5),VALUE(LEFT(D306,2)),""),IF(AND(VALUE(LEFT(D306,1))&gt;=1,VALUE(LEFT(D306,1))&lt;=5),VALUE(LEFT(D306,1)),"")),""),"")</f>
        <v/>
      </c>
      <c r="S306" s="25">
        <f>IF(AND(Q306=1,E306&lt;&gt;""),SUBSTITUTE(SUBSTITUTE(SUBSTITUTE(SUBSTITUTE(SUBSTITUTE(SUBSTITUTE(SUBSTITUTE(SUBSTITUTE(SUBSTITUTE(SUBSTITUTE(SUBSTITUTE(SUBSTITUTE(LOWER(TRIM(E306)),"á","a"),"é","e"),"í","i"),"ó","o"),"ú","u"),"ü","u"),"ñ","n"),"à","a"),"è","e"),"ì","i"),"ò","o"),"ù","u"),"")</f>
        <v/>
      </c>
      <c r="T306" s="25">
        <f>IF(AND(Q306=1,G306&lt;&gt;""),SUBSTITUTE(SUBSTITUTE(SUBSTITUTE(SUBSTITUTE(SUBSTITUTE(SUBSTITUTE(SUBSTITUTE(SUBSTITUTE(SUBSTITUTE(SUBSTITUTE(SUBSTITUTE(SUBSTITUTE(LOWER(TRIM(G306)),"á","a"),"é","e"),"í","i"),"ó","o"),"ú","u"),"ü","u"),"ñ","n"),"à","a"),"è","e"),"ì","i"),"ò","o"),"ù","u"),"")</f>
        <v/>
      </c>
      <c r="U306" s="25">
        <f>IF(AND(Q306=1,H306&lt;&gt;""),SUBSTITUTE(SUBSTITUTE(SUBSTITUTE(SUBSTITUTE(SUBSTITUTE(SUBSTITUTE(SUBSTITUTE(SUBSTITUTE(SUBSTITUTE(SUBSTITUTE(SUBSTITUTE(SUBSTITUTE(LOWER(TRIM(H306)),"á","a"),"é","e"),"í","i"),"ó","o"),"ú","u"),"ü","u"),"ñ","n"),"à","a"),"è","e"),"ì","i"),"ò","o"),"ù","u"),"")</f>
        <v/>
      </c>
      <c r="V306" s="25">
        <f>IF(AND(Q306=1,L306&lt;&gt;""),SUBSTITUTE(SUBSTITUTE(SUBSTITUTE(SUBSTITUTE(SUBSTITUTE(SUBSTITUTE(SUBSTITUTE(SUBSTITUTE(SUBSTITUTE(SUBSTITUTE(SUBSTITUTE(SUBSTITUTE(LOWER(TRIM(L306)),"á","a"),"é","e"),"í","i"),"ó","o"),"ú","u"),"ü","u"),"ñ","n"),"à","a"),"è","e"),"ì","i"),"ò","o"),"ù","u"),"")</f>
        <v/>
      </c>
      <c r="W306" s="25">
        <f>IF(AND(Q306=1,I306&lt;&gt;""),SUBSTITUTE(SUBSTITUTE(SUBSTITUTE(SUBSTITUTE(SUBSTITUTE(SUBSTITUTE(SUBSTITUTE(SUBSTITUTE(SUBSTITUTE(SUBSTITUTE(SUBSTITUTE(SUBSTITUTE(LOWER(TRIM(I306)),"á","a"),"é","e"),"í","i"),"ó","o"),"ú","u"),"ü","u"),"ñ","n"),"à","a"),"è","e"),"ì","i"),"ò","o"),"ù","u"),"")</f>
        <v/>
      </c>
      <c r="X306" s="25">
        <f>IF(U306="","",IF(OR(U306="si, en la proxima tarea",U306="si, con cambios"),1,0))</f>
        <v/>
      </c>
      <c r="Y306" s="25">
        <f>IF(AND(Q306=1,A306&lt;&gt;""),IF(IFERROR(COUNTIFS(A$3:A306,"="&amp;SUBSTITUTE(SUBSTITUTE(SUBSTITUTE(A306,"~","~~"),"*","~*"),"?","~?"),Q$3:Q306,1),0)=1,MAX(Y$2:Y305)+1,""),"")</f>
        <v/>
      </c>
      <c r="Z306" s="25">
        <f>IF(Y306="","",COUNTIFS($A$3:$A$1002,"="&amp;SUBSTITUTE(SUBSTITUTE(SUBSTITUTE(A306,"~","~~"),"*","~*"),"?","~?"),$Q$3:$Q$1002,1)*10000-Y306)</f>
        <v/>
      </c>
    </row>
    <row r="307">
      <c r="A307">
        <f>IF(A$2=0,"",IFERROR(TRIM(INDEX('Pegar docentes'!$A$1:$BZ$1001,306,A$2)&amp;""),""))</f>
        <v/>
      </c>
      <c r="B307">
        <f>IF(B$2=0,"",IFERROR(TRIM(INDEX('Pegar docentes'!$A$1:$BZ$1001,306,B$2)&amp;""),""))</f>
        <v/>
      </c>
      <c r="C307">
        <f>IF(C$2=0,"",IFERROR(TRIM(INDEX('Pegar docentes'!$A$1:$BZ$1001,306,C$2)&amp;""),""))</f>
        <v/>
      </c>
      <c r="D307">
        <f>IF(D$2=0,"",IFERROR(TRIM(INDEX('Pegar docentes'!$A$1:$BZ$1001,306,D$2)&amp;""),""))</f>
        <v/>
      </c>
      <c r="E307">
        <f>IF(E$2=0,"",IFERROR(TRIM(INDEX('Pegar docentes'!$A$1:$BZ$1001,306,E$2)&amp;""),""))</f>
        <v/>
      </c>
      <c r="F307">
        <f>IF(F$2=0,"",IFERROR(TRIM(INDEX('Pegar docentes'!$A$1:$BZ$1001,306,F$2)&amp;""),""))</f>
        <v/>
      </c>
      <c r="G307">
        <f>IF(G$2=0,"",IFERROR(TRIM(INDEX('Pegar docentes'!$A$1:$BZ$1001,306,G$2)&amp;""),""))</f>
        <v/>
      </c>
      <c r="H307">
        <f>IF(H$2=0,"",IFERROR(TRIM(INDEX('Pegar docentes'!$A$1:$BZ$1001,306,H$2)&amp;""),""))</f>
        <v/>
      </c>
      <c r="I307">
        <f>IF(I$2=0,"",IFERROR(TRIM(INDEX('Pegar docentes'!$A$1:$BZ$1001,306,I$2)&amp;""),""))</f>
        <v/>
      </c>
      <c r="J307">
        <f>IF(J$2=0,"",IFERROR(TRIM(INDEX('Pegar docentes'!$A$1:$BZ$1001,306,J$2)&amp;""),""))</f>
        <v/>
      </c>
      <c r="K307">
        <f>IF(K$2=0,"",IFERROR(TRIM(INDEX('Pegar docentes'!$A$1:$BZ$1001,306,K$2)&amp;""),""))</f>
        <v/>
      </c>
      <c r="L307">
        <f>IF(L$2=0,"",IFERROR(TRIM(INDEX('Pegar docentes'!$A$1:$BZ$1001,306,L$2)&amp;""),""))</f>
        <v/>
      </c>
      <c r="M307">
        <f>IF(M$2=0,"",IFERROR(TRIM(INDEX('Pegar docentes'!$A$1:$BZ$1001,306,M$2)&amp;""),""))</f>
        <v/>
      </c>
      <c r="N307">
        <f>IF(N$2=0,"",IFERROR(TRIM(INDEX('Pegar docentes'!$A$1:$BZ$1001,306,N$2)&amp;""),""))</f>
        <v/>
      </c>
      <c r="O307">
        <f>IF(O$2=0,"",IFERROR(TRIM(INDEX('Pegar docentes'!$A$1:$BZ$1001,306,O$2)&amp;""),""))</f>
        <v/>
      </c>
      <c r="P307">
        <f>IF(P$2=0,"",IFERROR(TRIM(INDEX('Pegar docentes'!$A$1:$BZ$1001,306,P$2)&amp;""),""))</f>
        <v/>
      </c>
      <c r="Q307" s="25">
        <f>IF(OR(D307&lt;&gt;"",H307&lt;&gt;""),1,"")</f>
        <v/>
      </c>
      <c r="R307" s="25">
        <f>IF(Q307=1,IF(ISNUMBER(FIND("#"&amp;MID(D307,1,1)&amp;"#","#0#1#2#3#4#5#6#7#8#9#")),IF(ISNUMBER(FIND("#"&amp;MID(D307,2,1)&amp;"#","#0#1#2#3#4#5#6#7#8#9#")),IF(AND(VALUE(LEFT(D307,2))&gt;=1,VALUE(LEFT(D307,2))&lt;=5),VALUE(LEFT(D307,2)),""),IF(AND(VALUE(LEFT(D307,1))&gt;=1,VALUE(LEFT(D307,1))&lt;=5),VALUE(LEFT(D307,1)),"")),""),"")</f>
        <v/>
      </c>
      <c r="S307" s="25">
        <f>IF(AND(Q307=1,E307&lt;&gt;""),SUBSTITUTE(SUBSTITUTE(SUBSTITUTE(SUBSTITUTE(SUBSTITUTE(SUBSTITUTE(SUBSTITUTE(SUBSTITUTE(SUBSTITUTE(SUBSTITUTE(SUBSTITUTE(SUBSTITUTE(LOWER(TRIM(E307)),"á","a"),"é","e"),"í","i"),"ó","o"),"ú","u"),"ü","u"),"ñ","n"),"à","a"),"è","e"),"ì","i"),"ò","o"),"ù","u"),"")</f>
        <v/>
      </c>
      <c r="T307" s="25">
        <f>IF(AND(Q307=1,G307&lt;&gt;""),SUBSTITUTE(SUBSTITUTE(SUBSTITUTE(SUBSTITUTE(SUBSTITUTE(SUBSTITUTE(SUBSTITUTE(SUBSTITUTE(SUBSTITUTE(SUBSTITUTE(SUBSTITUTE(SUBSTITUTE(LOWER(TRIM(G307)),"á","a"),"é","e"),"í","i"),"ó","o"),"ú","u"),"ü","u"),"ñ","n"),"à","a"),"è","e"),"ì","i"),"ò","o"),"ù","u"),"")</f>
        <v/>
      </c>
      <c r="U307" s="25">
        <f>IF(AND(Q307=1,H307&lt;&gt;""),SUBSTITUTE(SUBSTITUTE(SUBSTITUTE(SUBSTITUTE(SUBSTITUTE(SUBSTITUTE(SUBSTITUTE(SUBSTITUTE(SUBSTITUTE(SUBSTITUTE(SUBSTITUTE(SUBSTITUTE(LOWER(TRIM(H307)),"á","a"),"é","e"),"í","i"),"ó","o"),"ú","u"),"ü","u"),"ñ","n"),"à","a"),"è","e"),"ì","i"),"ò","o"),"ù","u"),"")</f>
        <v/>
      </c>
      <c r="V307" s="25">
        <f>IF(AND(Q307=1,L307&lt;&gt;""),SUBSTITUTE(SUBSTITUTE(SUBSTITUTE(SUBSTITUTE(SUBSTITUTE(SUBSTITUTE(SUBSTITUTE(SUBSTITUTE(SUBSTITUTE(SUBSTITUTE(SUBSTITUTE(SUBSTITUTE(LOWER(TRIM(L307)),"á","a"),"é","e"),"í","i"),"ó","o"),"ú","u"),"ü","u"),"ñ","n"),"à","a"),"è","e"),"ì","i"),"ò","o"),"ù","u"),"")</f>
        <v/>
      </c>
      <c r="W307" s="25">
        <f>IF(AND(Q307=1,I307&lt;&gt;""),SUBSTITUTE(SUBSTITUTE(SUBSTITUTE(SUBSTITUTE(SUBSTITUTE(SUBSTITUTE(SUBSTITUTE(SUBSTITUTE(SUBSTITUTE(SUBSTITUTE(SUBSTITUTE(SUBSTITUTE(LOWER(TRIM(I307)),"á","a"),"é","e"),"í","i"),"ó","o"),"ú","u"),"ü","u"),"ñ","n"),"à","a"),"è","e"),"ì","i"),"ò","o"),"ù","u"),"")</f>
        <v/>
      </c>
      <c r="X307" s="25">
        <f>IF(U307="","",IF(OR(U307="si, en la proxima tarea",U307="si, con cambios"),1,0))</f>
        <v/>
      </c>
      <c r="Y307" s="25">
        <f>IF(AND(Q307=1,A307&lt;&gt;""),IF(IFERROR(COUNTIFS(A$3:A307,"="&amp;SUBSTITUTE(SUBSTITUTE(SUBSTITUTE(A307,"~","~~"),"*","~*"),"?","~?"),Q$3:Q307,1),0)=1,MAX(Y$2:Y306)+1,""),"")</f>
        <v/>
      </c>
      <c r="Z307" s="25">
        <f>IF(Y307="","",COUNTIFS($A$3:$A$1002,"="&amp;SUBSTITUTE(SUBSTITUTE(SUBSTITUTE(A307,"~","~~"),"*","~*"),"?","~?"),$Q$3:$Q$1002,1)*10000-Y307)</f>
        <v/>
      </c>
    </row>
    <row r="308">
      <c r="A308">
        <f>IF(A$2=0,"",IFERROR(TRIM(INDEX('Pegar docentes'!$A$1:$BZ$1001,307,A$2)&amp;""),""))</f>
        <v/>
      </c>
      <c r="B308">
        <f>IF(B$2=0,"",IFERROR(TRIM(INDEX('Pegar docentes'!$A$1:$BZ$1001,307,B$2)&amp;""),""))</f>
        <v/>
      </c>
      <c r="C308">
        <f>IF(C$2=0,"",IFERROR(TRIM(INDEX('Pegar docentes'!$A$1:$BZ$1001,307,C$2)&amp;""),""))</f>
        <v/>
      </c>
      <c r="D308">
        <f>IF(D$2=0,"",IFERROR(TRIM(INDEX('Pegar docentes'!$A$1:$BZ$1001,307,D$2)&amp;""),""))</f>
        <v/>
      </c>
      <c r="E308">
        <f>IF(E$2=0,"",IFERROR(TRIM(INDEX('Pegar docentes'!$A$1:$BZ$1001,307,E$2)&amp;""),""))</f>
        <v/>
      </c>
      <c r="F308">
        <f>IF(F$2=0,"",IFERROR(TRIM(INDEX('Pegar docentes'!$A$1:$BZ$1001,307,F$2)&amp;""),""))</f>
        <v/>
      </c>
      <c r="G308">
        <f>IF(G$2=0,"",IFERROR(TRIM(INDEX('Pegar docentes'!$A$1:$BZ$1001,307,G$2)&amp;""),""))</f>
        <v/>
      </c>
      <c r="H308">
        <f>IF(H$2=0,"",IFERROR(TRIM(INDEX('Pegar docentes'!$A$1:$BZ$1001,307,H$2)&amp;""),""))</f>
        <v/>
      </c>
      <c r="I308">
        <f>IF(I$2=0,"",IFERROR(TRIM(INDEX('Pegar docentes'!$A$1:$BZ$1001,307,I$2)&amp;""),""))</f>
        <v/>
      </c>
      <c r="J308">
        <f>IF(J$2=0,"",IFERROR(TRIM(INDEX('Pegar docentes'!$A$1:$BZ$1001,307,J$2)&amp;""),""))</f>
        <v/>
      </c>
      <c r="K308">
        <f>IF(K$2=0,"",IFERROR(TRIM(INDEX('Pegar docentes'!$A$1:$BZ$1001,307,K$2)&amp;""),""))</f>
        <v/>
      </c>
      <c r="L308">
        <f>IF(L$2=0,"",IFERROR(TRIM(INDEX('Pegar docentes'!$A$1:$BZ$1001,307,L$2)&amp;""),""))</f>
        <v/>
      </c>
      <c r="M308">
        <f>IF(M$2=0,"",IFERROR(TRIM(INDEX('Pegar docentes'!$A$1:$BZ$1001,307,M$2)&amp;""),""))</f>
        <v/>
      </c>
      <c r="N308">
        <f>IF(N$2=0,"",IFERROR(TRIM(INDEX('Pegar docentes'!$A$1:$BZ$1001,307,N$2)&amp;""),""))</f>
        <v/>
      </c>
      <c r="O308">
        <f>IF(O$2=0,"",IFERROR(TRIM(INDEX('Pegar docentes'!$A$1:$BZ$1001,307,O$2)&amp;""),""))</f>
        <v/>
      </c>
      <c r="P308">
        <f>IF(P$2=0,"",IFERROR(TRIM(INDEX('Pegar docentes'!$A$1:$BZ$1001,307,P$2)&amp;""),""))</f>
        <v/>
      </c>
      <c r="Q308" s="25">
        <f>IF(OR(D308&lt;&gt;"",H308&lt;&gt;""),1,"")</f>
        <v/>
      </c>
      <c r="R308" s="25">
        <f>IF(Q308=1,IF(ISNUMBER(FIND("#"&amp;MID(D308,1,1)&amp;"#","#0#1#2#3#4#5#6#7#8#9#")),IF(ISNUMBER(FIND("#"&amp;MID(D308,2,1)&amp;"#","#0#1#2#3#4#5#6#7#8#9#")),IF(AND(VALUE(LEFT(D308,2))&gt;=1,VALUE(LEFT(D308,2))&lt;=5),VALUE(LEFT(D308,2)),""),IF(AND(VALUE(LEFT(D308,1))&gt;=1,VALUE(LEFT(D308,1))&lt;=5),VALUE(LEFT(D308,1)),"")),""),"")</f>
        <v/>
      </c>
      <c r="S308" s="25">
        <f>IF(AND(Q308=1,E308&lt;&gt;""),SUBSTITUTE(SUBSTITUTE(SUBSTITUTE(SUBSTITUTE(SUBSTITUTE(SUBSTITUTE(SUBSTITUTE(SUBSTITUTE(SUBSTITUTE(SUBSTITUTE(SUBSTITUTE(SUBSTITUTE(LOWER(TRIM(E308)),"á","a"),"é","e"),"í","i"),"ó","o"),"ú","u"),"ü","u"),"ñ","n"),"à","a"),"è","e"),"ì","i"),"ò","o"),"ù","u"),"")</f>
        <v/>
      </c>
      <c r="T308" s="25">
        <f>IF(AND(Q308=1,G308&lt;&gt;""),SUBSTITUTE(SUBSTITUTE(SUBSTITUTE(SUBSTITUTE(SUBSTITUTE(SUBSTITUTE(SUBSTITUTE(SUBSTITUTE(SUBSTITUTE(SUBSTITUTE(SUBSTITUTE(SUBSTITUTE(LOWER(TRIM(G308)),"á","a"),"é","e"),"í","i"),"ó","o"),"ú","u"),"ü","u"),"ñ","n"),"à","a"),"è","e"),"ì","i"),"ò","o"),"ù","u"),"")</f>
        <v/>
      </c>
      <c r="U308" s="25">
        <f>IF(AND(Q308=1,H308&lt;&gt;""),SUBSTITUTE(SUBSTITUTE(SUBSTITUTE(SUBSTITUTE(SUBSTITUTE(SUBSTITUTE(SUBSTITUTE(SUBSTITUTE(SUBSTITUTE(SUBSTITUTE(SUBSTITUTE(SUBSTITUTE(LOWER(TRIM(H308)),"á","a"),"é","e"),"í","i"),"ó","o"),"ú","u"),"ü","u"),"ñ","n"),"à","a"),"è","e"),"ì","i"),"ò","o"),"ù","u"),"")</f>
        <v/>
      </c>
      <c r="V308" s="25">
        <f>IF(AND(Q308=1,L308&lt;&gt;""),SUBSTITUTE(SUBSTITUTE(SUBSTITUTE(SUBSTITUTE(SUBSTITUTE(SUBSTITUTE(SUBSTITUTE(SUBSTITUTE(SUBSTITUTE(SUBSTITUTE(SUBSTITUTE(SUBSTITUTE(LOWER(TRIM(L308)),"á","a"),"é","e"),"í","i"),"ó","o"),"ú","u"),"ü","u"),"ñ","n"),"à","a"),"è","e"),"ì","i"),"ò","o"),"ù","u"),"")</f>
        <v/>
      </c>
      <c r="W308" s="25">
        <f>IF(AND(Q308=1,I308&lt;&gt;""),SUBSTITUTE(SUBSTITUTE(SUBSTITUTE(SUBSTITUTE(SUBSTITUTE(SUBSTITUTE(SUBSTITUTE(SUBSTITUTE(SUBSTITUTE(SUBSTITUTE(SUBSTITUTE(SUBSTITUTE(LOWER(TRIM(I308)),"á","a"),"é","e"),"í","i"),"ó","o"),"ú","u"),"ü","u"),"ñ","n"),"à","a"),"è","e"),"ì","i"),"ò","o"),"ù","u"),"")</f>
        <v/>
      </c>
      <c r="X308" s="25">
        <f>IF(U308="","",IF(OR(U308="si, en la proxima tarea",U308="si, con cambios"),1,0))</f>
        <v/>
      </c>
      <c r="Y308" s="25">
        <f>IF(AND(Q308=1,A308&lt;&gt;""),IF(IFERROR(COUNTIFS(A$3:A308,"="&amp;SUBSTITUTE(SUBSTITUTE(SUBSTITUTE(A308,"~","~~"),"*","~*"),"?","~?"),Q$3:Q308,1),0)=1,MAX(Y$2:Y307)+1,""),"")</f>
        <v/>
      </c>
      <c r="Z308" s="25">
        <f>IF(Y308="","",COUNTIFS($A$3:$A$1002,"="&amp;SUBSTITUTE(SUBSTITUTE(SUBSTITUTE(A308,"~","~~"),"*","~*"),"?","~?"),$Q$3:$Q$1002,1)*10000-Y308)</f>
        <v/>
      </c>
    </row>
    <row r="309">
      <c r="A309">
        <f>IF(A$2=0,"",IFERROR(TRIM(INDEX('Pegar docentes'!$A$1:$BZ$1001,308,A$2)&amp;""),""))</f>
        <v/>
      </c>
      <c r="B309">
        <f>IF(B$2=0,"",IFERROR(TRIM(INDEX('Pegar docentes'!$A$1:$BZ$1001,308,B$2)&amp;""),""))</f>
        <v/>
      </c>
      <c r="C309">
        <f>IF(C$2=0,"",IFERROR(TRIM(INDEX('Pegar docentes'!$A$1:$BZ$1001,308,C$2)&amp;""),""))</f>
        <v/>
      </c>
      <c r="D309">
        <f>IF(D$2=0,"",IFERROR(TRIM(INDEX('Pegar docentes'!$A$1:$BZ$1001,308,D$2)&amp;""),""))</f>
        <v/>
      </c>
      <c r="E309">
        <f>IF(E$2=0,"",IFERROR(TRIM(INDEX('Pegar docentes'!$A$1:$BZ$1001,308,E$2)&amp;""),""))</f>
        <v/>
      </c>
      <c r="F309">
        <f>IF(F$2=0,"",IFERROR(TRIM(INDEX('Pegar docentes'!$A$1:$BZ$1001,308,F$2)&amp;""),""))</f>
        <v/>
      </c>
      <c r="G309">
        <f>IF(G$2=0,"",IFERROR(TRIM(INDEX('Pegar docentes'!$A$1:$BZ$1001,308,G$2)&amp;""),""))</f>
        <v/>
      </c>
      <c r="H309">
        <f>IF(H$2=0,"",IFERROR(TRIM(INDEX('Pegar docentes'!$A$1:$BZ$1001,308,H$2)&amp;""),""))</f>
        <v/>
      </c>
      <c r="I309">
        <f>IF(I$2=0,"",IFERROR(TRIM(INDEX('Pegar docentes'!$A$1:$BZ$1001,308,I$2)&amp;""),""))</f>
        <v/>
      </c>
      <c r="J309">
        <f>IF(J$2=0,"",IFERROR(TRIM(INDEX('Pegar docentes'!$A$1:$BZ$1001,308,J$2)&amp;""),""))</f>
        <v/>
      </c>
      <c r="K309">
        <f>IF(K$2=0,"",IFERROR(TRIM(INDEX('Pegar docentes'!$A$1:$BZ$1001,308,K$2)&amp;""),""))</f>
        <v/>
      </c>
      <c r="L309">
        <f>IF(L$2=0,"",IFERROR(TRIM(INDEX('Pegar docentes'!$A$1:$BZ$1001,308,L$2)&amp;""),""))</f>
        <v/>
      </c>
      <c r="M309">
        <f>IF(M$2=0,"",IFERROR(TRIM(INDEX('Pegar docentes'!$A$1:$BZ$1001,308,M$2)&amp;""),""))</f>
        <v/>
      </c>
      <c r="N309">
        <f>IF(N$2=0,"",IFERROR(TRIM(INDEX('Pegar docentes'!$A$1:$BZ$1001,308,N$2)&amp;""),""))</f>
        <v/>
      </c>
      <c r="O309">
        <f>IF(O$2=0,"",IFERROR(TRIM(INDEX('Pegar docentes'!$A$1:$BZ$1001,308,O$2)&amp;""),""))</f>
        <v/>
      </c>
      <c r="P309">
        <f>IF(P$2=0,"",IFERROR(TRIM(INDEX('Pegar docentes'!$A$1:$BZ$1001,308,P$2)&amp;""),""))</f>
        <v/>
      </c>
      <c r="Q309" s="25">
        <f>IF(OR(D309&lt;&gt;"",H309&lt;&gt;""),1,"")</f>
        <v/>
      </c>
      <c r="R309" s="25">
        <f>IF(Q309=1,IF(ISNUMBER(FIND("#"&amp;MID(D309,1,1)&amp;"#","#0#1#2#3#4#5#6#7#8#9#")),IF(ISNUMBER(FIND("#"&amp;MID(D309,2,1)&amp;"#","#0#1#2#3#4#5#6#7#8#9#")),IF(AND(VALUE(LEFT(D309,2))&gt;=1,VALUE(LEFT(D309,2))&lt;=5),VALUE(LEFT(D309,2)),""),IF(AND(VALUE(LEFT(D309,1))&gt;=1,VALUE(LEFT(D309,1))&lt;=5),VALUE(LEFT(D309,1)),"")),""),"")</f>
        <v/>
      </c>
      <c r="S309" s="25">
        <f>IF(AND(Q309=1,E309&lt;&gt;""),SUBSTITUTE(SUBSTITUTE(SUBSTITUTE(SUBSTITUTE(SUBSTITUTE(SUBSTITUTE(SUBSTITUTE(SUBSTITUTE(SUBSTITUTE(SUBSTITUTE(SUBSTITUTE(SUBSTITUTE(LOWER(TRIM(E309)),"á","a"),"é","e"),"í","i"),"ó","o"),"ú","u"),"ü","u"),"ñ","n"),"à","a"),"è","e"),"ì","i"),"ò","o"),"ù","u"),"")</f>
        <v/>
      </c>
      <c r="T309" s="25">
        <f>IF(AND(Q309=1,G309&lt;&gt;""),SUBSTITUTE(SUBSTITUTE(SUBSTITUTE(SUBSTITUTE(SUBSTITUTE(SUBSTITUTE(SUBSTITUTE(SUBSTITUTE(SUBSTITUTE(SUBSTITUTE(SUBSTITUTE(SUBSTITUTE(LOWER(TRIM(G309)),"á","a"),"é","e"),"í","i"),"ó","o"),"ú","u"),"ü","u"),"ñ","n"),"à","a"),"è","e"),"ì","i"),"ò","o"),"ù","u"),"")</f>
        <v/>
      </c>
      <c r="U309" s="25">
        <f>IF(AND(Q309=1,H309&lt;&gt;""),SUBSTITUTE(SUBSTITUTE(SUBSTITUTE(SUBSTITUTE(SUBSTITUTE(SUBSTITUTE(SUBSTITUTE(SUBSTITUTE(SUBSTITUTE(SUBSTITUTE(SUBSTITUTE(SUBSTITUTE(LOWER(TRIM(H309)),"á","a"),"é","e"),"í","i"),"ó","o"),"ú","u"),"ü","u"),"ñ","n"),"à","a"),"è","e"),"ì","i"),"ò","o"),"ù","u"),"")</f>
        <v/>
      </c>
      <c r="V309" s="25">
        <f>IF(AND(Q309=1,L309&lt;&gt;""),SUBSTITUTE(SUBSTITUTE(SUBSTITUTE(SUBSTITUTE(SUBSTITUTE(SUBSTITUTE(SUBSTITUTE(SUBSTITUTE(SUBSTITUTE(SUBSTITUTE(SUBSTITUTE(SUBSTITUTE(LOWER(TRIM(L309)),"á","a"),"é","e"),"í","i"),"ó","o"),"ú","u"),"ü","u"),"ñ","n"),"à","a"),"è","e"),"ì","i"),"ò","o"),"ù","u"),"")</f>
        <v/>
      </c>
      <c r="W309" s="25">
        <f>IF(AND(Q309=1,I309&lt;&gt;""),SUBSTITUTE(SUBSTITUTE(SUBSTITUTE(SUBSTITUTE(SUBSTITUTE(SUBSTITUTE(SUBSTITUTE(SUBSTITUTE(SUBSTITUTE(SUBSTITUTE(SUBSTITUTE(SUBSTITUTE(LOWER(TRIM(I309)),"á","a"),"é","e"),"í","i"),"ó","o"),"ú","u"),"ü","u"),"ñ","n"),"à","a"),"è","e"),"ì","i"),"ò","o"),"ù","u"),"")</f>
        <v/>
      </c>
      <c r="X309" s="25">
        <f>IF(U309="","",IF(OR(U309="si, en la proxima tarea",U309="si, con cambios"),1,0))</f>
        <v/>
      </c>
      <c r="Y309" s="25">
        <f>IF(AND(Q309=1,A309&lt;&gt;""),IF(IFERROR(COUNTIFS(A$3:A309,"="&amp;SUBSTITUTE(SUBSTITUTE(SUBSTITUTE(A309,"~","~~"),"*","~*"),"?","~?"),Q$3:Q309,1),0)=1,MAX(Y$2:Y308)+1,""),"")</f>
        <v/>
      </c>
      <c r="Z309" s="25">
        <f>IF(Y309="","",COUNTIFS($A$3:$A$1002,"="&amp;SUBSTITUTE(SUBSTITUTE(SUBSTITUTE(A309,"~","~~"),"*","~*"),"?","~?"),$Q$3:$Q$1002,1)*10000-Y309)</f>
        <v/>
      </c>
    </row>
    <row r="310">
      <c r="A310">
        <f>IF(A$2=0,"",IFERROR(TRIM(INDEX('Pegar docentes'!$A$1:$BZ$1001,309,A$2)&amp;""),""))</f>
        <v/>
      </c>
      <c r="B310">
        <f>IF(B$2=0,"",IFERROR(TRIM(INDEX('Pegar docentes'!$A$1:$BZ$1001,309,B$2)&amp;""),""))</f>
        <v/>
      </c>
      <c r="C310">
        <f>IF(C$2=0,"",IFERROR(TRIM(INDEX('Pegar docentes'!$A$1:$BZ$1001,309,C$2)&amp;""),""))</f>
        <v/>
      </c>
      <c r="D310">
        <f>IF(D$2=0,"",IFERROR(TRIM(INDEX('Pegar docentes'!$A$1:$BZ$1001,309,D$2)&amp;""),""))</f>
        <v/>
      </c>
      <c r="E310">
        <f>IF(E$2=0,"",IFERROR(TRIM(INDEX('Pegar docentes'!$A$1:$BZ$1001,309,E$2)&amp;""),""))</f>
        <v/>
      </c>
      <c r="F310">
        <f>IF(F$2=0,"",IFERROR(TRIM(INDEX('Pegar docentes'!$A$1:$BZ$1001,309,F$2)&amp;""),""))</f>
        <v/>
      </c>
      <c r="G310">
        <f>IF(G$2=0,"",IFERROR(TRIM(INDEX('Pegar docentes'!$A$1:$BZ$1001,309,G$2)&amp;""),""))</f>
        <v/>
      </c>
      <c r="H310">
        <f>IF(H$2=0,"",IFERROR(TRIM(INDEX('Pegar docentes'!$A$1:$BZ$1001,309,H$2)&amp;""),""))</f>
        <v/>
      </c>
      <c r="I310">
        <f>IF(I$2=0,"",IFERROR(TRIM(INDEX('Pegar docentes'!$A$1:$BZ$1001,309,I$2)&amp;""),""))</f>
        <v/>
      </c>
      <c r="J310">
        <f>IF(J$2=0,"",IFERROR(TRIM(INDEX('Pegar docentes'!$A$1:$BZ$1001,309,J$2)&amp;""),""))</f>
        <v/>
      </c>
      <c r="K310">
        <f>IF(K$2=0,"",IFERROR(TRIM(INDEX('Pegar docentes'!$A$1:$BZ$1001,309,K$2)&amp;""),""))</f>
        <v/>
      </c>
      <c r="L310">
        <f>IF(L$2=0,"",IFERROR(TRIM(INDEX('Pegar docentes'!$A$1:$BZ$1001,309,L$2)&amp;""),""))</f>
        <v/>
      </c>
      <c r="M310">
        <f>IF(M$2=0,"",IFERROR(TRIM(INDEX('Pegar docentes'!$A$1:$BZ$1001,309,M$2)&amp;""),""))</f>
        <v/>
      </c>
      <c r="N310">
        <f>IF(N$2=0,"",IFERROR(TRIM(INDEX('Pegar docentes'!$A$1:$BZ$1001,309,N$2)&amp;""),""))</f>
        <v/>
      </c>
      <c r="O310">
        <f>IF(O$2=0,"",IFERROR(TRIM(INDEX('Pegar docentes'!$A$1:$BZ$1001,309,O$2)&amp;""),""))</f>
        <v/>
      </c>
      <c r="P310">
        <f>IF(P$2=0,"",IFERROR(TRIM(INDEX('Pegar docentes'!$A$1:$BZ$1001,309,P$2)&amp;""),""))</f>
        <v/>
      </c>
      <c r="Q310" s="25">
        <f>IF(OR(D310&lt;&gt;"",H310&lt;&gt;""),1,"")</f>
        <v/>
      </c>
      <c r="R310" s="25">
        <f>IF(Q310=1,IF(ISNUMBER(FIND("#"&amp;MID(D310,1,1)&amp;"#","#0#1#2#3#4#5#6#7#8#9#")),IF(ISNUMBER(FIND("#"&amp;MID(D310,2,1)&amp;"#","#0#1#2#3#4#5#6#7#8#9#")),IF(AND(VALUE(LEFT(D310,2))&gt;=1,VALUE(LEFT(D310,2))&lt;=5),VALUE(LEFT(D310,2)),""),IF(AND(VALUE(LEFT(D310,1))&gt;=1,VALUE(LEFT(D310,1))&lt;=5),VALUE(LEFT(D310,1)),"")),""),"")</f>
        <v/>
      </c>
      <c r="S310" s="25">
        <f>IF(AND(Q310=1,E310&lt;&gt;""),SUBSTITUTE(SUBSTITUTE(SUBSTITUTE(SUBSTITUTE(SUBSTITUTE(SUBSTITUTE(SUBSTITUTE(SUBSTITUTE(SUBSTITUTE(SUBSTITUTE(SUBSTITUTE(SUBSTITUTE(LOWER(TRIM(E310)),"á","a"),"é","e"),"í","i"),"ó","o"),"ú","u"),"ü","u"),"ñ","n"),"à","a"),"è","e"),"ì","i"),"ò","o"),"ù","u"),"")</f>
        <v/>
      </c>
      <c r="T310" s="25">
        <f>IF(AND(Q310=1,G310&lt;&gt;""),SUBSTITUTE(SUBSTITUTE(SUBSTITUTE(SUBSTITUTE(SUBSTITUTE(SUBSTITUTE(SUBSTITUTE(SUBSTITUTE(SUBSTITUTE(SUBSTITUTE(SUBSTITUTE(SUBSTITUTE(LOWER(TRIM(G310)),"á","a"),"é","e"),"í","i"),"ó","o"),"ú","u"),"ü","u"),"ñ","n"),"à","a"),"è","e"),"ì","i"),"ò","o"),"ù","u"),"")</f>
        <v/>
      </c>
      <c r="U310" s="25">
        <f>IF(AND(Q310=1,H310&lt;&gt;""),SUBSTITUTE(SUBSTITUTE(SUBSTITUTE(SUBSTITUTE(SUBSTITUTE(SUBSTITUTE(SUBSTITUTE(SUBSTITUTE(SUBSTITUTE(SUBSTITUTE(SUBSTITUTE(SUBSTITUTE(LOWER(TRIM(H310)),"á","a"),"é","e"),"í","i"),"ó","o"),"ú","u"),"ü","u"),"ñ","n"),"à","a"),"è","e"),"ì","i"),"ò","o"),"ù","u"),"")</f>
        <v/>
      </c>
      <c r="V310" s="25">
        <f>IF(AND(Q310=1,L310&lt;&gt;""),SUBSTITUTE(SUBSTITUTE(SUBSTITUTE(SUBSTITUTE(SUBSTITUTE(SUBSTITUTE(SUBSTITUTE(SUBSTITUTE(SUBSTITUTE(SUBSTITUTE(SUBSTITUTE(SUBSTITUTE(LOWER(TRIM(L310)),"á","a"),"é","e"),"í","i"),"ó","o"),"ú","u"),"ü","u"),"ñ","n"),"à","a"),"è","e"),"ì","i"),"ò","o"),"ù","u"),"")</f>
        <v/>
      </c>
      <c r="W310" s="25">
        <f>IF(AND(Q310=1,I310&lt;&gt;""),SUBSTITUTE(SUBSTITUTE(SUBSTITUTE(SUBSTITUTE(SUBSTITUTE(SUBSTITUTE(SUBSTITUTE(SUBSTITUTE(SUBSTITUTE(SUBSTITUTE(SUBSTITUTE(SUBSTITUTE(LOWER(TRIM(I310)),"á","a"),"é","e"),"í","i"),"ó","o"),"ú","u"),"ü","u"),"ñ","n"),"à","a"),"è","e"),"ì","i"),"ò","o"),"ù","u"),"")</f>
        <v/>
      </c>
      <c r="X310" s="25">
        <f>IF(U310="","",IF(OR(U310="si, en la proxima tarea",U310="si, con cambios"),1,0))</f>
        <v/>
      </c>
      <c r="Y310" s="25">
        <f>IF(AND(Q310=1,A310&lt;&gt;""),IF(IFERROR(COUNTIFS(A$3:A310,"="&amp;SUBSTITUTE(SUBSTITUTE(SUBSTITUTE(A310,"~","~~"),"*","~*"),"?","~?"),Q$3:Q310,1),0)=1,MAX(Y$2:Y309)+1,""),"")</f>
        <v/>
      </c>
      <c r="Z310" s="25">
        <f>IF(Y310="","",COUNTIFS($A$3:$A$1002,"="&amp;SUBSTITUTE(SUBSTITUTE(SUBSTITUTE(A310,"~","~~"),"*","~*"),"?","~?"),$Q$3:$Q$1002,1)*10000-Y310)</f>
        <v/>
      </c>
    </row>
    <row r="311">
      <c r="A311">
        <f>IF(A$2=0,"",IFERROR(TRIM(INDEX('Pegar docentes'!$A$1:$BZ$1001,310,A$2)&amp;""),""))</f>
        <v/>
      </c>
      <c r="B311">
        <f>IF(B$2=0,"",IFERROR(TRIM(INDEX('Pegar docentes'!$A$1:$BZ$1001,310,B$2)&amp;""),""))</f>
        <v/>
      </c>
      <c r="C311">
        <f>IF(C$2=0,"",IFERROR(TRIM(INDEX('Pegar docentes'!$A$1:$BZ$1001,310,C$2)&amp;""),""))</f>
        <v/>
      </c>
      <c r="D311">
        <f>IF(D$2=0,"",IFERROR(TRIM(INDEX('Pegar docentes'!$A$1:$BZ$1001,310,D$2)&amp;""),""))</f>
        <v/>
      </c>
      <c r="E311">
        <f>IF(E$2=0,"",IFERROR(TRIM(INDEX('Pegar docentes'!$A$1:$BZ$1001,310,E$2)&amp;""),""))</f>
        <v/>
      </c>
      <c r="F311">
        <f>IF(F$2=0,"",IFERROR(TRIM(INDEX('Pegar docentes'!$A$1:$BZ$1001,310,F$2)&amp;""),""))</f>
        <v/>
      </c>
      <c r="G311">
        <f>IF(G$2=0,"",IFERROR(TRIM(INDEX('Pegar docentes'!$A$1:$BZ$1001,310,G$2)&amp;""),""))</f>
        <v/>
      </c>
      <c r="H311">
        <f>IF(H$2=0,"",IFERROR(TRIM(INDEX('Pegar docentes'!$A$1:$BZ$1001,310,H$2)&amp;""),""))</f>
        <v/>
      </c>
      <c r="I311">
        <f>IF(I$2=0,"",IFERROR(TRIM(INDEX('Pegar docentes'!$A$1:$BZ$1001,310,I$2)&amp;""),""))</f>
        <v/>
      </c>
      <c r="J311">
        <f>IF(J$2=0,"",IFERROR(TRIM(INDEX('Pegar docentes'!$A$1:$BZ$1001,310,J$2)&amp;""),""))</f>
        <v/>
      </c>
      <c r="K311">
        <f>IF(K$2=0,"",IFERROR(TRIM(INDEX('Pegar docentes'!$A$1:$BZ$1001,310,K$2)&amp;""),""))</f>
        <v/>
      </c>
      <c r="L311">
        <f>IF(L$2=0,"",IFERROR(TRIM(INDEX('Pegar docentes'!$A$1:$BZ$1001,310,L$2)&amp;""),""))</f>
        <v/>
      </c>
      <c r="M311">
        <f>IF(M$2=0,"",IFERROR(TRIM(INDEX('Pegar docentes'!$A$1:$BZ$1001,310,M$2)&amp;""),""))</f>
        <v/>
      </c>
      <c r="N311">
        <f>IF(N$2=0,"",IFERROR(TRIM(INDEX('Pegar docentes'!$A$1:$BZ$1001,310,N$2)&amp;""),""))</f>
        <v/>
      </c>
      <c r="O311">
        <f>IF(O$2=0,"",IFERROR(TRIM(INDEX('Pegar docentes'!$A$1:$BZ$1001,310,O$2)&amp;""),""))</f>
        <v/>
      </c>
      <c r="P311">
        <f>IF(P$2=0,"",IFERROR(TRIM(INDEX('Pegar docentes'!$A$1:$BZ$1001,310,P$2)&amp;""),""))</f>
        <v/>
      </c>
      <c r="Q311" s="25">
        <f>IF(OR(D311&lt;&gt;"",H311&lt;&gt;""),1,"")</f>
        <v/>
      </c>
      <c r="R311" s="25">
        <f>IF(Q311=1,IF(ISNUMBER(FIND("#"&amp;MID(D311,1,1)&amp;"#","#0#1#2#3#4#5#6#7#8#9#")),IF(ISNUMBER(FIND("#"&amp;MID(D311,2,1)&amp;"#","#0#1#2#3#4#5#6#7#8#9#")),IF(AND(VALUE(LEFT(D311,2))&gt;=1,VALUE(LEFT(D311,2))&lt;=5),VALUE(LEFT(D311,2)),""),IF(AND(VALUE(LEFT(D311,1))&gt;=1,VALUE(LEFT(D311,1))&lt;=5),VALUE(LEFT(D311,1)),"")),""),"")</f>
        <v/>
      </c>
      <c r="S311" s="25">
        <f>IF(AND(Q311=1,E311&lt;&gt;""),SUBSTITUTE(SUBSTITUTE(SUBSTITUTE(SUBSTITUTE(SUBSTITUTE(SUBSTITUTE(SUBSTITUTE(SUBSTITUTE(SUBSTITUTE(SUBSTITUTE(SUBSTITUTE(SUBSTITUTE(LOWER(TRIM(E311)),"á","a"),"é","e"),"í","i"),"ó","o"),"ú","u"),"ü","u"),"ñ","n"),"à","a"),"è","e"),"ì","i"),"ò","o"),"ù","u"),"")</f>
        <v/>
      </c>
      <c r="T311" s="25">
        <f>IF(AND(Q311=1,G311&lt;&gt;""),SUBSTITUTE(SUBSTITUTE(SUBSTITUTE(SUBSTITUTE(SUBSTITUTE(SUBSTITUTE(SUBSTITUTE(SUBSTITUTE(SUBSTITUTE(SUBSTITUTE(SUBSTITUTE(SUBSTITUTE(LOWER(TRIM(G311)),"á","a"),"é","e"),"í","i"),"ó","o"),"ú","u"),"ü","u"),"ñ","n"),"à","a"),"è","e"),"ì","i"),"ò","o"),"ù","u"),"")</f>
        <v/>
      </c>
      <c r="U311" s="25">
        <f>IF(AND(Q311=1,H311&lt;&gt;""),SUBSTITUTE(SUBSTITUTE(SUBSTITUTE(SUBSTITUTE(SUBSTITUTE(SUBSTITUTE(SUBSTITUTE(SUBSTITUTE(SUBSTITUTE(SUBSTITUTE(SUBSTITUTE(SUBSTITUTE(LOWER(TRIM(H311)),"á","a"),"é","e"),"í","i"),"ó","o"),"ú","u"),"ü","u"),"ñ","n"),"à","a"),"è","e"),"ì","i"),"ò","o"),"ù","u"),"")</f>
        <v/>
      </c>
      <c r="V311" s="25">
        <f>IF(AND(Q311=1,L311&lt;&gt;""),SUBSTITUTE(SUBSTITUTE(SUBSTITUTE(SUBSTITUTE(SUBSTITUTE(SUBSTITUTE(SUBSTITUTE(SUBSTITUTE(SUBSTITUTE(SUBSTITUTE(SUBSTITUTE(SUBSTITUTE(LOWER(TRIM(L311)),"á","a"),"é","e"),"í","i"),"ó","o"),"ú","u"),"ü","u"),"ñ","n"),"à","a"),"è","e"),"ì","i"),"ò","o"),"ù","u"),"")</f>
        <v/>
      </c>
      <c r="W311" s="25">
        <f>IF(AND(Q311=1,I311&lt;&gt;""),SUBSTITUTE(SUBSTITUTE(SUBSTITUTE(SUBSTITUTE(SUBSTITUTE(SUBSTITUTE(SUBSTITUTE(SUBSTITUTE(SUBSTITUTE(SUBSTITUTE(SUBSTITUTE(SUBSTITUTE(LOWER(TRIM(I311)),"á","a"),"é","e"),"í","i"),"ó","o"),"ú","u"),"ü","u"),"ñ","n"),"à","a"),"è","e"),"ì","i"),"ò","o"),"ù","u"),"")</f>
        <v/>
      </c>
      <c r="X311" s="25">
        <f>IF(U311="","",IF(OR(U311="si, en la proxima tarea",U311="si, con cambios"),1,0))</f>
        <v/>
      </c>
      <c r="Y311" s="25">
        <f>IF(AND(Q311=1,A311&lt;&gt;""),IF(IFERROR(COUNTIFS(A$3:A311,"="&amp;SUBSTITUTE(SUBSTITUTE(SUBSTITUTE(A311,"~","~~"),"*","~*"),"?","~?"),Q$3:Q311,1),0)=1,MAX(Y$2:Y310)+1,""),"")</f>
        <v/>
      </c>
      <c r="Z311" s="25">
        <f>IF(Y311="","",COUNTIFS($A$3:$A$1002,"="&amp;SUBSTITUTE(SUBSTITUTE(SUBSTITUTE(A311,"~","~~"),"*","~*"),"?","~?"),$Q$3:$Q$1002,1)*10000-Y311)</f>
        <v/>
      </c>
    </row>
    <row r="312">
      <c r="A312">
        <f>IF(A$2=0,"",IFERROR(TRIM(INDEX('Pegar docentes'!$A$1:$BZ$1001,311,A$2)&amp;""),""))</f>
        <v/>
      </c>
      <c r="B312">
        <f>IF(B$2=0,"",IFERROR(TRIM(INDEX('Pegar docentes'!$A$1:$BZ$1001,311,B$2)&amp;""),""))</f>
        <v/>
      </c>
      <c r="C312">
        <f>IF(C$2=0,"",IFERROR(TRIM(INDEX('Pegar docentes'!$A$1:$BZ$1001,311,C$2)&amp;""),""))</f>
        <v/>
      </c>
      <c r="D312">
        <f>IF(D$2=0,"",IFERROR(TRIM(INDEX('Pegar docentes'!$A$1:$BZ$1001,311,D$2)&amp;""),""))</f>
        <v/>
      </c>
      <c r="E312">
        <f>IF(E$2=0,"",IFERROR(TRIM(INDEX('Pegar docentes'!$A$1:$BZ$1001,311,E$2)&amp;""),""))</f>
        <v/>
      </c>
      <c r="F312">
        <f>IF(F$2=0,"",IFERROR(TRIM(INDEX('Pegar docentes'!$A$1:$BZ$1001,311,F$2)&amp;""),""))</f>
        <v/>
      </c>
      <c r="G312">
        <f>IF(G$2=0,"",IFERROR(TRIM(INDEX('Pegar docentes'!$A$1:$BZ$1001,311,G$2)&amp;""),""))</f>
        <v/>
      </c>
      <c r="H312">
        <f>IF(H$2=0,"",IFERROR(TRIM(INDEX('Pegar docentes'!$A$1:$BZ$1001,311,H$2)&amp;""),""))</f>
        <v/>
      </c>
      <c r="I312">
        <f>IF(I$2=0,"",IFERROR(TRIM(INDEX('Pegar docentes'!$A$1:$BZ$1001,311,I$2)&amp;""),""))</f>
        <v/>
      </c>
      <c r="J312">
        <f>IF(J$2=0,"",IFERROR(TRIM(INDEX('Pegar docentes'!$A$1:$BZ$1001,311,J$2)&amp;""),""))</f>
        <v/>
      </c>
      <c r="K312">
        <f>IF(K$2=0,"",IFERROR(TRIM(INDEX('Pegar docentes'!$A$1:$BZ$1001,311,K$2)&amp;""),""))</f>
        <v/>
      </c>
      <c r="L312">
        <f>IF(L$2=0,"",IFERROR(TRIM(INDEX('Pegar docentes'!$A$1:$BZ$1001,311,L$2)&amp;""),""))</f>
        <v/>
      </c>
      <c r="M312">
        <f>IF(M$2=0,"",IFERROR(TRIM(INDEX('Pegar docentes'!$A$1:$BZ$1001,311,M$2)&amp;""),""))</f>
        <v/>
      </c>
      <c r="N312">
        <f>IF(N$2=0,"",IFERROR(TRIM(INDEX('Pegar docentes'!$A$1:$BZ$1001,311,N$2)&amp;""),""))</f>
        <v/>
      </c>
      <c r="O312">
        <f>IF(O$2=0,"",IFERROR(TRIM(INDEX('Pegar docentes'!$A$1:$BZ$1001,311,O$2)&amp;""),""))</f>
        <v/>
      </c>
      <c r="P312">
        <f>IF(P$2=0,"",IFERROR(TRIM(INDEX('Pegar docentes'!$A$1:$BZ$1001,311,P$2)&amp;""),""))</f>
        <v/>
      </c>
      <c r="Q312" s="25">
        <f>IF(OR(D312&lt;&gt;"",H312&lt;&gt;""),1,"")</f>
        <v/>
      </c>
      <c r="R312" s="25">
        <f>IF(Q312=1,IF(ISNUMBER(FIND("#"&amp;MID(D312,1,1)&amp;"#","#0#1#2#3#4#5#6#7#8#9#")),IF(ISNUMBER(FIND("#"&amp;MID(D312,2,1)&amp;"#","#0#1#2#3#4#5#6#7#8#9#")),IF(AND(VALUE(LEFT(D312,2))&gt;=1,VALUE(LEFT(D312,2))&lt;=5),VALUE(LEFT(D312,2)),""),IF(AND(VALUE(LEFT(D312,1))&gt;=1,VALUE(LEFT(D312,1))&lt;=5),VALUE(LEFT(D312,1)),"")),""),"")</f>
        <v/>
      </c>
      <c r="S312" s="25">
        <f>IF(AND(Q312=1,E312&lt;&gt;""),SUBSTITUTE(SUBSTITUTE(SUBSTITUTE(SUBSTITUTE(SUBSTITUTE(SUBSTITUTE(SUBSTITUTE(SUBSTITUTE(SUBSTITUTE(SUBSTITUTE(SUBSTITUTE(SUBSTITUTE(LOWER(TRIM(E312)),"á","a"),"é","e"),"í","i"),"ó","o"),"ú","u"),"ü","u"),"ñ","n"),"à","a"),"è","e"),"ì","i"),"ò","o"),"ù","u"),"")</f>
        <v/>
      </c>
      <c r="T312" s="25">
        <f>IF(AND(Q312=1,G312&lt;&gt;""),SUBSTITUTE(SUBSTITUTE(SUBSTITUTE(SUBSTITUTE(SUBSTITUTE(SUBSTITUTE(SUBSTITUTE(SUBSTITUTE(SUBSTITUTE(SUBSTITUTE(SUBSTITUTE(SUBSTITUTE(LOWER(TRIM(G312)),"á","a"),"é","e"),"í","i"),"ó","o"),"ú","u"),"ü","u"),"ñ","n"),"à","a"),"è","e"),"ì","i"),"ò","o"),"ù","u"),"")</f>
        <v/>
      </c>
      <c r="U312" s="25">
        <f>IF(AND(Q312=1,H312&lt;&gt;""),SUBSTITUTE(SUBSTITUTE(SUBSTITUTE(SUBSTITUTE(SUBSTITUTE(SUBSTITUTE(SUBSTITUTE(SUBSTITUTE(SUBSTITUTE(SUBSTITUTE(SUBSTITUTE(SUBSTITUTE(LOWER(TRIM(H312)),"á","a"),"é","e"),"í","i"),"ó","o"),"ú","u"),"ü","u"),"ñ","n"),"à","a"),"è","e"),"ì","i"),"ò","o"),"ù","u"),"")</f>
        <v/>
      </c>
      <c r="V312" s="25">
        <f>IF(AND(Q312=1,L312&lt;&gt;""),SUBSTITUTE(SUBSTITUTE(SUBSTITUTE(SUBSTITUTE(SUBSTITUTE(SUBSTITUTE(SUBSTITUTE(SUBSTITUTE(SUBSTITUTE(SUBSTITUTE(SUBSTITUTE(SUBSTITUTE(LOWER(TRIM(L312)),"á","a"),"é","e"),"í","i"),"ó","o"),"ú","u"),"ü","u"),"ñ","n"),"à","a"),"è","e"),"ì","i"),"ò","o"),"ù","u"),"")</f>
        <v/>
      </c>
      <c r="W312" s="25">
        <f>IF(AND(Q312=1,I312&lt;&gt;""),SUBSTITUTE(SUBSTITUTE(SUBSTITUTE(SUBSTITUTE(SUBSTITUTE(SUBSTITUTE(SUBSTITUTE(SUBSTITUTE(SUBSTITUTE(SUBSTITUTE(SUBSTITUTE(SUBSTITUTE(LOWER(TRIM(I312)),"á","a"),"é","e"),"í","i"),"ó","o"),"ú","u"),"ü","u"),"ñ","n"),"à","a"),"è","e"),"ì","i"),"ò","o"),"ù","u"),"")</f>
        <v/>
      </c>
      <c r="X312" s="25">
        <f>IF(U312="","",IF(OR(U312="si, en la proxima tarea",U312="si, con cambios"),1,0))</f>
        <v/>
      </c>
      <c r="Y312" s="25">
        <f>IF(AND(Q312=1,A312&lt;&gt;""),IF(IFERROR(COUNTIFS(A$3:A312,"="&amp;SUBSTITUTE(SUBSTITUTE(SUBSTITUTE(A312,"~","~~"),"*","~*"),"?","~?"),Q$3:Q312,1),0)=1,MAX(Y$2:Y311)+1,""),"")</f>
        <v/>
      </c>
      <c r="Z312" s="25">
        <f>IF(Y312="","",COUNTIFS($A$3:$A$1002,"="&amp;SUBSTITUTE(SUBSTITUTE(SUBSTITUTE(A312,"~","~~"),"*","~*"),"?","~?"),$Q$3:$Q$1002,1)*10000-Y312)</f>
        <v/>
      </c>
    </row>
    <row r="313">
      <c r="A313">
        <f>IF(A$2=0,"",IFERROR(TRIM(INDEX('Pegar docentes'!$A$1:$BZ$1001,312,A$2)&amp;""),""))</f>
        <v/>
      </c>
      <c r="B313">
        <f>IF(B$2=0,"",IFERROR(TRIM(INDEX('Pegar docentes'!$A$1:$BZ$1001,312,B$2)&amp;""),""))</f>
        <v/>
      </c>
      <c r="C313">
        <f>IF(C$2=0,"",IFERROR(TRIM(INDEX('Pegar docentes'!$A$1:$BZ$1001,312,C$2)&amp;""),""))</f>
        <v/>
      </c>
      <c r="D313">
        <f>IF(D$2=0,"",IFERROR(TRIM(INDEX('Pegar docentes'!$A$1:$BZ$1001,312,D$2)&amp;""),""))</f>
        <v/>
      </c>
      <c r="E313">
        <f>IF(E$2=0,"",IFERROR(TRIM(INDEX('Pegar docentes'!$A$1:$BZ$1001,312,E$2)&amp;""),""))</f>
        <v/>
      </c>
      <c r="F313">
        <f>IF(F$2=0,"",IFERROR(TRIM(INDEX('Pegar docentes'!$A$1:$BZ$1001,312,F$2)&amp;""),""))</f>
        <v/>
      </c>
      <c r="G313">
        <f>IF(G$2=0,"",IFERROR(TRIM(INDEX('Pegar docentes'!$A$1:$BZ$1001,312,G$2)&amp;""),""))</f>
        <v/>
      </c>
      <c r="H313">
        <f>IF(H$2=0,"",IFERROR(TRIM(INDEX('Pegar docentes'!$A$1:$BZ$1001,312,H$2)&amp;""),""))</f>
        <v/>
      </c>
      <c r="I313">
        <f>IF(I$2=0,"",IFERROR(TRIM(INDEX('Pegar docentes'!$A$1:$BZ$1001,312,I$2)&amp;""),""))</f>
        <v/>
      </c>
      <c r="J313">
        <f>IF(J$2=0,"",IFERROR(TRIM(INDEX('Pegar docentes'!$A$1:$BZ$1001,312,J$2)&amp;""),""))</f>
        <v/>
      </c>
      <c r="K313">
        <f>IF(K$2=0,"",IFERROR(TRIM(INDEX('Pegar docentes'!$A$1:$BZ$1001,312,K$2)&amp;""),""))</f>
        <v/>
      </c>
      <c r="L313">
        <f>IF(L$2=0,"",IFERROR(TRIM(INDEX('Pegar docentes'!$A$1:$BZ$1001,312,L$2)&amp;""),""))</f>
        <v/>
      </c>
      <c r="M313">
        <f>IF(M$2=0,"",IFERROR(TRIM(INDEX('Pegar docentes'!$A$1:$BZ$1001,312,M$2)&amp;""),""))</f>
        <v/>
      </c>
      <c r="N313">
        <f>IF(N$2=0,"",IFERROR(TRIM(INDEX('Pegar docentes'!$A$1:$BZ$1001,312,N$2)&amp;""),""))</f>
        <v/>
      </c>
      <c r="O313">
        <f>IF(O$2=0,"",IFERROR(TRIM(INDEX('Pegar docentes'!$A$1:$BZ$1001,312,O$2)&amp;""),""))</f>
        <v/>
      </c>
      <c r="P313">
        <f>IF(P$2=0,"",IFERROR(TRIM(INDEX('Pegar docentes'!$A$1:$BZ$1001,312,P$2)&amp;""),""))</f>
        <v/>
      </c>
      <c r="Q313" s="25">
        <f>IF(OR(D313&lt;&gt;"",H313&lt;&gt;""),1,"")</f>
        <v/>
      </c>
      <c r="R313" s="25">
        <f>IF(Q313=1,IF(ISNUMBER(FIND("#"&amp;MID(D313,1,1)&amp;"#","#0#1#2#3#4#5#6#7#8#9#")),IF(ISNUMBER(FIND("#"&amp;MID(D313,2,1)&amp;"#","#0#1#2#3#4#5#6#7#8#9#")),IF(AND(VALUE(LEFT(D313,2))&gt;=1,VALUE(LEFT(D313,2))&lt;=5),VALUE(LEFT(D313,2)),""),IF(AND(VALUE(LEFT(D313,1))&gt;=1,VALUE(LEFT(D313,1))&lt;=5),VALUE(LEFT(D313,1)),"")),""),"")</f>
        <v/>
      </c>
      <c r="S313" s="25">
        <f>IF(AND(Q313=1,E313&lt;&gt;""),SUBSTITUTE(SUBSTITUTE(SUBSTITUTE(SUBSTITUTE(SUBSTITUTE(SUBSTITUTE(SUBSTITUTE(SUBSTITUTE(SUBSTITUTE(SUBSTITUTE(SUBSTITUTE(SUBSTITUTE(LOWER(TRIM(E313)),"á","a"),"é","e"),"í","i"),"ó","o"),"ú","u"),"ü","u"),"ñ","n"),"à","a"),"è","e"),"ì","i"),"ò","o"),"ù","u"),"")</f>
        <v/>
      </c>
      <c r="T313" s="25">
        <f>IF(AND(Q313=1,G313&lt;&gt;""),SUBSTITUTE(SUBSTITUTE(SUBSTITUTE(SUBSTITUTE(SUBSTITUTE(SUBSTITUTE(SUBSTITUTE(SUBSTITUTE(SUBSTITUTE(SUBSTITUTE(SUBSTITUTE(SUBSTITUTE(LOWER(TRIM(G313)),"á","a"),"é","e"),"í","i"),"ó","o"),"ú","u"),"ü","u"),"ñ","n"),"à","a"),"è","e"),"ì","i"),"ò","o"),"ù","u"),"")</f>
        <v/>
      </c>
      <c r="U313" s="25">
        <f>IF(AND(Q313=1,H313&lt;&gt;""),SUBSTITUTE(SUBSTITUTE(SUBSTITUTE(SUBSTITUTE(SUBSTITUTE(SUBSTITUTE(SUBSTITUTE(SUBSTITUTE(SUBSTITUTE(SUBSTITUTE(SUBSTITUTE(SUBSTITUTE(LOWER(TRIM(H313)),"á","a"),"é","e"),"í","i"),"ó","o"),"ú","u"),"ü","u"),"ñ","n"),"à","a"),"è","e"),"ì","i"),"ò","o"),"ù","u"),"")</f>
        <v/>
      </c>
      <c r="V313" s="25">
        <f>IF(AND(Q313=1,L313&lt;&gt;""),SUBSTITUTE(SUBSTITUTE(SUBSTITUTE(SUBSTITUTE(SUBSTITUTE(SUBSTITUTE(SUBSTITUTE(SUBSTITUTE(SUBSTITUTE(SUBSTITUTE(SUBSTITUTE(SUBSTITUTE(LOWER(TRIM(L313)),"á","a"),"é","e"),"í","i"),"ó","o"),"ú","u"),"ü","u"),"ñ","n"),"à","a"),"è","e"),"ì","i"),"ò","o"),"ù","u"),"")</f>
        <v/>
      </c>
      <c r="W313" s="25">
        <f>IF(AND(Q313=1,I313&lt;&gt;""),SUBSTITUTE(SUBSTITUTE(SUBSTITUTE(SUBSTITUTE(SUBSTITUTE(SUBSTITUTE(SUBSTITUTE(SUBSTITUTE(SUBSTITUTE(SUBSTITUTE(SUBSTITUTE(SUBSTITUTE(LOWER(TRIM(I313)),"á","a"),"é","e"),"í","i"),"ó","o"),"ú","u"),"ü","u"),"ñ","n"),"à","a"),"è","e"),"ì","i"),"ò","o"),"ù","u"),"")</f>
        <v/>
      </c>
      <c r="X313" s="25">
        <f>IF(U313="","",IF(OR(U313="si, en la proxima tarea",U313="si, con cambios"),1,0))</f>
        <v/>
      </c>
      <c r="Y313" s="25">
        <f>IF(AND(Q313=1,A313&lt;&gt;""),IF(IFERROR(COUNTIFS(A$3:A313,"="&amp;SUBSTITUTE(SUBSTITUTE(SUBSTITUTE(A313,"~","~~"),"*","~*"),"?","~?"),Q$3:Q313,1),0)=1,MAX(Y$2:Y312)+1,""),"")</f>
        <v/>
      </c>
      <c r="Z313" s="25">
        <f>IF(Y313="","",COUNTIFS($A$3:$A$1002,"="&amp;SUBSTITUTE(SUBSTITUTE(SUBSTITUTE(A313,"~","~~"),"*","~*"),"?","~?"),$Q$3:$Q$1002,1)*10000-Y313)</f>
        <v/>
      </c>
    </row>
    <row r="314">
      <c r="A314">
        <f>IF(A$2=0,"",IFERROR(TRIM(INDEX('Pegar docentes'!$A$1:$BZ$1001,313,A$2)&amp;""),""))</f>
        <v/>
      </c>
      <c r="B314">
        <f>IF(B$2=0,"",IFERROR(TRIM(INDEX('Pegar docentes'!$A$1:$BZ$1001,313,B$2)&amp;""),""))</f>
        <v/>
      </c>
      <c r="C314">
        <f>IF(C$2=0,"",IFERROR(TRIM(INDEX('Pegar docentes'!$A$1:$BZ$1001,313,C$2)&amp;""),""))</f>
        <v/>
      </c>
      <c r="D314">
        <f>IF(D$2=0,"",IFERROR(TRIM(INDEX('Pegar docentes'!$A$1:$BZ$1001,313,D$2)&amp;""),""))</f>
        <v/>
      </c>
      <c r="E314">
        <f>IF(E$2=0,"",IFERROR(TRIM(INDEX('Pegar docentes'!$A$1:$BZ$1001,313,E$2)&amp;""),""))</f>
        <v/>
      </c>
      <c r="F314">
        <f>IF(F$2=0,"",IFERROR(TRIM(INDEX('Pegar docentes'!$A$1:$BZ$1001,313,F$2)&amp;""),""))</f>
        <v/>
      </c>
      <c r="G314">
        <f>IF(G$2=0,"",IFERROR(TRIM(INDEX('Pegar docentes'!$A$1:$BZ$1001,313,G$2)&amp;""),""))</f>
        <v/>
      </c>
      <c r="H314">
        <f>IF(H$2=0,"",IFERROR(TRIM(INDEX('Pegar docentes'!$A$1:$BZ$1001,313,H$2)&amp;""),""))</f>
        <v/>
      </c>
      <c r="I314">
        <f>IF(I$2=0,"",IFERROR(TRIM(INDEX('Pegar docentes'!$A$1:$BZ$1001,313,I$2)&amp;""),""))</f>
        <v/>
      </c>
      <c r="J314">
        <f>IF(J$2=0,"",IFERROR(TRIM(INDEX('Pegar docentes'!$A$1:$BZ$1001,313,J$2)&amp;""),""))</f>
        <v/>
      </c>
      <c r="K314">
        <f>IF(K$2=0,"",IFERROR(TRIM(INDEX('Pegar docentes'!$A$1:$BZ$1001,313,K$2)&amp;""),""))</f>
        <v/>
      </c>
      <c r="L314">
        <f>IF(L$2=0,"",IFERROR(TRIM(INDEX('Pegar docentes'!$A$1:$BZ$1001,313,L$2)&amp;""),""))</f>
        <v/>
      </c>
      <c r="M314">
        <f>IF(M$2=0,"",IFERROR(TRIM(INDEX('Pegar docentes'!$A$1:$BZ$1001,313,M$2)&amp;""),""))</f>
        <v/>
      </c>
      <c r="N314">
        <f>IF(N$2=0,"",IFERROR(TRIM(INDEX('Pegar docentes'!$A$1:$BZ$1001,313,N$2)&amp;""),""))</f>
        <v/>
      </c>
      <c r="O314">
        <f>IF(O$2=0,"",IFERROR(TRIM(INDEX('Pegar docentes'!$A$1:$BZ$1001,313,O$2)&amp;""),""))</f>
        <v/>
      </c>
      <c r="P314">
        <f>IF(P$2=0,"",IFERROR(TRIM(INDEX('Pegar docentes'!$A$1:$BZ$1001,313,P$2)&amp;""),""))</f>
        <v/>
      </c>
      <c r="Q314" s="25">
        <f>IF(OR(D314&lt;&gt;"",H314&lt;&gt;""),1,"")</f>
        <v/>
      </c>
      <c r="R314" s="25">
        <f>IF(Q314=1,IF(ISNUMBER(FIND("#"&amp;MID(D314,1,1)&amp;"#","#0#1#2#3#4#5#6#7#8#9#")),IF(ISNUMBER(FIND("#"&amp;MID(D314,2,1)&amp;"#","#0#1#2#3#4#5#6#7#8#9#")),IF(AND(VALUE(LEFT(D314,2))&gt;=1,VALUE(LEFT(D314,2))&lt;=5),VALUE(LEFT(D314,2)),""),IF(AND(VALUE(LEFT(D314,1))&gt;=1,VALUE(LEFT(D314,1))&lt;=5),VALUE(LEFT(D314,1)),"")),""),"")</f>
        <v/>
      </c>
      <c r="S314" s="25">
        <f>IF(AND(Q314=1,E314&lt;&gt;""),SUBSTITUTE(SUBSTITUTE(SUBSTITUTE(SUBSTITUTE(SUBSTITUTE(SUBSTITUTE(SUBSTITUTE(SUBSTITUTE(SUBSTITUTE(SUBSTITUTE(SUBSTITUTE(SUBSTITUTE(LOWER(TRIM(E314)),"á","a"),"é","e"),"í","i"),"ó","o"),"ú","u"),"ü","u"),"ñ","n"),"à","a"),"è","e"),"ì","i"),"ò","o"),"ù","u"),"")</f>
        <v/>
      </c>
      <c r="T314" s="25">
        <f>IF(AND(Q314=1,G314&lt;&gt;""),SUBSTITUTE(SUBSTITUTE(SUBSTITUTE(SUBSTITUTE(SUBSTITUTE(SUBSTITUTE(SUBSTITUTE(SUBSTITUTE(SUBSTITUTE(SUBSTITUTE(SUBSTITUTE(SUBSTITUTE(LOWER(TRIM(G314)),"á","a"),"é","e"),"í","i"),"ó","o"),"ú","u"),"ü","u"),"ñ","n"),"à","a"),"è","e"),"ì","i"),"ò","o"),"ù","u"),"")</f>
        <v/>
      </c>
      <c r="U314" s="25">
        <f>IF(AND(Q314=1,H314&lt;&gt;""),SUBSTITUTE(SUBSTITUTE(SUBSTITUTE(SUBSTITUTE(SUBSTITUTE(SUBSTITUTE(SUBSTITUTE(SUBSTITUTE(SUBSTITUTE(SUBSTITUTE(SUBSTITUTE(SUBSTITUTE(LOWER(TRIM(H314)),"á","a"),"é","e"),"í","i"),"ó","o"),"ú","u"),"ü","u"),"ñ","n"),"à","a"),"è","e"),"ì","i"),"ò","o"),"ù","u"),"")</f>
        <v/>
      </c>
      <c r="V314" s="25">
        <f>IF(AND(Q314=1,L314&lt;&gt;""),SUBSTITUTE(SUBSTITUTE(SUBSTITUTE(SUBSTITUTE(SUBSTITUTE(SUBSTITUTE(SUBSTITUTE(SUBSTITUTE(SUBSTITUTE(SUBSTITUTE(SUBSTITUTE(SUBSTITUTE(LOWER(TRIM(L314)),"á","a"),"é","e"),"í","i"),"ó","o"),"ú","u"),"ü","u"),"ñ","n"),"à","a"),"è","e"),"ì","i"),"ò","o"),"ù","u"),"")</f>
        <v/>
      </c>
      <c r="W314" s="25">
        <f>IF(AND(Q314=1,I314&lt;&gt;""),SUBSTITUTE(SUBSTITUTE(SUBSTITUTE(SUBSTITUTE(SUBSTITUTE(SUBSTITUTE(SUBSTITUTE(SUBSTITUTE(SUBSTITUTE(SUBSTITUTE(SUBSTITUTE(SUBSTITUTE(LOWER(TRIM(I314)),"á","a"),"é","e"),"í","i"),"ó","o"),"ú","u"),"ü","u"),"ñ","n"),"à","a"),"è","e"),"ì","i"),"ò","o"),"ù","u"),"")</f>
        <v/>
      </c>
      <c r="X314" s="25">
        <f>IF(U314="","",IF(OR(U314="si, en la proxima tarea",U314="si, con cambios"),1,0))</f>
        <v/>
      </c>
      <c r="Y314" s="25">
        <f>IF(AND(Q314=1,A314&lt;&gt;""),IF(IFERROR(COUNTIFS(A$3:A314,"="&amp;SUBSTITUTE(SUBSTITUTE(SUBSTITUTE(A314,"~","~~"),"*","~*"),"?","~?"),Q$3:Q314,1),0)=1,MAX(Y$2:Y313)+1,""),"")</f>
        <v/>
      </c>
      <c r="Z314" s="25">
        <f>IF(Y314="","",COUNTIFS($A$3:$A$1002,"="&amp;SUBSTITUTE(SUBSTITUTE(SUBSTITUTE(A314,"~","~~"),"*","~*"),"?","~?"),$Q$3:$Q$1002,1)*10000-Y314)</f>
        <v/>
      </c>
    </row>
    <row r="315">
      <c r="A315">
        <f>IF(A$2=0,"",IFERROR(TRIM(INDEX('Pegar docentes'!$A$1:$BZ$1001,314,A$2)&amp;""),""))</f>
        <v/>
      </c>
      <c r="B315">
        <f>IF(B$2=0,"",IFERROR(TRIM(INDEX('Pegar docentes'!$A$1:$BZ$1001,314,B$2)&amp;""),""))</f>
        <v/>
      </c>
      <c r="C315">
        <f>IF(C$2=0,"",IFERROR(TRIM(INDEX('Pegar docentes'!$A$1:$BZ$1001,314,C$2)&amp;""),""))</f>
        <v/>
      </c>
      <c r="D315">
        <f>IF(D$2=0,"",IFERROR(TRIM(INDEX('Pegar docentes'!$A$1:$BZ$1001,314,D$2)&amp;""),""))</f>
        <v/>
      </c>
      <c r="E315">
        <f>IF(E$2=0,"",IFERROR(TRIM(INDEX('Pegar docentes'!$A$1:$BZ$1001,314,E$2)&amp;""),""))</f>
        <v/>
      </c>
      <c r="F315">
        <f>IF(F$2=0,"",IFERROR(TRIM(INDEX('Pegar docentes'!$A$1:$BZ$1001,314,F$2)&amp;""),""))</f>
        <v/>
      </c>
      <c r="G315">
        <f>IF(G$2=0,"",IFERROR(TRIM(INDEX('Pegar docentes'!$A$1:$BZ$1001,314,G$2)&amp;""),""))</f>
        <v/>
      </c>
      <c r="H315">
        <f>IF(H$2=0,"",IFERROR(TRIM(INDEX('Pegar docentes'!$A$1:$BZ$1001,314,H$2)&amp;""),""))</f>
        <v/>
      </c>
      <c r="I315">
        <f>IF(I$2=0,"",IFERROR(TRIM(INDEX('Pegar docentes'!$A$1:$BZ$1001,314,I$2)&amp;""),""))</f>
        <v/>
      </c>
      <c r="J315">
        <f>IF(J$2=0,"",IFERROR(TRIM(INDEX('Pegar docentes'!$A$1:$BZ$1001,314,J$2)&amp;""),""))</f>
        <v/>
      </c>
      <c r="K315">
        <f>IF(K$2=0,"",IFERROR(TRIM(INDEX('Pegar docentes'!$A$1:$BZ$1001,314,K$2)&amp;""),""))</f>
        <v/>
      </c>
      <c r="L315">
        <f>IF(L$2=0,"",IFERROR(TRIM(INDEX('Pegar docentes'!$A$1:$BZ$1001,314,L$2)&amp;""),""))</f>
        <v/>
      </c>
      <c r="M315">
        <f>IF(M$2=0,"",IFERROR(TRIM(INDEX('Pegar docentes'!$A$1:$BZ$1001,314,M$2)&amp;""),""))</f>
        <v/>
      </c>
      <c r="N315">
        <f>IF(N$2=0,"",IFERROR(TRIM(INDEX('Pegar docentes'!$A$1:$BZ$1001,314,N$2)&amp;""),""))</f>
        <v/>
      </c>
      <c r="O315">
        <f>IF(O$2=0,"",IFERROR(TRIM(INDEX('Pegar docentes'!$A$1:$BZ$1001,314,O$2)&amp;""),""))</f>
        <v/>
      </c>
      <c r="P315">
        <f>IF(P$2=0,"",IFERROR(TRIM(INDEX('Pegar docentes'!$A$1:$BZ$1001,314,P$2)&amp;""),""))</f>
        <v/>
      </c>
      <c r="Q315" s="25">
        <f>IF(OR(D315&lt;&gt;"",H315&lt;&gt;""),1,"")</f>
        <v/>
      </c>
      <c r="R315" s="25">
        <f>IF(Q315=1,IF(ISNUMBER(FIND("#"&amp;MID(D315,1,1)&amp;"#","#0#1#2#3#4#5#6#7#8#9#")),IF(ISNUMBER(FIND("#"&amp;MID(D315,2,1)&amp;"#","#0#1#2#3#4#5#6#7#8#9#")),IF(AND(VALUE(LEFT(D315,2))&gt;=1,VALUE(LEFT(D315,2))&lt;=5),VALUE(LEFT(D315,2)),""),IF(AND(VALUE(LEFT(D315,1))&gt;=1,VALUE(LEFT(D315,1))&lt;=5),VALUE(LEFT(D315,1)),"")),""),"")</f>
        <v/>
      </c>
      <c r="S315" s="25">
        <f>IF(AND(Q315=1,E315&lt;&gt;""),SUBSTITUTE(SUBSTITUTE(SUBSTITUTE(SUBSTITUTE(SUBSTITUTE(SUBSTITUTE(SUBSTITUTE(SUBSTITUTE(SUBSTITUTE(SUBSTITUTE(SUBSTITUTE(SUBSTITUTE(LOWER(TRIM(E315)),"á","a"),"é","e"),"í","i"),"ó","o"),"ú","u"),"ü","u"),"ñ","n"),"à","a"),"è","e"),"ì","i"),"ò","o"),"ù","u"),"")</f>
        <v/>
      </c>
      <c r="T315" s="25">
        <f>IF(AND(Q315=1,G315&lt;&gt;""),SUBSTITUTE(SUBSTITUTE(SUBSTITUTE(SUBSTITUTE(SUBSTITUTE(SUBSTITUTE(SUBSTITUTE(SUBSTITUTE(SUBSTITUTE(SUBSTITUTE(SUBSTITUTE(SUBSTITUTE(LOWER(TRIM(G315)),"á","a"),"é","e"),"í","i"),"ó","o"),"ú","u"),"ü","u"),"ñ","n"),"à","a"),"è","e"),"ì","i"),"ò","o"),"ù","u"),"")</f>
        <v/>
      </c>
      <c r="U315" s="25">
        <f>IF(AND(Q315=1,H315&lt;&gt;""),SUBSTITUTE(SUBSTITUTE(SUBSTITUTE(SUBSTITUTE(SUBSTITUTE(SUBSTITUTE(SUBSTITUTE(SUBSTITUTE(SUBSTITUTE(SUBSTITUTE(SUBSTITUTE(SUBSTITUTE(LOWER(TRIM(H315)),"á","a"),"é","e"),"í","i"),"ó","o"),"ú","u"),"ü","u"),"ñ","n"),"à","a"),"è","e"),"ì","i"),"ò","o"),"ù","u"),"")</f>
        <v/>
      </c>
      <c r="V315" s="25">
        <f>IF(AND(Q315=1,L315&lt;&gt;""),SUBSTITUTE(SUBSTITUTE(SUBSTITUTE(SUBSTITUTE(SUBSTITUTE(SUBSTITUTE(SUBSTITUTE(SUBSTITUTE(SUBSTITUTE(SUBSTITUTE(SUBSTITUTE(SUBSTITUTE(LOWER(TRIM(L315)),"á","a"),"é","e"),"í","i"),"ó","o"),"ú","u"),"ü","u"),"ñ","n"),"à","a"),"è","e"),"ì","i"),"ò","o"),"ù","u"),"")</f>
        <v/>
      </c>
      <c r="W315" s="25">
        <f>IF(AND(Q315=1,I315&lt;&gt;""),SUBSTITUTE(SUBSTITUTE(SUBSTITUTE(SUBSTITUTE(SUBSTITUTE(SUBSTITUTE(SUBSTITUTE(SUBSTITUTE(SUBSTITUTE(SUBSTITUTE(SUBSTITUTE(SUBSTITUTE(LOWER(TRIM(I315)),"á","a"),"é","e"),"í","i"),"ó","o"),"ú","u"),"ü","u"),"ñ","n"),"à","a"),"è","e"),"ì","i"),"ò","o"),"ù","u"),"")</f>
        <v/>
      </c>
      <c r="X315" s="25">
        <f>IF(U315="","",IF(OR(U315="si, en la proxima tarea",U315="si, con cambios"),1,0))</f>
        <v/>
      </c>
      <c r="Y315" s="25">
        <f>IF(AND(Q315=1,A315&lt;&gt;""),IF(IFERROR(COUNTIFS(A$3:A315,"="&amp;SUBSTITUTE(SUBSTITUTE(SUBSTITUTE(A315,"~","~~"),"*","~*"),"?","~?"),Q$3:Q315,1),0)=1,MAX(Y$2:Y314)+1,""),"")</f>
        <v/>
      </c>
      <c r="Z315" s="25">
        <f>IF(Y315="","",COUNTIFS($A$3:$A$1002,"="&amp;SUBSTITUTE(SUBSTITUTE(SUBSTITUTE(A315,"~","~~"),"*","~*"),"?","~?"),$Q$3:$Q$1002,1)*10000-Y315)</f>
        <v/>
      </c>
    </row>
    <row r="316">
      <c r="A316">
        <f>IF(A$2=0,"",IFERROR(TRIM(INDEX('Pegar docentes'!$A$1:$BZ$1001,315,A$2)&amp;""),""))</f>
        <v/>
      </c>
      <c r="B316">
        <f>IF(B$2=0,"",IFERROR(TRIM(INDEX('Pegar docentes'!$A$1:$BZ$1001,315,B$2)&amp;""),""))</f>
        <v/>
      </c>
      <c r="C316">
        <f>IF(C$2=0,"",IFERROR(TRIM(INDEX('Pegar docentes'!$A$1:$BZ$1001,315,C$2)&amp;""),""))</f>
        <v/>
      </c>
      <c r="D316">
        <f>IF(D$2=0,"",IFERROR(TRIM(INDEX('Pegar docentes'!$A$1:$BZ$1001,315,D$2)&amp;""),""))</f>
        <v/>
      </c>
      <c r="E316">
        <f>IF(E$2=0,"",IFERROR(TRIM(INDEX('Pegar docentes'!$A$1:$BZ$1001,315,E$2)&amp;""),""))</f>
        <v/>
      </c>
      <c r="F316">
        <f>IF(F$2=0,"",IFERROR(TRIM(INDEX('Pegar docentes'!$A$1:$BZ$1001,315,F$2)&amp;""),""))</f>
        <v/>
      </c>
      <c r="G316">
        <f>IF(G$2=0,"",IFERROR(TRIM(INDEX('Pegar docentes'!$A$1:$BZ$1001,315,G$2)&amp;""),""))</f>
        <v/>
      </c>
      <c r="H316">
        <f>IF(H$2=0,"",IFERROR(TRIM(INDEX('Pegar docentes'!$A$1:$BZ$1001,315,H$2)&amp;""),""))</f>
        <v/>
      </c>
      <c r="I316">
        <f>IF(I$2=0,"",IFERROR(TRIM(INDEX('Pegar docentes'!$A$1:$BZ$1001,315,I$2)&amp;""),""))</f>
        <v/>
      </c>
      <c r="J316">
        <f>IF(J$2=0,"",IFERROR(TRIM(INDEX('Pegar docentes'!$A$1:$BZ$1001,315,J$2)&amp;""),""))</f>
        <v/>
      </c>
      <c r="K316">
        <f>IF(K$2=0,"",IFERROR(TRIM(INDEX('Pegar docentes'!$A$1:$BZ$1001,315,K$2)&amp;""),""))</f>
        <v/>
      </c>
      <c r="L316">
        <f>IF(L$2=0,"",IFERROR(TRIM(INDEX('Pegar docentes'!$A$1:$BZ$1001,315,L$2)&amp;""),""))</f>
        <v/>
      </c>
      <c r="M316">
        <f>IF(M$2=0,"",IFERROR(TRIM(INDEX('Pegar docentes'!$A$1:$BZ$1001,315,M$2)&amp;""),""))</f>
        <v/>
      </c>
      <c r="N316">
        <f>IF(N$2=0,"",IFERROR(TRIM(INDEX('Pegar docentes'!$A$1:$BZ$1001,315,N$2)&amp;""),""))</f>
        <v/>
      </c>
      <c r="O316">
        <f>IF(O$2=0,"",IFERROR(TRIM(INDEX('Pegar docentes'!$A$1:$BZ$1001,315,O$2)&amp;""),""))</f>
        <v/>
      </c>
      <c r="P316">
        <f>IF(P$2=0,"",IFERROR(TRIM(INDEX('Pegar docentes'!$A$1:$BZ$1001,315,P$2)&amp;""),""))</f>
        <v/>
      </c>
      <c r="Q316" s="25">
        <f>IF(OR(D316&lt;&gt;"",H316&lt;&gt;""),1,"")</f>
        <v/>
      </c>
      <c r="R316" s="25">
        <f>IF(Q316=1,IF(ISNUMBER(FIND("#"&amp;MID(D316,1,1)&amp;"#","#0#1#2#3#4#5#6#7#8#9#")),IF(ISNUMBER(FIND("#"&amp;MID(D316,2,1)&amp;"#","#0#1#2#3#4#5#6#7#8#9#")),IF(AND(VALUE(LEFT(D316,2))&gt;=1,VALUE(LEFT(D316,2))&lt;=5),VALUE(LEFT(D316,2)),""),IF(AND(VALUE(LEFT(D316,1))&gt;=1,VALUE(LEFT(D316,1))&lt;=5),VALUE(LEFT(D316,1)),"")),""),"")</f>
        <v/>
      </c>
      <c r="S316" s="25">
        <f>IF(AND(Q316=1,E316&lt;&gt;""),SUBSTITUTE(SUBSTITUTE(SUBSTITUTE(SUBSTITUTE(SUBSTITUTE(SUBSTITUTE(SUBSTITUTE(SUBSTITUTE(SUBSTITUTE(SUBSTITUTE(SUBSTITUTE(SUBSTITUTE(LOWER(TRIM(E316)),"á","a"),"é","e"),"í","i"),"ó","o"),"ú","u"),"ü","u"),"ñ","n"),"à","a"),"è","e"),"ì","i"),"ò","o"),"ù","u"),"")</f>
        <v/>
      </c>
      <c r="T316" s="25">
        <f>IF(AND(Q316=1,G316&lt;&gt;""),SUBSTITUTE(SUBSTITUTE(SUBSTITUTE(SUBSTITUTE(SUBSTITUTE(SUBSTITUTE(SUBSTITUTE(SUBSTITUTE(SUBSTITUTE(SUBSTITUTE(SUBSTITUTE(SUBSTITUTE(LOWER(TRIM(G316)),"á","a"),"é","e"),"í","i"),"ó","o"),"ú","u"),"ü","u"),"ñ","n"),"à","a"),"è","e"),"ì","i"),"ò","o"),"ù","u"),"")</f>
        <v/>
      </c>
      <c r="U316" s="25">
        <f>IF(AND(Q316=1,H316&lt;&gt;""),SUBSTITUTE(SUBSTITUTE(SUBSTITUTE(SUBSTITUTE(SUBSTITUTE(SUBSTITUTE(SUBSTITUTE(SUBSTITUTE(SUBSTITUTE(SUBSTITUTE(SUBSTITUTE(SUBSTITUTE(LOWER(TRIM(H316)),"á","a"),"é","e"),"í","i"),"ó","o"),"ú","u"),"ü","u"),"ñ","n"),"à","a"),"è","e"),"ì","i"),"ò","o"),"ù","u"),"")</f>
        <v/>
      </c>
      <c r="V316" s="25">
        <f>IF(AND(Q316=1,L316&lt;&gt;""),SUBSTITUTE(SUBSTITUTE(SUBSTITUTE(SUBSTITUTE(SUBSTITUTE(SUBSTITUTE(SUBSTITUTE(SUBSTITUTE(SUBSTITUTE(SUBSTITUTE(SUBSTITUTE(SUBSTITUTE(LOWER(TRIM(L316)),"á","a"),"é","e"),"í","i"),"ó","o"),"ú","u"),"ü","u"),"ñ","n"),"à","a"),"è","e"),"ì","i"),"ò","o"),"ù","u"),"")</f>
        <v/>
      </c>
      <c r="W316" s="25">
        <f>IF(AND(Q316=1,I316&lt;&gt;""),SUBSTITUTE(SUBSTITUTE(SUBSTITUTE(SUBSTITUTE(SUBSTITUTE(SUBSTITUTE(SUBSTITUTE(SUBSTITUTE(SUBSTITUTE(SUBSTITUTE(SUBSTITUTE(SUBSTITUTE(LOWER(TRIM(I316)),"á","a"),"é","e"),"í","i"),"ó","o"),"ú","u"),"ü","u"),"ñ","n"),"à","a"),"è","e"),"ì","i"),"ò","o"),"ù","u"),"")</f>
        <v/>
      </c>
      <c r="X316" s="25">
        <f>IF(U316="","",IF(OR(U316="si, en la proxima tarea",U316="si, con cambios"),1,0))</f>
        <v/>
      </c>
      <c r="Y316" s="25">
        <f>IF(AND(Q316=1,A316&lt;&gt;""),IF(IFERROR(COUNTIFS(A$3:A316,"="&amp;SUBSTITUTE(SUBSTITUTE(SUBSTITUTE(A316,"~","~~"),"*","~*"),"?","~?"),Q$3:Q316,1),0)=1,MAX(Y$2:Y315)+1,""),"")</f>
        <v/>
      </c>
      <c r="Z316" s="25">
        <f>IF(Y316="","",COUNTIFS($A$3:$A$1002,"="&amp;SUBSTITUTE(SUBSTITUTE(SUBSTITUTE(A316,"~","~~"),"*","~*"),"?","~?"),$Q$3:$Q$1002,1)*10000-Y316)</f>
        <v/>
      </c>
    </row>
    <row r="317">
      <c r="A317">
        <f>IF(A$2=0,"",IFERROR(TRIM(INDEX('Pegar docentes'!$A$1:$BZ$1001,316,A$2)&amp;""),""))</f>
        <v/>
      </c>
      <c r="B317">
        <f>IF(B$2=0,"",IFERROR(TRIM(INDEX('Pegar docentes'!$A$1:$BZ$1001,316,B$2)&amp;""),""))</f>
        <v/>
      </c>
      <c r="C317">
        <f>IF(C$2=0,"",IFERROR(TRIM(INDEX('Pegar docentes'!$A$1:$BZ$1001,316,C$2)&amp;""),""))</f>
        <v/>
      </c>
      <c r="D317">
        <f>IF(D$2=0,"",IFERROR(TRIM(INDEX('Pegar docentes'!$A$1:$BZ$1001,316,D$2)&amp;""),""))</f>
        <v/>
      </c>
      <c r="E317">
        <f>IF(E$2=0,"",IFERROR(TRIM(INDEX('Pegar docentes'!$A$1:$BZ$1001,316,E$2)&amp;""),""))</f>
        <v/>
      </c>
      <c r="F317">
        <f>IF(F$2=0,"",IFERROR(TRIM(INDEX('Pegar docentes'!$A$1:$BZ$1001,316,F$2)&amp;""),""))</f>
        <v/>
      </c>
      <c r="G317">
        <f>IF(G$2=0,"",IFERROR(TRIM(INDEX('Pegar docentes'!$A$1:$BZ$1001,316,G$2)&amp;""),""))</f>
        <v/>
      </c>
      <c r="H317">
        <f>IF(H$2=0,"",IFERROR(TRIM(INDEX('Pegar docentes'!$A$1:$BZ$1001,316,H$2)&amp;""),""))</f>
        <v/>
      </c>
      <c r="I317">
        <f>IF(I$2=0,"",IFERROR(TRIM(INDEX('Pegar docentes'!$A$1:$BZ$1001,316,I$2)&amp;""),""))</f>
        <v/>
      </c>
      <c r="J317">
        <f>IF(J$2=0,"",IFERROR(TRIM(INDEX('Pegar docentes'!$A$1:$BZ$1001,316,J$2)&amp;""),""))</f>
        <v/>
      </c>
      <c r="K317">
        <f>IF(K$2=0,"",IFERROR(TRIM(INDEX('Pegar docentes'!$A$1:$BZ$1001,316,K$2)&amp;""),""))</f>
        <v/>
      </c>
      <c r="L317">
        <f>IF(L$2=0,"",IFERROR(TRIM(INDEX('Pegar docentes'!$A$1:$BZ$1001,316,L$2)&amp;""),""))</f>
        <v/>
      </c>
      <c r="M317">
        <f>IF(M$2=0,"",IFERROR(TRIM(INDEX('Pegar docentes'!$A$1:$BZ$1001,316,M$2)&amp;""),""))</f>
        <v/>
      </c>
      <c r="N317">
        <f>IF(N$2=0,"",IFERROR(TRIM(INDEX('Pegar docentes'!$A$1:$BZ$1001,316,N$2)&amp;""),""))</f>
        <v/>
      </c>
      <c r="O317">
        <f>IF(O$2=0,"",IFERROR(TRIM(INDEX('Pegar docentes'!$A$1:$BZ$1001,316,O$2)&amp;""),""))</f>
        <v/>
      </c>
      <c r="P317">
        <f>IF(P$2=0,"",IFERROR(TRIM(INDEX('Pegar docentes'!$A$1:$BZ$1001,316,P$2)&amp;""),""))</f>
        <v/>
      </c>
      <c r="Q317" s="25">
        <f>IF(OR(D317&lt;&gt;"",H317&lt;&gt;""),1,"")</f>
        <v/>
      </c>
      <c r="R317" s="25">
        <f>IF(Q317=1,IF(ISNUMBER(FIND("#"&amp;MID(D317,1,1)&amp;"#","#0#1#2#3#4#5#6#7#8#9#")),IF(ISNUMBER(FIND("#"&amp;MID(D317,2,1)&amp;"#","#0#1#2#3#4#5#6#7#8#9#")),IF(AND(VALUE(LEFT(D317,2))&gt;=1,VALUE(LEFT(D317,2))&lt;=5),VALUE(LEFT(D317,2)),""),IF(AND(VALUE(LEFT(D317,1))&gt;=1,VALUE(LEFT(D317,1))&lt;=5),VALUE(LEFT(D317,1)),"")),""),"")</f>
        <v/>
      </c>
      <c r="S317" s="25">
        <f>IF(AND(Q317=1,E317&lt;&gt;""),SUBSTITUTE(SUBSTITUTE(SUBSTITUTE(SUBSTITUTE(SUBSTITUTE(SUBSTITUTE(SUBSTITUTE(SUBSTITUTE(SUBSTITUTE(SUBSTITUTE(SUBSTITUTE(SUBSTITUTE(LOWER(TRIM(E317)),"á","a"),"é","e"),"í","i"),"ó","o"),"ú","u"),"ü","u"),"ñ","n"),"à","a"),"è","e"),"ì","i"),"ò","o"),"ù","u"),"")</f>
        <v/>
      </c>
      <c r="T317" s="25">
        <f>IF(AND(Q317=1,G317&lt;&gt;""),SUBSTITUTE(SUBSTITUTE(SUBSTITUTE(SUBSTITUTE(SUBSTITUTE(SUBSTITUTE(SUBSTITUTE(SUBSTITUTE(SUBSTITUTE(SUBSTITUTE(SUBSTITUTE(SUBSTITUTE(LOWER(TRIM(G317)),"á","a"),"é","e"),"í","i"),"ó","o"),"ú","u"),"ü","u"),"ñ","n"),"à","a"),"è","e"),"ì","i"),"ò","o"),"ù","u"),"")</f>
        <v/>
      </c>
      <c r="U317" s="25">
        <f>IF(AND(Q317=1,H317&lt;&gt;""),SUBSTITUTE(SUBSTITUTE(SUBSTITUTE(SUBSTITUTE(SUBSTITUTE(SUBSTITUTE(SUBSTITUTE(SUBSTITUTE(SUBSTITUTE(SUBSTITUTE(SUBSTITUTE(SUBSTITUTE(LOWER(TRIM(H317)),"á","a"),"é","e"),"í","i"),"ó","o"),"ú","u"),"ü","u"),"ñ","n"),"à","a"),"è","e"),"ì","i"),"ò","o"),"ù","u"),"")</f>
        <v/>
      </c>
      <c r="V317" s="25">
        <f>IF(AND(Q317=1,L317&lt;&gt;""),SUBSTITUTE(SUBSTITUTE(SUBSTITUTE(SUBSTITUTE(SUBSTITUTE(SUBSTITUTE(SUBSTITUTE(SUBSTITUTE(SUBSTITUTE(SUBSTITUTE(SUBSTITUTE(SUBSTITUTE(LOWER(TRIM(L317)),"á","a"),"é","e"),"í","i"),"ó","o"),"ú","u"),"ü","u"),"ñ","n"),"à","a"),"è","e"),"ì","i"),"ò","o"),"ù","u"),"")</f>
        <v/>
      </c>
      <c r="W317" s="25">
        <f>IF(AND(Q317=1,I317&lt;&gt;""),SUBSTITUTE(SUBSTITUTE(SUBSTITUTE(SUBSTITUTE(SUBSTITUTE(SUBSTITUTE(SUBSTITUTE(SUBSTITUTE(SUBSTITUTE(SUBSTITUTE(SUBSTITUTE(SUBSTITUTE(LOWER(TRIM(I317)),"á","a"),"é","e"),"í","i"),"ó","o"),"ú","u"),"ü","u"),"ñ","n"),"à","a"),"è","e"),"ì","i"),"ò","o"),"ù","u"),"")</f>
        <v/>
      </c>
      <c r="X317" s="25">
        <f>IF(U317="","",IF(OR(U317="si, en la proxima tarea",U317="si, con cambios"),1,0))</f>
        <v/>
      </c>
      <c r="Y317" s="25">
        <f>IF(AND(Q317=1,A317&lt;&gt;""),IF(IFERROR(COUNTIFS(A$3:A317,"="&amp;SUBSTITUTE(SUBSTITUTE(SUBSTITUTE(A317,"~","~~"),"*","~*"),"?","~?"),Q$3:Q317,1),0)=1,MAX(Y$2:Y316)+1,""),"")</f>
        <v/>
      </c>
      <c r="Z317" s="25">
        <f>IF(Y317="","",COUNTIFS($A$3:$A$1002,"="&amp;SUBSTITUTE(SUBSTITUTE(SUBSTITUTE(A317,"~","~~"),"*","~*"),"?","~?"),$Q$3:$Q$1002,1)*10000-Y317)</f>
        <v/>
      </c>
    </row>
    <row r="318">
      <c r="A318">
        <f>IF(A$2=0,"",IFERROR(TRIM(INDEX('Pegar docentes'!$A$1:$BZ$1001,317,A$2)&amp;""),""))</f>
        <v/>
      </c>
      <c r="B318">
        <f>IF(B$2=0,"",IFERROR(TRIM(INDEX('Pegar docentes'!$A$1:$BZ$1001,317,B$2)&amp;""),""))</f>
        <v/>
      </c>
      <c r="C318">
        <f>IF(C$2=0,"",IFERROR(TRIM(INDEX('Pegar docentes'!$A$1:$BZ$1001,317,C$2)&amp;""),""))</f>
        <v/>
      </c>
      <c r="D318">
        <f>IF(D$2=0,"",IFERROR(TRIM(INDEX('Pegar docentes'!$A$1:$BZ$1001,317,D$2)&amp;""),""))</f>
        <v/>
      </c>
      <c r="E318">
        <f>IF(E$2=0,"",IFERROR(TRIM(INDEX('Pegar docentes'!$A$1:$BZ$1001,317,E$2)&amp;""),""))</f>
        <v/>
      </c>
      <c r="F318">
        <f>IF(F$2=0,"",IFERROR(TRIM(INDEX('Pegar docentes'!$A$1:$BZ$1001,317,F$2)&amp;""),""))</f>
        <v/>
      </c>
      <c r="G318">
        <f>IF(G$2=0,"",IFERROR(TRIM(INDEX('Pegar docentes'!$A$1:$BZ$1001,317,G$2)&amp;""),""))</f>
        <v/>
      </c>
      <c r="H318">
        <f>IF(H$2=0,"",IFERROR(TRIM(INDEX('Pegar docentes'!$A$1:$BZ$1001,317,H$2)&amp;""),""))</f>
        <v/>
      </c>
      <c r="I318">
        <f>IF(I$2=0,"",IFERROR(TRIM(INDEX('Pegar docentes'!$A$1:$BZ$1001,317,I$2)&amp;""),""))</f>
        <v/>
      </c>
      <c r="J318">
        <f>IF(J$2=0,"",IFERROR(TRIM(INDEX('Pegar docentes'!$A$1:$BZ$1001,317,J$2)&amp;""),""))</f>
        <v/>
      </c>
      <c r="K318">
        <f>IF(K$2=0,"",IFERROR(TRIM(INDEX('Pegar docentes'!$A$1:$BZ$1001,317,K$2)&amp;""),""))</f>
        <v/>
      </c>
      <c r="L318">
        <f>IF(L$2=0,"",IFERROR(TRIM(INDEX('Pegar docentes'!$A$1:$BZ$1001,317,L$2)&amp;""),""))</f>
        <v/>
      </c>
      <c r="M318">
        <f>IF(M$2=0,"",IFERROR(TRIM(INDEX('Pegar docentes'!$A$1:$BZ$1001,317,M$2)&amp;""),""))</f>
        <v/>
      </c>
      <c r="N318">
        <f>IF(N$2=0,"",IFERROR(TRIM(INDEX('Pegar docentes'!$A$1:$BZ$1001,317,N$2)&amp;""),""))</f>
        <v/>
      </c>
      <c r="O318">
        <f>IF(O$2=0,"",IFERROR(TRIM(INDEX('Pegar docentes'!$A$1:$BZ$1001,317,O$2)&amp;""),""))</f>
        <v/>
      </c>
      <c r="P318">
        <f>IF(P$2=0,"",IFERROR(TRIM(INDEX('Pegar docentes'!$A$1:$BZ$1001,317,P$2)&amp;""),""))</f>
        <v/>
      </c>
      <c r="Q318" s="25">
        <f>IF(OR(D318&lt;&gt;"",H318&lt;&gt;""),1,"")</f>
        <v/>
      </c>
      <c r="R318" s="25">
        <f>IF(Q318=1,IF(ISNUMBER(FIND("#"&amp;MID(D318,1,1)&amp;"#","#0#1#2#3#4#5#6#7#8#9#")),IF(ISNUMBER(FIND("#"&amp;MID(D318,2,1)&amp;"#","#0#1#2#3#4#5#6#7#8#9#")),IF(AND(VALUE(LEFT(D318,2))&gt;=1,VALUE(LEFT(D318,2))&lt;=5),VALUE(LEFT(D318,2)),""),IF(AND(VALUE(LEFT(D318,1))&gt;=1,VALUE(LEFT(D318,1))&lt;=5),VALUE(LEFT(D318,1)),"")),""),"")</f>
        <v/>
      </c>
      <c r="S318" s="25">
        <f>IF(AND(Q318=1,E318&lt;&gt;""),SUBSTITUTE(SUBSTITUTE(SUBSTITUTE(SUBSTITUTE(SUBSTITUTE(SUBSTITUTE(SUBSTITUTE(SUBSTITUTE(SUBSTITUTE(SUBSTITUTE(SUBSTITUTE(SUBSTITUTE(LOWER(TRIM(E318)),"á","a"),"é","e"),"í","i"),"ó","o"),"ú","u"),"ü","u"),"ñ","n"),"à","a"),"è","e"),"ì","i"),"ò","o"),"ù","u"),"")</f>
        <v/>
      </c>
      <c r="T318" s="25">
        <f>IF(AND(Q318=1,G318&lt;&gt;""),SUBSTITUTE(SUBSTITUTE(SUBSTITUTE(SUBSTITUTE(SUBSTITUTE(SUBSTITUTE(SUBSTITUTE(SUBSTITUTE(SUBSTITUTE(SUBSTITUTE(SUBSTITUTE(SUBSTITUTE(LOWER(TRIM(G318)),"á","a"),"é","e"),"í","i"),"ó","o"),"ú","u"),"ü","u"),"ñ","n"),"à","a"),"è","e"),"ì","i"),"ò","o"),"ù","u"),"")</f>
        <v/>
      </c>
      <c r="U318" s="25">
        <f>IF(AND(Q318=1,H318&lt;&gt;""),SUBSTITUTE(SUBSTITUTE(SUBSTITUTE(SUBSTITUTE(SUBSTITUTE(SUBSTITUTE(SUBSTITUTE(SUBSTITUTE(SUBSTITUTE(SUBSTITUTE(SUBSTITUTE(SUBSTITUTE(LOWER(TRIM(H318)),"á","a"),"é","e"),"í","i"),"ó","o"),"ú","u"),"ü","u"),"ñ","n"),"à","a"),"è","e"),"ì","i"),"ò","o"),"ù","u"),"")</f>
        <v/>
      </c>
      <c r="V318" s="25">
        <f>IF(AND(Q318=1,L318&lt;&gt;""),SUBSTITUTE(SUBSTITUTE(SUBSTITUTE(SUBSTITUTE(SUBSTITUTE(SUBSTITUTE(SUBSTITUTE(SUBSTITUTE(SUBSTITUTE(SUBSTITUTE(SUBSTITUTE(SUBSTITUTE(LOWER(TRIM(L318)),"á","a"),"é","e"),"í","i"),"ó","o"),"ú","u"),"ü","u"),"ñ","n"),"à","a"),"è","e"),"ì","i"),"ò","o"),"ù","u"),"")</f>
        <v/>
      </c>
      <c r="W318" s="25">
        <f>IF(AND(Q318=1,I318&lt;&gt;""),SUBSTITUTE(SUBSTITUTE(SUBSTITUTE(SUBSTITUTE(SUBSTITUTE(SUBSTITUTE(SUBSTITUTE(SUBSTITUTE(SUBSTITUTE(SUBSTITUTE(SUBSTITUTE(SUBSTITUTE(LOWER(TRIM(I318)),"á","a"),"é","e"),"í","i"),"ó","o"),"ú","u"),"ü","u"),"ñ","n"),"à","a"),"è","e"),"ì","i"),"ò","o"),"ù","u"),"")</f>
        <v/>
      </c>
      <c r="X318" s="25">
        <f>IF(U318="","",IF(OR(U318="si, en la proxima tarea",U318="si, con cambios"),1,0))</f>
        <v/>
      </c>
      <c r="Y318" s="25">
        <f>IF(AND(Q318=1,A318&lt;&gt;""),IF(IFERROR(COUNTIFS(A$3:A318,"="&amp;SUBSTITUTE(SUBSTITUTE(SUBSTITUTE(A318,"~","~~"),"*","~*"),"?","~?"),Q$3:Q318,1),0)=1,MAX(Y$2:Y317)+1,""),"")</f>
        <v/>
      </c>
      <c r="Z318" s="25">
        <f>IF(Y318="","",COUNTIFS($A$3:$A$1002,"="&amp;SUBSTITUTE(SUBSTITUTE(SUBSTITUTE(A318,"~","~~"),"*","~*"),"?","~?"),$Q$3:$Q$1002,1)*10000-Y318)</f>
        <v/>
      </c>
    </row>
    <row r="319">
      <c r="A319">
        <f>IF(A$2=0,"",IFERROR(TRIM(INDEX('Pegar docentes'!$A$1:$BZ$1001,318,A$2)&amp;""),""))</f>
        <v/>
      </c>
      <c r="B319">
        <f>IF(B$2=0,"",IFERROR(TRIM(INDEX('Pegar docentes'!$A$1:$BZ$1001,318,B$2)&amp;""),""))</f>
        <v/>
      </c>
      <c r="C319">
        <f>IF(C$2=0,"",IFERROR(TRIM(INDEX('Pegar docentes'!$A$1:$BZ$1001,318,C$2)&amp;""),""))</f>
        <v/>
      </c>
      <c r="D319">
        <f>IF(D$2=0,"",IFERROR(TRIM(INDEX('Pegar docentes'!$A$1:$BZ$1001,318,D$2)&amp;""),""))</f>
        <v/>
      </c>
      <c r="E319">
        <f>IF(E$2=0,"",IFERROR(TRIM(INDEX('Pegar docentes'!$A$1:$BZ$1001,318,E$2)&amp;""),""))</f>
        <v/>
      </c>
      <c r="F319">
        <f>IF(F$2=0,"",IFERROR(TRIM(INDEX('Pegar docentes'!$A$1:$BZ$1001,318,F$2)&amp;""),""))</f>
        <v/>
      </c>
      <c r="G319">
        <f>IF(G$2=0,"",IFERROR(TRIM(INDEX('Pegar docentes'!$A$1:$BZ$1001,318,G$2)&amp;""),""))</f>
        <v/>
      </c>
      <c r="H319">
        <f>IF(H$2=0,"",IFERROR(TRIM(INDEX('Pegar docentes'!$A$1:$BZ$1001,318,H$2)&amp;""),""))</f>
        <v/>
      </c>
      <c r="I319">
        <f>IF(I$2=0,"",IFERROR(TRIM(INDEX('Pegar docentes'!$A$1:$BZ$1001,318,I$2)&amp;""),""))</f>
        <v/>
      </c>
      <c r="J319">
        <f>IF(J$2=0,"",IFERROR(TRIM(INDEX('Pegar docentes'!$A$1:$BZ$1001,318,J$2)&amp;""),""))</f>
        <v/>
      </c>
      <c r="K319">
        <f>IF(K$2=0,"",IFERROR(TRIM(INDEX('Pegar docentes'!$A$1:$BZ$1001,318,K$2)&amp;""),""))</f>
        <v/>
      </c>
      <c r="L319">
        <f>IF(L$2=0,"",IFERROR(TRIM(INDEX('Pegar docentes'!$A$1:$BZ$1001,318,L$2)&amp;""),""))</f>
        <v/>
      </c>
      <c r="M319">
        <f>IF(M$2=0,"",IFERROR(TRIM(INDEX('Pegar docentes'!$A$1:$BZ$1001,318,M$2)&amp;""),""))</f>
        <v/>
      </c>
      <c r="N319">
        <f>IF(N$2=0,"",IFERROR(TRIM(INDEX('Pegar docentes'!$A$1:$BZ$1001,318,N$2)&amp;""),""))</f>
        <v/>
      </c>
      <c r="O319">
        <f>IF(O$2=0,"",IFERROR(TRIM(INDEX('Pegar docentes'!$A$1:$BZ$1001,318,O$2)&amp;""),""))</f>
        <v/>
      </c>
      <c r="P319">
        <f>IF(P$2=0,"",IFERROR(TRIM(INDEX('Pegar docentes'!$A$1:$BZ$1001,318,P$2)&amp;""),""))</f>
        <v/>
      </c>
      <c r="Q319" s="25">
        <f>IF(OR(D319&lt;&gt;"",H319&lt;&gt;""),1,"")</f>
        <v/>
      </c>
      <c r="R319" s="25">
        <f>IF(Q319=1,IF(ISNUMBER(FIND("#"&amp;MID(D319,1,1)&amp;"#","#0#1#2#3#4#5#6#7#8#9#")),IF(ISNUMBER(FIND("#"&amp;MID(D319,2,1)&amp;"#","#0#1#2#3#4#5#6#7#8#9#")),IF(AND(VALUE(LEFT(D319,2))&gt;=1,VALUE(LEFT(D319,2))&lt;=5),VALUE(LEFT(D319,2)),""),IF(AND(VALUE(LEFT(D319,1))&gt;=1,VALUE(LEFT(D319,1))&lt;=5),VALUE(LEFT(D319,1)),"")),""),"")</f>
        <v/>
      </c>
      <c r="S319" s="25">
        <f>IF(AND(Q319=1,E319&lt;&gt;""),SUBSTITUTE(SUBSTITUTE(SUBSTITUTE(SUBSTITUTE(SUBSTITUTE(SUBSTITUTE(SUBSTITUTE(SUBSTITUTE(SUBSTITUTE(SUBSTITUTE(SUBSTITUTE(SUBSTITUTE(LOWER(TRIM(E319)),"á","a"),"é","e"),"í","i"),"ó","o"),"ú","u"),"ü","u"),"ñ","n"),"à","a"),"è","e"),"ì","i"),"ò","o"),"ù","u"),"")</f>
        <v/>
      </c>
      <c r="T319" s="25">
        <f>IF(AND(Q319=1,G319&lt;&gt;""),SUBSTITUTE(SUBSTITUTE(SUBSTITUTE(SUBSTITUTE(SUBSTITUTE(SUBSTITUTE(SUBSTITUTE(SUBSTITUTE(SUBSTITUTE(SUBSTITUTE(SUBSTITUTE(SUBSTITUTE(LOWER(TRIM(G319)),"á","a"),"é","e"),"í","i"),"ó","o"),"ú","u"),"ü","u"),"ñ","n"),"à","a"),"è","e"),"ì","i"),"ò","o"),"ù","u"),"")</f>
        <v/>
      </c>
      <c r="U319" s="25">
        <f>IF(AND(Q319=1,H319&lt;&gt;""),SUBSTITUTE(SUBSTITUTE(SUBSTITUTE(SUBSTITUTE(SUBSTITUTE(SUBSTITUTE(SUBSTITUTE(SUBSTITUTE(SUBSTITUTE(SUBSTITUTE(SUBSTITUTE(SUBSTITUTE(LOWER(TRIM(H319)),"á","a"),"é","e"),"í","i"),"ó","o"),"ú","u"),"ü","u"),"ñ","n"),"à","a"),"è","e"),"ì","i"),"ò","o"),"ù","u"),"")</f>
        <v/>
      </c>
      <c r="V319" s="25">
        <f>IF(AND(Q319=1,L319&lt;&gt;""),SUBSTITUTE(SUBSTITUTE(SUBSTITUTE(SUBSTITUTE(SUBSTITUTE(SUBSTITUTE(SUBSTITUTE(SUBSTITUTE(SUBSTITUTE(SUBSTITUTE(SUBSTITUTE(SUBSTITUTE(LOWER(TRIM(L319)),"á","a"),"é","e"),"í","i"),"ó","o"),"ú","u"),"ü","u"),"ñ","n"),"à","a"),"è","e"),"ì","i"),"ò","o"),"ù","u"),"")</f>
        <v/>
      </c>
      <c r="W319" s="25">
        <f>IF(AND(Q319=1,I319&lt;&gt;""),SUBSTITUTE(SUBSTITUTE(SUBSTITUTE(SUBSTITUTE(SUBSTITUTE(SUBSTITUTE(SUBSTITUTE(SUBSTITUTE(SUBSTITUTE(SUBSTITUTE(SUBSTITUTE(SUBSTITUTE(LOWER(TRIM(I319)),"á","a"),"é","e"),"í","i"),"ó","o"),"ú","u"),"ü","u"),"ñ","n"),"à","a"),"è","e"),"ì","i"),"ò","o"),"ù","u"),"")</f>
        <v/>
      </c>
      <c r="X319" s="25">
        <f>IF(U319="","",IF(OR(U319="si, en la proxima tarea",U319="si, con cambios"),1,0))</f>
        <v/>
      </c>
      <c r="Y319" s="25">
        <f>IF(AND(Q319=1,A319&lt;&gt;""),IF(IFERROR(COUNTIFS(A$3:A319,"="&amp;SUBSTITUTE(SUBSTITUTE(SUBSTITUTE(A319,"~","~~"),"*","~*"),"?","~?"),Q$3:Q319,1),0)=1,MAX(Y$2:Y318)+1,""),"")</f>
        <v/>
      </c>
      <c r="Z319" s="25">
        <f>IF(Y319="","",COUNTIFS($A$3:$A$1002,"="&amp;SUBSTITUTE(SUBSTITUTE(SUBSTITUTE(A319,"~","~~"),"*","~*"),"?","~?"),$Q$3:$Q$1002,1)*10000-Y319)</f>
        <v/>
      </c>
    </row>
    <row r="320">
      <c r="A320">
        <f>IF(A$2=0,"",IFERROR(TRIM(INDEX('Pegar docentes'!$A$1:$BZ$1001,319,A$2)&amp;""),""))</f>
        <v/>
      </c>
      <c r="B320">
        <f>IF(B$2=0,"",IFERROR(TRIM(INDEX('Pegar docentes'!$A$1:$BZ$1001,319,B$2)&amp;""),""))</f>
        <v/>
      </c>
      <c r="C320">
        <f>IF(C$2=0,"",IFERROR(TRIM(INDEX('Pegar docentes'!$A$1:$BZ$1001,319,C$2)&amp;""),""))</f>
        <v/>
      </c>
      <c r="D320">
        <f>IF(D$2=0,"",IFERROR(TRIM(INDEX('Pegar docentes'!$A$1:$BZ$1001,319,D$2)&amp;""),""))</f>
        <v/>
      </c>
      <c r="E320">
        <f>IF(E$2=0,"",IFERROR(TRIM(INDEX('Pegar docentes'!$A$1:$BZ$1001,319,E$2)&amp;""),""))</f>
        <v/>
      </c>
      <c r="F320">
        <f>IF(F$2=0,"",IFERROR(TRIM(INDEX('Pegar docentes'!$A$1:$BZ$1001,319,F$2)&amp;""),""))</f>
        <v/>
      </c>
      <c r="G320">
        <f>IF(G$2=0,"",IFERROR(TRIM(INDEX('Pegar docentes'!$A$1:$BZ$1001,319,G$2)&amp;""),""))</f>
        <v/>
      </c>
      <c r="H320">
        <f>IF(H$2=0,"",IFERROR(TRIM(INDEX('Pegar docentes'!$A$1:$BZ$1001,319,H$2)&amp;""),""))</f>
        <v/>
      </c>
      <c r="I320">
        <f>IF(I$2=0,"",IFERROR(TRIM(INDEX('Pegar docentes'!$A$1:$BZ$1001,319,I$2)&amp;""),""))</f>
        <v/>
      </c>
      <c r="J320">
        <f>IF(J$2=0,"",IFERROR(TRIM(INDEX('Pegar docentes'!$A$1:$BZ$1001,319,J$2)&amp;""),""))</f>
        <v/>
      </c>
      <c r="K320">
        <f>IF(K$2=0,"",IFERROR(TRIM(INDEX('Pegar docentes'!$A$1:$BZ$1001,319,K$2)&amp;""),""))</f>
        <v/>
      </c>
      <c r="L320">
        <f>IF(L$2=0,"",IFERROR(TRIM(INDEX('Pegar docentes'!$A$1:$BZ$1001,319,L$2)&amp;""),""))</f>
        <v/>
      </c>
      <c r="M320">
        <f>IF(M$2=0,"",IFERROR(TRIM(INDEX('Pegar docentes'!$A$1:$BZ$1001,319,M$2)&amp;""),""))</f>
        <v/>
      </c>
      <c r="N320">
        <f>IF(N$2=0,"",IFERROR(TRIM(INDEX('Pegar docentes'!$A$1:$BZ$1001,319,N$2)&amp;""),""))</f>
        <v/>
      </c>
      <c r="O320">
        <f>IF(O$2=0,"",IFERROR(TRIM(INDEX('Pegar docentes'!$A$1:$BZ$1001,319,O$2)&amp;""),""))</f>
        <v/>
      </c>
      <c r="P320">
        <f>IF(P$2=0,"",IFERROR(TRIM(INDEX('Pegar docentes'!$A$1:$BZ$1001,319,P$2)&amp;""),""))</f>
        <v/>
      </c>
      <c r="Q320" s="25">
        <f>IF(OR(D320&lt;&gt;"",H320&lt;&gt;""),1,"")</f>
        <v/>
      </c>
      <c r="R320" s="25">
        <f>IF(Q320=1,IF(ISNUMBER(FIND("#"&amp;MID(D320,1,1)&amp;"#","#0#1#2#3#4#5#6#7#8#9#")),IF(ISNUMBER(FIND("#"&amp;MID(D320,2,1)&amp;"#","#0#1#2#3#4#5#6#7#8#9#")),IF(AND(VALUE(LEFT(D320,2))&gt;=1,VALUE(LEFT(D320,2))&lt;=5),VALUE(LEFT(D320,2)),""),IF(AND(VALUE(LEFT(D320,1))&gt;=1,VALUE(LEFT(D320,1))&lt;=5),VALUE(LEFT(D320,1)),"")),""),"")</f>
        <v/>
      </c>
      <c r="S320" s="25">
        <f>IF(AND(Q320=1,E320&lt;&gt;""),SUBSTITUTE(SUBSTITUTE(SUBSTITUTE(SUBSTITUTE(SUBSTITUTE(SUBSTITUTE(SUBSTITUTE(SUBSTITUTE(SUBSTITUTE(SUBSTITUTE(SUBSTITUTE(SUBSTITUTE(LOWER(TRIM(E320)),"á","a"),"é","e"),"í","i"),"ó","o"),"ú","u"),"ü","u"),"ñ","n"),"à","a"),"è","e"),"ì","i"),"ò","o"),"ù","u"),"")</f>
        <v/>
      </c>
      <c r="T320" s="25">
        <f>IF(AND(Q320=1,G320&lt;&gt;""),SUBSTITUTE(SUBSTITUTE(SUBSTITUTE(SUBSTITUTE(SUBSTITUTE(SUBSTITUTE(SUBSTITUTE(SUBSTITUTE(SUBSTITUTE(SUBSTITUTE(SUBSTITUTE(SUBSTITUTE(LOWER(TRIM(G320)),"á","a"),"é","e"),"í","i"),"ó","o"),"ú","u"),"ü","u"),"ñ","n"),"à","a"),"è","e"),"ì","i"),"ò","o"),"ù","u"),"")</f>
        <v/>
      </c>
      <c r="U320" s="25">
        <f>IF(AND(Q320=1,H320&lt;&gt;""),SUBSTITUTE(SUBSTITUTE(SUBSTITUTE(SUBSTITUTE(SUBSTITUTE(SUBSTITUTE(SUBSTITUTE(SUBSTITUTE(SUBSTITUTE(SUBSTITUTE(SUBSTITUTE(SUBSTITUTE(LOWER(TRIM(H320)),"á","a"),"é","e"),"í","i"),"ó","o"),"ú","u"),"ü","u"),"ñ","n"),"à","a"),"è","e"),"ì","i"),"ò","o"),"ù","u"),"")</f>
        <v/>
      </c>
      <c r="V320" s="25">
        <f>IF(AND(Q320=1,L320&lt;&gt;""),SUBSTITUTE(SUBSTITUTE(SUBSTITUTE(SUBSTITUTE(SUBSTITUTE(SUBSTITUTE(SUBSTITUTE(SUBSTITUTE(SUBSTITUTE(SUBSTITUTE(SUBSTITUTE(SUBSTITUTE(LOWER(TRIM(L320)),"á","a"),"é","e"),"í","i"),"ó","o"),"ú","u"),"ü","u"),"ñ","n"),"à","a"),"è","e"),"ì","i"),"ò","o"),"ù","u"),"")</f>
        <v/>
      </c>
      <c r="W320" s="25">
        <f>IF(AND(Q320=1,I320&lt;&gt;""),SUBSTITUTE(SUBSTITUTE(SUBSTITUTE(SUBSTITUTE(SUBSTITUTE(SUBSTITUTE(SUBSTITUTE(SUBSTITUTE(SUBSTITUTE(SUBSTITUTE(SUBSTITUTE(SUBSTITUTE(LOWER(TRIM(I320)),"á","a"),"é","e"),"í","i"),"ó","o"),"ú","u"),"ü","u"),"ñ","n"),"à","a"),"è","e"),"ì","i"),"ò","o"),"ù","u"),"")</f>
        <v/>
      </c>
      <c r="X320" s="25">
        <f>IF(U320="","",IF(OR(U320="si, en la proxima tarea",U320="si, con cambios"),1,0))</f>
        <v/>
      </c>
      <c r="Y320" s="25">
        <f>IF(AND(Q320=1,A320&lt;&gt;""),IF(IFERROR(COUNTIFS(A$3:A320,"="&amp;SUBSTITUTE(SUBSTITUTE(SUBSTITUTE(A320,"~","~~"),"*","~*"),"?","~?"),Q$3:Q320,1),0)=1,MAX(Y$2:Y319)+1,""),"")</f>
        <v/>
      </c>
      <c r="Z320" s="25">
        <f>IF(Y320="","",COUNTIFS($A$3:$A$1002,"="&amp;SUBSTITUTE(SUBSTITUTE(SUBSTITUTE(A320,"~","~~"),"*","~*"),"?","~?"),$Q$3:$Q$1002,1)*10000-Y320)</f>
        <v/>
      </c>
    </row>
    <row r="321">
      <c r="A321">
        <f>IF(A$2=0,"",IFERROR(TRIM(INDEX('Pegar docentes'!$A$1:$BZ$1001,320,A$2)&amp;""),""))</f>
        <v/>
      </c>
      <c r="B321">
        <f>IF(B$2=0,"",IFERROR(TRIM(INDEX('Pegar docentes'!$A$1:$BZ$1001,320,B$2)&amp;""),""))</f>
        <v/>
      </c>
      <c r="C321">
        <f>IF(C$2=0,"",IFERROR(TRIM(INDEX('Pegar docentes'!$A$1:$BZ$1001,320,C$2)&amp;""),""))</f>
        <v/>
      </c>
      <c r="D321">
        <f>IF(D$2=0,"",IFERROR(TRIM(INDEX('Pegar docentes'!$A$1:$BZ$1001,320,D$2)&amp;""),""))</f>
        <v/>
      </c>
      <c r="E321">
        <f>IF(E$2=0,"",IFERROR(TRIM(INDEX('Pegar docentes'!$A$1:$BZ$1001,320,E$2)&amp;""),""))</f>
        <v/>
      </c>
      <c r="F321">
        <f>IF(F$2=0,"",IFERROR(TRIM(INDEX('Pegar docentes'!$A$1:$BZ$1001,320,F$2)&amp;""),""))</f>
        <v/>
      </c>
      <c r="G321">
        <f>IF(G$2=0,"",IFERROR(TRIM(INDEX('Pegar docentes'!$A$1:$BZ$1001,320,G$2)&amp;""),""))</f>
        <v/>
      </c>
      <c r="H321">
        <f>IF(H$2=0,"",IFERROR(TRIM(INDEX('Pegar docentes'!$A$1:$BZ$1001,320,H$2)&amp;""),""))</f>
        <v/>
      </c>
      <c r="I321">
        <f>IF(I$2=0,"",IFERROR(TRIM(INDEX('Pegar docentes'!$A$1:$BZ$1001,320,I$2)&amp;""),""))</f>
        <v/>
      </c>
      <c r="J321">
        <f>IF(J$2=0,"",IFERROR(TRIM(INDEX('Pegar docentes'!$A$1:$BZ$1001,320,J$2)&amp;""),""))</f>
        <v/>
      </c>
      <c r="K321">
        <f>IF(K$2=0,"",IFERROR(TRIM(INDEX('Pegar docentes'!$A$1:$BZ$1001,320,K$2)&amp;""),""))</f>
        <v/>
      </c>
      <c r="L321">
        <f>IF(L$2=0,"",IFERROR(TRIM(INDEX('Pegar docentes'!$A$1:$BZ$1001,320,L$2)&amp;""),""))</f>
        <v/>
      </c>
      <c r="M321">
        <f>IF(M$2=0,"",IFERROR(TRIM(INDEX('Pegar docentes'!$A$1:$BZ$1001,320,M$2)&amp;""),""))</f>
        <v/>
      </c>
      <c r="N321">
        <f>IF(N$2=0,"",IFERROR(TRIM(INDEX('Pegar docentes'!$A$1:$BZ$1001,320,N$2)&amp;""),""))</f>
        <v/>
      </c>
      <c r="O321">
        <f>IF(O$2=0,"",IFERROR(TRIM(INDEX('Pegar docentes'!$A$1:$BZ$1001,320,O$2)&amp;""),""))</f>
        <v/>
      </c>
      <c r="P321">
        <f>IF(P$2=0,"",IFERROR(TRIM(INDEX('Pegar docentes'!$A$1:$BZ$1001,320,P$2)&amp;""),""))</f>
        <v/>
      </c>
      <c r="Q321" s="25">
        <f>IF(OR(D321&lt;&gt;"",H321&lt;&gt;""),1,"")</f>
        <v/>
      </c>
      <c r="R321" s="25">
        <f>IF(Q321=1,IF(ISNUMBER(FIND("#"&amp;MID(D321,1,1)&amp;"#","#0#1#2#3#4#5#6#7#8#9#")),IF(ISNUMBER(FIND("#"&amp;MID(D321,2,1)&amp;"#","#0#1#2#3#4#5#6#7#8#9#")),IF(AND(VALUE(LEFT(D321,2))&gt;=1,VALUE(LEFT(D321,2))&lt;=5),VALUE(LEFT(D321,2)),""),IF(AND(VALUE(LEFT(D321,1))&gt;=1,VALUE(LEFT(D321,1))&lt;=5),VALUE(LEFT(D321,1)),"")),""),"")</f>
        <v/>
      </c>
      <c r="S321" s="25">
        <f>IF(AND(Q321=1,E321&lt;&gt;""),SUBSTITUTE(SUBSTITUTE(SUBSTITUTE(SUBSTITUTE(SUBSTITUTE(SUBSTITUTE(SUBSTITUTE(SUBSTITUTE(SUBSTITUTE(SUBSTITUTE(SUBSTITUTE(SUBSTITUTE(LOWER(TRIM(E321)),"á","a"),"é","e"),"í","i"),"ó","o"),"ú","u"),"ü","u"),"ñ","n"),"à","a"),"è","e"),"ì","i"),"ò","o"),"ù","u"),"")</f>
        <v/>
      </c>
      <c r="T321" s="25">
        <f>IF(AND(Q321=1,G321&lt;&gt;""),SUBSTITUTE(SUBSTITUTE(SUBSTITUTE(SUBSTITUTE(SUBSTITUTE(SUBSTITUTE(SUBSTITUTE(SUBSTITUTE(SUBSTITUTE(SUBSTITUTE(SUBSTITUTE(SUBSTITUTE(LOWER(TRIM(G321)),"á","a"),"é","e"),"í","i"),"ó","o"),"ú","u"),"ü","u"),"ñ","n"),"à","a"),"è","e"),"ì","i"),"ò","o"),"ù","u"),"")</f>
        <v/>
      </c>
      <c r="U321" s="25">
        <f>IF(AND(Q321=1,H321&lt;&gt;""),SUBSTITUTE(SUBSTITUTE(SUBSTITUTE(SUBSTITUTE(SUBSTITUTE(SUBSTITUTE(SUBSTITUTE(SUBSTITUTE(SUBSTITUTE(SUBSTITUTE(SUBSTITUTE(SUBSTITUTE(LOWER(TRIM(H321)),"á","a"),"é","e"),"í","i"),"ó","o"),"ú","u"),"ü","u"),"ñ","n"),"à","a"),"è","e"),"ì","i"),"ò","o"),"ù","u"),"")</f>
        <v/>
      </c>
      <c r="V321" s="25">
        <f>IF(AND(Q321=1,L321&lt;&gt;""),SUBSTITUTE(SUBSTITUTE(SUBSTITUTE(SUBSTITUTE(SUBSTITUTE(SUBSTITUTE(SUBSTITUTE(SUBSTITUTE(SUBSTITUTE(SUBSTITUTE(SUBSTITUTE(SUBSTITUTE(LOWER(TRIM(L321)),"á","a"),"é","e"),"í","i"),"ó","o"),"ú","u"),"ü","u"),"ñ","n"),"à","a"),"è","e"),"ì","i"),"ò","o"),"ù","u"),"")</f>
        <v/>
      </c>
      <c r="W321" s="25">
        <f>IF(AND(Q321=1,I321&lt;&gt;""),SUBSTITUTE(SUBSTITUTE(SUBSTITUTE(SUBSTITUTE(SUBSTITUTE(SUBSTITUTE(SUBSTITUTE(SUBSTITUTE(SUBSTITUTE(SUBSTITUTE(SUBSTITUTE(SUBSTITUTE(LOWER(TRIM(I321)),"á","a"),"é","e"),"í","i"),"ó","o"),"ú","u"),"ü","u"),"ñ","n"),"à","a"),"è","e"),"ì","i"),"ò","o"),"ù","u"),"")</f>
        <v/>
      </c>
      <c r="X321" s="25">
        <f>IF(U321="","",IF(OR(U321="si, en la proxima tarea",U321="si, con cambios"),1,0))</f>
        <v/>
      </c>
      <c r="Y321" s="25">
        <f>IF(AND(Q321=1,A321&lt;&gt;""),IF(IFERROR(COUNTIFS(A$3:A321,"="&amp;SUBSTITUTE(SUBSTITUTE(SUBSTITUTE(A321,"~","~~"),"*","~*"),"?","~?"),Q$3:Q321,1),0)=1,MAX(Y$2:Y320)+1,""),"")</f>
        <v/>
      </c>
      <c r="Z321" s="25">
        <f>IF(Y321="","",COUNTIFS($A$3:$A$1002,"="&amp;SUBSTITUTE(SUBSTITUTE(SUBSTITUTE(A321,"~","~~"),"*","~*"),"?","~?"),$Q$3:$Q$1002,1)*10000-Y321)</f>
        <v/>
      </c>
    </row>
    <row r="322">
      <c r="A322">
        <f>IF(A$2=0,"",IFERROR(TRIM(INDEX('Pegar docentes'!$A$1:$BZ$1001,321,A$2)&amp;""),""))</f>
        <v/>
      </c>
      <c r="B322">
        <f>IF(B$2=0,"",IFERROR(TRIM(INDEX('Pegar docentes'!$A$1:$BZ$1001,321,B$2)&amp;""),""))</f>
        <v/>
      </c>
      <c r="C322">
        <f>IF(C$2=0,"",IFERROR(TRIM(INDEX('Pegar docentes'!$A$1:$BZ$1001,321,C$2)&amp;""),""))</f>
        <v/>
      </c>
      <c r="D322">
        <f>IF(D$2=0,"",IFERROR(TRIM(INDEX('Pegar docentes'!$A$1:$BZ$1001,321,D$2)&amp;""),""))</f>
        <v/>
      </c>
      <c r="E322">
        <f>IF(E$2=0,"",IFERROR(TRIM(INDEX('Pegar docentes'!$A$1:$BZ$1001,321,E$2)&amp;""),""))</f>
        <v/>
      </c>
      <c r="F322">
        <f>IF(F$2=0,"",IFERROR(TRIM(INDEX('Pegar docentes'!$A$1:$BZ$1001,321,F$2)&amp;""),""))</f>
        <v/>
      </c>
      <c r="G322">
        <f>IF(G$2=0,"",IFERROR(TRIM(INDEX('Pegar docentes'!$A$1:$BZ$1001,321,G$2)&amp;""),""))</f>
        <v/>
      </c>
      <c r="H322">
        <f>IF(H$2=0,"",IFERROR(TRIM(INDEX('Pegar docentes'!$A$1:$BZ$1001,321,H$2)&amp;""),""))</f>
        <v/>
      </c>
      <c r="I322">
        <f>IF(I$2=0,"",IFERROR(TRIM(INDEX('Pegar docentes'!$A$1:$BZ$1001,321,I$2)&amp;""),""))</f>
        <v/>
      </c>
      <c r="J322">
        <f>IF(J$2=0,"",IFERROR(TRIM(INDEX('Pegar docentes'!$A$1:$BZ$1001,321,J$2)&amp;""),""))</f>
        <v/>
      </c>
      <c r="K322">
        <f>IF(K$2=0,"",IFERROR(TRIM(INDEX('Pegar docentes'!$A$1:$BZ$1001,321,K$2)&amp;""),""))</f>
        <v/>
      </c>
      <c r="L322">
        <f>IF(L$2=0,"",IFERROR(TRIM(INDEX('Pegar docentes'!$A$1:$BZ$1001,321,L$2)&amp;""),""))</f>
        <v/>
      </c>
      <c r="M322">
        <f>IF(M$2=0,"",IFERROR(TRIM(INDEX('Pegar docentes'!$A$1:$BZ$1001,321,M$2)&amp;""),""))</f>
        <v/>
      </c>
      <c r="N322">
        <f>IF(N$2=0,"",IFERROR(TRIM(INDEX('Pegar docentes'!$A$1:$BZ$1001,321,N$2)&amp;""),""))</f>
        <v/>
      </c>
      <c r="O322">
        <f>IF(O$2=0,"",IFERROR(TRIM(INDEX('Pegar docentes'!$A$1:$BZ$1001,321,O$2)&amp;""),""))</f>
        <v/>
      </c>
      <c r="P322">
        <f>IF(P$2=0,"",IFERROR(TRIM(INDEX('Pegar docentes'!$A$1:$BZ$1001,321,P$2)&amp;""),""))</f>
        <v/>
      </c>
      <c r="Q322" s="25">
        <f>IF(OR(D322&lt;&gt;"",H322&lt;&gt;""),1,"")</f>
        <v/>
      </c>
      <c r="R322" s="25">
        <f>IF(Q322=1,IF(ISNUMBER(FIND("#"&amp;MID(D322,1,1)&amp;"#","#0#1#2#3#4#5#6#7#8#9#")),IF(ISNUMBER(FIND("#"&amp;MID(D322,2,1)&amp;"#","#0#1#2#3#4#5#6#7#8#9#")),IF(AND(VALUE(LEFT(D322,2))&gt;=1,VALUE(LEFT(D322,2))&lt;=5),VALUE(LEFT(D322,2)),""),IF(AND(VALUE(LEFT(D322,1))&gt;=1,VALUE(LEFT(D322,1))&lt;=5),VALUE(LEFT(D322,1)),"")),""),"")</f>
        <v/>
      </c>
      <c r="S322" s="25">
        <f>IF(AND(Q322=1,E322&lt;&gt;""),SUBSTITUTE(SUBSTITUTE(SUBSTITUTE(SUBSTITUTE(SUBSTITUTE(SUBSTITUTE(SUBSTITUTE(SUBSTITUTE(SUBSTITUTE(SUBSTITUTE(SUBSTITUTE(SUBSTITUTE(LOWER(TRIM(E322)),"á","a"),"é","e"),"í","i"),"ó","o"),"ú","u"),"ü","u"),"ñ","n"),"à","a"),"è","e"),"ì","i"),"ò","o"),"ù","u"),"")</f>
        <v/>
      </c>
      <c r="T322" s="25">
        <f>IF(AND(Q322=1,G322&lt;&gt;""),SUBSTITUTE(SUBSTITUTE(SUBSTITUTE(SUBSTITUTE(SUBSTITUTE(SUBSTITUTE(SUBSTITUTE(SUBSTITUTE(SUBSTITUTE(SUBSTITUTE(SUBSTITUTE(SUBSTITUTE(LOWER(TRIM(G322)),"á","a"),"é","e"),"í","i"),"ó","o"),"ú","u"),"ü","u"),"ñ","n"),"à","a"),"è","e"),"ì","i"),"ò","o"),"ù","u"),"")</f>
        <v/>
      </c>
      <c r="U322" s="25">
        <f>IF(AND(Q322=1,H322&lt;&gt;""),SUBSTITUTE(SUBSTITUTE(SUBSTITUTE(SUBSTITUTE(SUBSTITUTE(SUBSTITUTE(SUBSTITUTE(SUBSTITUTE(SUBSTITUTE(SUBSTITUTE(SUBSTITUTE(SUBSTITUTE(LOWER(TRIM(H322)),"á","a"),"é","e"),"í","i"),"ó","o"),"ú","u"),"ü","u"),"ñ","n"),"à","a"),"è","e"),"ì","i"),"ò","o"),"ù","u"),"")</f>
        <v/>
      </c>
      <c r="V322" s="25">
        <f>IF(AND(Q322=1,L322&lt;&gt;""),SUBSTITUTE(SUBSTITUTE(SUBSTITUTE(SUBSTITUTE(SUBSTITUTE(SUBSTITUTE(SUBSTITUTE(SUBSTITUTE(SUBSTITUTE(SUBSTITUTE(SUBSTITUTE(SUBSTITUTE(LOWER(TRIM(L322)),"á","a"),"é","e"),"í","i"),"ó","o"),"ú","u"),"ü","u"),"ñ","n"),"à","a"),"è","e"),"ì","i"),"ò","o"),"ù","u"),"")</f>
        <v/>
      </c>
      <c r="W322" s="25">
        <f>IF(AND(Q322=1,I322&lt;&gt;""),SUBSTITUTE(SUBSTITUTE(SUBSTITUTE(SUBSTITUTE(SUBSTITUTE(SUBSTITUTE(SUBSTITUTE(SUBSTITUTE(SUBSTITUTE(SUBSTITUTE(SUBSTITUTE(SUBSTITUTE(LOWER(TRIM(I322)),"á","a"),"é","e"),"í","i"),"ó","o"),"ú","u"),"ü","u"),"ñ","n"),"à","a"),"è","e"),"ì","i"),"ò","o"),"ù","u"),"")</f>
        <v/>
      </c>
      <c r="X322" s="25">
        <f>IF(U322="","",IF(OR(U322="si, en la proxima tarea",U322="si, con cambios"),1,0))</f>
        <v/>
      </c>
      <c r="Y322" s="25">
        <f>IF(AND(Q322=1,A322&lt;&gt;""),IF(IFERROR(COUNTIFS(A$3:A322,"="&amp;SUBSTITUTE(SUBSTITUTE(SUBSTITUTE(A322,"~","~~"),"*","~*"),"?","~?"),Q$3:Q322,1),0)=1,MAX(Y$2:Y321)+1,""),"")</f>
        <v/>
      </c>
      <c r="Z322" s="25">
        <f>IF(Y322="","",COUNTIFS($A$3:$A$1002,"="&amp;SUBSTITUTE(SUBSTITUTE(SUBSTITUTE(A322,"~","~~"),"*","~*"),"?","~?"),$Q$3:$Q$1002,1)*10000-Y322)</f>
        <v/>
      </c>
    </row>
    <row r="323">
      <c r="A323">
        <f>IF(A$2=0,"",IFERROR(TRIM(INDEX('Pegar docentes'!$A$1:$BZ$1001,322,A$2)&amp;""),""))</f>
        <v/>
      </c>
      <c r="B323">
        <f>IF(B$2=0,"",IFERROR(TRIM(INDEX('Pegar docentes'!$A$1:$BZ$1001,322,B$2)&amp;""),""))</f>
        <v/>
      </c>
      <c r="C323">
        <f>IF(C$2=0,"",IFERROR(TRIM(INDEX('Pegar docentes'!$A$1:$BZ$1001,322,C$2)&amp;""),""))</f>
        <v/>
      </c>
      <c r="D323">
        <f>IF(D$2=0,"",IFERROR(TRIM(INDEX('Pegar docentes'!$A$1:$BZ$1001,322,D$2)&amp;""),""))</f>
        <v/>
      </c>
      <c r="E323">
        <f>IF(E$2=0,"",IFERROR(TRIM(INDEX('Pegar docentes'!$A$1:$BZ$1001,322,E$2)&amp;""),""))</f>
        <v/>
      </c>
      <c r="F323">
        <f>IF(F$2=0,"",IFERROR(TRIM(INDEX('Pegar docentes'!$A$1:$BZ$1001,322,F$2)&amp;""),""))</f>
        <v/>
      </c>
      <c r="G323">
        <f>IF(G$2=0,"",IFERROR(TRIM(INDEX('Pegar docentes'!$A$1:$BZ$1001,322,G$2)&amp;""),""))</f>
        <v/>
      </c>
      <c r="H323">
        <f>IF(H$2=0,"",IFERROR(TRIM(INDEX('Pegar docentes'!$A$1:$BZ$1001,322,H$2)&amp;""),""))</f>
        <v/>
      </c>
      <c r="I323">
        <f>IF(I$2=0,"",IFERROR(TRIM(INDEX('Pegar docentes'!$A$1:$BZ$1001,322,I$2)&amp;""),""))</f>
        <v/>
      </c>
      <c r="J323">
        <f>IF(J$2=0,"",IFERROR(TRIM(INDEX('Pegar docentes'!$A$1:$BZ$1001,322,J$2)&amp;""),""))</f>
        <v/>
      </c>
      <c r="K323">
        <f>IF(K$2=0,"",IFERROR(TRIM(INDEX('Pegar docentes'!$A$1:$BZ$1001,322,K$2)&amp;""),""))</f>
        <v/>
      </c>
      <c r="L323">
        <f>IF(L$2=0,"",IFERROR(TRIM(INDEX('Pegar docentes'!$A$1:$BZ$1001,322,L$2)&amp;""),""))</f>
        <v/>
      </c>
      <c r="M323">
        <f>IF(M$2=0,"",IFERROR(TRIM(INDEX('Pegar docentes'!$A$1:$BZ$1001,322,M$2)&amp;""),""))</f>
        <v/>
      </c>
      <c r="N323">
        <f>IF(N$2=0,"",IFERROR(TRIM(INDEX('Pegar docentes'!$A$1:$BZ$1001,322,N$2)&amp;""),""))</f>
        <v/>
      </c>
      <c r="O323">
        <f>IF(O$2=0,"",IFERROR(TRIM(INDEX('Pegar docentes'!$A$1:$BZ$1001,322,O$2)&amp;""),""))</f>
        <v/>
      </c>
      <c r="P323">
        <f>IF(P$2=0,"",IFERROR(TRIM(INDEX('Pegar docentes'!$A$1:$BZ$1001,322,P$2)&amp;""),""))</f>
        <v/>
      </c>
      <c r="Q323" s="25">
        <f>IF(OR(D323&lt;&gt;"",H323&lt;&gt;""),1,"")</f>
        <v/>
      </c>
      <c r="R323" s="25">
        <f>IF(Q323=1,IF(ISNUMBER(FIND("#"&amp;MID(D323,1,1)&amp;"#","#0#1#2#3#4#5#6#7#8#9#")),IF(ISNUMBER(FIND("#"&amp;MID(D323,2,1)&amp;"#","#0#1#2#3#4#5#6#7#8#9#")),IF(AND(VALUE(LEFT(D323,2))&gt;=1,VALUE(LEFT(D323,2))&lt;=5),VALUE(LEFT(D323,2)),""),IF(AND(VALUE(LEFT(D323,1))&gt;=1,VALUE(LEFT(D323,1))&lt;=5),VALUE(LEFT(D323,1)),"")),""),"")</f>
        <v/>
      </c>
      <c r="S323" s="25">
        <f>IF(AND(Q323=1,E323&lt;&gt;""),SUBSTITUTE(SUBSTITUTE(SUBSTITUTE(SUBSTITUTE(SUBSTITUTE(SUBSTITUTE(SUBSTITUTE(SUBSTITUTE(SUBSTITUTE(SUBSTITUTE(SUBSTITUTE(SUBSTITUTE(LOWER(TRIM(E323)),"á","a"),"é","e"),"í","i"),"ó","o"),"ú","u"),"ü","u"),"ñ","n"),"à","a"),"è","e"),"ì","i"),"ò","o"),"ù","u"),"")</f>
        <v/>
      </c>
      <c r="T323" s="25">
        <f>IF(AND(Q323=1,G323&lt;&gt;""),SUBSTITUTE(SUBSTITUTE(SUBSTITUTE(SUBSTITUTE(SUBSTITUTE(SUBSTITUTE(SUBSTITUTE(SUBSTITUTE(SUBSTITUTE(SUBSTITUTE(SUBSTITUTE(SUBSTITUTE(LOWER(TRIM(G323)),"á","a"),"é","e"),"í","i"),"ó","o"),"ú","u"),"ü","u"),"ñ","n"),"à","a"),"è","e"),"ì","i"),"ò","o"),"ù","u"),"")</f>
        <v/>
      </c>
      <c r="U323" s="25">
        <f>IF(AND(Q323=1,H323&lt;&gt;""),SUBSTITUTE(SUBSTITUTE(SUBSTITUTE(SUBSTITUTE(SUBSTITUTE(SUBSTITUTE(SUBSTITUTE(SUBSTITUTE(SUBSTITUTE(SUBSTITUTE(SUBSTITUTE(SUBSTITUTE(LOWER(TRIM(H323)),"á","a"),"é","e"),"í","i"),"ó","o"),"ú","u"),"ü","u"),"ñ","n"),"à","a"),"è","e"),"ì","i"),"ò","o"),"ù","u"),"")</f>
        <v/>
      </c>
      <c r="V323" s="25">
        <f>IF(AND(Q323=1,L323&lt;&gt;""),SUBSTITUTE(SUBSTITUTE(SUBSTITUTE(SUBSTITUTE(SUBSTITUTE(SUBSTITUTE(SUBSTITUTE(SUBSTITUTE(SUBSTITUTE(SUBSTITUTE(SUBSTITUTE(SUBSTITUTE(LOWER(TRIM(L323)),"á","a"),"é","e"),"í","i"),"ó","o"),"ú","u"),"ü","u"),"ñ","n"),"à","a"),"è","e"),"ì","i"),"ò","o"),"ù","u"),"")</f>
        <v/>
      </c>
      <c r="W323" s="25">
        <f>IF(AND(Q323=1,I323&lt;&gt;""),SUBSTITUTE(SUBSTITUTE(SUBSTITUTE(SUBSTITUTE(SUBSTITUTE(SUBSTITUTE(SUBSTITUTE(SUBSTITUTE(SUBSTITUTE(SUBSTITUTE(SUBSTITUTE(SUBSTITUTE(LOWER(TRIM(I323)),"á","a"),"é","e"),"í","i"),"ó","o"),"ú","u"),"ü","u"),"ñ","n"),"à","a"),"è","e"),"ì","i"),"ò","o"),"ù","u"),"")</f>
        <v/>
      </c>
      <c r="X323" s="25">
        <f>IF(U323="","",IF(OR(U323="si, en la proxima tarea",U323="si, con cambios"),1,0))</f>
        <v/>
      </c>
      <c r="Y323" s="25">
        <f>IF(AND(Q323=1,A323&lt;&gt;""),IF(IFERROR(COUNTIFS(A$3:A323,"="&amp;SUBSTITUTE(SUBSTITUTE(SUBSTITUTE(A323,"~","~~"),"*","~*"),"?","~?"),Q$3:Q323,1),0)=1,MAX(Y$2:Y322)+1,""),"")</f>
        <v/>
      </c>
      <c r="Z323" s="25">
        <f>IF(Y323="","",COUNTIFS($A$3:$A$1002,"="&amp;SUBSTITUTE(SUBSTITUTE(SUBSTITUTE(A323,"~","~~"),"*","~*"),"?","~?"),$Q$3:$Q$1002,1)*10000-Y323)</f>
        <v/>
      </c>
    </row>
    <row r="324">
      <c r="A324">
        <f>IF(A$2=0,"",IFERROR(TRIM(INDEX('Pegar docentes'!$A$1:$BZ$1001,323,A$2)&amp;""),""))</f>
        <v/>
      </c>
      <c r="B324">
        <f>IF(B$2=0,"",IFERROR(TRIM(INDEX('Pegar docentes'!$A$1:$BZ$1001,323,B$2)&amp;""),""))</f>
        <v/>
      </c>
      <c r="C324">
        <f>IF(C$2=0,"",IFERROR(TRIM(INDEX('Pegar docentes'!$A$1:$BZ$1001,323,C$2)&amp;""),""))</f>
        <v/>
      </c>
      <c r="D324">
        <f>IF(D$2=0,"",IFERROR(TRIM(INDEX('Pegar docentes'!$A$1:$BZ$1001,323,D$2)&amp;""),""))</f>
        <v/>
      </c>
      <c r="E324">
        <f>IF(E$2=0,"",IFERROR(TRIM(INDEX('Pegar docentes'!$A$1:$BZ$1001,323,E$2)&amp;""),""))</f>
        <v/>
      </c>
      <c r="F324">
        <f>IF(F$2=0,"",IFERROR(TRIM(INDEX('Pegar docentes'!$A$1:$BZ$1001,323,F$2)&amp;""),""))</f>
        <v/>
      </c>
      <c r="G324">
        <f>IF(G$2=0,"",IFERROR(TRIM(INDEX('Pegar docentes'!$A$1:$BZ$1001,323,G$2)&amp;""),""))</f>
        <v/>
      </c>
      <c r="H324">
        <f>IF(H$2=0,"",IFERROR(TRIM(INDEX('Pegar docentes'!$A$1:$BZ$1001,323,H$2)&amp;""),""))</f>
        <v/>
      </c>
      <c r="I324">
        <f>IF(I$2=0,"",IFERROR(TRIM(INDEX('Pegar docentes'!$A$1:$BZ$1001,323,I$2)&amp;""),""))</f>
        <v/>
      </c>
      <c r="J324">
        <f>IF(J$2=0,"",IFERROR(TRIM(INDEX('Pegar docentes'!$A$1:$BZ$1001,323,J$2)&amp;""),""))</f>
        <v/>
      </c>
      <c r="K324">
        <f>IF(K$2=0,"",IFERROR(TRIM(INDEX('Pegar docentes'!$A$1:$BZ$1001,323,K$2)&amp;""),""))</f>
        <v/>
      </c>
      <c r="L324">
        <f>IF(L$2=0,"",IFERROR(TRIM(INDEX('Pegar docentes'!$A$1:$BZ$1001,323,L$2)&amp;""),""))</f>
        <v/>
      </c>
      <c r="M324">
        <f>IF(M$2=0,"",IFERROR(TRIM(INDEX('Pegar docentes'!$A$1:$BZ$1001,323,M$2)&amp;""),""))</f>
        <v/>
      </c>
      <c r="N324">
        <f>IF(N$2=0,"",IFERROR(TRIM(INDEX('Pegar docentes'!$A$1:$BZ$1001,323,N$2)&amp;""),""))</f>
        <v/>
      </c>
      <c r="O324">
        <f>IF(O$2=0,"",IFERROR(TRIM(INDEX('Pegar docentes'!$A$1:$BZ$1001,323,O$2)&amp;""),""))</f>
        <v/>
      </c>
      <c r="P324">
        <f>IF(P$2=0,"",IFERROR(TRIM(INDEX('Pegar docentes'!$A$1:$BZ$1001,323,P$2)&amp;""),""))</f>
        <v/>
      </c>
      <c r="Q324" s="25">
        <f>IF(OR(D324&lt;&gt;"",H324&lt;&gt;""),1,"")</f>
        <v/>
      </c>
      <c r="R324" s="25">
        <f>IF(Q324=1,IF(ISNUMBER(FIND("#"&amp;MID(D324,1,1)&amp;"#","#0#1#2#3#4#5#6#7#8#9#")),IF(ISNUMBER(FIND("#"&amp;MID(D324,2,1)&amp;"#","#0#1#2#3#4#5#6#7#8#9#")),IF(AND(VALUE(LEFT(D324,2))&gt;=1,VALUE(LEFT(D324,2))&lt;=5),VALUE(LEFT(D324,2)),""),IF(AND(VALUE(LEFT(D324,1))&gt;=1,VALUE(LEFT(D324,1))&lt;=5),VALUE(LEFT(D324,1)),"")),""),"")</f>
        <v/>
      </c>
      <c r="S324" s="25">
        <f>IF(AND(Q324=1,E324&lt;&gt;""),SUBSTITUTE(SUBSTITUTE(SUBSTITUTE(SUBSTITUTE(SUBSTITUTE(SUBSTITUTE(SUBSTITUTE(SUBSTITUTE(SUBSTITUTE(SUBSTITUTE(SUBSTITUTE(SUBSTITUTE(LOWER(TRIM(E324)),"á","a"),"é","e"),"í","i"),"ó","o"),"ú","u"),"ü","u"),"ñ","n"),"à","a"),"è","e"),"ì","i"),"ò","o"),"ù","u"),"")</f>
        <v/>
      </c>
      <c r="T324" s="25">
        <f>IF(AND(Q324=1,G324&lt;&gt;""),SUBSTITUTE(SUBSTITUTE(SUBSTITUTE(SUBSTITUTE(SUBSTITUTE(SUBSTITUTE(SUBSTITUTE(SUBSTITUTE(SUBSTITUTE(SUBSTITUTE(SUBSTITUTE(SUBSTITUTE(LOWER(TRIM(G324)),"á","a"),"é","e"),"í","i"),"ó","o"),"ú","u"),"ü","u"),"ñ","n"),"à","a"),"è","e"),"ì","i"),"ò","o"),"ù","u"),"")</f>
        <v/>
      </c>
      <c r="U324" s="25">
        <f>IF(AND(Q324=1,H324&lt;&gt;""),SUBSTITUTE(SUBSTITUTE(SUBSTITUTE(SUBSTITUTE(SUBSTITUTE(SUBSTITUTE(SUBSTITUTE(SUBSTITUTE(SUBSTITUTE(SUBSTITUTE(SUBSTITUTE(SUBSTITUTE(LOWER(TRIM(H324)),"á","a"),"é","e"),"í","i"),"ó","o"),"ú","u"),"ü","u"),"ñ","n"),"à","a"),"è","e"),"ì","i"),"ò","o"),"ù","u"),"")</f>
        <v/>
      </c>
      <c r="V324" s="25">
        <f>IF(AND(Q324=1,L324&lt;&gt;""),SUBSTITUTE(SUBSTITUTE(SUBSTITUTE(SUBSTITUTE(SUBSTITUTE(SUBSTITUTE(SUBSTITUTE(SUBSTITUTE(SUBSTITUTE(SUBSTITUTE(SUBSTITUTE(SUBSTITUTE(LOWER(TRIM(L324)),"á","a"),"é","e"),"í","i"),"ó","o"),"ú","u"),"ü","u"),"ñ","n"),"à","a"),"è","e"),"ì","i"),"ò","o"),"ù","u"),"")</f>
        <v/>
      </c>
      <c r="W324" s="25">
        <f>IF(AND(Q324=1,I324&lt;&gt;""),SUBSTITUTE(SUBSTITUTE(SUBSTITUTE(SUBSTITUTE(SUBSTITUTE(SUBSTITUTE(SUBSTITUTE(SUBSTITUTE(SUBSTITUTE(SUBSTITUTE(SUBSTITUTE(SUBSTITUTE(LOWER(TRIM(I324)),"á","a"),"é","e"),"í","i"),"ó","o"),"ú","u"),"ü","u"),"ñ","n"),"à","a"),"è","e"),"ì","i"),"ò","o"),"ù","u"),"")</f>
        <v/>
      </c>
      <c r="X324" s="25">
        <f>IF(U324="","",IF(OR(U324="si, en la proxima tarea",U324="si, con cambios"),1,0))</f>
        <v/>
      </c>
      <c r="Y324" s="25">
        <f>IF(AND(Q324=1,A324&lt;&gt;""),IF(IFERROR(COUNTIFS(A$3:A324,"="&amp;SUBSTITUTE(SUBSTITUTE(SUBSTITUTE(A324,"~","~~"),"*","~*"),"?","~?"),Q$3:Q324,1),0)=1,MAX(Y$2:Y323)+1,""),"")</f>
        <v/>
      </c>
      <c r="Z324" s="25">
        <f>IF(Y324="","",COUNTIFS($A$3:$A$1002,"="&amp;SUBSTITUTE(SUBSTITUTE(SUBSTITUTE(A324,"~","~~"),"*","~*"),"?","~?"),$Q$3:$Q$1002,1)*10000-Y324)</f>
        <v/>
      </c>
    </row>
    <row r="325">
      <c r="A325">
        <f>IF(A$2=0,"",IFERROR(TRIM(INDEX('Pegar docentes'!$A$1:$BZ$1001,324,A$2)&amp;""),""))</f>
        <v/>
      </c>
      <c r="B325">
        <f>IF(B$2=0,"",IFERROR(TRIM(INDEX('Pegar docentes'!$A$1:$BZ$1001,324,B$2)&amp;""),""))</f>
        <v/>
      </c>
      <c r="C325">
        <f>IF(C$2=0,"",IFERROR(TRIM(INDEX('Pegar docentes'!$A$1:$BZ$1001,324,C$2)&amp;""),""))</f>
        <v/>
      </c>
      <c r="D325">
        <f>IF(D$2=0,"",IFERROR(TRIM(INDEX('Pegar docentes'!$A$1:$BZ$1001,324,D$2)&amp;""),""))</f>
        <v/>
      </c>
      <c r="E325">
        <f>IF(E$2=0,"",IFERROR(TRIM(INDEX('Pegar docentes'!$A$1:$BZ$1001,324,E$2)&amp;""),""))</f>
        <v/>
      </c>
      <c r="F325">
        <f>IF(F$2=0,"",IFERROR(TRIM(INDEX('Pegar docentes'!$A$1:$BZ$1001,324,F$2)&amp;""),""))</f>
        <v/>
      </c>
      <c r="G325">
        <f>IF(G$2=0,"",IFERROR(TRIM(INDEX('Pegar docentes'!$A$1:$BZ$1001,324,G$2)&amp;""),""))</f>
        <v/>
      </c>
      <c r="H325">
        <f>IF(H$2=0,"",IFERROR(TRIM(INDEX('Pegar docentes'!$A$1:$BZ$1001,324,H$2)&amp;""),""))</f>
        <v/>
      </c>
      <c r="I325">
        <f>IF(I$2=0,"",IFERROR(TRIM(INDEX('Pegar docentes'!$A$1:$BZ$1001,324,I$2)&amp;""),""))</f>
        <v/>
      </c>
      <c r="J325">
        <f>IF(J$2=0,"",IFERROR(TRIM(INDEX('Pegar docentes'!$A$1:$BZ$1001,324,J$2)&amp;""),""))</f>
        <v/>
      </c>
      <c r="K325">
        <f>IF(K$2=0,"",IFERROR(TRIM(INDEX('Pegar docentes'!$A$1:$BZ$1001,324,K$2)&amp;""),""))</f>
        <v/>
      </c>
      <c r="L325">
        <f>IF(L$2=0,"",IFERROR(TRIM(INDEX('Pegar docentes'!$A$1:$BZ$1001,324,L$2)&amp;""),""))</f>
        <v/>
      </c>
      <c r="M325">
        <f>IF(M$2=0,"",IFERROR(TRIM(INDEX('Pegar docentes'!$A$1:$BZ$1001,324,M$2)&amp;""),""))</f>
        <v/>
      </c>
      <c r="N325">
        <f>IF(N$2=0,"",IFERROR(TRIM(INDEX('Pegar docentes'!$A$1:$BZ$1001,324,N$2)&amp;""),""))</f>
        <v/>
      </c>
      <c r="O325">
        <f>IF(O$2=0,"",IFERROR(TRIM(INDEX('Pegar docentes'!$A$1:$BZ$1001,324,O$2)&amp;""),""))</f>
        <v/>
      </c>
      <c r="P325">
        <f>IF(P$2=0,"",IFERROR(TRIM(INDEX('Pegar docentes'!$A$1:$BZ$1001,324,P$2)&amp;""),""))</f>
        <v/>
      </c>
      <c r="Q325" s="25">
        <f>IF(OR(D325&lt;&gt;"",H325&lt;&gt;""),1,"")</f>
        <v/>
      </c>
      <c r="R325" s="25">
        <f>IF(Q325=1,IF(ISNUMBER(FIND("#"&amp;MID(D325,1,1)&amp;"#","#0#1#2#3#4#5#6#7#8#9#")),IF(ISNUMBER(FIND("#"&amp;MID(D325,2,1)&amp;"#","#0#1#2#3#4#5#6#7#8#9#")),IF(AND(VALUE(LEFT(D325,2))&gt;=1,VALUE(LEFT(D325,2))&lt;=5),VALUE(LEFT(D325,2)),""),IF(AND(VALUE(LEFT(D325,1))&gt;=1,VALUE(LEFT(D325,1))&lt;=5),VALUE(LEFT(D325,1)),"")),""),"")</f>
        <v/>
      </c>
      <c r="S325" s="25">
        <f>IF(AND(Q325=1,E325&lt;&gt;""),SUBSTITUTE(SUBSTITUTE(SUBSTITUTE(SUBSTITUTE(SUBSTITUTE(SUBSTITUTE(SUBSTITUTE(SUBSTITUTE(SUBSTITUTE(SUBSTITUTE(SUBSTITUTE(SUBSTITUTE(LOWER(TRIM(E325)),"á","a"),"é","e"),"í","i"),"ó","o"),"ú","u"),"ü","u"),"ñ","n"),"à","a"),"è","e"),"ì","i"),"ò","o"),"ù","u"),"")</f>
        <v/>
      </c>
      <c r="T325" s="25">
        <f>IF(AND(Q325=1,G325&lt;&gt;""),SUBSTITUTE(SUBSTITUTE(SUBSTITUTE(SUBSTITUTE(SUBSTITUTE(SUBSTITUTE(SUBSTITUTE(SUBSTITUTE(SUBSTITUTE(SUBSTITUTE(SUBSTITUTE(SUBSTITUTE(LOWER(TRIM(G325)),"á","a"),"é","e"),"í","i"),"ó","o"),"ú","u"),"ü","u"),"ñ","n"),"à","a"),"è","e"),"ì","i"),"ò","o"),"ù","u"),"")</f>
        <v/>
      </c>
      <c r="U325" s="25">
        <f>IF(AND(Q325=1,H325&lt;&gt;""),SUBSTITUTE(SUBSTITUTE(SUBSTITUTE(SUBSTITUTE(SUBSTITUTE(SUBSTITUTE(SUBSTITUTE(SUBSTITUTE(SUBSTITUTE(SUBSTITUTE(SUBSTITUTE(SUBSTITUTE(LOWER(TRIM(H325)),"á","a"),"é","e"),"í","i"),"ó","o"),"ú","u"),"ü","u"),"ñ","n"),"à","a"),"è","e"),"ì","i"),"ò","o"),"ù","u"),"")</f>
        <v/>
      </c>
      <c r="V325" s="25">
        <f>IF(AND(Q325=1,L325&lt;&gt;""),SUBSTITUTE(SUBSTITUTE(SUBSTITUTE(SUBSTITUTE(SUBSTITUTE(SUBSTITUTE(SUBSTITUTE(SUBSTITUTE(SUBSTITUTE(SUBSTITUTE(SUBSTITUTE(SUBSTITUTE(LOWER(TRIM(L325)),"á","a"),"é","e"),"í","i"),"ó","o"),"ú","u"),"ü","u"),"ñ","n"),"à","a"),"è","e"),"ì","i"),"ò","o"),"ù","u"),"")</f>
        <v/>
      </c>
      <c r="W325" s="25">
        <f>IF(AND(Q325=1,I325&lt;&gt;""),SUBSTITUTE(SUBSTITUTE(SUBSTITUTE(SUBSTITUTE(SUBSTITUTE(SUBSTITUTE(SUBSTITUTE(SUBSTITUTE(SUBSTITUTE(SUBSTITUTE(SUBSTITUTE(SUBSTITUTE(LOWER(TRIM(I325)),"á","a"),"é","e"),"í","i"),"ó","o"),"ú","u"),"ü","u"),"ñ","n"),"à","a"),"è","e"),"ì","i"),"ò","o"),"ù","u"),"")</f>
        <v/>
      </c>
      <c r="X325" s="25">
        <f>IF(U325="","",IF(OR(U325="si, en la proxima tarea",U325="si, con cambios"),1,0))</f>
        <v/>
      </c>
      <c r="Y325" s="25">
        <f>IF(AND(Q325=1,A325&lt;&gt;""),IF(IFERROR(COUNTIFS(A$3:A325,"="&amp;SUBSTITUTE(SUBSTITUTE(SUBSTITUTE(A325,"~","~~"),"*","~*"),"?","~?"),Q$3:Q325,1),0)=1,MAX(Y$2:Y324)+1,""),"")</f>
        <v/>
      </c>
      <c r="Z325" s="25">
        <f>IF(Y325="","",COUNTIFS($A$3:$A$1002,"="&amp;SUBSTITUTE(SUBSTITUTE(SUBSTITUTE(A325,"~","~~"),"*","~*"),"?","~?"),$Q$3:$Q$1002,1)*10000-Y325)</f>
        <v/>
      </c>
    </row>
    <row r="326">
      <c r="A326">
        <f>IF(A$2=0,"",IFERROR(TRIM(INDEX('Pegar docentes'!$A$1:$BZ$1001,325,A$2)&amp;""),""))</f>
        <v/>
      </c>
      <c r="B326">
        <f>IF(B$2=0,"",IFERROR(TRIM(INDEX('Pegar docentes'!$A$1:$BZ$1001,325,B$2)&amp;""),""))</f>
        <v/>
      </c>
      <c r="C326">
        <f>IF(C$2=0,"",IFERROR(TRIM(INDEX('Pegar docentes'!$A$1:$BZ$1001,325,C$2)&amp;""),""))</f>
        <v/>
      </c>
      <c r="D326">
        <f>IF(D$2=0,"",IFERROR(TRIM(INDEX('Pegar docentes'!$A$1:$BZ$1001,325,D$2)&amp;""),""))</f>
        <v/>
      </c>
      <c r="E326">
        <f>IF(E$2=0,"",IFERROR(TRIM(INDEX('Pegar docentes'!$A$1:$BZ$1001,325,E$2)&amp;""),""))</f>
        <v/>
      </c>
      <c r="F326">
        <f>IF(F$2=0,"",IFERROR(TRIM(INDEX('Pegar docentes'!$A$1:$BZ$1001,325,F$2)&amp;""),""))</f>
        <v/>
      </c>
      <c r="G326">
        <f>IF(G$2=0,"",IFERROR(TRIM(INDEX('Pegar docentes'!$A$1:$BZ$1001,325,G$2)&amp;""),""))</f>
        <v/>
      </c>
      <c r="H326">
        <f>IF(H$2=0,"",IFERROR(TRIM(INDEX('Pegar docentes'!$A$1:$BZ$1001,325,H$2)&amp;""),""))</f>
        <v/>
      </c>
      <c r="I326">
        <f>IF(I$2=0,"",IFERROR(TRIM(INDEX('Pegar docentes'!$A$1:$BZ$1001,325,I$2)&amp;""),""))</f>
        <v/>
      </c>
      <c r="J326">
        <f>IF(J$2=0,"",IFERROR(TRIM(INDEX('Pegar docentes'!$A$1:$BZ$1001,325,J$2)&amp;""),""))</f>
        <v/>
      </c>
      <c r="K326">
        <f>IF(K$2=0,"",IFERROR(TRIM(INDEX('Pegar docentes'!$A$1:$BZ$1001,325,K$2)&amp;""),""))</f>
        <v/>
      </c>
      <c r="L326">
        <f>IF(L$2=0,"",IFERROR(TRIM(INDEX('Pegar docentes'!$A$1:$BZ$1001,325,L$2)&amp;""),""))</f>
        <v/>
      </c>
      <c r="M326">
        <f>IF(M$2=0,"",IFERROR(TRIM(INDEX('Pegar docentes'!$A$1:$BZ$1001,325,M$2)&amp;""),""))</f>
        <v/>
      </c>
      <c r="N326">
        <f>IF(N$2=0,"",IFERROR(TRIM(INDEX('Pegar docentes'!$A$1:$BZ$1001,325,N$2)&amp;""),""))</f>
        <v/>
      </c>
      <c r="O326">
        <f>IF(O$2=0,"",IFERROR(TRIM(INDEX('Pegar docentes'!$A$1:$BZ$1001,325,O$2)&amp;""),""))</f>
        <v/>
      </c>
      <c r="P326">
        <f>IF(P$2=0,"",IFERROR(TRIM(INDEX('Pegar docentes'!$A$1:$BZ$1001,325,P$2)&amp;""),""))</f>
        <v/>
      </c>
      <c r="Q326" s="25">
        <f>IF(OR(D326&lt;&gt;"",H326&lt;&gt;""),1,"")</f>
        <v/>
      </c>
      <c r="R326" s="25">
        <f>IF(Q326=1,IF(ISNUMBER(FIND("#"&amp;MID(D326,1,1)&amp;"#","#0#1#2#3#4#5#6#7#8#9#")),IF(ISNUMBER(FIND("#"&amp;MID(D326,2,1)&amp;"#","#0#1#2#3#4#5#6#7#8#9#")),IF(AND(VALUE(LEFT(D326,2))&gt;=1,VALUE(LEFT(D326,2))&lt;=5),VALUE(LEFT(D326,2)),""),IF(AND(VALUE(LEFT(D326,1))&gt;=1,VALUE(LEFT(D326,1))&lt;=5),VALUE(LEFT(D326,1)),"")),""),"")</f>
        <v/>
      </c>
      <c r="S326" s="25">
        <f>IF(AND(Q326=1,E326&lt;&gt;""),SUBSTITUTE(SUBSTITUTE(SUBSTITUTE(SUBSTITUTE(SUBSTITUTE(SUBSTITUTE(SUBSTITUTE(SUBSTITUTE(SUBSTITUTE(SUBSTITUTE(SUBSTITUTE(SUBSTITUTE(LOWER(TRIM(E326)),"á","a"),"é","e"),"í","i"),"ó","o"),"ú","u"),"ü","u"),"ñ","n"),"à","a"),"è","e"),"ì","i"),"ò","o"),"ù","u"),"")</f>
        <v/>
      </c>
      <c r="T326" s="25">
        <f>IF(AND(Q326=1,G326&lt;&gt;""),SUBSTITUTE(SUBSTITUTE(SUBSTITUTE(SUBSTITUTE(SUBSTITUTE(SUBSTITUTE(SUBSTITUTE(SUBSTITUTE(SUBSTITUTE(SUBSTITUTE(SUBSTITUTE(SUBSTITUTE(LOWER(TRIM(G326)),"á","a"),"é","e"),"í","i"),"ó","o"),"ú","u"),"ü","u"),"ñ","n"),"à","a"),"è","e"),"ì","i"),"ò","o"),"ù","u"),"")</f>
        <v/>
      </c>
      <c r="U326" s="25">
        <f>IF(AND(Q326=1,H326&lt;&gt;""),SUBSTITUTE(SUBSTITUTE(SUBSTITUTE(SUBSTITUTE(SUBSTITUTE(SUBSTITUTE(SUBSTITUTE(SUBSTITUTE(SUBSTITUTE(SUBSTITUTE(SUBSTITUTE(SUBSTITUTE(LOWER(TRIM(H326)),"á","a"),"é","e"),"í","i"),"ó","o"),"ú","u"),"ü","u"),"ñ","n"),"à","a"),"è","e"),"ì","i"),"ò","o"),"ù","u"),"")</f>
        <v/>
      </c>
      <c r="V326" s="25">
        <f>IF(AND(Q326=1,L326&lt;&gt;""),SUBSTITUTE(SUBSTITUTE(SUBSTITUTE(SUBSTITUTE(SUBSTITUTE(SUBSTITUTE(SUBSTITUTE(SUBSTITUTE(SUBSTITUTE(SUBSTITUTE(SUBSTITUTE(SUBSTITUTE(LOWER(TRIM(L326)),"á","a"),"é","e"),"í","i"),"ó","o"),"ú","u"),"ü","u"),"ñ","n"),"à","a"),"è","e"),"ì","i"),"ò","o"),"ù","u"),"")</f>
        <v/>
      </c>
      <c r="W326" s="25">
        <f>IF(AND(Q326=1,I326&lt;&gt;""),SUBSTITUTE(SUBSTITUTE(SUBSTITUTE(SUBSTITUTE(SUBSTITUTE(SUBSTITUTE(SUBSTITUTE(SUBSTITUTE(SUBSTITUTE(SUBSTITUTE(SUBSTITUTE(SUBSTITUTE(LOWER(TRIM(I326)),"á","a"),"é","e"),"í","i"),"ó","o"),"ú","u"),"ü","u"),"ñ","n"),"à","a"),"è","e"),"ì","i"),"ò","o"),"ù","u"),"")</f>
        <v/>
      </c>
      <c r="X326" s="25">
        <f>IF(U326="","",IF(OR(U326="si, en la proxima tarea",U326="si, con cambios"),1,0))</f>
        <v/>
      </c>
      <c r="Y326" s="25">
        <f>IF(AND(Q326=1,A326&lt;&gt;""),IF(IFERROR(COUNTIFS(A$3:A326,"="&amp;SUBSTITUTE(SUBSTITUTE(SUBSTITUTE(A326,"~","~~"),"*","~*"),"?","~?"),Q$3:Q326,1),0)=1,MAX(Y$2:Y325)+1,""),"")</f>
        <v/>
      </c>
      <c r="Z326" s="25">
        <f>IF(Y326="","",COUNTIFS($A$3:$A$1002,"="&amp;SUBSTITUTE(SUBSTITUTE(SUBSTITUTE(A326,"~","~~"),"*","~*"),"?","~?"),$Q$3:$Q$1002,1)*10000-Y326)</f>
        <v/>
      </c>
    </row>
    <row r="327">
      <c r="A327">
        <f>IF(A$2=0,"",IFERROR(TRIM(INDEX('Pegar docentes'!$A$1:$BZ$1001,326,A$2)&amp;""),""))</f>
        <v/>
      </c>
      <c r="B327">
        <f>IF(B$2=0,"",IFERROR(TRIM(INDEX('Pegar docentes'!$A$1:$BZ$1001,326,B$2)&amp;""),""))</f>
        <v/>
      </c>
      <c r="C327">
        <f>IF(C$2=0,"",IFERROR(TRIM(INDEX('Pegar docentes'!$A$1:$BZ$1001,326,C$2)&amp;""),""))</f>
        <v/>
      </c>
      <c r="D327">
        <f>IF(D$2=0,"",IFERROR(TRIM(INDEX('Pegar docentes'!$A$1:$BZ$1001,326,D$2)&amp;""),""))</f>
        <v/>
      </c>
      <c r="E327">
        <f>IF(E$2=0,"",IFERROR(TRIM(INDEX('Pegar docentes'!$A$1:$BZ$1001,326,E$2)&amp;""),""))</f>
        <v/>
      </c>
      <c r="F327">
        <f>IF(F$2=0,"",IFERROR(TRIM(INDEX('Pegar docentes'!$A$1:$BZ$1001,326,F$2)&amp;""),""))</f>
        <v/>
      </c>
      <c r="G327">
        <f>IF(G$2=0,"",IFERROR(TRIM(INDEX('Pegar docentes'!$A$1:$BZ$1001,326,G$2)&amp;""),""))</f>
        <v/>
      </c>
      <c r="H327">
        <f>IF(H$2=0,"",IFERROR(TRIM(INDEX('Pegar docentes'!$A$1:$BZ$1001,326,H$2)&amp;""),""))</f>
        <v/>
      </c>
      <c r="I327">
        <f>IF(I$2=0,"",IFERROR(TRIM(INDEX('Pegar docentes'!$A$1:$BZ$1001,326,I$2)&amp;""),""))</f>
        <v/>
      </c>
      <c r="J327">
        <f>IF(J$2=0,"",IFERROR(TRIM(INDEX('Pegar docentes'!$A$1:$BZ$1001,326,J$2)&amp;""),""))</f>
        <v/>
      </c>
      <c r="K327">
        <f>IF(K$2=0,"",IFERROR(TRIM(INDEX('Pegar docentes'!$A$1:$BZ$1001,326,K$2)&amp;""),""))</f>
        <v/>
      </c>
      <c r="L327">
        <f>IF(L$2=0,"",IFERROR(TRIM(INDEX('Pegar docentes'!$A$1:$BZ$1001,326,L$2)&amp;""),""))</f>
        <v/>
      </c>
      <c r="M327">
        <f>IF(M$2=0,"",IFERROR(TRIM(INDEX('Pegar docentes'!$A$1:$BZ$1001,326,M$2)&amp;""),""))</f>
        <v/>
      </c>
      <c r="N327">
        <f>IF(N$2=0,"",IFERROR(TRIM(INDEX('Pegar docentes'!$A$1:$BZ$1001,326,N$2)&amp;""),""))</f>
        <v/>
      </c>
      <c r="O327">
        <f>IF(O$2=0,"",IFERROR(TRIM(INDEX('Pegar docentes'!$A$1:$BZ$1001,326,O$2)&amp;""),""))</f>
        <v/>
      </c>
      <c r="P327">
        <f>IF(P$2=0,"",IFERROR(TRIM(INDEX('Pegar docentes'!$A$1:$BZ$1001,326,P$2)&amp;""),""))</f>
        <v/>
      </c>
      <c r="Q327" s="25">
        <f>IF(OR(D327&lt;&gt;"",H327&lt;&gt;""),1,"")</f>
        <v/>
      </c>
      <c r="R327" s="25">
        <f>IF(Q327=1,IF(ISNUMBER(FIND("#"&amp;MID(D327,1,1)&amp;"#","#0#1#2#3#4#5#6#7#8#9#")),IF(ISNUMBER(FIND("#"&amp;MID(D327,2,1)&amp;"#","#0#1#2#3#4#5#6#7#8#9#")),IF(AND(VALUE(LEFT(D327,2))&gt;=1,VALUE(LEFT(D327,2))&lt;=5),VALUE(LEFT(D327,2)),""),IF(AND(VALUE(LEFT(D327,1))&gt;=1,VALUE(LEFT(D327,1))&lt;=5),VALUE(LEFT(D327,1)),"")),""),"")</f>
        <v/>
      </c>
      <c r="S327" s="25">
        <f>IF(AND(Q327=1,E327&lt;&gt;""),SUBSTITUTE(SUBSTITUTE(SUBSTITUTE(SUBSTITUTE(SUBSTITUTE(SUBSTITUTE(SUBSTITUTE(SUBSTITUTE(SUBSTITUTE(SUBSTITUTE(SUBSTITUTE(SUBSTITUTE(LOWER(TRIM(E327)),"á","a"),"é","e"),"í","i"),"ó","o"),"ú","u"),"ü","u"),"ñ","n"),"à","a"),"è","e"),"ì","i"),"ò","o"),"ù","u"),"")</f>
        <v/>
      </c>
      <c r="T327" s="25">
        <f>IF(AND(Q327=1,G327&lt;&gt;""),SUBSTITUTE(SUBSTITUTE(SUBSTITUTE(SUBSTITUTE(SUBSTITUTE(SUBSTITUTE(SUBSTITUTE(SUBSTITUTE(SUBSTITUTE(SUBSTITUTE(SUBSTITUTE(SUBSTITUTE(LOWER(TRIM(G327)),"á","a"),"é","e"),"í","i"),"ó","o"),"ú","u"),"ü","u"),"ñ","n"),"à","a"),"è","e"),"ì","i"),"ò","o"),"ù","u"),"")</f>
        <v/>
      </c>
      <c r="U327" s="25">
        <f>IF(AND(Q327=1,H327&lt;&gt;""),SUBSTITUTE(SUBSTITUTE(SUBSTITUTE(SUBSTITUTE(SUBSTITUTE(SUBSTITUTE(SUBSTITUTE(SUBSTITUTE(SUBSTITUTE(SUBSTITUTE(SUBSTITUTE(SUBSTITUTE(LOWER(TRIM(H327)),"á","a"),"é","e"),"í","i"),"ó","o"),"ú","u"),"ü","u"),"ñ","n"),"à","a"),"è","e"),"ì","i"),"ò","o"),"ù","u"),"")</f>
        <v/>
      </c>
      <c r="V327" s="25">
        <f>IF(AND(Q327=1,L327&lt;&gt;""),SUBSTITUTE(SUBSTITUTE(SUBSTITUTE(SUBSTITUTE(SUBSTITUTE(SUBSTITUTE(SUBSTITUTE(SUBSTITUTE(SUBSTITUTE(SUBSTITUTE(SUBSTITUTE(SUBSTITUTE(LOWER(TRIM(L327)),"á","a"),"é","e"),"í","i"),"ó","o"),"ú","u"),"ü","u"),"ñ","n"),"à","a"),"è","e"),"ì","i"),"ò","o"),"ù","u"),"")</f>
        <v/>
      </c>
      <c r="W327" s="25">
        <f>IF(AND(Q327=1,I327&lt;&gt;""),SUBSTITUTE(SUBSTITUTE(SUBSTITUTE(SUBSTITUTE(SUBSTITUTE(SUBSTITUTE(SUBSTITUTE(SUBSTITUTE(SUBSTITUTE(SUBSTITUTE(SUBSTITUTE(SUBSTITUTE(LOWER(TRIM(I327)),"á","a"),"é","e"),"í","i"),"ó","o"),"ú","u"),"ü","u"),"ñ","n"),"à","a"),"è","e"),"ì","i"),"ò","o"),"ù","u"),"")</f>
        <v/>
      </c>
      <c r="X327" s="25">
        <f>IF(U327="","",IF(OR(U327="si, en la proxima tarea",U327="si, con cambios"),1,0))</f>
        <v/>
      </c>
      <c r="Y327" s="25">
        <f>IF(AND(Q327=1,A327&lt;&gt;""),IF(IFERROR(COUNTIFS(A$3:A327,"="&amp;SUBSTITUTE(SUBSTITUTE(SUBSTITUTE(A327,"~","~~"),"*","~*"),"?","~?"),Q$3:Q327,1),0)=1,MAX(Y$2:Y326)+1,""),"")</f>
        <v/>
      </c>
      <c r="Z327" s="25">
        <f>IF(Y327="","",COUNTIFS($A$3:$A$1002,"="&amp;SUBSTITUTE(SUBSTITUTE(SUBSTITUTE(A327,"~","~~"),"*","~*"),"?","~?"),$Q$3:$Q$1002,1)*10000-Y327)</f>
        <v/>
      </c>
    </row>
    <row r="328">
      <c r="A328">
        <f>IF(A$2=0,"",IFERROR(TRIM(INDEX('Pegar docentes'!$A$1:$BZ$1001,327,A$2)&amp;""),""))</f>
        <v/>
      </c>
      <c r="B328">
        <f>IF(B$2=0,"",IFERROR(TRIM(INDEX('Pegar docentes'!$A$1:$BZ$1001,327,B$2)&amp;""),""))</f>
        <v/>
      </c>
      <c r="C328">
        <f>IF(C$2=0,"",IFERROR(TRIM(INDEX('Pegar docentes'!$A$1:$BZ$1001,327,C$2)&amp;""),""))</f>
        <v/>
      </c>
      <c r="D328">
        <f>IF(D$2=0,"",IFERROR(TRIM(INDEX('Pegar docentes'!$A$1:$BZ$1001,327,D$2)&amp;""),""))</f>
        <v/>
      </c>
      <c r="E328">
        <f>IF(E$2=0,"",IFERROR(TRIM(INDEX('Pegar docentes'!$A$1:$BZ$1001,327,E$2)&amp;""),""))</f>
        <v/>
      </c>
      <c r="F328">
        <f>IF(F$2=0,"",IFERROR(TRIM(INDEX('Pegar docentes'!$A$1:$BZ$1001,327,F$2)&amp;""),""))</f>
        <v/>
      </c>
      <c r="G328">
        <f>IF(G$2=0,"",IFERROR(TRIM(INDEX('Pegar docentes'!$A$1:$BZ$1001,327,G$2)&amp;""),""))</f>
        <v/>
      </c>
      <c r="H328">
        <f>IF(H$2=0,"",IFERROR(TRIM(INDEX('Pegar docentes'!$A$1:$BZ$1001,327,H$2)&amp;""),""))</f>
        <v/>
      </c>
      <c r="I328">
        <f>IF(I$2=0,"",IFERROR(TRIM(INDEX('Pegar docentes'!$A$1:$BZ$1001,327,I$2)&amp;""),""))</f>
        <v/>
      </c>
      <c r="J328">
        <f>IF(J$2=0,"",IFERROR(TRIM(INDEX('Pegar docentes'!$A$1:$BZ$1001,327,J$2)&amp;""),""))</f>
        <v/>
      </c>
      <c r="K328">
        <f>IF(K$2=0,"",IFERROR(TRIM(INDEX('Pegar docentes'!$A$1:$BZ$1001,327,K$2)&amp;""),""))</f>
        <v/>
      </c>
      <c r="L328">
        <f>IF(L$2=0,"",IFERROR(TRIM(INDEX('Pegar docentes'!$A$1:$BZ$1001,327,L$2)&amp;""),""))</f>
        <v/>
      </c>
      <c r="M328">
        <f>IF(M$2=0,"",IFERROR(TRIM(INDEX('Pegar docentes'!$A$1:$BZ$1001,327,M$2)&amp;""),""))</f>
        <v/>
      </c>
      <c r="N328">
        <f>IF(N$2=0,"",IFERROR(TRIM(INDEX('Pegar docentes'!$A$1:$BZ$1001,327,N$2)&amp;""),""))</f>
        <v/>
      </c>
      <c r="O328">
        <f>IF(O$2=0,"",IFERROR(TRIM(INDEX('Pegar docentes'!$A$1:$BZ$1001,327,O$2)&amp;""),""))</f>
        <v/>
      </c>
      <c r="P328">
        <f>IF(P$2=0,"",IFERROR(TRIM(INDEX('Pegar docentes'!$A$1:$BZ$1001,327,P$2)&amp;""),""))</f>
        <v/>
      </c>
      <c r="Q328" s="25">
        <f>IF(OR(D328&lt;&gt;"",H328&lt;&gt;""),1,"")</f>
        <v/>
      </c>
      <c r="R328" s="25">
        <f>IF(Q328=1,IF(ISNUMBER(FIND("#"&amp;MID(D328,1,1)&amp;"#","#0#1#2#3#4#5#6#7#8#9#")),IF(ISNUMBER(FIND("#"&amp;MID(D328,2,1)&amp;"#","#0#1#2#3#4#5#6#7#8#9#")),IF(AND(VALUE(LEFT(D328,2))&gt;=1,VALUE(LEFT(D328,2))&lt;=5),VALUE(LEFT(D328,2)),""),IF(AND(VALUE(LEFT(D328,1))&gt;=1,VALUE(LEFT(D328,1))&lt;=5),VALUE(LEFT(D328,1)),"")),""),"")</f>
        <v/>
      </c>
      <c r="S328" s="25">
        <f>IF(AND(Q328=1,E328&lt;&gt;""),SUBSTITUTE(SUBSTITUTE(SUBSTITUTE(SUBSTITUTE(SUBSTITUTE(SUBSTITUTE(SUBSTITUTE(SUBSTITUTE(SUBSTITUTE(SUBSTITUTE(SUBSTITUTE(SUBSTITUTE(LOWER(TRIM(E328)),"á","a"),"é","e"),"í","i"),"ó","o"),"ú","u"),"ü","u"),"ñ","n"),"à","a"),"è","e"),"ì","i"),"ò","o"),"ù","u"),"")</f>
        <v/>
      </c>
      <c r="T328" s="25">
        <f>IF(AND(Q328=1,G328&lt;&gt;""),SUBSTITUTE(SUBSTITUTE(SUBSTITUTE(SUBSTITUTE(SUBSTITUTE(SUBSTITUTE(SUBSTITUTE(SUBSTITUTE(SUBSTITUTE(SUBSTITUTE(SUBSTITUTE(SUBSTITUTE(LOWER(TRIM(G328)),"á","a"),"é","e"),"í","i"),"ó","o"),"ú","u"),"ü","u"),"ñ","n"),"à","a"),"è","e"),"ì","i"),"ò","o"),"ù","u"),"")</f>
        <v/>
      </c>
      <c r="U328" s="25">
        <f>IF(AND(Q328=1,H328&lt;&gt;""),SUBSTITUTE(SUBSTITUTE(SUBSTITUTE(SUBSTITUTE(SUBSTITUTE(SUBSTITUTE(SUBSTITUTE(SUBSTITUTE(SUBSTITUTE(SUBSTITUTE(SUBSTITUTE(SUBSTITUTE(LOWER(TRIM(H328)),"á","a"),"é","e"),"í","i"),"ó","o"),"ú","u"),"ü","u"),"ñ","n"),"à","a"),"è","e"),"ì","i"),"ò","o"),"ù","u"),"")</f>
        <v/>
      </c>
      <c r="V328" s="25">
        <f>IF(AND(Q328=1,L328&lt;&gt;""),SUBSTITUTE(SUBSTITUTE(SUBSTITUTE(SUBSTITUTE(SUBSTITUTE(SUBSTITUTE(SUBSTITUTE(SUBSTITUTE(SUBSTITUTE(SUBSTITUTE(SUBSTITUTE(SUBSTITUTE(LOWER(TRIM(L328)),"á","a"),"é","e"),"í","i"),"ó","o"),"ú","u"),"ü","u"),"ñ","n"),"à","a"),"è","e"),"ì","i"),"ò","o"),"ù","u"),"")</f>
        <v/>
      </c>
      <c r="W328" s="25">
        <f>IF(AND(Q328=1,I328&lt;&gt;""),SUBSTITUTE(SUBSTITUTE(SUBSTITUTE(SUBSTITUTE(SUBSTITUTE(SUBSTITUTE(SUBSTITUTE(SUBSTITUTE(SUBSTITUTE(SUBSTITUTE(SUBSTITUTE(SUBSTITUTE(LOWER(TRIM(I328)),"á","a"),"é","e"),"í","i"),"ó","o"),"ú","u"),"ü","u"),"ñ","n"),"à","a"),"è","e"),"ì","i"),"ò","o"),"ù","u"),"")</f>
        <v/>
      </c>
      <c r="X328" s="25">
        <f>IF(U328="","",IF(OR(U328="si, en la proxima tarea",U328="si, con cambios"),1,0))</f>
        <v/>
      </c>
      <c r="Y328" s="25">
        <f>IF(AND(Q328=1,A328&lt;&gt;""),IF(IFERROR(COUNTIFS(A$3:A328,"="&amp;SUBSTITUTE(SUBSTITUTE(SUBSTITUTE(A328,"~","~~"),"*","~*"),"?","~?"),Q$3:Q328,1),0)=1,MAX(Y$2:Y327)+1,""),"")</f>
        <v/>
      </c>
      <c r="Z328" s="25">
        <f>IF(Y328="","",COUNTIFS($A$3:$A$1002,"="&amp;SUBSTITUTE(SUBSTITUTE(SUBSTITUTE(A328,"~","~~"),"*","~*"),"?","~?"),$Q$3:$Q$1002,1)*10000-Y328)</f>
        <v/>
      </c>
    </row>
    <row r="329">
      <c r="A329">
        <f>IF(A$2=0,"",IFERROR(TRIM(INDEX('Pegar docentes'!$A$1:$BZ$1001,328,A$2)&amp;""),""))</f>
        <v/>
      </c>
      <c r="B329">
        <f>IF(B$2=0,"",IFERROR(TRIM(INDEX('Pegar docentes'!$A$1:$BZ$1001,328,B$2)&amp;""),""))</f>
        <v/>
      </c>
      <c r="C329">
        <f>IF(C$2=0,"",IFERROR(TRIM(INDEX('Pegar docentes'!$A$1:$BZ$1001,328,C$2)&amp;""),""))</f>
        <v/>
      </c>
      <c r="D329">
        <f>IF(D$2=0,"",IFERROR(TRIM(INDEX('Pegar docentes'!$A$1:$BZ$1001,328,D$2)&amp;""),""))</f>
        <v/>
      </c>
      <c r="E329">
        <f>IF(E$2=0,"",IFERROR(TRIM(INDEX('Pegar docentes'!$A$1:$BZ$1001,328,E$2)&amp;""),""))</f>
        <v/>
      </c>
      <c r="F329">
        <f>IF(F$2=0,"",IFERROR(TRIM(INDEX('Pegar docentes'!$A$1:$BZ$1001,328,F$2)&amp;""),""))</f>
        <v/>
      </c>
      <c r="G329">
        <f>IF(G$2=0,"",IFERROR(TRIM(INDEX('Pegar docentes'!$A$1:$BZ$1001,328,G$2)&amp;""),""))</f>
        <v/>
      </c>
      <c r="H329">
        <f>IF(H$2=0,"",IFERROR(TRIM(INDEX('Pegar docentes'!$A$1:$BZ$1001,328,H$2)&amp;""),""))</f>
        <v/>
      </c>
      <c r="I329">
        <f>IF(I$2=0,"",IFERROR(TRIM(INDEX('Pegar docentes'!$A$1:$BZ$1001,328,I$2)&amp;""),""))</f>
        <v/>
      </c>
      <c r="J329">
        <f>IF(J$2=0,"",IFERROR(TRIM(INDEX('Pegar docentes'!$A$1:$BZ$1001,328,J$2)&amp;""),""))</f>
        <v/>
      </c>
      <c r="K329">
        <f>IF(K$2=0,"",IFERROR(TRIM(INDEX('Pegar docentes'!$A$1:$BZ$1001,328,K$2)&amp;""),""))</f>
        <v/>
      </c>
      <c r="L329">
        <f>IF(L$2=0,"",IFERROR(TRIM(INDEX('Pegar docentes'!$A$1:$BZ$1001,328,L$2)&amp;""),""))</f>
        <v/>
      </c>
      <c r="M329">
        <f>IF(M$2=0,"",IFERROR(TRIM(INDEX('Pegar docentes'!$A$1:$BZ$1001,328,M$2)&amp;""),""))</f>
        <v/>
      </c>
      <c r="N329">
        <f>IF(N$2=0,"",IFERROR(TRIM(INDEX('Pegar docentes'!$A$1:$BZ$1001,328,N$2)&amp;""),""))</f>
        <v/>
      </c>
      <c r="O329">
        <f>IF(O$2=0,"",IFERROR(TRIM(INDEX('Pegar docentes'!$A$1:$BZ$1001,328,O$2)&amp;""),""))</f>
        <v/>
      </c>
      <c r="P329">
        <f>IF(P$2=0,"",IFERROR(TRIM(INDEX('Pegar docentes'!$A$1:$BZ$1001,328,P$2)&amp;""),""))</f>
        <v/>
      </c>
      <c r="Q329" s="25">
        <f>IF(OR(D329&lt;&gt;"",H329&lt;&gt;""),1,"")</f>
        <v/>
      </c>
      <c r="R329" s="25">
        <f>IF(Q329=1,IF(ISNUMBER(FIND("#"&amp;MID(D329,1,1)&amp;"#","#0#1#2#3#4#5#6#7#8#9#")),IF(ISNUMBER(FIND("#"&amp;MID(D329,2,1)&amp;"#","#0#1#2#3#4#5#6#7#8#9#")),IF(AND(VALUE(LEFT(D329,2))&gt;=1,VALUE(LEFT(D329,2))&lt;=5),VALUE(LEFT(D329,2)),""),IF(AND(VALUE(LEFT(D329,1))&gt;=1,VALUE(LEFT(D329,1))&lt;=5),VALUE(LEFT(D329,1)),"")),""),"")</f>
        <v/>
      </c>
      <c r="S329" s="25">
        <f>IF(AND(Q329=1,E329&lt;&gt;""),SUBSTITUTE(SUBSTITUTE(SUBSTITUTE(SUBSTITUTE(SUBSTITUTE(SUBSTITUTE(SUBSTITUTE(SUBSTITUTE(SUBSTITUTE(SUBSTITUTE(SUBSTITUTE(SUBSTITUTE(LOWER(TRIM(E329)),"á","a"),"é","e"),"í","i"),"ó","o"),"ú","u"),"ü","u"),"ñ","n"),"à","a"),"è","e"),"ì","i"),"ò","o"),"ù","u"),"")</f>
        <v/>
      </c>
      <c r="T329" s="25">
        <f>IF(AND(Q329=1,G329&lt;&gt;""),SUBSTITUTE(SUBSTITUTE(SUBSTITUTE(SUBSTITUTE(SUBSTITUTE(SUBSTITUTE(SUBSTITUTE(SUBSTITUTE(SUBSTITUTE(SUBSTITUTE(SUBSTITUTE(SUBSTITUTE(LOWER(TRIM(G329)),"á","a"),"é","e"),"í","i"),"ó","o"),"ú","u"),"ü","u"),"ñ","n"),"à","a"),"è","e"),"ì","i"),"ò","o"),"ù","u"),"")</f>
        <v/>
      </c>
      <c r="U329" s="25">
        <f>IF(AND(Q329=1,H329&lt;&gt;""),SUBSTITUTE(SUBSTITUTE(SUBSTITUTE(SUBSTITUTE(SUBSTITUTE(SUBSTITUTE(SUBSTITUTE(SUBSTITUTE(SUBSTITUTE(SUBSTITUTE(SUBSTITUTE(SUBSTITUTE(LOWER(TRIM(H329)),"á","a"),"é","e"),"í","i"),"ó","o"),"ú","u"),"ü","u"),"ñ","n"),"à","a"),"è","e"),"ì","i"),"ò","o"),"ù","u"),"")</f>
        <v/>
      </c>
      <c r="V329" s="25">
        <f>IF(AND(Q329=1,L329&lt;&gt;""),SUBSTITUTE(SUBSTITUTE(SUBSTITUTE(SUBSTITUTE(SUBSTITUTE(SUBSTITUTE(SUBSTITUTE(SUBSTITUTE(SUBSTITUTE(SUBSTITUTE(SUBSTITUTE(SUBSTITUTE(LOWER(TRIM(L329)),"á","a"),"é","e"),"í","i"),"ó","o"),"ú","u"),"ü","u"),"ñ","n"),"à","a"),"è","e"),"ì","i"),"ò","o"),"ù","u"),"")</f>
        <v/>
      </c>
      <c r="W329" s="25">
        <f>IF(AND(Q329=1,I329&lt;&gt;""),SUBSTITUTE(SUBSTITUTE(SUBSTITUTE(SUBSTITUTE(SUBSTITUTE(SUBSTITUTE(SUBSTITUTE(SUBSTITUTE(SUBSTITUTE(SUBSTITUTE(SUBSTITUTE(SUBSTITUTE(LOWER(TRIM(I329)),"á","a"),"é","e"),"í","i"),"ó","o"),"ú","u"),"ü","u"),"ñ","n"),"à","a"),"è","e"),"ì","i"),"ò","o"),"ù","u"),"")</f>
        <v/>
      </c>
      <c r="X329" s="25">
        <f>IF(U329="","",IF(OR(U329="si, en la proxima tarea",U329="si, con cambios"),1,0))</f>
        <v/>
      </c>
      <c r="Y329" s="25">
        <f>IF(AND(Q329=1,A329&lt;&gt;""),IF(IFERROR(COUNTIFS(A$3:A329,"="&amp;SUBSTITUTE(SUBSTITUTE(SUBSTITUTE(A329,"~","~~"),"*","~*"),"?","~?"),Q$3:Q329,1),0)=1,MAX(Y$2:Y328)+1,""),"")</f>
        <v/>
      </c>
      <c r="Z329" s="25">
        <f>IF(Y329="","",COUNTIFS($A$3:$A$1002,"="&amp;SUBSTITUTE(SUBSTITUTE(SUBSTITUTE(A329,"~","~~"),"*","~*"),"?","~?"),$Q$3:$Q$1002,1)*10000-Y329)</f>
        <v/>
      </c>
    </row>
    <row r="330">
      <c r="A330">
        <f>IF(A$2=0,"",IFERROR(TRIM(INDEX('Pegar docentes'!$A$1:$BZ$1001,329,A$2)&amp;""),""))</f>
        <v/>
      </c>
      <c r="B330">
        <f>IF(B$2=0,"",IFERROR(TRIM(INDEX('Pegar docentes'!$A$1:$BZ$1001,329,B$2)&amp;""),""))</f>
        <v/>
      </c>
      <c r="C330">
        <f>IF(C$2=0,"",IFERROR(TRIM(INDEX('Pegar docentes'!$A$1:$BZ$1001,329,C$2)&amp;""),""))</f>
        <v/>
      </c>
      <c r="D330">
        <f>IF(D$2=0,"",IFERROR(TRIM(INDEX('Pegar docentes'!$A$1:$BZ$1001,329,D$2)&amp;""),""))</f>
        <v/>
      </c>
      <c r="E330">
        <f>IF(E$2=0,"",IFERROR(TRIM(INDEX('Pegar docentes'!$A$1:$BZ$1001,329,E$2)&amp;""),""))</f>
        <v/>
      </c>
      <c r="F330">
        <f>IF(F$2=0,"",IFERROR(TRIM(INDEX('Pegar docentes'!$A$1:$BZ$1001,329,F$2)&amp;""),""))</f>
        <v/>
      </c>
      <c r="G330">
        <f>IF(G$2=0,"",IFERROR(TRIM(INDEX('Pegar docentes'!$A$1:$BZ$1001,329,G$2)&amp;""),""))</f>
        <v/>
      </c>
      <c r="H330">
        <f>IF(H$2=0,"",IFERROR(TRIM(INDEX('Pegar docentes'!$A$1:$BZ$1001,329,H$2)&amp;""),""))</f>
        <v/>
      </c>
      <c r="I330">
        <f>IF(I$2=0,"",IFERROR(TRIM(INDEX('Pegar docentes'!$A$1:$BZ$1001,329,I$2)&amp;""),""))</f>
        <v/>
      </c>
      <c r="J330">
        <f>IF(J$2=0,"",IFERROR(TRIM(INDEX('Pegar docentes'!$A$1:$BZ$1001,329,J$2)&amp;""),""))</f>
        <v/>
      </c>
      <c r="K330">
        <f>IF(K$2=0,"",IFERROR(TRIM(INDEX('Pegar docentes'!$A$1:$BZ$1001,329,K$2)&amp;""),""))</f>
        <v/>
      </c>
      <c r="L330">
        <f>IF(L$2=0,"",IFERROR(TRIM(INDEX('Pegar docentes'!$A$1:$BZ$1001,329,L$2)&amp;""),""))</f>
        <v/>
      </c>
      <c r="M330">
        <f>IF(M$2=0,"",IFERROR(TRIM(INDEX('Pegar docentes'!$A$1:$BZ$1001,329,M$2)&amp;""),""))</f>
        <v/>
      </c>
      <c r="N330">
        <f>IF(N$2=0,"",IFERROR(TRIM(INDEX('Pegar docentes'!$A$1:$BZ$1001,329,N$2)&amp;""),""))</f>
        <v/>
      </c>
      <c r="O330">
        <f>IF(O$2=0,"",IFERROR(TRIM(INDEX('Pegar docentes'!$A$1:$BZ$1001,329,O$2)&amp;""),""))</f>
        <v/>
      </c>
      <c r="P330">
        <f>IF(P$2=0,"",IFERROR(TRIM(INDEX('Pegar docentes'!$A$1:$BZ$1001,329,P$2)&amp;""),""))</f>
        <v/>
      </c>
      <c r="Q330" s="25">
        <f>IF(OR(D330&lt;&gt;"",H330&lt;&gt;""),1,"")</f>
        <v/>
      </c>
      <c r="R330" s="25">
        <f>IF(Q330=1,IF(ISNUMBER(FIND("#"&amp;MID(D330,1,1)&amp;"#","#0#1#2#3#4#5#6#7#8#9#")),IF(ISNUMBER(FIND("#"&amp;MID(D330,2,1)&amp;"#","#0#1#2#3#4#5#6#7#8#9#")),IF(AND(VALUE(LEFT(D330,2))&gt;=1,VALUE(LEFT(D330,2))&lt;=5),VALUE(LEFT(D330,2)),""),IF(AND(VALUE(LEFT(D330,1))&gt;=1,VALUE(LEFT(D330,1))&lt;=5),VALUE(LEFT(D330,1)),"")),""),"")</f>
        <v/>
      </c>
      <c r="S330" s="25">
        <f>IF(AND(Q330=1,E330&lt;&gt;""),SUBSTITUTE(SUBSTITUTE(SUBSTITUTE(SUBSTITUTE(SUBSTITUTE(SUBSTITUTE(SUBSTITUTE(SUBSTITUTE(SUBSTITUTE(SUBSTITUTE(SUBSTITUTE(SUBSTITUTE(LOWER(TRIM(E330)),"á","a"),"é","e"),"í","i"),"ó","o"),"ú","u"),"ü","u"),"ñ","n"),"à","a"),"è","e"),"ì","i"),"ò","o"),"ù","u"),"")</f>
        <v/>
      </c>
      <c r="T330" s="25">
        <f>IF(AND(Q330=1,G330&lt;&gt;""),SUBSTITUTE(SUBSTITUTE(SUBSTITUTE(SUBSTITUTE(SUBSTITUTE(SUBSTITUTE(SUBSTITUTE(SUBSTITUTE(SUBSTITUTE(SUBSTITUTE(SUBSTITUTE(SUBSTITUTE(LOWER(TRIM(G330)),"á","a"),"é","e"),"í","i"),"ó","o"),"ú","u"),"ü","u"),"ñ","n"),"à","a"),"è","e"),"ì","i"),"ò","o"),"ù","u"),"")</f>
        <v/>
      </c>
      <c r="U330" s="25">
        <f>IF(AND(Q330=1,H330&lt;&gt;""),SUBSTITUTE(SUBSTITUTE(SUBSTITUTE(SUBSTITUTE(SUBSTITUTE(SUBSTITUTE(SUBSTITUTE(SUBSTITUTE(SUBSTITUTE(SUBSTITUTE(SUBSTITUTE(SUBSTITUTE(LOWER(TRIM(H330)),"á","a"),"é","e"),"í","i"),"ó","o"),"ú","u"),"ü","u"),"ñ","n"),"à","a"),"è","e"),"ì","i"),"ò","o"),"ù","u"),"")</f>
        <v/>
      </c>
      <c r="V330" s="25">
        <f>IF(AND(Q330=1,L330&lt;&gt;""),SUBSTITUTE(SUBSTITUTE(SUBSTITUTE(SUBSTITUTE(SUBSTITUTE(SUBSTITUTE(SUBSTITUTE(SUBSTITUTE(SUBSTITUTE(SUBSTITUTE(SUBSTITUTE(SUBSTITUTE(LOWER(TRIM(L330)),"á","a"),"é","e"),"í","i"),"ó","o"),"ú","u"),"ü","u"),"ñ","n"),"à","a"),"è","e"),"ì","i"),"ò","o"),"ù","u"),"")</f>
        <v/>
      </c>
      <c r="W330" s="25">
        <f>IF(AND(Q330=1,I330&lt;&gt;""),SUBSTITUTE(SUBSTITUTE(SUBSTITUTE(SUBSTITUTE(SUBSTITUTE(SUBSTITUTE(SUBSTITUTE(SUBSTITUTE(SUBSTITUTE(SUBSTITUTE(SUBSTITUTE(SUBSTITUTE(LOWER(TRIM(I330)),"á","a"),"é","e"),"í","i"),"ó","o"),"ú","u"),"ü","u"),"ñ","n"),"à","a"),"è","e"),"ì","i"),"ò","o"),"ù","u"),"")</f>
        <v/>
      </c>
      <c r="X330" s="25">
        <f>IF(U330="","",IF(OR(U330="si, en la proxima tarea",U330="si, con cambios"),1,0))</f>
        <v/>
      </c>
      <c r="Y330" s="25">
        <f>IF(AND(Q330=1,A330&lt;&gt;""),IF(IFERROR(COUNTIFS(A$3:A330,"="&amp;SUBSTITUTE(SUBSTITUTE(SUBSTITUTE(A330,"~","~~"),"*","~*"),"?","~?"),Q$3:Q330,1),0)=1,MAX(Y$2:Y329)+1,""),"")</f>
        <v/>
      </c>
      <c r="Z330" s="25">
        <f>IF(Y330="","",COUNTIFS($A$3:$A$1002,"="&amp;SUBSTITUTE(SUBSTITUTE(SUBSTITUTE(A330,"~","~~"),"*","~*"),"?","~?"),$Q$3:$Q$1002,1)*10000-Y330)</f>
        <v/>
      </c>
    </row>
    <row r="331">
      <c r="A331">
        <f>IF(A$2=0,"",IFERROR(TRIM(INDEX('Pegar docentes'!$A$1:$BZ$1001,330,A$2)&amp;""),""))</f>
        <v/>
      </c>
      <c r="B331">
        <f>IF(B$2=0,"",IFERROR(TRIM(INDEX('Pegar docentes'!$A$1:$BZ$1001,330,B$2)&amp;""),""))</f>
        <v/>
      </c>
      <c r="C331">
        <f>IF(C$2=0,"",IFERROR(TRIM(INDEX('Pegar docentes'!$A$1:$BZ$1001,330,C$2)&amp;""),""))</f>
        <v/>
      </c>
      <c r="D331">
        <f>IF(D$2=0,"",IFERROR(TRIM(INDEX('Pegar docentes'!$A$1:$BZ$1001,330,D$2)&amp;""),""))</f>
        <v/>
      </c>
      <c r="E331">
        <f>IF(E$2=0,"",IFERROR(TRIM(INDEX('Pegar docentes'!$A$1:$BZ$1001,330,E$2)&amp;""),""))</f>
        <v/>
      </c>
      <c r="F331">
        <f>IF(F$2=0,"",IFERROR(TRIM(INDEX('Pegar docentes'!$A$1:$BZ$1001,330,F$2)&amp;""),""))</f>
        <v/>
      </c>
      <c r="G331">
        <f>IF(G$2=0,"",IFERROR(TRIM(INDEX('Pegar docentes'!$A$1:$BZ$1001,330,G$2)&amp;""),""))</f>
        <v/>
      </c>
      <c r="H331">
        <f>IF(H$2=0,"",IFERROR(TRIM(INDEX('Pegar docentes'!$A$1:$BZ$1001,330,H$2)&amp;""),""))</f>
        <v/>
      </c>
      <c r="I331">
        <f>IF(I$2=0,"",IFERROR(TRIM(INDEX('Pegar docentes'!$A$1:$BZ$1001,330,I$2)&amp;""),""))</f>
        <v/>
      </c>
      <c r="J331">
        <f>IF(J$2=0,"",IFERROR(TRIM(INDEX('Pegar docentes'!$A$1:$BZ$1001,330,J$2)&amp;""),""))</f>
        <v/>
      </c>
      <c r="K331">
        <f>IF(K$2=0,"",IFERROR(TRIM(INDEX('Pegar docentes'!$A$1:$BZ$1001,330,K$2)&amp;""),""))</f>
        <v/>
      </c>
      <c r="L331">
        <f>IF(L$2=0,"",IFERROR(TRIM(INDEX('Pegar docentes'!$A$1:$BZ$1001,330,L$2)&amp;""),""))</f>
        <v/>
      </c>
      <c r="M331">
        <f>IF(M$2=0,"",IFERROR(TRIM(INDEX('Pegar docentes'!$A$1:$BZ$1001,330,M$2)&amp;""),""))</f>
        <v/>
      </c>
      <c r="N331">
        <f>IF(N$2=0,"",IFERROR(TRIM(INDEX('Pegar docentes'!$A$1:$BZ$1001,330,N$2)&amp;""),""))</f>
        <v/>
      </c>
      <c r="O331">
        <f>IF(O$2=0,"",IFERROR(TRIM(INDEX('Pegar docentes'!$A$1:$BZ$1001,330,O$2)&amp;""),""))</f>
        <v/>
      </c>
      <c r="P331">
        <f>IF(P$2=0,"",IFERROR(TRIM(INDEX('Pegar docentes'!$A$1:$BZ$1001,330,P$2)&amp;""),""))</f>
        <v/>
      </c>
      <c r="Q331" s="25">
        <f>IF(OR(D331&lt;&gt;"",H331&lt;&gt;""),1,"")</f>
        <v/>
      </c>
      <c r="R331" s="25">
        <f>IF(Q331=1,IF(ISNUMBER(FIND("#"&amp;MID(D331,1,1)&amp;"#","#0#1#2#3#4#5#6#7#8#9#")),IF(ISNUMBER(FIND("#"&amp;MID(D331,2,1)&amp;"#","#0#1#2#3#4#5#6#7#8#9#")),IF(AND(VALUE(LEFT(D331,2))&gt;=1,VALUE(LEFT(D331,2))&lt;=5),VALUE(LEFT(D331,2)),""),IF(AND(VALUE(LEFT(D331,1))&gt;=1,VALUE(LEFT(D331,1))&lt;=5),VALUE(LEFT(D331,1)),"")),""),"")</f>
        <v/>
      </c>
      <c r="S331" s="25">
        <f>IF(AND(Q331=1,E331&lt;&gt;""),SUBSTITUTE(SUBSTITUTE(SUBSTITUTE(SUBSTITUTE(SUBSTITUTE(SUBSTITUTE(SUBSTITUTE(SUBSTITUTE(SUBSTITUTE(SUBSTITUTE(SUBSTITUTE(SUBSTITUTE(LOWER(TRIM(E331)),"á","a"),"é","e"),"í","i"),"ó","o"),"ú","u"),"ü","u"),"ñ","n"),"à","a"),"è","e"),"ì","i"),"ò","o"),"ù","u"),"")</f>
        <v/>
      </c>
      <c r="T331" s="25">
        <f>IF(AND(Q331=1,G331&lt;&gt;""),SUBSTITUTE(SUBSTITUTE(SUBSTITUTE(SUBSTITUTE(SUBSTITUTE(SUBSTITUTE(SUBSTITUTE(SUBSTITUTE(SUBSTITUTE(SUBSTITUTE(SUBSTITUTE(SUBSTITUTE(LOWER(TRIM(G331)),"á","a"),"é","e"),"í","i"),"ó","o"),"ú","u"),"ü","u"),"ñ","n"),"à","a"),"è","e"),"ì","i"),"ò","o"),"ù","u"),"")</f>
        <v/>
      </c>
      <c r="U331" s="25">
        <f>IF(AND(Q331=1,H331&lt;&gt;""),SUBSTITUTE(SUBSTITUTE(SUBSTITUTE(SUBSTITUTE(SUBSTITUTE(SUBSTITUTE(SUBSTITUTE(SUBSTITUTE(SUBSTITUTE(SUBSTITUTE(SUBSTITUTE(SUBSTITUTE(LOWER(TRIM(H331)),"á","a"),"é","e"),"í","i"),"ó","o"),"ú","u"),"ü","u"),"ñ","n"),"à","a"),"è","e"),"ì","i"),"ò","o"),"ù","u"),"")</f>
        <v/>
      </c>
      <c r="V331" s="25">
        <f>IF(AND(Q331=1,L331&lt;&gt;""),SUBSTITUTE(SUBSTITUTE(SUBSTITUTE(SUBSTITUTE(SUBSTITUTE(SUBSTITUTE(SUBSTITUTE(SUBSTITUTE(SUBSTITUTE(SUBSTITUTE(SUBSTITUTE(SUBSTITUTE(LOWER(TRIM(L331)),"á","a"),"é","e"),"í","i"),"ó","o"),"ú","u"),"ü","u"),"ñ","n"),"à","a"),"è","e"),"ì","i"),"ò","o"),"ù","u"),"")</f>
        <v/>
      </c>
      <c r="W331" s="25">
        <f>IF(AND(Q331=1,I331&lt;&gt;""),SUBSTITUTE(SUBSTITUTE(SUBSTITUTE(SUBSTITUTE(SUBSTITUTE(SUBSTITUTE(SUBSTITUTE(SUBSTITUTE(SUBSTITUTE(SUBSTITUTE(SUBSTITUTE(SUBSTITUTE(LOWER(TRIM(I331)),"á","a"),"é","e"),"í","i"),"ó","o"),"ú","u"),"ü","u"),"ñ","n"),"à","a"),"è","e"),"ì","i"),"ò","o"),"ù","u"),"")</f>
        <v/>
      </c>
      <c r="X331" s="25">
        <f>IF(U331="","",IF(OR(U331="si, en la proxima tarea",U331="si, con cambios"),1,0))</f>
        <v/>
      </c>
      <c r="Y331" s="25">
        <f>IF(AND(Q331=1,A331&lt;&gt;""),IF(IFERROR(COUNTIFS(A$3:A331,"="&amp;SUBSTITUTE(SUBSTITUTE(SUBSTITUTE(A331,"~","~~"),"*","~*"),"?","~?"),Q$3:Q331,1),0)=1,MAX(Y$2:Y330)+1,""),"")</f>
        <v/>
      </c>
      <c r="Z331" s="25">
        <f>IF(Y331="","",COUNTIFS($A$3:$A$1002,"="&amp;SUBSTITUTE(SUBSTITUTE(SUBSTITUTE(A331,"~","~~"),"*","~*"),"?","~?"),$Q$3:$Q$1002,1)*10000-Y331)</f>
        <v/>
      </c>
    </row>
    <row r="332">
      <c r="A332">
        <f>IF(A$2=0,"",IFERROR(TRIM(INDEX('Pegar docentes'!$A$1:$BZ$1001,331,A$2)&amp;""),""))</f>
        <v/>
      </c>
      <c r="B332">
        <f>IF(B$2=0,"",IFERROR(TRIM(INDEX('Pegar docentes'!$A$1:$BZ$1001,331,B$2)&amp;""),""))</f>
        <v/>
      </c>
      <c r="C332">
        <f>IF(C$2=0,"",IFERROR(TRIM(INDEX('Pegar docentes'!$A$1:$BZ$1001,331,C$2)&amp;""),""))</f>
        <v/>
      </c>
      <c r="D332">
        <f>IF(D$2=0,"",IFERROR(TRIM(INDEX('Pegar docentes'!$A$1:$BZ$1001,331,D$2)&amp;""),""))</f>
        <v/>
      </c>
      <c r="E332">
        <f>IF(E$2=0,"",IFERROR(TRIM(INDEX('Pegar docentes'!$A$1:$BZ$1001,331,E$2)&amp;""),""))</f>
        <v/>
      </c>
      <c r="F332">
        <f>IF(F$2=0,"",IFERROR(TRIM(INDEX('Pegar docentes'!$A$1:$BZ$1001,331,F$2)&amp;""),""))</f>
        <v/>
      </c>
      <c r="G332">
        <f>IF(G$2=0,"",IFERROR(TRIM(INDEX('Pegar docentes'!$A$1:$BZ$1001,331,G$2)&amp;""),""))</f>
        <v/>
      </c>
      <c r="H332">
        <f>IF(H$2=0,"",IFERROR(TRIM(INDEX('Pegar docentes'!$A$1:$BZ$1001,331,H$2)&amp;""),""))</f>
        <v/>
      </c>
      <c r="I332">
        <f>IF(I$2=0,"",IFERROR(TRIM(INDEX('Pegar docentes'!$A$1:$BZ$1001,331,I$2)&amp;""),""))</f>
        <v/>
      </c>
      <c r="J332">
        <f>IF(J$2=0,"",IFERROR(TRIM(INDEX('Pegar docentes'!$A$1:$BZ$1001,331,J$2)&amp;""),""))</f>
        <v/>
      </c>
      <c r="K332">
        <f>IF(K$2=0,"",IFERROR(TRIM(INDEX('Pegar docentes'!$A$1:$BZ$1001,331,K$2)&amp;""),""))</f>
        <v/>
      </c>
      <c r="L332">
        <f>IF(L$2=0,"",IFERROR(TRIM(INDEX('Pegar docentes'!$A$1:$BZ$1001,331,L$2)&amp;""),""))</f>
        <v/>
      </c>
      <c r="M332">
        <f>IF(M$2=0,"",IFERROR(TRIM(INDEX('Pegar docentes'!$A$1:$BZ$1001,331,M$2)&amp;""),""))</f>
        <v/>
      </c>
      <c r="N332">
        <f>IF(N$2=0,"",IFERROR(TRIM(INDEX('Pegar docentes'!$A$1:$BZ$1001,331,N$2)&amp;""),""))</f>
        <v/>
      </c>
      <c r="O332">
        <f>IF(O$2=0,"",IFERROR(TRIM(INDEX('Pegar docentes'!$A$1:$BZ$1001,331,O$2)&amp;""),""))</f>
        <v/>
      </c>
      <c r="P332">
        <f>IF(P$2=0,"",IFERROR(TRIM(INDEX('Pegar docentes'!$A$1:$BZ$1001,331,P$2)&amp;""),""))</f>
        <v/>
      </c>
      <c r="Q332" s="25">
        <f>IF(OR(D332&lt;&gt;"",H332&lt;&gt;""),1,"")</f>
        <v/>
      </c>
      <c r="R332" s="25">
        <f>IF(Q332=1,IF(ISNUMBER(FIND("#"&amp;MID(D332,1,1)&amp;"#","#0#1#2#3#4#5#6#7#8#9#")),IF(ISNUMBER(FIND("#"&amp;MID(D332,2,1)&amp;"#","#0#1#2#3#4#5#6#7#8#9#")),IF(AND(VALUE(LEFT(D332,2))&gt;=1,VALUE(LEFT(D332,2))&lt;=5),VALUE(LEFT(D332,2)),""),IF(AND(VALUE(LEFT(D332,1))&gt;=1,VALUE(LEFT(D332,1))&lt;=5),VALUE(LEFT(D332,1)),"")),""),"")</f>
        <v/>
      </c>
      <c r="S332" s="25">
        <f>IF(AND(Q332=1,E332&lt;&gt;""),SUBSTITUTE(SUBSTITUTE(SUBSTITUTE(SUBSTITUTE(SUBSTITUTE(SUBSTITUTE(SUBSTITUTE(SUBSTITUTE(SUBSTITUTE(SUBSTITUTE(SUBSTITUTE(SUBSTITUTE(LOWER(TRIM(E332)),"á","a"),"é","e"),"í","i"),"ó","o"),"ú","u"),"ü","u"),"ñ","n"),"à","a"),"è","e"),"ì","i"),"ò","o"),"ù","u"),"")</f>
        <v/>
      </c>
      <c r="T332" s="25">
        <f>IF(AND(Q332=1,G332&lt;&gt;""),SUBSTITUTE(SUBSTITUTE(SUBSTITUTE(SUBSTITUTE(SUBSTITUTE(SUBSTITUTE(SUBSTITUTE(SUBSTITUTE(SUBSTITUTE(SUBSTITUTE(SUBSTITUTE(SUBSTITUTE(LOWER(TRIM(G332)),"á","a"),"é","e"),"í","i"),"ó","o"),"ú","u"),"ü","u"),"ñ","n"),"à","a"),"è","e"),"ì","i"),"ò","o"),"ù","u"),"")</f>
        <v/>
      </c>
      <c r="U332" s="25">
        <f>IF(AND(Q332=1,H332&lt;&gt;""),SUBSTITUTE(SUBSTITUTE(SUBSTITUTE(SUBSTITUTE(SUBSTITUTE(SUBSTITUTE(SUBSTITUTE(SUBSTITUTE(SUBSTITUTE(SUBSTITUTE(SUBSTITUTE(SUBSTITUTE(LOWER(TRIM(H332)),"á","a"),"é","e"),"í","i"),"ó","o"),"ú","u"),"ü","u"),"ñ","n"),"à","a"),"è","e"),"ì","i"),"ò","o"),"ù","u"),"")</f>
        <v/>
      </c>
      <c r="V332" s="25">
        <f>IF(AND(Q332=1,L332&lt;&gt;""),SUBSTITUTE(SUBSTITUTE(SUBSTITUTE(SUBSTITUTE(SUBSTITUTE(SUBSTITUTE(SUBSTITUTE(SUBSTITUTE(SUBSTITUTE(SUBSTITUTE(SUBSTITUTE(SUBSTITUTE(LOWER(TRIM(L332)),"á","a"),"é","e"),"í","i"),"ó","o"),"ú","u"),"ü","u"),"ñ","n"),"à","a"),"è","e"),"ì","i"),"ò","o"),"ù","u"),"")</f>
        <v/>
      </c>
      <c r="W332" s="25">
        <f>IF(AND(Q332=1,I332&lt;&gt;""),SUBSTITUTE(SUBSTITUTE(SUBSTITUTE(SUBSTITUTE(SUBSTITUTE(SUBSTITUTE(SUBSTITUTE(SUBSTITUTE(SUBSTITUTE(SUBSTITUTE(SUBSTITUTE(SUBSTITUTE(LOWER(TRIM(I332)),"á","a"),"é","e"),"í","i"),"ó","o"),"ú","u"),"ü","u"),"ñ","n"),"à","a"),"è","e"),"ì","i"),"ò","o"),"ù","u"),"")</f>
        <v/>
      </c>
      <c r="X332" s="25">
        <f>IF(U332="","",IF(OR(U332="si, en la proxima tarea",U332="si, con cambios"),1,0))</f>
        <v/>
      </c>
      <c r="Y332" s="25">
        <f>IF(AND(Q332=1,A332&lt;&gt;""),IF(IFERROR(COUNTIFS(A$3:A332,"="&amp;SUBSTITUTE(SUBSTITUTE(SUBSTITUTE(A332,"~","~~"),"*","~*"),"?","~?"),Q$3:Q332,1),0)=1,MAX(Y$2:Y331)+1,""),"")</f>
        <v/>
      </c>
      <c r="Z332" s="25">
        <f>IF(Y332="","",COUNTIFS($A$3:$A$1002,"="&amp;SUBSTITUTE(SUBSTITUTE(SUBSTITUTE(A332,"~","~~"),"*","~*"),"?","~?"),$Q$3:$Q$1002,1)*10000-Y332)</f>
        <v/>
      </c>
    </row>
    <row r="333">
      <c r="A333">
        <f>IF(A$2=0,"",IFERROR(TRIM(INDEX('Pegar docentes'!$A$1:$BZ$1001,332,A$2)&amp;""),""))</f>
        <v/>
      </c>
      <c r="B333">
        <f>IF(B$2=0,"",IFERROR(TRIM(INDEX('Pegar docentes'!$A$1:$BZ$1001,332,B$2)&amp;""),""))</f>
        <v/>
      </c>
      <c r="C333">
        <f>IF(C$2=0,"",IFERROR(TRIM(INDEX('Pegar docentes'!$A$1:$BZ$1001,332,C$2)&amp;""),""))</f>
        <v/>
      </c>
      <c r="D333">
        <f>IF(D$2=0,"",IFERROR(TRIM(INDEX('Pegar docentes'!$A$1:$BZ$1001,332,D$2)&amp;""),""))</f>
        <v/>
      </c>
      <c r="E333">
        <f>IF(E$2=0,"",IFERROR(TRIM(INDEX('Pegar docentes'!$A$1:$BZ$1001,332,E$2)&amp;""),""))</f>
        <v/>
      </c>
      <c r="F333">
        <f>IF(F$2=0,"",IFERROR(TRIM(INDEX('Pegar docentes'!$A$1:$BZ$1001,332,F$2)&amp;""),""))</f>
        <v/>
      </c>
      <c r="G333">
        <f>IF(G$2=0,"",IFERROR(TRIM(INDEX('Pegar docentes'!$A$1:$BZ$1001,332,G$2)&amp;""),""))</f>
        <v/>
      </c>
      <c r="H333">
        <f>IF(H$2=0,"",IFERROR(TRIM(INDEX('Pegar docentes'!$A$1:$BZ$1001,332,H$2)&amp;""),""))</f>
        <v/>
      </c>
      <c r="I333">
        <f>IF(I$2=0,"",IFERROR(TRIM(INDEX('Pegar docentes'!$A$1:$BZ$1001,332,I$2)&amp;""),""))</f>
        <v/>
      </c>
      <c r="J333">
        <f>IF(J$2=0,"",IFERROR(TRIM(INDEX('Pegar docentes'!$A$1:$BZ$1001,332,J$2)&amp;""),""))</f>
        <v/>
      </c>
      <c r="K333">
        <f>IF(K$2=0,"",IFERROR(TRIM(INDEX('Pegar docentes'!$A$1:$BZ$1001,332,K$2)&amp;""),""))</f>
        <v/>
      </c>
      <c r="L333">
        <f>IF(L$2=0,"",IFERROR(TRIM(INDEX('Pegar docentes'!$A$1:$BZ$1001,332,L$2)&amp;""),""))</f>
        <v/>
      </c>
      <c r="M333">
        <f>IF(M$2=0,"",IFERROR(TRIM(INDEX('Pegar docentes'!$A$1:$BZ$1001,332,M$2)&amp;""),""))</f>
        <v/>
      </c>
      <c r="N333">
        <f>IF(N$2=0,"",IFERROR(TRIM(INDEX('Pegar docentes'!$A$1:$BZ$1001,332,N$2)&amp;""),""))</f>
        <v/>
      </c>
      <c r="O333">
        <f>IF(O$2=0,"",IFERROR(TRIM(INDEX('Pegar docentes'!$A$1:$BZ$1001,332,O$2)&amp;""),""))</f>
        <v/>
      </c>
      <c r="P333">
        <f>IF(P$2=0,"",IFERROR(TRIM(INDEX('Pegar docentes'!$A$1:$BZ$1001,332,P$2)&amp;""),""))</f>
        <v/>
      </c>
      <c r="Q333" s="25">
        <f>IF(OR(D333&lt;&gt;"",H333&lt;&gt;""),1,"")</f>
        <v/>
      </c>
      <c r="R333" s="25">
        <f>IF(Q333=1,IF(ISNUMBER(FIND("#"&amp;MID(D333,1,1)&amp;"#","#0#1#2#3#4#5#6#7#8#9#")),IF(ISNUMBER(FIND("#"&amp;MID(D333,2,1)&amp;"#","#0#1#2#3#4#5#6#7#8#9#")),IF(AND(VALUE(LEFT(D333,2))&gt;=1,VALUE(LEFT(D333,2))&lt;=5),VALUE(LEFT(D333,2)),""),IF(AND(VALUE(LEFT(D333,1))&gt;=1,VALUE(LEFT(D333,1))&lt;=5),VALUE(LEFT(D333,1)),"")),""),"")</f>
        <v/>
      </c>
      <c r="S333" s="25">
        <f>IF(AND(Q333=1,E333&lt;&gt;""),SUBSTITUTE(SUBSTITUTE(SUBSTITUTE(SUBSTITUTE(SUBSTITUTE(SUBSTITUTE(SUBSTITUTE(SUBSTITUTE(SUBSTITUTE(SUBSTITUTE(SUBSTITUTE(SUBSTITUTE(LOWER(TRIM(E333)),"á","a"),"é","e"),"í","i"),"ó","o"),"ú","u"),"ü","u"),"ñ","n"),"à","a"),"è","e"),"ì","i"),"ò","o"),"ù","u"),"")</f>
        <v/>
      </c>
      <c r="T333" s="25">
        <f>IF(AND(Q333=1,G333&lt;&gt;""),SUBSTITUTE(SUBSTITUTE(SUBSTITUTE(SUBSTITUTE(SUBSTITUTE(SUBSTITUTE(SUBSTITUTE(SUBSTITUTE(SUBSTITUTE(SUBSTITUTE(SUBSTITUTE(SUBSTITUTE(LOWER(TRIM(G333)),"á","a"),"é","e"),"í","i"),"ó","o"),"ú","u"),"ü","u"),"ñ","n"),"à","a"),"è","e"),"ì","i"),"ò","o"),"ù","u"),"")</f>
        <v/>
      </c>
      <c r="U333" s="25">
        <f>IF(AND(Q333=1,H333&lt;&gt;""),SUBSTITUTE(SUBSTITUTE(SUBSTITUTE(SUBSTITUTE(SUBSTITUTE(SUBSTITUTE(SUBSTITUTE(SUBSTITUTE(SUBSTITUTE(SUBSTITUTE(SUBSTITUTE(SUBSTITUTE(LOWER(TRIM(H333)),"á","a"),"é","e"),"í","i"),"ó","o"),"ú","u"),"ü","u"),"ñ","n"),"à","a"),"è","e"),"ì","i"),"ò","o"),"ù","u"),"")</f>
        <v/>
      </c>
      <c r="V333" s="25">
        <f>IF(AND(Q333=1,L333&lt;&gt;""),SUBSTITUTE(SUBSTITUTE(SUBSTITUTE(SUBSTITUTE(SUBSTITUTE(SUBSTITUTE(SUBSTITUTE(SUBSTITUTE(SUBSTITUTE(SUBSTITUTE(SUBSTITUTE(SUBSTITUTE(LOWER(TRIM(L333)),"á","a"),"é","e"),"í","i"),"ó","o"),"ú","u"),"ü","u"),"ñ","n"),"à","a"),"è","e"),"ì","i"),"ò","o"),"ù","u"),"")</f>
        <v/>
      </c>
      <c r="W333" s="25">
        <f>IF(AND(Q333=1,I333&lt;&gt;""),SUBSTITUTE(SUBSTITUTE(SUBSTITUTE(SUBSTITUTE(SUBSTITUTE(SUBSTITUTE(SUBSTITUTE(SUBSTITUTE(SUBSTITUTE(SUBSTITUTE(SUBSTITUTE(SUBSTITUTE(LOWER(TRIM(I333)),"á","a"),"é","e"),"í","i"),"ó","o"),"ú","u"),"ü","u"),"ñ","n"),"à","a"),"è","e"),"ì","i"),"ò","o"),"ù","u"),"")</f>
        <v/>
      </c>
      <c r="X333" s="25">
        <f>IF(U333="","",IF(OR(U333="si, en la proxima tarea",U333="si, con cambios"),1,0))</f>
        <v/>
      </c>
      <c r="Y333" s="25">
        <f>IF(AND(Q333=1,A333&lt;&gt;""),IF(IFERROR(COUNTIFS(A$3:A333,"="&amp;SUBSTITUTE(SUBSTITUTE(SUBSTITUTE(A333,"~","~~"),"*","~*"),"?","~?"),Q$3:Q333,1),0)=1,MAX(Y$2:Y332)+1,""),"")</f>
        <v/>
      </c>
      <c r="Z333" s="25">
        <f>IF(Y333="","",COUNTIFS($A$3:$A$1002,"="&amp;SUBSTITUTE(SUBSTITUTE(SUBSTITUTE(A333,"~","~~"),"*","~*"),"?","~?"),$Q$3:$Q$1002,1)*10000-Y333)</f>
        <v/>
      </c>
    </row>
    <row r="334">
      <c r="A334">
        <f>IF(A$2=0,"",IFERROR(TRIM(INDEX('Pegar docentes'!$A$1:$BZ$1001,333,A$2)&amp;""),""))</f>
        <v/>
      </c>
      <c r="B334">
        <f>IF(B$2=0,"",IFERROR(TRIM(INDEX('Pegar docentes'!$A$1:$BZ$1001,333,B$2)&amp;""),""))</f>
        <v/>
      </c>
      <c r="C334">
        <f>IF(C$2=0,"",IFERROR(TRIM(INDEX('Pegar docentes'!$A$1:$BZ$1001,333,C$2)&amp;""),""))</f>
        <v/>
      </c>
      <c r="D334">
        <f>IF(D$2=0,"",IFERROR(TRIM(INDEX('Pegar docentes'!$A$1:$BZ$1001,333,D$2)&amp;""),""))</f>
        <v/>
      </c>
      <c r="E334">
        <f>IF(E$2=0,"",IFERROR(TRIM(INDEX('Pegar docentes'!$A$1:$BZ$1001,333,E$2)&amp;""),""))</f>
        <v/>
      </c>
      <c r="F334">
        <f>IF(F$2=0,"",IFERROR(TRIM(INDEX('Pegar docentes'!$A$1:$BZ$1001,333,F$2)&amp;""),""))</f>
        <v/>
      </c>
      <c r="G334">
        <f>IF(G$2=0,"",IFERROR(TRIM(INDEX('Pegar docentes'!$A$1:$BZ$1001,333,G$2)&amp;""),""))</f>
        <v/>
      </c>
      <c r="H334">
        <f>IF(H$2=0,"",IFERROR(TRIM(INDEX('Pegar docentes'!$A$1:$BZ$1001,333,H$2)&amp;""),""))</f>
        <v/>
      </c>
      <c r="I334">
        <f>IF(I$2=0,"",IFERROR(TRIM(INDEX('Pegar docentes'!$A$1:$BZ$1001,333,I$2)&amp;""),""))</f>
        <v/>
      </c>
      <c r="J334">
        <f>IF(J$2=0,"",IFERROR(TRIM(INDEX('Pegar docentes'!$A$1:$BZ$1001,333,J$2)&amp;""),""))</f>
        <v/>
      </c>
      <c r="K334">
        <f>IF(K$2=0,"",IFERROR(TRIM(INDEX('Pegar docentes'!$A$1:$BZ$1001,333,K$2)&amp;""),""))</f>
        <v/>
      </c>
      <c r="L334">
        <f>IF(L$2=0,"",IFERROR(TRIM(INDEX('Pegar docentes'!$A$1:$BZ$1001,333,L$2)&amp;""),""))</f>
        <v/>
      </c>
      <c r="M334">
        <f>IF(M$2=0,"",IFERROR(TRIM(INDEX('Pegar docentes'!$A$1:$BZ$1001,333,M$2)&amp;""),""))</f>
        <v/>
      </c>
      <c r="N334">
        <f>IF(N$2=0,"",IFERROR(TRIM(INDEX('Pegar docentes'!$A$1:$BZ$1001,333,N$2)&amp;""),""))</f>
        <v/>
      </c>
      <c r="O334">
        <f>IF(O$2=0,"",IFERROR(TRIM(INDEX('Pegar docentes'!$A$1:$BZ$1001,333,O$2)&amp;""),""))</f>
        <v/>
      </c>
      <c r="P334">
        <f>IF(P$2=0,"",IFERROR(TRIM(INDEX('Pegar docentes'!$A$1:$BZ$1001,333,P$2)&amp;""),""))</f>
        <v/>
      </c>
      <c r="Q334" s="25">
        <f>IF(OR(D334&lt;&gt;"",H334&lt;&gt;""),1,"")</f>
        <v/>
      </c>
      <c r="R334" s="25">
        <f>IF(Q334=1,IF(ISNUMBER(FIND("#"&amp;MID(D334,1,1)&amp;"#","#0#1#2#3#4#5#6#7#8#9#")),IF(ISNUMBER(FIND("#"&amp;MID(D334,2,1)&amp;"#","#0#1#2#3#4#5#6#7#8#9#")),IF(AND(VALUE(LEFT(D334,2))&gt;=1,VALUE(LEFT(D334,2))&lt;=5),VALUE(LEFT(D334,2)),""),IF(AND(VALUE(LEFT(D334,1))&gt;=1,VALUE(LEFT(D334,1))&lt;=5),VALUE(LEFT(D334,1)),"")),""),"")</f>
        <v/>
      </c>
      <c r="S334" s="25">
        <f>IF(AND(Q334=1,E334&lt;&gt;""),SUBSTITUTE(SUBSTITUTE(SUBSTITUTE(SUBSTITUTE(SUBSTITUTE(SUBSTITUTE(SUBSTITUTE(SUBSTITUTE(SUBSTITUTE(SUBSTITUTE(SUBSTITUTE(SUBSTITUTE(LOWER(TRIM(E334)),"á","a"),"é","e"),"í","i"),"ó","o"),"ú","u"),"ü","u"),"ñ","n"),"à","a"),"è","e"),"ì","i"),"ò","o"),"ù","u"),"")</f>
        <v/>
      </c>
      <c r="T334" s="25">
        <f>IF(AND(Q334=1,G334&lt;&gt;""),SUBSTITUTE(SUBSTITUTE(SUBSTITUTE(SUBSTITUTE(SUBSTITUTE(SUBSTITUTE(SUBSTITUTE(SUBSTITUTE(SUBSTITUTE(SUBSTITUTE(SUBSTITUTE(SUBSTITUTE(LOWER(TRIM(G334)),"á","a"),"é","e"),"í","i"),"ó","o"),"ú","u"),"ü","u"),"ñ","n"),"à","a"),"è","e"),"ì","i"),"ò","o"),"ù","u"),"")</f>
        <v/>
      </c>
      <c r="U334" s="25">
        <f>IF(AND(Q334=1,H334&lt;&gt;""),SUBSTITUTE(SUBSTITUTE(SUBSTITUTE(SUBSTITUTE(SUBSTITUTE(SUBSTITUTE(SUBSTITUTE(SUBSTITUTE(SUBSTITUTE(SUBSTITUTE(SUBSTITUTE(SUBSTITUTE(LOWER(TRIM(H334)),"á","a"),"é","e"),"í","i"),"ó","o"),"ú","u"),"ü","u"),"ñ","n"),"à","a"),"è","e"),"ì","i"),"ò","o"),"ù","u"),"")</f>
        <v/>
      </c>
      <c r="V334" s="25">
        <f>IF(AND(Q334=1,L334&lt;&gt;""),SUBSTITUTE(SUBSTITUTE(SUBSTITUTE(SUBSTITUTE(SUBSTITUTE(SUBSTITUTE(SUBSTITUTE(SUBSTITUTE(SUBSTITUTE(SUBSTITUTE(SUBSTITUTE(SUBSTITUTE(LOWER(TRIM(L334)),"á","a"),"é","e"),"í","i"),"ó","o"),"ú","u"),"ü","u"),"ñ","n"),"à","a"),"è","e"),"ì","i"),"ò","o"),"ù","u"),"")</f>
        <v/>
      </c>
      <c r="W334" s="25">
        <f>IF(AND(Q334=1,I334&lt;&gt;""),SUBSTITUTE(SUBSTITUTE(SUBSTITUTE(SUBSTITUTE(SUBSTITUTE(SUBSTITUTE(SUBSTITUTE(SUBSTITUTE(SUBSTITUTE(SUBSTITUTE(SUBSTITUTE(SUBSTITUTE(LOWER(TRIM(I334)),"á","a"),"é","e"),"í","i"),"ó","o"),"ú","u"),"ü","u"),"ñ","n"),"à","a"),"è","e"),"ì","i"),"ò","o"),"ù","u"),"")</f>
        <v/>
      </c>
      <c r="X334" s="25">
        <f>IF(U334="","",IF(OR(U334="si, en la proxima tarea",U334="si, con cambios"),1,0))</f>
        <v/>
      </c>
      <c r="Y334" s="25">
        <f>IF(AND(Q334=1,A334&lt;&gt;""),IF(IFERROR(COUNTIFS(A$3:A334,"="&amp;SUBSTITUTE(SUBSTITUTE(SUBSTITUTE(A334,"~","~~"),"*","~*"),"?","~?"),Q$3:Q334,1),0)=1,MAX(Y$2:Y333)+1,""),"")</f>
        <v/>
      </c>
      <c r="Z334" s="25">
        <f>IF(Y334="","",COUNTIFS($A$3:$A$1002,"="&amp;SUBSTITUTE(SUBSTITUTE(SUBSTITUTE(A334,"~","~~"),"*","~*"),"?","~?"),$Q$3:$Q$1002,1)*10000-Y334)</f>
        <v/>
      </c>
    </row>
    <row r="335">
      <c r="A335">
        <f>IF(A$2=0,"",IFERROR(TRIM(INDEX('Pegar docentes'!$A$1:$BZ$1001,334,A$2)&amp;""),""))</f>
        <v/>
      </c>
      <c r="B335">
        <f>IF(B$2=0,"",IFERROR(TRIM(INDEX('Pegar docentes'!$A$1:$BZ$1001,334,B$2)&amp;""),""))</f>
        <v/>
      </c>
      <c r="C335">
        <f>IF(C$2=0,"",IFERROR(TRIM(INDEX('Pegar docentes'!$A$1:$BZ$1001,334,C$2)&amp;""),""))</f>
        <v/>
      </c>
      <c r="D335">
        <f>IF(D$2=0,"",IFERROR(TRIM(INDEX('Pegar docentes'!$A$1:$BZ$1001,334,D$2)&amp;""),""))</f>
        <v/>
      </c>
      <c r="E335">
        <f>IF(E$2=0,"",IFERROR(TRIM(INDEX('Pegar docentes'!$A$1:$BZ$1001,334,E$2)&amp;""),""))</f>
        <v/>
      </c>
      <c r="F335">
        <f>IF(F$2=0,"",IFERROR(TRIM(INDEX('Pegar docentes'!$A$1:$BZ$1001,334,F$2)&amp;""),""))</f>
        <v/>
      </c>
      <c r="G335">
        <f>IF(G$2=0,"",IFERROR(TRIM(INDEX('Pegar docentes'!$A$1:$BZ$1001,334,G$2)&amp;""),""))</f>
        <v/>
      </c>
      <c r="H335">
        <f>IF(H$2=0,"",IFERROR(TRIM(INDEX('Pegar docentes'!$A$1:$BZ$1001,334,H$2)&amp;""),""))</f>
        <v/>
      </c>
      <c r="I335">
        <f>IF(I$2=0,"",IFERROR(TRIM(INDEX('Pegar docentes'!$A$1:$BZ$1001,334,I$2)&amp;""),""))</f>
        <v/>
      </c>
      <c r="J335">
        <f>IF(J$2=0,"",IFERROR(TRIM(INDEX('Pegar docentes'!$A$1:$BZ$1001,334,J$2)&amp;""),""))</f>
        <v/>
      </c>
      <c r="K335">
        <f>IF(K$2=0,"",IFERROR(TRIM(INDEX('Pegar docentes'!$A$1:$BZ$1001,334,K$2)&amp;""),""))</f>
        <v/>
      </c>
      <c r="L335">
        <f>IF(L$2=0,"",IFERROR(TRIM(INDEX('Pegar docentes'!$A$1:$BZ$1001,334,L$2)&amp;""),""))</f>
        <v/>
      </c>
      <c r="M335">
        <f>IF(M$2=0,"",IFERROR(TRIM(INDEX('Pegar docentes'!$A$1:$BZ$1001,334,M$2)&amp;""),""))</f>
        <v/>
      </c>
      <c r="N335">
        <f>IF(N$2=0,"",IFERROR(TRIM(INDEX('Pegar docentes'!$A$1:$BZ$1001,334,N$2)&amp;""),""))</f>
        <v/>
      </c>
      <c r="O335">
        <f>IF(O$2=0,"",IFERROR(TRIM(INDEX('Pegar docentes'!$A$1:$BZ$1001,334,O$2)&amp;""),""))</f>
        <v/>
      </c>
      <c r="P335">
        <f>IF(P$2=0,"",IFERROR(TRIM(INDEX('Pegar docentes'!$A$1:$BZ$1001,334,P$2)&amp;""),""))</f>
        <v/>
      </c>
      <c r="Q335" s="25">
        <f>IF(OR(D335&lt;&gt;"",H335&lt;&gt;""),1,"")</f>
        <v/>
      </c>
      <c r="R335" s="25">
        <f>IF(Q335=1,IF(ISNUMBER(FIND("#"&amp;MID(D335,1,1)&amp;"#","#0#1#2#3#4#5#6#7#8#9#")),IF(ISNUMBER(FIND("#"&amp;MID(D335,2,1)&amp;"#","#0#1#2#3#4#5#6#7#8#9#")),IF(AND(VALUE(LEFT(D335,2))&gt;=1,VALUE(LEFT(D335,2))&lt;=5),VALUE(LEFT(D335,2)),""),IF(AND(VALUE(LEFT(D335,1))&gt;=1,VALUE(LEFT(D335,1))&lt;=5),VALUE(LEFT(D335,1)),"")),""),"")</f>
        <v/>
      </c>
      <c r="S335" s="25">
        <f>IF(AND(Q335=1,E335&lt;&gt;""),SUBSTITUTE(SUBSTITUTE(SUBSTITUTE(SUBSTITUTE(SUBSTITUTE(SUBSTITUTE(SUBSTITUTE(SUBSTITUTE(SUBSTITUTE(SUBSTITUTE(SUBSTITUTE(SUBSTITUTE(LOWER(TRIM(E335)),"á","a"),"é","e"),"í","i"),"ó","o"),"ú","u"),"ü","u"),"ñ","n"),"à","a"),"è","e"),"ì","i"),"ò","o"),"ù","u"),"")</f>
        <v/>
      </c>
      <c r="T335" s="25">
        <f>IF(AND(Q335=1,G335&lt;&gt;""),SUBSTITUTE(SUBSTITUTE(SUBSTITUTE(SUBSTITUTE(SUBSTITUTE(SUBSTITUTE(SUBSTITUTE(SUBSTITUTE(SUBSTITUTE(SUBSTITUTE(SUBSTITUTE(SUBSTITUTE(LOWER(TRIM(G335)),"á","a"),"é","e"),"í","i"),"ó","o"),"ú","u"),"ü","u"),"ñ","n"),"à","a"),"è","e"),"ì","i"),"ò","o"),"ù","u"),"")</f>
        <v/>
      </c>
      <c r="U335" s="25">
        <f>IF(AND(Q335=1,H335&lt;&gt;""),SUBSTITUTE(SUBSTITUTE(SUBSTITUTE(SUBSTITUTE(SUBSTITUTE(SUBSTITUTE(SUBSTITUTE(SUBSTITUTE(SUBSTITUTE(SUBSTITUTE(SUBSTITUTE(SUBSTITUTE(LOWER(TRIM(H335)),"á","a"),"é","e"),"í","i"),"ó","o"),"ú","u"),"ü","u"),"ñ","n"),"à","a"),"è","e"),"ì","i"),"ò","o"),"ù","u"),"")</f>
        <v/>
      </c>
      <c r="V335" s="25">
        <f>IF(AND(Q335=1,L335&lt;&gt;""),SUBSTITUTE(SUBSTITUTE(SUBSTITUTE(SUBSTITUTE(SUBSTITUTE(SUBSTITUTE(SUBSTITUTE(SUBSTITUTE(SUBSTITUTE(SUBSTITUTE(SUBSTITUTE(SUBSTITUTE(LOWER(TRIM(L335)),"á","a"),"é","e"),"í","i"),"ó","o"),"ú","u"),"ü","u"),"ñ","n"),"à","a"),"è","e"),"ì","i"),"ò","o"),"ù","u"),"")</f>
        <v/>
      </c>
      <c r="W335" s="25">
        <f>IF(AND(Q335=1,I335&lt;&gt;""),SUBSTITUTE(SUBSTITUTE(SUBSTITUTE(SUBSTITUTE(SUBSTITUTE(SUBSTITUTE(SUBSTITUTE(SUBSTITUTE(SUBSTITUTE(SUBSTITUTE(SUBSTITUTE(SUBSTITUTE(LOWER(TRIM(I335)),"á","a"),"é","e"),"í","i"),"ó","o"),"ú","u"),"ü","u"),"ñ","n"),"à","a"),"è","e"),"ì","i"),"ò","o"),"ù","u"),"")</f>
        <v/>
      </c>
      <c r="X335" s="25">
        <f>IF(U335="","",IF(OR(U335="si, en la proxima tarea",U335="si, con cambios"),1,0))</f>
        <v/>
      </c>
      <c r="Y335" s="25">
        <f>IF(AND(Q335=1,A335&lt;&gt;""),IF(IFERROR(COUNTIFS(A$3:A335,"="&amp;SUBSTITUTE(SUBSTITUTE(SUBSTITUTE(A335,"~","~~"),"*","~*"),"?","~?"),Q$3:Q335,1),0)=1,MAX(Y$2:Y334)+1,""),"")</f>
        <v/>
      </c>
      <c r="Z335" s="25">
        <f>IF(Y335="","",COUNTIFS($A$3:$A$1002,"="&amp;SUBSTITUTE(SUBSTITUTE(SUBSTITUTE(A335,"~","~~"),"*","~*"),"?","~?"),$Q$3:$Q$1002,1)*10000-Y335)</f>
        <v/>
      </c>
    </row>
    <row r="336">
      <c r="A336">
        <f>IF(A$2=0,"",IFERROR(TRIM(INDEX('Pegar docentes'!$A$1:$BZ$1001,335,A$2)&amp;""),""))</f>
        <v/>
      </c>
      <c r="B336">
        <f>IF(B$2=0,"",IFERROR(TRIM(INDEX('Pegar docentes'!$A$1:$BZ$1001,335,B$2)&amp;""),""))</f>
        <v/>
      </c>
      <c r="C336">
        <f>IF(C$2=0,"",IFERROR(TRIM(INDEX('Pegar docentes'!$A$1:$BZ$1001,335,C$2)&amp;""),""))</f>
        <v/>
      </c>
      <c r="D336">
        <f>IF(D$2=0,"",IFERROR(TRIM(INDEX('Pegar docentes'!$A$1:$BZ$1001,335,D$2)&amp;""),""))</f>
        <v/>
      </c>
      <c r="E336">
        <f>IF(E$2=0,"",IFERROR(TRIM(INDEX('Pegar docentes'!$A$1:$BZ$1001,335,E$2)&amp;""),""))</f>
        <v/>
      </c>
      <c r="F336">
        <f>IF(F$2=0,"",IFERROR(TRIM(INDEX('Pegar docentes'!$A$1:$BZ$1001,335,F$2)&amp;""),""))</f>
        <v/>
      </c>
      <c r="G336">
        <f>IF(G$2=0,"",IFERROR(TRIM(INDEX('Pegar docentes'!$A$1:$BZ$1001,335,G$2)&amp;""),""))</f>
        <v/>
      </c>
      <c r="H336">
        <f>IF(H$2=0,"",IFERROR(TRIM(INDEX('Pegar docentes'!$A$1:$BZ$1001,335,H$2)&amp;""),""))</f>
        <v/>
      </c>
      <c r="I336">
        <f>IF(I$2=0,"",IFERROR(TRIM(INDEX('Pegar docentes'!$A$1:$BZ$1001,335,I$2)&amp;""),""))</f>
        <v/>
      </c>
      <c r="J336">
        <f>IF(J$2=0,"",IFERROR(TRIM(INDEX('Pegar docentes'!$A$1:$BZ$1001,335,J$2)&amp;""),""))</f>
        <v/>
      </c>
      <c r="K336">
        <f>IF(K$2=0,"",IFERROR(TRIM(INDEX('Pegar docentes'!$A$1:$BZ$1001,335,K$2)&amp;""),""))</f>
        <v/>
      </c>
      <c r="L336">
        <f>IF(L$2=0,"",IFERROR(TRIM(INDEX('Pegar docentes'!$A$1:$BZ$1001,335,L$2)&amp;""),""))</f>
        <v/>
      </c>
      <c r="M336">
        <f>IF(M$2=0,"",IFERROR(TRIM(INDEX('Pegar docentes'!$A$1:$BZ$1001,335,M$2)&amp;""),""))</f>
        <v/>
      </c>
      <c r="N336">
        <f>IF(N$2=0,"",IFERROR(TRIM(INDEX('Pegar docentes'!$A$1:$BZ$1001,335,N$2)&amp;""),""))</f>
        <v/>
      </c>
      <c r="O336">
        <f>IF(O$2=0,"",IFERROR(TRIM(INDEX('Pegar docentes'!$A$1:$BZ$1001,335,O$2)&amp;""),""))</f>
        <v/>
      </c>
      <c r="P336">
        <f>IF(P$2=0,"",IFERROR(TRIM(INDEX('Pegar docentes'!$A$1:$BZ$1001,335,P$2)&amp;""),""))</f>
        <v/>
      </c>
      <c r="Q336" s="25">
        <f>IF(OR(D336&lt;&gt;"",H336&lt;&gt;""),1,"")</f>
        <v/>
      </c>
      <c r="R336" s="25">
        <f>IF(Q336=1,IF(ISNUMBER(FIND("#"&amp;MID(D336,1,1)&amp;"#","#0#1#2#3#4#5#6#7#8#9#")),IF(ISNUMBER(FIND("#"&amp;MID(D336,2,1)&amp;"#","#0#1#2#3#4#5#6#7#8#9#")),IF(AND(VALUE(LEFT(D336,2))&gt;=1,VALUE(LEFT(D336,2))&lt;=5),VALUE(LEFT(D336,2)),""),IF(AND(VALUE(LEFT(D336,1))&gt;=1,VALUE(LEFT(D336,1))&lt;=5),VALUE(LEFT(D336,1)),"")),""),"")</f>
        <v/>
      </c>
      <c r="S336" s="25">
        <f>IF(AND(Q336=1,E336&lt;&gt;""),SUBSTITUTE(SUBSTITUTE(SUBSTITUTE(SUBSTITUTE(SUBSTITUTE(SUBSTITUTE(SUBSTITUTE(SUBSTITUTE(SUBSTITUTE(SUBSTITUTE(SUBSTITUTE(SUBSTITUTE(LOWER(TRIM(E336)),"á","a"),"é","e"),"í","i"),"ó","o"),"ú","u"),"ü","u"),"ñ","n"),"à","a"),"è","e"),"ì","i"),"ò","o"),"ù","u"),"")</f>
        <v/>
      </c>
      <c r="T336" s="25">
        <f>IF(AND(Q336=1,G336&lt;&gt;""),SUBSTITUTE(SUBSTITUTE(SUBSTITUTE(SUBSTITUTE(SUBSTITUTE(SUBSTITUTE(SUBSTITUTE(SUBSTITUTE(SUBSTITUTE(SUBSTITUTE(SUBSTITUTE(SUBSTITUTE(LOWER(TRIM(G336)),"á","a"),"é","e"),"í","i"),"ó","o"),"ú","u"),"ü","u"),"ñ","n"),"à","a"),"è","e"),"ì","i"),"ò","o"),"ù","u"),"")</f>
        <v/>
      </c>
      <c r="U336" s="25">
        <f>IF(AND(Q336=1,H336&lt;&gt;""),SUBSTITUTE(SUBSTITUTE(SUBSTITUTE(SUBSTITUTE(SUBSTITUTE(SUBSTITUTE(SUBSTITUTE(SUBSTITUTE(SUBSTITUTE(SUBSTITUTE(SUBSTITUTE(SUBSTITUTE(LOWER(TRIM(H336)),"á","a"),"é","e"),"í","i"),"ó","o"),"ú","u"),"ü","u"),"ñ","n"),"à","a"),"è","e"),"ì","i"),"ò","o"),"ù","u"),"")</f>
        <v/>
      </c>
      <c r="V336" s="25">
        <f>IF(AND(Q336=1,L336&lt;&gt;""),SUBSTITUTE(SUBSTITUTE(SUBSTITUTE(SUBSTITUTE(SUBSTITUTE(SUBSTITUTE(SUBSTITUTE(SUBSTITUTE(SUBSTITUTE(SUBSTITUTE(SUBSTITUTE(SUBSTITUTE(LOWER(TRIM(L336)),"á","a"),"é","e"),"í","i"),"ó","o"),"ú","u"),"ü","u"),"ñ","n"),"à","a"),"è","e"),"ì","i"),"ò","o"),"ù","u"),"")</f>
        <v/>
      </c>
      <c r="W336" s="25">
        <f>IF(AND(Q336=1,I336&lt;&gt;""),SUBSTITUTE(SUBSTITUTE(SUBSTITUTE(SUBSTITUTE(SUBSTITUTE(SUBSTITUTE(SUBSTITUTE(SUBSTITUTE(SUBSTITUTE(SUBSTITUTE(SUBSTITUTE(SUBSTITUTE(LOWER(TRIM(I336)),"á","a"),"é","e"),"í","i"),"ó","o"),"ú","u"),"ü","u"),"ñ","n"),"à","a"),"è","e"),"ì","i"),"ò","o"),"ù","u"),"")</f>
        <v/>
      </c>
      <c r="X336" s="25">
        <f>IF(U336="","",IF(OR(U336="si, en la proxima tarea",U336="si, con cambios"),1,0))</f>
        <v/>
      </c>
      <c r="Y336" s="25">
        <f>IF(AND(Q336=1,A336&lt;&gt;""),IF(IFERROR(COUNTIFS(A$3:A336,"="&amp;SUBSTITUTE(SUBSTITUTE(SUBSTITUTE(A336,"~","~~"),"*","~*"),"?","~?"),Q$3:Q336,1),0)=1,MAX(Y$2:Y335)+1,""),"")</f>
        <v/>
      </c>
      <c r="Z336" s="25">
        <f>IF(Y336="","",COUNTIFS($A$3:$A$1002,"="&amp;SUBSTITUTE(SUBSTITUTE(SUBSTITUTE(A336,"~","~~"),"*","~*"),"?","~?"),$Q$3:$Q$1002,1)*10000-Y336)</f>
        <v/>
      </c>
    </row>
    <row r="337">
      <c r="A337">
        <f>IF(A$2=0,"",IFERROR(TRIM(INDEX('Pegar docentes'!$A$1:$BZ$1001,336,A$2)&amp;""),""))</f>
        <v/>
      </c>
      <c r="B337">
        <f>IF(B$2=0,"",IFERROR(TRIM(INDEX('Pegar docentes'!$A$1:$BZ$1001,336,B$2)&amp;""),""))</f>
        <v/>
      </c>
      <c r="C337">
        <f>IF(C$2=0,"",IFERROR(TRIM(INDEX('Pegar docentes'!$A$1:$BZ$1001,336,C$2)&amp;""),""))</f>
        <v/>
      </c>
      <c r="D337">
        <f>IF(D$2=0,"",IFERROR(TRIM(INDEX('Pegar docentes'!$A$1:$BZ$1001,336,D$2)&amp;""),""))</f>
        <v/>
      </c>
      <c r="E337">
        <f>IF(E$2=0,"",IFERROR(TRIM(INDEX('Pegar docentes'!$A$1:$BZ$1001,336,E$2)&amp;""),""))</f>
        <v/>
      </c>
      <c r="F337">
        <f>IF(F$2=0,"",IFERROR(TRIM(INDEX('Pegar docentes'!$A$1:$BZ$1001,336,F$2)&amp;""),""))</f>
        <v/>
      </c>
      <c r="G337">
        <f>IF(G$2=0,"",IFERROR(TRIM(INDEX('Pegar docentes'!$A$1:$BZ$1001,336,G$2)&amp;""),""))</f>
        <v/>
      </c>
      <c r="H337">
        <f>IF(H$2=0,"",IFERROR(TRIM(INDEX('Pegar docentes'!$A$1:$BZ$1001,336,H$2)&amp;""),""))</f>
        <v/>
      </c>
      <c r="I337">
        <f>IF(I$2=0,"",IFERROR(TRIM(INDEX('Pegar docentes'!$A$1:$BZ$1001,336,I$2)&amp;""),""))</f>
        <v/>
      </c>
      <c r="J337">
        <f>IF(J$2=0,"",IFERROR(TRIM(INDEX('Pegar docentes'!$A$1:$BZ$1001,336,J$2)&amp;""),""))</f>
        <v/>
      </c>
      <c r="K337">
        <f>IF(K$2=0,"",IFERROR(TRIM(INDEX('Pegar docentes'!$A$1:$BZ$1001,336,K$2)&amp;""),""))</f>
        <v/>
      </c>
      <c r="L337">
        <f>IF(L$2=0,"",IFERROR(TRIM(INDEX('Pegar docentes'!$A$1:$BZ$1001,336,L$2)&amp;""),""))</f>
        <v/>
      </c>
      <c r="M337">
        <f>IF(M$2=0,"",IFERROR(TRIM(INDEX('Pegar docentes'!$A$1:$BZ$1001,336,M$2)&amp;""),""))</f>
        <v/>
      </c>
      <c r="N337">
        <f>IF(N$2=0,"",IFERROR(TRIM(INDEX('Pegar docentes'!$A$1:$BZ$1001,336,N$2)&amp;""),""))</f>
        <v/>
      </c>
      <c r="O337">
        <f>IF(O$2=0,"",IFERROR(TRIM(INDEX('Pegar docentes'!$A$1:$BZ$1001,336,O$2)&amp;""),""))</f>
        <v/>
      </c>
      <c r="P337">
        <f>IF(P$2=0,"",IFERROR(TRIM(INDEX('Pegar docentes'!$A$1:$BZ$1001,336,P$2)&amp;""),""))</f>
        <v/>
      </c>
      <c r="Q337" s="25">
        <f>IF(OR(D337&lt;&gt;"",H337&lt;&gt;""),1,"")</f>
        <v/>
      </c>
      <c r="R337" s="25">
        <f>IF(Q337=1,IF(ISNUMBER(FIND("#"&amp;MID(D337,1,1)&amp;"#","#0#1#2#3#4#5#6#7#8#9#")),IF(ISNUMBER(FIND("#"&amp;MID(D337,2,1)&amp;"#","#0#1#2#3#4#5#6#7#8#9#")),IF(AND(VALUE(LEFT(D337,2))&gt;=1,VALUE(LEFT(D337,2))&lt;=5),VALUE(LEFT(D337,2)),""),IF(AND(VALUE(LEFT(D337,1))&gt;=1,VALUE(LEFT(D337,1))&lt;=5),VALUE(LEFT(D337,1)),"")),""),"")</f>
        <v/>
      </c>
      <c r="S337" s="25">
        <f>IF(AND(Q337=1,E337&lt;&gt;""),SUBSTITUTE(SUBSTITUTE(SUBSTITUTE(SUBSTITUTE(SUBSTITUTE(SUBSTITUTE(SUBSTITUTE(SUBSTITUTE(SUBSTITUTE(SUBSTITUTE(SUBSTITUTE(SUBSTITUTE(LOWER(TRIM(E337)),"á","a"),"é","e"),"í","i"),"ó","o"),"ú","u"),"ü","u"),"ñ","n"),"à","a"),"è","e"),"ì","i"),"ò","o"),"ù","u"),"")</f>
        <v/>
      </c>
      <c r="T337" s="25">
        <f>IF(AND(Q337=1,G337&lt;&gt;""),SUBSTITUTE(SUBSTITUTE(SUBSTITUTE(SUBSTITUTE(SUBSTITUTE(SUBSTITUTE(SUBSTITUTE(SUBSTITUTE(SUBSTITUTE(SUBSTITUTE(SUBSTITUTE(SUBSTITUTE(LOWER(TRIM(G337)),"á","a"),"é","e"),"í","i"),"ó","o"),"ú","u"),"ü","u"),"ñ","n"),"à","a"),"è","e"),"ì","i"),"ò","o"),"ù","u"),"")</f>
        <v/>
      </c>
      <c r="U337" s="25">
        <f>IF(AND(Q337=1,H337&lt;&gt;""),SUBSTITUTE(SUBSTITUTE(SUBSTITUTE(SUBSTITUTE(SUBSTITUTE(SUBSTITUTE(SUBSTITUTE(SUBSTITUTE(SUBSTITUTE(SUBSTITUTE(SUBSTITUTE(SUBSTITUTE(LOWER(TRIM(H337)),"á","a"),"é","e"),"í","i"),"ó","o"),"ú","u"),"ü","u"),"ñ","n"),"à","a"),"è","e"),"ì","i"),"ò","o"),"ù","u"),"")</f>
        <v/>
      </c>
      <c r="V337" s="25">
        <f>IF(AND(Q337=1,L337&lt;&gt;""),SUBSTITUTE(SUBSTITUTE(SUBSTITUTE(SUBSTITUTE(SUBSTITUTE(SUBSTITUTE(SUBSTITUTE(SUBSTITUTE(SUBSTITUTE(SUBSTITUTE(SUBSTITUTE(SUBSTITUTE(LOWER(TRIM(L337)),"á","a"),"é","e"),"í","i"),"ó","o"),"ú","u"),"ü","u"),"ñ","n"),"à","a"),"è","e"),"ì","i"),"ò","o"),"ù","u"),"")</f>
        <v/>
      </c>
      <c r="W337" s="25">
        <f>IF(AND(Q337=1,I337&lt;&gt;""),SUBSTITUTE(SUBSTITUTE(SUBSTITUTE(SUBSTITUTE(SUBSTITUTE(SUBSTITUTE(SUBSTITUTE(SUBSTITUTE(SUBSTITUTE(SUBSTITUTE(SUBSTITUTE(SUBSTITUTE(LOWER(TRIM(I337)),"á","a"),"é","e"),"í","i"),"ó","o"),"ú","u"),"ü","u"),"ñ","n"),"à","a"),"è","e"),"ì","i"),"ò","o"),"ù","u"),"")</f>
        <v/>
      </c>
      <c r="X337" s="25">
        <f>IF(U337="","",IF(OR(U337="si, en la proxima tarea",U337="si, con cambios"),1,0))</f>
        <v/>
      </c>
      <c r="Y337" s="25">
        <f>IF(AND(Q337=1,A337&lt;&gt;""),IF(IFERROR(COUNTIFS(A$3:A337,"="&amp;SUBSTITUTE(SUBSTITUTE(SUBSTITUTE(A337,"~","~~"),"*","~*"),"?","~?"),Q$3:Q337,1),0)=1,MAX(Y$2:Y336)+1,""),"")</f>
        <v/>
      </c>
      <c r="Z337" s="25">
        <f>IF(Y337="","",COUNTIFS($A$3:$A$1002,"="&amp;SUBSTITUTE(SUBSTITUTE(SUBSTITUTE(A337,"~","~~"),"*","~*"),"?","~?"),$Q$3:$Q$1002,1)*10000-Y337)</f>
        <v/>
      </c>
    </row>
    <row r="338">
      <c r="A338">
        <f>IF(A$2=0,"",IFERROR(TRIM(INDEX('Pegar docentes'!$A$1:$BZ$1001,337,A$2)&amp;""),""))</f>
        <v/>
      </c>
      <c r="B338">
        <f>IF(B$2=0,"",IFERROR(TRIM(INDEX('Pegar docentes'!$A$1:$BZ$1001,337,B$2)&amp;""),""))</f>
        <v/>
      </c>
      <c r="C338">
        <f>IF(C$2=0,"",IFERROR(TRIM(INDEX('Pegar docentes'!$A$1:$BZ$1001,337,C$2)&amp;""),""))</f>
        <v/>
      </c>
      <c r="D338">
        <f>IF(D$2=0,"",IFERROR(TRIM(INDEX('Pegar docentes'!$A$1:$BZ$1001,337,D$2)&amp;""),""))</f>
        <v/>
      </c>
      <c r="E338">
        <f>IF(E$2=0,"",IFERROR(TRIM(INDEX('Pegar docentes'!$A$1:$BZ$1001,337,E$2)&amp;""),""))</f>
        <v/>
      </c>
      <c r="F338">
        <f>IF(F$2=0,"",IFERROR(TRIM(INDEX('Pegar docentes'!$A$1:$BZ$1001,337,F$2)&amp;""),""))</f>
        <v/>
      </c>
      <c r="G338">
        <f>IF(G$2=0,"",IFERROR(TRIM(INDEX('Pegar docentes'!$A$1:$BZ$1001,337,G$2)&amp;""),""))</f>
        <v/>
      </c>
      <c r="H338">
        <f>IF(H$2=0,"",IFERROR(TRIM(INDEX('Pegar docentes'!$A$1:$BZ$1001,337,H$2)&amp;""),""))</f>
        <v/>
      </c>
      <c r="I338">
        <f>IF(I$2=0,"",IFERROR(TRIM(INDEX('Pegar docentes'!$A$1:$BZ$1001,337,I$2)&amp;""),""))</f>
        <v/>
      </c>
      <c r="J338">
        <f>IF(J$2=0,"",IFERROR(TRIM(INDEX('Pegar docentes'!$A$1:$BZ$1001,337,J$2)&amp;""),""))</f>
        <v/>
      </c>
      <c r="K338">
        <f>IF(K$2=0,"",IFERROR(TRIM(INDEX('Pegar docentes'!$A$1:$BZ$1001,337,K$2)&amp;""),""))</f>
        <v/>
      </c>
      <c r="L338">
        <f>IF(L$2=0,"",IFERROR(TRIM(INDEX('Pegar docentes'!$A$1:$BZ$1001,337,L$2)&amp;""),""))</f>
        <v/>
      </c>
      <c r="M338">
        <f>IF(M$2=0,"",IFERROR(TRIM(INDEX('Pegar docentes'!$A$1:$BZ$1001,337,M$2)&amp;""),""))</f>
        <v/>
      </c>
      <c r="N338">
        <f>IF(N$2=0,"",IFERROR(TRIM(INDEX('Pegar docentes'!$A$1:$BZ$1001,337,N$2)&amp;""),""))</f>
        <v/>
      </c>
      <c r="O338">
        <f>IF(O$2=0,"",IFERROR(TRIM(INDEX('Pegar docentes'!$A$1:$BZ$1001,337,O$2)&amp;""),""))</f>
        <v/>
      </c>
      <c r="P338">
        <f>IF(P$2=0,"",IFERROR(TRIM(INDEX('Pegar docentes'!$A$1:$BZ$1001,337,P$2)&amp;""),""))</f>
        <v/>
      </c>
      <c r="Q338" s="25">
        <f>IF(OR(D338&lt;&gt;"",H338&lt;&gt;""),1,"")</f>
        <v/>
      </c>
      <c r="R338" s="25">
        <f>IF(Q338=1,IF(ISNUMBER(FIND("#"&amp;MID(D338,1,1)&amp;"#","#0#1#2#3#4#5#6#7#8#9#")),IF(ISNUMBER(FIND("#"&amp;MID(D338,2,1)&amp;"#","#0#1#2#3#4#5#6#7#8#9#")),IF(AND(VALUE(LEFT(D338,2))&gt;=1,VALUE(LEFT(D338,2))&lt;=5),VALUE(LEFT(D338,2)),""),IF(AND(VALUE(LEFT(D338,1))&gt;=1,VALUE(LEFT(D338,1))&lt;=5),VALUE(LEFT(D338,1)),"")),""),"")</f>
        <v/>
      </c>
      <c r="S338" s="25">
        <f>IF(AND(Q338=1,E338&lt;&gt;""),SUBSTITUTE(SUBSTITUTE(SUBSTITUTE(SUBSTITUTE(SUBSTITUTE(SUBSTITUTE(SUBSTITUTE(SUBSTITUTE(SUBSTITUTE(SUBSTITUTE(SUBSTITUTE(SUBSTITUTE(LOWER(TRIM(E338)),"á","a"),"é","e"),"í","i"),"ó","o"),"ú","u"),"ü","u"),"ñ","n"),"à","a"),"è","e"),"ì","i"),"ò","o"),"ù","u"),"")</f>
        <v/>
      </c>
      <c r="T338" s="25">
        <f>IF(AND(Q338=1,G338&lt;&gt;""),SUBSTITUTE(SUBSTITUTE(SUBSTITUTE(SUBSTITUTE(SUBSTITUTE(SUBSTITUTE(SUBSTITUTE(SUBSTITUTE(SUBSTITUTE(SUBSTITUTE(SUBSTITUTE(SUBSTITUTE(LOWER(TRIM(G338)),"á","a"),"é","e"),"í","i"),"ó","o"),"ú","u"),"ü","u"),"ñ","n"),"à","a"),"è","e"),"ì","i"),"ò","o"),"ù","u"),"")</f>
        <v/>
      </c>
      <c r="U338" s="25">
        <f>IF(AND(Q338=1,H338&lt;&gt;""),SUBSTITUTE(SUBSTITUTE(SUBSTITUTE(SUBSTITUTE(SUBSTITUTE(SUBSTITUTE(SUBSTITUTE(SUBSTITUTE(SUBSTITUTE(SUBSTITUTE(SUBSTITUTE(SUBSTITUTE(LOWER(TRIM(H338)),"á","a"),"é","e"),"í","i"),"ó","o"),"ú","u"),"ü","u"),"ñ","n"),"à","a"),"è","e"),"ì","i"),"ò","o"),"ù","u"),"")</f>
        <v/>
      </c>
      <c r="V338" s="25">
        <f>IF(AND(Q338=1,L338&lt;&gt;""),SUBSTITUTE(SUBSTITUTE(SUBSTITUTE(SUBSTITUTE(SUBSTITUTE(SUBSTITUTE(SUBSTITUTE(SUBSTITUTE(SUBSTITUTE(SUBSTITUTE(SUBSTITUTE(SUBSTITUTE(LOWER(TRIM(L338)),"á","a"),"é","e"),"í","i"),"ó","o"),"ú","u"),"ü","u"),"ñ","n"),"à","a"),"è","e"),"ì","i"),"ò","o"),"ù","u"),"")</f>
        <v/>
      </c>
      <c r="W338" s="25">
        <f>IF(AND(Q338=1,I338&lt;&gt;""),SUBSTITUTE(SUBSTITUTE(SUBSTITUTE(SUBSTITUTE(SUBSTITUTE(SUBSTITUTE(SUBSTITUTE(SUBSTITUTE(SUBSTITUTE(SUBSTITUTE(SUBSTITUTE(SUBSTITUTE(LOWER(TRIM(I338)),"á","a"),"é","e"),"í","i"),"ó","o"),"ú","u"),"ü","u"),"ñ","n"),"à","a"),"è","e"),"ì","i"),"ò","o"),"ù","u"),"")</f>
        <v/>
      </c>
      <c r="X338" s="25">
        <f>IF(U338="","",IF(OR(U338="si, en la proxima tarea",U338="si, con cambios"),1,0))</f>
        <v/>
      </c>
      <c r="Y338" s="25">
        <f>IF(AND(Q338=1,A338&lt;&gt;""),IF(IFERROR(COUNTIFS(A$3:A338,"="&amp;SUBSTITUTE(SUBSTITUTE(SUBSTITUTE(A338,"~","~~"),"*","~*"),"?","~?"),Q$3:Q338,1),0)=1,MAX(Y$2:Y337)+1,""),"")</f>
        <v/>
      </c>
      <c r="Z338" s="25">
        <f>IF(Y338="","",COUNTIFS($A$3:$A$1002,"="&amp;SUBSTITUTE(SUBSTITUTE(SUBSTITUTE(A338,"~","~~"),"*","~*"),"?","~?"),$Q$3:$Q$1002,1)*10000-Y338)</f>
        <v/>
      </c>
    </row>
    <row r="339">
      <c r="A339">
        <f>IF(A$2=0,"",IFERROR(TRIM(INDEX('Pegar docentes'!$A$1:$BZ$1001,338,A$2)&amp;""),""))</f>
        <v/>
      </c>
      <c r="B339">
        <f>IF(B$2=0,"",IFERROR(TRIM(INDEX('Pegar docentes'!$A$1:$BZ$1001,338,B$2)&amp;""),""))</f>
        <v/>
      </c>
      <c r="C339">
        <f>IF(C$2=0,"",IFERROR(TRIM(INDEX('Pegar docentes'!$A$1:$BZ$1001,338,C$2)&amp;""),""))</f>
        <v/>
      </c>
      <c r="D339">
        <f>IF(D$2=0,"",IFERROR(TRIM(INDEX('Pegar docentes'!$A$1:$BZ$1001,338,D$2)&amp;""),""))</f>
        <v/>
      </c>
      <c r="E339">
        <f>IF(E$2=0,"",IFERROR(TRIM(INDEX('Pegar docentes'!$A$1:$BZ$1001,338,E$2)&amp;""),""))</f>
        <v/>
      </c>
      <c r="F339">
        <f>IF(F$2=0,"",IFERROR(TRIM(INDEX('Pegar docentes'!$A$1:$BZ$1001,338,F$2)&amp;""),""))</f>
        <v/>
      </c>
      <c r="G339">
        <f>IF(G$2=0,"",IFERROR(TRIM(INDEX('Pegar docentes'!$A$1:$BZ$1001,338,G$2)&amp;""),""))</f>
        <v/>
      </c>
      <c r="H339">
        <f>IF(H$2=0,"",IFERROR(TRIM(INDEX('Pegar docentes'!$A$1:$BZ$1001,338,H$2)&amp;""),""))</f>
        <v/>
      </c>
      <c r="I339">
        <f>IF(I$2=0,"",IFERROR(TRIM(INDEX('Pegar docentes'!$A$1:$BZ$1001,338,I$2)&amp;""),""))</f>
        <v/>
      </c>
      <c r="J339">
        <f>IF(J$2=0,"",IFERROR(TRIM(INDEX('Pegar docentes'!$A$1:$BZ$1001,338,J$2)&amp;""),""))</f>
        <v/>
      </c>
      <c r="K339">
        <f>IF(K$2=0,"",IFERROR(TRIM(INDEX('Pegar docentes'!$A$1:$BZ$1001,338,K$2)&amp;""),""))</f>
        <v/>
      </c>
      <c r="L339">
        <f>IF(L$2=0,"",IFERROR(TRIM(INDEX('Pegar docentes'!$A$1:$BZ$1001,338,L$2)&amp;""),""))</f>
        <v/>
      </c>
      <c r="M339">
        <f>IF(M$2=0,"",IFERROR(TRIM(INDEX('Pegar docentes'!$A$1:$BZ$1001,338,M$2)&amp;""),""))</f>
        <v/>
      </c>
      <c r="N339">
        <f>IF(N$2=0,"",IFERROR(TRIM(INDEX('Pegar docentes'!$A$1:$BZ$1001,338,N$2)&amp;""),""))</f>
        <v/>
      </c>
      <c r="O339">
        <f>IF(O$2=0,"",IFERROR(TRIM(INDEX('Pegar docentes'!$A$1:$BZ$1001,338,O$2)&amp;""),""))</f>
        <v/>
      </c>
      <c r="P339">
        <f>IF(P$2=0,"",IFERROR(TRIM(INDEX('Pegar docentes'!$A$1:$BZ$1001,338,P$2)&amp;""),""))</f>
        <v/>
      </c>
      <c r="Q339" s="25">
        <f>IF(OR(D339&lt;&gt;"",H339&lt;&gt;""),1,"")</f>
        <v/>
      </c>
      <c r="R339" s="25">
        <f>IF(Q339=1,IF(ISNUMBER(FIND("#"&amp;MID(D339,1,1)&amp;"#","#0#1#2#3#4#5#6#7#8#9#")),IF(ISNUMBER(FIND("#"&amp;MID(D339,2,1)&amp;"#","#0#1#2#3#4#5#6#7#8#9#")),IF(AND(VALUE(LEFT(D339,2))&gt;=1,VALUE(LEFT(D339,2))&lt;=5),VALUE(LEFT(D339,2)),""),IF(AND(VALUE(LEFT(D339,1))&gt;=1,VALUE(LEFT(D339,1))&lt;=5),VALUE(LEFT(D339,1)),"")),""),"")</f>
        <v/>
      </c>
      <c r="S339" s="25">
        <f>IF(AND(Q339=1,E339&lt;&gt;""),SUBSTITUTE(SUBSTITUTE(SUBSTITUTE(SUBSTITUTE(SUBSTITUTE(SUBSTITUTE(SUBSTITUTE(SUBSTITUTE(SUBSTITUTE(SUBSTITUTE(SUBSTITUTE(SUBSTITUTE(LOWER(TRIM(E339)),"á","a"),"é","e"),"í","i"),"ó","o"),"ú","u"),"ü","u"),"ñ","n"),"à","a"),"è","e"),"ì","i"),"ò","o"),"ù","u"),"")</f>
        <v/>
      </c>
      <c r="T339" s="25">
        <f>IF(AND(Q339=1,G339&lt;&gt;""),SUBSTITUTE(SUBSTITUTE(SUBSTITUTE(SUBSTITUTE(SUBSTITUTE(SUBSTITUTE(SUBSTITUTE(SUBSTITUTE(SUBSTITUTE(SUBSTITUTE(SUBSTITUTE(SUBSTITUTE(LOWER(TRIM(G339)),"á","a"),"é","e"),"í","i"),"ó","o"),"ú","u"),"ü","u"),"ñ","n"),"à","a"),"è","e"),"ì","i"),"ò","o"),"ù","u"),"")</f>
        <v/>
      </c>
      <c r="U339" s="25">
        <f>IF(AND(Q339=1,H339&lt;&gt;""),SUBSTITUTE(SUBSTITUTE(SUBSTITUTE(SUBSTITUTE(SUBSTITUTE(SUBSTITUTE(SUBSTITUTE(SUBSTITUTE(SUBSTITUTE(SUBSTITUTE(SUBSTITUTE(SUBSTITUTE(LOWER(TRIM(H339)),"á","a"),"é","e"),"í","i"),"ó","o"),"ú","u"),"ü","u"),"ñ","n"),"à","a"),"è","e"),"ì","i"),"ò","o"),"ù","u"),"")</f>
        <v/>
      </c>
      <c r="V339" s="25">
        <f>IF(AND(Q339=1,L339&lt;&gt;""),SUBSTITUTE(SUBSTITUTE(SUBSTITUTE(SUBSTITUTE(SUBSTITUTE(SUBSTITUTE(SUBSTITUTE(SUBSTITUTE(SUBSTITUTE(SUBSTITUTE(SUBSTITUTE(SUBSTITUTE(LOWER(TRIM(L339)),"á","a"),"é","e"),"í","i"),"ó","o"),"ú","u"),"ü","u"),"ñ","n"),"à","a"),"è","e"),"ì","i"),"ò","o"),"ù","u"),"")</f>
        <v/>
      </c>
      <c r="W339" s="25">
        <f>IF(AND(Q339=1,I339&lt;&gt;""),SUBSTITUTE(SUBSTITUTE(SUBSTITUTE(SUBSTITUTE(SUBSTITUTE(SUBSTITUTE(SUBSTITUTE(SUBSTITUTE(SUBSTITUTE(SUBSTITUTE(SUBSTITUTE(SUBSTITUTE(LOWER(TRIM(I339)),"á","a"),"é","e"),"í","i"),"ó","o"),"ú","u"),"ü","u"),"ñ","n"),"à","a"),"è","e"),"ì","i"),"ò","o"),"ù","u"),"")</f>
        <v/>
      </c>
      <c r="X339" s="25">
        <f>IF(U339="","",IF(OR(U339="si, en la proxima tarea",U339="si, con cambios"),1,0))</f>
        <v/>
      </c>
      <c r="Y339" s="25">
        <f>IF(AND(Q339=1,A339&lt;&gt;""),IF(IFERROR(COUNTIFS(A$3:A339,"="&amp;SUBSTITUTE(SUBSTITUTE(SUBSTITUTE(A339,"~","~~"),"*","~*"),"?","~?"),Q$3:Q339,1),0)=1,MAX(Y$2:Y338)+1,""),"")</f>
        <v/>
      </c>
      <c r="Z339" s="25">
        <f>IF(Y339="","",COUNTIFS($A$3:$A$1002,"="&amp;SUBSTITUTE(SUBSTITUTE(SUBSTITUTE(A339,"~","~~"),"*","~*"),"?","~?"),$Q$3:$Q$1002,1)*10000-Y339)</f>
        <v/>
      </c>
    </row>
    <row r="340">
      <c r="A340">
        <f>IF(A$2=0,"",IFERROR(TRIM(INDEX('Pegar docentes'!$A$1:$BZ$1001,339,A$2)&amp;""),""))</f>
        <v/>
      </c>
      <c r="B340">
        <f>IF(B$2=0,"",IFERROR(TRIM(INDEX('Pegar docentes'!$A$1:$BZ$1001,339,B$2)&amp;""),""))</f>
        <v/>
      </c>
      <c r="C340">
        <f>IF(C$2=0,"",IFERROR(TRIM(INDEX('Pegar docentes'!$A$1:$BZ$1001,339,C$2)&amp;""),""))</f>
        <v/>
      </c>
      <c r="D340">
        <f>IF(D$2=0,"",IFERROR(TRIM(INDEX('Pegar docentes'!$A$1:$BZ$1001,339,D$2)&amp;""),""))</f>
        <v/>
      </c>
      <c r="E340">
        <f>IF(E$2=0,"",IFERROR(TRIM(INDEX('Pegar docentes'!$A$1:$BZ$1001,339,E$2)&amp;""),""))</f>
        <v/>
      </c>
      <c r="F340">
        <f>IF(F$2=0,"",IFERROR(TRIM(INDEX('Pegar docentes'!$A$1:$BZ$1001,339,F$2)&amp;""),""))</f>
        <v/>
      </c>
      <c r="G340">
        <f>IF(G$2=0,"",IFERROR(TRIM(INDEX('Pegar docentes'!$A$1:$BZ$1001,339,G$2)&amp;""),""))</f>
        <v/>
      </c>
      <c r="H340">
        <f>IF(H$2=0,"",IFERROR(TRIM(INDEX('Pegar docentes'!$A$1:$BZ$1001,339,H$2)&amp;""),""))</f>
        <v/>
      </c>
      <c r="I340">
        <f>IF(I$2=0,"",IFERROR(TRIM(INDEX('Pegar docentes'!$A$1:$BZ$1001,339,I$2)&amp;""),""))</f>
        <v/>
      </c>
      <c r="J340">
        <f>IF(J$2=0,"",IFERROR(TRIM(INDEX('Pegar docentes'!$A$1:$BZ$1001,339,J$2)&amp;""),""))</f>
        <v/>
      </c>
      <c r="K340">
        <f>IF(K$2=0,"",IFERROR(TRIM(INDEX('Pegar docentes'!$A$1:$BZ$1001,339,K$2)&amp;""),""))</f>
        <v/>
      </c>
      <c r="L340">
        <f>IF(L$2=0,"",IFERROR(TRIM(INDEX('Pegar docentes'!$A$1:$BZ$1001,339,L$2)&amp;""),""))</f>
        <v/>
      </c>
      <c r="M340">
        <f>IF(M$2=0,"",IFERROR(TRIM(INDEX('Pegar docentes'!$A$1:$BZ$1001,339,M$2)&amp;""),""))</f>
        <v/>
      </c>
      <c r="N340">
        <f>IF(N$2=0,"",IFERROR(TRIM(INDEX('Pegar docentes'!$A$1:$BZ$1001,339,N$2)&amp;""),""))</f>
        <v/>
      </c>
      <c r="O340">
        <f>IF(O$2=0,"",IFERROR(TRIM(INDEX('Pegar docentes'!$A$1:$BZ$1001,339,O$2)&amp;""),""))</f>
        <v/>
      </c>
      <c r="P340">
        <f>IF(P$2=0,"",IFERROR(TRIM(INDEX('Pegar docentes'!$A$1:$BZ$1001,339,P$2)&amp;""),""))</f>
        <v/>
      </c>
      <c r="Q340" s="25">
        <f>IF(OR(D340&lt;&gt;"",H340&lt;&gt;""),1,"")</f>
        <v/>
      </c>
      <c r="R340" s="25">
        <f>IF(Q340=1,IF(ISNUMBER(FIND("#"&amp;MID(D340,1,1)&amp;"#","#0#1#2#3#4#5#6#7#8#9#")),IF(ISNUMBER(FIND("#"&amp;MID(D340,2,1)&amp;"#","#0#1#2#3#4#5#6#7#8#9#")),IF(AND(VALUE(LEFT(D340,2))&gt;=1,VALUE(LEFT(D340,2))&lt;=5),VALUE(LEFT(D340,2)),""),IF(AND(VALUE(LEFT(D340,1))&gt;=1,VALUE(LEFT(D340,1))&lt;=5),VALUE(LEFT(D340,1)),"")),""),"")</f>
        <v/>
      </c>
      <c r="S340" s="25">
        <f>IF(AND(Q340=1,E340&lt;&gt;""),SUBSTITUTE(SUBSTITUTE(SUBSTITUTE(SUBSTITUTE(SUBSTITUTE(SUBSTITUTE(SUBSTITUTE(SUBSTITUTE(SUBSTITUTE(SUBSTITUTE(SUBSTITUTE(SUBSTITUTE(LOWER(TRIM(E340)),"á","a"),"é","e"),"í","i"),"ó","o"),"ú","u"),"ü","u"),"ñ","n"),"à","a"),"è","e"),"ì","i"),"ò","o"),"ù","u"),"")</f>
        <v/>
      </c>
      <c r="T340" s="25">
        <f>IF(AND(Q340=1,G340&lt;&gt;""),SUBSTITUTE(SUBSTITUTE(SUBSTITUTE(SUBSTITUTE(SUBSTITUTE(SUBSTITUTE(SUBSTITUTE(SUBSTITUTE(SUBSTITUTE(SUBSTITUTE(SUBSTITUTE(SUBSTITUTE(LOWER(TRIM(G340)),"á","a"),"é","e"),"í","i"),"ó","o"),"ú","u"),"ü","u"),"ñ","n"),"à","a"),"è","e"),"ì","i"),"ò","o"),"ù","u"),"")</f>
        <v/>
      </c>
      <c r="U340" s="25">
        <f>IF(AND(Q340=1,H340&lt;&gt;""),SUBSTITUTE(SUBSTITUTE(SUBSTITUTE(SUBSTITUTE(SUBSTITUTE(SUBSTITUTE(SUBSTITUTE(SUBSTITUTE(SUBSTITUTE(SUBSTITUTE(SUBSTITUTE(SUBSTITUTE(LOWER(TRIM(H340)),"á","a"),"é","e"),"í","i"),"ó","o"),"ú","u"),"ü","u"),"ñ","n"),"à","a"),"è","e"),"ì","i"),"ò","o"),"ù","u"),"")</f>
        <v/>
      </c>
      <c r="V340" s="25">
        <f>IF(AND(Q340=1,L340&lt;&gt;""),SUBSTITUTE(SUBSTITUTE(SUBSTITUTE(SUBSTITUTE(SUBSTITUTE(SUBSTITUTE(SUBSTITUTE(SUBSTITUTE(SUBSTITUTE(SUBSTITUTE(SUBSTITUTE(SUBSTITUTE(LOWER(TRIM(L340)),"á","a"),"é","e"),"í","i"),"ó","o"),"ú","u"),"ü","u"),"ñ","n"),"à","a"),"è","e"),"ì","i"),"ò","o"),"ù","u"),"")</f>
        <v/>
      </c>
      <c r="W340" s="25">
        <f>IF(AND(Q340=1,I340&lt;&gt;""),SUBSTITUTE(SUBSTITUTE(SUBSTITUTE(SUBSTITUTE(SUBSTITUTE(SUBSTITUTE(SUBSTITUTE(SUBSTITUTE(SUBSTITUTE(SUBSTITUTE(SUBSTITUTE(SUBSTITUTE(LOWER(TRIM(I340)),"á","a"),"é","e"),"í","i"),"ó","o"),"ú","u"),"ü","u"),"ñ","n"),"à","a"),"è","e"),"ì","i"),"ò","o"),"ù","u"),"")</f>
        <v/>
      </c>
      <c r="X340" s="25">
        <f>IF(U340="","",IF(OR(U340="si, en la proxima tarea",U340="si, con cambios"),1,0))</f>
        <v/>
      </c>
      <c r="Y340" s="25">
        <f>IF(AND(Q340=1,A340&lt;&gt;""),IF(IFERROR(COUNTIFS(A$3:A340,"="&amp;SUBSTITUTE(SUBSTITUTE(SUBSTITUTE(A340,"~","~~"),"*","~*"),"?","~?"),Q$3:Q340,1),0)=1,MAX(Y$2:Y339)+1,""),"")</f>
        <v/>
      </c>
      <c r="Z340" s="25">
        <f>IF(Y340="","",COUNTIFS($A$3:$A$1002,"="&amp;SUBSTITUTE(SUBSTITUTE(SUBSTITUTE(A340,"~","~~"),"*","~*"),"?","~?"),$Q$3:$Q$1002,1)*10000-Y340)</f>
        <v/>
      </c>
    </row>
    <row r="341">
      <c r="A341">
        <f>IF(A$2=0,"",IFERROR(TRIM(INDEX('Pegar docentes'!$A$1:$BZ$1001,340,A$2)&amp;""),""))</f>
        <v/>
      </c>
      <c r="B341">
        <f>IF(B$2=0,"",IFERROR(TRIM(INDEX('Pegar docentes'!$A$1:$BZ$1001,340,B$2)&amp;""),""))</f>
        <v/>
      </c>
      <c r="C341">
        <f>IF(C$2=0,"",IFERROR(TRIM(INDEX('Pegar docentes'!$A$1:$BZ$1001,340,C$2)&amp;""),""))</f>
        <v/>
      </c>
      <c r="D341">
        <f>IF(D$2=0,"",IFERROR(TRIM(INDEX('Pegar docentes'!$A$1:$BZ$1001,340,D$2)&amp;""),""))</f>
        <v/>
      </c>
      <c r="E341">
        <f>IF(E$2=0,"",IFERROR(TRIM(INDEX('Pegar docentes'!$A$1:$BZ$1001,340,E$2)&amp;""),""))</f>
        <v/>
      </c>
      <c r="F341">
        <f>IF(F$2=0,"",IFERROR(TRIM(INDEX('Pegar docentes'!$A$1:$BZ$1001,340,F$2)&amp;""),""))</f>
        <v/>
      </c>
      <c r="G341">
        <f>IF(G$2=0,"",IFERROR(TRIM(INDEX('Pegar docentes'!$A$1:$BZ$1001,340,G$2)&amp;""),""))</f>
        <v/>
      </c>
      <c r="H341">
        <f>IF(H$2=0,"",IFERROR(TRIM(INDEX('Pegar docentes'!$A$1:$BZ$1001,340,H$2)&amp;""),""))</f>
        <v/>
      </c>
      <c r="I341">
        <f>IF(I$2=0,"",IFERROR(TRIM(INDEX('Pegar docentes'!$A$1:$BZ$1001,340,I$2)&amp;""),""))</f>
        <v/>
      </c>
      <c r="J341">
        <f>IF(J$2=0,"",IFERROR(TRIM(INDEX('Pegar docentes'!$A$1:$BZ$1001,340,J$2)&amp;""),""))</f>
        <v/>
      </c>
      <c r="K341">
        <f>IF(K$2=0,"",IFERROR(TRIM(INDEX('Pegar docentes'!$A$1:$BZ$1001,340,K$2)&amp;""),""))</f>
        <v/>
      </c>
      <c r="L341">
        <f>IF(L$2=0,"",IFERROR(TRIM(INDEX('Pegar docentes'!$A$1:$BZ$1001,340,L$2)&amp;""),""))</f>
        <v/>
      </c>
      <c r="M341">
        <f>IF(M$2=0,"",IFERROR(TRIM(INDEX('Pegar docentes'!$A$1:$BZ$1001,340,M$2)&amp;""),""))</f>
        <v/>
      </c>
      <c r="N341">
        <f>IF(N$2=0,"",IFERROR(TRIM(INDEX('Pegar docentes'!$A$1:$BZ$1001,340,N$2)&amp;""),""))</f>
        <v/>
      </c>
      <c r="O341">
        <f>IF(O$2=0,"",IFERROR(TRIM(INDEX('Pegar docentes'!$A$1:$BZ$1001,340,O$2)&amp;""),""))</f>
        <v/>
      </c>
      <c r="P341">
        <f>IF(P$2=0,"",IFERROR(TRIM(INDEX('Pegar docentes'!$A$1:$BZ$1001,340,P$2)&amp;""),""))</f>
        <v/>
      </c>
      <c r="Q341" s="25">
        <f>IF(OR(D341&lt;&gt;"",H341&lt;&gt;""),1,"")</f>
        <v/>
      </c>
      <c r="R341" s="25">
        <f>IF(Q341=1,IF(ISNUMBER(FIND("#"&amp;MID(D341,1,1)&amp;"#","#0#1#2#3#4#5#6#7#8#9#")),IF(ISNUMBER(FIND("#"&amp;MID(D341,2,1)&amp;"#","#0#1#2#3#4#5#6#7#8#9#")),IF(AND(VALUE(LEFT(D341,2))&gt;=1,VALUE(LEFT(D341,2))&lt;=5),VALUE(LEFT(D341,2)),""),IF(AND(VALUE(LEFT(D341,1))&gt;=1,VALUE(LEFT(D341,1))&lt;=5),VALUE(LEFT(D341,1)),"")),""),"")</f>
        <v/>
      </c>
      <c r="S341" s="25">
        <f>IF(AND(Q341=1,E341&lt;&gt;""),SUBSTITUTE(SUBSTITUTE(SUBSTITUTE(SUBSTITUTE(SUBSTITUTE(SUBSTITUTE(SUBSTITUTE(SUBSTITUTE(SUBSTITUTE(SUBSTITUTE(SUBSTITUTE(SUBSTITUTE(LOWER(TRIM(E341)),"á","a"),"é","e"),"í","i"),"ó","o"),"ú","u"),"ü","u"),"ñ","n"),"à","a"),"è","e"),"ì","i"),"ò","o"),"ù","u"),"")</f>
        <v/>
      </c>
      <c r="T341" s="25">
        <f>IF(AND(Q341=1,G341&lt;&gt;""),SUBSTITUTE(SUBSTITUTE(SUBSTITUTE(SUBSTITUTE(SUBSTITUTE(SUBSTITUTE(SUBSTITUTE(SUBSTITUTE(SUBSTITUTE(SUBSTITUTE(SUBSTITUTE(SUBSTITUTE(LOWER(TRIM(G341)),"á","a"),"é","e"),"í","i"),"ó","o"),"ú","u"),"ü","u"),"ñ","n"),"à","a"),"è","e"),"ì","i"),"ò","o"),"ù","u"),"")</f>
        <v/>
      </c>
      <c r="U341" s="25">
        <f>IF(AND(Q341=1,H341&lt;&gt;""),SUBSTITUTE(SUBSTITUTE(SUBSTITUTE(SUBSTITUTE(SUBSTITUTE(SUBSTITUTE(SUBSTITUTE(SUBSTITUTE(SUBSTITUTE(SUBSTITUTE(SUBSTITUTE(SUBSTITUTE(LOWER(TRIM(H341)),"á","a"),"é","e"),"í","i"),"ó","o"),"ú","u"),"ü","u"),"ñ","n"),"à","a"),"è","e"),"ì","i"),"ò","o"),"ù","u"),"")</f>
        <v/>
      </c>
      <c r="V341" s="25">
        <f>IF(AND(Q341=1,L341&lt;&gt;""),SUBSTITUTE(SUBSTITUTE(SUBSTITUTE(SUBSTITUTE(SUBSTITUTE(SUBSTITUTE(SUBSTITUTE(SUBSTITUTE(SUBSTITUTE(SUBSTITUTE(SUBSTITUTE(SUBSTITUTE(LOWER(TRIM(L341)),"á","a"),"é","e"),"í","i"),"ó","o"),"ú","u"),"ü","u"),"ñ","n"),"à","a"),"è","e"),"ì","i"),"ò","o"),"ù","u"),"")</f>
        <v/>
      </c>
      <c r="W341" s="25">
        <f>IF(AND(Q341=1,I341&lt;&gt;""),SUBSTITUTE(SUBSTITUTE(SUBSTITUTE(SUBSTITUTE(SUBSTITUTE(SUBSTITUTE(SUBSTITUTE(SUBSTITUTE(SUBSTITUTE(SUBSTITUTE(SUBSTITUTE(SUBSTITUTE(LOWER(TRIM(I341)),"á","a"),"é","e"),"í","i"),"ó","o"),"ú","u"),"ü","u"),"ñ","n"),"à","a"),"è","e"),"ì","i"),"ò","o"),"ù","u"),"")</f>
        <v/>
      </c>
      <c r="X341" s="25">
        <f>IF(U341="","",IF(OR(U341="si, en la proxima tarea",U341="si, con cambios"),1,0))</f>
        <v/>
      </c>
      <c r="Y341" s="25">
        <f>IF(AND(Q341=1,A341&lt;&gt;""),IF(IFERROR(COUNTIFS(A$3:A341,"="&amp;SUBSTITUTE(SUBSTITUTE(SUBSTITUTE(A341,"~","~~"),"*","~*"),"?","~?"),Q$3:Q341,1),0)=1,MAX(Y$2:Y340)+1,""),"")</f>
        <v/>
      </c>
      <c r="Z341" s="25">
        <f>IF(Y341="","",COUNTIFS($A$3:$A$1002,"="&amp;SUBSTITUTE(SUBSTITUTE(SUBSTITUTE(A341,"~","~~"),"*","~*"),"?","~?"),$Q$3:$Q$1002,1)*10000-Y341)</f>
        <v/>
      </c>
    </row>
    <row r="342">
      <c r="A342">
        <f>IF(A$2=0,"",IFERROR(TRIM(INDEX('Pegar docentes'!$A$1:$BZ$1001,341,A$2)&amp;""),""))</f>
        <v/>
      </c>
      <c r="B342">
        <f>IF(B$2=0,"",IFERROR(TRIM(INDEX('Pegar docentes'!$A$1:$BZ$1001,341,B$2)&amp;""),""))</f>
        <v/>
      </c>
      <c r="C342">
        <f>IF(C$2=0,"",IFERROR(TRIM(INDEX('Pegar docentes'!$A$1:$BZ$1001,341,C$2)&amp;""),""))</f>
        <v/>
      </c>
      <c r="D342">
        <f>IF(D$2=0,"",IFERROR(TRIM(INDEX('Pegar docentes'!$A$1:$BZ$1001,341,D$2)&amp;""),""))</f>
        <v/>
      </c>
      <c r="E342">
        <f>IF(E$2=0,"",IFERROR(TRIM(INDEX('Pegar docentes'!$A$1:$BZ$1001,341,E$2)&amp;""),""))</f>
        <v/>
      </c>
      <c r="F342">
        <f>IF(F$2=0,"",IFERROR(TRIM(INDEX('Pegar docentes'!$A$1:$BZ$1001,341,F$2)&amp;""),""))</f>
        <v/>
      </c>
      <c r="G342">
        <f>IF(G$2=0,"",IFERROR(TRIM(INDEX('Pegar docentes'!$A$1:$BZ$1001,341,G$2)&amp;""),""))</f>
        <v/>
      </c>
      <c r="H342">
        <f>IF(H$2=0,"",IFERROR(TRIM(INDEX('Pegar docentes'!$A$1:$BZ$1001,341,H$2)&amp;""),""))</f>
        <v/>
      </c>
      <c r="I342">
        <f>IF(I$2=0,"",IFERROR(TRIM(INDEX('Pegar docentes'!$A$1:$BZ$1001,341,I$2)&amp;""),""))</f>
        <v/>
      </c>
      <c r="J342">
        <f>IF(J$2=0,"",IFERROR(TRIM(INDEX('Pegar docentes'!$A$1:$BZ$1001,341,J$2)&amp;""),""))</f>
        <v/>
      </c>
      <c r="K342">
        <f>IF(K$2=0,"",IFERROR(TRIM(INDEX('Pegar docentes'!$A$1:$BZ$1001,341,K$2)&amp;""),""))</f>
        <v/>
      </c>
      <c r="L342">
        <f>IF(L$2=0,"",IFERROR(TRIM(INDEX('Pegar docentes'!$A$1:$BZ$1001,341,L$2)&amp;""),""))</f>
        <v/>
      </c>
      <c r="M342">
        <f>IF(M$2=0,"",IFERROR(TRIM(INDEX('Pegar docentes'!$A$1:$BZ$1001,341,M$2)&amp;""),""))</f>
        <v/>
      </c>
      <c r="N342">
        <f>IF(N$2=0,"",IFERROR(TRIM(INDEX('Pegar docentes'!$A$1:$BZ$1001,341,N$2)&amp;""),""))</f>
        <v/>
      </c>
      <c r="O342">
        <f>IF(O$2=0,"",IFERROR(TRIM(INDEX('Pegar docentes'!$A$1:$BZ$1001,341,O$2)&amp;""),""))</f>
        <v/>
      </c>
      <c r="P342">
        <f>IF(P$2=0,"",IFERROR(TRIM(INDEX('Pegar docentes'!$A$1:$BZ$1001,341,P$2)&amp;""),""))</f>
        <v/>
      </c>
      <c r="Q342" s="25">
        <f>IF(OR(D342&lt;&gt;"",H342&lt;&gt;""),1,"")</f>
        <v/>
      </c>
      <c r="R342" s="25">
        <f>IF(Q342=1,IF(ISNUMBER(FIND("#"&amp;MID(D342,1,1)&amp;"#","#0#1#2#3#4#5#6#7#8#9#")),IF(ISNUMBER(FIND("#"&amp;MID(D342,2,1)&amp;"#","#0#1#2#3#4#5#6#7#8#9#")),IF(AND(VALUE(LEFT(D342,2))&gt;=1,VALUE(LEFT(D342,2))&lt;=5),VALUE(LEFT(D342,2)),""),IF(AND(VALUE(LEFT(D342,1))&gt;=1,VALUE(LEFT(D342,1))&lt;=5),VALUE(LEFT(D342,1)),"")),""),"")</f>
        <v/>
      </c>
      <c r="S342" s="25">
        <f>IF(AND(Q342=1,E342&lt;&gt;""),SUBSTITUTE(SUBSTITUTE(SUBSTITUTE(SUBSTITUTE(SUBSTITUTE(SUBSTITUTE(SUBSTITUTE(SUBSTITUTE(SUBSTITUTE(SUBSTITUTE(SUBSTITUTE(SUBSTITUTE(LOWER(TRIM(E342)),"á","a"),"é","e"),"í","i"),"ó","o"),"ú","u"),"ü","u"),"ñ","n"),"à","a"),"è","e"),"ì","i"),"ò","o"),"ù","u"),"")</f>
        <v/>
      </c>
      <c r="T342" s="25">
        <f>IF(AND(Q342=1,G342&lt;&gt;""),SUBSTITUTE(SUBSTITUTE(SUBSTITUTE(SUBSTITUTE(SUBSTITUTE(SUBSTITUTE(SUBSTITUTE(SUBSTITUTE(SUBSTITUTE(SUBSTITUTE(SUBSTITUTE(SUBSTITUTE(LOWER(TRIM(G342)),"á","a"),"é","e"),"í","i"),"ó","o"),"ú","u"),"ü","u"),"ñ","n"),"à","a"),"è","e"),"ì","i"),"ò","o"),"ù","u"),"")</f>
        <v/>
      </c>
      <c r="U342" s="25">
        <f>IF(AND(Q342=1,H342&lt;&gt;""),SUBSTITUTE(SUBSTITUTE(SUBSTITUTE(SUBSTITUTE(SUBSTITUTE(SUBSTITUTE(SUBSTITUTE(SUBSTITUTE(SUBSTITUTE(SUBSTITUTE(SUBSTITUTE(SUBSTITUTE(LOWER(TRIM(H342)),"á","a"),"é","e"),"í","i"),"ó","o"),"ú","u"),"ü","u"),"ñ","n"),"à","a"),"è","e"),"ì","i"),"ò","o"),"ù","u"),"")</f>
        <v/>
      </c>
      <c r="V342" s="25">
        <f>IF(AND(Q342=1,L342&lt;&gt;""),SUBSTITUTE(SUBSTITUTE(SUBSTITUTE(SUBSTITUTE(SUBSTITUTE(SUBSTITUTE(SUBSTITUTE(SUBSTITUTE(SUBSTITUTE(SUBSTITUTE(SUBSTITUTE(SUBSTITUTE(LOWER(TRIM(L342)),"á","a"),"é","e"),"í","i"),"ó","o"),"ú","u"),"ü","u"),"ñ","n"),"à","a"),"è","e"),"ì","i"),"ò","o"),"ù","u"),"")</f>
        <v/>
      </c>
      <c r="W342" s="25">
        <f>IF(AND(Q342=1,I342&lt;&gt;""),SUBSTITUTE(SUBSTITUTE(SUBSTITUTE(SUBSTITUTE(SUBSTITUTE(SUBSTITUTE(SUBSTITUTE(SUBSTITUTE(SUBSTITUTE(SUBSTITUTE(SUBSTITUTE(SUBSTITUTE(LOWER(TRIM(I342)),"á","a"),"é","e"),"í","i"),"ó","o"),"ú","u"),"ü","u"),"ñ","n"),"à","a"),"è","e"),"ì","i"),"ò","o"),"ù","u"),"")</f>
        <v/>
      </c>
      <c r="X342" s="25">
        <f>IF(U342="","",IF(OR(U342="si, en la proxima tarea",U342="si, con cambios"),1,0))</f>
        <v/>
      </c>
      <c r="Y342" s="25">
        <f>IF(AND(Q342=1,A342&lt;&gt;""),IF(IFERROR(COUNTIFS(A$3:A342,"="&amp;SUBSTITUTE(SUBSTITUTE(SUBSTITUTE(A342,"~","~~"),"*","~*"),"?","~?"),Q$3:Q342,1),0)=1,MAX(Y$2:Y341)+1,""),"")</f>
        <v/>
      </c>
      <c r="Z342" s="25">
        <f>IF(Y342="","",COUNTIFS($A$3:$A$1002,"="&amp;SUBSTITUTE(SUBSTITUTE(SUBSTITUTE(A342,"~","~~"),"*","~*"),"?","~?"),$Q$3:$Q$1002,1)*10000-Y342)</f>
        <v/>
      </c>
    </row>
    <row r="343">
      <c r="A343">
        <f>IF(A$2=0,"",IFERROR(TRIM(INDEX('Pegar docentes'!$A$1:$BZ$1001,342,A$2)&amp;""),""))</f>
        <v/>
      </c>
      <c r="B343">
        <f>IF(B$2=0,"",IFERROR(TRIM(INDEX('Pegar docentes'!$A$1:$BZ$1001,342,B$2)&amp;""),""))</f>
        <v/>
      </c>
      <c r="C343">
        <f>IF(C$2=0,"",IFERROR(TRIM(INDEX('Pegar docentes'!$A$1:$BZ$1001,342,C$2)&amp;""),""))</f>
        <v/>
      </c>
      <c r="D343">
        <f>IF(D$2=0,"",IFERROR(TRIM(INDEX('Pegar docentes'!$A$1:$BZ$1001,342,D$2)&amp;""),""))</f>
        <v/>
      </c>
      <c r="E343">
        <f>IF(E$2=0,"",IFERROR(TRIM(INDEX('Pegar docentes'!$A$1:$BZ$1001,342,E$2)&amp;""),""))</f>
        <v/>
      </c>
      <c r="F343">
        <f>IF(F$2=0,"",IFERROR(TRIM(INDEX('Pegar docentes'!$A$1:$BZ$1001,342,F$2)&amp;""),""))</f>
        <v/>
      </c>
      <c r="G343">
        <f>IF(G$2=0,"",IFERROR(TRIM(INDEX('Pegar docentes'!$A$1:$BZ$1001,342,G$2)&amp;""),""))</f>
        <v/>
      </c>
      <c r="H343">
        <f>IF(H$2=0,"",IFERROR(TRIM(INDEX('Pegar docentes'!$A$1:$BZ$1001,342,H$2)&amp;""),""))</f>
        <v/>
      </c>
      <c r="I343">
        <f>IF(I$2=0,"",IFERROR(TRIM(INDEX('Pegar docentes'!$A$1:$BZ$1001,342,I$2)&amp;""),""))</f>
        <v/>
      </c>
      <c r="J343">
        <f>IF(J$2=0,"",IFERROR(TRIM(INDEX('Pegar docentes'!$A$1:$BZ$1001,342,J$2)&amp;""),""))</f>
        <v/>
      </c>
      <c r="K343">
        <f>IF(K$2=0,"",IFERROR(TRIM(INDEX('Pegar docentes'!$A$1:$BZ$1001,342,K$2)&amp;""),""))</f>
        <v/>
      </c>
      <c r="L343">
        <f>IF(L$2=0,"",IFERROR(TRIM(INDEX('Pegar docentes'!$A$1:$BZ$1001,342,L$2)&amp;""),""))</f>
        <v/>
      </c>
      <c r="M343">
        <f>IF(M$2=0,"",IFERROR(TRIM(INDEX('Pegar docentes'!$A$1:$BZ$1001,342,M$2)&amp;""),""))</f>
        <v/>
      </c>
      <c r="N343">
        <f>IF(N$2=0,"",IFERROR(TRIM(INDEX('Pegar docentes'!$A$1:$BZ$1001,342,N$2)&amp;""),""))</f>
        <v/>
      </c>
      <c r="O343">
        <f>IF(O$2=0,"",IFERROR(TRIM(INDEX('Pegar docentes'!$A$1:$BZ$1001,342,O$2)&amp;""),""))</f>
        <v/>
      </c>
      <c r="P343">
        <f>IF(P$2=0,"",IFERROR(TRIM(INDEX('Pegar docentes'!$A$1:$BZ$1001,342,P$2)&amp;""),""))</f>
        <v/>
      </c>
      <c r="Q343" s="25">
        <f>IF(OR(D343&lt;&gt;"",H343&lt;&gt;""),1,"")</f>
        <v/>
      </c>
      <c r="R343" s="25">
        <f>IF(Q343=1,IF(ISNUMBER(FIND("#"&amp;MID(D343,1,1)&amp;"#","#0#1#2#3#4#5#6#7#8#9#")),IF(ISNUMBER(FIND("#"&amp;MID(D343,2,1)&amp;"#","#0#1#2#3#4#5#6#7#8#9#")),IF(AND(VALUE(LEFT(D343,2))&gt;=1,VALUE(LEFT(D343,2))&lt;=5),VALUE(LEFT(D343,2)),""),IF(AND(VALUE(LEFT(D343,1))&gt;=1,VALUE(LEFT(D343,1))&lt;=5),VALUE(LEFT(D343,1)),"")),""),"")</f>
        <v/>
      </c>
      <c r="S343" s="25">
        <f>IF(AND(Q343=1,E343&lt;&gt;""),SUBSTITUTE(SUBSTITUTE(SUBSTITUTE(SUBSTITUTE(SUBSTITUTE(SUBSTITUTE(SUBSTITUTE(SUBSTITUTE(SUBSTITUTE(SUBSTITUTE(SUBSTITUTE(SUBSTITUTE(LOWER(TRIM(E343)),"á","a"),"é","e"),"í","i"),"ó","o"),"ú","u"),"ü","u"),"ñ","n"),"à","a"),"è","e"),"ì","i"),"ò","o"),"ù","u"),"")</f>
        <v/>
      </c>
      <c r="T343" s="25">
        <f>IF(AND(Q343=1,G343&lt;&gt;""),SUBSTITUTE(SUBSTITUTE(SUBSTITUTE(SUBSTITUTE(SUBSTITUTE(SUBSTITUTE(SUBSTITUTE(SUBSTITUTE(SUBSTITUTE(SUBSTITUTE(SUBSTITUTE(SUBSTITUTE(LOWER(TRIM(G343)),"á","a"),"é","e"),"í","i"),"ó","o"),"ú","u"),"ü","u"),"ñ","n"),"à","a"),"è","e"),"ì","i"),"ò","o"),"ù","u"),"")</f>
        <v/>
      </c>
      <c r="U343" s="25">
        <f>IF(AND(Q343=1,H343&lt;&gt;""),SUBSTITUTE(SUBSTITUTE(SUBSTITUTE(SUBSTITUTE(SUBSTITUTE(SUBSTITUTE(SUBSTITUTE(SUBSTITUTE(SUBSTITUTE(SUBSTITUTE(SUBSTITUTE(SUBSTITUTE(LOWER(TRIM(H343)),"á","a"),"é","e"),"í","i"),"ó","o"),"ú","u"),"ü","u"),"ñ","n"),"à","a"),"è","e"),"ì","i"),"ò","o"),"ù","u"),"")</f>
        <v/>
      </c>
      <c r="V343" s="25">
        <f>IF(AND(Q343=1,L343&lt;&gt;""),SUBSTITUTE(SUBSTITUTE(SUBSTITUTE(SUBSTITUTE(SUBSTITUTE(SUBSTITUTE(SUBSTITUTE(SUBSTITUTE(SUBSTITUTE(SUBSTITUTE(SUBSTITUTE(SUBSTITUTE(LOWER(TRIM(L343)),"á","a"),"é","e"),"í","i"),"ó","o"),"ú","u"),"ü","u"),"ñ","n"),"à","a"),"è","e"),"ì","i"),"ò","o"),"ù","u"),"")</f>
        <v/>
      </c>
      <c r="W343" s="25">
        <f>IF(AND(Q343=1,I343&lt;&gt;""),SUBSTITUTE(SUBSTITUTE(SUBSTITUTE(SUBSTITUTE(SUBSTITUTE(SUBSTITUTE(SUBSTITUTE(SUBSTITUTE(SUBSTITUTE(SUBSTITUTE(SUBSTITUTE(SUBSTITUTE(LOWER(TRIM(I343)),"á","a"),"é","e"),"í","i"),"ó","o"),"ú","u"),"ü","u"),"ñ","n"),"à","a"),"è","e"),"ì","i"),"ò","o"),"ù","u"),"")</f>
        <v/>
      </c>
      <c r="X343" s="25">
        <f>IF(U343="","",IF(OR(U343="si, en la proxima tarea",U343="si, con cambios"),1,0))</f>
        <v/>
      </c>
      <c r="Y343" s="25">
        <f>IF(AND(Q343=1,A343&lt;&gt;""),IF(IFERROR(COUNTIFS(A$3:A343,"="&amp;SUBSTITUTE(SUBSTITUTE(SUBSTITUTE(A343,"~","~~"),"*","~*"),"?","~?"),Q$3:Q343,1),0)=1,MAX(Y$2:Y342)+1,""),"")</f>
        <v/>
      </c>
      <c r="Z343" s="25">
        <f>IF(Y343="","",COUNTIFS($A$3:$A$1002,"="&amp;SUBSTITUTE(SUBSTITUTE(SUBSTITUTE(A343,"~","~~"),"*","~*"),"?","~?"),$Q$3:$Q$1002,1)*10000-Y343)</f>
        <v/>
      </c>
    </row>
    <row r="344">
      <c r="A344">
        <f>IF(A$2=0,"",IFERROR(TRIM(INDEX('Pegar docentes'!$A$1:$BZ$1001,343,A$2)&amp;""),""))</f>
        <v/>
      </c>
      <c r="B344">
        <f>IF(B$2=0,"",IFERROR(TRIM(INDEX('Pegar docentes'!$A$1:$BZ$1001,343,B$2)&amp;""),""))</f>
        <v/>
      </c>
      <c r="C344">
        <f>IF(C$2=0,"",IFERROR(TRIM(INDEX('Pegar docentes'!$A$1:$BZ$1001,343,C$2)&amp;""),""))</f>
        <v/>
      </c>
      <c r="D344">
        <f>IF(D$2=0,"",IFERROR(TRIM(INDEX('Pegar docentes'!$A$1:$BZ$1001,343,D$2)&amp;""),""))</f>
        <v/>
      </c>
      <c r="E344">
        <f>IF(E$2=0,"",IFERROR(TRIM(INDEX('Pegar docentes'!$A$1:$BZ$1001,343,E$2)&amp;""),""))</f>
        <v/>
      </c>
      <c r="F344">
        <f>IF(F$2=0,"",IFERROR(TRIM(INDEX('Pegar docentes'!$A$1:$BZ$1001,343,F$2)&amp;""),""))</f>
        <v/>
      </c>
      <c r="G344">
        <f>IF(G$2=0,"",IFERROR(TRIM(INDEX('Pegar docentes'!$A$1:$BZ$1001,343,G$2)&amp;""),""))</f>
        <v/>
      </c>
      <c r="H344">
        <f>IF(H$2=0,"",IFERROR(TRIM(INDEX('Pegar docentes'!$A$1:$BZ$1001,343,H$2)&amp;""),""))</f>
        <v/>
      </c>
      <c r="I344">
        <f>IF(I$2=0,"",IFERROR(TRIM(INDEX('Pegar docentes'!$A$1:$BZ$1001,343,I$2)&amp;""),""))</f>
        <v/>
      </c>
      <c r="J344">
        <f>IF(J$2=0,"",IFERROR(TRIM(INDEX('Pegar docentes'!$A$1:$BZ$1001,343,J$2)&amp;""),""))</f>
        <v/>
      </c>
      <c r="K344">
        <f>IF(K$2=0,"",IFERROR(TRIM(INDEX('Pegar docentes'!$A$1:$BZ$1001,343,K$2)&amp;""),""))</f>
        <v/>
      </c>
      <c r="L344">
        <f>IF(L$2=0,"",IFERROR(TRIM(INDEX('Pegar docentes'!$A$1:$BZ$1001,343,L$2)&amp;""),""))</f>
        <v/>
      </c>
      <c r="M344">
        <f>IF(M$2=0,"",IFERROR(TRIM(INDEX('Pegar docentes'!$A$1:$BZ$1001,343,M$2)&amp;""),""))</f>
        <v/>
      </c>
      <c r="N344">
        <f>IF(N$2=0,"",IFERROR(TRIM(INDEX('Pegar docentes'!$A$1:$BZ$1001,343,N$2)&amp;""),""))</f>
        <v/>
      </c>
      <c r="O344">
        <f>IF(O$2=0,"",IFERROR(TRIM(INDEX('Pegar docentes'!$A$1:$BZ$1001,343,O$2)&amp;""),""))</f>
        <v/>
      </c>
      <c r="P344">
        <f>IF(P$2=0,"",IFERROR(TRIM(INDEX('Pegar docentes'!$A$1:$BZ$1001,343,P$2)&amp;""),""))</f>
        <v/>
      </c>
      <c r="Q344" s="25">
        <f>IF(OR(D344&lt;&gt;"",H344&lt;&gt;""),1,"")</f>
        <v/>
      </c>
      <c r="R344" s="25">
        <f>IF(Q344=1,IF(ISNUMBER(FIND("#"&amp;MID(D344,1,1)&amp;"#","#0#1#2#3#4#5#6#7#8#9#")),IF(ISNUMBER(FIND("#"&amp;MID(D344,2,1)&amp;"#","#0#1#2#3#4#5#6#7#8#9#")),IF(AND(VALUE(LEFT(D344,2))&gt;=1,VALUE(LEFT(D344,2))&lt;=5),VALUE(LEFT(D344,2)),""),IF(AND(VALUE(LEFT(D344,1))&gt;=1,VALUE(LEFT(D344,1))&lt;=5),VALUE(LEFT(D344,1)),"")),""),"")</f>
        <v/>
      </c>
      <c r="S344" s="25">
        <f>IF(AND(Q344=1,E344&lt;&gt;""),SUBSTITUTE(SUBSTITUTE(SUBSTITUTE(SUBSTITUTE(SUBSTITUTE(SUBSTITUTE(SUBSTITUTE(SUBSTITUTE(SUBSTITUTE(SUBSTITUTE(SUBSTITUTE(SUBSTITUTE(LOWER(TRIM(E344)),"á","a"),"é","e"),"í","i"),"ó","o"),"ú","u"),"ü","u"),"ñ","n"),"à","a"),"è","e"),"ì","i"),"ò","o"),"ù","u"),"")</f>
        <v/>
      </c>
      <c r="T344" s="25">
        <f>IF(AND(Q344=1,G344&lt;&gt;""),SUBSTITUTE(SUBSTITUTE(SUBSTITUTE(SUBSTITUTE(SUBSTITUTE(SUBSTITUTE(SUBSTITUTE(SUBSTITUTE(SUBSTITUTE(SUBSTITUTE(SUBSTITUTE(SUBSTITUTE(LOWER(TRIM(G344)),"á","a"),"é","e"),"í","i"),"ó","o"),"ú","u"),"ü","u"),"ñ","n"),"à","a"),"è","e"),"ì","i"),"ò","o"),"ù","u"),"")</f>
        <v/>
      </c>
      <c r="U344" s="25">
        <f>IF(AND(Q344=1,H344&lt;&gt;""),SUBSTITUTE(SUBSTITUTE(SUBSTITUTE(SUBSTITUTE(SUBSTITUTE(SUBSTITUTE(SUBSTITUTE(SUBSTITUTE(SUBSTITUTE(SUBSTITUTE(SUBSTITUTE(SUBSTITUTE(LOWER(TRIM(H344)),"á","a"),"é","e"),"í","i"),"ó","o"),"ú","u"),"ü","u"),"ñ","n"),"à","a"),"è","e"),"ì","i"),"ò","o"),"ù","u"),"")</f>
        <v/>
      </c>
      <c r="V344" s="25">
        <f>IF(AND(Q344=1,L344&lt;&gt;""),SUBSTITUTE(SUBSTITUTE(SUBSTITUTE(SUBSTITUTE(SUBSTITUTE(SUBSTITUTE(SUBSTITUTE(SUBSTITUTE(SUBSTITUTE(SUBSTITUTE(SUBSTITUTE(SUBSTITUTE(LOWER(TRIM(L344)),"á","a"),"é","e"),"í","i"),"ó","o"),"ú","u"),"ü","u"),"ñ","n"),"à","a"),"è","e"),"ì","i"),"ò","o"),"ù","u"),"")</f>
        <v/>
      </c>
      <c r="W344" s="25">
        <f>IF(AND(Q344=1,I344&lt;&gt;""),SUBSTITUTE(SUBSTITUTE(SUBSTITUTE(SUBSTITUTE(SUBSTITUTE(SUBSTITUTE(SUBSTITUTE(SUBSTITUTE(SUBSTITUTE(SUBSTITUTE(SUBSTITUTE(SUBSTITUTE(LOWER(TRIM(I344)),"á","a"),"é","e"),"í","i"),"ó","o"),"ú","u"),"ü","u"),"ñ","n"),"à","a"),"è","e"),"ì","i"),"ò","o"),"ù","u"),"")</f>
        <v/>
      </c>
      <c r="X344" s="25">
        <f>IF(U344="","",IF(OR(U344="si, en la proxima tarea",U344="si, con cambios"),1,0))</f>
        <v/>
      </c>
      <c r="Y344" s="25">
        <f>IF(AND(Q344=1,A344&lt;&gt;""),IF(IFERROR(COUNTIFS(A$3:A344,"="&amp;SUBSTITUTE(SUBSTITUTE(SUBSTITUTE(A344,"~","~~"),"*","~*"),"?","~?"),Q$3:Q344,1),0)=1,MAX(Y$2:Y343)+1,""),"")</f>
        <v/>
      </c>
      <c r="Z344" s="25">
        <f>IF(Y344="","",COUNTIFS($A$3:$A$1002,"="&amp;SUBSTITUTE(SUBSTITUTE(SUBSTITUTE(A344,"~","~~"),"*","~*"),"?","~?"),$Q$3:$Q$1002,1)*10000-Y344)</f>
        <v/>
      </c>
    </row>
    <row r="345">
      <c r="A345">
        <f>IF(A$2=0,"",IFERROR(TRIM(INDEX('Pegar docentes'!$A$1:$BZ$1001,344,A$2)&amp;""),""))</f>
        <v/>
      </c>
      <c r="B345">
        <f>IF(B$2=0,"",IFERROR(TRIM(INDEX('Pegar docentes'!$A$1:$BZ$1001,344,B$2)&amp;""),""))</f>
        <v/>
      </c>
      <c r="C345">
        <f>IF(C$2=0,"",IFERROR(TRIM(INDEX('Pegar docentes'!$A$1:$BZ$1001,344,C$2)&amp;""),""))</f>
        <v/>
      </c>
      <c r="D345">
        <f>IF(D$2=0,"",IFERROR(TRIM(INDEX('Pegar docentes'!$A$1:$BZ$1001,344,D$2)&amp;""),""))</f>
        <v/>
      </c>
      <c r="E345">
        <f>IF(E$2=0,"",IFERROR(TRIM(INDEX('Pegar docentes'!$A$1:$BZ$1001,344,E$2)&amp;""),""))</f>
        <v/>
      </c>
      <c r="F345">
        <f>IF(F$2=0,"",IFERROR(TRIM(INDEX('Pegar docentes'!$A$1:$BZ$1001,344,F$2)&amp;""),""))</f>
        <v/>
      </c>
      <c r="G345">
        <f>IF(G$2=0,"",IFERROR(TRIM(INDEX('Pegar docentes'!$A$1:$BZ$1001,344,G$2)&amp;""),""))</f>
        <v/>
      </c>
      <c r="H345">
        <f>IF(H$2=0,"",IFERROR(TRIM(INDEX('Pegar docentes'!$A$1:$BZ$1001,344,H$2)&amp;""),""))</f>
        <v/>
      </c>
      <c r="I345">
        <f>IF(I$2=0,"",IFERROR(TRIM(INDEX('Pegar docentes'!$A$1:$BZ$1001,344,I$2)&amp;""),""))</f>
        <v/>
      </c>
      <c r="J345">
        <f>IF(J$2=0,"",IFERROR(TRIM(INDEX('Pegar docentes'!$A$1:$BZ$1001,344,J$2)&amp;""),""))</f>
        <v/>
      </c>
      <c r="K345">
        <f>IF(K$2=0,"",IFERROR(TRIM(INDEX('Pegar docentes'!$A$1:$BZ$1001,344,K$2)&amp;""),""))</f>
        <v/>
      </c>
      <c r="L345">
        <f>IF(L$2=0,"",IFERROR(TRIM(INDEX('Pegar docentes'!$A$1:$BZ$1001,344,L$2)&amp;""),""))</f>
        <v/>
      </c>
      <c r="M345">
        <f>IF(M$2=0,"",IFERROR(TRIM(INDEX('Pegar docentes'!$A$1:$BZ$1001,344,M$2)&amp;""),""))</f>
        <v/>
      </c>
      <c r="N345">
        <f>IF(N$2=0,"",IFERROR(TRIM(INDEX('Pegar docentes'!$A$1:$BZ$1001,344,N$2)&amp;""),""))</f>
        <v/>
      </c>
      <c r="O345">
        <f>IF(O$2=0,"",IFERROR(TRIM(INDEX('Pegar docentes'!$A$1:$BZ$1001,344,O$2)&amp;""),""))</f>
        <v/>
      </c>
      <c r="P345">
        <f>IF(P$2=0,"",IFERROR(TRIM(INDEX('Pegar docentes'!$A$1:$BZ$1001,344,P$2)&amp;""),""))</f>
        <v/>
      </c>
      <c r="Q345" s="25">
        <f>IF(OR(D345&lt;&gt;"",H345&lt;&gt;""),1,"")</f>
        <v/>
      </c>
      <c r="R345" s="25">
        <f>IF(Q345=1,IF(ISNUMBER(FIND("#"&amp;MID(D345,1,1)&amp;"#","#0#1#2#3#4#5#6#7#8#9#")),IF(ISNUMBER(FIND("#"&amp;MID(D345,2,1)&amp;"#","#0#1#2#3#4#5#6#7#8#9#")),IF(AND(VALUE(LEFT(D345,2))&gt;=1,VALUE(LEFT(D345,2))&lt;=5),VALUE(LEFT(D345,2)),""),IF(AND(VALUE(LEFT(D345,1))&gt;=1,VALUE(LEFT(D345,1))&lt;=5),VALUE(LEFT(D345,1)),"")),""),"")</f>
        <v/>
      </c>
      <c r="S345" s="25">
        <f>IF(AND(Q345=1,E345&lt;&gt;""),SUBSTITUTE(SUBSTITUTE(SUBSTITUTE(SUBSTITUTE(SUBSTITUTE(SUBSTITUTE(SUBSTITUTE(SUBSTITUTE(SUBSTITUTE(SUBSTITUTE(SUBSTITUTE(SUBSTITUTE(LOWER(TRIM(E345)),"á","a"),"é","e"),"í","i"),"ó","o"),"ú","u"),"ü","u"),"ñ","n"),"à","a"),"è","e"),"ì","i"),"ò","o"),"ù","u"),"")</f>
        <v/>
      </c>
      <c r="T345" s="25">
        <f>IF(AND(Q345=1,G345&lt;&gt;""),SUBSTITUTE(SUBSTITUTE(SUBSTITUTE(SUBSTITUTE(SUBSTITUTE(SUBSTITUTE(SUBSTITUTE(SUBSTITUTE(SUBSTITUTE(SUBSTITUTE(SUBSTITUTE(SUBSTITUTE(LOWER(TRIM(G345)),"á","a"),"é","e"),"í","i"),"ó","o"),"ú","u"),"ü","u"),"ñ","n"),"à","a"),"è","e"),"ì","i"),"ò","o"),"ù","u"),"")</f>
        <v/>
      </c>
      <c r="U345" s="25">
        <f>IF(AND(Q345=1,H345&lt;&gt;""),SUBSTITUTE(SUBSTITUTE(SUBSTITUTE(SUBSTITUTE(SUBSTITUTE(SUBSTITUTE(SUBSTITUTE(SUBSTITUTE(SUBSTITUTE(SUBSTITUTE(SUBSTITUTE(SUBSTITUTE(LOWER(TRIM(H345)),"á","a"),"é","e"),"í","i"),"ó","o"),"ú","u"),"ü","u"),"ñ","n"),"à","a"),"è","e"),"ì","i"),"ò","o"),"ù","u"),"")</f>
        <v/>
      </c>
      <c r="V345" s="25">
        <f>IF(AND(Q345=1,L345&lt;&gt;""),SUBSTITUTE(SUBSTITUTE(SUBSTITUTE(SUBSTITUTE(SUBSTITUTE(SUBSTITUTE(SUBSTITUTE(SUBSTITUTE(SUBSTITUTE(SUBSTITUTE(SUBSTITUTE(SUBSTITUTE(LOWER(TRIM(L345)),"á","a"),"é","e"),"í","i"),"ó","o"),"ú","u"),"ü","u"),"ñ","n"),"à","a"),"è","e"),"ì","i"),"ò","o"),"ù","u"),"")</f>
        <v/>
      </c>
      <c r="W345" s="25">
        <f>IF(AND(Q345=1,I345&lt;&gt;""),SUBSTITUTE(SUBSTITUTE(SUBSTITUTE(SUBSTITUTE(SUBSTITUTE(SUBSTITUTE(SUBSTITUTE(SUBSTITUTE(SUBSTITUTE(SUBSTITUTE(SUBSTITUTE(SUBSTITUTE(LOWER(TRIM(I345)),"á","a"),"é","e"),"í","i"),"ó","o"),"ú","u"),"ü","u"),"ñ","n"),"à","a"),"è","e"),"ì","i"),"ò","o"),"ù","u"),"")</f>
        <v/>
      </c>
      <c r="X345" s="25">
        <f>IF(U345="","",IF(OR(U345="si, en la proxima tarea",U345="si, con cambios"),1,0))</f>
        <v/>
      </c>
      <c r="Y345" s="25">
        <f>IF(AND(Q345=1,A345&lt;&gt;""),IF(IFERROR(COUNTIFS(A$3:A345,"="&amp;SUBSTITUTE(SUBSTITUTE(SUBSTITUTE(A345,"~","~~"),"*","~*"),"?","~?"),Q$3:Q345,1),0)=1,MAX(Y$2:Y344)+1,""),"")</f>
        <v/>
      </c>
      <c r="Z345" s="25">
        <f>IF(Y345="","",COUNTIFS($A$3:$A$1002,"="&amp;SUBSTITUTE(SUBSTITUTE(SUBSTITUTE(A345,"~","~~"),"*","~*"),"?","~?"),$Q$3:$Q$1002,1)*10000-Y345)</f>
        <v/>
      </c>
    </row>
    <row r="346">
      <c r="A346">
        <f>IF(A$2=0,"",IFERROR(TRIM(INDEX('Pegar docentes'!$A$1:$BZ$1001,345,A$2)&amp;""),""))</f>
        <v/>
      </c>
      <c r="B346">
        <f>IF(B$2=0,"",IFERROR(TRIM(INDEX('Pegar docentes'!$A$1:$BZ$1001,345,B$2)&amp;""),""))</f>
        <v/>
      </c>
      <c r="C346">
        <f>IF(C$2=0,"",IFERROR(TRIM(INDEX('Pegar docentes'!$A$1:$BZ$1001,345,C$2)&amp;""),""))</f>
        <v/>
      </c>
      <c r="D346">
        <f>IF(D$2=0,"",IFERROR(TRIM(INDEX('Pegar docentes'!$A$1:$BZ$1001,345,D$2)&amp;""),""))</f>
        <v/>
      </c>
      <c r="E346">
        <f>IF(E$2=0,"",IFERROR(TRIM(INDEX('Pegar docentes'!$A$1:$BZ$1001,345,E$2)&amp;""),""))</f>
        <v/>
      </c>
      <c r="F346">
        <f>IF(F$2=0,"",IFERROR(TRIM(INDEX('Pegar docentes'!$A$1:$BZ$1001,345,F$2)&amp;""),""))</f>
        <v/>
      </c>
      <c r="G346">
        <f>IF(G$2=0,"",IFERROR(TRIM(INDEX('Pegar docentes'!$A$1:$BZ$1001,345,G$2)&amp;""),""))</f>
        <v/>
      </c>
      <c r="H346">
        <f>IF(H$2=0,"",IFERROR(TRIM(INDEX('Pegar docentes'!$A$1:$BZ$1001,345,H$2)&amp;""),""))</f>
        <v/>
      </c>
      <c r="I346">
        <f>IF(I$2=0,"",IFERROR(TRIM(INDEX('Pegar docentes'!$A$1:$BZ$1001,345,I$2)&amp;""),""))</f>
        <v/>
      </c>
      <c r="J346">
        <f>IF(J$2=0,"",IFERROR(TRIM(INDEX('Pegar docentes'!$A$1:$BZ$1001,345,J$2)&amp;""),""))</f>
        <v/>
      </c>
      <c r="K346">
        <f>IF(K$2=0,"",IFERROR(TRIM(INDEX('Pegar docentes'!$A$1:$BZ$1001,345,K$2)&amp;""),""))</f>
        <v/>
      </c>
      <c r="L346">
        <f>IF(L$2=0,"",IFERROR(TRIM(INDEX('Pegar docentes'!$A$1:$BZ$1001,345,L$2)&amp;""),""))</f>
        <v/>
      </c>
      <c r="M346">
        <f>IF(M$2=0,"",IFERROR(TRIM(INDEX('Pegar docentes'!$A$1:$BZ$1001,345,M$2)&amp;""),""))</f>
        <v/>
      </c>
      <c r="N346">
        <f>IF(N$2=0,"",IFERROR(TRIM(INDEX('Pegar docentes'!$A$1:$BZ$1001,345,N$2)&amp;""),""))</f>
        <v/>
      </c>
      <c r="O346">
        <f>IF(O$2=0,"",IFERROR(TRIM(INDEX('Pegar docentes'!$A$1:$BZ$1001,345,O$2)&amp;""),""))</f>
        <v/>
      </c>
      <c r="P346">
        <f>IF(P$2=0,"",IFERROR(TRIM(INDEX('Pegar docentes'!$A$1:$BZ$1001,345,P$2)&amp;""),""))</f>
        <v/>
      </c>
      <c r="Q346" s="25">
        <f>IF(OR(D346&lt;&gt;"",H346&lt;&gt;""),1,"")</f>
        <v/>
      </c>
      <c r="R346" s="25">
        <f>IF(Q346=1,IF(ISNUMBER(FIND("#"&amp;MID(D346,1,1)&amp;"#","#0#1#2#3#4#5#6#7#8#9#")),IF(ISNUMBER(FIND("#"&amp;MID(D346,2,1)&amp;"#","#0#1#2#3#4#5#6#7#8#9#")),IF(AND(VALUE(LEFT(D346,2))&gt;=1,VALUE(LEFT(D346,2))&lt;=5),VALUE(LEFT(D346,2)),""),IF(AND(VALUE(LEFT(D346,1))&gt;=1,VALUE(LEFT(D346,1))&lt;=5),VALUE(LEFT(D346,1)),"")),""),"")</f>
        <v/>
      </c>
      <c r="S346" s="25">
        <f>IF(AND(Q346=1,E346&lt;&gt;""),SUBSTITUTE(SUBSTITUTE(SUBSTITUTE(SUBSTITUTE(SUBSTITUTE(SUBSTITUTE(SUBSTITUTE(SUBSTITUTE(SUBSTITUTE(SUBSTITUTE(SUBSTITUTE(SUBSTITUTE(LOWER(TRIM(E346)),"á","a"),"é","e"),"í","i"),"ó","o"),"ú","u"),"ü","u"),"ñ","n"),"à","a"),"è","e"),"ì","i"),"ò","o"),"ù","u"),"")</f>
        <v/>
      </c>
      <c r="T346" s="25">
        <f>IF(AND(Q346=1,G346&lt;&gt;""),SUBSTITUTE(SUBSTITUTE(SUBSTITUTE(SUBSTITUTE(SUBSTITUTE(SUBSTITUTE(SUBSTITUTE(SUBSTITUTE(SUBSTITUTE(SUBSTITUTE(SUBSTITUTE(SUBSTITUTE(LOWER(TRIM(G346)),"á","a"),"é","e"),"í","i"),"ó","o"),"ú","u"),"ü","u"),"ñ","n"),"à","a"),"è","e"),"ì","i"),"ò","o"),"ù","u"),"")</f>
        <v/>
      </c>
      <c r="U346" s="25">
        <f>IF(AND(Q346=1,H346&lt;&gt;""),SUBSTITUTE(SUBSTITUTE(SUBSTITUTE(SUBSTITUTE(SUBSTITUTE(SUBSTITUTE(SUBSTITUTE(SUBSTITUTE(SUBSTITUTE(SUBSTITUTE(SUBSTITUTE(SUBSTITUTE(LOWER(TRIM(H346)),"á","a"),"é","e"),"í","i"),"ó","o"),"ú","u"),"ü","u"),"ñ","n"),"à","a"),"è","e"),"ì","i"),"ò","o"),"ù","u"),"")</f>
        <v/>
      </c>
      <c r="V346" s="25">
        <f>IF(AND(Q346=1,L346&lt;&gt;""),SUBSTITUTE(SUBSTITUTE(SUBSTITUTE(SUBSTITUTE(SUBSTITUTE(SUBSTITUTE(SUBSTITUTE(SUBSTITUTE(SUBSTITUTE(SUBSTITUTE(SUBSTITUTE(SUBSTITUTE(LOWER(TRIM(L346)),"á","a"),"é","e"),"í","i"),"ó","o"),"ú","u"),"ü","u"),"ñ","n"),"à","a"),"è","e"),"ì","i"),"ò","o"),"ù","u"),"")</f>
        <v/>
      </c>
      <c r="W346" s="25">
        <f>IF(AND(Q346=1,I346&lt;&gt;""),SUBSTITUTE(SUBSTITUTE(SUBSTITUTE(SUBSTITUTE(SUBSTITUTE(SUBSTITUTE(SUBSTITUTE(SUBSTITUTE(SUBSTITUTE(SUBSTITUTE(SUBSTITUTE(SUBSTITUTE(LOWER(TRIM(I346)),"á","a"),"é","e"),"í","i"),"ó","o"),"ú","u"),"ü","u"),"ñ","n"),"à","a"),"è","e"),"ì","i"),"ò","o"),"ù","u"),"")</f>
        <v/>
      </c>
      <c r="X346" s="25">
        <f>IF(U346="","",IF(OR(U346="si, en la proxima tarea",U346="si, con cambios"),1,0))</f>
        <v/>
      </c>
      <c r="Y346" s="25">
        <f>IF(AND(Q346=1,A346&lt;&gt;""),IF(IFERROR(COUNTIFS(A$3:A346,"="&amp;SUBSTITUTE(SUBSTITUTE(SUBSTITUTE(A346,"~","~~"),"*","~*"),"?","~?"),Q$3:Q346,1),0)=1,MAX(Y$2:Y345)+1,""),"")</f>
        <v/>
      </c>
      <c r="Z346" s="25">
        <f>IF(Y346="","",COUNTIFS($A$3:$A$1002,"="&amp;SUBSTITUTE(SUBSTITUTE(SUBSTITUTE(A346,"~","~~"),"*","~*"),"?","~?"),$Q$3:$Q$1002,1)*10000-Y346)</f>
        <v/>
      </c>
    </row>
    <row r="347">
      <c r="A347">
        <f>IF(A$2=0,"",IFERROR(TRIM(INDEX('Pegar docentes'!$A$1:$BZ$1001,346,A$2)&amp;""),""))</f>
        <v/>
      </c>
      <c r="B347">
        <f>IF(B$2=0,"",IFERROR(TRIM(INDEX('Pegar docentes'!$A$1:$BZ$1001,346,B$2)&amp;""),""))</f>
        <v/>
      </c>
      <c r="C347">
        <f>IF(C$2=0,"",IFERROR(TRIM(INDEX('Pegar docentes'!$A$1:$BZ$1001,346,C$2)&amp;""),""))</f>
        <v/>
      </c>
      <c r="D347">
        <f>IF(D$2=0,"",IFERROR(TRIM(INDEX('Pegar docentes'!$A$1:$BZ$1001,346,D$2)&amp;""),""))</f>
        <v/>
      </c>
      <c r="E347">
        <f>IF(E$2=0,"",IFERROR(TRIM(INDEX('Pegar docentes'!$A$1:$BZ$1001,346,E$2)&amp;""),""))</f>
        <v/>
      </c>
      <c r="F347">
        <f>IF(F$2=0,"",IFERROR(TRIM(INDEX('Pegar docentes'!$A$1:$BZ$1001,346,F$2)&amp;""),""))</f>
        <v/>
      </c>
      <c r="G347">
        <f>IF(G$2=0,"",IFERROR(TRIM(INDEX('Pegar docentes'!$A$1:$BZ$1001,346,G$2)&amp;""),""))</f>
        <v/>
      </c>
      <c r="H347">
        <f>IF(H$2=0,"",IFERROR(TRIM(INDEX('Pegar docentes'!$A$1:$BZ$1001,346,H$2)&amp;""),""))</f>
        <v/>
      </c>
      <c r="I347">
        <f>IF(I$2=0,"",IFERROR(TRIM(INDEX('Pegar docentes'!$A$1:$BZ$1001,346,I$2)&amp;""),""))</f>
        <v/>
      </c>
      <c r="J347">
        <f>IF(J$2=0,"",IFERROR(TRIM(INDEX('Pegar docentes'!$A$1:$BZ$1001,346,J$2)&amp;""),""))</f>
        <v/>
      </c>
      <c r="K347">
        <f>IF(K$2=0,"",IFERROR(TRIM(INDEX('Pegar docentes'!$A$1:$BZ$1001,346,K$2)&amp;""),""))</f>
        <v/>
      </c>
      <c r="L347">
        <f>IF(L$2=0,"",IFERROR(TRIM(INDEX('Pegar docentes'!$A$1:$BZ$1001,346,L$2)&amp;""),""))</f>
        <v/>
      </c>
      <c r="M347">
        <f>IF(M$2=0,"",IFERROR(TRIM(INDEX('Pegar docentes'!$A$1:$BZ$1001,346,M$2)&amp;""),""))</f>
        <v/>
      </c>
      <c r="N347">
        <f>IF(N$2=0,"",IFERROR(TRIM(INDEX('Pegar docentes'!$A$1:$BZ$1001,346,N$2)&amp;""),""))</f>
        <v/>
      </c>
      <c r="O347">
        <f>IF(O$2=0,"",IFERROR(TRIM(INDEX('Pegar docentes'!$A$1:$BZ$1001,346,O$2)&amp;""),""))</f>
        <v/>
      </c>
      <c r="P347">
        <f>IF(P$2=0,"",IFERROR(TRIM(INDEX('Pegar docentes'!$A$1:$BZ$1001,346,P$2)&amp;""),""))</f>
        <v/>
      </c>
      <c r="Q347" s="25">
        <f>IF(OR(D347&lt;&gt;"",H347&lt;&gt;""),1,"")</f>
        <v/>
      </c>
      <c r="R347" s="25">
        <f>IF(Q347=1,IF(ISNUMBER(FIND("#"&amp;MID(D347,1,1)&amp;"#","#0#1#2#3#4#5#6#7#8#9#")),IF(ISNUMBER(FIND("#"&amp;MID(D347,2,1)&amp;"#","#0#1#2#3#4#5#6#7#8#9#")),IF(AND(VALUE(LEFT(D347,2))&gt;=1,VALUE(LEFT(D347,2))&lt;=5),VALUE(LEFT(D347,2)),""),IF(AND(VALUE(LEFT(D347,1))&gt;=1,VALUE(LEFT(D347,1))&lt;=5),VALUE(LEFT(D347,1)),"")),""),"")</f>
        <v/>
      </c>
      <c r="S347" s="25">
        <f>IF(AND(Q347=1,E347&lt;&gt;""),SUBSTITUTE(SUBSTITUTE(SUBSTITUTE(SUBSTITUTE(SUBSTITUTE(SUBSTITUTE(SUBSTITUTE(SUBSTITUTE(SUBSTITUTE(SUBSTITUTE(SUBSTITUTE(SUBSTITUTE(LOWER(TRIM(E347)),"á","a"),"é","e"),"í","i"),"ó","o"),"ú","u"),"ü","u"),"ñ","n"),"à","a"),"è","e"),"ì","i"),"ò","o"),"ù","u"),"")</f>
        <v/>
      </c>
      <c r="T347" s="25">
        <f>IF(AND(Q347=1,G347&lt;&gt;""),SUBSTITUTE(SUBSTITUTE(SUBSTITUTE(SUBSTITUTE(SUBSTITUTE(SUBSTITUTE(SUBSTITUTE(SUBSTITUTE(SUBSTITUTE(SUBSTITUTE(SUBSTITUTE(SUBSTITUTE(LOWER(TRIM(G347)),"á","a"),"é","e"),"í","i"),"ó","o"),"ú","u"),"ü","u"),"ñ","n"),"à","a"),"è","e"),"ì","i"),"ò","o"),"ù","u"),"")</f>
        <v/>
      </c>
      <c r="U347" s="25">
        <f>IF(AND(Q347=1,H347&lt;&gt;""),SUBSTITUTE(SUBSTITUTE(SUBSTITUTE(SUBSTITUTE(SUBSTITUTE(SUBSTITUTE(SUBSTITUTE(SUBSTITUTE(SUBSTITUTE(SUBSTITUTE(SUBSTITUTE(SUBSTITUTE(LOWER(TRIM(H347)),"á","a"),"é","e"),"í","i"),"ó","o"),"ú","u"),"ü","u"),"ñ","n"),"à","a"),"è","e"),"ì","i"),"ò","o"),"ù","u"),"")</f>
        <v/>
      </c>
      <c r="V347" s="25">
        <f>IF(AND(Q347=1,L347&lt;&gt;""),SUBSTITUTE(SUBSTITUTE(SUBSTITUTE(SUBSTITUTE(SUBSTITUTE(SUBSTITUTE(SUBSTITUTE(SUBSTITUTE(SUBSTITUTE(SUBSTITUTE(SUBSTITUTE(SUBSTITUTE(LOWER(TRIM(L347)),"á","a"),"é","e"),"í","i"),"ó","o"),"ú","u"),"ü","u"),"ñ","n"),"à","a"),"è","e"),"ì","i"),"ò","o"),"ù","u"),"")</f>
        <v/>
      </c>
      <c r="W347" s="25">
        <f>IF(AND(Q347=1,I347&lt;&gt;""),SUBSTITUTE(SUBSTITUTE(SUBSTITUTE(SUBSTITUTE(SUBSTITUTE(SUBSTITUTE(SUBSTITUTE(SUBSTITUTE(SUBSTITUTE(SUBSTITUTE(SUBSTITUTE(SUBSTITUTE(LOWER(TRIM(I347)),"á","a"),"é","e"),"í","i"),"ó","o"),"ú","u"),"ü","u"),"ñ","n"),"à","a"),"è","e"),"ì","i"),"ò","o"),"ù","u"),"")</f>
        <v/>
      </c>
      <c r="X347" s="25">
        <f>IF(U347="","",IF(OR(U347="si, en la proxima tarea",U347="si, con cambios"),1,0))</f>
        <v/>
      </c>
      <c r="Y347" s="25">
        <f>IF(AND(Q347=1,A347&lt;&gt;""),IF(IFERROR(COUNTIFS(A$3:A347,"="&amp;SUBSTITUTE(SUBSTITUTE(SUBSTITUTE(A347,"~","~~"),"*","~*"),"?","~?"),Q$3:Q347,1),0)=1,MAX(Y$2:Y346)+1,""),"")</f>
        <v/>
      </c>
      <c r="Z347" s="25">
        <f>IF(Y347="","",COUNTIFS($A$3:$A$1002,"="&amp;SUBSTITUTE(SUBSTITUTE(SUBSTITUTE(A347,"~","~~"),"*","~*"),"?","~?"),$Q$3:$Q$1002,1)*10000-Y347)</f>
        <v/>
      </c>
    </row>
    <row r="348">
      <c r="A348">
        <f>IF(A$2=0,"",IFERROR(TRIM(INDEX('Pegar docentes'!$A$1:$BZ$1001,347,A$2)&amp;""),""))</f>
        <v/>
      </c>
      <c r="B348">
        <f>IF(B$2=0,"",IFERROR(TRIM(INDEX('Pegar docentes'!$A$1:$BZ$1001,347,B$2)&amp;""),""))</f>
        <v/>
      </c>
      <c r="C348">
        <f>IF(C$2=0,"",IFERROR(TRIM(INDEX('Pegar docentes'!$A$1:$BZ$1001,347,C$2)&amp;""),""))</f>
        <v/>
      </c>
      <c r="D348">
        <f>IF(D$2=0,"",IFERROR(TRIM(INDEX('Pegar docentes'!$A$1:$BZ$1001,347,D$2)&amp;""),""))</f>
        <v/>
      </c>
      <c r="E348">
        <f>IF(E$2=0,"",IFERROR(TRIM(INDEX('Pegar docentes'!$A$1:$BZ$1001,347,E$2)&amp;""),""))</f>
        <v/>
      </c>
      <c r="F348">
        <f>IF(F$2=0,"",IFERROR(TRIM(INDEX('Pegar docentes'!$A$1:$BZ$1001,347,F$2)&amp;""),""))</f>
        <v/>
      </c>
      <c r="G348">
        <f>IF(G$2=0,"",IFERROR(TRIM(INDEX('Pegar docentes'!$A$1:$BZ$1001,347,G$2)&amp;""),""))</f>
        <v/>
      </c>
      <c r="H348">
        <f>IF(H$2=0,"",IFERROR(TRIM(INDEX('Pegar docentes'!$A$1:$BZ$1001,347,H$2)&amp;""),""))</f>
        <v/>
      </c>
      <c r="I348">
        <f>IF(I$2=0,"",IFERROR(TRIM(INDEX('Pegar docentes'!$A$1:$BZ$1001,347,I$2)&amp;""),""))</f>
        <v/>
      </c>
      <c r="J348">
        <f>IF(J$2=0,"",IFERROR(TRIM(INDEX('Pegar docentes'!$A$1:$BZ$1001,347,J$2)&amp;""),""))</f>
        <v/>
      </c>
      <c r="K348">
        <f>IF(K$2=0,"",IFERROR(TRIM(INDEX('Pegar docentes'!$A$1:$BZ$1001,347,K$2)&amp;""),""))</f>
        <v/>
      </c>
      <c r="L348">
        <f>IF(L$2=0,"",IFERROR(TRIM(INDEX('Pegar docentes'!$A$1:$BZ$1001,347,L$2)&amp;""),""))</f>
        <v/>
      </c>
      <c r="M348">
        <f>IF(M$2=0,"",IFERROR(TRIM(INDEX('Pegar docentes'!$A$1:$BZ$1001,347,M$2)&amp;""),""))</f>
        <v/>
      </c>
      <c r="N348">
        <f>IF(N$2=0,"",IFERROR(TRIM(INDEX('Pegar docentes'!$A$1:$BZ$1001,347,N$2)&amp;""),""))</f>
        <v/>
      </c>
      <c r="O348">
        <f>IF(O$2=0,"",IFERROR(TRIM(INDEX('Pegar docentes'!$A$1:$BZ$1001,347,O$2)&amp;""),""))</f>
        <v/>
      </c>
      <c r="P348">
        <f>IF(P$2=0,"",IFERROR(TRIM(INDEX('Pegar docentes'!$A$1:$BZ$1001,347,P$2)&amp;""),""))</f>
        <v/>
      </c>
      <c r="Q348" s="25">
        <f>IF(OR(D348&lt;&gt;"",H348&lt;&gt;""),1,"")</f>
        <v/>
      </c>
      <c r="R348" s="25">
        <f>IF(Q348=1,IF(ISNUMBER(FIND("#"&amp;MID(D348,1,1)&amp;"#","#0#1#2#3#4#5#6#7#8#9#")),IF(ISNUMBER(FIND("#"&amp;MID(D348,2,1)&amp;"#","#0#1#2#3#4#5#6#7#8#9#")),IF(AND(VALUE(LEFT(D348,2))&gt;=1,VALUE(LEFT(D348,2))&lt;=5),VALUE(LEFT(D348,2)),""),IF(AND(VALUE(LEFT(D348,1))&gt;=1,VALUE(LEFT(D348,1))&lt;=5),VALUE(LEFT(D348,1)),"")),""),"")</f>
        <v/>
      </c>
      <c r="S348" s="25">
        <f>IF(AND(Q348=1,E348&lt;&gt;""),SUBSTITUTE(SUBSTITUTE(SUBSTITUTE(SUBSTITUTE(SUBSTITUTE(SUBSTITUTE(SUBSTITUTE(SUBSTITUTE(SUBSTITUTE(SUBSTITUTE(SUBSTITUTE(SUBSTITUTE(LOWER(TRIM(E348)),"á","a"),"é","e"),"í","i"),"ó","o"),"ú","u"),"ü","u"),"ñ","n"),"à","a"),"è","e"),"ì","i"),"ò","o"),"ù","u"),"")</f>
        <v/>
      </c>
      <c r="T348" s="25">
        <f>IF(AND(Q348=1,G348&lt;&gt;""),SUBSTITUTE(SUBSTITUTE(SUBSTITUTE(SUBSTITUTE(SUBSTITUTE(SUBSTITUTE(SUBSTITUTE(SUBSTITUTE(SUBSTITUTE(SUBSTITUTE(SUBSTITUTE(SUBSTITUTE(LOWER(TRIM(G348)),"á","a"),"é","e"),"í","i"),"ó","o"),"ú","u"),"ü","u"),"ñ","n"),"à","a"),"è","e"),"ì","i"),"ò","o"),"ù","u"),"")</f>
        <v/>
      </c>
      <c r="U348" s="25">
        <f>IF(AND(Q348=1,H348&lt;&gt;""),SUBSTITUTE(SUBSTITUTE(SUBSTITUTE(SUBSTITUTE(SUBSTITUTE(SUBSTITUTE(SUBSTITUTE(SUBSTITUTE(SUBSTITUTE(SUBSTITUTE(SUBSTITUTE(SUBSTITUTE(LOWER(TRIM(H348)),"á","a"),"é","e"),"í","i"),"ó","o"),"ú","u"),"ü","u"),"ñ","n"),"à","a"),"è","e"),"ì","i"),"ò","o"),"ù","u"),"")</f>
        <v/>
      </c>
      <c r="V348" s="25">
        <f>IF(AND(Q348=1,L348&lt;&gt;""),SUBSTITUTE(SUBSTITUTE(SUBSTITUTE(SUBSTITUTE(SUBSTITUTE(SUBSTITUTE(SUBSTITUTE(SUBSTITUTE(SUBSTITUTE(SUBSTITUTE(SUBSTITUTE(SUBSTITUTE(LOWER(TRIM(L348)),"á","a"),"é","e"),"í","i"),"ó","o"),"ú","u"),"ü","u"),"ñ","n"),"à","a"),"è","e"),"ì","i"),"ò","o"),"ù","u"),"")</f>
        <v/>
      </c>
      <c r="W348" s="25">
        <f>IF(AND(Q348=1,I348&lt;&gt;""),SUBSTITUTE(SUBSTITUTE(SUBSTITUTE(SUBSTITUTE(SUBSTITUTE(SUBSTITUTE(SUBSTITUTE(SUBSTITUTE(SUBSTITUTE(SUBSTITUTE(SUBSTITUTE(SUBSTITUTE(LOWER(TRIM(I348)),"á","a"),"é","e"),"í","i"),"ó","o"),"ú","u"),"ü","u"),"ñ","n"),"à","a"),"è","e"),"ì","i"),"ò","o"),"ù","u"),"")</f>
        <v/>
      </c>
      <c r="X348" s="25">
        <f>IF(U348="","",IF(OR(U348="si, en la proxima tarea",U348="si, con cambios"),1,0))</f>
        <v/>
      </c>
      <c r="Y348" s="25">
        <f>IF(AND(Q348=1,A348&lt;&gt;""),IF(IFERROR(COUNTIFS(A$3:A348,"="&amp;SUBSTITUTE(SUBSTITUTE(SUBSTITUTE(A348,"~","~~"),"*","~*"),"?","~?"),Q$3:Q348,1),0)=1,MAX(Y$2:Y347)+1,""),"")</f>
        <v/>
      </c>
      <c r="Z348" s="25">
        <f>IF(Y348="","",COUNTIFS($A$3:$A$1002,"="&amp;SUBSTITUTE(SUBSTITUTE(SUBSTITUTE(A348,"~","~~"),"*","~*"),"?","~?"),$Q$3:$Q$1002,1)*10000-Y348)</f>
        <v/>
      </c>
    </row>
    <row r="349">
      <c r="A349">
        <f>IF(A$2=0,"",IFERROR(TRIM(INDEX('Pegar docentes'!$A$1:$BZ$1001,348,A$2)&amp;""),""))</f>
        <v/>
      </c>
      <c r="B349">
        <f>IF(B$2=0,"",IFERROR(TRIM(INDEX('Pegar docentes'!$A$1:$BZ$1001,348,B$2)&amp;""),""))</f>
        <v/>
      </c>
      <c r="C349">
        <f>IF(C$2=0,"",IFERROR(TRIM(INDEX('Pegar docentes'!$A$1:$BZ$1001,348,C$2)&amp;""),""))</f>
        <v/>
      </c>
      <c r="D349">
        <f>IF(D$2=0,"",IFERROR(TRIM(INDEX('Pegar docentes'!$A$1:$BZ$1001,348,D$2)&amp;""),""))</f>
        <v/>
      </c>
      <c r="E349">
        <f>IF(E$2=0,"",IFERROR(TRIM(INDEX('Pegar docentes'!$A$1:$BZ$1001,348,E$2)&amp;""),""))</f>
        <v/>
      </c>
      <c r="F349">
        <f>IF(F$2=0,"",IFERROR(TRIM(INDEX('Pegar docentes'!$A$1:$BZ$1001,348,F$2)&amp;""),""))</f>
        <v/>
      </c>
      <c r="G349">
        <f>IF(G$2=0,"",IFERROR(TRIM(INDEX('Pegar docentes'!$A$1:$BZ$1001,348,G$2)&amp;""),""))</f>
        <v/>
      </c>
      <c r="H349">
        <f>IF(H$2=0,"",IFERROR(TRIM(INDEX('Pegar docentes'!$A$1:$BZ$1001,348,H$2)&amp;""),""))</f>
        <v/>
      </c>
      <c r="I349">
        <f>IF(I$2=0,"",IFERROR(TRIM(INDEX('Pegar docentes'!$A$1:$BZ$1001,348,I$2)&amp;""),""))</f>
        <v/>
      </c>
      <c r="J349">
        <f>IF(J$2=0,"",IFERROR(TRIM(INDEX('Pegar docentes'!$A$1:$BZ$1001,348,J$2)&amp;""),""))</f>
        <v/>
      </c>
      <c r="K349">
        <f>IF(K$2=0,"",IFERROR(TRIM(INDEX('Pegar docentes'!$A$1:$BZ$1001,348,K$2)&amp;""),""))</f>
        <v/>
      </c>
      <c r="L349">
        <f>IF(L$2=0,"",IFERROR(TRIM(INDEX('Pegar docentes'!$A$1:$BZ$1001,348,L$2)&amp;""),""))</f>
        <v/>
      </c>
      <c r="M349">
        <f>IF(M$2=0,"",IFERROR(TRIM(INDEX('Pegar docentes'!$A$1:$BZ$1001,348,M$2)&amp;""),""))</f>
        <v/>
      </c>
      <c r="N349">
        <f>IF(N$2=0,"",IFERROR(TRIM(INDEX('Pegar docentes'!$A$1:$BZ$1001,348,N$2)&amp;""),""))</f>
        <v/>
      </c>
      <c r="O349">
        <f>IF(O$2=0,"",IFERROR(TRIM(INDEX('Pegar docentes'!$A$1:$BZ$1001,348,O$2)&amp;""),""))</f>
        <v/>
      </c>
      <c r="P349">
        <f>IF(P$2=0,"",IFERROR(TRIM(INDEX('Pegar docentes'!$A$1:$BZ$1001,348,P$2)&amp;""),""))</f>
        <v/>
      </c>
      <c r="Q349" s="25">
        <f>IF(OR(D349&lt;&gt;"",H349&lt;&gt;""),1,"")</f>
        <v/>
      </c>
      <c r="R349" s="25">
        <f>IF(Q349=1,IF(ISNUMBER(FIND("#"&amp;MID(D349,1,1)&amp;"#","#0#1#2#3#4#5#6#7#8#9#")),IF(ISNUMBER(FIND("#"&amp;MID(D349,2,1)&amp;"#","#0#1#2#3#4#5#6#7#8#9#")),IF(AND(VALUE(LEFT(D349,2))&gt;=1,VALUE(LEFT(D349,2))&lt;=5),VALUE(LEFT(D349,2)),""),IF(AND(VALUE(LEFT(D349,1))&gt;=1,VALUE(LEFT(D349,1))&lt;=5),VALUE(LEFT(D349,1)),"")),""),"")</f>
        <v/>
      </c>
      <c r="S349" s="25">
        <f>IF(AND(Q349=1,E349&lt;&gt;""),SUBSTITUTE(SUBSTITUTE(SUBSTITUTE(SUBSTITUTE(SUBSTITUTE(SUBSTITUTE(SUBSTITUTE(SUBSTITUTE(SUBSTITUTE(SUBSTITUTE(SUBSTITUTE(SUBSTITUTE(LOWER(TRIM(E349)),"á","a"),"é","e"),"í","i"),"ó","o"),"ú","u"),"ü","u"),"ñ","n"),"à","a"),"è","e"),"ì","i"),"ò","o"),"ù","u"),"")</f>
        <v/>
      </c>
      <c r="T349" s="25">
        <f>IF(AND(Q349=1,G349&lt;&gt;""),SUBSTITUTE(SUBSTITUTE(SUBSTITUTE(SUBSTITUTE(SUBSTITUTE(SUBSTITUTE(SUBSTITUTE(SUBSTITUTE(SUBSTITUTE(SUBSTITUTE(SUBSTITUTE(SUBSTITUTE(LOWER(TRIM(G349)),"á","a"),"é","e"),"í","i"),"ó","o"),"ú","u"),"ü","u"),"ñ","n"),"à","a"),"è","e"),"ì","i"),"ò","o"),"ù","u"),"")</f>
        <v/>
      </c>
      <c r="U349" s="25">
        <f>IF(AND(Q349=1,H349&lt;&gt;""),SUBSTITUTE(SUBSTITUTE(SUBSTITUTE(SUBSTITUTE(SUBSTITUTE(SUBSTITUTE(SUBSTITUTE(SUBSTITUTE(SUBSTITUTE(SUBSTITUTE(SUBSTITUTE(SUBSTITUTE(LOWER(TRIM(H349)),"á","a"),"é","e"),"í","i"),"ó","o"),"ú","u"),"ü","u"),"ñ","n"),"à","a"),"è","e"),"ì","i"),"ò","o"),"ù","u"),"")</f>
        <v/>
      </c>
      <c r="V349" s="25">
        <f>IF(AND(Q349=1,L349&lt;&gt;""),SUBSTITUTE(SUBSTITUTE(SUBSTITUTE(SUBSTITUTE(SUBSTITUTE(SUBSTITUTE(SUBSTITUTE(SUBSTITUTE(SUBSTITUTE(SUBSTITUTE(SUBSTITUTE(SUBSTITUTE(LOWER(TRIM(L349)),"á","a"),"é","e"),"í","i"),"ó","o"),"ú","u"),"ü","u"),"ñ","n"),"à","a"),"è","e"),"ì","i"),"ò","o"),"ù","u"),"")</f>
        <v/>
      </c>
      <c r="W349" s="25">
        <f>IF(AND(Q349=1,I349&lt;&gt;""),SUBSTITUTE(SUBSTITUTE(SUBSTITUTE(SUBSTITUTE(SUBSTITUTE(SUBSTITUTE(SUBSTITUTE(SUBSTITUTE(SUBSTITUTE(SUBSTITUTE(SUBSTITUTE(SUBSTITUTE(LOWER(TRIM(I349)),"á","a"),"é","e"),"í","i"),"ó","o"),"ú","u"),"ü","u"),"ñ","n"),"à","a"),"è","e"),"ì","i"),"ò","o"),"ù","u"),"")</f>
        <v/>
      </c>
      <c r="X349" s="25">
        <f>IF(U349="","",IF(OR(U349="si, en la proxima tarea",U349="si, con cambios"),1,0))</f>
        <v/>
      </c>
      <c r="Y349" s="25">
        <f>IF(AND(Q349=1,A349&lt;&gt;""),IF(IFERROR(COUNTIFS(A$3:A349,"="&amp;SUBSTITUTE(SUBSTITUTE(SUBSTITUTE(A349,"~","~~"),"*","~*"),"?","~?"),Q$3:Q349,1),0)=1,MAX(Y$2:Y348)+1,""),"")</f>
        <v/>
      </c>
      <c r="Z349" s="25">
        <f>IF(Y349="","",COUNTIFS($A$3:$A$1002,"="&amp;SUBSTITUTE(SUBSTITUTE(SUBSTITUTE(A349,"~","~~"),"*","~*"),"?","~?"),$Q$3:$Q$1002,1)*10000-Y349)</f>
        <v/>
      </c>
    </row>
    <row r="350">
      <c r="A350">
        <f>IF(A$2=0,"",IFERROR(TRIM(INDEX('Pegar docentes'!$A$1:$BZ$1001,349,A$2)&amp;""),""))</f>
        <v/>
      </c>
      <c r="B350">
        <f>IF(B$2=0,"",IFERROR(TRIM(INDEX('Pegar docentes'!$A$1:$BZ$1001,349,B$2)&amp;""),""))</f>
        <v/>
      </c>
      <c r="C350">
        <f>IF(C$2=0,"",IFERROR(TRIM(INDEX('Pegar docentes'!$A$1:$BZ$1001,349,C$2)&amp;""),""))</f>
        <v/>
      </c>
      <c r="D350">
        <f>IF(D$2=0,"",IFERROR(TRIM(INDEX('Pegar docentes'!$A$1:$BZ$1001,349,D$2)&amp;""),""))</f>
        <v/>
      </c>
      <c r="E350">
        <f>IF(E$2=0,"",IFERROR(TRIM(INDEX('Pegar docentes'!$A$1:$BZ$1001,349,E$2)&amp;""),""))</f>
        <v/>
      </c>
      <c r="F350">
        <f>IF(F$2=0,"",IFERROR(TRIM(INDEX('Pegar docentes'!$A$1:$BZ$1001,349,F$2)&amp;""),""))</f>
        <v/>
      </c>
      <c r="G350">
        <f>IF(G$2=0,"",IFERROR(TRIM(INDEX('Pegar docentes'!$A$1:$BZ$1001,349,G$2)&amp;""),""))</f>
        <v/>
      </c>
      <c r="H350">
        <f>IF(H$2=0,"",IFERROR(TRIM(INDEX('Pegar docentes'!$A$1:$BZ$1001,349,H$2)&amp;""),""))</f>
        <v/>
      </c>
      <c r="I350">
        <f>IF(I$2=0,"",IFERROR(TRIM(INDEX('Pegar docentes'!$A$1:$BZ$1001,349,I$2)&amp;""),""))</f>
        <v/>
      </c>
      <c r="J350">
        <f>IF(J$2=0,"",IFERROR(TRIM(INDEX('Pegar docentes'!$A$1:$BZ$1001,349,J$2)&amp;""),""))</f>
        <v/>
      </c>
      <c r="K350">
        <f>IF(K$2=0,"",IFERROR(TRIM(INDEX('Pegar docentes'!$A$1:$BZ$1001,349,K$2)&amp;""),""))</f>
        <v/>
      </c>
      <c r="L350">
        <f>IF(L$2=0,"",IFERROR(TRIM(INDEX('Pegar docentes'!$A$1:$BZ$1001,349,L$2)&amp;""),""))</f>
        <v/>
      </c>
      <c r="M350">
        <f>IF(M$2=0,"",IFERROR(TRIM(INDEX('Pegar docentes'!$A$1:$BZ$1001,349,M$2)&amp;""),""))</f>
        <v/>
      </c>
      <c r="N350">
        <f>IF(N$2=0,"",IFERROR(TRIM(INDEX('Pegar docentes'!$A$1:$BZ$1001,349,N$2)&amp;""),""))</f>
        <v/>
      </c>
      <c r="O350">
        <f>IF(O$2=0,"",IFERROR(TRIM(INDEX('Pegar docentes'!$A$1:$BZ$1001,349,O$2)&amp;""),""))</f>
        <v/>
      </c>
      <c r="P350">
        <f>IF(P$2=0,"",IFERROR(TRIM(INDEX('Pegar docentes'!$A$1:$BZ$1001,349,P$2)&amp;""),""))</f>
        <v/>
      </c>
      <c r="Q350" s="25">
        <f>IF(OR(D350&lt;&gt;"",H350&lt;&gt;""),1,"")</f>
        <v/>
      </c>
      <c r="R350" s="25">
        <f>IF(Q350=1,IF(ISNUMBER(FIND("#"&amp;MID(D350,1,1)&amp;"#","#0#1#2#3#4#5#6#7#8#9#")),IF(ISNUMBER(FIND("#"&amp;MID(D350,2,1)&amp;"#","#0#1#2#3#4#5#6#7#8#9#")),IF(AND(VALUE(LEFT(D350,2))&gt;=1,VALUE(LEFT(D350,2))&lt;=5),VALUE(LEFT(D350,2)),""),IF(AND(VALUE(LEFT(D350,1))&gt;=1,VALUE(LEFT(D350,1))&lt;=5),VALUE(LEFT(D350,1)),"")),""),"")</f>
        <v/>
      </c>
      <c r="S350" s="25">
        <f>IF(AND(Q350=1,E350&lt;&gt;""),SUBSTITUTE(SUBSTITUTE(SUBSTITUTE(SUBSTITUTE(SUBSTITUTE(SUBSTITUTE(SUBSTITUTE(SUBSTITUTE(SUBSTITUTE(SUBSTITUTE(SUBSTITUTE(SUBSTITUTE(LOWER(TRIM(E350)),"á","a"),"é","e"),"í","i"),"ó","o"),"ú","u"),"ü","u"),"ñ","n"),"à","a"),"è","e"),"ì","i"),"ò","o"),"ù","u"),"")</f>
        <v/>
      </c>
      <c r="T350" s="25">
        <f>IF(AND(Q350=1,G350&lt;&gt;""),SUBSTITUTE(SUBSTITUTE(SUBSTITUTE(SUBSTITUTE(SUBSTITUTE(SUBSTITUTE(SUBSTITUTE(SUBSTITUTE(SUBSTITUTE(SUBSTITUTE(SUBSTITUTE(SUBSTITUTE(LOWER(TRIM(G350)),"á","a"),"é","e"),"í","i"),"ó","o"),"ú","u"),"ü","u"),"ñ","n"),"à","a"),"è","e"),"ì","i"),"ò","o"),"ù","u"),"")</f>
        <v/>
      </c>
      <c r="U350" s="25">
        <f>IF(AND(Q350=1,H350&lt;&gt;""),SUBSTITUTE(SUBSTITUTE(SUBSTITUTE(SUBSTITUTE(SUBSTITUTE(SUBSTITUTE(SUBSTITUTE(SUBSTITUTE(SUBSTITUTE(SUBSTITUTE(SUBSTITUTE(SUBSTITUTE(LOWER(TRIM(H350)),"á","a"),"é","e"),"í","i"),"ó","o"),"ú","u"),"ü","u"),"ñ","n"),"à","a"),"è","e"),"ì","i"),"ò","o"),"ù","u"),"")</f>
        <v/>
      </c>
      <c r="V350" s="25">
        <f>IF(AND(Q350=1,L350&lt;&gt;""),SUBSTITUTE(SUBSTITUTE(SUBSTITUTE(SUBSTITUTE(SUBSTITUTE(SUBSTITUTE(SUBSTITUTE(SUBSTITUTE(SUBSTITUTE(SUBSTITUTE(SUBSTITUTE(SUBSTITUTE(LOWER(TRIM(L350)),"á","a"),"é","e"),"í","i"),"ó","o"),"ú","u"),"ü","u"),"ñ","n"),"à","a"),"è","e"),"ì","i"),"ò","o"),"ù","u"),"")</f>
        <v/>
      </c>
      <c r="W350" s="25">
        <f>IF(AND(Q350=1,I350&lt;&gt;""),SUBSTITUTE(SUBSTITUTE(SUBSTITUTE(SUBSTITUTE(SUBSTITUTE(SUBSTITUTE(SUBSTITUTE(SUBSTITUTE(SUBSTITUTE(SUBSTITUTE(SUBSTITUTE(SUBSTITUTE(LOWER(TRIM(I350)),"á","a"),"é","e"),"í","i"),"ó","o"),"ú","u"),"ü","u"),"ñ","n"),"à","a"),"è","e"),"ì","i"),"ò","o"),"ù","u"),"")</f>
        <v/>
      </c>
      <c r="X350" s="25">
        <f>IF(U350="","",IF(OR(U350="si, en la proxima tarea",U350="si, con cambios"),1,0))</f>
        <v/>
      </c>
      <c r="Y350" s="25">
        <f>IF(AND(Q350=1,A350&lt;&gt;""),IF(IFERROR(COUNTIFS(A$3:A350,"="&amp;SUBSTITUTE(SUBSTITUTE(SUBSTITUTE(A350,"~","~~"),"*","~*"),"?","~?"),Q$3:Q350,1),0)=1,MAX(Y$2:Y349)+1,""),"")</f>
        <v/>
      </c>
      <c r="Z350" s="25">
        <f>IF(Y350="","",COUNTIFS($A$3:$A$1002,"="&amp;SUBSTITUTE(SUBSTITUTE(SUBSTITUTE(A350,"~","~~"),"*","~*"),"?","~?"),$Q$3:$Q$1002,1)*10000-Y350)</f>
        <v/>
      </c>
    </row>
    <row r="351">
      <c r="A351">
        <f>IF(A$2=0,"",IFERROR(TRIM(INDEX('Pegar docentes'!$A$1:$BZ$1001,350,A$2)&amp;""),""))</f>
        <v/>
      </c>
      <c r="B351">
        <f>IF(B$2=0,"",IFERROR(TRIM(INDEX('Pegar docentes'!$A$1:$BZ$1001,350,B$2)&amp;""),""))</f>
        <v/>
      </c>
      <c r="C351">
        <f>IF(C$2=0,"",IFERROR(TRIM(INDEX('Pegar docentes'!$A$1:$BZ$1001,350,C$2)&amp;""),""))</f>
        <v/>
      </c>
      <c r="D351">
        <f>IF(D$2=0,"",IFERROR(TRIM(INDEX('Pegar docentes'!$A$1:$BZ$1001,350,D$2)&amp;""),""))</f>
        <v/>
      </c>
      <c r="E351">
        <f>IF(E$2=0,"",IFERROR(TRIM(INDEX('Pegar docentes'!$A$1:$BZ$1001,350,E$2)&amp;""),""))</f>
        <v/>
      </c>
      <c r="F351">
        <f>IF(F$2=0,"",IFERROR(TRIM(INDEX('Pegar docentes'!$A$1:$BZ$1001,350,F$2)&amp;""),""))</f>
        <v/>
      </c>
      <c r="G351">
        <f>IF(G$2=0,"",IFERROR(TRIM(INDEX('Pegar docentes'!$A$1:$BZ$1001,350,G$2)&amp;""),""))</f>
        <v/>
      </c>
      <c r="H351">
        <f>IF(H$2=0,"",IFERROR(TRIM(INDEX('Pegar docentes'!$A$1:$BZ$1001,350,H$2)&amp;""),""))</f>
        <v/>
      </c>
      <c r="I351">
        <f>IF(I$2=0,"",IFERROR(TRIM(INDEX('Pegar docentes'!$A$1:$BZ$1001,350,I$2)&amp;""),""))</f>
        <v/>
      </c>
      <c r="J351">
        <f>IF(J$2=0,"",IFERROR(TRIM(INDEX('Pegar docentes'!$A$1:$BZ$1001,350,J$2)&amp;""),""))</f>
        <v/>
      </c>
      <c r="K351">
        <f>IF(K$2=0,"",IFERROR(TRIM(INDEX('Pegar docentes'!$A$1:$BZ$1001,350,K$2)&amp;""),""))</f>
        <v/>
      </c>
      <c r="L351">
        <f>IF(L$2=0,"",IFERROR(TRIM(INDEX('Pegar docentes'!$A$1:$BZ$1001,350,L$2)&amp;""),""))</f>
        <v/>
      </c>
      <c r="M351">
        <f>IF(M$2=0,"",IFERROR(TRIM(INDEX('Pegar docentes'!$A$1:$BZ$1001,350,M$2)&amp;""),""))</f>
        <v/>
      </c>
      <c r="N351">
        <f>IF(N$2=0,"",IFERROR(TRIM(INDEX('Pegar docentes'!$A$1:$BZ$1001,350,N$2)&amp;""),""))</f>
        <v/>
      </c>
      <c r="O351">
        <f>IF(O$2=0,"",IFERROR(TRIM(INDEX('Pegar docentes'!$A$1:$BZ$1001,350,O$2)&amp;""),""))</f>
        <v/>
      </c>
      <c r="P351">
        <f>IF(P$2=0,"",IFERROR(TRIM(INDEX('Pegar docentes'!$A$1:$BZ$1001,350,P$2)&amp;""),""))</f>
        <v/>
      </c>
      <c r="Q351" s="25">
        <f>IF(OR(D351&lt;&gt;"",H351&lt;&gt;""),1,"")</f>
        <v/>
      </c>
      <c r="R351" s="25">
        <f>IF(Q351=1,IF(ISNUMBER(FIND("#"&amp;MID(D351,1,1)&amp;"#","#0#1#2#3#4#5#6#7#8#9#")),IF(ISNUMBER(FIND("#"&amp;MID(D351,2,1)&amp;"#","#0#1#2#3#4#5#6#7#8#9#")),IF(AND(VALUE(LEFT(D351,2))&gt;=1,VALUE(LEFT(D351,2))&lt;=5),VALUE(LEFT(D351,2)),""),IF(AND(VALUE(LEFT(D351,1))&gt;=1,VALUE(LEFT(D351,1))&lt;=5),VALUE(LEFT(D351,1)),"")),""),"")</f>
        <v/>
      </c>
      <c r="S351" s="25">
        <f>IF(AND(Q351=1,E351&lt;&gt;""),SUBSTITUTE(SUBSTITUTE(SUBSTITUTE(SUBSTITUTE(SUBSTITUTE(SUBSTITUTE(SUBSTITUTE(SUBSTITUTE(SUBSTITUTE(SUBSTITUTE(SUBSTITUTE(SUBSTITUTE(LOWER(TRIM(E351)),"á","a"),"é","e"),"í","i"),"ó","o"),"ú","u"),"ü","u"),"ñ","n"),"à","a"),"è","e"),"ì","i"),"ò","o"),"ù","u"),"")</f>
        <v/>
      </c>
      <c r="T351" s="25">
        <f>IF(AND(Q351=1,G351&lt;&gt;""),SUBSTITUTE(SUBSTITUTE(SUBSTITUTE(SUBSTITUTE(SUBSTITUTE(SUBSTITUTE(SUBSTITUTE(SUBSTITUTE(SUBSTITUTE(SUBSTITUTE(SUBSTITUTE(SUBSTITUTE(LOWER(TRIM(G351)),"á","a"),"é","e"),"í","i"),"ó","o"),"ú","u"),"ü","u"),"ñ","n"),"à","a"),"è","e"),"ì","i"),"ò","o"),"ù","u"),"")</f>
        <v/>
      </c>
      <c r="U351" s="25">
        <f>IF(AND(Q351=1,H351&lt;&gt;""),SUBSTITUTE(SUBSTITUTE(SUBSTITUTE(SUBSTITUTE(SUBSTITUTE(SUBSTITUTE(SUBSTITUTE(SUBSTITUTE(SUBSTITUTE(SUBSTITUTE(SUBSTITUTE(SUBSTITUTE(LOWER(TRIM(H351)),"á","a"),"é","e"),"í","i"),"ó","o"),"ú","u"),"ü","u"),"ñ","n"),"à","a"),"è","e"),"ì","i"),"ò","o"),"ù","u"),"")</f>
        <v/>
      </c>
      <c r="V351" s="25">
        <f>IF(AND(Q351=1,L351&lt;&gt;""),SUBSTITUTE(SUBSTITUTE(SUBSTITUTE(SUBSTITUTE(SUBSTITUTE(SUBSTITUTE(SUBSTITUTE(SUBSTITUTE(SUBSTITUTE(SUBSTITUTE(SUBSTITUTE(SUBSTITUTE(LOWER(TRIM(L351)),"á","a"),"é","e"),"í","i"),"ó","o"),"ú","u"),"ü","u"),"ñ","n"),"à","a"),"è","e"),"ì","i"),"ò","o"),"ù","u"),"")</f>
        <v/>
      </c>
      <c r="W351" s="25">
        <f>IF(AND(Q351=1,I351&lt;&gt;""),SUBSTITUTE(SUBSTITUTE(SUBSTITUTE(SUBSTITUTE(SUBSTITUTE(SUBSTITUTE(SUBSTITUTE(SUBSTITUTE(SUBSTITUTE(SUBSTITUTE(SUBSTITUTE(SUBSTITUTE(LOWER(TRIM(I351)),"á","a"),"é","e"),"í","i"),"ó","o"),"ú","u"),"ü","u"),"ñ","n"),"à","a"),"è","e"),"ì","i"),"ò","o"),"ù","u"),"")</f>
        <v/>
      </c>
      <c r="X351" s="25">
        <f>IF(U351="","",IF(OR(U351="si, en la proxima tarea",U351="si, con cambios"),1,0))</f>
        <v/>
      </c>
      <c r="Y351" s="25">
        <f>IF(AND(Q351=1,A351&lt;&gt;""),IF(IFERROR(COUNTIFS(A$3:A351,"="&amp;SUBSTITUTE(SUBSTITUTE(SUBSTITUTE(A351,"~","~~"),"*","~*"),"?","~?"),Q$3:Q351,1),0)=1,MAX(Y$2:Y350)+1,""),"")</f>
        <v/>
      </c>
      <c r="Z351" s="25">
        <f>IF(Y351="","",COUNTIFS($A$3:$A$1002,"="&amp;SUBSTITUTE(SUBSTITUTE(SUBSTITUTE(A351,"~","~~"),"*","~*"),"?","~?"),$Q$3:$Q$1002,1)*10000-Y351)</f>
        <v/>
      </c>
    </row>
    <row r="352">
      <c r="A352">
        <f>IF(A$2=0,"",IFERROR(TRIM(INDEX('Pegar docentes'!$A$1:$BZ$1001,351,A$2)&amp;""),""))</f>
        <v/>
      </c>
      <c r="B352">
        <f>IF(B$2=0,"",IFERROR(TRIM(INDEX('Pegar docentes'!$A$1:$BZ$1001,351,B$2)&amp;""),""))</f>
        <v/>
      </c>
      <c r="C352">
        <f>IF(C$2=0,"",IFERROR(TRIM(INDEX('Pegar docentes'!$A$1:$BZ$1001,351,C$2)&amp;""),""))</f>
        <v/>
      </c>
      <c r="D352">
        <f>IF(D$2=0,"",IFERROR(TRIM(INDEX('Pegar docentes'!$A$1:$BZ$1001,351,D$2)&amp;""),""))</f>
        <v/>
      </c>
      <c r="E352">
        <f>IF(E$2=0,"",IFERROR(TRIM(INDEX('Pegar docentes'!$A$1:$BZ$1001,351,E$2)&amp;""),""))</f>
        <v/>
      </c>
      <c r="F352">
        <f>IF(F$2=0,"",IFERROR(TRIM(INDEX('Pegar docentes'!$A$1:$BZ$1001,351,F$2)&amp;""),""))</f>
        <v/>
      </c>
      <c r="G352">
        <f>IF(G$2=0,"",IFERROR(TRIM(INDEX('Pegar docentes'!$A$1:$BZ$1001,351,G$2)&amp;""),""))</f>
        <v/>
      </c>
      <c r="H352">
        <f>IF(H$2=0,"",IFERROR(TRIM(INDEX('Pegar docentes'!$A$1:$BZ$1001,351,H$2)&amp;""),""))</f>
        <v/>
      </c>
      <c r="I352">
        <f>IF(I$2=0,"",IFERROR(TRIM(INDEX('Pegar docentes'!$A$1:$BZ$1001,351,I$2)&amp;""),""))</f>
        <v/>
      </c>
      <c r="J352">
        <f>IF(J$2=0,"",IFERROR(TRIM(INDEX('Pegar docentes'!$A$1:$BZ$1001,351,J$2)&amp;""),""))</f>
        <v/>
      </c>
      <c r="K352">
        <f>IF(K$2=0,"",IFERROR(TRIM(INDEX('Pegar docentes'!$A$1:$BZ$1001,351,K$2)&amp;""),""))</f>
        <v/>
      </c>
      <c r="L352">
        <f>IF(L$2=0,"",IFERROR(TRIM(INDEX('Pegar docentes'!$A$1:$BZ$1001,351,L$2)&amp;""),""))</f>
        <v/>
      </c>
      <c r="M352">
        <f>IF(M$2=0,"",IFERROR(TRIM(INDEX('Pegar docentes'!$A$1:$BZ$1001,351,M$2)&amp;""),""))</f>
        <v/>
      </c>
      <c r="N352">
        <f>IF(N$2=0,"",IFERROR(TRIM(INDEX('Pegar docentes'!$A$1:$BZ$1001,351,N$2)&amp;""),""))</f>
        <v/>
      </c>
      <c r="O352">
        <f>IF(O$2=0,"",IFERROR(TRIM(INDEX('Pegar docentes'!$A$1:$BZ$1001,351,O$2)&amp;""),""))</f>
        <v/>
      </c>
      <c r="P352">
        <f>IF(P$2=0,"",IFERROR(TRIM(INDEX('Pegar docentes'!$A$1:$BZ$1001,351,P$2)&amp;""),""))</f>
        <v/>
      </c>
      <c r="Q352" s="25">
        <f>IF(OR(D352&lt;&gt;"",H352&lt;&gt;""),1,"")</f>
        <v/>
      </c>
      <c r="R352" s="25">
        <f>IF(Q352=1,IF(ISNUMBER(FIND("#"&amp;MID(D352,1,1)&amp;"#","#0#1#2#3#4#5#6#7#8#9#")),IF(ISNUMBER(FIND("#"&amp;MID(D352,2,1)&amp;"#","#0#1#2#3#4#5#6#7#8#9#")),IF(AND(VALUE(LEFT(D352,2))&gt;=1,VALUE(LEFT(D352,2))&lt;=5),VALUE(LEFT(D352,2)),""),IF(AND(VALUE(LEFT(D352,1))&gt;=1,VALUE(LEFT(D352,1))&lt;=5),VALUE(LEFT(D352,1)),"")),""),"")</f>
        <v/>
      </c>
      <c r="S352" s="25">
        <f>IF(AND(Q352=1,E352&lt;&gt;""),SUBSTITUTE(SUBSTITUTE(SUBSTITUTE(SUBSTITUTE(SUBSTITUTE(SUBSTITUTE(SUBSTITUTE(SUBSTITUTE(SUBSTITUTE(SUBSTITUTE(SUBSTITUTE(SUBSTITUTE(LOWER(TRIM(E352)),"á","a"),"é","e"),"í","i"),"ó","o"),"ú","u"),"ü","u"),"ñ","n"),"à","a"),"è","e"),"ì","i"),"ò","o"),"ù","u"),"")</f>
        <v/>
      </c>
      <c r="T352" s="25">
        <f>IF(AND(Q352=1,G352&lt;&gt;""),SUBSTITUTE(SUBSTITUTE(SUBSTITUTE(SUBSTITUTE(SUBSTITUTE(SUBSTITUTE(SUBSTITUTE(SUBSTITUTE(SUBSTITUTE(SUBSTITUTE(SUBSTITUTE(SUBSTITUTE(LOWER(TRIM(G352)),"á","a"),"é","e"),"í","i"),"ó","o"),"ú","u"),"ü","u"),"ñ","n"),"à","a"),"è","e"),"ì","i"),"ò","o"),"ù","u"),"")</f>
        <v/>
      </c>
      <c r="U352" s="25">
        <f>IF(AND(Q352=1,H352&lt;&gt;""),SUBSTITUTE(SUBSTITUTE(SUBSTITUTE(SUBSTITUTE(SUBSTITUTE(SUBSTITUTE(SUBSTITUTE(SUBSTITUTE(SUBSTITUTE(SUBSTITUTE(SUBSTITUTE(SUBSTITUTE(LOWER(TRIM(H352)),"á","a"),"é","e"),"í","i"),"ó","o"),"ú","u"),"ü","u"),"ñ","n"),"à","a"),"è","e"),"ì","i"),"ò","o"),"ù","u"),"")</f>
        <v/>
      </c>
      <c r="V352" s="25">
        <f>IF(AND(Q352=1,L352&lt;&gt;""),SUBSTITUTE(SUBSTITUTE(SUBSTITUTE(SUBSTITUTE(SUBSTITUTE(SUBSTITUTE(SUBSTITUTE(SUBSTITUTE(SUBSTITUTE(SUBSTITUTE(SUBSTITUTE(SUBSTITUTE(LOWER(TRIM(L352)),"á","a"),"é","e"),"í","i"),"ó","o"),"ú","u"),"ü","u"),"ñ","n"),"à","a"),"è","e"),"ì","i"),"ò","o"),"ù","u"),"")</f>
        <v/>
      </c>
      <c r="W352" s="25">
        <f>IF(AND(Q352=1,I352&lt;&gt;""),SUBSTITUTE(SUBSTITUTE(SUBSTITUTE(SUBSTITUTE(SUBSTITUTE(SUBSTITUTE(SUBSTITUTE(SUBSTITUTE(SUBSTITUTE(SUBSTITUTE(SUBSTITUTE(SUBSTITUTE(LOWER(TRIM(I352)),"á","a"),"é","e"),"í","i"),"ó","o"),"ú","u"),"ü","u"),"ñ","n"),"à","a"),"è","e"),"ì","i"),"ò","o"),"ù","u"),"")</f>
        <v/>
      </c>
      <c r="X352" s="25">
        <f>IF(U352="","",IF(OR(U352="si, en la proxima tarea",U352="si, con cambios"),1,0))</f>
        <v/>
      </c>
      <c r="Y352" s="25">
        <f>IF(AND(Q352=1,A352&lt;&gt;""),IF(IFERROR(COUNTIFS(A$3:A352,"="&amp;SUBSTITUTE(SUBSTITUTE(SUBSTITUTE(A352,"~","~~"),"*","~*"),"?","~?"),Q$3:Q352,1),0)=1,MAX(Y$2:Y351)+1,""),"")</f>
        <v/>
      </c>
      <c r="Z352" s="25">
        <f>IF(Y352="","",COUNTIFS($A$3:$A$1002,"="&amp;SUBSTITUTE(SUBSTITUTE(SUBSTITUTE(A352,"~","~~"),"*","~*"),"?","~?"),$Q$3:$Q$1002,1)*10000-Y352)</f>
        <v/>
      </c>
    </row>
    <row r="353">
      <c r="A353">
        <f>IF(A$2=0,"",IFERROR(TRIM(INDEX('Pegar docentes'!$A$1:$BZ$1001,352,A$2)&amp;""),""))</f>
        <v/>
      </c>
      <c r="B353">
        <f>IF(B$2=0,"",IFERROR(TRIM(INDEX('Pegar docentes'!$A$1:$BZ$1001,352,B$2)&amp;""),""))</f>
        <v/>
      </c>
      <c r="C353">
        <f>IF(C$2=0,"",IFERROR(TRIM(INDEX('Pegar docentes'!$A$1:$BZ$1001,352,C$2)&amp;""),""))</f>
        <v/>
      </c>
      <c r="D353">
        <f>IF(D$2=0,"",IFERROR(TRIM(INDEX('Pegar docentes'!$A$1:$BZ$1001,352,D$2)&amp;""),""))</f>
        <v/>
      </c>
      <c r="E353">
        <f>IF(E$2=0,"",IFERROR(TRIM(INDEX('Pegar docentes'!$A$1:$BZ$1001,352,E$2)&amp;""),""))</f>
        <v/>
      </c>
      <c r="F353">
        <f>IF(F$2=0,"",IFERROR(TRIM(INDEX('Pegar docentes'!$A$1:$BZ$1001,352,F$2)&amp;""),""))</f>
        <v/>
      </c>
      <c r="G353">
        <f>IF(G$2=0,"",IFERROR(TRIM(INDEX('Pegar docentes'!$A$1:$BZ$1001,352,G$2)&amp;""),""))</f>
        <v/>
      </c>
      <c r="H353">
        <f>IF(H$2=0,"",IFERROR(TRIM(INDEX('Pegar docentes'!$A$1:$BZ$1001,352,H$2)&amp;""),""))</f>
        <v/>
      </c>
      <c r="I353">
        <f>IF(I$2=0,"",IFERROR(TRIM(INDEX('Pegar docentes'!$A$1:$BZ$1001,352,I$2)&amp;""),""))</f>
        <v/>
      </c>
      <c r="J353">
        <f>IF(J$2=0,"",IFERROR(TRIM(INDEX('Pegar docentes'!$A$1:$BZ$1001,352,J$2)&amp;""),""))</f>
        <v/>
      </c>
      <c r="K353">
        <f>IF(K$2=0,"",IFERROR(TRIM(INDEX('Pegar docentes'!$A$1:$BZ$1001,352,K$2)&amp;""),""))</f>
        <v/>
      </c>
      <c r="L353">
        <f>IF(L$2=0,"",IFERROR(TRIM(INDEX('Pegar docentes'!$A$1:$BZ$1001,352,L$2)&amp;""),""))</f>
        <v/>
      </c>
      <c r="M353">
        <f>IF(M$2=0,"",IFERROR(TRIM(INDEX('Pegar docentes'!$A$1:$BZ$1001,352,M$2)&amp;""),""))</f>
        <v/>
      </c>
      <c r="N353">
        <f>IF(N$2=0,"",IFERROR(TRIM(INDEX('Pegar docentes'!$A$1:$BZ$1001,352,N$2)&amp;""),""))</f>
        <v/>
      </c>
      <c r="O353">
        <f>IF(O$2=0,"",IFERROR(TRIM(INDEX('Pegar docentes'!$A$1:$BZ$1001,352,O$2)&amp;""),""))</f>
        <v/>
      </c>
      <c r="P353">
        <f>IF(P$2=0,"",IFERROR(TRIM(INDEX('Pegar docentes'!$A$1:$BZ$1001,352,P$2)&amp;""),""))</f>
        <v/>
      </c>
      <c r="Q353" s="25">
        <f>IF(OR(D353&lt;&gt;"",H353&lt;&gt;""),1,"")</f>
        <v/>
      </c>
      <c r="R353" s="25">
        <f>IF(Q353=1,IF(ISNUMBER(FIND("#"&amp;MID(D353,1,1)&amp;"#","#0#1#2#3#4#5#6#7#8#9#")),IF(ISNUMBER(FIND("#"&amp;MID(D353,2,1)&amp;"#","#0#1#2#3#4#5#6#7#8#9#")),IF(AND(VALUE(LEFT(D353,2))&gt;=1,VALUE(LEFT(D353,2))&lt;=5),VALUE(LEFT(D353,2)),""),IF(AND(VALUE(LEFT(D353,1))&gt;=1,VALUE(LEFT(D353,1))&lt;=5),VALUE(LEFT(D353,1)),"")),""),"")</f>
        <v/>
      </c>
      <c r="S353" s="25">
        <f>IF(AND(Q353=1,E353&lt;&gt;""),SUBSTITUTE(SUBSTITUTE(SUBSTITUTE(SUBSTITUTE(SUBSTITUTE(SUBSTITUTE(SUBSTITUTE(SUBSTITUTE(SUBSTITUTE(SUBSTITUTE(SUBSTITUTE(SUBSTITUTE(LOWER(TRIM(E353)),"á","a"),"é","e"),"í","i"),"ó","o"),"ú","u"),"ü","u"),"ñ","n"),"à","a"),"è","e"),"ì","i"),"ò","o"),"ù","u"),"")</f>
        <v/>
      </c>
      <c r="T353" s="25">
        <f>IF(AND(Q353=1,G353&lt;&gt;""),SUBSTITUTE(SUBSTITUTE(SUBSTITUTE(SUBSTITUTE(SUBSTITUTE(SUBSTITUTE(SUBSTITUTE(SUBSTITUTE(SUBSTITUTE(SUBSTITUTE(SUBSTITUTE(SUBSTITUTE(LOWER(TRIM(G353)),"á","a"),"é","e"),"í","i"),"ó","o"),"ú","u"),"ü","u"),"ñ","n"),"à","a"),"è","e"),"ì","i"),"ò","o"),"ù","u"),"")</f>
        <v/>
      </c>
      <c r="U353" s="25">
        <f>IF(AND(Q353=1,H353&lt;&gt;""),SUBSTITUTE(SUBSTITUTE(SUBSTITUTE(SUBSTITUTE(SUBSTITUTE(SUBSTITUTE(SUBSTITUTE(SUBSTITUTE(SUBSTITUTE(SUBSTITUTE(SUBSTITUTE(SUBSTITUTE(LOWER(TRIM(H353)),"á","a"),"é","e"),"í","i"),"ó","o"),"ú","u"),"ü","u"),"ñ","n"),"à","a"),"è","e"),"ì","i"),"ò","o"),"ù","u"),"")</f>
        <v/>
      </c>
      <c r="V353" s="25">
        <f>IF(AND(Q353=1,L353&lt;&gt;""),SUBSTITUTE(SUBSTITUTE(SUBSTITUTE(SUBSTITUTE(SUBSTITUTE(SUBSTITUTE(SUBSTITUTE(SUBSTITUTE(SUBSTITUTE(SUBSTITUTE(SUBSTITUTE(SUBSTITUTE(LOWER(TRIM(L353)),"á","a"),"é","e"),"í","i"),"ó","o"),"ú","u"),"ü","u"),"ñ","n"),"à","a"),"è","e"),"ì","i"),"ò","o"),"ù","u"),"")</f>
        <v/>
      </c>
      <c r="W353" s="25">
        <f>IF(AND(Q353=1,I353&lt;&gt;""),SUBSTITUTE(SUBSTITUTE(SUBSTITUTE(SUBSTITUTE(SUBSTITUTE(SUBSTITUTE(SUBSTITUTE(SUBSTITUTE(SUBSTITUTE(SUBSTITUTE(SUBSTITUTE(SUBSTITUTE(LOWER(TRIM(I353)),"á","a"),"é","e"),"í","i"),"ó","o"),"ú","u"),"ü","u"),"ñ","n"),"à","a"),"è","e"),"ì","i"),"ò","o"),"ù","u"),"")</f>
        <v/>
      </c>
      <c r="X353" s="25">
        <f>IF(U353="","",IF(OR(U353="si, en la proxima tarea",U353="si, con cambios"),1,0))</f>
        <v/>
      </c>
      <c r="Y353" s="25">
        <f>IF(AND(Q353=1,A353&lt;&gt;""),IF(IFERROR(COUNTIFS(A$3:A353,"="&amp;SUBSTITUTE(SUBSTITUTE(SUBSTITUTE(A353,"~","~~"),"*","~*"),"?","~?"),Q$3:Q353,1),0)=1,MAX(Y$2:Y352)+1,""),"")</f>
        <v/>
      </c>
      <c r="Z353" s="25">
        <f>IF(Y353="","",COUNTIFS($A$3:$A$1002,"="&amp;SUBSTITUTE(SUBSTITUTE(SUBSTITUTE(A353,"~","~~"),"*","~*"),"?","~?"),$Q$3:$Q$1002,1)*10000-Y353)</f>
        <v/>
      </c>
    </row>
    <row r="354">
      <c r="A354">
        <f>IF(A$2=0,"",IFERROR(TRIM(INDEX('Pegar docentes'!$A$1:$BZ$1001,353,A$2)&amp;""),""))</f>
        <v/>
      </c>
      <c r="B354">
        <f>IF(B$2=0,"",IFERROR(TRIM(INDEX('Pegar docentes'!$A$1:$BZ$1001,353,B$2)&amp;""),""))</f>
        <v/>
      </c>
      <c r="C354">
        <f>IF(C$2=0,"",IFERROR(TRIM(INDEX('Pegar docentes'!$A$1:$BZ$1001,353,C$2)&amp;""),""))</f>
        <v/>
      </c>
      <c r="D354">
        <f>IF(D$2=0,"",IFERROR(TRIM(INDEX('Pegar docentes'!$A$1:$BZ$1001,353,D$2)&amp;""),""))</f>
        <v/>
      </c>
      <c r="E354">
        <f>IF(E$2=0,"",IFERROR(TRIM(INDEX('Pegar docentes'!$A$1:$BZ$1001,353,E$2)&amp;""),""))</f>
        <v/>
      </c>
      <c r="F354">
        <f>IF(F$2=0,"",IFERROR(TRIM(INDEX('Pegar docentes'!$A$1:$BZ$1001,353,F$2)&amp;""),""))</f>
        <v/>
      </c>
      <c r="G354">
        <f>IF(G$2=0,"",IFERROR(TRIM(INDEX('Pegar docentes'!$A$1:$BZ$1001,353,G$2)&amp;""),""))</f>
        <v/>
      </c>
      <c r="H354">
        <f>IF(H$2=0,"",IFERROR(TRIM(INDEX('Pegar docentes'!$A$1:$BZ$1001,353,H$2)&amp;""),""))</f>
        <v/>
      </c>
      <c r="I354">
        <f>IF(I$2=0,"",IFERROR(TRIM(INDEX('Pegar docentes'!$A$1:$BZ$1001,353,I$2)&amp;""),""))</f>
        <v/>
      </c>
      <c r="J354">
        <f>IF(J$2=0,"",IFERROR(TRIM(INDEX('Pegar docentes'!$A$1:$BZ$1001,353,J$2)&amp;""),""))</f>
        <v/>
      </c>
      <c r="K354">
        <f>IF(K$2=0,"",IFERROR(TRIM(INDEX('Pegar docentes'!$A$1:$BZ$1001,353,K$2)&amp;""),""))</f>
        <v/>
      </c>
      <c r="L354">
        <f>IF(L$2=0,"",IFERROR(TRIM(INDEX('Pegar docentes'!$A$1:$BZ$1001,353,L$2)&amp;""),""))</f>
        <v/>
      </c>
      <c r="M354">
        <f>IF(M$2=0,"",IFERROR(TRIM(INDEX('Pegar docentes'!$A$1:$BZ$1001,353,M$2)&amp;""),""))</f>
        <v/>
      </c>
      <c r="N354">
        <f>IF(N$2=0,"",IFERROR(TRIM(INDEX('Pegar docentes'!$A$1:$BZ$1001,353,N$2)&amp;""),""))</f>
        <v/>
      </c>
      <c r="O354">
        <f>IF(O$2=0,"",IFERROR(TRIM(INDEX('Pegar docentes'!$A$1:$BZ$1001,353,O$2)&amp;""),""))</f>
        <v/>
      </c>
      <c r="P354">
        <f>IF(P$2=0,"",IFERROR(TRIM(INDEX('Pegar docentes'!$A$1:$BZ$1001,353,P$2)&amp;""),""))</f>
        <v/>
      </c>
      <c r="Q354" s="25">
        <f>IF(OR(D354&lt;&gt;"",H354&lt;&gt;""),1,"")</f>
        <v/>
      </c>
      <c r="R354" s="25">
        <f>IF(Q354=1,IF(ISNUMBER(FIND("#"&amp;MID(D354,1,1)&amp;"#","#0#1#2#3#4#5#6#7#8#9#")),IF(ISNUMBER(FIND("#"&amp;MID(D354,2,1)&amp;"#","#0#1#2#3#4#5#6#7#8#9#")),IF(AND(VALUE(LEFT(D354,2))&gt;=1,VALUE(LEFT(D354,2))&lt;=5),VALUE(LEFT(D354,2)),""),IF(AND(VALUE(LEFT(D354,1))&gt;=1,VALUE(LEFT(D354,1))&lt;=5),VALUE(LEFT(D354,1)),"")),""),"")</f>
        <v/>
      </c>
      <c r="S354" s="25">
        <f>IF(AND(Q354=1,E354&lt;&gt;""),SUBSTITUTE(SUBSTITUTE(SUBSTITUTE(SUBSTITUTE(SUBSTITUTE(SUBSTITUTE(SUBSTITUTE(SUBSTITUTE(SUBSTITUTE(SUBSTITUTE(SUBSTITUTE(SUBSTITUTE(LOWER(TRIM(E354)),"á","a"),"é","e"),"í","i"),"ó","o"),"ú","u"),"ü","u"),"ñ","n"),"à","a"),"è","e"),"ì","i"),"ò","o"),"ù","u"),"")</f>
        <v/>
      </c>
      <c r="T354" s="25">
        <f>IF(AND(Q354=1,G354&lt;&gt;""),SUBSTITUTE(SUBSTITUTE(SUBSTITUTE(SUBSTITUTE(SUBSTITUTE(SUBSTITUTE(SUBSTITUTE(SUBSTITUTE(SUBSTITUTE(SUBSTITUTE(SUBSTITUTE(SUBSTITUTE(LOWER(TRIM(G354)),"á","a"),"é","e"),"í","i"),"ó","o"),"ú","u"),"ü","u"),"ñ","n"),"à","a"),"è","e"),"ì","i"),"ò","o"),"ù","u"),"")</f>
        <v/>
      </c>
      <c r="U354" s="25">
        <f>IF(AND(Q354=1,H354&lt;&gt;""),SUBSTITUTE(SUBSTITUTE(SUBSTITUTE(SUBSTITUTE(SUBSTITUTE(SUBSTITUTE(SUBSTITUTE(SUBSTITUTE(SUBSTITUTE(SUBSTITUTE(SUBSTITUTE(SUBSTITUTE(LOWER(TRIM(H354)),"á","a"),"é","e"),"í","i"),"ó","o"),"ú","u"),"ü","u"),"ñ","n"),"à","a"),"è","e"),"ì","i"),"ò","o"),"ù","u"),"")</f>
        <v/>
      </c>
      <c r="V354" s="25">
        <f>IF(AND(Q354=1,L354&lt;&gt;""),SUBSTITUTE(SUBSTITUTE(SUBSTITUTE(SUBSTITUTE(SUBSTITUTE(SUBSTITUTE(SUBSTITUTE(SUBSTITUTE(SUBSTITUTE(SUBSTITUTE(SUBSTITUTE(SUBSTITUTE(LOWER(TRIM(L354)),"á","a"),"é","e"),"í","i"),"ó","o"),"ú","u"),"ü","u"),"ñ","n"),"à","a"),"è","e"),"ì","i"),"ò","o"),"ù","u"),"")</f>
        <v/>
      </c>
      <c r="W354" s="25">
        <f>IF(AND(Q354=1,I354&lt;&gt;""),SUBSTITUTE(SUBSTITUTE(SUBSTITUTE(SUBSTITUTE(SUBSTITUTE(SUBSTITUTE(SUBSTITUTE(SUBSTITUTE(SUBSTITUTE(SUBSTITUTE(SUBSTITUTE(SUBSTITUTE(LOWER(TRIM(I354)),"á","a"),"é","e"),"í","i"),"ó","o"),"ú","u"),"ü","u"),"ñ","n"),"à","a"),"è","e"),"ì","i"),"ò","o"),"ù","u"),"")</f>
        <v/>
      </c>
      <c r="X354" s="25">
        <f>IF(U354="","",IF(OR(U354="si, en la proxima tarea",U354="si, con cambios"),1,0))</f>
        <v/>
      </c>
      <c r="Y354" s="25">
        <f>IF(AND(Q354=1,A354&lt;&gt;""),IF(IFERROR(COUNTIFS(A$3:A354,"="&amp;SUBSTITUTE(SUBSTITUTE(SUBSTITUTE(A354,"~","~~"),"*","~*"),"?","~?"),Q$3:Q354,1),0)=1,MAX(Y$2:Y353)+1,""),"")</f>
        <v/>
      </c>
      <c r="Z354" s="25">
        <f>IF(Y354="","",COUNTIFS($A$3:$A$1002,"="&amp;SUBSTITUTE(SUBSTITUTE(SUBSTITUTE(A354,"~","~~"),"*","~*"),"?","~?"),$Q$3:$Q$1002,1)*10000-Y354)</f>
        <v/>
      </c>
    </row>
    <row r="355">
      <c r="A355">
        <f>IF(A$2=0,"",IFERROR(TRIM(INDEX('Pegar docentes'!$A$1:$BZ$1001,354,A$2)&amp;""),""))</f>
        <v/>
      </c>
      <c r="B355">
        <f>IF(B$2=0,"",IFERROR(TRIM(INDEX('Pegar docentes'!$A$1:$BZ$1001,354,B$2)&amp;""),""))</f>
        <v/>
      </c>
      <c r="C355">
        <f>IF(C$2=0,"",IFERROR(TRIM(INDEX('Pegar docentes'!$A$1:$BZ$1001,354,C$2)&amp;""),""))</f>
        <v/>
      </c>
      <c r="D355">
        <f>IF(D$2=0,"",IFERROR(TRIM(INDEX('Pegar docentes'!$A$1:$BZ$1001,354,D$2)&amp;""),""))</f>
        <v/>
      </c>
      <c r="E355">
        <f>IF(E$2=0,"",IFERROR(TRIM(INDEX('Pegar docentes'!$A$1:$BZ$1001,354,E$2)&amp;""),""))</f>
        <v/>
      </c>
      <c r="F355">
        <f>IF(F$2=0,"",IFERROR(TRIM(INDEX('Pegar docentes'!$A$1:$BZ$1001,354,F$2)&amp;""),""))</f>
        <v/>
      </c>
      <c r="G355">
        <f>IF(G$2=0,"",IFERROR(TRIM(INDEX('Pegar docentes'!$A$1:$BZ$1001,354,G$2)&amp;""),""))</f>
        <v/>
      </c>
      <c r="H355">
        <f>IF(H$2=0,"",IFERROR(TRIM(INDEX('Pegar docentes'!$A$1:$BZ$1001,354,H$2)&amp;""),""))</f>
        <v/>
      </c>
      <c r="I355">
        <f>IF(I$2=0,"",IFERROR(TRIM(INDEX('Pegar docentes'!$A$1:$BZ$1001,354,I$2)&amp;""),""))</f>
        <v/>
      </c>
      <c r="J355">
        <f>IF(J$2=0,"",IFERROR(TRIM(INDEX('Pegar docentes'!$A$1:$BZ$1001,354,J$2)&amp;""),""))</f>
        <v/>
      </c>
      <c r="K355">
        <f>IF(K$2=0,"",IFERROR(TRIM(INDEX('Pegar docentes'!$A$1:$BZ$1001,354,K$2)&amp;""),""))</f>
        <v/>
      </c>
      <c r="L355">
        <f>IF(L$2=0,"",IFERROR(TRIM(INDEX('Pegar docentes'!$A$1:$BZ$1001,354,L$2)&amp;""),""))</f>
        <v/>
      </c>
      <c r="M355">
        <f>IF(M$2=0,"",IFERROR(TRIM(INDEX('Pegar docentes'!$A$1:$BZ$1001,354,M$2)&amp;""),""))</f>
        <v/>
      </c>
      <c r="N355">
        <f>IF(N$2=0,"",IFERROR(TRIM(INDEX('Pegar docentes'!$A$1:$BZ$1001,354,N$2)&amp;""),""))</f>
        <v/>
      </c>
      <c r="O355">
        <f>IF(O$2=0,"",IFERROR(TRIM(INDEX('Pegar docentes'!$A$1:$BZ$1001,354,O$2)&amp;""),""))</f>
        <v/>
      </c>
      <c r="P355">
        <f>IF(P$2=0,"",IFERROR(TRIM(INDEX('Pegar docentes'!$A$1:$BZ$1001,354,P$2)&amp;""),""))</f>
        <v/>
      </c>
      <c r="Q355" s="25">
        <f>IF(OR(D355&lt;&gt;"",H355&lt;&gt;""),1,"")</f>
        <v/>
      </c>
      <c r="R355" s="25">
        <f>IF(Q355=1,IF(ISNUMBER(FIND("#"&amp;MID(D355,1,1)&amp;"#","#0#1#2#3#4#5#6#7#8#9#")),IF(ISNUMBER(FIND("#"&amp;MID(D355,2,1)&amp;"#","#0#1#2#3#4#5#6#7#8#9#")),IF(AND(VALUE(LEFT(D355,2))&gt;=1,VALUE(LEFT(D355,2))&lt;=5),VALUE(LEFT(D355,2)),""),IF(AND(VALUE(LEFT(D355,1))&gt;=1,VALUE(LEFT(D355,1))&lt;=5),VALUE(LEFT(D355,1)),"")),""),"")</f>
        <v/>
      </c>
      <c r="S355" s="25">
        <f>IF(AND(Q355=1,E355&lt;&gt;""),SUBSTITUTE(SUBSTITUTE(SUBSTITUTE(SUBSTITUTE(SUBSTITUTE(SUBSTITUTE(SUBSTITUTE(SUBSTITUTE(SUBSTITUTE(SUBSTITUTE(SUBSTITUTE(SUBSTITUTE(LOWER(TRIM(E355)),"á","a"),"é","e"),"í","i"),"ó","o"),"ú","u"),"ü","u"),"ñ","n"),"à","a"),"è","e"),"ì","i"),"ò","o"),"ù","u"),"")</f>
        <v/>
      </c>
      <c r="T355" s="25">
        <f>IF(AND(Q355=1,G355&lt;&gt;""),SUBSTITUTE(SUBSTITUTE(SUBSTITUTE(SUBSTITUTE(SUBSTITUTE(SUBSTITUTE(SUBSTITUTE(SUBSTITUTE(SUBSTITUTE(SUBSTITUTE(SUBSTITUTE(SUBSTITUTE(LOWER(TRIM(G355)),"á","a"),"é","e"),"í","i"),"ó","o"),"ú","u"),"ü","u"),"ñ","n"),"à","a"),"è","e"),"ì","i"),"ò","o"),"ù","u"),"")</f>
        <v/>
      </c>
      <c r="U355" s="25">
        <f>IF(AND(Q355=1,H355&lt;&gt;""),SUBSTITUTE(SUBSTITUTE(SUBSTITUTE(SUBSTITUTE(SUBSTITUTE(SUBSTITUTE(SUBSTITUTE(SUBSTITUTE(SUBSTITUTE(SUBSTITUTE(SUBSTITUTE(SUBSTITUTE(LOWER(TRIM(H355)),"á","a"),"é","e"),"í","i"),"ó","o"),"ú","u"),"ü","u"),"ñ","n"),"à","a"),"è","e"),"ì","i"),"ò","o"),"ù","u"),"")</f>
        <v/>
      </c>
      <c r="V355" s="25">
        <f>IF(AND(Q355=1,L355&lt;&gt;""),SUBSTITUTE(SUBSTITUTE(SUBSTITUTE(SUBSTITUTE(SUBSTITUTE(SUBSTITUTE(SUBSTITUTE(SUBSTITUTE(SUBSTITUTE(SUBSTITUTE(SUBSTITUTE(SUBSTITUTE(LOWER(TRIM(L355)),"á","a"),"é","e"),"í","i"),"ó","o"),"ú","u"),"ü","u"),"ñ","n"),"à","a"),"è","e"),"ì","i"),"ò","o"),"ù","u"),"")</f>
        <v/>
      </c>
      <c r="W355" s="25">
        <f>IF(AND(Q355=1,I355&lt;&gt;""),SUBSTITUTE(SUBSTITUTE(SUBSTITUTE(SUBSTITUTE(SUBSTITUTE(SUBSTITUTE(SUBSTITUTE(SUBSTITUTE(SUBSTITUTE(SUBSTITUTE(SUBSTITUTE(SUBSTITUTE(LOWER(TRIM(I355)),"á","a"),"é","e"),"í","i"),"ó","o"),"ú","u"),"ü","u"),"ñ","n"),"à","a"),"è","e"),"ì","i"),"ò","o"),"ù","u"),"")</f>
        <v/>
      </c>
      <c r="X355" s="25">
        <f>IF(U355="","",IF(OR(U355="si, en la proxima tarea",U355="si, con cambios"),1,0))</f>
        <v/>
      </c>
      <c r="Y355" s="25">
        <f>IF(AND(Q355=1,A355&lt;&gt;""),IF(IFERROR(COUNTIFS(A$3:A355,"="&amp;SUBSTITUTE(SUBSTITUTE(SUBSTITUTE(A355,"~","~~"),"*","~*"),"?","~?"),Q$3:Q355,1),0)=1,MAX(Y$2:Y354)+1,""),"")</f>
        <v/>
      </c>
      <c r="Z355" s="25">
        <f>IF(Y355="","",COUNTIFS($A$3:$A$1002,"="&amp;SUBSTITUTE(SUBSTITUTE(SUBSTITUTE(A355,"~","~~"),"*","~*"),"?","~?"),$Q$3:$Q$1002,1)*10000-Y355)</f>
        <v/>
      </c>
    </row>
    <row r="356">
      <c r="A356">
        <f>IF(A$2=0,"",IFERROR(TRIM(INDEX('Pegar docentes'!$A$1:$BZ$1001,355,A$2)&amp;""),""))</f>
        <v/>
      </c>
      <c r="B356">
        <f>IF(B$2=0,"",IFERROR(TRIM(INDEX('Pegar docentes'!$A$1:$BZ$1001,355,B$2)&amp;""),""))</f>
        <v/>
      </c>
      <c r="C356">
        <f>IF(C$2=0,"",IFERROR(TRIM(INDEX('Pegar docentes'!$A$1:$BZ$1001,355,C$2)&amp;""),""))</f>
        <v/>
      </c>
      <c r="D356">
        <f>IF(D$2=0,"",IFERROR(TRIM(INDEX('Pegar docentes'!$A$1:$BZ$1001,355,D$2)&amp;""),""))</f>
        <v/>
      </c>
      <c r="E356">
        <f>IF(E$2=0,"",IFERROR(TRIM(INDEX('Pegar docentes'!$A$1:$BZ$1001,355,E$2)&amp;""),""))</f>
        <v/>
      </c>
      <c r="F356">
        <f>IF(F$2=0,"",IFERROR(TRIM(INDEX('Pegar docentes'!$A$1:$BZ$1001,355,F$2)&amp;""),""))</f>
        <v/>
      </c>
      <c r="G356">
        <f>IF(G$2=0,"",IFERROR(TRIM(INDEX('Pegar docentes'!$A$1:$BZ$1001,355,G$2)&amp;""),""))</f>
        <v/>
      </c>
      <c r="H356">
        <f>IF(H$2=0,"",IFERROR(TRIM(INDEX('Pegar docentes'!$A$1:$BZ$1001,355,H$2)&amp;""),""))</f>
        <v/>
      </c>
      <c r="I356">
        <f>IF(I$2=0,"",IFERROR(TRIM(INDEX('Pegar docentes'!$A$1:$BZ$1001,355,I$2)&amp;""),""))</f>
        <v/>
      </c>
      <c r="J356">
        <f>IF(J$2=0,"",IFERROR(TRIM(INDEX('Pegar docentes'!$A$1:$BZ$1001,355,J$2)&amp;""),""))</f>
        <v/>
      </c>
      <c r="K356">
        <f>IF(K$2=0,"",IFERROR(TRIM(INDEX('Pegar docentes'!$A$1:$BZ$1001,355,K$2)&amp;""),""))</f>
        <v/>
      </c>
      <c r="L356">
        <f>IF(L$2=0,"",IFERROR(TRIM(INDEX('Pegar docentes'!$A$1:$BZ$1001,355,L$2)&amp;""),""))</f>
        <v/>
      </c>
      <c r="M356">
        <f>IF(M$2=0,"",IFERROR(TRIM(INDEX('Pegar docentes'!$A$1:$BZ$1001,355,M$2)&amp;""),""))</f>
        <v/>
      </c>
      <c r="N356">
        <f>IF(N$2=0,"",IFERROR(TRIM(INDEX('Pegar docentes'!$A$1:$BZ$1001,355,N$2)&amp;""),""))</f>
        <v/>
      </c>
      <c r="O356">
        <f>IF(O$2=0,"",IFERROR(TRIM(INDEX('Pegar docentes'!$A$1:$BZ$1001,355,O$2)&amp;""),""))</f>
        <v/>
      </c>
      <c r="P356">
        <f>IF(P$2=0,"",IFERROR(TRIM(INDEX('Pegar docentes'!$A$1:$BZ$1001,355,P$2)&amp;""),""))</f>
        <v/>
      </c>
      <c r="Q356" s="25">
        <f>IF(OR(D356&lt;&gt;"",H356&lt;&gt;""),1,"")</f>
        <v/>
      </c>
      <c r="R356" s="25">
        <f>IF(Q356=1,IF(ISNUMBER(FIND("#"&amp;MID(D356,1,1)&amp;"#","#0#1#2#3#4#5#6#7#8#9#")),IF(ISNUMBER(FIND("#"&amp;MID(D356,2,1)&amp;"#","#0#1#2#3#4#5#6#7#8#9#")),IF(AND(VALUE(LEFT(D356,2))&gt;=1,VALUE(LEFT(D356,2))&lt;=5),VALUE(LEFT(D356,2)),""),IF(AND(VALUE(LEFT(D356,1))&gt;=1,VALUE(LEFT(D356,1))&lt;=5),VALUE(LEFT(D356,1)),"")),""),"")</f>
        <v/>
      </c>
      <c r="S356" s="25">
        <f>IF(AND(Q356=1,E356&lt;&gt;""),SUBSTITUTE(SUBSTITUTE(SUBSTITUTE(SUBSTITUTE(SUBSTITUTE(SUBSTITUTE(SUBSTITUTE(SUBSTITUTE(SUBSTITUTE(SUBSTITUTE(SUBSTITUTE(SUBSTITUTE(LOWER(TRIM(E356)),"á","a"),"é","e"),"í","i"),"ó","o"),"ú","u"),"ü","u"),"ñ","n"),"à","a"),"è","e"),"ì","i"),"ò","o"),"ù","u"),"")</f>
        <v/>
      </c>
      <c r="T356" s="25">
        <f>IF(AND(Q356=1,G356&lt;&gt;""),SUBSTITUTE(SUBSTITUTE(SUBSTITUTE(SUBSTITUTE(SUBSTITUTE(SUBSTITUTE(SUBSTITUTE(SUBSTITUTE(SUBSTITUTE(SUBSTITUTE(SUBSTITUTE(SUBSTITUTE(LOWER(TRIM(G356)),"á","a"),"é","e"),"í","i"),"ó","o"),"ú","u"),"ü","u"),"ñ","n"),"à","a"),"è","e"),"ì","i"),"ò","o"),"ù","u"),"")</f>
        <v/>
      </c>
      <c r="U356" s="25">
        <f>IF(AND(Q356=1,H356&lt;&gt;""),SUBSTITUTE(SUBSTITUTE(SUBSTITUTE(SUBSTITUTE(SUBSTITUTE(SUBSTITUTE(SUBSTITUTE(SUBSTITUTE(SUBSTITUTE(SUBSTITUTE(SUBSTITUTE(SUBSTITUTE(LOWER(TRIM(H356)),"á","a"),"é","e"),"í","i"),"ó","o"),"ú","u"),"ü","u"),"ñ","n"),"à","a"),"è","e"),"ì","i"),"ò","o"),"ù","u"),"")</f>
        <v/>
      </c>
      <c r="V356" s="25">
        <f>IF(AND(Q356=1,L356&lt;&gt;""),SUBSTITUTE(SUBSTITUTE(SUBSTITUTE(SUBSTITUTE(SUBSTITUTE(SUBSTITUTE(SUBSTITUTE(SUBSTITUTE(SUBSTITUTE(SUBSTITUTE(SUBSTITUTE(SUBSTITUTE(LOWER(TRIM(L356)),"á","a"),"é","e"),"í","i"),"ó","o"),"ú","u"),"ü","u"),"ñ","n"),"à","a"),"è","e"),"ì","i"),"ò","o"),"ù","u"),"")</f>
        <v/>
      </c>
      <c r="W356" s="25">
        <f>IF(AND(Q356=1,I356&lt;&gt;""),SUBSTITUTE(SUBSTITUTE(SUBSTITUTE(SUBSTITUTE(SUBSTITUTE(SUBSTITUTE(SUBSTITUTE(SUBSTITUTE(SUBSTITUTE(SUBSTITUTE(SUBSTITUTE(SUBSTITUTE(LOWER(TRIM(I356)),"á","a"),"é","e"),"í","i"),"ó","o"),"ú","u"),"ü","u"),"ñ","n"),"à","a"),"è","e"),"ì","i"),"ò","o"),"ù","u"),"")</f>
        <v/>
      </c>
      <c r="X356" s="25">
        <f>IF(U356="","",IF(OR(U356="si, en la proxima tarea",U356="si, con cambios"),1,0))</f>
        <v/>
      </c>
      <c r="Y356" s="25">
        <f>IF(AND(Q356=1,A356&lt;&gt;""),IF(IFERROR(COUNTIFS(A$3:A356,"="&amp;SUBSTITUTE(SUBSTITUTE(SUBSTITUTE(A356,"~","~~"),"*","~*"),"?","~?"),Q$3:Q356,1),0)=1,MAX(Y$2:Y355)+1,""),"")</f>
        <v/>
      </c>
      <c r="Z356" s="25">
        <f>IF(Y356="","",COUNTIFS($A$3:$A$1002,"="&amp;SUBSTITUTE(SUBSTITUTE(SUBSTITUTE(A356,"~","~~"),"*","~*"),"?","~?"),$Q$3:$Q$1002,1)*10000-Y356)</f>
        <v/>
      </c>
    </row>
    <row r="357">
      <c r="A357">
        <f>IF(A$2=0,"",IFERROR(TRIM(INDEX('Pegar docentes'!$A$1:$BZ$1001,356,A$2)&amp;""),""))</f>
        <v/>
      </c>
      <c r="B357">
        <f>IF(B$2=0,"",IFERROR(TRIM(INDEX('Pegar docentes'!$A$1:$BZ$1001,356,B$2)&amp;""),""))</f>
        <v/>
      </c>
      <c r="C357">
        <f>IF(C$2=0,"",IFERROR(TRIM(INDEX('Pegar docentes'!$A$1:$BZ$1001,356,C$2)&amp;""),""))</f>
        <v/>
      </c>
      <c r="D357">
        <f>IF(D$2=0,"",IFERROR(TRIM(INDEX('Pegar docentes'!$A$1:$BZ$1001,356,D$2)&amp;""),""))</f>
        <v/>
      </c>
      <c r="E357">
        <f>IF(E$2=0,"",IFERROR(TRIM(INDEX('Pegar docentes'!$A$1:$BZ$1001,356,E$2)&amp;""),""))</f>
        <v/>
      </c>
      <c r="F357">
        <f>IF(F$2=0,"",IFERROR(TRIM(INDEX('Pegar docentes'!$A$1:$BZ$1001,356,F$2)&amp;""),""))</f>
        <v/>
      </c>
      <c r="G357">
        <f>IF(G$2=0,"",IFERROR(TRIM(INDEX('Pegar docentes'!$A$1:$BZ$1001,356,G$2)&amp;""),""))</f>
        <v/>
      </c>
      <c r="H357">
        <f>IF(H$2=0,"",IFERROR(TRIM(INDEX('Pegar docentes'!$A$1:$BZ$1001,356,H$2)&amp;""),""))</f>
        <v/>
      </c>
      <c r="I357">
        <f>IF(I$2=0,"",IFERROR(TRIM(INDEX('Pegar docentes'!$A$1:$BZ$1001,356,I$2)&amp;""),""))</f>
        <v/>
      </c>
      <c r="J357">
        <f>IF(J$2=0,"",IFERROR(TRIM(INDEX('Pegar docentes'!$A$1:$BZ$1001,356,J$2)&amp;""),""))</f>
        <v/>
      </c>
      <c r="K357">
        <f>IF(K$2=0,"",IFERROR(TRIM(INDEX('Pegar docentes'!$A$1:$BZ$1001,356,K$2)&amp;""),""))</f>
        <v/>
      </c>
      <c r="L357">
        <f>IF(L$2=0,"",IFERROR(TRIM(INDEX('Pegar docentes'!$A$1:$BZ$1001,356,L$2)&amp;""),""))</f>
        <v/>
      </c>
      <c r="M357">
        <f>IF(M$2=0,"",IFERROR(TRIM(INDEX('Pegar docentes'!$A$1:$BZ$1001,356,M$2)&amp;""),""))</f>
        <v/>
      </c>
      <c r="N357">
        <f>IF(N$2=0,"",IFERROR(TRIM(INDEX('Pegar docentes'!$A$1:$BZ$1001,356,N$2)&amp;""),""))</f>
        <v/>
      </c>
      <c r="O357">
        <f>IF(O$2=0,"",IFERROR(TRIM(INDEX('Pegar docentes'!$A$1:$BZ$1001,356,O$2)&amp;""),""))</f>
        <v/>
      </c>
      <c r="P357">
        <f>IF(P$2=0,"",IFERROR(TRIM(INDEX('Pegar docentes'!$A$1:$BZ$1001,356,P$2)&amp;""),""))</f>
        <v/>
      </c>
      <c r="Q357" s="25">
        <f>IF(OR(D357&lt;&gt;"",H357&lt;&gt;""),1,"")</f>
        <v/>
      </c>
      <c r="R357" s="25">
        <f>IF(Q357=1,IF(ISNUMBER(FIND("#"&amp;MID(D357,1,1)&amp;"#","#0#1#2#3#4#5#6#7#8#9#")),IF(ISNUMBER(FIND("#"&amp;MID(D357,2,1)&amp;"#","#0#1#2#3#4#5#6#7#8#9#")),IF(AND(VALUE(LEFT(D357,2))&gt;=1,VALUE(LEFT(D357,2))&lt;=5),VALUE(LEFT(D357,2)),""),IF(AND(VALUE(LEFT(D357,1))&gt;=1,VALUE(LEFT(D357,1))&lt;=5),VALUE(LEFT(D357,1)),"")),""),"")</f>
        <v/>
      </c>
      <c r="S357" s="25">
        <f>IF(AND(Q357=1,E357&lt;&gt;""),SUBSTITUTE(SUBSTITUTE(SUBSTITUTE(SUBSTITUTE(SUBSTITUTE(SUBSTITUTE(SUBSTITUTE(SUBSTITUTE(SUBSTITUTE(SUBSTITUTE(SUBSTITUTE(SUBSTITUTE(LOWER(TRIM(E357)),"á","a"),"é","e"),"í","i"),"ó","o"),"ú","u"),"ü","u"),"ñ","n"),"à","a"),"è","e"),"ì","i"),"ò","o"),"ù","u"),"")</f>
        <v/>
      </c>
      <c r="T357" s="25">
        <f>IF(AND(Q357=1,G357&lt;&gt;""),SUBSTITUTE(SUBSTITUTE(SUBSTITUTE(SUBSTITUTE(SUBSTITUTE(SUBSTITUTE(SUBSTITUTE(SUBSTITUTE(SUBSTITUTE(SUBSTITUTE(SUBSTITUTE(SUBSTITUTE(LOWER(TRIM(G357)),"á","a"),"é","e"),"í","i"),"ó","o"),"ú","u"),"ü","u"),"ñ","n"),"à","a"),"è","e"),"ì","i"),"ò","o"),"ù","u"),"")</f>
        <v/>
      </c>
      <c r="U357" s="25">
        <f>IF(AND(Q357=1,H357&lt;&gt;""),SUBSTITUTE(SUBSTITUTE(SUBSTITUTE(SUBSTITUTE(SUBSTITUTE(SUBSTITUTE(SUBSTITUTE(SUBSTITUTE(SUBSTITUTE(SUBSTITUTE(SUBSTITUTE(SUBSTITUTE(LOWER(TRIM(H357)),"á","a"),"é","e"),"í","i"),"ó","o"),"ú","u"),"ü","u"),"ñ","n"),"à","a"),"è","e"),"ì","i"),"ò","o"),"ù","u"),"")</f>
        <v/>
      </c>
      <c r="V357" s="25">
        <f>IF(AND(Q357=1,L357&lt;&gt;""),SUBSTITUTE(SUBSTITUTE(SUBSTITUTE(SUBSTITUTE(SUBSTITUTE(SUBSTITUTE(SUBSTITUTE(SUBSTITUTE(SUBSTITUTE(SUBSTITUTE(SUBSTITUTE(SUBSTITUTE(LOWER(TRIM(L357)),"á","a"),"é","e"),"í","i"),"ó","o"),"ú","u"),"ü","u"),"ñ","n"),"à","a"),"è","e"),"ì","i"),"ò","o"),"ù","u"),"")</f>
        <v/>
      </c>
      <c r="W357" s="25">
        <f>IF(AND(Q357=1,I357&lt;&gt;""),SUBSTITUTE(SUBSTITUTE(SUBSTITUTE(SUBSTITUTE(SUBSTITUTE(SUBSTITUTE(SUBSTITUTE(SUBSTITUTE(SUBSTITUTE(SUBSTITUTE(SUBSTITUTE(SUBSTITUTE(LOWER(TRIM(I357)),"á","a"),"é","e"),"í","i"),"ó","o"),"ú","u"),"ü","u"),"ñ","n"),"à","a"),"è","e"),"ì","i"),"ò","o"),"ù","u"),"")</f>
        <v/>
      </c>
      <c r="X357" s="25">
        <f>IF(U357="","",IF(OR(U357="si, en la proxima tarea",U357="si, con cambios"),1,0))</f>
        <v/>
      </c>
      <c r="Y357" s="25">
        <f>IF(AND(Q357=1,A357&lt;&gt;""),IF(IFERROR(COUNTIFS(A$3:A357,"="&amp;SUBSTITUTE(SUBSTITUTE(SUBSTITUTE(A357,"~","~~"),"*","~*"),"?","~?"),Q$3:Q357,1),0)=1,MAX(Y$2:Y356)+1,""),"")</f>
        <v/>
      </c>
      <c r="Z357" s="25">
        <f>IF(Y357="","",COUNTIFS($A$3:$A$1002,"="&amp;SUBSTITUTE(SUBSTITUTE(SUBSTITUTE(A357,"~","~~"),"*","~*"),"?","~?"),$Q$3:$Q$1002,1)*10000-Y357)</f>
        <v/>
      </c>
    </row>
    <row r="358">
      <c r="A358">
        <f>IF(A$2=0,"",IFERROR(TRIM(INDEX('Pegar docentes'!$A$1:$BZ$1001,357,A$2)&amp;""),""))</f>
        <v/>
      </c>
      <c r="B358">
        <f>IF(B$2=0,"",IFERROR(TRIM(INDEX('Pegar docentes'!$A$1:$BZ$1001,357,B$2)&amp;""),""))</f>
        <v/>
      </c>
      <c r="C358">
        <f>IF(C$2=0,"",IFERROR(TRIM(INDEX('Pegar docentes'!$A$1:$BZ$1001,357,C$2)&amp;""),""))</f>
        <v/>
      </c>
      <c r="D358">
        <f>IF(D$2=0,"",IFERROR(TRIM(INDEX('Pegar docentes'!$A$1:$BZ$1001,357,D$2)&amp;""),""))</f>
        <v/>
      </c>
      <c r="E358">
        <f>IF(E$2=0,"",IFERROR(TRIM(INDEX('Pegar docentes'!$A$1:$BZ$1001,357,E$2)&amp;""),""))</f>
        <v/>
      </c>
      <c r="F358">
        <f>IF(F$2=0,"",IFERROR(TRIM(INDEX('Pegar docentes'!$A$1:$BZ$1001,357,F$2)&amp;""),""))</f>
        <v/>
      </c>
      <c r="G358">
        <f>IF(G$2=0,"",IFERROR(TRIM(INDEX('Pegar docentes'!$A$1:$BZ$1001,357,G$2)&amp;""),""))</f>
        <v/>
      </c>
      <c r="H358">
        <f>IF(H$2=0,"",IFERROR(TRIM(INDEX('Pegar docentes'!$A$1:$BZ$1001,357,H$2)&amp;""),""))</f>
        <v/>
      </c>
      <c r="I358">
        <f>IF(I$2=0,"",IFERROR(TRIM(INDEX('Pegar docentes'!$A$1:$BZ$1001,357,I$2)&amp;""),""))</f>
        <v/>
      </c>
      <c r="J358">
        <f>IF(J$2=0,"",IFERROR(TRIM(INDEX('Pegar docentes'!$A$1:$BZ$1001,357,J$2)&amp;""),""))</f>
        <v/>
      </c>
      <c r="K358">
        <f>IF(K$2=0,"",IFERROR(TRIM(INDEX('Pegar docentes'!$A$1:$BZ$1001,357,K$2)&amp;""),""))</f>
        <v/>
      </c>
      <c r="L358">
        <f>IF(L$2=0,"",IFERROR(TRIM(INDEX('Pegar docentes'!$A$1:$BZ$1001,357,L$2)&amp;""),""))</f>
        <v/>
      </c>
      <c r="M358">
        <f>IF(M$2=0,"",IFERROR(TRIM(INDEX('Pegar docentes'!$A$1:$BZ$1001,357,M$2)&amp;""),""))</f>
        <v/>
      </c>
      <c r="N358">
        <f>IF(N$2=0,"",IFERROR(TRIM(INDEX('Pegar docentes'!$A$1:$BZ$1001,357,N$2)&amp;""),""))</f>
        <v/>
      </c>
      <c r="O358">
        <f>IF(O$2=0,"",IFERROR(TRIM(INDEX('Pegar docentes'!$A$1:$BZ$1001,357,O$2)&amp;""),""))</f>
        <v/>
      </c>
      <c r="P358">
        <f>IF(P$2=0,"",IFERROR(TRIM(INDEX('Pegar docentes'!$A$1:$BZ$1001,357,P$2)&amp;""),""))</f>
        <v/>
      </c>
      <c r="Q358" s="25">
        <f>IF(OR(D358&lt;&gt;"",H358&lt;&gt;""),1,"")</f>
        <v/>
      </c>
      <c r="R358" s="25">
        <f>IF(Q358=1,IF(ISNUMBER(FIND("#"&amp;MID(D358,1,1)&amp;"#","#0#1#2#3#4#5#6#7#8#9#")),IF(ISNUMBER(FIND("#"&amp;MID(D358,2,1)&amp;"#","#0#1#2#3#4#5#6#7#8#9#")),IF(AND(VALUE(LEFT(D358,2))&gt;=1,VALUE(LEFT(D358,2))&lt;=5),VALUE(LEFT(D358,2)),""),IF(AND(VALUE(LEFT(D358,1))&gt;=1,VALUE(LEFT(D358,1))&lt;=5),VALUE(LEFT(D358,1)),"")),""),"")</f>
        <v/>
      </c>
      <c r="S358" s="25">
        <f>IF(AND(Q358=1,E358&lt;&gt;""),SUBSTITUTE(SUBSTITUTE(SUBSTITUTE(SUBSTITUTE(SUBSTITUTE(SUBSTITUTE(SUBSTITUTE(SUBSTITUTE(SUBSTITUTE(SUBSTITUTE(SUBSTITUTE(SUBSTITUTE(LOWER(TRIM(E358)),"á","a"),"é","e"),"í","i"),"ó","o"),"ú","u"),"ü","u"),"ñ","n"),"à","a"),"è","e"),"ì","i"),"ò","o"),"ù","u"),"")</f>
        <v/>
      </c>
      <c r="T358" s="25">
        <f>IF(AND(Q358=1,G358&lt;&gt;""),SUBSTITUTE(SUBSTITUTE(SUBSTITUTE(SUBSTITUTE(SUBSTITUTE(SUBSTITUTE(SUBSTITUTE(SUBSTITUTE(SUBSTITUTE(SUBSTITUTE(SUBSTITUTE(SUBSTITUTE(LOWER(TRIM(G358)),"á","a"),"é","e"),"í","i"),"ó","o"),"ú","u"),"ü","u"),"ñ","n"),"à","a"),"è","e"),"ì","i"),"ò","o"),"ù","u"),"")</f>
        <v/>
      </c>
      <c r="U358" s="25">
        <f>IF(AND(Q358=1,H358&lt;&gt;""),SUBSTITUTE(SUBSTITUTE(SUBSTITUTE(SUBSTITUTE(SUBSTITUTE(SUBSTITUTE(SUBSTITUTE(SUBSTITUTE(SUBSTITUTE(SUBSTITUTE(SUBSTITUTE(SUBSTITUTE(LOWER(TRIM(H358)),"á","a"),"é","e"),"í","i"),"ó","o"),"ú","u"),"ü","u"),"ñ","n"),"à","a"),"è","e"),"ì","i"),"ò","o"),"ù","u"),"")</f>
        <v/>
      </c>
      <c r="V358" s="25">
        <f>IF(AND(Q358=1,L358&lt;&gt;""),SUBSTITUTE(SUBSTITUTE(SUBSTITUTE(SUBSTITUTE(SUBSTITUTE(SUBSTITUTE(SUBSTITUTE(SUBSTITUTE(SUBSTITUTE(SUBSTITUTE(SUBSTITUTE(SUBSTITUTE(LOWER(TRIM(L358)),"á","a"),"é","e"),"í","i"),"ó","o"),"ú","u"),"ü","u"),"ñ","n"),"à","a"),"è","e"),"ì","i"),"ò","o"),"ù","u"),"")</f>
        <v/>
      </c>
      <c r="W358" s="25">
        <f>IF(AND(Q358=1,I358&lt;&gt;""),SUBSTITUTE(SUBSTITUTE(SUBSTITUTE(SUBSTITUTE(SUBSTITUTE(SUBSTITUTE(SUBSTITUTE(SUBSTITUTE(SUBSTITUTE(SUBSTITUTE(SUBSTITUTE(SUBSTITUTE(LOWER(TRIM(I358)),"á","a"),"é","e"),"í","i"),"ó","o"),"ú","u"),"ü","u"),"ñ","n"),"à","a"),"è","e"),"ì","i"),"ò","o"),"ù","u"),"")</f>
        <v/>
      </c>
      <c r="X358" s="25">
        <f>IF(U358="","",IF(OR(U358="si, en la proxima tarea",U358="si, con cambios"),1,0))</f>
        <v/>
      </c>
      <c r="Y358" s="25">
        <f>IF(AND(Q358=1,A358&lt;&gt;""),IF(IFERROR(COUNTIFS(A$3:A358,"="&amp;SUBSTITUTE(SUBSTITUTE(SUBSTITUTE(A358,"~","~~"),"*","~*"),"?","~?"),Q$3:Q358,1),0)=1,MAX(Y$2:Y357)+1,""),"")</f>
        <v/>
      </c>
      <c r="Z358" s="25">
        <f>IF(Y358="","",COUNTIFS($A$3:$A$1002,"="&amp;SUBSTITUTE(SUBSTITUTE(SUBSTITUTE(A358,"~","~~"),"*","~*"),"?","~?"),$Q$3:$Q$1002,1)*10000-Y358)</f>
        <v/>
      </c>
    </row>
    <row r="359">
      <c r="A359">
        <f>IF(A$2=0,"",IFERROR(TRIM(INDEX('Pegar docentes'!$A$1:$BZ$1001,358,A$2)&amp;""),""))</f>
        <v/>
      </c>
      <c r="B359">
        <f>IF(B$2=0,"",IFERROR(TRIM(INDEX('Pegar docentes'!$A$1:$BZ$1001,358,B$2)&amp;""),""))</f>
        <v/>
      </c>
      <c r="C359">
        <f>IF(C$2=0,"",IFERROR(TRIM(INDEX('Pegar docentes'!$A$1:$BZ$1001,358,C$2)&amp;""),""))</f>
        <v/>
      </c>
      <c r="D359">
        <f>IF(D$2=0,"",IFERROR(TRIM(INDEX('Pegar docentes'!$A$1:$BZ$1001,358,D$2)&amp;""),""))</f>
        <v/>
      </c>
      <c r="E359">
        <f>IF(E$2=0,"",IFERROR(TRIM(INDEX('Pegar docentes'!$A$1:$BZ$1001,358,E$2)&amp;""),""))</f>
        <v/>
      </c>
      <c r="F359">
        <f>IF(F$2=0,"",IFERROR(TRIM(INDEX('Pegar docentes'!$A$1:$BZ$1001,358,F$2)&amp;""),""))</f>
        <v/>
      </c>
      <c r="G359">
        <f>IF(G$2=0,"",IFERROR(TRIM(INDEX('Pegar docentes'!$A$1:$BZ$1001,358,G$2)&amp;""),""))</f>
        <v/>
      </c>
      <c r="H359">
        <f>IF(H$2=0,"",IFERROR(TRIM(INDEX('Pegar docentes'!$A$1:$BZ$1001,358,H$2)&amp;""),""))</f>
        <v/>
      </c>
      <c r="I359">
        <f>IF(I$2=0,"",IFERROR(TRIM(INDEX('Pegar docentes'!$A$1:$BZ$1001,358,I$2)&amp;""),""))</f>
        <v/>
      </c>
      <c r="J359">
        <f>IF(J$2=0,"",IFERROR(TRIM(INDEX('Pegar docentes'!$A$1:$BZ$1001,358,J$2)&amp;""),""))</f>
        <v/>
      </c>
      <c r="K359">
        <f>IF(K$2=0,"",IFERROR(TRIM(INDEX('Pegar docentes'!$A$1:$BZ$1001,358,K$2)&amp;""),""))</f>
        <v/>
      </c>
      <c r="L359">
        <f>IF(L$2=0,"",IFERROR(TRIM(INDEX('Pegar docentes'!$A$1:$BZ$1001,358,L$2)&amp;""),""))</f>
        <v/>
      </c>
      <c r="M359">
        <f>IF(M$2=0,"",IFERROR(TRIM(INDEX('Pegar docentes'!$A$1:$BZ$1001,358,M$2)&amp;""),""))</f>
        <v/>
      </c>
      <c r="N359">
        <f>IF(N$2=0,"",IFERROR(TRIM(INDEX('Pegar docentes'!$A$1:$BZ$1001,358,N$2)&amp;""),""))</f>
        <v/>
      </c>
      <c r="O359">
        <f>IF(O$2=0,"",IFERROR(TRIM(INDEX('Pegar docentes'!$A$1:$BZ$1001,358,O$2)&amp;""),""))</f>
        <v/>
      </c>
      <c r="P359">
        <f>IF(P$2=0,"",IFERROR(TRIM(INDEX('Pegar docentes'!$A$1:$BZ$1001,358,P$2)&amp;""),""))</f>
        <v/>
      </c>
      <c r="Q359" s="25">
        <f>IF(OR(D359&lt;&gt;"",H359&lt;&gt;""),1,"")</f>
        <v/>
      </c>
      <c r="R359" s="25">
        <f>IF(Q359=1,IF(ISNUMBER(FIND("#"&amp;MID(D359,1,1)&amp;"#","#0#1#2#3#4#5#6#7#8#9#")),IF(ISNUMBER(FIND("#"&amp;MID(D359,2,1)&amp;"#","#0#1#2#3#4#5#6#7#8#9#")),IF(AND(VALUE(LEFT(D359,2))&gt;=1,VALUE(LEFT(D359,2))&lt;=5),VALUE(LEFT(D359,2)),""),IF(AND(VALUE(LEFT(D359,1))&gt;=1,VALUE(LEFT(D359,1))&lt;=5),VALUE(LEFT(D359,1)),"")),""),"")</f>
        <v/>
      </c>
      <c r="S359" s="25">
        <f>IF(AND(Q359=1,E359&lt;&gt;""),SUBSTITUTE(SUBSTITUTE(SUBSTITUTE(SUBSTITUTE(SUBSTITUTE(SUBSTITUTE(SUBSTITUTE(SUBSTITUTE(SUBSTITUTE(SUBSTITUTE(SUBSTITUTE(SUBSTITUTE(LOWER(TRIM(E359)),"á","a"),"é","e"),"í","i"),"ó","o"),"ú","u"),"ü","u"),"ñ","n"),"à","a"),"è","e"),"ì","i"),"ò","o"),"ù","u"),"")</f>
        <v/>
      </c>
      <c r="T359" s="25">
        <f>IF(AND(Q359=1,G359&lt;&gt;""),SUBSTITUTE(SUBSTITUTE(SUBSTITUTE(SUBSTITUTE(SUBSTITUTE(SUBSTITUTE(SUBSTITUTE(SUBSTITUTE(SUBSTITUTE(SUBSTITUTE(SUBSTITUTE(SUBSTITUTE(LOWER(TRIM(G359)),"á","a"),"é","e"),"í","i"),"ó","o"),"ú","u"),"ü","u"),"ñ","n"),"à","a"),"è","e"),"ì","i"),"ò","o"),"ù","u"),"")</f>
        <v/>
      </c>
      <c r="U359" s="25">
        <f>IF(AND(Q359=1,H359&lt;&gt;""),SUBSTITUTE(SUBSTITUTE(SUBSTITUTE(SUBSTITUTE(SUBSTITUTE(SUBSTITUTE(SUBSTITUTE(SUBSTITUTE(SUBSTITUTE(SUBSTITUTE(SUBSTITUTE(SUBSTITUTE(LOWER(TRIM(H359)),"á","a"),"é","e"),"í","i"),"ó","o"),"ú","u"),"ü","u"),"ñ","n"),"à","a"),"è","e"),"ì","i"),"ò","o"),"ù","u"),"")</f>
        <v/>
      </c>
      <c r="V359" s="25">
        <f>IF(AND(Q359=1,L359&lt;&gt;""),SUBSTITUTE(SUBSTITUTE(SUBSTITUTE(SUBSTITUTE(SUBSTITUTE(SUBSTITUTE(SUBSTITUTE(SUBSTITUTE(SUBSTITUTE(SUBSTITUTE(SUBSTITUTE(SUBSTITUTE(LOWER(TRIM(L359)),"á","a"),"é","e"),"í","i"),"ó","o"),"ú","u"),"ü","u"),"ñ","n"),"à","a"),"è","e"),"ì","i"),"ò","o"),"ù","u"),"")</f>
        <v/>
      </c>
      <c r="W359" s="25">
        <f>IF(AND(Q359=1,I359&lt;&gt;""),SUBSTITUTE(SUBSTITUTE(SUBSTITUTE(SUBSTITUTE(SUBSTITUTE(SUBSTITUTE(SUBSTITUTE(SUBSTITUTE(SUBSTITUTE(SUBSTITUTE(SUBSTITUTE(SUBSTITUTE(LOWER(TRIM(I359)),"á","a"),"é","e"),"í","i"),"ó","o"),"ú","u"),"ü","u"),"ñ","n"),"à","a"),"è","e"),"ì","i"),"ò","o"),"ù","u"),"")</f>
        <v/>
      </c>
      <c r="X359" s="25">
        <f>IF(U359="","",IF(OR(U359="si, en la proxima tarea",U359="si, con cambios"),1,0))</f>
        <v/>
      </c>
      <c r="Y359" s="25">
        <f>IF(AND(Q359=1,A359&lt;&gt;""),IF(IFERROR(COUNTIFS(A$3:A359,"="&amp;SUBSTITUTE(SUBSTITUTE(SUBSTITUTE(A359,"~","~~"),"*","~*"),"?","~?"),Q$3:Q359,1),0)=1,MAX(Y$2:Y358)+1,""),"")</f>
        <v/>
      </c>
      <c r="Z359" s="25">
        <f>IF(Y359="","",COUNTIFS($A$3:$A$1002,"="&amp;SUBSTITUTE(SUBSTITUTE(SUBSTITUTE(A359,"~","~~"),"*","~*"),"?","~?"),$Q$3:$Q$1002,1)*10000-Y359)</f>
        <v/>
      </c>
    </row>
    <row r="360">
      <c r="A360">
        <f>IF(A$2=0,"",IFERROR(TRIM(INDEX('Pegar docentes'!$A$1:$BZ$1001,359,A$2)&amp;""),""))</f>
        <v/>
      </c>
      <c r="B360">
        <f>IF(B$2=0,"",IFERROR(TRIM(INDEX('Pegar docentes'!$A$1:$BZ$1001,359,B$2)&amp;""),""))</f>
        <v/>
      </c>
      <c r="C360">
        <f>IF(C$2=0,"",IFERROR(TRIM(INDEX('Pegar docentes'!$A$1:$BZ$1001,359,C$2)&amp;""),""))</f>
        <v/>
      </c>
      <c r="D360">
        <f>IF(D$2=0,"",IFERROR(TRIM(INDEX('Pegar docentes'!$A$1:$BZ$1001,359,D$2)&amp;""),""))</f>
        <v/>
      </c>
      <c r="E360">
        <f>IF(E$2=0,"",IFERROR(TRIM(INDEX('Pegar docentes'!$A$1:$BZ$1001,359,E$2)&amp;""),""))</f>
        <v/>
      </c>
      <c r="F360">
        <f>IF(F$2=0,"",IFERROR(TRIM(INDEX('Pegar docentes'!$A$1:$BZ$1001,359,F$2)&amp;""),""))</f>
        <v/>
      </c>
      <c r="G360">
        <f>IF(G$2=0,"",IFERROR(TRIM(INDEX('Pegar docentes'!$A$1:$BZ$1001,359,G$2)&amp;""),""))</f>
        <v/>
      </c>
      <c r="H360">
        <f>IF(H$2=0,"",IFERROR(TRIM(INDEX('Pegar docentes'!$A$1:$BZ$1001,359,H$2)&amp;""),""))</f>
        <v/>
      </c>
      <c r="I360">
        <f>IF(I$2=0,"",IFERROR(TRIM(INDEX('Pegar docentes'!$A$1:$BZ$1001,359,I$2)&amp;""),""))</f>
        <v/>
      </c>
      <c r="J360">
        <f>IF(J$2=0,"",IFERROR(TRIM(INDEX('Pegar docentes'!$A$1:$BZ$1001,359,J$2)&amp;""),""))</f>
        <v/>
      </c>
      <c r="K360">
        <f>IF(K$2=0,"",IFERROR(TRIM(INDEX('Pegar docentes'!$A$1:$BZ$1001,359,K$2)&amp;""),""))</f>
        <v/>
      </c>
      <c r="L360">
        <f>IF(L$2=0,"",IFERROR(TRIM(INDEX('Pegar docentes'!$A$1:$BZ$1001,359,L$2)&amp;""),""))</f>
        <v/>
      </c>
      <c r="M360">
        <f>IF(M$2=0,"",IFERROR(TRIM(INDEX('Pegar docentes'!$A$1:$BZ$1001,359,M$2)&amp;""),""))</f>
        <v/>
      </c>
      <c r="N360">
        <f>IF(N$2=0,"",IFERROR(TRIM(INDEX('Pegar docentes'!$A$1:$BZ$1001,359,N$2)&amp;""),""))</f>
        <v/>
      </c>
      <c r="O360">
        <f>IF(O$2=0,"",IFERROR(TRIM(INDEX('Pegar docentes'!$A$1:$BZ$1001,359,O$2)&amp;""),""))</f>
        <v/>
      </c>
      <c r="P360">
        <f>IF(P$2=0,"",IFERROR(TRIM(INDEX('Pegar docentes'!$A$1:$BZ$1001,359,P$2)&amp;""),""))</f>
        <v/>
      </c>
      <c r="Q360" s="25">
        <f>IF(OR(D360&lt;&gt;"",H360&lt;&gt;""),1,"")</f>
        <v/>
      </c>
      <c r="R360" s="25">
        <f>IF(Q360=1,IF(ISNUMBER(FIND("#"&amp;MID(D360,1,1)&amp;"#","#0#1#2#3#4#5#6#7#8#9#")),IF(ISNUMBER(FIND("#"&amp;MID(D360,2,1)&amp;"#","#0#1#2#3#4#5#6#7#8#9#")),IF(AND(VALUE(LEFT(D360,2))&gt;=1,VALUE(LEFT(D360,2))&lt;=5),VALUE(LEFT(D360,2)),""),IF(AND(VALUE(LEFT(D360,1))&gt;=1,VALUE(LEFT(D360,1))&lt;=5),VALUE(LEFT(D360,1)),"")),""),"")</f>
        <v/>
      </c>
      <c r="S360" s="25">
        <f>IF(AND(Q360=1,E360&lt;&gt;""),SUBSTITUTE(SUBSTITUTE(SUBSTITUTE(SUBSTITUTE(SUBSTITUTE(SUBSTITUTE(SUBSTITUTE(SUBSTITUTE(SUBSTITUTE(SUBSTITUTE(SUBSTITUTE(SUBSTITUTE(LOWER(TRIM(E360)),"á","a"),"é","e"),"í","i"),"ó","o"),"ú","u"),"ü","u"),"ñ","n"),"à","a"),"è","e"),"ì","i"),"ò","o"),"ù","u"),"")</f>
        <v/>
      </c>
      <c r="T360" s="25">
        <f>IF(AND(Q360=1,G360&lt;&gt;""),SUBSTITUTE(SUBSTITUTE(SUBSTITUTE(SUBSTITUTE(SUBSTITUTE(SUBSTITUTE(SUBSTITUTE(SUBSTITUTE(SUBSTITUTE(SUBSTITUTE(SUBSTITUTE(SUBSTITUTE(LOWER(TRIM(G360)),"á","a"),"é","e"),"í","i"),"ó","o"),"ú","u"),"ü","u"),"ñ","n"),"à","a"),"è","e"),"ì","i"),"ò","o"),"ù","u"),"")</f>
        <v/>
      </c>
      <c r="U360" s="25">
        <f>IF(AND(Q360=1,H360&lt;&gt;""),SUBSTITUTE(SUBSTITUTE(SUBSTITUTE(SUBSTITUTE(SUBSTITUTE(SUBSTITUTE(SUBSTITUTE(SUBSTITUTE(SUBSTITUTE(SUBSTITUTE(SUBSTITUTE(SUBSTITUTE(LOWER(TRIM(H360)),"á","a"),"é","e"),"í","i"),"ó","o"),"ú","u"),"ü","u"),"ñ","n"),"à","a"),"è","e"),"ì","i"),"ò","o"),"ù","u"),"")</f>
        <v/>
      </c>
      <c r="V360" s="25">
        <f>IF(AND(Q360=1,L360&lt;&gt;""),SUBSTITUTE(SUBSTITUTE(SUBSTITUTE(SUBSTITUTE(SUBSTITUTE(SUBSTITUTE(SUBSTITUTE(SUBSTITUTE(SUBSTITUTE(SUBSTITUTE(SUBSTITUTE(SUBSTITUTE(LOWER(TRIM(L360)),"á","a"),"é","e"),"í","i"),"ó","o"),"ú","u"),"ü","u"),"ñ","n"),"à","a"),"è","e"),"ì","i"),"ò","o"),"ù","u"),"")</f>
        <v/>
      </c>
      <c r="W360" s="25">
        <f>IF(AND(Q360=1,I360&lt;&gt;""),SUBSTITUTE(SUBSTITUTE(SUBSTITUTE(SUBSTITUTE(SUBSTITUTE(SUBSTITUTE(SUBSTITUTE(SUBSTITUTE(SUBSTITUTE(SUBSTITUTE(SUBSTITUTE(SUBSTITUTE(LOWER(TRIM(I360)),"á","a"),"é","e"),"í","i"),"ó","o"),"ú","u"),"ü","u"),"ñ","n"),"à","a"),"è","e"),"ì","i"),"ò","o"),"ù","u"),"")</f>
        <v/>
      </c>
      <c r="X360" s="25">
        <f>IF(U360="","",IF(OR(U360="si, en la proxima tarea",U360="si, con cambios"),1,0))</f>
        <v/>
      </c>
      <c r="Y360" s="25">
        <f>IF(AND(Q360=1,A360&lt;&gt;""),IF(IFERROR(COUNTIFS(A$3:A360,"="&amp;SUBSTITUTE(SUBSTITUTE(SUBSTITUTE(A360,"~","~~"),"*","~*"),"?","~?"),Q$3:Q360,1),0)=1,MAX(Y$2:Y359)+1,""),"")</f>
        <v/>
      </c>
      <c r="Z360" s="25">
        <f>IF(Y360="","",COUNTIFS($A$3:$A$1002,"="&amp;SUBSTITUTE(SUBSTITUTE(SUBSTITUTE(A360,"~","~~"),"*","~*"),"?","~?"),$Q$3:$Q$1002,1)*10000-Y360)</f>
        <v/>
      </c>
    </row>
    <row r="361">
      <c r="A361">
        <f>IF(A$2=0,"",IFERROR(TRIM(INDEX('Pegar docentes'!$A$1:$BZ$1001,360,A$2)&amp;""),""))</f>
        <v/>
      </c>
      <c r="B361">
        <f>IF(B$2=0,"",IFERROR(TRIM(INDEX('Pegar docentes'!$A$1:$BZ$1001,360,B$2)&amp;""),""))</f>
        <v/>
      </c>
      <c r="C361">
        <f>IF(C$2=0,"",IFERROR(TRIM(INDEX('Pegar docentes'!$A$1:$BZ$1001,360,C$2)&amp;""),""))</f>
        <v/>
      </c>
      <c r="D361">
        <f>IF(D$2=0,"",IFERROR(TRIM(INDEX('Pegar docentes'!$A$1:$BZ$1001,360,D$2)&amp;""),""))</f>
        <v/>
      </c>
      <c r="E361">
        <f>IF(E$2=0,"",IFERROR(TRIM(INDEX('Pegar docentes'!$A$1:$BZ$1001,360,E$2)&amp;""),""))</f>
        <v/>
      </c>
      <c r="F361">
        <f>IF(F$2=0,"",IFERROR(TRIM(INDEX('Pegar docentes'!$A$1:$BZ$1001,360,F$2)&amp;""),""))</f>
        <v/>
      </c>
      <c r="G361">
        <f>IF(G$2=0,"",IFERROR(TRIM(INDEX('Pegar docentes'!$A$1:$BZ$1001,360,G$2)&amp;""),""))</f>
        <v/>
      </c>
      <c r="H361">
        <f>IF(H$2=0,"",IFERROR(TRIM(INDEX('Pegar docentes'!$A$1:$BZ$1001,360,H$2)&amp;""),""))</f>
        <v/>
      </c>
      <c r="I361">
        <f>IF(I$2=0,"",IFERROR(TRIM(INDEX('Pegar docentes'!$A$1:$BZ$1001,360,I$2)&amp;""),""))</f>
        <v/>
      </c>
      <c r="J361">
        <f>IF(J$2=0,"",IFERROR(TRIM(INDEX('Pegar docentes'!$A$1:$BZ$1001,360,J$2)&amp;""),""))</f>
        <v/>
      </c>
      <c r="K361">
        <f>IF(K$2=0,"",IFERROR(TRIM(INDEX('Pegar docentes'!$A$1:$BZ$1001,360,K$2)&amp;""),""))</f>
        <v/>
      </c>
      <c r="L361">
        <f>IF(L$2=0,"",IFERROR(TRIM(INDEX('Pegar docentes'!$A$1:$BZ$1001,360,L$2)&amp;""),""))</f>
        <v/>
      </c>
      <c r="M361">
        <f>IF(M$2=0,"",IFERROR(TRIM(INDEX('Pegar docentes'!$A$1:$BZ$1001,360,M$2)&amp;""),""))</f>
        <v/>
      </c>
      <c r="N361">
        <f>IF(N$2=0,"",IFERROR(TRIM(INDEX('Pegar docentes'!$A$1:$BZ$1001,360,N$2)&amp;""),""))</f>
        <v/>
      </c>
      <c r="O361">
        <f>IF(O$2=0,"",IFERROR(TRIM(INDEX('Pegar docentes'!$A$1:$BZ$1001,360,O$2)&amp;""),""))</f>
        <v/>
      </c>
      <c r="P361">
        <f>IF(P$2=0,"",IFERROR(TRIM(INDEX('Pegar docentes'!$A$1:$BZ$1001,360,P$2)&amp;""),""))</f>
        <v/>
      </c>
      <c r="Q361" s="25">
        <f>IF(OR(D361&lt;&gt;"",H361&lt;&gt;""),1,"")</f>
        <v/>
      </c>
      <c r="R361" s="25">
        <f>IF(Q361=1,IF(ISNUMBER(FIND("#"&amp;MID(D361,1,1)&amp;"#","#0#1#2#3#4#5#6#7#8#9#")),IF(ISNUMBER(FIND("#"&amp;MID(D361,2,1)&amp;"#","#0#1#2#3#4#5#6#7#8#9#")),IF(AND(VALUE(LEFT(D361,2))&gt;=1,VALUE(LEFT(D361,2))&lt;=5),VALUE(LEFT(D361,2)),""),IF(AND(VALUE(LEFT(D361,1))&gt;=1,VALUE(LEFT(D361,1))&lt;=5),VALUE(LEFT(D361,1)),"")),""),"")</f>
        <v/>
      </c>
      <c r="S361" s="25">
        <f>IF(AND(Q361=1,E361&lt;&gt;""),SUBSTITUTE(SUBSTITUTE(SUBSTITUTE(SUBSTITUTE(SUBSTITUTE(SUBSTITUTE(SUBSTITUTE(SUBSTITUTE(SUBSTITUTE(SUBSTITUTE(SUBSTITUTE(SUBSTITUTE(LOWER(TRIM(E361)),"á","a"),"é","e"),"í","i"),"ó","o"),"ú","u"),"ü","u"),"ñ","n"),"à","a"),"è","e"),"ì","i"),"ò","o"),"ù","u"),"")</f>
        <v/>
      </c>
      <c r="T361" s="25">
        <f>IF(AND(Q361=1,G361&lt;&gt;""),SUBSTITUTE(SUBSTITUTE(SUBSTITUTE(SUBSTITUTE(SUBSTITUTE(SUBSTITUTE(SUBSTITUTE(SUBSTITUTE(SUBSTITUTE(SUBSTITUTE(SUBSTITUTE(SUBSTITUTE(LOWER(TRIM(G361)),"á","a"),"é","e"),"í","i"),"ó","o"),"ú","u"),"ü","u"),"ñ","n"),"à","a"),"è","e"),"ì","i"),"ò","o"),"ù","u"),"")</f>
        <v/>
      </c>
      <c r="U361" s="25">
        <f>IF(AND(Q361=1,H361&lt;&gt;""),SUBSTITUTE(SUBSTITUTE(SUBSTITUTE(SUBSTITUTE(SUBSTITUTE(SUBSTITUTE(SUBSTITUTE(SUBSTITUTE(SUBSTITUTE(SUBSTITUTE(SUBSTITUTE(SUBSTITUTE(LOWER(TRIM(H361)),"á","a"),"é","e"),"í","i"),"ó","o"),"ú","u"),"ü","u"),"ñ","n"),"à","a"),"è","e"),"ì","i"),"ò","o"),"ù","u"),"")</f>
        <v/>
      </c>
      <c r="V361" s="25">
        <f>IF(AND(Q361=1,L361&lt;&gt;""),SUBSTITUTE(SUBSTITUTE(SUBSTITUTE(SUBSTITUTE(SUBSTITUTE(SUBSTITUTE(SUBSTITUTE(SUBSTITUTE(SUBSTITUTE(SUBSTITUTE(SUBSTITUTE(SUBSTITUTE(LOWER(TRIM(L361)),"á","a"),"é","e"),"í","i"),"ó","o"),"ú","u"),"ü","u"),"ñ","n"),"à","a"),"è","e"),"ì","i"),"ò","o"),"ù","u"),"")</f>
        <v/>
      </c>
      <c r="W361" s="25">
        <f>IF(AND(Q361=1,I361&lt;&gt;""),SUBSTITUTE(SUBSTITUTE(SUBSTITUTE(SUBSTITUTE(SUBSTITUTE(SUBSTITUTE(SUBSTITUTE(SUBSTITUTE(SUBSTITUTE(SUBSTITUTE(SUBSTITUTE(SUBSTITUTE(LOWER(TRIM(I361)),"á","a"),"é","e"),"í","i"),"ó","o"),"ú","u"),"ü","u"),"ñ","n"),"à","a"),"è","e"),"ì","i"),"ò","o"),"ù","u"),"")</f>
        <v/>
      </c>
      <c r="X361" s="25">
        <f>IF(U361="","",IF(OR(U361="si, en la proxima tarea",U361="si, con cambios"),1,0))</f>
        <v/>
      </c>
      <c r="Y361" s="25">
        <f>IF(AND(Q361=1,A361&lt;&gt;""),IF(IFERROR(COUNTIFS(A$3:A361,"="&amp;SUBSTITUTE(SUBSTITUTE(SUBSTITUTE(A361,"~","~~"),"*","~*"),"?","~?"),Q$3:Q361,1),0)=1,MAX(Y$2:Y360)+1,""),"")</f>
        <v/>
      </c>
      <c r="Z361" s="25">
        <f>IF(Y361="","",COUNTIFS($A$3:$A$1002,"="&amp;SUBSTITUTE(SUBSTITUTE(SUBSTITUTE(A361,"~","~~"),"*","~*"),"?","~?"),$Q$3:$Q$1002,1)*10000-Y361)</f>
        <v/>
      </c>
    </row>
    <row r="362">
      <c r="A362">
        <f>IF(A$2=0,"",IFERROR(TRIM(INDEX('Pegar docentes'!$A$1:$BZ$1001,361,A$2)&amp;""),""))</f>
        <v/>
      </c>
      <c r="B362">
        <f>IF(B$2=0,"",IFERROR(TRIM(INDEX('Pegar docentes'!$A$1:$BZ$1001,361,B$2)&amp;""),""))</f>
        <v/>
      </c>
      <c r="C362">
        <f>IF(C$2=0,"",IFERROR(TRIM(INDEX('Pegar docentes'!$A$1:$BZ$1001,361,C$2)&amp;""),""))</f>
        <v/>
      </c>
      <c r="D362">
        <f>IF(D$2=0,"",IFERROR(TRIM(INDEX('Pegar docentes'!$A$1:$BZ$1001,361,D$2)&amp;""),""))</f>
        <v/>
      </c>
      <c r="E362">
        <f>IF(E$2=0,"",IFERROR(TRIM(INDEX('Pegar docentes'!$A$1:$BZ$1001,361,E$2)&amp;""),""))</f>
        <v/>
      </c>
      <c r="F362">
        <f>IF(F$2=0,"",IFERROR(TRIM(INDEX('Pegar docentes'!$A$1:$BZ$1001,361,F$2)&amp;""),""))</f>
        <v/>
      </c>
      <c r="G362">
        <f>IF(G$2=0,"",IFERROR(TRIM(INDEX('Pegar docentes'!$A$1:$BZ$1001,361,G$2)&amp;""),""))</f>
        <v/>
      </c>
      <c r="H362">
        <f>IF(H$2=0,"",IFERROR(TRIM(INDEX('Pegar docentes'!$A$1:$BZ$1001,361,H$2)&amp;""),""))</f>
        <v/>
      </c>
      <c r="I362">
        <f>IF(I$2=0,"",IFERROR(TRIM(INDEX('Pegar docentes'!$A$1:$BZ$1001,361,I$2)&amp;""),""))</f>
        <v/>
      </c>
      <c r="J362">
        <f>IF(J$2=0,"",IFERROR(TRIM(INDEX('Pegar docentes'!$A$1:$BZ$1001,361,J$2)&amp;""),""))</f>
        <v/>
      </c>
      <c r="K362">
        <f>IF(K$2=0,"",IFERROR(TRIM(INDEX('Pegar docentes'!$A$1:$BZ$1001,361,K$2)&amp;""),""))</f>
        <v/>
      </c>
      <c r="L362">
        <f>IF(L$2=0,"",IFERROR(TRIM(INDEX('Pegar docentes'!$A$1:$BZ$1001,361,L$2)&amp;""),""))</f>
        <v/>
      </c>
      <c r="M362">
        <f>IF(M$2=0,"",IFERROR(TRIM(INDEX('Pegar docentes'!$A$1:$BZ$1001,361,M$2)&amp;""),""))</f>
        <v/>
      </c>
      <c r="N362">
        <f>IF(N$2=0,"",IFERROR(TRIM(INDEX('Pegar docentes'!$A$1:$BZ$1001,361,N$2)&amp;""),""))</f>
        <v/>
      </c>
      <c r="O362">
        <f>IF(O$2=0,"",IFERROR(TRIM(INDEX('Pegar docentes'!$A$1:$BZ$1001,361,O$2)&amp;""),""))</f>
        <v/>
      </c>
      <c r="P362">
        <f>IF(P$2=0,"",IFERROR(TRIM(INDEX('Pegar docentes'!$A$1:$BZ$1001,361,P$2)&amp;""),""))</f>
        <v/>
      </c>
      <c r="Q362" s="25">
        <f>IF(OR(D362&lt;&gt;"",H362&lt;&gt;""),1,"")</f>
        <v/>
      </c>
      <c r="R362" s="25">
        <f>IF(Q362=1,IF(ISNUMBER(FIND("#"&amp;MID(D362,1,1)&amp;"#","#0#1#2#3#4#5#6#7#8#9#")),IF(ISNUMBER(FIND("#"&amp;MID(D362,2,1)&amp;"#","#0#1#2#3#4#5#6#7#8#9#")),IF(AND(VALUE(LEFT(D362,2))&gt;=1,VALUE(LEFT(D362,2))&lt;=5),VALUE(LEFT(D362,2)),""),IF(AND(VALUE(LEFT(D362,1))&gt;=1,VALUE(LEFT(D362,1))&lt;=5),VALUE(LEFT(D362,1)),"")),""),"")</f>
        <v/>
      </c>
      <c r="S362" s="25">
        <f>IF(AND(Q362=1,E362&lt;&gt;""),SUBSTITUTE(SUBSTITUTE(SUBSTITUTE(SUBSTITUTE(SUBSTITUTE(SUBSTITUTE(SUBSTITUTE(SUBSTITUTE(SUBSTITUTE(SUBSTITUTE(SUBSTITUTE(SUBSTITUTE(LOWER(TRIM(E362)),"á","a"),"é","e"),"í","i"),"ó","o"),"ú","u"),"ü","u"),"ñ","n"),"à","a"),"è","e"),"ì","i"),"ò","o"),"ù","u"),"")</f>
        <v/>
      </c>
      <c r="T362" s="25">
        <f>IF(AND(Q362=1,G362&lt;&gt;""),SUBSTITUTE(SUBSTITUTE(SUBSTITUTE(SUBSTITUTE(SUBSTITUTE(SUBSTITUTE(SUBSTITUTE(SUBSTITUTE(SUBSTITUTE(SUBSTITUTE(SUBSTITUTE(SUBSTITUTE(LOWER(TRIM(G362)),"á","a"),"é","e"),"í","i"),"ó","o"),"ú","u"),"ü","u"),"ñ","n"),"à","a"),"è","e"),"ì","i"),"ò","o"),"ù","u"),"")</f>
        <v/>
      </c>
      <c r="U362" s="25">
        <f>IF(AND(Q362=1,H362&lt;&gt;""),SUBSTITUTE(SUBSTITUTE(SUBSTITUTE(SUBSTITUTE(SUBSTITUTE(SUBSTITUTE(SUBSTITUTE(SUBSTITUTE(SUBSTITUTE(SUBSTITUTE(SUBSTITUTE(SUBSTITUTE(LOWER(TRIM(H362)),"á","a"),"é","e"),"í","i"),"ó","o"),"ú","u"),"ü","u"),"ñ","n"),"à","a"),"è","e"),"ì","i"),"ò","o"),"ù","u"),"")</f>
        <v/>
      </c>
      <c r="V362" s="25">
        <f>IF(AND(Q362=1,L362&lt;&gt;""),SUBSTITUTE(SUBSTITUTE(SUBSTITUTE(SUBSTITUTE(SUBSTITUTE(SUBSTITUTE(SUBSTITUTE(SUBSTITUTE(SUBSTITUTE(SUBSTITUTE(SUBSTITUTE(SUBSTITUTE(LOWER(TRIM(L362)),"á","a"),"é","e"),"í","i"),"ó","o"),"ú","u"),"ü","u"),"ñ","n"),"à","a"),"è","e"),"ì","i"),"ò","o"),"ù","u"),"")</f>
        <v/>
      </c>
      <c r="W362" s="25">
        <f>IF(AND(Q362=1,I362&lt;&gt;""),SUBSTITUTE(SUBSTITUTE(SUBSTITUTE(SUBSTITUTE(SUBSTITUTE(SUBSTITUTE(SUBSTITUTE(SUBSTITUTE(SUBSTITUTE(SUBSTITUTE(SUBSTITUTE(SUBSTITUTE(LOWER(TRIM(I362)),"á","a"),"é","e"),"í","i"),"ó","o"),"ú","u"),"ü","u"),"ñ","n"),"à","a"),"è","e"),"ì","i"),"ò","o"),"ù","u"),"")</f>
        <v/>
      </c>
      <c r="X362" s="25">
        <f>IF(U362="","",IF(OR(U362="si, en la proxima tarea",U362="si, con cambios"),1,0))</f>
        <v/>
      </c>
      <c r="Y362" s="25">
        <f>IF(AND(Q362=1,A362&lt;&gt;""),IF(IFERROR(COUNTIFS(A$3:A362,"="&amp;SUBSTITUTE(SUBSTITUTE(SUBSTITUTE(A362,"~","~~"),"*","~*"),"?","~?"),Q$3:Q362,1),0)=1,MAX(Y$2:Y361)+1,""),"")</f>
        <v/>
      </c>
      <c r="Z362" s="25">
        <f>IF(Y362="","",COUNTIFS($A$3:$A$1002,"="&amp;SUBSTITUTE(SUBSTITUTE(SUBSTITUTE(A362,"~","~~"),"*","~*"),"?","~?"),$Q$3:$Q$1002,1)*10000-Y362)</f>
        <v/>
      </c>
    </row>
    <row r="363">
      <c r="A363">
        <f>IF(A$2=0,"",IFERROR(TRIM(INDEX('Pegar docentes'!$A$1:$BZ$1001,362,A$2)&amp;""),""))</f>
        <v/>
      </c>
      <c r="B363">
        <f>IF(B$2=0,"",IFERROR(TRIM(INDEX('Pegar docentes'!$A$1:$BZ$1001,362,B$2)&amp;""),""))</f>
        <v/>
      </c>
      <c r="C363">
        <f>IF(C$2=0,"",IFERROR(TRIM(INDEX('Pegar docentes'!$A$1:$BZ$1001,362,C$2)&amp;""),""))</f>
        <v/>
      </c>
      <c r="D363">
        <f>IF(D$2=0,"",IFERROR(TRIM(INDEX('Pegar docentes'!$A$1:$BZ$1001,362,D$2)&amp;""),""))</f>
        <v/>
      </c>
      <c r="E363">
        <f>IF(E$2=0,"",IFERROR(TRIM(INDEX('Pegar docentes'!$A$1:$BZ$1001,362,E$2)&amp;""),""))</f>
        <v/>
      </c>
      <c r="F363">
        <f>IF(F$2=0,"",IFERROR(TRIM(INDEX('Pegar docentes'!$A$1:$BZ$1001,362,F$2)&amp;""),""))</f>
        <v/>
      </c>
      <c r="G363">
        <f>IF(G$2=0,"",IFERROR(TRIM(INDEX('Pegar docentes'!$A$1:$BZ$1001,362,G$2)&amp;""),""))</f>
        <v/>
      </c>
      <c r="H363">
        <f>IF(H$2=0,"",IFERROR(TRIM(INDEX('Pegar docentes'!$A$1:$BZ$1001,362,H$2)&amp;""),""))</f>
        <v/>
      </c>
      <c r="I363">
        <f>IF(I$2=0,"",IFERROR(TRIM(INDEX('Pegar docentes'!$A$1:$BZ$1001,362,I$2)&amp;""),""))</f>
        <v/>
      </c>
      <c r="J363">
        <f>IF(J$2=0,"",IFERROR(TRIM(INDEX('Pegar docentes'!$A$1:$BZ$1001,362,J$2)&amp;""),""))</f>
        <v/>
      </c>
      <c r="K363">
        <f>IF(K$2=0,"",IFERROR(TRIM(INDEX('Pegar docentes'!$A$1:$BZ$1001,362,K$2)&amp;""),""))</f>
        <v/>
      </c>
      <c r="L363">
        <f>IF(L$2=0,"",IFERROR(TRIM(INDEX('Pegar docentes'!$A$1:$BZ$1001,362,L$2)&amp;""),""))</f>
        <v/>
      </c>
      <c r="M363">
        <f>IF(M$2=0,"",IFERROR(TRIM(INDEX('Pegar docentes'!$A$1:$BZ$1001,362,M$2)&amp;""),""))</f>
        <v/>
      </c>
      <c r="N363">
        <f>IF(N$2=0,"",IFERROR(TRIM(INDEX('Pegar docentes'!$A$1:$BZ$1001,362,N$2)&amp;""),""))</f>
        <v/>
      </c>
      <c r="O363">
        <f>IF(O$2=0,"",IFERROR(TRIM(INDEX('Pegar docentes'!$A$1:$BZ$1001,362,O$2)&amp;""),""))</f>
        <v/>
      </c>
      <c r="P363">
        <f>IF(P$2=0,"",IFERROR(TRIM(INDEX('Pegar docentes'!$A$1:$BZ$1001,362,P$2)&amp;""),""))</f>
        <v/>
      </c>
      <c r="Q363" s="25">
        <f>IF(OR(D363&lt;&gt;"",H363&lt;&gt;""),1,"")</f>
        <v/>
      </c>
      <c r="R363" s="25">
        <f>IF(Q363=1,IF(ISNUMBER(FIND("#"&amp;MID(D363,1,1)&amp;"#","#0#1#2#3#4#5#6#7#8#9#")),IF(ISNUMBER(FIND("#"&amp;MID(D363,2,1)&amp;"#","#0#1#2#3#4#5#6#7#8#9#")),IF(AND(VALUE(LEFT(D363,2))&gt;=1,VALUE(LEFT(D363,2))&lt;=5),VALUE(LEFT(D363,2)),""),IF(AND(VALUE(LEFT(D363,1))&gt;=1,VALUE(LEFT(D363,1))&lt;=5),VALUE(LEFT(D363,1)),"")),""),"")</f>
        <v/>
      </c>
      <c r="S363" s="25">
        <f>IF(AND(Q363=1,E363&lt;&gt;""),SUBSTITUTE(SUBSTITUTE(SUBSTITUTE(SUBSTITUTE(SUBSTITUTE(SUBSTITUTE(SUBSTITUTE(SUBSTITUTE(SUBSTITUTE(SUBSTITUTE(SUBSTITUTE(SUBSTITUTE(LOWER(TRIM(E363)),"á","a"),"é","e"),"í","i"),"ó","o"),"ú","u"),"ü","u"),"ñ","n"),"à","a"),"è","e"),"ì","i"),"ò","o"),"ù","u"),"")</f>
        <v/>
      </c>
      <c r="T363" s="25">
        <f>IF(AND(Q363=1,G363&lt;&gt;""),SUBSTITUTE(SUBSTITUTE(SUBSTITUTE(SUBSTITUTE(SUBSTITUTE(SUBSTITUTE(SUBSTITUTE(SUBSTITUTE(SUBSTITUTE(SUBSTITUTE(SUBSTITUTE(SUBSTITUTE(LOWER(TRIM(G363)),"á","a"),"é","e"),"í","i"),"ó","o"),"ú","u"),"ü","u"),"ñ","n"),"à","a"),"è","e"),"ì","i"),"ò","o"),"ù","u"),"")</f>
        <v/>
      </c>
      <c r="U363" s="25">
        <f>IF(AND(Q363=1,H363&lt;&gt;""),SUBSTITUTE(SUBSTITUTE(SUBSTITUTE(SUBSTITUTE(SUBSTITUTE(SUBSTITUTE(SUBSTITUTE(SUBSTITUTE(SUBSTITUTE(SUBSTITUTE(SUBSTITUTE(SUBSTITUTE(LOWER(TRIM(H363)),"á","a"),"é","e"),"í","i"),"ó","o"),"ú","u"),"ü","u"),"ñ","n"),"à","a"),"è","e"),"ì","i"),"ò","o"),"ù","u"),"")</f>
        <v/>
      </c>
      <c r="V363" s="25">
        <f>IF(AND(Q363=1,L363&lt;&gt;""),SUBSTITUTE(SUBSTITUTE(SUBSTITUTE(SUBSTITUTE(SUBSTITUTE(SUBSTITUTE(SUBSTITUTE(SUBSTITUTE(SUBSTITUTE(SUBSTITUTE(SUBSTITUTE(SUBSTITUTE(LOWER(TRIM(L363)),"á","a"),"é","e"),"í","i"),"ó","o"),"ú","u"),"ü","u"),"ñ","n"),"à","a"),"è","e"),"ì","i"),"ò","o"),"ù","u"),"")</f>
        <v/>
      </c>
      <c r="W363" s="25">
        <f>IF(AND(Q363=1,I363&lt;&gt;""),SUBSTITUTE(SUBSTITUTE(SUBSTITUTE(SUBSTITUTE(SUBSTITUTE(SUBSTITUTE(SUBSTITUTE(SUBSTITUTE(SUBSTITUTE(SUBSTITUTE(SUBSTITUTE(SUBSTITUTE(LOWER(TRIM(I363)),"á","a"),"é","e"),"í","i"),"ó","o"),"ú","u"),"ü","u"),"ñ","n"),"à","a"),"è","e"),"ì","i"),"ò","o"),"ù","u"),"")</f>
        <v/>
      </c>
      <c r="X363" s="25">
        <f>IF(U363="","",IF(OR(U363="si, en la proxima tarea",U363="si, con cambios"),1,0))</f>
        <v/>
      </c>
      <c r="Y363" s="25">
        <f>IF(AND(Q363=1,A363&lt;&gt;""),IF(IFERROR(COUNTIFS(A$3:A363,"="&amp;SUBSTITUTE(SUBSTITUTE(SUBSTITUTE(A363,"~","~~"),"*","~*"),"?","~?"),Q$3:Q363,1),0)=1,MAX(Y$2:Y362)+1,""),"")</f>
        <v/>
      </c>
      <c r="Z363" s="25">
        <f>IF(Y363="","",COUNTIFS($A$3:$A$1002,"="&amp;SUBSTITUTE(SUBSTITUTE(SUBSTITUTE(A363,"~","~~"),"*","~*"),"?","~?"),$Q$3:$Q$1002,1)*10000-Y363)</f>
        <v/>
      </c>
    </row>
    <row r="364">
      <c r="A364">
        <f>IF(A$2=0,"",IFERROR(TRIM(INDEX('Pegar docentes'!$A$1:$BZ$1001,363,A$2)&amp;""),""))</f>
        <v/>
      </c>
      <c r="B364">
        <f>IF(B$2=0,"",IFERROR(TRIM(INDEX('Pegar docentes'!$A$1:$BZ$1001,363,B$2)&amp;""),""))</f>
        <v/>
      </c>
      <c r="C364">
        <f>IF(C$2=0,"",IFERROR(TRIM(INDEX('Pegar docentes'!$A$1:$BZ$1001,363,C$2)&amp;""),""))</f>
        <v/>
      </c>
      <c r="D364">
        <f>IF(D$2=0,"",IFERROR(TRIM(INDEX('Pegar docentes'!$A$1:$BZ$1001,363,D$2)&amp;""),""))</f>
        <v/>
      </c>
      <c r="E364">
        <f>IF(E$2=0,"",IFERROR(TRIM(INDEX('Pegar docentes'!$A$1:$BZ$1001,363,E$2)&amp;""),""))</f>
        <v/>
      </c>
      <c r="F364">
        <f>IF(F$2=0,"",IFERROR(TRIM(INDEX('Pegar docentes'!$A$1:$BZ$1001,363,F$2)&amp;""),""))</f>
        <v/>
      </c>
      <c r="G364">
        <f>IF(G$2=0,"",IFERROR(TRIM(INDEX('Pegar docentes'!$A$1:$BZ$1001,363,G$2)&amp;""),""))</f>
        <v/>
      </c>
      <c r="H364">
        <f>IF(H$2=0,"",IFERROR(TRIM(INDEX('Pegar docentes'!$A$1:$BZ$1001,363,H$2)&amp;""),""))</f>
        <v/>
      </c>
      <c r="I364">
        <f>IF(I$2=0,"",IFERROR(TRIM(INDEX('Pegar docentes'!$A$1:$BZ$1001,363,I$2)&amp;""),""))</f>
        <v/>
      </c>
      <c r="J364">
        <f>IF(J$2=0,"",IFERROR(TRIM(INDEX('Pegar docentes'!$A$1:$BZ$1001,363,J$2)&amp;""),""))</f>
        <v/>
      </c>
      <c r="K364">
        <f>IF(K$2=0,"",IFERROR(TRIM(INDEX('Pegar docentes'!$A$1:$BZ$1001,363,K$2)&amp;""),""))</f>
        <v/>
      </c>
      <c r="L364">
        <f>IF(L$2=0,"",IFERROR(TRIM(INDEX('Pegar docentes'!$A$1:$BZ$1001,363,L$2)&amp;""),""))</f>
        <v/>
      </c>
      <c r="M364">
        <f>IF(M$2=0,"",IFERROR(TRIM(INDEX('Pegar docentes'!$A$1:$BZ$1001,363,M$2)&amp;""),""))</f>
        <v/>
      </c>
      <c r="N364">
        <f>IF(N$2=0,"",IFERROR(TRIM(INDEX('Pegar docentes'!$A$1:$BZ$1001,363,N$2)&amp;""),""))</f>
        <v/>
      </c>
      <c r="O364">
        <f>IF(O$2=0,"",IFERROR(TRIM(INDEX('Pegar docentes'!$A$1:$BZ$1001,363,O$2)&amp;""),""))</f>
        <v/>
      </c>
      <c r="P364">
        <f>IF(P$2=0,"",IFERROR(TRIM(INDEX('Pegar docentes'!$A$1:$BZ$1001,363,P$2)&amp;""),""))</f>
        <v/>
      </c>
      <c r="Q364" s="25">
        <f>IF(OR(D364&lt;&gt;"",H364&lt;&gt;""),1,"")</f>
        <v/>
      </c>
      <c r="R364" s="25">
        <f>IF(Q364=1,IF(ISNUMBER(FIND("#"&amp;MID(D364,1,1)&amp;"#","#0#1#2#3#4#5#6#7#8#9#")),IF(ISNUMBER(FIND("#"&amp;MID(D364,2,1)&amp;"#","#0#1#2#3#4#5#6#7#8#9#")),IF(AND(VALUE(LEFT(D364,2))&gt;=1,VALUE(LEFT(D364,2))&lt;=5),VALUE(LEFT(D364,2)),""),IF(AND(VALUE(LEFT(D364,1))&gt;=1,VALUE(LEFT(D364,1))&lt;=5),VALUE(LEFT(D364,1)),"")),""),"")</f>
        <v/>
      </c>
      <c r="S364" s="25">
        <f>IF(AND(Q364=1,E364&lt;&gt;""),SUBSTITUTE(SUBSTITUTE(SUBSTITUTE(SUBSTITUTE(SUBSTITUTE(SUBSTITUTE(SUBSTITUTE(SUBSTITUTE(SUBSTITUTE(SUBSTITUTE(SUBSTITUTE(SUBSTITUTE(LOWER(TRIM(E364)),"á","a"),"é","e"),"í","i"),"ó","o"),"ú","u"),"ü","u"),"ñ","n"),"à","a"),"è","e"),"ì","i"),"ò","o"),"ù","u"),"")</f>
        <v/>
      </c>
      <c r="T364" s="25">
        <f>IF(AND(Q364=1,G364&lt;&gt;""),SUBSTITUTE(SUBSTITUTE(SUBSTITUTE(SUBSTITUTE(SUBSTITUTE(SUBSTITUTE(SUBSTITUTE(SUBSTITUTE(SUBSTITUTE(SUBSTITUTE(SUBSTITUTE(SUBSTITUTE(LOWER(TRIM(G364)),"á","a"),"é","e"),"í","i"),"ó","o"),"ú","u"),"ü","u"),"ñ","n"),"à","a"),"è","e"),"ì","i"),"ò","o"),"ù","u"),"")</f>
        <v/>
      </c>
      <c r="U364" s="25">
        <f>IF(AND(Q364=1,H364&lt;&gt;""),SUBSTITUTE(SUBSTITUTE(SUBSTITUTE(SUBSTITUTE(SUBSTITUTE(SUBSTITUTE(SUBSTITUTE(SUBSTITUTE(SUBSTITUTE(SUBSTITUTE(SUBSTITUTE(SUBSTITUTE(LOWER(TRIM(H364)),"á","a"),"é","e"),"í","i"),"ó","o"),"ú","u"),"ü","u"),"ñ","n"),"à","a"),"è","e"),"ì","i"),"ò","o"),"ù","u"),"")</f>
        <v/>
      </c>
      <c r="V364" s="25">
        <f>IF(AND(Q364=1,L364&lt;&gt;""),SUBSTITUTE(SUBSTITUTE(SUBSTITUTE(SUBSTITUTE(SUBSTITUTE(SUBSTITUTE(SUBSTITUTE(SUBSTITUTE(SUBSTITUTE(SUBSTITUTE(SUBSTITUTE(SUBSTITUTE(LOWER(TRIM(L364)),"á","a"),"é","e"),"í","i"),"ó","o"),"ú","u"),"ü","u"),"ñ","n"),"à","a"),"è","e"),"ì","i"),"ò","o"),"ù","u"),"")</f>
        <v/>
      </c>
      <c r="W364" s="25">
        <f>IF(AND(Q364=1,I364&lt;&gt;""),SUBSTITUTE(SUBSTITUTE(SUBSTITUTE(SUBSTITUTE(SUBSTITUTE(SUBSTITUTE(SUBSTITUTE(SUBSTITUTE(SUBSTITUTE(SUBSTITUTE(SUBSTITUTE(SUBSTITUTE(LOWER(TRIM(I364)),"á","a"),"é","e"),"í","i"),"ó","o"),"ú","u"),"ü","u"),"ñ","n"),"à","a"),"è","e"),"ì","i"),"ò","o"),"ù","u"),"")</f>
        <v/>
      </c>
      <c r="X364" s="25">
        <f>IF(U364="","",IF(OR(U364="si, en la proxima tarea",U364="si, con cambios"),1,0))</f>
        <v/>
      </c>
      <c r="Y364" s="25">
        <f>IF(AND(Q364=1,A364&lt;&gt;""),IF(IFERROR(COUNTIFS(A$3:A364,"="&amp;SUBSTITUTE(SUBSTITUTE(SUBSTITUTE(A364,"~","~~"),"*","~*"),"?","~?"),Q$3:Q364,1),0)=1,MAX(Y$2:Y363)+1,""),"")</f>
        <v/>
      </c>
      <c r="Z364" s="25">
        <f>IF(Y364="","",COUNTIFS($A$3:$A$1002,"="&amp;SUBSTITUTE(SUBSTITUTE(SUBSTITUTE(A364,"~","~~"),"*","~*"),"?","~?"),$Q$3:$Q$1002,1)*10000-Y364)</f>
        <v/>
      </c>
    </row>
    <row r="365">
      <c r="A365">
        <f>IF(A$2=0,"",IFERROR(TRIM(INDEX('Pegar docentes'!$A$1:$BZ$1001,364,A$2)&amp;""),""))</f>
        <v/>
      </c>
      <c r="B365">
        <f>IF(B$2=0,"",IFERROR(TRIM(INDEX('Pegar docentes'!$A$1:$BZ$1001,364,B$2)&amp;""),""))</f>
        <v/>
      </c>
      <c r="C365">
        <f>IF(C$2=0,"",IFERROR(TRIM(INDEX('Pegar docentes'!$A$1:$BZ$1001,364,C$2)&amp;""),""))</f>
        <v/>
      </c>
      <c r="D365">
        <f>IF(D$2=0,"",IFERROR(TRIM(INDEX('Pegar docentes'!$A$1:$BZ$1001,364,D$2)&amp;""),""))</f>
        <v/>
      </c>
      <c r="E365">
        <f>IF(E$2=0,"",IFERROR(TRIM(INDEX('Pegar docentes'!$A$1:$BZ$1001,364,E$2)&amp;""),""))</f>
        <v/>
      </c>
      <c r="F365">
        <f>IF(F$2=0,"",IFERROR(TRIM(INDEX('Pegar docentes'!$A$1:$BZ$1001,364,F$2)&amp;""),""))</f>
        <v/>
      </c>
      <c r="G365">
        <f>IF(G$2=0,"",IFERROR(TRIM(INDEX('Pegar docentes'!$A$1:$BZ$1001,364,G$2)&amp;""),""))</f>
        <v/>
      </c>
      <c r="H365">
        <f>IF(H$2=0,"",IFERROR(TRIM(INDEX('Pegar docentes'!$A$1:$BZ$1001,364,H$2)&amp;""),""))</f>
        <v/>
      </c>
      <c r="I365">
        <f>IF(I$2=0,"",IFERROR(TRIM(INDEX('Pegar docentes'!$A$1:$BZ$1001,364,I$2)&amp;""),""))</f>
        <v/>
      </c>
      <c r="J365">
        <f>IF(J$2=0,"",IFERROR(TRIM(INDEX('Pegar docentes'!$A$1:$BZ$1001,364,J$2)&amp;""),""))</f>
        <v/>
      </c>
      <c r="K365">
        <f>IF(K$2=0,"",IFERROR(TRIM(INDEX('Pegar docentes'!$A$1:$BZ$1001,364,K$2)&amp;""),""))</f>
        <v/>
      </c>
      <c r="L365">
        <f>IF(L$2=0,"",IFERROR(TRIM(INDEX('Pegar docentes'!$A$1:$BZ$1001,364,L$2)&amp;""),""))</f>
        <v/>
      </c>
      <c r="M365">
        <f>IF(M$2=0,"",IFERROR(TRIM(INDEX('Pegar docentes'!$A$1:$BZ$1001,364,M$2)&amp;""),""))</f>
        <v/>
      </c>
      <c r="N365">
        <f>IF(N$2=0,"",IFERROR(TRIM(INDEX('Pegar docentes'!$A$1:$BZ$1001,364,N$2)&amp;""),""))</f>
        <v/>
      </c>
      <c r="O365">
        <f>IF(O$2=0,"",IFERROR(TRIM(INDEX('Pegar docentes'!$A$1:$BZ$1001,364,O$2)&amp;""),""))</f>
        <v/>
      </c>
      <c r="P365">
        <f>IF(P$2=0,"",IFERROR(TRIM(INDEX('Pegar docentes'!$A$1:$BZ$1001,364,P$2)&amp;""),""))</f>
        <v/>
      </c>
      <c r="Q365" s="25">
        <f>IF(OR(D365&lt;&gt;"",H365&lt;&gt;""),1,"")</f>
        <v/>
      </c>
      <c r="R365" s="25">
        <f>IF(Q365=1,IF(ISNUMBER(FIND("#"&amp;MID(D365,1,1)&amp;"#","#0#1#2#3#4#5#6#7#8#9#")),IF(ISNUMBER(FIND("#"&amp;MID(D365,2,1)&amp;"#","#0#1#2#3#4#5#6#7#8#9#")),IF(AND(VALUE(LEFT(D365,2))&gt;=1,VALUE(LEFT(D365,2))&lt;=5),VALUE(LEFT(D365,2)),""),IF(AND(VALUE(LEFT(D365,1))&gt;=1,VALUE(LEFT(D365,1))&lt;=5),VALUE(LEFT(D365,1)),"")),""),"")</f>
        <v/>
      </c>
      <c r="S365" s="25">
        <f>IF(AND(Q365=1,E365&lt;&gt;""),SUBSTITUTE(SUBSTITUTE(SUBSTITUTE(SUBSTITUTE(SUBSTITUTE(SUBSTITUTE(SUBSTITUTE(SUBSTITUTE(SUBSTITUTE(SUBSTITUTE(SUBSTITUTE(SUBSTITUTE(LOWER(TRIM(E365)),"á","a"),"é","e"),"í","i"),"ó","o"),"ú","u"),"ü","u"),"ñ","n"),"à","a"),"è","e"),"ì","i"),"ò","o"),"ù","u"),"")</f>
        <v/>
      </c>
      <c r="T365" s="25">
        <f>IF(AND(Q365=1,G365&lt;&gt;""),SUBSTITUTE(SUBSTITUTE(SUBSTITUTE(SUBSTITUTE(SUBSTITUTE(SUBSTITUTE(SUBSTITUTE(SUBSTITUTE(SUBSTITUTE(SUBSTITUTE(SUBSTITUTE(SUBSTITUTE(LOWER(TRIM(G365)),"á","a"),"é","e"),"í","i"),"ó","o"),"ú","u"),"ü","u"),"ñ","n"),"à","a"),"è","e"),"ì","i"),"ò","o"),"ù","u"),"")</f>
        <v/>
      </c>
      <c r="U365" s="25">
        <f>IF(AND(Q365=1,H365&lt;&gt;""),SUBSTITUTE(SUBSTITUTE(SUBSTITUTE(SUBSTITUTE(SUBSTITUTE(SUBSTITUTE(SUBSTITUTE(SUBSTITUTE(SUBSTITUTE(SUBSTITUTE(SUBSTITUTE(SUBSTITUTE(LOWER(TRIM(H365)),"á","a"),"é","e"),"í","i"),"ó","o"),"ú","u"),"ü","u"),"ñ","n"),"à","a"),"è","e"),"ì","i"),"ò","o"),"ù","u"),"")</f>
        <v/>
      </c>
      <c r="V365" s="25">
        <f>IF(AND(Q365=1,L365&lt;&gt;""),SUBSTITUTE(SUBSTITUTE(SUBSTITUTE(SUBSTITUTE(SUBSTITUTE(SUBSTITUTE(SUBSTITUTE(SUBSTITUTE(SUBSTITUTE(SUBSTITUTE(SUBSTITUTE(SUBSTITUTE(LOWER(TRIM(L365)),"á","a"),"é","e"),"í","i"),"ó","o"),"ú","u"),"ü","u"),"ñ","n"),"à","a"),"è","e"),"ì","i"),"ò","o"),"ù","u"),"")</f>
        <v/>
      </c>
      <c r="W365" s="25">
        <f>IF(AND(Q365=1,I365&lt;&gt;""),SUBSTITUTE(SUBSTITUTE(SUBSTITUTE(SUBSTITUTE(SUBSTITUTE(SUBSTITUTE(SUBSTITUTE(SUBSTITUTE(SUBSTITUTE(SUBSTITUTE(SUBSTITUTE(SUBSTITUTE(LOWER(TRIM(I365)),"á","a"),"é","e"),"í","i"),"ó","o"),"ú","u"),"ü","u"),"ñ","n"),"à","a"),"è","e"),"ì","i"),"ò","o"),"ù","u"),"")</f>
        <v/>
      </c>
      <c r="X365" s="25">
        <f>IF(U365="","",IF(OR(U365="si, en la proxima tarea",U365="si, con cambios"),1,0))</f>
        <v/>
      </c>
      <c r="Y365" s="25">
        <f>IF(AND(Q365=1,A365&lt;&gt;""),IF(IFERROR(COUNTIFS(A$3:A365,"="&amp;SUBSTITUTE(SUBSTITUTE(SUBSTITUTE(A365,"~","~~"),"*","~*"),"?","~?"),Q$3:Q365,1),0)=1,MAX(Y$2:Y364)+1,""),"")</f>
        <v/>
      </c>
      <c r="Z365" s="25">
        <f>IF(Y365="","",COUNTIFS($A$3:$A$1002,"="&amp;SUBSTITUTE(SUBSTITUTE(SUBSTITUTE(A365,"~","~~"),"*","~*"),"?","~?"),$Q$3:$Q$1002,1)*10000-Y365)</f>
        <v/>
      </c>
    </row>
    <row r="366">
      <c r="A366">
        <f>IF(A$2=0,"",IFERROR(TRIM(INDEX('Pegar docentes'!$A$1:$BZ$1001,365,A$2)&amp;""),""))</f>
        <v/>
      </c>
      <c r="B366">
        <f>IF(B$2=0,"",IFERROR(TRIM(INDEX('Pegar docentes'!$A$1:$BZ$1001,365,B$2)&amp;""),""))</f>
        <v/>
      </c>
      <c r="C366">
        <f>IF(C$2=0,"",IFERROR(TRIM(INDEX('Pegar docentes'!$A$1:$BZ$1001,365,C$2)&amp;""),""))</f>
        <v/>
      </c>
      <c r="D366">
        <f>IF(D$2=0,"",IFERROR(TRIM(INDEX('Pegar docentes'!$A$1:$BZ$1001,365,D$2)&amp;""),""))</f>
        <v/>
      </c>
      <c r="E366">
        <f>IF(E$2=0,"",IFERROR(TRIM(INDEX('Pegar docentes'!$A$1:$BZ$1001,365,E$2)&amp;""),""))</f>
        <v/>
      </c>
      <c r="F366">
        <f>IF(F$2=0,"",IFERROR(TRIM(INDEX('Pegar docentes'!$A$1:$BZ$1001,365,F$2)&amp;""),""))</f>
        <v/>
      </c>
      <c r="G366">
        <f>IF(G$2=0,"",IFERROR(TRIM(INDEX('Pegar docentes'!$A$1:$BZ$1001,365,G$2)&amp;""),""))</f>
        <v/>
      </c>
      <c r="H366">
        <f>IF(H$2=0,"",IFERROR(TRIM(INDEX('Pegar docentes'!$A$1:$BZ$1001,365,H$2)&amp;""),""))</f>
        <v/>
      </c>
      <c r="I366">
        <f>IF(I$2=0,"",IFERROR(TRIM(INDEX('Pegar docentes'!$A$1:$BZ$1001,365,I$2)&amp;""),""))</f>
        <v/>
      </c>
      <c r="J366">
        <f>IF(J$2=0,"",IFERROR(TRIM(INDEX('Pegar docentes'!$A$1:$BZ$1001,365,J$2)&amp;""),""))</f>
        <v/>
      </c>
      <c r="K366">
        <f>IF(K$2=0,"",IFERROR(TRIM(INDEX('Pegar docentes'!$A$1:$BZ$1001,365,K$2)&amp;""),""))</f>
        <v/>
      </c>
      <c r="L366">
        <f>IF(L$2=0,"",IFERROR(TRIM(INDEX('Pegar docentes'!$A$1:$BZ$1001,365,L$2)&amp;""),""))</f>
        <v/>
      </c>
      <c r="M366">
        <f>IF(M$2=0,"",IFERROR(TRIM(INDEX('Pegar docentes'!$A$1:$BZ$1001,365,M$2)&amp;""),""))</f>
        <v/>
      </c>
      <c r="N366">
        <f>IF(N$2=0,"",IFERROR(TRIM(INDEX('Pegar docentes'!$A$1:$BZ$1001,365,N$2)&amp;""),""))</f>
        <v/>
      </c>
      <c r="O366">
        <f>IF(O$2=0,"",IFERROR(TRIM(INDEX('Pegar docentes'!$A$1:$BZ$1001,365,O$2)&amp;""),""))</f>
        <v/>
      </c>
      <c r="P366">
        <f>IF(P$2=0,"",IFERROR(TRIM(INDEX('Pegar docentes'!$A$1:$BZ$1001,365,P$2)&amp;""),""))</f>
        <v/>
      </c>
      <c r="Q366" s="25">
        <f>IF(OR(D366&lt;&gt;"",H366&lt;&gt;""),1,"")</f>
        <v/>
      </c>
      <c r="R366" s="25">
        <f>IF(Q366=1,IF(ISNUMBER(FIND("#"&amp;MID(D366,1,1)&amp;"#","#0#1#2#3#4#5#6#7#8#9#")),IF(ISNUMBER(FIND("#"&amp;MID(D366,2,1)&amp;"#","#0#1#2#3#4#5#6#7#8#9#")),IF(AND(VALUE(LEFT(D366,2))&gt;=1,VALUE(LEFT(D366,2))&lt;=5),VALUE(LEFT(D366,2)),""),IF(AND(VALUE(LEFT(D366,1))&gt;=1,VALUE(LEFT(D366,1))&lt;=5),VALUE(LEFT(D366,1)),"")),""),"")</f>
        <v/>
      </c>
      <c r="S366" s="25">
        <f>IF(AND(Q366=1,E366&lt;&gt;""),SUBSTITUTE(SUBSTITUTE(SUBSTITUTE(SUBSTITUTE(SUBSTITUTE(SUBSTITUTE(SUBSTITUTE(SUBSTITUTE(SUBSTITUTE(SUBSTITUTE(SUBSTITUTE(SUBSTITUTE(LOWER(TRIM(E366)),"á","a"),"é","e"),"í","i"),"ó","o"),"ú","u"),"ü","u"),"ñ","n"),"à","a"),"è","e"),"ì","i"),"ò","o"),"ù","u"),"")</f>
        <v/>
      </c>
      <c r="T366" s="25">
        <f>IF(AND(Q366=1,G366&lt;&gt;""),SUBSTITUTE(SUBSTITUTE(SUBSTITUTE(SUBSTITUTE(SUBSTITUTE(SUBSTITUTE(SUBSTITUTE(SUBSTITUTE(SUBSTITUTE(SUBSTITUTE(SUBSTITUTE(SUBSTITUTE(LOWER(TRIM(G366)),"á","a"),"é","e"),"í","i"),"ó","o"),"ú","u"),"ü","u"),"ñ","n"),"à","a"),"è","e"),"ì","i"),"ò","o"),"ù","u"),"")</f>
        <v/>
      </c>
      <c r="U366" s="25">
        <f>IF(AND(Q366=1,H366&lt;&gt;""),SUBSTITUTE(SUBSTITUTE(SUBSTITUTE(SUBSTITUTE(SUBSTITUTE(SUBSTITUTE(SUBSTITUTE(SUBSTITUTE(SUBSTITUTE(SUBSTITUTE(SUBSTITUTE(SUBSTITUTE(LOWER(TRIM(H366)),"á","a"),"é","e"),"í","i"),"ó","o"),"ú","u"),"ü","u"),"ñ","n"),"à","a"),"è","e"),"ì","i"),"ò","o"),"ù","u"),"")</f>
        <v/>
      </c>
      <c r="V366" s="25">
        <f>IF(AND(Q366=1,L366&lt;&gt;""),SUBSTITUTE(SUBSTITUTE(SUBSTITUTE(SUBSTITUTE(SUBSTITUTE(SUBSTITUTE(SUBSTITUTE(SUBSTITUTE(SUBSTITUTE(SUBSTITUTE(SUBSTITUTE(SUBSTITUTE(LOWER(TRIM(L366)),"á","a"),"é","e"),"í","i"),"ó","o"),"ú","u"),"ü","u"),"ñ","n"),"à","a"),"è","e"),"ì","i"),"ò","o"),"ù","u"),"")</f>
        <v/>
      </c>
      <c r="W366" s="25">
        <f>IF(AND(Q366=1,I366&lt;&gt;""),SUBSTITUTE(SUBSTITUTE(SUBSTITUTE(SUBSTITUTE(SUBSTITUTE(SUBSTITUTE(SUBSTITUTE(SUBSTITUTE(SUBSTITUTE(SUBSTITUTE(SUBSTITUTE(SUBSTITUTE(LOWER(TRIM(I366)),"á","a"),"é","e"),"í","i"),"ó","o"),"ú","u"),"ü","u"),"ñ","n"),"à","a"),"è","e"),"ì","i"),"ò","o"),"ù","u"),"")</f>
        <v/>
      </c>
      <c r="X366" s="25">
        <f>IF(U366="","",IF(OR(U366="si, en la proxima tarea",U366="si, con cambios"),1,0))</f>
        <v/>
      </c>
      <c r="Y366" s="25">
        <f>IF(AND(Q366=1,A366&lt;&gt;""),IF(IFERROR(COUNTIFS(A$3:A366,"="&amp;SUBSTITUTE(SUBSTITUTE(SUBSTITUTE(A366,"~","~~"),"*","~*"),"?","~?"),Q$3:Q366,1),0)=1,MAX(Y$2:Y365)+1,""),"")</f>
        <v/>
      </c>
      <c r="Z366" s="25">
        <f>IF(Y366="","",COUNTIFS($A$3:$A$1002,"="&amp;SUBSTITUTE(SUBSTITUTE(SUBSTITUTE(A366,"~","~~"),"*","~*"),"?","~?"),$Q$3:$Q$1002,1)*10000-Y366)</f>
        <v/>
      </c>
    </row>
    <row r="367">
      <c r="A367">
        <f>IF(A$2=0,"",IFERROR(TRIM(INDEX('Pegar docentes'!$A$1:$BZ$1001,366,A$2)&amp;""),""))</f>
        <v/>
      </c>
      <c r="B367">
        <f>IF(B$2=0,"",IFERROR(TRIM(INDEX('Pegar docentes'!$A$1:$BZ$1001,366,B$2)&amp;""),""))</f>
        <v/>
      </c>
      <c r="C367">
        <f>IF(C$2=0,"",IFERROR(TRIM(INDEX('Pegar docentes'!$A$1:$BZ$1001,366,C$2)&amp;""),""))</f>
        <v/>
      </c>
      <c r="D367">
        <f>IF(D$2=0,"",IFERROR(TRIM(INDEX('Pegar docentes'!$A$1:$BZ$1001,366,D$2)&amp;""),""))</f>
        <v/>
      </c>
      <c r="E367">
        <f>IF(E$2=0,"",IFERROR(TRIM(INDEX('Pegar docentes'!$A$1:$BZ$1001,366,E$2)&amp;""),""))</f>
        <v/>
      </c>
      <c r="F367">
        <f>IF(F$2=0,"",IFERROR(TRIM(INDEX('Pegar docentes'!$A$1:$BZ$1001,366,F$2)&amp;""),""))</f>
        <v/>
      </c>
      <c r="G367">
        <f>IF(G$2=0,"",IFERROR(TRIM(INDEX('Pegar docentes'!$A$1:$BZ$1001,366,G$2)&amp;""),""))</f>
        <v/>
      </c>
      <c r="H367">
        <f>IF(H$2=0,"",IFERROR(TRIM(INDEX('Pegar docentes'!$A$1:$BZ$1001,366,H$2)&amp;""),""))</f>
        <v/>
      </c>
      <c r="I367">
        <f>IF(I$2=0,"",IFERROR(TRIM(INDEX('Pegar docentes'!$A$1:$BZ$1001,366,I$2)&amp;""),""))</f>
        <v/>
      </c>
      <c r="J367">
        <f>IF(J$2=0,"",IFERROR(TRIM(INDEX('Pegar docentes'!$A$1:$BZ$1001,366,J$2)&amp;""),""))</f>
        <v/>
      </c>
      <c r="K367">
        <f>IF(K$2=0,"",IFERROR(TRIM(INDEX('Pegar docentes'!$A$1:$BZ$1001,366,K$2)&amp;""),""))</f>
        <v/>
      </c>
      <c r="L367">
        <f>IF(L$2=0,"",IFERROR(TRIM(INDEX('Pegar docentes'!$A$1:$BZ$1001,366,L$2)&amp;""),""))</f>
        <v/>
      </c>
      <c r="M367">
        <f>IF(M$2=0,"",IFERROR(TRIM(INDEX('Pegar docentes'!$A$1:$BZ$1001,366,M$2)&amp;""),""))</f>
        <v/>
      </c>
      <c r="N367">
        <f>IF(N$2=0,"",IFERROR(TRIM(INDEX('Pegar docentes'!$A$1:$BZ$1001,366,N$2)&amp;""),""))</f>
        <v/>
      </c>
      <c r="O367">
        <f>IF(O$2=0,"",IFERROR(TRIM(INDEX('Pegar docentes'!$A$1:$BZ$1001,366,O$2)&amp;""),""))</f>
        <v/>
      </c>
      <c r="P367">
        <f>IF(P$2=0,"",IFERROR(TRIM(INDEX('Pegar docentes'!$A$1:$BZ$1001,366,P$2)&amp;""),""))</f>
        <v/>
      </c>
      <c r="Q367" s="25">
        <f>IF(OR(D367&lt;&gt;"",H367&lt;&gt;""),1,"")</f>
        <v/>
      </c>
      <c r="R367" s="25">
        <f>IF(Q367=1,IF(ISNUMBER(FIND("#"&amp;MID(D367,1,1)&amp;"#","#0#1#2#3#4#5#6#7#8#9#")),IF(ISNUMBER(FIND("#"&amp;MID(D367,2,1)&amp;"#","#0#1#2#3#4#5#6#7#8#9#")),IF(AND(VALUE(LEFT(D367,2))&gt;=1,VALUE(LEFT(D367,2))&lt;=5),VALUE(LEFT(D367,2)),""),IF(AND(VALUE(LEFT(D367,1))&gt;=1,VALUE(LEFT(D367,1))&lt;=5),VALUE(LEFT(D367,1)),"")),""),"")</f>
        <v/>
      </c>
      <c r="S367" s="25">
        <f>IF(AND(Q367=1,E367&lt;&gt;""),SUBSTITUTE(SUBSTITUTE(SUBSTITUTE(SUBSTITUTE(SUBSTITUTE(SUBSTITUTE(SUBSTITUTE(SUBSTITUTE(SUBSTITUTE(SUBSTITUTE(SUBSTITUTE(SUBSTITUTE(LOWER(TRIM(E367)),"á","a"),"é","e"),"í","i"),"ó","o"),"ú","u"),"ü","u"),"ñ","n"),"à","a"),"è","e"),"ì","i"),"ò","o"),"ù","u"),"")</f>
        <v/>
      </c>
      <c r="T367" s="25">
        <f>IF(AND(Q367=1,G367&lt;&gt;""),SUBSTITUTE(SUBSTITUTE(SUBSTITUTE(SUBSTITUTE(SUBSTITUTE(SUBSTITUTE(SUBSTITUTE(SUBSTITUTE(SUBSTITUTE(SUBSTITUTE(SUBSTITUTE(SUBSTITUTE(LOWER(TRIM(G367)),"á","a"),"é","e"),"í","i"),"ó","o"),"ú","u"),"ü","u"),"ñ","n"),"à","a"),"è","e"),"ì","i"),"ò","o"),"ù","u"),"")</f>
        <v/>
      </c>
      <c r="U367" s="25">
        <f>IF(AND(Q367=1,H367&lt;&gt;""),SUBSTITUTE(SUBSTITUTE(SUBSTITUTE(SUBSTITUTE(SUBSTITUTE(SUBSTITUTE(SUBSTITUTE(SUBSTITUTE(SUBSTITUTE(SUBSTITUTE(SUBSTITUTE(SUBSTITUTE(LOWER(TRIM(H367)),"á","a"),"é","e"),"í","i"),"ó","o"),"ú","u"),"ü","u"),"ñ","n"),"à","a"),"è","e"),"ì","i"),"ò","o"),"ù","u"),"")</f>
        <v/>
      </c>
      <c r="V367" s="25">
        <f>IF(AND(Q367=1,L367&lt;&gt;""),SUBSTITUTE(SUBSTITUTE(SUBSTITUTE(SUBSTITUTE(SUBSTITUTE(SUBSTITUTE(SUBSTITUTE(SUBSTITUTE(SUBSTITUTE(SUBSTITUTE(SUBSTITUTE(SUBSTITUTE(LOWER(TRIM(L367)),"á","a"),"é","e"),"í","i"),"ó","o"),"ú","u"),"ü","u"),"ñ","n"),"à","a"),"è","e"),"ì","i"),"ò","o"),"ù","u"),"")</f>
        <v/>
      </c>
      <c r="W367" s="25">
        <f>IF(AND(Q367=1,I367&lt;&gt;""),SUBSTITUTE(SUBSTITUTE(SUBSTITUTE(SUBSTITUTE(SUBSTITUTE(SUBSTITUTE(SUBSTITUTE(SUBSTITUTE(SUBSTITUTE(SUBSTITUTE(SUBSTITUTE(SUBSTITUTE(LOWER(TRIM(I367)),"á","a"),"é","e"),"í","i"),"ó","o"),"ú","u"),"ü","u"),"ñ","n"),"à","a"),"è","e"),"ì","i"),"ò","o"),"ù","u"),"")</f>
        <v/>
      </c>
      <c r="X367" s="25">
        <f>IF(U367="","",IF(OR(U367="si, en la proxima tarea",U367="si, con cambios"),1,0))</f>
        <v/>
      </c>
      <c r="Y367" s="25">
        <f>IF(AND(Q367=1,A367&lt;&gt;""),IF(IFERROR(COUNTIFS(A$3:A367,"="&amp;SUBSTITUTE(SUBSTITUTE(SUBSTITUTE(A367,"~","~~"),"*","~*"),"?","~?"),Q$3:Q367,1),0)=1,MAX(Y$2:Y366)+1,""),"")</f>
        <v/>
      </c>
      <c r="Z367" s="25">
        <f>IF(Y367="","",COUNTIFS($A$3:$A$1002,"="&amp;SUBSTITUTE(SUBSTITUTE(SUBSTITUTE(A367,"~","~~"),"*","~*"),"?","~?"),$Q$3:$Q$1002,1)*10000-Y367)</f>
        <v/>
      </c>
    </row>
    <row r="368">
      <c r="A368">
        <f>IF(A$2=0,"",IFERROR(TRIM(INDEX('Pegar docentes'!$A$1:$BZ$1001,367,A$2)&amp;""),""))</f>
        <v/>
      </c>
      <c r="B368">
        <f>IF(B$2=0,"",IFERROR(TRIM(INDEX('Pegar docentes'!$A$1:$BZ$1001,367,B$2)&amp;""),""))</f>
        <v/>
      </c>
      <c r="C368">
        <f>IF(C$2=0,"",IFERROR(TRIM(INDEX('Pegar docentes'!$A$1:$BZ$1001,367,C$2)&amp;""),""))</f>
        <v/>
      </c>
      <c r="D368">
        <f>IF(D$2=0,"",IFERROR(TRIM(INDEX('Pegar docentes'!$A$1:$BZ$1001,367,D$2)&amp;""),""))</f>
        <v/>
      </c>
      <c r="E368">
        <f>IF(E$2=0,"",IFERROR(TRIM(INDEX('Pegar docentes'!$A$1:$BZ$1001,367,E$2)&amp;""),""))</f>
        <v/>
      </c>
      <c r="F368">
        <f>IF(F$2=0,"",IFERROR(TRIM(INDEX('Pegar docentes'!$A$1:$BZ$1001,367,F$2)&amp;""),""))</f>
        <v/>
      </c>
      <c r="G368">
        <f>IF(G$2=0,"",IFERROR(TRIM(INDEX('Pegar docentes'!$A$1:$BZ$1001,367,G$2)&amp;""),""))</f>
        <v/>
      </c>
      <c r="H368">
        <f>IF(H$2=0,"",IFERROR(TRIM(INDEX('Pegar docentes'!$A$1:$BZ$1001,367,H$2)&amp;""),""))</f>
        <v/>
      </c>
      <c r="I368">
        <f>IF(I$2=0,"",IFERROR(TRIM(INDEX('Pegar docentes'!$A$1:$BZ$1001,367,I$2)&amp;""),""))</f>
        <v/>
      </c>
      <c r="J368">
        <f>IF(J$2=0,"",IFERROR(TRIM(INDEX('Pegar docentes'!$A$1:$BZ$1001,367,J$2)&amp;""),""))</f>
        <v/>
      </c>
      <c r="K368">
        <f>IF(K$2=0,"",IFERROR(TRIM(INDEX('Pegar docentes'!$A$1:$BZ$1001,367,K$2)&amp;""),""))</f>
        <v/>
      </c>
      <c r="L368">
        <f>IF(L$2=0,"",IFERROR(TRIM(INDEX('Pegar docentes'!$A$1:$BZ$1001,367,L$2)&amp;""),""))</f>
        <v/>
      </c>
      <c r="M368">
        <f>IF(M$2=0,"",IFERROR(TRIM(INDEX('Pegar docentes'!$A$1:$BZ$1001,367,M$2)&amp;""),""))</f>
        <v/>
      </c>
      <c r="N368">
        <f>IF(N$2=0,"",IFERROR(TRIM(INDEX('Pegar docentes'!$A$1:$BZ$1001,367,N$2)&amp;""),""))</f>
        <v/>
      </c>
      <c r="O368">
        <f>IF(O$2=0,"",IFERROR(TRIM(INDEX('Pegar docentes'!$A$1:$BZ$1001,367,O$2)&amp;""),""))</f>
        <v/>
      </c>
      <c r="P368">
        <f>IF(P$2=0,"",IFERROR(TRIM(INDEX('Pegar docentes'!$A$1:$BZ$1001,367,P$2)&amp;""),""))</f>
        <v/>
      </c>
      <c r="Q368" s="25">
        <f>IF(OR(D368&lt;&gt;"",H368&lt;&gt;""),1,"")</f>
        <v/>
      </c>
      <c r="R368" s="25">
        <f>IF(Q368=1,IF(ISNUMBER(FIND("#"&amp;MID(D368,1,1)&amp;"#","#0#1#2#3#4#5#6#7#8#9#")),IF(ISNUMBER(FIND("#"&amp;MID(D368,2,1)&amp;"#","#0#1#2#3#4#5#6#7#8#9#")),IF(AND(VALUE(LEFT(D368,2))&gt;=1,VALUE(LEFT(D368,2))&lt;=5),VALUE(LEFT(D368,2)),""),IF(AND(VALUE(LEFT(D368,1))&gt;=1,VALUE(LEFT(D368,1))&lt;=5),VALUE(LEFT(D368,1)),"")),""),"")</f>
        <v/>
      </c>
      <c r="S368" s="25">
        <f>IF(AND(Q368=1,E368&lt;&gt;""),SUBSTITUTE(SUBSTITUTE(SUBSTITUTE(SUBSTITUTE(SUBSTITUTE(SUBSTITUTE(SUBSTITUTE(SUBSTITUTE(SUBSTITUTE(SUBSTITUTE(SUBSTITUTE(SUBSTITUTE(LOWER(TRIM(E368)),"á","a"),"é","e"),"í","i"),"ó","o"),"ú","u"),"ü","u"),"ñ","n"),"à","a"),"è","e"),"ì","i"),"ò","o"),"ù","u"),"")</f>
        <v/>
      </c>
      <c r="T368" s="25">
        <f>IF(AND(Q368=1,G368&lt;&gt;""),SUBSTITUTE(SUBSTITUTE(SUBSTITUTE(SUBSTITUTE(SUBSTITUTE(SUBSTITUTE(SUBSTITUTE(SUBSTITUTE(SUBSTITUTE(SUBSTITUTE(SUBSTITUTE(SUBSTITUTE(LOWER(TRIM(G368)),"á","a"),"é","e"),"í","i"),"ó","o"),"ú","u"),"ü","u"),"ñ","n"),"à","a"),"è","e"),"ì","i"),"ò","o"),"ù","u"),"")</f>
        <v/>
      </c>
      <c r="U368" s="25">
        <f>IF(AND(Q368=1,H368&lt;&gt;""),SUBSTITUTE(SUBSTITUTE(SUBSTITUTE(SUBSTITUTE(SUBSTITUTE(SUBSTITUTE(SUBSTITUTE(SUBSTITUTE(SUBSTITUTE(SUBSTITUTE(SUBSTITUTE(SUBSTITUTE(LOWER(TRIM(H368)),"á","a"),"é","e"),"í","i"),"ó","o"),"ú","u"),"ü","u"),"ñ","n"),"à","a"),"è","e"),"ì","i"),"ò","o"),"ù","u"),"")</f>
        <v/>
      </c>
      <c r="V368" s="25">
        <f>IF(AND(Q368=1,L368&lt;&gt;""),SUBSTITUTE(SUBSTITUTE(SUBSTITUTE(SUBSTITUTE(SUBSTITUTE(SUBSTITUTE(SUBSTITUTE(SUBSTITUTE(SUBSTITUTE(SUBSTITUTE(SUBSTITUTE(SUBSTITUTE(LOWER(TRIM(L368)),"á","a"),"é","e"),"í","i"),"ó","o"),"ú","u"),"ü","u"),"ñ","n"),"à","a"),"è","e"),"ì","i"),"ò","o"),"ù","u"),"")</f>
        <v/>
      </c>
      <c r="W368" s="25">
        <f>IF(AND(Q368=1,I368&lt;&gt;""),SUBSTITUTE(SUBSTITUTE(SUBSTITUTE(SUBSTITUTE(SUBSTITUTE(SUBSTITUTE(SUBSTITUTE(SUBSTITUTE(SUBSTITUTE(SUBSTITUTE(SUBSTITUTE(SUBSTITUTE(LOWER(TRIM(I368)),"á","a"),"é","e"),"í","i"),"ó","o"),"ú","u"),"ü","u"),"ñ","n"),"à","a"),"è","e"),"ì","i"),"ò","o"),"ù","u"),"")</f>
        <v/>
      </c>
      <c r="X368" s="25">
        <f>IF(U368="","",IF(OR(U368="si, en la proxima tarea",U368="si, con cambios"),1,0))</f>
        <v/>
      </c>
      <c r="Y368" s="25">
        <f>IF(AND(Q368=1,A368&lt;&gt;""),IF(IFERROR(COUNTIFS(A$3:A368,"="&amp;SUBSTITUTE(SUBSTITUTE(SUBSTITUTE(A368,"~","~~"),"*","~*"),"?","~?"),Q$3:Q368,1),0)=1,MAX(Y$2:Y367)+1,""),"")</f>
        <v/>
      </c>
      <c r="Z368" s="25">
        <f>IF(Y368="","",COUNTIFS($A$3:$A$1002,"="&amp;SUBSTITUTE(SUBSTITUTE(SUBSTITUTE(A368,"~","~~"),"*","~*"),"?","~?"),$Q$3:$Q$1002,1)*10000-Y368)</f>
        <v/>
      </c>
    </row>
    <row r="369">
      <c r="A369">
        <f>IF(A$2=0,"",IFERROR(TRIM(INDEX('Pegar docentes'!$A$1:$BZ$1001,368,A$2)&amp;""),""))</f>
        <v/>
      </c>
      <c r="B369">
        <f>IF(B$2=0,"",IFERROR(TRIM(INDEX('Pegar docentes'!$A$1:$BZ$1001,368,B$2)&amp;""),""))</f>
        <v/>
      </c>
      <c r="C369">
        <f>IF(C$2=0,"",IFERROR(TRIM(INDEX('Pegar docentes'!$A$1:$BZ$1001,368,C$2)&amp;""),""))</f>
        <v/>
      </c>
      <c r="D369">
        <f>IF(D$2=0,"",IFERROR(TRIM(INDEX('Pegar docentes'!$A$1:$BZ$1001,368,D$2)&amp;""),""))</f>
        <v/>
      </c>
      <c r="E369">
        <f>IF(E$2=0,"",IFERROR(TRIM(INDEX('Pegar docentes'!$A$1:$BZ$1001,368,E$2)&amp;""),""))</f>
        <v/>
      </c>
      <c r="F369">
        <f>IF(F$2=0,"",IFERROR(TRIM(INDEX('Pegar docentes'!$A$1:$BZ$1001,368,F$2)&amp;""),""))</f>
        <v/>
      </c>
      <c r="G369">
        <f>IF(G$2=0,"",IFERROR(TRIM(INDEX('Pegar docentes'!$A$1:$BZ$1001,368,G$2)&amp;""),""))</f>
        <v/>
      </c>
      <c r="H369">
        <f>IF(H$2=0,"",IFERROR(TRIM(INDEX('Pegar docentes'!$A$1:$BZ$1001,368,H$2)&amp;""),""))</f>
        <v/>
      </c>
      <c r="I369">
        <f>IF(I$2=0,"",IFERROR(TRIM(INDEX('Pegar docentes'!$A$1:$BZ$1001,368,I$2)&amp;""),""))</f>
        <v/>
      </c>
      <c r="J369">
        <f>IF(J$2=0,"",IFERROR(TRIM(INDEX('Pegar docentes'!$A$1:$BZ$1001,368,J$2)&amp;""),""))</f>
        <v/>
      </c>
      <c r="K369">
        <f>IF(K$2=0,"",IFERROR(TRIM(INDEX('Pegar docentes'!$A$1:$BZ$1001,368,K$2)&amp;""),""))</f>
        <v/>
      </c>
      <c r="L369">
        <f>IF(L$2=0,"",IFERROR(TRIM(INDEX('Pegar docentes'!$A$1:$BZ$1001,368,L$2)&amp;""),""))</f>
        <v/>
      </c>
      <c r="M369">
        <f>IF(M$2=0,"",IFERROR(TRIM(INDEX('Pegar docentes'!$A$1:$BZ$1001,368,M$2)&amp;""),""))</f>
        <v/>
      </c>
      <c r="N369">
        <f>IF(N$2=0,"",IFERROR(TRIM(INDEX('Pegar docentes'!$A$1:$BZ$1001,368,N$2)&amp;""),""))</f>
        <v/>
      </c>
      <c r="O369">
        <f>IF(O$2=0,"",IFERROR(TRIM(INDEX('Pegar docentes'!$A$1:$BZ$1001,368,O$2)&amp;""),""))</f>
        <v/>
      </c>
      <c r="P369">
        <f>IF(P$2=0,"",IFERROR(TRIM(INDEX('Pegar docentes'!$A$1:$BZ$1001,368,P$2)&amp;""),""))</f>
        <v/>
      </c>
      <c r="Q369" s="25">
        <f>IF(OR(D369&lt;&gt;"",H369&lt;&gt;""),1,"")</f>
        <v/>
      </c>
      <c r="R369" s="25">
        <f>IF(Q369=1,IF(ISNUMBER(FIND("#"&amp;MID(D369,1,1)&amp;"#","#0#1#2#3#4#5#6#7#8#9#")),IF(ISNUMBER(FIND("#"&amp;MID(D369,2,1)&amp;"#","#0#1#2#3#4#5#6#7#8#9#")),IF(AND(VALUE(LEFT(D369,2))&gt;=1,VALUE(LEFT(D369,2))&lt;=5),VALUE(LEFT(D369,2)),""),IF(AND(VALUE(LEFT(D369,1))&gt;=1,VALUE(LEFT(D369,1))&lt;=5),VALUE(LEFT(D369,1)),"")),""),"")</f>
        <v/>
      </c>
      <c r="S369" s="25">
        <f>IF(AND(Q369=1,E369&lt;&gt;""),SUBSTITUTE(SUBSTITUTE(SUBSTITUTE(SUBSTITUTE(SUBSTITUTE(SUBSTITUTE(SUBSTITUTE(SUBSTITUTE(SUBSTITUTE(SUBSTITUTE(SUBSTITUTE(SUBSTITUTE(LOWER(TRIM(E369)),"á","a"),"é","e"),"í","i"),"ó","o"),"ú","u"),"ü","u"),"ñ","n"),"à","a"),"è","e"),"ì","i"),"ò","o"),"ù","u"),"")</f>
        <v/>
      </c>
      <c r="T369" s="25">
        <f>IF(AND(Q369=1,G369&lt;&gt;""),SUBSTITUTE(SUBSTITUTE(SUBSTITUTE(SUBSTITUTE(SUBSTITUTE(SUBSTITUTE(SUBSTITUTE(SUBSTITUTE(SUBSTITUTE(SUBSTITUTE(SUBSTITUTE(SUBSTITUTE(LOWER(TRIM(G369)),"á","a"),"é","e"),"í","i"),"ó","o"),"ú","u"),"ü","u"),"ñ","n"),"à","a"),"è","e"),"ì","i"),"ò","o"),"ù","u"),"")</f>
        <v/>
      </c>
      <c r="U369" s="25">
        <f>IF(AND(Q369=1,H369&lt;&gt;""),SUBSTITUTE(SUBSTITUTE(SUBSTITUTE(SUBSTITUTE(SUBSTITUTE(SUBSTITUTE(SUBSTITUTE(SUBSTITUTE(SUBSTITUTE(SUBSTITUTE(SUBSTITUTE(SUBSTITUTE(LOWER(TRIM(H369)),"á","a"),"é","e"),"í","i"),"ó","o"),"ú","u"),"ü","u"),"ñ","n"),"à","a"),"è","e"),"ì","i"),"ò","o"),"ù","u"),"")</f>
        <v/>
      </c>
      <c r="V369" s="25">
        <f>IF(AND(Q369=1,L369&lt;&gt;""),SUBSTITUTE(SUBSTITUTE(SUBSTITUTE(SUBSTITUTE(SUBSTITUTE(SUBSTITUTE(SUBSTITUTE(SUBSTITUTE(SUBSTITUTE(SUBSTITUTE(SUBSTITUTE(SUBSTITUTE(LOWER(TRIM(L369)),"á","a"),"é","e"),"í","i"),"ó","o"),"ú","u"),"ü","u"),"ñ","n"),"à","a"),"è","e"),"ì","i"),"ò","o"),"ù","u"),"")</f>
        <v/>
      </c>
      <c r="W369" s="25">
        <f>IF(AND(Q369=1,I369&lt;&gt;""),SUBSTITUTE(SUBSTITUTE(SUBSTITUTE(SUBSTITUTE(SUBSTITUTE(SUBSTITUTE(SUBSTITUTE(SUBSTITUTE(SUBSTITUTE(SUBSTITUTE(SUBSTITUTE(SUBSTITUTE(LOWER(TRIM(I369)),"á","a"),"é","e"),"í","i"),"ó","o"),"ú","u"),"ü","u"),"ñ","n"),"à","a"),"è","e"),"ì","i"),"ò","o"),"ù","u"),"")</f>
        <v/>
      </c>
      <c r="X369" s="25">
        <f>IF(U369="","",IF(OR(U369="si, en la proxima tarea",U369="si, con cambios"),1,0))</f>
        <v/>
      </c>
      <c r="Y369" s="25">
        <f>IF(AND(Q369=1,A369&lt;&gt;""),IF(IFERROR(COUNTIFS(A$3:A369,"="&amp;SUBSTITUTE(SUBSTITUTE(SUBSTITUTE(A369,"~","~~"),"*","~*"),"?","~?"),Q$3:Q369,1),0)=1,MAX(Y$2:Y368)+1,""),"")</f>
        <v/>
      </c>
      <c r="Z369" s="25">
        <f>IF(Y369="","",COUNTIFS($A$3:$A$1002,"="&amp;SUBSTITUTE(SUBSTITUTE(SUBSTITUTE(A369,"~","~~"),"*","~*"),"?","~?"),$Q$3:$Q$1002,1)*10000-Y369)</f>
        <v/>
      </c>
    </row>
    <row r="370">
      <c r="A370">
        <f>IF(A$2=0,"",IFERROR(TRIM(INDEX('Pegar docentes'!$A$1:$BZ$1001,369,A$2)&amp;""),""))</f>
        <v/>
      </c>
      <c r="B370">
        <f>IF(B$2=0,"",IFERROR(TRIM(INDEX('Pegar docentes'!$A$1:$BZ$1001,369,B$2)&amp;""),""))</f>
        <v/>
      </c>
      <c r="C370">
        <f>IF(C$2=0,"",IFERROR(TRIM(INDEX('Pegar docentes'!$A$1:$BZ$1001,369,C$2)&amp;""),""))</f>
        <v/>
      </c>
      <c r="D370">
        <f>IF(D$2=0,"",IFERROR(TRIM(INDEX('Pegar docentes'!$A$1:$BZ$1001,369,D$2)&amp;""),""))</f>
        <v/>
      </c>
      <c r="E370">
        <f>IF(E$2=0,"",IFERROR(TRIM(INDEX('Pegar docentes'!$A$1:$BZ$1001,369,E$2)&amp;""),""))</f>
        <v/>
      </c>
      <c r="F370">
        <f>IF(F$2=0,"",IFERROR(TRIM(INDEX('Pegar docentes'!$A$1:$BZ$1001,369,F$2)&amp;""),""))</f>
        <v/>
      </c>
      <c r="G370">
        <f>IF(G$2=0,"",IFERROR(TRIM(INDEX('Pegar docentes'!$A$1:$BZ$1001,369,G$2)&amp;""),""))</f>
        <v/>
      </c>
      <c r="H370">
        <f>IF(H$2=0,"",IFERROR(TRIM(INDEX('Pegar docentes'!$A$1:$BZ$1001,369,H$2)&amp;""),""))</f>
        <v/>
      </c>
      <c r="I370">
        <f>IF(I$2=0,"",IFERROR(TRIM(INDEX('Pegar docentes'!$A$1:$BZ$1001,369,I$2)&amp;""),""))</f>
        <v/>
      </c>
      <c r="J370">
        <f>IF(J$2=0,"",IFERROR(TRIM(INDEX('Pegar docentes'!$A$1:$BZ$1001,369,J$2)&amp;""),""))</f>
        <v/>
      </c>
      <c r="K370">
        <f>IF(K$2=0,"",IFERROR(TRIM(INDEX('Pegar docentes'!$A$1:$BZ$1001,369,K$2)&amp;""),""))</f>
        <v/>
      </c>
      <c r="L370">
        <f>IF(L$2=0,"",IFERROR(TRIM(INDEX('Pegar docentes'!$A$1:$BZ$1001,369,L$2)&amp;""),""))</f>
        <v/>
      </c>
      <c r="M370">
        <f>IF(M$2=0,"",IFERROR(TRIM(INDEX('Pegar docentes'!$A$1:$BZ$1001,369,M$2)&amp;""),""))</f>
        <v/>
      </c>
      <c r="N370">
        <f>IF(N$2=0,"",IFERROR(TRIM(INDEX('Pegar docentes'!$A$1:$BZ$1001,369,N$2)&amp;""),""))</f>
        <v/>
      </c>
      <c r="O370">
        <f>IF(O$2=0,"",IFERROR(TRIM(INDEX('Pegar docentes'!$A$1:$BZ$1001,369,O$2)&amp;""),""))</f>
        <v/>
      </c>
      <c r="P370">
        <f>IF(P$2=0,"",IFERROR(TRIM(INDEX('Pegar docentes'!$A$1:$BZ$1001,369,P$2)&amp;""),""))</f>
        <v/>
      </c>
      <c r="Q370" s="25">
        <f>IF(OR(D370&lt;&gt;"",H370&lt;&gt;""),1,"")</f>
        <v/>
      </c>
      <c r="R370" s="25">
        <f>IF(Q370=1,IF(ISNUMBER(FIND("#"&amp;MID(D370,1,1)&amp;"#","#0#1#2#3#4#5#6#7#8#9#")),IF(ISNUMBER(FIND("#"&amp;MID(D370,2,1)&amp;"#","#0#1#2#3#4#5#6#7#8#9#")),IF(AND(VALUE(LEFT(D370,2))&gt;=1,VALUE(LEFT(D370,2))&lt;=5),VALUE(LEFT(D370,2)),""),IF(AND(VALUE(LEFT(D370,1))&gt;=1,VALUE(LEFT(D370,1))&lt;=5),VALUE(LEFT(D370,1)),"")),""),"")</f>
        <v/>
      </c>
      <c r="S370" s="25">
        <f>IF(AND(Q370=1,E370&lt;&gt;""),SUBSTITUTE(SUBSTITUTE(SUBSTITUTE(SUBSTITUTE(SUBSTITUTE(SUBSTITUTE(SUBSTITUTE(SUBSTITUTE(SUBSTITUTE(SUBSTITUTE(SUBSTITUTE(SUBSTITUTE(LOWER(TRIM(E370)),"á","a"),"é","e"),"í","i"),"ó","o"),"ú","u"),"ü","u"),"ñ","n"),"à","a"),"è","e"),"ì","i"),"ò","o"),"ù","u"),"")</f>
        <v/>
      </c>
      <c r="T370" s="25">
        <f>IF(AND(Q370=1,G370&lt;&gt;""),SUBSTITUTE(SUBSTITUTE(SUBSTITUTE(SUBSTITUTE(SUBSTITUTE(SUBSTITUTE(SUBSTITUTE(SUBSTITUTE(SUBSTITUTE(SUBSTITUTE(SUBSTITUTE(SUBSTITUTE(LOWER(TRIM(G370)),"á","a"),"é","e"),"í","i"),"ó","o"),"ú","u"),"ü","u"),"ñ","n"),"à","a"),"è","e"),"ì","i"),"ò","o"),"ù","u"),"")</f>
        <v/>
      </c>
      <c r="U370" s="25">
        <f>IF(AND(Q370=1,H370&lt;&gt;""),SUBSTITUTE(SUBSTITUTE(SUBSTITUTE(SUBSTITUTE(SUBSTITUTE(SUBSTITUTE(SUBSTITUTE(SUBSTITUTE(SUBSTITUTE(SUBSTITUTE(SUBSTITUTE(SUBSTITUTE(LOWER(TRIM(H370)),"á","a"),"é","e"),"í","i"),"ó","o"),"ú","u"),"ü","u"),"ñ","n"),"à","a"),"è","e"),"ì","i"),"ò","o"),"ù","u"),"")</f>
        <v/>
      </c>
      <c r="V370" s="25">
        <f>IF(AND(Q370=1,L370&lt;&gt;""),SUBSTITUTE(SUBSTITUTE(SUBSTITUTE(SUBSTITUTE(SUBSTITUTE(SUBSTITUTE(SUBSTITUTE(SUBSTITUTE(SUBSTITUTE(SUBSTITUTE(SUBSTITUTE(SUBSTITUTE(LOWER(TRIM(L370)),"á","a"),"é","e"),"í","i"),"ó","o"),"ú","u"),"ü","u"),"ñ","n"),"à","a"),"è","e"),"ì","i"),"ò","o"),"ù","u"),"")</f>
        <v/>
      </c>
      <c r="W370" s="25">
        <f>IF(AND(Q370=1,I370&lt;&gt;""),SUBSTITUTE(SUBSTITUTE(SUBSTITUTE(SUBSTITUTE(SUBSTITUTE(SUBSTITUTE(SUBSTITUTE(SUBSTITUTE(SUBSTITUTE(SUBSTITUTE(SUBSTITUTE(SUBSTITUTE(LOWER(TRIM(I370)),"á","a"),"é","e"),"í","i"),"ó","o"),"ú","u"),"ü","u"),"ñ","n"),"à","a"),"è","e"),"ì","i"),"ò","o"),"ù","u"),"")</f>
        <v/>
      </c>
      <c r="X370" s="25">
        <f>IF(U370="","",IF(OR(U370="si, en la proxima tarea",U370="si, con cambios"),1,0))</f>
        <v/>
      </c>
      <c r="Y370" s="25">
        <f>IF(AND(Q370=1,A370&lt;&gt;""),IF(IFERROR(COUNTIFS(A$3:A370,"="&amp;SUBSTITUTE(SUBSTITUTE(SUBSTITUTE(A370,"~","~~"),"*","~*"),"?","~?"),Q$3:Q370,1),0)=1,MAX(Y$2:Y369)+1,""),"")</f>
        <v/>
      </c>
      <c r="Z370" s="25">
        <f>IF(Y370="","",COUNTIFS($A$3:$A$1002,"="&amp;SUBSTITUTE(SUBSTITUTE(SUBSTITUTE(A370,"~","~~"),"*","~*"),"?","~?"),$Q$3:$Q$1002,1)*10000-Y370)</f>
        <v/>
      </c>
    </row>
    <row r="371">
      <c r="A371">
        <f>IF(A$2=0,"",IFERROR(TRIM(INDEX('Pegar docentes'!$A$1:$BZ$1001,370,A$2)&amp;""),""))</f>
        <v/>
      </c>
      <c r="B371">
        <f>IF(B$2=0,"",IFERROR(TRIM(INDEX('Pegar docentes'!$A$1:$BZ$1001,370,B$2)&amp;""),""))</f>
        <v/>
      </c>
      <c r="C371">
        <f>IF(C$2=0,"",IFERROR(TRIM(INDEX('Pegar docentes'!$A$1:$BZ$1001,370,C$2)&amp;""),""))</f>
        <v/>
      </c>
      <c r="D371">
        <f>IF(D$2=0,"",IFERROR(TRIM(INDEX('Pegar docentes'!$A$1:$BZ$1001,370,D$2)&amp;""),""))</f>
        <v/>
      </c>
      <c r="E371">
        <f>IF(E$2=0,"",IFERROR(TRIM(INDEX('Pegar docentes'!$A$1:$BZ$1001,370,E$2)&amp;""),""))</f>
        <v/>
      </c>
      <c r="F371">
        <f>IF(F$2=0,"",IFERROR(TRIM(INDEX('Pegar docentes'!$A$1:$BZ$1001,370,F$2)&amp;""),""))</f>
        <v/>
      </c>
      <c r="G371">
        <f>IF(G$2=0,"",IFERROR(TRIM(INDEX('Pegar docentes'!$A$1:$BZ$1001,370,G$2)&amp;""),""))</f>
        <v/>
      </c>
      <c r="H371">
        <f>IF(H$2=0,"",IFERROR(TRIM(INDEX('Pegar docentes'!$A$1:$BZ$1001,370,H$2)&amp;""),""))</f>
        <v/>
      </c>
      <c r="I371">
        <f>IF(I$2=0,"",IFERROR(TRIM(INDEX('Pegar docentes'!$A$1:$BZ$1001,370,I$2)&amp;""),""))</f>
        <v/>
      </c>
      <c r="J371">
        <f>IF(J$2=0,"",IFERROR(TRIM(INDEX('Pegar docentes'!$A$1:$BZ$1001,370,J$2)&amp;""),""))</f>
        <v/>
      </c>
      <c r="K371">
        <f>IF(K$2=0,"",IFERROR(TRIM(INDEX('Pegar docentes'!$A$1:$BZ$1001,370,K$2)&amp;""),""))</f>
        <v/>
      </c>
      <c r="L371">
        <f>IF(L$2=0,"",IFERROR(TRIM(INDEX('Pegar docentes'!$A$1:$BZ$1001,370,L$2)&amp;""),""))</f>
        <v/>
      </c>
      <c r="M371">
        <f>IF(M$2=0,"",IFERROR(TRIM(INDEX('Pegar docentes'!$A$1:$BZ$1001,370,M$2)&amp;""),""))</f>
        <v/>
      </c>
      <c r="N371">
        <f>IF(N$2=0,"",IFERROR(TRIM(INDEX('Pegar docentes'!$A$1:$BZ$1001,370,N$2)&amp;""),""))</f>
        <v/>
      </c>
      <c r="O371">
        <f>IF(O$2=0,"",IFERROR(TRIM(INDEX('Pegar docentes'!$A$1:$BZ$1001,370,O$2)&amp;""),""))</f>
        <v/>
      </c>
      <c r="P371">
        <f>IF(P$2=0,"",IFERROR(TRIM(INDEX('Pegar docentes'!$A$1:$BZ$1001,370,P$2)&amp;""),""))</f>
        <v/>
      </c>
      <c r="Q371" s="25">
        <f>IF(OR(D371&lt;&gt;"",H371&lt;&gt;""),1,"")</f>
        <v/>
      </c>
      <c r="R371" s="25">
        <f>IF(Q371=1,IF(ISNUMBER(FIND("#"&amp;MID(D371,1,1)&amp;"#","#0#1#2#3#4#5#6#7#8#9#")),IF(ISNUMBER(FIND("#"&amp;MID(D371,2,1)&amp;"#","#0#1#2#3#4#5#6#7#8#9#")),IF(AND(VALUE(LEFT(D371,2))&gt;=1,VALUE(LEFT(D371,2))&lt;=5),VALUE(LEFT(D371,2)),""),IF(AND(VALUE(LEFT(D371,1))&gt;=1,VALUE(LEFT(D371,1))&lt;=5),VALUE(LEFT(D371,1)),"")),""),"")</f>
        <v/>
      </c>
      <c r="S371" s="25">
        <f>IF(AND(Q371=1,E371&lt;&gt;""),SUBSTITUTE(SUBSTITUTE(SUBSTITUTE(SUBSTITUTE(SUBSTITUTE(SUBSTITUTE(SUBSTITUTE(SUBSTITUTE(SUBSTITUTE(SUBSTITUTE(SUBSTITUTE(SUBSTITUTE(LOWER(TRIM(E371)),"á","a"),"é","e"),"í","i"),"ó","o"),"ú","u"),"ü","u"),"ñ","n"),"à","a"),"è","e"),"ì","i"),"ò","o"),"ù","u"),"")</f>
        <v/>
      </c>
      <c r="T371" s="25">
        <f>IF(AND(Q371=1,G371&lt;&gt;""),SUBSTITUTE(SUBSTITUTE(SUBSTITUTE(SUBSTITUTE(SUBSTITUTE(SUBSTITUTE(SUBSTITUTE(SUBSTITUTE(SUBSTITUTE(SUBSTITUTE(SUBSTITUTE(SUBSTITUTE(LOWER(TRIM(G371)),"á","a"),"é","e"),"í","i"),"ó","o"),"ú","u"),"ü","u"),"ñ","n"),"à","a"),"è","e"),"ì","i"),"ò","o"),"ù","u"),"")</f>
        <v/>
      </c>
      <c r="U371" s="25">
        <f>IF(AND(Q371=1,H371&lt;&gt;""),SUBSTITUTE(SUBSTITUTE(SUBSTITUTE(SUBSTITUTE(SUBSTITUTE(SUBSTITUTE(SUBSTITUTE(SUBSTITUTE(SUBSTITUTE(SUBSTITUTE(SUBSTITUTE(SUBSTITUTE(LOWER(TRIM(H371)),"á","a"),"é","e"),"í","i"),"ó","o"),"ú","u"),"ü","u"),"ñ","n"),"à","a"),"è","e"),"ì","i"),"ò","o"),"ù","u"),"")</f>
        <v/>
      </c>
      <c r="V371" s="25">
        <f>IF(AND(Q371=1,L371&lt;&gt;""),SUBSTITUTE(SUBSTITUTE(SUBSTITUTE(SUBSTITUTE(SUBSTITUTE(SUBSTITUTE(SUBSTITUTE(SUBSTITUTE(SUBSTITUTE(SUBSTITUTE(SUBSTITUTE(SUBSTITUTE(LOWER(TRIM(L371)),"á","a"),"é","e"),"í","i"),"ó","o"),"ú","u"),"ü","u"),"ñ","n"),"à","a"),"è","e"),"ì","i"),"ò","o"),"ù","u"),"")</f>
        <v/>
      </c>
      <c r="W371" s="25">
        <f>IF(AND(Q371=1,I371&lt;&gt;""),SUBSTITUTE(SUBSTITUTE(SUBSTITUTE(SUBSTITUTE(SUBSTITUTE(SUBSTITUTE(SUBSTITUTE(SUBSTITUTE(SUBSTITUTE(SUBSTITUTE(SUBSTITUTE(SUBSTITUTE(LOWER(TRIM(I371)),"á","a"),"é","e"),"í","i"),"ó","o"),"ú","u"),"ü","u"),"ñ","n"),"à","a"),"è","e"),"ì","i"),"ò","o"),"ù","u"),"")</f>
        <v/>
      </c>
      <c r="X371" s="25">
        <f>IF(U371="","",IF(OR(U371="si, en la proxima tarea",U371="si, con cambios"),1,0))</f>
        <v/>
      </c>
      <c r="Y371" s="25">
        <f>IF(AND(Q371=1,A371&lt;&gt;""),IF(IFERROR(COUNTIFS(A$3:A371,"="&amp;SUBSTITUTE(SUBSTITUTE(SUBSTITUTE(A371,"~","~~"),"*","~*"),"?","~?"),Q$3:Q371,1),0)=1,MAX(Y$2:Y370)+1,""),"")</f>
        <v/>
      </c>
      <c r="Z371" s="25">
        <f>IF(Y371="","",COUNTIFS($A$3:$A$1002,"="&amp;SUBSTITUTE(SUBSTITUTE(SUBSTITUTE(A371,"~","~~"),"*","~*"),"?","~?"),$Q$3:$Q$1002,1)*10000-Y371)</f>
        <v/>
      </c>
    </row>
    <row r="372">
      <c r="A372">
        <f>IF(A$2=0,"",IFERROR(TRIM(INDEX('Pegar docentes'!$A$1:$BZ$1001,371,A$2)&amp;""),""))</f>
        <v/>
      </c>
      <c r="B372">
        <f>IF(B$2=0,"",IFERROR(TRIM(INDEX('Pegar docentes'!$A$1:$BZ$1001,371,B$2)&amp;""),""))</f>
        <v/>
      </c>
      <c r="C372">
        <f>IF(C$2=0,"",IFERROR(TRIM(INDEX('Pegar docentes'!$A$1:$BZ$1001,371,C$2)&amp;""),""))</f>
        <v/>
      </c>
      <c r="D372">
        <f>IF(D$2=0,"",IFERROR(TRIM(INDEX('Pegar docentes'!$A$1:$BZ$1001,371,D$2)&amp;""),""))</f>
        <v/>
      </c>
      <c r="E372">
        <f>IF(E$2=0,"",IFERROR(TRIM(INDEX('Pegar docentes'!$A$1:$BZ$1001,371,E$2)&amp;""),""))</f>
        <v/>
      </c>
      <c r="F372">
        <f>IF(F$2=0,"",IFERROR(TRIM(INDEX('Pegar docentes'!$A$1:$BZ$1001,371,F$2)&amp;""),""))</f>
        <v/>
      </c>
      <c r="G372">
        <f>IF(G$2=0,"",IFERROR(TRIM(INDEX('Pegar docentes'!$A$1:$BZ$1001,371,G$2)&amp;""),""))</f>
        <v/>
      </c>
      <c r="H372">
        <f>IF(H$2=0,"",IFERROR(TRIM(INDEX('Pegar docentes'!$A$1:$BZ$1001,371,H$2)&amp;""),""))</f>
        <v/>
      </c>
      <c r="I372">
        <f>IF(I$2=0,"",IFERROR(TRIM(INDEX('Pegar docentes'!$A$1:$BZ$1001,371,I$2)&amp;""),""))</f>
        <v/>
      </c>
      <c r="J372">
        <f>IF(J$2=0,"",IFERROR(TRIM(INDEX('Pegar docentes'!$A$1:$BZ$1001,371,J$2)&amp;""),""))</f>
        <v/>
      </c>
      <c r="K372">
        <f>IF(K$2=0,"",IFERROR(TRIM(INDEX('Pegar docentes'!$A$1:$BZ$1001,371,K$2)&amp;""),""))</f>
        <v/>
      </c>
      <c r="L372">
        <f>IF(L$2=0,"",IFERROR(TRIM(INDEX('Pegar docentes'!$A$1:$BZ$1001,371,L$2)&amp;""),""))</f>
        <v/>
      </c>
      <c r="M372">
        <f>IF(M$2=0,"",IFERROR(TRIM(INDEX('Pegar docentes'!$A$1:$BZ$1001,371,M$2)&amp;""),""))</f>
        <v/>
      </c>
      <c r="N372">
        <f>IF(N$2=0,"",IFERROR(TRIM(INDEX('Pegar docentes'!$A$1:$BZ$1001,371,N$2)&amp;""),""))</f>
        <v/>
      </c>
      <c r="O372">
        <f>IF(O$2=0,"",IFERROR(TRIM(INDEX('Pegar docentes'!$A$1:$BZ$1001,371,O$2)&amp;""),""))</f>
        <v/>
      </c>
      <c r="P372">
        <f>IF(P$2=0,"",IFERROR(TRIM(INDEX('Pegar docentes'!$A$1:$BZ$1001,371,P$2)&amp;""),""))</f>
        <v/>
      </c>
      <c r="Q372" s="25">
        <f>IF(OR(D372&lt;&gt;"",H372&lt;&gt;""),1,"")</f>
        <v/>
      </c>
      <c r="R372" s="25">
        <f>IF(Q372=1,IF(ISNUMBER(FIND("#"&amp;MID(D372,1,1)&amp;"#","#0#1#2#3#4#5#6#7#8#9#")),IF(ISNUMBER(FIND("#"&amp;MID(D372,2,1)&amp;"#","#0#1#2#3#4#5#6#7#8#9#")),IF(AND(VALUE(LEFT(D372,2))&gt;=1,VALUE(LEFT(D372,2))&lt;=5),VALUE(LEFT(D372,2)),""),IF(AND(VALUE(LEFT(D372,1))&gt;=1,VALUE(LEFT(D372,1))&lt;=5),VALUE(LEFT(D372,1)),"")),""),"")</f>
        <v/>
      </c>
      <c r="S372" s="25">
        <f>IF(AND(Q372=1,E372&lt;&gt;""),SUBSTITUTE(SUBSTITUTE(SUBSTITUTE(SUBSTITUTE(SUBSTITUTE(SUBSTITUTE(SUBSTITUTE(SUBSTITUTE(SUBSTITUTE(SUBSTITUTE(SUBSTITUTE(SUBSTITUTE(LOWER(TRIM(E372)),"á","a"),"é","e"),"í","i"),"ó","o"),"ú","u"),"ü","u"),"ñ","n"),"à","a"),"è","e"),"ì","i"),"ò","o"),"ù","u"),"")</f>
        <v/>
      </c>
      <c r="T372" s="25">
        <f>IF(AND(Q372=1,G372&lt;&gt;""),SUBSTITUTE(SUBSTITUTE(SUBSTITUTE(SUBSTITUTE(SUBSTITUTE(SUBSTITUTE(SUBSTITUTE(SUBSTITUTE(SUBSTITUTE(SUBSTITUTE(SUBSTITUTE(SUBSTITUTE(LOWER(TRIM(G372)),"á","a"),"é","e"),"í","i"),"ó","o"),"ú","u"),"ü","u"),"ñ","n"),"à","a"),"è","e"),"ì","i"),"ò","o"),"ù","u"),"")</f>
        <v/>
      </c>
      <c r="U372" s="25">
        <f>IF(AND(Q372=1,H372&lt;&gt;""),SUBSTITUTE(SUBSTITUTE(SUBSTITUTE(SUBSTITUTE(SUBSTITUTE(SUBSTITUTE(SUBSTITUTE(SUBSTITUTE(SUBSTITUTE(SUBSTITUTE(SUBSTITUTE(SUBSTITUTE(LOWER(TRIM(H372)),"á","a"),"é","e"),"í","i"),"ó","o"),"ú","u"),"ü","u"),"ñ","n"),"à","a"),"è","e"),"ì","i"),"ò","o"),"ù","u"),"")</f>
        <v/>
      </c>
      <c r="V372" s="25">
        <f>IF(AND(Q372=1,L372&lt;&gt;""),SUBSTITUTE(SUBSTITUTE(SUBSTITUTE(SUBSTITUTE(SUBSTITUTE(SUBSTITUTE(SUBSTITUTE(SUBSTITUTE(SUBSTITUTE(SUBSTITUTE(SUBSTITUTE(SUBSTITUTE(LOWER(TRIM(L372)),"á","a"),"é","e"),"í","i"),"ó","o"),"ú","u"),"ü","u"),"ñ","n"),"à","a"),"è","e"),"ì","i"),"ò","o"),"ù","u"),"")</f>
        <v/>
      </c>
      <c r="W372" s="25">
        <f>IF(AND(Q372=1,I372&lt;&gt;""),SUBSTITUTE(SUBSTITUTE(SUBSTITUTE(SUBSTITUTE(SUBSTITUTE(SUBSTITUTE(SUBSTITUTE(SUBSTITUTE(SUBSTITUTE(SUBSTITUTE(SUBSTITUTE(SUBSTITUTE(LOWER(TRIM(I372)),"á","a"),"é","e"),"í","i"),"ó","o"),"ú","u"),"ü","u"),"ñ","n"),"à","a"),"è","e"),"ì","i"),"ò","o"),"ù","u"),"")</f>
        <v/>
      </c>
      <c r="X372" s="25">
        <f>IF(U372="","",IF(OR(U372="si, en la proxima tarea",U372="si, con cambios"),1,0))</f>
        <v/>
      </c>
      <c r="Y372" s="25">
        <f>IF(AND(Q372=1,A372&lt;&gt;""),IF(IFERROR(COUNTIFS(A$3:A372,"="&amp;SUBSTITUTE(SUBSTITUTE(SUBSTITUTE(A372,"~","~~"),"*","~*"),"?","~?"),Q$3:Q372,1),0)=1,MAX(Y$2:Y371)+1,""),"")</f>
        <v/>
      </c>
      <c r="Z372" s="25">
        <f>IF(Y372="","",COUNTIFS($A$3:$A$1002,"="&amp;SUBSTITUTE(SUBSTITUTE(SUBSTITUTE(A372,"~","~~"),"*","~*"),"?","~?"),$Q$3:$Q$1002,1)*10000-Y372)</f>
        <v/>
      </c>
    </row>
    <row r="373">
      <c r="A373">
        <f>IF(A$2=0,"",IFERROR(TRIM(INDEX('Pegar docentes'!$A$1:$BZ$1001,372,A$2)&amp;""),""))</f>
        <v/>
      </c>
      <c r="B373">
        <f>IF(B$2=0,"",IFERROR(TRIM(INDEX('Pegar docentes'!$A$1:$BZ$1001,372,B$2)&amp;""),""))</f>
        <v/>
      </c>
      <c r="C373">
        <f>IF(C$2=0,"",IFERROR(TRIM(INDEX('Pegar docentes'!$A$1:$BZ$1001,372,C$2)&amp;""),""))</f>
        <v/>
      </c>
      <c r="D373">
        <f>IF(D$2=0,"",IFERROR(TRIM(INDEX('Pegar docentes'!$A$1:$BZ$1001,372,D$2)&amp;""),""))</f>
        <v/>
      </c>
      <c r="E373">
        <f>IF(E$2=0,"",IFERROR(TRIM(INDEX('Pegar docentes'!$A$1:$BZ$1001,372,E$2)&amp;""),""))</f>
        <v/>
      </c>
      <c r="F373">
        <f>IF(F$2=0,"",IFERROR(TRIM(INDEX('Pegar docentes'!$A$1:$BZ$1001,372,F$2)&amp;""),""))</f>
        <v/>
      </c>
      <c r="G373">
        <f>IF(G$2=0,"",IFERROR(TRIM(INDEX('Pegar docentes'!$A$1:$BZ$1001,372,G$2)&amp;""),""))</f>
        <v/>
      </c>
      <c r="H373">
        <f>IF(H$2=0,"",IFERROR(TRIM(INDEX('Pegar docentes'!$A$1:$BZ$1001,372,H$2)&amp;""),""))</f>
        <v/>
      </c>
      <c r="I373">
        <f>IF(I$2=0,"",IFERROR(TRIM(INDEX('Pegar docentes'!$A$1:$BZ$1001,372,I$2)&amp;""),""))</f>
        <v/>
      </c>
      <c r="J373">
        <f>IF(J$2=0,"",IFERROR(TRIM(INDEX('Pegar docentes'!$A$1:$BZ$1001,372,J$2)&amp;""),""))</f>
        <v/>
      </c>
      <c r="K373">
        <f>IF(K$2=0,"",IFERROR(TRIM(INDEX('Pegar docentes'!$A$1:$BZ$1001,372,K$2)&amp;""),""))</f>
        <v/>
      </c>
      <c r="L373">
        <f>IF(L$2=0,"",IFERROR(TRIM(INDEX('Pegar docentes'!$A$1:$BZ$1001,372,L$2)&amp;""),""))</f>
        <v/>
      </c>
      <c r="M373">
        <f>IF(M$2=0,"",IFERROR(TRIM(INDEX('Pegar docentes'!$A$1:$BZ$1001,372,M$2)&amp;""),""))</f>
        <v/>
      </c>
      <c r="N373">
        <f>IF(N$2=0,"",IFERROR(TRIM(INDEX('Pegar docentes'!$A$1:$BZ$1001,372,N$2)&amp;""),""))</f>
        <v/>
      </c>
      <c r="O373">
        <f>IF(O$2=0,"",IFERROR(TRIM(INDEX('Pegar docentes'!$A$1:$BZ$1001,372,O$2)&amp;""),""))</f>
        <v/>
      </c>
      <c r="P373">
        <f>IF(P$2=0,"",IFERROR(TRIM(INDEX('Pegar docentes'!$A$1:$BZ$1001,372,P$2)&amp;""),""))</f>
        <v/>
      </c>
      <c r="Q373" s="25">
        <f>IF(OR(D373&lt;&gt;"",H373&lt;&gt;""),1,"")</f>
        <v/>
      </c>
      <c r="R373" s="25">
        <f>IF(Q373=1,IF(ISNUMBER(FIND("#"&amp;MID(D373,1,1)&amp;"#","#0#1#2#3#4#5#6#7#8#9#")),IF(ISNUMBER(FIND("#"&amp;MID(D373,2,1)&amp;"#","#0#1#2#3#4#5#6#7#8#9#")),IF(AND(VALUE(LEFT(D373,2))&gt;=1,VALUE(LEFT(D373,2))&lt;=5),VALUE(LEFT(D373,2)),""),IF(AND(VALUE(LEFT(D373,1))&gt;=1,VALUE(LEFT(D373,1))&lt;=5),VALUE(LEFT(D373,1)),"")),""),"")</f>
        <v/>
      </c>
      <c r="S373" s="25">
        <f>IF(AND(Q373=1,E373&lt;&gt;""),SUBSTITUTE(SUBSTITUTE(SUBSTITUTE(SUBSTITUTE(SUBSTITUTE(SUBSTITUTE(SUBSTITUTE(SUBSTITUTE(SUBSTITUTE(SUBSTITUTE(SUBSTITUTE(SUBSTITUTE(LOWER(TRIM(E373)),"á","a"),"é","e"),"í","i"),"ó","o"),"ú","u"),"ü","u"),"ñ","n"),"à","a"),"è","e"),"ì","i"),"ò","o"),"ù","u"),"")</f>
        <v/>
      </c>
      <c r="T373" s="25">
        <f>IF(AND(Q373=1,G373&lt;&gt;""),SUBSTITUTE(SUBSTITUTE(SUBSTITUTE(SUBSTITUTE(SUBSTITUTE(SUBSTITUTE(SUBSTITUTE(SUBSTITUTE(SUBSTITUTE(SUBSTITUTE(SUBSTITUTE(SUBSTITUTE(LOWER(TRIM(G373)),"á","a"),"é","e"),"í","i"),"ó","o"),"ú","u"),"ü","u"),"ñ","n"),"à","a"),"è","e"),"ì","i"),"ò","o"),"ù","u"),"")</f>
        <v/>
      </c>
      <c r="U373" s="25">
        <f>IF(AND(Q373=1,H373&lt;&gt;""),SUBSTITUTE(SUBSTITUTE(SUBSTITUTE(SUBSTITUTE(SUBSTITUTE(SUBSTITUTE(SUBSTITUTE(SUBSTITUTE(SUBSTITUTE(SUBSTITUTE(SUBSTITUTE(SUBSTITUTE(LOWER(TRIM(H373)),"á","a"),"é","e"),"í","i"),"ó","o"),"ú","u"),"ü","u"),"ñ","n"),"à","a"),"è","e"),"ì","i"),"ò","o"),"ù","u"),"")</f>
        <v/>
      </c>
      <c r="V373" s="25">
        <f>IF(AND(Q373=1,L373&lt;&gt;""),SUBSTITUTE(SUBSTITUTE(SUBSTITUTE(SUBSTITUTE(SUBSTITUTE(SUBSTITUTE(SUBSTITUTE(SUBSTITUTE(SUBSTITUTE(SUBSTITUTE(SUBSTITUTE(SUBSTITUTE(LOWER(TRIM(L373)),"á","a"),"é","e"),"í","i"),"ó","o"),"ú","u"),"ü","u"),"ñ","n"),"à","a"),"è","e"),"ì","i"),"ò","o"),"ù","u"),"")</f>
        <v/>
      </c>
      <c r="W373" s="25">
        <f>IF(AND(Q373=1,I373&lt;&gt;""),SUBSTITUTE(SUBSTITUTE(SUBSTITUTE(SUBSTITUTE(SUBSTITUTE(SUBSTITUTE(SUBSTITUTE(SUBSTITUTE(SUBSTITUTE(SUBSTITUTE(SUBSTITUTE(SUBSTITUTE(LOWER(TRIM(I373)),"á","a"),"é","e"),"í","i"),"ó","o"),"ú","u"),"ü","u"),"ñ","n"),"à","a"),"è","e"),"ì","i"),"ò","o"),"ù","u"),"")</f>
        <v/>
      </c>
      <c r="X373" s="25">
        <f>IF(U373="","",IF(OR(U373="si, en la proxima tarea",U373="si, con cambios"),1,0))</f>
        <v/>
      </c>
      <c r="Y373" s="25">
        <f>IF(AND(Q373=1,A373&lt;&gt;""),IF(IFERROR(COUNTIFS(A$3:A373,"="&amp;SUBSTITUTE(SUBSTITUTE(SUBSTITUTE(A373,"~","~~"),"*","~*"),"?","~?"),Q$3:Q373,1),0)=1,MAX(Y$2:Y372)+1,""),"")</f>
        <v/>
      </c>
      <c r="Z373" s="25">
        <f>IF(Y373="","",COUNTIFS($A$3:$A$1002,"="&amp;SUBSTITUTE(SUBSTITUTE(SUBSTITUTE(A373,"~","~~"),"*","~*"),"?","~?"),$Q$3:$Q$1002,1)*10000-Y373)</f>
        <v/>
      </c>
    </row>
    <row r="374">
      <c r="A374">
        <f>IF(A$2=0,"",IFERROR(TRIM(INDEX('Pegar docentes'!$A$1:$BZ$1001,373,A$2)&amp;""),""))</f>
        <v/>
      </c>
      <c r="B374">
        <f>IF(B$2=0,"",IFERROR(TRIM(INDEX('Pegar docentes'!$A$1:$BZ$1001,373,B$2)&amp;""),""))</f>
        <v/>
      </c>
      <c r="C374">
        <f>IF(C$2=0,"",IFERROR(TRIM(INDEX('Pegar docentes'!$A$1:$BZ$1001,373,C$2)&amp;""),""))</f>
        <v/>
      </c>
      <c r="D374">
        <f>IF(D$2=0,"",IFERROR(TRIM(INDEX('Pegar docentes'!$A$1:$BZ$1001,373,D$2)&amp;""),""))</f>
        <v/>
      </c>
      <c r="E374">
        <f>IF(E$2=0,"",IFERROR(TRIM(INDEX('Pegar docentes'!$A$1:$BZ$1001,373,E$2)&amp;""),""))</f>
        <v/>
      </c>
      <c r="F374">
        <f>IF(F$2=0,"",IFERROR(TRIM(INDEX('Pegar docentes'!$A$1:$BZ$1001,373,F$2)&amp;""),""))</f>
        <v/>
      </c>
      <c r="G374">
        <f>IF(G$2=0,"",IFERROR(TRIM(INDEX('Pegar docentes'!$A$1:$BZ$1001,373,G$2)&amp;""),""))</f>
        <v/>
      </c>
      <c r="H374">
        <f>IF(H$2=0,"",IFERROR(TRIM(INDEX('Pegar docentes'!$A$1:$BZ$1001,373,H$2)&amp;""),""))</f>
        <v/>
      </c>
      <c r="I374">
        <f>IF(I$2=0,"",IFERROR(TRIM(INDEX('Pegar docentes'!$A$1:$BZ$1001,373,I$2)&amp;""),""))</f>
        <v/>
      </c>
      <c r="J374">
        <f>IF(J$2=0,"",IFERROR(TRIM(INDEX('Pegar docentes'!$A$1:$BZ$1001,373,J$2)&amp;""),""))</f>
        <v/>
      </c>
      <c r="K374">
        <f>IF(K$2=0,"",IFERROR(TRIM(INDEX('Pegar docentes'!$A$1:$BZ$1001,373,K$2)&amp;""),""))</f>
        <v/>
      </c>
      <c r="L374">
        <f>IF(L$2=0,"",IFERROR(TRIM(INDEX('Pegar docentes'!$A$1:$BZ$1001,373,L$2)&amp;""),""))</f>
        <v/>
      </c>
      <c r="M374">
        <f>IF(M$2=0,"",IFERROR(TRIM(INDEX('Pegar docentes'!$A$1:$BZ$1001,373,M$2)&amp;""),""))</f>
        <v/>
      </c>
      <c r="N374">
        <f>IF(N$2=0,"",IFERROR(TRIM(INDEX('Pegar docentes'!$A$1:$BZ$1001,373,N$2)&amp;""),""))</f>
        <v/>
      </c>
      <c r="O374">
        <f>IF(O$2=0,"",IFERROR(TRIM(INDEX('Pegar docentes'!$A$1:$BZ$1001,373,O$2)&amp;""),""))</f>
        <v/>
      </c>
      <c r="P374">
        <f>IF(P$2=0,"",IFERROR(TRIM(INDEX('Pegar docentes'!$A$1:$BZ$1001,373,P$2)&amp;""),""))</f>
        <v/>
      </c>
      <c r="Q374" s="25">
        <f>IF(OR(D374&lt;&gt;"",H374&lt;&gt;""),1,"")</f>
        <v/>
      </c>
      <c r="R374" s="25">
        <f>IF(Q374=1,IF(ISNUMBER(FIND("#"&amp;MID(D374,1,1)&amp;"#","#0#1#2#3#4#5#6#7#8#9#")),IF(ISNUMBER(FIND("#"&amp;MID(D374,2,1)&amp;"#","#0#1#2#3#4#5#6#7#8#9#")),IF(AND(VALUE(LEFT(D374,2))&gt;=1,VALUE(LEFT(D374,2))&lt;=5),VALUE(LEFT(D374,2)),""),IF(AND(VALUE(LEFT(D374,1))&gt;=1,VALUE(LEFT(D374,1))&lt;=5),VALUE(LEFT(D374,1)),"")),""),"")</f>
        <v/>
      </c>
      <c r="S374" s="25">
        <f>IF(AND(Q374=1,E374&lt;&gt;""),SUBSTITUTE(SUBSTITUTE(SUBSTITUTE(SUBSTITUTE(SUBSTITUTE(SUBSTITUTE(SUBSTITUTE(SUBSTITUTE(SUBSTITUTE(SUBSTITUTE(SUBSTITUTE(SUBSTITUTE(LOWER(TRIM(E374)),"á","a"),"é","e"),"í","i"),"ó","o"),"ú","u"),"ü","u"),"ñ","n"),"à","a"),"è","e"),"ì","i"),"ò","o"),"ù","u"),"")</f>
        <v/>
      </c>
      <c r="T374" s="25">
        <f>IF(AND(Q374=1,G374&lt;&gt;""),SUBSTITUTE(SUBSTITUTE(SUBSTITUTE(SUBSTITUTE(SUBSTITUTE(SUBSTITUTE(SUBSTITUTE(SUBSTITUTE(SUBSTITUTE(SUBSTITUTE(SUBSTITUTE(SUBSTITUTE(LOWER(TRIM(G374)),"á","a"),"é","e"),"í","i"),"ó","o"),"ú","u"),"ü","u"),"ñ","n"),"à","a"),"è","e"),"ì","i"),"ò","o"),"ù","u"),"")</f>
        <v/>
      </c>
      <c r="U374" s="25">
        <f>IF(AND(Q374=1,H374&lt;&gt;""),SUBSTITUTE(SUBSTITUTE(SUBSTITUTE(SUBSTITUTE(SUBSTITUTE(SUBSTITUTE(SUBSTITUTE(SUBSTITUTE(SUBSTITUTE(SUBSTITUTE(SUBSTITUTE(SUBSTITUTE(LOWER(TRIM(H374)),"á","a"),"é","e"),"í","i"),"ó","o"),"ú","u"),"ü","u"),"ñ","n"),"à","a"),"è","e"),"ì","i"),"ò","o"),"ù","u"),"")</f>
        <v/>
      </c>
      <c r="V374" s="25">
        <f>IF(AND(Q374=1,L374&lt;&gt;""),SUBSTITUTE(SUBSTITUTE(SUBSTITUTE(SUBSTITUTE(SUBSTITUTE(SUBSTITUTE(SUBSTITUTE(SUBSTITUTE(SUBSTITUTE(SUBSTITUTE(SUBSTITUTE(SUBSTITUTE(LOWER(TRIM(L374)),"á","a"),"é","e"),"í","i"),"ó","o"),"ú","u"),"ü","u"),"ñ","n"),"à","a"),"è","e"),"ì","i"),"ò","o"),"ù","u"),"")</f>
        <v/>
      </c>
      <c r="W374" s="25">
        <f>IF(AND(Q374=1,I374&lt;&gt;""),SUBSTITUTE(SUBSTITUTE(SUBSTITUTE(SUBSTITUTE(SUBSTITUTE(SUBSTITUTE(SUBSTITUTE(SUBSTITUTE(SUBSTITUTE(SUBSTITUTE(SUBSTITUTE(SUBSTITUTE(LOWER(TRIM(I374)),"á","a"),"é","e"),"í","i"),"ó","o"),"ú","u"),"ü","u"),"ñ","n"),"à","a"),"è","e"),"ì","i"),"ò","o"),"ù","u"),"")</f>
        <v/>
      </c>
      <c r="X374" s="25">
        <f>IF(U374="","",IF(OR(U374="si, en la proxima tarea",U374="si, con cambios"),1,0))</f>
        <v/>
      </c>
      <c r="Y374" s="25">
        <f>IF(AND(Q374=1,A374&lt;&gt;""),IF(IFERROR(COUNTIFS(A$3:A374,"="&amp;SUBSTITUTE(SUBSTITUTE(SUBSTITUTE(A374,"~","~~"),"*","~*"),"?","~?"),Q$3:Q374,1),0)=1,MAX(Y$2:Y373)+1,""),"")</f>
        <v/>
      </c>
      <c r="Z374" s="25">
        <f>IF(Y374="","",COUNTIFS($A$3:$A$1002,"="&amp;SUBSTITUTE(SUBSTITUTE(SUBSTITUTE(A374,"~","~~"),"*","~*"),"?","~?"),$Q$3:$Q$1002,1)*10000-Y374)</f>
        <v/>
      </c>
    </row>
    <row r="375">
      <c r="A375">
        <f>IF(A$2=0,"",IFERROR(TRIM(INDEX('Pegar docentes'!$A$1:$BZ$1001,374,A$2)&amp;""),""))</f>
        <v/>
      </c>
      <c r="B375">
        <f>IF(B$2=0,"",IFERROR(TRIM(INDEX('Pegar docentes'!$A$1:$BZ$1001,374,B$2)&amp;""),""))</f>
        <v/>
      </c>
      <c r="C375">
        <f>IF(C$2=0,"",IFERROR(TRIM(INDEX('Pegar docentes'!$A$1:$BZ$1001,374,C$2)&amp;""),""))</f>
        <v/>
      </c>
      <c r="D375">
        <f>IF(D$2=0,"",IFERROR(TRIM(INDEX('Pegar docentes'!$A$1:$BZ$1001,374,D$2)&amp;""),""))</f>
        <v/>
      </c>
      <c r="E375">
        <f>IF(E$2=0,"",IFERROR(TRIM(INDEX('Pegar docentes'!$A$1:$BZ$1001,374,E$2)&amp;""),""))</f>
        <v/>
      </c>
      <c r="F375">
        <f>IF(F$2=0,"",IFERROR(TRIM(INDEX('Pegar docentes'!$A$1:$BZ$1001,374,F$2)&amp;""),""))</f>
        <v/>
      </c>
      <c r="G375">
        <f>IF(G$2=0,"",IFERROR(TRIM(INDEX('Pegar docentes'!$A$1:$BZ$1001,374,G$2)&amp;""),""))</f>
        <v/>
      </c>
      <c r="H375">
        <f>IF(H$2=0,"",IFERROR(TRIM(INDEX('Pegar docentes'!$A$1:$BZ$1001,374,H$2)&amp;""),""))</f>
        <v/>
      </c>
      <c r="I375">
        <f>IF(I$2=0,"",IFERROR(TRIM(INDEX('Pegar docentes'!$A$1:$BZ$1001,374,I$2)&amp;""),""))</f>
        <v/>
      </c>
      <c r="J375">
        <f>IF(J$2=0,"",IFERROR(TRIM(INDEX('Pegar docentes'!$A$1:$BZ$1001,374,J$2)&amp;""),""))</f>
        <v/>
      </c>
      <c r="K375">
        <f>IF(K$2=0,"",IFERROR(TRIM(INDEX('Pegar docentes'!$A$1:$BZ$1001,374,K$2)&amp;""),""))</f>
        <v/>
      </c>
      <c r="L375">
        <f>IF(L$2=0,"",IFERROR(TRIM(INDEX('Pegar docentes'!$A$1:$BZ$1001,374,L$2)&amp;""),""))</f>
        <v/>
      </c>
      <c r="M375">
        <f>IF(M$2=0,"",IFERROR(TRIM(INDEX('Pegar docentes'!$A$1:$BZ$1001,374,M$2)&amp;""),""))</f>
        <v/>
      </c>
      <c r="N375">
        <f>IF(N$2=0,"",IFERROR(TRIM(INDEX('Pegar docentes'!$A$1:$BZ$1001,374,N$2)&amp;""),""))</f>
        <v/>
      </c>
      <c r="O375">
        <f>IF(O$2=0,"",IFERROR(TRIM(INDEX('Pegar docentes'!$A$1:$BZ$1001,374,O$2)&amp;""),""))</f>
        <v/>
      </c>
      <c r="P375">
        <f>IF(P$2=0,"",IFERROR(TRIM(INDEX('Pegar docentes'!$A$1:$BZ$1001,374,P$2)&amp;""),""))</f>
        <v/>
      </c>
      <c r="Q375" s="25">
        <f>IF(OR(D375&lt;&gt;"",H375&lt;&gt;""),1,"")</f>
        <v/>
      </c>
      <c r="R375" s="25">
        <f>IF(Q375=1,IF(ISNUMBER(FIND("#"&amp;MID(D375,1,1)&amp;"#","#0#1#2#3#4#5#6#7#8#9#")),IF(ISNUMBER(FIND("#"&amp;MID(D375,2,1)&amp;"#","#0#1#2#3#4#5#6#7#8#9#")),IF(AND(VALUE(LEFT(D375,2))&gt;=1,VALUE(LEFT(D375,2))&lt;=5),VALUE(LEFT(D375,2)),""),IF(AND(VALUE(LEFT(D375,1))&gt;=1,VALUE(LEFT(D375,1))&lt;=5),VALUE(LEFT(D375,1)),"")),""),"")</f>
        <v/>
      </c>
      <c r="S375" s="25">
        <f>IF(AND(Q375=1,E375&lt;&gt;""),SUBSTITUTE(SUBSTITUTE(SUBSTITUTE(SUBSTITUTE(SUBSTITUTE(SUBSTITUTE(SUBSTITUTE(SUBSTITUTE(SUBSTITUTE(SUBSTITUTE(SUBSTITUTE(SUBSTITUTE(LOWER(TRIM(E375)),"á","a"),"é","e"),"í","i"),"ó","o"),"ú","u"),"ü","u"),"ñ","n"),"à","a"),"è","e"),"ì","i"),"ò","o"),"ù","u"),"")</f>
        <v/>
      </c>
      <c r="T375" s="25">
        <f>IF(AND(Q375=1,G375&lt;&gt;""),SUBSTITUTE(SUBSTITUTE(SUBSTITUTE(SUBSTITUTE(SUBSTITUTE(SUBSTITUTE(SUBSTITUTE(SUBSTITUTE(SUBSTITUTE(SUBSTITUTE(SUBSTITUTE(SUBSTITUTE(LOWER(TRIM(G375)),"á","a"),"é","e"),"í","i"),"ó","o"),"ú","u"),"ü","u"),"ñ","n"),"à","a"),"è","e"),"ì","i"),"ò","o"),"ù","u"),"")</f>
        <v/>
      </c>
      <c r="U375" s="25">
        <f>IF(AND(Q375=1,H375&lt;&gt;""),SUBSTITUTE(SUBSTITUTE(SUBSTITUTE(SUBSTITUTE(SUBSTITUTE(SUBSTITUTE(SUBSTITUTE(SUBSTITUTE(SUBSTITUTE(SUBSTITUTE(SUBSTITUTE(SUBSTITUTE(LOWER(TRIM(H375)),"á","a"),"é","e"),"í","i"),"ó","o"),"ú","u"),"ü","u"),"ñ","n"),"à","a"),"è","e"),"ì","i"),"ò","o"),"ù","u"),"")</f>
        <v/>
      </c>
      <c r="V375" s="25">
        <f>IF(AND(Q375=1,L375&lt;&gt;""),SUBSTITUTE(SUBSTITUTE(SUBSTITUTE(SUBSTITUTE(SUBSTITUTE(SUBSTITUTE(SUBSTITUTE(SUBSTITUTE(SUBSTITUTE(SUBSTITUTE(SUBSTITUTE(SUBSTITUTE(LOWER(TRIM(L375)),"á","a"),"é","e"),"í","i"),"ó","o"),"ú","u"),"ü","u"),"ñ","n"),"à","a"),"è","e"),"ì","i"),"ò","o"),"ù","u"),"")</f>
        <v/>
      </c>
      <c r="W375" s="25">
        <f>IF(AND(Q375=1,I375&lt;&gt;""),SUBSTITUTE(SUBSTITUTE(SUBSTITUTE(SUBSTITUTE(SUBSTITUTE(SUBSTITUTE(SUBSTITUTE(SUBSTITUTE(SUBSTITUTE(SUBSTITUTE(SUBSTITUTE(SUBSTITUTE(LOWER(TRIM(I375)),"á","a"),"é","e"),"í","i"),"ó","o"),"ú","u"),"ü","u"),"ñ","n"),"à","a"),"è","e"),"ì","i"),"ò","o"),"ù","u"),"")</f>
        <v/>
      </c>
      <c r="X375" s="25">
        <f>IF(U375="","",IF(OR(U375="si, en la proxima tarea",U375="si, con cambios"),1,0))</f>
        <v/>
      </c>
      <c r="Y375" s="25">
        <f>IF(AND(Q375=1,A375&lt;&gt;""),IF(IFERROR(COUNTIFS(A$3:A375,"="&amp;SUBSTITUTE(SUBSTITUTE(SUBSTITUTE(A375,"~","~~"),"*","~*"),"?","~?"),Q$3:Q375,1),0)=1,MAX(Y$2:Y374)+1,""),"")</f>
        <v/>
      </c>
      <c r="Z375" s="25">
        <f>IF(Y375="","",COUNTIFS($A$3:$A$1002,"="&amp;SUBSTITUTE(SUBSTITUTE(SUBSTITUTE(A375,"~","~~"),"*","~*"),"?","~?"),$Q$3:$Q$1002,1)*10000-Y375)</f>
        <v/>
      </c>
    </row>
    <row r="376">
      <c r="A376">
        <f>IF(A$2=0,"",IFERROR(TRIM(INDEX('Pegar docentes'!$A$1:$BZ$1001,375,A$2)&amp;""),""))</f>
        <v/>
      </c>
      <c r="B376">
        <f>IF(B$2=0,"",IFERROR(TRIM(INDEX('Pegar docentes'!$A$1:$BZ$1001,375,B$2)&amp;""),""))</f>
        <v/>
      </c>
      <c r="C376">
        <f>IF(C$2=0,"",IFERROR(TRIM(INDEX('Pegar docentes'!$A$1:$BZ$1001,375,C$2)&amp;""),""))</f>
        <v/>
      </c>
      <c r="D376">
        <f>IF(D$2=0,"",IFERROR(TRIM(INDEX('Pegar docentes'!$A$1:$BZ$1001,375,D$2)&amp;""),""))</f>
        <v/>
      </c>
      <c r="E376">
        <f>IF(E$2=0,"",IFERROR(TRIM(INDEX('Pegar docentes'!$A$1:$BZ$1001,375,E$2)&amp;""),""))</f>
        <v/>
      </c>
      <c r="F376">
        <f>IF(F$2=0,"",IFERROR(TRIM(INDEX('Pegar docentes'!$A$1:$BZ$1001,375,F$2)&amp;""),""))</f>
        <v/>
      </c>
      <c r="G376">
        <f>IF(G$2=0,"",IFERROR(TRIM(INDEX('Pegar docentes'!$A$1:$BZ$1001,375,G$2)&amp;""),""))</f>
        <v/>
      </c>
      <c r="H376">
        <f>IF(H$2=0,"",IFERROR(TRIM(INDEX('Pegar docentes'!$A$1:$BZ$1001,375,H$2)&amp;""),""))</f>
        <v/>
      </c>
      <c r="I376">
        <f>IF(I$2=0,"",IFERROR(TRIM(INDEX('Pegar docentes'!$A$1:$BZ$1001,375,I$2)&amp;""),""))</f>
        <v/>
      </c>
      <c r="J376">
        <f>IF(J$2=0,"",IFERROR(TRIM(INDEX('Pegar docentes'!$A$1:$BZ$1001,375,J$2)&amp;""),""))</f>
        <v/>
      </c>
      <c r="K376">
        <f>IF(K$2=0,"",IFERROR(TRIM(INDEX('Pegar docentes'!$A$1:$BZ$1001,375,K$2)&amp;""),""))</f>
        <v/>
      </c>
      <c r="L376">
        <f>IF(L$2=0,"",IFERROR(TRIM(INDEX('Pegar docentes'!$A$1:$BZ$1001,375,L$2)&amp;""),""))</f>
        <v/>
      </c>
      <c r="M376">
        <f>IF(M$2=0,"",IFERROR(TRIM(INDEX('Pegar docentes'!$A$1:$BZ$1001,375,M$2)&amp;""),""))</f>
        <v/>
      </c>
      <c r="N376">
        <f>IF(N$2=0,"",IFERROR(TRIM(INDEX('Pegar docentes'!$A$1:$BZ$1001,375,N$2)&amp;""),""))</f>
        <v/>
      </c>
      <c r="O376">
        <f>IF(O$2=0,"",IFERROR(TRIM(INDEX('Pegar docentes'!$A$1:$BZ$1001,375,O$2)&amp;""),""))</f>
        <v/>
      </c>
      <c r="P376">
        <f>IF(P$2=0,"",IFERROR(TRIM(INDEX('Pegar docentes'!$A$1:$BZ$1001,375,P$2)&amp;""),""))</f>
        <v/>
      </c>
      <c r="Q376" s="25">
        <f>IF(OR(D376&lt;&gt;"",H376&lt;&gt;""),1,"")</f>
        <v/>
      </c>
      <c r="R376" s="25">
        <f>IF(Q376=1,IF(ISNUMBER(FIND("#"&amp;MID(D376,1,1)&amp;"#","#0#1#2#3#4#5#6#7#8#9#")),IF(ISNUMBER(FIND("#"&amp;MID(D376,2,1)&amp;"#","#0#1#2#3#4#5#6#7#8#9#")),IF(AND(VALUE(LEFT(D376,2))&gt;=1,VALUE(LEFT(D376,2))&lt;=5),VALUE(LEFT(D376,2)),""),IF(AND(VALUE(LEFT(D376,1))&gt;=1,VALUE(LEFT(D376,1))&lt;=5),VALUE(LEFT(D376,1)),"")),""),"")</f>
        <v/>
      </c>
      <c r="S376" s="25">
        <f>IF(AND(Q376=1,E376&lt;&gt;""),SUBSTITUTE(SUBSTITUTE(SUBSTITUTE(SUBSTITUTE(SUBSTITUTE(SUBSTITUTE(SUBSTITUTE(SUBSTITUTE(SUBSTITUTE(SUBSTITUTE(SUBSTITUTE(SUBSTITUTE(LOWER(TRIM(E376)),"á","a"),"é","e"),"í","i"),"ó","o"),"ú","u"),"ü","u"),"ñ","n"),"à","a"),"è","e"),"ì","i"),"ò","o"),"ù","u"),"")</f>
        <v/>
      </c>
      <c r="T376" s="25">
        <f>IF(AND(Q376=1,G376&lt;&gt;""),SUBSTITUTE(SUBSTITUTE(SUBSTITUTE(SUBSTITUTE(SUBSTITUTE(SUBSTITUTE(SUBSTITUTE(SUBSTITUTE(SUBSTITUTE(SUBSTITUTE(SUBSTITUTE(SUBSTITUTE(LOWER(TRIM(G376)),"á","a"),"é","e"),"í","i"),"ó","o"),"ú","u"),"ü","u"),"ñ","n"),"à","a"),"è","e"),"ì","i"),"ò","o"),"ù","u"),"")</f>
        <v/>
      </c>
      <c r="U376" s="25">
        <f>IF(AND(Q376=1,H376&lt;&gt;""),SUBSTITUTE(SUBSTITUTE(SUBSTITUTE(SUBSTITUTE(SUBSTITUTE(SUBSTITUTE(SUBSTITUTE(SUBSTITUTE(SUBSTITUTE(SUBSTITUTE(SUBSTITUTE(SUBSTITUTE(LOWER(TRIM(H376)),"á","a"),"é","e"),"í","i"),"ó","o"),"ú","u"),"ü","u"),"ñ","n"),"à","a"),"è","e"),"ì","i"),"ò","o"),"ù","u"),"")</f>
        <v/>
      </c>
      <c r="V376" s="25">
        <f>IF(AND(Q376=1,L376&lt;&gt;""),SUBSTITUTE(SUBSTITUTE(SUBSTITUTE(SUBSTITUTE(SUBSTITUTE(SUBSTITUTE(SUBSTITUTE(SUBSTITUTE(SUBSTITUTE(SUBSTITUTE(SUBSTITUTE(SUBSTITUTE(LOWER(TRIM(L376)),"á","a"),"é","e"),"í","i"),"ó","o"),"ú","u"),"ü","u"),"ñ","n"),"à","a"),"è","e"),"ì","i"),"ò","o"),"ù","u"),"")</f>
        <v/>
      </c>
      <c r="W376" s="25">
        <f>IF(AND(Q376=1,I376&lt;&gt;""),SUBSTITUTE(SUBSTITUTE(SUBSTITUTE(SUBSTITUTE(SUBSTITUTE(SUBSTITUTE(SUBSTITUTE(SUBSTITUTE(SUBSTITUTE(SUBSTITUTE(SUBSTITUTE(SUBSTITUTE(LOWER(TRIM(I376)),"á","a"),"é","e"),"í","i"),"ó","o"),"ú","u"),"ü","u"),"ñ","n"),"à","a"),"è","e"),"ì","i"),"ò","o"),"ù","u"),"")</f>
        <v/>
      </c>
      <c r="X376" s="25">
        <f>IF(U376="","",IF(OR(U376="si, en la proxima tarea",U376="si, con cambios"),1,0))</f>
        <v/>
      </c>
      <c r="Y376" s="25">
        <f>IF(AND(Q376=1,A376&lt;&gt;""),IF(IFERROR(COUNTIFS(A$3:A376,"="&amp;SUBSTITUTE(SUBSTITUTE(SUBSTITUTE(A376,"~","~~"),"*","~*"),"?","~?"),Q$3:Q376,1),0)=1,MAX(Y$2:Y375)+1,""),"")</f>
        <v/>
      </c>
      <c r="Z376" s="25">
        <f>IF(Y376="","",COUNTIFS($A$3:$A$1002,"="&amp;SUBSTITUTE(SUBSTITUTE(SUBSTITUTE(A376,"~","~~"),"*","~*"),"?","~?"),$Q$3:$Q$1002,1)*10000-Y376)</f>
        <v/>
      </c>
    </row>
    <row r="377">
      <c r="A377">
        <f>IF(A$2=0,"",IFERROR(TRIM(INDEX('Pegar docentes'!$A$1:$BZ$1001,376,A$2)&amp;""),""))</f>
        <v/>
      </c>
      <c r="B377">
        <f>IF(B$2=0,"",IFERROR(TRIM(INDEX('Pegar docentes'!$A$1:$BZ$1001,376,B$2)&amp;""),""))</f>
        <v/>
      </c>
      <c r="C377">
        <f>IF(C$2=0,"",IFERROR(TRIM(INDEX('Pegar docentes'!$A$1:$BZ$1001,376,C$2)&amp;""),""))</f>
        <v/>
      </c>
      <c r="D377">
        <f>IF(D$2=0,"",IFERROR(TRIM(INDEX('Pegar docentes'!$A$1:$BZ$1001,376,D$2)&amp;""),""))</f>
        <v/>
      </c>
      <c r="E377">
        <f>IF(E$2=0,"",IFERROR(TRIM(INDEX('Pegar docentes'!$A$1:$BZ$1001,376,E$2)&amp;""),""))</f>
        <v/>
      </c>
      <c r="F377">
        <f>IF(F$2=0,"",IFERROR(TRIM(INDEX('Pegar docentes'!$A$1:$BZ$1001,376,F$2)&amp;""),""))</f>
        <v/>
      </c>
      <c r="G377">
        <f>IF(G$2=0,"",IFERROR(TRIM(INDEX('Pegar docentes'!$A$1:$BZ$1001,376,G$2)&amp;""),""))</f>
        <v/>
      </c>
      <c r="H377">
        <f>IF(H$2=0,"",IFERROR(TRIM(INDEX('Pegar docentes'!$A$1:$BZ$1001,376,H$2)&amp;""),""))</f>
        <v/>
      </c>
      <c r="I377">
        <f>IF(I$2=0,"",IFERROR(TRIM(INDEX('Pegar docentes'!$A$1:$BZ$1001,376,I$2)&amp;""),""))</f>
        <v/>
      </c>
      <c r="J377">
        <f>IF(J$2=0,"",IFERROR(TRIM(INDEX('Pegar docentes'!$A$1:$BZ$1001,376,J$2)&amp;""),""))</f>
        <v/>
      </c>
      <c r="K377">
        <f>IF(K$2=0,"",IFERROR(TRIM(INDEX('Pegar docentes'!$A$1:$BZ$1001,376,K$2)&amp;""),""))</f>
        <v/>
      </c>
      <c r="L377">
        <f>IF(L$2=0,"",IFERROR(TRIM(INDEX('Pegar docentes'!$A$1:$BZ$1001,376,L$2)&amp;""),""))</f>
        <v/>
      </c>
      <c r="M377">
        <f>IF(M$2=0,"",IFERROR(TRIM(INDEX('Pegar docentes'!$A$1:$BZ$1001,376,M$2)&amp;""),""))</f>
        <v/>
      </c>
      <c r="N377">
        <f>IF(N$2=0,"",IFERROR(TRIM(INDEX('Pegar docentes'!$A$1:$BZ$1001,376,N$2)&amp;""),""))</f>
        <v/>
      </c>
      <c r="O377">
        <f>IF(O$2=0,"",IFERROR(TRIM(INDEX('Pegar docentes'!$A$1:$BZ$1001,376,O$2)&amp;""),""))</f>
        <v/>
      </c>
      <c r="P377">
        <f>IF(P$2=0,"",IFERROR(TRIM(INDEX('Pegar docentes'!$A$1:$BZ$1001,376,P$2)&amp;""),""))</f>
        <v/>
      </c>
      <c r="Q377" s="25">
        <f>IF(OR(D377&lt;&gt;"",H377&lt;&gt;""),1,"")</f>
        <v/>
      </c>
      <c r="R377" s="25">
        <f>IF(Q377=1,IF(ISNUMBER(FIND("#"&amp;MID(D377,1,1)&amp;"#","#0#1#2#3#4#5#6#7#8#9#")),IF(ISNUMBER(FIND("#"&amp;MID(D377,2,1)&amp;"#","#0#1#2#3#4#5#6#7#8#9#")),IF(AND(VALUE(LEFT(D377,2))&gt;=1,VALUE(LEFT(D377,2))&lt;=5),VALUE(LEFT(D377,2)),""),IF(AND(VALUE(LEFT(D377,1))&gt;=1,VALUE(LEFT(D377,1))&lt;=5),VALUE(LEFT(D377,1)),"")),""),"")</f>
        <v/>
      </c>
      <c r="S377" s="25">
        <f>IF(AND(Q377=1,E377&lt;&gt;""),SUBSTITUTE(SUBSTITUTE(SUBSTITUTE(SUBSTITUTE(SUBSTITUTE(SUBSTITUTE(SUBSTITUTE(SUBSTITUTE(SUBSTITUTE(SUBSTITUTE(SUBSTITUTE(SUBSTITUTE(LOWER(TRIM(E377)),"á","a"),"é","e"),"í","i"),"ó","o"),"ú","u"),"ü","u"),"ñ","n"),"à","a"),"è","e"),"ì","i"),"ò","o"),"ù","u"),"")</f>
        <v/>
      </c>
      <c r="T377" s="25">
        <f>IF(AND(Q377=1,G377&lt;&gt;""),SUBSTITUTE(SUBSTITUTE(SUBSTITUTE(SUBSTITUTE(SUBSTITUTE(SUBSTITUTE(SUBSTITUTE(SUBSTITUTE(SUBSTITUTE(SUBSTITUTE(SUBSTITUTE(SUBSTITUTE(LOWER(TRIM(G377)),"á","a"),"é","e"),"í","i"),"ó","o"),"ú","u"),"ü","u"),"ñ","n"),"à","a"),"è","e"),"ì","i"),"ò","o"),"ù","u"),"")</f>
        <v/>
      </c>
      <c r="U377" s="25">
        <f>IF(AND(Q377=1,H377&lt;&gt;""),SUBSTITUTE(SUBSTITUTE(SUBSTITUTE(SUBSTITUTE(SUBSTITUTE(SUBSTITUTE(SUBSTITUTE(SUBSTITUTE(SUBSTITUTE(SUBSTITUTE(SUBSTITUTE(SUBSTITUTE(LOWER(TRIM(H377)),"á","a"),"é","e"),"í","i"),"ó","o"),"ú","u"),"ü","u"),"ñ","n"),"à","a"),"è","e"),"ì","i"),"ò","o"),"ù","u"),"")</f>
        <v/>
      </c>
      <c r="V377" s="25">
        <f>IF(AND(Q377=1,L377&lt;&gt;""),SUBSTITUTE(SUBSTITUTE(SUBSTITUTE(SUBSTITUTE(SUBSTITUTE(SUBSTITUTE(SUBSTITUTE(SUBSTITUTE(SUBSTITUTE(SUBSTITUTE(SUBSTITUTE(SUBSTITUTE(LOWER(TRIM(L377)),"á","a"),"é","e"),"í","i"),"ó","o"),"ú","u"),"ü","u"),"ñ","n"),"à","a"),"è","e"),"ì","i"),"ò","o"),"ù","u"),"")</f>
        <v/>
      </c>
      <c r="W377" s="25">
        <f>IF(AND(Q377=1,I377&lt;&gt;""),SUBSTITUTE(SUBSTITUTE(SUBSTITUTE(SUBSTITUTE(SUBSTITUTE(SUBSTITUTE(SUBSTITUTE(SUBSTITUTE(SUBSTITUTE(SUBSTITUTE(SUBSTITUTE(SUBSTITUTE(LOWER(TRIM(I377)),"á","a"),"é","e"),"í","i"),"ó","o"),"ú","u"),"ü","u"),"ñ","n"),"à","a"),"è","e"),"ì","i"),"ò","o"),"ù","u"),"")</f>
        <v/>
      </c>
      <c r="X377" s="25">
        <f>IF(U377="","",IF(OR(U377="si, en la proxima tarea",U377="si, con cambios"),1,0))</f>
        <v/>
      </c>
      <c r="Y377" s="25">
        <f>IF(AND(Q377=1,A377&lt;&gt;""),IF(IFERROR(COUNTIFS(A$3:A377,"="&amp;SUBSTITUTE(SUBSTITUTE(SUBSTITUTE(A377,"~","~~"),"*","~*"),"?","~?"),Q$3:Q377,1),0)=1,MAX(Y$2:Y376)+1,""),"")</f>
        <v/>
      </c>
      <c r="Z377" s="25">
        <f>IF(Y377="","",COUNTIFS($A$3:$A$1002,"="&amp;SUBSTITUTE(SUBSTITUTE(SUBSTITUTE(A377,"~","~~"),"*","~*"),"?","~?"),$Q$3:$Q$1002,1)*10000-Y377)</f>
        <v/>
      </c>
    </row>
    <row r="378">
      <c r="A378">
        <f>IF(A$2=0,"",IFERROR(TRIM(INDEX('Pegar docentes'!$A$1:$BZ$1001,377,A$2)&amp;""),""))</f>
        <v/>
      </c>
      <c r="B378">
        <f>IF(B$2=0,"",IFERROR(TRIM(INDEX('Pegar docentes'!$A$1:$BZ$1001,377,B$2)&amp;""),""))</f>
        <v/>
      </c>
      <c r="C378">
        <f>IF(C$2=0,"",IFERROR(TRIM(INDEX('Pegar docentes'!$A$1:$BZ$1001,377,C$2)&amp;""),""))</f>
        <v/>
      </c>
      <c r="D378">
        <f>IF(D$2=0,"",IFERROR(TRIM(INDEX('Pegar docentes'!$A$1:$BZ$1001,377,D$2)&amp;""),""))</f>
        <v/>
      </c>
      <c r="E378">
        <f>IF(E$2=0,"",IFERROR(TRIM(INDEX('Pegar docentes'!$A$1:$BZ$1001,377,E$2)&amp;""),""))</f>
        <v/>
      </c>
      <c r="F378">
        <f>IF(F$2=0,"",IFERROR(TRIM(INDEX('Pegar docentes'!$A$1:$BZ$1001,377,F$2)&amp;""),""))</f>
        <v/>
      </c>
      <c r="G378">
        <f>IF(G$2=0,"",IFERROR(TRIM(INDEX('Pegar docentes'!$A$1:$BZ$1001,377,G$2)&amp;""),""))</f>
        <v/>
      </c>
      <c r="H378">
        <f>IF(H$2=0,"",IFERROR(TRIM(INDEX('Pegar docentes'!$A$1:$BZ$1001,377,H$2)&amp;""),""))</f>
        <v/>
      </c>
      <c r="I378">
        <f>IF(I$2=0,"",IFERROR(TRIM(INDEX('Pegar docentes'!$A$1:$BZ$1001,377,I$2)&amp;""),""))</f>
        <v/>
      </c>
      <c r="J378">
        <f>IF(J$2=0,"",IFERROR(TRIM(INDEX('Pegar docentes'!$A$1:$BZ$1001,377,J$2)&amp;""),""))</f>
        <v/>
      </c>
      <c r="K378">
        <f>IF(K$2=0,"",IFERROR(TRIM(INDEX('Pegar docentes'!$A$1:$BZ$1001,377,K$2)&amp;""),""))</f>
        <v/>
      </c>
      <c r="L378">
        <f>IF(L$2=0,"",IFERROR(TRIM(INDEX('Pegar docentes'!$A$1:$BZ$1001,377,L$2)&amp;""),""))</f>
        <v/>
      </c>
      <c r="M378">
        <f>IF(M$2=0,"",IFERROR(TRIM(INDEX('Pegar docentes'!$A$1:$BZ$1001,377,M$2)&amp;""),""))</f>
        <v/>
      </c>
      <c r="N378">
        <f>IF(N$2=0,"",IFERROR(TRIM(INDEX('Pegar docentes'!$A$1:$BZ$1001,377,N$2)&amp;""),""))</f>
        <v/>
      </c>
      <c r="O378">
        <f>IF(O$2=0,"",IFERROR(TRIM(INDEX('Pegar docentes'!$A$1:$BZ$1001,377,O$2)&amp;""),""))</f>
        <v/>
      </c>
      <c r="P378">
        <f>IF(P$2=0,"",IFERROR(TRIM(INDEX('Pegar docentes'!$A$1:$BZ$1001,377,P$2)&amp;""),""))</f>
        <v/>
      </c>
      <c r="Q378" s="25">
        <f>IF(OR(D378&lt;&gt;"",H378&lt;&gt;""),1,"")</f>
        <v/>
      </c>
      <c r="R378" s="25">
        <f>IF(Q378=1,IF(ISNUMBER(FIND("#"&amp;MID(D378,1,1)&amp;"#","#0#1#2#3#4#5#6#7#8#9#")),IF(ISNUMBER(FIND("#"&amp;MID(D378,2,1)&amp;"#","#0#1#2#3#4#5#6#7#8#9#")),IF(AND(VALUE(LEFT(D378,2))&gt;=1,VALUE(LEFT(D378,2))&lt;=5),VALUE(LEFT(D378,2)),""),IF(AND(VALUE(LEFT(D378,1))&gt;=1,VALUE(LEFT(D378,1))&lt;=5),VALUE(LEFT(D378,1)),"")),""),"")</f>
        <v/>
      </c>
      <c r="S378" s="25">
        <f>IF(AND(Q378=1,E378&lt;&gt;""),SUBSTITUTE(SUBSTITUTE(SUBSTITUTE(SUBSTITUTE(SUBSTITUTE(SUBSTITUTE(SUBSTITUTE(SUBSTITUTE(SUBSTITUTE(SUBSTITUTE(SUBSTITUTE(SUBSTITUTE(LOWER(TRIM(E378)),"á","a"),"é","e"),"í","i"),"ó","o"),"ú","u"),"ü","u"),"ñ","n"),"à","a"),"è","e"),"ì","i"),"ò","o"),"ù","u"),"")</f>
        <v/>
      </c>
      <c r="T378" s="25">
        <f>IF(AND(Q378=1,G378&lt;&gt;""),SUBSTITUTE(SUBSTITUTE(SUBSTITUTE(SUBSTITUTE(SUBSTITUTE(SUBSTITUTE(SUBSTITUTE(SUBSTITUTE(SUBSTITUTE(SUBSTITUTE(SUBSTITUTE(SUBSTITUTE(LOWER(TRIM(G378)),"á","a"),"é","e"),"í","i"),"ó","o"),"ú","u"),"ü","u"),"ñ","n"),"à","a"),"è","e"),"ì","i"),"ò","o"),"ù","u"),"")</f>
        <v/>
      </c>
      <c r="U378" s="25">
        <f>IF(AND(Q378=1,H378&lt;&gt;""),SUBSTITUTE(SUBSTITUTE(SUBSTITUTE(SUBSTITUTE(SUBSTITUTE(SUBSTITUTE(SUBSTITUTE(SUBSTITUTE(SUBSTITUTE(SUBSTITUTE(SUBSTITUTE(SUBSTITUTE(LOWER(TRIM(H378)),"á","a"),"é","e"),"í","i"),"ó","o"),"ú","u"),"ü","u"),"ñ","n"),"à","a"),"è","e"),"ì","i"),"ò","o"),"ù","u"),"")</f>
        <v/>
      </c>
      <c r="V378" s="25">
        <f>IF(AND(Q378=1,L378&lt;&gt;""),SUBSTITUTE(SUBSTITUTE(SUBSTITUTE(SUBSTITUTE(SUBSTITUTE(SUBSTITUTE(SUBSTITUTE(SUBSTITUTE(SUBSTITUTE(SUBSTITUTE(SUBSTITUTE(SUBSTITUTE(LOWER(TRIM(L378)),"á","a"),"é","e"),"í","i"),"ó","o"),"ú","u"),"ü","u"),"ñ","n"),"à","a"),"è","e"),"ì","i"),"ò","o"),"ù","u"),"")</f>
        <v/>
      </c>
      <c r="W378" s="25">
        <f>IF(AND(Q378=1,I378&lt;&gt;""),SUBSTITUTE(SUBSTITUTE(SUBSTITUTE(SUBSTITUTE(SUBSTITUTE(SUBSTITUTE(SUBSTITUTE(SUBSTITUTE(SUBSTITUTE(SUBSTITUTE(SUBSTITUTE(SUBSTITUTE(LOWER(TRIM(I378)),"á","a"),"é","e"),"í","i"),"ó","o"),"ú","u"),"ü","u"),"ñ","n"),"à","a"),"è","e"),"ì","i"),"ò","o"),"ù","u"),"")</f>
        <v/>
      </c>
      <c r="X378" s="25">
        <f>IF(U378="","",IF(OR(U378="si, en la proxima tarea",U378="si, con cambios"),1,0))</f>
        <v/>
      </c>
      <c r="Y378" s="25">
        <f>IF(AND(Q378=1,A378&lt;&gt;""),IF(IFERROR(COUNTIFS(A$3:A378,"="&amp;SUBSTITUTE(SUBSTITUTE(SUBSTITUTE(A378,"~","~~"),"*","~*"),"?","~?"),Q$3:Q378,1),0)=1,MAX(Y$2:Y377)+1,""),"")</f>
        <v/>
      </c>
      <c r="Z378" s="25">
        <f>IF(Y378="","",COUNTIFS($A$3:$A$1002,"="&amp;SUBSTITUTE(SUBSTITUTE(SUBSTITUTE(A378,"~","~~"),"*","~*"),"?","~?"),$Q$3:$Q$1002,1)*10000-Y378)</f>
        <v/>
      </c>
    </row>
    <row r="379">
      <c r="A379">
        <f>IF(A$2=0,"",IFERROR(TRIM(INDEX('Pegar docentes'!$A$1:$BZ$1001,378,A$2)&amp;""),""))</f>
        <v/>
      </c>
      <c r="B379">
        <f>IF(B$2=0,"",IFERROR(TRIM(INDEX('Pegar docentes'!$A$1:$BZ$1001,378,B$2)&amp;""),""))</f>
        <v/>
      </c>
      <c r="C379">
        <f>IF(C$2=0,"",IFERROR(TRIM(INDEX('Pegar docentes'!$A$1:$BZ$1001,378,C$2)&amp;""),""))</f>
        <v/>
      </c>
      <c r="D379">
        <f>IF(D$2=0,"",IFERROR(TRIM(INDEX('Pegar docentes'!$A$1:$BZ$1001,378,D$2)&amp;""),""))</f>
        <v/>
      </c>
      <c r="E379">
        <f>IF(E$2=0,"",IFERROR(TRIM(INDEX('Pegar docentes'!$A$1:$BZ$1001,378,E$2)&amp;""),""))</f>
        <v/>
      </c>
      <c r="F379">
        <f>IF(F$2=0,"",IFERROR(TRIM(INDEX('Pegar docentes'!$A$1:$BZ$1001,378,F$2)&amp;""),""))</f>
        <v/>
      </c>
      <c r="G379">
        <f>IF(G$2=0,"",IFERROR(TRIM(INDEX('Pegar docentes'!$A$1:$BZ$1001,378,G$2)&amp;""),""))</f>
        <v/>
      </c>
      <c r="H379">
        <f>IF(H$2=0,"",IFERROR(TRIM(INDEX('Pegar docentes'!$A$1:$BZ$1001,378,H$2)&amp;""),""))</f>
        <v/>
      </c>
      <c r="I379">
        <f>IF(I$2=0,"",IFERROR(TRIM(INDEX('Pegar docentes'!$A$1:$BZ$1001,378,I$2)&amp;""),""))</f>
        <v/>
      </c>
      <c r="J379">
        <f>IF(J$2=0,"",IFERROR(TRIM(INDEX('Pegar docentes'!$A$1:$BZ$1001,378,J$2)&amp;""),""))</f>
        <v/>
      </c>
      <c r="K379">
        <f>IF(K$2=0,"",IFERROR(TRIM(INDEX('Pegar docentes'!$A$1:$BZ$1001,378,K$2)&amp;""),""))</f>
        <v/>
      </c>
      <c r="L379">
        <f>IF(L$2=0,"",IFERROR(TRIM(INDEX('Pegar docentes'!$A$1:$BZ$1001,378,L$2)&amp;""),""))</f>
        <v/>
      </c>
      <c r="M379">
        <f>IF(M$2=0,"",IFERROR(TRIM(INDEX('Pegar docentes'!$A$1:$BZ$1001,378,M$2)&amp;""),""))</f>
        <v/>
      </c>
      <c r="N379">
        <f>IF(N$2=0,"",IFERROR(TRIM(INDEX('Pegar docentes'!$A$1:$BZ$1001,378,N$2)&amp;""),""))</f>
        <v/>
      </c>
      <c r="O379">
        <f>IF(O$2=0,"",IFERROR(TRIM(INDEX('Pegar docentes'!$A$1:$BZ$1001,378,O$2)&amp;""),""))</f>
        <v/>
      </c>
      <c r="P379">
        <f>IF(P$2=0,"",IFERROR(TRIM(INDEX('Pegar docentes'!$A$1:$BZ$1001,378,P$2)&amp;""),""))</f>
        <v/>
      </c>
      <c r="Q379" s="25">
        <f>IF(OR(D379&lt;&gt;"",H379&lt;&gt;""),1,"")</f>
        <v/>
      </c>
      <c r="R379" s="25">
        <f>IF(Q379=1,IF(ISNUMBER(FIND("#"&amp;MID(D379,1,1)&amp;"#","#0#1#2#3#4#5#6#7#8#9#")),IF(ISNUMBER(FIND("#"&amp;MID(D379,2,1)&amp;"#","#0#1#2#3#4#5#6#7#8#9#")),IF(AND(VALUE(LEFT(D379,2))&gt;=1,VALUE(LEFT(D379,2))&lt;=5),VALUE(LEFT(D379,2)),""),IF(AND(VALUE(LEFT(D379,1))&gt;=1,VALUE(LEFT(D379,1))&lt;=5),VALUE(LEFT(D379,1)),"")),""),"")</f>
        <v/>
      </c>
      <c r="S379" s="25">
        <f>IF(AND(Q379=1,E379&lt;&gt;""),SUBSTITUTE(SUBSTITUTE(SUBSTITUTE(SUBSTITUTE(SUBSTITUTE(SUBSTITUTE(SUBSTITUTE(SUBSTITUTE(SUBSTITUTE(SUBSTITUTE(SUBSTITUTE(SUBSTITUTE(LOWER(TRIM(E379)),"á","a"),"é","e"),"í","i"),"ó","o"),"ú","u"),"ü","u"),"ñ","n"),"à","a"),"è","e"),"ì","i"),"ò","o"),"ù","u"),"")</f>
        <v/>
      </c>
      <c r="T379" s="25">
        <f>IF(AND(Q379=1,G379&lt;&gt;""),SUBSTITUTE(SUBSTITUTE(SUBSTITUTE(SUBSTITUTE(SUBSTITUTE(SUBSTITUTE(SUBSTITUTE(SUBSTITUTE(SUBSTITUTE(SUBSTITUTE(SUBSTITUTE(SUBSTITUTE(LOWER(TRIM(G379)),"á","a"),"é","e"),"í","i"),"ó","o"),"ú","u"),"ü","u"),"ñ","n"),"à","a"),"è","e"),"ì","i"),"ò","o"),"ù","u"),"")</f>
        <v/>
      </c>
      <c r="U379" s="25">
        <f>IF(AND(Q379=1,H379&lt;&gt;""),SUBSTITUTE(SUBSTITUTE(SUBSTITUTE(SUBSTITUTE(SUBSTITUTE(SUBSTITUTE(SUBSTITUTE(SUBSTITUTE(SUBSTITUTE(SUBSTITUTE(SUBSTITUTE(SUBSTITUTE(LOWER(TRIM(H379)),"á","a"),"é","e"),"í","i"),"ó","o"),"ú","u"),"ü","u"),"ñ","n"),"à","a"),"è","e"),"ì","i"),"ò","o"),"ù","u"),"")</f>
        <v/>
      </c>
      <c r="V379" s="25">
        <f>IF(AND(Q379=1,L379&lt;&gt;""),SUBSTITUTE(SUBSTITUTE(SUBSTITUTE(SUBSTITUTE(SUBSTITUTE(SUBSTITUTE(SUBSTITUTE(SUBSTITUTE(SUBSTITUTE(SUBSTITUTE(SUBSTITUTE(SUBSTITUTE(LOWER(TRIM(L379)),"á","a"),"é","e"),"í","i"),"ó","o"),"ú","u"),"ü","u"),"ñ","n"),"à","a"),"è","e"),"ì","i"),"ò","o"),"ù","u"),"")</f>
        <v/>
      </c>
      <c r="W379" s="25">
        <f>IF(AND(Q379=1,I379&lt;&gt;""),SUBSTITUTE(SUBSTITUTE(SUBSTITUTE(SUBSTITUTE(SUBSTITUTE(SUBSTITUTE(SUBSTITUTE(SUBSTITUTE(SUBSTITUTE(SUBSTITUTE(SUBSTITUTE(SUBSTITUTE(LOWER(TRIM(I379)),"á","a"),"é","e"),"í","i"),"ó","o"),"ú","u"),"ü","u"),"ñ","n"),"à","a"),"è","e"),"ì","i"),"ò","o"),"ù","u"),"")</f>
        <v/>
      </c>
      <c r="X379" s="25">
        <f>IF(U379="","",IF(OR(U379="si, en la proxima tarea",U379="si, con cambios"),1,0))</f>
        <v/>
      </c>
      <c r="Y379" s="25">
        <f>IF(AND(Q379=1,A379&lt;&gt;""),IF(IFERROR(COUNTIFS(A$3:A379,"="&amp;SUBSTITUTE(SUBSTITUTE(SUBSTITUTE(A379,"~","~~"),"*","~*"),"?","~?"),Q$3:Q379,1),0)=1,MAX(Y$2:Y378)+1,""),"")</f>
        <v/>
      </c>
      <c r="Z379" s="25">
        <f>IF(Y379="","",COUNTIFS($A$3:$A$1002,"="&amp;SUBSTITUTE(SUBSTITUTE(SUBSTITUTE(A379,"~","~~"),"*","~*"),"?","~?"),$Q$3:$Q$1002,1)*10000-Y379)</f>
        <v/>
      </c>
    </row>
    <row r="380">
      <c r="A380">
        <f>IF(A$2=0,"",IFERROR(TRIM(INDEX('Pegar docentes'!$A$1:$BZ$1001,379,A$2)&amp;""),""))</f>
        <v/>
      </c>
      <c r="B380">
        <f>IF(B$2=0,"",IFERROR(TRIM(INDEX('Pegar docentes'!$A$1:$BZ$1001,379,B$2)&amp;""),""))</f>
        <v/>
      </c>
      <c r="C380">
        <f>IF(C$2=0,"",IFERROR(TRIM(INDEX('Pegar docentes'!$A$1:$BZ$1001,379,C$2)&amp;""),""))</f>
        <v/>
      </c>
      <c r="D380">
        <f>IF(D$2=0,"",IFERROR(TRIM(INDEX('Pegar docentes'!$A$1:$BZ$1001,379,D$2)&amp;""),""))</f>
        <v/>
      </c>
      <c r="E380">
        <f>IF(E$2=0,"",IFERROR(TRIM(INDEX('Pegar docentes'!$A$1:$BZ$1001,379,E$2)&amp;""),""))</f>
        <v/>
      </c>
      <c r="F380">
        <f>IF(F$2=0,"",IFERROR(TRIM(INDEX('Pegar docentes'!$A$1:$BZ$1001,379,F$2)&amp;""),""))</f>
        <v/>
      </c>
      <c r="G380">
        <f>IF(G$2=0,"",IFERROR(TRIM(INDEX('Pegar docentes'!$A$1:$BZ$1001,379,G$2)&amp;""),""))</f>
        <v/>
      </c>
      <c r="H380">
        <f>IF(H$2=0,"",IFERROR(TRIM(INDEX('Pegar docentes'!$A$1:$BZ$1001,379,H$2)&amp;""),""))</f>
        <v/>
      </c>
      <c r="I380">
        <f>IF(I$2=0,"",IFERROR(TRIM(INDEX('Pegar docentes'!$A$1:$BZ$1001,379,I$2)&amp;""),""))</f>
        <v/>
      </c>
      <c r="J380">
        <f>IF(J$2=0,"",IFERROR(TRIM(INDEX('Pegar docentes'!$A$1:$BZ$1001,379,J$2)&amp;""),""))</f>
        <v/>
      </c>
      <c r="K380">
        <f>IF(K$2=0,"",IFERROR(TRIM(INDEX('Pegar docentes'!$A$1:$BZ$1001,379,K$2)&amp;""),""))</f>
        <v/>
      </c>
      <c r="L380">
        <f>IF(L$2=0,"",IFERROR(TRIM(INDEX('Pegar docentes'!$A$1:$BZ$1001,379,L$2)&amp;""),""))</f>
        <v/>
      </c>
      <c r="M380">
        <f>IF(M$2=0,"",IFERROR(TRIM(INDEX('Pegar docentes'!$A$1:$BZ$1001,379,M$2)&amp;""),""))</f>
        <v/>
      </c>
      <c r="N380">
        <f>IF(N$2=0,"",IFERROR(TRIM(INDEX('Pegar docentes'!$A$1:$BZ$1001,379,N$2)&amp;""),""))</f>
        <v/>
      </c>
      <c r="O380">
        <f>IF(O$2=0,"",IFERROR(TRIM(INDEX('Pegar docentes'!$A$1:$BZ$1001,379,O$2)&amp;""),""))</f>
        <v/>
      </c>
      <c r="P380">
        <f>IF(P$2=0,"",IFERROR(TRIM(INDEX('Pegar docentes'!$A$1:$BZ$1001,379,P$2)&amp;""),""))</f>
        <v/>
      </c>
      <c r="Q380" s="25">
        <f>IF(OR(D380&lt;&gt;"",H380&lt;&gt;""),1,"")</f>
        <v/>
      </c>
      <c r="R380" s="25">
        <f>IF(Q380=1,IF(ISNUMBER(FIND("#"&amp;MID(D380,1,1)&amp;"#","#0#1#2#3#4#5#6#7#8#9#")),IF(ISNUMBER(FIND("#"&amp;MID(D380,2,1)&amp;"#","#0#1#2#3#4#5#6#7#8#9#")),IF(AND(VALUE(LEFT(D380,2))&gt;=1,VALUE(LEFT(D380,2))&lt;=5),VALUE(LEFT(D380,2)),""),IF(AND(VALUE(LEFT(D380,1))&gt;=1,VALUE(LEFT(D380,1))&lt;=5),VALUE(LEFT(D380,1)),"")),""),"")</f>
        <v/>
      </c>
      <c r="S380" s="25">
        <f>IF(AND(Q380=1,E380&lt;&gt;""),SUBSTITUTE(SUBSTITUTE(SUBSTITUTE(SUBSTITUTE(SUBSTITUTE(SUBSTITUTE(SUBSTITUTE(SUBSTITUTE(SUBSTITUTE(SUBSTITUTE(SUBSTITUTE(SUBSTITUTE(LOWER(TRIM(E380)),"á","a"),"é","e"),"í","i"),"ó","o"),"ú","u"),"ü","u"),"ñ","n"),"à","a"),"è","e"),"ì","i"),"ò","o"),"ù","u"),"")</f>
        <v/>
      </c>
      <c r="T380" s="25">
        <f>IF(AND(Q380=1,G380&lt;&gt;""),SUBSTITUTE(SUBSTITUTE(SUBSTITUTE(SUBSTITUTE(SUBSTITUTE(SUBSTITUTE(SUBSTITUTE(SUBSTITUTE(SUBSTITUTE(SUBSTITUTE(SUBSTITUTE(SUBSTITUTE(LOWER(TRIM(G380)),"á","a"),"é","e"),"í","i"),"ó","o"),"ú","u"),"ü","u"),"ñ","n"),"à","a"),"è","e"),"ì","i"),"ò","o"),"ù","u"),"")</f>
        <v/>
      </c>
      <c r="U380" s="25">
        <f>IF(AND(Q380=1,H380&lt;&gt;""),SUBSTITUTE(SUBSTITUTE(SUBSTITUTE(SUBSTITUTE(SUBSTITUTE(SUBSTITUTE(SUBSTITUTE(SUBSTITUTE(SUBSTITUTE(SUBSTITUTE(SUBSTITUTE(SUBSTITUTE(LOWER(TRIM(H380)),"á","a"),"é","e"),"í","i"),"ó","o"),"ú","u"),"ü","u"),"ñ","n"),"à","a"),"è","e"),"ì","i"),"ò","o"),"ù","u"),"")</f>
        <v/>
      </c>
      <c r="V380" s="25">
        <f>IF(AND(Q380=1,L380&lt;&gt;""),SUBSTITUTE(SUBSTITUTE(SUBSTITUTE(SUBSTITUTE(SUBSTITUTE(SUBSTITUTE(SUBSTITUTE(SUBSTITUTE(SUBSTITUTE(SUBSTITUTE(SUBSTITUTE(SUBSTITUTE(LOWER(TRIM(L380)),"á","a"),"é","e"),"í","i"),"ó","o"),"ú","u"),"ü","u"),"ñ","n"),"à","a"),"è","e"),"ì","i"),"ò","o"),"ù","u"),"")</f>
        <v/>
      </c>
      <c r="W380" s="25">
        <f>IF(AND(Q380=1,I380&lt;&gt;""),SUBSTITUTE(SUBSTITUTE(SUBSTITUTE(SUBSTITUTE(SUBSTITUTE(SUBSTITUTE(SUBSTITUTE(SUBSTITUTE(SUBSTITUTE(SUBSTITUTE(SUBSTITUTE(SUBSTITUTE(LOWER(TRIM(I380)),"á","a"),"é","e"),"í","i"),"ó","o"),"ú","u"),"ü","u"),"ñ","n"),"à","a"),"è","e"),"ì","i"),"ò","o"),"ù","u"),"")</f>
        <v/>
      </c>
      <c r="X380" s="25">
        <f>IF(U380="","",IF(OR(U380="si, en la proxima tarea",U380="si, con cambios"),1,0))</f>
        <v/>
      </c>
      <c r="Y380" s="25">
        <f>IF(AND(Q380=1,A380&lt;&gt;""),IF(IFERROR(COUNTIFS(A$3:A380,"="&amp;SUBSTITUTE(SUBSTITUTE(SUBSTITUTE(A380,"~","~~"),"*","~*"),"?","~?"),Q$3:Q380,1),0)=1,MAX(Y$2:Y379)+1,""),"")</f>
        <v/>
      </c>
      <c r="Z380" s="25">
        <f>IF(Y380="","",COUNTIFS($A$3:$A$1002,"="&amp;SUBSTITUTE(SUBSTITUTE(SUBSTITUTE(A380,"~","~~"),"*","~*"),"?","~?"),$Q$3:$Q$1002,1)*10000-Y380)</f>
        <v/>
      </c>
    </row>
    <row r="381">
      <c r="A381">
        <f>IF(A$2=0,"",IFERROR(TRIM(INDEX('Pegar docentes'!$A$1:$BZ$1001,380,A$2)&amp;""),""))</f>
        <v/>
      </c>
      <c r="B381">
        <f>IF(B$2=0,"",IFERROR(TRIM(INDEX('Pegar docentes'!$A$1:$BZ$1001,380,B$2)&amp;""),""))</f>
        <v/>
      </c>
      <c r="C381">
        <f>IF(C$2=0,"",IFERROR(TRIM(INDEX('Pegar docentes'!$A$1:$BZ$1001,380,C$2)&amp;""),""))</f>
        <v/>
      </c>
      <c r="D381">
        <f>IF(D$2=0,"",IFERROR(TRIM(INDEX('Pegar docentes'!$A$1:$BZ$1001,380,D$2)&amp;""),""))</f>
        <v/>
      </c>
      <c r="E381">
        <f>IF(E$2=0,"",IFERROR(TRIM(INDEX('Pegar docentes'!$A$1:$BZ$1001,380,E$2)&amp;""),""))</f>
        <v/>
      </c>
      <c r="F381">
        <f>IF(F$2=0,"",IFERROR(TRIM(INDEX('Pegar docentes'!$A$1:$BZ$1001,380,F$2)&amp;""),""))</f>
        <v/>
      </c>
      <c r="G381">
        <f>IF(G$2=0,"",IFERROR(TRIM(INDEX('Pegar docentes'!$A$1:$BZ$1001,380,G$2)&amp;""),""))</f>
        <v/>
      </c>
      <c r="H381">
        <f>IF(H$2=0,"",IFERROR(TRIM(INDEX('Pegar docentes'!$A$1:$BZ$1001,380,H$2)&amp;""),""))</f>
        <v/>
      </c>
      <c r="I381">
        <f>IF(I$2=0,"",IFERROR(TRIM(INDEX('Pegar docentes'!$A$1:$BZ$1001,380,I$2)&amp;""),""))</f>
        <v/>
      </c>
      <c r="J381">
        <f>IF(J$2=0,"",IFERROR(TRIM(INDEX('Pegar docentes'!$A$1:$BZ$1001,380,J$2)&amp;""),""))</f>
        <v/>
      </c>
      <c r="K381">
        <f>IF(K$2=0,"",IFERROR(TRIM(INDEX('Pegar docentes'!$A$1:$BZ$1001,380,K$2)&amp;""),""))</f>
        <v/>
      </c>
      <c r="L381">
        <f>IF(L$2=0,"",IFERROR(TRIM(INDEX('Pegar docentes'!$A$1:$BZ$1001,380,L$2)&amp;""),""))</f>
        <v/>
      </c>
      <c r="M381">
        <f>IF(M$2=0,"",IFERROR(TRIM(INDEX('Pegar docentes'!$A$1:$BZ$1001,380,M$2)&amp;""),""))</f>
        <v/>
      </c>
      <c r="N381">
        <f>IF(N$2=0,"",IFERROR(TRIM(INDEX('Pegar docentes'!$A$1:$BZ$1001,380,N$2)&amp;""),""))</f>
        <v/>
      </c>
      <c r="O381">
        <f>IF(O$2=0,"",IFERROR(TRIM(INDEX('Pegar docentes'!$A$1:$BZ$1001,380,O$2)&amp;""),""))</f>
        <v/>
      </c>
      <c r="P381">
        <f>IF(P$2=0,"",IFERROR(TRIM(INDEX('Pegar docentes'!$A$1:$BZ$1001,380,P$2)&amp;""),""))</f>
        <v/>
      </c>
      <c r="Q381" s="25">
        <f>IF(OR(D381&lt;&gt;"",H381&lt;&gt;""),1,"")</f>
        <v/>
      </c>
      <c r="R381" s="25">
        <f>IF(Q381=1,IF(ISNUMBER(FIND("#"&amp;MID(D381,1,1)&amp;"#","#0#1#2#3#4#5#6#7#8#9#")),IF(ISNUMBER(FIND("#"&amp;MID(D381,2,1)&amp;"#","#0#1#2#3#4#5#6#7#8#9#")),IF(AND(VALUE(LEFT(D381,2))&gt;=1,VALUE(LEFT(D381,2))&lt;=5),VALUE(LEFT(D381,2)),""),IF(AND(VALUE(LEFT(D381,1))&gt;=1,VALUE(LEFT(D381,1))&lt;=5),VALUE(LEFT(D381,1)),"")),""),"")</f>
        <v/>
      </c>
      <c r="S381" s="25">
        <f>IF(AND(Q381=1,E381&lt;&gt;""),SUBSTITUTE(SUBSTITUTE(SUBSTITUTE(SUBSTITUTE(SUBSTITUTE(SUBSTITUTE(SUBSTITUTE(SUBSTITUTE(SUBSTITUTE(SUBSTITUTE(SUBSTITUTE(SUBSTITUTE(LOWER(TRIM(E381)),"á","a"),"é","e"),"í","i"),"ó","o"),"ú","u"),"ü","u"),"ñ","n"),"à","a"),"è","e"),"ì","i"),"ò","o"),"ù","u"),"")</f>
        <v/>
      </c>
      <c r="T381" s="25">
        <f>IF(AND(Q381=1,G381&lt;&gt;""),SUBSTITUTE(SUBSTITUTE(SUBSTITUTE(SUBSTITUTE(SUBSTITUTE(SUBSTITUTE(SUBSTITUTE(SUBSTITUTE(SUBSTITUTE(SUBSTITUTE(SUBSTITUTE(SUBSTITUTE(LOWER(TRIM(G381)),"á","a"),"é","e"),"í","i"),"ó","o"),"ú","u"),"ü","u"),"ñ","n"),"à","a"),"è","e"),"ì","i"),"ò","o"),"ù","u"),"")</f>
        <v/>
      </c>
      <c r="U381" s="25">
        <f>IF(AND(Q381=1,H381&lt;&gt;""),SUBSTITUTE(SUBSTITUTE(SUBSTITUTE(SUBSTITUTE(SUBSTITUTE(SUBSTITUTE(SUBSTITUTE(SUBSTITUTE(SUBSTITUTE(SUBSTITUTE(SUBSTITUTE(SUBSTITUTE(LOWER(TRIM(H381)),"á","a"),"é","e"),"í","i"),"ó","o"),"ú","u"),"ü","u"),"ñ","n"),"à","a"),"è","e"),"ì","i"),"ò","o"),"ù","u"),"")</f>
        <v/>
      </c>
      <c r="V381" s="25">
        <f>IF(AND(Q381=1,L381&lt;&gt;""),SUBSTITUTE(SUBSTITUTE(SUBSTITUTE(SUBSTITUTE(SUBSTITUTE(SUBSTITUTE(SUBSTITUTE(SUBSTITUTE(SUBSTITUTE(SUBSTITUTE(SUBSTITUTE(SUBSTITUTE(LOWER(TRIM(L381)),"á","a"),"é","e"),"í","i"),"ó","o"),"ú","u"),"ü","u"),"ñ","n"),"à","a"),"è","e"),"ì","i"),"ò","o"),"ù","u"),"")</f>
        <v/>
      </c>
      <c r="W381" s="25">
        <f>IF(AND(Q381=1,I381&lt;&gt;""),SUBSTITUTE(SUBSTITUTE(SUBSTITUTE(SUBSTITUTE(SUBSTITUTE(SUBSTITUTE(SUBSTITUTE(SUBSTITUTE(SUBSTITUTE(SUBSTITUTE(SUBSTITUTE(SUBSTITUTE(LOWER(TRIM(I381)),"á","a"),"é","e"),"í","i"),"ó","o"),"ú","u"),"ü","u"),"ñ","n"),"à","a"),"è","e"),"ì","i"),"ò","o"),"ù","u"),"")</f>
        <v/>
      </c>
      <c r="X381" s="25">
        <f>IF(U381="","",IF(OR(U381="si, en la proxima tarea",U381="si, con cambios"),1,0))</f>
        <v/>
      </c>
      <c r="Y381" s="25">
        <f>IF(AND(Q381=1,A381&lt;&gt;""),IF(IFERROR(COUNTIFS(A$3:A381,"="&amp;SUBSTITUTE(SUBSTITUTE(SUBSTITUTE(A381,"~","~~"),"*","~*"),"?","~?"),Q$3:Q381,1),0)=1,MAX(Y$2:Y380)+1,""),"")</f>
        <v/>
      </c>
      <c r="Z381" s="25">
        <f>IF(Y381="","",COUNTIFS($A$3:$A$1002,"="&amp;SUBSTITUTE(SUBSTITUTE(SUBSTITUTE(A381,"~","~~"),"*","~*"),"?","~?"),$Q$3:$Q$1002,1)*10000-Y381)</f>
        <v/>
      </c>
    </row>
    <row r="382">
      <c r="A382">
        <f>IF(A$2=0,"",IFERROR(TRIM(INDEX('Pegar docentes'!$A$1:$BZ$1001,381,A$2)&amp;""),""))</f>
        <v/>
      </c>
      <c r="B382">
        <f>IF(B$2=0,"",IFERROR(TRIM(INDEX('Pegar docentes'!$A$1:$BZ$1001,381,B$2)&amp;""),""))</f>
        <v/>
      </c>
      <c r="C382">
        <f>IF(C$2=0,"",IFERROR(TRIM(INDEX('Pegar docentes'!$A$1:$BZ$1001,381,C$2)&amp;""),""))</f>
        <v/>
      </c>
      <c r="D382">
        <f>IF(D$2=0,"",IFERROR(TRIM(INDEX('Pegar docentes'!$A$1:$BZ$1001,381,D$2)&amp;""),""))</f>
        <v/>
      </c>
      <c r="E382">
        <f>IF(E$2=0,"",IFERROR(TRIM(INDEX('Pegar docentes'!$A$1:$BZ$1001,381,E$2)&amp;""),""))</f>
        <v/>
      </c>
      <c r="F382">
        <f>IF(F$2=0,"",IFERROR(TRIM(INDEX('Pegar docentes'!$A$1:$BZ$1001,381,F$2)&amp;""),""))</f>
        <v/>
      </c>
      <c r="G382">
        <f>IF(G$2=0,"",IFERROR(TRIM(INDEX('Pegar docentes'!$A$1:$BZ$1001,381,G$2)&amp;""),""))</f>
        <v/>
      </c>
      <c r="H382">
        <f>IF(H$2=0,"",IFERROR(TRIM(INDEX('Pegar docentes'!$A$1:$BZ$1001,381,H$2)&amp;""),""))</f>
        <v/>
      </c>
      <c r="I382">
        <f>IF(I$2=0,"",IFERROR(TRIM(INDEX('Pegar docentes'!$A$1:$BZ$1001,381,I$2)&amp;""),""))</f>
        <v/>
      </c>
      <c r="J382">
        <f>IF(J$2=0,"",IFERROR(TRIM(INDEX('Pegar docentes'!$A$1:$BZ$1001,381,J$2)&amp;""),""))</f>
        <v/>
      </c>
      <c r="K382">
        <f>IF(K$2=0,"",IFERROR(TRIM(INDEX('Pegar docentes'!$A$1:$BZ$1001,381,K$2)&amp;""),""))</f>
        <v/>
      </c>
      <c r="L382">
        <f>IF(L$2=0,"",IFERROR(TRIM(INDEX('Pegar docentes'!$A$1:$BZ$1001,381,L$2)&amp;""),""))</f>
        <v/>
      </c>
      <c r="M382">
        <f>IF(M$2=0,"",IFERROR(TRIM(INDEX('Pegar docentes'!$A$1:$BZ$1001,381,M$2)&amp;""),""))</f>
        <v/>
      </c>
      <c r="N382">
        <f>IF(N$2=0,"",IFERROR(TRIM(INDEX('Pegar docentes'!$A$1:$BZ$1001,381,N$2)&amp;""),""))</f>
        <v/>
      </c>
      <c r="O382">
        <f>IF(O$2=0,"",IFERROR(TRIM(INDEX('Pegar docentes'!$A$1:$BZ$1001,381,O$2)&amp;""),""))</f>
        <v/>
      </c>
      <c r="P382">
        <f>IF(P$2=0,"",IFERROR(TRIM(INDEX('Pegar docentes'!$A$1:$BZ$1001,381,P$2)&amp;""),""))</f>
        <v/>
      </c>
      <c r="Q382" s="25">
        <f>IF(OR(D382&lt;&gt;"",H382&lt;&gt;""),1,"")</f>
        <v/>
      </c>
      <c r="R382" s="25">
        <f>IF(Q382=1,IF(ISNUMBER(FIND("#"&amp;MID(D382,1,1)&amp;"#","#0#1#2#3#4#5#6#7#8#9#")),IF(ISNUMBER(FIND("#"&amp;MID(D382,2,1)&amp;"#","#0#1#2#3#4#5#6#7#8#9#")),IF(AND(VALUE(LEFT(D382,2))&gt;=1,VALUE(LEFT(D382,2))&lt;=5),VALUE(LEFT(D382,2)),""),IF(AND(VALUE(LEFT(D382,1))&gt;=1,VALUE(LEFT(D382,1))&lt;=5),VALUE(LEFT(D382,1)),"")),""),"")</f>
        <v/>
      </c>
      <c r="S382" s="25">
        <f>IF(AND(Q382=1,E382&lt;&gt;""),SUBSTITUTE(SUBSTITUTE(SUBSTITUTE(SUBSTITUTE(SUBSTITUTE(SUBSTITUTE(SUBSTITUTE(SUBSTITUTE(SUBSTITUTE(SUBSTITUTE(SUBSTITUTE(SUBSTITUTE(LOWER(TRIM(E382)),"á","a"),"é","e"),"í","i"),"ó","o"),"ú","u"),"ü","u"),"ñ","n"),"à","a"),"è","e"),"ì","i"),"ò","o"),"ù","u"),"")</f>
        <v/>
      </c>
      <c r="T382" s="25">
        <f>IF(AND(Q382=1,G382&lt;&gt;""),SUBSTITUTE(SUBSTITUTE(SUBSTITUTE(SUBSTITUTE(SUBSTITUTE(SUBSTITUTE(SUBSTITUTE(SUBSTITUTE(SUBSTITUTE(SUBSTITUTE(SUBSTITUTE(SUBSTITUTE(LOWER(TRIM(G382)),"á","a"),"é","e"),"í","i"),"ó","o"),"ú","u"),"ü","u"),"ñ","n"),"à","a"),"è","e"),"ì","i"),"ò","o"),"ù","u"),"")</f>
        <v/>
      </c>
      <c r="U382" s="25">
        <f>IF(AND(Q382=1,H382&lt;&gt;""),SUBSTITUTE(SUBSTITUTE(SUBSTITUTE(SUBSTITUTE(SUBSTITUTE(SUBSTITUTE(SUBSTITUTE(SUBSTITUTE(SUBSTITUTE(SUBSTITUTE(SUBSTITUTE(SUBSTITUTE(LOWER(TRIM(H382)),"á","a"),"é","e"),"í","i"),"ó","o"),"ú","u"),"ü","u"),"ñ","n"),"à","a"),"è","e"),"ì","i"),"ò","o"),"ù","u"),"")</f>
        <v/>
      </c>
      <c r="V382" s="25">
        <f>IF(AND(Q382=1,L382&lt;&gt;""),SUBSTITUTE(SUBSTITUTE(SUBSTITUTE(SUBSTITUTE(SUBSTITUTE(SUBSTITUTE(SUBSTITUTE(SUBSTITUTE(SUBSTITUTE(SUBSTITUTE(SUBSTITUTE(SUBSTITUTE(LOWER(TRIM(L382)),"á","a"),"é","e"),"í","i"),"ó","o"),"ú","u"),"ü","u"),"ñ","n"),"à","a"),"è","e"),"ì","i"),"ò","o"),"ù","u"),"")</f>
        <v/>
      </c>
      <c r="W382" s="25">
        <f>IF(AND(Q382=1,I382&lt;&gt;""),SUBSTITUTE(SUBSTITUTE(SUBSTITUTE(SUBSTITUTE(SUBSTITUTE(SUBSTITUTE(SUBSTITUTE(SUBSTITUTE(SUBSTITUTE(SUBSTITUTE(SUBSTITUTE(SUBSTITUTE(LOWER(TRIM(I382)),"á","a"),"é","e"),"í","i"),"ó","o"),"ú","u"),"ü","u"),"ñ","n"),"à","a"),"è","e"),"ì","i"),"ò","o"),"ù","u"),"")</f>
        <v/>
      </c>
      <c r="X382" s="25">
        <f>IF(U382="","",IF(OR(U382="si, en la proxima tarea",U382="si, con cambios"),1,0))</f>
        <v/>
      </c>
      <c r="Y382" s="25">
        <f>IF(AND(Q382=1,A382&lt;&gt;""),IF(IFERROR(COUNTIFS(A$3:A382,"="&amp;SUBSTITUTE(SUBSTITUTE(SUBSTITUTE(A382,"~","~~"),"*","~*"),"?","~?"),Q$3:Q382,1),0)=1,MAX(Y$2:Y381)+1,""),"")</f>
        <v/>
      </c>
      <c r="Z382" s="25">
        <f>IF(Y382="","",COUNTIFS($A$3:$A$1002,"="&amp;SUBSTITUTE(SUBSTITUTE(SUBSTITUTE(A382,"~","~~"),"*","~*"),"?","~?"),$Q$3:$Q$1002,1)*10000-Y382)</f>
        <v/>
      </c>
    </row>
    <row r="383">
      <c r="A383">
        <f>IF(A$2=0,"",IFERROR(TRIM(INDEX('Pegar docentes'!$A$1:$BZ$1001,382,A$2)&amp;""),""))</f>
        <v/>
      </c>
      <c r="B383">
        <f>IF(B$2=0,"",IFERROR(TRIM(INDEX('Pegar docentes'!$A$1:$BZ$1001,382,B$2)&amp;""),""))</f>
        <v/>
      </c>
      <c r="C383">
        <f>IF(C$2=0,"",IFERROR(TRIM(INDEX('Pegar docentes'!$A$1:$BZ$1001,382,C$2)&amp;""),""))</f>
        <v/>
      </c>
      <c r="D383">
        <f>IF(D$2=0,"",IFERROR(TRIM(INDEX('Pegar docentes'!$A$1:$BZ$1001,382,D$2)&amp;""),""))</f>
        <v/>
      </c>
      <c r="E383">
        <f>IF(E$2=0,"",IFERROR(TRIM(INDEX('Pegar docentes'!$A$1:$BZ$1001,382,E$2)&amp;""),""))</f>
        <v/>
      </c>
      <c r="F383">
        <f>IF(F$2=0,"",IFERROR(TRIM(INDEX('Pegar docentes'!$A$1:$BZ$1001,382,F$2)&amp;""),""))</f>
        <v/>
      </c>
      <c r="G383">
        <f>IF(G$2=0,"",IFERROR(TRIM(INDEX('Pegar docentes'!$A$1:$BZ$1001,382,G$2)&amp;""),""))</f>
        <v/>
      </c>
      <c r="H383">
        <f>IF(H$2=0,"",IFERROR(TRIM(INDEX('Pegar docentes'!$A$1:$BZ$1001,382,H$2)&amp;""),""))</f>
        <v/>
      </c>
      <c r="I383">
        <f>IF(I$2=0,"",IFERROR(TRIM(INDEX('Pegar docentes'!$A$1:$BZ$1001,382,I$2)&amp;""),""))</f>
        <v/>
      </c>
      <c r="J383">
        <f>IF(J$2=0,"",IFERROR(TRIM(INDEX('Pegar docentes'!$A$1:$BZ$1001,382,J$2)&amp;""),""))</f>
        <v/>
      </c>
      <c r="K383">
        <f>IF(K$2=0,"",IFERROR(TRIM(INDEX('Pegar docentes'!$A$1:$BZ$1001,382,K$2)&amp;""),""))</f>
        <v/>
      </c>
      <c r="L383">
        <f>IF(L$2=0,"",IFERROR(TRIM(INDEX('Pegar docentes'!$A$1:$BZ$1001,382,L$2)&amp;""),""))</f>
        <v/>
      </c>
      <c r="M383">
        <f>IF(M$2=0,"",IFERROR(TRIM(INDEX('Pegar docentes'!$A$1:$BZ$1001,382,M$2)&amp;""),""))</f>
        <v/>
      </c>
      <c r="N383">
        <f>IF(N$2=0,"",IFERROR(TRIM(INDEX('Pegar docentes'!$A$1:$BZ$1001,382,N$2)&amp;""),""))</f>
        <v/>
      </c>
      <c r="O383">
        <f>IF(O$2=0,"",IFERROR(TRIM(INDEX('Pegar docentes'!$A$1:$BZ$1001,382,O$2)&amp;""),""))</f>
        <v/>
      </c>
      <c r="P383">
        <f>IF(P$2=0,"",IFERROR(TRIM(INDEX('Pegar docentes'!$A$1:$BZ$1001,382,P$2)&amp;""),""))</f>
        <v/>
      </c>
      <c r="Q383" s="25">
        <f>IF(OR(D383&lt;&gt;"",H383&lt;&gt;""),1,"")</f>
        <v/>
      </c>
      <c r="R383" s="25">
        <f>IF(Q383=1,IF(ISNUMBER(FIND("#"&amp;MID(D383,1,1)&amp;"#","#0#1#2#3#4#5#6#7#8#9#")),IF(ISNUMBER(FIND("#"&amp;MID(D383,2,1)&amp;"#","#0#1#2#3#4#5#6#7#8#9#")),IF(AND(VALUE(LEFT(D383,2))&gt;=1,VALUE(LEFT(D383,2))&lt;=5),VALUE(LEFT(D383,2)),""),IF(AND(VALUE(LEFT(D383,1))&gt;=1,VALUE(LEFT(D383,1))&lt;=5),VALUE(LEFT(D383,1)),"")),""),"")</f>
        <v/>
      </c>
      <c r="S383" s="25">
        <f>IF(AND(Q383=1,E383&lt;&gt;""),SUBSTITUTE(SUBSTITUTE(SUBSTITUTE(SUBSTITUTE(SUBSTITUTE(SUBSTITUTE(SUBSTITUTE(SUBSTITUTE(SUBSTITUTE(SUBSTITUTE(SUBSTITUTE(SUBSTITUTE(LOWER(TRIM(E383)),"á","a"),"é","e"),"í","i"),"ó","o"),"ú","u"),"ü","u"),"ñ","n"),"à","a"),"è","e"),"ì","i"),"ò","o"),"ù","u"),"")</f>
        <v/>
      </c>
      <c r="T383" s="25">
        <f>IF(AND(Q383=1,G383&lt;&gt;""),SUBSTITUTE(SUBSTITUTE(SUBSTITUTE(SUBSTITUTE(SUBSTITUTE(SUBSTITUTE(SUBSTITUTE(SUBSTITUTE(SUBSTITUTE(SUBSTITUTE(SUBSTITUTE(SUBSTITUTE(LOWER(TRIM(G383)),"á","a"),"é","e"),"í","i"),"ó","o"),"ú","u"),"ü","u"),"ñ","n"),"à","a"),"è","e"),"ì","i"),"ò","o"),"ù","u"),"")</f>
        <v/>
      </c>
      <c r="U383" s="25">
        <f>IF(AND(Q383=1,H383&lt;&gt;""),SUBSTITUTE(SUBSTITUTE(SUBSTITUTE(SUBSTITUTE(SUBSTITUTE(SUBSTITUTE(SUBSTITUTE(SUBSTITUTE(SUBSTITUTE(SUBSTITUTE(SUBSTITUTE(SUBSTITUTE(LOWER(TRIM(H383)),"á","a"),"é","e"),"í","i"),"ó","o"),"ú","u"),"ü","u"),"ñ","n"),"à","a"),"è","e"),"ì","i"),"ò","o"),"ù","u"),"")</f>
        <v/>
      </c>
      <c r="V383" s="25">
        <f>IF(AND(Q383=1,L383&lt;&gt;""),SUBSTITUTE(SUBSTITUTE(SUBSTITUTE(SUBSTITUTE(SUBSTITUTE(SUBSTITUTE(SUBSTITUTE(SUBSTITUTE(SUBSTITUTE(SUBSTITUTE(SUBSTITUTE(SUBSTITUTE(LOWER(TRIM(L383)),"á","a"),"é","e"),"í","i"),"ó","o"),"ú","u"),"ü","u"),"ñ","n"),"à","a"),"è","e"),"ì","i"),"ò","o"),"ù","u"),"")</f>
        <v/>
      </c>
      <c r="W383" s="25">
        <f>IF(AND(Q383=1,I383&lt;&gt;""),SUBSTITUTE(SUBSTITUTE(SUBSTITUTE(SUBSTITUTE(SUBSTITUTE(SUBSTITUTE(SUBSTITUTE(SUBSTITUTE(SUBSTITUTE(SUBSTITUTE(SUBSTITUTE(SUBSTITUTE(LOWER(TRIM(I383)),"á","a"),"é","e"),"í","i"),"ó","o"),"ú","u"),"ü","u"),"ñ","n"),"à","a"),"è","e"),"ì","i"),"ò","o"),"ù","u"),"")</f>
        <v/>
      </c>
      <c r="X383" s="25">
        <f>IF(U383="","",IF(OR(U383="si, en la proxima tarea",U383="si, con cambios"),1,0))</f>
        <v/>
      </c>
      <c r="Y383" s="25">
        <f>IF(AND(Q383=1,A383&lt;&gt;""),IF(IFERROR(COUNTIFS(A$3:A383,"="&amp;SUBSTITUTE(SUBSTITUTE(SUBSTITUTE(A383,"~","~~"),"*","~*"),"?","~?"),Q$3:Q383,1),0)=1,MAX(Y$2:Y382)+1,""),"")</f>
        <v/>
      </c>
      <c r="Z383" s="25">
        <f>IF(Y383="","",COUNTIFS($A$3:$A$1002,"="&amp;SUBSTITUTE(SUBSTITUTE(SUBSTITUTE(A383,"~","~~"),"*","~*"),"?","~?"),$Q$3:$Q$1002,1)*10000-Y383)</f>
        <v/>
      </c>
    </row>
    <row r="384">
      <c r="A384">
        <f>IF(A$2=0,"",IFERROR(TRIM(INDEX('Pegar docentes'!$A$1:$BZ$1001,383,A$2)&amp;""),""))</f>
        <v/>
      </c>
      <c r="B384">
        <f>IF(B$2=0,"",IFERROR(TRIM(INDEX('Pegar docentes'!$A$1:$BZ$1001,383,B$2)&amp;""),""))</f>
        <v/>
      </c>
      <c r="C384">
        <f>IF(C$2=0,"",IFERROR(TRIM(INDEX('Pegar docentes'!$A$1:$BZ$1001,383,C$2)&amp;""),""))</f>
        <v/>
      </c>
      <c r="D384">
        <f>IF(D$2=0,"",IFERROR(TRIM(INDEX('Pegar docentes'!$A$1:$BZ$1001,383,D$2)&amp;""),""))</f>
        <v/>
      </c>
      <c r="E384">
        <f>IF(E$2=0,"",IFERROR(TRIM(INDEX('Pegar docentes'!$A$1:$BZ$1001,383,E$2)&amp;""),""))</f>
        <v/>
      </c>
      <c r="F384">
        <f>IF(F$2=0,"",IFERROR(TRIM(INDEX('Pegar docentes'!$A$1:$BZ$1001,383,F$2)&amp;""),""))</f>
        <v/>
      </c>
      <c r="G384">
        <f>IF(G$2=0,"",IFERROR(TRIM(INDEX('Pegar docentes'!$A$1:$BZ$1001,383,G$2)&amp;""),""))</f>
        <v/>
      </c>
      <c r="H384">
        <f>IF(H$2=0,"",IFERROR(TRIM(INDEX('Pegar docentes'!$A$1:$BZ$1001,383,H$2)&amp;""),""))</f>
        <v/>
      </c>
      <c r="I384">
        <f>IF(I$2=0,"",IFERROR(TRIM(INDEX('Pegar docentes'!$A$1:$BZ$1001,383,I$2)&amp;""),""))</f>
        <v/>
      </c>
      <c r="J384">
        <f>IF(J$2=0,"",IFERROR(TRIM(INDEX('Pegar docentes'!$A$1:$BZ$1001,383,J$2)&amp;""),""))</f>
        <v/>
      </c>
      <c r="K384">
        <f>IF(K$2=0,"",IFERROR(TRIM(INDEX('Pegar docentes'!$A$1:$BZ$1001,383,K$2)&amp;""),""))</f>
        <v/>
      </c>
      <c r="L384">
        <f>IF(L$2=0,"",IFERROR(TRIM(INDEX('Pegar docentes'!$A$1:$BZ$1001,383,L$2)&amp;""),""))</f>
        <v/>
      </c>
      <c r="M384">
        <f>IF(M$2=0,"",IFERROR(TRIM(INDEX('Pegar docentes'!$A$1:$BZ$1001,383,M$2)&amp;""),""))</f>
        <v/>
      </c>
      <c r="N384">
        <f>IF(N$2=0,"",IFERROR(TRIM(INDEX('Pegar docentes'!$A$1:$BZ$1001,383,N$2)&amp;""),""))</f>
        <v/>
      </c>
      <c r="O384">
        <f>IF(O$2=0,"",IFERROR(TRIM(INDEX('Pegar docentes'!$A$1:$BZ$1001,383,O$2)&amp;""),""))</f>
        <v/>
      </c>
      <c r="P384">
        <f>IF(P$2=0,"",IFERROR(TRIM(INDEX('Pegar docentes'!$A$1:$BZ$1001,383,P$2)&amp;""),""))</f>
        <v/>
      </c>
      <c r="Q384" s="25">
        <f>IF(OR(D384&lt;&gt;"",H384&lt;&gt;""),1,"")</f>
        <v/>
      </c>
      <c r="R384" s="25">
        <f>IF(Q384=1,IF(ISNUMBER(FIND("#"&amp;MID(D384,1,1)&amp;"#","#0#1#2#3#4#5#6#7#8#9#")),IF(ISNUMBER(FIND("#"&amp;MID(D384,2,1)&amp;"#","#0#1#2#3#4#5#6#7#8#9#")),IF(AND(VALUE(LEFT(D384,2))&gt;=1,VALUE(LEFT(D384,2))&lt;=5),VALUE(LEFT(D384,2)),""),IF(AND(VALUE(LEFT(D384,1))&gt;=1,VALUE(LEFT(D384,1))&lt;=5),VALUE(LEFT(D384,1)),"")),""),"")</f>
        <v/>
      </c>
      <c r="S384" s="25">
        <f>IF(AND(Q384=1,E384&lt;&gt;""),SUBSTITUTE(SUBSTITUTE(SUBSTITUTE(SUBSTITUTE(SUBSTITUTE(SUBSTITUTE(SUBSTITUTE(SUBSTITUTE(SUBSTITUTE(SUBSTITUTE(SUBSTITUTE(SUBSTITUTE(LOWER(TRIM(E384)),"á","a"),"é","e"),"í","i"),"ó","o"),"ú","u"),"ü","u"),"ñ","n"),"à","a"),"è","e"),"ì","i"),"ò","o"),"ù","u"),"")</f>
        <v/>
      </c>
      <c r="T384" s="25">
        <f>IF(AND(Q384=1,G384&lt;&gt;""),SUBSTITUTE(SUBSTITUTE(SUBSTITUTE(SUBSTITUTE(SUBSTITUTE(SUBSTITUTE(SUBSTITUTE(SUBSTITUTE(SUBSTITUTE(SUBSTITUTE(SUBSTITUTE(SUBSTITUTE(LOWER(TRIM(G384)),"á","a"),"é","e"),"í","i"),"ó","o"),"ú","u"),"ü","u"),"ñ","n"),"à","a"),"è","e"),"ì","i"),"ò","o"),"ù","u"),"")</f>
        <v/>
      </c>
      <c r="U384" s="25">
        <f>IF(AND(Q384=1,H384&lt;&gt;""),SUBSTITUTE(SUBSTITUTE(SUBSTITUTE(SUBSTITUTE(SUBSTITUTE(SUBSTITUTE(SUBSTITUTE(SUBSTITUTE(SUBSTITUTE(SUBSTITUTE(SUBSTITUTE(SUBSTITUTE(LOWER(TRIM(H384)),"á","a"),"é","e"),"í","i"),"ó","o"),"ú","u"),"ü","u"),"ñ","n"),"à","a"),"è","e"),"ì","i"),"ò","o"),"ù","u"),"")</f>
        <v/>
      </c>
      <c r="V384" s="25">
        <f>IF(AND(Q384=1,L384&lt;&gt;""),SUBSTITUTE(SUBSTITUTE(SUBSTITUTE(SUBSTITUTE(SUBSTITUTE(SUBSTITUTE(SUBSTITUTE(SUBSTITUTE(SUBSTITUTE(SUBSTITUTE(SUBSTITUTE(SUBSTITUTE(LOWER(TRIM(L384)),"á","a"),"é","e"),"í","i"),"ó","o"),"ú","u"),"ü","u"),"ñ","n"),"à","a"),"è","e"),"ì","i"),"ò","o"),"ù","u"),"")</f>
        <v/>
      </c>
      <c r="W384" s="25">
        <f>IF(AND(Q384=1,I384&lt;&gt;""),SUBSTITUTE(SUBSTITUTE(SUBSTITUTE(SUBSTITUTE(SUBSTITUTE(SUBSTITUTE(SUBSTITUTE(SUBSTITUTE(SUBSTITUTE(SUBSTITUTE(SUBSTITUTE(SUBSTITUTE(LOWER(TRIM(I384)),"á","a"),"é","e"),"í","i"),"ó","o"),"ú","u"),"ü","u"),"ñ","n"),"à","a"),"è","e"),"ì","i"),"ò","o"),"ù","u"),"")</f>
        <v/>
      </c>
      <c r="X384" s="25">
        <f>IF(U384="","",IF(OR(U384="si, en la proxima tarea",U384="si, con cambios"),1,0))</f>
        <v/>
      </c>
      <c r="Y384" s="25">
        <f>IF(AND(Q384=1,A384&lt;&gt;""),IF(IFERROR(COUNTIFS(A$3:A384,"="&amp;SUBSTITUTE(SUBSTITUTE(SUBSTITUTE(A384,"~","~~"),"*","~*"),"?","~?"),Q$3:Q384,1),0)=1,MAX(Y$2:Y383)+1,""),"")</f>
        <v/>
      </c>
      <c r="Z384" s="25">
        <f>IF(Y384="","",COUNTIFS($A$3:$A$1002,"="&amp;SUBSTITUTE(SUBSTITUTE(SUBSTITUTE(A384,"~","~~"),"*","~*"),"?","~?"),$Q$3:$Q$1002,1)*10000-Y384)</f>
        <v/>
      </c>
    </row>
    <row r="385">
      <c r="A385">
        <f>IF(A$2=0,"",IFERROR(TRIM(INDEX('Pegar docentes'!$A$1:$BZ$1001,384,A$2)&amp;""),""))</f>
        <v/>
      </c>
      <c r="B385">
        <f>IF(B$2=0,"",IFERROR(TRIM(INDEX('Pegar docentes'!$A$1:$BZ$1001,384,B$2)&amp;""),""))</f>
        <v/>
      </c>
      <c r="C385">
        <f>IF(C$2=0,"",IFERROR(TRIM(INDEX('Pegar docentes'!$A$1:$BZ$1001,384,C$2)&amp;""),""))</f>
        <v/>
      </c>
      <c r="D385">
        <f>IF(D$2=0,"",IFERROR(TRIM(INDEX('Pegar docentes'!$A$1:$BZ$1001,384,D$2)&amp;""),""))</f>
        <v/>
      </c>
      <c r="E385">
        <f>IF(E$2=0,"",IFERROR(TRIM(INDEX('Pegar docentes'!$A$1:$BZ$1001,384,E$2)&amp;""),""))</f>
        <v/>
      </c>
      <c r="F385">
        <f>IF(F$2=0,"",IFERROR(TRIM(INDEX('Pegar docentes'!$A$1:$BZ$1001,384,F$2)&amp;""),""))</f>
        <v/>
      </c>
      <c r="G385">
        <f>IF(G$2=0,"",IFERROR(TRIM(INDEX('Pegar docentes'!$A$1:$BZ$1001,384,G$2)&amp;""),""))</f>
        <v/>
      </c>
      <c r="H385">
        <f>IF(H$2=0,"",IFERROR(TRIM(INDEX('Pegar docentes'!$A$1:$BZ$1001,384,H$2)&amp;""),""))</f>
        <v/>
      </c>
      <c r="I385">
        <f>IF(I$2=0,"",IFERROR(TRIM(INDEX('Pegar docentes'!$A$1:$BZ$1001,384,I$2)&amp;""),""))</f>
        <v/>
      </c>
      <c r="J385">
        <f>IF(J$2=0,"",IFERROR(TRIM(INDEX('Pegar docentes'!$A$1:$BZ$1001,384,J$2)&amp;""),""))</f>
        <v/>
      </c>
      <c r="K385">
        <f>IF(K$2=0,"",IFERROR(TRIM(INDEX('Pegar docentes'!$A$1:$BZ$1001,384,K$2)&amp;""),""))</f>
        <v/>
      </c>
      <c r="L385">
        <f>IF(L$2=0,"",IFERROR(TRIM(INDEX('Pegar docentes'!$A$1:$BZ$1001,384,L$2)&amp;""),""))</f>
        <v/>
      </c>
      <c r="M385">
        <f>IF(M$2=0,"",IFERROR(TRIM(INDEX('Pegar docentes'!$A$1:$BZ$1001,384,M$2)&amp;""),""))</f>
        <v/>
      </c>
      <c r="N385">
        <f>IF(N$2=0,"",IFERROR(TRIM(INDEX('Pegar docentes'!$A$1:$BZ$1001,384,N$2)&amp;""),""))</f>
        <v/>
      </c>
      <c r="O385">
        <f>IF(O$2=0,"",IFERROR(TRIM(INDEX('Pegar docentes'!$A$1:$BZ$1001,384,O$2)&amp;""),""))</f>
        <v/>
      </c>
      <c r="P385">
        <f>IF(P$2=0,"",IFERROR(TRIM(INDEX('Pegar docentes'!$A$1:$BZ$1001,384,P$2)&amp;""),""))</f>
        <v/>
      </c>
      <c r="Q385" s="25">
        <f>IF(OR(D385&lt;&gt;"",H385&lt;&gt;""),1,"")</f>
        <v/>
      </c>
      <c r="R385" s="25">
        <f>IF(Q385=1,IF(ISNUMBER(FIND("#"&amp;MID(D385,1,1)&amp;"#","#0#1#2#3#4#5#6#7#8#9#")),IF(ISNUMBER(FIND("#"&amp;MID(D385,2,1)&amp;"#","#0#1#2#3#4#5#6#7#8#9#")),IF(AND(VALUE(LEFT(D385,2))&gt;=1,VALUE(LEFT(D385,2))&lt;=5),VALUE(LEFT(D385,2)),""),IF(AND(VALUE(LEFT(D385,1))&gt;=1,VALUE(LEFT(D385,1))&lt;=5),VALUE(LEFT(D385,1)),"")),""),"")</f>
        <v/>
      </c>
      <c r="S385" s="25">
        <f>IF(AND(Q385=1,E385&lt;&gt;""),SUBSTITUTE(SUBSTITUTE(SUBSTITUTE(SUBSTITUTE(SUBSTITUTE(SUBSTITUTE(SUBSTITUTE(SUBSTITUTE(SUBSTITUTE(SUBSTITUTE(SUBSTITUTE(SUBSTITUTE(LOWER(TRIM(E385)),"á","a"),"é","e"),"í","i"),"ó","o"),"ú","u"),"ü","u"),"ñ","n"),"à","a"),"è","e"),"ì","i"),"ò","o"),"ù","u"),"")</f>
        <v/>
      </c>
      <c r="T385" s="25">
        <f>IF(AND(Q385=1,G385&lt;&gt;""),SUBSTITUTE(SUBSTITUTE(SUBSTITUTE(SUBSTITUTE(SUBSTITUTE(SUBSTITUTE(SUBSTITUTE(SUBSTITUTE(SUBSTITUTE(SUBSTITUTE(SUBSTITUTE(SUBSTITUTE(LOWER(TRIM(G385)),"á","a"),"é","e"),"í","i"),"ó","o"),"ú","u"),"ü","u"),"ñ","n"),"à","a"),"è","e"),"ì","i"),"ò","o"),"ù","u"),"")</f>
        <v/>
      </c>
      <c r="U385" s="25">
        <f>IF(AND(Q385=1,H385&lt;&gt;""),SUBSTITUTE(SUBSTITUTE(SUBSTITUTE(SUBSTITUTE(SUBSTITUTE(SUBSTITUTE(SUBSTITUTE(SUBSTITUTE(SUBSTITUTE(SUBSTITUTE(SUBSTITUTE(SUBSTITUTE(LOWER(TRIM(H385)),"á","a"),"é","e"),"í","i"),"ó","o"),"ú","u"),"ü","u"),"ñ","n"),"à","a"),"è","e"),"ì","i"),"ò","o"),"ù","u"),"")</f>
        <v/>
      </c>
      <c r="V385" s="25">
        <f>IF(AND(Q385=1,L385&lt;&gt;""),SUBSTITUTE(SUBSTITUTE(SUBSTITUTE(SUBSTITUTE(SUBSTITUTE(SUBSTITUTE(SUBSTITUTE(SUBSTITUTE(SUBSTITUTE(SUBSTITUTE(SUBSTITUTE(SUBSTITUTE(LOWER(TRIM(L385)),"á","a"),"é","e"),"í","i"),"ó","o"),"ú","u"),"ü","u"),"ñ","n"),"à","a"),"è","e"),"ì","i"),"ò","o"),"ù","u"),"")</f>
        <v/>
      </c>
      <c r="W385" s="25">
        <f>IF(AND(Q385=1,I385&lt;&gt;""),SUBSTITUTE(SUBSTITUTE(SUBSTITUTE(SUBSTITUTE(SUBSTITUTE(SUBSTITUTE(SUBSTITUTE(SUBSTITUTE(SUBSTITUTE(SUBSTITUTE(SUBSTITUTE(SUBSTITUTE(LOWER(TRIM(I385)),"á","a"),"é","e"),"í","i"),"ó","o"),"ú","u"),"ü","u"),"ñ","n"),"à","a"),"è","e"),"ì","i"),"ò","o"),"ù","u"),"")</f>
        <v/>
      </c>
      <c r="X385" s="25">
        <f>IF(U385="","",IF(OR(U385="si, en la proxima tarea",U385="si, con cambios"),1,0))</f>
        <v/>
      </c>
      <c r="Y385" s="25">
        <f>IF(AND(Q385=1,A385&lt;&gt;""),IF(IFERROR(COUNTIFS(A$3:A385,"="&amp;SUBSTITUTE(SUBSTITUTE(SUBSTITUTE(A385,"~","~~"),"*","~*"),"?","~?"),Q$3:Q385,1),0)=1,MAX(Y$2:Y384)+1,""),"")</f>
        <v/>
      </c>
      <c r="Z385" s="25">
        <f>IF(Y385="","",COUNTIFS($A$3:$A$1002,"="&amp;SUBSTITUTE(SUBSTITUTE(SUBSTITUTE(A385,"~","~~"),"*","~*"),"?","~?"),$Q$3:$Q$1002,1)*10000-Y385)</f>
        <v/>
      </c>
    </row>
    <row r="386">
      <c r="A386">
        <f>IF(A$2=0,"",IFERROR(TRIM(INDEX('Pegar docentes'!$A$1:$BZ$1001,385,A$2)&amp;""),""))</f>
        <v/>
      </c>
      <c r="B386">
        <f>IF(B$2=0,"",IFERROR(TRIM(INDEX('Pegar docentes'!$A$1:$BZ$1001,385,B$2)&amp;""),""))</f>
        <v/>
      </c>
      <c r="C386">
        <f>IF(C$2=0,"",IFERROR(TRIM(INDEX('Pegar docentes'!$A$1:$BZ$1001,385,C$2)&amp;""),""))</f>
        <v/>
      </c>
      <c r="D386">
        <f>IF(D$2=0,"",IFERROR(TRIM(INDEX('Pegar docentes'!$A$1:$BZ$1001,385,D$2)&amp;""),""))</f>
        <v/>
      </c>
      <c r="E386">
        <f>IF(E$2=0,"",IFERROR(TRIM(INDEX('Pegar docentes'!$A$1:$BZ$1001,385,E$2)&amp;""),""))</f>
        <v/>
      </c>
      <c r="F386">
        <f>IF(F$2=0,"",IFERROR(TRIM(INDEX('Pegar docentes'!$A$1:$BZ$1001,385,F$2)&amp;""),""))</f>
        <v/>
      </c>
      <c r="G386">
        <f>IF(G$2=0,"",IFERROR(TRIM(INDEX('Pegar docentes'!$A$1:$BZ$1001,385,G$2)&amp;""),""))</f>
        <v/>
      </c>
      <c r="H386">
        <f>IF(H$2=0,"",IFERROR(TRIM(INDEX('Pegar docentes'!$A$1:$BZ$1001,385,H$2)&amp;""),""))</f>
        <v/>
      </c>
      <c r="I386">
        <f>IF(I$2=0,"",IFERROR(TRIM(INDEX('Pegar docentes'!$A$1:$BZ$1001,385,I$2)&amp;""),""))</f>
        <v/>
      </c>
      <c r="J386">
        <f>IF(J$2=0,"",IFERROR(TRIM(INDEX('Pegar docentes'!$A$1:$BZ$1001,385,J$2)&amp;""),""))</f>
        <v/>
      </c>
      <c r="K386">
        <f>IF(K$2=0,"",IFERROR(TRIM(INDEX('Pegar docentes'!$A$1:$BZ$1001,385,K$2)&amp;""),""))</f>
        <v/>
      </c>
      <c r="L386">
        <f>IF(L$2=0,"",IFERROR(TRIM(INDEX('Pegar docentes'!$A$1:$BZ$1001,385,L$2)&amp;""),""))</f>
        <v/>
      </c>
      <c r="M386">
        <f>IF(M$2=0,"",IFERROR(TRIM(INDEX('Pegar docentes'!$A$1:$BZ$1001,385,M$2)&amp;""),""))</f>
        <v/>
      </c>
      <c r="N386">
        <f>IF(N$2=0,"",IFERROR(TRIM(INDEX('Pegar docentes'!$A$1:$BZ$1001,385,N$2)&amp;""),""))</f>
        <v/>
      </c>
      <c r="O386">
        <f>IF(O$2=0,"",IFERROR(TRIM(INDEX('Pegar docentes'!$A$1:$BZ$1001,385,O$2)&amp;""),""))</f>
        <v/>
      </c>
      <c r="P386">
        <f>IF(P$2=0,"",IFERROR(TRIM(INDEX('Pegar docentes'!$A$1:$BZ$1001,385,P$2)&amp;""),""))</f>
        <v/>
      </c>
      <c r="Q386" s="25">
        <f>IF(OR(D386&lt;&gt;"",H386&lt;&gt;""),1,"")</f>
        <v/>
      </c>
      <c r="R386" s="25">
        <f>IF(Q386=1,IF(ISNUMBER(FIND("#"&amp;MID(D386,1,1)&amp;"#","#0#1#2#3#4#5#6#7#8#9#")),IF(ISNUMBER(FIND("#"&amp;MID(D386,2,1)&amp;"#","#0#1#2#3#4#5#6#7#8#9#")),IF(AND(VALUE(LEFT(D386,2))&gt;=1,VALUE(LEFT(D386,2))&lt;=5),VALUE(LEFT(D386,2)),""),IF(AND(VALUE(LEFT(D386,1))&gt;=1,VALUE(LEFT(D386,1))&lt;=5),VALUE(LEFT(D386,1)),"")),""),"")</f>
        <v/>
      </c>
      <c r="S386" s="25">
        <f>IF(AND(Q386=1,E386&lt;&gt;""),SUBSTITUTE(SUBSTITUTE(SUBSTITUTE(SUBSTITUTE(SUBSTITUTE(SUBSTITUTE(SUBSTITUTE(SUBSTITUTE(SUBSTITUTE(SUBSTITUTE(SUBSTITUTE(SUBSTITUTE(LOWER(TRIM(E386)),"á","a"),"é","e"),"í","i"),"ó","o"),"ú","u"),"ü","u"),"ñ","n"),"à","a"),"è","e"),"ì","i"),"ò","o"),"ù","u"),"")</f>
        <v/>
      </c>
      <c r="T386" s="25">
        <f>IF(AND(Q386=1,G386&lt;&gt;""),SUBSTITUTE(SUBSTITUTE(SUBSTITUTE(SUBSTITUTE(SUBSTITUTE(SUBSTITUTE(SUBSTITUTE(SUBSTITUTE(SUBSTITUTE(SUBSTITUTE(SUBSTITUTE(SUBSTITUTE(LOWER(TRIM(G386)),"á","a"),"é","e"),"í","i"),"ó","o"),"ú","u"),"ü","u"),"ñ","n"),"à","a"),"è","e"),"ì","i"),"ò","o"),"ù","u"),"")</f>
        <v/>
      </c>
      <c r="U386" s="25">
        <f>IF(AND(Q386=1,H386&lt;&gt;""),SUBSTITUTE(SUBSTITUTE(SUBSTITUTE(SUBSTITUTE(SUBSTITUTE(SUBSTITUTE(SUBSTITUTE(SUBSTITUTE(SUBSTITUTE(SUBSTITUTE(SUBSTITUTE(SUBSTITUTE(LOWER(TRIM(H386)),"á","a"),"é","e"),"í","i"),"ó","o"),"ú","u"),"ü","u"),"ñ","n"),"à","a"),"è","e"),"ì","i"),"ò","o"),"ù","u"),"")</f>
        <v/>
      </c>
      <c r="V386" s="25">
        <f>IF(AND(Q386=1,L386&lt;&gt;""),SUBSTITUTE(SUBSTITUTE(SUBSTITUTE(SUBSTITUTE(SUBSTITUTE(SUBSTITUTE(SUBSTITUTE(SUBSTITUTE(SUBSTITUTE(SUBSTITUTE(SUBSTITUTE(SUBSTITUTE(LOWER(TRIM(L386)),"á","a"),"é","e"),"í","i"),"ó","o"),"ú","u"),"ü","u"),"ñ","n"),"à","a"),"è","e"),"ì","i"),"ò","o"),"ù","u"),"")</f>
        <v/>
      </c>
      <c r="W386" s="25">
        <f>IF(AND(Q386=1,I386&lt;&gt;""),SUBSTITUTE(SUBSTITUTE(SUBSTITUTE(SUBSTITUTE(SUBSTITUTE(SUBSTITUTE(SUBSTITUTE(SUBSTITUTE(SUBSTITUTE(SUBSTITUTE(SUBSTITUTE(SUBSTITUTE(LOWER(TRIM(I386)),"á","a"),"é","e"),"í","i"),"ó","o"),"ú","u"),"ü","u"),"ñ","n"),"à","a"),"è","e"),"ì","i"),"ò","o"),"ù","u"),"")</f>
        <v/>
      </c>
      <c r="X386" s="25">
        <f>IF(U386="","",IF(OR(U386="si, en la proxima tarea",U386="si, con cambios"),1,0))</f>
        <v/>
      </c>
      <c r="Y386" s="25">
        <f>IF(AND(Q386=1,A386&lt;&gt;""),IF(IFERROR(COUNTIFS(A$3:A386,"="&amp;SUBSTITUTE(SUBSTITUTE(SUBSTITUTE(A386,"~","~~"),"*","~*"),"?","~?"),Q$3:Q386,1),0)=1,MAX(Y$2:Y385)+1,""),"")</f>
        <v/>
      </c>
      <c r="Z386" s="25">
        <f>IF(Y386="","",COUNTIFS($A$3:$A$1002,"="&amp;SUBSTITUTE(SUBSTITUTE(SUBSTITUTE(A386,"~","~~"),"*","~*"),"?","~?"),$Q$3:$Q$1002,1)*10000-Y386)</f>
        <v/>
      </c>
    </row>
    <row r="387">
      <c r="A387">
        <f>IF(A$2=0,"",IFERROR(TRIM(INDEX('Pegar docentes'!$A$1:$BZ$1001,386,A$2)&amp;""),""))</f>
        <v/>
      </c>
      <c r="B387">
        <f>IF(B$2=0,"",IFERROR(TRIM(INDEX('Pegar docentes'!$A$1:$BZ$1001,386,B$2)&amp;""),""))</f>
        <v/>
      </c>
      <c r="C387">
        <f>IF(C$2=0,"",IFERROR(TRIM(INDEX('Pegar docentes'!$A$1:$BZ$1001,386,C$2)&amp;""),""))</f>
        <v/>
      </c>
      <c r="D387">
        <f>IF(D$2=0,"",IFERROR(TRIM(INDEX('Pegar docentes'!$A$1:$BZ$1001,386,D$2)&amp;""),""))</f>
        <v/>
      </c>
      <c r="E387">
        <f>IF(E$2=0,"",IFERROR(TRIM(INDEX('Pegar docentes'!$A$1:$BZ$1001,386,E$2)&amp;""),""))</f>
        <v/>
      </c>
      <c r="F387">
        <f>IF(F$2=0,"",IFERROR(TRIM(INDEX('Pegar docentes'!$A$1:$BZ$1001,386,F$2)&amp;""),""))</f>
        <v/>
      </c>
      <c r="G387">
        <f>IF(G$2=0,"",IFERROR(TRIM(INDEX('Pegar docentes'!$A$1:$BZ$1001,386,G$2)&amp;""),""))</f>
        <v/>
      </c>
      <c r="H387">
        <f>IF(H$2=0,"",IFERROR(TRIM(INDEX('Pegar docentes'!$A$1:$BZ$1001,386,H$2)&amp;""),""))</f>
        <v/>
      </c>
      <c r="I387">
        <f>IF(I$2=0,"",IFERROR(TRIM(INDEX('Pegar docentes'!$A$1:$BZ$1001,386,I$2)&amp;""),""))</f>
        <v/>
      </c>
      <c r="J387">
        <f>IF(J$2=0,"",IFERROR(TRIM(INDEX('Pegar docentes'!$A$1:$BZ$1001,386,J$2)&amp;""),""))</f>
        <v/>
      </c>
      <c r="K387">
        <f>IF(K$2=0,"",IFERROR(TRIM(INDEX('Pegar docentes'!$A$1:$BZ$1001,386,K$2)&amp;""),""))</f>
        <v/>
      </c>
      <c r="L387">
        <f>IF(L$2=0,"",IFERROR(TRIM(INDEX('Pegar docentes'!$A$1:$BZ$1001,386,L$2)&amp;""),""))</f>
        <v/>
      </c>
      <c r="M387">
        <f>IF(M$2=0,"",IFERROR(TRIM(INDEX('Pegar docentes'!$A$1:$BZ$1001,386,M$2)&amp;""),""))</f>
        <v/>
      </c>
      <c r="N387">
        <f>IF(N$2=0,"",IFERROR(TRIM(INDEX('Pegar docentes'!$A$1:$BZ$1001,386,N$2)&amp;""),""))</f>
        <v/>
      </c>
      <c r="O387">
        <f>IF(O$2=0,"",IFERROR(TRIM(INDEX('Pegar docentes'!$A$1:$BZ$1001,386,O$2)&amp;""),""))</f>
        <v/>
      </c>
      <c r="P387">
        <f>IF(P$2=0,"",IFERROR(TRIM(INDEX('Pegar docentes'!$A$1:$BZ$1001,386,P$2)&amp;""),""))</f>
        <v/>
      </c>
      <c r="Q387" s="25">
        <f>IF(OR(D387&lt;&gt;"",H387&lt;&gt;""),1,"")</f>
        <v/>
      </c>
      <c r="R387" s="25">
        <f>IF(Q387=1,IF(ISNUMBER(FIND("#"&amp;MID(D387,1,1)&amp;"#","#0#1#2#3#4#5#6#7#8#9#")),IF(ISNUMBER(FIND("#"&amp;MID(D387,2,1)&amp;"#","#0#1#2#3#4#5#6#7#8#9#")),IF(AND(VALUE(LEFT(D387,2))&gt;=1,VALUE(LEFT(D387,2))&lt;=5),VALUE(LEFT(D387,2)),""),IF(AND(VALUE(LEFT(D387,1))&gt;=1,VALUE(LEFT(D387,1))&lt;=5),VALUE(LEFT(D387,1)),"")),""),"")</f>
        <v/>
      </c>
      <c r="S387" s="25">
        <f>IF(AND(Q387=1,E387&lt;&gt;""),SUBSTITUTE(SUBSTITUTE(SUBSTITUTE(SUBSTITUTE(SUBSTITUTE(SUBSTITUTE(SUBSTITUTE(SUBSTITUTE(SUBSTITUTE(SUBSTITUTE(SUBSTITUTE(SUBSTITUTE(LOWER(TRIM(E387)),"á","a"),"é","e"),"í","i"),"ó","o"),"ú","u"),"ü","u"),"ñ","n"),"à","a"),"è","e"),"ì","i"),"ò","o"),"ù","u"),"")</f>
        <v/>
      </c>
      <c r="T387" s="25">
        <f>IF(AND(Q387=1,G387&lt;&gt;""),SUBSTITUTE(SUBSTITUTE(SUBSTITUTE(SUBSTITUTE(SUBSTITUTE(SUBSTITUTE(SUBSTITUTE(SUBSTITUTE(SUBSTITUTE(SUBSTITUTE(SUBSTITUTE(SUBSTITUTE(LOWER(TRIM(G387)),"á","a"),"é","e"),"í","i"),"ó","o"),"ú","u"),"ü","u"),"ñ","n"),"à","a"),"è","e"),"ì","i"),"ò","o"),"ù","u"),"")</f>
        <v/>
      </c>
      <c r="U387" s="25">
        <f>IF(AND(Q387=1,H387&lt;&gt;""),SUBSTITUTE(SUBSTITUTE(SUBSTITUTE(SUBSTITUTE(SUBSTITUTE(SUBSTITUTE(SUBSTITUTE(SUBSTITUTE(SUBSTITUTE(SUBSTITUTE(SUBSTITUTE(SUBSTITUTE(LOWER(TRIM(H387)),"á","a"),"é","e"),"í","i"),"ó","o"),"ú","u"),"ü","u"),"ñ","n"),"à","a"),"è","e"),"ì","i"),"ò","o"),"ù","u"),"")</f>
        <v/>
      </c>
      <c r="V387" s="25">
        <f>IF(AND(Q387=1,L387&lt;&gt;""),SUBSTITUTE(SUBSTITUTE(SUBSTITUTE(SUBSTITUTE(SUBSTITUTE(SUBSTITUTE(SUBSTITUTE(SUBSTITUTE(SUBSTITUTE(SUBSTITUTE(SUBSTITUTE(SUBSTITUTE(LOWER(TRIM(L387)),"á","a"),"é","e"),"í","i"),"ó","o"),"ú","u"),"ü","u"),"ñ","n"),"à","a"),"è","e"),"ì","i"),"ò","o"),"ù","u"),"")</f>
        <v/>
      </c>
      <c r="W387" s="25">
        <f>IF(AND(Q387=1,I387&lt;&gt;""),SUBSTITUTE(SUBSTITUTE(SUBSTITUTE(SUBSTITUTE(SUBSTITUTE(SUBSTITUTE(SUBSTITUTE(SUBSTITUTE(SUBSTITUTE(SUBSTITUTE(SUBSTITUTE(SUBSTITUTE(LOWER(TRIM(I387)),"á","a"),"é","e"),"í","i"),"ó","o"),"ú","u"),"ü","u"),"ñ","n"),"à","a"),"è","e"),"ì","i"),"ò","o"),"ù","u"),"")</f>
        <v/>
      </c>
      <c r="X387" s="25">
        <f>IF(U387="","",IF(OR(U387="si, en la proxima tarea",U387="si, con cambios"),1,0))</f>
        <v/>
      </c>
      <c r="Y387" s="25">
        <f>IF(AND(Q387=1,A387&lt;&gt;""),IF(IFERROR(COUNTIFS(A$3:A387,"="&amp;SUBSTITUTE(SUBSTITUTE(SUBSTITUTE(A387,"~","~~"),"*","~*"),"?","~?"),Q$3:Q387,1),0)=1,MAX(Y$2:Y386)+1,""),"")</f>
        <v/>
      </c>
      <c r="Z387" s="25">
        <f>IF(Y387="","",COUNTIFS($A$3:$A$1002,"="&amp;SUBSTITUTE(SUBSTITUTE(SUBSTITUTE(A387,"~","~~"),"*","~*"),"?","~?"),$Q$3:$Q$1002,1)*10000-Y387)</f>
        <v/>
      </c>
    </row>
    <row r="388">
      <c r="A388">
        <f>IF(A$2=0,"",IFERROR(TRIM(INDEX('Pegar docentes'!$A$1:$BZ$1001,387,A$2)&amp;""),""))</f>
        <v/>
      </c>
      <c r="B388">
        <f>IF(B$2=0,"",IFERROR(TRIM(INDEX('Pegar docentes'!$A$1:$BZ$1001,387,B$2)&amp;""),""))</f>
        <v/>
      </c>
      <c r="C388">
        <f>IF(C$2=0,"",IFERROR(TRIM(INDEX('Pegar docentes'!$A$1:$BZ$1001,387,C$2)&amp;""),""))</f>
        <v/>
      </c>
      <c r="D388">
        <f>IF(D$2=0,"",IFERROR(TRIM(INDEX('Pegar docentes'!$A$1:$BZ$1001,387,D$2)&amp;""),""))</f>
        <v/>
      </c>
      <c r="E388">
        <f>IF(E$2=0,"",IFERROR(TRIM(INDEX('Pegar docentes'!$A$1:$BZ$1001,387,E$2)&amp;""),""))</f>
        <v/>
      </c>
      <c r="F388">
        <f>IF(F$2=0,"",IFERROR(TRIM(INDEX('Pegar docentes'!$A$1:$BZ$1001,387,F$2)&amp;""),""))</f>
        <v/>
      </c>
      <c r="G388">
        <f>IF(G$2=0,"",IFERROR(TRIM(INDEX('Pegar docentes'!$A$1:$BZ$1001,387,G$2)&amp;""),""))</f>
        <v/>
      </c>
      <c r="H388">
        <f>IF(H$2=0,"",IFERROR(TRIM(INDEX('Pegar docentes'!$A$1:$BZ$1001,387,H$2)&amp;""),""))</f>
        <v/>
      </c>
      <c r="I388">
        <f>IF(I$2=0,"",IFERROR(TRIM(INDEX('Pegar docentes'!$A$1:$BZ$1001,387,I$2)&amp;""),""))</f>
        <v/>
      </c>
      <c r="J388">
        <f>IF(J$2=0,"",IFERROR(TRIM(INDEX('Pegar docentes'!$A$1:$BZ$1001,387,J$2)&amp;""),""))</f>
        <v/>
      </c>
      <c r="K388">
        <f>IF(K$2=0,"",IFERROR(TRIM(INDEX('Pegar docentes'!$A$1:$BZ$1001,387,K$2)&amp;""),""))</f>
        <v/>
      </c>
      <c r="L388">
        <f>IF(L$2=0,"",IFERROR(TRIM(INDEX('Pegar docentes'!$A$1:$BZ$1001,387,L$2)&amp;""),""))</f>
        <v/>
      </c>
      <c r="M388">
        <f>IF(M$2=0,"",IFERROR(TRIM(INDEX('Pegar docentes'!$A$1:$BZ$1001,387,M$2)&amp;""),""))</f>
        <v/>
      </c>
      <c r="N388">
        <f>IF(N$2=0,"",IFERROR(TRIM(INDEX('Pegar docentes'!$A$1:$BZ$1001,387,N$2)&amp;""),""))</f>
        <v/>
      </c>
      <c r="O388">
        <f>IF(O$2=0,"",IFERROR(TRIM(INDEX('Pegar docentes'!$A$1:$BZ$1001,387,O$2)&amp;""),""))</f>
        <v/>
      </c>
      <c r="P388">
        <f>IF(P$2=0,"",IFERROR(TRIM(INDEX('Pegar docentes'!$A$1:$BZ$1001,387,P$2)&amp;""),""))</f>
        <v/>
      </c>
      <c r="Q388" s="25">
        <f>IF(OR(D388&lt;&gt;"",H388&lt;&gt;""),1,"")</f>
        <v/>
      </c>
      <c r="R388" s="25">
        <f>IF(Q388=1,IF(ISNUMBER(FIND("#"&amp;MID(D388,1,1)&amp;"#","#0#1#2#3#4#5#6#7#8#9#")),IF(ISNUMBER(FIND("#"&amp;MID(D388,2,1)&amp;"#","#0#1#2#3#4#5#6#7#8#9#")),IF(AND(VALUE(LEFT(D388,2))&gt;=1,VALUE(LEFT(D388,2))&lt;=5),VALUE(LEFT(D388,2)),""),IF(AND(VALUE(LEFT(D388,1))&gt;=1,VALUE(LEFT(D388,1))&lt;=5),VALUE(LEFT(D388,1)),"")),""),"")</f>
        <v/>
      </c>
      <c r="S388" s="25">
        <f>IF(AND(Q388=1,E388&lt;&gt;""),SUBSTITUTE(SUBSTITUTE(SUBSTITUTE(SUBSTITUTE(SUBSTITUTE(SUBSTITUTE(SUBSTITUTE(SUBSTITUTE(SUBSTITUTE(SUBSTITUTE(SUBSTITUTE(SUBSTITUTE(LOWER(TRIM(E388)),"á","a"),"é","e"),"í","i"),"ó","o"),"ú","u"),"ü","u"),"ñ","n"),"à","a"),"è","e"),"ì","i"),"ò","o"),"ù","u"),"")</f>
        <v/>
      </c>
      <c r="T388" s="25">
        <f>IF(AND(Q388=1,G388&lt;&gt;""),SUBSTITUTE(SUBSTITUTE(SUBSTITUTE(SUBSTITUTE(SUBSTITUTE(SUBSTITUTE(SUBSTITUTE(SUBSTITUTE(SUBSTITUTE(SUBSTITUTE(SUBSTITUTE(SUBSTITUTE(LOWER(TRIM(G388)),"á","a"),"é","e"),"í","i"),"ó","o"),"ú","u"),"ü","u"),"ñ","n"),"à","a"),"è","e"),"ì","i"),"ò","o"),"ù","u"),"")</f>
        <v/>
      </c>
      <c r="U388" s="25">
        <f>IF(AND(Q388=1,H388&lt;&gt;""),SUBSTITUTE(SUBSTITUTE(SUBSTITUTE(SUBSTITUTE(SUBSTITUTE(SUBSTITUTE(SUBSTITUTE(SUBSTITUTE(SUBSTITUTE(SUBSTITUTE(SUBSTITUTE(SUBSTITUTE(LOWER(TRIM(H388)),"á","a"),"é","e"),"í","i"),"ó","o"),"ú","u"),"ü","u"),"ñ","n"),"à","a"),"è","e"),"ì","i"),"ò","o"),"ù","u"),"")</f>
        <v/>
      </c>
      <c r="V388" s="25">
        <f>IF(AND(Q388=1,L388&lt;&gt;""),SUBSTITUTE(SUBSTITUTE(SUBSTITUTE(SUBSTITUTE(SUBSTITUTE(SUBSTITUTE(SUBSTITUTE(SUBSTITUTE(SUBSTITUTE(SUBSTITUTE(SUBSTITUTE(SUBSTITUTE(LOWER(TRIM(L388)),"á","a"),"é","e"),"í","i"),"ó","o"),"ú","u"),"ü","u"),"ñ","n"),"à","a"),"è","e"),"ì","i"),"ò","o"),"ù","u"),"")</f>
        <v/>
      </c>
      <c r="W388" s="25">
        <f>IF(AND(Q388=1,I388&lt;&gt;""),SUBSTITUTE(SUBSTITUTE(SUBSTITUTE(SUBSTITUTE(SUBSTITUTE(SUBSTITUTE(SUBSTITUTE(SUBSTITUTE(SUBSTITUTE(SUBSTITUTE(SUBSTITUTE(SUBSTITUTE(LOWER(TRIM(I388)),"á","a"),"é","e"),"í","i"),"ó","o"),"ú","u"),"ü","u"),"ñ","n"),"à","a"),"è","e"),"ì","i"),"ò","o"),"ù","u"),"")</f>
        <v/>
      </c>
      <c r="X388" s="25">
        <f>IF(U388="","",IF(OR(U388="si, en la proxima tarea",U388="si, con cambios"),1,0))</f>
        <v/>
      </c>
      <c r="Y388" s="25">
        <f>IF(AND(Q388=1,A388&lt;&gt;""),IF(IFERROR(COUNTIFS(A$3:A388,"="&amp;SUBSTITUTE(SUBSTITUTE(SUBSTITUTE(A388,"~","~~"),"*","~*"),"?","~?"),Q$3:Q388,1),0)=1,MAX(Y$2:Y387)+1,""),"")</f>
        <v/>
      </c>
      <c r="Z388" s="25">
        <f>IF(Y388="","",COUNTIFS($A$3:$A$1002,"="&amp;SUBSTITUTE(SUBSTITUTE(SUBSTITUTE(A388,"~","~~"),"*","~*"),"?","~?"),$Q$3:$Q$1002,1)*10000-Y388)</f>
        <v/>
      </c>
    </row>
    <row r="389">
      <c r="A389">
        <f>IF(A$2=0,"",IFERROR(TRIM(INDEX('Pegar docentes'!$A$1:$BZ$1001,388,A$2)&amp;""),""))</f>
        <v/>
      </c>
      <c r="B389">
        <f>IF(B$2=0,"",IFERROR(TRIM(INDEX('Pegar docentes'!$A$1:$BZ$1001,388,B$2)&amp;""),""))</f>
        <v/>
      </c>
      <c r="C389">
        <f>IF(C$2=0,"",IFERROR(TRIM(INDEX('Pegar docentes'!$A$1:$BZ$1001,388,C$2)&amp;""),""))</f>
        <v/>
      </c>
      <c r="D389">
        <f>IF(D$2=0,"",IFERROR(TRIM(INDEX('Pegar docentes'!$A$1:$BZ$1001,388,D$2)&amp;""),""))</f>
        <v/>
      </c>
      <c r="E389">
        <f>IF(E$2=0,"",IFERROR(TRIM(INDEX('Pegar docentes'!$A$1:$BZ$1001,388,E$2)&amp;""),""))</f>
        <v/>
      </c>
      <c r="F389">
        <f>IF(F$2=0,"",IFERROR(TRIM(INDEX('Pegar docentes'!$A$1:$BZ$1001,388,F$2)&amp;""),""))</f>
        <v/>
      </c>
      <c r="G389">
        <f>IF(G$2=0,"",IFERROR(TRIM(INDEX('Pegar docentes'!$A$1:$BZ$1001,388,G$2)&amp;""),""))</f>
        <v/>
      </c>
      <c r="H389">
        <f>IF(H$2=0,"",IFERROR(TRIM(INDEX('Pegar docentes'!$A$1:$BZ$1001,388,H$2)&amp;""),""))</f>
        <v/>
      </c>
      <c r="I389">
        <f>IF(I$2=0,"",IFERROR(TRIM(INDEX('Pegar docentes'!$A$1:$BZ$1001,388,I$2)&amp;""),""))</f>
        <v/>
      </c>
      <c r="J389">
        <f>IF(J$2=0,"",IFERROR(TRIM(INDEX('Pegar docentes'!$A$1:$BZ$1001,388,J$2)&amp;""),""))</f>
        <v/>
      </c>
      <c r="K389">
        <f>IF(K$2=0,"",IFERROR(TRIM(INDEX('Pegar docentes'!$A$1:$BZ$1001,388,K$2)&amp;""),""))</f>
        <v/>
      </c>
      <c r="L389">
        <f>IF(L$2=0,"",IFERROR(TRIM(INDEX('Pegar docentes'!$A$1:$BZ$1001,388,L$2)&amp;""),""))</f>
        <v/>
      </c>
      <c r="M389">
        <f>IF(M$2=0,"",IFERROR(TRIM(INDEX('Pegar docentes'!$A$1:$BZ$1001,388,M$2)&amp;""),""))</f>
        <v/>
      </c>
      <c r="N389">
        <f>IF(N$2=0,"",IFERROR(TRIM(INDEX('Pegar docentes'!$A$1:$BZ$1001,388,N$2)&amp;""),""))</f>
        <v/>
      </c>
      <c r="O389">
        <f>IF(O$2=0,"",IFERROR(TRIM(INDEX('Pegar docentes'!$A$1:$BZ$1001,388,O$2)&amp;""),""))</f>
        <v/>
      </c>
      <c r="P389">
        <f>IF(P$2=0,"",IFERROR(TRIM(INDEX('Pegar docentes'!$A$1:$BZ$1001,388,P$2)&amp;""),""))</f>
        <v/>
      </c>
      <c r="Q389" s="25">
        <f>IF(OR(D389&lt;&gt;"",H389&lt;&gt;""),1,"")</f>
        <v/>
      </c>
      <c r="R389" s="25">
        <f>IF(Q389=1,IF(ISNUMBER(FIND("#"&amp;MID(D389,1,1)&amp;"#","#0#1#2#3#4#5#6#7#8#9#")),IF(ISNUMBER(FIND("#"&amp;MID(D389,2,1)&amp;"#","#0#1#2#3#4#5#6#7#8#9#")),IF(AND(VALUE(LEFT(D389,2))&gt;=1,VALUE(LEFT(D389,2))&lt;=5),VALUE(LEFT(D389,2)),""),IF(AND(VALUE(LEFT(D389,1))&gt;=1,VALUE(LEFT(D389,1))&lt;=5),VALUE(LEFT(D389,1)),"")),""),"")</f>
        <v/>
      </c>
      <c r="S389" s="25">
        <f>IF(AND(Q389=1,E389&lt;&gt;""),SUBSTITUTE(SUBSTITUTE(SUBSTITUTE(SUBSTITUTE(SUBSTITUTE(SUBSTITUTE(SUBSTITUTE(SUBSTITUTE(SUBSTITUTE(SUBSTITUTE(SUBSTITUTE(SUBSTITUTE(LOWER(TRIM(E389)),"á","a"),"é","e"),"í","i"),"ó","o"),"ú","u"),"ü","u"),"ñ","n"),"à","a"),"è","e"),"ì","i"),"ò","o"),"ù","u"),"")</f>
        <v/>
      </c>
      <c r="T389" s="25">
        <f>IF(AND(Q389=1,G389&lt;&gt;""),SUBSTITUTE(SUBSTITUTE(SUBSTITUTE(SUBSTITUTE(SUBSTITUTE(SUBSTITUTE(SUBSTITUTE(SUBSTITUTE(SUBSTITUTE(SUBSTITUTE(SUBSTITUTE(SUBSTITUTE(LOWER(TRIM(G389)),"á","a"),"é","e"),"í","i"),"ó","o"),"ú","u"),"ü","u"),"ñ","n"),"à","a"),"è","e"),"ì","i"),"ò","o"),"ù","u"),"")</f>
        <v/>
      </c>
      <c r="U389" s="25">
        <f>IF(AND(Q389=1,H389&lt;&gt;""),SUBSTITUTE(SUBSTITUTE(SUBSTITUTE(SUBSTITUTE(SUBSTITUTE(SUBSTITUTE(SUBSTITUTE(SUBSTITUTE(SUBSTITUTE(SUBSTITUTE(SUBSTITUTE(SUBSTITUTE(LOWER(TRIM(H389)),"á","a"),"é","e"),"í","i"),"ó","o"),"ú","u"),"ü","u"),"ñ","n"),"à","a"),"è","e"),"ì","i"),"ò","o"),"ù","u"),"")</f>
        <v/>
      </c>
      <c r="V389" s="25">
        <f>IF(AND(Q389=1,L389&lt;&gt;""),SUBSTITUTE(SUBSTITUTE(SUBSTITUTE(SUBSTITUTE(SUBSTITUTE(SUBSTITUTE(SUBSTITUTE(SUBSTITUTE(SUBSTITUTE(SUBSTITUTE(SUBSTITUTE(SUBSTITUTE(LOWER(TRIM(L389)),"á","a"),"é","e"),"í","i"),"ó","o"),"ú","u"),"ü","u"),"ñ","n"),"à","a"),"è","e"),"ì","i"),"ò","o"),"ù","u"),"")</f>
        <v/>
      </c>
      <c r="W389" s="25">
        <f>IF(AND(Q389=1,I389&lt;&gt;""),SUBSTITUTE(SUBSTITUTE(SUBSTITUTE(SUBSTITUTE(SUBSTITUTE(SUBSTITUTE(SUBSTITUTE(SUBSTITUTE(SUBSTITUTE(SUBSTITUTE(SUBSTITUTE(SUBSTITUTE(LOWER(TRIM(I389)),"á","a"),"é","e"),"í","i"),"ó","o"),"ú","u"),"ü","u"),"ñ","n"),"à","a"),"è","e"),"ì","i"),"ò","o"),"ù","u"),"")</f>
        <v/>
      </c>
      <c r="X389" s="25">
        <f>IF(U389="","",IF(OR(U389="si, en la proxima tarea",U389="si, con cambios"),1,0))</f>
        <v/>
      </c>
      <c r="Y389" s="25">
        <f>IF(AND(Q389=1,A389&lt;&gt;""),IF(IFERROR(COUNTIFS(A$3:A389,"="&amp;SUBSTITUTE(SUBSTITUTE(SUBSTITUTE(A389,"~","~~"),"*","~*"),"?","~?"),Q$3:Q389,1),0)=1,MAX(Y$2:Y388)+1,""),"")</f>
        <v/>
      </c>
      <c r="Z389" s="25">
        <f>IF(Y389="","",COUNTIFS($A$3:$A$1002,"="&amp;SUBSTITUTE(SUBSTITUTE(SUBSTITUTE(A389,"~","~~"),"*","~*"),"?","~?"),$Q$3:$Q$1002,1)*10000-Y389)</f>
        <v/>
      </c>
    </row>
    <row r="390">
      <c r="A390">
        <f>IF(A$2=0,"",IFERROR(TRIM(INDEX('Pegar docentes'!$A$1:$BZ$1001,389,A$2)&amp;""),""))</f>
        <v/>
      </c>
      <c r="B390">
        <f>IF(B$2=0,"",IFERROR(TRIM(INDEX('Pegar docentes'!$A$1:$BZ$1001,389,B$2)&amp;""),""))</f>
        <v/>
      </c>
      <c r="C390">
        <f>IF(C$2=0,"",IFERROR(TRIM(INDEX('Pegar docentes'!$A$1:$BZ$1001,389,C$2)&amp;""),""))</f>
        <v/>
      </c>
      <c r="D390">
        <f>IF(D$2=0,"",IFERROR(TRIM(INDEX('Pegar docentes'!$A$1:$BZ$1001,389,D$2)&amp;""),""))</f>
        <v/>
      </c>
      <c r="E390">
        <f>IF(E$2=0,"",IFERROR(TRIM(INDEX('Pegar docentes'!$A$1:$BZ$1001,389,E$2)&amp;""),""))</f>
        <v/>
      </c>
      <c r="F390">
        <f>IF(F$2=0,"",IFERROR(TRIM(INDEX('Pegar docentes'!$A$1:$BZ$1001,389,F$2)&amp;""),""))</f>
        <v/>
      </c>
      <c r="G390">
        <f>IF(G$2=0,"",IFERROR(TRIM(INDEX('Pegar docentes'!$A$1:$BZ$1001,389,G$2)&amp;""),""))</f>
        <v/>
      </c>
      <c r="H390">
        <f>IF(H$2=0,"",IFERROR(TRIM(INDEX('Pegar docentes'!$A$1:$BZ$1001,389,H$2)&amp;""),""))</f>
        <v/>
      </c>
      <c r="I390">
        <f>IF(I$2=0,"",IFERROR(TRIM(INDEX('Pegar docentes'!$A$1:$BZ$1001,389,I$2)&amp;""),""))</f>
        <v/>
      </c>
      <c r="J390">
        <f>IF(J$2=0,"",IFERROR(TRIM(INDEX('Pegar docentes'!$A$1:$BZ$1001,389,J$2)&amp;""),""))</f>
        <v/>
      </c>
      <c r="K390">
        <f>IF(K$2=0,"",IFERROR(TRIM(INDEX('Pegar docentes'!$A$1:$BZ$1001,389,K$2)&amp;""),""))</f>
        <v/>
      </c>
      <c r="L390">
        <f>IF(L$2=0,"",IFERROR(TRIM(INDEX('Pegar docentes'!$A$1:$BZ$1001,389,L$2)&amp;""),""))</f>
        <v/>
      </c>
      <c r="M390">
        <f>IF(M$2=0,"",IFERROR(TRIM(INDEX('Pegar docentes'!$A$1:$BZ$1001,389,M$2)&amp;""),""))</f>
        <v/>
      </c>
      <c r="N390">
        <f>IF(N$2=0,"",IFERROR(TRIM(INDEX('Pegar docentes'!$A$1:$BZ$1001,389,N$2)&amp;""),""))</f>
        <v/>
      </c>
      <c r="O390">
        <f>IF(O$2=0,"",IFERROR(TRIM(INDEX('Pegar docentes'!$A$1:$BZ$1001,389,O$2)&amp;""),""))</f>
        <v/>
      </c>
      <c r="P390">
        <f>IF(P$2=0,"",IFERROR(TRIM(INDEX('Pegar docentes'!$A$1:$BZ$1001,389,P$2)&amp;""),""))</f>
        <v/>
      </c>
      <c r="Q390" s="25">
        <f>IF(OR(D390&lt;&gt;"",H390&lt;&gt;""),1,"")</f>
        <v/>
      </c>
      <c r="R390" s="25">
        <f>IF(Q390=1,IF(ISNUMBER(FIND("#"&amp;MID(D390,1,1)&amp;"#","#0#1#2#3#4#5#6#7#8#9#")),IF(ISNUMBER(FIND("#"&amp;MID(D390,2,1)&amp;"#","#0#1#2#3#4#5#6#7#8#9#")),IF(AND(VALUE(LEFT(D390,2))&gt;=1,VALUE(LEFT(D390,2))&lt;=5),VALUE(LEFT(D390,2)),""),IF(AND(VALUE(LEFT(D390,1))&gt;=1,VALUE(LEFT(D390,1))&lt;=5),VALUE(LEFT(D390,1)),"")),""),"")</f>
        <v/>
      </c>
      <c r="S390" s="25">
        <f>IF(AND(Q390=1,E390&lt;&gt;""),SUBSTITUTE(SUBSTITUTE(SUBSTITUTE(SUBSTITUTE(SUBSTITUTE(SUBSTITUTE(SUBSTITUTE(SUBSTITUTE(SUBSTITUTE(SUBSTITUTE(SUBSTITUTE(SUBSTITUTE(LOWER(TRIM(E390)),"á","a"),"é","e"),"í","i"),"ó","o"),"ú","u"),"ü","u"),"ñ","n"),"à","a"),"è","e"),"ì","i"),"ò","o"),"ù","u"),"")</f>
        <v/>
      </c>
      <c r="T390" s="25">
        <f>IF(AND(Q390=1,G390&lt;&gt;""),SUBSTITUTE(SUBSTITUTE(SUBSTITUTE(SUBSTITUTE(SUBSTITUTE(SUBSTITUTE(SUBSTITUTE(SUBSTITUTE(SUBSTITUTE(SUBSTITUTE(SUBSTITUTE(SUBSTITUTE(LOWER(TRIM(G390)),"á","a"),"é","e"),"í","i"),"ó","o"),"ú","u"),"ü","u"),"ñ","n"),"à","a"),"è","e"),"ì","i"),"ò","o"),"ù","u"),"")</f>
        <v/>
      </c>
      <c r="U390" s="25">
        <f>IF(AND(Q390=1,H390&lt;&gt;""),SUBSTITUTE(SUBSTITUTE(SUBSTITUTE(SUBSTITUTE(SUBSTITUTE(SUBSTITUTE(SUBSTITUTE(SUBSTITUTE(SUBSTITUTE(SUBSTITUTE(SUBSTITUTE(SUBSTITUTE(LOWER(TRIM(H390)),"á","a"),"é","e"),"í","i"),"ó","o"),"ú","u"),"ü","u"),"ñ","n"),"à","a"),"è","e"),"ì","i"),"ò","o"),"ù","u"),"")</f>
        <v/>
      </c>
      <c r="V390" s="25">
        <f>IF(AND(Q390=1,L390&lt;&gt;""),SUBSTITUTE(SUBSTITUTE(SUBSTITUTE(SUBSTITUTE(SUBSTITUTE(SUBSTITUTE(SUBSTITUTE(SUBSTITUTE(SUBSTITUTE(SUBSTITUTE(SUBSTITUTE(SUBSTITUTE(LOWER(TRIM(L390)),"á","a"),"é","e"),"í","i"),"ó","o"),"ú","u"),"ü","u"),"ñ","n"),"à","a"),"è","e"),"ì","i"),"ò","o"),"ù","u"),"")</f>
        <v/>
      </c>
      <c r="W390" s="25">
        <f>IF(AND(Q390=1,I390&lt;&gt;""),SUBSTITUTE(SUBSTITUTE(SUBSTITUTE(SUBSTITUTE(SUBSTITUTE(SUBSTITUTE(SUBSTITUTE(SUBSTITUTE(SUBSTITUTE(SUBSTITUTE(SUBSTITUTE(SUBSTITUTE(LOWER(TRIM(I390)),"á","a"),"é","e"),"í","i"),"ó","o"),"ú","u"),"ü","u"),"ñ","n"),"à","a"),"è","e"),"ì","i"),"ò","o"),"ù","u"),"")</f>
        <v/>
      </c>
      <c r="X390" s="25">
        <f>IF(U390="","",IF(OR(U390="si, en la proxima tarea",U390="si, con cambios"),1,0))</f>
        <v/>
      </c>
      <c r="Y390" s="25">
        <f>IF(AND(Q390=1,A390&lt;&gt;""),IF(IFERROR(COUNTIFS(A$3:A390,"="&amp;SUBSTITUTE(SUBSTITUTE(SUBSTITUTE(A390,"~","~~"),"*","~*"),"?","~?"),Q$3:Q390,1),0)=1,MAX(Y$2:Y389)+1,""),"")</f>
        <v/>
      </c>
      <c r="Z390" s="25">
        <f>IF(Y390="","",COUNTIFS($A$3:$A$1002,"="&amp;SUBSTITUTE(SUBSTITUTE(SUBSTITUTE(A390,"~","~~"),"*","~*"),"?","~?"),$Q$3:$Q$1002,1)*10000-Y390)</f>
        <v/>
      </c>
    </row>
    <row r="391">
      <c r="A391">
        <f>IF(A$2=0,"",IFERROR(TRIM(INDEX('Pegar docentes'!$A$1:$BZ$1001,390,A$2)&amp;""),""))</f>
        <v/>
      </c>
      <c r="B391">
        <f>IF(B$2=0,"",IFERROR(TRIM(INDEX('Pegar docentes'!$A$1:$BZ$1001,390,B$2)&amp;""),""))</f>
        <v/>
      </c>
      <c r="C391">
        <f>IF(C$2=0,"",IFERROR(TRIM(INDEX('Pegar docentes'!$A$1:$BZ$1001,390,C$2)&amp;""),""))</f>
        <v/>
      </c>
      <c r="D391">
        <f>IF(D$2=0,"",IFERROR(TRIM(INDEX('Pegar docentes'!$A$1:$BZ$1001,390,D$2)&amp;""),""))</f>
        <v/>
      </c>
      <c r="E391">
        <f>IF(E$2=0,"",IFERROR(TRIM(INDEX('Pegar docentes'!$A$1:$BZ$1001,390,E$2)&amp;""),""))</f>
        <v/>
      </c>
      <c r="F391">
        <f>IF(F$2=0,"",IFERROR(TRIM(INDEX('Pegar docentes'!$A$1:$BZ$1001,390,F$2)&amp;""),""))</f>
        <v/>
      </c>
      <c r="G391">
        <f>IF(G$2=0,"",IFERROR(TRIM(INDEX('Pegar docentes'!$A$1:$BZ$1001,390,G$2)&amp;""),""))</f>
        <v/>
      </c>
      <c r="H391">
        <f>IF(H$2=0,"",IFERROR(TRIM(INDEX('Pegar docentes'!$A$1:$BZ$1001,390,H$2)&amp;""),""))</f>
        <v/>
      </c>
      <c r="I391">
        <f>IF(I$2=0,"",IFERROR(TRIM(INDEX('Pegar docentes'!$A$1:$BZ$1001,390,I$2)&amp;""),""))</f>
        <v/>
      </c>
      <c r="J391">
        <f>IF(J$2=0,"",IFERROR(TRIM(INDEX('Pegar docentes'!$A$1:$BZ$1001,390,J$2)&amp;""),""))</f>
        <v/>
      </c>
      <c r="K391">
        <f>IF(K$2=0,"",IFERROR(TRIM(INDEX('Pegar docentes'!$A$1:$BZ$1001,390,K$2)&amp;""),""))</f>
        <v/>
      </c>
      <c r="L391">
        <f>IF(L$2=0,"",IFERROR(TRIM(INDEX('Pegar docentes'!$A$1:$BZ$1001,390,L$2)&amp;""),""))</f>
        <v/>
      </c>
      <c r="M391">
        <f>IF(M$2=0,"",IFERROR(TRIM(INDEX('Pegar docentes'!$A$1:$BZ$1001,390,M$2)&amp;""),""))</f>
        <v/>
      </c>
      <c r="N391">
        <f>IF(N$2=0,"",IFERROR(TRIM(INDEX('Pegar docentes'!$A$1:$BZ$1001,390,N$2)&amp;""),""))</f>
        <v/>
      </c>
      <c r="O391">
        <f>IF(O$2=0,"",IFERROR(TRIM(INDEX('Pegar docentes'!$A$1:$BZ$1001,390,O$2)&amp;""),""))</f>
        <v/>
      </c>
      <c r="P391">
        <f>IF(P$2=0,"",IFERROR(TRIM(INDEX('Pegar docentes'!$A$1:$BZ$1001,390,P$2)&amp;""),""))</f>
        <v/>
      </c>
      <c r="Q391" s="25">
        <f>IF(OR(D391&lt;&gt;"",H391&lt;&gt;""),1,"")</f>
        <v/>
      </c>
      <c r="R391" s="25">
        <f>IF(Q391=1,IF(ISNUMBER(FIND("#"&amp;MID(D391,1,1)&amp;"#","#0#1#2#3#4#5#6#7#8#9#")),IF(ISNUMBER(FIND("#"&amp;MID(D391,2,1)&amp;"#","#0#1#2#3#4#5#6#7#8#9#")),IF(AND(VALUE(LEFT(D391,2))&gt;=1,VALUE(LEFT(D391,2))&lt;=5),VALUE(LEFT(D391,2)),""),IF(AND(VALUE(LEFT(D391,1))&gt;=1,VALUE(LEFT(D391,1))&lt;=5),VALUE(LEFT(D391,1)),"")),""),"")</f>
        <v/>
      </c>
      <c r="S391" s="25">
        <f>IF(AND(Q391=1,E391&lt;&gt;""),SUBSTITUTE(SUBSTITUTE(SUBSTITUTE(SUBSTITUTE(SUBSTITUTE(SUBSTITUTE(SUBSTITUTE(SUBSTITUTE(SUBSTITUTE(SUBSTITUTE(SUBSTITUTE(SUBSTITUTE(LOWER(TRIM(E391)),"á","a"),"é","e"),"í","i"),"ó","o"),"ú","u"),"ü","u"),"ñ","n"),"à","a"),"è","e"),"ì","i"),"ò","o"),"ù","u"),"")</f>
        <v/>
      </c>
      <c r="T391" s="25">
        <f>IF(AND(Q391=1,G391&lt;&gt;""),SUBSTITUTE(SUBSTITUTE(SUBSTITUTE(SUBSTITUTE(SUBSTITUTE(SUBSTITUTE(SUBSTITUTE(SUBSTITUTE(SUBSTITUTE(SUBSTITUTE(SUBSTITUTE(SUBSTITUTE(LOWER(TRIM(G391)),"á","a"),"é","e"),"í","i"),"ó","o"),"ú","u"),"ü","u"),"ñ","n"),"à","a"),"è","e"),"ì","i"),"ò","o"),"ù","u"),"")</f>
        <v/>
      </c>
      <c r="U391" s="25">
        <f>IF(AND(Q391=1,H391&lt;&gt;""),SUBSTITUTE(SUBSTITUTE(SUBSTITUTE(SUBSTITUTE(SUBSTITUTE(SUBSTITUTE(SUBSTITUTE(SUBSTITUTE(SUBSTITUTE(SUBSTITUTE(SUBSTITUTE(SUBSTITUTE(LOWER(TRIM(H391)),"á","a"),"é","e"),"í","i"),"ó","o"),"ú","u"),"ü","u"),"ñ","n"),"à","a"),"è","e"),"ì","i"),"ò","o"),"ù","u"),"")</f>
        <v/>
      </c>
      <c r="V391" s="25">
        <f>IF(AND(Q391=1,L391&lt;&gt;""),SUBSTITUTE(SUBSTITUTE(SUBSTITUTE(SUBSTITUTE(SUBSTITUTE(SUBSTITUTE(SUBSTITUTE(SUBSTITUTE(SUBSTITUTE(SUBSTITUTE(SUBSTITUTE(SUBSTITUTE(LOWER(TRIM(L391)),"á","a"),"é","e"),"í","i"),"ó","o"),"ú","u"),"ü","u"),"ñ","n"),"à","a"),"è","e"),"ì","i"),"ò","o"),"ù","u"),"")</f>
        <v/>
      </c>
      <c r="W391" s="25">
        <f>IF(AND(Q391=1,I391&lt;&gt;""),SUBSTITUTE(SUBSTITUTE(SUBSTITUTE(SUBSTITUTE(SUBSTITUTE(SUBSTITUTE(SUBSTITUTE(SUBSTITUTE(SUBSTITUTE(SUBSTITUTE(SUBSTITUTE(SUBSTITUTE(LOWER(TRIM(I391)),"á","a"),"é","e"),"í","i"),"ó","o"),"ú","u"),"ü","u"),"ñ","n"),"à","a"),"è","e"),"ì","i"),"ò","o"),"ù","u"),"")</f>
        <v/>
      </c>
      <c r="X391" s="25">
        <f>IF(U391="","",IF(OR(U391="si, en la proxima tarea",U391="si, con cambios"),1,0))</f>
        <v/>
      </c>
      <c r="Y391" s="25">
        <f>IF(AND(Q391=1,A391&lt;&gt;""),IF(IFERROR(COUNTIFS(A$3:A391,"="&amp;SUBSTITUTE(SUBSTITUTE(SUBSTITUTE(A391,"~","~~"),"*","~*"),"?","~?"),Q$3:Q391,1),0)=1,MAX(Y$2:Y390)+1,""),"")</f>
        <v/>
      </c>
      <c r="Z391" s="25">
        <f>IF(Y391="","",COUNTIFS($A$3:$A$1002,"="&amp;SUBSTITUTE(SUBSTITUTE(SUBSTITUTE(A391,"~","~~"),"*","~*"),"?","~?"),$Q$3:$Q$1002,1)*10000-Y391)</f>
        <v/>
      </c>
    </row>
    <row r="392">
      <c r="A392">
        <f>IF(A$2=0,"",IFERROR(TRIM(INDEX('Pegar docentes'!$A$1:$BZ$1001,391,A$2)&amp;""),""))</f>
        <v/>
      </c>
      <c r="B392">
        <f>IF(B$2=0,"",IFERROR(TRIM(INDEX('Pegar docentes'!$A$1:$BZ$1001,391,B$2)&amp;""),""))</f>
        <v/>
      </c>
      <c r="C392">
        <f>IF(C$2=0,"",IFERROR(TRIM(INDEX('Pegar docentes'!$A$1:$BZ$1001,391,C$2)&amp;""),""))</f>
        <v/>
      </c>
      <c r="D392">
        <f>IF(D$2=0,"",IFERROR(TRIM(INDEX('Pegar docentes'!$A$1:$BZ$1001,391,D$2)&amp;""),""))</f>
        <v/>
      </c>
      <c r="E392">
        <f>IF(E$2=0,"",IFERROR(TRIM(INDEX('Pegar docentes'!$A$1:$BZ$1001,391,E$2)&amp;""),""))</f>
        <v/>
      </c>
      <c r="F392">
        <f>IF(F$2=0,"",IFERROR(TRIM(INDEX('Pegar docentes'!$A$1:$BZ$1001,391,F$2)&amp;""),""))</f>
        <v/>
      </c>
      <c r="G392">
        <f>IF(G$2=0,"",IFERROR(TRIM(INDEX('Pegar docentes'!$A$1:$BZ$1001,391,G$2)&amp;""),""))</f>
        <v/>
      </c>
      <c r="H392">
        <f>IF(H$2=0,"",IFERROR(TRIM(INDEX('Pegar docentes'!$A$1:$BZ$1001,391,H$2)&amp;""),""))</f>
        <v/>
      </c>
      <c r="I392">
        <f>IF(I$2=0,"",IFERROR(TRIM(INDEX('Pegar docentes'!$A$1:$BZ$1001,391,I$2)&amp;""),""))</f>
        <v/>
      </c>
      <c r="J392">
        <f>IF(J$2=0,"",IFERROR(TRIM(INDEX('Pegar docentes'!$A$1:$BZ$1001,391,J$2)&amp;""),""))</f>
        <v/>
      </c>
      <c r="K392">
        <f>IF(K$2=0,"",IFERROR(TRIM(INDEX('Pegar docentes'!$A$1:$BZ$1001,391,K$2)&amp;""),""))</f>
        <v/>
      </c>
      <c r="L392">
        <f>IF(L$2=0,"",IFERROR(TRIM(INDEX('Pegar docentes'!$A$1:$BZ$1001,391,L$2)&amp;""),""))</f>
        <v/>
      </c>
      <c r="M392">
        <f>IF(M$2=0,"",IFERROR(TRIM(INDEX('Pegar docentes'!$A$1:$BZ$1001,391,M$2)&amp;""),""))</f>
        <v/>
      </c>
      <c r="N392">
        <f>IF(N$2=0,"",IFERROR(TRIM(INDEX('Pegar docentes'!$A$1:$BZ$1001,391,N$2)&amp;""),""))</f>
        <v/>
      </c>
      <c r="O392">
        <f>IF(O$2=0,"",IFERROR(TRIM(INDEX('Pegar docentes'!$A$1:$BZ$1001,391,O$2)&amp;""),""))</f>
        <v/>
      </c>
      <c r="P392">
        <f>IF(P$2=0,"",IFERROR(TRIM(INDEX('Pegar docentes'!$A$1:$BZ$1001,391,P$2)&amp;""),""))</f>
        <v/>
      </c>
      <c r="Q392" s="25">
        <f>IF(OR(D392&lt;&gt;"",H392&lt;&gt;""),1,"")</f>
        <v/>
      </c>
      <c r="R392" s="25">
        <f>IF(Q392=1,IF(ISNUMBER(FIND("#"&amp;MID(D392,1,1)&amp;"#","#0#1#2#3#4#5#6#7#8#9#")),IF(ISNUMBER(FIND("#"&amp;MID(D392,2,1)&amp;"#","#0#1#2#3#4#5#6#7#8#9#")),IF(AND(VALUE(LEFT(D392,2))&gt;=1,VALUE(LEFT(D392,2))&lt;=5),VALUE(LEFT(D392,2)),""),IF(AND(VALUE(LEFT(D392,1))&gt;=1,VALUE(LEFT(D392,1))&lt;=5),VALUE(LEFT(D392,1)),"")),""),"")</f>
        <v/>
      </c>
      <c r="S392" s="25">
        <f>IF(AND(Q392=1,E392&lt;&gt;""),SUBSTITUTE(SUBSTITUTE(SUBSTITUTE(SUBSTITUTE(SUBSTITUTE(SUBSTITUTE(SUBSTITUTE(SUBSTITUTE(SUBSTITUTE(SUBSTITUTE(SUBSTITUTE(SUBSTITUTE(LOWER(TRIM(E392)),"á","a"),"é","e"),"í","i"),"ó","o"),"ú","u"),"ü","u"),"ñ","n"),"à","a"),"è","e"),"ì","i"),"ò","o"),"ù","u"),"")</f>
        <v/>
      </c>
      <c r="T392" s="25">
        <f>IF(AND(Q392=1,G392&lt;&gt;""),SUBSTITUTE(SUBSTITUTE(SUBSTITUTE(SUBSTITUTE(SUBSTITUTE(SUBSTITUTE(SUBSTITUTE(SUBSTITUTE(SUBSTITUTE(SUBSTITUTE(SUBSTITUTE(SUBSTITUTE(LOWER(TRIM(G392)),"á","a"),"é","e"),"í","i"),"ó","o"),"ú","u"),"ü","u"),"ñ","n"),"à","a"),"è","e"),"ì","i"),"ò","o"),"ù","u"),"")</f>
        <v/>
      </c>
      <c r="U392" s="25">
        <f>IF(AND(Q392=1,H392&lt;&gt;""),SUBSTITUTE(SUBSTITUTE(SUBSTITUTE(SUBSTITUTE(SUBSTITUTE(SUBSTITUTE(SUBSTITUTE(SUBSTITUTE(SUBSTITUTE(SUBSTITUTE(SUBSTITUTE(SUBSTITUTE(LOWER(TRIM(H392)),"á","a"),"é","e"),"í","i"),"ó","o"),"ú","u"),"ü","u"),"ñ","n"),"à","a"),"è","e"),"ì","i"),"ò","o"),"ù","u"),"")</f>
        <v/>
      </c>
      <c r="V392" s="25">
        <f>IF(AND(Q392=1,L392&lt;&gt;""),SUBSTITUTE(SUBSTITUTE(SUBSTITUTE(SUBSTITUTE(SUBSTITUTE(SUBSTITUTE(SUBSTITUTE(SUBSTITUTE(SUBSTITUTE(SUBSTITUTE(SUBSTITUTE(SUBSTITUTE(LOWER(TRIM(L392)),"á","a"),"é","e"),"í","i"),"ó","o"),"ú","u"),"ü","u"),"ñ","n"),"à","a"),"è","e"),"ì","i"),"ò","o"),"ù","u"),"")</f>
        <v/>
      </c>
      <c r="W392" s="25">
        <f>IF(AND(Q392=1,I392&lt;&gt;""),SUBSTITUTE(SUBSTITUTE(SUBSTITUTE(SUBSTITUTE(SUBSTITUTE(SUBSTITUTE(SUBSTITUTE(SUBSTITUTE(SUBSTITUTE(SUBSTITUTE(SUBSTITUTE(SUBSTITUTE(LOWER(TRIM(I392)),"á","a"),"é","e"),"í","i"),"ó","o"),"ú","u"),"ü","u"),"ñ","n"),"à","a"),"è","e"),"ì","i"),"ò","o"),"ù","u"),"")</f>
        <v/>
      </c>
      <c r="X392" s="25">
        <f>IF(U392="","",IF(OR(U392="si, en la proxima tarea",U392="si, con cambios"),1,0))</f>
        <v/>
      </c>
      <c r="Y392" s="25">
        <f>IF(AND(Q392=1,A392&lt;&gt;""),IF(IFERROR(COUNTIFS(A$3:A392,"="&amp;SUBSTITUTE(SUBSTITUTE(SUBSTITUTE(A392,"~","~~"),"*","~*"),"?","~?"),Q$3:Q392,1),0)=1,MAX(Y$2:Y391)+1,""),"")</f>
        <v/>
      </c>
      <c r="Z392" s="25">
        <f>IF(Y392="","",COUNTIFS($A$3:$A$1002,"="&amp;SUBSTITUTE(SUBSTITUTE(SUBSTITUTE(A392,"~","~~"),"*","~*"),"?","~?"),$Q$3:$Q$1002,1)*10000-Y392)</f>
        <v/>
      </c>
    </row>
    <row r="393">
      <c r="A393">
        <f>IF(A$2=0,"",IFERROR(TRIM(INDEX('Pegar docentes'!$A$1:$BZ$1001,392,A$2)&amp;""),""))</f>
        <v/>
      </c>
      <c r="B393">
        <f>IF(B$2=0,"",IFERROR(TRIM(INDEX('Pegar docentes'!$A$1:$BZ$1001,392,B$2)&amp;""),""))</f>
        <v/>
      </c>
      <c r="C393">
        <f>IF(C$2=0,"",IFERROR(TRIM(INDEX('Pegar docentes'!$A$1:$BZ$1001,392,C$2)&amp;""),""))</f>
        <v/>
      </c>
      <c r="D393">
        <f>IF(D$2=0,"",IFERROR(TRIM(INDEX('Pegar docentes'!$A$1:$BZ$1001,392,D$2)&amp;""),""))</f>
        <v/>
      </c>
      <c r="E393">
        <f>IF(E$2=0,"",IFERROR(TRIM(INDEX('Pegar docentes'!$A$1:$BZ$1001,392,E$2)&amp;""),""))</f>
        <v/>
      </c>
      <c r="F393">
        <f>IF(F$2=0,"",IFERROR(TRIM(INDEX('Pegar docentes'!$A$1:$BZ$1001,392,F$2)&amp;""),""))</f>
        <v/>
      </c>
      <c r="G393">
        <f>IF(G$2=0,"",IFERROR(TRIM(INDEX('Pegar docentes'!$A$1:$BZ$1001,392,G$2)&amp;""),""))</f>
        <v/>
      </c>
      <c r="H393">
        <f>IF(H$2=0,"",IFERROR(TRIM(INDEX('Pegar docentes'!$A$1:$BZ$1001,392,H$2)&amp;""),""))</f>
        <v/>
      </c>
      <c r="I393">
        <f>IF(I$2=0,"",IFERROR(TRIM(INDEX('Pegar docentes'!$A$1:$BZ$1001,392,I$2)&amp;""),""))</f>
        <v/>
      </c>
      <c r="J393">
        <f>IF(J$2=0,"",IFERROR(TRIM(INDEX('Pegar docentes'!$A$1:$BZ$1001,392,J$2)&amp;""),""))</f>
        <v/>
      </c>
      <c r="K393">
        <f>IF(K$2=0,"",IFERROR(TRIM(INDEX('Pegar docentes'!$A$1:$BZ$1001,392,K$2)&amp;""),""))</f>
        <v/>
      </c>
      <c r="L393">
        <f>IF(L$2=0,"",IFERROR(TRIM(INDEX('Pegar docentes'!$A$1:$BZ$1001,392,L$2)&amp;""),""))</f>
        <v/>
      </c>
      <c r="M393">
        <f>IF(M$2=0,"",IFERROR(TRIM(INDEX('Pegar docentes'!$A$1:$BZ$1001,392,M$2)&amp;""),""))</f>
        <v/>
      </c>
      <c r="N393">
        <f>IF(N$2=0,"",IFERROR(TRIM(INDEX('Pegar docentes'!$A$1:$BZ$1001,392,N$2)&amp;""),""))</f>
        <v/>
      </c>
      <c r="O393">
        <f>IF(O$2=0,"",IFERROR(TRIM(INDEX('Pegar docentes'!$A$1:$BZ$1001,392,O$2)&amp;""),""))</f>
        <v/>
      </c>
      <c r="P393">
        <f>IF(P$2=0,"",IFERROR(TRIM(INDEX('Pegar docentes'!$A$1:$BZ$1001,392,P$2)&amp;""),""))</f>
        <v/>
      </c>
      <c r="Q393" s="25">
        <f>IF(OR(D393&lt;&gt;"",H393&lt;&gt;""),1,"")</f>
        <v/>
      </c>
      <c r="R393" s="25">
        <f>IF(Q393=1,IF(ISNUMBER(FIND("#"&amp;MID(D393,1,1)&amp;"#","#0#1#2#3#4#5#6#7#8#9#")),IF(ISNUMBER(FIND("#"&amp;MID(D393,2,1)&amp;"#","#0#1#2#3#4#5#6#7#8#9#")),IF(AND(VALUE(LEFT(D393,2))&gt;=1,VALUE(LEFT(D393,2))&lt;=5),VALUE(LEFT(D393,2)),""),IF(AND(VALUE(LEFT(D393,1))&gt;=1,VALUE(LEFT(D393,1))&lt;=5),VALUE(LEFT(D393,1)),"")),""),"")</f>
        <v/>
      </c>
      <c r="S393" s="25">
        <f>IF(AND(Q393=1,E393&lt;&gt;""),SUBSTITUTE(SUBSTITUTE(SUBSTITUTE(SUBSTITUTE(SUBSTITUTE(SUBSTITUTE(SUBSTITUTE(SUBSTITUTE(SUBSTITUTE(SUBSTITUTE(SUBSTITUTE(SUBSTITUTE(LOWER(TRIM(E393)),"á","a"),"é","e"),"í","i"),"ó","o"),"ú","u"),"ü","u"),"ñ","n"),"à","a"),"è","e"),"ì","i"),"ò","o"),"ù","u"),"")</f>
        <v/>
      </c>
      <c r="T393" s="25">
        <f>IF(AND(Q393=1,G393&lt;&gt;""),SUBSTITUTE(SUBSTITUTE(SUBSTITUTE(SUBSTITUTE(SUBSTITUTE(SUBSTITUTE(SUBSTITUTE(SUBSTITUTE(SUBSTITUTE(SUBSTITUTE(SUBSTITUTE(SUBSTITUTE(LOWER(TRIM(G393)),"á","a"),"é","e"),"í","i"),"ó","o"),"ú","u"),"ü","u"),"ñ","n"),"à","a"),"è","e"),"ì","i"),"ò","o"),"ù","u"),"")</f>
        <v/>
      </c>
      <c r="U393" s="25">
        <f>IF(AND(Q393=1,H393&lt;&gt;""),SUBSTITUTE(SUBSTITUTE(SUBSTITUTE(SUBSTITUTE(SUBSTITUTE(SUBSTITUTE(SUBSTITUTE(SUBSTITUTE(SUBSTITUTE(SUBSTITUTE(SUBSTITUTE(SUBSTITUTE(LOWER(TRIM(H393)),"á","a"),"é","e"),"í","i"),"ó","o"),"ú","u"),"ü","u"),"ñ","n"),"à","a"),"è","e"),"ì","i"),"ò","o"),"ù","u"),"")</f>
        <v/>
      </c>
      <c r="V393" s="25">
        <f>IF(AND(Q393=1,L393&lt;&gt;""),SUBSTITUTE(SUBSTITUTE(SUBSTITUTE(SUBSTITUTE(SUBSTITUTE(SUBSTITUTE(SUBSTITUTE(SUBSTITUTE(SUBSTITUTE(SUBSTITUTE(SUBSTITUTE(SUBSTITUTE(LOWER(TRIM(L393)),"á","a"),"é","e"),"í","i"),"ó","o"),"ú","u"),"ü","u"),"ñ","n"),"à","a"),"è","e"),"ì","i"),"ò","o"),"ù","u"),"")</f>
        <v/>
      </c>
      <c r="W393" s="25">
        <f>IF(AND(Q393=1,I393&lt;&gt;""),SUBSTITUTE(SUBSTITUTE(SUBSTITUTE(SUBSTITUTE(SUBSTITUTE(SUBSTITUTE(SUBSTITUTE(SUBSTITUTE(SUBSTITUTE(SUBSTITUTE(SUBSTITUTE(SUBSTITUTE(LOWER(TRIM(I393)),"á","a"),"é","e"),"í","i"),"ó","o"),"ú","u"),"ü","u"),"ñ","n"),"à","a"),"è","e"),"ì","i"),"ò","o"),"ù","u"),"")</f>
        <v/>
      </c>
      <c r="X393" s="25">
        <f>IF(U393="","",IF(OR(U393="si, en la proxima tarea",U393="si, con cambios"),1,0))</f>
        <v/>
      </c>
      <c r="Y393" s="25">
        <f>IF(AND(Q393=1,A393&lt;&gt;""),IF(IFERROR(COUNTIFS(A$3:A393,"="&amp;SUBSTITUTE(SUBSTITUTE(SUBSTITUTE(A393,"~","~~"),"*","~*"),"?","~?"),Q$3:Q393,1),0)=1,MAX(Y$2:Y392)+1,""),"")</f>
        <v/>
      </c>
      <c r="Z393" s="25">
        <f>IF(Y393="","",COUNTIFS($A$3:$A$1002,"="&amp;SUBSTITUTE(SUBSTITUTE(SUBSTITUTE(A393,"~","~~"),"*","~*"),"?","~?"),$Q$3:$Q$1002,1)*10000-Y393)</f>
        <v/>
      </c>
    </row>
    <row r="394">
      <c r="A394">
        <f>IF(A$2=0,"",IFERROR(TRIM(INDEX('Pegar docentes'!$A$1:$BZ$1001,393,A$2)&amp;""),""))</f>
        <v/>
      </c>
      <c r="B394">
        <f>IF(B$2=0,"",IFERROR(TRIM(INDEX('Pegar docentes'!$A$1:$BZ$1001,393,B$2)&amp;""),""))</f>
        <v/>
      </c>
      <c r="C394">
        <f>IF(C$2=0,"",IFERROR(TRIM(INDEX('Pegar docentes'!$A$1:$BZ$1001,393,C$2)&amp;""),""))</f>
        <v/>
      </c>
      <c r="D394">
        <f>IF(D$2=0,"",IFERROR(TRIM(INDEX('Pegar docentes'!$A$1:$BZ$1001,393,D$2)&amp;""),""))</f>
        <v/>
      </c>
      <c r="E394">
        <f>IF(E$2=0,"",IFERROR(TRIM(INDEX('Pegar docentes'!$A$1:$BZ$1001,393,E$2)&amp;""),""))</f>
        <v/>
      </c>
      <c r="F394">
        <f>IF(F$2=0,"",IFERROR(TRIM(INDEX('Pegar docentes'!$A$1:$BZ$1001,393,F$2)&amp;""),""))</f>
        <v/>
      </c>
      <c r="G394">
        <f>IF(G$2=0,"",IFERROR(TRIM(INDEX('Pegar docentes'!$A$1:$BZ$1001,393,G$2)&amp;""),""))</f>
        <v/>
      </c>
      <c r="H394">
        <f>IF(H$2=0,"",IFERROR(TRIM(INDEX('Pegar docentes'!$A$1:$BZ$1001,393,H$2)&amp;""),""))</f>
        <v/>
      </c>
      <c r="I394">
        <f>IF(I$2=0,"",IFERROR(TRIM(INDEX('Pegar docentes'!$A$1:$BZ$1001,393,I$2)&amp;""),""))</f>
        <v/>
      </c>
      <c r="J394">
        <f>IF(J$2=0,"",IFERROR(TRIM(INDEX('Pegar docentes'!$A$1:$BZ$1001,393,J$2)&amp;""),""))</f>
        <v/>
      </c>
      <c r="K394">
        <f>IF(K$2=0,"",IFERROR(TRIM(INDEX('Pegar docentes'!$A$1:$BZ$1001,393,K$2)&amp;""),""))</f>
        <v/>
      </c>
      <c r="L394">
        <f>IF(L$2=0,"",IFERROR(TRIM(INDEX('Pegar docentes'!$A$1:$BZ$1001,393,L$2)&amp;""),""))</f>
        <v/>
      </c>
      <c r="M394">
        <f>IF(M$2=0,"",IFERROR(TRIM(INDEX('Pegar docentes'!$A$1:$BZ$1001,393,M$2)&amp;""),""))</f>
        <v/>
      </c>
      <c r="N394">
        <f>IF(N$2=0,"",IFERROR(TRIM(INDEX('Pegar docentes'!$A$1:$BZ$1001,393,N$2)&amp;""),""))</f>
        <v/>
      </c>
      <c r="O394">
        <f>IF(O$2=0,"",IFERROR(TRIM(INDEX('Pegar docentes'!$A$1:$BZ$1001,393,O$2)&amp;""),""))</f>
        <v/>
      </c>
      <c r="P394">
        <f>IF(P$2=0,"",IFERROR(TRIM(INDEX('Pegar docentes'!$A$1:$BZ$1001,393,P$2)&amp;""),""))</f>
        <v/>
      </c>
      <c r="Q394" s="25">
        <f>IF(OR(D394&lt;&gt;"",H394&lt;&gt;""),1,"")</f>
        <v/>
      </c>
      <c r="R394" s="25">
        <f>IF(Q394=1,IF(ISNUMBER(FIND("#"&amp;MID(D394,1,1)&amp;"#","#0#1#2#3#4#5#6#7#8#9#")),IF(ISNUMBER(FIND("#"&amp;MID(D394,2,1)&amp;"#","#0#1#2#3#4#5#6#7#8#9#")),IF(AND(VALUE(LEFT(D394,2))&gt;=1,VALUE(LEFT(D394,2))&lt;=5),VALUE(LEFT(D394,2)),""),IF(AND(VALUE(LEFT(D394,1))&gt;=1,VALUE(LEFT(D394,1))&lt;=5),VALUE(LEFT(D394,1)),"")),""),"")</f>
        <v/>
      </c>
      <c r="S394" s="25">
        <f>IF(AND(Q394=1,E394&lt;&gt;""),SUBSTITUTE(SUBSTITUTE(SUBSTITUTE(SUBSTITUTE(SUBSTITUTE(SUBSTITUTE(SUBSTITUTE(SUBSTITUTE(SUBSTITUTE(SUBSTITUTE(SUBSTITUTE(SUBSTITUTE(LOWER(TRIM(E394)),"á","a"),"é","e"),"í","i"),"ó","o"),"ú","u"),"ü","u"),"ñ","n"),"à","a"),"è","e"),"ì","i"),"ò","o"),"ù","u"),"")</f>
        <v/>
      </c>
      <c r="T394" s="25">
        <f>IF(AND(Q394=1,G394&lt;&gt;""),SUBSTITUTE(SUBSTITUTE(SUBSTITUTE(SUBSTITUTE(SUBSTITUTE(SUBSTITUTE(SUBSTITUTE(SUBSTITUTE(SUBSTITUTE(SUBSTITUTE(SUBSTITUTE(SUBSTITUTE(LOWER(TRIM(G394)),"á","a"),"é","e"),"í","i"),"ó","o"),"ú","u"),"ü","u"),"ñ","n"),"à","a"),"è","e"),"ì","i"),"ò","o"),"ù","u"),"")</f>
        <v/>
      </c>
      <c r="U394" s="25">
        <f>IF(AND(Q394=1,H394&lt;&gt;""),SUBSTITUTE(SUBSTITUTE(SUBSTITUTE(SUBSTITUTE(SUBSTITUTE(SUBSTITUTE(SUBSTITUTE(SUBSTITUTE(SUBSTITUTE(SUBSTITUTE(SUBSTITUTE(SUBSTITUTE(LOWER(TRIM(H394)),"á","a"),"é","e"),"í","i"),"ó","o"),"ú","u"),"ü","u"),"ñ","n"),"à","a"),"è","e"),"ì","i"),"ò","o"),"ù","u"),"")</f>
        <v/>
      </c>
      <c r="V394" s="25">
        <f>IF(AND(Q394=1,L394&lt;&gt;""),SUBSTITUTE(SUBSTITUTE(SUBSTITUTE(SUBSTITUTE(SUBSTITUTE(SUBSTITUTE(SUBSTITUTE(SUBSTITUTE(SUBSTITUTE(SUBSTITUTE(SUBSTITUTE(SUBSTITUTE(LOWER(TRIM(L394)),"á","a"),"é","e"),"í","i"),"ó","o"),"ú","u"),"ü","u"),"ñ","n"),"à","a"),"è","e"),"ì","i"),"ò","o"),"ù","u"),"")</f>
        <v/>
      </c>
      <c r="W394" s="25">
        <f>IF(AND(Q394=1,I394&lt;&gt;""),SUBSTITUTE(SUBSTITUTE(SUBSTITUTE(SUBSTITUTE(SUBSTITUTE(SUBSTITUTE(SUBSTITUTE(SUBSTITUTE(SUBSTITUTE(SUBSTITUTE(SUBSTITUTE(SUBSTITUTE(LOWER(TRIM(I394)),"á","a"),"é","e"),"í","i"),"ó","o"),"ú","u"),"ü","u"),"ñ","n"),"à","a"),"è","e"),"ì","i"),"ò","o"),"ù","u"),"")</f>
        <v/>
      </c>
      <c r="X394" s="25">
        <f>IF(U394="","",IF(OR(U394="si, en la proxima tarea",U394="si, con cambios"),1,0))</f>
        <v/>
      </c>
      <c r="Y394" s="25">
        <f>IF(AND(Q394=1,A394&lt;&gt;""),IF(IFERROR(COUNTIFS(A$3:A394,"="&amp;SUBSTITUTE(SUBSTITUTE(SUBSTITUTE(A394,"~","~~"),"*","~*"),"?","~?"),Q$3:Q394,1),0)=1,MAX(Y$2:Y393)+1,""),"")</f>
        <v/>
      </c>
      <c r="Z394" s="25">
        <f>IF(Y394="","",COUNTIFS($A$3:$A$1002,"="&amp;SUBSTITUTE(SUBSTITUTE(SUBSTITUTE(A394,"~","~~"),"*","~*"),"?","~?"),$Q$3:$Q$1002,1)*10000-Y394)</f>
        <v/>
      </c>
    </row>
    <row r="395">
      <c r="A395">
        <f>IF(A$2=0,"",IFERROR(TRIM(INDEX('Pegar docentes'!$A$1:$BZ$1001,394,A$2)&amp;""),""))</f>
        <v/>
      </c>
      <c r="B395">
        <f>IF(B$2=0,"",IFERROR(TRIM(INDEX('Pegar docentes'!$A$1:$BZ$1001,394,B$2)&amp;""),""))</f>
        <v/>
      </c>
      <c r="C395">
        <f>IF(C$2=0,"",IFERROR(TRIM(INDEX('Pegar docentes'!$A$1:$BZ$1001,394,C$2)&amp;""),""))</f>
        <v/>
      </c>
      <c r="D395">
        <f>IF(D$2=0,"",IFERROR(TRIM(INDEX('Pegar docentes'!$A$1:$BZ$1001,394,D$2)&amp;""),""))</f>
        <v/>
      </c>
      <c r="E395">
        <f>IF(E$2=0,"",IFERROR(TRIM(INDEX('Pegar docentes'!$A$1:$BZ$1001,394,E$2)&amp;""),""))</f>
        <v/>
      </c>
      <c r="F395">
        <f>IF(F$2=0,"",IFERROR(TRIM(INDEX('Pegar docentes'!$A$1:$BZ$1001,394,F$2)&amp;""),""))</f>
        <v/>
      </c>
      <c r="G395">
        <f>IF(G$2=0,"",IFERROR(TRIM(INDEX('Pegar docentes'!$A$1:$BZ$1001,394,G$2)&amp;""),""))</f>
        <v/>
      </c>
      <c r="H395">
        <f>IF(H$2=0,"",IFERROR(TRIM(INDEX('Pegar docentes'!$A$1:$BZ$1001,394,H$2)&amp;""),""))</f>
        <v/>
      </c>
      <c r="I395">
        <f>IF(I$2=0,"",IFERROR(TRIM(INDEX('Pegar docentes'!$A$1:$BZ$1001,394,I$2)&amp;""),""))</f>
        <v/>
      </c>
      <c r="J395">
        <f>IF(J$2=0,"",IFERROR(TRIM(INDEX('Pegar docentes'!$A$1:$BZ$1001,394,J$2)&amp;""),""))</f>
        <v/>
      </c>
      <c r="K395">
        <f>IF(K$2=0,"",IFERROR(TRIM(INDEX('Pegar docentes'!$A$1:$BZ$1001,394,K$2)&amp;""),""))</f>
        <v/>
      </c>
      <c r="L395">
        <f>IF(L$2=0,"",IFERROR(TRIM(INDEX('Pegar docentes'!$A$1:$BZ$1001,394,L$2)&amp;""),""))</f>
        <v/>
      </c>
      <c r="M395">
        <f>IF(M$2=0,"",IFERROR(TRIM(INDEX('Pegar docentes'!$A$1:$BZ$1001,394,M$2)&amp;""),""))</f>
        <v/>
      </c>
      <c r="N395">
        <f>IF(N$2=0,"",IFERROR(TRIM(INDEX('Pegar docentes'!$A$1:$BZ$1001,394,N$2)&amp;""),""))</f>
        <v/>
      </c>
      <c r="O395">
        <f>IF(O$2=0,"",IFERROR(TRIM(INDEX('Pegar docentes'!$A$1:$BZ$1001,394,O$2)&amp;""),""))</f>
        <v/>
      </c>
      <c r="P395">
        <f>IF(P$2=0,"",IFERROR(TRIM(INDEX('Pegar docentes'!$A$1:$BZ$1001,394,P$2)&amp;""),""))</f>
        <v/>
      </c>
      <c r="Q395" s="25">
        <f>IF(OR(D395&lt;&gt;"",H395&lt;&gt;""),1,"")</f>
        <v/>
      </c>
      <c r="R395" s="25">
        <f>IF(Q395=1,IF(ISNUMBER(FIND("#"&amp;MID(D395,1,1)&amp;"#","#0#1#2#3#4#5#6#7#8#9#")),IF(ISNUMBER(FIND("#"&amp;MID(D395,2,1)&amp;"#","#0#1#2#3#4#5#6#7#8#9#")),IF(AND(VALUE(LEFT(D395,2))&gt;=1,VALUE(LEFT(D395,2))&lt;=5),VALUE(LEFT(D395,2)),""),IF(AND(VALUE(LEFT(D395,1))&gt;=1,VALUE(LEFT(D395,1))&lt;=5),VALUE(LEFT(D395,1)),"")),""),"")</f>
        <v/>
      </c>
      <c r="S395" s="25">
        <f>IF(AND(Q395=1,E395&lt;&gt;""),SUBSTITUTE(SUBSTITUTE(SUBSTITUTE(SUBSTITUTE(SUBSTITUTE(SUBSTITUTE(SUBSTITUTE(SUBSTITUTE(SUBSTITUTE(SUBSTITUTE(SUBSTITUTE(SUBSTITUTE(LOWER(TRIM(E395)),"á","a"),"é","e"),"í","i"),"ó","o"),"ú","u"),"ü","u"),"ñ","n"),"à","a"),"è","e"),"ì","i"),"ò","o"),"ù","u"),"")</f>
        <v/>
      </c>
      <c r="T395" s="25">
        <f>IF(AND(Q395=1,G395&lt;&gt;""),SUBSTITUTE(SUBSTITUTE(SUBSTITUTE(SUBSTITUTE(SUBSTITUTE(SUBSTITUTE(SUBSTITUTE(SUBSTITUTE(SUBSTITUTE(SUBSTITUTE(SUBSTITUTE(SUBSTITUTE(LOWER(TRIM(G395)),"á","a"),"é","e"),"í","i"),"ó","o"),"ú","u"),"ü","u"),"ñ","n"),"à","a"),"è","e"),"ì","i"),"ò","o"),"ù","u"),"")</f>
        <v/>
      </c>
      <c r="U395" s="25">
        <f>IF(AND(Q395=1,H395&lt;&gt;""),SUBSTITUTE(SUBSTITUTE(SUBSTITUTE(SUBSTITUTE(SUBSTITUTE(SUBSTITUTE(SUBSTITUTE(SUBSTITUTE(SUBSTITUTE(SUBSTITUTE(SUBSTITUTE(SUBSTITUTE(LOWER(TRIM(H395)),"á","a"),"é","e"),"í","i"),"ó","o"),"ú","u"),"ü","u"),"ñ","n"),"à","a"),"è","e"),"ì","i"),"ò","o"),"ù","u"),"")</f>
        <v/>
      </c>
      <c r="V395" s="25">
        <f>IF(AND(Q395=1,L395&lt;&gt;""),SUBSTITUTE(SUBSTITUTE(SUBSTITUTE(SUBSTITUTE(SUBSTITUTE(SUBSTITUTE(SUBSTITUTE(SUBSTITUTE(SUBSTITUTE(SUBSTITUTE(SUBSTITUTE(SUBSTITUTE(LOWER(TRIM(L395)),"á","a"),"é","e"),"í","i"),"ó","o"),"ú","u"),"ü","u"),"ñ","n"),"à","a"),"è","e"),"ì","i"),"ò","o"),"ù","u"),"")</f>
        <v/>
      </c>
      <c r="W395" s="25">
        <f>IF(AND(Q395=1,I395&lt;&gt;""),SUBSTITUTE(SUBSTITUTE(SUBSTITUTE(SUBSTITUTE(SUBSTITUTE(SUBSTITUTE(SUBSTITUTE(SUBSTITUTE(SUBSTITUTE(SUBSTITUTE(SUBSTITUTE(SUBSTITUTE(LOWER(TRIM(I395)),"á","a"),"é","e"),"í","i"),"ó","o"),"ú","u"),"ü","u"),"ñ","n"),"à","a"),"è","e"),"ì","i"),"ò","o"),"ù","u"),"")</f>
        <v/>
      </c>
      <c r="X395" s="25">
        <f>IF(U395="","",IF(OR(U395="si, en la proxima tarea",U395="si, con cambios"),1,0))</f>
        <v/>
      </c>
      <c r="Y395" s="25">
        <f>IF(AND(Q395=1,A395&lt;&gt;""),IF(IFERROR(COUNTIFS(A$3:A395,"="&amp;SUBSTITUTE(SUBSTITUTE(SUBSTITUTE(A395,"~","~~"),"*","~*"),"?","~?"),Q$3:Q395,1),0)=1,MAX(Y$2:Y394)+1,""),"")</f>
        <v/>
      </c>
      <c r="Z395" s="25">
        <f>IF(Y395="","",COUNTIFS($A$3:$A$1002,"="&amp;SUBSTITUTE(SUBSTITUTE(SUBSTITUTE(A395,"~","~~"),"*","~*"),"?","~?"),$Q$3:$Q$1002,1)*10000-Y395)</f>
        <v/>
      </c>
    </row>
    <row r="396">
      <c r="A396">
        <f>IF(A$2=0,"",IFERROR(TRIM(INDEX('Pegar docentes'!$A$1:$BZ$1001,395,A$2)&amp;""),""))</f>
        <v/>
      </c>
      <c r="B396">
        <f>IF(B$2=0,"",IFERROR(TRIM(INDEX('Pegar docentes'!$A$1:$BZ$1001,395,B$2)&amp;""),""))</f>
        <v/>
      </c>
      <c r="C396">
        <f>IF(C$2=0,"",IFERROR(TRIM(INDEX('Pegar docentes'!$A$1:$BZ$1001,395,C$2)&amp;""),""))</f>
        <v/>
      </c>
      <c r="D396">
        <f>IF(D$2=0,"",IFERROR(TRIM(INDEX('Pegar docentes'!$A$1:$BZ$1001,395,D$2)&amp;""),""))</f>
        <v/>
      </c>
      <c r="E396">
        <f>IF(E$2=0,"",IFERROR(TRIM(INDEX('Pegar docentes'!$A$1:$BZ$1001,395,E$2)&amp;""),""))</f>
        <v/>
      </c>
      <c r="F396">
        <f>IF(F$2=0,"",IFERROR(TRIM(INDEX('Pegar docentes'!$A$1:$BZ$1001,395,F$2)&amp;""),""))</f>
        <v/>
      </c>
      <c r="G396">
        <f>IF(G$2=0,"",IFERROR(TRIM(INDEX('Pegar docentes'!$A$1:$BZ$1001,395,G$2)&amp;""),""))</f>
        <v/>
      </c>
      <c r="H396">
        <f>IF(H$2=0,"",IFERROR(TRIM(INDEX('Pegar docentes'!$A$1:$BZ$1001,395,H$2)&amp;""),""))</f>
        <v/>
      </c>
      <c r="I396">
        <f>IF(I$2=0,"",IFERROR(TRIM(INDEX('Pegar docentes'!$A$1:$BZ$1001,395,I$2)&amp;""),""))</f>
        <v/>
      </c>
      <c r="J396">
        <f>IF(J$2=0,"",IFERROR(TRIM(INDEX('Pegar docentes'!$A$1:$BZ$1001,395,J$2)&amp;""),""))</f>
        <v/>
      </c>
      <c r="K396">
        <f>IF(K$2=0,"",IFERROR(TRIM(INDEX('Pegar docentes'!$A$1:$BZ$1001,395,K$2)&amp;""),""))</f>
        <v/>
      </c>
      <c r="L396">
        <f>IF(L$2=0,"",IFERROR(TRIM(INDEX('Pegar docentes'!$A$1:$BZ$1001,395,L$2)&amp;""),""))</f>
        <v/>
      </c>
      <c r="M396">
        <f>IF(M$2=0,"",IFERROR(TRIM(INDEX('Pegar docentes'!$A$1:$BZ$1001,395,M$2)&amp;""),""))</f>
        <v/>
      </c>
      <c r="N396">
        <f>IF(N$2=0,"",IFERROR(TRIM(INDEX('Pegar docentes'!$A$1:$BZ$1001,395,N$2)&amp;""),""))</f>
        <v/>
      </c>
      <c r="O396">
        <f>IF(O$2=0,"",IFERROR(TRIM(INDEX('Pegar docentes'!$A$1:$BZ$1001,395,O$2)&amp;""),""))</f>
        <v/>
      </c>
      <c r="P396">
        <f>IF(P$2=0,"",IFERROR(TRIM(INDEX('Pegar docentes'!$A$1:$BZ$1001,395,P$2)&amp;""),""))</f>
        <v/>
      </c>
      <c r="Q396" s="25">
        <f>IF(OR(D396&lt;&gt;"",H396&lt;&gt;""),1,"")</f>
        <v/>
      </c>
      <c r="R396" s="25">
        <f>IF(Q396=1,IF(ISNUMBER(FIND("#"&amp;MID(D396,1,1)&amp;"#","#0#1#2#3#4#5#6#7#8#9#")),IF(ISNUMBER(FIND("#"&amp;MID(D396,2,1)&amp;"#","#0#1#2#3#4#5#6#7#8#9#")),IF(AND(VALUE(LEFT(D396,2))&gt;=1,VALUE(LEFT(D396,2))&lt;=5),VALUE(LEFT(D396,2)),""),IF(AND(VALUE(LEFT(D396,1))&gt;=1,VALUE(LEFT(D396,1))&lt;=5),VALUE(LEFT(D396,1)),"")),""),"")</f>
        <v/>
      </c>
      <c r="S396" s="25">
        <f>IF(AND(Q396=1,E396&lt;&gt;""),SUBSTITUTE(SUBSTITUTE(SUBSTITUTE(SUBSTITUTE(SUBSTITUTE(SUBSTITUTE(SUBSTITUTE(SUBSTITUTE(SUBSTITUTE(SUBSTITUTE(SUBSTITUTE(SUBSTITUTE(LOWER(TRIM(E396)),"á","a"),"é","e"),"í","i"),"ó","o"),"ú","u"),"ü","u"),"ñ","n"),"à","a"),"è","e"),"ì","i"),"ò","o"),"ù","u"),"")</f>
        <v/>
      </c>
      <c r="T396" s="25">
        <f>IF(AND(Q396=1,G396&lt;&gt;""),SUBSTITUTE(SUBSTITUTE(SUBSTITUTE(SUBSTITUTE(SUBSTITUTE(SUBSTITUTE(SUBSTITUTE(SUBSTITUTE(SUBSTITUTE(SUBSTITUTE(SUBSTITUTE(SUBSTITUTE(LOWER(TRIM(G396)),"á","a"),"é","e"),"í","i"),"ó","o"),"ú","u"),"ü","u"),"ñ","n"),"à","a"),"è","e"),"ì","i"),"ò","o"),"ù","u"),"")</f>
        <v/>
      </c>
      <c r="U396" s="25">
        <f>IF(AND(Q396=1,H396&lt;&gt;""),SUBSTITUTE(SUBSTITUTE(SUBSTITUTE(SUBSTITUTE(SUBSTITUTE(SUBSTITUTE(SUBSTITUTE(SUBSTITUTE(SUBSTITUTE(SUBSTITUTE(SUBSTITUTE(SUBSTITUTE(LOWER(TRIM(H396)),"á","a"),"é","e"),"í","i"),"ó","o"),"ú","u"),"ü","u"),"ñ","n"),"à","a"),"è","e"),"ì","i"),"ò","o"),"ù","u"),"")</f>
        <v/>
      </c>
      <c r="V396" s="25">
        <f>IF(AND(Q396=1,L396&lt;&gt;""),SUBSTITUTE(SUBSTITUTE(SUBSTITUTE(SUBSTITUTE(SUBSTITUTE(SUBSTITUTE(SUBSTITUTE(SUBSTITUTE(SUBSTITUTE(SUBSTITUTE(SUBSTITUTE(SUBSTITUTE(LOWER(TRIM(L396)),"á","a"),"é","e"),"í","i"),"ó","o"),"ú","u"),"ü","u"),"ñ","n"),"à","a"),"è","e"),"ì","i"),"ò","o"),"ù","u"),"")</f>
        <v/>
      </c>
      <c r="W396" s="25">
        <f>IF(AND(Q396=1,I396&lt;&gt;""),SUBSTITUTE(SUBSTITUTE(SUBSTITUTE(SUBSTITUTE(SUBSTITUTE(SUBSTITUTE(SUBSTITUTE(SUBSTITUTE(SUBSTITUTE(SUBSTITUTE(SUBSTITUTE(SUBSTITUTE(LOWER(TRIM(I396)),"á","a"),"é","e"),"í","i"),"ó","o"),"ú","u"),"ü","u"),"ñ","n"),"à","a"),"è","e"),"ì","i"),"ò","o"),"ù","u"),"")</f>
        <v/>
      </c>
      <c r="X396" s="25">
        <f>IF(U396="","",IF(OR(U396="si, en la proxima tarea",U396="si, con cambios"),1,0))</f>
        <v/>
      </c>
      <c r="Y396" s="25">
        <f>IF(AND(Q396=1,A396&lt;&gt;""),IF(IFERROR(COUNTIFS(A$3:A396,"="&amp;SUBSTITUTE(SUBSTITUTE(SUBSTITUTE(A396,"~","~~"),"*","~*"),"?","~?"),Q$3:Q396,1),0)=1,MAX(Y$2:Y395)+1,""),"")</f>
        <v/>
      </c>
      <c r="Z396" s="25">
        <f>IF(Y396="","",COUNTIFS($A$3:$A$1002,"="&amp;SUBSTITUTE(SUBSTITUTE(SUBSTITUTE(A396,"~","~~"),"*","~*"),"?","~?"),$Q$3:$Q$1002,1)*10000-Y396)</f>
        <v/>
      </c>
    </row>
    <row r="397">
      <c r="A397">
        <f>IF(A$2=0,"",IFERROR(TRIM(INDEX('Pegar docentes'!$A$1:$BZ$1001,396,A$2)&amp;""),""))</f>
        <v/>
      </c>
      <c r="B397">
        <f>IF(B$2=0,"",IFERROR(TRIM(INDEX('Pegar docentes'!$A$1:$BZ$1001,396,B$2)&amp;""),""))</f>
        <v/>
      </c>
      <c r="C397">
        <f>IF(C$2=0,"",IFERROR(TRIM(INDEX('Pegar docentes'!$A$1:$BZ$1001,396,C$2)&amp;""),""))</f>
        <v/>
      </c>
      <c r="D397">
        <f>IF(D$2=0,"",IFERROR(TRIM(INDEX('Pegar docentes'!$A$1:$BZ$1001,396,D$2)&amp;""),""))</f>
        <v/>
      </c>
      <c r="E397">
        <f>IF(E$2=0,"",IFERROR(TRIM(INDEX('Pegar docentes'!$A$1:$BZ$1001,396,E$2)&amp;""),""))</f>
        <v/>
      </c>
      <c r="F397">
        <f>IF(F$2=0,"",IFERROR(TRIM(INDEX('Pegar docentes'!$A$1:$BZ$1001,396,F$2)&amp;""),""))</f>
        <v/>
      </c>
      <c r="G397">
        <f>IF(G$2=0,"",IFERROR(TRIM(INDEX('Pegar docentes'!$A$1:$BZ$1001,396,G$2)&amp;""),""))</f>
        <v/>
      </c>
      <c r="H397">
        <f>IF(H$2=0,"",IFERROR(TRIM(INDEX('Pegar docentes'!$A$1:$BZ$1001,396,H$2)&amp;""),""))</f>
        <v/>
      </c>
      <c r="I397">
        <f>IF(I$2=0,"",IFERROR(TRIM(INDEX('Pegar docentes'!$A$1:$BZ$1001,396,I$2)&amp;""),""))</f>
        <v/>
      </c>
      <c r="J397">
        <f>IF(J$2=0,"",IFERROR(TRIM(INDEX('Pegar docentes'!$A$1:$BZ$1001,396,J$2)&amp;""),""))</f>
        <v/>
      </c>
      <c r="K397">
        <f>IF(K$2=0,"",IFERROR(TRIM(INDEX('Pegar docentes'!$A$1:$BZ$1001,396,K$2)&amp;""),""))</f>
        <v/>
      </c>
      <c r="L397">
        <f>IF(L$2=0,"",IFERROR(TRIM(INDEX('Pegar docentes'!$A$1:$BZ$1001,396,L$2)&amp;""),""))</f>
        <v/>
      </c>
      <c r="M397">
        <f>IF(M$2=0,"",IFERROR(TRIM(INDEX('Pegar docentes'!$A$1:$BZ$1001,396,M$2)&amp;""),""))</f>
        <v/>
      </c>
      <c r="N397">
        <f>IF(N$2=0,"",IFERROR(TRIM(INDEX('Pegar docentes'!$A$1:$BZ$1001,396,N$2)&amp;""),""))</f>
        <v/>
      </c>
      <c r="O397">
        <f>IF(O$2=0,"",IFERROR(TRIM(INDEX('Pegar docentes'!$A$1:$BZ$1001,396,O$2)&amp;""),""))</f>
        <v/>
      </c>
      <c r="P397">
        <f>IF(P$2=0,"",IFERROR(TRIM(INDEX('Pegar docentes'!$A$1:$BZ$1001,396,P$2)&amp;""),""))</f>
        <v/>
      </c>
      <c r="Q397" s="25">
        <f>IF(OR(D397&lt;&gt;"",H397&lt;&gt;""),1,"")</f>
        <v/>
      </c>
      <c r="R397" s="25">
        <f>IF(Q397=1,IF(ISNUMBER(FIND("#"&amp;MID(D397,1,1)&amp;"#","#0#1#2#3#4#5#6#7#8#9#")),IF(ISNUMBER(FIND("#"&amp;MID(D397,2,1)&amp;"#","#0#1#2#3#4#5#6#7#8#9#")),IF(AND(VALUE(LEFT(D397,2))&gt;=1,VALUE(LEFT(D397,2))&lt;=5),VALUE(LEFT(D397,2)),""),IF(AND(VALUE(LEFT(D397,1))&gt;=1,VALUE(LEFT(D397,1))&lt;=5),VALUE(LEFT(D397,1)),"")),""),"")</f>
        <v/>
      </c>
      <c r="S397" s="25">
        <f>IF(AND(Q397=1,E397&lt;&gt;""),SUBSTITUTE(SUBSTITUTE(SUBSTITUTE(SUBSTITUTE(SUBSTITUTE(SUBSTITUTE(SUBSTITUTE(SUBSTITUTE(SUBSTITUTE(SUBSTITUTE(SUBSTITUTE(SUBSTITUTE(LOWER(TRIM(E397)),"á","a"),"é","e"),"í","i"),"ó","o"),"ú","u"),"ü","u"),"ñ","n"),"à","a"),"è","e"),"ì","i"),"ò","o"),"ù","u"),"")</f>
        <v/>
      </c>
      <c r="T397" s="25">
        <f>IF(AND(Q397=1,G397&lt;&gt;""),SUBSTITUTE(SUBSTITUTE(SUBSTITUTE(SUBSTITUTE(SUBSTITUTE(SUBSTITUTE(SUBSTITUTE(SUBSTITUTE(SUBSTITUTE(SUBSTITUTE(SUBSTITUTE(SUBSTITUTE(LOWER(TRIM(G397)),"á","a"),"é","e"),"í","i"),"ó","o"),"ú","u"),"ü","u"),"ñ","n"),"à","a"),"è","e"),"ì","i"),"ò","o"),"ù","u"),"")</f>
        <v/>
      </c>
      <c r="U397" s="25">
        <f>IF(AND(Q397=1,H397&lt;&gt;""),SUBSTITUTE(SUBSTITUTE(SUBSTITUTE(SUBSTITUTE(SUBSTITUTE(SUBSTITUTE(SUBSTITUTE(SUBSTITUTE(SUBSTITUTE(SUBSTITUTE(SUBSTITUTE(SUBSTITUTE(LOWER(TRIM(H397)),"á","a"),"é","e"),"í","i"),"ó","o"),"ú","u"),"ü","u"),"ñ","n"),"à","a"),"è","e"),"ì","i"),"ò","o"),"ù","u"),"")</f>
        <v/>
      </c>
      <c r="V397" s="25">
        <f>IF(AND(Q397=1,L397&lt;&gt;""),SUBSTITUTE(SUBSTITUTE(SUBSTITUTE(SUBSTITUTE(SUBSTITUTE(SUBSTITUTE(SUBSTITUTE(SUBSTITUTE(SUBSTITUTE(SUBSTITUTE(SUBSTITUTE(SUBSTITUTE(LOWER(TRIM(L397)),"á","a"),"é","e"),"í","i"),"ó","o"),"ú","u"),"ü","u"),"ñ","n"),"à","a"),"è","e"),"ì","i"),"ò","o"),"ù","u"),"")</f>
        <v/>
      </c>
      <c r="W397" s="25">
        <f>IF(AND(Q397=1,I397&lt;&gt;""),SUBSTITUTE(SUBSTITUTE(SUBSTITUTE(SUBSTITUTE(SUBSTITUTE(SUBSTITUTE(SUBSTITUTE(SUBSTITUTE(SUBSTITUTE(SUBSTITUTE(SUBSTITUTE(SUBSTITUTE(LOWER(TRIM(I397)),"á","a"),"é","e"),"í","i"),"ó","o"),"ú","u"),"ü","u"),"ñ","n"),"à","a"),"è","e"),"ì","i"),"ò","o"),"ù","u"),"")</f>
        <v/>
      </c>
      <c r="X397" s="25">
        <f>IF(U397="","",IF(OR(U397="si, en la proxima tarea",U397="si, con cambios"),1,0))</f>
        <v/>
      </c>
      <c r="Y397" s="25">
        <f>IF(AND(Q397=1,A397&lt;&gt;""),IF(IFERROR(COUNTIFS(A$3:A397,"="&amp;SUBSTITUTE(SUBSTITUTE(SUBSTITUTE(A397,"~","~~"),"*","~*"),"?","~?"),Q$3:Q397,1),0)=1,MAX(Y$2:Y396)+1,""),"")</f>
        <v/>
      </c>
      <c r="Z397" s="25">
        <f>IF(Y397="","",COUNTIFS($A$3:$A$1002,"="&amp;SUBSTITUTE(SUBSTITUTE(SUBSTITUTE(A397,"~","~~"),"*","~*"),"?","~?"),$Q$3:$Q$1002,1)*10000-Y397)</f>
        <v/>
      </c>
    </row>
    <row r="398">
      <c r="A398">
        <f>IF(A$2=0,"",IFERROR(TRIM(INDEX('Pegar docentes'!$A$1:$BZ$1001,397,A$2)&amp;""),""))</f>
        <v/>
      </c>
      <c r="B398">
        <f>IF(B$2=0,"",IFERROR(TRIM(INDEX('Pegar docentes'!$A$1:$BZ$1001,397,B$2)&amp;""),""))</f>
        <v/>
      </c>
      <c r="C398">
        <f>IF(C$2=0,"",IFERROR(TRIM(INDEX('Pegar docentes'!$A$1:$BZ$1001,397,C$2)&amp;""),""))</f>
        <v/>
      </c>
      <c r="D398">
        <f>IF(D$2=0,"",IFERROR(TRIM(INDEX('Pegar docentes'!$A$1:$BZ$1001,397,D$2)&amp;""),""))</f>
        <v/>
      </c>
      <c r="E398">
        <f>IF(E$2=0,"",IFERROR(TRIM(INDEX('Pegar docentes'!$A$1:$BZ$1001,397,E$2)&amp;""),""))</f>
        <v/>
      </c>
      <c r="F398">
        <f>IF(F$2=0,"",IFERROR(TRIM(INDEX('Pegar docentes'!$A$1:$BZ$1001,397,F$2)&amp;""),""))</f>
        <v/>
      </c>
      <c r="G398">
        <f>IF(G$2=0,"",IFERROR(TRIM(INDEX('Pegar docentes'!$A$1:$BZ$1001,397,G$2)&amp;""),""))</f>
        <v/>
      </c>
      <c r="H398">
        <f>IF(H$2=0,"",IFERROR(TRIM(INDEX('Pegar docentes'!$A$1:$BZ$1001,397,H$2)&amp;""),""))</f>
        <v/>
      </c>
      <c r="I398">
        <f>IF(I$2=0,"",IFERROR(TRIM(INDEX('Pegar docentes'!$A$1:$BZ$1001,397,I$2)&amp;""),""))</f>
        <v/>
      </c>
      <c r="J398">
        <f>IF(J$2=0,"",IFERROR(TRIM(INDEX('Pegar docentes'!$A$1:$BZ$1001,397,J$2)&amp;""),""))</f>
        <v/>
      </c>
      <c r="K398">
        <f>IF(K$2=0,"",IFERROR(TRIM(INDEX('Pegar docentes'!$A$1:$BZ$1001,397,K$2)&amp;""),""))</f>
        <v/>
      </c>
      <c r="L398">
        <f>IF(L$2=0,"",IFERROR(TRIM(INDEX('Pegar docentes'!$A$1:$BZ$1001,397,L$2)&amp;""),""))</f>
        <v/>
      </c>
      <c r="M398">
        <f>IF(M$2=0,"",IFERROR(TRIM(INDEX('Pegar docentes'!$A$1:$BZ$1001,397,M$2)&amp;""),""))</f>
        <v/>
      </c>
      <c r="N398">
        <f>IF(N$2=0,"",IFERROR(TRIM(INDEX('Pegar docentes'!$A$1:$BZ$1001,397,N$2)&amp;""),""))</f>
        <v/>
      </c>
      <c r="O398">
        <f>IF(O$2=0,"",IFERROR(TRIM(INDEX('Pegar docentes'!$A$1:$BZ$1001,397,O$2)&amp;""),""))</f>
        <v/>
      </c>
      <c r="P398">
        <f>IF(P$2=0,"",IFERROR(TRIM(INDEX('Pegar docentes'!$A$1:$BZ$1001,397,P$2)&amp;""),""))</f>
        <v/>
      </c>
      <c r="Q398" s="25">
        <f>IF(OR(D398&lt;&gt;"",H398&lt;&gt;""),1,"")</f>
        <v/>
      </c>
      <c r="R398" s="25">
        <f>IF(Q398=1,IF(ISNUMBER(FIND("#"&amp;MID(D398,1,1)&amp;"#","#0#1#2#3#4#5#6#7#8#9#")),IF(ISNUMBER(FIND("#"&amp;MID(D398,2,1)&amp;"#","#0#1#2#3#4#5#6#7#8#9#")),IF(AND(VALUE(LEFT(D398,2))&gt;=1,VALUE(LEFT(D398,2))&lt;=5),VALUE(LEFT(D398,2)),""),IF(AND(VALUE(LEFT(D398,1))&gt;=1,VALUE(LEFT(D398,1))&lt;=5),VALUE(LEFT(D398,1)),"")),""),"")</f>
        <v/>
      </c>
      <c r="S398" s="25">
        <f>IF(AND(Q398=1,E398&lt;&gt;""),SUBSTITUTE(SUBSTITUTE(SUBSTITUTE(SUBSTITUTE(SUBSTITUTE(SUBSTITUTE(SUBSTITUTE(SUBSTITUTE(SUBSTITUTE(SUBSTITUTE(SUBSTITUTE(SUBSTITUTE(LOWER(TRIM(E398)),"á","a"),"é","e"),"í","i"),"ó","o"),"ú","u"),"ü","u"),"ñ","n"),"à","a"),"è","e"),"ì","i"),"ò","o"),"ù","u"),"")</f>
        <v/>
      </c>
      <c r="T398" s="25">
        <f>IF(AND(Q398=1,G398&lt;&gt;""),SUBSTITUTE(SUBSTITUTE(SUBSTITUTE(SUBSTITUTE(SUBSTITUTE(SUBSTITUTE(SUBSTITUTE(SUBSTITUTE(SUBSTITUTE(SUBSTITUTE(SUBSTITUTE(SUBSTITUTE(LOWER(TRIM(G398)),"á","a"),"é","e"),"í","i"),"ó","o"),"ú","u"),"ü","u"),"ñ","n"),"à","a"),"è","e"),"ì","i"),"ò","o"),"ù","u"),"")</f>
        <v/>
      </c>
      <c r="U398" s="25">
        <f>IF(AND(Q398=1,H398&lt;&gt;""),SUBSTITUTE(SUBSTITUTE(SUBSTITUTE(SUBSTITUTE(SUBSTITUTE(SUBSTITUTE(SUBSTITUTE(SUBSTITUTE(SUBSTITUTE(SUBSTITUTE(SUBSTITUTE(SUBSTITUTE(LOWER(TRIM(H398)),"á","a"),"é","e"),"í","i"),"ó","o"),"ú","u"),"ü","u"),"ñ","n"),"à","a"),"è","e"),"ì","i"),"ò","o"),"ù","u"),"")</f>
        <v/>
      </c>
      <c r="V398" s="25">
        <f>IF(AND(Q398=1,L398&lt;&gt;""),SUBSTITUTE(SUBSTITUTE(SUBSTITUTE(SUBSTITUTE(SUBSTITUTE(SUBSTITUTE(SUBSTITUTE(SUBSTITUTE(SUBSTITUTE(SUBSTITUTE(SUBSTITUTE(SUBSTITUTE(LOWER(TRIM(L398)),"á","a"),"é","e"),"í","i"),"ó","o"),"ú","u"),"ü","u"),"ñ","n"),"à","a"),"è","e"),"ì","i"),"ò","o"),"ù","u"),"")</f>
        <v/>
      </c>
      <c r="W398" s="25">
        <f>IF(AND(Q398=1,I398&lt;&gt;""),SUBSTITUTE(SUBSTITUTE(SUBSTITUTE(SUBSTITUTE(SUBSTITUTE(SUBSTITUTE(SUBSTITUTE(SUBSTITUTE(SUBSTITUTE(SUBSTITUTE(SUBSTITUTE(SUBSTITUTE(LOWER(TRIM(I398)),"á","a"),"é","e"),"í","i"),"ó","o"),"ú","u"),"ü","u"),"ñ","n"),"à","a"),"è","e"),"ì","i"),"ò","o"),"ù","u"),"")</f>
        <v/>
      </c>
      <c r="X398" s="25">
        <f>IF(U398="","",IF(OR(U398="si, en la proxima tarea",U398="si, con cambios"),1,0))</f>
        <v/>
      </c>
      <c r="Y398" s="25">
        <f>IF(AND(Q398=1,A398&lt;&gt;""),IF(IFERROR(COUNTIFS(A$3:A398,"="&amp;SUBSTITUTE(SUBSTITUTE(SUBSTITUTE(A398,"~","~~"),"*","~*"),"?","~?"),Q$3:Q398,1),0)=1,MAX(Y$2:Y397)+1,""),"")</f>
        <v/>
      </c>
      <c r="Z398" s="25">
        <f>IF(Y398="","",COUNTIFS($A$3:$A$1002,"="&amp;SUBSTITUTE(SUBSTITUTE(SUBSTITUTE(A398,"~","~~"),"*","~*"),"?","~?"),$Q$3:$Q$1002,1)*10000-Y398)</f>
        <v/>
      </c>
    </row>
    <row r="399">
      <c r="A399">
        <f>IF(A$2=0,"",IFERROR(TRIM(INDEX('Pegar docentes'!$A$1:$BZ$1001,398,A$2)&amp;""),""))</f>
        <v/>
      </c>
      <c r="B399">
        <f>IF(B$2=0,"",IFERROR(TRIM(INDEX('Pegar docentes'!$A$1:$BZ$1001,398,B$2)&amp;""),""))</f>
        <v/>
      </c>
      <c r="C399">
        <f>IF(C$2=0,"",IFERROR(TRIM(INDEX('Pegar docentes'!$A$1:$BZ$1001,398,C$2)&amp;""),""))</f>
        <v/>
      </c>
      <c r="D399">
        <f>IF(D$2=0,"",IFERROR(TRIM(INDEX('Pegar docentes'!$A$1:$BZ$1001,398,D$2)&amp;""),""))</f>
        <v/>
      </c>
      <c r="E399">
        <f>IF(E$2=0,"",IFERROR(TRIM(INDEX('Pegar docentes'!$A$1:$BZ$1001,398,E$2)&amp;""),""))</f>
        <v/>
      </c>
      <c r="F399">
        <f>IF(F$2=0,"",IFERROR(TRIM(INDEX('Pegar docentes'!$A$1:$BZ$1001,398,F$2)&amp;""),""))</f>
        <v/>
      </c>
      <c r="G399">
        <f>IF(G$2=0,"",IFERROR(TRIM(INDEX('Pegar docentes'!$A$1:$BZ$1001,398,G$2)&amp;""),""))</f>
        <v/>
      </c>
      <c r="H399">
        <f>IF(H$2=0,"",IFERROR(TRIM(INDEX('Pegar docentes'!$A$1:$BZ$1001,398,H$2)&amp;""),""))</f>
        <v/>
      </c>
      <c r="I399">
        <f>IF(I$2=0,"",IFERROR(TRIM(INDEX('Pegar docentes'!$A$1:$BZ$1001,398,I$2)&amp;""),""))</f>
        <v/>
      </c>
      <c r="J399">
        <f>IF(J$2=0,"",IFERROR(TRIM(INDEX('Pegar docentes'!$A$1:$BZ$1001,398,J$2)&amp;""),""))</f>
        <v/>
      </c>
      <c r="K399">
        <f>IF(K$2=0,"",IFERROR(TRIM(INDEX('Pegar docentes'!$A$1:$BZ$1001,398,K$2)&amp;""),""))</f>
        <v/>
      </c>
      <c r="L399">
        <f>IF(L$2=0,"",IFERROR(TRIM(INDEX('Pegar docentes'!$A$1:$BZ$1001,398,L$2)&amp;""),""))</f>
        <v/>
      </c>
      <c r="M399">
        <f>IF(M$2=0,"",IFERROR(TRIM(INDEX('Pegar docentes'!$A$1:$BZ$1001,398,M$2)&amp;""),""))</f>
        <v/>
      </c>
      <c r="N399">
        <f>IF(N$2=0,"",IFERROR(TRIM(INDEX('Pegar docentes'!$A$1:$BZ$1001,398,N$2)&amp;""),""))</f>
        <v/>
      </c>
      <c r="O399">
        <f>IF(O$2=0,"",IFERROR(TRIM(INDEX('Pegar docentes'!$A$1:$BZ$1001,398,O$2)&amp;""),""))</f>
        <v/>
      </c>
      <c r="P399">
        <f>IF(P$2=0,"",IFERROR(TRIM(INDEX('Pegar docentes'!$A$1:$BZ$1001,398,P$2)&amp;""),""))</f>
        <v/>
      </c>
      <c r="Q399" s="25">
        <f>IF(OR(D399&lt;&gt;"",H399&lt;&gt;""),1,"")</f>
        <v/>
      </c>
      <c r="R399" s="25">
        <f>IF(Q399=1,IF(ISNUMBER(FIND("#"&amp;MID(D399,1,1)&amp;"#","#0#1#2#3#4#5#6#7#8#9#")),IF(ISNUMBER(FIND("#"&amp;MID(D399,2,1)&amp;"#","#0#1#2#3#4#5#6#7#8#9#")),IF(AND(VALUE(LEFT(D399,2))&gt;=1,VALUE(LEFT(D399,2))&lt;=5),VALUE(LEFT(D399,2)),""),IF(AND(VALUE(LEFT(D399,1))&gt;=1,VALUE(LEFT(D399,1))&lt;=5),VALUE(LEFT(D399,1)),"")),""),"")</f>
        <v/>
      </c>
      <c r="S399" s="25">
        <f>IF(AND(Q399=1,E399&lt;&gt;""),SUBSTITUTE(SUBSTITUTE(SUBSTITUTE(SUBSTITUTE(SUBSTITUTE(SUBSTITUTE(SUBSTITUTE(SUBSTITUTE(SUBSTITUTE(SUBSTITUTE(SUBSTITUTE(SUBSTITUTE(LOWER(TRIM(E399)),"á","a"),"é","e"),"í","i"),"ó","o"),"ú","u"),"ü","u"),"ñ","n"),"à","a"),"è","e"),"ì","i"),"ò","o"),"ù","u"),"")</f>
        <v/>
      </c>
      <c r="T399" s="25">
        <f>IF(AND(Q399=1,G399&lt;&gt;""),SUBSTITUTE(SUBSTITUTE(SUBSTITUTE(SUBSTITUTE(SUBSTITUTE(SUBSTITUTE(SUBSTITUTE(SUBSTITUTE(SUBSTITUTE(SUBSTITUTE(SUBSTITUTE(SUBSTITUTE(LOWER(TRIM(G399)),"á","a"),"é","e"),"í","i"),"ó","o"),"ú","u"),"ü","u"),"ñ","n"),"à","a"),"è","e"),"ì","i"),"ò","o"),"ù","u"),"")</f>
        <v/>
      </c>
      <c r="U399" s="25">
        <f>IF(AND(Q399=1,H399&lt;&gt;""),SUBSTITUTE(SUBSTITUTE(SUBSTITUTE(SUBSTITUTE(SUBSTITUTE(SUBSTITUTE(SUBSTITUTE(SUBSTITUTE(SUBSTITUTE(SUBSTITUTE(SUBSTITUTE(SUBSTITUTE(LOWER(TRIM(H399)),"á","a"),"é","e"),"í","i"),"ó","o"),"ú","u"),"ü","u"),"ñ","n"),"à","a"),"è","e"),"ì","i"),"ò","o"),"ù","u"),"")</f>
        <v/>
      </c>
      <c r="V399" s="25">
        <f>IF(AND(Q399=1,L399&lt;&gt;""),SUBSTITUTE(SUBSTITUTE(SUBSTITUTE(SUBSTITUTE(SUBSTITUTE(SUBSTITUTE(SUBSTITUTE(SUBSTITUTE(SUBSTITUTE(SUBSTITUTE(SUBSTITUTE(SUBSTITUTE(LOWER(TRIM(L399)),"á","a"),"é","e"),"í","i"),"ó","o"),"ú","u"),"ü","u"),"ñ","n"),"à","a"),"è","e"),"ì","i"),"ò","o"),"ù","u"),"")</f>
        <v/>
      </c>
      <c r="W399" s="25">
        <f>IF(AND(Q399=1,I399&lt;&gt;""),SUBSTITUTE(SUBSTITUTE(SUBSTITUTE(SUBSTITUTE(SUBSTITUTE(SUBSTITUTE(SUBSTITUTE(SUBSTITUTE(SUBSTITUTE(SUBSTITUTE(SUBSTITUTE(SUBSTITUTE(LOWER(TRIM(I399)),"á","a"),"é","e"),"í","i"),"ó","o"),"ú","u"),"ü","u"),"ñ","n"),"à","a"),"è","e"),"ì","i"),"ò","o"),"ù","u"),"")</f>
        <v/>
      </c>
      <c r="X399" s="25">
        <f>IF(U399="","",IF(OR(U399="si, en la proxima tarea",U399="si, con cambios"),1,0))</f>
        <v/>
      </c>
      <c r="Y399" s="25">
        <f>IF(AND(Q399=1,A399&lt;&gt;""),IF(IFERROR(COUNTIFS(A$3:A399,"="&amp;SUBSTITUTE(SUBSTITUTE(SUBSTITUTE(A399,"~","~~"),"*","~*"),"?","~?"),Q$3:Q399,1),0)=1,MAX(Y$2:Y398)+1,""),"")</f>
        <v/>
      </c>
      <c r="Z399" s="25">
        <f>IF(Y399="","",COUNTIFS($A$3:$A$1002,"="&amp;SUBSTITUTE(SUBSTITUTE(SUBSTITUTE(A399,"~","~~"),"*","~*"),"?","~?"),$Q$3:$Q$1002,1)*10000-Y399)</f>
        <v/>
      </c>
    </row>
    <row r="400">
      <c r="A400">
        <f>IF(A$2=0,"",IFERROR(TRIM(INDEX('Pegar docentes'!$A$1:$BZ$1001,399,A$2)&amp;""),""))</f>
        <v/>
      </c>
      <c r="B400">
        <f>IF(B$2=0,"",IFERROR(TRIM(INDEX('Pegar docentes'!$A$1:$BZ$1001,399,B$2)&amp;""),""))</f>
        <v/>
      </c>
      <c r="C400">
        <f>IF(C$2=0,"",IFERROR(TRIM(INDEX('Pegar docentes'!$A$1:$BZ$1001,399,C$2)&amp;""),""))</f>
        <v/>
      </c>
      <c r="D400">
        <f>IF(D$2=0,"",IFERROR(TRIM(INDEX('Pegar docentes'!$A$1:$BZ$1001,399,D$2)&amp;""),""))</f>
        <v/>
      </c>
      <c r="E400">
        <f>IF(E$2=0,"",IFERROR(TRIM(INDEX('Pegar docentes'!$A$1:$BZ$1001,399,E$2)&amp;""),""))</f>
        <v/>
      </c>
      <c r="F400">
        <f>IF(F$2=0,"",IFERROR(TRIM(INDEX('Pegar docentes'!$A$1:$BZ$1001,399,F$2)&amp;""),""))</f>
        <v/>
      </c>
      <c r="G400">
        <f>IF(G$2=0,"",IFERROR(TRIM(INDEX('Pegar docentes'!$A$1:$BZ$1001,399,G$2)&amp;""),""))</f>
        <v/>
      </c>
      <c r="H400">
        <f>IF(H$2=0,"",IFERROR(TRIM(INDEX('Pegar docentes'!$A$1:$BZ$1001,399,H$2)&amp;""),""))</f>
        <v/>
      </c>
      <c r="I400">
        <f>IF(I$2=0,"",IFERROR(TRIM(INDEX('Pegar docentes'!$A$1:$BZ$1001,399,I$2)&amp;""),""))</f>
        <v/>
      </c>
      <c r="J400">
        <f>IF(J$2=0,"",IFERROR(TRIM(INDEX('Pegar docentes'!$A$1:$BZ$1001,399,J$2)&amp;""),""))</f>
        <v/>
      </c>
      <c r="K400">
        <f>IF(K$2=0,"",IFERROR(TRIM(INDEX('Pegar docentes'!$A$1:$BZ$1001,399,K$2)&amp;""),""))</f>
        <v/>
      </c>
      <c r="L400">
        <f>IF(L$2=0,"",IFERROR(TRIM(INDEX('Pegar docentes'!$A$1:$BZ$1001,399,L$2)&amp;""),""))</f>
        <v/>
      </c>
      <c r="M400">
        <f>IF(M$2=0,"",IFERROR(TRIM(INDEX('Pegar docentes'!$A$1:$BZ$1001,399,M$2)&amp;""),""))</f>
        <v/>
      </c>
      <c r="N400">
        <f>IF(N$2=0,"",IFERROR(TRIM(INDEX('Pegar docentes'!$A$1:$BZ$1001,399,N$2)&amp;""),""))</f>
        <v/>
      </c>
      <c r="O400">
        <f>IF(O$2=0,"",IFERROR(TRIM(INDEX('Pegar docentes'!$A$1:$BZ$1001,399,O$2)&amp;""),""))</f>
        <v/>
      </c>
      <c r="P400">
        <f>IF(P$2=0,"",IFERROR(TRIM(INDEX('Pegar docentes'!$A$1:$BZ$1001,399,P$2)&amp;""),""))</f>
        <v/>
      </c>
      <c r="Q400" s="25">
        <f>IF(OR(D400&lt;&gt;"",H400&lt;&gt;""),1,"")</f>
        <v/>
      </c>
      <c r="R400" s="25">
        <f>IF(Q400=1,IF(ISNUMBER(FIND("#"&amp;MID(D400,1,1)&amp;"#","#0#1#2#3#4#5#6#7#8#9#")),IF(ISNUMBER(FIND("#"&amp;MID(D400,2,1)&amp;"#","#0#1#2#3#4#5#6#7#8#9#")),IF(AND(VALUE(LEFT(D400,2))&gt;=1,VALUE(LEFT(D400,2))&lt;=5),VALUE(LEFT(D400,2)),""),IF(AND(VALUE(LEFT(D400,1))&gt;=1,VALUE(LEFT(D400,1))&lt;=5),VALUE(LEFT(D400,1)),"")),""),"")</f>
        <v/>
      </c>
      <c r="S400" s="25">
        <f>IF(AND(Q400=1,E400&lt;&gt;""),SUBSTITUTE(SUBSTITUTE(SUBSTITUTE(SUBSTITUTE(SUBSTITUTE(SUBSTITUTE(SUBSTITUTE(SUBSTITUTE(SUBSTITUTE(SUBSTITUTE(SUBSTITUTE(SUBSTITUTE(LOWER(TRIM(E400)),"á","a"),"é","e"),"í","i"),"ó","o"),"ú","u"),"ü","u"),"ñ","n"),"à","a"),"è","e"),"ì","i"),"ò","o"),"ù","u"),"")</f>
        <v/>
      </c>
      <c r="T400" s="25">
        <f>IF(AND(Q400=1,G400&lt;&gt;""),SUBSTITUTE(SUBSTITUTE(SUBSTITUTE(SUBSTITUTE(SUBSTITUTE(SUBSTITUTE(SUBSTITUTE(SUBSTITUTE(SUBSTITUTE(SUBSTITUTE(SUBSTITUTE(SUBSTITUTE(LOWER(TRIM(G400)),"á","a"),"é","e"),"í","i"),"ó","o"),"ú","u"),"ü","u"),"ñ","n"),"à","a"),"è","e"),"ì","i"),"ò","o"),"ù","u"),"")</f>
        <v/>
      </c>
      <c r="U400" s="25">
        <f>IF(AND(Q400=1,H400&lt;&gt;""),SUBSTITUTE(SUBSTITUTE(SUBSTITUTE(SUBSTITUTE(SUBSTITUTE(SUBSTITUTE(SUBSTITUTE(SUBSTITUTE(SUBSTITUTE(SUBSTITUTE(SUBSTITUTE(SUBSTITUTE(LOWER(TRIM(H400)),"á","a"),"é","e"),"í","i"),"ó","o"),"ú","u"),"ü","u"),"ñ","n"),"à","a"),"è","e"),"ì","i"),"ò","o"),"ù","u"),"")</f>
        <v/>
      </c>
      <c r="V400" s="25">
        <f>IF(AND(Q400=1,L400&lt;&gt;""),SUBSTITUTE(SUBSTITUTE(SUBSTITUTE(SUBSTITUTE(SUBSTITUTE(SUBSTITUTE(SUBSTITUTE(SUBSTITUTE(SUBSTITUTE(SUBSTITUTE(SUBSTITUTE(SUBSTITUTE(LOWER(TRIM(L400)),"á","a"),"é","e"),"í","i"),"ó","o"),"ú","u"),"ü","u"),"ñ","n"),"à","a"),"è","e"),"ì","i"),"ò","o"),"ù","u"),"")</f>
        <v/>
      </c>
      <c r="W400" s="25">
        <f>IF(AND(Q400=1,I400&lt;&gt;""),SUBSTITUTE(SUBSTITUTE(SUBSTITUTE(SUBSTITUTE(SUBSTITUTE(SUBSTITUTE(SUBSTITUTE(SUBSTITUTE(SUBSTITUTE(SUBSTITUTE(SUBSTITUTE(SUBSTITUTE(LOWER(TRIM(I400)),"á","a"),"é","e"),"í","i"),"ó","o"),"ú","u"),"ü","u"),"ñ","n"),"à","a"),"è","e"),"ì","i"),"ò","o"),"ù","u"),"")</f>
        <v/>
      </c>
      <c r="X400" s="25">
        <f>IF(U400="","",IF(OR(U400="si, en la proxima tarea",U400="si, con cambios"),1,0))</f>
        <v/>
      </c>
      <c r="Y400" s="25">
        <f>IF(AND(Q400=1,A400&lt;&gt;""),IF(IFERROR(COUNTIFS(A$3:A400,"="&amp;SUBSTITUTE(SUBSTITUTE(SUBSTITUTE(A400,"~","~~"),"*","~*"),"?","~?"),Q$3:Q400,1),0)=1,MAX(Y$2:Y399)+1,""),"")</f>
        <v/>
      </c>
      <c r="Z400" s="25">
        <f>IF(Y400="","",COUNTIFS($A$3:$A$1002,"="&amp;SUBSTITUTE(SUBSTITUTE(SUBSTITUTE(A400,"~","~~"),"*","~*"),"?","~?"),$Q$3:$Q$1002,1)*10000-Y400)</f>
        <v/>
      </c>
    </row>
    <row r="401">
      <c r="A401">
        <f>IF(A$2=0,"",IFERROR(TRIM(INDEX('Pegar docentes'!$A$1:$BZ$1001,400,A$2)&amp;""),""))</f>
        <v/>
      </c>
      <c r="B401">
        <f>IF(B$2=0,"",IFERROR(TRIM(INDEX('Pegar docentes'!$A$1:$BZ$1001,400,B$2)&amp;""),""))</f>
        <v/>
      </c>
      <c r="C401">
        <f>IF(C$2=0,"",IFERROR(TRIM(INDEX('Pegar docentes'!$A$1:$BZ$1001,400,C$2)&amp;""),""))</f>
        <v/>
      </c>
      <c r="D401">
        <f>IF(D$2=0,"",IFERROR(TRIM(INDEX('Pegar docentes'!$A$1:$BZ$1001,400,D$2)&amp;""),""))</f>
        <v/>
      </c>
      <c r="E401">
        <f>IF(E$2=0,"",IFERROR(TRIM(INDEX('Pegar docentes'!$A$1:$BZ$1001,400,E$2)&amp;""),""))</f>
        <v/>
      </c>
      <c r="F401">
        <f>IF(F$2=0,"",IFERROR(TRIM(INDEX('Pegar docentes'!$A$1:$BZ$1001,400,F$2)&amp;""),""))</f>
        <v/>
      </c>
      <c r="G401">
        <f>IF(G$2=0,"",IFERROR(TRIM(INDEX('Pegar docentes'!$A$1:$BZ$1001,400,G$2)&amp;""),""))</f>
        <v/>
      </c>
      <c r="H401">
        <f>IF(H$2=0,"",IFERROR(TRIM(INDEX('Pegar docentes'!$A$1:$BZ$1001,400,H$2)&amp;""),""))</f>
        <v/>
      </c>
      <c r="I401">
        <f>IF(I$2=0,"",IFERROR(TRIM(INDEX('Pegar docentes'!$A$1:$BZ$1001,400,I$2)&amp;""),""))</f>
        <v/>
      </c>
      <c r="J401">
        <f>IF(J$2=0,"",IFERROR(TRIM(INDEX('Pegar docentes'!$A$1:$BZ$1001,400,J$2)&amp;""),""))</f>
        <v/>
      </c>
      <c r="K401">
        <f>IF(K$2=0,"",IFERROR(TRIM(INDEX('Pegar docentes'!$A$1:$BZ$1001,400,K$2)&amp;""),""))</f>
        <v/>
      </c>
      <c r="L401">
        <f>IF(L$2=0,"",IFERROR(TRIM(INDEX('Pegar docentes'!$A$1:$BZ$1001,400,L$2)&amp;""),""))</f>
        <v/>
      </c>
      <c r="M401">
        <f>IF(M$2=0,"",IFERROR(TRIM(INDEX('Pegar docentes'!$A$1:$BZ$1001,400,M$2)&amp;""),""))</f>
        <v/>
      </c>
      <c r="N401">
        <f>IF(N$2=0,"",IFERROR(TRIM(INDEX('Pegar docentes'!$A$1:$BZ$1001,400,N$2)&amp;""),""))</f>
        <v/>
      </c>
      <c r="O401">
        <f>IF(O$2=0,"",IFERROR(TRIM(INDEX('Pegar docentes'!$A$1:$BZ$1001,400,O$2)&amp;""),""))</f>
        <v/>
      </c>
      <c r="P401">
        <f>IF(P$2=0,"",IFERROR(TRIM(INDEX('Pegar docentes'!$A$1:$BZ$1001,400,P$2)&amp;""),""))</f>
        <v/>
      </c>
      <c r="Q401" s="25">
        <f>IF(OR(D401&lt;&gt;"",H401&lt;&gt;""),1,"")</f>
        <v/>
      </c>
      <c r="R401" s="25">
        <f>IF(Q401=1,IF(ISNUMBER(FIND("#"&amp;MID(D401,1,1)&amp;"#","#0#1#2#3#4#5#6#7#8#9#")),IF(ISNUMBER(FIND("#"&amp;MID(D401,2,1)&amp;"#","#0#1#2#3#4#5#6#7#8#9#")),IF(AND(VALUE(LEFT(D401,2))&gt;=1,VALUE(LEFT(D401,2))&lt;=5),VALUE(LEFT(D401,2)),""),IF(AND(VALUE(LEFT(D401,1))&gt;=1,VALUE(LEFT(D401,1))&lt;=5),VALUE(LEFT(D401,1)),"")),""),"")</f>
        <v/>
      </c>
      <c r="S401" s="25">
        <f>IF(AND(Q401=1,E401&lt;&gt;""),SUBSTITUTE(SUBSTITUTE(SUBSTITUTE(SUBSTITUTE(SUBSTITUTE(SUBSTITUTE(SUBSTITUTE(SUBSTITUTE(SUBSTITUTE(SUBSTITUTE(SUBSTITUTE(SUBSTITUTE(LOWER(TRIM(E401)),"á","a"),"é","e"),"í","i"),"ó","o"),"ú","u"),"ü","u"),"ñ","n"),"à","a"),"è","e"),"ì","i"),"ò","o"),"ù","u"),"")</f>
        <v/>
      </c>
      <c r="T401" s="25">
        <f>IF(AND(Q401=1,G401&lt;&gt;""),SUBSTITUTE(SUBSTITUTE(SUBSTITUTE(SUBSTITUTE(SUBSTITUTE(SUBSTITUTE(SUBSTITUTE(SUBSTITUTE(SUBSTITUTE(SUBSTITUTE(SUBSTITUTE(SUBSTITUTE(LOWER(TRIM(G401)),"á","a"),"é","e"),"í","i"),"ó","o"),"ú","u"),"ü","u"),"ñ","n"),"à","a"),"è","e"),"ì","i"),"ò","o"),"ù","u"),"")</f>
        <v/>
      </c>
      <c r="U401" s="25">
        <f>IF(AND(Q401=1,H401&lt;&gt;""),SUBSTITUTE(SUBSTITUTE(SUBSTITUTE(SUBSTITUTE(SUBSTITUTE(SUBSTITUTE(SUBSTITUTE(SUBSTITUTE(SUBSTITUTE(SUBSTITUTE(SUBSTITUTE(SUBSTITUTE(LOWER(TRIM(H401)),"á","a"),"é","e"),"í","i"),"ó","o"),"ú","u"),"ü","u"),"ñ","n"),"à","a"),"è","e"),"ì","i"),"ò","o"),"ù","u"),"")</f>
        <v/>
      </c>
      <c r="V401" s="25">
        <f>IF(AND(Q401=1,L401&lt;&gt;""),SUBSTITUTE(SUBSTITUTE(SUBSTITUTE(SUBSTITUTE(SUBSTITUTE(SUBSTITUTE(SUBSTITUTE(SUBSTITUTE(SUBSTITUTE(SUBSTITUTE(SUBSTITUTE(SUBSTITUTE(LOWER(TRIM(L401)),"á","a"),"é","e"),"í","i"),"ó","o"),"ú","u"),"ü","u"),"ñ","n"),"à","a"),"è","e"),"ì","i"),"ò","o"),"ù","u"),"")</f>
        <v/>
      </c>
      <c r="W401" s="25">
        <f>IF(AND(Q401=1,I401&lt;&gt;""),SUBSTITUTE(SUBSTITUTE(SUBSTITUTE(SUBSTITUTE(SUBSTITUTE(SUBSTITUTE(SUBSTITUTE(SUBSTITUTE(SUBSTITUTE(SUBSTITUTE(SUBSTITUTE(SUBSTITUTE(LOWER(TRIM(I401)),"á","a"),"é","e"),"í","i"),"ó","o"),"ú","u"),"ü","u"),"ñ","n"),"à","a"),"è","e"),"ì","i"),"ò","o"),"ù","u"),"")</f>
        <v/>
      </c>
      <c r="X401" s="25">
        <f>IF(U401="","",IF(OR(U401="si, en la proxima tarea",U401="si, con cambios"),1,0))</f>
        <v/>
      </c>
      <c r="Y401" s="25">
        <f>IF(AND(Q401=1,A401&lt;&gt;""),IF(IFERROR(COUNTIFS(A$3:A401,"="&amp;SUBSTITUTE(SUBSTITUTE(SUBSTITUTE(A401,"~","~~"),"*","~*"),"?","~?"),Q$3:Q401,1),0)=1,MAX(Y$2:Y400)+1,""),"")</f>
        <v/>
      </c>
      <c r="Z401" s="25">
        <f>IF(Y401="","",COUNTIFS($A$3:$A$1002,"="&amp;SUBSTITUTE(SUBSTITUTE(SUBSTITUTE(A401,"~","~~"),"*","~*"),"?","~?"),$Q$3:$Q$1002,1)*10000-Y401)</f>
        <v/>
      </c>
    </row>
    <row r="402">
      <c r="A402">
        <f>IF(A$2=0,"",IFERROR(TRIM(INDEX('Pegar docentes'!$A$1:$BZ$1001,401,A$2)&amp;""),""))</f>
        <v/>
      </c>
      <c r="B402">
        <f>IF(B$2=0,"",IFERROR(TRIM(INDEX('Pegar docentes'!$A$1:$BZ$1001,401,B$2)&amp;""),""))</f>
        <v/>
      </c>
      <c r="C402">
        <f>IF(C$2=0,"",IFERROR(TRIM(INDEX('Pegar docentes'!$A$1:$BZ$1001,401,C$2)&amp;""),""))</f>
        <v/>
      </c>
      <c r="D402">
        <f>IF(D$2=0,"",IFERROR(TRIM(INDEX('Pegar docentes'!$A$1:$BZ$1001,401,D$2)&amp;""),""))</f>
        <v/>
      </c>
      <c r="E402">
        <f>IF(E$2=0,"",IFERROR(TRIM(INDEX('Pegar docentes'!$A$1:$BZ$1001,401,E$2)&amp;""),""))</f>
        <v/>
      </c>
      <c r="F402">
        <f>IF(F$2=0,"",IFERROR(TRIM(INDEX('Pegar docentes'!$A$1:$BZ$1001,401,F$2)&amp;""),""))</f>
        <v/>
      </c>
      <c r="G402">
        <f>IF(G$2=0,"",IFERROR(TRIM(INDEX('Pegar docentes'!$A$1:$BZ$1001,401,G$2)&amp;""),""))</f>
        <v/>
      </c>
      <c r="H402">
        <f>IF(H$2=0,"",IFERROR(TRIM(INDEX('Pegar docentes'!$A$1:$BZ$1001,401,H$2)&amp;""),""))</f>
        <v/>
      </c>
      <c r="I402">
        <f>IF(I$2=0,"",IFERROR(TRIM(INDEX('Pegar docentes'!$A$1:$BZ$1001,401,I$2)&amp;""),""))</f>
        <v/>
      </c>
      <c r="J402">
        <f>IF(J$2=0,"",IFERROR(TRIM(INDEX('Pegar docentes'!$A$1:$BZ$1001,401,J$2)&amp;""),""))</f>
        <v/>
      </c>
      <c r="K402">
        <f>IF(K$2=0,"",IFERROR(TRIM(INDEX('Pegar docentes'!$A$1:$BZ$1001,401,K$2)&amp;""),""))</f>
        <v/>
      </c>
      <c r="L402">
        <f>IF(L$2=0,"",IFERROR(TRIM(INDEX('Pegar docentes'!$A$1:$BZ$1001,401,L$2)&amp;""),""))</f>
        <v/>
      </c>
      <c r="M402">
        <f>IF(M$2=0,"",IFERROR(TRIM(INDEX('Pegar docentes'!$A$1:$BZ$1001,401,M$2)&amp;""),""))</f>
        <v/>
      </c>
      <c r="N402">
        <f>IF(N$2=0,"",IFERROR(TRIM(INDEX('Pegar docentes'!$A$1:$BZ$1001,401,N$2)&amp;""),""))</f>
        <v/>
      </c>
      <c r="O402">
        <f>IF(O$2=0,"",IFERROR(TRIM(INDEX('Pegar docentes'!$A$1:$BZ$1001,401,O$2)&amp;""),""))</f>
        <v/>
      </c>
      <c r="P402">
        <f>IF(P$2=0,"",IFERROR(TRIM(INDEX('Pegar docentes'!$A$1:$BZ$1001,401,P$2)&amp;""),""))</f>
        <v/>
      </c>
      <c r="Q402" s="25">
        <f>IF(OR(D402&lt;&gt;"",H402&lt;&gt;""),1,"")</f>
        <v/>
      </c>
      <c r="R402" s="25">
        <f>IF(Q402=1,IF(ISNUMBER(FIND("#"&amp;MID(D402,1,1)&amp;"#","#0#1#2#3#4#5#6#7#8#9#")),IF(ISNUMBER(FIND("#"&amp;MID(D402,2,1)&amp;"#","#0#1#2#3#4#5#6#7#8#9#")),IF(AND(VALUE(LEFT(D402,2))&gt;=1,VALUE(LEFT(D402,2))&lt;=5),VALUE(LEFT(D402,2)),""),IF(AND(VALUE(LEFT(D402,1))&gt;=1,VALUE(LEFT(D402,1))&lt;=5),VALUE(LEFT(D402,1)),"")),""),"")</f>
        <v/>
      </c>
      <c r="S402" s="25">
        <f>IF(AND(Q402=1,E402&lt;&gt;""),SUBSTITUTE(SUBSTITUTE(SUBSTITUTE(SUBSTITUTE(SUBSTITUTE(SUBSTITUTE(SUBSTITUTE(SUBSTITUTE(SUBSTITUTE(SUBSTITUTE(SUBSTITUTE(SUBSTITUTE(LOWER(TRIM(E402)),"á","a"),"é","e"),"í","i"),"ó","o"),"ú","u"),"ü","u"),"ñ","n"),"à","a"),"è","e"),"ì","i"),"ò","o"),"ù","u"),"")</f>
        <v/>
      </c>
      <c r="T402" s="25">
        <f>IF(AND(Q402=1,G402&lt;&gt;""),SUBSTITUTE(SUBSTITUTE(SUBSTITUTE(SUBSTITUTE(SUBSTITUTE(SUBSTITUTE(SUBSTITUTE(SUBSTITUTE(SUBSTITUTE(SUBSTITUTE(SUBSTITUTE(SUBSTITUTE(LOWER(TRIM(G402)),"á","a"),"é","e"),"í","i"),"ó","o"),"ú","u"),"ü","u"),"ñ","n"),"à","a"),"è","e"),"ì","i"),"ò","o"),"ù","u"),"")</f>
        <v/>
      </c>
      <c r="U402" s="25">
        <f>IF(AND(Q402=1,H402&lt;&gt;""),SUBSTITUTE(SUBSTITUTE(SUBSTITUTE(SUBSTITUTE(SUBSTITUTE(SUBSTITUTE(SUBSTITUTE(SUBSTITUTE(SUBSTITUTE(SUBSTITUTE(SUBSTITUTE(SUBSTITUTE(LOWER(TRIM(H402)),"á","a"),"é","e"),"í","i"),"ó","o"),"ú","u"),"ü","u"),"ñ","n"),"à","a"),"è","e"),"ì","i"),"ò","o"),"ù","u"),"")</f>
        <v/>
      </c>
      <c r="V402" s="25">
        <f>IF(AND(Q402=1,L402&lt;&gt;""),SUBSTITUTE(SUBSTITUTE(SUBSTITUTE(SUBSTITUTE(SUBSTITUTE(SUBSTITUTE(SUBSTITUTE(SUBSTITUTE(SUBSTITUTE(SUBSTITUTE(SUBSTITUTE(SUBSTITUTE(LOWER(TRIM(L402)),"á","a"),"é","e"),"í","i"),"ó","o"),"ú","u"),"ü","u"),"ñ","n"),"à","a"),"è","e"),"ì","i"),"ò","o"),"ù","u"),"")</f>
        <v/>
      </c>
      <c r="W402" s="25">
        <f>IF(AND(Q402=1,I402&lt;&gt;""),SUBSTITUTE(SUBSTITUTE(SUBSTITUTE(SUBSTITUTE(SUBSTITUTE(SUBSTITUTE(SUBSTITUTE(SUBSTITUTE(SUBSTITUTE(SUBSTITUTE(SUBSTITUTE(SUBSTITUTE(LOWER(TRIM(I402)),"á","a"),"é","e"),"í","i"),"ó","o"),"ú","u"),"ü","u"),"ñ","n"),"à","a"),"è","e"),"ì","i"),"ò","o"),"ù","u"),"")</f>
        <v/>
      </c>
      <c r="X402" s="25">
        <f>IF(U402="","",IF(OR(U402="si, en la proxima tarea",U402="si, con cambios"),1,0))</f>
        <v/>
      </c>
      <c r="Y402" s="25">
        <f>IF(AND(Q402=1,A402&lt;&gt;""),IF(IFERROR(COUNTIFS(A$3:A402,"="&amp;SUBSTITUTE(SUBSTITUTE(SUBSTITUTE(A402,"~","~~"),"*","~*"),"?","~?"),Q$3:Q402,1),0)=1,MAX(Y$2:Y401)+1,""),"")</f>
        <v/>
      </c>
      <c r="Z402" s="25">
        <f>IF(Y402="","",COUNTIFS($A$3:$A$1002,"="&amp;SUBSTITUTE(SUBSTITUTE(SUBSTITUTE(A402,"~","~~"),"*","~*"),"?","~?"),$Q$3:$Q$1002,1)*10000-Y402)</f>
        <v/>
      </c>
    </row>
    <row r="403">
      <c r="A403">
        <f>IF(A$2=0,"",IFERROR(TRIM(INDEX('Pegar docentes'!$A$1:$BZ$1001,402,A$2)&amp;""),""))</f>
        <v/>
      </c>
      <c r="B403">
        <f>IF(B$2=0,"",IFERROR(TRIM(INDEX('Pegar docentes'!$A$1:$BZ$1001,402,B$2)&amp;""),""))</f>
        <v/>
      </c>
      <c r="C403">
        <f>IF(C$2=0,"",IFERROR(TRIM(INDEX('Pegar docentes'!$A$1:$BZ$1001,402,C$2)&amp;""),""))</f>
        <v/>
      </c>
      <c r="D403">
        <f>IF(D$2=0,"",IFERROR(TRIM(INDEX('Pegar docentes'!$A$1:$BZ$1001,402,D$2)&amp;""),""))</f>
        <v/>
      </c>
      <c r="E403">
        <f>IF(E$2=0,"",IFERROR(TRIM(INDEX('Pegar docentes'!$A$1:$BZ$1001,402,E$2)&amp;""),""))</f>
        <v/>
      </c>
      <c r="F403">
        <f>IF(F$2=0,"",IFERROR(TRIM(INDEX('Pegar docentes'!$A$1:$BZ$1001,402,F$2)&amp;""),""))</f>
        <v/>
      </c>
      <c r="G403">
        <f>IF(G$2=0,"",IFERROR(TRIM(INDEX('Pegar docentes'!$A$1:$BZ$1001,402,G$2)&amp;""),""))</f>
        <v/>
      </c>
      <c r="H403">
        <f>IF(H$2=0,"",IFERROR(TRIM(INDEX('Pegar docentes'!$A$1:$BZ$1001,402,H$2)&amp;""),""))</f>
        <v/>
      </c>
      <c r="I403">
        <f>IF(I$2=0,"",IFERROR(TRIM(INDEX('Pegar docentes'!$A$1:$BZ$1001,402,I$2)&amp;""),""))</f>
        <v/>
      </c>
      <c r="J403">
        <f>IF(J$2=0,"",IFERROR(TRIM(INDEX('Pegar docentes'!$A$1:$BZ$1001,402,J$2)&amp;""),""))</f>
        <v/>
      </c>
      <c r="K403">
        <f>IF(K$2=0,"",IFERROR(TRIM(INDEX('Pegar docentes'!$A$1:$BZ$1001,402,K$2)&amp;""),""))</f>
        <v/>
      </c>
      <c r="L403">
        <f>IF(L$2=0,"",IFERROR(TRIM(INDEX('Pegar docentes'!$A$1:$BZ$1001,402,L$2)&amp;""),""))</f>
        <v/>
      </c>
      <c r="M403">
        <f>IF(M$2=0,"",IFERROR(TRIM(INDEX('Pegar docentes'!$A$1:$BZ$1001,402,M$2)&amp;""),""))</f>
        <v/>
      </c>
      <c r="N403">
        <f>IF(N$2=0,"",IFERROR(TRIM(INDEX('Pegar docentes'!$A$1:$BZ$1001,402,N$2)&amp;""),""))</f>
        <v/>
      </c>
      <c r="O403">
        <f>IF(O$2=0,"",IFERROR(TRIM(INDEX('Pegar docentes'!$A$1:$BZ$1001,402,O$2)&amp;""),""))</f>
        <v/>
      </c>
      <c r="P403">
        <f>IF(P$2=0,"",IFERROR(TRIM(INDEX('Pegar docentes'!$A$1:$BZ$1001,402,P$2)&amp;""),""))</f>
        <v/>
      </c>
      <c r="Q403" s="25">
        <f>IF(OR(D403&lt;&gt;"",H403&lt;&gt;""),1,"")</f>
        <v/>
      </c>
      <c r="R403" s="25">
        <f>IF(Q403=1,IF(ISNUMBER(FIND("#"&amp;MID(D403,1,1)&amp;"#","#0#1#2#3#4#5#6#7#8#9#")),IF(ISNUMBER(FIND("#"&amp;MID(D403,2,1)&amp;"#","#0#1#2#3#4#5#6#7#8#9#")),IF(AND(VALUE(LEFT(D403,2))&gt;=1,VALUE(LEFT(D403,2))&lt;=5),VALUE(LEFT(D403,2)),""),IF(AND(VALUE(LEFT(D403,1))&gt;=1,VALUE(LEFT(D403,1))&lt;=5),VALUE(LEFT(D403,1)),"")),""),"")</f>
        <v/>
      </c>
      <c r="S403" s="25">
        <f>IF(AND(Q403=1,E403&lt;&gt;""),SUBSTITUTE(SUBSTITUTE(SUBSTITUTE(SUBSTITUTE(SUBSTITUTE(SUBSTITUTE(SUBSTITUTE(SUBSTITUTE(SUBSTITUTE(SUBSTITUTE(SUBSTITUTE(SUBSTITUTE(LOWER(TRIM(E403)),"á","a"),"é","e"),"í","i"),"ó","o"),"ú","u"),"ü","u"),"ñ","n"),"à","a"),"è","e"),"ì","i"),"ò","o"),"ù","u"),"")</f>
        <v/>
      </c>
      <c r="T403" s="25">
        <f>IF(AND(Q403=1,G403&lt;&gt;""),SUBSTITUTE(SUBSTITUTE(SUBSTITUTE(SUBSTITUTE(SUBSTITUTE(SUBSTITUTE(SUBSTITUTE(SUBSTITUTE(SUBSTITUTE(SUBSTITUTE(SUBSTITUTE(SUBSTITUTE(LOWER(TRIM(G403)),"á","a"),"é","e"),"í","i"),"ó","o"),"ú","u"),"ü","u"),"ñ","n"),"à","a"),"è","e"),"ì","i"),"ò","o"),"ù","u"),"")</f>
        <v/>
      </c>
      <c r="U403" s="25">
        <f>IF(AND(Q403=1,H403&lt;&gt;""),SUBSTITUTE(SUBSTITUTE(SUBSTITUTE(SUBSTITUTE(SUBSTITUTE(SUBSTITUTE(SUBSTITUTE(SUBSTITUTE(SUBSTITUTE(SUBSTITUTE(SUBSTITUTE(SUBSTITUTE(LOWER(TRIM(H403)),"á","a"),"é","e"),"í","i"),"ó","o"),"ú","u"),"ü","u"),"ñ","n"),"à","a"),"è","e"),"ì","i"),"ò","o"),"ù","u"),"")</f>
        <v/>
      </c>
      <c r="V403" s="25">
        <f>IF(AND(Q403=1,L403&lt;&gt;""),SUBSTITUTE(SUBSTITUTE(SUBSTITUTE(SUBSTITUTE(SUBSTITUTE(SUBSTITUTE(SUBSTITUTE(SUBSTITUTE(SUBSTITUTE(SUBSTITUTE(SUBSTITUTE(SUBSTITUTE(LOWER(TRIM(L403)),"á","a"),"é","e"),"í","i"),"ó","o"),"ú","u"),"ü","u"),"ñ","n"),"à","a"),"è","e"),"ì","i"),"ò","o"),"ù","u"),"")</f>
        <v/>
      </c>
      <c r="W403" s="25">
        <f>IF(AND(Q403=1,I403&lt;&gt;""),SUBSTITUTE(SUBSTITUTE(SUBSTITUTE(SUBSTITUTE(SUBSTITUTE(SUBSTITUTE(SUBSTITUTE(SUBSTITUTE(SUBSTITUTE(SUBSTITUTE(SUBSTITUTE(SUBSTITUTE(LOWER(TRIM(I403)),"á","a"),"é","e"),"í","i"),"ó","o"),"ú","u"),"ü","u"),"ñ","n"),"à","a"),"è","e"),"ì","i"),"ò","o"),"ù","u"),"")</f>
        <v/>
      </c>
      <c r="X403" s="25">
        <f>IF(U403="","",IF(OR(U403="si, en la proxima tarea",U403="si, con cambios"),1,0))</f>
        <v/>
      </c>
      <c r="Y403" s="25">
        <f>IF(AND(Q403=1,A403&lt;&gt;""),IF(IFERROR(COUNTIFS(A$3:A403,"="&amp;SUBSTITUTE(SUBSTITUTE(SUBSTITUTE(A403,"~","~~"),"*","~*"),"?","~?"),Q$3:Q403,1),0)=1,MAX(Y$2:Y402)+1,""),"")</f>
        <v/>
      </c>
      <c r="Z403" s="25">
        <f>IF(Y403="","",COUNTIFS($A$3:$A$1002,"="&amp;SUBSTITUTE(SUBSTITUTE(SUBSTITUTE(A403,"~","~~"),"*","~*"),"?","~?"),$Q$3:$Q$1002,1)*10000-Y403)</f>
        <v/>
      </c>
    </row>
    <row r="404">
      <c r="A404">
        <f>IF(A$2=0,"",IFERROR(TRIM(INDEX('Pegar docentes'!$A$1:$BZ$1001,403,A$2)&amp;""),""))</f>
        <v/>
      </c>
      <c r="B404">
        <f>IF(B$2=0,"",IFERROR(TRIM(INDEX('Pegar docentes'!$A$1:$BZ$1001,403,B$2)&amp;""),""))</f>
        <v/>
      </c>
      <c r="C404">
        <f>IF(C$2=0,"",IFERROR(TRIM(INDEX('Pegar docentes'!$A$1:$BZ$1001,403,C$2)&amp;""),""))</f>
        <v/>
      </c>
      <c r="D404">
        <f>IF(D$2=0,"",IFERROR(TRIM(INDEX('Pegar docentes'!$A$1:$BZ$1001,403,D$2)&amp;""),""))</f>
        <v/>
      </c>
      <c r="E404">
        <f>IF(E$2=0,"",IFERROR(TRIM(INDEX('Pegar docentes'!$A$1:$BZ$1001,403,E$2)&amp;""),""))</f>
        <v/>
      </c>
      <c r="F404">
        <f>IF(F$2=0,"",IFERROR(TRIM(INDEX('Pegar docentes'!$A$1:$BZ$1001,403,F$2)&amp;""),""))</f>
        <v/>
      </c>
      <c r="G404">
        <f>IF(G$2=0,"",IFERROR(TRIM(INDEX('Pegar docentes'!$A$1:$BZ$1001,403,G$2)&amp;""),""))</f>
        <v/>
      </c>
      <c r="H404">
        <f>IF(H$2=0,"",IFERROR(TRIM(INDEX('Pegar docentes'!$A$1:$BZ$1001,403,H$2)&amp;""),""))</f>
        <v/>
      </c>
      <c r="I404">
        <f>IF(I$2=0,"",IFERROR(TRIM(INDEX('Pegar docentes'!$A$1:$BZ$1001,403,I$2)&amp;""),""))</f>
        <v/>
      </c>
      <c r="J404">
        <f>IF(J$2=0,"",IFERROR(TRIM(INDEX('Pegar docentes'!$A$1:$BZ$1001,403,J$2)&amp;""),""))</f>
        <v/>
      </c>
      <c r="K404">
        <f>IF(K$2=0,"",IFERROR(TRIM(INDEX('Pegar docentes'!$A$1:$BZ$1001,403,K$2)&amp;""),""))</f>
        <v/>
      </c>
      <c r="L404">
        <f>IF(L$2=0,"",IFERROR(TRIM(INDEX('Pegar docentes'!$A$1:$BZ$1001,403,L$2)&amp;""),""))</f>
        <v/>
      </c>
      <c r="M404">
        <f>IF(M$2=0,"",IFERROR(TRIM(INDEX('Pegar docentes'!$A$1:$BZ$1001,403,M$2)&amp;""),""))</f>
        <v/>
      </c>
      <c r="N404">
        <f>IF(N$2=0,"",IFERROR(TRIM(INDEX('Pegar docentes'!$A$1:$BZ$1001,403,N$2)&amp;""),""))</f>
        <v/>
      </c>
      <c r="O404">
        <f>IF(O$2=0,"",IFERROR(TRIM(INDEX('Pegar docentes'!$A$1:$BZ$1001,403,O$2)&amp;""),""))</f>
        <v/>
      </c>
      <c r="P404">
        <f>IF(P$2=0,"",IFERROR(TRIM(INDEX('Pegar docentes'!$A$1:$BZ$1001,403,P$2)&amp;""),""))</f>
        <v/>
      </c>
      <c r="Q404" s="25">
        <f>IF(OR(D404&lt;&gt;"",H404&lt;&gt;""),1,"")</f>
        <v/>
      </c>
      <c r="R404" s="25">
        <f>IF(Q404=1,IF(ISNUMBER(FIND("#"&amp;MID(D404,1,1)&amp;"#","#0#1#2#3#4#5#6#7#8#9#")),IF(ISNUMBER(FIND("#"&amp;MID(D404,2,1)&amp;"#","#0#1#2#3#4#5#6#7#8#9#")),IF(AND(VALUE(LEFT(D404,2))&gt;=1,VALUE(LEFT(D404,2))&lt;=5),VALUE(LEFT(D404,2)),""),IF(AND(VALUE(LEFT(D404,1))&gt;=1,VALUE(LEFT(D404,1))&lt;=5),VALUE(LEFT(D404,1)),"")),""),"")</f>
        <v/>
      </c>
      <c r="S404" s="25">
        <f>IF(AND(Q404=1,E404&lt;&gt;""),SUBSTITUTE(SUBSTITUTE(SUBSTITUTE(SUBSTITUTE(SUBSTITUTE(SUBSTITUTE(SUBSTITUTE(SUBSTITUTE(SUBSTITUTE(SUBSTITUTE(SUBSTITUTE(SUBSTITUTE(LOWER(TRIM(E404)),"á","a"),"é","e"),"í","i"),"ó","o"),"ú","u"),"ü","u"),"ñ","n"),"à","a"),"è","e"),"ì","i"),"ò","o"),"ù","u"),"")</f>
        <v/>
      </c>
      <c r="T404" s="25">
        <f>IF(AND(Q404=1,G404&lt;&gt;""),SUBSTITUTE(SUBSTITUTE(SUBSTITUTE(SUBSTITUTE(SUBSTITUTE(SUBSTITUTE(SUBSTITUTE(SUBSTITUTE(SUBSTITUTE(SUBSTITUTE(SUBSTITUTE(SUBSTITUTE(LOWER(TRIM(G404)),"á","a"),"é","e"),"í","i"),"ó","o"),"ú","u"),"ü","u"),"ñ","n"),"à","a"),"è","e"),"ì","i"),"ò","o"),"ù","u"),"")</f>
        <v/>
      </c>
      <c r="U404" s="25">
        <f>IF(AND(Q404=1,H404&lt;&gt;""),SUBSTITUTE(SUBSTITUTE(SUBSTITUTE(SUBSTITUTE(SUBSTITUTE(SUBSTITUTE(SUBSTITUTE(SUBSTITUTE(SUBSTITUTE(SUBSTITUTE(SUBSTITUTE(SUBSTITUTE(LOWER(TRIM(H404)),"á","a"),"é","e"),"í","i"),"ó","o"),"ú","u"),"ü","u"),"ñ","n"),"à","a"),"è","e"),"ì","i"),"ò","o"),"ù","u"),"")</f>
        <v/>
      </c>
      <c r="V404" s="25">
        <f>IF(AND(Q404=1,L404&lt;&gt;""),SUBSTITUTE(SUBSTITUTE(SUBSTITUTE(SUBSTITUTE(SUBSTITUTE(SUBSTITUTE(SUBSTITUTE(SUBSTITUTE(SUBSTITUTE(SUBSTITUTE(SUBSTITUTE(SUBSTITUTE(LOWER(TRIM(L404)),"á","a"),"é","e"),"í","i"),"ó","o"),"ú","u"),"ü","u"),"ñ","n"),"à","a"),"è","e"),"ì","i"),"ò","o"),"ù","u"),"")</f>
        <v/>
      </c>
      <c r="W404" s="25">
        <f>IF(AND(Q404=1,I404&lt;&gt;""),SUBSTITUTE(SUBSTITUTE(SUBSTITUTE(SUBSTITUTE(SUBSTITUTE(SUBSTITUTE(SUBSTITUTE(SUBSTITUTE(SUBSTITUTE(SUBSTITUTE(SUBSTITUTE(SUBSTITUTE(LOWER(TRIM(I404)),"á","a"),"é","e"),"í","i"),"ó","o"),"ú","u"),"ü","u"),"ñ","n"),"à","a"),"è","e"),"ì","i"),"ò","o"),"ù","u"),"")</f>
        <v/>
      </c>
      <c r="X404" s="25">
        <f>IF(U404="","",IF(OR(U404="si, en la proxima tarea",U404="si, con cambios"),1,0))</f>
        <v/>
      </c>
      <c r="Y404" s="25">
        <f>IF(AND(Q404=1,A404&lt;&gt;""),IF(IFERROR(COUNTIFS(A$3:A404,"="&amp;SUBSTITUTE(SUBSTITUTE(SUBSTITUTE(A404,"~","~~"),"*","~*"),"?","~?"),Q$3:Q404,1),0)=1,MAX(Y$2:Y403)+1,""),"")</f>
        <v/>
      </c>
      <c r="Z404" s="25">
        <f>IF(Y404="","",COUNTIFS($A$3:$A$1002,"="&amp;SUBSTITUTE(SUBSTITUTE(SUBSTITUTE(A404,"~","~~"),"*","~*"),"?","~?"),$Q$3:$Q$1002,1)*10000-Y404)</f>
        <v/>
      </c>
    </row>
    <row r="405">
      <c r="A405">
        <f>IF(A$2=0,"",IFERROR(TRIM(INDEX('Pegar docentes'!$A$1:$BZ$1001,404,A$2)&amp;""),""))</f>
        <v/>
      </c>
      <c r="B405">
        <f>IF(B$2=0,"",IFERROR(TRIM(INDEX('Pegar docentes'!$A$1:$BZ$1001,404,B$2)&amp;""),""))</f>
        <v/>
      </c>
      <c r="C405">
        <f>IF(C$2=0,"",IFERROR(TRIM(INDEX('Pegar docentes'!$A$1:$BZ$1001,404,C$2)&amp;""),""))</f>
        <v/>
      </c>
      <c r="D405">
        <f>IF(D$2=0,"",IFERROR(TRIM(INDEX('Pegar docentes'!$A$1:$BZ$1001,404,D$2)&amp;""),""))</f>
        <v/>
      </c>
      <c r="E405">
        <f>IF(E$2=0,"",IFERROR(TRIM(INDEX('Pegar docentes'!$A$1:$BZ$1001,404,E$2)&amp;""),""))</f>
        <v/>
      </c>
      <c r="F405">
        <f>IF(F$2=0,"",IFERROR(TRIM(INDEX('Pegar docentes'!$A$1:$BZ$1001,404,F$2)&amp;""),""))</f>
        <v/>
      </c>
      <c r="G405">
        <f>IF(G$2=0,"",IFERROR(TRIM(INDEX('Pegar docentes'!$A$1:$BZ$1001,404,G$2)&amp;""),""))</f>
        <v/>
      </c>
      <c r="H405">
        <f>IF(H$2=0,"",IFERROR(TRIM(INDEX('Pegar docentes'!$A$1:$BZ$1001,404,H$2)&amp;""),""))</f>
        <v/>
      </c>
      <c r="I405">
        <f>IF(I$2=0,"",IFERROR(TRIM(INDEX('Pegar docentes'!$A$1:$BZ$1001,404,I$2)&amp;""),""))</f>
        <v/>
      </c>
      <c r="J405">
        <f>IF(J$2=0,"",IFERROR(TRIM(INDEX('Pegar docentes'!$A$1:$BZ$1001,404,J$2)&amp;""),""))</f>
        <v/>
      </c>
      <c r="K405">
        <f>IF(K$2=0,"",IFERROR(TRIM(INDEX('Pegar docentes'!$A$1:$BZ$1001,404,K$2)&amp;""),""))</f>
        <v/>
      </c>
      <c r="L405">
        <f>IF(L$2=0,"",IFERROR(TRIM(INDEX('Pegar docentes'!$A$1:$BZ$1001,404,L$2)&amp;""),""))</f>
        <v/>
      </c>
      <c r="M405">
        <f>IF(M$2=0,"",IFERROR(TRIM(INDEX('Pegar docentes'!$A$1:$BZ$1001,404,M$2)&amp;""),""))</f>
        <v/>
      </c>
      <c r="N405">
        <f>IF(N$2=0,"",IFERROR(TRIM(INDEX('Pegar docentes'!$A$1:$BZ$1001,404,N$2)&amp;""),""))</f>
        <v/>
      </c>
      <c r="O405">
        <f>IF(O$2=0,"",IFERROR(TRIM(INDEX('Pegar docentes'!$A$1:$BZ$1001,404,O$2)&amp;""),""))</f>
        <v/>
      </c>
      <c r="P405">
        <f>IF(P$2=0,"",IFERROR(TRIM(INDEX('Pegar docentes'!$A$1:$BZ$1001,404,P$2)&amp;""),""))</f>
        <v/>
      </c>
      <c r="Q405" s="25">
        <f>IF(OR(D405&lt;&gt;"",H405&lt;&gt;""),1,"")</f>
        <v/>
      </c>
      <c r="R405" s="25">
        <f>IF(Q405=1,IF(ISNUMBER(FIND("#"&amp;MID(D405,1,1)&amp;"#","#0#1#2#3#4#5#6#7#8#9#")),IF(ISNUMBER(FIND("#"&amp;MID(D405,2,1)&amp;"#","#0#1#2#3#4#5#6#7#8#9#")),IF(AND(VALUE(LEFT(D405,2))&gt;=1,VALUE(LEFT(D405,2))&lt;=5),VALUE(LEFT(D405,2)),""),IF(AND(VALUE(LEFT(D405,1))&gt;=1,VALUE(LEFT(D405,1))&lt;=5),VALUE(LEFT(D405,1)),"")),""),"")</f>
        <v/>
      </c>
      <c r="S405" s="25">
        <f>IF(AND(Q405=1,E405&lt;&gt;""),SUBSTITUTE(SUBSTITUTE(SUBSTITUTE(SUBSTITUTE(SUBSTITUTE(SUBSTITUTE(SUBSTITUTE(SUBSTITUTE(SUBSTITUTE(SUBSTITUTE(SUBSTITUTE(SUBSTITUTE(LOWER(TRIM(E405)),"á","a"),"é","e"),"í","i"),"ó","o"),"ú","u"),"ü","u"),"ñ","n"),"à","a"),"è","e"),"ì","i"),"ò","o"),"ù","u"),"")</f>
        <v/>
      </c>
      <c r="T405" s="25">
        <f>IF(AND(Q405=1,G405&lt;&gt;""),SUBSTITUTE(SUBSTITUTE(SUBSTITUTE(SUBSTITUTE(SUBSTITUTE(SUBSTITUTE(SUBSTITUTE(SUBSTITUTE(SUBSTITUTE(SUBSTITUTE(SUBSTITUTE(SUBSTITUTE(LOWER(TRIM(G405)),"á","a"),"é","e"),"í","i"),"ó","o"),"ú","u"),"ü","u"),"ñ","n"),"à","a"),"è","e"),"ì","i"),"ò","o"),"ù","u"),"")</f>
        <v/>
      </c>
      <c r="U405" s="25">
        <f>IF(AND(Q405=1,H405&lt;&gt;""),SUBSTITUTE(SUBSTITUTE(SUBSTITUTE(SUBSTITUTE(SUBSTITUTE(SUBSTITUTE(SUBSTITUTE(SUBSTITUTE(SUBSTITUTE(SUBSTITUTE(SUBSTITUTE(SUBSTITUTE(LOWER(TRIM(H405)),"á","a"),"é","e"),"í","i"),"ó","o"),"ú","u"),"ü","u"),"ñ","n"),"à","a"),"è","e"),"ì","i"),"ò","o"),"ù","u"),"")</f>
        <v/>
      </c>
      <c r="V405" s="25">
        <f>IF(AND(Q405=1,L405&lt;&gt;""),SUBSTITUTE(SUBSTITUTE(SUBSTITUTE(SUBSTITUTE(SUBSTITUTE(SUBSTITUTE(SUBSTITUTE(SUBSTITUTE(SUBSTITUTE(SUBSTITUTE(SUBSTITUTE(SUBSTITUTE(LOWER(TRIM(L405)),"á","a"),"é","e"),"í","i"),"ó","o"),"ú","u"),"ü","u"),"ñ","n"),"à","a"),"è","e"),"ì","i"),"ò","o"),"ù","u"),"")</f>
        <v/>
      </c>
      <c r="W405" s="25">
        <f>IF(AND(Q405=1,I405&lt;&gt;""),SUBSTITUTE(SUBSTITUTE(SUBSTITUTE(SUBSTITUTE(SUBSTITUTE(SUBSTITUTE(SUBSTITUTE(SUBSTITUTE(SUBSTITUTE(SUBSTITUTE(SUBSTITUTE(SUBSTITUTE(LOWER(TRIM(I405)),"á","a"),"é","e"),"í","i"),"ó","o"),"ú","u"),"ü","u"),"ñ","n"),"à","a"),"è","e"),"ì","i"),"ò","o"),"ù","u"),"")</f>
        <v/>
      </c>
      <c r="X405" s="25">
        <f>IF(U405="","",IF(OR(U405="si, en la proxima tarea",U405="si, con cambios"),1,0))</f>
        <v/>
      </c>
      <c r="Y405" s="25">
        <f>IF(AND(Q405=1,A405&lt;&gt;""),IF(IFERROR(COUNTIFS(A$3:A405,"="&amp;SUBSTITUTE(SUBSTITUTE(SUBSTITUTE(A405,"~","~~"),"*","~*"),"?","~?"),Q$3:Q405,1),0)=1,MAX(Y$2:Y404)+1,""),"")</f>
        <v/>
      </c>
      <c r="Z405" s="25">
        <f>IF(Y405="","",COUNTIFS($A$3:$A$1002,"="&amp;SUBSTITUTE(SUBSTITUTE(SUBSTITUTE(A405,"~","~~"),"*","~*"),"?","~?"),$Q$3:$Q$1002,1)*10000-Y405)</f>
        <v/>
      </c>
    </row>
    <row r="406">
      <c r="A406">
        <f>IF(A$2=0,"",IFERROR(TRIM(INDEX('Pegar docentes'!$A$1:$BZ$1001,405,A$2)&amp;""),""))</f>
        <v/>
      </c>
      <c r="B406">
        <f>IF(B$2=0,"",IFERROR(TRIM(INDEX('Pegar docentes'!$A$1:$BZ$1001,405,B$2)&amp;""),""))</f>
        <v/>
      </c>
      <c r="C406">
        <f>IF(C$2=0,"",IFERROR(TRIM(INDEX('Pegar docentes'!$A$1:$BZ$1001,405,C$2)&amp;""),""))</f>
        <v/>
      </c>
      <c r="D406">
        <f>IF(D$2=0,"",IFERROR(TRIM(INDEX('Pegar docentes'!$A$1:$BZ$1001,405,D$2)&amp;""),""))</f>
        <v/>
      </c>
      <c r="E406">
        <f>IF(E$2=0,"",IFERROR(TRIM(INDEX('Pegar docentes'!$A$1:$BZ$1001,405,E$2)&amp;""),""))</f>
        <v/>
      </c>
      <c r="F406">
        <f>IF(F$2=0,"",IFERROR(TRIM(INDEX('Pegar docentes'!$A$1:$BZ$1001,405,F$2)&amp;""),""))</f>
        <v/>
      </c>
      <c r="G406">
        <f>IF(G$2=0,"",IFERROR(TRIM(INDEX('Pegar docentes'!$A$1:$BZ$1001,405,G$2)&amp;""),""))</f>
        <v/>
      </c>
      <c r="H406">
        <f>IF(H$2=0,"",IFERROR(TRIM(INDEX('Pegar docentes'!$A$1:$BZ$1001,405,H$2)&amp;""),""))</f>
        <v/>
      </c>
      <c r="I406">
        <f>IF(I$2=0,"",IFERROR(TRIM(INDEX('Pegar docentes'!$A$1:$BZ$1001,405,I$2)&amp;""),""))</f>
        <v/>
      </c>
      <c r="J406">
        <f>IF(J$2=0,"",IFERROR(TRIM(INDEX('Pegar docentes'!$A$1:$BZ$1001,405,J$2)&amp;""),""))</f>
        <v/>
      </c>
      <c r="K406">
        <f>IF(K$2=0,"",IFERROR(TRIM(INDEX('Pegar docentes'!$A$1:$BZ$1001,405,K$2)&amp;""),""))</f>
        <v/>
      </c>
      <c r="L406">
        <f>IF(L$2=0,"",IFERROR(TRIM(INDEX('Pegar docentes'!$A$1:$BZ$1001,405,L$2)&amp;""),""))</f>
        <v/>
      </c>
      <c r="M406">
        <f>IF(M$2=0,"",IFERROR(TRIM(INDEX('Pegar docentes'!$A$1:$BZ$1001,405,M$2)&amp;""),""))</f>
        <v/>
      </c>
      <c r="N406">
        <f>IF(N$2=0,"",IFERROR(TRIM(INDEX('Pegar docentes'!$A$1:$BZ$1001,405,N$2)&amp;""),""))</f>
        <v/>
      </c>
      <c r="O406">
        <f>IF(O$2=0,"",IFERROR(TRIM(INDEX('Pegar docentes'!$A$1:$BZ$1001,405,O$2)&amp;""),""))</f>
        <v/>
      </c>
      <c r="P406">
        <f>IF(P$2=0,"",IFERROR(TRIM(INDEX('Pegar docentes'!$A$1:$BZ$1001,405,P$2)&amp;""),""))</f>
        <v/>
      </c>
      <c r="Q406" s="25">
        <f>IF(OR(D406&lt;&gt;"",H406&lt;&gt;""),1,"")</f>
        <v/>
      </c>
      <c r="R406" s="25">
        <f>IF(Q406=1,IF(ISNUMBER(FIND("#"&amp;MID(D406,1,1)&amp;"#","#0#1#2#3#4#5#6#7#8#9#")),IF(ISNUMBER(FIND("#"&amp;MID(D406,2,1)&amp;"#","#0#1#2#3#4#5#6#7#8#9#")),IF(AND(VALUE(LEFT(D406,2))&gt;=1,VALUE(LEFT(D406,2))&lt;=5),VALUE(LEFT(D406,2)),""),IF(AND(VALUE(LEFT(D406,1))&gt;=1,VALUE(LEFT(D406,1))&lt;=5),VALUE(LEFT(D406,1)),"")),""),"")</f>
        <v/>
      </c>
      <c r="S406" s="25">
        <f>IF(AND(Q406=1,E406&lt;&gt;""),SUBSTITUTE(SUBSTITUTE(SUBSTITUTE(SUBSTITUTE(SUBSTITUTE(SUBSTITUTE(SUBSTITUTE(SUBSTITUTE(SUBSTITUTE(SUBSTITUTE(SUBSTITUTE(SUBSTITUTE(LOWER(TRIM(E406)),"á","a"),"é","e"),"í","i"),"ó","o"),"ú","u"),"ü","u"),"ñ","n"),"à","a"),"è","e"),"ì","i"),"ò","o"),"ù","u"),"")</f>
        <v/>
      </c>
      <c r="T406" s="25">
        <f>IF(AND(Q406=1,G406&lt;&gt;""),SUBSTITUTE(SUBSTITUTE(SUBSTITUTE(SUBSTITUTE(SUBSTITUTE(SUBSTITUTE(SUBSTITUTE(SUBSTITUTE(SUBSTITUTE(SUBSTITUTE(SUBSTITUTE(SUBSTITUTE(LOWER(TRIM(G406)),"á","a"),"é","e"),"í","i"),"ó","o"),"ú","u"),"ü","u"),"ñ","n"),"à","a"),"è","e"),"ì","i"),"ò","o"),"ù","u"),"")</f>
        <v/>
      </c>
      <c r="U406" s="25">
        <f>IF(AND(Q406=1,H406&lt;&gt;""),SUBSTITUTE(SUBSTITUTE(SUBSTITUTE(SUBSTITUTE(SUBSTITUTE(SUBSTITUTE(SUBSTITUTE(SUBSTITUTE(SUBSTITUTE(SUBSTITUTE(SUBSTITUTE(SUBSTITUTE(LOWER(TRIM(H406)),"á","a"),"é","e"),"í","i"),"ó","o"),"ú","u"),"ü","u"),"ñ","n"),"à","a"),"è","e"),"ì","i"),"ò","o"),"ù","u"),"")</f>
        <v/>
      </c>
      <c r="V406" s="25">
        <f>IF(AND(Q406=1,L406&lt;&gt;""),SUBSTITUTE(SUBSTITUTE(SUBSTITUTE(SUBSTITUTE(SUBSTITUTE(SUBSTITUTE(SUBSTITUTE(SUBSTITUTE(SUBSTITUTE(SUBSTITUTE(SUBSTITUTE(SUBSTITUTE(LOWER(TRIM(L406)),"á","a"),"é","e"),"í","i"),"ó","o"),"ú","u"),"ü","u"),"ñ","n"),"à","a"),"è","e"),"ì","i"),"ò","o"),"ù","u"),"")</f>
        <v/>
      </c>
      <c r="W406" s="25">
        <f>IF(AND(Q406=1,I406&lt;&gt;""),SUBSTITUTE(SUBSTITUTE(SUBSTITUTE(SUBSTITUTE(SUBSTITUTE(SUBSTITUTE(SUBSTITUTE(SUBSTITUTE(SUBSTITUTE(SUBSTITUTE(SUBSTITUTE(SUBSTITUTE(LOWER(TRIM(I406)),"á","a"),"é","e"),"í","i"),"ó","o"),"ú","u"),"ü","u"),"ñ","n"),"à","a"),"è","e"),"ì","i"),"ò","o"),"ù","u"),"")</f>
        <v/>
      </c>
      <c r="X406" s="25">
        <f>IF(U406="","",IF(OR(U406="si, en la proxima tarea",U406="si, con cambios"),1,0))</f>
        <v/>
      </c>
      <c r="Y406" s="25">
        <f>IF(AND(Q406=1,A406&lt;&gt;""),IF(IFERROR(COUNTIFS(A$3:A406,"="&amp;SUBSTITUTE(SUBSTITUTE(SUBSTITUTE(A406,"~","~~"),"*","~*"),"?","~?"),Q$3:Q406,1),0)=1,MAX(Y$2:Y405)+1,""),"")</f>
        <v/>
      </c>
      <c r="Z406" s="25">
        <f>IF(Y406="","",COUNTIFS($A$3:$A$1002,"="&amp;SUBSTITUTE(SUBSTITUTE(SUBSTITUTE(A406,"~","~~"),"*","~*"),"?","~?"),$Q$3:$Q$1002,1)*10000-Y406)</f>
        <v/>
      </c>
    </row>
    <row r="407">
      <c r="A407">
        <f>IF(A$2=0,"",IFERROR(TRIM(INDEX('Pegar docentes'!$A$1:$BZ$1001,406,A$2)&amp;""),""))</f>
        <v/>
      </c>
      <c r="B407">
        <f>IF(B$2=0,"",IFERROR(TRIM(INDEX('Pegar docentes'!$A$1:$BZ$1001,406,B$2)&amp;""),""))</f>
        <v/>
      </c>
      <c r="C407">
        <f>IF(C$2=0,"",IFERROR(TRIM(INDEX('Pegar docentes'!$A$1:$BZ$1001,406,C$2)&amp;""),""))</f>
        <v/>
      </c>
      <c r="D407">
        <f>IF(D$2=0,"",IFERROR(TRIM(INDEX('Pegar docentes'!$A$1:$BZ$1001,406,D$2)&amp;""),""))</f>
        <v/>
      </c>
      <c r="E407">
        <f>IF(E$2=0,"",IFERROR(TRIM(INDEX('Pegar docentes'!$A$1:$BZ$1001,406,E$2)&amp;""),""))</f>
        <v/>
      </c>
      <c r="F407">
        <f>IF(F$2=0,"",IFERROR(TRIM(INDEX('Pegar docentes'!$A$1:$BZ$1001,406,F$2)&amp;""),""))</f>
        <v/>
      </c>
      <c r="G407">
        <f>IF(G$2=0,"",IFERROR(TRIM(INDEX('Pegar docentes'!$A$1:$BZ$1001,406,G$2)&amp;""),""))</f>
        <v/>
      </c>
      <c r="H407">
        <f>IF(H$2=0,"",IFERROR(TRIM(INDEX('Pegar docentes'!$A$1:$BZ$1001,406,H$2)&amp;""),""))</f>
        <v/>
      </c>
      <c r="I407">
        <f>IF(I$2=0,"",IFERROR(TRIM(INDEX('Pegar docentes'!$A$1:$BZ$1001,406,I$2)&amp;""),""))</f>
        <v/>
      </c>
      <c r="J407">
        <f>IF(J$2=0,"",IFERROR(TRIM(INDEX('Pegar docentes'!$A$1:$BZ$1001,406,J$2)&amp;""),""))</f>
        <v/>
      </c>
      <c r="K407">
        <f>IF(K$2=0,"",IFERROR(TRIM(INDEX('Pegar docentes'!$A$1:$BZ$1001,406,K$2)&amp;""),""))</f>
        <v/>
      </c>
      <c r="L407">
        <f>IF(L$2=0,"",IFERROR(TRIM(INDEX('Pegar docentes'!$A$1:$BZ$1001,406,L$2)&amp;""),""))</f>
        <v/>
      </c>
      <c r="M407">
        <f>IF(M$2=0,"",IFERROR(TRIM(INDEX('Pegar docentes'!$A$1:$BZ$1001,406,M$2)&amp;""),""))</f>
        <v/>
      </c>
      <c r="N407">
        <f>IF(N$2=0,"",IFERROR(TRIM(INDEX('Pegar docentes'!$A$1:$BZ$1001,406,N$2)&amp;""),""))</f>
        <v/>
      </c>
      <c r="O407">
        <f>IF(O$2=0,"",IFERROR(TRIM(INDEX('Pegar docentes'!$A$1:$BZ$1001,406,O$2)&amp;""),""))</f>
        <v/>
      </c>
      <c r="P407">
        <f>IF(P$2=0,"",IFERROR(TRIM(INDEX('Pegar docentes'!$A$1:$BZ$1001,406,P$2)&amp;""),""))</f>
        <v/>
      </c>
      <c r="Q407" s="25">
        <f>IF(OR(D407&lt;&gt;"",H407&lt;&gt;""),1,"")</f>
        <v/>
      </c>
      <c r="R407" s="25">
        <f>IF(Q407=1,IF(ISNUMBER(FIND("#"&amp;MID(D407,1,1)&amp;"#","#0#1#2#3#4#5#6#7#8#9#")),IF(ISNUMBER(FIND("#"&amp;MID(D407,2,1)&amp;"#","#0#1#2#3#4#5#6#7#8#9#")),IF(AND(VALUE(LEFT(D407,2))&gt;=1,VALUE(LEFT(D407,2))&lt;=5),VALUE(LEFT(D407,2)),""),IF(AND(VALUE(LEFT(D407,1))&gt;=1,VALUE(LEFT(D407,1))&lt;=5),VALUE(LEFT(D407,1)),"")),""),"")</f>
        <v/>
      </c>
      <c r="S407" s="25">
        <f>IF(AND(Q407=1,E407&lt;&gt;""),SUBSTITUTE(SUBSTITUTE(SUBSTITUTE(SUBSTITUTE(SUBSTITUTE(SUBSTITUTE(SUBSTITUTE(SUBSTITUTE(SUBSTITUTE(SUBSTITUTE(SUBSTITUTE(SUBSTITUTE(LOWER(TRIM(E407)),"á","a"),"é","e"),"í","i"),"ó","o"),"ú","u"),"ü","u"),"ñ","n"),"à","a"),"è","e"),"ì","i"),"ò","o"),"ù","u"),"")</f>
        <v/>
      </c>
      <c r="T407" s="25">
        <f>IF(AND(Q407=1,G407&lt;&gt;""),SUBSTITUTE(SUBSTITUTE(SUBSTITUTE(SUBSTITUTE(SUBSTITUTE(SUBSTITUTE(SUBSTITUTE(SUBSTITUTE(SUBSTITUTE(SUBSTITUTE(SUBSTITUTE(SUBSTITUTE(LOWER(TRIM(G407)),"á","a"),"é","e"),"í","i"),"ó","o"),"ú","u"),"ü","u"),"ñ","n"),"à","a"),"è","e"),"ì","i"),"ò","o"),"ù","u"),"")</f>
        <v/>
      </c>
      <c r="U407" s="25">
        <f>IF(AND(Q407=1,H407&lt;&gt;""),SUBSTITUTE(SUBSTITUTE(SUBSTITUTE(SUBSTITUTE(SUBSTITUTE(SUBSTITUTE(SUBSTITUTE(SUBSTITUTE(SUBSTITUTE(SUBSTITUTE(SUBSTITUTE(SUBSTITUTE(LOWER(TRIM(H407)),"á","a"),"é","e"),"í","i"),"ó","o"),"ú","u"),"ü","u"),"ñ","n"),"à","a"),"è","e"),"ì","i"),"ò","o"),"ù","u"),"")</f>
        <v/>
      </c>
      <c r="V407" s="25">
        <f>IF(AND(Q407=1,L407&lt;&gt;""),SUBSTITUTE(SUBSTITUTE(SUBSTITUTE(SUBSTITUTE(SUBSTITUTE(SUBSTITUTE(SUBSTITUTE(SUBSTITUTE(SUBSTITUTE(SUBSTITUTE(SUBSTITUTE(SUBSTITUTE(LOWER(TRIM(L407)),"á","a"),"é","e"),"í","i"),"ó","o"),"ú","u"),"ü","u"),"ñ","n"),"à","a"),"è","e"),"ì","i"),"ò","o"),"ù","u"),"")</f>
        <v/>
      </c>
      <c r="W407" s="25">
        <f>IF(AND(Q407=1,I407&lt;&gt;""),SUBSTITUTE(SUBSTITUTE(SUBSTITUTE(SUBSTITUTE(SUBSTITUTE(SUBSTITUTE(SUBSTITUTE(SUBSTITUTE(SUBSTITUTE(SUBSTITUTE(SUBSTITUTE(SUBSTITUTE(LOWER(TRIM(I407)),"á","a"),"é","e"),"í","i"),"ó","o"),"ú","u"),"ü","u"),"ñ","n"),"à","a"),"è","e"),"ì","i"),"ò","o"),"ù","u"),"")</f>
        <v/>
      </c>
      <c r="X407" s="25">
        <f>IF(U407="","",IF(OR(U407="si, en la proxima tarea",U407="si, con cambios"),1,0))</f>
        <v/>
      </c>
      <c r="Y407" s="25">
        <f>IF(AND(Q407=1,A407&lt;&gt;""),IF(IFERROR(COUNTIFS(A$3:A407,"="&amp;SUBSTITUTE(SUBSTITUTE(SUBSTITUTE(A407,"~","~~"),"*","~*"),"?","~?"),Q$3:Q407,1),0)=1,MAX(Y$2:Y406)+1,""),"")</f>
        <v/>
      </c>
      <c r="Z407" s="25">
        <f>IF(Y407="","",COUNTIFS($A$3:$A$1002,"="&amp;SUBSTITUTE(SUBSTITUTE(SUBSTITUTE(A407,"~","~~"),"*","~*"),"?","~?"),$Q$3:$Q$1002,1)*10000-Y407)</f>
        <v/>
      </c>
    </row>
    <row r="408">
      <c r="A408">
        <f>IF(A$2=0,"",IFERROR(TRIM(INDEX('Pegar docentes'!$A$1:$BZ$1001,407,A$2)&amp;""),""))</f>
        <v/>
      </c>
      <c r="B408">
        <f>IF(B$2=0,"",IFERROR(TRIM(INDEX('Pegar docentes'!$A$1:$BZ$1001,407,B$2)&amp;""),""))</f>
        <v/>
      </c>
      <c r="C408">
        <f>IF(C$2=0,"",IFERROR(TRIM(INDEX('Pegar docentes'!$A$1:$BZ$1001,407,C$2)&amp;""),""))</f>
        <v/>
      </c>
      <c r="D408">
        <f>IF(D$2=0,"",IFERROR(TRIM(INDEX('Pegar docentes'!$A$1:$BZ$1001,407,D$2)&amp;""),""))</f>
        <v/>
      </c>
      <c r="E408">
        <f>IF(E$2=0,"",IFERROR(TRIM(INDEX('Pegar docentes'!$A$1:$BZ$1001,407,E$2)&amp;""),""))</f>
        <v/>
      </c>
      <c r="F408">
        <f>IF(F$2=0,"",IFERROR(TRIM(INDEX('Pegar docentes'!$A$1:$BZ$1001,407,F$2)&amp;""),""))</f>
        <v/>
      </c>
      <c r="G408">
        <f>IF(G$2=0,"",IFERROR(TRIM(INDEX('Pegar docentes'!$A$1:$BZ$1001,407,G$2)&amp;""),""))</f>
        <v/>
      </c>
      <c r="H408">
        <f>IF(H$2=0,"",IFERROR(TRIM(INDEX('Pegar docentes'!$A$1:$BZ$1001,407,H$2)&amp;""),""))</f>
        <v/>
      </c>
      <c r="I408">
        <f>IF(I$2=0,"",IFERROR(TRIM(INDEX('Pegar docentes'!$A$1:$BZ$1001,407,I$2)&amp;""),""))</f>
        <v/>
      </c>
      <c r="J408">
        <f>IF(J$2=0,"",IFERROR(TRIM(INDEX('Pegar docentes'!$A$1:$BZ$1001,407,J$2)&amp;""),""))</f>
        <v/>
      </c>
      <c r="K408">
        <f>IF(K$2=0,"",IFERROR(TRIM(INDEX('Pegar docentes'!$A$1:$BZ$1001,407,K$2)&amp;""),""))</f>
        <v/>
      </c>
      <c r="L408">
        <f>IF(L$2=0,"",IFERROR(TRIM(INDEX('Pegar docentes'!$A$1:$BZ$1001,407,L$2)&amp;""),""))</f>
        <v/>
      </c>
      <c r="M408">
        <f>IF(M$2=0,"",IFERROR(TRIM(INDEX('Pegar docentes'!$A$1:$BZ$1001,407,M$2)&amp;""),""))</f>
        <v/>
      </c>
      <c r="N408">
        <f>IF(N$2=0,"",IFERROR(TRIM(INDEX('Pegar docentes'!$A$1:$BZ$1001,407,N$2)&amp;""),""))</f>
        <v/>
      </c>
      <c r="O408">
        <f>IF(O$2=0,"",IFERROR(TRIM(INDEX('Pegar docentes'!$A$1:$BZ$1001,407,O$2)&amp;""),""))</f>
        <v/>
      </c>
      <c r="P408">
        <f>IF(P$2=0,"",IFERROR(TRIM(INDEX('Pegar docentes'!$A$1:$BZ$1001,407,P$2)&amp;""),""))</f>
        <v/>
      </c>
      <c r="Q408" s="25">
        <f>IF(OR(D408&lt;&gt;"",H408&lt;&gt;""),1,"")</f>
        <v/>
      </c>
      <c r="R408" s="25">
        <f>IF(Q408=1,IF(ISNUMBER(FIND("#"&amp;MID(D408,1,1)&amp;"#","#0#1#2#3#4#5#6#7#8#9#")),IF(ISNUMBER(FIND("#"&amp;MID(D408,2,1)&amp;"#","#0#1#2#3#4#5#6#7#8#9#")),IF(AND(VALUE(LEFT(D408,2))&gt;=1,VALUE(LEFT(D408,2))&lt;=5),VALUE(LEFT(D408,2)),""),IF(AND(VALUE(LEFT(D408,1))&gt;=1,VALUE(LEFT(D408,1))&lt;=5),VALUE(LEFT(D408,1)),"")),""),"")</f>
        <v/>
      </c>
      <c r="S408" s="25">
        <f>IF(AND(Q408=1,E408&lt;&gt;""),SUBSTITUTE(SUBSTITUTE(SUBSTITUTE(SUBSTITUTE(SUBSTITUTE(SUBSTITUTE(SUBSTITUTE(SUBSTITUTE(SUBSTITUTE(SUBSTITUTE(SUBSTITUTE(SUBSTITUTE(LOWER(TRIM(E408)),"á","a"),"é","e"),"í","i"),"ó","o"),"ú","u"),"ü","u"),"ñ","n"),"à","a"),"è","e"),"ì","i"),"ò","o"),"ù","u"),"")</f>
        <v/>
      </c>
      <c r="T408" s="25">
        <f>IF(AND(Q408=1,G408&lt;&gt;""),SUBSTITUTE(SUBSTITUTE(SUBSTITUTE(SUBSTITUTE(SUBSTITUTE(SUBSTITUTE(SUBSTITUTE(SUBSTITUTE(SUBSTITUTE(SUBSTITUTE(SUBSTITUTE(SUBSTITUTE(LOWER(TRIM(G408)),"á","a"),"é","e"),"í","i"),"ó","o"),"ú","u"),"ü","u"),"ñ","n"),"à","a"),"è","e"),"ì","i"),"ò","o"),"ù","u"),"")</f>
        <v/>
      </c>
      <c r="U408" s="25">
        <f>IF(AND(Q408=1,H408&lt;&gt;""),SUBSTITUTE(SUBSTITUTE(SUBSTITUTE(SUBSTITUTE(SUBSTITUTE(SUBSTITUTE(SUBSTITUTE(SUBSTITUTE(SUBSTITUTE(SUBSTITUTE(SUBSTITUTE(SUBSTITUTE(LOWER(TRIM(H408)),"á","a"),"é","e"),"í","i"),"ó","o"),"ú","u"),"ü","u"),"ñ","n"),"à","a"),"è","e"),"ì","i"),"ò","o"),"ù","u"),"")</f>
        <v/>
      </c>
      <c r="V408" s="25">
        <f>IF(AND(Q408=1,L408&lt;&gt;""),SUBSTITUTE(SUBSTITUTE(SUBSTITUTE(SUBSTITUTE(SUBSTITUTE(SUBSTITUTE(SUBSTITUTE(SUBSTITUTE(SUBSTITUTE(SUBSTITUTE(SUBSTITUTE(SUBSTITUTE(LOWER(TRIM(L408)),"á","a"),"é","e"),"í","i"),"ó","o"),"ú","u"),"ü","u"),"ñ","n"),"à","a"),"è","e"),"ì","i"),"ò","o"),"ù","u"),"")</f>
        <v/>
      </c>
      <c r="W408" s="25">
        <f>IF(AND(Q408=1,I408&lt;&gt;""),SUBSTITUTE(SUBSTITUTE(SUBSTITUTE(SUBSTITUTE(SUBSTITUTE(SUBSTITUTE(SUBSTITUTE(SUBSTITUTE(SUBSTITUTE(SUBSTITUTE(SUBSTITUTE(SUBSTITUTE(LOWER(TRIM(I408)),"á","a"),"é","e"),"í","i"),"ó","o"),"ú","u"),"ü","u"),"ñ","n"),"à","a"),"è","e"),"ì","i"),"ò","o"),"ù","u"),"")</f>
        <v/>
      </c>
      <c r="X408" s="25">
        <f>IF(U408="","",IF(OR(U408="si, en la proxima tarea",U408="si, con cambios"),1,0))</f>
        <v/>
      </c>
      <c r="Y408" s="25">
        <f>IF(AND(Q408=1,A408&lt;&gt;""),IF(IFERROR(COUNTIFS(A$3:A408,"="&amp;SUBSTITUTE(SUBSTITUTE(SUBSTITUTE(A408,"~","~~"),"*","~*"),"?","~?"),Q$3:Q408,1),0)=1,MAX(Y$2:Y407)+1,""),"")</f>
        <v/>
      </c>
      <c r="Z408" s="25">
        <f>IF(Y408="","",COUNTIFS($A$3:$A$1002,"="&amp;SUBSTITUTE(SUBSTITUTE(SUBSTITUTE(A408,"~","~~"),"*","~*"),"?","~?"),$Q$3:$Q$1002,1)*10000-Y408)</f>
        <v/>
      </c>
    </row>
    <row r="409">
      <c r="A409">
        <f>IF(A$2=0,"",IFERROR(TRIM(INDEX('Pegar docentes'!$A$1:$BZ$1001,408,A$2)&amp;""),""))</f>
        <v/>
      </c>
      <c r="B409">
        <f>IF(B$2=0,"",IFERROR(TRIM(INDEX('Pegar docentes'!$A$1:$BZ$1001,408,B$2)&amp;""),""))</f>
        <v/>
      </c>
      <c r="C409">
        <f>IF(C$2=0,"",IFERROR(TRIM(INDEX('Pegar docentes'!$A$1:$BZ$1001,408,C$2)&amp;""),""))</f>
        <v/>
      </c>
      <c r="D409">
        <f>IF(D$2=0,"",IFERROR(TRIM(INDEX('Pegar docentes'!$A$1:$BZ$1001,408,D$2)&amp;""),""))</f>
        <v/>
      </c>
      <c r="E409">
        <f>IF(E$2=0,"",IFERROR(TRIM(INDEX('Pegar docentes'!$A$1:$BZ$1001,408,E$2)&amp;""),""))</f>
        <v/>
      </c>
      <c r="F409">
        <f>IF(F$2=0,"",IFERROR(TRIM(INDEX('Pegar docentes'!$A$1:$BZ$1001,408,F$2)&amp;""),""))</f>
        <v/>
      </c>
      <c r="G409">
        <f>IF(G$2=0,"",IFERROR(TRIM(INDEX('Pegar docentes'!$A$1:$BZ$1001,408,G$2)&amp;""),""))</f>
        <v/>
      </c>
      <c r="H409">
        <f>IF(H$2=0,"",IFERROR(TRIM(INDEX('Pegar docentes'!$A$1:$BZ$1001,408,H$2)&amp;""),""))</f>
        <v/>
      </c>
      <c r="I409">
        <f>IF(I$2=0,"",IFERROR(TRIM(INDEX('Pegar docentes'!$A$1:$BZ$1001,408,I$2)&amp;""),""))</f>
        <v/>
      </c>
      <c r="J409">
        <f>IF(J$2=0,"",IFERROR(TRIM(INDEX('Pegar docentes'!$A$1:$BZ$1001,408,J$2)&amp;""),""))</f>
        <v/>
      </c>
      <c r="K409">
        <f>IF(K$2=0,"",IFERROR(TRIM(INDEX('Pegar docentes'!$A$1:$BZ$1001,408,K$2)&amp;""),""))</f>
        <v/>
      </c>
      <c r="L409">
        <f>IF(L$2=0,"",IFERROR(TRIM(INDEX('Pegar docentes'!$A$1:$BZ$1001,408,L$2)&amp;""),""))</f>
        <v/>
      </c>
      <c r="M409">
        <f>IF(M$2=0,"",IFERROR(TRIM(INDEX('Pegar docentes'!$A$1:$BZ$1001,408,M$2)&amp;""),""))</f>
        <v/>
      </c>
      <c r="N409">
        <f>IF(N$2=0,"",IFERROR(TRIM(INDEX('Pegar docentes'!$A$1:$BZ$1001,408,N$2)&amp;""),""))</f>
        <v/>
      </c>
      <c r="O409">
        <f>IF(O$2=0,"",IFERROR(TRIM(INDEX('Pegar docentes'!$A$1:$BZ$1001,408,O$2)&amp;""),""))</f>
        <v/>
      </c>
      <c r="P409">
        <f>IF(P$2=0,"",IFERROR(TRIM(INDEX('Pegar docentes'!$A$1:$BZ$1001,408,P$2)&amp;""),""))</f>
        <v/>
      </c>
      <c r="Q409" s="25">
        <f>IF(OR(D409&lt;&gt;"",H409&lt;&gt;""),1,"")</f>
        <v/>
      </c>
      <c r="R409" s="25">
        <f>IF(Q409=1,IF(ISNUMBER(FIND("#"&amp;MID(D409,1,1)&amp;"#","#0#1#2#3#4#5#6#7#8#9#")),IF(ISNUMBER(FIND("#"&amp;MID(D409,2,1)&amp;"#","#0#1#2#3#4#5#6#7#8#9#")),IF(AND(VALUE(LEFT(D409,2))&gt;=1,VALUE(LEFT(D409,2))&lt;=5),VALUE(LEFT(D409,2)),""),IF(AND(VALUE(LEFT(D409,1))&gt;=1,VALUE(LEFT(D409,1))&lt;=5),VALUE(LEFT(D409,1)),"")),""),"")</f>
        <v/>
      </c>
      <c r="S409" s="25">
        <f>IF(AND(Q409=1,E409&lt;&gt;""),SUBSTITUTE(SUBSTITUTE(SUBSTITUTE(SUBSTITUTE(SUBSTITUTE(SUBSTITUTE(SUBSTITUTE(SUBSTITUTE(SUBSTITUTE(SUBSTITUTE(SUBSTITUTE(SUBSTITUTE(LOWER(TRIM(E409)),"á","a"),"é","e"),"í","i"),"ó","o"),"ú","u"),"ü","u"),"ñ","n"),"à","a"),"è","e"),"ì","i"),"ò","o"),"ù","u"),"")</f>
        <v/>
      </c>
      <c r="T409" s="25">
        <f>IF(AND(Q409=1,G409&lt;&gt;""),SUBSTITUTE(SUBSTITUTE(SUBSTITUTE(SUBSTITUTE(SUBSTITUTE(SUBSTITUTE(SUBSTITUTE(SUBSTITUTE(SUBSTITUTE(SUBSTITUTE(SUBSTITUTE(SUBSTITUTE(LOWER(TRIM(G409)),"á","a"),"é","e"),"í","i"),"ó","o"),"ú","u"),"ü","u"),"ñ","n"),"à","a"),"è","e"),"ì","i"),"ò","o"),"ù","u"),"")</f>
        <v/>
      </c>
      <c r="U409" s="25">
        <f>IF(AND(Q409=1,H409&lt;&gt;""),SUBSTITUTE(SUBSTITUTE(SUBSTITUTE(SUBSTITUTE(SUBSTITUTE(SUBSTITUTE(SUBSTITUTE(SUBSTITUTE(SUBSTITUTE(SUBSTITUTE(SUBSTITUTE(SUBSTITUTE(LOWER(TRIM(H409)),"á","a"),"é","e"),"í","i"),"ó","o"),"ú","u"),"ü","u"),"ñ","n"),"à","a"),"è","e"),"ì","i"),"ò","o"),"ù","u"),"")</f>
        <v/>
      </c>
      <c r="V409" s="25">
        <f>IF(AND(Q409=1,L409&lt;&gt;""),SUBSTITUTE(SUBSTITUTE(SUBSTITUTE(SUBSTITUTE(SUBSTITUTE(SUBSTITUTE(SUBSTITUTE(SUBSTITUTE(SUBSTITUTE(SUBSTITUTE(SUBSTITUTE(SUBSTITUTE(LOWER(TRIM(L409)),"á","a"),"é","e"),"í","i"),"ó","o"),"ú","u"),"ü","u"),"ñ","n"),"à","a"),"è","e"),"ì","i"),"ò","o"),"ù","u"),"")</f>
        <v/>
      </c>
      <c r="W409" s="25">
        <f>IF(AND(Q409=1,I409&lt;&gt;""),SUBSTITUTE(SUBSTITUTE(SUBSTITUTE(SUBSTITUTE(SUBSTITUTE(SUBSTITUTE(SUBSTITUTE(SUBSTITUTE(SUBSTITUTE(SUBSTITUTE(SUBSTITUTE(SUBSTITUTE(LOWER(TRIM(I409)),"á","a"),"é","e"),"í","i"),"ó","o"),"ú","u"),"ü","u"),"ñ","n"),"à","a"),"è","e"),"ì","i"),"ò","o"),"ù","u"),"")</f>
        <v/>
      </c>
      <c r="X409" s="25">
        <f>IF(U409="","",IF(OR(U409="si, en la proxima tarea",U409="si, con cambios"),1,0))</f>
        <v/>
      </c>
      <c r="Y409" s="25">
        <f>IF(AND(Q409=1,A409&lt;&gt;""),IF(IFERROR(COUNTIFS(A$3:A409,"="&amp;SUBSTITUTE(SUBSTITUTE(SUBSTITUTE(A409,"~","~~"),"*","~*"),"?","~?"),Q$3:Q409,1),0)=1,MAX(Y$2:Y408)+1,""),"")</f>
        <v/>
      </c>
      <c r="Z409" s="25">
        <f>IF(Y409="","",COUNTIFS($A$3:$A$1002,"="&amp;SUBSTITUTE(SUBSTITUTE(SUBSTITUTE(A409,"~","~~"),"*","~*"),"?","~?"),$Q$3:$Q$1002,1)*10000-Y409)</f>
        <v/>
      </c>
    </row>
    <row r="410">
      <c r="A410">
        <f>IF(A$2=0,"",IFERROR(TRIM(INDEX('Pegar docentes'!$A$1:$BZ$1001,409,A$2)&amp;""),""))</f>
        <v/>
      </c>
      <c r="B410">
        <f>IF(B$2=0,"",IFERROR(TRIM(INDEX('Pegar docentes'!$A$1:$BZ$1001,409,B$2)&amp;""),""))</f>
        <v/>
      </c>
      <c r="C410">
        <f>IF(C$2=0,"",IFERROR(TRIM(INDEX('Pegar docentes'!$A$1:$BZ$1001,409,C$2)&amp;""),""))</f>
        <v/>
      </c>
      <c r="D410">
        <f>IF(D$2=0,"",IFERROR(TRIM(INDEX('Pegar docentes'!$A$1:$BZ$1001,409,D$2)&amp;""),""))</f>
        <v/>
      </c>
      <c r="E410">
        <f>IF(E$2=0,"",IFERROR(TRIM(INDEX('Pegar docentes'!$A$1:$BZ$1001,409,E$2)&amp;""),""))</f>
        <v/>
      </c>
      <c r="F410">
        <f>IF(F$2=0,"",IFERROR(TRIM(INDEX('Pegar docentes'!$A$1:$BZ$1001,409,F$2)&amp;""),""))</f>
        <v/>
      </c>
      <c r="G410">
        <f>IF(G$2=0,"",IFERROR(TRIM(INDEX('Pegar docentes'!$A$1:$BZ$1001,409,G$2)&amp;""),""))</f>
        <v/>
      </c>
      <c r="H410">
        <f>IF(H$2=0,"",IFERROR(TRIM(INDEX('Pegar docentes'!$A$1:$BZ$1001,409,H$2)&amp;""),""))</f>
        <v/>
      </c>
      <c r="I410">
        <f>IF(I$2=0,"",IFERROR(TRIM(INDEX('Pegar docentes'!$A$1:$BZ$1001,409,I$2)&amp;""),""))</f>
        <v/>
      </c>
      <c r="J410">
        <f>IF(J$2=0,"",IFERROR(TRIM(INDEX('Pegar docentes'!$A$1:$BZ$1001,409,J$2)&amp;""),""))</f>
        <v/>
      </c>
      <c r="K410">
        <f>IF(K$2=0,"",IFERROR(TRIM(INDEX('Pegar docentes'!$A$1:$BZ$1001,409,K$2)&amp;""),""))</f>
        <v/>
      </c>
      <c r="L410">
        <f>IF(L$2=0,"",IFERROR(TRIM(INDEX('Pegar docentes'!$A$1:$BZ$1001,409,L$2)&amp;""),""))</f>
        <v/>
      </c>
      <c r="M410">
        <f>IF(M$2=0,"",IFERROR(TRIM(INDEX('Pegar docentes'!$A$1:$BZ$1001,409,M$2)&amp;""),""))</f>
        <v/>
      </c>
      <c r="N410">
        <f>IF(N$2=0,"",IFERROR(TRIM(INDEX('Pegar docentes'!$A$1:$BZ$1001,409,N$2)&amp;""),""))</f>
        <v/>
      </c>
      <c r="O410">
        <f>IF(O$2=0,"",IFERROR(TRIM(INDEX('Pegar docentes'!$A$1:$BZ$1001,409,O$2)&amp;""),""))</f>
        <v/>
      </c>
      <c r="P410">
        <f>IF(P$2=0,"",IFERROR(TRIM(INDEX('Pegar docentes'!$A$1:$BZ$1001,409,P$2)&amp;""),""))</f>
        <v/>
      </c>
      <c r="Q410" s="25">
        <f>IF(OR(D410&lt;&gt;"",H410&lt;&gt;""),1,"")</f>
        <v/>
      </c>
      <c r="R410" s="25">
        <f>IF(Q410=1,IF(ISNUMBER(FIND("#"&amp;MID(D410,1,1)&amp;"#","#0#1#2#3#4#5#6#7#8#9#")),IF(ISNUMBER(FIND("#"&amp;MID(D410,2,1)&amp;"#","#0#1#2#3#4#5#6#7#8#9#")),IF(AND(VALUE(LEFT(D410,2))&gt;=1,VALUE(LEFT(D410,2))&lt;=5),VALUE(LEFT(D410,2)),""),IF(AND(VALUE(LEFT(D410,1))&gt;=1,VALUE(LEFT(D410,1))&lt;=5),VALUE(LEFT(D410,1)),"")),""),"")</f>
        <v/>
      </c>
      <c r="S410" s="25">
        <f>IF(AND(Q410=1,E410&lt;&gt;""),SUBSTITUTE(SUBSTITUTE(SUBSTITUTE(SUBSTITUTE(SUBSTITUTE(SUBSTITUTE(SUBSTITUTE(SUBSTITUTE(SUBSTITUTE(SUBSTITUTE(SUBSTITUTE(SUBSTITUTE(LOWER(TRIM(E410)),"á","a"),"é","e"),"í","i"),"ó","o"),"ú","u"),"ü","u"),"ñ","n"),"à","a"),"è","e"),"ì","i"),"ò","o"),"ù","u"),"")</f>
        <v/>
      </c>
      <c r="T410" s="25">
        <f>IF(AND(Q410=1,G410&lt;&gt;""),SUBSTITUTE(SUBSTITUTE(SUBSTITUTE(SUBSTITUTE(SUBSTITUTE(SUBSTITUTE(SUBSTITUTE(SUBSTITUTE(SUBSTITUTE(SUBSTITUTE(SUBSTITUTE(SUBSTITUTE(LOWER(TRIM(G410)),"á","a"),"é","e"),"í","i"),"ó","o"),"ú","u"),"ü","u"),"ñ","n"),"à","a"),"è","e"),"ì","i"),"ò","o"),"ù","u"),"")</f>
        <v/>
      </c>
      <c r="U410" s="25">
        <f>IF(AND(Q410=1,H410&lt;&gt;""),SUBSTITUTE(SUBSTITUTE(SUBSTITUTE(SUBSTITUTE(SUBSTITUTE(SUBSTITUTE(SUBSTITUTE(SUBSTITUTE(SUBSTITUTE(SUBSTITUTE(SUBSTITUTE(SUBSTITUTE(LOWER(TRIM(H410)),"á","a"),"é","e"),"í","i"),"ó","o"),"ú","u"),"ü","u"),"ñ","n"),"à","a"),"è","e"),"ì","i"),"ò","o"),"ù","u"),"")</f>
        <v/>
      </c>
      <c r="V410" s="25">
        <f>IF(AND(Q410=1,L410&lt;&gt;""),SUBSTITUTE(SUBSTITUTE(SUBSTITUTE(SUBSTITUTE(SUBSTITUTE(SUBSTITUTE(SUBSTITUTE(SUBSTITUTE(SUBSTITUTE(SUBSTITUTE(SUBSTITUTE(SUBSTITUTE(LOWER(TRIM(L410)),"á","a"),"é","e"),"í","i"),"ó","o"),"ú","u"),"ü","u"),"ñ","n"),"à","a"),"è","e"),"ì","i"),"ò","o"),"ù","u"),"")</f>
        <v/>
      </c>
      <c r="W410" s="25">
        <f>IF(AND(Q410=1,I410&lt;&gt;""),SUBSTITUTE(SUBSTITUTE(SUBSTITUTE(SUBSTITUTE(SUBSTITUTE(SUBSTITUTE(SUBSTITUTE(SUBSTITUTE(SUBSTITUTE(SUBSTITUTE(SUBSTITUTE(SUBSTITUTE(LOWER(TRIM(I410)),"á","a"),"é","e"),"í","i"),"ó","o"),"ú","u"),"ü","u"),"ñ","n"),"à","a"),"è","e"),"ì","i"),"ò","o"),"ù","u"),"")</f>
        <v/>
      </c>
      <c r="X410" s="25">
        <f>IF(U410="","",IF(OR(U410="si, en la proxima tarea",U410="si, con cambios"),1,0))</f>
        <v/>
      </c>
      <c r="Y410" s="25">
        <f>IF(AND(Q410=1,A410&lt;&gt;""),IF(IFERROR(COUNTIFS(A$3:A410,"="&amp;SUBSTITUTE(SUBSTITUTE(SUBSTITUTE(A410,"~","~~"),"*","~*"),"?","~?"),Q$3:Q410,1),0)=1,MAX(Y$2:Y409)+1,""),"")</f>
        <v/>
      </c>
      <c r="Z410" s="25">
        <f>IF(Y410="","",COUNTIFS($A$3:$A$1002,"="&amp;SUBSTITUTE(SUBSTITUTE(SUBSTITUTE(A410,"~","~~"),"*","~*"),"?","~?"),$Q$3:$Q$1002,1)*10000-Y410)</f>
        <v/>
      </c>
    </row>
    <row r="411">
      <c r="A411">
        <f>IF(A$2=0,"",IFERROR(TRIM(INDEX('Pegar docentes'!$A$1:$BZ$1001,410,A$2)&amp;""),""))</f>
        <v/>
      </c>
      <c r="B411">
        <f>IF(B$2=0,"",IFERROR(TRIM(INDEX('Pegar docentes'!$A$1:$BZ$1001,410,B$2)&amp;""),""))</f>
        <v/>
      </c>
      <c r="C411">
        <f>IF(C$2=0,"",IFERROR(TRIM(INDEX('Pegar docentes'!$A$1:$BZ$1001,410,C$2)&amp;""),""))</f>
        <v/>
      </c>
      <c r="D411">
        <f>IF(D$2=0,"",IFERROR(TRIM(INDEX('Pegar docentes'!$A$1:$BZ$1001,410,D$2)&amp;""),""))</f>
        <v/>
      </c>
      <c r="E411">
        <f>IF(E$2=0,"",IFERROR(TRIM(INDEX('Pegar docentes'!$A$1:$BZ$1001,410,E$2)&amp;""),""))</f>
        <v/>
      </c>
      <c r="F411">
        <f>IF(F$2=0,"",IFERROR(TRIM(INDEX('Pegar docentes'!$A$1:$BZ$1001,410,F$2)&amp;""),""))</f>
        <v/>
      </c>
      <c r="G411">
        <f>IF(G$2=0,"",IFERROR(TRIM(INDEX('Pegar docentes'!$A$1:$BZ$1001,410,G$2)&amp;""),""))</f>
        <v/>
      </c>
      <c r="H411">
        <f>IF(H$2=0,"",IFERROR(TRIM(INDEX('Pegar docentes'!$A$1:$BZ$1001,410,H$2)&amp;""),""))</f>
        <v/>
      </c>
      <c r="I411">
        <f>IF(I$2=0,"",IFERROR(TRIM(INDEX('Pegar docentes'!$A$1:$BZ$1001,410,I$2)&amp;""),""))</f>
        <v/>
      </c>
      <c r="J411">
        <f>IF(J$2=0,"",IFERROR(TRIM(INDEX('Pegar docentes'!$A$1:$BZ$1001,410,J$2)&amp;""),""))</f>
        <v/>
      </c>
      <c r="K411">
        <f>IF(K$2=0,"",IFERROR(TRIM(INDEX('Pegar docentes'!$A$1:$BZ$1001,410,K$2)&amp;""),""))</f>
        <v/>
      </c>
      <c r="L411">
        <f>IF(L$2=0,"",IFERROR(TRIM(INDEX('Pegar docentes'!$A$1:$BZ$1001,410,L$2)&amp;""),""))</f>
        <v/>
      </c>
      <c r="M411">
        <f>IF(M$2=0,"",IFERROR(TRIM(INDEX('Pegar docentes'!$A$1:$BZ$1001,410,M$2)&amp;""),""))</f>
        <v/>
      </c>
      <c r="N411">
        <f>IF(N$2=0,"",IFERROR(TRIM(INDEX('Pegar docentes'!$A$1:$BZ$1001,410,N$2)&amp;""),""))</f>
        <v/>
      </c>
      <c r="O411">
        <f>IF(O$2=0,"",IFERROR(TRIM(INDEX('Pegar docentes'!$A$1:$BZ$1001,410,O$2)&amp;""),""))</f>
        <v/>
      </c>
      <c r="P411">
        <f>IF(P$2=0,"",IFERROR(TRIM(INDEX('Pegar docentes'!$A$1:$BZ$1001,410,P$2)&amp;""),""))</f>
        <v/>
      </c>
      <c r="Q411" s="25">
        <f>IF(OR(D411&lt;&gt;"",H411&lt;&gt;""),1,"")</f>
        <v/>
      </c>
      <c r="R411" s="25">
        <f>IF(Q411=1,IF(ISNUMBER(FIND("#"&amp;MID(D411,1,1)&amp;"#","#0#1#2#3#4#5#6#7#8#9#")),IF(ISNUMBER(FIND("#"&amp;MID(D411,2,1)&amp;"#","#0#1#2#3#4#5#6#7#8#9#")),IF(AND(VALUE(LEFT(D411,2))&gt;=1,VALUE(LEFT(D411,2))&lt;=5),VALUE(LEFT(D411,2)),""),IF(AND(VALUE(LEFT(D411,1))&gt;=1,VALUE(LEFT(D411,1))&lt;=5),VALUE(LEFT(D411,1)),"")),""),"")</f>
        <v/>
      </c>
      <c r="S411" s="25">
        <f>IF(AND(Q411=1,E411&lt;&gt;""),SUBSTITUTE(SUBSTITUTE(SUBSTITUTE(SUBSTITUTE(SUBSTITUTE(SUBSTITUTE(SUBSTITUTE(SUBSTITUTE(SUBSTITUTE(SUBSTITUTE(SUBSTITUTE(SUBSTITUTE(LOWER(TRIM(E411)),"á","a"),"é","e"),"í","i"),"ó","o"),"ú","u"),"ü","u"),"ñ","n"),"à","a"),"è","e"),"ì","i"),"ò","o"),"ù","u"),"")</f>
        <v/>
      </c>
      <c r="T411" s="25">
        <f>IF(AND(Q411=1,G411&lt;&gt;""),SUBSTITUTE(SUBSTITUTE(SUBSTITUTE(SUBSTITUTE(SUBSTITUTE(SUBSTITUTE(SUBSTITUTE(SUBSTITUTE(SUBSTITUTE(SUBSTITUTE(SUBSTITUTE(SUBSTITUTE(LOWER(TRIM(G411)),"á","a"),"é","e"),"í","i"),"ó","o"),"ú","u"),"ü","u"),"ñ","n"),"à","a"),"è","e"),"ì","i"),"ò","o"),"ù","u"),"")</f>
        <v/>
      </c>
      <c r="U411" s="25">
        <f>IF(AND(Q411=1,H411&lt;&gt;""),SUBSTITUTE(SUBSTITUTE(SUBSTITUTE(SUBSTITUTE(SUBSTITUTE(SUBSTITUTE(SUBSTITUTE(SUBSTITUTE(SUBSTITUTE(SUBSTITUTE(SUBSTITUTE(SUBSTITUTE(LOWER(TRIM(H411)),"á","a"),"é","e"),"í","i"),"ó","o"),"ú","u"),"ü","u"),"ñ","n"),"à","a"),"è","e"),"ì","i"),"ò","o"),"ù","u"),"")</f>
        <v/>
      </c>
      <c r="V411" s="25">
        <f>IF(AND(Q411=1,L411&lt;&gt;""),SUBSTITUTE(SUBSTITUTE(SUBSTITUTE(SUBSTITUTE(SUBSTITUTE(SUBSTITUTE(SUBSTITUTE(SUBSTITUTE(SUBSTITUTE(SUBSTITUTE(SUBSTITUTE(SUBSTITUTE(LOWER(TRIM(L411)),"á","a"),"é","e"),"í","i"),"ó","o"),"ú","u"),"ü","u"),"ñ","n"),"à","a"),"è","e"),"ì","i"),"ò","o"),"ù","u"),"")</f>
        <v/>
      </c>
      <c r="W411" s="25">
        <f>IF(AND(Q411=1,I411&lt;&gt;""),SUBSTITUTE(SUBSTITUTE(SUBSTITUTE(SUBSTITUTE(SUBSTITUTE(SUBSTITUTE(SUBSTITUTE(SUBSTITUTE(SUBSTITUTE(SUBSTITUTE(SUBSTITUTE(SUBSTITUTE(LOWER(TRIM(I411)),"á","a"),"é","e"),"í","i"),"ó","o"),"ú","u"),"ü","u"),"ñ","n"),"à","a"),"è","e"),"ì","i"),"ò","o"),"ù","u"),"")</f>
        <v/>
      </c>
      <c r="X411" s="25">
        <f>IF(U411="","",IF(OR(U411="si, en la proxima tarea",U411="si, con cambios"),1,0))</f>
        <v/>
      </c>
      <c r="Y411" s="25">
        <f>IF(AND(Q411=1,A411&lt;&gt;""),IF(IFERROR(COUNTIFS(A$3:A411,"="&amp;SUBSTITUTE(SUBSTITUTE(SUBSTITUTE(A411,"~","~~"),"*","~*"),"?","~?"),Q$3:Q411,1),0)=1,MAX(Y$2:Y410)+1,""),"")</f>
        <v/>
      </c>
      <c r="Z411" s="25">
        <f>IF(Y411="","",COUNTIFS($A$3:$A$1002,"="&amp;SUBSTITUTE(SUBSTITUTE(SUBSTITUTE(A411,"~","~~"),"*","~*"),"?","~?"),$Q$3:$Q$1002,1)*10000-Y411)</f>
        <v/>
      </c>
    </row>
    <row r="412">
      <c r="A412">
        <f>IF(A$2=0,"",IFERROR(TRIM(INDEX('Pegar docentes'!$A$1:$BZ$1001,411,A$2)&amp;""),""))</f>
        <v/>
      </c>
      <c r="B412">
        <f>IF(B$2=0,"",IFERROR(TRIM(INDEX('Pegar docentes'!$A$1:$BZ$1001,411,B$2)&amp;""),""))</f>
        <v/>
      </c>
      <c r="C412">
        <f>IF(C$2=0,"",IFERROR(TRIM(INDEX('Pegar docentes'!$A$1:$BZ$1001,411,C$2)&amp;""),""))</f>
        <v/>
      </c>
      <c r="D412">
        <f>IF(D$2=0,"",IFERROR(TRIM(INDEX('Pegar docentes'!$A$1:$BZ$1001,411,D$2)&amp;""),""))</f>
        <v/>
      </c>
      <c r="E412">
        <f>IF(E$2=0,"",IFERROR(TRIM(INDEX('Pegar docentes'!$A$1:$BZ$1001,411,E$2)&amp;""),""))</f>
        <v/>
      </c>
      <c r="F412">
        <f>IF(F$2=0,"",IFERROR(TRIM(INDEX('Pegar docentes'!$A$1:$BZ$1001,411,F$2)&amp;""),""))</f>
        <v/>
      </c>
      <c r="G412">
        <f>IF(G$2=0,"",IFERROR(TRIM(INDEX('Pegar docentes'!$A$1:$BZ$1001,411,G$2)&amp;""),""))</f>
        <v/>
      </c>
      <c r="H412">
        <f>IF(H$2=0,"",IFERROR(TRIM(INDEX('Pegar docentes'!$A$1:$BZ$1001,411,H$2)&amp;""),""))</f>
        <v/>
      </c>
      <c r="I412">
        <f>IF(I$2=0,"",IFERROR(TRIM(INDEX('Pegar docentes'!$A$1:$BZ$1001,411,I$2)&amp;""),""))</f>
        <v/>
      </c>
      <c r="J412">
        <f>IF(J$2=0,"",IFERROR(TRIM(INDEX('Pegar docentes'!$A$1:$BZ$1001,411,J$2)&amp;""),""))</f>
        <v/>
      </c>
      <c r="K412">
        <f>IF(K$2=0,"",IFERROR(TRIM(INDEX('Pegar docentes'!$A$1:$BZ$1001,411,K$2)&amp;""),""))</f>
        <v/>
      </c>
      <c r="L412">
        <f>IF(L$2=0,"",IFERROR(TRIM(INDEX('Pegar docentes'!$A$1:$BZ$1001,411,L$2)&amp;""),""))</f>
        <v/>
      </c>
      <c r="M412">
        <f>IF(M$2=0,"",IFERROR(TRIM(INDEX('Pegar docentes'!$A$1:$BZ$1001,411,M$2)&amp;""),""))</f>
        <v/>
      </c>
      <c r="N412">
        <f>IF(N$2=0,"",IFERROR(TRIM(INDEX('Pegar docentes'!$A$1:$BZ$1001,411,N$2)&amp;""),""))</f>
        <v/>
      </c>
      <c r="O412">
        <f>IF(O$2=0,"",IFERROR(TRIM(INDEX('Pegar docentes'!$A$1:$BZ$1001,411,O$2)&amp;""),""))</f>
        <v/>
      </c>
      <c r="P412">
        <f>IF(P$2=0,"",IFERROR(TRIM(INDEX('Pegar docentes'!$A$1:$BZ$1001,411,P$2)&amp;""),""))</f>
        <v/>
      </c>
      <c r="Q412" s="25">
        <f>IF(OR(D412&lt;&gt;"",H412&lt;&gt;""),1,"")</f>
        <v/>
      </c>
      <c r="R412" s="25">
        <f>IF(Q412=1,IF(ISNUMBER(FIND("#"&amp;MID(D412,1,1)&amp;"#","#0#1#2#3#4#5#6#7#8#9#")),IF(ISNUMBER(FIND("#"&amp;MID(D412,2,1)&amp;"#","#0#1#2#3#4#5#6#7#8#9#")),IF(AND(VALUE(LEFT(D412,2))&gt;=1,VALUE(LEFT(D412,2))&lt;=5),VALUE(LEFT(D412,2)),""),IF(AND(VALUE(LEFT(D412,1))&gt;=1,VALUE(LEFT(D412,1))&lt;=5),VALUE(LEFT(D412,1)),"")),""),"")</f>
        <v/>
      </c>
      <c r="S412" s="25">
        <f>IF(AND(Q412=1,E412&lt;&gt;""),SUBSTITUTE(SUBSTITUTE(SUBSTITUTE(SUBSTITUTE(SUBSTITUTE(SUBSTITUTE(SUBSTITUTE(SUBSTITUTE(SUBSTITUTE(SUBSTITUTE(SUBSTITUTE(SUBSTITUTE(LOWER(TRIM(E412)),"á","a"),"é","e"),"í","i"),"ó","o"),"ú","u"),"ü","u"),"ñ","n"),"à","a"),"è","e"),"ì","i"),"ò","o"),"ù","u"),"")</f>
        <v/>
      </c>
      <c r="T412" s="25">
        <f>IF(AND(Q412=1,G412&lt;&gt;""),SUBSTITUTE(SUBSTITUTE(SUBSTITUTE(SUBSTITUTE(SUBSTITUTE(SUBSTITUTE(SUBSTITUTE(SUBSTITUTE(SUBSTITUTE(SUBSTITUTE(SUBSTITUTE(SUBSTITUTE(LOWER(TRIM(G412)),"á","a"),"é","e"),"í","i"),"ó","o"),"ú","u"),"ü","u"),"ñ","n"),"à","a"),"è","e"),"ì","i"),"ò","o"),"ù","u"),"")</f>
        <v/>
      </c>
      <c r="U412" s="25">
        <f>IF(AND(Q412=1,H412&lt;&gt;""),SUBSTITUTE(SUBSTITUTE(SUBSTITUTE(SUBSTITUTE(SUBSTITUTE(SUBSTITUTE(SUBSTITUTE(SUBSTITUTE(SUBSTITUTE(SUBSTITUTE(SUBSTITUTE(SUBSTITUTE(LOWER(TRIM(H412)),"á","a"),"é","e"),"í","i"),"ó","o"),"ú","u"),"ü","u"),"ñ","n"),"à","a"),"è","e"),"ì","i"),"ò","o"),"ù","u"),"")</f>
        <v/>
      </c>
      <c r="V412" s="25">
        <f>IF(AND(Q412=1,L412&lt;&gt;""),SUBSTITUTE(SUBSTITUTE(SUBSTITUTE(SUBSTITUTE(SUBSTITUTE(SUBSTITUTE(SUBSTITUTE(SUBSTITUTE(SUBSTITUTE(SUBSTITUTE(SUBSTITUTE(SUBSTITUTE(LOWER(TRIM(L412)),"á","a"),"é","e"),"í","i"),"ó","o"),"ú","u"),"ü","u"),"ñ","n"),"à","a"),"è","e"),"ì","i"),"ò","o"),"ù","u"),"")</f>
        <v/>
      </c>
      <c r="W412" s="25">
        <f>IF(AND(Q412=1,I412&lt;&gt;""),SUBSTITUTE(SUBSTITUTE(SUBSTITUTE(SUBSTITUTE(SUBSTITUTE(SUBSTITUTE(SUBSTITUTE(SUBSTITUTE(SUBSTITUTE(SUBSTITUTE(SUBSTITUTE(SUBSTITUTE(LOWER(TRIM(I412)),"á","a"),"é","e"),"í","i"),"ó","o"),"ú","u"),"ü","u"),"ñ","n"),"à","a"),"è","e"),"ì","i"),"ò","o"),"ù","u"),"")</f>
        <v/>
      </c>
      <c r="X412" s="25">
        <f>IF(U412="","",IF(OR(U412="si, en la proxima tarea",U412="si, con cambios"),1,0))</f>
        <v/>
      </c>
      <c r="Y412" s="25">
        <f>IF(AND(Q412=1,A412&lt;&gt;""),IF(IFERROR(COUNTIFS(A$3:A412,"="&amp;SUBSTITUTE(SUBSTITUTE(SUBSTITUTE(A412,"~","~~"),"*","~*"),"?","~?"),Q$3:Q412,1),0)=1,MAX(Y$2:Y411)+1,""),"")</f>
        <v/>
      </c>
      <c r="Z412" s="25">
        <f>IF(Y412="","",COUNTIFS($A$3:$A$1002,"="&amp;SUBSTITUTE(SUBSTITUTE(SUBSTITUTE(A412,"~","~~"),"*","~*"),"?","~?"),$Q$3:$Q$1002,1)*10000-Y412)</f>
        <v/>
      </c>
    </row>
    <row r="413">
      <c r="A413">
        <f>IF(A$2=0,"",IFERROR(TRIM(INDEX('Pegar docentes'!$A$1:$BZ$1001,412,A$2)&amp;""),""))</f>
        <v/>
      </c>
      <c r="B413">
        <f>IF(B$2=0,"",IFERROR(TRIM(INDEX('Pegar docentes'!$A$1:$BZ$1001,412,B$2)&amp;""),""))</f>
        <v/>
      </c>
      <c r="C413">
        <f>IF(C$2=0,"",IFERROR(TRIM(INDEX('Pegar docentes'!$A$1:$BZ$1001,412,C$2)&amp;""),""))</f>
        <v/>
      </c>
      <c r="D413">
        <f>IF(D$2=0,"",IFERROR(TRIM(INDEX('Pegar docentes'!$A$1:$BZ$1001,412,D$2)&amp;""),""))</f>
        <v/>
      </c>
      <c r="E413">
        <f>IF(E$2=0,"",IFERROR(TRIM(INDEX('Pegar docentes'!$A$1:$BZ$1001,412,E$2)&amp;""),""))</f>
        <v/>
      </c>
      <c r="F413">
        <f>IF(F$2=0,"",IFERROR(TRIM(INDEX('Pegar docentes'!$A$1:$BZ$1001,412,F$2)&amp;""),""))</f>
        <v/>
      </c>
      <c r="G413">
        <f>IF(G$2=0,"",IFERROR(TRIM(INDEX('Pegar docentes'!$A$1:$BZ$1001,412,G$2)&amp;""),""))</f>
        <v/>
      </c>
      <c r="H413">
        <f>IF(H$2=0,"",IFERROR(TRIM(INDEX('Pegar docentes'!$A$1:$BZ$1001,412,H$2)&amp;""),""))</f>
        <v/>
      </c>
      <c r="I413">
        <f>IF(I$2=0,"",IFERROR(TRIM(INDEX('Pegar docentes'!$A$1:$BZ$1001,412,I$2)&amp;""),""))</f>
        <v/>
      </c>
      <c r="J413">
        <f>IF(J$2=0,"",IFERROR(TRIM(INDEX('Pegar docentes'!$A$1:$BZ$1001,412,J$2)&amp;""),""))</f>
        <v/>
      </c>
      <c r="K413">
        <f>IF(K$2=0,"",IFERROR(TRIM(INDEX('Pegar docentes'!$A$1:$BZ$1001,412,K$2)&amp;""),""))</f>
        <v/>
      </c>
      <c r="L413">
        <f>IF(L$2=0,"",IFERROR(TRIM(INDEX('Pegar docentes'!$A$1:$BZ$1001,412,L$2)&amp;""),""))</f>
        <v/>
      </c>
      <c r="M413">
        <f>IF(M$2=0,"",IFERROR(TRIM(INDEX('Pegar docentes'!$A$1:$BZ$1001,412,M$2)&amp;""),""))</f>
        <v/>
      </c>
      <c r="N413">
        <f>IF(N$2=0,"",IFERROR(TRIM(INDEX('Pegar docentes'!$A$1:$BZ$1001,412,N$2)&amp;""),""))</f>
        <v/>
      </c>
      <c r="O413">
        <f>IF(O$2=0,"",IFERROR(TRIM(INDEX('Pegar docentes'!$A$1:$BZ$1001,412,O$2)&amp;""),""))</f>
        <v/>
      </c>
      <c r="P413">
        <f>IF(P$2=0,"",IFERROR(TRIM(INDEX('Pegar docentes'!$A$1:$BZ$1001,412,P$2)&amp;""),""))</f>
        <v/>
      </c>
      <c r="Q413" s="25">
        <f>IF(OR(D413&lt;&gt;"",H413&lt;&gt;""),1,"")</f>
        <v/>
      </c>
      <c r="R413" s="25">
        <f>IF(Q413=1,IF(ISNUMBER(FIND("#"&amp;MID(D413,1,1)&amp;"#","#0#1#2#3#4#5#6#7#8#9#")),IF(ISNUMBER(FIND("#"&amp;MID(D413,2,1)&amp;"#","#0#1#2#3#4#5#6#7#8#9#")),IF(AND(VALUE(LEFT(D413,2))&gt;=1,VALUE(LEFT(D413,2))&lt;=5),VALUE(LEFT(D413,2)),""),IF(AND(VALUE(LEFT(D413,1))&gt;=1,VALUE(LEFT(D413,1))&lt;=5),VALUE(LEFT(D413,1)),"")),""),"")</f>
        <v/>
      </c>
      <c r="S413" s="25">
        <f>IF(AND(Q413=1,E413&lt;&gt;""),SUBSTITUTE(SUBSTITUTE(SUBSTITUTE(SUBSTITUTE(SUBSTITUTE(SUBSTITUTE(SUBSTITUTE(SUBSTITUTE(SUBSTITUTE(SUBSTITUTE(SUBSTITUTE(SUBSTITUTE(LOWER(TRIM(E413)),"á","a"),"é","e"),"í","i"),"ó","o"),"ú","u"),"ü","u"),"ñ","n"),"à","a"),"è","e"),"ì","i"),"ò","o"),"ù","u"),"")</f>
        <v/>
      </c>
      <c r="T413" s="25">
        <f>IF(AND(Q413=1,G413&lt;&gt;""),SUBSTITUTE(SUBSTITUTE(SUBSTITUTE(SUBSTITUTE(SUBSTITUTE(SUBSTITUTE(SUBSTITUTE(SUBSTITUTE(SUBSTITUTE(SUBSTITUTE(SUBSTITUTE(SUBSTITUTE(LOWER(TRIM(G413)),"á","a"),"é","e"),"í","i"),"ó","o"),"ú","u"),"ü","u"),"ñ","n"),"à","a"),"è","e"),"ì","i"),"ò","o"),"ù","u"),"")</f>
        <v/>
      </c>
      <c r="U413" s="25">
        <f>IF(AND(Q413=1,H413&lt;&gt;""),SUBSTITUTE(SUBSTITUTE(SUBSTITUTE(SUBSTITUTE(SUBSTITUTE(SUBSTITUTE(SUBSTITUTE(SUBSTITUTE(SUBSTITUTE(SUBSTITUTE(SUBSTITUTE(SUBSTITUTE(LOWER(TRIM(H413)),"á","a"),"é","e"),"í","i"),"ó","o"),"ú","u"),"ü","u"),"ñ","n"),"à","a"),"è","e"),"ì","i"),"ò","o"),"ù","u"),"")</f>
        <v/>
      </c>
      <c r="V413" s="25">
        <f>IF(AND(Q413=1,L413&lt;&gt;""),SUBSTITUTE(SUBSTITUTE(SUBSTITUTE(SUBSTITUTE(SUBSTITUTE(SUBSTITUTE(SUBSTITUTE(SUBSTITUTE(SUBSTITUTE(SUBSTITUTE(SUBSTITUTE(SUBSTITUTE(LOWER(TRIM(L413)),"á","a"),"é","e"),"í","i"),"ó","o"),"ú","u"),"ü","u"),"ñ","n"),"à","a"),"è","e"),"ì","i"),"ò","o"),"ù","u"),"")</f>
        <v/>
      </c>
      <c r="W413" s="25">
        <f>IF(AND(Q413=1,I413&lt;&gt;""),SUBSTITUTE(SUBSTITUTE(SUBSTITUTE(SUBSTITUTE(SUBSTITUTE(SUBSTITUTE(SUBSTITUTE(SUBSTITUTE(SUBSTITUTE(SUBSTITUTE(SUBSTITUTE(SUBSTITUTE(LOWER(TRIM(I413)),"á","a"),"é","e"),"í","i"),"ó","o"),"ú","u"),"ü","u"),"ñ","n"),"à","a"),"è","e"),"ì","i"),"ò","o"),"ù","u"),"")</f>
        <v/>
      </c>
      <c r="X413" s="25">
        <f>IF(U413="","",IF(OR(U413="si, en la proxima tarea",U413="si, con cambios"),1,0))</f>
        <v/>
      </c>
      <c r="Y413" s="25">
        <f>IF(AND(Q413=1,A413&lt;&gt;""),IF(IFERROR(COUNTIFS(A$3:A413,"="&amp;SUBSTITUTE(SUBSTITUTE(SUBSTITUTE(A413,"~","~~"),"*","~*"),"?","~?"),Q$3:Q413,1),0)=1,MAX(Y$2:Y412)+1,""),"")</f>
        <v/>
      </c>
      <c r="Z413" s="25">
        <f>IF(Y413="","",COUNTIFS($A$3:$A$1002,"="&amp;SUBSTITUTE(SUBSTITUTE(SUBSTITUTE(A413,"~","~~"),"*","~*"),"?","~?"),$Q$3:$Q$1002,1)*10000-Y413)</f>
        <v/>
      </c>
    </row>
    <row r="414">
      <c r="A414">
        <f>IF(A$2=0,"",IFERROR(TRIM(INDEX('Pegar docentes'!$A$1:$BZ$1001,413,A$2)&amp;""),""))</f>
        <v/>
      </c>
      <c r="B414">
        <f>IF(B$2=0,"",IFERROR(TRIM(INDEX('Pegar docentes'!$A$1:$BZ$1001,413,B$2)&amp;""),""))</f>
        <v/>
      </c>
      <c r="C414">
        <f>IF(C$2=0,"",IFERROR(TRIM(INDEX('Pegar docentes'!$A$1:$BZ$1001,413,C$2)&amp;""),""))</f>
        <v/>
      </c>
      <c r="D414">
        <f>IF(D$2=0,"",IFERROR(TRIM(INDEX('Pegar docentes'!$A$1:$BZ$1001,413,D$2)&amp;""),""))</f>
        <v/>
      </c>
      <c r="E414">
        <f>IF(E$2=0,"",IFERROR(TRIM(INDEX('Pegar docentes'!$A$1:$BZ$1001,413,E$2)&amp;""),""))</f>
        <v/>
      </c>
      <c r="F414">
        <f>IF(F$2=0,"",IFERROR(TRIM(INDEX('Pegar docentes'!$A$1:$BZ$1001,413,F$2)&amp;""),""))</f>
        <v/>
      </c>
      <c r="G414">
        <f>IF(G$2=0,"",IFERROR(TRIM(INDEX('Pegar docentes'!$A$1:$BZ$1001,413,G$2)&amp;""),""))</f>
        <v/>
      </c>
      <c r="H414">
        <f>IF(H$2=0,"",IFERROR(TRIM(INDEX('Pegar docentes'!$A$1:$BZ$1001,413,H$2)&amp;""),""))</f>
        <v/>
      </c>
      <c r="I414">
        <f>IF(I$2=0,"",IFERROR(TRIM(INDEX('Pegar docentes'!$A$1:$BZ$1001,413,I$2)&amp;""),""))</f>
        <v/>
      </c>
      <c r="J414">
        <f>IF(J$2=0,"",IFERROR(TRIM(INDEX('Pegar docentes'!$A$1:$BZ$1001,413,J$2)&amp;""),""))</f>
        <v/>
      </c>
      <c r="K414">
        <f>IF(K$2=0,"",IFERROR(TRIM(INDEX('Pegar docentes'!$A$1:$BZ$1001,413,K$2)&amp;""),""))</f>
        <v/>
      </c>
      <c r="L414">
        <f>IF(L$2=0,"",IFERROR(TRIM(INDEX('Pegar docentes'!$A$1:$BZ$1001,413,L$2)&amp;""),""))</f>
        <v/>
      </c>
      <c r="M414">
        <f>IF(M$2=0,"",IFERROR(TRIM(INDEX('Pegar docentes'!$A$1:$BZ$1001,413,M$2)&amp;""),""))</f>
        <v/>
      </c>
      <c r="N414">
        <f>IF(N$2=0,"",IFERROR(TRIM(INDEX('Pegar docentes'!$A$1:$BZ$1001,413,N$2)&amp;""),""))</f>
        <v/>
      </c>
      <c r="O414">
        <f>IF(O$2=0,"",IFERROR(TRIM(INDEX('Pegar docentes'!$A$1:$BZ$1001,413,O$2)&amp;""),""))</f>
        <v/>
      </c>
      <c r="P414">
        <f>IF(P$2=0,"",IFERROR(TRIM(INDEX('Pegar docentes'!$A$1:$BZ$1001,413,P$2)&amp;""),""))</f>
        <v/>
      </c>
      <c r="Q414" s="25">
        <f>IF(OR(D414&lt;&gt;"",H414&lt;&gt;""),1,"")</f>
        <v/>
      </c>
      <c r="R414" s="25">
        <f>IF(Q414=1,IF(ISNUMBER(FIND("#"&amp;MID(D414,1,1)&amp;"#","#0#1#2#3#4#5#6#7#8#9#")),IF(ISNUMBER(FIND("#"&amp;MID(D414,2,1)&amp;"#","#0#1#2#3#4#5#6#7#8#9#")),IF(AND(VALUE(LEFT(D414,2))&gt;=1,VALUE(LEFT(D414,2))&lt;=5),VALUE(LEFT(D414,2)),""),IF(AND(VALUE(LEFT(D414,1))&gt;=1,VALUE(LEFT(D414,1))&lt;=5),VALUE(LEFT(D414,1)),"")),""),"")</f>
        <v/>
      </c>
      <c r="S414" s="25">
        <f>IF(AND(Q414=1,E414&lt;&gt;""),SUBSTITUTE(SUBSTITUTE(SUBSTITUTE(SUBSTITUTE(SUBSTITUTE(SUBSTITUTE(SUBSTITUTE(SUBSTITUTE(SUBSTITUTE(SUBSTITUTE(SUBSTITUTE(SUBSTITUTE(LOWER(TRIM(E414)),"á","a"),"é","e"),"í","i"),"ó","o"),"ú","u"),"ü","u"),"ñ","n"),"à","a"),"è","e"),"ì","i"),"ò","o"),"ù","u"),"")</f>
        <v/>
      </c>
      <c r="T414" s="25">
        <f>IF(AND(Q414=1,G414&lt;&gt;""),SUBSTITUTE(SUBSTITUTE(SUBSTITUTE(SUBSTITUTE(SUBSTITUTE(SUBSTITUTE(SUBSTITUTE(SUBSTITUTE(SUBSTITUTE(SUBSTITUTE(SUBSTITUTE(SUBSTITUTE(LOWER(TRIM(G414)),"á","a"),"é","e"),"í","i"),"ó","o"),"ú","u"),"ü","u"),"ñ","n"),"à","a"),"è","e"),"ì","i"),"ò","o"),"ù","u"),"")</f>
        <v/>
      </c>
      <c r="U414" s="25">
        <f>IF(AND(Q414=1,H414&lt;&gt;""),SUBSTITUTE(SUBSTITUTE(SUBSTITUTE(SUBSTITUTE(SUBSTITUTE(SUBSTITUTE(SUBSTITUTE(SUBSTITUTE(SUBSTITUTE(SUBSTITUTE(SUBSTITUTE(SUBSTITUTE(LOWER(TRIM(H414)),"á","a"),"é","e"),"í","i"),"ó","o"),"ú","u"),"ü","u"),"ñ","n"),"à","a"),"è","e"),"ì","i"),"ò","o"),"ù","u"),"")</f>
        <v/>
      </c>
      <c r="V414" s="25">
        <f>IF(AND(Q414=1,L414&lt;&gt;""),SUBSTITUTE(SUBSTITUTE(SUBSTITUTE(SUBSTITUTE(SUBSTITUTE(SUBSTITUTE(SUBSTITUTE(SUBSTITUTE(SUBSTITUTE(SUBSTITUTE(SUBSTITUTE(SUBSTITUTE(LOWER(TRIM(L414)),"á","a"),"é","e"),"í","i"),"ó","o"),"ú","u"),"ü","u"),"ñ","n"),"à","a"),"è","e"),"ì","i"),"ò","o"),"ù","u"),"")</f>
        <v/>
      </c>
      <c r="W414" s="25">
        <f>IF(AND(Q414=1,I414&lt;&gt;""),SUBSTITUTE(SUBSTITUTE(SUBSTITUTE(SUBSTITUTE(SUBSTITUTE(SUBSTITUTE(SUBSTITUTE(SUBSTITUTE(SUBSTITUTE(SUBSTITUTE(SUBSTITUTE(SUBSTITUTE(LOWER(TRIM(I414)),"á","a"),"é","e"),"í","i"),"ó","o"),"ú","u"),"ü","u"),"ñ","n"),"à","a"),"è","e"),"ì","i"),"ò","o"),"ù","u"),"")</f>
        <v/>
      </c>
      <c r="X414" s="25">
        <f>IF(U414="","",IF(OR(U414="si, en la proxima tarea",U414="si, con cambios"),1,0))</f>
        <v/>
      </c>
      <c r="Y414" s="25">
        <f>IF(AND(Q414=1,A414&lt;&gt;""),IF(IFERROR(COUNTIFS(A$3:A414,"="&amp;SUBSTITUTE(SUBSTITUTE(SUBSTITUTE(A414,"~","~~"),"*","~*"),"?","~?"),Q$3:Q414,1),0)=1,MAX(Y$2:Y413)+1,""),"")</f>
        <v/>
      </c>
      <c r="Z414" s="25">
        <f>IF(Y414="","",COUNTIFS($A$3:$A$1002,"="&amp;SUBSTITUTE(SUBSTITUTE(SUBSTITUTE(A414,"~","~~"),"*","~*"),"?","~?"),$Q$3:$Q$1002,1)*10000-Y414)</f>
        <v/>
      </c>
    </row>
    <row r="415">
      <c r="A415">
        <f>IF(A$2=0,"",IFERROR(TRIM(INDEX('Pegar docentes'!$A$1:$BZ$1001,414,A$2)&amp;""),""))</f>
        <v/>
      </c>
      <c r="B415">
        <f>IF(B$2=0,"",IFERROR(TRIM(INDEX('Pegar docentes'!$A$1:$BZ$1001,414,B$2)&amp;""),""))</f>
        <v/>
      </c>
      <c r="C415">
        <f>IF(C$2=0,"",IFERROR(TRIM(INDEX('Pegar docentes'!$A$1:$BZ$1001,414,C$2)&amp;""),""))</f>
        <v/>
      </c>
      <c r="D415">
        <f>IF(D$2=0,"",IFERROR(TRIM(INDEX('Pegar docentes'!$A$1:$BZ$1001,414,D$2)&amp;""),""))</f>
        <v/>
      </c>
      <c r="E415">
        <f>IF(E$2=0,"",IFERROR(TRIM(INDEX('Pegar docentes'!$A$1:$BZ$1001,414,E$2)&amp;""),""))</f>
        <v/>
      </c>
      <c r="F415">
        <f>IF(F$2=0,"",IFERROR(TRIM(INDEX('Pegar docentes'!$A$1:$BZ$1001,414,F$2)&amp;""),""))</f>
        <v/>
      </c>
      <c r="G415">
        <f>IF(G$2=0,"",IFERROR(TRIM(INDEX('Pegar docentes'!$A$1:$BZ$1001,414,G$2)&amp;""),""))</f>
        <v/>
      </c>
      <c r="H415">
        <f>IF(H$2=0,"",IFERROR(TRIM(INDEX('Pegar docentes'!$A$1:$BZ$1001,414,H$2)&amp;""),""))</f>
        <v/>
      </c>
      <c r="I415">
        <f>IF(I$2=0,"",IFERROR(TRIM(INDEX('Pegar docentes'!$A$1:$BZ$1001,414,I$2)&amp;""),""))</f>
        <v/>
      </c>
      <c r="J415">
        <f>IF(J$2=0,"",IFERROR(TRIM(INDEX('Pegar docentes'!$A$1:$BZ$1001,414,J$2)&amp;""),""))</f>
        <v/>
      </c>
      <c r="K415">
        <f>IF(K$2=0,"",IFERROR(TRIM(INDEX('Pegar docentes'!$A$1:$BZ$1001,414,K$2)&amp;""),""))</f>
        <v/>
      </c>
      <c r="L415">
        <f>IF(L$2=0,"",IFERROR(TRIM(INDEX('Pegar docentes'!$A$1:$BZ$1001,414,L$2)&amp;""),""))</f>
        <v/>
      </c>
      <c r="M415">
        <f>IF(M$2=0,"",IFERROR(TRIM(INDEX('Pegar docentes'!$A$1:$BZ$1001,414,M$2)&amp;""),""))</f>
        <v/>
      </c>
      <c r="N415">
        <f>IF(N$2=0,"",IFERROR(TRIM(INDEX('Pegar docentes'!$A$1:$BZ$1001,414,N$2)&amp;""),""))</f>
        <v/>
      </c>
      <c r="O415">
        <f>IF(O$2=0,"",IFERROR(TRIM(INDEX('Pegar docentes'!$A$1:$BZ$1001,414,O$2)&amp;""),""))</f>
        <v/>
      </c>
      <c r="P415">
        <f>IF(P$2=0,"",IFERROR(TRIM(INDEX('Pegar docentes'!$A$1:$BZ$1001,414,P$2)&amp;""),""))</f>
        <v/>
      </c>
      <c r="Q415" s="25">
        <f>IF(OR(D415&lt;&gt;"",H415&lt;&gt;""),1,"")</f>
        <v/>
      </c>
      <c r="R415" s="25">
        <f>IF(Q415=1,IF(ISNUMBER(FIND("#"&amp;MID(D415,1,1)&amp;"#","#0#1#2#3#4#5#6#7#8#9#")),IF(ISNUMBER(FIND("#"&amp;MID(D415,2,1)&amp;"#","#0#1#2#3#4#5#6#7#8#9#")),IF(AND(VALUE(LEFT(D415,2))&gt;=1,VALUE(LEFT(D415,2))&lt;=5),VALUE(LEFT(D415,2)),""),IF(AND(VALUE(LEFT(D415,1))&gt;=1,VALUE(LEFT(D415,1))&lt;=5),VALUE(LEFT(D415,1)),"")),""),"")</f>
        <v/>
      </c>
      <c r="S415" s="25">
        <f>IF(AND(Q415=1,E415&lt;&gt;""),SUBSTITUTE(SUBSTITUTE(SUBSTITUTE(SUBSTITUTE(SUBSTITUTE(SUBSTITUTE(SUBSTITUTE(SUBSTITUTE(SUBSTITUTE(SUBSTITUTE(SUBSTITUTE(SUBSTITUTE(LOWER(TRIM(E415)),"á","a"),"é","e"),"í","i"),"ó","o"),"ú","u"),"ü","u"),"ñ","n"),"à","a"),"è","e"),"ì","i"),"ò","o"),"ù","u"),"")</f>
        <v/>
      </c>
      <c r="T415" s="25">
        <f>IF(AND(Q415=1,G415&lt;&gt;""),SUBSTITUTE(SUBSTITUTE(SUBSTITUTE(SUBSTITUTE(SUBSTITUTE(SUBSTITUTE(SUBSTITUTE(SUBSTITUTE(SUBSTITUTE(SUBSTITUTE(SUBSTITUTE(SUBSTITUTE(LOWER(TRIM(G415)),"á","a"),"é","e"),"í","i"),"ó","o"),"ú","u"),"ü","u"),"ñ","n"),"à","a"),"è","e"),"ì","i"),"ò","o"),"ù","u"),"")</f>
        <v/>
      </c>
      <c r="U415" s="25">
        <f>IF(AND(Q415=1,H415&lt;&gt;""),SUBSTITUTE(SUBSTITUTE(SUBSTITUTE(SUBSTITUTE(SUBSTITUTE(SUBSTITUTE(SUBSTITUTE(SUBSTITUTE(SUBSTITUTE(SUBSTITUTE(SUBSTITUTE(SUBSTITUTE(LOWER(TRIM(H415)),"á","a"),"é","e"),"í","i"),"ó","o"),"ú","u"),"ü","u"),"ñ","n"),"à","a"),"è","e"),"ì","i"),"ò","o"),"ù","u"),"")</f>
        <v/>
      </c>
      <c r="V415" s="25">
        <f>IF(AND(Q415=1,L415&lt;&gt;""),SUBSTITUTE(SUBSTITUTE(SUBSTITUTE(SUBSTITUTE(SUBSTITUTE(SUBSTITUTE(SUBSTITUTE(SUBSTITUTE(SUBSTITUTE(SUBSTITUTE(SUBSTITUTE(SUBSTITUTE(LOWER(TRIM(L415)),"á","a"),"é","e"),"í","i"),"ó","o"),"ú","u"),"ü","u"),"ñ","n"),"à","a"),"è","e"),"ì","i"),"ò","o"),"ù","u"),"")</f>
        <v/>
      </c>
      <c r="W415" s="25">
        <f>IF(AND(Q415=1,I415&lt;&gt;""),SUBSTITUTE(SUBSTITUTE(SUBSTITUTE(SUBSTITUTE(SUBSTITUTE(SUBSTITUTE(SUBSTITUTE(SUBSTITUTE(SUBSTITUTE(SUBSTITUTE(SUBSTITUTE(SUBSTITUTE(LOWER(TRIM(I415)),"á","a"),"é","e"),"í","i"),"ó","o"),"ú","u"),"ü","u"),"ñ","n"),"à","a"),"è","e"),"ì","i"),"ò","o"),"ù","u"),"")</f>
        <v/>
      </c>
      <c r="X415" s="25">
        <f>IF(U415="","",IF(OR(U415="si, en la proxima tarea",U415="si, con cambios"),1,0))</f>
        <v/>
      </c>
      <c r="Y415" s="25">
        <f>IF(AND(Q415=1,A415&lt;&gt;""),IF(IFERROR(COUNTIFS(A$3:A415,"="&amp;SUBSTITUTE(SUBSTITUTE(SUBSTITUTE(A415,"~","~~"),"*","~*"),"?","~?"),Q$3:Q415,1),0)=1,MAX(Y$2:Y414)+1,""),"")</f>
        <v/>
      </c>
      <c r="Z415" s="25">
        <f>IF(Y415="","",COUNTIFS($A$3:$A$1002,"="&amp;SUBSTITUTE(SUBSTITUTE(SUBSTITUTE(A415,"~","~~"),"*","~*"),"?","~?"),$Q$3:$Q$1002,1)*10000-Y415)</f>
        <v/>
      </c>
    </row>
    <row r="416">
      <c r="A416">
        <f>IF(A$2=0,"",IFERROR(TRIM(INDEX('Pegar docentes'!$A$1:$BZ$1001,415,A$2)&amp;""),""))</f>
        <v/>
      </c>
      <c r="B416">
        <f>IF(B$2=0,"",IFERROR(TRIM(INDEX('Pegar docentes'!$A$1:$BZ$1001,415,B$2)&amp;""),""))</f>
        <v/>
      </c>
      <c r="C416">
        <f>IF(C$2=0,"",IFERROR(TRIM(INDEX('Pegar docentes'!$A$1:$BZ$1001,415,C$2)&amp;""),""))</f>
        <v/>
      </c>
      <c r="D416">
        <f>IF(D$2=0,"",IFERROR(TRIM(INDEX('Pegar docentes'!$A$1:$BZ$1001,415,D$2)&amp;""),""))</f>
        <v/>
      </c>
      <c r="E416">
        <f>IF(E$2=0,"",IFERROR(TRIM(INDEX('Pegar docentes'!$A$1:$BZ$1001,415,E$2)&amp;""),""))</f>
        <v/>
      </c>
      <c r="F416">
        <f>IF(F$2=0,"",IFERROR(TRIM(INDEX('Pegar docentes'!$A$1:$BZ$1001,415,F$2)&amp;""),""))</f>
        <v/>
      </c>
      <c r="G416">
        <f>IF(G$2=0,"",IFERROR(TRIM(INDEX('Pegar docentes'!$A$1:$BZ$1001,415,G$2)&amp;""),""))</f>
        <v/>
      </c>
      <c r="H416">
        <f>IF(H$2=0,"",IFERROR(TRIM(INDEX('Pegar docentes'!$A$1:$BZ$1001,415,H$2)&amp;""),""))</f>
        <v/>
      </c>
      <c r="I416">
        <f>IF(I$2=0,"",IFERROR(TRIM(INDEX('Pegar docentes'!$A$1:$BZ$1001,415,I$2)&amp;""),""))</f>
        <v/>
      </c>
      <c r="J416">
        <f>IF(J$2=0,"",IFERROR(TRIM(INDEX('Pegar docentes'!$A$1:$BZ$1001,415,J$2)&amp;""),""))</f>
        <v/>
      </c>
      <c r="K416">
        <f>IF(K$2=0,"",IFERROR(TRIM(INDEX('Pegar docentes'!$A$1:$BZ$1001,415,K$2)&amp;""),""))</f>
        <v/>
      </c>
      <c r="L416">
        <f>IF(L$2=0,"",IFERROR(TRIM(INDEX('Pegar docentes'!$A$1:$BZ$1001,415,L$2)&amp;""),""))</f>
        <v/>
      </c>
      <c r="M416">
        <f>IF(M$2=0,"",IFERROR(TRIM(INDEX('Pegar docentes'!$A$1:$BZ$1001,415,M$2)&amp;""),""))</f>
        <v/>
      </c>
      <c r="N416">
        <f>IF(N$2=0,"",IFERROR(TRIM(INDEX('Pegar docentes'!$A$1:$BZ$1001,415,N$2)&amp;""),""))</f>
        <v/>
      </c>
      <c r="O416">
        <f>IF(O$2=0,"",IFERROR(TRIM(INDEX('Pegar docentes'!$A$1:$BZ$1001,415,O$2)&amp;""),""))</f>
        <v/>
      </c>
      <c r="P416">
        <f>IF(P$2=0,"",IFERROR(TRIM(INDEX('Pegar docentes'!$A$1:$BZ$1001,415,P$2)&amp;""),""))</f>
        <v/>
      </c>
      <c r="Q416" s="25">
        <f>IF(OR(D416&lt;&gt;"",H416&lt;&gt;""),1,"")</f>
        <v/>
      </c>
      <c r="R416" s="25">
        <f>IF(Q416=1,IF(ISNUMBER(FIND("#"&amp;MID(D416,1,1)&amp;"#","#0#1#2#3#4#5#6#7#8#9#")),IF(ISNUMBER(FIND("#"&amp;MID(D416,2,1)&amp;"#","#0#1#2#3#4#5#6#7#8#9#")),IF(AND(VALUE(LEFT(D416,2))&gt;=1,VALUE(LEFT(D416,2))&lt;=5),VALUE(LEFT(D416,2)),""),IF(AND(VALUE(LEFT(D416,1))&gt;=1,VALUE(LEFT(D416,1))&lt;=5),VALUE(LEFT(D416,1)),"")),""),"")</f>
        <v/>
      </c>
      <c r="S416" s="25">
        <f>IF(AND(Q416=1,E416&lt;&gt;""),SUBSTITUTE(SUBSTITUTE(SUBSTITUTE(SUBSTITUTE(SUBSTITUTE(SUBSTITUTE(SUBSTITUTE(SUBSTITUTE(SUBSTITUTE(SUBSTITUTE(SUBSTITUTE(SUBSTITUTE(LOWER(TRIM(E416)),"á","a"),"é","e"),"í","i"),"ó","o"),"ú","u"),"ü","u"),"ñ","n"),"à","a"),"è","e"),"ì","i"),"ò","o"),"ù","u"),"")</f>
        <v/>
      </c>
      <c r="T416" s="25">
        <f>IF(AND(Q416=1,G416&lt;&gt;""),SUBSTITUTE(SUBSTITUTE(SUBSTITUTE(SUBSTITUTE(SUBSTITUTE(SUBSTITUTE(SUBSTITUTE(SUBSTITUTE(SUBSTITUTE(SUBSTITUTE(SUBSTITUTE(SUBSTITUTE(LOWER(TRIM(G416)),"á","a"),"é","e"),"í","i"),"ó","o"),"ú","u"),"ü","u"),"ñ","n"),"à","a"),"è","e"),"ì","i"),"ò","o"),"ù","u"),"")</f>
        <v/>
      </c>
      <c r="U416" s="25">
        <f>IF(AND(Q416=1,H416&lt;&gt;""),SUBSTITUTE(SUBSTITUTE(SUBSTITUTE(SUBSTITUTE(SUBSTITUTE(SUBSTITUTE(SUBSTITUTE(SUBSTITUTE(SUBSTITUTE(SUBSTITUTE(SUBSTITUTE(SUBSTITUTE(LOWER(TRIM(H416)),"á","a"),"é","e"),"í","i"),"ó","o"),"ú","u"),"ü","u"),"ñ","n"),"à","a"),"è","e"),"ì","i"),"ò","o"),"ù","u"),"")</f>
        <v/>
      </c>
      <c r="V416" s="25">
        <f>IF(AND(Q416=1,L416&lt;&gt;""),SUBSTITUTE(SUBSTITUTE(SUBSTITUTE(SUBSTITUTE(SUBSTITUTE(SUBSTITUTE(SUBSTITUTE(SUBSTITUTE(SUBSTITUTE(SUBSTITUTE(SUBSTITUTE(SUBSTITUTE(LOWER(TRIM(L416)),"á","a"),"é","e"),"í","i"),"ó","o"),"ú","u"),"ü","u"),"ñ","n"),"à","a"),"è","e"),"ì","i"),"ò","o"),"ù","u"),"")</f>
        <v/>
      </c>
      <c r="W416" s="25">
        <f>IF(AND(Q416=1,I416&lt;&gt;""),SUBSTITUTE(SUBSTITUTE(SUBSTITUTE(SUBSTITUTE(SUBSTITUTE(SUBSTITUTE(SUBSTITUTE(SUBSTITUTE(SUBSTITUTE(SUBSTITUTE(SUBSTITUTE(SUBSTITUTE(LOWER(TRIM(I416)),"á","a"),"é","e"),"í","i"),"ó","o"),"ú","u"),"ü","u"),"ñ","n"),"à","a"),"è","e"),"ì","i"),"ò","o"),"ù","u"),"")</f>
        <v/>
      </c>
      <c r="X416" s="25">
        <f>IF(U416="","",IF(OR(U416="si, en la proxima tarea",U416="si, con cambios"),1,0))</f>
        <v/>
      </c>
      <c r="Y416" s="25">
        <f>IF(AND(Q416=1,A416&lt;&gt;""),IF(IFERROR(COUNTIFS(A$3:A416,"="&amp;SUBSTITUTE(SUBSTITUTE(SUBSTITUTE(A416,"~","~~"),"*","~*"),"?","~?"),Q$3:Q416,1),0)=1,MAX(Y$2:Y415)+1,""),"")</f>
        <v/>
      </c>
      <c r="Z416" s="25">
        <f>IF(Y416="","",COUNTIFS($A$3:$A$1002,"="&amp;SUBSTITUTE(SUBSTITUTE(SUBSTITUTE(A416,"~","~~"),"*","~*"),"?","~?"),$Q$3:$Q$1002,1)*10000-Y416)</f>
        <v/>
      </c>
    </row>
    <row r="417">
      <c r="A417">
        <f>IF(A$2=0,"",IFERROR(TRIM(INDEX('Pegar docentes'!$A$1:$BZ$1001,416,A$2)&amp;""),""))</f>
        <v/>
      </c>
      <c r="B417">
        <f>IF(B$2=0,"",IFERROR(TRIM(INDEX('Pegar docentes'!$A$1:$BZ$1001,416,B$2)&amp;""),""))</f>
        <v/>
      </c>
      <c r="C417">
        <f>IF(C$2=0,"",IFERROR(TRIM(INDEX('Pegar docentes'!$A$1:$BZ$1001,416,C$2)&amp;""),""))</f>
        <v/>
      </c>
      <c r="D417">
        <f>IF(D$2=0,"",IFERROR(TRIM(INDEX('Pegar docentes'!$A$1:$BZ$1001,416,D$2)&amp;""),""))</f>
        <v/>
      </c>
      <c r="E417">
        <f>IF(E$2=0,"",IFERROR(TRIM(INDEX('Pegar docentes'!$A$1:$BZ$1001,416,E$2)&amp;""),""))</f>
        <v/>
      </c>
      <c r="F417">
        <f>IF(F$2=0,"",IFERROR(TRIM(INDEX('Pegar docentes'!$A$1:$BZ$1001,416,F$2)&amp;""),""))</f>
        <v/>
      </c>
      <c r="G417">
        <f>IF(G$2=0,"",IFERROR(TRIM(INDEX('Pegar docentes'!$A$1:$BZ$1001,416,G$2)&amp;""),""))</f>
        <v/>
      </c>
      <c r="H417">
        <f>IF(H$2=0,"",IFERROR(TRIM(INDEX('Pegar docentes'!$A$1:$BZ$1001,416,H$2)&amp;""),""))</f>
        <v/>
      </c>
      <c r="I417">
        <f>IF(I$2=0,"",IFERROR(TRIM(INDEX('Pegar docentes'!$A$1:$BZ$1001,416,I$2)&amp;""),""))</f>
        <v/>
      </c>
      <c r="J417">
        <f>IF(J$2=0,"",IFERROR(TRIM(INDEX('Pegar docentes'!$A$1:$BZ$1001,416,J$2)&amp;""),""))</f>
        <v/>
      </c>
      <c r="K417">
        <f>IF(K$2=0,"",IFERROR(TRIM(INDEX('Pegar docentes'!$A$1:$BZ$1001,416,K$2)&amp;""),""))</f>
        <v/>
      </c>
      <c r="L417">
        <f>IF(L$2=0,"",IFERROR(TRIM(INDEX('Pegar docentes'!$A$1:$BZ$1001,416,L$2)&amp;""),""))</f>
        <v/>
      </c>
      <c r="M417">
        <f>IF(M$2=0,"",IFERROR(TRIM(INDEX('Pegar docentes'!$A$1:$BZ$1001,416,M$2)&amp;""),""))</f>
        <v/>
      </c>
      <c r="N417">
        <f>IF(N$2=0,"",IFERROR(TRIM(INDEX('Pegar docentes'!$A$1:$BZ$1001,416,N$2)&amp;""),""))</f>
        <v/>
      </c>
      <c r="O417">
        <f>IF(O$2=0,"",IFERROR(TRIM(INDEX('Pegar docentes'!$A$1:$BZ$1001,416,O$2)&amp;""),""))</f>
        <v/>
      </c>
      <c r="P417">
        <f>IF(P$2=0,"",IFERROR(TRIM(INDEX('Pegar docentes'!$A$1:$BZ$1001,416,P$2)&amp;""),""))</f>
        <v/>
      </c>
      <c r="Q417" s="25">
        <f>IF(OR(D417&lt;&gt;"",H417&lt;&gt;""),1,"")</f>
        <v/>
      </c>
      <c r="R417" s="25">
        <f>IF(Q417=1,IF(ISNUMBER(FIND("#"&amp;MID(D417,1,1)&amp;"#","#0#1#2#3#4#5#6#7#8#9#")),IF(ISNUMBER(FIND("#"&amp;MID(D417,2,1)&amp;"#","#0#1#2#3#4#5#6#7#8#9#")),IF(AND(VALUE(LEFT(D417,2))&gt;=1,VALUE(LEFT(D417,2))&lt;=5),VALUE(LEFT(D417,2)),""),IF(AND(VALUE(LEFT(D417,1))&gt;=1,VALUE(LEFT(D417,1))&lt;=5),VALUE(LEFT(D417,1)),"")),""),"")</f>
        <v/>
      </c>
      <c r="S417" s="25">
        <f>IF(AND(Q417=1,E417&lt;&gt;""),SUBSTITUTE(SUBSTITUTE(SUBSTITUTE(SUBSTITUTE(SUBSTITUTE(SUBSTITUTE(SUBSTITUTE(SUBSTITUTE(SUBSTITUTE(SUBSTITUTE(SUBSTITUTE(SUBSTITUTE(LOWER(TRIM(E417)),"á","a"),"é","e"),"í","i"),"ó","o"),"ú","u"),"ü","u"),"ñ","n"),"à","a"),"è","e"),"ì","i"),"ò","o"),"ù","u"),"")</f>
        <v/>
      </c>
      <c r="T417" s="25">
        <f>IF(AND(Q417=1,G417&lt;&gt;""),SUBSTITUTE(SUBSTITUTE(SUBSTITUTE(SUBSTITUTE(SUBSTITUTE(SUBSTITUTE(SUBSTITUTE(SUBSTITUTE(SUBSTITUTE(SUBSTITUTE(SUBSTITUTE(SUBSTITUTE(LOWER(TRIM(G417)),"á","a"),"é","e"),"í","i"),"ó","o"),"ú","u"),"ü","u"),"ñ","n"),"à","a"),"è","e"),"ì","i"),"ò","o"),"ù","u"),"")</f>
        <v/>
      </c>
      <c r="U417" s="25">
        <f>IF(AND(Q417=1,H417&lt;&gt;""),SUBSTITUTE(SUBSTITUTE(SUBSTITUTE(SUBSTITUTE(SUBSTITUTE(SUBSTITUTE(SUBSTITUTE(SUBSTITUTE(SUBSTITUTE(SUBSTITUTE(SUBSTITUTE(SUBSTITUTE(LOWER(TRIM(H417)),"á","a"),"é","e"),"í","i"),"ó","o"),"ú","u"),"ü","u"),"ñ","n"),"à","a"),"è","e"),"ì","i"),"ò","o"),"ù","u"),"")</f>
        <v/>
      </c>
      <c r="V417" s="25">
        <f>IF(AND(Q417=1,L417&lt;&gt;""),SUBSTITUTE(SUBSTITUTE(SUBSTITUTE(SUBSTITUTE(SUBSTITUTE(SUBSTITUTE(SUBSTITUTE(SUBSTITUTE(SUBSTITUTE(SUBSTITUTE(SUBSTITUTE(SUBSTITUTE(LOWER(TRIM(L417)),"á","a"),"é","e"),"í","i"),"ó","o"),"ú","u"),"ü","u"),"ñ","n"),"à","a"),"è","e"),"ì","i"),"ò","o"),"ù","u"),"")</f>
        <v/>
      </c>
      <c r="W417" s="25">
        <f>IF(AND(Q417=1,I417&lt;&gt;""),SUBSTITUTE(SUBSTITUTE(SUBSTITUTE(SUBSTITUTE(SUBSTITUTE(SUBSTITUTE(SUBSTITUTE(SUBSTITUTE(SUBSTITUTE(SUBSTITUTE(SUBSTITUTE(SUBSTITUTE(LOWER(TRIM(I417)),"á","a"),"é","e"),"í","i"),"ó","o"),"ú","u"),"ü","u"),"ñ","n"),"à","a"),"è","e"),"ì","i"),"ò","o"),"ù","u"),"")</f>
        <v/>
      </c>
      <c r="X417" s="25">
        <f>IF(U417="","",IF(OR(U417="si, en la proxima tarea",U417="si, con cambios"),1,0))</f>
        <v/>
      </c>
      <c r="Y417" s="25">
        <f>IF(AND(Q417=1,A417&lt;&gt;""),IF(IFERROR(COUNTIFS(A$3:A417,"="&amp;SUBSTITUTE(SUBSTITUTE(SUBSTITUTE(A417,"~","~~"),"*","~*"),"?","~?"),Q$3:Q417,1),0)=1,MAX(Y$2:Y416)+1,""),"")</f>
        <v/>
      </c>
      <c r="Z417" s="25">
        <f>IF(Y417="","",COUNTIFS($A$3:$A$1002,"="&amp;SUBSTITUTE(SUBSTITUTE(SUBSTITUTE(A417,"~","~~"),"*","~*"),"?","~?"),$Q$3:$Q$1002,1)*10000-Y417)</f>
        <v/>
      </c>
    </row>
    <row r="418">
      <c r="A418">
        <f>IF(A$2=0,"",IFERROR(TRIM(INDEX('Pegar docentes'!$A$1:$BZ$1001,417,A$2)&amp;""),""))</f>
        <v/>
      </c>
      <c r="B418">
        <f>IF(B$2=0,"",IFERROR(TRIM(INDEX('Pegar docentes'!$A$1:$BZ$1001,417,B$2)&amp;""),""))</f>
        <v/>
      </c>
      <c r="C418">
        <f>IF(C$2=0,"",IFERROR(TRIM(INDEX('Pegar docentes'!$A$1:$BZ$1001,417,C$2)&amp;""),""))</f>
        <v/>
      </c>
      <c r="D418">
        <f>IF(D$2=0,"",IFERROR(TRIM(INDEX('Pegar docentes'!$A$1:$BZ$1001,417,D$2)&amp;""),""))</f>
        <v/>
      </c>
      <c r="E418">
        <f>IF(E$2=0,"",IFERROR(TRIM(INDEX('Pegar docentes'!$A$1:$BZ$1001,417,E$2)&amp;""),""))</f>
        <v/>
      </c>
      <c r="F418">
        <f>IF(F$2=0,"",IFERROR(TRIM(INDEX('Pegar docentes'!$A$1:$BZ$1001,417,F$2)&amp;""),""))</f>
        <v/>
      </c>
      <c r="G418">
        <f>IF(G$2=0,"",IFERROR(TRIM(INDEX('Pegar docentes'!$A$1:$BZ$1001,417,G$2)&amp;""),""))</f>
        <v/>
      </c>
      <c r="H418">
        <f>IF(H$2=0,"",IFERROR(TRIM(INDEX('Pegar docentes'!$A$1:$BZ$1001,417,H$2)&amp;""),""))</f>
        <v/>
      </c>
      <c r="I418">
        <f>IF(I$2=0,"",IFERROR(TRIM(INDEX('Pegar docentes'!$A$1:$BZ$1001,417,I$2)&amp;""),""))</f>
        <v/>
      </c>
      <c r="J418">
        <f>IF(J$2=0,"",IFERROR(TRIM(INDEX('Pegar docentes'!$A$1:$BZ$1001,417,J$2)&amp;""),""))</f>
        <v/>
      </c>
      <c r="K418">
        <f>IF(K$2=0,"",IFERROR(TRIM(INDEX('Pegar docentes'!$A$1:$BZ$1001,417,K$2)&amp;""),""))</f>
        <v/>
      </c>
      <c r="L418">
        <f>IF(L$2=0,"",IFERROR(TRIM(INDEX('Pegar docentes'!$A$1:$BZ$1001,417,L$2)&amp;""),""))</f>
        <v/>
      </c>
      <c r="M418">
        <f>IF(M$2=0,"",IFERROR(TRIM(INDEX('Pegar docentes'!$A$1:$BZ$1001,417,M$2)&amp;""),""))</f>
        <v/>
      </c>
      <c r="N418">
        <f>IF(N$2=0,"",IFERROR(TRIM(INDEX('Pegar docentes'!$A$1:$BZ$1001,417,N$2)&amp;""),""))</f>
        <v/>
      </c>
      <c r="O418">
        <f>IF(O$2=0,"",IFERROR(TRIM(INDEX('Pegar docentes'!$A$1:$BZ$1001,417,O$2)&amp;""),""))</f>
        <v/>
      </c>
      <c r="P418">
        <f>IF(P$2=0,"",IFERROR(TRIM(INDEX('Pegar docentes'!$A$1:$BZ$1001,417,P$2)&amp;""),""))</f>
        <v/>
      </c>
      <c r="Q418" s="25">
        <f>IF(OR(D418&lt;&gt;"",H418&lt;&gt;""),1,"")</f>
        <v/>
      </c>
      <c r="R418" s="25">
        <f>IF(Q418=1,IF(ISNUMBER(FIND("#"&amp;MID(D418,1,1)&amp;"#","#0#1#2#3#4#5#6#7#8#9#")),IF(ISNUMBER(FIND("#"&amp;MID(D418,2,1)&amp;"#","#0#1#2#3#4#5#6#7#8#9#")),IF(AND(VALUE(LEFT(D418,2))&gt;=1,VALUE(LEFT(D418,2))&lt;=5),VALUE(LEFT(D418,2)),""),IF(AND(VALUE(LEFT(D418,1))&gt;=1,VALUE(LEFT(D418,1))&lt;=5),VALUE(LEFT(D418,1)),"")),""),"")</f>
        <v/>
      </c>
      <c r="S418" s="25">
        <f>IF(AND(Q418=1,E418&lt;&gt;""),SUBSTITUTE(SUBSTITUTE(SUBSTITUTE(SUBSTITUTE(SUBSTITUTE(SUBSTITUTE(SUBSTITUTE(SUBSTITUTE(SUBSTITUTE(SUBSTITUTE(SUBSTITUTE(SUBSTITUTE(LOWER(TRIM(E418)),"á","a"),"é","e"),"í","i"),"ó","o"),"ú","u"),"ü","u"),"ñ","n"),"à","a"),"è","e"),"ì","i"),"ò","o"),"ù","u"),"")</f>
        <v/>
      </c>
      <c r="T418" s="25">
        <f>IF(AND(Q418=1,G418&lt;&gt;""),SUBSTITUTE(SUBSTITUTE(SUBSTITUTE(SUBSTITUTE(SUBSTITUTE(SUBSTITUTE(SUBSTITUTE(SUBSTITUTE(SUBSTITUTE(SUBSTITUTE(SUBSTITUTE(SUBSTITUTE(LOWER(TRIM(G418)),"á","a"),"é","e"),"í","i"),"ó","o"),"ú","u"),"ü","u"),"ñ","n"),"à","a"),"è","e"),"ì","i"),"ò","o"),"ù","u"),"")</f>
        <v/>
      </c>
      <c r="U418" s="25">
        <f>IF(AND(Q418=1,H418&lt;&gt;""),SUBSTITUTE(SUBSTITUTE(SUBSTITUTE(SUBSTITUTE(SUBSTITUTE(SUBSTITUTE(SUBSTITUTE(SUBSTITUTE(SUBSTITUTE(SUBSTITUTE(SUBSTITUTE(SUBSTITUTE(LOWER(TRIM(H418)),"á","a"),"é","e"),"í","i"),"ó","o"),"ú","u"),"ü","u"),"ñ","n"),"à","a"),"è","e"),"ì","i"),"ò","o"),"ù","u"),"")</f>
        <v/>
      </c>
      <c r="V418" s="25">
        <f>IF(AND(Q418=1,L418&lt;&gt;""),SUBSTITUTE(SUBSTITUTE(SUBSTITUTE(SUBSTITUTE(SUBSTITUTE(SUBSTITUTE(SUBSTITUTE(SUBSTITUTE(SUBSTITUTE(SUBSTITUTE(SUBSTITUTE(SUBSTITUTE(LOWER(TRIM(L418)),"á","a"),"é","e"),"í","i"),"ó","o"),"ú","u"),"ü","u"),"ñ","n"),"à","a"),"è","e"),"ì","i"),"ò","o"),"ù","u"),"")</f>
        <v/>
      </c>
      <c r="W418" s="25">
        <f>IF(AND(Q418=1,I418&lt;&gt;""),SUBSTITUTE(SUBSTITUTE(SUBSTITUTE(SUBSTITUTE(SUBSTITUTE(SUBSTITUTE(SUBSTITUTE(SUBSTITUTE(SUBSTITUTE(SUBSTITUTE(SUBSTITUTE(SUBSTITUTE(LOWER(TRIM(I418)),"á","a"),"é","e"),"í","i"),"ó","o"),"ú","u"),"ü","u"),"ñ","n"),"à","a"),"è","e"),"ì","i"),"ò","o"),"ù","u"),"")</f>
        <v/>
      </c>
      <c r="X418" s="25">
        <f>IF(U418="","",IF(OR(U418="si, en la proxima tarea",U418="si, con cambios"),1,0))</f>
        <v/>
      </c>
      <c r="Y418" s="25">
        <f>IF(AND(Q418=1,A418&lt;&gt;""),IF(IFERROR(COUNTIFS(A$3:A418,"="&amp;SUBSTITUTE(SUBSTITUTE(SUBSTITUTE(A418,"~","~~"),"*","~*"),"?","~?"),Q$3:Q418,1),0)=1,MAX(Y$2:Y417)+1,""),"")</f>
        <v/>
      </c>
      <c r="Z418" s="25">
        <f>IF(Y418="","",COUNTIFS($A$3:$A$1002,"="&amp;SUBSTITUTE(SUBSTITUTE(SUBSTITUTE(A418,"~","~~"),"*","~*"),"?","~?"),$Q$3:$Q$1002,1)*10000-Y418)</f>
        <v/>
      </c>
    </row>
    <row r="419">
      <c r="A419">
        <f>IF(A$2=0,"",IFERROR(TRIM(INDEX('Pegar docentes'!$A$1:$BZ$1001,418,A$2)&amp;""),""))</f>
        <v/>
      </c>
      <c r="B419">
        <f>IF(B$2=0,"",IFERROR(TRIM(INDEX('Pegar docentes'!$A$1:$BZ$1001,418,B$2)&amp;""),""))</f>
        <v/>
      </c>
      <c r="C419">
        <f>IF(C$2=0,"",IFERROR(TRIM(INDEX('Pegar docentes'!$A$1:$BZ$1001,418,C$2)&amp;""),""))</f>
        <v/>
      </c>
      <c r="D419">
        <f>IF(D$2=0,"",IFERROR(TRIM(INDEX('Pegar docentes'!$A$1:$BZ$1001,418,D$2)&amp;""),""))</f>
        <v/>
      </c>
      <c r="E419">
        <f>IF(E$2=0,"",IFERROR(TRIM(INDEX('Pegar docentes'!$A$1:$BZ$1001,418,E$2)&amp;""),""))</f>
        <v/>
      </c>
      <c r="F419">
        <f>IF(F$2=0,"",IFERROR(TRIM(INDEX('Pegar docentes'!$A$1:$BZ$1001,418,F$2)&amp;""),""))</f>
        <v/>
      </c>
      <c r="G419">
        <f>IF(G$2=0,"",IFERROR(TRIM(INDEX('Pegar docentes'!$A$1:$BZ$1001,418,G$2)&amp;""),""))</f>
        <v/>
      </c>
      <c r="H419">
        <f>IF(H$2=0,"",IFERROR(TRIM(INDEX('Pegar docentes'!$A$1:$BZ$1001,418,H$2)&amp;""),""))</f>
        <v/>
      </c>
      <c r="I419">
        <f>IF(I$2=0,"",IFERROR(TRIM(INDEX('Pegar docentes'!$A$1:$BZ$1001,418,I$2)&amp;""),""))</f>
        <v/>
      </c>
      <c r="J419">
        <f>IF(J$2=0,"",IFERROR(TRIM(INDEX('Pegar docentes'!$A$1:$BZ$1001,418,J$2)&amp;""),""))</f>
        <v/>
      </c>
      <c r="K419">
        <f>IF(K$2=0,"",IFERROR(TRIM(INDEX('Pegar docentes'!$A$1:$BZ$1001,418,K$2)&amp;""),""))</f>
        <v/>
      </c>
      <c r="L419">
        <f>IF(L$2=0,"",IFERROR(TRIM(INDEX('Pegar docentes'!$A$1:$BZ$1001,418,L$2)&amp;""),""))</f>
        <v/>
      </c>
      <c r="M419">
        <f>IF(M$2=0,"",IFERROR(TRIM(INDEX('Pegar docentes'!$A$1:$BZ$1001,418,M$2)&amp;""),""))</f>
        <v/>
      </c>
      <c r="N419">
        <f>IF(N$2=0,"",IFERROR(TRIM(INDEX('Pegar docentes'!$A$1:$BZ$1001,418,N$2)&amp;""),""))</f>
        <v/>
      </c>
      <c r="O419">
        <f>IF(O$2=0,"",IFERROR(TRIM(INDEX('Pegar docentes'!$A$1:$BZ$1001,418,O$2)&amp;""),""))</f>
        <v/>
      </c>
      <c r="P419">
        <f>IF(P$2=0,"",IFERROR(TRIM(INDEX('Pegar docentes'!$A$1:$BZ$1001,418,P$2)&amp;""),""))</f>
        <v/>
      </c>
      <c r="Q419" s="25">
        <f>IF(OR(D419&lt;&gt;"",H419&lt;&gt;""),1,"")</f>
        <v/>
      </c>
      <c r="R419" s="25">
        <f>IF(Q419=1,IF(ISNUMBER(FIND("#"&amp;MID(D419,1,1)&amp;"#","#0#1#2#3#4#5#6#7#8#9#")),IF(ISNUMBER(FIND("#"&amp;MID(D419,2,1)&amp;"#","#0#1#2#3#4#5#6#7#8#9#")),IF(AND(VALUE(LEFT(D419,2))&gt;=1,VALUE(LEFT(D419,2))&lt;=5),VALUE(LEFT(D419,2)),""),IF(AND(VALUE(LEFT(D419,1))&gt;=1,VALUE(LEFT(D419,1))&lt;=5),VALUE(LEFT(D419,1)),"")),""),"")</f>
        <v/>
      </c>
      <c r="S419" s="25">
        <f>IF(AND(Q419=1,E419&lt;&gt;""),SUBSTITUTE(SUBSTITUTE(SUBSTITUTE(SUBSTITUTE(SUBSTITUTE(SUBSTITUTE(SUBSTITUTE(SUBSTITUTE(SUBSTITUTE(SUBSTITUTE(SUBSTITUTE(SUBSTITUTE(LOWER(TRIM(E419)),"á","a"),"é","e"),"í","i"),"ó","o"),"ú","u"),"ü","u"),"ñ","n"),"à","a"),"è","e"),"ì","i"),"ò","o"),"ù","u"),"")</f>
        <v/>
      </c>
      <c r="T419" s="25">
        <f>IF(AND(Q419=1,G419&lt;&gt;""),SUBSTITUTE(SUBSTITUTE(SUBSTITUTE(SUBSTITUTE(SUBSTITUTE(SUBSTITUTE(SUBSTITUTE(SUBSTITUTE(SUBSTITUTE(SUBSTITUTE(SUBSTITUTE(SUBSTITUTE(LOWER(TRIM(G419)),"á","a"),"é","e"),"í","i"),"ó","o"),"ú","u"),"ü","u"),"ñ","n"),"à","a"),"è","e"),"ì","i"),"ò","o"),"ù","u"),"")</f>
        <v/>
      </c>
      <c r="U419" s="25">
        <f>IF(AND(Q419=1,H419&lt;&gt;""),SUBSTITUTE(SUBSTITUTE(SUBSTITUTE(SUBSTITUTE(SUBSTITUTE(SUBSTITUTE(SUBSTITUTE(SUBSTITUTE(SUBSTITUTE(SUBSTITUTE(SUBSTITUTE(SUBSTITUTE(LOWER(TRIM(H419)),"á","a"),"é","e"),"í","i"),"ó","o"),"ú","u"),"ü","u"),"ñ","n"),"à","a"),"è","e"),"ì","i"),"ò","o"),"ù","u"),"")</f>
        <v/>
      </c>
      <c r="V419" s="25">
        <f>IF(AND(Q419=1,L419&lt;&gt;""),SUBSTITUTE(SUBSTITUTE(SUBSTITUTE(SUBSTITUTE(SUBSTITUTE(SUBSTITUTE(SUBSTITUTE(SUBSTITUTE(SUBSTITUTE(SUBSTITUTE(SUBSTITUTE(SUBSTITUTE(LOWER(TRIM(L419)),"á","a"),"é","e"),"í","i"),"ó","o"),"ú","u"),"ü","u"),"ñ","n"),"à","a"),"è","e"),"ì","i"),"ò","o"),"ù","u"),"")</f>
        <v/>
      </c>
      <c r="W419" s="25">
        <f>IF(AND(Q419=1,I419&lt;&gt;""),SUBSTITUTE(SUBSTITUTE(SUBSTITUTE(SUBSTITUTE(SUBSTITUTE(SUBSTITUTE(SUBSTITUTE(SUBSTITUTE(SUBSTITUTE(SUBSTITUTE(SUBSTITUTE(SUBSTITUTE(LOWER(TRIM(I419)),"á","a"),"é","e"),"í","i"),"ó","o"),"ú","u"),"ü","u"),"ñ","n"),"à","a"),"è","e"),"ì","i"),"ò","o"),"ù","u"),"")</f>
        <v/>
      </c>
      <c r="X419" s="25">
        <f>IF(U419="","",IF(OR(U419="si, en la proxima tarea",U419="si, con cambios"),1,0))</f>
        <v/>
      </c>
      <c r="Y419" s="25">
        <f>IF(AND(Q419=1,A419&lt;&gt;""),IF(IFERROR(COUNTIFS(A$3:A419,"="&amp;SUBSTITUTE(SUBSTITUTE(SUBSTITUTE(A419,"~","~~"),"*","~*"),"?","~?"),Q$3:Q419,1),0)=1,MAX(Y$2:Y418)+1,""),"")</f>
        <v/>
      </c>
      <c r="Z419" s="25">
        <f>IF(Y419="","",COUNTIFS($A$3:$A$1002,"="&amp;SUBSTITUTE(SUBSTITUTE(SUBSTITUTE(A419,"~","~~"),"*","~*"),"?","~?"),$Q$3:$Q$1002,1)*10000-Y419)</f>
        <v/>
      </c>
    </row>
    <row r="420">
      <c r="A420">
        <f>IF(A$2=0,"",IFERROR(TRIM(INDEX('Pegar docentes'!$A$1:$BZ$1001,419,A$2)&amp;""),""))</f>
        <v/>
      </c>
      <c r="B420">
        <f>IF(B$2=0,"",IFERROR(TRIM(INDEX('Pegar docentes'!$A$1:$BZ$1001,419,B$2)&amp;""),""))</f>
        <v/>
      </c>
      <c r="C420">
        <f>IF(C$2=0,"",IFERROR(TRIM(INDEX('Pegar docentes'!$A$1:$BZ$1001,419,C$2)&amp;""),""))</f>
        <v/>
      </c>
      <c r="D420">
        <f>IF(D$2=0,"",IFERROR(TRIM(INDEX('Pegar docentes'!$A$1:$BZ$1001,419,D$2)&amp;""),""))</f>
        <v/>
      </c>
      <c r="E420">
        <f>IF(E$2=0,"",IFERROR(TRIM(INDEX('Pegar docentes'!$A$1:$BZ$1001,419,E$2)&amp;""),""))</f>
        <v/>
      </c>
      <c r="F420">
        <f>IF(F$2=0,"",IFERROR(TRIM(INDEX('Pegar docentes'!$A$1:$BZ$1001,419,F$2)&amp;""),""))</f>
        <v/>
      </c>
      <c r="G420">
        <f>IF(G$2=0,"",IFERROR(TRIM(INDEX('Pegar docentes'!$A$1:$BZ$1001,419,G$2)&amp;""),""))</f>
        <v/>
      </c>
      <c r="H420">
        <f>IF(H$2=0,"",IFERROR(TRIM(INDEX('Pegar docentes'!$A$1:$BZ$1001,419,H$2)&amp;""),""))</f>
        <v/>
      </c>
      <c r="I420">
        <f>IF(I$2=0,"",IFERROR(TRIM(INDEX('Pegar docentes'!$A$1:$BZ$1001,419,I$2)&amp;""),""))</f>
        <v/>
      </c>
      <c r="J420">
        <f>IF(J$2=0,"",IFERROR(TRIM(INDEX('Pegar docentes'!$A$1:$BZ$1001,419,J$2)&amp;""),""))</f>
        <v/>
      </c>
      <c r="K420">
        <f>IF(K$2=0,"",IFERROR(TRIM(INDEX('Pegar docentes'!$A$1:$BZ$1001,419,K$2)&amp;""),""))</f>
        <v/>
      </c>
      <c r="L420">
        <f>IF(L$2=0,"",IFERROR(TRIM(INDEX('Pegar docentes'!$A$1:$BZ$1001,419,L$2)&amp;""),""))</f>
        <v/>
      </c>
      <c r="M420">
        <f>IF(M$2=0,"",IFERROR(TRIM(INDEX('Pegar docentes'!$A$1:$BZ$1001,419,M$2)&amp;""),""))</f>
        <v/>
      </c>
      <c r="N420">
        <f>IF(N$2=0,"",IFERROR(TRIM(INDEX('Pegar docentes'!$A$1:$BZ$1001,419,N$2)&amp;""),""))</f>
        <v/>
      </c>
      <c r="O420">
        <f>IF(O$2=0,"",IFERROR(TRIM(INDEX('Pegar docentes'!$A$1:$BZ$1001,419,O$2)&amp;""),""))</f>
        <v/>
      </c>
      <c r="P420">
        <f>IF(P$2=0,"",IFERROR(TRIM(INDEX('Pegar docentes'!$A$1:$BZ$1001,419,P$2)&amp;""),""))</f>
        <v/>
      </c>
      <c r="Q420" s="25">
        <f>IF(OR(D420&lt;&gt;"",H420&lt;&gt;""),1,"")</f>
        <v/>
      </c>
      <c r="R420" s="25">
        <f>IF(Q420=1,IF(ISNUMBER(FIND("#"&amp;MID(D420,1,1)&amp;"#","#0#1#2#3#4#5#6#7#8#9#")),IF(ISNUMBER(FIND("#"&amp;MID(D420,2,1)&amp;"#","#0#1#2#3#4#5#6#7#8#9#")),IF(AND(VALUE(LEFT(D420,2))&gt;=1,VALUE(LEFT(D420,2))&lt;=5),VALUE(LEFT(D420,2)),""),IF(AND(VALUE(LEFT(D420,1))&gt;=1,VALUE(LEFT(D420,1))&lt;=5),VALUE(LEFT(D420,1)),"")),""),"")</f>
        <v/>
      </c>
      <c r="S420" s="25">
        <f>IF(AND(Q420=1,E420&lt;&gt;""),SUBSTITUTE(SUBSTITUTE(SUBSTITUTE(SUBSTITUTE(SUBSTITUTE(SUBSTITUTE(SUBSTITUTE(SUBSTITUTE(SUBSTITUTE(SUBSTITUTE(SUBSTITUTE(SUBSTITUTE(LOWER(TRIM(E420)),"á","a"),"é","e"),"í","i"),"ó","o"),"ú","u"),"ü","u"),"ñ","n"),"à","a"),"è","e"),"ì","i"),"ò","o"),"ù","u"),"")</f>
        <v/>
      </c>
      <c r="T420" s="25">
        <f>IF(AND(Q420=1,G420&lt;&gt;""),SUBSTITUTE(SUBSTITUTE(SUBSTITUTE(SUBSTITUTE(SUBSTITUTE(SUBSTITUTE(SUBSTITUTE(SUBSTITUTE(SUBSTITUTE(SUBSTITUTE(SUBSTITUTE(SUBSTITUTE(LOWER(TRIM(G420)),"á","a"),"é","e"),"í","i"),"ó","o"),"ú","u"),"ü","u"),"ñ","n"),"à","a"),"è","e"),"ì","i"),"ò","o"),"ù","u"),"")</f>
        <v/>
      </c>
      <c r="U420" s="25">
        <f>IF(AND(Q420=1,H420&lt;&gt;""),SUBSTITUTE(SUBSTITUTE(SUBSTITUTE(SUBSTITUTE(SUBSTITUTE(SUBSTITUTE(SUBSTITUTE(SUBSTITUTE(SUBSTITUTE(SUBSTITUTE(SUBSTITUTE(SUBSTITUTE(LOWER(TRIM(H420)),"á","a"),"é","e"),"í","i"),"ó","o"),"ú","u"),"ü","u"),"ñ","n"),"à","a"),"è","e"),"ì","i"),"ò","o"),"ù","u"),"")</f>
        <v/>
      </c>
      <c r="V420" s="25">
        <f>IF(AND(Q420=1,L420&lt;&gt;""),SUBSTITUTE(SUBSTITUTE(SUBSTITUTE(SUBSTITUTE(SUBSTITUTE(SUBSTITUTE(SUBSTITUTE(SUBSTITUTE(SUBSTITUTE(SUBSTITUTE(SUBSTITUTE(SUBSTITUTE(LOWER(TRIM(L420)),"á","a"),"é","e"),"í","i"),"ó","o"),"ú","u"),"ü","u"),"ñ","n"),"à","a"),"è","e"),"ì","i"),"ò","o"),"ù","u"),"")</f>
        <v/>
      </c>
      <c r="W420" s="25">
        <f>IF(AND(Q420=1,I420&lt;&gt;""),SUBSTITUTE(SUBSTITUTE(SUBSTITUTE(SUBSTITUTE(SUBSTITUTE(SUBSTITUTE(SUBSTITUTE(SUBSTITUTE(SUBSTITUTE(SUBSTITUTE(SUBSTITUTE(SUBSTITUTE(LOWER(TRIM(I420)),"á","a"),"é","e"),"í","i"),"ó","o"),"ú","u"),"ü","u"),"ñ","n"),"à","a"),"è","e"),"ì","i"),"ò","o"),"ù","u"),"")</f>
        <v/>
      </c>
      <c r="X420" s="25">
        <f>IF(U420="","",IF(OR(U420="si, en la proxima tarea",U420="si, con cambios"),1,0))</f>
        <v/>
      </c>
      <c r="Y420" s="25">
        <f>IF(AND(Q420=1,A420&lt;&gt;""),IF(IFERROR(COUNTIFS(A$3:A420,"="&amp;SUBSTITUTE(SUBSTITUTE(SUBSTITUTE(A420,"~","~~"),"*","~*"),"?","~?"),Q$3:Q420,1),0)=1,MAX(Y$2:Y419)+1,""),"")</f>
        <v/>
      </c>
      <c r="Z420" s="25">
        <f>IF(Y420="","",COUNTIFS($A$3:$A$1002,"="&amp;SUBSTITUTE(SUBSTITUTE(SUBSTITUTE(A420,"~","~~"),"*","~*"),"?","~?"),$Q$3:$Q$1002,1)*10000-Y420)</f>
        <v/>
      </c>
    </row>
    <row r="421">
      <c r="A421">
        <f>IF(A$2=0,"",IFERROR(TRIM(INDEX('Pegar docentes'!$A$1:$BZ$1001,420,A$2)&amp;""),""))</f>
        <v/>
      </c>
      <c r="B421">
        <f>IF(B$2=0,"",IFERROR(TRIM(INDEX('Pegar docentes'!$A$1:$BZ$1001,420,B$2)&amp;""),""))</f>
        <v/>
      </c>
      <c r="C421">
        <f>IF(C$2=0,"",IFERROR(TRIM(INDEX('Pegar docentes'!$A$1:$BZ$1001,420,C$2)&amp;""),""))</f>
        <v/>
      </c>
      <c r="D421">
        <f>IF(D$2=0,"",IFERROR(TRIM(INDEX('Pegar docentes'!$A$1:$BZ$1001,420,D$2)&amp;""),""))</f>
        <v/>
      </c>
      <c r="E421">
        <f>IF(E$2=0,"",IFERROR(TRIM(INDEX('Pegar docentes'!$A$1:$BZ$1001,420,E$2)&amp;""),""))</f>
        <v/>
      </c>
      <c r="F421">
        <f>IF(F$2=0,"",IFERROR(TRIM(INDEX('Pegar docentes'!$A$1:$BZ$1001,420,F$2)&amp;""),""))</f>
        <v/>
      </c>
      <c r="G421">
        <f>IF(G$2=0,"",IFERROR(TRIM(INDEX('Pegar docentes'!$A$1:$BZ$1001,420,G$2)&amp;""),""))</f>
        <v/>
      </c>
      <c r="H421">
        <f>IF(H$2=0,"",IFERROR(TRIM(INDEX('Pegar docentes'!$A$1:$BZ$1001,420,H$2)&amp;""),""))</f>
        <v/>
      </c>
      <c r="I421">
        <f>IF(I$2=0,"",IFERROR(TRIM(INDEX('Pegar docentes'!$A$1:$BZ$1001,420,I$2)&amp;""),""))</f>
        <v/>
      </c>
      <c r="J421">
        <f>IF(J$2=0,"",IFERROR(TRIM(INDEX('Pegar docentes'!$A$1:$BZ$1001,420,J$2)&amp;""),""))</f>
        <v/>
      </c>
      <c r="K421">
        <f>IF(K$2=0,"",IFERROR(TRIM(INDEX('Pegar docentes'!$A$1:$BZ$1001,420,K$2)&amp;""),""))</f>
        <v/>
      </c>
      <c r="L421">
        <f>IF(L$2=0,"",IFERROR(TRIM(INDEX('Pegar docentes'!$A$1:$BZ$1001,420,L$2)&amp;""),""))</f>
        <v/>
      </c>
      <c r="M421">
        <f>IF(M$2=0,"",IFERROR(TRIM(INDEX('Pegar docentes'!$A$1:$BZ$1001,420,M$2)&amp;""),""))</f>
        <v/>
      </c>
      <c r="N421">
        <f>IF(N$2=0,"",IFERROR(TRIM(INDEX('Pegar docentes'!$A$1:$BZ$1001,420,N$2)&amp;""),""))</f>
        <v/>
      </c>
      <c r="O421">
        <f>IF(O$2=0,"",IFERROR(TRIM(INDEX('Pegar docentes'!$A$1:$BZ$1001,420,O$2)&amp;""),""))</f>
        <v/>
      </c>
      <c r="P421">
        <f>IF(P$2=0,"",IFERROR(TRIM(INDEX('Pegar docentes'!$A$1:$BZ$1001,420,P$2)&amp;""),""))</f>
        <v/>
      </c>
      <c r="Q421" s="25">
        <f>IF(OR(D421&lt;&gt;"",H421&lt;&gt;""),1,"")</f>
        <v/>
      </c>
      <c r="R421" s="25">
        <f>IF(Q421=1,IF(ISNUMBER(FIND("#"&amp;MID(D421,1,1)&amp;"#","#0#1#2#3#4#5#6#7#8#9#")),IF(ISNUMBER(FIND("#"&amp;MID(D421,2,1)&amp;"#","#0#1#2#3#4#5#6#7#8#9#")),IF(AND(VALUE(LEFT(D421,2))&gt;=1,VALUE(LEFT(D421,2))&lt;=5),VALUE(LEFT(D421,2)),""),IF(AND(VALUE(LEFT(D421,1))&gt;=1,VALUE(LEFT(D421,1))&lt;=5),VALUE(LEFT(D421,1)),"")),""),"")</f>
        <v/>
      </c>
      <c r="S421" s="25">
        <f>IF(AND(Q421=1,E421&lt;&gt;""),SUBSTITUTE(SUBSTITUTE(SUBSTITUTE(SUBSTITUTE(SUBSTITUTE(SUBSTITUTE(SUBSTITUTE(SUBSTITUTE(SUBSTITUTE(SUBSTITUTE(SUBSTITUTE(SUBSTITUTE(LOWER(TRIM(E421)),"á","a"),"é","e"),"í","i"),"ó","o"),"ú","u"),"ü","u"),"ñ","n"),"à","a"),"è","e"),"ì","i"),"ò","o"),"ù","u"),"")</f>
        <v/>
      </c>
      <c r="T421" s="25">
        <f>IF(AND(Q421=1,G421&lt;&gt;""),SUBSTITUTE(SUBSTITUTE(SUBSTITUTE(SUBSTITUTE(SUBSTITUTE(SUBSTITUTE(SUBSTITUTE(SUBSTITUTE(SUBSTITUTE(SUBSTITUTE(SUBSTITUTE(SUBSTITUTE(LOWER(TRIM(G421)),"á","a"),"é","e"),"í","i"),"ó","o"),"ú","u"),"ü","u"),"ñ","n"),"à","a"),"è","e"),"ì","i"),"ò","o"),"ù","u"),"")</f>
        <v/>
      </c>
      <c r="U421" s="25">
        <f>IF(AND(Q421=1,H421&lt;&gt;""),SUBSTITUTE(SUBSTITUTE(SUBSTITUTE(SUBSTITUTE(SUBSTITUTE(SUBSTITUTE(SUBSTITUTE(SUBSTITUTE(SUBSTITUTE(SUBSTITUTE(SUBSTITUTE(SUBSTITUTE(LOWER(TRIM(H421)),"á","a"),"é","e"),"í","i"),"ó","o"),"ú","u"),"ü","u"),"ñ","n"),"à","a"),"è","e"),"ì","i"),"ò","o"),"ù","u"),"")</f>
        <v/>
      </c>
      <c r="V421" s="25">
        <f>IF(AND(Q421=1,L421&lt;&gt;""),SUBSTITUTE(SUBSTITUTE(SUBSTITUTE(SUBSTITUTE(SUBSTITUTE(SUBSTITUTE(SUBSTITUTE(SUBSTITUTE(SUBSTITUTE(SUBSTITUTE(SUBSTITUTE(SUBSTITUTE(LOWER(TRIM(L421)),"á","a"),"é","e"),"í","i"),"ó","o"),"ú","u"),"ü","u"),"ñ","n"),"à","a"),"è","e"),"ì","i"),"ò","o"),"ù","u"),"")</f>
        <v/>
      </c>
      <c r="W421" s="25">
        <f>IF(AND(Q421=1,I421&lt;&gt;""),SUBSTITUTE(SUBSTITUTE(SUBSTITUTE(SUBSTITUTE(SUBSTITUTE(SUBSTITUTE(SUBSTITUTE(SUBSTITUTE(SUBSTITUTE(SUBSTITUTE(SUBSTITUTE(SUBSTITUTE(LOWER(TRIM(I421)),"á","a"),"é","e"),"í","i"),"ó","o"),"ú","u"),"ü","u"),"ñ","n"),"à","a"),"è","e"),"ì","i"),"ò","o"),"ù","u"),"")</f>
        <v/>
      </c>
      <c r="X421" s="25">
        <f>IF(U421="","",IF(OR(U421="si, en la proxima tarea",U421="si, con cambios"),1,0))</f>
        <v/>
      </c>
      <c r="Y421" s="25">
        <f>IF(AND(Q421=1,A421&lt;&gt;""),IF(IFERROR(COUNTIFS(A$3:A421,"="&amp;SUBSTITUTE(SUBSTITUTE(SUBSTITUTE(A421,"~","~~"),"*","~*"),"?","~?"),Q$3:Q421,1),0)=1,MAX(Y$2:Y420)+1,""),"")</f>
        <v/>
      </c>
      <c r="Z421" s="25">
        <f>IF(Y421="","",COUNTIFS($A$3:$A$1002,"="&amp;SUBSTITUTE(SUBSTITUTE(SUBSTITUTE(A421,"~","~~"),"*","~*"),"?","~?"),$Q$3:$Q$1002,1)*10000-Y421)</f>
        <v/>
      </c>
    </row>
    <row r="422">
      <c r="A422">
        <f>IF(A$2=0,"",IFERROR(TRIM(INDEX('Pegar docentes'!$A$1:$BZ$1001,421,A$2)&amp;""),""))</f>
        <v/>
      </c>
      <c r="B422">
        <f>IF(B$2=0,"",IFERROR(TRIM(INDEX('Pegar docentes'!$A$1:$BZ$1001,421,B$2)&amp;""),""))</f>
        <v/>
      </c>
      <c r="C422">
        <f>IF(C$2=0,"",IFERROR(TRIM(INDEX('Pegar docentes'!$A$1:$BZ$1001,421,C$2)&amp;""),""))</f>
        <v/>
      </c>
      <c r="D422">
        <f>IF(D$2=0,"",IFERROR(TRIM(INDEX('Pegar docentes'!$A$1:$BZ$1001,421,D$2)&amp;""),""))</f>
        <v/>
      </c>
      <c r="E422">
        <f>IF(E$2=0,"",IFERROR(TRIM(INDEX('Pegar docentes'!$A$1:$BZ$1001,421,E$2)&amp;""),""))</f>
        <v/>
      </c>
      <c r="F422">
        <f>IF(F$2=0,"",IFERROR(TRIM(INDEX('Pegar docentes'!$A$1:$BZ$1001,421,F$2)&amp;""),""))</f>
        <v/>
      </c>
      <c r="G422">
        <f>IF(G$2=0,"",IFERROR(TRIM(INDEX('Pegar docentes'!$A$1:$BZ$1001,421,G$2)&amp;""),""))</f>
        <v/>
      </c>
      <c r="H422">
        <f>IF(H$2=0,"",IFERROR(TRIM(INDEX('Pegar docentes'!$A$1:$BZ$1001,421,H$2)&amp;""),""))</f>
        <v/>
      </c>
      <c r="I422">
        <f>IF(I$2=0,"",IFERROR(TRIM(INDEX('Pegar docentes'!$A$1:$BZ$1001,421,I$2)&amp;""),""))</f>
        <v/>
      </c>
      <c r="J422">
        <f>IF(J$2=0,"",IFERROR(TRIM(INDEX('Pegar docentes'!$A$1:$BZ$1001,421,J$2)&amp;""),""))</f>
        <v/>
      </c>
      <c r="K422">
        <f>IF(K$2=0,"",IFERROR(TRIM(INDEX('Pegar docentes'!$A$1:$BZ$1001,421,K$2)&amp;""),""))</f>
        <v/>
      </c>
      <c r="L422">
        <f>IF(L$2=0,"",IFERROR(TRIM(INDEX('Pegar docentes'!$A$1:$BZ$1001,421,L$2)&amp;""),""))</f>
        <v/>
      </c>
      <c r="M422">
        <f>IF(M$2=0,"",IFERROR(TRIM(INDEX('Pegar docentes'!$A$1:$BZ$1001,421,M$2)&amp;""),""))</f>
        <v/>
      </c>
      <c r="N422">
        <f>IF(N$2=0,"",IFERROR(TRIM(INDEX('Pegar docentes'!$A$1:$BZ$1001,421,N$2)&amp;""),""))</f>
        <v/>
      </c>
      <c r="O422">
        <f>IF(O$2=0,"",IFERROR(TRIM(INDEX('Pegar docentes'!$A$1:$BZ$1001,421,O$2)&amp;""),""))</f>
        <v/>
      </c>
      <c r="P422">
        <f>IF(P$2=0,"",IFERROR(TRIM(INDEX('Pegar docentes'!$A$1:$BZ$1001,421,P$2)&amp;""),""))</f>
        <v/>
      </c>
      <c r="Q422" s="25">
        <f>IF(OR(D422&lt;&gt;"",H422&lt;&gt;""),1,"")</f>
        <v/>
      </c>
      <c r="R422" s="25">
        <f>IF(Q422=1,IF(ISNUMBER(FIND("#"&amp;MID(D422,1,1)&amp;"#","#0#1#2#3#4#5#6#7#8#9#")),IF(ISNUMBER(FIND("#"&amp;MID(D422,2,1)&amp;"#","#0#1#2#3#4#5#6#7#8#9#")),IF(AND(VALUE(LEFT(D422,2))&gt;=1,VALUE(LEFT(D422,2))&lt;=5),VALUE(LEFT(D422,2)),""),IF(AND(VALUE(LEFT(D422,1))&gt;=1,VALUE(LEFT(D422,1))&lt;=5),VALUE(LEFT(D422,1)),"")),""),"")</f>
        <v/>
      </c>
      <c r="S422" s="25">
        <f>IF(AND(Q422=1,E422&lt;&gt;""),SUBSTITUTE(SUBSTITUTE(SUBSTITUTE(SUBSTITUTE(SUBSTITUTE(SUBSTITUTE(SUBSTITUTE(SUBSTITUTE(SUBSTITUTE(SUBSTITUTE(SUBSTITUTE(SUBSTITUTE(LOWER(TRIM(E422)),"á","a"),"é","e"),"í","i"),"ó","o"),"ú","u"),"ü","u"),"ñ","n"),"à","a"),"è","e"),"ì","i"),"ò","o"),"ù","u"),"")</f>
        <v/>
      </c>
      <c r="T422" s="25">
        <f>IF(AND(Q422=1,G422&lt;&gt;""),SUBSTITUTE(SUBSTITUTE(SUBSTITUTE(SUBSTITUTE(SUBSTITUTE(SUBSTITUTE(SUBSTITUTE(SUBSTITUTE(SUBSTITUTE(SUBSTITUTE(SUBSTITUTE(SUBSTITUTE(LOWER(TRIM(G422)),"á","a"),"é","e"),"í","i"),"ó","o"),"ú","u"),"ü","u"),"ñ","n"),"à","a"),"è","e"),"ì","i"),"ò","o"),"ù","u"),"")</f>
        <v/>
      </c>
      <c r="U422" s="25">
        <f>IF(AND(Q422=1,H422&lt;&gt;""),SUBSTITUTE(SUBSTITUTE(SUBSTITUTE(SUBSTITUTE(SUBSTITUTE(SUBSTITUTE(SUBSTITUTE(SUBSTITUTE(SUBSTITUTE(SUBSTITUTE(SUBSTITUTE(SUBSTITUTE(LOWER(TRIM(H422)),"á","a"),"é","e"),"í","i"),"ó","o"),"ú","u"),"ü","u"),"ñ","n"),"à","a"),"è","e"),"ì","i"),"ò","o"),"ù","u"),"")</f>
        <v/>
      </c>
      <c r="V422" s="25">
        <f>IF(AND(Q422=1,L422&lt;&gt;""),SUBSTITUTE(SUBSTITUTE(SUBSTITUTE(SUBSTITUTE(SUBSTITUTE(SUBSTITUTE(SUBSTITUTE(SUBSTITUTE(SUBSTITUTE(SUBSTITUTE(SUBSTITUTE(SUBSTITUTE(LOWER(TRIM(L422)),"á","a"),"é","e"),"í","i"),"ó","o"),"ú","u"),"ü","u"),"ñ","n"),"à","a"),"è","e"),"ì","i"),"ò","o"),"ù","u"),"")</f>
        <v/>
      </c>
      <c r="W422" s="25">
        <f>IF(AND(Q422=1,I422&lt;&gt;""),SUBSTITUTE(SUBSTITUTE(SUBSTITUTE(SUBSTITUTE(SUBSTITUTE(SUBSTITUTE(SUBSTITUTE(SUBSTITUTE(SUBSTITUTE(SUBSTITUTE(SUBSTITUTE(SUBSTITUTE(LOWER(TRIM(I422)),"á","a"),"é","e"),"í","i"),"ó","o"),"ú","u"),"ü","u"),"ñ","n"),"à","a"),"è","e"),"ì","i"),"ò","o"),"ù","u"),"")</f>
        <v/>
      </c>
      <c r="X422" s="25">
        <f>IF(U422="","",IF(OR(U422="si, en la proxima tarea",U422="si, con cambios"),1,0))</f>
        <v/>
      </c>
      <c r="Y422" s="25">
        <f>IF(AND(Q422=1,A422&lt;&gt;""),IF(IFERROR(COUNTIFS(A$3:A422,"="&amp;SUBSTITUTE(SUBSTITUTE(SUBSTITUTE(A422,"~","~~"),"*","~*"),"?","~?"),Q$3:Q422,1),0)=1,MAX(Y$2:Y421)+1,""),"")</f>
        <v/>
      </c>
      <c r="Z422" s="25">
        <f>IF(Y422="","",COUNTIFS($A$3:$A$1002,"="&amp;SUBSTITUTE(SUBSTITUTE(SUBSTITUTE(A422,"~","~~"),"*","~*"),"?","~?"),$Q$3:$Q$1002,1)*10000-Y422)</f>
        <v/>
      </c>
    </row>
    <row r="423">
      <c r="A423">
        <f>IF(A$2=0,"",IFERROR(TRIM(INDEX('Pegar docentes'!$A$1:$BZ$1001,422,A$2)&amp;""),""))</f>
        <v/>
      </c>
      <c r="B423">
        <f>IF(B$2=0,"",IFERROR(TRIM(INDEX('Pegar docentes'!$A$1:$BZ$1001,422,B$2)&amp;""),""))</f>
        <v/>
      </c>
      <c r="C423">
        <f>IF(C$2=0,"",IFERROR(TRIM(INDEX('Pegar docentes'!$A$1:$BZ$1001,422,C$2)&amp;""),""))</f>
        <v/>
      </c>
      <c r="D423">
        <f>IF(D$2=0,"",IFERROR(TRIM(INDEX('Pegar docentes'!$A$1:$BZ$1001,422,D$2)&amp;""),""))</f>
        <v/>
      </c>
      <c r="E423">
        <f>IF(E$2=0,"",IFERROR(TRIM(INDEX('Pegar docentes'!$A$1:$BZ$1001,422,E$2)&amp;""),""))</f>
        <v/>
      </c>
      <c r="F423">
        <f>IF(F$2=0,"",IFERROR(TRIM(INDEX('Pegar docentes'!$A$1:$BZ$1001,422,F$2)&amp;""),""))</f>
        <v/>
      </c>
      <c r="G423">
        <f>IF(G$2=0,"",IFERROR(TRIM(INDEX('Pegar docentes'!$A$1:$BZ$1001,422,G$2)&amp;""),""))</f>
        <v/>
      </c>
      <c r="H423">
        <f>IF(H$2=0,"",IFERROR(TRIM(INDEX('Pegar docentes'!$A$1:$BZ$1001,422,H$2)&amp;""),""))</f>
        <v/>
      </c>
      <c r="I423">
        <f>IF(I$2=0,"",IFERROR(TRIM(INDEX('Pegar docentes'!$A$1:$BZ$1001,422,I$2)&amp;""),""))</f>
        <v/>
      </c>
      <c r="J423">
        <f>IF(J$2=0,"",IFERROR(TRIM(INDEX('Pegar docentes'!$A$1:$BZ$1001,422,J$2)&amp;""),""))</f>
        <v/>
      </c>
      <c r="K423">
        <f>IF(K$2=0,"",IFERROR(TRIM(INDEX('Pegar docentes'!$A$1:$BZ$1001,422,K$2)&amp;""),""))</f>
        <v/>
      </c>
      <c r="L423">
        <f>IF(L$2=0,"",IFERROR(TRIM(INDEX('Pegar docentes'!$A$1:$BZ$1001,422,L$2)&amp;""),""))</f>
        <v/>
      </c>
      <c r="M423">
        <f>IF(M$2=0,"",IFERROR(TRIM(INDEX('Pegar docentes'!$A$1:$BZ$1001,422,M$2)&amp;""),""))</f>
        <v/>
      </c>
      <c r="N423">
        <f>IF(N$2=0,"",IFERROR(TRIM(INDEX('Pegar docentes'!$A$1:$BZ$1001,422,N$2)&amp;""),""))</f>
        <v/>
      </c>
      <c r="O423">
        <f>IF(O$2=0,"",IFERROR(TRIM(INDEX('Pegar docentes'!$A$1:$BZ$1001,422,O$2)&amp;""),""))</f>
        <v/>
      </c>
      <c r="P423">
        <f>IF(P$2=0,"",IFERROR(TRIM(INDEX('Pegar docentes'!$A$1:$BZ$1001,422,P$2)&amp;""),""))</f>
        <v/>
      </c>
      <c r="Q423" s="25">
        <f>IF(OR(D423&lt;&gt;"",H423&lt;&gt;""),1,"")</f>
        <v/>
      </c>
      <c r="R423" s="25">
        <f>IF(Q423=1,IF(ISNUMBER(FIND("#"&amp;MID(D423,1,1)&amp;"#","#0#1#2#3#4#5#6#7#8#9#")),IF(ISNUMBER(FIND("#"&amp;MID(D423,2,1)&amp;"#","#0#1#2#3#4#5#6#7#8#9#")),IF(AND(VALUE(LEFT(D423,2))&gt;=1,VALUE(LEFT(D423,2))&lt;=5),VALUE(LEFT(D423,2)),""),IF(AND(VALUE(LEFT(D423,1))&gt;=1,VALUE(LEFT(D423,1))&lt;=5),VALUE(LEFT(D423,1)),"")),""),"")</f>
        <v/>
      </c>
      <c r="S423" s="25">
        <f>IF(AND(Q423=1,E423&lt;&gt;""),SUBSTITUTE(SUBSTITUTE(SUBSTITUTE(SUBSTITUTE(SUBSTITUTE(SUBSTITUTE(SUBSTITUTE(SUBSTITUTE(SUBSTITUTE(SUBSTITUTE(SUBSTITUTE(SUBSTITUTE(LOWER(TRIM(E423)),"á","a"),"é","e"),"í","i"),"ó","o"),"ú","u"),"ü","u"),"ñ","n"),"à","a"),"è","e"),"ì","i"),"ò","o"),"ù","u"),"")</f>
        <v/>
      </c>
      <c r="T423" s="25">
        <f>IF(AND(Q423=1,G423&lt;&gt;""),SUBSTITUTE(SUBSTITUTE(SUBSTITUTE(SUBSTITUTE(SUBSTITUTE(SUBSTITUTE(SUBSTITUTE(SUBSTITUTE(SUBSTITUTE(SUBSTITUTE(SUBSTITUTE(SUBSTITUTE(LOWER(TRIM(G423)),"á","a"),"é","e"),"í","i"),"ó","o"),"ú","u"),"ü","u"),"ñ","n"),"à","a"),"è","e"),"ì","i"),"ò","o"),"ù","u"),"")</f>
        <v/>
      </c>
      <c r="U423" s="25">
        <f>IF(AND(Q423=1,H423&lt;&gt;""),SUBSTITUTE(SUBSTITUTE(SUBSTITUTE(SUBSTITUTE(SUBSTITUTE(SUBSTITUTE(SUBSTITUTE(SUBSTITUTE(SUBSTITUTE(SUBSTITUTE(SUBSTITUTE(SUBSTITUTE(LOWER(TRIM(H423)),"á","a"),"é","e"),"í","i"),"ó","o"),"ú","u"),"ü","u"),"ñ","n"),"à","a"),"è","e"),"ì","i"),"ò","o"),"ù","u"),"")</f>
        <v/>
      </c>
      <c r="V423" s="25">
        <f>IF(AND(Q423=1,L423&lt;&gt;""),SUBSTITUTE(SUBSTITUTE(SUBSTITUTE(SUBSTITUTE(SUBSTITUTE(SUBSTITUTE(SUBSTITUTE(SUBSTITUTE(SUBSTITUTE(SUBSTITUTE(SUBSTITUTE(SUBSTITUTE(LOWER(TRIM(L423)),"á","a"),"é","e"),"í","i"),"ó","o"),"ú","u"),"ü","u"),"ñ","n"),"à","a"),"è","e"),"ì","i"),"ò","o"),"ù","u"),"")</f>
        <v/>
      </c>
      <c r="W423" s="25">
        <f>IF(AND(Q423=1,I423&lt;&gt;""),SUBSTITUTE(SUBSTITUTE(SUBSTITUTE(SUBSTITUTE(SUBSTITUTE(SUBSTITUTE(SUBSTITUTE(SUBSTITUTE(SUBSTITUTE(SUBSTITUTE(SUBSTITUTE(SUBSTITUTE(LOWER(TRIM(I423)),"á","a"),"é","e"),"í","i"),"ó","o"),"ú","u"),"ü","u"),"ñ","n"),"à","a"),"è","e"),"ì","i"),"ò","o"),"ù","u"),"")</f>
        <v/>
      </c>
      <c r="X423" s="25">
        <f>IF(U423="","",IF(OR(U423="si, en la proxima tarea",U423="si, con cambios"),1,0))</f>
        <v/>
      </c>
      <c r="Y423" s="25">
        <f>IF(AND(Q423=1,A423&lt;&gt;""),IF(IFERROR(COUNTIFS(A$3:A423,"="&amp;SUBSTITUTE(SUBSTITUTE(SUBSTITUTE(A423,"~","~~"),"*","~*"),"?","~?"),Q$3:Q423,1),0)=1,MAX(Y$2:Y422)+1,""),"")</f>
        <v/>
      </c>
      <c r="Z423" s="25">
        <f>IF(Y423="","",COUNTIFS($A$3:$A$1002,"="&amp;SUBSTITUTE(SUBSTITUTE(SUBSTITUTE(A423,"~","~~"),"*","~*"),"?","~?"),$Q$3:$Q$1002,1)*10000-Y423)</f>
        <v/>
      </c>
    </row>
    <row r="424">
      <c r="A424">
        <f>IF(A$2=0,"",IFERROR(TRIM(INDEX('Pegar docentes'!$A$1:$BZ$1001,423,A$2)&amp;""),""))</f>
        <v/>
      </c>
      <c r="B424">
        <f>IF(B$2=0,"",IFERROR(TRIM(INDEX('Pegar docentes'!$A$1:$BZ$1001,423,B$2)&amp;""),""))</f>
        <v/>
      </c>
      <c r="C424">
        <f>IF(C$2=0,"",IFERROR(TRIM(INDEX('Pegar docentes'!$A$1:$BZ$1001,423,C$2)&amp;""),""))</f>
        <v/>
      </c>
      <c r="D424">
        <f>IF(D$2=0,"",IFERROR(TRIM(INDEX('Pegar docentes'!$A$1:$BZ$1001,423,D$2)&amp;""),""))</f>
        <v/>
      </c>
      <c r="E424">
        <f>IF(E$2=0,"",IFERROR(TRIM(INDEX('Pegar docentes'!$A$1:$BZ$1001,423,E$2)&amp;""),""))</f>
        <v/>
      </c>
      <c r="F424">
        <f>IF(F$2=0,"",IFERROR(TRIM(INDEX('Pegar docentes'!$A$1:$BZ$1001,423,F$2)&amp;""),""))</f>
        <v/>
      </c>
      <c r="G424">
        <f>IF(G$2=0,"",IFERROR(TRIM(INDEX('Pegar docentes'!$A$1:$BZ$1001,423,G$2)&amp;""),""))</f>
        <v/>
      </c>
      <c r="H424">
        <f>IF(H$2=0,"",IFERROR(TRIM(INDEX('Pegar docentes'!$A$1:$BZ$1001,423,H$2)&amp;""),""))</f>
        <v/>
      </c>
      <c r="I424">
        <f>IF(I$2=0,"",IFERROR(TRIM(INDEX('Pegar docentes'!$A$1:$BZ$1001,423,I$2)&amp;""),""))</f>
        <v/>
      </c>
      <c r="J424">
        <f>IF(J$2=0,"",IFERROR(TRIM(INDEX('Pegar docentes'!$A$1:$BZ$1001,423,J$2)&amp;""),""))</f>
        <v/>
      </c>
      <c r="K424">
        <f>IF(K$2=0,"",IFERROR(TRIM(INDEX('Pegar docentes'!$A$1:$BZ$1001,423,K$2)&amp;""),""))</f>
        <v/>
      </c>
      <c r="L424">
        <f>IF(L$2=0,"",IFERROR(TRIM(INDEX('Pegar docentes'!$A$1:$BZ$1001,423,L$2)&amp;""),""))</f>
        <v/>
      </c>
      <c r="M424">
        <f>IF(M$2=0,"",IFERROR(TRIM(INDEX('Pegar docentes'!$A$1:$BZ$1001,423,M$2)&amp;""),""))</f>
        <v/>
      </c>
      <c r="N424">
        <f>IF(N$2=0,"",IFERROR(TRIM(INDEX('Pegar docentes'!$A$1:$BZ$1001,423,N$2)&amp;""),""))</f>
        <v/>
      </c>
      <c r="O424">
        <f>IF(O$2=0,"",IFERROR(TRIM(INDEX('Pegar docentes'!$A$1:$BZ$1001,423,O$2)&amp;""),""))</f>
        <v/>
      </c>
      <c r="P424">
        <f>IF(P$2=0,"",IFERROR(TRIM(INDEX('Pegar docentes'!$A$1:$BZ$1001,423,P$2)&amp;""),""))</f>
        <v/>
      </c>
      <c r="Q424" s="25">
        <f>IF(OR(D424&lt;&gt;"",H424&lt;&gt;""),1,"")</f>
        <v/>
      </c>
      <c r="R424" s="25">
        <f>IF(Q424=1,IF(ISNUMBER(FIND("#"&amp;MID(D424,1,1)&amp;"#","#0#1#2#3#4#5#6#7#8#9#")),IF(ISNUMBER(FIND("#"&amp;MID(D424,2,1)&amp;"#","#0#1#2#3#4#5#6#7#8#9#")),IF(AND(VALUE(LEFT(D424,2))&gt;=1,VALUE(LEFT(D424,2))&lt;=5),VALUE(LEFT(D424,2)),""),IF(AND(VALUE(LEFT(D424,1))&gt;=1,VALUE(LEFT(D424,1))&lt;=5),VALUE(LEFT(D424,1)),"")),""),"")</f>
        <v/>
      </c>
      <c r="S424" s="25">
        <f>IF(AND(Q424=1,E424&lt;&gt;""),SUBSTITUTE(SUBSTITUTE(SUBSTITUTE(SUBSTITUTE(SUBSTITUTE(SUBSTITUTE(SUBSTITUTE(SUBSTITUTE(SUBSTITUTE(SUBSTITUTE(SUBSTITUTE(SUBSTITUTE(LOWER(TRIM(E424)),"á","a"),"é","e"),"í","i"),"ó","o"),"ú","u"),"ü","u"),"ñ","n"),"à","a"),"è","e"),"ì","i"),"ò","o"),"ù","u"),"")</f>
        <v/>
      </c>
      <c r="T424" s="25">
        <f>IF(AND(Q424=1,G424&lt;&gt;""),SUBSTITUTE(SUBSTITUTE(SUBSTITUTE(SUBSTITUTE(SUBSTITUTE(SUBSTITUTE(SUBSTITUTE(SUBSTITUTE(SUBSTITUTE(SUBSTITUTE(SUBSTITUTE(SUBSTITUTE(LOWER(TRIM(G424)),"á","a"),"é","e"),"í","i"),"ó","o"),"ú","u"),"ü","u"),"ñ","n"),"à","a"),"è","e"),"ì","i"),"ò","o"),"ù","u"),"")</f>
        <v/>
      </c>
      <c r="U424" s="25">
        <f>IF(AND(Q424=1,H424&lt;&gt;""),SUBSTITUTE(SUBSTITUTE(SUBSTITUTE(SUBSTITUTE(SUBSTITUTE(SUBSTITUTE(SUBSTITUTE(SUBSTITUTE(SUBSTITUTE(SUBSTITUTE(SUBSTITUTE(SUBSTITUTE(LOWER(TRIM(H424)),"á","a"),"é","e"),"í","i"),"ó","o"),"ú","u"),"ü","u"),"ñ","n"),"à","a"),"è","e"),"ì","i"),"ò","o"),"ù","u"),"")</f>
        <v/>
      </c>
      <c r="V424" s="25">
        <f>IF(AND(Q424=1,L424&lt;&gt;""),SUBSTITUTE(SUBSTITUTE(SUBSTITUTE(SUBSTITUTE(SUBSTITUTE(SUBSTITUTE(SUBSTITUTE(SUBSTITUTE(SUBSTITUTE(SUBSTITUTE(SUBSTITUTE(SUBSTITUTE(LOWER(TRIM(L424)),"á","a"),"é","e"),"í","i"),"ó","o"),"ú","u"),"ü","u"),"ñ","n"),"à","a"),"è","e"),"ì","i"),"ò","o"),"ù","u"),"")</f>
        <v/>
      </c>
      <c r="W424" s="25">
        <f>IF(AND(Q424=1,I424&lt;&gt;""),SUBSTITUTE(SUBSTITUTE(SUBSTITUTE(SUBSTITUTE(SUBSTITUTE(SUBSTITUTE(SUBSTITUTE(SUBSTITUTE(SUBSTITUTE(SUBSTITUTE(SUBSTITUTE(SUBSTITUTE(LOWER(TRIM(I424)),"á","a"),"é","e"),"í","i"),"ó","o"),"ú","u"),"ü","u"),"ñ","n"),"à","a"),"è","e"),"ì","i"),"ò","o"),"ù","u"),"")</f>
        <v/>
      </c>
      <c r="X424" s="25">
        <f>IF(U424="","",IF(OR(U424="si, en la proxima tarea",U424="si, con cambios"),1,0))</f>
        <v/>
      </c>
      <c r="Y424" s="25">
        <f>IF(AND(Q424=1,A424&lt;&gt;""),IF(IFERROR(COUNTIFS(A$3:A424,"="&amp;SUBSTITUTE(SUBSTITUTE(SUBSTITUTE(A424,"~","~~"),"*","~*"),"?","~?"),Q$3:Q424,1),0)=1,MAX(Y$2:Y423)+1,""),"")</f>
        <v/>
      </c>
      <c r="Z424" s="25">
        <f>IF(Y424="","",COUNTIFS($A$3:$A$1002,"="&amp;SUBSTITUTE(SUBSTITUTE(SUBSTITUTE(A424,"~","~~"),"*","~*"),"?","~?"),$Q$3:$Q$1002,1)*10000-Y424)</f>
        <v/>
      </c>
    </row>
    <row r="425">
      <c r="A425">
        <f>IF(A$2=0,"",IFERROR(TRIM(INDEX('Pegar docentes'!$A$1:$BZ$1001,424,A$2)&amp;""),""))</f>
        <v/>
      </c>
      <c r="B425">
        <f>IF(B$2=0,"",IFERROR(TRIM(INDEX('Pegar docentes'!$A$1:$BZ$1001,424,B$2)&amp;""),""))</f>
        <v/>
      </c>
      <c r="C425">
        <f>IF(C$2=0,"",IFERROR(TRIM(INDEX('Pegar docentes'!$A$1:$BZ$1001,424,C$2)&amp;""),""))</f>
        <v/>
      </c>
      <c r="D425">
        <f>IF(D$2=0,"",IFERROR(TRIM(INDEX('Pegar docentes'!$A$1:$BZ$1001,424,D$2)&amp;""),""))</f>
        <v/>
      </c>
      <c r="E425">
        <f>IF(E$2=0,"",IFERROR(TRIM(INDEX('Pegar docentes'!$A$1:$BZ$1001,424,E$2)&amp;""),""))</f>
        <v/>
      </c>
      <c r="F425">
        <f>IF(F$2=0,"",IFERROR(TRIM(INDEX('Pegar docentes'!$A$1:$BZ$1001,424,F$2)&amp;""),""))</f>
        <v/>
      </c>
      <c r="G425">
        <f>IF(G$2=0,"",IFERROR(TRIM(INDEX('Pegar docentes'!$A$1:$BZ$1001,424,G$2)&amp;""),""))</f>
        <v/>
      </c>
      <c r="H425">
        <f>IF(H$2=0,"",IFERROR(TRIM(INDEX('Pegar docentes'!$A$1:$BZ$1001,424,H$2)&amp;""),""))</f>
        <v/>
      </c>
      <c r="I425">
        <f>IF(I$2=0,"",IFERROR(TRIM(INDEX('Pegar docentes'!$A$1:$BZ$1001,424,I$2)&amp;""),""))</f>
        <v/>
      </c>
      <c r="J425">
        <f>IF(J$2=0,"",IFERROR(TRIM(INDEX('Pegar docentes'!$A$1:$BZ$1001,424,J$2)&amp;""),""))</f>
        <v/>
      </c>
      <c r="K425">
        <f>IF(K$2=0,"",IFERROR(TRIM(INDEX('Pegar docentes'!$A$1:$BZ$1001,424,K$2)&amp;""),""))</f>
        <v/>
      </c>
      <c r="L425">
        <f>IF(L$2=0,"",IFERROR(TRIM(INDEX('Pegar docentes'!$A$1:$BZ$1001,424,L$2)&amp;""),""))</f>
        <v/>
      </c>
      <c r="M425">
        <f>IF(M$2=0,"",IFERROR(TRIM(INDEX('Pegar docentes'!$A$1:$BZ$1001,424,M$2)&amp;""),""))</f>
        <v/>
      </c>
      <c r="N425">
        <f>IF(N$2=0,"",IFERROR(TRIM(INDEX('Pegar docentes'!$A$1:$BZ$1001,424,N$2)&amp;""),""))</f>
        <v/>
      </c>
      <c r="O425">
        <f>IF(O$2=0,"",IFERROR(TRIM(INDEX('Pegar docentes'!$A$1:$BZ$1001,424,O$2)&amp;""),""))</f>
        <v/>
      </c>
      <c r="P425">
        <f>IF(P$2=0,"",IFERROR(TRIM(INDEX('Pegar docentes'!$A$1:$BZ$1001,424,P$2)&amp;""),""))</f>
        <v/>
      </c>
      <c r="Q425" s="25">
        <f>IF(OR(D425&lt;&gt;"",H425&lt;&gt;""),1,"")</f>
        <v/>
      </c>
      <c r="R425" s="25">
        <f>IF(Q425=1,IF(ISNUMBER(FIND("#"&amp;MID(D425,1,1)&amp;"#","#0#1#2#3#4#5#6#7#8#9#")),IF(ISNUMBER(FIND("#"&amp;MID(D425,2,1)&amp;"#","#0#1#2#3#4#5#6#7#8#9#")),IF(AND(VALUE(LEFT(D425,2))&gt;=1,VALUE(LEFT(D425,2))&lt;=5),VALUE(LEFT(D425,2)),""),IF(AND(VALUE(LEFT(D425,1))&gt;=1,VALUE(LEFT(D425,1))&lt;=5),VALUE(LEFT(D425,1)),"")),""),"")</f>
        <v/>
      </c>
      <c r="S425" s="25">
        <f>IF(AND(Q425=1,E425&lt;&gt;""),SUBSTITUTE(SUBSTITUTE(SUBSTITUTE(SUBSTITUTE(SUBSTITUTE(SUBSTITUTE(SUBSTITUTE(SUBSTITUTE(SUBSTITUTE(SUBSTITUTE(SUBSTITUTE(SUBSTITUTE(LOWER(TRIM(E425)),"á","a"),"é","e"),"í","i"),"ó","o"),"ú","u"),"ü","u"),"ñ","n"),"à","a"),"è","e"),"ì","i"),"ò","o"),"ù","u"),"")</f>
        <v/>
      </c>
      <c r="T425" s="25">
        <f>IF(AND(Q425=1,G425&lt;&gt;""),SUBSTITUTE(SUBSTITUTE(SUBSTITUTE(SUBSTITUTE(SUBSTITUTE(SUBSTITUTE(SUBSTITUTE(SUBSTITUTE(SUBSTITUTE(SUBSTITUTE(SUBSTITUTE(SUBSTITUTE(LOWER(TRIM(G425)),"á","a"),"é","e"),"í","i"),"ó","o"),"ú","u"),"ü","u"),"ñ","n"),"à","a"),"è","e"),"ì","i"),"ò","o"),"ù","u"),"")</f>
        <v/>
      </c>
      <c r="U425" s="25">
        <f>IF(AND(Q425=1,H425&lt;&gt;""),SUBSTITUTE(SUBSTITUTE(SUBSTITUTE(SUBSTITUTE(SUBSTITUTE(SUBSTITUTE(SUBSTITUTE(SUBSTITUTE(SUBSTITUTE(SUBSTITUTE(SUBSTITUTE(SUBSTITUTE(LOWER(TRIM(H425)),"á","a"),"é","e"),"í","i"),"ó","o"),"ú","u"),"ü","u"),"ñ","n"),"à","a"),"è","e"),"ì","i"),"ò","o"),"ù","u"),"")</f>
        <v/>
      </c>
      <c r="V425" s="25">
        <f>IF(AND(Q425=1,L425&lt;&gt;""),SUBSTITUTE(SUBSTITUTE(SUBSTITUTE(SUBSTITUTE(SUBSTITUTE(SUBSTITUTE(SUBSTITUTE(SUBSTITUTE(SUBSTITUTE(SUBSTITUTE(SUBSTITUTE(SUBSTITUTE(LOWER(TRIM(L425)),"á","a"),"é","e"),"í","i"),"ó","o"),"ú","u"),"ü","u"),"ñ","n"),"à","a"),"è","e"),"ì","i"),"ò","o"),"ù","u"),"")</f>
        <v/>
      </c>
      <c r="W425" s="25">
        <f>IF(AND(Q425=1,I425&lt;&gt;""),SUBSTITUTE(SUBSTITUTE(SUBSTITUTE(SUBSTITUTE(SUBSTITUTE(SUBSTITUTE(SUBSTITUTE(SUBSTITUTE(SUBSTITUTE(SUBSTITUTE(SUBSTITUTE(SUBSTITUTE(LOWER(TRIM(I425)),"á","a"),"é","e"),"í","i"),"ó","o"),"ú","u"),"ü","u"),"ñ","n"),"à","a"),"è","e"),"ì","i"),"ò","o"),"ù","u"),"")</f>
        <v/>
      </c>
      <c r="X425" s="25">
        <f>IF(U425="","",IF(OR(U425="si, en la proxima tarea",U425="si, con cambios"),1,0))</f>
        <v/>
      </c>
      <c r="Y425" s="25">
        <f>IF(AND(Q425=1,A425&lt;&gt;""),IF(IFERROR(COUNTIFS(A$3:A425,"="&amp;SUBSTITUTE(SUBSTITUTE(SUBSTITUTE(A425,"~","~~"),"*","~*"),"?","~?"),Q$3:Q425,1),0)=1,MAX(Y$2:Y424)+1,""),"")</f>
        <v/>
      </c>
      <c r="Z425" s="25">
        <f>IF(Y425="","",COUNTIFS($A$3:$A$1002,"="&amp;SUBSTITUTE(SUBSTITUTE(SUBSTITUTE(A425,"~","~~"),"*","~*"),"?","~?"),$Q$3:$Q$1002,1)*10000-Y425)</f>
        <v/>
      </c>
    </row>
    <row r="426">
      <c r="A426">
        <f>IF(A$2=0,"",IFERROR(TRIM(INDEX('Pegar docentes'!$A$1:$BZ$1001,425,A$2)&amp;""),""))</f>
        <v/>
      </c>
      <c r="B426">
        <f>IF(B$2=0,"",IFERROR(TRIM(INDEX('Pegar docentes'!$A$1:$BZ$1001,425,B$2)&amp;""),""))</f>
        <v/>
      </c>
      <c r="C426">
        <f>IF(C$2=0,"",IFERROR(TRIM(INDEX('Pegar docentes'!$A$1:$BZ$1001,425,C$2)&amp;""),""))</f>
        <v/>
      </c>
      <c r="D426">
        <f>IF(D$2=0,"",IFERROR(TRIM(INDEX('Pegar docentes'!$A$1:$BZ$1001,425,D$2)&amp;""),""))</f>
        <v/>
      </c>
      <c r="E426">
        <f>IF(E$2=0,"",IFERROR(TRIM(INDEX('Pegar docentes'!$A$1:$BZ$1001,425,E$2)&amp;""),""))</f>
        <v/>
      </c>
      <c r="F426">
        <f>IF(F$2=0,"",IFERROR(TRIM(INDEX('Pegar docentes'!$A$1:$BZ$1001,425,F$2)&amp;""),""))</f>
        <v/>
      </c>
      <c r="G426">
        <f>IF(G$2=0,"",IFERROR(TRIM(INDEX('Pegar docentes'!$A$1:$BZ$1001,425,G$2)&amp;""),""))</f>
        <v/>
      </c>
      <c r="H426">
        <f>IF(H$2=0,"",IFERROR(TRIM(INDEX('Pegar docentes'!$A$1:$BZ$1001,425,H$2)&amp;""),""))</f>
        <v/>
      </c>
      <c r="I426">
        <f>IF(I$2=0,"",IFERROR(TRIM(INDEX('Pegar docentes'!$A$1:$BZ$1001,425,I$2)&amp;""),""))</f>
        <v/>
      </c>
      <c r="J426">
        <f>IF(J$2=0,"",IFERROR(TRIM(INDEX('Pegar docentes'!$A$1:$BZ$1001,425,J$2)&amp;""),""))</f>
        <v/>
      </c>
      <c r="K426">
        <f>IF(K$2=0,"",IFERROR(TRIM(INDEX('Pegar docentes'!$A$1:$BZ$1001,425,K$2)&amp;""),""))</f>
        <v/>
      </c>
      <c r="L426">
        <f>IF(L$2=0,"",IFERROR(TRIM(INDEX('Pegar docentes'!$A$1:$BZ$1001,425,L$2)&amp;""),""))</f>
        <v/>
      </c>
      <c r="M426">
        <f>IF(M$2=0,"",IFERROR(TRIM(INDEX('Pegar docentes'!$A$1:$BZ$1001,425,M$2)&amp;""),""))</f>
        <v/>
      </c>
      <c r="N426">
        <f>IF(N$2=0,"",IFERROR(TRIM(INDEX('Pegar docentes'!$A$1:$BZ$1001,425,N$2)&amp;""),""))</f>
        <v/>
      </c>
      <c r="O426">
        <f>IF(O$2=0,"",IFERROR(TRIM(INDEX('Pegar docentes'!$A$1:$BZ$1001,425,O$2)&amp;""),""))</f>
        <v/>
      </c>
      <c r="P426">
        <f>IF(P$2=0,"",IFERROR(TRIM(INDEX('Pegar docentes'!$A$1:$BZ$1001,425,P$2)&amp;""),""))</f>
        <v/>
      </c>
      <c r="Q426" s="25">
        <f>IF(OR(D426&lt;&gt;"",H426&lt;&gt;""),1,"")</f>
        <v/>
      </c>
      <c r="R426" s="25">
        <f>IF(Q426=1,IF(ISNUMBER(FIND("#"&amp;MID(D426,1,1)&amp;"#","#0#1#2#3#4#5#6#7#8#9#")),IF(ISNUMBER(FIND("#"&amp;MID(D426,2,1)&amp;"#","#0#1#2#3#4#5#6#7#8#9#")),IF(AND(VALUE(LEFT(D426,2))&gt;=1,VALUE(LEFT(D426,2))&lt;=5),VALUE(LEFT(D426,2)),""),IF(AND(VALUE(LEFT(D426,1))&gt;=1,VALUE(LEFT(D426,1))&lt;=5),VALUE(LEFT(D426,1)),"")),""),"")</f>
        <v/>
      </c>
      <c r="S426" s="25">
        <f>IF(AND(Q426=1,E426&lt;&gt;""),SUBSTITUTE(SUBSTITUTE(SUBSTITUTE(SUBSTITUTE(SUBSTITUTE(SUBSTITUTE(SUBSTITUTE(SUBSTITUTE(SUBSTITUTE(SUBSTITUTE(SUBSTITUTE(SUBSTITUTE(LOWER(TRIM(E426)),"á","a"),"é","e"),"í","i"),"ó","o"),"ú","u"),"ü","u"),"ñ","n"),"à","a"),"è","e"),"ì","i"),"ò","o"),"ù","u"),"")</f>
        <v/>
      </c>
      <c r="T426" s="25">
        <f>IF(AND(Q426=1,G426&lt;&gt;""),SUBSTITUTE(SUBSTITUTE(SUBSTITUTE(SUBSTITUTE(SUBSTITUTE(SUBSTITUTE(SUBSTITUTE(SUBSTITUTE(SUBSTITUTE(SUBSTITUTE(SUBSTITUTE(SUBSTITUTE(LOWER(TRIM(G426)),"á","a"),"é","e"),"í","i"),"ó","o"),"ú","u"),"ü","u"),"ñ","n"),"à","a"),"è","e"),"ì","i"),"ò","o"),"ù","u"),"")</f>
        <v/>
      </c>
      <c r="U426" s="25">
        <f>IF(AND(Q426=1,H426&lt;&gt;""),SUBSTITUTE(SUBSTITUTE(SUBSTITUTE(SUBSTITUTE(SUBSTITUTE(SUBSTITUTE(SUBSTITUTE(SUBSTITUTE(SUBSTITUTE(SUBSTITUTE(SUBSTITUTE(SUBSTITUTE(LOWER(TRIM(H426)),"á","a"),"é","e"),"í","i"),"ó","o"),"ú","u"),"ü","u"),"ñ","n"),"à","a"),"è","e"),"ì","i"),"ò","o"),"ù","u"),"")</f>
        <v/>
      </c>
      <c r="V426" s="25">
        <f>IF(AND(Q426=1,L426&lt;&gt;""),SUBSTITUTE(SUBSTITUTE(SUBSTITUTE(SUBSTITUTE(SUBSTITUTE(SUBSTITUTE(SUBSTITUTE(SUBSTITUTE(SUBSTITUTE(SUBSTITUTE(SUBSTITUTE(SUBSTITUTE(LOWER(TRIM(L426)),"á","a"),"é","e"),"í","i"),"ó","o"),"ú","u"),"ü","u"),"ñ","n"),"à","a"),"è","e"),"ì","i"),"ò","o"),"ù","u"),"")</f>
        <v/>
      </c>
      <c r="W426" s="25">
        <f>IF(AND(Q426=1,I426&lt;&gt;""),SUBSTITUTE(SUBSTITUTE(SUBSTITUTE(SUBSTITUTE(SUBSTITUTE(SUBSTITUTE(SUBSTITUTE(SUBSTITUTE(SUBSTITUTE(SUBSTITUTE(SUBSTITUTE(SUBSTITUTE(LOWER(TRIM(I426)),"á","a"),"é","e"),"í","i"),"ó","o"),"ú","u"),"ü","u"),"ñ","n"),"à","a"),"è","e"),"ì","i"),"ò","o"),"ù","u"),"")</f>
        <v/>
      </c>
      <c r="X426" s="25">
        <f>IF(U426="","",IF(OR(U426="si, en la proxima tarea",U426="si, con cambios"),1,0))</f>
        <v/>
      </c>
      <c r="Y426" s="25">
        <f>IF(AND(Q426=1,A426&lt;&gt;""),IF(IFERROR(COUNTIFS(A$3:A426,"="&amp;SUBSTITUTE(SUBSTITUTE(SUBSTITUTE(A426,"~","~~"),"*","~*"),"?","~?"),Q$3:Q426,1),0)=1,MAX(Y$2:Y425)+1,""),"")</f>
        <v/>
      </c>
      <c r="Z426" s="25">
        <f>IF(Y426="","",COUNTIFS($A$3:$A$1002,"="&amp;SUBSTITUTE(SUBSTITUTE(SUBSTITUTE(A426,"~","~~"),"*","~*"),"?","~?"),$Q$3:$Q$1002,1)*10000-Y426)</f>
        <v/>
      </c>
    </row>
    <row r="427">
      <c r="A427">
        <f>IF(A$2=0,"",IFERROR(TRIM(INDEX('Pegar docentes'!$A$1:$BZ$1001,426,A$2)&amp;""),""))</f>
        <v/>
      </c>
      <c r="B427">
        <f>IF(B$2=0,"",IFERROR(TRIM(INDEX('Pegar docentes'!$A$1:$BZ$1001,426,B$2)&amp;""),""))</f>
        <v/>
      </c>
      <c r="C427">
        <f>IF(C$2=0,"",IFERROR(TRIM(INDEX('Pegar docentes'!$A$1:$BZ$1001,426,C$2)&amp;""),""))</f>
        <v/>
      </c>
      <c r="D427">
        <f>IF(D$2=0,"",IFERROR(TRIM(INDEX('Pegar docentes'!$A$1:$BZ$1001,426,D$2)&amp;""),""))</f>
        <v/>
      </c>
      <c r="E427">
        <f>IF(E$2=0,"",IFERROR(TRIM(INDEX('Pegar docentes'!$A$1:$BZ$1001,426,E$2)&amp;""),""))</f>
        <v/>
      </c>
      <c r="F427">
        <f>IF(F$2=0,"",IFERROR(TRIM(INDEX('Pegar docentes'!$A$1:$BZ$1001,426,F$2)&amp;""),""))</f>
        <v/>
      </c>
      <c r="G427">
        <f>IF(G$2=0,"",IFERROR(TRIM(INDEX('Pegar docentes'!$A$1:$BZ$1001,426,G$2)&amp;""),""))</f>
        <v/>
      </c>
      <c r="H427">
        <f>IF(H$2=0,"",IFERROR(TRIM(INDEX('Pegar docentes'!$A$1:$BZ$1001,426,H$2)&amp;""),""))</f>
        <v/>
      </c>
      <c r="I427">
        <f>IF(I$2=0,"",IFERROR(TRIM(INDEX('Pegar docentes'!$A$1:$BZ$1001,426,I$2)&amp;""),""))</f>
        <v/>
      </c>
      <c r="J427">
        <f>IF(J$2=0,"",IFERROR(TRIM(INDEX('Pegar docentes'!$A$1:$BZ$1001,426,J$2)&amp;""),""))</f>
        <v/>
      </c>
      <c r="K427">
        <f>IF(K$2=0,"",IFERROR(TRIM(INDEX('Pegar docentes'!$A$1:$BZ$1001,426,K$2)&amp;""),""))</f>
        <v/>
      </c>
      <c r="L427">
        <f>IF(L$2=0,"",IFERROR(TRIM(INDEX('Pegar docentes'!$A$1:$BZ$1001,426,L$2)&amp;""),""))</f>
        <v/>
      </c>
      <c r="M427">
        <f>IF(M$2=0,"",IFERROR(TRIM(INDEX('Pegar docentes'!$A$1:$BZ$1001,426,M$2)&amp;""),""))</f>
        <v/>
      </c>
      <c r="N427">
        <f>IF(N$2=0,"",IFERROR(TRIM(INDEX('Pegar docentes'!$A$1:$BZ$1001,426,N$2)&amp;""),""))</f>
        <v/>
      </c>
      <c r="O427">
        <f>IF(O$2=0,"",IFERROR(TRIM(INDEX('Pegar docentes'!$A$1:$BZ$1001,426,O$2)&amp;""),""))</f>
        <v/>
      </c>
      <c r="P427">
        <f>IF(P$2=0,"",IFERROR(TRIM(INDEX('Pegar docentes'!$A$1:$BZ$1001,426,P$2)&amp;""),""))</f>
        <v/>
      </c>
      <c r="Q427" s="25">
        <f>IF(OR(D427&lt;&gt;"",H427&lt;&gt;""),1,"")</f>
        <v/>
      </c>
      <c r="R427" s="25">
        <f>IF(Q427=1,IF(ISNUMBER(FIND("#"&amp;MID(D427,1,1)&amp;"#","#0#1#2#3#4#5#6#7#8#9#")),IF(ISNUMBER(FIND("#"&amp;MID(D427,2,1)&amp;"#","#0#1#2#3#4#5#6#7#8#9#")),IF(AND(VALUE(LEFT(D427,2))&gt;=1,VALUE(LEFT(D427,2))&lt;=5),VALUE(LEFT(D427,2)),""),IF(AND(VALUE(LEFT(D427,1))&gt;=1,VALUE(LEFT(D427,1))&lt;=5),VALUE(LEFT(D427,1)),"")),""),"")</f>
        <v/>
      </c>
      <c r="S427" s="25">
        <f>IF(AND(Q427=1,E427&lt;&gt;""),SUBSTITUTE(SUBSTITUTE(SUBSTITUTE(SUBSTITUTE(SUBSTITUTE(SUBSTITUTE(SUBSTITUTE(SUBSTITUTE(SUBSTITUTE(SUBSTITUTE(SUBSTITUTE(SUBSTITUTE(LOWER(TRIM(E427)),"á","a"),"é","e"),"í","i"),"ó","o"),"ú","u"),"ü","u"),"ñ","n"),"à","a"),"è","e"),"ì","i"),"ò","o"),"ù","u"),"")</f>
        <v/>
      </c>
      <c r="T427" s="25">
        <f>IF(AND(Q427=1,G427&lt;&gt;""),SUBSTITUTE(SUBSTITUTE(SUBSTITUTE(SUBSTITUTE(SUBSTITUTE(SUBSTITUTE(SUBSTITUTE(SUBSTITUTE(SUBSTITUTE(SUBSTITUTE(SUBSTITUTE(SUBSTITUTE(LOWER(TRIM(G427)),"á","a"),"é","e"),"í","i"),"ó","o"),"ú","u"),"ü","u"),"ñ","n"),"à","a"),"è","e"),"ì","i"),"ò","o"),"ù","u"),"")</f>
        <v/>
      </c>
      <c r="U427" s="25">
        <f>IF(AND(Q427=1,H427&lt;&gt;""),SUBSTITUTE(SUBSTITUTE(SUBSTITUTE(SUBSTITUTE(SUBSTITUTE(SUBSTITUTE(SUBSTITUTE(SUBSTITUTE(SUBSTITUTE(SUBSTITUTE(SUBSTITUTE(SUBSTITUTE(LOWER(TRIM(H427)),"á","a"),"é","e"),"í","i"),"ó","o"),"ú","u"),"ü","u"),"ñ","n"),"à","a"),"è","e"),"ì","i"),"ò","o"),"ù","u"),"")</f>
        <v/>
      </c>
      <c r="V427" s="25">
        <f>IF(AND(Q427=1,L427&lt;&gt;""),SUBSTITUTE(SUBSTITUTE(SUBSTITUTE(SUBSTITUTE(SUBSTITUTE(SUBSTITUTE(SUBSTITUTE(SUBSTITUTE(SUBSTITUTE(SUBSTITUTE(SUBSTITUTE(SUBSTITUTE(LOWER(TRIM(L427)),"á","a"),"é","e"),"í","i"),"ó","o"),"ú","u"),"ü","u"),"ñ","n"),"à","a"),"è","e"),"ì","i"),"ò","o"),"ù","u"),"")</f>
        <v/>
      </c>
      <c r="W427" s="25">
        <f>IF(AND(Q427=1,I427&lt;&gt;""),SUBSTITUTE(SUBSTITUTE(SUBSTITUTE(SUBSTITUTE(SUBSTITUTE(SUBSTITUTE(SUBSTITUTE(SUBSTITUTE(SUBSTITUTE(SUBSTITUTE(SUBSTITUTE(SUBSTITUTE(LOWER(TRIM(I427)),"á","a"),"é","e"),"í","i"),"ó","o"),"ú","u"),"ü","u"),"ñ","n"),"à","a"),"è","e"),"ì","i"),"ò","o"),"ù","u"),"")</f>
        <v/>
      </c>
      <c r="X427" s="25">
        <f>IF(U427="","",IF(OR(U427="si, en la proxima tarea",U427="si, con cambios"),1,0))</f>
        <v/>
      </c>
      <c r="Y427" s="25">
        <f>IF(AND(Q427=1,A427&lt;&gt;""),IF(IFERROR(COUNTIFS(A$3:A427,"="&amp;SUBSTITUTE(SUBSTITUTE(SUBSTITUTE(A427,"~","~~"),"*","~*"),"?","~?"),Q$3:Q427,1),0)=1,MAX(Y$2:Y426)+1,""),"")</f>
        <v/>
      </c>
      <c r="Z427" s="25">
        <f>IF(Y427="","",COUNTIFS($A$3:$A$1002,"="&amp;SUBSTITUTE(SUBSTITUTE(SUBSTITUTE(A427,"~","~~"),"*","~*"),"?","~?"),$Q$3:$Q$1002,1)*10000-Y427)</f>
        <v/>
      </c>
    </row>
    <row r="428">
      <c r="A428">
        <f>IF(A$2=0,"",IFERROR(TRIM(INDEX('Pegar docentes'!$A$1:$BZ$1001,427,A$2)&amp;""),""))</f>
        <v/>
      </c>
      <c r="B428">
        <f>IF(B$2=0,"",IFERROR(TRIM(INDEX('Pegar docentes'!$A$1:$BZ$1001,427,B$2)&amp;""),""))</f>
        <v/>
      </c>
      <c r="C428">
        <f>IF(C$2=0,"",IFERROR(TRIM(INDEX('Pegar docentes'!$A$1:$BZ$1001,427,C$2)&amp;""),""))</f>
        <v/>
      </c>
      <c r="D428">
        <f>IF(D$2=0,"",IFERROR(TRIM(INDEX('Pegar docentes'!$A$1:$BZ$1001,427,D$2)&amp;""),""))</f>
        <v/>
      </c>
      <c r="E428">
        <f>IF(E$2=0,"",IFERROR(TRIM(INDEX('Pegar docentes'!$A$1:$BZ$1001,427,E$2)&amp;""),""))</f>
        <v/>
      </c>
      <c r="F428">
        <f>IF(F$2=0,"",IFERROR(TRIM(INDEX('Pegar docentes'!$A$1:$BZ$1001,427,F$2)&amp;""),""))</f>
        <v/>
      </c>
      <c r="G428">
        <f>IF(G$2=0,"",IFERROR(TRIM(INDEX('Pegar docentes'!$A$1:$BZ$1001,427,G$2)&amp;""),""))</f>
        <v/>
      </c>
      <c r="H428">
        <f>IF(H$2=0,"",IFERROR(TRIM(INDEX('Pegar docentes'!$A$1:$BZ$1001,427,H$2)&amp;""),""))</f>
        <v/>
      </c>
      <c r="I428">
        <f>IF(I$2=0,"",IFERROR(TRIM(INDEX('Pegar docentes'!$A$1:$BZ$1001,427,I$2)&amp;""),""))</f>
        <v/>
      </c>
      <c r="J428">
        <f>IF(J$2=0,"",IFERROR(TRIM(INDEX('Pegar docentes'!$A$1:$BZ$1001,427,J$2)&amp;""),""))</f>
        <v/>
      </c>
      <c r="K428">
        <f>IF(K$2=0,"",IFERROR(TRIM(INDEX('Pegar docentes'!$A$1:$BZ$1001,427,K$2)&amp;""),""))</f>
        <v/>
      </c>
      <c r="L428">
        <f>IF(L$2=0,"",IFERROR(TRIM(INDEX('Pegar docentes'!$A$1:$BZ$1001,427,L$2)&amp;""),""))</f>
        <v/>
      </c>
      <c r="M428">
        <f>IF(M$2=0,"",IFERROR(TRIM(INDEX('Pegar docentes'!$A$1:$BZ$1001,427,M$2)&amp;""),""))</f>
        <v/>
      </c>
      <c r="N428">
        <f>IF(N$2=0,"",IFERROR(TRIM(INDEX('Pegar docentes'!$A$1:$BZ$1001,427,N$2)&amp;""),""))</f>
        <v/>
      </c>
      <c r="O428">
        <f>IF(O$2=0,"",IFERROR(TRIM(INDEX('Pegar docentes'!$A$1:$BZ$1001,427,O$2)&amp;""),""))</f>
        <v/>
      </c>
      <c r="P428">
        <f>IF(P$2=0,"",IFERROR(TRIM(INDEX('Pegar docentes'!$A$1:$BZ$1001,427,P$2)&amp;""),""))</f>
        <v/>
      </c>
      <c r="Q428" s="25">
        <f>IF(OR(D428&lt;&gt;"",H428&lt;&gt;""),1,"")</f>
        <v/>
      </c>
      <c r="R428" s="25">
        <f>IF(Q428=1,IF(ISNUMBER(FIND("#"&amp;MID(D428,1,1)&amp;"#","#0#1#2#3#4#5#6#7#8#9#")),IF(ISNUMBER(FIND("#"&amp;MID(D428,2,1)&amp;"#","#0#1#2#3#4#5#6#7#8#9#")),IF(AND(VALUE(LEFT(D428,2))&gt;=1,VALUE(LEFT(D428,2))&lt;=5),VALUE(LEFT(D428,2)),""),IF(AND(VALUE(LEFT(D428,1))&gt;=1,VALUE(LEFT(D428,1))&lt;=5),VALUE(LEFT(D428,1)),"")),""),"")</f>
        <v/>
      </c>
      <c r="S428" s="25">
        <f>IF(AND(Q428=1,E428&lt;&gt;""),SUBSTITUTE(SUBSTITUTE(SUBSTITUTE(SUBSTITUTE(SUBSTITUTE(SUBSTITUTE(SUBSTITUTE(SUBSTITUTE(SUBSTITUTE(SUBSTITUTE(SUBSTITUTE(SUBSTITUTE(LOWER(TRIM(E428)),"á","a"),"é","e"),"í","i"),"ó","o"),"ú","u"),"ü","u"),"ñ","n"),"à","a"),"è","e"),"ì","i"),"ò","o"),"ù","u"),"")</f>
        <v/>
      </c>
      <c r="T428" s="25">
        <f>IF(AND(Q428=1,G428&lt;&gt;""),SUBSTITUTE(SUBSTITUTE(SUBSTITUTE(SUBSTITUTE(SUBSTITUTE(SUBSTITUTE(SUBSTITUTE(SUBSTITUTE(SUBSTITUTE(SUBSTITUTE(SUBSTITUTE(SUBSTITUTE(LOWER(TRIM(G428)),"á","a"),"é","e"),"í","i"),"ó","o"),"ú","u"),"ü","u"),"ñ","n"),"à","a"),"è","e"),"ì","i"),"ò","o"),"ù","u"),"")</f>
        <v/>
      </c>
      <c r="U428" s="25">
        <f>IF(AND(Q428=1,H428&lt;&gt;""),SUBSTITUTE(SUBSTITUTE(SUBSTITUTE(SUBSTITUTE(SUBSTITUTE(SUBSTITUTE(SUBSTITUTE(SUBSTITUTE(SUBSTITUTE(SUBSTITUTE(SUBSTITUTE(SUBSTITUTE(LOWER(TRIM(H428)),"á","a"),"é","e"),"í","i"),"ó","o"),"ú","u"),"ü","u"),"ñ","n"),"à","a"),"è","e"),"ì","i"),"ò","o"),"ù","u"),"")</f>
        <v/>
      </c>
      <c r="V428" s="25">
        <f>IF(AND(Q428=1,L428&lt;&gt;""),SUBSTITUTE(SUBSTITUTE(SUBSTITUTE(SUBSTITUTE(SUBSTITUTE(SUBSTITUTE(SUBSTITUTE(SUBSTITUTE(SUBSTITUTE(SUBSTITUTE(SUBSTITUTE(SUBSTITUTE(LOWER(TRIM(L428)),"á","a"),"é","e"),"í","i"),"ó","o"),"ú","u"),"ü","u"),"ñ","n"),"à","a"),"è","e"),"ì","i"),"ò","o"),"ù","u"),"")</f>
        <v/>
      </c>
      <c r="W428" s="25">
        <f>IF(AND(Q428=1,I428&lt;&gt;""),SUBSTITUTE(SUBSTITUTE(SUBSTITUTE(SUBSTITUTE(SUBSTITUTE(SUBSTITUTE(SUBSTITUTE(SUBSTITUTE(SUBSTITUTE(SUBSTITUTE(SUBSTITUTE(SUBSTITUTE(LOWER(TRIM(I428)),"á","a"),"é","e"),"í","i"),"ó","o"),"ú","u"),"ü","u"),"ñ","n"),"à","a"),"è","e"),"ì","i"),"ò","o"),"ù","u"),"")</f>
        <v/>
      </c>
      <c r="X428" s="25">
        <f>IF(U428="","",IF(OR(U428="si, en la proxima tarea",U428="si, con cambios"),1,0))</f>
        <v/>
      </c>
      <c r="Y428" s="25">
        <f>IF(AND(Q428=1,A428&lt;&gt;""),IF(IFERROR(COUNTIFS(A$3:A428,"="&amp;SUBSTITUTE(SUBSTITUTE(SUBSTITUTE(A428,"~","~~"),"*","~*"),"?","~?"),Q$3:Q428,1),0)=1,MAX(Y$2:Y427)+1,""),"")</f>
        <v/>
      </c>
      <c r="Z428" s="25">
        <f>IF(Y428="","",COUNTIFS($A$3:$A$1002,"="&amp;SUBSTITUTE(SUBSTITUTE(SUBSTITUTE(A428,"~","~~"),"*","~*"),"?","~?"),$Q$3:$Q$1002,1)*10000-Y428)</f>
        <v/>
      </c>
    </row>
    <row r="429">
      <c r="A429">
        <f>IF(A$2=0,"",IFERROR(TRIM(INDEX('Pegar docentes'!$A$1:$BZ$1001,428,A$2)&amp;""),""))</f>
        <v/>
      </c>
      <c r="B429">
        <f>IF(B$2=0,"",IFERROR(TRIM(INDEX('Pegar docentes'!$A$1:$BZ$1001,428,B$2)&amp;""),""))</f>
        <v/>
      </c>
      <c r="C429">
        <f>IF(C$2=0,"",IFERROR(TRIM(INDEX('Pegar docentes'!$A$1:$BZ$1001,428,C$2)&amp;""),""))</f>
        <v/>
      </c>
      <c r="D429">
        <f>IF(D$2=0,"",IFERROR(TRIM(INDEX('Pegar docentes'!$A$1:$BZ$1001,428,D$2)&amp;""),""))</f>
        <v/>
      </c>
      <c r="E429">
        <f>IF(E$2=0,"",IFERROR(TRIM(INDEX('Pegar docentes'!$A$1:$BZ$1001,428,E$2)&amp;""),""))</f>
        <v/>
      </c>
      <c r="F429">
        <f>IF(F$2=0,"",IFERROR(TRIM(INDEX('Pegar docentes'!$A$1:$BZ$1001,428,F$2)&amp;""),""))</f>
        <v/>
      </c>
      <c r="G429">
        <f>IF(G$2=0,"",IFERROR(TRIM(INDEX('Pegar docentes'!$A$1:$BZ$1001,428,G$2)&amp;""),""))</f>
        <v/>
      </c>
      <c r="H429">
        <f>IF(H$2=0,"",IFERROR(TRIM(INDEX('Pegar docentes'!$A$1:$BZ$1001,428,H$2)&amp;""),""))</f>
        <v/>
      </c>
      <c r="I429">
        <f>IF(I$2=0,"",IFERROR(TRIM(INDEX('Pegar docentes'!$A$1:$BZ$1001,428,I$2)&amp;""),""))</f>
        <v/>
      </c>
      <c r="J429">
        <f>IF(J$2=0,"",IFERROR(TRIM(INDEX('Pegar docentes'!$A$1:$BZ$1001,428,J$2)&amp;""),""))</f>
        <v/>
      </c>
      <c r="K429">
        <f>IF(K$2=0,"",IFERROR(TRIM(INDEX('Pegar docentes'!$A$1:$BZ$1001,428,K$2)&amp;""),""))</f>
        <v/>
      </c>
      <c r="L429">
        <f>IF(L$2=0,"",IFERROR(TRIM(INDEX('Pegar docentes'!$A$1:$BZ$1001,428,L$2)&amp;""),""))</f>
        <v/>
      </c>
      <c r="M429">
        <f>IF(M$2=0,"",IFERROR(TRIM(INDEX('Pegar docentes'!$A$1:$BZ$1001,428,M$2)&amp;""),""))</f>
        <v/>
      </c>
      <c r="N429">
        <f>IF(N$2=0,"",IFERROR(TRIM(INDEX('Pegar docentes'!$A$1:$BZ$1001,428,N$2)&amp;""),""))</f>
        <v/>
      </c>
      <c r="O429">
        <f>IF(O$2=0,"",IFERROR(TRIM(INDEX('Pegar docentes'!$A$1:$BZ$1001,428,O$2)&amp;""),""))</f>
        <v/>
      </c>
      <c r="P429">
        <f>IF(P$2=0,"",IFERROR(TRIM(INDEX('Pegar docentes'!$A$1:$BZ$1001,428,P$2)&amp;""),""))</f>
        <v/>
      </c>
      <c r="Q429" s="25">
        <f>IF(OR(D429&lt;&gt;"",H429&lt;&gt;""),1,"")</f>
        <v/>
      </c>
      <c r="R429" s="25">
        <f>IF(Q429=1,IF(ISNUMBER(FIND("#"&amp;MID(D429,1,1)&amp;"#","#0#1#2#3#4#5#6#7#8#9#")),IF(ISNUMBER(FIND("#"&amp;MID(D429,2,1)&amp;"#","#0#1#2#3#4#5#6#7#8#9#")),IF(AND(VALUE(LEFT(D429,2))&gt;=1,VALUE(LEFT(D429,2))&lt;=5),VALUE(LEFT(D429,2)),""),IF(AND(VALUE(LEFT(D429,1))&gt;=1,VALUE(LEFT(D429,1))&lt;=5),VALUE(LEFT(D429,1)),"")),""),"")</f>
        <v/>
      </c>
      <c r="S429" s="25">
        <f>IF(AND(Q429=1,E429&lt;&gt;""),SUBSTITUTE(SUBSTITUTE(SUBSTITUTE(SUBSTITUTE(SUBSTITUTE(SUBSTITUTE(SUBSTITUTE(SUBSTITUTE(SUBSTITUTE(SUBSTITUTE(SUBSTITUTE(SUBSTITUTE(LOWER(TRIM(E429)),"á","a"),"é","e"),"í","i"),"ó","o"),"ú","u"),"ü","u"),"ñ","n"),"à","a"),"è","e"),"ì","i"),"ò","o"),"ù","u"),"")</f>
        <v/>
      </c>
      <c r="T429" s="25">
        <f>IF(AND(Q429=1,G429&lt;&gt;""),SUBSTITUTE(SUBSTITUTE(SUBSTITUTE(SUBSTITUTE(SUBSTITUTE(SUBSTITUTE(SUBSTITUTE(SUBSTITUTE(SUBSTITUTE(SUBSTITUTE(SUBSTITUTE(SUBSTITUTE(LOWER(TRIM(G429)),"á","a"),"é","e"),"í","i"),"ó","o"),"ú","u"),"ü","u"),"ñ","n"),"à","a"),"è","e"),"ì","i"),"ò","o"),"ù","u"),"")</f>
        <v/>
      </c>
      <c r="U429" s="25">
        <f>IF(AND(Q429=1,H429&lt;&gt;""),SUBSTITUTE(SUBSTITUTE(SUBSTITUTE(SUBSTITUTE(SUBSTITUTE(SUBSTITUTE(SUBSTITUTE(SUBSTITUTE(SUBSTITUTE(SUBSTITUTE(SUBSTITUTE(SUBSTITUTE(LOWER(TRIM(H429)),"á","a"),"é","e"),"í","i"),"ó","o"),"ú","u"),"ü","u"),"ñ","n"),"à","a"),"è","e"),"ì","i"),"ò","o"),"ù","u"),"")</f>
        <v/>
      </c>
      <c r="V429" s="25">
        <f>IF(AND(Q429=1,L429&lt;&gt;""),SUBSTITUTE(SUBSTITUTE(SUBSTITUTE(SUBSTITUTE(SUBSTITUTE(SUBSTITUTE(SUBSTITUTE(SUBSTITUTE(SUBSTITUTE(SUBSTITUTE(SUBSTITUTE(SUBSTITUTE(LOWER(TRIM(L429)),"á","a"),"é","e"),"í","i"),"ó","o"),"ú","u"),"ü","u"),"ñ","n"),"à","a"),"è","e"),"ì","i"),"ò","o"),"ù","u"),"")</f>
        <v/>
      </c>
      <c r="W429" s="25">
        <f>IF(AND(Q429=1,I429&lt;&gt;""),SUBSTITUTE(SUBSTITUTE(SUBSTITUTE(SUBSTITUTE(SUBSTITUTE(SUBSTITUTE(SUBSTITUTE(SUBSTITUTE(SUBSTITUTE(SUBSTITUTE(SUBSTITUTE(SUBSTITUTE(LOWER(TRIM(I429)),"á","a"),"é","e"),"í","i"),"ó","o"),"ú","u"),"ü","u"),"ñ","n"),"à","a"),"è","e"),"ì","i"),"ò","o"),"ù","u"),"")</f>
        <v/>
      </c>
      <c r="X429" s="25">
        <f>IF(U429="","",IF(OR(U429="si, en la proxima tarea",U429="si, con cambios"),1,0))</f>
        <v/>
      </c>
      <c r="Y429" s="25">
        <f>IF(AND(Q429=1,A429&lt;&gt;""),IF(IFERROR(COUNTIFS(A$3:A429,"="&amp;SUBSTITUTE(SUBSTITUTE(SUBSTITUTE(A429,"~","~~"),"*","~*"),"?","~?"),Q$3:Q429,1),0)=1,MAX(Y$2:Y428)+1,""),"")</f>
        <v/>
      </c>
      <c r="Z429" s="25">
        <f>IF(Y429="","",COUNTIFS($A$3:$A$1002,"="&amp;SUBSTITUTE(SUBSTITUTE(SUBSTITUTE(A429,"~","~~"),"*","~*"),"?","~?"),$Q$3:$Q$1002,1)*10000-Y429)</f>
        <v/>
      </c>
    </row>
    <row r="430">
      <c r="A430">
        <f>IF(A$2=0,"",IFERROR(TRIM(INDEX('Pegar docentes'!$A$1:$BZ$1001,429,A$2)&amp;""),""))</f>
        <v/>
      </c>
      <c r="B430">
        <f>IF(B$2=0,"",IFERROR(TRIM(INDEX('Pegar docentes'!$A$1:$BZ$1001,429,B$2)&amp;""),""))</f>
        <v/>
      </c>
      <c r="C430">
        <f>IF(C$2=0,"",IFERROR(TRIM(INDEX('Pegar docentes'!$A$1:$BZ$1001,429,C$2)&amp;""),""))</f>
        <v/>
      </c>
      <c r="D430">
        <f>IF(D$2=0,"",IFERROR(TRIM(INDEX('Pegar docentes'!$A$1:$BZ$1001,429,D$2)&amp;""),""))</f>
        <v/>
      </c>
      <c r="E430">
        <f>IF(E$2=0,"",IFERROR(TRIM(INDEX('Pegar docentes'!$A$1:$BZ$1001,429,E$2)&amp;""),""))</f>
        <v/>
      </c>
      <c r="F430">
        <f>IF(F$2=0,"",IFERROR(TRIM(INDEX('Pegar docentes'!$A$1:$BZ$1001,429,F$2)&amp;""),""))</f>
        <v/>
      </c>
      <c r="G430">
        <f>IF(G$2=0,"",IFERROR(TRIM(INDEX('Pegar docentes'!$A$1:$BZ$1001,429,G$2)&amp;""),""))</f>
        <v/>
      </c>
      <c r="H430">
        <f>IF(H$2=0,"",IFERROR(TRIM(INDEX('Pegar docentes'!$A$1:$BZ$1001,429,H$2)&amp;""),""))</f>
        <v/>
      </c>
      <c r="I430">
        <f>IF(I$2=0,"",IFERROR(TRIM(INDEX('Pegar docentes'!$A$1:$BZ$1001,429,I$2)&amp;""),""))</f>
        <v/>
      </c>
      <c r="J430">
        <f>IF(J$2=0,"",IFERROR(TRIM(INDEX('Pegar docentes'!$A$1:$BZ$1001,429,J$2)&amp;""),""))</f>
        <v/>
      </c>
      <c r="K430">
        <f>IF(K$2=0,"",IFERROR(TRIM(INDEX('Pegar docentes'!$A$1:$BZ$1001,429,K$2)&amp;""),""))</f>
        <v/>
      </c>
      <c r="L430">
        <f>IF(L$2=0,"",IFERROR(TRIM(INDEX('Pegar docentes'!$A$1:$BZ$1001,429,L$2)&amp;""),""))</f>
        <v/>
      </c>
      <c r="M430">
        <f>IF(M$2=0,"",IFERROR(TRIM(INDEX('Pegar docentes'!$A$1:$BZ$1001,429,M$2)&amp;""),""))</f>
        <v/>
      </c>
      <c r="N430">
        <f>IF(N$2=0,"",IFERROR(TRIM(INDEX('Pegar docentes'!$A$1:$BZ$1001,429,N$2)&amp;""),""))</f>
        <v/>
      </c>
      <c r="O430">
        <f>IF(O$2=0,"",IFERROR(TRIM(INDEX('Pegar docentes'!$A$1:$BZ$1001,429,O$2)&amp;""),""))</f>
        <v/>
      </c>
      <c r="P430">
        <f>IF(P$2=0,"",IFERROR(TRIM(INDEX('Pegar docentes'!$A$1:$BZ$1001,429,P$2)&amp;""),""))</f>
        <v/>
      </c>
      <c r="Q430" s="25">
        <f>IF(OR(D430&lt;&gt;"",H430&lt;&gt;""),1,"")</f>
        <v/>
      </c>
      <c r="R430" s="25">
        <f>IF(Q430=1,IF(ISNUMBER(FIND("#"&amp;MID(D430,1,1)&amp;"#","#0#1#2#3#4#5#6#7#8#9#")),IF(ISNUMBER(FIND("#"&amp;MID(D430,2,1)&amp;"#","#0#1#2#3#4#5#6#7#8#9#")),IF(AND(VALUE(LEFT(D430,2))&gt;=1,VALUE(LEFT(D430,2))&lt;=5),VALUE(LEFT(D430,2)),""),IF(AND(VALUE(LEFT(D430,1))&gt;=1,VALUE(LEFT(D430,1))&lt;=5),VALUE(LEFT(D430,1)),"")),""),"")</f>
        <v/>
      </c>
      <c r="S430" s="25">
        <f>IF(AND(Q430=1,E430&lt;&gt;""),SUBSTITUTE(SUBSTITUTE(SUBSTITUTE(SUBSTITUTE(SUBSTITUTE(SUBSTITUTE(SUBSTITUTE(SUBSTITUTE(SUBSTITUTE(SUBSTITUTE(SUBSTITUTE(SUBSTITUTE(LOWER(TRIM(E430)),"á","a"),"é","e"),"í","i"),"ó","o"),"ú","u"),"ü","u"),"ñ","n"),"à","a"),"è","e"),"ì","i"),"ò","o"),"ù","u"),"")</f>
        <v/>
      </c>
      <c r="T430" s="25">
        <f>IF(AND(Q430=1,G430&lt;&gt;""),SUBSTITUTE(SUBSTITUTE(SUBSTITUTE(SUBSTITUTE(SUBSTITUTE(SUBSTITUTE(SUBSTITUTE(SUBSTITUTE(SUBSTITUTE(SUBSTITUTE(SUBSTITUTE(SUBSTITUTE(LOWER(TRIM(G430)),"á","a"),"é","e"),"í","i"),"ó","o"),"ú","u"),"ü","u"),"ñ","n"),"à","a"),"è","e"),"ì","i"),"ò","o"),"ù","u"),"")</f>
        <v/>
      </c>
      <c r="U430" s="25">
        <f>IF(AND(Q430=1,H430&lt;&gt;""),SUBSTITUTE(SUBSTITUTE(SUBSTITUTE(SUBSTITUTE(SUBSTITUTE(SUBSTITUTE(SUBSTITUTE(SUBSTITUTE(SUBSTITUTE(SUBSTITUTE(SUBSTITUTE(SUBSTITUTE(LOWER(TRIM(H430)),"á","a"),"é","e"),"í","i"),"ó","o"),"ú","u"),"ü","u"),"ñ","n"),"à","a"),"è","e"),"ì","i"),"ò","o"),"ù","u"),"")</f>
        <v/>
      </c>
      <c r="V430" s="25">
        <f>IF(AND(Q430=1,L430&lt;&gt;""),SUBSTITUTE(SUBSTITUTE(SUBSTITUTE(SUBSTITUTE(SUBSTITUTE(SUBSTITUTE(SUBSTITUTE(SUBSTITUTE(SUBSTITUTE(SUBSTITUTE(SUBSTITUTE(SUBSTITUTE(LOWER(TRIM(L430)),"á","a"),"é","e"),"í","i"),"ó","o"),"ú","u"),"ü","u"),"ñ","n"),"à","a"),"è","e"),"ì","i"),"ò","o"),"ù","u"),"")</f>
        <v/>
      </c>
      <c r="W430" s="25">
        <f>IF(AND(Q430=1,I430&lt;&gt;""),SUBSTITUTE(SUBSTITUTE(SUBSTITUTE(SUBSTITUTE(SUBSTITUTE(SUBSTITUTE(SUBSTITUTE(SUBSTITUTE(SUBSTITUTE(SUBSTITUTE(SUBSTITUTE(SUBSTITUTE(LOWER(TRIM(I430)),"á","a"),"é","e"),"í","i"),"ó","o"),"ú","u"),"ü","u"),"ñ","n"),"à","a"),"è","e"),"ì","i"),"ò","o"),"ù","u"),"")</f>
        <v/>
      </c>
      <c r="X430" s="25">
        <f>IF(U430="","",IF(OR(U430="si, en la proxima tarea",U430="si, con cambios"),1,0))</f>
        <v/>
      </c>
      <c r="Y430" s="25">
        <f>IF(AND(Q430=1,A430&lt;&gt;""),IF(IFERROR(COUNTIFS(A$3:A430,"="&amp;SUBSTITUTE(SUBSTITUTE(SUBSTITUTE(A430,"~","~~"),"*","~*"),"?","~?"),Q$3:Q430,1),0)=1,MAX(Y$2:Y429)+1,""),"")</f>
        <v/>
      </c>
      <c r="Z430" s="25">
        <f>IF(Y430="","",COUNTIFS($A$3:$A$1002,"="&amp;SUBSTITUTE(SUBSTITUTE(SUBSTITUTE(A430,"~","~~"),"*","~*"),"?","~?"),$Q$3:$Q$1002,1)*10000-Y430)</f>
        <v/>
      </c>
    </row>
    <row r="431">
      <c r="A431">
        <f>IF(A$2=0,"",IFERROR(TRIM(INDEX('Pegar docentes'!$A$1:$BZ$1001,430,A$2)&amp;""),""))</f>
        <v/>
      </c>
      <c r="B431">
        <f>IF(B$2=0,"",IFERROR(TRIM(INDEX('Pegar docentes'!$A$1:$BZ$1001,430,B$2)&amp;""),""))</f>
        <v/>
      </c>
      <c r="C431">
        <f>IF(C$2=0,"",IFERROR(TRIM(INDEX('Pegar docentes'!$A$1:$BZ$1001,430,C$2)&amp;""),""))</f>
        <v/>
      </c>
      <c r="D431">
        <f>IF(D$2=0,"",IFERROR(TRIM(INDEX('Pegar docentes'!$A$1:$BZ$1001,430,D$2)&amp;""),""))</f>
        <v/>
      </c>
      <c r="E431">
        <f>IF(E$2=0,"",IFERROR(TRIM(INDEX('Pegar docentes'!$A$1:$BZ$1001,430,E$2)&amp;""),""))</f>
        <v/>
      </c>
      <c r="F431">
        <f>IF(F$2=0,"",IFERROR(TRIM(INDEX('Pegar docentes'!$A$1:$BZ$1001,430,F$2)&amp;""),""))</f>
        <v/>
      </c>
      <c r="G431">
        <f>IF(G$2=0,"",IFERROR(TRIM(INDEX('Pegar docentes'!$A$1:$BZ$1001,430,G$2)&amp;""),""))</f>
        <v/>
      </c>
      <c r="H431">
        <f>IF(H$2=0,"",IFERROR(TRIM(INDEX('Pegar docentes'!$A$1:$BZ$1001,430,H$2)&amp;""),""))</f>
        <v/>
      </c>
      <c r="I431">
        <f>IF(I$2=0,"",IFERROR(TRIM(INDEX('Pegar docentes'!$A$1:$BZ$1001,430,I$2)&amp;""),""))</f>
        <v/>
      </c>
      <c r="J431">
        <f>IF(J$2=0,"",IFERROR(TRIM(INDEX('Pegar docentes'!$A$1:$BZ$1001,430,J$2)&amp;""),""))</f>
        <v/>
      </c>
      <c r="K431">
        <f>IF(K$2=0,"",IFERROR(TRIM(INDEX('Pegar docentes'!$A$1:$BZ$1001,430,K$2)&amp;""),""))</f>
        <v/>
      </c>
      <c r="L431">
        <f>IF(L$2=0,"",IFERROR(TRIM(INDEX('Pegar docentes'!$A$1:$BZ$1001,430,L$2)&amp;""),""))</f>
        <v/>
      </c>
      <c r="M431">
        <f>IF(M$2=0,"",IFERROR(TRIM(INDEX('Pegar docentes'!$A$1:$BZ$1001,430,M$2)&amp;""),""))</f>
        <v/>
      </c>
      <c r="N431">
        <f>IF(N$2=0,"",IFERROR(TRIM(INDEX('Pegar docentes'!$A$1:$BZ$1001,430,N$2)&amp;""),""))</f>
        <v/>
      </c>
      <c r="O431">
        <f>IF(O$2=0,"",IFERROR(TRIM(INDEX('Pegar docentes'!$A$1:$BZ$1001,430,O$2)&amp;""),""))</f>
        <v/>
      </c>
      <c r="P431">
        <f>IF(P$2=0,"",IFERROR(TRIM(INDEX('Pegar docentes'!$A$1:$BZ$1001,430,P$2)&amp;""),""))</f>
        <v/>
      </c>
      <c r="Q431" s="25">
        <f>IF(OR(D431&lt;&gt;"",H431&lt;&gt;""),1,"")</f>
        <v/>
      </c>
      <c r="R431" s="25">
        <f>IF(Q431=1,IF(ISNUMBER(FIND("#"&amp;MID(D431,1,1)&amp;"#","#0#1#2#3#4#5#6#7#8#9#")),IF(ISNUMBER(FIND("#"&amp;MID(D431,2,1)&amp;"#","#0#1#2#3#4#5#6#7#8#9#")),IF(AND(VALUE(LEFT(D431,2))&gt;=1,VALUE(LEFT(D431,2))&lt;=5),VALUE(LEFT(D431,2)),""),IF(AND(VALUE(LEFT(D431,1))&gt;=1,VALUE(LEFT(D431,1))&lt;=5),VALUE(LEFT(D431,1)),"")),""),"")</f>
        <v/>
      </c>
      <c r="S431" s="25">
        <f>IF(AND(Q431=1,E431&lt;&gt;""),SUBSTITUTE(SUBSTITUTE(SUBSTITUTE(SUBSTITUTE(SUBSTITUTE(SUBSTITUTE(SUBSTITUTE(SUBSTITUTE(SUBSTITUTE(SUBSTITUTE(SUBSTITUTE(SUBSTITUTE(LOWER(TRIM(E431)),"á","a"),"é","e"),"í","i"),"ó","o"),"ú","u"),"ü","u"),"ñ","n"),"à","a"),"è","e"),"ì","i"),"ò","o"),"ù","u"),"")</f>
        <v/>
      </c>
      <c r="T431" s="25">
        <f>IF(AND(Q431=1,G431&lt;&gt;""),SUBSTITUTE(SUBSTITUTE(SUBSTITUTE(SUBSTITUTE(SUBSTITUTE(SUBSTITUTE(SUBSTITUTE(SUBSTITUTE(SUBSTITUTE(SUBSTITUTE(SUBSTITUTE(SUBSTITUTE(LOWER(TRIM(G431)),"á","a"),"é","e"),"í","i"),"ó","o"),"ú","u"),"ü","u"),"ñ","n"),"à","a"),"è","e"),"ì","i"),"ò","o"),"ù","u"),"")</f>
        <v/>
      </c>
      <c r="U431" s="25">
        <f>IF(AND(Q431=1,H431&lt;&gt;""),SUBSTITUTE(SUBSTITUTE(SUBSTITUTE(SUBSTITUTE(SUBSTITUTE(SUBSTITUTE(SUBSTITUTE(SUBSTITUTE(SUBSTITUTE(SUBSTITUTE(SUBSTITUTE(SUBSTITUTE(LOWER(TRIM(H431)),"á","a"),"é","e"),"í","i"),"ó","o"),"ú","u"),"ü","u"),"ñ","n"),"à","a"),"è","e"),"ì","i"),"ò","o"),"ù","u"),"")</f>
        <v/>
      </c>
      <c r="V431" s="25">
        <f>IF(AND(Q431=1,L431&lt;&gt;""),SUBSTITUTE(SUBSTITUTE(SUBSTITUTE(SUBSTITUTE(SUBSTITUTE(SUBSTITUTE(SUBSTITUTE(SUBSTITUTE(SUBSTITUTE(SUBSTITUTE(SUBSTITUTE(SUBSTITUTE(LOWER(TRIM(L431)),"á","a"),"é","e"),"í","i"),"ó","o"),"ú","u"),"ü","u"),"ñ","n"),"à","a"),"è","e"),"ì","i"),"ò","o"),"ù","u"),"")</f>
        <v/>
      </c>
      <c r="W431" s="25">
        <f>IF(AND(Q431=1,I431&lt;&gt;""),SUBSTITUTE(SUBSTITUTE(SUBSTITUTE(SUBSTITUTE(SUBSTITUTE(SUBSTITUTE(SUBSTITUTE(SUBSTITUTE(SUBSTITUTE(SUBSTITUTE(SUBSTITUTE(SUBSTITUTE(LOWER(TRIM(I431)),"á","a"),"é","e"),"í","i"),"ó","o"),"ú","u"),"ü","u"),"ñ","n"),"à","a"),"è","e"),"ì","i"),"ò","o"),"ù","u"),"")</f>
        <v/>
      </c>
      <c r="X431" s="25">
        <f>IF(U431="","",IF(OR(U431="si, en la proxima tarea",U431="si, con cambios"),1,0))</f>
        <v/>
      </c>
      <c r="Y431" s="25">
        <f>IF(AND(Q431=1,A431&lt;&gt;""),IF(IFERROR(COUNTIFS(A$3:A431,"="&amp;SUBSTITUTE(SUBSTITUTE(SUBSTITUTE(A431,"~","~~"),"*","~*"),"?","~?"),Q$3:Q431,1),0)=1,MAX(Y$2:Y430)+1,""),"")</f>
        <v/>
      </c>
      <c r="Z431" s="25">
        <f>IF(Y431="","",COUNTIFS($A$3:$A$1002,"="&amp;SUBSTITUTE(SUBSTITUTE(SUBSTITUTE(A431,"~","~~"),"*","~*"),"?","~?"),$Q$3:$Q$1002,1)*10000-Y431)</f>
        <v/>
      </c>
    </row>
    <row r="432">
      <c r="A432">
        <f>IF(A$2=0,"",IFERROR(TRIM(INDEX('Pegar docentes'!$A$1:$BZ$1001,431,A$2)&amp;""),""))</f>
        <v/>
      </c>
      <c r="B432">
        <f>IF(B$2=0,"",IFERROR(TRIM(INDEX('Pegar docentes'!$A$1:$BZ$1001,431,B$2)&amp;""),""))</f>
        <v/>
      </c>
      <c r="C432">
        <f>IF(C$2=0,"",IFERROR(TRIM(INDEX('Pegar docentes'!$A$1:$BZ$1001,431,C$2)&amp;""),""))</f>
        <v/>
      </c>
      <c r="D432">
        <f>IF(D$2=0,"",IFERROR(TRIM(INDEX('Pegar docentes'!$A$1:$BZ$1001,431,D$2)&amp;""),""))</f>
        <v/>
      </c>
      <c r="E432">
        <f>IF(E$2=0,"",IFERROR(TRIM(INDEX('Pegar docentes'!$A$1:$BZ$1001,431,E$2)&amp;""),""))</f>
        <v/>
      </c>
      <c r="F432">
        <f>IF(F$2=0,"",IFERROR(TRIM(INDEX('Pegar docentes'!$A$1:$BZ$1001,431,F$2)&amp;""),""))</f>
        <v/>
      </c>
      <c r="G432">
        <f>IF(G$2=0,"",IFERROR(TRIM(INDEX('Pegar docentes'!$A$1:$BZ$1001,431,G$2)&amp;""),""))</f>
        <v/>
      </c>
      <c r="H432">
        <f>IF(H$2=0,"",IFERROR(TRIM(INDEX('Pegar docentes'!$A$1:$BZ$1001,431,H$2)&amp;""),""))</f>
        <v/>
      </c>
      <c r="I432">
        <f>IF(I$2=0,"",IFERROR(TRIM(INDEX('Pegar docentes'!$A$1:$BZ$1001,431,I$2)&amp;""),""))</f>
        <v/>
      </c>
      <c r="J432">
        <f>IF(J$2=0,"",IFERROR(TRIM(INDEX('Pegar docentes'!$A$1:$BZ$1001,431,J$2)&amp;""),""))</f>
        <v/>
      </c>
      <c r="K432">
        <f>IF(K$2=0,"",IFERROR(TRIM(INDEX('Pegar docentes'!$A$1:$BZ$1001,431,K$2)&amp;""),""))</f>
        <v/>
      </c>
      <c r="L432">
        <f>IF(L$2=0,"",IFERROR(TRIM(INDEX('Pegar docentes'!$A$1:$BZ$1001,431,L$2)&amp;""),""))</f>
        <v/>
      </c>
      <c r="M432">
        <f>IF(M$2=0,"",IFERROR(TRIM(INDEX('Pegar docentes'!$A$1:$BZ$1001,431,M$2)&amp;""),""))</f>
        <v/>
      </c>
      <c r="N432">
        <f>IF(N$2=0,"",IFERROR(TRIM(INDEX('Pegar docentes'!$A$1:$BZ$1001,431,N$2)&amp;""),""))</f>
        <v/>
      </c>
      <c r="O432">
        <f>IF(O$2=0,"",IFERROR(TRIM(INDEX('Pegar docentes'!$A$1:$BZ$1001,431,O$2)&amp;""),""))</f>
        <v/>
      </c>
      <c r="P432">
        <f>IF(P$2=0,"",IFERROR(TRIM(INDEX('Pegar docentes'!$A$1:$BZ$1001,431,P$2)&amp;""),""))</f>
        <v/>
      </c>
      <c r="Q432" s="25">
        <f>IF(OR(D432&lt;&gt;"",H432&lt;&gt;""),1,"")</f>
        <v/>
      </c>
      <c r="R432" s="25">
        <f>IF(Q432=1,IF(ISNUMBER(FIND("#"&amp;MID(D432,1,1)&amp;"#","#0#1#2#3#4#5#6#7#8#9#")),IF(ISNUMBER(FIND("#"&amp;MID(D432,2,1)&amp;"#","#0#1#2#3#4#5#6#7#8#9#")),IF(AND(VALUE(LEFT(D432,2))&gt;=1,VALUE(LEFT(D432,2))&lt;=5),VALUE(LEFT(D432,2)),""),IF(AND(VALUE(LEFT(D432,1))&gt;=1,VALUE(LEFT(D432,1))&lt;=5),VALUE(LEFT(D432,1)),"")),""),"")</f>
        <v/>
      </c>
      <c r="S432" s="25">
        <f>IF(AND(Q432=1,E432&lt;&gt;""),SUBSTITUTE(SUBSTITUTE(SUBSTITUTE(SUBSTITUTE(SUBSTITUTE(SUBSTITUTE(SUBSTITUTE(SUBSTITUTE(SUBSTITUTE(SUBSTITUTE(SUBSTITUTE(SUBSTITUTE(LOWER(TRIM(E432)),"á","a"),"é","e"),"í","i"),"ó","o"),"ú","u"),"ü","u"),"ñ","n"),"à","a"),"è","e"),"ì","i"),"ò","o"),"ù","u"),"")</f>
        <v/>
      </c>
      <c r="T432" s="25">
        <f>IF(AND(Q432=1,G432&lt;&gt;""),SUBSTITUTE(SUBSTITUTE(SUBSTITUTE(SUBSTITUTE(SUBSTITUTE(SUBSTITUTE(SUBSTITUTE(SUBSTITUTE(SUBSTITUTE(SUBSTITUTE(SUBSTITUTE(SUBSTITUTE(LOWER(TRIM(G432)),"á","a"),"é","e"),"í","i"),"ó","o"),"ú","u"),"ü","u"),"ñ","n"),"à","a"),"è","e"),"ì","i"),"ò","o"),"ù","u"),"")</f>
        <v/>
      </c>
      <c r="U432" s="25">
        <f>IF(AND(Q432=1,H432&lt;&gt;""),SUBSTITUTE(SUBSTITUTE(SUBSTITUTE(SUBSTITUTE(SUBSTITUTE(SUBSTITUTE(SUBSTITUTE(SUBSTITUTE(SUBSTITUTE(SUBSTITUTE(SUBSTITUTE(SUBSTITUTE(LOWER(TRIM(H432)),"á","a"),"é","e"),"í","i"),"ó","o"),"ú","u"),"ü","u"),"ñ","n"),"à","a"),"è","e"),"ì","i"),"ò","o"),"ù","u"),"")</f>
        <v/>
      </c>
      <c r="V432" s="25">
        <f>IF(AND(Q432=1,L432&lt;&gt;""),SUBSTITUTE(SUBSTITUTE(SUBSTITUTE(SUBSTITUTE(SUBSTITUTE(SUBSTITUTE(SUBSTITUTE(SUBSTITUTE(SUBSTITUTE(SUBSTITUTE(SUBSTITUTE(SUBSTITUTE(LOWER(TRIM(L432)),"á","a"),"é","e"),"í","i"),"ó","o"),"ú","u"),"ü","u"),"ñ","n"),"à","a"),"è","e"),"ì","i"),"ò","o"),"ù","u"),"")</f>
        <v/>
      </c>
      <c r="W432" s="25">
        <f>IF(AND(Q432=1,I432&lt;&gt;""),SUBSTITUTE(SUBSTITUTE(SUBSTITUTE(SUBSTITUTE(SUBSTITUTE(SUBSTITUTE(SUBSTITUTE(SUBSTITUTE(SUBSTITUTE(SUBSTITUTE(SUBSTITUTE(SUBSTITUTE(LOWER(TRIM(I432)),"á","a"),"é","e"),"í","i"),"ó","o"),"ú","u"),"ü","u"),"ñ","n"),"à","a"),"è","e"),"ì","i"),"ò","o"),"ù","u"),"")</f>
        <v/>
      </c>
      <c r="X432" s="25">
        <f>IF(U432="","",IF(OR(U432="si, en la proxima tarea",U432="si, con cambios"),1,0))</f>
        <v/>
      </c>
      <c r="Y432" s="25">
        <f>IF(AND(Q432=1,A432&lt;&gt;""),IF(IFERROR(COUNTIFS(A$3:A432,"="&amp;SUBSTITUTE(SUBSTITUTE(SUBSTITUTE(A432,"~","~~"),"*","~*"),"?","~?"),Q$3:Q432,1),0)=1,MAX(Y$2:Y431)+1,""),"")</f>
        <v/>
      </c>
      <c r="Z432" s="25">
        <f>IF(Y432="","",COUNTIFS($A$3:$A$1002,"="&amp;SUBSTITUTE(SUBSTITUTE(SUBSTITUTE(A432,"~","~~"),"*","~*"),"?","~?"),$Q$3:$Q$1002,1)*10000-Y432)</f>
        <v/>
      </c>
    </row>
    <row r="433">
      <c r="A433">
        <f>IF(A$2=0,"",IFERROR(TRIM(INDEX('Pegar docentes'!$A$1:$BZ$1001,432,A$2)&amp;""),""))</f>
        <v/>
      </c>
      <c r="B433">
        <f>IF(B$2=0,"",IFERROR(TRIM(INDEX('Pegar docentes'!$A$1:$BZ$1001,432,B$2)&amp;""),""))</f>
        <v/>
      </c>
      <c r="C433">
        <f>IF(C$2=0,"",IFERROR(TRIM(INDEX('Pegar docentes'!$A$1:$BZ$1001,432,C$2)&amp;""),""))</f>
        <v/>
      </c>
      <c r="D433">
        <f>IF(D$2=0,"",IFERROR(TRIM(INDEX('Pegar docentes'!$A$1:$BZ$1001,432,D$2)&amp;""),""))</f>
        <v/>
      </c>
      <c r="E433">
        <f>IF(E$2=0,"",IFERROR(TRIM(INDEX('Pegar docentes'!$A$1:$BZ$1001,432,E$2)&amp;""),""))</f>
        <v/>
      </c>
      <c r="F433">
        <f>IF(F$2=0,"",IFERROR(TRIM(INDEX('Pegar docentes'!$A$1:$BZ$1001,432,F$2)&amp;""),""))</f>
        <v/>
      </c>
      <c r="G433">
        <f>IF(G$2=0,"",IFERROR(TRIM(INDEX('Pegar docentes'!$A$1:$BZ$1001,432,G$2)&amp;""),""))</f>
        <v/>
      </c>
      <c r="H433">
        <f>IF(H$2=0,"",IFERROR(TRIM(INDEX('Pegar docentes'!$A$1:$BZ$1001,432,H$2)&amp;""),""))</f>
        <v/>
      </c>
      <c r="I433">
        <f>IF(I$2=0,"",IFERROR(TRIM(INDEX('Pegar docentes'!$A$1:$BZ$1001,432,I$2)&amp;""),""))</f>
        <v/>
      </c>
      <c r="J433">
        <f>IF(J$2=0,"",IFERROR(TRIM(INDEX('Pegar docentes'!$A$1:$BZ$1001,432,J$2)&amp;""),""))</f>
        <v/>
      </c>
      <c r="K433">
        <f>IF(K$2=0,"",IFERROR(TRIM(INDEX('Pegar docentes'!$A$1:$BZ$1001,432,K$2)&amp;""),""))</f>
        <v/>
      </c>
      <c r="L433">
        <f>IF(L$2=0,"",IFERROR(TRIM(INDEX('Pegar docentes'!$A$1:$BZ$1001,432,L$2)&amp;""),""))</f>
        <v/>
      </c>
      <c r="M433">
        <f>IF(M$2=0,"",IFERROR(TRIM(INDEX('Pegar docentes'!$A$1:$BZ$1001,432,M$2)&amp;""),""))</f>
        <v/>
      </c>
      <c r="N433">
        <f>IF(N$2=0,"",IFERROR(TRIM(INDEX('Pegar docentes'!$A$1:$BZ$1001,432,N$2)&amp;""),""))</f>
        <v/>
      </c>
      <c r="O433">
        <f>IF(O$2=0,"",IFERROR(TRIM(INDEX('Pegar docentes'!$A$1:$BZ$1001,432,O$2)&amp;""),""))</f>
        <v/>
      </c>
      <c r="P433">
        <f>IF(P$2=0,"",IFERROR(TRIM(INDEX('Pegar docentes'!$A$1:$BZ$1001,432,P$2)&amp;""),""))</f>
        <v/>
      </c>
      <c r="Q433" s="25">
        <f>IF(OR(D433&lt;&gt;"",H433&lt;&gt;""),1,"")</f>
        <v/>
      </c>
      <c r="R433" s="25">
        <f>IF(Q433=1,IF(ISNUMBER(FIND("#"&amp;MID(D433,1,1)&amp;"#","#0#1#2#3#4#5#6#7#8#9#")),IF(ISNUMBER(FIND("#"&amp;MID(D433,2,1)&amp;"#","#0#1#2#3#4#5#6#7#8#9#")),IF(AND(VALUE(LEFT(D433,2))&gt;=1,VALUE(LEFT(D433,2))&lt;=5),VALUE(LEFT(D433,2)),""),IF(AND(VALUE(LEFT(D433,1))&gt;=1,VALUE(LEFT(D433,1))&lt;=5),VALUE(LEFT(D433,1)),"")),""),"")</f>
        <v/>
      </c>
      <c r="S433" s="25">
        <f>IF(AND(Q433=1,E433&lt;&gt;""),SUBSTITUTE(SUBSTITUTE(SUBSTITUTE(SUBSTITUTE(SUBSTITUTE(SUBSTITUTE(SUBSTITUTE(SUBSTITUTE(SUBSTITUTE(SUBSTITUTE(SUBSTITUTE(SUBSTITUTE(LOWER(TRIM(E433)),"á","a"),"é","e"),"í","i"),"ó","o"),"ú","u"),"ü","u"),"ñ","n"),"à","a"),"è","e"),"ì","i"),"ò","o"),"ù","u"),"")</f>
        <v/>
      </c>
      <c r="T433" s="25">
        <f>IF(AND(Q433=1,G433&lt;&gt;""),SUBSTITUTE(SUBSTITUTE(SUBSTITUTE(SUBSTITUTE(SUBSTITUTE(SUBSTITUTE(SUBSTITUTE(SUBSTITUTE(SUBSTITUTE(SUBSTITUTE(SUBSTITUTE(SUBSTITUTE(LOWER(TRIM(G433)),"á","a"),"é","e"),"í","i"),"ó","o"),"ú","u"),"ü","u"),"ñ","n"),"à","a"),"è","e"),"ì","i"),"ò","o"),"ù","u"),"")</f>
        <v/>
      </c>
      <c r="U433" s="25">
        <f>IF(AND(Q433=1,H433&lt;&gt;""),SUBSTITUTE(SUBSTITUTE(SUBSTITUTE(SUBSTITUTE(SUBSTITUTE(SUBSTITUTE(SUBSTITUTE(SUBSTITUTE(SUBSTITUTE(SUBSTITUTE(SUBSTITUTE(SUBSTITUTE(LOWER(TRIM(H433)),"á","a"),"é","e"),"í","i"),"ó","o"),"ú","u"),"ü","u"),"ñ","n"),"à","a"),"è","e"),"ì","i"),"ò","o"),"ù","u"),"")</f>
        <v/>
      </c>
      <c r="V433" s="25">
        <f>IF(AND(Q433=1,L433&lt;&gt;""),SUBSTITUTE(SUBSTITUTE(SUBSTITUTE(SUBSTITUTE(SUBSTITUTE(SUBSTITUTE(SUBSTITUTE(SUBSTITUTE(SUBSTITUTE(SUBSTITUTE(SUBSTITUTE(SUBSTITUTE(LOWER(TRIM(L433)),"á","a"),"é","e"),"í","i"),"ó","o"),"ú","u"),"ü","u"),"ñ","n"),"à","a"),"è","e"),"ì","i"),"ò","o"),"ù","u"),"")</f>
        <v/>
      </c>
      <c r="W433" s="25">
        <f>IF(AND(Q433=1,I433&lt;&gt;""),SUBSTITUTE(SUBSTITUTE(SUBSTITUTE(SUBSTITUTE(SUBSTITUTE(SUBSTITUTE(SUBSTITUTE(SUBSTITUTE(SUBSTITUTE(SUBSTITUTE(SUBSTITUTE(SUBSTITUTE(LOWER(TRIM(I433)),"á","a"),"é","e"),"í","i"),"ó","o"),"ú","u"),"ü","u"),"ñ","n"),"à","a"),"è","e"),"ì","i"),"ò","o"),"ù","u"),"")</f>
        <v/>
      </c>
      <c r="X433" s="25">
        <f>IF(U433="","",IF(OR(U433="si, en la proxima tarea",U433="si, con cambios"),1,0))</f>
        <v/>
      </c>
      <c r="Y433" s="25">
        <f>IF(AND(Q433=1,A433&lt;&gt;""),IF(IFERROR(COUNTIFS(A$3:A433,"="&amp;SUBSTITUTE(SUBSTITUTE(SUBSTITUTE(A433,"~","~~"),"*","~*"),"?","~?"),Q$3:Q433,1),0)=1,MAX(Y$2:Y432)+1,""),"")</f>
        <v/>
      </c>
      <c r="Z433" s="25">
        <f>IF(Y433="","",COUNTIFS($A$3:$A$1002,"="&amp;SUBSTITUTE(SUBSTITUTE(SUBSTITUTE(A433,"~","~~"),"*","~*"),"?","~?"),$Q$3:$Q$1002,1)*10000-Y433)</f>
        <v/>
      </c>
    </row>
    <row r="434">
      <c r="A434">
        <f>IF(A$2=0,"",IFERROR(TRIM(INDEX('Pegar docentes'!$A$1:$BZ$1001,433,A$2)&amp;""),""))</f>
        <v/>
      </c>
      <c r="B434">
        <f>IF(B$2=0,"",IFERROR(TRIM(INDEX('Pegar docentes'!$A$1:$BZ$1001,433,B$2)&amp;""),""))</f>
        <v/>
      </c>
      <c r="C434">
        <f>IF(C$2=0,"",IFERROR(TRIM(INDEX('Pegar docentes'!$A$1:$BZ$1001,433,C$2)&amp;""),""))</f>
        <v/>
      </c>
      <c r="D434">
        <f>IF(D$2=0,"",IFERROR(TRIM(INDEX('Pegar docentes'!$A$1:$BZ$1001,433,D$2)&amp;""),""))</f>
        <v/>
      </c>
      <c r="E434">
        <f>IF(E$2=0,"",IFERROR(TRIM(INDEX('Pegar docentes'!$A$1:$BZ$1001,433,E$2)&amp;""),""))</f>
        <v/>
      </c>
      <c r="F434">
        <f>IF(F$2=0,"",IFERROR(TRIM(INDEX('Pegar docentes'!$A$1:$BZ$1001,433,F$2)&amp;""),""))</f>
        <v/>
      </c>
      <c r="G434">
        <f>IF(G$2=0,"",IFERROR(TRIM(INDEX('Pegar docentes'!$A$1:$BZ$1001,433,G$2)&amp;""),""))</f>
        <v/>
      </c>
      <c r="H434">
        <f>IF(H$2=0,"",IFERROR(TRIM(INDEX('Pegar docentes'!$A$1:$BZ$1001,433,H$2)&amp;""),""))</f>
        <v/>
      </c>
      <c r="I434">
        <f>IF(I$2=0,"",IFERROR(TRIM(INDEX('Pegar docentes'!$A$1:$BZ$1001,433,I$2)&amp;""),""))</f>
        <v/>
      </c>
      <c r="J434">
        <f>IF(J$2=0,"",IFERROR(TRIM(INDEX('Pegar docentes'!$A$1:$BZ$1001,433,J$2)&amp;""),""))</f>
        <v/>
      </c>
      <c r="K434">
        <f>IF(K$2=0,"",IFERROR(TRIM(INDEX('Pegar docentes'!$A$1:$BZ$1001,433,K$2)&amp;""),""))</f>
        <v/>
      </c>
      <c r="L434">
        <f>IF(L$2=0,"",IFERROR(TRIM(INDEX('Pegar docentes'!$A$1:$BZ$1001,433,L$2)&amp;""),""))</f>
        <v/>
      </c>
      <c r="M434">
        <f>IF(M$2=0,"",IFERROR(TRIM(INDEX('Pegar docentes'!$A$1:$BZ$1001,433,M$2)&amp;""),""))</f>
        <v/>
      </c>
      <c r="N434">
        <f>IF(N$2=0,"",IFERROR(TRIM(INDEX('Pegar docentes'!$A$1:$BZ$1001,433,N$2)&amp;""),""))</f>
        <v/>
      </c>
      <c r="O434">
        <f>IF(O$2=0,"",IFERROR(TRIM(INDEX('Pegar docentes'!$A$1:$BZ$1001,433,O$2)&amp;""),""))</f>
        <v/>
      </c>
      <c r="P434">
        <f>IF(P$2=0,"",IFERROR(TRIM(INDEX('Pegar docentes'!$A$1:$BZ$1001,433,P$2)&amp;""),""))</f>
        <v/>
      </c>
      <c r="Q434" s="25">
        <f>IF(OR(D434&lt;&gt;"",H434&lt;&gt;""),1,"")</f>
        <v/>
      </c>
      <c r="R434" s="25">
        <f>IF(Q434=1,IF(ISNUMBER(FIND("#"&amp;MID(D434,1,1)&amp;"#","#0#1#2#3#4#5#6#7#8#9#")),IF(ISNUMBER(FIND("#"&amp;MID(D434,2,1)&amp;"#","#0#1#2#3#4#5#6#7#8#9#")),IF(AND(VALUE(LEFT(D434,2))&gt;=1,VALUE(LEFT(D434,2))&lt;=5),VALUE(LEFT(D434,2)),""),IF(AND(VALUE(LEFT(D434,1))&gt;=1,VALUE(LEFT(D434,1))&lt;=5),VALUE(LEFT(D434,1)),"")),""),"")</f>
        <v/>
      </c>
      <c r="S434" s="25">
        <f>IF(AND(Q434=1,E434&lt;&gt;""),SUBSTITUTE(SUBSTITUTE(SUBSTITUTE(SUBSTITUTE(SUBSTITUTE(SUBSTITUTE(SUBSTITUTE(SUBSTITUTE(SUBSTITUTE(SUBSTITUTE(SUBSTITUTE(SUBSTITUTE(LOWER(TRIM(E434)),"á","a"),"é","e"),"í","i"),"ó","o"),"ú","u"),"ü","u"),"ñ","n"),"à","a"),"è","e"),"ì","i"),"ò","o"),"ù","u"),"")</f>
        <v/>
      </c>
      <c r="T434" s="25">
        <f>IF(AND(Q434=1,G434&lt;&gt;""),SUBSTITUTE(SUBSTITUTE(SUBSTITUTE(SUBSTITUTE(SUBSTITUTE(SUBSTITUTE(SUBSTITUTE(SUBSTITUTE(SUBSTITUTE(SUBSTITUTE(SUBSTITUTE(SUBSTITUTE(LOWER(TRIM(G434)),"á","a"),"é","e"),"í","i"),"ó","o"),"ú","u"),"ü","u"),"ñ","n"),"à","a"),"è","e"),"ì","i"),"ò","o"),"ù","u"),"")</f>
        <v/>
      </c>
      <c r="U434" s="25">
        <f>IF(AND(Q434=1,H434&lt;&gt;""),SUBSTITUTE(SUBSTITUTE(SUBSTITUTE(SUBSTITUTE(SUBSTITUTE(SUBSTITUTE(SUBSTITUTE(SUBSTITUTE(SUBSTITUTE(SUBSTITUTE(SUBSTITUTE(SUBSTITUTE(LOWER(TRIM(H434)),"á","a"),"é","e"),"í","i"),"ó","o"),"ú","u"),"ü","u"),"ñ","n"),"à","a"),"è","e"),"ì","i"),"ò","o"),"ù","u"),"")</f>
        <v/>
      </c>
      <c r="V434" s="25">
        <f>IF(AND(Q434=1,L434&lt;&gt;""),SUBSTITUTE(SUBSTITUTE(SUBSTITUTE(SUBSTITUTE(SUBSTITUTE(SUBSTITUTE(SUBSTITUTE(SUBSTITUTE(SUBSTITUTE(SUBSTITUTE(SUBSTITUTE(SUBSTITUTE(LOWER(TRIM(L434)),"á","a"),"é","e"),"í","i"),"ó","o"),"ú","u"),"ü","u"),"ñ","n"),"à","a"),"è","e"),"ì","i"),"ò","o"),"ù","u"),"")</f>
        <v/>
      </c>
      <c r="W434" s="25">
        <f>IF(AND(Q434=1,I434&lt;&gt;""),SUBSTITUTE(SUBSTITUTE(SUBSTITUTE(SUBSTITUTE(SUBSTITUTE(SUBSTITUTE(SUBSTITUTE(SUBSTITUTE(SUBSTITUTE(SUBSTITUTE(SUBSTITUTE(SUBSTITUTE(LOWER(TRIM(I434)),"á","a"),"é","e"),"í","i"),"ó","o"),"ú","u"),"ü","u"),"ñ","n"),"à","a"),"è","e"),"ì","i"),"ò","o"),"ù","u"),"")</f>
        <v/>
      </c>
      <c r="X434" s="25">
        <f>IF(U434="","",IF(OR(U434="si, en la proxima tarea",U434="si, con cambios"),1,0))</f>
        <v/>
      </c>
      <c r="Y434" s="25">
        <f>IF(AND(Q434=1,A434&lt;&gt;""),IF(IFERROR(COUNTIFS(A$3:A434,"="&amp;SUBSTITUTE(SUBSTITUTE(SUBSTITUTE(A434,"~","~~"),"*","~*"),"?","~?"),Q$3:Q434,1),0)=1,MAX(Y$2:Y433)+1,""),"")</f>
        <v/>
      </c>
      <c r="Z434" s="25">
        <f>IF(Y434="","",COUNTIFS($A$3:$A$1002,"="&amp;SUBSTITUTE(SUBSTITUTE(SUBSTITUTE(A434,"~","~~"),"*","~*"),"?","~?"),$Q$3:$Q$1002,1)*10000-Y434)</f>
        <v/>
      </c>
    </row>
    <row r="435">
      <c r="A435">
        <f>IF(A$2=0,"",IFERROR(TRIM(INDEX('Pegar docentes'!$A$1:$BZ$1001,434,A$2)&amp;""),""))</f>
        <v/>
      </c>
      <c r="B435">
        <f>IF(B$2=0,"",IFERROR(TRIM(INDEX('Pegar docentes'!$A$1:$BZ$1001,434,B$2)&amp;""),""))</f>
        <v/>
      </c>
      <c r="C435">
        <f>IF(C$2=0,"",IFERROR(TRIM(INDEX('Pegar docentes'!$A$1:$BZ$1001,434,C$2)&amp;""),""))</f>
        <v/>
      </c>
      <c r="D435">
        <f>IF(D$2=0,"",IFERROR(TRIM(INDEX('Pegar docentes'!$A$1:$BZ$1001,434,D$2)&amp;""),""))</f>
        <v/>
      </c>
      <c r="E435">
        <f>IF(E$2=0,"",IFERROR(TRIM(INDEX('Pegar docentes'!$A$1:$BZ$1001,434,E$2)&amp;""),""))</f>
        <v/>
      </c>
      <c r="F435">
        <f>IF(F$2=0,"",IFERROR(TRIM(INDEX('Pegar docentes'!$A$1:$BZ$1001,434,F$2)&amp;""),""))</f>
        <v/>
      </c>
      <c r="G435">
        <f>IF(G$2=0,"",IFERROR(TRIM(INDEX('Pegar docentes'!$A$1:$BZ$1001,434,G$2)&amp;""),""))</f>
        <v/>
      </c>
      <c r="H435">
        <f>IF(H$2=0,"",IFERROR(TRIM(INDEX('Pegar docentes'!$A$1:$BZ$1001,434,H$2)&amp;""),""))</f>
        <v/>
      </c>
      <c r="I435">
        <f>IF(I$2=0,"",IFERROR(TRIM(INDEX('Pegar docentes'!$A$1:$BZ$1001,434,I$2)&amp;""),""))</f>
        <v/>
      </c>
      <c r="J435">
        <f>IF(J$2=0,"",IFERROR(TRIM(INDEX('Pegar docentes'!$A$1:$BZ$1001,434,J$2)&amp;""),""))</f>
        <v/>
      </c>
      <c r="K435">
        <f>IF(K$2=0,"",IFERROR(TRIM(INDEX('Pegar docentes'!$A$1:$BZ$1001,434,K$2)&amp;""),""))</f>
        <v/>
      </c>
      <c r="L435">
        <f>IF(L$2=0,"",IFERROR(TRIM(INDEX('Pegar docentes'!$A$1:$BZ$1001,434,L$2)&amp;""),""))</f>
        <v/>
      </c>
      <c r="M435">
        <f>IF(M$2=0,"",IFERROR(TRIM(INDEX('Pegar docentes'!$A$1:$BZ$1001,434,M$2)&amp;""),""))</f>
        <v/>
      </c>
      <c r="N435">
        <f>IF(N$2=0,"",IFERROR(TRIM(INDEX('Pegar docentes'!$A$1:$BZ$1001,434,N$2)&amp;""),""))</f>
        <v/>
      </c>
      <c r="O435">
        <f>IF(O$2=0,"",IFERROR(TRIM(INDEX('Pegar docentes'!$A$1:$BZ$1001,434,O$2)&amp;""),""))</f>
        <v/>
      </c>
      <c r="P435">
        <f>IF(P$2=0,"",IFERROR(TRIM(INDEX('Pegar docentes'!$A$1:$BZ$1001,434,P$2)&amp;""),""))</f>
        <v/>
      </c>
      <c r="Q435" s="25">
        <f>IF(OR(D435&lt;&gt;"",H435&lt;&gt;""),1,"")</f>
        <v/>
      </c>
      <c r="R435" s="25">
        <f>IF(Q435=1,IF(ISNUMBER(FIND("#"&amp;MID(D435,1,1)&amp;"#","#0#1#2#3#4#5#6#7#8#9#")),IF(ISNUMBER(FIND("#"&amp;MID(D435,2,1)&amp;"#","#0#1#2#3#4#5#6#7#8#9#")),IF(AND(VALUE(LEFT(D435,2))&gt;=1,VALUE(LEFT(D435,2))&lt;=5),VALUE(LEFT(D435,2)),""),IF(AND(VALUE(LEFT(D435,1))&gt;=1,VALUE(LEFT(D435,1))&lt;=5),VALUE(LEFT(D435,1)),"")),""),"")</f>
        <v/>
      </c>
      <c r="S435" s="25">
        <f>IF(AND(Q435=1,E435&lt;&gt;""),SUBSTITUTE(SUBSTITUTE(SUBSTITUTE(SUBSTITUTE(SUBSTITUTE(SUBSTITUTE(SUBSTITUTE(SUBSTITUTE(SUBSTITUTE(SUBSTITUTE(SUBSTITUTE(SUBSTITUTE(LOWER(TRIM(E435)),"á","a"),"é","e"),"í","i"),"ó","o"),"ú","u"),"ü","u"),"ñ","n"),"à","a"),"è","e"),"ì","i"),"ò","o"),"ù","u"),"")</f>
        <v/>
      </c>
      <c r="T435" s="25">
        <f>IF(AND(Q435=1,G435&lt;&gt;""),SUBSTITUTE(SUBSTITUTE(SUBSTITUTE(SUBSTITUTE(SUBSTITUTE(SUBSTITUTE(SUBSTITUTE(SUBSTITUTE(SUBSTITUTE(SUBSTITUTE(SUBSTITUTE(SUBSTITUTE(LOWER(TRIM(G435)),"á","a"),"é","e"),"í","i"),"ó","o"),"ú","u"),"ü","u"),"ñ","n"),"à","a"),"è","e"),"ì","i"),"ò","o"),"ù","u"),"")</f>
        <v/>
      </c>
      <c r="U435" s="25">
        <f>IF(AND(Q435=1,H435&lt;&gt;""),SUBSTITUTE(SUBSTITUTE(SUBSTITUTE(SUBSTITUTE(SUBSTITUTE(SUBSTITUTE(SUBSTITUTE(SUBSTITUTE(SUBSTITUTE(SUBSTITUTE(SUBSTITUTE(SUBSTITUTE(LOWER(TRIM(H435)),"á","a"),"é","e"),"í","i"),"ó","o"),"ú","u"),"ü","u"),"ñ","n"),"à","a"),"è","e"),"ì","i"),"ò","o"),"ù","u"),"")</f>
        <v/>
      </c>
      <c r="V435" s="25">
        <f>IF(AND(Q435=1,L435&lt;&gt;""),SUBSTITUTE(SUBSTITUTE(SUBSTITUTE(SUBSTITUTE(SUBSTITUTE(SUBSTITUTE(SUBSTITUTE(SUBSTITUTE(SUBSTITUTE(SUBSTITUTE(SUBSTITUTE(SUBSTITUTE(LOWER(TRIM(L435)),"á","a"),"é","e"),"í","i"),"ó","o"),"ú","u"),"ü","u"),"ñ","n"),"à","a"),"è","e"),"ì","i"),"ò","o"),"ù","u"),"")</f>
        <v/>
      </c>
      <c r="W435" s="25">
        <f>IF(AND(Q435=1,I435&lt;&gt;""),SUBSTITUTE(SUBSTITUTE(SUBSTITUTE(SUBSTITUTE(SUBSTITUTE(SUBSTITUTE(SUBSTITUTE(SUBSTITUTE(SUBSTITUTE(SUBSTITUTE(SUBSTITUTE(SUBSTITUTE(LOWER(TRIM(I435)),"á","a"),"é","e"),"í","i"),"ó","o"),"ú","u"),"ü","u"),"ñ","n"),"à","a"),"è","e"),"ì","i"),"ò","o"),"ù","u"),"")</f>
        <v/>
      </c>
      <c r="X435" s="25">
        <f>IF(U435="","",IF(OR(U435="si, en la proxima tarea",U435="si, con cambios"),1,0))</f>
        <v/>
      </c>
      <c r="Y435" s="25">
        <f>IF(AND(Q435=1,A435&lt;&gt;""),IF(IFERROR(COUNTIFS(A$3:A435,"="&amp;SUBSTITUTE(SUBSTITUTE(SUBSTITUTE(A435,"~","~~"),"*","~*"),"?","~?"),Q$3:Q435,1),0)=1,MAX(Y$2:Y434)+1,""),"")</f>
        <v/>
      </c>
      <c r="Z435" s="25">
        <f>IF(Y435="","",COUNTIFS($A$3:$A$1002,"="&amp;SUBSTITUTE(SUBSTITUTE(SUBSTITUTE(A435,"~","~~"),"*","~*"),"?","~?"),$Q$3:$Q$1002,1)*10000-Y435)</f>
        <v/>
      </c>
    </row>
    <row r="436">
      <c r="A436">
        <f>IF(A$2=0,"",IFERROR(TRIM(INDEX('Pegar docentes'!$A$1:$BZ$1001,435,A$2)&amp;""),""))</f>
        <v/>
      </c>
      <c r="B436">
        <f>IF(B$2=0,"",IFERROR(TRIM(INDEX('Pegar docentes'!$A$1:$BZ$1001,435,B$2)&amp;""),""))</f>
        <v/>
      </c>
      <c r="C436">
        <f>IF(C$2=0,"",IFERROR(TRIM(INDEX('Pegar docentes'!$A$1:$BZ$1001,435,C$2)&amp;""),""))</f>
        <v/>
      </c>
      <c r="D436">
        <f>IF(D$2=0,"",IFERROR(TRIM(INDEX('Pegar docentes'!$A$1:$BZ$1001,435,D$2)&amp;""),""))</f>
        <v/>
      </c>
      <c r="E436">
        <f>IF(E$2=0,"",IFERROR(TRIM(INDEX('Pegar docentes'!$A$1:$BZ$1001,435,E$2)&amp;""),""))</f>
        <v/>
      </c>
      <c r="F436">
        <f>IF(F$2=0,"",IFERROR(TRIM(INDEX('Pegar docentes'!$A$1:$BZ$1001,435,F$2)&amp;""),""))</f>
        <v/>
      </c>
      <c r="G436">
        <f>IF(G$2=0,"",IFERROR(TRIM(INDEX('Pegar docentes'!$A$1:$BZ$1001,435,G$2)&amp;""),""))</f>
        <v/>
      </c>
      <c r="H436">
        <f>IF(H$2=0,"",IFERROR(TRIM(INDEX('Pegar docentes'!$A$1:$BZ$1001,435,H$2)&amp;""),""))</f>
        <v/>
      </c>
      <c r="I436">
        <f>IF(I$2=0,"",IFERROR(TRIM(INDEX('Pegar docentes'!$A$1:$BZ$1001,435,I$2)&amp;""),""))</f>
        <v/>
      </c>
      <c r="J436">
        <f>IF(J$2=0,"",IFERROR(TRIM(INDEX('Pegar docentes'!$A$1:$BZ$1001,435,J$2)&amp;""),""))</f>
        <v/>
      </c>
      <c r="K436">
        <f>IF(K$2=0,"",IFERROR(TRIM(INDEX('Pegar docentes'!$A$1:$BZ$1001,435,K$2)&amp;""),""))</f>
        <v/>
      </c>
      <c r="L436">
        <f>IF(L$2=0,"",IFERROR(TRIM(INDEX('Pegar docentes'!$A$1:$BZ$1001,435,L$2)&amp;""),""))</f>
        <v/>
      </c>
      <c r="M436">
        <f>IF(M$2=0,"",IFERROR(TRIM(INDEX('Pegar docentes'!$A$1:$BZ$1001,435,M$2)&amp;""),""))</f>
        <v/>
      </c>
      <c r="N436">
        <f>IF(N$2=0,"",IFERROR(TRIM(INDEX('Pegar docentes'!$A$1:$BZ$1001,435,N$2)&amp;""),""))</f>
        <v/>
      </c>
      <c r="O436">
        <f>IF(O$2=0,"",IFERROR(TRIM(INDEX('Pegar docentes'!$A$1:$BZ$1001,435,O$2)&amp;""),""))</f>
        <v/>
      </c>
      <c r="P436">
        <f>IF(P$2=0,"",IFERROR(TRIM(INDEX('Pegar docentes'!$A$1:$BZ$1001,435,P$2)&amp;""),""))</f>
        <v/>
      </c>
      <c r="Q436" s="25">
        <f>IF(OR(D436&lt;&gt;"",H436&lt;&gt;""),1,"")</f>
        <v/>
      </c>
      <c r="R436" s="25">
        <f>IF(Q436=1,IF(ISNUMBER(FIND("#"&amp;MID(D436,1,1)&amp;"#","#0#1#2#3#4#5#6#7#8#9#")),IF(ISNUMBER(FIND("#"&amp;MID(D436,2,1)&amp;"#","#0#1#2#3#4#5#6#7#8#9#")),IF(AND(VALUE(LEFT(D436,2))&gt;=1,VALUE(LEFT(D436,2))&lt;=5),VALUE(LEFT(D436,2)),""),IF(AND(VALUE(LEFT(D436,1))&gt;=1,VALUE(LEFT(D436,1))&lt;=5),VALUE(LEFT(D436,1)),"")),""),"")</f>
        <v/>
      </c>
      <c r="S436" s="25">
        <f>IF(AND(Q436=1,E436&lt;&gt;""),SUBSTITUTE(SUBSTITUTE(SUBSTITUTE(SUBSTITUTE(SUBSTITUTE(SUBSTITUTE(SUBSTITUTE(SUBSTITUTE(SUBSTITUTE(SUBSTITUTE(SUBSTITUTE(SUBSTITUTE(LOWER(TRIM(E436)),"á","a"),"é","e"),"í","i"),"ó","o"),"ú","u"),"ü","u"),"ñ","n"),"à","a"),"è","e"),"ì","i"),"ò","o"),"ù","u"),"")</f>
        <v/>
      </c>
      <c r="T436" s="25">
        <f>IF(AND(Q436=1,G436&lt;&gt;""),SUBSTITUTE(SUBSTITUTE(SUBSTITUTE(SUBSTITUTE(SUBSTITUTE(SUBSTITUTE(SUBSTITUTE(SUBSTITUTE(SUBSTITUTE(SUBSTITUTE(SUBSTITUTE(SUBSTITUTE(LOWER(TRIM(G436)),"á","a"),"é","e"),"í","i"),"ó","o"),"ú","u"),"ü","u"),"ñ","n"),"à","a"),"è","e"),"ì","i"),"ò","o"),"ù","u"),"")</f>
        <v/>
      </c>
      <c r="U436" s="25">
        <f>IF(AND(Q436=1,H436&lt;&gt;""),SUBSTITUTE(SUBSTITUTE(SUBSTITUTE(SUBSTITUTE(SUBSTITUTE(SUBSTITUTE(SUBSTITUTE(SUBSTITUTE(SUBSTITUTE(SUBSTITUTE(SUBSTITUTE(SUBSTITUTE(LOWER(TRIM(H436)),"á","a"),"é","e"),"í","i"),"ó","o"),"ú","u"),"ü","u"),"ñ","n"),"à","a"),"è","e"),"ì","i"),"ò","o"),"ù","u"),"")</f>
        <v/>
      </c>
      <c r="V436" s="25">
        <f>IF(AND(Q436=1,L436&lt;&gt;""),SUBSTITUTE(SUBSTITUTE(SUBSTITUTE(SUBSTITUTE(SUBSTITUTE(SUBSTITUTE(SUBSTITUTE(SUBSTITUTE(SUBSTITUTE(SUBSTITUTE(SUBSTITUTE(SUBSTITUTE(LOWER(TRIM(L436)),"á","a"),"é","e"),"í","i"),"ó","o"),"ú","u"),"ü","u"),"ñ","n"),"à","a"),"è","e"),"ì","i"),"ò","o"),"ù","u"),"")</f>
        <v/>
      </c>
      <c r="W436" s="25">
        <f>IF(AND(Q436=1,I436&lt;&gt;""),SUBSTITUTE(SUBSTITUTE(SUBSTITUTE(SUBSTITUTE(SUBSTITUTE(SUBSTITUTE(SUBSTITUTE(SUBSTITUTE(SUBSTITUTE(SUBSTITUTE(SUBSTITUTE(SUBSTITUTE(LOWER(TRIM(I436)),"á","a"),"é","e"),"í","i"),"ó","o"),"ú","u"),"ü","u"),"ñ","n"),"à","a"),"è","e"),"ì","i"),"ò","o"),"ù","u"),"")</f>
        <v/>
      </c>
      <c r="X436" s="25">
        <f>IF(U436="","",IF(OR(U436="si, en la proxima tarea",U436="si, con cambios"),1,0))</f>
        <v/>
      </c>
      <c r="Y436" s="25">
        <f>IF(AND(Q436=1,A436&lt;&gt;""),IF(IFERROR(COUNTIFS(A$3:A436,"="&amp;SUBSTITUTE(SUBSTITUTE(SUBSTITUTE(A436,"~","~~"),"*","~*"),"?","~?"),Q$3:Q436,1),0)=1,MAX(Y$2:Y435)+1,""),"")</f>
        <v/>
      </c>
      <c r="Z436" s="25">
        <f>IF(Y436="","",COUNTIFS($A$3:$A$1002,"="&amp;SUBSTITUTE(SUBSTITUTE(SUBSTITUTE(A436,"~","~~"),"*","~*"),"?","~?"),$Q$3:$Q$1002,1)*10000-Y436)</f>
        <v/>
      </c>
    </row>
    <row r="437">
      <c r="A437">
        <f>IF(A$2=0,"",IFERROR(TRIM(INDEX('Pegar docentes'!$A$1:$BZ$1001,436,A$2)&amp;""),""))</f>
        <v/>
      </c>
      <c r="B437">
        <f>IF(B$2=0,"",IFERROR(TRIM(INDEX('Pegar docentes'!$A$1:$BZ$1001,436,B$2)&amp;""),""))</f>
        <v/>
      </c>
      <c r="C437">
        <f>IF(C$2=0,"",IFERROR(TRIM(INDEX('Pegar docentes'!$A$1:$BZ$1001,436,C$2)&amp;""),""))</f>
        <v/>
      </c>
      <c r="D437">
        <f>IF(D$2=0,"",IFERROR(TRIM(INDEX('Pegar docentes'!$A$1:$BZ$1001,436,D$2)&amp;""),""))</f>
        <v/>
      </c>
      <c r="E437">
        <f>IF(E$2=0,"",IFERROR(TRIM(INDEX('Pegar docentes'!$A$1:$BZ$1001,436,E$2)&amp;""),""))</f>
        <v/>
      </c>
      <c r="F437">
        <f>IF(F$2=0,"",IFERROR(TRIM(INDEX('Pegar docentes'!$A$1:$BZ$1001,436,F$2)&amp;""),""))</f>
        <v/>
      </c>
      <c r="G437">
        <f>IF(G$2=0,"",IFERROR(TRIM(INDEX('Pegar docentes'!$A$1:$BZ$1001,436,G$2)&amp;""),""))</f>
        <v/>
      </c>
      <c r="H437">
        <f>IF(H$2=0,"",IFERROR(TRIM(INDEX('Pegar docentes'!$A$1:$BZ$1001,436,H$2)&amp;""),""))</f>
        <v/>
      </c>
      <c r="I437">
        <f>IF(I$2=0,"",IFERROR(TRIM(INDEX('Pegar docentes'!$A$1:$BZ$1001,436,I$2)&amp;""),""))</f>
        <v/>
      </c>
      <c r="J437">
        <f>IF(J$2=0,"",IFERROR(TRIM(INDEX('Pegar docentes'!$A$1:$BZ$1001,436,J$2)&amp;""),""))</f>
        <v/>
      </c>
      <c r="K437">
        <f>IF(K$2=0,"",IFERROR(TRIM(INDEX('Pegar docentes'!$A$1:$BZ$1001,436,K$2)&amp;""),""))</f>
        <v/>
      </c>
      <c r="L437">
        <f>IF(L$2=0,"",IFERROR(TRIM(INDEX('Pegar docentes'!$A$1:$BZ$1001,436,L$2)&amp;""),""))</f>
        <v/>
      </c>
      <c r="M437">
        <f>IF(M$2=0,"",IFERROR(TRIM(INDEX('Pegar docentes'!$A$1:$BZ$1001,436,M$2)&amp;""),""))</f>
        <v/>
      </c>
      <c r="N437">
        <f>IF(N$2=0,"",IFERROR(TRIM(INDEX('Pegar docentes'!$A$1:$BZ$1001,436,N$2)&amp;""),""))</f>
        <v/>
      </c>
      <c r="O437">
        <f>IF(O$2=0,"",IFERROR(TRIM(INDEX('Pegar docentes'!$A$1:$BZ$1001,436,O$2)&amp;""),""))</f>
        <v/>
      </c>
      <c r="P437">
        <f>IF(P$2=0,"",IFERROR(TRIM(INDEX('Pegar docentes'!$A$1:$BZ$1001,436,P$2)&amp;""),""))</f>
        <v/>
      </c>
      <c r="Q437" s="25">
        <f>IF(OR(D437&lt;&gt;"",H437&lt;&gt;""),1,"")</f>
        <v/>
      </c>
      <c r="R437" s="25">
        <f>IF(Q437=1,IF(ISNUMBER(FIND("#"&amp;MID(D437,1,1)&amp;"#","#0#1#2#3#4#5#6#7#8#9#")),IF(ISNUMBER(FIND("#"&amp;MID(D437,2,1)&amp;"#","#0#1#2#3#4#5#6#7#8#9#")),IF(AND(VALUE(LEFT(D437,2))&gt;=1,VALUE(LEFT(D437,2))&lt;=5),VALUE(LEFT(D437,2)),""),IF(AND(VALUE(LEFT(D437,1))&gt;=1,VALUE(LEFT(D437,1))&lt;=5),VALUE(LEFT(D437,1)),"")),""),"")</f>
        <v/>
      </c>
      <c r="S437" s="25">
        <f>IF(AND(Q437=1,E437&lt;&gt;""),SUBSTITUTE(SUBSTITUTE(SUBSTITUTE(SUBSTITUTE(SUBSTITUTE(SUBSTITUTE(SUBSTITUTE(SUBSTITUTE(SUBSTITUTE(SUBSTITUTE(SUBSTITUTE(SUBSTITUTE(LOWER(TRIM(E437)),"á","a"),"é","e"),"í","i"),"ó","o"),"ú","u"),"ü","u"),"ñ","n"),"à","a"),"è","e"),"ì","i"),"ò","o"),"ù","u"),"")</f>
        <v/>
      </c>
      <c r="T437" s="25">
        <f>IF(AND(Q437=1,G437&lt;&gt;""),SUBSTITUTE(SUBSTITUTE(SUBSTITUTE(SUBSTITUTE(SUBSTITUTE(SUBSTITUTE(SUBSTITUTE(SUBSTITUTE(SUBSTITUTE(SUBSTITUTE(SUBSTITUTE(SUBSTITUTE(LOWER(TRIM(G437)),"á","a"),"é","e"),"í","i"),"ó","o"),"ú","u"),"ü","u"),"ñ","n"),"à","a"),"è","e"),"ì","i"),"ò","o"),"ù","u"),"")</f>
        <v/>
      </c>
      <c r="U437" s="25">
        <f>IF(AND(Q437=1,H437&lt;&gt;""),SUBSTITUTE(SUBSTITUTE(SUBSTITUTE(SUBSTITUTE(SUBSTITUTE(SUBSTITUTE(SUBSTITUTE(SUBSTITUTE(SUBSTITUTE(SUBSTITUTE(SUBSTITUTE(SUBSTITUTE(LOWER(TRIM(H437)),"á","a"),"é","e"),"í","i"),"ó","o"),"ú","u"),"ü","u"),"ñ","n"),"à","a"),"è","e"),"ì","i"),"ò","o"),"ù","u"),"")</f>
        <v/>
      </c>
      <c r="V437" s="25">
        <f>IF(AND(Q437=1,L437&lt;&gt;""),SUBSTITUTE(SUBSTITUTE(SUBSTITUTE(SUBSTITUTE(SUBSTITUTE(SUBSTITUTE(SUBSTITUTE(SUBSTITUTE(SUBSTITUTE(SUBSTITUTE(SUBSTITUTE(SUBSTITUTE(LOWER(TRIM(L437)),"á","a"),"é","e"),"í","i"),"ó","o"),"ú","u"),"ü","u"),"ñ","n"),"à","a"),"è","e"),"ì","i"),"ò","o"),"ù","u"),"")</f>
        <v/>
      </c>
      <c r="W437" s="25">
        <f>IF(AND(Q437=1,I437&lt;&gt;""),SUBSTITUTE(SUBSTITUTE(SUBSTITUTE(SUBSTITUTE(SUBSTITUTE(SUBSTITUTE(SUBSTITUTE(SUBSTITUTE(SUBSTITUTE(SUBSTITUTE(SUBSTITUTE(SUBSTITUTE(LOWER(TRIM(I437)),"á","a"),"é","e"),"í","i"),"ó","o"),"ú","u"),"ü","u"),"ñ","n"),"à","a"),"è","e"),"ì","i"),"ò","o"),"ù","u"),"")</f>
        <v/>
      </c>
      <c r="X437" s="25">
        <f>IF(U437="","",IF(OR(U437="si, en la proxima tarea",U437="si, con cambios"),1,0))</f>
        <v/>
      </c>
      <c r="Y437" s="25">
        <f>IF(AND(Q437=1,A437&lt;&gt;""),IF(IFERROR(COUNTIFS(A$3:A437,"="&amp;SUBSTITUTE(SUBSTITUTE(SUBSTITUTE(A437,"~","~~"),"*","~*"),"?","~?"),Q$3:Q437,1),0)=1,MAX(Y$2:Y436)+1,""),"")</f>
        <v/>
      </c>
      <c r="Z437" s="25">
        <f>IF(Y437="","",COUNTIFS($A$3:$A$1002,"="&amp;SUBSTITUTE(SUBSTITUTE(SUBSTITUTE(A437,"~","~~"),"*","~*"),"?","~?"),$Q$3:$Q$1002,1)*10000-Y437)</f>
        <v/>
      </c>
    </row>
    <row r="438">
      <c r="A438">
        <f>IF(A$2=0,"",IFERROR(TRIM(INDEX('Pegar docentes'!$A$1:$BZ$1001,437,A$2)&amp;""),""))</f>
        <v/>
      </c>
      <c r="B438">
        <f>IF(B$2=0,"",IFERROR(TRIM(INDEX('Pegar docentes'!$A$1:$BZ$1001,437,B$2)&amp;""),""))</f>
        <v/>
      </c>
      <c r="C438">
        <f>IF(C$2=0,"",IFERROR(TRIM(INDEX('Pegar docentes'!$A$1:$BZ$1001,437,C$2)&amp;""),""))</f>
        <v/>
      </c>
      <c r="D438">
        <f>IF(D$2=0,"",IFERROR(TRIM(INDEX('Pegar docentes'!$A$1:$BZ$1001,437,D$2)&amp;""),""))</f>
        <v/>
      </c>
      <c r="E438">
        <f>IF(E$2=0,"",IFERROR(TRIM(INDEX('Pegar docentes'!$A$1:$BZ$1001,437,E$2)&amp;""),""))</f>
        <v/>
      </c>
      <c r="F438">
        <f>IF(F$2=0,"",IFERROR(TRIM(INDEX('Pegar docentes'!$A$1:$BZ$1001,437,F$2)&amp;""),""))</f>
        <v/>
      </c>
      <c r="G438">
        <f>IF(G$2=0,"",IFERROR(TRIM(INDEX('Pegar docentes'!$A$1:$BZ$1001,437,G$2)&amp;""),""))</f>
        <v/>
      </c>
      <c r="H438">
        <f>IF(H$2=0,"",IFERROR(TRIM(INDEX('Pegar docentes'!$A$1:$BZ$1001,437,H$2)&amp;""),""))</f>
        <v/>
      </c>
      <c r="I438">
        <f>IF(I$2=0,"",IFERROR(TRIM(INDEX('Pegar docentes'!$A$1:$BZ$1001,437,I$2)&amp;""),""))</f>
        <v/>
      </c>
      <c r="J438">
        <f>IF(J$2=0,"",IFERROR(TRIM(INDEX('Pegar docentes'!$A$1:$BZ$1001,437,J$2)&amp;""),""))</f>
        <v/>
      </c>
      <c r="K438">
        <f>IF(K$2=0,"",IFERROR(TRIM(INDEX('Pegar docentes'!$A$1:$BZ$1001,437,K$2)&amp;""),""))</f>
        <v/>
      </c>
      <c r="L438">
        <f>IF(L$2=0,"",IFERROR(TRIM(INDEX('Pegar docentes'!$A$1:$BZ$1001,437,L$2)&amp;""),""))</f>
        <v/>
      </c>
      <c r="M438">
        <f>IF(M$2=0,"",IFERROR(TRIM(INDEX('Pegar docentes'!$A$1:$BZ$1001,437,M$2)&amp;""),""))</f>
        <v/>
      </c>
      <c r="N438">
        <f>IF(N$2=0,"",IFERROR(TRIM(INDEX('Pegar docentes'!$A$1:$BZ$1001,437,N$2)&amp;""),""))</f>
        <v/>
      </c>
      <c r="O438">
        <f>IF(O$2=0,"",IFERROR(TRIM(INDEX('Pegar docentes'!$A$1:$BZ$1001,437,O$2)&amp;""),""))</f>
        <v/>
      </c>
      <c r="P438">
        <f>IF(P$2=0,"",IFERROR(TRIM(INDEX('Pegar docentes'!$A$1:$BZ$1001,437,P$2)&amp;""),""))</f>
        <v/>
      </c>
      <c r="Q438" s="25">
        <f>IF(OR(D438&lt;&gt;"",H438&lt;&gt;""),1,"")</f>
        <v/>
      </c>
      <c r="R438" s="25">
        <f>IF(Q438=1,IF(ISNUMBER(FIND("#"&amp;MID(D438,1,1)&amp;"#","#0#1#2#3#4#5#6#7#8#9#")),IF(ISNUMBER(FIND("#"&amp;MID(D438,2,1)&amp;"#","#0#1#2#3#4#5#6#7#8#9#")),IF(AND(VALUE(LEFT(D438,2))&gt;=1,VALUE(LEFT(D438,2))&lt;=5),VALUE(LEFT(D438,2)),""),IF(AND(VALUE(LEFT(D438,1))&gt;=1,VALUE(LEFT(D438,1))&lt;=5),VALUE(LEFT(D438,1)),"")),""),"")</f>
        <v/>
      </c>
      <c r="S438" s="25">
        <f>IF(AND(Q438=1,E438&lt;&gt;""),SUBSTITUTE(SUBSTITUTE(SUBSTITUTE(SUBSTITUTE(SUBSTITUTE(SUBSTITUTE(SUBSTITUTE(SUBSTITUTE(SUBSTITUTE(SUBSTITUTE(SUBSTITUTE(SUBSTITUTE(LOWER(TRIM(E438)),"á","a"),"é","e"),"í","i"),"ó","o"),"ú","u"),"ü","u"),"ñ","n"),"à","a"),"è","e"),"ì","i"),"ò","o"),"ù","u"),"")</f>
        <v/>
      </c>
      <c r="T438" s="25">
        <f>IF(AND(Q438=1,G438&lt;&gt;""),SUBSTITUTE(SUBSTITUTE(SUBSTITUTE(SUBSTITUTE(SUBSTITUTE(SUBSTITUTE(SUBSTITUTE(SUBSTITUTE(SUBSTITUTE(SUBSTITUTE(SUBSTITUTE(SUBSTITUTE(LOWER(TRIM(G438)),"á","a"),"é","e"),"í","i"),"ó","o"),"ú","u"),"ü","u"),"ñ","n"),"à","a"),"è","e"),"ì","i"),"ò","o"),"ù","u"),"")</f>
        <v/>
      </c>
      <c r="U438" s="25">
        <f>IF(AND(Q438=1,H438&lt;&gt;""),SUBSTITUTE(SUBSTITUTE(SUBSTITUTE(SUBSTITUTE(SUBSTITUTE(SUBSTITUTE(SUBSTITUTE(SUBSTITUTE(SUBSTITUTE(SUBSTITUTE(SUBSTITUTE(SUBSTITUTE(LOWER(TRIM(H438)),"á","a"),"é","e"),"í","i"),"ó","o"),"ú","u"),"ü","u"),"ñ","n"),"à","a"),"è","e"),"ì","i"),"ò","o"),"ù","u"),"")</f>
        <v/>
      </c>
      <c r="V438" s="25">
        <f>IF(AND(Q438=1,L438&lt;&gt;""),SUBSTITUTE(SUBSTITUTE(SUBSTITUTE(SUBSTITUTE(SUBSTITUTE(SUBSTITUTE(SUBSTITUTE(SUBSTITUTE(SUBSTITUTE(SUBSTITUTE(SUBSTITUTE(SUBSTITUTE(LOWER(TRIM(L438)),"á","a"),"é","e"),"í","i"),"ó","o"),"ú","u"),"ü","u"),"ñ","n"),"à","a"),"è","e"),"ì","i"),"ò","o"),"ù","u"),"")</f>
        <v/>
      </c>
      <c r="W438" s="25">
        <f>IF(AND(Q438=1,I438&lt;&gt;""),SUBSTITUTE(SUBSTITUTE(SUBSTITUTE(SUBSTITUTE(SUBSTITUTE(SUBSTITUTE(SUBSTITUTE(SUBSTITUTE(SUBSTITUTE(SUBSTITUTE(SUBSTITUTE(SUBSTITUTE(LOWER(TRIM(I438)),"á","a"),"é","e"),"í","i"),"ó","o"),"ú","u"),"ü","u"),"ñ","n"),"à","a"),"è","e"),"ì","i"),"ò","o"),"ù","u"),"")</f>
        <v/>
      </c>
      <c r="X438" s="25">
        <f>IF(U438="","",IF(OR(U438="si, en la proxima tarea",U438="si, con cambios"),1,0))</f>
        <v/>
      </c>
      <c r="Y438" s="25">
        <f>IF(AND(Q438=1,A438&lt;&gt;""),IF(IFERROR(COUNTIFS(A$3:A438,"="&amp;SUBSTITUTE(SUBSTITUTE(SUBSTITUTE(A438,"~","~~"),"*","~*"),"?","~?"),Q$3:Q438,1),0)=1,MAX(Y$2:Y437)+1,""),"")</f>
        <v/>
      </c>
      <c r="Z438" s="25">
        <f>IF(Y438="","",COUNTIFS($A$3:$A$1002,"="&amp;SUBSTITUTE(SUBSTITUTE(SUBSTITUTE(A438,"~","~~"),"*","~*"),"?","~?"),$Q$3:$Q$1002,1)*10000-Y438)</f>
        <v/>
      </c>
    </row>
    <row r="439">
      <c r="A439">
        <f>IF(A$2=0,"",IFERROR(TRIM(INDEX('Pegar docentes'!$A$1:$BZ$1001,438,A$2)&amp;""),""))</f>
        <v/>
      </c>
      <c r="B439">
        <f>IF(B$2=0,"",IFERROR(TRIM(INDEX('Pegar docentes'!$A$1:$BZ$1001,438,B$2)&amp;""),""))</f>
        <v/>
      </c>
      <c r="C439">
        <f>IF(C$2=0,"",IFERROR(TRIM(INDEX('Pegar docentes'!$A$1:$BZ$1001,438,C$2)&amp;""),""))</f>
        <v/>
      </c>
      <c r="D439">
        <f>IF(D$2=0,"",IFERROR(TRIM(INDEX('Pegar docentes'!$A$1:$BZ$1001,438,D$2)&amp;""),""))</f>
        <v/>
      </c>
      <c r="E439">
        <f>IF(E$2=0,"",IFERROR(TRIM(INDEX('Pegar docentes'!$A$1:$BZ$1001,438,E$2)&amp;""),""))</f>
        <v/>
      </c>
      <c r="F439">
        <f>IF(F$2=0,"",IFERROR(TRIM(INDEX('Pegar docentes'!$A$1:$BZ$1001,438,F$2)&amp;""),""))</f>
        <v/>
      </c>
      <c r="G439">
        <f>IF(G$2=0,"",IFERROR(TRIM(INDEX('Pegar docentes'!$A$1:$BZ$1001,438,G$2)&amp;""),""))</f>
        <v/>
      </c>
      <c r="H439">
        <f>IF(H$2=0,"",IFERROR(TRIM(INDEX('Pegar docentes'!$A$1:$BZ$1001,438,H$2)&amp;""),""))</f>
        <v/>
      </c>
      <c r="I439">
        <f>IF(I$2=0,"",IFERROR(TRIM(INDEX('Pegar docentes'!$A$1:$BZ$1001,438,I$2)&amp;""),""))</f>
        <v/>
      </c>
      <c r="J439">
        <f>IF(J$2=0,"",IFERROR(TRIM(INDEX('Pegar docentes'!$A$1:$BZ$1001,438,J$2)&amp;""),""))</f>
        <v/>
      </c>
      <c r="K439">
        <f>IF(K$2=0,"",IFERROR(TRIM(INDEX('Pegar docentes'!$A$1:$BZ$1001,438,K$2)&amp;""),""))</f>
        <v/>
      </c>
      <c r="L439">
        <f>IF(L$2=0,"",IFERROR(TRIM(INDEX('Pegar docentes'!$A$1:$BZ$1001,438,L$2)&amp;""),""))</f>
        <v/>
      </c>
      <c r="M439">
        <f>IF(M$2=0,"",IFERROR(TRIM(INDEX('Pegar docentes'!$A$1:$BZ$1001,438,M$2)&amp;""),""))</f>
        <v/>
      </c>
      <c r="N439">
        <f>IF(N$2=0,"",IFERROR(TRIM(INDEX('Pegar docentes'!$A$1:$BZ$1001,438,N$2)&amp;""),""))</f>
        <v/>
      </c>
      <c r="O439">
        <f>IF(O$2=0,"",IFERROR(TRIM(INDEX('Pegar docentes'!$A$1:$BZ$1001,438,O$2)&amp;""),""))</f>
        <v/>
      </c>
      <c r="P439">
        <f>IF(P$2=0,"",IFERROR(TRIM(INDEX('Pegar docentes'!$A$1:$BZ$1001,438,P$2)&amp;""),""))</f>
        <v/>
      </c>
      <c r="Q439" s="25">
        <f>IF(OR(D439&lt;&gt;"",H439&lt;&gt;""),1,"")</f>
        <v/>
      </c>
      <c r="R439" s="25">
        <f>IF(Q439=1,IF(ISNUMBER(FIND("#"&amp;MID(D439,1,1)&amp;"#","#0#1#2#3#4#5#6#7#8#9#")),IF(ISNUMBER(FIND("#"&amp;MID(D439,2,1)&amp;"#","#0#1#2#3#4#5#6#7#8#9#")),IF(AND(VALUE(LEFT(D439,2))&gt;=1,VALUE(LEFT(D439,2))&lt;=5),VALUE(LEFT(D439,2)),""),IF(AND(VALUE(LEFT(D439,1))&gt;=1,VALUE(LEFT(D439,1))&lt;=5),VALUE(LEFT(D439,1)),"")),""),"")</f>
        <v/>
      </c>
      <c r="S439" s="25">
        <f>IF(AND(Q439=1,E439&lt;&gt;""),SUBSTITUTE(SUBSTITUTE(SUBSTITUTE(SUBSTITUTE(SUBSTITUTE(SUBSTITUTE(SUBSTITUTE(SUBSTITUTE(SUBSTITUTE(SUBSTITUTE(SUBSTITUTE(SUBSTITUTE(LOWER(TRIM(E439)),"á","a"),"é","e"),"í","i"),"ó","o"),"ú","u"),"ü","u"),"ñ","n"),"à","a"),"è","e"),"ì","i"),"ò","o"),"ù","u"),"")</f>
        <v/>
      </c>
      <c r="T439" s="25">
        <f>IF(AND(Q439=1,G439&lt;&gt;""),SUBSTITUTE(SUBSTITUTE(SUBSTITUTE(SUBSTITUTE(SUBSTITUTE(SUBSTITUTE(SUBSTITUTE(SUBSTITUTE(SUBSTITUTE(SUBSTITUTE(SUBSTITUTE(SUBSTITUTE(LOWER(TRIM(G439)),"á","a"),"é","e"),"í","i"),"ó","o"),"ú","u"),"ü","u"),"ñ","n"),"à","a"),"è","e"),"ì","i"),"ò","o"),"ù","u"),"")</f>
        <v/>
      </c>
      <c r="U439" s="25">
        <f>IF(AND(Q439=1,H439&lt;&gt;""),SUBSTITUTE(SUBSTITUTE(SUBSTITUTE(SUBSTITUTE(SUBSTITUTE(SUBSTITUTE(SUBSTITUTE(SUBSTITUTE(SUBSTITUTE(SUBSTITUTE(SUBSTITUTE(SUBSTITUTE(LOWER(TRIM(H439)),"á","a"),"é","e"),"í","i"),"ó","o"),"ú","u"),"ü","u"),"ñ","n"),"à","a"),"è","e"),"ì","i"),"ò","o"),"ù","u"),"")</f>
        <v/>
      </c>
      <c r="V439" s="25">
        <f>IF(AND(Q439=1,L439&lt;&gt;""),SUBSTITUTE(SUBSTITUTE(SUBSTITUTE(SUBSTITUTE(SUBSTITUTE(SUBSTITUTE(SUBSTITUTE(SUBSTITUTE(SUBSTITUTE(SUBSTITUTE(SUBSTITUTE(SUBSTITUTE(LOWER(TRIM(L439)),"á","a"),"é","e"),"í","i"),"ó","o"),"ú","u"),"ü","u"),"ñ","n"),"à","a"),"è","e"),"ì","i"),"ò","o"),"ù","u"),"")</f>
        <v/>
      </c>
      <c r="W439" s="25">
        <f>IF(AND(Q439=1,I439&lt;&gt;""),SUBSTITUTE(SUBSTITUTE(SUBSTITUTE(SUBSTITUTE(SUBSTITUTE(SUBSTITUTE(SUBSTITUTE(SUBSTITUTE(SUBSTITUTE(SUBSTITUTE(SUBSTITUTE(SUBSTITUTE(LOWER(TRIM(I439)),"á","a"),"é","e"),"í","i"),"ó","o"),"ú","u"),"ü","u"),"ñ","n"),"à","a"),"è","e"),"ì","i"),"ò","o"),"ù","u"),"")</f>
        <v/>
      </c>
      <c r="X439" s="25">
        <f>IF(U439="","",IF(OR(U439="si, en la proxima tarea",U439="si, con cambios"),1,0))</f>
        <v/>
      </c>
      <c r="Y439" s="25">
        <f>IF(AND(Q439=1,A439&lt;&gt;""),IF(IFERROR(COUNTIFS(A$3:A439,"="&amp;SUBSTITUTE(SUBSTITUTE(SUBSTITUTE(A439,"~","~~"),"*","~*"),"?","~?"),Q$3:Q439,1),0)=1,MAX(Y$2:Y438)+1,""),"")</f>
        <v/>
      </c>
      <c r="Z439" s="25">
        <f>IF(Y439="","",COUNTIFS($A$3:$A$1002,"="&amp;SUBSTITUTE(SUBSTITUTE(SUBSTITUTE(A439,"~","~~"),"*","~*"),"?","~?"),$Q$3:$Q$1002,1)*10000-Y439)</f>
        <v/>
      </c>
    </row>
    <row r="440">
      <c r="A440">
        <f>IF(A$2=0,"",IFERROR(TRIM(INDEX('Pegar docentes'!$A$1:$BZ$1001,439,A$2)&amp;""),""))</f>
        <v/>
      </c>
      <c r="B440">
        <f>IF(B$2=0,"",IFERROR(TRIM(INDEX('Pegar docentes'!$A$1:$BZ$1001,439,B$2)&amp;""),""))</f>
        <v/>
      </c>
      <c r="C440">
        <f>IF(C$2=0,"",IFERROR(TRIM(INDEX('Pegar docentes'!$A$1:$BZ$1001,439,C$2)&amp;""),""))</f>
        <v/>
      </c>
      <c r="D440">
        <f>IF(D$2=0,"",IFERROR(TRIM(INDEX('Pegar docentes'!$A$1:$BZ$1001,439,D$2)&amp;""),""))</f>
        <v/>
      </c>
      <c r="E440">
        <f>IF(E$2=0,"",IFERROR(TRIM(INDEX('Pegar docentes'!$A$1:$BZ$1001,439,E$2)&amp;""),""))</f>
        <v/>
      </c>
      <c r="F440">
        <f>IF(F$2=0,"",IFERROR(TRIM(INDEX('Pegar docentes'!$A$1:$BZ$1001,439,F$2)&amp;""),""))</f>
        <v/>
      </c>
      <c r="G440">
        <f>IF(G$2=0,"",IFERROR(TRIM(INDEX('Pegar docentes'!$A$1:$BZ$1001,439,G$2)&amp;""),""))</f>
        <v/>
      </c>
      <c r="H440">
        <f>IF(H$2=0,"",IFERROR(TRIM(INDEX('Pegar docentes'!$A$1:$BZ$1001,439,H$2)&amp;""),""))</f>
        <v/>
      </c>
      <c r="I440">
        <f>IF(I$2=0,"",IFERROR(TRIM(INDEX('Pegar docentes'!$A$1:$BZ$1001,439,I$2)&amp;""),""))</f>
        <v/>
      </c>
      <c r="J440">
        <f>IF(J$2=0,"",IFERROR(TRIM(INDEX('Pegar docentes'!$A$1:$BZ$1001,439,J$2)&amp;""),""))</f>
        <v/>
      </c>
      <c r="K440">
        <f>IF(K$2=0,"",IFERROR(TRIM(INDEX('Pegar docentes'!$A$1:$BZ$1001,439,K$2)&amp;""),""))</f>
        <v/>
      </c>
      <c r="L440">
        <f>IF(L$2=0,"",IFERROR(TRIM(INDEX('Pegar docentes'!$A$1:$BZ$1001,439,L$2)&amp;""),""))</f>
        <v/>
      </c>
      <c r="M440">
        <f>IF(M$2=0,"",IFERROR(TRIM(INDEX('Pegar docentes'!$A$1:$BZ$1001,439,M$2)&amp;""),""))</f>
        <v/>
      </c>
      <c r="N440">
        <f>IF(N$2=0,"",IFERROR(TRIM(INDEX('Pegar docentes'!$A$1:$BZ$1001,439,N$2)&amp;""),""))</f>
        <v/>
      </c>
      <c r="O440">
        <f>IF(O$2=0,"",IFERROR(TRIM(INDEX('Pegar docentes'!$A$1:$BZ$1001,439,O$2)&amp;""),""))</f>
        <v/>
      </c>
      <c r="P440">
        <f>IF(P$2=0,"",IFERROR(TRIM(INDEX('Pegar docentes'!$A$1:$BZ$1001,439,P$2)&amp;""),""))</f>
        <v/>
      </c>
      <c r="Q440" s="25">
        <f>IF(OR(D440&lt;&gt;"",H440&lt;&gt;""),1,"")</f>
        <v/>
      </c>
      <c r="R440" s="25">
        <f>IF(Q440=1,IF(ISNUMBER(FIND("#"&amp;MID(D440,1,1)&amp;"#","#0#1#2#3#4#5#6#7#8#9#")),IF(ISNUMBER(FIND("#"&amp;MID(D440,2,1)&amp;"#","#0#1#2#3#4#5#6#7#8#9#")),IF(AND(VALUE(LEFT(D440,2))&gt;=1,VALUE(LEFT(D440,2))&lt;=5),VALUE(LEFT(D440,2)),""),IF(AND(VALUE(LEFT(D440,1))&gt;=1,VALUE(LEFT(D440,1))&lt;=5),VALUE(LEFT(D440,1)),"")),""),"")</f>
        <v/>
      </c>
      <c r="S440" s="25">
        <f>IF(AND(Q440=1,E440&lt;&gt;""),SUBSTITUTE(SUBSTITUTE(SUBSTITUTE(SUBSTITUTE(SUBSTITUTE(SUBSTITUTE(SUBSTITUTE(SUBSTITUTE(SUBSTITUTE(SUBSTITUTE(SUBSTITUTE(SUBSTITUTE(LOWER(TRIM(E440)),"á","a"),"é","e"),"í","i"),"ó","o"),"ú","u"),"ü","u"),"ñ","n"),"à","a"),"è","e"),"ì","i"),"ò","o"),"ù","u"),"")</f>
        <v/>
      </c>
      <c r="T440" s="25">
        <f>IF(AND(Q440=1,G440&lt;&gt;""),SUBSTITUTE(SUBSTITUTE(SUBSTITUTE(SUBSTITUTE(SUBSTITUTE(SUBSTITUTE(SUBSTITUTE(SUBSTITUTE(SUBSTITUTE(SUBSTITUTE(SUBSTITUTE(SUBSTITUTE(LOWER(TRIM(G440)),"á","a"),"é","e"),"í","i"),"ó","o"),"ú","u"),"ü","u"),"ñ","n"),"à","a"),"è","e"),"ì","i"),"ò","o"),"ù","u"),"")</f>
        <v/>
      </c>
      <c r="U440" s="25">
        <f>IF(AND(Q440=1,H440&lt;&gt;""),SUBSTITUTE(SUBSTITUTE(SUBSTITUTE(SUBSTITUTE(SUBSTITUTE(SUBSTITUTE(SUBSTITUTE(SUBSTITUTE(SUBSTITUTE(SUBSTITUTE(SUBSTITUTE(SUBSTITUTE(LOWER(TRIM(H440)),"á","a"),"é","e"),"í","i"),"ó","o"),"ú","u"),"ü","u"),"ñ","n"),"à","a"),"è","e"),"ì","i"),"ò","o"),"ù","u"),"")</f>
        <v/>
      </c>
      <c r="V440" s="25">
        <f>IF(AND(Q440=1,L440&lt;&gt;""),SUBSTITUTE(SUBSTITUTE(SUBSTITUTE(SUBSTITUTE(SUBSTITUTE(SUBSTITUTE(SUBSTITUTE(SUBSTITUTE(SUBSTITUTE(SUBSTITUTE(SUBSTITUTE(SUBSTITUTE(LOWER(TRIM(L440)),"á","a"),"é","e"),"í","i"),"ó","o"),"ú","u"),"ü","u"),"ñ","n"),"à","a"),"è","e"),"ì","i"),"ò","o"),"ù","u"),"")</f>
        <v/>
      </c>
      <c r="W440" s="25">
        <f>IF(AND(Q440=1,I440&lt;&gt;""),SUBSTITUTE(SUBSTITUTE(SUBSTITUTE(SUBSTITUTE(SUBSTITUTE(SUBSTITUTE(SUBSTITUTE(SUBSTITUTE(SUBSTITUTE(SUBSTITUTE(SUBSTITUTE(SUBSTITUTE(LOWER(TRIM(I440)),"á","a"),"é","e"),"í","i"),"ó","o"),"ú","u"),"ü","u"),"ñ","n"),"à","a"),"è","e"),"ì","i"),"ò","o"),"ù","u"),"")</f>
        <v/>
      </c>
      <c r="X440" s="25">
        <f>IF(U440="","",IF(OR(U440="si, en la proxima tarea",U440="si, con cambios"),1,0))</f>
        <v/>
      </c>
      <c r="Y440" s="25">
        <f>IF(AND(Q440=1,A440&lt;&gt;""),IF(IFERROR(COUNTIFS(A$3:A440,"="&amp;SUBSTITUTE(SUBSTITUTE(SUBSTITUTE(A440,"~","~~"),"*","~*"),"?","~?"),Q$3:Q440,1),0)=1,MAX(Y$2:Y439)+1,""),"")</f>
        <v/>
      </c>
      <c r="Z440" s="25">
        <f>IF(Y440="","",COUNTIFS($A$3:$A$1002,"="&amp;SUBSTITUTE(SUBSTITUTE(SUBSTITUTE(A440,"~","~~"),"*","~*"),"?","~?"),$Q$3:$Q$1002,1)*10000-Y440)</f>
        <v/>
      </c>
    </row>
    <row r="441">
      <c r="A441">
        <f>IF(A$2=0,"",IFERROR(TRIM(INDEX('Pegar docentes'!$A$1:$BZ$1001,440,A$2)&amp;""),""))</f>
        <v/>
      </c>
      <c r="B441">
        <f>IF(B$2=0,"",IFERROR(TRIM(INDEX('Pegar docentes'!$A$1:$BZ$1001,440,B$2)&amp;""),""))</f>
        <v/>
      </c>
      <c r="C441">
        <f>IF(C$2=0,"",IFERROR(TRIM(INDEX('Pegar docentes'!$A$1:$BZ$1001,440,C$2)&amp;""),""))</f>
        <v/>
      </c>
      <c r="D441">
        <f>IF(D$2=0,"",IFERROR(TRIM(INDEX('Pegar docentes'!$A$1:$BZ$1001,440,D$2)&amp;""),""))</f>
        <v/>
      </c>
      <c r="E441">
        <f>IF(E$2=0,"",IFERROR(TRIM(INDEX('Pegar docentes'!$A$1:$BZ$1001,440,E$2)&amp;""),""))</f>
        <v/>
      </c>
      <c r="F441">
        <f>IF(F$2=0,"",IFERROR(TRIM(INDEX('Pegar docentes'!$A$1:$BZ$1001,440,F$2)&amp;""),""))</f>
        <v/>
      </c>
      <c r="G441">
        <f>IF(G$2=0,"",IFERROR(TRIM(INDEX('Pegar docentes'!$A$1:$BZ$1001,440,G$2)&amp;""),""))</f>
        <v/>
      </c>
      <c r="H441">
        <f>IF(H$2=0,"",IFERROR(TRIM(INDEX('Pegar docentes'!$A$1:$BZ$1001,440,H$2)&amp;""),""))</f>
        <v/>
      </c>
      <c r="I441">
        <f>IF(I$2=0,"",IFERROR(TRIM(INDEX('Pegar docentes'!$A$1:$BZ$1001,440,I$2)&amp;""),""))</f>
        <v/>
      </c>
      <c r="J441">
        <f>IF(J$2=0,"",IFERROR(TRIM(INDEX('Pegar docentes'!$A$1:$BZ$1001,440,J$2)&amp;""),""))</f>
        <v/>
      </c>
      <c r="K441">
        <f>IF(K$2=0,"",IFERROR(TRIM(INDEX('Pegar docentes'!$A$1:$BZ$1001,440,K$2)&amp;""),""))</f>
        <v/>
      </c>
      <c r="L441">
        <f>IF(L$2=0,"",IFERROR(TRIM(INDEX('Pegar docentes'!$A$1:$BZ$1001,440,L$2)&amp;""),""))</f>
        <v/>
      </c>
      <c r="M441">
        <f>IF(M$2=0,"",IFERROR(TRIM(INDEX('Pegar docentes'!$A$1:$BZ$1001,440,M$2)&amp;""),""))</f>
        <v/>
      </c>
      <c r="N441">
        <f>IF(N$2=0,"",IFERROR(TRIM(INDEX('Pegar docentes'!$A$1:$BZ$1001,440,N$2)&amp;""),""))</f>
        <v/>
      </c>
      <c r="O441">
        <f>IF(O$2=0,"",IFERROR(TRIM(INDEX('Pegar docentes'!$A$1:$BZ$1001,440,O$2)&amp;""),""))</f>
        <v/>
      </c>
      <c r="P441">
        <f>IF(P$2=0,"",IFERROR(TRIM(INDEX('Pegar docentes'!$A$1:$BZ$1001,440,P$2)&amp;""),""))</f>
        <v/>
      </c>
      <c r="Q441" s="25">
        <f>IF(OR(D441&lt;&gt;"",H441&lt;&gt;""),1,"")</f>
        <v/>
      </c>
      <c r="R441" s="25">
        <f>IF(Q441=1,IF(ISNUMBER(FIND("#"&amp;MID(D441,1,1)&amp;"#","#0#1#2#3#4#5#6#7#8#9#")),IF(ISNUMBER(FIND("#"&amp;MID(D441,2,1)&amp;"#","#0#1#2#3#4#5#6#7#8#9#")),IF(AND(VALUE(LEFT(D441,2))&gt;=1,VALUE(LEFT(D441,2))&lt;=5),VALUE(LEFT(D441,2)),""),IF(AND(VALUE(LEFT(D441,1))&gt;=1,VALUE(LEFT(D441,1))&lt;=5),VALUE(LEFT(D441,1)),"")),""),"")</f>
        <v/>
      </c>
      <c r="S441" s="25">
        <f>IF(AND(Q441=1,E441&lt;&gt;""),SUBSTITUTE(SUBSTITUTE(SUBSTITUTE(SUBSTITUTE(SUBSTITUTE(SUBSTITUTE(SUBSTITUTE(SUBSTITUTE(SUBSTITUTE(SUBSTITUTE(SUBSTITUTE(SUBSTITUTE(LOWER(TRIM(E441)),"á","a"),"é","e"),"í","i"),"ó","o"),"ú","u"),"ü","u"),"ñ","n"),"à","a"),"è","e"),"ì","i"),"ò","o"),"ù","u"),"")</f>
        <v/>
      </c>
      <c r="T441" s="25">
        <f>IF(AND(Q441=1,G441&lt;&gt;""),SUBSTITUTE(SUBSTITUTE(SUBSTITUTE(SUBSTITUTE(SUBSTITUTE(SUBSTITUTE(SUBSTITUTE(SUBSTITUTE(SUBSTITUTE(SUBSTITUTE(SUBSTITUTE(SUBSTITUTE(LOWER(TRIM(G441)),"á","a"),"é","e"),"í","i"),"ó","o"),"ú","u"),"ü","u"),"ñ","n"),"à","a"),"è","e"),"ì","i"),"ò","o"),"ù","u"),"")</f>
        <v/>
      </c>
      <c r="U441" s="25">
        <f>IF(AND(Q441=1,H441&lt;&gt;""),SUBSTITUTE(SUBSTITUTE(SUBSTITUTE(SUBSTITUTE(SUBSTITUTE(SUBSTITUTE(SUBSTITUTE(SUBSTITUTE(SUBSTITUTE(SUBSTITUTE(SUBSTITUTE(SUBSTITUTE(LOWER(TRIM(H441)),"á","a"),"é","e"),"í","i"),"ó","o"),"ú","u"),"ü","u"),"ñ","n"),"à","a"),"è","e"),"ì","i"),"ò","o"),"ù","u"),"")</f>
        <v/>
      </c>
      <c r="V441" s="25">
        <f>IF(AND(Q441=1,L441&lt;&gt;""),SUBSTITUTE(SUBSTITUTE(SUBSTITUTE(SUBSTITUTE(SUBSTITUTE(SUBSTITUTE(SUBSTITUTE(SUBSTITUTE(SUBSTITUTE(SUBSTITUTE(SUBSTITUTE(SUBSTITUTE(LOWER(TRIM(L441)),"á","a"),"é","e"),"í","i"),"ó","o"),"ú","u"),"ü","u"),"ñ","n"),"à","a"),"è","e"),"ì","i"),"ò","o"),"ù","u"),"")</f>
        <v/>
      </c>
      <c r="W441" s="25">
        <f>IF(AND(Q441=1,I441&lt;&gt;""),SUBSTITUTE(SUBSTITUTE(SUBSTITUTE(SUBSTITUTE(SUBSTITUTE(SUBSTITUTE(SUBSTITUTE(SUBSTITUTE(SUBSTITUTE(SUBSTITUTE(SUBSTITUTE(SUBSTITUTE(LOWER(TRIM(I441)),"á","a"),"é","e"),"í","i"),"ó","o"),"ú","u"),"ü","u"),"ñ","n"),"à","a"),"è","e"),"ì","i"),"ò","o"),"ù","u"),"")</f>
        <v/>
      </c>
      <c r="X441" s="25">
        <f>IF(U441="","",IF(OR(U441="si, en la proxima tarea",U441="si, con cambios"),1,0))</f>
        <v/>
      </c>
      <c r="Y441" s="25">
        <f>IF(AND(Q441=1,A441&lt;&gt;""),IF(IFERROR(COUNTIFS(A$3:A441,"="&amp;SUBSTITUTE(SUBSTITUTE(SUBSTITUTE(A441,"~","~~"),"*","~*"),"?","~?"),Q$3:Q441,1),0)=1,MAX(Y$2:Y440)+1,""),"")</f>
        <v/>
      </c>
      <c r="Z441" s="25">
        <f>IF(Y441="","",COUNTIFS($A$3:$A$1002,"="&amp;SUBSTITUTE(SUBSTITUTE(SUBSTITUTE(A441,"~","~~"),"*","~*"),"?","~?"),$Q$3:$Q$1002,1)*10000-Y441)</f>
        <v/>
      </c>
    </row>
    <row r="442">
      <c r="A442">
        <f>IF(A$2=0,"",IFERROR(TRIM(INDEX('Pegar docentes'!$A$1:$BZ$1001,441,A$2)&amp;""),""))</f>
        <v/>
      </c>
      <c r="B442">
        <f>IF(B$2=0,"",IFERROR(TRIM(INDEX('Pegar docentes'!$A$1:$BZ$1001,441,B$2)&amp;""),""))</f>
        <v/>
      </c>
      <c r="C442">
        <f>IF(C$2=0,"",IFERROR(TRIM(INDEX('Pegar docentes'!$A$1:$BZ$1001,441,C$2)&amp;""),""))</f>
        <v/>
      </c>
      <c r="D442">
        <f>IF(D$2=0,"",IFERROR(TRIM(INDEX('Pegar docentes'!$A$1:$BZ$1001,441,D$2)&amp;""),""))</f>
        <v/>
      </c>
      <c r="E442">
        <f>IF(E$2=0,"",IFERROR(TRIM(INDEX('Pegar docentes'!$A$1:$BZ$1001,441,E$2)&amp;""),""))</f>
        <v/>
      </c>
      <c r="F442">
        <f>IF(F$2=0,"",IFERROR(TRIM(INDEX('Pegar docentes'!$A$1:$BZ$1001,441,F$2)&amp;""),""))</f>
        <v/>
      </c>
      <c r="G442">
        <f>IF(G$2=0,"",IFERROR(TRIM(INDEX('Pegar docentes'!$A$1:$BZ$1001,441,G$2)&amp;""),""))</f>
        <v/>
      </c>
      <c r="H442">
        <f>IF(H$2=0,"",IFERROR(TRIM(INDEX('Pegar docentes'!$A$1:$BZ$1001,441,H$2)&amp;""),""))</f>
        <v/>
      </c>
      <c r="I442">
        <f>IF(I$2=0,"",IFERROR(TRIM(INDEX('Pegar docentes'!$A$1:$BZ$1001,441,I$2)&amp;""),""))</f>
        <v/>
      </c>
      <c r="J442">
        <f>IF(J$2=0,"",IFERROR(TRIM(INDEX('Pegar docentes'!$A$1:$BZ$1001,441,J$2)&amp;""),""))</f>
        <v/>
      </c>
      <c r="K442">
        <f>IF(K$2=0,"",IFERROR(TRIM(INDEX('Pegar docentes'!$A$1:$BZ$1001,441,K$2)&amp;""),""))</f>
        <v/>
      </c>
      <c r="L442">
        <f>IF(L$2=0,"",IFERROR(TRIM(INDEX('Pegar docentes'!$A$1:$BZ$1001,441,L$2)&amp;""),""))</f>
        <v/>
      </c>
      <c r="M442">
        <f>IF(M$2=0,"",IFERROR(TRIM(INDEX('Pegar docentes'!$A$1:$BZ$1001,441,M$2)&amp;""),""))</f>
        <v/>
      </c>
      <c r="N442">
        <f>IF(N$2=0,"",IFERROR(TRIM(INDEX('Pegar docentes'!$A$1:$BZ$1001,441,N$2)&amp;""),""))</f>
        <v/>
      </c>
      <c r="O442">
        <f>IF(O$2=0,"",IFERROR(TRIM(INDEX('Pegar docentes'!$A$1:$BZ$1001,441,O$2)&amp;""),""))</f>
        <v/>
      </c>
      <c r="P442">
        <f>IF(P$2=0,"",IFERROR(TRIM(INDEX('Pegar docentes'!$A$1:$BZ$1001,441,P$2)&amp;""),""))</f>
        <v/>
      </c>
      <c r="Q442" s="25">
        <f>IF(OR(D442&lt;&gt;"",H442&lt;&gt;""),1,"")</f>
        <v/>
      </c>
      <c r="R442" s="25">
        <f>IF(Q442=1,IF(ISNUMBER(FIND("#"&amp;MID(D442,1,1)&amp;"#","#0#1#2#3#4#5#6#7#8#9#")),IF(ISNUMBER(FIND("#"&amp;MID(D442,2,1)&amp;"#","#0#1#2#3#4#5#6#7#8#9#")),IF(AND(VALUE(LEFT(D442,2))&gt;=1,VALUE(LEFT(D442,2))&lt;=5),VALUE(LEFT(D442,2)),""),IF(AND(VALUE(LEFT(D442,1))&gt;=1,VALUE(LEFT(D442,1))&lt;=5),VALUE(LEFT(D442,1)),"")),""),"")</f>
        <v/>
      </c>
      <c r="S442" s="25">
        <f>IF(AND(Q442=1,E442&lt;&gt;""),SUBSTITUTE(SUBSTITUTE(SUBSTITUTE(SUBSTITUTE(SUBSTITUTE(SUBSTITUTE(SUBSTITUTE(SUBSTITUTE(SUBSTITUTE(SUBSTITUTE(SUBSTITUTE(SUBSTITUTE(LOWER(TRIM(E442)),"á","a"),"é","e"),"í","i"),"ó","o"),"ú","u"),"ü","u"),"ñ","n"),"à","a"),"è","e"),"ì","i"),"ò","o"),"ù","u"),"")</f>
        <v/>
      </c>
      <c r="T442" s="25">
        <f>IF(AND(Q442=1,G442&lt;&gt;""),SUBSTITUTE(SUBSTITUTE(SUBSTITUTE(SUBSTITUTE(SUBSTITUTE(SUBSTITUTE(SUBSTITUTE(SUBSTITUTE(SUBSTITUTE(SUBSTITUTE(SUBSTITUTE(SUBSTITUTE(LOWER(TRIM(G442)),"á","a"),"é","e"),"í","i"),"ó","o"),"ú","u"),"ü","u"),"ñ","n"),"à","a"),"è","e"),"ì","i"),"ò","o"),"ù","u"),"")</f>
        <v/>
      </c>
      <c r="U442" s="25">
        <f>IF(AND(Q442=1,H442&lt;&gt;""),SUBSTITUTE(SUBSTITUTE(SUBSTITUTE(SUBSTITUTE(SUBSTITUTE(SUBSTITUTE(SUBSTITUTE(SUBSTITUTE(SUBSTITUTE(SUBSTITUTE(SUBSTITUTE(SUBSTITUTE(LOWER(TRIM(H442)),"á","a"),"é","e"),"í","i"),"ó","o"),"ú","u"),"ü","u"),"ñ","n"),"à","a"),"è","e"),"ì","i"),"ò","o"),"ù","u"),"")</f>
        <v/>
      </c>
      <c r="V442" s="25">
        <f>IF(AND(Q442=1,L442&lt;&gt;""),SUBSTITUTE(SUBSTITUTE(SUBSTITUTE(SUBSTITUTE(SUBSTITUTE(SUBSTITUTE(SUBSTITUTE(SUBSTITUTE(SUBSTITUTE(SUBSTITUTE(SUBSTITUTE(SUBSTITUTE(LOWER(TRIM(L442)),"á","a"),"é","e"),"í","i"),"ó","o"),"ú","u"),"ü","u"),"ñ","n"),"à","a"),"è","e"),"ì","i"),"ò","o"),"ù","u"),"")</f>
        <v/>
      </c>
      <c r="W442" s="25">
        <f>IF(AND(Q442=1,I442&lt;&gt;""),SUBSTITUTE(SUBSTITUTE(SUBSTITUTE(SUBSTITUTE(SUBSTITUTE(SUBSTITUTE(SUBSTITUTE(SUBSTITUTE(SUBSTITUTE(SUBSTITUTE(SUBSTITUTE(SUBSTITUTE(LOWER(TRIM(I442)),"á","a"),"é","e"),"í","i"),"ó","o"),"ú","u"),"ü","u"),"ñ","n"),"à","a"),"è","e"),"ì","i"),"ò","o"),"ù","u"),"")</f>
        <v/>
      </c>
      <c r="X442" s="25">
        <f>IF(U442="","",IF(OR(U442="si, en la proxima tarea",U442="si, con cambios"),1,0))</f>
        <v/>
      </c>
      <c r="Y442" s="25">
        <f>IF(AND(Q442=1,A442&lt;&gt;""),IF(IFERROR(COUNTIFS(A$3:A442,"="&amp;SUBSTITUTE(SUBSTITUTE(SUBSTITUTE(A442,"~","~~"),"*","~*"),"?","~?"),Q$3:Q442,1),0)=1,MAX(Y$2:Y441)+1,""),"")</f>
        <v/>
      </c>
      <c r="Z442" s="25">
        <f>IF(Y442="","",COUNTIFS($A$3:$A$1002,"="&amp;SUBSTITUTE(SUBSTITUTE(SUBSTITUTE(A442,"~","~~"),"*","~*"),"?","~?"),$Q$3:$Q$1002,1)*10000-Y442)</f>
        <v/>
      </c>
    </row>
    <row r="443">
      <c r="A443">
        <f>IF(A$2=0,"",IFERROR(TRIM(INDEX('Pegar docentes'!$A$1:$BZ$1001,442,A$2)&amp;""),""))</f>
        <v/>
      </c>
      <c r="B443">
        <f>IF(B$2=0,"",IFERROR(TRIM(INDEX('Pegar docentes'!$A$1:$BZ$1001,442,B$2)&amp;""),""))</f>
        <v/>
      </c>
      <c r="C443">
        <f>IF(C$2=0,"",IFERROR(TRIM(INDEX('Pegar docentes'!$A$1:$BZ$1001,442,C$2)&amp;""),""))</f>
        <v/>
      </c>
      <c r="D443">
        <f>IF(D$2=0,"",IFERROR(TRIM(INDEX('Pegar docentes'!$A$1:$BZ$1001,442,D$2)&amp;""),""))</f>
        <v/>
      </c>
      <c r="E443">
        <f>IF(E$2=0,"",IFERROR(TRIM(INDEX('Pegar docentes'!$A$1:$BZ$1001,442,E$2)&amp;""),""))</f>
        <v/>
      </c>
      <c r="F443">
        <f>IF(F$2=0,"",IFERROR(TRIM(INDEX('Pegar docentes'!$A$1:$BZ$1001,442,F$2)&amp;""),""))</f>
        <v/>
      </c>
      <c r="G443">
        <f>IF(G$2=0,"",IFERROR(TRIM(INDEX('Pegar docentes'!$A$1:$BZ$1001,442,G$2)&amp;""),""))</f>
        <v/>
      </c>
      <c r="H443">
        <f>IF(H$2=0,"",IFERROR(TRIM(INDEX('Pegar docentes'!$A$1:$BZ$1001,442,H$2)&amp;""),""))</f>
        <v/>
      </c>
      <c r="I443">
        <f>IF(I$2=0,"",IFERROR(TRIM(INDEX('Pegar docentes'!$A$1:$BZ$1001,442,I$2)&amp;""),""))</f>
        <v/>
      </c>
      <c r="J443">
        <f>IF(J$2=0,"",IFERROR(TRIM(INDEX('Pegar docentes'!$A$1:$BZ$1001,442,J$2)&amp;""),""))</f>
        <v/>
      </c>
      <c r="K443">
        <f>IF(K$2=0,"",IFERROR(TRIM(INDEX('Pegar docentes'!$A$1:$BZ$1001,442,K$2)&amp;""),""))</f>
        <v/>
      </c>
      <c r="L443">
        <f>IF(L$2=0,"",IFERROR(TRIM(INDEX('Pegar docentes'!$A$1:$BZ$1001,442,L$2)&amp;""),""))</f>
        <v/>
      </c>
      <c r="M443">
        <f>IF(M$2=0,"",IFERROR(TRIM(INDEX('Pegar docentes'!$A$1:$BZ$1001,442,M$2)&amp;""),""))</f>
        <v/>
      </c>
      <c r="N443">
        <f>IF(N$2=0,"",IFERROR(TRIM(INDEX('Pegar docentes'!$A$1:$BZ$1001,442,N$2)&amp;""),""))</f>
        <v/>
      </c>
      <c r="O443">
        <f>IF(O$2=0,"",IFERROR(TRIM(INDEX('Pegar docentes'!$A$1:$BZ$1001,442,O$2)&amp;""),""))</f>
        <v/>
      </c>
      <c r="P443">
        <f>IF(P$2=0,"",IFERROR(TRIM(INDEX('Pegar docentes'!$A$1:$BZ$1001,442,P$2)&amp;""),""))</f>
        <v/>
      </c>
      <c r="Q443" s="25">
        <f>IF(OR(D443&lt;&gt;"",H443&lt;&gt;""),1,"")</f>
        <v/>
      </c>
      <c r="R443" s="25">
        <f>IF(Q443=1,IF(ISNUMBER(FIND("#"&amp;MID(D443,1,1)&amp;"#","#0#1#2#3#4#5#6#7#8#9#")),IF(ISNUMBER(FIND("#"&amp;MID(D443,2,1)&amp;"#","#0#1#2#3#4#5#6#7#8#9#")),IF(AND(VALUE(LEFT(D443,2))&gt;=1,VALUE(LEFT(D443,2))&lt;=5),VALUE(LEFT(D443,2)),""),IF(AND(VALUE(LEFT(D443,1))&gt;=1,VALUE(LEFT(D443,1))&lt;=5),VALUE(LEFT(D443,1)),"")),""),"")</f>
        <v/>
      </c>
      <c r="S443" s="25">
        <f>IF(AND(Q443=1,E443&lt;&gt;""),SUBSTITUTE(SUBSTITUTE(SUBSTITUTE(SUBSTITUTE(SUBSTITUTE(SUBSTITUTE(SUBSTITUTE(SUBSTITUTE(SUBSTITUTE(SUBSTITUTE(SUBSTITUTE(SUBSTITUTE(LOWER(TRIM(E443)),"á","a"),"é","e"),"í","i"),"ó","o"),"ú","u"),"ü","u"),"ñ","n"),"à","a"),"è","e"),"ì","i"),"ò","o"),"ù","u"),"")</f>
        <v/>
      </c>
      <c r="T443" s="25">
        <f>IF(AND(Q443=1,G443&lt;&gt;""),SUBSTITUTE(SUBSTITUTE(SUBSTITUTE(SUBSTITUTE(SUBSTITUTE(SUBSTITUTE(SUBSTITUTE(SUBSTITUTE(SUBSTITUTE(SUBSTITUTE(SUBSTITUTE(SUBSTITUTE(LOWER(TRIM(G443)),"á","a"),"é","e"),"í","i"),"ó","o"),"ú","u"),"ü","u"),"ñ","n"),"à","a"),"è","e"),"ì","i"),"ò","o"),"ù","u"),"")</f>
        <v/>
      </c>
      <c r="U443" s="25">
        <f>IF(AND(Q443=1,H443&lt;&gt;""),SUBSTITUTE(SUBSTITUTE(SUBSTITUTE(SUBSTITUTE(SUBSTITUTE(SUBSTITUTE(SUBSTITUTE(SUBSTITUTE(SUBSTITUTE(SUBSTITUTE(SUBSTITUTE(SUBSTITUTE(LOWER(TRIM(H443)),"á","a"),"é","e"),"í","i"),"ó","o"),"ú","u"),"ü","u"),"ñ","n"),"à","a"),"è","e"),"ì","i"),"ò","o"),"ù","u"),"")</f>
        <v/>
      </c>
      <c r="V443" s="25">
        <f>IF(AND(Q443=1,L443&lt;&gt;""),SUBSTITUTE(SUBSTITUTE(SUBSTITUTE(SUBSTITUTE(SUBSTITUTE(SUBSTITUTE(SUBSTITUTE(SUBSTITUTE(SUBSTITUTE(SUBSTITUTE(SUBSTITUTE(SUBSTITUTE(LOWER(TRIM(L443)),"á","a"),"é","e"),"í","i"),"ó","o"),"ú","u"),"ü","u"),"ñ","n"),"à","a"),"è","e"),"ì","i"),"ò","o"),"ù","u"),"")</f>
        <v/>
      </c>
      <c r="W443" s="25">
        <f>IF(AND(Q443=1,I443&lt;&gt;""),SUBSTITUTE(SUBSTITUTE(SUBSTITUTE(SUBSTITUTE(SUBSTITUTE(SUBSTITUTE(SUBSTITUTE(SUBSTITUTE(SUBSTITUTE(SUBSTITUTE(SUBSTITUTE(SUBSTITUTE(LOWER(TRIM(I443)),"á","a"),"é","e"),"í","i"),"ó","o"),"ú","u"),"ü","u"),"ñ","n"),"à","a"),"è","e"),"ì","i"),"ò","o"),"ù","u"),"")</f>
        <v/>
      </c>
      <c r="X443" s="25">
        <f>IF(U443="","",IF(OR(U443="si, en la proxima tarea",U443="si, con cambios"),1,0))</f>
        <v/>
      </c>
      <c r="Y443" s="25">
        <f>IF(AND(Q443=1,A443&lt;&gt;""),IF(IFERROR(COUNTIFS(A$3:A443,"="&amp;SUBSTITUTE(SUBSTITUTE(SUBSTITUTE(A443,"~","~~"),"*","~*"),"?","~?"),Q$3:Q443,1),0)=1,MAX(Y$2:Y442)+1,""),"")</f>
        <v/>
      </c>
      <c r="Z443" s="25">
        <f>IF(Y443="","",COUNTIFS($A$3:$A$1002,"="&amp;SUBSTITUTE(SUBSTITUTE(SUBSTITUTE(A443,"~","~~"),"*","~*"),"?","~?"),$Q$3:$Q$1002,1)*10000-Y443)</f>
        <v/>
      </c>
    </row>
    <row r="444">
      <c r="A444">
        <f>IF(A$2=0,"",IFERROR(TRIM(INDEX('Pegar docentes'!$A$1:$BZ$1001,443,A$2)&amp;""),""))</f>
        <v/>
      </c>
      <c r="B444">
        <f>IF(B$2=0,"",IFERROR(TRIM(INDEX('Pegar docentes'!$A$1:$BZ$1001,443,B$2)&amp;""),""))</f>
        <v/>
      </c>
      <c r="C444">
        <f>IF(C$2=0,"",IFERROR(TRIM(INDEX('Pegar docentes'!$A$1:$BZ$1001,443,C$2)&amp;""),""))</f>
        <v/>
      </c>
      <c r="D444">
        <f>IF(D$2=0,"",IFERROR(TRIM(INDEX('Pegar docentes'!$A$1:$BZ$1001,443,D$2)&amp;""),""))</f>
        <v/>
      </c>
      <c r="E444">
        <f>IF(E$2=0,"",IFERROR(TRIM(INDEX('Pegar docentes'!$A$1:$BZ$1001,443,E$2)&amp;""),""))</f>
        <v/>
      </c>
      <c r="F444">
        <f>IF(F$2=0,"",IFERROR(TRIM(INDEX('Pegar docentes'!$A$1:$BZ$1001,443,F$2)&amp;""),""))</f>
        <v/>
      </c>
      <c r="G444">
        <f>IF(G$2=0,"",IFERROR(TRIM(INDEX('Pegar docentes'!$A$1:$BZ$1001,443,G$2)&amp;""),""))</f>
        <v/>
      </c>
      <c r="H444">
        <f>IF(H$2=0,"",IFERROR(TRIM(INDEX('Pegar docentes'!$A$1:$BZ$1001,443,H$2)&amp;""),""))</f>
        <v/>
      </c>
      <c r="I444">
        <f>IF(I$2=0,"",IFERROR(TRIM(INDEX('Pegar docentes'!$A$1:$BZ$1001,443,I$2)&amp;""),""))</f>
        <v/>
      </c>
      <c r="J444">
        <f>IF(J$2=0,"",IFERROR(TRIM(INDEX('Pegar docentes'!$A$1:$BZ$1001,443,J$2)&amp;""),""))</f>
        <v/>
      </c>
      <c r="K444">
        <f>IF(K$2=0,"",IFERROR(TRIM(INDEX('Pegar docentes'!$A$1:$BZ$1001,443,K$2)&amp;""),""))</f>
        <v/>
      </c>
      <c r="L444">
        <f>IF(L$2=0,"",IFERROR(TRIM(INDEX('Pegar docentes'!$A$1:$BZ$1001,443,L$2)&amp;""),""))</f>
        <v/>
      </c>
      <c r="M444">
        <f>IF(M$2=0,"",IFERROR(TRIM(INDEX('Pegar docentes'!$A$1:$BZ$1001,443,M$2)&amp;""),""))</f>
        <v/>
      </c>
      <c r="N444">
        <f>IF(N$2=0,"",IFERROR(TRIM(INDEX('Pegar docentes'!$A$1:$BZ$1001,443,N$2)&amp;""),""))</f>
        <v/>
      </c>
      <c r="O444">
        <f>IF(O$2=0,"",IFERROR(TRIM(INDEX('Pegar docentes'!$A$1:$BZ$1001,443,O$2)&amp;""),""))</f>
        <v/>
      </c>
      <c r="P444">
        <f>IF(P$2=0,"",IFERROR(TRIM(INDEX('Pegar docentes'!$A$1:$BZ$1001,443,P$2)&amp;""),""))</f>
        <v/>
      </c>
      <c r="Q444" s="25">
        <f>IF(OR(D444&lt;&gt;"",H444&lt;&gt;""),1,"")</f>
        <v/>
      </c>
      <c r="R444" s="25">
        <f>IF(Q444=1,IF(ISNUMBER(FIND("#"&amp;MID(D444,1,1)&amp;"#","#0#1#2#3#4#5#6#7#8#9#")),IF(ISNUMBER(FIND("#"&amp;MID(D444,2,1)&amp;"#","#0#1#2#3#4#5#6#7#8#9#")),IF(AND(VALUE(LEFT(D444,2))&gt;=1,VALUE(LEFT(D444,2))&lt;=5),VALUE(LEFT(D444,2)),""),IF(AND(VALUE(LEFT(D444,1))&gt;=1,VALUE(LEFT(D444,1))&lt;=5),VALUE(LEFT(D444,1)),"")),""),"")</f>
        <v/>
      </c>
      <c r="S444" s="25">
        <f>IF(AND(Q444=1,E444&lt;&gt;""),SUBSTITUTE(SUBSTITUTE(SUBSTITUTE(SUBSTITUTE(SUBSTITUTE(SUBSTITUTE(SUBSTITUTE(SUBSTITUTE(SUBSTITUTE(SUBSTITUTE(SUBSTITUTE(SUBSTITUTE(LOWER(TRIM(E444)),"á","a"),"é","e"),"í","i"),"ó","o"),"ú","u"),"ü","u"),"ñ","n"),"à","a"),"è","e"),"ì","i"),"ò","o"),"ù","u"),"")</f>
        <v/>
      </c>
      <c r="T444" s="25">
        <f>IF(AND(Q444=1,G444&lt;&gt;""),SUBSTITUTE(SUBSTITUTE(SUBSTITUTE(SUBSTITUTE(SUBSTITUTE(SUBSTITUTE(SUBSTITUTE(SUBSTITUTE(SUBSTITUTE(SUBSTITUTE(SUBSTITUTE(SUBSTITUTE(LOWER(TRIM(G444)),"á","a"),"é","e"),"í","i"),"ó","o"),"ú","u"),"ü","u"),"ñ","n"),"à","a"),"è","e"),"ì","i"),"ò","o"),"ù","u"),"")</f>
        <v/>
      </c>
      <c r="U444" s="25">
        <f>IF(AND(Q444=1,H444&lt;&gt;""),SUBSTITUTE(SUBSTITUTE(SUBSTITUTE(SUBSTITUTE(SUBSTITUTE(SUBSTITUTE(SUBSTITUTE(SUBSTITUTE(SUBSTITUTE(SUBSTITUTE(SUBSTITUTE(SUBSTITUTE(LOWER(TRIM(H444)),"á","a"),"é","e"),"í","i"),"ó","o"),"ú","u"),"ü","u"),"ñ","n"),"à","a"),"è","e"),"ì","i"),"ò","o"),"ù","u"),"")</f>
        <v/>
      </c>
      <c r="V444" s="25">
        <f>IF(AND(Q444=1,L444&lt;&gt;""),SUBSTITUTE(SUBSTITUTE(SUBSTITUTE(SUBSTITUTE(SUBSTITUTE(SUBSTITUTE(SUBSTITUTE(SUBSTITUTE(SUBSTITUTE(SUBSTITUTE(SUBSTITUTE(SUBSTITUTE(LOWER(TRIM(L444)),"á","a"),"é","e"),"í","i"),"ó","o"),"ú","u"),"ü","u"),"ñ","n"),"à","a"),"è","e"),"ì","i"),"ò","o"),"ù","u"),"")</f>
        <v/>
      </c>
      <c r="W444" s="25">
        <f>IF(AND(Q444=1,I444&lt;&gt;""),SUBSTITUTE(SUBSTITUTE(SUBSTITUTE(SUBSTITUTE(SUBSTITUTE(SUBSTITUTE(SUBSTITUTE(SUBSTITUTE(SUBSTITUTE(SUBSTITUTE(SUBSTITUTE(SUBSTITUTE(LOWER(TRIM(I444)),"á","a"),"é","e"),"í","i"),"ó","o"),"ú","u"),"ü","u"),"ñ","n"),"à","a"),"è","e"),"ì","i"),"ò","o"),"ù","u"),"")</f>
        <v/>
      </c>
      <c r="X444" s="25">
        <f>IF(U444="","",IF(OR(U444="si, en la proxima tarea",U444="si, con cambios"),1,0))</f>
        <v/>
      </c>
      <c r="Y444" s="25">
        <f>IF(AND(Q444=1,A444&lt;&gt;""),IF(IFERROR(COUNTIFS(A$3:A444,"="&amp;SUBSTITUTE(SUBSTITUTE(SUBSTITUTE(A444,"~","~~"),"*","~*"),"?","~?"),Q$3:Q444,1),0)=1,MAX(Y$2:Y443)+1,""),"")</f>
        <v/>
      </c>
      <c r="Z444" s="25">
        <f>IF(Y444="","",COUNTIFS($A$3:$A$1002,"="&amp;SUBSTITUTE(SUBSTITUTE(SUBSTITUTE(A444,"~","~~"),"*","~*"),"?","~?"),$Q$3:$Q$1002,1)*10000-Y444)</f>
        <v/>
      </c>
    </row>
    <row r="445">
      <c r="A445">
        <f>IF(A$2=0,"",IFERROR(TRIM(INDEX('Pegar docentes'!$A$1:$BZ$1001,444,A$2)&amp;""),""))</f>
        <v/>
      </c>
      <c r="B445">
        <f>IF(B$2=0,"",IFERROR(TRIM(INDEX('Pegar docentes'!$A$1:$BZ$1001,444,B$2)&amp;""),""))</f>
        <v/>
      </c>
      <c r="C445">
        <f>IF(C$2=0,"",IFERROR(TRIM(INDEX('Pegar docentes'!$A$1:$BZ$1001,444,C$2)&amp;""),""))</f>
        <v/>
      </c>
      <c r="D445">
        <f>IF(D$2=0,"",IFERROR(TRIM(INDEX('Pegar docentes'!$A$1:$BZ$1001,444,D$2)&amp;""),""))</f>
        <v/>
      </c>
      <c r="E445">
        <f>IF(E$2=0,"",IFERROR(TRIM(INDEX('Pegar docentes'!$A$1:$BZ$1001,444,E$2)&amp;""),""))</f>
        <v/>
      </c>
      <c r="F445">
        <f>IF(F$2=0,"",IFERROR(TRIM(INDEX('Pegar docentes'!$A$1:$BZ$1001,444,F$2)&amp;""),""))</f>
        <v/>
      </c>
      <c r="G445">
        <f>IF(G$2=0,"",IFERROR(TRIM(INDEX('Pegar docentes'!$A$1:$BZ$1001,444,G$2)&amp;""),""))</f>
        <v/>
      </c>
      <c r="H445">
        <f>IF(H$2=0,"",IFERROR(TRIM(INDEX('Pegar docentes'!$A$1:$BZ$1001,444,H$2)&amp;""),""))</f>
        <v/>
      </c>
      <c r="I445">
        <f>IF(I$2=0,"",IFERROR(TRIM(INDEX('Pegar docentes'!$A$1:$BZ$1001,444,I$2)&amp;""),""))</f>
        <v/>
      </c>
      <c r="J445">
        <f>IF(J$2=0,"",IFERROR(TRIM(INDEX('Pegar docentes'!$A$1:$BZ$1001,444,J$2)&amp;""),""))</f>
        <v/>
      </c>
      <c r="K445">
        <f>IF(K$2=0,"",IFERROR(TRIM(INDEX('Pegar docentes'!$A$1:$BZ$1001,444,K$2)&amp;""),""))</f>
        <v/>
      </c>
      <c r="L445">
        <f>IF(L$2=0,"",IFERROR(TRIM(INDEX('Pegar docentes'!$A$1:$BZ$1001,444,L$2)&amp;""),""))</f>
        <v/>
      </c>
      <c r="M445">
        <f>IF(M$2=0,"",IFERROR(TRIM(INDEX('Pegar docentes'!$A$1:$BZ$1001,444,M$2)&amp;""),""))</f>
        <v/>
      </c>
      <c r="N445">
        <f>IF(N$2=0,"",IFERROR(TRIM(INDEX('Pegar docentes'!$A$1:$BZ$1001,444,N$2)&amp;""),""))</f>
        <v/>
      </c>
      <c r="O445">
        <f>IF(O$2=0,"",IFERROR(TRIM(INDEX('Pegar docentes'!$A$1:$BZ$1001,444,O$2)&amp;""),""))</f>
        <v/>
      </c>
      <c r="P445">
        <f>IF(P$2=0,"",IFERROR(TRIM(INDEX('Pegar docentes'!$A$1:$BZ$1001,444,P$2)&amp;""),""))</f>
        <v/>
      </c>
      <c r="Q445" s="25">
        <f>IF(OR(D445&lt;&gt;"",H445&lt;&gt;""),1,"")</f>
        <v/>
      </c>
      <c r="R445" s="25">
        <f>IF(Q445=1,IF(ISNUMBER(FIND("#"&amp;MID(D445,1,1)&amp;"#","#0#1#2#3#4#5#6#7#8#9#")),IF(ISNUMBER(FIND("#"&amp;MID(D445,2,1)&amp;"#","#0#1#2#3#4#5#6#7#8#9#")),IF(AND(VALUE(LEFT(D445,2))&gt;=1,VALUE(LEFT(D445,2))&lt;=5),VALUE(LEFT(D445,2)),""),IF(AND(VALUE(LEFT(D445,1))&gt;=1,VALUE(LEFT(D445,1))&lt;=5),VALUE(LEFT(D445,1)),"")),""),"")</f>
        <v/>
      </c>
      <c r="S445" s="25">
        <f>IF(AND(Q445=1,E445&lt;&gt;""),SUBSTITUTE(SUBSTITUTE(SUBSTITUTE(SUBSTITUTE(SUBSTITUTE(SUBSTITUTE(SUBSTITUTE(SUBSTITUTE(SUBSTITUTE(SUBSTITUTE(SUBSTITUTE(SUBSTITUTE(LOWER(TRIM(E445)),"á","a"),"é","e"),"í","i"),"ó","o"),"ú","u"),"ü","u"),"ñ","n"),"à","a"),"è","e"),"ì","i"),"ò","o"),"ù","u"),"")</f>
        <v/>
      </c>
      <c r="T445" s="25">
        <f>IF(AND(Q445=1,G445&lt;&gt;""),SUBSTITUTE(SUBSTITUTE(SUBSTITUTE(SUBSTITUTE(SUBSTITUTE(SUBSTITUTE(SUBSTITUTE(SUBSTITUTE(SUBSTITUTE(SUBSTITUTE(SUBSTITUTE(SUBSTITUTE(LOWER(TRIM(G445)),"á","a"),"é","e"),"í","i"),"ó","o"),"ú","u"),"ü","u"),"ñ","n"),"à","a"),"è","e"),"ì","i"),"ò","o"),"ù","u"),"")</f>
        <v/>
      </c>
      <c r="U445" s="25">
        <f>IF(AND(Q445=1,H445&lt;&gt;""),SUBSTITUTE(SUBSTITUTE(SUBSTITUTE(SUBSTITUTE(SUBSTITUTE(SUBSTITUTE(SUBSTITUTE(SUBSTITUTE(SUBSTITUTE(SUBSTITUTE(SUBSTITUTE(SUBSTITUTE(LOWER(TRIM(H445)),"á","a"),"é","e"),"í","i"),"ó","o"),"ú","u"),"ü","u"),"ñ","n"),"à","a"),"è","e"),"ì","i"),"ò","o"),"ù","u"),"")</f>
        <v/>
      </c>
      <c r="V445" s="25">
        <f>IF(AND(Q445=1,L445&lt;&gt;""),SUBSTITUTE(SUBSTITUTE(SUBSTITUTE(SUBSTITUTE(SUBSTITUTE(SUBSTITUTE(SUBSTITUTE(SUBSTITUTE(SUBSTITUTE(SUBSTITUTE(SUBSTITUTE(SUBSTITUTE(LOWER(TRIM(L445)),"á","a"),"é","e"),"í","i"),"ó","o"),"ú","u"),"ü","u"),"ñ","n"),"à","a"),"è","e"),"ì","i"),"ò","o"),"ù","u"),"")</f>
        <v/>
      </c>
      <c r="W445" s="25">
        <f>IF(AND(Q445=1,I445&lt;&gt;""),SUBSTITUTE(SUBSTITUTE(SUBSTITUTE(SUBSTITUTE(SUBSTITUTE(SUBSTITUTE(SUBSTITUTE(SUBSTITUTE(SUBSTITUTE(SUBSTITUTE(SUBSTITUTE(SUBSTITUTE(LOWER(TRIM(I445)),"á","a"),"é","e"),"í","i"),"ó","o"),"ú","u"),"ü","u"),"ñ","n"),"à","a"),"è","e"),"ì","i"),"ò","o"),"ù","u"),"")</f>
        <v/>
      </c>
      <c r="X445" s="25">
        <f>IF(U445="","",IF(OR(U445="si, en la proxima tarea",U445="si, con cambios"),1,0))</f>
        <v/>
      </c>
      <c r="Y445" s="25">
        <f>IF(AND(Q445=1,A445&lt;&gt;""),IF(IFERROR(COUNTIFS(A$3:A445,"="&amp;SUBSTITUTE(SUBSTITUTE(SUBSTITUTE(A445,"~","~~"),"*","~*"),"?","~?"),Q$3:Q445,1),0)=1,MAX(Y$2:Y444)+1,""),"")</f>
        <v/>
      </c>
      <c r="Z445" s="25">
        <f>IF(Y445="","",COUNTIFS($A$3:$A$1002,"="&amp;SUBSTITUTE(SUBSTITUTE(SUBSTITUTE(A445,"~","~~"),"*","~*"),"?","~?"),$Q$3:$Q$1002,1)*10000-Y445)</f>
        <v/>
      </c>
    </row>
    <row r="446">
      <c r="A446">
        <f>IF(A$2=0,"",IFERROR(TRIM(INDEX('Pegar docentes'!$A$1:$BZ$1001,445,A$2)&amp;""),""))</f>
        <v/>
      </c>
      <c r="B446">
        <f>IF(B$2=0,"",IFERROR(TRIM(INDEX('Pegar docentes'!$A$1:$BZ$1001,445,B$2)&amp;""),""))</f>
        <v/>
      </c>
      <c r="C446">
        <f>IF(C$2=0,"",IFERROR(TRIM(INDEX('Pegar docentes'!$A$1:$BZ$1001,445,C$2)&amp;""),""))</f>
        <v/>
      </c>
      <c r="D446">
        <f>IF(D$2=0,"",IFERROR(TRIM(INDEX('Pegar docentes'!$A$1:$BZ$1001,445,D$2)&amp;""),""))</f>
        <v/>
      </c>
      <c r="E446">
        <f>IF(E$2=0,"",IFERROR(TRIM(INDEX('Pegar docentes'!$A$1:$BZ$1001,445,E$2)&amp;""),""))</f>
        <v/>
      </c>
      <c r="F446">
        <f>IF(F$2=0,"",IFERROR(TRIM(INDEX('Pegar docentes'!$A$1:$BZ$1001,445,F$2)&amp;""),""))</f>
        <v/>
      </c>
      <c r="G446">
        <f>IF(G$2=0,"",IFERROR(TRIM(INDEX('Pegar docentes'!$A$1:$BZ$1001,445,G$2)&amp;""),""))</f>
        <v/>
      </c>
      <c r="H446">
        <f>IF(H$2=0,"",IFERROR(TRIM(INDEX('Pegar docentes'!$A$1:$BZ$1001,445,H$2)&amp;""),""))</f>
        <v/>
      </c>
      <c r="I446">
        <f>IF(I$2=0,"",IFERROR(TRIM(INDEX('Pegar docentes'!$A$1:$BZ$1001,445,I$2)&amp;""),""))</f>
        <v/>
      </c>
      <c r="J446">
        <f>IF(J$2=0,"",IFERROR(TRIM(INDEX('Pegar docentes'!$A$1:$BZ$1001,445,J$2)&amp;""),""))</f>
        <v/>
      </c>
      <c r="K446">
        <f>IF(K$2=0,"",IFERROR(TRIM(INDEX('Pegar docentes'!$A$1:$BZ$1001,445,K$2)&amp;""),""))</f>
        <v/>
      </c>
      <c r="L446">
        <f>IF(L$2=0,"",IFERROR(TRIM(INDEX('Pegar docentes'!$A$1:$BZ$1001,445,L$2)&amp;""),""))</f>
        <v/>
      </c>
      <c r="M446">
        <f>IF(M$2=0,"",IFERROR(TRIM(INDEX('Pegar docentes'!$A$1:$BZ$1001,445,M$2)&amp;""),""))</f>
        <v/>
      </c>
      <c r="N446">
        <f>IF(N$2=0,"",IFERROR(TRIM(INDEX('Pegar docentes'!$A$1:$BZ$1001,445,N$2)&amp;""),""))</f>
        <v/>
      </c>
      <c r="O446">
        <f>IF(O$2=0,"",IFERROR(TRIM(INDEX('Pegar docentes'!$A$1:$BZ$1001,445,O$2)&amp;""),""))</f>
        <v/>
      </c>
      <c r="P446">
        <f>IF(P$2=0,"",IFERROR(TRIM(INDEX('Pegar docentes'!$A$1:$BZ$1001,445,P$2)&amp;""),""))</f>
        <v/>
      </c>
      <c r="Q446" s="25">
        <f>IF(OR(D446&lt;&gt;"",H446&lt;&gt;""),1,"")</f>
        <v/>
      </c>
      <c r="R446" s="25">
        <f>IF(Q446=1,IF(ISNUMBER(FIND("#"&amp;MID(D446,1,1)&amp;"#","#0#1#2#3#4#5#6#7#8#9#")),IF(ISNUMBER(FIND("#"&amp;MID(D446,2,1)&amp;"#","#0#1#2#3#4#5#6#7#8#9#")),IF(AND(VALUE(LEFT(D446,2))&gt;=1,VALUE(LEFT(D446,2))&lt;=5),VALUE(LEFT(D446,2)),""),IF(AND(VALUE(LEFT(D446,1))&gt;=1,VALUE(LEFT(D446,1))&lt;=5),VALUE(LEFT(D446,1)),"")),""),"")</f>
        <v/>
      </c>
      <c r="S446" s="25">
        <f>IF(AND(Q446=1,E446&lt;&gt;""),SUBSTITUTE(SUBSTITUTE(SUBSTITUTE(SUBSTITUTE(SUBSTITUTE(SUBSTITUTE(SUBSTITUTE(SUBSTITUTE(SUBSTITUTE(SUBSTITUTE(SUBSTITUTE(SUBSTITUTE(LOWER(TRIM(E446)),"á","a"),"é","e"),"í","i"),"ó","o"),"ú","u"),"ü","u"),"ñ","n"),"à","a"),"è","e"),"ì","i"),"ò","o"),"ù","u"),"")</f>
        <v/>
      </c>
      <c r="T446" s="25">
        <f>IF(AND(Q446=1,G446&lt;&gt;""),SUBSTITUTE(SUBSTITUTE(SUBSTITUTE(SUBSTITUTE(SUBSTITUTE(SUBSTITUTE(SUBSTITUTE(SUBSTITUTE(SUBSTITUTE(SUBSTITUTE(SUBSTITUTE(SUBSTITUTE(LOWER(TRIM(G446)),"á","a"),"é","e"),"í","i"),"ó","o"),"ú","u"),"ü","u"),"ñ","n"),"à","a"),"è","e"),"ì","i"),"ò","o"),"ù","u"),"")</f>
        <v/>
      </c>
      <c r="U446" s="25">
        <f>IF(AND(Q446=1,H446&lt;&gt;""),SUBSTITUTE(SUBSTITUTE(SUBSTITUTE(SUBSTITUTE(SUBSTITUTE(SUBSTITUTE(SUBSTITUTE(SUBSTITUTE(SUBSTITUTE(SUBSTITUTE(SUBSTITUTE(SUBSTITUTE(LOWER(TRIM(H446)),"á","a"),"é","e"),"í","i"),"ó","o"),"ú","u"),"ü","u"),"ñ","n"),"à","a"),"è","e"),"ì","i"),"ò","o"),"ù","u"),"")</f>
        <v/>
      </c>
      <c r="V446" s="25">
        <f>IF(AND(Q446=1,L446&lt;&gt;""),SUBSTITUTE(SUBSTITUTE(SUBSTITUTE(SUBSTITUTE(SUBSTITUTE(SUBSTITUTE(SUBSTITUTE(SUBSTITUTE(SUBSTITUTE(SUBSTITUTE(SUBSTITUTE(SUBSTITUTE(LOWER(TRIM(L446)),"á","a"),"é","e"),"í","i"),"ó","o"),"ú","u"),"ü","u"),"ñ","n"),"à","a"),"è","e"),"ì","i"),"ò","o"),"ù","u"),"")</f>
        <v/>
      </c>
      <c r="W446" s="25">
        <f>IF(AND(Q446=1,I446&lt;&gt;""),SUBSTITUTE(SUBSTITUTE(SUBSTITUTE(SUBSTITUTE(SUBSTITUTE(SUBSTITUTE(SUBSTITUTE(SUBSTITUTE(SUBSTITUTE(SUBSTITUTE(SUBSTITUTE(SUBSTITUTE(LOWER(TRIM(I446)),"á","a"),"é","e"),"í","i"),"ó","o"),"ú","u"),"ü","u"),"ñ","n"),"à","a"),"è","e"),"ì","i"),"ò","o"),"ù","u"),"")</f>
        <v/>
      </c>
      <c r="X446" s="25">
        <f>IF(U446="","",IF(OR(U446="si, en la proxima tarea",U446="si, con cambios"),1,0))</f>
        <v/>
      </c>
      <c r="Y446" s="25">
        <f>IF(AND(Q446=1,A446&lt;&gt;""),IF(IFERROR(COUNTIFS(A$3:A446,"="&amp;SUBSTITUTE(SUBSTITUTE(SUBSTITUTE(A446,"~","~~"),"*","~*"),"?","~?"),Q$3:Q446,1),0)=1,MAX(Y$2:Y445)+1,""),"")</f>
        <v/>
      </c>
      <c r="Z446" s="25">
        <f>IF(Y446="","",COUNTIFS($A$3:$A$1002,"="&amp;SUBSTITUTE(SUBSTITUTE(SUBSTITUTE(A446,"~","~~"),"*","~*"),"?","~?"),$Q$3:$Q$1002,1)*10000-Y446)</f>
        <v/>
      </c>
    </row>
    <row r="447">
      <c r="A447">
        <f>IF(A$2=0,"",IFERROR(TRIM(INDEX('Pegar docentes'!$A$1:$BZ$1001,446,A$2)&amp;""),""))</f>
        <v/>
      </c>
      <c r="B447">
        <f>IF(B$2=0,"",IFERROR(TRIM(INDEX('Pegar docentes'!$A$1:$BZ$1001,446,B$2)&amp;""),""))</f>
        <v/>
      </c>
      <c r="C447">
        <f>IF(C$2=0,"",IFERROR(TRIM(INDEX('Pegar docentes'!$A$1:$BZ$1001,446,C$2)&amp;""),""))</f>
        <v/>
      </c>
      <c r="D447">
        <f>IF(D$2=0,"",IFERROR(TRIM(INDEX('Pegar docentes'!$A$1:$BZ$1001,446,D$2)&amp;""),""))</f>
        <v/>
      </c>
      <c r="E447">
        <f>IF(E$2=0,"",IFERROR(TRIM(INDEX('Pegar docentes'!$A$1:$BZ$1001,446,E$2)&amp;""),""))</f>
        <v/>
      </c>
      <c r="F447">
        <f>IF(F$2=0,"",IFERROR(TRIM(INDEX('Pegar docentes'!$A$1:$BZ$1001,446,F$2)&amp;""),""))</f>
        <v/>
      </c>
      <c r="G447">
        <f>IF(G$2=0,"",IFERROR(TRIM(INDEX('Pegar docentes'!$A$1:$BZ$1001,446,G$2)&amp;""),""))</f>
        <v/>
      </c>
      <c r="H447">
        <f>IF(H$2=0,"",IFERROR(TRIM(INDEX('Pegar docentes'!$A$1:$BZ$1001,446,H$2)&amp;""),""))</f>
        <v/>
      </c>
      <c r="I447">
        <f>IF(I$2=0,"",IFERROR(TRIM(INDEX('Pegar docentes'!$A$1:$BZ$1001,446,I$2)&amp;""),""))</f>
        <v/>
      </c>
      <c r="J447">
        <f>IF(J$2=0,"",IFERROR(TRIM(INDEX('Pegar docentes'!$A$1:$BZ$1001,446,J$2)&amp;""),""))</f>
        <v/>
      </c>
      <c r="K447">
        <f>IF(K$2=0,"",IFERROR(TRIM(INDEX('Pegar docentes'!$A$1:$BZ$1001,446,K$2)&amp;""),""))</f>
        <v/>
      </c>
      <c r="L447">
        <f>IF(L$2=0,"",IFERROR(TRIM(INDEX('Pegar docentes'!$A$1:$BZ$1001,446,L$2)&amp;""),""))</f>
        <v/>
      </c>
      <c r="M447">
        <f>IF(M$2=0,"",IFERROR(TRIM(INDEX('Pegar docentes'!$A$1:$BZ$1001,446,M$2)&amp;""),""))</f>
        <v/>
      </c>
      <c r="N447">
        <f>IF(N$2=0,"",IFERROR(TRIM(INDEX('Pegar docentes'!$A$1:$BZ$1001,446,N$2)&amp;""),""))</f>
        <v/>
      </c>
      <c r="O447">
        <f>IF(O$2=0,"",IFERROR(TRIM(INDEX('Pegar docentes'!$A$1:$BZ$1001,446,O$2)&amp;""),""))</f>
        <v/>
      </c>
      <c r="P447">
        <f>IF(P$2=0,"",IFERROR(TRIM(INDEX('Pegar docentes'!$A$1:$BZ$1001,446,P$2)&amp;""),""))</f>
        <v/>
      </c>
      <c r="Q447" s="25">
        <f>IF(OR(D447&lt;&gt;"",H447&lt;&gt;""),1,"")</f>
        <v/>
      </c>
      <c r="R447" s="25">
        <f>IF(Q447=1,IF(ISNUMBER(FIND("#"&amp;MID(D447,1,1)&amp;"#","#0#1#2#3#4#5#6#7#8#9#")),IF(ISNUMBER(FIND("#"&amp;MID(D447,2,1)&amp;"#","#0#1#2#3#4#5#6#7#8#9#")),IF(AND(VALUE(LEFT(D447,2))&gt;=1,VALUE(LEFT(D447,2))&lt;=5),VALUE(LEFT(D447,2)),""),IF(AND(VALUE(LEFT(D447,1))&gt;=1,VALUE(LEFT(D447,1))&lt;=5),VALUE(LEFT(D447,1)),"")),""),"")</f>
        <v/>
      </c>
      <c r="S447" s="25">
        <f>IF(AND(Q447=1,E447&lt;&gt;""),SUBSTITUTE(SUBSTITUTE(SUBSTITUTE(SUBSTITUTE(SUBSTITUTE(SUBSTITUTE(SUBSTITUTE(SUBSTITUTE(SUBSTITUTE(SUBSTITUTE(SUBSTITUTE(SUBSTITUTE(LOWER(TRIM(E447)),"á","a"),"é","e"),"í","i"),"ó","o"),"ú","u"),"ü","u"),"ñ","n"),"à","a"),"è","e"),"ì","i"),"ò","o"),"ù","u"),"")</f>
        <v/>
      </c>
      <c r="T447" s="25">
        <f>IF(AND(Q447=1,G447&lt;&gt;""),SUBSTITUTE(SUBSTITUTE(SUBSTITUTE(SUBSTITUTE(SUBSTITUTE(SUBSTITUTE(SUBSTITUTE(SUBSTITUTE(SUBSTITUTE(SUBSTITUTE(SUBSTITUTE(SUBSTITUTE(LOWER(TRIM(G447)),"á","a"),"é","e"),"í","i"),"ó","o"),"ú","u"),"ü","u"),"ñ","n"),"à","a"),"è","e"),"ì","i"),"ò","o"),"ù","u"),"")</f>
        <v/>
      </c>
      <c r="U447" s="25">
        <f>IF(AND(Q447=1,H447&lt;&gt;""),SUBSTITUTE(SUBSTITUTE(SUBSTITUTE(SUBSTITUTE(SUBSTITUTE(SUBSTITUTE(SUBSTITUTE(SUBSTITUTE(SUBSTITUTE(SUBSTITUTE(SUBSTITUTE(SUBSTITUTE(LOWER(TRIM(H447)),"á","a"),"é","e"),"í","i"),"ó","o"),"ú","u"),"ü","u"),"ñ","n"),"à","a"),"è","e"),"ì","i"),"ò","o"),"ù","u"),"")</f>
        <v/>
      </c>
      <c r="V447" s="25">
        <f>IF(AND(Q447=1,L447&lt;&gt;""),SUBSTITUTE(SUBSTITUTE(SUBSTITUTE(SUBSTITUTE(SUBSTITUTE(SUBSTITUTE(SUBSTITUTE(SUBSTITUTE(SUBSTITUTE(SUBSTITUTE(SUBSTITUTE(SUBSTITUTE(LOWER(TRIM(L447)),"á","a"),"é","e"),"í","i"),"ó","o"),"ú","u"),"ü","u"),"ñ","n"),"à","a"),"è","e"),"ì","i"),"ò","o"),"ù","u"),"")</f>
        <v/>
      </c>
      <c r="W447" s="25">
        <f>IF(AND(Q447=1,I447&lt;&gt;""),SUBSTITUTE(SUBSTITUTE(SUBSTITUTE(SUBSTITUTE(SUBSTITUTE(SUBSTITUTE(SUBSTITUTE(SUBSTITUTE(SUBSTITUTE(SUBSTITUTE(SUBSTITUTE(SUBSTITUTE(LOWER(TRIM(I447)),"á","a"),"é","e"),"í","i"),"ó","o"),"ú","u"),"ü","u"),"ñ","n"),"à","a"),"è","e"),"ì","i"),"ò","o"),"ù","u"),"")</f>
        <v/>
      </c>
      <c r="X447" s="25">
        <f>IF(U447="","",IF(OR(U447="si, en la proxima tarea",U447="si, con cambios"),1,0))</f>
        <v/>
      </c>
      <c r="Y447" s="25">
        <f>IF(AND(Q447=1,A447&lt;&gt;""),IF(IFERROR(COUNTIFS(A$3:A447,"="&amp;SUBSTITUTE(SUBSTITUTE(SUBSTITUTE(A447,"~","~~"),"*","~*"),"?","~?"),Q$3:Q447,1),0)=1,MAX(Y$2:Y446)+1,""),"")</f>
        <v/>
      </c>
      <c r="Z447" s="25">
        <f>IF(Y447="","",COUNTIFS($A$3:$A$1002,"="&amp;SUBSTITUTE(SUBSTITUTE(SUBSTITUTE(A447,"~","~~"),"*","~*"),"?","~?"),$Q$3:$Q$1002,1)*10000-Y447)</f>
        <v/>
      </c>
    </row>
    <row r="448">
      <c r="A448">
        <f>IF(A$2=0,"",IFERROR(TRIM(INDEX('Pegar docentes'!$A$1:$BZ$1001,447,A$2)&amp;""),""))</f>
        <v/>
      </c>
      <c r="B448">
        <f>IF(B$2=0,"",IFERROR(TRIM(INDEX('Pegar docentes'!$A$1:$BZ$1001,447,B$2)&amp;""),""))</f>
        <v/>
      </c>
      <c r="C448">
        <f>IF(C$2=0,"",IFERROR(TRIM(INDEX('Pegar docentes'!$A$1:$BZ$1001,447,C$2)&amp;""),""))</f>
        <v/>
      </c>
      <c r="D448">
        <f>IF(D$2=0,"",IFERROR(TRIM(INDEX('Pegar docentes'!$A$1:$BZ$1001,447,D$2)&amp;""),""))</f>
        <v/>
      </c>
      <c r="E448">
        <f>IF(E$2=0,"",IFERROR(TRIM(INDEX('Pegar docentes'!$A$1:$BZ$1001,447,E$2)&amp;""),""))</f>
        <v/>
      </c>
      <c r="F448">
        <f>IF(F$2=0,"",IFERROR(TRIM(INDEX('Pegar docentes'!$A$1:$BZ$1001,447,F$2)&amp;""),""))</f>
        <v/>
      </c>
      <c r="G448">
        <f>IF(G$2=0,"",IFERROR(TRIM(INDEX('Pegar docentes'!$A$1:$BZ$1001,447,G$2)&amp;""),""))</f>
        <v/>
      </c>
      <c r="H448">
        <f>IF(H$2=0,"",IFERROR(TRIM(INDEX('Pegar docentes'!$A$1:$BZ$1001,447,H$2)&amp;""),""))</f>
        <v/>
      </c>
      <c r="I448">
        <f>IF(I$2=0,"",IFERROR(TRIM(INDEX('Pegar docentes'!$A$1:$BZ$1001,447,I$2)&amp;""),""))</f>
        <v/>
      </c>
      <c r="J448">
        <f>IF(J$2=0,"",IFERROR(TRIM(INDEX('Pegar docentes'!$A$1:$BZ$1001,447,J$2)&amp;""),""))</f>
        <v/>
      </c>
      <c r="K448">
        <f>IF(K$2=0,"",IFERROR(TRIM(INDEX('Pegar docentes'!$A$1:$BZ$1001,447,K$2)&amp;""),""))</f>
        <v/>
      </c>
      <c r="L448">
        <f>IF(L$2=0,"",IFERROR(TRIM(INDEX('Pegar docentes'!$A$1:$BZ$1001,447,L$2)&amp;""),""))</f>
        <v/>
      </c>
      <c r="M448">
        <f>IF(M$2=0,"",IFERROR(TRIM(INDEX('Pegar docentes'!$A$1:$BZ$1001,447,M$2)&amp;""),""))</f>
        <v/>
      </c>
      <c r="N448">
        <f>IF(N$2=0,"",IFERROR(TRIM(INDEX('Pegar docentes'!$A$1:$BZ$1001,447,N$2)&amp;""),""))</f>
        <v/>
      </c>
      <c r="O448">
        <f>IF(O$2=0,"",IFERROR(TRIM(INDEX('Pegar docentes'!$A$1:$BZ$1001,447,O$2)&amp;""),""))</f>
        <v/>
      </c>
      <c r="P448">
        <f>IF(P$2=0,"",IFERROR(TRIM(INDEX('Pegar docentes'!$A$1:$BZ$1001,447,P$2)&amp;""),""))</f>
        <v/>
      </c>
      <c r="Q448" s="25">
        <f>IF(OR(D448&lt;&gt;"",H448&lt;&gt;""),1,"")</f>
        <v/>
      </c>
      <c r="R448" s="25">
        <f>IF(Q448=1,IF(ISNUMBER(FIND("#"&amp;MID(D448,1,1)&amp;"#","#0#1#2#3#4#5#6#7#8#9#")),IF(ISNUMBER(FIND("#"&amp;MID(D448,2,1)&amp;"#","#0#1#2#3#4#5#6#7#8#9#")),IF(AND(VALUE(LEFT(D448,2))&gt;=1,VALUE(LEFT(D448,2))&lt;=5),VALUE(LEFT(D448,2)),""),IF(AND(VALUE(LEFT(D448,1))&gt;=1,VALUE(LEFT(D448,1))&lt;=5),VALUE(LEFT(D448,1)),"")),""),"")</f>
        <v/>
      </c>
      <c r="S448" s="25">
        <f>IF(AND(Q448=1,E448&lt;&gt;""),SUBSTITUTE(SUBSTITUTE(SUBSTITUTE(SUBSTITUTE(SUBSTITUTE(SUBSTITUTE(SUBSTITUTE(SUBSTITUTE(SUBSTITUTE(SUBSTITUTE(SUBSTITUTE(SUBSTITUTE(LOWER(TRIM(E448)),"á","a"),"é","e"),"í","i"),"ó","o"),"ú","u"),"ü","u"),"ñ","n"),"à","a"),"è","e"),"ì","i"),"ò","o"),"ù","u"),"")</f>
        <v/>
      </c>
      <c r="T448" s="25">
        <f>IF(AND(Q448=1,G448&lt;&gt;""),SUBSTITUTE(SUBSTITUTE(SUBSTITUTE(SUBSTITUTE(SUBSTITUTE(SUBSTITUTE(SUBSTITUTE(SUBSTITUTE(SUBSTITUTE(SUBSTITUTE(SUBSTITUTE(SUBSTITUTE(LOWER(TRIM(G448)),"á","a"),"é","e"),"í","i"),"ó","o"),"ú","u"),"ü","u"),"ñ","n"),"à","a"),"è","e"),"ì","i"),"ò","o"),"ù","u"),"")</f>
        <v/>
      </c>
      <c r="U448" s="25">
        <f>IF(AND(Q448=1,H448&lt;&gt;""),SUBSTITUTE(SUBSTITUTE(SUBSTITUTE(SUBSTITUTE(SUBSTITUTE(SUBSTITUTE(SUBSTITUTE(SUBSTITUTE(SUBSTITUTE(SUBSTITUTE(SUBSTITUTE(SUBSTITUTE(LOWER(TRIM(H448)),"á","a"),"é","e"),"í","i"),"ó","o"),"ú","u"),"ü","u"),"ñ","n"),"à","a"),"è","e"),"ì","i"),"ò","o"),"ù","u"),"")</f>
        <v/>
      </c>
      <c r="V448" s="25">
        <f>IF(AND(Q448=1,L448&lt;&gt;""),SUBSTITUTE(SUBSTITUTE(SUBSTITUTE(SUBSTITUTE(SUBSTITUTE(SUBSTITUTE(SUBSTITUTE(SUBSTITUTE(SUBSTITUTE(SUBSTITUTE(SUBSTITUTE(SUBSTITUTE(LOWER(TRIM(L448)),"á","a"),"é","e"),"í","i"),"ó","o"),"ú","u"),"ü","u"),"ñ","n"),"à","a"),"è","e"),"ì","i"),"ò","o"),"ù","u"),"")</f>
        <v/>
      </c>
      <c r="W448" s="25">
        <f>IF(AND(Q448=1,I448&lt;&gt;""),SUBSTITUTE(SUBSTITUTE(SUBSTITUTE(SUBSTITUTE(SUBSTITUTE(SUBSTITUTE(SUBSTITUTE(SUBSTITUTE(SUBSTITUTE(SUBSTITUTE(SUBSTITUTE(SUBSTITUTE(LOWER(TRIM(I448)),"á","a"),"é","e"),"í","i"),"ó","o"),"ú","u"),"ü","u"),"ñ","n"),"à","a"),"è","e"),"ì","i"),"ò","o"),"ù","u"),"")</f>
        <v/>
      </c>
      <c r="X448" s="25">
        <f>IF(U448="","",IF(OR(U448="si, en la proxima tarea",U448="si, con cambios"),1,0))</f>
        <v/>
      </c>
      <c r="Y448" s="25">
        <f>IF(AND(Q448=1,A448&lt;&gt;""),IF(IFERROR(COUNTIFS(A$3:A448,"="&amp;SUBSTITUTE(SUBSTITUTE(SUBSTITUTE(A448,"~","~~"),"*","~*"),"?","~?"),Q$3:Q448,1),0)=1,MAX(Y$2:Y447)+1,""),"")</f>
        <v/>
      </c>
      <c r="Z448" s="25">
        <f>IF(Y448="","",COUNTIFS($A$3:$A$1002,"="&amp;SUBSTITUTE(SUBSTITUTE(SUBSTITUTE(A448,"~","~~"),"*","~*"),"?","~?"),$Q$3:$Q$1002,1)*10000-Y448)</f>
        <v/>
      </c>
    </row>
    <row r="449">
      <c r="A449">
        <f>IF(A$2=0,"",IFERROR(TRIM(INDEX('Pegar docentes'!$A$1:$BZ$1001,448,A$2)&amp;""),""))</f>
        <v/>
      </c>
      <c r="B449">
        <f>IF(B$2=0,"",IFERROR(TRIM(INDEX('Pegar docentes'!$A$1:$BZ$1001,448,B$2)&amp;""),""))</f>
        <v/>
      </c>
      <c r="C449">
        <f>IF(C$2=0,"",IFERROR(TRIM(INDEX('Pegar docentes'!$A$1:$BZ$1001,448,C$2)&amp;""),""))</f>
        <v/>
      </c>
      <c r="D449">
        <f>IF(D$2=0,"",IFERROR(TRIM(INDEX('Pegar docentes'!$A$1:$BZ$1001,448,D$2)&amp;""),""))</f>
        <v/>
      </c>
      <c r="E449">
        <f>IF(E$2=0,"",IFERROR(TRIM(INDEX('Pegar docentes'!$A$1:$BZ$1001,448,E$2)&amp;""),""))</f>
        <v/>
      </c>
      <c r="F449">
        <f>IF(F$2=0,"",IFERROR(TRIM(INDEX('Pegar docentes'!$A$1:$BZ$1001,448,F$2)&amp;""),""))</f>
        <v/>
      </c>
      <c r="G449">
        <f>IF(G$2=0,"",IFERROR(TRIM(INDEX('Pegar docentes'!$A$1:$BZ$1001,448,G$2)&amp;""),""))</f>
        <v/>
      </c>
      <c r="H449">
        <f>IF(H$2=0,"",IFERROR(TRIM(INDEX('Pegar docentes'!$A$1:$BZ$1001,448,H$2)&amp;""),""))</f>
        <v/>
      </c>
      <c r="I449">
        <f>IF(I$2=0,"",IFERROR(TRIM(INDEX('Pegar docentes'!$A$1:$BZ$1001,448,I$2)&amp;""),""))</f>
        <v/>
      </c>
      <c r="J449">
        <f>IF(J$2=0,"",IFERROR(TRIM(INDEX('Pegar docentes'!$A$1:$BZ$1001,448,J$2)&amp;""),""))</f>
        <v/>
      </c>
      <c r="K449">
        <f>IF(K$2=0,"",IFERROR(TRIM(INDEX('Pegar docentes'!$A$1:$BZ$1001,448,K$2)&amp;""),""))</f>
        <v/>
      </c>
      <c r="L449">
        <f>IF(L$2=0,"",IFERROR(TRIM(INDEX('Pegar docentes'!$A$1:$BZ$1001,448,L$2)&amp;""),""))</f>
        <v/>
      </c>
      <c r="M449">
        <f>IF(M$2=0,"",IFERROR(TRIM(INDEX('Pegar docentes'!$A$1:$BZ$1001,448,M$2)&amp;""),""))</f>
        <v/>
      </c>
      <c r="N449">
        <f>IF(N$2=0,"",IFERROR(TRIM(INDEX('Pegar docentes'!$A$1:$BZ$1001,448,N$2)&amp;""),""))</f>
        <v/>
      </c>
      <c r="O449">
        <f>IF(O$2=0,"",IFERROR(TRIM(INDEX('Pegar docentes'!$A$1:$BZ$1001,448,O$2)&amp;""),""))</f>
        <v/>
      </c>
      <c r="P449">
        <f>IF(P$2=0,"",IFERROR(TRIM(INDEX('Pegar docentes'!$A$1:$BZ$1001,448,P$2)&amp;""),""))</f>
        <v/>
      </c>
      <c r="Q449" s="25">
        <f>IF(OR(D449&lt;&gt;"",H449&lt;&gt;""),1,"")</f>
        <v/>
      </c>
      <c r="R449" s="25">
        <f>IF(Q449=1,IF(ISNUMBER(FIND("#"&amp;MID(D449,1,1)&amp;"#","#0#1#2#3#4#5#6#7#8#9#")),IF(ISNUMBER(FIND("#"&amp;MID(D449,2,1)&amp;"#","#0#1#2#3#4#5#6#7#8#9#")),IF(AND(VALUE(LEFT(D449,2))&gt;=1,VALUE(LEFT(D449,2))&lt;=5),VALUE(LEFT(D449,2)),""),IF(AND(VALUE(LEFT(D449,1))&gt;=1,VALUE(LEFT(D449,1))&lt;=5),VALUE(LEFT(D449,1)),"")),""),"")</f>
        <v/>
      </c>
      <c r="S449" s="25">
        <f>IF(AND(Q449=1,E449&lt;&gt;""),SUBSTITUTE(SUBSTITUTE(SUBSTITUTE(SUBSTITUTE(SUBSTITUTE(SUBSTITUTE(SUBSTITUTE(SUBSTITUTE(SUBSTITUTE(SUBSTITUTE(SUBSTITUTE(SUBSTITUTE(LOWER(TRIM(E449)),"á","a"),"é","e"),"í","i"),"ó","o"),"ú","u"),"ü","u"),"ñ","n"),"à","a"),"è","e"),"ì","i"),"ò","o"),"ù","u"),"")</f>
        <v/>
      </c>
      <c r="T449" s="25">
        <f>IF(AND(Q449=1,G449&lt;&gt;""),SUBSTITUTE(SUBSTITUTE(SUBSTITUTE(SUBSTITUTE(SUBSTITUTE(SUBSTITUTE(SUBSTITUTE(SUBSTITUTE(SUBSTITUTE(SUBSTITUTE(SUBSTITUTE(SUBSTITUTE(LOWER(TRIM(G449)),"á","a"),"é","e"),"í","i"),"ó","o"),"ú","u"),"ü","u"),"ñ","n"),"à","a"),"è","e"),"ì","i"),"ò","o"),"ù","u"),"")</f>
        <v/>
      </c>
      <c r="U449" s="25">
        <f>IF(AND(Q449=1,H449&lt;&gt;""),SUBSTITUTE(SUBSTITUTE(SUBSTITUTE(SUBSTITUTE(SUBSTITUTE(SUBSTITUTE(SUBSTITUTE(SUBSTITUTE(SUBSTITUTE(SUBSTITUTE(SUBSTITUTE(SUBSTITUTE(LOWER(TRIM(H449)),"á","a"),"é","e"),"í","i"),"ó","o"),"ú","u"),"ü","u"),"ñ","n"),"à","a"),"è","e"),"ì","i"),"ò","o"),"ù","u"),"")</f>
        <v/>
      </c>
      <c r="V449" s="25">
        <f>IF(AND(Q449=1,L449&lt;&gt;""),SUBSTITUTE(SUBSTITUTE(SUBSTITUTE(SUBSTITUTE(SUBSTITUTE(SUBSTITUTE(SUBSTITUTE(SUBSTITUTE(SUBSTITUTE(SUBSTITUTE(SUBSTITUTE(SUBSTITUTE(LOWER(TRIM(L449)),"á","a"),"é","e"),"í","i"),"ó","o"),"ú","u"),"ü","u"),"ñ","n"),"à","a"),"è","e"),"ì","i"),"ò","o"),"ù","u"),"")</f>
        <v/>
      </c>
      <c r="W449" s="25">
        <f>IF(AND(Q449=1,I449&lt;&gt;""),SUBSTITUTE(SUBSTITUTE(SUBSTITUTE(SUBSTITUTE(SUBSTITUTE(SUBSTITUTE(SUBSTITUTE(SUBSTITUTE(SUBSTITUTE(SUBSTITUTE(SUBSTITUTE(SUBSTITUTE(LOWER(TRIM(I449)),"á","a"),"é","e"),"í","i"),"ó","o"),"ú","u"),"ü","u"),"ñ","n"),"à","a"),"è","e"),"ì","i"),"ò","o"),"ù","u"),"")</f>
        <v/>
      </c>
      <c r="X449" s="25">
        <f>IF(U449="","",IF(OR(U449="si, en la proxima tarea",U449="si, con cambios"),1,0))</f>
        <v/>
      </c>
      <c r="Y449" s="25">
        <f>IF(AND(Q449=1,A449&lt;&gt;""),IF(IFERROR(COUNTIFS(A$3:A449,"="&amp;SUBSTITUTE(SUBSTITUTE(SUBSTITUTE(A449,"~","~~"),"*","~*"),"?","~?"),Q$3:Q449,1),0)=1,MAX(Y$2:Y448)+1,""),"")</f>
        <v/>
      </c>
      <c r="Z449" s="25">
        <f>IF(Y449="","",COUNTIFS($A$3:$A$1002,"="&amp;SUBSTITUTE(SUBSTITUTE(SUBSTITUTE(A449,"~","~~"),"*","~*"),"?","~?"),$Q$3:$Q$1002,1)*10000-Y449)</f>
        <v/>
      </c>
    </row>
    <row r="450">
      <c r="A450">
        <f>IF(A$2=0,"",IFERROR(TRIM(INDEX('Pegar docentes'!$A$1:$BZ$1001,449,A$2)&amp;""),""))</f>
        <v/>
      </c>
      <c r="B450">
        <f>IF(B$2=0,"",IFERROR(TRIM(INDEX('Pegar docentes'!$A$1:$BZ$1001,449,B$2)&amp;""),""))</f>
        <v/>
      </c>
      <c r="C450">
        <f>IF(C$2=0,"",IFERROR(TRIM(INDEX('Pegar docentes'!$A$1:$BZ$1001,449,C$2)&amp;""),""))</f>
        <v/>
      </c>
      <c r="D450">
        <f>IF(D$2=0,"",IFERROR(TRIM(INDEX('Pegar docentes'!$A$1:$BZ$1001,449,D$2)&amp;""),""))</f>
        <v/>
      </c>
      <c r="E450">
        <f>IF(E$2=0,"",IFERROR(TRIM(INDEX('Pegar docentes'!$A$1:$BZ$1001,449,E$2)&amp;""),""))</f>
        <v/>
      </c>
      <c r="F450">
        <f>IF(F$2=0,"",IFERROR(TRIM(INDEX('Pegar docentes'!$A$1:$BZ$1001,449,F$2)&amp;""),""))</f>
        <v/>
      </c>
      <c r="G450">
        <f>IF(G$2=0,"",IFERROR(TRIM(INDEX('Pegar docentes'!$A$1:$BZ$1001,449,G$2)&amp;""),""))</f>
        <v/>
      </c>
      <c r="H450">
        <f>IF(H$2=0,"",IFERROR(TRIM(INDEX('Pegar docentes'!$A$1:$BZ$1001,449,H$2)&amp;""),""))</f>
        <v/>
      </c>
      <c r="I450">
        <f>IF(I$2=0,"",IFERROR(TRIM(INDEX('Pegar docentes'!$A$1:$BZ$1001,449,I$2)&amp;""),""))</f>
        <v/>
      </c>
      <c r="J450">
        <f>IF(J$2=0,"",IFERROR(TRIM(INDEX('Pegar docentes'!$A$1:$BZ$1001,449,J$2)&amp;""),""))</f>
        <v/>
      </c>
      <c r="K450">
        <f>IF(K$2=0,"",IFERROR(TRIM(INDEX('Pegar docentes'!$A$1:$BZ$1001,449,K$2)&amp;""),""))</f>
        <v/>
      </c>
      <c r="L450">
        <f>IF(L$2=0,"",IFERROR(TRIM(INDEX('Pegar docentes'!$A$1:$BZ$1001,449,L$2)&amp;""),""))</f>
        <v/>
      </c>
      <c r="M450">
        <f>IF(M$2=0,"",IFERROR(TRIM(INDEX('Pegar docentes'!$A$1:$BZ$1001,449,M$2)&amp;""),""))</f>
        <v/>
      </c>
      <c r="N450">
        <f>IF(N$2=0,"",IFERROR(TRIM(INDEX('Pegar docentes'!$A$1:$BZ$1001,449,N$2)&amp;""),""))</f>
        <v/>
      </c>
      <c r="O450">
        <f>IF(O$2=0,"",IFERROR(TRIM(INDEX('Pegar docentes'!$A$1:$BZ$1001,449,O$2)&amp;""),""))</f>
        <v/>
      </c>
      <c r="P450">
        <f>IF(P$2=0,"",IFERROR(TRIM(INDEX('Pegar docentes'!$A$1:$BZ$1001,449,P$2)&amp;""),""))</f>
        <v/>
      </c>
      <c r="Q450" s="25">
        <f>IF(OR(D450&lt;&gt;"",H450&lt;&gt;""),1,"")</f>
        <v/>
      </c>
      <c r="R450" s="25">
        <f>IF(Q450=1,IF(ISNUMBER(FIND("#"&amp;MID(D450,1,1)&amp;"#","#0#1#2#3#4#5#6#7#8#9#")),IF(ISNUMBER(FIND("#"&amp;MID(D450,2,1)&amp;"#","#0#1#2#3#4#5#6#7#8#9#")),IF(AND(VALUE(LEFT(D450,2))&gt;=1,VALUE(LEFT(D450,2))&lt;=5),VALUE(LEFT(D450,2)),""),IF(AND(VALUE(LEFT(D450,1))&gt;=1,VALUE(LEFT(D450,1))&lt;=5),VALUE(LEFT(D450,1)),"")),""),"")</f>
        <v/>
      </c>
      <c r="S450" s="25">
        <f>IF(AND(Q450=1,E450&lt;&gt;""),SUBSTITUTE(SUBSTITUTE(SUBSTITUTE(SUBSTITUTE(SUBSTITUTE(SUBSTITUTE(SUBSTITUTE(SUBSTITUTE(SUBSTITUTE(SUBSTITUTE(SUBSTITUTE(SUBSTITUTE(LOWER(TRIM(E450)),"á","a"),"é","e"),"í","i"),"ó","o"),"ú","u"),"ü","u"),"ñ","n"),"à","a"),"è","e"),"ì","i"),"ò","o"),"ù","u"),"")</f>
        <v/>
      </c>
      <c r="T450" s="25">
        <f>IF(AND(Q450=1,G450&lt;&gt;""),SUBSTITUTE(SUBSTITUTE(SUBSTITUTE(SUBSTITUTE(SUBSTITUTE(SUBSTITUTE(SUBSTITUTE(SUBSTITUTE(SUBSTITUTE(SUBSTITUTE(SUBSTITUTE(SUBSTITUTE(LOWER(TRIM(G450)),"á","a"),"é","e"),"í","i"),"ó","o"),"ú","u"),"ü","u"),"ñ","n"),"à","a"),"è","e"),"ì","i"),"ò","o"),"ù","u"),"")</f>
        <v/>
      </c>
      <c r="U450" s="25">
        <f>IF(AND(Q450=1,H450&lt;&gt;""),SUBSTITUTE(SUBSTITUTE(SUBSTITUTE(SUBSTITUTE(SUBSTITUTE(SUBSTITUTE(SUBSTITUTE(SUBSTITUTE(SUBSTITUTE(SUBSTITUTE(SUBSTITUTE(SUBSTITUTE(LOWER(TRIM(H450)),"á","a"),"é","e"),"í","i"),"ó","o"),"ú","u"),"ü","u"),"ñ","n"),"à","a"),"è","e"),"ì","i"),"ò","o"),"ù","u"),"")</f>
        <v/>
      </c>
      <c r="V450" s="25">
        <f>IF(AND(Q450=1,L450&lt;&gt;""),SUBSTITUTE(SUBSTITUTE(SUBSTITUTE(SUBSTITUTE(SUBSTITUTE(SUBSTITUTE(SUBSTITUTE(SUBSTITUTE(SUBSTITUTE(SUBSTITUTE(SUBSTITUTE(SUBSTITUTE(LOWER(TRIM(L450)),"á","a"),"é","e"),"í","i"),"ó","o"),"ú","u"),"ü","u"),"ñ","n"),"à","a"),"è","e"),"ì","i"),"ò","o"),"ù","u"),"")</f>
        <v/>
      </c>
      <c r="W450" s="25">
        <f>IF(AND(Q450=1,I450&lt;&gt;""),SUBSTITUTE(SUBSTITUTE(SUBSTITUTE(SUBSTITUTE(SUBSTITUTE(SUBSTITUTE(SUBSTITUTE(SUBSTITUTE(SUBSTITUTE(SUBSTITUTE(SUBSTITUTE(SUBSTITUTE(LOWER(TRIM(I450)),"á","a"),"é","e"),"í","i"),"ó","o"),"ú","u"),"ü","u"),"ñ","n"),"à","a"),"è","e"),"ì","i"),"ò","o"),"ù","u"),"")</f>
        <v/>
      </c>
      <c r="X450" s="25">
        <f>IF(U450="","",IF(OR(U450="si, en la proxima tarea",U450="si, con cambios"),1,0))</f>
        <v/>
      </c>
      <c r="Y450" s="25">
        <f>IF(AND(Q450=1,A450&lt;&gt;""),IF(IFERROR(COUNTIFS(A$3:A450,"="&amp;SUBSTITUTE(SUBSTITUTE(SUBSTITUTE(A450,"~","~~"),"*","~*"),"?","~?"),Q$3:Q450,1),0)=1,MAX(Y$2:Y449)+1,""),"")</f>
        <v/>
      </c>
      <c r="Z450" s="25">
        <f>IF(Y450="","",COUNTIFS($A$3:$A$1002,"="&amp;SUBSTITUTE(SUBSTITUTE(SUBSTITUTE(A450,"~","~~"),"*","~*"),"?","~?"),$Q$3:$Q$1002,1)*10000-Y450)</f>
        <v/>
      </c>
    </row>
    <row r="451">
      <c r="A451">
        <f>IF(A$2=0,"",IFERROR(TRIM(INDEX('Pegar docentes'!$A$1:$BZ$1001,450,A$2)&amp;""),""))</f>
        <v/>
      </c>
      <c r="B451">
        <f>IF(B$2=0,"",IFERROR(TRIM(INDEX('Pegar docentes'!$A$1:$BZ$1001,450,B$2)&amp;""),""))</f>
        <v/>
      </c>
      <c r="C451">
        <f>IF(C$2=0,"",IFERROR(TRIM(INDEX('Pegar docentes'!$A$1:$BZ$1001,450,C$2)&amp;""),""))</f>
        <v/>
      </c>
      <c r="D451">
        <f>IF(D$2=0,"",IFERROR(TRIM(INDEX('Pegar docentes'!$A$1:$BZ$1001,450,D$2)&amp;""),""))</f>
        <v/>
      </c>
      <c r="E451">
        <f>IF(E$2=0,"",IFERROR(TRIM(INDEX('Pegar docentes'!$A$1:$BZ$1001,450,E$2)&amp;""),""))</f>
        <v/>
      </c>
      <c r="F451">
        <f>IF(F$2=0,"",IFERROR(TRIM(INDEX('Pegar docentes'!$A$1:$BZ$1001,450,F$2)&amp;""),""))</f>
        <v/>
      </c>
      <c r="G451">
        <f>IF(G$2=0,"",IFERROR(TRIM(INDEX('Pegar docentes'!$A$1:$BZ$1001,450,G$2)&amp;""),""))</f>
        <v/>
      </c>
      <c r="H451">
        <f>IF(H$2=0,"",IFERROR(TRIM(INDEX('Pegar docentes'!$A$1:$BZ$1001,450,H$2)&amp;""),""))</f>
        <v/>
      </c>
      <c r="I451">
        <f>IF(I$2=0,"",IFERROR(TRIM(INDEX('Pegar docentes'!$A$1:$BZ$1001,450,I$2)&amp;""),""))</f>
        <v/>
      </c>
      <c r="J451">
        <f>IF(J$2=0,"",IFERROR(TRIM(INDEX('Pegar docentes'!$A$1:$BZ$1001,450,J$2)&amp;""),""))</f>
        <v/>
      </c>
      <c r="K451">
        <f>IF(K$2=0,"",IFERROR(TRIM(INDEX('Pegar docentes'!$A$1:$BZ$1001,450,K$2)&amp;""),""))</f>
        <v/>
      </c>
      <c r="L451">
        <f>IF(L$2=0,"",IFERROR(TRIM(INDEX('Pegar docentes'!$A$1:$BZ$1001,450,L$2)&amp;""),""))</f>
        <v/>
      </c>
      <c r="M451">
        <f>IF(M$2=0,"",IFERROR(TRIM(INDEX('Pegar docentes'!$A$1:$BZ$1001,450,M$2)&amp;""),""))</f>
        <v/>
      </c>
      <c r="N451">
        <f>IF(N$2=0,"",IFERROR(TRIM(INDEX('Pegar docentes'!$A$1:$BZ$1001,450,N$2)&amp;""),""))</f>
        <v/>
      </c>
      <c r="O451">
        <f>IF(O$2=0,"",IFERROR(TRIM(INDEX('Pegar docentes'!$A$1:$BZ$1001,450,O$2)&amp;""),""))</f>
        <v/>
      </c>
      <c r="P451">
        <f>IF(P$2=0,"",IFERROR(TRIM(INDEX('Pegar docentes'!$A$1:$BZ$1001,450,P$2)&amp;""),""))</f>
        <v/>
      </c>
      <c r="Q451" s="25">
        <f>IF(OR(D451&lt;&gt;"",H451&lt;&gt;""),1,"")</f>
        <v/>
      </c>
      <c r="R451" s="25">
        <f>IF(Q451=1,IF(ISNUMBER(FIND("#"&amp;MID(D451,1,1)&amp;"#","#0#1#2#3#4#5#6#7#8#9#")),IF(ISNUMBER(FIND("#"&amp;MID(D451,2,1)&amp;"#","#0#1#2#3#4#5#6#7#8#9#")),IF(AND(VALUE(LEFT(D451,2))&gt;=1,VALUE(LEFT(D451,2))&lt;=5),VALUE(LEFT(D451,2)),""),IF(AND(VALUE(LEFT(D451,1))&gt;=1,VALUE(LEFT(D451,1))&lt;=5),VALUE(LEFT(D451,1)),"")),""),"")</f>
        <v/>
      </c>
      <c r="S451" s="25">
        <f>IF(AND(Q451=1,E451&lt;&gt;""),SUBSTITUTE(SUBSTITUTE(SUBSTITUTE(SUBSTITUTE(SUBSTITUTE(SUBSTITUTE(SUBSTITUTE(SUBSTITUTE(SUBSTITUTE(SUBSTITUTE(SUBSTITUTE(SUBSTITUTE(LOWER(TRIM(E451)),"á","a"),"é","e"),"í","i"),"ó","o"),"ú","u"),"ü","u"),"ñ","n"),"à","a"),"è","e"),"ì","i"),"ò","o"),"ù","u"),"")</f>
        <v/>
      </c>
      <c r="T451" s="25">
        <f>IF(AND(Q451=1,G451&lt;&gt;""),SUBSTITUTE(SUBSTITUTE(SUBSTITUTE(SUBSTITUTE(SUBSTITUTE(SUBSTITUTE(SUBSTITUTE(SUBSTITUTE(SUBSTITUTE(SUBSTITUTE(SUBSTITUTE(SUBSTITUTE(LOWER(TRIM(G451)),"á","a"),"é","e"),"í","i"),"ó","o"),"ú","u"),"ü","u"),"ñ","n"),"à","a"),"è","e"),"ì","i"),"ò","o"),"ù","u"),"")</f>
        <v/>
      </c>
      <c r="U451" s="25">
        <f>IF(AND(Q451=1,H451&lt;&gt;""),SUBSTITUTE(SUBSTITUTE(SUBSTITUTE(SUBSTITUTE(SUBSTITUTE(SUBSTITUTE(SUBSTITUTE(SUBSTITUTE(SUBSTITUTE(SUBSTITUTE(SUBSTITUTE(SUBSTITUTE(LOWER(TRIM(H451)),"á","a"),"é","e"),"í","i"),"ó","o"),"ú","u"),"ü","u"),"ñ","n"),"à","a"),"è","e"),"ì","i"),"ò","o"),"ù","u"),"")</f>
        <v/>
      </c>
      <c r="V451" s="25">
        <f>IF(AND(Q451=1,L451&lt;&gt;""),SUBSTITUTE(SUBSTITUTE(SUBSTITUTE(SUBSTITUTE(SUBSTITUTE(SUBSTITUTE(SUBSTITUTE(SUBSTITUTE(SUBSTITUTE(SUBSTITUTE(SUBSTITUTE(SUBSTITUTE(LOWER(TRIM(L451)),"á","a"),"é","e"),"í","i"),"ó","o"),"ú","u"),"ü","u"),"ñ","n"),"à","a"),"è","e"),"ì","i"),"ò","o"),"ù","u"),"")</f>
        <v/>
      </c>
      <c r="W451" s="25">
        <f>IF(AND(Q451=1,I451&lt;&gt;""),SUBSTITUTE(SUBSTITUTE(SUBSTITUTE(SUBSTITUTE(SUBSTITUTE(SUBSTITUTE(SUBSTITUTE(SUBSTITUTE(SUBSTITUTE(SUBSTITUTE(SUBSTITUTE(SUBSTITUTE(LOWER(TRIM(I451)),"á","a"),"é","e"),"í","i"),"ó","o"),"ú","u"),"ü","u"),"ñ","n"),"à","a"),"è","e"),"ì","i"),"ò","o"),"ù","u"),"")</f>
        <v/>
      </c>
      <c r="X451" s="25">
        <f>IF(U451="","",IF(OR(U451="si, en la proxima tarea",U451="si, con cambios"),1,0))</f>
        <v/>
      </c>
      <c r="Y451" s="25">
        <f>IF(AND(Q451=1,A451&lt;&gt;""),IF(IFERROR(COUNTIFS(A$3:A451,"="&amp;SUBSTITUTE(SUBSTITUTE(SUBSTITUTE(A451,"~","~~"),"*","~*"),"?","~?"),Q$3:Q451,1),0)=1,MAX(Y$2:Y450)+1,""),"")</f>
        <v/>
      </c>
      <c r="Z451" s="25">
        <f>IF(Y451="","",COUNTIFS($A$3:$A$1002,"="&amp;SUBSTITUTE(SUBSTITUTE(SUBSTITUTE(A451,"~","~~"),"*","~*"),"?","~?"),$Q$3:$Q$1002,1)*10000-Y451)</f>
        <v/>
      </c>
    </row>
    <row r="452">
      <c r="A452">
        <f>IF(A$2=0,"",IFERROR(TRIM(INDEX('Pegar docentes'!$A$1:$BZ$1001,451,A$2)&amp;""),""))</f>
        <v/>
      </c>
      <c r="B452">
        <f>IF(B$2=0,"",IFERROR(TRIM(INDEX('Pegar docentes'!$A$1:$BZ$1001,451,B$2)&amp;""),""))</f>
        <v/>
      </c>
      <c r="C452">
        <f>IF(C$2=0,"",IFERROR(TRIM(INDEX('Pegar docentes'!$A$1:$BZ$1001,451,C$2)&amp;""),""))</f>
        <v/>
      </c>
      <c r="D452">
        <f>IF(D$2=0,"",IFERROR(TRIM(INDEX('Pegar docentes'!$A$1:$BZ$1001,451,D$2)&amp;""),""))</f>
        <v/>
      </c>
      <c r="E452">
        <f>IF(E$2=0,"",IFERROR(TRIM(INDEX('Pegar docentes'!$A$1:$BZ$1001,451,E$2)&amp;""),""))</f>
        <v/>
      </c>
      <c r="F452">
        <f>IF(F$2=0,"",IFERROR(TRIM(INDEX('Pegar docentes'!$A$1:$BZ$1001,451,F$2)&amp;""),""))</f>
        <v/>
      </c>
      <c r="G452">
        <f>IF(G$2=0,"",IFERROR(TRIM(INDEX('Pegar docentes'!$A$1:$BZ$1001,451,G$2)&amp;""),""))</f>
        <v/>
      </c>
      <c r="H452">
        <f>IF(H$2=0,"",IFERROR(TRIM(INDEX('Pegar docentes'!$A$1:$BZ$1001,451,H$2)&amp;""),""))</f>
        <v/>
      </c>
      <c r="I452">
        <f>IF(I$2=0,"",IFERROR(TRIM(INDEX('Pegar docentes'!$A$1:$BZ$1001,451,I$2)&amp;""),""))</f>
        <v/>
      </c>
      <c r="J452">
        <f>IF(J$2=0,"",IFERROR(TRIM(INDEX('Pegar docentes'!$A$1:$BZ$1001,451,J$2)&amp;""),""))</f>
        <v/>
      </c>
      <c r="K452">
        <f>IF(K$2=0,"",IFERROR(TRIM(INDEX('Pegar docentes'!$A$1:$BZ$1001,451,K$2)&amp;""),""))</f>
        <v/>
      </c>
      <c r="L452">
        <f>IF(L$2=0,"",IFERROR(TRIM(INDEX('Pegar docentes'!$A$1:$BZ$1001,451,L$2)&amp;""),""))</f>
        <v/>
      </c>
      <c r="M452">
        <f>IF(M$2=0,"",IFERROR(TRIM(INDEX('Pegar docentes'!$A$1:$BZ$1001,451,M$2)&amp;""),""))</f>
        <v/>
      </c>
      <c r="N452">
        <f>IF(N$2=0,"",IFERROR(TRIM(INDEX('Pegar docentes'!$A$1:$BZ$1001,451,N$2)&amp;""),""))</f>
        <v/>
      </c>
      <c r="O452">
        <f>IF(O$2=0,"",IFERROR(TRIM(INDEX('Pegar docentes'!$A$1:$BZ$1001,451,O$2)&amp;""),""))</f>
        <v/>
      </c>
      <c r="P452">
        <f>IF(P$2=0,"",IFERROR(TRIM(INDEX('Pegar docentes'!$A$1:$BZ$1001,451,P$2)&amp;""),""))</f>
        <v/>
      </c>
      <c r="Q452" s="25">
        <f>IF(OR(D452&lt;&gt;"",H452&lt;&gt;""),1,"")</f>
        <v/>
      </c>
      <c r="R452" s="25">
        <f>IF(Q452=1,IF(ISNUMBER(FIND("#"&amp;MID(D452,1,1)&amp;"#","#0#1#2#3#4#5#6#7#8#9#")),IF(ISNUMBER(FIND("#"&amp;MID(D452,2,1)&amp;"#","#0#1#2#3#4#5#6#7#8#9#")),IF(AND(VALUE(LEFT(D452,2))&gt;=1,VALUE(LEFT(D452,2))&lt;=5),VALUE(LEFT(D452,2)),""),IF(AND(VALUE(LEFT(D452,1))&gt;=1,VALUE(LEFT(D452,1))&lt;=5),VALUE(LEFT(D452,1)),"")),""),"")</f>
        <v/>
      </c>
      <c r="S452" s="25">
        <f>IF(AND(Q452=1,E452&lt;&gt;""),SUBSTITUTE(SUBSTITUTE(SUBSTITUTE(SUBSTITUTE(SUBSTITUTE(SUBSTITUTE(SUBSTITUTE(SUBSTITUTE(SUBSTITUTE(SUBSTITUTE(SUBSTITUTE(SUBSTITUTE(LOWER(TRIM(E452)),"á","a"),"é","e"),"í","i"),"ó","o"),"ú","u"),"ü","u"),"ñ","n"),"à","a"),"è","e"),"ì","i"),"ò","o"),"ù","u"),"")</f>
        <v/>
      </c>
      <c r="T452" s="25">
        <f>IF(AND(Q452=1,G452&lt;&gt;""),SUBSTITUTE(SUBSTITUTE(SUBSTITUTE(SUBSTITUTE(SUBSTITUTE(SUBSTITUTE(SUBSTITUTE(SUBSTITUTE(SUBSTITUTE(SUBSTITUTE(SUBSTITUTE(SUBSTITUTE(LOWER(TRIM(G452)),"á","a"),"é","e"),"í","i"),"ó","o"),"ú","u"),"ü","u"),"ñ","n"),"à","a"),"è","e"),"ì","i"),"ò","o"),"ù","u"),"")</f>
        <v/>
      </c>
      <c r="U452" s="25">
        <f>IF(AND(Q452=1,H452&lt;&gt;""),SUBSTITUTE(SUBSTITUTE(SUBSTITUTE(SUBSTITUTE(SUBSTITUTE(SUBSTITUTE(SUBSTITUTE(SUBSTITUTE(SUBSTITUTE(SUBSTITUTE(SUBSTITUTE(SUBSTITUTE(LOWER(TRIM(H452)),"á","a"),"é","e"),"í","i"),"ó","o"),"ú","u"),"ü","u"),"ñ","n"),"à","a"),"è","e"),"ì","i"),"ò","o"),"ù","u"),"")</f>
        <v/>
      </c>
      <c r="V452" s="25">
        <f>IF(AND(Q452=1,L452&lt;&gt;""),SUBSTITUTE(SUBSTITUTE(SUBSTITUTE(SUBSTITUTE(SUBSTITUTE(SUBSTITUTE(SUBSTITUTE(SUBSTITUTE(SUBSTITUTE(SUBSTITUTE(SUBSTITUTE(SUBSTITUTE(LOWER(TRIM(L452)),"á","a"),"é","e"),"í","i"),"ó","o"),"ú","u"),"ü","u"),"ñ","n"),"à","a"),"è","e"),"ì","i"),"ò","o"),"ù","u"),"")</f>
        <v/>
      </c>
      <c r="W452" s="25">
        <f>IF(AND(Q452=1,I452&lt;&gt;""),SUBSTITUTE(SUBSTITUTE(SUBSTITUTE(SUBSTITUTE(SUBSTITUTE(SUBSTITUTE(SUBSTITUTE(SUBSTITUTE(SUBSTITUTE(SUBSTITUTE(SUBSTITUTE(SUBSTITUTE(LOWER(TRIM(I452)),"á","a"),"é","e"),"í","i"),"ó","o"),"ú","u"),"ü","u"),"ñ","n"),"à","a"),"è","e"),"ì","i"),"ò","o"),"ù","u"),"")</f>
        <v/>
      </c>
      <c r="X452" s="25">
        <f>IF(U452="","",IF(OR(U452="si, en la proxima tarea",U452="si, con cambios"),1,0))</f>
        <v/>
      </c>
      <c r="Y452" s="25">
        <f>IF(AND(Q452=1,A452&lt;&gt;""),IF(IFERROR(COUNTIFS(A$3:A452,"="&amp;SUBSTITUTE(SUBSTITUTE(SUBSTITUTE(A452,"~","~~"),"*","~*"),"?","~?"),Q$3:Q452,1),0)=1,MAX(Y$2:Y451)+1,""),"")</f>
        <v/>
      </c>
      <c r="Z452" s="25">
        <f>IF(Y452="","",COUNTIFS($A$3:$A$1002,"="&amp;SUBSTITUTE(SUBSTITUTE(SUBSTITUTE(A452,"~","~~"),"*","~*"),"?","~?"),$Q$3:$Q$1002,1)*10000-Y452)</f>
        <v/>
      </c>
    </row>
    <row r="453">
      <c r="A453">
        <f>IF(A$2=0,"",IFERROR(TRIM(INDEX('Pegar docentes'!$A$1:$BZ$1001,452,A$2)&amp;""),""))</f>
        <v/>
      </c>
      <c r="B453">
        <f>IF(B$2=0,"",IFERROR(TRIM(INDEX('Pegar docentes'!$A$1:$BZ$1001,452,B$2)&amp;""),""))</f>
        <v/>
      </c>
      <c r="C453">
        <f>IF(C$2=0,"",IFERROR(TRIM(INDEX('Pegar docentes'!$A$1:$BZ$1001,452,C$2)&amp;""),""))</f>
        <v/>
      </c>
      <c r="D453">
        <f>IF(D$2=0,"",IFERROR(TRIM(INDEX('Pegar docentes'!$A$1:$BZ$1001,452,D$2)&amp;""),""))</f>
        <v/>
      </c>
      <c r="E453">
        <f>IF(E$2=0,"",IFERROR(TRIM(INDEX('Pegar docentes'!$A$1:$BZ$1001,452,E$2)&amp;""),""))</f>
        <v/>
      </c>
      <c r="F453">
        <f>IF(F$2=0,"",IFERROR(TRIM(INDEX('Pegar docentes'!$A$1:$BZ$1001,452,F$2)&amp;""),""))</f>
        <v/>
      </c>
      <c r="G453">
        <f>IF(G$2=0,"",IFERROR(TRIM(INDEX('Pegar docentes'!$A$1:$BZ$1001,452,G$2)&amp;""),""))</f>
        <v/>
      </c>
      <c r="H453">
        <f>IF(H$2=0,"",IFERROR(TRIM(INDEX('Pegar docentes'!$A$1:$BZ$1001,452,H$2)&amp;""),""))</f>
        <v/>
      </c>
      <c r="I453">
        <f>IF(I$2=0,"",IFERROR(TRIM(INDEX('Pegar docentes'!$A$1:$BZ$1001,452,I$2)&amp;""),""))</f>
        <v/>
      </c>
      <c r="J453">
        <f>IF(J$2=0,"",IFERROR(TRIM(INDEX('Pegar docentes'!$A$1:$BZ$1001,452,J$2)&amp;""),""))</f>
        <v/>
      </c>
      <c r="K453">
        <f>IF(K$2=0,"",IFERROR(TRIM(INDEX('Pegar docentes'!$A$1:$BZ$1001,452,K$2)&amp;""),""))</f>
        <v/>
      </c>
      <c r="L453">
        <f>IF(L$2=0,"",IFERROR(TRIM(INDEX('Pegar docentes'!$A$1:$BZ$1001,452,L$2)&amp;""),""))</f>
        <v/>
      </c>
      <c r="M453">
        <f>IF(M$2=0,"",IFERROR(TRIM(INDEX('Pegar docentes'!$A$1:$BZ$1001,452,M$2)&amp;""),""))</f>
        <v/>
      </c>
      <c r="N453">
        <f>IF(N$2=0,"",IFERROR(TRIM(INDEX('Pegar docentes'!$A$1:$BZ$1001,452,N$2)&amp;""),""))</f>
        <v/>
      </c>
      <c r="O453">
        <f>IF(O$2=0,"",IFERROR(TRIM(INDEX('Pegar docentes'!$A$1:$BZ$1001,452,O$2)&amp;""),""))</f>
        <v/>
      </c>
      <c r="P453">
        <f>IF(P$2=0,"",IFERROR(TRIM(INDEX('Pegar docentes'!$A$1:$BZ$1001,452,P$2)&amp;""),""))</f>
        <v/>
      </c>
      <c r="Q453" s="25">
        <f>IF(OR(D453&lt;&gt;"",H453&lt;&gt;""),1,"")</f>
        <v/>
      </c>
      <c r="R453" s="25">
        <f>IF(Q453=1,IF(ISNUMBER(FIND("#"&amp;MID(D453,1,1)&amp;"#","#0#1#2#3#4#5#6#7#8#9#")),IF(ISNUMBER(FIND("#"&amp;MID(D453,2,1)&amp;"#","#0#1#2#3#4#5#6#7#8#9#")),IF(AND(VALUE(LEFT(D453,2))&gt;=1,VALUE(LEFT(D453,2))&lt;=5),VALUE(LEFT(D453,2)),""),IF(AND(VALUE(LEFT(D453,1))&gt;=1,VALUE(LEFT(D453,1))&lt;=5),VALUE(LEFT(D453,1)),"")),""),"")</f>
        <v/>
      </c>
      <c r="S453" s="25">
        <f>IF(AND(Q453=1,E453&lt;&gt;""),SUBSTITUTE(SUBSTITUTE(SUBSTITUTE(SUBSTITUTE(SUBSTITUTE(SUBSTITUTE(SUBSTITUTE(SUBSTITUTE(SUBSTITUTE(SUBSTITUTE(SUBSTITUTE(SUBSTITUTE(LOWER(TRIM(E453)),"á","a"),"é","e"),"í","i"),"ó","o"),"ú","u"),"ü","u"),"ñ","n"),"à","a"),"è","e"),"ì","i"),"ò","o"),"ù","u"),"")</f>
        <v/>
      </c>
      <c r="T453" s="25">
        <f>IF(AND(Q453=1,G453&lt;&gt;""),SUBSTITUTE(SUBSTITUTE(SUBSTITUTE(SUBSTITUTE(SUBSTITUTE(SUBSTITUTE(SUBSTITUTE(SUBSTITUTE(SUBSTITUTE(SUBSTITUTE(SUBSTITUTE(SUBSTITUTE(LOWER(TRIM(G453)),"á","a"),"é","e"),"í","i"),"ó","o"),"ú","u"),"ü","u"),"ñ","n"),"à","a"),"è","e"),"ì","i"),"ò","o"),"ù","u"),"")</f>
        <v/>
      </c>
      <c r="U453" s="25">
        <f>IF(AND(Q453=1,H453&lt;&gt;""),SUBSTITUTE(SUBSTITUTE(SUBSTITUTE(SUBSTITUTE(SUBSTITUTE(SUBSTITUTE(SUBSTITUTE(SUBSTITUTE(SUBSTITUTE(SUBSTITUTE(SUBSTITUTE(SUBSTITUTE(LOWER(TRIM(H453)),"á","a"),"é","e"),"í","i"),"ó","o"),"ú","u"),"ü","u"),"ñ","n"),"à","a"),"è","e"),"ì","i"),"ò","o"),"ù","u"),"")</f>
        <v/>
      </c>
      <c r="V453" s="25">
        <f>IF(AND(Q453=1,L453&lt;&gt;""),SUBSTITUTE(SUBSTITUTE(SUBSTITUTE(SUBSTITUTE(SUBSTITUTE(SUBSTITUTE(SUBSTITUTE(SUBSTITUTE(SUBSTITUTE(SUBSTITUTE(SUBSTITUTE(SUBSTITUTE(LOWER(TRIM(L453)),"á","a"),"é","e"),"í","i"),"ó","o"),"ú","u"),"ü","u"),"ñ","n"),"à","a"),"è","e"),"ì","i"),"ò","o"),"ù","u"),"")</f>
        <v/>
      </c>
      <c r="W453" s="25">
        <f>IF(AND(Q453=1,I453&lt;&gt;""),SUBSTITUTE(SUBSTITUTE(SUBSTITUTE(SUBSTITUTE(SUBSTITUTE(SUBSTITUTE(SUBSTITUTE(SUBSTITUTE(SUBSTITUTE(SUBSTITUTE(SUBSTITUTE(SUBSTITUTE(LOWER(TRIM(I453)),"á","a"),"é","e"),"í","i"),"ó","o"),"ú","u"),"ü","u"),"ñ","n"),"à","a"),"è","e"),"ì","i"),"ò","o"),"ù","u"),"")</f>
        <v/>
      </c>
      <c r="X453" s="25">
        <f>IF(U453="","",IF(OR(U453="si, en la proxima tarea",U453="si, con cambios"),1,0))</f>
        <v/>
      </c>
      <c r="Y453" s="25">
        <f>IF(AND(Q453=1,A453&lt;&gt;""),IF(IFERROR(COUNTIFS(A$3:A453,"="&amp;SUBSTITUTE(SUBSTITUTE(SUBSTITUTE(A453,"~","~~"),"*","~*"),"?","~?"),Q$3:Q453,1),0)=1,MAX(Y$2:Y452)+1,""),"")</f>
        <v/>
      </c>
      <c r="Z453" s="25">
        <f>IF(Y453="","",COUNTIFS($A$3:$A$1002,"="&amp;SUBSTITUTE(SUBSTITUTE(SUBSTITUTE(A453,"~","~~"),"*","~*"),"?","~?"),$Q$3:$Q$1002,1)*10000-Y453)</f>
        <v/>
      </c>
    </row>
    <row r="454">
      <c r="A454">
        <f>IF(A$2=0,"",IFERROR(TRIM(INDEX('Pegar docentes'!$A$1:$BZ$1001,453,A$2)&amp;""),""))</f>
        <v/>
      </c>
      <c r="B454">
        <f>IF(B$2=0,"",IFERROR(TRIM(INDEX('Pegar docentes'!$A$1:$BZ$1001,453,B$2)&amp;""),""))</f>
        <v/>
      </c>
      <c r="C454">
        <f>IF(C$2=0,"",IFERROR(TRIM(INDEX('Pegar docentes'!$A$1:$BZ$1001,453,C$2)&amp;""),""))</f>
        <v/>
      </c>
      <c r="D454">
        <f>IF(D$2=0,"",IFERROR(TRIM(INDEX('Pegar docentes'!$A$1:$BZ$1001,453,D$2)&amp;""),""))</f>
        <v/>
      </c>
      <c r="E454">
        <f>IF(E$2=0,"",IFERROR(TRIM(INDEX('Pegar docentes'!$A$1:$BZ$1001,453,E$2)&amp;""),""))</f>
        <v/>
      </c>
      <c r="F454">
        <f>IF(F$2=0,"",IFERROR(TRIM(INDEX('Pegar docentes'!$A$1:$BZ$1001,453,F$2)&amp;""),""))</f>
        <v/>
      </c>
      <c r="G454">
        <f>IF(G$2=0,"",IFERROR(TRIM(INDEX('Pegar docentes'!$A$1:$BZ$1001,453,G$2)&amp;""),""))</f>
        <v/>
      </c>
      <c r="H454">
        <f>IF(H$2=0,"",IFERROR(TRIM(INDEX('Pegar docentes'!$A$1:$BZ$1001,453,H$2)&amp;""),""))</f>
        <v/>
      </c>
      <c r="I454">
        <f>IF(I$2=0,"",IFERROR(TRIM(INDEX('Pegar docentes'!$A$1:$BZ$1001,453,I$2)&amp;""),""))</f>
        <v/>
      </c>
      <c r="J454">
        <f>IF(J$2=0,"",IFERROR(TRIM(INDEX('Pegar docentes'!$A$1:$BZ$1001,453,J$2)&amp;""),""))</f>
        <v/>
      </c>
      <c r="K454">
        <f>IF(K$2=0,"",IFERROR(TRIM(INDEX('Pegar docentes'!$A$1:$BZ$1001,453,K$2)&amp;""),""))</f>
        <v/>
      </c>
      <c r="L454">
        <f>IF(L$2=0,"",IFERROR(TRIM(INDEX('Pegar docentes'!$A$1:$BZ$1001,453,L$2)&amp;""),""))</f>
        <v/>
      </c>
      <c r="M454">
        <f>IF(M$2=0,"",IFERROR(TRIM(INDEX('Pegar docentes'!$A$1:$BZ$1001,453,M$2)&amp;""),""))</f>
        <v/>
      </c>
      <c r="N454">
        <f>IF(N$2=0,"",IFERROR(TRIM(INDEX('Pegar docentes'!$A$1:$BZ$1001,453,N$2)&amp;""),""))</f>
        <v/>
      </c>
      <c r="O454">
        <f>IF(O$2=0,"",IFERROR(TRIM(INDEX('Pegar docentes'!$A$1:$BZ$1001,453,O$2)&amp;""),""))</f>
        <v/>
      </c>
      <c r="P454">
        <f>IF(P$2=0,"",IFERROR(TRIM(INDEX('Pegar docentes'!$A$1:$BZ$1001,453,P$2)&amp;""),""))</f>
        <v/>
      </c>
      <c r="Q454" s="25">
        <f>IF(OR(D454&lt;&gt;"",H454&lt;&gt;""),1,"")</f>
        <v/>
      </c>
      <c r="R454" s="25">
        <f>IF(Q454=1,IF(ISNUMBER(FIND("#"&amp;MID(D454,1,1)&amp;"#","#0#1#2#3#4#5#6#7#8#9#")),IF(ISNUMBER(FIND("#"&amp;MID(D454,2,1)&amp;"#","#0#1#2#3#4#5#6#7#8#9#")),IF(AND(VALUE(LEFT(D454,2))&gt;=1,VALUE(LEFT(D454,2))&lt;=5),VALUE(LEFT(D454,2)),""),IF(AND(VALUE(LEFT(D454,1))&gt;=1,VALUE(LEFT(D454,1))&lt;=5),VALUE(LEFT(D454,1)),"")),""),"")</f>
        <v/>
      </c>
      <c r="S454" s="25">
        <f>IF(AND(Q454=1,E454&lt;&gt;""),SUBSTITUTE(SUBSTITUTE(SUBSTITUTE(SUBSTITUTE(SUBSTITUTE(SUBSTITUTE(SUBSTITUTE(SUBSTITUTE(SUBSTITUTE(SUBSTITUTE(SUBSTITUTE(SUBSTITUTE(LOWER(TRIM(E454)),"á","a"),"é","e"),"í","i"),"ó","o"),"ú","u"),"ü","u"),"ñ","n"),"à","a"),"è","e"),"ì","i"),"ò","o"),"ù","u"),"")</f>
        <v/>
      </c>
      <c r="T454" s="25">
        <f>IF(AND(Q454=1,G454&lt;&gt;""),SUBSTITUTE(SUBSTITUTE(SUBSTITUTE(SUBSTITUTE(SUBSTITUTE(SUBSTITUTE(SUBSTITUTE(SUBSTITUTE(SUBSTITUTE(SUBSTITUTE(SUBSTITUTE(SUBSTITUTE(LOWER(TRIM(G454)),"á","a"),"é","e"),"í","i"),"ó","o"),"ú","u"),"ü","u"),"ñ","n"),"à","a"),"è","e"),"ì","i"),"ò","o"),"ù","u"),"")</f>
        <v/>
      </c>
      <c r="U454" s="25">
        <f>IF(AND(Q454=1,H454&lt;&gt;""),SUBSTITUTE(SUBSTITUTE(SUBSTITUTE(SUBSTITUTE(SUBSTITUTE(SUBSTITUTE(SUBSTITUTE(SUBSTITUTE(SUBSTITUTE(SUBSTITUTE(SUBSTITUTE(SUBSTITUTE(LOWER(TRIM(H454)),"á","a"),"é","e"),"í","i"),"ó","o"),"ú","u"),"ü","u"),"ñ","n"),"à","a"),"è","e"),"ì","i"),"ò","o"),"ù","u"),"")</f>
        <v/>
      </c>
      <c r="V454" s="25">
        <f>IF(AND(Q454=1,L454&lt;&gt;""),SUBSTITUTE(SUBSTITUTE(SUBSTITUTE(SUBSTITUTE(SUBSTITUTE(SUBSTITUTE(SUBSTITUTE(SUBSTITUTE(SUBSTITUTE(SUBSTITUTE(SUBSTITUTE(SUBSTITUTE(LOWER(TRIM(L454)),"á","a"),"é","e"),"í","i"),"ó","o"),"ú","u"),"ü","u"),"ñ","n"),"à","a"),"è","e"),"ì","i"),"ò","o"),"ù","u"),"")</f>
        <v/>
      </c>
      <c r="W454" s="25">
        <f>IF(AND(Q454=1,I454&lt;&gt;""),SUBSTITUTE(SUBSTITUTE(SUBSTITUTE(SUBSTITUTE(SUBSTITUTE(SUBSTITUTE(SUBSTITUTE(SUBSTITUTE(SUBSTITUTE(SUBSTITUTE(SUBSTITUTE(SUBSTITUTE(LOWER(TRIM(I454)),"á","a"),"é","e"),"í","i"),"ó","o"),"ú","u"),"ü","u"),"ñ","n"),"à","a"),"è","e"),"ì","i"),"ò","o"),"ù","u"),"")</f>
        <v/>
      </c>
      <c r="X454" s="25">
        <f>IF(U454="","",IF(OR(U454="si, en la proxima tarea",U454="si, con cambios"),1,0))</f>
        <v/>
      </c>
      <c r="Y454" s="25">
        <f>IF(AND(Q454=1,A454&lt;&gt;""),IF(IFERROR(COUNTIFS(A$3:A454,"="&amp;SUBSTITUTE(SUBSTITUTE(SUBSTITUTE(A454,"~","~~"),"*","~*"),"?","~?"),Q$3:Q454,1),0)=1,MAX(Y$2:Y453)+1,""),"")</f>
        <v/>
      </c>
      <c r="Z454" s="25">
        <f>IF(Y454="","",COUNTIFS($A$3:$A$1002,"="&amp;SUBSTITUTE(SUBSTITUTE(SUBSTITUTE(A454,"~","~~"),"*","~*"),"?","~?"),$Q$3:$Q$1002,1)*10000-Y454)</f>
        <v/>
      </c>
    </row>
    <row r="455">
      <c r="A455">
        <f>IF(A$2=0,"",IFERROR(TRIM(INDEX('Pegar docentes'!$A$1:$BZ$1001,454,A$2)&amp;""),""))</f>
        <v/>
      </c>
      <c r="B455">
        <f>IF(B$2=0,"",IFERROR(TRIM(INDEX('Pegar docentes'!$A$1:$BZ$1001,454,B$2)&amp;""),""))</f>
        <v/>
      </c>
      <c r="C455">
        <f>IF(C$2=0,"",IFERROR(TRIM(INDEX('Pegar docentes'!$A$1:$BZ$1001,454,C$2)&amp;""),""))</f>
        <v/>
      </c>
      <c r="D455">
        <f>IF(D$2=0,"",IFERROR(TRIM(INDEX('Pegar docentes'!$A$1:$BZ$1001,454,D$2)&amp;""),""))</f>
        <v/>
      </c>
      <c r="E455">
        <f>IF(E$2=0,"",IFERROR(TRIM(INDEX('Pegar docentes'!$A$1:$BZ$1001,454,E$2)&amp;""),""))</f>
        <v/>
      </c>
      <c r="F455">
        <f>IF(F$2=0,"",IFERROR(TRIM(INDEX('Pegar docentes'!$A$1:$BZ$1001,454,F$2)&amp;""),""))</f>
        <v/>
      </c>
      <c r="G455">
        <f>IF(G$2=0,"",IFERROR(TRIM(INDEX('Pegar docentes'!$A$1:$BZ$1001,454,G$2)&amp;""),""))</f>
        <v/>
      </c>
      <c r="H455">
        <f>IF(H$2=0,"",IFERROR(TRIM(INDEX('Pegar docentes'!$A$1:$BZ$1001,454,H$2)&amp;""),""))</f>
        <v/>
      </c>
      <c r="I455">
        <f>IF(I$2=0,"",IFERROR(TRIM(INDEX('Pegar docentes'!$A$1:$BZ$1001,454,I$2)&amp;""),""))</f>
        <v/>
      </c>
      <c r="J455">
        <f>IF(J$2=0,"",IFERROR(TRIM(INDEX('Pegar docentes'!$A$1:$BZ$1001,454,J$2)&amp;""),""))</f>
        <v/>
      </c>
      <c r="K455">
        <f>IF(K$2=0,"",IFERROR(TRIM(INDEX('Pegar docentes'!$A$1:$BZ$1001,454,K$2)&amp;""),""))</f>
        <v/>
      </c>
      <c r="L455">
        <f>IF(L$2=0,"",IFERROR(TRIM(INDEX('Pegar docentes'!$A$1:$BZ$1001,454,L$2)&amp;""),""))</f>
        <v/>
      </c>
      <c r="M455">
        <f>IF(M$2=0,"",IFERROR(TRIM(INDEX('Pegar docentes'!$A$1:$BZ$1001,454,M$2)&amp;""),""))</f>
        <v/>
      </c>
      <c r="N455">
        <f>IF(N$2=0,"",IFERROR(TRIM(INDEX('Pegar docentes'!$A$1:$BZ$1001,454,N$2)&amp;""),""))</f>
        <v/>
      </c>
      <c r="O455">
        <f>IF(O$2=0,"",IFERROR(TRIM(INDEX('Pegar docentes'!$A$1:$BZ$1001,454,O$2)&amp;""),""))</f>
        <v/>
      </c>
      <c r="P455">
        <f>IF(P$2=0,"",IFERROR(TRIM(INDEX('Pegar docentes'!$A$1:$BZ$1001,454,P$2)&amp;""),""))</f>
        <v/>
      </c>
      <c r="Q455" s="25">
        <f>IF(OR(D455&lt;&gt;"",H455&lt;&gt;""),1,"")</f>
        <v/>
      </c>
      <c r="R455" s="25">
        <f>IF(Q455=1,IF(ISNUMBER(FIND("#"&amp;MID(D455,1,1)&amp;"#","#0#1#2#3#4#5#6#7#8#9#")),IF(ISNUMBER(FIND("#"&amp;MID(D455,2,1)&amp;"#","#0#1#2#3#4#5#6#7#8#9#")),IF(AND(VALUE(LEFT(D455,2))&gt;=1,VALUE(LEFT(D455,2))&lt;=5),VALUE(LEFT(D455,2)),""),IF(AND(VALUE(LEFT(D455,1))&gt;=1,VALUE(LEFT(D455,1))&lt;=5),VALUE(LEFT(D455,1)),"")),""),"")</f>
        <v/>
      </c>
      <c r="S455" s="25">
        <f>IF(AND(Q455=1,E455&lt;&gt;""),SUBSTITUTE(SUBSTITUTE(SUBSTITUTE(SUBSTITUTE(SUBSTITUTE(SUBSTITUTE(SUBSTITUTE(SUBSTITUTE(SUBSTITUTE(SUBSTITUTE(SUBSTITUTE(SUBSTITUTE(LOWER(TRIM(E455)),"á","a"),"é","e"),"í","i"),"ó","o"),"ú","u"),"ü","u"),"ñ","n"),"à","a"),"è","e"),"ì","i"),"ò","o"),"ù","u"),"")</f>
        <v/>
      </c>
      <c r="T455" s="25">
        <f>IF(AND(Q455=1,G455&lt;&gt;""),SUBSTITUTE(SUBSTITUTE(SUBSTITUTE(SUBSTITUTE(SUBSTITUTE(SUBSTITUTE(SUBSTITUTE(SUBSTITUTE(SUBSTITUTE(SUBSTITUTE(SUBSTITUTE(SUBSTITUTE(LOWER(TRIM(G455)),"á","a"),"é","e"),"í","i"),"ó","o"),"ú","u"),"ü","u"),"ñ","n"),"à","a"),"è","e"),"ì","i"),"ò","o"),"ù","u"),"")</f>
        <v/>
      </c>
      <c r="U455" s="25">
        <f>IF(AND(Q455=1,H455&lt;&gt;""),SUBSTITUTE(SUBSTITUTE(SUBSTITUTE(SUBSTITUTE(SUBSTITUTE(SUBSTITUTE(SUBSTITUTE(SUBSTITUTE(SUBSTITUTE(SUBSTITUTE(SUBSTITUTE(SUBSTITUTE(LOWER(TRIM(H455)),"á","a"),"é","e"),"í","i"),"ó","o"),"ú","u"),"ü","u"),"ñ","n"),"à","a"),"è","e"),"ì","i"),"ò","o"),"ù","u"),"")</f>
        <v/>
      </c>
      <c r="V455" s="25">
        <f>IF(AND(Q455=1,L455&lt;&gt;""),SUBSTITUTE(SUBSTITUTE(SUBSTITUTE(SUBSTITUTE(SUBSTITUTE(SUBSTITUTE(SUBSTITUTE(SUBSTITUTE(SUBSTITUTE(SUBSTITUTE(SUBSTITUTE(SUBSTITUTE(LOWER(TRIM(L455)),"á","a"),"é","e"),"í","i"),"ó","o"),"ú","u"),"ü","u"),"ñ","n"),"à","a"),"è","e"),"ì","i"),"ò","o"),"ù","u"),"")</f>
        <v/>
      </c>
      <c r="W455" s="25">
        <f>IF(AND(Q455=1,I455&lt;&gt;""),SUBSTITUTE(SUBSTITUTE(SUBSTITUTE(SUBSTITUTE(SUBSTITUTE(SUBSTITUTE(SUBSTITUTE(SUBSTITUTE(SUBSTITUTE(SUBSTITUTE(SUBSTITUTE(SUBSTITUTE(LOWER(TRIM(I455)),"á","a"),"é","e"),"í","i"),"ó","o"),"ú","u"),"ü","u"),"ñ","n"),"à","a"),"è","e"),"ì","i"),"ò","o"),"ù","u"),"")</f>
        <v/>
      </c>
      <c r="X455" s="25">
        <f>IF(U455="","",IF(OR(U455="si, en la proxima tarea",U455="si, con cambios"),1,0))</f>
        <v/>
      </c>
      <c r="Y455" s="25">
        <f>IF(AND(Q455=1,A455&lt;&gt;""),IF(IFERROR(COUNTIFS(A$3:A455,"="&amp;SUBSTITUTE(SUBSTITUTE(SUBSTITUTE(A455,"~","~~"),"*","~*"),"?","~?"),Q$3:Q455,1),0)=1,MAX(Y$2:Y454)+1,""),"")</f>
        <v/>
      </c>
      <c r="Z455" s="25">
        <f>IF(Y455="","",COUNTIFS($A$3:$A$1002,"="&amp;SUBSTITUTE(SUBSTITUTE(SUBSTITUTE(A455,"~","~~"),"*","~*"),"?","~?"),$Q$3:$Q$1002,1)*10000-Y455)</f>
        <v/>
      </c>
    </row>
    <row r="456">
      <c r="A456">
        <f>IF(A$2=0,"",IFERROR(TRIM(INDEX('Pegar docentes'!$A$1:$BZ$1001,455,A$2)&amp;""),""))</f>
        <v/>
      </c>
      <c r="B456">
        <f>IF(B$2=0,"",IFERROR(TRIM(INDEX('Pegar docentes'!$A$1:$BZ$1001,455,B$2)&amp;""),""))</f>
        <v/>
      </c>
      <c r="C456">
        <f>IF(C$2=0,"",IFERROR(TRIM(INDEX('Pegar docentes'!$A$1:$BZ$1001,455,C$2)&amp;""),""))</f>
        <v/>
      </c>
      <c r="D456">
        <f>IF(D$2=0,"",IFERROR(TRIM(INDEX('Pegar docentes'!$A$1:$BZ$1001,455,D$2)&amp;""),""))</f>
        <v/>
      </c>
      <c r="E456">
        <f>IF(E$2=0,"",IFERROR(TRIM(INDEX('Pegar docentes'!$A$1:$BZ$1001,455,E$2)&amp;""),""))</f>
        <v/>
      </c>
      <c r="F456">
        <f>IF(F$2=0,"",IFERROR(TRIM(INDEX('Pegar docentes'!$A$1:$BZ$1001,455,F$2)&amp;""),""))</f>
        <v/>
      </c>
      <c r="G456">
        <f>IF(G$2=0,"",IFERROR(TRIM(INDEX('Pegar docentes'!$A$1:$BZ$1001,455,G$2)&amp;""),""))</f>
        <v/>
      </c>
      <c r="H456">
        <f>IF(H$2=0,"",IFERROR(TRIM(INDEX('Pegar docentes'!$A$1:$BZ$1001,455,H$2)&amp;""),""))</f>
        <v/>
      </c>
      <c r="I456">
        <f>IF(I$2=0,"",IFERROR(TRIM(INDEX('Pegar docentes'!$A$1:$BZ$1001,455,I$2)&amp;""),""))</f>
        <v/>
      </c>
      <c r="J456">
        <f>IF(J$2=0,"",IFERROR(TRIM(INDEX('Pegar docentes'!$A$1:$BZ$1001,455,J$2)&amp;""),""))</f>
        <v/>
      </c>
      <c r="K456">
        <f>IF(K$2=0,"",IFERROR(TRIM(INDEX('Pegar docentes'!$A$1:$BZ$1001,455,K$2)&amp;""),""))</f>
        <v/>
      </c>
      <c r="L456">
        <f>IF(L$2=0,"",IFERROR(TRIM(INDEX('Pegar docentes'!$A$1:$BZ$1001,455,L$2)&amp;""),""))</f>
        <v/>
      </c>
      <c r="M456">
        <f>IF(M$2=0,"",IFERROR(TRIM(INDEX('Pegar docentes'!$A$1:$BZ$1001,455,M$2)&amp;""),""))</f>
        <v/>
      </c>
      <c r="N456">
        <f>IF(N$2=0,"",IFERROR(TRIM(INDEX('Pegar docentes'!$A$1:$BZ$1001,455,N$2)&amp;""),""))</f>
        <v/>
      </c>
      <c r="O456">
        <f>IF(O$2=0,"",IFERROR(TRIM(INDEX('Pegar docentes'!$A$1:$BZ$1001,455,O$2)&amp;""),""))</f>
        <v/>
      </c>
      <c r="P456">
        <f>IF(P$2=0,"",IFERROR(TRIM(INDEX('Pegar docentes'!$A$1:$BZ$1001,455,P$2)&amp;""),""))</f>
        <v/>
      </c>
      <c r="Q456" s="25">
        <f>IF(OR(D456&lt;&gt;"",H456&lt;&gt;""),1,"")</f>
        <v/>
      </c>
      <c r="R456" s="25">
        <f>IF(Q456=1,IF(ISNUMBER(FIND("#"&amp;MID(D456,1,1)&amp;"#","#0#1#2#3#4#5#6#7#8#9#")),IF(ISNUMBER(FIND("#"&amp;MID(D456,2,1)&amp;"#","#0#1#2#3#4#5#6#7#8#9#")),IF(AND(VALUE(LEFT(D456,2))&gt;=1,VALUE(LEFT(D456,2))&lt;=5),VALUE(LEFT(D456,2)),""),IF(AND(VALUE(LEFT(D456,1))&gt;=1,VALUE(LEFT(D456,1))&lt;=5),VALUE(LEFT(D456,1)),"")),""),"")</f>
        <v/>
      </c>
      <c r="S456" s="25">
        <f>IF(AND(Q456=1,E456&lt;&gt;""),SUBSTITUTE(SUBSTITUTE(SUBSTITUTE(SUBSTITUTE(SUBSTITUTE(SUBSTITUTE(SUBSTITUTE(SUBSTITUTE(SUBSTITUTE(SUBSTITUTE(SUBSTITUTE(SUBSTITUTE(LOWER(TRIM(E456)),"á","a"),"é","e"),"í","i"),"ó","o"),"ú","u"),"ü","u"),"ñ","n"),"à","a"),"è","e"),"ì","i"),"ò","o"),"ù","u"),"")</f>
        <v/>
      </c>
      <c r="T456" s="25">
        <f>IF(AND(Q456=1,G456&lt;&gt;""),SUBSTITUTE(SUBSTITUTE(SUBSTITUTE(SUBSTITUTE(SUBSTITUTE(SUBSTITUTE(SUBSTITUTE(SUBSTITUTE(SUBSTITUTE(SUBSTITUTE(SUBSTITUTE(SUBSTITUTE(LOWER(TRIM(G456)),"á","a"),"é","e"),"í","i"),"ó","o"),"ú","u"),"ü","u"),"ñ","n"),"à","a"),"è","e"),"ì","i"),"ò","o"),"ù","u"),"")</f>
        <v/>
      </c>
      <c r="U456" s="25">
        <f>IF(AND(Q456=1,H456&lt;&gt;""),SUBSTITUTE(SUBSTITUTE(SUBSTITUTE(SUBSTITUTE(SUBSTITUTE(SUBSTITUTE(SUBSTITUTE(SUBSTITUTE(SUBSTITUTE(SUBSTITUTE(SUBSTITUTE(SUBSTITUTE(LOWER(TRIM(H456)),"á","a"),"é","e"),"í","i"),"ó","o"),"ú","u"),"ü","u"),"ñ","n"),"à","a"),"è","e"),"ì","i"),"ò","o"),"ù","u"),"")</f>
        <v/>
      </c>
      <c r="V456" s="25">
        <f>IF(AND(Q456=1,L456&lt;&gt;""),SUBSTITUTE(SUBSTITUTE(SUBSTITUTE(SUBSTITUTE(SUBSTITUTE(SUBSTITUTE(SUBSTITUTE(SUBSTITUTE(SUBSTITUTE(SUBSTITUTE(SUBSTITUTE(SUBSTITUTE(LOWER(TRIM(L456)),"á","a"),"é","e"),"í","i"),"ó","o"),"ú","u"),"ü","u"),"ñ","n"),"à","a"),"è","e"),"ì","i"),"ò","o"),"ù","u"),"")</f>
        <v/>
      </c>
      <c r="W456" s="25">
        <f>IF(AND(Q456=1,I456&lt;&gt;""),SUBSTITUTE(SUBSTITUTE(SUBSTITUTE(SUBSTITUTE(SUBSTITUTE(SUBSTITUTE(SUBSTITUTE(SUBSTITUTE(SUBSTITUTE(SUBSTITUTE(SUBSTITUTE(SUBSTITUTE(LOWER(TRIM(I456)),"á","a"),"é","e"),"í","i"),"ó","o"),"ú","u"),"ü","u"),"ñ","n"),"à","a"),"è","e"),"ì","i"),"ò","o"),"ù","u"),"")</f>
        <v/>
      </c>
      <c r="X456" s="25">
        <f>IF(U456="","",IF(OR(U456="si, en la proxima tarea",U456="si, con cambios"),1,0))</f>
        <v/>
      </c>
      <c r="Y456" s="25">
        <f>IF(AND(Q456=1,A456&lt;&gt;""),IF(IFERROR(COUNTIFS(A$3:A456,"="&amp;SUBSTITUTE(SUBSTITUTE(SUBSTITUTE(A456,"~","~~"),"*","~*"),"?","~?"),Q$3:Q456,1),0)=1,MAX(Y$2:Y455)+1,""),"")</f>
        <v/>
      </c>
      <c r="Z456" s="25">
        <f>IF(Y456="","",COUNTIFS($A$3:$A$1002,"="&amp;SUBSTITUTE(SUBSTITUTE(SUBSTITUTE(A456,"~","~~"),"*","~*"),"?","~?"),$Q$3:$Q$1002,1)*10000-Y456)</f>
        <v/>
      </c>
    </row>
    <row r="457">
      <c r="A457">
        <f>IF(A$2=0,"",IFERROR(TRIM(INDEX('Pegar docentes'!$A$1:$BZ$1001,456,A$2)&amp;""),""))</f>
        <v/>
      </c>
      <c r="B457">
        <f>IF(B$2=0,"",IFERROR(TRIM(INDEX('Pegar docentes'!$A$1:$BZ$1001,456,B$2)&amp;""),""))</f>
        <v/>
      </c>
      <c r="C457">
        <f>IF(C$2=0,"",IFERROR(TRIM(INDEX('Pegar docentes'!$A$1:$BZ$1001,456,C$2)&amp;""),""))</f>
        <v/>
      </c>
      <c r="D457">
        <f>IF(D$2=0,"",IFERROR(TRIM(INDEX('Pegar docentes'!$A$1:$BZ$1001,456,D$2)&amp;""),""))</f>
        <v/>
      </c>
      <c r="E457">
        <f>IF(E$2=0,"",IFERROR(TRIM(INDEX('Pegar docentes'!$A$1:$BZ$1001,456,E$2)&amp;""),""))</f>
        <v/>
      </c>
      <c r="F457">
        <f>IF(F$2=0,"",IFERROR(TRIM(INDEX('Pegar docentes'!$A$1:$BZ$1001,456,F$2)&amp;""),""))</f>
        <v/>
      </c>
      <c r="G457">
        <f>IF(G$2=0,"",IFERROR(TRIM(INDEX('Pegar docentes'!$A$1:$BZ$1001,456,G$2)&amp;""),""))</f>
        <v/>
      </c>
      <c r="H457">
        <f>IF(H$2=0,"",IFERROR(TRIM(INDEX('Pegar docentes'!$A$1:$BZ$1001,456,H$2)&amp;""),""))</f>
        <v/>
      </c>
      <c r="I457">
        <f>IF(I$2=0,"",IFERROR(TRIM(INDEX('Pegar docentes'!$A$1:$BZ$1001,456,I$2)&amp;""),""))</f>
        <v/>
      </c>
      <c r="J457">
        <f>IF(J$2=0,"",IFERROR(TRIM(INDEX('Pegar docentes'!$A$1:$BZ$1001,456,J$2)&amp;""),""))</f>
        <v/>
      </c>
      <c r="K457">
        <f>IF(K$2=0,"",IFERROR(TRIM(INDEX('Pegar docentes'!$A$1:$BZ$1001,456,K$2)&amp;""),""))</f>
        <v/>
      </c>
      <c r="L457">
        <f>IF(L$2=0,"",IFERROR(TRIM(INDEX('Pegar docentes'!$A$1:$BZ$1001,456,L$2)&amp;""),""))</f>
        <v/>
      </c>
      <c r="M457">
        <f>IF(M$2=0,"",IFERROR(TRIM(INDEX('Pegar docentes'!$A$1:$BZ$1001,456,M$2)&amp;""),""))</f>
        <v/>
      </c>
      <c r="N457">
        <f>IF(N$2=0,"",IFERROR(TRIM(INDEX('Pegar docentes'!$A$1:$BZ$1001,456,N$2)&amp;""),""))</f>
        <v/>
      </c>
      <c r="O457">
        <f>IF(O$2=0,"",IFERROR(TRIM(INDEX('Pegar docentes'!$A$1:$BZ$1001,456,O$2)&amp;""),""))</f>
        <v/>
      </c>
      <c r="P457">
        <f>IF(P$2=0,"",IFERROR(TRIM(INDEX('Pegar docentes'!$A$1:$BZ$1001,456,P$2)&amp;""),""))</f>
        <v/>
      </c>
      <c r="Q457" s="25">
        <f>IF(OR(D457&lt;&gt;"",H457&lt;&gt;""),1,"")</f>
        <v/>
      </c>
      <c r="R457" s="25">
        <f>IF(Q457=1,IF(ISNUMBER(FIND("#"&amp;MID(D457,1,1)&amp;"#","#0#1#2#3#4#5#6#7#8#9#")),IF(ISNUMBER(FIND("#"&amp;MID(D457,2,1)&amp;"#","#0#1#2#3#4#5#6#7#8#9#")),IF(AND(VALUE(LEFT(D457,2))&gt;=1,VALUE(LEFT(D457,2))&lt;=5),VALUE(LEFT(D457,2)),""),IF(AND(VALUE(LEFT(D457,1))&gt;=1,VALUE(LEFT(D457,1))&lt;=5),VALUE(LEFT(D457,1)),"")),""),"")</f>
        <v/>
      </c>
      <c r="S457" s="25">
        <f>IF(AND(Q457=1,E457&lt;&gt;""),SUBSTITUTE(SUBSTITUTE(SUBSTITUTE(SUBSTITUTE(SUBSTITUTE(SUBSTITUTE(SUBSTITUTE(SUBSTITUTE(SUBSTITUTE(SUBSTITUTE(SUBSTITUTE(SUBSTITUTE(LOWER(TRIM(E457)),"á","a"),"é","e"),"í","i"),"ó","o"),"ú","u"),"ü","u"),"ñ","n"),"à","a"),"è","e"),"ì","i"),"ò","o"),"ù","u"),"")</f>
        <v/>
      </c>
      <c r="T457" s="25">
        <f>IF(AND(Q457=1,G457&lt;&gt;""),SUBSTITUTE(SUBSTITUTE(SUBSTITUTE(SUBSTITUTE(SUBSTITUTE(SUBSTITUTE(SUBSTITUTE(SUBSTITUTE(SUBSTITUTE(SUBSTITUTE(SUBSTITUTE(SUBSTITUTE(LOWER(TRIM(G457)),"á","a"),"é","e"),"í","i"),"ó","o"),"ú","u"),"ü","u"),"ñ","n"),"à","a"),"è","e"),"ì","i"),"ò","o"),"ù","u"),"")</f>
        <v/>
      </c>
      <c r="U457" s="25">
        <f>IF(AND(Q457=1,H457&lt;&gt;""),SUBSTITUTE(SUBSTITUTE(SUBSTITUTE(SUBSTITUTE(SUBSTITUTE(SUBSTITUTE(SUBSTITUTE(SUBSTITUTE(SUBSTITUTE(SUBSTITUTE(SUBSTITUTE(SUBSTITUTE(LOWER(TRIM(H457)),"á","a"),"é","e"),"í","i"),"ó","o"),"ú","u"),"ü","u"),"ñ","n"),"à","a"),"è","e"),"ì","i"),"ò","o"),"ù","u"),"")</f>
        <v/>
      </c>
      <c r="V457" s="25">
        <f>IF(AND(Q457=1,L457&lt;&gt;""),SUBSTITUTE(SUBSTITUTE(SUBSTITUTE(SUBSTITUTE(SUBSTITUTE(SUBSTITUTE(SUBSTITUTE(SUBSTITUTE(SUBSTITUTE(SUBSTITUTE(SUBSTITUTE(SUBSTITUTE(LOWER(TRIM(L457)),"á","a"),"é","e"),"í","i"),"ó","o"),"ú","u"),"ü","u"),"ñ","n"),"à","a"),"è","e"),"ì","i"),"ò","o"),"ù","u"),"")</f>
        <v/>
      </c>
      <c r="W457" s="25">
        <f>IF(AND(Q457=1,I457&lt;&gt;""),SUBSTITUTE(SUBSTITUTE(SUBSTITUTE(SUBSTITUTE(SUBSTITUTE(SUBSTITUTE(SUBSTITUTE(SUBSTITUTE(SUBSTITUTE(SUBSTITUTE(SUBSTITUTE(SUBSTITUTE(LOWER(TRIM(I457)),"á","a"),"é","e"),"í","i"),"ó","o"),"ú","u"),"ü","u"),"ñ","n"),"à","a"),"è","e"),"ì","i"),"ò","o"),"ù","u"),"")</f>
        <v/>
      </c>
      <c r="X457" s="25">
        <f>IF(U457="","",IF(OR(U457="si, en la proxima tarea",U457="si, con cambios"),1,0))</f>
        <v/>
      </c>
      <c r="Y457" s="25">
        <f>IF(AND(Q457=1,A457&lt;&gt;""),IF(IFERROR(COUNTIFS(A$3:A457,"="&amp;SUBSTITUTE(SUBSTITUTE(SUBSTITUTE(A457,"~","~~"),"*","~*"),"?","~?"),Q$3:Q457,1),0)=1,MAX(Y$2:Y456)+1,""),"")</f>
        <v/>
      </c>
      <c r="Z457" s="25">
        <f>IF(Y457="","",COUNTIFS($A$3:$A$1002,"="&amp;SUBSTITUTE(SUBSTITUTE(SUBSTITUTE(A457,"~","~~"),"*","~*"),"?","~?"),$Q$3:$Q$1002,1)*10000-Y457)</f>
        <v/>
      </c>
    </row>
    <row r="458">
      <c r="A458">
        <f>IF(A$2=0,"",IFERROR(TRIM(INDEX('Pegar docentes'!$A$1:$BZ$1001,457,A$2)&amp;""),""))</f>
        <v/>
      </c>
      <c r="B458">
        <f>IF(B$2=0,"",IFERROR(TRIM(INDEX('Pegar docentes'!$A$1:$BZ$1001,457,B$2)&amp;""),""))</f>
        <v/>
      </c>
      <c r="C458">
        <f>IF(C$2=0,"",IFERROR(TRIM(INDEX('Pegar docentes'!$A$1:$BZ$1001,457,C$2)&amp;""),""))</f>
        <v/>
      </c>
      <c r="D458">
        <f>IF(D$2=0,"",IFERROR(TRIM(INDEX('Pegar docentes'!$A$1:$BZ$1001,457,D$2)&amp;""),""))</f>
        <v/>
      </c>
      <c r="E458">
        <f>IF(E$2=0,"",IFERROR(TRIM(INDEX('Pegar docentes'!$A$1:$BZ$1001,457,E$2)&amp;""),""))</f>
        <v/>
      </c>
      <c r="F458">
        <f>IF(F$2=0,"",IFERROR(TRIM(INDEX('Pegar docentes'!$A$1:$BZ$1001,457,F$2)&amp;""),""))</f>
        <v/>
      </c>
      <c r="G458">
        <f>IF(G$2=0,"",IFERROR(TRIM(INDEX('Pegar docentes'!$A$1:$BZ$1001,457,G$2)&amp;""),""))</f>
        <v/>
      </c>
      <c r="H458">
        <f>IF(H$2=0,"",IFERROR(TRIM(INDEX('Pegar docentes'!$A$1:$BZ$1001,457,H$2)&amp;""),""))</f>
        <v/>
      </c>
      <c r="I458">
        <f>IF(I$2=0,"",IFERROR(TRIM(INDEX('Pegar docentes'!$A$1:$BZ$1001,457,I$2)&amp;""),""))</f>
        <v/>
      </c>
      <c r="J458">
        <f>IF(J$2=0,"",IFERROR(TRIM(INDEX('Pegar docentes'!$A$1:$BZ$1001,457,J$2)&amp;""),""))</f>
        <v/>
      </c>
      <c r="K458">
        <f>IF(K$2=0,"",IFERROR(TRIM(INDEX('Pegar docentes'!$A$1:$BZ$1001,457,K$2)&amp;""),""))</f>
        <v/>
      </c>
      <c r="L458">
        <f>IF(L$2=0,"",IFERROR(TRIM(INDEX('Pegar docentes'!$A$1:$BZ$1001,457,L$2)&amp;""),""))</f>
        <v/>
      </c>
      <c r="M458">
        <f>IF(M$2=0,"",IFERROR(TRIM(INDEX('Pegar docentes'!$A$1:$BZ$1001,457,M$2)&amp;""),""))</f>
        <v/>
      </c>
      <c r="N458">
        <f>IF(N$2=0,"",IFERROR(TRIM(INDEX('Pegar docentes'!$A$1:$BZ$1001,457,N$2)&amp;""),""))</f>
        <v/>
      </c>
      <c r="O458">
        <f>IF(O$2=0,"",IFERROR(TRIM(INDEX('Pegar docentes'!$A$1:$BZ$1001,457,O$2)&amp;""),""))</f>
        <v/>
      </c>
      <c r="P458">
        <f>IF(P$2=0,"",IFERROR(TRIM(INDEX('Pegar docentes'!$A$1:$BZ$1001,457,P$2)&amp;""),""))</f>
        <v/>
      </c>
      <c r="Q458" s="25">
        <f>IF(OR(D458&lt;&gt;"",H458&lt;&gt;""),1,"")</f>
        <v/>
      </c>
      <c r="R458" s="25">
        <f>IF(Q458=1,IF(ISNUMBER(FIND("#"&amp;MID(D458,1,1)&amp;"#","#0#1#2#3#4#5#6#7#8#9#")),IF(ISNUMBER(FIND("#"&amp;MID(D458,2,1)&amp;"#","#0#1#2#3#4#5#6#7#8#9#")),IF(AND(VALUE(LEFT(D458,2))&gt;=1,VALUE(LEFT(D458,2))&lt;=5),VALUE(LEFT(D458,2)),""),IF(AND(VALUE(LEFT(D458,1))&gt;=1,VALUE(LEFT(D458,1))&lt;=5),VALUE(LEFT(D458,1)),"")),""),"")</f>
        <v/>
      </c>
      <c r="S458" s="25">
        <f>IF(AND(Q458=1,E458&lt;&gt;""),SUBSTITUTE(SUBSTITUTE(SUBSTITUTE(SUBSTITUTE(SUBSTITUTE(SUBSTITUTE(SUBSTITUTE(SUBSTITUTE(SUBSTITUTE(SUBSTITUTE(SUBSTITUTE(SUBSTITUTE(LOWER(TRIM(E458)),"á","a"),"é","e"),"í","i"),"ó","o"),"ú","u"),"ü","u"),"ñ","n"),"à","a"),"è","e"),"ì","i"),"ò","o"),"ù","u"),"")</f>
        <v/>
      </c>
      <c r="T458" s="25">
        <f>IF(AND(Q458=1,G458&lt;&gt;""),SUBSTITUTE(SUBSTITUTE(SUBSTITUTE(SUBSTITUTE(SUBSTITUTE(SUBSTITUTE(SUBSTITUTE(SUBSTITUTE(SUBSTITUTE(SUBSTITUTE(SUBSTITUTE(SUBSTITUTE(LOWER(TRIM(G458)),"á","a"),"é","e"),"í","i"),"ó","o"),"ú","u"),"ü","u"),"ñ","n"),"à","a"),"è","e"),"ì","i"),"ò","o"),"ù","u"),"")</f>
        <v/>
      </c>
      <c r="U458" s="25">
        <f>IF(AND(Q458=1,H458&lt;&gt;""),SUBSTITUTE(SUBSTITUTE(SUBSTITUTE(SUBSTITUTE(SUBSTITUTE(SUBSTITUTE(SUBSTITUTE(SUBSTITUTE(SUBSTITUTE(SUBSTITUTE(SUBSTITUTE(SUBSTITUTE(LOWER(TRIM(H458)),"á","a"),"é","e"),"í","i"),"ó","o"),"ú","u"),"ü","u"),"ñ","n"),"à","a"),"è","e"),"ì","i"),"ò","o"),"ù","u"),"")</f>
        <v/>
      </c>
      <c r="V458" s="25">
        <f>IF(AND(Q458=1,L458&lt;&gt;""),SUBSTITUTE(SUBSTITUTE(SUBSTITUTE(SUBSTITUTE(SUBSTITUTE(SUBSTITUTE(SUBSTITUTE(SUBSTITUTE(SUBSTITUTE(SUBSTITUTE(SUBSTITUTE(SUBSTITUTE(LOWER(TRIM(L458)),"á","a"),"é","e"),"í","i"),"ó","o"),"ú","u"),"ü","u"),"ñ","n"),"à","a"),"è","e"),"ì","i"),"ò","o"),"ù","u"),"")</f>
        <v/>
      </c>
      <c r="W458" s="25">
        <f>IF(AND(Q458=1,I458&lt;&gt;""),SUBSTITUTE(SUBSTITUTE(SUBSTITUTE(SUBSTITUTE(SUBSTITUTE(SUBSTITUTE(SUBSTITUTE(SUBSTITUTE(SUBSTITUTE(SUBSTITUTE(SUBSTITUTE(SUBSTITUTE(LOWER(TRIM(I458)),"á","a"),"é","e"),"í","i"),"ó","o"),"ú","u"),"ü","u"),"ñ","n"),"à","a"),"è","e"),"ì","i"),"ò","o"),"ù","u"),"")</f>
        <v/>
      </c>
      <c r="X458" s="25">
        <f>IF(U458="","",IF(OR(U458="si, en la proxima tarea",U458="si, con cambios"),1,0))</f>
        <v/>
      </c>
      <c r="Y458" s="25">
        <f>IF(AND(Q458=1,A458&lt;&gt;""),IF(IFERROR(COUNTIFS(A$3:A458,"="&amp;SUBSTITUTE(SUBSTITUTE(SUBSTITUTE(A458,"~","~~"),"*","~*"),"?","~?"),Q$3:Q458,1),0)=1,MAX(Y$2:Y457)+1,""),"")</f>
        <v/>
      </c>
      <c r="Z458" s="25">
        <f>IF(Y458="","",COUNTIFS($A$3:$A$1002,"="&amp;SUBSTITUTE(SUBSTITUTE(SUBSTITUTE(A458,"~","~~"),"*","~*"),"?","~?"),$Q$3:$Q$1002,1)*10000-Y458)</f>
        <v/>
      </c>
    </row>
    <row r="459">
      <c r="A459">
        <f>IF(A$2=0,"",IFERROR(TRIM(INDEX('Pegar docentes'!$A$1:$BZ$1001,458,A$2)&amp;""),""))</f>
        <v/>
      </c>
      <c r="B459">
        <f>IF(B$2=0,"",IFERROR(TRIM(INDEX('Pegar docentes'!$A$1:$BZ$1001,458,B$2)&amp;""),""))</f>
        <v/>
      </c>
      <c r="C459">
        <f>IF(C$2=0,"",IFERROR(TRIM(INDEX('Pegar docentes'!$A$1:$BZ$1001,458,C$2)&amp;""),""))</f>
        <v/>
      </c>
      <c r="D459">
        <f>IF(D$2=0,"",IFERROR(TRIM(INDEX('Pegar docentes'!$A$1:$BZ$1001,458,D$2)&amp;""),""))</f>
        <v/>
      </c>
      <c r="E459">
        <f>IF(E$2=0,"",IFERROR(TRIM(INDEX('Pegar docentes'!$A$1:$BZ$1001,458,E$2)&amp;""),""))</f>
        <v/>
      </c>
      <c r="F459">
        <f>IF(F$2=0,"",IFERROR(TRIM(INDEX('Pegar docentes'!$A$1:$BZ$1001,458,F$2)&amp;""),""))</f>
        <v/>
      </c>
      <c r="G459">
        <f>IF(G$2=0,"",IFERROR(TRIM(INDEX('Pegar docentes'!$A$1:$BZ$1001,458,G$2)&amp;""),""))</f>
        <v/>
      </c>
      <c r="H459">
        <f>IF(H$2=0,"",IFERROR(TRIM(INDEX('Pegar docentes'!$A$1:$BZ$1001,458,H$2)&amp;""),""))</f>
        <v/>
      </c>
      <c r="I459">
        <f>IF(I$2=0,"",IFERROR(TRIM(INDEX('Pegar docentes'!$A$1:$BZ$1001,458,I$2)&amp;""),""))</f>
        <v/>
      </c>
      <c r="J459">
        <f>IF(J$2=0,"",IFERROR(TRIM(INDEX('Pegar docentes'!$A$1:$BZ$1001,458,J$2)&amp;""),""))</f>
        <v/>
      </c>
      <c r="K459">
        <f>IF(K$2=0,"",IFERROR(TRIM(INDEX('Pegar docentes'!$A$1:$BZ$1001,458,K$2)&amp;""),""))</f>
        <v/>
      </c>
      <c r="L459">
        <f>IF(L$2=0,"",IFERROR(TRIM(INDEX('Pegar docentes'!$A$1:$BZ$1001,458,L$2)&amp;""),""))</f>
        <v/>
      </c>
      <c r="M459">
        <f>IF(M$2=0,"",IFERROR(TRIM(INDEX('Pegar docentes'!$A$1:$BZ$1001,458,M$2)&amp;""),""))</f>
        <v/>
      </c>
      <c r="N459">
        <f>IF(N$2=0,"",IFERROR(TRIM(INDEX('Pegar docentes'!$A$1:$BZ$1001,458,N$2)&amp;""),""))</f>
        <v/>
      </c>
      <c r="O459">
        <f>IF(O$2=0,"",IFERROR(TRIM(INDEX('Pegar docentes'!$A$1:$BZ$1001,458,O$2)&amp;""),""))</f>
        <v/>
      </c>
      <c r="P459">
        <f>IF(P$2=0,"",IFERROR(TRIM(INDEX('Pegar docentes'!$A$1:$BZ$1001,458,P$2)&amp;""),""))</f>
        <v/>
      </c>
      <c r="Q459" s="25">
        <f>IF(OR(D459&lt;&gt;"",H459&lt;&gt;""),1,"")</f>
        <v/>
      </c>
      <c r="R459" s="25">
        <f>IF(Q459=1,IF(ISNUMBER(FIND("#"&amp;MID(D459,1,1)&amp;"#","#0#1#2#3#4#5#6#7#8#9#")),IF(ISNUMBER(FIND("#"&amp;MID(D459,2,1)&amp;"#","#0#1#2#3#4#5#6#7#8#9#")),IF(AND(VALUE(LEFT(D459,2))&gt;=1,VALUE(LEFT(D459,2))&lt;=5),VALUE(LEFT(D459,2)),""),IF(AND(VALUE(LEFT(D459,1))&gt;=1,VALUE(LEFT(D459,1))&lt;=5),VALUE(LEFT(D459,1)),"")),""),"")</f>
        <v/>
      </c>
      <c r="S459" s="25">
        <f>IF(AND(Q459=1,E459&lt;&gt;""),SUBSTITUTE(SUBSTITUTE(SUBSTITUTE(SUBSTITUTE(SUBSTITUTE(SUBSTITUTE(SUBSTITUTE(SUBSTITUTE(SUBSTITUTE(SUBSTITUTE(SUBSTITUTE(SUBSTITUTE(LOWER(TRIM(E459)),"á","a"),"é","e"),"í","i"),"ó","o"),"ú","u"),"ü","u"),"ñ","n"),"à","a"),"è","e"),"ì","i"),"ò","o"),"ù","u"),"")</f>
        <v/>
      </c>
      <c r="T459" s="25">
        <f>IF(AND(Q459=1,G459&lt;&gt;""),SUBSTITUTE(SUBSTITUTE(SUBSTITUTE(SUBSTITUTE(SUBSTITUTE(SUBSTITUTE(SUBSTITUTE(SUBSTITUTE(SUBSTITUTE(SUBSTITUTE(SUBSTITUTE(SUBSTITUTE(LOWER(TRIM(G459)),"á","a"),"é","e"),"í","i"),"ó","o"),"ú","u"),"ü","u"),"ñ","n"),"à","a"),"è","e"),"ì","i"),"ò","o"),"ù","u"),"")</f>
        <v/>
      </c>
      <c r="U459" s="25">
        <f>IF(AND(Q459=1,H459&lt;&gt;""),SUBSTITUTE(SUBSTITUTE(SUBSTITUTE(SUBSTITUTE(SUBSTITUTE(SUBSTITUTE(SUBSTITUTE(SUBSTITUTE(SUBSTITUTE(SUBSTITUTE(SUBSTITUTE(SUBSTITUTE(LOWER(TRIM(H459)),"á","a"),"é","e"),"í","i"),"ó","o"),"ú","u"),"ü","u"),"ñ","n"),"à","a"),"è","e"),"ì","i"),"ò","o"),"ù","u"),"")</f>
        <v/>
      </c>
      <c r="V459" s="25">
        <f>IF(AND(Q459=1,L459&lt;&gt;""),SUBSTITUTE(SUBSTITUTE(SUBSTITUTE(SUBSTITUTE(SUBSTITUTE(SUBSTITUTE(SUBSTITUTE(SUBSTITUTE(SUBSTITUTE(SUBSTITUTE(SUBSTITUTE(SUBSTITUTE(LOWER(TRIM(L459)),"á","a"),"é","e"),"í","i"),"ó","o"),"ú","u"),"ü","u"),"ñ","n"),"à","a"),"è","e"),"ì","i"),"ò","o"),"ù","u"),"")</f>
        <v/>
      </c>
      <c r="W459" s="25">
        <f>IF(AND(Q459=1,I459&lt;&gt;""),SUBSTITUTE(SUBSTITUTE(SUBSTITUTE(SUBSTITUTE(SUBSTITUTE(SUBSTITUTE(SUBSTITUTE(SUBSTITUTE(SUBSTITUTE(SUBSTITUTE(SUBSTITUTE(SUBSTITUTE(LOWER(TRIM(I459)),"á","a"),"é","e"),"í","i"),"ó","o"),"ú","u"),"ü","u"),"ñ","n"),"à","a"),"è","e"),"ì","i"),"ò","o"),"ù","u"),"")</f>
        <v/>
      </c>
      <c r="X459" s="25">
        <f>IF(U459="","",IF(OR(U459="si, en la proxima tarea",U459="si, con cambios"),1,0))</f>
        <v/>
      </c>
      <c r="Y459" s="25">
        <f>IF(AND(Q459=1,A459&lt;&gt;""),IF(IFERROR(COUNTIFS(A$3:A459,"="&amp;SUBSTITUTE(SUBSTITUTE(SUBSTITUTE(A459,"~","~~"),"*","~*"),"?","~?"),Q$3:Q459,1),0)=1,MAX(Y$2:Y458)+1,""),"")</f>
        <v/>
      </c>
      <c r="Z459" s="25">
        <f>IF(Y459="","",COUNTIFS($A$3:$A$1002,"="&amp;SUBSTITUTE(SUBSTITUTE(SUBSTITUTE(A459,"~","~~"),"*","~*"),"?","~?"),$Q$3:$Q$1002,1)*10000-Y459)</f>
        <v/>
      </c>
    </row>
    <row r="460">
      <c r="A460">
        <f>IF(A$2=0,"",IFERROR(TRIM(INDEX('Pegar docentes'!$A$1:$BZ$1001,459,A$2)&amp;""),""))</f>
        <v/>
      </c>
      <c r="B460">
        <f>IF(B$2=0,"",IFERROR(TRIM(INDEX('Pegar docentes'!$A$1:$BZ$1001,459,B$2)&amp;""),""))</f>
        <v/>
      </c>
      <c r="C460">
        <f>IF(C$2=0,"",IFERROR(TRIM(INDEX('Pegar docentes'!$A$1:$BZ$1001,459,C$2)&amp;""),""))</f>
        <v/>
      </c>
      <c r="D460">
        <f>IF(D$2=0,"",IFERROR(TRIM(INDEX('Pegar docentes'!$A$1:$BZ$1001,459,D$2)&amp;""),""))</f>
        <v/>
      </c>
      <c r="E460">
        <f>IF(E$2=0,"",IFERROR(TRIM(INDEX('Pegar docentes'!$A$1:$BZ$1001,459,E$2)&amp;""),""))</f>
        <v/>
      </c>
      <c r="F460">
        <f>IF(F$2=0,"",IFERROR(TRIM(INDEX('Pegar docentes'!$A$1:$BZ$1001,459,F$2)&amp;""),""))</f>
        <v/>
      </c>
      <c r="G460">
        <f>IF(G$2=0,"",IFERROR(TRIM(INDEX('Pegar docentes'!$A$1:$BZ$1001,459,G$2)&amp;""),""))</f>
        <v/>
      </c>
      <c r="H460">
        <f>IF(H$2=0,"",IFERROR(TRIM(INDEX('Pegar docentes'!$A$1:$BZ$1001,459,H$2)&amp;""),""))</f>
        <v/>
      </c>
      <c r="I460">
        <f>IF(I$2=0,"",IFERROR(TRIM(INDEX('Pegar docentes'!$A$1:$BZ$1001,459,I$2)&amp;""),""))</f>
        <v/>
      </c>
      <c r="J460">
        <f>IF(J$2=0,"",IFERROR(TRIM(INDEX('Pegar docentes'!$A$1:$BZ$1001,459,J$2)&amp;""),""))</f>
        <v/>
      </c>
      <c r="K460">
        <f>IF(K$2=0,"",IFERROR(TRIM(INDEX('Pegar docentes'!$A$1:$BZ$1001,459,K$2)&amp;""),""))</f>
        <v/>
      </c>
      <c r="L460">
        <f>IF(L$2=0,"",IFERROR(TRIM(INDEX('Pegar docentes'!$A$1:$BZ$1001,459,L$2)&amp;""),""))</f>
        <v/>
      </c>
      <c r="M460">
        <f>IF(M$2=0,"",IFERROR(TRIM(INDEX('Pegar docentes'!$A$1:$BZ$1001,459,M$2)&amp;""),""))</f>
        <v/>
      </c>
      <c r="N460">
        <f>IF(N$2=0,"",IFERROR(TRIM(INDEX('Pegar docentes'!$A$1:$BZ$1001,459,N$2)&amp;""),""))</f>
        <v/>
      </c>
      <c r="O460">
        <f>IF(O$2=0,"",IFERROR(TRIM(INDEX('Pegar docentes'!$A$1:$BZ$1001,459,O$2)&amp;""),""))</f>
        <v/>
      </c>
      <c r="P460">
        <f>IF(P$2=0,"",IFERROR(TRIM(INDEX('Pegar docentes'!$A$1:$BZ$1001,459,P$2)&amp;""),""))</f>
        <v/>
      </c>
      <c r="Q460" s="25">
        <f>IF(OR(D460&lt;&gt;"",H460&lt;&gt;""),1,"")</f>
        <v/>
      </c>
      <c r="R460" s="25">
        <f>IF(Q460=1,IF(ISNUMBER(FIND("#"&amp;MID(D460,1,1)&amp;"#","#0#1#2#3#4#5#6#7#8#9#")),IF(ISNUMBER(FIND("#"&amp;MID(D460,2,1)&amp;"#","#0#1#2#3#4#5#6#7#8#9#")),IF(AND(VALUE(LEFT(D460,2))&gt;=1,VALUE(LEFT(D460,2))&lt;=5),VALUE(LEFT(D460,2)),""),IF(AND(VALUE(LEFT(D460,1))&gt;=1,VALUE(LEFT(D460,1))&lt;=5),VALUE(LEFT(D460,1)),"")),""),"")</f>
        <v/>
      </c>
      <c r="S460" s="25">
        <f>IF(AND(Q460=1,E460&lt;&gt;""),SUBSTITUTE(SUBSTITUTE(SUBSTITUTE(SUBSTITUTE(SUBSTITUTE(SUBSTITUTE(SUBSTITUTE(SUBSTITUTE(SUBSTITUTE(SUBSTITUTE(SUBSTITUTE(SUBSTITUTE(LOWER(TRIM(E460)),"á","a"),"é","e"),"í","i"),"ó","o"),"ú","u"),"ü","u"),"ñ","n"),"à","a"),"è","e"),"ì","i"),"ò","o"),"ù","u"),"")</f>
        <v/>
      </c>
      <c r="T460" s="25">
        <f>IF(AND(Q460=1,G460&lt;&gt;""),SUBSTITUTE(SUBSTITUTE(SUBSTITUTE(SUBSTITUTE(SUBSTITUTE(SUBSTITUTE(SUBSTITUTE(SUBSTITUTE(SUBSTITUTE(SUBSTITUTE(SUBSTITUTE(SUBSTITUTE(LOWER(TRIM(G460)),"á","a"),"é","e"),"í","i"),"ó","o"),"ú","u"),"ü","u"),"ñ","n"),"à","a"),"è","e"),"ì","i"),"ò","o"),"ù","u"),"")</f>
        <v/>
      </c>
      <c r="U460" s="25">
        <f>IF(AND(Q460=1,H460&lt;&gt;""),SUBSTITUTE(SUBSTITUTE(SUBSTITUTE(SUBSTITUTE(SUBSTITUTE(SUBSTITUTE(SUBSTITUTE(SUBSTITUTE(SUBSTITUTE(SUBSTITUTE(SUBSTITUTE(SUBSTITUTE(LOWER(TRIM(H460)),"á","a"),"é","e"),"í","i"),"ó","o"),"ú","u"),"ü","u"),"ñ","n"),"à","a"),"è","e"),"ì","i"),"ò","o"),"ù","u"),"")</f>
        <v/>
      </c>
      <c r="V460" s="25">
        <f>IF(AND(Q460=1,L460&lt;&gt;""),SUBSTITUTE(SUBSTITUTE(SUBSTITUTE(SUBSTITUTE(SUBSTITUTE(SUBSTITUTE(SUBSTITUTE(SUBSTITUTE(SUBSTITUTE(SUBSTITUTE(SUBSTITUTE(SUBSTITUTE(LOWER(TRIM(L460)),"á","a"),"é","e"),"í","i"),"ó","o"),"ú","u"),"ü","u"),"ñ","n"),"à","a"),"è","e"),"ì","i"),"ò","o"),"ù","u"),"")</f>
        <v/>
      </c>
      <c r="W460" s="25">
        <f>IF(AND(Q460=1,I460&lt;&gt;""),SUBSTITUTE(SUBSTITUTE(SUBSTITUTE(SUBSTITUTE(SUBSTITUTE(SUBSTITUTE(SUBSTITUTE(SUBSTITUTE(SUBSTITUTE(SUBSTITUTE(SUBSTITUTE(SUBSTITUTE(LOWER(TRIM(I460)),"á","a"),"é","e"),"í","i"),"ó","o"),"ú","u"),"ü","u"),"ñ","n"),"à","a"),"è","e"),"ì","i"),"ò","o"),"ù","u"),"")</f>
        <v/>
      </c>
      <c r="X460" s="25">
        <f>IF(U460="","",IF(OR(U460="si, en la proxima tarea",U460="si, con cambios"),1,0))</f>
        <v/>
      </c>
      <c r="Y460" s="25">
        <f>IF(AND(Q460=1,A460&lt;&gt;""),IF(IFERROR(COUNTIFS(A$3:A460,"="&amp;SUBSTITUTE(SUBSTITUTE(SUBSTITUTE(A460,"~","~~"),"*","~*"),"?","~?"),Q$3:Q460,1),0)=1,MAX(Y$2:Y459)+1,""),"")</f>
        <v/>
      </c>
      <c r="Z460" s="25">
        <f>IF(Y460="","",COUNTIFS($A$3:$A$1002,"="&amp;SUBSTITUTE(SUBSTITUTE(SUBSTITUTE(A460,"~","~~"),"*","~*"),"?","~?"),$Q$3:$Q$1002,1)*10000-Y460)</f>
        <v/>
      </c>
    </row>
    <row r="461">
      <c r="A461">
        <f>IF(A$2=0,"",IFERROR(TRIM(INDEX('Pegar docentes'!$A$1:$BZ$1001,460,A$2)&amp;""),""))</f>
        <v/>
      </c>
      <c r="B461">
        <f>IF(B$2=0,"",IFERROR(TRIM(INDEX('Pegar docentes'!$A$1:$BZ$1001,460,B$2)&amp;""),""))</f>
        <v/>
      </c>
      <c r="C461">
        <f>IF(C$2=0,"",IFERROR(TRIM(INDEX('Pegar docentes'!$A$1:$BZ$1001,460,C$2)&amp;""),""))</f>
        <v/>
      </c>
      <c r="D461">
        <f>IF(D$2=0,"",IFERROR(TRIM(INDEX('Pegar docentes'!$A$1:$BZ$1001,460,D$2)&amp;""),""))</f>
        <v/>
      </c>
      <c r="E461">
        <f>IF(E$2=0,"",IFERROR(TRIM(INDEX('Pegar docentes'!$A$1:$BZ$1001,460,E$2)&amp;""),""))</f>
        <v/>
      </c>
      <c r="F461">
        <f>IF(F$2=0,"",IFERROR(TRIM(INDEX('Pegar docentes'!$A$1:$BZ$1001,460,F$2)&amp;""),""))</f>
        <v/>
      </c>
      <c r="G461">
        <f>IF(G$2=0,"",IFERROR(TRIM(INDEX('Pegar docentes'!$A$1:$BZ$1001,460,G$2)&amp;""),""))</f>
        <v/>
      </c>
      <c r="H461">
        <f>IF(H$2=0,"",IFERROR(TRIM(INDEX('Pegar docentes'!$A$1:$BZ$1001,460,H$2)&amp;""),""))</f>
        <v/>
      </c>
      <c r="I461">
        <f>IF(I$2=0,"",IFERROR(TRIM(INDEX('Pegar docentes'!$A$1:$BZ$1001,460,I$2)&amp;""),""))</f>
        <v/>
      </c>
      <c r="J461">
        <f>IF(J$2=0,"",IFERROR(TRIM(INDEX('Pegar docentes'!$A$1:$BZ$1001,460,J$2)&amp;""),""))</f>
        <v/>
      </c>
      <c r="K461">
        <f>IF(K$2=0,"",IFERROR(TRIM(INDEX('Pegar docentes'!$A$1:$BZ$1001,460,K$2)&amp;""),""))</f>
        <v/>
      </c>
      <c r="L461">
        <f>IF(L$2=0,"",IFERROR(TRIM(INDEX('Pegar docentes'!$A$1:$BZ$1001,460,L$2)&amp;""),""))</f>
        <v/>
      </c>
      <c r="M461">
        <f>IF(M$2=0,"",IFERROR(TRIM(INDEX('Pegar docentes'!$A$1:$BZ$1001,460,M$2)&amp;""),""))</f>
        <v/>
      </c>
      <c r="N461">
        <f>IF(N$2=0,"",IFERROR(TRIM(INDEX('Pegar docentes'!$A$1:$BZ$1001,460,N$2)&amp;""),""))</f>
        <v/>
      </c>
      <c r="O461">
        <f>IF(O$2=0,"",IFERROR(TRIM(INDEX('Pegar docentes'!$A$1:$BZ$1001,460,O$2)&amp;""),""))</f>
        <v/>
      </c>
      <c r="P461">
        <f>IF(P$2=0,"",IFERROR(TRIM(INDEX('Pegar docentes'!$A$1:$BZ$1001,460,P$2)&amp;""),""))</f>
        <v/>
      </c>
      <c r="Q461" s="25">
        <f>IF(OR(D461&lt;&gt;"",H461&lt;&gt;""),1,"")</f>
        <v/>
      </c>
      <c r="R461" s="25">
        <f>IF(Q461=1,IF(ISNUMBER(FIND("#"&amp;MID(D461,1,1)&amp;"#","#0#1#2#3#4#5#6#7#8#9#")),IF(ISNUMBER(FIND("#"&amp;MID(D461,2,1)&amp;"#","#0#1#2#3#4#5#6#7#8#9#")),IF(AND(VALUE(LEFT(D461,2))&gt;=1,VALUE(LEFT(D461,2))&lt;=5),VALUE(LEFT(D461,2)),""),IF(AND(VALUE(LEFT(D461,1))&gt;=1,VALUE(LEFT(D461,1))&lt;=5),VALUE(LEFT(D461,1)),"")),""),"")</f>
        <v/>
      </c>
      <c r="S461" s="25">
        <f>IF(AND(Q461=1,E461&lt;&gt;""),SUBSTITUTE(SUBSTITUTE(SUBSTITUTE(SUBSTITUTE(SUBSTITUTE(SUBSTITUTE(SUBSTITUTE(SUBSTITUTE(SUBSTITUTE(SUBSTITUTE(SUBSTITUTE(SUBSTITUTE(LOWER(TRIM(E461)),"á","a"),"é","e"),"í","i"),"ó","o"),"ú","u"),"ü","u"),"ñ","n"),"à","a"),"è","e"),"ì","i"),"ò","o"),"ù","u"),"")</f>
        <v/>
      </c>
      <c r="T461" s="25">
        <f>IF(AND(Q461=1,G461&lt;&gt;""),SUBSTITUTE(SUBSTITUTE(SUBSTITUTE(SUBSTITUTE(SUBSTITUTE(SUBSTITUTE(SUBSTITUTE(SUBSTITUTE(SUBSTITUTE(SUBSTITUTE(SUBSTITUTE(SUBSTITUTE(LOWER(TRIM(G461)),"á","a"),"é","e"),"í","i"),"ó","o"),"ú","u"),"ü","u"),"ñ","n"),"à","a"),"è","e"),"ì","i"),"ò","o"),"ù","u"),"")</f>
        <v/>
      </c>
      <c r="U461" s="25">
        <f>IF(AND(Q461=1,H461&lt;&gt;""),SUBSTITUTE(SUBSTITUTE(SUBSTITUTE(SUBSTITUTE(SUBSTITUTE(SUBSTITUTE(SUBSTITUTE(SUBSTITUTE(SUBSTITUTE(SUBSTITUTE(SUBSTITUTE(SUBSTITUTE(LOWER(TRIM(H461)),"á","a"),"é","e"),"í","i"),"ó","o"),"ú","u"),"ü","u"),"ñ","n"),"à","a"),"è","e"),"ì","i"),"ò","o"),"ù","u"),"")</f>
        <v/>
      </c>
      <c r="V461" s="25">
        <f>IF(AND(Q461=1,L461&lt;&gt;""),SUBSTITUTE(SUBSTITUTE(SUBSTITUTE(SUBSTITUTE(SUBSTITUTE(SUBSTITUTE(SUBSTITUTE(SUBSTITUTE(SUBSTITUTE(SUBSTITUTE(SUBSTITUTE(SUBSTITUTE(LOWER(TRIM(L461)),"á","a"),"é","e"),"í","i"),"ó","o"),"ú","u"),"ü","u"),"ñ","n"),"à","a"),"è","e"),"ì","i"),"ò","o"),"ù","u"),"")</f>
        <v/>
      </c>
      <c r="W461" s="25">
        <f>IF(AND(Q461=1,I461&lt;&gt;""),SUBSTITUTE(SUBSTITUTE(SUBSTITUTE(SUBSTITUTE(SUBSTITUTE(SUBSTITUTE(SUBSTITUTE(SUBSTITUTE(SUBSTITUTE(SUBSTITUTE(SUBSTITUTE(SUBSTITUTE(LOWER(TRIM(I461)),"á","a"),"é","e"),"í","i"),"ó","o"),"ú","u"),"ü","u"),"ñ","n"),"à","a"),"è","e"),"ì","i"),"ò","o"),"ù","u"),"")</f>
        <v/>
      </c>
      <c r="X461" s="25">
        <f>IF(U461="","",IF(OR(U461="si, en la proxima tarea",U461="si, con cambios"),1,0))</f>
        <v/>
      </c>
      <c r="Y461" s="25">
        <f>IF(AND(Q461=1,A461&lt;&gt;""),IF(IFERROR(COUNTIFS(A$3:A461,"="&amp;SUBSTITUTE(SUBSTITUTE(SUBSTITUTE(A461,"~","~~"),"*","~*"),"?","~?"),Q$3:Q461,1),0)=1,MAX(Y$2:Y460)+1,""),"")</f>
        <v/>
      </c>
      <c r="Z461" s="25">
        <f>IF(Y461="","",COUNTIFS($A$3:$A$1002,"="&amp;SUBSTITUTE(SUBSTITUTE(SUBSTITUTE(A461,"~","~~"),"*","~*"),"?","~?"),$Q$3:$Q$1002,1)*10000-Y461)</f>
        <v/>
      </c>
    </row>
    <row r="462">
      <c r="A462">
        <f>IF(A$2=0,"",IFERROR(TRIM(INDEX('Pegar docentes'!$A$1:$BZ$1001,461,A$2)&amp;""),""))</f>
        <v/>
      </c>
      <c r="B462">
        <f>IF(B$2=0,"",IFERROR(TRIM(INDEX('Pegar docentes'!$A$1:$BZ$1001,461,B$2)&amp;""),""))</f>
        <v/>
      </c>
      <c r="C462">
        <f>IF(C$2=0,"",IFERROR(TRIM(INDEX('Pegar docentes'!$A$1:$BZ$1001,461,C$2)&amp;""),""))</f>
        <v/>
      </c>
      <c r="D462">
        <f>IF(D$2=0,"",IFERROR(TRIM(INDEX('Pegar docentes'!$A$1:$BZ$1001,461,D$2)&amp;""),""))</f>
        <v/>
      </c>
      <c r="E462">
        <f>IF(E$2=0,"",IFERROR(TRIM(INDEX('Pegar docentes'!$A$1:$BZ$1001,461,E$2)&amp;""),""))</f>
        <v/>
      </c>
      <c r="F462">
        <f>IF(F$2=0,"",IFERROR(TRIM(INDEX('Pegar docentes'!$A$1:$BZ$1001,461,F$2)&amp;""),""))</f>
        <v/>
      </c>
      <c r="G462">
        <f>IF(G$2=0,"",IFERROR(TRIM(INDEX('Pegar docentes'!$A$1:$BZ$1001,461,G$2)&amp;""),""))</f>
        <v/>
      </c>
      <c r="H462">
        <f>IF(H$2=0,"",IFERROR(TRIM(INDEX('Pegar docentes'!$A$1:$BZ$1001,461,H$2)&amp;""),""))</f>
        <v/>
      </c>
      <c r="I462">
        <f>IF(I$2=0,"",IFERROR(TRIM(INDEX('Pegar docentes'!$A$1:$BZ$1001,461,I$2)&amp;""),""))</f>
        <v/>
      </c>
      <c r="J462">
        <f>IF(J$2=0,"",IFERROR(TRIM(INDEX('Pegar docentes'!$A$1:$BZ$1001,461,J$2)&amp;""),""))</f>
        <v/>
      </c>
      <c r="K462">
        <f>IF(K$2=0,"",IFERROR(TRIM(INDEX('Pegar docentes'!$A$1:$BZ$1001,461,K$2)&amp;""),""))</f>
        <v/>
      </c>
      <c r="L462">
        <f>IF(L$2=0,"",IFERROR(TRIM(INDEX('Pegar docentes'!$A$1:$BZ$1001,461,L$2)&amp;""),""))</f>
        <v/>
      </c>
      <c r="M462">
        <f>IF(M$2=0,"",IFERROR(TRIM(INDEX('Pegar docentes'!$A$1:$BZ$1001,461,M$2)&amp;""),""))</f>
        <v/>
      </c>
      <c r="N462">
        <f>IF(N$2=0,"",IFERROR(TRIM(INDEX('Pegar docentes'!$A$1:$BZ$1001,461,N$2)&amp;""),""))</f>
        <v/>
      </c>
      <c r="O462">
        <f>IF(O$2=0,"",IFERROR(TRIM(INDEX('Pegar docentes'!$A$1:$BZ$1001,461,O$2)&amp;""),""))</f>
        <v/>
      </c>
      <c r="P462">
        <f>IF(P$2=0,"",IFERROR(TRIM(INDEX('Pegar docentes'!$A$1:$BZ$1001,461,P$2)&amp;""),""))</f>
        <v/>
      </c>
      <c r="Q462" s="25">
        <f>IF(OR(D462&lt;&gt;"",H462&lt;&gt;""),1,"")</f>
        <v/>
      </c>
      <c r="R462" s="25">
        <f>IF(Q462=1,IF(ISNUMBER(FIND("#"&amp;MID(D462,1,1)&amp;"#","#0#1#2#3#4#5#6#7#8#9#")),IF(ISNUMBER(FIND("#"&amp;MID(D462,2,1)&amp;"#","#0#1#2#3#4#5#6#7#8#9#")),IF(AND(VALUE(LEFT(D462,2))&gt;=1,VALUE(LEFT(D462,2))&lt;=5),VALUE(LEFT(D462,2)),""),IF(AND(VALUE(LEFT(D462,1))&gt;=1,VALUE(LEFT(D462,1))&lt;=5),VALUE(LEFT(D462,1)),"")),""),"")</f>
        <v/>
      </c>
      <c r="S462" s="25">
        <f>IF(AND(Q462=1,E462&lt;&gt;""),SUBSTITUTE(SUBSTITUTE(SUBSTITUTE(SUBSTITUTE(SUBSTITUTE(SUBSTITUTE(SUBSTITUTE(SUBSTITUTE(SUBSTITUTE(SUBSTITUTE(SUBSTITUTE(SUBSTITUTE(LOWER(TRIM(E462)),"á","a"),"é","e"),"í","i"),"ó","o"),"ú","u"),"ü","u"),"ñ","n"),"à","a"),"è","e"),"ì","i"),"ò","o"),"ù","u"),"")</f>
        <v/>
      </c>
      <c r="T462" s="25">
        <f>IF(AND(Q462=1,G462&lt;&gt;""),SUBSTITUTE(SUBSTITUTE(SUBSTITUTE(SUBSTITUTE(SUBSTITUTE(SUBSTITUTE(SUBSTITUTE(SUBSTITUTE(SUBSTITUTE(SUBSTITUTE(SUBSTITUTE(SUBSTITUTE(LOWER(TRIM(G462)),"á","a"),"é","e"),"í","i"),"ó","o"),"ú","u"),"ü","u"),"ñ","n"),"à","a"),"è","e"),"ì","i"),"ò","o"),"ù","u"),"")</f>
        <v/>
      </c>
      <c r="U462" s="25">
        <f>IF(AND(Q462=1,H462&lt;&gt;""),SUBSTITUTE(SUBSTITUTE(SUBSTITUTE(SUBSTITUTE(SUBSTITUTE(SUBSTITUTE(SUBSTITUTE(SUBSTITUTE(SUBSTITUTE(SUBSTITUTE(SUBSTITUTE(SUBSTITUTE(LOWER(TRIM(H462)),"á","a"),"é","e"),"í","i"),"ó","o"),"ú","u"),"ü","u"),"ñ","n"),"à","a"),"è","e"),"ì","i"),"ò","o"),"ù","u"),"")</f>
        <v/>
      </c>
      <c r="V462" s="25">
        <f>IF(AND(Q462=1,L462&lt;&gt;""),SUBSTITUTE(SUBSTITUTE(SUBSTITUTE(SUBSTITUTE(SUBSTITUTE(SUBSTITUTE(SUBSTITUTE(SUBSTITUTE(SUBSTITUTE(SUBSTITUTE(SUBSTITUTE(SUBSTITUTE(LOWER(TRIM(L462)),"á","a"),"é","e"),"í","i"),"ó","o"),"ú","u"),"ü","u"),"ñ","n"),"à","a"),"è","e"),"ì","i"),"ò","o"),"ù","u"),"")</f>
        <v/>
      </c>
      <c r="W462" s="25">
        <f>IF(AND(Q462=1,I462&lt;&gt;""),SUBSTITUTE(SUBSTITUTE(SUBSTITUTE(SUBSTITUTE(SUBSTITUTE(SUBSTITUTE(SUBSTITUTE(SUBSTITUTE(SUBSTITUTE(SUBSTITUTE(SUBSTITUTE(SUBSTITUTE(LOWER(TRIM(I462)),"á","a"),"é","e"),"í","i"),"ó","o"),"ú","u"),"ü","u"),"ñ","n"),"à","a"),"è","e"),"ì","i"),"ò","o"),"ù","u"),"")</f>
        <v/>
      </c>
      <c r="X462" s="25">
        <f>IF(U462="","",IF(OR(U462="si, en la proxima tarea",U462="si, con cambios"),1,0))</f>
        <v/>
      </c>
      <c r="Y462" s="25">
        <f>IF(AND(Q462=1,A462&lt;&gt;""),IF(IFERROR(COUNTIFS(A$3:A462,"="&amp;SUBSTITUTE(SUBSTITUTE(SUBSTITUTE(A462,"~","~~"),"*","~*"),"?","~?"),Q$3:Q462,1),0)=1,MAX(Y$2:Y461)+1,""),"")</f>
        <v/>
      </c>
      <c r="Z462" s="25">
        <f>IF(Y462="","",COUNTIFS($A$3:$A$1002,"="&amp;SUBSTITUTE(SUBSTITUTE(SUBSTITUTE(A462,"~","~~"),"*","~*"),"?","~?"),$Q$3:$Q$1002,1)*10000-Y462)</f>
        <v/>
      </c>
    </row>
    <row r="463">
      <c r="A463">
        <f>IF(A$2=0,"",IFERROR(TRIM(INDEX('Pegar docentes'!$A$1:$BZ$1001,462,A$2)&amp;""),""))</f>
        <v/>
      </c>
      <c r="B463">
        <f>IF(B$2=0,"",IFERROR(TRIM(INDEX('Pegar docentes'!$A$1:$BZ$1001,462,B$2)&amp;""),""))</f>
        <v/>
      </c>
      <c r="C463">
        <f>IF(C$2=0,"",IFERROR(TRIM(INDEX('Pegar docentes'!$A$1:$BZ$1001,462,C$2)&amp;""),""))</f>
        <v/>
      </c>
      <c r="D463">
        <f>IF(D$2=0,"",IFERROR(TRIM(INDEX('Pegar docentes'!$A$1:$BZ$1001,462,D$2)&amp;""),""))</f>
        <v/>
      </c>
      <c r="E463">
        <f>IF(E$2=0,"",IFERROR(TRIM(INDEX('Pegar docentes'!$A$1:$BZ$1001,462,E$2)&amp;""),""))</f>
        <v/>
      </c>
      <c r="F463">
        <f>IF(F$2=0,"",IFERROR(TRIM(INDEX('Pegar docentes'!$A$1:$BZ$1001,462,F$2)&amp;""),""))</f>
        <v/>
      </c>
      <c r="G463">
        <f>IF(G$2=0,"",IFERROR(TRIM(INDEX('Pegar docentes'!$A$1:$BZ$1001,462,G$2)&amp;""),""))</f>
        <v/>
      </c>
      <c r="H463">
        <f>IF(H$2=0,"",IFERROR(TRIM(INDEX('Pegar docentes'!$A$1:$BZ$1001,462,H$2)&amp;""),""))</f>
        <v/>
      </c>
      <c r="I463">
        <f>IF(I$2=0,"",IFERROR(TRIM(INDEX('Pegar docentes'!$A$1:$BZ$1001,462,I$2)&amp;""),""))</f>
        <v/>
      </c>
      <c r="J463">
        <f>IF(J$2=0,"",IFERROR(TRIM(INDEX('Pegar docentes'!$A$1:$BZ$1001,462,J$2)&amp;""),""))</f>
        <v/>
      </c>
      <c r="K463">
        <f>IF(K$2=0,"",IFERROR(TRIM(INDEX('Pegar docentes'!$A$1:$BZ$1001,462,K$2)&amp;""),""))</f>
        <v/>
      </c>
      <c r="L463">
        <f>IF(L$2=0,"",IFERROR(TRIM(INDEX('Pegar docentes'!$A$1:$BZ$1001,462,L$2)&amp;""),""))</f>
        <v/>
      </c>
      <c r="M463">
        <f>IF(M$2=0,"",IFERROR(TRIM(INDEX('Pegar docentes'!$A$1:$BZ$1001,462,M$2)&amp;""),""))</f>
        <v/>
      </c>
      <c r="N463">
        <f>IF(N$2=0,"",IFERROR(TRIM(INDEX('Pegar docentes'!$A$1:$BZ$1001,462,N$2)&amp;""),""))</f>
        <v/>
      </c>
      <c r="O463">
        <f>IF(O$2=0,"",IFERROR(TRIM(INDEX('Pegar docentes'!$A$1:$BZ$1001,462,O$2)&amp;""),""))</f>
        <v/>
      </c>
      <c r="P463">
        <f>IF(P$2=0,"",IFERROR(TRIM(INDEX('Pegar docentes'!$A$1:$BZ$1001,462,P$2)&amp;""),""))</f>
        <v/>
      </c>
      <c r="Q463" s="25">
        <f>IF(OR(D463&lt;&gt;"",H463&lt;&gt;""),1,"")</f>
        <v/>
      </c>
      <c r="R463" s="25">
        <f>IF(Q463=1,IF(ISNUMBER(FIND("#"&amp;MID(D463,1,1)&amp;"#","#0#1#2#3#4#5#6#7#8#9#")),IF(ISNUMBER(FIND("#"&amp;MID(D463,2,1)&amp;"#","#0#1#2#3#4#5#6#7#8#9#")),IF(AND(VALUE(LEFT(D463,2))&gt;=1,VALUE(LEFT(D463,2))&lt;=5),VALUE(LEFT(D463,2)),""),IF(AND(VALUE(LEFT(D463,1))&gt;=1,VALUE(LEFT(D463,1))&lt;=5),VALUE(LEFT(D463,1)),"")),""),"")</f>
        <v/>
      </c>
      <c r="S463" s="25">
        <f>IF(AND(Q463=1,E463&lt;&gt;""),SUBSTITUTE(SUBSTITUTE(SUBSTITUTE(SUBSTITUTE(SUBSTITUTE(SUBSTITUTE(SUBSTITUTE(SUBSTITUTE(SUBSTITUTE(SUBSTITUTE(SUBSTITUTE(SUBSTITUTE(LOWER(TRIM(E463)),"á","a"),"é","e"),"í","i"),"ó","o"),"ú","u"),"ü","u"),"ñ","n"),"à","a"),"è","e"),"ì","i"),"ò","o"),"ù","u"),"")</f>
        <v/>
      </c>
      <c r="T463" s="25">
        <f>IF(AND(Q463=1,G463&lt;&gt;""),SUBSTITUTE(SUBSTITUTE(SUBSTITUTE(SUBSTITUTE(SUBSTITUTE(SUBSTITUTE(SUBSTITUTE(SUBSTITUTE(SUBSTITUTE(SUBSTITUTE(SUBSTITUTE(SUBSTITUTE(LOWER(TRIM(G463)),"á","a"),"é","e"),"í","i"),"ó","o"),"ú","u"),"ü","u"),"ñ","n"),"à","a"),"è","e"),"ì","i"),"ò","o"),"ù","u"),"")</f>
        <v/>
      </c>
      <c r="U463" s="25">
        <f>IF(AND(Q463=1,H463&lt;&gt;""),SUBSTITUTE(SUBSTITUTE(SUBSTITUTE(SUBSTITUTE(SUBSTITUTE(SUBSTITUTE(SUBSTITUTE(SUBSTITUTE(SUBSTITUTE(SUBSTITUTE(SUBSTITUTE(SUBSTITUTE(LOWER(TRIM(H463)),"á","a"),"é","e"),"í","i"),"ó","o"),"ú","u"),"ü","u"),"ñ","n"),"à","a"),"è","e"),"ì","i"),"ò","o"),"ù","u"),"")</f>
        <v/>
      </c>
      <c r="V463" s="25">
        <f>IF(AND(Q463=1,L463&lt;&gt;""),SUBSTITUTE(SUBSTITUTE(SUBSTITUTE(SUBSTITUTE(SUBSTITUTE(SUBSTITUTE(SUBSTITUTE(SUBSTITUTE(SUBSTITUTE(SUBSTITUTE(SUBSTITUTE(SUBSTITUTE(LOWER(TRIM(L463)),"á","a"),"é","e"),"í","i"),"ó","o"),"ú","u"),"ü","u"),"ñ","n"),"à","a"),"è","e"),"ì","i"),"ò","o"),"ù","u"),"")</f>
        <v/>
      </c>
      <c r="W463" s="25">
        <f>IF(AND(Q463=1,I463&lt;&gt;""),SUBSTITUTE(SUBSTITUTE(SUBSTITUTE(SUBSTITUTE(SUBSTITUTE(SUBSTITUTE(SUBSTITUTE(SUBSTITUTE(SUBSTITUTE(SUBSTITUTE(SUBSTITUTE(SUBSTITUTE(LOWER(TRIM(I463)),"á","a"),"é","e"),"í","i"),"ó","o"),"ú","u"),"ü","u"),"ñ","n"),"à","a"),"è","e"),"ì","i"),"ò","o"),"ù","u"),"")</f>
        <v/>
      </c>
      <c r="X463" s="25">
        <f>IF(U463="","",IF(OR(U463="si, en la proxima tarea",U463="si, con cambios"),1,0))</f>
        <v/>
      </c>
      <c r="Y463" s="25">
        <f>IF(AND(Q463=1,A463&lt;&gt;""),IF(IFERROR(COUNTIFS(A$3:A463,"="&amp;SUBSTITUTE(SUBSTITUTE(SUBSTITUTE(A463,"~","~~"),"*","~*"),"?","~?"),Q$3:Q463,1),0)=1,MAX(Y$2:Y462)+1,""),"")</f>
        <v/>
      </c>
      <c r="Z463" s="25">
        <f>IF(Y463="","",COUNTIFS($A$3:$A$1002,"="&amp;SUBSTITUTE(SUBSTITUTE(SUBSTITUTE(A463,"~","~~"),"*","~*"),"?","~?"),$Q$3:$Q$1002,1)*10000-Y463)</f>
        <v/>
      </c>
    </row>
    <row r="464">
      <c r="A464">
        <f>IF(A$2=0,"",IFERROR(TRIM(INDEX('Pegar docentes'!$A$1:$BZ$1001,463,A$2)&amp;""),""))</f>
        <v/>
      </c>
      <c r="B464">
        <f>IF(B$2=0,"",IFERROR(TRIM(INDEX('Pegar docentes'!$A$1:$BZ$1001,463,B$2)&amp;""),""))</f>
        <v/>
      </c>
      <c r="C464">
        <f>IF(C$2=0,"",IFERROR(TRIM(INDEX('Pegar docentes'!$A$1:$BZ$1001,463,C$2)&amp;""),""))</f>
        <v/>
      </c>
      <c r="D464">
        <f>IF(D$2=0,"",IFERROR(TRIM(INDEX('Pegar docentes'!$A$1:$BZ$1001,463,D$2)&amp;""),""))</f>
        <v/>
      </c>
      <c r="E464">
        <f>IF(E$2=0,"",IFERROR(TRIM(INDEX('Pegar docentes'!$A$1:$BZ$1001,463,E$2)&amp;""),""))</f>
        <v/>
      </c>
      <c r="F464">
        <f>IF(F$2=0,"",IFERROR(TRIM(INDEX('Pegar docentes'!$A$1:$BZ$1001,463,F$2)&amp;""),""))</f>
        <v/>
      </c>
      <c r="G464">
        <f>IF(G$2=0,"",IFERROR(TRIM(INDEX('Pegar docentes'!$A$1:$BZ$1001,463,G$2)&amp;""),""))</f>
        <v/>
      </c>
      <c r="H464">
        <f>IF(H$2=0,"",IFERROR(TRIM(INDEX('Pegar docentes'!$A$1:$BZ$1001,463,H$2)&amp;""),""))</f>
        <v/>
      </c>
      <c r="I464">
        <f>IF(I$2=0,"",IFERROR(TRIM(INDEX('Pegar docentes'!$A$1:$BZ$1001,463,I$2)&amp;""),""))</f>
        <v/>
      </c>
      <c r="J464">
        <f>IF(J$2=0,"",IFERROR(TRIM(INDEX('Pegar docentes'!$A$1:$BZ$1001,463,J$2)&amp;""),""))</f>
        <v/>
      </c>
      <c r="K464">
        <f>IF(K$2=0,"",IFERROR(TRIM(INDEX('Pegar docentes'!$A$1:$BZ$1001,463,K$2)&amp;""),""))</f>
        <v/>
      </c>
      <c r="L464">
        <f>IF(L$2=0,"",IFERROR(TRIM(INDEX('Pegar docentes'!$A$1:$BZ$1001,463,L$2)&amp;""),""))</f>
        <v/>
      </c>
      <c r="M464">
        <f>IF(M$2=0,"",IFERROR(TRIM(INDEX('Pegar docentes'!$A$1:$BZ$1001,463,M$2)&amp;""),""))</f>
        <v/>
      </c>
      <c r="N464">
        <f>IF(N$2=0,"",IFERROR(TRIM(INDEX('Pegar docentes'!$A$1:$BZ$1001,463,N$2)&amp;""),""))</f>
        <v/>
      </c>
      <c r="O464">
        <f>IF(O$2=0,"",IFERROR(TRIM(INDEX('Pegar docentes'!$A$1:$BZ$1001,463,O$2)&amp;""),""))</f>
        <v/>
      </c>
      <c r="P464">
        <f>IF(P$2=0,"",IFERROR(TRIM(INDEX('Pegar docentes'!$A$1:$BZ$1001,463,P$2)&amp;""),""))</f>
        <v/>
      </c>
      <c r="Q464" s="25">
        <f>IF(OR(D464&lt;&gt;"",H464&lt;&gt;""),1,"")</f>
        <v/>
      </c>
      <c r="R464" s="25">
        <f>IF(Q464=1,IF(ISNUMBER(FIND("#"&amp;MID(D464,1,1)&amp;"#","#0#1#2#3#4#5#6#7#8#9#")),IF(ISNUMBER(FIND("#"&amp;MID(D464,2,1)&amp;"#","#0#1#2#3#4#5#6#7#8#9#")),IF(AND(VALUE(LEFT(D464,2))&gt;=1,VALUE(LEFT(D464,2))&lt;=5),VALUE(LEFT(D464,2)),""),IF(AND(VALUE(LEFT(D464,1))&gt;=1,VALUE(LEFT(D464,1))&lt;=5),VALUE(LEFT(D464,1)),"")),""),"")</f>
        <v/>
      </c>
      <c r="S464" s="25">
        <f>IF(AND(Q464=1,E464&lt;&gt;""),SUBSTITUTE(SUBSTITUTE(SUBSTITUTE(SUBSTITUTE(SUBSTITUTE(SUBSTITUTE(SUBSTITUTE(SUBSTITUTE(SUBSTITUTE(SUBSTITUTE(SUBSTITUTE(SUBSTITUTE(LOWER(TRIM(E464)),"á","a"),"é","e"),"í","i"),"ó","o"),"ú","u"),"ü","u"),"ñ","n"),"à","a"),"è","e"),"ì","i"),"ò","o"),"ù","u"),"")</f>
        <v/>
      </c>
      <c r="T464" s="25">
        <f>IF(AND(Q464=1,G464&lt;&gt;""),SUBSTITUTE(SUBSTITUTE(SUBSTITUTE(SUBSTITUTE(SUBSTITUTE(SUBSTITUTE(SUBSTITUTE(SUBSTITUTE(SUBSTITUTE(SUBSTITUTE(SUBSTITUTE(SUBSTITUTE(LOWER(TRIM(G464)),"á","a"),"é","e"),"í","i"),"ó","o"),"ú","u"),"ü","u"),"ñ","n"),"à","a"),"è","e"),"ì","i"),"ò","o"),"ù","u"),"")</f>
        <v/>
      </c>
      <c r="U464" s="25">
        <f>IF(AND(Q464=1,H464&lt;&gt;""),SUBSTITUTE(SUBSTITUTE(SUBSTITUTE(SUBSTITUTE(SUBSTITUTE(SUBSTITUTE(SUBSTITUTE(SUBSTITUTE(SUBSTITUTE(SUBSTITUTE(SUBSTITUTE(SUBSTITUTE(LOWER(TRIM(H464)),"á","a"),"é","e"),"í","i"),"ó","o"),"ú","u"),"ü","u"),"ñ","n"),"à","a"),"è","e"),"ì","i"),"ò","o"),"ù","u"),"")</f>
        <v/>
      </c>
      <c r="V464" s="25">
        <f>IF(AND(Q464=1,L464&lt;&gt;""),SUBSTITUTE(SUBSTITUTE(SUBSTITUTE(SUBSTITUTE(SUBSTITUTE(SUBSTITUTE(SUBSTITUTE(SUBSTITUTE(SUBSTITUTE(SUBSTITUTE(SUBSTITUTE(SUBSTITUTE(LOWER(TRIM(L464)),"á","a"),"é","e"),"í","i"),"ó","o"),"ú","u"),"ü","u"),"ñ","n"),"à","a"),"è","e"),"ì","i"),"ò","o"),"ù","u"),"")</f>
        <v/>
      </c>
      <c r="W464" s="25">
        <f>IF(AND(Q464=1,I464&lt;&gt;""),SUBSTITUTE(SUBSTITUTE(SUBSTITUTE(SUBSTITUTE(SUBSTITUTE(SUBSTITUTE(SUBSTITUTE(SUBSTITUTE(SUBSTITUTE(SUBSTITUTE(SUBSTITUTE(SUBSTITUTE(LOWER(TRIM(I464)),"á","a"),"é","e"),"í","i"),"ó","o"),"ú","u"),"ü","u"),"ñ","n"),"à","a"),"è","e"),"ì","i"),"ò","o"),"ù","u"),"")</f>
        <v/>
      </c>
      <c r="X464" s="25">
        <f>IF(U464="","",IF(OR(U464="si, en la proxima tarea",U464="si, con cambios"),1,0))</f>
        <v/>
      </c>
      <c r="Y464" s="25">
        <f>IF(AND(Q464=1,A464&lt;&gt;""),IF(IFERROR(COUNTIFS(A$3:A464,"="&amp;SUBSTITUTE(SUBSTITUTE(SUBSTITUTE(A464,"~","~~"),"*","~*"),"?","~?"),Q$3:Q464,1),0)=1,MAX(Y$2:Y463)+1,""),"")</f>
        <v/>
      </c>
      <c r="Z464" s="25">
        <f>IF(Y464="","",COUNTIFS($A$3:$A$1002,"="&amp;SUBSTITUTE(SUBSTITUTE(SUBSTITUTE(A464,"~","~~"),"*","~*"),"?","~?"),$Q$3:$Q$1002,1)*10000-Y464)</f>
        <v/>
      </c>
    </row>
    <row r="465">
      <c r="A465">
        <f>IF(A$2=0,"",IFERROR(TRIM(INDEX('Pegar docentes'!$A$1:$BZ$1001,464,A$2)&amp;""),""))</f>
        <v/>
      </c>
      <c r="B465">
        <f>IF(B$2=0,"",IFERROR(TRIM(INDEX('Pegar docentes'!$A$1:$BZ$1001,464,B$2)&amp;""),""))</f>
        <v/>
      </c>
      <c r="C465">
        <f>IF(C$2=0,"",IFERROR(TRIM(INDEX('Pegar docentes'!$A$1:$BZ$1001,464,C$2)&amp;""),""))</f>
        <v/>
      </c>
      <c r="D465">
        <f>IF(D$2=0,"",IFERROR(TRIM(INDEX('Pegar docentes'!$A$1:$BZ$1001,464,D$2)&amp;""),""))</f>
        <v/>
      </c>
      <c r="E465">
        <f>IF(E$2=0,"",IFERROR(TRIM(INDEX('Pegar docentes'!$A$1:$BZ$1001,464,E$2)&amp;""),""))</f>
        <v/>
      </c>
      <c r="F465">
        <f>IF(F$2=0,"",IFERROR(TRIM(INDEX('Pegar docentes'!$A$1:$BZ$1001,464,F$2)&amp;""),""))</f>
        <v/>
      </c>
      <c r="G465">
        <f>IF(G$2=0,"",IFERROR(TRIM(INDEX('Pegar docentes'!$A$1:$BZ$1001,464,G$2)&amp;""),""))</f>
        <v/>
      </c>
      <c r="H465">
        <f>IF(H$2=0,"",IFERROR(TRIM(INDEX('Pegar docentes'!$A$1:$BZ$1001,464,H$2)&amp;""),""))</f>
        <v/>
      </c>
      <c r="I465">
        <f>IF(I$2=0,"",IFERROR(TRIM(INDEX('Pegar docentes'!$A$1:$BZ$1001,464,I$2)&amp;""),""))</f>
        <v/>
      </c>
      <c r="J465">
        <f>IF(J$2=0,"",IFERROR(TRIM(INDEX('Pegar docentes'!$A$1:$BZ$1001,464,J$2)&amp;""),""))</f>
        <v/>
      </c>
      <c r="K465">
        <f>IF(K$2=0,"",IFERROR(TRIM(INDEX('Pegar docentes'!$A$1:$BZ$1001,464,K$2)&amp;""),""))</f>
        <v/>
      </c>
      <c r="L465">
        <f>IF(L$2=0,"",IFERROR(TRIM(INDEX('Pegar docentes'!$A$1:$BZ$1001,464,L$2)&amp;""),""))</f>
        <v/>
      </c>
      <c r="M465">
        <f>IF(M$2=0,"",IFERROR(TRIM(INDEX('Pegar docentes'!$A$1:$BZ$1001,464,M$2)&amp;""),""))</f>
        <v/>
      </c>
      <c r="N465">
        <f>IF(N$2=0,"",IFERROR(TRIM(INDEX('Pegar docentes'!$A$1:$BZ$1001,464,N$2)&amp;""),""))</f>
        <v/>
      </c>
      <c r="O465">
        <f>IF(O$2=0,"",IFERROR(TRIM(INDEX('Pegar docentes'!$A$1:$BZ$1001,464,O$2)&amp;""),""))</f>
        <v/>
      </c>
      <c r="P465">
        <f>IF(P$2=0,"",IFERROR(TRIM(INDEX('Pegar docentes'!$A$1:$BZ$1001,464,P$2)&amp;""),""))</f>
        <v/>
      </c>
      <c r="Q465" s="25">
        <f>IF(OR(D465&lt;&gt;"",H465&lt;&gt;""),1,"")</f>
        <v/>
      </c>
      <c r="R465" s="25">
        <f>IF(Q465=1,IF(ISNUMBER(FIND("#"&amp;MID(D465,1,1)&amp;"#","#0#1#2#3#4#5#6#7#8#9#")),IF(ISNUMBER(FIND("#"&amp;MID(D465,2,1)&amp;"#","#0#1#2#3#4#5#6#7#8#9#")),IF(AND(VALUE(LEFT(D465,2))&gt;=1,VALUE(LEFT(D465,2))&lt;=5),VALUE(LEFT(D465,2)),""),IF(AND(VALUE(LEFT(D465,1))&gt;=1,VALUE(LEFT(D465,1))&lt;=5),VALUE(LEFT(D465,1)),"")),""),"")</f>
        <v/>
      </c>
      <c r="S465" s="25">
        <f>IF(AND(Q465=1,E465&lt;&gt;""),SUBSTITUTE(SUBSTITUTE(SUBSTITUTE(SUBSTITUTE(SUBSTITUTE(SUBSTITUTE(SUBSTITUTE(SUBSTITUTE(SUBSTITUTE(SUBSTITUTE(SUBSTITUTE(SUBSTITUTE(LOWER(TRIM(E465)),"á","a"),"é","e"),"í","i"),"ó","o"),"ú","u"),"ü","u"),"ñ","n"),"à","a"),"è","e"),"ì","i"),"ò","o"),"ù","u"),"")</f>
        <v/>
      </c>
      <c r="T465" s="25">
        <f>IF(AND(Q465=1,G465&lt;&gt;""),SUBSTITUTE(SUBSTITUTE(SUBSTITUTE(SUBSTITUTE(SUBSTITUTE(SUBSTITUTE(SUBSTITUTE(SUBSTITUTE(SUBSTITUTE(SUBSTITUTE(SUBSTITUTE(SUBSTITUTE(LOWER(TRIM(G465)),"á","a"),"é","e"),"í","i"),"ó","o"),"ú","u"),"ü","u"),"ñ","n"),"à","a"),"è","e"),"ì","i"),"ò","o"),"ù","u"),"")</f>
        <v/>
      </c>
      <c r="U465" s="25">
        <f>IF(AND(Q465=1,H465&lt;&gt;""),SUBSTITUTE(SUBSTITUTE(SUBSTITUTE(SUBSTITUTE(SUBSTITUTE(SUBSTITUTE(SUBSTITUTE(SUBSTITUTE(SUBSTITUTE(SUBSTITUTE(SUBSTITUTE(SUBSTITUTE(LOWER(TRIM(H465)),"á","a"),"é","e"),"í","i"),"ó","o"),"ú","u"),"ü","u"),"ñ","n"),"à","a"),"è","e"),"ì","i"),"ò","o"),"ù","u"),"")</f>
        <v/>
      </c>
      <c r="V465" s="25">
        <f>IF(AND(Q465=1,L465&lt;&gt;""),SUBSTITUTE(SUBSTITUTE(SUBSTITUTE(SUBSTITUTE(SUBSTITUTE(SUBSTITUTE(SUBSTITUTE(SUBSTITUTE(SUBSTITUTE(SUBSTITUTE(SUBSTITUTE(SUBSTITUTE(LOWER(TRIM(L465)),"á","a"),"é","e"),"í","i"),"ó","o"),"ú","u"),"ü","u"),"ñ","n"),"à","a"),"è","e"),"ì","i"),"ò","o"),"ù","u"),"")</f>
        <v/>
      </c>
      <c r="W465" s="25">
        <f>IF(AND(Q465=1,I465&lt;&gt;""),SUBSTITUTE(SUBSTITUTE(SUBSTITUTE(SUBSTITUTE(SUBSTITUTE(SUBSTITUTE(SUBSTITUTE(SUBSTITUTE(SUBSTITUTE(SUBSTITUTE(SUBSTITUTE(SUBSTITUTE(LOWER(TRIM(I465)),"á","a"),"é","e"),"í","i"),"ó","o"),"ú","u"),"ü","u"),"ñ","n"),"à","a"),"è","e"),"ì","i"),"ò","o"),"ù","u"),"")</f>
        <v/>
      </c>
      <c r="X465" s="25">
        <f>IF(U465="","",IF(OR(U465="si, en la proxima tarea",U465="si, con cambios"),1,0))</f>
        <v/>
      </c>
      <c r="Y465" s="25">
        <f>IF(AND(Q465=1,A465&lt;&gt;""),IF(IFERROR(COUNTIFS(A$3:A465,"="&amp;SUBSTITUTE(SUBSTITUTE(SUBSTITUTE(A465,"~","~~"),"*","~*"),"?","~?"),Q$3:Q465,1),0)=1,MAX(Y$2:Y464)+1,""),"")</f>
        <v/>
      </c>
      <c r="Z465" s="25">
        <f>IF(Y465="","",COUNTIFS($A$3:$A$1002,"="&amp;SUBSTITUTE(SUBSTITUTE(SUBSTITUTE(A465,"~","~~"),"*","~*"),"?","~?"),$Q$3:$Q$1002,1)*10000-Y465)</f>
        <v/>
      </c>
    </row>
    <row r="466">
      <c r="A466">
        <f>IF(A$2=0,"",IFERROR(TRIM(INDEX('Pegar docentes'!$A$1:$BZ$1001,465,A$2)&amp;""),""))</f>
        <v/>
      </c>
      <c r="B466">
        <f>IF(B$2=0,"",IFERROR(TRIM(INDEX('Pegar docentes'!$A$1:$BZ$1001,465,B$2)&amp;""),""))</f>
        <v/>
      </c>
      <c r="C466">
        <f>IF(C$2=0,"",IFERROR(TRIM(INDEX('Pegar docentes'!$A$1:$BZ$1001,465,C$2)&amp;""),""))</f>
        <v/>
      </c>
      <c r="D466">
        <f>IF(D$2=0,"",IFERROR(TRIM(INDEX('Pegar docentes'!$A$1:$BZ$1001,465,D$2)&amp;""),""))</f>
        <v/>
      </c>
      <c r="E466">
        <f>IF(E$2=0,"",IFERROR(TRIM(INDEX('Pegar docentes'!$A$1:$BZ$1001,465,E$2)&amp;""),""))</f>
        <v/>
      </c>
      <c r="F466">
        <f>IF(F$2=0,"",IFERROR(TRIM(INDEX('Pegar docentes'!$A$1:$BZ$1001,465,F$2)&amp;""),""))</f>
        <v/>
      </c>
      <c r="G466">
        <f>IF(G$2=0,"",IFERROR(TRIM(INDEX('Pegar docentes'!$A$1:$BZ$1001,465,G$2)&amp;""),""))</f>
        <v/>
      </c>
      <c r="H466">
        <f>IF(H$2=0,"",IFERROR(TRIM(INDEX('Pegar docentes'!$A$1:$BZ$1001,465,H$2)&amp;""),""))</f>
        <v/>
      </c>
      <c r="I466">
        <f>IF(I$2=0,"",IFERROR(TRIM(INDEX('Pegar docentes'!$A$1:$BZ$1001,465,I$2)&amp;""),""))</f>
        <v/>
      </c>
      <c r="J466">
        <f>IF(J$2=0,"",IFERROR(TRIM(INDEX('Pegar docentes'!$A$1:$BZ$1001,465,J$2)&amp;""),""))</f>
        <v/>
      </c>
      <c r="K466">
        <f>IF(K$2=0,"",IFERROR(TRIM(INDEX('Pegar docentes'!$A$1:$BZ$1001,465,K$2)&amp;""),""))</f>
        <v/>
      </c>
      <c r="L466">
        <f>IF(L$2=0,"",IFERROR(TRIM(INDEX('Pegar docentes'!$A$1:$BZ$1001,465,L$2)&amp;""),""))</f>
        <v/>
      </c>
      <c r="M466">
        <f>IF(M$2=0,"",IFERROR(TRIM(INDEX('Pegar docentes'!$A$1:$BZ$1001,465,M$2)&amp;""),""))</f>
        <v/>
      </c>
      <c r="N466">
        <f>IF(N$2=0,"",IFERROR(TRIM(INDEX('Pegar docentes'!$A$1:$BZ$1001,465,N$2)&amp;""),""))</f>
        <v/>
      </c>
      <c r="O466">
        <f>IF(O$2=0,"",IFERROR(TRIM(INDEX('Pegar docentes'!$A$1:$BZ$1001,465,O$2)&amp;""),""))</f>
        <v/>
      </c>
      <c r="P466">
        <f>IF(P$2=0,"",IFERROR(TRIM(INDEX('Pegar docentes'!$A$1:$BZ$1001,465,P$2)&amp;""),""))</f>
        <v/>
      </c>
      <c r="Q466" s="25">
        <f>IF(OR(D466&lt;&gt;"",H466&lt;&gt;""),1,"")</f>
        <v/>
      </c>
      <c r="R466" s="25">
        <f>IF(Q466=1,IF(ISNUMBER(FIND("#"&amp;MID(D466,1,1)&amp;"#","#0#1#2#3#4#5#6#7#8#9#")),IF(ISNUMBER(FIND("#"&amp;MID(D466,2,1)&amp;"#","#0#1#2#3#4#5#6#7#8#9#")),IF(AND(VALUE(LEFT(D466,2))&gt;=1,VALUE(LEFT(D466,2))&lt;=5),VALUE(LEFT(D466,2)),""),IF(AND(VALUE(LEFT(D466,1))&gt;=1,VALUE(LEFT(D466,1))&lt;=5),VALUE(LEFT(D466,1)),"")),""),"")</f>
        <v/>
      </c>
      <c r="S466" s="25">
        <f>IF(AND(Q466=1,E466&lt;&gt;""),SUBSTITUTE(SUBSTITUTE(SUBSTITUTE(SUBSTITUTE(SUBSTITUTE(SUBSTITUTE(SUBSTITUTE(SUBSTITUTE(SUBSTITUTE(SUBSTITUTE(SUBSTITUTE(SUBSTITUTE(LOWER(TRIM(E466)),"á","a"),"é","e"),"í","i"),"ó","o"),"ú","u"),"ü","u"),"ñ","n"),"à","a"),"è","e"),"ì","i"),"ò","o"),"ù","u"),"")</f>
        <v/>
      </c>
      <c r="T466" s="25">
        <f>IF(AND(Q466=1,G466&lt;&gt;""),SUBSTITUTE(SUBSTITUTE(SUBSTITUTE(SUBSTITUTE(SUBSTITUTE(SUBSTITUTE(SUBSTITUTE(SUBSTITUTE(SUBSTITUTE(SUBSTITUTE(SUBSTITUTE(SUBSTITUTE(LOWER(TRIM(G466)),"á","a"),"é","e"),"í","i"),"ó","o"),"ú","u"),"ü","u"),"ñ","n"),"à","a"),"è","e"),"ì","i"),"ò","o"),"ù","u"),"")</f>
        <v/>
      </c>
      <c r="U466" s="25">
        <f>IF(AND(Q466=1,H466&lt;&gt;""),SUBSTITUTE(SUBSTITUTE(SUBSTITUTE(SUBSTITUTE(SUBSTITUTE(SUBSTITUTE(SUBSTITUTE(SUBSTITUTE(SUBSTITUTE(SUBSTITUTE(SUBSTITUTE(SUBSTITUTE(LOWER(TRIM(H466)),"á","a"),"é","e"),"í","i"),"ó","o"),"ú","u"),"ü","u"),"ñ","n"),"à","a"),"è","e"),"ì","i"),"ò","o"),"ù","u"),"")</f>
        <v/>
      </c>
      <c r="V466" s="25">
        <f>IF(AND(Q466=1,L466&lt;&gt;""),SUBSTITUTE(SUBSTITUTE(SUBSTITUTE(SUBSTITUTE(SUBSTITUTE(SUBSTITUTE(SUBSTITUTE(SUBSTITUTE(SUBSTITUTE(SUBSTITUTE(SUBSTITUTE(SUBSTITUTE(LOWER(TRIM(L466)),"á","a"),"é","e"),"í","i"),"ó","o"),"ú","u"),"ü","u"),"ñ","n"),"à","a"),"è","e"),"ì","i"),"ò","o"),"ù","u"),"")</f>
        <v/>
      </c>
      <c r="W466" s="25">
        <f>IF(AND(Q466=1,I466&lt;&gt;""),SUBSTITUTE(SUBSTITUTE(SUBSTITUTE(SUBSTITUTE(SUBSTITUTE(SUBSTITUTE(SUBSTITUTE(SUBSTITUTE(SUBSTITUTE(SUBSTITUTE(SUBSTITUTE(SUBSTITUTE(LOWER(TRIM(I466)),"á","a"),"é","e"),"í","i"),"ó","o"),"ú","u"),"ü","u"),"ñ","n"),"à","a"),"è","e"),"ì","i"),"ò","o"),"ù","u"),"")</f>
        <v/>
      </c>
      <c r="X466" s="25">
        <f>IF(U466="","",IF(OR(U466="si, en la proxima tarea",U466="si, con cambios"),1,0))</f>
        <v/>
      </c>
      <c r="Y466" s="25">
        <f>IF(AND(Q466=1,A466&lt;&gt;""),IF(IFERROR(COUNTIFS(A$3:A466,"="&amp;SUBSTITUTE(SUBSTITUTE(SUBSTITUTE(A466,"~","~~"),"*","~*"),"?","~?"),Q$3:Q466,1),0)=1,MAX(Y$2:Y465)+1,""),"")</f>
        <v/>
      </c>
      <c r="Z466" s="25">
        <f>IF(Y466="","",COUNTIFS($A$3:$A$1002,"="&amp;SUBSTITUTE(SUBSTITUTE(SUBSTITUTE(A466,"~","~~"),"*","~*"),"?","~?"),$Q$3:$Q$1002,1)*10000-Y466)</f>
        <v/>
      </c>
    </row>
    <row r="467">
      <c r="A467">
        <f>IF(A$2=0,"",IFERROR(TRIM(INDEX('Pegar docentes'!$A$1:$BZ$1001,466,A$2)&amp;""),""))</f>
        <v/>
      </c>
      <c r="B467">
        <f>IF(B$2=0,"",IFERROR(TRIM(INDEX('Pegar docentes'!$A$1:$BZ$1001,466,B$2)&amp;""),""))</f>
        <v/>
      </c>
      <c r="C467">
        <f>IF(C$2=0,"",IFERROR(TRIM(INDEX('Pegar docentes'!$A$1:$BZ$1001,466,C$2)&amp;""),""))</f>
        <v/>
      </c>
      <c r="D467">
        <f>IF(D$2=0,"",IFERROR(TRIM(INDEX('Pegar docentes'!$A$1:$BZ$1001,466,D$2)&amp;""),""))</f>
        <v/>
      </c>
      <c r="E467">
        <f>IF(E$2=0,"",IFERROR(TRIM(INDEX('Pegar docentes'!$A$1:$BZ$1001,466,E$2)&amp;""),""))</f>
        <v/>
      </c>
      <c r="F467">
        <f>IF(F$2=0,"",IFERROR(TRIM(INDEX('Pegar docentes'!$A$1:$BZ$1001,466,F$2)&amp;""),""))</f>
        <v/>
      </c>
      <c r="G467">
        <f>IF(G$2=0,"",IFERROR(TRIM(INDEX('Pegar docentes'!$A$1:$BZ$1001,466,G$2)&amp;""),""))</f>
        <v/>
      </c>
      <c r="H467">
        <f>IF(H$2=0,"",IFERROR(TRIM(INDEX('Pegar docentes'!$A$1:$BZ$1001,466,H$2)&amp;""),""))</f>
        <v/>
      </c>
      <c r="I467">
        <f>IF(I$2=0,"",IFERROR(TRIM(INDEX('Pegar docentes'!$A$1:$BZ$1001,466,I$2)&amp;""),""))</f>
        <v/>
      </c>
      <c r="J467">
        <f>IF(J$2=0,"",IFERROR(TRIM(INDEX('Pegar docentes'!$A$1:$BZ$1001,466,J$2)&amp;""),""))</f>
        <v/>
      </c>
      <c r="K467">
        <f>IF(K$2=0,"",IFERROR(TRIM(INDEX('Pegar docentes'!$A$1:$BZ$1001,466,K$2)&amp;""),""))</f>
        <v/>
      </c>
      <c r="L467">
        <f>IF(L$2=0,"",IFERROR(TRIM(INDEX('Pegar docentes'!$A$1:$BZ$1001,466,L$2)&amp;""),""))</f>
        <v/>
      </c>
      <c r="M467">
        <f>IF(M$2=0,"",IFERROR(TRIM(INDEX('Pegar docentes'!$A$1:$BZ$1001,466,M$2)&amp;""),""))</f>
        <v/>
      </c>
      <c r="N467">
        <f>IF(N$2=0,"",IFERROR(TRIM(INDEX('Pegar docentes'!$A$1:$BZ$1001,466,N$2)&amp;""),""))</f>
        <v/>
      </c>
      <c r="O467">
        <f>IF(O$2=0,"",IFERROR(TRIM(INDEX('Pegar docentes'!$A$1:$BZ$1001,466,O$2)&amp;""),""))</f>
        <v/>
      </c>
      <c r="P467">
        <f>IF(P$2=0,"",IFERROR(TRIM(INDEX('Pegar docentes'!$A$1:$BZ$1001,466,P$2)&amp;""),""))</f>
        <v/>
      </c>
      <c r="Q467" s="25">
        <f>IF(OR(D467&lt;&gt;"",H467&lt;&gt;""),1,"")</f>
        <v/>
      </c>
      <c r="R467" s="25">
        <f>IF(Q467=1,IF(ISNUMBER(FIND("#"&amp;MID(D467,1,1)&amp;"#","#0#1#2#3#4#5#6#7#8#9#")),IF(ISNUMBER(FIND("#"&amp;MID(D467,2,1)&amp;"#","#0#1#2#3#4#5#6#7#8#9#")),IF(AND(VALUE(LEFT(D467,2))&gt;=1,VALUE(LEFT(D467,2))&lt;=5),VALUE(LEFT(D467,2)),""),IF(AND(VALUE(LEFT(D467,1))&gt;=1,VALUE(LEFT(D467,1))&lt;=5),VALUE(LEFT(D467,1)),"")),""),"")</f>
        <v/>
      </c>
      <c r="S467" s="25">
        <f>IF(AND(Q467=1,E467&lt;&gt;""),SUBSTITUTE(SUBSTITUTE(SUBSTITUTE(SUBSTITUTE(SUBSTITUTE(SUBSTITUTE(SUBSTITUTE(SUBSTITUTE(SUBSTITUTE(SUBSTITUTE(SUBSTITUTE(SUBSTITUTE(LOWER(TRIM(E467)),"á","a"),"é","e"),"í","i"),"ó","o"),"ú","u"),"ü","u"),"ñ","n"),"à","a"),"è","e"),"ì","i"),"ò","o"),"ù","u"),"")</f>
        <v/>
      </c>
      <c r="T467" s="25">
        <f>IF(AND(Q467=1,G467&lt;&gt;""),SUBSTITUTE(SUBSTITUTE(SUBSTITUTE(SUBSTITUTE(SUBSTITUTE(SUBSTITUTE(SUBSTITUTE(SUBSTITUTE(SUBSTITUTE(SUBSTITUTE(SUBSTITUTE(SUBSTITUTE(LOWER(TRIM(G467)),"á","a"),"é","e"),"í","i"),"ó","o"),"ú","u"),"ü","u"),"ñ","n"),"à","a"),"è","e"),"ì","i"),"ò","o"),"ù","u"),"")</f>
        <v/>
      </c>
      <c r="U467" s="25">
        <f>IF(AND(Q467=1,H467&lt;&gt;""),SUBSTITUTE(SUBSTITUTE(SUBSTITUTE(SUBSTITUTE(SUBSTITUTE(SUBSTITUTE(SUBSTITUTE(SUBSTITUTE(SUBSTITUTE(SUBSTITUTE(SUBSTITUTE(SUBSTITUTE(LOWER(TRIM(H467)),"á","a"),"é","e"),"í","i"),"ó","o"),"ú","u"),"ü","u"),"ñ","n"),"à","a"),"è","e"),"ì","i"),"ò","o"),"ù","u"),"")</f>
        <v/>
      </c>
      <c r="V467" s="25">
        <f>IF(AND(Q467=1,L467&lt;&gt;""),SUBSTITUTE(SUBSTITUTE(SUBSTITUTE(SUBSTITUTE(SUBSTITUTE(SUBSTITUTE(SUBSTITUTE(SUBSTITUTE(SUBSTITUTE(SUBSTITUTE(SUBSTITUTE(SUBSTITUTE(LOWER(TRIM(L467)),"á","a"),"é","e"),"í","i"),"ó","o"),"ú","u"),"ü","u"),"ñ","n"),"à","a"),"è","e"),"ì","i"),"ò","o"),"ù","u"),"")</f>
        <v/>
      </c>
      <c r="W467" s="25">
        <f>IF(AND(Q467=1,I467&lt;&gt;""),SUBSTITUTE(SUBSTITUTE(SUBSTITUTE(SUBSTITUTE(SUBSTITUTE(SUBSTITUTE(SUBSTITUTE(SUBSTITUTE(SUBSTITUTE(SUBSTITUTE(SUBSTITUTE(SUBSTITUTE(LOWER(TRIM(I467)),"á","a"),"é","e"),"í","i"),"ó","o"),"ú","u"),"ü","u"),"ñ","n"),"à","a"),"è","e"),"ì","i"),"ò","o"),"ù","u"),"")</f>
        <v/>
      </c>
      <c r="X467" s="25">
        <f>IF(U467="","",IF(OR(U467="si, en la proxima tarea",U467="si, con cambios"),1,0))</f>
        <v/>
      </c>
      <c r="Y467" s="25">
        <f>IF(AND(Q467=1,A467&lt;&gt;""),IF(IFERROR(COUNTIFS(A$3:A467,"="&amp;SUBSTITUTE(SUBSTITUTE(SUBSTITUTE(A467,"~","~~"),"*","~*"),"?","~?"),Q$3:Q467,1),0)=1,MAX(Y$2:Y466)+1,""),"")</f>
        <v/>
      </c>
      <c r="Z467" s="25">
        <f>IF(Y467="","",COUNTIFS($A$3:$A$1002,"="&amp;SUBSTITUTE(SUBSTITUTE(SUBSTITUTE(A467,"~","~~"),"*","~*"),"?","~?"),$Q$3:$Q$1002,1)*10000-Y467)</f>
        <v/>
      </c>
    </row>
    <row r="468">
      <c r="A468">
        <f>IF(A$2=0,"",IFERROR(TRIM(INDEX('Pegar docentes'!$A$1:$BZ$1001,467,A$2)&amp;""),""))</f>
        <v/>
      </c>
      <c r="B468">
        <f>IF(B$2=0,"",IFERROR(TRIM(INDEX('Pegar docentes'!$A$1:$BZ$1001,467,B$2)&amp;""),""))</f>
        <v/>
      </c>
      <c r="C468">
        <f>IF(C$2=0,"",IFERROR(TRIM(INDEX('Pegar docentes'!$A$1:$BZ$1001,467,C$2)&amp;""),""))</f>
        <v/>
      </c>
      <c r="D468">
        <f>IF(D$2=0,"",IFERROR(TRIM(INDEX('Pegar docentes'!$A$1:$BZ$1001,467,D$2)&amp;""),""))</f>
        <v/>
      </c>
      <c r="E468">
        <f>IF(E$2=0,"",IFERROR(TRIM(INDEX('Pegar docentes'!$A$1:$BZ$1001,467,E$2)&amp;""),""))</f>
        <v/>
      </c>
      <c r="F468">
        <f>IF(F$2=0,"",IFERROR(TRIM(INDEX('Pegar docentes'!$A$1:$BZ$1001,467,F$2)&amp;""),""))</f>
        <v/>
      </c>
      <c r="G468">
        <f>IF(G$2=0,"",IFERROR(TRIM(INDEX('Pegar docentes'!$A$1:$BZ$1001,467,G$2)&amp;""),""))</f>
        <v/>
      </c>
      <c r="H468">
        <f>IF(H$2=0,"",IFERROR(TRIM(INDEX('Pegar docentes'!$A$1:$BZ$1001,467,H$2)&amp;""),""))</f>
        <v/>
      </c>
      <c r="I468">
        <f>IF(I$2=0,"",IFERROR(TRIM(INDEX('Pegar docentes'!$A$1:$BZ$1001,467,I$2)&amp;""),""))</f>
        <v/>
      </c>
      <c r="J468">
        <f>IF(J$2=0,"",IFERROR(TRIM(INDEX('Pegar docentes'!$A$1:$BZ$1001,467,J$2)&amp;""),""))</f>
        <v/>
      </c>
      <c r="K468">
        <f>IF(K$2=0,"",IFERROR(TRIM(INDEX('Pegar docentes'!$A$1:$BZ$1001,467,K$2)&amp;""),""))</f>
        <v/>
      </c>
      <c r="L468">
        <f>IF(L$2=0,"",IFERROR(TRIM(INDEX('Pegar docentes'!$A$1:$BZ$1001,467,L$2)&amp;""),""))</f>
        <v/>
      </c>
      <c r="M468">
        <f>IF(M$2=0,"",IFERROR(TRIM(INDEX('Pegar docentes'!$A$1:$BZ$1001,467,M$2)&amp;""),""))</f>
        <v/>
      </c>
      <c r="N468">
        <f>IF(N$2=0,"",IFERROR(TRIM(INDEX('Pegar docentes'!$A$1:$BZ$1001,467,N$2)&amp;""),""))</f>
        <v/>
      </c>
      <c r="O468">
        <f>IF(O$2=0,"",IFERROR(TRIM(INDEX('Pegar docentes'!$A$1:$BZ$1001,467,O$2)&amp;""),""))</f>
        <v/>
      </c>
      <c r="P468">
        <f>IF(P$2=0,"",IFERROR(TRIM(INDEX('Pegar docentes'!$A$1:$BZ$1001,467,P$2)&amp;""),""))</f>
        <v/>
      </c>
      <c r="Q468" s="25">
        <f>IF(OR(D468&lt;&gt;"",H468&lt;&gt;""),1,"")</f>
        <v/>
      </c>
      <c r="R468" s="25">
        <f>IF(Q468=1,IF(ISNUMBER(FIND("#"&amp;MID(D468,1,1)&amp;"#","#0#1#2#3#4#5#6#7#8#9#")),IF(ISNUMBER(FIND("#"&amp;MID(D468,2,1)&amp;"#","#0#1#2#3#4#5#6#7#8#9#")),IF(AND(VALUE(LEFT(D468,2))&gt;=1,VALUE(LEFT(D468,2))&lt;=5),VALUE(LEFT(D468,2)),""),IF(AND(VALUE(LEFT(D468,1))&gt;=1,VALUE(LEFT(D468,1))&lt;=5),VALUE(LEFT(D468,1)),"")),""),"")</f>
        <v/>
      </c>
      <c r="S468" s="25">
        <f>IF(AND(Q468=1,E468&lt;&gt;""),SUBSTITUTE(SUBSTITUTE(SUBSTITUTE(SUBSTITUTE(SUBSTITUTE(SUBSTITUTE(SUBSTITUTE(SUBSTITUTE(SUBSTITUTE(SUBSTITUTE(SUBSTITUTE(SUBSTITUTE(LOWER(TRIM(E468)),"á","a"),"é","e"),"í","i"),"ó","o"),"ú","u"),"ü","u"),"ñ","n"),"à","a"),"è","e"),"ì","i"),"ò","o"),"ù","u"),"")</f>
        <v/>
      </c>
      <c r="T468" s="25">
        <f>IF(AND(Q468=1,G468&lt;&gt;""),SUBSTITUTE(SUBSTITUTE(SUBSTITUTE(SUBSTITUTE(SUBSTITUTE(SUBSTITUTE(SUBSTITUTE(SUBSTITUTE(SUBSTITUTE(SUBSTITUTE(SUBSTITUTE(SUBSTITUTE(LOWER(TRIM(G468)),"á","a"),"é","e"),"í","i"),"ó","o"),"ú","u"),"ü","u"),"ñ","n"),"à","a"),"è","e"),"ì","i"),"ò","o"),"ù","u"),"")</f>
        <v/>
      </c>
      <c r="U468" s="25">
        <f>IF(AND(Q468=1,H468&lt;&gt;""),SUBSTITUTE(SUBSTITUTE(SUBSTITUTE(SUBSTITUTE(SUBSTITUTE(SUBSTITUTE(SUBSTITUTE(SUBSTITUTE(SUBSTITUTE(SUBSTITUTE(SUBSTITUTE(SUBSTITUTE(LOWER(TRIM(H468)),"á","a"),"é","e"),"í","i"),"ó","o"),"ú","u"),"ü","u"),"ñ","n"),"à","a"),"è","e"),"ì","i"),"ò","o"),"ù","u"),"")</f>
        <v/>
      </c>
      <c r="V468" s="25">
        <f>IF(AND(Q468=1,L468&lt;&gt;""),SUBSTITUTE(SUBSTITUTE(SUBSTITUTE(SUBSTITUTE(SUBSTITUTE(SUBSTITUTE(SUBSTITUTE(SUBSTITUTE(SUBSTITUTE(SUBSTITUTE(SUBSTITUTE(SUBSTITUTE(LOWER(TRIM(L468)),"á","a"),"é","e"),"í","i"),"ó","o"),"ú","u"),"ü","u"),"ñ","n"),"à","a"),"è","e"),"ì","i"),"ò","o"),"ù","u"),"")</f>
        <v/>
      </c>
      <c r="W468" s="25">
        <f>IF(AND(Q468=1,I468&lt;&gt;""),SUBSTITUTE(SUBSTITUTE(SUBSTITUTE(SUBSTITUTE(SUBSTITUTE(SUBSTITUTE(SUBSTITUTE(SUBSTITUTE(SUBSTITUTE(SUBSTITUTE(SUBSTITUTE(SUBSTITUTE(LOWER(TRIM(I468)),"á","a"),"é","e"),"í","i"),"ó","o"),"ú","u"),"ü","u"),"ñ","n"),"à","a"),"è","e"),"ì","i"),"ò","o"),"ù","u"),"")</f>
        <v/>
      </c>
      <c r="X468" s="25">
        <f>IF(U468="","",IF(OR(U468="si, en la proxima tarea",U468="si, con cambios"),1,0))</f>
        <v/>
      </c>
      <c r="Y468" s="25">
        <f>IF(AND(Q468=1,A468&lt;&gt;""),IF(IFERROR(COUNTIFS(A$3:A468,"="&amp;SUBSTITUTE(SUBSTITUTE(SUBSTITUTE(A468,"~","~~"),"*","~*"),"?","~?"),Q$3:Q468,1),0)=1,MAX(Y$2:Y467)+1,""),"")</f>
        <v/>
      </c>
      <c r="Z468" s="25">
        <f>IF(Y468="","",COUNTIFS($A$3:$A$1002,"="&amp;SUBSTITUTE(SUBSTITUTE(SUBSTITUTE(A468,"~","~~"),"*","~*"),"?","~?"),$Q$3:$Q$1002,1)*10000-Y468)</f>
        <v/>
      </c>
    </row>
    <row r="469">
      <c r="A469">
        <f>IF(A$2=0,"",IFERROR(TRIM(INDEX('Pegar docentes'!$A$1:$BZ$1001,468,A$2)&amp;""),""))</f>
        <v/>
      </c>
      <c r="B469">
        <f>IF(B$2=0,"",IFERROR(TRIM(INDEX('Pegar docentes'!$A$1:$BZ$1001,468,B$2)&amp;""),""))</f>
        <v/>
      </c>
      <c r="C469">
        <f>IF(C$2=0,"",IFERROR(TRIM(INDEX('Pegar docentes'!$A$1:$BZ$1001,468,C$2)&amp;""),""))</f>
        <v/>
      </c>
      <c r="D469">
        <f>IF(D$2=0,"",IFERROR(TRIM(INDEX('Pegar docentes'!$A$1:$BZ$1001,468,D$2)&amp;""),""))</f>
        <v/>
      </c>
      <c r="E469">
        <f>IF(E$2=0,"",IFERROR(TRIM(INDEX('Pegar docentes'!$A$1:$BZ$1001,468,E$2)&amp;""),""))</f>
        <v/>
      </c>
      <c r="F469">
        <f>IF(F$2=0,"",IFERROR(TRIM(INDEX('Pegar docentes'!$A$1:$BZ$1001,468,F$2)&amp;""),""))</f>
        <v/>
      </c>
      <c r="G469">
        <f>IF(G$2=0,"",IFERROR(TRIM(INDEX('Pegar docentes'!$A$1:$BZ$1001,468,G$2)&amp;""),""))</f>
        <v/>
      </c>
      <c r="H469">
        <f>IF(H$2=0,"",IFERROR(TRIM(INDEX('Pegar docentes'!$A$1:$BZ$1001,468,H$2)&amp;""),""))</f>
        <v/>
      </c>
      <c r="I469">
        <f>IF(I$2=0,"",IFERROR(TRIM(INDEX('Pegar docentes'!$A$1:$BZ$1001,468,I$2)&amp;""),""))</f>
        <v/>
      </c>
      <c r="J469">
        <f>IF(J$2=0,"",IFERROR(TRIM(INDEX('Pegar docentes'!$A$1:$BZ$1001,468,J$2)&amp;""),""))</f>
        <v/>
      </c>
      <c r="K469">
        <f>IF(K$2=0,"",IFERROR(TRIM(INDEX('Pegar docentes'!$A$1:$BZ$1001,468,K$2)&amp;""),""))</f>
        <v/>
      </c>
      <c r="L469">
        <f>IF(L$2=0,"",IFERROR(TRIM(INDEX('Pegar docentes'!$A$1:$BZ$1001,468,L$2)&amp;""),""))</f>
        <v/>
      </c>
      <c r="M469">
        <f>IF(M$2=0,"",IFERROR(TRIM(INDEX('Pegar docentes'!$A$1:$BZ$1001,468,M$2)&amp;""),""))</f>
        <v/>
      </c>
      <c r="N469">
        <f>IF(N$2=0,"",IFERROR(TRIM(INDEX('Pegar docentes'!$A$1:$BZ$1001,468,N$2)&amp;""),""))</f>
        <v/>
      </c>
      <c r="O469">
        <f>IF(O$2=0,"",IFERROR(TRIM(INDEX('Pegar docentes'!$A$1:$BZ$1001,468,O$2)&amp;""),""))</f>
        <v/>
      </c>
      <c r="P469">
        <f>IF(P$2=0,"",IFERROR(TRIM(INDEX('Pegar docentes'!$A$1:$BZ$1001,468,P$2)&amp;""),""))</f>
        <v/>
      </c>
      <c r="Q469" s="25">
        <f>IF(OR(D469&lt;&gt;"",H469&lt;&gt;""),1,"")</f>
        <v/>
      </c>
      <c r="R469" s="25">
        <f>IF(Q469=1,IF(ISNUMBER(FIND("#"&amp;MID(D469,1,1)&amp;"#","#0#1#2#3#4#5#6#7#8#9#")),IF(ISNUMBER(FIND("#"&amp;MID(D469,2,1)&amp;"#","#0#1#2#3#4#5#6#7#8#9#")),IF(AND(VALUE(LEFT(D469,2))&gt;=1,VALUE(LEFT(D469,2))&lt;=5),VALUE(LEFT(D469,2)),""),IF(AND(VALUE(LEFT(D469,1))&gt;=1,VALUE(LEFT(D469,1))&lt;=5),VALUE(LEFT(D469,1)),"")),""),"")</f>
        <v/>
      </c>
      <c r="S469" s="25">
        <f>IF(AND(Q469=1,E469&lt;&gt;""),SUBSTITUTE(SUBSTITUTE(SUBSTITUTE(SUBSTITUTE(SUBSTITUTE(SUBSTITUTE(SUBSTITUTE(SUBSTITUTE(SUBSTITUTE(SUBSTITUTE(SUBSTITUTE(SUBSTITUTE(LOWER(TRIM(E469)),"á","a"),"é","e"),"í","i"),"ó","o"),"ú","u"),"ü","u"),"ñ","n"),"à","a"),"è","e"),"ì","i"),"ò","o"),"ù","u"),"")</f>
        <v/>
      </c>
      <c r="T469" s="25">
        <f>IF(AND(Q469=1,G469&lt;&gt;""),SUBSTITUTE(SUBSTITUTE(SUBSTITUTE(SUBSTITUTE(SUBSTITUTE(SUBSTITUTE(SUBSTITUTE(SUBSTITUTE(SUBSTITUTE(SUBSTITUTE(SUBSTITUTE(SUBSTITUTE(LOWER(TRIM(G469)),"á","a"),"é","e"),"í","i"),"ó","o"),"ú","u"),"ü","u"),"ñ","n"),"à","a"),"è","e"),"ì","i"),"ò","o"),"ù","u"),"")</f>
        <v/>
      </c>
      <c r="U469" s="25">
        <f>IF(AND(Q469=1,H469&lt;&gt;""),SUBSTITUTE(SUBSTITUTE(SUBSTITUTE(SUBSTITUTE(SUBSTITUTE(SUBSTITUTE(SUBSTITUTE(SUBSTITUTE(SUBSTITUTE(SUBSTITUTE(SUBSTITUTE(SUBSTITUTE(LOWER(TRIM(H469)),"á","a"),"é","e"),"í","i"),"ó","o"),"ú","u"),"ü","u"),"ñ","n"),"à","a"),"è","e"),"ì","i"),"ò","o"),"ù","u"),"")</f>
        <v/>
      </c>
      <c r="V469" s="25">
        <f>IF(AND(Q469=1,L469&lt;&gt;""),SUBSTITUTE(SUBSTITUTE(SUBSTITUTE(SUBSTITUTE(SUBSTITUTE(SUBSTITUTE(SUBSTITUTE(SUBSTITUTE(SUBSTITUTE(SUBSTITUTE(SUBSTITUTE(SUBSTITUTE(LOWER(TRIM(L469)),"á","a"),"é","e"),"í","i"),"ó","o"),"ú","u"),"ü","u"),"ñ","n"),"à","a"),"è","e"),"ì","i"),"ò","o"),"ù","u"),"")</f>
        <v/>
      </c>
      <c r="W469" s="25">
        <f>IF(AND(Q469=1,I469&lt;&gt;""),SUBSTITUTE(SUBSTITUTE(SUBSTITUTE(SUBSTITUTE(SUBSTITUTE(SUBSTITUTE(SUBSTITUTE(SUBSTITUTE(SUBSTITUTE(SUBSTITUTE(SUBSTITUTE(SUBSTITUTE(LOWER(TRIM(I469)),"á","a"),"é","e"),"í","i"),"ó","o"),"ú","u"),"ü","u"),"ñ","n"),"à","a"),"è","e"),"ì","i"),"ò","o"),"ù","u"),"")</f>
        <v/>
      </c>
      <c r="X469" s="25">
        <f>IF(U469="","",IF(OR(U469="si, en la proxima tarea",U469="si, con cambios"),1,0))</f>
        <v/>
      </c>
      <c r="Y469" s="25">
        <f>IF(AND(Q469=1,A469&lt;&gt;""),IF(IFERROR(COUNTIFS(A$3:A469,"="&amp;SUBSTITUTE(SUBSTITUTE(SUBSTITUTE(A469,"~","~~"),"*","~*"),"?","~?"),Q$3:Q469,1),0)=1,MAX(Y$2:Y468)+1,""),"")</f>
        <v/>
      </c>
      <c r="Z469" s="25">
        <f>IF(Y469="","",COUNTIFS($A$3:$A$1002,"="&amp;SUBSTITUTE(SUBSTITUTE(SUBSTITUTE(A469,"~","~~"),"*","~*"),"?","~?"),$Q$3:$Q$1002,1)*10000-Y469)</f>
        <v/>
      </c>
    </row>
    <row r="470">
      <c r="A470">
        <f>IF(A$2=0,"",IFERROR(TRIM(INDEX('Pegar docentes'!$A$1:$BZ$1001,469,A$2)&amp;""),""))</f>
        <v/>
      </c>
      <c r="B470">
        <f>IF(B$2=0,"",IFERROR(TRIM(INDEX('Pegar docentes'!$A$1:$BZ$1001,469,B$2)&amp;""),""))</f>
        <v/>
      </c>
      <c r="C470">
        <f>IF(C$2=0,"",IFERROR(TRIM(INDEX('Pegar docentes'!$A$1:$BZ$1001,469,C$2)&amp;""),""))</f>
        <v/>
      </c>
      <c r="D470">
        <f>IF(D$2=0,"",IFERROR(TRIM(INDEX('Pegar docentes'!$A$1:$BZ$1001,469,D$2)&amp;""),""))</f>
        <v/>
      </c>
      <c r="E470">
        <f>IF(E$2=0,"",IFERROR(TRIM(INDEX('Pegar docentes'!$A$1:$BZ$1001,469,E$2)&amp;""),""))</f>
        <v/>
      </c>
      <c r="F470">
        <f>IF(F$2=0,"",IFERROR(TRIM(INDEX('Pegar docentes'!$A$1:$BZ$1001,469,F$2)&amp;""),""))</f>
        <v/>
      </c>
      <c r="G470">
        <f>IF(G$2=0,"",IFERROR(TRIM(INDEX('Pegar docentes'!$A$1:$BZ$1001,469,G$2)&amp;""),""))</f>
        <v/>
      </c>
      <c r="H470">
        <f>IF(H$2=0,"",IFERROR(TRIM(INDEX('Pegar docentes'!$A$1:$BZ$1001,469,H$2)&amp;""),""))</f>
        <v/>
      </c>
      <c r="I470">
        <f>IF(I$2=0,"",IFERROR(TRIM(INDEX('Pegar docentes'!$A$1:$BZ$1001,469,I$2)&amp;""),""))</f>
        <v/>
      </c>
      <c r="J470">
        <f>IF(J$2=0,"",IFERROR(TRIM(INDEX('Pegar docentes'!$A$1:$BZ$1001,469,J$2)&amp;""),""))</f>
        <v/>
      </c>
      <c r="K470">
        <f>IF(K$2=0,"",IFERROR(TRIM(INDEX('Pegar docentes'!$A$1:$BZ$1001,469,K$2)&amp;""),""))</f>
        <v/>
      </c>
      <c r="L470">
        <f>IF(L$2=0,"",IFERROR(TRIM(INDEX('Pegar docentes'!$A$1:$BZ$1001,469,L$2)&amp;""),""))</f>
        <v/>
      </c>
      <c r="M470">
        <f>IF(M$2=0,"",IFERROR(TRIM(INDEX('Pegar docentes'!$A$1:$BZ$1001,469,M$2)&amp;""),""))</f>
        <v/>
      </c>
      <c r="N470">
        <f>IF(N$2=0,"",IFERROR(TRIM(INDEX('Pegar docentes'!$A$1:$BZ$1001,469,N$2)&amp;""),""))</f>
        <v/>
      </c>
      <c r="O470">
        <f>IF(O$2=0,"",IFERROR(TRIM(INDEX('Pegar docentes'!$A$1:$BZ$1001,469,O$2)&amp;""),""))</f>
        <v/>
      </c>
      <c r="P470">
        <f>IF(P$2=0,"",IFERROR(TRIM(INDEX('Pegar docentes'!$A$1:$BZ$1001,469,P$2)&amp;""),""))</f>
        <v/>
      </c>
      <c r="Q470" s="25">
        <f>IF(OR(D470&lt;&gt;"",H470&lt;&gt;""),1,"")</f>
        <v/>
      </c>
      <c r="R470" s="25">
        <f>IF(Q470=1,IF(ISNUMBER(FIND("#"&amp;MID(D470,1,1)&amp;"#","#0#1#2#3#4#5#6#7#8#9#")),IF(ISNUMBER(FIND("#"&amp;MID(D470,2,1)&amp;"#","#0#1#2#3#4#5#6#7#8#9#")),IF(AND(VALUE(LEFT(D470,2))&gt;=1,VALUE(LEFT(D470,2))&lt;=5),VALUE(LEFT(D470,2)),""),IF(AND(VALUE(LEFT(D470,1))&gt;=1,VALUE(LEFT(D470,1))&lt;=5),VALUE(LEFT(D470,1)),"")),""),"")</f>
        <v/>
      </c>
      <c r="S470" s="25">
        <f>IF(AND(Q470=1,E470&lt;&gt;""),SUBSTITUTE(SUBSTITUTE(SUBSTITUTE(SUBSTITUTE(SUBSTITUTE(SUBSTITUTE(SUBSTITUTE(SUBSTITUTE(SUBSTITUTE(SUBSTITUTE(SUBSTITUTE(SUBSTITUTE(LOWER(TRIM(E470)),"á","a"),"é","e"),"í","i"),"ó","o"),"ú","u"),"ü","u"),"ñ","n"),"à","a"),"è","e"),"ì","i"),"ò","o"),"ù","u"),"")</f>
        <v/>
      </c>
      <c r="T470" s="25">
        <f>IF(AND(Q470=1,G470&lt;&gt;""),SUBSTITUTE(SUBSTITUTE(SUBSTITUTE(SUBSTITUTE(SUBSTITUTE(SUBSTITUTE(SUBSTITUTE(SUBSTITUTE(SUBSTITUTE(SUBSTITUTE(SUBSTITUTE(SUBSTITUTE(LOWER(TRIM(G470)),"á","a"),"é","e"),"í","i"),"ó","o"),"ú","u"),"ü","u"),"ñ","n"),"à","a"),"è","e"),"ì","i"),"ò","o"),"ù","u"),"")</f>
        <v/>
      </c>
      <c r="U470" s="25">
        <f>IF(AND(Q470=1,H470&lt;&gt;""),SUBSTITUTE(SUBSTITUTE(SUBSTITUTE(SUBSTITUTE(SUBSTITUTE(SUBSTITUTE(SUBSTITUTE(SUBSTITUTE(SUBSTITUTE(SUBSTITUTE(SUBSTITUTE(SUBSTITUTE(LOWER(TRIM(H470)),"á","a"),"é","e"),"í","i"),"ó","o"),"ú","u"),"ü","u"),"ñ","n"),"à","a"),"è","e"),"ì","i"),"ò","o"),"ù","u"),"")</f>
        <v/>
      </c>
      <c r="V470" s="25">
        <f>IF(AND(Q470=1,L470&lt;&gt;""),SUBSTITUTE(SUBSTITUTE(SUBSTITUTE(SUBSTITUTE(SUBSTITUTE(SUBSTITUTE(SUBSTITUTE(SUBSTITUTE(SUBSTITUTE(SUBSTITUTE(SUBSTITUTE(SUBSTITUTE(LOWER(TRIM(L470)),"á","a"),"é","e"),"í","i"),"ó","o"),"ú","u"),"ü","u"),"ñ","n"),"à","a"),"è","e"),"ì","i"),"ò","o"),"ù","u"),"")</f>
        <v/>
      </c>
      <c r="W470" s="25">
        <f>IF(AND(Q470=1,I470&lt;&gt;""),SUBSTITUTE(SUBSTITUTE(SUBSTITUTE(SUBSTITUTE(SUBSTITUTE(SUBSTITUTE(SUBSTITUTE(SUBSTITUTE(SUBSTITUTE(SUBSTITUTE(SUBSTITUTE(SUBSTITUTE(LOWER(TRIM(I470)),"á","a"),"é","e"),"í","i"),"ó","o"),"ú","u"),"ü","u"),"ñ","n"),"à","a"),"è","e"),"ì","i"),"ò","o"),"ù","u"),"")</f>
        <v/>
      </c>
      <c r="X470" s="25">
        <f>IF(U470="","",IF(OR(U470="si, en la proxima tarea",U470="si, con cambios"),1,0))</f>
        <v/>
      </c>
      <c r="Y470" s="25">
        <f>IF(AND(Q470=1,A470&lt;&gt;""),IF(IFERROR(COUNTIFS(A$3:A470,"="&amp;SUBSTITUTE(SUBSTITUTE(SUBSTITUTE(A470,"~","~~"),"*","~*"),"?","~?"),Q$3:Q470,1),0)=1,MAX(Y$2:Y469)+1,""),"")</f>
        <v/>
      </c>
      <c r="Z470" s="25">
        <f>IF(Y470="","",COUNTIFS($A$3:$A$1002,"="&amp;SUBSTITUTE(SUBSTITUTE(SUBSTITUTE(A470,"~","~~"),"*","~*"),"?","~?"),$Q$3:$Q$1002,1)*10000-Y470)</f>
        <v/>
      </c>
    </row>
    <row r="471">
      <c r="A471">
        <f>IF(A$2=0,"",IFERROR(TRIM(INDEX('Pegar docentes'!$A$1:$BZ$1001,470,A$2)&amp;""),""))</f>
        <v/>
      </c>
      <c r="B471">
        <f>IF(B$2=0,"",IFERROR(TRIM(INDEX('Pegar docentes'!$A$1:$BZ$1001,470,B$2)&amp;""),""))</f>
        <v/>
      </c>
      <c r="C471">
        <f>IF(C$2=0,"",IFERROR(TRIM(INDEX('Pegar docentes'!$A$1:$BZ$1001,470,C$2)&amp;""),""))</f>
        <v/>
      </c>
      <c r="D471">
        <f>IF(D$2=0,"",IFERROR(TRIM(INDEX('Pegar docentes'!$A$1:$BZ$1001,470,D$2)&amp;""),""))</f>
        <v/>
      </c>
      <c r="E471">
        <f>IF(E$2=0,"",IFERROR(TRIM(INDEX('Pegar docentes'!$A$1:$BZ$1001,470,E$2)&amp;""),""))</f>
        <v/>
      </c>
      <c r="F471">
        <f>IF(F$2=0,"",IFERROR(TRIM(INDEX('Pegar docentes'!$A$1:$BZ$1001,470,F$2)&amp;""),""))</f>
        <v/>
      </c>
      <c r="G471">
        <f>IF(G$2=0,"",IFERROR(TRIM(INDEX('Pegar docentes'!$A$1:$BZ$1001,470,G$2)&amp;""),""))</f>
        <v/>
      </c>
      <c r="H471">
        <f>IF(H$2=0,"",IFERROR(TRIM(INDEX('Pegar docentes'!$A$1:$BZ$1001,470,H$2)&amp;""),""))</f>
        <v/>
      </c>
      <c r="I471">
        <f>IF(I$2=0,"",IFERROR(TRIM(INDEX('Pegar docentes'!$A$1:$BZ$1001,470,I$2)&amp;""),""))</f>
        <v/>
      </c>
      <c r="J471">
        <f>IF(J$2=0,"",IFERROR(TRIM(INDEX('Pegar docentes'!$A$1:$BZ$1001,470,J$2)&amp;""),""))</f>
        <v/>
      </c>
      <c r="K471">
        <f>IF(K$2=0,"",IFERROR(TRIM(INDEX('Pegar docentes'!$A$1:$BZ$1001,470,K$2)&amp;""),""))</f>
        <v/>
      </c>
      <c r="L471">
        <f>IF(L$2=0,"",IFERROR(TRIM(INDEX('Pegar docentes'!$A$1:$BZ$1001,470,L$2)&amp;""),""))</f>
        <v/>
      </c>
      <c r="M471">
        <f>IF(M$2=0,"",IFERROR(TRIM(INDEX('Pegar docentes'!$A$1:$BZ$1001,470,M$2)&amp;""),""))</f>
        <v/>
      </c>
      <c r="N471">
        <f>IF(N$2=0,"",IFERROR(TRIM(INDEX('Pegar docentes'!$A$1:$BZ$1001,470,N$2)&amp;""),""))</f>
        <v/>
      </c>
      <c r="O471">
        <f>IF(O$2=0,"",IFERROR(TRIM(INDEX('Pegar docentes'!$A$1:$BZ$1001,470,O$2)&amp;""),""))</f>
        <v/>
      </c>
      <c r="P471">
        <f>IF(P$2=0,"",IFERROR(TRIM(INDEX('Pegar docentes'!$A$1:$BZ$1001,470,P$2)&amp;""),""))</f>
        <v/>
      </c>
      <c r="Q471" s="25">
        <f>IF(OR(D471&lt;&gt;"",H471&lt;&gt;""),1,"")</f>
        <v/>
      </c>
      <c r="R471" s="25">
        <f>IF(Q471=1,IF(ISNUMBER(FIND("#"&amp;MID(D471,1,1)&amp;"#","#0#1#2#3#4#5#6#7#8#9#")),IF(ISNUMBER(FIND("#"&amp;MID(D471,2,1)&amp;"#","#0#1#2#3#4#5#6#7#8#9#")),IF(AND(VALUE(LEFT(D471,2))&gt;=1,VALUE(LEFT(D471,2))&lt;=5),VALUE(LEFT(D471,2)),""),IF(AND(VALUE(LEFT(D471,1))&gt;=1,VALUE(LEFT(D471,1))&lt;=5),VALUE(LEFT(D471,1)),"")),""),"")</f>
        <v/>
      </c>
      <c r="S471" s="25">
        <f>IF(AND(Q471=1,E471&lt;&gt;""),SUBSTITUTE(SUBSTITUTE(SUBSTITUTE(SUBSTITUTE(SUBSTITUTE(SUBSTITUTE(SUBSTITUTE(SUBSTITUTE(SUBSTITUTE(SUBSTITUTE(SUBSTITUTE(SUBSTITUTE(LOWER(TRIM(E471)),"á","a"),"é","e"),"í","i"),"ó","o"),"ú","u"),"ü","u"),"ñ","n"),"à","a"),"è","e"),"ì","i"),"ò","o"),"ù","u"),"")</f>
        <v/>
      </c>
      <c r="T471" s="25">
        <f>IF(AND(Q471=1,G471&lt;&gt;""),SUBSTITUTE(SUBSTITUTE(SUBSTITUTE(SUBSTITUTE(SUBSTITUTE(SUBSTITUTE(SUBSTITUTE(SUBSTITUTE(SUBSTITUTE(SUBSTITUTE(SUBSTITUTE(SUBSTITUTE(LOWER(TRIM(G471)),"á","a"),"é","e"),"í","i"),"ó","o"),"ú","u"),"ü","u"),"ñ","n"),"à","a"),"è","e"),"ì","i"),"ò","o"),"ù","u"),"")</f>
        <v/>
      </c>
      <c r="U471" s="25">
        <f>IF(AND(Q471=1,H471&lt;&gt;""),SUBSTITUTE(SUBSTITUTE(SUBSTITUTE(SUBSTITUTE(SUBSTITUTE(SUBSTITUTE(SUBSTITUTE(SUBSTITUTE(SUBSTITUTE(SUBSTITUTE(SUBSTITUTE(SUBSTITUTE(LOWER(TRIM(H471)),"á","a"),"é","e"),"í","i"),"ó","o"),"ú","u"),"ü","u"),"ñ","n"),"à","a"),"è","e"),"ì","i"),"ò","o"),"ù","u"),"")</f>
        <v/>
      </c>
      <c r="V471" s="25">
        <f>IF(AND(Q471=1,L471&lt;&gt;""),SUBSTITUTE(SUBSTITUTE(SUBSTITUTE(SUBSTITUTE(SUBSTITUTE(SUBSTITUTE(SUBSTITUTE(SUBSTITUTE(SUBSTITUTE(SUBSTITUTE(SUBSTITUTE(SUBSTITUTE(LOWER(TRIM(L471)),"á","a"),"é","e"),"í","i"),"ó","o"),"ú","u"),"ü","u"),"ñ","n"),"à","a"),"è","e"),"ì","i"),"ò","o"),"ù","u"),"")</f>
        <v/>
      </c>
      <c r="W471" s="25">
        <f>IF(AND(Q471=1,I471&lt;&gt;""),SUBSTITUTE(SUBSTITUTE(SUBSTITUTE(SUBSTITUTE(SUBSTITUTE(SUBSTITUTE(SUBSTITUTE(SUBSTITUTE(SUBSTITUTE(SUBSTITUTE(SUBSTITUTE(SUBSTITUTE(LOWER(TRIM(I471)),"á","a"),"é","e"),"í","i"),"ó","o"),"ú","u"),"ü","u"),"ñ","n"),"à","a"),"è","e"),"ì","i"),"ò","o"),"ù","u"),"")</f>
        <v/>
      </c>
      <c r="X471" s="25">
        <f>IF(U471="","",IF(OR(U471="si, en la proxima tarea",U471="si, con cambios"),1,0))</f>
        <v/>
      </c>
      <c r="Y471" s="25">
        <f>IF(AND(Q471=1,A471&lt;&gt;""),IF(IFERROR(COUNTIFS(A$3:A471,"="&amp;SUBSTITUTE(SUBSTITUTE(SUBSTITUTE(A471,"~","~~"),"*","~*"),"?","~?"),Q$3:Q471,1),0)=1,MAX(Y$2:Y470)+1,""),"")</f>
        <v/>
      </c>
      <c r="Z471" s="25">
        <f>IF(Y471="","",COUNTIFS($A$3:$A$1002,"="&amp;SUBSTITUTE(SUBSTITUTE(SUBSTITUTE(A471,"~","~~"),"*","~*"),"?","~?"),$Q$3:$Q$1002,1)*10000-Y471)</f>
        <v/>
      </c>
    </row>
    <row r="472">
      <c r="A472">
        <f>IF(A$2=0,"",IFERROR(TRIM(INDEX('Pegar docentes'!$A$1:$BZ$1001,471,A$2)&amp;""),""))</f>
        <v/>
      </c>
      <c r="B472">
        <f>IF(B$2=0,"",IFERROR(TRIM(INDEX('Pegar docentes'!$A$1:$BZ$1001,471,B$2)&amp;""),""))</f>
        <v/>
      </c>
      <c r="C472">
        <f>IF(C$2=0,"",IFERROR(TRIM(INDEX('Pegar docentes'!$A$1:$BZ$1001,471,C$2)&amp;""),""))</f>
        <v/>
      </c>
      <c r="D472">
        <f>IF(D$2=0,"",IFERROR(TRIM(INDEX('Pegar docentes'!$A$1:$BZ$1001,471,D$2)&amp;""),""))</f>
        <v/>
      </c>
      <c r="E472">
        <f>IF(E$2=0,"",IFERROR(TRIM(INDEX('Pegar docentes'!$A$1:$BZ$1001,471,E$2)&amp;""),""))</f>
        <v/>
      </c>
      <c r="F472">
        <f>IF(F$2=0,"",IFERROR(TRIM(INDEX('Pegar docentes'!$A$1:$BZ$1001,471,F$2)&amp;""),""))</f>
        <v/>
      </c>
      <c r="G472">
        <f>IF(G$2=0,"",IFERROR(TRIM(INDEX('Pegar docentes'!$A$1:$BZ$1001,471,G$2)&amp;""),""))</f>
        <v/>
      </c>
      <c r="H472">
        <f>IF(H$2=0,"",IFERROR(TRIM(INDEX('Pegar docentes'!$A$1:$BZ$1001,471,H$2)&amp;""),""))</f>
        <v/>
      </c>
      <c r="I472">
        <f>IF(I$2=0,"",IFERROR(TRIM(INDEX('Pegar docentes'!$A$1:$BZ$1001,471,I$2)&amp;""),""))</f>
        <v/>
      </c>
      <c r="J472">
        <f>IF(J$2=0,"",IFERROR(TRIM(INDEX('Pegar docentes'!$A$1:$BZ$1001,471,J$2)&amp;""),""))</f>
        <v/>
      </c>
      <c r="K472">
        <f>IF(K$2=0,"",IFERROR(TRIM(INDEX('Pegar docentes'!$A$1:$BZ$1001,471,K$2)&amp;""),""))</f>
        <v/>
      </c>
      <c r="L472">
        <f>IF(L$2=0,"",IFERROR(TRIM(INDEX('Pegar docentes'!$A$1:$BZ$1001,471,L$2)&amp;""),""))</f>
        <v/>
      </c>
      <c r="M472">
        <f>IF(M$2=0,"",IFERROR(TRIM(INDEX('Pegar docentes'!$A$1:$BZ$1001,471,M$2)&amp;""),""))</f>
        <v/>
      </c>
      <c r="N472">
        <f>IF(N$2=0,"",IFERROR(TRIM(INDEX('Pegar docentes'!$A$1:$BZ$1001,471,N$2)&amp;""),""))</f>
        <v/>
      </c>
      <c r="O472">
        <f>IF(O$2=0,"",IFERROR(TRIM(INDEX('Pegar docentes'!$A$1:$BZ$1001,471,O$2)&amp;""),""))</f>
        <v/>
      </c>
      <c r="P472">
        <f>IF(P$2=0,"",IFERROR(TRIM(INDEX('Pegar docentes'!$A$1:$BZ$1001,471,P$2)&amp;""),""))</f>
        <v/>
      </c>
      <c r="Q472" s="25">
        <f>IF(OR(D472&lt;&gt;"",H472&lt;&gt;""),1,"")</f>
        <v/>
      </c>
      <c r="R472" s="25">
        <f>IF(Q472=1,IF(ISNUMBER(FIND("#"&amp;MID(D472,1,1)&amp;"#","#0#1#2#3#4#5#6#7#8#9#")),IF(ISNUMBER(FIND("#"&amp;MID(D472,2,1)&amp;"#","#0#1#2#3#4#5#6#7#8#9#")),IF(AND(VALUE(LEFT(D472,2))&gt;=1,VALUE(LEFT(D472,2))&lt;=5),VALUE(LEFT(D472,2)),""),IF(AND(VALUE(LEFT(D472,1))&gt;=1,VALUE(LEFT(D472,1))&lt;=5),VALUE(LEFT(D472,1)),"")),""),"")</f>
        <v/>
      </c>
      <c r="S472" s="25">
        <f>IF(AND(Q472=1,E472&lt;&gt;""),SUBSTITUTE(SUBSTITUTE(SUBSTITUTE(SUBSTITUTE(SUBSTITUTE(SUBSTITUTE(SUBSTITUTE(SUBSTITUTE(SUBSTITUTE(SUBSTITUTE(SUBSTITUTE(SUBSTITUTE(LOWER(TRIM(E472)),"á","a"),"é","e"),"í","i"),"ó","o"),"ú","u"),"ü","u"),"ñ","n"),"à","a"),"è","e"),"ì","i"),"ò","o"),"ù","u"),"")</f>
        <v/>
      </c>
      <c r="T472" s="25">
        <f>IF(AND(Q472=1,G472&lt;&gt;""),SUBSTITUTE(SUBSTITUTE(SUBSTITUTE(SUBSTITUTE(SUBSTITUTE(SUBSTITUTE(SUBSTITUTE(SUBSTITUTE(SUBSTITUTE(SUBSTITUTE(SUBSTITUTE(SUBSTITUTE(LOWER(TRIM(G472)),"á","a"),"é","e"),"í","i"),"ó","o"),"ú","u"),"ü","u"),"ñ","n"),"à","a"),"è","e"),"ì","i"),"ò","o"),"ù","u"),"")</f>
        <v/>
      </c>
      <c r="U472" s="25">
        <f>IF(AND(Q472=1,H472&lt;&gt;""),SUBSTITUTE(SUBSTITUTE(SUBSTITUTE(SUBSTITUTE(SUBSTITUTE(SUBSTITUTE(SUBSTITUTE(SUBSTITUTE(SUBSTITUTE(SUBSTITUTE(SUBSTITUTE(SUBSTITUTE(LOWER(TRIM(H472)),"á","a"),"é","e"),"í","i"),"ó","o"),"ú","u"),"ü","u"),"ñ","n"),"à","a"),"è","e"),"ì","i"),"ò","o"),"ù","u"),"")</f>
        <v/>
      </c>
      <c r="V472" s="25">
        <f>IF(AND(Q472=1,L472&lt;&gt;""),SUBSTITUTE(SUBSTITUTE(SUBSTITUTE(SUBSTITUTE(SUBSTITUTE(SUBSTITUTE(SUBSTITUTE(SUBSTITUTE(SUBSTITUTE(SUBSTITUTE(SUBSTITUTE(SUBSTITUTE(LOWER(TRIM(L472)),"á","a"),"é","e"),"í","i"),"ó","o"),"ú","u"),"ü","u"),"ñ","n"),"à","a"),"è","e"),"ì","i"),"ò","o"),"ù","u"),"")</f>
        <v/>
      </c>
      <c r="W472" s="25">
        <f>IF(AND(Q472=1,I472&lt;&gt;""),SUBSTITUTE(SUBSTITUTE(SUBSTITUTE(SUBSTITUTE(SUBSTITUTE(SUBSTITUTE(SUBSTITUTE(SUBSTITUTE(SUBSTITUTE(SUBSTITUTE(SUBSTITUTE(SUBSTITUTE(LOWER(TRIM(I472)),"á","a"),"é","e"),"í","i"),"ó","o"),"ú","u"),"ü","u"),"ñ","n"),"à","a"),"è","e"),"ì","i"),"ò","o"),"ù","u"),"")</f>
        <v/>
      </c>
      <c r="X472" s="25">
        <f>IF(U472="","",IF(OR(U472="si, en la proxima tarea",U472="si, con cambios"),1,0))</f>
        <v/>
      </c>
      <c r="Y472" s="25">
        <f>IF(AND(Q472=1,A472&lt;&gt;""),IF(IFERROR(COUNTIFS(A$3:A472,"="&amp;SUBSTITUTE(SUBSTITUTE(SUBSTITUTE(A472,"~","~~"),"*","~*"),"?","~?"),Q$3:Q472,1),0)=1,MAX(Y$2:Y471)+1,""),"")</f>
        <v/>
      </c>
      <c r="Z472" s="25">
        <f>IF(Y472="","",COUNTIFS($A$3:$A$1002,"="&amp;SUBSTITUTE(SUBSTITUTE(SUBSTITUTE(A472,"~","~~"),"*","~*"),"?","~?"),$Q$3:$Q$1002,1)*10000-Y472)</f>
        <v/>
      </c>
    </row>
    <row r="473">
      <c r="A473">
        <f>IF(A$2=0,"",IFERROR(TRIM(INDEX('Pegar docentes'!$A$1:$BZ$1001,472,A$2)&amp;""),""))</f>
        <v/>
      </c>
      <c r="B473">
        <f>IF(B$2=0,"",IFERROR(TRIM(INDEX('Pegar docentes'!$A$1:$BZ$1001,472,B$2)&amp;""),""))</f>
        <v/>
      </c>
      <c r="C473">
        <f>IF(C$2=0,"",IFERROR(TRIM(INDEX('Pegar docentes'!$A$1:$BZ$1001,472,C$2)&amp;""),""))</f>
        <v/>
      </c>
      <c r="D473">
        <f>IF(D$2=0,"",IFERROR(TRIM(INDEX('Pegar docentes'!$A$1:$BZ$1001,472,D$2)&amp;""),""))</f>
        <v/>
      </c>
      <c r="E473">
        <f>IF(E$2=0,"",IFERROR(TRIM(INDEX('Pegar docentes'!$A$1:$BZ$1001,472,E$2)&amp;""),""))</f>
        <v/>
      </c>
      <c r="F473">
        <f>IF(F$2=0,"",IFERROR(TRIM(INDEX('Pegar docentes'!$A$1:$BZ$1001,472,F$2)&amp;""),""))</f>
        <v/>
      </c>
      <c r="G473">
        <f>IF(G$2=0,"",IFERROR(TRIM(INDEX('Pegar docentes'!$A$1:$BZ$1001,472,G$2)&amp;""),""))</f>
        <v/>
      </c>
      <c r="H473">
        <f>IF(H$2=0,"",IFERROR(TRIM(INDEX('Pegar docentes'!$A$1:$BZ$1001,472,H$2)&amp;""),""))</f>
        <v/>
      </c>
      <c r="I473">
        <f>IF(I$2=0,"",IFERROR(TRIM(INDEX('Pegar docentes'!$A$1:$BZ$1001,472,I$2)&amp;""),""))</f>
        <v/>
      </c>
      <c r="J473">
        <f>IF(J$2=0,"",IFERROR(TRIM(INDEX('Pegar docentes'!$A$1:$BZ$1001,472,J$2)&amp;""),""))</f>
        <v/>
      </c>
      <c r="K473">
        <f>IF(K$2=0,"",IFERROR(TRIM(INDEX('Pegar docentes'!$A$1:$BZ$1001,472,K$2)&amp;""),""))</f>
        <v/>
      </c>
      <c r="L473">
        <f>IF(L$2=0,"",IFERROR(TRIM(INDEX('Pegar docentes'!$A$1:$BZ$1001,472,L$2)&amp;""),""))</f>
        <v/>
      </c>
      <c r="M473">
        <f>IF(M$2=0,"",IFERROR(TRIM(INDEX('Pegar docentes'!$A$1:$BZ$1001,472,M$2)&amp;""),""))</f>
        <v/>
      </c>
      <c r="N473">
        <f>IF(N$2=0,"",IFERROR(TRIM(INDEX('Pegar docentes'!$A$1:$BZ$1001,472,N$2)&amp;""),""))</f>
        <v/>
      </c>
      <c r="O473">
        <f>IF(O$2=0,"",IFERROR(TRIM(INDEX('Pegar docentes'!$A$1:$BZ$1001,472,O$2)&amp;""),""))</f>
        <v/>
      </c>
      <c r="P473">
        <f>IF(P$2=0,"",IFERROR(TRIM(INDEX('Pegar docentes'!$A$1:$BZ$1001,472,P$2)&amp;""),""))</f>
        <v/>
      </c>
      <c r="Q473" s="25">
        <f>IF(OR(D473&lt;&gt;"",H473&lt;&gt;""),1,"")</f>
        <v/>
      </c>
      <c r="R473" s="25">
        <f>IF(Q473=1,IF(ISNUMBER(FIND("#"&amp;MID(D473,1,1)&amp;"#","#0#1#2#3#4#5#6#7#8#9#")),IF(ISNUMBER(FIND("#"&amp;MID(D473,2,1)&amp;"#","#0#1#2#3#4#5#6#7#8#9#")),IF(AND(VALUE(LEFT(D473,2))&gt;=1,VALUE(LEFT(D473,2))&lt;=5),VALUE(LEFT(D473,2)),""),IF(AND(VALUE(LEFT(D473,1))&gt;=1,VALUE(LEFT(D473,1))&lt;=5),VALUE(LEFT(D473,1)),"")),""),"")</f>
        <v/>
      </c>
      <c r="S473" s="25">
        <f>IF(AND(Q473=1,E473&lt;&gt;""),SUBSTITUTE(SUBSTITUTE(SUBSTITUTE(SUBSTITUTE(SUBSTITUTE(SUBSTITUTE(SUBSTITUTE(SUBSTITUTE(SUBSTITUTE(SUBSTITUTE(SUBSTITUTE(SUBSTITUTE(LOWER(TRIM(E473)),"á","a"),"é","e"),"í","i"),"ó","o"),"ú","u"),"ü","u"),"ñ","n"),"à","a"),"è","e"),"ì","i"),"ò","o"),"ù","u"),"")</f>
        <v/>
      </c>
      <c r="T473" s="25">
        <f>IF(AND(Q473=1,G473&lt;&gt;""),SUBSTITUTE(SUBSTITUTE(SUBSTITUTE(SUBSTITUTE(SUBSTITUTE(SUBSTITUTE(SUBSTITUTE(SUBSTITUTE(SUBSTITUTE(SUBSTITUTE(SUBSTITUTE(SUBSTITUTE(LOWER(TRIM(G473)),"á","a"),"é","e"),"í","i"),"ó","o"),"ú","u"),"ü","u"),"ñ","n"),"à","a"),"è","e"),"ì","i"),"ò","o"),"ù","u"),"")</f>
        <v/>
      </c>
      <c r="U473" s="25">
        <f>IF(AND(Q473=1,H473&lt;&gt;""),SUBSTITUTE(SUBSTITUTE(SUBSTITUTE(SUBSTITUTE(SUBSTITUTE(SUBSTITUTE(SUBSTITUTE(SUBSTITUTE(SUBSTITUTE(SUBSTITUTE(SUBSTITUTE(SUBSTITUTE(LOWER(TRIM(H473)),"á","a"),"é","e"),"í","i"),"ó","o"),"ú","u"),"ü","u"),"ñ","n"),"à","a"),"è","e"),"ì","i"),"ò","o"),"ù","u"),"")</f>
        <v/>
      </c>
      <c r="V473" s="25">
        <f>IF(AND(Q473=1,L473&lt;&gt;""),SUBSTITUTE(SUBSTITUTE(SUBSTITUTE(SUBSTITUTE(SUBSTITUTE(SUBSTITUTE(SUBSTITUTE(SUBSTITUTE(SUBSTITUTE(SUBSTITUTE(SUBSTITUTE(SUBSTITUTE(LOWER(TRIM(L473)),"á","a"),"é","e"),"í","i"),"ó","o"),"ú","u"),"ü","u"),"ñ","n"),"à","a"),"è","e"),"ì","i"),"ò","o"),"ù","u"),"")</f>
        <v/>
      </c>
      <c r="W473" s="25">
        <f>IF(AND(Q473=1,I473&lt;&gt;""),SUBSTITUTE(SUBSTITUTE(SUBSTITUTE(SUBSTITUTE(SUBSTITUTE(SUBSTITUTE(SUBSTITUTE(SUBSTITUTE(SUBSTITUTE(SUBSTITUTE(SUBSTITUTE(SUBSTITUTE(LOWER(TRIM(I473)),"á","a"),"é","e"),"í","i"),"ó","o"),"ú","u"),"ü","u"),"ñ","n"),"à","a"),"è","e"),"ì","i"),"ò","o"),"ù","u"),"")</f>
        <v/>
      </c>
      <c r="X473" s="25">
        <f>IF(U473="","",IF(OR(U473="si, en la proxima tarea",U473="si, con cambios"),1,0))</f>
        <v/>
      </c>
      <c r="Y473" s="25">
        <f>IF(AND(Q473=1,A473&lt;&gt;""),IF(IFERROR(COUNTIFS(A$3:A473,"="&amp;SUBSTITUTE(SUBSTITUTE(SUBSTITUTE(A473,"~","~~"),"*","~*"),"?","~?"),Q$3:Q473,1),0)=1,MAX(Y$2:Y472)+1,""),"")</f>
        <v/>
      </c>
      <c r="Z473" s="25">
        <f>IF(Y473="","",COUNTIFS($A$3:$A$1002,"="&amp;SUBSTITUTE(SUBSTITUTE(SUBSTITUTE(A473,"~","~~"),"*","~*"),"?","~?"),$Q$3:$Q$1002,1)*10000-Y473)</f>
        <v/>
      </c>
    </row>
    <row r="474">
      <c r="A474">
        <f>IF(A$2=0,"",IFERROR(TRIM(INDEX('Pegar docentes'!$A$1:$BZ$1001,473,A$2)&amp;""),""))</f>
        <v/>
      </c>
      <c r="B474">
        <f>IF(B$2=0,"",IFERROR(TRIM(INDEX('Pegar docentes'!$A$1:$BZ$1001,473,B$2)&amp;""),""))</f>
        <v/>
      </c>
      <c r="C474">
        <f>IF(C$2=0,"",IFERROR(TRIM(INDEX('Pegar docentes'!$A$1:$BZ$1001,473,C$2)&amp;""),""))</f>
        <v/>
      </c>
      <c r="D474">
        <f>IF(D$2=0,"",IFERROR(TRIM(INDEX('Pegar docentes'!$A$1:$BZ$1001,473,D$2)&amp;""),""))</f>
        <v/>
      </c>
      <c r="E474">
        <f>IF(E$2=0,"",IFERROR(TRIM(INDEX('Pegar docentes'!$A$1:$BZ$1001,473,E$2)&amp;""),""))</f>
        <v/>
      </c>
      <c r="F474">
        <f>IF(F$2=0,"",IFERROR(TRIM(INDEX('Pegar docentes'!$A$1:$BZ$1001,473,F$2)&amp;""),""))</f>
        <v/>
      </c>
      <c r="G474">
        <f>IF(G$2=0,"",IFERROR(TRIM(INDEX('Pegar docentes'!$A$1:$BZ$1001,473,G$2)&amp;""),""))</f>
        <v/>
      </c>
      <c r="H474">
        <f>IF(H$2=0,"",IFERROR(TRIM(INDEX('Pegar docentes'!$A$1:$BZ$1001,473,H$2)&amp;""),""))</f>
        <v/>
      </c>
      <c r="I474">
        <f>IF(I$2=0,"",IFERROR(TRIM(INDEX('Pegar docentes'!$A$1:$BZ$1001,473,I$2)&amp;""),""))</f>
        <v/>
      </c>
      <c r="J474">
        <f>IF(J$2=0,"",IFERROR(TRIM(INDEX('Pegar docentes'!$A$1:$BZ$1001,473,J$2)&amp;""),""))</f>
        <v/>
      </c>
      <c r="K474">
        <f>IF(K$2=0,"",IFERROR(TRIM(INDEX('Pegar docentes'!$A$1:$BZ$1001,473,K$2)&amp;""),""))</f>
        <v/>
      </c>
      <c r="L474">
        <f>IF(L$2=0,"",IFERROR(TRIM(INDEX('Pegar docentes'!$A$1:$BZ$1001,473,L$2)&amp;""),""))</f>
        <v/>
      </c>
      <c r="M474">
        <f>IF(M$2=0,"",IFERROR(TRIM(INDEX('Pegar docentes'!$A$1:$BZ$1001,473,M$2)&amp;""),""))</f>
        <v/>
      </c>
      <c r="N474">
        <f>IF(N$2=0,"",IFERROR(TRIM(INDEX('Pegar docentes'!$A$1:$BZ$1001,473,N$2)&amp;""),""))</f>
        <v/>
      </c>
      <c r="O474">
        <f>IF(O$2=0,"",IFERROR(TRIM(INDEX('Pegar docentes'!$A$1:$BZ$1001,473,O$2)&amp;""),""))</f>
        <v/>
      </c>
      <c r="P474">
        <f>IF(P$2=0,"",IFERROR(TRIM(INDEX('Pegar docentes'!$A$1:$BZ$1001,473,P$2)&amp;""),""))</f>
        <v/>
      </c>
      <c r="Q474" s="25">
        <f>IF(OR(D474&lt;&gt;"",H474&lt;&gt;""),1,"")</f>
        <v/>
      </c>
      <c r="R474" s="25">
        <f>IF(Q474=1,IF(ISNUMBER(FIND("#"&amp;MID(D474,1,1)&amp;"#","#0#1#2#3#4#5#6#7#8#9#")),IF(ISNUMBER(FIND("#"&amp;MID(D474,2,1)&amp;"#","#0#1#2#3#4#5#6#7#8#9#")),IF(AND(VALUE(LEFT(D474,2))&gt;=1,VALUE(LEFT(D474,2))&lt;=5),VALUE(LEFT(D474,2)),""),IF(AND(VALUE(LEFT(D474,1))&gt;=1,VALUE(LEFT(D474,1))&lt;=5),VALUE(LEFT(D474,1)),"")),""),"")</f>
        <v/>
      </c>
      <c r="S474" s="25">
        <f>IF(AND(Q474=1,E474&lt;&gt;""),SUBSTITUTE(SUBSTITUTE(SUBSTITUTE(SUBSTITUTE(SUBSTITUTE(SUBSTITUTE(SUBSTITUTE(SUBSTITUTE(SUBSTITUTE(SUBSTITUTE(SUBSTITUTE(SUBSTITUTE(LOWER(TRIM(E474)),"á","a"),"é","e"),"í","i"),"ó","o"),"ú","u"),"ü","u"),"ñ","n"),"à","a"),"è","e"),"ì","i"),"ò","o"),"ù","u"),"")</f>
        <v/>
      </c>
      <c r="T474" s="25">
        <f>IF(AND(Q474=1,G474&lt;&gt;""),SUBSTITUTE(SUBSTITUTE(SUBSTITUTE(SUBSTITUTE(SUBSTITUTE(SUBSTITUTE(SUBSTITUTE(SUBSTITUTE(SUBSTITUTE(SUBSTITUTE(SUBSTITUTE(SUBSTITUTE(LOWER(TRIM(G474)),"á","a"),"é","e"),"í","i"),"ó","o"),"ú","u"),"ü","u"),"ñ","n"),"à","a"),"è","e"),"ì","i"),"ò","o"),"ù","u"),"")</f>
        <v/>
      </c>
      <c r="U474" s="25">
        <f>IF(AND(Q474=1,H474&lt;&gt;""),SUBSTITUTE(SUBSTITUTE(SUBSTITUTE(SUBSTITUTE(SUBSTITUTE(SUBSTITUTE(SUBSTITUTE(SUBSTITUTE(SUBSTITUTE(SUBSTITUTE(SUBSTITUTE(SUBSTITUTE(LOWER(TRIM(H474)),"á","a"),"é","e"),"í","i"),"ó","o"),"ú","u"),"ü","u"),"ñ","n"),"à","a"),"è","e"),"ì","i"),"ò","o"),"ù","u"),"")</f>
        <v/>
      </c>
      <c r="V474" s="25">
        <f>IF(AND(Q474=1,L474&lt;&gt;""),SUBSTITUTE(SUBSTITUTE(SUBSTITUTE(SUBSTITUTE(SUBSTITUTE(SUBSTITUTE(SUBSTITUTE(SUBSTITUTE(SUBSTITUTE(SUBSTITUTE(SUBSTITUTE(SUBSTITUTE(LOWER(TRIM(L474)),"á","a"),"é","e"),"í","i"),"ó","o"),"ú","u"),"ü","u"),"ñ","n"),"à","a"),"è","e"),"ì","i"),"ò","o"),"ù","u"),"")</f>
        <v/>
      </c>
      <c r="W474" s="25">
        <f>IF(AND(Q474=1,I474&lt;&gt;""),SUBSTITUTE(SUBSTITUTE(SUBSTITUTE(SUBSTITUTE(SUBSTITUTE(SUBSTITUTE(SUBSTITUTE(SUBSTITUTE(SUBSTITUTE(SUBSTITUTE(SUBSTITUTE(SUBSTITUTE(LOWER(TRIM(I474)),"á","a"),"é","e"),"í","i"),"ó","o"),"ú","u"),"ü","u"),"ñ","n"),"à","a"),"è","e"),"ì","i"),"ò","o"),"ù","u"),"")</f>
        <v/>
      </c>
      <c r="X474" s="25">
        <f>IF(U474="","",IF(OR(U474="si, en la proxima tarea",U474="si, con cambios"),1,0))</f>
        <v/>
      </c>
      <c r="Y474" s="25">
        <f>IF(AND(Q474=1,A474&lt;&gt;""),IF(IFERROR(COUNTIFS(A$3:A474,"="&amp;SUBSTITUTE(SUBSTITUTE(SUBSTITUTE(A474,"~","~~"),"*","~*"),"?","~?"),Q$3:Q474,1),0)=1,MAX(Y$2:Y473)+1,""),"")</f>
        <v/>
      </c>
      <c r="Z474" s="25">
        <f>IF(Y474="","",COUNTIFS($A$3:$A$1002,"="&amp;SUBSTITUTE(SUBSTITUTE(SUBSTITUTE(A474,"~","~~"),"*","~*"),"?","~?"),$Q$3:$Q$1002,1)*10000-Y474)</f>
        <v/>
      </c>
    </row>
    <row r="475">
      <c r="A475">
        <f>IF(A$2=0,"",IFERROR(TRIM(INDEX('Pegar docentes'!$A$1:$BZ$1001,474,A$2)&amp;""),""))</f>
        <v/>
      </c>
      <c r="B475">
        <f>IF(B$2=0,"",IFERROR(TRIM(INDEX('Pegar docentes'!$A$1:$BZ$1001,474,B$2)&amp;""),""))</f>
        <v/>
      </c>
      <c r="C475">
        <f>IF(C$2=0,"",IFERROR(TRIM(INDEX('Pegar docentes'!$A$1:$BZ$1001,474,C$2)&amp;""),""))</f>
        <v/>
      </c>
      <c r="D475">
        <f>IF(D$2=0,"",IFERROR(TRIM(INDEX('Pegar docentes'!$A$1:$BZ$1001,474,D$2)&amp;""),""))</f>
        <v/>
      </c>
      <c r="E475">
        <f>IF(E$2=0,"",IFERROR(TRIM(INDEX('Pegar docentes'!$A$1:$BZ$1001,474,E$2)&amp;""),""))</f>
        <v/>
      </c>
      <c r="F475">
        <f>IF(F$2=0,"",IFERROR(TRIM(INDEX('Pegar docentes'!$A$1:$BZ$1001,474,F$2)&amp;""),""))</f>
        <v/>
      </c>
      <c r="G475">
        <f>IF(G$2=0,"",IFERROR(TRIM(INDEX('Pegar docentes'!$A$1:$BZ$1001,474,G$2)&amp;""),""))</f>
        <v/>
      </c>
      <c r="H475">
        <f>IF(H$2=0,"",IFERROR(TRIM(INDEX('Pegar docentes'!$A$1:$BZ$1001,474,H$2)&amp;""),""))</f>
        <v/>
      </c>
      <c r="I475">
        <f>IF(I$2=0,"",IFERROR(TRIM(INDEX('Pegar docentes'!$A$1:$BZ$1001,474,I$2)&amp;""),""))</f>
        <v/>
      </c>
      <c r="J475">
        <f>IF(J$2=0,"",IFERROR(TRIM(INDEX('Pegar docentes'!$A$1:$BZ$1001,474,J$2)&amp;""),""))</f>
        <v/>
      </c>
      <c r="K475">
        <f>IF(K$2=0,"",IFERROR(TRIM(INDEX('Pegar docentes'!$A$1:$BZ$1001,474,K$2)&amp;""),""))</f>
        <v/>
      </c>
      <c r="L475">
        <f>IF(L$2=0,"",IFERROR(TRIM(INDEX('Pegar docentes'!$A$1:$BZ$1001,474,L$2)&amp;""),""))</f>
        <v/>
      </c>
      <c r="M475">
        <f>IF(M$2=0,"",IFERROR(TRIM(INDEX('Pegar docentes'!$A$1:$BZ$1001,474,M$2)&amp;""),""))</f>
        <v/>
      </c>
      <c r="N475">
        <f>IF(N$2=0,"",IFERROR(TRIM(INDEX('Pegar docentes'!$A$1:$BZ$1001,474,N$2)&amp;""),""))</f>
        <v/>
      </c>
      <c r="O475">
        <f>IF(O$2=0,"",IFERROR(TRIM(INDEX('Pegar docentes'!$A$1:$BZ$1001,474,O$2)&amp;""),""))</f>
        <v/>
      </c>
      <c r="P475">
        <f>IF(P$2=0,"",IFERROR(TRIM(INDEX('Pegar docentes'!$A$1:$BZ$1001,474,P$2)&amp;""),""))</f>
        <v/>
      </c>
      <c r="Q475" s="25">
        <f>IF(OR(D475&lt;&gt;"",H475&lt;&gt;""),1,"")</f>
        <v/>
      </c>
      <c r="R475" s="25">
        <f>IF(Q475=1,IF(ISNUMBER(FIND("#"&amp;MID(D475,1,1)&amp;"#","#0#1#2#3#4#5#6#7#8#9#")),IF(ISNUMBER(FIND("#"&amp;MID(D475,2,1)&amp;"#","#0#1#2#3#4#5#6#7#8#9#")),IF(AND(VALUE(LEFT(D475,2))&gt;=1,VALUE(LEFT(D475,2))&lt;=5),VALUE(LEFT(D475,2)),""),IF(AND(VALUE(LEFT(D475,1))&gt;=1,VALUE(LEFT(D475,1))&lt;=5),VALUE(LEFT(D475,1)),"")),""),"")</f>
        <v/>
      </c>
      <c r="S475" s="25">
        <f>IF(AND(Q475=1,E475&lt;&gt;""),SUBSTITUTE(SUBSTITUTE(SUBSTITUTE(SUBSTITUTE(SUBSTITUTE(SUBSTITUTE(SUBSTITUTE(SUBSTITUTE(SUBSTITUTE(SUBSTITUTE(SUBSTITUTE(SUBSTITUTE(LOWER(TRIM(E475)),"á","a"),"é","e"),"í","i"),"ó","o"),"ú","u"),"ü","u"),"ñ","n"),"à","a"),"è","e"),"ì","i"),"ò","o"),"ù","u"),"")</f>
        <v/>
      </c>
      <c r="T475" s="25">
        <f>IF(AND(Q475=1,G475&lt;&gt;""),SUBSTITUTE(SUBSTITUTE(SUBSTITUTE(SUBSTITUTE(SUBSTITUTE(SUBSTITUTE(SUBSTITUTE(SUBSTITUTE(SUBSTITUTE(SUBSTITUTE(SUBSTITUTE(SUBSTITUTE(LOWER(TRIM(G475)),"á","a"),"é","e"),"í","i"),"ó","o"),"ú","u"),"ü","u"),"ñ","n"),"à","a"),"è","e"),"ì","i"),"ò","o"),"ù","u"),"")</f>
        <v/>
      </c>
      <c r="U475" s="25">
        <f>IF(AND(Q475=1,H475&lt;&gt;""),SUBSTITUTE(SUBSTITUTE(SUBSTITUTE(SUBSTITUTE(SUBSTITUTE(SUBSTITUTE(SUBSTITUTE(SUBSTITUTE(SUBSTITUTE(SUBSTITUTE(SUBSTITUTE(SUBSTITUTE(LOWER(TRIM(H475)),"á","a"),"é","e"),"í","i"),"ó","o"),"ú","u"),"ü","u"),"ñ","n"),"à","a"),"è","e"),"ì","i"),"ò","o"),"ù","u"),"")</f>
        <v/>
      </c>
      <c r="V475" s="25">
        <f>IF(AND(Q475=1,L475&lt;&gt;""),SUBSTITUTE(SUBSTITUTE(SUBSTITUTE(SUBSTITUTE(SUBSTITUTE(SUBSTITUTE(SUBSTITUTE(SUBSTITUTE(SUBSTITUTE(SUBSTITUTE(SUBSTITUTE(SUBSTITUTE(LOWER(TRIM(L475)),"á","a"),"é","e"),"í","i"),"ó","o"),"ú","u"),"ü","u"),"ñ","n"),"à","a"),"è","e"),"ì","i"),"ò","o"),"ù","u"),"")</f>
        <v/>
      </c>
      <c r="W475" s="25">
        <f>IF(AND(Q475=1,I475&lt;&gt;""),SUBSTITUTE(SUBSTITUTE(SUBSTITUTE(SUBSTITUTE(SUBSTITUTE(SUBSTITUTE(SUBSTITUTE(SUBSTITUTE(SUBSTITUTE(SUBSTITUTE(SUBSTITUTE(SUBSTITUTE(LOWER(TRIM(I475)),"á","a"),"é","e"),"í","i"),"ó","o"),"ú","u"),"ü","u"),"ñ","n"),"à","a"),"è","e"),"ì","i"),"ò","o"),"ù","u"),"")</f>
        <v/>
      </c>
      <c r="X475" s="25">
        <f>IF(U475="","",IF(OR(U475="si, en la proxima tarea",U475="si, con cambios"),1,0))</f>
        <v/>
      </c>
      <c r="Y475" s="25">
        <f>IF(AND(Q475=1,A475&lt;&gt;""),IF(IFERROR(COUNTIFS(A$3:A475,"="&amp;SUBSTITUTE(SUBSTITUTE(SUBSTITUTE(A475,"~","~~"),"*","~*"),"?","~?"),Q$3:Q475,1),0)=1,MAX(Y$2:Y474)+1,""),"")</f>
        <v/>
      </c>
      <c r="Z475" s="25">
        <f>IF(Y475="","",COUNTIFS($A$3:$A$1002,"="&amp;SUBSTITUTE(SUBSTITUTE(SUBSTITUTE(A475,"~","~~"),"*","~*"),"?","~?"),$Q$3:$Q$1002,1)*10000-Y475)</f>
        <v/>
      </c>
    </row>
    <row r="476">
      <c r="A476">
        <f>IF(A$2=0,"",IFERROR(TRIM(INDEX('Pegar docentes'!$A$1:$BZ$1001,475,A$2)&amp;""),""))</f>
        <v/>
      </c>
      <c r="B476">
        <f>IF(B$2=0,"",IFERROR(TRIM(INDEX('Pegar docentes'!$A$1:$BZ$1001,475,B$2)&amp;""),""))</f>
        <v/>
      </c>
      <c r="C476">
        <f>IF(C$2=0,"",IFERROR(TRIM(INDEX('Pegar docentes'!$A$1:$BZ$1001,475,C$2)&amp;""),""))</f>
        <v/>
      </c>
      <c r="D476">
        <f>IF(D$2=0,"",IFERROR(TRIM(INDEX('Pegar docentes'!$A$1:$BZ$1001,475,D$2)&amp;""),""))</f>
        <v/>
      </c>
      <c r="E476">
        <f>IF(E$2=0,"",IFERROR(TRIM(INDEX('Pegar docentes'!$A$1:$BZ$1001,475,E$2)&amp;""),""))</f>
        <v/>
      </c>
      <c r="F476">
        <f>IF(F$2=0,"",IFERROR(TRIM(INDEX('Pegar docentes'!$A$1:$BZ$1001,475,F$2)&amp;""),""))</f>
        <v/>
      </c>
      <c r="G476">
        <f>IF(G$2=0,"",IFERROR(TRIM(INDEX('Pegar docentes'!$A$1:$BZ$1001,475,G$2)&amp;""),""))</f>
        <v/>
      </c>
      <c r="H476">
        <f>IF(H$2=0,"",IFERROR(TRIM(INDEX('Pegar docentes'!$A$1:$BZ$1001,475,H$2)&amp;""),""))</f>
        <v/>
      </c>
      <c r="I476">
        <f>IF(I$2=0,"",IFERROR(TRIM(INDEX('Pegar docentes'!$A$1:$BZ$1001,475,I$2)&amp;""),""))</f>
        <v/>
      </c>
      <c r="J476">
        <f>IF(J$2=0,"",IFERROR(TRIM(INDEX('Pegar docentes'!$A$1:$BZ$1001,475,J$2)&amp;""),""))</f>
        <v/>
      </c>
      <c r="K476">
        <f>IF(K$2=0,"",IFERROR(TRIM(INDEX('Pegar docentes'!$A$1:$BZ$1001,475,K$2)&amp;""),""))</f>
        <v/>
      </c>
      <c r="L476">
        <f>IF(L$2=0,"",IFERROR(TRIM(INDEX('Pegar docentes'!$A$1:$BZ$1001,475,L$2)&amp;""),""))</f>
        <v/>
      </c>
      <c r="M476">
        <f>IF(M$2=0,"",IFERROR(TRIM(INDEX('Pegar docentes'!$A$1:$BZ$1001,475,M$2)&amp;""),""))</f>
        <v/>
      </c>
      <c r="N476">
        <f>IF(N$2=0,"",IFERROR(TRIM(INDEX('Pegar docentes'!$A$1:$BZ$1001,475,N$2)&amp;""),""))</f>
        <v/>
      </c>
      <c r="O476">
        <f>IF(O$2=0,"",IFERROR(TRIM(INDEX('Pegar docentes'!$A$1:$BZ$1001,475,O$2)&amp;""),""))</f>
        <v/>
      </c>
      <c r="P476">
        <f>IF(P$2=0,"",IFERROR(TRIM(INDEX('Pegar docentes'!$A$1:$BZ$1001,475,P$2)&amp;""),""))</f>
        <v/>
      </c>
      <c r="Q476" s="25">
        <f>IF(OR(D476&lt;&gt;"",H476&lt;&gt;""),1,"")</f>
        <v/>
      </c>
      <c r="R476" s="25">
        <f>IF(Q476=1,IF(ISNUMBER(FIND("#"&amp;MID(D476,1,1)&amp;"#","#0#1#2#3#4#5#6#7#8#9#")),IF(ISNUMBER(FIND("#"&amp;MID(D476,2,1)&amp;"#","#0#1#2#3#4#5#6#7#8#9#")),IF(AND(VALUE(LEFT(D476,2))&gt;=1,VALUE(LEFT(D476,2))&lt;=5),VALUE(LEFT(D476,2)),""),IF(AND(VALUE(LEFT(D476,1))&gt;=1,VALUE(LEFT(D476,1))&lt;=5),VALUE(LEFT(D476,1)),"")),""),"")</f>
        <v/>
      </c>
      <c r="S476" s="25">
        <f>IF(AND(Q476=1,E476&lt;&gt;""),SUBSTITUTE(SUBSTITUTE(SUBSTITUTE(SUBSTITUTE(SUBSTITUTE(SUBSTITUTE(SUBSTITUTE(SUBSTITUTE(SUBSTITUTE(SUBSTITUTE(SUBSTITUTE(SUBSTITUTE(LOWER(TRIM(E476)),"á","a"),"é","e"),"í","i"),"ó","o"),"ú","u"),"ü","u"),"ñ","n"),"à","a"),"è","e"),"ì","i"),"ò","o"),"ù","u"),"")</f>
        <v/>
      </c>
      <c r="T476" s="25">
        <f>IF(AND(Q476=1,G476&lt;&gt;""),SUBSTITUTE(SUBSTITUTE(SUBSTITUTE(SUBSTITUTE(SUBSTITUTE(SUBSTITUTE(SUBSTITUTE(SUBSTITUTE(SUBSTITUTE(SUBSTITUTE(SUBSTITUTE(SUBSTITUTE(LOWER(TRIM(G476)),"á","a"),"é","e"),"í","i"),"ó","o"),"ú","u"),"ü","u"),"ñ","n"),"à","a"),"è","e"),"ì","i"),"ò","o"),"ù","u"),"")</f>
        <v/>
      </c>
      <c r="U476" s="25">
        <f>IF(AND(Q476=1,H476&lt;&gt;""),SUBSTITUTE(SUBSTITUTE(SUBSTITUTE(SUBSTITUTE(SUBSTITUTE(SUBSTITUTE(SUBSTITUTE(SUBSTITUTE(SUBSTITUTE(SUBSTITUTE(SUBSTITUTE(SUBSTITUTE(LOWER(TRIM(H476)),"á","a"),"é","e"),"í","i"),"ó","o"),"ú","u"),"ü","u"),"ñ","n"),"à","a"),"è","e"),"ì","i"),"ò","o"),"ù","u"),"")</f>
        <v/>
      </c>
      <c r="V476" s="25">
        <f>IF(AND(Q476=1,L476&lt;&gt;""),SUBSTITUTE(SUBSTITUTE(SUBSTITUTE(SUBSTITUTE(SUBSTITUTE(SUBSTITUTE(SUBSTITUTE(SUBSTITUTE(SUBSTITUTE(SUBSTITUTE(SUBSTITUTE(SUBSTITUTE(LOWER(TRIM(L476)),"á","a"),"é","e"),"í","i"),"ó","o"),"ú","u"),"ü","u"),"ñ","n"),"à","a"),"è","e"),"ì","i"),"ò","o"),"ù","u"),"")</f>
        <v/>
      </c>
      <c r="W476" s="25">
        <f>IF(AND(Q476=1,I476&lt;&gt;""),SUBSTITUTE(SUBSTITUTE(SUBSTITUTE(SUBSTITUTE(SUBSTITUTE(SUBSTITUTE(SUBSTITUTE(SUBSTITUTE(SUBSTITUTE(SUBSTITUTE(SUBSTITUTE(SUBSTITUTE(LOWER(TRIM(I476)),"á","a"),"é","e"),"í","i"),"ó","o"),"ú","u"),"ü","u"),"ñ","n"),"à","a"),"è","e"),"ì","i"),"ò","o"),"ù","u"),"")</f>
        <v/>
      </c>
      <c r="X476" s="25">
        <f>IF(U476="","",IF(OR(U476="si, en la proxima tarea",U476="si, con cambios"),1,0))</f>
        <v/>
      </c>
      <c r="Y476" s="25">
        <f>IF(AND(Q476=1,A476&lt;&gt;""),IF(IFERROR(COUNTIFS(A$3:A476,"="&amp;SUBSTITUTE(SUBSTITUTE(SUBSTITUTE(A476,"~","~~"),"*","~*"),"?","~?"),Q$3:Q476,1),0)=1,MAX(Y$2:Y475)+1,""),"")</f>
        <v/>
      </c>
      <c r="Z476" s="25">
        <f>IF(Y476="","",COUNTIFS($A$3:$A$1002,"="&amp;SUBSTITUTE(SUBSTITUTE(SUBSTITUTE(A476,"~","~~"),"*","~*"),"?","~?"),$Q$3:$Q$1002,1)*10000-Y476)</f>
        <v/>
      </c>
    </row>
    <row r="477">
      <c r="A477">
        <f>IF(A$2=0,"",IFERROR(TRIM(INDEX('Pegar docentes'!$A$1:$BZ$1001,476,A$2)&amp;""),""))</f>
        <v/>
      </c>
      <c r="B477">
        <f>IF(B$2=0,"",IFERROR(TRIM(INDEX('Pegar docentes'!$A$1:$BZ$1001,476,B$2)&amp;""),""))</f>
        <v/>
      </c>
      <c r="C477">
        <f>IF(C$2=0,"",IFERROR(TRIM(INDEX('Pegar docentes'!$A$1:$BZ$1001,476,C$2)&amp;""),""))</f>
        <v/>
      </c>
      <c r="D477">
        <f>IF(D$2=0,"",IFERROR(TRIM(INDEX('Pegar docentes'!$A$1:$BZ$1001,476,D$2)&amp;""),""))</f>
        <v/>
      </c>
      <c r="E477">
        <f>IF(E$2=0,"",IFERROR(TRIM(INDEX('Pegar docentes'!$A$1:$BZ$1001,476,E$2)&amp;""),""))</f>
        <v/>
      </c>
      <c r="F477">
        <f>IF(F$2=0,"",IFERROR(TRIM(INDEX('Pegar docentes'!$A$1:$BZ$1001,476,F$2)&amp;""),""))</f>
        <v/>
      </c>
      <c r="G477">
        <f>IF(G$2=0,"",IFERROR(TRIM(INDEX('Pegar docentes'!$A$1:$BZ$1001,476,G$2)&amp;""),""))</f>
        <v/>
      </c>
      <c r="H477">
        <f>IF(H$2=0,"",IFERROR(TRIM(INDEX('Pegar docentes'!$A$1:$BZ$1001,476,H$2)&amp;""),""))</f>
        <v/>
      </c>
      <c r="I477">
        <f>IF(I$2=0,"",IFERROR(TRIM(INDEX('Pegar docentes'!$A$1:$BZ$1001,476,I$2)&amp;""),""))</f>
        <v/>
      </c>
      <c r="J477">
        <f>IF(J$2=0,"",IFERROR(TRIM(INDEX('Pegar docentes'!$A$1:$BZ$1001,476,J$2)&amp;""),""))</f>
        <v/>
      </c>
      <c r="K477">
        <f>IF(K$2=0,"",IFERROR(TRIM(INDEX('Pegar docentes'!$A$1:$BZ$1001,476,K$2)&amp;""),""))</f>
        <v/>
      </c>
      <c r="L477">
        <f>IF(L$2=0,"",IFERROR(TRIM(INDEX('Pegar docentes'!$A$1:$BZ$1001,476,L$2)&amp;""),""))</f>
        <v/>
      </c>
      <c r="M477">
        <f>IF(M$2=0,"",IFERROR(TRIM(INDEX('Pegar docentes'!$A$1:$BZ$1001,476,M$2)&amp;""),""))</f>
        <v/>
      </c>
      <c r="N477">
        <f>IF(N$2=0,"",IFERROR(TRIM(INDEX('Pegar docentes'!$A$1:$BZ$1001,476,N$2)&amp;""),""))</f>
        <v/>
      </c>
      <c r="O477">
        <f>IF(O$2=0,"",IFERROR(TRIM(INDEX('Pegar docentes'!$A$1:$BZ$1001,476,O$2)&amp;""),""))</f>
        <v/>
      </c>
      <c r="P477">
        <f>IF(P$2=0,"",IFERROR(TRIM(INDEX('Pegar docentes'!$A$1:$BZ$1001,476,P$2)&amp;""),""))</f>
        <v/>
      </c>
      <c r="Q477" s="25">
        <f>IF(OR(D477&lt;&gt;"",H477&lt;&gt;""),1,"")</f>
        <v/>
      </c>
      <c r="R477" s="25">
        <f>IF(Q477=1,IF(ISNUMBER(FIND("#"&amp;MID(D477,1,1)&amp;"#","#0#1#2#3#4#5#6#7#8#9#")),IF(ISNUMBER(FIND("#"&amp;MID(D477,2,1)&amp;"#","#0#1#2#3#4#5#6#7#8#9#")),IF(AND(VALUE(LEFT(D477,2))&gt;=1,VALUE(LEFT(D477,2))&lt;=5),VALUE(LEFT(D477,2)),""),IF(AND(VALUE(LEFT(D477,1))&gt;=1,VALUE(LEFT(D477,1))&lt;=5),VALUE(LEFT(D477,1)),"")),""),"")</f>
        <v/>
      </c>
      <c r="S477" s="25">
        <f>IF(AND(Q477=1,E477&lt;&gt;""),SUBSTITUTE(SUBSTITUTE(SUBSTITUTE(SUBSTITUTE(SUBSTITUTE(SUBSTITUTE(SUBSTITUTE(SUBSTITUTE(SUBSTITUTE(SUBSTITUTE(SUBSTITUTE(SUBSTITUTE(LOWER(TRIM(E477)),"á","a"),"é","e"),"í","i"),"ó","o"),"ú","u"),"ü","u"),"ñ","n"),"à","a"),"è","e"),"ì","i"),"ò","o"),"ù","u"),"")</f>
        <v/>
      </c>
      <c r="T477" s="25">
        <f>IF(AND(Q477=1,G477&lt;&gt;""),SUBSTITUTE(SUBSTITUTE(SUBSTITUTE(SUBSTITUTE(SUBSTITUTE(SUBSTITUTE(SUBSTITUTE(SUBSTITUTE(SUBSTITUTE(SUBSTITUTE(SUBSTITUTE(SUBSTITUTE(LOWER(TRIM(G477)),"á","a"),"é","e"),"í","i"),"ó","o"),"ú","u"),"ü","u"),"ñ","n"),"à","a"),"è","e"),"ì","i"),"ò","o"),"ù","u"),"")</f>
        <v/>
      </c>
      <c r="U477" s="25">
        <f>IF(AND(Q477=1,H477&lt;&gt;""),SUBSTITUTE(SUBSTITUTE(SUBSTITUTE(SUBSTITUTE(SUBSTITUTE(SUBSTITUTE(SUBSTITUTE(SUBSTITUTE(SUBSTITUTE(SUBSTITUTE(SUBSTITUTE(SUBSTITUTE(LOWER(TRIM(H477)),"á","a"),"é","e"),"í","i"),"ó","o"),"ú","u"),"ü","u"),"ñ","n"),"à","a"),"è","e"),"ì","i"),"ò","o"),"ù","u"),"")</f>
        <v/>
      </c>
      <c r="V477" s="25">
        <f>IF(AND(Q477=1,L477&lt;&gt;""),SUBSTITUTE(SUBSTITUTE(SUBSTITUTE(SUBSTITUTE(SUBSTITUTE(SUBSTITUTE(SUBSTITUTE(SUBSTITUTE(SUBSTITUTE(SUBSTITUTE(SUBSTITUTE(SUBSTITUTE(LOWER(TRIM(L477)),"á","a"),"é","e"),"í","i"),"ó","o"),"ú","u"),"ü","u"),"ñ","n"),"à","a"),"è","e"),"ì","i"),"ò","o"),"ù","u"),"")</f>
        <v/>
      </c>
      <c r="W477" s="25">
        <f>IF(AND(Q477=1,I477&lt;&gt;""),SUBSTITUTE(SUBSTITUTE(SUBSTITUTE(SUBSTITUTE(SUBSTITUTE(SUBSTITUTE(SUBSTITUTE(SUBSTITUTE(SUBSTITUTE(SUBSTITUTE(SUBSTITUTE(SUBSTITUTE(LOWER(TRIM(I477)),"á","a"),"é","e"),"í","i"),"ó","o"),"ú","u"),"ü","u"),"ñ","n"),"à","a"),"è","e"),"ì","i"),"ò","o"),"ù","u"),"")</f>
        <v/>
      </c>
      <c r="X477" s="25">
        <f>IF(U477="","",IF(OR(U477="si, en la proxima tarea",U477="si, con cambios"),1,0))</f>
        <v/>
      </c>
      <c r="Y477" s="25">
        <f>IF(AND(Q477=1,A477&lt;&gt;""),IF(IFERROR(COUNTIFS(A$3:A477,"="&amp;SUBSTITUTE(SUBSTITUTE(SUBSTITUTE(A477,"~","~~"),"*","~*"),"?","~?"),Q$3:Q477,1),0)=1,MAX(Y$2:Y476)+1,""),"")</f>
        <v/>
      </c>
      <c r="Z477" s="25">
        <f>IF(Y477="","",COUNTIFS($A$3:$A$1002,"="&amp;SUBSTITUTE(SUBSTITUTE(SUBSTITUTE(A477,"~","~~"),"*","~*"),"?","~?"),$Q$3:$Q$1002,1)*10000-Y477)</f>
        <v/>
      </c>
    </row>
    <row r="478">
      <c r="A478">
        <f>IF(A$2=0,"",IFERROR(TRIM(INDEX('Pegar docentes'!$A$1:$BZ$1001,477,A$2)&amp;""),""))</f>
        <v/>
      </c>
      <c r="B478">
        <f>IF(B$2=0,"",IFERROR(TRIM(INDEX('Pegar docentes'!$A$1:$BZ$1001,477,B$2)&amp;""),""))</f>
        <v/>
      </c>
      <c r="C478">
        <f>IF(C$2=0,"",IFERROR(TRIM(INDEX('Pegar docentes'!$A$1:$BZ$1001,477,C$2)&amp;""),""))</f>
        <v/>
      </c>
      <c r="D478">
        <f>IF(D$2=0,"",IFERROR(TRIM(INDEX('Pegar docentes'!$A$1:$BZ$1001,477,D$2)&amp;""),""))</f>
        <v/>
      </c>
      <c r="E478">
        <f>IF(E$2=0,"",IFERROR(TRIM(INDEX('Pegar docentes'!$A$1:$BZ$1001,477,E$2)&amp;""),""))</f>
        <v/>
      </c>
      <c r="F478">
        <f>IF(F$2=0,"",IFERROR(TRIM(INDEX('Pegar docentes'!$A$1:$BZ$1001,477,F$2)&amp;""),""))</f>
        <v/>
      </c>
      <c r="G478">
        <f>IF(G$2=0,"",IFERROR(TRIM(INDEX('Pegar docentes'!$A$1:$BZ$1001,477,G$2)&amp;""),""))</f>
        <v/>
      </c>
      <c r="H478">
        <f>IF(H$2=0,"",IFERROR(TRIM(INDEX('Pegar docentes'!$A$1:$BZ$1001,477,H$2)&amp;""),""))</f>
        <v/>
      </c>
      <c r="I478">
        <f>IF(I$2=0,"",IFERROR(TRIM(INDEX('Pegar docentes'!$A$1:$BZ$1001,477,I$2)&amp;""),""))</f>
        <v/>
      </c>
      <c r="J478">
        <f>IF(J$2=0,"",IFERROR(TRIM(INDEX('Pegar docentes'!$A$1:$BZ$1001,477,J$2)&amp;""),""))</f>
        <v/>
      </c>
      <c r="K478">
        <f>IF(K$2=0,"",IFERROR(TRIM(INDEX('Pegar docentes'!$A$1:$BZ$1001,477,K$2)&amp;""),""))</f>
        <v/>
      </c>
      <c r="L478">
        <f>IF(L$2=0,"",IFERROR(TRIM(INDEX('Pegar docentes'!$A$1:$BZ$1001,477,L$2)&amp;""),""))</f>
        <v/>
      </c>
      <c r="M478">
        <f>IF(M$2=0,"",IFERROR(TRIM(INDEX('Pegar docentes'!$A$1:$BZ$1001,477,M$2)&amp;""),""))</f>
        <v/>
      </c>
      <c r="N478">
        <f>IF(N$2=0,"",IFERROR(TRIM(INDEX('Pegar docentes'!$A$1:$BZ$1001,477,N$2)&amp;""),""))</f>
        <v/>
      </c>
      <c r="O478">
        <f>IF(O$2=0,"",IFERROR(TRIM(INDEX('Pegar docentes'!$A$1:$BZ$1001,477,O$2)&amp;""),""))</f>
        <v/>
      </c>
      <c r="P478">
        <f>IF(P$2=0,"",IFERROR(TRIM(INDEX('Pegar docentes'!$A$1:$BZ$1001,477,P$2)&amp;""),""))</f>
        <v/>
      </c>
      <c r="Q478" s="25">
        <f>IF(OR(D478&lt;&gt;"",H478&lt;&gt;""),1,"")</f>
        <v/>
      </c>
      <c r="R478" s="25">
        <f>IF(Q478=1,IF(ISNUMBER(FIND("#"&amp;MID(D478,1,1)&amp;"#","#0#1#2#3#4#5#6#7#8#9#")),IF(ISNUMBER(FIND("#"&amp;MID(D478,2,1)&amp;"#","#0#1#2#3#4#5#6#7#8#9#")),IF(AND(VALUE(LEFT(D478,2))&gt;=1,VALUE(LEFT(D478,2))&lt;=5),VALUE(LEFT(D478,2)),""),IF(AND(VALUE(LEFT(D478,1))&gt;=1,VALUE(LEFT(D478,1))&lt;=5),VALUE(LEFT(D478,1)),"")),""),"")</f>
        <v/>
      </c>
      <c r="S478" s="25">
        <f>IF(AND(Q478=1,E478&lt;&gt;""),SUBSTITUTE(SUBSTITUTE(SUBSTITUTE(SUBSTITUTE(SUBSTITUTE(SUBSTITUTE(SUBSTITUTE(SUBSTITUTE(SUBSTITUTE(SUBSTITUTE(SUBSTITUTE(SUBSTITUTE(LOWER(TRIM(E478)),"á","a"),"é","e"),"í","i"),"ó","o"),"ú","u"),"ü","u"),"ñ","n"),"à","a"),"è","e"),"ì","i"),"ò","o"),"ù","u"),"")</f>
        <v/>
      </c>
      <c r="T478" s="25">
        <f>IF(AND(Q478=1,G478&lt;&gt;""),SUBSTITUTE(SUBSTITUTE(SUBSTITUTE(SUBSTITUTE(SUBSTITUTE(SUBSTITUTE(SUBSTITUTE(SUBSTITUTE(SUBSTITUTE(SUBSTITUTE(SUBSTITUTE(SUBSTITUTE(LOWER(TRIM(G478)),"á","a"),"é","e"),"í","i"),"ó","o"),"ú","u"),"ü","u"),"ñ","n"),"à","a"),"è","e"),"ì","i"),"ò","o"),"ù","u"),"")</f>
        <v/>
      </c>
      <c r="U478" s="25">
        <f>IF(AND(Q478=1,H478&lt;&gt;""),SUBSTITUTE(SUBSTITUTE(SUBSTITUTE(SUBSTITUTE(SUBSTITUTE(SUBSTITUTE(SUBSTITUTE(SUBSTITUTE(SUBSTITUTE(SUBSTITUTE(SUBSTITUTE(SUBSTITUTE(LOWER(TRIM(H478)),"á","a"),"é","e"),"í","i"),"ó","o"),"ú","u"),"ü","u"),"ñ","n"),"à","a"),"è","e"),"ì","i"),"ò","o"),"ù","u"),"")</f>
        <v/>
      </c>
      <c r="V478" s="25">
        <f>IF(AND(Q478=1,L478&lt;&gt;""),SUBSTITUTE(SUBSTITUTE(SUBSTITUTE(SUBSTITUTE(SUBSTITUTE(SUBSTITUTE(SUBSTITUTE(SUBSTITUTE(SUBSTITUTE(SUBSTITUTE(SUBSTITUTE(SUBSTITUTE(LOWER(TRIM(L478)),"á","a"),"é","e"),"í","i"),"ó","o"),"ú","u"),"ü","u"),"ñ","n"),"à","a"),"è","e"),"ì","i"),"ò","o"),"ù","u"),"")</f>
        <v/>
      </c>
      <c r="W478" s="25">
        <f>IF(AND(Q478=1,I478&lt;&gt;""),SUBSTITUTE(SUBSTITUTE(SUBSTITUTE(SUBSTITUTE(SUBSTITUTE(SUBSTITUTE(SUBSTITUTE(SUBSTITUTE(SUBSTITUTE(SUBSTITUTE(SUBSTITUTE(SUBSTITUTE(LOWER(TRIM(I478)),"á","a"),"é","e"),"í","i"),"ó","o"),"ú","u"),"ü","u"),"ñ","n"),"à","a"),"è","e"),"ì","i"),"ò","o"),"ù","u"),"")</f>
        <v/>
      </c>
      <c r="X478" s="25">
        <f>IF(U478="","",IF(OR(U478="si, en la proxima tarea",U478="si, con cambios"),1,0))</f>
        <v/>
      </c>
      <c r="Y478" s="25">
        <f>IF(AND(Q478=1,A478&lt;&gt;""),IF(IFERROR(COUNTIFS(A$3:A478,"="&amp;SUBSTITUTE(SUBSTITUTE(SUBSTITUTE(A478,"~","~~"),"*","~*"),"?","~?"),Q$3:Q478,1),0)=1,MAX(Y$2:Y477)+1,""),"")</f>
        <v/>
      </c>
      <c r="Z478" s="25">
        <f>IF(Y478="","",COUNTIFS($A$3:$A$1002,"="&amp;SUBSTITUTE(SUBSTITUTE(SUBSTITUTE(A478,"~","~~"),"*","~*"),"?","~?"),$Q$3:$Q$1002,1)*10000-Y478)</f>
        <v/>
      </c>
    </row>
    <row r="479">
      <c r="A479">
        <f>IF(A$2=0,"",IFERROR(TRIM(INDEX('Pegar docentes'!$A$1:$BZ$1001,478,A$2)&amp;""),""))</f>
        <v/>
      </c>
      <c r="B479">
        <f>IF(B$2=0,"",IFERROR(TRIM(INDEX('Pegar docentes'!$A$1:$BZ$1001,478,B$2)&amp;""),""))</f>
        <v/>
      </c>
      <c r="C479">
        <f>IF(C$2=0,"",IFERROR(TRIM(INDEX('Pegar docentes'!$A$1:$BZ$1001,478,C$2)&amp;""),""))</f>
        <v/>
      </c>
      <c r="D479">
        <f>IF(D$2=0,"",IFERROR(TRIM(INDEX('Pegar docentes'!$A$1:$BZ$1001,478,D$2)&amp;""),""))</f>
        <v/>
      </c>
      <c r="E479">
        <f>IF(E$2=0,"",IFERROR(TRIM(INDEX('Pegar docentes'!$A$1:$BZ$1001,478,E$2)&amp;""),""))</f>
        <v/>
      </c>
      <c r="F479">
        <f>IF(F$2=0,"",IFERROR(TRIM(INDEX('Pegar docentes'!$A$1:$BZ$1001,478,F$2)&amp;""),""))</f>
        <v/>
      </c>
      <c r="G479">
        <f>IF(G$2=0,"",IFERROR(TRIM(INDEX('Pegar docentes'!$A$1:$BZ$1001,478,G$2)&amp;""),""))</f>
        <v/>
      </c>
      <c r="H479">
        <f>IF(H$2=0,"",IFERROR(TRIM(INDEX('Pegar docentes'!$A$1:$BZ$1001,478,H$2)&amp;""),""))</f>
        <v/>
      </c>
      <c r="I479">
        <f>IF(I$2=0,"",IFERROR(TRIM(INDEX('Pegar docentes'!$A$1:$BZ$1001,478,I$2)&amp;""),""))</f>
        <v/>
      </c>
      <c r="J479">
        <f>IF(J$2=0,"",IFERROR(TRIM(INDEX('Pegar docentes'!$A$1:$BZ$1001,478,J$2)&amp;""),""))</f>
        <v/>
      </c>
      <c r="K479">
        <f>IF(K$2=0,"",IFERROR(TRIM(INDEX('Pegar docentes'!$A$1:$BZ$1001,478,K$2)&amp;""),""))</f>
        <v/>
      </c>
      <c r="L479">
        <f>IF(L$2=0,"",IFERROR(TRIM(INDEX('Pegar docentes'!$A$1:$BZ$1001,478,L$2)&amp;""),""))</f>
        <v/>
      </c>
      <c r="M479">
        <f>IF(M$2=0,"",IFERROR(TRIM(INDEX('Pegar docentes'!$A$1:$BZ$1001,478,M$2)&amp;""),""))</f>
        <v/>
      </c>
      <c r="N479">
        <f>IF(N$2=0,"",IFERROR(TRIM(INDEX('Pegar docentes'!$A$1:$BZ$1001,478,N$2)&amp;""),""))</f>
        <v/>
      </c>
      <c r="O479">
        <f>IF(O$2=0,"",IFERROR(TRIM(INDEX('Pegar docentes'!$A$1:$BZ$1001,478,O$2)&amp;""),""))</f>
        <v/>
      </c>
      <c r="P479">
        <f>IF(P$2=0,"",IFERROR(TRIM(INDEX('Pegar docentes'!$A$1:$BZ$1001,478,P$2)&amp;""),""))</f>
        <v/>
      </c>
      <c r="Q479" s="25">
        <f>IF(OR(D479&lt;&gt;"",H479&lt;&gt;""),1,"")</f>
        <v/>
      </c>
      <c r="R479" s="25">
        <f>IF(Q479=1,IF(ISNUMBER(FIND("#"&amp;MID(D479,1,1)&amp;"#","#0#1#2#3#4#5#6#7#8#9#")),IF(ISNUMBER(FIND("#"&amp;MID(D479,2,1)&amp;"#","#0#1#2#3#4#5#6#7#8#9#")),IF(AND(VALUE(LEFT(D479,2))&gt;=1,VALUE(LEFT(D479,2))&lt;=5),VALUE(LEFT(D479,2)),""),IF(AND(VALUE(LEFT(D479,1))&gt;=1,VALUE(LEFT(D479,1))&lt;=5),VALUE(LEFT(D479,1)),"")),""),"")</f>
        <v/>
      </c>
      <c r="S479" s="25">
        <f>IF(AND(Q479=1,E479&lt;&gt;""),SUBSTITUTE(SUBSTITUTE(SUBSTITUTE(SUBSTITUTE(SUBSTITUTE(SUBSTITUTE(SUBSTITUTE(SUBSTITUTE(SUBSTITUTE(SUBSTITUTE(SUBSTITUTE(SUBSTITUTE(LOWER(TRIM(E479)),"á","a"),"é","e"),"í","i"),"ó","o"),"ú","u"),"ü","u"),"ñ","n"),"à","a"),"è","e"),"ì","i"),"ò","o"),"ù","u"),"")</f>
        <v/>
      </c>
      <c r="T479" s="25">
        <f>IF(AND(Q479=1,G479&lt;&gt;""),SUBSTITUTE(SUBSTITUTE(SUBSTITUTE(SUBSTITUTE(SUBSTITUTE(SUBSTITUTE(SUBSTITUTE(SUBSTITUTE(SUBSTITUTE(SUBSTITUTE(SUBSTITUTE(SUBSTITUTE(LOWER(TRIM(G479)),"á","a"),"é","e"),"í","i"),"ó","o"),"ú","u"),"ü","u"),"ñ","n"),"à","a"),"è","e"),"ì","i"),"ò","o"),"ù","u"),"")</f>
        <v/>
      </c>
      <c r="U479" s="25">
        <f>IF(AND(Q479=1,H479&lt;&gt;""),SUBSTITUTE(SUBSTITUTE(SUBSTITUTE(SUBSTITUTE(SUBSTITUTE(SUBSTITUTE(SUBSTITUTE(SUBSTITUTE(SUBSTITUTE(SUBSTITUTE(SUBSTITUTE(SUBSTITUTE(LOWER(TRIM(H479)),"á","a"),"é","e"),"í","i"),"ó","o"),"ú","u"),"ü","u"),"ñ","n"),"à","a"),"è","e"),"ì","i"),"ò","o"),"ù","u"),"")</f>
        <v/>
      </c>
      <c r="V479" s="25">
        <f>IF(AND(Q479=1,L479&lt;&gt;""),SUBSTITUTE(SUBSTITUTE(SUBSTITUTE(SUBSTITUTE(SUBSTITUTE(SUBSTITUTE(SUBSTITUTE(SUBSTITUTE(SUBSTITUTE(SUBSTITUTE(SUBSTITUTE(SUBSTITUTE(LOWER(TRIM(L479)),"á","a"),"é","e"),"í","i"),"ó","o"),"ú","u"),"ü","u"),"ñ","n"),"à","a"),"è","e"),"ì","i"),"ò","o"),"ù","u"),"")</f>
        <v/>
      </c>
      <c r="W479" s="25">
        <f>IF(AND(Q479=1,I479&lt;&gt;""),SUBSTITUTE(SUBSTITUTE(SUBSTITUTE(SUBSTITUTE(SUBSTITUTE(SUBSTITUTE(SUBSTITUTE(SUBSTITUTE(SUBSTITUTE(SUBSTITUTE(SUBSTITUTE(SUBSTITUTE(LOWER(TRIM(I479)),"á","a"),"é","e"),"í","i"),"ó","o"),"ú","u"),"ü","u"),"ñ","n"),"à","a"),"è","e"),"ì","i"),"ò","o"),"ù","u"),"")</f>
        <v/>
      </c>
      <c r="X479" s="25">
        <f>IF(U479="","",IF(OR(U479="si, en la proxima tarea",U479="si, con cambios"),1,0))</f>
        <v/>
      </c>
      <c r="Y479" s="25">
        <f>IF(AND(Q479=1,A479&lt;&gt;""),IF(IFERROR(COUNTIFS(A$3:A479,"="&amp;SUBSTITUTE(SUBSTITUTE(SUBSTITUTE(A479,"~","~~"),"*","~*"),"?","~?"),Q$3:Q479,1),0)=1,MAX(Y$2:Y478)+1,""),"")</f>
        <v/>
      </c>
      <c r="Z479" s="25">
        <f>IF(Y479="","",COUNTIFS($A$3:$A$1002,"="&amp;SUBSTITUTE(SUBSTITUTE(SUBSTITUTE(A479,"~","~~"),"*","~*"),"?","~?"),$Q$3:$Q$1002,1)*10000-Y479)</f>
        <v/>
      </c>
    </row>
    <row r="480">
      <c r="A480">
        <f>IF(A$2=0,"",IFERROR(TRIM(INDEX('Pegar docentes'!$A$1:$BZ$1001,479,A$2)&amp;""),""))</f>
        <v/>
      </c>
      <c r="B480">
        <f>IF(B$2=0,"",IFERROR(TRIM(INDEX('Pegar docentes'!$A$1:$BZ$1001,479,B$2)&amp;""),""))</f>
        <v/>
      </c>
      <c r="C480">
        <f>IF(C$2=0,"",IFERROR(TRIM(INDEX('Pegar docentes'!$A$1:$BZ$1001,479,C$2)&amp;""),""))</f>
        <v/>
      </c>
      <c r="D480">
        <f>IF(D$2=0,"",IFERROR(TRIM(INDEX('Pegar docentes'!$A$1:$BZ$1001,479,D$2)&amp;""),""))</f>
        <v/>
      </c>
      <c r="E480">
        <f>IF(E$2=0,"",IFERROR(TRIM(INDEX('Pegar docentes'!$A$1:$BZ$1001,479,E$2)&amp;""),""))</f>
        <v/>
      </c>
      <c r="F480">
        <f>IF(F$2=0,"",IFERROR(TRIM(INDEX('Pegar docentes'!$A$1:$BZ$1001,479,F$2)&amp;""),""))</f>
        <v/>
      </c>
      <c r="G480">
        <f>IF(G$2=0,"",IFERROR(TRIM(INDEX('Pegar docentes'!$A$1:$BZ$1001,479,G$2)&amp;""),""))</f>
        <v/>
      </c>
      <c r="H480">
        <f>IF(H$2=0,"",IFERROR(TRIM(INDEX('Pegar docentes'!$A$1:$BZ$1001,479,H$2)&amp;""),""))</f>
        <v/>
      </c>
      <c r="I480">
        <f>IF(I$2=0,"",IFERROR(TRIM(INDEX('Pegar docentes'!$A$1:$BZ$1001,479,I$2)&amp;""),""))</f>
        <v/>
      </c>
      <c r="J480">
        <f>IF(J$2=0,"",IFERROR(TRIM(INDEX('Pegar docentes'!$A$1:$BZ$1001,479,J$2)&amp;""),""))</f>
        <v/>
      </c>
      <c r="K480">
        <f>IF(K$2=0,"",IFERROR(TRIM(INDEX('Pegar docentes'!$A$1:$BZ$1001,479,K$2)&amp;""),""))</f>
        <v/>
      </c>
      <c r="L480">
        <f>IF(L$2=0,"",IFERROR(TRIM(INDEX('Pegar docentes'!$A$1:$BZ$1001,479,L$2)&amp;""),""))</f>
        <v/>
      </c>
      <c r="M480">
        <f>IF(M$2=0,"",IFERROR(TRIM(INDEX('Pegar docentes'!$A$1:$BZ$1001,479,M$2)&amp;""),""))</f>
        <v/>
      </c>
      <c r="N480">
        <f>IF(N$2=0,"",IFERROR(TRIM(INDEX('Pegar docentes'!$A$1:$BZ$1001,479,N$2)&amp;""),""))</f>
        <v/>
      </c>
      <c r="O480">
        <f>IF(O$2=0,"",IFERROR(TRIM(INDEX('Pegar docentes'!$A$1:$BZ$1001,479,O$2)&amp;""),""))</f>
        <v/>
      </c>
      <c r="P480">
        <f>IF(P$2=0,"",IFERROR(TRIM(INDEX('Pegar docentes'!$A$1:$BZ$1001,479,P$2)&amp;""),""))</f>
        <v/>
      </c>
      <c r="Q480" s="25">
        <f>IF(OR(D480&lt;&gt;"",H480&lt;&gt;""),1,"")</f>
        <v/>
      </c>
      <c r="R480" s="25">
        <f>IF(Q480=1,IF(ISNUMBER(FIND("#"&amp;MID(D480,1,1)&amp;"#","#0#1#2#3#4#5#6#7#8#9#")),IF(ISNUMBER(FIND("#"&amp;MID(D480,2,1)&amp;"#","#0#1#2#3#4#5#6#7#8#9#")),IF(AND(VALUE(LEFT(D480,2))&gt;=1,VALUE(LEFT(D480,2))&lt;=5),VALUE(LEFT(D480,2)),""),IF(AND(VALUE(LEFT(D480,1))&gt;=1,VALUE(LEFT(D480,1))&lt;=5),VALUE(LEFT(D480,1)),"")),""),"")</f>
        <v/>
      </c>
      <c r="S480" s="25">
        <f>IF(AND(Q480=1,E480&lt;&gt;""),SUBSTITUTE(SUBSTITUTE(SUBSTITUTE(SUBSTITUTE(SUBSTITUTE(SUBSTITUTE(SUBSTITUTE(SUBSTITUTE(SUBSTITUTE(SUBSTITUTE(SUBSTITUTE(SUBSTITUTE(LOWER(TRIM(E480)),"á","a"),"é","e"),"í","i"),"ó","o"),"ú","u"),"ü","u"),"ñ","n"),"à","a"),"è","e"),"ì","i"),"ò","o"),"ù","u"),"")</f>
        <v/>
      </c>
      <c r="T480" s="25">
        <f>IF(AND(Q480=1,G480&lt;&gt;""),SUBSTITUTE(SUBSTITUTE(SUBSTITUTE(SUBSTITUTE(SUBSTITUTE(SUBSTITUTE(SUBSTITUTE(SUBSTITUTE(SUBSTITUTE(SUBSTITUTE(SUBSTITUTE(SUBSTITUTE(LOWER(TRIM(G480)),"á","a"),"é","e"),"í","i"),"ó","o"),"ú","u"),"ü","u"),"ñ","n"),"à","a"),"è","e"),"ì","i"),"ò","o"),"ù","u"),"")</f>
        <v/>
      </c>
      <c r="U480" s="25">
        <f>IF(AND(Q480=1,H480&lt;&gt;""),SUBSTITUTE(SUBSTITUTE(SUBSTITUTE(SUBSTITUTE(SUBSTITUTE(SUBSTITUTE(SUBSTITUTE(SUBSTITUTE(SUBSTITUTE(SUBSTITUTE(SUBSTITUTE(SUBSTITUTE(LOWER(TRIM(H480)),"á","a"),"é","e"),"í","i"),"ó","o"),"ú","u"),"ü","u"),"ñ","n"),"à","a"),"è","e"),"ì","i"),"ò","o"),"ù","u"),"")</f>
        <v/>
      </c>
      <c r="V480" s="25">
        <f>IF(AND(Q480=1,L480&lt;&gt;""),SUBSTITUTE(SUBSTITUTE(SUBSTITUTE(SUBSTITUTE(SUBSTITUTE(SUBSTITUTE(SUBSTITUTE(SUBSTITUTE(SUBSTITUTE(SUBSTITUTE(SUBSTITUTE(SUBSTITUTE(LOWER(TRIM(L480)),"á","a"),"é","e"),"í","i"),"ó","o"),"ú","u"),"ü","u"),"ñ","n"),"à","a"),"è","e"),"ì","i"),"ò","o"),"ù","u"),"")</f>
        <v/>
      </c>
      <c r="W480" s="25">
        <f>IF(AND(Q480=1,I480&lt;&gt;""),SUBSTITUTE(SUBSTITUTE(SUBSTITUTE(SUBSTITUTE(SUBSTITUTE(SUBSTITUTE(SUBSTITUTE(SUBSTITUTE(SUBSTITUTE(SUBSTITUTE(SUBSTITUTE(SUBSTITUTE(LOWER(TRIM(I480)),"á","a"),"é","e"),"í","i"),"ó","o"),"ú","u"),"ü","u"),"ñ","n"),"à","a"),"è","e"),"ì","i"),"ò","o"),"ù","u"),"")</f>
        <v/>
      </c>
      <c r="X480" s="25">
        <f>IF(U480="","",IF(OR(U480="si, en la proxima tarea",U480="si, con cambios"),1,0))</f>
        <v/>
      </c>
      <c r="Y480" s="25">
        <f>IF(AND(Q480=1,A480&lt;&gt;""),IF(IFERROR(COUNTIFS(A$3:A480,"="&amp;SUBSTITUTE(SUBSTITUTE(SUBSTITUTE(A480,"~","~~"),"*","~*"),"?","~?"),Q$3:Q480,1),0)=1,MAX(Y$2:Y479)+1,""),"")</f>
        <v/>
      </c>
      <c r="Z480" s="25">
        <f>IF(Y480="","",COUNTIFS($A$3:$A$1002,"="&amp;SUBSTITUTE(SUBSTITUTE(SUBSTITUTE(A480,"~","~~"),"*","~*"),"?","~?"),$Q$3:$Q$1002,1)*10000-Y480)</f>
        <v/>
      </c>
    </row>
    <row r="481">
      <c r="A481">
        <f>IF(A$2=0,"",IFERROR(TRIM(INDEX('Pegar docentes'!$A$1:$BZ$1001,480,A$2)&amp;""),""))</f>
        <v/>
      </c>
      <c r="B481">
        <f>IF(B$2=0,"",IFERROR(TRIM(INDEX('Pegar docentes'!$A$1:$BZ$1001,480,B$2)&amp;""),""))</f>
        <v/>
      </c>
      <c r="C481">
        <f>IF(C$2=0,"",IFERROR(TRIM(INDEX('Pegar docentes'!$A$1:$BZ$1001,480,C$2)&amp;""),""))</f>
        <v/>
      </c>
      <c r="D481">
        <f>IF(D$2=0,"",IFERROR(TRIM(INDEX('Pegar docentes'!$A$1:$BZ$1001,480,D$2)&amp;""),""))</f>
        <v/>
      </c>
      <c r="E481">
        <f>IF(E$2=0,"",IFERROR(TRIM(INDEX('Pegar docentes'!$A$1:$BZ$1001,480,E$2)&amp;""),""))</f>
        <v/>
      </c>
      <c r="F481">
        <f>IF(F$2=0,"",IFERROR(TRIM(INDEX('Pegar docentes'!$A$1:$BZ$1001,480,F$2)&amp;""),""))</f>
        <v/>
      </c>
      <c r="G481">
        <f>IF(G$2=0,"",IFERROR(TRIM(INDEX('Pegar docentes'!$A$1:$BZ$1001,480,G$2)&amp;""),""))</f>
        <v/>
      </c>
      <c r="H481">
        <f>IF(H$2=0,"",IFERROR(TRIM(INDEX('Pegar docentes'!$A$1:$BZ$1001,480,H$2)&amp;""),""))</f>
        <v/>
      </c>
      <c r="I481">
        <f>IF(I$2=0,"",IFERROR(TRIM(INDEX('Pegar docentes'!$A$1:$BZ$1001,480,I$2)&amp;""),""))</f>
        <v/>
      </c>
      <c r="J481">
        <f>IF(J$2=0,"",IFERROR(TRIM(INDEX('Pegar docentes'!$A$1:$BZ$1001,480,J$2)&amp;""),""))</f>
        <v/>
      </c>
      <c r="K481">
        <f>IF(K$2=0,"",IFERROR(TRIM(INDEX('Pegar docentes'!$A$1:$BZ$1001,480,K$2)&amp;""),""))</f>
        <v/>
      </c>
      <c r="L481">
        <f>IF(L$2=0,"",IFERROR(TRIM(INDEX('Pegar docentes'!$A$1:$BZ$1001,480,L$2)&amp;""),""))</f>
        <v/>
      </c>
      <c r="M481">
        <f>IF(M$2=0,"",IFERROR(TRIM(INDEX('Pegar docentes'!$A$1:$BZ$1001,480,M$2)&amp;""),""))</f>
        <v/>
      </c>
      <c r="N481">
        <f>IF(N$2=0,"",IFERROR(TRIM(INDEX('Pegar docentes'!$A$1:$BZ$1001,480,N$2)&amp;""),""))</f>
        <v/>
      </c>
      <c r="O481">
        <f>IF(O$2=0,"",IFERROR(TRIM(INDEX('Pegar docentes'!$A$1:$BZ$1001,480,O$2)&amp;""),""))</f>
        <v/>
      </c>
      <c r="P481">
        <f>IF(P$2=0,"",IFERROR(TRIM(INDEX('Pegar docentes'!$A$1:$BZ$1001,480,P$2)&amp;""),""))</f>
        <v/>
      </c>
      <c r="Q481" s="25">
        <f>IF(OR(D481&lt;&gt;"",H481&lt;&gt;""),1,"")</f>
        <v/>
      </c>
      <c r="R481" s="25">
        <f>IF(Q481=1,IF(ISNUMBER(FIND("#"&amp;MID(D481,1,1)&amp;"#","#0#1#2#3#4#5#6#7#8#9#")),IF(ISNUMBER(FIND("#"&amp;MID(D481,2,1)&amp;"#","#0#1#2#3#4#5#6#7#8#9#")),IF(AND(VALUE(LEFT(D481,2))&gt;=1,VALUE(LEFT(D481,2))&lt;=5),VALUE(LEFT(D481,2)),""),IF(AND(VALUE(LEFT(D481,1))&gt;=1,VALUE(LEFT(D481,1))&lt;=5),VALUE(LEFT(D481,1)),"")),""),"")</f>
        <v/>
      </c>
      <c r="S481" s="25">
        <f>IF(AND(Q481=1,E481&lt;&gt;""),SUBSTITUTE(SUBSTITUTE(SUBSTITUTE(SUBSTITUTE(SUBSTITUTE(SUBSTITUTE(SUBSTITUTE(SUBSTITUTE(SUBSTITUTE(SUBSTITUTE(SUBSTITUTE(SUBSTITUTE(LOWER(TRIM(E481)),"á","a"),"é","e"),"í","i"),"ó","o"),"ú","u"),"ü","u"),"ñ","n"),"à","a"),"è","e"),"ì","i"),"ò","o"),"ù","u"),"")</f>
        <v/>
      </c>
      <c r="T481" s="25">
        <f>IF(AND(Q481=1,G481&lt;&gt;""),SUBSTITUTE(SUBSTITUTE(SUBSTITUTE(SUBSTITUTE(SUBSTITUTE(SUBSTITUTE(SUBSTITUTE(SUBSTITUTE(SUBSTITUTE(SUBSTITUTE(SUBSTITUTE(SUBSTITUTE(LOWER(TRIM(G481)),"á","a"),"é","e"),"í","i"),"ó","o"),"ú","u"),"ü","u"),"ñ","n"),"à","a"),"è","e"),"ì","i"),"ò","o"),"ù","u"),"")</f>
        <v/>
      </c>
      <c r="U481" s="25">
        <f>IF(AND(Q481=1,H481&lt;&gt;""),SUBSTITUTE(SUBSTITUTE(SUBSTITUTE(SUBSTITUTE(SUBSTITUTE(SUBSTITUTE(SUBSTITUTE(SUBSTITUTE(SUBSTITUTE(SUBSTITUTE(SUBSTITUTE(SUBSTITUTE(LOWER(TRIM(H481)),"á","a"),"é","e"),"í","i"),"ó","o"),"ú","u"),"ü","u"),"ñ","n"),"à","a"),"è","e"),"ì","i"),"ò","o"),"ù","u"),"")</f>
        <v/>
      </c>
      <c r="V481" s="25">
        <f>IF(AND(Q481=1,L481&lt;&gt;""),SUBSTITUTE(SUBSTITUTE(SUBSTITUTE(SUBSTITUTE(SUBSTITUTE(SUBSTITUTE(SUBSTITUTE(SUBSTITUTE(SUBSTITUTE(SUBSTITUTE(SUBSTITUTE(SUBSTITUTE(LOWER(TRIM(L481)),"á","a"),"é","e"),"í","i"),"ó","o"),"ú","u"),"ü","u"),"ñ","n"),"à","a"),"è","e"),"ì","i"),"ò","o"),"ù","u"),"")</f>
        <v/>
      </c>
      <c r="W481" s="25">
        <f>IF(AND(Q481=1,I481&lt;&gt;""),SUBSTITUTE(SUBSTITUTE(SUBSTITUTE(SUBSTITUTE(SUBSTITUTE(SUBSTITUTE(SUBSTITUTE(SUBSTITUTE(SUBSTITUTE(SUBSTITUTE(SUBSTITUTE(SUBSTITUTE(LOWER(TRIM(I481)),"á","a"),"é","e"),"í","i"),"ó","o"),"ú","u"),"ü","u"),"ñ","n"),"à","a"),"è","e"),"ì","i"),"ò","o"),"ù","u"),"")</f>
        <v/>
      </c>
      <c r="X481" s="25">
        <f>IF(U481="","",IF(OR(U481="si, en la proxima tarea",U481="si, con cambios"),1,0))</f>
        <v/>
      </c>
      <c r="Y481" s="25">
        <f>IF(AND(Q481=1,A481&lt;&gt;""),IF(IFERROR(COUNTIFS(A$3:A481,"="&amp;SUBSTITUTE(SUBSTITUTE(SUBSTITUTE(A481,"~","~~"),"*","~*"),"?","~?"),Q$3:Q481,1),0)=1,MAX(Y$2:Y480)+1,""),"")</f>
        <v/>
      </c>
      <c r="Z481" s="25">
        <f>IF(Y481="","",COUNTIFS($A$3:$A$1002,"="&amp;SUBSTITUTE(SUBSTITUTE(SUBSTITUTE(A481,"~","~~"),"*","~*"),"?","~?"),$Q$3:$Q$1002,1)*10000-Y481)</f>
        <v/>
      </c>
    </row>
    <row r="482">
      <c r="A482">
        <f>IF(A$2=0,"",IFERROR(TRIM(INDEX('Pegar docentes'!$A$1:$BZ$1001,481,A$2)&amp;""),""))</f>
        <v/>
      </c>
      <c r="B482">
        <f>IF(B$2=0,"",IFERROR(TRIM(INDEX('Pegar docentes'!$A$1:$BZ$1001,481,B$2)&amp;""),""))</f>
        <v/>
      </c>
      <c r="C482">
        <f>IF(C$2=0,"",IFERROR(TRIM(INDEX('Pegar docentes'!$A$1:$BZ$1001,481,C$2)&amp;""),""))</f>
        <v/>
      </c>
      <c r="D482">
        <f>IF(D$2=0,"",IFERROR(TRIM(INDEX('Pegar docentes'!$A$1:$BZ$1001,481,D$2)&amp;""),""))</f>
        <v/>
      </c>
      <c r="E482">
        <f>IF(E$2=0,"",IFERROR(TRIM(INDEX('Pegar docentes'!$A$1:$BZ$1001,481,E$2)&amp;""),""))</f>
        <v/>
      </c>
      <c r="F482">
        <f>IF(F$2=0,"",IFERROR(TRIM(INDEX('Pegar docentes'!$A$1:$BZ$1001,481,F$2)&amp;""),""))</f>
        <v/>
      </c>
      <c r="G482">
        <f>IF(G$2=0,"",IFERROR(TRIM(INDEX('Pegar docentes'!$A$1:$BZ$1001,481,G$2)&amp;""),""))</f>
        <v/>
      </c>
      <c r="H482">
        <f>IF(H$2=0,"",IFERROR(TRIM(INDEX('Pegar docentes'!$A$1:$BZ$1001,481,H$2)&amp;""),""))</f>
        <v/>
      </c>
      <c r="I482">
        <f>IF(I$2=0,"",IFERROR(TRIM(INDEX('Pegar docentes'!$A$1:$BZ$1001,481,I$2)&amp;""),""))</f>
        <v/>
      </c>
      <c r="J482">
        <f>IF(J$2=0,"",IFERROR(TRIM(INDEX('Pegar docentes'!$A$1:$BZ$1001,481,J$2)&amp;""),""))</f>
        <v/>
      </c>
      <c r="K482">
        <f>IF(K$2=0,"",IFERROR(TRIM(INDEX('Pegar docentes'!$A$1:$BZ$1001,481,K$2)&amp;""),""))</f>
        <v/>
      </c>
      <c r="L482">
        <f>IF(L$2=0,"",IFERROR(TRIM(INDEX('Pegar docentes'!$A$1:$BZ$1001,481,L$2)&amp;""),""))</f>
        <v/>
      </c>
      <c r="M482">
        <f>IF(M$2=0,"",IFERROR(TRIM(INDEX('Pegar docentes'!$A$1:$BZ$1001,481,M$2)&amp;""),""))</f>
        <v/>
      </c>
      <c r="N482">
        <f>IF(N$2=0,"",IFERROR(TRIM(INDEX('Pegar docentes'!$A$1:$BZ$1001,481,N$2)&amp;""),""))</f>
        <v/>
      </c>
      <c r="O482">
        <f>IF(O$2=0,"",IFERROR(TRIM(INDEX('Pegar docentes'!$A$1:$BZ$1001,481,O$2)&amp;""),""))</f>
        <v/>
      </c>
      <c r="P482">
        <f>IF(P$2=0,"",IFERROR(TRIM(INDEX('Pegar docentes'!$A$1:$BZ$1001,481,P$2)&amp;""),""))</f>
        <v/>
      </c>
      <c r="Q482" s="25">
        <f>IF(OR(D482&lt;&gt;"",H482&lt;&gt;""),1,"")</f>
        <v/>
      </c>
      <c r="R482" s="25">
        <f>IF(Q482=1,IF(ISNUMBER(FIND("#"&amp;MID(D482,1,1)&amp;"#","#0#1#2#3#4#5#6#7#8#9#")),IF(ISNUMBER(FIND("#"&amp;MID(D482,2,1)&amp;"#","#0#1#2#3#4#5#6#7#8#9#")),IF(AND(VALUE(LEFT(D482,2))&gt;=1,VALUE(LEFT(D482,2))&lt;=5),VALUE(LEFT(D482,2)),""),IF(AND(VALUE(LEFT(D482,1))&gt;=1,VALUE(LEFT(D482,1))&lt;=5),VALUE(LEFT(D482,1)),"")),""),"")</f>
        <v/>
      </c>
      <c r="S482" s="25">
        <f>IF(AND(Q482=1,E482&lt;&gt;""),SUBSTITUTE(SUBSTITUTE(SUBSTITUTE(SUBSTITUTE(SUBSTITUTE(SUBSTITUTE(SUBSTITUTE(SUBSTITUTE(SUBSTITUTE(SUBSTITUTE(SUBSTITUTE(SUBSTITUTE(LOWER(TRIM(E482)),"á","a"),"é","e"),"í","i"),"ó","o"),"ú","u"),"ü","u"),"ñ","n"),"à","a"),"è","e"),"ì","i"),"ò","o"),"ù","u"),"")</f>
        <v/>
      </c>
      <c r="T482" s="25">
        <f>IF(AND(Q482=1,G482&lt;&gt;""),SUBSTITUTE(SUBSTITUTE(SUBSTITUTE(SUBSTITUTE(SUBSTITUTE(SUBSTITUTE(SUBSTITUTE(SUBSTITUTE(SUBSTITUTE(SUBSTITUTE(SUBSTITUTE(SUBSTITUTE(LOWER(TRIM(G482)),"á","a"),"é","e"),"í","i"),"ó","o"),"ú","u"),"ü","u"),"ñ","n"),"à","a"),"è","e"),"ì","i"),"ò","o"),"ù","u"),"")</f>
        <v/>
      </c>
      <c r="U482" s="25">
        <f>IF(AND(Q482=1,H482&lt;&gt;""),SUBSTITUTE(SUBSTITUTE(SUBSTITUTE(SUBSTITUTE(SUBSTITUTE(SUBSTITUTE(SUBSTITUTE(SUBSTITUTE(SUBSTITUTE(SUBSTITUTE(SUBSTITUTE(SUBSTITUTE(LOWER(TRIM(H482)),"á","a"),"é","e"),"í","i"),"ó","o"),"ú","u"),"ü","u"),"ñ","n"),"à","a"),"è","e"),"ì","i"),"ò","o"),"ù","u"),"")</f>
        <v/>
      </c>
      <c r="V482" s="25">
        <f>IF(AND(Q482=1,L482&lt;&gt;""),SUBSTITUTE(SUBSTITUTE(SUBSTITUTE(SUBSTITUTE(SUBSTITUTE(SUBSTITUTE(SUBSTITUTE(SUBSTITUTE(SUBSTITUTE(SUBSTITUTE(SUBSTITUTE(SUBSTITUTE(LOWER(TRIM(L482)),"á","a"),"é","e"),"í","i"),"ó","o"),"ú","u"),"ü","u"),"ñ","n"),"à","a"),"è","e"),"ì","i"),"ò","o"),"ù","u"),"")</f>
        <v/>
      </c>
      <c r="W482" s="25">
        <f>IF(AND(Q482=1,I482&lt;&gt;""),SUBSTITUTE(SUBSTITUTE(SUBSTITUTE(SUBSTITUTE(SUBSTITUTE(SUBSTITUTE(SUBSTITUTE(SUBSTITUTE(SUBSTITUTE(SUBSTITUTE(SUBSTITUTE(SUBSTITUTE(LOWER(TRIM(I482)),"á","a"),"é","e"),"í","i"),"ó","o"),"ú","u"),"ü","u"),"ñ","n"),"à","a"),"è","e"),"ì","i"),"ò","o"),"ù","u"),"")</f>
        <v/>
      </c>
      <c r="X482" s="25">
        <f>IF(U482="","",IF(OR(U482="si, en la proxima tarea",U482="si, con cambios"),1,0))</f>
        <v/>
      </c>
      <c r="Y482" s="25">
        <f>IF(AND(Q482=1,A482&lt;&gt;""),IF(IFERROR(COUNTIFS(A$3:A482,"="&amp;SUBSTITUTE(SUBSTITUTE(SUBSTITUTE(A482,"~","~~"),"*","~*"),"?","~?"),Q$3:Q482,1),0)=1,MAX(Y$2:Y481)+1,""),"")</f>
        <v/>
      </c>
      <c r="Z482" s="25">
        <f>IF(Y482="","",COUNTIFS($A$3:$A$1002,"="&amp;SUBSTITUTE(SUBSTITUTE(SUBSTITUTE(A482,"~","~~"),"*","~*"),"?","~?"),$Q$3:$Q$1002,1)*10000-Y482)</f>
        <v/>
      </c>
    </row>
    <row r="483">
      <c r="A483">
        <f>IF(A$2=0,"",IFERROR(TRIM(INDEX('Pegar docentes'!$A$1:$BZ$1001,482,A$2)&amp;""),""))</f>
        <v/>
      </c>
      <c r="B483">
        <f>IF(B$2=0,"",IFERROR(TRIM(INDEX('Pegar docentes'!$A$1:$BZ$1001,482,B$2)&amp;""),""))</f>
        <v/>
      </c>
      <c r="C483">
        <f>IF(C$2=0,"",IFERROR(TRIM(INDEX('Pegar docentes'!$A$1:$BZ$1001,482,C$2)&amp;""),""))</f>
        <v/>
      </c>
      <c r="D483">
        <f>IF(D$2=0,"",IFERROR(TRIM(INDEX('Pegar docentes'!$A$1:$BZ$1001,482,D$2)&amp;""),""))</f>
        <v/>
      </c>
      <c r="E483">
        <f>IF(E$2=0,"",IFERROR(TRIM(INDEX('Pegar docentes'!$A$1:$BZ$1001,482,E$2)&amp;""),""))</f>
        <v/>
      </c>
      <c r="F483">
        <f>IF(F$2=0,"",IFERROR(TRIM(INDEX('Pegar docentes'!$A$1:$BZ$1001,482,F$2)&amp;""),""))</f>
        <v/>
      </c>
      <c r="G483">
        <f>IF(G$2=0,"",IFERROR(TRIM(INDEX('Pegar docentes'!$A$1:$BZ$1001,482,G$2)&amp;""),""))</f>
        <v/>
      </c>
      <c r="H483">
        <f>IF(H$2=0,"",IFERROR(TRIM(INDEX('Pegar docentes'!$A$1:$BZ$1001,482,H$2)&amp;""),""))</f>
        <v/>
      </c>
      <c r="I483">
        <f>IF(I$2=0,"",IFERROR(TRIM(INDEX('Pegar docentes'!$A$1:$BZ$1001,482,I$2)&amp;""),""))</f>
        <v/>
      </c>
      <c r="J483">
        <f>IF(J$2=0,"",IFERROR(TRIM(INDEX('Pegar docentes'!$A$1:$BZ$1001,482,J$2)&amp;""),""))</f>
        <v/>
      </c>
      <c r="K483">
        <f>IF(K$2=0,"",IFERROR(TRIM(INDEX('Pegar docentes'!$A$1:$BZ$1001,482,K$2)&amp;""),""))</f>
        <v/>
      </c>
      <c r="L483">
        <f>IF(L$2=0,"",IFERROR(TRIM(INDEX('Pegar docentes'!$A$1:$BZ$1001,482,L$2)&amp;""),""))</f>
        <v/>
      </c>
      <c r="M483">
        <f>IF(M$2=0,"",IFERROR(TRIM(INDEX('Pegar docentes'!$A$1:$BZ$1001,482,M$2)&amp;""),""))</f>
        <v/>
      </c>
      <c r="N483">
        <f>IF(N$2=0,"",IFERROR(TRIM(INDEX('Pegar docentes'!$A$1:$BZ$1001,482,N$2)&amp;""),""))</f>
        <v/>
      </c>
      <c r="O483">
        <f>IF(O$2=0,"",IFERROR(TRIM(INDEX('Pegar docentes'!$A$1:$BZ$1001,482,O$2)&amp;""),""))</f>
        <v/>
      </c>
      <c r="P483">
        <f>IF(P$2=0,"",IFERROR(TRIM(INDEX('Pegar docentes'!$A$1:$BZ$1001,482,P$2)&amp;""),""))</f>
        <v/>
      </c>
      <c r="Q483" s="25">
        <f>IF(OR(D483&lt;&gt;"",H483&lt;&gt;""),1,"")</f>
        <v/>
      </c>
      <c r="R483" s="25">
        <f>IF(Q483=1,IF(ISNUMBER(FIND("#"&amp;MID(D483,1,1)&amp;"#","#0#1#2#3#4#5#6#7#8#9#")),IF(ISNUMBER(FIND("#"&amp;MID(D483,2,1)&amp;"#","#0#1#2#3#4#5#6#7#8#9#")),IF(AND(VALUE(LEFT(D483,2))&gt;=1,VALUE(LEFT(D483,2))&lt;=5),VALUE(LEFT(D483,2)),""),IF(AND(VALUE(LEFT(D483,1))&gt;=1,VALUE(LEFT(D483,1))&lt;=5),VALUE(LEFT(D483,1)),"")),""),"")</f>
        <v/>
      </c>
      <c r="S483" s="25">
        <f>IF(AND(Q483=1,E483&lt;&gt;""),SUBSTITUTE(SUBSTITUTE(SUBSTITUTE(SUBSTITUTE(SUBSTITUTE(SUBSTITUTE(SUBSTITUTE(SUBSTITUTE(SUBSTITUTE(SUBSTITUTE(SUBSTITUTE(SUBSTITUTE(LOWER(TRIM(E483)),"á","a"),"é","e"),"í","i"),"ó","o"),"ú","u"),"ü","u"),"ñ","n"),"à","a"),"è","e"),"ì","i"),"ò","o"),"ù","u"),"")</f>
        <v/>
      </c>
      <c r="T483" s="25">
        <f>IF(AND(Q483=1,G483&lt;&gt;""),SUBSTITUTE(SUBSTITUTE(SUBSTITUTE(SUBSTITUTE(SUBSTITUTE(SUBSTITUTE(SUBSTITUTE(SUBSTITUTE(SUBSTITUTE(SUBSTITUTE(SUBSTITUTE(SUBSTITUTE(LOWER(TRIM(G483)),"á","a"),"é","e"),"í","i"),"ó","o"),"ú","u"),"ü","u"),"ñ","n"),"à","a"),"è","e"),"ì","i"),"ò","o"),"ù","u"),"")</f>
        <v/>
      </c>
      <c r="U483" s="25">
        <f>IF(AND(Q483=1,H483&lt;&gt;""),SUBSTITUTE(SUBSTITUTE(SUBSTITUTE(SUBSTITUTE(SUBSTITUTE(SUBSTITUTE(SUBSTITUTE(SUBSTITUTE(SUBSTITUTE(SUBSTITUTE(SUBSTITUTE(SUBSTITUTE(LOWER(TRIM(H483)),"á","a"),"é","e"),"í","i"),"ó","o"),"ú","u"),"ü","u"),"ñ","n"),"à","a"),"è","e"),"ì","i"),"ò","o"),"ù","u"),"")</f>
        <v/>
      </c>
      <c r="V483" s="25">
        <f>IF(AND(Q483=1,L483&lt;&gt;""),SUBSTITUTE(SUBSTITUTE(SUBSTITUTE(SUBSTITUTE(SUBSTITUTE(SUBSTITUTE(SUBSTITUTE(SUBSTITUTE(SUBSTITUTE(SUBSTITUTE(SUBSTITUTE(SUBSTITUTE(LOWER(TRIM(L483)),"á","a"),"é","e"),"í","i"),"ó","o"),"ú","u"),"ü","u"),"ñ","n"),"à","a"),"è","e"),"ì","i"),"ò","o"),"ù","u"),"")</f>
        <v/>
      </c>
      <c r="W483" s="25">
        <f>IF(AND(Q483=1,I483&lt;&gt;""),SUBSTITUTE(SUBSTITUTE(SUBSTITUTE(SUBSTITUTE(SUBSTITUTE(SUBSTITUTE(SUBSTITUTE(SUBSTITUTE(SUBSTITUTE(SUBSTITUTE(SUBSTITUTE(SUBSTITUTE(LOWER(TRIM(I483)),"á","a"),"é","e"),"í","i"),"ó","o"),"ú","u"),"ü","u"),"ñ","n"),"à","a"),"è","e"),"ì","i"),"ò","o"),"ù","u"),"")</f>
        <v/>
      </c>
      <c r="X483" s="25">
        <f>IF(U483="","",IF(OR(U483="si, en la proxima tarea",U483="si, con cambios"),1,0))</f>
        <v/>
      </c>
      <c r="Y483" s="25">
        <f>IF(AND(Q483=1,A483&lt;&gt;""),IF(IFERROR(COUNTIFS(A$3:A483,"="&amp;SUBSTITUTE(SUBSTITUTE(SUBSTITUTE(A483,"~","~~"),"*","~*"),"?","~?"),Q$3:Q483,1),0)=1,MAX(Y$2:Y482)+1,""),"")</f>
        <v/>
      </c>
      <c r="Z483" s="25">
        <f>IF(Y483="","",COUNTIFS($A$3:$A$1002,"="&amp;SUBSTITUTE(SUBSTITUTE(SUBSTITUTE(A483,"~","~~"),"*","~*"),"?","~?"),$Q$3:$Q$1002,1)*10000-Y483)</f>
        <v/>
      </c>
    </row>
    <row r="484">
      <c r="A484">
        <f>IF(A$2=0,"",IFERROR(TRIM(INDEX('Pegar docentes'!$A$1:$BZ$1001,483,A$2)&amp;""),""))</f>
        <v/>
      </c>
      <c r="B484">
        <f>IF(B$2=0,"",IFERROR(TRIM(INDEX('Pegar docentes'!$A$1:$BZ$1001,483,B$2)&amp;""),""))</f>
        <v/>
      </c>
      <c r="C484">
        <f>IF(C$2=0,"",IFERROR(TRIM(INDEX('Pegar docentes'!$A$1:$BZ$1001,483,C$2)&amp;""),""))</f>
        <v/>
      </c>
      <c r="D484">
        <f>IF(D$2=0,"",IFERROR(TRIM(INDEX('Pegar docentes'!$A$1:$BZ$1001,483,D$2)&amp;""),""))</f>
        <v/>
      </c>
      <c r="E484">
        <f>IF(E$2=0,"",IFERROR(TRIM(INDEX('Pegar docentes'!$A$1:$BZ$1001,483,E$2)&amp;""),""))</f>
        <v/>
      </c>
      <c r="F484">
        <f>IF(F$2=0,"",IFERROR(TRIM(INDEX('Pegar docentes'!$A$1:$BZ$1001,483,F$2)&amp;""),""))</f>
        <v/>
      </c>
      <c r="G484">
        <f>IF(G$2=0,"",IFERROR(TRIM(INDEX('Pegar docentes'!$A$1:$BZ$1001,483,G$2)&amp;""),""))</f>
        <v/>
      </c>
      <c r="H484">
        <f>IF(H$2=0,"",IFERROR(TRIM(INDEX('Pegar docentes'!$A$1:$BZ$1001,483,H$2)&amp;""),""))</f>
        <v/>
      </c>
      <c r="I484">
        <f>IF(I$2=0,"",IFERROR(TRIM(INDEX('Pegar docentes'!$A$1:$BZ$1001,483,I$2)&amp;""),""))</f>
        <v/>
      </c>
      <c r="J484">
        <f>IF(J$2=0,"",IFERROR(TRIM(INDEX('Pegar docentes'!$A$1:$BZ$1001,483,J$2)&amp;""),""))</f>
        <v/>
      </c>
      <c r="K484">
        <f>IF(K$2=0,"",IFERROR(TRIM(INDEX('Pegar docentes'!$A$1:$BZ$1001,483,K$2)&amp;""),""))</f>
        <v/>
      </c>
      <c r="L484">
        <f>IF(L$2=0,"",IFERROR(TRIM(INDEX('Pegar docentes'!$A$1:$BZ$1001,483,L$2)&amp;""),""))</f>
        <v/>
      </c>
      <c r="M484">
        <f>IF(M$2=0,"",IFERROR(TRIM(INDEX('Pegar docentes'!$A$1:$BZ$1001,483,M$2)&amp;""),""))</f>
        <v/>
      </c>
      <c r="N484">
        <f>IF(N$2=0,"",IFERROR(TRIM(INDEX('Pegar docentes'!$A$1:$BZ$1001,483,N$2)&amp;""),""))</f>
        <v/>
      </c>
      <c r="O484">
        <f>IF(O$2=0,"",IFERROR(TRIM(INDEX('Pegar docentes'!$A$1:$BZ$1001,483,O$2)&amp;""),""))</f>
        <v/>
      </c>
      <c r="P484">
        <f>IF(P$2=0,"",IFERROR(TRIM(INDEX('Pegar docentes'!$A$1:$BZ$1001,483,P$2)&amp;""),""))</f>
        <v/>
      </c>
      <c r="Q484" s="25">
        <f>IF(OR(D484&lt;&gt;"",H484&lt;&gt;""),1,"")</f>
        <v/>
      </c>
      <c r="R484" s="25">
        <f>IF(Q484=1,IF(ISNUMBER(FIND("#"&amp;MID(D484,1,1)&amp;"#","#0#1#2#3#4#5#6#7#8#9#")),IF(ISNUMBER(FIND("#"&amp;MID(D484,2,1)&amp;"#","#0#1#2#3#4#5#6#7#8#9#")),IF(AND(VALUE(LEFT(D484,2))&gt;=1,VALUE(LEFT(D484,2))&lt;=5),VALUE(LEFT(D484,2)),""),IF(AND(VALUE(LEFT(D484,1))&gt;=1,VALUE(LEFT(D484,1))&lt;=5),VALUE(LEFT(D484,1)),"")),""),"")</f>
        <v/>
      </c>
      <c r="S484" s="25">
        <f>IF(AND(Q484=1,E484&lt;&gt;""),SUBSTITUTE(SUBSTITUTE(SUBSTITUTE(SUBSTITUTE(SUBSTITUTE(SUBSTITUTE(SUBSTITUTE(SUBSTITUTE(SUBSTITUTE(SUBSTITUTE(SUBSTITUTE(SUBSTITUTE(LOWER(TRIM(E484)),"á","a"),"é","e"),"í","i"),"ó","o"),"ú","u"),"ü","u"),"ñ","n"),"à","a"),"è","e"),"ì","i"),"ò","o"),"ù","u"),"")</f>
        <v/>
      </c>
      <c r="T484" s="25">
        <f>IF(AND(Q484=1,G484&lt;&gt;""),SUBSTITUTE(SUBSTITUTE(SUBSTITUTE(SUBSTITUTE(SUBSTITUTE(SUBSTITUTE(SUBSTITUTE(SUBSTITUTE(SUBSTITUTE(SUBSTITUTE(SUBSTITUTE(SUBSTITUTE(LOWER(TRIM(G484)),"á","a"),"é","e"),"í","i"),"ó","o"),"ú","u"),"ü","u"),"ñ","n"),"à","a"),"è","e"),"ì","i"),"ò","o"),"ù","u"),"")</f>
        <v/>
      </c>
      <c r="U484" s="25">
        <f>IF(AND(Q484=1,H484&lt;&gt;""),SUBSTITUTE(SUBSTITUTE(SUBSTITUTE(SUBSTITUTE(SUBSTITUTE(SUBSTITUTE(SUBSTITUTE(SUBSTITUTE(SUBSTITUTE(SUBSTITUTE(SUBSTITUTE(SUBSTITUTE(LOWER(TRIM(H484)),"á","a"),"é","e"),"í","i"),"ó","o"),"ú","u"),"ü","u"),"ñ","n"),"à","a"),"è","e"),"ì","i"),"ò","o"),"ù","u"),"")</f>
        <v/>
      </c>
      <c r="V484" s="25">
        <f>IF(AND(Q484=1,L484&lt;&gt;""),SUBSTITUTE(SUBSTITUTE(SUBSTITUTE(SUBSTITUTE(SUBSTITUTE(SUBSTITUTE(SUBSTITUTE(SUBSTITUTE(SUBSTITUTE(SUBSTITUTE(SUBSTITUTE(SUBSTITUTE(LOWER(TRIM(L484)),"á","a"),"é","e"),"í","i"),"ó","o"),"ú","u"),"ü","u"),"ñ","n"),"à","a"),"è","e"),"ì","i"),"ò","o"),"ù","u"),"")</f>
        <v/>
      </c>
      <c r="W484" s="25">
        <f>IF(AND(Q484=1,I484&lt;&gt;""),SUBSTITUTE(SUBSTITUTE(SUBSTITUTE(SUBSTITUTE(SUBSTITUTE(SUBSTITUTE(SUBSTITUTE(SUBSTITUTE(SUBSTITUTE(SUBSTITUTE(SUBSTITUTE(SUBSTITUTE(LOWER(TRIM(I484)),"á","a"),"é","e"),"í","i"),"ó","o"),"ú","u"),"ü","u"),"ñ","n"),"à","a"),"è","e"),"ì","i"),"ò","o"),"ù","u"),"")</f>
        <v/>
      </c>
      <c r="X484" s="25">
        <f>IF(U484="","",IF(OR(U484="si, en la proxima tarea",U484="si, con cambios"),1,0))</f>
        <v/>
      </c>
      <c r="Y484" s="25">
        <f>IF(AND(Q484=1,A484&lt;&gt;""),IF(IFERROR(COUNTIFS(A$3:A484,"="&amp;SUBSTITUTE(SUBSTITUTE(SUBSTITUTE(A484,"~","~~"),"*","~*"),"?","~?"),Q$3:Q484,1),0)=1,MAX(Y$2:Y483)+1,""),"")</f>
        <v/>
      </c>
      <c r="Z484" s="25">
        <f>IF(Y484="","",COUNTIFS($A$3:$A$1002,"="&amp;SUBSTITUTE(SUBSTITUTE(SUBSTITUTE(A484,"~","~~"),"*","~*"),"?","~?"),$Q$3:$Q$1002,1)*10000-Y484)</f>
        <v/>
      </c>
    </row>
    <row r="485">
      <c r="A485">
        <f>IF(A$2=0,"",IFERROR(TRIM(INDEX('Pegar docentes'!$A$1:$BZ$1001,484,A$2)&amp;""),""))</f>
        <v/>
      </c>
      <c r="B485">
        <f>IF(B$2=0,"",IFERROR(TRIM(INDEX('Pegar docentes'!$A$1:$BZ$1001,484,B$2)&amp;""),""))</f>
        <v/>
      </c>
      <c r="C485">
        <f>IF(C$2=0,"",IFERROR(TRIM(INDEX('Pegar docentes'!$A$1:$BZ$1001,484,C$2)&amp;""),""))</f>
        <v/>
      </c>
      <c r="D485">
        <f>IF(D$2=0,"",IFERROR(TRIM(INDEX('Pegar docentes'!$A$1:$BZ$1001,484,D$2)&amp;""),""))</f>
        <v/>
      </c>
      <c r="E485">
        <f>IF(E$2=0,"",IFERROR(TRIM(INDEX('Pegar docentes'!$A$1:$BZ$1001,484,E$2)&amp;""),""))</f>
        <v/>
      </c>
      <c r="F485">
        <f>IF(F$2=0,"",IFERROR(TRIM(INDEX('Pegar docentes'!$A$1:$BZ$1001,484,F$2)&amp;""),""))</f>
        <v/>
      </c>
      <c r="G485">
        <f>IF(G$2=0,"",IFERROR(TRIM(INDEX('Pegar docentes'!$A$1:$BZ$1001,484,G$2)&amp;""),""))</f>
        <v/>
      </c>
      <c r="H485">
        <f>IF(H$2=0,"",IFERROR(TRIM(INDEX('Pegar docentes'!$A$1:$BZ$1001,484,H$2)&amp;""),""))</f>
        <v/>
      </c>
      <c r="I485">
        <f>IF(I$2=0,"",IFERROR(TRIM(INDEX('Pegar docentes'!$A$1:$BZ$1001,484,I$2)&amp;""),""))</f>
        <v/>
      </c>
      <c r="J485">
        <f>IF(J$2=0,"",IFERROR(TRIM(INDEX('Pegar docentes'!$A$1:$BZ$1001,484,J$2)&amp;""),""))</f>
        <v/>
      </c>
      <c r="K485">
        <f>IF(K$2=0,"",IFERROR(TRIM(INDEX('Pegar docentes'!$A$1:$BZ$1001,484,K$2)&amp;""),""))</f>
        <v/>
      </c>
      <c r="L485">
        <f>IF(L$2=0,"",IFERROR(TRIM(INDEX('Pegar docentes'!$A$1:$BZ$1001,484,L$2)&amp;""),""))</f>
        <v/>
      </c>
      <c r="M485">
        <f>IF(M$2=0,"",IFERROR(TRIM(INDEX('Pegar docentes'!$A$1:$BZ$1001,484,M$2)&amp;""),""))</f>
        <v/>
      </c>
      <c r="N485">
        <f>IF(N$2=0,"",IFERROR(TRIM(INDEX('Pegar docentes'!$A$1:$BZ$1001,484,N$2)&amp;""),""))</f>
        <v/>
      </c>
      <c r="O485">
        <f>IF(O$2=0,"",IFERROR(TRIM(INDEX('Pegar docentes'!$A$1:$BZ$1001,484,O$2)&amp;""),""))</f>
        <v/>
      </c>
      <c r="P485">
        <f>IF(P$2=0,"",IFERROR(TRIM(INDEX('Pegar docentes'!$A$1:$BZ$1001,484,P$2)&amp;""),""))</f>
        <v/>
      </c>
      <c r="Q485" s="25">
        <f>IF(OR(D485&lt;&gt;"",H485&lt;&gt;""),1,"")</f>
        <v/>
      </c>
      <c r="R485" s="25">
        <f>IF(Q485=1,IF(ISNUMBER(FIND("#"&amp;MID(D485,1,1)&amp;"#","#0#1#2#3#4#5#6#7#8#9#")),IF(ISNUMBER(FIND("#"&amp;MID(D485,2,1)&amp;"#","#0#1#2#3#4#5#6#7#8#9#")),IF(AND(VALUE(LEFT(D485,2))&gt;=1,VALUE(LEFT(D485,2))&lt;=5),VALUE(LEFT(D485,2)),""),IF(AND(VALUE(LEFT(D485,1))&gt;=1,VALUE(LEFT(D485,1))&lt;=5),VALUE(LEFT(D485,1)),"")),""),"")</f>
        <v/>
      </c>
      <c r="S485" s="25">
        <f>IF(AND(Q485=1,E485&lt;&gt;""),SUBSTITUTE(SUBSTITUTE(SUBSTITUTE(SUBSTITUTE(SUBSTITUTE(SUBSTITUTE(SUBSTITUTE(SUBSTITUTE(SUBSTITUTE(SUBSTITUTE(SUBSTITUTE(SUBSTITUTE(LOWER(TRIM(E485)),"á","a"),"é","e"),"í","i"),"ó","o"),"ú","u"),"ü","u"),"ñ","n"),"à","a"),"è","e"),"ì","i"),"ò","o"),"ù","u"),"")</f>
        <v/>
      </c>
      <c r="T485" s="25">
        <f>IF(AND(Q485=1,G485&lt;&gt;""),SUBSTITUTE(SUBSTITUTE(SUBSTITUTE(SUBSTITUTE(SUBSTITUTE(SUBSTITUTE(SUBSTITUTE(SUBSTITUTE(SUBSTITUTE(SUBSTITUTE(SUBSTITUTE(SUBSTITUTE(LOWER(TRIM(G485)),"á","a"),"é","e"),"í","i"),"ó","o"),"ú","u"),"ü","u"),"ñ","n"),"à","a"),"è","e"),"ì","i"),"ò","o"),"ù","u"),"")</f>
        <v/>
      </c>
      <c r="U485" s="25">
        <f>IF(AND(Q485=1,H485&lt;&gt;""),SUBSTITUTE(SUBSTITUTE(SUBSTITUTE(SUBSTITUTE(SUBSTITUTE(SUBSTITUTE(SUBSTITUTE(SUBSTITUTE(SUBSTITUTE(SUBSTITUTE(SUBSTITUTE(SUBSTITUTE(LOWER(TRIM(H485)),"á","a"),"é","e"),"í","i"),"ó","o"),"ú","u"),"ü","u"),"ñ","n"),"à","a"),"è","e"),"ì","i"),"ò","o"),"ù","u"),"")</f>
        <v/>
      </c>
      <c r="V485" s="25">
        <f>IF(AND(Q485=1,L485&lt;&gt;""),SUBSTITUTE(SUBSTITUTE(SUBSTITUTE(SUBSTITUTE(SUBSTITUTE(SUBSTITUTE(SUBSTITUTE(SUBSTITUTE(SUBSTITUTE(SUBSTITUTE(SUBSTITUTE(SUBSTITUTE(LOWER(TRIM(L485)),"á","a"),"é","e"),"í","i"),"ó","o"),"ú","u"),"ü","u"),"ñ","n"),"à","a"),"è","e"),"ì","i"),"ò","o"),"ù","u"),"")</f>
        <v/>
      </c>
      <c r="W485" s="25">
        <f>IF(AND(Q485=1,I485&lt;&gt;""),SUBSTITUTE(SUBSTITUTE(SUBSTITUTE(SUBSTITUTE(SUBSTITUTE(SUBSTITUTE(SUBSTITUTE(SUBSTITUTE(SUBSTITUTE(SUBSTITUTE(SUBSTITUTE(SUBSTITUTE(LOWER(TRIM(I485)),"á","a"),"é","e"),"í","i"),"ó","o"),"ú","u"),"ü","u"),"ñ","n"),"à","a"),"è","e"),"ì","i"),"ò","o"),"ù","u"),"")</f>
        <v/>
      </c>
      <c r="X485" s="25">
        <f>IF(U485="","",IF(OR(U485="si, en la proxima tarea",U485="si, con cambios"),1,0))</f>
        <v/>
      </c>
      <c r="Y485" s="25">
        <f>IF(AND(Q485=1,A485&lt;&gt;""),IF(IFERROR(COUNTIFS(A$3:A485,"="&amp;SUBSTITUTE(SUBSTITUTE(SUBSTITUTE(A485,"~","~~"),"*","~*"),"?","~?"),Q$3:Q485,1),0)=1,MAX(Y$2:Y484)+1,""),"")</f>
        <v/>
      </c>
      <c r="Z485" s="25">
        <f>IF(Y485="","",COUNTIFS($A$3:$A$1002,"="&amp;SUBSTITUTE(SUBSTITUTE(SUBSTITUTE(A485,"~","~~"),"*","~*"),"?","~?"),$Q$3:$Q$1002,1)*10000-Y485)</f>
        <v/>
      </c>
    </row>
    <row r="486">
      <c r="A486">
        <f>IF(A$2=0,"",IFERROR(TRIM(INDEX('Pegar docentes'!$A$1:$BZ$1001,485,A$2)&amp;""),""))</f>
        <v/>
      </c>
      <c r="B486">
        <f>IF(B$2=0,"",IFERROR(TRIM(INDEX('Pegar docentes'!$A$1:$BZ$1001,485,B$2)&amp;""),""))</f>
        <v/>
      </c>
      <c r="C486">
        <f>IF(C$2=0,"",IFERROR(TRIM(INDEX('Pegar docentes'!$A$1:$BZ$1001,485,C$2)&amp;""),""))</f>
        <v/>
      </c>
      <c r="D486">
        <f>IF(D$2=0,"",IFERROR(TRIM(INDEX('Pegar docentes'!$A$1:$BZ$1001,485,D$2)&amp;""),""))</f>
        <v/>
      </c>
      <c r="E486">
        <f>IF(E$2=0,"",IFERROR(TRIM(INDEX('Pegar docentes'!$A$1:$BZ$1001,485,E$2)&amp;""),""))</f>
        <v/>
      </c>
      <c r="F486">
        <f>IF(F$2=0,"",IFERROR(TRIM(INDEX('Pegar docentes'!$A$1:$BZ$1001,485,F$2)&amp;""),""))</f>
        <v/>
      </c>
      <c r="G486">
        <f>IF(G$2=0,"",IFERROR(TRIM(INDEX('Pegar docentes'!$A$1:$BZ$1001,485,G$2)&amp;""),""))</f>
        <v/>
      </c>
      <c r="H486">
        <f>IF(H$2=0,"",IFERROR(TRIM(INDEX('Pegar docentes'!$A$1:$BZ$1001,485,H$2)&amp;""),""))</f>
        <v/>
      </c>
      <c r="I486">
        <f>IF(I$2=0,"",IFERROR(TRIM(INDEX('Pegar docentes'!$A$1:$BZ$1001,485,I$2)&amp;""),""))</f>
        <v/>
      </c>
      <c r="J486">
        <f>IF(J$2=0,"",IFERROR(TRIM(INDEX('Pegar docentes'!$A$1:$BZ$1001,485,J$2)&amp;""),""))</f>
        <v/>
      </c>
      <c r="K486">
        <f>IF(K$2=0,"",IFERROR(TRIM(INDEX('Pegar docentes'!$A$1:$BZ$1001,485,K$2)&amp;""),""))</f>
        <v/>
      </c>
      <c r="L486">
        <f>IF(L$2=0,"",IFERROR(TRIM(INDEX('Pegar docentes'!$A$1:$BZ$1001,485,L$2)&amp;""),""))</f>
        <v/>
      </c>
      <c r="M486">
        <f>IF(M$2=0,"",IFERROR(TRIM(INDEX('Pegar docentes'!$A$1:$BZ$1001,485,M$2)&amp;""),""))</f>
        <v/>
      </c>
      <c r="N486">
        <f>IF(N$2=0,"",IFERROR(TRIM(INDEX('Pegar docentes'!$A$1:$BZ$1001,485,N$2)&amp;""),""))</f>
        <v/>
      </c>
      <c r="O486">
        <f>IF(O$2=0,"",IFERROR(TRIM(INDEX('Pegar docentes'!$A$1:$BZ$1001,485,O$2)&amp;""),""))</f>
        <v/>
      </c>
      <c r="P486">
        <f>IF(P$2=0,"",IFERROR(TRIM(INDEX('Pegar docentes'!$A$1:$BZ$1001,485,P$2)&amp;""),""))</f>
        <v/>
      </c>
      <c r="Q486" s="25">
        <f>IF(OR(D486&lt;&gt;"",H486&lt;&gt;""),1,"")</f>
        <v/>
      </c>
      <c r="R486" s="25">
        <f>IF(Q486=1,IF(ISNUMBER(FIND("#"&amp;MID(D486,1,1)&amp;"#","#0#1#2#3#4#5#6#7#8#9#")),IF(ISNUMBER(FIND("#"&amp;MID(D486,2,1)&amp;"#","#0#1#2#3#4#5#6#7#8#9#")),IF(AND(VALUE(LEFT(D486,2))&gt;=1,VALUE(LEFT(D486,2))&lt;=5),VALUE(LEFT(D486,2)),""),IF(AND(VALUE(LEFT(D486,1))&gt;=1,VALUE(LEFT(D486,1))&lt;=5),VALUE(LEFT(D486,1)),"")),""),"")</f>
        <v/>
      </c>
      <c r="S486" s="25">
        <f>IF(AND(Q486=1,E486&lt;&gt;""),SUBSTITUTE(SUBSTITUTE(SUBSTITUTE(SUBSTITUTE(SUBSTITUTE(SUBSTITUTE(SUBSTITUTE(SUBSTITUTE(SUBSTITUTE(SUBSTITUTE(SUBSTITUTE(SUBSTITUTE(LOWER(TRIM(E486)),"á","a"),"é","e"),"í","i"),"ó","o"),"ú","u"),"ü","u"),"ñ","n"),"à","a"),"è","e"),"ì","i"),"ò","o"),"ù","u"),"")</f>
        <v/>
      </c>
      <c r="T486" s="25">
        <f>IF(AND(Q486=1,G486&lt;&gt;""),SUBSTITUTE(SUBSTITUTE(SUBSTITUTE(SUBSTITUTE(SUBSTITUTE(SUBSTITUTE(SUBSTITUTE(SUBSTITUTE(SUBSTITUTE(SUBSTITUTE(SUBSTITUTE(SUBSTITUTE(LOWER(TRIM(G486)),"á","a"),"é","e"),"í","i"),"ó","o"),"ú","u"),"ü","u"),"ñ","n"),"à","a"),"è","e"),"ì","i"),"ò","o"),"ù","u"),"")</f>
        <v/>
      </c>
      <c r="U486" s="25">
        <f>IF(AND(Q486=1,H486&lt;&gt;""),SUBSTITUTE(SUBSTITUTE(SUBSTITUTE(SUBSTITUTE(SUBSTITUTE(SUBSTITUTE(SUBSTITUTE(SUBSTITUTE(SUBSTITUTE(SUBSTITUTE(SUBSTITUTE(SUBSTITUTE(LOWER(TRIM(H486)),"á","a"),"é","e"),"í","i"),"ó","o"),"ú","u"),"ü","u"),"ñ","n"),"à","a"),"è","e"),"ì","i"),"ò","o"),"ù","u"),"")</f>
        <v/>
      </c>
      <c r="V486" s="25">
        <f>IF(AND(Q486=1,L486&lt;&gt;""),SUBSTITUTE(SUBSTITUTE(SUBSTITUTE(SUBSTITUTE(SUBSTITUTE(SUBSTITUTE(SUBSTITUTE(SUBSTITUTE(SUBSTITUTE(SUBSTITUTE(SUBSTITUTE(SUBSTITUTE(LOWER(TRIM(L486)),"á","a"),"é","e"),"í","i"),"ó","o"),"ú","u"),"ü","u"),"ñ","n"),"à","a"),"è","e"),"ì","i"),"ò","o"),"ù","u"),"")</f>
        <v/>
      </c>
      <c r="W486" s="25">
        <f>IF(AND(Q486=1,I486&lt;&gt;""),SUBSTITUTE(SUBSTITUTE(SUBSTITUTE(SUBSTITUTE(SUBSTITUTE(SUBSTITUTE(SUBSTITUTE(SUBSTITUTE(SUBSTITUTE(SUBSTITUTE(SUBSTITUTE(SUBSTITUTE(LOWER(TRIM(I486)),"á","a"),"é","e"),"í","i"),"ó","o"),"ú","u"),"ü","u"),"ñ","n"),"à","a"),"è","e"),"ì","i"),"ò","o"),"ù","u"),"")</f>
        <v/>
      </c>
      <c r="X486" s="25">
        <f>IF(U486="","",IF(OR(U486="si, en la proxima tarea",U486="si, con cambios"),1,0))</f>
        <v/>
      </c>
      <c r="Y486" s="25">
        <f>IF(AND(Q486=1,A486&lt;&gt;""),IF(IFERROR(COUNTIFS(A$3:A486,"="&amp;SUBSTITUTE(SUBSTITUTE(SUBSTITUTE(A486,"~","~~"),"*","~*"),"?","~?"),Q$3:Q486,1),0)=1,MAX(Y$2:Y485)+1,""),"")</f>
        <v/>
      </c>
      <c r="Z486" s="25">
        <f>IF(Y486="","",COUNTIFS($A$3:$A$1002,"="&amp;SUBSTITUTE(SUBSTITUTE(SUBSTITUTE(A486,"~","~~"),"*","~*"),"?","~?"),$Q$3:$Q$1002,1)*10000-Y486)</f>
        <v/>
      </c>
    </row>
    <row r="487">
      <c r="A487">
        <f>IF(A$2=0,"",IFERROR(TRIM(INDEX('Pegar docentes'!$A$1:$BZ$1001,486,A$2)&amp;""),""))</f>
        <v/>
      </c>
      <c r="B487">
        <f>IF(B$2=0,"",IFERROR(TRIM(INDEX('Pegar docentes'!$A$1:$BZ$1001,486,B$2)&amp;""),""))</f>
        <v/>
      </c>
      <c r="C487">
        <f>IF(C$2=0,"",IFERROR(TRIM(INDEX('Pegar docentes'!$A$1:$BZ$1001,486,C$2)&amp;""),""))</f>
        <v/>
      </c>
      <c r="D487">
        <f>IF(D$2=0,"",IFERROR(TRIM(INDEX('Pegar docentes'!$A$1:$BZ$1001,486,D$2)&amp;""),""))</f>
        <v/>
      </c>
      <c r="E487">
        <f>IF(E$2=0,"",IFERROR(TRIM(INDEX('Pegar docentes'!$A$1:$BZ$1001,486,E$2)&amp;""),""))</f>
        <v/>
      </c>
      <c r="F487">
        <f>IF(F$2=0,"",IFERROR(TRIM(INDEX('Pegar docentes'!$A$1:$BZ$1001,486,F$2)&amp;""),""))</f>
        <v/>
      </c>
      <c r="G487">
        <f>IF(G$2=0,"",IFERROR(TRIM(INDEX('Pegar docentes'!$A$1:$BZ$1001,486,G$2)&amp;""),""))</f>
        <v/>
      </c>
      <c r="H487">
        <f>IF(H$2=0,"",IFERROR(TRIM(INDEX('Pegar docentes'!$A$1:$BZ$1001,486,H$2)&amp;""),""))</f>
        <v/>
      </c>
      <c r="I487">
        <f>IF(I$2=0,"",IFERROR(TRIM(INDEX('Pegar docentes'!$A$1:$BZ$1001,486,I$2)&amp;""),""))</f>
        <v/>
      </c>
      <c r="J487">
        <f>IF(J$2=0,"",IFERROR(TRIM(INDEX('Pegar docentes'!$A$1:$BZ$1001,486,J$2)&amp;""),""))</f>
        <v/>
      </c>
      <c r="K487">
        <f>IF(K$2=0,"",IFERROR(TRIM(INDEX('Pegar docentes'!$A$1:$BZ$1001,486,K$2)&amp;""),""))</f>
        <v/>
      </c>
      <c r="L487">
        <f>IF(L$2=0,"",IFERROR(TRIM(INDEX('Pegar docentes'!$A$1:$BZ$1001,486,L$2)&amp;""),""))</f>
        <v/>
      </c>
      <c r="M487">
        <f>IF(M$2=0,"",IFERROR(TRIM(INDEX('Pegar docentes'!$A$1:$BZ$1001,486,M$2)&amp;""),""))</f>
        <v/>
      </c>
      <c r="N487">
        <f>IF(N$2=0,"",IFERROR(TRIM(INDEX('Pegar docentes'!$A$1:$BZ$1001,486,N$2)&amp;""),""))</f>
        <v/>
      </c>
      <c r="O487">
        <f>IF(O$2=0,"",IFERROR(TRIM(INDEX('Pegar docentes'!$A$1:$BZ$1001,486,O$2)&amp;""),""))</f>
        <v/>
      </c>
      <c r="P487">
        <f>IF(P$2=0,"",IFERROR(TRIM(INDEX('Pegar docentes'!$A$1:$BZ$1001,486,P$2)&amp;""),""))</f>
        <v/>
      </c>
      <c r="Q487" s="25">
        <f>IF(OR(D487&lt;&gt;"",H487&lt;&gt;""),1,"")</f>
        <v/>
      </c>
      <c r="R487" s="25">
        <f>IF(Q487=1,IF(ISNUMBER(FIND("#"&amp;MID(D487,1,1)&amp;"#","#0#1#2#3#4#5#6#7#8#9#")),IF(ISNUMBER(FIND("#"&amp;MID(D487,2,1)&amp;"#","#0#1#2#3#4#5#6#7#8#9#")),IF(AND(VALUE(LEFT(D487,2))&gt;=1,VALUE(LEFT(D487,2))&lt;=5),VALUE(LEFT(D487,2)),""),IF(AND(VALUE(LEFT(D487,1))&gt;=1,VALUE(LEFT(D487,1))&lt;=5),VALUE(LEFT(D487,1)),"")),""),"")</f>
        <v/>
      </c>
      <c r="S487" s="25">
        <f>IF(AND(Q487=1,E487&lt;&gt;""),SUBSTITUTE(SUBSTITUTE(SUBSTITUTE(SUBSTITUTE(SUBSTITUTE(SUBSTITUTE(SUBSTITUTE(SUBSTITUTE(SUBSTITUTE(SUBSTITUTE(SUBSTITUTE(SUBSTITUTE(LOWER(TRIM(E487)),"á","a"),"é","e"),"í","i"),"ó","o"),"ú","u"),"ü","u"),"ñ","n"),"à","a"),"è","e"),"ì","i"),"ò","o"),"ù","u"),"")</f>
        <v/>
      </c>
      <c r="T487" s="25">
        <f>IF(AND(Q487=1,G487&lt;&gt;""),SUBSTITUTE(SUBSTITUTE(SUBSTITUTE(SUBSTITUTE(SUBSTITUTE(SUBSTITUTE(SUBSTITUTE(SUBSTITUTE(SUBSTITUTE(SUBSTITUTE(SUBSTITUTE(SUBSTITUTE(LOWER(TRIM(G487)),"á","a"),"é","e"),"í","i"),"ó","o"),"ú","u"),"ü","u"),"ñ","n"),"à","a"),"è","e"),"ì","i"),"ò","o"),"ù","u"),"")</f>
        <v/>
      </c>
      <c r="U487" s="25">
        <f>IF(AND(Q487=1,H487&lt;&gt;""),SUBSTITUTE(SUBSTITUTE(SUBSTITUTE(SUBSTITUTE(SUBSTITUTE(SUBSTITUTE(SUBSTITUTE(SUBSTITUTE(SUBSTITUTE(SUBSTITUTE(SUBSTITUTE(SUBSTITUTE(LOWER(TRIM(H487)),"á","a"),"é","e"),"í","i"),"ó","o"),"ú","u"),"ü","u"),"ñ","n"),"à","a"),"è","e"),"ì","i"),"ò","o"),"ù","u"),"")</f>
        <v/>
      </c>
      <c r="V487" s="25">
        <f>IF(AND(Q487=1,L487&lt;&gt;""),SUBSTITUTE(SUBSTITUTE(SUBSTITUTE(SUBSTITUTE(SUBSTITUTE(SUBSTITUTE(SUBSTITUTE(SUBSTITUTE(SUBSTITUTE(SUBSTITUTE(SUBSTITUTE(SUBSTITUTE(LOWER(TRIM(L487)),"á","a"),"é","e"),"í","i"),"ó","o"),"ú","u"),"ü","u"),"ñ","n"),"à","a"),"è","e"),"ì","i"),"ò","o"),"ù","u"),"")</f>
        <v/>
      </c>
      <c r="W487" s="25">
        <f>IF(AND(Q487=1,I487&lt;&gt;""),SUBSTITUTE(SUBSTITUTE(SUBSTITUTE(SUBSTITUTE(SUBSTITUTE(SUBSTITUTE(SUBSTITUTE(SUBSTITUTE(SUBSTITUTE(SUBSTITUTE(SUBSTITUTE(SUBSTITUTE(LOWER(TRIM(I487)),"á","a"),"é","e"),"í","i"),"ó","o"),"ú","u"),"ü","u"),"ñ","n"),"à","a"),"è","e"),"ì","i"),"ò","o"),"ù","u"),"")</f>
        <v/>
      </c>
      <c r="X487" s="25">
        <f>IF(U487="","",IF(OR(U487="si, en la proxima tarea",U487="si, con cambios"),1,0))</f>
        <v/>
      </c>
      <c r="Y487" s="25">
        <f>IF(AND(Q487=1,A487&lt;&gt;""),IF(IFERROR(COUNTIFS(A$3:A487,"="&amp;SUBSTITUTE(SUBSTITUTE(SUBSTITUTE(A487,"~","~~"),"*","~*"),"?","~?"),Q$3:Q487,1),0)=1,MAX(Y$2:Y486)+1,""),"")</f>
        <v/>
      </c>
      <c r="Z487" s="25">
        <f>IF(Y487="","",COUNTIFS($A$3:$A$1002,"="&amp;SUBSTITUTE(SUBSTITUTE(SUBSTITUTE(A487,"~","~~"),"*","~*"),"?","~?"),$Q$3:$Q$1002,1)*10000-Y487)</f>
        <v/>
      </c>
    </row>
    <row r="488">
      <c r="A488">
        <f>IF(A$2=0,"",IFERROR(TRIM(INDEX('Pegar docentes'!$A$1:$BZ$1001,487,A$2)&amp;""),""))</f>
        <v/>
      </c>
      <c r="B488">
        <f>IF(B$2=0,"",IFERROR(TRIM(INDEX('Pegar docentes'!$A$1:$BZ$1001,487,B$2)&amp;""),""))</f>
        <v/>
      </c>
      <c r="C488">
        <f>IF(C$2=0,"",IFERROR(TRIM(INDEX('Pegar docentes'!$A$1:$BZ$1001,487,C$2)&amp;""),""))</f>
        <v/>
      </c>
      <c r="D488">
        <f>IF(D$2=0,"",IFERROR(TRIM(INDEX('Pegar docentes'!$A$1:$BZ$1001,487,D$2)&amp;""),""))</f>
        <v/>
      </c>
      <c r="E488">
        <f>IF(E$2=0,"",IFERROR(TRIM(INDEX('Pegar docentes'!$A$1:$BZ$1001,487,E$2)&amp;""),""))</f>
        <v/>
      </c>
      <c r="F488">
        <f>IF(F$2=0,"",IFERROR(TRIM(INDEX('Pegar docentes'!$A$1:$BZ$1001,487,F$2)&amp;""),""))</f>
        <v/>
      </c>
      <c r="G488">
        <f>IF(G$2=0,"",IFERROR(TRIM(INDEX('Pegar docentes'!$A$1:$BZ$1001,487,G$2)&amp;""),""))</f>
        <v/>
      </c>
      <c r="H488">
        <f>IF(H$2=0,"",IFERROR(TRIM(INDEX('Pegar docentes'!$A$1:$BZ$1001,487,H$2)&amp;""),""))</f>
        <v/>
      </c>
      <c r="I488">
        <f>IF(I$2=0,"",IFERROR(TRIM(INDEX('Pegar docentes'!$A$1:$BZ$1001,487,I$2)&amp;""),""))</f>
        <v/>
      </c>
      <c r="J488">
        <f>IF(J$2=0,"",IFERROR(TRIM(INDEX('Pegar docentes'!$A$1:$BZ$1001,487,J$2)&amp;""),""))</f>
        <v/>
      </c>
      <c r="K488">
        <f>IF(K$2=0,"",IFERROR(TRIM(INDEX('Pegar docentes'!$A$1:$BZ$1001,487,K$2)&amp;""),""))</f>
        <v/>
      </c>
      <c r="L488">
        <f>IF(L$2=0,"",IFERROR(TRIM(INDEX('Pegar docentes'!$A$1:$BZ$1001,487,L$2)&amp;""),""))</f>
        <v/>
      </c>
      <c r="M488">
        <f>IF(M$2=0,"",IFERROR(TRIM(INDEX('Pegar docentes'!$A$1:$BZ$1001,487,M$2)&amp;""),""))</f>
        <v/>
      </c>
      <c r="N488">
        <f>IF(N$2=0,"",IFERROR(TRIM(INDEX('Pegar docentes'!$A$1:$BZ$1001,487,N$2)&amp;""),""))</f>
        <v/>
      </c>
      <c r="O488">
        <f>IF(O$2=0,"",IFERROR(TRIM(INDEX('Pegar docentes'!$A$1:$BZ$1001,487,O$2)&amp;""),""))</f>
        <v/>
      </c>
      <c r="P488">
        <f>IF(P$2=0,"",IFERROR(TRIM(INDEX('Pegar docentes'!$A$1:$BZ$1001,487,P$2)&amp;""),""))</f>
        <v/>
      </c>
      <c r="Q488" s="25">
        <f>IF(OR(D488&lt;&gt;"",H488&lt;&gt;""),1,"")</f>
        <v/>
      </c>
      <c r="R488" s="25">
        <f>IF(Q488=1,IF(ISNUMBER(FIND("#"&amp;MID(D488,1,1)&amp;"#","#0#1#2#3#4#5#6#7#8#9#")),IF(ISNUMBER(FIND("#"&amp;MID(D488,2,1)&amp;"#","#0#1#2#3#4#5#6#7#8#9#")),IF(AND(VALUE(LEFT(D488,2))&gt;=1,VALUE(LEFT(D488,2))&lt;=5),VALUE(LEFT(D488,2)),""),IF(AND(VALUE(LEFT(D488,1))&gt;=1,VALUE(LEFT(D488,1))&lt;=5),VALUE(LEFT(D488,1)),"")),""),"")</f>
        <v/>
      </c>
      <c r="S488" s="25">
        <f>IF(AND(Q488=1,E488&lt;&gt;""),SUBSTITUTE(SUBSTITUTE(SUBSTITUTE(SUBSTITUTE(SUBSTITUTE(SUBSTITUTE(SUBSTITUTE(SUBSTITUTE(SUBSTITUTE(SUBSTITUTE(SUBSTITUTE(SUBSTITUTE(LOWER(TRIM(E488)),"á","a"),"é","e"),"í","i"),"ó","o"),"ú","u"),"ü","u"),"ñ","n"),"à","a"),"è","e"),"ì","i"),"ò","o"),"ù","u"),"")</f>
        <v/>
      </c>
      <c r="T488" s="25">
        <f>IF(AND(Q488=1,G488&lt;&gt;""),SUBSTITUTE(SUBSTITUTE(SUBSTITUTE(SUBSTITUTE(SUBSTITUTE(SUBSTITUTE(SUBSTITUTE(SUBSTITUTE(SUBSTITUTE(SUBSTITUTE(SUBSTITUTE(SUBSTITUTE(LOWER(TRIM(G488)),"á","a"),"é","e"),"í","i"),"ó","o"),"ú","u"),"ü","u"),"ñ","n"),"à","a"),"è","e"),"ì","i"),"ò","o"),"ù","u"),"")</f>
        <v/>
      </c>
      <c r="U488" s="25">
        <f>IF(AND(Q488=1,H488&lt;&gt;""),SUBSTITUTE(SUBSTITUTE(SUBSTITUTE(SUBSTITUTE(SUBSTITUTE(SUBSTITUTE(SUBSTITUTE(SUBSTITUTE(SUBSTITUTE(SUBSTITUTE(SUBSTITUTE(SUBSTITUTE(LOWER(TRIM(H488)),"á","a"),"é","e"),"í","i"),"ó","o"),"ú","u"),"ü","u"),"ñ","n"),"à","a"),"è","e"),"ì","i"),"ò","o"),"ù","u"),"")</f>
        <v/>
      </c>
      <c r="V488" s="25">
        <f>IF(AND(Q488=1,L488&lt;&gt;""),SUBSTITUTE(SUBSTITUTE(SUBSTITUTE(SUBSTITUTE(SUBSTITUTE(SUBSTITUTE(SUBSTITUTE(SUBSTITUTE(SUBSTITUTE(SUBSTITUTE(SUBSTITUTE(SUBSTITUTE(LOWER(TRIM(L488)),"á","a"),"é","e"),"í","i"),"ó","o"),"ú","u"),"ü","u"),"ñ","n"),"à","a"),"è","e"),"ì","i"),"ò","o"),"ù","u"),"")</f>
        <v/>
      </c>
      <c r="W488" s="25">
        <f>IF(AND(Q488=1,I488&lt;&gt;""),SUBSTITUTE(SUBSTITUTE(SUBSTITUTE(SUBSTITUTE(SUBSTITUTE(SUBSTITUTE(SUBSTITUTE(SUBSTITUTE(SUBSTITUTE(SUBSTITUTE(SUBSTITUTE(SUBSTITUTE(LOWER(TRIM(I488)),"á","a"),"é","e"),"í","i"),"ó","o"),"ú","u"),"ü","u"),"ñ","n"),"à","a"),"è","e"),"ì","i"),"ò","o"),"ù","u"),"")</f>
        <v/>
      </c>
      <c r="X488" s="25">
        <f>IF(U488="","",IF(OR(U488="si, en la proxima tarea",U488="si, con cambios"),1,0))</f>
        <v/>
      </c>
      <c r="Y488" s="25">
        <f>IF(AND(Q488=1,A488&lt;&gt;""),IF(IFERROR(COUNTIFS(A$3:A488,"="&amp;SUBSTITUTE(SUBSTITUTE(SUBSTITUTE(A488,"~","~~"),"*","~*"),"?","~?"),Q$3:Q488,1),0)=1,MAX(Y$2:Y487)+1,""),"")</f>
        <v/>
      </c>
      <c r="Z488" s="25">
        <f>IF(Y488="","",COUNTIFS($A$3:$A$1002,"="&amp;SUBSTITUTE(SUBSTITUTE(SUBSTITUTE(A488,"~","~~"),"*","~*"),"?","~?"),$Q$3:$Q$1002,1)*10000-Y488)</f>
        <v/>
      </c>
    </row>
    <row r="489">
      <c r="A489">
        <f>IF(A$2=0,"",IFERROR(TRIM(INDEX('Pegar docentes'!$A$1:$BZ$1001,488,A$2)&amp;""),""))</f>
        <v/>
      </c>
      <c r="B489">
        <f>IF(B$2=0,"",IFERROR(TRIM(INDEX('Pegar docentes'!$A$1:$BZ$1001,488,B$2)&amp;""),""))</f>
        <v/>
      </c>
      <c r="C489">
        <f>IF(C$2=0,"",IFERROR(TRIM(INDEX('Pegar docentes'!$A$1:$BZ$1001,488,C$2)&amp;""),""))</f>
        <v/>
      </c>
      <c r="D489">
        <f>IF(D$2=0,"",IFERROR(TRIM(INDEX('Pegar docentes'!$A$1:$BZ$1001,488,D$2)&amp;""),""))</f>
        <v/>
      </c>
      <c r="E489">
        <f>IF(E$2=0,"",IFERROR(TRIM(INDEX('Pegar docentes'!$A$1:$BZ$1001,488,E$2)&amp;""),""))</f>
        <v/>
      </c>
      <c r="F489">
        <f>IF(F$2=0,"",IFERROR(TRIM(INDEX('Pegar docentes'!$A$1:$BZ$1001,488,F$2)&amp;""),""))</f>
        <v/>
      </c>
      <c r="G489">
        <f>IF(G$2=0,"",IFERROR(TRIM(INDEX('Pegar docentes'!$A$1:$BZ$1001,488,G$2)&amp;""),""))</f>
        <v/>
      </c>
      <c r="H489">
        <f>IF(H$2=0,"",IFERROR(TRIM(INDEX('Pegar docentes'!$A$1:$BZ$1001,488,H$2)&amp;""),""))</f>
        <v/>
      </c>
      <c r="I489">
        <f>IF(I$2=0,"",IFERROR(TRIM(INDEX('Pegar docentes'!$A$1:$BZ$1001,488,I$2)&amp;""),""))</f>
        <v/>
      </c>
      <c r="J489">
        <f>IF(J$2=0,"",IFERROR(TRIM(INDEX('Pegar docentes'!$A$1:$BZ$1001,488,J$2)&amp;""),""))</f>
        <v/>
      </c>
      <c r="K489">
        <f>IF(K$2=0,"",IFERROR(TRIM(INDEX('Pegar docentes'!$A$1:$BZ$1001,488,K$2)&amp;""),""))</f>
        <v/>
      </c>
      <c r="L489">
        <f>IF(L$2=0,"",IFERROR(TRIM(INDEX('Pegar docentes'!$A$1:$BZ$1001,488,L$2)&amp;""),""))</f>
        <v/>
      </c>
      <c r="M489">
        <f>IF(M$2=0,"",IFERROR(TRIM(INDEX('Pegar docentes'!$A$1:$BZ$1001,488,M$2)&amp;""),""))</f>
        <v/>
      </c>
      <c r="N489">
        <f>IF(N$2=0,"",IFERROR(TRIM(INDEX('Pegar docentes'!$A$1:$BZ$1001,488,N$2)&amp;""),""))</f>
        <v/>
      </c>
      <c r="O489">
        <f>IF(O$2=0,"",IFERROR(TRIM(INDEX('Pegar docentes'!$A$1:$BZ$1001,488,O$2)&amp;""),""))</f>
        <v/>
      </c>
      <c r="P489">
        <f>IF(P$2=0,"",IFERROR(TRIM(INDEX('Pegar docentes'!$A$1:$BZ$1001,488,P$2)&amp;""),""))</f>
        <v/>
      </c>
      <c r="Q489" s="25">
        <f>IF(OR(D489&lt;&gt;"",H489&lt;&gt;""),1,"")</f>
        <v/>
      </c>
      <c r="R489" s="25">
        <f>IF(Q489=1,IF(ISNUMBER(FIND("#"&amp;MID(D489,1,1)&amp;"#","#0#1#2#3#4#5#6#7#8#9#")),IF(ISNUMBER(FIND("#"&amp;MID(D489,2,1)&amp;"#","#0#1#2#3#4#5#6#7#8#9#")),IF(AND(VALUE(LEFT(D489,2))&gt;=1,VALUE(LEFT(D489,2))&lt;=5),VALUE(LEFT(D489,2)),""),IF(AND(VALUE(LEFT(D489,1))&gt;=1,VALUE(LEFT(D489,1))&lt;=5),VALUE(LEFT(D489,1)),"")),""),"")</f>
        <v/>
      </c>
      <c r="S489" s="25">
        <f>IF(AND(Q489=1,E489&lt;&gt;""),SUBSTITUTE(SUBSTITUTE(SUBSTITUTE(SUBSTITUTE(SUBSTITUTE(SUBSTITUTE(SUBSTITUTE(SUBSTITUTE(SUBSTITUTE(SUBSTITUTE(SUBSTITUTE(SUBSTITUTE(LOWER(TRIM(E489)),"á","a"),"é","e"),"í","i"),"ó","o"),"ú","u"),"ü","u"),"ñ","n"),"à","a"),"è","e"),"ì","i"),"ò","o"),"ù","u"),"")</f>
        <v/>
      </c>
      <c r="T489" s="25">
        <f>IF(AND(Q489=1,G489&lt;&gt;""),SUBSTITUTE(SUBSTITUTE(SUBSTITUTE(SUBSTITUTE(SUBSTITUTE(SUBSTITUTE(SUBSTITUTE(SUBSTITUTE(SUBSTITUTE(SUBSTITUTE(SUBSTITUTE(SUBSTITUTE(LOWER(TRIM(G489)),"á","a"),"é","e"),"í","i"),"ó","o"),"ú","u"),"ü","u"),"ñ","n"),"à","a"),"è","e"),"ì","i"),"ò","o"),"ù","u"),"")</f>
        <v/>
      </c>
      <c r="U489" s="25">
        <f>IF(AND(Q489=1,H489&lt;&gt;""),SUBSTITUTE(SUBSTITUTE(SUBSTITUTE(SUBSTITUTE(SUBSTITUTE(SUBSTITUTE(SUBSTITUTE(SUBSTITUTE(SUBSTITUTE(SUBSTITUTE(SUBSTITUTE(SUBSTITUTE(LOWER(TRIM(H489)),"á","a"),"é","e"),"í","i"),"ó","o"),"ú","u"),"ü","u"),"ñ","n"),"à","a"),"è","e"),"ì","i"),"ò","o"),"ù","u"),"")</f>
        <v/>
      </c>
      <c r="V489" s="25">
        <f>IF(AND(Q489=1,L489&lt;&gt;""),SUBSTITUTE(SUBSTITUTE(SUBSTITUTE(SUBSTITUTE(SUBSTITUTE(SUBSTITUTE(SUBSTITUTE(SUBSTITUTE(SUBSTITUTE(SUBSTITUTE(SUBSTITUTE(SUBSTITUTE(LOWER(TRIM(L489)),"á","a"),"é","e"),"í","i"),"ó","o"),"ú","u"),"ü","u"),"ñ","n"),"à","a"),"è","e"),"ì","i"),"ò","o"),"ù","u"),"")</f>
        <v/>
      </c>
      <c r="W489" s="25">
        <f>IF(AND(Q489=1,I489&lt;&gt;""),SUBSTITUTE(SUBSTITUTE(SUBSTITUTE(SUBSTITUTE(SUBSTITUTE(SUBSTITUTE(SUBSTITUTE(SUBSTITUTE(SUBSTITUTE(SUBSTITUTE(SUBSTITUTE(SUBSTITUTE(LOWER(TRIM(I489)),"á","a"),"é","e"),"í","i"),"ó","o"),"ú","u"),"ü","u"),"ñ","n"),"à","a"),"è","e"),"ì","i"),"ò","o"),"ù","u"),"")</f>
        <v/>
      </c>
      <c r="X489" s="25">
        <f>IF(U489="","",IF(OR(U489="si, en la proxima tarea",U489="si, con cambios"),1,0))</f>
        <v/>
      </c>
      <c r="Y489" s="25">
        <f>IF(AND(Q489=1,A489&lt;&gt;""),IF(IFERROR(COUNTIFS(A$3:A489,"="&amp;SUBSTITUTE(SUBSTITUTE(SUBSTITUTE(A489,"~","~~"),"*","~*"),"?","~?"),Q$3:Q489,1),0)=1,MAX(Y$2:Y488)+1,""),"")</f>
        <v/>
      </c>
      <c r="Z489" s="25">
        <f>IF(Y489="","",COUNTIFS($A$3:$A$1002,"="&amp;SUBSTITUTE(SUBSTITUTE(SUBSTITUTE(A489,"~","~~"),"*","~*"),"?","~?"),$Q$3:$Q$1002,1)*10000-Y489)</f>
        <v/>
      </c>
    </row>
    <row r="490">
      <c r="A490">
        <f>IF(A$2=0,"",IFERROR(TRIM(INDEX('Pegar docentes'!$A$1:$BZ$1001,489,A$2)&amp;""),""))</f>
        <v/>
      </c>
      <c r="B490">
        <f>IF(B$2=0,"",IFERROR(TRIM(INDEX('Pegar docentes'!$A$1:$BZ$1001,489,B$2)&amp;""),""))</f>
        <v/>
      </c>
      <c r="C490">
        <f>IF(C$2=0,"",IFERROR(TRIM(INDEX('Pegar docentes'!$A$1:$BZ$1001,489,C$2)&amp;""),""))</f>
        <v/>
      </c>
      <c r="D490">
        <f>IF(D$2=0,"",IFERROR(TRIM(INDEX('Pegar docentes'!$A$1:$BZ$1001,489,D$2)&amp;""),""))</f>
        <v/>
      </c>
      <c r="E490">
        <f>IF(E$2=0,"",IFERROR(TRIM(INDEX('Pegar docentes'!$A$1:$BZ$1001,489,E$2)&amp;""),""))</f>
        <v/>
      </c>
      <c r="F490">
        <f>IF(F$2=0,"",IFERROR(TRIM(INDEX('Pegar docentes'!$A$1:$BZ$1001,489,F$2)&amp;""),""))</f>
        <v/>
      </c>
      <c r="G490">
        <f>IF(G$2=0,"",IFERROR(TRIM(INDEX('Pegar docentes'!$A$1:$BZ$1001,489,G$2)&amp;""),""))</f>
        <v/>
      </c>
      <c r="H490">
        <f>IF(H$2=0,"",IFERROR(TRIM(INDEX('Pegar docentes'!$A$1:$BZ$1001,489,H$2)&amp;""),""))</f>
        <v/>
      </c>
      <c r="I490">
        <f>IF(I$2=0,"",IFERROR(TRIM(INDEX('Pegar docentes'!$A$1:$BZ$1001,489,I$2)&amp;""),""))</f>
        <v/>
      </c>
      <c r="J490">
        <f>IF(J$2=0,"",IFERROR(TRIM(INDEX('Pegar docentes'!$A$1:$BZ$1001,489,J$2)&amp;""),""))</f>
        <v/>
      </c>
      <c r="K490">
        <f>IF(K$2=0,"",IFERROR(TRIM(INDEX('Pegar docentes'!$A$1:$BZ$1001,489,K$2)&amp;""),""))</f>
        <v/>
      </c>
      <c r="L490">
        <f>IF(L$2=0,"",IFERROR(TRIM(INDEX('Pegar docentes'!$A$1:$BZ$1001,489,L$2)&amp;""),""))</f>
        <v/>
      </c>
      <c r="M490">
        <f>IF(M$2=0,"",IFERROR(TRIM(INDEX('Pegar docentes'!$A$1:$BZ$1001,489,M$2)&amp;""),""))</f>
        <v/>
      </c>
      <c r="N490">
        <f>IF(N$2=0,"",IFERROR(TRIM(INDEX('Pegar docentes'!$A$1:$BZ$1001,489,N$2)&amp;""),""))</f>
        <v/>
      </c>
      <c r="O490">
        <f>IF(O$2=0,"",IFERROR(TRIM(INDEX('Pegar docentes'!$A$1:$BZ$1001,489,O$2)&amp;""),""))</f>
        <v/>
      </c>
      <c r="P490">
        <f>IF(P$2=0,"",IFERROR(TRIM(INDEX('Pegar docentes'!$A$1:$BZ$1001,489,P$2)&amp;""),""))</f>
        <v/>
      </c>
      <c r="Q490" s="25">
        <f>IF(OR(D490&lt;&gt;"",H490&lt;&gt;""),1,"")</f>
        <v/>
      </c>
      <c r="R490" s="25">
        <f>IF(Q490=1,IF(ISNUMBER(FIND("#"&amp;MID(D490,1,1)&amp;"#","#0#1#2#3#4#5#6#7#8#9#")),IF(ISNUMBER(FIND("#"&amp;MID(D490,2,1)&amp;"#","#0#1#2#3#4#5#6#7#8#9#")),IF(AND(VALUE(LEFT(D490,2))&gt;=1,VALUE(LEFT(D490,2))&lt;=5),VALUE(LEFT(D490,2)),""),IF(AND(VALUE(LEFT(D490,1))&gt;=1,VALUE(LEFT(D490,1))&lt;=5),VALUE(LEFT(D490,1)),"")),""),"")</f>
        <v/>
      </c>
      <c r="S490" s="25">
        <f>IF(AND(Q490=1,E490&lt;&gt;""),SUBSTITUTE(SUBSTITUTE(SUBSTITUTE(SUBSTITUTE(SUBSTITUTE(SUBSTITUTE(SUBSTITUTE(SUBSTITUTE(SUBSTITUTE(SUBSTITUTE(SUBSTITUTE(SUBSTITUTE(LOWER(TRIM(E490)),"á","a"),"é","e"),"í","i"),"ó","o"),"ú","u"),"ü","u"),"ñ","n"),"à","a"),"è","e"),"ì","i"),"ò","o"),"ù","u"),"")</f>
        <v/>
      </c>
      <c r="T490" s="25">
        <f>IF(AND(Q490=1,G490&lt;&gt;""),SUBSTITUTE(SUBSTITUTE(SUBSTITUTE(SUBSTITUTE(SUBSTITUTE(SUBSTITUTE(SUBSTITUTE(SUBSTITUTE(SUBSTITUTE(SUBSTITUTE(SUBSTITUTE(SUBSTITUTE(LOWER(TRIM(G490)),"á","a"),"é","e"),"í","i"),"ó","o"),"ú","u"),"ü","u"),"ñ","n"),"à","a"),"è","e"),"ì","i"),"ò","o"),"ù","u"),"")</f>
        <v/>
      </c>
      <c r="U490" s="25">
        <f>IF(AND(Q490=1,H490&lt;&gt;""),SUBSTITUTE(SUBSTITUTE(SUBSTITUTE(SUBSTITUTE(SUBSTITUTE(SUBSTITUTE(SUBSTITUTE(SUBSTITUTE(SUBSTITUTE(SUBSTITUTE(SUBSTITUTE(SUBSTITUTE(LOWER(TRIM(H490)),"á","a"),"é","e"),"í","i"),"ó","o"),"ú","u"),"ü","u"),"ñ","n"),"à","a"),"è","e"),"ì","i"),"ò","o"),"ù","u"),"")</f>
        <v/>
      </c>
      <c r="V490" s="25">
        <f>IF(AND(Q490=1,L490&lt;&gt;""),SUBSTITUTE(SUBSTITUTE(SUBSTITUTE(SUBSTITUTE(SUBSTITUTE(SUBSTITUTE(SUBSTITUTE(SUBSTITUTE(SUBSTITUTE(SUBSTITUTE(SUBSTITUTE(SUBSTITUTE(LOWER(TRIM(L490)),"á","a"),"é","e"),"í","i"),"ó","o"),"ú","u"),"ü","u"),"ñ","n"),"à","a"),"è","e"),"ì","i"),"ò","o"),"ù","u"),"")</f>
        <v/>
      </c>
      <c r="W490" s="25">
        <f>IF(AND(Q490=1,I490&lt;&gt;""),SUBSTITUTE(SUBSTITUTE(SUBSTITUTE(SUBSTITUTE(SUBSTITUTE(SUBSTITUTE(SUBSTITUTE(SUBSTITUTE(SUBSTITUTE(SUBSTITUTE(SUBSTITUTE(SUBSTITUTE(LOWER(TRIM(I490)),"á","a"),"é","e"),"í","i"),"ó","o"),"ú","u"),"ü","u"),"ñ","n"),"à","a"),"è","e"),"ì","i"),"ò","o"),"ù","u"),"")</f>
        <v/>
      </c>
      <c r="X490" s="25">
        <f>IF(U490="","",IF(OR(U490="si, en la proxima tarea",U490="si, con cambios"),1,0))</f>
        <v/>
      </c>
      <c r="Y490" s="25">
        <f>IF(AND(Q490=1,A490&lt;&gt;""),IF(IFERROR(COUNTIFS(A$3:A490,"="&amp;SUBSTITUTE(SUBSTITUTE(SUBSTITUTE(A490,"~","~~"),"*","~*"),"?","~?"),Q$3:Q490,1),0)=1,MAX(Y$2:Y489)+1,""),"")</f>
        <v/>
      </c>
      <c r="Z490" s="25">
        <f>IF(Y490="","",COUNTIFS($A$3:$A$1002,"="&amp;SUBSTITUTE(SUBSTITUTE(SUBSTITUTE(A490,"~","~~"),"*","~*"),"?","~?"),$Q$3:$Q$1002,1)*10000-Y490)</f>
        <v/>
      </c>
    </row>
    <row r="491">
      <c r="A491">
        <f>IF(A$2=0,"",IFERROR(TRIM(INDEX('Pegar docentes'!$A$1:$BZ$1001,490,A$2)&amp;""),""))</f>
        <v/>
      </c>
      <c r="B491">
        <f>IF(B$2=0,"",IFERROR(TRIM(INDEX('Pegar docentes'!$A$1:$BZ$1001,490,B$2)&amp;""),""))</f>
        <v/>
      </c>
      <c r="C491">
        <f>IF(C$2=0,"",IFERROR(TRIM(INDEX('Pegar docentes'!$A$1:$BZ$1001,490,C$2)&amp;""),""))</f>
        <v/>
      </c>
      <c r="D491">
        <f>IF(D$2=0,"",IFERROR(TRIM(INDEX('Pegar docentes'!$A$1:$BZ$1001,490,D$2)&amp;""),""))</f>
        <v/>
      </c>
      <c r="E491">
        <f>IF(E$2=0,"",IFERROR(TRIM(INDEX('Pegar docentes'!$A$1:$BZ$1001,490,E$2)&amp;""),""))</f>
        <v/>
      </c>
      <c r="F491">
        <f>IF(F$2=0,"",IFERROR(TRIM(INDEX('Pegar docentes'!$A$1:$BZ$1001,490,F$2)&amp;""),""))</f>
        <v/>
      </c>
      <c r="G491">
        <f>IF(G$2=0,"",IFERROR(TRIM(INDEX('Pegar docentes'!$A$1:$BZ$1001,490,G$2)&amp;""),""))</f>
        <v/>
      </c>
      <c r="H491">
        <f>IF(H$2=0,"",IFERROR(TRIM(INDEX('Pegar docentes'!$A$1:$BZ$1001,490,H$2)&amp;""),""))</f>
        <v/>
      </c>
      <c r="I491">
        <f>IF(I$2=0,"",IFERROR(TRIM(INDEX('Pegar docentes'!$A$1:$BZ$1001,490,I$2)&amp;""),""))</f>
        <v/>
      </c>
      <c r="J491">
        <f>IF(J$2=0,"",IFERROR(TRIM(INDEX('Pegar docentes'!$A$1:$BZ$1001,490,J$2)&amp;""),""))</f>
        <v/>
      </c>
      <c r="K491">
        <f>IF(K$2=0,"",IFERROR(TRIM(INDEX('Pegar docentes'!$A$1:$BZ$1001,490,K$2)&amp;""),""))</f>
        <v/>
      </c>
      <c r="L491">
        <f>IF(L$2=0,"",IFERROR(TRIM(INDEX('Pegar docentes'!$A$1:$BZ$1001,490,L$2)&amp;""),""))</f>
        <v/>
      </c>
      <c r="M491">
        <f>IF(M$2=0,"",IFERROR(TRIM(INDEX('Pegar docentes'!$A$1:$BZ$1001,490,M$2)&amp;""),""))</f>
        <v/>
      </c>
      <c r="N491">
        <f>IF(N$2=0,"",IFERROR(TRIM(INDEX('Pegar docentes'!$A$1:$BZ$1001,490,N$2)&amp;""),""))</f>
        <v/>
      </c>
      <c r="O491">
        <f>IF(O$2=0,"",IFERROR(TRIM(INDEX('Pegar docentes'!$A$1:$BZ$1001,490,O$2)&amp;""),""))</f>
        <v/>
      </c>
      <c r="P491">
        <f>IF(P$2=0,"",IFERROR(TRIM(INDEX('Pegar docentes'!$A$1:$BZ$1001,490,P$2)&amp;""),""))</f>
        <v/>
      </c>
      <c r="Q491" s="25">
        <f>IF(OR(D491&lt;&gt;"",H491&lt;&gt;""),1,"")</f>
        <v/>
      </c>
      <c r="R491" s="25">
        <f>IF(Q491=1,IF(ISNUMBER(FIND("#"&amp;MID(D491,1,1)&amp;"#","#0#1#2#3#4#5#6#7#8#9#")),IF(ISNUMBER(FIND("#"&amp;MID(D491,2,1)&amp;"#","#0#1#2#3#4#5#6#7#8#9#")),IF(AND(VALUE(LEFT(D491,2))&gt;=1,VALUE(LEFT(D491,2))&lt;=5),VALUE(LEFT(D491,2)),""),IF(AND(VALUE(LEFT(D491,1))&gt;=1,VALUE(LEFT(D491,1))&lt;=5),VALUE(LEFT(D491,1)),"")),""),"")</f>
        <v/>
      </c>
      <c r="S491" s="25">
        <f>IF(AND(Q491=1,E491&lt;&gt;""),SUBSTITUTE(SUBSTITUTE(SUBSTITUTE(SUBSTITUTE(SUBSTITUTE(SUBSTITUTE(SUBSTITUTE(SUBSTITUTE(SUBSTITUTE(SUBSTITUTE(SUBSTITUTE(SUBSTITUTE(LOWER(TRIM(E491)),"á","a"),"é","e"),"í","i"),"ó","o"),"ú","u"),"ü","u"),"ñ","n"),"à","a"),"è","e"),"ì","i"),"ò","o"),"ù","u"),"")</f>
        <v/>
      </c>
      <c r="T491" s="25">
        <f>IF(AND(Q491=1,G491&lt;&gt;""),SUBSTITUTE(SUBSTITUTE(SUBSTITUTE(SUBSTITUTE(SUBSTITUTE(SUBSTITUTE(SUBSTITUTE(SUBSTITUTE(SUBSTITUTE(SUBSTITUTE(SUBSTITUTE(SUBSTITUTE(LOWER(TRIM(G491)),"á","a"),"é","e"),"í","i"),"ó","o"),"ú","u"),"ü","u"),"ñ","n"),"à","a"),"è","e"),"ì","i"),"ò","o"),"ù","u"),"")</f>
        <v/>
      </c>
      <c r="U491" s="25">
        <f>IF(AND(Q491=1,H491&lt;&gt;""),SUBSTITUTE(SUBSTITUTE(SUBSTITUTE(SUBSTITUTE(SUBSTITUTE(SUBSTITUTE(SUBSTITUTE(SUBSTITUTE(SUBSTITUTE(SUBSTITUTE(SUBSTITUTE(SUBSTITUTE(LOWER(TRIM(H491)),"á","a"),"é","e"),"í","i"),"ó","o"),"ú","u"),"ü","u"),"ñ","n"),"à","a"),"è","e"),"ì","i"),"ò","o"),"ù","u"),"")</f>
        <v/>
      </c>
      <c r="V491" s="25">
        <f>IF(AND(Q491=1,L491&lt;&gt;""),SUBSTITUTE(SUBSTITUTE(SUBSTITUTE(SUBSTITUTE(SUBSTITUTE(SUBSTITUTE(SUBSTITUTE(SUBSTITUTE(SUBSTITUTE(SUBSTITUTE(SUBSTITUTE(SUBSTITUTE(LOWER(TRIM(L491)),"á","a"),"é","e"),"í","i"),"ó","o"),"ú","u"),"ü","u"),"ñ","n"),"à","a"),"è","e"),"ì","i"),"ò","o"),"ù","u"),"")</f>
        <v/>
      </c>
      <c r="W491" s="25">
        <f>IF(AND(Q491=1,I491&lt;&gt;""),SUBSTITUTE(SUBSTITUTE(SUBSTITUTE(SUBSTITUTE(SUBSTITUTE(SUBSTITUTE(SUBSTITUTE(SUBSTITUTE(SUBSTITUTE(SUBSTITUTE(SUBSTITUTE(SUBSTITUTE(LOWER(TRIM(I491)),"á","a"),"é","e"),"í","i"),"ó","o"),"ú","u"),"ü","u"),"ñ","n"),"à","a"),"è","e"),"ì","i"),"ò","o"),"ù","u"),"")</f>
        <v/>
      </c>
      <c r="X491" s="25">
        <f>IF(U491="","",IF(OR(U491="si, en la proxima tarea",U491="si, con cambios"),1,0))</f>
        <v/>
      </c>
      <c r="Y491" s="25">
        <f>IF(AND(Q491=1,A491&lt;&gt;""),IF(IFERROR(COUNTIFS(A$3:A491,"="&amp;SUBSTITUTE(SUBSTITUTE(SUBSTITUTE(A491,"~","~~"),"*","~*"),"?","~?"),Q$3:Q491,1),0)=1,MAX(Y$2:Y490)+1,""),"")</f>
        <v/>
      </c>
      <c r="Z491" s="25">
        <f>IF(Y491="","",COUNTIFS($A$3:$A$1002,"="&amp;SUBSTITUTE(SUBSTITUTE(SUBSTITUTE(A491,"~","~~"),"*","~*"),"?","~?"),$Q$3:$Q$1002,1)*10000-Y491)</f>
        <v/>
      </c>
    </row>
    <row r="492">
      <c r="A492">
        <f>IF(A$2=0,"",IFERROR(TRIM(INDEX('Pegar docentes'!$A$1:$BZ$1001,491,A$2)&amp;""),""))</f>
        <v/>
      </c>
      <c r="B492">
        <f>IF(B$2=0,"",IFERROR(TRIM(INDEX('Pegar docentes'!$A$1:$BZ$1001,491,B$2)&amp;""),""))</f>
        <v/>
      </c>
      <c r="C492">
        <f>IF(C$2=0,"",IFERROR(TRIM(INDEX('Pegar docentes'!$A$1:$BZ$1001,491,C$2)&amp;""),""))</f>
        <v/>
      </c>
      <c r="D492">
        <f>IF(D$2=0,"",IFERROR(TRIM(INDEX('Pegar docentes'!$A$1:$BZ$1001,491,D$2)&amp;""),""))</f>
        <v/>
      </c>
      <c r="E492">
        <f>IF(E$2=0,"",IFERROR(TRIM(INDEX('Pegar docentes'!$A$1:$BZ$1001,491,E$2)&amp;""),""))</f>
        <v/>
      </c>
      <c r="F492">
        <f>IF(F$2=0,"",IFERROR(TRIM(INDEX('Pegar docentes'!$A$1:$BZ$1001,491,F$2)&amp;""),""))</f>
        <v/>
      </c>
      <c r="G492">
        <f>IF(G$2=0,"",IFERROR(TRIM(INDEX('Pegar docentes'!$A$1:$BZ$1001,491,G$2)&amp;""),""))</f>
        <v/>
      </c>
      <c r="H492">
        <f>IF(H$2=0,"",IFERROR(TRIM(INDEX('Pegar docentes'!$A$1:$BZ$1001,491,H$2)&amp;""),""))</f>
        <v/>
      </c>
      <c r="I492">
        <f>IF(I$2=0,"",IFERROR(TRIM(INDEX('Pegar docentes'!$A$1:$BZ$1001,491,I$2)&amp;""),""))</f>
        <v/>
      </c>
      <c r="J492">
        <f>IF(J$2=0,"",IFERROR(TRIM(INDEX('Pegar docentes'!$A$1:$BZ$1001,491,J$2)&amp;""),""))</f>
        <v/>
      </c>
      <c r="K492">
        <f>IF(K$2=0,"",IFERROR(TRIM(INDEX('Pegar docentes'!$A$1:$BZ$1001,491,K$2)&amp;""),""))</f>
        <v/>
      </c>
      <c r="L492">
        <f>IF(L$2=0,"",IFERROR(TRIM(INDEX('Pegar docentes'!$A$1:$BZ$1001,491,L$2)&amp;""),""))</f>
        <v/>
      </c>
      <c r="M492">
        <f>IF(M$2=0,"",IFERROR(TRIM(INDEX('Pegar docentes'!$A$1:$BZ$1001,491,M$2)&amp;""),""))</f>
        <v/>
      </c>
      <c r="N492">
        <f>IF(N$2=0,"",IFERROR(TRIM(INDEX('Pegar docentes'!$A$1:$BZ$1001,491,N$2)&amp;""),""))</f>
        <v/>
      </c>
      <c r="O492">
        <f>IF(O$2=0,"",IFERROR(TRIM(INDEX('Pegar docentes'!$A$1:$BZ$1001,491,O$2)&amp;""),""))</f>
        <v/>
      </c>
      <c r="P492">
        <f>IF(P$2=0,"",IFERROR(TRIM(INDEX('Pegar docentes'!$A$1:$BZ$1001,491,P$2)&amp;""),""))</f>
        <v/>
      </c>
      <c r="Q492" s="25">
        <f>IF(OR(D492&lt;&gt;"",H492&lt;&gt;""),1,"")</f>
        <v/>
      </c>
      <c r="R492" s="25">
        <f>IF(Q492=1,IF(ISNUMBER(FIND("#"&amp;MID(D492,1,1)&amp;"#","#0#1#2#3#4#5#6#7#8#9#")),IF(ISNUMBER(FIND("#"&amp;MID(D492,2,1)&amp;"#","#0#1#2#3#4#5#6#7#8#9#")),IF(AND(VALUE(LEFT(D492,2))&gt;=1,VALUE(LEFT(D492,2))&lt;=5),VALUE(LEFT(D492,2)),""),IF(AND(VALUE(LEFT(D492,1))&gt;=1,VALUE(LEFT(D492,1))&lt;=5),VALUE(LEFT(D492,1)),"")),""),"")</f>
        <v/>
      </c>
      <c r="S492" s="25">
        <f>IF(AND(Q492=1,E492&lt;&gt;""),SUBSTITUTE(SUBSTITUTE(SUBSTITUTE(SUBSTITUTE(SUBSTITUTE(SUBSTITUTE(SUBSTITUTE(SUBSTITUTE(SUBSTITUTE(SUBSTITUTE(SUBSTITUTE(SUBSTITUTE(LOWER(TRIM(E492)),"á","a"),"é","e"),"í","i"),"ó","o"),"ú","u"),"ü","u"),"ñ","n"),"à","a"),"è","e"),"ì","i"),"ò","o"),"ù","u"),"")</f>
        <v/>
      </c>
      <c r="T492" s="25">
        <f>IF(AND(Q492=1,G492&lt;&gt;""),SUBSTITUTE(SUBSTITUTE(SUBSTITUTE(SUBSTITUTE(SUBSTITUTE(SUBSTITUTE(SUBSTITUTE(SUBSTITUTE(SUBSTITUTE(SUBSTITUTE(SUBSTITUTE(SUBSTITUTE(LOWER(TRIM(G492)),"á","a"),"é","e"),"í","i"),"ó","o"),"ú","u"),"ü","u"),"ñ","n"),"à","a"),"è","e"),"ì","i"),"ò","o"),"ù","u"),"")</f>
        <v/>
      </c>
      <c r="U492" s="25">
        <f>IF(AND(Q492=1,H492&lt;&gt;""),SUBSTITUTE(SUBSTITUTE(SUBSTITUTE(SUBSTITUTE(SUBSTITUTE(SUBSTITUTE(SUBSTITUTE(SUBSTITUTE(SUBSTITUTE(SUBSTITUTE(SUBSTITUTE(SUBSTITUTE(LOWER(TRIM(H492)),"á","a"),"é","e"),"í","i"),"ó","o"),"ú","u"),"ü","u"),"ñ","n"),"à","a"),"è","e"),"ì","i"),"ò","o"),"ù","u"),"")</f>
        <v/>
      </c>
      <c r="V492" s="25">
        <f>IF(AND(Q492=1,L492&lt;&gt;""),SUBSTITUTE(SUBSTITUTE(SUBSTITUTE(SUBSTITUTE(SUBSTITUTE(SUBSTITUTE(SUBSTITUTE(SUBSTITUTE(SUBSTITUTE(SUBSTITUTE(SUBSTITUTE(SUBSTITUTE(LOWER(TRIM(L492)),"á","a"),"é","e"),"í","i"),"ó","o"),"ú","u"),"ü","u"),"ñ","n"),"à","a"),"è","e"),"ì","i"),"ò","o"),"ù","u"),"")</f>
        <v/>
      </c>
      <c r="W492" s="25">
        <f>IF(AND(Q492=1,I492&lt;&gt;""),SUBSTITUTE(SUBSTITUTE(SUBSTITUTE(SUBSTITUTE(SUBSTITUTE(SUBSTITUTE(SUBSTITUTE(SUBSTITUTE(SUBSTITUTE(SUBSTITUTE(SUBSTITUTE(SUBSTITUTE(LOWER(TRIM(I492)),"á","a"),"é","e"),"í","i"),"ó","o"),"ú","u"),"ü","u"),"ñ","n"),"à","a"),"è","e"),"ì","i"),"ò","o"),"ù","u"),"")</f>
        <v/>
      </c>
      <c r="X492" s="25">
        <f>IF(U492="","",IF(OR(U492="si, en la proxima tarea",U492="si, con cambios"),1,0))</f>
        <v/>
      </c>
      <c r="Y492" s="25">
        <f>IF(AND(Q492=1,A492&lt;&gt;""),IF(IFERROR(COUNTIFS(A$3:A492,"="&amp;SUBSTITUTE(SUBSTITUTE(SUBSTITUTE(A492,"~","~~"),"*","~*"),"?","~?"),Q$3:Q492,1),0)=1,MAX(Y$2:Y491)+1,""),"")</f>
        <v/>
      </c>
      <c r="Z492" s="25">
        <f>IF(Y492="","",COUNTIFS($A$3:$A$1002,"="&amp;SUBSTITUTE(SUBSTITUTE(SUBSTITUTE(A492,"~","~~"),"*","~*"),"?","~?"),$Q$3:$Q$1002,1)*10000-Y492)</f>
        <v/>
      </c>
    </row>
    <row r="493">
      <c r="A493">
        <f>IF(A$2=0,"",IFERROR(TRIM(INDEX('Pegar docentes'!$A$1:$BZ$1001,492,A$2)&amp;""),""))</f>
        <v/>
      </c>
      <c r="B493">
        <f>IF(B$2=0,"",IFERROR(TRIM(INDEX('Pegar docentes'!$A$1:$BZ$1001,492,B$2)&amp;""),""))</f>
        <v/>
      </c>
      <c r="C493">
        <f>IF(C$2=0,"",IFERROR(TRIM(INDEX('Pegar docentes'!$A$1:$BZ$1001,492,C$2)&amp;""),""))</f>
        <v/>
      </c>
      <c r="D493">
        <f>IF(D$2=0,"",IFERROR(TRIM(INDEX('Pegar docentes'!$A$1:$BZ$1001,492,D$2)&amp;""),""))</f>
        <v/>
      </c>
      <c r="E493">
        <f>IF(E$2=0,"",IFERROR(TRIM(INDEX('Pegar docentes'!$A$1:$BZ$1001,492,E$2)&amp;""),""))</f>
        <v/>
      </c>
      <c r="F493">
        <f>IF(F$2=0,"",IFERROR(TRIM(INDEX('Pegar docentes'!$A$1:$BZ$1001,492,F$2)&amp;""),""))</f>
        <v/>
      </c>
      <c r="G493">
        <f>IF(G$2=0,"",IFERROR(TRIM(INDEX('Pegar docentes'!$A$1:$BZ$1001,492,G$2)&amp;""),""))</f>
        <v/>
      </c>
      <c r="H493">
        <f>IF(H$2=0,"",IFERROR(TRIM(INDEX('Pegar docentes'!$A$1:$BZ$1001,492,H$2)&amp;""),""))</f>
        <v/>
      </c>
      <c r="I493">
        <f>IF(I$2=0,"",IFERROR(TRIM(INDEX('Pegar docentes'!$A$1:$BZ$1001,492,I$2)&amp;""),""))</f>
        <v/>
      </c>
      <c r="J493">
        <f>IF(J$2=0,"",IFERROR(TRIM(INDEX('Pegar docentes'!$A$1:$BZ$1001,492,J$2)&amp;""),""))</f>
        <v/>
      </c>
      <c r="K493">
        <f>IF(K$2=0,"",IFERROR(TRIM(INDEX('Pegar docentes'!$A$1:$BZ$1001,492,K$2)&amp;""),""))</f>
        <v/>
      </c>
      <c r="L493">
        <f>IF(L$2=0,"",IFERROR(TRIM(INDEX('Pegar docentes'!$A$1:$BZ$1001,492,L$2)&amp;""),""))</f>
        <v/>
      </c>
      <c r="M493">
        <f>IF(M$2=0,"",IFERROR(TRIM(INDEX('Pegar docentes'!$A$1:$BZ$1001,492,M$2)&amp;""),""))</f>
        <v/>
      </c>
      <c r="N493">
        <f>IF(N$2=0,"",IFERROR(TRIM(INDEX('Pegar docentes'!$A$1:$BZ$1001,492,N$2)&amp;""),""))</f>
        <v/>
      </c>
      <c r="O493">
        <f>IF(O$2=0,"",IFERROR(TRIM(INDEX('Pegar docentes'!$A$1:$BZ$1001,492,O$2)&amp;""),""))</f>
        <v/>
      </c>
      <c r="P493">
        <f>IF(P$2=0,"",IFERROR(TRIM(INDEX('Pegar docentes'!$A$1:$BZ$1001,492,P$2)&amp;""),""))</f>
        <v/>
      </c>
      <c r="Q493" s="25">
        <f>IF(OR(D493&lt;&gt;"",H493&lt;&gt;""),1,"")</f>
        <v/>
      </c>
      <c r="R493" s="25">
        <f>IF(Q493=1,IF(ISNUMBER(FIND("#"&amp;MID(D493,1,1)&amp;"#","#0#1#2#3#4#5#6#7#8#9#")),IF(ISNUMBER(FIND("#"&amp;MID(D493,2,1)&amp;"#","#0#1#2#3#4#5#6#7#8#9#")),IF(AND(VALUE(LEFT(D493,2))&gt;=1,VALUE(LEFT(D493,2))&lt;=5),VALUE(LEFT(D493,2)),""),IF(AND(VALUE(LEFT(D493,1))&gt;=1,VALUE(LEFT(D493,1))&lt;=5),VALUE(LEFT(D493,1)),"")),""),"")</f>
        <v/>
      </c>
      <c r="S493" s="25">
        <f>IF(AND(Q493=1,E493&lt;&gt;""),SUBSTITUTE(SUBSTITUTE(SUBSTITUTE(SUBSTITUTE(SUBSTITUTE(SUBSTITUTE(SUBSTITUTE(SUBSTITUTE(SUBSTITUTE(SUBSTITUTE(SUBSTITUTE(SUBSTITUTE(LOWER(TRIM(E493)),"á","a"),"é","e"),"í","i"),"ó","o"),"ú","u"),"ü","u"),"ñ","n"),"à","a"),"è","e"),"ì","i"),"ò","o"),"ù","u"),"")</f>
        <v/>
      </c>
      <c r="T493" s="25">
        <f>IF(AND(Q493=1,G493&lt;&gt;""),SUBSTITUTE(SUBSTITUTE(SUBSTITUTE(SUBSTITUTE(SUBSTITUTE(SUBSTITUTE(SUBSTITUTE(SUBSTITUTE(SUBSTITUTE(SUBSTITUTE(SUBSTITUTE(SUBSTITUTE(LOWER(TRIM(G493)),"á","a"),"é","e"),"í","i"),"ó","o"),"ú","u"),"ü","u"),"ñ","n"),"à","a"),"è","e"),"ì","i"),"ò","o"),"ù","u"),"")</f>
        <v/>
      </c>
      <c r="U493" s="25">
        <f>IF(AND(Q493=1,H493&lt;&gt;""),SUBSTITUTE(SUBSTITUTE(SUBSTITUTE(SUBSTITUTE(SUBSTITUTE(SUBSTITUTE(SUBSTITUTE(SUBSTITUTE(SUBSTITUTE(SUBSTITUTE(SUBSTITUTE(SUBSTITUTE(LOWER(TRIM(H493)),"á","a"),"é","e"),"í","i"),"ó","o"),"ú","u"),"ü","u"),"ñ","n"),"à","a"),"è","e"),"ì","i"),"ò","o"),"ù","u"),"")</f>
        <v/>
      </c>
      <c r="V493" s="25">
        <f>IF(AND(Q493=1,L493&lt;&gt;""),SUBSTITUTE(SUBSTITUTE(SUBSTITUTE(SUBSTITUTE(SUBSTITUTE(SUBSTITUTE(SUBSTITUTE(SUBSTITUTE(SUBSTITUTE(SUBSTITUTE(SUBSTITUTE(SUBSTITUTE(LOWER(TRIM(L493)),"á","a"),"é","e"),"í","i"),"ó","o"),"ú","u"),"ü","u"),"ñ","n"),"à","a"),"è","e"),"ì","i"),"ò","o"),"ù","u"),"")</f>
        <v/>
      </c>
      <c r="W493" s="25">
        <f>IF(AND(Q493=1,I493&lt;&gt;""),SUBSTITUTE(SUBSTITUTE(SUBSTITUTE(SUBSTITUTE(SUBSTITUTE(SUBSTITUTE(SUBSTITUTE(SUBSTITUTE(SUBSTITUTE(SUBSTITUTE(SUBSTITUTE(SUBSTITUTE(LOWER(TRIM(I493)),"á","a"),"é","e"),"í","i"),"ó","o"),"ú","u"),"ü","u"),"ñ","n"),"à","a"),"è","e"),"ì","i"),"ò","o"),"ù","u"),"")</f>
        <v/>
      </c>
      <c r="X493" s="25">
        <f>IF(U493="","",IF(OR(U493="si, en la proxima tarea",U493="si, con cambios"),1,0))</f>
        <v/>
      </c>
      <c r="Y493" s="25">
        <f>IF(AND(Q493=1,A493&lt;&gt;""),IF(IFERROR(COUNTIFS(A$3:A493,"="&amp;SUBSTITUTE(SUBSTITUTE(SUBSTITUTE(A493,"~","~~"),"*","~*"),"?","~?"),Q$3:Q493,1),0)=1,MAX(Y$2:Y492)+1,""),"")</f>
        <v/>
      </c>
      <c r="Z493" s="25">
        <f>IF(Y493="","",COUNTIFS($A$3:$A$1002,"="&amp;SUBSTITUTE(SUBSTITUTE(SUBSTITUTE(A493,"~","~~"),"*","~*"),"?","~?"),$Q$3:$Q$1002,1)*10000-Y493)</f>
        <v/>
      </c>
    </row>
    <row r="494">
      <c r="A494">
        <f>IF(A$2=0,"",IFERROR(TRIM(INDEX('Pegar docentes'!$A$1:$BZ$1001,493,A$2)&amp;""),""))</f>
        <v/>
      </c>
      <c r="B494">
        <f>IF(B$2=0,"",IFERROR(TRIM(INDEX('Pegar docentes'!$A$1:$BZ$1001,493,B$2)&amp;""),""))</f>
        <v/>
      </c>
      <c r="C494">
        <f>IF(C$2=0,"",IFERROR(TRIM(INDEX('Pegar docentes'!$A$1:$BZ$1001,493,C$2)&amp;""),""))</f>
        <v/>
      </c>
      <c r="D494">
        <f>IF(D$2=0,"",IFERROR(TRIM(INDEX('Pegar docentes'!$A$1:$BZ$1001,493,D$2)&amp;""),""))</f>
        <v/>
      </c>
      <c r="E494">
        <f>IF(E$2=0,"",IFERROR(TRIM(INDEX('Pegar docentes'!$A$1:$BZ$1001,493,E$2)&amp;""),""))</f>
        <v/>
      </c>
      <c r="F494">
        <f>IF(F$2=0,"",IFERROR(TRIM(INDEX('Pegar docentes'!$A$1:$BZ$1001,493,F$2)&amp;""),""))</f>
        <v/>
      </c>
      <c r="G494">
        <f>IF(G$2=0,"",IFERROR(TRIM(INDEX('Pegar docentes'!$A$1:$BZ$1001,493,G$2)&amp;""),""))</f>
        <v/>
      </c>
      <c r="H494">
        <f>IF(H$2=0,"",IFERROR(TRIM(INDEX('Pegar docentes'!$A$1:$BZ$1001,493,H$2)&amp;""),""))</f>
        <v/>
      </c>
      <c r="I494">
        <f>IF(I$2=0,"",IFERROR(TRIM(INDEX('Pegar docentes'!$A$1:$BZ$1001,493,I$2)&amp;""),""))</f>
        <v/>
      </c>
      <c r="J494">
        <f>IF(J$2=0,"",IFERROR(TRIM(INDEX('Pegar docentes'!$A$1:$BZ$1001,493,J$2)&amp;""),""))</f>
        <v/>
      </c>
      <c r="K494">
        <f>IF(K$2=0,"",IFERROR(TRIM(INDEX('Pegar docentes'!$A$1:$BZ$1001,493,K$2)&amp;""),""))</f>
        <v/>
      </c>
      <c r="L494">
        <f>IF(L$2=0,"",IFERROR(TRIM(INDEX('Pegar docentes'!$A$1:$BZ$1001,493,L$2)&amp;""),""))</f>
        <v/>
      </c>
      <c r="M494">
        <f>IF(M$2=0,"",IFERROR(TRIM(INDEX('Pegar docentes'!$A$1:$BZ$1001,493,M$2)&amp;""),""))</f>
        <v/>
      </c>
      <c r="N494">
        <f>IF(N$2=0,"",IFERROR(TRIM(INDEX('Pegar docentes'!$A$1:$BZ$1001,493,N$2)&amp;""),""))</f>
        <v/>
      </c>
      <c r="O494">
        <f>IF(O$2=0,"",IFERROR(TRIM(INDEX('Pegar docentes'!$A$1:$BZ$1001,493,O$2)&amp;""),""))</f>
        <v/>
      </c>
      <c r="P494">
        <f>IF(P$2=0,"",IFERROR(TRIM(INDEX('Pegar docentes'!$A$1:$BZ$1001,493,P$2)&amp;""),""))</f>
        <v/>
      </c>
      <c r="Q494" s="25">
        <f>IF(OR(D494&lt;&gt;"",H494&lt;&gt;""),1,"")</f>
        <v/>
      </c>
      <c r="R494" s="25">
        <f>IF(Q494=1,IF(ISNUMBER(FIND("#"&amp;MID(D494,1,1)&amp;"#","#0#1#2#3#4#5#6#7#8#9#")),IF(ISNUMBER(FIND("#"&amp;MID(D494,2,1)&amp;"#","#0#1#2#3#4#5#6#7#8#9#")),IF(AND(VALUE(LEFT(D494,2))&gt;=1,VALUE(LEFT(D494,2))&lt;=5),VALUE(LEFT(D494,2)),""),IF(AND(VALUE(LEFT(D494,1))&gt;=1,VALUE(LEFT(D494,1))&lt;=5),VALUE(LEFT(D494,1)),"")),""),"")</f>
        <v/>
      </c>
      <c r="S494" s="25">
        <f>IF(AND(Q494=1,E494&lt;&gt;""),SUBSTITUTE(SUBSTITUTE(SUBSTITUTE(SUBSTITUTE(SUBSTITUTE(SUBSTITUTE(SUBSTITUTE(SUBSTITUTE(SUBSTITUTE(SUBSTITUTE(SUBSTITUTE(SUBSTITUTE(LOWER(TRIM(E494)),"á","a"),"é","e"),"í","i"),"ó","o"),"ú","u"),"ü","u"),"ñ","n"),"à","a"),"è","e"),"ì","i"),"ò","o"),"ù","u"),"")</f>
        <v/>
      </c>
      <c r="T494" s="25">
        <f>IF(AND(Q494=1,G494&lt;&gt;""),SUBSTITUTE(SUBSTITUTE(SUBSTITUTE(SUBSTITUTE(SUBSTITUTE(SUBSTITUTE(SUBSTITUTE(SUBSTITUTE(SUBSTITUTE(SUBSTITUTE(SUBSTITUTE(SUBSTITUTE(LOWER(TRIM(G494)),"á","a"),"é","e"),"í","i"),"ó","o"),"ú","u"),"ü","u"),"ñ","n"),"à","a"),"è","e"),"ì","i"),"ò","o"),"ù","u"),"")</f>
        <v/>
      </c>
      <c r="U494" s="25">
        <f>IF(AND(Q494=1,H494&lt;&gt;""),SUBSTITUTE(SUBSTITUTE(SUBSTITUTE(SUBSTITUTE(SUBSTITUTE(SUBSTITUTE(SUBSTITUTE(SUBSTITUTE(SUBSTITUTE(SUBSTITUTE(SUBSTITUTE(SUBSTITUTE(LOWER(TRIM(H494)),"á","a"),"é","e"),"í","i"),"ó","o"),"ú","u"),"ü","u"),"ñ","n"),"à","a"),"è","e"),"ì","i"),"ò","o"),"ù","u"),"")</f>
        <v/>
      </c>
      <c r="V494" s="25">
        <f>IF(AND(Q494=1,L494&lt;&gt;""),SUBSTITUTE(SUBSTITUTE(SUBSTITUTE(SUBSTITUTE(SUBSTITUTE(SUBSTITUTE(SUBSTITUTE(SUBSTITUTE(SUBSTITUTE(SUBSTITUTE(SUBSTITUTE(SUBSTITUTE(LOWER(TRIM(L494)),"á","a"),"é","e"),"í","i"),"ó","o"),"ú","u"),"ü","u"),"ñ","n"),"à","a"),"è","e"),"ì","i"),"ò","o"),"ù","u"),"")</f>
        <v/>
      </c>
      <c r="W494" s="25">
        <f>IF(AND(Q494=1,I494&lt;&gt;""),SUBSTITUTE(SUBSTITUTE(SUBSTITUTE(SUBSTITUTE(SUBSTITUTE(SUBSTITUTE(SUBSTITUTE(SUBSTITUTE(SUBSTITUTE(SUBSTITUTE(SUBSTITUTE(SUBSTITUTE(LOWER(TRIM(I494)),"á","a"),"é","e"),"í","i"),"ó","o"),"ú","u"),"ü","u"),"ñ","n"),"à","a"),"è","e"),"ì","i"),"ò","o"),"ù","u"),"")</f>
        <v/>
      </c>
      <c r="X494" s="25">
        <f>IF(U494="","",IF(OR(U494="si, en la proxima tarea",U494="si, con cambios"),1,0))</f>
        <v/>
      </c>
      <c r="Y494" s="25">
        <f>IF(AND(Q494=1,A494&lt;&gt;""),IF(IFERROR(COUNTIFS(A$3:A494,"="&amp;SUBSTITUTE(SUBSTITUTE(SUBSTITUTE(A494,"~","~~"),"*","~*"),"?","~?"),Q$3:Q494,1),0)=1,MAX(Y$2:Y493)+1,""),"")</f>
        <v/>
      </c>
      <c r="Z494" s="25">
        <f>IF(Y494="","",COUNTIFS($A$3:$A$1002,"="&amp;SUBSTITUTE(SUBSTITUTE(SUBSTITUTE(A494,"~","~~"),"*","~*"),"?","~?"),$Q$3:$Q$1002,1)*10000-Y494)</f>
        <v/>
      </c>
    </row>
    <row r="495">
      <c r="A495">
        <f>IF(A$2=0,"",IFERROR(TRIM(INDEX('Pegar docentes'!$A$1:$BZ$1001,494,A$2)&amp;""),""))</f>
        <v/>
      </c>
      <c r="B495">
        <f>IF(B$2=0,"",IFERROR(TRIM(INDEX('Pegar docentes'!$A$1:$BZ$1001,494,B$2)&amp;""),""))</f>
        <v/>
      </c>
      <c r="C495">
        <f>IF(C$2=0,"",IFERROR(TRIM(INDEX('Pegar docentes'!$A$1:$BZ$1001,494,C$2)&amp;""),""))</f>
        <v/>
      </c>
      <c r="D495">
        <f>IF(D$2=0,"",IFERROR(TRIM(INDEX('Pegar docentes'!$A$1:$BZ$1001,494,D$2)&amp;""),""))</f>
        <v/>
      </c>
      <c r="E495">
        <f>IF(E$2=0,"",IFERROR(TRIM(INDEX('Pegar docentes'!$A$1:$BZ$1001,494,E$2)&amp;""),""))</f>
        <v/>
      </c>
      <c r="F495">
        <f>IF(F$2=0,"",IFERROR(TRIM(INDEX('Pegar docentes'!$A$1:$BZ$1001,494,F$2)&amp;""),""))</f>
        <v/>
      </c>
      <c r="G495">
        <f>IF(G$2=0,"",IFERROR(TRIM(INDEX('Pegar docentes'!$A$1:$BZ$1001,494,G$2)&amp;""),""))</f>
        <v/>
      </c>
      <c r="H495">
        <f>IF(H$2=0,"",IFERROR(TRIM(INDEX('Pegar docentes'!$A$1:$BZ$1001,494,H$2)&amp;""),""))</f>
        <v/>
      </c>
      <c r="I495">
        <f>IF(I$2=0,"",IFERROR(TRIM(INDEX('Pegar docentes'!$A$1:$BZ$1001,494,I$2)&amp;""),""))</f>
        <v/>
      </c>
      <c r="J495">
        <f>IF(J$2=0,"",IFERROR(TRIM(INDEX('Pegar docentes'!$A$1:$BZ$1001,494,J$2)&amp;""),""))</f>
        <v/>
      </c>
      <c r="K495">
        <f>IF(K$2=0,"",IFERROR(TRIM(INDEX('Pegar docentes'!$A$1:$BZ$1001,494,K$2)&amp;""),""))</f>
        <v/>
      </c>
      <c r="L495">
        <f>IF(L$2=0,"",IFERROR(TRIM(INDEX('Pegar docentes'!$A$1:$BZ$1001,494,L$2)&amp;""),""))</f>
        <v/>
      </c>
      <c r="M495">
        <f>IF(M$2=0,"",IFERROR(TRIM(INDEX('Pegar docentes'!$A$1:$BZ$1001,494,M$2)&amp;""),""))</f>
        <v/>
      </c>
      <c r="N495">
        <f>IF(N$2=0,"",IFERROR(TRIM(INDEX('Pegar docentes'!$A$1:$BZ$1001,494,N$2)&amp;""),""))</f>
        <v/>
      </c>
      <c r="O495">
        <f>IF(O$2=0,"",IFERROR(TRIM(INDEX('Pegar docentes'!$A$1:$BZ$1001,494,O$2)&amp;""),""))</f>
        <v/>
      </c>
      <c r="P495">
        <f>IF(P$2=0,"",IFERROR(TRIM(INDEX('Pegar docentes'!$A$1:$BZ$1001,494,P$2)&amp;""),""))</f>
        <v/>
      </c>
      <c r="Q495" s="25">
        <f>IF(OR(D495&lt;&gt;"",H495&lt;&gt;""),1,"")</f>
        <v/>
      </c>
      <c r="R495" s="25">
        <f>IF(Q495=1,IF(ISNUMBER(FIND("#"&amp;MID(D495,1,1)&amp;"#","#0#1#2#3#4#5#6#7#8#9#")),IF(ISNUMBER(FIND("#"&amp;MID(D495,2,1)&amp;"#","#0#1#2#3#4#5#6#7#8#9#")),IF(AND(VALUE(LEFT(D495,2))&gt;=1,VALUE(LEFT(D495,2))&lt;=5),VALUE(LEFT(D495,2)),""),IF(AND(VALUE(LEFT(D495,1))&gt;=1,VALUE(LEFT(D495,1))&lt;=5),VALUE(LEFT(D495,1)),"")),""),"")</f>
        <v/>
      </c>
      <c r="S495" s="25">
        <f>IF(AND(Q495=1,E495&lt;&gt;""),SUBSTITUTE(SUBSTITUTE(SUBSTITUTE(SUBSTITUTE(SUBSTITUTE(SUBSTITUTE(SUBSTITUTE(SUBSTITUTE(SUBSTITUTE(SUBSTITUTE(SUBSTITUTE(SUBSTITUTE(LOWER(TRIM(E495)),"á","a"),"é","e"),"í","i"),"ó","o"),"ú","u"),"ü","u"),"ñ","n"),"à","a"),"è","e"),"ì","i"),"ò","o"),"ù","u"),"")</f>
        <v/>
      </c>
      <c r="T495" s="25">
        <f>IF(AND(Q495=1,G495&lt;&gt;""),SUBSTITUTE(SUBSTITUTE(SUBSTITUTE(SUBSTITUTE(SUBSTITUTE(SUBSTITUTE(SUBSTITUTE(SUBSTITUTE(SUBSTITUTE(SUBSTITUTE(SUBSTITUTE(SUBSTITUTE(LOWER(TRIM(G495)),"á","a"),"é","e"),"í","i"),"ó","o"),"ú","u"),"ü","u"),"ñ","n"),"à","a"),"è","e"),"ì","i"),"ò","o"),"ù","u"),"")</f>
        <v/>
      </c>
      <c r="U495" s="25">
        <f>IF(AND(Q495=1,H495&lt;&gt;""),SUBSTITUTE(SUBSTITUTE(SUBSTITUTE(SUBSTITUTE(SUBSTITUTE(SUBSTITUTE(SUBSTITUTE(SUBSTITUTE(SUBSTITUTE(SUBSTITUTE(SUBSTITUTE(SUBSTITUTE(LOWER(TRIM(H495)),"á","a"),"é","e"),"í","i"),"ó","o"),"ú","u"),"ü","u"),"ñ","n"),"à","a"),"è","e"),"ì","i"),"ò","o"),"ù","u"),"")</f>
        <v/>
      </c>
      <c r="V495" s="25">
        <f>IF(AND(Q495=1,L495&lt;&gt;""),SUBSTITUTE(SUBSTITUTE(SUBSTITUTE(SUBSTITUTE(SUBSTITUTE(SUBSTITUTE(SUBSTITUTE(SUBSTITUTE(SUBSTITUTE(SUBSTITUTE(SUBSTITUTE(SUBSTITUTE(LOWER(TRIM(L495)),"á","a"),"é","e"),"í","i"),"ó","o"),"ú","u"),"ü","u"),"ñ","n"),"à","a"),"è","e"),"ì","i"),"ò","o"),"ù","u"),"")</f>
        <v/>
      </c>
      <c r="W495" s="25">
        <f>IF(AND(Q495=1,I495&lt;&gt;""),SUBSTITUTE(SUBSTITUTE(SUBSTITUTE(SUBSTITUTE(SUBSTITUTE(SUBSTITUTE(SUBSTITUTE(SUBSTITUTE(SUBSTITUTE(SUBSTITUTE(SUBSTITUTE(SUBSTITUTE(LOWER(TRIM(I495)),"á","a"),"é","e"),"í","i"),"ó","o"),"ú","u"),"ü","u"),"ñ","n"),"à","a"),"è","e"),"ì","i"),"ò","o"),"ù","u"),"")</f>
        <v/>
      </c>
      <c r="X495" s="25">
        <f>IF(U495="","",IF(OR(U495="si, en la proxima tarea",U495="si, con cambios"),1,0))</f>
        <v/>
      </c>
      <c r="Y495" s="25">
        <f>IF(AND(Q495=1,A495&lt;&gt;""),IF(IFERROR(COUNTIFS(A$3:A495,"="&amp;SUBSTITUTE(SUBSTITUTE(SUBSTITUTE(A495,"~","~~"),"*","~*"),"?","~?"),Q$3:Q495,1),0)=1,MAX(Y$2:Y494)+1,""),"")</f>
        <v/>
      </c>
      <c r="Z495" s="25">
        <f>IF(Y495="","",COUNTIFS($A$3:$A$1002,"="&amp;SUBSTITUTE(SUBSTITUTE(SUBSTITUTE(A495,"~","~~"),"*","~*"),"?","~?"),$Q$3:$Q$1002,1)*10000-Y495)</f>
        <v/>
      </c>
    </row>
    <row r="496">
      <c r="A496">
        <f>IF(A$2=0,"",IFERROR(TRIM(INDEX('Pegar docentes'!$A$1:$BZ$1001,495,A$2)&amp;""),""))</f>
        <v/>
      </c>
      <c r="B496">
        <f>IF(B$2=0,"",IFERROR(TRIM(INDEX('Pegar docentes'!$A$1:$BZ$1001,495,B$2)&amp;""),""))</f>
        <v/>
      </c>
      <c r="C496">
        <f>IF(C$2=0,"",IFERROR(TRIM(INDEX('Pegar docentes'!$A$1:$BZ$1001,495,C$2)&amp;""),""))</f>
        <v/>
      </c>
      <c r="D496">
        <f>IF(D$2=0,"",IFERROR(TRIM(INDEX('Pegar docentes'!$A$1:$BZ$1001,495,D$2)&amp;""),""))</f>
        <v/>
      </c>
      <c r="E496">
        <f>IF(E$2=0,"",IFERROR(TRIM(INDEX('Pegar docentes'!$A$1:$BZ$1001,495,E$2)&amp;""),""))</f>
        <v/>
      </c>
      <c r="F496">
        <f>IF(F$2=0,"",IFERROR(TRIM(INDEX('Pegar docentes'!$A$1:$BZ$1001,495,F$2)&amp;""),""))</f>
        <v/>
      </c>
      <c r="G496">
        <f>IF(G$2=0,"",IFERROR(TRIM(INDEX('Pegar docentes'!$A$1:$BZ$1001,495,G$2)&amp;""),""))</f>
        <v/>
      </c>
      <c r="H496">
        <f>IF(H$2=0,"",IFERROR(TRIM(INDEX('Pegar docentes'!$A$1:$BZ$1001,495,H$2)&amp;""),""))</f>
        <v/>
      </c>
      <c r="I496">
        <f>IF(I$2=0,"",IFERROR(TRIM(INDEX('Pegar docentes'!$A$1:$BZ$1001,495,I$2)&amp;""),""))</f>
        <v/>
      </c>
      <c r="J496">
        <f>IF(J$2=0,"",IFERROR(TRIM(INDEX('Pegar docentes'!$A$1:$BZ$1001,495,J$2)&amp;""),""))</f>
        <v/>
      </c>
      <c r="K496">
        <f>IF(K$2=0,"",IFERROR(TRIM(INDEX('Pegar docentes'!$A$1:$BZ$1001,495,K$2)&amp;""),""))</f>
        <v/>
      </c>
      <c r="L496">
        <f>IF(L$2=0,"",IFERROR(TRIM(INDEX('Pegar docentes'!$A$1:$BZ$1001,495,L$2)&amp;""),""))</f>
        <v/>
      </c>
      <c r="M496">
        <f>IF(M$2=0,"",IFERROR(TRIM(INDEX('Pegar docentes'!$A$1:$BZ$1001,495,M$2)&amp;""),""))</f>
        <v/>
      </c>
      <c r="N496">
        <f>IF(N$2=0,"",IFERROR(TRIM(INDEX('Pegar docentes'!$A$1:$BZ$1001,495,N$2)&amp;""),""))</f>
        <v/>
      </c>
      <c r="O496">
        <f>IF(O$2=0,"",IFERROR(TRIM(INDEX('Pegar docentes'!$A$1:$BZ$1001,495,O$2)&amp;""),""))</f>
        <v/>
      </c>
      <c r="P496">
        <f>IF(P$2=0,"",IFERROR(TRIM(INDEX('Pegar docentes'!$A$1:$BZ$1001,495,P$2)&amp;""),""))</f>
        <v/>
      </c>
      <c r="Q496" s="25">
        <f>IF(OR(D496&lt;&gt;"",H496&lt;&gt;""),1,"")</f>
        <v/>
      </c>
      <c r="R496" s="25">
        <f>IF(Q496=1,IF(ISNUMBER(FIND("#"&amp;MID(D496,1,1)&amp;"#","#0#1#2#3#4#5#6#7#8#9#")),IF(ISNUMBER(FIND("#"&amp;MID(D496,2,1)&amp;"#","#0#1#2#3#4#5#6#7#8#9#")),IF(AND(VALUE(LEFT(D496,2))&gt;=1,VALUE(LEFT(D496,2))&lt;=5),VALUE(LEFT(D496,2)),""),IF(AND(VALUE(LEFT(D496,1))&gt;=1,VALUE(LEFT(D496,1))&lt;=5),VALUE(LEFT(D496,1)),"")),""),"")</f>
        <v/>
      </c>
      <c r="S496" s="25">
        <f>IF(AND(Q496=1,E496&lt;&gt;""),SUBSTITUTE(SUBSTITUTE(SUBSTITUTE(SUBSTITUTE(SUBSTITUTE(SUBSTITUTE(SUBSTITUTE(SUBSTITUTE(SUBSTITUTE(SUBSTITUTE(SUBSTITUTE(SUBSTITUTE(LOWER(TRIM(E496)),"á","a"),"é","e"),"í","i"),"ó","o"),"ú","u"),"ü","u"),"ñ","n"),"à","a"),"è","e"),"ì","i"),"ò","o"),"ù","u"),"")</f>
        <v/>
      </c>
      <c r="T496" s="25">
        <f>IF(AND(Q496=1,G496&lt;&gt;""),SUBSTITUTE(SUBSTITUTE(SUBSTITUTE(SUBSTITUTE(SUBSTITUTE(SUBSTITUTE(SUBSTITUTE(SUBSTITUTE(SUBSTITUTE(SUBSTITUTE(SUBSTITUTE(SUBSTITUTE(LOWER(TRIM(G496)),"á","a"),"é","e"),"í","i"),"ó","o"),"ú","u"),"ü","u"),"ñ","n"),"à","a"),"è","e"),"ì","i"),"ò","o"),"ù","u"),"")</f>
        <v/>
      </c>
      <c r="U496" s="25">
        <f>IF(AND(Q496=1,H496&lt;&gt;""),SUBSTITUTE(SUBSTITUTE(SUBSTITUTE(SUBSTITUTE(SUBSTITUTE(SUBSTITUTE(SUBSTITUTE(SUBSTITUTE(SUBSTITUTE(SUBSTITUTE(SUBSTITUTE(SUBSTITUTE(LOWER(TRIM(H496)),"á","a"),"é","e"),"í","i"),"ó","o"),"ú","u"),"ü","u"),"ñ","n"),"à","a"),"è","e"),"ì","i"),"ò","o"),"ù","u"),"")</f>
        <v/>
      </c>
      <c r="V496" s="25">
        <f>IF(AND(Q496=1,L496&lt;&gt;""),SUBSTITUTE(SUBSTITUTE(SUBSTITUTE(SUBSTITUTE(SUBSTITUTE(SUBSTITUTE(SUBSTITUTE(SUBSTITUTE(SUBSTITUTE(SUBSTITUTE(SUBSTITUTE(SUBSTITUTE(LOWER(TRIM(L496)),"á","a"),"é","e"),"í","i"),"ó","o"),"ú","u"),"ü","u"),"ñ","n"),"à","a"),"è","e"),"ì","i"),"ò","o"),"ù","u"),"")</f>
        <v/>
      </c>
      <c r="W496" s="25">
        <f>IF(AND(Q496=1,I496&lt;&gt;""),SUBSTITUTE(SUBSTITUTE(SUBSTITUTE(SUBSTITUTE(SUBSTITUTE(SUBSTITUTE(SUBSTITUTE(SUBSTITUTE(SUBSTITUTE(SUBSTITUTE(SUBSTITUTE(SUBSTITUTE(LOWER(TRIM(I496)),"á","a"),"é","e"),"í","i"),"ó","o"),"ú","u"),"ü","u"),"ñ","n"),"à","a"),"è","e"),"ì","i"),"ò","o"),"ù","u"),"")</f>
        <v/>
      </c>
      <c r="X496" s="25">
        <f>IF(U496="","",IF(OR(U496="si, en la proxima tarea",U496="si, con cambios"),1,0))</f>
        <v/>
      </c>
      <c r="Y496" s="25">
        <f>IF(AND(Q496=1,A496&lt;&gt;""),IF(IFERROR(COUNTIFS(A$3:A496,"="&amp;SUBSTITUTE(SUBSTITUTE(SUBSTITUTE(A496,"~","~~"),"*","~*"),"?","~?"),Q$3:Q496,1),0)=1,MAX(Y$2:Y495)+1,""),"")</f>
        <v/>
      </c>
      <c r="Z496" s="25">
        <f>IF(Y496="","",COUNTIFS($A$3:$A$1002,"="&amp;SUBSTITUTE(SUBSTITUTE(SUBSTITUTE(A496,"~","~~"),"*","~*"),"?","~?"),$Q$3:$Q$1002,1)*10000-Y496)</f>
        <v/>
      </c>
    </row>
    <row r="497">
      <c r="A497">
        <f>IF(A$2=0,"",IFERROR(TRIM(INDEX('Pegar docentes'!$A$1:$BZ$1001,496,A$2)&amp;""),""))</f>
        <v/>
      </c>
      <c r="B497">
        <f>IF(B$2=0,"",IFERROR(TRIM(INDEX('Pegar docentes'!$A$1:$BZ$1001,496,B$2)&amp;""),""))</f>
        <v/>
      </c>
      <c r="C497">
        <f>IF(C$2=0,"",IFERROR(TRIM(INDEX('Pegar docentes'!$A$1:$BZ$1001,496,C$2)&amp;""),""))</f>
        <v/>
      </c>
      <c r="D497">
        <f>IF(D$2=0,"",IFERROR(TRIM(INDEX('Pegar docentes'!$A$1:$BZ$1001,496,D$2)&amp;""),""))</f>
        <v/>
      </c>
      <c r="E497">
        <f>IF(E$2=0,"",IFERROR(TRIM(INDEX('Pegar docentes'!$A$1:$BZ$1001,496,E$2)&amp;""),""))</f>
        <v/>
      </c>
      <c r="F497">
        <f>IF(F$2=0,"",IFERROR(TRIM(INDEX('Pegar docentes'!$A$1:$BZ$1001,496,F$2)&amp;""),""))</f>
        <v/>
      </c>
      <c r="G497">
        <f>IF(G$2=0,"",IFERROR(TRIM(INDEX('Pegar docentes'!$A$1:$BZ$1001,496,G$2)&amp;""),""))</f>
        <v/>
      </c>
      <c r="H497">
        <f>IF(H$2=0,"",IFERROR(TRIM(INDEX('Pegar docentes'!$A$1:$BZ$1001,496,H$2)&amp;""),""))</f>
        <v/>
      </c>
      <c r="I497">
        <f>IF(I$2=0,"",IFERROR(TRIM(INDEX('Pegar docentes'!$A$1:$BZ$1001,496,I$2)&amp;""),""))</f>
        <v/>
      </c>
      <c r="J497">
        <f>IF(J$2=0,"",IFERROR(TRIM(INDEX('Pegar docentes'!$A$1:$BZ$1001,496,J$2)&amp;""),""))</f>
        <v/>
      </c>
      <c r="K497">
        <f>IF(K$2=0,"",IFERROR(TRIM(INDEX('Pegar docentes'!$A$1:$BZ$1001,496,K$2)&amp;""),""))</f>
        <v/>
      </c>
      <c r="L497">
        <f>IF(L$2=0,"",IFERROR(TRIM(INDEX('Pegar docentes'!$A$1:$BZ$1001,496,L$2)&amp;""),""))</f>
        <v/>
      </c>
      <c r="M497">
        <f>IF(M$2=0,"",IFERROR(TRIM(INDEX('Pegar docentes'!$A$1:$BZ$1001,496,M$2)&amp;""),""))</f>
        <v/>
      </c>
      <c r="N497">
        <f>IF(N$2=0,"",IFERROR(TRIM(INDEX('Pegar docentes'!$A$1:$BZ$1001,496,N$2)&amp;""),""))</f>
        <v/>
      </c>
      <c r="O497">
        <f>IF(O$2=0,"",IFERROR(TRIM(INDEX('Pegar docentes'!$A$1:$BZ$1001,496,O$2)&amp;""),""))</f>
        <v/>
      </c>
      <c r="P497">
        <f>IF(P$2=0,"",IFERROR(TRIM(INDEX('Pegar docentes'!$A$1:$BZ$1001,496,P$2)&amp;""),""))</f>
        <v/>
      </c>
      <c r="Q497" s="25">
        <f>IF(OR(D497&lt;&gt;"",H497&lt;&gt;""),1,"")</f>
        <v/>
      </c>
      <c r="R497" s="25">
        <f>IF(Q497=1,IF(ISNUMBER(FIND("#"&amp;MID(D497,1,1)&amp;"#","#0#1#2#3#4#5#6#7#8#9#")),IF(ISNUMBER(FIND("#"&amp;MID(D497,2,1)&amp;"#","#0#1#2#3#4#5#6#7#8#9#")),IF(AND(VALUE(LEFT(D497,2))&gt;=1,VALUE(LEFT(D497,2))&lt;=5),VALUE(LEFT(D497,2)),""),IF(AND(VALUE(LEFT(D497,1))&gt;=1,VALUE(LEFT(D497,1))&lt;=5),VALUE(LEFT(D497,1)),"")),""),"")</f>
        <v/>
      </c>
      <c r="S497" s="25">
        <f>IF(AND(Q497=1,E497&lt;&gt;""),SUBSTITUTE(SUBSTITUTE(SUBSTITUTE(SUBSTITUTE(SUBSTITUTE(SUBSTITUTE(SUBSTITUTE(SUBSTITUTE(SUBSTITUTE(SUBSTITUTE(SUBSTITUTE(SUBSTITUTE(LOWER(TRIM(E497)),"á","a"),"é","e"),"í","i"),"ó","o"),"ú","u"),"ü","u"),"ñ","n"),"à","a"),"è","e"),"ì","i"),"ò","o"),"ù","u"),"")</f>
        <v/>
      </c>
      <c r="T497" s="25">
        <f>IF(AND(Q497=1,G497&lt;&gt;""),SUBSTITUTE(SUBSTITUTE(SUBSTITUTE(SUBSTITUTE(SUBSTITUTE(SUBSTITUTE(SUBSTITUTE(SUBSTITUTE(SUBSTITUTE(SUBSTITUTE(SUBSTITUTE(SUBSTITUTE(LOWER(TRIM(G497)),"á","a"),"é","e"),"í","i"),"ó","o"),"ú","u"),"ü","u"),"ñ","n"),"à","a"),"è","e"),"ì","i"),"ò","o"),"ù","u"),"")</f>
        <v/>
      </c>
      <c r="U497" s="25">
        <f>IF(AND(Q497=1,H497&lt;&gt;""),SUBSTITUTE(SUBSTITUTE(SUBSTITUTE(SUBSTITUTE(SUBSTITUTE(SUBSTITUTE(SUBSTITUTE(SUBSTITUTE(SUBSTITUTE(SUBSTITUTE(SUBSTITUTE(SUBSTITUTE(LOWER(TRIM(H497)),"á","a"),"é","e"),"í","i"),"ó","o"),"ú","u"),"ü","u"),"ñ","n"),"à","a"),"è","e"),"ì","i"),"ò","o"),"ù","u"),"")</f>
        <v/>
      </c>
      <c r="V497" s="25">
        <f>IF(AND(Q497=1,L497&lt;&gt;""),SUBSTITUTE(SUBSTITUTE(SUBSTITUTE(SUBSTITUTE(SUBSTITUTE(SUBSTITUTE(SUBSTITUTE(SUBSTITUTE(SUBSTITUTE(SUBSTITUTE(SUBSTITUTE(SUBSTITUTE(LOWER(TRIM(L497)),"á","a"),"é","e"),"í","i"),"ó","o"),"ú","u"),"ü","u"),"ñ","n"),"à","a"),"è","e"),"ì","i"),"ò","o"),"ù","u"),"")</f>
        <v/>
      </c>
      <c r="W497" s="25">
        <f>IF(AND(Q497=1,I497&lt;&gt;""),SUBSTITUTE(SUBSTITUTE(SUBSTITUTE(SUBSTITUTE(SUBSTITUTE(SUBSTITUTE(SUBSTITUTE(SUBSTITUTE(SUBSTITUTE(SUBSTITUTE(SUBSTITUTE(SUBSTITUTE(LOWER(TRIM(I497)),"á","a"),"é","e"),"í","i"),"ó","o"),"ú","u"),"ü","u"),"ñ","n"),"à","a"),"è","e"),"ì","i"),"ò","o"),"ù","u"),"")</f>
        <v/>
      </c>
      <c r="X497" s="25">
        <f>IF(U497="","",IF(OR(U497="si, en la proxima tarea",U497="si, con cambios"),1,0))</f>
        <v/>
      </c>
      <c r="Y497" s="25">
        <f>IF(AND(Q497=1,A497&lt;&gt;""),IF(IFERROR(COUNTIFS(A$3:A497,"="&amp;SUBSTITUTE(SUBSTITUTE(SUBSTITUTE(A497,"~","~~"),"*","~*"),"?","~?"),Q$3:Q497,1),0)=1,MAX(Y$2:Y496)+1,""),"")</f>
        <v/>
      </c>
      <c r="Z497" s="25">
        <f>IF(Y497="","",COUNTIFS($A$3:$A$1002,"="&amp;SUBSTITUTE(SUBSTITUTE(SUBSTITUTE(A497,"~","~~"),"*","~*"),"?","~?"),$Q$3:$Q$1002,1)*10000-Y497)</f>
        <v/>
      </c>
    </row>
    <row r="498">
      <c r="A498">
        <f>IF(A$2=0,"",IFERROR(TRIM(INDEX('Pegar docentes'!$A$1:$BZ$1001,497,A$2)&amp;""),""))</f>
        <v/>
      </c>
      <c r="B498">
        <f>IF(B$2=0,"",IFERROR(TRIM(INDEX('Pegar docentes'!$A$1:$BZ$1001,497,B$2)&amp;""),""))</f>
        <v/>
      </c>
      <c r="C498">
        <f>IF(C$2=0,"",IFERROR(TRIM(INDEX('Pegar docentes'!$A$1:$BZ$1001,497,C$2)&amp;""),""))</f>
        <v/>
      </c>
      <c r="D498">
        <f>IF(D$2=0,"",IFERROR(TRIM(INDEX('Pegar docentes'!$A$1:$BZ$1001,497,D$2)&amp;""),""))</f>
        <v/>
      </c>
      <c r="E498">
        <f>IF(E$2=0,"",IFERROR(TRIM(INDEX('Pegar docentes'!$A$1:$BZ$1001,497,E$2)&amp;""),""))</f>
        <v/>
      </c>
      <c r="F498">
        <f>IF(F$2=0,"",IFERROR(TRIM(INDEX('Pegar docentes'!$A$1:$BZ$1001,497,F$2)&amp;""),""))</f>
        <v/>
      </c>
      <c r="G498">
        <f>IF(G$2=0,"",IFERROR(TRIM(INDEX('Pegar docentes'!$A$1:$BZ$1001,497,G$2)&amp;""),""))</f>
        <v/>
      </c>
      <c r="H498">
        <f>IF(H$2=0,"",IFERROR(TRIM(INDEX('Pegar docentes'!$A$1:$BZ$1001,497,H$2)&amp;""),""))</f>
        <v/>
      </c>
      <c r="I498">
        <f>IF(I$2=0,"",IFERROR(TRIM(INDEX('Pegar docentes'!$A$1:$BZ$1001,497,I$2)&amp;""),""))</f>
        <v/>
      </c>
      <c r="J498">
        <f>IF(J$2=0,"",IFERROR(TRIM(INDEX('Pegar docentes'!$A$1:$BZ$1001,497,J$2)&amp;""),""))</f>
        <v/>
      </c>
      <c r="K498">
        <f>IF(K$2=0,"",IFERROR(TRIM(INDEX('Pegar docentes'!$A$1:$BZ$1001,497,K$2)&amp;""),""))</f>
        <v/>
      </c>
      <c r="L498">
        <f>IF(L$2=0,"",IFERROR(TRIM(INDEX('Pegar docentes'!$A$1:$BZ$1001,497,L$2)&amp;""),""))</f>
        <v/>
      </c>
      <c r="M498">
        <f>IF(M$2=0,"",IFERROR(TRIM(INDEX('Pegar docentes'!$A$1:$BZ$1001,497,M$2)&amp;""),""))</f>
        <v/>
      </c>
      <c r="N498">
        <f>IF(N$2=0,"",IFERROR(TRIM(INDEX('Pegar docentes'!$A$1:$BZ$1001,497,N$2)&amp;""),""))</f>
        <v/>
      </c>
      <c r="O498">
        <f>IF(O$2=0,"",IFERROR(TRIM(INDEX('Pegar docentes'!$A$1:$BZ$1001,497,O$2)&amp;""),""))</f>
        <v/>
      </c>
      <c r="P498">
        <f>IF(P$2=0,"",IFERROR(TRIM(INDEX('Pegar docentes'!$A$1:$BZ$1001,497,P$2)&amp;""),""))</f>
        <v/>
      </c>
      <c r="Q498" s="25">
        <f>IF(OR(D498&lt;&gt;"",H498&lt;&gt;""),1,"")</f>
        <v/>
      </c>
      <c r="R498" s="25">
        <f>IF(Q498=1,IF(ISNUMBER(FIND("#"&amp;MID(D498,1,1)&amp;"#","#0#1#2#3#4#5#6#7#8#9#")),IF(ISNUMBER(FIND("#"&amp;MID(D498,2,1)&amp;"#","#0#1#2#3#4#5#6#7#8#9#")),IF(AND(VALUE(LEFT(D498,2))&gt;=1,VALUE(LEFT(D498,2))&lt;=5),VALUE(LEFT(D498,2)),""),IF(AND(VALUE(LEFT(D498,1))&gt;=1,VALUE(LEFT(D498,1))&lt;=5),VALUE(LEFT(D498,1)),"")),""),"")</f>
        <v/>
      </c>
      <c r="S498" s="25">
        <f>IF(AND(Q498=1,E498&lt;&gt;""),SUBSTITUTE(SUBSTITUTE(SUBSTITUTE(SUBSTITUTE(SUBSTITUTE(SUBSTITUTE(SUBSTITUTE(SUBSTITUTE(SUBSTITUTE(SUBSTITUTE(SUBSTITUTE(SUBSTITUTE(LOWER(TRIM(E498)),"á","a"),"é","e"),"í","i"),"ó","o"),"ú","u"),"ü","u"),"ñ","n"),"à","a"),"è","e"),"ì","i"),"ò","o"),"ù","u"),"")</f>
        <v/>
      </c>
      <c r="T498" s="25">
        <f>IF(AND(Q498=1,G498&lt;&gt;""),SUBSTITUTE(SUBSTITUTE(SUBSTITUTE(SUBSTITUTE(SUBSTITUTE(SUBSTITUTE(SUBSTITUTE(SUBSTITUTE(SUBSTITUTE(SUBSTITUTE(SUBSTITUTE(SUBSTITUTE(LOWER(TRIM(G498)),"á","a"),"é","e"),"í","i"),"ó","o"),"ú","u"),"ü","u"),"ñ","n"),"à","a"),"è","e"),"ì","i"),"ò","o"),"ù","u"),"")</f>
        <v/>
      </c>
      <c r="U498" s="25">
        <f>IF(AND(Q498=1,H498&lt;&gt;""),SUBSTITUTE(SUBSTITUTE(SUBSTITUTE(SUBSTITUTE(SUBSTITUTE(SUBSTITUTE(SUBSTITUTE(SUBSTITUTE(SUBSTITUTE(SUBSTITUTE(SUBSTITUTE(SUBSTITUTE(LOWER(TRIM(H498)),"á","a"),"é","e"),"í","i"),"ó","o"),"ú","u"),"ü","u"),"ñ","n"),"à","a"),"è","e"),"ì","i"),"ò","o"),"ù","u"),"")</f>
        <v/>
      </c>
      <c r="V498" s="25">
        <f>IF(AND(Q498=1,L498&lt;&gt;""),SUBSTITUTE(SUBSTITUTE(SUBSTITUTE(SUBSTITUTE(SUBSTITUTE(SUBSTITUTE(SUBSTITUTE(SUBSTITUTE(SUBSTITUTE(SUBSTITUTE(SUBSTITUTE(SUBSTITUTE(LOWER(TRIM(L498)),"á","a"),"é","e"),"í","i"),"ó","o"),"ú","u"),"ü","u"),"ñ","n"),"à","a"),"è","e"),"ì","i"),"ò","o"),"ù","u"),"")</f>
        <v/>
      </c>
      <c r="W498" s="25">
        <f>IF(AND(Q498=1,I498&lt;&gt;""),SUBSTITUTE(SUBSTITUTE(SUBSTITUTE(SUBSTITUTE(SUBSTITUTE(SUBSTITUTE(SUBSTITUTE(SUBSTITUTE(SUBSTITUTE(SUBSTITUTE(SUBSTITUTE(SUBSTITUTE(LOWER(TRIM(I498)),"á","a"),"é","e"),"í","i"),"ó","o"),"ú","u"),"ü","u"),"ñ","n"),"à","a"),"è","e"),"ì","i"),"ò","o"),"ù","u"),"")</f>
        <v/>
      </c>
      <c r="X498" s="25">
        <f>IF(U498="","",IF(OR(U498="si, en la proxima tarea",U498="si, con cambios"),1,0))</f>
        <v/>
      </c>
      <c r="Y498" s="25">
        <f>IF(AND(Q498=1,A498&lt;&gt;""),IF(IFERROR(COUNTIFS(A$3:A498,"="&amp;SUBSTITUTE(SUBSTITUTE(SUBSTITUTE(A498,"~","~~"),"*","~*"),"?","~?"),Q$3:Q498,1),0)=1,MAX(Y$2:Y497)+1,""),"")</f>
        <v/>
      </c>
      <c r="Z498" s="25">
        <f>IF(Y498="","",COUNTIFS($A$3:$A$1002,"="&amp;SUBSTITUTE(SUBSTITUTE(SUBSTITUTE(A498,"~","~~"),"*","~*"),"?","~?"),$Q$3:$Q$1002,1)*10000-Y498)</f>
        <v/>
      </c>
    </row>
    <row r="499">
      <c r="A499">
        <f>IF(A$2=0,"",IFERROR(TRIM(INDEX('Pegar docentes'!$A$1:$BZ$1001,498,A$2)&amp;""),""))</f>
        <v/>
      </c>
      <c r="B499">
        <f>IF(B$2=0,"",IFERROR(TRIM(INDEX('Pegar docentes'!$A$1:$BZ$1001,498,B$2)&amp;""),""))</f>
        <v/>
      </c>
      <c r="C499">
        <f>IF(C$2=0,"",IFERROR(TRIM(INDEX('Pegar docentes'!$A$1:$BZ$1001,498,C$2)&amp;""),""))</f>
        <v/>
      </c>
      <c r="D499">
        <f>IF(D$2=0,"",IFERROR(TRIM(INDEX('Pegar docentes'!$A$1:$BZ$1001,498,D$2)&amp;""),""))</f>
        <v/>
      </c>
      <c r="E499">
        <f>IF(E$2=0,"",IFERROR(TRIM(INDEX('Pegar docentes'!$A$1:$BZ$1001,498,E$2)&amp;""),""))</f>
        <v/>
      </c>
      <c r="F499">
        <f>IF(F$2=0,"",IFERROR(TRIM(INDEX('Pegar docentes'!$A$1:$BZ$1001,498,F$2)&amp;""),""))</f>
        <v/>
      </c>
      <c r="G499">
        <f>IF(G$2=0,"",IFERROR(TRIM(INDEX('Pegar docentes'!$A$1:$BZ$1001,498,G$2)&amp;""),""))</f>
        <v/>
      </c>
      <c r="H499">
        <f>IF(H$2=0,"",IFERROR(TRIM(INDEX('Pegar docentes'!$A$1:$BZ$1001,498,H$2)&amp;""),""))</f>
        <v/>
      </c>
      <c r="I499">
        <f>IF(I$2=0,"",IFERROR(TRIM(INDEX('Pegar docentes'!$A$1:$BZ$1001,498,I$2)&amp;""),""))</f>
        <v/>
      </c>
      <c r="J499">
        <f>IF(J$2=0,"",IFERROR(TRIM(INDEX('Pegar docentes'!$A$1:$BZ$1001,498,J$2)&amp;""),""))</f>
        <v/>
      </c>
      <c r="K499">
        <f>IF(K$2=0,"",IFERROR(TRIM(INDEX('Pegar docentes'!$A$1:$BZ$1001,498,K$2)&amp;""),""))</f>
        <v/>
      </c>
      <c r="L499">
        <f>IF(L$2=0,"",IFERROR(TRIM(INDEX('Pegar docentes'!$A$1:$BZ$1001,498,L$2)&amp;""),""))</f>
        <v/>
      </c>
      <c r="M499">
        <f>IF(M$2=0,"",IFERROR(TRIM(INDEX('Pegar docentes'!$A$1:$BZ$1001,498,M$2)&amp;""),""))</f>
        <v/>
      </c>
      <c r="N499">
        <f>IF(N$2=0,"",IFERROR(TRIM(INDEX('Pegar docentes'!$A$1:$BZ$1001,498,N$2)&amp;""),""))</f>
        <v/>
      </c>
      <c r="O499">
        <f>IF(O$2=0,"",IFERROR(TRIM(INDEX('Pegar docentes'!$A$1:$BZ$1001,498,O$2)&amp;""),""))</f>
        <v/>
      </c>
      <c r="P499">
        <f>IF(P$2=0,"",IFERROR(TRIM(INDEX('Pegar docentes'!$A$1:$BZ$1001,498,P$2)&amp;""),""))</f>
        <v/>
      </c>
      <c r="Q499" s="25">
        <f>IF(OR(D499&lt;&gt;"",H499&lt;&gt;""),1,"")</f>
        <v/>
      </c>
      <c r="R499" s="25">
        <f>IF(Q499=1,IF(ISNUMBER(FIND("#"&amp;MID(D499,1,1)&amp;"#","#0#1#2#3#4#5#6#7#8#9#")),IF(ISNUMBER(FIND("#"&amp;MID(D499,2,1)&amp;"#","#0#1#2#3#4#5#6#7#8#9#")),IF(AND(VALUE(LEFT(D499,2))&gt;=1,VALUE(LEFT(D499,2))&lt;=5),VALUE(LEFT(D499,2)),""),IF(AND(VALUE(LEFT(D499,1))&gt;=1,VALUE(LEFT(D499,1))&lt;=5),VALUE(LEFT(D499,1)),"")),""),"")</f>
        <v/>
      </c>
      <c r="S499" s="25">
        <f>IF(AND(Q499=1,E499&lt;&gt;""),SUBSTITUTE(SUBSTITUTE(SUBSTITUTE(SUBSTITUTE(SUBSTITUTE(SUBSTITUTE(SUBSTITUTE(SUBSTITUTE(SUBSTITUTE(SUBSTITUTE(SUBSTITUTE(SUBSTITUTE(LOWER(TRIM(E499)),"á","a"),"é","e"),"í","i"),"ó","o"),"ú","u"),"ü","u"),"ñ","n"),"à","a"),"è","e"),"ì","i"),"ò","o"),"ù","u"),"")</f>
        <v/>
      </c>
      <c r="T499" s="25">
        <f>IF(AND(Q499=1,G499&lt;&gt;""),SUBSTITUTE(SUBSTITUTE(SUBSTITUTE(SUBSTITUTE(SUBSTITUTE(SUBSTITUTE(SUBSTITUTE(SUBSTITUTE(SUBSTITUTE(SUBSTITUTE(SUBSTITUTE(SUBSTITUTE(LOWER(TRIM(G499)),"á","a"),"é","e"),"í","i"),"ó","o"),"ú","u"),"ü","u"),"ñ","n"),"à","a"),"è","e"),"ì","i"),"ò","o"),"ù","u"),"")</f>
        <v/>
      </c>
      <c r="U499" s="25">
        <f>IF(AND(Q499=1,H499&lt;&gt;""),SUBSTITUTE(SUBSTITUTE(SUBSTITUTE(SUBSTITUTE(SUBSTITUTE(SUBSTITUTE(SUBSTITUTE(SUBSTITUTE(SUBSTITUTE(SUBSTITUTE(SUBSTITUTE(SUBSTITUTE(LOWER(TRIM(H499)),"á","a"),"é","e"),"í","i"),"ó","o"),"ú","u"),"ü","u"),"ñ","n"),"à","a"),"è","e"),"ì","i"),"ò","o"),"ù","u"),"")</f>
        <v/>
      </c>
      <c r="V499" s="25">
        <f>IF(AND(Q499=1,L499&lt;&gt;""),SUBSTITUTE(SUBSTITUTE(SUBSTITUTE(SUBSTITUTE(SUBSTITUTE(SUBSTITUTE(SUBSTITUTE(SUBSTITUTE(SUBSTITUTE(SUBSTITUTE(SUBSTITUTE(SUBSTITUTE(LOWER(TRIM(L499)),"á","a"),"é","e"),"í","i"),"ó","o"),"ú","u"),"ü","u"),"ñ","n"),"à","a"),"è","e"),"ì","i"),"ò","o"),"ù","u"),"")</f>
        <v/>
      </c>
      <c r="W499" s="25">
        <f>IF(AND(Q499=1,I499&lt;&gt;""),SUBSTITUTE(SUBSTITUTE(SUBSTITUTE(SUBSTITUTE(SUBSTITUTE(SUBSTITUTE(SUBSTITUTE(SUBSTITUTE(SUBSTITUTE(SUBSTITUTE(SUBSTITUTE(SUBSTITUTE(LOWER(TRIM(I499)),"á","a"),"é","e"),"í","i"),"ó","o"),"ú","u"),"ü","u"),"ñ","n"),"à","a"),"è","e"),"ì","i"),"ò","o"),"ù","u"),"")</f>
        <v/>
      </c>
      <c r="X499" s="25">
        <f>IF(U499="","",IF(OR(U499="si, en la proxima tarea",U499="si, con cambios"),1,0))</f>
        <v/>
      </c>
      <c r="Y499" s="25">
        <f>IF(AND(Q499=1,A499&lt;&gt;""),IF(IFERROR(COUNTIFS(A$3:A499,"="&amp;SUBSTITUTE(SUBSTITUTE(SUBSTITUTE(A499,"~","~~"),"*","~*"),"?","~?"),Q$3:Q499,1),0)=1,MAX(Y$2:Y498)+1,""),"")</f>
        <v/>
      </c>
      <c r="Z499" s="25">
        <f>IF(Y499="","",COUNTIFS($A$3:$A$1002,"="&amp;SUBSTITUTE(SUBSTITUTE(SUBSTITUTE(A499,"~","~~"),"*","~*"),"?","~?"),$Q$3:$Q$1002,1)*10000-Y499)</f>
        <v/>
      </c>
    </row>
    <row r="500">
      <c r="A500">
        <f>IF(A$2=0,"",IFERROR(TRIM(INDEX('Pegar docentes'!$A$1:$BZ$1001,499,A$2)&amp;""),""))</f>
        <v/>
      </c>
      <c r="B500">
        <f>IF(B$2=0,"",IFERROR(TRIM(INDEX('Pegar docentes'!$A$1:$BZ$1001,499,B$2)&amp;""),""))</f>
        <v/>
      </c>
      <c r="C500">
        <f>IF(C$2=0,"",IFERROR(TRIM(INDEX('Pegar docentes'!$A$1:$BZ$1001,499,C$2)&amp;""),""))</f>
        <v/>
      </c>
      <c r="D500">
        <f>IF(D$2=0,"",IFERROR(TRIM(INDEX('Pegar docentes'!$A$1:$BZ$1001,499,D$2)&amp;""),""))</f>
        <v/>
      </c>
      <c r="E500">
        <f>IF(E$2=0,"",IFERROR(TRIM(INDEX('Pegar docentes'!$A$1:$BZ$1001,499,E$2)&amp;""),""))</f>
        <v/>
      </c>
      <c r="F500">
        <f>IF(F$2=0,"",IFERROR(TRIM(INDEX('Pegar docentes'!$A$1:$BZ$1001,499,F$2)&amp;""),""))</f>
        <v/>
      </c>
      <c r="G500">
        <f>IF(G$2=0,"",IFERROR(TRIM(INDEX('Pegar docentes'!$A$1:$BZ$1001,499,G$2)&amp;""),""))</f>
        <v/>
      </c>
      <c r="H500">
        <f>IF(H$2=0,"",IFERROR(TRIM(INDEX('Pegar docentes'!$A$1:$BZ$1001,499,H$2)&amp;""),""))</f>
        <v/>
      </c>
      <c r="I500">
        <f>IF(I$2=0,"",IFERROR(TRIM(INDEX('Pegar docentes'!$A$1:$BZ$1001,499,I$2)&amp;""),""))</f>
        <v/>
      </c>
      <c r="J500">
        <f>IF(J$2=0,"",IFERROR(TRIM(INDEX('Pegar docentes'!$A$1:$BZ$1001,499,J$2)&amp;""),""))</f>
        <v/>
      </c>
      <c r="K500">
        <f>IF(K$2=0,"",IFERROR(TRIM(INDEX('Pegar docentes'!$A$1:$BZ$1001,499,K$2)&amp;""),""))</f>
        <v/>
      </c>
      <c r="L500">
        <f>IF(L$2=0,"",IFERROR(TRIM(INDEX('Pegar docentes'!$A$1:$BZ$1001,499,L$2)&amp;""),""))</f>
        <v/>
      </c>
      <c r="M500">
        <f>IF(M$2=0,"",IFERROR(TRIM(INDEX('Pegar docentes'!$A$1:$BZ$1001,499,M$2)&amp;""),""))</f>
        <v/>
      </c>
      <c r="N500">
        <f>IF(N$2=0,"",IFERROR(TRIM(INDEX('Pegar docentes'!$A$1:$BZ$1001,499,N$2)&amp;""),""))</f>
        <v/>
      </c>
      <c r="O500">
        <f>IF(O$2=0,"",IFERROR(TRIM(INDEX('Pegar docentes'!$A$1:$BZ$1001,499,O$2)&amp;""),""))</f>
        <v/>
      </c>
      <c r="P500">
        <f>IF(P$2=0,"",IFERROR(TRIM(INDEX('Pegar docentes'!$A$1:$BZ$1001,499,P$2)&amp;""),""))</f>
        <v/>
      </c>
      <c r="Q500" s="25">
        <f>IF(OR(D500&lt;&gt;"",H500&lt;&gt;""),1,"")</f>
        <v/>
      </c>
      <c r="R500" s="25">
        <f>IF(Q500=1,IF(ISNUMBER(FIND("#"&amp;MID(D500,1,1)&amp;"#","#0#1#2#3#4#5#6#7#8#9#")),IF(ISNUMBER(FIND("#"&amp;MID(D500,2,1)&amp;"#","#0#1#2#3#4#5#6#7#8#9#")),IF(AND(VALUE(LEFT(D500,2))&gt;=1,VALUE(LEFT(D500,2))&lt;=5),VALUE(LEFT(D500,2)),""),IF(AND(VALUE(LEFT(D500,1))&gt;=1,VALUE(LEFT(D500,1))&lt;=5),VALUE(LEFT(D500,1)),"")),""),"")</f>
        <v/>
      </c>
      <c r="S500" s="25">
        <f>IF(AND(Q500=1,E500&lt;&gt;""),SUBSTITUTE(SUBSTITUTE(SUBSTITUTE(SUBSTITUTE(SUBSTITUTE(SUBSTITUTE(SUBSTITUTE(SUBSTITUTE(SUBSTITUTE(SUBSTITUTE(SUBSTITUTE(SUBSTITUTE(LOWER(TRIM(E500)),"á","a"),"é","e"),"í","i"),"ó","o"),"ú","u"),"ü","u"),"ñ","n"),"à","a"),"è","e"),"ì","i"),"ò","o"),"ù","u"),"")</f>
        <v/>
      </c>
      <c r="T500" s="25">
        <f>IF(AND(Q500=1,G500&lt;&gt;""),SUBSTITUTE(SUBSTITUTE(SUBSTITUTE(SUBSTITUTE(SUBSTITUTE(SUBSTITUTE(SUBSTITUTE(SUBSTITUTE(SUBSTITUTE(SUBSTITUTE(SUBSTITUTE(SUBSTITUTE(LOWER(TRIM(G500)),"á","a"),"é","e"),"í","i"),"ó","o"),"ú","u"),"ü","u"),"ñ","n"),"à","a"),"è","e"),"ì","i"),"ò","o"),"ù","u"),"")</f>
        <v/>
      </c>
      <c r="U500" s="25">
        <f>IF(AND(Q500=1,H500&lt;&gt;""),SUBSTITUTE(SUBSTITUTE(SUBSTITUTE(SUBSTITUTE(SUBSTITUTE(SUBSTITUTE(SUBSTITUTE(SUBSTITUTE(SUBSTITUTE(SUBSTITUTE(SUBSTITUTE(SUBSTITUTE(LOWER(TRIM(H500)),"á","a"),"é","e"),"í","i"),"ó","o"),"ú","u"),"ü","u"),"ñ","n"),"à","a"),"è","e"),"ì","i"),"ò","o"),"ù","u"),"")</f>
        <v/>
      </c>
      <c r="V500" s="25">
        <f>IF(AND(Q500=1,L500&lt;&gt;""),SUBSTITUTE(SUBSTITUTE(SUBSTITUTE(SUBSTITUTE(SUBSTITUTE(SUBSTITUTE(SUBSTITUTE(SUBSTITUTE(SUBSTITUTE(SUBSTITUTE(SUBSTITUTE(SUBSTITUTE(LOWER(TRIM(L500)),"á","a"),"é","e"),"í","i"),"ó","o"),"ú","u"),"ü","u"),"ñ","n"),"à","a"),"è","e"),"ì","i"),"ò","o"),"ù","u"),"")</f>
        <v/>
      </c>
      <c r="W500" s="25">
        <f>IF(AND(Q500=1,I500&lt;&gt;""),SUBSTITUTE(SUBSTITUTE(SUBSTITUTE(SUBSTITUTE(SUBSTITUTE(SUBSTITUTE(SUBSTITUTE(SUBSTITUTE(SUBSTITUTE(SUBSTITUTE(SUBSTITUTE(SUBSTITUTE(LOWER(TRIM(I500)),"á","a"),"é","e"),"í","i"),"ó","o"),"ú","u"),"ü","u"),"ñ","n"),"à","a"),"è","e"),"ì","i"),"ò","o"),"ù","u"),"")</f>
        <v/>
      </c>
      <c r="X500" s="25">
        <f>IF(U500="","",IF(OR(U500="si, en la proxima tarea",U500="si, con cambios"),1,0))</f>
        <v/>
      </c>
      <c r="Y500" s="25">
        <f>IF(AND(Q500=1,A500&lt;&gt;""),IF(IFERROR(COUNTIFS(A$3:A500,"="&amp;SUBSTITUTE(SUBSTITUTE(SUBSTITUTE(A500,"~","~~"),"*","~*"),"?","~?"),Q$3:Q500,1),0)=1,MAX(Y$2:Y499)+1,""),"")</f>
        <v/>
      </c>
      <c r="Z500" s="25">
        <f>IF(Y500="","",COUNTIFS($A$3:$A$1002,"="&amp;SUBSTITUTE(SUBSTITUTE(SUBSTITUTE(A500,"~","~~"),"*","~*"),"?","~?"),$Q$3:$Q$1002,1)*10000-Y500)</f>
        <v/>
      </c>
    </row>
    <row r="501">
      <c r="A501">
        <f>IF(A$2=0,"",IFERROR(TRIM(INDEX('Pegar docentes'!$A$1:$BZ$1001,500,A$2)&amp;""),""))</f>
        <v/>
      </c>
      <c r="B501">
        <f>IF(B$2=0,"",IFERROR(TRIM(INDEX('Pegar docentes'!$A$1:$BZ$1001,500,B$2)&amp;""),""))</f>
        <v/>
      </c>
      <c r="C501">
        <f>IF(C$2=0,"",IFERROR(TRIM(INDEX('Pegar docentes'!$A$1:$BZ$1001,500,C$2)&amp;""),""))</f>
        <v/>
      </c>
      <c r="D501">
        <f>IF(D$2=0,"",IFERROR(TRIM(INDEX('Pegar docentes'!$A$1:$BZ$1001,500,D$2)&amp;""),""))</f>
        <v/>
      </c>
      <c r="E501">
        <f>IF(E$2=0,"",IFERROR(TRIM(INDEX('Pegar docentes'!$A$1:$BZ$1001,500,E$2)&amp;""),""))</f>
        <v/>
      </c>
      <c r="F501">
        <f>IF(F$2=0,"",IFERROR(TRIM(INDEX('Pegar docentes'!$A$1:$BZ$1001,500,F$2)&amp;""),""))</f>
        <v/>
      </c>
      <c r="G501">
        <f>IF(G$2=0,"",IFERROR(TRIM(INDEX('Pegar docentes'!$A$1:$BZ$1001,500,G$2)&amp;""),""))</f>
        <v/>
      </c>
      <c r="H501">
        <f>IF(H$2=0,"",IFERROR(TRIM(INDEX('Pegar docentes'!$A$1:$BZ$1001,500,H$2)&amp;""),""))</f>
        <v/>
      </c>
      <c r="I501">
        <f>IF(I$2=0,"",IFERROR(TRIM(INDEX('Pegar docentes'!$A$1:$BZ$1001,500,I$2)&amp;""),""))</f>
        <v/>
      </c>
      <c r="J501">
        <f>IF(J$2=0,"",IFERROR(TRIM(INDEX('Pegar docentes'!$A$1:$BZ$1001,500,J$2)&amp;""),""))</f>
        <v/>
      </c>
      <c r="K501">
        <f>IF(K$2=0,"",IFERROR(TRIM(INDEX('Pegar docentes'!$A$1:$BZ$1001,500,K$2)&amp;""),""))</f>
        <v/>
      </c>
      <c r="L501">
        <f>IF(L$2=0,"",IFERROR(TRIM(INDEX('Pegar docentes'!$A$1:$BZ$1001,500,L$2)&amp;""),""))</f>
        <v/>
      </c>
      <c r="M501">
        <f>IF(M$2=0,"",IFERROR(TRIM(INDEX('Pegar docentes'!$A$1:$BZ$1001,500,M$2)&amp;""),""))</f>
        <v/>
      </c>
      <c r="N501">
        <f>IF(N$2=0,"",IFERROR(TRIM(INDEX('Pegar docentes'!$A$1:$BZ$1001,500,N$2)&amp;""),""))</f>
        <v/>
      </c>
      <c r="O501">
        <f>IF(O$2=0,"",IFERROR(TRIM(INDEX('Pegar docentes'!$A$1:$BZ$1001,500,O$2)&amp;""),""))</f>
        <v/>
      </c>
      <c r="P501">
        <f>IF(P$2=0,"",IFERROR(TRIM(INDEX('Pegar docentes'!$A$1:$BZ$1001,500,P$2)&amp;""),""))</f>
        <v/>
      </c>
      <c r="Q501" s="25">
        <f>IF(OR(D501&lt;&gt;"",H501&lt;&gt;""),1,"")</f>
        <v/>
      </c>
      <c r="R501" s="25">
        <f>IF(Q501=1,IF(ISNUMBER(FIND("#"&amp;MID(D501,1,1)&amp;"#","#0#1#2#3#4#5#6#7#8#9#")),IF(ISNUMBER(FIND("#"&amp;MID(D501,2,1)&amp;"#","#0#1#2#3#4#5#6#7#8#9#")),IF(AND(VALUE(LEFT(D501,2))&gt;=1,VALUE(LEFT(D501,2))&lt;=5),VALUE(LEFT(D501,2)),""),IF(AND(VALUE(LEFT(D501,1))&gt;=1,VALUE(LEFT(D501,1))&lt;=5),VALUE(LEFT(D501,1)),"")),""),"")</f>
        <v/>
      </c>
      <c r="S501" s="25">
        <f>IF(AND(Q501=1,E501&lt;&gt;""),SUBSTITUTE(SUBSTITUTE(SUBSTITUTE(SUBSTITUTE(SUBSTITUTE(SUBSTITUTE(SUBSTITUTE(SUBSTITUTE(SUBSTITUTE(SUBSTITUTE(SUBSTITUTE(SUBSTITUTE(LOWER(TRIM(E501)),"á","a"),"é","e"),"í","i"),"ó","o"),"ú","u"),"ü","u"),"ñ","n"),"à","a"),"è","e"),"ì","i"),"ò","o"),"ù","u"),"")</f>
        <v/>
      </c>
      <c r="T501" s="25">
        <f>IF(AND(Q501=1,G501&lt;&gt;""),SUBSTITUTE(SUBSTITUTE(SUBSTITUTE(SUBSTITUTE(SUBSTITUTE(SUBSTITUTE(SUBSTITUTE(SUBSTITUTE(SUBSTITUTE(SUBSTITUTE(SUBSTITUTE(SUBSTITUTE(LOWER(TRIM(G501)),"á","a"),"é","e"),"í","i"),"ó","o"),"ú","u"),"ü","u"),"ñ","n"),"à","a"),"è","e"),"ì","i"),"ò","o"),"ù","u"),"")</f>
        <v/>
      </c>
      <c r="U501" s="25">
        <f>IF(AND(Q501=1,H501&lt;&gt;""),SUBSTITUTE(SUBSTITUTE(SUBSTITUTE(SUBSTITUTE(SUBSTITUTE(SUBSTITUTE(SUBSTITUTE(SUBSTITUTE(SUBSTITUTE(SUBSTITUTE(SUBSTITUTE(SUBSTITUTE(LOWER(TRIM(H501)),"á","a"),"é","e"),"í","i"),"ó","o"),"ú","u"),"ü","u"),"ñ","n"),"à","a"),"è","e"),"ì","i"),"ò","o"),"ù","u"),"")</f>
        <v/>
      </c>
      <c r="V501" s="25">
        <f>IF(AND(Q501=1,L501&lt;&gt;""),SUBSTITUTE(SUBSTITUTE(SUBSTITUTE(SUBSTITUTE(SUBSTITUTE(SUBSTITUTE(SUBSTITUTE(SUBSTITUTE(SUBSTITUTE(SUBSTITUTE(SUBSTITUTE(SUBSTITUTE(LOWER(TRIM(L501)),"á","a"),"é","e"),"í","i"),"ó","o"),"ú","u"),"ü","u"),"ñ","n"),"à","a"),"è","e"),"ì","i"),"ò","o"),"ù","u"),"")</f>
        <v/>
      </c>
      <c r="W501" s="25">
        <f>IF(AND(Q501=1,I501&lt;&gt;""),SUBSTITUTE(SUBSTITUTE(SUBSTITUTE(SUBSTITUTE(SUBSTITUTE(SUBSTITUTE(SUBSTITUTE(SUBSTITUTE(SUBSTITUTE(SUBSTITUTE(SUBSTITUTE(SUBSTITUTE(LOWER(TRIM(I501)),"á","a"),"é","e"),"í","i"),"ó","o"),"ú","u"),"ü","u"),"ñ","n"),"à","a"),"è","e"),"ì","i"),"ò","o"),"ù","u"),"")</f>
        <v/>
      </c>
      <c r="X501" s="25">
        <f>IF(U501="","",IF(OR(U501="si, en la proxima tarea",U501="si, con cambios"),1,0))</f>
        <v/>
      </c>
      <c r="Y501" s="25">
        <f>IF(AND(Q501=1,A501&lt;&gt;""),IF(IFERROR(COUNTIFS(A$3:A501,"="&amp;SUBSTITUTE(SUBSTITUTE(SUBSTITUTE(A501,"~","~~"),"*","~*"),"?","~?"),Q$3:Q501,1),0)=1,MAX(Y$2:Y500)+1,""),"")</f>
        <v/>
      </c>
      <c r="Z501" s="25">
        <f>IF(Y501="","",COUNTIFS($A$3:$A$1002,"="&amp;SUBSTITUTE(SUBSTITUTE(SUBSTITUTE(A501,"~","~~"),"*","~*"),"?","~?"),$Q$3:$Q$1002,1)*10000-Y501)</f>
        <v/>
      </c>
    </row>
    <row r="502">
      <c r="A502">
        <f>IF(A$2=0,"",IFERROR(TRIM(INDEX('Pegar docentes'!$A$1:$BZ$1001,501,A$2)&amp;""),""))</f>
        <v/>
      </c>
      <c r="B502">
        <f>IF(B$2=0,"",IFERROR(TRIM(INDEX('Pegar docentes'!$A$1:$BZ$1001,501,B$2)&amp;""),""))</f>
        <v/>
      </c>
      <c r="C502">
        <f>IF(C$2=0,"",IFERROR(TRIM(INDEX('Pegar docentes'!$A$1:$BZ$1001,501,C$2)&amp;""),""))</f>
        <v/>
      </c>
      <c r="D502">
        <f>IF(D$2=0,"",IFERROR(TRIM(INDEX('Pegar docentes'!$A$1:$BZ$1001,501,D$2)&amp;""),""))</f>
        <v/>
      </c>
      <c r="E502">
        <f>IF(E$2=0,"",IFERROR(TRIM(INDEX('Pegar docentes'!$A$1:$BZ$1001,501,E$2)&amp;""),""))</f>
        <v/>
      </c>
      <c r="F502">
        <f>IF(F$2=0,"",IFERROR(TRIM(INDEX('Pegar docentes'!$A$1:$BZ$1001,501,F$2)&amp;""),""))</f>
        <v/>
      </c>
      <c r="G502">
        <f>IF(G$2=0,"",IFERROR(TRIM(INDEX('Pegar docentes'!$A$1:$BZ$1001,501,G$2)&amp;""),""))</f>
        <v/>
      </c>
      <c r="H502">
        <f>IF(H$2=0,"",IFERROR(TRIM(INDEX('Pegar docentes'!$A$1:$BZ$1001,501,H$2)&amp;""),""))</f>
        <v/>
      </c>
      <c r="I502">
        <f>IF(I$2=0,"",IFERROR(TRIM(INDEX('Pegar docentes'!$A$1:$BZ$1001,501,I$2)&amp;""),""))</f>
        <v/>
      </c>
      <c r="J502">
        <f>IF(J$2=0,"",IFERROR(TRIM(INDEX('Pegar docentes'!$A$1:$BZ$1001,501,J$2)&amp;""),""))</f>
        <v/>
      </c>
      <c r="K502">
        <f>IF(K$2=0,"",IFERROR(TRIM(INDEX('Pegar docentes'!$A$1:$BZ$1001,501,K$2)&amp;""),""))</f>
        <v/>
      </c>
      <c r="L502">
        <f>IF(L$2=0,"",IFERROR(TRIM(INDEX('Pegar docentes'!$A$1:$BZ$1001,501,L$2)&amp;""),""))</f>
        <v/>
      </c>
      <c r="M502">
        <f>IF(M$2=0,"",IFERROR(TRIM(INDEX('Pegar docentes'!$A$1:$BZ$1001,501,M$2)&amp;""),""))</f>
        <v/>
      </c>
      <c r="N502">
        <f>IF(N$2=0,"",IFERROR(TRIM(INDEX('Pegar docentes'!$A$1:$BZ$1001,501,N$2)&amp;""),""))</f>
        <v/>
      </c>
      <c r="O502">
        <f>IF(O$2=0,"",IFERROR(TRIM(INDEX('Pegar docentes'!$A$1:$BZ$1001,501,O$2)&amp;""),""))</f>
        <v/>
      </c>
      <c r="P502">
        <f>IF(P$2=0,"",IFERROR(TRIM(INDEX('Pegar docentes'!$A$1:$BZ$1001,501,P$2)&amp;""),""))</f>
        <v/>
      </c>
      <c r="Q502" s="25">
        <f>IF(OR(D502&lt;&gt;"",H502&lt;&gt;""),1,"")</f>
        <v/>
      </c>
      <c r="R502" s="25">
        <f>IF(Q502=1,IF(ISNUMBER(FIND("#"&amp;MID(D502,1,1)&amp;"#","#0#1#2#3#4#5#6#7#8#9#")),IF(ISNUMBER(FIND("#"&amp;MID(D502,2,1)&amp;"#","#0#1#2#3#4#5#6#7#8#9#")),IF(AND(VALUE(LEFT(D502,2))&gt;=1,VALUE(LEFT(D502,2))&lt;=5),VALUE(LEFT(D502,2)),""),IF(AND(VALUE(LEFT(D502,1))&gt;=1,VALUE(LEFT(D502,1))&lt;=5),VALUE(LEFT(D502,1)),"")),""),"")</f>
        <v/>
      </c>
      <c r="S502" s="25">
        <f>IF(AND(Q502=1,E502&lt;&gt;""),SUBSTITUTE(SUBSTITUTE(SUBSTITUTE(SUBSTITUTE(SUBSTITUTE(SUBSTITUTE(SUBSTITUTE(SUBSTITUTE(SUBSTITUTE(SUBSTITUTE(SUBSTITUTE(SUBSTITUTE(LOWER(TRIM(E502)),"á","a"),"é","e"),"í","i"),"ó","o"),"ú","u"),"ü","u"),"ñ","n"),"à","a"),"è","e"),"ì","i"),"ò","o"),"ù","u"),"")</f>
        <v/>
      </c>
      <c r="T502" s="25">
        <f>IF(AND(Q502=1,G502&lt;&gt;""),SUBSTITUTE(SUBSTITUTE(SUBSTITUTE(SUBSTITUTE(SUBSTITUTE(SUBSTITUTE(SUBSTITUTE(SUBSTITUTE(SUBSTITUTE(SUBSTITUTE(SUBSTITUTE(SUBSTITUTE(LOWER(TRIM(G502)),"á","a"),"é","e"),"í","i"),"ó","o"),"ú","u"),"ü","u"),"ñ","n"),"à","a"),"è","e"),"ì","i"),"ò","o"),"ù","u"),"")</f>
        <v/>
      </c>
      <c r="U502" s="25">
        <f>IF(AND(Q502=1,H502&lt;&gt;""),SUBSTITUTE(SUBSTITUTE(SUBSTITUTE(SUBSTITUTE(SUBSTITUTE(SUBSTITUTE(SUBSTITUTE(SUBSTITUTE(SUBSTITUTE(SUBSTITUTE(SUBSTITUTE(SUBSTITUTE(LOWER(TRIM(H502)),"á","a"),"é","e"),"í","i"),"ó","o"),"ú","u"),"ü","u"),"ñ","n"),"à","a"),"è","e"),"ì","i"),"ò","o"),"ù","u"),"")</f>
        <v/>
      </c>
      <c r="V502" s="25">
        <f>IF(AND(Q502=1,L502&lt;&gt;""),SUBSTITUTE(SUBSTITUTE(SUBSTITUTE(SUBSTITUTE(SUBSTITUTE(SUBSTITUTE(SUBSTITUTE(SUBSTITUTE(SUBSTITUTE(SUBSTITUTE(SUBSTITUTE(SUBSTITUTE(LOWER(TRIM(L502)),"á","a"),"é","e"),"í","i"),"ó","o"),"ú","u"),"ü","u"),"ñ","n"),"à","a"),"è","e"),"ì","i"),"ò","o"),"ù","u"),"")</f>
        <v/>
      </c>
      <c r="W502" s="25">
        <f>IF(AND(Q502=1,I502&lt;&gt;""),SUBSTITUTE(SUBSTITUTE(SUBSTITUTE(SUBSTITUTE(SUBSTITUTE(SUBSTITUTE(SUBSTITUTE(SUBSTITUTE(SUBSTITUTE(SUBSTITUTE(SUBSTITUTE(SUBSTITUTE(LOWER(TRIM(I502)),"á","a"),"é","e"),"í","i"),"ó","o"),"ú","u"),"ü","u"),"ñ","n"),"à","a"),"è","e"),"ì","i"),"ò","o"),"ù","u"),"")</f>
        <v/>
      </c>
      <c r="X502" s="25">
        <f>IF(U502="","",IF(OR(U502="si, en la proxima tarea",U502="si, con cambios"),1,0))</f>
        <v/>
      </c>
      <c r="Y502" s="25">
        <f>IF(AND(Q502=1,A502&lt;&gt;""),IF(IFERROR(COUNTIFS(A$3:A502,"="&amp;SUBSTITUTE(SUBSTITUTE(SUBSTITUTE(A502,"~","~~"),"*","~*"),"?","~?"),Q$3:Q502,1),0)=1,MAX(Y$2:Y501)+1,""),"")</f>
        <v/>
      </c>
      <c r="Z502" s="25">
        <f>IF(Y502="","",COUNTIFS($A$3:$A$1002,"="&amp;SUBSTITUTE(SUBSTITUTE(SUBSTITUTE(A502,"~","~~"),"*","~*"),"?","~?"),$Q$3:$Q$1002,1)*10000-Y502)</f>
        <v/>
      </c>
    </row>
    <row r="503">
      <c r="A503">
        <f>IF(A$2=0,"",IFERROR(TRIM(INDEX('Pegar docentes'!$A$1:$BZ$1001,502,A$2)&amp;""),""))</f>
        <v/>
      </c>
      <c r="B503">
        <f>IF(B$2=0,"",IFERROR(TRIM(INDEX('Pegar docentes'!$A$1:$BZ$1001,502,B$2)&amp;""),""))</f>
        <v/>
      </c>
      <c r="C503">
        <f>IF(C$2=0,"",IFERROR(TRIM(INDEX('Pegar docentes'!$A$1:$BZ$1001,502,C$2)&amp;""),""))</f>
        <v/>
      </c>
      <c r="D503">
        <f>IF(D$2=0,"",IFERROR(TRIM(INDEX('Pegar docentes'!$A$1:$BZ$1001,502,D$2)&amp;""),""))</f>
        <v/>
      </c>
      <c r="E503">
        <f>IF(E$2=0,"",IFERROR(TRIM(INDEX('Pegar docentes'!$A$1:$BZ$1001,502,E$2)&amp;""),""))</f>
        <v/>
      </c>
      <c r="F503">
        <f>IF(F$2=0,"",IFERROR(TRIM(INDEX('Pegar docentes'!$A$1:$BZ$1001,502,F$2)&amp;""),""))</f>
        <v/>
      </c>
      <c r="G503">
        <f>IF(G$2=0,"",IFERROR(TRIM(INDEX('Pegar docentes'!$A$1:$BZ$1001,502,G$2)&amp;""),""))</f>
        <v/>
      </c>
      <c r="H503">
        <f>IF(H$2=0,"",IFERROR(TRIM(INDEX('Pegar docentes'!$A$1:$BZ$1001,502,H$2)&amp;""),""))</f>
        <v/>
      </c>
      <c r="I503">
        <f>IF(I$2=0,"",IFERROR(TRIM(INDEX('Pegar docentes'!$A$1:$BZ$1001,502,I$2)&amp;""),""))</f>
        <v/>
      </c>
      <c r="J503">
        <f>IF(J$2=0,"",IFERROR(TRIM(INDEX('Pegar docentes'!$A$1:$BZ$1001,502,J$2)&amp;""),""))</f>
        <v/>
      </c>
      <c r="K503">
        <f>IF(K$2=0,"",IFERROR(TRIM(INDEX('Pegar docentes'!$A$1:$BZ$1001,502,K$2)&amp;""),""))</f>
        <v/>
      </c>
      <c r="L503">
        <f>IF(L$2=0,"",IFERROR(TRIM(INDEX('Pegar docentes'!$A$1:$BZ$1001,502,L$2)&amp;""),""))</f>
        <v/>
      </c>
      <c r="M503">
        <f>IF(M$2=0,"",IFERROR(TRIM(INDEX('Pegar docentes'!$A$1:$BZ$1001,502,M$2)&amp;""),""))</f>
        <v/>
      </c>
      <c r="N503">
        <f>IF(N$2=0,"",IFERROR(TRIM(INDEX('Pegar docentes'!$A$1:$BZ$1001,502,N$2)&amp;""),""))</f>
        <v/>
      </c>
      <c r="O503">
        <f>IF(O$2=0,"",IFERROR(TRIM(INDEX('Pegar docentes'!$A$1:$BZ$1001,502,O$2)&amp;""),""))</f>
        <v/>
      </c>
      <c r="P503">
        <f>IF(P$2=0,"",IFERROR(TRIM(INDEX('Pegar docentes'!$A$1:$BZ$1001,502,P$2)&amp;""),""))</f>
        <v/>
      </c>
      <c r="Q503" s="25">
        <f>IF(OR(D503&lt;&gt;"",H503&lt;&gt;""),1,"")</f>
        <v/>
      </c>
      <c r="R503" s="25">
        <f>IF(Q503=1,IF(ISNUMBER(FIND("#"&amp;MID(D503,1,1)&amp;"#","#0#1#2#3#4#5#6#7#8#9#")),IF(ISNUMBER(FIND("#"&amp;MID(D503,2,1)&amp;"#","#0#1#2#3#4#5#6#7#8#9#")),IF(AND(VALUE(LEFT(D503,2))&gt;=1,VALUE(LEFT(D503,2))&lt;=5),VALUE(LEFT(D503,2)),""),IF(AND(VALUE(LEFT(D503,1))&gt;=1,VALUE(LEFT(D503,1))&lt;=5),VALUE(LEFT(D503,1)),"")),""),"")</f>
        <v/>
      </c>
      <c r="S503" s="25">
        <f>IF(AND(Q503=1,E503&lt;&gt;""),SUBSTITUTE(SUBSTITUTE(SUBSTITUTE(SUBSTITUTE(SUBSTITUTE(SUBSTITUTE(SUBSTITUTE(SUBSTITUTE(SUBSTITUTE(SUBSTITUTE(SUBSTITUTE(SUBSTITUTE(LOWER(TRIM(E503)),"á","a"),"é","e"),"í","i"),"ó","o"),"ú","u"),"ü","u"),"ñ","n"),"à","a"),"è","e"),"ì","i"),"ò","o"),"ù","u"),"")</f>
        <v/>
      </c>
      <c r="T503" s="25">
        <f>IF(AND(Q503=1,G503&lt;&gt;""),SUBSTITUTE(SUBSTITUTE(SUBSTITUTE(SUBSTITUTE(SUBSTITUTE(SUBSTITUTE(SUBSTITUTE(SUBSTITUTE(SUBSTITUTE(SUBSTITUTE(SUBSTITUTE(SUBSTITUTE(LOWER(TRIM(G503)),"á","a"),"é","e"),"í","i"),"ó","o"),"ú","u"),"ü","u"),"ñ","n"),"à","a"),"è","e"),"ì","i"),"ò","o"),"ù","u"),"")</f>
        <v/>
      </c>
      <c r="U503" s="25">
        <f>IF(AND(Q503=1,H503&lt;&gt;""),SUBSTITUTE(SUBSTITUTE(SUBSTITUTE(SUBSTITUTE(SUBSTITUTE(SUBSTITUTE(SUBSTITUTE(SUBSTITUTE(SUBSTITUTE(SUBSTITUTE(SUBSTITUTE(SUBSTITUTE(LOWER(TRIM(H503)),"á","a"),"é","e"),"í","i"),"ó","o"),"ú","u"),"ü","u"),"ñ","n"),"à","a"),"è","e"),"ì","i"),"ò","o"),"ù","u"),"")</f>
        <v/>
      </c>
      <c r="V503" s="25">
        <f>IF(AND(Q503=1,L503&lt;&gt;""),SUBSTITUTE(SUBSTITUTE(SUBSTITUTE(SUBSTITUTE(SUBSTITUTE(SUBSTITUTE(SUBSTITUTE(SUBSTITUTE(SUBSTITUTE(SUBSTITUTE(SUBSTITUTE(SUBSTITUTE(LOWER(TRIM(L503)),"á","a"),"é","e"),"í","i"),"ó","o"),"ú","u"),"ü","u"),"ñ","n"),"à","a"),"è","e"),"ì","i"),"ò","o"),"ù","u"),"")</f>
        <v/>
      </c>
      <c r="W503" s="25">
        <f>IF(AND(Q503=1,I503&lt;&gt;""),SUBSTITUTE(SUBSTITUTE(SUBSTITUTE(SUBSTITUTE(SUBSTITUTE(SUBSTITUTE(SUBSTITUTE(SUBSTITUTE(SUBSTITUTE(SUBSTITUTE(SUBSTITUTE(SUBSTITUTE(LOWER(TRIM(I503)),"á","a"),"é","e"),"í","i"),"ó","o"),"ú","u"),"ü","u"),"ñ","n"),"à","a"),"è","e"),"ì","i"),"ò","o"),"ù","u"),"")</f>
        <v/>
      </c>
      <c r="X503" s="25">
        <f>IF(U503="","",IF(OR(U503="si, en la proxima tarea",U503="si, con cambios"),1,0))</f>
        <v/>
      </c>
      <c r="Y503" s="25">
        <f>IF(AND(Q503=1,A503&lt;&gt;""),IF(IFERROR(COUNTIFS(A$3:A503,"="&amp;SUBSTITUTE(SUBSTITUTE(SUBSTITUTE(A503,"~","~~"),"*","~*"),"?","~?"),Q$3:Q503,1),0)=1,MAX(Y$2:Y502)+1,""),"")</f>
        <v/>
      </c>
      <c r="Z503" s="25">
        <f>IF(Y503="","",COUNTIFS($A$3:$A$1002,"="&amp;SUBSTITUTE(SUBSTITUTE(SUBSTITUTE(A503,"~","~~"),"*","~*"),"?","~?"),$Q$3:$Q$1002,1)*10000-Y503)</f>
        <v/>
      </c>
    </row>
    <row r="504">
      <c r="A504">
        <f>IF(A$2=0,"",IFERROR(TRIM(INDEX('Pegar docentes'!$A$1:$BZ$1001,503,A$2)&amp;""),""))</f>
        <v/>
      </c>
      <c r="B504">
        <f>IF(B$2=0,"",IFERROR(TRIM(INDEX('Pegar docentes'!$A$1:$BZ$1001,503,B$2)&amp;""),""))</f>
        <v/>
      </c>
      <c r="C504">
        <f>IF(C$2=0,"",IFERROR(TRIM(INDEX('Pegar docentes'!$A$1:$BZ$1001,503,C$2)&amp;""),""))</f>
        <v/>
      </c>
      <c r="D504">
        <f>IF(D$2=0,"",IFERROR(TRIM(INDEX('Pegar docentes'!$A$1:$BZ$1001,503,D$2)&amp;""),""))</f>
        <v/>
      </c>
      <c r="E504">
        <f>IF(E$2=0,"",IFERROR(TRIM(INDEX('Pegar docentes'!$A$1:$BZ$1001,503,E$2)&amp;""),""))</f>
        <v/>
      </c>
      <c r="F504">
        <f>IF(F$2=0,"",IFERROR(TRIM(INDEX('Pegar docentes'!$A$1:$BZ$1001,503,F$2)&amp;""),""))</f>
        <v/>
      </c>
      <c r="G504">
        <f>IF(G$2=0,"",IFERROR(TRIM(INDEX('Pegar docentes'!$A$1:$BZ$1001,503,G$2)&amp;""),""))</f>
        <v/>
      </c>
      <c r="H504">
        <f>IF(H$2=0,"",IFERROR(TRIM(INDEX('Pegar docentes'!$A$1:$BZ$1001,503,H$2)&amp;""),""))</f>
        <v/>
      </c>
      <c r="I504">
        <f>IF(I$2=0,"",IFERROR(TRIM(INDEX('Pegar docentes'!$A$1:$BZ$1001,503,I$2)&amp;""),""))</f>
        <v/>
      </c>
      <c r="J504">
        <f>IF(J$2=0,"",IFERROR(TRIM(INDEX('Pegar docentes'!$A$1:$BZ$1001,503,J$2)&amp;""),""))</f>
        <v/>
      </c>
      <c r="K504">
        <f>IF(K$2=0,"",IFERROR(TRIM(INDEX('Pegar docentes'!$A$1:$BZ$1001,503,K$2)&amp;""),""))</f>
        <v/>
      </c>
      <c r="L504">
        <f>IF(L$2=0,"",IFERROR(TRIM(INDEX('Pegar docentes'!$A$1:$BZ$1001,503,L$2)&amp;""),""))</f>
        <v/>
      </c>
      <c r="M504">
        <f>IF(M$2=0,"",IFERROR(TRIM(INDEX('Pegar docentes'!$A$1:$BZ$1001,503,M$2)&amp;""),""))</f>
        <v/>
      </c>
      <c r="N504">
        <f>IF(N$2=0,"",IFERROR(TRIM(INDEX('Pegar docentes'!$A$1:$BZ$1001,503,N$2)&amp;""),""))</f>
        <v/>
      </c>
      <c r="O504">
        <f>IF(O$2=0,"",IFERROR(TRIM(INDEX('Pegar docentes'!$A$1:$BZ$1001,503,O$2)&amp;""),""))</f>
        <v/>
      </c>
      <c r="P504">
        <f>IF(P$2=0,"",IFERROR(TRIM(INDEX('Pegar docentes'!$A$1:$BZ$1001,503,P$2)&amp;""),""))</f>
        <v/>
      </c>
      <c r="Q504" s="25">
        <f>IF(OR(D504&lt;&gt;"",H504&lt;&gt;""),1,"")</f>
        <v/>
      </c>
      <c r="R504" s="25">
        <f>IF(Q504=1,IF(ISNUMBER(FIND("#"&amp;MID(D504,1,1)&amp;"#","#0#1#2#3#4#5#6#7#8#9#")),IF(ISNUMBER(FIND("#"&amp;MID(D504,2,1)&amp;"#","#0#1#2#3#4#5#6#7#8#9#")),IF(AND(VALUE(LEFT(D504,2))&gt;=1,VALUE(LEFT(D504,2))&lt;=5),VALUE(LEFT(D504,2)),""),IF(AND(VALUE(LEFT(D504,1))&gt;=1,VALUE(LEFT(D504,1))&lt;=5),VALUE(LEFT(D504,1)),"")),""),"")</f>
        <v/>
      </c>
      <c r="S504" s="25">
        <f>IF(AND(Q504=1,E504&lt;&gt;""),SUBSTITUTE(SUBSTITUTE(SUBSTITUTE(SUBSTITUTE(SUBSTITUTE(SUBSTITUTE(SUBSTITUTE(SUBSTITUTE(SUBSTITUTE(SUBSTITUTE(SUBSTITUTE(SUBSTITUTE(LOWER(TRIM(E504)),"á","a"),"é","e"),"í","i"),"ó","o"),"ú","u"),"ü","u"),"ñ","n"),"à","a"),"è","e"),"ì","i"),"ò","o"),"ù","u"),"")</f>
        <v/>
      </c>
      <c r="T504" s="25">
        <f>IF(AND(Q504=1,G504&lt;&gt;""),SUBSTITUTE(SUBSTITUTE(SUBSTITUTE(SUBSTITUTE(SUBSTITUTE(SUBSTITUTE(SUBSTITUTE(SUBSTITUTE(SUBSTITUTE(SUBSTITUTE(SUBSTITUTE(SUBSTITUTE(LOWER(TRIM(G504)),"á","a"),"é","e"),"í","i"),"ó","o"),"ú","u"),"ü","u"),"ñ","n"),"à","a"),"è","e"),"ì","i"),"ò","o"),"ù","u"),"")</f>
        <v/>
      </c>
      <c r="U504" s="25">
        <f>IF(AND(Q504=1,H504&lt;&gt;""),SUBSTITUTE(SUBSTITUTE(SUBSTITUTE(SUBSTITUTE(SUBSTITUTE(SUBSTITUTE(SUBSTITUTE(SUBSTITUTE(SUBSTITUTE(SUBSTITUTE(SUBSTITUTE(SUBSTITUTE(LOWER(TRIM(H504)),"á","a"),"é","e"),"í","i"),"ó","o"),"ú","u"),"ü","u"),"ñ","n"),"à","a"),"è","e"),"ì","i"),"ò","o"),"ù","u"),"")</f>
        <v/>
      </c>
      <c r="V504" s="25">
        <f>IF(AND(Q504=1,L504&lt;&gt;""),SUBSTITUTE(SUBSTITUTE(SUBSTITUTE(SUBSTITUTE(SUBSTITUTE(SUBSTITUTE(SUBSTITUTE(SUBSTITUTE(SUBSTITUTE(SUBSTITUTE(SUBSTITUTE(SUBSTITUTE(LOWER(TRIM(L504)),"á","a"),"é","e"),"í","i"),"ó","o"),"ú","u"),"ü","u"),"ñ","n"),"à","a"),"è","e"),"ì","i"),"ò","o"),"ù","u"),"")</f>
        <v/>
      </c>
      <c r="W504" s="25">
        <f>IF(AND(Q504=1,I504&lt;&gt;""),SUBSTITUTE(SUBSTITUTE(SUBSTITUTE(SUBSTITUTE(SUBSTITUTE(SUBSTITUTE(SUBSTITUTE(SUBSTITUTE(SUBSTITUTE(SUBSTITUTE(SUBSTITUTE(SUBSTITUTE(LOWER(TRIM(I504)),"á","a"),"é","e"),"í","i"),"ó","o"),"ú","u"),"ü","u"),"ñ","n"),"à","a"),"è","e"),"ì","i"),"ò","o"),"ù","u"),"")</f>
        <v/>
      </c>
      <c r="X504" s="25">
        <f>IF(U504="","",IF(OR(U504="si, en la proxima tarea",U504="si, con cambios"),1,0))</f>
        <v/>
      </c>
      <c r="Y504" s="25">
        <f>IF(AND(Q504=1,A504&lt;&gt;""),IF(IFERROR(COUNTIFS(A$3:A504,"="&amp;SUBSTITUTE(SUBSTITUTE(SUBSTITUTE(A504,"~","~~"),"*","~*"),"?","~?"),Q$3:Q504,1),0)=1,MAX(Y$2:Y503)+1,""),"")</f>
        <v/>
      </c>
      <c r="Z504" s="25">
        <f>IF(Y504="","",COUNTIFS($A$3:$A$1002,"="&amp;SUBSTITUTE(SUBSTITUTE(SUBSTITUTE(A504,"~","~~"),"*","~*"),"?","~?"),$Q$3:$Q$1002,1)*10000-Y504)</f>
        <v/>
      </c>
    </row>
    <row r="505">
      <c r="A505">
        <f>IF(A$2=0,"",IFERROR(TRIM(INDEX('Pegar docentes'!$A$1:$BZ$1001,504,A$2)&amp;""),""))</f>
        <v/>
      </c>
      <c r="B505">
        <f>IF(B$2=0,"",IFERROR(TRIM(INDEX('Pegar docentes'!$A$1:$BZ$1001,504,B$2)&amp;""),""))</f>
        <v/>
      </c>
      <c r="C505">
        <f>IF(C$2=0,"",IFERROR(TRIM(INDEX('Pegar docentes'!$A$1:$BZ$1001,504,C$2)&amp;""),""))</f>
        <v/>
      </c>
      <c r="D505">
        <f>IF(D$2=0,"",IFERROR(TRIM(INDEX('Pegar docentes'!$A$1:$BZ$1001,504,D$2)&amp;""),""))</f>
        <v/>
      </c>
      <c r="E505">
        <f>IF(E$2=0,"",IFERROR(TRIM(INDEX('Pegar docentes'!$A$1:$BZ$1001,504,E$2)&amp;""),""))</f>
        <v/>
      </c>
      <c r="F505">
        <f>IF(F$2=0,"",IFERROR(TRIM(INDEX('Pegar docentes'!$A$1:$BZ$1001,504,F$2)&amp;""),""))</f>
        <v/>
      </c>
      <c r="G505">
        <f>IF(G$2=0,"",IFERROR(TRIM(INDEX('Pegar docentes'!$A$1:$BZ$1001,504,G$2)&amp;""),""))</f>
        <v/>
      </c>
      <c r="H505">
        <f>IF(H$2=0,"",IFERROR(TRIM(INDEX('Pegar docentes'!$A$1:$BZ$1001,504,H$2)&amp;""),""))</f>
        <v/>
      </c>
      <c r="I505">
        <f>IF(I$2=0,"",IFERROR(TRIM(INDEX('Pegar docentes'!$A$1:$BZ$1001,504,I$2)&amp;""),""))</f>
        <v/>
      </c>
      <c r="J505">
        <f>IF(J$2=0,"",IFERROR(TRIM(INDEX('Pegar docentes'!$A$1:$BZ$1001,504,J$2)&amp;""),""))</f>
        <v/>
      </c>
      <c r="K505">
        <f>IF(K$2=0,"",IFERROR(TRIM(INDEX('Pegar docentes'!$A$1:$BZ$1001,504,K$2)&amp;""),""))</f>
        <v/>
      </c>
      <c r="L505">
        <f>IF(L$2=0,"",IFERROR(TRIM(INDEX('Pegar docentes'!$A$1:$BZ$1001,504,L$2)&amp;""),""))</f>
        <v/>
      </c>
      <c r="M505">
        <f>IF(M$2=0,"",IFERROR(TRIM(INDEX('Pegar docentes'!$A$1:$BZ$1001,504,M$2)&amp;""),""))</f>
        <v/>
      </c>
      <c r="N505">
        <f>IF(N$2=0,"",IFERROR(TRIM(INDEX('Pegar docentes'!$A$1:$BZ$1001,504,N$2)&amp;""),""))</f>
        <v/>
      </c>
      <c r="O505">
        <f>IF(O$2=0,"",IFERROR(TRIM(INDEX('Pegar docentes'!$A$1:$BZ$1001,504,O$2)&amp;""),""))</f>
        <v/>
      </c>
      <c r="P505">
        <f>IF(P$2=0,"",IFERROR(TRIM(INDEX('Pegar docentes'!$A$1:$BZ$1001,504,P$2)&amp;""),""))</f>
        <v/>
      </c>
      <c r="Q505" s="25">
        <f>IF(OR(D505&lt;&gt;"",H505&lt;&gt;""),1,"")</f>
        <v/>
      </c>
      <c r="R505" s="25">
        <f>IF(Q505=1,IF(ISNUMBER(FIND("#"&amp;MID(D505,1,1)&amp;"#","#0#1#2#3#4#5#6#7#8#9#")),IF(ISNUMBER(FIND("#"&amp;MID(D505,2,1)&amp;"#","#0#1#2#3#4#5#6#7#8#9#")),IF(AND(VALUE(LEFT(D505,2))&gt;=1,VALUE(LEFT(D505,2))&lt;=5),VALUE(LEFT(D505,2)),""),IF(AND(VALUE(LEFT(D505,1))&gt;=1,VALUE(LEFT(D505,1))&lt;=5),VALUE(LEFT(D505,1)),"")),""),"")</f>
        <v/>
      </c>
      <c r="S505" s="25">
        <f>IF(AND(Q505=1,E505&lt;&gt;""),SUBSTITUTE(SUBSTITUTE(SUBSTITUTE(SUBSTITUTE(SUBSTITUTE(SUBSTITUTE(SUBSTITUTE(SUBSTITUTE(SUBSTITUTE(SUBSTITUTE(SUBSTITUTE(SUBSTITUTE(LOWER(TRIM(E505)),"á","a"),"é","e"),"í","i"),"ó","o"),"ú","u"),"ü","u"),"ñ","n"),"à","a"),"è","e"),"ì","i"),"ò","o"),"ù","u"),"")</f>
        <v/>
      </c>
      <c r="T505" s="25">
        <f>IF(AND(Q505=1,G505&lt;&gt;""),SUBSTITUTE(SUBSTITUTE(SUBSTITUTE(SUBSTITUTE(SUBSTITUTE(SUBSTITUTE(SUBSTITUTE(SUBSTITUTE(SUBSTITUTE(SUBSTITUTE(SUBSTITUTE(SUBSTITUTE(LOWER(TRIM(G505)),"á","a"),"é","e"),"í","i"),"ó","o"),"ú","u"),"ü","u"),"ñ","n"),"à","a"),"è","e"),"ì","i"),"ò","o"),"ù","u"),"")</f>
        <v/>
      </c>
      <c r="U505" s="25">
        <f>IF(AND(Q505=1,H505&lt;&gt;""),SUBSTITUTE(SUBSTITUTE(SUBSTITUTE(SUBSTITUTE(SUBSTITUTE(SUBSTITUTE(SUBSTITUTE(SUBSTITUTE(SUBSTITUTE(SUBSTITUTE(SUBSTITUTE(SUBSTITUTE(LOWER(TRIM(H505)),"á","a"),"é","e"),"í","i"),"ó","o"),"ú","u"),"ü","u"),"ñ","n"),"à","a"),"è","e"),"ì","i"),"ò","o"),"ù","u"),"")</f>
        <v/>
      </c>
      <c r="V505" s="25">
        <f>IF(AND(Q505=1,L505&lt;&gt;""),SUBSTITUTE(SUBSTITUTE(SUBSTITUTE(SUBSTITUTE(SUBSTITUTE(SUBSTITUTE(SUBSTITUTE(SUBSTITUTE(SUBSTITUTE(SUBSTITUTE(SUBSTITUTE(SUBSTITUTE(LOWER(TRIM(L505)),"á","a"),"é","e"),"í","i"),"ó","o"),"ú","u"),"ü","u"),"ñ","n"),"à","a"),"è","e"),"ì","i"),"ò","o"),"ù","u"),"")</f>
        <v/>
      </c>
      <c r="W505" s="25">
        <f>IF(AND(Q505=1,I505&lt;&gt;""),SUBSTITUTE(SUBSTITUTE(SUBSTITUTE(SUBSTITUTE(SUBSTITUTE(SUBSTITUTE(SUBSTITUTE(SUBSTITUTE(SUBSTITUTE(SUBSTITUTE(SUBSTITUTE(SUBSTITUTE(LOWER(TRIM(I505)),"á","a"),"é","e"),"í","i"),"ó","o"),"ú","u"),"ü","u"),"ñ","n"),"à","a"),"è","e"),"ì","i"),"ò","o"),"ù","u"),"")</f>
        <v/>
      </c>
      <c r="X505" s="25">
        <f>IF(U505="","",IF(OR(U505="si, en la proxima tarea",U505="si, con cambios"),1,0))</f>
        <v/>
      </c>
      <c r="Y505" s="25">
        <f>IF(AND(Q505=1,A505&lt;&gt;""),IF(IFERROR(COUNTIFS(A$3:A505,"="&amp;SUBSTITUTE(SUBSTITUTE(SUBSTITUTE(A505,"~","~~"),"*","~*"),"?","~?"),Q$3:Q505,1),0)=1,MAX(Y$2:Y504)+1,""),"")</f>
        <v/>
      </c>
      <c r="Z505" s="25">
        <f>IF(Y505="","",COUNTIFS($A$3:$A$1002,"="&amp;SUBSTITUTE(SUBSTITUTE(SUBSTITUTE(A505,"~","~~"),"*","~*"),"?","~?"),$Q$3:$Q$1002,1)*10000-Y505)</f>
        <v/>
      </c>
    </row>
    <row r="506">
      <c r="A506">
        <f>IF(A$2=0,"",IFERROR(TRIM(INDEX('Pegar docentes'!$A$1:$BZ$1001,505,A$2)&amp;""),""))</f>
        <v/>
      </c>
      <c r="B506">
        <f>IF(B$2=0,"",IFERROR(TRIM(INDEX('Pegar docentes'!$A$1:$BZ$1001,505,B$2)&amp;""),""))</f>
        <v/>
      </c>
      <c r="C506">
        <f>IF(C$2=0,"",IFERROR(TRIM(INDEX('Pegar docentes'!$A$1:$BZ$1001,505,C$2)&amp;""),""))</f>
        <v/>
      </c>
      <c r="D506">
        <f>IF(D$2=0,"",IFERROR(TRIM(INDEX('Pegar docentes'!$A$1:$BZ$1001,505,D$2)&amp;""),""))</f>
        <v/>
      </c>
      <c r="E506">
        <f>IF(E$2=0,"",IFERROR(TRIM(INDEX('Pegar docentes'!$A$1:$BZ$1001,505,E$2)&amp;""),""))</f>
        <v/>
      </c>
      <c r="F506">
        <f>IF(F$2=0,"",IFERROR(TRIM(INDEX('Pegar docentes'!$A$1:$BZ$1001,505,F$2)&amp;""),""))</f>
        <v/>
      </c>
      <c r="G506">
        <f>IF(G$2=0,"",IFERROR(TRIM(INDEX('Pegar docentes'!$A$1:$BZ$1001,505,G$2)&amp;""),""))</f>
        <v/>
      </c>
      <c r="H506">
        <f>IF(H$2=0,"",IFERROR(TRIM(INDEX('Pegar docentes'!$A$1:$BZ$1001,505,H$2)&amp;""),""))</f>
        <v/>
      </c>
      <c r="I506">
        <f>IF(I$2=0,"",IFERROR(TRIM(INDEX('Pegar docentes'!$A$1:$BZ$1001,505,I$2)&amp;""),""))</f>
        <v/>
      </c>
      <c r="J506">
        <f>IF(J$2=0,"",IFERROR(TRIM(INDEX('Pegar docentes'!$A$1:$BZ$1001,505,J$2)&amp;""),""))</f>
        <v/>
      </c>
      <c r="K506">
        <f>IF(K$2=0,"",IFERROR(TRIM(INDEX('Pegar docentes'!$A$1:$BZ$1001,505,K$2)&amp;""),""))</f>
        <v/>
      </c>
      <c r="L506">
        <f>IF(L$2=0,"",IFERROR(TRIM(INDEX('Pegar docentes'!$A$1:$BZ$1001,505,L$2)&amp;""),""))</f>
        <v/>
      </c>
      <c r="M506">
        <f>IF(M$2=0,"",IFERROR(TRIM(INDEX('Pegar docentes'!$A$1:$BZ$1001,505,M$2)&amp;""),""))</f>
        <v/>
      </c>
      <c r="N506">
        <f>IF(N$2=0,"",IFERROR(TRIM(INDEX('Pegar docentes'!$A$1:$BZ$1001,505,N$2)&amp;""),""))</f>
        <v/>
      </c>
      <c r="O506">
        <f>IF(O$2=0,"",IFERROR(TRIM(INDEX('Pegar docentes'!$A$1:$BZ$1001,505,O$2)&amp;""),""))</f>
        <v/>
      </c>
      <c r="P506">
        <f>IF(P$2=0,"",IFERROR(TRIM(INDEX('Pegar docentes'!$A$1:$BZ$1001,505,P$2)&amp;""),""))</f>
        <v/>
      </c>
      <c r="Q506" s="25">
        <f>IF(OR(D506&lt;&gt;"",H506&lt;&gt;""),1,"")</f>
        <v/>
      </c>
      <c r="R506" s="25">
        <f>IF(Q506=1,IF(ISNUMBER(FIND("#"&amp;MID(D506,1,1)&amp;"#","#0#1#2#3#4#5#6#7#8#9#")),IF(ISNUMBER(FIND("#"&amp;MID(D506,2,1)&amp;"#","#0#1#2#3#4#5#6#7#8#9#")),IF(AND(VALUE(LEFT(D506,2))&gt;=1,VALUE(LEFT(D506,2))&lt;=5),VALUE(LEFT(D506,2)),""),IF(AND(VALUE(LEFT(D506,1))&gt;=1,VALUE(LEFT(D506,1))&lt;=5),VALUE(LEFT(D506,1)),"")),""),"")</f>
        <v/>
      </c>
      <c r="S506" s="25">
        <f>IF(AND(Q506=1,E506&lt;&gt;""),SUBSTITUTE(SUBSTITUTE(SUBSTITUTE(SUBSTITUTE(SUBSTITUTE(SUBSTITUTE(SUBSTITUTE(SUBSTITUTE(SUBSTITUTE(SUBSTITUTE(SUBSTITUTE(SUBSTITUTE(LOWER(TRIM(E506)),"á","a"),"é","e"),"í","i"),"ó","o"),"ú","u"),"ü","u"),"ñ","n"),"à","a"),"è","e"),"ì","i"),"ò","o"),"ù","u"),"")</f>
        <v/>
      </c>
      <c r="T506" s="25">
        <f>IF(AND(Q506=1,G506&lt;&gt;""),SUBSTITUTE(SUBSTITUTE(SUBSTITUTE(SUBSTITUTE(SUBSTITUTE(SUBSTITUTE(SUBSTITUTE(SUBSTITUTE(SUBSTITUTE(SUBSTITUTE(SUBSTITUTE(SUBSTITUTE(LOWER(TRIM(G506)),"á","a"),"é","e"),"í","i"),"ó","o"),"ú","u"),"ü","u"),"ñ","n"),"à","a"),"è","e"),"ì","i"),"ò","o"),"ù","u"),"")</f>
        <v/>
      </c>
      <c r="U506" s="25">
        <f>IF(AND(Q506=1,H506&lt;&gt;""),SUBSTITUTE(SUBSTITUTE(SUBSTITUTE(SUBSTITUTE(SUBSTITUTE(SUBSTITUTE(SUBSTITUTE(SUBSTITUTE(SUBSTITUTE(SUBSTITUTE(SUBSTITUTE(SUBSTITUTE(LOWER(TRIM(H506)),"á","a"),"é","e"),"í","i"),"ó","o"),"ú","u"),"ü","u"),"ñ","n"),"à","a"),"è","e"),"ì","i"),"ò","o"),"ù","u"),"")</f>
        <v/>
      </c>
      <c r="V506" s="25">
        <f>IF(AND(Q506=1,L506&lt;&gt;""),SUBSTITUTE(SUBSTITUTE(SUBSTITUTE(SUBSTITUTE(SUBSTITUTE(SUBSTITUTE(SUBSTITUTE(SUBSTITUTE(SUBSTITUTE(SUBSTITUTE(SUBSTITUTE(SUBSTITUTE(LOWER(TRIM(L506)),"á","a"),"é","e"),"í","i"),"ó","o"),"ú","u"),"ü","u"),"ñ","n"),"à","a"),"è","e"),"ì","i"),"ò","o"),"ù","u"),"")</f>
        <v/>
      </c>
      <c r="W506" s="25">
        <f>IF(AND(Q506=1,I506&lt;&gt;""),SUBSTITUTE(SUBSTITUTE(SUBSTITUTE(SUBSTITUTE(SUBSTITUTE(SUBSTITUTE(SUBSTITUTE(SUBSTITUTE(SUBSTITUTE(SUBSTITUTE(SUBSTITUTE(SUBSTITUTE(LOWER(TRIM(I506)),"á","a"),"é","e"),"í","i"),"ó","o"),"ú","u"),"ü","u"),"ñ","n"),"à","a"),"è","e"),"ì","i"),"ò","o"),"ù","u"),"")</f>
        <v/>
      </c>
      <c r="X506" s="25">
        <f>IF(U506="","",IF(OR(U506="si, en la proxima tarea",U506="si, con cambios"),1,0))</f>
        <v/>
      </c>
      <c r="Y506" s="25">
        <f>IF(AND(Q506=1,A506&lt;&gt;""),IF(IFERROR(COUNTIFS(A$3:A506,"="&amp;SUBSTITUTE(SUBSTITUTE(SUBSTITUTE(A506,"~","~~"),"*","~*"),"?","~?"),Q$3:Q506,1),0)=1,MAX(Y$2:Y505)+1,""),"")</f>
        <v/>
      </c>
      <c r="Z506" s="25">
        <f>IF(Y506="","",COUNTIFS($A$3:$A$1002,"="&amp;SUBSTITUTE(SUBSTITUTE(SUBSTITUTE(A506,"~","~~"),"*","~*"),"?","~?"),$Q$3:$Q$1002,1)*10000-Y506)</f>
        <v/>
      </c>
    </row>
    <row r="507">
      <c r="A507">
        <f>IF(A$2=0,"",IFERROR(TRIM(INDEX('Pegar docentes'!$A$1:$BZ$1001,506,A$2)&amp;""),""))</f>
        <v/>
      </c>
      <c r="B507">
        <f>IF(B$2=0,"",IFERROR(TRIM(INDEX('Pegar docentes'!$A$1:$BZ$1001,506,B$2)&amp;""),""))</f>
        <v/>
      </c>
      <c r="C507">
        <f>IF(C$2=0,"",IFERROR(TRIM(INDEX('Pegar docentes'!$A$1:$BZ$1001,506,C$2)&amp;""),""))</f>
        <v/>
      </c>
      <c r="D507">
        <f>IF(D$2=0,"",IFERROR(TRIM(INDEX('Pegar docentes'!$A$1:$BZ$1001,506,D$2)&amp;""),""))</f>
        <v/>
      </c>
      <c r="E507">
        <f>IF(E$2=0,"",IFERROR(TRIM(INDEX('Pegar docentes'!$A$1:$BZ$1001,506,E$2)&amp;""),""))</f>
        <v/>
      </c>
      <c r="F507">
        <f>IF(F$2=0,"",IFERROR(TRIM(INDEX('Pegar docentes'!$A$1:$BZ$1001,506,F$2)&amp;""),""))</f>
        <v/>
      </c>
      <c r="G507">
        <f>IF(G$2=0,"",IFERROR(TRIM(INDEX('Pegar docentes'!$A$1:$BZ$1001,506,G$2)&amp;""),""))</f>
        <v/>
      </c>
      <c r="H507">
        <f>IF(H$2=0,"",IFERROR(TRIM(INDEX('Pegar docentes'!$A$1:$BZ$1001,506,H$2)&amp;""),""))</f>
        <v/>
      </c>
      <c r="I507">
        <f>IF(I$2=0,"",IFERROR(TRIM(INDEX('Pegar docentes'!$A$1:$BZ$1001,506,I$2)&amp;""),""))</f>
        <v/>
      </c>
      <c r="J507">
        <f>IF(J$2=0,"",IFERROR(TRIM(INDEX('Pegar docentes'!$A$1:$BZ$1001,506,J$2)&amp;""),""))</f>
        <v/>
      </c>
      <c r="K507">
        <f>IF(K$2=0,"",IFERROR(TRIM(INDEX('Pegar docentes'!$A$1:$BZ$1001,506,K$2)&amp;""),""))</f>
        <v/>
      </c>
      <c r="L507">
        <f>IF(L$2=0,"",IFERROR(TRIM(INDEX('Pegar docentes'!$A$1:$BZ$1001,506,L$2)&amp;""),""))</f>
        <v/>
      </c>
      <c r="M507">
        <f>IF(M$2=0,"",IFERROR(TRIM(INDEX('Pegar docentes'!$A$1:$BZ$1001,506,M$2)&amp;""),""))</f>
        <v/>
      </c>
      <c r="N507">
        <f>IF(N$2=0,"",IFERROR(TRIM(INDEX('Pegar docentes'!$A$1:$BZ$1001,506,N$2)&amp;""),""))</f>
        <v/>
      </c>
      <c r="O507">
        <f>IF(O$2=0,"",IFERROR(TRIM(INDEX('Pegar docentes'!$A$1:$BZ$1001,506,O$2)&amp;""),""))</f>
        <v/>
      </c>
      <c r="P507">
        <f>IF(P$2=0,"",IFERROR(TRIM(INDEX('Pegar docentes'!$A$1:$BZ$1001,506,P$2)&amp;""),""))</f>
        <v/>
      </c>
      <c r="Q507" s="25">
        <f>IF(OR(D507&lt;&gt;"",H507&lt;&gt;""),1,"")</f>
        <v/>
      </c>
      <c r="R507" s="25">
        <f>IF(Q507=1,IF(ISNUMBER(FIND("#"&amp;MID(D507,1,1)&amp;"#","#0#1#2#3#4#5#6#7#8#9#")),IF(ISNUMBER(FIND("#"&amp;MID(D507,2,1)&amp;"#","#0#1#2#3#4#5#6#7#8#9#")),IF(AND(VALUE(LEFT(D507,2))&gt;=1,VALUE(LEFT(D507,2))&lt;=5),VALUE(LEFT(D507,2)),""),IF(AND(VALUE(LEFT(D507,1))&gt;=1,VALUE(LEFT(D507,1))&lt;=5),VALUE(LEFT(D507,1)),"")),""),"")</f>
        <v/>
      </c>
      <c r="S507" s="25">
        <f>IF(AND(Q507=1,E507&lt;&gt;""),SUBSTITUTE(SUBSTITUTE(SUBSTITUTE(SUBSTITUTE(SUBSTITUTE(SUBSTITUTE(SUBSTITUTE(SUBSTITUTE(SUBSTITUTE(SUBSTITUTE(SUBSTITUTE(SUBSTITUTE(LOWER(TRIM(E507)),"á","a"),"é","e"),"í","i"),"ó","o"),"ú","u"),"ü","u"),"ñ","n"),"à","a"),"è","e"),"ì","i"),"ò","o"),"ù","u"),"")</f>
        <v/>
      </c>
      <c r="T507" s="25">
        <f>IF(AND(Q507=1,G507&lt;&gt;""),SUBSTITUTE(SUBSTITUTE(SUBSTITUTE(SUBSTITUTE(SUBSTITUTE(SUBSTITUTE(SUBSTITUTE(SUBSTITUTE(SUBSTITUTE(SUBSTITUTE(SUBSTITUTE(SUBSTITUTE(LOWER(TRIM(G507)),"á","a"),"é","e"),"í","i"),"ó","o"),"ú","u"),"ü","u"),"ñ","n"),"à","a"),"è","e"),"ì","i"),"ò","o"),"ù","u"),"")</f>
        <v/>
      </c>
      <c r="U507" s="25">
        <f>IF(AND(Q507=1,H507&lt;&gt;""),SUBSTITUTE(SUBSTITUTE(SUBSTITUTE(SUBSTITUTE(SUBSTITUTE(SUBSTITUTE(SUBSTITUTE(SUBSTITUTE(SUBSTITUTE(SUBSTITUTE(SUBSTITUTE(SUBSTITUTE(LOWER(TRIM(H507)),"á","a"),"é","e"),"í","i"),"ó","o"),"ú","u"),"ü","u"),"ñ","n"),"à","a"),"è","e"),"ì","i"),"ò","o"),"ù","u"),"")</f>
        <v/>
      </c>
      <c r="V507" s="25">
        <f>IF(AND(Q507=1,L507&lt;&gt;""),SUBSTITUTE(SUBSTITUTE(SUBSTITUTE(SUBSTITUTE(SUBSTITUTE(SUBSTITUTE(SUBSTITUTE(SUBSTITUTE(SUBSTITUTE(SUBSTITUTE(SUBSTITUTE(SUBSTITUTE(LOWER(TRIM(L507)),"á","a"),"é","e"),"í","i"),"ó","o"),"ú","u"),"ü","u"),"ñ","n"),"à","a"),"è","e"),"ì","i"),"ò","o"),"ù","u"),"")</f>
        <v/>
      </c>
      <c r="W507" s="25">
        <f>IF(AND(Q507=1,I507&lt;&gt;""),SUBSTITUTE(SUBSTITUTE(SUBSTITUTE(SUBSTITUTE(SUBSTITUTE(SUBSTITUTE(SUBSTITUTE(SUBSTITUTE(SUBSTITUTE(SUBSTITUTE(SUBSTITUTE(SUBSTITUTE(LOWER(TRIM(I507)),"á","a"),"é","e"),"í","i"),"ó","o"),"ú","u"),"ü","u"),"ñ","n"),"à","a"),"è","e"),"ì","i"),"ò","o"),"ù","u"),"")</f>
        <v/>
      </c>
      <c r="X507" s="25">
        <f>IF(U507="","",IF(OR(U507="si, en la proxima tarea",U507="si, con cambios"),1,0))</f>
        <v/>
      </c>
      <c r="Y507" s="25">
        <f>IF(AND(Q507=1,A507&lt;&gt;""),IF(IFERROR(COUNTIFS(A$3:A507,"="&amp;SUBSTITUTE(SUBSTITUTE(SUBSTITUTE(A507,"~","~~"),"*","~*"),"?","~?"),Q$3:Q507,1),0)=1,MAX(Y$2:Y506)+1,""),"")</f>
        <v/>
      </c>
      <c r="Z507" s="25">
        <f>IF(Y507="","",COUNTIFS($A$3:$A$1002,"="&amp;SUBSTITUTE(SUBSTITUTE(SUBSTITUTE(A507,"~","~~"),"*","~*"),"?","~?"),$Q$3:$Q$1002,1)*10000-Y507)</f>
        <v/>
      </c>
    </row>
    <row r="508">
      <c r="A508">
        <f>IF(A$2=0,"",IFERROR(TRIM(INDEX('Pegar docentes'!$A$1:$BZ$1001,507,A$2)&amp;""),""))</f>
        <v/>
      </c>
      <c r="B508">
        <f>IF(B$2=0,"",IFERROR(TRIM(INDEX('Pegar docentes'!$A$1:$BZ$1001,507,B$2)&amp;""),""))</f>
        <v/>
      </c>
      <c r="C508">
        <f>IF(C$2=0,"",IFERROR(TRIM(INDEX('Pegar docentes'!$A$1:$BZ$1001,507,C$2)&amp;""),""))</f>
        <v/>
      </c>
      <c r="D508">
        <f>IF(D$2=0,"",IFERROR(TRIM(INDEX('Pegar docentes'!$A$1:$BZ$1001,507,D$2)&amp;""),""))</f>
        <v/>
      </c>
      <c r="E508">
        <f>IF(E$2=0,"",IFERROR(TRIM(INDEX('Pegar docentes'!$A$1:$BZ$1001,507,E$2)&amp;""),""))</f>
        <v/>
      </c>
      <c r="F508">
        <f>IF(F$2=0,"",IFERROR(TRIM(INDEX('Pegar docentes'!$A$1:$BZ$1001,507,F$2)&amp;""),""))</f>
        <v/>
      </c>
      <c r="G508">
        <f>IF(G$2=0,"",IFERROR(TRIM(INDEX('Pegar docentes'!$A$1:$BZ$1001,507,G$2)&amp;""),""))</f>
        <v/>
      </c>
      <c r="H508">
        <f>IF(H$2=0,"",IFERROR(TRIM(INDEX('Pegar docentes'!$A$1:$BZ$1001,507,H$2)&amp;""),""))</f>
        <v/>
      </c>
      <c r="I508">
        <f>IF(I$2=0,"",IFERROR(TRIM(INDEX('Pegar docentes'!$A$1:$BZ$1001,507,I$2)&amp;""),""))</f>
        <v/>
      </c>
      <c r="J508">
        <f>IF(J$2=0,"",IFERROR(TRIM(INDEX('Pegar docentes'!$A$1:$BZ$1001,507,J$2)&amp;""),""))</f>
        <v/>
      </c>
      <c r="K508">
        <f>IF(K$2=0,"",IFERROR(TRIM(INDEX('Pegar docentes'!$A$1:$BZ$1001,507,K$2)&amp;""),""))</f>
        <v/>
      </c>
      <c r="L508">
        <f>IF(L$2=0,"",IFERROR(TRIM(INDEX('Pegar docentes'!$A$1:$BZ$1001,507,L$2)&amp;""),""))</f>
        <v/>
      </c>
      <c r="M508">
        <f>IF(M$2=0,"",IFERROR(TRIM(INDEX('Pegar docentes'!$A$1:$BZ$1001,507,M$2)&amp;""),""))</f>
        <v/>
      </c>
      <c r="N508">
        <f>IF(N$2=0,"",IFERROR(TRIM(INDEX('Pegar docentes'!$A$1:$BZ$1001,507,N$2)&amp;""),""))</f>
        <v/>
      </c>
      <c r="O508">
        <f>IF(O$2=0,"",IFERROR(TRIM(INDEX('Pegar docentes'!$A$1:$BZ$1001,507,O$2)&amp;""),""))</f>
        <v/>
      </c>
      <c r="P508">
        <f>IF(P$2=0,"",IFERROR(TRIM(INDEX('Pegar docentes'!$A$1:$BZ$1001,507,P$2)&amp;""),""))</f>
        <v/>
      </c>
      <c r="Q508" s="25">
        <f>IF(OR(D508&lt;&gt;"",H508&lt;&gt;""),1,"")</f>
        <v/>
      </c>
      <c r="R508" s="25">
        <f>IF(Q508=1,IF(ISNUMBER(FIND("#"&amp;MID(D508,1,1)&amp;"#","#0#1#2#3#4#5#6#7#8#9#")),IF(ISNUMBER(FIND("#"&amp;MID(D508,2,1)&amp;"#","#0#1#2#3#4#5#6#7#8#9#")),IF(AND(VALUE(LEFT(D508,2))&gt;=1,VALUE(LEFT(D508,2))&lt;=5),VALUE(LEFT(D508,2)),""),IF(AND(VALUE(LEFT(D508,1))&gt;=1,VALUE(LEFT(D508,1))&lt;=5),VALUE(LEFT(D508,1)),"")),""),"")</f>
        <v/>
      </c>
      <c r="S508" s="25">
        <f>IF(AND(Q508=1,E508&lt;&gt;""),SUBSTITUTE(SUBSTITUTE(SUBSTITUTE(SUBSTITUTE(SUBSTITUTE(SUBSTITUTE(SUBSTITUTE(SUBSTITUTE(SUBSTITUTE(SUBSTITUTE(SUBSTITUTE(SUBSTITUTE(LOWER(TRIM(E508)),"á","a"),"é","e"),"í","i"),"ó","o"),"ú","u"),"ü","u"),"ñ","n"),"à","a"),"è","e"),"ì","i"),"ò","o"),"ù","u"),"")</f>
        <v/>
      </c>
      <c r="T508" s="25">
        <f>IF(AND(Q508=1,G508&lt;&gt;""),SUBSTITUTE(SUBSTITUTE(SUBSTITUTE(SUBSTITUTE(SUBSTITUTE(SUBSTITUTE(SUBSTITUTE(SUBSTITUTE(SUBSTITUTE(SUBSTITUTE(SUBSTITUTE(SUBSTITUTE(LOWER(TRIM(G508)),"á","a"),"é","e"),"í","i"),"ó","o"),"ú","u"),"ü","u"),"ñ","n"),"à","a"),"è","e"),"ì","i"),"ò","o"),"ù","u"),"")</f>
        <v/>
      </c>
      <c r="U508" s="25">
        <f>IF(AND(Q508=1,H508&lt;&gt;""),SUBSTITUTE(SUBSTITUTE(SUBSTITUTE(SUBSTITUTE(SUBSTITUTE(SUBSTITUTE(SUBSTITUTE(SUBSTITUTE(SUBSTITUTE(SUBSTITUTE(SUBSTITUTE(SUBSTITUTE(LOWER(TRIM(H508)),"á","a"),"é","e"),"í","i"),"ó","o"),"ú","u"),"ü","u"),"ñ","n"),"à","a"),"è","e"),"ì","i"),"ò","o"),"ù","u"),"")</f>
        <v/>
      </c>
      <c r="V508" s="25">
        <f>IF(AND(Q508=1,L508&lt;&gt;""),SUBSTITUTE(SUBSTITUTE(SUBSTITUTE(SUBSTITUTE(SUBSTITUTE(SUBSTITUTE(SUBSTITUTE(SUBSTITUTE(SUBSTITUTE(SUBSTITUTE(SUBSTITUTE(SUBSTITUTE(LOWER(TRIM(L508)),"á","a"),"é","e"),"í","i"),"ó","o"),"ú","u"),"ü","u"),"ñ","n"),"à","a"),"è","e"),"ì","i"),"ò","o"),"ù","u"),"")</f>
        <v/>
      </c>
      <c r="W508" s="25">
        <f>IF(AND(Q508=1,I508&lt;&gt;""),SUBSTITUTE(SUBSTITUTE(SUBSTITUTE(SUBSTITUTE(SUBSTITUTE(SUBSTITUTE(SUBSTITUTE(SUBSTITUTE(SUBSTITUTE(SUBSTITUTE(SUBSTITUTE(SUBSTITUTE(LOWER(TRIM(I508)),"á","a"),"é","e"),"í","i"),"ó","o"),"ú","u"),"ü","u"),"ñ","n"),"à","a"),"è","e"),"ì","i"),"ò","o"),"ù","u"),"")</f>
        <v/>
      </c>
      <c r="X508" s="25">
        <f>IF(U508="","",IF(OR(U508="si, en la proxima tarea",U508="si, con cambios"),1,0))</f>
        <v/>
      </c>
      <c r="Y508" s="25">
        <f>IF(AND(Q508=1,A508&lt;&gt;""),IF(IFERROR(COUNTIFS(A$3:A508,"="&amp;SUBSTITUTE(SUBSTITUTE(SUBSTITUTE(A508,"~","~~"),"*","~*"),"?","~?"),Q$3:Q508,1),0)=1,MAX(Y$2:Y507)+1,""),"")</f>
        <v/>
      </c>
      <c r="Z508" s="25">
        <f>IF(Y508="","",COUNTIFS($A$3:$A$1002,"="&amp;SUBSTITUTE(SUBSTITUTE(SUBSTITUTE(A508,"~","~~"),"*","~*"),"?","~?"),$Q$3:$Q$1002,1)*10000-Y508)</f>
        <v/>
      </c>
    </row>
    <row r="509">
      <c r="A509">
        <f>IF(A$2=0,"",IFERROR(TRIM(INDEX('Pegar docentes'!$A$1:$BZ$1001,508,A$2)&amp;""),""))</f>
        <v/>
      </c>
      <c r="B509">
        <f>IF(B$2=0,"",IFERROR(TRIM(INDEX('Pegar docentes'!$A$1:$BZ$1001,508,B$2)&amp;""),""))</f>
        <v/>
      </c>
      <c r="C509">
        <f>IF(C$2=0,"",IFERROR(TRIM(INDEX('Pegar docentes'!$A$1:$BZ$1001,508,C$2)&amp;""),""))</f>
        <v/>
      </c>
      <c r="D509">
        <f>IF(D$2=0,"",IFERROR(TRIM(INDEX('Pegar docentes'!$A$1:$BZ$1001,508,D$2)&amp;""),""))</f>
        <v/>
      </c>
      <c r="E509">
        <f>IF(E$2=0,"",IFERROR(TRIM(INDEX('Pegar docentes'!$A$1:$BZ$1001,508,E$2)&amp;""),""))</f>
        <v/>
      </c>
      <c r="F509">
        <f>IF(F$2=0,"",IFERROR(TRIM(INDEX('Pegar docentes'!$A$1:$BZ$1001,508,F$2)&amp;""),""))</f>
        <v/>
      </c>
      <c r="G509">
        <f>IF(G$2=0,"",IFERROR(TRIM(INDEX('Pegar docentes'!$A$1:$BZ$1001,508,G$2)&amp;""),""))</f>
        <v/>
      </c>
      <c r="H509">
        <f>IF(H$2=0,"",IFERROR(TRIM(INDEX('Pegar docentes'!$A$1:$BZ$1001,508,H$2)&amp;""),""))</f>
        <v/>
      </c>
      <c r="I509">
        <f>IF(I$2=0,"",IFERROR(TRIM(INDEX('Pegar docentes'!$A$1:$BZ$1001,508,I$2)&amp;""),""))</f>
        <v/>
      </c>
      <c r="J509">
        <f>IF(J$2=0,"",IFERROR(TRIM(INDEX('Pegar docentes'!$A$1:$BZ$1001,508,J$2)&amp;""),""))</f>
        <v/>
      </c>
      <c r="K509">
        <f>IF(K$2=0,"",IFERROR(TRIM(INDEX('Pegar docentes'!$A$1:$BZ$1001,508,K$2)&amp;""),""))</f>
        <v/>
      </c>
      <c r="L509">
        <f>IF(L$2=0,"",IFERROR(TRIM(INDEX('Pegar docentes'!$A$1:$BZ$1001,508,L$2)&amp;""),""))</f>
        <v/>
      </c>
      <c r="M509">
        <f>IF(M$2=0,"",IFERROR(TRIM(INDEX('Pegar docentes'!$A$1:$BZ$1001,508,M$2)&amp;""),""))</f>
        <v/>
      </c>
      <c r="N509">
        <f>IF(N$2=0,"",IFERROR(TRIM(INDEX('Pegar docentes'!$A$1:$BZ$1001,508,N$2)&amp;""),""))</f>
        <v/>
      </c>
      <c r="O509">
        <f>IF(O$2=0,"",IFERROR(TRIM(INDEX('Pegar docentes'!$A$1:$BZ$1001,508,O$2)&amp;""),""))</f>
        <v/>
      </c>
      <c r="P509">
        <f>IF(P$2=0,"",IFERROR(TRIM(INDEX('Pegar docentes'!$A$1:$BZ$1001,508,P$2)&amp;""),""))</f>
        <v/>
      </c>
      <c r="Q509" s="25">
        <f>IF(OR(D509&lt;&gt;"",H509&lt;&gt;""),1,"")</f>
        <v/>
      </c>
      <c r="R509" s="25">
        <f>IF(Q509=1,IF(ISNUMBER(FIND("#"&amp;MID(D509,1,1)&amp;"#","#0#1#2#3#4#5#6#7#8#9#")),IF(ISNUMBER(FIND("#"&amp;MID(D509,2,1)&amp;"#","#0#1#2#3#4#5#6#7#8#9#")),IF(AND(VALUE(LEFT(D509,2))&gt;=1,VALUE(LEFT(D509,2))&lt;=5),VALUE(LEFT(D509,2)),""),IF(AND(VALUE(LEFT(D509,1))&gt;=1,VALUE(LEFT(D509,1))&lt;=5),VALUE(LEFT(D509,1)),"")),""),"")</f>
        <v/>
      </c>
      <c r="S509" s="25">
        <f>IF(AND(Q509=1,E509&lt;&gt;""),SUBSTITUTE(SUBSTITUTE(SUBSTITUTE(SUBSTITUTE(SUBSTITUTE(SUBSTITUTE(SUBSTITUTE(SUBSTITUTE(SUBSTITUTE(SUBSTITUTE(SUBSTITUTE(SUBSTITUTE(LOWER(TRIM(E509)),"á","a"),"é","e"),"í","i"),"ó","o"),"ú","u"),"ü","u"),"ñ","n"),"à","a"),"è","e"),"ì","i"),"ò","o"),"ù","u"),"")</f>
        <v/>
      </c>
      <c r="T509" s="25">
        <f>IF(AND(Q509=1,G509&lt;&gt;""),SUBSTITUTE(SUBSTITUTE(SUBSTITUTE(SUBSTITUTE(SUBSTITUTE(SUBSTITUTE(SUBSTITUTE(SUBSTITUTE(SUBSTITUTE(SUBSTITUTE(SUBSTITUTE(SUBSTITUTE(LOWER(TRIM(G509)),"á","a"),"é","e"),"í","i"),"ó","o"),"ú","u"),"ü","u"),"ñ","n"),"à","a"),"è","e"),"ì","i"),"ò","o"),"ù","u"),"")</f>
        <v/>
      </c>
      <c r="U509" s="25">
        <f>IF(AND(Q509=1,H509&lt;&gt;""),SUBSTITUTE(SUBSTITUTE(SUBSTITUTE(SUBSTITUTE(SUBSTITUTE(SUBSTITUTE(SUBSTITUTE(SUBSTITUTE(SUBSTITUTE(SUBSTITUTE(SUBSTITUTE(SUBSTITUTE(LOWER(TRIM(H509)),"á","a"),"é","e"),"í","i"),"ó","o"),"ú","u"),"ü","u"),"ñ","n"),"à","a"),"è","e"),"ì","i"),"ò","o"),"ù","u"),"")</f>
        <v/>
      </c>
      <c r="V509" s="25">
        <f>IF(AND(Q509=1,L509&lt;&gt;""),SUBSTITUTE(SUBSTITUTE(SUBSTITUTE(SUBSTITUTE(SUBSTITUTE(SUBSTITUTE(SUBSTITUTE(SUBSTITUTE(SUBSTITUTE(SUBSTITUTE(SUBSTITUTE(SUBSTITUTE(LOWER(TRIM(L509)),"á","a"),"é","e"),"í","i"),"ó","o"),"ú","u"),"ü","u"),"ñ","n"),"à","a"),"è","e"),"ì","i"),"ò","o"),"ù","u"),"")</f>
        <v/>
      </c>
      <c r="W509" s="25">
        <f>IF(AND(Q509=1,I509&lt;&gt;""),SUBSTITUTE(SUBSTITUTE(SUBSTITUTE(SUBSTITUTE(SUBSTITUTE(SUBSTITUTE(SUBSTITUTE(SUBSTITUTE(SUBSTITUTE(SUBSTITUTE(SUBSTITUTE(SUBSTITUTE(LOWER(TRIM(I509)),"á","a"),"é","e"),"í","i"),"ó","o"),"ú","u"),"ü","u"),"ñ","n"),"à","a"),"è","e"),"ì","i"),"ò","o"),"ù","u"),"")</f>
        <v/>
      </c>
      <c r="X509" s="25">
        <f>IF(U509="","",IF(OR(U509="si, en la proxima tarea",U509="si, con cambios"),1,0))</f>
        <v/>
      </c>
      <c r="Y509" s="25">
        <f>IF(AND(Q509=1,A509&lt;&gt;""),IF(IFERROR(COUNTIFS(A$3:A509,"="&amp;SUBSTITUTE(SUBSTITUTE(SUBSTITUTE(A509,"~","~~"),"*","~*"),"?","~?"),Q$3:Q509,1),0)=1,MAX(Y$2:Y508)+1,""),"")</f>
        <v/>
      </c>
      <c r="Z509" s="25">
        <f>IF(Y509="","",COUNTIFS($A$3:$A$1002,"="&amp;SUBSTITUTE(SUBSTITUTE(SUBSTITUTE(A509,"~","~~"),"*","~*"),"?","~?"),$Q$3:$Q$1002,1)*10000-Y509)</f>
        <v/>
      </c>
    </row>
    <row r="510">
      <c r="A510">
        <f>IF(A$2=0,"",IFERROR(TRIM(INDEX('Pegar docentes'!$A$1:$BZ$1001,509,A$2)&amp;""),""))</f>
        <v/>
      </c>
      <c r="B510">
        <f>IF(B$2=0,"",IFERROR(TRIM(INDEX('Pegar docentes'!$A$1:$BZ$1001,509,B$2)&amp;""),""))</f>
        <v/>
      </c>
      <c r="C510">
        <f>IF(C$2=0,"",IFERROR(TRIM(INDEX('Pegar docentes'!$A$1:$BZ$1001,509,C$2)&amp;""),""))</f>
        <v/>
      </c>
      <c r="D510">
        <f>IF(D$2=0,"",IFERROR(TRIM(INDEX('Pegar docentes'!$A$1:$BZ$1001,509,D$2)&amp;""),""))</f>
        <v/>
      </c>
      <c r="E510">
        <f>IF(E$2=0,"",IFERROR(TRIM(INDEX('Pegar docentes'!$A$1:$BZ$1001,509,E$2)&amp;""),""))</f>
        <v/>
      </c>
      <c r="F510">
        <f>IF(F$2=0,"",IFERROR(TRIM(INDEX('Pegar docentes'!$A$1:$BZ$1001,509,F$2)&amp;""),""))</f>
        <v/>
      </c>
      <c r="G510">
        <f>IF(G$2=0,"",IFERROR(TRIM(INDEX('Pegar docentes'!$A$1:$BZ$1001,509,G$2)&amp;""),""))</f>
        <v/>
      </c>
      <c r="H510">
        <f>IF(H$2=0,"",IFERROR(TRIM(INDEX('Pegar docentes'!$A$1:$BZ$1001,509,H$2)&amp;""),""))</f>
        <v/>
      </c>
      <c r="I510">
        <f>IF(I$2=0,"",IFERROR(TRIM(INDEX('Pegar docentes'!$A$1:$BZ$1001,509,I$2)&amp;""),""))</f>
        <v/>
      </c>
      <c r="J510">
        <f>IF(J$2=0,"",IFERROR(TRIM(INDEX('Pegar docentes'!$A$1:$BZ$1001,509,J$2)&amp;""),""))</f>
        <v/>
      </c>
      <c r="K510">
        <f>IF(K$2=0,"",IFERROR(TRIM(INDEX('Pegar docentes'!$A$1:$BZ$1001,509,K$2)&amp;""),""))</f>
        <v/>
      </c>
      <c r="L510">
        <f>IF(L$2=0,"",IFERROR(TRIM(INDEX('Pegar docentes'!$A$1:$BZ$1001,509,L$2)&amp;""),""))</f>
        <v/>
      </c>
      <c r="M510">
        <f>IF(M$2=0,"",IFERROR(TRIM(INDEX('Pegar docentes'!$A$1:$BZ$1001,509,M$2)&amp;""),""))</f>
        <v/>
      </c>
      <c r="N510">
        <f>IF(N$2=0,"",IFERROR(TRIM(INDEX('Pegar docentes'!$A$1:$BZ$1001,509,N$2)&amp;""),""))</f>
        <v/>
      </c>
      <c r="O510">
        <f>IF(O$2=0,"",IFERROR(TRIM(INDEX('Pegar docentes'!$A$1:$BZ$1001,509,O$2)&amp;""),""))</f>
        <v/>
      </c>
      <c r="P510">
        <f>IF(P$2=0,"",IFERROR(TRIM(INDEX('Pegar docentes'!$A$1:$BZ$1001,509,P$2)&amp;""),""))</f>
        <v/>
      </c>
      <c r="Q510" s="25">
        <f>IF(OR(D510&lt;&gt;"",H510&lt;&gt;""),1,"")</f>
        <v/>
      </c>
      <c r="R510" s="25">
        <f>IF(Q510=1,IF(ISNUMBER(FIND("#"&amp;MID(D510,1,1)&amp;"#","#0#1#2#3#4#5#6#7#8#9#")),IF(ISNUMBER(FIND("#"&amp;MID(D510,2,1)&amp;"#","#0#1#2#3#4#5#6#7#8#9#")),IF(AND(VALUE(LEFT(D510,2))&gt;=1,VALUE(LEFT(D510,2))&lt;=5),VALUE(LEFT(D510,2)),""),IF(AND(VALUE(LEFT(D510,1))&gt;=1,VALUE(LEFT(D510,1))&lt;=5),VALUE(LEFT(D510,1)),"")),""),"")</f>
        <v/>
      </c>
      <c r="S510" s="25">
        <f>IF(AND(Q510=1,E510&lt;&gt;""),SUBSTITUTE(SUBSTITUTE(SUBSTITUTE(SUBSTITUTE(SUBSTITUTE(SUBSTITUTE(SUBSTITUTE(SUBSTITUTE(SUBSTITUTE(SUBSTITUTE(SUBSTITUTE(SUBSTITUTE(LOWER(TRIM(E510)),"á","a"),"é","e"),"í","i"),"ó","o"),"ú","u"),"ü","u"),"ñ","n"),"à","a"),"è","e"),"ì","i"),"ò","o"),"ù","u"),"")</f>
        <v/>
      </c>
      <c r="T510" s="25">
        <f>IF(AND(Q510=1,G510&lt;&gt;""),SUBSTITUTE(SUBSTITUTE(SUBSTITUTE(SUBSTITUTE(SUBSTITUTE(SUBSTITUTE(SUBSTITUTE(SUBSTITUTE(SUBSTITUTE(SUBSTITUTE(SUBSTITUTE(SUBSTITUTE(LOWER(TRIM(G510)),"á","a"),"é","e"),"í","i"),"ó","o"),"ú","u"),"ü","u"),"ñ","n"),"à","a"),"è","e"),"ì","i"),"ò","o"),"ù","u"),"")</f>
        <v/>
      </c>
      <c r="U510" s="25">
        <f>IF(AND(Q510=1,H510&lt;&gt;""),SUBSTITUTE(SUBSTITUTE(SUBSTITUTE(SUBSTITUTE(SUBSTITUTE(SUBSTITUTE(SUBSTITUTE(SUBSTITUTE(SUBSTITUTE(SUBSTITUTE(SUBSTITUTE(SUBSTITUTE(LOWER(TRIM(H510)),"á","a"),"é","e"),"í","i"),"ó","o"),"ú","u"),"ü","u"),"ñ","n"),"à","a"),"è","e"),"ì","i"),"ò","o"),"ù","u"),"")</f>
        <v/>
      </c>
      <c r="V510" s="25">
        <f>IF(AND(Q510=1,L510&lt;&gt;""),SUBSTITUTE(SUBSTITUTE(SUBSTITUTE(SUBSTITUTE(SUBSTITUTE(SUBSTITUTE(SUBSTITUTE(SUBSTITUTE(SUBSTITUTE(SUBSTITUTE(SUBSTITUTE(SUBSTITUTE(LOWER(TRIM(L510)),"á","a"),"é","e"),"í","i"),"ó","o"),"ú","u"),"ü","u"),"ñ","n"),"à","a"),"è","e"),"ì","i"),"ò","o"),"ù","u"),"")</f>
        <v/>
      </c>
      <c r="W510" s="25">
        <f>IF(AND(Q510=1,I510&lt;&gt;""),SUBSTITUTE(SUBSTITUTE(SUBSTITUTE(SUBSTITUTE(SUBSTITUTE(SUBSTITUTE(SUBSTITUTE(SUBSTITUTE(SUBSTITUTE(SUBSTITUTE(SUBSTITUTE(SUBSTITUTE(LOWER(TRIM(I510)),"á","a"),"é","e"),"í","i"),"ó","o"),"ú","u"),"ü","u"),"ñ","n"),"à","a"),"è","e"),"ì","i"),"ò","o"),"ù","u"),"")</f>
        <v/>
      </c>
      <c r="X510" s="25">
        <f>IF(U510="","",IF(OR(U510="si, en la proxima tarea",U510="si, con cambios"),1,0))</f>
        <v/>
      </c>
      <c r="Y510" s="25">
        <f>IF(AND(Q510=1,A510&lt;&gt;""),IF(IFERROR(COUNTIFS(A$3:A510,"="&amp;SUBSTITUTE(SUBSTITUTE(SUBSTITUTE(A510,"~","~~"),"*","~*"),"?","~?"),Q$3:Q510,1),0)=1,MAX(Y$2:Y509)+1,""),"")</f>
        <v/>
      </c>
      <c r="Z510" s="25">
        <f>IF(Y510="","",COUNTIFS($A$3:$A$1002,"="&amp;SUBSTITUTE(SUBSTITUTE(SUBSTITUTE(A510,"~","~~"),"*","~*"),"?","~?"),$Q$3:$Q$1002,1)*10000-Y510)</f>
        <v/>
      </c>
    </row>
    <row r="511">
      <c r="A511">
        <f>IF(A$2=0,"",IFERROR(TRIM(INDEX('Pegar docentes'!$A$1:$BZ$1001,510,A$2)&amp;""),""))</f>
        <v/>
      </c>
      <c r="B511">
        <f>IF(B$2=0,"",IFERROR(TRIM(INDEX('Pegar docentes'!$A$1:$BZ$1001,510,B$2)&amp;""),""))</f>
        <v/>
      </c>
      <c r="C511">
        <f>IF(C$2=0,"",IFERROR(TRIM(INDEX('Pegar docentes'!$A$1:$BZ$1001,510,C$2)&amp;""),""))</f>
        <v/>
      </c>
      <c r="D511">
        <f>IF(D$2=0,"",IFERROR(TRIM(INDEX('Pegar docentes'!$A$1:$BZ$1001,510,D$2)&amp;""),""))</f>
        <v/>
      </c>
      <c r="E511">
        <f>IF(E$2=0,"",IFERROR(TRIM(INDEX('Pegar docentes'!$A$1:$BZ$1001,510,E$2)&amp;""),""))</f>
        <v/>
      </c>
      <c r="F511">
        <f>IF(F$2=0,"",IFERROR(TRIM(INDEX('Pegar docentes'!$A$1:$BZ$1001,510,F$2)&amp;""),""))</f>
        <v/>
      </c>
      <c r="G511">
        <f>IF(G$2=0,"",IFERROR(TRIM(INDEX('Pegar docentes'!$A$1:$BZ$1001,510,G$2)&amp;""),""))</f>
        <v/>
      </c>
      <c r="H511">
        <f>IF(H$2=0,"",IFERROR(TRIM(INDEX('Pegar docentes'!$A$1:$BZ$1001,510,H$2)&amp;""),""))</f>
        <v/>
      </c>
      <c r="I511">
        <f>IF(I$2=0,"",IFERROR(TRIM(INDEX('Pegar docentes'!$A$1:$BZ$1001,510,I$2)&amp;""),""))</f>
        <v/>
      </c>
      <c r="J511">
        <f>IF(J$2=0,"",IFERROR(TRIM(INDEX('Pegar docentes'!$A$1:$BZ$1001,510,J$2)&amp;""),""))</f>
        <v/>
      </c>
      <c r="K511">
        <f>IF(K$2=0,"",IFERROR(TRIM(INDEX('Pegar docentes'!$A$1:$BZ$1001,510,K$2)&amp;""),""))</f>
        <v/>
      </c>
      <c r="L511">
        <f>IF(L$2=0,"",IFERROR(TRIM(INDEX('Pegar docentes'!$A$1:$BZ$1001,510,L$2)&amp;""),""))</f>
        <v/>
      </c>
      <c r="M511">
        <f>IF(M$2=0,"",IFERROR(TRIM(INDEX('Pegar docentes'!$A$1:$BZ$1001,510,M$2)&amp;""),""))</f>
        <v/>
      </c>
      <c r="N511">
        <f>IF(N$2=0,"",IFERROR(TRIM(INDEX('Pegar docentes'!$A$1:$BZ$1001,510,N$2)&amp;""),""))</f>
        <v/>
      </c>
      <c r="O511">
        <f>IF(O$2=0,"",IFERROR(TRIM(INDEX('Pegar docentes'!$A$1:$BZ$1001,510,O$2)&amp;""),""))</f>
        <v/>
      </c>
      <c r="P511">
        <f>IF(P$2=0,"",IFERROR(TRIM(INDEX('Pegar docentes'!$A$1:$BZ$1001,510,P$2)&amp;""),""))</f>
        <v/>
      </c>
      <c r="Q511" s="25">
        <f>IF(OR(D511&lt;&gt;"",H511&lt;&gt;""),1,"")</f>
        <v/>
      </c>
      <c r="R511" s="25">
        <f>IF(Q511=1,IF(ISNUMBER(FIND("#"&amp;MID(D511,1,1)&amp;"#","#0#1#2#3#4#5#6#7#8#9#")),IF(ISNUMBER(FIND("#"&amp;MID(D511,2,1)&amp;"#","#0#1#2#3#4#5#6#7#8#9#")),IF(AND(VALUE(LEFT(D511,2))&gt;=1,VALUE(LEFT(D511,2))&lt;=5),VALUE(LEFT(D511,2)),""),IF(AND(VALUE(LEFT(D511,1))&gt;=1,VALUE(LEFT(D511,1))&lt;=5),VALUE(LEFT(D511,1)),"")),""),"")</f>
        <v/>
      </c>
      <c r="S511" s="25">
        <f>IF(AND(Q511=1,E511&lt;&gt;""),SUBSTITUTE(SUBSTITUTE(SUBSTITUTE(SUBSTITUTE(SUBSTITUTE(SUBSTITUTE(SUBSTITUTE(SUBSTITUTE(SUBSTITUTE(SUBSTITUTE(SUBSTITUTE(SUBSTITUTE(LOWER(TRIM(E511)),"á","a"),"é","e"),"í","i"),"ó","o"),"ú","u"),"ü","u"),"ñ","n"),"à","a"),"è","e"),"ì","i"),"ò","o"),"ù","u"),"")</f>
        <v/>
      </c>
      <c r="T511" s="25">
        <f>IF(AND(Q511=1,G511&lt;&gt;""),SUBSTITUTE(SUBSTITUTE(SUBSTITUTE(SUBSTITUTE(SUBSTITUTE(SUBSTITUTE(SUBSTITUTE(SUBSTITUTE(SUBSTITUTE(SUBSTITUTE(SUBSTITUTE(SUBSTITUTE(LOWER(TRIM(G511)),"á","a"),"é","e"),"í","i"),"ó","o"),"ú","u"),"ü","u"),"ñ","n"),"à","a"),"è","e"),"ì","i"),"ò","o"),"ù","u"),"")</f>
        <v/>
      </c>
      <c r="U511" s="25">
        <f>IF(AND(Q511=1,H511&lt;&gt;""),SUBSTITUTE(SUBSTITUTE(SUBSTITUTE(SUBSTITUTE(SUBSTITUTE(SUBSTITUTE(SUBSTITUTE(SUBSTITUTE(SUBSTITUTE(SUBSTITUTE(SUBSTITUTE(SUBSTITUTE(LOWER(TRIM(H511)),"á","a"),"é","e"),"í","i"),"ó","o"),"ú","u"),"ü","u"),"ñ","n"),"à","a"),"è","e"),"ì","i"),"ò","o"),"ù","u"),"")</f>
        <v/>
      </c>
      <c r="V511" s="25">
        <f>IF(AND(Q511=1,L511&lt;&gt;""),SUBSTITUTE(SUBSTITUTE(SUBSTITUTE(SUBSTITUTE(SUBSTITUTE(SUBSTITUTE(SUBSTITUTE(SUBSTITUTE(SUBSTITUTE(SUBSTITUTE(SUBSTITUTE(SUBSTITUTE(LOWER(TRIM(L511)),"á","a"),"é","e"),"í","i"),"ó","o"),"ú","u"),"ü","u"),"ñ","n"),"à","a"),"è","e"),"ì","i"),"ò","o"),"ù","u"),"")</f>
        <v/>
      </c>
      <c r="W511" s="25">
        <f>IF(AND(Q511=1,I511&lt;&gt;""),SUBSTITUTE(SUBSTITUTE(SUBSTITUTE(SUBSTITUTE(SUBSTITUTE(SUBSTITUTE(SUBSTITUTE(SUBSTITUTE(SUBSTITUTE(SUBSTITUTE(SUBSTITUTE(SUBSTITUTE(LOWER(TRIM(I511)),"á","a"),"é","e"),"í","i"),"ó","o"),"ú","u"),"ü","u"),"ñ","n"),"à","a"),"è","e"),"ì","i"),"ò","o"),"ù","u"),"")</f>
        <v/>
      </c>
      <c r="X511" s="25">
        <f>IF(U511="","",IF(OR(U511="si, en la proxima tarea",U511="si, con cambios"),1,0))</f>
        <v/>
      </c>
      <c r="Y511" s="25">
        <f>IF(AND(Q511=1,A511&lt;&gt;""),IF(IFERROR(COUNTIFS(A$3:A511,"="&amp;SUBSTITUTE(SUBSTITUTE(SUBSTITUTE(A511,"~","~~"),"*","~*"),"?","~?"),Q$3:Q511,1),0)=1,MAX(Y$2:Y510)+1,""),"")</f>
        <v/>
      </c>
      <c r="Z511" s="25">
        <f>IF(Y511="","",COUNTIFS($A$3:$A$1002,"="&amp;SUBSTITUTE(SUBSTITUTE(SUBSTITUTE(A511,"~","~~"),"*","~*"),"?","~?"),$Q$3:$Q$1002,1)*10000-Y511)</f>
        <v/>
      </c>
    </row>
    <row r="512">
      <c r="A512">
        <f>IF(A$2=0,"",IFERROR(TRIM(INDEX('Pegar docentes'!$A$1:$BZ$1001,511,A$2)&amp;""),""))</f>
        <v/>
      </c>
      <c r="B512">
        <f>IF(B$2=0,"",IFERROR(TRIM(INDEX('Pegar docentes'!$A$1:$BZ$1001,511,B$2)&amp;""),""))</f>
        <v/>
      </c>
      <c r="C512">
        <f>IF(C$2=0,"",IFERROR(TRIM(INDEX('Pegar docentes'!$A$1:$BZ$1001,511,C$2)&amp;""),""))</f>
        <v/>
      </c>
      <c r="D512">
        <f>IF(D$2=0,"",IFERROR(TRIM(INDEX('Pegar docentes'!$A$1:$BZ$1001,511,D$2)&amp;""),""))</f>
        <v/>
      </c>
      <c r="E512">
        <f>IF(E$2=0,"",IFERROR(TRIM(INDEX('Pegar docentes'!$A$1:$BZ$1001,511,E$2)&amp;""),""))</f>
        <v/>
      </c>
      <c r="F512">
        <f>IF(F$2=0,"",IFERROR(TRIM(INDEX('Pegar docentes'!$A$1:$BZ$1001,511,F$2)&amp;""),""))</f>
        <v/>
      </c>
      <c r="G512">
        <f>IF(G$2=0,"",IFERROR(TRIM(INDEX('Pegar docentes'!$A$1:$BZ$1001,511,G$2)&amp;""),""))</f>
        <v/>
      </c>
      <c r="H512">
        <f>IF(H$2=0,"",IFERROR(TRIM(INDEX('Pegar docentes'!$A$1:$BZ$1001,511,H$2)&amp;""),""))</f>
        <v/>
      </c>
      <c r="I512">
        <f>IF(I$2=0,"",IFERROR(TRIM(INDEX('Pegar docentes'!$A$1:$BZ$1001,511,I$2)&amp;""),""))</f>
        <v/>
      </c>
      <c r="J512">
        <f>IF(J$2=0,"",IFERROR(TRIM(INDEX('Pegar docentes'!$A$1:$BZ$1001,511,J$2)&amp;""),""))</f>
        <v/>
      </c>
      <c r="K512">
        <f>IF(K$2=0,"",IFERROR(TRIM(INDEX('Pegar docentes'!$A$1:$BZ$1001,511,K$2)&amp;""),""))</f>
        <v/>
      </c>
      <c r="L512">
        <f>IF(L$2=0,"",IFERROR(TRIM(INDEX('Pegar docentes'!$A$1:$BZ$1001,511,L$2)&amp;""),""))</f>
        <v/>
      </c>
      <c r="M512">
        <f>IF(M$2=0,"",IFERROR(TRIM(INDEX('Pegar docentes'!$A$1:$BZ$1001,511,M$2)&amp;""),""))</f>
        <v/>
      </c>
      <c r="N512">
        <f>IF(N$2=0,"",IFERROR(TRIM(INDEX('Pegar docentes'!$A$1:$BZ$1001,511,N$2)&amp;""),""))</f>
        <v/>
      </c>
      <c r="O512">
        <f>IF(O$2=0,"",IFERROR(TRIM(INDEX('Pegar docentes'!$A$1:$BZ$1001,511,O$2)&amp;""),""))</f>
        <v/>
      </c>
      <c r="P512">
        <f>IF(P$2=0,"",IFERROR(TRIM(INDEX('Pegar docentes'!$A$1:$BZ$1001,511,P$2)&amp;""),""))</f>
        <v/>
      </c>
      <c r="Q512" s="25">
        <f>IF(OR(D512&lt;&gt;"",H512&lt;&gt;""),1,"")</f>
        <v/>
      </c>
      <c r="R512" s="25">
        <f>IF(Q512=1,IF(ISNUMBER(FIND("#"&amp;MID(D512,1,1)&amp;"#","#0#1#2#3#4#5#6#7#8#9#")),IF(ISNUMBER(FIND("#"&amp;MID(D512,2,1)&amp;"#","#0#1#2#3#4#5#6#7#8#9#")),IF(AND(VALUE(LEFT(D512,2))&gt;=1,VALUE(LEFT(D512,2))&lt;=5),VALUE(LEFT(D512,2)),""),IF(AND(VALUE(LEFT(D512,1))&gt;=1,VALUE(LEFT(D512,1))&lt;=5),VALUE(LEFT(D512,1)),"")),""),"")</f>
        <v/>
      </c>
      <c r="S512" s="25">
        <f>IF(AND(Q512=1,E512&lt;&gt;""),SUBSTITUTE(SUBSTITUTE(SUBSTITUTE(SUBSTITUTE(SUBSTITUTE(SUBSTITUTE(SUBSTITUTE(SUBSTITUTE(SUBSTITUTE(SUBSTITUTE(SUBSTITUTE(SUBSTITUTE(LOWER(TRIM(E512)),"á","a"),"é","e"),"í","i"),"ó","o"),"ú","u"),"ü","u"),"ñ","n"),"à","a"),"è","e"),"ì","i"),"ò","o"),"ù","u"),"")</f>
        <v/>
      </c>
      <c r="T512" s="25">
        <f>IF(AND(Q512=1,G512&lt;&gt;""),SUBSTITUTE(SUBSTITUTE(SUBSTITUTE(SUBSTITUTE(SUBSTITUTE(SUBSTITUTE(SUBSTITUTE(SUBSTITUTE(SUBSTITUTE(SUBSTITUTE(SUBSTITUTE(SUBSTITUTE(LOWER(TRIM(G512)),"á","a"),"é","e"),"í","i"),"ó","o"),"ú","u"),"ü","u"),"ñ","n"),"à","a"),"è","e"),"ì","i"),"ò","o"),"ù","u"),"")</f>
        <v/>
      </c>
      <c r="U512" s="25">
        <f>IF(AND(Q512=1,H512&lt;&gt;""),SUBSTITUTE(SUBSTITUTE(SUBSTITUTE(SUBSTITUTE(SUBSTITUTE(SUBSTITUTE(SUBSTITUTE(SUBSTITUTE(SUBSTITUTE(SUBSTITUTE(SUBSTITUTE(SUBSTITUTE(LOWER(TRIM(H512)),"á","a"),"é","e"),"í","i"),"ó","o"),"ú","u"),"ü","u"),"ñ","n"),"à","a"),"è","e"),"ì","i"),"ò","o"),"ù","u"),"")</f>
        <v/>
      </c>
      <c r="V512" s="25">
        <f>IF(AND(Q512=1,L512&lt;&gt;""),SUBSTITUTE(SUBSTITUTE(SUBSTITUTE(SUBSTITUTE(SUBSTITUTE(SUBSTITUTE(SUBSTITUTE(SUBSTITUTE(SUBSTITUTE(SUBSTITUTE(SUBSTITUTE(SUBSTITUTE(LOWER(TRIM(L512)),"á","a"),"é","e"),"í","i"),"ó","o"),"ú","u"),"ü","u"),"ñ","n"),"à","a"),"è","e"),"ì","i"),"ò","o"),"ù","u"),"")</f>
        <v/>
      </c>
      <c r="W512" s="25">
        <f>IF(AND(Q512=1,I512&lt;&gt;""),SUBSTITUTE(SUBSTITUTE(SUBSTITUTE(SUBSTITUTE(SUBSTITUTE(SUBSTITUTE(SUBSTITUTE(SUBSTITUTE(SUBSTITUTE(SUBSTITUTE(SUBSTITUTE(SUBSTITUTE(LOWER(TRIM(I512)),"á","a"),"é","e"),"í","i"),"ó","o"),"ú","u"),"ü","u"),"ñ","n"),"à","a"),"è","e"),"ì","i"),"ò","o"),"ù","u"),"")</f>
        <v/>
      </c>
      <c r="X512" s="25">
        <f>IF(U512="","",IF(OR(U512="si, en la proxima tarea",U512="si, con cambios"),1,0))</f>
        <v/>
      </c>
      <c r="Y512" s="25">
        <f>IF(AND(Q512=1,A512&lt;&gt;""),IF(IFERROR(COUNTIFS(A$3:A512,"="&amp;SUBSTITUTE(SUBSTITUTE(SUBSTITUTE(A512,"~","~~"),"*","~*"),"?","~?"),Q$3:Q512,1),0)=1,MAX(Y$2:Y511)+1,""),"")</f>
        <v/>
      </c>
      <c r="Z512" s="25">
        <f>IF(Y512="","",COUNTIFS($A$3:$A$1002,"="&amp;SUBSTITUTE(SUBSTITUTE(SUBSTITUTE(A512,"~","~~"),"*","~*"),"?","~?"),$Q$3:$Q$1002,1)*10000-Y512)</f>
        <v/>
      </c>
    </row>
    <row r="513">
      <c r="A513">
        <f>IF(A$2=0,"",IFERROR(TRIM(INDEX('Pegar docentes'!$A$1:$BZ$1001,512,A$2)&amp;""),""))</f>
        <v/>
      </c>
      <c r="B513">
        <f>IF(B$2=0,"",IFERROR(TRIM(INDEX('Pegar docentes'!$A$1:$BZ$1001,512,B$2)&amp;""),""))</f>
        <v/>
      </c>
      <c r="C513">
        <f>IF(C$2=0,"",IFERROR(TRIM(INDEX('Pegar docentes'!$A$1:$BZ$1001,512,C$2)&amp;""),""))</f>
        <v/>
      </c>
      <c r="D513">
        <f>IF(D$2=0,"",IFERROR(TRIM(INDEX('Pegar docentes'!$A$1:$BZ$1001,512,D$2)&amp;""),""))</f>
        <v/>
      </c>
      <c r="E513">
        <f>IF(E$2=0,"",IFERROR(TRIM(INDEX('Pegar docentes'!$A$1:$BZ$1001,512,E$2)&amp;""),""))</f>
        <v/>
      </c>
      <c r="F513">
        <f>IF(F$2=0,"",IFERROR(TRIM(INDEX('Pegar docentes'!$A$1:$BZ$1001,512,F$2)&amp;""),""))</f>
        <v/>
      </c>
      <c r="G513">
        <f>IF(G$2=0,"",IFERROR(TRIM(INDEX('Pegar docentes'!$A$1:$BZ$1001,512,G$2)&amp;""),""))</f>
        <v/>
      </c>
      <c r="H513">
        <f>IF(H$2=0,"",IFERROR(TRIM(INDEX('Pegar docentes'!$A$1:$BZ$1001,512,H$2)&amp;""),""))</f>
        <v/>
      </c>
      <c r="I513">
        <f>IF(I$2=0,"",IFERROR(TRIM(INDEX('Pegar docentes'!$A$1:$BZ$1001,512,I$2)&amp;""),""))</f>
        <v/>
      </c>
      <c r="J513">
        <f>IF(J$2=0,"",IFERROR(TRIM(INDEX('Pegar docentes'!$A$1:$BZ$1001,512,J$2)&amp;""),""))</f>
        <v/>
      </c>
      <c r="K513">
        <f>IF(K$2=0,"",IFERROR(TRIM(INDEX('Pegar docentes'!$A$1:$BZ$1001,512,K$2)&amp;""),""))</f>
        <v/>
      </c>
      <c r="L513">
        <f>IF(L$2=0,"",IFERROR(TRIM(INDEX('Pegar docentes'!$A$1:$BZ$1001,512,L$2)&amp;""),""))</f>
        <v/>
      </c>
      <c r="M513">
        <f>IF(M$2=0,"",IFERROR(TRIM(INDEX('Pegar docentes'!$A$1:$BZ$1001,512,M$2)&amp;""),""))</f>
        <v/>
      </c>
      <c r="N513">
        <f>IF(N$2=0,"",IFERROR(TRIM(INDEX('Pegar docentes'!$A$1:$BZ$1001,512,N$2)&amp;""),""))</f>
        <v/>
      </c>
      <c r="O513">
        <f>IF(O$2=0,"",IFERROR(TRIM(INDEX('Pegar docentes'!$A$1:$BZ$1001,512,O$2)&amp;""),""))</f>
        <v/>
      </c>
      <c r="P513">
        <f>IF(P$2=0,"",IFERROR(TRIM(INDEX('Pegar docentes'!$A$1:$BZ$1001,512,P$2)&amp;""),""))</f>
        <v/>
      </c>
      <c r="Q513" s="25">
        <f>IF(OR(D513&lt;&gt;"",H513&lt;&gt;""),1,"")</f>
        <v/>
      </c>
      <c r="R513" s="25">
        <f>IF(Q513=1,IF(ISNUMBER(FIND("#"&amp;MID(D513,1,1)&amp;"#","#0#1#2#3#4#5#6#7#8#9#")),IF(ISNUMBER(FIND("#"&amp;MID(D513,2,1)&amp;"#","#0#1#2#3#4#5#6#7#8#9#")),IF(AND(VALUE(LEFT(D513,2))&gt;=1,VALUE(LEFT(D513,2))&lt;=5),VALUE(LEFT(D513,2)),""),IF(AND(VALUE(LEFT(D513,1))&gt;=1,VALUE(LEFT(D513,1))&lt;=5),VALUE(LEFT(D513,1)),"")),""),"")</f>
        <v/>
      </c>
      <c r="S513" s="25">
        <f>IF(AND(Q513=1,E513&lt;&gt;""),SUBSTITUTE(SUBSTITUTE(SUBSTITUTE(SUBSTITUTE(SUBSTITUTE(SUBSTITUTE(SUBSTITUTE(SUBSTITUTE(SUBSTITUTE(SUBSTITUTE(SUBSTITUTE(SUBSTITUTE(LOWER(TRIM(E513)),"á","a"),"é","e"),"í","i"),"ó","o"),"ú","u"),"ü","u"),"ñ","n"),"à","a"),"è","e"),"ì","i"),"ò","o"),"ù","u"),"")</f>
        <v/>
      </c>
      <c r="T513" s="25">
        <f>IF(AND(Q513=1,G513&lt;&gt;""),SUBSTITUTE(SUBSTITUTE(SUBSTITUTE(SUBSTITUTE(SUBSTITUTE(SUBSTITUTE(SUBSTITUTE(SUBSTITUTE(SUBSTITUTE(SUBSTITUTE(SUBSTITUTE(SUBSTITUTE(LOWER(TRIM(G513)),"á","a"),"é","e"),"í","i"),"ó","o"),"ú","u"),"ü","u"),"ñ","n"),"à","a"),"è","e"),"ì","i"),"ò","o"),"ù","u"),"")</f>
        <v/>
      </c>
      <c r="U513" s="25">
        <f>IF(AND(Q513=1,H513&lt;&gt;""),SUBSTITUTE(SUBSTITUTE(SUBSTITUTE(SUBSTITUTE(SUBSTITUTE(SUBSTITUTE(SUBSTITUTE(SUBSTITUTE(SUBSTITUTE(SUBSTITUTE(SUBSTITUTE(SUBSTITUTE(LOWER(TRIM(H513)),"á","a"),"é","e"),"í","i"),"ó","o"),"ú","u"),"ü","u"),"ñ","n"),"à","a"),"è","e"),"ì","i"),"ò","o"),"ù","u"),"")</f>
        <v/>
      </c>
      <c r="V513" s="25">
        <f>IF(AND(Q513=1,L513&lt;&gt;""),SUBSTITUTE(SUBSTITUTE(SUBSTITUTE(SUBSTITUTE(SUBSTITUTE(SUBSTITUTE(SUBSTITUTE(SUBSTITUTE(SUBSTITUTE(SUBSTITUTE(SUBSTITUTE(SUBSTITUTE(LOWER(TRIM(L513)),"á","a"),"é","e"),"í","i"),"ó","o"),"ú","u"),"ü","u"),"ñ","n"),"à","a"),"è","e"),"ì","i"),"ò","o"),"ù","u"),"")</f>
        <v/>
      </c>
      <c r="W513" s="25">
        <f>IF(AND(Q513=1,I513&lt;&gt;""),SUBSTITUTE(SUBSTITUTE(SUBSTITUTE(SUBSTITUTE(SUBSTITUTE(SUBSTITUTE(SUBSTITUTE(SUBSTITUTE(SUBSTITUTE(SUBSTITUTE(SUBSTITUTE(SUBSTITUTE(LOWER(TRIM(I513)),"á","a"),"é","e"),"í","i"),"ó","o"),"ú","u"),"ü","u"),"ñ","n"),"à","a"),"è","e"),"ì","i"),"ò","o"),"ù","u"),"")</f>
        <v/>
      </c>
      <c r="X513" s="25">
        <f>IF(U513="","",IF(OR(U513="si, en la proxima tarea",U513="si, con cambios"),1,0))</f>
        <v/>
      </c>
      <c r="Y513" s="25">
        <f>IF(AND(Q513=1,A513&lt;&gt;""),IF(IFERROR(COUNTIFS(A$3:A513,"="&amp;SUBSTITUTE(SUBSTITUTE(SUBSTITUTE(A513,"~","~~"),"*","~*"),"?","~?"),Q$3:Q513,1),0)=1,MAX(Y$2:Y512)+1,""),"")</f>
        <v/>
      </c>
      <c r="Z513" s="25">
        <f>IF(Y513="","",COUNTIFS($A$3:$A$1002,"="&amp;SUBSTITUTE(SUBSTITUTE(SUBSTITUTE(A513,"~","~~"),"*","~*"),"?","~?"),$Q$3:$Q$1002,1)*10000-Y513)</f>
        <v/>
      </c>
    </row>
    <row r="514">
      <c r="A514">
        <f>IF(A$2=0,"",IFERROR(TRIM(INDEX('Pegar docentes'!$A$1:$BZ$1001,513,A$2)&amp;""),""))</f>
        <v/>
      </c>
      <c r="B514">
        <f>IF(B$2=0,"",IFERROR(TRIM(INDEX('Pegar docentes'!$A$1:$BZ$1001,513,B$2)&amp;""),""))</f>
        <v/>
      </c>
      <c r="C514">
        <f>IF(C$2=0,"",IFERROR(TRIM(INDEX('Pegar docentes'!$A$1:$BZ$1001,513,C$2)&amp;""),""))</f>
        <v/>
      </c>
      <c r="D514">
        <f>IF(D$2=0,"",IFERROR(TRIM(INDEX('Pegar docentes'!$A$1:$BZ$1001,513,D$2)&amp;""),""))</f>
        <v/>
      </c>
      <c r="E514">
        <f>IF(E$2=0,"",IFERROR(TRIM(INDEX('Pegar docentes'!$A$1:$BZ$1001,513,E$2)&amp;""),""))</f>
        <v/>
      </c>
      <c r="F514">
        <f>IF(F$2=0,"",IFERROR(TRIM(INDEX('Pegar docentes'!$A$1:$BZ$1001,513,F$2)&amp;""),""))</f>
        <v/>
      </c>
      <c r="G514">
        <f>IF(G$2=0,"",IFERROR(TRIM(INDEX('Pegar docentes'!$A$1:$BZ$1001,513,G$2)&amp;""),""))</f>
        <v/>
      </c>
      <c r="H514">
        <f>IF(H$2=0,"",IFERROR(TRIM(INDEX('Pegar docentes'!$A$1:$BZ$1001,513,H$2)&amp;""),""))</f>
        <v/>
      </c>
      <c r="I514">
        <f>IF(I$2=0,"",IFERROR(TRIM(INDEX('Pegar docentes'!$A$1:$BZ$1001,513,I$2)&amp;""),""))</f>
        <v/>
      </c>
      <c r="J514">
        <f>IF(J$2=0,"",IFERROR(TRIM(INDEX('Pegar docentes'!$A$1:$BZ$1001,513,J$2)&amp;""),""))</f>
        <v/>
      </c>
      <c r="K514">
        <f>IF(K$2=0,"",IFERROR(TRIM(INDEX('Pegar docentes'!$A$1:$BZ$1001,513,K$2)&amp;""),""))</f>
        <v/>
      </c>
      <c r="L514">
        <f>IF(L$2=0,"",IFERROR(TRIM(INDEX('Pegar docentes'!$A$1:$BZ$1001,513,L$2)&amp;""),""))</f>
        <v/>
      </c>
      <c r="M514">
        <f>IF(M$2=0,"",IFERROR(TRIM(INDEX('Pegar docentes'!$A$1:$BZ$1001,513,M$2)&amp;""),""))</f>
        <v/>
      </c>
      <c r="N514">
        <f>IF(N$2=0,"",IFERROR(TRIM(INDEX('Pegar docentes'!$A$1:$BZ$1001,513,N$2)&amp;""),""))</f>
        <v/>
      </c>
      <c r="O514">
        <f>IF(O$2=0,"",IFERROR(TRIM(INDEX('Pegar docentes'!$A$1:$BZ$1001,513,O$2)&amp;""),""))</f>
        <v/>
      </c>
      <c r="P514">
        <f>IF(P$2=0,"",IFERROR(TRIM(INDEX('Pegar docentes'!$A$1:$BZ$1001,513,P$2)&amp;""),""))</f>
        <v/>
      </c>
      <c r="Q514" s="25">
        <f>IF(OR(D514&lt;&gt;"",H514&lt;&gt;""),1,"")</f>
        <v/>
      </c>
      <c r="R514" s="25">
        <f>IF(Q514=1,IF(ISNUMBER(FIND("#"&amp;MID(D514,1,1)&amp;"#","#0#1#2#3#4#5#6#7#8#9#")),IF(ISNUMBER(FIND("#"&amp;MID(D514,2,1)&amp;"#","#0#1#2#3#4#5#6#7#8#9#")),IF(AND(VALUE(LEFT(D514,2))&gt;=1,VALUE(LEFT(D514,2))&lt;=5),VALUE(LEFT(D514,2)),""),IF(AND(VALUE(LEFT(D514,1))&gt;=1,VALUE(LEFT(D514,1))&lt;=5),VALUE(LEFT(D514,1)),"")),""),"")</f>
        <v/>
      </c>
      <c r="S514" s="25">
        <f>IF(AND(Q514=1,E514&lt;&gt;""),SUBSTITUTE(SUBSTITUTE(SUBSTITUTE(SUBSTITUTE(SUBSTITUTE(SUBSTITUTE(SUBSTITUTE(SUBSTITUTE(SUBSTITUTE(SUBSTITUTE(SUBSTITUTE(SUBSTITUTE(LOWER(TRIM(E514)),"á","a"),"é","e"),"í","i"),"ó","o"),"ú","u"),"ü","u"),"ñ","n"),"à","a"),"è","e"),"ì","i"),"ò","o"),"ù","u"),"")</f>
        <v/>
      </c>
      <c r="T514" s="25">
        <f>IF(AND(Q514=1,G514&lt;&gt;""),SUBSTITUTE(SUBSTITUTE(SUBSTITUTE(SUBSTITUTE(SUBSTITUTE(SUBSTITUTE(SUBSTITUTE(SUBSTITUTE(SUBSTITUTE(SUBSTITUTE(SUBSTITUTE(SUBSTITUTE(LOWER(TRIM(G514)),"á","a"),"é","e"),"í","i"),"ó","o"),"ú","u"),"ü","u"),"ñ","n"),"à","a"),"è","e"),"ì","i"),"ò","o"),"ù","u"),"")</f>
        <v/>
      </c>
      <c r="U514" s="25">
        <f>IF(AND(Q514=1,H514&lt;&gt;""),SUBSTITUTE(SUBSTITUTE(SUBSTITUTE(SUBSTITUTE(SUBSTITUTE(SUBSTITUTE(SUBSTITUTE(SUBSTITUTE(SUBSTITUTE(SUBSTITUTE(SUBSTITUTE(SUBSTITUTE(LOWER(TRIM(H514)),"á","a"),"é","e"),"í","i"),"ó","o"),"ú","u"),"ü","u"),"ñ","n"),"à","a"),"è","e"),"ì","i"),"ò","o"),"ù","u"),"")</f>
        <v/>
      </c>
      <c r="V514" s="25">
        <f>IF(AND(Q514=1,L514&lt;&gt;""),SUBSTITUTE(SUBSTITUTE(SUBSTITUTE(SUBSTITUTE(SUBSTITUTE(SUBSTITUTE(SUBSTITUTE(SUBSTITUTE(SUBSTITUTE(SUBSTITUTE(SUBSTITUTE(SUBSTITUTE(LOWER(TRIM(L514)),"á","a"),"é","e"),"í","i"),"ó","o"),"ú","u"),"ü","u"),"ñ","n"),"à","a"),"è","e"),"ì","i"),"ò","o"),"ù","u"),"")</f>
        <v/>
      </c>
      <c r="W514" s="25">
        <f>IF(AND(Q514=1,I514&lt;&gt;""),SUBSTITUTE(SUBSTITUTE(SUBSTITUTE(SUBSTITUTE(SUBSTITUTE(SUBSTITUTE(SUBSTITUTE(SUBSTITUTE(SUBSTITUTE(SUBSTITUTE(SUBSTITUTE(SUBSTITUTE(LOWER(TRIM(I514)),"á","a"),"é","e"),"í","i"),"ó","o"),"ú","u"),"ü","u"),"ñ","n"),"à","a"),"è","e"),"ì","i"),"ò","o"),"ù","u"),"")</f>
        <v/>
      </c>
      <c r="X514" s="25">
        <f>IF(U514="","",IF(OR(U514="si, en la proxima tarea",U514="si, con cambios"),1,0))</f>
        <v/>
      </c>
      <c r="Y514" s="25">
        <f>IF(AND(Q514=1,A514&lt;&gt;""),IF(IFERROR(COUNTIFS(A$3:A514,"="&amp;SUBSTITUTE(SUBSTITUTE(SUBSTITUTE(A514,"~","~~"),"*","~*"),"?","~?"),Q$3:Q514,1),0)=1,MAX(Y$2:Y513)+1,""),"")</f>
        <v/>
      </c>
      <c r="Z514" s="25">
        <f>IF(Y514="","",COUNTIFS($A$3:$A$1002,"="&amp;SUBSTITUTE(SUBSTITUTE(SUBSTITUTE(A514,"~","~~"),"*","~*"),"?","~?"),$Q$3:$Q$1002,1)*10000-Y514)</f>
        <v/>
      </c>
    </row>
    <row r="515">
      <c r="A515">
        <f>IF(A$2=0,"",IFERROR(TRIM(INDEX('Pegar docentes'!$A$1:$BZ$1001,514,A$2)&amp;""),""))</f>
        <v/>
      </c>
      <c r="B515">
        <f>IF(B$2=0,"",IFERROR(TRIM(INDEX('Pegar docentes'!$A$1:$BZ$1001,514,B$2)&amp;""),""))</f>
        <v/>
      </c>
      <c r="C515">
        <f>IF(C$2=0,"",IFERROR(TRIM(INDEX('Pegar docentes'!$A$1:$BZ$1001,514,C$2)&amp;""),""))</f>
        <v/>
      </c>
      <c r="D515">
        <f>IF(D$2=0,"",IFERROR(TRIM(INDEX('Pegar docentes'!$A$1:$BZ$1001,514,D$2)&amp;""),""))</f>
        <v/>
      </c>
      <c r="E515">
        <f>IF(E$2=0,"",IFERROR(TRIM(INDEX('Pegar docentes'!$A$1:$BZ$1001,514,E$2)&amp;""),""))</f>
        <v/>
      </c>
      <c r="F515">
        <f>IF(F$2=0,"",IFERROR(TRIM(INDEX('Pegar docentes'!$A$1:$BZ$1001,514,F$2)&amp;""),""))</f>
        <v/>
      </c>
      <c r="G515">
        <f>IF(G$2=0,"",IFERROR(TRIM(INDEX('Pegar docentes'!$A$1:$BZ$1001,514,G$2)&amp;""),""))</f>
        <v/>
      </c>
      <c r="H515">
        <f>IF(H$2=0,"",IFERROR(TRIM(INDEX('Pegar docentes'!$A$1:$BZ$1001,514,H$2)&amp;""),""))</f>
        <v/>
      </c>
      <c r="I515">
        <f>IF(I$2=0,"",IFERROR(TRIM(INDEX('Pegar docentes'!$A$1:$BZ$1001,514,I$2)&amp;""),""))</f>
        <v/>
      </c>
      <c r="J515">
        <f>IF(J$2=0,"",IFERROR(TRIM(INDEX('Pegar docentes'!$A$1:$BZ$1001,514,J$2)&amp;""),""))</f>
        <v/>
      </c>
      <c r="K515">
        <f>IF(K$2=0,"",IFERROR(TRIM(INDEX('Pegar docentes'!$A$1:$BZ$1001,514,K$2)&amp;""),""))</f>
        <v/>
      </c>
      <c r="L515">
        <f>IF(L$2=0,"",IFERROR(TRIM(INDEX('Pegar docentes'!$A$1:$BZ$1001,514,L$2)&amp;""),""))</f>
        <v/>
      </c>
      <c r="M515">
        <f>IF(M$2=0,"",IFERROR(TRIM(INDEX('Pegar docentes'!$A$1:$BZ$1001,514,M$2)&amp;""),""))</f>
        <v/>
      </c>
      <c r="N515">
        <f>IF(N$2=0,"",IFERROR(TRIM(INDEX('Pegar docentes'!$A$1:$BZ$1001,514,N$2)&amp;""),""))</f>
        <v/>
      </c>
      <c r="O515">
        <f>IF(O$2=0,"",IFERROR(TRIM(INDEX('Pegar docentes'!$A$1:$BZ$1001,514,O$2)&amp;""),""))</f>
        <v/>
      </c>
      <c r="P515">
        <f>IF(P$2=0,"",IFERROR(TRIM(INDEX('Pegar docentes'!$A$1:$BZ$1001,514,P$2)&amp;""),""))</f>
        <v/>
      </c>
      <c r="Q515" s="25">
        <f>IF(OR(D515&lt;&gt;"",H515&lt;&gt;""),1,"")</f>
        <v/>
      </c>
      <c r="R515" s="25">
        <f>IF(Q515=1,IF(ISNUMBER(FIND("#"&amp;MID(D515,1,1)&amp;"#","#0#1#2#3#4#5#6#7#8#9#")),IF(ISNUMBER(FIND("#"&amp;MID(D515,2,1)&amp;"#","#0#1#2#3#4#5#6#7#8#9#")),IF(AND(VALUE(LEFT(D515,2))&gt;=1,VALUE(LEFT(D515,2))&lt;=5),VALUE(LEFT(D515,2)),""),IF(AND(VALUE(LEFT(D515,1))&gt;=1,VALUE(LEFT(D515,1))&lt;=5),VALUE(LEFT(D515,1)),"")),""),"")</f>
        <v/>
      </c>
      <c r="S515" s="25">
        <f>IF(AND(Q515=1,E515&lt;&gt;""),SUBSTITUTE(SUBSTITUTE(SUBSTITUTE(SUBSTITUTE(SUBSTITUTE(SUBSTITUTE(SUBSTITUTE(SUBSTITUTE(SUBSTITUTE(SUBSTITUTE(SUBSTITUTE(SUBSTITUTE(LOWER(TRIM(E515)),"á","a"),"é","e"),"í","i"),"ó","o"),"ú","u"),"ü","u"),"ñ","n"),"à","a"),"è","e"),"ì","i"),"ò","o"),"ù","u"),"")</f>
        <v/>
      </c>
      <c r="T515" s="25">
        <f>IF(AND(Q515=1,G515&lt;&gt;""),SUBSTITUTE(SUBSTITUTE(SUBSTITUTE(SUBSTITUTE(SUBSTITUTE(SUBSTITUTE(SUBSTITUTE(SUBSTITUTE(SUBSTITUTE(SUBSTITUTE(SUBSTITUTE(SUBSTITUTE(LOWER(TRIM(G515)),"á","a"),"é","e"),"í","i"),"ó","o"),"ú","u"),"ü","u"),"ñ","n"),"à","a"),"è","e"),"ì","i"),"ò","o"),"ù","u"),"")</f>
        <v/>
      </c>
      <c r="U515" s="25">
        <f>IF(AND(Q515=1,H515&lt;&gt;""),SUBSTITUTE(SUBSTITUTE(SUBSTITUTE(SUBSTITUTE(SUBSTITUTE(SUBSTITUTE(SUBSTITUTE(SUBSTITUTE(SUBSTITUTE(SUBSTITUTE(SUBSTITUTE(SUBSTITUTE(LOWER(TRIM(H515)),"á","a"),"é","e"),"í","i"),"ó","o"),"ú","u"),"ü","u"),"ñ","n"),"à","a"),"è","e"),"ì","i"),"ò","o"),"ù","u"),"")</f>
        <v/>
      </c>
      <c r="V515" s="25">
        <f>IF(AND(Q515=1,L515&lt;&gt;""),SUBSTITUTE(SUBSTITUTE(SUBSTITUTE(SUBSTITUTE(SUBSTITUTE(SUBSTITUTE(SUBSTITUTE(SUBSTITUTE(SUBSTITUTE(SUBSTITUTE(SUBSTITUTE(SUBSTITUTE(LOWER(TRIM(L515)),"á","a"),"é","e"),"í","i"),"ó","o"),"ú","u"),"ü","u"),"ñ","n"),"à","a"),"è","e"),"ì","i"),"ò","o"),"ù","u"),"")</f>
        <v/>
      </c>
      <c r="W515" s="25">
        <f>IF(AND(Q515=1,I515&lt;&gt;""),SUBSTITUTE(SUBSTITUTE(SUBSTITUTE(SUBSTITUTE(SUBSTITUTE(SUBSTITUTE(SUBSTITUTE(SUBSTITUTE(SUBSTITUTE(SUBSTITUTE(SUBSTITUTE(SUBSTITUTE(LOWER(TRIM(I515)),"á","a"),"é","e"),"í","i"),"ó","o"),"ú","u"),"ü","u"),"ñ","n"),"à","a"),"è","e"),"ì","i"),"ò","o"),"ù","u"),"")</f>
        <v/>
      </c>
      <c r="X515" s="25">
        <f>IF(U515="","",IF(OR(U515="si, en la proxima tarea",U515="si, con cambios"),1,0))</f>
        <v/>
      </c>
      <c r="Y515" s="25">
        <f>IF(AND(Q515=1,A515&lt;&gt;""),IF(IFERROR(COUNTIFS(A$3:A515,"="&amp;SUBSTITUTE(SUBSTITUTE(SUBSTITUTE(A515,"~","~~"),"*","~*"),"?","~?"),Q$3:Q515,1),0)=1,MAX(Y$2:Y514)+1,""),"")</f>
        <v/>
      </c>
      <c r="Z515" s="25">
        <f>IF(Y515="","",COUNTIFS($A$3:$A$1002,"="&amp;SUBSTITUTE(SUBSTITUTE(SUBSTITUTE(A515,"~","~~"),"*","~*"),"?","~?"),$Q$3:$Q$1002,1)*10000-Y515)</f>
        <v/>
      </c>
    </row>
    <row r="516">
      <c r="A516">
        <f>IF(A$2=0,"",IFERROR(TRIM(INDEX('Pegar docentes'!$A$1:$BZ$1001,515,A$2)&amp;""),""))</f>
        <v/>
      </c>
      <c r="B516">
        <f>IF(B$2=0,"",IFERROR(TRIM(INDEX('Pegar docentes'!$A$1:$BZ$1001,515,B$2)&amp;""),""))</f>
        <v/>
      </c>
      <c r="C516">
        <f>IF(C$2=0,"",IFERROR(TRIM(INDEX('Pegar docentes'!$A$1:$BZ$1001,515,C$2)&amp;""),""))</f>
        <v/>
      </c>
      <c r="D516">
        <f>IF(D$2=0,"",IFERROR(TRIM(INDEX('Pegar docentes'!$A$1:$BZ$1001,515,D$2)&amp;""),""))</f>
        <v/>
      </c>
      <c r="E516">
        <f>IF(E$2=0,"",IFERROR(TRIM(INDEX('Pegar docentes'!$A$1:$BZ$1001,515,E$2)&amp;""),""))</f>
        <v/>
      </c>
      <c r="F516">
        <f>IF(F$2=0,"",IFERROR(TRIM(INDEX('Pegar docentes'!$A$1:$BZ$1001,515,F$2)&amp;""),""))</f>
        <v/>
      </c>
      <c r="G516">
        <f>IF(G$2=0,"",IFERROR(TRIM(INDEX('Pegar docentes'!$A$1:$BZ$1001,515,G$2)&amp;""),""))</f>
        <v/>
      </c>
      <c r="H516">
        <f>IF(H$2=0,"",IFERROR(TRIM(INDEX('Pegar docentes'!$A$1:$BZ$1001,515,H$2)&amp;""),""))</f>
        <v/>
      </c>
      <c r="I516">
        <f>IF(I$2=0,"",IFERROR(TRIM(INDEX('Pegar docentes'!$A$1:$BZ$1001,515,I$2)&amp;""),""))</f>
        <v/>
      </c>
      <c r="J516">
        <f>IF(J$2=0,"",IFERROR(TRIM(INDEX('Pegar docentes'!$A$1:$BZ$1001,515,J$2)&amp;""),""))</f>
        <v/>
      </c>
      <c r="K516">
        <f>IF(K$2=0,"",IFERROR(TRIM(INDEX('Pegar docentes'!$A$1:$BZ$1001,515,K$2)&amp;""),""))</f>
        <v/>
      </c>
      <c r="L516">
        <f>IF(L$2=0,"",IFERROR(TRIM(INDEX('Pegar docentes'!$A$1:$BZ$1001,515,L$2)&amp;""),""))</f>
        <v/>
      </c>
      <c r="M516">
        <f>IF(M$2=0,"",IFERROR(TRIM(INDEX('Pegar docentes'!$A$1:$BZ$1001,515,M$2)&amp;""),""))</f>
        <v/>
      </c>
      <c r="N516">
        <f>IF(N$2=0,"",IFERROR(TRIM(INDEX('Pegar docentes'!$A$1:$BZ$1001,515,N$2)&amp;""),""))</f>
        <v/>
      </c>
      <c r="O516">
        <f>IF(O$2=0,"",IFERROR(TRIM(INDEX('Pegar docentes'!$A$1:$BZ$1001,515,O$2)&amp;""),""))</f>
        <v/>
      </c>
      <c r="P516">
        <f>IF(P$2=0,"",IFERROR(TRIM(INDEX('Pegar docentes'!$A$1:$BZ$1001,515,P$2)&amp;""),""))</f>
        <v/>
      </c>
      <c r="Q516" s="25">
        <f>IF(OR(D516&lt;&gt;"",H516&lt;&gt;""),1,"")</f>
        <v/>
      </c>
      <c r="R516" s="25">
        <f>IF(Q516=1,IF(ISNUMBER(FIND("#"&amp;MID(D516,1,1)&amp;"#","#0#1#2#3#4#5#6#7#8#9#")),IF(ISNUMBER(FIND("#"&amp;MID(D516,2,1)&amp;"#","#0#1#2#3#4#5#6#7#8#9#")),IF(AND(VALUE(LEFT(D516,2))&gt;=1,VALUE(LEFT(D516,2))&lt;=5),VALUE(LEFT(D516,2)),""),IF(AND(VALUE(LEFT(D516,1))&gt;=1,VALUE(LEFT(D516,1))&lt;=5),VALUE(LEFT(D516,1)),"")),""),"")</f>
        <v/>
      </c>
      <c r="S516" s="25">
        <f>IF(AND(Q516=1,E516&lt;&gt;""),SUBSTITUTE(SUBSTITUTE(SUBSTITUTE(SUBSTITUTE(SUBSTITUTE(SUBSTITUTE(SUBSTITUTE(SUBSTITUTE(SUBSTITUTE(SUBSTITUTE(SUBSTITUTE(SUBSTITUTE(LOWER(TRIM(E516)),"á","a"),"é","e"),"í","i"),"ó","o"),"ú","u"),"ü","u"),"ñ","n"),"à","a"),"è","e"),"ì","i"),"ò","o"),"ù","u"),"")</f>
        <v/>
      </c>
      <c r="T516" s="25">
        <f>IF(AND(Q516=1,G516&lt;&gt;""),SUBSTITUTE(SUBSTITUTE(SUBSTITUTE(SUBSTITUTE(SUBSTITUTE(SUBSTITUTE(SUBSTITUTE(SUBSTITUTE(SUBSTITUTE(SUBSTITUTE(SUBSTITUTE(SUBSTITUTE(LOWER(TRIM(G516)),"á","a"),"é","e"),"í","i"),"ó","o"),"ú","u"),"ü","u"),"ñ","n"),"à","a"),"è","e"),"ì","i"),"ò","o"),"ù","u"),"")</f>
        <v/>
      </c>
      <c r="U516" s="25">
        <f>IF(AND(Q516=1,H516&lt;&gt;""),SUBSTITUTE(SUBSTITUTE(SUBSTITUTE(SUBSTITUTE(SUBSTITUTE(SUBSTITUTE(SUBSTITUTE(SUBSTITUTE(SUBSTITUTE(SUBSTITUTE(SUBSTITUTE(SUBSTITUTE(LOWER(TRIM(H516)),"á","a"),"é","e"),"í","i"),"ó","o"),"ú","u"),"ü","u"),"ñ","n"),"à","a"),"è","e"),"ì","i"),"ò","o"),"ù","u"),"")</f>
        <v/>
      </c>
      <c r="V516" s="25">
        <f>IF(AND(Q516=1,L516&lt;&gt;""),SUBSTITUTE(SUBSTITUTE(SUBSTITUTE(SUBSTITUTE(SUBSTITUTE(SUBSTITUTE(SUBSTITUTE(SUBSTITUTE(SUBSTITUTE(SUBSTITUTE(SUBSTITUTE(SUBSTITUTE(LOWER(TRIM(L516)),"á","a"),"é","e"),"í","i"),"ó","o"),"ú","u"),"ü","u"),"ñ","n"),"à","a"),"è","e"),"ì","i"),"ò","o"),"ù","u"),"")</f>
        <v/>
      </c>
      <c r="W516" s="25">
        <f>IF(AND(Q516=1,I516&lt;&gt;""),SUBSTITUTE(SUBSTITUTE(SUBSTITUTE(SUBSTITUTE(SUBSTITUTE(SUBSTITUTE(SUBSTITUTE(SUBSTITUTE(SUBSTITUTE(SUBSTITUTE(SUBSTITUTE(SUBSTITUTE(LOWER(TRIM(I516)),"á","a"),"é","e"),"í","i"),"ó","o"),"ú","u"),"ü","u"),"ñ","n"),"à","a"),"è","e"),"ì","i"),"ò","o"),"ù","u"),"")</f>
        <v/>
      </c>
      <c r="X516" s="25">
        <f>IF(U516="","",IF(OR(U516="si, en la proxima tarea",U516="si, con cambios"),1,0))</f>
        <v/>
      </c>
      <c r="Y516" s="25">
        <f>IF(AND(Q516=1,A516&lt;&gt;""),IF(IFERROR(COUNTIFS(A$3:A516,"="&amp;SUBSTITUTE(SUBSTITUTE(SUBSTITUTE(A516,"~","~~"),"*","~*"),"?","~?"),Q$3:Q516,1),0)=1,MAX(Y$2:Y515)+1,""),"")</f>
        <v/>
      </c>
      <c r="Z516" s="25">
        <f>IF(Y516="","",COUNTIFS($A$3:$A$1002,"="&amp;SUBSTITUTE(SUBSTITUTE(SUBSTITUTE(A516,"~","~~"),"*","~*"),"?","~?"),$Q$3:$Q$1002,1)*10000-Y516)</f>
        <v/>
      </c>
    </row>
    <row r="517">
      <c r="A517">
        <f>IF(A$2=0,"",IFERROR(TRIM(INDEX('Pegar docentes'!$A$1:$BZ$1001,516,A$2)&amp;""),""))</f>
        <v/>
      </c>
      <c r="B517">
        <f>IF(B$2=0,"",IFERROR(TRIM(INDEX('Pegar docentes'!$A$1:$BZ$1001,516,B$2)&amp;""),""))</f>
        <v/>
      </c>
      <c r="C517">
        <f>IF(C$2=0,"",IFERROR(TRIM(INDEX('Pegar docentes'!$A$1:$BZ$1001,516,C$2)&amp;""),""))</f>
        <v/>
      </c>
      <c r="D517">
        <f>IF(D$2=0,"",IFERROR(TRIM(INDEX('Pegar docentes'!$A$1:$BZ$1001,516,D$2)&amp;""),""))</f>
        <v/>
      </c>
      <c r="E517">
        <f>IF(E$2=0,"",IFERROR(TRIM(INDEX('Pegar docentes'!$A$1:$BZ$1001,516,E$2)&amp;""),""))</f>
        <v/>
      </c>
      <c r="F517">
        <f>IF(F$2=0,"",IFERROR(TRIM(INDEX('Pegar docentes'!$A$1:$BZ$1001,516,F$2)&amp;""),""))</f>
        <v/>
      </c>
      <c r="G517">
        <f>IF(G$2=0,"",IFERROR(TRIM(INDEX('Pegar docentes'!$A$1:$BZ$1001,516,G$2)&amp;""),""))</f>
        <v/>
      </c>
      <c r="H517">
        <f>IF(H$2=0,"",IFERROR(TRIM(INDEX('Pegar docentes'!$A$1:$BZ$1001,516,H$2)&amp;""),""))</f>
        <v/>
      </c>
      <c r="I517">
        <f>IF(I$2=0,"",IFERROR(TRIM(INDEX('Pegar docentes'!$A$1:$BZ$1001,516,I$2)&amp;""),""))</f>
        <v/>
      </c>
      <c r="J517">
        <f>IF(J$2=0,"",IFERROR(TRIM(INDEX('Pegar docentes'!$A$1:$BZ$1001,516,J$2)&amp;""),""))</f>
        <v/>
      </c>
      <c r="K517">
        <f>IF(K$2=0,"",IFERROR(TRIM(INDEX('Pegar docentes'!$A$1:$BZ$1001,516,K$2)&amp;""),""))</f>
        <v/>
      </c>
      <c r="L517">
        <f>IF(L$2=0,"",IFERROR(TRIM(INDEX('Pegar docentes'!$A$1:$BZ$1001,516,L$2)&amp;""),""))</f>
        <v/>
      </c>
      <c r="M517">
        <f>IF(M$2=0,"",IFERROR(TRIM(INDEX('Pegar docentes'!$A$1:$BZ$1001,516,M$2)&amp;""),""))</f>
        <v/>
      </c>
      <c r="N517">
        <f>IF(N$2=0,"",IFERROR(TRIM(INDEX('Pegar docentes'!$A$1:$BZ$1001,516,N$2)&amp;""),""))</f>
        <v/>
      </c>
      <c r="O517">
        <f>IF(O$2=0,"",IFERROR(TRIM(INDEX('Pegar docentes'!$A$1:$BZ$1001,516,O$2)&amp;""),""))</f>
        <v/>
      </c>
      <c r="P517">
        <f>IF(P$2=0,"",IFERROR(TRIM(INDEX('Pegar docentes'!$A$1:$BZ$1001,516,P$2)&amp;""),""))</f>
        <v/>
      </c>
      <c r="Q517" s="25">
        <f>IF(OR(D517&lt;&gt;"",H517&lt;&gt;""),1,"")</f>
        <v/>
      </c>
      <c r="R517" s="25">
        <f>IF(Q517=1,IF(ISNUMBER(FIND("#"&amp;MID(D517,1,1)&amp;"#","#0#1#2#3#4#5#6#7#8#9#")),IF(ISNUMBER(FIND("#"&amp;MID(D517,2,1)&amp;"#","#0#1#2#3#4#5#6#7#8#9#")),IF(AND(VALUE(LEFT(D517,2))&gt;=1,VALUE(LEFT(D517,2))&lt;=5),VALUE(LEFT(D517,2)),""),IF(AND(VALUE(LEFT(D517,1))&gt;=1,VALUE(LEFT(D517,1))&lt;=5),VALUE(LEFT(D517,1)),"")),""),"")</f>
        <v/>
      </c>
      <c r="S517" s="25">
        <f>IF(AND(Q517=1,E517&lt;&gt;""),SUBSTITUTE(SUBSTITUTE(SUBSTITUTE(SUBSTITUTE(SUBSTITUTE(SUBSTITUTE(SUBSTITUTE(SUBSTITUTE(SUBSTITUTE(SUBSTITUTE(SUBSTITUTE(SUBSTITUTE(LOWER(TRIM(E517)),"á","a"),"é","e"),"í","i"),"ó","o"),"ú","u"),"ü","u"),"ñ","n"),"à","a"),"è","e"),"ì","i"),"ò","o"),"ù","u"),"")</f>
        <v/>
      </c>
      <c r="T517" s="25">
        <f>IF(AND(Q517=1,G517&lt;&gt;""),SUBSTITUTE(SUBSTITUTE(SUBSTITUTE(SUBSTITUTE(SUBSTITUTE(SUBSTITUTE(SUBSTITUTE(SUBSTITUTE(SUBSTITUTE(SUBSTITUTE(SUBSTITUTE(SUBSTITUTE(LOWER(TRIM(G517)),"á","a"),"é","e"),"í","i"),"ó","o"),"ú","u"),"ü","u"),"ñ","n"),"à","a"),"è","e"),"ì","i"),"ò","o"),"ù","u"),"")</f>
        <v/>
      </c>
      <c r="U517" s="25">
        <f>IF(AND(Q517=1,H517&lt;&gt;""),SUBSTITUTE(SUBSTITUTE(SUBSTITUTE(SUBSTITUTE(SUBSTITUTE(SUBSTITUTE(SUBSTITUTE(SUBSTITUTE(SUBSTITUTE(SUBSTITUTE(SUBSTITUTE(SUBSTITUTE(LOWER(TRIM(H517)),"á","a"),"é","e"),"í","i"),"ó","o"),"ú","u"),"ü","u"),"ñ","n"),"à","a"),"è","e"),"ì","i"),"ò","o"),"ù","u"),"")</f>
        <v/>
      </c>
      <c r="V517" s="25">
        <f>IF(AND(Q517=1,L517&lt;&gt;""),SUBSTITUTE(SUBSTITUTE(SUBSTITUTE(SUBSTITUTE(SUBSTITUTE(SUBSTITUTE(SUBSTITUTE(SUBSTITUTE(SUBSTITUTE(SUBSTITUTE(SUBSTITUTE(SUBSTITUTE(LOWER(TRIM(L517)),"á","a"),"é","e"),"í","i"),"ó","o"),"ú","u"),"ü","u"),"ñ","n"),"à","a"),"è","e"),"ì","i"),"ò","o"),"ù","u"),"")</f>
        <v/>
      </c>
      <c r="W517" s="25">
        <f>IF(AND(Q517=1,I517&lt;&gt;""),SUBSTITUTE(SUBSTITUTE(SUBSTITUTE(SUBSTITUTE(SUBSTITUTE(SUBSTITUTE(SUBSTITUTE(SUBSTITUTE(SUBSTITUTE(SUBSTITUTE(SUBSTITUTE(SUBSTITUTE(LOWER(TRIM(I517)),"á","a"),"é","e"),"í","i"),"ó","o"),"ú","u"),"ü","u"),"ñ","n"),"à","a"),"è","e"),"ì","i"),"ò","o"),"ù","u"),"")</f>
        <v/>
      </c>
      <c r="X517" s="25">
        <f>IF(U517="","",IF(OR(U517="si, en la proxima tarea",U517="si, con cambios"),1,0))</f>
        <v/>
      </c>
      <c r="Y517" s="25">
        <f>IF(AND(Q517=1,A517&lt;&gt;""),IF(IFERROR(COUNTIFS(A$3:A517,"="&amp;SUBSTITUTE(SUBSTITUTE(SUBSTITUTE(A517,"~","~~"),"*","~*"),"?","~?"),Q$3:Q517,1),0)=1,MAX(Y$2:Y516)+1,""),"")</f>
        <v/>
      </c>
      <c r="Z517" s="25">
        <f>IF(Y517="","",COUNTIFS($A$3:$A$1002,"="&amp;SUBSTITUTE(SUBSTITUTE(SUBSTITUTE(A517,"~","~~"),"*","~*"),"?","~?"),$Q$3:$Q$1002,1)*10000-Y517)</f>
        <v/>
      </c>
    </row>
    <row r="518">
      <c r="A518">
        <f>IF(A$2=0,"",IFERROR(TRIM(INDEX('Pegar docentes'!$A$1:$BZ$1001,517,A$2)&amp;""),""))</f>
        <v/>
      </c>
      <c r="B518">
        <f>IF(B$2=0,"",IFERROR(TRIM(INDEX('Pegar docentes'!$A$1:$BZ$1001,517,B$2)&amp;""),""))</f>
        <v/>
      </c>
      <c r="C518">
        <f>IF(C$2=0,"",IFERROR(TRIM(INDEX('Pegar docentes'!$A$1:$BZ$1001,517,C$2)&amp;""),""))</f>
        <v/>
      </c>
      <c r="D518">
        <f>IF(D$2=0,"",IFERROR(TRIM(INDEX('Pegar docentes'!$A$1:$BZ$1001,517,D$2)&amp;""),""))</f>
        <v/>
      </c>
      <c r="E518">
        <f>IF(E$2=0,"",IFERROR(TRIM(INDEX('Pegar docentes'!$A$1:$BZ$1001,517,E$2)&amp;""),""))</f>
        <v/>
      </c>
      <c r="F518">
        <f>IF(F$2=0,"",IFERROR(TRIM(INDEX('Pegar docentes'!$A$1:$BZ$1001,517,F$2)&amp;""),""))</f>
        <v/>
      </c>
      <c r="G518">
        <f>IF(G$2=0,"",IFERROR(TRIM(INDEX('Pegar docentes'!$A$1:$BZ$1001,517,G$2)&amp;""),""))</f>
        <v/>
      </c>
      <c r="H518">
        <f>IF(H$2=0,"",IFERROR(TRIM(INDEX('Pegar docentes'!$A$1:$BZ$1001,517,H$2)&amp;""),""))</f>
        <v/>
      </c>
      <c r="I518">
        <f>IF(I$2=0,"",IFERROR(TRIM(INDEX('Pegar docentes'!$A$1:$BZ$1001,517,I$2)&amp;""),""))</f>
        <v/>
      </c>
      <c r="J518">
        <f>IF(J$2=0,"",IFERROR(TRIM(INDEX('Pegar docentes'!$A$1:$BZ$1001,517,J$2)&amp;""),""))</f>
        <v/>
      </c>
      <c r="K518">
        <f>IF(K$2=0,"",IFERROR(TRIM(INDEX('Pegar docentes'!$A$1:$BZ$1001,517,K$2)&amp;""),""))</f>
        <v/>
      </c>
      <c r="L518">
        <f>IF(L$2=0,"",IFERROR(TRIM(INDEX('Pegar docentes'!$A$1:$BZ$1001,517,L$2)&amp;""),""))</f>
        <v/>
      </c>
      <c r="M518">
        <f>IF(M$2=0,"",IFERROR(TRIM(INDEX('Pegar docentes'!$A$1:$BZ$1001,517,M$2)&amp;""),""))</f>
        <v/>
      </c>
      <c r="N518">
        <f>IF(N$2=0,"",IFERROR(TRIM(INDEX('Pegar docentes'!$A$1:$BZ$1001,517,N$2)&amp;""),""))</f>
        <v/>
      </c>
      <c r="O518">
        <f>IF(O$2=0,"",IFERROR(TRIM(INDEX('Pegar docentes'!$A$1:$BZ$1001,517,O$2)&amp;""),""))</f>
        <v/>
      </c>
      <c r="P518">
        <f>IF(P$2=0,"",IFERROR(TRIM(INDEX('Pegar docentes'!$A$1:$BZ$1001,517,P$2)&amp;""),""))</f>
        <v/>
      </c>
      <c r="Q518" s="25">
        <f>IF(OR(D518&lt;&gt;"",H518&lt;&gt;""),1,"")</f>
        <v/>
      </c>
      <c r="R518" s="25">
        <f>IF(Q518=1,IF(ISNUMBER(FIND("#"&amp;MID(D518,1,1)&amp;"#","#0#1#2#3#4#5#6#7#8#9#")),IF(ISNUMBER(FIND("#"&amp;MID(D518,2,1)&amp;"#","#0#1#2#3#4#5#6#7#8#9#")),IF(AND(VALUE(LEFT(D518,2))&gt;=1,VALUE(LEFT(D518,2))&lt;=5),VALUE(LEFT(D518,2)),""),IF(AND(VALUE(LEFT(D518,1))&gt;=1,VALUE(LEFT(D518,1))&lt;=5),VALUE(LEFT(D518,1)),"")),""),"")</f>
        <v/>
      </c>
      <c r="S518" s="25">
        <f>IF(AND(Q518=1,E518&lt;&gt;""),SUBSTITUTE(SUBSTITUTE(SUBSTITUTE(SUBSTITUTE(SUBSTITUTE(SUBSTITUTE(SUBSTITUTE(SUBSTITUTE(SUBSTITUTE(SUBSTITUTE(SUBSTITUTE(SUBSTITUTE(LOWER(TRIM(E518)),"á","a"),"é","e"),"í","i"),"ó","o"),"ú","u"),"ü","u"),"ñ","n"),"à","a"),"è","e"),"ì","i"),"ò","o"),"ù","u"),"")</f>
        <v/>
      </c>
      <c r="T518" s="25">
        <f>IF(AND(Q518=1,G518&lt;&gt;""),SUBSTITUTE(SUBSTITUTE(SUBSTITUTE(SUBSTITUTE(SUBSTITUTE(SUBSTITUTE(SUBSTITUTE(SUBSTITUTE(SUBSTITUTE(SUBSTITUTE(SUBSTITUTE(SUBSTITUTE(LOWER(TRIM(G518)),"á","a"),"é","e"),"í","i"),"ó","o"),"ú","u"),"ü","u"),"ñ","n"),"à","a"),"è","e"),"ì","i"),"ò","o"),"ù","u"),"")</f>
        <v/>
      </c>
      <c r="U518" s="25">
        <f>IF(AND(Q518=1,H518&lt;&gt;""),SUBSTITUTE(SUBSTITUTE(SUBSTITUTE(SUBSTITUTE(SUBSTITUTE(SUBSTITUTE(SUBSTITUTE(SUBSTITUTE(SUBSTITUTE(SUBSTITUTE(SUBSTITUTE(SUBSTITUTE(LOWER(TRIM(H518)),"á","a"),"é","e"),"í","i"),"ó","o"),"ú","u"),"ü","u"),"ñ","n"),"à","a"),"è","e"),"ì","i"),"ò","o"),"ù","u"),"")</f>
        <v/>
      </c>
      <c r="V518" s="25">
        <f>IF(AND(Q518=1,L518&lt;&gt;""),SUBSTITUTE(SUBSTITUTE(SUBSTITUTE(SUBSTITUTE(SUBSTITUTE(SUBSTITUTE(SUBSTITUTE(SUBSTITUTE(SUBSTITUTE(SUBSTITUTE(SUBSTITUTE(SUBSTITUTE(LOWER(TRIM(L518)),"á","a"),"é","e"),"í","i"),"ó","o"),"ú","u"),"ü","u"),"ñ","n"),"à","a"),"è","e"),"ì","i"),"ò","o"),"ù","u"),"")</f>
        <v/>
      </c>
      <c r="W518" s="25">
        <f>IF(AND(Q518=1,I518&lt;&gt;""),SUBSTITUTE(SUBSTITUTE(SUBSTITUTE(SUBSTITUTE(SUBSTITUTE(SUBSTITUTE(SUBSTITUTE(SUBSTITUTE(SUBSTITUTE(SUBSTITUTE(SUBSTITUTE(SUBSTITUTE(LOWER(TRIM(I518)),"á","a"),"é","e"),"í","i"),"ó","o"),"ú","u"),"ü","u"),"ñ","n"),"à","a"),"è","e"),"ì","i"),"ò","o"),"ù","u"),"")</f>
        <v/>
      </c>
      <c r="X518" s="25">
        <f>IF(U518="","",IF(OR(U518="si, en la proxima tarea",U518="si, con cambios"),1,0))</f>
        <v/>
      </c>
      <c r="Y518" s="25">
        <f>IF(AND(Q518=1,A518&lt;&gt;""),IF(IFERROR(COUNTIFS(A$3:A518,"="&amp;SUBSTITUTE(SUBSTITUTE(SUBSTITUTE(A518,"~","~~"),"*","~*"),"?","~?"),Q$3:Q518,1),0)=1,MAX(Y$2:Y517)+1,""),"")</f>
        <v/>
      </c>
      <c r="Z518" s="25">
        <f>IF(Y518="","",COUNTIFS($A$3:$A$1002,"="&amp;SUBSTITUTE(SUBSTITUTE(SUBSTITUTE(A518,"~","~~"),"*","~*"),"?","~?"),$Q$3:$Q$1002,1)*10000-Y518)</f>
        <v/>
      </c>
    </row>
    <row r="519">
      <c r="A519">
        <f>IF(A$2=0,"",IFERROR(TRIM(INDEX('Pegar docentes'!$A$1:$BZ$1001,518,A$2)&amp;""),""))</f>
        <v/>
      </c>
      <c r="B519">
        <f>IF(B$2=0,"",IFERROR(TRIM(INDEX('Pegar docentes'!$A$1:$BZ$1001,518,B$2)&amp;""),""))</f>
        <v/>
      </c>
      <c r="C519">
        <f>IF(C$2=0,"",IFERROR(TRIM(INDEX('Pegar docentes'!$A$1:$BZ$1001,518,C$2)&amp;""),""))</f>
        <v/>
      </c>
      <c r="D519">
        <f>IF(D$2=0,"",IFERROR(TRIM(INDEX('Pegar docentes'!$A$1:$BZ$1001,518,D$2)&amp;""),""))</f>
        <v/>
      </c>
      <c r="E519">
        <f>IF(E$2=0,"",IFERROR(TRIM(INDEX('Pegar docentes'!$A$1:$BZ$1001,518,E$2)&amp;""),""))</f>
        <v/>
      </c>
      <c r="F519">
        <f>IF(F$2=0,"",IFERROR(TRIM(INDEX('Pegar docentes'!$A$1:$BZ$1001,518,F$2)&amp;""),""))</f>
        <v/>
      </c>
      <c r="G519">
        <f>IF(G$2=0,"",IFERROR(TRIM(INDEX('Pegar docentes'!$A$1:$BZ$1001,518,G$2)&amp;""),""))</f>
        <v/>
      </c>
      <c r="H519">
        <f>IF(H$2=0,"",IFERROR(TRIM(INDEX('Pegar docentes'!$A$1:$BZ$1001,518,H$2)&amp;""),""))</f>
        <v/>
      </c>
      <c r="I519">
        <f>IF(I$2=0,"",IFERROR(TRIM(INDEX('Pegar docentes'!$A$1:$BZ$1001,518,I$2)&amp;""),""))</f>
        <v/>
      </c>
      <c r="J519">
        <f>IF(J$2=0,"",IFERROR(TRIM(INDEX('Pegar docentes'!$A$1:$BZ$1001,518,J$2)&amp;""),""))</f>
        <v/>
      </c>
      <c r="K519">
        <f>IF(K$2=0,"",IFERROR(TRIM(INDEX('Pegar docentes'!$A$1:$BZ$1001,518,K$2)&amp;""),""))</f>
        <v/>
      </c>
      <c r="L519">
        <f>IF(L$2=0,"",IFERROR(TRIM(INDEX('Pegar docentes'!$A$1:$BZ$1001,518,L$2)&amp;""),""))</f>
        <v/>
      </c>
      <c r="M519">
        <f>IF(M$2=0,"",IFERROR(TRIM(INDEX('Pegar docentes'!$A$1:$BZ$1001,518,M$2)&amp;""),""))</f>
        <v/>
      </c>
      <c r="N519">
        <f>IF(N$2=0,"",IFERROR(TRIM(INDEX('Pegar docentes'!$A$1:$BZ$1001,518,N$2)&amp;""),""))</f>
        <v/>
      </c>
      <c r="O519">
        <f>IF(O$2=0,"",IFERROR(TRIM(INDEX('Pegar docentes'!$A$1:$BZ$1001,518,O$2)&amp;""),""))</f>
        <v/>
      </c>
      <c r="P519">
        <f>IF(P$2=0,"",IFERROR(TRIM(INDEX('Pegar docentes'!$A$1:$BZ$1001,518,P$2)&amp;""),""))</f>
        <v/>
      </c>
      <c r="Q519" s="25">
        <f>IF(OR(D519&lt;&gt;"",H519&lt;&gt;""),1,"")</f>
        <v/>
      </c>
      <c r="R519" s="25">
        <f>IF(Q519=1,IF(ISNUMBER(FIND("#"&amp;MID(D519,1,1)&amp;"#","#0#1#2#3#4#5#6#7#8#9#")),IF(ISNUMBER(FIND("#"&amp;MID(D519,2,1)&amp;"#","#0#1#2#3#4#5#6#7#8#9#")),IF(AND(VALUE(LEFT(D519,2))&gt;=1,VALUE(LEFT(D519,2))&lt;=5),VALUE(LEFT(D519,2)),""),IF(AND(VALUE(LEFT(D519,1))&gt;=1,VALUE(LEFT(D519,1))&lt;=5),VALUE(LEFT(D519,1)),"")),""),"")</f>
        <v/>
      </c>
      <c r="S519" s="25">
        <f>IF(AND(Q519=1,E519&lt;&gt;""),SUBSTITUTE(SUBSTITUTE(SUBSTITUTE(SUBSTITUTE(SUBSTITUTE(SUBSTITUTE(SUBSTITUTE(SUBSTITUTE(SUBSTITUTE(SUBSTITUTE(SUBSTITUTE(SUBSTITUTE(LOWER(TRIM(E519)),"á","a"),"é","e"),"í","i"),"ó","o"),"ú","u"),"ü","u"),"ñ","n"),"à","a"),"è","e"),"ì","i"),"ò","o"),"ù","u"),"")</f>
        <v/>
      </c>
      <c r="T519" s="25">
        <f>IF(AND(Q519=1,G519&lt;&gt;""),SUBSTITUTE(SUBSTITUTE(SUBSTITUTE(SUBSTITUTE(SUBSTITUTE(SUBSTITUTE(SUBSTITUTE(SUBSTITUTE(SUBSTITUTE(SUBSTITUTE(SUBSTITUTE(SUBSTITUTE(LOWER(TRIM(G519)),"á","a"),"é","e"),"í","i"),"ó","o"),"ú","u"),"ü","u"),"ñ","n"),"à","a"),"è","e"),"ì","i"),"ò","o"),"ù","u"),"")</f>
        <v/>
      </c>
      <c r="U519" s="25">
        <f>IF(AND(Q519=1,H519&lt;&gt;""),SUBSTITUTE(SUBSTITUTE(SUBSTITUTE(SUBSTITUTE(SUBSTITUTE(SUBSTITUTE(SUBSTITUTE(SUBSTITUTE(SUBSTITUTE(SUBSTITUTE(SUBSTITUTE(SUBSTITUTE(LOWER(TRIM(H519)),"á","a"),"é","e"),"í","i"),"ó","o"),"ú","u"),"ü","u"),"ñ","n"),"à","a"),"è","e"),"ì","i"),"ò","o"),"ù","u"),"")</f>
        <v/>
      </c>
      <c r="V519" s="25">
        <f>IF(AND(Q519=1,L519&lt;&gt;""),SUBSTITUTE(SUBSTITUTE(SUBSTITUTE(SUBSTITUTE(SUBSTITUTE(SUBSTITUTE(SUBSTITUTE(SUBSTITUTE(SUBSTITUTE(SUBSTITUTE(SUBSTITUTE(SUBSTITUTE(LOWER(TRIM(L519)),"á","a"),"é","e"),"í","i"),"ó","o"),"ú","u"),"ü","u"),"ñ","n"),"à","a"),"è","e"),"ì","i"),"ò","o"),"ù","u"),"")</f>
        <v/>
      </c>
      <c r="W519" s="25">
        <f>IF(AND(Q519=1,I519&lt;&gt;""),SUBSTITUTE(SUBSTITUTE(SUBSTITUTE(SUBSTITUTE(SUBSTITUTE(SUBSTITUTE(SUBSTITUTE(SUBSTITUTE(SUBSTITUTE(SUBSTITUTE(SUBSTITUTE(SUBSTITUTE(LOWER(TRIM(I519)),"á","a"),"é","e"),"í","i"),"ó","o"),"ú","u"),"ü","u"),"ñ","n"),"à","a"),"è","e"),"ì","i"),"ò","o"),"ù","u"),"")</f>
        <v/>
      </c>
      <c r="X519" s="25">
        <f>IF(U519="","",IF(OR(U519="si, en la proxima tarea",U519="si, con cambios"),1,0))</f>
        <v/>
      </c>
      <c r="Y519" s="25">
        <f>IF(AND(Q519=1,A519&lt;&gt;""),IF(IFERROR(COUNTIFS(A$3:A519,"="&amp;SUBSTITUTE(SUBSTITUTE(SUBSTITUTE(A519,"~","~~"),"*","~*"),"?","~?"),Q$3:Q519,1),0)=1,MAX(Y$2:Y518)+1,""),"")</f>
        <v/>
      </c>
      <c r="Z519" s="25">
        <f>IF(Y519="","",COUNTIFS($A$3:$A$1002,"="&amp;SUBSTITUTE(SUBSTITUTE(SUBSTITUTE(A519,"~","~~"),"*","~*"),"?","~?"),$Q$3:$Q$1002,1)*10000-Y519)</f>
        <v/>
      </c>
    </row>
    <row r="520">
      <c r="A520">
        <f>IF(A$2=0,"",IFERROR(TRIM(INDEX('Pegar docentes'!$A$1:$BZ$1001,519,A$2)&amp;""),""))</f>
        <v/>
      </c>
      <c r="B520">
        <f>IF(B$2=0,"",IFERROR(TRIM(INDEX('Pegar docentes'!$A$1:$BZ$1001,519,B$2)&amp;""),""))</f>
        <v/>
      </c>
      <c r="C520">
        <f>IF(C$2=0,"",IFERROR(TRIM(INDEX('Pegar docentes'!$A$1:$BZ$1001,519,C$2)&amp;""),""))</f>
        <v/>
      </c>
      <c r="D520">
        <f>IF(D$2=0,"",IFERROR(TRIM(INDEX('Pegar docentes'!$A$1:$BZ$1001,519,D$2)&amp;""),""))</f>
        <v/>
      </c>
      <c r="E520">
        <f>IF(E$2=0,"",IFERROR(TRIM(INDEX('Pegar docentes'!$A$1:$BZ$1001,519,E$2)&amp;""),""))</f>
        <v/>
      </c>
      <c r="F520">
        <f>IF(F$2=0,"",IFERROR(TRIM(INDEX('Pegar docentes'!$A$1:$BZ$1001,519,F$2)&amp;""),""))</f>
        <v/>
      </c>
      <c r="G520">
        <f>IF(G$2=0,"",IFERROR(TRIM(INDEX('Pegar docentes'!$A$1:$BZ$1001,519,G$2)&amp;""),""))</f>
        <v/>
      </c>
      <c r="H520">
        <f>IF(H$2=0,"",IFERROR(TRIM(INDEX('Pegar docentes'!$A$1:$BZ$1001,519,H$2)&amp;""),""))</f>
        <v/>
      </c>
      <c r="I520">
        <f>IF(I$2=0,"",IFERROR(TRIM(INDEX('Pegar docentes'!$A$1:$BZ$1001,519,I$2)&amp;""),""))</f>
        <v/>
      </c>
      <c r="J520">
        <f>IF(J$2=0,"",IFERROR(TRIM(INDEX('Pegar docentes'!$A$1:$BZ$1001,519,J$2)&amp;""),""))</f>
        <v/>
      </c>
      <c r="K520">
        <f>IF(K$2=0,"",IFERROR(TRIM(INDEX('Pegar docentes'!$A$1:$BZ$1001,519,K$2)&amp;""),""))</f>
        <v/>
      </c>
      <c r="L520">
        <f>IF(L$2=0,"",IFERROR(TRIM(INDEX('Pegar docentes'!$A$1:$BZ$1001,519,L$2)&amp;""),""))</f>
        <v/>
      </c>
      <c r="M520">
        <f>IF(M$2=0,"",IFERROR(TRIM(INDEX('Pegar docentes'!$A$1:$BZ$1001,519,M$2)&amp;""),""))</f>
        <v/>
      </c>
      <c r="N520">
        <f>IF(N$2=0,"",IFERROR(TRIM(INDEX('Pegar docentes'!$A$1:$BZ$1001,519,N$2)&amp;""),""))</f>
        <v/>
      </c>
      <c r="O520">
        <f>IF(O$2=0,"",IFERROR(TRIM(INDEX('Pegar docentes'!$A$1:$BZ$1001,519,O$2)&amp;""),""))</f>
        <v/>
      </c>
      <c r="P520">
        <f>IF(P$2=0,"",IFERROR(TRIM(INDEX('Pegar docentes'!$A$1:$BZ$1001,519,P$2)&amp;""),""))</f>
        <v/>
      </c>
      <c r="Q520" s="25">
        <f>IF(OR(D520&lt;&gt;"",H520&lt;&gt;""),1,"")</f>
        <v/>
      </c>
      <c r="R520" s="25">
        <f>IF(Q520=1,IF(ISNUMBER(FIND("#"&amp;MID(D520,1,1)&amp;"#","#0#1#2#3#4#5#6#7#8#9#")),IF(ISNUMBER(FIND("#"&amp;MID(D520,2,1)&amp;"#","#0#1#2#3#4#5#6#7#8#9#")),IF(AND(VALUE(LEFT(D520,2))&gt;=1,VALUE(LEFT(D520,2))&lt;=5),VALUE(LEFT(D520,2)),""),IF(AND(VALUE(LEFT(D520,1))&gt;=1,VALUE(LEFT(D520,1))&lt;=5),VALUE(LEFT(D520,1)),"")),""),"")</f>
        <v/>
      </c>
      <c r="S520" s="25">
        <f>IF(AND(Q520=1,E520&lt;&gt;""),SUBSTITUTE(SUBSTITUTE(SUBSTITUTE(SUBSTITUTE(SUBSTITUTE(SUBSTITUTE(SUBSTITUTE(SUBSTITUTE(SUBSTITUTE(SUBSTITUTE(SUBSTITUTE(SUBSTITUTE(LOWER(TRIM(E520)),"á","a"),"é","e"),"í","i"),"ó","o"),"ú","u"),"ü","u"),"ñ","n"),"à","a"),"è","e"),"ì","i"),"ò","o"),"ù","u"),"")</f>
        <v/>
      </c>
      <c r="T520" s="25">
        <f>IF(AND(Q520=1,G520&lt;&gt;""),SUBSTITUTE(SUBSTITUTE(SUBSTITUTE(SUBSTITUTE(SUBSTITUTE(SUBSTITUTE(SUBSTITUTE(SUBSTITUTE(SUBSTITUTE(SUBSTITUTE(SUBSTITUTE(SUBSTITUTE(LOWER(TRIM(G520)),"á","a"),"é","e"),"í","i"),"ó","o"),"ú","u"),"ü","u"),"ñ","n"),"à","a"),"è","e"),"ì","i"),"ò","o"),"ù","u"),"")</f>
        <v/>
      </c>
      <c r="U520" s="25">
        <f>IF(AND(Q520=1,H520&lt;&gt;""),SUBSTITUTE(SUBSTITUTE(SUBSTITUTE(SUBSTITUTE(SUBSTITUTE(SUBSTITUTE(SUBSTITUTE(SUBSTITUTE(SUBSTITUTE(SUBSTITUTE(SUBSTITUTE(SUBSTITUTE(LOWER(TRIM(H520)),"á","a"),"é","e"),"í","i"),"ó","o"),"ú","u"),"ü","u"),"ñ","n"),"à","a"),"è","e"),"ì","i"),"ò","o"),"ù","u"),"")</f>
        <v/>
      </c>
      <c r="V520" s="25">
        <f>IF(AND(Q520=1,L520&lt;&gt;""),SUBSTITUTE(SUBSTITUTE(SUBSTITUTE(SUBSTITUTE(SUBSTITUTE(SUBSTITUTE(SUBSTITUTE(SUBSTITUTE(SUBSTITUTE(SUBSTITUTE(SUBSTITUTE(SUBSTITUTE(LOWER(TRIM(L520)),"á","a"),"é","e"),"í","i"),"ó","o"),"ú","u"),"ü","u"),"ñ","n"),"à","a"),"è","e"),"ì","i"),"ò","o"),"ù","u"),"")</f>
        <v/>
      </c>
      <c r="W520" s="25">
        <f>IF(AND(Q520=1,I520&lt;&gt;""),SUBSTITUTE(SUBSTITUTE(SUBSTITUTE(SUBSTITUTE(SUBSTITUTE(SUBSTITUTE(SUBSTITUTE(SUBSTITUTE(SUBSTITUTE(SUBSTITUTE(SUBSTITUTE(SUBSTITUTE(LOWER(TRIM(I520)),"á","a"),"é","e"),"í","i"),"ó","o"),"ú","u"),"ü","u"),"ñ","n"),"à","a"),"è","e"),"ì","i"),"ò","o"),"ù","u"),"")</f>
        <v/>
      </c>
      <c r="X520" s="25">
        <f>IF(U520="","",IF(OR(U520="si, en la proxima tarea",U520="si, con cambios"),1,0))</f>
        <v/>
      </c>
      <c r="Y520" s="25">
        <f>IF(AND(Q520=1,A520&lt;&gt;""),IF(IFERROR(COUNTIFS(A$3:A520,"="&amp;SUBSTITUTE(SUBSTITUTE(SUBSTITUTE(A520,"~","~~"),"*","~*"),"?","~?"),Q$3:Q520,1),0)=1,MAX(Y$2:Y519)+1,""),"")</f>
        <v/>
      </c>
      <c r="Z520" s="25">
        <f>IF(Y520="","",COUNTIFS($A$3:$A$1002,"="&amp;SUBSTITUTE(SUBSTITUTE(SUBSTITUTE(A520,"~","~~"),"*","~*"),"?","~?"),$Q$3:$Q$1002,1)*10000-Y520)</f>
        <v/>
      </c>
    </row>
    <row r="521">
      <c r="A521">
        <f>IF(A$2=0,"",IFERROR(TRIM(INDEX('Pegar docentes'!$A$1:$BZ$1001,520,A$2)&amp;""),""))</f>
        <v/>
      </c>
      <c r="B521">
        <f>IF(B$2=0,"",IFERROR(TRIM(INDEX('Pegar docentes'!$A$1:$BZ$1001,520,B$2)&amp;""),""))</f>
        <v/>
      </c>
      <c r="C521">
        <f>IF(C$2=0,"",IFERROR(TRIM(INDEX('Pegar docentes'!$A$1:$BZ$1001,520,C$2)&amp;""),""))</f>
        <v/>
      </c>
      <c r="D521">
        <f>IF(D$2=0,"",IFERROR(TRIM(INDEX('Pegar docentes'!$A$1:$BZ$1001,520,D$2)&amp;""),""))</f>
        <v/>
      </c>
      <c r="E521">
        <f>IF(E$2=0,"",IFERROR(TRIM(INDEX('Pegar docentes'!$A$1:$BZ$1001,520,E$2)&amp;""),""))</f>
        <v/>
      </c>
      <c r="F521">
        <f>IF(F$2=0,"",IFERROR(TRIM(INDEX('Pegar docentes'!$A$1:$BZ$1001,520,F$2)&amp;""),""))</f>
        <v/>
      </c>
      <c r="G521">
        <f>IF(G$2=0,"",IFERROR(TRIM(INDEX('Pegar docentes'!$A$1:$BZ$1001,520,G$2)&amp;""),""))</f>
        <v/>
      </c>
      <c r="H521">
        <f>IF(H$2=0,"",IFERROR(TRIM(INDEX('Pegar docentes'!$A$1:$BZ$1001,520,H$2)&amp;""),""))</f>
        <v/>
      </c>
      <c r="I521">
        <f>IF(I$2=0,"",IFERROR(TRIM(INDEX('Pegar docentes'!$A$1:$BZ$1001,520,I$2)&amp;""),""))</f>
        <v/>
      </c>
      <c r="J521">
        <f>IF(J$2=0,"",IFERROR(TRIM(INDEX('Pegar docentes'!$A$1:$BZ$1001,520,J$2)&amp;""),""))</f>
        <v/>
      </c>
      <c r="K521">
        <f>IF(K$2=0,"",IFERROR(TRIM(INDEX('Pegar docentes'!$A$1:$BZ$1001,520,K$2)&amp;""),""))</f>
        <v/>
      </c>
      <c r="L521">
        <f>IF(L$2=0,"",IFERROR(TRIM(INDEX('Pegar docentes'!$A$1:$BZ$1001,520,L$2)&amp;""),""))</f>
        <v/>
      </c>
      <c r="M521">
        <f>IF(M$2=0,"",IFERROR(TRIM(INDEX('Pegar docentes'!$A$1:$BZ$1001,520,M$2)&amp;""),""))</f>
        <v/>
      </c>
      <c r="N521">
        <f>IF(N$2=0,"",IFERROR(TRIM(INDEX('Pegar docentes'!$A$1:$BZ$1001,520,N$2)&amp;""),""))</f>
        <v/>
      </c>
      <c r="O521">
        <f>IF(O$2=0,"",IFERROR(TRIM(INDEX('Pegar docentes'!$A$1:$BZ$1001,520,O$2)&amp;""),""))</f>
        <v/>
      </c>
      <c r="P521">
        <f>IF(P$2=0,"",IFERROR(TRIM(INDEX('Pegar docentes'!$A$1:$BZ$1001,520,P$2)&amp;""),""))</f>
        <v/>
      </c>
      <c r="Q521" s="25">
        <f>IF(OR(D521&lt;&gt;"",H521&lt;&gt;""),1,"")</f>
        <v/>
      </c>
      <c r="R521" s="25">
        <f>IF(Q521=1,IF(ISNUMBER(FIND("#"&amp;MID(D521,1,1)&amp;"#","#0#1#2#3#4#5#6#7#8#9#")),IF(ISNUMBER(FIND("#"&amp;MID(D521,2,1)&amp;"#","#0#1#2#3#4#5#6#7#8#9#")),IF(AND(VALUE(LEFT(D521,2))&gt;=1,VALUE(LEFT(D521,2))&lt;=5),VALUE(LEFT(D521,2)),""),IF(AND(VALUE(LEFT(D521,1))&gt;=1,VALUE(LEFT(D521,1))&lt;=5),VALUE(LEFT(D521,1)),"")),""),"")</f>
        <v/>
      </c>
      <c r="S521" s="25">
        <f>IF(AND(Q521=1,E521&lt;&gt;""),SUBSTITUTE(SUBSTITUTE(SUBSTITUTE(SUBSTITUTE(SUBSTITUTE(SUBSTITUTE(SUBSTITUTE(SUBSTITUTE(SUBSTITUTE(SUBSTITUTE(SUBSTITUTE(SUBSTITUTE(LOWER(TRIM(E521)),"á","a"),"é","e"),"í","i"),"ó","o"),"ú","u"),"ü","u"),"ñ","n"),"à","a"),"è","e"),"ì","i"),"ò","o"),"ù","u"),"")</f>
        <v/>
      </c>
      <c r="T521" s="25">
        <f>IF(AND(Q521=1,G521&lt;&gt;""),SUBSTITUTE(SUBSTITUTE(SUBSTITUTE(SUBSTITUTE(SUBSTITUTE(SUBSTITUTE(SUBSTITUTE(SUBSTITUTE(SUBSTITUTE(SUBSTITUTE(SUBSTITUTE(SUBSTITUTE(LOWER(TRIM(G521)),"á","a"),"é","e"),"í","i"),"ó","o"),"ú","u"),"ü","u"),"ñ","n"),"à","a"),"è","e"),"ì","i"),"ò","o"),"ù","u"),"")</f>
        <v/>
      </c>
      <c r="U521" s="25">
        <f>IF(AND(Q521=1,H521&lt;&gt;""),SUBSTITUTE(SUBSTITUTE(SUBSTITUTE(SUBSTITUTE(SUBSTITUTE(SUBSTITUTE(SUBSTITUTE(SUBSTITUTE(SUBSTITUTE(SUBSTITUTE(SUBSTITUTE(SUBSTITUTE(LOWER(TRIM(H521)),"á","a"),"é","e"),"í","i"),"ó","o"),"ú","u"),"ü","u"),"ñ","n"),"à","a"),"è","e"),"ì","i"),"ò","o"),"ù","u"),"")</f>
        <v/>
      </c>
      <c r="V521" s="25">
        <f>IF(AND(Q521=1,L521&lt;&gt;""),SUBSTITUTE(SUBSTITUTE(SUBSTITUTE(SUBSTITUTE(SUBSTITUTE(SUBSTITUTE(SUBSTITUTE(SUBSTITUTE(SUBSTITUTE(SUBSTITUTE(SUBSTITUTE(SUBSTITUTE(LOWER(TRIM(L521)),"á","a"),"é","e"),"í","i"),"ó","o"),"ú","u"),"ü","u"),"ñ","n"),"à","a"),"è","e"),"ì","i"),"ò","o"),"ù","u"),"")</f>
        <v/>
      </c>
      <c r="W521" s="25">
        <f>IF(AND(Q521=1,I521&lt;&gt;""),SUBSTITUTE(SUBSTITUTE(SUBSTITUTE(SUBSTITUTE(SUBSTITUTE(SUBSTITUTE(SUBSTITUTE(SUBSTITUTE(SUBSTITUTE(SUBSTITUTE(SUBSTITUTE(SUBSTITUTE(LOWER(TRIM(I521)),"á","a"),"é","e"),"í","i"),"ó","o"),"ú","u"),"ü","u"),"ñ","n"),"à","a"),"è","e"),"ì","i"),"ò","o"),"ù","u"),"")</f>
        <v/>
      </c>
      <c r="X521" s="25">
        <f>IF(U521="","",IF(OR(U521="si, en la proxima tarea",U521="si, con cambios"),1,0))</f>
        <v/>
      </c>
      <c r="Y521" s="25">
        <f>IF(AND(Q521=1,A521&lt;&gt;""),IF(IFERROR(COUNTIFS(A$3:A521,"="&amp;SUBSTITUTE(SUBSTITUTE(SUBSTITUTE(A521,"~","~~"),"*","~*"),"?","~?"),Q$3:Q521,1),0)=1,MAX(Y$2:Y520)+1,""),"")</f>
        <v/>
      </c>
      <c r="Z521" s="25">
        <f>IF(Y521="","",COUNTIFS($A$3:$A$1002,"="&amp;SUBSTITUTE(SUBSTITUTE(SUBSTITUTE(A521,"~","~~"),"*","~*"),"?","~?"),$Q$3:$Q$1002,1)*10000-Y521)</f>
        <v/>
      </c>
    </row>
    <row r="522">
      <c r="A522">
        <f>IF(A$2=0,"",IFERROR(TRIM(INDEX('Pegar docentes'!$A$1:$BZ$1001,521,A$2)&amp;""),""))</f>
        <v/>
      </c>
      <c r="B522">
        <f>IF(B$2=0,"",IFERROR(TRIM(INDEX('Pegar docentes'!$A$1:$BZ$1001,521,B$2)&amp;""),""))</f>
        <v/>
      </c>
      <c r="C522">
        <f>IF(C$2=0,"",IFERROR(TRIM(INDEX('Pegar docentes'!$A$1:$BZ$1001,521,C$2)&amp;""),""))</f>
        <v/>
      </c>
      <c r="D522">
        <f>IF(D$2=0,"",IFERROR(TRIM(INDEX('Pegar docentes'!$A$1:$BZ$1001,521,D$2)&amp;""),""))</f>
        <v/>
      </c>
      <c r="E522">
        <f>IF(E$2=0,"",IFERROR(TRIM(INDEX('Pegar docentes'!$A$1:$BZ$1001,521,E$2)&amp;""),""))</f>
        <v/>
      </c>
      <c r="F522">
        <f>IF(F$2=0,"",IFERROR(TRIM(INDEX('Pegar docentes'!$A$1:$BZ$1001,521,F$2)&amp;""),""))</f>
        <v/>
      </c>
      <c r="G522">
        <f>IF(G$2=0,"",IFERROR(TRIM(INDEX('Pegar docentes'!$A$1:$BZ$1001,521,G$2)&amp;""),""))</f>
        <v/>
      </c>
      <c r="H522">
        <f>IF(H$2=0,"",IFERROR(TRIM(INDEX('Pegar docentes'!$A$1:$BZ$1001,521,H$2)&amp;""),""))</f>
        <v/>
      </c>
      <c r="I522">
        <f>IF(I$2=0,"",IFERROR(TRIM(INDEX('Pegar docentes'!$A$1:$BZ$1001,521,I$2)&amp;""),""))</f>
        <v/>
      </c>
      <c r="J522">
        <f>IF(J$2=0,"",IFERROR(TRIM(INDEX('Pegar docentes'!$A$1:$BZ$1001,521,J$2)&amp;""),""))</f>
        <v/>
      </c>
      <c r="K522">
        <f>IF(K$2=0,"",IFERROR(TRIM(INDEX('Pegar docentes'!$A$1:$BZ$1001,521,K$2)&amp;""),""))</f>
        <v/>
      </c>
      <c r="L522">
        <f>IF(L$2=0,"",IFERROR(TRIM(INDEX('Pegar docentes'!$A$1:$BZ$1001,521,L$2)&amp;""),""))</f>
        <v/>
      </c>
      <c r="M522">
        <f>IF(M$2=0,"",IFERROR(TRIM(INDEX('Pegar docentes'!$A$1:$BZ$1001,521,M$2)&amp;""),""))</f>
        <v/>
      </c>
      <c r="N522">
        <f>IF(N$2=0,"",IFERROR(TRIM(INDEX('Pegar docentes'!$A$1:$BZ$1001,521,N$2)&amp;""),""))</f>
        <v/>
      </c>
      <c r="O522">
        <f>IF(O$2=0,"",IFERROR(TRIM(INDEX('Pegar docentes'!$A$1:$BZ$1001,521,O$2)&amp;""),""))</f>
        <v/>
      </c>
      <c r="P522">
        <f>IF(P$2=0,"",IFERROR(TRIM(INDEX('Pegar docentes'!$A$1:$BZ$1001,521,P$2)&amp;""),""))</f>
        <v/>
      </c>
      <c r="Q522" s="25">
        <f>IF(OR(D522&lt;&gt;"",H522&lt;&gt;""),1,"")</f>
        <v/>
      </c>
      <c r="R522" s="25">
        <f>IF(Q522=1,IF(ISNUMBER(FIND("#"&amp;MID(D522,1,1)&amp;"#","#0#1#2#3#4#5#6#7#8#9#")),IF(ISNUMBER(FIND("#"&amp;MID(D522,2,1)&amp;"#","#0#1#2#3#4#5#6#7#8#9#")),IF(AND(VALUE(LEFT(D522,2))&gt;=1,VALUE(LEFT(D522,2))&lt;=5),VALUE(LEFT(D522,2)),""),IF(AND(VALUE(LEFT(D522,1))&gt;=1,VALUE(LEFT(D522,1))&lt;=5),VALUE(LEFT(D522,1)),"")),""),"")</f>
        <v/>
      </c>
      <c r="S522" s="25">
        <f>IF(AND(Q522=1,E522&lt;&gt;""),SUBSTITUTE(SUBSTITUTE(SUBSTITUTE(SUBSTITUTE(SUBSTITUTE(SUBSTITUTE(SUBSTITUTE(SUBSTITUTE(SUBSTITUTE(SUBSTITUTE(SUBSTITUTE(SUBSTITUTE(LOWER(TRIM(E522)),"á","a"),"é","e"),"í","i"),"ó","o"),"ú","u"),"ü","u"),"ñ","n"),"à","a"),"è","e"),"ì","i"),"ò","o"),"ù","u"),"")</f>
        <v/>
      </c>
      <c r="T522" s="25">
        <f>IF(AND(Q522=1,G522&lt;&gt;""),SUBSTITUTE(SUBSTITUTE(SUBSTITUTE(SUBSTITUTE(SUBSTITUTE(SUBSTITUTE(SUBSTITUTE(SUBSTITUTE(SUBSTITUTE(SUBSTITUTE(SUBSTITUTE(SUBSTITUTE(LOWER(TRIM(G522)),"á","a"),"é","e"),"í","i"),"ó","o"),"ú","u"),"ü","u"),"ñ","n"),"à","a"),"è","e"),"ì","i"),"ò","o"),"ù","u"),"")</f>
        <v/>
      </c>
      <c r="U522" s="25">
        <f>IF(AND(Q522=1,H522&lt;&gt;""),SUBSTITUTE(SUBSTITUTE(SUBSTITUTE(SUBSTITUTE(SUBSTITUTE(SUBSTITUTE(SUBSTITUTE(SUBSTITUTE(SUBSTITUTE(SUBSTITUTE(SUBSTITUTE(SUBSTITUTE(LOWER(TRIM(H522)),"á","a"),"é","e"),"í","i"),"ó","o"),"ú","u"),"ü","u"),"ñ","n"),"à","a"),"è","e"),"ì","i"),"ò","o"),"ù","u"),"")</f>
        <v/>
      </c>
      <c r="V522" s="25">
        <f>IF(AND(Q522=1,L522&lt;&gt;""),SUBSTITUTE(SUBSTITUTE(SUBSTITUTE(SUBSTITUTE(SUBSTITUTE(SUBSTITUTE(SUBSTITUTE(SUBSTITUTE(SUBSTITUTE(SUBSTITUTE(SUBSTITUTE(SUBSTITUTE(LOWER(TRIM(L522)),"á","a"),"é","e"),"í","i"),"ó","o"),"ú","u"),"ü","u"),"ñ","n"),"à","a"),"è","e"),"ì","i"),"ò","o"),"ù","u"),"")</f>
        <v/>
      </c>
      <c r="W522" s="25">
        <f>IF(AND(Q522=1,I522&lt;&gt;""),SUBSTITUTE(SUBSTITUTE(SUBSTITUTE(SUBSTITUTE(SUBSTITUTE(SUBSTITUTE(SUBSTITUTE(SUBSTITUTE(SUBSTITUTE(SUBSTITUTE(SUBSTITUTE(SUBSTITUTE(LOWER(TRIM(I522)),"á","a"),"é","e"),"í","i"),"ó","o"),"ú","u"),"ü","u"),"ñ","n"),"à","a"),"è","e"),"ì","i"),"ò","o"),"ù","u"),"")</f>
        <v/>
      </c>
      <c r="X522" s="25">
        <f>IF(U522="","",IF(OR(U522="si, en la proxima tarea",U522="si, con cambios"),1,0))</f>
        <v/>
      </c>
      <c r="Y522" s="25">
        <f>IF(AND(Q522=1,A522&lt;&gt;""),IF(IFERROR(COUNTIFS(A$3:A522,"="&amp;SUBSTITUTE(SUBSTITUTE(SUBSTITUTE(A522,"~","~~"),"*","~*"),"?","~?"),Q$3:Q522,1),0)=1,MAX(Y$2:Y521)+1,""),"")</f>
        <v/>
      </c>
      <c r="Z522" s="25">
        <f>IF(Y522="","",COUNTIFS($A$3:$A$1002,"="&amp;SUBSTITUTE(SUBSTITUTE(SUBSTITUTE(A522,"~","~~"),"*","~*"),"?","~?"),$Q$3:$Q$1002,1)*10000-Y522)</f>
        <v/>
      </c>
    </row>
    <row r="523">
      <c r="A523">
        <f>IF(A$2=0,"",IFERROR(TRIM(INDEX('Pegar docentes'!$A$1:$BZ$1001,522,A$2)&amp;""),""))</f>
        <v/>
      </c>
      <c r="B523">
        <f>IF(B$2=0,"",IFERROR(TRIM(INDEX('Pegar docentes'!$A$1:$BZ$1001,522,B$2)&amp;""),""))</f>
        <v/>
      </c>
      <c r="C523">
        <f>IF(C$2=0,"",IFERROR(TRIM(INDEX('Pegar docentes'!$A$1:$BZ$1001,522,C$2)&amp;""),""))</f>
        <v/>
      </c>
      <c r="D523">
        <f>IF(D$2=0,"",IFERROR(TRIM(INDEX('Pegar docentes'!$A$1:$BZ$1001,522,D$2)&amp;""),""))</f>
        <v/>
      </c>
      <c r="E523">
        <f>IF(E$2=0,"",IFERROR(TRIM(INDEX('Pegar docentes'!$A$1:$BZ$1001,522,E$2)&amp;""),""))</f>
        <v/>
      </c>
      <c r="F523">
        <f>IF(F$2=0,"",IFERROR(TRIM(INDEX('Pegar docentes'!$A$1:$BZ$1001,522,F$2)&amp;""),""))</f>
        <v/>
      </c>
      <c r="G523">
        <f>IF(G$2=0,"",IFERROR(TRIM(INDEX('Pegar docentes'!$A$1:$BZ$1001,522,G$2)&amp;""),""))</f>
        <v/>
      </c>
      <c r="H523">
        <f>IF(H$2=0,"",IFERROR(TRIM(INDEX('Pegar docentes'!$A$1:$BZ$1001,522,H$2)&amp;""),""))</f>
        <v/>
      </c>
      <c r="I523">
        <f>IF(I$2=0,"",IFERROR(TRIM(INDEX('Pegar docentes'!$A$1:$BZ$1001,522,I$2)&amp;""),""))</f>
        <v/>
      </c>
      <c r="J523">
        <f>IF(J$2=0,"",IFERROR(TRIM(INDEX('Pegar docentes'!$A$1:$BZ$1001,522,J$2)&amp;""),""))</f>
        <v/>
      </c>
      <c r="K523">
        <f>IF(K$2=0,"",IFERROR(TRIM(INDEX('Pegar docentes'!$A$1:$BZ$1001,522,K$2)&amp;""),""))</f>
        <v/>
      </c>
      <c r="L523">
        <f>IF(L$2=0,"",IFERROR(TRIM(INDEX('Pegar docentes'!$A$1:$BZ$1001,522,L$2)&amp;""),""))</f>
        <v/>
      </c>
      <c r="M523">
        <f>IF(M$2=0,"",IFERROR(TRIM(INDEX('Pegar docentes'!$A$1:$BZ$1001,522,M$2)&amp;""),""))</f>
        <v/>
      </c>
      <c r="N523">
        <f>IF(N$2=0,"",IFERROR(TRIM(INDEX('Pegar docentes'!$A$1:$BZ$1001,522,N$2)&amp;""),""))</f>
        <v/>
      </c>
      <c r="O523">
        <f>IF(O$2=0,"",IFERROR(TRIM(INDEX('Pegar docentes'!$A$1:$BZ$1001,522,O$2)&amp;""),""))</f>
        <v/>
      </c>
      <c r="P523">
        <f>IF(P$2=0,"",IFERROR(TRIM(INDEX('Pegar docentes'!$A$1:$BZ$1001,522,P$2)&amp;""),""))</f>
        <v/>
      </c>
      <c r="Q523" s="25">
        <f>IF(OR(D523&lt;&gt;"",H523&lt;&gt;""),1,"")</f>
        <v/>
      </c>
      <c r="R523" s="25">
        <f>IF(Q523=1,IF(ISNUMBER(FIND("#"&amp;MID(D523,1,1)&amp;"#","#0#1#2#3#4#5#6#7#8#9#")),IF(ISNUMBER(FIND("#"&amp;MID(D523,2,1)&amp;"#","#0#1#2#3#4#5#6#7#8#9#")),IF(AND(VALUE(LEFT(D523,2))&gt;=1,VALUE(LEFT(D523,2))&lt;=5),VALUE(LEFT(D523,2)),""),IF(AND(VALUE(LEFT(D523,1))&gt;=1,VALUE(LEFT(D523,1))&lt;=5),VALUE(LEFT(D523,1)),"")),""),"")</f>
        <v/>
      </c>
      <c r="S523" s="25">
        <f>IF(AND(Q523=1,E523&lt;&gt;""),SUBSTITUTE(SUBSTITUTE(SUBSTITUTE(SUBSTITUTE(SUBSTITUTE(SUBSTITUTE(SUBSTITUTE(SUBSTITUTE(SUBSTITUTE(SUBSTITUTE(SUBSTITUTE(SUBSTITUTE(LOWER(TRIM(E523)),"á","a"),"é","e"),"í","i"),"ó","o"),"ú","u"),"ü","u"),"ñ","n"),"à","a"),"è","e"),"ì","i"),"ò","o"),"ù","u"),"")</f>
        <v/>
      </c>
      <c r="T523" s="25">
        <f>IF(AND(Q523=1,G523&lt;&gt;""),SUBSTITUTE(SUBSTITUTE(SUBSTITUTE(SUBSTITUTE(SUBSTITUTE(SUBSTITUTE(SUBSTITUTE(SUBSTITUTE(SUBSTITUTE(SUBSTITUTE(SUBSTITUTE(SUBSTITUTE(LOWER(TRIM(G523)),"á","a"),"é","e"),"í","i"),"ó","o"),"ú","u"),"ü","u"),"ñ","n"),"à","a"),"è","e"),"ì","i"),"ò","o"),"ù","u"),"")</f>
        <v/>
      </c>
      <c r="U523" s="25">
        <f>IF(AND(Q523=1,H523&lt;&gt;""),SUBSTITUTE(SUBSTITUTE(SUBSTITUTE(SUBSTITUTE(SUBSTITUTE(SUBSTITUTE(SUBSTITUTE(SUBSTITUTE(SUBSTITUTE(SUBSTITUTE(SUBSTITUTE(SUBSTITUTE(LOWER(TRIM(H523)),"á","a"),"é","e"),"í","i"),"ó","o"),"ú","u"),"ü","u"),"ñ","n"),"à","a"),"è","e"),"ì","i"),"ò","o"),"ù","u"),"")</f>
        <v/>
      </c>
      <c r="V523" s="25">
        <f>IF(AND(Q523=1,L523&lt;&gt;""),SUBSTITUTE(SUBSTITUTE(SUBSTITUTE(SUBSTITUTE(SUBSTITUTE(SUBSTITUTE(SUBSTITUTE(SUBSTITUTE(SUBSTITUTE(SUBSTITUTE(SUBSTITUTE(SUBSTITUTE(LOWER(TRIM(L523)),"á","a"),"é","e"),"í","i"),"ó","o"),"ú","u"),"ü","u"),"ñ","n"),"à","a"),"è","e"),"ì","i"),"ò","o"),"ù","u"),"")</f>
        <v/>
      </c>
      <c r="W523" s="25">
        <f>IF(AND(Q523=1,I523&lt;&gt;""),SUBSTITUTE(SUBSTITUTE(SUBSTITUTE(SUBSTITUTE(SUBSTITUTE(SUBSTITUTE(SUBSTITUTE(SUBSTITUTE(SUBSTITUTE(SUBSTITUTE(SUBSTITUTE(SUBSTITUTE(LOWER(TRIM(I523)),"á","a"),"é","e"),"í","i"),"ó","o"),"ú","u"),"ü","u"),"ñ","n"),"à","a"),"è","e"),"ì","i"),"ò","o"),"ù","u"),"")</f>
        <v/>
      </c>
      <c r="X523" s="25">
        <f>IF(U523="","",IF(OR(U523="si, en la proxima tarea",U523="si, con cambios"),1,0))</f>
        <v/>
      </c>
      <c r="Y523" s="25">
        <f>IF(AND(Q523=1,A523&lt;&gt;""),IF(IFERROR(COUNTIFS(A$3:A523,"="&amp;SUBSTITUTE(SUBSTITUTE(SUBSTITUTE(A523,"~","~~"),"*","~*"),"?","~?"),Q$3:Q523,1),0)=1,MAX(Y$2:Y522)+1,""),"")</f>
        <v/>
      </c>
      <c r="Z523" s="25">
        <f>IF(Y523="","",COUNTIFS($A$3:$A$1002,"="&amp;SUBSTITUTE(SUBSTITUTE(SUBSTITUTE(A523,"~","~~"),"*","~*"),"?","~?"),$Q$3:$Q$1002,1)*10000-Y523)</f>
        <v/>
      </c>
    </row>
    <row r="524">
      <c r="A524">
        <f>IF(A$2=0,"",IFERROR(TRIM(INDEX('Pegar docentes'!$A$1:$BZ$1001,523,A$2)&amp;""),""))</f>
        <v/>
      </c>
      <c r="B524">
        <f>IF(B$2=0,"",IFERROR(TRIM(INDEX('Pegar docentes'!$A$1:$BZ$1001,523,B$2)&amp;""),""))</f>
        <v/>
      </c>
      <c r="C524">
        <f>IF(C$2=0,"",IFERROR(TRIM(INDEX('Pegar docentes'!$A$1:$BZ$1001,523,C$2)&amp;""),""))</f>
        <v/>
      </c>
      <c r="D524">
        <f>IF(D$2=0,"",IFERROR(TRIM(INDEX('Pegar docentes'!$A$1:$BZ$1001,523,D$2)&amp;""),""))</f>
        <v/>
      </c>
      <c r="E524">
        <f>IF(E$2=0,"",IFERROR(TRIM(INDEX('Pegar docentes'!$A$1:$BZ$1001,523,E$2)&amp;""),""))</f>
        <v/>
      </c>
      <c r="F524">
        <f>IF(F$2=0,"",IFERROR(TRIM(INDEX('Pegar docentes'!$A$1:$BZ$1001,523,F$2)&amp;""),""))</f>
        <v/>
      </c>
      <c r="G524">
        <f>IF(G$2=0,"",IFERROR(TRIM(INDEX('Pegar docentes'!$A$1:$BZ$1001,523,G$2)&amp;""),""))</f>
        <v/>
      </c>
      <c r="H524">
        <f>IF(H$2=0,"",IFERROR(TRIM(INDEX('Pegar docentes'!$A$1:$BZ$1001,523,H$2)&amp;""),""))</f>
        <v/>
      </c>
      <c r="I524">
        <f>IF(I$2=0,"",IFERROR(TRIM(INDEX('Pegar docentes'!$A$1:$BZ$1001,523,I$2)&amp;""),""))</f>
        <v/>
      </c>
      <c r="J524">
        <f>IF(J$2=0,"",IFERROR(TRIM(INDEX('Pegar docentes'!$A$1:$BZ$1001,523,J$2)&amp;""),""))</f>
        <v/>
      </c>
      <c r="K524">
        <f>IF(K$2=0,"",IFERROR(TRIM(INDEX('Pegar docentes'!$A$1:$BZ$1001,523,K$2)&amp;""),""))</f>
        <v/>
      </c>
      <c r="L524">
        <f>IF(L$2=0,"",IFERROR(TRIM(INDEX('Pegar docentes'!$A$1:$BZ$1001,523,L$2)&amp;""),""))</f>
        <v/>
      </c>
      <c r="M524">
        <f>IF(M$2=0,"",IFERROR(TRIM(INDEX('Pegar docentes'!$A$1:$BZ$1001,523,M$2)&amp;""),""))</f>
        <v/>
      </c>
      <c r="N524">
        <f>IF(N$2=0,"",IFERROR(TRIM(INDEX('Pegar docentes'!$A$1:$BZ$1001,523,N$2)&amp;""),""))</f>
        <v/>
      </c>
      <c r="O524">
        <f>IF(O$2=0,"",IFERROR(TRIM(INDEX('Pegar docentes'!$A$1:$BZ$1001,523,O$2)&amp;""),""))</f>
        <v/>
      </c>
      <c r="P524">
        <f>IF(P$2=0,"",IFERROR(TRIM(INDEX('Pegar docentes'!$A$1:$BZ$1001,523,P$2)&amp;""),""))</f>
        <v/>
      </c>
      <c r="Q524" s="25">
        <f>IF(OR(D524&lt;&gt;"",H524&lt;&gt;""),1,"")</f>
        <v/>
      </c>
      <c r="R524" s="25">
        <f>IF(Q524=1,IF(ISNUMBER(FIND("#"&amp;MID(D524,1,1)&amp;"#","#0#1#2#3#4#5#6#7#8#9#")),IF(ISNUMBER(FIND("#"&amp;MID(D524,2,1)&amp;"#","#0#1#2#3#4#5#6#7#8#9#")),IF(AND(VALUE(LEFT(D524,2))&gt;=1,VALUE(LEFT(D524,2))&lt;=5),VALUE(LEFT(D524,2)),""),IF(AND(VALUE(LEFT(D524,1))&gt;=1,VALUE(LEFT(D524,1))&lt;=5),VALUE(LEFT(D524,1)),"")),""),"")</f>
        <v/>
      </c>
      <c r="S524" s="25">
        <f>IF(AND(Q524=1,E524&lt;&gt;""),SUBSTITUTE(SUBSTITUTE(SUBSTITUTE(SUBSTITUTE(SUBSTITUTE(SUBSTITUTE(SUBSTITUTE(SUBSTITUTE(SUBSTITUTE(SUBSTITUTE(SUBSTITUTE(SUBSTITUTE(LOWER(TRIM(E524)),"á","a"),"é","e"),"í","i"),"ó","o"),"ú","u"),"ü","u"),"ñ","n"),"à","a"),"è","e"),"ì","i"),"ò","o"),"ù","u"),"")</f>
        <v/>
      </c>
      <c r="T524" s="25">
        <f>IF(AND(Q524=1,G524&lt;&gt;""),SUBSTITUTE(SUBSTITUTE(SUBSTITUTE(SUBSTITUTE(SUBSTITUTE(SUBSTITUTE(SUBSTITUTE(SUBSTITUTE(SUBSTITUTE(SUBSTITUTE(SUBSTITUTE(SUBSTITUTE(LOWER(TRIM(G524)),"á","a"),"é","e"),"í","i"),"ó","o"),"ú","u"),"ü","u"),"ñ","n"),"à","a"),"è","e"),"ì","i"),"ò","o"),"ù","u"),"")</f>
        <v/>
      </c>
      <c r="U524" s="25">
        <f>IF(AND(Q524=1,H524&lt;&gt;""),SUBSTITUTE(SUBSTITUTE(SUBSTITUTE(SUBSTITUTE(SUBSTITUTE(SUBSTITUTE(SUBSTITUTE(SUBSTITUTE(SUBSTITUTE(SUBSTITUTE(SUBSTITUTE(SUBSTITUTE(LOWER(TRIM(H524)),"á","a"),"é","e"),"í","i"),"ó","o"),"ú","u"),"ü","u"),"ñ","n"),"à","a"),"è","e"),"ì","i"),"ò","o"),"ù","u"),"")</f>
        <v/>
      </c>
      <c r="V524" s="25">
        <f>IF(AND(Q524=1,L524&lt;&gt;""),SUBSTITUTE(SUBSTITUTE(SUBSTITUTE(SUBSTITUTE(SUBSTITUTE(SUBSTITUTE(SUBSTITUTE(SUBSTITUTE(SUBSTITUTE(SUBSTITUTE(SUBSTITUTE(SUBSTITUTE(LOWER(TRIM(L524)),"á","a"),"é","e"),"í","i"),"ó","o"),"ú","u"),"ü","u"),"ñ","n"),"à","a"),"è","e"),"ì","i"),"ò","o"),"ù","u"),"")</f>
        <v/>
      </c>
      <c r="W524" s="25">
        <f>IF(AND(Q524=1,I524&lt;&gt;""),SUBSTITUTE(SUBSTITUTE(SUBSTITUTE(SUBSTITUTE(SUBSTITUTE(SUBSTITUTE(SUBSTITUTE(SUBSTITUTE(SUBSTITUTE(SUBSTITUTE(SUBSTITUTE(SUBSTITUTE(LOWER(TRIM(I524)),"á","a"),"é","e"),"í","i"),"ó","o"),"ú","u"),"ü","u"),"ñ","n"),"à","a"),"è","e"),"ì","i"),"ò","o"),"ù","u"),"")</f>
        <v/>
      </c>
      <c r="X524" s="25">
        <f>IF(U524="","",IF(OR(U524="si, en la proxima tarea",U524="si, con cambios"),1,0))</f>
        <v/>
      </c>
      <c r="Y524" s="25">
        <f>IF(AND(Q524=1,A524&lt;&gt;""),IF(IFERROR(COUNTIFS(A$3:A524,"="&amp;SUBSTITUTE(SUBSTITUTE(SUBSTITUTE(A524,"~","~~"),"*","~*"),"?","~?"),Q$3:Q524,1),0)=1,MAX(Y$2:Y523)+1,""),"")</f>
        <v/>
      </c>
      <c r="Z524" s="25">
        <f>IF(Y524="","",COUNTIFS($A$3:$A$1002,"="&amp;SUBSTITUTE(SUBSTITUTE(SUBSTITUTE(A524,"~","~~"),"*","~*"),"?","~?"),$Q$3:$Q$1002,1)*10000-Y524)</f>
        <v/>
      </c>
    </row>
    <row r="525">
      <c r="A525">
        <f>IF(A$2=0,"",IFERROR(TRIM(INDEX('Pegar docentes'!$A$1:$BZ$1001,524,A$2)&amp;""),""))</f>
        <v/>
      </c>
      <c r="B525">
        <f>IF(B$2=0,"",IFERROR(TRIM(INDEX('Pegar docentes'!$A$1:$BZ$1001,524,B$2)&amp;""),""))</f>
        <v/>
      </c>
      <c r="C525">
        <f>IF(C$2=0,"",IFERROR(TRIM(INDEX('Pegar docentes'!$A$1:$BZ$1001,524,C$2)&amp;""),""))</f>
        <v/>
      </c>
      <c r="D525">
        <f>IF(D$2=0,"",IFERROR(TRIM(INDEX('Pegar docentes'!$A$1:$BZ$1001,524,D$2)&amp;""),""))</f>
        <v/>
      </c>
      <c r="E525">
        <f>IF(E$2=0,"",IFERROR(TRIM(INDEX('Pegar docentes'!$A$1:$BZ$1001,524,E$2)&amp;""),""))</f>
        <v/>
      </c>
      <c r="F525">
        <f>IF(F$2=0,"",IFERROR(TRIM(INDEX('Pegar docentes'!$A$1:$BZ$1001,524,F$2)&amp;""),""))</f>
        <v/>
      </c>
      <c r="G525">
        <f>IF(G$2=0,"",IFERROR(TRIM(INDEX('Pegar docentes'!$A$1:$BZ$1001,524,G$2)&amp;""),""))</f>
        <v/>
      </c>
      <c r="H525">
        <f>IF(H$2=0,"",IFERROR(TRIM(INDEX('Pegar docentes'!$A$1:$BZ$1001,524,H$2)&amp;""),""))</f>
        <v/>
      </c>
      <c r="I525">
        <f>IF(I$2=0,"",IFERROR(TRIM(INDEX('Pegar docentes'!$A$1:$BZ$1001,524,I$2)&amp;""),""))</f>
        <v/>
      </c>
      <c r="J525">
        <f>IF(J$2=0,"",IFERROR(TRIM(INDEX('Pegar docentes'!$A$1:$BZ$1001,524,J$2)&amp;""),""))</f>
        <v/>
      </c>
      <c r="K525">
        <f>IF(K$2=0,"",IFERROR(TRIM(INDEX('Pegar docentes'!$A$1:$BZ$1001,524,K$2)&amp;""),""))</f>
        <v/>
      </c>
      <c r="L525">
        <f>IF(L$2=0,"",IFERROR(TRIM(INDEX('Pegar docentes'!$A$1:$BZ$1001,524,L$2)&amp;""),""))</f>
        <v/>
      </c>
      <c r="M525">
        <f>IF(M$2=0,"",IFERROR(TRIM(INDEX('Pegar docentes'!$A$1:$BZ$1001,524,M$2)&amp;""),""))</f>
        <v/>
      </c>
      <c r="N525">
        <f>IF(N$2=0,"",IFERROR(TRIM(INDEX('Pegar docentes'!$A$1:$BZ$1001,524,N$2)&amp;""),""))</f>
        <v/>
      </c>
      <c r="O525">
        <f>IF(O$2=0,"",IFERROR(TRIM(INDEX('Pegar docentes'!$A$1:$BZ$1001,524,O$2)&amp;""),""))</f>
        <v/>
      </c>
      <c r="P525">
        <f>IF(P$2=0,"",IFERROR(TRIM(INDEX('Pegar docentes'!$A$1:$BZ$1001,524,P$2)&amp;""),""))</f>
        <v/>
      </c>
      <c r="Q525" s="25">
        <f>IF(OR(D525&lt;&gt;"",H525&lt;&gt;""),1,"")</f>
        <v/>
      </c>
      <c r="R525" s="25">
        <f>IF(Q525=1,IF(ISNUMBER(FIND("#"&amp;MID(D525,1,1)&amp;"#","#0#1#2#3#4#5#6#7#8#9#")),IF(ISNUMBER(FIND("#"&amp;MID(D525,2,1)&amp;"#","#0#1#2#3#4#5#6#7#8#9#")),IF(AND(VALUE(LEFT(D525,2))&gt;=1,VALUE(LEFT(D525,2))&lt;=5),VALUE(LEFT(D525,2)),""),IF(AND(VALUE(LEFT(D525,1))&gt;=1,VALUE(LEFT(D525,1))&lt;=5),VALUE(LEFT(D525,1)),"")),""),"")</f>
        <v/>
      </c>
      <c r="S525" s="25">
        <f>IF(AND(Q525=1,E525&lt;&gt;""),SUBSTITUTE(SUBSTITUTE(SUBSTITUTE(SUBSTITUTE(SUBSTITUTE(SUBSTITUTE(SUBSTITUTE(SUBSTITUTE(SUBSTITUTE(SUBSTITUTE(SUBSTITUTE(SUBSTITUTE(LOWER(TRIM(E525)),"á","a"),"é","e"),"í","i"),"ó","o"),"ú","u"),"ü","u"),"ñ","n"),"à","a"),"è","e"),"ì","i"),"ò","o"),"ù","u"),"")</f>
        <v/>
      </c>
      <c r="T525" s="25">
        <f>IF(AND(Q525=1,G525&lt;&gt;""),SUBSTITUTE(SUBSTITUTE(SUBSTITUTE(SUBSTITUTE(SUBSTITUTE(SUBSTITUTE(SUBSTITUTE(SUBSTITUTE(SUBSTITUTE(SUBSTITUTE(SUBSTITUTE(SUBSTITUTE(LOWER(TRIM(G525)),"á","a"),"é","e"),"í","i"),"ó","o"),"ú","u"),"ü","u"),"ñ","n"),"à","a"),"è","e"),"ì","i"),"ò","o"),"ù","u"),"")</f>
        <v/>
      </c>
      <c r="U525" s="25">
        <f>IF(AND(Q525=1,H525&lt;&gt;""),SUBSTITUTE(SUBSTITUTE(SUBSTITUTE(SUBSTITUTE(SUBSTITUTE(SUBSTITUTE(SUBSTITUTE(SUBSTITUTE(SUBSTITUTE(SUBSTITUTE(SUBSTITUTE(SUBSTITUTE(LOWER(TRIM(H525)),"á","a"),"é","e"),"í","i"),"ó","o"),"ú","u"),"ü","u"),"ñ","n"),"à","a"),"è","e"),"ì","i"),"ò","o"),"ù","u"),"")</f>
        <v/>
      </c>
      <c r="V525" s="25">
        <f>IF(AND(Q525=1,L525&lt;&gt;""),SUBSTITUTE(SUBSTITUTE(SUBSTITUTE(SUBSTITUTE(SUBSTITUTE(SUBSTITUTE(SUBSTITUTE(SUBSTITUTE(SUBSTITUTE(SUBSTITUTE(SUBSTITUTE(SUBSTITUTE(LOWER(TRIM(L525)),"á","a"),"é","e"),"í","i"),"ó","o"),"ú","u"),"ü","u"),"ñ","n"),"à","a"),"è","e"),"ì","i"),"ò","o"),"ù","u"),"")</f>
        <v/>
      </c>
      <c r="W525" s="25">
        <f>IF(AND(Q525=1,I525&lt;&gt;""),SUBSTITUTE(SUBSTITUTE(SUBSTITUTE(SUBSTITUTE(SUBSTITUTE(SUBSTITUTE(SUBSTITUTE(SUBSTITUTE(SUBSTITUTE(SUBSTITUTE(SUBSTITUTE(SUBSTITUTE(LOWER(TRIM(I525)),"á","a"),"é","e"),"í","i"),"ó","o"),"ú","u"),"ü","u"),"ñ","n"),"à","a"),"è","e"),"ì","i"),"ò","o"),"ù","u"),"")</f>
        <v/>
      </c>
      <c r="X525" s="25">
        <f>IF(U525="","",IF(OR(U525="si, en la proxima tarea",U525="si, con cambios"),1,0))</f>
        <v/>
      </c>
      <c r="Y525" s="25">
        <f>IF(AND(Q525=1,A525&lt;&gt;""),IF(IFERROR(COUNTIFS(A$3:A525,"="&amp;SUBSTITUTE(SUBSTITUTE(SUBSTITUTE(A525,"~","~~"),"*","~*"),"?","~?"),Q$3:Q525,1),0)=1,MAX(Y$2:Y524)+1,""),"")</f>
        <v/>
      </c>
      <c r="Z525" s="25">
        <f>IF(Y525="","",COUNTIFS($A$3:$A$1002,"="&amp;SUBSTITUTE(SUBSTITUTE(SUBSTITUTE(A525,"~","~~"),"*","~*"),"?","~?"),$Q$3:$Q$1002,1)*10000-Y525)</f>
        <v/>
      </c>
    </row>
    <row r="526">
      <c r="A526">
        <f>IF(A$2=0,"",IFERROR(TRIM(INDEX('Pegar docentes'!$A$1:$BZ$1001,525,A$2)&amp;""),""))</f>
        <v/>
      </c>
      <c r="B526">
        <f>IF(B$2=0,"",IFERROR(TRIM(INDEX('Pegar docentes'!$A$1:$BZ$1001,525,B$2)&amp;""),""))</f>
        <v/>
      </c>
      <c r="C526">
        <f>IF(C$2=0,"",IFERROR(TRIM(INDEX('Pegar docentes'!$A$1:$BZ$1001,525,C$2)&amp;""),""))</f>
        <v/>
      </c>
      <c r="D526">
        <f>IF(D$2=0,"",IFERROR(TRIM(INDEX('Pegar docentes'!$A$1:$BZ$1001,525,D$2)&amp;""),""))</f>
        <v/>
      </c>
      <c r="E526">
        <f>IF(E$2=0,"",IFERROR(TRIM(INDEX('Pegar docentes'!$A$1:$BZ$1001,525,E$2)&amp;""),""))</f>
        <v/>
      </c>
      <c r="F526">
        <f>IF(F$2=0,"",IFERROR(TRIM(INDEX('Pegar docentes'!$A$1:$BZ$1001,525,F$2)&amp;""),""))</f>
        <v/>
      </c>
      <c r="G526">
        <f>IF(G$2=0,"",IFERROR(TRIM(INDEX('Pegar docentes'!$A$1:$BZ$1001,525,G$2)&amp;""),""))</f>
        <v/>
      </c>
      <c r="H526">
        <f>IF(H$2=0,"",IFERROR(TRIM(INDEX('Pegar docentes'!$A$1:$BZ$1001,525,H$2)&amp;""),""))</f>
        <v/>
      </c>
      <c r="I526">
        <f>IF(I$2=0,"",IFERROR(TRIM(INDEX('Pegar docentes'!$A$1:$BZ$1001,525,I$2)&amp;""),""))</f>
        <v/>
      </c>
      <c r="J526">
        <f>IF(J$2=0,"",IFERROR(TRIM(INDEX('Pegar docentes'!$A$1:$BZ$1001,525,J$2)&amp;""),""))</f>
        <v/>
      </c>
      <c r="K526">
        <f>IF(K$2=0,"",IFERROR(TRIM(INDEX('Pegar docentes'!$A$1:$BZ$1001,525,K$2)&amp;""),""))</f>
        <v/>
      </c>
      <c r="L526">
        <f>IF(L$2=0,"",IFERROR(TRIM(INDEX('Pegar docentes'!$A$1:$BZ$1001,525,L$2)&amp;""),""))</f>
        <v/>
      </c>
      <c r="M526">
        <f>IF(M$2=0,"",IFERROR(TRIM(INDEX('Pegar docentes'!$A$1:$BZ$1001,525,M$2)&amp;""),""))</f>
        <v/>
      </c>
      <c r="N526">
        <f>IF(N$2=0,"",IFERROR(TRIM(INDEX('Pegar docentes'!$A$1:$BZ$1001,525,N$2)&amp;""),""))</f>
        <v/>
      </c>
      <c r="O526">
        <f>IF(O$2=0,"",IFERROR(TRIM(INDEX('Pegar docentes'!$A$1:$BZ$1001,525,O$2)&amp;""),""))</f>
        <v/>
      </c>
      <c r="P526">
        <f>IF(P$2=0,"",IFERROR(TRIM(INDEX('Pegar docentes'!$A$1:$BZ$1001,525,P$2)&amp;""),""))</f>
        <v/>
      </c>
      <c r="Q526" s="25">
        <f>IF(OR(D526&lt;&gt;"",H526&lt;&gt;""),1,"")</f>
        <v/>
      </c>
      <c r="R526" s="25">
        <f>IF(Q526=1,IF(ISNUMBER(FIND("#"&amp;MID(D526,1,1)&amp;"#","#0#1#2#3#4#5#6#7#8#9#")),IF(ISNUMBER(FIND("#"&amp;MID(D526,2,1)&amp;"#","#0#1#2#3#4#5#6#7#8#9#")),IF(AND(VALUE(LEFT(D526,2))&gt;=1,VALUE(LEFT(D526,2))&lt;=5),VALUE(LEFT(D526,2)),""),IF(AND(VALUE(LEFT(D526,1))&gt;=1,VALUE(LEFT(D526,1))&lt;=5),VALUE(LEFT(D526,1)),"")),""),"")</f>
        <v/>
      </c>
      <c r="S526" s="25">
        <f>IF(AND(Q526=1,E526&lt;&gt;""),SUBSTITUTE(SUBSTITUTE(SUBSTITUTE(SUBSTITUTE(SUBSTITUTE(SUBSTITUTE(SUBSTITUTE(SUBSTITUTE(SUBSTITUTE(SUBSTITUTE(SUBSTITUTE(SUBSTITUTE(LOWER(TRIM(E526)),"á","a"),"é","e"),"í","i"),"ó","o"),"ú","u"),"ü","u"),"ñ","n"),"à","a"),"è","e"),"ì","i"),"ò","o"),"ù","u"),"")</f>
        <v/>
      </c>
      <c r="T526" s="25">
        <f>IF(AND(Q526=1,G526&lt;&gt;""),SUBSTITUTE(SUBSTITUTE(SUBSTITUTE(SUBSTITUTE(SUBSTITUTE(SUBSTITUTE(SUBSTITUTE(SUBSTITUTE(SUBSTITUTE(SUBSTITUTE(SUBSTITUTE(SUBSTITUTE(LOWER(TRIM(G526)),"á","a"),"é","e"),"í","i"),"ó","o"),"ú","u"),"ü","u"),"ñ","n"),"à","a"),"è","e"),"ì","i"),"ò","o"),"ù","u"),"")</f>
        <v/>
      </c>
      <c r="U526" s="25">
        <f>IF(AND(Q526=1,H526&lt;&gt;""),SUBSTITUTE(SUBSTITUTE(SUBSTITUTE(SUBSTITUTE(SUBSTITUTE(SUBSTITUTE(SUBSTITUTE(SUBSTITUTE(SUBSTITUTE(SUBSTITUTE(SUBSTITUTE(SUBSTITUTE(LOWER(TRIM(H526)),"á","a"),"é","e"),"í","i"),"ó","o"),"ú","u"),"ü","u"),"ñ","n"),"à","a"),"è","e"),"ì","i"),"ò","o"),"ù","u"),"")</f>
        <v/>
      </c>
      <c r="V526" s="25">
        <f>IF(AND(Q526=1,L526&lt;&gt;""),SUBSTITUTE(SUBSTITUTE(SUBSTITUTE(SUBSTITUTE(SUBSTITUTE(SUBSTITUTE(SUBSTITUTE(SUBSTITUTE(SUBSTITUTE(SUBSTITUTE(SUBSTITUTE(SUBSTITUTE(LOWER(TRIM(L526)),"á","a"),"é","e"),"í","i"),"ó","o"),"ú","u"),"ü","u"),"ñ","n"),"à","a"),"è","e"),"ì","i"),"ò","o"),"ù","u"),"")</f>
        <v/>
      </c>
      <c r="W526" s="25">
        <f>IF(AND(Q526=1,I526&lt;&gt;""),SUBSTITUTE(SUBSTITUTE(SUBSTITUTE(SUBSTITUTE(SUBSTITUTE(SUBSTITUTE(SUBSTITUTE(SUBSTITUTE(SUBSTITUTE(SUBSTITUTE(SUBSTITUTE(SUBSTITUTE(LOWER(TRIM(I526)),"á","a"),"é","e"),"í","i"),"ó","o"),"ú","u"),"ü","u"),"ñ","n"),"à","a"),"è","e"),"ì","i"),"ò","o"),"ù","u"),"")</f>
        <v/>
      </c>
      <c r="X526" s="25">
        <f>IF(U526="","",IF(OR(U526="si, en la proxima tarea",U526="si, con cambios"),1,0))</f>
        <v/>
      </c>
      <c r="Y526" s="25">
        <f>IF(AND(Q526=1,A526&lt;&gt;""),IF(IFERROR(COUNTIFS(A$3:A526,"="&amp;SUBSTITUTE(SUBSTITUTE(SUBSTITUTE(A526,"~","~~"),"*","~*"),"?","~?"),Q$3:Q526,1),0)=1,MAX(Y$2:Y525)+1,""),"")</f>
        <v/>
      </c>
      <c r="Z526" s="25">
        <f>IF(Y526="","",COUNTIFS($A$3:$A$1002,"="&amp;SUBSTITUTE(SUBSTITUTE(SUBSTITUTE(A526,"~","~~"),"*","~*"),"?","~?"),$Q$3:$Q$1002,1)*10000-Y526)</f>
        <v/>
      </c>
    </row>
    <row r="527">
      <c r="A527">
        <f>IF(A$2=0,"",IFERROR(TRIM(INDEX('Pegar docentes'!$A$1:$BZ$1001,526,A$2)&amp;""),""))</f>
        <v/>
      </c>
      <c r="B527">
        <f>IF(B$2=0,"",IFERROR(TRIM(INDEX('Pegar docentes'!$A$1:$BZ$1001,526,B$2)&amp;""),""))</f>
        <v/>
      </c>
      <c r="C527">
        <f>IF(C$2=0,"",IFERROR(TRIM(INDEX('Pegar docentes'!$A$1:$BZ$1001,526,C$2)&amp;""),""))</f>
        <v/>
      </c>
      <c r="D527">
        <f>IF(D$2=0,"",IFERROR(TRIM(INDEX('Pegar docentes'!$A$1:$BZ$1001,526,D$2)&amp;""),""))</f>
        <v/>
      </c>
      <c r="E527">
        <f>IF(E$2=0,"",IFERROR(TRIM(INDEX('Pegar docentes'!$A$1:$BZ$1001,526,E$2)&amp;""),""))</f>
        <v/>
      </c>
      <c r="F527">
        <f>IF(F$2=0,"",IFERROR(TRIM(INDEX('Pegar docentes'!$A$1:$BZ$1001,526,F$2)&amp;""),""))</f>
        <v/>
      </c>
      <c r="G527">
        <f>IF(G$2=0,"",IFERROR(TRIM(INDEX('Pegar docentes'!$A$1:$BZ$1001,526,G$2)&amp;""),""))</f>
        <v/>
      </c>
      <c r="H527">
        <f>IF(H$2=0,"",IFERROR(TRIM(INDEX('Pegar docentes'!$A$1:$BZ$1001,526,H$2)&amp;""),""))</f>
        <v/>
      </c>
      <c r="I527">
        <f>IF(I$2=0,"",IFERROR(TRIM(INDEX('Pegar docentes'!$A$1:$BZ$1001,526,I$2)&amp;""),""))</f>
        <v/>
      </c>
      <c r="J527">
        <f>IF(J$2=0,"",IFERROR(TRIM(INDEX('Pegar docentes'!$A$1:$BZ$1001,526,J$2)&amp;""),""))</f>
        <v/>
      </c>
      <c r="K527">
        <f>IF(K$2=0,"",IFERROR(TRIM(INDEX('Pegar docentes'!$A$1:$BZ$1001,526,K$2)&amp;""),""))</f>
        <v/>
      </c>
      <c r="L527">
        <f>IF(L$2=0,"",IFERROR(TRIM(INDEX('Pegar docentes'!$A$1:$BZ$1001,526,L$2)&amp;""),""))</f>
        <v/>
      </c>
      <c r="M527">
        <f>IF(M$2=0,"",IFERROR(TRIM(INDEX('Pegar docentes'!$A$1:$BZ$1001,526,M$2)&amp;""),""))</f>
        <v/>
      </c>
      <c r="N527">
        <f>IF(N$2=0,"",IFERROR(TRIM(INDEX('Pegar docentes'!$A$1:$BZ$1001,526,N$2)&amp;""),""))</f>
        <v/>
      </c>
      <c r="O527">
        <f>IF(O$2=0,"",IFERROR(TRIM(INDEX('Pegar docentes'!$A$1:$BZ$1001,526,O$2)&amp;""),""))</f>
        <v/>
      </c>
      <c r="P527">
        <f>IF(P$2=0,"",IFERROR(TRIM(INDEX('Pegar docentes'!$A$1:$BZ$1001,526,P$2)&amp;""),""))</f>
        <v/>
      </c>
      <c r="Q527" s="25">
        <f>IF(OR(D527&lt;&gt;"",H527&lt;&gt;""),1,"")</f>
        <v/>
      </c>
      <c r="R527" s="25">
        <f>IF(Q527=1,IF(ISNUMBER(FIND("#"&amp;MID(D527,1,1)&amp;"#","#0#1#2#3#4#5#6#7#8#9#")),IF(ISNUMBER(FIND("#"&amp;MID(D527,2,1)&amp;"#","#0#1#2#3#4#5#6#7#8#9#")),IF(AND(VALUE(LEFT(D527,2))&gt;=1,VALUE(LEFT(D527,2))&lt;=5),VALUE(LEFT(D527,2)),""),IF(AND(VALUE(LEFT(D527,1))&gt;=1,VALUE(LEFT(D527,1))&lt;=5),VALUE(LEFT(D527,1)),"")),""),"")</f>
        <v/>
      </c>
      <c r="S527" s="25">
        <f>IF(AND(Q527=1,E527&lt;&gt;""),SUBSTITUTE(SUBSTITUTE(SUBSTITUTE(SUBSTITUTE(SUBSTITUTE(SUBSTITUTE(SUBSTITUTE(SUBSTITUTE(SUBSTITUTE(SUBSTITUTE(SUBSTITUTE(SUBSTITUTE(LOWER(TRIM(E527)),"á","a"),"é","e"),"í","i"),"ó","o"),"ú","u"),"ü","u"),"ñ","n"),"à","a"),"è","e"),"ì","i"),"ò","o"),"ù","u"),"")</f>
        <v/>
      </c>
      <c r="T527" s="25">
        <f>IF(AND(Q527=1,G527&lt;&gt;""),SUBSTITUTE(SUBSTITUTE(SUBSTITUTE(SUBSTITUTE(SUBSTITUTE(SUBSTITUTE(SUBSTITUTE(SUBSTITUTE(SUBSTITUTE(SUBSTITUTE(SUBSTITUTE(SUBSTITUTE(LOWER(TRIM(G527)),"á","a"),"é","e"),"í","i"),"ó","o"),"ú","u"),"ü","u"),"ñ","n"),"à","a"),"è","e"),"ì","i"),"ò","o"),"ù","u"),"")</f>
        <v/>
      </c>
      <c r="U527" s="25">
        <f>IF(AND(Q527=1,H527&lt;&gt;""),SUBSTITUTE(SUBSTITUTE(SUBSTITUTE(SUBSTITUTE(SUBSTITUTE(SUBSTITUTE(SUBSTITUTE(SUBSTITUTE(SUBSTITUTE(SUBSTITUTE(SUBSTITUTE(SUBSTITUTE(LOWER(TRIM(H527)),"á","a"),"é","e"),"í","i"),"ó","o"),"ú","u"),"ü","u"),"ñ","n"),"à","a"),"è","e"),"ì","i"),"ò","o"),"ù","u"),"")</f>
        <v/>
      </c>
      <c r="V527" s="25">
        <f>IF(AND(Q527=1,L527&lt;&gt;""),SUBSTITUTE(SUBSTITUTE(SUBSTITUTE(SUBSTITUTE(SUBSTITUTE(SUBSTITUTE(SUBSTITUTE(SUBSTITUTE(SUBSTITUTE(SUBSTITUTE(SUBSTITUTE(SUBSTITUTE(LOWER(TRIM(L527)),"á","a"),"é","e"),"í","i"),"ó","o"),"ú","u"),"ü","u"),"ñ","n"),"à","a"),"è","e"),"ì","i"),"ò","o"),"ù","u"),"")</f>
        <v/>
      </c>
      <c r="W527" s="25">
        <f>IF(AND(Q527=1,I527&lt;&gt;""),SUBSTITUTE(SUBSTITUTE(SUBSTITUTE(SUBSTITUTE(SUBSTITUTE(SUBSTITUTE(SUBSTITUTE(SUBSTITUTE(SUBSTITUTE(SUBSTITUTE(SUBSTITUTE(SUBSTITUTE(LOWER(TRIM(I527)),"á","a"),"é","e"),"í","i"),"ó","o"),"ú","u"),"ü","u"),"ñ","n"),"à","a"),"è","e"),"ì","i"),"ò","o"),"ù","u"),"")</f>
        <v/>
      </c>
      <c r="X527" s="25">
        <f>IF(U527="","",IF(OR(U527="si, en la proxima tarea",U527="si, con cambios"),1,0))</f>
        <v/>
      </c>
      <c r="Y527" s="25">
        <f>IF(AND(Q527=1,A527&lt;&gt;""),IF(IFERROR(COUNTIFS(A$3:A527,"="&amp;SUBSTITUTE(SUBSTITUTE(SUBSTITUTE(A527,"~","~~"),"*","~*"),"?","~?"),Q$3:Q527,1),0)=1,MAX(Y$2:Y526)+1,""),"")</f>
        <v/>
      </c>
      <c r="Z527" s="25">
        <f>IF(Y527="","",COUNTIFS($A$3:$A$1002,"="&amp;SUBSTITUTE(SUBSTITUTE(SUBSTITUTE(A527,"~","~~"),"*","~*"),"?","~?"),$Q$3:$Q$1002,1)*10000-Y527)</f>
        <v/>
      </c>
    </row>
    <row r="528">
      <c r="A528">
        <f>IF(A$2=0,"",IFERROR(TRIM(INDEX('Pegar docentes'!$A$1:$BZ$1001,527,A$2)&amp;""),""))</f>
        <v/>
      </c>
      <c r="B528">
        <f>IF(B$2=0,"",IFERROR(TRIM(INDEX('Pegar docentes'!$A$1:$BZ$1001,527,B$2)&amp;""),""))</f>
        <v/>
      </c>
      <c r="C528">
        <f>IF(C$2=0,"",IFERROR(TRIM(INDEX('Pegar docentes'!$A$1:$BZ$1001,527,C$2)&amp;""),""))</f>
        <v/>
      </c>
      <c r="D528">
        <f>IF(D$2=0,"",IFERROR(TRIM(INDEX('Pegar docentes'!$A$1:$BZ$1001,527,D$2)&amp;""),""))</f>
        <v/>
      </c>
      <c r="E528">
        <f>IF(E$2=0,"",IFERROR(TRIM(INDEX('Pegar docentes'!$A$1:$BZ$1001,527,E$2)&amp;""),""))</f>
        <v/>
      </c>
      <c r="F528">
        <f>IF(F$2=0,"",IFERROR(TRIM(INDEX('Pegar docentes'!$A$1:$BZ$1001,527,F$2)&amp;""),""))</f>
        <v/>
      </c>
      <c r="G528">
        <f>IF(G$2=0,"",IFERROR(TRIM(INDEX('Pegar docentes'!$A$1:$BZ$1001,527,G$2)&amp;""),""))</f>
        <v/>
      </c>
      <c r="H528">
        <f>IF(H$2=0,"",IFERROR(TRIM(INDEX('Pegar docentes'!$A$1:$BZ$1001,527,H$2)&amp;""),""))</f>
        <v/>
      </c>
      <c r="I528">
        <f>IF(I$2=0,"",IFERROR(TRIM(INDEX('Pegar docentes'!$A$1:$BZ$1001,527,I$2)&amp;""),""))</f>
        <v/>
      </c>
      <c r="J528">
        <f>IF(J$2=0,"",IFERROR(TRIM(INDEX('Pegar docentes'!$A$1:$BZ$1001,527,J$2)&amp;""),""))</f>
        <v/>
      </c>
      <c r="K528">
        <f>IF(K$2=0,"",IFERROR(TRIM(INDEX('Pegar docentes'!$A$1:$BZ$1001,527,K$2)&amp;""),""))</f>
        <v/>
      </c>
      <c r="L528">
        <f>IF(L$2=0,"",IFERROR(TRIM(INDEX('Pegar docentes'!$A$1:$BZ$1001,527,L$2)&amp;""),""))</f>
        <v/>
      </c>
      <c r="M528">
        <f>IF(M$2=0,"",IFERROR(TRIM(INDEX('Pegar docentes'!$A$1:$BZ$1001,527,M$2)&amp;""),""))</f>
        <v/>
      </c>
      <c r="N528">
        <f>IF(N$2=0,"",IFERROR(TRIM(INDEX('Pegar docentes'!$A$1:$BZ$1001,527,N$2)&amp;""),""))</f>
        <v/>
      </c>
      <c r="O528">
        <f>IF(O$2=0,"",IFERROR(TRIM(INDEX('Pegar docentes'!$A$1:$BZ$1001,527,O$2)&amp;""),""))</f>
        <v/>
      </c>
      <c r="P528">
        <f>IF(P$2=0,"",IFERROR(TRIM(INDEX('Pegar docentes'!$A$1:$BZ$1001,527,P$2)&amp;""),""))</f>
        <v/>
      </c>
      <c r="Q528" s="25">
        <f>IF(OR(D528&lt;&gt;"",H528&lt;&gt;""),1,"")</f>
        <v/>
      </c>
      <c r="R528" s="25">
        <f>IF(Q528=1,IF(ISNUMBER(FIND("#"&amp;MID(D528,1,1)&amp;"#","#0#1#2#3#4#5#6#7#8#9#")),IF(ISNUMBER(FIND("#"&amp;MID(D528,2,1)&amp;"#","#0#1#2#3#4#5#6#7#8#9#")),IF(AND(VALUE(LEFT(D528,2))&gt;=1,VALUE(LEFT(D528,2))&lt;=5),VALUE(LEFT(D528,2)),""),IF(AND(VALUE(LEFT(D528,1))&gt;=1,VALUE(LEFT(D528,1))&lt;=5),VALUE(LEFT(D528,1)),"")),""),"")</f>
        <v/>
      </c>
      <c r="S528" s="25">
        <f>IF(AND(Q528=1,E528&lt;&gt;""),SUBSTITUTE(SUBSTITUTE(SUBSTITUTE(SUBSTITUTE(SUBSTITUTE(SUBSTITUTE(SUBSTITUTE(SUBSTITUTE(SUBSTITUTE(SUBSTITUTE(SUBSTITUTE(SUBSTITUTE(LOWER(TRIM(E528)),"á","a"),"é","e"),"í","i"),"ó","o"),"ú","u"),"ü","u"),"ñ","n"),"à","a"),"è","e"),"ì","i"),"ò","o"),"ù","u"),"")</f>
        <v/>
      </c>
      <c r="T528" s="25">
        <f>IF(AND(Q528=1,G528&lt;&gt;""),SUBSTITUTE(SUBSTITUTE(SUBSTITUTE(SUBSTITUTE(SUBSTITUTE(SUBSTITUTE(SUBSTITUTE(SUBSTITUTE(SUBSTITUTE(SUBSTITUTE(SUBSTITUTE(SUBSTITUTE(LOWER(TRIM(G528)),"á","a"),"é","e"),"í","i"),"ó","o"),"ú","u"),"ü","u"),"ñ","n"),"à","a"),"è","e"),"ì","i"),"ò","o"),"ù","u"),"")</f>
        <v/>
      </c>
      <c r="U528" s="25">
        <f>IF(AND(Q528=1,H528&lt;&gt;""),SUBSTITUTE(SUBSTITUTE(SUBSTITUTE(SUBSTITUTE(SUBSTITUTE(SUBSTITUTE(SUBSTITUTE(SUBSTITUTE(SUBSTITUTE(SUBSTITUTE(SUBSTITUTE(SUBSTITUTE(LOWER(TRIM(H528)),"á","a"),"é","e"),"í","i"),"ó","o"),"ú","u"),"ü","u"),"ñ","n"),"à","a"),"è","e"),"ì","i"),"ò","o"),"ù","u"),"")</f>
        <v/>
      </c>
      <c r="V528" s="25">
        <f>IF(AND(Q528=1,L528&lt;&gt;""),SUBSTITUTE(SUBSTITUTE(SUBSTITUTE(SUBSTITUTE(SUBSTITUTE(SUBSTITUTE(SUBSTITUTE(SUBSTITUTE(SUBSTITUTE(SUBSTITUTE(SUBSTITUTE(SUBSTITUTE(LOWER(TRIM(L528)),"á","a"),"é","e"),"í","i"),"ó","o"),"ú","u"),"ü","u"),"ñ","n"),"à","a"),"è","e"),"ì","i"),"ò","o"),"ù","u"),"")</f>
        <v/>
      </c>
      <c r="W528" s="25">
        <f>IF(AND(Q528=1,I528&lt;&gt;""),SUBSTITUTE(SUBSTITUTE(SUBSTITUTE(SUBSTITUTE(SUBSTITUTE(SUBSTITUTE(SUBSTITUTE(SUBSTITUTE(SUBSTITUTE(SUBSTITUTE(SUBSTITUTE(SUBSTITUTE(LOWER(TRIM(I528)),"á","a"),"é","e"),"í","i"),"ó","o"),"ú","u"),"ü","u"),"ñ","n"),"à","a"),"è","e"),"ì","i"),"ò","o"),"ù","u"),"")</f>
        <v/>
      </c>
      <c r="X528" s="25">
        <f>IF(U528="","",IF(OR(U528="si, en la proxima tarea",U528="si, con cambios"),1,0))</f>
        <v/>
      </c>
      <c r="Y528" s="25">
        <f>IF(AND(Q528=1,A528&lt;&gt;""),IF(IFERROR(COUNTIFS(A$3:A528,"="&amp;SUBSTITUTE(SUBSTITUTE(SUBSTITUTE(A528,"~","~~"),"*","~*"),"?","~?"),Q$3:Q528,1),0)=1,MAX(Y$2:Y527)+1,""),"")</f>
        <v/>
      </c>
      <c r="Z528" s="25">
        <f>IF(Y528="","",COUNTIFS($A$3:$A$1002,"="&amp;SUBSTITUTE(SUBSTITUTE(SUBSTITUTE(A528,"~","~~"),"*","~*"),"?","~?"),$Q$3:$Q$1002,1)*10000-Y528)</f>
        <v/>
      </c>
    </row>
    <row r="529">
      <c r="A529">
        <f>IF(A$2=0,"",IFERROR(TRIM(INDEX('Pegar docentes'!$A$1:$BZ$1001,528,A$2)&amp;""),""))</f>
        <v/>
      </c>
      <c r="B529">
        <f>IF(B$2=0,"",IFERROR(TRIM(INDEX('Pegar docentes'!$A$1:$BZ$1001,528,B$2)&amp;""),""))</f>
        <v/>
      </c>
      <c r="C529">
        <f>IF(C$2=0,"",IFERROR(TRIM(INDEX('Pegar docentes'!$A$1:$BZ$1001,528,C$2)&amp;""),""))</f>
        <v/>
      </c>
      <c r="D529">
        <f>IF(D$2=0,"",IFERROR(TRIM(INDEX('Pegar docentes'!$A$1:$BZ$1001,528,D$2)&amp;""),""))</f>
        <v/>
      </c>
      <c r="E529">
        <f>IF(E$2=0,"",IFERROR(TRIM(INDEX('Pegar docentes'!$A$1:$BZ$1001,528,E$2)&amp;""),""))</f>
        <v/>
      </c>
      <c r="F529">
        <f>IF(F$2=0,"",IFERROR(TRIM(INDEX('Pegar docentes'!$A$1:$BZ$1001,528,F$2)&amp;""),""))</f>
        <v/>
      </c>
      <c r="G529">
        <f>IF(G$2=0,"",IFERROR(TRIM(INDEX('Pegar docentes'!$A$1:$BZ$1001,528,G$2)&amp;""),""))</f>
        <v/>
      </c>
      <c r="H529">
        <f>IF(H$2=0,"",IFERROR(TRIM(INDEX('Pegar docentes'!$A$1:$BZ$1001,528,H$2)&amp;""),""))</f>
        <v/>
      </c>
      <c r="I529">
        <f>IF(I$2=0,"",IFERROR(TRIM(INDEX('Pegar docentes'!$A$1:$BZ$1001,528,I$2)&amp;""),""))</f>
        <v/>
      </c>
      <c r="J529">
        <f>IF(J$2=0,"",IFERROR(TRIM(INDEX('Pegar docentes'!$A$1:$BZ$1001,528,J$2)&amp;""),""))</f>
        <v/>
      </c>
      <c r="K529">
        <f>IF(K$2=0,"",IFERROR(TRIM(INDEX('Pegar docentes'!$A$1:$BZ$1001,528,K$2)&amp;""),""))</f>
        <v/>
      </c>
      <c r="L529">
        <f>IF(L$2=0,"",IFERROR(TRIM(INDEX('Pegar docentes'!$A$1:$BZ$1001,528,L$2)&amp;""),""))</f>
        <v/>
      </c>
      <c r="M529">
        <f>IF(M$2=0,"",IFERROR(TRIM(INDEX('Pegar docentes'!$A$1:$BZ$1001,528,M$2)&amp;""),""))</f>
        <v/>
      </c>
      <c r="N529">
        <f>IF(N$2=0,"",IFERROR(TRIM(INDEX('Pegar docentes'!$A$1:$BZ$1001,528,N$2)&amp;""),""))</f>
        <v/>
      </c>
      <c r="O529">
        <f>IF(O$2=0,"",IFERROR(TRIM(INDEX('Pegar docentes'!$A$1:$BZ$1001,528,O$2)&amp;""),""))</f>
        <v/>
      </c>
      <c r="P529">
        <f>IF(P$2=0,"",IFERROR(TRIM(INDEX('Pegar docentes'!$A$1:$BZ$1001,528,P$2)&amp;""),""))</f>
        <v/>
      </c>
      <c r="Q529" s="25">
        <f>IF(OR(D529&lt;&gt;"",H529&lt;&gt;""),1,"")</f>
        <v/>
      </c>
      <c r="R529" s="25">
        <f>IF(Q529=1,IF(ISNUMBER(FIND("#"&amp;MID(D529,1,1)&amp;"#","#0#1#2#3#4#5#6#7#8#9#")),IF(ISNUMBER(FIND("#"&amp;MID(D529,2,1)&amp;"#","#0#1#2#3#4#5#6#7#8#9#")),IF(AND(VALUE(LEFT(D529,2))&gt;=1,VALUE(LEFT(D529,2))&lt;=5),VALUE(LEFT(D529,2)),""),IF(AND(VALUE(LEFT(D529,1))&gt;=1,VALUE(LEFT(D529,1))&lt;=5),VALUE(LEFT(D529,1)),"")),""),"")</f>
        <v/>
      </c>
      <c r="S529" s="25">
        <f>IF(AND(Q529=1,E529&lt;&gt;""),SUBSTITUTE(SUBSTITUTE(SUBSTITUTE(SUBSTITUTE(SUBSTITUTE(SUBSTITUTE(SUBSTITUTE(SUBSTITUTE(SUBSTITUTE(SUBSTITUTE(SUBSTITUTE(SUBSTITUTE(LOWER(TRIM(E529)),"á","a"),"é","e"),"í","i"),"ó","o"),"ú","u"),"ü","u"),"ñ","n"),"à","a"),"è","e"),"ì","i"),"ò","o"),"ù","u"),"")</f>
        <v/>
      </c>
      <c r="T529" s="25">
        <f>IF(AND(Q529=1,G529&lt;&gt;""),SUBSTITUTE(SUBSTITUTE(SUBSTITUTE(SUBSTITUTE(SUBSTITUTE(SUBSTITUTE(SUBSTITUTE(SUBSTITUTE(SUBSTITUTE(SUBSTITUTE(SUBSTITUTE(SUBSTITUTE(LOWER(TRIM(G529)),"á","a"),"é","e"),"í","i"),"ó","o"),"ú","u"),"ü","u"),"ñ","n"),"à","a"),"è","e"),"ì","i"),"ò","o"),"ù","u"),"")</f>
        <v/>
      </c>
      <c r="U529" s="25">
        <f>IF(AND(Q529=1,H529&lt;&gt;""),SUBSTITUTE(SUBSTITUTE(SUBSTITUTE(SUBSTITUTE(SUBSTITUTE(SUBSTITUTE(SUBSTITUTE(SUBSTITUTE(SUBSTITUTE(SUBSTITUTE(SUBSTITUTE(SUBSTITUTE(LOWER(TRIM(H529)),"á","a"),"é","e"),"í","i"),"ó","o"),"ú","u"),"ü","u"),"ñ","n"),"à","a"),"è","e"),"ì","i"),"ò","o"),"ù","u"),"")</f>
        <v/>
      </c>
      <c r="V529" s="25">
        <f>IF(AND(Q529=1,L529&lt;&gt;""),SUBSTITUTE(SUBSTITUTE(SUBSTITUTE(SUBSTITUTE(SUBSTITUTE(SUBSTITUTE(SUBSTITUTE(SUBSTITUTE(SUBSTITUTE(SUBSTITUTE(SUBSTITUTE(SUBSTITUTE(LOWER(TRIM(L529)),"á","a"),"é","e"),"í","i"),"ó","o"),"ú","u"),"ü","u"),"ñ","n"),"à","a"),"è","e"),"ì","i"),"ò","o"),"ù","u"),"")</f>
        <v/>
      </c>
      <c r="W529" s="25">
        <f>IF(AND(Q529=1,I529&lt;&gt;""),SUBSTITUTE(SUBSTITUTE(SUBSTITUTE(SUBSTITUTE(SUBSTITUTE(SUBSTITUTE(SUBSTITUTE(SUBSTITUTE(SUBSTITUTE(SUBSTITUTE(SUBSTITUTE(SUBSTITUTE(LOWER(TRIM(I529)),"á","a"),"é","e"),"í","i"),"ó","o"),"ú","u"),"ü","u"),"ñ","n"),"à","a"),"è","e"),"ì","i"),"ò","o"),"ù","u"),"")</f>
        <v/>
      </c>
      <c r="X529" s="25">
        <f>IF(U529="","",IF(OR(U529="si, en la proxima tarea",U529="si, con cambios"),1,0))</f>
        <v/>
      </c>
      <c r="Y529" s="25">
        <f>IF(AND(Q529=1,A529&lt;&gt;""),IF(IFERROR(COUNTIFS(A$3:A529,"="&amp;SUBSTITUTE(SUBSTITUTE(SUBSTITUTE(A529,"~","~~"),"*","~*"),"?","~?"),Q$3:Q529,1),0)=1,MAX(Y$2:Y528)+1,""),"")</f>
        <v/>
      </c>
      <c r="Z529" s="25">
        <f>IF(Y529="","",COUNTIFS($A$3:$A$1002,"="&amp;SUBSTITUTE(SUBSTITUTE(SUBSTITUTE(A529,"~","~~"),"*","~*"),"?","~?"),$Q$3:$Q$1002,1)*10000-Y529)</f>
        <v/>
      </c>
    </row>
    <row r="530">
      <c r="A530">
        <f>IF(A$2=0,"",IFERROR(TRIM(INDEX('Pegar docentes'!$A$1:$BZ$1001,529,A$2)&amp;""),""))</f>
        <v/>
      </c>
      <c r="B530">
        <f>IF(B$2=0,"",IFERROR(TRIM(INDEX('Pegar docentes'!$A$1:$BZ$1001,529,B$2)&amp;""),""))</f>
        <v/>
      </c>
      <c r="C530">
        <f>IF(C$2=0,"",IFERROR(TRIM(INDEX('Pegar docentes'!$A$1:$BZ$1001,529,C$2)&amp;""),""))</f>
        <v/>
      </c>
      <c r="D530">
        <f>IF(D$2=0,"",IFERROR(TRIM(INDEX('Pegar docentes'!$A$1:$BZ$1001,529,D$2)&amp;""),""))</f>
        <v/>
      </c>
      <c r="E530">
        <f>IF(E$2=0,"",IFERROR(TRIM(INDEX('Pegar docentes'!$A$1:$BZ$1001,529,E$2)&amp;""),""))</f>
        <v/>
      </c>
      <c r="F530">
        <f>IF(F$2=0,"",IFERROR(TRIM(INDEX('Pegar docentes'!$A$1:$BZ$1001,529,F$2)&amp;""),""))</f>
        <v/>
      </c>
      <c r="G530">
        <f>IF(G$2=0,"",IFERROR(TRIM(INDEX('Pegar docentes'!$A$1:$BZ$1001,529,G$2)&amp;""),""))</f>
        <v/>
      </c>
      <c r="H530">
        <f>IF(H$2=0,"",IFERROR(TRIM(INDEX('Pegar docentes'!$A$1:$BZ$1001,529,H$2)&amp;""),""))</f>
        <v/>
      </c>
      <c r="I530">
        <f>IF(I$2=0,"",IFERROR(TRIM(INDEX('Pegar docentes'!$A$1:$BZ$1001,529,I$2)&amp;""),""))</f>
        <v/>
      </c>
      <c r="J530">
        <f>IF(J$2=0,"",IFERROR(TRIM(INDEX('Pegar docentes'!$A$1:$BZ$1001,529,J$2)&amp;""),""))</f>
        <v/>
      </c>
      <c r="K530">
        <f>IF(K$2=0,"",IFERROR(TRIM(INDEX('Pegar docentes'!$A$1:$BZ$1001,529,K$2)&amp;""),""))</f>
        <v/>
      </c>
      <c r="L530">
        <f>IF(L$2=0,"",IFERROR(TRIM(INDEX('Pegar docentes'!$A$1:$BZ$1001,529,L$2)&amp;""),""))</f>
        <v/>
      </c>
      <c r="M530">
        <f>IF(M$2=0,"",IFERROR(TRIM(INDEX('Pegar docentes'!$A$1:$BZ$1001,529,M$2)&amp;""),""))</f>
        <v/>
      </c>
      <c r="N530">
        <f>IF(N$2=0,"",IFERROR(TRIM(INDEX('Pegar docentes'!$A$1:$BZ$1001,529,N$2)&amp;""),""))</f>
        <v/>
      </c>
      <c r="O530">
        <f>IF(O$2=0,"",IFERROR(TRIM(INDEX('Pegar docentes'!$A$1:$BZ$1001,529,O$2)&amp;""),""))</f>
        <v/>
      </c>
      <c r="P530">
        <f>IF(P$2=0,"",IFERROR(TRIM(INDEX('Pegar docentes'!$A$1:$BZ$1001,529,P$2)&amp;""),""))</f>
        <v/>
      </c>
      <c r="Q530" s="25">
        <f>IF(OR(D530&lt;&gt;"",H530&lt;&gt;""),1,"")</f>
        <v/>
      </c>
      <c r="R530" s="25">
        <f>IF(Q530=1,IF(ISNUMBER(FIND("#"&amp;MID(D530,1,1)&amp;"#","#0#1#2#3#4#5#6#7#8#9#")),IF(ISNUMBER(FIND("#"&amp;MID(D530,2,1)&amp;"#","#0#1#2#3#4#5#6#7#8#9#")),IF(AND(VALUE(LEFT(D530,2))&gt;=1,VALUE(LEFT(D530,2))&lt;=5),VALUE(LEFT(D530,2)),""),IF(AND(VALUE(LEFT(D530,1))&gt;=1,VALUE(LEFT(D530,1))&lt;=5),VALUE(LEFT(D530,1)),"")),""),"")</f>
        <v/>
      </c>
      <c r="S530" s="25">
        <f>IF(AND(Q530=1,E530&lt;&gt;""),SUBSTITUTE(SUBSTITUTE(SUBSTITUTE(SUBSTITUTE(SUBSTITUTE(SUBSTITUTE(SUBSTITUTE(SUBSTITUTE(SUBSTITUTE(SUBSTITUTE(SUBSTITUTE(SUBSTITUTE(LOWER(TRIM(E530)),"á","a"),"é","e"),"í","i"),"ó","o"),"ú","u"),"ü","u"),"ñ","n"),"à","a"),"è","e"),"ì","i"),"ò","o"),"ù","u"),"")</f>
        <v/>
      </c>
      <c r="T530" s="25">
        <f>IF(AND(Q530=1,G530&lt;&gt;""),SUBSTITUTE(SUBSTITUTE(SUBSTITUTE(SUBSTITUTE(SUBSTITUTE(SUBSTITUTE(SUBSTITUTE(SUBSTITUTE(SUBSTITUTE(SUBSTITUTE(SUBSTITUTE(SUBSTITUTE(LOWER(TRIM(G530)),"á","a"),"é","e"),"í","i"),"ó","o"),"ú","u"),"ü","u"),"ñ","n"),"à","a"),"è","e"),"ì","i"),"ò","o"),"ù","u"),"")</f>
        <v/>
      </c>
      <c r="U530" s="25">
        <f>IF(AND(Q530=1,H530&lt;&gt;""),SUBSTITUTE(SUBSTITUTE(SUBSTITUTE(SUBSTITUTE(SUBSTITUTE(SUBSTITUTE(SUBSTITUTE(SUBSTITUTE(SUBSTITUTE(SUBSTITUTE(SUBSTITUTE(SUBSTITUTE(LOWER(TRIM(H530)),"á","a"),"é","e"),"í","i"),"ó","o"),"ú","u"),"ü","u"),"ñ","n"),"à","a"),"è","e"),"ì","i"),"ò","o"),"ù","u"),"")</f>
        <v/>
      </c>
      <c r="V530" s="25">
        <f>IF(AND(Q530=1,L530&lt;&gt;""),SUBSTITUTE(SUBSTITUTE(SUBSTITUTE(SUBSTITUTE(SUBSTITUTE(SUBSTITUTE(SUBSTITUTE(SUBSTITUTE(SUBSTITUTE(SUBSTITUTE(SUBSTITUTE(SUBSTITUTE(LOWER(TRIM(L530)),"á","a"),"é","e"),"í","i"),"ó","o"),"ú","u"),"ü","u"),"ñ","n"),"à","a"),"è","e"),"ì","i"),"ò","o"),"ù","u"),"")</f>
        <v/>
      </c>
      <c r="W530" s="25">
        <f>IF(AND(Q530=1,I530&lt;&gt;""),SUBSTITUTE(SUBSTITUTE(SUBSTITUTE(SUBSTITUTE(SUBSTITUTE(SUBSTITUTE(SUBSTITUTE(SUBSTITUTE(SUBSTITUTE(SUBSTITUTE(SUBSTITUTE(SUBSTITUTE(LOWER(TRIM(I530)),"á","a"),"é","e"),"í","i"),"ó","o"),"ú","u"),"ü","u"),"ñ","n"),"à","a"),"è","e"),"ì","i"),"ò","o"),"ù","u"),"")</f>
        <v/>
      </c>
      <c r="X530" s="25">
        <f>IF(U530="","",IF(OR(U530="si, en la proxima tarea",U530="si, con cambios"),1,0))</f>
        <v/>
      </c>
      <c r="Y530" s="25">
        <f>IF(AND(Q530=1,A530&lt;&gt;""),IF(IFERROR(COUNTIFS(A$3:A530,"="&amp;SUBSTITUTE(SUBSTITUTE(SUBSTITUTE(A530,"~","~~"),"*","~*"),"?","~?"),Q$3:Q530,1),0)=1,MAX(Y$2:Y529)+1,""),"")</f>
        <v/>
      </c>
      <c r="Z530" s="25">
        <f>IF(Y530="","",COUNTIFS($A$3:$A$1002,"="&amp;SUBSTITUTE(SUBSTITUTE(SUBSTITUTE(A530,"~","~~"),"*","~*"),"?","~?"),$Q$3:$Q$1002,1)*10000-Y530)</f>
        <v/>
      </c>
    </row>
    <row r="531">
      <c r="A531">
        <f>IF(A$2=0,"",IFERROR(TRIM(INDEX('Pegar docentes'!$A$1:$BZ$1001,530,A$2)&amp;""),""))</f>
        <v/>
      </c>
      <c r="B531">
        <f>IF(B$2=0,"",IFERROR(TRIM(INDEX('Pegar docentes'!$A$1:$BZ$1001,530,B$2)&amp;""),""))</f>
        <v/>
      </c>
      <c r="C531">
        <f>IF(C$2=0,"",IFERROR(TRIM(INDEX('Pegar docentes'!$A$1:$BZ$1001,530,C$2)&amp;""),""))</f>
        <v/>
      </c>
      <c r="D531">
        <f>IF(D$2=0,"",IFERROR(TRIM(INDEX('Pegar docentes'!$A$1:$BZ$1001,530,D$2)&amp;""),""))</f>
        <v/>
      </c>
      <c r="E531">
        <f>IF(E$2=0,"",IFERROR(TRIM(INDEX('Pegar docentes'!$A$1:$BZ$1001,530,E$2)&amp;""),""))</f>
        <v/>
      </c>
      <c r="F531">
        <f>IF(F$2=0,"",IFERROR(TRIM(INDEX('Pegar docentes'!$A$1:$BZ$1001,530,F$2)&amp;""),""))</f>
        <v/>
      </c>
      <c r="G531">
        <f>IF(G$2=0,"",IFERROR(TRIM(INDEX('Pegar docentes'!$A$1:$BZ$1001,530,G$2)&amp;""),""))</f>
        <v/>
      </c>
      <c r="H531">
        <f>IF(H$2=0,"",IFERROR(TRIM(INDEX('Pegar docentes'!$A$1:$BZ$1001,530,H$2)&amp;""),""))</f>
        <v/>
      </c>
      <c r="I531">
        <f>IF(I$2=0,"",IFERROR(TRIM(INDEX('Pegar docentes'!$A$1:$BZ$1001,530,I$2)&amp;""),""))</f>
        <v/>
      </c>
      <c r="J531">
        <f>IF(J$2=0,"",IFERROR(TRIM(INDEX('Pegar docentes'!$A$1:$BZ$1001,530,J$2)&amp;""),""))</f>
        <v/>
      </c>
      <c r="K531">
        <f>IF(K$2=0,"",IFERROR(TRIM(INDEX('Pegar docentes'!$A$1:$BZ$1001,530,K$2)&amp;""),""))</f>
        <v/>
      </c>
      <c r="L531">
        <f>IF(L$2=0,"",IFERROR(TRIM(INDEX('Pegar docentes'!$A$1:$BZ$1001,530,L$2)&amp;""),""))</f>
        <v/>
      </c>
      <c r="M531">
        <f>IF(M$2=0,"",IFERROR(TRIM(INDEX('Pegar docentes'!$A$1:$BZ$1001,530,M$2)&amp;""),""))</f>
        <v/>
      </c>
      <c r="N531">
        <f>IF(N$2=0,"",IFERROR(TRIM(INDEX('Pegar docentes'!$A$1:$BZ$1001,530,N$2)&amp;""),""))</f>
        <v/>
      </c>
      <c r="O531">
        <f>IF(O$2=0,"",IFERROR(TRIM(INDEX('Pegar docentes'!$A$1:$BZ$1001,530,O$2)&amp;""),""))</f>
        <v/>
      </c>
      <c r="P531">
        <f>IF(P$2=0,"",IFERROR(TRIM(INDEX('Pegar docentes'!$A$1:$BZ$1001,530,P$2)&amp;""),""))</f>
        <v/>
      </c>
      <c r="Q531" s="25">
        <f>IF(OR(D531&lt;&gt;"",H531&lt;&gt;""),1,"")</f>
        <v/>
      </c>
      <c r="R531" s="25">
        <f>IF(Q531=1,IF(ISNUMBER(FIND("#"&amp;MID(D531,1,1)&amp;"#","#0#1#2#3#4#5#6#7#8#9#")),IF(ISNUMBER(FIND("#"&amp;MID(D531,2,1)&amp;"#","#0#1#2#3#4#5#6#7#8#9#")),IF(AND(VALUE(LEFT(D531,2))&gt;=1,VALUE(LEFT(D531,2))&lt;=5),VALUE(LEFT(D531,2)),""),IF(AND(VALUE(LEFT(D531,1))&gt;=1,VALUE(LEFT(D531,1))&lt;=5),VALUE(LEFT(D531,1)),"")),""),"")</f>
        <v/>
      </c>
      <c r="S531" s="25">
        <f>IF(AND(Q531=1,E531&lt;&gt;""),SUBSTITUTE(SUBSTITUTE(SUBSTITUTE(SUBSTITUTE(SUBSTITUTE(SUBSTITUTE(SUBSTITUTE(SUBSTITUTE(SUBSTITUTE(SUBSTITUTE(SUBSTITUTE(SUBSTITUTE(LOWER(TRIM(E531)),"á","a"),"é","e"),"í","i"),"ó","o"),"ú","u"),"ü","u"),"ñ","n"),"à","a"),"è","e"),"ì","i"),"ò","o"),"ù","u"),"")</f>
        <v/>
      </c>
      <c r="T531" s="25">
        <f>IF(AND(Q531=1,G531&lt;&gt;""),SUBSTITUTE(SUBSTITUTE(SUBSTITUTE(SUBSTITUTE(SUBSTITUTE(SUBSTITUTE(SUBSTITUTE(SUBSTITUTE(SUBSTITUTE(SUBSTITUTE(SUBSTITUTE(SUBSTITUTE(LOWER(TRIM(G531)),"á","a"),"é","e"),"í","i"),"ó","o"),"ú","u"),"ü","u"),"ñ","n"),"à","a"),"è","e"),"ì","i"),"ò","o"),"ù","u"),"")</f>
        <v/>
      </c>
      <c r="U531" s="25">
        <f>IF(AND(Q531=1,H531&lt;&gt;""),SUBSTITUTE(SUBSTITUTE(SUBSTITUTE(SUBSTITUTE(SUBSTITUTE(SUBSTITUTE(SUBSTITUTE(SUBSTITUTE(SUBSTITUTE(SUBSTITUTE(SUBSTITUTE(SUBSTITUTE(LOWER(TRIM(H531)),"á","a"),"é","e"),"í","i"),"ó","o"),"ú","u"),"ü","u"),"ñ","n"),"à","a"),"è","e"),"ì","i"),"ò","o"),"ù","u"),"")</f>
        <v/>
      </c>
      <c r="V531" s="25">
        <f>IF(AND(Q531=1,L531&lt;&gt;""),SUBSTITUTE(SUBSTITUTE(SUBSTITUTE(SUBSTITUTE(SUBSTITUTE(SUBSTITUTE(SUBSTITUTE(SUBSTITUTE(SUBSTITUTE(SUBSTITUTE(SUBSTITUTE(SUBSTITUTE(LOWER(TRIM(L531)),"á","a"),"é","e"),"í","i"),"ó","o"),"ú","u"),"ü","u"),"ñ","n"),"à","a"),"è","e"),"ì","i"),"ò","o"),"ù","u"),"")</f>
        <v/>
      </c>
      <c r="W531" s="25">
        <f>IF(AND(Q531=1,I531&lt;&gt;""),SUBSTITUTE(SUBSTITUTE(SUBSTITUTE(SUBSTITUTE(SUBSTITUTE(SUBSTITUTE(SUBSTITUTE(SUBSTITUTE(SUBSTITUTE(SUBSTITUTE(SUBSTITUTE(SUBSTITUTE(LOWER(TRIM(I531)),"á","a"),"é","e"),"í","i"),"ó","o"),"ú","u"),"ü","u"),"ñ","n"),"à","a"),"è","e"),"ì","i"),"ò","o"),"ù","u"),"")</f>
        <v/>
      </c>
      <c r="X531" s="25">
        <f>IF(U531="","",IF(OR(U531="si, en la proxima tarea",U531="si, con cambios"),1,0))</f>
        <v/>
      </c>
      <c r="Y531" s="25">
        <f>IF(AND(Q531=1,A531&lt;&gt;""),IF(IFERROR(COUNTIFS(A$3:A531,"="&amp;SUBSTITUTE(SUBSTITUTE(SUBSTITUTE(A531,"~","~~"),"*","~*"),"?","~?"),Q$3:Q531,1),0)=1,MAX(Y$2:Y530)+1,""),"")</f>
        <v/>
      </c>
      <c r="Z531" s="25">
        <f>IF(Y531="","",COUNTIFS($A$3:$A$1002,"="&amp;SUBSTITUTE(SUBSTITUTE(SUBSTITUTE(A531,"~","~~"),"*","~*"),"?","~?"),$Q$3:$Q$1002,1)*10000-Y531)</f>
        <v/>
      </c>
    </row>
    <row r="532">
      <c r="A532">
        <f>IF(A$2=0,"",IFERROR(TRIM(INDEX('Pegar docentes'!$A$1:$BZ$1001,531,A$2)&amp;""),""))</f>
        <v/>
      </c>
      <c r="B532">
        <f>IF(B$2=0,"",IFERROR(TRIM(INDEX('Pegar docentes'!$A$1:$BZ$1001,531,B$2)&amp;""),""))</f>
        <v/>
      </c>
      <c r="C532">
        <f>IF(C$2=0,"",IFERROR(TRIM(INDEX('Pegar docentes'!$A$1:$BZ$1001,531,C$2)&amp;""),""))</f>
        <v/>
      </c>
      <c r="D532">
        <f>IF(D$2=0,"",IFERROR(TRIM(INDEX('Pegar docentes'!$A$1:$BZ$1001,531,D$2)&amp;""),""))</f>
        <v/>
      </c>
      <c r="E532">
        <f>IF(E$2=0,"",IFERROR(TRIM(INDEX('Pegar docentes'!$A$1:$BZ$1001,531,E$2)&amp;""),""))</f>
        <v/>
      </c>
      <c r="F532">
        <f>IF(F$2=0,"",IFERROR(TRIM(INDEX('Pegar docentes'!$A$1:$BZ$1001,531,F$2)&amp;""),""))</f>
        <v/>
      </c>
      <c r="G532">
        <f>IF(G$2=0,"",IFERROR(TRIM(INDEX('Pegar docentes'!$A$1:$BZ$1001,531,G$2)&amp;""),""))</f>
        <v/>
      </c>
      <c r="H532">
        <f>IF(H$2=0,"",IFERROR(TRIM(INDEX('Pegar docentes'!$A$1:$BZ$1001,531,H$2)&amp;""),""))</f>
        <v/>
      </c>
      <c r="I532">
        <f>IF(I$2=0,"",IFERROR(TRIM(INDEX('Pegar docentes'!$A$1:$BZ$1001,531,I$2)&amp;""),""))</f>
        <v/>
      </c>
      <c r="J532">
        <f>IF(J$2=0,"",IFERROR(TRIM(INDEX('Pegar docentes'!$A$1:$BZ$1001,531,J$2)&amp;""),""))</f>
        <v/>
      </c>
      <c r="K532">
        <f>IF(K$2=0,"",IFERROR(TRIM(INDEX('Pegar docentes'!$A$1:$BZ$1001,531,K$2)&amp;""),""))</f>
        <v/>
      </c>
      <c r="L532">
        <f>IF(L$2=0,"",IFERROR(TRIM(INDEX('Pegar docentes'!$A$1:$BZ$1001,531,L$2)&amp;""),""))</f>
        <v/>
      </c>
      <c r="M532">
        <f>IF(M$2=0,"",IFERROR(TRIM(INDEX('Pegar docentes'!$A$1:$BZ$1001,531,M$2)&amp;""),""))</f>
        <v/>
      </c>
      <c r="N532">
        <f>IF(N$2=0,"",IFERROR(TRIM(INDEX('Pegar docentes'!$A$1:$BZ$1001,531,N$2)&amp;""),""))</f>
        <v/>
      </c>
      <c r="O532">
        <f>IF(O$2=0,"",IFERROR(TRIM(INDEX('Pegar docentes'!$A$1:$BZ$1001,531,O$2)&amp;""),""))</f>
        <v/>
      </c>
      <c r="P532">
        <f>IF(P$2=0,"",IFERROR(TRIM(INDEX('Pegar docentes'!$A$1:$BZ$1001,531,P$2)&amp;""),""))</f>
        <v/>
      </c>
      <c r="Q532" s="25">
        <f>IF(OR(D532&lt;&gt;"",H532&lt;&gt;""),1,"")</f>
        <v/>
      </c>
      <c r="R532" s="25">
        <f>IF(Q532=1,IF(ISNUMBER(FIND("#"&amp;MID(D532,1,1)&amp;"#","#0#1#2#3#4#5#6#7#8#9#")),IF(ISNUMBER(FIND("#"&amp;MID(D532,2,1)&amp;"#","#0#1#2#3#4#5#6#7#8#9#")),IF(AND(VALUE(LEFT(D532,2))&gt;=1,VALUE(LEFT(D532,2))&lt;=5),VALUE(LEFT(D532,2)),""),IF(AND(VALUE(LEFT(D532,1))&gt;=1,VALUE(LEFT(D532,1))&lt;=5),VALUE(LEFT(D532,1)),"")),""),"")</f>
        <v/>
      </c>
      <c r="S532" s="25">
        <f>IF(AND(Q532=1,E532&lt;&gt;""),SUBSTITUTE(SUBSTITUTE(SUBSTITUTE(SUBSTITUTE(SUBSTITUTE(SUBSTITUTE(SUBSTITUTE(SUBSTITUTE(SUBSTITUTE(SUBSTITUTE(SUBSTITUTE(SUBSTITUTE(LOWER(TRIM(E532)),"á","a"),"é","e"),"í","i"),"ó","o"),"ú","u"),"ü","u"),"ñ","n"),"à","a"),"è","e"),"ì","i"),"ò","o"),"ù","u"),"")</f>
        <v/>
      </c>
      <c r="T532" s="25">
        <f>IF(AND(Q532=1,G532&lt;&gt;""),SUBSTITUTE(SUBSTITUTE(SUBSTITUTE(SUBSTITUTE(SUBSTITUTE(SUBSTITUTE(SUBSTITUTE(SUBSTITUTE(SUBSTITUTE(SUBSTITUTE(SUBSTITUTE(SUBSTITUTE(LOWER(TRIM(G532)),"á","a"),"é","e"),"í","i"),"ó","o"),"ú","u"),"ü","u"),"ñ","n"),"à","a"),"è","e"),"ì","i"),"ò","o"),"ù","u"),"")</f>
        <v/>
      </c>
      <c r="U532" s="25">
        <f>IF(AND(Q532=1,H532&lt;&gt;""),SUBSTITUTE(SUBSTITUTE(SUBSTITUTE(SUBSTITUTE(SUBSTITUTE(SUBSTITUTE(SUBSTITUTE(SUBSTITUTE(SUBSTITUTE(SUBSTITUTE(SUBSTITUTE(SUBSTITUTE(LOWER(TRIM(H532)),"á","a"),"é","e"),"í","i"),"ó","o"),"ú","u"),"ü","u"),"ñ","n"),"à","a"),"è","e"),"ì","i"),"ò","o"),"ù","u"),"")</f>
        <v/>
      </c>
      <c r="V532" s="25">
        <f>IF(AND(Q532=1,L532&lt;&gt;""),SUBSTITUTE(SUBSTITUTE(SUBSTITUTE(SUBSTITUTE(SUBSTITUTE(SUBSTITUTE(SUBSTITUTE(SUBSTITUTE(SUBSTITUTE(SUBSTITUTE(SUBSTITUTE(SUBSTITUTE(LOWER(TRIM(L532)),"á","a"),"é","e"),"í","i"),"ó","o"),"ú","u"),"ü","u"),"ñ","n"),"à","a"),"è","e"),"ì","i"),"ò","o"),"ù","u"),"")</f>
        <v/>
      </c>
      <c r="W532" s="25">
        <f>IF(AND(Q532=1,I532&lt;&gt;""),SUBSTITUTE(SUBSTITUTE(SUBSTITUTE(SUBSTITUTE(SUBSTITUTE(SUBSTITUTE(SUBSTITUTE(SUBSTITUTE(SUBSTITUTE(SUBSTITUTE(SUBSTITUTE(SUBSTITUTE(LOWER(TRIM(I532)),"á","a"),"é","e"),"í","i"),"ó","o"),"ú","u"),"ü","u"),"ñ","n"),"à","a"),"è","e"),"ì","i"),"ò","o"),"ù","u"),"")</f>
        <v/>
      </c>
      <c r="X532" s="25">
        <f>IF(U532="","",IF(OR(U532="si, en la proxima tarea",U532="si, con cambios"),1,0))</f>
        <v/>
      </c>
      <c r="Y532" s="25">
        <f>IF(AND(Q532=1,A532&lt;&gt;""),IF(IFERROR(COUNTIFS(A$3:A532,"="&amp;SUBSTITUTE(SUBSTITUTE(SUBSTITUTE(A532,"~","~~"),"*","~*"),"?","~?"),Q$3:Q532,1),0)=1,MAX(Y$2:Y531)+1,""),"")</f>
        <v/>
      </c>
      <c r="Z532" s="25">
        <f>IF(Y532="","",COUNTIFS($A$3:$A$1002,"="&amp;SUBSTITUTE(SUBSTITUTE(SUBSTITUTE(A532,"~","~~"),"*","~*"),"?","~?"),$Q$3:$Q$1002,1)*10000-Y532)</f>
        <v/>
      </c>
    </row>
    <row r="533">
      <c r="A533">
        <f>IF(A$2=0,"",IFERROR(TRIM(INDEX('Pegar docentes'!$A$1:$BZ$1001,532,A$2)&amp;""),""))</f>
        <v/>
      </c>
      <c r="B533">
        <f>IF(B$2=0,"",IFERROR(TRIM(INDEX('Pegar docentes'!$A$1:$BZ$1001,532,B$2)&amp;""),""))</f>
        <v/>
      </c>
      <c r="C533">
        <f>IF(C$2=0,"",IFERROR(TRIM(INDEX('Pegar docentes'!$A$1:$BZ$1001,532,C$2)&amp;""),""))</f>
        <v/>
      </c>
      <c r="D533">
        <f>IF(D$2=0,"",IFERROR(TRIM(INDEX('Pegar docentes'!$A$1:$BZ$1001,532,D$2)&amp;""),""))</f>
        <v/>
      </c>
      <c r="E533">
        <f>IF(E$2=0,"",IFERROR(TRIM(INDEX('Pegar docentes'!$A$1:$BZ$1001,532,E$2)&amp;""),""))</f>
        <v/>
      </c>
      <c r="F533">
        <f>IF(F$2=0,"",IFERROR(TRIM(INDEX('Pegar docentes'!$A$1:$BZ$1001,532,F$2)&amp;""),""))</f>
        <v/>
      </c>
      <c r="G533">
        <f>IF(G$2=0,"",IFERROR(TRIM(INDEX('Pegar docentes'!$A$1:$BZ$1001,532,G$2)&amp;""),""))</f>
        <v/>
      </c>
      <c r="H533">
        <f>IF(H$2=0,"",IFERROR(TRIM(INDEX('Pegar docentes'!$A$1:$BZ$1001,532,H$2)&amp;""),""))</f>
        <v/>
      </c>
      <c r="I533">
        <f>IF(I$2=0,"",IFERROR(TRIM(INDEX('Pegar docentes'!$A$1:$BZ$1001,532,I$2)&amp;""),""))</f>
        <v/>
      </c>
      <c r="J533">
        <f>IF(J$2=0,"",IFERROR(TRIM(INDEX('Pegar docentes'!$A$1:$BZ$1001,532,J$2)&amp;""),""))</f>
        <v/>
      </c>
      <c r="K533">
        <f>IF(K$2=0,"",IFERROR(TRIM(INDEX('Pegar docentes'!$A$1:$BZ$1001,532,K$2)&amp;""),""))</f>
        <v/>
      </c>
      <c r="L533">
        <f>IF(L$2=0,"",IFERROR(TRIM(INDEX('Pegar docentes'!$A$1:$BZ$1001,532,L$2)&amp;""),""))</f>
        <v/>
      </c>
      <c r="M533">
        <f>IF(M$2=0,"",IFERROR(TRIM(INDEX('Pegar docentes'!$A$1:$BZ$1001,532,M$2)&amp;""),""))</f>
        <v/>
      </c>
      <c r="N533">
        <f>IF(N$2=0,"",IFERROR(TRIM(INDEX('Pegar docentes'!$A$1:$BZ$1001,532,N$2)&amp;""),""))</f>
        <v/>
      </c>
      <c r="O533">
        <f>IF(O$2=0,"",IFERROR(TRIM(INDEX('Pegar docentes'!$A$1:$BZ$1001,532,O$2)&amp;""),""))</f>
        <v/>
      </c>
      <c r="P533">
        <f>IF(P$2=0,"",IFERROR(TRIM(INDEX('Pegar docentes'!$A$1:$BZ$1001,532,P$2)&amp;""),""))</f>
        <v/>
      </c>
      <c r="Q533" s="25">
        <f>IF(OR(D533&lt;&gt;"",H533&lt;&gt;""),1,"")</f>
        <v/>
      </c>
      <c r="R533" s="25">
        <f>IF(Q533=1,IF(ISNUMBER(FIND("#"&amp;MID(D533,1,1)&amp;"#","#0#1#2#3#4#5#6#7#8#9#")),IF(ISNUMBER(FIND("#"&amp;MID(D533,2,1)&amp;"#","#0#1#2#3#4#5#6#7#8#9#")),IF(AND(VALUE(LEFT(D533,2))&gt;=1,VALUE(LEFT(D533,2))&lt;=5),VALUE(LEFT(D533,2)),""),IF(AND(VALUE(LEFT(D533,1))&gt;=1,VALUE(LEFT(D533,1))&lt;=5),VALUE(LEFT(D533,1)),"")),""),"")</f>
        <v/>
      </c>
      <c r="S533" s="25">
        <f>IF(AND(Q533=1,E533&lt;&gt;""),SUBSTITUTE(SUBSTITUTE(SUBSTITUTE(SUBSTITUTE(SUBSTITUTE(SUBSTITUTE(SUBSTITUTE(SUBSTITUTE(SUBSTITUTE(SUBSTITUTE(SUBSTITUTE(SUBSTITUTE(LOWER(TRIM(E533)),"á","a"),"é","e"),"í","i"),"ó","o"),"ú","u"),"ü","u"),"ñ","n"),"à","a"),"è","e"),"ì","i"),"ò","o"),"ù","u"),"")</f>
        <v/>
      </c>
      <c r="T533" s="25">
        <f>IF(AND(Q533=1,G533&lt;&gt;""),SUBSTITUTE(SUBSTITUTE(SUBSTITUTE(SUBSTITUTE(SUBSTITUTE(SUBSTITUTE(SUBSTITUTE(SUBSTITUTE(SUBSTITUTE(SUBSTITUTE(SUBSTITUTE(SUBSTITUTE(LOWER(TRIM(G533)),"á","a"),"é","e"),"í","i"),"ó","o"),"ú","u"),"ü","u"),"ñ","n"),"à","a"),"è","e"),"ì","i"),"ò","o"),"ù","u"),"")</f>
        <v/>
      </c>
      <c r="U533" s="25">
        <f>IF(AND(Q533=1,H533&lt;&gt;""),SUBSTITUTE(SUBSTITUTE(SUBSTITUTE(SUBSTITUTE(SUBSTITUTE(SUBSTITUTE(SUBSTITUTE(SUBSTITUTE(SUBSTITUTE(SUBSTITUTE(SUBSTITUTE(SUBSTITUTE(LOWER(TRIM(H533)),"á","a"),"é","e"),"í","i"),"ó","o"),"ú","u"),"ü","u"),"ñ","n"),"à","a"),"è","e"),"ì","i"),"ò","o"),"ù","u"),"")</f>
        <v/>
      </c>
      <c r="V533" s="25">
        <f>IF(AND(Q533=1,L533&lt;&gt;""),SUBSTITUTE(SUBSTITUTE(SUBSTITUTE(SUBSTITUTE(SUBSTITUTE(SUBSTITUTE(SUBSTITUTE(SUBSTITUTE(SUBSTITUTE(SUBSTITUTE(SUBSTITUTE(SUBSTITUTE(LOWER(TRIM(L533)),"á","a"),"é","e"),"í","i"),"ó","o"),"ú","u"),"ü","u"),"ñ","n"),"à","a"),"è","e"),"ì","i"),"ò","o"),"ù","u"),"")</f>
        <v/>
      </c>
      <c r="W533" s="25">
        <f>IF(AND(Q533=1,I533&lt;&gt;""),SUBSTITUTE(SUBSTITUTE(SUBSTITUTE(SUBSTITUTE(SUBSTITUTE(SUBSTITUTE(SUBSTITUTE(SUBSTITUTE(SUBSTITUTE(SUBSTITUTE(SUBSTITUTE(SUBSTITUTE(LOWER(TRIM(I533)),"á","a"),"é","e"),"í","i"),"ó","o"),"ú","u"),"ü","u"),"ñ","n"),"à","a"),"è","e"),"ì","i"),"ò","o"),"ù","u"),"")</f>
        <v/>
      </c>
      <c r="X533" s="25">
        <f>IF(U533="","",IF(OR(U533="si, en la proxima tarea",U533="si, con cambios"),1,0))</f>
        <v/>
      </c>
      <c r="Y533" s="25">
        <f>IF(AND(Q533=1,A533&lt;&gt;""),IF(IFERROR(COUNTIFS(A$3:A533,"="&amp;SUBSTITUTE(SUBSTITUTE(SUBSTITUTE(A533,"~","~~"),"*","~*"),"?","~?"),Q$3:Q533,1),0)=1,MAX(Y$2:Y532)+1,""),"")</f>
        <v/>
      </c>
      <c r="Z533" s="25">
        <f>IF(Y533="","",COUNTIFS($A$3:$A$1002,"="&amp;SUBSTITUTE(SUBSTITUTE(SUBSTITUTE(A533,"~","~~"),"*","~*"),"?","~?"),$Q$3:$Q$1002,1)*10000-Y533)</f>
        <v/>
      </c>
    </row>
    <row r="534">
      <c r="A534">
        <f>IF(A$2=0,"",IFERROR(TRIM(INDEX('Pegar docentes'!$A$1:$BZ$1001,533,A$2)&amp;""),""))</f>
        <v/>
      </c>
      <c r="B534">
        <f>IF(B$2=0,"",IFERROR(TRIM(INDEX('Pegar docentes'!$A$1:$BZ$1001,533,B$2)&amp;""),""))</f>
        <v/>
      </c>
      <c r="C534">
        <f>IF(C$2=0,"",IFERROR(TRIM(INDEX('Pegar docentes'!$A$1:$BZ$1001,533,C$2)&amp;""),""))</f>
        <v/>
      </c>
      <c r="D534">
        <f>IF(D$2=0,"",IFERROR(TRIM(INDEX('Pegar docentes'!$A$1:$BZ$1001,533,D$2)&amp;""),""))</f>
        <v/>
      </c>
      <c r="E534">
        <f>IF(E$2=0,"",IFERROR(TRIM(INDEX('Pegar docentes'!$A$1:$BZ$1001,533,E$2)&amp;""),""))</f>
        <v/>
      </c>
      <c r="F534">
        <f>IF(F$2=0,"",IFERROR(TRIM(INDEX('Pegar docentes'!$A$1:$BZ$1001,533,F$2)&amp;""),""))</f>
        <v/>
      </c>
      <c r="G534">
        <f>IF(G$2=0,"",IFERROR(TRIM(INDEX('Pegar docentes'!$A$1:$BZ$1001,533,G$2)&amp;""),""))</f>
        <v/>
      </c>
      <c r="H534">
        <f>IF(H$2=0,"",IFERROR(TRIM(INDEX('Pegar docentes'!$A$1:$BZ$1001,533,H$2)&amp;""),""))</f>
        <v/>
      </c>
      <c r="I534">
        <f>IF(I$2=0,"",IFERROR(TRIM(INDEX('Pegar docentes'!$A$1:$BZ$1001,533,I$2)&amp;""),""))</f>
        <v/>
      </c>
      <c r="J534">
        <f>IF(J$2=0,"",IFERROR(TRIM(INDEX('Pegar docentes'!$A$1:$BZ$1001,533,J$2)&amp;""),""))</f>
        <v/>
      </c>
      <c r="K534">
        <f>IF(K$2=0,"",IFERROR(TRIM(INDEX('Pegar docentes'!$A$1:$BZ$1001,533,K$2)&amp;""),""))</f>
        <v/>
      </c>
      <c r="L534">
        <f>IF(L$2=0,"",IFERROR(TRIM(INDEX('Pegar docentes'!$A$1:$BZ$1001,533,L$2)&amp;""),""))</f>
        <v/>
      </c>
      <c r="M534">
        <f>IF(M$2=0,"",IFERROR(TRIM(INDEX('Pegar docentes'!$A$1:$BZ$1001,533,M$2)&amp;""),""))</f>
        <v/>
      </c>
      <c r="N534">
        <f>IF(N$2=0,"",IFERROR(TRIM(INDEX('Pegar docentes'!$A$1:$BZ$1001,533,N$2)&amp;""),""))</f>
        <v/>
      </c>
      <c r="O534">
        <f>IF(O$2=0,"",IFERROR(TRIM(INDEX('Pegar docentes'!$A$1:$BZ$1001,533,O$2)&amp;""),""))</f>
        <v/>
      </c>
      <c r="P534">
        <f>IF(P$2=0,"",IFERROR(TRIM(INDEX('Pegar docentes'!$A$1:$BZ$1001,533,P$2)&amp;""),""))</f>
        <v/>
      </c>
      <c r="Q534" s="25">
        <f>IF(OR(D534&lt;&gt;"",H534&lt;&gt;""),1,"")</f>
        <v/>
      </c>
      <c r="R534" s="25">
        <f>IF(Q534=1,IF(ISNUMBER(FIND("#"&amp;MID(D534,1,1)&amp;"#","#0#1#2#3#4#5#6#7#8#9#")),IF(ISNUMBER(FIND("#"&amp;MID(D534,2,1)&amp;"#","#0#1#2#3#4#5#6#7#8#9#")),IF(AND(VALUE(LEFT(D534,2))&gt;=1,VALUE(LEFT(D534,2))&lt;=5),VALUE(LEFT(D534,2)),""),IF(AND(VALUE(LEFT(D534,1))&gt;=1,VALUE(LEFT(D534,1))&lt;=5),VALUE(LEFT(D534,1)),"")),""),"")</f>
        <v/>
      </c>
      <c r="S534" s="25">
        <f>IF(AND(Q534=1,E534&lt;&gt;""),SUBSTITUTE(SUBSTITUTE(SUBSTITUTE(SUBSTITUTE(SUBSTITUTE(SUBSTITUTE(SUBSTITUTE(SUBSTITUTE(SUBSTITUTE(SUBSTITUTE(SUBSTITUTE(SUBSTITUTE(LOWER(TRIM(E534)),"á","a"),"é","e"),"í","i"),"ó","o"),"ú","u"),"ü","u"),"ñ","n"),"à","a"),"è","e"),"ì","i"),"ò","o"),"ù","u"),"")</f>
        <v/>
      </c>
      <c r="T534" s="25">
        <f>IF(AND(Q534=1,G534&lt;&gt;""),SUBSTITUTE(SUBSTITUTE(SUBSTITUTE(SUBSTITUTE(SUBSTITUTE(SUBSTITUTE(SUBSTITUTE(SUBSTITUTE(SUBSTITUTE(SUBSTITUTE(SUBSTITUTE(SUBSTITUTE(LOWER(TRIM(G534)),"á","a"),"é","e"),"í","i"),"ó","o"),"ú","u"),"ü","u"),"ñ","n"),"à","a"),"è","e"),"ì","i"),"ò","o"),"ù","u"),"")</f>
        <v/>
      </c>
      <c r="U534" s="25">
        <f>IF(AND(Q534=1,H534&lt;&gt;""),SUBSTITUTE(SUBSTITUTE(SUBSTITUTE(SUBSTITUTE(SUBSTITUTE(SUBSTITUTE(SUBSTITUTE(SUBSTITUTE(SUBSTITUTE(SUBSTITUTE(SUBSTITUTE(SUBSTITUTE(LOWER(TRIM(H534)),"á","a"),"é","e"),"í","i"),"ó","o"),"ú","u"),"ü","u"),"ñ","n"),"à","a"),"è","e"),"ì","i"),"ò","o"),"ù","u"),"")</f>
        <v/>
      </c>
      <c r="V534" s="25">
        <f>IF(AND(Q534=1,L534&lt;&gt;""),SUBSTITUTE(SUBSTITUTE(SUBSTITUTE(SUBSTITUTE(SUBSTITUTE(SUBSTITUTE(SUBSTITUTE(SUBSTITUTE(SUBSTITUTE(SUBSTITUTE(SUBSTITUTE(SUBSTITUTE(LOWER(TRIM(L534)),"á","a"),"é","e"),"í","i"),"ó","o"),"ú","u"),"ü","u"),"ñ","n"),"à","a"),"è","e"),"ì","i"),"ò","o"),"ù","u"),"")</f>
        <v/>
      </c>
      <c r="W534" s="25">
        <f>IF(AND(Q534=1,I534&lt;&gt;""),SUBSTITUTE(SUBSTITUTE(SUBSTITUTE(SUBSTITUTE(SUBSTITUTE(SUBSTITUTE(SUBSTITUTE(SUBSTITUTE(SUBSTITUTE(SUBSTITUTE(SUBSTITUTE(SUBSTITUTE(LOWER(TRIM(I534)),"á","a"),"é","e"),"í","i"),"ó","o"),"ú","u"),"ü","u"),"ñ","n"),"à","a"),"è","e"),"ì","i"),"ò","o"),"ù","u"),"")</f>
        <v/>
      </c>
      <c r="X534" s="25">
        <f>IF(U534="","",IF(OR(U534="si, en la proxima tarea",U534="si, con cambios"),1,0))</f>
        <v/>
      </c>
      <c r="Y534" s="25">
        <f>IF(AND(Q534=1,A534&lt;&gt;""),IF(IFERROR(COUNTIFS(A$3:A534,"="&amp;SUBSTITUTE(SUBSTITUTE(SUBSTITUTE(A534,"~","~~"),"*","~*"),"?","~?"),Q$3:Q534,1),0)=1,MAX(Y$2:Y533)+1,""),"")</f>
        <v/>
      </c>
      <c r="Z534" s="25">
        <f>IF(Y534="","",COUNTIFS($A$3:$A$1002,"="&amp;SUBSTITUTE(SUBSTITUTE(SUBSTITUTE(A534,"~","~~"),"*","~*"),"?","~?"),$Q$3:$Q$1002,1)*10000-Y534)</f>
        <v/>
      </c>
    </row>
    <row r="535">
      <c r="A535">
        <f>IF(A$2=0,"",IFERROR(TRIM(INDEX('Pegar docentes'!$A$1:$BZ$1001,534,A$2)&amp;""),""))</f>
        <v/>
      </c>
      <c r="B535">
        <f>IF(B$2=0,"",IFERROR(TRIM(INDEX('Pegar docentes'!$A$1:$BZ$1001,534,B$2)&amp;""),""))</f>
        <v/>
      </c>
      <c r="C535">
        <f>IF(C$2=0,"",IFERROR(TRIM(INDEX('Pegar docentes'!$A$1:$BZ$1001,534,C$2)&amp;""),""))</f>
        <v/>
      </c>
      <c r="D535">
        <f>IF(D$2=0,"",IFERROR(TRIM(INDEX('Pegar docentes'!$A$1:$BZ$1001,534,D$2)&amp;""),""))</f>
        <v/>
      </c>
      <c r="E535">
        <f>IF(E$2=0,"",IFERROR(TRIM(INDEX('Pegar docentes'!$A$1:$BZ$1001,534,E$2)&amp;""),""))</f>
        <v/>
      </c>
      <c r="F535">
        <f>IF(F$2=0,"",IFERROR(TRIM(INDEX('Pegar docentes'!$A$1:$BZ$1001,534,F$2)&amp;""),""))</f>
        <v/>
      </c>
      <c r="G535">
        <f>IF(G$2=0,"",IFERROR(TRIM(INDEX('Pegar docentes'!$A$1:$BZ$1001,534,G$2)&amp;""),""))</f>
        <v/>
      </c>
      <c r="H535">
        <f>IF(H$2=0,"",IFERROR(TRIM(INDEX('Pegar docentes'!$A$1:$BZ$1001,534,H$2)&amp;""),""))</f>
        <v/>
      </c>
      <c r="I535">
        <f>IF(I$2=0,"",IFERROR(TRIM(INDEX('Pegar docentes'!$A$1:$BZ$1001,534,I$2)&amp;""),""))</f>
        <v/>
      </c>
      <c r="J535">
        <f>IF(J$2=0,"",IFERROR(TRIM(INDEX('Pegar docentes'!$A$1:$BZ$1001,534,J$2)&amp;""),""))</f>
        <v/>
      </c>
      <c r="K535">
        <f>IF(K$2=0,"",IFERROR(TRIM(INDEX('Pegar docentes'!$A$1:$BZ$1001,534,K$2)&amp;""),""))</f>
        <v/>
      </c>
      <c r="L535">
        <f>IF(L$2=0,"",IFERROR(TRIM(INDEX('Pegar docentes'!$A$1:$BZ$1001,534,L$2)&amp;""),""))</f>
        <v/>
      </c>
      <c r="M535">
        <f>IF(M$2=0,"",IFERROR(TRIM(INDEX('Pegar docentes'!$A$1:$BZ$1001,534,M$2)&amp;""),""))</f>
        <v/>
      </c>
      <c r="N535">
        <f>IF(N$2=0,"",IFERROR(TRIM(INDEX('Pegar docentes'!$A$1:$BZ$1001,534,N$2)&amp;""),""))</f>
        <v/>
      </c>
      <c r="O535">
        <f>IF(O$2=0,"",IFERROR(TRIM(INDEX('Pegar docentes'!$A$1:$BZ$1001,534,O$2)&amp;""),""))</f>
        <v/>
      </c>
      <c r="P535">
        <f>IF(P$2=0,"",IFERROR(TRIM(INDEX('Pegar docentes'!$A$1:$BZ$1001,534,P$2)&amp;""),""))</f>
        <v/>
      </c>
      <c r="Q535" s="25">
        <f>IF(OR(D535&lt;&gt;"",H535&lt;&gt;""),1,"")</f>
        <v/>
      </c>
      <c r="R535" s="25">
        <f>IF(Q535=1,IF(ISNUMBER(FIND("#"&amp;MID(D535,1,1)&amp;"#","#0#1#2#3#4#5#6#7#8#9#")),IF(ISNUMBER(FIND("#"&amp;MID(D535,2,1)&amp;"#","#0#1#2#3#4#5#6#7#8#9#")),IF(AND(VALUE(LEFT(D535,2))&gt;=1,VALUE(LEFT(D535,2))&lt;=5),VALUE(LEFT(D535,2)),""),IF(AND(VALUE(LEFT(D535,1))&gt;=1,VALUE(LEFT(D535,1))&lt;=5),VALUE(LEFT(D535,1)),"")),""),"")</f>
        <v/>
      </c>
      <c r="S535" s="25">
        <f>IF(AND(Q535=1,E535&lt;&gt;""),SUBSTITUTE(SUBSTITUTE(SUBSTITUTE(SUBSTITUTE(SUBSTITUTE(SUBSTITUTE(SUBSTITUTE(SUBSTITUTE(SUBSTITUTE(SUBSTITUTE(SUBSTITUTE(SUBSTITUTE(LOWER(TRIM(E535)),"á","a"),"é","e"),"í","i"),"ó","o"),"ú","u"),"ü","u"),"ñ","n"),"à","a"),"è","e"),"ì","i"),"ò","o"),"ù","u"),"")</f>
        <v/>
      </c>
      <c r="T535" s="25">
        <f>IF(AND(Q535=1,G535&lt;&gt;""),SUBSTITUTE(SUBSTITUTE(SUBSTITUTE(SUBSTITUTE(SUBSTITUTE(SUBSTITUTE(SUBSTITUTE(SUBSTITUTE(SUBSTITUTE(SUBSTITUTE(SUBSTITUTE(SUBSTITUTE(LOWER(TRIM(G535)),"á","a"),"é","e"),"í","i"),"ó","o"),"ú","u"),"ü","u"),"ñ","n"),"à","a"),"è","e"),"ì","i"),"ò","o"),"ù","u"),"")</f>
        <v/>
      </c>
      <c r="U535" s="25">
        <f>IF(AND(Q535=1,H535&lt;&gt;""),SUBSTITUTE(SUBSTITUTE(SUBSTITUTE(SUBSTITUTE(SUBSTITUTE(SUBSTITUTE(SUBSTITUTE(SUBSTITUTE(SUBSTITUTE(SUBSTITUTE(SUBSTITUTE(SUBSTITUTE(LOWER(TRIM(H535)),"á","a"),"é","e"),"í","i"),"ó","o"),"ú","u"),"ü","u"),"ñ","n"),"à","a"),"è","e"),"ì","i"),"ò","o"),"ù","u"),"")</f>
        <v/>
      </c>
      <c r="V535" s="25">
        <f>IF(AND(Q535=1,L535&lt;&gt;""),SUBSTITUTE(SUBSTITUTE(SUBSTITUTE(SUBSTITUTE(SUBSTITUTE(SUBSTITUTE(SUBSTITUTE(SUBSTITUTE(SUBSTITUTE(SUBSTITUTE(SUBSTITUTE(SUBSTITUTE(LOWER(TRIM(L535)),"á","a"),"é","e"),"í","i"),"ó","o"),"ú","u"),"ü","u"),"ñ","n"),"à","a"),"è","e"),"ì","i"),"ò","o"),"ù","u"),"")</f>
        <v/>
      </c>
      <c r="W535" s="25">
        <f>IF(AND(Q535=1,I535&lt;&gt;""),SUBSTITUTE(SUBSTITUTE(SUBSTITUTE(SUBSTITUTE(SUBSTITUTE(SUBSTITUTE(SUBSTITUTE(SUBSTITUTE(SUBSTITUTE(SUBSTITUTE(SUBSTITUTE(SUBSTITUTE(LOWER(TRIM(I535)),"á","a"),"é","e"),"í","i"),"ó","o"),"ú","u"),"ü","u"),"ñ","n"),"à","a"),"è","e"),"ì","i"),"ò","o"),"ù","u"),"")</f>
        <v/>
      </c>
      <c r="X535" s="25">
        <f>IF(U535="","",IF(OR(U535="si, en la proxima tarea",U535="si, con cambios"),1,0))</f>
        <v/>
      </c>
      <c r="Y535" s="25">
        <f>IF(AND(Q535=1,A535&lt;&gt;""),IF(IFERROR(COUNTIFS(A$3:A535,"="&amp;SUBSTITUTE(SUBSTITUTE(SUBSTITUTE(A535,"~","~~"),"*","~*"),"?","~?"),Q$3:Q535,1),0)=1,MAX(Y$2:Y534)+1,""),"")</f>
        <v/>
      </c>
      <c r="Z535" s="25">
        <f>IF(Y535="","",COUNTIFS($A$3:$A$1002,"="&amp;SUBSTITUTE(SUBSTITUTE(SUBSTITUTE(A535,"~","~~"),"*","~*"),"?","~?"),$Q$3:$Q$1002,1)*10000-Y535)</f>
        <v/>
      </c>
    </row>
    <row r="536">
      <c r="A536">
        <f>IF(A$2=0,"",IFERROR(TRIM(INDEX('Pegar docentes'!$A$1:$BZ$1001,535,A$2)&amp;""),""))</f>
        <v/>
      </c>
      <c r="B536">
        <f>IF(B$2=0,"",IFERROR(TRIM(INDEX('Pegar docentes'!$A$1:$BZ$1001,535,B$2)&amp;""),""))</f>
        <v/>
      </c>
      <c r="C536">
        <f>IF(C$2=0,"",IFERROR(TRIM(INDEX('Pegar docentes'!$A$1:$BZ$1001,535,C$2)&amp;""),""))</f>
        <v/>
      </c>
      <c r="D536">
        <f>IF(D$2=0,"",IFERROR(TRIM(INDEX('Pegar docentes'!$A$1:$BZ$1001,535,D$2)&amp;""),""))</f>
        <v/>
      </c>
      <c r="E536">
        <f>IF(E$2=0,"",IFERROR(TRIM(INDEX('Pegar docentes'!$A$1:$BZ$1001,535,E$2)&amp;""),""))</f>
        <v/>
      </c>
      <c r="F536">
        <f>IF(F$2=0,"",IFERROR(TRIM(INDEX('Pegar docentes'!$A$1:$BZ$1001,535,F$2)&amp;""),""))</f>
        <v/>
      </c>
      <c r="G536">
        <f>IF(G$2=0,"",IFERROR(TRIM(INDEX('Pegar docentes'!$A$1:$BZ$1001,535,G$2)&amp;""),""))</f>
        <v/>
      </c>
      <c r="H536">
        <f>IF(H$2=0,"",IFERROR(TRIM(INDEX('Pegar docentes'!$A$1:$BZ$1001,535,H$2)&amp;""),""))</f>
        <v/>
      </c>
      <c r="I536">
        <f>IF(I$2=0,"",IFERROR(TRIM(INDEX('Pegar docentes'!$A$1:$BZ$1001,535,I$2)&amp;""),""))</f>
        <v/>
      </c>
      <c r="J536">
        <f>IF(J$2=0,"",IFERROR(TRIM(INDEX('Pegar docentes'!$A$1:$BZ$1001,535,J$2)&amp;""),""))</f>
        <v/>
      </c>
      <c r="K536">
        <f>IF(K$2=0,"",IFERROR(TRIM(INDEX('Pegar docentes'!$A$1:$BZ$1001,535,K$2)&amp;""),""))</f>
        <v/>
      </c>
      <c r="L536">
        <f>IF(L$2=0,"",IFERROR(TRIM(INDEX('Pegar docentes'!$A$1:$BZ$1001,535,L$2)&amp;""),""))</f>
        <v/>
      </c>
      <c r="M536">
        <f>IF(M$2=0,"",IFERROR(TRIM(INDEX('Pegar docentes'!$A$1:$BZ$1001,535,M$2)&amp;""),""))</f>
        <v/>
      </c>
      <c r="N536">
        <f>IF(N$2=0,"",IFERROR(TRIM(INDEX('Pegar docentes'!$A$1:$BZ$1001,535,N$2)&amp;""),""))</f>
        <v/>
      </c>
      <c r="O536">
        <f>IF(O$2=0,"",IFERROR(TRIM(INDEX('Pegar docentes'!$A$1:$BZ$1001,535,O$2)&amp;""),""))</f>
        <v/>
      </c>
      <c r="P536">
        <f>IF(P$2=0,"",IFERROR(TRIM(INDEX('Pegar docentes'!$A$1:$BZ$1001,535,P$2)&amp;""),""))</f>
        <v/>
      </c>
      <c r="Q536" s="25">
        <f>IF(OR(D536&lt;&gt;"",H536&lt;&gt;""),1,"")</f>
        <v/>
      </c>
      <c r="R536" s="25">
        <f>IF(Q536=1,IF(ISNUMBER(FIND("#"&amp;MID(D536,1,1)&amp;"#","#0#1#2#3#4#5#6#7#8#9#")),IF(ISNUMBER(FIND("#"&amp;MID(D536,2,1)&amp;"#","#0#1#2#3#4#5#6#7#8#9#")),IF(AND(VALUE(LEFT(D536,2))&gt;=1,VALUE(LEFT(D536,2))&lt;=5),VALUE(LEFT(D536,2)),""),IF(AND(VALUE(LEFT(D536,1))&gt;=1,VALUE(LEFT(D536,1))&lt;=5),VALUE(LEFT(D536,1)),"")),""),"")</f>
        <v/>
      </c>
      <c r="S536" s="25">
        <f>IF(AND(Q536=1,E536&lt;&gt;""),SUBSTITUTE(SUBSTITUTE(SUBSTITUTE(SUBSTITUTE(SUBSTITUTE(SUBSTITUTE(SUBSTITUTE(SUBSTITUTE(SUBSTITUTE(SUBSTITUTE(SUBSTITUTE(SUBSTITUTE(LOWER(TRIM(E536)),"á","a"),"é","e"),"í","i"),"ó","o"),"ú","u"),"ü","u"),"ñ","n"),"à","a"),"è","e"),"ì","i"),"ò","o"),"ù","u"),"")</f>
        <v/>
      </c>
      <c r="T536" s="25">
        <f>IF(AND(Q536=1,G536&lt;&gt;""),SUBSTITUTE(SUBSTITUTE(SUBSTITUTE(SUBSTITUTE(SUBSTITUTE(SUBSTITUTE(SUBSTITUTE(SUBSTITUTE(SUBSTITUTE(SUBSTITUTE(SUBSTITUTE(SUBSTITUTE(LOWER(TRIM(G536)),"á","a"),"é","e"),"í","i"),"ó","o"),"ú","u"),"ü","u"),"ñ","n"),"à","a"),"è","e"),"ì","i"),"ò","o"),"ù","u"),"")</f>
        <v/>
      </c>
      <c r="U536" s="25">
        <f>IF(AND(Q536=1,H536&lt;&gt;""),SUBSTITUTE(SUBSTITUTE(SUBSTITUTE(SUBSTITUTE(SUBSTITUTE(SUBSTITUTE(SUBSTITUTE(SUBSTITUTE(SUBSTITUTE(SUBSTITUTE(SUBSTITUTE(SUBSTITUTE(LOWER(TRIM(H536)),"á","a"),"é","e"),"í","i"),"ó","o"),"ú","u"),"ü","u"),"ñ","n"),"à","a"),"è","e"),"ì","i"),"ò","o"),"ù","u"),"")</f>
        <v/>
      </c>
      <c r="V536" s="25">
        <f>IF(AND(Q536=1,L536&lt;&gt;""),SUBSTITUTE(SUBSTITUTE(SUBSTITUTE(SUBSTITUTE(SUBSTITUTE(SUBSTITUTE(SUBSTITUTE(SUBSTITUTE(SUBSTITUTE(SUBSTITUTE(SUBSTITUTE(SUBSTITUTE(LOWER(TRIM(L536)),"á","a"),"é","e"),"í","i"),"ó","o"),"ú","u"),"ü","u"),"ñ","n"),"à","a"),"è","e"),"ì","i"),"ò","o"),"ù","u"),"")</f>
        <v/>
      </c>
      <c r="W536" s="25">
        <f>IF(AND(Q536=1,I536&lt;&gt;""),SUBSTITUTE(SUBSTITUTE(SUBSTITUTE(SUBSTITUTE(SUBSTITUTE(SUBSTITUTE(SUBSTITUTE(SUBSTITUTE(SUBSTITUTE(SUBSTITUTE(SUBSTITUTE(SUBSTITUTE(LOWER(TRIM(I536)),"á","a"),"é","e"),"í","i"),"ó","o"),"ú","u"),"ü","u"),"ñ","n"),"à","a"),"è","e"),"ì","i"),"ò","o"),"ù","u"),"")</f>
        <v/>
      </c>
      <c r="X536" s="25">
        <f>IF(U536="","",IF(OR(U536="si, en la proxima tarea",U536="si, con cambios"),1,0))</f>
        <v/>
      </c>
      <c r="Y536" s="25">
        <f>IF(AND(Q536=1,A536&lt;&gt;""),IF(IFERROR(COUNTIFS(A$3:A536,"="&amp;SUBSTITUTE(SUBSTITUTE(SUBSTITUTE(A536,"~","~~"),"*","~*"),"?","~?"),Q$3:Q536,1),0)=1,MAX(Y$2:Y535)+1,""),"")</f>
        <v/>
      </c>
      <c r="Z536" s="25">
        <f>IF(Y536="","",COUNTIFS($A$3:$A$1002,"="&amp;SUBSTITUTE(SUBSTITUTE(SUBSTITUTE(A536,"~","~~"),"*","~*"),"?","~?"),$Q$3:$Q$1002,1)*10000-Y536)</f>
        <v/>
      </c>
    </row>
    <row r="537">
      <c r="A537">
        <f>IF(A$2=0,"",IFERROR(TRIM(INDEX('Pegar docentes'!$A$1:$BZ$1001,536,A$2)&amp;""),""))</f>
        <v/>
      </c>
      <c r="B537">
        <f>IF(B$2=0,"",IFERROR(TRIM(INDEX('Pegar docentes'!$A$1:$BZ$1001,536,B$2)&amp;""),""))</f>
        <v/>
      </c>
      <c r="C537">
        <f>IF(C$2=0,"",IFERROR(TRIM(INDEX('Pegar docentes'!$A$1:$BZ$1001,536,C$2)&amp;""),""))</f>
        <v/>
      </c>
      <c r="D537">
        <f>IF(D$2=0,"",IFERROR(TRIM(INDEX('Pegar docentes'!$A$1:$BZ$1001,536,D$2)&amp;""),""))</f>
        <v/>
      </c>
      <c r="E537">
        <f>IF(E$2=0,"",IFERROR(TRIM(INDEX('Pegar docentes'!$A$1:$BZ$1001,536,E$2)&amp;""),""))</f>
        <v/>
      </c>
      <c r="F537">
        <f>IF(F$2=0,"",IFERROR(TRIM(INDEX('Pegar docentes'!$A$1:$BZ$1001,536,F$2)&amp;""),""))</f>
        <v/>
      </c>
      <c r="G537">
        <f>IF(G$2=0,"",IFERROR(TRIM(INDEX('Pegar docentes'!$A$1:$BZ$1001,536,G$2)&amp;""),""))</f>
        <v/>
      </c>
      <c r="H537">
        <f>IF(H$2=0,"",IFERROR(TRIM(INDEX('Pegar docentes'!$A$1:$BZ$1001,536,H$2)&amp;""),""))</f>
        <v/>
      </c>
      <c r="I537">
        <f>IF(I$2=0,"",IFERROR(TRIM(INDEX('Pegar docentes'!$A$1:$BZ$1001,536,I$2)&amp;""),""))</f>
        <v/>
      </c>
      <c r="J537">
        <f>IF(J$2=0,"",IFERROR(TRIM(INDEX('Pegar docentes'!$A$1:$BZ$1001,536,J$2)&amp;""),""))</f>
        <v/>
      </c>
      <c r="K537">
        <f>IF(K$2=0,"",IFERROR(TRIM(INDEX('Pegar docentes'!$A$1:$BZ$1001,536,K$2)&amp;""),""))</f>
        <v/>
      </c>
      <c r="L537">
        <f>IF(L$2=0,"",IFERROR(TRIM(INDEX('Pegar docentes'!$A$1:$BZ$1001,536,L$2)&amp;""),""))</f>
        <v/>
      </c>
      <c r="M537">
        <f>IF(M$2=0,"",IFERROR(TRIM(INDEX('Pegar docentes'!$A$1:$BZ$1001,536,M$2)&amp;""),""))</f>
        <v/>
      </c>
      <c r="N537">
        <f>IF(N$2=0,"",IFERROR(TRIM(INDEX('Pegar docentes'!$A$1:$BZ$1001,536,N$2)&amp;""),""))</f>
        <v/>
      </c>
      <c r="O537">
        <f>IF(O$2=0,"",IFERROR(TRIM(INDEX('Pegar docentes'!$A$1:$BZ$1001,536,O$2)&amp;""),""))</f>
        <v/>
      </c>
      <c r="P537">
        <f>IF(P$2=0,"",IFERROR(TRIM(INDEX('Pegar docentes'!$A$1:$BZ$1001,536,P$2)&amp;""),""))</f>
        <v/>
      </c>
      <c r="Q537" s="25">
        <f>IF(OR(D537&lt;&gt;"",H537&lt;&gt;""),1,"")</f>
        <v/>
      </c>
      <c r="R537" s="25">
        <f>IF(Q537=1,IF(ISNUMBER(FIND("#"&amp;MID(D537,1,1)&amp;"#","#0#1#2#3#4#5#6#7#8#9#")),IF(ISNUMBER(FIND("#"&amp;MID(D537,2,1)&amp;"#","#0#1#2#3#4#5#6#7#8#9#")),IF(AND(VALUE(LEFT(D537,2))&gt;=1,VALUE(LEFT(D537,2))&lt;=5),VALUE(LEFT(D537,2)),""),IF(AND(VALUE(LEFT(D537,1))&gt;=1,VALUE(LEFT(D537,1))&lt;=5),VALUE(LEFT(D537,1)),"")),""),"")</f>
        <v/>
      </c>
      <c r="S537" s="25">
        <f>IF(AND(Q537=1,E537&lt;&gt;""),SUBSTITUTE(SUBSTITUTE(SUBSTITUTE(SUBSTITUTE(SUBSTITUTE(SUBSTITUTE(SUBSTITUTE(SUBSTITUTE(SUBSTITUTE(SUBSTITUTE(SUBSTITUTE(SUBSTITUTE(LOWER(TRIM(E537)),"á","a"),"é","e"),"í","i"),"ó","o"),"ú","u"),"ü","u"),"ñ","n"),"à","a"),"è","e"),"ì","i"),"ò","o"),"ù","u"),"")</f>
        <v/>
      </c>
      <c r="T537" s="25">
        <f>IF(AND(Q537=1,G537&lt;&gt;""),SUBSTITUTE(SUBSTITUTE(SUBSTITUTE(SUBSTITUTE(SUBSTITUTE(SUBSTITUTE(SUBSTITUTE(SUBSTITUTE(SUBSTITUTE(SUBSTITUTE(SUBSTITUTE(SUBSTITUTE(LOWER(TRIM(G537)),"á","a"),"é","e"),"í","i"),"ó","o"),"ú","u"),"ü","u"),"ñ","n"),"à","a"),"è","e"),"ì","i"),"ò","o"),"ù","u"),"")</f>
        <v/>
      </c>
      <c r="U537" s="25">
        <f>IF(AND(Q537=1,H537&lt;&gt;""),SUBSTITUTE(SUBSTITUTE(SUBSTITUTE(SUBSTITUTE(SUBSTITUTE(SUBSTITUTE(SUBSTITUTE(SUBSTITUTE(SUBSTITUTE(SUBSTITUTE(SUBSTITUTE(SUBSTITUTE(LOWER(TRIM(H537)),"á","a"),"é","e"),"í","i"),"ó","o"),"ú","u"),"ü","u"),"ñ","n"),"à","a"),"è","e"),"ì","i"),"ò","o"),"ù","u"),"")</f>
        <v/>
      </c>
      <c r="V537" s="25">
        <f>IF(AND(Q537=1,L537&lt;&gt;""),SUBSTITUTE(SUBSTITUTE(SUBSTITUTE(SUBSTITUTE(SUBSTITUTE(SUBSTITUTE(SUBSTITUTE(SUBSTITUTE(SUBSTITUTE(SUBSTITUTE(SUBSTITUTE(SUBSTITUTE(LOWER(TRIM(L537)),"á","a"),"é","e"),"í","i"),"ó","o"),"ú","u"),"ü","u"),"ñ","n"),"à","a"),"è","e"),"ì","i"),"ò","o"),"ù","u"),"")</f>
        <v/>
      </c>
      <c r="W537" s="25">
        <f>IF(AND(Q537=1,I537&lt;&gt;""),SUBSTITUTE(SUBSTITUTE(SUBSTITUTE(SUBSTITUTE(SUBSTITUTE(SUBSTITUTE(SUBSTITUTE(SUBSTITUTE(SUBSTITUTE(SUBSTITUTE(SUBSTITUTE(SUBSTITUTE(LOWER(TRIM(I537)),"á","a"),"é","e"),"í","i"),"ó","o"),"ú","u"),"ü","u"),"ñ","n"),"à","a"),"è","e"),"ì","i"),"ò","o"),"ù","u"),"")</f>
        <v/>
      </c>
      <c r="X537" s="25">
        <f>IF(U537="","",IF(OR(U537="si, en la proxima tarea",U537="si, con cambios"),1,0))</f>
        <v/>
      </c>
      <c r="Y537" s="25">
        <f>IF(AND(Q537=1,A537&lt;&gt;""),IF(IFERROR(COUNTIFS(A$3:A537,"="&amp;SUBSTITUTE(SUBSTITUTE(SUBSTITUTE(A537,"~","~~"),"*","~*"),"?","~?"),Q$3:Q537,1),0)=1,MAX(Y$2:Y536)+1,""),"")</f>
        <v/>
      </c>
      <c r="Z537" s="25">
        <f>IF(Y537="","",COUNTIFS($A$3:$A$1002,"="&amp;SUBSTITUTE(SUBSTITUTE(SUBSTITUTE(A537,"~","~~"),"*","~*"),"?","~?"),$Q$3:$Q$1002,1)*10000-Y537)</f>
        <v/>
      </c>
    </row>
    <row r="538">
      <c r="A538">
        <f>IF(A$2=0,"",IFERROR(TRIM(INDEX('Pegar docentes'!$A$1:$BZ$1001,537,A$2)&amp;""),""))</f>
        <v/>
      </c>
      <c r="B538">
        <f>IF(B$2=0,"",IFERROR(TRIM(INDEX('Pegar docentes'!$A$1:$BZ$1001,537,B$2)&amp;""),""))</f>
        <v/>
      </c>
      <c r="C538">
        <f>IF(C$2=0,"",IFERROR(TRIM(INDEX('Pegar docentes'!$A$1:$BZ$1001,537,C$2)&amp;""),""))</f>
        <v/>
      </c>
      <c r="D538">
        <f>IF(D$2=0,"",IFERROR(TRIM(INDEX('Pegar docentes'!$A$1:$BZ$1001,537,D$2)&amp;""),""))</f>
        <v/>
      </c>
      <c r="E538">
        <f>IF(E$2=0,"",IFERROR(TRIM(INDEX('Pegar docentes'!$A$1:$BZ$1001,537,E$2)&amp;""),""))</f>
        <v/>
      </c>
      <c r="F538">
        <f>IF(F$2=0,"",IFERROR(TRIM(INDEX('Pegar docentes'!$A$1:$BZ$1001,537,F$2)&amp;""),""))</f>
        <v/>
      </c>
      <c r="G538">
        <f>IF(G$2=0,"",IFERROR(TRIM(INDEX('Pegar docentes'!$A$1:$BZ$1001,537,G$2)&amp;""),""))</f>
        <v/>
      </c>
      <c r="H538">
        <f>IF(H$2=0,"",IFERROR(TRIM(INDEX('Pegar docentes'!$A$1:$BZ$1001,537,H$2)&amp;""),""))</f>
        <v/>
      </c>
      <c r="I538">
        <f>IF(I$2=0,"",IFERROR(TRIM(INDEX('Pegar docentes'!$A$1:$BZ$1001,537,I$2)&amp;""),""))</f>
        <v/>
      </c>
      <c r="J538">
        <f>IF(J$2=0,"",IFERROR(TRIM(INDEX('Pegar docentes'!$A$1:$BZ$1001,537,J$2)&amp;""),""))</f>
        <v/>
      </c>
      <c r="K538">
        <f>IF(K$2=0,"",IFERROR(TRIM(INDEX('Pegar docentes'!$A$1:$BZ$1001,537,K$2)&amp;""),""))</f>
        <v/>
      </c>
      <c r="L538">
        <f>IF(L$2=0,"",IFERROR(TRIM(INDEX('Pegar docentes'!$A$1:$BZ$1001,537,L$2)&amp;""),""))</f>
        <v/>
      </c>
      <c r="M538">
        <f>IF(M$2=0,"",IFERROR(TRIM(INDEX('Pegar docentes'!$A$1:$BZ$1001,537,M$2)&amp;""),""))</f>
        <v/>
      </c>
      <c r="N538">
        <f>IF(N$2=0,"",IFERROR(TRIM(INDEX('Pegar docentes'!$A$1:$BZ$1001,537,N$2)&amp;""),""))</f>
        <v/>
      </c>
      <c r="O538">
        <f>IF(O$2=0,"",IFERROR(TRIM(INDEX('Pegar docentes'!$A$1:$BZ$1001,537,O$2)&amp;""),""))</f>
        <v/>
      </c>
      <c r="P538">
        <f>IF(P$2=0,"",IFERROR(TRIM(INDEX('Pegar docentes'!$A$1:$BZ$1001,537,P$2)&amp;""),""))</f>
        <v/>
      </c>
      <c r="Q538" s="25">
        <f>IF(OR(D538&lt;&gt;"",H538&lt;&gt;""),1,"")</f>
        <v/>
      </c>
      <c r="R538" s="25">
        <f>IF(Q538=1,IF(ISNUMBER(FIND("#"&amp;MID(D538,1,1)&amp;"#","#0#1#2#3#4#5#6#7#8#9#")),IF(ISNUMBER(FIND("#"&amp;MID(D538,2,1)&amp;"#","#0#1#2#3#4#5#6#7#8#9#")),IF(AND(VALUE(LEFT(D538,2))&gt;=1,VALUE(LEFT(D538,2))&lt;=5),VALUE(LEFT(D538,2)),""),IF(AND(VALUE(LEFT(D538,1))&gt;=1,VALUE(LEFT(D538,1))&lt;=5),VALUE(LEFT(D538,1)),"")),""),"")</f>
        <v/>
      </c>
      <c r="S538" s="25">
        <f>IF(AND(Q538=1,E538&lt;&gt;""),SUBSTITUTE(SUBSTITUTE(SUBSTITUTE(SUBSTITUTE(SUBSTITUTE(SUBSTITUTE(SUBSTITUTE(SUBSTITUTE(SUBSTITUTE(SUBSTITUTE(SUBSTITUTE(SUBSTITUTE(LOWER(TRIM(E538)),"á","a"),"é","e"),"í","i"),"ó","o"),"ú","u"),"ü","u"),"ñ","n"),"à","a"),"è","e"),"ì","i"),"ò","o"),"ù","u"),"")</f>
        <v/>
      </c>
      <c r="T538" s="25">
        <f>IF(AND(Q538=1,G538&lt;&gt;""),SUBSTITUTE(SUBSTITUTE(SUBSTITUTE(SUBSTITUTE(SUBSTITUTE(SUBSTITUTE(SUBSTITUTE(SUBSTITUTE(SUBSTITUTE(SUBSTITUTE(SUBSTITUTE(SUBSTITUTE(LOWER(TRIM(G538)),"á","a"),"é","e"),"í","i"),"ó","o"),"ú","u"),"ü","u"),"ñ","n"),"à","a"),"è","e"),"ì","i"),"ò","o"),"ù","u"),"")</f>
        <v/>
      </c>
      <c r="U538" s="25">
        <f>IF(AND(Q538=1,H538&lt;&gt;""),SUBSTITUTE(SUBSTITUTE(SUBSTITUTE(SUBSTITUTE(SUBSTITUTE(SUBSTITUTE(SUBSTITUTE(SUBSTITUTE(SUBSTITUTE(SUBSTITUTE(SUBSTITUTE(SUBSTITUTE(LOWER(TRIM(H538)),"á","a"),"é","e"),"í","i"),"ó","o"),"ú","u"),"ü","u"),"ñ","n"),"à","a"),"è","e"),"ì","i"),"ò","o"),"ù","u"),"")</f>
        <v/>
      </c>
      <c r="V538" s="25">
        <f>IF(AND(Q538=1,L538&lt;&gt;""),SUBSTITUTE(SUBSTITUTE(SUBSTITUTE(SUBSTITUTE(SUBSTITUTE(SUBSTITUTE(SUBSTITUTE(SUBSTITUTE(SUBSTITUTE(SUBSTITUTE(SUBSTITUTE(SUBSTITUTE(LOWER(TRIM(L538)),"á","a"),"é","e"),"í","i"),"ó","o"),"ú","u"),"ü","u"),"ñ","n"),"à","a"),"è","e"),"ì","i"),"ò","o"),"ù","u"),"")</f>
        <v/>
      </c>
      <c r="W538" s="25">
        <f>IF(AND(Q538=1,I538&lt;&gt;""),SUBSTITUTE(SUBSTITUTE(SUBSTITUTE(SUBSTITUTE(SUBSTITUTE(SUBSTITUTE(SUBSTITUTE(SUBSTITUTE(SUBSTITUTE(SUBSTITUTE(SUBSTITUTE(SUBSTITUTE(LOWER(TRIM(I538)),"á","a"),"é","e"),"í","i"),"ó","o"),"ú","u"),"ü","u"),"ñ","n"),"à","a"),"è","e"),"ì","i"),"ò","o"),"ù","u"),"")</f>
        <v/>
      </c>
      <c r="X538" s="25">
        <f>IF(U538="","",IF(OR(U538="si, en la proxima tarea",U538="si, con cambios"),1,0))</f>
        <v/>
      </c>
      <c r="Y538" s="25">
        <f>IF(AND(Q538=1,A538&lt;&gt;""),IF(IFERROR(COUNTIFS(A$3:A538,"="&amp;SUBSTITUTE(SUBSTITUTE(SUBSTITUTE(A538,"~","~~"),"*","~*"),"?","~?"),Q$3:Q538,1),0)=1,MAX(Y$2:Y537)+1,""),"")</f>
        <v/>
      </c>
      <c r="Z538" s="25">
        <f>IF(Y538="","",COUNTIFS($A$3:$A$1002,"="&amp;SUBSTITUTE(SUBSTITUTE(SUBSTITUTE(A538,"~","~~"),"*","~*"),"?","~?"),$Q$3:$Q$1002,1)*10000-Y538)</f>
        <v/>
      </c>
    </row>
    <row r="539">
      <c r="A539">
        <f>IF(A$2=0,"",IFERROR(TRIM(INDEX('Pegar docentes'!$A$1:$BZ$1001,538,A$2)&amp;""),""))</f>
        <v/>
      </c>
      <c r="B539">
        <f>IF(B$2=0,"",IFERROR(TRIM(INDEX('Pegar docentes'!$A$1:$BZ$1001,538,B$2)&amp;""),""))</f>
        <v/>
      </c>
      <c r="C539">
        <f>IF(C$2=0,"",IFERROR(TRIM(INDEX('Pegar docentes'!$A$1:$BZ$1001,538,C$2)&amp;""),""))</f>
        <v/>
      </c>
      <c r="D539">
        <f>IF(D$2=0,"",IFERROR(TRIM(INDEX('Pegar docentes'!$A$1:$BZ$1001,538,D$2)&amp;""),""))</f>
        <v/>
      </c>
      <c r="E539">
        <f>IF(E$2=0,"",IFERROR(TRIM(INDEX('Pegar docentes'!$A$1:$BZ$1001,538,E$2)&amp;""),""))</f>
        <v/>
      </c>
      <c r="F539">
        <f>IF(F$2=0,"",IFERROR(TRIM(INDEX('Pegar docentes'!$A$1:$BZ$1001,538,F$2)&amp;""),""))</f>
        <v/>
      </c>
      <c r="G539">
        <f>IF(G$2=0,"",IFERROR(TRIM(INDEX('Pegar docentes'!$A$1:$BZ$1001,538,G$2)&amp;""),""))</f>
        <v/>
      </c>
      <c r="H539">
        <f>IF(H$2=0,"",IFERROR(TRIM(INDEX('Pegar docentes'!$A$1:$BZ$1001,538,H$2)&amp;""),""))</f>
        <v/>
      </c>
      <c r="I539">
        <f>IF(I$2=0,"",IFERROR(TRIM(INDEX('Pegar docentes'!$A$1:$BZ$1001,538,I$2)&amp;""),""))</f>
        <v/>
      </c>
      <c r="J539">
        <f>IF(J$2=0,"",IFERROR(TRIM(INDEX('Pegar docentes'!$A$1:$BZ$1001,538,J$2)&amp;""),""))</f>
        <v/>
      </c>
      <c r="K539">
        <f>IF(K$2=0,"",IFERROR(TRIM(INDEX('Pegar docentes'!$A$1:$BZ$1001,538,K$2)&amp;""),""))</f>
        <v/>
      </c>
      <c r="L539">
        <f>IF(L$2=0,"",IFERROR(TRIM(INDEX('Pegar docentes'!$A$1:$BZ$1001,538,L$2)&amp;""),""))</f>
        <v/>
      </c>
      <c r="M539">
        <f>IF(M$2=0,"",IFERROR(TRIM(INDEX('Pegar docentes'!$A$1:$BZ$1001,538,M$2)&amp;""),""))</f>
        <v/>
      </c>
      <c r="N539">
        <f>IF(N$2=0,"",IFERROR(TRIM(INDEX('Pegar docentes'!$A$1:$BZ$1001,538,N$2)&amp;""),""))</f>
        <v/>
      </c>
      <c r="O539">
        <f>IF(O$2=0,"",IFERROR(TRIM(INDEX('Pegar docentes'!$A$1:$BZ$1001,538,O$2)&amp;""),""))</f>
        <v/>
      </c>
      <c r="P539">
        <f>IF(P$2=0,"",IFERROR(TRIM(INDEX('Pegar docentes'!$A$1:$BZ$1001,538,P$2)&amp;""),""))</f>
        <v/>
      </c>
      <c r="Q539" s="25">
        <f>IF(OR(D539&lt;&gt;"",H539&lt;&gt;""),1,"")</f>
        <v/>
      </c>
      <c r="R539" s="25">
        <f>IF(Q539=1,IF(ISNUMBER(FIND("#"&amp;MID(D539,1,1)&amp;"#","#0#1#2#3#4#5#6#7#8#9#")),IF(ISNUMBER(FIND("#"&amp;MID(D539,2,1)&amp;"#","#0#1#2#3#4#5#6#7#8#9#")),IF(AND(VALUE(LEFT(D539,2))&gt;=1,VALUE(LEFT(D539,2))&lt;=5),VALUE(LEFT(D539,2)),""),IF(AND(VALUE(LEFT(D539,1))&gt;=1,VALUE(LEFT(D539,1))&lt;=5),VALUE(LEFT(D539,1)),"")),""),"")</f>
        <v/>
      </c>
      <c r="S539" s="25">
        <f>IF(AND(Q539=1,E539&lt;&gt;""),SUBSTITUTE(SUBSTITUTE(SUBSTITUTE(SUBSTITUTE(SUBSTITUTE(SUBSTITUTE(SUBSTITUTE(SUBSTITUTE(SUBSTITUTE(SUBSTITUTE(SUBSTITUTE(SUBSTITUTE(LOWER(TRIM(E539)),"á","a"),"é","e"),"í","i"),"ó","o"),"ú","u"),"ü","u"),"ñ","n"),"à","a"),"è","e"),"ì","i"),"ò","o"),"ù","u"),"")</f>
        <v/>
      </c>
      <c r="T539" s="25">
        <f>IF(AND(Q539=1,G539&lt;&gt;""),SUBSTITUTE(SUBSTITUTE(SUBSTITUTE(SUBSTITUTE(SUBSTITUTE(SUBSTITUTE(SUBSTITUTE(SUBSTITUTE(SUBSTITUTE(SUBSTITUTE(SUBSTITUTE(SUBSTITUTE(LOWER(TRIM(G539)),"á","a"),"é","e"),"í","i"),"ó","o"),"ú","u"),"ü","u"),"ñ","n"),"à","a"),"è","e"),"ì","i"),"ò","o"),"ù","u"),"")</f>
        <v/>
      </c>
      <c r="U539" s="25">
        <f>IF(AND(Q539=1,H539&lt;&gt;""),SUBSTITUTE(SUBSTITUTE(SUBSTITUTE(SUBSTITUTE(SUBSTITUTE(SUBSTITUTE(SUBSTITUTE(SUBSTITUTE(SUBSTITUTE(SUBSTITUTE(SUBSTITUTE(SUBSTITUTE(LOWER(TRIM(H539)),"á","a"),"é","e"),"í","i"),"ó","o"),"ú","u"),"ü","u"),"ñ","n"),"à","a"),"è","e"),"ì","i"),"ò","o"),"ù","u"),"")</f>
        <v/>
      </c>
      <c r="V539" s="25">
        <f>IF(AND(Q539=1,L539&lt;&gt;""),SUBSTITUTE(SUBSTITUTE(SUBSTITUTE(SUBSTITUTE(SUBSTITUTE(SUBSTITUTE(SUBSTITUTE(SUBSTITUTE(SUBSTITUTE(SUBSTITUTE(SUBSTITUTE(SUBSTITUTE(LOWER(TRIM(L539)),"á","a"),"é","e"),"í","i"),"ó","o"),"ú","u"),"ü","u"),"ñ","n"),"à","a"),"è","e"),"ì","i"),"ò","o"),"ù","u"),"")</f>
        <v/>
      </c>
      <c r="W539" s="25">
        <f>IF(AND(Q539=1,I539&lt;&gt;""),SUBSTITUTE(SUBSTITUTE(SUBSTITUTE(SUBSTITUTE(SUBSTITUTE(SUBSTITUTE(SUBSTITUTE(SUBSTITUTE(SUBSTITUTE(SUBSTITUTE(SUBSTITUTE(SUBSTITUTE(LOWER(TRIM(I539)),"á","a"),"é","e"),"í","i"),"ó","o"),"ú","u"),"ü","u"),"ñ","n"),"à","a"),"è","e"),"ì","i"),"ò","o"),"ù","u"),"")</f>
        <v/>
      </c>
      <c r="X539" s="25">
        <f>IF(U539="","",IF(OR(U539="si, en la proxima tarea",U539="si, con cambios"),1,0))</f>
        <v/>
      </c>
      <c r="Y539" s="25">
        <f>IF(AND(Q539=1,A539&lt;&gt;""),IF(IFERROR(COUNTIFS(A$3:A539,"="&amp;SUBSTITUTE(SUBSTITUTE(SUBSTITUTE(A539,"~","~~"),"*","~*"),"?","~?"),Q$3:Q539,1),0)=1,MAX(Y$2:Y538)+1,""),"")</f>
        <v/>
      </c>
      <c r="Z539" s="25">
        <f>IF(Y539="","",COUNTIFS($A$3:$A$1002,"="&amp;SUBSTITUTE(SUBSTITUTE(SUBSTITUTE(A539,"~","~~"),"*","~*"),"?","~?"),$Q$3:$Q$1002,1)*10000-Y539)</f>
        <v/>
      </c>
    </row>
    <row r="540">
      <c r="A540">
        <f>IF(A$2=0,"",IFERROR(TRIM(INDEX('Pegar docentes'!$A$1:$BZ$1001,539,A$2)&amp;""),""))</f>
        <v/>
      </c>
      <c r="B540">
        <f>IF(B$2=0,"",IFERROR(TRIM(INDEX('Pegar docentes'!$A$1:$BZ$1001,539,B$2)&amp;""),""))</f>
        <v/>
      </c>
      <c r="C540">
        <f>IF(C$2=0,"",IFERROR(TRIM(INDEX('Pegar docentes'!$A$1:$BZ$1001,539,C$2)&amp;""),""))</f>
        <v/>
      </c>
      <c r="D540">
        <f>IF(D$2=0,"",IFERROR(TRIM(INDEX('Pegar docentes'!$A$1:$BZ$1001,539,D$2)&amp;""),""))</f>
        <v/>
      </c>
      <c r="E540">
        <f>IF(E$2=0,"",IFERROR(TRIM(INDEX('Pegar docentes'!$A$1:$BZ$1001,539,E$2)&amp;""),""))</f>
        <v/>
      </c>
      <c r="F540">
        <f>IF(F$2=0,"",IFERROR(TRIM(INDEX('Pegar docentes'!$A$1:$BZ$1001,539,F$2)&amp;""),""))</f>
        <v/>
      </c>
      <c r="G540">
        <f>IF(G$2=0,"",IFERROR(TRIM(INDEX('Pegar docentes'!$A$1:$BZ$1001,539,G$2)&amp;""),""))</f>
        <v/>
      </c>
      <c r="H540">
        <f>IF(H$2=0,"",IFERROR(TRIM(INDEX('Pegar docentes'!$A$1:$BZ$1001,539,H$2)&amp;""),""))</f>
        <v/>
      </c>
      <c r="I540">
        <f>IF(I$2=0,"",IFERROR(TRIM(INDEX('Pegar docentes'!$A$1:$BZ$1001,539,I$2)&amp;""),""))</f>
        <v/>
      </c>
      <c r="J540">
        <f>IF(J$2=0,"",IFERROR(TRIM(INDEX('Pegar docentes'!$A$1:$BZ$1001,539,J$2)&amp;""),""))</f>
        <v/>
      </c>
      <c r="K540">
        <f>IF(K$2=0,"",IFERROR(TRIM(INDEX('Pegar docentes'!$A$1:$BZ$1001,539,K$2)&amp;""),""))</f>
        <v/>
      </c>
      <c r="L540">
        <f>IF(L$2=0,"",IFERROR(TRIM(INDEX('Pegar docentes'!$A$1:$BZ$1001,539,L$2)&amp;""),""))</f>
        <v/>
      </c>
      <c r="M540">
        <f>IF(M$2=0,"",IFERROR(TRIM(INDEX('Pegar docentes'!$A$1:$BZ$1001,539,M$2)&amp;""),""))</f>
        <v/>
      </c>
      <c r="N540">
        <f>IF(N$2=0,"",IFERROR(TRIM(INDEX('Pegar docentes'!$A$1:$BZ$1001,539,N$2)&amp;""),""))</f>
        <v/>
      </c>
      <c r="O540">
        <f>IF(O$2=0,"",IFERROR(TRIM(INDEX('Pegar docentes'!$A$1:$BZ$1001,539,O$2)&amp;""),""))</f>
        <v/>
      </c>
      <c r="P540">
        <f>IF(P$2=0,"",IFERROR(TRIM(INDEX('Pegar docentes'!$A$1:$BZ$1001,539,P$2)&amp;""),""))</f>
        <v/>
      </c>
      <c r="Q540" s="25">
        <f>IF(OR(D540&lt;&gt;"",H540&lt;&gt;""),1,"")</f>
        <v/>
      </c>
      <c r="R540" s="25">
        <f>IF(Q540=1,IF(ISNUMBER(FIND("#"&amp;MID(D540,1,1)&amp;"#","#0#1#2#3#4#5#6#7#8#9#")),IF(ISNUMBER(FIND("#"&amp;MID(D540,2,1)&amp;"#","#0#1#2#3#4#5#6#7#8#9#")),IF(AND(VALUE(LEFT(D540,2))&gt;=1,VALUE(LEFT(D540,2))&lt;=5),VALUE(LEFT(D540,2)),""),IF(AND(VALUE(LEFT(D540,1))&gt;=1,VALUE(LEFT(D540,1))&lt;=5),VALUE(LEFT(D540,1)),"")),""),"")</f>
        <v/>
      </c>
      <c r="S540" s="25">
        <f>IF(AND(Q540=1,E540&lt;&gt;""),SUBSTITUTE(SUBSTITUTE(SUBSTITUTE(SUBSTITUTE(SUBSTITUTE(SUBSTITUTE(SUBSTITUTE(SUBSTITUTE(SUBSTITUTE(SUBSTITUTE(SUBSTITUTE(SUBSTITUTE(LOWER(TRIM(E540)),"á","a"),"é","e"),"í","i"),"ó","o"),"ú","u"),"ü","u"),"ñ","n"),"à","a"),"è","e"),"ì","i"),"ò","o"),"ù","u"),"")</f>
        <v/>
      </c>
      <c r="T540" s="25">
        <f>IF(AND(Q540=1,G540&lt;&gt;""),SUBSTITUTE(SUBSTITUTE(SUBSTITUTE(SUBSTITUTE(SUBSTITUTE(SUBSTITUTE(SUBSTITUTE(SUBSTITUTE(SUBSTITUTE(SUBSTITUTE(SUBSTITUTE(SUBSTITUTE(LOWER(TRIM(G540)),"á","a"),"é","e"),"í","i"),"ó","o"),"ú","u"),"ü","u"),"ñ","n"),"à","a"),"è","e"),"ì","i"),"ò","o"),"ù","u"),"")</f>
        <v/>
      </c>
      <c r="U540" s="25">
        <f>IF(AND(Q540=1,H540&lt;&gt;""),SUBSTITUTE(SUBSTITUTE(SUBSTITUTE(SUBSTITUTE(SUBSTITUTE(SUBSTITUTE(SUBSTITUTE(SUBSTITUTE(SUBSTITUTE(SUBSTITUTE(SUBSTITUTE(SUBSTITUTE(LOWER(TRIM(H540)),"á","a"),"é","e"),"í","i"),"ó","o"),"ú","u"),"ü","u"),"ñ","n"),"à","a"),"è","e"),"ì","i"),"ò","o"),"ù","u"),"")</f>
        <v/>
      </c>
      <c r="V540" s="25">
        <f>IF(AND(Q540=1,L540&lt;&gt;""),SUBSTITUTE(SUBSTITUTE(SUBSTITUTE(SUBSTITUTE(SUBSTITUTE(SUBSTITUTE(SUBSTITUTE(SUBSTITUTE(SUBSTITUTE(SUBSTITUTE(SUBSTITUTE(SUBSTITUTE(LOWER(TRIM(L540)),"á","a"),"é","e"),"í","i"),"ó","o"),"ú","u"),"ü","u"),"ñ","n"),"à","a"),"è","e"),"ì","i"),"ò","o"),"ù","u"),"")</f>
        <v/>
      </c>
      <c r="W540" s="25">
        <f>IF(AND(Q540=1,I540&lt;&gt;""),SUBSTITUTE(SUBSTITUTE(SUBSTITUTE(SUBSTITUTE(SUBSTITUTE(SUBSTITUTE(SUBSTITUTE(SUBSTITUTE(SUBSTITUTE(SUBSTITUTE(SUBSTITUTE(SUBSTITUTE(LOWER(TRIM(I540)),"á","a"),"é","e"),"í","i"),"ó","o"),"ú","u"),"ü","u"),"ñ","n"),"à","a"),"è","e"),"ì","i"),"ò","o"),"ù","u"),"")</f>
        <v/>
      </c>
      <c r="X540" s="25">
        <f>IF(U540="","",IF(OR(U540="si, en la proxima tarea",U540="si, con cambios"),1,0))</f>
        <v/>
      </c>
      <c r="Y540" s="25">
        <f>IF(AND(Q540=1,A540&lt;&gt;""),IF(IFERROR(COUNTIFS(A$3:A540,"="&amp;SUBSTITUTE(SUBSTITUTE(SUBSTITUTE(A540,"~","~~"),"*","~*"),"?","~?"),Q$3:Q540,1),0)=1,MAX(Y$2:Y539)+1,""),"")</f>
        <v/>
      </c>
      <c r="Z540" s="25">
        <f>IF(Y540="","",COUNTIFS($A$3:$A$1002,"="&amp;SUBSTITUTE(SUBSTITUTE(SUBSTITUTE(A540,"~","~~"),"*","~*"),"?","~?"),$Q$3:$Q$1002,1)*10000-Y540)</f>
        <v/>
      </c>
    </row>
    <row r="541">
      <c r="A541">
        <f>IF(A$2=0,"",IFERROR(TRIM(INDEX('Pegar docentes'!$A$1:$BZ$1001,540,A$2)&amp;""),""))</f>
        <v/>
      </c>
      <c r="B541">
        <f>IF(B$2=0,"",IFERROR(TRIM(INDEX('Pegar docentes'!$A$1:$BZ$1001,540,B$2)&amp;""),""))</f>
        <v/>
      </c>
      <c r="C541">
        <f>IF(C$2=0,"",IFERROR(TRIM(INDEX('Pegar docentes'!$A$1:$BZ$1001,540,C$2)&amp;""),""))</f>
        <v/>
      </c>
      <c r="D541">
        <f>IF(D$2=0,"",IFERROR(TRIM(INDEX('Pegar docentes'!$A$1:$BZ$1001,540,D$2)&amp;""),""))</f>
        <v/>
      </c>
      <c r="E541">
        <f>IF(E$2=0,"",IFERROR(TRIM(INDEX('Pegar docentes'!$A$1:$BZ$1001,540,E$2)&amp;""),""))</f>
        <v/>
      </c>
      <c r="F541">
        <f>IF(F$2=0,"",IFERROR(TRIM(INDEX('Pegar docentes'!$A$1:$BZ$1001,540,F$2)&amp;""),""))</f>
        <v/>
      </c>
      <c r="G541">
        <f>IF(G$2=0,"",IFERROR(TRIM(INDEX('Pegar docentes'!$A$1:$BZ$1001,540,G$2)&amp;""),""))</f>
        <v/>
      </c>
      <c r="H541">
        <f>IF(H$2=0,"",IFERROR(TRIM(INDEX('Pegar docentes'!$A$1:$BZ$1001,540,H$2)&amp;""),""))</f>
        <v/>
      </c>
      <c r="I541">
        <f>IF(I$2=0,"",IFERROR(TRIM(INDEX('Pegar docentes'!$A$1:$BZ$1001,540,I$2)&amp;""),""))</f>
        <v/>
      </c>
      <c r="J541">
        <f>IF(J$2=0,"",IFERROR(TRIM(INDEX('Pegar docentes'!$A$1:$BZ$1001,540,J$2)&amp;""),""))</f>
        <v/>
      </c>
      <c r="K541">
        <f>IF(K$2=0,"",IFERROR(TRIM(INDEX('Pegar docentes'!$A$1:$BZ$1001,540,K$2)&amp;""),""))</f>
        <v/>
      </c>
      <c r="L541">
        <f>IF(L$2=0,"",IFERROR(TRIM(INDEX('Pegar docentes'!$A$1:$BZ$1001,540,L$2)&amp;""),""))</f>
        <v/>
      </c>
      <c r="M541">
        <f>IF(M$2=0,"",IFERROR(TRIM(INDEX('Pegar docentes'!$A$1:$BZ$1001,540,M$2)&amp;""),""))</f>
        <v/>
      </c>
      <c r="N541">
        <f>IF(N$2=0,"",IFERROR(TRIM(INDEX('Pegar docentes'!$A$1:$BZ$1001,540,N$2)&amp;""),""))</f>
        <v/>
      </c>
      <c r="O541">
        <f>IF(O$2=0,"",IFERROR(TRIM(INDEX('Pegar docentes'!$A$1:$BZ$1001,540,O$2)&amp;""),""))</f>
        <v/>
      </c>
      <c r="P541">
        <f>IF(P$2=0,"",IFERROR(TRIM(INDEX('Pegar docentes'!$A$1:$BZ$1001,540,P$2)&amp;""),""))</f>
        <v/>
      </c>
      <c r="Q541" s="25">
        <f>IF(OR(D541&lt;&gt;"",H541&lt;&gt;""),1,"")</f>
        <v/>
      </c>
      <c r="R541" s="25">
        <f>IF(Q541=1,IF(ISNUMBER(FIND("#"&amp;MID(D541,1,1)&amp;"#","#0#1#2#3#4#5#6#7#8#9#")),IF(ISNUMBER(FIND("#"&amp;MID(D541,2,1)&amp;"#","#0#1#2#3#4#5#6#7#8#9#")),IF(AND(VALUE(LEFT(D541,2))&gt;=1,VALUE(LEFT(D541,2))&lt;=5),VALUE(LEFT(D541,2)),""),IF(AND(VALUE(LEFT(D541,1))&gt;=1,VALUE(LEFT(D541,1))&lt;=5),VALUE(LEFT(D541,1)),"")),""),"")</f>
        <v/>
      </c>
      <c r="S541" s="25">
        <f>IF(AND(Q541=1,E541&lt;&gt;""),SUBSTITUTE(SUBSTITUTE(SUBSTITUTE(SUBSTITUTE(SUBSTITUTE(SUBSTITUTE(SUBSTITUTE(SUBSTITUTE(SUBSTITUTE(SUBSTITUTE(SUBSTITUTE(SUBSTITUTE(LOWER(TRIM(E541)),"á","a"),"é","e"),"í","i"),"ó","o"),"ú","u"),"ü","u"),"ñ","n"),"à","a"),"è","e"),"ì","i"),"ò","o"),"ù","u"),"")</f>
        <v/>
      </c>
      <c r="T541" s="25">
        <f>IF(AND(Q541=1,G541&lt;&gt;""),SUBSTITUTE(SUBSTITUTE(SUBSTITUTE(SUBSTITUTE(SUBSTITUTE(SUBSTITUTE(SUBSTITUTE(SUBSTITUTE(SUBSTITUTE(SUBSTITUTE(SUBSTITUTE(SUBSTITUTE(LOWER(TRIM(G541)),"á","a"),"é","e"),"í","i"),"ó","o"),"ú","u"),"ü","u"),"ñ","n"),"à","a"),"è","e"),"ì","i"),"ò","o"),"ù","u"),"")</f>
        <v/>
      </c>
      <c r="U541" s="25">
        <f>IF(AND(Q541=1,H541&lt;&gt;""),SUBSTITUTE(SUBSTITUTE(SUBSTITUTE(SUBSTITUTE(SUBSTITUTE(SUBSTITUTE(SUBSTITUTE(SUBSTITUTE(SUBSTITUTE(SUBSTITUTE(SUBSTITUTE(SUBSTITUTE(LOWER(TRIM(H541)),"á","a"),"é","e"),"í","i"),"ó","o"),"ú","u"),"ü","u"),"ñ","n"),"à","a"),"è","e"),"ì","i"),"ò","o"),"ù","u"),"")</f>
        <v/>
      </c>
      <c r="V541" s="25">
        <f>IF(AND(Q541=1,L541&lt;&gt;""),SUBSTITUTE(SUBSTITUTE(SUBSTITUTE(SUBSTITUTE(SUBSTITUTE(SUBSTITUTE(SUBSTITUTE(SUBSTITUTE(SUBSTITUTE(SUBSTITUTE(SUBSTITUTE(SUBSTITUTE(LOWER(TRIM(L541)),"á","a"),"é","e"),"í","i"),"ó","o"),"ú","u"),"ü","u"),"ñ","n"),"à","a"),"è","e"),"ì","i"),"ò","o"),"ù","u"),"")</f>
        <v/>
      </c>
      <c r="W541" s="25">
        <f>IF(AND(Q541=1,I541&lt;&gt;""),SUBSTITUTE(SUBSTITUTE(SUBSTITUTE(SUBSTITUTE(SUBSTITUTE(SUBSTITUTE(SUBSTITUTE(SUBSTITUTE(SUBSTITUTE(SUBSTITUTE(SUBSTITUTE(SUBSTITUTE(LOWER(TRIM(I541)),"á","a"),"é","e"),"í","i"),"ó","o"),"ú","u"),"ü","u"),"ñ","n"),"à","a"),"è","e"),"ì","i"),"ò","o"),"ù","u"),"")</f>
        <v/>
      </c>
      <c r="X541" s="25">
        <f>IF(U541="","",IF(OR(U541="si, en la proxima tarea",U541="si, con cambios"),1,0))</f>
        <v/>
      </c>
      <c r="Y541" s="25">
        <f>IF(AND(Q541=1,A541&lt;&gt;""),IF(IFERROR(COUNTIFS(A$3:A541,"="&amp;SUBSTITUTE(SUBSTITUTE(SUBSTITUTE(A541,"~","~~"),"*","~*"),"?","~?"),Q$3:Q541,1),0)=1,MAX(Y$2:Y540)+1,""),"")</f>
        <v/>
      </c>
      <c r="Z541" s="25">
        <f>IF(Y541="","",COUNTIFS($A$3:$A$1002,"="&amp;SUBSTITUTE(SUBSTITUTE(SUBSTITUTE(A541,"~","~~"),"*","~*"),"?","~?"),$Q$3:$Q$1002,1)*10000-Y541)</f>
        <v/>
      </c>
    </row>
    <row r="542">
      <c r="A542">
        <f>IF(A$2=0,"",IFERROR(TRIM(INDEX('Pegar docentes'!$A$1:$BZ$1001,541,A$2)&amp;""),""))</f>
        <v/>
      </c>
      <c r="B542">
        <f>IF(B$2=0,"",IFERROR(TRIM(INDEX('Pegar docentes'!$A$1:$BZ$1001,541,B$2)&amp;""),""))</f>
        <v/>
      </c>
      <c r="C542">
        <f>IF(C$2=0,"",IFERROR(TRIM(INDEX('Pegar docentes'!$A$1:$BZ$1001,541,C$2)&amp;""),""))</f>
        <v/>
      </c>
      <c r="D542">
        <f>IF(D$2=0,"",IFERROR(TRIM(INDEX('Pegar docentes'!$A$1:$BZ$1001,541,D$2)&amp;""),""))</f>
        <v/>
      </c>
      <c r="E542">
        <f>IF(E$2=0,"",IFERROR(TRIM(INDEX('Pegar docentes'!$A$1:$BZ$1001,541,E$2)&amp;""),""))</f>
        <v/>
      </c>
      <c r="F542">
        <f>IF(F$2=0,"",IFERROR(TRIM(INDEX('Pegar docentes'!$A$1:$BZ$1001,541,F$2)&amp;""),""))</f>
        <v/>
      </c>
      <c r="G542">
        <f>IF(G$2=0,"",IFERROR(TRIM(INDEX('Pegar docentes'!$A$1:$BZ$1001,541,G$2)&amp;""),""))</f>
        <v/>
      </c>
      <c r="H542">
        <f>IF(H$2=0,"",IFERROR(TRIM(INDEX('Pegar docentes'!$A$1:$BZ$1001,541,H$2)&amp;""),""))</f>
        <v/>
      </c>
      <c r="I542">
        <f>IF(I$2=0,"",IFERROR(TRIM(INDEX('Pegar docentes'!$A$1:$BZ$1001,541,I$2)&amp;""),""))</f>
        <v/>
      </c>
      <c r="J542">
        <f>IF(J$2=0,"",IFERROR(TRIM(INDEX('Pegar docentes'!$A$1:$BZ$1001,541,J$2)&amp;""),""))</f>
        <v/>
      </c>
      <c r="K542">
        <f>IF(K$2=0,"",IFERROR(TRIM(INDEX('Pegar docentes'!$A$1:$BZ$1001,541,K$2)&amp;""),""))</f>
        <v/>
      </c>
      <c r="L542">
        <f>IF(L$2=0,"",IFERROR(TRIM(INDEX('Pegar docentes'!$A$1:$BZ$1001,541,L$2)&amp;""),""))</f>
        <v/>
      </c>
      <c r="M542">
        <f>IF(M$2=0,"",IFERROR(TRIM(INDEX('Pegar docentes'!$A$1:$BZ$1001,541,M$2)&amp;""),""))</f>
        <v/>
      </c>
      <c r="N542">
        <f>IF(N$2=0,"",IFERROR(TRIM(INDEX('Pegar docentes'!$A$1:$BZ$1001,541,N$2)&amp;""),""))</f>
        <v/>
      </c>
      <c r="O542">
        <f>IF(O$2=0,"",IFERROR(TRIM(INDEX('Pegar docentes'!$A$1:$BZ$1001,541,O$2)&amp;""),""))</f>
        <v/>
      </c>
      <c r="P542">
        <f>IF(P$2=0,"",IFERROR(TRIM(INDEX('Pegar docentes'!$A$1:$BZ$1001,541,P$2)&amp;""),""))</f>
        <v/>
      </c>
      <c r="Q542" s="25">
        <f>IF(OR(D542&lt;&gt;"",H542&lt;&gt;""),1,"")</f>
        <v/>
      </c>
      <c r="R542" s="25">
        <f>IF(Q542=1,IF(ISNUMBER(FIND("#"&amp;MID(D542,1,1)&amp;"#","#0#1#2#3#4#5#6#7#8#9#")),IF(ISNUMBER(FIND("#"&amp;MID(D542,2,1)&amp;"#","#0#1#2#3#4#5#6#7#8#9#")),IF(AND(VALUE(LEFT(D542,2))&gt;=1,VALUE(LEFT(D542,2))&lt;=5),VALUE(LEFT(D542,2)),""),IF(AND(VALUE(LEFT(D542,1))&gt;=1,VALUE(LEFT(D542,1))&lt;=5),VALUE(LEFT(D542,1)),"")),""),"")</f>
        <v/>
      </c>
      <c r="S542" s="25">
        <f>IF(AND(Q542=1,E542&lt;&gt;""),SUBSTITUTE(SUBSTITUTE(SUBSTITUTE(SUBSTITUTE(SUBSTITUTE(SUBSTITUTE(SUBSTITUTE(SUBSTITUTE(SUBSTITUTE(SUBSTITUTE(SUBSTITUTE(SUBSTITUTE(LOWER(TRIM(E542)),"á","a"),"é","e"),"í","i"),"ó","o"),"ú","u"),"ü","u"),"ñ","n"),"à","a"),"è","e"),"ì","i"),"ò","o"),"ù","u"),"")</f>
        <v/>
      </c>
      <c r="T542" s="25">
        <f>IF(AND(Q542=1,G542&lt;&gt;""),SUBSTITUTE(SUBSTITUTE(SUBSTITUTE(SUBSTITUTE(SUBSTITUTE(SUBSTITUTE(SUBSTITUTE(SUBSTITUTE(SUBSTITUTE(SUBSTITUTE(SUBSTITUTE(SUBSTITUTE(LOWER(TRIM(G542)),"á","a"),"é","e"),"í","i"),"ó","o"),"ú","u"),"ü","u"),"ñ","n"),"à","a"),"è","e"),"ì","i"),"ò","o"),"ù","u"),"")</f>
        <v/>
      </c>
      <c r="U542" s="25">
        <f>IF(AND(Q542=1,H542&lt;&gt;""),SUBSTITUTE(SUBSTITUTE(SUBSTITUTE(SUBSTITUTE(SUBSTITUTE(SUBSTITUTE(SUBSTITUTE(SUBSTITUTE(SUBSTITUTE(SUBSTITUTE(SUBSTITUTE(SUBSTITUTE(LOWER(TRIM(H542)),"á","a"),"é","e"),"í","i"),"ó","o"),"ú","u"),"ü","u"),"ñ","n"),"à","a"),"è","e"),"ì","i"),"ò","o"),"ù","u"),"")</f>
        <v/>
      </c>
      <c r="V542" s="25">
        <f>IF(AND(Q542=1,L542&lt;&gt;""),SUBSTITUTE(SUBSTITUTE(SUBSTITUTE(SUBSTITUTE(SUBSTITUTE(SUBSTITUTE(SUBSTITUTE(SUBSTITUTE(SUBSTITUTE(SUBSTITUTE(SUBSTITUTE(SUBSTITUTE(LOWER(TRIM(L542)),"á","a"),"é","e"),"í","i"),"ó","o"),"ú","u"),"ü","u"),"ñ","n"),"à","a"),"è","e"),"ì","i"),"ò","o"),"ù","u"),"")</f>
        <v/>
      </c>
      <c r="W542" s="25">
        <f>IF(AND(Q542=1,I542&lt;&gt;""),SUBSTITUTE(SUBSTITUTE(SUBSTITUTE(SUBSTITUTE(SUBSTITUTE(SUBSTITUTE(SUBSTITUTE(SUBSTITUTE(SUBSTITUTE(SUBSTITUTE(SUBSTITUTE(SUBSTITUTE(LOWER(TRIM(I542)),"á","a"),"é","e"),"í","i"),"ó","o"),"ú","u"),"ü","u"),"ñ","n"),"à","a"),"è","e"),"ì","i"),"ò","o"),"ù","u"),"")</f>
        <v/>
      </c>
      <c r="X542" s="25">
        <f>IF(U542="","",IF(OR(U542="si, en la proxima tarea",U542="si, con cambios"),1,0))</f>
        <v/>
      </c>
      <c r="Y542" s="25">
        <f>IF(AND(Q542=1,A542&lt;&gt;""),IF(IFERROR(COUNTIFS(A$3:A542,"="&amp;SUBSTITUTE(SUBSTITUTE(SUBSTITUTE(A542,"~","~~"),"*","~*"),"?","~?"),Q$3:Q542,1),0)=1,MAX(Y$2:Y541)+1,""),"")</f>
        <v/>
      </c>
      <c r="Z542" s="25">
        <f>IF(Y542="","",COUNTIFS($A$3:$A$1002,"="&amp;SUBSTITUTE(SUBSTITUTE(SUBSTITUTE(A542,"~","~~"),"*","~*"),"?","~?"),$Q$3:$Q$1002,1)*10000-Y542)</f>
        <v/>
      </c>
    </row>
    <row r="543">
      <c r="A543">
        <f>IF(A$2=0,"",IFERROR(TRIM(INDEX('Pegar docentes'!$A$1:$BZ$1001,542,A$2)&amp;""),""))</f>
        <v/>
      </c>
      <c r="B543">
        <f>IF(B$2=0,"",IFERROR(TRIM(INDEX('Pegar docentes'!$A$1:$BZ$1001,542,B$2)&amp;""),""))</f>
        <v/>
      </c>
      <c r="C543">
        <f>IF(C$2=0,"",IFERROR(TRIM(INDEX('Pegar docentes'!$A$1:$BZ$1001,542,C$2)&amp;""),""))</f>
        <v/>
      </c>
      <c r="D543">
        <f>IF(D$2=0,"",IFERROR(TRIM(INDEX('Pegar docentes'!$A$1:$BZ$1001,542,D$2)&amp;""),""))</f>
        <v/>
      </c>
      <c r="E543">
        <f>IF(E$2=0,"",IFERROR(TRIM(INDEX('Pegar docentes'!$A$1:$BZ$1001,542,E$2)&amp;""),""))</f>
        <v/>
      </c>
      <c r="F543">
        <f>IF(F$2=0,"",IFERROR(TRIM(INDEX('Pegar docentes'!$A$1:$BZ$1001,542,F$2)&amp;""),""))</f>
        <v/>
      </c>
      <c r="G543">
        <f>IF(G$2=0,"",IFERROR(TRIM(INDEX('Pegar docentes'!$A$1:$BZ$1001,542,G$2)&amp;""),""))</f>
        <v/>
      </c>
      <c r="H543">
        <f>IF(H$2=0,"",IFERROR(TRIM(INDEX('Pegar docentes'!$A$1:$BZ$1001,542,H$2)&amp;""),""))</f>
        <v/>
      </c>
      <c r="I543">
        <f>IF(I$2=0,"",IFERROR(TRIM(INDEX('Pegar docentes'!$A$1:$BZ$1001,542,I$2)&amp;""),""))</f>
        <v/>
      </c>
      <c r="J543">
        <f>IF(J$2=0,"",IFERROR(TRIM(INDEX('Pegar docentes'!$A$1:$BZ$1001,542,J$2)&amp;""),""))</f>
        <v/>
      </c>
      <c r="K543">
        <f>IF(K$2=0,"",IFERROR(TRIM(INDEX('Pegar docentes'!$A$1:$BZ$1001,542,K$2)&amp;""),""))</f>
        <v/>
      </c>
      <c r="L543">
        <f>IF(L$2=0,"",IFERROR(TRIM(INDEX('Pegar docentes'!$A$1:$BZ$1001,542,L$2)&amp;""),""))</f>
        <v/>
      </c>
      <c r="M543">
        <f>IF(M$2=0,"",IFERROR(TRIM(INDEX('Pegar docentes'!$A$1:$BZ$1001,542,M$2)&amp;""),""))</f>
        <v/>
      </c>
      <c r="N543">
        <f>IF(N$2=0,"",IFERROR(TRIM(INDEX('Pegar docentes'!$A$1:$BZ$1001,542,N$2)&amp;""),""))</f>
        <v/>
      </c>
      <c r="O543">
        <f>IF(O$2=0,"",IFERROR(TRIM(INDEX('Pegar docentes'!$A$1:$BZ$1001,542,O$2)&amp;""),""))</f>
        <v/>
      </c>
      <c r="P543">
        <f>IF(P$2=0,"",IFERROR(TRIM(INDEX('Pegar docentes'!$A$1:$BZ$1001,542,P$2)&amp;""),""))</f>
        <v/>
      </c>
      <c r="Q543" s="25">
        <f>IF(OR(D543&lt;&gt;"",H543&lt;&gt;""),1,"")</f>
        <v/>
      </c>
      <c r="R543" s="25">
        <f>IF(Q543=1,IF(ISNUMBER(FIND("#"&amp;MID(D543,1,1)&amp;"#","#0#1#2#3#4#5#6#7#8#9#")),IF(ISNUMBER(FIND("#"&amp;MID(D543,2,1)&amp;"#","#0#1#2#3#4#5#6#7#8#9#")),IF(AND(VALUE(LEFT(D543,2))&gt;=1,VALUE(LEFT(D543,2))&lt;=5),VALUE(LEFT(D543,2)),""),IF(AND(VALUE(LEFT(D543,1))&gt;=1,VALUE(LEFT(D543,1))&lt;=5),VALUE(LEFT(D543,1)),"")),""),"")</f>
        <v/>
      </c>
      <c r="S543" s="25">
        <f>IF(AND(Q543=1,E543&lt;&gt;""),SUBSTITUTE(SUBSTITUTE(SUBSTITUTE(SUBSTITUTE(SUBSTITUTE(SUBSTITUTE(SUBSTITUTE(SUBSTITUTE(SUBSTITUTE(SUBSTITUTE(SUBSTITUTE(SUBSTITUTE(LOWER(TRIM(E543)),"á","a"),"é","e"),"í","i"),"ó","o"),"ú","u"),"ü","u"),"ñ","n"),"à","a"),"è","e"),"ì","i"),"ò","o"),"ù","u"),"")</f>
        <v/>
      </c>
      <c r="T543" s="25">
        <f>IF(AND(Q543=1,G543&lt;&gt;""),SUBSTITUTE(SUBSTITUTE(SUBSTITUTE(SUBSTITUTE(SUBSTITUTE(SUBSTITUTE(SUBSTITUTE(SUBSTITUTE(SUBSTITUTE(SUBSTITUTE(SUBSTITUTE(SUBSTITUTE(LOWER(TRIM(G543)),"á","a"),"é","e"),"í","i"),"ó","o"),"ú","u"),"ü","u"),"ñ","n"),"à","a"),"è","e"),"ì","i"),"ò","o"),"ù","u"),"")</f>
        <v/>
      </c>
      <c r="U543" s="25">
        <f>IF(AND(Q543=1,H543&lt;&gt;""),SUBSTITUTE(SUBSTITUTE(SUBSTITUTE(SUBSTITUTE(SUBSTITUTE(SUBSTITUTE(SUBSTITUTE(SUBSTITUTE(SUBSTITUTE(SUBSTITUTE(SUBSTITUTE(SUBSTITUTE(LOWER(TRIM(H543)),"á","a"),"é","e"),"í","i"),"ó","o"),"ú","u"),"ü","u"),"ñ","n"),"à","a"),"è","e"),"ì","i"),"ò","o"),"ù","u"),"")</f>
        <v/>
      </c>
      <c r="V543" s="25">
        <f>IF(AND(Q543=1,L543&lt;&gt;""),SUBSTITUTE(SUBSTITUTE(SUBSTITUTE(SUBSTITUTE(SUBSTITUTE(SUBSTITUTE(SUBSTITUTE(SUBSTITUTE(SUBSTITUTE(SUBSTITUTE(SUBSTITUTE(SUBSTITUTE(LOWER(TRIM(L543)),"á","a"),"é","e"),"í","i"),"ó","o"),"ú","u"),"ü","u"),"ñ","n"),"à","a"),"è","e"),"ì","i"),"ò","o"),"ù","u"),"")</f>
        <v/>
      </c>
      <c r="W543" s="25">
        <f>IF(AND(Q543=1,I543&lt;&gt;""),SUBSTITUTE(SUBSTITUTE(SUBSTITUTE(SUBSTITUTE(SUBSTITUTE(SUBSTITUTE(SUBSTITUTE(SUBSTITUTE(SUBSTITUTE(SUBSTITUTE(SUBSTITUTE(SUBSTITUTE(LOWER(TRIM(I543)),"á","a"),"é","e"),"í","i"),"ó","o"),"ú","u"),"ü","u"),"ñ","n"),"à","a"),"è","e"),"ì","i"),"ò","o"),"ù","u"),"")</f>
        <v/>
      </c>
      <c r="X543" s="25">
        <f>IF(U543="","",IF(OR(U543="si, en la proxima tarea",U543="si, con cambios"),1,0))</f>
        <v/>
      </c>
      <c r="Y543" s="25">
        <f>IF(AND(Q543=1,A543&lt;&gt;""),IF(IFERROR(COUNTIFS(A$3:A543,"="&amp;SUBSTITUTE(SUBSTITUTE(SUBSTITUTE(A543,"~","~~"),"*","~*"),"?","~?"),Q$3:Q543,1),0)=1,MAX(Y$2:Y542)+1,""),"")</f>
        <v/>
      </c>
      <c r="Z543" s="25">
        <f>IF(Y543="","",COUNTIFS($A$3:$A$1002,"="&amp;SUBSTITUTE(SUBSTITUTE(SUBSTITUTE(A543,"~","~~"),"*","~*"),"?","~?"),$Q$3:$Q$1002,1)*10000-Y543)</f>
        <v/>
      </c>
    </row>
    <row r="544">
      <c r="A544">
        <f>IF(A$2=0,"",IFERROR(TRIM(INDEX('Pegar docentes'!$A$1:$BZ$1001,543,A$2)&amp;""),""))</f>
        <v/>
      </c>
      <c r="B544">
        <f>IF(B$2=0,"",IFERROR(TRIM(INDEX('Pegar docentes'!$A$1:$BZ$1001,543,B$2)&amp;""),""))</f>
        <v/>
      </c>
      <c r="C544">
        <f>IF(C$2=0,"",IFERROR(TRIM(INDEX('Pegar docentes'!$A$1:$BZ$1001,543,C$2)&amp;""),""))</f>
        <v/>
      </c>
      <c r="D544">
        <f>IF(D$2=0,"",IFERROR(TRIM(INDEX('Pegar docentes'!$A$1:$BZ$1001,543,D$2)&amp;""),""))</f>
        <v/>
      </c>
      <c r="E544">
        <f>IF(E$2=0,"",IFERROR(TRIM(INDEX('Pegar docentes'!$A$1:$BZ$1001,543,E$2)&amp;""),""))</f>
        <v/>
      </c>
      <c r="F544">
        <f>IF(F$2=0,"",IFERROR(TRIM(INDEX('Pegar docentes'!$A$1:$BZ$1001,543,F$2)&amp;""),""))</f>
        <v/>
      </c>
      <c r="G544">
        <f>IF(G$2=0,"",IFERROR(TRIM(INDEX('Pegar docentes'!$A$1:$BZ$1001,543,G$2)&amp;""),""))</f>
        <v/>
      </c>
      <c r="H544">
        <f>IF(H$2=0,"",IFERROR(TRIM(INDEX('Pegar docentes'!$A$1:$BZ$1001,543,H$2)&amp;""),""))</f>
        <v/>
      </c>
      <c r="I544">
        <f>IF(I$2=0,"",IFERROR(TRIM(INDEX('Pegar docentes'!$A$1:$BZ$1001,543,I$2)&amp;""),""))</f>
        <v/>
      </c>
      <c r="J544">
        <f>IF(J$2=0,"",IFERROR(TRIM(INDEX('Pegar docentes'!$A$1:$BZ$1001,543,J$2)&amp;""),""))</f>
        <v/>
      </c>
      <c r="K544">
        <f>IF(K$2=0,"",IFERROR(TRIM(INDEX('Pegar docentes'!$A$1:$BZ$1001,543,K$2)&amp;""),""))</f>
        <v/>
      </c>
      <c r="L544">
        <f>IF(L$2=0,"",IFERROR(TRIM(INDEX('Pegar docentes'!$A$1:$BZ$1001,543,L$2)&amp;""),""))</f>
        <v/>
      </c>
      <c r="M544">
        <f>IF(M$2=0,"",IFERROR(TRIM(INDEX('Pegar docentes'!$A$1:$BZ$1001,543,M$2)&amp;""),""))</f>
        <v/>
      </c>
      <c r="N544">
        <f>IF(N$2=0,"",IFERROR(TRIM(INDEX('Pegar docentes'!$A$1:$BZ$1001,543,N$2)&amp;""),""))</f>
        <v/>
      </c>
      <c r="O544">
        <f>IF(O$2=0,"",IFERROR(TRIM(INDEX('Pegar docentes'!$A$1:$BZ$1001,543,O$2)&amp;""),""))</f>
        <v/>
      </c>
      <c r="P544">
        <f>IF(P$2=0,"",IFERROR(TRIM(INDEX('Pegar docentes'!$A$1:$BZ$1001,543,P$2)&amp;""),""))</f>
        <v/>
      </c>
      <c r="Q544" s="25">
        <f>IF(OR(D544&lt;&gt;"",H544&lt;&gt;""),1,"")</f>
        <v/>
      </c>
      <c r="R544" s="25">
        <f>IF(Q544=1,IF(ISNUMBER(FIND("#"&amp;MID(D544,1,1)&amp;"#","#0#1#2#3#4#5#6#7#8#9#")),IF(ISNUMBER(FIND("#"&amp;MID(D544,2,1)&amp;"#","#0#1#2#3#4#5#6#7#8#9#")),IF(AND(VALUE(LEFT(D544,2))&gt;=1,VALUE(LEFT(D544,2))&lt;=5),VALUE(LEFT(D544,2)),""),IF(AND(VALUE(LEFT(D544,1))&gt;=1,VALUE(LEFT(D544,1))&lt;=5),VALUE(LEFT(D544,1)),"")),""),"")</f>
        <v/>
      </c>
      <c r="S544" s="25">
        <f>IF(AND(Q544=1,E544&lt;&gt;""),SUBSTITUTE(SUBSTITUTE(SUBSTITUTE(SUBSTITUTE(SUBSTITUTE(SUBSTITUTE(SUBSTITUTE(SUBSTITUTE(SUBSTITUTE(SUBSTITUTE(SUBSTITUTE(SUBSTITUTE(LOWER(TRIM(E544)),"á","a"),"é","e"),"í","i"),"ó","o"),"ú","u"),"ü","u"),"ñ","n"),"à","a"),"è","e"),"ì","i"),"ò","o"),"ù","u"),"")</f>
        <v/>
      </c>
      <c r="T544" s="25">
        <f>IF(AND(Q544=1,G544&lt;&gt;""),SUBSTITUTE(SUBSTITUTE(SUBSTITUTE(SUBSTITUTE(SUBSTITUTE(SUBSTITUTE(SUBSTITUTE(SUBSTITUTE(SUBSTITUTE(SUBSTITUTE(SUBSTITUTE(SUBSTITUTE(LOWER(TRIM(G544)),"á","a"),"é","e"),"í","i"),"ó","o"),"ú","u"),"ü","u"),"ñ","n"),"à","a"),"è","e"),"ì","i"),"ò","o"),"ù","u"),"")</f>
        <v/>
      </c>
      <c r="U544" s="25">
        <f>IF(AND(Q544=1,H544&lt;&gt;""),SUBSTITUTE(SUBSTITUTE(SUBSTITUTE(SUBSTITUTE(SUBSTITUTE(SUBSTITUTE(SUBSTITUTE(SUBSTITUTE(SUBSTITUTE(SUBSTITUTE(SUBSTITUTE(SUBSTITUTE(LOWER(TRIM(H544)),"á","a"),"é","e"),"í","i"),"ó","o"),"ú","u"),"ü","u"),"ñ","n"),"à","a"),"è","e"),"ì","i"),"ò","o"),"ù","u"),"")</f>
        <v/>
      </c>
      <c r="V544" s="25">
        <f>IF(AND(Q544=1,L544&lt;&gt;""),SUBSTITUTE(SUBSTITUTE(SUBSTITUTE(SUBSTITUTE(SUBSTITUTE(SUBSTITUTE(SUBSTITUTE(SUBSTITUTE(SUBSTITUTE(SUBSTITUTE(SUBSTITUTE(SUBSTITUTE(LOWER(TRIM(L544)),"á","a"),"é","e"),"í","i"),"ó","o"),"ú","u"),"ü","u"),"ñ","n"),"à","a"),"è","e"),"ì","i"),"ò","o"),"ù","u"),"")</f>
        <v/>
      </c>
      <c r="W544" s="25">
        <f>IF(AND(Q544=1,I544&lt;&gt;""),SUBSTITUTE(SUBSTITUTE(SUBSTITUTE(SUBSTITUTE(SUBSTITUTE(SUBSTITUTE(SUBSTITUTE(SUBSTITUTE(SUBSTITUTE(SUBSTITUTE(SUBSTITUTE(SUBSTITUTE(LOWER(TRIM(I544)),"á","a"),"é","e"),"í","i"),"ó","o"),"ú","u"),"ü","u"),"ñ","n"),"à","a"),"è","e"),"ì","i"),"ò","o"),"ù","u"),"")</f>
        <v/>
      </c>
      <c r="X544" s="25">
        <f>IF(U544="","",IF(OR(U544="si, en la proxima tarea",U544="si, con cambios"),1,0))</f>
        <v/>
      </c>
      <c r="Y544" s="25">
        <f>IF(AND(Q544=1,A544&lt;&gt;""),IF(IFERROR(COUNTIFS(A$3:A544,"="&amp;SUBSTITUTE(SUBSTITUTE(SUBSTITUTE(A544,"~","~~"),"*","~*"),"?","~?"),Q$3:Q544,1),0)=1,MAX(Y$2:Y543)+1,""),"")</f>
        <v/>
      </c>
      <c r="Z544" s="25">
        <f>IF(Y544="","",COUNTIFS($A$3:$A$1002,"="&amp;SUBSTITUTE(SUBSTITUTE(SUBSTITUTE(A544,"~","~~"),"*","~*"),"?","~?"),$Q$3:$Q$1002,1)*10000-Y544)</f>
        <v/>
      </c>
    </row>
    <row r="545">
      <c r="A545">
        <f>IF(A$2=0,"",IFERROR(TRIM(INDEX('Pegar docentes'!$A$1:$BZ$1001,544,A$2)&amp;""),""))</f>
        <v/>
      </c>
      <c r="B545">
        <f>IF(B$2=0,"",IFERROR(TRIM(INDEX('Pegar docentes'!$A$1:$BZ$1001,544,B$2)&amp;""),""))</f>
        <v/>
      </c>
      <c r="C545">
        <f>IF(C$2=0,"",IFERROR(TRIM(INDEX('Pegar docentes'!$A$1:$BZ$1001,544,C$2)&amp;""),""))</f>
        <v/>
      </c>
      <c r="D545">
        <f>IF(D$2=0,"",IFERROR(TRIM(INDEX('Pegar docentes'!$A$1:$BZ$1001,544,D$2)&amp;""),""))</f>
        <v/>
      </c>
      <c r="E545">
        <f>IF(E$2=0,"",IFERROR(TRIM(INDEX('Pegar docentes'!$A$1:$BZ$1001,544,E$2)&amp;""),""))</f>
        <v/>
      </c>
      <c r="F545">
        <f>IF(F$2=0,"",IFERROR(TRIM(INDEX('Pegar docentes'!$A$1:$BZ$1001,544,F$2)&amp;""),""))</f>
        <v/>
      </c>
      <c r="G545">
        <f>IF(G$2=0,"",IFERROR(TRIM(INDEX('Pegar docentes'!$A$1:$BZ$1001,544,G$2)&amp;""),""))</f>
        <v/>
      </c>
      <c r="H545">
        <f>IF(H$2=0,"",IFERROR(TRIM(INDEX('Pegar docentes'!$A$1:$BZ$1001,544,H$2)&amp;""),""))</f>
        <v/>
      </c>
      <c r="I545">
        <f>IF(I$2=0,"",IFERROR(TRIM(INDEX('Pegar docentes'!$A$1:$BZ$1001,544,I$2)&amp;""),""))</f>
        <v/>
      </c>
      <c r="J545">
        <f>IF(J$2=0,"",IFERROR(TRIM(INDEX('Pegar docentes'!$A$1:$BZ$1001,544,J$2)&amp;""),""))</f>
        <v/>
      </c>
      <c r="K545">
        <f>IF(K$2=0,"",IFERROR(TRIM(INDEX('Pegar docentes'!$A$1:$BZ$1001,544,K$2)&amp;""),""))</f>
        <v/>
      </c>
      <c r="L545">
        <f>IF(L$2=0,"",IFERROR(TRIM(INDEX('Pegar docentes'!$A$1:$BZ$1001,544,L$2)&amp;""),""))</f>
        <v/>
      </c>
      <c r="M545">
        <f>IF(M$2=0,"",IFERROR(TRIM(INDEX('Pegar docentes'!$A$1:$BZ$1001,544,M$2)&amp;""),""))</f>
        <v/>
      </c>
      <c r="N545">
        <f>IF(N$2=0,"",IFERROR(TRIM(INDEX('Pegar docentes'!$A$1:$BZ$1001,544,N$2)&amp;""),""))</f>
        <v/>
      </c>
      <c r="O545">
        <f>IF(O$2=0,"",IFERROR(TRIM(INDEX('Pegar docentes'!$A$1:$BZ$1001,544,O$2)&amp;""),""))</f>
        <v/>
      </c>
      <c r="P545">
        <f>IF(P$2=0,"",IFERROR(TRIM(INDEX('Pegar docentes'!$A$1:$BZ$1001,544,P$2)&amp;""),""))</f>
        <v/>
      </c>
      <c r="Q545" s="25">
        <f>IF(OR(D545&lt;&gt;"",H545&lt;&gt;""),1,"")</f>
        <v/>
      </c>
      <c r="R545" s="25">
        <f>IF(Q545=1,IF(ISNUMBER(FIND("#"&amp;MID(D545,1,1)&amp;"#","#0#1#2#3#4#5#6#7#8#9#")),IF(ISNUMBER(FIND("#"&amp;MID(D545,2,1)&amp;"#","#0#1#2#3#4#5#6#7#8#9#")),IF(AND(VALUE(LEFT(D545,2))&gt;=1,VALUE(LEFT(D545,2))&lt;=5),VALUE(LEFT(D545,2)),""),IF(AND(VALUE(LEFT(D545,1))&gt;=1,VALUE(LEFT(D545,1))&lt;=5),VALUE(LEFT(D545,1)),"")),""),"")</f>
        <v/>
      </c>
      <c r="S545" s="25">
        <f>IF(AND(Q545=1,E545&lt;&gt;""),SUBSTITUTE(SUBSTITUTE(SUBSTITUTE(SUBSTITUTE(SUBSTITUTE(SUBSTITUTE(SUBSTITUTE(SUBSTITUTE(SUBSTITUTE(SUBSTITUTE(SUBSTITUTE(SUBSTITUTE(LOWER(TRIM(E545)),"á","a"),"é","e"),"í","i"),"ó","o"),"ú","u"),"ü","u"),"ñ","n"),"à","a"),"è","e"),"ì","i"),"ò","o"),"ù","u"),"")</f>
        <v/>
      </c>
      <c r="T545" s="25">
        <f>IF(AND(Q545=1,G545&lt;&gt;""),SUBSTITUTE(SUBSTITUTE(SUBSTITUTE(SUBSTITUTE(SUBSTITUTE(SUBSTITUTE(SUBSTITUTE(SUBSTITUTE(SUBSTITUTE(SUBSTITUTE(SUBSTITUTE(SUBSTITUTE(LOWER(TRIM(G545)),"á","a"),"é","e"),"í","i"),"ó","o"),"ú","u"),"ü","u"),"ñ","n"),"à","a"),"è","e"),"ì","i"),"ò","o"),"ù","u"),"")</f>
        <v/>
      </c>
      <c r="U545" s="25">
        <f>IF(AND(Q545=1,H545&lt;&gt;""),SUBSTITUTE(SUBSTITUTE(SUBSTITUTE(SUBSTITUTE(SUBSTITUTE(SUBSTITUTE(SUBSTITUTE(SUBSTITUTE(SUBSTITUTE(SUBSTITUTE(SUBSTITUTE(SUBSTITUTE(LOWER(TRIM(H545)),"á","a"),"é","e"),"í","i"),"ó","o"),"ú","u"),"ü","u"),"ñ","n"),"à","a"),"è","e"),"ì","i"),"ò","o"),"ù","u"),"")</f>
        <v/>
      </c>
      <c r="V545" s="25">
        <f>IF(AND(Q545=1,L545&lt;&gt;""),SUBSTITUTE(SUBSTITUTE(SUBSTITUTE(SUBSTITUTE(SUBSTITUTE(SUBSTITUTE(SUBSTITUTE(SUBSTITUTE(SUBSTITUTE(SUBSTITUTE(SUBSTITUTE(SUBSTITUTE(LOWER(TRIM(L545)),"á","a"),"é","e"),"í","i"),"ó","o"),"ú","u"),"ü","u"),"ñ","n"),"à","a"),"è","e"),"ì","i"),"ò","o"),"ù","u"),"")</f>
        <v/>
      </c>
      <c r="W545" s="25">
        <f>IF(AND(Q545=1,I545&lt;&gt;""),SUBSTITUTE(SUBSTITUTE(SUBSTITUTE(SUBSTITUTE(SUBSTITUTE(SUBSTITUTE(SUBSTITUTE(SUBSTITUTE(SUBSTITUTE(SUBSTITUTE(SUBSTITUTE(SUBSTITUTE(LOWER(TRIM(I545)),"á","a"),"é","e"),"í","i"),"ó","o"),"ú","u"),"ü","u"),"ñ","n"),"à","a"),"è","e"),"ì","i"),"ò","o"),"ù","u"),"")</f>
        <v/>
      </c>
      <c r="X545" s="25">
        <f>IF(U545="","",IF(OR(U545="si, en la proxima tarea",U545="si, con cambios"),1,0))</f>
        <v/>
      </c>
      <c r="Y545" s="25">
        <f>IF(AND(Q545=1,A545&lt;&gt;""),IF(IFERROR(COUNTIFS(A$3:A545,"="&amp;SUBSTITUTE(SUBSTITUTE(SUBSTITUTE(A545,"~","~~"),"*","~*"),"?","~?"),Q$3:Q545,1),0)=1,MAX(Y$2:Y544)+1,""),"")</f>
        <v/>
      </c>
      <c r="Z545" s="25">
        <f>IF(Y545="","",COUNTIFS($A$3:$A$1002,"="&amp;SUBSTITUTE(SUBSTITUTE(SUBSTITUTE(A545,"~","~~"),"*","~*"),"?","~?"),$Q$3:$Q$1002,1)*10000-Y545)</f>
        <v/>
      </c>
    </row>
    <row r="546">
      <c r="A546">
        <f>IF(A$2=0,"",IFERROR(TRIM(INDEX('Pegar docentes'!$A$1:$BZ$1001,545,A$2)&amp;""),""))</f>
        <v/>
      </c>
      <c r="B546">
        <f>IF(B$2=0,"",IFERROR(TRIM(INDEX('Pegar docentes'!$A$1:$BZ$1001,545,B$2)&amp;""),""))</f>
        <v/>
      </c>
      <c r="C546">
        <f>IF(C$2=0,"",IFERROR(TRIM(INDEX('Pegar docentes'!$A$1:$BZ$1001,545,C$2)&amp;""),""))</f>
        <v/>
      </c>
      <c r="D546">
        <f>IF(D$2=0,"",IFERROR(TRIM(INDEX('Pegar docentes'!$A$1:$BZ$1001,545,D$2)&amp;""),""))</f>
        <v/>
      </c>
      <c r="E546">
        <f>IF(E$2=0,"",IFERROR(TRIM(INDEX('Pegar docentes'!$A$1:$BZ$1001,545,E$2)&amp;""),""))</f>
        <v/>
      </c>
      <c r="F546">
        <f>IF(F$2=0,"",IFERROR(TRIM(INDEX('Pegar docentes'!$A$1:$BZ$1001,545,F$2)&amp;""),""))</f>
        <v/>
      </c>
      <c r="G546">
        <f>IF(G$2=0,"",IFERROR(TRIM(INDEX('Pegar docentes'!$A$1:$BZ$1001,545,G$2)&amp;""),""))</f>
        <v/>
      </c>
      <c r="H546">
        <f>IF(H$2=0,"",IFERROR(TRIM(INDEX('Pegar docentes'!$A$1:$BZ$1001,545,H$2)&amp;""),""))</f>
        <v/>
      </c>
      <c r="I546">
        <f>IF(I$2=0,"",IFERROR(TRIM(INDEX('Pegar docentes'!$A$1:$BZ$1001,545,I$2)&amp;""),""))</f>
        <v/>
      </c>
      <c r="J546">
        <f>IF(J$2=0,"",IFERROR(TRIM(INDEX('Pegar docentes'!$A$1:$BZ$1001,545,J$2)&amp;""),""))</f>
        <v/>
      </c>
      <c r="K546">
        <f>IF(K$2=0,"",IFERROR(TRIM(INDEX('Pegar docentes'!$A$1:$BZ$1001,545,K$2)&amp;""),""))</f>
        <v/>
      </c>
      <c r="L546">
        <f>IF(L$2=0,"",IFERROR(TRIM(INDEX('Pegar docentes'!$A$1:$BZ$1001,545,L$2)&amp;""),""))</f>
        <v/>
      </c>
      <c r="M546">
        <f>IF(M$2=0,"",IFERROR(TRIM(INDEX('Pegar docentes'!$A$1:$BZ$1001,545,M$2)&amp;""),""))</f>
        <v/>
      </c>
      <c r="N546">
        <f>IF(N$2=0,"",IFERROR(TRIM(INDEX('Pegar docentes'!$A$1:$BZ$1001,545,N$2)&amp;""),""))</f>
        <v/>
      </c>
      <c r="O546">
        <f>IF(O$2=0,"",IFERROR(TRIM(INDEX('Pegar docentes'!$A$1:$BZ$1001,545,O$2)&amp;""),""))</f>
        <v/>
      </c>
      <c r="P546">
        <f>IF(P$2=0,"",IFERROR(TRIM(INDEX('Pegar docentes'!$A$1:$BZ$1001,545,P$2)&amp;""),""))</f>
        <v/>
      </c>
      <c r="Q546" s="25">
        <f>IF(OR(D546&lt;&gt;"",H546&lt;&gt;""),1,"")</f>
        <v/>
      </c>
      <c r="R546" s="25">
        <f>IF(Q546=1,IF(ISNUMBER(FIND("#"&amp;MID(D546,1,1)&amp;"#","#0#1#2#3#4#5#6#7#8#9#")),IF(ISNUMBER(FIND("#"&amp;MID(D546,2,1)&amp;"#","#0#1#2#3#4#5#6#7#8#9#")),IF(AND(VALUE(LEFT(D546,2))&gt;=1,VALUE(LEFT(D546,2))&lt;=5),VALUE(LEFT(D546,2)),""),IF(AND(VALUE(LEFT(D546,1))&gt;=1,VALUE(LEFT(D546,1))&lt;=5),VALUE(LEFT(D546,1)),"")),""),"")</f>
        <v/>
      </c>
      <c r="S546" s="25">
        <f>IF(AND(Q546=1,E546&lt;&gt;""),SUBSTITUTE(SUBSTITUTE(SUBSTITUTE(SUBSTITUTE(SUBSTITUTE(SUBSTITUTE(SUBSTITUTE(SUBSTITUTE(SUBSTITUTE(SUBSTITUTE(SUBSTITUTE(SUBSTITUTE(LOWER(TRIM(E546)),"á","a"),"é","e"),"í","i"),"ó","o"),"ú","u"),"ü","u"),"ñ","n"),"à","a"),"è","e"),"ì","i"),"ò","o"),"ù","u"),"")</f>
        <v/>
      </c>
      <c r="T546" s="25">
        <f>IF(AND(Q546=1,G546&lt;&gt;""),SUBSTITUTE(SUBSTITUTE(SUBSTITUTE(SUBSTITUTE(SUBSTITUTE(SUBSTITUTE(SUBSTITUTE(SUBSTITUTE(SUBSTITUTE(SUBSTITUTE(SUBSTITUTE(SUBSTITUTE(LOWER(TRIM(G546)),"á","a"),"é","e"),"í","i"),"ó","o"),"ú","u"),"ü","u"),"ñ","n"),"à","a"),"è","e"),"ì","i"),"ò","o"),"ù","u"),"")</f>
        <v/>
      </c>
      <c r="U546" s="25">
        <f>IF(AND(Q546=1,H546&lt;&gt;""),SUBSTITUTE(SUBSTITUTE(SUBSTITUTE(SUBSTITUTE(SUBSTITUTE(SUBSTITUTE(SUBSTITUTE(SUBSTITUTE(SUBSTITUTE(SUBSTITUTE(SUBSTITUTE(SUBSTITUTE(LOWER(TRIM(H546)),"á","a"),"é","e"),"í","i"),"ó","o"),"ú","u"),"ü","u"),"ñ","n"),"à","a"),"è","e"),"ì","i"),"ò","o"),"ù","u"),"")</f>
        <v/>
      </c>
      <c r="V546" s="25">
        <f>IF(AND(Q546=1,L546&lt;&gt;""),SUBSTITUTE(SUBSTITUTE(SUBSTITUTE(SUBSTITUTE(SUBSTITUTE(SUBSTITUTE(SUBSTITUTE(SUBSTITUTE(SUBSTITUTE(SUBSTITUTE(SUBSTITUTE(SUBSTITUTE(LOWER(TRIM(L546)),"á","a"),"é","e"),"í","i"),"ó","o"),"ú","u"),"ü","u"),"ñ","n"),"à","a"),"è","e"),"ì","i"),"ò","o"),"ù","u"),"")</f>
        <v/>
      </c>
      <c r="W546" s="25">
        <f>IF(AND(Q546=1,I546&lt;&gt;""),SUBSTITUTE(SUBSTITUTE(SUBSTITUTE(SUBSTITUTE(SUBSTITUTE(SUBSTITUTE(SUBSTITUTE(SUBSTITUTE(SUBSTITUTE(SUBSTITUTE(SUBSTITUTE(SUBSTITUTE(LOWER(TRIM(I546)),"á","a"),"é","e"),"í","i"),"ó","o"),"ú","u"),"ü","u"),"ñ","n"),"à","a"),"è","e"),"ì","i"),"ò","o"),"ù","u"),"")</f>
        <v/>
      </c>
      <c r="X546" s="25">
        <f>IF(U546="","",IF(OR(U546="si, en la proxima tarea",U546="si, con cambios"),1,0))</f>
        <v/>
      </c>
      <c r="Y546" s="25">
        <f>IF(AND(Q546=1,A546&lt;&gt;""),IF(IFERROR(COUNTIFS(A$3:A546,"="&amp;SUBSTITUTE(SUBSTITUTE(SUBSTITUTE(A546,"~","~~"),"*","~*"),"?","~?"),Q$3:Q546,1),0)=1,MAX(Y$2:Y545)+1,""),"")</f>
        <v/>
      </c>
      <c r="Z546" s="25">
        <f>IF(Y546="","",COUNTIFS($A$3:$A$1002,"="&amp;SUBSTITUTE(SUBSTITUTE(SUBSTITUTE(A546,"~","~~"),"*","~*"),"?","~?"),$Q$3:$Q$1002,1)*10000-Y546)</f>
        <v/>
      </c>
    </row>
    <row r="547">
      <c r="A547">
        <f>IF(A$2=0,"",IFERROR(TRIM(INDEX('Pegar docentes'!$A$1:$BZ$1001,546,A$2)&amp;""),""))</f>
        <v/>
      </c>
      <c r="B547">
        <f>IF(B$2=0,"",IFERROR(TRIM(INDEX('Pegar docentes'!$A$1:$BZ$1001,546,B$2)&amp;""),""))</f>
        <v/>
      </c>
      <c r="C547">
        <f>IF(C$2=0,"",IFERROR(TRIM(INDEX('Pegar docentes'!$A$1:$BZ$1001,546,C$2)&amp;""),""))</f>
        <v/>
      </c>
      <c r="D547">
        <f>IF(D$2=0,"",IFERROR(TRIM(INDEX('Pegar docentes'!$A$1:$BZ$1001,546,D$2)&amp;""),""))</f>
        <v/>
      </c>
      <c r="E547">
        <f>IF(E$2=0,"",IFERROR(TRIM(INDEX('Pegar docentes'!$A$1:$BZ$1001,546,E$2)&amp;""),""))</f>
        <v/>
      </c>
      <c r="F547">
        <f>IF(F$2=0,"",IFERROR(TRIM(INDEX('Pegar docentes'!$A$1:$BZ$1001,546,F$2)&amp;""),""))</f>
        <v/>
      </c>
      <c r="G547">
        <f>IF(G$2=0,"",IFERROR(TRIM(INDEX('Pegar docentes'!$A$1:$BZ$1001,546,G$2)&amp;""),""))</f>
        <v/>
      </c>
      <c r="H547">
        <f>IF(H$2=0,"",IFERROR(TRIM(INDEX('Pegar docentes'!$A$1:$BZ$1001,546,H$2)&amp;""),""))</f>
        <v/>
      </c>
      <c r="I547">
        <f>IF(I$2=0,"",IFERROR(TRIM(INDEX('Pegar docentes'!$A$1:$BZ$1001,546,I$2)&amp;""),""))</f>
        <v/>
      </c>
      <c r="J547">
        <f>IF(J$2=0,"",IFERROR(TRIM(INDEX('Pegar docentes'!$A$1:$BZ$1001,546,J$2)&amp;""),""))</f>
        <v/>
      </c>
      <c r="K547">
        <f>IF(K$2=0,"",IFERROR(TRIM(INDEX('Pegar docentes'!$A$1:$BZ$1001,546,K$2)&amp;""),""))</f>
        <v/>
      </c>
      <c r="L547">
        <f>IF(L$2=0,"",IFERROR(TRIM(INDEX('Pegar docentes'!$A$1:$BZ$1001,546,L$2)&amp;""),""))</f>
        <v/>
      </c>
      <c r="M547">
        <f>IF(M$2=0,"",IFERROR(TRIM(INDEX('Pegar docentes'!$A$1:$BZ$1001,546,M$2)&amp;""),""))</f>
        <v/>
      </c>
      <c r="N547">
        <f>IF(N$2=0,"",IFERROR(TRIM(INDEX('Pegar docentes'!$A$1:$BZ$1001,546,N$2)&amp;""),""))</f>
        <v/>
      </c>
      <c r="O547">
        <f>IF(O$2=0,"",IFERROR(TRIM(INDEX('Pegar docentes'!$A$1:$BZ$1001,546,O$2)&amp;""),""))</f>
        <v/>
      </c>
      <c r="P547">
        <f>IF(P$2=0,"",IFERROR(TRIM(INDEX('Pegar docentes'!$A$1:$BZ$1001,546,P$2)&amp;""),""))</f>
        <v/>
      </c>
      <c r="Q547" s="25">
        <f>IF(OR(D547&lt;&gt;"",H547&lt;&gt;""),1,"")</f>
        <v/>
      </c>
      <c r="R547" s="25">
        <f>IF(Q547=1,IF(ISNUMBER(FIND("#"&amp;MID(D547,1,1)&amp;"#","#0#1#2#3#4#5#6#7#8#9#")),IF(ISNUMBER(FIND("#"&amp;MID(D547,2,1)&amp;"#","#0#1#2#3#4#5#6#7#8#9#")),IF(AND(VALUE(LEFT(D547,2))&gt;=1,VALUE(LEFT(D547,2))&lt;=5),VALUE(LEFT(D547,2)),""),IF(AND(VALUE(LEFT(D547,1))&gt;=1,VALUE(LEFT(D547,1))&lt;=5),VALUE(LEFT(D547,1)),"")),""),"")</f>
        <v/>
      </c>
      <c r="S547" s="25">
        <f>IF(AND(Q547=1,E547&lt;&gt;""),SUBSTITUTE(SUBSTITUTE(SUBSTITUTE(SUBSTITUTE(SUBSTITUTE(SUBSTITUTE(SUBSTITUTE(SUBSTITUTE(SUBSTITUTE(SUBSTITUTE(SUBSTITUTE(SUBSTITUTE(LOWER(TRIM(E547)),"á","a"),"é","e"),"í","i"),"ó","o"),"ú","u"),"ü","u"),"ñ","n"),"à","a"),"è","e"),"ì","i"),"ò","o"),"ù","u"),"")</f>
        <v/>
      </c>
      <c r="T547" s="25">
        <f>IF(AND(Q547=1,G547&lt;&gt;""),SUBSTITUTE(SUBSTITUTE(SUBSTITUTE(SUBSTITUTE(SUBSTITUTE(SUBSTITUTE(SUBSTITUTE(SUBSTITUTE(SUBSTITUTE(SUBSTITUTE(SUBSTITUTE(SUBSTITUTE(LOWER(TRIM(G547)),"á","a"),"é","e"),"í","i"),"ó","o"),"ú","u"),"ü","u"),"ñ","n"),"à","a"),"è","e"),"ì","i"),"ò","o"),"ù","u"),"")</f>
        <v/>
      </c>
      <c r="U547" s="25">
        <f>IF(AND(Q547=1,H547&lt;&gt;""),SUBSTITUTE(SUBSTITUTE(SUBSTITUTE(SUBSTITUTE(SUBSTITUTE(SUBSTITUTE(SUBSTITUTE(SUBSTITUTE(SUBSTITUTE(SUBSTITUTE(SUBSTITUTE(SUBSTITUTE(LOWER(TRIM(H547)),"á","a"),"é","e"),"í","i"),"ó","o"),"ú","u"),"ü","u"),"ñ","n"),"à","a"),"è","e"),"ì","i"),"ò","o"),"ù","u"),"")</f>
        <v/>
      </c>
      <c r="V547" s="25">
        <f>IF(AND(Q547=1,L547&lt;&gt;""),SUBSTITUTE(SUBSTITUTE(SUBSTITUTE(SUBSTITUTE(SUBSTITUTE(SUBSTITUTE(SUBSTITUTE(SUBSTITUTE(SUBSTITUTE(SUBSTITUTE(SUBSTITUTE(SUBSTITUTE(LOWER(TRIM(L547)),"á","a"),"é","e"),"í","i"),"ó","o"),"ú","u"),"ü","u"),"ñ","n"),"à","a"),"è","e"),"ì","i"),"ò","o"),"ù","u"),"")</f>
        <v/>
      </c>
      <c r="W547" s="25">
        <f>IF(AND(Q547=1,I547&lt;&gt;""),SUBSTITUTE(SUBSTITUTE(SUBSTITUTE(SUBSTITUTE(SUBSTITUTE(SUBSTITUTE(SUBSTITUTE(SUBSTITUTE(SUBSTITUTE(SUBSTITUTE(SUBSTITUTE(SUBSTITUTE(LOWER(TRIM(I547)),"á","a"),"é","e"),"í","i"),"ó","o"),"ú","u"),"ü","u"),"ñ","n"),"à","a"),"è","e"),"ì","i"),"ò","o"),"ù","u"),"")</f>
        <v/>
      </c>
      <c r="X547" s="25">
        <f>IF(U547="","",IF(OR(U547="si, en la proxima tarea",U547="si, con cambios"),1,0))</f>
        <v/>
      </c>
      <c r="Y547" s="25">
        <f>IF(AND(Q547=1,A547&lt;&gt;""),IF(IFERROR(COUNTIFS(A$3:A547,"="&amp;SUBSTITUTE(SUBSTITUTE(SUBSTITUTE(A547,"~","~~"),"*","~*"),"?","~?"),Q$3:Q547,1),0)=1,MAX(Y$2:Y546)+1,""),"")</f>
        <v/>
      </c>
      <c r="Z547" s="25">
        <f>IF(Y547="","",COUNTIFS($A$3:$A$1002,"="&amp;SUBSTITUTE(SUBSTITUTE(SUBSTITUTE(A547,"~","~~"),"*","~*"),"?","~?"),$Q$3:$Q$1002,1)*10000-Y547)</f>
        <v/>
      </c>
    </row>
    <row r="548">
      <c r="A548">
        <f>IF(A$2=0,"",IFERROR(TRIM(INDEX('Pegar docentes'!$A$1:$BZ$1001,547,A$2)&amp;""),""))</f>
        <v/>
      </c>
      <c r="B548">
        <f>IF(B$2=0,"",IFERROR(TRIM(INDEX('Pegar docentes'!$A$1:$BZ$1001,547,B$2)&amp;""),""))</f>
        <v/>
      </c>
      <c r="C548">
        <f>IF(C$2=0,"",IFERROR(TRIM(INDEX('Pegar docentes'!$A$1:$BZ$1001,547,C$2)&amp;""),""))</f>
        <v/>
      </c>
      <c r="D548">
        <f>IF(D$2=0,"",IFERROR(TRIM(INDEX('Pegar docentes'!$A$1:$BZ$1001,547,D$2)&amp;""),""))</f>
        <v/>
      </c>
      <c r="E548">
        <f>IF(E$2=0,"",IFERROR(TRIM(INDEX('Pegar docentes'!$A$1:$BZ$1001,547,E$2)&amp;""),""))</f>
        <v/>
      </c>
      <c r="F548">
        <f>IF(F$2=0,"",IFERROR(TRIM(INDEX('Pegar docentes'!$A$1:$BZ$1001,547,F$2)&amp;""),""))</f>
        <v/>
      </c>
      <c r="G548">
        <f>IF(G$2=0,"",IFERROR(TRIM(INDEX('Pegar docentes'!$A$1:$BZ$1001,547,G$2)&amp;""),""))</f>
        <v/>
      </c>
      <c r="H548">
        <f>IF(H$2=0,"",IFERROR(TRIM(INDEX('Pegar docentes'!$A$1:$BZ$1001,547,H$2)&amp;""),""))</f>
        <v/>
      </c>
      <c r="I548">
        <f>IF(I$2=0,"",IFERROR(TRIM(INDEX('Pegar docentes'!$A$1:$BZ$1001,547,I$2)&amp;""),""))</f>
        <v/>
      </c>
      <c r="J548">
        <f>IF(J$2=0,"",IFERROR(TRIM(INDEX('Pegar docentes'!$A$1:$BZ$1001,547,J$2)&amp;""),""))</f>
        <v/>
      </c>
      <c r="K548">
        <f>IF(K$2=0,"",IFERROR(TRIM(INDEX('Pegar docentes'!$A$1:$BZ$1001,547,K$2)&amp;""),""))</f>
        <v/>
      </c>
      <c r="L548">
        <f>IF(L$2=0,"",IFERROR(TRIM(INDEX('Pegar docentes'!$A$1:$BZ$1001,547,L$2)&amp;""),""))</f>
        <v/>
      </c>
      <c r="M548">
        <f>IF(M$2=0,"",IFERROR(TRIM(INDEX('Pegar docentes'!$A$1:$BZ$1001,547,M$2)&amp;""),""))</f>
        <v/>
      </c>
      <c r="N548">
        <f>IF(N$2=0,"",IFERROR(TRIM(INDEX('Pegar docentes'!$A$1:$BZ$1001,547,N$2)&amp;""),""))</f>
        <v/>
      </c>
      <c r="O548">
        <f>IF(O$2=0,"",IFERROR(TRIM(INDEX('Pegar docentes'!$A$1:$BZ$1001,547,O$2)&amp;""),""))</f>
        <v/>
      </c>
      <c r="P548">
        <f>IF(P$2=0,"",IFERROR(TRIM(INDEX('Pegar docentes'!$A$1:$BZ$1001,547,P$2)&amp;""),""))</f>
        <v/>
      </c>
      <c r="Q548" s="25">
        <f>IF(OR(D548&lt;&gt;"",H548&lt;&gt;""),1,"")</f>
        <v/>
      </c>
      <c r="R548" s="25">
        <f>IF(Q548=1,IF(ISNUMBER(FIND("#"&amp;MID(D548,1,1)&amp;"#","#0#1#2#3#4#5#6#7#8#9#")),IF(ISNUMBER(FIND("#"&amp;MID(D548,2,1)&amp;"#","#0#1#2#3#4#5#6#7#8#9#")),IF(AND(VALUE(LEFT(D548,2))&gt;=1,VALUE(LEFT(D548,2))&lt;=5),VALUE(LEFT(D548,2)),""),IF(AND(VALUE(LEFT(D548,1))&gt;=1,VALUE(LEFT(D548,1))&lt;=5),VALUE(LEFT(D548,1)),"")),""),"")</f>
        <v/>
      </c>
      <c r="S548" s="25">
        <f>IF(AND(Q548=1,E548&lt;&gt;""),SUBSTITUTE(SUBSTITUTE(SUBSTITUTE(SUBSTITUTE(SUBSTITUTE(SUBSTITUTE(SUBSTITUTE(SUBSTITUTE(SUBSTITUTE(SUBSTITUTE(SUBSTITUTE(SUBSTITUTE(LOWER(TRIM(E548)),"á","a"),"é","e"),"í","i"),"ó","o"),"ú","u"),"ü","u"),"ñ","n"),"à","a"),"è","e"),"ì","i"),"ò","o"),"ù","u"),"")</f>
        <v/>
      </c>
      <c r="T548" s="25">
        <f>IF(AND(Q548=1,G548&lt;&gt;""),SUBSTITUTE(SUBSTITUTE(SUBSTITUTE(SUBSTITUTE(SUBSTITUTE(SUBSTITUTE(SUBSTITUTE(SUBSTITUTE(SUBSTITUTE(SUBSTITUTE(SUBSTITUTE(SUBSTITUTE(LOWER(TRIM(G548)),"á","a"),"é","e"),"í","i"),"ó","o"),"ú","u"),"ü","u"),"ñ","n"),"à","a"),"è","e"),"ì","i"),"ò","o"),"ù","u"),"")</f>
        <v/>
      </c>
      <c r="U548" s="25">
        <f>IF(AND(Q548=1,H548&lt;&gt;""),SUBSTITUTE(SUBSTITUTE(SUBSTITUTE(SUBSTITUTE(SUBSTITUTE(SUBSTITUTE(SUBSTITUTE(SUBSTITUTE(SUBSTITUTE(SUBSTITUTE(SUBSTITUTE(SUBSTITUTE(LOWER(TRIM(H548)),"á","a"),"é","e"),"í","i"),"ó","o"),"ú","u"),"ü","u"),"ñ","n"),"à","a"),"è","e"),"ì","i"),"ò","o"),"ù","u"),"")</f>
        <v/>
      </c>
      <c r="V548" s="25">
        <f>IF(AND(Q548=1,L548&lt;&gt;""),SUBSTITUTE(SUBSTITUTE(SUBSTITUTE(SUBSTITUTE(SUBSTITUTE(SUBSTITUTE(SUBSTITUTE(SUBSTITUTE(SUBSTITUTE(SUBSTITUTE(SUBSTITUTE(SUBSTITUTE(LOWER(TRIM(L548)),"á","a"),"é","e"),"í","i"),"ó","o"),"ú","u"),"ü","u"),"ñ","n"),"à","a"),"è","e"),"ì","i"),"ò","o"),"ù","u"),"")</f>
        <v/>
      </c>
      <c r="W548" s="25">
        <f>IF(AND(Q548=1,I548&lt;&gt;""),SUBSTITUTE(SUBSTITUTE(SUBSTITUTE(SUBSTITUTE(SUBSTITUTE(SUBSTITUTE(SUBSTITUTE(SUBSTITUTE(SUBSTITUTE(SUBSTITUTE(SUBSTITUTE(SUBSTITUTE(LOWER(TRIM(I548)),"á","a"),"é","e"),"í","i"),"ó","o"),"ú","u"),"ü","u"),"ñ","n"),"à","a"),"è","e"),"ì","i"),"ò","o"),"ù","u"),"")</f>
        <v/>
      </c>
      <c r="X548" s="25">
        <f>IF(U548="","",IF(OR(U548="si, en la proxima tarea",U548="si, con cambios"),1,0))</f>
        <v/>
      </c>
      <c r="Y548" s="25">
        <f>IF(AND(Q548=1,A548&lt;&gt;""),IF(IFERROR(COUNTIFS(A$3:A548,"="&amp;SUBSTITUTE(SUBSTITUTE(SUBSTITUTE(A548,"~","~~"),"*","~*"),"?","~?"),Q$3:Q548,1),0)=1,MAX(Y$2:Y547)+1,""),"")</f>
        <v/>
      </c>
      <c r="Z548" s="25">
        <f>IF(Y548="","",COUNTIFS($A$3:$A$1002,"="&amp;SUBSTITUTE(SUBSTITUTE(SUBSTITUTE(A548,"~","~~"),"*","~*"),"?","~?"),$Q$3:$Q$1002,1)*10000-Y548)</f>
        <v/>
      </c>
    </row>
    <row r="549">
      <c r="A549">
        <f>IF(A$2=0,"",IFERROR(TRIM(INDEX('Pegar docentes'!$A$1:$BZ$1001,548,A$2)&amp;""),""))</f>
        <v/>
      </c>
      <c r="B549">
        <f>IF(B$2=0,"",IFERROR(TRIM(INDEX('Pegar docentes'!$A$1:$BZ$1001,548,B$2)&amp;""),""))</f>
        <v/>
      </c>
      <c r="C549">
        <f>IF(C$2=0,"",IFERROR(TRIM(INDEX('Pegar docentes'!$A$1:$BZ$1001,548,C$2)&amp;""),""))</f>
        <v/>
      </c>
      <c r="D549">
        <f>IF(D$2=0,"",IFERROR(TRIM(INDEX('Pegar docentes'!$A$1:$BZ$1001,548,D$2)&amp;""),""))</f>
        <v/>
      </c>
      <c r="E549">
        <f>IF(E$2=0,"",IFERROR(TRIM(INDEX('Pegar docentes'!$A$1:$BZ$1001,548,E$2)&amp;""),""))</f>
        <v/>
      </c>
      <c r="F549">
        <f>IF(F$2=0,"",IFERROR(TRIM(INDEX('Pegar docentes'!$A$1:$BZ$1001,548,F$2)&amp;""),""))</f>
        <v/>
      </c>
      <c r="G549">
        <f>IF(G$2=0,"",IFERROR(TRIM(INDEX('Pegar docentes'!$A$1:$BZ$1001,548,G$2)&amp;""),""))</f>
        <v/>
      </c>
      <c r="H549">
        <f>IF(H$2=0,"",IFERROR(TRIM(INDEX('Pegar docentes'!$A$1:$BZ$1001,548,H$2)&amp;""),""))</f>
        <v/>
      </c>
      <c r="I549">
        <f>IF(I$2=0,"",IFERROR(TRIM(INDEX('Pegar docentes'!$A$1:$BZ$1001,548,I$2)&amp;""),""))</f>
        <v/>
      </c>
      <c r="J549">
        <f>IF(J$2=0,"",IFERROR(TRIM(INDEX('Pegar docentes'!$A$1:$BZ$1001,548,J$2)&amp;""),""))</f>
        <v/>
      </c>
      <c r="K549">
        <f>IF(K$2=0,"",IFERROR(TRIM(INDEX('Pegar docentes'!$A$1:$BZ$1001,548,K$2)&amp;""),""))</f>
        <v/>
      </c>
      <c r="L549">
        <f>IF(L$2=0,"",IFERROR(TRIM(INDEX('Pegar docentes'!$A$1:$BZ$1001,548,L$2)&amp;""),""))</f>
        <v/>
      </c>
      <c r="M549">
        <f>IF(M$2=0,"",IFERROR(TRIM(INDEX('Pegar docentes'!$A$1:$BZ$1001,548,M$2)&amp;""),""))</f>
        <v/>
      </c>
      <c r="N549">
        <f>IF(N$2=0,"",IFERROR(TRIM(INDEX('Pegar docentes'!$A$1:$BZ$1001,548,N$2)&amp;""),""))</f>
        <v/>
      </c>
      <c r="O549">
        <f>IF(O$2=0,"",IFERROR(TRIM(INDEX('Pegar docentes'!$A$1:$BZ$1001,548,O$2)&amp;""),""))</f>
        <v/>
      </c>
      <c r="P549">
        <f>IF(P$2=0,"",IFERROR(TRIM(INDEX('Pegar docentes'!$A$1:$BZ$1001,548,P$2)&amp;""),""))</f>
        <v/>
      </c>
      <c r="Q549" s="25">
        <f>IF(OR(D549&lt;&gt;"",H549&lt;&gt;""),1,"")</f>
        <v/>
      </c>
      <c r="R549" s="25">
        <f>IF(Q549=1,IF(ISNUMBER(FIND("#"&amp;MID(D549,1,1)&amp;"#","#0#1#2#3#4#5#6#7#8#9#")),IF(ISNUMBER(FIND("#"&amp;MID(D549,2,1)&amp;"#","#0#1#2#3#4#5#6#7#8#9#")),IF(AND(VALUE(LEFT(D549,2))&gt;=1,VALUE(LEFT(D549,2))&lt;=5),VALUE(LEFT(D549,2)),""),IF(AND(VALUE(LEFT(D549,1))&gt;=1,VALUE(LEFT(D549,1))&lt;=5),VALUE(LEFT(D549,1)),"")),""),"")</f>
        <v/>
      </c>
      <c r="S549" s="25">
        <f>IF(AND(Q549=1,E549&lt;&gt;""),SUBSTITUTE(SUBSTITUTE(SUBSTITUTE(SUBSTITUTE(SUBSTITUTE(SUBSTITUTE(SUBSTITUTE(SUBSTITUTE(SUBSTITUTE(SUBSTITUTE(SUBSTITUTE(SUBSTITUTE(LOWER(TRIM(E549)),"á","a"),"é","e"),"í","i"),"ó","o"),"ú","u"),"ü","u"),"ñ","n"),"à","a"),"è","e"),"ì","i"),"ò","o"),"ù","u"),"")</f>
        <v/>
      </c>
      <c r="T549" s="25">
        <f>IF(AND(Q549=1,G549&lt;&gt;""),SUBSTITUTE(SUBSTITUTE(SUBSTITUTE(SUBSTITUTE(SUBSTITUTE(SUBSTITUTE(SUBSTITUTE(SUBSTITUTE(SUBSTITUTE(SUBSTITUTE(SUBSTITUTE(SUBSTITUTE(LOWER(TRIM(G549)),"á","a"),"é","e"),"í","i"),"ó","o"),"ú","u"),"ü","u"),"ñ","n"),"à","a"),"è","e"),"ì","i"),"ò","o"),"ù","u"),"")</f>
        <v/>
      </c>
      <c r="U549" s="25">
        <f>IF(AND(Q549=1,H549&lt;&gt;""),SUBSTITUTE(SUBSTITUTE(SUBSTITUTE(SUBSTITUTE(SUBSTITUTE(SUBSTITUTE(SUBSTITUTE(SUBSTITUTE(SUBSTITUTE(SUBSTITUTE(SUBSTITUTE(SUBSTITUTE(LOWER(TRIM(H549)),"á","a"),"é","e"),"í","i"),"ó","o"),"ú","u"),"ü","u"),"ñ","n"),"à","a"),"è","e"),"ì","i"),"ò","o"),"ù","u"),"")</f>
        <v/>
      </c>
      <c r="V549" s="25">
        <f>IF(AND(Q549=1,L549&lt;&gt;""),SUBSTITUTE(SUBSTITUTE(SUBSTITUTE(SUBSTITUTE(SUBSTITUTE(SUBSTITUTE(SUBSTITUTE(SUBSTITUTE(SUBSTITUTE(SUBSTITUTE(SUBSTITUTE(SUBSTITUTE(LOWER(TRIM(L549)),"á","a"),"é","e"),"í","i"),"ó","o"),"ú","u"),"ü","u"),"ñ","n"),"à","a"),"è","e"),"ì","i"),"ò","o"),"ù","u"),"")</f>
        <v/>
      </c>
      <c r="W549" s="25">
        <f>IF(AND(Q549=1,I549&lt;&gt;""),SUBSTITUTE(SUBSTITUTE(SUBSTITUTE(SUBSTITUTE(SUBSTITUTE(SUBSTITUTE(SUBSTITUTE(SUBSTITUTE(SUBSTITUTE(SUBSTITUTE(SUBSTITUTE(SUBSTITUTE(LOWER(TRIM(I549)),"á","a"),"é","e"),"í","i"),"ó","o"),"ú","u"),"ü","u"),"ñ","n"),"à","a"),"è","e"),"ì","i"),"ò","o"),"ù","u"),"")</f>
        <v/>
      </c>
      <c r="X549" s="25">
        <f>IF(U549="","",IF(OR(U549="si, en la proxima tarea",U549="si, con cambios"),1,0))</f>
        <v/>
      </c>
      <c r="Y549" s="25">
        <f>IF(AND(Q549=1,A549&lt;&gt;""),IF(IFERROR(COUNTIFS(A$3:A549,"="&amp;SUBSTITUTE(SUBSTITUTE(SUBSTITUTE(A549,"~","~~"),"*","~*"),"?","~?"),Q$3:Q549,1),0)=1,MAX(Y$2:Y548)+1,""),"")</f>
        <v/>
      </c>
      <c r="Z549" s="25">
        <f>IF(Y549="","",COUNTIFS($A$3:$A$1002,"="&amp;SUBSTITUTE(SUBSTITUTE(SUBSTITUTE(A549,"~","~~"),"*","~*"),"?","~?"),$Q$3:$Q$1002,1)*10000-Y549)</f>
        <v/>
      </c>
    </row>
    <row r="550">
      <c r="A550">
        <f>IF(A$2=0,"",IFERROR(TRIM(INDEX('Pegar docentes'!$A$1:$BZ$1001,549,A$2)&amp;""),""))</f>
        <v/>
      </c>
      <c r="B550">
        <f>IF(B$2=0,"",IFERROR(TRIM(INDEX('Pegar docentes'!$A$1:$BZ$1001,549,B$2)&amp;""),""))</f>
        <v/>
      </c>
      <c r="C550">
        <f>IF(C$2=0,"",IFERROR(TRIM(INDEX('Pegar docentes'!$A$1:$BZ$1001,549,C$2)&amp;""),""))</f>
        <v/>
      </c>
      <c r="D550">
        <f>IF(D$2=0,"",IFERROR(TRIM(INDEX('Pegar docentes'!$A$1:$BZ$1001,549,D$2)&amp;""),""))</f>
        <v/>
      </c>
      <c r="E550">
        <f>IF(E$2=0,"",IFERROR(TRIM(INDEX('Pegar docentes'!$A$1:$BZ$1001,549,E$2)&amp;""),""))</f>
        <v/>
      </c>
      <c r="F550">
        <f>IF(F$2=0,"",IFERROR(TRIM(INDEX('Pegar docentes'!$A$1:$BZ$1001,549,F$2)&amp;""),""))</f>
        <v/>
      </c>
      <c r="G550">
        <f>IF(G$2=0,"",IFERROR(TRIM(INDEX('Pegar docentes'!$A$1:$BZ$1001,549,G$2)&amp;""),""))</f>
        <v/>
      </c>
      <c r="H550">
        <f>IF(H$2=0,"",IFERROR(TRIM(INDEX('Pegar docentes'!$A$1:$BZ$1001,549,H$2)&amp;""),""))</f>
        <v/>
      </c>
      <c r="I550">
        <f>IF(I$2=0,"",IFERROR(TRIM(INDEX('Pegar docentes'!$A$1:$BZ$1001,549,I$2)&amp;""),""))</f>
        <v/>
      </c>
      <c r="J550">
        <f>IF(J$2=0,"",IFERROR(TRIM(INDEX('Pegar docentes'!$A$1:$BZ$1001,549,J$2)&amp;""),""))</f>
        <v/>
      </c>
      <c r="K550">
        <f>IF(K$2=0,"",IFERROR(TRIM(INDEX('Pegar docentes'!$A$1:$BZ$1001,549,K$2)&amp;""),""))</f>
        <v/>
      </c>
      <c r="L550">
        <f>IF(L$2=0,"",IFERROR(TRIM(INDEX('Pegar docentes'!$A$1:$BZ$1001,549,L$2)&amp;""),""))</f>
        <v/>
      </c>
      <c r="M550">
        <f>IF(M$2=0,"",IFERROR(TRIM(INDEX('Pegar docentes'!$A$1:$BZ$1001,549,M$2)&amp;""),""))</f>
        <v/>
      </c>
      <c r="N550">
        <f>IF(N$2=0,"",IFERROR(TRIM(INDEX('Pegar docentes'!$A$1:$BZ$1001,549,N$2)&amp;""),""))</f>
        <v/>
      </c>
      <c r="O550">
        <f>IF(O$2=0,"",IFERROR(TRIM(INDEX('Pegar docentes'!$A$1:$BZ$1001,549,O$2)&amp;""),""))</f>
        <v/>
      </c>
      <c r="P550">
        <f>IF(P$2=0,"",IFERROR(TRIM(INDEX('Pegar docentes'!$A$1:$BZ$1001,549,P$2)&amp;""),""))</f>
        <v/>
      </c>
      <c r="Q550" s="25">
        <f>IF(OR(D550&lt;&gt;"",H550&lt;&gt;""),1,"")</f>
        <v/>
      </c>
      <c r="R550" s="25">
        <f>IF(Q550=1,IF(ISNUMBER(FIND("#"&amp;MID(D550,1,1)&amp;"#","#0#1#2#3#4#5#6#7#8#9#")),IF(ISNUMBER(FIND("#"&amp;MID(D550,2,1)&amp;"#","#0#1#2#3#4#5#6#7#8#9#")),IF(AND(VALUE(LEFT(D550,2))&gt;=1,VALUE(LEFT(D550,2))&lt;=5),VALUE(LEFT(D550,2)),""),IF(AND(VALUE(LEFT(D550,1))&gt;=1,VALUE(LEFT(D550,1))&lt;=5),VALUE(LEFT(D550,1)),"")),""),"")</f>
        <v/>
      </c>
      <c r="S550" s="25">
        <f>IF(AND(Q550=1,E550&lt;&gt;""),SUBSTITUTE(SUBSTITUTE(SUBSTITUTE(SUBSTITUTE(SUBSTITUTE(SUBSTITUTE(SUBSTITUTE(SUBSTITUTE(SUBSTITUTE(SUBSTITUTE(SUBSTITUTE(SUBSTITUTE(LOWER(TRIM(E550)),"á","a"),"é","e"),"í","i"),"ó","o"),"ú","u"),"ü","u"),"ñ","n"),"à","a"),"è","e"),"ì","i"),"ò","o"),"ù","u"),"")</f>
        <v/>
      </c>
      <c r="T550" s="25">
        <f>IF(AND(Q550=1,G550&lt;&gt;""),SUBSTITUTE(SUBSTITUTE(SUBSTITUTE(SUBSTITUTE(SUBSTITUTE(SUBSTITUTE(SUBSTITUTE(SUBSTITUTE(SUBSTITUTE(SUBSTITUTE(SUBSTITUTE(SUBSTITUTE(LOWER(TRIM(G550)),"á","a"),"é","e"),"í","i"),"ó","o"),"ú","u"),"ü","u"),"ñ","n"),"à","a"),"è","e"),"ì","i"),"ò","o"),"ù","u"),"")</f>
        <v/>
      </c>
      <c r="U550" s="25">
        <f>IF(AND(Q550=1,H550&lt;&gt;""),SUBSTITUTE(SUBSTITUTE(SUBSTITUTE(SUBSTITUTE(SUBSTITUTE(SUBSTITUTE(SUBSTITUTE(SUBSTITUTE(SUBSTITUTE(SUBSTITUTE(SUBSTITUTE(SUBSTITUTE(LOWER(TRIM(H550)),"á","a"),"é","e"),"í","i"),"ó","o"),"ú","u"),"ü","u"),"ñ","n"),"à","a"),"è","e"),"ì","i"),"ò","o"),"ù","u"),"")</f>
        <v/>
      </c>
      <c r="V550" s="25">
        <f>IF(AND(Q550=1,L550&lt;&gt;""),SUBSTITUTE(SUBSTITUTE(SUBSTITUTE(SUBSTITUTE(SUBSTITUTE(SUBSTITUTE(SUBSTITUTE(SUBSTITUTE(SUBSTITUTE(SUBSTITUTE(SUBSTITUTE(SUBSTITUTE(LOWER(TRIM(L550)),"á","a"),"é","e"),"í","i"),"ó","o"),"ú","u"),"ü","u"),"ñ","n"),"à","a"),"è","e"),"ì","i"),"ò","o"),"ù","u"),"")</f>
        <v/>
      </c>
      <c r="W550" s="25">
        <f>IF(AND(Q550=1,I550&lt;&gt;""),SUBSTITUTE(SUBSTITUTE(SUBSTITUTE(SUBSTITUTE(SUBSTITUTE(SUBSTITUTE(SUBSTITUTE(SUBSTITUTE(SUBSTITUTE(SUBSTITUTE(SUBSTITUTE(SUBSTITUTE(LOWER(TRIM(I550)),"á","a"),"é","e"),"í","i"),"ó","o"),"ú","u"),"ü","u"),"ñ","n"),"à","a"),"è","e"),"ì","i"),"ò","o"),"ù","u"),"")</f>
        <v/>
      </c>
      <c r="X550" s="25">
        <f>IF(U550="","",IF(OR(U550="si, en la proxima tarea",U550="si, con cambios"),1,0))</f>
        <v/>
      </c>
      <c r="Y550" s="25">
        <f>IF(AND(Q550=1,A550&lt;&gt;""),IF(IFERROR(COUNTIFS(A$3:A550,"="&amp;SUBSTITUTE(SUBSTITUTE(SUBSTITUTE(A550,"~","~~"),"*","~*"),"?","~?"),Q$3:Q550,1),0)=1,MAX(Y$2:Y549)+1,""),"")</f>
        <v/>
      </c>
      <c r="Z550" s="25">
        <f>IF(Y550="","",COUNTIFS($A$3:$A$1002,"="&amp;SUBSTITUTE(SUBSTITUTE(SUBSTITUTE(A550,"~","~~"),"*","~*"),"?","~?"),$Q$3:$Q$1002,1)*10000-Y550)</f>
        <v/>
      </c>
    </row>
    <row r="551">
      <c r="A551">
        <f>IF(A$2=0,"",IFERROR(TRIM(INDEX('Pegar docentes'!$A$1:$BZ$1001,550,A$2)&amp;""),""))</f>
        <v/>
      </c>
      <c r="B551">
        <f>IF(B$2=0,"",IFERROR(TRIM(INDEX('Pegar docentes'!$A$1:$BZ$1001,550,B$2)&amp;""),""))</f>
        <v/>
      </c>
      <c r="C551">
        <f>IF(C$2=0,"",IFERROR(TRIM(INDEX('Pegar docentes'!$A$1:$BZ$1001,550,C$2)&amp;""),""))</f>
        <v/>
      </c>
      <c r="D551">
        <f>IF(D$2=0,"",IFERROR(TRIM(INDEX('Pegar docentes'!$A$1:$BZ$1001,550,D$2)&amp;""),""))</f>
        <v/>
      </c>
      <c r="E551">
        <f>IF(E$2=0,"",IFERROR(TRIM(INDEX('Pegar docentes'!$A$1:$BZ$1001,550,E$2)&amp;""),""))</f>
        <v/>
      </c>
      <c r="F551">
        <f>IF(F$2=0,"",IFERROR(TRIM(INDEX('Pegar docentes'!$A$1:$BZ$1001,550,F$2)&amp;""),""))</f>
        <v/>
      </c>
      <c r="G551">
        <f>IF(G$2=0,"",IFERROR(TRIM(INDEX('Pegar docentes'!$A$1:$BZ$1001,550,G$2)&amp;""),""))</f>
        <v/>
      </c>
      <c r="H551">
        <f>IF(H$2=0,"",IFERROR(TRIM(INDEX('Pegar docentes'!$A$1:$BZ$1001,550,H$2)&amp;""),""))</f>
        <v/>
      </c>
      <c r="I551">
        <f>IF(I$2=0,"",IFERROR(TRIM(INDEX('Pegar docentes'!$A$1:$BZ$1001,550,I$2)&amp;""),""))</f>
        <v/>
      </c>
      <c r="J551">
        <f>IF(J$2=0,"",IFERROR(TRIM(INDEX('Pegar docentes'!$A$1:$BZ$1001,550,J$2)&amp;""),""))</f>
        <v/>
      </c>
      <c r="K551">
        <f>IF(K$2=0,"",IFERROR(TRIM(INDEX('Pegar docentes'!$A$1:$BZ$1001,550,K$2)&amp;""),""))</f>
        <v/>
      </c>
      <c r="L551">
        <f>IF(L$2=0,"",IFERROR(TRIM(INDEX('Pegar docentes'!$A$1:$BZ$1001,550,L$2)&amp;""),""))</f>
        <v/>
      </c>
      <c r="M551">
        <f>IF(M$2=0,"",IFERROR(TRIM(INDEX('Pegar docentes'!$A$1:$BZ$1001,550,M$2)&amp;""),""))</f>
        <v/>
      </c>
      <c r="N551">
        <f>IF(N$2=0,"",IFERROR(TRIM(INDEX('Pegar docentes'!$A$1:$BZ$1001,550,N$2)&amp;""),""))</f>
        <v/>
      </c>
      <c r="O551">
        <f>IF(O$2=0,"",IFERROR(TRIM(INDEX('Pegar docentes'!$A$1:$BZ$1001,550,O$2)&amp;""),""))</f>
        <v/>
      </c>
      <c r="P551">
        <f>IF(P$2=0,"",IFERROR(TRIM(INDEX('Pegar docentes'!$A$1:$BZ$1001,550,P$2)&amp;""),""))</f>
        <v/>
      </c>
      <c r="Q551" s="25">
        <f>IF(OR(D551&lt;&gt;"",H551&lt;&gt;""),1,"")</f>
        <v/>
      </c>
      <c r="R551" s="25">
        <f>IF(Q551=1,IF(ISNUMBER(FIND("#"&amp;MID(D551,1,1)&amp;"#","#0#1#2#3#4#5#6#7#8#9#")),IF(ISNUMBER(FIND("#"&amp;MID(D551,2,1)&amp;"#","#0#1#2#3#4#5#6#7#8#9#")),IF(AND(VALUE(LEFT(D551,2))&gt;=1,VALUE(LEFT(D551,2))&lt;=5),VALUE(LEFT(D551,2)),""),IF(AND(VALUE(LEFT(D551,1))&gt;=1,VALUE(LEFT(D551,1))&lt;=5),VALUE(LEFT(D551,1)),"")),""),"")</f>
        <v/>
      </c>
      <c r="S551" s="25">
        <f>IF(AND(Q551=1,E551&lt;&gt;""),SUBSTITUTE(SUBSTITUTE(SUBSTITUTE(SUBSTITUTE(SUBSTITUTE(SUBSTITUTE(SUBSTITUTE(SUBSTITUTE(SUBSTITUTE(SUBSTITUTE(SUBSTITUTE(SUBSTITUTE(LOWER(TRIM(E551)),"á","a"),"é","e"),"í","i"),"ó","o"),"ú","u"),"ü","u"),"ñ","n"),"à","a"),"è","e"),"ì","i"),"ò","o"),"ù","u"),"")</f>
        <v/>
      </c>
      <c r="T551" s="25">
        <f>IF(AND(Q551=1,G551&lt;&gt;""),SUBSTITUTE(SUBSTITUTE(SUBSTITUTE(SUBSTITUTE(SUBSTITUTE(SUBSTITUTE(SUBSTITUTE(SUBSTITUTE(SUBSTITUTE(SUBSTITUTE(SUBSTITUTE(SUBSTITUTE(LOWER(TRIM(G551)),"á","a"),"é","e"),"í","i"),"ó","o"),"ú","u"),"ü","u"),"ñ","n"),"à","a"),"è","e"),"ì","i"),"ò","o"),"ù","u"),"")</f>
        <v/>
      </c>
      <c r="U551" s="25">
        <f>IF(AND(Q551=1,H551&lt;&gt;""),SUBSTITUTE(SUBSTITUTE(SUBSTITUTE(SUBSTITUTE(SUBSTITUTE(SUBSTITUTE(SUBSTITUTE(SUBSTITUTE(SUBSTITUTE(SUBSTITUTE(SUBSTITUTE(SUBSTITUTE(LOWER(TRIM(H551)),"á","a"),"é","e"),"í","i"),"ó","o"),"ú","u"),"ü","u"),"ñ","n"),"à","a"),"è","e"),"ì","i"),"ò","o"),"ù","u"),"")</f>
        <v/>
      </c>
      <c r="V551" s="25">
        <f>IF(AND(Q551=1,L551&lt;&gt;""),SUBSTITUTE(SUBSTITUTE(SUBSTITUTE(SUBSTITUTE(SUBSTITUTE(SUBSTITUTE(SUBSTITUTE(SUBSTITUTE(SUBSTITUTE(SUBSTITUTE(SUBSTITUTE(SUBSTITUTE(LOWER(TRIM(L551)),"á","a"),"é","e"),"í","i"),"ó","o"),"ú","u"),"ü","u"),"ñ","n"),"à","a"),"è","e"),"ì","i"),"ò","o"),"ù","u"),"")</f>
        <v/>
      </c>
      <c r="W551" s="25">
        <f>IF(AND(Q551=1,I551&lt;&gt;""),SUBSTITUTE(SUBSTITUTE(SUBSTITUTE(SUBSTITUTE(SUBSTITUTE(SUBSTITUTE(SUBSTITUTE(SUBSTITUTE(SUBSTITUTE(SUBSTITUTE(SUBSTITUTE(SUBSTITUTE(LOWER(TRIM(I551)),"á","a"),"é","e"),"í","i"),"ó","o"),"ú","u"),"ü","u"),"ñ","n"),"à","a"),"è","e"),"ì","i"),"ò","o"),"ù","u"),"")</f>
        <v/>
      </c>
      <c r="X551" s="25">
        <f>IF(U551="","",IF(OR(U551="si, en la proxima tarea",U551="si, con cambios"),1,0))</f>
        <v/>
      </c>
      <c r="Y551" s="25">
        <f>IF(AND(Q551=1,A551&lt;&gt;""),IF(IFERROR(COUNTIFS(A$3:A551,"="&amp;SUBSTITUTE(SUBSTITUTE(SUBSTITUTE(A551,"~","~~"),"*","~*"),"?","~?"),Q$3:Q551,1),0)=1,MAX(Y$2:Y550)+1,""),"")</f>
        <v/>
      </c>
      <c r="Z551" s="25">
        <f>IF(Y551="","",COUNTIFS($A$3:$A$1002,"="&amp;SUBSTITUTE(SUBSTITUTE(SUBSTITUTE(A551,"~","~~"),"*","~*"),"?","~?"),$Q$3:$Q$1002,1)*10000-Y551)</f>
        <v/>
      </c>
    </row>
    <row r="552">
      <c r="A552">
        <f>IF(A$2=0,"",IFERROR(TRIM(INDEX('Pegar docentes'!$A$1:$BZ$1001,551,A$2)&amp;""),""))</f>
        <v/>
      </c>
      <c r="B552">
        <f>IF(B$2=0,"",IFERROR(TRIM(INDEX('Pegar docentes'!$A$1:$BZ$1001,551,B$2)&amp;""),""))</f>
        <v/>
      </c>
      <c r="C552">
        <f>IF(C$2=0,"",IFERROR(TRIM(INDEX('Pegar docentes'!$A$1:$BZ$1001,551,C$2)&amp;""),""))</f>
        <v/>
      </c>
      <c r="D552">
        <f>IF(D$2=0,"",IFERROR(TRIM(INDEX('Pegar docentes'!$A$1:$BZ$1001,551,D$2)&amp;""),""))</f>
        <v/>
      </c>
      <c r="E552">
        <f>IF(E$2=0,"",IFERROR(TRIM(INDEX('Pegar docentes'!$A$1:$BZ$1001,551,E$2)&amp;""),""))</f>
        <v/>
      </c>
      <c r="F552">
        <f>IF(F$2=0,"",IFERROR(TRIM(INDEX('Pegar docentes'!$A$1:$BZ$1001,551,F$2)&amp;""),""))</f>
        <v/>
      </c>
      <c r="G552">
        <f>IF(G$2=0,"",IFERROR(TRIM(INDEX('Pegar docentes'!$A$1:$BZ$1001,551,G$2)&amp;""),""))</f>
        <v/>
      </c>
      <c r="H552">
        <f>IF(H$2=0,"",IFERROR(TRIM(INDEX('Pegar docentes'!$A$1:$BZ$1001,551,H$2)&amp;""),""))</f>
        <v/>
      </c>
      <c r="I552">
        <f>IF(I$2=0,"",IFERROR(TRIM(INDEX('Pegar docentes'!$A$1:$BZ$1001,551,I$2)&amp;""),""))</f>
        <v/>
      </c>
      <c r="J552">
        <f>IF(J$2=0,"",IFERROR(TRIM(INDEX('Pegar docentes'!$A$1:$BZ$1001,551,J$2)&amp;""),""))</f>
        <v/>
      </c>
      <c r="K552">
        <f>IF(K$2=0,"",IFERROR(TRIM(INDEX('Pegar docentes'!$A$1:$BZ$1001,551,K$2)&amp;""),""))</f>
        <v/>
      </c>
      <c r="L552">
        <f>IF(L$2=0,"",IFERROR(TRIM(INDEX('Pegar docentes'!$A$1:$BZ$1001,551,L$2)&amp;""),""))</f>
        <v/>
      </c>
      <c r="M552">
        <f>IF(M$2=0,"",IFERROR(TRIM(INDEX('Pegar docentes'!$A$1:$BZ$1001,551,M$2)&amp;""),""))</f>
        <v/>
      </c>
      <c r="N552">
        <f>IF(N$2=0,"",IFERROR(TRIM(INDEX('Pegar docentes'!$A$1:$BZ$1001,551,N$2)&amp;""),""))</f>
        <v/>
      </c>
      <c r="O552">
        <f>IF(O$2=0,"",IFERROR(TRIM(INDEX('Pegar docentes'!$A$1:$BZ$1001,551,O$2)&amp;""),""))</f>
        <v/>
      </c>
      <c r="P552">
        <f>IF(P$2=0,"",IFERROR(TRIM(INDEX('Pegar docentes'!$A$1:$BZ$1001,551,P$2)&amp;""),""))</f>
        <v/>
      </c>
      <c r="Q552" s="25">
        <f>IF(OR(D552&lt;&gt;"",H552&lt;&gt;""),1,"")</f>
        <v/>
      </c>
      <c r="R552" s="25">
        <f>IF(Q552=1,IF(ISNUMBER(FIND("#"&amp;MID(D552,1,1)&amp;"#","#0#1#2#3#4#5#6#7#8#9#")),IF(ISNUMBER(FIND("#"&amp;MID(D552,2,1)&amp;"#","#0#1#2#3#4#5#6#7#8#9#")),IF(AND(VALUE(LEFT(D552,2))&gt;=1,VALUE(LEFT(D552,2))&lt;=5),VALUE(LEFT(D552,2)),""),IF(AND(VALUE(LEFT(D552,1))&gt;=1,VALUE(LEFT(D552,1))&lt;=5),VALUE(LEFT(D552,1)),"")),""),"")</f>
        <v/>
      </c>
      <c r="S552" s="25">
        <f>IF(AND(Q552=1,E552&lt;&gt;""),SUBSTITUTE(SUBSTITUTE(SUBSTITUTE(SUBSTITUTE(SUBSTITUTE(SUBSTITUTE(SUBSTITUTE(SUBSTITUTE(SUBSTITUTE(SUBSTITUTE(SUBSTITUTE(SUBSTITUTE(LOWER(TRIM(E552)),"á","a"),"é","e"),"í","i"),"ó","o"),"ú","u"),"ü","u"),"ñ","n"),"à","a"),"è","e"),"ì","i"),"ò","o"),"ù","u"),"")</f>
        <v/>
      </c>
      <c r="T552" s="25">
        <f>IF(AND(Q552=1,G552&lt;&gt;""),SUBSTITUTE(SUBSTITUTE(SUBSTITUTE(SUBSTITUTE(SUBSTITUTE(SUBSTITUTE(SUBSTITUTE(SUBSTITUTE(SUBSTITUTE(SUBSTITUTE(SUBSTITUTE(SUBSTITUTE(LOWER(TRIM(G552)),"á","a"),"é","e"),"í","i"),"ó","o"),"ú","u"),"ü","u"),"ñ","n"),"à","a"),"è","e"),"ì","i"),"ò","o"),"ù","u"),"")</f>
        <v/>
      </c>
      <c r="U552" s="25">
        <f>IF(AND(Q552=1,H552&lt;&gt;""),SUBSTITUTE(SUBSTITUTE(SUBSTITUTE(SUBSTITUTE(SUBSTITUTE(SUBSTITUTE(SUBSTITUTE(SUBSTITUTE(SUBSTITUTE(SUBSTITUTE(SUBSTITUTE(SUBSTITUTE(LOWER(TRIM(H552)),"á","a"),"é","e"),"í","i"),"ó","o"),"ú","u"),"ü","u"),"ñ","n"),"à","a"),"è","e"),"ì","i"),"ò","o"),"ù","u"),"")</f>
        <v/>
      </c>
      <c r="V552" s="25">
        <f>IF(AND(Q552=1,L552&lt;&gt;""),SUBSTITUTE(SUBSTITUTE(SUBSTITUTE(SUBSTITUTE(SUBSTITUTE(SUBSTITUTE(SUBSTITUTE(SUBSTITUTE(SUBSTITUTE(SUBSTITUTE(SUBSTITUTE(SUBSTITUTE(LOWER(TRIM(L552)),"á","a"),"é","e"),"í","i"),"ó","o"),"ú","u"),"ü","u"),"ñ","n"),"à","a"),"è","e"),"ì","i"),"ò","o"),"ù","u"),"")</f>
        <v/>
      </c>
      <c r="W552" s="25">
        <f>IF(AND(Q552=1,I552&lt;&gt;""),SUBSTITUTE(SUBSTITUTE(SUBSTITUTE(SUBSTITUTE(SUBSTITUTE(SUBSTITUTE(SUBSTITUTE(SUBSTITUTE(SUBSTITUTE(SUBSTITUTE(SUBSTITUTE(SUBSTITUTE(LOWER(TRIM(I552)),"á","a"),"é","e"),"í","i"),"ó","o"),"ú","u"),"ü","u"),"ñ","n"),"à","a"),"è","e"),"ì","i"),"ò","o"),"ù","u"),"")</f>
        <v/>
      </c>
      <c r="X552" s="25">
        <f>IF(U552="","",IF(OR(U552="si, en la proxima tarea",U552="si, con cambios"),1,0))</f>
        <v/>
      </c>
      <c r="Y552" s="25">
        <f>IF(AND(Q552=1,A552&lt;&gt;""),IF(IFERROR(COUNTIFS(A$3:A552,"="&amp;SUBSTITUTE(SUBSTITUTE(SUBSTITUTE(A552,"~","~~"),"*","~*"),"?","~?"),Q$3:Q552,1),0)=1,MAX(Y$2:Y551)+1,""),"")</f>
        <v/>
      </c>
      <c r="Z552" s="25">
        <f>IF(Y552="","",COUNTIFS($A$3:$A$1002,"="&amp;SUBSTITUTE(SUBSTITUTE(SUBSTITUTE(A552,"~","~~"),"*","~*"),"?","~?"),$Q$3:$Q$1002,1)*10000-Y552)</f>
        <v/>
      </c>
    </row>
    <row r="553">
      <c r="A553">
        <f>IF(A$2=0,"",IFERROR(TRIM(INDEX('Pegar docentes'!$A$1:$BZ$1001,552,A$2)&amp;""),""))</f>
        <v/>
      </c>
      <c r="B553">
        <f>IF(B$2=0,"",IFERROR(TRIM(INDEX('Pegar docentes'!$A$1:$BZ$1001,552,B$2)&amp;""),""))</f>
        <v/>
      </c>
      <c r="C553">
        <f>IF(C$2=0,"",IFERROR(TRIM(INDEX('Pegar docentes'!$A$1:$BZ$1001,552,C$2)&amp;""),""))</f>
        <v/>
      </c>
      <c r="D553">
        <f>IF(D$2=0,"",IFERROR(TRIM(INDEX('Pegar docentes'!$A$1:$BZ$1001,552,D$2)&amp;""),""))</f>
        <v/>
      </c>
      <c r="E553">
        <f>IF(E$2=0,"",IFERROR(TRIM(INDEX('Pegar docentes'!$A$1:$BZ$1001,552,E$2)&amp;""),""))</f>
        <v/>
      </c>
      <c r="F553">
        <f>IF(F$2=0,"",IFERROR(TRIM(INDEX('Pegar docentes'!$A$1:$BZ$1001,552,F$2)&amp;""),""))</f>
        <v/>
      </c>
      <c r="G553">
        <f>IF(G$2=0,"",IFERROR(TRIM(INDEX('Pegar docentes'!$A$1:$BZ$1001,552,G$2)&amp;""),""))</f>
        <v/>
      </c>
      <c r="H553">
        <f>IF(H$2=0,"",IFERROR(TRIM(INDEX('Pegar docentes'!$A$1:$BZ$1001,552,H$2)&amp;""),""))</f>
        <v/>
      </c>
      <c r="I553">
        <f>IF(I$2=0,"",IFERROR(TRIM(INDEX('Pegar docentes'!$A$1:$BZ$1001,552,I$2)&amp;""),""))</f>
        <v/>
      </c>
      <c r="J553">
        <f>IF(J$2=0,"",IFERROR(TRIM(INDEX('Pegar docentes'!$A$1:$BZ$1001,552,J$2)&amp;""),""))</f>
        <v/>
      </c>
      <c r="K553">
        <f>IF(K$2=0,"",IFERROR(TRIM(INDEX('Pegar docentes'!$A$1:$BZ$1001,552,K$2)&amp;""),""))</f>
        <v/>
      </c>
      <c r="L553">
        <f>IF(L$2=0,"",IFERROR(TRIM(INDEX('Pegar docentes'!$A$1:$BZ$1001,552,L$2)&amp;""),""))</f>
        <v/>
      </c>
      <c r="M553">
        <f>IF(M$2=0,"",IFERROR(TRIM(INDEX('Pegar docentes'!$A$1:$BZ$1001,552,M$2)&amp;""),""))</f>
        <v/>
      </c>
      <c r="N553">
        <f>IF(N$2=0,"",IFERROR(TRIM(INDEX('Pegar docentes'!$A$1:$BZ$1001,552,N$2)&amp;""),""))</f>
        <v/>
      </c>
      <c r="O553">
        <f>IF(O$2=0,"",IFERROR(TRIM(INDEX('Pegar docentes'!$A$1:$BZ$1001,552,O$2)&amp;""),""))</f>
        <v/>
      </c>
      <c r="P553">
        <f>IF(P$2=0,"",IFERROR(TRIM(INDEX('Pegar docentes'!$A$1:$BZ$1001,552,P$2)&amp;""),""))</f>
        <v/>
      </c>
      <c r="Q553" s="25">
        <f>IF(OR(D553&lt;&gt;"",H553&lt;&gt;""),1,"")</f>
        <v/>
      </c>
      <c r="R553" s="25">
        <f>IF(Q553=1,IF(ISNUMBER(FIND("#"&amp;MID(D553,1,1)&amp;"#","#0#1#2#3#4#5#6#7#8#9#")),IF(ISNUMBER(FIND("#"&amp;MID(D553,2,1)&amp;"#","#0#1#2#3#4#5#6#7#8#9#")),IF(AND(VALUE(LEFT(D553,2))&gt;=1,VALUE(LEFT(D553,2))&lt;=5),VALUE(LEFT(D553,2)),""),IF(AND(VALUE(LEFT(D553,1))&gt;=1,VALUE(LEFT(D553,1))&lt;=5),VALUE(LEFT(D553,1)),"")),""),"")</f>
        <v/>
      </c>
      <c r="S553" s="25">
        <f>IF(AND(Q553=1,E553&lt;&gt;""),SUBSTITUTE(SUBSTITUTE(SUBSTITUTE(SUBSTITUTE(SUBSTITUTE(SUBSTITUTE(SUBSTITUTE(SUBSTITUTE(SUBSTITUTE(SUBSTITUTE(SUBSTITUTE(SUBSTITUTE(LOWER(TRIM(E553)),"á","a"),"é","e"),"í","i"),"ó","o"),"ú","u"),"ü","u"),"ñ","n"),"à","a"),"è","e"),"ì","i"),"ò","o"),"ù","u"),"")</f>
        <v/>
      </c>
      <c r="T553" s="25">
        <f>IF(AND(Q553=1,G553&lt;&gt;""),SUBSTITUTE(SUBSTITUTE(SUBSTITUTE(SUBSTITUTE(SUBSTITUTE(SUBSTITUTE(SUBSTITUTE(SUBSTITUTE(SUBSTITUTE(SUBSTITUTE(SUBSTITUTE(SUBSTITUTE(LOWER(TRIM(G553)),"á","a"),"é","e"),"í","i"),"ó","o"),"ú","u"),"ü","u"),"ñ","n"),"à","a"),"è","e"),"ì","i"),"ò","o"),"ù","u"),"")</f>
        <v/>
      </c>
      <c r="U553" s="25">
        <f>IF(AND(Q553=1,H553&lt;&gt;""),SUBSTITUTE(SUBSTITUTE(SUBSTITUTE(SUBSTITUTE(SUBSTITUTE(SUBSTITUTE(SUBSTITUTE(SUBSTITUTE(SUBSTITUTE(SUBSTITUTE(SUBSTITUTE(SUBSTITUTE(LOWER(TRIM(H553)),"á","a"),"é","e"),"í","i"),"ó","o"),"ú","u"),"ü","u"),"ñ","n"),"à","a"),"è","e"),"ì","i"),"ò","o"),"ù","u"),"")</f>
        <v/>
      </c>
      <c r="V553" s="25">
        <f>IF(AND(Q553=1,L553&lt;&gt;""),SUBSTITUTE(SUBSTITUTE(SUBSTITUTE(SUBSTITUTE(SUBSTITUTE(SUBSTITUTE(SUBSTITUTE(SUBSTITUTE(SUBSTITUTE(SUBSTITUTE(SUBSTITUTE(SUBSTITUTE(LOWER(TRIM(L553)),"á","a"),"é","e"),"í","i"),"ó","o"),"ú","u"),"ü","u"),"ñ","n"),"à","a"),"è","e"),"ì","i"),"ò","o"),"ù","u"),"")</f>
        <v/>
      </c>
      <c r="W553" s="25">
        <f>IF(AND(Q553=1,I553&lt;&gt;""),SUBSTITUTE(SUBSTITUTE(SUBSTITUTE(SUBSTITUTE(SUBSTITUTE(SUBSTITUTE(SUBSTITUTE(SUBSTITUTE(SUBSTITUTE(SUBSTITUTE(SUBSTITUTE(SUBSTITUTE(LOWER(TRIM(I553)),"á","a"),"é","e"),"í","i"),"ó","o"),"ú","u"),"ü","u"),"ñ","n"),"à","a"),"è","e"),"ì","i"),"ò","o"),"ù","u"),"")</f>
        <v/>
      </c>
      <c r="X553" s="25">
        <f>IF(U553="","",IF(OR(U553="si, en la proxima tarea",U553="si, con cambios"),1,0))</f>
        <v/>
      </c>
      <c r="Y553" s="25">
        <f>IF(AND(Q553=1,A553&lt;&gt;""),IF(IFERROR(COUNTIFS(A$3:A553,"="&amp;SUBSTITUTE(SUBSTITUTE(SUBSTITUTE(A553,"~","~~"),"*","~*"),"?","~?"),Q$3:Q553,1),0)=1,MAX(Y$2:Y552)+1,""),"")</f>
        <v/>
      </c>
      <c r="Z553" s="25">
        <f>IF(Y553="","",COUNTIFS($A$3:$A$1002,"="&amp;SUBSTITUTE(SUBSTITUTE(SUBSTITUTE(A553,"~","~~"),"*","~*"),"?","~?"),$Q$3:$Q$1002,1)*10000-Y553)</f>
        <v/>
      </c>
    </row>
    <row r="554">
      <c r="A554">
        <f>IF(A$2=0,"",IFERROR(TRIM(INDEX('Pegar docentes'!$A$1:$BZ$1001,553,A$2)&amp;""),""))</f>
        <v/>
      </c>
      <c r="B554">
        <f>IF(B$2=0,"",IFERROR(TRIM(INDEX('Pegar docentes'!$A$1:$BZ$1001,553,B$2)&amp;""),""))</f>
        <v/>
      </c>
      <c r="C554">
        <f>IF(C$2=0,"",IFERROR(TRIM(INDEX('Pegar docentes'!$A$1:$BZ$1001,553,C$2)&amp;""),""))</f>
        <v/>
      </c>
      <c r="D554">
        <f>IF(D$2=0,"",IFERROR(TRIM(INDEX('Pegar docentes'!$A$1:$BZ$1001,553,D$2)&amp;""),""))</f>
        <v/>
      </c>
      <c r="E554">
        <f>IF(E$2=0,"",IFERROR(TRIM(INDEX('Pegar docentes'!$A$1:$BZ$1001,553,E$2)&amp;""),""))</f>
        <v/>
      </c>
      <c r="F554">
        <f>IF(F$2=0,"",IFERROR(TRIM(INDEX('Pegar docentes'!$A$1:$BZ$1001,553,F$2)&amp;""),""))</f>
        <v/>
      </c>
      <c r="G554">
        <f>IF(G$2=0,"",IFERROR(TRIM(INDEX('Pegar docentes'!$A$1:$BZ$1001,553,G$2)&amp;""),""))</f>
        <v/>
      </c>
      <c r="H554">
        <f>IF(H$2=0,"",IFERROR(TRIM(INDEX('Pegar docentes'!$A$1:$BZ$1001,553,H$2)&amp;""),""))</f>
        <v/>
      </c>
      <c r="I554">
        <f>IF(I$2=0,"",IFERROR(TRIM(INDEX('Pegar docentes'!$A$1:$BZ$1001,553,I$2)&amp;""),""))</f>
        <v/>
      </c>
      <c r="J554">
        <f>IF(J$2=0,"",IFERROR(TRIM(INDEX('Pegar docentes'!$A$1:$BZ$1001,553,J$2)&amp;""),""))</f>
        <v/>
      </c>
      <c r="K554">
        <f>IF(K$2=0,"",IFERROR(TRIM(INDEX('Pegar docentes'!$A$1:$BZ$1001,553,K$2)&amp;""),""))</f>
        <v/>
      </c>
      <c r="L554">
        <f>IF(L$2=0,"",IFERROR(TRIM(INDEX('Pegar docentes'!$A$1:$BZ$1001,553,L$2)&amp;""),""))</f>
        <v/>
      </c>
      <c r="M554">
        <f>IF(M$2=0,"",IFERROR(TRIM(INDEX('Pegar docentes'!$A$1:$BZ$1001,553,M$2)&amp;""),""))</f>
        <v/>
      </c>
      <c r="N554">
        <f>IF(N$2=0,"",IFERROR(TRIM(INDEX('Pegar docentes'!$A$1:$BZ$1001,553,N$2)&amp;""),""))</f>
        <v/>
      </c>
      <c r="O554">
        <f>IF(O$2=0,"",IFERROR(TRIM(INDEX('Pegar docentes'!$A$1:$BZ$1001,553,O$2)&amp;""),""))</f>
        <v/>
      </c>
      <c r="P554">
        <f>IF(P$2=0,"",IFERROR(TRIM(INDEX('Pegar docentes'!$A$1:$BZ$1001,553,P$2)&amp;""),""))</f>
        <v/>
      </c>
      <c r="Q554" s="25">
        <f>IF(OR(D554&lt;&gt;"",H554&lt;&gt;""),1,"")</f>
        <v/>
      </c>
      <c r="R554" s="25">
        <f>IF(Q554=1,IF(ISNUMBER(FIND("#"&amp;MID(D554,1,1)&amp;"#","#0#1#2#3#4#5#6#7#8#9#")),IF(ISNUMBER(FIND("#"&amp;MID(D554,2,1)&amp;"#","#0#1#2#3#4#5#6#7#8#9#")),IF(AND(VALUE(LEFT(D554,2))&gt;=1,VALUE(LEFT(D554,2))&lt;=5),VALUE(LEFT(D554,2)),""),IF(AND(VALUE(LEFT(D554,1))&gt;=1,VALUE(LEFT(D554,1))&lt;=5),VALUE(LEFT(D554,1)),"")),""),"")</f>
        <v/>
      </c>
      <c r="S554" s="25">
        <f>IF(AND(Q554=1,E554&lt;&gt;""),SUBSTITUTE(SUBSTITUTE(SUBSTITUTE(SUBSTITUTE(SUBSTITUTE(SUBSTITUTE(SUBSTITUTE(SUBSTITUTE(SUBSTITUTE(SUBSTITUTE(SUBSTITUTE(SUBSTITUTE(LOWER(TRIM(E554)),"á","a"),"é","e"),"í","i"),"ó","o"),"ú","u"),"ü","u"),"ñ","n"),"à","a"),"è","e"),"ì","i"),"ò","o"),"ù","u"),"")</f>
        <v/>
      </c>
      <c r="T554" s="25">
        <f>IF(AND(Q554=1,G554&lt;&gt;""),SUBSTITUTE(SUBSTITUTE(SUBSTITUTE(SUBSTITUTE(SUBSTITUTE(SUBSTITUTE(SUBSTITUTE(SUBSTITUTE(SUBSTITUTE(SUBSTITUTE(SUBSTITUTE(SUBSTITUTE(LOWER(TRIM(G554)),"á","a"),"é","e"),"í","i"),"ó","o"),"ú","u"),"ü","u"),"ñ","n"),"à","a"),"è","e"),"ì","i"),"ò","o"),"ù","u"),"")</f>
        <v/>
      </c>
      <c r="U554" s="25">
        <f>IF(AND(Q554=1,H554&lt;&gt;""),SUBSTITUTE(SUBSTITUTE(SUBSTITUTE(SUBSTITUTE(SUBSTITUTE(SUBSTITUTE(SUBSTITUTE(SUBSTITUTE(SUBSTITUTE(SUBSTITUTE(SUBSTITUTE(SUBSTITUTE(LOWER(TRIM(H554)),"á","a"),"é","e"),"í","i"),"ó","o"),"ú","u"),"ü","u"),"ñ","n"),"à","a"),"è","e"),"ì","i"),"ò","o"),"ù","u"),"")</f>
        <v/>
      </c>
      <c r="V554" s="25">
        <f>IF(AND(Q554=1,L554&lt;&gt;""),SUBSTITUTE(SUBSTITUTE(SUBSTITUTE(SUBSTITUTE(SUBSTITUTE(SUBSTITUTE(SUBSTITUTE(SUBSTITUTE(SUBSTITUTE(SUBSTITUTE(SUBSTITUTE(SUBSTITUTE(LOWER(TRIM(L554)),"á","a"),"é","e"),"í","i"),"ó","o"),"ú","u"),"ü","u"),"ñ","n"),"à","a"),"è","e"),"ì","i"),"ò","o"),"ù","u"),"")</f>
        <v/>
      </c>
      <c r="W554" s="25">
        <f>IF(AND(Q554=1,I554&lt;&gt;""),SUBSTITUTE(SUBSTITUTE(SUBSTITUTE(SUBSTITUTE(SUBSTITUTE(SUBSTITUTE(SUBSTITUTE(SUBSTITUTE(SUBSTITUTE(SUBSTITUTE(SUBSTITUTE(SUBSTITUTE(LOWER(TRIM(I554)),"á","a"),"é","e"),"í","i"),"ó","o"),"ú","u"),"ü","u"),"ñ","n"),"à","a"),"è","e"),"ì","i"),"ò","o"),"ù","u"),"")</f>
        <v/>
      </c>
      <c r="X554" s="25">
        <f>IF(U554="","",IF(OR(U554="si, en la proxima tarea",U554="si, con cambios"),1,0))</f>
        <v/>
      </c>
      <c r="Y554" s="25">
        <f>IF(AND(Q554=1,A554&lt;&gt;""),IF(IFERROR(COUNTIFS(A$3:A554,"="&amp;SUBSTITUTE(SUBSTITUTE(SUBSTITUTE(A554,"~","~~"),"*","~*"),"?","~?"),Q$3:Q554,1),0)=1,MAX(Y$2:Y553)+1,""),"")</f>
        <v/>
      </c>
      <c r="Z554" s="25">
        <f>IF(Y554="","",COUNTIFS($A$3:$A$1002,"="&amp;SUBSTITUTE(SUBSTITUTE(SUBSTITUTE(A554,"~","~~"),"*","~*"),"?","~?"),$Q$3:$Q$1002,1)*10000-Y554)</f>
        <v/>
      </c>
    </row>
    <row r="555">
      <c r="A555">
        <f>IF(A$2=0,"",IFERROR(TRIM(INDEX('Pegar docentes'!$A$1:$BZ$1001,554,A$2)&amp;""),""))</f>
        <v/>
      </c>
      <c r="B555">
        <f>IF(B$2=0,"",IFERROR(TRIM(INDEX('Pegar docentes'!$A$1:$BZ$1001,554,B$2)&amp;""),""))</f>
        <v/>
      </c>
      <c r="C555">
        <f>IF(C$2=0,"",IFERROR(TRIM(INDEX('Pegar docentes'!$A$1:$BZ$1001,554,C$2)&amp;""),""))</f>
        <v/>
      </c>
      <c r="D555">
        <f>IF(D$2=0,"",IFERROR(TRIM(INDEX('Pegar docentes'!$A$1:$BZ$1001,554,D$2)&amp;""),""))</f>
        <v/>
      </c>
      <c r="E555">
        <f>IF(E$2=0,"",IFERROR(TRIM(INDEX('Pegar docentes'!$A$1:$BZ$1001,554,E$2)&amp;""),""))</f>
        <v/>
      </c>
      <c r="F555">
        <f>IF(F$2=0,"",IFERROR(TRIM(INDEX('Pegar docentes'!$A$1:$BZ$1001,554,F$2)&amp;""),""))</f>
        <v/>
      </c>
      <c r="G555">
        <f>IF(G$2=0,"",IFERROR(TRIM(INDEX('Pegar docentes'!$A$1:$BZ$1001,554,G$2)&amp;""),""))</f>
        <v/>
      </c>
      <c r="H555">
        <f>IF(H$2=0,"",IFERROR(TRIM(INDEX('Pegar docentes'!$A$1:$BZ$1001,554,H$2)&amp;""),""))</f>
        <v/>
      </c>
      <c r="I555">
        <f>IF(I$2=0,"",IFERROR(TRIM(INDEX('Pegar docentes'!$A$1:$BZ$1001,554,I$2)&amp;""),""))</f>
        <v/>
      </c>
      <c r="J555">
        <f>IF(J$2=0,"",IFERROR(TRIM(INDEX('Pegar docentes'!$A$1:$BZ$1001,554,J$2)&amp;""),""))</f>
        <v/>
      </c>
      <c r="K555">
        <f>IF(K$2=0,"",IFERROR(TRIM(INDEX('Pegar docentes'!$A$1:$BZ$1001,554,K$2)&amp;""),""))</f>
        <v/>
      </c>
      <c r="L555">
        <f>IF(L$2=0,"",IFERROR(TRIM(INDEX('Pegar docentes'!$A$1:$BZ$1001,554,L$2)&amp;""),""))</f>
        <v/>
      </c>
      <c r="M555">
        <f>IF(M$2=0,"",IFERROR(TRIM(INDEX('Pegar docentes'!$A$1:$BZ$1001,554,M$2)&amp;""),""))</f>
        <v/>
      </c>
      <c r="N555">
        <f>IF(N$2=0,"",IFERROR(TRIM(INDEX('Pegar docentes'!$A$1:$BZ$1001,554,N$2)&amp;""),""))</f>
        <v/>
      </c>
      <c r="O555">
        <f>IF(O$2=0,"",IFERROR(TRIM(INDEX('Pegar docentes'!$A$1:$BZ$1001,554,O$2)&amp;""),""))</f>
        <v/>
      </c>
      <c r="P555">
        <f>IF(P$2=0,"",IFERROR(TRIM(INDEX('Pegar docentes'!$A$1:$BZ$1001,554,P$2)&amp;""),""))</f>
        <v/>
      </c>
      <c r="Q555" s="25">
        <f>IF(OR(D555&lt;&gt;"",H555&lt;&gt;""),1,"")</f>
        <v/>
      </c>
      <c r="R555" s="25">
        <f>IF(Q555=1,IF(ISNUMBER(FIND("#"&amp;MID(D555,1,1)&amp;"#","#0#1#2#3#4#5#6#7#8#9#")),IF(ISNUMBER(FIND("#"&amp;MID(D555,2,1)&amp;"#","#0#1#2#3#4#5#6#7#8#9#")),IF(AND(VALUE(LEFT(D555,2))&gt;=1,VALUE(LEFT(D555,2))&lt;=5),VALUE(LEFT(D555,2)),""),IF(AND(VALUE(LEFT(D555,1))&gt;=1,VALUE(LEFT(D555,1))&lt;=5),VALUE(LEFT(D555,1)),"")),""),"")</f>
        <v/>
      </c>
      <c r="S555" s="25">
        <f>IF(AND(Q555=1,E555&lt;&gt;""),SUBSTITUTE(SUBSTITUTE(SUBSTITUTE(SUBSTITUTE(SUBSTITUTE(SUBSTITUTE(SUBSTITUTE(SUBSTITUTE(SUBSTITUTE(SUBSTITUTE(SUBSTITUTE(SUBSTITUTE(LOWER(TRIM(E555)),"á","a"),"é","e"),"í","i"),"ó","o"),"ú","u"),"ü","u"),"ñ","n"),"à","a"),"è","e"),"ì","i"),"ò","o"),"ù","u"),"")</f>
        <v/>
      </c>
      <c r="T555" s="25">
        <f>IF(AND(Q555=1,G555&lt;&gt;""),SUBSTITUTE(SUBSTITUTE(SUBSTITUTE(SUBSTITUTE(SUBSTITUTE(SUBSTITUTE(SUBSTITUTE(SUBSTITUTE(SUBSTITUTE(SUBSTITUTE(SUBSTITUTE(SUBSTITUTE(LOWER(TRIM(G555)),"á","a"),"é","e"),"í","i"),"ó","o"),"ú","u"),"ü","u"),"ñ","n"),"à","a"),"è","e"),"ì","i"),"ò","o"),"ù","u"),"")</f>
        <v/>
      </c>
      <c r="U555" s="25">
        <f>IF(AND(Q555=1,H555&lt;&gt;""),SUBSTITUTE(SUBSTITUTE(SUBSTITUTE(SUBSTITUTE(SUBSTITUTE(SUBSTITUTE(SUBSTITUTE(SUBSTITUTE(SUBSTITUTE(SUBSTITUTE(SUBSTITUTE(SUBSTITUTE(LOWER(TRIM(H555)),"á","a"),"é","e"),"í","i"),"ó","o"),"ú","u"),"ü","u"),"ñ","n"),"à","a"),"è","e"),"ì","i"),"ò","o"),"ù","u"),"")</f>
        <v/>
      </c>
      <c r="V555" s="25">
        <f>IF(AND(Q555=1,L555&lt;&gt;""),SUBSTITUTE(SUBSTITUTE(SUBSTITUTE(SUBSTITUTE(SUBSTITUTE(SUBSTITUTE(SUBSTITUTE(SUBSTITUTE(SUBSTITUTE(SUBSTITUTE(SUBSTITUTE(SUBSTITUTE(LOWER(TRIM(L555)),"á","a"),"é","e"),"í","i"),"ó","o"),"ú","u"),"ü","u"),"ñ","n"),"à","a"),"è","e"),"ì","i"),"ò","o"),"ù","u"),"")</f>
        <v/>
      </c>
      <c r="W555" s="25">
        <f>IF(AND(Q555=1,I555&lt;&gt;""),SUBSTITUTE(SUBSTITUTE(SUBSTITUTE(SUBSTITUTE(SUBSTITUTE(SUBSTITUTE(SUBSTITUTE(SUBSTITUTE(SUBSTITUTE(SUBSTITUTE(SUBSTITUTE(SUBSTITUTE(LOWER(TRIM(I555)),"á","a"),"é","e"),"í","i"),"ó","o"),"ú","u"),"ü","u"),"ñ","n"),"à","a"),"è","e"),"ì","i"),"ò","o"),"ù","u"),"")</f>
        <v/>
      </c>
      <c r="X555" s="25">
        <f>IF(U555="","",IF(OR(U555="si, en la proxima tarea",U555="si, con cambios"),1,0))</f>
        <v/>
      </c>
      <c r="Y555" s="25">
        <f>IF(AND(Q555=1,A555&lt;&gt;""),IF(IFERROR(COUNTIFS(A$3:A555,"="&amp;SUBSTITUTE(SUBSTITUTE(SUBSTITUTE(A555,"~","~~"),"*","~*"),"?","~?"),Q$3:Q555,1),0)=1,MAX(Y$2:Y554)+1,""),"")</f>
        <v/>
      </c>
      <c r="Z555" s="25">
        <f>IF(Y555="","",COUNTIFS($A$3:$A$1002,"="&amp;SUBSTITUTE(SUBSTITUTE(SUBSTITUTE(A555,"~","~~"),"*","~*"),"?","~?"),$Q$3:$Q$1002,1)*10000-Y555)</f>
        <v/>
      </c>
    </row>
    <row r="556">
      <c r="A556">
        <f>IF(A$2=0,"",IFERROR(TRIM(INDEX('Pegar docentes'!$A$1:$BZ$1001,555,A$2)&amp;""),""))</f>
        <v/>
      </c>
      <c r="B556">
        <f>IF(B$2=0,"",IFERROR(TRIM(INDEX('Pegar docentes'!$A$1:$BZ$1001,555,B$2)&amp;""),""))</f>
        <v/>
      </c>
      <c r="C556">
        <f>IF(C$2=0,"",IFERROR(TRIM(INDEX('Pegar docentes'!$A$1:$BZ$1001,555,C$2)&amp;""),""))</f>
        <v/>
      </c>
      <c r="D556">
        <f>IF(D$2=0,"",IFERROR(TRIM(INDEX('Pegar docentes'!$A$1:$BZ$1001,555,D$2)&amp;""),""))</f>
        <v/>
      </c>
      <c r="E556">
        <f>IF(E$2=0,"",IFERROR(TRIM(INDEX('Pegar docentes'!$A$1:$BZ$1001,555,E$2)&amp;""),""))</f>
        <v/>
      </c>
      <c r="F556">
        <f>IF(F$2=0,"",IFERROR(TRIM(INDEX('Pegar docentes'!$A$1:$BZ$1001,555,F$2)&amp;""),""))</f>
        <v/>
      </c>
      <c r="G556">
        <f>IF(G$2=0,"",IFERROR(TRIM(INDEX('Pegar docentes'!$A$1:$BZ$1001,555,G$2)&amp;""),""))</f>
        <v/>
      </c>
      <c r="H556">
        <f>IF(H$2=0,"",IFERROR(TRIM(INDEX('Pegar docentes'!$A$1:$BZ$1001,555,H$2)&amp;""),""))</f>
        <v/>
      </c>
      <c r="I556">
        <f>IF(I$2=0,"",IFERROR(TRIM(INDEX('Pegar docentes'!$A$1:$BZ$1001,555,I$2)&amp;""),""))</f>
        <v/>
      </c>
      <c r="J556">
        <f>IF(J$2=0,"",IFERROR(TRIM(INDEX('Pegar docentes'!$A$1:$BZ$1001,555,J$2)&amp;""),""))</f>
        <v/>
      </c>
      <c r="K556">
        <f>IF(K$2=0,"",IFERROR(TRIM(INDEX('Pegar docentes'!$A$1:$BZ$1001,555,K$2)&amp;""),""))</f>
        <v/>
      </c>
      <c r="L556">
        <f>IF(L$2=0,"",IFERROR(TRIM(INDEX('Pegar docentes'!$A$1:$BZ$1001,555,L$2)&amp;""),""))</f>
        <v/>
      </c>
      <c r="M556">
        <f>IF(M$2=0,"",IFERROR(TRIM(INDEX('Pegar docentes'!$A$1:$BZ$1001,555,M$2)&amp;""),""))</f>
        <v/>
      </c>
      <c r="N556">
        <f>IF(N$2=0,"",IFERROR(TRIM(INDEX('Pegar docentes'!$A$1:$BZ$1001,555,N$2)&amp;""),""))</f>
        <v/>
      </c>
      <c r="O556">
        <f>IF(O$2=0,"",IFERROR(TRIM(INDEX('Pegar docentes'!$A$1:$BZ$1001,555,O$2)&amp;""),""))</f>
        <v/>
      </c>
      <c r="P556">
        <f>IF(P$2=0,"",IFERROR(TRIM(INDEX('Pegar docentes'!$A$1:$BZ$1001,555,P$2)&amp;""),""))</f>
        <v/>
      </c>
      <c r="Q556" s="25">
        <f>IF(OR(D556&lt;&gt;"",H556&lt;&gt;""),1,"")</f>
        <v/>
      </c>
      <c r="R556" s="25">
        <f>IF(Q556=1,IF(ISNUMBER(FIND("#"&amp;MID(D556,1,1)&amp;"#","#0#1#2#3#4#5#6#7#8#9#")),IF(ISNUMBER(FIND("#"&amp;MID(D556,2,1)&amp;"#","#0#1#2#3#4#5#6#7#8#9#")),IF(AND(VALUE(LEFT(D556,2))&gt;=1,VALUE(LEFT(D556,2))&lt;=5),VALUE(LEFT(D556,2)),""),IF(AND(VALUE(LEFT(D556,1))&gt;=1,VALUE(LEFT(D556,1))&lt;=5),VALUE(LEFT(D556,1)),"")),""),"")</f>
        <v/>
      </c>
      <c r="S556" s="25">
        <f>IF(AND(Q556=1,E556&lt;&gt;""),SUBSTITUTE(SUBSTITUTE(SUBSTITUTE(SUBSTITUTE(SUBSTITUTE(SUBSTITUTE(SUBSTITUTE(SUBSTITUTE(SUBSTITUTE(SUBSTITUTE(SUBSTITUTE(SUBSTITUTE(LOWER(TRIM(E556)),"á","a"),"é","e"),"í","i"),"ó","o"),"ú","u"),"ü","u"),"ñ","n"),"à","a"),"è","e"),"ì","i"),"ò","o"),"ù","u"),"")</f>
        <v/>
      </c>
      <c r="T556" s="25">
        <f>IF(AND(Q556=1,G556&lt;&gt;""),SUBSTITUTE(SUBSTITUTE(SUBSTITUTE(SUBSTITUTE(SUBSTITUTE(SUBSTITUTE(SUBSTITUTE(SUBSTITUTE(SUBSTITUTE(SUBSTITUTE(SUBSTITUTE(SUBSTITUTE(LOWER(TRIM(G556)),"á","a"),"é","e"),"í","i"),"ó","o"),"ú","u"),"ü","u"),"ñ","n"),"à","a"),"è","e"),"ì","i"),"ò","o"),"ù","u"),"")</f>
        <v/>
      </c>
      <c r="U556" s="25">
        <f>IF(AND(Q556=1,H556&lt;&gt;""),SUBSTITUTE(SUBSTITUTE(SUBSTITUTE(SUBSTITUTE(SUBSTITUTE(SUBSTITUTE(SUBSTITUTE(SUBSTITUTE(SUBSTITUTE(SUBSTITUTE(SUBSTITUTE(SUBSTITUTE(LOWER(TRIM(H556)),"á","a"),"é","e"),"í","i"),"ó","o"),"ú","u"),"ü","u"),"ñ","n"),"à","a"),"è","e"),"ì","i"),"ò","o"),"ù","u"),"")</f>
        <v/>
      </c>
      <c r="V556" s="25">
        <f>IF(AND(Q556=1,L556&lt;&gt;""),SUBSTITUTE(SUBSTITUTE(SUBSTITUTE(SUBSTITUTE(SUBSTITUTE(SUBSTITUTE(SUBSTITUTE(SUBSTITUTE(SUBSTITUTE(SUBSTITUTE(SUBSTITUTE(SUBSTITUTE(LOWER(TRIM(L556)),"á","a"),"é","e"),"í","i"),"ó","o"),"ú","u"),"ü","u"),"ñ","n"),"à","a"),"è","e"),"ì","i"),"ò","o"),"ù","u"),"")</f>
        <v/>
      </c>
      <c r="W556" s="25">
        <f>IF(AND(Q556=1,I556&lt;&gt;""),SUBSTITUTE(SUBSTITUTE(SUBSTITUTE(SUBSTITUTE(SUBSTITUTE(SUBSTITUTE(SUBSTITUTE(SUBSTITUTE(SUBSTITUTE(SUBSTITUTE(SUBSTITUTE(SUBSTITUTE(LOWER(TRIM(I556)),"á","a"),"é","e"),"í","i"),"ó","o"),"ú","u"),"ü","u"),"ñ","n"),"à","a"),"è","e"),"ì","i"),"ò","o"),"ù","u"),"")</f>
        <v/>
      </c>
      <c r="X556" s="25">
        <f>IF(U556="","",IF(OR(U556="si, en la proxima tarea",U556="si, con cambios"),1,0))</f>
        <v/>
      </c>
      <c r="Y556" s="25">
        <f>IF(AND(Q556=1,A556&lt;&gt;""),IF(IFERROR(COUNTIFS(A$3:A556,"="&amp;SUBSTITUTE(SUBSTITUTE(SUBSTITUTE(A556,"~","~~"),"*","~*"),"?","~?"),Q$3:Q556,1),0)=1,MAX(Y$2:Y555)+1,""),"")</f>
        <v/>
      </c>
      <c r="Z556" s="25">
        <f>IF(Y556="","",COUNTIFS($A$3:$A$1002,"="&amp;SUBSTITUTE(SUBSTITUTE(SUBSTITUTE(A556,"~","~~"),"*","~*"),"?","~?"),$Q$3:$Q$1002,1)*10000-Y556)</f>
        <v/>
      </c>
    </row>
    <row r="557">
      <c r="A557">
        <f>IF(A$2=0,"",IFERROR(TRIM(INDEX('Pegar docentes'!$A$1:$BZ$1001,556,A$2)&amp;""),""))</f>
        <v/>
      </c>
      <c r="B557">
        <f>IF(B$2=0,"",IFERROR(TRIM(INDEX('Pegar docentes'!$A$1:$BZ$1001,556,B$2)&amp;""),""))</f>
        <v/>
      </c>
      <c r="C557">
        <f>IF(C$2=0,"",IFERROR(TRIM(INDEX('Pegar docentes'!$A$1:$BZ$1001,556,C$2)&amp;""),""))</f>
        <v/>
      </c>
      <c r="D557">
        <f>IF(D$2=0,"",IFERROR(TRIM(INDEX('Pegar docentes'!$A$1:$BZ$1001,556,D$2)&amp;""),""))</f>
        <v/>
      </c>
      <c r="E557">
        <f>IF(E$2=0,"",IFERROR(TRIM(INDEX('Pegar docentes'!$A$1:$BZ$1001,556,E$2)&amp;""),""))</f>
        <v/>
      </c>
      <c r="F557">
        <f>IF(F$2=0,"",IFERROR(TRIM(INDEX('Pegar docentes'!$A$1:$BZ$1001,556,F$2)&amp;""),""))</f>
        <v/>
      </c>
      <c r="G557">
        <f>IF(G$2=0,"",IFERROR(TRIM(INDEX('Pegar docentes'!$A$1:$BZ$1001,556,G$2)&amp;""),""))</f>
        <v/>
      </c>
      <c r="H557">
        <f>IF(H$2=0,"",IFERROR(TRIM(INDEX('Pegar docentes'!$A$1:$BZ$1001,556,H$2)&amp;""),""))</f>
        <v/>
      </c>
      <c r="I557">
        <f>IF(I$2=0,"",IFERROR(TRIM(INDEX('Pegar docentes'!$A$1:$BZ$1001,556,I$2)&amp;""),""))</f>
        <v/>
      </c>
      <c r="J557">
        <f>IF(J$2=0,"",IFERROR(TRIM(INDEX('Pegar docentes'!$A$1:$BZ$1001,556,J$2)&amp;""),""))</f>
        <v/>
      </c>
      <c r="K557">
        <f>IF(K$2=0,"",IFERROR(TRIM(INDEX('Pegar docentes'!$A$1:$BZ$1001,556,K$2)&amp;""),""))</f>
        <v/>
      </c>
      <c r="L557">
        <f>IF(L$2=0,"",IFERROR(TRIM(INDEX('Pegar docentes'!$A$1:$BZ$1001,556,L$2)&amp;""),""))</f>
        <v/>
      </c>
      <c r="M557">
        <f>IF(M$2=0,"",IFERROR(TRIM(INDEX('Pegar docentes'!$A$1:$BZ$1001,556,M$2)&amp;""),""))</f>
        <v/>
      </c>
      <c r="N557">
        <f>IF(N$2=0,"",IFERROR(TRIM(INDEX('Pegar docentes'!$A$1:$BZ$1001,556,N$2)&amp;""),""))</f>
        <v/>
      </c>
      <c r="O557">
        <f>IF(O$2=0,"",IFERROR(TRIM(INDEX('Pegar docentes'!$A$1:$BZ$1001,556,O$2)&amp;""),""))</f>
        <v/>
      </c>
      <c r="P557">
        <f>IF(P$2=0,"",IFERROR(TRIM(INDEX('Pegar docentes'!$A$1:$BZ$1001,556,P$2)&amp;""),""))</f>
        <v/>
      </c>
      <c r="Q557" s="25">
        <f>IF(OR(D557&lt;&gt;"",H557&lt;&gt;""),1,"")</f>
        <v/>
      </c>
      <c r="R557" s="25">
        <f>IF(Q557=1,IF(ISNUMBER(FIND("#"&amp;MID(D557,1,1)&amp;"#","#0#1#2#3#4#5#6#7#8#9#")),IF(ISNUMBER(FIND("#"&amp;MID(D557,2,1)&amp;"#","#0#1#2#3#4#5#6#7#8#9#")),IF(AND(VALUE(LEFT(D557,2))&gt;=1,VALUE(LEFT(D557,2))&lt;=5),VALUE(LEFT(D557,2)),""),IF(AND(VALUE(LEFT(D557,1))&gt;=1,VALUE(LEFT(D557,1))&lt;=5),VALUE(LEFT(D557,1)),"")),""),"")</f>
        <v/>
      </c>
      <c r="S557" s="25">
        <f>IF(AND(Q557=1,E557&lt;&gt;""),SUBSTITUTE(SUBSTITUTE(SUBSTITUTE(SUBSTITUTE(SUBSTITUTE(SUBSTITUTE(SUBSTITUTE(SUBSTITUTE(SUBSTITUTE(SUBSTITUTE(SUBSTITUTE(SUBSTITUTE(LOWER(TRIM(E557)),"á","a"),"é","e"),"í","i"),"ó","o"),"ú","u"),"ü","u"),"ñ","n"),"à","a"),"è","e"),"ì","i"),"ò","o"),"ù","u"),"")</f>
        <v/>
      </c>
      <c r="T557" s="25">
        <f>IF(AND(Q557=1,G557&lt;&gt;""),SUBSTITUTE(SUBSTITUTE(SUBSTITUTE(SUBSTITUTE(SUBSTITUTE(SUBSTITUTE(SUBSTITUTE(SUBSTITUTE(SUBSTITUTE(SUBSTITUTE(SUBSTITUTE(SUBSTITUTE(LOWER(TRIM(G557)),"á","a"),"é","e"),"í","i"),"ó","o"),"ú","u"),"ü","u"),"ñ","n"),"à","a"),"è","e"),"ì","i"),"ò","o"),"ù","u"),"")</f>
        <v/>
      </c>
      <c r="U557" s="25">
        <f>IF(AND(Q557=1,H557&lt;&gt;""),SUBSTITUTE(SUBSTITUTE(SUBSTITUTE(SUBSTITUTE(SUBSTITUTE(SUBSTITUTE(SUBSTITUTE(SUBSTITUTE(SUBSTITUTE(SUBSTITUTE(SUBSTITUTE(SUBSTITUTE(LOWER(TRIM(H557)),"á","a"),"é","e"),"í","i"),"ó","o"),"ú","u"),"ü","u"),"ñ","n"),"à","a"),"è","e"),"ì","i"),"ò","o"),"ù","u"),"")</f>
        <v/>
      </c>
      <c r="V557" s="25">
        <f>IF(AND(Q557=1,L557&lt;&gt;""),SUBSTITUTE(SUBSTITUTE(SUBSTITUTE(SUBSTITUTE(SUBSTITUTE(SUBSTITUTE(SUBSTITUTE(SUBSTITUTE(SUBSTITUTE(SUBSTITUTE(SUBSTITUTE(SUBSTITUTE(LOWER(TRIM(L557)),"á","a"),"é","e"),"í","i"),"ó","o"),"ú","u"),"ü","u"),"ñ","n"),"à","a"),"è","e"),"ì","i"),"ò","o"),"ù","u"),"")</f>
        <v/>
      </c>
      <c r="W557" s="25">
        <f>IF(AND(Q557=1,I557&lt;&gt;""),SUBSTITUTE(SUBSTITUTE(SUBSTITUTE(SUBSTITUTE(SUBSTITUTE(SUBSTITUTE(SUBSTITUTE(SUBSTITUTE(SUBSTITUTE(SUBSTITUTE(SUBSTITUTE(SUBSTITUTE(LOWER(TRIM(I557)),"á","a"),"é","e"),"í","i"),"ó","o"),"ú","u"),"ü","u"),"ñ","n"),"à","a"),"è","e"),"ì","i"),"ò","o"),"ù","u"),"")</f>
        <v/>
      </c>
      <c r="X557" s="25">
        <f>IF(U557="","",IF(OR(U557="si, en la proxima tarea",U557="si, con cambios"),1,0))</f>
        <v/>
      </c>
      <c r="Y557" s="25">
        <f>IF(AND(Q557=1,A557&lt;&gt;""),IF(IFERROR(COUNTIFS(A$3:A557,"="&amp;SUBSTITUTE(SUBSTITUTE(SUBSTITUTE(A557,"~","~~"),"*","~*"),"?","~?"),Q$3:Q557,1),0)=1,MAX(Y$2:Y556)+1,""),"")</f>
        <v/>
      </c>
      <c r="Z557" s="25">
        <f>IF(Y557="","",COUNTIFS($A$3:$A$1002,"="&amp;SUBSTITUTE(SUBSTITUTE(SUBSTITUTE(A557,"~","~~"),"*","~*"),"?","~?"),$Q$3:$Q$1002,1)*10000-Y557)</f>
        <v/>
      </c>
    </row>
    <row r="558">
      <c r="A558">
        <f>IF(A$2=0,"",IFERROR(TRIM(INDEX('Pegar docentes'!$A$1:$BZ$1001,557,A$2)&amp;""),""))</f>
        <v/>
      </c>
      <c r="B558">
        <f>IF(B$2=0,"",IFERROR(TRIM(INDEX('Pegar docentes'!$A$1:$BZ$1001,557,B$2)&amp;""),""))</f>
        <v/>
      </c>
      <c r="C558">
        <f>IF(C$2=0,"",IFERROR(TRIM(INDEX('Pegar docentes'!$A$1:$BZ$1001,557,C$2)&amp;""),""))</f>
        <v/>
      </c>
      <c r="D558">
        <f>IF(D$2=0,"",IFERROR(TRIM(INDEX('Pegar docentes'!$A$1:$BZ$1001,557,D$2)&amp;""),""))</f>
        <v/>
      </c>
      <c r="E558">
        <f>IF(E$2=0,"",IFERROR(TRIM(INDEX('Pegar docentes'!$A$1:$BZ$1001,557,E$2)&amp;""),""))</f>
        <v/>
      </c>
      <c r="F558">
        <f>IF(F$2=0,"",IFERROR(TRIM(INDEX('Pegar docentes'!$A$1:$BZ$1001,557,F$2)&amp;""),""))</f>
        <v/>
      </c>
      <c r="G558">
        <f>IF(G$2=0,"",IFERROR(TRIM(INDEX('Pegar docentes'!$A$1:$BZ$1001,557,G$2)&amp;""),""))</f>
        <v/>
      </c>
      <c r="H558">
        <f>IF(H$2=0,"",IFERROR(TRIM(INDEX('Pegar docentes'!$A$1:$BZ$1001,557,H$2)&amp;""),""))</f>
        <v/>
      </c>
      <c r="I558">
        <f>IF(I$2=0,"",IFERROR(TRIM(INDEX('Pegar docentes'!$A$1:$BZ$1001,557,I$2)&amp;""),""))</f>
        <v/>
      </c>
      <c r="J558">
        <f>IF(J$2=0,"",IFERROR(TRIM(INDEX('Pegar docentes'!$A$1:$BZ$1001,557,J$2)&amp;""),""))</f>
        <v/>
      </c>
      <c r="K558">
        <f>IF(K$2=0,"",IFERROR(TRIM(INDEX('Pegar docentes'!$A$1:$BZ$1001,557,K$2)&amp;""),""))</f>
        <v/>
      </c>
      <c r="L558">
        <f>IF(L$2=0,"",IFERROR(TRIM(INDEX('Pegar docentes'!$A$1:$BZ$1001,557,L$2)&amp;""),""))</f>
        <v/>
      </c>
      <c r="M558">
        <f>IF(M$2=0,"",IFERROR(TRIM(INDEX('Pegar docentes'!$A$1:$BZ$1001,557,M$2)&amp;""),""))</f>
        <v/>
      </c>
      <c r="N558">
        <f>IF(N$2=0,"",IFERROR(TRIM(INDEX('Pegar docentes'!$A$1:$BZ$1001,557,N$2)&amp;""),""))</f>
        <v/>
      </c>
      <c r="O558">
        <f>IF(O$2=0,"",IFERROR(TRIM(INDEX('Pegar docentes'!$A$1:$BZ$1001,557,O$2)&amp;""),""))</f>
        <v/>
      </c>
      <c r="P558">
        <f>IF(P$2=0,"",IFERROR(TRIM(INDEX('Pegar docentes'!$A$1:$BZ$1001,557,P$2)&amp;""),""))</f>
        <v/>
      </c>
      <c r="Q558" s="25">
        <f>IF(OR(D558&lt;&gt;"",H558&lt;&gt;""),1,"")</f>
        <v/>
      </c>
      <c r="R558" s="25">
        <f>IF(Q558=1,IF(ISNUMBER(FIND("#"&amp;MID(D558,1,1)&amp;"#","#0#1#2#3#4#5#6#7#8#9#")),IF(ISNUMBER(FIND("#"&amp;MID(D558,2,1)&amp;"#","#0#1#2#3#4#5#6#7#8#9#")),IF(AND(VALUE(LEFT(D558,2))&gt;=1,VALUE(LEFT(D558,2))&lt;=5),VALUE(LEFT(D558,2)),""),IF(AND(VALUE(LEFT(D558,1))&gt;=1,VALUE(LEFT(D558,1))&lt;=5),VALUE(LEFT(D558,1)),"")),""),"")</f>
        <v/>
      </c>
      <c r="S558" s="25">
        <f>IF(AND(Q558=1,E558&lt;&gt;""),SUBSTITUTE(SUBSTITUTE(SUBSTITUTE(SUBSTITUTE(SUBSTITUTE(SUBSTITUTE(SUBSTITUTE(SUBSTITUTE(SUBSTITUTE(SUBSTITUTE(SUBSTITUTE(SUBSTITUTE(LOWER(TRIM(E558)),"á","a"),"é","e"),"í","i"),"ó","o"),"ú","u"),"ü","u"),"ñ","n"),"à","a"),"è","e"),"ì","i"),"ò","o"),"ù","u"),"")</f>
        <v/>
      </c>
      <c r="T558" s="25">
        <f>IF(AND(Q558=1,G558&lt;&gt;""),SUBSTITUTE(SUBSTITUTE(SUBSTITUTE(SUBSTITUTE(SUBSTITUTE(SUBSTITUTE(SUBSTITUTE(SUBSTITUTE(SUBSTITUTE(SUBSTITUTE(SUBSTITUTE(SUBSTITUTE(LOWER(TRIM(G558)),"á","a"),"é","e"),"í","i"),"ó","o"),"ú","u"),"ü","u"),"ñ","n"),"à","a"),"è","e"),"ì","i"),"ò","o"),"ù","u"),"")</f>
        <v/>
      </c>
      <c r="U558" s="25">
        <f>IF(AND(Q558=1,H558&lt;&gt;""),SUBSTITUTE(SUBSTITUTE(SUBSTITUTE(SUBSTITUTE(SUBSTITUTE(SUBSTITUTE(SUBSTITUTE(SUBSTITUTE(SUBSTITUTE(SUBSTITUTE(SUBSTITUTE(SUBSTITUTE(LOWER(TRIM(H558)),"á","a"),"é","e"),"í","i"),"ó","o"),"ú","u"),"ü","u"),"ñ","n"),"à","a"),"è","e"),"ì","i"),"ò","o"),"ù","u"),"")</f>
        <v/>
      </c>
      <c r="V558" s="25">
        <f>IF(AND(Q558=1,L558&lt;&gt;""),SUBSTITUTE(SUBSTITUTE(SUBSTITUTE(SUBSTITUTE(SUBSTITUTE(SUBSTITUTE(SUBSTITUTE(SUBSTITUTE(SUBSTITUTE(SUBSTITUTE(SUBSTITUTE(SUBSTITUTE(LOWER(TRIM(L558)),"á","a"),"é","e"),"í","i"),"ó","o"),"ú","u"),"ü","u"),"ñ","n"),"à","a"),"è","e"),"ì","i"),"ò","o"),"ù","u"),"")</f>
        <v/>
      </c>
      <c r="W558" s="25">
        <f>IF(AND(Q558=1,I558&lt;&gt;""),SUBSTITUTE(SUBSTITUTE(SUBSTITUTE(SUBSTITUTE(SUBSTITUTE(SUBSTITUTE(SUBSTITUTE(SUBSTITUTE(SUBSTITUTE(SUBSTITUTE(SUBSTITUTE(SUBSTITUTE(LOWER(TRIM(I558)),"á","a"),"é","e"),"í","i"),"ó","o"),"ú","u"),"ü","u"),"ñ","n"),"à","a"),"è","e"),"ì","i"),"ò","o"),"ù","u"),"")</f>
        <v/>
      </c>
      <c r="X558" s="25">
        <f>IF(U558="","",IF(OR(U558="si, en la proxima tarea",U558="si, con cambios"),1,0))</f>
        <v/>
      </c>
      <c r="Y558" s="25">
        <f>IF(AND(Q558=1,A558&lt;&gt;""),IF(IFERROR(COUNTIFS(A$3:A558,"="&amp;SUBSTITUTE(SUBSTITUTE(SUBSTITUTE(A558,"~","~~"),"*","~*"),"?","~?"),Q$3:Q558,1),0)=1,MAX(Y$2:Y557)+1,""),"")</f>
        <v/>
      </c>
      <c r="Z558" s="25">
        <f>IF(Y558="","",COUNTIFS($A$3:$A$1002,"="&amp;SUBSTITUTE(SUBSTITUTE(SUBSTITUTE(A558,"~","~~"),"*","~*"),"?","~?"),$Q$3:$Q$1002,1)*10000-Y558)</f>
        <v/>
      </c>
    </row>
    <row r="559">
      <c r="A559">
        <f>IF(A$2=0,"",IFERROR(TRIM(INDEX('Pegar docentes'!$A$1:$BZ$1001,558,A$2)&amp;""),""))</f>
        <v/>
      </c>
      <c r="B559">
        <f>IF(B$2=0,"",IFERROR(TRIM(INDEX('Pegar docentes'!$A$1:$BZ$1001,558,B$2)&amp;""),""))</f>
        <v/>
      </c>
      <c r="C559">
        <f>IF(C$2=0,"",IFERROR(TRIM(INDEX('Pegar docentes'!$A$1:$BZ$1001,558,C$2)&amp;""),""))</f>
        <v/>
      </c>
      <c r="D559">
        <f>IF(D$2=0,"",IFERROR(TRIM(INDEX('Pegar docentes'!$A$1:$BZ$1001,558,D$2)&amp;""),""))</f>
        <v/>
      </c>
      <c r="E559">
        <f>IF(E$2=0,"",IFERROR(TRIM(INDEX('Pegar docentes'!$A$1:$BZ$1001,558,E$2)&amp;""),""))</f>
        <v/>
      </c>
      <c r="F559">
        <f>IF(F$2=0,"",IFERROR(TRIM(INDEX('Pegar docentes'!$A$1:$BZ$1001,558,F$2)&amp;""),""))</f>
        <v/>
      </c>
      <c r="G559">
        <f>IF(G$2=0,"",IFERROR(TRIM(INDEX('Pegar docentes'!$A$1:$BZ$1001,558,G$2)&amp;""),""))</f>
        <v/>
      </c>
      <c r="H559">
        <f>IF(H$2=0,"",IFERROR(TRIM(INDEX('Pegar docentes'!$A$1:$BZ$1001,558,H$2)&amp;""),""))</f>
        <v/>
      </c>
      <c r="I559">
        <f>IF(I$2=0,"",IFERROR(TRIM(INDEX('Pegar docentes'!$A$1:$BZ$1001,558,I$2)&amp;""),""))</f>
        <v/>
      </c>
      <c r="J559">
        <f>IF(J$2=0,"",IFERROR(TRIM(INDEX('Pegar docentes'!$A$1:$BZ$1001,558,J$2)&amp;""),""))</f>
        <v/>
      </c>
      <c r="K559">
        <f>IF(K$2=0,"",IFERROR(TRIM(INDEX('Pegar docentes'!$A$1:$BZ$1001,558,K$2)&amp;""),""))</f>
        <v/>
      </c>
      <c r="L559">
        <f>IF(L$2=0,"",IFERROR(TRIM(INDEX('Pegar docentes'!$A$1:$BZ$1001,558,L$2)&amp;""),""))</f>
        <v/>
      </c>
      <c r="M559">
        <f>IF(M$2=0,"",IFERROR(TRIM(INDEX('Pegar docentes'!$A$1:$BZ$1001,558,M$2)&amp;""),""))</f>
        <v/>
      </c>
      <c r="N559">
        <f>IF(N$2=0,"",IFERROR(TRIM(INDEX('Pegar docentes'!$A$1:$BZ$1001,558,N$2)&amp;""),""))</f>
        <v/>
      </c>
      <c r="O559">
        <f>IF(O$2=0,"",IFERROR(TRIM(INDEX('Pegar docentes'!$A$1:$BZ$1001,558,O$2)&amp;""),""))</f>
        <v/>
      </c>
      <c r="P559">
        <f>IF(P$2=0,"",IFERROR(TRIM(INDEX('Pegar docentes'!$A$1:$BZ$1001,558,P$2)&amp;""),""))</f>
        <v/>
      </c>
      <c r="Q559" s="25">
        <f>IF(OR(D559&lt;&gt;"",H559&lt;&gt;""),1,"")</f>
        <v/>
      </c>
      <c r="R559" s="25">
        <f>IF(Q559=1,IF(ISNUMBER(FIND("#"&amp;MID(D559,1,1)&amp;"#","#0#1#2#3#4#5#6#7#8#9#")),IF(ISNUMBER(FIND("#"&amp;MID(D559,2,1)&amp;"#","#0#1#2#3#4#5#6#7#8#9#")),IF(AND(VALUE(LEFT(D559,2))&gt;=1,VALUE(LEFT(D559,2))&lt;=5),VALUE(LEFT(D559,2)),""),IF(AND(VALUE(LEFT(D559,1))&gt;=1,VALUE(LEFT(D559,1))&lt;=5),VALUE(LEFT(D559,1)),"")),""),"")</f>
        <v/>
      </c>
      <c r="S559" s="25">
        <f>IF(AND(Q559=1,E559&lt;&gt;""),SUBSTITUTE(SUBSTITUTE(SUBSTITUTE(SUBSTITUTE(SUBSTITUTE(SUBSTITUTE(SUBSTITUTE(SUBSTITUTE(SUBSTITUTE(SUBSTITUTE(SUBSTITUTE(SUBSTITUTE(LOWER(TRIM(E559)),"á","a"),"é","e"),"í","i"),"ó","o"),"ú","u"),"ü","u"),"ñ","n"),"à","a"),"è","e"),"ì","i"),"ò","o"),"ù","u"),"")</f>
        <v/>
      </c>
      <c r="T559" s="25">
        <f>IF(AND(Q559=1,G559&lt;&gt;""),SUBSTITUTE(SUBSTITUTE(SUBSTITUTE(SUBSTITUTE(SUBSTITUTE(SUBSTITUTE(SUBSTITUTE(SUBSTITUTE(SUBSTITUTE(SUBSTITUTE(SUBSTITUTE(SUBSTITUTE(LOWER(TRIM(G559)),"á","a"),"é","e"),"í","i"),"ó","o"),"ú","u"),"ü","u"),"ñ","n"),"à","a"),"è","e"),"ì","i"),"ò","o"),"ù","u"),"")</f>
        <v/>
      </c>
      <c r="U559" s="25">
        <f>IF(AND(Q559=1,H559&lt;&gt;""),SUBSTITUTE(SUBSTITUTE(SUBSTITUTE(SUBSTITUTE(SUBSTITUTE(SUBSTITUTE(SUBSTITUTE(SUBSTITUTE(SUBSTITUTE(SUBSTITUTE(SUBSTITUTE(SUBSTITUTE(LOWER(TRIM(H559)),"á","a"),"é","e"),"í","i"),"ó","o"),"ú","u"),"ü","u"),"ñ","n"),"à","a"),"è","e"),"ì","i"),"ò","o"),"ù","u"),"")</f>
        <v/>
      </c>
      <c r="V559" s="25">
        <f>IF(AND(Q559=1,L559&lt;&gt;""),SUBSTITUTE(SUBSTITUTE(SUBSTITUTE(SUBSTITUTE(SUBSTITUTE(SUBSTITUTE(SUBSTITUTE(SUBSTITUTE(SUBSTITUTE(SUBSTITUTE(SUBSTITUTE(SUBSTITUTE(LOWER(TRIM(L559)),"á","a"),"é","e"),"í","i"),"ó","o"),"ú","u"),"ü","u"),"ñ","n"),"à","a"),"è","e"),"ì","i"),"ò","o"),"ù","u"),"")</f>
        <v/>
      </c>
      <c r="W559" s="25">
        <f>IF(AND(Q559=1,I559&lt;&gt;""),SUBSTITUTE(SUBSTITUTE(SUBSTITUTE(SUBSTITUTE(SUBSTITUTE(SUBSTITUTE(SUBSTITUTE(SUBSTITUTE(SUBSTITUTE(SUBSTITUTE(SUBSTITUTE(SUBSTITUTE(LOWER(TRIM(I559)),"á","a"),"é","e"),"í","i"),"ó","o"),"ú","u"),"ü","u"),"ñ","n"),"à","a"),"è","e"),"ì","i"),"ò","o"),"ù","u"),"")</f>
        <v/>
      </c>
      <c r="X559" s="25">
        <f>IF(U559="","",IF(OR(U559="si, en la proxima tarea",U559="si, con cambios"),1,0))</f>
        <v/>
      </c>
      <c r="Y559" s="25">
        <f>IF(AND(Q559=1,A559&lt;&gt;""),IF(IFERROR(COUNTIFS(A$3:A559,"="&amp;SUBSTITUTE(SUBSTITUTE(SUBSTITUTE(A559,"~","~~"),"*","~*"),"?","~?"),Q$3:Q559,1),0)=1,MAX(Y$2:Y558)+1,""),"")</f>
        <v/>
      </c>
      <c r="Z559" s="25">
        <f>IF(Y559="","",COUNTIFS($A$3:$A$1002,"="&amp;SUBSTITUTE(SUBSTITUTE(SUBSTITUTE(A559,"~","~~"),"*","~*"),"?","~?"),$Q$3:$Q$1002,1)*10000-Y559)</f>
        <v/>
      </c>
    </row>
    <row r="560">
      <c r="A560">
        <f>IF(A$2=0,"",IFERROR(TRIM(INDEX('Pegar docentes'!$A$1:$BZ$1001,559,A$2)&amp;""),""))</f>
        <v/>
      </c>
      <c r="B560">
        <f>IF(B$2=0,"",IFERROR(TRIM(INDEX('Pegar docentes'!$A$1:$BZ$1001,559,B$2)&amp;""),""))</f>
        <v/>
      </c>
      <c r="C560">
        <f>IF(C$2=0,"",IFERROR(TRIM(INDEX('Pegar docentes'!$A$1:$BZ$1001,559,C$2)&amp;""),""))</f>
        <v/>
      </c>
      <c r="D560">
        <f>IF(D$2=0,"",IFERROR(TRIM(INDEX('Pegar docentes'!$A$1:$BZ$1001,559,D$2)&amp;""),""))</f>
        <v/>
      </c>
      <c r="E560">
        <f>IF(E$2=0,"",IFERROR(TRIM(INDEX('Pegar docentes'!$A$1:$BZ$1001,559,E$2)&amp;""),""))</f>
        <v/>
      </c>
      <c r="F560">
        <f>IF(F$2=0,"",IFERROR(TRIM(INDEX('Pegar docentes'!$A$1:$BZ$1001,559,F$2)&amp;""),""))</f>
        <v/>
      </c>
      <c r="G560">
        <f>IF(G$2=0,"",IFERROR(TRIM(INDEX('Pegar docentes'!$A$1:$BZ$1001,559,G$2)&amp;""),""))</f>
        <v/>
      </c>
      <c r="H560">
        <f>IF(H$2=0,"",IFERROR(TRIM(INDEX('Pegar docentes'!$A$1:$BZ$1001,559,H$2)&amp;""),""))</f>
        <v/>
      </c>
      <c r="I560">
        <f>IF(I$2=0,"",IFERROR(TRIM(INDEX('Pegar docentes'!$A$1:$BZ$1001,559,I$2)&amp;""),""))</f>
        <v/>
      </c>
      <c r="J560">
        <f>IF(J$2=0,"",IFERROR(TRIM(INDEX('Pegar docentes'!$A$1:$BZ$1001,559,J$2)&amp;""),""))</f>
        <v/>
      </c>
      <c r="K560">
        <f>IF(K$2=0,"",IFERROR(TRIM(INDEX('Pegar docentes'!$A$1:$BZ$1001,559,K$2)&amp;""),""))</f>
        <v/>
      </c>
      <c r="L560">
        <f>IF(L$2=0,"",IFERROR(TRIM(INDEX('Pegar docentes'!$A$1:$BZ$1001,559,L$2)&amp;""),""))</f>
        <v/>
      </c>
      <c r="M560">
        <f>IF(M$2=0,"",IFERROR(TRIM(INDEX('Pegar docentes'!$A$1:$BZ$1001,559,M$2)&amp;""),""))</f>
        <v/>
      </c>
      <c r="N560">
        <f>IF(N$2=0,"",IFERROR(TRIM(INDEX('Pegar docentes'!$A$1:$BZ$1001,559,N$2)&amp;""),""))</f>
        <v/>
      </c>
      <c r="O560">
        <f>IF(O$2=0,"",IFERROR(TRIM(INDEX('Pegar docentes'!$A$1:$BZ$1001,559,O$2)&amp;""),""))</f>
        <v/>
      </c>
      <c r="P560">
        <f>IF(P$2=0,"",IFERROR(TRIM(INDEX('Pegar docentes'!$A$1:$BZ$1001,559,P$2)&amp;""),""))</f>
        <v/>
      </c>
      <c r="Q560" s="25">
        <f>IF(OR(D560&lt;&gt;"",H560&lt;&gt;""),1,"")</f>
        <v/>
      </c>
      <c r="R560" s="25">
        <f>IF(Q560=1,IF(ISNUMBER(FIND("#"&amp;MID(D560,1,1)&amp;"#","#0#1#2#3#4#5#6#7#8#9#")),IF(ISNUMBER(FIND("#"&amp;MID(D560,2,1)&amp;"#","#0#1#2#3#4#5#6#7#8#9#")),IF(AND(VALUE(LEFT(D560,2))&gt;=1,VALUE(LEFT(D560,2))&lt;=5),VALUE(LEFT(D560,2)),""),IF(AND(VALUE(LEFT(D560,1))&gt;=1,VALUE(LEFT(D560,1))&lt;=5),VALUE(LEFT(D560,1)),"")),""),"")</f>
        <v/>
      </c>
      <c r="S560" s="25">
        <f>IF(AND(Q560=1,E560&lt;&gt;""),SUBSTITUTE(SUBSTITUTE(SUBSTITUTE(SUBSTITUTE(SUBSTITUTE(SUBSTITUTE(SUBSTITUTE(SUBSTITUTE(SUBSTITUTE(SUBSTITUTE(SUBSTITUTE(SUBSTITUTE(LOWER(TRIM(E560)),"á","a"),"é","e"),"í","i"),"ó","o"),"ú","u"),"ü","u"),"ñ","n"),"à","a"),"è","e"),"ì","i"),"ò","o"),"ù","u"),"")</f>
        <v/>
      </c>
      <c r="T560" s="25">
        <f>IF(AND(Q560=1,G560&lt;&gt;""),SUBSTITUTE(SUBSTITUTE(SUBSTITUTE(SUBSTITUTE(SUBSTITUTE(SUBSTITUTE(SUBSTITUTE(SUBSTITUTE(SUBSTITUTE(SUBSTITUTE(SUBSTITUTE(SUBSTITUTE(LOWER(TRIM(G560)),"á","a"),"é","e"),"í","i"),"ó","o"),"ú","u"),"ü","u"),"ñ","n"),"à","a"),"è","e"),"ì","i"),"ò","o"),"ù","u"),"")</f>
        <v/>
      </c>
      <c r="U560" s="25">
        <f>IF(AND(Q560=1,H560&lt;&gt;""),SUBSTITUTE(SUBSTITUTE(SUBSTITUTE(SUBSTITUTE(SUBSTITUTE(SUBSTITUTE(SUBSTITUTE(SUBSTITUTE(SUBSTITUTE(SUBSTITUTE(SUBSTITUTE(SUBSTITUTE(LOWER(TRIM(H560)),"á","a"),"é","e"),"í","i"),"ó","o"),"ú","u"),"ü","u"),"ñ","n"),"à","a"),"è","e"),"ì","i"),"ò","o"),"ù","u"),"")</f>
        <v/>
      </c>
      <c r="V560" s="25">
        <f>IF(AND(Q560=1,L560&lt;&gt;""),SUBSTITUTE(SUBSTITUTE(SUBSTITUTE(SUBSTITUTE(SUBSTITUTE(SUBSTITUTE(SUBSTITUTE(SUBSTITUTE(SUBSTITUTE(SUBSTITUTE(SUBSTITUTE(SUBSTITUTE(LOWER(TRIM(L560)),"á","a"),"é","e"),"í","i"),"ó","o"),"ú","u"),"ü","u"),"ñ","n"),"à","a"),"è","e"),"ì","i"),"ò","o"),"ù","u"),"")</f>
        <v/>
      </c>
      <c r="W560" s="25">
        <f>IF(AND(Q560=1,I560&lt;&gt;""),SUBSTITUTE(SUBSTITUTE(SUBSTITUTE(SUBSTITUTE(SUBSTITUTE(SUBSTITUTE(SUBSTITUTE(SUBSTITUTE(SUBSTITUTE(SUBSTITUTE(SUBSTITUTE(SUBSTITUTE(LOWER(TRIM(I560)),"á","a"),"é","e"),"í","i"),"ó","o"),"ú","u"),"ü","u"),"ñ","n"),"à","a"),"è","e"),"ì","i"),"ò","o"),"ù","u"),"")</f>
        <v/>
      </c>
      <c r="X560" s="25">
        <f>IF(U560="","",IF(OR(U560="si, en la proxima tarea",U560="si, con cambios"),1,0))</f>
        <v/>
      </c>
      <c r="Y560" s="25">
        <f>IF(AND(Q560=1,A560&lt;&gt;""),IF(IFERROR(COUNTIFS(A$3:A560,"="&amp;SUBSTITUTE(SUBSTITUTE(SUBSTITUTE(A560,"~","~~"),"*","~*"),"?","~?"),Q$3:Q560,1),0)=1,MAX(Y$2:Y559)+1,""),"")</f>
        <v/>
      </c>
      <c r="Z560" s="25">
        <f>IF(Y560="","",COUNTIFS($A$3:$A$1002,"="&amp;SUBSTITUTE(SUBSTITUTE(SUBSTITUTE(A560,"~","~~"),"*","~*"),"?","~?"),$Q$3:$Q$1002,1)*10000-Y560)</f>
        <v/>
      </c>
    </row>
    <row r="561">
      <c r="A561">
        <f>IF(A$2=0,"",IFERROR(TRIM(INDEX('Pegar docentes'!$A$1:$BZ$1001,560,A$2)&amp;""),""))</f>
        <v/>
      </c>
      <c r="B561">
        <f>IF(B$2=0,"",IFERROR(TRIM(INDEX('Pegar docentes'!$A$1:$BZ$1001,560,B$2)&amp;""),""))</f>
        <v/>
      </c>
      <c r="C561">
        <f>IF(C$2=0,"",IFERROR(TRIM(INDEX('Pegar docentes'!$A$1:$BZ$1001,560,C$2)&amp;""),""))</f>
        <v/>
      </c>
      <c r="D561">
        <f>IF(D$2=0,"",IFERROR(TRIM(INDEX('Pegar docentes'!$A$1:$BZ$1001,560,D$2)&amp;""),""))</f>
        <v/>
      </c>
      <c r="E561">
        <f>IF(E$2=0,"",IFERROR(TRIM(INDEX('Pegar docentes'!$A$1:$BZ$1001,560,E$2)&amp;""),""))</f>
        <v/>
      </c>
      <c r="F561">
        <f>IF(F$2=0,"",IFERROR(TRIM(INDEX('Pegar docentes'!$A$1:$BZ$1001,560,F$2)&amp;""),""))</f>
        <v/>
      </c>
      <c r="G561">
        <f>IF(G$2=0,"",IFERROR(TRIM(INDEX('Pegar docentes'!$A$1:$BZ$1001,560,G$2)&amp;""),""))</f>
        <v/>
      </c>
      <c r="H561">
        <f>IF(H$2=0,"",IFERROR(TRIM(INDEX('Pegar docentes'!$A$1:$BZ$1001,560,H$2)&amp;""),""))</f>
        <v/>
      </c>
      <c r="I561">
        <f>IF(I$2=0,"",IFERROR(TRIM(INDEX('Pegar docentes'!$A$1:$BZ$1001,560,I$2)&amp;""),""))</f>
        <v/>
      </c>
      <c r="J561">
        <f>IF(J$2=0,"",IFERROR(TRIM(INDEX('Pegar docentes'!$A$1:$BZ$1001,560,J$2)&amp;""),""))</f>
        <v/>
      </c>
      <c r="K561">
        <f>IF(K$2=0,"",IFERROR(TRIM(INDEX('Pegar docentes'!$A$1:$BZ$1001,560,K$2)&amp;""),""))</f>
        <v/>
      </c>
      <c r="L561">
        <f>IF(L$2=0,"",IFERROR(TRIM(INDEX('Pegar docentes'!$A$1:$BZ$1001,560,L$2)&amp;""),""))</f>
        <v/>
      </c>
      <c r="M561">
        <f>IF(M$2=0,"",IFERROR(TRIM(INDEX('Pegar docentes'!$A$1:$BZ$1001,560,M$2)&amp;""),""))</f>
        <v/>
      </c>
      <c r="N561">
        <f>IF(N$2=0,"",IFERROR(TRIM(INDEX('Pegar docentes'!$A$1:$BZ$1001,560,N$2)&amp;""),""))</f>
        <v/>
      </c>
      <c r="O561">
        <f>IF(O$2=0,"",IFERROR(TRIM(INDEX('Pegar docentes'!$A$1:$BZ$1001,560,O$2)&amp;""),""))</f>
        <v/>
      </c>
      <c r="P561">
        <f>IF(P$2=0,"",IFERROR(TRIM(INDEX('Pegar docentes'!$A$1:$BZ$1001,560,P$2)&amp;""),""))</f>
        <v/>
      </c>
      <c r="Q561" s="25">
        <f>IF(OR(D561&lt;&gt;"",H561&lt;&gt;""),1,"")</f>
        <v/>
      </c>
      <c r="R561" s="25">
        <f>IF(Q561=1,IF(ISNUMBER(FIND("#"&amp;MID(D561,1,1)&amp;"#","#0#1#2#3#4#5#6#7#8#9#")),IF(ISNUMBER(FIND("#"&amp;MID(D561,2,1)&amp;"#","#0#1#2#3#4#5#6#7#8#9#")),IF(AND(VALUE(LEFT(D561,2))&gt;=1,VALUE(LEFT(D561,2))&lt;=5),VALUE(LEFT(D561,2)),""),IF(AND(VALUE(LEFT(D561,1))&gt;=1,VALUE(LEFT(D561,1))&lt;=5),VALUE(LEFT(D561,1)),"")),""),"")</f>
        <v/>
      </c>
      <c r="S561" s="25">
        <f>IF(AND(Q561=1,E561&lt;&gt;""),SUBSTITUTE(SUBSTITUTE(SUBSTITUTE(SUBSTITUTE(SUBSTITUTE(SUBSTITUTE(SUBSTITUTE(SUBSTITUTE(SUBSTITUTE(SUBSTITUTE(SUBSTITUTE(SUBSTITUTE(LOWER(TRIM(E561)),"á","a"),"é","e"),"í","i"),"ó","o"),"ú","u"),"ü","u"),"ñ","n"),"à","a"),"è","e"),"ì","i"),"ò","o"),"ù","u"),"")</f>
        <v/>
      </c>
      <c r="T561" s="25">
        <f>IF(AND(Q561=1,G561&lt;&gt;""),SUBSTITUTE(SUBSTITUTE(SUBSTITUTE(SUBSTITUTE(SUBSTITUTE(SUBSTITUTE(SUBSTITUTE(SUBSTITUTE(SUBSTITUTE(SUBSTITUTE(SUBSTITUTE(SUBSTITUTE(LOWER(TRIM(G561)),"á","a"),"é","e"),"í","i"),"ó","o"),"ú","u"),"ü","u"),"ñ","n"),"à","a"),"è","e"),"ì","i"),"ò","o"),"ù","u"),"")</f>
        <v/>
      </c>
      <c r="U561" s="25">
        <f>IF(AND(Q561=1,H561&lt;&gt;""),SUBSTITUTE(SUBSTITUTE(SUBSTITUTE(SUBSTITUTE(SUBSTITUTE(SUBSTITUTE(SUBSTITUTE(SUBSTITUTE(SUBSTITUTE(SUBSTITUTE(SUBSTITUTE(SUBSTITUTE(LOWER(TRIM(H561)),"á","a"),"é","e"),"í","i"),"ó","o"),"ú","u"),"ü","u"),"ñ","n"),"à","a"),"è","e"),"ì","i"),"ò","o"),"ù","u"),"")</f>
        <v/>
      </c>
      <c r="V561" s="25">
        <f>IF(AND(Q561=1,L561&lt;&gt;""),SUBSTITUTE(SUBSTITUTE(SUBSTITUTE(SUBSTITUTE(SUBSTITUTE(SUBSTITUTE(SUBSTITUTE(SUBSTITUTE(SUBSTITUTE(SUBSTITUTE(SUBSTITUTE(SUBSTITUTE(LOWER(TRIM(L561)),"á","a"),"é","e"),"í","i"),"ó","o"),"ú","u"),"ü","u"),"ñ","n"),"à","a"),"è","e"),"ì","i"),"ò","o"),"ù","u"),"")</f>
        <v/>
      </c>
      <c r="W561" s="25">
        <f>IF(AND(Q561=1,I561&lt;&gt;""),SUBSTITUTE(SUBSTITUTE(SUBSTITUTE(SUBSTITUTE(SUBSTITUTE(SUBSTITUTE(SUBSTITUTE(SUBSTITUTE(SUBSTITUTE(SUBSTITUTE(SUBSTITUTE(SUBSTITUTE(LOWER(TRIM(I561)),"á","a"),"é","e"),"í","i"),"ó","o"),"ú","u"),"ü","u"),"ñ","n"),"à","a"),"è","e"),"ì","i"),"ò","o"),"ù","u"),"")</f>
        <v/>
      </c>
      <c r="X561" s="25">
        <f>IF(U561="","",IF(OR(U561="si, en la proxima tarea",U561="si, con cambios"),1,0))</f>
        <v/>
      </c>
      <c r="Y561" s="25">
        <f>IF(AND(Q561=1,A561&lt;&gt;""),IF(IFERROR(COUNTIFS(A$3:A561,"="&amp;SUBSTITUTE(SUBSTITUTE(SUBSTITUTE(A561,"~","~~"),"*","~*"),"?","~?"),Q$3:Q561,1),0)=1,MAX(Y$2:Y560)+1,""),"")</f>
        <v/>
      </c>
      <c r="Z561" s="25">
        <f>IF(Y561="","",COUNTIFS($A$3:$A$1002,"="&amp;SUBSTITUTE(SUBSTITUTE(SUBSTITUTE(A561,"~","~~"),"*","~*"),"?","~?"),$Q$3:$Q$1002,1)*10000-Y561)</f>
        <v/>
      </c>
    </row>
    <row r="562">
      <c r="A562">
        <f>IF(A$2=0,"",IFERROR(TRIM(INDEX('Pegar docentes'!$A$1:$BZ$1001,561,A$2)&amp;""),""))</f>
        <v/>
      </c>
      <c r="B562">
        <f>IF(B$2=0,"",IFERROR(TRIM(INDEX('Pegar docentes'!$A$1:$BZ$1001,561,B$2)&amp;""),""))</f>
        <v/>
      </c>
      <c r="C562">
        <f>IF(C$2=0,"",IFERROR(TRIM(INDEX('Pegar docentes'!$A$1:$BZ$1001,561,C$2)&amp;""),""))</f>
        <v/>
      </c>
      <c r="D562">
        <f>IF(D$2=0,"",IFERROR(TRIM(INDEX('Pegar docentes'!$A$1:$BZ$1001,561,D$2)&amp;""),""))</f>
        <v/>
      </c>
      <c r="E562">
        <f>IF(E$2=0,"",IFERROR(TRIM(INDEX('Pegar docentes'!$A$1:$BZ$1001,561,E$2)&amp;""),""))</f>
        <v/>
      </c>
      <c r="F562">
        <f>IF(F$2=0,"",IFERROR(TRIM(INDEX('Pegar docentes'!$A$1:$BZ$1001,561,F$2)&amp;""),""))</f>
        <v/>
      </c>
      <c r="G562">
        <f>IF(G$2=0,"",IFERROR(TRIM(INDEX('Pegar docentes'!$A$1:$BZ$1001,561,G$2)&amp;""),""))</f>
        <v/>
      </c>
      <c r="H562">
        <f>IF(H$2=0,"",IFERROR(TRIM(INDEX('Pegar docentes'!$A$1:$BZ$1001,561,H$2)&amp;""),""))</f>
        <v/>
      </c>
      <c r="I562">
        <f>IF(I$2=0,"",IFERROR(TRIM(INDEX('Pegar docentes'!$A$1:$BZ$1001,561,I$2)&amp;""),""))</f>
        <v/>
      </c>
      <c r="J562">
        <f>IF(J$2=0,"",IFERROR(TRIM(INDEX('Pegar docentes'!$A$1:$BZ$1001,561,J$2)&amp;""),""))</f>
        <v/>
      </c>
      <c r="K562">
        <f>IF(K$2=0,"",IFERROR(TRIM(INDEX('Pegar docentes'!$A$1:$BZ$1001,561,K$2)&amp;""),""))</f>
        <v/>
      </c>
      <c r="L562">
        <f>IF(L$2=0,"",IFERROR(TRIM(INDEX('Pegar docentes'!$A$1:$BZ$1001,561,L$2)&amp;""),""))</f>
        <v/>
      </c>
      <c r="M562">
        <f>IF(M$2=0,"",IFERROR(TRIM(INDEX('Pegar docentes'!$A$1:$BZ$1001,561,M$2)&amp;""),""))</f>
        <v/>
      </c>
      <c r="N562">
        <f>IF(N$2=0,"",IFERROR(TRIM(INDEX('Pegar docentes'!$A$1:$BZ$1001,561,N$2)&amp;""),""))</f>
        <v/>
      </c>
      <c r="O562">
        <f>IF(O$2=0,"",IFERROR(TRIM(INDEX('Pegar docentes'!$A$1:$BZ$1001,561,O$2)&amp;""),""))</f>
        <v/>
      </c>
      <c r="P562">
        <f>IF(P$2=0,"",IFERROR(TRIM(INDEX('Pegar docentes'!$A$1:$BZ$1001,561,P$2)&amp;""),""))</f>
        <v/>
      </c>
      <c r="Q562" s="25">
        <f>IF(OR(D562&lt;&gt;"",H562&lt;&gt;""),1,"")</f>
        <v/>
      </c>
      <c r="R562" s="25">
        <f>IF(Q562=1,IF(ISNUMBER(FIND("#"&amp;MID(D562,1,1)&amp;"#","#0#1#2#3#4#5#6#7#8#9#")),IF(ISNUMBER(FIND("#"&amp;MID(D562,2,1)&amp;"#","#0#1#2#3#4#5#6#7#8#9#")),IF(AND(VALUE(LEFT(D562,2))&gt;=1,VALUE(LEFT(D562,2))&lt;=5),VALUE(LEFT(D562,2)),""),IF(AND(VALUE(LEFT(D562,1))&gt;=1,VALUE(LEFT(D562,1))&lt;=5),VALUE(LEFT(D562,1)),"")),""),"")</f>
        <v/>
      </c>
      <c r="S562" s="25">
        <f>IF(AND(Q562=1,E562&lt;&gt;""),SUBSTITUTE(SUBSTITUTE(SUBSTITUTE(SUBSTITUTE(SUBSTITUTE(SUBSTITUTE(SUBSTITUTE(SUBSTITUTE(SUBSTITUTE(SUBSTITUTE(SUBSTITUTE(SUBSTITUTE(LOWER(TRIM(E562)),"á","a"),"é","e"),"í","i"),"ó","o"),"ú","u"),"ü","u"),"ñ","n"),"à","a"),"è","e"),"ì","i"),"ò","o"),"ù","u"),"")</f>
        <v/>
      </c>
      <c r="T562" s="25">
        <f>IF(AND(Q562=1,G562&lt;&gt;""),SUBSTITUTE(SUBSTITUTE(SUBSTITUTE(SUBSTITUTE(SUBSTITUTE(SUBSTITUTE(SUBSTITUTE(SUBSTITUTE(SUBSTITUTE(SUBSTITUTE(SUBSTITUTE(SUBSTITUTE(LOWER(TRIM(G562)),"á","a"),"é","e"),"í","i"),"ó","o"),"ú","u"),"ü","u"),"ñ","n"),"à","a"),"è","e"),"ì","i"),"ò","o"),"ù","u"),"")</f>
        <v/>
      </c>
      <c r="U562" s="25">
        <f>IF(AND(Q562=1,H562&lt;&gt;""),SUBSTITUTE(SUBSTITUTE(SUBSTITUTE(SUBSTITUTE(SUBSTITUTE(SUBSTITUTE(SUBSTITUTE(SUBSTITUTE(SUBSTITUTE(SUBSTITUTE(SUBSTITUTE(SUBSTITUTE(LOWER(TRIM(H562)),"á","a"),"é","e"),"í","i"),"ó","o"),"ú","u"),"ü","u"),"ñ","n"),"à","a"),"è","e"),"ì","i"),"ò","o"),"ù","u"),"")</f>
        <v/>
      </c>
      <c r="V562" s="25">
        <f>IF(AND(Q562=1,L562&lt;&gt;""),SUBSTITUTE(SUBSTITUTE(SUBSTITUTE(SUBSTITUTE(SUBSTITUTE(SUBSTITUTE(SUBSTITUTE(SUBSTITUTE(SUBSTITUTE(SUBSTITUTE(SUBSTITUTE(SUBSTITUTE(LOWER(TRIM(L562)),"á","a"),"é","e"),"í","i"),"ó","o"),"ú","u"),"ü","u"),"ñ","n"),"à","a"),"è","e"),"ì","i"),"ò","o"),"ù","u"),"")</f>
        <v/>
      </c>
      <c r="W562" s="25">
        <f>IF(AND(Q562=1,I562&lt;&gt;""),SUBSTITUTE(SUBSTITUTE(SUBSTITUTE(SUBSTITUTE(SUBSTITUTE(SUBSTITUTE(SUBSTITUTE(SUBSTITUTE(SUBSTITUTE(SUBSTITUTE(SUBSTITUTE(SUBSTITUTE(LOWER(TRIM(I562)),"á","a"),"é","e"),"í","i"),"ó","o"),"ú","u"),"ü","u"),"ñ","n"),"à","a"),"è","e"),"ì","i"),"ò","o"),"ù","u"),"")</f>
        <v/>
      </c>
      <c r="X562" s="25">
        <f>IF(U562="","",IF(OR(U562="si, en la proxima tarea",U562="si, con cambios"),1,0))</f>
        <v/>
      </c>
      <c r="Y562" s="25">
        <f>IF(AND(Q562=1,A562&lt;&gt;""),IF(IFERROR(COUNTIFS(A$3:A562,"="&amp;SUBSTITUTE(SUBSTITUTE(SUBSTITUTE(A562,"~","~~"),"*","~*"),"?","~?"),Q$3:Q562,1),0)=1,MAX(Y$2:Y561)+1,""),"")</f>
        <v/>
      </c>
      <c r="Z562" s="25">
        <f>IF(Y562="","",COUNTIFS($A$3:$A$1002,"="&amp;SUBSTITUTE(SUBSTITUTE(SUBSTITUTE(A562,"~","~~"),"*","~*"),"?","~?"),$Q$3:$Q$1002,1)*10000-Y562)</f>
        <v/>
      </c>
    </row>
    <row r="563">
      <c r="A563">
        <f>IF(A$2=0,"",IFERROR(TRIM(INDEX('Pegar docentes'!$A$1:$BZ$1001,562,A$2)&amp;""),""))</f>
        <v/>
      </c>
      <c r="B563">
        <f>IF(B$2=0,"",IFERROR(TRIM(INDEX('Pegar docentes'!$A$1:$BZ$1001,562,B$2)&amp;""),""))</f>
        <v/>
      </c>
      <c r="C563">
        <f>IF(C$2=0,"",IFERROR(TRIM(INDEX('Pegar docentes'!$A$1:$BZ$1001,562,C$2)&amp;""),""))</f>
        <v/>
      </c>
      <c r="D563">
        <f>IF(D$2=0,"",IFERROR(TRIM(INDEX('Pegar docentes'!$A$1:$BZ$1001,562,D$2)&amp;""),""))</f>
        <v/>
      </c>
      <c r="E563">
        <f>IF(E$2=0,"",IFERROR(TRIM(INDEX('Pegar docentes'!$A$1:$BZ$1001,562,E$2)&amp;""),""))</f>
        <v/>
      </c>
      <c r="F563">
        <f>IF(F$2=0,"",IFERROR(TRIM(INDEX('Pegar docentes'!$A$1:$BZ$1001,562,F$2)&amp;""),""))</f>
        <v/>
      </c>
      <c r="G563">
        <f>IF(G$2=0,"",IFERROR(TRIM(INDEX('Pegar docentes'!$A$1:$BZ$1001,562,G$2)&amp;""),""))</f>
        <v/>
      </c>
      <c r="H563">
        <f>IF(H$2=0,"",IFERROR(TRIM(INDEX('Pegar docentes'!$A$1:$BZ$1001,562,H$2)&amp;""),""))</f>
        <v/>
      </c>
      <c r="I563">
        <f>IF(I$2=0,"",IFERROR(TRIM(INDEX('Pegar docentes'!$A$1:$BZ$1001,562,I$2)&amp;""),""))</f>
        <v/>
      </c>
      <c r="J563">
        <f>IF(J$2=0,"",IFERROR(TRIM(INDEX('Pegar docentes'!$A$1:$BZ$1001,562,J$2)&amp;""),""))</f>
        <v/>
      </c>
      <c r="K563">
        <f>IF(K$2=0,"",IFERROR(TRIM(INDEX('Pegar docentes'!$A$1:$BZ$1001,562,K$2)&amp;""),""))</f>
        <v/>
      </c>
      <c r="L563">
        <f>IF(L$2=0,"",IFERROR(TRIM(INDEX('Pegar docentes'!$A$1:$BZ$1001,562,L$2)&amp;""),""))</f>
        <v/>
      </c>
      <c r="M563">
        <f>IF(M$2=0,"",IFERROR(TRIM(INDEX('Pegar docentes'!$A$1:$BZ$1001,562,M$2)&amp;""),""))</f>
        <v/>
      </c>
      <c r="N563">
        <f>IF(N$2=0,"",IFERROR(TRIM(INDEX('Pegar docentes'!$A$1:$BZ$1001,562,N$2)&amp;""),""))</f>
        <v/>
      </c>
      <c r="O563">
        <f>IF(O$2=0,"",IFERROR(TRIM(INDEX('Pegar docentes'!$A$1:$BZ$1001,562,O$2)&amp;""),""))</f>
        <v/>
      </c>
      <c r="P563">
        <f>IF(P$2=0,"",IFERROR(TRIM(INDEX('Pegar docentes'!$A$1:$BZ$1001,562,P$2)&amp;""),""))</f>
        <v/>
      </c>
      <c r="Q563" s="25">
        <f>IF(OR(D563&lt;&gt;"",H563&lt;&gt;""),1,"")</f>
        <v/>
      </c>
      <c r="R563" s="25">
        <f>IF(Q563=1,IF(ISNUMBER(FIND("#"&amp;MID(D563,1,1)&amp;"#","#0#1#2#3#4#5#6#7#8#9#")),IF(ISNUMBER(FIND("#"&amp;MID(D563,2,1)&amp;"#","#0#1#2#3#4#5#6#7#8#9#")),IF(AND(VALUE(LEFT(D563,2))&gt;=1,VALUE(LEFT(D563,2))&lt;=5),VALUE(LEFT(D563,2)),""),IF(AND(VALUE(LEFT(D563,1))&gt;=1,VALUE(LEFT(D563,1))&lt;=5),VALUE(LEFT(D563,1)),"")),""),"")</f>
        <v/>
      </c>
      <c r="S563" s="25">
        <f>IF(AND(Q563=1,E563&lt;&gt;""),SUBSTITUTE(SUBSTITUTE(SUBSTITUTE(SUBSTITUTE(SUBSTITUTE(SUBSTITUTE(SUBSTITUTE(SUBSTITUTE(SUBSTITUTE(SUBSTITUTE(SUBSTITUTE(SUBSTITUTE(LOWER(TRIM(E563)),"á","a"),"é","e"),"í","i"),"ó","o"),"ú","u"),"ü","u"),"ñ","n"),"à","a"),"è","e"),"ì","i"),"ò","o"),"ù","u"),"")</f>
        <v/>
      </c>
      <c r="T563" s="25">
        <f>IF(AND(Q563=1,G563&lt;&gt;""),SUBSTITUTE(SUBSTITUTE(SUBSTITUTE(SUBSTITUTE(SUBSTITUTE(SUBSTITUTE(SUBSTITUTE(SUBSTITUTE(SUBSTITUTE(SUBSTITUTE(SUBSTITUTE(SUBSTITUTE(LOWER(TRIM(G563)),"á","a"),"é","e"),"í","i"),"ó","o"),"ú","u"),"ü","u"),"ñ","n"),"à","a"),"è","e"),"ì","i"),"ò","o"),"ù","u"),"")</f>
        <v/>
      </c>
      <c r="U563" s="25">
        <f>IF(AND(Q563=1,H563&lt;&gt;""),SUBSTITUTE(SUBSTITUTE(SUBSTITUTE(SUBSTITUTE(SUBSTITUTE(SUBSTITUTE(SUBSTITUTE(SUBSTITUTE(SUBSTITUTE(SUBSTITUTE(SUBSTITUTE(SUBSTITUTE(LOWER(TRIM(H563)),"á","a"),"é","e"),"í","i"),"ó","o"),"ú","u"),"ü","u"),"ñ","n"),"à","a"),"è","e"),"ì","i"),"ò","o"),"ù","u"),"")</f>
        <v/>
      </c>
      <c r="V563" s="25">
        <f>IF(AND(Q563=1,L563&lt;&gt;""),SUBSTITUTE(SUBSTITUTE(SUBSTITUTE(SUBSTITUTE(SUBSTITUTE(SUBSTITUTE(SUBSTITUTE(SUBSTITUTE(SUBSTITUTE(SUBSTITUTE(SUBSTITUTE(SUBSTITUTE(LOWER(TRIM(L563)),"á","a"),"é","e"),"í","i"),"ó","o"),"ú","u"),"ü","u"),"ñ","n"),"à","a"),"è","e"),"ì","i"),"ò","o"),"ù","u"),"")</f>
        <v/>
      </c>
      <c r="W563" s="25">
        <f>IF(AND(Q563=1,I563&lt;&gt;""),SUBSTITUTE(SUBSTITUTE(SUBSTITUTE(SUBSTITUTE(SUBSTITUTE(SUBSTITUTE(SUBSTITUTE(SUBSTITUTE(SUBSTITUTE(SUBSTITUTE(SUBSTITUTE(SUBSTITUTE(LOWER(TRIM(I563)),"á","a"),"é","e"),"í","i"),"ó","o"),"ú","u"),"ü","u"),"ñ","n"),"à","a"),"è","e"),"ì","i"),"ò","o"),"ù","u"),"")</f>
        <v/>
      </c>
      <c r="X563" s="25">
        <f>IF(U563="","",IF(OR(U563="si, en la proxima tarea",U563="si, con cambios"),1,0))</f>
        <v/>
      </c>
      <c r="Y563" s="25">
        <f>IF(AND(Q563=1,A563&lt;&gt;""),IF(IFERROR(COUNTIFS(A$3:A563,"="&amp;SUBSTITUTE(SUBSTITUTE(SUBSTITUTE(A563,"~","~~"),"*","~*"),"?","~?"),Q$3:Q563,1),0)=1,MAX(Y$2:Y562)+1,""),"")</f>
        <v/>
      </c>
      <c r="Z563" s="25">
        <f>IF(Y563="","",COUNTIFS($A$3:$A$1002,"="&amp;SUBSTITUTE(SUBSTITUTE(SUBSTITUTE(A563,"~","~~"),"*","~*"),"?","~?"),$Q$3:$Q$1002,1)*10000-Y563)</f>
        <v/>
      </c>
    </row>
    <row r="564">
      <c r="A564">
        <f>IF(A$2=0,"",IFERROR(TRIM(INDEX('Pegar docentes'!$A$1:$BZ$1001,563,A$2)&amp;""),""))</f>
        <v/>
      </c>
      <c r="B564">
        <f>IF(B$2=0,"",IFERROR(TRIM(INDEX('Pegar docentes'!$A$1:$BZ$1001,563,B$2)&amp;""),""))</f>
        <v/>
      </c>
      <c r="C564">
        <f>IF(C$2=0,"",IFERROR(TRIM(INDEX('Pegar docentes'!$A$1:$BZ$1001,563,C$2)&amp;""),""))</f>
        <v/>
      </c>
      <c r="D564">
        <f>IF(D$2=0,"",IFERROR(TRIM(INDEX('Pegar docentes'!$A$1:$BZ$1001,563,D$2)&amp;""),""))</f>
        <v/>
      </c>
      <c r="E564">
        <f>IF(E$2=0,"",IFERROR(TRIM(INDEX('Pegar docentes'!$A$1:$BZ$1001,563,E$2)&amp;""),""))</f>
        <v/>
      </c>
      <c r="F564">
        <f>IF(F$2=0,"",IFERROR(TRIM(INDEX('Pegar docentes'!$A$1:$BZ$1001,563,F$2)&amp;""),""))</f>
        <v/>
      </c>
      <c r="G564">
        <f>IF(G$2=0,"",IFERROR(TRIM(INDEX('Pegar docentes'!$A$1:$BZ$1001,563,G$2)&amp;""),""))</f>
        <v/>
      </c>
      <c r="H564">
        <f>IF(H$2=0,"",IFERROR(TRIM(INDEX('Pegar docentes'!$A$1:$BZ$1001,563,H$2)&amp;""),""))</f>
        <v/>
      </c>
      <c r="I564">
        <f>IF(I$2=0,"",IFERROR(TRIM(INDEX('Pegar docentes'!$A$1:$BZ$1001,563,I$2)&amp;""),""))</f>
        <v/>
      </c>
      <c r="J564">
        <f>IF(J$2=0,"",IFERROR(TRIM(INDEX('Pegar docentes'!$A$1:$BZ$1001,563,J$2)&amp;""),""))</f>
        <v/>
      </c>
      <c r="K564">
        <f>IF(K$2=0,"",IFERROR(TRIM(INDEX('Pegar docentes'!$A$1:$BZ$1001,563,K$2)&amp;""),""))</f>
        <v/>
      </c>
      <c r="L564">
        <f>IF(L$2=0,"",IFERROR(TRIM(INDEX('Pegar docentes'!$A$1:$BZ$1001,563,L$2)&amp;""),""))</f>
        <v/>
      </c>
      <c r="M564">
        <f>IF(M$2=0,"",IFERROR(TRIM(INDEX('Pegar docentes'!$A$1:$BZ$1001,563,M$2)&amp;""),""))</f>
        <v/>
      </c>
      <c r="N564">
        <f>IF(N$2=0,"",IFERROR(TRIM(INDEX('Pegar docentes'!$A$1:$BZ$1001,563,N$2)&amp;""),""))</f>
        <v/>
      </c>
      <c r="O564">
        <f>IF(O$2=0,"",IFERROR(TRIM(INDEX('Pegar docentes'!$A$1:$BZ$1001,563,O$2)&amp;""),""))</f>
        <v/>
      </c>
      <c r="P564">
        <f>IF(P$2=0,"",IFERROR(TRIM(INDEX('Pegar docentes'!$A$1:$BZ$1001,563,P$2)&amp;""),""))</f>
        <v/>
      </c>
      <c r="Q564" s="25">
        <f>IF(OR(D564&lt;&gt;"",H564&lt;&gt;""),1,"")</f>
        <v/>
      </c>
      <c r="R564" s="25">
        <f>IF(Q564=1,IF(ISNUMBER(FIND("#"&amp;MID(D564,1,1)&amp;"#","#0#1#2#3#4#5#6#7#8#9#")),IF(ISNUMBER(FIND("#"&amp;MID(D564,2,1)&amp;"#","#0#1#2#3#4#5#6#7#8#9#")),IF(AND(VALUE(LEFT(D564,2))&gt;=1,VALUE(LEFT(D564,2))&lt;=5),VALUE(LEFT(D564,2)),""),IF(AND(VALUE(LEFT(D564,1))&gt;=1,VALUE(LEFT(D564,1))&lt;=5),VALUE(LEFT(D564,1)),"")),""),"")</f>
        <v/>
      </c>
      <c r="S564" s="25">
        <f>IF(AND(Q564=1,E564&lt;&gt;""),SUBSTITUTE(SUBSTITUTE(SUBSTITUTE(SUBSTITUTE(SUBSTITUTE(SUBSTITUTE(SUBSTITUTE(SUBSTITUTE(SUBSTITUTE(SUBSTITUTE(SUBSTITUTE(SUBSTITUTE(LOWER(TRIM(E564)),"á","a"),"é","e"),"í","i"),"ó","o"),"ú","u"),"ü","u"),"ñ","n"),"à","a"),"è","e"),"ì","i"),"ò","o"),"ù","u"),"")</f>
        <v/>
      </c>
      <c r="T564" s="25">
        <f>IF(AND(Q564=1,G564&lt;&gt;""),SUBSTITUTE(SUBSTITUTE(SUBSTITUTE(SUBSTITUTE(SUBSTITUTE(SUBSTITUTE(SUBSTITUTE(SUBSTITUTE(SUBSTITUTE(SUBSTITUTE(SUBSTITUTE(SUBSTITUTE(LOWER(TRIM(G564)),"á","a"),"é","e"),"í","i"),"ó","o"),"ú","u"),"ü","u"),"ñ","n"),"à","a"),"è","e"),"ì","i"),"ò","o"),"ù","u"),"")</f>
        <v/>
      </c>
      <c r="U564" s="25">
        <f>IF(AND(Q564=1,H564&lt;&gt;""),SUBSTITUTE(SUBSTITUTE(SUBSTITUTE(SUBSTITUTE(SUBSTITUTE(SUBSTITUTE(SUBSTITUTE(SUBSTITUTE(SUBSTITUTE(SUBSTITUTE(SUBSTITUTE(SUBSTITUTE(LOWER(TRIM(H564)),"á","a"),"é","e"),"í","i"),"ó","o"),"ú","u"),"ü","u"),"ñ","n"),"à","a"),"è","e"),"ì","i"),"ò","o"),"ù","u"),"")</f>
        <v/>
      </c>
      <c r="V564" s="25">
        <f>IF(AND(Q564=1,L564&lt;&gt;""),SUBSTITUTE(SUBSTITUTE(SUBSTITUTE(SUBSTITUTE(SUBSTITUTE(SUBSTITUTE(SUBSTITUTE(SUBSTITUTE(SUBSTITUTE(SUBSTITUTE(SUBSTITUTE(SUBSTITUTE(LOWER(TRIM(L564)),"á","a"),"é","e"),"í","i"),"ó","o"),"ú","u"),"ü","u"),"ñ","n"),"à","a"),"è","e"),"ì","i"),"ò","o"),"ù","u"),"")</f>
        <v/>
      </c>
      <c r="W564" s="25">
        <f>IF(AND(Q564=1,I564&lt;&gt;""),SUBSTITUTE(SUBSTITUTE(SUBSTITUTE(SUBSTITUTE(SUBSTITUTE(SUBSTITUTE(SUBSTITUTE(SUBSTITUTE(SUBSTITUTE(SUBSTITUTE(SUBSTITUTE(SUBSTITUTE(LOWER(TRIM(I564)),"á","a"),"é","e"),"í","i"),"ó","o"),"ú","u"),"ü","u"),"ñ","n"),"à","a"),"è","e"),"ì","i"),"ò","o"),"ù","u"),"")</f>
        <v/>
      </c>
      <c r="X564" s="25">
        <f>IF(U564="","",IF(OR(U564="si, en la proxima tarea",U564="si, con cambios"),1,0))</f>
        <v/>
      </c>
      <c r="Y564" s="25">
        <f>IF(AND(Q564=1,A564&lt;&gt;""),IF(IFERROR(COUNTIFS(A$3:A564,"="&amp;SUBSTITUTE(SUBSTITUTE(SUBSTITUTE(A564,"~","~~"),"*","~*"),"?","~?"),Q$3:Q564,1),0)=1,MAX(Y$2:Y563)+1,""),"")</f>
        <v/>
      </c>
      <c r="Z564" s="25">
        <f>IF(Y564="","",COUNTIFS($A$3:$A$1002,"="&amp;SUBSTITUTE(SUBSTITUTE(SUBSTITUTE(A564,"~","~~"),"*","~*"),"?","~?"),$Q$3:$Q$1002,1)*10000-Y564)</f>
        <v/>
      </c>
    </row>
    <row r="565">
      <c r="A565">
        <f>IF(A$2=0,"",IFERROR(TRIM(INDEX('Pegar docentes'!$A$1:$BZ$1001,564,A$2)&amp;""),""))</f>
        <v/>
      </c>
      <c r="B565">
        <f>IF(B$2=0,"",IFERROR(TRIM(INDEX('Pegar docentes'!$A$1:$BZ$1001,564,B$2)&amp;""),""))</f>
        <v/>
      </c>
      <c r="C565">
        <f>IF(C$2=0,"",IFERROR(TRIM(INDEX('Pegar docentes'!$A$1:$BZ$1001,564,C$2)&amp;""),""))</f>
        <v/>
      </c>
      <c r="D565">
        <f>IF(D$2=0,"",IFERROR(TRIM(INDEX('Pegar docentes'!$A$1:$BZ$1001,564,D$2)&amp;""),""))</f>
        <v/>
      </c>
      <c r="E565">
        <f>IF(E$2=0,"",IFERROR(TRIM(INDEX('Pegar docentes'!$A$1:$BZ$1001,564,E$2)&amp;""),""))</f>
        <v/>
      </c>
      <c r="F565">
        <f>IF(F$2=0,"",IFERROR(TRIM(INDEX('Pegar docentes'!$A$1:$BZ$1001,564,F$2)&amp;""),""))</f>
        <v/>
      </c>
      <c r="G565">
        <f>IF(G$2=0,"",IFERROR(TRIM(INDEX('Pegar docentes'!$A$1:$BZ$1001,564,G$2)&amp;""),""))</f>
        <v/>
      </c>
      <c r="H565">
        <f>IF(H$2=0,"",IFERROR(TRIM(INDEX('Pegar docentes'!$A$1:$BZ$1001,564,H$2)&amp;""),""))</f>
        <v/>
      </c>
      <c r="I565">
        <f>IF(I$2=0,"",IFERROR(TRIM(INDEX('Pegar docentes'!$A$1:$BZ$1001,564,I$2)&amp;""),""))</f>
        <v/>
      </c>
      <c r="J565">
        <f>IF(J$2=0,"",IFERROR(TRIM(INDEX('Pegar docentes'!$A$1:$BZ$1001,564,J$2)&amp;""),""))</f>
        <v/>
      </c>
      <c r="K565">
        <f>IF(K$2=0,"",IFERROR(TRIM(INDEX('Pegar docentes'!$A$1:$BZ$1001,564,K$2)&amp;""),""))</f>
        <v/>
      </c>
      <c r="L565">
        <f>IF(L$2=0,"",IFERROR(TRIM(INDEX('Pegar docentes'!$A$1:$BZ$1001,564,L$2)&amp;""),""))</f>
        <v/>
      </c>
      <c r="M565">
        <f>IF(M$2=0,"",IFERROR(TRIM(INDEX('Pegar docentes'!$A$1:$BZ$1001,564,M$2)&amp;""),""))</f>
        <v/>
      </c>
      <c r="N565">
        <f>IF(N$2=0,"",IFERROR(TRIM(INDEX('Pegar docentes'!$A$1:$BZ$1001,564,N$2)&amp;""),""))</f>
        <v/>
      </c>
      <c r="O565">
        <f>IF(O$2=0,"",IFERROR(TRIM(INDEX('Pegar docentes'!$A$1:$BZ$1001,564,O$2)&amp;""),""))</f>
        <v/>
      </c>
      <c r="P565">
        <f>IF(P$2=0,"",IFERROR(TRIM(INDEX('Pegar docentes'!$A$1:$BZ$1001,564,P$2)&amp;""),""))</f>
        <v/>
      </c>
      <c r="Q565" s="25">
        <f>IF(OR(D565&lt;&gt;"",H565&lt;&gt;""),1,"")</f>
        <v/>
      </c>
      <c r="R565" s="25">
        <f>IF(Q565=1,IF(ISNUMBER(FIND("#"&amp;MID(D565,1,1)&amp;"#","#0#1#2#3#4#5#6#7#8#9#")),IF(ISNUMBER(FIND("#"&amp;MID(D565,2,1)&amp;"#","#0#1#2#3#4#5#6#7#8#9#")),IF(AND(VALUE(LEFT(D565,2))&gt;=1,VALUE(LEFT(D565,2))&lt;=5),VALUE(LEFT(D565,2)),""),IF(AND(VALUE(LEFT(D565,1))&gt;=1,VALUE(LEFT(D565,1))&lt;=5),VALUE(LEFT(D565,1)),"")),""),"")</f>
        <v/>
      </c>
      <c r="S565" s="25">
        <f>IF(AND(Q565=1,E565&lt;&gt;""),SUBSTITUTE(SUBSTITUTE(SUBSTITUTE(SUBSTITUTE(SUBSTITUTE(SUBSTITUTE(SUBSTITUTE(SUBSTITUTE(SUBSTITUTE(SUBSTITUTE(SUBSTITUTE(SUBSTITUTE(LOWER(TRIM(E565)),"á","a"),"é","e"),"í","i"),"ó","o"),"ú","u"),"ü","u"),"ñ","n"),"à","a"),"è","e"),"ì","i"),"ò","o"),"ù","u"),"")</f>
        <v/>
      </c>
      <c r="T565" s="25">
        <f>IF(AND(Q565=1,G565&lt;&gt;""),SUBSTITUTE(SUBSTITUTE(SUBSTITUTE(SUBSTITUTE(SUBSTITUTE(SUBSTITUTE(SUBSTITUTE(SUBSTITUTE(SUBSTITUTE(SUBSTITUTE(SUBSTITUTE(SUBSTITUTE(LOWER(TRIM(G565)),"á","a"),"é","e"),"í","i"),"ó","o"),"ú","u"),"ü","u"),"ñ","n"),"à","a"),"è","e"),"ì","i"),"ò","o"),"ù","u"),"")</f>
        <v/>
      </c>
      <c r="U565" s="25">
        <f>IF(AND(Q565=1,H565&lt;&gt;""),SUBSTITUTE(SUBSTITUTE(SUBSTITUTE(SUBSTITUTE(SUBSTITUTE(SUBSTITUTE(SUBSTITUTE(SUBSTITUTE(SUBSTITUTE(SUBSTITUTE(SUBSTITUTE(SUBSTITUTE(LOWER(TRIM(H565)),"á","a"),"é","e"),"í","i"),"ó","o"),"ú","u"),"ü","u"),"ñ","n"),"à","a"),"è","e"),"ì","i"),"ò","o"),"ù","u"),"")</f>
        <v/>
      </c>
      <c r="V565" s="25">
        <f>IF(AND(Q565=1,L565&lt;&gt;""),SUBSTITUTE(SUBSTITUTE(SUBSTITUTE(SUBSTITUTE(SUBSTITUTE(SUBSTITUTE(SUBSTITUTE(SUBSTITUTE(SUBSTITUTE(SUBSTITUTE(SUBSTITUTE(SUBSTITUTE(LOWER(TRIM(L565)),"á","a"),"é","e"),"í","i"),"ó","o"),"ú","u"),"ü","u"),"ñ","n"),"à","a"),"è","e"),"ì","i"),"ò","o"),"ù","u"),"")</f>
        <v/>
      </c>
      <c r="W565" s="25">
        <f>IF(AND(Q565=1,I565&lt;&gt;""),SUBSTITUTE(SUBSTITUTE(SUBSTITUTE(SUBSTITUTE(SUBSTITUTE(SUBSTITUTE(SUBSTITUTE(SUBSTITUTE(SUBSTITUTE(SUBSTITUTE(SUBSTITUTE(SUBSTITUTE(LOWER(TRIM(I565)),"á","a"),"é","e"),"í","i"),"ó","o"),"ú","u"),"ü","u"),"ñ","n"),"à","a"),"è","e"),"ì","i"),"ò","o"),"ù","u"),"")</f>
        <v/>
      </c>
      <c r="X565" s="25">
        <f>IF(U565="","",IF(OR(U565="si, en la proxima tarea",U565="si, con cambios"),1,0))</f>
        <v/>
      </c>
      <c r="Y565" s="25">
        <f>IF(AND(Q565=1,A565&lt;&gt;""),IF(IFERROR(COUNTIFS(A$3:A565,"="&amp;SUBSTITUTE(SUBSTITUTE(SUBSTITUTE(A565,"~","~~"),"*","~*"),"?","~?"),Q$3:Q565,1),0)=1,MAX(Y$2:Y564)+1,""),"")</f>
        <v/>
      </c>
      <c r="Z565" s="25">
        <f>IF(Y565="","",COUNTIFS($A$3:$A$1002,"="&amp;SUBSTITUTE(SUBSTITUTE(SUBSTITUTE(A565,"~","~~"),"*","~*"),"?","~?"),$Q$3:$Q$1002,1)*10000-Y565)</f>
        <v/>
      </c>
    </row>
    <row r="566">
      <c r="A566">
        <f>IF(A$2=0,"",IFERROR(TRIM(INDEX('Pegar docentes'!$A$1:$BZ$1001,565,A$2)&amp;""),""))</f>
        <v/>
      </c>
      <c r="B566">
        <f>IF(B$2=0,"",IFERROR(TRIM(INDEX('Pegar docentes'!$A$1:$BZ$1001,565,B$2)&amp;""),""))</f>
        <v/>
      </c>
      <c r="C566">
        <f>IF(C$2=0,"",IFERROR(TRIM(INDEX('Pegar docentes'!$A$1:$BZ$1001,565,C$2)&amp;""),""))</f>
        <v/>
      </c>
      <c r="D566">
        <f>IF(D$2=0,"",IFERROR(TRIM(INDEX('Pegar docentes'!$A$1:$BZ$1001,565,D$2)&amp;""),""))</f>
        <v/>
      </c>
      <c r="E566">
        <f>IF(E$2=0,"",IFERROR(TRIM(INDEX('Pegar docentes'!$A$1:$BZ$1001,565,E$2)&amp;""),""))</f>
        <v/>
      </c>
      <c r="F566">
        <f>IF(F$2=0,"",IFERROR(TRIM(INDEX('Pegar docentes'!$A$1:$BZ$1001,565,F$2)&amp;""),""))</f>
        <v/>
      </c>
      <c r="G566">
        <f>IF(G$2=0,"",IFERROR(TRIM(INDEX('Pegar docentes'!$A$1:$BZ$1001,565,G$2)&amp;""),""))</f>
        <v/>
      </c>
      <c r="H566">
        <f>IF(H$2=0,"",IFERROR(TRIM(INDEX('Pegar docentes'!$A$1:$BZ$1001,565,H$2)&amp;""),""))</f>
        <v/>
      </c>
      <c r="I566">
        <f>IF(I$2=0,"",IFERROR(TRIM(INDEX('Pegar docentes'!$A$1:$BZ$1001,565,I$2)&amp;""),""))</f>
        <v/>
      </c>
      <c r="J566">
        <f>IF(J$2=0,"",IFERROR(TRIM(INDEX('Pegar docentes'!$A$1:$BZ$1001,565,J$2)&amp;""),""))</f>
        <v/>
      </c>
      <c r="K566">
        <f>IF(K$2=0,"",IFERROR(TRIM(INDEX('Pegar docentes'!$A$1:$BZ$1001,565,K$2)&amp;""),""))</f>
        <v/>
      </c>
      <c r="L566">
        <f>IF(L$2=0,"",IFERROR(TRIM(INDEX('Pegar docentes'!$A$1:$BZ$1001,565,L$2)&amp;""),""))</f>
        <v/>
      </c>
      <c r="M566">
        <f>IF(M$2=0,"",IFERROR(TRIM(INDEX('Pegar docentes'!$A$1:$BZ$1001,565,M$2)&amp;""),""))</f>
        <v/>
      </c>
      <c r="N566">
        <f>IF(N$2=0,"",IFERROR(TRIM(INDEX('Pegar docentes'!$A$1:$BZ$1001,565,N$2)&amp;""),""))</f>
        <v/>
      </c>
      <c r="O566">
        <f>IF(O$2=0,"",IFERROR(TRIM(INDEX('Pegar docentes'!$A$1:$BZ$1001,565,O$2)&amp;""),""))</f>
        <v/>
      </c>
      <c r="P566">
        <f>IF(P$2=0,"",IFERROR(TRIM(INDEX('Pegar docentes'!$A$1:$BZ$1001,565,P$2)&amp;""),""))</f>
        <v/>
      </c>
      <c r="Q566" s="25">
        <f>IF(OR(D566&lt;&gt;"",H566&lt;&gt;""),1,"")</f>
        <v/>
      </c>
      <c r="R566" s="25">
        <f>IF(Q566=1,IF(ISNUMBER(FIND("#"&amp;MID(D566,1,1)&amp;"#","#0#1#2#3#4#5#6#7#8#9#")),IF(ISNUMBER(FIND("#"&amp;MID(D566,2,1)&amp;"#","#0#1#2#3#4#5#6#7#8#9#")),IF(AND(VALUE(LEFT(D566,2))&gt;=1,VALUE(LEFT(D566,2))&lt;=5),VALUE(LEFT(D566,2)),""),IF(AND(VALUE(LEFT(D566,1))&gt;=1,VALUE(LEFT(D566,1))&lt;=5),VALUE(LEFT(D566,1)),"")),""),"")</f>
        <v/>
      </c>
      <c r="S566" s="25">
        <f>IF(AND(Q566=1,E566&lt;&gt;""),SUBSTITUTE(SUBSTITUTE(SUBSTITUTE(SUBSTITUTE(SUBSTITUTE(SUBSTITUTE(SUBSTITUTE(SUBSTITUTE(SUBSTITUTE(SUBSTITUTE(SUBSTITUTE(SUBSTITUTE(LOWER(TRIM(E566)),"á","a"),"é","e"),"í","i"),"ó","o"),"ú","u"),"ü","u"),"ñ","n"),"à","a"),"è","e"),"ì","i"),"ò","o"),"ù","u"),"")</f>
        <v/>
      </c>
      <c r="T566" s="25">
        <f>IF(AND(Q566=1,G566&lt;&gt;""),SUBSTITUTE(SUBSTITUTE(SUBSTITUTE(SUBSTITUTE(SUBSTITUTE(SUBSTITUTE(SUBSTITUTE(SUBSTITUTE(SUBSTITUTE(SUBSTITUTE(SUBSTITUTE(SUBSTITUTE(LOWER(TRIM(G566)),"á","a"),"é","e"),"í","i"),"ó","o"),"ú","u"),"ü","u"),"ñ","n"),"à","a"),"è","e"),"ì","i"),"ò","o"),"ù","u"),"")</f>
        <v/>
      </c>
      <c r="U566" s="25">
        <f>IF(AND(Q566=1,H566&lt;&gt;""),SUBSTITUTE(SUBSTITUTE(SUBSTITUTE(SUBSTITUTE(SUBSTITUTE(SUBSTITUTE(SUBSTITUTE(SUBSTITUTE(SUBSTITUTE(SUBSTITUTE(SUBSTITUTE(SUBSTITUTE(LOWER(TRIM(H566)),"á","a"),"é","e"),"í","i"),"ó","o"),"ú","u"),"ü","u"),"ñ","n"),"à","a"),"è","e"),"ì","i"),"ò","o"),"ù","u"),"")</f>
        <v/>
      </c>
      <c r="V566" s="25">
        <f>IF(AND(Q566=1,L566&lt;&gt;""),SUBSTITUTE(SUBSTITUTE(SUBSTITUTE(SUBSTITUTE(SUBSTITUTE(SUBSTITUTE(SUBSTITUTE(SUBSTITUTE(SUBSTITUTE(SUBSTITUTE(SUBSTITUTE(SUBSTITUTE(LOWER(TRIM(L566)),"á","a"),"é","e"),"í","i"),"ó","o"),"ú","u"),"ü","u"),"ñ","n"),"à","a"),"è","e"),"ì","i"),"ò","o"),"ù","u"),"")</f>
        <v/>
      </c>
      <c r="W566" s="25">
        <f>IF(AND(Q566=1,I566&lt;&gt;""),SUBSTITUTE(SUBSTITUTE(SUBSTITUTE(SUBSTITUTE(SUBSTITUTE(SUBSTITUTE(SUBSTITUTE(SUBSTITUTE(SUBSTITUTE(SUBSTITUTE(SUBSTITUTE(SUBSTITUTE(LOWER(TRIM(I566)),"á","a"),"é","e"),"í","i"),"ó","o"),"ú","u"),"ü","u"),"ñ","n"),"à","a"),"è","e"),"ì","i"),"ò","o"),"ù","u"),"")</f>
        <v/>
      </c>
      <c r="X566" s="25">
        <f>IF(U566="","",IF(OR(U566="si, en la proxima tarea",U566="si, con cambios"),1,0))</f>
        <v/>
      </c>
      <c r="Y566" s="25">
        <f>IF(AND(Q566=1,A566&lt;&gt;""),IF(IFERROR(COUNTIFS(A$3:A566,"="&amp;SUBSTITUTE(SUBSTITUTE(SUBSTITUTE(A566,"~","~~"),"*","~*"),"?","~?"),Q$3:Q566,1),0)=1,MAX(Y$2:Y565)+1,""),"")</f>
        <v/>
      </c>
      <c r="Z566" s="25">
        <f>IF(Y566="","",COUNTIFS($A$3:$A$1002,"="&amp;SUBSTITUTE(SUBSTITUTE(SUBSTITUTE(A566,"~","~~"),"*","~*"),"?","~?"),$Q$3:$Q$1002,1)*10000-Y566)</f>
        <v/>
      </c>
    </row>
    <row r="567">
      <c r="A567">
        <f>IF(A$2=0,"",IFERROR(TRIM(INDEX('Pegar docentes'!$A$1:$BZ$1001,566,A$2)&amp;""),""))</f>
        <v/>
      </c>
      <c r="B567">
        <f>IF(B$2=0,"",IFERROR(TRIM(INDEX('Pegar docentes'!$A$1:$BZ$1001,566,B$2)&amp;""),""))</f>
        <v/>
      </c>
      <c r="C567">
        <f>IF(C$2=0,"",IFERROR(TRIM(INDEX('Pegar docentes'!$A$1:$BZ$1001,566,C$2)&amp;""),""))</f>
        <v/>
      </c>
      <c r="D567">
        <f>IF(D$2=0,"",IFERROR(TRIM(INDEX('Pegar docentes'!$A$1:$BZ$1001,566,D$2)&amp;""),""))</f>
        <v/>
      </c>
      <c r="E567">
        <f>IF(E$2=0,"",IFERROR(TRIM(INDEX('Pegar docentes'!$A$1:$BZ$1001,566,E$2)&amp;""),""))</f>
        <v/>
      </c>
      <c r="F567">
        <f>IF(F$2=0,"",IFERROR(TRIM(INDEX('Pegar docentes'!$A$1:$BZ$1001,566,F$2)&amp;""),""))</f>
        <v/>
      </c>
      <c r="G567">
        <f>IF(G$2=0,"",IFERROR(TRIM(INDEX('Pegar docentes'!$A$1:$BZ$1001,566,G$2)&amp;""),""))</f>
        <v/>
      </c>
      <c r="H567">
        <f>IF(H$2=0,"",IFERROR(TRIM(INDEX('Pegar docentes'!$A$1:$BZ$1001,566,H$2)&amp;""),""))</f>
        <v/>
      </c>
      <c r="I567">
        <f>IF(I$2=0,"",IFERROR(TRIM(INDEX('Pegar docentes'!$A$1:$BZ$1001,566,I$2)&amp;""),""))</f>
        <v/>
      </c>
      <c r="J567">
        <f>IF(J$2=0,"",IFERROR(TRIM(INDEX('Pegar docentes'!$A$1:$BZ$1001,566,J$2)&amp;""),""))</f>
        <v/>
      </c>
      <c r="K567">
        <f>IF(K$2=0,"",IFERROR(TRIM(INDEX('Pegar docentes'!$A$1:$BZ$1001,566,K$2)&amp;""),""))</f>
        <v/>
      </c>
      <c r="L567">
        <f>IF(L$2=0,"",IFERROR(TRIM(INDEX('Pegar docentes'!$A$1:$BZ$1001,566,L$2)&amp;""),""))</f>
        <v/>
      </c>
      <c r="M567">
        <f>IF(M$2=0,"",IFERROR(TRIM(INDEX('Pegar docentes'!$A$1:$BZ$1001,566,M$2)&amp;""),""))</f>
        <v/>
      </c>
      <c r="N567">
        <f>IF(N$2=0,"",IFERROR(TRIM(INDEX('Pegar docentes'!$A$1:$BZ$1001,566,N$2)&amp;""),""))</f>
        <v/>
      </c>
      <c r="O567">
        <f>IF(O$2=0,"",IFERROR(TRIM(INDEX('Pegar docentes'!$A$1:$BZ$1001,566,O$2)&amp;""),""))</f>
        <v/>
      </c>
      <c r="P567">
        <f>IF(P$2=0,"",IFERROR(TRIM(INDEX('Pegar docentes'!$A$1:$BZ$1001,566,P$2)&amp;""),""))</f>
        <v/>
      </c>
      <c r="Q567" s="25">
        <f>IF(OR(D567&lt;&gt;"",H567&lt;&gt;""),1,"")</f>
        <v/>
      </c>
      <c r="R567" s="25">
        <f>IF(Q567=1,IF(ISNUMBER(FIND("#"&amp;MID(D567,1,1)&amp;"#","#0#1#2#3#4#5#6#7#8#9#")),IF(ISNUMBER(FIND("#"&amp;MID(D567,2,1)&amp;"#","#0#1#2#3#4#5#6#7#8#9#")),IF(AND(VALUE(LEFT(D567,2))&gt;=1,VALUE(LEFT(D567,2))&lt;=5),VALUE(LEFT(D567,2)),""),IF(AND(VALUE(LEFT(D567,1))&gt;=1,VALUE(LEFT(D567,1))&lt;=5),VALUE(LEFT(D567,1)),"")),""),"")</f>
        <v/>
      </c>
      <c r="S567" s="25">
        <f>IF(AND(Q567=1,E567&lt;&gt;""),SUBSTITUTE(SUBSTITUTE(SUBSTITUTE(SUBSTITUTE(SUBSTITUTE(SUBSTITUTE(SUBSTITUTE(SUBSTITUTE(SUBSTITUTE(SUBSTITUTE(SUBSTITUTE(SUBSTITUTE(LOWER(TRIM(E567)),"á","a"),"é","e"),"í","i"),"ó","o"),"ú","u"),"ü","u"),"ñ","n"),"à","a"),"è","e"),"ì","i"),"ò","o"),"ù","u"),"")</f>
        <v/>
      </c>
      <c r="T567" s="25">
        <f>IF(AND(Q567=1,G567&lt;&gt;""),SUBSTITUTE(SUBSTITUTE(SUBSTITUTE(SUBSTITUTE(SUBSTITUTE(SUBSTITUTE(SUBSTITUTE(SUBSTITUTE(SUBSTITUTE(SUBSTITUTE(SUBSTITUTE(SUBSTITUTE(LOWER(TRIM(G567)),"á","a"),"é","e"),"í","i"),"ó","o"),"ú","u"),"ü","u"),"ñ","n"),"à","a"),"è","e"),"ì","i"),"ò","o"),"ù","u"),"")</f>
        <v/>
      </c>
      <c r="U567" s="25">
        <f>IF(AND(Q567=1,H567&lt;&gt;""),SUBSTITUTE(SUBSTITUTE(SUBSTITUTE(SUBSTITUTE(SUBSTITUTE(SUBSTITUTE(SUBSTITUTE(SUBSTITUTE(SUBSTITUTE(SUBSTITUTE(SUBSTITUTE(SUBSTITUTE(LOWER(TRIM(H567)),"á","a"),"é","e"),"í","i"),"ó","o"),"ú","u"),"ü","u"),"ñ","n"),"à","a"),"è","e"),"ì","i"),"ò","o"),"ù","u"),"")</f>
        <v/>
      </c>
      <c r="V567" s="25">
        <f>IF(AND(Q567=1,L567&lt;&gt;""),SUBSTITUTE(SUBSTITUTE(SUBSTITUTE(SUBSTITUTE(SUBSTITUTE(SUBSTITUTE(SUBSTITUTE(SUBSTITUTE(SUBSTITUTE(SUBSTITUTE(SUBSTITUTE(SUBSTITUTE(LOWER(TRIM(L567)),"á","a"),"é","e"),"í","i"),"ó","o"),"ú","u"),"ü","u"),"ñ","n"),"à","a"),"è","e"),"ì","i"),"ò","o"),"ù","u"),"")</f>
        <v/>
      </c>
      <c r="W567" s="25">
        <f>IF(AND(Q567=1,I567&lt;&gt;""),SUBSTITUTE(SUBSTITUTE(SUBSTITUTE(SUBSTITUTE(SUBSTITUTE(SUBSTITUTE(SUBSTITUTE(SUBSTITUTE(SUBSTITUTE(SUBSTITUTE(SUBSTITUTE(SUBSTITUTE(LOWER(TRIM(I567)),"á","a"),"é","e"),"í","i"),"ó","o"),"ú","u"),"ü","u"),"ñ","n"),"à","a"),"è","e"),"ì","i"),"ò","o"),"ù","u"),"")</f>
        <v/>
      </c>
      <c r="X567" s="25">
        <f>IF(U567="","",IF(OR(U567="si, en la proxima tarea",U567="si, con cambios"),1,0))</f>
        <v/>
      </c>
      <c r="Y567" s="25">
        <f>IF(AND(Q567=1,A567&lt;&gt;""),IF(IFERROR(COUNTIFS(A$3:A567,"="&amp;SUBSTITUTE(SUBSTITUTE(SUBSTITUTE(A567,"~","~~"),"*","~*"),"?","~?"),Q$3:Q567,1),0)=1,MAX(Y$2:Y566)+1,""),"")</f>
        <v/>
      </c>
      <c r="Z567" s="25">
        <f>IF(Y567="","",COUNTIFS($A$3:$A$1002,"="&amp;SUBSTITUTE(SUBSTITUTE(SUBSTITUTE(A567,"~","~~"),"*","~*"),"?","~?"),$Q$3:$Q$1002,1)*10000-Y567)</f>
        <v/>
      </c>
    </row>
    <row r="568">
      <c r="A568">
        <f>IF(A$2=0,"",IFERROR(TRIM(INDEX('Pegar docentes'!$A$1:$BZ$1001,567,A$2)&amp;""),""))</f>
        <v/>
      </c>
      <c r="B568">
        <f>IF(B$2=0,"",IFERROR(TRIM(INDEX('Pegar docentes'!$A$1:$BZ$1001,567,B$2)&amp;""),""))</f>
        <v/>
      </c>
      <c r="C568">
        <f>IF(C$2=0,"",IFERROR(TRIM(INDEX('Pegar docentes'!$A$1:$BZ$1001,567,C$2)&amp;""),""))</f>
        <v/>
      </c>
      <c r="D568">
        <f>IF(D$2=0,"",IFERROR(TRIM(INDEX('Pegar docentes'!$A$1:$BZ$1001,567,D$2)&amp;""),""))</f>
        <v/>
      </c>
      <c r="E568">
        <f>IF(E$2=0,"",IFERROR(TRIM(INDEX('Pegar docentes'!$A$1:$BZ$1001,567,E$2)&amp;""),""))</f>
        <v/>
      </c>
      <c r="F568">
        <f>IF(F$2=0,"",IFERROR(TRIM(INDEX('Pegar docentes'!$A$1:$BZ$1001,567,F$2)&amp;""),""))</f>
        <v/>
      </c>
      <c r="G568">
        <f>IF(G$2=0,"",IFERROR(TRIM(INDEX('Pegar docentes'!$A$1:$BZ$1001,567,G$2)&amp;""),""))</f>
        <v/>
      </c>
      <c r="H568">
        <f>IF(H$2=0,"",IFERROR(TRIM(INDEX('Pegar docentes'!$A$1:$BZ$1001,567,H$2)&amp;""),""))</f>
        <v/>
      </c>
      <c r="I568">
        <f>IF(I$2=0,"",IFERROR(TRIM(INDEX('Pegar docentes'!$A$1:$BZ$1001,567,I$2)&amp;""),""))</f>
        <v/>
      </c>
      <c r="J568">
        <f>IF(J$2=0,"",IFERROR(TRIM(INDEX('Pegar docentes'!$A$1:$BZ$1001,567,J$2)&amp;""),""))</f>
        <v/>
      </c>
      <c r="K568">
        <f>IF(K$2=0,"",IFERROR(TRIM(INDEX('Pegar docentes'!$A$1:$BZ$1001,567,K$2)&amp;""),""))</f>
        <v/>
      </c>
      <c r="L568">
        <f>IF(L$2=0,"",IFERROR(TRIM(INDEX('Pegar docentes'!$A$1:$BZ$1001,567,L$2)&amp;""),""))</f>
        <v/>
      </c>
      <c r="M568">
        <f>IF(M$2=0,"",IFERROR(TRIM(INDEX('Pegar docentes'!$A$1:$BZ$1001,567,M$2)&amp;""),""))</f>
        <v/>
      </c>
      <c r="N568">
        <f>IF(N$2=0,"",IFERROR(TRIM(INDEX('Pegar docentes'!$A$1:$BZ$1001,567,N$2)&amp;""),""))</f>
        <v/>
      </c>
      <c r="O568">
        <f>IF(O$2=0,"",IFERROR(TRIM(INDEX('Pegar docentes'!$A$1:$BZ$1001,567,O$2)&amp;""),""))</f>
        <v/>
      </c>
      <c r="P568">
        <f>IF(P$2=0,"",IFERROR(TRIM(INDEX('Pegar docentes'!$A$1:$BZ$1001,567,P$2)&amp;""),""))</f>
        <v/>
      </c>
      <c r="Q568" s="25">
        <f>IF(OR(D568&lt;&gt;"",H568&lt;&gt;""),1,"")</f>
        <v/>
      </c>
      <c r="R568" s="25">
        <f>IF(Q568=1,IF(ISNUMBER(FIND("#"&amp;MID(D568,1,1)&amp;"#","#0#1#2#3#4#5#6#7#8#9#")),IF(ISNUMBER(FIND("#"&amp;MID(D568,2,1)&amp;"#","#0#1#2#3#4#5#6#7#8#9#")),IF(AND(VALUE(LEFT(D568,2))&gt;=1,VALUE(LEFT(D568,2))&lt;=5),VALUE(LEFT(D568,2)),""),IF(AND(VALUE(LEFT(D568,1))&gt;=1,VALUE(LEFT(D568,1))&lt;=5),VALUE(LEFT(D568,1)),"")),""),"")</f>
        <v/>
      </c>
      <c r="S568" s="25">
        <f>IF(AND(Q568=1,E568&lt;&gt;""),SUBSTITUTE(SUBSTITUTE(SUBSTITUTE(SUBSTITUTE(SUBSTITUTE(SUBSTITUTE(SUBSTITUTE(SUBSTITUTE(SUBSTITUTE(SUBSTITUTE(SUBSTITUTE(SUBSTITUTE(LOWER(TRIM(E568)),"á","a"),"é","e"),"í","i"),"ó","o"),"ú","u"),"ü","u"),"ñ","n"),"à","a"),"è","e"),"ì","i"),"ò","o"),"ù","u"),"")</f>
        <v/>
      </c>
      <c r="T568" s="25">
        <f>IF(AND(Q568=1,G568&lt;&gt;""),SUBSTITUTE(SUBSTITUTE(SUBSTITUTE(SUBSTITUTE(SUBSTITUTE(SUBSTITUTE(SUBSTITUTE(SUBSTITUTE(SUBSTITUTE(SUBSTITUTE(SUBSTITUTE(SUBSTITUTE(LOWER(TRIM(G568)),"á","a"),"é","e"),"í","i"),"ó","o"),"ú","u"),"ü","u"),"ñ","n"),"à","a"),"è","e"),"ì","i"),"ò","o"),"ù","u"),"")</f>
        <v/>
      </c>
      <c r="U568" s="25">
        <f>IF(AND(Q568=1,H568&lt;&gt;""),SUBSTITUTE(SUBSTITUTE(SUBSTITUTE(SUBSTITUTE(SUBSTITUTE(SUBSTITUTE(SUBSTITUTE(SUBSTITUTE(SUBSTITUTE(SUBSTITUTE(SUBSTITUTE(SUBSTITUTE(LOWER(TRIM(H568)),"á","a"),"é","e"),"í","i"),"ó","o"),"ú","u"),"ü","u"),"ñ","n"),"à","a"),"è","e"),"ì","i"),"ò","o"),"ù","u"),"")</f>
        <v/>
      </c>
      <c r="V568" s="25">
        <f>IF(AND(Q568=1,L568&lt;&gt;""),SUBSTITUTE(SUBSTITUTE(SUBSTITUTE(SUBSTITUTE(SUBSTITUTE(SUBSTITUTE(SUBSTITUTE(SUBSTITUTE(SUBSTITUTE(SUBSTITUTE(SUBSTITUTE(SUBSTITUTE(LOWER(TRIM(L568)),"á","a"),"é","e"),"í","i"),"ó","o"),"ú","u"),"ü","u"),"ñ","n"),"à","a"),"è","e"),"ì","i"),"ò","o"),"ù","u"),"")</f>
        <v/>
      </c>
      <c r="W568" s="25">
        <f>IF(AND(Q568=1,I568&lt;&gt;""),SUBSTITUTE(SUBSTITUTE(SUBSTITUTE(SUBSTITUTE(SUBSTITUTE(SUBSTITUTE(SUBSTITUTE(SUBSTITUTE(SUBSTITUTE(SUBSTITUTE(SUBSTITUTE(SUBSTITUTE(LOWER(TRIM(I568)),"á","a"),"é","e"),"í","i"),"ó","o"),"ú","u"),"ü","u"),"ñ","n"),"à","a"),"è","e"),"ì","i"),"ò","o"),"ù","u"),"")</f>
        <v/>
      </c>
      <c r="X568" s="25">
        <f>IF(U568="","",IF(OR(U568="si, en la proxima tarea",U568="si, con cambios"),1,0))</f>
        <v/>
      </c>
      <c r="Y568" s="25">
        <f>IF(AND(Q568=1,A568&lt;&gt;""),IF(IFERROR(COUNTIFS(A$3:A568,"="&amp;SUBSTITUTE(SUBSTITUTE(SUBSTITUTE(A568,"~","~~"),"*","~*"),"?","~?"),Q$3:Q568,1),0)=1,MAX(Y$2:Y567)+1,""),"")</f>
        <v/>
      </c>
      <c r="Z568" s="25">
        <f>IF(Y568="","",COUNTIFS($A$3:$A$1002,"="&amp;SUBSTITUTE(SUBSTITUTE(SUBSTITUTE(A568,"~","~~"),"*","~*"),"?","~?"),$Q$3:$Q$1002,1)*10000-Y568)</f>
        <v/>
      </c>
    </row>
    <row r="569">
      <c r="A569">
        <f>IF(A$2=0,"",IFERROR(TRIM(INDEX('Pegar docentes'!$A$1:$BZ$1001,568,A$2)&amp;""),""))</f>
        <v/>
      </c>
      <c r="B569">
        <f>IF(B$2=0,"",IFERROR(TRIM(INDEX('Pegar docentes'!$A$1:$BZ$1001,568,B$2)&amp;""),""))</f>
        <v/>
      </c>
      <c r="C569">
        <f>IF(C$2=0,"",IFERROR(TRIM(INDEX('Pegar docentes'!$A$1:$BZ$1001,568,C$2)&amp;""),""))</f>
        <v/>
      </c>
      <c r="D569">
        <f>IF(D$2=0,"",IFERROR(TRIM(INDEX('Pegar docentes'!$A$1:$BZ$1001,568,D$2)&amp;""),""))</f>
        <v/>
      </c>
      <c r="E569">
        <f>IF(E$2=0,"",IFERROR(TRIM(INDEX('Pegar docentes'!$A$1:$BZ$1001,568,E$2)&amp;""),""))</f>
        <v/>
      </c>
      <c r="F569">
        <f>IF(F$2=0,"",IFERROR(TRIM(INDEX('Pegar docentes'!$A$1:$BZ$1001,568,F$2)&amp;""),""))</f>
        <v/>
      </c>
      <c r="G569">
        <f>IF(G$2=0,"",IFERROR(TRIM(INDEX('Pegar docentes'!$A$1:$BZ$1001,568,G$2)&amp;""),""))</f>
        <v/>
      </c>
      <c r="H569">
        <f>IF(H$2=0,"",IFERROR(TRIM(INDEX('Pegar docentes'!$A$1:$BZ$1001,568,H$2)&amp;""),""))</f>
        <v/>
      </c>
      <c r="I569">
        <f>IF(I$2=0,"",IFERROR(TRIM(INDEX('Pegar docentes'!$A$1:$BZ$1001,568,I$2)&amp;""),""))</f>
        <v/>
      </c>
      <c r="J569">
        <f>IF(J$2=0,"",IFERROR(TRIM(INDEX('Pegar docentes'!$A$1:$BZ$1001,568,J$2)&amp;""),""))</f>
        <v/>
      </c>
      <c r="K569">
        <f>IF(K$2=0,"",IFERROR(TRIM(INDEX('Pegar docentes'!$A$1:$BZ$1001,568,K$2)&amp;""),""))</f>
        <v/>
      </c>
      <c r="L569">
        <f>IF(L$2=0,"",IFERROR(TRIM(INDEX('Pegar docentes'!$A$1:$BZ$1001,568,L$2)&amp;""),""))</f>
        <v/>
      </c>
      <c r="M569">
        <f>IF(M$2=0,"",IFERROR(TRIM(INDEX('Pegar docentes'!$A$1:$BZ$1001,568,M$2)&amp;""),""))</f>
        <v/>
      </c>
      <c r="N569">
        <f>IF(N$2=0,"",IFERROR(TRIM(INDEX('Pegar docentes'!$A$1:$BZ$1001,568,N$2)&amp;""),""))</f>
        <v/>
      </c>
      <c r="O569">
        <f>IF(O$2=0,"",IFERROR(TRIM(INDEX('Pegar docentes'!$A$1:$BZ$1001,568,O$2)&amp;""),""))</f>
        <v/>
      </c>
      <c r="P569">
        <f>IF(P$2=0,"",IFERROR(TRIM(INDEX('Pegar docentes'!$A$1:$BZ$1001,568,P$2)&amp;""),""))</f>
        <v/>
      </c>
      <c r="Q569" s="25">
        <f>IF(OR(D569&lt;&gt;"",H569&lt;&gt;""),1,"")</f>
        <v/>
      </c>
      <c r="R569" s="25">
        <f>IF(Q569=1,IF(ISNUMBER(FIND("#"&amp;MID(D569,1,1)&amp;"#","#0#1#2#3#4#5#6#7#8#9#")),IF(ISNUMBER(FIND("#"&amp;MID(D569,2,1)&amp;"#","#0#1#2#3#4#5#6#7#8#9#")),IF(AND(VALUE(LEFT(D569,2))&gt;=1,VALUE(LEFT(D569,2))&lt;=5),VALUE(LEFT(D569,2)),""),IF(AND(VALUE(LEFT(D569,1))&gt;=1,VALUE(LEFT(D569,1))&lt;=5),VALUE(LEFT(D569,1)),"")),""),"")</f>
        <v/>
      </c>
      <c r="S569" s="25">
        <f>IF(AND(Q569=1,E569&lt;&gt;""),SUBSTITUTE(SUBSTITUTE(SUBSTITUTE(SUBSTITUTE(SUBSTITUTE(SUBSTITUTE(SUBSTITUTE(SUBSTITUTE(SUBSTITUTE(SUBSTITUTE(SUBSTITUTE(SUBSTITUTE(LOWER(TRIM(E569)),"á","a"),"é","e"),"í","i"),"ó","o"),"ú","u"),"ü","u"),"ñ","n"),"à","a"),"è","e"),"ì","i"),"ò","o"),"ù","u"),"")</f>
        <v/>
      </c>
      <c r="T569" s="25">
        <f>IF(AND(Q569=1,G569&lt;&gt;""),SUBSTITUTE(SUBSTITUTE(SUBSTITUTE(SUBSTITUTE(SUBSTITUTE(SUBSTITUTE(SUBSTITUTE(SUBSTITUTE(SUBSTITUTE(SUBSTITUTE(SUBSTITUTE(SUBSTITUTE(LOWER(TRIM(G569)),"á","a"),"é","e"),"í","i"),"ó","o"),"ú","u"),"ü","u"),"ñ","n"),"à","a"),"è","e"),"ì","i"),"ò","o"),"ù","u"),"")</f>
        <v/>
      </c>
      <c r="U569" s="25">
        <f>IF(AND(Q569=1,H569&lt;&gt;""),SUBSTITUTE(SUBSTITUTE(SUBSTITUTE(SUBSTITUTE(SUBSTITUTE(SUBSTITUTE(SUBSTITUTE(SUBSTITUTE(SUBSTITUTE(SUBSTITUTE(SUBSTITUTE(SUBSTITUTE(LOWER(TRIM(H569)),"á","a"),"é","e"),"í","i"),"ó","o"),"ú","u"),"ü","u"),"ñ","n"),"à","a"),"è","e"),"ì","i"),"ò","o"),"ù","u"),"")</f>
        <v/>
      </c>
      <c r="V569" s="25">
        <f>IF(AND(Q569=1,L569&lt;&gt;""),SUBSTITUTE(SUBSTITUTE(SUBSTITUTE(SUBSTITUTE(SUBSTITUTE(SUBSTITUTE(SUBSTITUTE(SUBSTITUTE(SUBSTITUTE(SUBSTITUTE(SUBSTITUTE(SUBSTITUTE(LOWER(TRIM(L569)),"á","a"),"é","e"),"í","i"),"ó","o"),"ú","u"),"ü","u"),"ñ","n"),"à","a"),"è","e"),"ì","i"),"ò","o"),"ù","u"),"")</f>
        <v/>
      </c>
      <c r="W569" s="25">
        <f>IF(AND(Q569=1,I569&lt;&gt;""),SUBSTITUTE(SUBSTITUTE(SUBSTITUTE(SUBSTITUTE(SUBSTITUTE(SUBSTITUTE(SUBSTITUTE(SUBSTITUTE(SUBSTITUTE(SUBSTITUTE(SUBSTITUTE(SUBSTITUTE(LOWER(TRIM(I569)),"á","a"),"é","e"),"í","i"),"ó","o"),"ú","u"),"ü","u"),"ñ","n"),"à","a"),"è","e"),"ì","i"),"ò","o"),"ù","u"),"")</f>
        <v/>
      </c>
      <c r="X569" s="25">
        <f>IF(U569="","",IF(OR(U569="si, en la proxima tarea",U569="si, con cambios"),1,0))</f>
        <v/>
      </c>
      <c r="Y569" s="25">
        <f>IF(AND(Q569=1,A569&lt;&gt;""),IF(IFERROR(COUNTIFS(A$3:A569,"="&amp;SUBSTITUTE(SUBSTITUTE(SUBSTITUTE(A569,"~","~~"),"*","~*"),"?","~?"),Q$3:Q569,1),0)=1,MAX(Y$2:Y568)+1,""),"")</f>
        <v/>
      </c>
      <c r="Z569" s="25">
        <f>IF(Y569="","",COUNTIFS($A$3:$A$1002,"="&amp;SUBSTITUTE(SUBSTITUTE(SUBSTITUTE(A569,"~","~~"),"*","~*"),"?","~?"),$Q$3:$Q$1002,1)*10000-Y569)</f>
        <v/>
      </c>
    </row>
    <row r="570">
      <c r="A570">
        <f>IF(A$2=0,"",IFERROR(TRIM(INDEX('Pegar docentes'!$A$1:$BZ$1001,569,A$2)&amp;""),""))</f>
        <v/>
      </c>
      <c r="B570">
        <f>IF(B$2=0,"",IFERROR(TRIM(INDEX('Pegar docentes'!$A$1:$BZ$1001,569,B$2)&amp;""),""))</f>
        <v/>
      </c>
      <c r="C570">
        <f>IF(C$2=0,"",IFERROR(TRIM(INDEX('Pegar docentes'!$A$1:$BZ$1001,569,C$2)&amp;""),""))</f>
        <v/>
      </c>
      <c r="D570">
        <f>IF(D$2=0,"",IFERROR(TRIM(INDEX('Pegar docentes'!$A$1:$BZ$1001,569,D$2)&amp;""),""))</f>
        <v/>
      </c>
      <c r="E570">
        <f>IF(E$2=0,"",IFERROR(TRIM(INDEX('Pegar docentes'!$A$1:$BZ$1001,569,E$2)&amp;""),""))</f>
        <v/>
      </c>
      <c r="F570">
        <f>IF(F$2=0,"",IFERROR(TRIM(INDEX('Pegar docentes'!$A$1:$BZ$1001,569,F$2)&amp;""),""))</f>
        <v/>
      </c>
      <c r="G570">
        <f>IF(G$2=0,"",IFERROR(TRIM(INDEX('Pegar docentes'!$A$1:$BZ$1001,569,G$2)&amp;""),""))</f>
        <v/>
      </c>
      <c r="H570">
        <f>IF(H$2=0,"",IFERROR(TRIM(INDEX('Pegar docentes'!$A$1:$BZ$1001,569,H$2)&amp;""),""))</f>
        <v/>
      </c>
      <c r="I570">
        <f>IF(I$2=0,"",IFERROR(TRIM(INDEX('Pegar docentes'!$A$1:$BZ$1001,569,I$2)&amp;""),""))</f>
        <v/>
      </c>
      <c r="J570">
        <f>IF(J$2=0,"",IFERROR(TRIM(INDEX('Pegar docentes'!$A$1:$BZ$1001,569,J$2)&amp;""),""))</f>
        <v/>
      </c>
      <c r="K570">
        <f>IF(K$2=0,"",IFERROR(TRIM(INDEX('Pegar docentes'!$A$1:$BZ$1001,569,K$2)&amp;""),""))</f>
        <v/>
      </c>
      <c r="L570">
        <f>IF(L$2=0,"",IFERROR(TRIM(INDEX('Pegar docentes'!$A$1:$BZ$1001,569,L$2)&amp;""),""))</f>
        <v/>
      </c>
      <c r="M570">
        <f>IF(M$2=0,"",IFERROR(TRIM(INDEX('Pegar docentes'!$A$1:$BZ$1001,569,M$2)&amp;""),""))</f>
        <v/>
      </c>
      <c r="N570">
        <f>IF(N$2=0,"",IFERROR(TRIM(INDEX('Pegar docentes'!$A$1:$BZ$1001,569,N$2)&amp;""),""))</f>
        <v/>
      </c>
      <c r="O570">
        <f>IF(O$2=0,"",IFERROR(TRIM(INDEX('Pegar docentes'!$A$1:$BZ$1001,569,O$2)&amp;""),""))</f>
        <v/>
      </c>
      <c r="P570">
        <f>IF(P$2=0,"",IFERROR(TRIM(INDEX('Pegar docentes'!$A$1:$BZ$1001,569,P$2)&amp;""),""))</f>
        <v/>
      </c>
      <c r="Q570" s="25">
        <f>IF(OR(D570&lt;&gt;"",H570&lt;&gt;""),1,"")</f>
        <v/>
      </c>
      <c r="R570" s="25">
        <f>IF(Q570=1,IF(ISNUMBER(FIND("#"&amp;MID(D570,1,1)&amp;"#","#0#1#2#3#4#5#6#7#8#9#")),IF(ISNUMBER(FIND("#"&amp;MID(D570,2,1)&amp;"#","#0#1#2#3#4#5#6#7#8#9#")),IF(AND(VALUE(LEFT(D570,2))&gt;=1,VALUE(LEFT(D570,2))&lt;=5),VALUE(LEFT(D570,2)),""),IF(AND(VALUE(LEFT(D570,1))&gt;=1,VALUE(LEFT(D570,1))&lt;=5),VALUE(LEFT(D570,1)),"")),""),"")</f>
        <v/>
      </c>
      <c r="S570" s="25">
        <f>IF(AND(Q570=1,E570&lt;&gt;""),SUBSTITUTE(SUBSTITUTE(SUBSTITUTE(SUBSTITUTE(SUBSTITUTE(SUBSTITUTE(SUBSTITUTE(SUBSTITUTE(SUBSTITUTE(SUBSTITUTE(SUBSTITUTE(SUBSTITUTE(LOWER(TRIM(E570)),"á","a"),"é","e"),"í","i"),"ó","o"),"ú","u"),"ü","u"),"ñ","n"),"à","a"),"è","e"),"ì","i"),"ò","o"),"ù","u"),"")</f>
        <v/>
      </c>
      <c r="T570" s="25">
        <f>IF(AND(Q570=1,G570&lt;&gt;""),SUBSTITUTE(SUBSTITUTE(SUBSTITUTE(SUBSTITUTE(SUBSTITUTE(SUBSTITUTE(SUBSTITUTE(SUBSTITUTE(SUBSTITUTE(SUBSTITUTE(SUBSTITUTE(SUBSTITUTE(LOWER(TRIM(G570)),"á","a"),"é","e"),"í","i"),"ó","o"),"ú","u"),"ü","u"),"ñ","n"),"à","a"),"è","e"),"ì","i"),"ò","o"),"ù","u"),"")</f>
        <v/>
      </c>
      <c r="U570" s="25">
        <f>IF(AND(Q570=1,H570&lt;&gt;""),SUBSTITUTE(SUBSTITUTE(SUBSTITUTE(SUBSTITUTE(SUBSTITUTE(SUBSTITUTE(SUBSTITUTE(SUBSTITUTE(SUBSTITUTE(SUBSTITUTE(SUBSTITUTE(SUBSTITUTE(LOWER(TRIM(H570)),"á","a"),"é","e"),"í","i"),"ó","o"),"ú","u"),"ü","u"),"ñ","n"),"à","a"),"è","e"),"ì","i"),"ò","o"),"ù","u"),"")</f>
        <v/>
      </c>
      <c r="V570" s="25">
        <f>IF(AND(Q570=1,L570&lt;&gt;""),SUBSTITUTE(SUBSTITUTE(SUBSTITUTE(SUBSTITUTE(SUBSTITUTE(SUBSTITUTE(SUBSTITUTE(SUBSTITUTE(SUBSTITUTE(SUBSTITUTE(SUBSTITUTE(SUBSTITUTE(LOWER(TRIM(L570)),"á","a"),"é","e"),"í","i"),"ó","o"),"ú","u"),"ü","u"),"ñ","n"),"à","a"),"è","e"),"ì","i"),"ò","o"),"ù","u"),"")</f>
        <v/>
      </c>
      <c r="W570" s="25">
        <f>IF(AND(Q570=1,I570&lt;&gt;""),SUBSTITUTE(SUBSTITUTE(SUBSTITUTE(SUBSTITUTE(SUBSTITUTE(SUBSTITUTE(SUBSTITUTE(SUBSTITUTE(SUBSTITUTE(SUBSTITUTE(SUBSTITUTE(SUBSTITUTE(LOWER(TRIM(I570)),"á","a"),"é","e"),"í","i"),"ó","o"),"ú","u"),"ü","u"),"ñ","n"),"à","a"),"è","e"),"ì","i"),"ò","o"),"ù","u"),"")</f>
        <v/>
      </c>
      <c r="X570" s="25">
        <f>IF(U570="","",IF(OR(U570="si, en la proxima tarea",U570="si, con cambios"),1,0))</f>
        <v/>
      </c>
      <c r="Y570" s="25">
        <f>IF(AND(Q570=1,A570&lt;&gt;""),IF(IFERROR(COUNTIFS(A$3:A570,"="&amp;SUBSTITUTE(SUBSTITUTE(SUBSTITUTE(A570,"~","~~"),"*","~*"),"?","~?"),Q$3:Q570,1),0)=1,MAX(Y$2:Y569)+1,""),"")</f>
        <v/>
      </c>
      <c r="Z570" s="25">
        <f>IF(Y570="","",COUNTIFS($A$3:$A$1002,"="&amp;SUBSTITUTE(SUBSTITUTE(SUBSTITUTE(A570,"~","~~"),"*","~*"),"?","~?"),$Q$3:$Q$1002,1)*10000-Y570)</f>
        <v/>
      </c>
    </row>
    <row r="571">
      <c r="A571">
        <f>IF(A$2=0,"",IFERROR(TRIM(INDEX('Pegar docentes'!$A$1:$BZ$1001,570,A$2)&amp;""),""))</f>
        <v/>
      </c>
      <c r="B571">
        <f>IF(B$2=0,"",IFERROR(TRIM(INDEX('Pegar docentes'!$A$1:$BZ$1001,570,B$2)&amp;""),""))</f>
        <v/>
      </c>
      <c r="C571">
        <f>IF(C$2=0,"",IFERROR(TRIM(INDEX('Pegar docentes'!$A$1:$BZ$1001,570,C$2)&amp;""),""))</f>
        <v/>
      </c>
      <c r="D571">
        <f>IF(D$2=0,"",IFERROR(TRIM(INDEX('Pegar docentes'!$A$1:$BZ$1001,570,D$2)&amp;""),""))</f>
        <v/>
      </c>
      <c r="E571">
        <f>IF(E$2=0,"",IFERROR(TRIM(INDEX('Pegar docentes'!$A$1:$BZ$1001,570,E$2)&amp;""),""))</f>
        <v/>
      </c>
      <c r="F571">
        <f>IF(F$2=0,"",IFERROR(TRIM(INDEX('Pegar docentes'!$A$1:$BZ$1001,570,F$2)&amp;""),""))</f>
        <v/>
      </c>
      <c r="G571">
        <f>IF(G$2=0,"",IFERROR(TRIM(INDEX('Pegar docentes'!$A$1:$BZ$1001,570,G$2)&amp;""),""))</f>
        <v/>
      </c>
      <c r="H571">
        <f>IF(H$2=0,"",IFERROR(TRIM(INDEX('Pegar docentes'!$A$1:$BZ$1001,570,H$2)&amp;""),""))</f>
        <v/>
      </c>
      <c r="I571">
        <f>IF(I$2=0,"",IFERROR(TRIM(INDEX('Pegar docentes'!$A$1:$BZ$1001,570,I$2)&amp;""),""))</f>
        <v/>
      </c>
      <c r="J571">
        <f>IF(J$2=0,"",IFERROR(TRIM(INDEX('Pegar docentes'!$A$1:$BZ$1001,570,J$2)&amp;""),""))</f>
        <v/>
      </c>
      <c r="K571">
        <f>IF(K$2=0,"",IFERROR(TRIM(INDEX('Pegar docentes'!$A$1:$BZ$1001,570,K$2)&amp;""),""))</f>
        <v/>
      </c>
      <c r="L571">
        <f>IF(L$2=0,"",IFERROR(TRIM(INDEX('Pegar docentes'!$A$1:$BZ$1001,570,L$2)&amp;""),""))</f>
        <v/>
      </c>
      <c r="M571">
        <f>IF(M$2=0,"",IFERROR(TRIM(INDEX('Pegar docentes'!$A$1:$BZ$1001,570,M$2)&amp;""),""))</f>
        <v/>
      </c>
      <c r="N571">
        <f>IF(N$2=0,"",IFERROR(TRIM(INDEX('Pegar docentes'!$A$1:$BZ$1001,570,N$2)&amp;""),""))</f>
        <v/>
      </c>
      <c r="O571">
        <f>IF(O$2=0,"",IFERROR(TRIM(INDEX('Pegar docentes'!$A$1:$BZ$1001,570,O$2)&amp;""),""))</f>
        <v/>
      </c>
      <c r="P571">
        <f>IF(P$2=0,"",IFERROR(TRIM(INDEX('Pegar docentes'!$A$1:$BZ$1001,570,P$2)&amp;""),""))</f>
        <v/>
      </c>
      <c r="Q571" s="25">
        <f>IF(OR(D571&lt;&gt;"",H571&lt;&gt;""),1,"")</f>
        <v/>
      </c>
      <c r="R571" s="25">
        <f>IF(Q571=1,IF(ISNUMBER(FIND("#"&amp;MID(D571,1,1)&amp;"#","#0#1#2#3#4#5#6#7#8#9#")),IF(ISNUMBER(FIND("#"&amp;MID(D571,2,1)&amp;"#","#0#1#2#3#4#5#6#7#8#9#")),IF(AND(VALUE(LEFT(D571,2))&gt;=1,VALUE(LEFT(D571,2))&lt;=5),VALUE(LEFT(D571,2)),""),IF(AND(VALUE(LEFT(D571,1))&gt;=1,VALUE(LEFT(D571,1))&lt;=5),VALUE(LEFT(D571,1)),"")),""),"")</f>
        <v/>
      </c>
      <c r="S571" s="25">
        <f>IF(AND(Q571=1,E571&lt;&gt;""),SUBSTITUTE(SUBSTITUTE(SUBSTITUTE(SUBSTITUTE(SUBSTITUTE(SUBSTITUTE(SUBSTITUTE(SUBSTITUTE(SUBSTITUTE(SUBSTITUTE(SUBSTITUTE(SUBSTITUTE(LOWER(TRIM(E571)),"á","a"),"é","e"),"í","i"),"ó","o"),"ú","u"),"ü","u"),"ñ","n"),"à","a"),"è","e"),"ì","i"),"ò","o"),"ù","u"),"")</f>
        <v/>
      </c>
      <c r="T571" s="25">
        <f>IF(AND(Q571=1,G571&lt;&gt;""),SUBSTITUTE(SUBSTITUTE(SUBSTITUTE(SUBSTITUTE(SUBSTITUTE(SUBSTITUTE(SUBSTITUTE(SUBSTITUTE(SUBSTITUTE(SUBSTITUTE(SUBSTITUTE(SUBSTITUTE(LOWER(TRIM(G571)),"á","a"),"é","e"),"í","i"),"ó","o"),"ú","u"),"ü","u"),"ñ","n"),"à","a"),"è","e"),"ì","i"),"ò","o"),"ù","u"),"")</f>
        <v/>
      </c>
      <c r="U571" s="25">
        <f>IF(AND(Q571=1,H571&lt;&gt;""),SUBSTITUTE(SUBSTITUTE(SUBSTITUTE(SUBSTITUTE(SUBSTITUTE(SUBSTITUTE(SUBSTITUTE(SUBSTITUTE(SUBSTITUTE(SUBSTITUTE(SUBSTITUTE(SUBSTITUTE(LOWER(TRIM(H571)),"á","a"),"é","e"),"í","i"),"ó","o"),"ú","u"),"ü","u"),"ñ","n"),"à","a"),"è","e"),"ì","i"),"ò","o"),"ù","u"),"")</f>
        <v/>
      </c>
      <c r="V571" s="25">
        <f>IF(AND(Q571=1,L571&lt;&gt;""),SUBSTITUTE(SUBSTITUTE(SUBSTITUTE(SUBSTITUTE(SUBSTITUTE(SUBSTITUTE(SUBSTITUTE(SUBSTITUTE(SUBSTITUTE(SUBSTITUTE(SUBSTITUTE(SUBSTITUTE(LOWER(TRIM(L571)),"á","a"),"é","e"),"í","i"),"ó","o"),"ú","u"),"ü","u"),"ñ","n"),"à","a"),"è","e"),"ì","i"),"ò","o"),"ù","u"),"")</f>
        <v/>
      </c>
      <c r="W571" s="25">
        <f>IF(AND(Q571=1,I571&lt;&gt;""),SUBSTITUTE(SUBSTITUTE(SUBSTITUTE(SUBSTITUTE(SUBSTITUTE(SUBSTITUTE(SUBSTITUTE(SUBSTITUTE(SUBSTITUTE(SUBSTITUTE(SUBSTITUTE(SUBSTITUTE(LOWER(TRIM(I571)),"á","a"),"é","e"),"í","i"),"ó","o"),"ú","u"),"ü","u"),"ñ","n"),"à","a"),"è","e"),"ì","i"),"ò","o"),"ù","u"),"")</f>
        <v/>
      </c>
      <c r="X571" s="25">
        <f>IF(U571="","",IF(OR(U571="si, en la proxima tarea",U571="si, con cambios"),1,0))</f>
        <v/>
      </c>
      <c r="Y571" s="25">
        <f>IF(AND(Q571=1,A571&lt;&gt;""),IF(IFERROR(COUNTIFS(A$3:A571,"="&amp;SUBSTITUTE(SUBSTITUTE(SUBSTITUTE(A571,"~","~~"),"*","~*"),"?","~?"),Q$3:Q571,1),0)=1,MAX(Y$2:Y570)+1,""),"")</f>
        <v/>
      </c>
      <c r="Z571" s="25">
        <f>IF(Y571="","",COUNTIFS($A$3:$A$1002,"="&amp;SUBSTITUTE(SUBSTITUTE(SUBSTITUTE(A571,"~","~~"),"*","~*"),"?","~?"),$Q$3:$Q$1002,1)*10000-Y571)</f>
        <v/>
      </c>
    </row>
    <row r="572">
      <c r="A572">
        <f>IF(A$2=0,"",IFERROR(TRIM(INDEX('Pegar docentes'!$A$1:$BZ$1001,571,A$2)&amp;""),""))</f>
        <v/>
      </c>
      <c r="B572">
        <f>IF(B$2=0,"",IFERROR(TRIM(INDEX('Pegar docentes'!$A$1:$BZ$1001,571,B$2)&amp;""),""))</f>
        <v/>
      </c>
      <c r="C572">
        <f>IF(C$2=0,"",IFERROR(TRIM(INDEX('Pegar docentes'!$A$1:$BZ$1001,571,C$2)&amp;""),""))</f>
        <v/>
      </c>
      <c r="D572">
        <f>IF(D$2=0,"",IFERROR(TRIM(INDEX('Pegar docentes'!$A$1:$BZ$1001,571,D$2)&amp;""),""))</f>
        <v/>
      </c>
      <c r="E572">
        <f>IF(E$2=0,"",IFERROR(TRIM(INDEX('Pegar docentes'!$A$1:$BZ$1001,571,E$2)&amp;""),""))</f>
        <v/>
      </c>
      <c r="F572">
        <f>IF(F$2=0,"",IFERROR(TRIM(INDEX('Pegar docentes'!$A$1:$BZ$1001,571,F$2)&amp;""),""))</f>
        <v/>
      </c>
      <c r="G572">
        <f>IF(G$2=0,"",IFERROR(TRIM(INDEX('Pegar docentes'!$A$1:$BZ$1001,571,G$2)&amp;""),""))</f>
        <v/>
      </c>
      <c r="H572">
        <f>IF(H$2=0,"",IFERROR(TRIM(INDEX('Pegar docentes'!$A$1:$BZ$1001,571,H$2)&amp;""),""))</f>
        <v/>
      </c>
      <c r="I572">
        <f>IF(I$2=0,"",IFERROR(TRIM(INDEX('Pegar docentes'!$A$1:$BZ$1001,571,I$2)&amp;""),""))</f>
        <v/>
      </c>
      <c r="J572">
        <f>IF(J$2=0,"",IFERROR(TRIM(INDEX('Pegar docentes'!$A$1:$BZ$1001,571,J$2)&amp;""),""))</f>
        <v/>
      </c>
      <c r="K572">
        <f>IF(K$2=0,"",IFERROR(TRIM(INDEX('Pegar docentes'!$A$1:$BZ$1001,571,K$2)&amp;""),""))</f>
        <v/>
      </c>
      <c r="L572">
        <f>IF(L$2=0,"",IFERROR(TRIM(INDEX('Pegar docentes'!$A$1:$BZ$1001,571,L$2)&amp;""),""))</f>
        <v/>
      </c>
      <c r="M572">
        <f>IF(M$2=0,"",IFERROR(TRIM(INDEX('Pegar docentes'!$A$1:$BZ$1001,571,M$2)&amp;""),""))</f>
        <v/>
      </c>
      <c r="N572">
        <f>IF(N$2=0,"",IFERROR(TRIM(INDEX('Pegar docentes'!$A$1:$BZ$1001,571,N$2)&amp;""),""))</f>
        <v/>
      </c>
      <c r="O572">
        <f>IF(O$2=0,"",IFERROR(TRIM(INDEX('Pegar docentes'!$A$1:$BZ$1001,571,O$2)&amp;""),""))</f>
        <v/>
      </c>
      <c r="P572">
        <f>IF(P$2=0,"",IFERROR(TRIM(INDEX('Pegar docentes'!$A$1:$BZ$1001,571,P$2)&amp;""),""))</f>
        <v/>
      </c>
      <c r="Q572" s="25">
        <f>IF(OR(D572&lt;&gt;"",H572&lt;&gt;""),1,"")</f>
        <v/>
      </c>
      <c r="R572" s="25">
        <f>IF(Q572=1,IF(ISNUMBER(FIND("#"&amp;MID(D572,1,1)&amp;"#","#0#1#2#3#4#5#6#7#8#9#")),IF(ISNUMBER(FIND("#"&amp;MID(D572,2,1)&amp;"#","#0#1#2#3#4#5#6#7#8#9#")),IF(AND(VALUE(LEFT(D572,2))&gt;=1,VALUE(LEFT(D572,2))&lt;=5),VALUE(LEFT(D572,2)),""),IF(AND(VALUE(LEFT(D572,1))&gt;=1,VALUE(LEFT(D572,1))&lt;=5),VALUE(LEFT(D572,1)),"")),""),"")</f>
        <v/>
      </c>
      <c r="S572" s="25">
        <f>IF(AND(Q572=1,E572&lt;&gt;""),SUBSTITUTE(SUBSTITUTE(SUBSTITUTE(SUBSTITUTE(SUBSTITUTE(SUBSTITUTE(SUBSTITUTE(SUBSTITUTE(SUBSTITUTE(SUBSTITUTE(SUBSTITUTE(SUBSTITUTE(LOWER(TRIM(E572)),"á","a"),"é","e"),"í","i"),"ó","o"),"ú","u"),"ü","u"),"ñ","n"),"à","a"),"è","e"),"ì","i"),"ò","o"),"ù","u"),"")</f>
        <v/>
      </c>
      <c r="T572" s="25">
        <f>IF(AND(Q572=1,G572&lt;&gt;""),SUBSTITUTE(SUBSTITUTE(SUBSTITUTE(SUBSTITUTE(SUBSTITUTE(SUBSTITUTE(SUBSTITUTE(SUBSTITUTE(SUBSTITUTE(SUBSTITUTE(SUBSTITUTE(SUBSTITUTE(LOWER(TRIM(G572)),"á","a"),"é","e"),"í","i"),"ó","o"),"ú","u"),"ü","u"),"ñ","n"),"à","a"),"è","e"),"ì","i"),"ò","o"),"ù","u"),"")</f>
        <v/>
      </c>
      <c r="U572" s="25">
        <f>IF(AND(Q572=1,H572&lt;&gt;""),SUBSTITUTE(SUBSTITUTE(SUBSTITUTE(SUBSTITUTE(SUBSTITUTE(SUBSTITUTE(SUBSTITUTE(SUBSTITUTE(SUBSTITUTE(SUBSTITUTE(SUBSTITUTE(SUBSTITUTE(LOWER(TRIM(H572)),"á","a"),"é","e"),"í","i"),"ó","o"),"ú","u"),"ü","u"),"ñ","n"),"à","a"),"è","e"),"ì","i"),"ò","o"),"ù","u"),"")</f>
        <v/>
      </c>
      <c r="V572" s="25">
        <f>IF(AND(Q572=1,L572&lt;&gt;""),SUBSTITUTE(SUBSTITUTE(SUBSTITUTE(SUBSTITUTE(SUBSTITUTE(SUBSTITUTE(SUBSTITUTE(SUBSTITUTE(SUBSTITUTE(SUBSTITUTE(SUBSTITUTE(SUBSTITUTE(LOWER(TRIM(L572)),"á","a"),"é","e"),"í","i"),"ó","o"),"ú","u"),"ü","u"),"ñ","n"),"à","a"),"è","e"),"ì","i"),"ò","o"),"ù","u"),"")</f>
        <v/>
      </c>
      <c r="W572" s="25">
        <f>IF(AND(Q572=1,I572&lt;&gt;""),SUBSTITUTE(SUBSTITUTE(SUBSTITUTE(SUBSTITUTE(SUBSTITUTE(SUBSTITUTE(SUBSTITUTE(SUBSTITUTE(SUBSTITUTE(SUBSTITUTE(SUBSTITUTE(SUBSTITUTE(LOWER(TRIM(I572)),"á","a"),"é","e"),"í","i"),"ó","o"),"ú","u"),"ü","u"),"ñ","n"),"à","a"),"è","e"),"ì","i"),"ò","o"),"ù","u"),"")</f>
        <v/>
      </c>
      <c r="X572" s="25">
        <f>IF(U572="","",IF(OR(U572="si, en la proxima tarea",U572="si, con cambios"),1,0))</f>
        <v/>
      </c>
      <c r="Y572" s="25">
        <f>IF(AND(Q572=1,A572&lt;&gt;""),IF(IFERROR(COUNTIFS(A$3:A572,"="&amp;SUBSTITUTE(SUBSTITUTE(SUBSTITUTE(A572,"~","~~"),"*","~*"),"?","~?"),Q$3:Q572,1),0)=1,MAX(Y$2:Y571)+1,""),"")</f>
        <v/>
      </c>
      <c r="Z572" s="25">
        <f>IF(Y572="","",COUNTIFS($A$3:$A$1002,"="&amp;SUBSTITUTE(SUBSTITUTE(SUBSTITUTE(A572,"~","~~"),"*","~*"),"?","~?"),$Q$3:$Q$1002,1)*10000-Y572)</f>
        <v/>
      </c>
    </row>
    <row r="573">
      <c r="A573">
        <f>IF(A$2=0,"",IFERROR(TRIM(INDEX('Pegar docentes'!$A$1:$BZ$1001,572,A$2)&amp;""),""))</f>
        <v/>
      </c>
      <c r="B573">
        <f>IF(B$2=0,"",IFERROR(TRIM(INDEX('Pegar docentes'!$A$1:$BZ$1001,572,B$2)&amp;""),""))</f>
        <v/>
      </c>
      <c r="C573">
        <f>IF(C$2=0,"",IFERROR(TRIM(INDEX('Pegar docentes'!$A$1:$BZ$1001,572,C$2)&amp;""),""))</f>
        <v/>
      </c>
      <c r="D573">
        <f>IF(D$2=0,"",IFERROR(TRIM(INDEX('Pegar docentes'!$A$1:$BZ$1001,572,D$2)&amp;""),""))</f>
        <v/>
      </c>
      <c r="E573">
        <f>IF(E$2=0,"",IFERROR(TRIM(INDEX('Pegar docentes'!$A$1:$BZ$1001,572,E$2)&amp;""),""))</f>
        <v/>
      </c>
      <c r="F573">
        <f>IF(F$2=0,"",IFERROR(TRIM(INDEX('Pegar docentes'!$A$1:$BZ$1001,572,F$2)&amp;""),""))</f>
        <v/>
      </c>
      <c r="G573">
        <f>IF(G$2=0,"",IFERROR(TRIM(INDEX('Pegar docentes'!$A$1:$BZ$1001,572,G$2)&amp;""),""))</f>
        <v/>
      </c>
      <c r="H573">
        <f>IF(H$2=0,"",IFERROR(TRIM(INDEX('Pegar docentes'!$A$1:$BZ$1001,572,H$2)&amp;""),""))</f>
        <v/>
      </c>
      <c r="I573">
        <f>IF(I$2=0,"",IFERROR(TRIM(INDEX('Pegar docentes'!$A$1:$BZ$1001,572,I$2)&amp;""),""))</f>
        <v/>
      </c>
      <c r="J573">
        <f>IF(J$2=0,"",IFERROR(TRIM(INDEX('Pegar docentes'!$A$1:$BZ$1001,572,J$2)&amp;""),""))</f>
        <v/>
      </c>
      <c r="K573">
        <f>IF(K$2=0,"",IFERROR(TRIM(INDEX('Pegar docentes'!$A$1:$BZ$1001,572,K$2)&amp;""),""))</f>
        <v/>
      </c>
      <c r="L573">
        <f>IF(L$2=0,"",IFERROR(TRIM(INDEX('Pegar docentes'!$A$1:$BZ$1001,572,L$2)&amp;""),""))</f>
        <v/>
      </c>
      <c r="M573">
        <f>IF(M$2=0,"",IFERROR(TRIM(INDEX('Pegar docentes'!$A$1:$BZ$1001,572,M$2)&amp;""),""))</f>
        <v/>
      </c>
      <c r="N573">
        <f>IF(N$2=0,"",IFERROR(TRIM(INDEX('Pegar docentes'!$A$1:$BZ$1001,572,N$2)&amp;""),""))</f>
        <v/>
      </c>
      <c r="O573">
        <f>IF(O$2=0,"",IFERROR(TRIM(INDEX('Pegar docentes'!$A$1:$BZ$1001,572,O$2)&amp;""),""))</f>
        <v/>
      </c>
      <c r="P573">
        <f>IF(P$2=0,"",IFERROR(TRIM(INDEX('Pegar docentes'!$A$1:$BZ$1001,572,P$2)&amp;""),""))</f>
        <v/>
      </c>
      <c r="Q573" s="25">
        <f>IF(OR(D573&lt;&gt;"",H573&lt;&gt;""),1,"")</f>
        <v/>
      </c>
      <c r="R573" s="25">
        <f>IF(Q573=1,IF(ISNUMBER(FIND("#"&amp;MID(D573,1,1)&amp;"#","#0#1#2#3#4#5#6#7#8#9#")),IF(ISNUMBER(FIND("#"&amp;MID(D573,2,1)&amp;"#","#0#1#2#3#4#5#6#7#8#9#")),IF(AND(VALUE(LEFT(D573,2))&gt;=1,VALUE(LEFT(D573,2))&lt;=5),VALUE(LEFT(D573,2)),""),IF(AND(VALUE(LEFT(D573,1))&gt;=1,VALUE(LEFT(D573,1))&lt;=5),VALUE(LEFT(D573,1)),"")),""),"")</f>
        <v/>
      </c>
      <c r="S573" s="25">
        <f>IF(AND(Q573=1,E573&lt;&gt;""),SUBSTITUTE(SUBSTITUTE(SUBSTITUTE(SUBSTITUTE(SUBSTITUTE(SUBSTITUTE(SUBSTITUTE(SUBSTITUTE(SUBSTITUTE(SUBSTITUTE(SUBSTITUTE(SUBSTITUTE(LOWER(TRIM(E573)),"á","a"),"é","e"),"í","i"),"ó","o"),"ú","u"),"ü","u"),"ñ","n"),"à","a"),"è","e"),"ì","i"),"ò","o"),"ù","u"),"")</f>
        <v/>
      </c>
      <c r="T573" s="25">
        <f>IF(AND(Q573=1,G573&lt;&gt;""),SUBSTITUTE(SUBSTITUTE(SUBSTITUTE(SUBSTITUTE(SUBSTITUTE(SUBSTITUTE(SUBSTITUTE(SUBSTITUTE(SUBSTITUTE(SUBSTITUTE(SUBSTITUTE(SUBSTITUTE(LOWER(TRIM(G573)),"á","a"),"é","e"),"í","i"),"ó","o"),"ú","u"),"ü","u"),"ñ","n"),"à","a"),"è","e"),"ì","i"),"ò","o"),"ù","u"),"")</f>
        <v/>
      </c>
      <c r="U573" s="25">
        <f>IF(AND(Q573=1,H573&lt;&gt;""),SUBSTITUTE(SUBSTITUTE(SUBSTITUTE(SUBSTITUTE(SUBSTITUTE(SUBSTITUTE(SUBSTITUTE(SUBSTITUTE(SUBSTITUTE(SUBSTITUTE(SUBSTITUTE(SUBSTITUTE(LOWER(TRIM(H573)),"á","a"),"é","e"),"í","i"),"ó","o"),"ú","u"),"ü","u"),"ñ","n"),"à","a"),"è","e"),"ì","i"),"ò","o"),"ù","u"),"")</f>
        <v/>
      </c>
      <c r="V573" s="25">
        <f>IF(AND(Q573=1,L573&lt;&gt;""),SUBSTITUTE(SUBSTITUTE(SUBSTITUTE(SUBSTITUTE(SUBSTITUTE(SUBSTITUTE(SUBSTITUTE(SUBSTITUTE(SUBSTITUTE(SUBSTITUTE(SUBSTITUTE(SUBSTITUTE(LOWER(TRIM(L573)),"á","a"),"é","e"),"í","i"),"ó","o"),"ú","u"),"ü","u"),"ñ","n"),"à","a"),"è","e"),"ì","i"),"ò","o"),"ù","u"),"")</f>
        <v/>
      </c>
      <c r="W573" s="25">
        <f>IF(AND(Q573=1,I573&lt;&gt;""),SUBSTITUTE(SUBSTITUTE(SUBSTITUTE(SUBSTITUTE(SUBSTITUTE(SUBSTITUTE(SUBSTITUTE(SUBSTITUTE(SUBSTITUTE(SUBSTITUTE(SUBSTITUTE(SUBSTITUTE(LOWER(TRIM(I573)),"á","a"),"é","e"),"í","i"),"ó","o"),"ú","u"),"ü","u"),"ñ","n"),"à","a"),"è","e"),"ì","i"),"ò","o"),"ù","u"),"")</f>
        <v/>
      </c>
      <c r="X573" s="25">
        <f>IF(U573="","",IF(OR(U573="si, en la proxima tarea",U573="si, con cambios"),1,0))</f>
        <v/>
      </c>
      <c r="Y573" s="25">
        <f>IF(AND(Q573=1,A573&lt;&gt;""),IF(IFERROR(COUNTIFS(A$3:A573,"="&amp;SUBSTITUTE(SUBSTITUTE(SUBSTITUTE(A573,"~","~~"),"*","~*"),"?","~?"),Q$3:Q573,1),0)=1,MAX(Y$2:Y572)+1,""),"")</f>
        <v/>
      </c>
      <c r="Z573" s="25">
        <f>IF(Y573="","",COUNTIFS($A$3:$A$1002,"="&amp;SUBSTITUTE(SUBSTITUTE(SUBSTITUTE(A573,"~","~~"),"*","~*"),"?","~?"),$Q$3:$Q$1002,1)*10000-Y573)</f>
        <v/>
      </c>
    </row>
    <row r="574">
      <c r="A574">
        <f>IF(A$2=0,"",IFERROR(TRIM(INDEX('Pegar docentes'!$A$1:$BZ$1001,573,A$2)&amp;""),""))</f>
        <v/>
      </c>
      <c r="B574">
        <f>IF(B$2=0,"",IFERROR(TRIM(INDEX('Pegar docentes'!$A$1:$BZ$1001,573,B$2)&amp;""),""))</f>
        <v/>
      </c>
      <c r="C574">
        <f>IF(C$2=0,"",IFERROR(TRIM(INDEX('Pegar docentes'!$A$1:$BZ$1001,573,C$2)&amp;""),""))</f>
        <v/>
      </c>
      <c r="D574">
        <f>IF(D$2=0,"",IFERROR(TRIM(INDEX('Pegar docentes'!$A$1:$BZ$1001,573,D$2)&amp;""),""))</f>
        <v/>
      </c>
      <c r="E574">
        <f>IF(E$2=0,"",IFERROR(TRIM(INDEX('Pegar docentes'!$A$1:$BZ$1001,573,E$2)&amp;""),""))</f>
        <v/>
      </c>
      <c r="F574">
        <f>IF(F$2=0,"",IFERROR(TRIM(INDEX('Pegar docentes'!$A$1:$BZ$1001,573,F$2)&amp;""),""))</f>
        <v/>
      </c>
      <c r="G574">
        <f>IF(G$2=0,"",IFERROR(TRIM(INDEX('Pegar docentes'!$A$1:$BZ$1001,573,G$2)&amp;""),""))</f>
        <v/>
      </c>
      <c r="H574">
        <f>IF(H$2=0,"",IFERROR(TRIM(INDEX('Pegar docentes'!$A$1:$BZ$1001,573,H$2)&amp;""),""))</f>
        <v/>
      </c>
      <c r="I574">
        <f>IF(I$2=0,"",IFERROR(TRIM(INDEX('Pegar docentes'!$A$1:$BZ$1001,573,I$2)&amp;""),""))</f>
        <v/>
      </c>
      <c r="J574">
        <f>IF(J$2=0,"",IFERROR(TRIM(INDEX('Pegar docentes'!$A$1:$BZ$1001,573,J$2)&amp;""),""))</f>
        <v/>
      </c>
      <c r="K574">
        <f>IF(K$2=0,"",IFERROR(TRIM(INDEX('Pegar docentes'!$A$1:$BZ$1001,573,K$2)&amp;""),""))</f>
        <v/>
      </c>
      <c r="L574">
        <f>IF(L$2=0,"",IFERROR(TRIM(INDEX('Pegar docentes'!$A$1:$BZ$1001,573,L$2)&amp;""),""))</f>
        <v/>
      </c>
      <c r="M574">
        <f>IF(M$2=0,"",IFERROR(TRIM(INDEX('Pegar docentes'!$A$1:$BZ$1001,573,M$2)&amp;""),""))</f>
        <v/>
      </c>
      <c r="N574">
        <f>IF(N$2=0,"",IFERROR(TRIM(INDEX('Pegar docentes'!$A$1:$BZ$1001,573,N$2)&amp;""),""))</f>
        <v/>
      </c>
      <c r="O574">
        <f>IF(O$2=0,"",IFERROR(TRIM(INDEX('Pegar docentes'!$A$1:$BZ$1001,573,O$2)&amp;""),""))</f>
        <v/>
      </c>
      <c r="P574">
        <f>IF(P$2=0,"",IFERROR(TRIM(INDEX('Pegar docentes'!$A$1:$BZ$1001,573,P$2)&amp;""),""))</f>
        <v/>
      </c>
      <c r="Q574" s="25">
        <f>IF(OR(D574&lt;&gt;"",H574&lt;&gt;""),1,"")</f>
        <v/>
      </c>
      <c r="R574" s="25">
        <f>IF(Q574=1,IF(ISNUMBER(FIND("#"&amp;MID(D574,1,1)&amp;"#","#0#1#2#3#4#5#6#7#8#9#")),IF(ISNUMBER(FIND("#"&amp;MID(D574,2,1)&amp;"#","#0#1#2#3#4#5#6#7#8#9#")),IF(AND(VALUE(LEFT(D574,2))&gt;=1,VALUE(LEFT(D574,2))&lt;=5),VALUE(LEFT(D574,2)),""),IF(AND(VALUE(LEFT(D574,1))&gt;=1,VALUE(LEFT(D574,1))&lt;=5),VALUE(LEFT(D574,1)),"")),""),"")</f>
        <v/>
      </c>
      <c r="S574" s="25">
        <f>IF(AND(Q574=1,E574&lt;&gt;""),SUBSTITUTE(SUBSTITUTE(SUBSTITUTE(SUBSTITUTE(SUBSTITUTE(SUBSTITUTE(SUBSTITUTE(SUBSTITUTE(SUBSTITUTE(SUBSTITUTE(SUBSTITUTE(SUBSTITUTE(LOWER(TRIM(E574)),"á","a"),"é","e"),"í","i"),"ó","o"),"ú","u"),"ü","u"),"ñ","n"),"à","a"),"è","e"),"ì","i"),"ò","o"),"ù","u"),"")</f>
        <v/>
      </c>
      <c r="T574" s="25">
        <f>IF(AND(Q574=1,G574&lt;&gt;""),SUBSTITUTE(SUBSTITUTE(SUBSTITUTE(SUBSTITUTE(SUBSTITUTE(SUBSTITUTE(SUBSTITUTE(SUBSTITUTE(SUBSTITUTE(SUBSTITUTE(SUBSTITUTE(SUBSTITUTE(LOWER(TRIM(G574)),"á","a"),"é","e"),"í","i"),"ó","o"),"ú","u"),"ü","u"),"ñ","n"),"à","a"),"è","e"),"ì","i"),"ò","o"),"ù","u"),"")</f>
        <v/>
      </c>
      <c r="U574" s="25">
        <f>IF(AND(Q574=1,H574&lt;&gt;""),SUBSTITUTE(SUBSTITUTE(SUBSTITUTE(SUBSTITUTE(SUBSTITUTE(SUBSTITUTE(SUBSTITUTE(SUBSTITUTE(SUBSTITUTE(SUBSTITUTE(SUBSTITUTE(SUBSTITUTE(LOWER(TRIM(H574)),"á","a"),"é","e"),"í","i"),"ó","o"),"ú","u"),"ü","u"),"ñ","n"),"à","a"),"è","e"),"ì","i"),"ò","o"),"ù","u"),"")</f>
        <v/>
      </c>
      <c r="V574" s="25">
        <f>IF(AND(Q574=1,L574&lt;&gt;""),SUBSTITUTE(SUBSTITUTE(SUBSTITUTE(SUBSTITUTE(SUBSTITUTE(SUBSTITUTE(SUBSTITUTE(SUBSTITUTE(SUBSTITUTE(SUBSTITUTE(SUBSTITUTE(SUBSTITUTE(LOWER(TRIM(L574)),"á","a"),"é","e"),"í","i"),"ó","o"),"ú","u"),"ü","u"),"ñ","n"),"à","a"),"è","e"),"ì","i"),"ò","o"),"ù","u"),"")</f>
        <v/>
      </c>
      <c r="W574" s="25">
        <f>IF(AND(Q574=1,I574&lt;&gt;""),SUBSTITUTE(SUBSTITUTE(SUBSTITUTE(SUBSTITUTE(SUBSTITUTE(SUBSTITUTE(SUBSTITUTE(SUBSTITUTE(SUBSTITUTE(SUBSTITUTE(SUBSTITUTE(SUBSTITUTE(LOWER(TRIM(I574)),"á","a"),"é","e"),"í","i"),"ó","o"),"ú","u"),"ü","u"),"ñ","n"),"à","a"),"è","e"),"ì","i"),"ò","o"),"ù","u"),"")</f>
        <v/>
      </c>
      <c r="X574" s="25">
        <f>IF(U574="","",IF(OR(U574="si, en la proxima tarea",U574="si, con cambios"),1,0))</f>
        <v/>
      </c>
      <c r="Y574" s="25">
        <f>IF(AND(Q574=1,A574&lt;&gt;""),IF(IFERROR(COUNTIFS(A$3:A574,"="&amp;SUBSTITUTE(SUBSTITUTE(SUBSTITUTE(A574,"~","~~"),"*","~*"),"?","~?"),Q$3:Q574,1),0)=1,MAX(Y$2:Y573)+1,""),"")</f>
        <v/>
      </c>
      <c r="Z574" s="25">
        <f>IF(Y574="","",COUNTIFS($A$3:$A$1002,"="&amp;SUBSTITUTE(SUBSTITUTE(SUBSTITUTE(A574,"~","~~"),"*","~*"),"?","~?"),$Q$3:$Q$1002,1)*10000-Y574)</f>
        <v/>
      </c>
    </row>
    <row r="575">
      <c r="A575">
        <f>IF(A$2=0,"",IFERROR(TRIM(INDEX('Pegar docentes'!$A$1:$BZ$1001,574,A$2)&amp;""),""))</f>
        <v/>
      </c>
      <c r="B575">
        <f>IF(B$2=0,"",IFERROR(TRIM(INDEX('Pegar docentes'!$A$1:$BZ$1001,574,B$2)&amp;""),""))</f>
        <v/>
      </c>
      <c r="C575">
        <f>IF(C$2=0,"",IFERROR(TRIM(INDEX('Pegar docentes'!$A$1:$BZ$1001,574,C$2)&amp;""),""))</f>
        <v/>
      </c>
      <c r="D575">
        <f>IF(D$2=0,"",IFERROR(TRIM(INDEX('Pegar docentes'!$A$1:$BZ$1001,574,D$2)&amp;""),""))</f>
        <v/>
      </c>
      <c r="E575">
        <f>IF(E$2=0,"",IFERROR(TRIM(INDEX('Pegar docentes'!$A$1:$BZ$1001,574,E$2)&amp;""),""))</f>
        <v/>
      </c>
      <c r="F575">
        <f>IF(F$2=0,"",IFERROR(TRIM(INDEX('Pegar docentes'!$A$1:$BZ$1001,574,F$2)&amp;""),""))</f>
        <v/>
      </c>
      <c r="G575">
        <f>IF(G$2=0,"",IFERROR(TRIM(INDEX('Pegar docentes'!$A$1:$BZ$1001,574,G$2)&amp;""),""))</f>
        <v/>
      </c>
      <c r="H575">
        <f>IF(H$2=0,"",IFERROR(TRIM(INDEX('Pegar docentes'!$A$1:$BZ$1001,574,H$2)&amp;""),""))</f>
        <v/>
      </c>
      <c r="I575">
        <f>IF(I$2=0,"",IFERROR(TRIM(INDEX('Pegar docentes'!$A$1:$BZ$1001,574,I$2)&amp;""),""))</f>
        <v/>
      </c>
      <c r="J575">
        <f>IF(J$2=0,"",IFERROR(TRIM(INDEX('Pegar docentes'!$A$1:$BZ$1001,574,J$2)&amp;""),""))</f>
        <v/>
      </c>
      <c r="K575">
        <f>IF(K$2=0,"",IFERROR(TRIM(INDEX('Pegar docentes'!$A$1:$BZ$1001,574,K$2)&amp;""),""))</f>
        <v/>
      </c>
      <c r="L575">
        <f>IF(L$2=0,"",IFERROR(TRIM(INDEX('Pegar docentes'!$A$1:$BZ$1001,574,L$2)&amp;""),""))</f>
        <v/>
      </c>
      <c r="M575">
        <f>IF(M$2=0,"",IFERROR(TRIM(INDEX('Pegar docentes'!$A$1:$BZ$1001,574,M$2)&amp;""),""))</f>
        <v/>
      </c>
      <c r="N575">
        <f>IF(N$2=0,"",IFERROR(TRIM(INDEX('Pegar docentes'!$A$1:$BZ$1001,574,N$2)&amp;""),""))</f>
        <v/>
      </c>
      <c r="O575">
        <f>IF(O$2=0,"",IFERROR(TRIM(INDEX('Pegar docentes'!$A$1:$BZ$1001,574,O$2)&amp;""),""))</f>
        <v/>
      </c>
      <c r="P575">
        <f>IF(P$2=0,"",IFERROR(TRIM(INDEX('Pegar docentes'!$A$1:$BZ$1001,574,P$2)&amp;""),""))</f>
        <v/>
      </c>
      <c r="Q575" s="25">
        <f>IF(OR(D575&lt;&gt;"",H575&lt;&gt;""),1,"")</f>
        <v/>
      </c>
      <c r="R575" s="25">
        <f>IF(Q575=1,IF(ISNUMBER(FIND("#"&amp;MID(D575,1,1)&amp;"#","#0#1#2#3#4#5#6#7#8#9#")),IF(ISNUMBER(FIND("#"&amp;MID(D575,2,1)&amp;"#","#0#1#2#3#4#5#6#7#8#9#")),IF(AND(VALUE(LEFT(D575,2))&gt;=1,VALUE(LEFT(D575,2))&lt;=5),VALUE(LEFT(D575,2)),""),IF(AND(VALUE(LEFT(D575,1))&gt;=1,VALUE(LEFT(D575,1))&lt;=5),VALUE(LEFT(D575,1)),"")),""),"")</f>
        <v/>
      </c>
      <c r="S575" s="25">
        <f>IF(AND(Q575=1,E575&lt;&gt;""),SUBSTITUTE(SUBSTITUTE(SUBSTITUTE(SUBSTITUTE(SUBSTITUTE(SUBSTITUTE(SUBSTITUTE(SUBSTITUTE(SUBSTITUTE(SUBSTITUTE(SUBSTITUTE(SUBSTITUTE(LOWER(TRIM(E575)),"á","a"),"é","e"),"í","i"),"ó","o"),"ú","u"),"ü","u"),"ñ","n"),"à","a"),"è","e"),"ì","i"),"ò","o"),"ù","u"),"")</f>
        <v/>
      </c>
      <c r="T575" s="25">
        <f>IF(AND(Q575=1,G575&lt;&gt;""),SUBSTITUTE(SUBSTITUTE(SUBSTITUTE(SUBSTITUTE(SUBSTITUTE(SUBSTITUTE(SUBSTITUTE(SUBSTITUTE(SUBSTITUTE(SUBSTITUTE(SUBSTITUTE(SUBSTITUTE(LOWER(TRIM(G575)),"á","a"),"é","e"),"í","i"),"ó","o"),"ú","u"),"ü","u"),"ñ","n"),"à","a"),"è","e"),"ì","i"),"ò","o"),"ù","u"),"")</f>
        <v/>
      </c>
      <c r="U575" s="25">
        <f>IF(AND(Q575=1,H575&lt;&gt;""),SUBSTITUTE(SUBSTITUTE(SUBSTITUTE(SUBSTITUTE(SUBSTITUTE(SUBSTITUTE(SUBSTITUTE(SUBSTITUTE(SUBSTITUTE(SUBSTITUTE(SUBSTITUTE(SUBSTITUTE(LOWER(TRIM(H575)),"á","a"),"é","e"),"í","i"),"ó","o"),"ú","u"),"ü","u"),"ñ","n"),"à","a"),"è","e"),"ì","i"),"ò","o"),"ù","u"),"")</f>
        <v/>
      </c>
      <c r="V575" s="25">
        <f>IF(AND(Q575=1,L575&lt;&gt;""),SUBSTITUTE(SUBSTITUTE(SUBSTITUTE(SUBSTITUTE(SUBSTITUTE(SUBSTITUTE(SUBSTITUTE(SUBSTITUTE(SUBSTITUTE(SUBSTITUTE(SUBSTITUTE(SUBSTITUTE(LOWER(TRIM(L575)),"á","a"),"é","e"),"í","i"),"ó","o"),"ú","u"),"ü","u"),"ñ","n"),"à","a"),"è","e"),"ì","i"),"ò","o"),"ù","u"),"")</f>
        <v/>
      </c>
      <c r="W575" s="25">
        <f>IF(AND(Q575=1,I575&lt;&gt;""),SUBSTITUTE(SUBSTITUTE(SUBSTITUTE(SUBSTITUTE(SUBSTITUTE(SUBSTITUTE(SUBSTITUTE(SUBSTITUTE(SUBSTITUTE(SUBSTITUTE(SUBSTITUTE(SUBSTITUTE(LOWER(TRIM(I575)),"á","a"),"é","e"),"í","i"),"ó","o"),"ú","u"),"ü","u"),"ñ","n"),"à","a"),"è","e"),"ì","i"),"ò","o"),"ù","u"),"")</f>
        <v/>
      </c>
      <c r="X575" s="25">
        <f>IF(U575="","",IF(OR(U575="si, en la proxima tarea",U575="si, con cambios"),1,0))</f>
        <v/>
      </c>
      <c r="Y575" s="25">
        <f>IF(AND(Q575=1,A575&lt;&gt;""),IF(IFERROR(COUNTIFS(A$3:A575,"="&amp;SUBSTITUTE(SUBSTITUTE(SUBSTITUTE(A575,"~","~~"),"*","~*"),"?","~?"),Q$3:Q575,1),0)=1,MAX(Y$2:Y574)+1,""),"")</f>
        <v/>
      </c>
      <c r="Z575" s="25">
        <f>IF(Y575="","",COUNTIFS($A$3:$A$1002,"="&amp;SUBSTITUTE(SUBSTITUTE(SUBSTITUTE(A575,"~","~~"),"*","~*"),"?","~?"),$Q$3:$Q$1002,1)*10000-Y575)</f>
        <v/>
      </c>
    </row>
    <row r="576">
      <c r="A576">
        <f>IF(A$2=0,"",IFERROR(TRIM(INDEX('Pegar docentes'!$A$1:$BZ$1001,575,A$2)&amp;""),""))</f>
        <v/>
      </c>
      <c r="B576">
        <f>IF(B$2=0,"",IFERROR(TRIM(INDEX('Pegar docentes'!$A$1:$BZ$1001,575,B$2)&amp;""),""))</f>
        <v/>
      </c>
      <c r="C576">
        <f>IF(C$2=0,"",IFERROR(TRIM(INDEX('Pegar docentes'!$A$1:$BZ$1001,575,C$2)&amp;""),""))</f>
        <v/>
      </c>
      <c r="D576">
        <f>IF(D$2=0,"",IFERROR(TRIM(INDEX('Pegar docentes'!$A$1:$BZ$1001,575,D$2)&amp;""),""))</f>
        <v/>
      </c>
      <c r="E576">
        <f>IF(E$2=0,"",IFERROR(TRIM(INDEX('Pegar docentes'!$A$1:$BZ$1001,575,E$2)&amp;""),""))</f>
        <v/>
      </c>
      <c r="F576">
        <f>IF(F$2=0,"",IFERROR(TRIM(INDEX('Pegar docentes'!$A$1:$BZ$1001,575,F$2)&amp;""),""))</f>
        <v/>
      </c>
      <c r="G576">
        <f>IF(G$2=0,"",IFERROR(TRIM(INDEX('Pegar docentes'!$A$1:$BZ$1001,575,G$2)&amp;""),""))</f>
        <v/>
      </c>
      <c r="H576">
        <f>IF(H$2=0,"",IFERROR(TRIM(INDEX('Pegar docentes'!$A$1:$BZ$1001,575,H$2)&amp;""),""))</f>
        <v/>
      </c>
      <c r="I576">
        <f>IF(I$2=0,"",IFERROR(TRIM(INDEX('Pegar docentes'!$A$1:$BZ$1001,575,I$2)&amp;""),""))</f>
        <v/>
      </c>
      <c r="J576">
        <f>IF(J$2=0,"",IFERROR(TRIM(INDEX('Pegar docentes'!$A$1:$BZ$1001,575,J$2)&amp;""),""))</f>
        <v/>
      </c>
      <c r="K576">
        <f>IF(K$2=0,"",IFERROR(TRIM(INDEX('Pegar docentes'!$A$1:$BZ$1001,575,K$2)&amp;""),""))</f>
        <v/>
      </c>
      <c r="L576">
        <f>IF(L$2=0,"",IFERROR(TRIM(INDEX('Pegar docentes'!$A$1:$BZ$1001,575,L$2)&amp;""),""))</f>
        <v/>
      </c>
      <c r="M576">
        <f>IF(M$2=0,"",IFERROR(TRIM(INDEX('Pegar docentes'!$A$1:$BZ$1001,575,M$2)&amp;""),""))</f>
        <v/>
      </c>
      <c r="N576">
        <f>IF(N$2=0,"",IFERROR(TRIM(INDEX('Pegar docentes'!$A$1:$BZ$1001,575,N$2)&amp;""),""))</f>
        <v/>
      </c>
      <c r="O576">
        <f>IF(O$2=0,"",IFERROR(TRIM(INDEX('Pegar docentes'!$A$1:$BZ$1001,575,O$2)&amp;""),""))</f>
        <v/>
      </c>
      <c r="P576">
        <f>IF(P$2=0,"",IFERROR(TRIM(INDEX('Pegar docentes'!$A$1:$BZ$1001,575,P$2)&amp;""),""))</f>
        <v/>
      </c>
      <c r="Q576" s="25">
        <f>IF(OR(D576&lt;&gt;"",H576&lt;&gt;""),1,"")</f>
        <v/>
      </c>
      <c r="R576" s="25">
        <f>IF(Q576=1,IF(ISNUMBER(FIND("#"&amp;MID(D576,1,1)&amp;"#","#0#1#2#3#4#5#6#7#8#9#")),IF(ISNUMBER(FIND("#"&amp;MID(D576,2,1)&amp;"#","#0#1#2#3#4#5#6#7#8#9#")),IF(AND(VALUE(LEFT(D576,2))&gt;=1,VALUE(LEFT(D576,2))&lt;=5),VALUE(LEFT(D576,2)),""),IF(AND(VALUE(LEFT(D576,1))&gt;=1,VALUE(LEFT(D576,1))&lt;=5),VALUE(LEFT(D576,1)),"")),""),"")</f>
        <v/>
      </c>
      <c r="S576" s="25">
        <f>IF(AND(Q576=1,E576&lt;&gt;""),SUBSTITUTE(SUBSTITUTE(SUBSTITUTE(SUBSTITUTE(SUBSTITUTE(SUBSTITUTE(SUBSTITUTE(SUBSTITUTE(SUBSTITUTE(SUBSTITUTE(SUBSTITUTE(SUBSTITUTE(LOWER(TRIM(E576)),"á","a"),"é","e"),"í","i"),"ó","o"),"ú","u"),"ü","u"),"ñ","n"),"à","a"),"è","e"),"ì","i"),"ò","o"),"ù","u"),"")</f>
        <v/>
      </c>
      <c r="T576" s="25">
        <f>IF(AND(Q576=1,G576&lt;&gt;""),SUBSTITUTE(SUBSTITUTE(SUBSTITUTE(SUBSTITUTE(SUBSTITUTE(SUBSTITUTE(SUBSTITUTE(SUBSTITUTE(SUBSTITUTE(SUBSTITUTE(SUBSTITUTE(SUBSTITUTE(LOWER(TRIM(G576)),"á","a"),"é","e"),"í","i"),"ó","o"),"ú","u"),"ü","u"),"ñ","n"),"à","a"),"è","e"),"ì","i"),"ò","o"),"ù","u"),"")</f>
        <v/>
      </c>
      <c r="U576" s="25">
        <f>IF(AND(Q576=1,H576&lt;&gt;""),SUBSTITUTE(SUBSTITUTE(SUBSTITUTE(SUBSTITUTE(SUBSTITUTE(SUBSTITUTE(SUBSTITUTE(SUBSTITUTE(SUBSTITUTE(SUBSTITUTE(SUBSTITUTE(SUBSTITUTE(LOWER(TRIM(H576)),"á","a"),"é","e"),"í","i"),"ó","o"),"ú","u"),"ü","u"),"ñ","n"),"à","a"),"è","e"),"ì","i"),"ò","o"),"ù","u"),"")</f>
        <v/>
      </c>
      <c r="V576" s="25">
        <f>IF(AND(Q576=1,L576&lt;&gt;""),SUBSTITUTE(SUBSTITUTE(SUBSTITUTE(SUBSTITUTE(SUBSTITUTE(SUBSTITUTE(SUBSTITUTE(SUBSTITUTE(SUBSTITUTE(SUBSTITUTE(SUBSTITUTE(SUBSTITUTE(LOWER(TRIM(L576)),"á","a"),"é","e"),"í","i"),"ó","o"),"ú","u"),"ü","u"),"ñ","n"),"à","a"),"è","e"),"ì","i"),"ò","o"),"ù","u"),"")</f>
        <v/>
      </c>
      <c r="W576" s="25">
        <f>IF(AND(Q576=1,I576&lt;&gt;""),SUBSTITUTE(SUBSTITUTE(SUBSTITUTE(SUBSTITUTE(SUBSTITUTE(SUBSTITUTE(SUBSTITUTE(SUBSTITUTE(SUBSTITUTE(SUBSTITUTE(SUBSTITUTE(SUBSTITUTE(LOWER(TRIM(I576)),"á","a"),"é","e"),"í","i"),"ó","o"),"ú","u"),"ü","u"),"ñ","n"),"à","a"),"è","e"),"ì","i"),"ò","o"),"ù","u"),"")</f>
        <v/>
      </c>
      <c r="X576" s="25">
        <f>IF(U576="","",IF(OR(U576="si, en la proxima tarea",U576="si, con cambios"),1,0))</f>
        <v/>
      </c>
      <c r="Y576" s="25">
        <f>IF(AND(Q576=1,A576&lt;&gt;""),IF(IFERROR(COUNTIFS(A$3:A576,"="&amp;SUBSTITUTE(SUBSTITUTE(SUBSTITUTE(A576,"~","~~"),"*","~*"),"?","~?"),Q$3:Q576,1),0)=1,MAX(Y$2:Y575)+1,""),"")</f>
        <v/>
      </c>
      <c r="Z576" s="25">
        <f>IF(Y576="","",COUNTIFS($A$3:$A$1002,"="&amp;SUBSTITUTE(SUBSTITUTE(SUBSTITUTE(A576,"~","~~"),"*","~*"),"?","~?"),$Q$3:$Q$1002,1)*10000-Y576)</f>
        <v/>
      </c>
    </row>
    <row r="577">
      <c r="A577">
        <f>IF(A$2=0,"",IFERROR(TRIM(INDEX('Pegar docentes'!$A$1:$BZ$1001,576,A$2)&amp;""),""))</f>
        <v/>
      </c>
      <c r="B577">
        <f>IF(B$2=0,"",IFERROR(TRIM(INDEX('Pegar docentes'!$A$1:$BZ$1001,576,B$2)&amp;""),""))</f>
        <v/>
      </c>
      <c r="C577">
        <f>IF(C$2=0,"",IFERROR(TRIM(INDEX('Pegar docentes'!$A$1:$BZ$1001,576,C$2)&amp;""),""))</f>
        <v/>
      </c>
      <c r="D577">
        <f>IF(D$2=0,"",IFERROR(TRIM(INDEX('Pegar docentes'!$A$1:$BZ$1001,576,D$2)&amp;""),""))</f>
        <v/>
      </c>
      <c r="E577">
        <f>IF(E$2=0,"",IFERROR(TRIM(INDEX('Pegar docentes'!$A$1:$BZ$1001,576,E$2)&amp;""),""))</f>
        <v/>
      </c>
      <c r="F577">
        <f>IF(F$2=0,"",IFERROR(TRIM(INDEX('Pegar docentes'!$A$1:$BZ$1001,576,F$2)&amp;""),""))</f>
        <v/>
      </c>
      <c r="G577">
        <f>IF(G$2=0,"",IFERROR(TRIM(INDEX('Pegar docentes'!$A$1:$BZ$1001,576,G$2)&amp;""),""))</f>
        <v/>
      </c>
      <c r="H577">
        <f>IF(H$2=0,"",IFERROR(TRIM(INDEX('Pegar docentes'!$A$1:$BZ$1001,576,H$2)&amp;""),""))</f>
        <v/>
      </c>
      <c r="I577">
        <f>IF(I$2=0,"",IFERROR(TRIM(INDEX('Pegar docentes'!$A$1:$BZ$1001,576,I$2)&amp;""),""))</f>
        <v/>
      </c>
      <c r="J577">
        <f>IF(J$2=0,"",IFERROR(TRIM(INDEX('Pegar docentes'!$A$1:$BZ$1001,576,J$2)&amp;""),""))</f>
        <v/>
      </c>
      <c r="K577">
        <f>IF(K$2=0,"",IFERROR(TRIM(INDEX('Pegar docentes'!$A$1:$BZ$1001,576,K$2)&amp;""),""))</f>
        <v/>
      </c>
      <c r="L577">
        <f>IF(L$2=0,"",IFERROR(TRIM(INDEX('Pegar docentes'!$A$1:$BZ$1001,576,L$2)&amp;""),""))</f>
        <v/>
      </c>
      <c r="M577">
        <f>IF(M$2=0,"",IFERROR(TRIM(INDEX('Pegar docentes'!$A$1:$BZ$1001,576,M$2)&amp;""),""))</f>
        <v/>
      </c>
      <c r="N577">
        <f>IF(N$2=0,"",IFERROR(TRIM(INDEX('Pegar docentes'!$A$1:$BZ$1001,576,N$2)&amp;""),""))</f>
        <v/>
      </c>
      <c r="O577">
        <f>IF(O$2=0,"",IFERROR(TRIM(INDEX('Pegar docentes'!$A$1:$BZ$1001,576,O$2)&amp;""),""))</f>
        <v/>
      </c>
      <c r="P577">
        <f>IF(P$2=0,"",IFERROR(TRIM(INDEX('Pegar docentes'!$A$1:$BZ$1001,576,P$2)&amp;""),""))</f>
        <v/>
      </c>
      <c r="Q577" s="25">
        <f>IF(OR(D577&lt;&gt;"",H577&lt;&gt;""),1,"")</f>
        <v/>
      </c>
      <c r="R577" s="25">
        <f>IF(Q577=1,IF(ISNUMBER(FIND("#"&amp;MID(D577,1,1)&amp;"#","#0#1#2#3#4#5#6#7#8#9#")),IF(ISNUMBER(FIND("#"&amp;MID(D577,2,1)&amp;"#","#0#1#2#3#4#5#6#7#8#9#")),IF(AND(VALUE(LEFT(D577,2))&gt;=1,VALUE(LEFT(D577,2))&lt;=5),VALUE(LEFT(D577,2)),""),IF(AND(VALUE(LEFT(D577,1))&gt;=1,VALUE(LEFT(D577,1))&lt;=5),VALUE(LEFT(D577,1)),"")),""),"")</f>
        <v/>
      </c>
      <c r="S577" s="25">
        <f>IF(AND(Q577=1,E577&lt;&gt;""),SUBSTITUTE(SUBSTITUTE(SUBSTITUTE(SUBSTITUTE(SUBSTITUTE(SUBSTITUTE(SUBSTITUTE(SUBSTITUTE(SUBSTITUTE(SUBSTITUTE(SUBSTITUTE(SUBSTITUTE(LOWER(TRIM(E577)),"á","a"),"é","e"),"í","i"),"ó","o"),"ú","u"),"ü","u"),"ñ","n"),"à","a"),"è","e"),"ì","i"),"ò","o"),"ù","u"),"")</f>
        <v/>
      </c>
      <c r="T577" s="25">
        <f>IF(AND(Q577=1,G577&lt;&gt;""),SUBSTITUTE(SUBSTITUTE(SUBSTITUTE(SUBSTITUTE(SUBSTITUTE(SUBSTITUTE(SUBSTITUTE(SUBSTITUTE(SUBSTITUTE(SUBSTITUTE(SUBSTITUTE(SUBSTITUTE(LOWER(TRIM(G577)),"á","a"),"é","e"),"í","i"),"ó","o"),"ú","u"),"ü","u"),"ñ","n"),"à","a"),"è","e"),"ì","i"),"ò","o"),"ù","u"),"")</f>
        <v/>
      </c>
      <c r="U577" s="25">
        <f>IF(AND(Q577=1,H577&lt;&gt;""),SUBSTITUTE(SUBSTITUTE(SUBSTITUTE(SUBSTITUTE(SUBSTITUTE(SUBSTITUTE(SUBSTITUTE(SUBSTITUTE(SUBSTITUTE(SUBSTITUTE(SUBSTITUTE(SUBSTITUTE(LOWER(TRIM(H577)),"á","a"),"é","e"),"í","i"),"ó","o"),"ú","u"),"ü","u"),"ñ","n"),"à","a"),"è","e"),"ì","i"),"ò","o"),"ù","u"),"")</f>
        <v/>
      </c>
      <c r="V577" s="25">
        <f>IF(AND(Q577=1,L577&lt;&gt;""),SUBSTITUTE(SUBSTITUTE(SUBSTITUTE(SUBSTITUTE(SUBSTITUTE(SUBSTITUTE(SUBSTITUTE(SUBSTITUTE(SUBSTITUTE(SUBSTITUTE(SUBSTITUTE(SUBSTITUTE(LOWER(TRIM(L577)),"á","a"),"é","e"),"í","i"),"ó","o"),"ú","u"),"ü","u"),"ñ","n"),"à","a"),"è","e"),"ì","i"),"ò","o"),"ù","u"),"")</f>
        <v/>
      </c>
      <c r="W577" s="25">
        <f>IF(AND(Q577=1,I577&lt;&gt;""),SUBSTITUTE(SUBSTITUTE(SUBSTITUTE(SUBSTITUTE(SUBSTITUTE(SUBSTITUTE(SUBSTITUTE(SUBSTITUTE(SUBSTITUTE(SUBSTITUTE(SUBSTITUTE(SUBSTITUTE(LOWER(TRIM(I577)),"á","a"),"é","e"),"í","i"),"ó","o"),"ú","u"),"ü","u"),"ñ","n"),"à","a"),"è","e"),"ì","i"),"ò","o"),"ù","u"),"")</f>
        <v/>
      </c>
      <c r="X577" s="25">
        <f>IF(U577="","",IF(OR(U577="si, en la proxima tarea",U577="si, con cambios"),1,0))</f>
        <v/>
      </c>
      <c r="Y577" s="25">
        <f>IF(AND(Q577=1,A577&lt;&gt;""),IF(IFERROR(COUNTIFS(A$3:A577,"="&amp;SUBSTITUTE(SUBSTITUTE(SUBSTITUTE(A577,"~","~~"),"*","~*"),"?","~?"),Q$3:Q577,1),0)=1,MAX(Y$2:Y576)+1,""),"")</f>
        <v/>
      </c>
      <c r="Z577" s="25">
        <f>IF(Y577="","",COUNTIFS($A$3:$A$1002,"="&amp;SUBSTITUTE(SUBSTITUTE(SUBSTITUTE(A577,"~","~~"),"*","~*"),"?","~?"),$Q$3:$Q$1002,1)*10000-Y577)</f>
        <v/>
      </c>
    </row>
    <row r="578">
      <c r="A578">
        <f>IF(A$2=0,"",IFERROR(TRIM(INDEX('Pegar docentes'!$A$1:$BZ$1001,577,A$2)&amp;""),""))</f>
        <v/>
      </c>
      <c r="B578">
        <f>IF(B$2=0,"",IFERROR(TRIM(INDEX('Pegar docentes'!$A$1:$BZ$1001,577,B$2)&amp;""),""))</f>
        <v/>
      </c>
      <c r="C578">
        <f>IF(C$2=0,"",IFERROR(TRIM(INDEX('Pegar docentes'!$A$1:$BZ$1001,577,C$2)&amp;""),""))</f>
        <v/>
      </c>
      <c r="D578">
        <f>IF(D$2=0,"",IFERROR(TRIM(INDEX('Pegar docentes'!$A$1:$BZ$1001,577,D$2)&amp;""),""))</f>
        <v/>
      </c>
      <c r="E578">
        <f>IF(E$2=0,"",IFERROR(TRIM(INDEX('Pegar docentes'!$A$1:$BZ$1001,577,E$2)&amp;""),""))</f>
        <v/>
      </c>
      <c r="F578">
        <f>IF(F$2=0,"",IFERROR(TRIM(INDEX('Pegar docentes'!$A$1:$BZ$1001,577,F$2)&amp;""),""))</f>
        <v/>
      </c>
      <c r="G578">
        <f>IF(G$2=0,"",IFERROR(TRIM(INDEX('Pegar docentes'!$A$1:$BZ$1001,577,G$2)&amp;""),""))</f>
        <v/>
      </c>
      <c r="H578">
        <f>IF(H$2=0,"",IFERROR(TRIM(INDEX('Pegar docentes'!$A$1:$BZ$1001,577,H$2)&amp;""),""))</f>
        <v/>
      </c>
      <c r="I578">
        <f>IF(I$2=0,"",IFERROR(TRIM(INDEX('Pegar docentes'!$A$1:$BZ$1001,577,I$2)&amp;""),""))</f>
        <v/>
      </c>
      <c r="J578">
        <f>IF(J$2=0,"",IFERROR(TRIM(INDEX('Pegar docentes'!$A$1:$BZ$1001,577,J$2)&amp;""),""))</f>
        <v/>
      </c>
      <c r="K578">
        <f>IF(K$2=0,"",IFERROR(TRIM(INDEX('Pegar docentes'!$A$1:$BZ$1001,577,K$2)&amp;""),""))</f>
        <v/>
      </c>
      <c r="L578">
        <f>IF(L$2=0,"",IFERROR(TRIM(INDEX('Pegar docentes'!$A$1:$BZ$1001,577,L$2)&amp;""),""))</f>
        <v/>
      </c>
      <c r="M578">
        <f>IF(M$2=0,"",IFERROR(TRIM(INDEX('Pegar docentes'!$A$1:$BZ$1001,577,M$2)&amp;""),""))</f>
        <v/>
      </c>
      <c r="N578">
        <f>IF(N$2=0,"",IFERROR(TRIM(INDEX('Pegar docentes'!$A$1:$BZ$1001,577,N$2)&amp;""),""))</f>
        <v/>
      </c>
      <c r="O578">
        <f>IF(O$2=0,"",IFERROR(TRIM(INDEX('Pegar docentes'!$A$1:$BZ$1001,577,O$2)&amp;""),""))</f>
        <v/>
      </c>
      <c r="P578">
        <f>IF(P$2=0,"",IFERROR(TRIM(INDEX('Pegar docentes'!$A$1:$BZ$1001,577,P$2)&amp;""),""))</f>
        <v/>
      </c>
      <c r="Q578" s="25">
        <f>IF(OR(D578&lt;&gt;"",H578&lt;&gt;""),1,"")</f>
        <v/>
      </c>
      <c r="R578" s="25">
        <f>IF(Q578=1,IF(ISNUMBER(FIND("#"&amp;MID(D578,1,1)&amp;"#","#0#1#2#3#4#5#6#7#8#9#")),IF(ISNUMBER(FIND("#"&amp;MID(D578,2,1)&amp;"#","#0#1#2#3#4#5#6#7#8#9#")),IF(AND(VALUE(LEFT(D578,2))&gt;=1,VALUE(LEFT(D578,2))&lt;=5),VALUE(LEFT(D578,2)),""),IF(AND(VALUE(LEFT(D578,1))&gt;=1,VALUE(LEFT(D578,1))&lt;=5),VALUE(LEFT(D578,1)),"")),""),"")</f>
        <v/>
      </c>
      <c r="S578" s="25">
        <f>IF(AND(Q578=1,E578&lt;&gt;""),SUBSTITUTE(SUBSTITUTE(SUBSTITUTE(SUBSTITUTE(SUBSTITUTE(SUBSTITUTE(SUBSTITUTE(SUBSTITUTE(SUBSTITUTE(SUBSTITUTE(SUBSTITUTE(SUBSTITUTE(LOWER(TRIM(E578)),"á","a"),"é","e"),"í","i"),"ó","o"),"ú","u"),"ü","u"),"ñ","n"),"à","a"),"è","e"),"ì","i"),"ò","o"),"ù","u"),"")</f>
        <v/>
      </c>
      <c r="T578" s="25">
        <f>IF(AND(Q578=1,G578&lt;&gt;""),SUBSTITUTE(SUBSTITUTE(SUBSTITUTE(SUBSTITUTE(SUBSTITUTE(SUBSTITUTE(SUBSTITUTE(SUBSTITUTE(SUBSTITUTE(SUBSTITUTE(SUBSTITUTE(SUBSTITUTE(LOWER(TRIM(G578)),"á","a"),"é","e"),"í","i"),"ó","o"),"ú","u"),"ü","u"),"ñ","n"),"à","a"),"è","e"),"ì","i"),"ò","o"),"ù","u"),"")</f>
        <v/>
      </c>
      <c r="U578" s="25">
        <f>IF(AND(Q578=1,H578&lt;&gt;""),SUBSTITUTE(SUBSTITUTE(SUBSTITUTE(SUBSTITUTE(SUBSTITUTE(SUBSTITUTE(SUBSTITUTE(SUBSTITUTE(SUBSTITUTE(SUBSTITUTE(SUBSTITUTE(SUBSTITUTE(LOWER(TRIM(H578)),"á","a"),"é","e"),"í","i"),"ó","o"),"ú","u"),"ü","u"),"ñ","n"),"à","a"),"è","e"),"ì","i"),"ò","o"),"ù","u"),"")</f>
        <v/>
      </c>
      <c r="V578" s="25">
        <f>IF(AND(Q578=1,L578&lt;&gt;""),SUBSTITUTE(SUBSTITUTE(SUBSTITUTE(SUBSTITUTE(SUBSTITUTE(SUBSTITUTE(SUBSTITUTE(SUBSTITUTE(SUBSTITUTE(SUBSTITUTE(SUBSTITUTE(SUBSTITUTE(LOWER(TRIM(L578)),"á","a"),"é","e"),"í","i"),"ó","o"),"ú","u"),"ü","u"),"ñ","n"),"à","a"),"è","e"),"ì","i"),"ò","o"),"ù","u"),"")</f>
        <v/>
      </c>
      <c r="W578" s="25">
        <f>IF(AND(Q578=1,I578&lt;&gt;""),SUBSTITUTE(SUBSTITUTE(SUBSTITUTE(SUBSTITUTE(SUBSTITUTE(SUBSTITUTE(SUBSTITUTE(SUBSTITUTE(SUBSTITUTE(SUBSTITUTE(SUBSTITUTE(SUBSTITUTE(LOWER(TRIM(I578)),"á","a"),"é","e"),"í","i"),"ó","o"),"ú","u"),"ü","u"),"ñ","n"),"à","a"),"è","e"),"ì","i"),"ò","o"),"ù","u"),"")</f>
        <v/>
      </c>
      <c r="X578" s="25">
        <f>IF(U578="","",IF(OR(U578="si, en la proxima tarea",U578="si, con cambios"),1,0))</f>
        <v/>
      </c>
      <c r="Y578" s="25">
        <f>IF(AND(Q578=1,A578&lt;&gt;""),IF(IFERROR(COUNTIFS(A$3:A578,"="&amp;SUBSTITUTE(SUBSTITUTE(SUBSTITUTE(A578,"~","~~"),"*","~*"),"?","~?"),Q$3:Q578,1),0)=1,MAX(Y$2:Y577)+1,""),"")</f>
        <v/>
      </c>
      <c r="Z578" s="25">
        <f>IF(Y578="","",COUNTIFS($A$3:$A$1002,"="&amp;SUBSTITUTE(SUBSTITUTE(SUBSTITUTE(A578,"~","~~"),"*","~*"),"?","~?"),$Q$3:$Q$1002,1)*10000-Y578)</f>
        <v/>
      </c>
    </row>
    <row r="579">
      <c r="A579">
        <f>IF(A$2=0,"",IFERROR(TRIM(INDEX('Pegar docentes'!$A$1:$BZ$1001,578,A$2)&amp;""),""))</f>
        <v/>
      </c>
      <c r="B579">
        <f>IF(B$2=0,"",IFERROR(TRIM(INDEX('Pegar docentes'!$A$1:$BZ$1001,578,B$2)&amp;""),""))</f>
        <v/>
      </c>
      <c r="C579">
        <f>IF(C$2=0,"",IFERROR(TRIM(INDEX('Pegar docentes'!$A$1:$BZ$1001,578,C$2)&amp;""),""))</f>
        <v/>
      </c>
      <c r="D579">
        <f>IF(D$2=0,"",IFERROR(TRIM(INDEX('Pegar docentes'!$A$1:$BZ$1001,578,D$2)&amp;""),""))</f>
        <v/>
      </c>
      <c r="E579">
        <f>IF(E$2=0,"",IFERROR(TRIM(INDEX('Pegar docentes'!$A$1:$BZ$1001,578,E$2)&amp;""),""))</f>
        <v/>
      </c>
      <c r="F579">
        <f>IF(F$2=0,"",IFERROR(TRIM(INDEX('Pegar docentes'!$A$1:$BZ$1001,578,F$2)&amp;""),""))</f>
        <v/>
      </c>
      <c r="G579">
        <f>IF(G$2=0,"",IFERROR(TRIM(INDEX('Pegar docentes'!$A$1:$BZ$1001,578,G$2)&amp;""),""))</f>
        <v/>
      </c>
      <c r="H579">
        <f>IF(H$2=0,"",IFERROR(TRIM(INDEX('Pegar docentes'!$A$1:$BZ$1001,578,H$2)&amp;""),""))</f>
        <v/>
      </c>
      <c r="I579">
        <f>IF(I$2=0,"",IFERROR(TRIM(INDEX('Pegar docentes'!$A$1:$BZ$1001,578,I$2)&amp;""),""))</f>
        <v/>
      </c>
      <c r="J579">
        <f>IF(J$2=0,"",IFERROR(TRIM(INDEX('Pegar docentes'!$A$1:$BZ$1001,578,J$2)&amp;""),""))</f>
        <v/>
      </c>
      <c r="K579">
        <f>IF(K$2=0,"",IFERROR(TRIM(INDEX('Pegar docentes'!$A$1:$BZ$1001,578,K$2)&amp;""),""))</f>
        <v/>
      </c>
      <c r="L579">
        <f>IF(L$2=0,"",IFERROR(TRIM(INDEX('Pegar docentes'!$A$1:$BZ$1001,578,L$2)&amp;""),""))</f>
        <v/>
      </c>
      <c r="M579">
        <f>IF(M$2=0,"",IFERROR(TRIM(INDEX('Pegar docentes'!$A$1:$BZ$1001,578,M$2)&amp;""),""))</f>
        <v/>
      </c>
      <c r="N579">
        <f>IF(N$2=0,"",IFERROR(TRIM(INDEX('Pegar docentes'!$A$1:$BZ$1001,578,N$2)&amp;""),""))</f>
        <v/>
      </c>
      <c r="O579">
        <f>IF(O$2=0,"",IFERROR(TRIM(INDEX('Pegar docentes'!$A$1:$BZ$1001,578,O$2)&amp;""),""))</f>
        <v/>
      </c>
      <c r="P579">
        <f>IF(P$2=0,"",IFERROR(TRIM(INDEX('Pegar docentes'!$A$1:$BZ$1001,578,P$2)&amp;""),""))</f>
        <v/>
      </c>
      <c r="Q579" s="25">
        <f>IF(OR(D579&lt;&gt;"",H579&lt;&gt;""),1,"")</f>
        <v/>
      </c>
      <c r="R579" s="25">
        <f>IF(Q579=1,IF(ISNUMBER(FIND("#"&amp;MID(D579,1,1)&amp;"#","#0#1#2#3#4#5#6#7#8#9#")),IF(ISNUMBER(FIND("#"&amp;MID(D579,2,1)&amp;"#","#0#1#2#3#4#5#6#7#8#9#")),IF(AND(VALUE(LEFT(D579,2))&gt;=1,VALUE(LEFT(D579,2))&lt;=5),VALUE(LEFT(D579,2)),""),IF(AND(VALUE(LEFT(D579,1))&gt;=1,VALUE(LEFT(D579,1))&lt;=5),VALUE(LEFT(D579,1)),"")),""),"")</f>
        <v/>
      </c>
      <c r="S579" s="25">
        <f>IF(AND(Q579=1,E579&lt;&gt;""),SUBSTITUTE(SUBSTITUTE(SUBSTITUTE(SUBSTITUTE(SUBSTITUTE(SUBSTITUTE(SUBSTITUTE(SUBSTITUTE(SUBSTITUTE(SUBSTITUTE(SUBSTITUTE(SUBSTITUTE(LOWER(TRIM(E579)),"á","a"),"é","e"),"í","i"),"ó","o"),"ú","u"),"ü","u"),"ñ","n"),"à","a"),"è","e"),"ì","i"),"ò","o"),"ù","u"),"")</f>
        <v/>
      </c>
      <c r="T579" s="25">
        <f>IF(AND(Q579=1,G579&lt;&gt;""),SUBSTITUTE(SUBSTITUTE(SUBSTITUTE(SUBSTITUTE(SUBSTITUTE(SUBSTITUTE(SUBSTITUTE(SUBSTITUTE(SUBSTITUTE(SUBSTITUTE(SUBSTITUTE(SUBSTITUTE(LOWER(TRIM(G579)),"á","a"),"é","e"),"í","i"),"ó","o"),"ú","u"),"ü","u"),"ñ","n"),"à","a"),"è","e"),"ì","i"),"ò","o"),"ù","u"),"")</f>
        <v/>
      </c>
      <c r="U579" s="25">
        <f>IF(AND(Q579=1,H579&lt;&gt;""),SUBSTITUTE(SUBSTITUTE(SUBSTITUTE(SUBSTITUTE(SUBSTITUTE(SUBSTITUTE(SUBSTITUTE(SUBSTITUTE(SUBSTITUTE(SUBSTITUTE(SUBSTITUTE(SUBSTITUTE(LOWER(TRIM(H579)),"á","a"),"é","e"),"í","i"),"ó","o"),"ú","u"),"ü","u"),"ñ","n"),"à","a"),"è","e"),"ì","i"),"ò","o"),"ù","u"),"")</f>
        <v/>
      </c>
      <c r="V579" s="25">
        <f>IF(AND(Q579=1,L579&lt;&gt;""),SUBSTITUTE(SUBSTITUTE(SUBSTITUTE(SUBSTITUTE(SUBSTITUTE(SUBSTITUTE(SUBSTITUTE(SUBSTITUTE(SUBSTITUTE(SUBSTITUTE(SUBSTITUTE(SUBSTITUTE(LOWER(TRIM(L579)),"á","a"),"é","e"),"í","i"),"ó","o"),"ú","u"),"ü","u"),"ñ","n"),"à","a"),"è","e"),"ì","i"),"ò","o"),"ù","u"),"")</f>
        <v/>
      </c>
      <c r="W579" s="25">
        <f>IF(AND(Q579=1,I579&lt;&gt;""),SUBSTITUTE(SUBSTITUTE(SUBSTITUTE(SUBSTITUTE(SUBSTITUTE(SUBSTITUTE(SUBSTITUTE(SUBSTITUTE(SUBSTITUTE(SUBSTITUTE(SUBSTITUTE(SUBSTITUTE(LOWER(TRIM(I579)),"á","a"),"é","e"),"í","i"),"ó","o"),"ú","u"),"ü","u"),"ñ","n"),"à","a"),"è","e"),"ì","i"),"ò","o"),"ù","u"),"")</f>
        <v/>
      </c>
      <c r="X579" s="25">
        <f>IF(U579="","",IF(OR(U579="si, en la proxima tarea",U579="si, con cambios"),1,0))</f>
        <v/>
      </c>
      <c r="Y579" s="25">
        <f>IF(AND(Q579=1,A579&lt;&gt;""),IF(IFERROR(COUNTIFS(A$3:A579,"="&amp;SUBSTITUTE(SUBSTITUTE(SUBSTITUTE(A579,"~","~~"),"*","~*"),"?","~?"),Q$3:Q579,1),0)=1,MAX(Y$2:Y578)+1,""),"")</f>
        <v/>
      </c>
      <c r="Z579" s="25">
        <f>IF(Y579="","",COUNTIFS($A$3:$A$1002,"="&amp;SUBSTITUTE(SUBSTITUTE(SUBSTITUTE(A579,"~","~~"),"*","~*"),"?","~?"),$Q$3:$Q$1002,1)*10000-Y579)</f>
        <v/>
      </c>
    </row>
    <row r="580">
      <c r="A580">
        <f>IF(A$2=0,"",IFERROR(TRIM(INDEX('Pegar docentes'!$A$1:$BZ$1001,579,A$2)&amp;""),""))</f>
        <v/>
      </c>
      <c r="B580">
        <f>IF(B$2=0,"",IFERROR(TRIM(INDEX('Pegar docentes'!$A$1:$BZ$1001,579,B$2)&amp;""),""))</f>
        <v/>
      </c>
      <c r="C580">
        <f>IF(C$2=0,"",IFERROR(TRIM(INDEX('Pegar docentes'!$A$1:$BZ$1001,579,C$2)&amp;""),""))</f>
        <v/>
      </c>
      <c r="D580">
        <f>IF(D$2=0,"",IFERROR(TRIM(INDEX('Pegar docentes'!$A$1:$BZ$1001,579,D$2)&amp;""),""))</f>
        <v/>
      </c>
      <c r="E580">
        <f>IF(E$2=0,"",IFERROR(TRIM(INDEX('Pegar docentes'!$A$1:$BZ$1001,579,E$2)&amp;""),""))</f>
        <v/>
      </c>
      <c r="F580">
        <f>IF(F$2=0,"",IFERROR(TRIM(INDEX('Pegar docentes'!$A$1:$BZ$1001,579,F$2)&amp;""),""))</f>
        <v/>
      </c>
      <c r="G580">
        <f>IF(G$2=0,"",IFERROR(TRIM(INDEX('Pegar docentes'!$A$1:$BZ$1001,579,G$2)&amp;""),""))</f>
        <v/>
      </c>
      <c r="H580">
        <f>IF(H$2=0,"",IFERROR(TRIM(INDEX('Pegar docentes'!$A$1:$BZ$1001,579,H$2)&amp;""),""))</f>
        <v/>
      </c>
      <c r="I580">
        <f>IF(I$2=0,"",IFERROR(TRIM(INDEX('Pegar docentes'!$A$1:$BZ$1001,579,I$2)&amp;""),""))</f>
        <v/>
      </c>
      <c r="J580">
        <f>IF(J$2=0,"",IFERROR(TRIM(INDEX('Pegar docentes'!$A$1:$BZ$1001,579,J$2)&amp;""),""))</f>
        <v/>
      </c>
      <c r="K580">
        <f>IF(K$2=0,"",IFERROR(TRIM(INDEX('Pegar docentes'!$A$1:$BZ$1001,579,K$2)&amp;""),""))</f>
        <v/>
      </c>
      <c r="L580">
        <f>IF(L$2=0,"",IFERROR(TRIM(INDEX('Pegar docentes'!$A$1:$BZ$1001,579,L$2)&amp;""),""))</f>
        <v/>
      </c>
      <c r="M580">
        <f>IF(M$2=0,"",IFERROR(TRIM(INDEX('Pegar docentes'!$A$1:$BZ$1001,579,M$2)&amp;""),""))</f>
        <v/>
      </c>
      <c r="N580">
        <f>IF(N$2=0,"",IFERROR(TRIM(INDEX('Pegar docentes'!$A$1:$BZ$1001,579,N$2)&amp;""),""))</f>
        <v/>
      </c>
      <c r="O580">
        <f>IF(O$2=0,"",IFERROR(TRIM(INDEX('Pegar docentes'!$A$1:$BZ$1001,579,O$2)&amp;""),""))</f>
        <v/>
      </c>
      <c r="P580">
        <f>IF(P$2=0,"",IFERROR(TRIM(INDEX('Pegar docentes'!$A$1:$BZ$1001,579,P$2)&amp;""),""))</f>
        <v/>
      </c>
      <c r="Q580" s="25">
        <f>IF(OR(D580&lt;&gt;"",H580&lt;&gt;""),1,"")</f>
        <v/>
      </c>
      <c r="R580" s="25">
        <f>IF(Q580=1,IF(ISNUMBER(FIND("#"&amp;MID(D580,1,1)&amp;"#","#0#1#2#3#4#5#6#7#8#9#")),IF(ISNUMBER(FIND("#"&amp;MID(D580,2,1)&amp;"#","#0#1#2#3#4#5#6#7#8#9#")),IF(AND(VALUE(LEFT(D580,2))&gt;=1,VALUE(LEFT(D580,2))&lt;=5),VALUE(LEFT(D580,2)),""),IF(AND(VALUE(LEFT(D580,1))&gt;=1,VALUE(LEFT(D580,1))&lt;=5),VALUE(LEFT(D580,1)),"")),""),"")</f>
        <v/>
      </c>
      <c r="S580" s="25">
        <f>IF(AND(Q580=1,E580&lt;&gt;""),SUBSTITUTE(SUBSTITUTE(SUBSTITUTE(SUBSTITUTE(SUBSTITUTE(SUBSTITUTE(SUBSTITUTE(SUBSTITUTE(SUBSTITUTE(SUBSTITUTE(SUBSTITUTE(SUBSTITUTE(LOWER(TRIM(E580)),"á","a"),"é","e"),"í","i"),"ó","o"),"ú","u"),"ü","u"),"ñ","n"),"à","a"),"è","e"),"ì","i"),"ò","o"),"ù","u"),"")</f>
        <v/>
      </c>
      <c r="T580" s="25">
        <f>IF(AND(Q580=1,G580&lt;&gt;""),SUBSTITUTE(SUBSTITUTE(SUBSTITUTE(SUBSTITUTE(SUBSTITUTE(SUBSTITUTE(SUBSTITUTE(SUBSTITUTE(SUBSTITUTE(SUBSTITUTE(SUBSTITUTE(SUBSTITUTE(LOWER(TRIM(G580)),"á","a"),"é","e"),"í","i"),"ó","o"),"ú","u"),"ü","u"),"ñ","n"),"à","a"),"è","e"),"ì","i"),"ò","o"),"ù","u"),"")</f>
        <v/>
      </c>
      <c r="U580" s="25">
        <f>IF(AND(Q580=1,H580&lt;&gt;""),SUBSTITUTE(SUBSTITUTE(SUBSTITUTE(SUBSTITUTE(SUBSTITUTE(SUBSTITUTE(SUBSTITUTE(SUBSTITUTE(SUBSTITUTE(SUBSTITUTE(SUBSTITUTE(SUBSTITUTE(LOWER(TRIM(H580)),"á","a"),"é","e"),"í","i"),"ó","o"),"ú","u"),"ü","u"),"ñ","n"),"à","a"),"è","e"),"ì","i"),"ò","o"),"ù","u"),"")</f>
        <v/>
      </c>
      <c r="V580" s="25">
        <f>IF(AND(Q580=1,L580&lt;&gt;""),SUBSTITUTE(SUBSTITUTE(SUBSTITUTE(SUBSTITUTE(SUBSTITUTE(SUBSTITUTE(SUBSTITUTE(SUBSTITUTE(SUBSTITUTE(SUBSTITUTE(SUBSTITUTE(SUBSTITUTE(LOWER(TRIM(L580)),"á","a"),"é","e"),"í","i"),"ó","o"),"ú","u"),"ü","u"),"ñ","n"),"à","a"),"è","e"),"ì","i"),"ò","o"),"ù","u"),"")</f>
        <v/>
      </c>
      <c r="W580" s="25">
        <f>IF(AND(Q580=1,I580&lt;&gt;""),SUBSTITUTE(SUBSTITUTE(SUBSTITUTE(SUBSTITUTE(SUBSTITUTE(SUBSTITUTE(SUBSTITUTE(SUBSTITUTE(SUBSTITUTE(SUBSTITUTE(SUBSTITUTE(SUBSTITUTE(LOWER(TRIM(I580)),"á","a"),"é","e"),"í","i"),"ó","o"),"ú","u"),"ü","u"),"ñ","n"),"à","a"),"è","e"),"ì","i"),"ò","o"),"ù","u"),"")</f>
        <v/>
      </c>
      <c r="X580" s="25">
        <f>IF(U580="","",IF(OR(U580="si, en la proxima tarea",U580="si, con cambios"),1,0))</f>
        <v/>
      </c>
      <c r="Y580" s="25">
        <f>IF(AND(Q580=1,A580&lt;&gt;""),IF(IFERROR(COUNTIFS(A$3:A580,"="&amp;SUBSTITUTE(SUBSTITUTE(SUBSTITUTE(A580,"~","~~"),"*","~*"),"?","~?"),Q$3:Q580,1),0)=1,MAX(Y$2:Y579)+1,""),"")</f>
        <v/>
      </c>
      <c r="Z580" s="25">
        <f>IF(Y580="","",COUNTIFS($A$3:$A$1002,"="&amp;SUBSTITUTE(SUBSTITUTE(SUBSTITUTE(A580,"~","~~"),"*","~*"),"?","~?"),$Q$3:$Q$1002,1)*10000-Y580)</f>
        <v/>
      </c>
    </row>
    <row r="581">
      <c r="A581">
        <f>IF(A$2=0,"",IFERROR(TRIM(INDEX('Pegar docentes'!$A$1:$BZ$1001,580,A$2)&amp;""),""))</f>
        <v/>
      </c>
      <c r="B581">
        <f>IF(B$2=0,"",IFERROR(TRIM(INDEX('Pegar docentes'!$A$1:$BZ$1001,580,B$2)&amp;""),""))</f>
        <v/>
      </c>
      <c r="C581">
        <f>IF(C$2=0,"",IFERROR(TRIM(INDEX('Pegar docentes'!$A$1:$BZ$1001,580,C$2)&amp;""),""))</f>
        <v/>
      </c>
      <c r="D581">
        <f>IF(D$2=0,"",IFERROR(TRIM(INDEX('Pegar docentes'!$A$1:$BZ$1001,580,D$2)&amp;""),""))</f>
        <v/>
      </c>
      <c r="E581">
        <f>IF(E$2=0,"",IFERROR(TRIM(INDEX('Pegar docentes'!$A$1:$BZ$1001,580,E$2)&amp;""),""))</f>
        <v/>
      </c>
      <c r="F581">
        <f>IF(F$2=0,"",IFERROR(TRIM(INDEX('Pegar docentes'!$A$1:$BZ$1001,580,F$2)&amp;""),""))</f>
        <v/>
      </c>
      <c r="G581">
        <f>IF(G$2=0,"",IFERROR(TRIM(INDEX('Pegar docentes'!$A$1:$BZ$1001,580,G$2)&amp;""),""))</f>
        <v/>
      </c>
      <c r="H581">
        <f>IF(H$2=0,"",IFERROR(TRIM(INDEX('Pegar docentes'!$A$1:$BZ$1001,580,H$2)&amp;""),""))</f>
        <v/>
      </c>
      <c r="I581">
        <f>IF(I$2=0,"",IFERROR(TRIM(INDEX('Pegar docentes'!$A$1:$BZ$1001,580,I$2)&amp;""),""))</f>
        <v/>
      </c>
      <c r="J581">
        <f>IF(J$2=0,"",IFERROR(TRIM(INDEX('Pegar docentes'!$A$1:$BZ$1001,580,J$2)&amp;""),""))</f>
        <v/>
      </c>
      <c r="K581">
        <f>IF(K$2=0,"",IFERROR(TRIM(INDEX('Pegar docentes'!$A$1:$BZ$1001,580,K$2)&amp;""),""))</f>
        <v/>
      </c>
      <c r="L581">
        <f>IF(L$2=0,"",IFERROR(TRIM(INDEX('Pegar docentes'!$A$1:$BZ$1001,580,L$2)&amp;""),""))</f>
        <v/>
      </c>
      <c r="M581">
        <f>IF(M$2=0,"",IFERROR(TRIM(INDEX('Pegar docentes'!$A$1:$BZ$1001,580,M$2)&amp;""),""))</f>
        <v/>
      </c>
      <c r="N581">
        <f>IF(N$2=0,"",IFERROR(TRIM(INDEX('Pegar docentes'!$A$1:$BZ$1001,580,N$2)&amp;""),""))</f>
        <v/>
      </c>
      <c r="O581">
        <f>IF(O$2=0,"",IFERROR(TRIM(INDEX('Pegar docentes'!$A$1:$BZ$1001,580,O$2)&amp;""),""))</f>
        <v/>
      </c>
      <c r="P581">
        <f>IF(P$2=0,"",IFERROR(TRIM(INDEX('Pegar docentes'!$A$1:$BZ$1001,580,P$2)&amp;""),""))</f>
        <v/>
      </c>
      <c r="Q581" s="25">
        <f>IF(OR(D581&lt;&gt;"",H581&lt;&gt;""),1,"")</f>
        <v/>
      </c>
      <c r="R581" s="25">
        <f>IF(Q581=1,IF(ISNUMBER(FIND("#"&amp;MID(D581,1,1)&amp;"#","#0#1#2#3#4#5#6#7#8#9#")),IF(ISNUMBER(FIND("#"&amp;MID(D581,2,1)&amp;"#","#0#1#2#3#4#5#6#7#8#9#")),IF(AND(VALUE(LEFT(D581,2))&gt;=1,VALUE(LEFT(D581,2))&lt;=5),VALUE(LEFT(D581,2)),""),IF(AND(VALUE(LEFT(D581,1))&gt;=1,VALUE(LEFT(D581,1))&lt;=5),VALUE(LEFT(D581,1)),"")),""),"")</f>
        <v/>
      </c>
      <c r="S581" s="25">
        <f>IF(AND(Q581=1,E581&lt;&gt;""),SUBSTITUTE(SUBSTITUTE(SUBSTITUTE(SUBSTITUTE(SUBSTITUTE(SUBSTITUTE(SUBSTITUTE(SUBSTITUTE(SUBSTITUTE(SUBSTITUTE(SUBSTITUTE(SUBSTITUTE(LOWER(TRIM(E581)),"á","a"),"é","e"),"í","i"),"ó","o"),"ú","u"),"ü","u"),"ñ","n"),"à","a"),"è","e"),"ì","i"),"ò","o"),"ù","u"),"")</f>
        <v/>
      </c>
      <c r="T581" s="25">
        <f>IF(AND(Q581=1,G581&lt;&gt;""),SUBSTITUTE(SUBSTITUTE(SUBSTITUTE(SUBSTITUTE(SUBSTITUTE(SUBSTITUTE(SUBSTITUTE(SUBSTITUTE(SUBSTITUTE(SUBSTITUTE(SUBSTITUTE(SUBSTITUTE(LOWER(TRIM(G581)),"á","a"),"é","e"),"í","i"),"ó","o"),"ú","u"),"ü","u"),"ñ","n"),"à","a"),"è","e"),"ì","i"),"ò","o"),"ù","u"),"")</f>
        <v/>
      </c>
      <c r="U581" s="25">
        <f>IF(AND(Q581=1,H581&lt;&gt;""),SUBSTITUTE(SUBSTITUTE(SUBSTITUTE(SUBSTITUTE(SUBSTITUTE(SUBSTITUTE(SUBSTITUTE(SUBSTITUTE(SUBSTITUTE(SUBSTITUTE(SUBSTITUTE(SUBSTITUTE(LOWER(TRIM(H581)),"á","a"),"é","e"),"í","i"),"ó","o"),"ú","u"),"ü","u"),"ñ","n"),"à","a"),"è","e"),"ì","i"),"ò","o"),"ù","u"),"")</f>
        <v/>
      </c>
      <c r="V581" s="25">
        <f>IF(AND(Q581=1,L581&lt;&gt;""),SUBSTITUTE(SUBSTITUTE(SUBSTITUTE(SUBSTITUTE(SUBSTITUTE(SUBSTITUTE(SUBSTITUTE(SUBSTITUTE(SUBSTITUTE(SUBSTITUTE(SUBSTITUTE(SUBSTITUTE(LOWER(TRIM(L581)),"á","a"),"é","e"),"í","i"),"ó","o"),"ú","u"),"ü","u"),"ñ","n"),"à","a"),"è","e"),"ì","i"),"ò","o"),"ù","u"),"")</f>
        <v/>
      </c>
      <c r="W581" s="25">
        <f>IF(AND(Q581=1,I581&lt;&gt;""),SUBSTITUTE(SUBSTITUTE(SUBSTITUTE(SUBSTITUTE(SUBSTITUTE(SUBSTITUTE(SUBSTITUTE(SUBSTITUTE(SUBSTITUTE(SUBSTITUTE(SUBSTITUTE(SUBSTITUTE(LOWER(TRIM(I581)),"á","a"),"é","e"),"í","i"),"ó","o"),"ú","u"),"ü","u"),"ñ","n"),"à","a"),"è","e"),"ì","i"),"ò","o"),"ù","u"),"")</f>
        <v/>
      </c>
      <c r="X581" s="25">
        <f>IF(U581="","",IF(OR(U581="si, en la proxima tarea",U581="si, con cambios"),1,0))</f>
        <v/>
      </c>
      <c r="Y581" s="25">
        <f>IF(AND(Q581=1,A581&lt;&gt;""),IF(IFERROR(COUNTIFS(A$3:A581,"="&amp;SUBSTITUTE(SUBSTITUTE(SUBSTITUTE(A581,"~","~~"),"*","~*"),"?","~?"),Q$3:Q581,1),0)=1,MAX(Y$2:Y580)+1,""),"")</f>
        <v/>
      </c>
      <c r="Z581" s="25">
        <f>IF(Y581="","",COUNTIFS($A$3:$A$1002,"="&amp;SUBSTITUTE(SUBSTITUTE(SUBSTITUTE(A581,"~","~~"),"*","~*"),"?","~?"),$Q$3:$Q$1002,1)*10000-Y581)</f>
        <v/>
      </c>
    </row>
    <row r="582">
      <c r="A582">
        <f>IF(A$2=0,"",IFERROR(TRIM(INDEX('Pegar docentes'!$A$1:$BZ$1001,581,A$2)&amp;""),""))</f>
        <v/>
      </c>
      <c r="B582">
        <f>IF(B$2=0,"",IFERROR(TRIM(INDEX('Pegar docentes'!$A$1:$BZ$1001,581,B$2)&amp;""),""))</f>
        <v/>
      </c>
      <c r="C582">
        <f>IF(C$2=0,"",IFERROR(TRIM(INDEX('Pegar docentes'!$A$1:$BZ$1001,581,C$2)&amp;""),""))</f>
        <v/>
      </c>
      <c r="D582">
        <f>IF(D$2=0,"",IFERROR(TRIM(INDEX('Pegar docentes'!$A$1:$BZ$1001,581,D$2)&amp;""),""))</f>
        <v/>
      </c>
      <c r="E582">
        <f>IF(E$2=0,"",IFERROR(TRIM(INDEX('Pegar docentes'!$A$1:$BZ$1001,581,E$2)&amp;""),""))</f>
        <v/>
      </c>
      <c r="F582">
        <f>IF(F$2=0,"",IFERROR(TRIM(INDEX('Pegar docentes'!$A$1:$BZ$1001,581,F$2)&amp;""),""))</f>
        <v/>
      </c>
      <c r="G582">
        <f>IF(G$2=0,"",IFERROR(TRIM(INDEX('Pegar docentes'!$A$1:$BZ$1001,581,G$2)&amp;""),""))</f>
        <v/>
      </c>
      <c r="H582">
        <f>IF(H$2=0,"",IFERROR(TRIM(INDEX('Pegar docentes'!$A$1:$BZ$1001,581,H$2)&amp;""),""))</f>
        <v/>
      </c>
      <c r="I582">
        <f>IF(I$2=0,"",IFERROR(TRIM(INDEX('Pegar docentes'!$A$1:$BZ$1001,581,I$2)&amp;""),""))</f>
        <v/>
      </c>
      <c r="J582">
        <f>IF(J$2=0,"",IFERROR(TRIM(INDEX('Pegar docentes'!$A$1:$BZ$1001,581,J$2)&amp;""),""))</f>
        <v/>
      </c>
      <c r="K582">
        <f>IF(K$2=0,"",IFERROR(TRIM(INDEX('Pegar docentes'!$A$1:$BZ$1001,581,K$2)&amp;""),""))</f>
        <v/>
      </c>
      <c r="L582">
        <f>IF(L$2=0,"",IFERROR(TRIM(INDEX('Pegar docentes'!$A$1:$BZ$1001,581,L$2)&amp;""),""))</f>
        <v/>
      </c>
      <c r="M582">
        <f>IF(M$2=0,"",IFERROR(TRIM(INDEX('Pegar docentes'!$A$1:$BZ$1001,581,M$2)&amp;""),""))</f>
        <v/>
      </c>
      <c r="N582">
        <f>IF(N$2=0,"",IFERROR(TRIM(INDEX('Pegar docentes'!$A$1:$BZ$1001,581,N$2)&amp;""),""))</f>
        <v/>
      </c>
      <c r="O582">
        <f>IF(O$2=0,"",IFERROR(TRIM(INDEX('Pegar docentes'!$A$1:$BZ$1001,581,O$2)&amp;""),""))</f>
        <v/>
      </c>
      <c r="P582">
        <f>IF(P$2=0,"",IFERROR(TRIM(INDEX('Pegar docentes'!$A$1:$BZ$1001,581,P$2)&amp;""),""))</f>
        <v/>
      </c>
      <c r="Q582" s="25">
        <f>IF(OR(D582&lt;&gt;"",H582&lt;&gt;""),1,"")</f>
        <v/>
      </c>
      <c r="R582" s="25">
        <f>IF(Q582=1,IF(ISNUMBER(FIND("#"&amp;MID(D582,1,1)&amp;"#","#0#1#2#3#4#5#6#7#8#9#")),IF(ISNUMBER(FIND("#"&amp;MID(D582,2,1)&amp;"#","#0#1#2#3#4#5#6#7#8#9#")),IF(AND(VALUE(LEFT(D582,2))&gt;=1,VALUE(LEFT(D582,2))&lt;=5),VALUE(LEFT(D582,2)),""),IF(AND(VALUE(LEFT(D582,1))&gt;=1,VALUE(LEFT(D582,1))&lt;=5),VALUE(LEFT(D582,1)),"")),""),"")</f>
        <v/>
      </c>
      <c r="S582" s="25">
        <f>IF(AND(Q582=1,E582&lt;&gt;""),SUBSTITUTE(SUBSTITUTE(SUBSTITUTE(SUBSTITUTE(SUBSTITUTE(SUBSTITUTE(SUBSTITUTE(SUBSTITUTE(SUBSTITUTE(SUBSTITUTE(SUBSTITUTE(SUBSTITUTE(LOWER(TRIM(E582)),"á","a"),"é","e"),"í","i"),"ó","o"),"ú","u"),"ü","u"),"ñ","n"),"à","a"),"è","e"),"ì","i"),"ò","o"),"ù","u"),"")</f>
        <v/>
      </c>
      <c r="T582" s="25">
        <f>IF(AND(Q582=1,G582&lt;&gt;""),SUBSTITUTE(SUBSTITUTE(SUBSTITUTE(SUBSTITUTE(SUBSTITUTE(SUBSTITUTE(SUBSTITUTE(SUBSTITUTE(SUBSTITUTE(SUBSTITUTE(SUBSTITUTE(SUBSTITUTE(LOWER(TRIM(G582)),"á","a"),"é","e"),"í","i"),"ó","o"),"ú","u"),"ü","u"),"ñ","n"),"à","a"),"è","e"),"ì","i"),"ò","o"),"ù","u"),"")</f>
        <v/>
      </c>
      <c r="U582" s="25">
        <f>IF(AND(Q582=1,H582&lt;&gt;""),SUBSTITUTE(SUBSTITUTE(SUBSTITUTE(SUBSTITUTE(SUBSTITUTE(SUBSTITUTE(SUBSTITUTE(SUBSTITUTE(SUBSTITUTE(SUBSTITUTE(SUBSTITUTE(SUBSTITUTE(LOWER(TRIM(H582)),"á","a"),"é","e"),"í","i"),"ó","o"),"ú","u"),"ü","u"),"ñ","n"),"à","a"),"è","e"),"ì","i"),"ò","o"),"ù","u"),"")</f>
        <v/>
      </c>
      <c r="V582" s="25">
        <f>IF(AND(Q582=1,L582&lt;&gt;""),SUBSTITUTE(SUBSTITUTE(SUBSTITUTE(SUBSTITUTE(SUBSTITUTE(SUBSTITUTE(SUBSTITUTE(SUBSTITUTE(SUBSTITUTE(SUBSTITUTE(SUBSTITUTE(SUBSTITUTE(LOWER(TRIM(L582)),"á","a"),"é","e"),"í","i"),"ó","o"),"ú","u"),"ü","u"),"ñ","n"),"à","a"),"è","e"),"ì","i"),"ò","o"),"ù","u"),"")</f>
        <v/>
      </c>
      <c r="W582" s="25">
        <f>IF(AND(Q582=1,I582&lt;&gt;""),SUBSTITUTE(SUBSTITUTE(SUBSTITUTE(SUBSTITUTE(SUBSTITUTE(SUBSTITUTE(SUBSTITUTE(SUBSTITUTE(SUBSTITUTE(SUBSTITUTE(SUBSTITUTE(SUBSTITUTE(LOWER(TRIM(I582)),"á","a"),"é","e"),"í","i"),"ó","o"),"ú","u"),"ü","u"),"ñ","n"),"à","a"),"è","e"),"ì","i"),"ò","o"),"ù","u"),"")</f>
        <v/>
      </c>
      <c r="X582" s="25">
        <f>IF(U582="","",IF(OR(U582="si, en la proxima tarea",U582="si, con cambios"),1,0))</f>
        <v/>
      </c>
      <c r="Y582" s="25">
        <f>IF(AND(Q582=1,A582&lt;&gt;""),IF(IFERROR(COUNTIFS(A$3:A582,"="&amp;SUBSTITUTE(SUBSTITUTE(SUBSTITUTE(A582,"~","~~"),"*","~*"),"?","~?"),Q$3:Q582,1),0)=1,MAX(Y$2:Y581)+1,""),"")</f>
        <v/>
      </c>
      <c r="Z582" s="25">
        <f>IF(Y582="","",COUNTIFS($A$3:$A$1002,"="&amp;SUBSTITUTE(SUBSTITUTE(SUBSTITUTE(A582,"~","~~"),"*","~*"),"?","~?"),$Q$3:$Q$1002,1)*10000-Y582)</f>
        <v/>
      </c>
    </row>
    <row r="583">
      <c r="A583">
        <f>IF(A$2=0,"",IFERROR(TRIM(INDEX('Pegar docentes'!$A$1:$BZ$1001,582,A$2)&amp;""),""))</f>
        <v/>
      </c>
      <c r="B583">
        <f>IF(B$2=0,"",IFERROR(TRIM(INDEX('Pegar docentes'!$A$1:$BZ$1001,582,B$2)&amp;""),""))</f>
        <v/>
      </c>
      <c r="C583">
        <f>IF(C$2=0,"",IFERROR(TRIM(INDEX('Pegar docentes'!$A$1:$BZ$1001,582,C$2)&amp;""),""))</f>
        <v/>
      </c>
      <c r="D583">
        <f>IF(D$2=0,"",IFERROR(TRIM(INDEX('Pegar docentes'!$A$1:$BZ$1001,582,D$2)&amp;""),""))</f>
        <v/>
      </c>
      <c r="E583">
        <f>IF(E$2=0,"",IFERROR(TRIM(INDEX('Pegar docentes'!$A$1:$BZ$1001,582,E$2)&amp;""),""))</f>
        <v/>
      </c>
      <c r="F583">
        <f>IF(F$2=0,"",IFERROR(TRIM(INDEX('Pegar docentes'!$A$1:$BZ$1001,582,F$2)&amp;""),""))</f>
        <v/>
      </c>
      <c r="G583">
        <f>IF(G$2=0,"",IFERROR(TRIM(INDEX('Pegar docentes'!$A$1:$BZ$1001,582,G$2)&amp;""),""))</f>
        <v/>
      </c>
      <c r="H583">
        <f>IF(H$2=0,"",IFERROR(TRIM(INDEX('Pegar docentes'!$A$1:$BZ$1001,582,H$2)&amp;""),""))</f>
        <v/>
      </c>
      <c r="I583">
        <f>IF(I$2=0,"",IFERROR(TRIM(INDEX('Pegar docentes'!$A$1:$BZ$1001,582,I$2)&amp;""),""))</f>
        <v/>
      </c>
      <c r="J583">
        <f>IF(J$2=0,"",IFERROR(TRIM(INDEX('Pegar docentes'!$A$1:$BZ$1001,582,J$2)&amp;""),""))</f>
        <v/>
      </c>
      <c r="K583">
        <f>IF(K$2=0,"",IFERROR(TRIM(INDEX('Pegar docentes'!$A$1:$BZ$1001,582,K$2)&amp;""),""))</f>
        <v/>
      </c>
      <c r="L583">
        <f>IF(L$2=0,"",IFERROR(TRIM(INDEX('Pegar docentes'!$A$1:$BZ$1001,582,L$2)&amp;""),""))</f>
        <v/>
      </c>
      <c r="M583">
        <f>IF(M$2=0,"",IFERROR(TRIM(INDEX('Pegar docentes'!$A$1:$BZ$1001,582,M$2)&amp;""),""))</f>
        <v/>
      </c>
      <c r="N583">
        <f>IF(N$2=0,"",IFERROR(TRIM(INDEX('Pegar docentes'!$A$1:$BZ$1001,582,N$2)&amp;""),""))</f>
        <v/>
      </c>
      <c r="O583">
        <f>IF(O$2=0,"",IFERROR(TRIM(INDEX('Pegar docentes'!$A$1:$BZ$1001,582,O$2)&amp;""),""))</f>
        <v/>
      </c>
      <c r="P583">
        <f>IF(P$2=0,"",IFERROR(TRIM(INDEX('Pegar docentes'!$A$1:$BZ$1001,582,P$2)&amp;""),""))</f>
        <v/>
      </c>
      <c r="Q583" s="25">
        <f>IF(OR(D583&lt;&gt;"",H583&lt;&gt;""),1,"")</f>
        <v/>
      </c>
      <c r="R583" s="25">
        <f>IF(Q583=1,IF(ISNUMBER(FIND("#"&amp;MID(D583,1,1)&amp;"#","#0#1#2#3#4#5#6#7#8#9#")),IF(ISNUMBER(FIND("#"&amp;MID(D583,2,1)&amp;"#","#0#1#2#3#4#5#6#7#8#9#")),IF(AND(VALUE(LEFT(D583,2))&gt;=1,VALUE(LEFT(D583,2))&lt;=5),VALUE(LEFT(D583,2)),""),IF(AND(VALUE(LEFT(D583,1))&gt;=1,VALUE(LEFT(D583,1))&lt;=5),VALUE(LEFT(D583,1)),"")),""),"")</f>
        <v/>
      </c>
      <c r="S583" s="25">
        <f>IF(AND(Q583=1,E583&lt;&gt;""),SUBSTITUTE(SUBSTITUTE(SUBSTITUTE(SUBSTITUTE(SUBSTITUTE(SUBSTITUTE(SUBSTITUTE(SUBSTITUTE(SUBSTITUTE(SUBSTITUTE(SUBSTITUTE(SUBSTITUTE(LOWER(TRIM(E583)),"á","a"),"é","e"),"í","i"),"ó","o"),"ú","u"),"ü","u"),"ñ","n"),"à","a"),"è","e"),"ì","i"),"ò","o"),"ù","u"),"")</f>
        <v/>
      </c>
      <c r="T583" s="25">
        <f>IF(AND(Q583=1,G583&lt;&gt;""),SUBSTITUTE(SUBSTITUTE(SUBSTITUTE(SUBSTITUTE(SUBSTITUTE(SUBSTITUTE(SUBSTITUTE(SUBSTITUTE(SUBSTITUTE(SUBSTITUTE(SUBSTITUTE(SUBSTITUTE(LOWER(TRIM(G583)),"á","a"),"é","e"),"í","i"),"ó","o"),"ú","u"),"ü","u"),"ñ","n"),"à","a"),"è","e"),"ì","i"),"ò","o"),"ù","u"),"")</f>
        <v/>
      </c>
      <c r="U583" s="25">
        <f>IF(AND(Q583=1,H583&lt;&gt;""),SUBSTITUTE(SUBSTITUTE(SUBSTITUTE(SUBSTITUTE(SUBSTITUTE(SUBSTITUTE(SUBSTITUTE(SUBSTITUTE(SUBSTITUTE(SUBSTITUTE(SUBSTITUTE(SUBSTITUTE(LOWER(TRIM(H583)),"á","a"),"é","e"),"í","i"),"ó","o"),"ú","u"),"ü","u"),"ñ","n"),"à","a"),"è","e"),"ì","i"),"ò","o"),"ù","u"),"")</f>
        <v/>
      </c>
      <c r="V583" s="25">
        <f>IF(AND(Q583=1,L583&lt;&gt;""),SUBSTITUTE(SUBSTITUTE(SUBSTITUTE(SUBSTITUTE(SUBSTITUTE(SUBSTITUTE(SUBSTITUTE(SUBSTITUTE(SUBSTITUTE(SUBSTITUTE(SUBSTITUTE(SUBSTITUTE(LOWER(TRIM(L583)),"á","a"),"é","e"),"í","i"),"ó","o"),"ú","u"),"ü","u"),"ñ","n"),"à","a"),"è","e"),"ì","i"),"ò","o"),"ù","u"),"")</f>
        <v/>
      </c>
      <c r="W583" s="25">
        <f>IF(AND(Q583=1,I583&lt;&gt;""),SUBSTITUTE(SUBSTITUTE(SUBSTITUTE(SUBSTITUTE(SUBSTITUTE(SUBSTITUTE(SUBSTITUTE(SUBSTITUTE(SUBSTITUTE(SUBSTITUTE(SUBSTITUTE(SUBSTITUTE(LOWER(TRIM(I583)),"á","a"),"é","e"),"í","i"),"ó","o"),"ú","u"),"ü","u"),"ñ","n"),"à","a"),"è","e"),"ì","i"),"ò","o"),"ù","u"),"")</f>
        <v/>
      </c>
      <c r="X583" s="25">
        <f>IF(U583="","",IF(OR(U583="si, en la proxima tarea",U583="si, con cambios"),1,0))</f>
        <v/>
      </c>
      <c r="Y583" s="25">
        <f>IF(AND(Q583=1,A583&lt;&gt;""),IF(IFERROR(COUNTIFS(A$3:A583,"="&amp;SUBSTITUTE(SUBSTITUTE(SUBSTITUTE(A583,"~","~~"),"*","~*"),"?","~?"),Q$3:Q583,1),0)=1,MAX(Y$2:Y582)+1,""),"")</f>
        <v/>
      </c>
      <c r="Z583" s="25">
        <f>IF(Y583="","",COUNTIFS($A$3:$A$1002,"="&amp;SUBSTITUTE(SUBSTITUTE(SUBSTITUTE(A583,"~","~~"),"*","~*"),"?","~?"),$Q$3:$Q$1002,1)*10000-Y583)</f>
        <v/>
      </c>
    </row>
    <row r="584">
      <c r="A584">
        <f>IF(A$2=0,"",IFERROR(TRIM(INDEX('Pegar docentes'!$A$1:$BZ$1001,583,A$2)&amp;""),""))</f>
        <v/>
      </c>
      <c r="B584">
        <f>IF(B$2=0,"",IFERROR(TRIM(INDEX('Pegar docentes'!$A$1:$BZ$1001,583,B$2)&amp;""),""))</f>
        <v/>
      </c>
      <c r="C584">
        <f>IF(C$2=0,"",IFERROR(TRIM(INDEX('Pegar docentes'!$A$1:$BZ$1001,583,C$2)&amp;""),""))</f>
        <v/>
      </c>
      <c r="D584">
        <f>IF(D$2=0,"",IFERROR(TRIM(INDEX('Pegar docentes'!$A$1:$BZ$1001,583,D$2)&amp;""),""))</f>
        <v/>
      </c>
      <c r="E584">
        <f>IF(E$2=0,"",IFERROR(TRIM(INDEX('Pegar docentes'!$A$1:$BZ$1001,583,E$2)&amp;""),""))</f>
        <v/>
      </c>
      <c r="F584">
        <f>IF(F$2=0,"",IFERROR(TRIM(INDEX('Pegar docentes'!$A$1:$BZ$1001,583,F$2)&amp;""),""))</f>
        <v/>
      </c>
      <c r="G584">
        <f>IF(G$2=0,"",IFERROR(TRIM(INDEX('Pegar docentes'!$A$1:$BZ$1001,583,G$2)&amp;""),""))</f>
        <v/>
      </c>
      <c r="H584">
        <f>IF(H$2=0,"",IFERROR(TRIM(INDEX('Pegar docentes'!$A$1:$BZ$1001,583,H$2)&amp;""),""))</f>
        <v/>
      </c>
      <c r="I584">
        <f>IF(I$2=0,"",IFERROR(TRIM(INDEX('Pegar docentes'!$A$1:$BZ$1001,583,I$2)&amp;""),""))</f>
        <v/>
      </c>
      <c r="J584">
        <f>IF(J$2=0,"",IFERROR(TRIM(INDEX('Pegar docentes'!$A$1:$BZ$1001,583,J$2)&amp;""),""))</f>
        <v/>
      </c>
      <c r="K584">
        <f>IF(K$2=0,"",IFERROR(TRIM(INDEX('Pegar docentes'!$A$1:$BZ$1001,583,K$2)&amp;""),""))</f>
        <v/>
      </c>
      <c r="L584">
        <f>IF(L$2=0,"",IFERROR(TRIM(INDEX('Pegar docentes'!$A$1:$BZ$1001,583,L$2)&amp;""),""))</f>
        <v/>
      </c>
      <c r="M584">
        <f>IF(M$2=0,"",IFERROR(TRIM(INDEX('Pegar docentes'!$A$1:$BZ$1001,583,M$2)&amp;""),""))</f>
        <v/>
      </c>
      <c r="N584">
        <f>IF(N$2=0,"",IFERROR(TRIM(INDEX('Pegar docentes'!$A$1:$BZ$1001,583,N$2)&amp;""),""))</f>
        <v/>
      </c>
      <c r="O584">
        <f>IF(O$2=0,"",IFERROR(TRIM(INDEX('Pegar docentes'!$A$1:$BZ$1001,583,O$2)&amp;""),""))</f>
        <v/>
      </c>
      <c r="P584">
        <f>IF(P$2=0,"",IFERROR(TRIM(INDEX('Pegar docentes'!$A$1:$BZ$1001,583,P$2)&amp;""),""))</f>
        <v/>
      </c>
      <c r="Q584" s="25">
        <f>IF(OR(D584&lt;&gt;"",H584&lt;&gt;""),1,"")</f>
        <v/>
      </c>
      <c r="R584" s="25">
        <f>IF(Q584=1,IF(ISNUMBER(FIND("#"&amp;MID(D584,1,1)&amp;"#","#0#1#2#3#4#5#6#7#8#9#")),IF(ISNUMBER(FIND("#"&amp;MID(D584,2,1)&amp;"#","#0#1#2#3#4#5#6#7#8#9#")),IF(AND(VALUE(LEFT(D584,2))&gt;=1,VALUE(LEFT(D584,2))&lt;=5),VALUE(LEFT(D584,2)),""),IF(AND(VALUE(LEFT(D584,1))&gt;=1,VALUE(LEFT(D584,1))&lt;=5),VALUE(LEFT(D584,1)),"")),""),"")</f>
        <v/>
      </c>
      <c r="S584" s="25">
        <f>IF(AND(Q584=1,E584&lt;&gt;""),SUBSTITUTE(SUBSTITUTE(SUBSTITUTE(SUBSTITUTE(SUBSTITUTE(SUBSTITUTE(SUBSTITUTE(SUBSTITUTE(SUBSTITUTE(SUBSTITUTE(SUBSTITUTE(SUBSTITUTE(LOWER(TRIM(E584)),"á","a"),"é","e"),"í","i"),"ó","o"),"ú","u"),"ü","u"),"ñ","n"),"à","a"),"è","e"),"ì","i"),"ò","o"),"ù","u"),"")</f>
        <v/>
      </c>
      <c r="T584" s="25">
        <f>IF(AND(Q584=1,G584&lt;&gt;""),SUBSTITUTE(SUBSTITUTE(SUBSTITUTE(SUBSTITUTE(SUBSTITUTE(SUBSTITUTE(SUBSTITUTE(SUBSTITUTE(SUBSTITUTE(SUBSTITUTE(SUBSTITUTE(SUBSTITUTE(LOWER(TRIM(G584)),"á","a"),"é","e"),"í","i"),"ó","o"),"ú","u"),"ü","u"),"ñ","n"),"à","a"),"è","e"),"ì","i"),"ò","o"),"ù","u"),"")</f>
        <v/>
      </c>
      <c r="U584" s="25">
        <f>IF(AND(Q584=1,H584&lt;&gt;""),SUBSTITUTE(SUBSTITUTE(SUBSTITUTE(SUBSTITUTE(SUBSTITUTE(SUBSTITUTE(SUBSTITUTE(SUBSTITUTE(SUBSTITUTE(SUBSTITUTE(SUBSTITUTE(SUBSTITUTE(LOWER(TRIM(H584)),"á","a"),"é","e"),"í","i"),"ó","o"),"ú","u"),"ü","u"),"ñ","n"),"à","a"),"è","e"),"ì","i"),"ò","o"),"ù","u"),"")</f>
        <v/>
      </c>
      <c r="V584" s="25">
        <f>IF(AND(Q584=1,L584&lt;&gt;""),SUBSTITUTE(SUBSTITUTE(SUBSTITUTE(SUBSTITUTE(SUBSTITUTE(SUBSTITUTE(SUBSTITUTE(SUBSTITUTE(SUBSTITUTE(SUBSTITUTE(SUBSTITUTE(SUBSTITUTE(LOWER(TRIM(L584)),"á","a"),"é","e"),"í","i"),"ó","o"),"ú","u"),"ü","u"),"ñ","n"),"à","a"),"è","e"),"ì","i"),"ò","o"),"ù","u"),"")</f>
        <v/>
      </c>
      <c r="W584" s="25">
        <f>IF(AND(Q584=1,I584&lt;&gt;""),SUBSTITUTE(SUBSTITUTE(SUBSTITUTE(SUBSTITUTE(SUBSTITUTE(SUBSTITUTE(SUBSTITUTE(SUBSTITUTE(SUBSTITUTE(SUBSTITUTE(SUBSTITUTE(SUBSTITUTE(LOWER(TRIM(I584)),"á","a"),"é","e"),"í","i"),"ó","o"),"ú","u"),"ü","u"),"ñ","n"),"à","a"),"è","e"),"ì","i"),"ò","o"),"ù","u"),"")</f>
        <v/>
      </c>
      <c r="X584" s="25">
        <f>IF(U584="","",IF(OR(U584="si, en la proxima tarea",U584="si, con cambios"),1,0))</f>
        <v/>
      </c>
      <c r="Y584" s="25">
        <f>IF(AND(Q584=1,A584&lt;&gt;""),IF(IFERROR(COUNTIFS(A$3:A584,"="&amp;SUBSTITUTE(SUBSTITUTE(SUBSTITUTE(A584,"~","~~"),"*","~*"),"?","~?"),Q$3:Q584,1),0)=1,MAX(Y$2:Y583)+1,""),"")</f>
        <v/>
      </c>
      <c r="Z584" s="25">
        <f>IF(Y584="","",COUNTIFS($A$3:$A$1002,"="&amp;SUBSTITUTE(SUBSTITUTE(SUBSTITUTE(A584,"~","~~"),"*","~*"),"?","~?"),$Q$3:$Q$1002,1)*10000-Y584)</f>
        <v/>
      </c>
    </row>
    <row r="585">
      <c r="A585">
        <f>IF(A$2=0,"",IFERROR(TRIM(INDEX('Pegar docentes'!$A$1:$BZ$1001,584,A$2)&amp;""),""))</f>
        <v/>
      </c>
      <c r="B585">
        <f>IF(B$2=0,"",IFERROR(TRIM(INDEX('Pegar docentes'!$A$1:$BZ$1001,584,B$2)&amp;""),""))</f>
        <v/>
      </c>
      <c r="C585">
        <f>IF(C$2=0,"",IFERROR(TRIM(INDEX('Pegar docentes'!$A$1:$BZ$1001,584,C$2)&amp;""),""))</f>
        <v/>
      </c>
      <c r="D585">
        <f>IF(D$2=0,"",IFERROR(TRIM(INDEX('Pegar docentes'!$A$1:$BZ$1001,584,D$2)&amp;""),""))</f>
        <v/>
      </c>
      <c r="E585">
        <f>IF(E$2=0,"",IFERROR(TRIM(INDEX('Pegar docentes'!$A$1:$BZ$1001,584,E$2)&amp;""),""))</f>
        <v/>
      </c>
      <c r="F585">
        <f>IF(F$2=0,"",IFERROR(TRIM(INDEX('Pegar docentes'!$A$1:$BZ$1001,584,F$2)&amp;""),""))</f>
        <v/>
      </c>
      <c r="G585">
        <f>IF(G$2=0,"",IFERROR(TRIM(INDEX('Pegar docentes'!$A$1:$BZ$1001,584,G$2)&amp;""),""))</f>
        <v/>
      </c>
      <c r="H585">
        <f>IF(H$2=0,"",IFERROR(TRIM(INDEX('Pegar docentes'!$A$1:$BZ$1001,584,H$2)&amp;""),""))</f>
        <v/>
      </c>
      <c r="I585">
        <f>IF(I$2=0,"",IFERROR(TRIM(INDEX('Pegar docentes'!$A$1:$BZ$1001,584,I$2)&amp;""),""))</f>
        <v/>
      </c>
      <c r="J585">
        <f>IF(J$2=0,"",IFERROR(TRIM(INDEX('Pegar docentes'!$A$1:$BZ$1001,584,J$2)&amp;""),""))</f>
        <v/>
      </c>
      <c r="K585">
        <f>IF(K$2=0,"",IFERROR(TRIM(INDEX('Pegar docentes'!$A$1:$BZ$1001,584,K$2)&amp;""),""))</f>
        <v/>
      </c>
      <c r="L585">
        <f>IF(L$2=0,"",IFERROR(TRIM(INDEX('Pegar docentes'!$A$1:$BZ$1001,584,L$2)&amp;""),""))</f>
        <v/>
      </c>
      <c r="M585">
        <f>IF(M$2=0,"",IFERROR(TRIM(INDEX('Pegar docentes'!$A$1:$BZ$1001,584,M$2)&amp;""),""))</f>
        <v/>
      </c>
      <c r="N585">
        <f>IF(N$2=0,"",IFERROR(TRIM(INDEX('Pegar docentes'!$A$1:$BZ$1001,584,N$2)&amp;""),""))</f>
        <v/>
      </c>
      <c r="O585">
        <f>IF(O$2=0,"",IFERROR(TRIM(INDEX('Pegar docentes'!$A$1:$BZ$1001,584,O$2)&amp;""),""))</f>
        <v/>
      </c>
      <c r="P585">
        <f>IF(P$2=0,"",IFERROR(TRIM(INDEX('Pegar docentes'!$A$1:$BZ$1001,584,P$2)&amp;""),""))</f>
        <v/>
      </c>
      <c r="Q585" s="25">
        <f>IF(OR(D585&lt;&gt;"",H585&lt;&gt;""),1,"")</f>
        <v/>
      </c>
      <c r="R585" s="25">
        <f>IF(Q585=1,IF(ISNUMBER(FIND("#"&amp;MID(D585,1,1)&amp;"#","#0#1#2#3#4#5#6#7#8#9#")),IF(ISNUMBER(FIND("#"&amp;MID(D585,2,1)&amp;"#","#0#1#2#3#4#5#6#7#8#9#")),IF(AND(VALUE(LEFT(D585,2))&gt;=1,VALUE(LEFT(D585,2))&lt;=5),VALUE(LEFT(D585,2)),""),IF(AND(VALUE(LEFT(D585,1))&gt;=1,VALUE(LEFT(D585,1))&lt;=5),VALUE(LEFT(D585,1)),"")),""),"")</f>
        <v/>
      </c>
      <c r="S585" s="25">
        <f>IF(AND(Q585=1,E585&lt;&gt;""),SUBSTITUTE(SUBSTITUTE(SUBSTITUTE(SUBSTITUTE(SUBSTITUTE(SUBSTITUTE(SUBSTITUTE(SUBSTITUTE(SUBSTITUTE(SUBSTITUTE(SUBSTITUTE(SUBSTITUTE(LOWER(TRIM(E585)),"á","a"),"é","e"),"í","i"),"ó","o"),"ú","u"),"ü","u"),"ñ","n"),"à","a"),"è","e"),"ì","i"),"ò","o"),"ù","u"),"")</f>
        <v/>
      </c>
      <c r="T585" s="25">
        <f>IF(AND(Q585=1,G585&lt;&gt;""),SUBSTITUTE(SUBSTITUTE(SUBSTITUTE(SUBSTITUTE(SUBSTITUTE(SUBSTITUTE(SUBSTITUTE(SUBSTITUTE(SUBSTITUTE(SUBSTITUTE(SUBSTITUTE(SUBSTITUTE(LOWER(TRIM(G585)),"á","a"),"é","e"),"í","i"),"ó","o"),"ú","u"),"ü","u"),"ñ","n"),"à","a"),"è","e"),"ì","i"),"ò","o"),"ù","u"),"")</f>
        <v/>
      </c>
      <c r="U585" s="25">
        <f>IF(AND(Q585=1,H585&lt;&gt;""),SUBSTITUTE(SUBSTITUTE(SUBSTITUTE(SUBSTITUTE(SUBSTITUTE(SUBSTITUTE(SUBSTITUTE(SUBSTITUTE(SUBSTITUTE(SUBSTITUTE(SUBSTITUTE(SUBSTITUTE(LOWER(TRIM(H585)),"á","a"),"é","e"),"í","i"),"ó","o"),"ú","u"),"ü","u"),"ñ","n"),"à","a"),"è","e"),"ì","i"),"ò","o"),"ù","u"),"")</f>
        <v/>
      </c>
      <c r="V585" s="25">
        <f>IF(AND(Q585=1,L585&lt;&gt;""),SUBSTITUTE(SUBSTITUTE(SUBSTITUTE(SUBSTITUTE(SUBSTITUTE(SUBSTITUTE(SUBSTITUTE(SUBSTITUTE(SUBSTITUTE(SUBSTITUTE(SUBSTITUTE(SUBSTITUTE(LOWER(TRIM(L585)),"á","a"),"é","e"),"í","i"),"ó","o"),"ú","u"),"ü","u"),"ñ","n"),"à","a"),"è","e"),"ì","i"),"ò","o"),"ù","u"),"")</f>
        <v/>
      </c>
      <c r="W585" s="25">
        <f>IF(AND(Q585=1,I585&lt;&gt;""),SUBSTITUTE(SUBSTITUTE(SUBSTITUTE(SUBSTITUTE(SUBSTITUTE(SUBSTITUTE(SUBSTITUTE(SUBSTITUTE(SUBSTITUTE(SUBSTITUTE(SUBSTITUTE(SUBSTITUTE(LOWER(TRIM(I585)),"á","a"),"é","e"),"í","i"),"ó","o"),"ú","u"),"ü","u"),"ñ","n"),"à","a"),"è","e"),"ì","i"),"ò","o"),"ù","u"),"")</f>
        <v/>
      </c>
      <c r="X585" s="25">
        <f>IF(U585="","",IF(OR(U585="si, en la proxima tarea",U585="si, con cambios"),1,0))</f>
        <v/>
      </c>
      <c r="Y585" s="25">
        <f>IF(AND(Q585=1,A585&lt;&gt;""),IF(IFERROR(COUNTIFS(A$3:A585,"="&amp;SUBSTITUTE(SUBSTITUTE(SUBSTITUTE(A585,"~","~~"),"*","~*"),"?","~?"),Q$3:Q585,1),0)=1,MAX(Y$2:Y584)+1,""),"")</f>
        <v/>
      </c>
      <c r="Z585" s="25">
        <f>IF(Y585="","",COUNTIFS($A$3:$A$1002,"="&amp;SUBSTITUTE(SUBSTITUTE(SUBSTITUTE(A585,"~","~~"),"*","~*"),"?","~?"),$Q$3:$Q$1002,1)*10000-Y585)</f>
        <v/>
      </c>
    </row>
    <row r="586">
      <c r="A586">
        <f>IF(A$2=0,"",IFERROR(TRIM(INDEX('Pegar docentes'!$A$1:$BZ$1001,585,A$2)&amp;""),""))</f>
        <v/>
      </c>
      <c r="B586">
        <f>IF(B$2=0,"",IFERROR(TRIM(INDEX('Pegar docentes'!$A$1:$BZ$1001,585,B$2)&amp;""),""))</f>
        <v/>
      </c>
      <c r="C586">
        <f>IF(C$2=0,"",IFERROR(TRIM(INDEX('Pegar docentes'!$A$1:$BZ$1001,585,C$2)&amp;""),""))</f>
        <v/>
      </c>
      <c r="D586">
        <f>IF(D$2=0,"",IFERROR(TRIM(INDEX('Pegar docentes'!$A$1:$BZ$1001,585,D$2)&amp;""),""))</f>
        <v/>
      </c>
      <c r="E586">
        <f>IF(E$2=0,"",IFERROR(TRIM(INDEX('Pegar docentes'!$A$1:$BZ$1001,585,E$2)&amp;""),""))</f>
        <v/>
      </c>
      <c r="F586">
        <f>IF(F$2=0,"",IFERROR(TRIM(INDEX('Pegar docentes'!$A$1:$BZ$1001,585,F$2)&amp;""),""))</f>
        <v/>
      </c>
      <c r="G586">
        <f>IF(G$2=0,"",IFERROR(TRIM(INDEX('Pegar docentes'!$A$1:$BZ$1001,585,G$2)&amp;""),""))</f>
        <v/>
      </c>
      <c r="H586">
        <f>IF(H$2=0,"",IFERROR(TRIM(INDEX('Pegar docentes'!$A$1:$BZ$1001,585,H$2)&amp;""),""))</f>
        <v/>
      </c>
      <c r="I586">
        <f>IF(I$2=0,"",IFERROR(TRIM(INDEX('Pegar docentes'!$A$1:$BZ$1001,585,I$2)&amp;""),""))</f>
        <v/>
      </c>
      <c r="J586">
        <f>IF(J$2=0,"",IFERROR(TRIM(INDEX('Pegar docentes'!$A$1:$BZ$1001,585,J$2)&amp;""),""))</f>
        <v/>
      </c>
      <c r="K586">
        <f>IF(K$2=0,"",IFERROR(TRIM(INDEX('Pegar docentes'!$A$1:$BZ$1001,585,K$2)&amp;""),""))</f>
        <v/>
      </c>
      <c r="L586">
        <f>IF(L$2=0,"",IFERROR(TRIM(INDEX('Pegar docentes'!$A$1:$BZ$1001,585,L$2)&amp;""),""))</f>
        <v/>
      </c>
      <c r="M586">
        <f>IF(M$2=0,"",IFERROR(TRIM(INDEX('Pegar docentes'!$A$1:$BZ$1001,585,M$2)&amp;""),""))</f>
        <v/>
      </c>
      <c r="N586">
        <f>IF(N$2=0,"",IFERROR(TRIM(INDEX('Pegar docentes'!$A$1:$BZ$1001,585,N$2)&amp;""),""))</f>
        <v/>
      </c>
      <c r="O586">
        <f>IF(O$2=0,"",IFERROR(TRIM(INDEX('Pegar docentes'!$A$1:$BZ$1001,585,O$2)&amp;""),""))</f>
        <v/>
      </c>
      <c r="P586">
        <f>IF(P$2=0,"",IFERROR(TRIM(INDEX('Pegar docentes'!$A$1:$BZ$1001,585,P$2)&amp;""),""))</f>
        <v/>
      </c>
      <c r="Q586" s="25">
        <f>IF(OR(D586&lt;&gt;"",H586&lt;&gt;""),1,"")</f>
        <v/>
      </c>
      <c r="R586" s="25">
        <f>IF(Q586=1,IF(ISNUMBER(FIND("#"&amp;MID(D586,1,1)&amp;"#","#0#1#2#3#4#5#6#7#8#9#")),IF(ISNUMBER(FIND("#"&amp;MID(D586,2,1)&amp;"#","#0#1#2#3#4#5#6#7#8#9#")),IF(AND(VALUE(LEFT(D586,2))&gt;=1,VALUE(LEFT(D586,2))&lt;=5),VALUE(LEFT(D586,2)),""),IF(AND(VALUE(LEFT(D586,1))&gt;=1,VALUE(LEFT(D586,1))&lt;=5),VALUE(LEFT(D586,1)),"")),""),"")</f>
        <v/>
      </c>
      <c r="S586" s="25">
        <f>IF(AND(Q586=1,E586&lt;&gt;""),SUBSTITUTE(SUBSTITUTE(SUBSTITUTE(SUBSTITUTE(SUBSTITUTE(SUBSTITUTE(SUBSTITUTE(SUBSTITUTE(SUBSTITUTE(SUBSTITUTE(SUBSTITUTE(SUBSTITUTE(LOWER(TRIM(E586)),"á","a"),"é","e"),"í","i"),"ó","o"),"ú","u"),"ü","u"),"ñ","n"),"à","a"),"è","e"),"ì","i"),"ò","o"),"ù","u"),"")</f>
        <v/>
      </c>
      <c r="T586" s="25">
        <f>IF(AND(Q586=1,G586&lt;&gt;""),SUBSTITUTE(SUBSTITUTE(SUBSTITUTE(SUBSTITUTE(SUBSTITUTE(SUBSTITUTE(SUBSTITUTE(SUBSTITUTE(SUBSTITUTE(SUBSTITUTE(SUBSTITUTE(SUBSTITUTE(LOWER(TRIM(G586)),"á","a"),"é","e"),"í","i"),"ó","o"),"ú","u"),"ü","u"),"ñ","n"),"à","a"),"è","e"),"ì","i"),"ò","o"),"ù","u"),"")</f>
        <v/>
      </c>
      <c r="U586" s="25">
        <f>IF(AND(Q586=1,H586&lt;&gt;""),SUBSTITUTE(SUBSTITUTE(SUBSTITUTE(SUBSTITUTE(SUBSTITUTE(SUBSTITUTE(SUBSTITUTE(SUBSTITUTE(SUBSTITUTE(SUBSTITUTE(SUBSTITUTE(SUBSTITUTE(LOWER(TRIM(H586)),"á","a"),"é","e"),"í","i"),"ó","o"),"ú","u"),"ü","u"),"ñ","n"),"à","a"),"è","e"),"ì","i"),"ò","o"),"ù","u"),"")</f>
        <v/>
      </c>
      <c r="V586" s="25">
        <f>IF(AND(Q586=1,L586&lt;&gt;""),SUBSTITUTE(SUBSTITUTE(SUBSTITUTE(SUBSTITUTE(SUBSTITUTE(SUBSTITUTE(SUBSTITUTE(SUBSTITUTE(SUBSTITUTE(SUBSTITUTE(SUBSTITUTE(SUBSTITUTE(LOWER(TRIM(L586)),"á","a"),"é","e"),"í","i"),"ó","o"),"ú","u"),"ü","u"),"ñ","n"),"à","a"),"è","e"),"ì","i"),"ò","o"),"ù","u"),"")</f>
        <v/>
      </c>
      <c r="W586" s="25">
        <f>IF(AND(Q586=1,I586&lt;&gt;""),SUBSTITUTE(SUBSTITUTE(SUBSTITUTE(SUBSTITUTE(SUBSTITUTE(SUBSTITUTE(SUBSTITUTE(SUBSTITUTE(SUBSTITUTE(SUBSTITUTE(SUBSTITUTE(SUBSTITUTE(LOWER(TRIM(I586)),"á","a"),"é","e"),"í","i"),"ó","o"),"ú","u"),"ü","u"),"ñ","n"),"à","a"),"è","e"),"ì","i"),"ò","o"),"ù","u"),"")</f>
        <v/>
      </c>
      <c r="X586" s="25">
        <f>IF(U586="","",IF(OR(U586="si, en la proxima tarea",U586="si, con cambios"),1,0))</f>
        <v/>
      </c>
      <c r="Y586" s="25">
        <f>IF(AND(Q586=1,A586&lt;&gt;""),IF(IFERROR(COUNTIFS(A$3:A586,"="&amp;SUBSTITUTE(SUBSTITUTE(SUBSTITUTE(A586,"~","~~"),"*","~*"),"?","~?"),Q$3:Q586,1),0)=1,MAX(Y$2:Y585)+1,""),"")</f>
        <v/>
      </c>
      <c r="Z586" s="25">
        <f>IF(Y586="","",COUNTIFS($A$3:$A$1002,"="&amp;SUBSTITUTE(SUBSTITUTE(SUBSTITUTE(A586,"~","~~"),"*","~*"),"?","~?"),$Q$3:$Q$1002,1)*10000-Y586)</f>
        <v/>
      </c>
    </row>
    <row r="587">
      <c r="A587">
        <f>IF(A$2=0,"",IFERROR(TRIM(INDEX('Pegar docentes'!$A$1:$BZ$1001,586,A$2)&amp;""),""))</f>
        <v/>
      </c>
      <c r="B587">
        <f>IF(B$2=0,"",IFERROR(TRIM(INDEX('Pegar docentes'!$A$1:$BZ$1001,586,B$2)&amp;""),""))</f>
        <v/>
      </c>
      <c r="C587">
        <f>IF(C$2=0,"",IFERROR(TRIM(INDEX('Pegar docentes'!$A$1:$BZ$1001,586,C$2)&amp;""),""))</f>
        <v/>
      </c>
      <c r="D587">
        <f>IF(D$2=0,"",IFERROR(TRIM(INDEX('Pegar docentes'!$A$1:$BZ$1001,586,D$2)&amp;""),""))</f>
        <v/>
      </c>
      <c r="E587">
        <f>IF(E$2=0,"",IFERROR(TRIM(INDEX('Pegar docentes'!$A$1:$BZ$1001,586,E$2)&amp;""),""))</f>
        <v/>
      </c>
      <c r="F587">
        <f>IF(F$2=0,"",IFERROR(TRIM(INDEX('Pegar docentes'!$A$1:$BZ$1001,586,F$2)&amp;""),""))</f>
        <v/>
      </c>
      <c r="G587">
        <f>IF(G$2=0,"",IFERROR(TRIM(INDEX('Pegar docentes'!$A$1:$BZ$1001,586,G$2)&amp;""),""))</f>
        <v/>
      </c>
      <c r="H587">
        <f>IF(H$2=0,"",IFERROR(TRIM(INDEX('Pegar docentes'!$A$1:$BZ$1001,586,H$2)&amp;""),""))</f>
        <v/>
      </c>
      <c r="I587">
        <f>IF(I$2=0,"",IFERROR(TRIM(INDEX('Pegar docentes'!$A$1:$BZ$1001,586,I$2)&amp;""),""))</f>
        <v/>
      </c>
      <c r="J587">
        <f>IF(J$2=0,"",IFERROR(TRIM(INDEX('Pegar docentes'!$A$1:$BZ$1001,586,J$2)&amp;""),""))</f>
        <v/>
      </c>
      <c r="K587">
        <f>IF(K$2=0,"",IFERROR(TRIM(INDEX('Pegar docentes'!$A$1:$BZ$1001,586,K$2)&amp;""),""))</f>
        <v/>
      </c>
      <c r="L587">
        <f>IF(L$2=0,"",IFERROR(TRIM(INDEX('Pegar docentes'!$A$1:$BZ$1001,586,L$2)&amp;""),""))</f>
        <v/>
      </c>
      <c r="M587">
        <f>IF(M$2=0,"",IFERROR(TRIM(INDEX('Pegar docentes'!$A$1:$BZ$1001,586,M$2)&amp;""),""))</f>
        <v/>
      </c>
      <c r="N587">
        <f>IF(N$2=0,"",IFERROR(TRIM(INDEX('Pegar docentes'!$A$1:$BZ$1001,586,N$2)&amp;""),""))</f>
        <v/>
      </c>
      <c r="O587">
        <f>IF(O$2=0,"",IFERROR(TRIM(INDEX('Pegar docentes'!$A$1:$BZ$1001,586,O$2)&amp;""),""))</f>
        <v/>
      </c>
      <c r="P587">
        <f>IF(P$2=0,"",IFERROR(TRIM(INDEX('Pegar docentes'!$A$1:$BZ$1001,586,P$2)&amp;""),""))</f>
        <v/>
      </c>
      <c r="Q587" s="25">
        <f>IF(OR(D587&lt;&gt;"",H587&lt;&gt;""),1,"")</f>
        <v/>
      </c>
      <c r="R587" s="25">
        <f>IF(Q587=1,IF(ISNUMBER(FIND("#"&amp;MID(D587,1,1)&amp;"#","#0#1#2#3#4#5#6#7#8#9#")),IF(ISNUMBER(FIND("#"&amp;MID(D587,2,1)&amp;"#","#0#1#2#3#4#5#6#7#8#9#")),IF(AND(VALUE(LEFT(D587,2))&gt;=1,VALUE(LEFT(D587,2))&lt;=5),VALUE(LEFT(D587,2)),""),IF(AND(VALUE(LEFT(D587,1))&gt;=1,VALUE(LEFT(D587,1))&lt;=5),VALUE(LEFT(D587,1)),"")),""),"")</f>
        <v/>
      </c>
      <c r="S587" s="25">
        <f>IF(AND(Q587=1,E587&lt;&gt;""),SUBSTITUTE(SUBSTITUTE(SUBSTITUTE(SUBSTITUTE(SUBSTITUTE(SUBSTITUTE(SUBSTITUTE(SUBSTITUTE(SUBSTITUTE(SUBSTITUTE(SUBSTITUTE(SUBSTITUTE(LOWER(TRIM(E587)),"á","a"),"é","e"),"í","i"),"ó","o"),"ú","u"),"ü","u"),"ñ","n"),"à","a"),"è","e"),"ì","i"),"ò","o"),"ù","u"),"")</f>
        <v/>
      </c>
      <c r="T587" s="25">
        <f>IF(AND(Q587=1,G587&lt;&gt;""),SUBSTITUTE(SUBSTITUTE(SUBSTITUTE(SUBSTITUTE(SUBSTITUTE(SUBSTITUTE(SUBSTITUTE(SUBSTITUTE(SUBSTITUTE(SUBSTITUTE(SUBSTITUTE(SUBSTITUTE(LOWER(TRIM(G587)),"á","a"),"é","e"),"í","i"),"ó","o"),"ú","u"),"ü","u"),"ñ","n"),"à","a"),"è","e"),"ì","i"),"ò","o"),"ù","u"),"")</f>
        <v/>
      </c>
      <c r="U587" s="25">
        <f>IF(AND(Q587=1,H587&lt;&gt;""),SUBSTITUTE(SUBSTITUTE(SUBSTITUTE(SUBSTITUTE(SUBSTITUTE(SUBSTITUTE(SUBSTITUTE(SUBSTITUTE(SUBSTITUTE(SUBSTITUTE(SUBSTITUTE(SUBSTITUTE(LOWER(TRIM(H587)),"á","a"),"é","e"),"í","i"),"ó","o"),"ú","u"),"ü","u"),"ñ","n"),"à","a"),"è","e"),"ì","i"),"ò","o"),"ù","u"),"")</f>
        <v/>
      </c>
      <c r="V587" s="25">
        <f>IF(AND(Q587=1,L587&lt;&gt;""),SUBSTITUTE(SUBSTITUTE(SUBSTITUTE(SUBSTITUTE(SUBSTITUTE(SUBSTITUTE(SUBSTITUTE(SUBSTITUTE(SUBSTITUTE(SUBSTITUTE(SUBSTITUTE(SUBSTITUTE(LOWER(TRIM(L587)),"á","a"),"é","e"),"í","i"),"ó","o"),"ú","u"),"ü","u"),"ñ","n"),"à","a"),"è","e"),"ì","i"),"ò","o"),"ù","u"),"")</f>
        <v/>
      </c>
      <c r="W587" s="25">
        <f>IF(AND(Q587=1,I587&lt;&gt;""),SUBSTITUTE(SUBSTITUTE(SUBSTITUTE(SUBSTITUTE(SUBSTITUTE(SUBSTITUTE(SUBSTITUTE(SUBSTITUTE(SUBSTITUTE(SUBSTITUTE(SUBSTITUTE(SUBSTITUTE(LOWER(TRIM(I587)),"á","a"),"é","e"),"í","i"),"ó","o"),"ú","u"),"ü","u"),"ñ","n"),"à","a"),"è","e"),"ì","i"),"ò","o"),"ù","u"),"")</f>
        <v/>
      </c>
      <c r="X587" s="25">
        <f>IF(U587="","",IF(OR(U587="si, en la proxima tarea",U587="si, con cambios"),1,0))</f>
        <v/>
      </c>
      <c r="Y587" s="25">
        <f>IF(AND(Q587=1,A587&lt;&gt;""),IF(IFERROR(COUNTIFS(A$3:A587,"="&amp;SUBSTITUTE(SUBSTITUTE(SUBSTITUTE(A587,"~","~~"),"*","~*"),"?","~?"),Q$3:Q587,1),0)=1,MAX(Y$2:Y586)+1,""),"")</f>
        <v/>
      </c>
      <c r="Z587" s="25">
        <f>IF(Y587="","",COUNTIFS($A$3:$A$1002,"="&amp;SUBSTITUTE(SUBSTITUTE(SUBSTITUTE(A587,"~","~~"),"*","~*"),"?","~?"),$Q$3:$Q$1002,1)*10000-Y587)</f>
        <v/>
      </c>
    </row>
    <row r="588">
      <c r="A588">
        <f>IF(A$2=0,"",IFERROR(TRIM(INDEX('Pegar docentes'!$A$1:$BZ$1001,587,A$2)&amp;""),""))</f>
        <v/>
      </c>
      <c r="B588">
        <f>IF(B$2=0,"",IFERROR(TRIM(INDEX('Pegar docentes'!$A$1:$BZ$1001,587,B$2)&amp;""),""))</f>
        <v/>
      </c>
      <c r="C588">
        <f>IF(C$2=0,"",IFERROR(TRIM(INDEX('Pegar docentes'!$A$1:$BZ$1001,587,C$2)&amp;""),""))</f>
        <v/>
      </c>
      <c r="D588">
        <f>IF(D$2=0,"",IFERROR(TRIM(INDEX('Pegar docentes'!$A$1:$BZ$1001,587,D$2)&amp;""),""))</f>
        <v/>
      </c>
      <c r="E588">
        <f>IF(E$2=0,"",IFERROR(TRIM(INDEX('Pegar docentes'!$A$1:$BZ$1001,587,E$2)&amp;""),""))</f>
        <v/>
      </c>
      <c r="F588">
        <f>IF(F$2=0,"",IFERROR(TRIM(INDEX('Pegar docentes'!$A$1:$BZ$1001,587,F$2)&amp;""),""))</f>
        <v/>
      </c>
      <c r="G588">
        <f>IF(G$2=0,"",IFERROR(TRIM(INDEX('Pegar docentes'!$A$1:$BZ$1001,587,G$2)&amp;""),""))</f>
        <v/>
      </c>
      <c r="H588">
        <f>IF(H$2=0,"",IFERROR(TRIM(INDEX('Pegar docentes'!$A$1:$BZ$1001,587,H$2)&amp;""),""))</f>
        <v/>
      </c>
      <c r="I588">
        <f>IF(I$2=0,"",IFERROR(TRIM(INDEX('Pegar docentes'!$A$1:$BZ$1001,587,I$2)&amp;""),""))</f>
        <v/>
      </c>
      <c r="J588">
        <f>IF(J$2=0,"",IFERROR(TRIM(INDEX('Pegar docentes'!$A$1:$BZ$1001,587,J$2)&amp;""),""))</f>
        <v/>
      </c>
      <c r="K588">
        <f>IF(K$2=0,"",IFERROR(TRIM(INDEX('Pegar docentes'!$A$1:$BZ$1001,587,K$2)&amp;""),""))</f>
        <v/>
      </c>
      <c r="L588">
        <f>IF(L$2=0,"",IFERROR(TRIM(INDEX('Pegar docentes'!$A$1:$BZ$1001,587,L$2)&amp;""),""))</f>
        <v/>
      </c>
      <c r="M588">
        <f>IF(M$2=0,"",IFERROR(TRIM(INDEX('Pegar docentes'!$A$1:$BZ$1001,587,M$2)&amp;""),""))</f>
        <v/>
      </c>
      <c r="N588">
        <f>IF(N$2=0,"",IFERROR(TRIM(INDEX('Pegar docentes'!$A$1:$BZ$1001,587,N$2)&amp;""),""))</f>
        <v/>
      </c>
      <c r="O588">
        <f>IF(O$2=0,"",IFERROR(TRIM(INDEX('Pegar docentes'!$A$1:$BZ$1001,587,O$2)&amp;""),""))</f>
        <v/>
      </c>
      <c r="P588">
        <f>IF(P$2=0,"",IFERROR(TRIM(INDEX('Pegar docentes'!$A$1:$BZ$1001,587,P$2)&amp;""),""))</f>
        <v/>
      </c>
      <c r="Q588" s="25">
        <f>IF(OR(D588&lt;&gt;"",H588&lt;&gt;""),1,"")</f>
        <v/>
      </c>
      <c r="R588" s="25">
        <f>IF(Q588=1,IF(ISNUMBER(FIND("#"&amp;MID(D588,1,1)&amp;"#","#0#1#2#3#4#5#6#7#8#9#")),IF(ISNUMBER(FIND("#"&amp;MID(D588,2,1)&amp;"#","#0#1#2#3#4#5#6#7#8#9#")),IF(AND(VALUE(LEFT(D588,2))&gt;=1,VALUE(LEFT(D588,2))&lt;=5),VALUE(LEFT(D588,2)),""),IF(AND(VALUE(LEFT(D588,1))&gt;=1,VALUE(LEFT(D588,1))&lt;=5),VALUE(LEFT(D588,1)),"")),""),"")</f>
        <v/>
      </c>
      <c r="S588" s="25">
        <f>IF(AND(Q588=1,E588&lt;&gt;""),SUBSTITUTE(SUBSTITUTE(SUBSTITUTE(SUBSTITUTE(SUBSTITUTE(SUBSTITUTE(SUBSTITUTE(SUBSTITUTE(SUBSTITUTE(SUBSTITUTE(SUBSTITUTE(SUBSTITUTE(LOWER(TRIM(E588)),"á","a"),"é","e"),"í","i"),"ó","o"),"ú","u"),"ü","u"),"ñ","n"),"à","a"),"è","e"),"ì","i"),"ò","o"),"ù","u"),"")</f>
        <v/>
      </c>
      <c r="T588" s="25">
        <f>IF(AND(Q588=1,G588&lt;&gt;""),SUBSTITUTE(SUBSTITUTE(SUBSTITUTE(SUBSTITUTE(SUBSTITUTE(SUBSTITUTE(SUBSTITUTE(SUBSTITUTE(SUBSTITUTE(SUBSTITUTE(SUBSTITUTE(SUBSTITUTE(LOWER(TRIM(G588)),"á","a"),"é","e"),"í","i"),"ó","o"),"ú","u"),"ü","u"),"ñ","n"),"à","a"),"è","e"),"ì","i"),"ò","o"),"ù","u"),"")</f>
        <v/>
      </c>
      <c r="U588" s="25">
        <f>IF(AND(Q588=1,H588&lt;&gt;""),SUBSTITUTE(SUBSTITUTE(SUBSTITUTE(SUBSTITUTE(SUBSTITUTE(SUBSTITUTE(SUBSTITUTE(SUBSTITUTE(SUBSTITUTE(SUBSTITUTE(SUBSTITUTE(SUBSTITUTE(LOWER(TRIM(H588)),"á","a"),"é","e"),"í","i"),"ó","o"),"ú","u"),"ü","u"),"ñ","n"),"à","a"),"è","e"),"ì","i"),"ò","o"),"ù","u"),"")</f>
        <v/>
      </c>
      <c r="V588" s="25">
        <f>IF(AND(Q588=1,L588&lt;&gt;""),SUBSTITUTE(SUBSTITUTE(SUBSTITUTE(SUBSTITUTE(SUBSTITUTE(SUBSTITUTE(SUBSTITUTE(SUBSTITUTE(SUBSTITUTE(SUBSTITUTE(SUBSTITUTE(SUBSTITUTE(LOWER(TRIM(L588)),"á","a"),"é","e"),"í","i"),"ó","o"),"ú","u"),"ü","u"),"ñ","n"),"à","a"),"è","e"),"ì","i"),"ò","o"),"ù","u"),"")</f>
        <v/>
      </c>
      <c r="W588" s="25">
        <f>IF(AND(Q588=1,I588&lt;&gt;""),SUBSTITUTE(SUBSTITUTE(SUBSTITUTE(SUBSTITUTE(SUBSTITUTE(SUBSTITUTE(SUBSTITUTE(SUBSTITUTE(SUBSTITUTE(SUBSTITUTE(SUBSTITUTE(SUBSTITUTE(LOWER(TRIM(I588)),"á","a"),"é","e"),"í","i"),"ó","o"),"ú","u"),"ü","u"),"ñ","n"),"à","a"),"è","e"),"ì","i"),"ò","o"),"ù","u"),"")</f>
        <v/>
      </c>
      <c r="X588" s="25">
        <f>IF(U588="","",IF(OR(U588="si, en la proxima tarea",U588="si, con cambios"),1,0))</f>
        <v/>
      </c>
      <c r="Y588" s="25">
        <f>IF(AND(Q588=1,A588&lt;&gt;""),IF(IFERROR(COUNTIFS(A$3:A588,"="&amp;SUBSTITUTE(SUBSTITUTE(SUBSTITUTE(A588,"~","~~"),"*","~*"),"?","~?"),Q$3:Q588,1),0)=1,MAX(Y$2:Y587)+1,""),"")</f>
        <v/>
      </c>
      <c r="Z588" s="25">
        <f>IF(Y588="","",COUNTIFS($A$3:$A$1002,"="&amp;SUBSTITUTE(SUBSTITUTE(SUBSTITUTE(A588,"~","~~"),"*","~*"),"?","~?"),$Q$3:$Q$1002,1)*10000-Y588)</f>
        <v/>
      </c>
    </row>
    <row r="589">
      <c r="A589">
        <f>IF(A$2=0,"",IFERROR(TRIM(INDEX('Pegar docentes'!$A$1:$BZ$1001,588,A$2)&amp;""),""))</f>
        <v/>
      </c>
      <c r="B589">
        <f>IF(B$2=0,"",IFERROR(TRIM(INDEX('Pegar docentes'!$A$1:$BZ$1001,588,B$2)&amp;""),""))</f>
        <v/>
      </c>
      <c r="C589">
        <f>IF(C$2=0,"",IFERROR(TRIM(INDEX('Pegar docentes'!$A$1:$BZ$1001,588,C$2)&amp;""),""))</f>
        <v/>
      </c>
      <c r="D589">
        <f>IF(D$2=0,"",IFERROR(TRIM(INDEX('Pegar docentes'!$A$1:$BZ$1001,588,D$2)&amp;""),""))</f>
        <v/>
      </c>
      <c r="E589">
        <f>IF(E$2=0,"",IFERROR(TRIM(INDEX('Pegar docentes'!$A$1:$BZ$1001,588,E$2)&amp;""),""))</f>
        <v/>
      </c>
      <c r="F589">
        <f>IF(F$2=0,"",IFERROR(TRIM(INDEX('Pegar docentes'!$A$1:$BZ$1001,588,F$2)&amp;""),""))</f>
        <v/>
      </c>
      <c r="G589">
        <f>IF(G$2=0,"",IFERROR(TRIM(INDEX('Pegar docentes'!$A$1:$BZ$1001,588,G$2)&amp;""),""))</f>
        <v/>
      </c>
      <c r="H589">
        <f>IF(H$2=0,"",IFERROR(TRIM(INDEX('Pegar docentes'!$A$1:$BZ$1001,588,H$2)&amp;""),""))</f>
        <v/>
      </c>
      <c r="I589">
        <f>IF(I$2=0,"",IFERROR(TRIM(INDEX('Pegar docentes'!$A$1:$BZ$1001,588,I$2)&amp;""),""))</f>
        <v/>
      </c>
      <c r="J589">
        <f>IF(J$2=0,"",IFERROR(TRIM(INDEX('Pegar docentes'!$A$1:$BZ$1001,588,J$2)&amp;""),""))</f>
        <v/>
      </c>
      <c r="K589">
        <f>IF(K$2=0,"",IFERROR(TRIM(INDEX('Pegar docentes'!$A$1:$BZ$1001,588,K$2)&amp;""),""))</f>
        <v/>
      </c>
      <c r="L589">
        <f>IF(L$2=0,"",IFERROR(TRIM(INDEX('Pegar docentes'!$A$1:$BZ$1001,588,L$2)&amp;""),""))</f>
        <v/>
      </c>
      <c r="M589">
        <f>IF(M$2=0,"",IFERROR(TRIM(INDEX('Pegar docentes'!$A$1:$BZ$1001,588,M$2)&amp;""),""))</f>
        <v/>
      </c>
      <c r="N589">
        <f>IF(N$2=0,"",IFERROR(TRIM(INDEX('Pegar docentes'!$A$1:$BZ$1001,588,N$2)&amp;""),""))</f>
        <v/>
      </c>
      <c r="O589">
        <f>IF(O$2=0,"",IFERROR(TRIM(INDEX('Pegar docentes'!$A$1:$BZ$1001,588,O$2)&amp;""),""))</f>
        <v/>
      </c>
      <c r="P589">
        <f>IF(P$2=0,"",IFERROR(TRIM(INDEX('Pegar docentes'!$A$1:$BZ$1001,588,P$2)&amp;""),""))</f>
        <v/>
      </c>
      <c r="Q589" s="25">
        <f>IF(OR(D589&lt;&gt;"",H589&lt;&gt;""),1,"")</f>
        <v/>
      </c>
      <c r="R589" s="25">
        <f>IF(Q589=1,IF(ISNUMBER(FIND("#"&amp;MID(D589,1,1)&amp;"#","#0#1#2#3#4#5#6#7#8#9#")),IF(ISNUMBER(FIND("#"&amp;MID(D589,2,1)&amp;"#","#0#1#2#3#4#5#6#7#8#9#")),IF(AND(VALUE(LEFT(D589,2))&gt;=1,VALUE(LEFT(D589,2))&lt;=5),VALUE(LEFT(D589,2)),""),IF(AND(VALUE(LEFT(D589,1))&gt;=1,VALUE(LEFT(D589,1))&lt;=5),VALUE(LEFT(D589,1)),"")),""),"")</f>
        <v/>
      </c>
      <c r="S589" s="25">
        <f>IF(AND(Q589=1,E589&lt;&gt;""),SUBSTITUTE(SUBSTITUTE(SUBSTITUTE(SUBSTITUTE(SUBSTITUTE(SUBSTITUTE(SUBSTITUTE(SUBSTITUTE(SUBSTITUTE(SUBSTITUTE(SUBSTITUTE(SUBSTITUTE(LOWER(TRIM(E589)),"á","a"),"é","e"),"í","i"),"ó","o"),"ú","u"),"ü","u"),"ñ","n"),"à","a"),"è","e"),"ì","i"),"ò","o"),"ù","u"),"")</f>
        <v/>
      </c>
      <c r="T589" s="25">
        <f>IF(AND(Q589=1,G589&lt;&gt;""),SUBSTITUTE(SUBSTITUTE(SUBSTITUTE(SUBSTITUTE(SUBSTITUTE(SUBSTITUTE(SUBSTITUTE(SUBSTITUTE(SUBSTITUTE(SUBSTITUTE(SUBSTITUTE(SUBSTITUTE(LOWER(TRIM(G589)),"á","a"),"é","e"),"í","i"),"ó","o"),"ú","u"),"ü","u"),"ñ","n"),"à","a"),"è","e"),"ì","i"),"ò","o"),"ù","u"),"")</f>
        <v/>
      </c>
      <c r="U589" s="25">
        <f>IF(AND(Q589=1,H589&lt;&gt;""),SUBSTITUTE(SUBSTITUTE(SUBSTITUTE(SUBSTITUTE(SUBSTITUTE(SUBSTITUTE(SUBSTITUTE(SUBSTITUTE(SUBSTITUTE(SUBSTITUTE(SUBSTITUTE(SUBSTITUTE(LOWER(TRIM(H589)),"á","a"),"é","e"),"í","i"),"ó","o"),"ú","u"),"ü","u"),"ñ","n"),"à","a"),"è","e"),"ì","i"),"ò","o"),"ù","u"),"")</f>
        <v/>
      </c>
      <c r="V589" s="25">
        <f>IF(AND(Q589=1,L589&lt;&gt;""),SUBSTITUTE(SUBSTITUTE(SUBSTITUTE(SUBSTITUTE(SUBSTITUTE(SUBSTITUTE(SUBSTITUTE(SUBSTITUTE(SUBSTITUTE(SUBSTITUTE(SUBSTITUTE(SUBSTITUTE(LOWER(TRIM(L589)),"á","a"),"é","e"),"í","i"),"ó","o"),"ú","u"),"ü","u"),"ñ","n"),"à","a"),"è","e"),"ì","i"),"ò","o"),"ù","u"),"")</f>
        <v/>
      </c>
      <c r="W589" s="25">
        <f>IF(AND(Q589=1,I589&lt;&gt;""),SUBSTITUTE(SUBSTITUTE(SUBSTITUTE(SUBSTITUTE(SUBSTITUTE(SUBSTITUTE(SUBSTITUTE(SUBSTITUTE(SUBSTITUTE(SUBSTITUTE(SUBSTITUTE(SUBSTITUTE(LOWER(TRIM(I589)),"á","a"),"é","e"),"í","i"),"ó","o"),"ú","u"),"ü","u"),"ñ","n"),"à","a"),"è","e"),"ì","i"),"ò","o"),"ù","u"),"")</f>
        <v/>
      </c>
      <c r="X589" s="25">
        <f>IF(U589="","",IF(OR(U589="si, en la proxima tarea",U589="si, con cambios"),1,0))</f>
        <v/>
      </c>
      <c r="Y589" s="25">
        <f>IF(AND(Q589=1,A589&lt;&gt;""),IF(IFERROR(COUNTIFS(A$3:A589,"="&amp;SUBSTITUTE(SUBSTITUTE(SUBSTITUTE(A589,"~","~~"),"*","~*"),"?","~?"),Q$3:Q589,1),0)=1,MAX(Y$2:Y588)+1,""),"")</f>
        <v/>
      </c>
      <c r="Z589" s="25">
        <f>IF(Y589="","",COUNTIFS($A$3:$A$1002,"="&amp;SUBSTITUTE(SUBSTITUTE(SUBSTITUTE(A589,"~","~~"),"*","~*"),"?","~?"),$Q$3:$Q$1002,1)*10000-Y589)</f>
        <v/>
      </c>
    </row>
    <row r="590">
      <c r="A590">
        <f>IF(A$2=0,"",IFERROR(TRIM(INDEX('Pegar docentes'!$A$1:$BZ$1001,589,A$2)&amp;""),""))</f>
        <v/>
      </c>
      <c r="B590">
        <f>IF(B$2=0,"",IFERROR(TRIM(INDEX('Pegar docentes'!$A$1:$BZ$1001,589,B$2)&amp;""),""))</f>
        <v/>
      </c>
      <c r="C590">
        <f>IF(C$2=0,"",IFERROR(TRIM(INDEX('Pegar docentes'!$A$1:$BZ$1001,589,C$2)&amp;""),""))</f>
        <v/>
      </c>
      <c r="D590">
        <f>IF(D$2=0,"",IFERROR(TRIM(INDEX('Pegar docentes'!$A$1:$BZ$1001,589,D$2)&amp;""),""))</f>
        <v/>
      </c>
      <c r="E590">
        <f>IF(E$2=0,"",IFERROR(TRIM(INDEX('Pegar docentes'!$A$1:$BZ$1001,589,E$2)&amp;""),""))</f>
        <v/>
      </c>
      <c r="F590">
        <f>IF(F$2=0,"",IFERROR(TRIM(INDEX('Pegar docentes'!$A$1:$BZ$1001,589,F$2)&amp;""),""))</f>
        <v/>
      </c>
      <c r="G590">
        <f>IF(G$2=0,"",IFERROR(TRIM(INDEX('Pegar docentes'!$A$1:$BZ$1001,589,G$2)&amp;""),""))</f>
        <v/>
      </c>
      <c r="H590">
        <f>IF(H$2=0,"",IFERROR(TRIM(INDEX('Pegar docentes'!$A$1:$BZ$1001,589,H$2)&amp;""),""))</f>
        <v/>
      </c>
      <c r="I590">
        <f>IF(I$2=0,"",IFERROR(TRIM(INDEX('Pegar docentes'!$A$1:$BZ$1001,589,I$2)&amp;""),""))</f>
        <v/>
      </c>
      <c r="J590">
        <f>IF(J$2=0,"",IFERROR(TRIM(INDEX('Pegar docentes'!$A$1:$BZ$1001,589,J$2)&amp;""),""))</f>
        <v/>
      </c>
      <c r="K590">
        <f>IF(K$2=0,"",IFERROR(TRIM(INDEX('Pegar docentes'!$A$1:$BZ$1001,589,K$2)&amp;""),""))</f>
        <v/>
      </c>
      <c r="L590">
        <f>IF(L$2=0,"",IFERROR(TRIM(INDEX('Pegar docentes'!$A$1:$BZ$1001,589,L$2)&amp;""),""))</f>
        <v/>
      </c>
      <c r="M590">
        <f>IF(M$2=0,"",IFERROR(TRIM(INDEX('Pegar docentes'!$A$1:$BZ$1001,589,M$2)&amp;""),""))</f>
        <v/>
      </c>
      <c r="N590">
        <f>IF(N$2=0,"",IFERROR(TRIM(INDEX('Pegar docentes'!$A$1:$BZ$1001,589,N$2)&amp;""),""))</f>
        <v/>
      </c>
      <c r="O590">
        <f>IF(O$2=0,"",IFERROR(TRIM(INDEX('Pegar docentes'!$A$1:$BZ$1001,589,O$2)&amp;""),""))</f>
        <v/>
      </c>
      <c r="P590">
        <f>IF(P$2=0,"",IFERROR(TRIM(INDEX('Pegar docentes'!$A$1:$BZ$1001,589,P$2)&amp;""),""))</f>
        <v/>
      </c>
      <c r="Q590" s="25">
        <f>IF(OR(D590&lt;&gt;"",H590&lt;&gt;""),1,"")</f>
        <v/>
      </c>
      <c r="R590" s="25">
        <f>IF(Q590=1,IF(ISNUMBER(FIND("#"&amp;MID(D590,1,1)&amp;"#","#0#1#2#3#4#5#6#7#8#9#")),IF(ISNUMBER(FIND("#"&amp;MID(D590,2,1)&amp;"#","#0#1#2#3#4#5#6#7#8#9#")),IF(AND(VALUE(LEFT(D590,2))&gt;=1,VALUE(LEFT(D590,2))&lt;=5),VALUE(LEFT(D590,2)),""),IF(AND(VALUE(LEFT(D590,1))&gt;=1,VALUE(LEFT(D590,1))&lt;=5),VALUE(LEFT(D590,1)),"")),""),"")</f>
        <v/>
      </c>
      <c r="S590" s="25">
        <f>IF(AND(Q590=1,E590&lt;&gt;""),SUBSTITUTE(SUBSTITUTE(SUBSTITUTE(SUBSTITUTE(SUBSTITUTE(SUBSTITUTE(SUBSTITUTE(SUBSTITUTE(SUBSTITUTE(SUBSTITUTE(SUBSTITUTE(SUBSTITUTE(LOWER(TRIM(E590)),"á","a"),"é","e"),"í","i"),"ó","o"),"ú","u"),"ü","u"),"ñ","n"),"à","a"),"è","e"),"ì","i"),"ò","o"),"ù","u"),"")</f>
        <v/>
      </c>
      <c r="T590" s="25">
        <f>IF(AND(Q590=1,G590&lt;&gt;""),SUBSTITUTE(SUBSTITUTE(SUBSTITUTE(SUBSTITUTE(SUBSTITUTE(SUBSTITUTE(SUBSTITUTE(SUBSTITUTE(SUBSTITUTE(SUBSTITUTE(SUBSTITUTE(SUBSTITUTE(LOWER(TRIM(G590)),"á","a"),"é","e"),"í","i"),"ó","o"),"ú","u"),"ü","u"),"ñ","n"),"à","a"),"è","e"),"ì","i"),"ò","o"),"ù","u"),"")</f>
        <v/>
      </c>
      <c r="U590" s="25">
        <f>IF(AND(Q590=1,H590&lt;&gt;""),SUBSTITUTE(SUBSTITUTE(SUBSTITUTE(SUBSTITUTE(SUBSTITUTE(SUBSTITUTE(SUBSTITUTE(SUBSTITUTE(SUBSTITUTE(SUBSTITUTE(SUBSTITUTE(SUBSTITUTE(LOWER(TRIM(H590)),"á","a"),"é","e"),"í","i"),"ó","o"),"ú","u"),"ü","u"),"ñ","n"),"à","a"),"è","e"),"ì","i"),"ò","o"),"ù","u"),"")</f>
        <v/>
      </c>
      <c r="V590" s="25">
        <f>IF(AND(Q590=1,L590&lt;&gt;""),SUBSTITUTE(SUBSTITUTE(SUBSTITUTE(SUBSTITUTE(SUBSTITUTE(SUBSTITUTE(SUBSTITUTE(SUBSTITUTE(SUBSTITUTE(SUBSTITUTE(SUBSTITUTE(SUBSTITUTE(LOWER(TRIM(L590)),"á","a"),"é","e"),"í","i"),"ó","o"),"ú","u"),"ü","u"),"ñ","n"),"à","a"),"è","e"),"ì","i"),"ò","o"),"ù","u"),"")</f>
        <v/>
      </c>
      <c r="W590" s="25">
        <f>IF(AND(Q590=1,I590&lt;&gt;""),SUBSTITUTE(SUBSTITUTE(SUBSTITUTE(SUBSTITUTE(SUBSTITUTE(SUBSTITUTE(SUBSTITUTE(SUBSTITUTE(SUBSTITUTE(SUBSTITUTE(SUBSTITUTE(SUBSTITUTE(LOWER(TRIM(I590)),"á","a"),"é","e"),"í","i"),"ó","o"),"ú","u"),"ü","u"),"ñ","n"),"à","a"),"è","e"),"ì","i"),"ò","o"),"ù","u"),"")</f>
        <v/>
      </c>
      <c r="X590" s="25">
        <f>IF(U590="","",IF(OR(U590="si, en la proxima tarea",U590="si, con cambios"),1,0))</f>
        <v/>
      </c>
      <c r="Y590" s="25">
        <f>IF(AND(Q590=1,A590&lt;&gt;""),IF(IFERROR(COUNTIFS(A$3:A590,"="&amp;SUBSTITUTE(SUBSTITUTE(SUBSTITUTE(A590,"~","~~"),"*","~*"),"?","~?"),Q$3:Q590,1),0)=1,MAX(Y$2:Y589)+1,""),"")</f>
        <v/>
      </c>
      <c r="Z590" s="25">
        <f>IF(Y590="","",COUNTIFS($A$3:$A$1002,"="&amp;SUBSTITUTE(SUBSTITUTE(SUBSTITUTE(A590,"~","~~"),"*","~*"),"?","~?"),$Q$3:$Q$1002,1)*10000-Y590)</f>
        <v/>
      </c>
    </row>
    <row r="591">
      <c r="A591">
        <f>IF(A$2=0,"",IFERROR(TRIM(INDEX('Pegar docentes'!$A$1:$BZ$1001,590,A$2)&amp;""),""))</f>
        <v/>
      </c>
      <c r="B591">
        <f>IF(B$2=0,"",IFERROR(TRIM(INDEX('Pegar docentes'!$A$1:$BZ$1001,590,B$2)&amp;""),""))</f>
        <v/>
      </c>
      <c r="C591">
        <f>IF(C$2=0,"",IFERROR(TRIM(INDEX('Pegar docentes'!$A$1:$BZ$1001,590,C$2)&amp;""),""))</f>
        <v/>
      </c>
      <c r="D591">
        <f>IF(D$2=0,"",IFERROR(TRIM(INDEX('Pegar docentes'!$A$1:$BZ$1001,590,D$2)&amp;""),""))</f>
        <v/>
      </c>
      <c r="E591">
        <f>IF(E$2=0,"",IFERROR(TRIM(INDEX('Pegar docentes'!$A$1:$BZ$1001,590,E$2)&amp;""),""))</f>
        <v/>
      </c>
      <c r="F591">
        <f>IF(F$2=0,"",IFERROR(TRIM(INDEX('Pegar docentes'!$A$1:$BZ$1001,590,F$2)&amp;""),""))</f>
        <v/>
      </c>
      <c r="G591">
        <f>IF(G$2=0,"",IFERROR(TRIM(INDEX('Pegar docentes'!$A$1:$BZ$1001,590,G$2)&amp;""),""))</f>
        <v/>
      </c>
      <c r="H591">
        <f>IF(H$2=0,"",IFERROR(TRIM(INDEX('Pegar docentes'!$A$1:$BZ$1001,590,H$2)&amp;""),""))</f>
        <v/>
      </c>
      <c r="I591">
        <f>IF(I$2=0,"",IFERROR(TRIM(INDEX('Pegar docentes'!$A$1:$BZ$1001,590,I$2)&amp;""),""))</f>
        <v/>
      </c>
      <c r="J591">
        <f>IF(J$2=0,"",IFERROR(TRIM(INDEX('Pegar docentes'!$A$1:$BZ$1001,590,J$2)&amp;""),""))</f>
        <v/>
      </c>
      <c r="K591">
        <f>IF(K$2=0,"",IFERROR(TRIM(INDEX('Pegar docentes'!$A$1:$BZ$1001,590,K$2)&amp;""),""))</f>
        <v/>
      </c>
      <c r="L591">
        <f>IF(L$2=0,"",IFERROR(TRIM(INDEX('Pegar docentes'!$A$1:$BZ$1001,590,L$2)&amp;""),""))</f>
        <v/>
      </c>
      <c r="M591">
        <f>IF(M$2=0,"",IFERROR(TRIM(INDEX('Pegar docentes'!$A$1:$BZ$1001,590,M$2)&amp;""),""))</f>
        <v/>
      </c>
      <c r="N591">
        <f>IF(N$2=0,"",IFERROR(TRIM(INDEX('Pegar docentes'!$A$1:$BZ$1001,590,N$2)&amp;""),""))</f>
        <v/>
      </c>
      <c r="O591">
        <f>IF(O$2=0,"",IFERROR(TRIM(INDEX('Pegar docentes'!$A$1:$BZ$1001,590,O$2)&amp;""),""))</f>
        <v/>
      </c>
      <c r="P591">
        <f>IF(P$2=0,"",IFERROR(TRIM(INDEX('Pegar docentes'!$A$1:$BZ$1001,590,P$2)&amp;""),""))</f>
        <v/>
      </c>
      <c r="Q591" s="25">
        <f>IF(OR(D591&lt;&gt;"",H591&lt;&gt;""),1,"")</f>
        <v/>
      </c>
      <c r="R591" s="25">
        <f>IF(Q591=1,IF(ISNUMBER(FIND("#"&amp;MID(D591,1,1)&amp;"#","#0#1#2#3#4#5#6#7#8#9#")),IF(ISNUMBER(FIND("#"&amp;MID(D591,2,1)&amp;"#","#0#1#2#3#4#5#6#7#8#9#")),IF(AND(VALUE(LEFT(D591,2))&gt;=1,VALUE(LEFT(D591,2))&lt;=5),VALUE(LEFT(D591,2)),""),IF(AND(VALUE(LEFT(D591,1))&gt;=1,VALUE(LEFT(D591,1))&lt;=5),VALUE(LEFT(D591,1)),"")),""),"")</f>
        <v/>
      </c>
      <c r="S591" s="25">
        <f>IF(AND(Q591=1,E591&lt;&gt;""),SUBSTITUTE(SUBSTITUTE(SUBSTITUTE(SUBSTITUTE(SUBSTITUTE(SUBSTITUTE(SUBSTITUTE(SUBSTITUTE(SUBSTITUTE(SUBSTITUTE(SUBSTITUTE(SUBSTITUTE(LOWER(TRIM(E591)),"á","a"),"é","e"),"í","i"),"ó","o"),"ú","u"),"ü","u"),"ñ","n"),"à","a"),"è","e"),"ì","i"),"ò","o"),"ù","u"),"")</f>
        <v/>
      </c>
      <c r="T591" s="25">
        <f>IF(AND(Q591=1,G591&lt;&gt;""),SUBSTITUTE(SUBSTITUTE(SUBSTITUTE(SUBSTITUTE(SUBSTITUTE(SUBSTITUTE(SUBSTITUTE(SUBSTITUTE(SUBSTITUTE(SUBSTITUTE(SUBSTITUTE(SUBSTITUTE(LOWER(TRIM(G591)),"á","a"),"é","e"),"í","i"),"ó","o"),"ú","u"),"ü","u"),"ñ","n"),"à","a"),"è","e"),"ì","i"),"ò","o"),"ù","u"),"")</f>
        <v/>
      </c>
      <c r="U591" s="25">
        <f>IF(AND(Q591=1,H591&lt;&gt;""),SUBSTITUTE(SUBSTITUTE(SUBSTITUTE(SUBSTITUTE(SUBSTITUTE(SUBSTITUTE(SUBSTITUTE(SUBSTITUTE(SUBSTITUTE(SUBSTITUTE(SUBSTITUTE(SUBSTITUTE(LOWER(TRIM(H591)),"á","a"),"é","e"),"í","i"),"ó","o"),"ú","u"),"ü","u"),"ñ","n"),"à","a"),"è","e"),"ì","i"),"ò","o"),"ù","u"),"")</f>
        <v/>
      </c>
      <c r="V591" s="25">
        <f>IF(AND(Q591=1,L591&lt;&gt;""),SUBSTITUTE(SUBSTITUTE(SUBSTITUTE(SUBSTITUTE(SUBSTITUTE(SUBSTITUTE(SUBSTITUTE(SUBSTITUTE(SUBSTITUTE(SUBSTITUTE(SUBSTITUTE(SUBSTITUTE(LOWER(TRIM(L591)),"á","a"),"é","e"),"í","i"),"ó","o"),"ú","u"),"ü","u"),"ñ","n"),"à","a"),"è","e"),"ì","i"),"ò","o"),"ù","u"),"")</f>
        <v/>
      </c>
      <c r="W591" s="25">
        <f>IF(AND(Q591=1,I591&lt;&gt;""),SUBSTITUTE(SUBSTITUTE(SUBSTITUTE(SUBSTITUTE(SUBSTITUTE(SUBSTITUTE(SUBSTITUTE(SUBSTITUTE(SUBSTITUTE(SUBSTITUTE(SUBSTITUTE(SUBSTITUTE(LOWER(TRIM(I591)),"á","a"),"é","e"),"í","i"),"ó","o"),"ú","u"),"ü","u"),"ñ","n"),"à","a"),"è","e"),"ì","i"),"ò","o"),"ù","u"),"")</f>
        <v/>
      </c>
      <c r="X591" s="25">
        <f>IF(U591="","",IF(OR(U591="si, en la proxima tarea",U591="si, con cambios"),1,0))</f>
        <v/>
      </c>
      <c r="Y591" s="25">
        <f>IF(AND(Q591=1,A591&lt;&gt;""),IF(IFERROR(COUNTIFS(A$3:A591,"="&amp;SUBSTITUTE(SUBSTITUTE(SUBSTITUTE(A591,"~","~~"),"*","~*"),"?","~?"),Q$3:Q591,1),0)=1,MAX(Y$2:Y590)+1,""),"")</f>
        <v/>
      </c>
      <c r="Z591" s="25">
        <f>IF(Y591="","",COUNTIFS($A$3:$A$1002,"="&amp;SUBSTITUTE(SUBSTITUTE(SUBSTITUTE(A591,"~","~~"),"*","~*"),"?","~?"),$Q$3:$Q$1002,1)*10000-Y591)</f>
        <v/>
      </c>
    </row>
    <row r="592">
      <c r="A592">
        <f>IF(A$2=0,"",IFERROR(TRIM(INDEX('Pegar docentes'!$A$1:$BZ$1001,591,A$2)&amp;""),""))</f>
        <v/>
      </c>
      <c r="B592">
        <f>IF(B$2=0,"",IFERROR(TRIM(INDEX('Pegar docentes'!$A$1:$BZ$1001,591,B$2)&amp;""),""))</f>
        <v/>
      </c>
      <c r="C592">
        <f>IF(C$2=0,"",IFERROR(TRIM(INDEX('Pegar docentes'!$A$1:$BZ$1001,591,C$2)&amp;""),""))</f>
        <v/>
      </c>
      <c r="D592">
        <f>IF(D$2=0,"",IFERROR(TRIM(INDEX('Pegar docentes'!$A$1:$BZ$1001,591,D$2)&amp;""),""))</f>
        <v/>
      </c>
      <c r="E592">
        <f>IF(E$2=0,"",IFERROR(TRIM(INDEX('Pegar docentes'!$A$1:$BZ$1001,591,E$2)&amp;""),""))</f>
        <v/>
      </c>
      <c r="F592">
        <f>IF(F$2=0,"",IFERROR(TRIM(INDEX('Pegar docentes'!$A$1:$BZ$1001,591,F$2)&amp;""),""))</f>
        <v/>
      </c>
      <c r="G592">
        <f>IF(G$2=0,"",IFERROR(TRIM(INDEX('Pegar docentes'!$A$1:$BZ$1001,591,G$2)&amp;""),""))</f>
        <v/>
      </c>
      <c r="H592">
        <f>IF(H$2=0,"",IFERROR(TRIM(INDEX('Pegar docentes'!$A$1:$BZ$1001,591,H$2)&amp;""),""))</f>
        <v/>
      </c>
      <c r="I592">
        <f>IF(I$2=0,"",IFERROR(TRIM(INDEX('Pegar docentes'!$A$1:$BZ$1001,591,I$2)&amp;""),""))</f>
        <v/>
      </c>
      <c r="J592">
        <f>IF(J$2=0,"",IFERROR(TRIM(INDEX('Pegar docentes'!$A$1:$BZ$1001,591,J$2)&amp;""),""))</f>
        <v/>
      </c>
      <c r="K592">
        <f>IF(K$2=0,"",IFERROR(TRIM(INDEX('Pegar docentes'!$A$1:$BZ$1001,591,K$2)&amp;""),""))</f>
        <v/>
      </c>
      <c r="L592">
        <f>IF(L$2=0,"",IFERROR(TRIM(INDEX('Pegar docentes'!$A$1:$BZ$1001,591,L$2)&amp;""),""))</f>
        <v/>
      </c>
      <c r="M592">
        <f>IF(M$2=0,"",IFERROR(TRIM(INDEX('Pegar docentes'!$A$1:$BZ$1001,591,M$2)&amp;""),""))</f>
        <v/>
      </c>
      <c r="N592">
        <f>IF(N$2=0,"",IFERROR(TRIM(INDEX('Pegar docentes'!$A$1:$BZ$1001,591,N$2)&amp;""),""))</f>
        <v/>
      </c>
      <c r="O592">
        <f>IF(O$2=0,"",IFERROR(TRIM(INDEX('Pegar docentes'!$A$1:$BZ$1001,591,O$2)&amp;""),""))</f>
        <v/>
      </c>
      <c r="P592">
        <f>IF(P$2=0,"",IFERROR(TRIM(INDEX('Pegar docentes'!$A$1:$BZ$1001,591,P$2)&amp;""),""))</f>
        <v/>
      </c>
      <c r="Q592" s="25">
        <f>IF(OR(D592&lt;&gt;"",H592&lt;&gt;""),1,"")</f>
        <v/>
      </c>
      <c r="R592" s="25">
        <f>IF(Q592=1,IF(ISNUMBER(FIND("#"&amp;MID(D592,1,1)&amp;"#","#0#1#2#3#4#5#6#7#8#9#")),IF(ISNUMBER(FIND("#"&amp;MID(D592,2,1)&amp;"#","#0#1#2#3#4#5#6#7#8#9#")),IF(AND(VALUE(LEFT(D592,2))&gt;=1,VALUE(LEFT(D592,2))&lt;=5),VALUE(LEFT(D592,2)),""),IF(AND(VALUE(LEFT(D592,1))&gt;=1,VALUE(LEFT(D592,1))&lt;=5),VALUE(LEFT(D592,1)),"")),""),"")</f>
        <v/>
      </c>
      <c r="S592" s="25">
        <f>IF(AND(Q592=1,E592&lt;&gt;""),SUBSTITUTE(SUBSTITUTE(SUBSTITUTE(SUBSTITUTE(SUBSTITUTE(SUBSTITUTE(SUBSTITUTE(SUBSTITUTE(SUBSTITUTE(SUBSTITUTE(SUBSTITUTE(SUBSTITUTE(LOWER(TRIM(E592)),"á","a"),"é","e"),"í","i"),"ó","o"),"ú","u"),"ü","u"),"ñ","n"),"à","a"),"è","e"),"ì","i"),"ò","o"),"ù","u"),"")</f>
        <v/>
      </c>
      <c r="T592" s="25">
        <f>IF(AND(Q592=1,G592&lt;&gt;""),SUBSTITUTE(SUBSTITUTE(SUBSTITUTE(SUBSTITUTE(SUBSTITUTE(SUBSTITUTE(SUBSTITUTE(SUBSTITUTE(SUBSTITUTE(SUBSTITUTE(SUBSTITUTE(SUBSTITUTE(LOWER(TRIM(G592)),"á","a"),"é","e"),"í","i"),"ó","o"),"ú","u"),"ü","u"),"ñ","n"),"à","a"),"è","e"),"ì","i"),"ò","o"),"ù","u"),"")</f>
        <v/>
      </c>
      <c r="U592" s="25">
        <f>IF(AND(Q592=1,H592&lt;&gt;""),SUBSTITUTE(SUBSTITUTE(SUBSTITUTE(SUBSTITUTE(SUBSTITUTE(SUBSTITUTE(SUBSTITUTE(SUBSTITUTE(SUBSTITUTE(SUBSTITUTE(SUBSTITUTE(SUBSTITUTE(LOWER(TRIM(H592)),"á","a"),"é","e"),"í","i"),"ó","o"),"ú","u"),"ü","u"),"ñ","n"),"à","a"),"è","e"),"ì","i"),"ò","o"),"ù","u"),"")</f>
        <v/>
      </c>
      <c r="V592" s="25">
        <f>IF(AND(Q592=1,L592&lt;&gt;""),SUBSTITUTE(SUBSTITUTE(SUBSTITUTE(SUBSTITUTE(SUBSTITUTE(SUBSTITUTE(SUBSTITUTE(SUBSTITUTE(SUBSTITUTE(SUBSTITUTE(SUBSTITUTE(SUBSTITUTE(LOWER(TRIM(L592)),"á","a"),"é","e"),"í","i"),"ó","o"),"ú","u"),"ü","u"),"ñ","n"),"à","a"),"è","e"),"ì","i"),"ò","o"),"ù","u"),"")</f>
        <v/>
      </c>
      <c r="W592" s="25">
        <f>IF(AND(Q592=1,I592&lt;&gt;""),SUBSTITUTE(SUBSTITUTE(SUBSTITUTE(SUBSTITUTE(SUBSTITUTE(SUBSTITUTE(SUBSTITUTE(SUBSTITUTE(SUBSTITUTE(SUBSTITUTE(SUBSTITUTE(SUBSTITUTE(LOWER(TRIM(I592)),"á","a"),"é","e"),"í","i"),"ó","o"),"ú","u"),"ü","u"),"ñ","n"),"à","a"),"è","e"),"ì","i"),"ò","o"),"ù","u"),"")</f>
        <v/>
      </c>
      <c r="X592" s="25">
        <f>IF(U592="","",IF(OR(U592="si, en la proxima tarea",U592="si, con cambios"),1,0))</f>
        <v/>
      </c>
      <c r="Y592" s="25">
        <f>IF(AND(Q592=1,A592&lt;&gt;""),IF(IFERROR(COUNTIFS(A$3:A592,"="&amp;SUBSTITUTE(SUBSTITUTE(SUBSTITUTE(A592,"~","~~"),"*","~*"),"?","~?"),Q$3:Q592,1),0)=1,MAX(Y$2:Y591)+1,""),"")</f>
        <v/>
      </c>
      <c r="Z592" s="25">
        <f>IF(Y592="","",COUNTIFS($A$3:$A$1002,"="&amp;SUBSTITUTE(SUBSTITUTE(SUBSTITUTE(A592,"~","~~"),"*","~*"),"?","~?"),$Q$3:$Q$1002,1)*10000-Y592)</f>
        <v/>
      </c>
    </row>
    <row r="593">
      <c r="A593">
        <f>IF(A$2=0,"",IFERROR(TRIM(INDEX('Pegar docentes'!$A$1:$BZ$1001,592,A$2)&amp;""),""))</f>
        <v/>
      </c>
      <c r="B593">
        <f>IF(B$2=0,"",IFERROR(TRIM(INDEX('Pegar docentes'!$A$1:$BZ$1001,592,B$2)&amp;""),""))</f>
        <v/>
      </c>
      <c r="C593">
        <f>IF(C$2=0,"",IFERROR(TRIM(INDEX('Pegar docentes'!$A$1:$BZ$1001,592,C$2)&amp;""),""))</f>
        <v/>
      </c>
      <c r="D593">
        <f>IF(D$2=0,"",IFERROR(TRIM(INDEX('Pegar docentes'!$A$1:$BZ$1001,592,D$2)&amp;""),""))</f>
        <v/>
      </c>
      <c r="E593">
        <f>IF(E$2=0,"",IFERROR(TRIM(INDEX('Pegar docentes'!$A$1:$BZ$1001,592,E$2)&amp;""),""))</f>
        <v/>
      </c>
      <c r="F593">
        <f>IF(F$2=0,"",IFERROR(TRIM(INDEX('Pegar docentes'!$A$1:$BZ$1001,592,F$2)&amp;""),""))</f>
        <v/>
      </c>
      <c r="G593">
        <f>IF(G$2=0,"",IFERROR(TRIM(INDEX('Pegar docentes'!$A$1:$BZ$1001,592,G$2)&amp;""),""))</f>
        <v/>
      </c>
      <c r="H593">
        <f>IF(H$2=0,"",IFERROR(TRIM(INDEX('Pegar docentes'!$A$1:$BZ$1001,592,H$2)&amp;""),""))</f>
        <v/>
      </c>
      <c r="I593">
        <f>IF(I$2=0,"",IFERROR(TRIM(INDEX('Pegar docentes'!$A$1:$BZ$1001,592,I$2)&amp;""),""))</f>
        <v/>
      </c>
      <c r="J593">
        <f>IF(J$2=0,"",IFERROR(TRIM(INDEX('Pegar docentes'!$A$1:$BZ$1001,592,J$2)&amp;""),""))</f>
        <v/>
      </c>
      <c r="K593">
        <f>IF(K$2=0,"",IFERROR(TRIM(INDEX('Pegar docentes'!$A$1:$BZ$1001,592,K$2)&amp;""),""))</f>
        <v/>
      </c>
      <c r="L593">
        <f>IF(L$2=0,"",IFERROR(TRIM(INDEX('Pegar docentes'!$A$1:$BZ$1001,592,L$2)&amp;""),""))</f>
        <v/>
      </c>
      <c r="M593">
        <f>IF(M$2=0,"",IFERROR(TRIM(INDEX('Pegar docentes'!$A$1:$BZ$1001,592,M$2)&amp;""),""))</f>
        <v/>
      </c>
      <c r="N593">
        <f>IF(N$2=0,"",IFERROR(TRIM(INDEX('Pegar docentes'!$A$1:$BZ$1001,592,N$2)&amp;""),""))</f>
        <v/>
      </c>
      <c r="O593">
        <f>IF(O$2=0,"",IFERROR(TRIM(INDEX('Pegar docentes'!$A$1:$BZ$1001,592,O$2)&amp;""),""))</f>
        <v/>
      </c>
      <c r="P593">
        <f>IF(P$2=0,"",IFERROR(TRIM(INDEX('Pegar docentes'!$A$1:$BZ$1001,592,P$2)&amp;""),""))</f>
        <v/>
      </c>
      <c r="Q593" s="25">
        <f>IF(OR(D593&lt;&gt;"",H593&lt;&gt;""),1,"")</f>
        <v/>
      </c>
      <c r="R593" s="25">
        <f>IF(Q593=1,IF(ISNUMBER(FIND("#"&amp;MID(D593,1,1)&amp;"#","#0#1#2#3#4#5#6#7#8#9#")),IF(ISNUMBER(FIND("#"&amp;MID(D593,2,1)&amp;"#","#0#1#2#3#4#5#6#7#8#9#")),IF(AND(VALUE(LEFT(D593,2))&gt;=1,VALUE(LEFT(D593,2))&lt;=5),VALUE(LEFT(D593,2)),""),IF(AND(VALUE(LEFT(D593,1))&gt;=1,VALUE(LEFT(D593,1))&lt;=5),VALUE(LEFT(D593,1)),"")),""),"")</f>
        <v/>
      </c>
      <c r="S593" s="25">
        <f>IF(AND(Q593=1,E593&lt;&gt;""),SUBSTITUTE(SUBSTITUTE(SUBSTITUTE(SUBSTITUTE(SUBSTITUTE(SUBSTITUTE(SUBSTITUTE(SUBSTITUTE(SUBSTITUTE(SUBSTITUTE(SUBSTITUTE(SUBSTITUTE(LOWER(TRIM(E593)),"á","a"),"é","e"),"í","i"),"ó","o"),"ú","u"),"ü","u"),"ñ","n"),"à","a"),"è","e"),"ì","i"),"ò","o"),"ù","u"),"")</f>
        <v/>
      </c>
      <c r="T593" s="25">
        <f>IF(AND(Q593=1,G593&lt;&gt;""),SUBSTITUTE(SUBSTITUTE(SUBSTITUTE(SUBSTITUTE(SUBSTITUTE(SUBSTITUTE(SUBSTITUTE(SUBSTITUTE(SUBSTITUTE(SUBSTITUTE(SUBSTITUTE(SUBSTITUTE(LOWER(TRIM(G593)),"á","a"),"é","e"),"í","i"),"ó","o"),"ú","u"),"ü","u"),"ñ","n"),"à","a"),"è","e"),"ì","i"),"ò","o"),"ù","u"),"")</f>
        <v/>
      </c>
      <c r="U593" s="25">
        <f>IF(AND(Q593=1,H593&lt;&gt;""),SUBSTITUTE(SUBSTITUTE(SUBSTITUTE(SUBSTITUTE(SUBSTITUTE(SUBSTITUTE(SUBSTITUTE(SUBSTITUTE(SUBSTITUTE(SUBSTITUTE(SUBSTITUTE(SUBSTITUTE(LOWER(TRIM(H593)),"á","a"),"é","e"),"í","i"),"ó","o"),"ú","u"),"ü","u"),"ñ","n"),"à","a"),"è","e"),"ì","i"),"ò","o"),"ù","u"),"")</f>
        <v/>
      </c>
      <c r="V593" s="25">
        <f>IF(AND(Q593=1,L593&lt;&gt;""),SUBSTITUTE(SUBSTITUTE(SUBSTITUTE(SUBSTITUTE(SUBSTITUTE(SUBSTITUTE(SUBSTITUTE(SUBSTITUTE(SUBSTITUTE(SUBSTITUTE(SUBSTITUTE(SUBSTITUTE(LOWER(TRIM(L593)),"á","a"),"é","e"),"í","i"),"ó","o"),"ú","u"),"ü","u"),"ñ","n"),"à","a"),"è","e"),"ì","i"),"ò","o"),"ù","u"),"")</f>
        <v/>
      </c>
      <c r="W593" s="25">
        <f>IF(AND(Q593=1,I593&lt;&gt;""),SUBSTITUTE(SUBSTITUTE(SUBSTITUTE(SUBSTITUTE(SUBSTITUTE(SUBSTITUTE(SUBSTITUTE(SUBSTITUTE(SUBSTITUTE(SUBSTITUTE(SUBSTITUTE(SUBSTITUTE(LOWER(TRIM(I593)),"á","a"),"é","e"),"í","i"),"ó","o"),"ú","u"),"ü","u"),"ñ","n"),"à","a"),"è","e"),"ì","i"),"ò","o"),"ù","u"),"")</f>
        <v/>
      </c>
      <c r="X593" s="25">
        <f>IF(U593="","",IF(OR(U593="si, en la proxima tarea",U593="si, con cambios"),1,0))</f>
        <v/>
      </c>
      <c r="Y593" s="25">
        <f>IF(AND(Q593=1,A593&lt;&gt;""),IF(IFERROR(COUNTIFS(A$3:A593,"="&amp;SUBSTITUTE(SUBSTITUTE(SUBSTITUTE(A593,"~","~~"),"*","~*"),"?","~?"),Q$3:Q593,1),0)=1,MAX(Y$2:Y592)+1,""),"")</f>
        <v/>
      </c>
      <c r="Z593" s="25">
        <f>IF(Y593="","",COUNTIFS($A$3:$A$1002,"="&amp;SUBSTITUTE(SUBSTITUTE(SUBSTITUTE(A593,"~","~~"),"*","~*"),"?","~?"),$Q$3:$Q$1002,1)*10000-Y593)</f>
        <v/>
      </c>
    </row>
    <row r="594">
      <c r="A594">
        <f>IF(A$2=0,"",IFERROR(TRIM(INDEX('Pegar docentes'!$A$1:$BZ$1001,593,A$2)&amp;""),""))</f>
        <v/>
      </c>
      <c r="B594">
        <f>IF(B$2=0,"",IFERROR(TRIM(INDEX('Pegar docentes'!$A$1:$BZ$1001,593,B$2)&amp;""),""))</f>
        <v/>
      </c>
      <c r="C594">
        <f>IF(C$2=0,"",IFERROR(TRIM(INDEX('Pegar docentes'!$A$1:$BZ$1001,593,C$2)&amp;""),""))</f>
        <v/>
      </c>
      <c r="D594">
        <f>IF(D$2=0,"",IFERROR(TRIM(INDEX('Pegar docentes'!$A$1:$BZ$1001,593,D$2)&amp;""),""))</f>
        <v/>
      </c>
      <c r="E594">
        <f>IF(E$2=0,"",IFERROR(TRIM(INDEX('Pegar docentes'!$A$1:$BZ$1001,593,E$2)&amp;""),""))</f>
        <v/>
      </c>
      <c r="F594">
        <f>IF(F$2=0,"",IFERROR(TRIM(INDEX('Pegar docentes'!$A$1:$BZ$1001,593,F$2)&amp;""),""))</f>
        <v/>
      </c>
      <c r="G594">
        <f>IF(G$2=0,"",IFERROR(TRIM(INDEX('Pegar docentes'!$A$1:$BZ$1001,593,G$2)&amp;""),""))</f>
        <v/>
      </c>
      <c r="H594">
        <f>IF(H$2=0,"",IFERROR(TRIM(INDEX('Pegar docentes'!$A$1:$BZ$1001,593,H$2)&amp;""),""))</f>
        <v/>
      </c>
      <c r="I594">
        <f>IF(I$2=0,"",IFERROR(TRIM(INDEX('Pegar docentes'!$A$1:$BZ$1001,593,I$2)&amp;""),""))</f>
        <v/>
      </c>
      <c r="J594">
        <f>IF(J$2=0,"",IFERROR(TRIM(INDEX('Pegar docentes'!$A$1:$BZ$1001,593,J$2)&amp;""),""))</f>
        <v/>
      </c>
      <c r="K594">
        <f>IF(K$2=0,"",IFERROR(TRIM(INDEX('Pegar docentes'!$A$1:$BZ$1001,593,K$2)&amp;""),""))</f>
        <v/>
      </c>
      <c r="L594">
        <f>IF(L$2=0,"",IFERROR(TRIM(INDEX('Pegar docentes'!$A$1:$BZ$1001,593,L$2)&amp;""),""))</f>
        <v/>
      </c>
      <c r="M594">
        <f>IF(M$2=0,"",IFERROR(TRIM(INDEX('Pegar docentes'!$A$1:$BZ$1001,593,M$2)&amp;""),""))</f>
        <v/>
      </c>
      <c r="N594">
        <f>IF(N$2=0,"",IFERROR(TRIM(INDEX('Pegar docentes'!$A$1:$BZ$1001,593,N$2)&amp;""),""))</f>
        <v/>
      </c>
      <c r="O594">
        <f>IF(O$2=0,"",IFERROR(TRIM(INDEX('Pegar docentes'!$A$1:$BZ$1001,593,O$2)&amp;""),""))</f>
        <v/>
      </c>
      <c r="P594">
        <f>IF(P$2=0,"",IFERROR(TRIM(INDEX('Pegar docentes'!$A$1:$BZ$1001,593,P$2)&amp;""),""))</f>
        <v/>
      </c>
      <c r="Q594" s="25">
        <f>IF(OR(D594&lt;&gt;"",H594&lt;&gt;""),1,"")</f>
        <v/>
      </c>
      <c r="R594" s="25">
        <f>IF(Q594=1,IF(ISNUMBER(FIND("#"&amp;MID(D594,1,1)&amp;"#","#0#1#2#3#4#5#6#7#8#9#")),IF(ISNUMBER(FIND("#"&amp;MID(D594,2,1)&amp;"#","#0#1#2#3#4#5#6#7#8#9#")),IF(AND(VALUE(LEFT(D594,2))&gt;=1,VALUE(LEFT(D594,2))&lt;=5),VALUE(LEFT(D594,2)),""),IF(AND(VALUE(LEFT(D594,1))&gt;=1,VALUE(LEFT(D594,1))&lt;=5),VALUE(LEFT(D594,1)),"")),""),"")</f>
        <v/>
      </c>
      <c r="S594" s="25">
        <f>IF(AND(Q594=1,E594&lt;&gt;""),SUBSTITUTE(SUBSTITUTE(SUBSTITUTE(SUBSTITUTE(SUBSTITUTE(SUBSTITUTE(SUBSTITUTE(SUBSTITUTE(SUBSTITUTE(SUBSTITUTE(SUBSTITUTE(SUBSTITUTE(LOWER(TRIM(E594)),"á","a"),"é","e"),"í","i"),"ó","o"),"ú","u"),"ü","u"),"ñ","n"),"à","a"),"è","e"),"ì","i"),"ò","o"),"ù","u"),"")</f>
        <v/>
      </c>
      <c r="T594" s="25">
        <f>IF(AND(Q594=1,G594&lt;&gt;""),SUBSTITUTE(SUBSTITUTE(SUBSTITUTE(SUBSTITUTE(SUBSTITUTE(SUBSTITUTE(SUBSTITUTE(SUBSTITUTE(SUBSTITUTE(SUBSTITUTE(SUBSTITUTE(SUBSTITUTE(LOWER(TRIM(G594)),"á","a"),"é","e"),"í","i"),"ó","o"),"ú","u"),"ü","u"),"ñ","n"),"à","a"),"è","e"),"ì","i"),"ò","o"),"ù","u"),"")</f>
        <v/>
      </c>
      <c r="U594" s="25">
        <f>IF(AND(Q594=1,H594&lt;&gt;""),SUBSTITUTE(SUBSTITUTE(SUBSTITUTE(SUBSTITUTE(SUBSTITUTE(SUBSTITUTE(SUBSTITUTE(SUBSTITUTE(SUBSTITUTE(SUBSTITUTE(SUBSTITUTE(SUBSTITUTE(LOWER(TRIM(H594)),"á","a"),"é","e"),"í","i"),"ó","o"),"ú","u"),"ü","u"),"ñ","n"),"à","a"),"è","e"),"ì","i"),"ò","o"),"ù","u"),"")</f>
        <v/>
      </c>
      <c r="V594" s="25">
        <f>IF(AND(Q594=1,L594&lt;&gt;""),SUBSTITUTE(SUBSTITUTE(SUBSTITUTE(SUBSTITUTE(SUBSTITUTE(SUBSTITUTE(SUBSTITUTE(SUBSTITUTE(SUBSTITUTE(SUBSTITUTE(SUBSTITUTE(SUBSTITUTE(LOWER(TRIM(L594)),"á","a"),"é","e"),"í","i"),"ó","o"),"ú","u"),"ü","u"),"ñ","n"),"à","a"),"è","e"),"ì","i"),"ò","o"),"ù","u"),"")</f>
        <v/>
      </c>
      <c r="W594" s="25">
        <f>IF(AND(Q594=1,I594&lt;&gt;""),SUBSTITUTE(SUBSTITUTE(SUBSTITUTE(SUBSTITUTE(SUBSTITUTE(SUBSTITUTE(SUBSTITUTE(SUBSTITUTE(SUBSTITUTE(SUBSTITUTE(SUBSTITUTE(SUBSTITUTE(LOWER(TRIM(I594)),"á","a"),"é","e"),"í","i"),"ó","o"),"ú","u"),"ü","u"),"ñ","n"),"à","a"),"è","e"),"ì","i"),"ò","o"),"ù","u"),"")</f>
        <v/>
      </c>
      <c r="X594" s="25">
        <f>IF(U594="","",IF(OR(U594="si, en la proxima tarea",U594="si, con cambios"),1,0))</f>
        <v/>
      </c>
      <c r="Y594" s="25">
        <f>IF(AND(Q594=1,A594&lt;&gt;""),IF(IFERROR(COUNTIFS(A$3:A594,"="&amp;SUBSTITUTE(SUBSTITUTE(SUBSTITUTE(A594,"~","~~"),"*","~*"),"?","~?"),Q$3:Q594,1),0)=1,MAX(Y$2:Y593)+1,""),"")</f>
        <v/>
      </c>
      <c r="Z594" s="25">
        <f>IF(Y594="","",COUNTIFS($A$3:$A$1002,"="&amp;SUBSTITUTE(SUBSTITUTE(SUBSTITUTE(A594,"~","~~"),"*","~*"),"?","~?"),$Q$3:$Q$1002,1)*10000-Y594)</f>
        <v/>
      </c>
    </row>
    <row r="595">
      <c r="A595">
        <f>IF(A$2=0,"",IFERROR(TRIM(INDEX('Pegar docentes'!$A$1:$BZ$1001,594,A$2)&amp;""),""))</f>
        <v/>
      </c>
      <c r="B595">
        <f>IF(B$2=0,"",IFERROR(TRIM(INDEX('Pegar docentes'!$A$1:$BZ$1001,594,B$2)&amp;""),""))</f>
        <v/>
      </c>
      <c r="C595">
        <f>IF(C$2=0,"",IFERROR(TRIM(INDEX('Pegar docentes'!$A$1:$BZ$1001,594,C$2)&amp;""),""))</f>
        <v/>
      </c>
      <c r="D595">
        <f>IF(D$2=0,"",IFERROR(TRIM(INDEX('Pegar docentes'!$A$1:$BZ$1001,594,D$2)&amp;""),""))</f>
        <v/>
      </c>
      <c r="E595">
        <f>IF(E$2=0,"",IFERROR(TRIM(INDEX('Pegar docentes'!$A$1:$BZ$1001,594,E$2)&amp;""),""))</f>
        <v/>
      </c>
      <c r="F595">
        <f>IF(F$2=0,"",IFERROR(TRIM(INDEX('Pegar docentes'!$A$1:$BZ$1001,594,F$2)&amp;""),""))</f>
        <v/>
      </c>
      <c r="G595">
        <f>IF(G$2=0,"",IFERROR(TRIM(INDEX('Pegar docentes'!$A$1:$BZ$1001,594,G$2)&amp;""),""))</f>
        <v/>
      </c>
      <c r="H595">
        <f>IF(H$2=0,"",IFERROR(TRIM(INDEX('Pegar docentes'!$A$1:$BZ$1001,594,H$2)&amp;""),""))</f>
        <v/>
      </c>
      <c r="I595">
        <f>IF(I$2=0,"",IFERROR(TRIM(INDEX('Pegar docentes'!$A$1:$BZ$1001,594,I$2)&amp;""),""))</f>
        <v/>
      </c>
      <c r="J595">
        <f>IF(J$2=0,"",IFERROR(TRIM(INDEX('Pegar docentes'!$A$1:$BZ$1001,594,J$2)&amp;""),""))</f>
        <v/>
      </c>
      <c r="K595">
        <f>IF(K$2=0,"",IFERROR(TRIM(INDEX('Pegar docentes'!$A$1:$BZ$1001,594,K$2)&amp;""),""))</f>
        <v/>
      </c>
      <c r="L595">
        <f>IF(L$2=0,"",IFERROR(TRIM(INDEX('Pegar docentes'!$A$1:$BZ$1001,594,L$2)&amp;""),""))</f>
        <v/>
      </c>
      <c r="M595">
        <f>IF(M$2=0,"",IFERROR(TRIM(INDEX('Pegar docentes'!$A$1:$BZ$1001,594,M$2)&amp;""),""))</f>
        <v/>
      </c>
      <c r="N595">
        <f>IF(N$2=0,"",IFERROR(TRIM(INDEX('Pegar docentes'!$A$1:$BZ$1001,594,N$2)&amp;""),""))</f>
        <v/>
      </c>
      <c r="O595">
        <f>IF(O$2=0,"",IFERROR(TRIM(INDEX('Pegar docentes'!$A$1:$BZ$1001,594,O$2)&amp;""),""))</f>
        <v/>
      </c>
      <c r="P595">
        <f>IF(P$2=0,"",IFERROR(TRIM(INDEX('Pegar docentes'!$A$1:$BZ$1001,594,P$2)&amp;""),""))</f>
        <v/>
      </c>
      <c r="Q595" s="25">
        <f>IF(OR(D595&lt;&gt;"",H595&lt;&gt;""),1,"")</f>
        <v/>
      </c>
      <c r="R595" s="25">
        <f>IF(Q595=1,IF(ISNUMBER(FIND("#"&amp;MID(D595,1,1)&amp;"#","#0#1#2#3#4#5#6#7#8#9#")),IF(ISNUMBER(FIND("#"&amp;MID(D595,2,1)&amp;"#","#0#1#2#3#4#5#6#7#8#9#")),IF(AND(VALUE(LEFT(D595,2))&gt;=1,VALUE(LEFT(D595,2))&lt;=5),VALUE(LEFT(D595,2)),""),IF(AND(VALUE(LEFT(D595,1))&gt;=1,VALUE(LEFT(D595,1))&lt;=5),VALUE(LEFT(D595,1)),"")),""),"")</f>
        <v/>
      </c>
      <c r="S595" s="25">
        <f>IF(AND(Q595=1,E595&lt;&gt;""),SUBSTITUTE(SUBSTITUTE(SUBSTITUTE(SUBSTITUTE(SUBSTITUTE(SUBSTITUTE(SUBSTITUTE(SUBSTITUTE(SUBSTITUTE(SUBSTITUTE(SUBSTITUTE(SUBSTITUTE(LOWER(TRIM(E595)),"á","a"),"é","e"),"í","i"),"ó","o"),"ú","u"),"ü","u"),"ñ","n"),"à","a"),"è","e"),"ì","i"),"ò","o"),"ù","u"),"")</f>
        <v/>
      </c>
      <c r="T595" s="25">
        <f>IF(AND(Q595=1,G595&lt;&gt;""),SUBSTITUTE(SUBSTITUTE(SUBSTITUTE(SUBSTITUTE(SUBSTITUTE(SUBSTITUTE(SUBSTITUTE(SUBSTITUTE(SUBSTITUTE(SUBSTITUTE(SUBSTITUTE(SUBSTITUTE(LOWER(TRIM(G595)),"á","a"),"é","e"),"í","i"),"ó","o"),"ú","u"),"ü","u"),"ñ","n"),"à","a"),"è","e"),"ì","i"),"ò","o"),"ù","u"),"")</f>
        <v/>
      </c>
      <c r="U595" s="25">
        <f>IF(AND(Q595=1,H595&lt;&gt;""),SUBSTITUTE(SUBSTITUTE(SUBSTITUTE(SUBSTITUTE(SUBSTITUTE(SUBSTITUTE(SUBSTITUTE(SUBSTITUTE(SUBSTITUTE(SUBSTITUTE(SUBSTITUTE(SUBSTITUTE(LOWER(TRIM(H595)),"á","a"),"é","e"),"í","i"),"ó","o"),"ú","u"),"ü","u"),"ñ","n"),"à","a"),"è","e"),"ì","i"),"ò","o"),"ù","u"),"")</f>
        <v/>
      </c>
      <c r="V595" s="25">
        <f>IF(AND(Q595=1,L595&lt;&gt;""),SUBSTITUTE(SUBSTITUTE(SUBSTITUTE(SUBSTITUTE(SUBSTITUTE(SUBSTITUTE(SUBSTITUTE(SUBSTITUTE(SUBSTITUTE(SUBSTITUTE(SUBSTITUTE(SUBSTITUTE(LOWER(TRIM(L595)),"á","a"),"é","e"),"í","i"),"ó","o"),"ú","u"),"ü","u"),"ñ","n"),"à","a"),"è","e"),"ì","i"),"ò","o"),"ù","u"),"")</f>
        <v/>
      </c>
      <c r="W595" s="25">
        <f>IF(AND(Q595=1,I595&lt;&gt;""),SUBSTITUTE(SUBSTITUTE(SUBSTITUTE(SUBSTITUTE(SUBSTITUTE(SUBSTITUTE(SUBSTITUTE(SUBSTITUTE(SUBSTITUTE(SUBSTITUTE(SUBSTITUTE(SUBSTITUTE(LOWER(TRIM(I595)),"á","a"),"é","e"),"í","i"),"ó","o"),"ú","u"),"ü","u"),"ñ","n"),"à","a"),"è","e"),"ì","i"),"ò","o"),"ù","u"),"")</f>
        <v/>
      </c>
      <c r="X595" s="25">
        <f>IF(U595="","",IF(OR(U595="si, en la proxima tarea",U595="si, con cambios"),1,0))</f>
        <v/>
      </c>
      <c r="Y595" s="25">
        <f>IF(AND(Q595=1,A595&lt;&gt;""),IF(IFERROR(COUNTIFS(A$3:A595,"="&amp;SUBSTITUTE(SUBSTITUTE(SUBSTITUTE(A595,"~","~~"),"*","~*"),"?","~?"),Q$3:Q595,1),0)=1,MAX(Y$2:Y594)+1,""),"")</f>
        <v/>
      </c>
      <c r="Z595" s="25">
        <f>IF(Y595="","",COUNTIFS($A$3:$A$1002,"="&amp;SUBSTITUTE(SUBSTITUTE(SUBSTITUTE(A595,"~","~~"),"*","~*"),"?","~?"),$Q$3:$Q$1002,1)*10000-Y595)</f>
        <v/>
      </c>
    </row>
    <row r="596">
      <c r="A596">
        <f>IF(A$2=0,"",IFERROR(TRIM(INDEX('Pegar docentes'!$A$1:$BZ$1001,595,A$2)&amp;""),""))</f>
        <v/>
      </c>
      <c r="B596">
        <f>IF(B$2=0,"",IFERROR(TRIM(INDEX('Pegar docentes'!$A$1:$BZ$1001,595,B$2)&amp;""),""))</f>
        <v/>
      </c>
      <c r="C596">
        <f>IF(C$2=0,"",IFERROR(TRIM(INDEX('Pegar docentes'!$A$1:$BZ$1001,595,C$2)&amp;""),""))</f>
        <v/>
      </c>
      <c r="D596">
        <f>IF(D$2=0,"",IFERROR(TRIM(INDEX('Pegar docentes'!$A$1:$BZ$1001,595,D$2)&amp;""),""))</f>
        <v/>
      </c>
      <c r="E596">
        <f>IF(E$2=0,"",IFERROR(TRIM(INDEX('Pegar docentes'!$A$1:$BZ$1001,595,E$2)&amp;""),""))</f>
        <v/>
      </c>
      <c r="F596">
        <f>IF(F$2=0,"",IFERROR(TRIM(INDEX('Pegar docentes'!$A$1:$BZ$1001,595,F$2)&amp;""),""))</f>
        <v/>
      </c>
      <c r="G596">
        <f>IF(G$2=0,"",IFERROR(TRIM(INDEX('Pegar docentes'!$A$1:$BZ$1001,595,G$2)&amp;""),""))</f>
        <v/>
      </c>
      <c r="H596">
        <f>IF(H$2=0,"",IFERROR(TRIM(INDEX('Pegar docentes'!$A$1:$BZ$1001,595,H$2)&amp;""),""))</f>
        <v/>
      </c>
      <c r="I596">
        <f>IF(I$2=0,"",IFERROR(TRIM(INDEX('Pegar docentes'!$A$1:$BZ$1001,595,I$2)&amp;""),""))</f>
        <v/>
      </c>
      <c r="J596">
        <f>IF(J$2=0,"",IFERROR(TRIM(INDEX('Pegar docentes'!$A$1:$BZ$1001,595,J$2)&amp;""),""))</f>
        <v/>
      </c>
      <c r="K596">
        <f>IF(K$2=0,"",IFERROR(TRIM(INDEX('Pegar docentes'!$A$1:$BZ$1001,595,K$2)&amp;""),""))</f>
        <v/>
      </c>
      <c r="L596">
        <f>IF(L$2=0,"",IFERROR(TRIM(INDEX('Pegar docentes'!$A$1:$BZ$1001,595,L$2)&amp;""),""))</f>
        <v/>
      </c>
      <c r="M596">
        <f>IF(M$2=0,"",IFERROR(TRIM(INDEX('Pegar docentes'!$A$1:$BZ$1001,595,M$2)&amp;""),""))</f>
        <v/>
      </c>
      <c r="N596">
        <f>IF(N$2=0,"",IFERROR(TRIM(INDEX('Pegar docentes'!$A$1:$BZ$1001,595,N$2)&amp;""),""))</f>
        <v/>
      </c>
      <c r="O596">
        <f>IF(O$2=0,"",IFERROR(TRIM(INDEX('Pegar docentes'!$A$1:$BZ$1001,595,O$2)&amp;""),""))</f>
        <v/>
      </c>
      <c r="P596">
        <f>IF(P$2=0,"",IFERROR(TRIM(INDEX('Pegar docentes'!$A$1:$BZ$1001,595,P$2)&amp;""),""))</f>
        <v/>
      </c>
      <c r="Q596" s="25">
        <f>IF(OR(D596&lt;&gt;"",H596&lt;&gt;""),1,"")</f>
        <v/>
      </c>
      <c r="R596" s="25">
        <f>IF(Q596=1,IF(ISNUMBER(FIND("#"&amp;MID(D596,1,1)&amp;"#","#0#1#2#3#4#5#6#7#8#9#")),IF(ISNUMBER(FIND("#"&amp;MID(D596,2,1)&amp;"#","#0#1#2#3#4#5#6#7#8#9#")),IF(AND(VALUE(LEFT(D596,2))&gt;=1,VALUE(LEFT(D596,2))&lt;=5),VALUE(LEFT(D596,2)),""),IF(AND(VALUE(LEFT(D596,1))&gt;=1,VALUE(LEFT(D596,1))&lt;=5),VALUE(LEFT(D596,1)),"")),""),"")</f>
        <v/>
      </c>
      <c r="S596" s="25">
        <f>IF(AND(Q596=1,E596&lt;&gt;""),SUBSTITUTE(SUBSTITUTE(SUBSTITUTE(SUBSTITUTE(SUBSTITUTE(SUBSTITUTE(SUBSTITUTE(SUBSTITUTE(SUBSTITUTE(SUBSTITUTE(SUBSTITUTE(SUBSTITUTE(LOWER(TRIM(E596)),"á","a"),"é","e"),"í","i"),"ó","o"),"ú","u"),"ü","u"),"ñ","n"),"à","a"),"è","e"),"ì","i"),"ò","o"),"ù","u"),"")</f>
        <v/>
      </c>
      <c r="T596" s="25">
        <f>IF(AND(Q596=1,G596&lt;&gt;""),SUBSTITUTE(SUBSTITUTE(SUBSTITUTE(SUBSTITUTE(SUBSTITUTE(SUBSTITUTE(SUBSTITUTE(SUBSTITUTE(SUBSTITUTE(SUBSTITUTE(SUBSTITUTE(SUBSTITUTE(LOWER(TRIM(G596)),"á","a"),"é","e"),"í","i"),"ó","o"),"ú","u"),"ü","u"),"ñ","n"),"à","a"),"è","e"),"ì","i"),"ò","o"),"ù","u"),"")</f>
        <v/>
      </c>
      <c r="U596" s="25">
        <f>IF(AND(Q596=1,H596&lt;&gt;""),SUBSTITUTE(SUBSTITUTE(SUBSTITUTE(SUBSTITUTE(SUBSTITUTE(SUBSTITUTE(SUBSTITUTE(SUBSTITUTE(SUBSTITUTE(SUBSTITUTE(SUBSTITUTE(SUBSTITUTE(LOWER(TRIM(H596)),"á","a"),"é","e"),"í","i"),"ó","o"),"ú","u"),"ü","u"),"ñ","n"),"à","a"),"è","e"),"ì","i"),"ò","o"),"ù","u"),"")</f>
        <v/>
      </c>
      <c r="V596" s="25">
        <f>IF(AND(Q596=1,L596&lt;&gt;""),SUBSTITUTE(SUBSTITUTE(SUBSTITUTE(SUBSTITUTE(SUBSTITUTE(SUBSTITUTE(SUBSTITUTE(SUBSTITUTE(SUBSTITUTE(SUBSTITUTE(SUBSTITUTE(SUBSTITUTE(LOWER(TRIM(L596)),"á","a"),"é","e"),"í","i"),"ó","o"),"ú","u"),"ü","u"),"ñ","n"),"à","a"),"è","e"),"ì","i"),"ò","o"),"ù","u"),"")</f>
        <v/>
      </c>
      <c r="W596" s="25">
        <f>IF(AND(Q596=1,I596&lt;&gt;""),SUBSTITUTE(SUBSTITUTE(SUBSTITUTE(SUBSTITUTE(SUBSTITUTE(SUBSTITUTE(SUBSTITUTE(SUBSTITUTE(SUBSTITUTE(SUBSTITUTE(SUBSTITUTE(SUBSTITUTE(LOWER(TRIM(I596)),"á","a"),"é","e"),"í","i"),"ó","o"),"ú","u"),"ü","u"),"ñ","n"),"à","a"),"è","e"),"ì","i"),"ò","o"),"ù","u"),"")</f>
        <v/>
      </c>
      <c r="X596" s="25">
        <f>IF(U596="","",IF(OR(U596="si, en la proxima tarea",U596="si, con cambios"),1,0))</f>
        <v/>
      </c>
      <c r="Y596" s="25">
        <f>IF(AND(Q596=1,A596&lt;&gt;""),IF(IFERROR(COUNTIFS(A$3:A596,"="&amp;SUBSTITUTE(SUBSTITUTE(SUBSTITUTE(A596,"~","~~"),"*","~*"),"?","~?"),Q$3:Q596,1),0)=1,MAX(Y$2:Y595)+1,""),"")</f>
        <v/>
      </c>
      <c r="Z596" s="25">
        <f>IF(Y596="","",COUNTIFS($A$3:$A$1002,"="&amp;SUBSTITUTE(SUBSTITUTE(SUBSTITUTE(A596,"~","~~"),"*","~*"),"?","~?"),$Q$3:$Q$1002,1)*10000-Y596)</f>
        <v/>
      </c>
    </row>
    <row r="597">
      <c r="A597">
        <f>IF(A$2=0,"",IFERROR(TRIM(INDEX('Pegar docentes'!$A$1:$BZ$1001,596,A$2)&amp;""),""))</f>
        <v/>
      </c>
      <c r="B597">
        <f>IF(B$2=0,"",IFERROR(TRIM(INDEX('Pegar docentes'!$A$1:$BZ$1001,596,B$2)&amp;""),""))</f>
        <v/>
      </c>
      <c r="C597">
        <f>IF(C$2=0,"",IFERROR(TRIM(INDEX('Pegar docentes'!$A$1:$BZ$1001,596,C$2)&amp;""),""))</f>
        <v/>
      </c>
      <c r="D597">
        <f>IF(D$2=0,"",IFERROR(TRIM(INDEX('Pegar docentes'!$A$1:$BZ$1001,596,D$2)&amp;""),""))</f>
        <v/>
      </c>
      <c r="E597">
        <f>IF(E$2=0,"",IFERROR(TRIM(INDEX('Pegar docentes'!$A$1:$BZ$1001,596,E$2)&amp;""),""))</f>
        <v/>
      </c>
      <c r="F597">
        <f>IF(F$2=0,"",IFERROR(TRIM(INDEX('Pegar docentes'!$A$1:$BZ$1001,596,F$2)&amp;""),""))</f>
        <v/>
      </c>
      <c r="G597">
        <f>IF(G$2=0,"",IFERROR(TRIM(INDEX('Pegar docentes'!$A$1:$BZ$1001,596,G$2)&amp;""),""))</f>
        <v/>
      </c>
      <c r="H597">
        <f>IF(H$2=0,"",IFERROR(TRIM(INDEX('Pegar docentes'!$A$1:$BZ$1001,596,H$2)&amp;""),""))</f>
        <v/>
      </c>
      <c r="I597">
        <f>IF(I$2=0,"",IFERROR(TRIM(INDEX('Pegar docentes'!$A$1:$BZ$1001,596,I$2)&amp;""),""))</f>
        <v/>
      </c>
      <c r="J597">
        <f>IF(J$2=0,"",IFERROR(TRIM(INDEX('Pegar docentes'!$A$1:$BZ$1001,596,J$2)&amp;""),""))</f>
        <v/>
      </c>
      <c r="K597">
        <f>IF(K$2=0,"",IFERROR(TRIM(INDEX('Pegar docentes'!$A$1:$BZ$1001,596,K$2)&amp;""),""))</f>
        <v/>
      </c>
      <c r="L597">
        <f>IF(L$2=0,"",IFERROR(TRIM(INDEX('Pegar docentes'!$A$1:$BZ$1001,596,L$2)&amp;""),""))</f>
        <v/>
      </c>
      <c r="M597">
        <f>IF(M$2=0,"",IFERROR(TRIM(INDEX('Pegar docentes'!$A$1:$BZ$1001,596,M$2)&amp;""),""))</f>
        <v/>
      </c>
      <c r="N597">
        <f>IF(N$2=0,"",IFERROR(TRIM(INDEX('Pegar docentes'!$A$1:$BZ$1001,596,N$2)&amp;""),""))</f>
        <v/>
      </c>
      <c r="O597">
        <f>IF(O$2=0,"",IFERROR(TRIM(INDEX('Pegar docentes'!$A$1:$BZ$1001,596,O$2)&amp;""),""))</f>
        <v/>
      </c>
      <c r="P597">
        <f>IF(P$2=0,"",IFERROR(TRIM(INDEX('Pegar docentes'!$A$1:$BZ$1001,596,P$2)&amp;""),""))</f>
        <v/>
      </c>
      <c r="Q597" s="25">
        <f>IF(OR(D597&lt;&gt;"",H597&lt;&gt;""),1,"")</f>
        <v/>
      </c>
      <c r="R597" s="25">
        <f>IF(Q597=1,IF(ISNUMBER(FIND("#"&amp;MID(D597,1,1)&amp;"#","#0#1#2#3#4#5#6#7#8#9#")),IF(ISNUMBER(FIND("#"&amp;MID(D597,2,1)&amp;"#","#0#1#2#3#4#5#6#7#8#9#")),IF(AND(VALUE(LEFT(D597,2))&gt;=1,VALUE(LEFT(D597,2))&lt;=5),VALUE(LEFT(D597,2)),""),IF(AND(VALUE(LEFT(D597,1))&gt;=1,VALUE(LEFT(D597,1))&lt;=5),VALUE(LEFT(D597,1)),"")),""),"")</f>
        <v/>
      </c>
      <c r="S597" s="25">
        <f>IF(AND(Q597=1,E597&lt;&gt;""),SUBSTITUTE(SUBSTITUTE(SUBSTITUTE(SUBSTITUTE(SUBSTITUTE(SUBSTITUTE(SUBSTITUTE(SUBSTITUTE(SUBSTITUTE(SUBSTITUTE(SUBSTITUTE(SUBSTITUTE(LOWER(TRIM(E597)),"á","a"),"é","e"),"í","i"),"ó","o"),"ú","u"),"ü","u"),"ñ","n"),"à","a"),"è","e"),"ì","i"),"ò","o"),"ù","u"),"")</f>
        <v/>
      </c>
      <c r="T597" s="25">
        <f>IF(AND(Q597=1,G597&lt;&gt;""),SUBSTITUTE(SUBSTITUTE(SUBSTITUTE(SUBSTITUTE(SUBSTITUTE(SUBSTITUTE(SUBSTITUTE(SUBSTITUTE(SUBSTITUTE(SUBSTITUTE(SUBSTITUTE(SUBSTITUTE(LOWER(TRIM(G597)),"á","a"),"é","e"),"í","i"),"ó","o"),"ú","u"),"ü","u"),"ñ","n"),"à","a"),"è","e"),"ì","i"),"ò","o"),"ù","u"),"")</f>
        <v/>
      </c>
      <c r="U597" s="25">
        <f>IF(AND(Q597=1,H597&lt;&gt;""),SUBSTITUTE(SUBSTITUTE(SUBSTITUTE(SUBSTITUTE(SUBSTITUTE(SUBSTITUTE(SUBSTITUTE(SUBSTITUTE(SUBSTITUTE(SUBSTITUTE(SUBSTITUTE(SUBSTITUTE(LOWER(TRIM(H597)),"á","a"),"é","e"),"í","i"),"ó","o"),"ú","u"),"ü","u"),"ñ","n"),"à","a"),"è","e"),"ì","i"),"ò","o"),"ù","u"),"")</f>
        <v/>
      </c>
      <c r="V597" s="25">
        <f>IF(AND(Q597=1,L597&lt;&gt;""),SUBSTITUTE(SUBSTITUTE(SUBSTITUTE(SUBSTITUTE(SUBSTITUTE(SUBSTITUTE(SUBSTITUTE(SUBSTITUTE(SUBSTITUTE(SUBSTITUTE(SUBSTITUTE(SUBSTITUTE(LOWER(TRIM(L597)),"á","a"),"é","e"),"í","i"),"ó","o"),"ú","u"),"ü","u"),"ñ","n"),"à","a"),"è","e"),"ì","i"),"ò","o"),"ù","u"),"")</f>
        <v/>
      </c>
      <c r="W597" s="25">
        <f>IF(AND(Q597=1,I597&lt;&gt;""),SUBSTITUTE(SUBSTITUTE(SUBSTITUTE(SUBSTITUTE(SUBSTITUTE(SUBSTITUTE(SUBSTITUTE(SUBSTITUTE(SUBSTITUTE(SUBSTITUTE(SUBSTITUTE(SUBSTITUTE(LOWER(TRIM(I597)),"á","a"),"é","e"),"í","i"),"ó","o"),"ú","u"),"ü","u"),"ñ","n"),"à","a"),"è","e"),"ì","i"),"ò","o"),"ù","u"),"")</f>
        <v/>
      </c>
      <c r="X597" s="25">
        <f>IF(U597="","",IF(OR(U597="si, en la proxima tarea",U597="si, con cambios"),1,0))</f>
        <v/>
      </c>
      <c r="Y597" s="25">
        <f>IF(AND(Q597=1,A597&lt;&gt;""),IF(IFERROR(COUNTIFS(A$3:A597,"="&amp;SUBSTITUTE(SUBSTITUTE(SUBSTITUTE(A597,"~","~~"),"*","~*"),"?","~?"),Q$3:Q597,1),0)=1,MAX(Y$2:Y596)+1,""),"")</f>
        <v/>
      </c>
      <c r="Z597" s="25">
        <f>IF(Y597="","",COUNTIFS($A$3:$A$1002,"="&amp;SUBSTITUTE(SUBSTITUTE(SUBSTITUTE(A597,"~","~~"),"*","~*"),"?","~?"),$Q$3:$Q$1002,1)*10000-Y597)</f>
        <v/>
      </c>
    </row>
    <row r="598">
      <c r="A598">
        <f>IF(A$2=0,"",IFERROR(TRIM(INDEX('Pegar docentes'!$A$1:$BZ$1001,597,A$2)&amp;""),""))</f>
        <v/>
      </c>
      <c r="B598">
        <f>IF(B$2=0,"",IFERROR(TRIM(INDEX('Pegar docentes'!$A$1:$BZ$1001,597,B$2)&amp;""),""))</f>
        <v/>
      </c>
      <c r="C598">
        <f>IF(C$2=0,"",IFERROR(TRIM(INDEX('Pegar docentes'!$A$1:$BZ$1001,597,C$2)&amp;""),""))</f>
        <v/>
      </c>
      <c r="D598">
        <f>IF(D$2=0,"",IFERROR(TRIM(INDEX('Pegar docentes'!$A$1:$BZ$1001,597,D$2)&amp;""),""))</f>
        <v/>
      </c>
      <c r="E598">
        <f>IF(E$2=0,"",IFERROR(TRIM(INDEX('Pegar docentes'!$A$1:$BZ$1001,597,E$2)&amp;""),""))</f>
        <v/>
      </c>
      <c r="F598">
        <f>IF(F$2=0,"",IFERROR(TRIM(INDEX('Pegar docentes'!$A$1:$BZ$1001,597,F$2)&amp;""),""))</f>
        <v/>
      </c>
      <c r="G598">
        <f>IF(G$2=0,"",IFERROR(TRIM(INDEX('Pegar docentes'!$A$1:$BZ$1001,597,G$2)&amp;""),""))</f>
        <v/>
      </c>
      <c r="H598">
        <f>IF(H$2=0,"",IFERROR(TRIM(INDEX('Pegar docentes'!$A$1:$BZ$1001,597,H$2)&amp;""),""))</f>
        <v/>
      </c>
      <c r="I598">
        <f>IF(I$2=0,"",IFERROR(TRIM(INDEX('Pegar docentes'!$A$1:$BZ$1001,597,I$2)&amp;""),""))</f>
        <v/>
      </c>
      <c r="J598">
        <f>IF(J$2=0,"",IFERROR(TRIM(INDEX('Pegar docentes'!$A$1:$BZ$1001,597,J$2)&amp;""),""))</f>
        <v/>
      </c>
      <c r="K598">
        <f>IF(K$2=0,"",IFERROR(TRIM(INDEX('Pegar docentes'!$A$1:$BZ$1001,597,K$2)&amp;""),""))</f>
        <v/>
      </c>
      <c r="L598">
        <f>IF(L$2=0,"",IFERROR(TRIM(INDEX('Pegar docentes'!$A$1:$BZ$1001,597,L$2)&amp;""),""))</f>
        <v/>
      </c>
      <c r="M598">
        <f>IF(M$2=0,"",IFERROR(TRIM(INDEX('Pegar docentes'!$A$1:$BZ$1001,597,M$2)&amp;""),""))</f>
        <v/>
      </c>
      <c r="N598">
        <f>IF(N$2=0,"",IFERROR(TRIM(INDEX('Pegar docentes'!$A$1:$BZ$1001,597,N$2)&amp;""),""))</f>
        <v/>
      </c>
      <c r="O598">
        <f>IF(O$2=0,"",IFERROR(TRIM(INDEX('Pegar docentes'!$A$1:$BZ$1001,597,O$2)&amp;""),""))</f>
        <v/>
      </c>
      <c r="P598">
        <f>IF(P$2=0,"",IFERROR(TRIM(INDEX('Pegar docentes'!$A$1:$BZ$1001,597,P$2)&amp;""),""))</f>
        <v/>
      </c>
      <c r="Q598" s="25">
        <f>IF(OR(D598&lt;&gt;"",H598&lt;&gt;""),1,"")</f>
        <v/>
      </c>
      <c r="R598" s="25">
        <f>IF(Q598=1,IF(ISNUMBER(FIND("#"&amp;MID(D598,1,1)&amp;"#","#0#1#2#3#4#5#6#7#8#9#")),IF(ISNUMBER(FIND("#"&amp;MID(D598,2,1)&amp;"#","#0#1#2#3#4#5#6#7#8#9#")),IF(AND(VALUE(LEFT(D598,2))&gt;=1,VALUE(LEFT(D598,2))&lt;=5),VALUE(LEFT(D598,2)),""),IF(AND(VALUE(LEFT(D598,1))&gt;=1,VALUE(LEFT(D598,1))&lt;=5),VALUE(LEFT(D598,1)),"")),""),"")</f>
        <v/>
      </c>
      <c r="S598" s="25">
        <f>IF(AND(Q598=1,E598&lt;&gt;""),SUBSTITUTE(SUBSTITUTE(SUBSTITUTE(SUBSTITUTE(SUBSTITUTE(SUBSTITUTE(SUBSTITUTE(SUBSTITUTE(SUBSTITUTE(SUBSTITUTE(SUBSTITUTE(SUBSTITUTE(LOWER(TRIM(E598)),"á","a"),"é","e"),"í","i"),"ó","o"),"ú","u"),"ü","u"),"ñ","n"),"à","a"),"è","e"),"ì","i"),"ò","o"),"ù","u"),"")</f>
        <v/>
      </c>
      <c r="T598" s="25">
        <f>IF(AND(Q598=1,G598&lt;&gt;""),SUBSTITUTE(SUBSTITUTE(SUBSTITUTE(SUBSTITUTE(SUBSTITUTE(SUBSTITUTE(SUBSTITUTE(SUBSTITUTE(SUBSTITUTE(SUBSTITUTE(SUBSTITUTE(SUBSTITUTE(LOWER(TRIM(G598)),"á","a"),"é","e"),"í","i"),"ó","o"),"ú","u"),"ü","u"),"ñ","n"),"à","a"),"è","e"),"ì","i"),"ò","o"),"ù","u"),"")</f>
        <v/>
      </c>
      <c r="U598" s="25">
        <f>IF(AND(Q598=1,H598&lt;&gt;""),SUBSTITUTE(SUBSTITUTE(SUBSTITUTE(SUBSTITUTE(SUBSTITUTE(SUBSTITUTE(SUBSTITUTE(SUBSTITUTE(SUBSTITUTE(SUBSTITUTE(SUBSTITUTE(SUBSTITUTE(LOWER(TRIM(H598)),"á","a"),"é","e"),"í","i"),"ó","o"),"ú","u"),"ü","u"),"ñ","n"),"à","a"),"è","e"),"ì","i"),"ò","o"),"ù","u"),"")</f>
        <v/>
      </c>
      <c r="V598" s="25">
        <f>IF(AND(Q598=1,L598&lt;&gt;""),SUBSTITUTE(SUBSTITUTE(SUBSTITUTE(SUBSTITUTE(SUBSTITUTE(SUBSTITUTE(SUBSTITUTE(SUBSTITUTE(SUBSTITUTE(SUBSTITUTE(SUBSTITUTE(SUBSTITUTE(LOWER(TRIM(L598)),"á","a"),"é","e"),"í","i"),"ó","o"),"ú","u"),"ü","u"),"ñ","n"),"à","a"),"è","e"),"ì","i"),"ò","o"),"ù","u"),"")</f>
        <v/>
      </c>
      <c r="W598" s="25">
        <f>IF(AND(Q598=1,I598&lt;&gt;""),SUBSTITUTE(SUBSTITUTE(SUBSTITUTE(SUBSTITUTE(SUBSTITUTE(SUBSTITUTE(SUBSTITUTE(SUBSTITUTE(SUBSTITUTE(SUBSTITUTE(SUBSTITUTE(SUBSTITUTE(LOWER(TRIM(I598)),"á","a"),"é","e"),"í","i"),"ó","o"),"ú","u"),"ü","u"),"ñ","n"),"à","a"),"è","e"),"ì","i"),"ò","o"),"ù","u"),"")</f>
        <v/>
      </c>
      <c r="X598" s="25">
        <f>IF(U598="","",IF(OR(U598="si, en la proxima tarea",U598="si, con cambios"),1,0))</f>
        <v/>
      </c>
      <c r="Y598" s="25">
        <f>IF(AND(Q598=1,A598&lt;&gt;""),IF(IFERROR(COUNTIFS(A$3:A598,"="&amp;SUBSTITUTE(SUBSTITUTE(SUBSTITUTE(A598,"~","~~"),"*","~*"),"?","~?"),Q$3:Q598,1),0)=1,MAX(Y$2:Y597)+1,""),"")</f>
        <v/>
      </c>
      <c r="Z598" s="25">
        <f>IF(Y598="","",COUNTIFS($A$3:$A$1002,"="&amp;SUBSTITUTE(SUBSTITUTE(SUBSTITUTE(A598,"~","~~"),"*","~*"),"?","~?"),$Q$3:$Q$1002,1)*10000-Y598)</f>
        <v/>
      </c>
    </row>
    <row r="599">
      <c r="A599">
        <f>IF(A$2=0,"",IFERROR(TRIM(INDEX('Pegar docentes'!$A$1:$BZ$1001,598,A$2)&amp;""),""))</f>
        <v/>
      </c>
      <c r="B599">
        <f>IF(B$2=0,"",IFERROR(TRIM(INDEX('Pegar docentes'!$A$1:$BZ$1001,598,B$2)&amp;""),""))</f>
        <v/>
      </c>
      <c r="C599">
        <f>IF(C$2=0,"",IFERROR(TRIM(INDEX('Pegar docentes'!$A$1:$BZ$1001,598,C$2)&amp;""),""))</f>
        <v/>
      </c>
      <c r="D599">
        <f>IF(D$2=0,"",IFERROR(TRIM(INDEX('Pegar docentes'!$A$1:$BZ$1001,598,D$2)&amp;""),""))</f>
        <v/>
      </c>
      <c r="E599">
        <f>IF(E$2=0,"",IFERROR(TRIM(INDEX('Pegar docentes'!$A$1:$BZ$1001,598,E$2)&amp;""),""))</f>
        <v/>
      </c>
      <c r="F599">
        <f>IF(F$2=0,"",IFERROR(TRIM(INDEX('Pegar docentes'!$A$1:$BZ$1001,598,F$2)&amp;""),""))</f>
        <v/>
      </c>
      <c r="G599">
        <f>IF(G$2=0,"",IFERROR(TRIM(INDEX('Pegar docentes'!$A$1:$BZ$1001,598,G$2)&amp;""),""))</f>
        <v/>
      </c>
      <c r="H599">
        <f>IF(H$2=0,"",IFERROR(TRIM(INDEX('Pegar docentes'!$A$1:$BZ$1001,598,H$2)&amp;""),""))</f>
        <v/>
      </c>
      <c r="I599">
        <f>IF(I$2=0,"",IFERROR(TRIM(INDEX('Pegar docentes'!$A$1:$BZ$1001,598,I$2)&amp;""),""))</f>
        <v/>
      </c>
      <c r="J599">
        <f>IF(J$2=0,"",IFERROR(TRIM(INDEX('Pegar docentes'!$A$1:$BZ$1001,598,J$2)&amp;""),""))</f>
        <v/>
      </c>
      <c r="K599">
        <f>IF(K$2=0,"",IFERROR(TRIM(INDEX('Pegar docentes'!$A$1:$BZ$1001,598,K$2)&amp;""),""))</f>
        <v/>
      </c>
      <c r="L599">
        <f>IF(L$2=0,"",IFERROR(TRIM(INDEX('Pegar docentes'!$A$1:$BZ$1001,598,L$2)&amp;""),""))</f>
        <v/>
      </c>
      <c r="M599">
        <f>IF(M$2=0,"",IFERROR(TRIM(INDEX('Pegar docentes'!$A$1:$BZ$1001,598,M$2)&amp;""),""))</f>
        <v/>
      </c>
      <c r="N599">
        <f>IF(N$2=0,"",IFERROR(TRIM(INDEX('Pegar docentes'!$A$1:$BZ$1001,598,N$2)&amp;""),""))</f>
        <v/>
      </c>
      <c r="O599">
        <f>IF(O$2=0,"",IFERROR(TRIM(INDEX('Pegar docentes'!$A$1:$BZ$1001,598,O$2)&amp;""),""))</f>
        <v/>
      </c>
      <c r="P599">
        <f>IF(P$2=0,"",IFERROR(TRIM(INDEX('Pegar docentes'!$A$1:$BZ$1001,598,P$2)&amp;""),""))</f>
        <v/>
      </c>
      <c r="Q599" s="25">
        <f>IF(OR(D599&lt;&gt;"",H599&lt;&gt;""),1,"")</f>
        <v/>
      </c>
      <c r="R599" s="25">
        <f>IF(Q599=1,IF(ISNUMBER(FIND("#"&amp;MID(D599,1,1)&amp;"#","#0#1#2#3#4#5#6#7#8#9#")),IF(ISNUMBER(FIND("#"&amp;MID(D599,2,1)&amp;"#","#0#1#2#3#4#5#6#7#8#9#")),IF(AND(VALUE(LEFT(D599,2))&gt;=1,VALUE(LEFT(D599,2))&lt;=5),VALUE(LEFT(D599,2)),""),IF(AND(VALUE(LEFT(D599,1))&gt;=1,VALUE(LEFT(D599,1))&lt;=5),VALUE(LEFT(D599,1)),"")),""),"")</f>
        <v/>
      </c>
      <c r="S599" s="25">
        <f>IF(AND(Q599=1,E599&lt;&gt;""),SUBSTITUTE(SUBSTITUTE(SUBSTITUTE(SUBSTITUTE(SUBSTITUTE(SUBSTITUTE(SUBSTITUTE(SUBSTITUTE(SUBSTITUTE(SUBSTITUTE(SUBSTITUTE(SUBSTITUTE(LOWER(TRIM(E599)),"á","a"),"é","e"),"í","i"),"ó","o"),"ú","u"),"ü","u"),"ñ","n"),"à","a"),"è","e"),"ì","i"),"ò","o"),"ù","u"),"")</f>
        <v/>
      </c>
      <c r="T599" s="25">
        <f>IF(AND(Q599=1,G599&lt;&gt;""),SUBSTITUTE(SUBSTITUTE(SUBSTITUTE(SUBSTITUTE(SUBSTITUTE(SUBSTITUTE(SUBSTITUTE(SUBSTITUTE(SUBSTITUTE(SUBSTITUTE(SUBSTITUTE(SUBSTITUTE(LOWER(TRIM(G599)),"á","a"),"é","e"),"í","i"),"ó","o"),"ú","u"),"ü","u"),"ñ","n"),"à","a"),"è","e"),"ì","i"),"ò","o"),"ù","u"),"")</f>
        <v/>
      </c>
      <c r="U599" s="25">
        <f>IF(AND(Q599=1,H599&lt;&gt;""),SUBSTITUTE(SUBSTITUTE(SUBSTITUTE(SUBSTITUTE(SUBSTITUTE(SUBSTITUTE(SUBSTITUTE(SUBSTITUTE(SUBSTITUTE(SUBSTITUTE(SUBSTITUTE(SUBSTITUTE(LOWER(TRIM(H599)),"á","a"),"é","e"),"í","i"),"ó","o"),"ú","u"),"ü","u"),"ñ","n"),"à","a"),"è","e"),"ì","i"),"ò","o"),"ù","u"),"")</f>
        <v/>
      </c>
      <c r="V599" s="25">
        <f>IF(AND(Q599=1,L599&lt;&gt;""),SUBSTITUTE(SUBSTITUTE(SUBSTITUTE(SUBSTITUTE(SUBSTITUTE(SUBSTITUTE(SUBSTITUTE(SUBSTITUTE(SUBSTITUTE(SUBSTITUTE(SUBSTITUTE(SUBSTITUTE(LOWER(TRIM(L599)),"á","a"),"é","e"),"í","i"),"ó","o"),"ú","u"),"ü","u"),"ñ","n"),"à","a"),"è","e"),"ì","i"),"ò","o"),"ù","u"),"")</f>
        <v/>
      </c>
      <c r="W599" s="25">
        <f>IF(AND(Q599=1,I599&lt;&gt;""),SUBSTITUTE(SUBSTITUTE(SUBSTITUTE(SUBSTITUTE(SUBSTITUTE(SUBSTITUTE(SUBSTITUTE(SUBSTITUTE(SUBSTITUTE(SUBSTITUTE(SUBSTITUTE(SUBSTITUTE(LOWER(TRIM(I599)),"á","a"),"é","e"),"í","i"),"ó","o"),"ú","u"),"ü","u"),"ñ","n"),"à","a"),"è","e"),"ì","i"),"ò","o"),"ù","u"),"")</f>
        <v/>
      </c>
      <c r="X599" s="25">
        <f>IF(U599="","",IF(OR(U599="si, en la proxima tarea",U599="si, con cambios"),1,0))</f>
        <v/>
      </c>
      <c r="Y599" s="25">
        <f>IF(AND(Q599=1,A599&lt;&gt;""),IF(IFERROR(COUNTIFS(A$3:A599,"="&amp;SUBSTITUTE(SUBSTITUTE(SUBSTITUTE(A599,"~","~~"),"*","~*"),"?","~?"),Q$3:Q599,1),0)=1,MAX(Y$2:Y598)+1,""),"")</f>
        <v/>
      </c>
      <c r="Z599" s="25">
        <f>IF(Y599="","",COUNTIFS($A$3:$A$1002,"="&amp;SUBSTITUTE(SUBSTITUTE(SUBSTITUTE(A599,"~","~~"),"*","~*"),"?","~?"),$Q$3:$Q$1002,1)*10000-Y599)</f>
        <v/>
      </c>
    </row>
    <row r="600">
      <c r="A600">
        <f>IF(A$2=0,"",IFERROR(TRIM(INDEX('Pegar docentes'!$A$1:$BZ$1001,599,A$2)&amp;""),""))</f>
        <v/>
      </c>
      <c r="B600">
        <f>IF(B$2=0,"",IFERROR(TRIM(INDEX('Pegar docentes'!$A$1:$BZ$1001,599,B$2)&amp;""),""))</f>
        <v/>
      </c>
      <c r="C600">
        <f>IF(C$2=0,"",IFERROR(TRIM(INDEX('Pegar docentes'!$A$1:$BZ$1001,599,C$2)&amp;""),""))</f>
        <v/>
      </c>
      <c r="D600">
        <f>IF(D$2=0,"",IFERROR(TRIM(INDEX('Pegar docentes'!$A$1:$BZ$1001,599,D$2)&amp;""),""))</f>
        <v/>
      </c>
      <c r="E600">
        <f>IF(E$2=0,"",IFERROR(TRIM(INDEX('Pegar docentes'!$A$1:$BZ$1001,599,E$2)&amp;""),""))</f>
        <v/>
      </c>
      <c r="F600">
        <f>IF(F$2=0,"",IFERROR(TRIM(INDEX('Pegar docentes'!$A$1:$BZ$1001,599,F$2)&amp;""),""))</f>
        <v/>
      </c>
      <c r="G600">
        <f>IF(G$2=0,"",IFERROR(TRIM(INDEX('Pegar docentes'!$A$1:$BZ$1001,599,G$2)&amp;""),""))</f>
        <v/>
      </c>
      <c r="H600">
        <f>IF(H$2=0,"",IFERROR(TRIM(INDEX('Pegar docentes'!$A$1:$BZ$1001,599,H$2)&amp;""),""))</f>
        <v/>
      </c>
      <c r="I600">
        <f>IF(I$2=0,"",IFERROR(TRIM(INDEX('Pegar docentes'!$A$1:$BZ$1001,599,I$2)&amp;""),""))</f>
        <v/>
      </c>
      <c r="J600">
        <f>IF(J$2=0,"",IFERROR(TRIM(INDEX('Pegar docentes'!$A$1:$BZ$1001,599,J$2)&amp;""),""))</f>
        <v/>
      </c>
      <c r="K600">
        <f>IF(K$2=0,"",IFERROR(TRIM(INDEX('Pegar docentes'!$A$1:$BZ$1001,599,K$2)&amp;""),""))</f>
        <v/>
      </c>
      <c r="L600">
        <f>IF(L$2=0,"",IFERROR(TRIM(INDEX('Pegar docentes'!$A$1:$BZ$1001,599,L$2)&amp;""),""))</f>
        <v/>
      </c>
      <c r="M600">
        <f>IF(M$2=0,"",IFERROR(TRIM(INDEX('Pegar docentes'!$A$1:$BZ$1001,599,M$2)&amp;""),""))</f>
        <v/>
      </c>
      <c r="N600">
        <f>IF(N$2=0,"",IFERROR(TRIM(INDEX('Pegar docentes'!$A$1:$BZ$1001,599,N$2)&amp;""),""))</f>
        <v/>
      </c>
      <c r="O600">
        <f>IF(O$2=0,"",IFERROR(TRIM(INDEX('Pegar docentes'!$A$1:$BZ$1001,599,O$2)&amp;""),""))</f>
        <v/>
      </c>
      <c r="P600">
        <f>IF(P$2=0,"",IFERROR(TRIM(INDEX('Pegar docentes'!$A$1:$BZ$1001,599,P$2)&amp;""),""))</f>
        <v/>
      </c>
      <c r="Q600" s="25">
        <f>IF(OR(D600&lt;&gt;"",H600&lt;&gt;""),1,"")</f>
        <v/>
      </c>
      <c r="R600" s="25">
        <f>IF(Q600=1,IF(ISNUMBER(FIND("#"&amp;MID(D600,1,1)&amp;"#","#0#1#2#3#4#5#6#7#8#9#")),IF(ISNUMBER(FIND("#"&amp;MID(D600,2,1)&amp;"#","#0#1#2#3#4#5#6#7#8#9#")),IF(AND(VALUE(LEFT(D600,2))&gt;=1,VALUE(LEFT(D600,2))&lt;=5),VALUE(LEFT(D600,2)),""),IF(AND(VALUE(LEFT(D600,1))&gt;=1,VALUE(LEFT(D600,1))&lt;=5),VALUE(LEFT(D600,1)),"")),""),"")</f>
        <v/>
      </c>
      <c r="S600" s="25">
        <f>IF(AND(Q600=1,E600&lt;&gt;""),SUBSTITUTE(SUBSTITUTE(SUBSTITUTE(SUBSTITUTE(SUBSTITUTE(SUBSTITUTE(SUBSTITUTE(SUBSTITUTE(SUBSTITUTE(SUBSTITUTE(SUBSTITUTE(SUBSTITUTE(LOWER(TRIM(E600)),"á","a"),"é","e"),"í","i"),"ó","o"),"ú","u"),"ü","u"),"ñ","n"),"à","a"),"è","e"),"ì","i"),"ò","o"),"ù","u"),"")</f>
        <v/>
      </c>
      <c r="T600" s="25">
        <f>IF(AND(Q600=1,G600&lt;&gt;""),SUBSTITUTE(SUBSTITUTE(SUBSTITUTE(SUBSTITUTE(SUBSTITUTE(SUBSTITUTE(SUBSTITUTE(SUBSTITUTE(SUBSTITUTE(SUBSTITUTE(SUBSTITUTE(SUBSTITUTE(LOWER(TRIM(G600)),"á","a"),"é","e"),"í","i"),"ó","o"),"ú","u"),"ü","u"),"ñ","n"),"à","a"),"è","e"),"ì","i"),"ò","o"),"ù","u"),"")</f>
        <v/>
      </c>
      <c r="U600" s="25">
        <f>IF(AND(Q600=1,H600&lt;&gt;""),SUBSTITUTE(SUBSTITUTE(SUBSTITUTE(SUBSTITUTE(SUBSTITUTE(SUBSTITUTE(SUBSTITUTE(SUBSTITUTE(SUBSTITUTE(SUBSTITUTE(SUBSTITUTE(SUBSTITUTE(LOWER(TRIM(H600)),"á","a"),"é","e"),"í","i"),"ó","o"),"ú","u"),"ü","u"),"ñ","n"),"à","a"),"è","e"),"ì","i"),"ò","o"),"ù","u"),"")</f>
        <v/>
      </c>
      <c r="V600" s="25">
        <f>IF(AND(Q600=1,L600&lt;&gt;""),SUBSTITUTE(SUBSTITUTE(SUBSTITUTE(SUBSTITUTE(SUBSTITUTE(SUBSTITUTE(SUBSTITUTE(SUBSTITUTE(SUBSTITUTE(SUBSTITUTE(SUBSTITUTE(SUBSTITUTE(LOWER(TRIM(L600)),"á","a"),"é","e"),"í","i"),"ó","o"),"ú","u"),"ü","u"),"ñ","n"),"à","a"),"è","e"),"ì","i"),"ò","o"),"ù","u"),"")</f>
        <v/>
      </c>
      <c r="W600" s="25">
        <f>IF(AND(Q600=1,I600&lt;&gt;""),SUBSTITUTE(SUBSTITUTE(SUBSTITUTE(SUBSTITUTE(SUBSTITUTE(SUBSTITUTE(SUBSTITUTE(SUBSTITUTE(SUBSTITUTE(SUBSTITUTE(SUBSTITUTE(SUBSTITUTE(LOWER(TRIM(I600)),"á","a"),"é","e"),"í","i"),"ó","o"),"ú","u"),"ü","u"),"ñ","n"),"à","a"),"è","e"),"ì","i"),"ò","o"),"ù","u"),"")</f>
        <v/>
      </c>
      <c r="X600" s="25">
        <f>IF(U600="","",IF(OR(U600="si, en la proxima tarea",U600="si, con cambios"),1,0))</f>
        <v/>
      </c>
      <c r="Y600" s="25">
        <f>IF(AND(Q600=1,A600&lt;&gt;""),IF(IFERROR(COUNTIFS(A$3:A600,"="&amp;SUBSTITUTE(SUBSTITUTE(SUBSTITUTE(A600,"~","~~"),"*","~*"),"?","~?"),Q$3:Q600,1),0)=1,MAX(Y$2:Y599)+1,""),"")</f>
        <v/>
      </c>
      <c r="Z600" s="25">
        <f>IF(Y600="","",COUNTIFS($A$3:$A$1002,"="&amp;SUBSTITUTE(SUBSTITUTE(SUBSTITUTE(A600,"~","~~"),"*","~*"),"?","~?"),$Q$3:$Q$1002,1)*10000-Y600)</f>
        <v/>
      </c>
    </row>
    <row r="601">
      <c r="A601">
        <f>IF(A$2=0,"",IFERROR(TRIM(INDEX('Pegar docentes'!$A$1:$BZ$1001,600,A$2)&amp;""),""))</f>
        <v/>
      </c>
      <c r="B601">
        <f>IF(B$2=0,"",IFERROR(TRIM(INDEX('Pegar docentes'!$A$1:$BZ$1001,600,B$2)&amp;""),""))</f>
        <v/>
      </c>
      <c r="C601">
        <f>IF(C$2=0,"",IFERROR(TRIM(INDEX('Pegar docentes'!$A$1:$BZ$1001,600,C$2)&amp;""),""))</f>
        <v/>
      </c>
      <c r="D601">
        <f>IF(D$2=0,"",IFERROR(TRIM(INDEX('Pegar docentes'!$A$1:$BZ$1001,600,D$2)&amp;""),""))</f>
        <v/>
      </c>
      <c r="E601">
        <f>IF(E$2=0,"",IFERROR(TRIM(INDEX('Pegar docentes'!$A$1:$BZ$1001,600,E$2)&amp;""),""))</f>
        <v/>
      </c>
      <c r="F601">
        <f>IF(F$2=0,"",IFERROR(TRIM(INDEX('Pegar docentes'!$A$1:$BZ$1001,600,F$2)&amp;""),""))</f>
        <v/>
      </c>
      <c r="G601">
        <f>IF(G$2=0,"",IFERROR(TRIM(INDEX('Pegar docentes'!$A$1:$BZ$1001,600,G$2)&amp;""),""))</f>
        <v/>
      </c>
      <c r="H601">
        <f>IF(H$2=0,"",IFERROR(TRIM(INDEX('Pegar docentes'!$A$1:$BZ$1001,600,H$2)&amp;""),""))</f>
        <v/>
      </c>
      <c r="I601">
        <f>IF(I$2=0,"",IFERROR(TRIM(INDEX('Pegar docentes'!$A$1:$BZ$1001,600,I$2)&amp;""),""))</f>
        <v/>
      </c>
      <c r="J601">
        <f>IF(J$2=0,"",IFERROR(TRIM(INDEX('Pegar docentes'!$A$1:$BZ$1001,600,J$2)&amp;""),""))</f>
        <v/>
      </c>
      <c r="K601">
        <f>IF(K$2=0,"",IFERROR(TRIM(INDEX('Pegar docentes'!$A$1:$BZ$1001,600,K$2)&amp;""),""))</f>
        <v/>
      </c>
      <c r="L601">
        <f>IF(L$2=0,"",IFERROR(TRIM(INDEX('Pegar docentes'!$A$1:$BZ$1001,600,L$2)&amp;""),""))</f>
        <v/>
      </c>
      <c r="M601">
        <f>IF(M$2=0,"",IFERROR(TRIM(INDEX('Pegar docentes'!$A$1:$BZ$1001,600,M$2)&amp;""),""))</f>
        <v/>
      </c>
      <c r="N601">
        <f>IF(N$2=0,"",IFERROR(TRIM(INDEX('Pegar docentes'!$A$1:$BZ$1001,600,N$2)&amp;""),""))</f>
        <v/>
      </c>
      <c r="O601">
        <f>IF(O$2=0,"",IFERROR(TRIM(INDEX('Pegar docentes'!$A$1:$BZ$1001,600,O$2)&amp;""),""))</f>
        <v/>
      </c>
      <c r="P601">
        <f>IF(P$2=0,"",IFERROR(TRIM(INDEX('Pegar docentes'!$A$1:$BZ$1001,600,P$2)&amp;""),""))</f>
        <v/>
      </c>
      <c r="Q601" s="25">
        <f>IF(OR(D601&lt;&gt;"",H601&lt;&gt;""),1,"")</f>
        <v/>
      </c>
      <c r="R601" s="25">
        <f>IF(Q601=1,IF(ISNUMBER(FIND("#"&amp;MID(D601,1,1)&amp;"#","#0#1#2#3#4#5#6#7#8#9#")),IF(ISNUMBER(FIND("#"&amp;MID(D601,2,1)&amp;"#","#0#1#2#3#4#5#6#7#8#9#")),IF(AND(VALUE(LEFT(D601,2))&gt;=1,VALUE(LEFT(D601,2))&lt;=5),VALUE(LEFT(D601,2)),""),IF(AND(VALUE(LEFT(D601,1))&gt;=1,VALUE(LEFT(D601,1))&lt;=5),VALUE(LEFT(D601,1)),"")),""),"")</f>
        <v/>
      </c>
      <c r="S601" s="25">
        <f>IF(AND(Q601=1,E601&lt;&gt;""),SUBSTITUTE(SUBSTITUTE(SUBSTITUTE(SUBSTITUTE(SUBSTITUTE(SUBSTITUTE(SUBSTITUTE(SUBSTITUTE(SUBSTITUTE(SUBSTITUTE(SUBSTITUTE(SUBSTITUTE(LOWER(TRIM(E601)),"á","a"),"é","e"),"í","i"),"ó","o"),"ú","u"),"ü","u"),"ñ","n"),"à","a"),"è","e"),"ì","i"),"ò","o"),"ù","u"),"")</f>
        <v/>
      </c>
      <c r="T601" s="25">
        <f>IF(AND(Q601=1,G601&lt;&gt;""),SUBSTITUTE(SUBSTITUTE(SUBSTITUTE(SUBSTITUTE(SUBSTITUTE(SUBSTITUTE(SUBSTITUTE(SUBSTITUTE(SUBSTITUTE(SUBSTITUTE(SUBSTITUTE(SUBSTITUTE(LOWER(TRIM(G601)),"á","a"),"é","e"),"í","i"),"ó","o"),"ú","u"),"ü","u"),"ñ","n"),"à","a"),"è","e"),"ì","i"),"ò","o"),"ù","u"),"")</f>
        <v/>
      </c>
      <c r="U601" s="25">
        <f>IF(AND(Q601=1,H601&lt;&gt;""),SUBSTITUTE(SUBSTITUTE(SUBSTITUTE(SUBSTITUTE(SUBSTITUTE(SUBSTITUTE(SUBSTITUTE(SUBSTITUTE(SUBSTITUTE(SUBSTITUTE(SUBSTITUTE(SUBSTITUTE(LOWER(TRIM(H601)),"á","a"),"é","e"),"í","i"),"ó","o"),"ú","u"),"ü","u"),"ñ","n"),"à","a"),"è","e"),"ì","i"),"ò","o"),"ù","u"),"")</f>
        <v/>
      </c>
      <c r="V601" s="25">
        <f>IF(AND(Q601=1,L601&lt;&gt;""),SUBSTITUTE(SUBSTITUTE(SUBSTITUTE(SUBSTITUTE(SUBSTITUTE(SUBSTITUTE(SUBSTITUTE(SUBSTITUTE(SUBSTITUTE(SUBSTITUTE(SUBSTITUTE(SUBSTITUTE(LOWER(TRIM(L601)),"á","a"),"é","e"),"í","i"),"ó","o"),"ú","u"),"ü","u"),"ñ","n"),"à","a"),"è","e"),"ì","i"),"ò","o"),"ù","u"),"")</f>
        <v/>
      </c>
      <c r="W601" s="25">
        <f>IF(AND(Q601=1,I601&lt;&gt;""),SUBSTITUTE(SUBSTITUTE(SUBSTITUTE(SUBSTITUTE(SUBSTITUTE(SUBSTITUTE(SUBSTITUTE(SUBSTITUTE(SUBSTITUTE(SUBSTITUTE(SUBSTITUTE(SUBSTITUTE(LOWER(TRIM(I601)),"á","a"),"é","e"),"í","i"),"ó","o"),"ú","u"),"ü","u"),"ñ","n"),"à","a"),"è","e"),"ì","i"),"ò","o"),"ù","u"),"")</f>
        <v/>
      </c>
      <c r="X601" s="25">
        <f>IF(U601="","",IF(OR(U601="si, en la proxima tarea",U601="si, con cambios"),1,0))</f>
        <v/>
      </c>
      <c r="Y601" s="25">
        <f>IF(AND(Q601=1,A601&lt;&gt;""),IF(IFERROR(COUNTIFS(A$3:A601,"="&amp;SUBSTITUTE(SUBSTITUTE(SUBSTITUTE(A601,"~","~~"),"*","~*"),"?","~?"),Q$3:Q601,1),0)=1,MAX(Y$2:Y600)+1,""),"")</f>
        <v/>
      </c>
      <c r="Z601" s="25">
        <f>IF(Y601="","",COUNTIFS($A$3:$A$1002,"="&amp;SUBSTITUTE(SUBSTITUTE(SUBSTITUTE(A601,"~","~~"),"*","~*"),"?","~?"),$Q$3:$Q$1002,1)*10000-Y601)</f>
        <v/>
      </c>
    </row>
    <row r="602">
      <c r="A602">
        <f>IF(A$2=0,"",IFERROR(TRIM(INDEX('Pegar docentes'!$A$1:$BZ$1001,601,A$2)&amp;""),""))</f>
        <v/>
      </c>
      <c r="B602">
        <f>IF(B$2=0,"",IFERROR(TRIM(INDEX('Pegar docentes'!$A$1:$BZ$1001,601,B$2)&amp;""),""))</f>
        <v/>
      </c>
      <c r="C602">
        <f>IF(C$2=0,"",IFERROR(TRIM(INDEX('Pegar docentes'!$A$1:$BZ$1001,601,C$2)&amp;""),""))</f>
        <v/>
      </c>
      <c r="D602">
        <f>IF(D$2=0,"",IFERROR(TRIM(INDEX('Pegar docentes'!$A$1:$BZ$1001,601,D$2)&amp;""),""))</f>
        <v/>
      </c>
      <c r="E602">
        <f>IF(E$2=0,"",IFERROR(TRIM(INDEX('Pegar docentes'!$A$1:$BZ$1001,601,E$2)&amp;""),""))</f>
        <v/>
      </c>
      <c r="F602">
        <f>IF(F$2=0,"",IFERROR(TRIM(INDEX('Pegar docentes'!$A$1:$BZ$1001,601,F$2)&amp;""),""))</f>
        <v/>
      </c>
      <c r="G602">
        <f>IF(G$2=0,"",IFERROR(TRIM(INDEX('Pegar docentes'!$A$1:$BZ$1001,601,G$2)&amp;""),""))</f>
        <v/>
      </c>
      <c r="H602">
        <f>IF(H$2=0,"",IFERROR(TRIM(INDEX('Pegar docentes'!$A$1:$BZ$1001,601,H$2)&amp;""),""))</f>
        <v/>
      </c>
      <c r="I602">
        <f>IF(I$2=0,"",IFERROR(TRIM(INDEX('Pegar docentes'!$A$1:$BZ$1001,601,I$2)&amp;""),""))</f>
        <v/>
      </c>
      <c r="J602">
        <f>IF(J$2=0,"",IFERROR(TRIM(INDEX('Pegar docentes'!$A$1:$BZ$1001,601,J$2)&amp;""),""))</f>
        <v/>
      </c>
      <c r="K602">
        <f>IF(K$2=0,"",IFERROR(TRIM(INDEX('Pegar docentes'!$A$1:$BZ$1001,601,K$2)&amp;""),""))</f>
        <v/>
      </c>
      <c r="L602">
        <f>IF(L$2=0,"",IFERROR(TRIM(INDEX('Pegar docentes'!$A$1:$BZ$1001,601,L$2)&amp;""),""))</f>
        <v/>
      </c>
      <c r="M602">
        <f>IF(M$2=0,"",IFERROR(TRIM(INDEX('Pegar docentes'!$A$1:$BZ$1001,601,M$2)&amp;""),""))</f>
        <v/>
      </c>
      <c r="N602">
        <f>IF(N$2=0,"",IFERROR(TRIM(INDEX('Pegar docentes'!$A$1:$BZ$1001,601,N$2)&amp;""),""))</f>
        <v/>
      </c>
      <c r="O602">
        <f>IF(O$2=0,"",IFERROR(TRIM(INDEX('Pegar docentes'!$A$1:$BZ$1001,601,O$2)&amp;""),""))</f>
        <v/>
      </c>
      <c r="P602">
        <f>IF(P$2=0,"",IFERROR(TRIM(INDEX('Pegar docentes'!$A$1:$BZ$1001,601,P$2)&amp;""),""))</f>
        <v/>
      </c>
      <c r="Q602" s="25">
        <f>IF(OR(D602&lt;&gt;"",H602&lt;&gt;""),1,"")</f>
        <v/>
      </c>
      <c r="R602" s="25">
        <f>IF(Q602=1,IF(ISNUMBER(FIND("#"&amp;MID(D602,1,1)&amp;"#","#0#1#2#3#4#5#6#7#8#9#")),IF(ISNUMBER(FIND("#"&amp;MID(D602,2,1)&amp;"#","#0#1#2#3#4#5#6#7#8#9#")),IF(AND(VALUE(LEFT(D602,2))&gt;=1,VALUE(LEFT(D602,2))&lt;=5),VALUE(LEFT(D602,2)),""),IF(AND(VALUE(LEFT(D602,1))&gt;=1,VALUE(LEFT(D602,1))&lt;=5),VALUE(LEFT(D602,1)),"")),""),"")</f>
        <v/>
      </c>
      <c r="S602" s="25">
        <f>IF(AND(Q602=1,E602&lt;&gt;""),SUBSTITUTE(SUBSTITUTE(SUBSTITUTE(SUBSTITUTE(SUBSTITUTE(SUBSTITUTE(SUBSTITUTE(SUBSTITUTE(SUBSTITUTE(SUBSTITUTE(SUBSTITUTE(SUBSTITUTE(LOWER(TRIM(E602)),"á","a"),"é","e"),"í","i"),"ó","o"),"ú","u"),"ü","u"),"ñ","n"),"à","a"),"è","e"),"ì","i"),"ò","o"),"ù","u"),"")</f>
        <v/>
      </c>
      <c r="T602" s="25">
        <f>IF(AND(Q602=1,G602&lt;&gt;""),SUBSTITUTE(SUBSTITUTE(SUBSTITUTE(SUBSTITUTE(SUBSTITUTE(SUBSTITUTE(SUBSTITUTE(SUBSTITUTE(SUBSTITUTE(SUBSTITUTE(SUBSTITUTE(SUBSTITUTE(LOWER(TRIM(G602)),"á","a"),"é","e"),"í","i"),"ó","o"),"ú","u"),"ü","u"),"ñ","n"),"à","a"),"è","e"),"ì","i"),"ò","o"),"ù","u"),"")</f>
        <v/>
      </c>
      <c r="U602" s="25">
        <f>IF(AND(Q602=1,H602&lt;&gt;""),SUBSTITUTE(SUBSTITUTE(SUBSTITUTE(SUBSTITUTE(SUBSTITUTE(SUBSTITUTE(SUBSTITUTE(SUBSTITUTE(SUBSTITUTE(SUBSTITUTE(SUBSTITUTE(SUBSTITUTE(LOWER(TRIM(H602)),"á","a"),"é","e"),"í","i"),"ó","o"),"ú","u"),"ü","u"),"ñ","n"),"à","a"),"è","e"),"ì","i"),"ò","o"),"ù","u"),"")</f>
        <v/>
      </c>
      <c r="V602" s="25">
        <f>IF(AND(Q602=1,L602&lt;&gt;""),SUBSTITUTE(SUBSTITUTE(SUBSTITUTE(SUBSTITUTE(SUBSTITUTE(SUBSTITUTE(SUBSTITUTE(SUBSTITUTE(SUBSTITUTE(SUBSTITUTE(SUBSTITUTE(SUBSTITUTE(LOWER(TRIM(L602)),"á","a"),"é","e"),"í","i"),"ó","o"),"ú","u"),"ü","u"),"ñ","n"),"à","a"),"è","e"),"ì","i"),"ò","o"),"ù","u"),"")</f>
        <v/>
      </c>
      <c r="W602" s="25">
        <f>IF(AND(Q602=1,I602&lt;&gt;""),SUBSTITUTE(SUBSTITUTE(SUBSTITUTE(SUBSTITUTE(SUBSTITUTE(SUBSTITUTE(SUBSTITUTE(SUBSTITUTE(SUBSTITUTE(SUBSTITUTE(SUBSTITUTE(SUBSTITUTE(LOWER(TRIM(I602)),"á","a"),"é","e"),"í","i"),"ó","o"),"ú","u"),"ü","u"),"ñ","n"),"à","a"),"è","e"),"ì","i"),"ò","o"),"ù","u"),"")</f>
        <v/>
      </c>
      <c r="X602" s="25">
        <f>IF(U602="","",IF(OR(U602="si, en la proxima tarea",U602="si, con cambios"),1,0))</f>
        <v/>
      </c>
      <c r="Y602" s="25">
        <f>IF(AND(Q602=1,A602&lt;&gt;""),IF(IFERROR(COUNTIFS(A$3:A602,"="&amp;SUBSTITUTE(SUBSTITUTE(SUBSTITUTE(A602,"~","~~"),"*","~*"),"?","~?"),Q$3:Q602,1),0)=1,MAX(Y$2:Y601)+1,""),"")</f>
        <v/>
      </c>
      <c r="Z602" s="25">
        <f>IF(Y602="","",COUNTIFS($A$3:$A$1002,"="&amp;SUBSTITUTE(SUBSTITUTE(SUBSTITUTE(A602,"~","~~"),"*","~*"),"?","~?"),$Q$3:$Q$1002,1)*10000-Y602)</f>
        <v/>
      </c>
    </row>
    <row r="603">
      <c r="A603">
        <f>IF(A$2=0,"",IFERROR(TRIM(INDEX('Pegar docentes'!$A$1:$BZ$1001,602,A$2)&amp;""),""))</f>
        <v/>
      </c>
      <c r="B603">
        <f>IF(B$2=0,"",IFERROR(TRIM(INDEX('Pegar docentes'!$A$1:$BZ$1001,602,B$2)&amp;""),""))</f>
        <v/>
      </c>
      <c r="C603">
        <f>IF(C$2=0,"",IFERROR(TRIM(INDEX('Pegar docentes'!$A$1:$BZ$1001,602,C$2)&amp;""),""))</f>
        <v/>
      </c>
      <c r="D603">
        <f>IF(D$2=0,"",IFERROR(TRIM(INDEX('Pegar docentes'!$A$1:$BZ$1001,602,D$2)&amp;""),""))</f>
        <v/>
      </c>
      <c r="E603">
        <f>IF(E$2=0,"",IFERROR(TRIM(INDEX('Pegar docentes'!$A$1:$BZ$1001,602,E$2)&amp;""),""))</f>
        <v/>
      </c>
      <c r="F603">
        <f>IF(F$2=0,"",IFERROR(TRIM(INDEX('Pegar docentes'!$A$1:$BZ$1001,602,F$2)&amp;""),""))</f>
        <v/>
      </c>
      <c r="G603">
        <f>IF(G$2=0,"",IFERROR(TRIM(INDEX('Pegar docentes'!$A$1:$BZ$1001,602,G$2)&amp;""),""))</f>
        <v/>
      </c>
      <c r="H603">
        <f>IF(H$2=0,"",IFERROR(TRIM(INDEX('Pegar docentes'!$A$1:$BZ$1001,602,H$2)&amp;""),""))</f>
        <v/>
      </c>
      <c r="I603">
        <f>IF(I$2=0,"",IFERROR(TRIM(INDEX('Pegar docentes'!$A$1:$BZ$1001,602,I$2)&amp;""),""))</f>
        <v/>
      </c>
      <c r="J603">
        <f>IF(J$2=0,"",IFERROR(TRIM(INDEX('Pegar docentes'!$A$1:$BZ$1001,602,J$2)&amp;""),""))</f>
        <v/>
      </c>
      <c r="K603">
        <f>IF(K$2=0,"",IFERROR(TRIM(INDEX('Pegar docentes'!$A$1:$BZ$1001,602,K$2)&amp;""),""))</f>
        <v/>
      </c>
      <c r="L603">
        <f>IF(L$2=0,"",IFERROR(TRIM(INDEX('Pegar docentes'!$A$1:$BZ$1001,602,L$2)&amp;""),""))</f>
        <v/>
      </c>
      <c r="M603">
        <f>IF(M$2=0,"",IFERROR(TRIM(INDEX('Pegar docentes'!$A$1:$BZ$1001,602,M$2)&amp;""),""))</f>
        <v/>
      </c>
      <c r="N603">
        <f>IF(N$2=0,"",IFERROR(TRIM(INDEX('Pegar docentes'!$A$1:$BZ$1001,602,N$2)&amp;""),""))</f>
        <v/>
      </c>
      <c r="O603">
        <f>IF(O$2=0,"",IFERROR(TRIM(INDEX('Pegar docentes'!$A$1:$BZ$1001,602,O$2)&amp;""),""))</f>
        <v/>
      </c>
      <c r="P603">
        <f>IF(P$2=0,"",IFERROR(TRIM(INDEX('Pegar docentes'!$A$1:$BZ$1001,602,P$2)&amp;""),""))</f>
        <v/>
      </c>
      <c r="Q603" s="25">
        <f>IF(OR(D603&lt;&gt;"",H603&lt;&gt;""),1,"")</f>
        <v/>
      </c>
      <c r="R603" s="25">
        <f>IF(Q603=1,IF(ISNUMBER(FIND("#"&amp;MID(D603,1,1)&amp;"#","#0#1#2#3#4#5#6#7#8#9#")),IF(ISNUMBER(FIND("#"&amp;MID(D603,2,1)&amp;"#","#0#1#2#3#4#5#6#7#8#9#")),IF(AND(VALUE(LEFT(D603,2))&gt;=1,VALUE(LEFT(D603,2))&lt;=5),VALUE(LEFT(D603,2)),""),IF(AND(VALUE(LEFT(D603,1))&gt;=1,VALUE(LEFT(D603,1))&lt;=5),VALUE(LEFT(D603,1)),"")),""),"")</f>
        <v/>
      </c>
      <c r="S603" s="25">
        <f>IF(AND(Q603=1,E603&lt;&gt;""),SUBSTITUTE(SUBSTITUTE(SUBSTITUTE(SUBSTITUTE(SUBSTITUTE(SUBSTITUTE(SUBSTITUTE(SUBSTITUTE(SUBSTITUTE(SUBSTITUTE(SUBSTITUTE(SUBSTITUTE(LOWER(TRIM(E603)),"á","a"),"é","e"),"í","i"),"ó","o"),"ú","u"),"ü","u"),"ñ","n"),"à","a"),"è","e"),"ì","i"),"ò","o"),"ù","u"),"")</f>
        <v/>
      </c>
      <c r="T603" s="25">
        <f>IF(AND(Q603=1,G603&lt;&gt;""),SUBSTITUTE(SUBSTITUTE(SUBSTITUTE(SUBSTITUTE(SUBSTITUTE(SUBSTITUTE(SUBSTITUTE(SUBSTITUTE(SUBSTITUTE(SUBSTITUTE(SUBSTITUTE(SUBSTITUTE(LOWER(TRIM(G603)),"á","a"),"é","e"),"í","i"),"ó","o"),"ú","u"),"ü","u"),"ñ","n"),"à","a"),"è","e"),"ì","i"),"ò","o"),"ù","u"),"")</f>
        <v/>
      </c>
      <c r="U603" s="25">
        <f>IF(AND(Q603=1,H603&lt;&gt;""),SUBSTITUTE(SUBSTITUTE(SUBSTITUTE(SUBSTITUTE(SUBSTITUTE(SUBSTITUTE(SUBSTITUTE(SUBSTITUTE(SUBSTITUTE(SUBSTITUTE(SUBSTITUTE(SUBSTITUTE(LOWER(TRIM(H603)),"á","a"),"é","e"),"í","i"),"ó","o"),"ú","u"),"ü","u"),"ñ","n"),"à","a"),"è","e"),"ì","i"),"ò","o"),"ù","u"),"")</f>
        <v/>
      </c>
      <c r="V603" s="25">
        <f>IF(AND(Q603=1,L603&lt;&gt;""),SUBSTITUTE(SUBSTITUTE(SUBSTITUTE(SUBSTITUTE(SUBSTITUTE(SUBSTITUTE(SUBSTITUTE(SUBSTITUTE(SUBSTITUTE(SUBSTITUTE(SUBSTITUTE(SUBSTITUTE(LOWER(TRIM(L603)),"á","a"),"é","e"),"í","i"),"ó","o"),"ú","u"),"ü","u"),"ñ","n"),"à","a"),"è","e"),"ì","i"),"ò","o"),"ù","u"),"")</f>
        <v/>
      </c>
      <c r="W603" s="25">
        <f>IF(AND(Q603=1,I603&lt;&gt;""),SUBSTITUTE(SUBSTITUTE(SUBSTITUTE(SUBSTITUTE(SUBSTITUTE(SUBSTITUTE(SUBSTITUTE(SUBSTITUTE(SUBSTITUTE(SUBSTITUTE(SUBSTITUTE(SUBSTITUTE(LOWER(TRIM(I603)),"á","a"),"é","e"),"í","i"),"ó","o"),"ú","u"),"ü","u"),"ñ","n"),"à","a"),"è","e"),"ì","i"),"ò","o"),"ù","u"),"")</f>
        <v/>
      </c>
      <c r="X603" s="25">
        <f>IF(U603="","",IF(OR(U603="si, en la proxima tarea",U603="si, con cambios"),1,0))</f>
        <v/>
      </c>
      <c r="Y603" s="25">
        <f>IF(AND(Q603=1,A603&lt;&gt;""),IF(IFERROR(COUNTIFS(A$3:A603,"="&amp;SUBSTITUTE(SUBSTITUTE(SUBSTITUTE(A603,"~","~~"),"*","~*"),"?","~?"),Q$3:Q603,1),0)=1,MAX(Y$2:Y602)+1,""),"")</f>
        <v/>
      </c>
      <c r="Z603" s="25">
        <f>IF(Y603="","",COUNTIFS($A$3:$A$1002,"="&amp;SUBSTITUTE(SUBSTITUTE(SUBSTITUTE(A603,"~","~~"),"*","~*"),"?","~?"),$Q$3:$Q$1002,1)*10000-Y603)</f>
        <v/>
      </c>
    </row>
    <row r="604">
      <c r="A604">
        <f>IF(A$2=0,"",IFERROR(TRIM(INDEX('Pegar docentes'!$A$1:$BZ$1001,603,A$2)&amp;""),""))</f>
        <v/>
      </c>
      <c r="B604">
        <f>IF(B$2=0,"",IFERROR(TRIM(INDEX('Pegar docentes'!$A$1:$BZ$1001,603,B$2)&amp;""),""))</f>
        <v/>
      </c>
      <c r="C604">
        <f>IF(C$2=0,"",IFERROR(TRIM(INDEX('Pegar docentes'!$A$1:$BZ$1001,603,C$2)&amp;""),""))</f>
        <v/>
      </c>
      <c r="D604">
        <f>IF(D$2=0,"",IFERROR(TRIM(INDEX('Pegar docentes'!$A$1:$BZ$1001,603,D$2)&amp;""),""))</f>
        <v/>
      </c>
      <c r="E604">
        <f>IF(E$2=0,"",IFERROR(TRIM(INDEX('Pegar docentes'!$A$1:$BZ$1001,603,E$2)&amp;""),""))</f>
        <v/>
      </c>
      <c r="F604">
        <f>IF(F$2=0,"",IFERROR(TRIM(INDEX('Pegar docentes'!$A$1:$BZ$1001,603,F$2)&amp;""),""))</f>
        <v/>
      </c>
      <c r="G604">
        <f>IF(G$2=0,"",IFERROR(TRIM(INDEX('Pegar docentes'!$A$1:$BZ$1001,603,G$2)&amp;""),""))</f>
        <v/>
      </c>
      <c r="H604">
        <f>IF(H$2=0,"",IFERROR(TRIM(INDEX('Pegar docentes'!$A$1:$BZ$1001,603,H$2)&amp;""),""))</f>
        <v/>
      </c>
      <c r="I604">
        <f>IF(I$2=0,"",IFERROR(TRIM(INDEX('Pegar docentes'!$A$1:$BZ$1001,603,I$2)&amp;""),""))</f>
        <v/>
      </c>
      <c r="J604">
        <f>IF(J$2=0,"",IFERROR(TRIM(INDEX('Pegar docentes'!$A$1:$BZ$1001,603,J$2)&amp;""),""))</f>
        <v/>
      </c>
      <c r="K604">
        <f>IF(K$2=0,"",IFERROR(TRIM(INDEX('Pegar docentes'!$A$1:$BZ$1001,603,K$2)&amp;""),""))</f>
        <v/>
      </c>
      <c r="L604">
        <f>IF(L$2=0,"",IFERROR(TRIM(INDEX('Pegar docentes'!$A$1:$BZ$1001,603,L$2)&amp;""),""))</f>
        <v/>
      </c>
      <c r="M604">
        <f>IF(M$2=0,"",IFERROR(TRIM(INDEX('Pegar docentes'!$A$1:$BZ$1001,603,M$2)&amp;""),""))</f>
        <v/>
      </c>
      <c r="N604">
        <f>IF(N$2=0,"",IFERROR(TRIM(INDEX('Pegar docentes'!$A$1:$BZ$1001,603,N$2)&amp;""),""))</f>
        <v/>
      </c>
      <c r="O604">
        <f>IF(O$2=0,"",IFERROR(TRIM(INDEX('Pegar docentes'!$A$1:$BZ$1001,603,O$2)&amp;""),""))</f>
        <v/>
      </c>
      <c r="P604">
        <f>IF(P$2=0,"",IFERROR(TRIM(INDEX('Pegar docentes'!$A$1:$BZ$1001,603,P$2)&amp;""),""))</f>
        <v/>
      </c>
      <c r="Q604" s="25">
        <f>IF(OR(D604&lt;&gt;"",H604&lt;&gt;""),1,"")</f>
        <v/>
      </c>
      <c r="R604" s="25">
        <f>IF(Q604=1,IF(ISNUMBER(FIND("#"&amp;MID(D604,1,1)&amp;"#","#0#1#2#3#4#5#6#7#8#9#")),IF(ISNUMBER(FIND("#"&amp;MID(D604,2,1)&amp;"#","#0#1#2#3#4#5#6#7#8#9#")),IF(AND(VALUE(LEFT(D604,2))&gt;=1,VALUE(LEFT(D604,2))&lt;=5),VALUE(LEFT(D604,2)),""),IF(AND(VALUE(LEFT(D604,1))&gt;=1,VALUE(LEFT(D604,1))&lt;=5),VALUE(LEFT(D604,1)),"")),""),"")</f>
        <v/>
      </c>
      <c r="S604" s="25">
        <f>IF(AND(Q604=1,E604&lt;&gt;""),SUBSTITUTE(SUBSTITUTE(SUBSTITUTE(SUBSTITUTE(SUBSTITUTE(SUBSTITUTE(SUBSTITUTE(SUBSTITUTE(SUBSTITUTE(SUBSTITUTE(SUBSTITUTE(SUBSTITUTE(LOWER(TRIM(E604)),"á","a"),"é","e"),"í","i"),"ó","o"),"ú","u"),"ü","u"),"ñ","n"),"à","a"),"è","e"),"ì","i"),"ò","o"),"ù","u"),"")</f>
        <v/>
      </c>
      <c r="T604" s="25">
        <f>IF(AND(Q604=1,G604&lt;&gt;""),SUBSTITUTE(SUBSTITUTE(SUBSTITUTE(SUBSTITUTE(SUBSTITUTE(SUBSTITUTE(SUBSTITUTE(SUBSTITUTE(SUBSTITUTE(SUBSTITUTE(SUBSTITUTE(SUBSTITUTE(LOWER(TRIM(G604)),"á","a"),"é","e"),"í","i"),"ó","o"),"ú","u"),"ü","u"),"ñ","n"),"à","a"),"è","e"),"ì","i"),"ò","o"),"ù","u"),"")</f>
        <v/>
      </c>
      <c r="U604" s="25">
        <f>IF(AND(Q604=1,H604&lt;&gt;""),SUBSTITUTE(SUBSTITUTE(SUBSTITUTE(SUBSTITUTE(SUBSTITUTE(SUBSTITUTE(SUBSTITUTE(SUBSTITUTE(SUBSTITUTE(SUBSTITUTE(SUBSTITUTE(SUBSTITUTE(LOWER(TRIM(H604)),"á","a"),"é","e"),"í","i"),"ó","o"),"ú","u"),"ü","u"),"ñ","n"),"à","a"),"è","e"),"ì","i"),"ò","o"),"ù","u"),"")</f>
        <v/>
      </c>
      <c r="V604" s="25">
        <f>IF(AND(Q604=1,L604&lt;&gt;""),SUBSTITUTE(SUBSTITUTE(SUBSTITUTE(SUBSTITUTE(SUBSTITUTE(SUBSTITUTE(SUBSTITUTE(SUBSTITUTE(SUBSTITUTE(SUBSTITUTE(SUBSTITUTE(SUBSTITUTE(LOWER(TRIM(L604)),"á","a"),"é","e"),"í","i"),"ó","o"),"ú","u"),"ü","u"),"ñ","n"),"à","a"),"è","e"),"ì","i"),"ò","o"),"ù","u"),"")</f>
        <v/>
      </c>
      <c r="W604" s="25">
        <f>IF(AND(Q604=1,I604&lt;&gt;""),SUBSTITUTE(SUBSTITUTE(SUBSTITUTE(SUBSTITUTE(SUBSTITUTE(SUBSTITUTE(SUBSTITUTE(SUBSTITUTE(SUBSTITUTE(SUBSTITUTE(SUBSTITUTE(SUBSTITUTE(LOWER(TRIM(I604)),"á","a"),"é","e"),"í","i"),"ó","o"),"ú","u"),"ü","u"),"ñ","n"),"à","a"),"è","e"),"ì","i"),"ò","o"),"ù","u"),"")</f>
        <v/>
      </c>
      <c r="X604" s="25">
        <f>IF(U604="","",IF(OR(U604="si, en la proxima tarea",U604="si, con cambios"),1,0))</f>
        <v/>
      </c>
      <c r="Y604" s="25">
        <f>IF(AND(Q604=1,A604&lt;&gt;""),IF(IFERROR(COUNTIFS(A$3:A604,"="&amp;SUBSTITUTE(SUBSTITUTE(SUBSTITUTE(A604,"~","~~"),"*","~*"),"?","~?"),Q$3:Q604,1),0)=1,MAX(Y$2:Y603)+1,""),"")</f>
        <v/>
      </c>
      <c r="Z604" s="25">
        <f>IF(Y604="","",COUNTIFS($A$3:$A$1002,"="&amp;SUBSTITUTE(SUBSTITUTE(SUBSTITUTE(A604,"~","~~"),"*","~*"),"?","~?"),$Q$3:$Q$1002,1)*10000-Y604)</f>
        <v/>
      </c>
    </row>
    <row r="605">
      <c r="A605">
        <f>IF(A$2=0,"",IFERROR(TRIM(INDEX('Pegar docentes'!$A$1:$BZ$1001,604,A$2)&amp;""),""))</f>
        <v/>
      </c>
      <c r="B605">
        <f>IF(B$2=0,"",IFERROR(TRIM(INDEX('Pegar docentes'!$A$1:$BZ$1001,604,B$2)&amp;""),""))</f>
        <v/>
      </c>
      <c r="C605">
        <f>IF(C$2=0,"",IFERROR(TRIM(INDEX('Pegar docentes'!$A$1:$BZ$1001,604,C$2)&amp;""),""))</f>
        <v/>
      </c>
      <c r="D605">
        <f>IF(D$2=0,"",IFERROR(TRIM(INDEX('Pegar docentes'!$A$1:$BZ$1001,604,D$2)&amp;""),""))</f>
        <v/>
      </c>
      <c r="E605">
        <f>IF(E$2=0,"",IFERROR(TRIM(INDEX('Pegar docentes'!$A$1:$BZ$1001,604,E$2)&amp;""),""))</f>
        <v/>
      </c>
      <c r="F605">
        <f>IF(F$2=0,"",IFERROR(TRIM(INDEX('Pegar docentes'!$A$1:$BZ$1001,604,F$2)&amp;""),""))</f>
        <v/>
      </c>
      <c r="G605">
        <f>IF(G$2=0,"",IFERROR(TRIM(INDEX('Pegar docentes'!$A$1:$BZ$1001,604,G$2)&amp;""),""))</f>
        <v/>
      </c>
      <c r="H605">
        <f>IF(H$2=0,"",IFERROR(TRIM(INDEX('Pegar docentes'!$A$1:$BZ$1001,604,H$2)&amp;""),""))</f>
        <v/>
      </c>
      <c r="I605">
        <f>IF(I$2=0,"",IFERROR(TRIM(INDEX('Pegar docentes'!$A$1:$BZ$1001,604,I$2)&amp;""),""))</f>
        <v/>
      </c>
      <c r="J605">
        <f>IF(J$2=0,"",IFERROR(TRIM(INDEX('Pegar docentes'!$A$1:$BZ$1001,604,J$2)&amp;""),""))</f>
        <v/>
      </c>
      <c r="K605">
        <f>IF(K$2=0,"",IFERROR(TRIM(INDEX('Pegar docentes'!$A$1:$BZ$1001,604,K$2)&amp;""),""))</f>
        <v/>
      </c>
      <c r="L605">
        <f>IF(L$2=0,"",IFERROR(TRIM(INDEX('Pegar docentes'!$A$1:$BZ$1001,604,L$2)&amp;""),""))</f>
        <v/>
      </c>
      <c r="M605">
        <f>IF(M$2=0,"",IFERROR(TRIM(INDEX('Pegar docentes'!$A$1:$BZ$1001,604,M$2)&amp;""),""))</f>
        <v/>
      </c>
      <c r="N605">
        <f>IF(N$2=0,"",IFERROR(TRIM(INDEX('Pegar docentes'!$A$1:$BZ$1001,604,N$2)&amp;""),""))</f>
        <v/>
      </c>
      <c r="O605">
        <f>IF(O$2=0,"",IFERROR(TRIM(INDEX('Pegar docentes'!$A$1:$BZ$1001,604,O$2)&amp;""),""))</f>
        <v/>
      </c>
      <c r="P605">
        <f>IF(P$2=0,"",IFERROR(TRIM(INDEX('Pegar docentes'!$A$1:$BZ$1001,604,P$2)&amp;""),""))</f>
        <v/>
      </c>
      <c r="Q605" s="25">
        <f>IF(OR(D605&lt;&gt;"",H605&lt;&gt;""),1,"")</f>
        <v/>
      </c>
      <c r="R605" s="25">
        <f>IF(Q605=1,IF(ISNUMBER(FIND("#"&amp;MID(D605,1,1)&amp;"#","#0#1#2#3#4#5#6#7#8#9#")),IF(ISNUMBER(FIND("#"&amp;MID(D605,2,1)&amp;"#","#0#1#2#3#4#5#6#7#8#9#")),IF(AND(VALUE(LEFT(D605,2))&gt;=1,VALUE(LEFT(D605,2))&lt;=5),VALUE(LEFT(D605,2)),""),IF(AND(VALUE(LEFT(D605,1))&gt;=1,VALUE(LEFT(D605,1))&lt;=5),VALUE(LEFT(D605,1)),"")),""),"")</f>
        <v/>
      </c>
      <c r="S605" s="25">
        <f>IF(AND(Q605=1,E605&lt;&gt;""),SUBSTITUTE(SUBSTITUTE(SUBSTITUTE(SUBSTITUTE(SUBSTITUTE(SUBSTITUTE(SUBSTITUTE(SUBSTITUTE(SUBSTITUTE(SUBSTITUTE(SUBSTITUTE(SUBSTITUTE(LOWER(TRIM(E605)),"á","a"),"é","e"),"í","i"),"ó","o"),"ú","u"),"ü","u"),"ñ","n"),"à","a"),"è","e"),"ì","i"),"ò","o"),"ù","u"),"")</f>
        <v/>
      </c>
      <c r="T605" s="25">
        <f>IF(AND(Q605=1,G605&lt;&gt;""),SUBSTITUTE(SUBSTITUTE(SUBSTITUTE(SUBSTITUTE(SUBSTITUTE(SUBSTITUTE(SUBSTITUTE(SUBSTITUTE(SUBSTITUTE(SUBSTITUTE(SUBSTITUTE(SUBSTITUTE(LOWER(TRIM(G605)),"á","a"),"é","e"),"í","i"),"ó","o"),"ú","u"),"ü","u"),"ñ","n"),"à","a"),"è","e"),"ì","i"),"ò","o"),"ù","u"),"")</f>
        <v/>
      </c>
      <c r="U605" s="25">
        <f>IF(AND(Q605=1,H605&lt;&gt;""),SUBSTITUTE(SUBSTITUTE(SUBSTITUTE(SUBSTITUTE(SUBSTITUTE(SUBSTITUTE(SUBSTITUTE(SUBSTITUTE(SUBSTITUTE(SUBSTITUTE(SUBSTITUTE(SUBSTITUTE(LOWER(TRIM(H605)),"á","a"),"é","e"),"í","i"),"ó","o"),"ú","u"),"ü","u"),"ñ","n"),"à","a"),"è","e"),"ì","i"),"ò","o"),"ù","u"),"")</f>
        <v/>
      </c>
      <c r="V605" s="25">
        <f>IF(AND(Q605=1,L605&lt;&gt;""),SUBSTITUTE(SUBSTITUTE(SUBSTITUTE(SUBSTITUTE(SUBSTITUTE(SUBSTITUTE(SUBSTITUTE(SUBSTITUTE(SUBSTITUTE(SUBSTITUTE(SUBSTITUTE(SUBSTITUTE(LOWER(TRIM(L605)),"á","a"),"é","e"),"í","i"),"ó","o"),"ú","u"),"ü","u"),"ñ","n"),"à","a"),"è","e"),"ì","i"),"ò","o"),"ù","u"),"")</f>
        <v/>
      </c>
      <c r="W605" s="25">
        <f>IF(AND(Q605=1,I605&lt;&gt;""),SUBSTITUTE(SUBSTITUTE(SUBSTITUTE(SUBSTITUTE(SUBSTITUTE(SUBSTITUTE(SUBSTITUTE(SUBSTITUTE(SUBSTITUTE(SUBSTITUTE(SUBSTITUTE(SUBSTITUTE(LOWER(TRIM(I605)),"á","a"),"é","e"),"í","i"),"ó","o"),"ú","u"),"ü","u"),"ñ","n"),"à","a"),"è","e"),"ì","i"),"ò","o"),"ù","u"),"")</f>
        <v/>
      </c>
      <c r="X605" s="25">
        <f>IF(U605="","",IF(OR(U605="si, en la proxima tarea",U605="si, con cambios"),1,0))</f>
        <v/>
      </c>
      <c r="Y605" s="25">
        <f>IF(AND(Q605=1,A605&lt;&gt;""),IF(IFERROR(COUNTIFS(A$3:A605,"="&amp;SUBSTITUTE(SUBSTITUTE(SUBSTITUTE(A605,"~","~~"),"*","~*"),"?","~?"),Q$3:Q605,1),0)=1,MAX(Y$2:Y604)+1,""),"")</f>
        <v/>
      </c>
      <c r="Z605" s="25">
        <f>IF(Y605="","",COUNTIFS($A$3:$A$1002,"="&amp;SUBSTITUTE(SUBSTITUTE(SUBSTITUTE(A605,"~","~~"),"*","~*"),"?","~?"),$Q$3:$Q$1002,1)*10000-Y605)</f>
        <v/>
      </c>
    </row>
    <row r="606">
      <c r="A606">
        <f>IF(A$2=0,"",IFERROR(TRIM(INDEX('Pegar docentes'!$A$1:$BZ$1001,605,A$2)&amp;""),""))</f>
        <v/>
      </c>
      <c r="B606">
        <f>IF(B$2=0,"",IFERROR(TRIM(INDEX('Pegar docentes'!$A$1:$BZ$1001,605,B$2)&amp;""),""))</f>
        <v/>
      </c>
      <c r="C606">
        <f>IF(C$2=0,"",IFERROR(TRIM(INDEX('Pegar docentes'!$A$1:$BZ$1001,605,C$2)&amp;""),""))</f>
        <v/>
      </c>
      <c r="D606">
        <f>IF(D$2=0,"",IFERROR(TRIM(INDEX('Pegar docentes'!$A$1:$BZ$1001,605,D$2)&amp;""),""))</f>
        <v/>
      </c>
      <c r="E606">
        <f>IF(E$2=0,"",IFERROR(TRIM(INDEX('Pegar docentes'!$A$1:$BZ$1001,605,E$2)&amp;""),""))</f>
        <v/>
      </c>
      <c r="F606">
        <f>IF(F$2=0,"",IFERROR(TRIM(INDEX('Pegar docentes'!$A$1:$BZ$1001,605,F$2)&amp;""),""))</f>
        <v/>
      </c>
      <c r="G606">
        <f>IF(G$2=0,"",IFERROR(TRIM(INDEX('Pegar docentes'!$A$1:$BZ$1001,605,G$2)&amp;""),""))</f>
        <v/>
      </c>
      <c r="H606">
        <f>IF(H$2=0,"",IFERROR(TRIM(INDEX('Pegar docentes'!$A$1:$BZ$1001,605,H$2)&amp;""),""))</f>
        <v/>
      </c>
      <c r="I606">
        <f>IF(I$2=0,"",IFERROR(TRIM(INDEX('Pegar docentes'!$A$1:$BZ$1001,605,I$2)&amp;""),""))</f>
        <v/>
      </c>
      <c r="J606">
        <f>IF(J$2=0,"",IFERROR(TRIM(INDEX('Pegar docentes'!$A$1:$BZ$1001,605,J$2)&amp;""),""))</f>
        <v/>
      </c>
      <c r="K606">
        <f>IF(K$2=0,"",IFERROR(TRIM(INDEX('Pegar docentes'!$A$1:$BZ$1001,605,K$2)&amp;""),""))</f>
        <v/>
      </c>
      <c r="L606">
        <f>IF(L$2=0,"",IFERROR(TRIM(INDEX('Pegar docentes'!$A$1:$BZ$1001,605,L$2)&amp;""),""))</f>
        <v/>
      </c>
      <c r="M606">
        <f>IF(M$2=0,"",IFERROR(TRIM(INDEX('Pegar docentes'!$A$1:$BZ$1001,605,M$2)&amp;""),""))</f>
        <v/>
      </c>
      <c r="N606">
        <f>IF(N$2=0,"",IFERROR(TRIM(INDEX('Pegar docentes'!$A$1:$BZ$1001,605,N$2)&amp;""),""))</f>
        <v/>
      </c>
      <c r="O606">
        <f>IF(O$2=0,"",IFERROR(TRIM(INDEX('Pegar docentes'!$A$1:$BZ$1001,605,O$2)&amp;""),""))</f>
        <v/>
      </c>
      <c r="P606">
        <f>IF(P$2=0,"",IFERROR(TRIM(INDEX('Pegar docentes'!$A$1:$BZ$1001,605,P$2)&amp;""),""))</f>
        <v/>
      </c>
      <c r="Q606" s="25">
        <f>IF(OR(D606&lt;&gt;"",H606&lt;&gt;""),1,"")</f>
        <v/>
      </c>
      <c r="R606" s="25">
        <f>IF(Q606=1,IF(ISNUMBER(FIND("#"&amp;MID(D606,1,1)&amp;"#","#0#1#2#3#4#5#6#7#8#9#")),IF(ISNUMBER(FIND("#"&amp;MID(D606,2,1)&amp;"#","#0#1#2#3#4#5#6#7#8#9#")),IF(AND(VALUE(LEFT(D606,2))&gt;=1,VALUE(LEFT(D606,2))&lt;=5),VALUE(LEFT(D606,2)),""),IF(AND(VALUE(LEFT(D606,1))&gt;=1,VALUE(LEFT(D606,1))&lt;=5),VALUE(LEFT(D606,1)),"")),""),"")</f>
        <v/>
      </c>
      <c r="S606" s="25">
        <f>IF(AND(Q606=1,E606&lt;&gt;""),SUBSTITUTE(SUBSTITUTE(SUBSTITUTE(SUBSTITUTE(SUBSTITUTE(SUBSTITUTE(SUBSTITUTE(SUBSTITUTE(SUBSTITUTE(SUBSTITUTE(SUBSTITUTE(SUBSTITUTE(LOWER(TRIM(E606)),"á","a"),"é","e"),"í","i"),"ó","o"),"ú","u"),"ü","u"),"ñ","n"),"à","a"),"è","e"),"ì","i"),"ò","o"),"ù","u"),"")</f>
        <v/>
      </c>
      <c r="T606" s="25">
        <f>IF(AND(Q606=1,G606&lt;&gt;""),SUBSTITUTE(SUBSTITUTE(SUBSTITUTE(SUBSTITUTE(SUBSTITUTE(SUBSTITUTE(SUBSTITUTE(SUBSTITUTE(SUBSTITUTE(SUBSTITUTE(SUBSTITUTE(SUBSTITUTE(LOWER(TRIM(G606)),"á","a"),"é","e"),"í","i"),"ó","o"),"ú","u"),"ü","u"),"ñ","n"),"à","a"),"è","e"),"ì","i"),"ò","o"),"ù","u"),"")</f>
        <v/>
      </c>
      <c r="U606" s="25">
        <f>IF(AND(Q606=1,H606&lt;&gt;""),SUBSTITUTE(SUBSTITUTE(SUBSTITUTE(SUBSTITUTE(SUBSTITUTE(SUBSTITUTE(SUBSTITUTE(SUBSTITUTE(SUBSTITUTE(SUBSTITUTE(SUBSTITUTE(SUBSTITUTE(LOWER(TRIM(H606)),"á","a"),"é","e"),"í","i"),"ó","o"),"ú","u"),"ü","u"),"ñ","n"),"à","a"),"è","e"),"ì","i"),"ò","o"),"ù","u"),"")</f>
        <v/>
      </c>
      <c r="V606" s="25">
        <f>IF(AND(Q606=1,L606&lt;&gt;""),SUBSTITUTE(SUBSTITUTE(SUBSTITUTE(SUBSTITUTE(SUBSTITUTE(SUBSTITUTE(SUBSTITUTE(SUBSTITUTE(SUBSTITUTE(SUBSTITUTE(SUBSTITUTE(SUBSTITUTE(LOWER(TRIM(L606)),"á","a"),"é","e"),"í","i"),"ó","o"),"ú","u"),"ü","u"),"ñ","n"),"à","a"),"è","e"),"ì","i"),"ò","o"),"ù","u"),"")</f>
        <v/>
      </c>
      <c r="W606" s="25">
        <f>IF(AND(Q606=1,I606&lt;&gt;""),SUBSTITUTE(SUBSTITUTE(SUBSTITUTE(SUBSTITUTE(SUBSTITUTE(SUBSTITUTE(SUBSTITUTE(SUBSTITUTE(SUBSTITUTE(SUBSTITUTE(SUBSTITUTE(SUBSTITUTE(LOWER(TRIM(I606)),"á","a"),"é","e"),"í","i"),"ó","o"),"ú","u"),"ü","u"),"ñ","n"),"à","a"),"è","e"),"ì","i"),"ò","o"),"ù","u"),"")</f>
        <v/>
      </c>
      <c r="X606" s="25">
        <f>IF(U606="","",IF(OR(U606="si, en la proxima tarea",U606="si, con cambios"),1,0))</f>
        <v/>
      </c>
      <c r="Y606" s="25">
        <f>IF(AND(Q606=1,A606&lt;&gt;""),IF(IFERROR(COUNTIFS(A$3:A606,"="&amp;SUBSTITUTE(SUBSTITUTE(SUBSTITUTE(A606,"~","~~"),"*","~*"),"?","~?"),Q$3:Q606,1),0)=1,MAX(Y$2:Y605)+1,""),"")</f>
        <v/>
      </c>
      <c r="Z606" s="25">
        <f>IF(Y606="","",COUNTIFS($A$3:$A$1002,"="&amp;SUBSTITUTE(SUBSTITUTE(SUBSTITUTE(A606,"~","~~"),"*","~*"),"?","~?"),$Q$3:$Q$1002,1)*10000-Y606)</f>
        <v/>
      </c>
    </row>
    <row r="607">
      <c r="A607">
        <f>IF(A$2=0,"",IFERROR(TRIM(INDEX('Pegar docentes'!$A$1:$BZ$1001,606,A$2)&amp;""),""))</f>
        <v/>
      </c>
      <c r="B607">
        <f>IF(B$2=0,"",IFERROR(TRIM(INDEX('Pegar docentes'!$A$1:$BZ$1001,606,B$2)&amp;""),""))</f>
        <v/>
      </c>
      <c r="C607">
        <f>IF(C$2=0,"",IFERROR(TRIM(INDEX('Pegar docentes'!$A$1:$BZ$1001,606,C$2)&amp;""),""))</f>
        <v/>
      </c>
      <c r="D607">
        <f>IF(D$2=0,"",IFERROR(TRIM(INDEX('Pegar docentes'!$A$1:$BZ$1001,606,D$2)&amp;""),""))</f>
        <v/>
      </c>
      <c r="E607">
        <f>IF(E$2=0,"",IFERROR(TRIM(INDEX('Pegar docentes'!$A$1:$BZ$1001,606,E$2)&amp;""),""))</f>
        <v/>
      </c>
      <c r="F607">
        <f>IF(F$2=0,"",IFERROR(TRIM(INDEX('Pegar docentes'!$A$1:$BZ$1001,606,F$2)&amp;""),""))</f>
        <v/>
      </c>
      <c r="G607">
        <f>IF(G$2=0,"",IFERROR(TRIM(INDEX('Pegar docentes'!$A$1:$BZ$1001,606,G$2)&amp;""),""))</f>
        <v/>
      </c>
      <c r="H607">
        <f>IF(H$2=0,"",IFERROR(TRIM(INDEX('Pegar docentes'!$A$1:$BZ$1001,606,H$2)&amp;""),""))</f>
        <v/>
      </c>
      <c r="I607">
        <f>IF(I$2=0,"",IFERROR(TRIM(INDEX('Pegar docentes'!$A$1:$BZ$1001,606,I$2)&amp;""),""))</f>
        <v/>
      </c>
      <c r="J607">
        <f>IF(J$2=0,"",IFERROR(TRIM(INDEX('Pegar docentes'!$A$1:$BZ$1001,606,J$2)&amp;""),""))</f>
        <v/>
      </c>
      <c r="K607">
        <f>IF(K$2=0,"",IFERROR(TRIM(INDEX('Pegar docentes'!$A$1:$BZ$1001,606,K$2)&amp;""),""))</f>
        <v/>
      </c>
      <c r="L607">
        <f>IF(L$2=0,"",IFERROR(TRIM(INDEX('Pegar docentes'!$A$1:$BZ$1001,606,L$2)&amp;""),""))</f>
        <v/>
      </c>
      <c r="M607">
        <f>IF(M$2=0,"",IFERROR(TRIM(INDEX('Pegar docentes'!$A$1:$BZ$1001,606,M$2)&amp;""),""))</f>
        <v/>
      </c>
      <c r="N607">
        <f>IF(N$2=0,"",IFERROR(TRIM(INDEX('Pegar docentes'!$A$1:$BZ$1001,606,N$2)&amp;""),""))</f>
        <v/>
      </c>
      <c r="O607">
        <f>IF(O$2=0,"",IFERROR(TRIM(INDEX('Pegar docentes'!$A$1:$BZ$1001,606,O$2)&amp;""),""))</f>
        <v/>
      </c>
      <c r="P607">
        <f>IF(P$2=0,"",IFERROR(TRIM(INDEX('Pegar docentes'!$A$1:$BZ$1001,606,P$2)&amp;""),""))</f>
        <v/>
      </c>
      <c r="Q607" s="25">
        <f>IF(OR(D607&lt;&gt;"",H607&lt;&gt;""),1,"")</f>
        <v/>
      </c>
      <c r="R607" s="25">
        <f>IF(Q607=1,IF(ISNUMBER(FIND("#"&amp;MID(D607,1,1)&amp;"#","#0#1#2#3#4#5#6#7#8#9#")),IF(ISNUMBER(FIND("#"&amp;MID(D607,2,1)&amp;"#","#0#1#2#3#4#5#6#7#8#9#")),IF(AND(VALUE(LEFT(D607,2))&gt;=1,VALUE(LEFT(D607,2))&lt;=5),VALUE(LEFT(D607,2)),""),IF(AND(VALUE(LEFT(D607,1))&gt;=1,VALUE(LEFT(D607,1))&lt;=5),VALUE(LEFT(D607,1)),"")),""),"")</f>
        <v/>
      </c>
      <c r="S607" s="25">
        <f>IF(AND(Q607=1,E607&lt;&gt;""),SUBSTITUTE(SUBSTITUTE(SUBSTITUTE(SUBSTITUTE(SUBSTITUTE(SUBSTITUTE(SUBSTITUTE(SUBSTITUTE(SUBSTITUTE(SUBSTITUTE(SUBSTITUTE(SUBSTITUTE(LOWER(TRIM(E607)),"á","a"),"é","e"),"í","i"),"ó","o"),"ú","u"),"ü","u"),"ñ","n"),"à","a"),"è","e"),"ì","i"),"ò","o"),"ù","u"),"")</f>
        <v/>
      </c>
      <c r="T607" s="25">
        <f>IF(AND(Q607=1,G607&lt;&gt;""),SUBSTITUTE(SUBSTITUTE(SUBSTITUTE(SUBSTITUTE(SUBSTITUTE(SUBSTITUTE(SUBSTITUTE(SUBSTITUTE(SUBSTITUTE(SUBSTITUTE(SUBSTITUTE(SUBSTITUTE(LOWER(TRIM(G607)),"á","a"),"é","e"),"í","i"),"ó","o"),"ú","u"),"ü","u"),"ñ","n"),"à","a"),"è","e"),"ì","i"),"ò","o"),"ù","u"),"")</f>
        <v/>
      </c>
      <c r="U607" s="25">
        <f>IF(AND(Q607=1,H607&lt;&gt;""),SUBSTITUTE(SUBSTITUTE(SUBSTITUTE(SUBSTITUTE(SUBSTITUTE(SUBSTITUTE(SUBSTITUTE(SUBSTITUTE(SUBSTITUTE(SUBSTITUTE(SUBSTITUTE(SUBSTITUTE(LOWER(TRIM(H607)),"á","a"),"é","e"),"í","i"),"ó","o"),"ú","u"),"ü","u"),"ñ","n"),"à","a"),"è","e"),"ì","i"),"ò","o"),"ù","u"),"")</f>
        <v/>
      </c>
      <c r="V607" s="25">
        <f>IF(AND(Q607=1,L607&lt;&gt;""),SUBSTITUTE(SUBSTITUTE(SUBSTITUTE(SUBSTITUTE(SUBSTITUTE(SUBSTITUTE(SUBSTITUTE(SUBSTITUTE(SUBSTITUTE(SUBSTITUTE(SUBSTITUTE(SUBSTITUTE(LOWER(TRIM(L607)),"á","a"),"é","e"),"í","i"),"ó","o"),"ú","u"),"ü","u"),"ñ","n"),"à","a"),"è","e"),"ì","i"),"ò","o"),"ù","u"),"")</f>
        <v/>
      </c>
      <c r="W607" s="25">
        <f>IF(AND(Q607=1,I607&lt;&gt;""),SUBSTITUTE(SUBSTITUTE(SUBSTITUTE(SUBSTITUTE(SUBSTITUTE(SUBSTITUTE(SUBSTITUTE(SUBSTITUTE(SUBSTITUTE(SUBSTITUTE(SUBSTITUTE(SUBSTITUTE(LOWER(TRIM(I607)),"á","a"),"é","e"),"í","i"),"ó","o"),"ú","u"),"ü","u"),"ñ","n"),"à","a"),"è","e"),"ì","i"),"ò","o"),"ù","u"),"")</f>
        <v/>
      </c>
      <c r="X607" s="25">
        <f>IF(U607="","",IF(OR(U607="si, en la proxima tarea",U607="si, con cambios"),1,0))</f>
        <v/>
      </c>
      <c r="Y607" s="25">
        <f>IF(AND(Q607=1,A607&lt;&gt;""),IF(IFERROR(COUNTIFS(A$3:A607,"="&amp;SUBSTITUTE(SUBSTITUTE(SUBSTITUTE(A607,"~","~~"),"*","~*"),"?","~?"),Q$3:Q607,1),0)=1,MAX(Y$2:Y606)+1,""),"")</f>
        <v/>
      </c>
      <c r="Z607" s="25">
        <f>IF(Y607="","",COUNTIFS($A$3:$A$1002,"="&amp;SUBSTITUTE(SUBSTITUTE(SUBSTITUTE(A607,"~","~~"),"*","~*"),"?","~?"),$Q$3:$Q$1002,1)*10000-Y607)</f>
        <v/>
      </c>
    </row>
    <row r="608">
      <c r="A608">
        <f>IF(A$2=0,"",IFERROR(TRIM(INDEX('Pegar docentes'!$A$1:$BZ$1001,607,A$2)&amp;""),""))</f>
        <v/>
      </c>
      <c r="B608">
        <f>IF(B$2=0,"",IFERROR(TRIM(INDEX('Pegar docentes'!$A$1:$BZ$1001,607,B$2)&amp;""),""))</f>
        <v/>
      </c>
      <c r="C608">
        <f>IF(C$2=0,"",IFERROR(TRIM(INDEX('Pegar docentes'!$A$1:$BZ$1001,607,C$2)&amp;""),""))</f>
        <v/>
      </c>
      <c r="D608">
        <f>IF(D$2=0,"",IFERROR(TRIM(INDEX('Pegar docentes'!$A$1:$BZ$1001,607,D$2)&amp;""),""))</f>
        <v/>
      </c>
      <c r="E608">
        <f>IF(E$2=0,"",IFERROR(TRIM(INDEX('Pegar docentes'!$A$1:$BZ$1001,607,E$2)&amp;""),""))</f>
        <v/>
      </c>
      <c r="F608">
        <f>IF(F$2=0,"",IFERROR(TRIM(INDEX('Pegar docentes'!$A$1:$BZ$1001,607,F$2)&amp;""),""))</f>
        <v/>
      </c>
      <c r="G608">
        <f>IF(G$2=0,"",IFERROR(TRIM(INDEX('Pegar docentes'!$A$1:$BZ$1001,607,G$2)&amp;""),""))</f>
        <v/>
      </c>
      <c r="H608">
        <f>IF(H$2=0,"",IFERROR(TRIM(INDEX('Pegar docentes'!$A$1:$BZ$1001,607,H$2)&amp;""),""))</f>
        <v/>
      </c>
      <c r="I608">
        <f>IF(I$2=0,"",IFERROR(TRIM(INDEX('Pegar docentes'!$A$1:$BZ$1001,607,I$2)&amp;""),""))</f>
        <v/>
      </c>
      <c r="J608">
        <f>IF(J$2=0,"",IFERROR(TRIM(INDEX('Pegar docentes'!$A$1:$BZ$1001,607,J$2)&amp;""),""))</f>
        <v/>
      </c>
      <c r="K608">
        <f>IF(K$2=0,"",IFERROR(TRIM(INDEX('Pegar docentes'!$A$1:$BZ$1001,607,K$2)&amp;""),""))</f>
        <v/>
      </c>
      <c r="L608">
        <f>IF(L$2=0,"",IFERROR(TRIM(INDEX('Pegar docentes'!$A$1:$BZ$1001,607,L$2)&amp;""),""))</f>
        <v/>
      </c>
      <c r="M608">
        <f>IF(M$2=0,"",IFERROR(TRIM(INDEX('Pegar docentes'!$A$1:$BZ$1001,607,M$2)&amp;""),""))</f>
        <v/>
      </c>
      <c r="N608">
        <f>IF(N$2=0,"",IFERROR(TRIM(INDEX('Pegar docentes'!$A$1:$BZ$1001,607,N$2)&amp;""),""))</f>
        <v/>
      </c>
      <c r="O608">
        <f>IF(O$2=0,"",IFERROR(TRIM(INDEX('Pegar docentes'!$A$1:$BZ$1001,607,O$2)&amp;""),""))</f>
        <v/>
      </c>
      <c r="P608">
        <f>IF(P$2=0,"",IFERROR(TRIM(INDEX('Pegar docentes'!$A$1:$BZ$1001,607,P$2)&amp;""),""))</f>
        <v/>
      </c>
      <c r="Q608" s="25">
        <f>IF(OR(D608&lt;&gt;"",H608&lt;&gt;""),1,"")</f>
        <v/>
      </c>
      <c r="R608" s="25">
        <f>IF(Q608=1,IF(ISNUMBER(FIND("#"&amp;MID(D608,1,1)&amp;"#","#0#1#2#3#4#5#6#7#8#9#")),IF(ISNUMBER(FIND("#"&amp;MID(D608,2,1)&amp;"#","#0#1#2#3#4#5#6#7#8#9#")),IF(AND(VALUE(LEFT(D608,2))&gt;=1,VALUE(LEFT(D608,2))&lt;=5),VALUE(LEFT(D608,2)),""),IF(AND(VALUE(LEFT(D608,1))&gt;=1,VALUE(LEFT(D608,1))&lt;=5),VALUE(LEFT(D608,1)),"")),""),"")</f>
        <v/>
      </c>
      <c r="S608" s="25">
        <f>IF(AND(Q608=1,E608&lt;&gt;""),SUBSTITUTE(SUBSTITUTE(SUBSTITUTE(SUBSTITUTE(SUBSTITUTE(SUBSTITUTE(SUBSTITUTE(SUBSTITUTE(SUBSTITUTE(SUBSTITUTE(SUBSTITUTE(SUBSTITUTE(LOWER(TRIM(E608)),"á","a"),"é","e"),"í","i"),"ó","o"),"ú","u"),"ü","u"),"ñ","n"),"à","a"),"è","e"),"ì","i"),"ò","o"),"ù","u"),"")</f>
        <v/>
      </c>
      <c r="T608" s="25">
        <f>IF(AND(Q608=1,G608&lt;&gt;""),SUBSTITUTE(SUBSTITUTE(SUBSTITUTE(SUBSTITUTE(SUBSTITUTE(SUBSTITUTE(SUBSTITUTE(SUBSTITUTE(SUBSTITUTE(SUBSTITUTE(SUBSTITUTE(SUBSTITUTE(LOWER(TRIM(G608)),"á","a"),"é","e"),"í","i"),"ó","o"),"ú","u"),"ü","u"),"ñ","n"),"à","a"),"è","e"),"ì","i"),"ò","o"),"ù","u"),"")</f>
        <v/>
      </c>
      <c r="U608" s="25">
        <f>IF(AND(Q608=1,H608&lt;&gt;""),SUBSTITUTE(SUBSTITUTE(SUBSTITUTE(SUBSTITUTE(SUBSTITUTE(SUBSTITUTE(SUBSTITUTE(SUBSTITUTE(SUBSTITUTE(SUBSTITUTE(SUBSTITUTE(SUBSTITUTE(LOWER(TRIM(H608)),"á","a"),"é","e"),"í","i"),"ó","o"),"ú","u"),"ü","u"),"ñ","n"),"à","a"),"è","e"),"ì","i"),"ò","o"),"ù","u"),"")</f>
        <v/>
      </c>
      <c r="V608" s="25">
        <f>IF(AND(Q608=1,L608&lt;&gt;""),SUBSTITUTE(SUBSTITUTE(SUBSTITUTE(SUBSTITUTE(SUBSTITUTE(SUBSTITUTE(SUBSTITUTE(SUBSTITUTE(SUBSTITUTE(SUBSTITUTE(SUBSTITUTE(SUBSTITUTE(LOWER(TRIM(L608)),"á","a"),"é","e"),"í","i"),"ó","o"),"ú","u"),"ü","u"),"ñ","n"),"à","a"),"è","e"),"ì","i"),"ò","o"),"ù","u"),"")</f>
        <v/>
      </c>
      <c r="W608" s="25">
        <f>IF(AND(Q608=1,I608&lt;&gt;""),SUBSTITUTE(SUBSTITUTE(SUBSTITUTE(SUBSTITUTE(SUBSTITUTE(SUBSTITUTE(SUBSTITUTE(SUBSTITUTE(SUBSTITUTE(SUBSTITUTE(SUBSTITUTE(SUBSTITUTE(LOWER(TRIM(I608)),"á","a"),"é","e"),"í","i"),"ó","o"),"ú","u"),"ü","u"),"ñ","n"),"à","a"),"è","e"),"ì","i"),"ò","o"),"ù","u"),"")</f>
        <v/>
      </c>
      <c r="X608" s="25">
        <f>IF(U608="","",IF(OR(U608="si, en la proxima tarea",U608="si, con cambios"),1,0))</f>
        <v/>
      </c>
      <c r="Y608" s="25">
        <f>IF(AND(Q608=1,A608&lt;&gt;""),IF(IFERROR(COUNTIFS(A$3:A608,"="&amp;SUBSTITUTE(SUBSTITUTE(SUBSTITUTE(A608,"~","~~"),"*","~*"),"?","~?"),Q$3:Q608,1),0)=1,MAX(Y$2:Y607)+1,""),"")</f>
        <v/>
      </c>
      <c r="Z608" s="25">
        <f>IF(Y608="","",COUNTIFS($A$3:$A$1002,"="&amp;SUBSTITUTE(SUBSTITUTE(SUBSTITUTE(A608,"~","~~"),"*","~*"),"?","~?"),$Q$3:$Q$1002,1)*10000-Y608)</f>
        <v/>
      </c>
    </row>
    <row r="609">
      <c r="A609">
        <f>IF(A$2=0,"",IFERROR(TRIM(INDEX('Pegar docentes'!$A$1:$BZ$1001,608,A$2)&amp;""),""))</f>
        <v/>
      </c>
      <c r="B609">
        <f>IF(B$2=0,"",IFERROR(TRIM(INDEX('Pegar docentes'!$A$1:$BZ$1001,608,B$2)&amp;""),""))</f>
        <v/>
      </c>
      <c r="C609">
        <f>IF(C$2=0,"",IFERROR(TRIM(INDEX('Pegar docentes'!$A$1:$BZ$1001,608,C$2)&amp;""),""))</f>
        <v/>
      </c>
      <c r="D609">
        <f>IF(D$2=0,"",IFERROR(TRIM(INDEX('Pegar docentes'!$A$1:$BZ$1001,608,D$2)&amp;""),""))</f>
        <v/>
      </c>
      <c r="E609">
        <f>IF(E$2=0,"",IFERROR(TRIM(INDEX('Pegar docentes'!$A$1:$BZ$1001,608,E$2)&amp;""),""))</f>
        <v/>
      </c>
      <c r="F609">
        <f>IF(F$2=0,"",IFERROR(TRIM(INDEX('Pegar docentes'!$A$1:$BZ$1001,608,F$2)&amp;""),""))</f>
        <v/>
      </c>
      <c r="G609">
        <f>IF(G$2=0,"",IFERROR(TRIM(INDEX('Pegar docentes'!$A$1:$BZ$1001,608,G$2)&amp;""),""))</f>
        <v/>
      </c>
      <c r="H609">
        <f>IF(H$2=0,"",IFERROR(TRIM(INDEX('Pegar docentes'!$A$1:$BZ$1001,608,H$2)&amp;""),""))</f>
        <v/>
      </c>
      <c r="I609">
        <f>IF(I$2=0,"",IFERROR(TRIM(INDEX('Pegar docentes'!$A$1:$BZ$1001,608,I$2)&amp;""),""))</f>
        <v/>
      </c>
      <c r="J609">
        <f>IF(J$2=0,"",IFERROR(TRIM(INDEX('Pegar docentes'!$A$1:$BZ$1001,608,J$2)&amp;""),""))</f>
        <v/>
      </c>
      <c r="K609">
        <f>IF(K$2=0,"",IFERROR(TRIM(INDEX('Pegar docentes'!$A$1:$BZ$1001,608,K$2)&amp;""),""))</f>
        <v/>
      </c>
      <c r="L609">
        <f>IF(L$2=0,"",IFERROR(TRIM(INDEX('Pegar docentes'!$A$1:$BZ$1001,608,L$2)&amp;""),""))</f>
        <v/>
      </c>
      <c r="M609">
        <f>IF(M$2=0,"",IFERROR(TRIM(INDEX('Pegar docentes'!$A$1:$BZ$1001,608,M$2)&amp;""),""))</f>
        <v/>
      </c>
      <c r="N609">
        <f>IF(N$2=0,"",IFERROR(TRIM(INDEX('Pegar docentes'!$A$1:$BZ$1001,608,N$2)&amp;""),""))</f>
        <v/>
      </c>
      <c r="O609">
        <f>IF(O$2=0,"",IFERROR(TRIM(INDEX('Pegar docentes'!$A$1:$BZ$1001,608,O$2)&amp;""),""))</f>
        <v/>
      </c>
      <c r="P609">
        <f>IF(P$2=0,"",IFERROR(TRIM(INDEX('Pegar docentes'!$A$1:$BZ$1001,608,P$2)&amp;""),""))</f>
        <v/>
      </c>
      <c r="Q609" s="25">
        <f>IF(OR(D609&lt;&gt;"",H609&lt;&gt;""),1,"")</f>
        <v/>
      </c>
      <c r="R609" s="25">
        <f>IF(Q609=1,IF(ISNUMBER(FIND("#"&amp;MID(D609,1,1)&amp;"#","#0#1#2#3#4#5#6#7#8#9#")),IF(ISNUMBER(FIND("#"&amp;MID(D609,2,1)&amp;"#","#0#1#2#3#4#5#6#7#8#9#")),IF(AND(VALUE(LEFT(D609,2))&gt;=1,VALUE(LEFT(D609,2))&lt;=5),VALUE(LEFT(D609,2)),""),IF(AND(VALUE(LEFT(D609,1))&gt;=1,VALUE(LEFT(D609,1))&lt;=5),VALUE(LEFT(D609,1)),"")),""),"")</f>
        <v/>
      </c>
      <c r="S609" s="25">
        <f>IF(AND(Q609=1,E609&lt;&gt;""),SUBSTITUTE(SUBSTITUTE(SUBSTITUTE(SUBSTITUTE(SUBSTITUTE(SUBSTITUTE(SUBSTITUTE(SUBSTITUTE(SUBSTITUTE(SUBSTITUTE(SUBSTITUTE(SUBSTITUTE(LOWER(TRIM(E609)),"á","a"),"é","e"),"í","i"),"ó","o"),"ú","u"),"ü","u"),"ñ","n"),"à","a"),"è","e"),"ì","i"),"ò","o"),"ù","u"),"")</f>
        <v/>
      </c>
      <c r="T609" s="25">
        <f>IF(AND(Q609=1,G609&lt;&gt;""),SUBSTITUTE(SUBSTITUTE(SUBSTITUTE(SUBSTITUTE(SUBSTITUTE(SUBSTITUTE(SUBSTITUTE(SUBSTITUTE(SUBSTITUTE(SUBSTITUTE(SUBSTITUTE(SUBSTITUTE(LOWER(TRIM(G609)),"á","a"),"é","e"),"í","i"),"ó","o"),"ú","u"),"ü","u"),"ñ","n"),"à","a"),"è","e"),"ì","i"),"ò","o"),"ù","u"),"")</f>
        <v/>
      </c>
      <c r="U609" s="25">
        <f>IF(AND(Q609=1,H609&lt;&gt;""),SUBSTITUTE(SUBSTITUTE(SUBSTITUTE(SUBSTITUTE(SUBSTITUTE(SUBSTITUTE(SUBSTITUTE(SUBSTITUTE(SUBSTITUTE(SUBSTITUTE(SUBSTITUTE(SUBSTITUTE(LOWER(TRIM(H609)),"á","a"),"é","e"),"í","i"),"ó","o"),"ú","u"),"ü","u"),"ñ","n"),"à","a"),"è","e"),"ì","i"),"ò","o"),"ù","u"),"")</f>
        <v/>
      </c>
      <c r="V609" s="25">
        <f>IF(AND(Q609=1,L609&lt;&gt;""),SUBSTITUTE(SUBSTITUTE(SUBSTITUTE(SUBSTITUTE(SUBSTITUTE(SUBSTITUTE(SUBSTITUTE(SUBSTITUTE(SUBSTITUTE(SUBSTITUTE(SUBSTITUTE(SUBSTITUTE(LOWER(TRIM(L609)),"á","a"),"é","e"),"í","i"),"ó","o"),"ú","u"),"ü","u"),"ñ","n"),"à","a"),"è","e"),"ì","i"),"ò","o"),"ù","u"),"")</f>
        <v/>
      </c>
      <c r="W609" s="25">
        <f>IF(AND(Q609=1,I609&lt;&gt;""),SUBSTITUTE(SUBSTITUTE(SUBSTITUTE(SUBSTITUTE(SUBSTITUTE(SUBSTITUTE(SUBSTITUTE(SUBSTITUTE(SUBSTITUTE(SUBSTITUTE(SUBSTITUTE(SUBSTITUTE(LOWER(TRIM(I609)),"á","a"),"é","e"),"í","i"),"ó","o"),"ú","u"),"ü","u"),"ñ","n"),"à","a"),"è","e"),"ì","i"),"ò","o"),"ù","u"),"")</f>
        <v/>
      </c>
      <c r="X609" s="25">
        <f>IF(U609="","",IF(OR(U609="si, en la proxima tarea",U609="si, con cambios"),1,0))</f>
        <v/>
      </c>
      <c r="Y609" s="25">
        <f>IF(AND(Q609=1,A609&lt;&gt;""),IF(IFERROR(COUNTIFS(A$3:A609,"="&amp;SUBSTITUTE(SUBSTITUTE(SUBSTITUTE(A609,"~","~~"),"*","~*"),"?","~?"),Q$3:Q609,1),0)=1,MAX(Y$2:Y608)+1,""),"")</f>
        <v/>
      </c>
      <c r="Z609" s="25">
        <f>IF(Y609="","",COUNTIFS($A$3:$A$1002,"="&amp;SUBSTITUTE(SUBSTITUTE(SUBSTITUTE(A609,"~","~~"),"*","~*"),"?","~?"),$Q$3:$Q$1002,1)*10000-Y609)</f>
        <v/>
      </c>
    </row>
    <row r="610">
      <c r="A610">
        <f>IF(A$2=0,"",IFERROR(TRIM(INDEX('Pegar docentes'!$A$1:$BZ$1001,609,A$2)&amp;""),""))</f>
        <v/>
      </c>
      <c r="B610">
        <f>IF(B$2=0,"",IFERROR(TRIM(INDEX('Pegar docentes'!$A$1:$BZ$1001,609,B$2)&amp;""),""))</f>
        <v/>
      </c>
      <c r="C610">
        <f>IF(C$2=0,"",IFERROR(TRIM(INDEX('Pegar docentes'!$A$1:$BZ$1001,609,C$2)&amp;""),""))</f>
        <v/>
      </c>
      <c r="D610">
        <f>IF(D$2=0,"",IFERROR(TRIM(INDEX('Pegar docentes'!$A$1:$BZ$1001,609,D$2)&amp;""),""))</f>
        <v/>
      </c>
      <c r="E610">
        <f>IF(E$2=0,"",IFERROR(TRIM(INDEX('Pegar docentes'!$A$1:$BZ$1001,609,E$2)&amp;""),""))</f>
        <v/>
      </c>
      <c r="F610">
        <f>IF(F$2=0,"",IFERROR(TRIM(INDEX('Pegar docentes'!$A$1:$BZ$1001,609,F$2)&amp;""),""))</f>
        <v/>
      </c>
      <c r="G610">
        <f>IF(G$2=0,"",IFERROR(TRIM(INDEX('Pegar docentes'!$A$1:$BZ$1001,609,G$2)&amp;""),""))</f>
        <v/>
      </c>
      <c r="H610">
        <f>IF(H$2=0,"",IFERROR(TRIM(INDEX('Pegar docentes'!$A$1:$BZ$1001,609,H$2)&amp;""),""))</f>
        <v/>
      </c>
      <c r="I610">
        <f>IF(I$2=0,"",IFERROR(TRIM(INDEX('Pegar docentes'!$A$1:$BZ$1001,609,I$2)&amp;""),""))</f>
        <v/>
      </c>
      <c r="J610">
        <f>IF(J$2=0,"",IFERROR(TRIM(INDEX('Pegar docentes'!$A$1:$BZ$1001,609,J$2)&amp;""),""))</f>
        <v/>
      </c>
      <c r="K610">
        <f>IF(K$2=0,"",IFERROR(TRIM(INDEX('Pegar docentes'!$A$1:$BZ$1001,609,K$2)&amp;""),""))</f>
        <v/>
      </c>
      <c r="L610">
        <f>IF(L$2=0,"",IFERROR(TRIM(INDEX('Pegar docentes'!$A$1:$BZ$1001,609,L$2)&amp;""),""))</f>
        <v/>
      </c>
      <c r="M610">
        <f>IF(M$2=0,"",IFERROR(TRIM(INDEX('Pegar docentes'!$A$1:$BZ$1001,609,M$2)&amp;""),""))</f>
        <v/>
      </c>
      <c r="N610">
        <f>IF(N$2=0,"",IFERROR(TRIM(INDEX('Pegar docentes'!$A$1:$BZ$1001,609,N$2)&amp;""),""))</f>
        <v/>
      </c>
      <c r="O610">
        <f>IF(O$2=0,"",IFERROR(TRIM(INDEX('Pegar docentes'!$A$1:$BZ$1001,609,O$2)&amp;""),""))</f>
        <v/>
      </c>
      <c r="P610">
        <f>IF(P$2=0,"",IFERROR(TRIM(INDEX('Pegar docentes'!$A$1:$BZ$1001,609,P$2)&amp;""),""))</f>
        <v/>
      </c>
      <c r="Q610" s="25">
        <f>IF(OR(D610&lt;&gt;"",H610&lt;&gt;""),1,"")</f>
        <v/>
      </c>
      <c r="R610" s="25">
        <f>IF(Q610=1,IF(ISNUMBER(FIND("#"&amp;MID(D610,1,1)&amp;"#","#0#1#2#3#4#5#6#7#8#9#")),IF(ISNUMBER(FIND("#"&amp;MID(D610,2,1)&amp;"#","#0#1#2#3#4#5#6#7#8#9#")),IF(AND(VALUE(LEFT(D610,2))&gt;=1,VALUE(LEFT(D610,2))&lt;=5),VALUE(LEFT(D610,2)),""),IF(AND(VALUE(LEFT(D610,1))&gt;=1,VALUE(LEFT(D610,1))&lt;=5),VALUE(LEFT(D610,1)),"")),""),"")</f>
        <v/>
      </c>
      <c r="S610" s="25">
        <f>IF(AND(Q610=1,E610&lt;&gt;""),SUBSTITUTE(SUBSTITUTE(SUBSTITUTE(SUBSTITUTE(SUBSTITUTE(SUBSTITUTE(SUBSTITUTE(SUBSTITUTE(SUBSTITUTE(SUBSTITUTE(SUBSTITUTE(SUBSTITUTE(LOWER(TRIM(E610)),"á","a"),"é","e"),"í","i"),"ó","o"),"ú","u"),"ü","u"),"ñ","n"),"à","a"),"è","e"),"ì","i"),"ò","o"),"ù","u"),"")</f>
        <v/>
      </c>
      <c r="T610" s="25">
        <f>IF(AND(Q610=1,G610&lt;&gt;""),SUBSTITUTE(SUBSTITUTE(SUBSTITUTE(SUBSTITUTE(SUBSTITUTE(SUBSTITUTE(SUBSTITUTE(SUBSTITUTE(SUBSTITUTE(SUBSTITUTE(SUBSTITUTE(SUBSTITUTE(LOWER(TRIM(G610)),"á","a"),"é","e"),"í","i"),"ó","o"),"ú","u"),"ü","u"),"ñ","n"),"à","a"),"è","e"),"ì","i"),"ò","o"),"ù","u"),"")</f>
        <v/>
      </c>
      <c r="U610" s="25">
        <f>IF(AND(Q610=1,H610&lt;&gt;""),SUBSTITUTE(SUBSTITUTE(SUBSTITUTE(SUBSTITUTE(SUBSTITUTE(SUBSTITUTE(SUBSTITUTE(SUBSTITUTE(SUBSTITUTE(SUBSTITUTE(SUBSTITUTE(SUBSTITUTE(LOWER(TRIM(H610)),"á","a"),"é","e"),"í","i"),"ó","o"),"ú","u"),"ü","u"),"ñ","n"),"à","a"),"è","e"),"ì","i"),"ò","o"),"ù","u"),"")</f>
        <v/>
      </c>
      <c r="V610" s="25">
        <f>IF(AND(Q610=1,L610&lt;&gt;""),SUBSTITUTE(SUBSTITUTE(SUBSTITUTE(SUBSTITUTE(SUBSTITUTE(SUBSTITUTE(SUBSTITUTE(SUBSTITUTE(SUBSTITUTE(SUBSTITUTE(SUBSTITUTE(SUBSTITUTE(LOWER(TRIM(L610)),"á","a"),"é","e"),"í","i"),"ó","o"),"ú","u"),"ü","u"),"ñ","n"),"à","a"),"è","e"),"ì","i"),"ò","o"),"ù","u"),"")</f>
        <v/>
      </c>
      <c r="W610" s="25">
        <f>IF(AND(Q610=1,I610&lt;&gt;""),SUBSTITUTE(SUBSTITUTE(SUBSTITUTE(SUBSTITUTE(SUBSTITUTE(SUBSTITUTE(SUBSTITUTE(SUBSTITUTE(SUBSTITUTE(SUBSTITUTE(SUBSTITUTE(SUBSTITUTE(LOWER(TRIM(I610)),"á","a"),"é","e"),"í","i"),"ó","o"),"ú","u"),"ü","u"),"ñ","n"),"à","a"),"è","e"),"ì","i"),"ò","o"),"ù","u"),"")</f>
        <v/>
      </c>
      <c r="X610" s="25">
        <f>IF(U610="","",IF(OR(U610="si, en la proxima tarea",U610="si, con cambios"),1,0))</f>
        <v/>
      </c>
      <c r="Y610" s="25">
        <f>IF(AND(Q610=1,A610&lt;&gt;""),IF(IFERROR(COUNTIFS(A$3:A610,"="&amp;SUBSTITUTE(SUBSTITUTE(SUBSTITUTE(A610,"~","~~"),"*","~*"),"?","~?"),Q$3:Q610,1),0)=1,MAX(Y$2:Y609)+1,""),"")</f>
        <v/>
      </c>
      <c r="Z610" s="25">
        <f>IF(Y610="","",COUNTIFS($A$3:$A$1002,"="&amp;SUBSTITUTE(SUBSTITUTE(SUBSTITUTE(A610,"~","~~"),"*","~*"),"?","~?"),$Q$3:$Q$1002,1)*10000-Y610)</f>
        <v/>
      </c>
    </row>
    <row r="611">
      <c r="A611">
        <f>IF(A$2=0,"",IFERROR(TRIM(INDEX('Pegar docentes'!$A$1:$BZ$1001,610,A$2)&amp;""),""))</f>
        <v/>
      </c>
      <c r="B611">
        <f>IF(B$2=0,"",IFERROR(TRIM(INDEX('Pegar docentes'!$A$1:$BZ$1001,610,B$2)&amp;""),""))</f>
        <v/>
      </c>
      <c r="C611">
        <f>IF(C$2=0,"",IFERROR(TRIM(INDEX('Pegar docentes'!$A$1:$BZ$1001,610,C$2)&amp;""),""))</f>
        <v/>
      </c>
      <c r="D611">
        <f>IF(D$2=0,"",IFERROR(TRIM(INDEX('Pegar docentes'!$A$1:$BZ$1001,610,D$2)&amp;""),""))</f>
        <v/>
      </c>
      <c r="E611">
        <f>IF(E$2=0,"",IFERROR(TRIM(INDEX('Pegar docentes'!$A$1:$BZ$1001,610,E$2)&amp;""),""))</f>
        <v/>
      </c>
      <c r="F611">
        <f>IF(F$2=0,"",IFERROR(TRIM(INDEX('Pegar docentes'!$A$1:$BZ$1001,610,F$2)&amp;""),""))</f>
        <v/>
      </c>
      <c r="G611">
        <f>IF(G$2=0,"",IFERROR(TRIM(INDEX('Pegar docentes'!$A$1:$BZ$1001,610,G$2)&amp;""),""))</f>
        <v/>
      </c>
      <c r="H611">
        <f>IF(H$2=0,"",IFERROR(TRIM(INDEX('Pegar docentes'!$A$1:$BZ$1001,610,H$2)&amp;""),""))</f>
        <v/>
      </c>
      <c r="I611">
        <f>IF(I$2=0,"",IFERROR(TRIM(INDEX('Pegar docentes'!$A$1:$BZ$1001,610,I$2)&amp;""),""))</f>
        <v/>
      </c>
      <c r="J611">
        <f>IF(J$2=0,"",IFERROR(TRIM(INDEX('Pegar docentes'!$A$1:$BZ$1001,610,J$2)&amp;""),""))</f>
        <v/>
      </c>
      <c r="K611">
        <f>IF(K$2=0,"",IFERROR(TRIM(INDEX('Pegar docentes'!$A$1:$BZ$1001,610,K$2)&amp;""),""))</f>
        <v/>
      </c>
      <c r="L611">
        <f>IF(L$2=0,"",IFERROR(TRIM(INDEX('Pegar docentes'!$A$1:$BZ$1001,610,L$2)&amp;""),""))</f>
        <v/>
      </c>
      <c r="M611">
        <f>IF(M$2=0,"",IFERROR(TRIM(INDEX('Pegar docentes'!$A$1:$BZ$1001,610,M$2)&amp;""),""))</f>
        <v/>
      </c>
      <c r="N611">
        <f>IF(N$2=0,"",IFERROR(TRIM(INDEX('Pegar docentes'!$A$1:$BZ$1001,610,N$2)&amp;""),""))</f>
        <v/>
      </c>
      <c r="O611">
        <f>IF(O$2=0,"",IFERROR(TRIM(INDEX('Pegar docentes'!$A$1:$BZ$1001,610,O$2)&amp;""),""))</f>
        <v/>
      </c>
      <c r="P611">
        <f>IF(P$2=0,"",IFERROR(TRIM(INDEX('Pegar docentes'!$A$1:$BZ$1001,610,P$2)&amp;""),""))</f>
        <v/>
      </c>
      <c r="Q611" s="25">
        <f>IF(OR(D611&lt;&gt;"",H611&lt;&gt;""),1,"")</f>
        <v/>
      </c>
      <c r="R611" s="25">
        <f>IF(Q611=1,IF(ISNUMBER(FIND("#"&amp;MID(D611,1,1)&amp;"#","#0#1#2#3#4#5#6#7#8#9#")),IF(ISNUMBER(FIND("#"&amp;MID(D611,2,1)&amp;"#","#0#1#2#3#4#5#6#7#8#9#")),IF(AND(VALUE(LEFT(D611,2))&gt;=1,VALUE(LEFT(D611,2))&lt;=5),VALUE(LEFT(D611,2)),""),IF(AND(VALUE(LEFT(D611,1))&gt;=1,VALUE(LEFT(D611,1))&lt;=5),VALUE(LEFT(D611,1)),"")),""),"")</f>
        <v/>
      </c>
      <c r="S611" s="25">
        <f>IF(AND(Q611=1,E611&lt;&gt;""),SUBSTITUTE(SUBSTITUTE(SUBSTITUTE(SUBSTITUTE(SUBSTITUTE(SUBSTITUTE(SUBSTITUTE(SUBSTITUTE(SUBSTITUTE(SUBSTITUTE(SUBSTITUTE(SUBSTITUTE(LOWER(TRIM(E611)),"á","a"),"é","e"),"í","i"),"ó","o"),"ú","u"),"ü","u"),"ñ","n"),"à","a"),"è","e"),"ì","i"),"ò","o"),"ù","u"),"")</f>
        <v/>
      </c>
      <c r="T611" s="25">
        <f>IF(AND(Q611=1,G611&lt;&gt;""),SUBSTITUTE(SUBSTITUTE(SUBSTITUTE(SUBSTITUTE(SUBSTITUTE(SUBSTITUTE(SUBSTITUTE(SUBSTITUTE(SUBSTITUTE(SUBSTITUTE(SUBSTITUTE(SUBSTITUTE(LOWER(TRIM(G611)),"á","a"),"é","e"),"í","i"),"ó","o"),"ú","u"),"ü","u"),"ñ","n"),"à","a"),"è","e"),"ì","i"),"ò","o"),"ù","u"),"")</f>
        <v/>
      </c>
      <c r="U611" s="25">
        <f>IF(AND(Q611=1,H611&lt;&gt;""),SUBSTITUTE(SUBSTITUTE(SUBSTITUTE(SUBSTITUTE(SUBSTITUTE(SUBSTITUTE(SUBSTITUTE(SUBSTITUTE(SUBSTITUTE(SUBSTITUTE(SUBSTITUTE(SUBSTITUTE(LOWER(TRIM(H611)),"á","a"),"é","e"),"í","i"),"ó","o"),"ú","u"),"ü","u"),"ñ","n"),"à","a"),"è","e"),"ì","i"),"ò","o"),"ù","u"),"")</f>
        <v/>
      </c>
      <c r="V611" s="25">
        <f>IF(AND(Q611=1,L611&lt;&gt;""),SUBSTITUTE(SUBSTITUTE(SUBSTITUTE(SUBSTITUTE(SUBSTITUTE(SUBSTITUTE(SUBSTITUTE(SUBSTITUTE(SUBSTITUTE(SUBSTITUTE(SUBSTITUTE(SUBSTITUTE(LOWER(TRIM(L611)),"á","a"),"é","e"),"í","i"),"ó","o"),"ú","u"),"ü","u"),"ñ","n"),"à","a"),"è","e"),"ì","i"),"ò","o"),"ù","u"),"")</f>
        <v/>
      </c>
      <c r="W611" s="25">
        <f>IF(AND(Q611=1,I611&lt;&gt;""),SUBSTITUTE(SUBSTITUTE(SUBSTITUTE(SUBSTITUTE(SUBSTITUTE(SUBSTITUTE(SUBSTITUTE(SUBSTITUTE(SUBSTITUTE(SUBSTITUTE(SUBSTITUTE(SUBSTITUTE(LOWER(TRIM(I611)),"á","a"),"é","e"),"í","i"),"ó","o"),"ú","u"),"ü","u"),"ñ","n"),"à","a"),"è","e"),"ì","i"),"ò","o"),"ù","u"),"")</f>
        <v/>
      </c>
      <c r="X611" s="25">
        <f>IF(U611="","",IF(OR(U611="si, en la proxima tarea",U611="si, con cambios"),1,0))</f>
        <v/>
      </c>
      <c r="Y611" s="25">
        <f>IF(AND(Q611=1,A611&lt;&gt;""),IF(IFERROR(COUNTIFS(A$3:A611,"="&amp;SUBSTITUTE(SUBSTITUTE(SUBSTITUTE(A611,"~","~~"),"*","~*"),"?","~?"),Q$3:Q611,1),0)=1,MAX(Y$2:Y610)+1,""),"")</f>
        <v/>
      </c>
      <c r="Z611" s="25">
        <f>IF(Y611="","",COUNTIFS($A$3:$A$1002,"="&amp;SUBSTITUTE(SUBSTITUTE(SUBSTITUTE(A611,"~","~~"),"*","~*"),"?","~?"),$Q$3:$Q$1002,1)*10000-Y611)</f>
        <v/>
      </c>
    </row>
    <row r="612">
      <c r="A612">
        <f>IF(A$2=0,"",IFERROR(TRIM(INDEX('Pegar docentes'!$A$1:$BZ$1001,611,A$2)&amp;""),""))</f>
        <v/>
      </c>
      <c r="B612">
        <f>IF(B$2=0,"",IFERROR(TRIM(INDEX('Pegar docentes'!$A$1:$BZ$1001,611,B$2)&amp;""),""))</f>
        <v/>
      </c>
      <c r="C612">
        <f>IF(C$2=0,"",IFERROR(TRIM(INDEX('Pegar docentes'!$A$1:$BZ$1001,611,C$2)&amp;""),""))</f>
        <v/>
      </c>
      <c r="D612">
        <f>IF(D$2=0,"",IFERROR(TRIM(INDEX('Pegar docentes'!$A$1:$BZ$1001,611,D$2)&amp;""),""))</f>
        <v/>
      </c>
      <c r="E612">
        <f>IF(E$2=0,"",IFERROR(TRIM(INDEX('Pegar docentes'!$A$1:$BZ$1001,611,E$2)&amp;""),""))</f>
        <v/>
      </c>
      <c r="F612">
        <f>IF(F$2=0,"",IFERROR(TRIM(INDEX('Pegar docentes'!$A$1:$BZ$1001,611,F$2)&amp;""),""))</f>
        <v/>
      </c>
      <c r="G612">
        <f>IF(G$2=0,"",IFERROR(TRIM(INDEX('Pegar docentes'!$A$1:$BZ$1001,611,G$2)&amp;""),""))</f>
        <v/>
      </c>
      <c r="H612">
        <f>IF(H$2=0,"",IFERROR(TRIM(INDEX('Pegar docentes'!$A$1:$BZ$1001,611,H$2)&amp;""),""))</f>
        <v/>
      </c>
      <c r="I612">
        <f>IF(I$2=0,"",IFERROR(TRIM(INDEX('Pegar docentes'!$A$1:$BZ$1001,611,I$2)&amp;""),""))</f>
        <v/>
      </c>
      <c r="J612">
        <f>IF(J$2=0,"",IFERROR(TRIM(INDEX('Pegar docentes'!$A$1:$BZ$1001,611,J$2)&amp;""),""))</f>
        <v/>
      </c>
      <c r="K612">
        <f>IF(K$2=0,"",IFERROR(TRIM(INDEX('Pegar docentes'!$A$1:$BZ$1001,611,K$2)&amp;""),""))</f>
        <v/>
      </c>
      <c r="L612">
        <f>IF(L$2=0,"",IFERROR(TRIM(INDEX('Pegar docentes'!$A$1:$BZ$1001,611,L$2)&amp;""),""))</f>
        <v/>
      </c>
      <c r="M612">
        <f>IF(M$2=0,"",IFERROR(TRIM(INDEX('Pegar docentes'!$A$1:$BZ$1001,611,M$2)&amp;""),""))</f>
        <v/>
      </c>
      <c r="N612">
        <f>IF(N$2=0,"",IFERROR(TRIM(INDEX('Pegar docentes'!$A$1:$BZ$1001,611,N$2)&amp;""),""))</f>
        <v/>
      </c>
      <c r="O612">
        <f>IF(O$2=0,"",IFERROR(TRIM(INDEX('Pegar docentes'!$A$1:$BZ$1001,611,O$2)&amp;""),""))</f>
        <v/>
      </c>
      <c r="P612">
        <f>IF(P$2=0,"",IFERROR(TRIM(INDEX('Pegar docentes'!$A$1:$BZ$1001,611,P$2)&amp;""),""))</f>
        <v/>
      </c>
      <c r="Q612" s="25">
        <f>IF(OR(D612&lt;&gt;"",H612&lt;&gt;""),1,"")</f>
        <v/>
      </c>
      <c r="R612" s="25">
        <f>IF(Q612=1,IF(ISNUMBER(FIND("#"&amp;MID(D612,1,1)&amp;"#","#0#1#2#3#4#5#6#7#8#9#")),IF(ISNUMBER(FIND("#"&amp;MID(D612,2,1)&amp;"#","#0#1#2#3#4#5#6#7#8#9#")),IF(AND(VALUE(LEFT(D612,2))&gt;=1,VALUE(LEFT(D612,2))&lt;=5),VALUE(LEFT(D612,2)),""),IF(AND(VALUE(LEFT(D612,1))&gt;=1,VALUE(LEFT(D612,1))&lt;=5),VALUE(LEFT(D612,1)),"")),""),"")</f>
        <v/>
      </c>
      <c r="S612" s="25">
        <f>IF(AND(Q612=1,E612&lt;&gt;""),SUBSTITUTE(SUBSTITUTE(SUBSTITUTE(SUBSTITUTE(SUBSTITUTE(SUBSTITUTE(SUBSTITUTE(SUBSTITUTE(SUBSTITUTE(SUBSTITUTE(SUBSTITUTE(SUBSTITUTE(LOWER(TRIM(E612)),"á","a"),"é","e"),"í","i"),"ó","o"),"ú","u"),"ü","u"),"ñ","n"),"à","a"),"è","e"),"ì","i"),"ò","o"),"ù","u"),"")</f>
        <v/>
      </c>
      <c r="T612" s="25">
        <f>IF(AND(Q612=1,G612&lt;&gt;""),SUBSTITUTE(SUBSTITUTE(SUBSTITUTE(SUBSTITUTE(SUBSTITUTE(SUBSTITUTE(SUBSTITUTE(SUBSTITUTE(SUBSTITUTE(SUBSTITUTE(SUBSTITUTE(SUBSTITUTE(LOWER(TRIM(G612)),"á","a"),"é","e"),"í","i"),"ó","o"),"ú","u"),"ü","u"),"ñ","n"),"à","a"),"è","e"),"ì","i"),"ò","o"),"ù","u"),"")</f>
        <v/>
      </c>
      <c r="U612" s="25">
        <f>IF(AND(Q612=1,H612&lt;&gt;""),SUBSTITUTE(SUBSTITUTE(SUBSTITUTE(SUBSTITUTE(SUBSTITUTE(SUBSTITUTE(SUBSTITUTE(SUBSTITUTE(SUBSTITUTE(SUBSTITUTE(SUBSTITUTE(SUBSTITUTE(LOWER(TRIM(H612)),"á","a"),"é","e"),"í","i"),"ó","o"),"ú","u"),"ü","u"),"ñ","n"),"à","a"),"è","e"),"ì","i"),"ò","o"),"ù","u"),"")</f>
        <v/>
      </c>
      <c r="V612" s="25">
        <f>IF(AND(Q612=1,L612&lt;&gt;""),SUBSTITUTE(SUBSTITUTE(SUBSTITUTE(SUBSTITUTE(SUBSTITUTE(SUBSTITUTE(SUBSTITUTE(SUBSTITUTE(SUBSTITUTE(SUBSTITUTE(SUBSTITUTE(SUBSTITUTE(LOWER(TRIM(L612)),"á","a"),"é","e"),"í","i"),"ó","o"),"ú","u"),"ü","u"),"ñ","n"),"à","a"),"è","e"),"ì","i"),"ò","o"),"ù","u"),"")</f>
        <v/>
      </c>
      <c r="W612" s="25">
        <f>IF(AND(Q612=1,I612&lt;&gt;""),SUBSTITUTE(SUBSTITUTE(SUBSTITUTE(SUBSTITUTE(SUBSTITUTE(SUBSTITUTE(SUBSTITUTE(SUBSTITUTE(SUBSTITUTE(SUBSTITUTE(SUBSTITUTE(SUBSTITUTE(LOWER(TRIM(I612)),"á","a"),"é","e"),"í","i"),"ó","o"),"ú","u"),"ü","u"),"ñ","n"),"à","a"),"è","e"),"ì","i"),"ò","o"),"ù","u"),"")</f>
        <v/>
      </c>
      <c r="X612" s="25">
        <f>IF(U612="","",IF(OR(U612="si, en la proxima tarea",U612="si, con cambios"),1,0))</f>
        <v/>
      </c>
      <c r="Y612" s="25">
        <f>IF(AND(Q612=1,A612&lt;&gt;""),IF(IFERROR(COUNTIFS(A$3:A612,"="&amp;SUBSTITUTE(SUBSTITUTE(SUBSTITUTE(A612,"~","~~"),"*","~*"),"?","~?"),Q$3:Q612,1),0)=1,MAX(Y$2:Y611)+1,""),"")</f>
        <v/>
      </c>
      <c r="Z612" s="25">
        <f>IF(Y612="","",COUNTIFS($A$3:$A$1002,"="&amp;SUBSTITUTE(SUBSTITUTE(SUBSTITUTE(A612,"~","~~"),"*","~*"),"?","~?"),$Q$3:$Q$1002,1)*10000-Y612)</f>
        <v/>
      </c>
    </row>
    <row r="613">
      <c r="A613">
        <f>IF(A$2=0,"",IFERROR(TRIM(INDEX('Pegar docentes'!$A$1:$BZ$1001,612,A$2)&amp;""),""))</f>
        <v/>
      </c>
      <c r="B613">
        <f>IF(B$2=0,"",IFERROR(TRIM(INDEX('Pegar docentes'!$A$1:$BZ$1001,612,B$2)&amp;""),""))</f>
        <v/>
      </c>
      <c r="C613">
        <f>IF(C$2=0,"",IFERROR(TRIM(INDEX('Pegar docentes'!$A$1:$BZ$1001,612,C$2)&amp;""),""))</f>
        <v/>
      </c>
      <c r="D613">
        <f>IF(D$2=0,"",IFERROR(TRIM(INDEX('Pegar docentes'!$A$1:$BZ$1001,612,D$2)&amp;""),""))</f>
        <v/>
      </c>
      <c r="E613">
        <f>IF(E$2=0,"",IFERROR(TRIM(INDEX('Pegar docentes'!$A$1:$BZ$1001,612,E$2)&amp;""),""))</f>
        <v/>
      </c>
      <c r="F613">
        <f>IF(F$2=0,"",IFERROR(TRIM(INDEX('Pegar docentes'!$A$1:$BZ$1001,612,F$2)&amp;""),""))</f>
        <v/>
      </c>
      <c r="G613">
        <f>IF(G$2=0,"",IFERROR(TRIM(INDEX('Pegar docentes'!$A$1:$BZ$1001,612,G$2)&amp;""),""))</f>
        <v/>
      </c>
      <c r="H613">
        <f>IF(H$2=0,"",IFERROR(TRIM(INDEX('Pegar docentes'!$A$1:$BZ$1001,612,H$2)&amp;""),""))</f>
        <v/>
      </c>
      <c r="I613">
        <f>IF(I$2=0,"",IFERROR(TRIM(INDEX('Pegar docentes'!$A$1:$BZ$1001,612,I$2)&amp;""),""))</f>
        <v/>
      </c>
      <c r="J613">
        <f>IF(J$2=0,"",IFERROR(TRIM(INDEX('Pegar docentes'!$A$1:$BZ$1001,612,J$2)&amp;""),""))</f>
        <v/>
      </c>
      <c r="K613">
        <f>IF(K$2=0,"",IFERROR(TRIM(INDEX('Pegar docentes'!$A$1:$BZ$1001,612,K$2)&amp;""),""))</f>
        <v/>
      </c>
      <c r="L613">
        <f>IF(L$2=0,"",IFERROR(TRIM(INDEX('Pegar docentes'!$A$1:$BZ$1001,612,L$2)&amp;""),""))</f>
        <v/>
      </c>
      <c r="M613">
        <f>IF(M$2=0,"",IFERROR(TRIM(INDEX('Pegar docentes'!$A$1:$BZ$1001,612,M$2)&amp;""),""))</f>
        <v/>
      </c>
      <c r="N613">
        <f>IF(N$2=0,"",IFERROR(TRIM(INDEX('Pegar docentes'!$A$1:$BZ$1001,612,N$2)&amp;""),""))</f>
        <v/>
      </c>
      <c r="O613">
        <f>IF(O$2=0,"",IFERROR(TRIM(INDEX('Pegar docentes'!$A$1:$BZ$1001,612,O$2)&amp;""),""))</f>
        <v/>
      </c>
      <c r="P613">
        <f>IF(P$2=0,"",IFERROR(TRIM(INDEX('Pegar docentes'!$A$1:$BZ$1001,612,P$2)&amp;""),""))</f>
        <v/>
      </c>
      <c r="Q613" s="25">
        <f>IF(OR(D613&lt;&gt;"",H613&lt;&gt;""),1,"")</f>
        <v/>
      </c>
      <c r="R613" s="25">
        <f>IF(Q613=1,IF(ISNUMBER(FIND("#"&amp;MID(D613,1,1)&amp;"#","#0#1#2#3#4#5#6#7#8#9#")),IF(ISNUMBER(FIND("#"&amp;MID(D613,2,1)&amp;"#","#0#1#2#3#4#5#6#7#8#9#")),IF(AND(VALUE(LEFT(D613,2))&gt;=1,VALUE(LEFT(D613,2))&lt;=5),VALUE(LEFT(D613,2)),""),IF(AND(VALUE(LEFT(D613,1))&gt;=1,VALUE(LEFT(D613,1))&lt;=5),VALUE(LEFT(D613,1)),"")),""),"")</f>
        <v/>
      </c>
      <c r="S613" s="25">
        <f>IF(AND(Q613=1,E613&lt;&gt;""),SUBSTITUTE(SUBSTITUTE(SUBSTITUTE(SUBSTITUTE(SUBSTITUTE(SUBSTITUTE(SUBSTITUTE(SUBSTITUTE(SUBSTITUTE(SUBSTITUTE(SUBSTITUTE(SUBSTITUTE(LOWER(TRIM(E613)),"á","a"),"é","e"),"í","i"),"ó","o"),"ú","u"),"ü","u"),"ñ","n"),"à","a"),"è","e"),"ì","i"),"ò","o"),"ù","u"),"")</f>
        <v/>
      </c>
      <c r="T613" s="25">
        <f>IF(AND(Q613=1,G613&lt;&gt;""),SUBSTITUTE(SUBSTITUTE(SUBSTITUTE(SUBSTITUTE(SUBSTITUTE(SUBSTITUTE(SUBSTITUTE(SUBSTITUTE(SUBSTITUTE(SUBSTITUTE(SUBSTITUTE(SUBSTITUTE(LOWER(TRIM(G613)),"á","a"),"é","e"),"í","i"),"ó","o"),"ú","u"),"ü","u"),"ñ","n"),"à","a"),"è","e"),"ì","i"),"ò","o"),"ù","u"),"")</f>
        <v/>
      </c>
      <c r="U613" s="25">
        <f>IF(AND(Q613=1,H613&lt;&gt;""),SUBSTITUTE(SUBSTITUTE(SUBSTITUTE(SUBSTITUTE(SUBSTITUTE(SUBSTITUTE(SUBSTITUTE(SUBSTITUTE(SUBSTITUTE(SUBSTITUTE(SUBSTITUTE(SUBSTITUTE(LOWER(TRIM(H613)),"á","a"),"é","e"),"í","i"),"ó","o"),"ú","u"),"ü","u"),"ñ","n"),"à","a"),"è","e"),"ì","i"),"ò","o"),"ù","u"),"")</f>
        <v/>
      </c>
      <c r="V613" s="25">
        <f>IF(AND(Q613=1,L613&lt;&gt;""),SUBSTITUTE(SUBSTITUTE(SUBSTITUTE(SUBSTITUTE(SUBSTITUTE(SUBSTITUTE(SUBSTITUTE(SUBSTITUTE(SUBSTITUTE(SUBSTITUTE(SUBSTITUTE(SUBSTITUTE(LOWER(TRIM(L613)),"á","a"),"é","e"),"í","i"),"ó","o"),"ú","u"),"ü","u"),"ñ","n"),"à","a"),"è","e"),"ì","i"),"ò","o"),"ù","u"),"")</f>
        <v/>
      </c>
      <c r="W613" s="25">
        <f>IF(AND(Q613=1,I613&lt;&gt;""),SUBSTITUTE(SUBSTITUTE(SUBSTITUTE(SUBSTITUTE(SUBSTITUTE(SUBSTITUTE(SUBSTITUTE(SUBSTITUTE(SUBSTITUTE(SUBSTITUTE(SUBSTITUTE(SUBSTITUTE(LOWER(TRIM(I613)),"á","a"),"é","e"),"í","i"),"ó","o"),"ú","u"),"ü","u"),"ñ","n"),"à","a"),"è","e"),"ì","i"),"ò","o"),"ù","u"),"")</f>
        <v/>
      </c>
      <c r="X613" s="25">
        <f>IF(U613="","",IF(OR(U613="si, en la proxima tarea",U613="si, con cambios"),1,0))</f>
        <v/>
      </c>
      <c r="Y613" s="25">
        <f>IF(AND(Q613=1,A613&lt;&gt;""),IF(IFERROR(COUNTIFS(A$3:A613,"="&amp;SUBSTITUTE(SUBSTITUTE(SUBSTITUTE(A613,"~","~~"),"*","~*"),"?","~?"),Q$3:Q613,1),0)=1,MAX(Y$2:Y612)+1,""),"")</f>
        <v/>
      </c>
      <c r="Z613" s="25">
        <f>IF(Y613="","",COUNTIFS($A$3:$A$1002,"="&amp;SUBSTITUTE(SUBSTITUTE(SUBSTITUTE(A613,"~","~~"),"*","~*"),"?","~?"),$Q$3:$Q$1002,1)*10000-Y613)</f>
        <v/>
      </c>
    </row>
    <row r="614">
      <c r="A614">
        <f>IF(A$2=0,"",IFERROR(TRIM(INDEX('Pegar docentes'!$A$1:$BZ$1001,613,A$2)&amp;""),""))</f>
        <v/>
      </c>
      <c r="B614">
        <f>IF(B$2=0,"",IFERROR(TRIM(INDEX('Pegar docentes'!$A$1:$BZ$1001,613,B$2)&amp;""),""))</f>
        <v/>
      </c>
      <c r="C614">
        <f>IF(C$2=0,"",IFERROR(TRIM(INDEX('Pegar docentes'!$A$1:$BZ$1001,613,C$2)&amp;""),""))</f>
        <v/>
      </c>
      <c r="D614">
        <f>IF(D$2=0,"",IFERROR(TRIM(INDEX('Pegar docentes'!$A$1:$BZ$1001,613,D$2)&amp;""),""))</f>
        <v/>
      </c>
      <c r="E614">
        <f>IF(E$2=0,"",IFERROR(TRIM(INDEX('Pegar docentes'!$A$1:$BZ$1001,613,E$2)&amp;""),""))</f>
        <v/>
      </c>
      <c r="F614">
        <f>IF(F$2=0,"",IFERROR(TRIM(INDEX('Pegar docentes'!$A$1:$BZ$1001,613,F$2)&amp;""),""))</f>
        <v/>
      </c>
      <c r="G614">
        <f>IF(G$2=0,"",IFERROR(TRIM(INDEX('Pegar docentes'!$A$1:$BZ$1001,613,G$2)&amp;""),""))</f>
        <v/>
      </c>
      <c r="H614">
        <f>IF(H$2=0,"",IFERROR(TRIM(INDEX('Pegar docentes'!$A$1:$BZ$1001,613,H$2)&amp;""),""))</f>
        <v/>
      </c>
      <c r="I614">
        <f>IF(I$2=0,"",IFERROR(TRIM(INDEX('Pegar docentes'!$A$1:$BZ$1001,613,I$2)&amp;""),""))</f>
        <v/>
      </c>
      <c r="J614">
        <f>IF(J$2=0,"",IFERROR(TRIM(INDEX('Pegar docentes'!$A$1:$BZ$1001,613,J$2)&amp;""),""))</f>
        <v/>
      </c>
      <c r="K614">
        <f>IF(K$2=0,"",IFERROR(TRIM(INDEX('Pegar docentes'!$A$1:$BZ$1001,613,K$2)&amp;""),""))</f>
        <v/>
      </c>
      <c r="L614">
        <f>IF(L$2=0,"",IFERROR(TRIM(INDEX('Pegar docentes'!$A$1:$BZ$1001,613,L$2)&amp;""),""))</f>
        <v/>
      </c>
      <c r="M614">
        <f>IF(M$2=0,"",IFERROR(TRIM(INDEX('Pegar docentes'!$A$1:$BZ$1001,613,M$2)&amp;""),""))</f>
        <v/>
      </c>
      <c r="N614">
        <f>IF(N$2=0,"",IFERROR(TRIM(INDEX('Pegar docentes'!$A$1:$BZ$1001,613,N$2)&amp;""),""))</f>
        <v/>
      </c>
      <c r="O614">
        <f>IF(O$2=0,"",IFERROR(TRIM(INDEX('Pegar docentes'!$A$1:$BZ$1001,613,O$2)&amp;""),""))</f>
        <v/>
      </c>
      <c r="P614">
        <f>IF(P$2=0,"",IFERROR(TRIM(INDEX('Pegar docentes'!$A$1:$BZ$1001,613,P$2)&amp;""),""))</f>
        <v/>
      </c>
      <c r="Q614" s="25">
        <f>IF(OR(D614&lt;&gt;"",H614&lt;&gt;""),1,"")</f>
        <v/>
      </c>
      <c r="R614" s="25">
        <f>IF(Q614=1,IF(ISNUMBER(FIND("#"&amp;MID(D614,1,1)&amp;"#","#0#1#2#3#4#5#6#7#8#9#")),IF(ISNUMBER(FIND("#"&amp;MID(D614,2,1)&amp;"#","#0#1#2#3#4#5#6#7#8#9#")),IF(AND(VALUE(LEFT(D614,2))&gt;=1,VALUE(LEFT(D614,2))&lt;=5),VALUE(LEFT(D614,2)),""),IF(AND(VALUE(LEFT(D614,1))&gt;=1,VALUE(LEFT(D614,1))&lt;=5),VALUE(LEFT(D614,1)),"")),""),"")</f>
        <v/>
      </c>
      <c r="S614" s="25">
        <f>IF(AND(Q614=1,E614&lt;&gt;""),SUBSTITUTE(SUBSTITUTE(SUBSTITUTE(SUBSTITUTE(SUBSTITUTE(SUBSTITUTE(SUBSTITUTE(SUBSTITUTE(SUBSTITUTE(SUBSTITUTE(SUBSTITUTE(SUBSTITUTE(LOWER(TRIM(E614)),"á","a"),"é","e"),"í","i"),"ó","o"),"ú","u"),"ü","u"),"ñ","n"),"à","a"),"è","e"),"ì","i"),"ò","o"),"ù","u"),"")</f>
        <v/>
      </c>
      <c r="T614" s="25">
        <f>IF(AND(Q614=1,G614&lt;&gt;""),SUBSTITUTE(SUBSTITUTE(SUBSTITUTE(SUBSTITUTE(SUBSTITUTE(SUBSTITUTE(SUBSTITUTE(SUBSTITUTE(SUBSTITUTE(SUBSTITUTE(SUBSTITUTE(SUBSTITUTE(LOWER(TRIM(G614)),"á","a"),"é","e"),"í","i"),"ó","o"),"ú","u"),"ü","u"),"ñ","n"),"à","a"),"è","e"),"ì","i"),"ò","o"),"ù","u"),"")</f>
        <v/>
      </c>
      <c r="U614" s="25">
        <f>IF(AND(Q614=1,H614&lt;&gt;""),SUBSTITUTE(SUBSTITUTE(SUBSTITUTE(SUBSTITUTE(SUBSTITUTE(SUBSTITUTE(SUBSTITUTE(SUBSTITUTE(SUBSTITUTE(SUBSTITUTE(SUBSTITUTE(SUBSTITUTE(LOWER(TRIM(H614)),"á","a"),"é","e"),"í","i"),"ó","o"),"ú","u"),"ü","u"),"ñ","n"),"à","a"),"è","e"),"ì","i"),"ò","o"),"ù","u"),"")</f>
        <v/>
      </c>
      <c r="V614" s="25">
        <f>IF(AND(Q614=1,L614&lt;&gt;""),SUBSTITUTE(SUBSTITUTE(SUBSTITUTE(SUBSTITUTE(SUBSTITUTE(SUBSTITUTE(SUBSTITUTE(SUBSTITUTE(SUBSTITUTE(SUBSTITUTE(SUBSTITUTE(SUBSTITUTE(LOWER(TRIM(L614)),"á","a"),"é","e"),"í","i"),"ó","o"),"ú","u"),"ü","u"),"ñ","n"),"à","a"),"è","e"),"ì","i"),"ò","o"),"ù","u"),"")</f>
        <v/>
      </c>
      <c r="W614" s="25">
        <f>IF(AND(Q614=1,I614&lt;&gt;""),SUBSTITUTE(SUBSTITUTE(SUBSTITUTE(SUBSTITUTE(SUBSTITUTE(SUBSTITUTE(SUBSTITUTE(SUBSTITUTE(SUBSTITUTE(SUBSTITUTE(SUBSTITUTE(SUBSTITUTE(LOWER(TRIM(I614)),"á","a"),"é","e"),"í","i"),"ó","o"),"ú","u"),"ü","u"),"ñ","n"),"à","a"),"è","e"),"ì","i"),"ò","o"),"ù","u"),"")</f>
        <v/>
      </c>
      <c r="X614" s="25">
        <f>IF(U614="","",IF(OR(U614="si, en la proxima tarea",U614="si, con cambios"),1,0))</f>
        <v/>
      </c>
      <c r="Y614" s="25">
        <f>IF(AND(Q614=1,A614&lt;&gt;""),IF(IFERROR(COUNTIFS(A$3:A614,"="&amp;SUBSTITUTE(SUBSTITUTE(SUBSTITUTE(A614,"~","~~"),"*","~*"),"?","~?"),Q$3:Q614,1),0)=1,MAX(Y$2:Y613)+1,""),"")</f>
        <v/>
      </c>
      <c r="Z614" s="25">
        <f>IF(Y614="","",COUNTIFS($A$3:$A$1002,"="&amp;SUBSTITUTE(SUBSTITUTE(SUBSTITUTE(A614,"~","~~"),"*","~*"),"?","~?"),$Q$3:$Q$1002,1)*10000-Y614)</f>
        <v/>
      </c>
    </row>
    <row r="615">
      <c r="A615">
        <f>IF(A$2=0,"",IFERROR(TRIM(INDEX('Pegar docentes'!$A$1:$BZ$1001,614,A$2)&amp;""),""))</f>
        <v/>
      </c>
      <c r="B615">
        <f>IF(B$2=0,"",IFERROR(TRIM(INDEX('Pegar docentes'!$A$1:$BZ$1001,614,B$2)&amp;""),""))</f>
        <v/>
      </c>
      <c r="C615">
        <f>IF(C$2=0,"",IFERROR(TRIM(INDEX('Pegar docentes'!$A$1:$BZ$1001,614,C$2)&amp;""),""))</f>
        <v/>
      </c>
      <c r="D615">
        <f>IF(D$2=0,"",IFERROR(TRIM(INDEX('Pegar docentes'!$A$1:$BZ$1001,614,D$2)&amp;""),""))</f>
        <v/>
      </c>
      <c r="E615">
        <f>IF(E$2=0,"",IFERROR(TRIM(INDEX('Pegar docentes'!$A$1:$BZ$1001,614,E$2)&amp;""),""))</f>
        <v/>
      </c>
      <c r="F615">
        <f>IF(F$2=0,"",IFERROR(TRIM(INDEX('Pegar docentes'!$A$1:$BZ$1001,614,F$2)&amp;""),""))</f>
        <v/>
      </c>
      <c r="G615">
        <f>IF(G$2=0,"",IFERROR(TRIM(INDEX('Pegar docentes'!$A$1:$BZ$1001,614,G$2)&amp;""),""))</f>
        <v/>
      </c>
      <c r="H615">
        <f>IF(H$2=0,"",IFERROR(TRIM(INDEX('Pegar docentes'!$A$1:$BZ$1001,614,H$2)&amp;""),""))</f>
        <v/>
      </c>
      <c r="I615">
        <f>IF(I$2=0,"",IFERROR(TRIM(INDEX('Pegar docentes'!$A$1:$BZ$1001,614,I$2)&amp;""),""))</f>
        <v/>
      </c>
      <c r="J615">
        <f>IF(J$2=0,"",IFERROR(TRIM(INDEX('Pegar docentes'!$A$1:$BZ$1001,614,J$2)&amp;""),""))</f>
        <v/>
      </c>
      <c r="K615">
        <f>IF(K$2=0,"",IFERROR(TRIM(INDEX('Pegar docentes'!$A$1:$BZ$1001,614,K$2)&amp;""),""))</f>
        <v/>
      </c>
      <c r="L615">
        <f>IF(L$2=0,"",IFERROR(TRIM(INDEX('Pegar docentes'!$A$1:$BZ$1001,614,L$2)&amp;""),""))</f>
        <v/>
      </c>
      <c r="M615">
        <f>IF(M$2=0,"",IFERROR(TRIM(INDEX('Pegar docentes'!$A$1:$BZ$1001,614,M$2)&amp;""),""))</f>
        <v/>
      </c>
      <c r="N615">
        <f>IF(N$2=0,"",IFERROR(TRIM(INDEX('Pegar docentes'!$A$1:$BZ$1001,614,N$2)&amp;""),""))</f>
        <v/>
      </c>
      <c r="O615">
        <f>IF(O$2=0,"",IFERROR(TRIM(INDEX('Pegar docentes'!$A$1:$BZ$1001,614,O$2)&amp;""),""))</f>
        <v/>
      </c>
      <c r="P615">
        <f>IF(P$2=0,"",IFERROR(TRIM(INDEX('Pegar docentes'!$A$1:$BZ$1001,614,P$2)&amp;""),""))</f>
        <v/>
      </c>
      <c r="Q615" s="25">
        <f>IF(OR(D615&lt;&gt;"",H615&lt;&gt;""),1,"")</f>
        <v/>
      </c>
      <c r="R615" s="25">
        <f>IF(Q615=1,IF(ISNUMBER(FIND("#"&amp;MID(D615,1,1)&amp;"#","#0#1#2#3#4#5#6#7#8#9#")),IF(ISNUMBER(FIND("#"&amp;MID(D615,2,1)&amp;"#","#0#1#2#3#4#5#6#7#8#9#")),IF(AND(VALUE(LEFT(D615,2))&gt;=1,VALUE(LEFT(D615,2))&lt;=5),VALUE(LEFT(D615,2)),""),IF(AND(VALUE(LEFT(D615,1))&gt;=1,VALUE(LEFT(D615,1))&lt;=5),VALUE(LEFT(D615,1)),"")),""),"")</f>
        <v/>
      </c>
      <c r="S615" s="25">
        <f>IF(AND(Q615=1,E615&lt;&gt;""),SUBSTITUTE(SUBSTITUTE(SUBSTITUTE(SUBSTITUTE(SUBSTITUTE(SUBSTITUTE(SUBSTITUTE(SUBSTITUTE(SUBSTITUTE(SUBSTITUTE(SUBSTITUTE(SUBSTITUTE(LOWER(TRIM(E615)),"á","a"),"é","e"),"í","i"),"ó","o"),"ú","u"),"ü","u"),"ñ","n"),"à","a"),"è","e"),"ì","i"),"ò","o"),"ù","u"),"")</f>
        <v/>
      </c>
      <c r="T615" s="25">
        <f>IF(AND(Q615=1,G615&lt;&gt;""),SUBSTITUTE(SUBSTITUTE(SUBSTITUTE(SUBSTITUTE(SUBSTITUTE(SUBSTITUTE(SUBSTITUTE(SUBSTITUTE(SUBSTITUTE(SUBSTITUTE(SUBSTITUTE(SUBSTITUTE(LOWER(TRIM(G615)),"á","a"),"é","e"),"í","i"),"ó","o"),"ú","u"),"ü","u"),"ñ","n"),"à","a"),"è","e"),"ì","i"),"ò","o"),"ù","u"),"")</f>
        <v/>
      </c>
      <c r="U615" s="25">
        <f>IF(AND(Q615=1,H615&lt;&gt;""),SUBSTITUTE(SUBSTITUTE(SUBSTITUTE(SUBSTITUTE(SUBSTITUTE(SUBSTITUTE(SUBSTITUTE(SUBSTITUTE(SUBSTITUTE(SUBSTITUTE(SUBSTITUTE(SUBSTITUTE(LOWER(TRIM(H615)),"á","a"),"é","e"),"í","i"),"ó","o"),"ú","u"),"ü","u"),"ñ","n"),"à","a"),"è","e"),"ì","i"),"ò","o"),"ù","u"),"")</f>
        <v/>
      </c>
      <c r="V615" s="25">
        <f>IF(AND(Q615=1,L615&lt;&gt;""),SUBSTITUTE(SUBSTITUTE(SUBSTITUTE(SUBSTITUTE(SUBSTITUTE(SUBSTITUTE(SUBSTITUTE(SUBSTITUTE(SUBSTITUTE(SUBSTITUTE(SUBSTITUTE(SUBSTITUTE(LOWER(TRIM(L615)),"á","a"),"é","e"),"í","i"),"ó","o"),"ú","u"),"ü","u"),"ñ","n"),"à","a"),"è","e"),"ì","i"),"ò","o"),"ù","u"),"")</f>
        <v/>
      </c>
      <c r="W615" s="25">
        <f>IF(AND(Q615=1,I615&lt;&gt;""),SUBSTITUTE(SUBSTITUTE(SUBSTITUTE(SUBSTITUTE(SUBSTITUTE(SUBSTITUTE(SUBSTITUTE(SUBSTITUTE(SUBSTITUTE(SUBSTITUTE(SUBSTITUTE(SUBSTITUTE(LOWER(TRIM(I615)),"á","a"),"é","e"),"í","i"),"ó","o"),"ú","u"),"ü","u"),"ñ","n"),"à","a"),"è","e"),"ì","i"),"ò","o"),"ù","u"),"")</f>
        <v/>
      </c>
      <c r="X615" s="25">
        <f>IF(U615="","",IF(OR(U615="si, en la proxima tarea",U615="si, con cambios"),1,0))</f>
        <v/>
      </c>
      <c r="Y615" s="25">
        <f>IF(AND(Q615=1,A615&lt;&gt;""),IF(IFERROR(COUNTIFS(A$3:A615,"="&amp;SUBSTITUTE(SUBSTITUTE(SUBSTITUTE(A615,"~","~~"),"*","~*"),"?","~?"),Q$3:Q615,1),0)=1,MAX(Y$2:Y614)+1,""),"")</f>
        <v/>
      </c>
      <c r="Z615" s="25">
        <f>IF(Y615="","",COUNTIFS($A$3:$A$1002,"="&amp;SUBSTITUTE(SUBSTITUTE(SUBSTITUTE(A615,"~","~~"),"*","~*"),"?","~?"),$Q$3:$Q$1002,1)*10000-Y615)</f>
        <v/>
      </c>
    </row>
    <row r="616">
      <c r="A616">
        <f>IF(A$2=0,"",IFERROR(TRIM(INDEX('Pegar docentes'!$A$1:$BZ$1001,615,A$2)&amp;""),""))</f>
        <v/>
      </c>
      <c r="B616">
        <f>IF(B$2=0,"",IFERROR(TRIM(INDEX('Pegar docentes'!$A$1:$BZ$1001,615,B$2)&amp;""),""))</f>
        <v/>
      </c>
      <c r="C616">
        <f>IF(C$2=0,"",IFERROR(TRIM(INDEX('Pegar docentes'!$A$1:$BZ$1001,615,C$2)&amp;""),""))</f>
        <v/>
      </c>
      <c r="D616">
        <f>IF(D$2=0,"",IFERROR(TRIM(INDEX('Pegar docentes'!$A$1:$BZ$1001,615,D$2)&amp;""),""))</f>
        <v/>
      </c>
      <c r="E616">
        <f>IF(E$2=0,"",IFERROR(TRIM(INDEX('Pegar docentes'!$A$1:$BZ$1001,615,E$2)&amp;""),""))</f>
        <v/>
      </c>
      <c r="F616">
        <f>IF(F$2=0,"",IFERROR(TRIM(INDEX('Pegar docentes'!$A$1:$BZ$1001,615,F$2)&amp;""),""))</f>
        <v/>
      </c>
      <c r="G616">
        <f>IF(G$2=0,"",IFERROR(TRIM(INDEX('Pegar docentes'!$A$1:$BZ$1001,615,G$2)&amp;""),""))</f>
        <v/>
      </c>
      <c r="H616">
        <f>IF(H$2=0,"",IFERROR(TRIM(INDEX('Pegar docentes'!$A$1:$BZ$1001,615,H$2)&amp;""),""))</f>
        <v/>
      </c>
      <c r="I616">
        <f>IF(I$2=0,"",IFERROR(TRIM(INDEX('Pegar docentes'!$A$1:$BZ$1001,615,I$2)&amp;""),""))</f>
        <v/>
      </c>
      <c r="J616">
        <f>IF(J$2=0,"",IFERROR(TRIM(INDEX('Pegar docentes'!$A$1:$BZ$1001,615,J$2)&amp;""),""))</f>
        <v/>
      </c>
      <c r="K616">
        <f>IF(K$2=0,"",IFERROR(TRIM(INDEX('Pegar docentes'!$A$1:$BZ$1001,615,K$2)&amp;""),""))</f>
        <v/>
      </c>
      <c r="L616">
        <f>IF(L$2=0,"",IFERROR(TRIM(INDEX('Pegar docentes'!$A$1:$BZ$1001,615,L$2)&amp;""),""))</f>
        <v/>
      </c>
      <c r="M616">
        <f>IF(M$2=0,"",IFERROR(TRIM(INDEX('Pegar docentes'!$A$1:$BZ$1001,615,M$2)&amp;""),""))</f>
        <v/>
      </c>
      <c r="N616">
        <f>IF(N$2=0,"",IFERROR(TRIM(INDEX('Pegar docentes'!$A$1:$BZ$1001,615,N$2)&amp;""),""))</f>
        <v/>
      </c>
      <c r="O616">
        <f>IF(O$2=0,"",IFERROR(TRIM(INDEX('Pegar docentes'!$A$1:$BZ$1001,615,O$2)&amp;""),""))</f>
        <v/>
      </c>
      <c r="P616">
        <f>IF(P$2=0,"",IFERROR(TRIM(INDEX('Pegar docentes'!$A$1:$BZ$1001,615,P$2)&amp;""),""))</f>
        <v/>
      </c>
      <c r="Q616" s="25">
        <f>IF(OR(D616&lt;&gt;"",H616&lt;&gt;""),1,"")</f>
        <v/>
      </c>
      <c r="R616" s="25">
        <f>IF(Q616=1,IF(ISNUMBER(FIND("#"&amp;MID(D616,1,1)&amp;"#","#0#1#2#3#4#5#6#7#8#9#")),IF(ISNUMBER(FIND("#"&amp;MID(D616,2,1)&amp;"#","#0#1#2#3#4#5#6#7#8#9#")),IF(AND(VALUE(LEFT(D616,2))&gt;=1,VALUE(LEFT(D616,2))&lt;=5),VALUE(LEFT(D616,2)),""),IF(AND(VALUE(LEFT(D616,1))&gt;=1,VALUE(LEFT(D616,1))&lt;=5),VALUE(LEFT(D616,1)),"")),""),"")</f>
        <v/>
      </c>
      <c r="S616" s="25">
        <f>IF(AND(Q616=1,E616&lt;&gt;""),SUBSTITUTE(SUBSTITUTE(SUBSTITUTE(SUBSTITUTE(SUBSTITUTE(SUBSTITUTE(SUBSTITUTE(SUBSTITUTE(SUBSTITUTE(SUBSTITUTE(SUBSTITUTE(SUBSTITUTE(LOWER(TRIM(E616)),"á","a"),"é","e"),"í","i"),"ó","o"),"ú","u"),"ü","u"),"ñ","n"),"à","a"),"è","e"),"ì","i"),"ò","o"),"ù","u"),"")</f>
        <v/>
      </c>
      <c r="T616" s="25">
        <f>IF(AND(Q616=1,G616&lt;&gt;""),SUBSTITUTE(SUBSTITUTE(SUBSTITUTE(SUBSTITUTE(SUBSTITUTE(SUBSTITUTE(SUBSTITUTE(SUBSTITUTE(SUBSTITUTE(SUBSTITUTE(SUBSTITUTE(SUBSTITUTE(LOWER(TRIM(G616)),"á","a"),"é","e"),"í","i"),"ó","o"),"ú","u"),"ü","u"),"ñ","n"),"à","a"),"è","e"),"ì","i"),"ò","o"),"ù","u"),"")</f>
        <v/>
      </c>
      <c r="U616" s="25">
        <f>IF(AND(Q616=1,H616&lt;&gt;""),SUBSTITUTE(SUBSTITUTE(SUBSTITUTE(SUBSTITUTE(SUBSTITUTE(SUBSTITUTE(SUBSTITUTE(SUBSTITUTE(SUBSTITUTE(SUBSTITUTE(SUBSTITUTE(SUBSTITUTE(LOWER(TRIM(H616)),"á","a"),"é","e"),"í","i"),"ó","o"),"ú","u"),"ü","u"),"ñ","n"),"à","a"),"è","e"),"ì","i"),"ò","o"),"ù","u"),"")</f>
        <v/>
      </c>
      <c r="V616" s="25">
        <f>IF(AND(Q616=1,L616&lt;&gt;""),SUBSTITUTE(SUBSTITUTE(SUBSTITUTE(SUBSTITUTE(SUBSTITUTE(SUBSTITUTE(SUBSTITUTE(SUBSTITUTE(SUBSTITUTE(SUBSTITUTE(SUBSTITUTE(SUBSTITUTE(LOWER(TRIM(L616)),"á","a"),"é","e"),"í","i"),"ó","o"),"ú","u"),"ü","u"),"ñ","n"),"à","a"),"è","e"),"ì","i"),"ò","o"),"ù","u"),"")</f>
        <v/>
      </c>
      <c r="W616" s="25">
        <f>IF(AND(Q616=1,I616&lt;&gt;""),SUBSTITUTE(SUBSTITUTE(SUBSTITUTE(SUBSTITUTE(SUBSTITUTE(SUBSTITUTE(SUBSTITUTE(SUBSTITUTE(SUBSTITUTE(SUBSTITUTE(SUBSTITUTE(SUBSTITUTE(LOWER(TRIM(I616)),"á","a"),"é","e"),"í","i"),"ó","o"),"ú","u"),"ü","u"),"ñ","n"),"à","a"),"è","e"),"ì","i"),"ò","o"),"ù","u"),"")</f>
        <v/>
      </c>
      <c r="X616" s="25">
        <f>IF(U616="","",IF(OR(U616="si, en la proxima tarea",U616="si, con cambios"),1,0))</f>
        <v/>
      </c>
      <c r="Y616" s="25">
        <f>IF(AND(Q616=1,A616&lt;&gt;""),IF(IFERROR(COUNTIFS(A$3:A616,"="&amp;SUBSTITUTE(SUBSTITUTE(SUBSTITUTE(A616,"~","~~"),"*","~*"),"?","~?"),Q$3:Q616,1),0)=1,MAX(Y$2:Y615)+1,""),"")</f>
        <v/>
      </c>
      <c r="Z616" s="25">
        <f>IF(Y616="","",COUNTIFS($A$3:$A$1002,"="&amp;SUBSTITUTE(SUBSTITUTE(SUBSTITUTE(A616,"~","~~"),"*","~*"),"?","~?"),$Q$3:$Q$1002,1)*10000-Y616)</f>
        <v/>
      </c>
    </row>
    <row r="617">
      <c r="A617">
        <f>IF(A$2=0,"",IFERROR(TRIM(INDEX('Pegar docentes'!$A$1:$BZ$1001,616,A$2)&amp;""),""))</f>
        <v/>
      </c>
      <c r="B617">
        <f>IF(B$2=0,"",IFERROR(TRIM(INDEX('Pegar docentes'!$A$1:$BZ$1001,616,B$2)&amp;""),""))</f>
        <v/>
      </c>
      <c r="C617">
        <f>IF(C$2=0,"",IFERROR(TRIM(INDEX('Pegar docentes'!$A$1:$BZ$1001,616,C$2)&amp;""),""))</f>
        <v/>
      </c>
      <c r="D617">
        <f>IF(D$2=0,"",IFERROR(TRIM(INDEX('Pegar docentes'!$A$1:$BZ$1001,616,D$2)&amp;""),""))</f>
        <v/>
      </c>
      <c r="E617">
        <f>IF(E$2=0,"",IFERROR(TRIM(INDEX('Pegar docentes'!$A$1:$BZ$1001,616,E$2)&amp;""),""))</f>
        <v/>
      </c>
      <c r="F617">
        <f>IF(F$2=0,"",IFERROR(TRIM(INDEX('Pegar docentes'!$A$1:$BZ$1001,616,F$2)&amp;""),""))</f>
        <v/>
      </c>
      <c r="G617">
        <f>IF(G$2=0,"",IFERROR(TRIM(INDEX('Pegar docentes'!$A$1:$BZ$1001,616,G$2)&amp;""),""))</f>
        <v/>
      </c>
      <c r="H617">
        <f>IF(H$2=0,"",IFERROR(TRIM(INDEX('Pegar docentes'!$A$1:$BZ$1001,616,H$2)&amp;""),""))</f>
        <v/>
      </c>
      <c r="I617">
        <f>IF(I$2=0,"",IFERROR(TRIM(INDEX('Pegar docentes'!$A$1:$BZ$1001,616,I$2)&amp;""),""))</f>
        <v/>
      </c>
      <c r="J617">
        <f>IF(J$2=0,"",IFERROR(TRIM(INDEX('Pegar docentes'!$A$1:$BZ$1001,616,J$2)&amp;""),""))</f>
        <v/>
      </c>
      <c r="K617">
        <f>IF(K$2=0,"",IFERROR(TRIM(INDEX('Pegar docentes'!$A$1:$BZ$1001,616,K$2)&amp;""),""))</f>
        <v/>
      </c>
      <c r="L617">
        <f>IF(L$2=0,"",IFERROR(TRIM(INDEX('Pegar docentes'!$A$1:$BZ$1001,616,L$2)&amp;""),""))</f>
        <v/>
      </c>
      <c r="M617">
        <f>IF(M$2=0,"",IFERROR(TRIM(INDEX('Pegar docentes'!$A$1:$BZ$1001,616,M$2)&amp;""),""))</f>
        <v/>
      </c>
      <c r="N617">
        <f>IF(N$2=0,"",IFERROR(TRIM(INDEX('Pegar docentes'!$A$1:$BZ$1001,616,N$2)&amp;""),""))</f>
        <v/>
      </c>
      <c r="O617">
        <f>IF(O$2=0,"",IFERROR(TRIM(INDEX('Pegar docentes'!$A$1:$BZ$1001,616,O$2)&amp;""),""))</f>
        <v/>
      </c>
      <c r="P617">
        <f>IF(P$2=0,"",IFERROR(TRIM(INDEX('Pegar docentes'!$A$1:$BZ$1001,616,P$2)&amp;""),""))</f>
        <v/>
      </c>
      <c r="Q617" s="25">
        <f>IF(OR(D617&lt;&gt;"",H617&lt;&gt;""),1,"")</f>
        <v/>
      </c>
      <c r="R617" s="25">
        <f>IF(Q617=1,IF(ISNUMBER(FIND("#"&amp;MID(D617,1,1)&amp;"#","#0#1#2#3#4#5#6#7#8#9#")),IF(ISNUMBER(FIND("#"&amp;MID(D617,2,1)&amp;"#","#0#1#2#3#4#5#6#7#8#9#")),IF(AND(VALUE(LEFT(D617,2))&gt;=1,VALUE(LEFT(D617,2))&lt;=5),VALUE(LEFT(D617,2)),""),IF(AND(VALUE(LEFT(D617,1))&gt;=1,VALUE(LEFT(D617,1))&lt;=5),VALUE(LEFT(D617,1)),"")),""),"")</f>
        <v/>
      </c>
      <c r="S617" s="25">
        <f>IF(AND(Q617=1,E617&lt;&gt;""),SUBSTITUTE(SUBSTITUTE(SUBSTITUTE(SUBSTITUTE(SUBSTITUTE(SUBSTITUTE(SUBSTITUTE(SUBSTITUTE(SUBSTITUTE(SUBSTITUTE(SUBSTITUTE(SUBSTITUTE(LOWER(TRIM(E617)),"á","a"),"é","e"),"í","i"),"ó","o"),"ú","u"),"ü","u"),"ñ","n"),"à","a"),"è","e"),"ì","i"),"ò","o"),"ù","u"),"")</f>
        <v/>
      </c>
      <c r="T617" s="25">
        <f>IF(AND(Q617=1,G617&lt;&gt;""),SUBSTITUTE(SUBSTITUTE(SUBSTITUTE(SUBSTITUTE(SUBSTITUTE(SUBSTITUTE(SUBSTITUTE(SUBSTITUTE(SUBSTITUTE(SUBSTITUTE(SUBSTITUTE(SUBSTITUTE(LOWER(TRIM(G617)),"á","a"),"é","e"),"í","i"),"ó","o"),"ú","u"),"ü","u"),"ñ","n"),"à","a"),"è","e"),"ì","i"),"ò","o"),"ù","u"),"")</f>
        <v/>
      </c>
      <c r="U617" s="25">
        <f>IF(AND(Q617=1,H617&lt;&gt;""),SUBSTITUTE(SUBSTITUTE(SUBSTITUTE(SUBSTITUTE(SUBSTITUTE(SUBSTITUTE(SUBSTITUTE(SUBSTITUTE(SUBSTITUTE(SUBSTITUTE(SUBSTITUTE(SUBSTITUTE(LOWER(TRIM(H617)),"á","a"),"é","e"),"í","i"),"ó","o"),"ú","u"),"ü","u"),"ñ","n"),"à","a"),"è","e"),"ì","i"),"ò","o"),"ù","u"),"")</f>
        <v/>
      </c>
      <c r="V617" s="25">
        <f>IF(AND(Q617=1,L617&lt;&gt;""),SUBSTITUTE(SUBSTITUTE(SUBSTITUTE(SUBSTITUTE(SUBSTITUTE(SUBSTITUTE(SUBSTITUTE(SUBSTITUTE(SUBSTITUTE(SUBSTITUTE(SUBSTITUTE(SUBSTITUTE(LOWER(TRIM(L617)),"á","a"),"é","e"),"í","i"),"ó","o"),"ú","u"),"ü","u"),"ñ","n"),"à","a"),"è","e"),"ì","i"),"ò","o"),"ù","u"),"")</f>
        <v/>
      </c>
      <c r="W617" s="25">
        <f>IF(AND(Q617=1,I617&lt;&gt;""),SUBSTITUTE(SUBSTITUTE(SUBSTITUTE(SUBSTITUTE(SUBSTITUTE(SUBSTITUTE(SUBSTITUTE(SUBSTITUTE(SUBSTITUTE(SUBSTITUTE(SUBSTITUTE(SUBSTITUTE(LOWER(TRIM(I617)),"á","a"),"é","e"),"í","i"),"ó","o"),"ú","u"),"ü","u"),"ñ","n"),"à","a"),"è","e"),"ì","i"),"ò","o"),"ù","u"),"")</f>
        <v/>
      </c>
      <c r="X617" s="25">
        <f>IF(U617="","",IF(OR(U617="si, en la proxima tarea",U617="si, con cambios"),1,0))</f>
        <v/>
      </c>
      <c r="Y617" s="25">
        <f>IF(AND(Q617=1,A617&lt;&gt;""),IF(IFERROR(COUNTIFS(A$3:A617,"="&amp;SUBSTITUTE(SUBSTITUTE(SUBSTITUTE(A617,"~","~~"),"*","~*"),"?","~?"),Q$3:Q617,1),0)=1,MAX(Y$2:Y616)+1,""),"")</f>
        <v/>
      </c>
      <c r="Z617" s="25">
        <f>IF(Y617="","",COUNTIFS($A$3:$A$1002,"="&amp;SUBSTITUTE(SUBSTITUTE(SUBSTITUTE(A617,"~","~~"),"*","~*"),"?","~?"),$Q$3:$Q$1002,1)*10000-Y617)</f>
        <v/>
      </c>
    </row>
    <row r="618">
      <c r="A618">
        <f>IF(A$2=0,"",IFERROR(TRIM(INDEX('Pegar docentes'!$A$1:$BZ$1001,617,A$2)&amp;""),""))</f>
        <v/>
      </c>
      <c r="B618">
        <f>IF(B$2=0,"",IFERROR(TRIM(INDEX('Pegar docentes'!$A$1:$BZ$1001,617,B$2)&amp;""),""))</f>
        <v/>
      </c>
      <c r="C618">
        <f>IF(C$2=0,"",IFERROR(TRIM(INDEX('Pegar docentes'!$A$1:$BZ$1001,617,C$2)&amp;""),""))</f>
        <v/>
      </c>
      <c r="D618">
        <f>IF(D$2=0,"",IFERROR(TRIM(INDEX('Pegar docentes'!$A$1:$BZ$1001,617,D$2)&amp;""),""))</f>
        <v/>
      </c>
      <c r="E618">
        <f>IF(E$2=0,"",IFERROR(TRIM(INDEX('Pegar docentes'!$A$1:$BZ$1001,617,E$2)&amp;""),""))</f>
        <v/>
      </c>
      <c r="F618">
        <f>IF(F$2=0,"",IFERROR(TRIM(INDEX('Pegar docentes'!$A$1:$BZ$1001,617,F$2)&amp;""),""))</f>
        <v/>
      </c>
      <c r="G618">
        <f>IF(G$2=0,"",IFERROR(TRIM(INDEX('Pegar docentes'!$A$1:$BZ$1001,617,G$2)&amp;""),""))</f>
        <v/>
      </c>
      <c r="H618">
        <f>IF(H$2=0,"",IFERROR(TRIM(INDEX('Pegar docentes'!$A$1:$BZ$1001,617,H$2)&amp;""),""))</f>
        <v/>
      </c>
      <c r="I618">
        <f>IF(I$2=0,"",IFERROR(TRIM(INDEX('Pegar docentes'!$A$1:$BZ$1001,617,I$2)&amp;""),""))</f>
        <v/>
      </c>
      <c r="J618">
        <f>IF(J$2=0,"",IFERROR(TRIM(INDEX('Pegar docentes'!$A$1:$BZ$1001,617,J$2)&amp;""),""))</f>
        <v/>
      </c>
      <c r="K618">
        <f>IF(K$2=0,"",IFERROR(TRIM(INDEX('Pegar docentes'!$A$1:$BZ$1001,617,K$2)&amp;""),""))</f>
        <v/>
      </c>
      <c r="L618">
        <f>IF(L$2=0,"",IFERROR(TRIM(INDEX('Pegar docentes'!$A$1:$BZ$1001,617,L$2)&amp;""),""))</f>
        <v/>
      </c>
      <c r="M618">
        <f>IF(M$2=0,"",IFERROR(TRIM(INDEX('Pegar docentes'!$A$1:$BZ$1001,617,M$2)&amp;""),""))</f>
        <v/>
      </c>
      <c r="N618">
        <f>IF(N$2=0,"",IFERROR(TRIM(INDEX('Pegar docentes'!$A$1:$BZ$1001,617,N$2)&amp;""),""))</f>
        <v/>
      </c>
      <c r="O618">
        <f>IF(O$2=0,"",IFERROR(TRIM(INDEX('Pegar docentes'!$A$1:$BZ$1001,617,O$2)&amp;""),""))</f>
        <v/>
      </c>
      <c r="P618">
        <f>IF(P$2=0,"",IFERROR(TRIM(INDEX('Pegar docentes'!$A$1:$BZ$1001,617,P$2)&amp;""),""))</f>
        <v/>
      </c>
      <c r="Q618" s="25">
        <f>IF(OR(D618&lt;&gt;"",H618&lt;&gt;""),1,"")</f>
        <v/>
      </c>
      <c r="R618" s="25">
        <f>IF(Q618=1,IF(ISNUMBER(FIND("#"&amp;MID(D618,1,1)&amp;"#","#0#1#2#3#4#5#6#7#8#9#")),IF(ISNUMBER(FIND("#"&amp;MID(D618,2,1)&amp;"#","#0#1#2#3#4#5#6#7#8#9#")),IF(AND(VALUE(LEFT(D618,2))&gt;=1,VALUE(LEFT(D618,2))&lt;=5),VALUE(LEFT(D618,2)),""),IF(AND(VALUE(LEFT(D618,1))&gt;=1,VALUE(LEFT(D618,1))&lt;=5),VALUE(LEFT(D618,1)),"")),""),"")</f>
        <v/>
      </c>
      <c r="S618" s="25">
        <f>IF(AND(Q618=1,E618&lt;&gt;""),SUBSTITUTE(SUBSTITUTE(SUBSTITUTE(SUBSTITUTE(SUBSTITUTE(SUBSTITUTE(SUBSTITUTE(SUBSTITUTE(SUBSTITUTE(SUBSTITUTE(SUBSTITUTE(SUBSTITUTE(LOWER(TRIM(E618)),"á","a"),"é","e"),"í","i"),"ó","o"),"ú","u"),"ü","u"),"ñ","n"),"à","a"),"è","e"),"ì","i"),"ò","o"),"ù","u"),"")</f>
        <v/>
      </c>
      <c r="T618" s="25">
        <f>IF(AND(Q618=1,G618&lt;&gt;""),SUBSTITUTE(SUBSTITUTE(SUBSTITUTE(SUBSTITUTE(SUBSTITUTE(SUBSTITUTE(SUBSTITUTE(SUBSTITUTE(SUBSTITUTE(SUBSTITUTE(SUBSTITUTE(SUBSTITUTE(LOWER(TRIM(G618)),"á","a"),"é","e"),"í","i"),"ó","o"),"ú","u"),"ü","u"),"ñ","n"),"à","a"),"è","e"),"ì","i"),"ò","o"),"ù","u"),"")</f>
        <v/>
      </c>
      <c r="U618" s="25">
        <f>IF(AND(Q618=1,H618&lt;&gt;""),SUBSTITUTE(SUBSTITUTE(SUBSTITUTE(SUBSTITUTE(SUBSTITUTE(SUBSTITUTE(SUBSTITUTE(SUBSTITUTE(SUBSTITUTE(SUBSTITUTE(SUBSTITUTE(SUBSTITUTE(LOWER(TRIM(H618)),"á","a"),"é","e"),"í","i"),"ó","o"),"ú","u"),"ü","u"),"ñ","n"),"à","a"),"è","e"),"ì","i"),"ò","o"),"ù","u"),"")</f>
        <v/>
      </c>
      <c r="V618" s="25">
        <f>IF(AND(Q618=1,L618&lt;&gt;""),SUBSTITUTE(SUBSTITUTE(SUBSTITUTE(SUBSTITUTE(SUBSTITUTE(SUBSTITUTE(SUBSTITUTE(SUBSTITUTE(SUBSTITUTE(SUBSTITUTE(SUBSTITUTE(SUBSTITUTE(LOWER(TRIM(L618)),"á","a"),"é","e"),"í","i"),"ó","o"),"ú","u"),"ü","u"),"ñ","n"),"à","a"),"è","e"),"ì","i"),"ò","o"),"ù","u"),"")</f>
        <v/>
      </c>
      <c r="W618" s="25">
        <f>IF(AND(Q618=1,I618&lt;&gt;""),SUBSTITUTE(SUBSTITUTE(SUBSTITUTE(SUBSTITUTE(SUBSTITUTE(SUBSTITUTE(SUBSTITUTE(SUBSTITUTE(SUBSTITUTE(SUBSTITUTE(SUBSTITUTE(SUBSTITUTE(LOWER(TRIM(I618)),"á","a"),"é","e"),"í","i"),"ó","o"),"ú","u"),"ü","u"),"ñ","n"),"à","a"),"è","e"),"ì","i"),"ò","o"),"ù","u"),"")</f>
        <v/>
      </c>
      <c r="X618" s="25">
        <f>IF(U618="","",IF(OR(U618="si, en la proxima tarea",U618="si, con cambios"),1,0))</f>
        <v/>
      </c>
      <c r="Y618" s="25">
        <f>IF(AND(Q618=1,A618&lt;&gt;""),IF(IFERROR(COUNTIFS(A$3:A618,"="&amp;SUBSTITUTE(SUBSTITUTE(SUBSTITUTE(A618,"~","~~"),"*","~*"),"?","~?"),Q$3:Q618,1),0)=1,MAX(Y$2:Y617)+1,""),"")</f>
        <v/>
      </c>
      <c r="Z618" s="25">
        <f>IF(Y618="","",COUNTIFS($A$3:$A$1002,"="&amp;SUBSTITUTE(SUBSTITUTE(SUBSTITUTE(A618,"~","~~"),"*","~*"),"?","~?"),$Q$3:$Q$1002,1)*10000-Y618)</f>
        <v/>
      </c>
    </row>
    <row r="619">
      <c r="A619">
        <f>IF(A$2=0,"",IFERROR(TRIM(INDEX('Pegar docentes'!$A$1:$BZ$1001,618,A$2)&amp;""),""))</f>
        <v/>
      </c>
      <c r="B619">
        <f>IF(B$2=0,"",IFERROR(TRIM(INDEX('Pegar docentes'!$A$1:$BZ$1001,618,B$2)&amp;""),""))</f>
        <v/>
      </c>
      <c r="C619">
        <f>IF(C$2=0,"",IFERROR(TRIM(INDEX('Pegar docentes'!$A$1:$BZ$1001,618,C$2)&amp;""),""))</f>
        <v/>
      </c>
      <c r="D619">
        <f>IF(D$2=0,"",IFERROR(TRIM(INDEX('Pegar docentes'!$A$1:$BZ$1001,618,D$2)&amp;""),""))</f>
        <v/>
      </c>
      <c r="E619">
        <f>IF(E$2=0,"",IFERROR(TRIM(INDEX('Pegar docentes'!$A$1:$BZ$1001,618,E$2)&amp;""),""))</f>
        <v/>
      </c>
      <c r="F619">
        <f>IF(F$2=0,"",IFERROR(TRIM(INDEX('Pegar docentes'!$A$1:$BZ$1001,618,F$2)&amp;""),""))</f>
        <v/>
      </c>
      <c r="G619">
        <f>IF(G$2=0,"",IFERROR(TRIM(INDEX('Pegar docentes'!$A$1:$BZ$1001,618,G$2)&amp;""),""))</f>
        <v/>
      </c>
      <c r="H619">
        <f>IF(H$2=0,"",IFERROR(TRIM(INDEX('Pegar docentes'!$A$1:$BZ$1001,618,H$2)&amp;""),""))</f>
        <v/>
      </c>
      <c r="I619">
        <f>IF(I$2=0,"",IFERROR(TRIM(INDEX('Pegar docentes'!$A$1:$BZ$1001,618,I$2)&amp;""),""))</f>
        <v/>
      </c>
      <c r="J619">
        <f>IF(J$2=0,"",IFERROR(TRIM(INDEX('Pegar docentes'!$A$1:$BZ$1001,618,J$2)&amp;""),""))</f>
        <v/>
      </c>
      <c r="K619">
        <f>IF(K$2=0,"",IFERROR(TRIM(INDEX('Pegar docentes'!$A$1:$BZ$1001,618,K$2)&amp;""),""))</f>
        <v/>
      </c>
      <c r="L619">
        <f>IF(L$2=0,"",IFERROR(TRIM(INDEX('Pegar docentes'!$A$1:$BZ$1001,618,L$2)&amp;""),""))</f>
        <v/>
      </c>
      <c r="M619">
        <f>IF(M$2=0,"",IFERROR(TRIM(INDEX('Pegar docentes'!$A$1:$BZ$1001,618,M$2)&amp;""),""))</f>
        <v/>
      </c>
      <c r="N619">
        <f>IF(N$2=0,"",IFERROR(TRIM(INDEX('Pegar docentes'!$A$1:$BZ$1001,618,N$2)&amp;""),""))</f>
        <v/>
      </c>
      <c r="O619">
        <f>IF(O$2=0,"",IFERROR(TRIM(INDEX('Pegar docentes'!$A$1:$BZ$1001,618,O$2)&amp;""),""))</f>
        <v/>
      </c>
      <c r="P619">
        <f>IF(P$2=0,"",IFERROR(TRIM(INDEX('Pegar docentes'!$A$1:$BZ$1001,618,P$2)&amp;""),""))</f>
        <v/>
      </c>
      <c r="Q619" s="25">
        <f>IF(OR(D619&lt;&gt;"",H619&lt;&gt;""),1,"")</f>
        <v/>
      </c>
      <c r="R619" s="25">
        <f>IF(Q619=1,IF(ISNUMBER(FIND("#"&amp;MID(D619,1,1)&amp;"#","#0#1#2#3#4#5#6#7#8#9#")),IF(ISNUMBER(FIND("#"&amp;MID(D619,2,1)&amp;"#","#0#1#2#3#4#5#6#7#8#9#")),IF(AND(VALUE(LEFT(D619,2))&gt;=1,VALUE(LEFT(D619,2))&lt;=5),VALUE(LEFT(D619,2)),""),IF(AND(VALUE(LEFT(D619,1))&gt;=1,VALUE(LEFT(D619,1))&lt;=5),VALUE(LEFT(D619,1)),"")),""),"")</f>
        <v/>
      </c>
      <c r="S619" s="25">
        <f>IF(AND(Q619=1,E619&lt;&gt;""),SUBSTITUTE(SUBSTITUTE(SUBSTITUTE(SUBSTITUTE(SUBSTITUTE(SUBSTITUTE(SUBSTITUTE(SUBSTITUTE(SUBSTITUTE(SUBSTITUTE(SUBSTITUTE(SUBSTITUTE(LOWER(TRIM(E619)),"á","a"),"é","e"),"í","i"),"ó","o"),"ú","u"),"ü","u"),"ñ","n"),"à","a"),"è","e"),"ì","i"),"ò","o"),"ù","u"),"")</f>
        <v/>
      </c>
      <c r="T619" s="25">
        <f>IF(AND(Q619=1,G619&lt;&gt;""),SUBSTITUTE(SUBSTITUTE(SUBSTITUTE(SUBSTITUTE(SUBSTITUTE(SUBSTITUTE(SUBSTITUTE(SUBSTITUTE(SUBSTITUTE(SUBSTITUTE(SUBSTITUTE(SUBSTITUTE(LOWER(TRIM(G619)),"á","a"),"é","e"),"í","i"),"ó","o"),"ú","u"),"ü","u"),"ñ","n"),"à","a"),"è","e"),"ì","i"),"ò","o"),"ù","u"),"")</f>
        <v/>
      </c>
      <c r="U619" s="25">
        <f>IF(AND(Q619=1,H619&lt;&gt;""),SUBSTITUTE(SUBSTITUTE(SUBSTITUTE(SUBSTITUTE(SUBSTITUTE(SUBSTITUTE(SUBSTITUTE(SUBSTITUTE(SUBSTITUTE(SUBSTITUTE(SUBSTITUTE(SUBSTITUTE(LOWER(TRIM(H619)),"á","a"),"é","e"),"í","i"),"ó","o"),"ú","u"),"ü","u"),"ñ","n"),"à","a"),"è","e"),"ì","i"),"ò","o"),"ù","u"),"")</f>
        <v/>
      </c>
      <c r="V619" s="25">
        <f>IF(AND(Q619=1,L619&lt;&gt;""),SUBSTITUTE(SUBSTITUTE(SUBSTITUTE(SUBSTITUTE(SUBSTITUTE(SUBSTITUTE(SUBSTITUTE(SUBSTITUTE(SUBSTITUTE(SUBSTITUTE(SUBSTITUTE(SUBSTITUTE(LOWER(TRIM(L619)),"á","a"),"é","e"),"í","i"),"ó","o"),"ú","u"),"ü","u"),"ñ","n"),"à","a"),"è","e"),"ì","i"),"ò","o"),"ù","u"),"")</f>
        <v/>
      </c>
      <c r="W619" s="25">
        <f>IF(AND(Q619=1,I619&lt;&gt;""),SUBSTITUTE(SUBSTITUTE(SUBSTITUTE(SUBSTITUTE(SUBSTITUTE(SUBSTITUTE(SUBSTITUTE(SUBSTITUTE(SUBSTITUTE(SUBSTITUTE(SUBSTITUTE(SUBSTITUTE(LOWER(TRIM(I619)),"á","a"),"é","e"),"í","i"),"ó","o"),"ú","u"),"ü","u"),"ñ","n"),"à","a"),"è","e"),"ì","i"),"ò","o"),"ù","u"),"")</f>
        <v/>
      </c>
      <c r="X619" s="25">
        <f>IF(U619="","",IF(OR(U619="si, en la proxima tarea",U619="si, con cambios"),1,0))</f>
        <v/>
      </c>
      <c r="Y619" s="25">
        <f>IF(AND(Q619=1,A619&lt;&gt;""),IF(IFERROR(COUNTIFS(A$3:A619,"="&amp;SUBSTITUTE(SUBSTITUTE(SUBSTITUTE(A619,"~","~~"),"*","~*"),"?","~?"),Q$3:Q619,1),0)=1,MAX(Y$2:Y618)+1,""),"")</f>
        <v/>
      </c>
      <c r="Z619" s="25">
        <f>IF(Y619="","",COUNTIFS($A$3:$A$1002,"="&amp;SUBSTITUTE(SUBSTITUTE(SUBSTITUTE(A619,"~","~~"),"*","~*"),"?","~?"),$Q$3:$Q$1002,1)*10000-Y619)</f>
        <v/>
      </c>
    </row>
    <row r="620">
      <c r="A620">
        <f>IF(A$2=0,"",IFERROR(TRIM(INDEX('Pegar docentes'!$A$1:$BZ$1001,619,A$2)&amp;""),""))</f>
        <v/>
      </c>
      <c r="B620">
        <f>IF(B$2=0,"",IFERROR(TRIM(INDEX('Pegar docentes'!$A$1:$BZ$1001,619,B$2)&amp;""),""))</f>
        <v/>
      </c>
      <c r="C620">
        <f>IF(C$2=0,"",IFERROR(TRIM(INDEX('Pegar docentes'!$A$1:$BZ$1001,619,C$2)&amp;""),""))</f>
        <v/>
      </c>
      <c r="D620">
        <f>IF(D$2=0,"",IFERROR(TRIM(INDEX('Pegar docentes'!$A$1:$BZ$1001,619,D$2)&amp;""),""))</f>
        <v/>
      </c>
      <c r="E620">
        <f>IF(E$2=0,"",IFERROR(TRIM(INDEX('Pegar docentes'!$A$1:$BZ$1001,619,E$2)&amp;""),""))</f>
        <v/>
      </c>
      <c r="F620">
        <f>IF(F$2=0,"",IFERROR(TRIM(INDEX('Pegar docentes'!$A$1:$BZ$1001,619,F$2)&amp;""),""))</f>
        <v/>
      </c>
      <c r="G620">
        <f>IF(G$2=0,"",IFERROR(TRIM(INDEX('Pegar docentes'!$A$1:$BZ$1001,619,G$2)&amp;""),""))</f>
        <v/>
      </c>
      <c r="H620">
        <f>IF(H$2=0,"",IFERROR(TRIM(INDEX('Pegar docentes'!$A$1:$BZ$1001,619,H$2)&amp;""),""))</f>
        <v/>
      </c>
      <c r="I620">
        <f>IF(I$2=0,"",IFERROR(TRIM(INDEX('Pegar docentes'!$A$1:$BZ$1001,619,I$2)&amp;""),""))</f>
        <v/>
      </c>
      <c r="J620">
        <f>IF(J$2=0,"",IFERROR(TRIM(INDEX('Pegar docentes'!$A$1:$BZ$1001,619,J$2)&amp;""),""))</f>
        <v/>
      </c>
      <c r="K620">
        <f>IF(K$2=0,"",IFERROR(TRIM(INDEX('Pegar docentes'!$A$1:$BZ$1001,619,K$2)&amp;""),""))</f>
        <v/>
      </c>
      <c r="L620">
        <f>IF(L$2=0,"",IFERROR(TRIM(INDEX('Pegar docentes'!$A$1:$BZ$1001,619,L$2)&amp;""),""))</f>
        <v/>
      </c>
      <c r="M620">
        <f>IF(M$2=0,"",IFERROR(TRIM(INDEX('Pegar docentes'!$A$1:$BZ$1001,619,M$2)&amp;""),""))</f>
        <v/>
      </c>
      <c r="N620">
        <f>IF(N$2=0,"",IFERROR(TRIM(INDEX('Pegar docentes'!$A$1:$BZ$1001,619,N$2)&amp;""),""))</f>
        <v/>
      </c>
      <c r="O620">
        <f>IF(O$2=0,"",IFERROR(TRIM(INDEX('Pegar docentes'!$A$1:$BZ$1001,619,O$2)&amp;""),""))</f>
        <v/>
      </c>
      <c r="P620">
        <f>IF(P$2=0,"",IFERROR(TRIM(INDEX('Pegar docentes'!$A$1:$BZ$1001,619,P$2)&amp;""),""))</f>
        <v/>
      </c>
      <c r="Q620" s="25">
        <f>IF(OR(D620&lt;&gt;"",H620&lt;&gt;""),1,"")</f>
        <v/>
      </c>
      <c r="R620" s="25">
        <f>IF(Q620=1,IF(ISNUMBER(FIND("#"&amp;MID(D620,1,1)&amp;"#","#0#1#2#3#4#5#6#7#8#9#")),IF(ISNUMBER(FIND("#"&amp;MID(D620,2,1)&amp;"#","#0#1#2#3#4#5#6#7#8#9#")),IF(AND(VALUE(LEFT(D620,2))&gt;=1,VALUE(LEFT(D620,2))&lt;=5),VALUE(LEFT(D620,2)),""),IF(AND(VALUE(LEFT(D620,1))&gt;=1,VALUE(LEFT(D620,1))&lt;=5),VALUE(LEFT(D620,1)),"")),""),"")</f>
        <v/>
      </c>
      <c r="S620" s="25">
        <f>IF(AND(Q620=1,E620&lt;&gt;""),SUBSTITUTE(SUBSTITUTE(SUBSTITUTE(SUBSTITUTE(SUBSTITUTE(SUBSTITUTE(SUBSTITUTE(SUBSTITUTE(SUBSTITUTE(SUBSTITUTE(SUBSTITUTE(SUBSTITUTE(LOWER(TRIM(E620)),"á","a"),"é","e"),"í","i"),"ó","o"),"ú","u"),"ü","u"),"ñ","n"),"à","a"),"è","e"),"ì","i"),"ò","o"),"ù","u"),"")</f>
        <v/>
      </c>
      <c r="T620" s="25">
        <f>IF(AND(Q620=1,G620&lt;&gt;""),SUBSTITUTE(SUBSTITUTE(SUBSTITUTE(SUBSTITUTE(SUBSTITUTE(SUBSTITUTE(SUBSTITUTE(SUBSTITUTE(SUBSTITUTE(SUBSTITUTE(SUBSTITUTE(SUBSTITUTE(LOWER(TRIM(G620)),"á","a"),"é","e"),"í","i"),"ó","o"),"ú","u"),"ü","u"),"ñ","n"),"à","a"),"è","e"),"ì","i"),"ò","o"),"ù","u"),"")</f>
        <v/>
      </c>
      <c r="U620" s="25">
        <f>IF(AND(Q620=1,H620&lt;&gt;""),SUBSTITUTE(SUBSTITUTE(SUBSTITUTE(SUBSTITUTE(SUBSTITUTE(SUBSTITUTE(SUBSTITUTE(SUBSTITUTE(SUBSTITUTE(SUBSTITUTE(SUBSTITUTE(SUBSTITUTE(LOWER(TRIM(H620)),"á","a"),"é","e"),"í","i"),"ó","o"),"ú","u"),"ü","u"),"ñ","n"),"à","a"),"è","e"),"ì","i"),"ò","o"),"ù","u"),"")</f>
        <v/>
      </c>
      <c r="V620" s="25">
        <f>IF(AND(Q620=1,L620&lt;&gt;""),SUBSTITUTE(SUBSTITUTE(SUBSTITUTE(SUBSTITUTE(SUBSTITUTE(SUBSTITUTE(SUBSTITUTE(SUBSTITUTE(SUBSTITUTE(SUBSTITUTE(SUBSTITUTE(SUBSTITUTE(LOWER(TRIM(L620)),"á","a"),"é","e"),"í","i"),"ó","o"),"ú","u"),"ü","u"),"ñ","n"),"à","a"),"è","e"),"ì","i"),"ò","o"),"ù","u"),"")</f>
        <v/>
      </c>
      <c r="W620" s="25">
        <f>IF(AND(Q620=1,I620&lt;&gt;""),SUBSTITUTE(SUBSTITUTE(SUBSTITUTE(SUBSTITUTE(SUBSTITUTE(SUBSTITUTE(SUBSTITUTE(SUBSTITUTE(SUBSTITUTE(SUBSTITUTE(SUBSTITUTE(SUBSTITUTE(LOWER(TRIM(I620)),"á","a"),"é","e"),"í","i"),"ó","o"),"ú","u"),"ü","u"),"ñ","n"),"à","a"),"è","e"),"ì","i"),"ò","o"),"ù","u"),"")</f>
        <v/>
      </c>
      <c r="X620" s="25">
        <f>IF(U620="","",IF(OR(U620="si, en la proxima tarea",U620="si, con cambios"),1,0))</f>
        <v/>
      </c>
      <c r="Y620" s="25">
        <f>IF(AND(Q620=1,A620&lt;&gt;""),IF(IFERROR(COUNTIFS(A$3:A620,"="&amp;SUBSTITUTE(SUBSTITUTE(SUBSTITUTE(A620,"~","~~"),"*","~*"),"?","~?"),Q$3:Q620,1),0)=1,MAX(Y$2:Y619)+1,""),"")</f>
        <v/>
      </c>
      <c r="Z620" s="25">
        <f>IF(Y620="","",COUNTIFS($A$3:$A$1002,"="&amp;SUBSTITUTE(SUBSTITUTE(SUBSTITUTE(A620,"~","~~"),"*","~*"),"?","~?"),$Q$3:$Q$1002,1)*10000-Y620)</f>
        <v/>
      </c>
    </row>
    <row r="621">
      <c r="A621">
        <f>IF(A$2=0,"",IFERROR(TRIM(INDEX('Pegar docentes'!$A$1:$BZ$1001,620,A$2)&amp;""),""))</f>
        <v/>
      </c>
      <c r="B621">
        <f>IF(B$2=0,"",IFERROR(TRIM(INDEX('Pegar docentes'!$A$1:$BZ$1001,620,B$2)&amp;""),""))</f>
        <v/>
      </c>
      <c r="C621">
        <f>IF(C$2=0,"",IFERROR(TRIM(INDEX('Pegar docentes'!$A$1:$BZ$1001,620,C$2)&amp;""),""))</f>
        <v/>
      </c>
      <c r="D621">
        <f>IF(D$2=0,"",IFERROR(TRIM(INDEX('Pegar docentes'!$A$1:$BZ$1001,620,D$2)&amp;""),""))</f>
        <v/>
      </c>
      <c r="E621">
        <f>IF(E$2=0,"",IFERROR(TRIM(INDEX('Pegar docentes'!$A$1:$BZ$1001,620,E$2)&amp;""),""))</f>
        <v/>
      </c>
      <c r="F621">
        <f>IF(F$2=0,"",IFERROR(TRIM(INDEX('Pegar docentes'!$A$1:$BZ$1001,620,F$2)&amp;""),""))</f>
        <v/>
      </c>
      <c r="G621">
        <f>IF(G$2=0,"",IFERROR(TRIM(INDEX('Pegar docentes'!$A$1:$BZ$1001,620,G$2)&amp;""),""))</f>
        <v/>
      </c>
      <c r="H621">
        <f>IF(H$2=0,"",IFERROR(TRIM(INDEX('Pegar docentes'!$A$1:$BZ$1001,620,H$2)&amp;""),""))</f>
        <v/>
      </c>
      <c r="I621">
        <f>IF(I$2=0,"",IFERROR(TRIM(INDEX('Pegar docentes'!$A$1:$BZ$1001,620,I$2)&amp;""),""))</f>
        <v/>
      </c>
      <c r="J621">
        <f>IF(J$2=0,"",IFERROR(TRIM(INDEX('Pegar docentes'!$A$1:$BZ$1001,620,J$2)&amp;""),""))</f>
        <v/>
      </c>
      <c r="K621">
        <f>IF(K$2=0,"",IFERROR(TRIM(INDEX('Pegar docentes'!$A$1:$BZ$1001,620,K$2)&amp;""),""))</f>
        <v/>
      </c>
      <c r="L621">
        <f>IF(L$2=0,"",IFERROR(TRIM(INDEX('Pegar docentes'!$A$1:$BZ$1001,620,L$2)&amp;""),""))</f>
        <v/>
      </c>
      <c r="M621">
        <f>IF(M$2=0,"",IFERROR(TRIM(INDEX('Pegar docentes'!$A$1:$BZ$1001,620,M$2)&amp;""),""))</f>
        <v/>
      </c>
      <c r="N621">
        <f>IF(N$2=0,"",IFERROR(TRIM(INDEX('Pegar docentes'!$A$1:$BZ$1001,620,N$2)&amp;""),""))</f>
        <v/>
      </c>
      <c r="O621">
        <f>IF(O$2=0,"",IFERROR(TRIM(INDEX('Pegar docentes'!$A$1:$BZ$1001,620,O$2)&amp;""),""))</f>
        <v/>
      </c>
      <c r="P621">
        <f>IF(P$2=0,"",IFERROR(TRIM(INDEX('Pegar docentes'!$A$1:$BZ$1001,620,P$2)&amp;""),""))</f>
        <v/>
      </c>
      <c r="Q621" s="25">
        <f>IF(OR(D621&lt;&gt;"",H621&lt;&gt;""),1,"")</f>
        <v/>
      </c>
      <c r="R621" s="25">
        <f>IF(Q621=1,IF(ISNUMBER(FIND("#"&amp;MID(D621,1,1)&amp;"#","#0#1#2#3#4#5#6#7#8#9#")),IF(ISNUMBER(FIND("#"&amp;MID(D621,2,1)&amp;"#","#0#1#2#3#4#5#6#7#8#9#")),IF(AND(VALUE(LEFT(D621,2))&gt;=1,VALUE(LEFT(D621,2))&lt;=5),VALUE(LEFT(D621,2)),""),IF(AND(VALUE(LEFT(D621,1))&gt;=1,VALUE(LEFT(D621,1))&lt;=5),VALUE(LEFT(D621,1)),"")),""),"")</f>
        <v/>
      </c>
      <c r="S621" s="25">
        <f>IF(AND(Q621=1,E621&lt;&gt;""),SUBSTITUTE(SUBSTITUTE(SUBSTITUTE(SUBSTITUTE(SUBSTITUTE(SUBSTITUTE(SUBSTITUTE(SUBSTITUTE(SUBSTITUTE(SUBSTITUTE(SUBSTITUTE(SUBSTITUTE(LOWER(TRIM(E621)),"á","a"),"é","e"),"í","i"),"ó","o"),"ú","u"),"ü","u"),"ñ","n"),"à","a"),"è","e"),"ì","i"),"ò","o"),"ù","u"),"")</f>
        <v/>
      </c>
      <c r="T621" s="25">
        <f>IF(AND(Q621=1,G621&lt;&gt;""),SUBSTITUTE(SUBSTITUTE(SUBSTITUTE(SUBSTITUTE(SUBSTITUTE(SUBSTITUTE(SUBSTITUTE(SUBSTITUTE(SUBSTITUTE(SUBSTITUTE(SUBSTITUTE(SUBSTITUTE(LOWER(TRIM(G621)),"á","a"),"é","e"),"í","i"),"ó","o"),"ú","u"),"ü","u"),"ñ","n"),"à","a"),"è","e"),"ì","i"),"ò","o"),"ù","u"),"")</f>
        <v/>
      </c>
      <c r="U621" s="25">
        <f>IF(AND(Q621=1,H621&lt;&gt;""),SUBSTITUTE(SUBSTITUTE(SUBSTITUTE(SUBSTITUTE(SUBSTITUTE(SUBSTITUTE(SUBSTITUTE(SUBSTITUTE(SUBSTITUTE(SUBSTITUTE(SUBSTITUTE(SUBSTITUTE(LOWER(TRIM(H621)),"á","a"),"é","e"),"í","i"),"ó","o"),"ú","u"),"ü","u"),"ñ","n"),"à","a"),"è","e"),"ì","i"),"ò","o"),"ù","u"),"")</f>
        <v/>
      </c>
      <c r="V621" s="25">
        <f>IF(AND(Q621=1,L621&lt;&gt;""),SUBSTITUTE(SUBSTITUTE(SUBSTITUTE(SUBSTITUTE(SUBSTITUTE(SUBSTITUTE(SUBSTITUTE(SUBSTITUTE(SUBSTITUTE(SUBSTITUTE(SUBSTITUTE(SUBSTITUTE(LOWER(TRIM(L621)),"á","a"),"é","e"),"í","i"),"ó","o"),"ú","u"),"ü","u"),"ñ","n"),"à","a"),"è","e"),"ì","i"),"ò","o"),"ù","u"),"")</f>
        <v/>
      </c>
      <c r="W621" s="25">
        <f>IF(AND(Q621=1,I621&lt;&gt;""),SUBSTITUTE(SUBSTITUTE(SUBSTITUTE(SUBSTITUTE(SUBSTITUTE(SUBSTITUTE(SUBSTITUTE(SUBSTITUTE(SUBSTITUTE(SUBSTITUTE(SUBSTITUTE(SUBSTITUTE(LOWER(TRIM(I621)),"á","a"),"é","e"),"í","i"),"ó","o"),"ú","u"),"ü","u"),"ñ","n"),"à","a"),"è","e"),"ì","i"),"ò","o"),"ù","u"),"")</f>
        <v/>
      </c>
      <c r="X621" s="25">
        <f>IF(U621="","",IF(OR(U621="si, en la proxima tarea",U621="si, con cambios"),1,0))</f>
        <v/>
      </c>
      <c r="Y621" s="25">
        <f>IF(AND(Q621=1,A621&lt;&gt;""),IF(IFERROR(COUNTIFS(A$3:A621,"="&amp;SUBSTITUTE(SUBSTITUTE(SUBSTITUTE(A621,"~","~~"),"*","~*"),"?","~?"),Q$3:Q621,1),0)=1,MAX(Y$2:Y620)+1,""),"")</f>
        <v/>
      </c>
      <c r="Z621" s="25">
        <f>IF(Y621="","",COUNTIFS($A$3:$A$1002,"="&amp;SUBSTITUTE(SUBSTITUTE(SUBSTITUTE(A621,"~","~~"),"*","~*"),"?","~?"),$Q$3:$Q$1002,1)*10000-Y621)</f>
        <v/>
      </c>
    </row>
    <row r="622">
      <c r="A622">
        <f>IF(A$2=0,"",IFERROR(TRIM(INDEX('Pegar docentes'!$A$1:$BZ$1001,621,A$2)&amp;""),""))</f>
        <v/>
      </c>
      <c r="B622">
        <f>IF(B$2=0,"",IFERROR(TRIM(INDEX('Pegar docentes'!$A$1:$BZ$1001,621,B$2)&amp;""),""))</f>
        <v/>
      </c>
      <c r="C622">
        <f>IF(C$2=0,"",IFERROR(TRIM(INDEX('Pegar docentes'!$A$1:$BZ$1001,621,C$2)&amp;""),""))</f>
        <v/>
      </c>
      <c r="D622">
        <f>IF(D$2=0,"",IFERROR(TRIM(INDEX('Pegar docentes'!$A$1:$BZ$1001,621,D$2)&amp;""),""))</f>
        <v/>
      </c>
      <c r="E622">
        <f>IF(E$2=0,"",IFERROR(TRIM(INDEX('Pegar docentes'!$A$1:$BZ$1001,621,E$2)&amp;""),""))</f>
        <v/>
      </c>
      <c r="F622">
        <f>IF(F$2=0,"",IFERROR(TRIM(INDEX('Pegar docentes'!$A$1:$BZ$1001,621,F$2)&amp;""),""))</f>
        <v/>
      </c>
      <c r="G622">
        <f>IF(G$2=0,"",IFERROR(TRIM(INDEX('Pegar docentes'!$A$1:$BZ$1001,621,G$2)&amp;""),""))</f>
        <v/>
      </c>
      <c r="H622">
        <f>IF(H$2=0,"",IFERROR(TRIM(INDEX('Pegar docentes'!$A$1:$BZ$1001,621,H$2)&amp;""),""))</f>
        <v/>
      </c>
      <c r="I622">
        <f>IF(I$2=0,"",IFERROR(TRIM(INDEX('Pegar docentes'!$A$1:$BZ$1001,621,I$2)&amp;""),""))</f>
        <v/>
      </c>
      <c r="J622">
        <f>IF(J$2=0,"",IFERROR(TRIM(INDEX('Pegar docentes'!$A$1:$BZ$1001,621,J$2)&amp;""),""))</f>
        <v/>
      </c>
      <c r="K622">
        <f>IF(K$2=0,"",IFERROR(TRIM(INDEX('Pegar docentes'!$A$1:$BZ$1001,621,K$2)&amp;""),""))</f>
        <v/>
      </c>
      <c r="L622">
        <f>IF(L$2=0,"",IFERROR(TRIM(INDEX('Pegar docentes'!$A$1:$BZ$1001,621,L$2)&amp;""),""))</f>
        <v/>
      </c>
      <c r="M622">
        <f>IF(M$2=0,"",IFERROR(TRIM(INDEX('Pegar docentes'!$A$1:$BZ$1001,621,M$2)&amp;""),""))</f>
        <v/>
      </c>
      <c r="N622">
        <f>IF(N$2=0,"",IFERROR(TRIM(INDEX('Pegar docentes'!$A$1:$BZ$1001,621,N$2)&amp;""),""))</f>
        <v/>
      </c>
      <c r="O622">
        <f>IF(O$2=0,"",IFERROR(TRIM(INDEX('Pegar docentes'!$A$1:$BZ$1001,621,O$2)&amp;""),""))</f>
        <v/>
      </c>
      <c r="P622">
        <f>IF(P$2=0,"",IFERROR(TRIM(INDEX('Pegar docentes'!$A$1:$BZ$1001,621,P$2)&amp;""),""))</f>
        <v/>
      </c>
      <c r="Q622" s="25">
        <f>IF(OR(D622&lt;&gt;"",H622&lt;&gt;""),1,"")</f>
        <v/>
      </c>
      <c r="R622" s="25">
        <f>IF(Q622=1,IF(ISNUMBER(FIND("#"&amp;MID(D622,1,1)&amp;"#","#0#1#2#3#4#5#6#7#8#9#")),IF(ISNUMBER(FIND("#"&amp;MID(D622,2,1)&amp;"#","#0#1#2#3#4#5#6#7#8#9#")),IF(AND(VALUE(LEFT(D622,2))&gt;=1,VALUE(LEFT(D622,2))&lt;=5),VALUE(LEFT(D622,2)),""),IF(AND(VALUE(LEFT(D622,1))&gt;=1,VALUE(LEFT(D622,1))&lt;=5),VALUE(LEFT(D622,1)),"")),""),"")</f>
        <v/>
      </c>
      <c r="S622" s="25">
        <f>IF(AND(Q622=1,E622&lt;&gt;""),SUBSTITUTE(SUBSTITUTE(SUBSTITUTE(SUBSTITUTE(SUBSTITUTE(SUBSTITUTE(SUBSTITUTE(SUBSTITUTE(SUBSTITUTE(SUBSTITUTE(SUBSTITUTE(SUBSTITUTE(LOWER(TRIM(E622)),"á","a"),"é","e"),"í","i"),"ó","o"),"ú","u"),"ü","u"),"ñ","n"),"à","a"),"è","e"),"ì","i"),"ò","o"),"ù","u"),"")</f>
        <v/>
      </c>
      <c r="T622" s="25">
        <f>IF(AND(Q622=1,G622&lt;&gt;""),SUBSTITUTE(SUBSTITUTE(SUBSTITUTE(SUBSTITUTE(SUBSTITUTE(SUBSTITUTE(SUBSTITUTE(SUBSTITUTE(SUBSTITUTE(SUBSTITUTE(SUBSTITUTE(SUBSTITUTE(LOWER(TRIM(G622)),"á","a"),"é","e"),"í","i"),"ó","o"),"ú","u"),"ü","u"),"ñ","n"),"à","a"),"è","e"),"ì","i"),"ò","o"),"ù","u"),"")</f>
        <v/>
      </c>
      <c r="U622" s="25">
        <f>IF(AND(Q622=1,H622&lt;&gt;""),SUBSTITUTE(SUBSTITUTE(SUBSTITUTE(SUBSTITUTE(SUBSTITUTE(SUBSTITUTE(SUBSTITUTE(SUBSTITUTE(SUBSTITUTE(SUBSTITUTE(SUBSTITUTE(SUBSTITUTE(LOWER(TRIM(H622)),"á","a"),"é","e"),"í","i"),"ó","o"),"ú","u"),"ü","u"),"ñ","n"),"à","a"),"è","e"),"ì","i"),"ò","o"),"ù","u"),"")</f>
        <v/>
      </c>
      <c r="V622" s="25">
        <f>IF(AND(Q622=1,L622&lt;&gt;""),SUBSTITUTE(SUBSTITUTE(SUBSTITUTE(SUBSTITUTE(SUBSTITUTE(SUBSTITUTE(SUBSTITUTE(SUBSTITUTE(SUBSTITUTE(SUBSTITUTE(SUBSTITUTE(SUBSTITUTE(LOWER(TRIM(L622)),"á","a"),"é","e"),"í","i"),"ó","o"),"ú","u"),"ü","u"),"ñ","n"),"à","a"),"è","e"),"ì","i"),"ò","o"),"ù","u"),"")</f>
        <v/>
      </c>
      <c r="W622" s="25">
        <f>IF(AND(Q622=1,I622&lt;&gt;""),SUBSTITUTE(SUBSTITUTE(SUBSTITUTE(SUBSTITUTE(SUBSTITUTE(SUBSTITUTE(SUBSTITUTE(SUBSTITUTE(SUBSTITUTE(SUBSTITUTE(SUBSTITUTE(SUBSTITUTE(LOWER(TRIM(I622)),"á","a"),"é","e"),"í","i"),"ó","o"),"ú","u"),"ü","u"),"ñ","n"),"à","a"),"è","e"),"ì","i"),"ò","o"),"ù","u"),"")</f>
        <v/>
      </c>
      <c r="X622" s="25">
        <f>IF(U622="","",IF(OR(U622="si, en la proxima tarea",U622="si, con cambios"),1,0))</f>
        <v/>
      </c>
      <c r="Y622" s="25">
        <f>IF(AND(Q622=1,A622&lt;&gt;""),IF(IFERROR(COUNTIFS(A$3:A622,"="&amp;SUBSTITUTE(SUBSTITUTE(SUBSTITUTE(A622,"~","~~"),"*","~*"),"?","~?"),Q$3:Q622,1),0)=1,MAX(Y$2:Y621)+1,""),"")</f>
        <v/>
      </c>
      <c r="Z622" s="25">
        <f>IF(Y622="","",COUNTIFS($A$3:$A$1002,"="&amp;SUBSTITUTE(SUBSTITUTE(SUBSTITUTE(A622,"~","~~"),"*","~*"),"?","~?"),$Q$3:$Q$1002,1)*10000-Y622)</f>
        <v/>
      </c>
    </row>
    <row r="623">
      <c r="A623">
        <f>IF(A$2=0,"",IFERROR(TRIM(INDEX('Pegar docentes'!$A$1:$BZ$1001,622,A$2)&amp;""),""))</f>
        <v/>
      </c>
      <c r="B623">
        <f>IF(B$2=0,"",IFERROR(TRIM(INDEX('Pegar docentes'!$A$1:$BZ$1001,622,B$2)&amp;""),""))</f>
        <v/>
      </c>
      <c r="C623">
        <f>IF(C$2=0,"",IFERROR(TRIM(INDEX('Pegar docentes'!$A$1:$BZ$1001,622,C$2)&amp;""),""))</f>
        <v/>
      </c>
      <c r="D623">
        <f>IF(D$2=0,"",IFERROR(TRIM(INDEX('Pegar docentes'!$A$1:$BZ$1001,622,D$2)&amp;""),""))</f>
        <v/>
      </c>
      <c r="E623">
        <f>IF(E$2=0,"",IFERROR(TRIM(INDEX('Pegar docentes'!$A$1:$BZ$1001,622,E$2)&amp;""),""))</f>
        <v/>
      </c>
      <c r="F623">
        <f>IF(F$2=0,"",IFERROR(TRIM(INDEX('Pegar docentes'!$A$1:$BZ$1001,622,F$2)&amp;""),""))</f>
        <v/>
      </c>
      <c r="G623">
        <f>IF(G$2=0,"",IFERROR(TRIM(INDEX('Pegar docentes'!$A$1:$BZ$1001,622,G$2)&amp;""),""))</f>
        <v/>
      </c>
      <c r="H623">
        <f>IF(H$2=0,"",IFERROR(TRIM(INDEX('Pegar docentes'!$A$1:$BZ$1001,622,H$2)&amp;""),""))</f>
        <v/>
      </c>
      <c r="I623">
        <f>IF(I$2=0,"",IFERROR(TRIM(INDEX('Pegar docentes'!$A$1:$BZ$1001,622,I$2)&amp;""),""))</f>
        <v/>
      </c>
      <c r="J623">
        <f>IF(J$2=0,"",IFERROR(TRIM(INDEX('Pegar docentes'!$A$1:$BZ$1001,622,J$2)&amp;""),""))</f>
        <v/>
      </c>
      <c r="K623">
        <f>IF(K$2=0,"",IFERROR(TRIM(INDEX('Pegar docentes'!$A$1:$BZ$1001,622,K$2)&amp;""),""))</f>
        <v/>
      </c>
      <c r="L623">
        <f>IF(L$2=0,"",IFERROR(TRIM(INDEX('Pegar docentes'!$A$1:$BZ$1001,622,L$2)&amp;""),""))</f>
        <v/>
      </c>
      <c r="M623">
        <f>IF(M$2=0,"",IFERROR(TRIM(INDEX('Pegar docentes'!$A$1:$BZ$1001,622,M$2)&amp;""),""))</f>
        <v/>
      </c>
      <c r="N623">
        <f>IF(N$2=0,"",IFERROR(TRIM(INDEX('Pegar docentes'!$A$1:$BZ$1001,622,N$2)&amp;""),""))</f>
        <v/>
      </c>
      <c r="O623">
        <f>IF(O$2=0,"",IFERROR(TRIM(INDEX('Pegar docentes'!$A$1:$BZ$1001,622,O$2)&amp;""),""))</f>
        <v/>
      </c>
      <c r="P623">
        <f>IF(P$2=0,"",IFERROR(TRIM(INDEX('Pegar docentes'!$A$1:$BZ$1001,622,P$2)&amp;""),""))</f>
        <v/>
      </c>
      <c r="Q623" s="25">
        <f>IF(OR(D623&lt;&gt;"",H623&lt;&gt;""),1,"")</f>
        <v/>
      </c>
      <c r="R623" s="25">
        <f>IF(Q623=1,IF(ISNUMBER(FIND("#"&amp;MID(D623,1,1)&amp;"#","#0#1#2#3#4#5#6#7#8#9#")),IF(ISNUMBER(FIND("#"&amp;MID(D623,2,1)&amp;"#","#0#1#2#3#4#5#6#7#8#9#")),IF(AND(VALUE(LEFT(D623,2))&gt;=1,VALUE(LEFT(D623,2))&lt;=5),VALUE(LEFT(D623,2)),""),IF(AND(VALUE(LEFT(D623,1))&gt;=1,VALUE(LEFT(D623,1))&lt;=5),VALUE(LEFT(D623,1)),"")),""),"")</f>
        <v/>
      </c>
      <c r="S623" s="25">
        <f>IF(AND(Q623=1,E623&lt;&gt;""),SUBSTITUTE(SUBSTITUTE(SUBSTITUTE(SUBSTITUTE(SUBSTITUTE(SUBSTITUTE(SUBSTITUTE(SUBSTITUTE(SUBSTITUTE(SUBSTITUTE(SUBSTITUTE(SUBSTITUTE(LOWER(TRIM(E623)),"á","a"),"é","e"),"í","i"),"ó","o"),"ú","u"),"ü","u"),"ñ","n"),"à","a"),"è","e"),"ì","i"),"ò","o"),"ù","u"),"")</f>
        <v/>
      </c>
      <c r="T623" s="25">
        <f>IF(AND(Q623=1,G623&lt;&gt;""),SUBSTITUTE(SUBSTITUTE(SUBSTITUTE(SUBSTITUTE(SUBSTITUTE(SUBSTITUTE(SUBSTITUTE(SUBSTITUTE(SUBSTITUTE(SUBSTITUTE(SUBSTITUTE(SUBSTITUTE(LOWER(TRIM(G623)),"á","a"),"é","e"),"í","i"),"ó","o"),"ú","u"),"ü","u"),"ñ","n"),"à","a"),"è","e"),"ì","i"),"ò","o"),"ù","u"),"")</f>
        <v/>
      </c>
      <c r="U623" s="25">
        <f>IF(AND(Q623=1,H623&lt;&gt;""),SUBSTITUTE(SUBSTITUTE(SUBSTITUTE(SUBSTITUTE(SUBSTITUTE(SUBSTITUTE(SUBSTITUTE(SUBSTITUTE(SUBSTITUTE(SUBSTITUTE(SUBSTITUTE(SUBSTITUTE(LOWER(TRIM(H623)),"á","a"),"é","e"),"í","i"),"ó","o"),"ú","u"),"ü","u"),"ñ","n"),"à","a"),"è","e"),"ì","i"),"ò","o"),"ù","u"),"")</f>
        <v/>
      </c>
      <c r="V623" s="25">
        <f>IF(AND(Q623=1,L623&lt;&gt;""),SUBSTITUTE(SUBSTITUTE(SUBSTITUTE(SUBSTITUTE(SUBSTITUTE(SUBSTITUTE(SUBSTITUTE(SUBSTITUTE(SUBSTITUTE(SUBSTITUTE(SUBSTITUTE(SUBSTITUTE(LOWER(TRIM(L623)),"á","a"),"é","e"),"í","i"),"ó","o"),"ú","u"),"ü","u"),"ñ","n"),"à","a"),"è","e"),"ì","i"),"ò","o"),"ù","u"),"")</f>
        <v/>
      </c>
      <c r="W623" s="25">
        <f>IF(AND(Q623=1,I623&lt;&gt;""),SUBSTITUTE(SUBSTITUTE(SUBSTITUTE(SUBSTITUTE(SUBSTITUTE(SUBSTITUTE(SUBSTITUTE(SUBSTITUTE(SUBSTITUTE(SUBSTITUTE(SUBSTITUTE(SUBSTITUTE(LOWER(TRIM(I623)),"á","a"),"é","e"),"í","i"),"ó","o"),"ú","u"),"ü","u"),"ñ","n"),"à","a"),"è","e"),"ì","i"),"ò","o"),"ù","u"),"")</f>
        <v/>
      </c>
      <c r="X623" s="25">
        <f>IF(U623="","",IF(OR(U623="si, en la proxima tarea",U623="si, con cambios"),1,0))</f>
        <v/>
      </c>
      <c r="Y623" s="25">
        <f>IF(AND(Q623=1,A623&lt;&gt;""),IF(IFERROR(COUNTIFS(A$3:A623,"="&amp;SUBSTITUTE(SUBSTITUTE(SUBSTITUTE(A623,"~","~~"),"*","~*"),"?","~?"),Q$3:Q623,1),0)=1,MAX(Y$2:Y622)+1,""),"")</f>
        <v/>
      </c>
      <c r="Z623" s="25">
        <f>IF(Y623="","",COUNTIFS($A$3:$A$1002,"="&amp;SUBSTITUTE(SUBSTITUTE(SUBSTITUTE(A623,"~","~~"),"*","~*"),"?","~?"),$Q$3:$Q$1002,1)*10000-Y623)</f>
        <v/>
      </c>
    </row>
    <row r="624">
      <c r="A624">
        <f>IF(A$2=0,"",IFERROR(TRIM(INDEX('Pegar docentes'!$A$1:$BZ$1001,623,A$2)&amp;""),""))</f>
        <v/>
      </c>
      <c r="B624">
        <f>IF(B$2=0,"",IFERROR(TRIM(INDEX('Pegar docentes'!$A$1:$BZ$1001,623,B$2)&amp;""),""))</f>
        <v/>
      </c>
      <c r="C624">
        <f>IF(C$2=0,"",IFERROR(TRIM(INDEX('Pegar docentes'!$A$1:$BZ$1001,623,C$2)&amp;""),""))</f>
        <v/>
      </c>
      <c r="D624">
        <f>IF(D$2=0,"",IFERROR(TRIM(INDEX('Pegar docentes'!$A$1:$BZ$1001,623,D$2)&amp;""),""))</f>
        <v/>
      </c>
      <c r="E624">
        <f>IF(E$2=0,"",IFERROR(TRIM(INDEX('Pegar docentes'!$A$1:$BZ$1001,623,E$2)&amp;""),""))</f>
        <v/>
      </c>
      <c r="F624">
        <f>IF(F$2=0,"",IFERROR(TRIM(INDEX('Pegar docentes'!$A$1:$BZ$1001,623,F$2)&amp;""),""))</f>
        <v/>
      </c>
      <c r="G624">
        <f>IF(G$2=0,"",IFERROR(TRIM(INDEX('Pegar docentes'!$A$1:$BZ$1001,623,G$2)&amp;""),""))</f>
        <v/>
      </c>
      <c r="H624">
        <f>IF(H$2=0,"",IFERROR(TRIM(INDEX('Pegar docentes'!$A$1:$BZ$1001,623,H$2)&amp;""),""))</f>
        <v/>
      </c>
      <c r="I624">
        <f>IF(I$2=0,"",IFERROR(TRIM(INDEX('Pegar docentes'!$A$1:$BZ$1001,623,I$2)&amp;""),""))</f>
        <v/>
      </c>
      <c r="J624">
        <f>IF(J$2=0,"",IFERROR(TRIM(INDEX('Pegar docentes'!$A$1:$BZ$1001,623,J$2)&amp;""),""))</f>
        <v/>
      </c>
      <c r="K624">
        <f>IF(K$2=0,"",IFERROR(TRIM(INDEX('Pegar docentes'!$A$1:$BZ$1001,623,K$2)&amp;""),""))</f>
        <v/>
      </c>
      <c r="L624">
        <f>IF(L$2=0,"",IFERROR(TRIM(INDEX('Pegar docentes'!$A$1:$BZ$1001,623,L$2)&amp;""),""))</f>
        <v/>
      </c>
      <c r="M624">
        <f>IF(M$2=0,"",IFERROR(TRIM(INDEX('Pegar docentes'!$A$1:$BZ$1001,623,M$2)&amp;""),""))</f>
        <v/>
      </c>
      <c r="N624">
        <f>IF(N$2=0,"",IFERROR(TRIM(INDEX('Pegar docentes'!$A$1:$BZ$1001,623,N$2)&amp;""),""))</f>
        <v/>
      </c>
      <c r="O624">
        <f>IF(O$2=0,"",IFERROR(TRIM(INDEX('Pegar docentes'!$A$1:$BZ$1001,623,O$2)&amp;""),""))</f>
        <v/>
      </c>
      <c r="P624">
        <f>IF(P$2=0,"",IFERROR(TRIM(INDEX('Pegar docentes'!$A$1:$BZ$1001,623,P$2)&amp;""),""))</f>
        <v/>
      </c>
      <c r="Q624" s="25">
        <f>IF(OR(D624&lt;&gt;"",H624&lt;&gt;""),1,"")</f>
        <v/>
      </c>
      <c r="R624" s="25">
        <f>IF(Q624=1,IF(ISNUMBER(FIND("#"&amp;MID(D624,1,1)&amp;"#","#0#1#2#3#4#5#6#7#8#9#")),IF(ISNUMBER(FIND("#"&amp;MID(D624,2,1)&amp;"#","#0#1#2#3#4#5#6#7#8#9#")),IF(AND(VALUE(LEFT(D624,2))&gt;=1,VALUE(LEFT(D624,2))&lt;=5),VALUE(LEFT(D624,2)),""),IF(AND(VALUE(LEFT(D624,1))&gt;=1,VALUE(LEFT(D624,1))&lt;=5),VALUE(LEFT(D624,1)),"")),""),"")</f>
        <v/>
      </c>
      <c r="S624" s="25">
        <f>IF(AND(Q624=1,E624&lt;&gt;""),SUBSTITUTE(SUBSTITUTE(SUBSTITUTE(SUBSTITUTE(SUBSTITUTE(SUBSTITUTE(SUBSTITUTE(SUBSTITUTE(SUBSTITUTE(SUBSTITUTE(SUBSTITUTE(SUBSTITUTE(LOWER(TRIM(E624)),"á","a"),"é","e"),"í","i"),"ó","o"),"ú","u"),"ü","u"),"ñ","n"),"à","a"),"è","e"),"ì","i"),"ò","o"),"ù","u"),"")</f>
        <v/>
      </c>
      <c r="T624" s="25">
        <f>IF(AND(Q624=1,G624&lt;&gt;""),SUBSTITUTE(SUBSTITUTE(SUBSTITUTE(SUBSTITUTE(SUBSTITUTE(SUBSTITUTE(SUBSTITUTE(SUBSTITUTE(SUBSTITUTE(SUBSTITUTE(SUBSTITUTE(SUBSTITUTE(LOWER(TRIM(G624)),"á","a"),"é","e"),"í","i"),"ó","o"),"ú","u"),"ü","u"),"ñ","n"),"à","a"),"è","e"),"ì","i"),"ò","o"),"ù","u"),"")</f>
        <v/>
      </c>
      <c r="U624" s="25">
        <f>IF(AND(Q624=1,H624&lt;&gt;""),SUBSTITUTE(SUBSTITUTE(SUBSTITUTE(SUBSTITUTE(SUBSTITUTE(SUBSTITUTE(SUBSTITUTE(SUBSTITUTE(SUBSTITUTE(SUBSTITUTE(SUBSTITUTE(SUBSTITUTE(LOWER(TRIM(H624)),"á","a"),"é","e"),"í","i"),"ó","o"),"ú","u"),"ü","u"),"ñ","n"),"à","a"),"è","e"),"ì","i"),"ò","o"),"ù","u"),"")</f>
        <v/>
      </c>
      <c r="V624" s="25">
        <f>IF(AND(Q624=1,L624&lt;&gt;""),SUBSTITUTE(SUBSTITUTE(SUBSTITUTE(SUBSTITUTE(SUBSTITUTE(SUBSTITUTE(SUBSTITUTE(SUBSTITUTE(SUBSTITUTE(SUBSTITUTE(SUBSTITUTE(SUBSTITUTE(LOWER(TRIM(L624)),"á","a"),"é","e"),"í","i"),"ó","o"),"ú","u"),"ü","u"),"ñ","n"),"à","a"),"è","e"),"ì","i"),"ò","o"),"ù","u"),"")</f>
        <v/>
      </c>
      <c r="W624" s="25">
        <f>IF(AND(Q624=1,I624&lt;&gt;""),SUBSTITUTE(SUBSTITUTE(SUBSTITUTE(SUBSTITUTE(SUBSTITUTE(SUBSTITUTE(SUBSTITUTE(SUBSTITUTE(SUBSTITUTE(SUBSTITUTE(SUBSTITUTE(SUBSTITUTE(LOWER(TRIM(I624)),"á","a"),"é","e"),"í","i"),"ó","o"),"ú","u"),"ü","u"),"ñ","n"),"à","a"),"è","e"),"ì","i"),"ò","o"),"ù","u"),"")</f>
        <v/>
      </c>
      <c r="X624" s="25">
        <f>IF(U624="","",IF(OR(U624="si, en la proxima tarea",U624="si, con cambios"),1,0))</f>
        <v/>
      </c>
      <c r="Y624" s="25">
        <f>IF(AND(Q624=1,A624&lt;&gt;""),IF(IFERROR(COUNTIFS(A$3:A624,"="&amp;SUBSTITUTE(SUBSTITUTE(SUBSTITUTE(A624,"~","~~"),"*","~*"),"?","~?"),Q$3:Q624,1),0)=1,MAX(Y$2:Y623)+1,""),"")</f>
        <v/>
      </c>
      <c r="Z624" s="25">
        <f>IF(Y624="","",COUNTIFS($A$3:$A$1002,"="&amp;SUBSTITUTE(SUBSTITUTE(SUBSTITUTE(A624,"~","~~"),"*","~*"),"?","~?"),$Q$3:$Q$1002,1)*10000-Y624)</f>
        <v/>
      </c>
    </row>
    <row r="625">
      <c r="A625">
        <f>IF(A$2=0,"",IFERROR(TRIM(INDEX('Pegar docentes'!$A$1:$BZ$1001,624,A$2)&amp;""),""))</f>
        <v/>
      </c>
      <c r="B625">
        <f>IF(B$2=0,"",IFERROR(TRIM(INDEX('Pegar docentes'!$A$1:$BZ$1001,624,B$2)&amp;""),""))</f>
        <v/>
      </c>
      <c r="C625">
        <f>IF(C$2=0,"",IFERROR(TRIM(INDEX('Pegar docentes'!$A$1:$BZ$1001,624,C$2)&amp;""),""))</f>
        <v/>
      </c>
      <c r="D625">
        <f>IF(D$2=0,"",IFERROR(TRIM(INDEX('Pegar docentes'!$A$1:$BZ$1001,624,D$2)&amp;""),""))</f>
        <v/>
      </c>
      <c r="E625">
        <f>IF(E$2=0,"",IFERROR(TRIM(INDEX('Pegar docentes'!$A$1:$BZ$1001,624,E$2)&amp;""),""))</f>
        <v/>
      </c>
      <c r="F625">
        <f>IF(F$2=0,"",IFERROR(TRIM(INDEX('Pegar docentes'!$A$1:$BZ$1001,624,F$2)&amp;""),""))</f>
        <v/>
      </c>
      <c r="G625">
        <f>IF(G$2=0,"",IFERROR(TRIM(INDEX('Pegar docentes'!$A$1:$BZ$1001,624,G$2)&amp;""),""))</f>
        <v/>
      </c>
      <c r="H625">
        <f>IF(H$2=0,"",IFERROR(TRIM(INDEX('Pegar docentes'!$A$1:$BZ$1001,624,H$2)&amp;""),""))</f>
        <v/>
      </c>
      <c r="I625">
        <f>IF(I$2=0,"",IFERROR(TRIM(INDEX('Pegar docentes'!$A$1:$BZ$1001,624,I$2)&amp;""),""))</f>
        <v/>
      </c>
      <c r="J625">
        <f>IF(J$2=0,"",IFERROR(TRIM(INDEX('Pegar docentes'!$A$1:$BZ$1001,624,J$2)&amp;""),""))</f>
        <v/>
      </c>
      <c r="K625">
        <f>IF(K$2=0,"",IFERROR(TRIM(INDEX('Pegar docentes'!$A$1:$BZ$1001,624,K$2)&amp;""),""))</f>
        <v/>
      </c>
      <c r="L625">
        <f>IF(L$2=0,"",IFERROR(TRIM(INDEX('Pegar docentes'!$A$1:$BZ$1001,624,L$2)&amp;""),""))</f>
        <v/>
      </c>
      <c r="M625">
        <f>IF(M$2=0,"",IFERROR(TRIM(INDEX('Pegar docentes'!$A$1:$BZ$1001,624,M$2)&amp;""),""))</f>
        <v/>
      </c>
      <c r="N625">
        <f>IF(N$2=0,"",IFERROR(TRIM(INDEX('Pegar docentes'!$A$1:$BZ$1001,624,N$2)&amp;""),""))</f>
        <v/>
      </c>
      <c r="O625">
        <f>IF(O$2=0,"",IFERROR(TRIM(INDEX('Pegar docentes'!$A$1:$BZ$1001,624,O$2)&amp;""),""))</f>
        <v/>
      </c>
      <c r="P625">
        <f>IF(P$2=0,"",IFERROR(TRIM(INDEX('Pegar docentes'!$A$1:$BZ$1001,624,P$2)&amp;""),""))</f>
        <v/>
      </c>
      <c r="Q625" s="25">
        <f>IF(OR(D625&lt;&gt;"",H625&lt;&gt;""),1,"")</f>
        <v/>
      </c>
      <c r="R625" s="25">
        <f>IF(Q625=1,IF(ISNUMBER(FIND("#"&amp;MID(D625,1,1)&amp;"#","#0#1#2#3#4#5#6#7#8#9#")),IF(ISNUMBER(FIND("#"&amp;MID(D625,2,1)&amp;"#","#0#1#2#3#4#5#6#7#8#9#")),IF(AND(VALUE(LEFT(D625,2))&gt;=1,VALUE(LEFT(D625,2))&lt;=5),VALUE(LEFT(D625,2)),""),IF(AND(VALUE(LEFT(D625,1))&gt;=1,VALUE(LEFT(D625,1))&lt;=5),VALUE(LEFT(D625,1)),"")),""),"")</f>
        <v/>
      </c>
      <c r="S625" s="25">
        <f>IF(AND(Q625=1,E625&lt;&gt;""),SUBSTITUTE(SUBSTITUTE(SUBSTITUTE(SUBSTITUTE(SUBSTITUTE(SUBSTITUTE(SUBSTITUTE(SUBSTITUTE(SUBSTITUTE(SUBSTITUTE(SUBSTITUTE(SUBSTITUTE(LOWER(TRIM(E625)),"á","a"),"é","e"),"í","i"),"ó","o"),"ú","u"),"ü","u"),"ñ","n"),"à","a"),"è","e"),"ì","i"),"ò","o"),"ù","u"),"")</f>
        <v/>
      </c>
      <c r="T625" s="25">
        <f>IF(AND(Q625=1,G625&lt;&gt;""),SUBSTITUTE(SUBSTITUTE(SUBSTITUTE(SUBSTITUTE(SUBSTITUTE(SUBSTITUTE(SUBSTITUTE(SUBSTITUTE(SUBSTITUTE(SUBSTITUTE(SUBSTITUTE(SUBSTITUTE(LOWER(TRIM(G625)),"á","a"),"é","e"),"í","i"),"ó","o"),"ú","u"),"ü","u"),"ñ","n"),"à","a"),"è","e"),"ì","i"),"ò","o"),"ù","u"),"")</f>
        <v/>
      </c>
      <c r="U625" s="25">
        <f>IF(AND(Q625=1,H625&lt;&gt;""),SUBSTITUTE(SUBSTITUTE(SUBSTITUTE(SUBSTITUTE(SUBSTITUTE(SUBSTITUTE(SUBSTITUTE(SUBSTITUTE(SUBSTITUTE(SUBSTITUTE(SUBSTITUTE(SUBSTITUTE(LOWER(TRIM(H625)),"á","a"),"é","e"),"í","i"),"ó","o"),"ú","u"),"ü","u"),"ñ","n"),"à","a"),"è","e"),"ì","i"),"ò","o"),"ù","u"),"")</f>
        <v/>
      </c>
      <c r="V625" s="25">
        <f>IF(AND(Q625=1,L625&lt;&gt;""),SUBSTITUTE(SUBSTITUTE(SUBSTITUTE(SUBSTITUTE(SUBSTITUTE(SUBSTITUTE(SUBSTITUTE(SUBSTITUTE(SUBSTITUTE(SUBSTITUTE(SUBSTITUTE(SUBSTITUTE(LOWER(TRIM(L625)),"á","a"),"é","e"),"í","i"),"ó","o"),"ú","u"),"ü","u"),"ñ","n"),"à","a"),"è","e"),"ì","i"),"ò","o"),"ù","u"),"")</f>
        <v/>
      </c>
      <c r="W625" s="25">
        <f>IF(AND(Q625=1,I625&lt;&gt;""),SUBSTITUTE(SUBSTITUTE(SUBSTITUTE(SUBSTITUTE(SUBSTITUTE(SUBSTITUTE(SUBSTITUTE(SUBSTITUTE(SUBSTITUTE(SUBSTITUTE(SUBSTITUTE(SUBSTITUTE(LOWER(TRIM(I625)),"á","a"),"é","e"),"í","i"),"ó","o"),"ú","u"),"ü","u"),"ñ","n"),"à","a"),"è","e"),"ì","i"),"ò","o"),"ù","u"),"")</f>
        <v/>
      </c>
      <c r="X625" s="25">
        <f>IF(U625="","",IF(OR(U625="si, en la proxima tarea",U625="si, con cambios"),1,0))</f>
        <v/>
      </c>
      <c r="Y625" s="25">
        <f>IF(AND(Q625=1,A625&lt;&gt;""),IF(IFERROR(COUNTIFS(A$3:A625,"="&amp;SUBSTITUTE(SUBSTITUTE(SUBSTITUTE(A625,"~","~~"),"*","~*"),"?","~?"),Q$3:Q625,1),0)=1,MAX(Y$2:Y624)+1,""),"")</f>
        <v/>
      </c>
      <c r="Z625" s="25">
        <f>IF(Y625="","",COUNTIFS($A$3:$A$1002,"="&amp;SUBSTITUTE(SUBSTITUTE(SUBSTITUTE(A625,"~","~~"),"*","~*"),"?","~?"),$Q$3:$Q$1002,1)*10000-Y625)</f>
        <v/>
      </c>
    </row>
    <row r="626">
      <c r="A626">
        <f>IF(A$2=0,"",IFERROR(TRIM(INDEX('Pegar docentes'!$A$1:$BZ$1001,625,A$2)&amp;""),""))</f>
        <v/>
      </c>
      <c r="B626">
        <f>IF(B$2=0,"",IFERROR(TRIM(INDEX('Pegar docentes'!$A$1:$BZ$1001,625,B$2)&amp;""),""))</f>
        <v/>
      </c>
      <c r="C626">
        <f>IF(C$2=0,"",IFERROR(TRIM(INDEX('Pegar docentes'!$A$1:$BZ$1001,625,C$2)&amp;""),""))</f>
        <v/>
      </c>
      <c r="D626">
        <f>IF(D$2=0,"",IFERROR(TRIM(INDEX('Pegar docentes'!$A$1:$BZ$1001,625,D$2)&amp;""),""))</f>
        <v/>
      </c>
      <c r="E626">
        <f>IF(E$2=0,"",IFERROR(TRIM(INDEX('Pegar docentes'!$A$1:$BZ$1001,625,E$2)&amp;""),""))</f>
        <v/>
      </c>
      <c r="F626">
        <f>IF(F$2=0,"",IFERROR(TRIM(INDEX('Pegar docentes'!$A$1:$BZ$1001,625,F$2)&amp;""),""))</f>
        <v/>
      </c>
      <c r="G626">
        <f>IF(G$2=0,"",IFERROR(TRIM(INDEX('Pegar docentes'!$A$1:$BZ$1001,625,G$2)&amp;""),""))</f>
        <v/>
      </c>
      <c r="H626">
        <f>IF(H$2=0,"",IFERROR(TRIM(INDEX('Pegar docentes'!$A$1:$BZ$1001,625,H$2)&amp;""),""))</f>
        <v/>
      </c>
      <c r="I626">
        <f>IF(I$2=0,"",IFERROR(TRIM(INDEX('Pegar docentes'!$A$1:$BZ$1001,625,I$2)&amp;""),""))</f>
        <v/>
      </c>
      <c r="J626">
        <f>IF(J$2=0,"",IFERROR(TRIM(INDEX('Pegar docentes'!$A$1:$BZ$1001,625,J$2)&amp;""),""))</f>
        <v/>
      </c>
      <c r="K626">
        <f>IF(K$2=0,"",IFERROR(TRIM(INDEX('Pegar docentes'!$A$1:$BZ$1001,625,K$2)&amp;""),""))</f>
        <v/>
      </c>
      <c r="L626">
        <f>IF(L$2=0,"",IFERROR(TRIM(INDEX('Pegar docentes'!$A$1:$BZ$1001,625,L$2)&amp;""),""))</f>
        <v/>
      </c>
      <c r="M626">
        <f>IF(M$2=0,"",IFERROR(TRIM(INDEX('Pegar docentes'!$A$1:$BZ$1001,625,M$2)&amp;""),""))</f>
        <v/>
      </c>
      <c r="N626">
        <f>IF(N$2=0,"",IFERROR(TRIM(INDEX('Pegar docentes'!$A$1:$BZ$1001,625,N$2)&amp;""),""))</f>
        <v/>
      </c>
      <c r="O626">
        <f>IF(O$2=0,"",IFERROR(TRIM(INDEX('Pegar docentes'!$A$1:$BZ$1001,625,O$2)&amp;""),""))</f>
        <v/>
      </c>
      <c r="P626">
        <f>IF(P$2=0,"",IFERROR(TRIM(INDEX('Pegar docentes'!$A$1:$BZ$1001,625,P$2)&amp;""),""))</f>
        <v/>
      </c>
      <c r="Q626" s="25">
        <f>IF(OR(D626&lt;&gt;"",H626&lt;&gt;""),1,"")</f>
        <v/>
      </c>
      <c r="R626" s="25">
        <f>IF(Q626=1,IF(ISNUMBER(FIND("#"&amp;MID(D626,1,1)&amp;"#","#0#1#2#3#4#5#6#7#8#9#")),IF(ISNUMBER(FIND("#"&amp;MID(D626,2,1)&amp;"#","#0#1#2#3#4#5#6#7#8#9#")),IF(AND(VALUE(LEFT(D626,2))&gt;=1,VALUE(LEFT(D626,2))&lt;=5),VALUE(LEFT(D626,2)),""),IF(AND(VALUE(LEFT(D626,1))&gt;=1,VALUE(LEFT(D626,1))&lt;=5),VALUE(LEFT(D626,1)),"")),""),"")</f>
        <v/>
      </c>
      <c r="S626" s="25">
        <f>IF(AND(Q626=1,E626&lt;&gt;""),SUBSTITUTE(SUBSTITUTE(SUBSTITUTE(SUBSTITUTE(SUBSTITUTE(SUBSTITUTE(SUBSTITUTE(SUBSTITUTE(SUBSTITUTE(SUBSTITUTE(SUBSTITUTE(SUBSTITUTE(LOWER(TRIM(E626)),"á","a"),"é","e"),"í","i"),"ó","o"),"ú","u"),"ü","u"),"ñ","n"),"à","a"),"è","e"),"ì","i"),"ò","o"),"ù","u"),"")</f>
        <v/>
      </c>
      <c r="T626" s="25">
        <f>IF(AND(Q626=1,G626&lt;&gt;""),SUBSTITUTE(SUBSTITUTE(SUBSTITUTE(SUBSTITUTE(SUBSTITUTE(SUBSTITUTE(SUBSTITUTE(SUBSTITUTE(SUBSTITUTE(SUBSTITUTE(SUBSTITUTE(SUBSTITUTE(LOWER(TRIM(G626)),"á","a"),"é","e"),"í","i"),"ó","o"),"ú","u"),"ü","u"),"ñ","n"),"à","a"),"è","e"),"ì","i"),"ò","o"),"ù","u"),"")</f>
        <v/>
      </c>
      <c r="U626" s="25">
        <f>IF(AND(Q626=1,H626&lt;&gt;""),SUBSTITUTE(SUBSTITUTE(SUBSTITUTE(SUBSTITUTE(SUBSTITUTE(SUBSTITUTE(SUBSTITUTE(SUBSTITUTE(SUBSTITUTE(SUBSTITUTE(SUBSTITUTE(SUBSTITUTE(LOWER(TRIM(H626)),"á","a"),"é","e"),"í","i"),"ó","o"),"ú","u"),"ü","u"),"ñ","n"),"à","a"),"è","e"),"ì","i"),"ò","o"),"ù","u"),"")</f>
        <v/>
      </c>
      <c r="V626" s="25">
        <f>IF(AND(Q626=1,L626&lt;&gt;""),SUBSTITUTE(SUBSTITUTE(SUBSTITUTE(SUBSTITUTE(SUBSTITUTE(SUBSTITUTE(SUBSTITUTE(SUBSTITUTE(SUBSTITUTE(SUBSTITUTE(SUBSTITUTE(SUBSTITUTE(LOWER(TRIM(L626)),"á","a"),"é","e"),"í","i"),"ó","o"),"ú","u"),"ü","u"),"ñ","n"),"à","a"),"è","e"),"ì","i"),"ò","o"),"ù","u"),"")</f>
        <v/>
      </c>
      <c r="W626" s="25">
        <f>IF(AND(Q626=1,I626&lt;&gt;""),SUBSTITUTE(SUBSTITUTE(SUBSTITUTE(SUBSTITUTE(SUBSTITUTE(SUBSTITUTE(SUBSTITUTE(SUBSTITUTE(SUBSTITUTE(SUBSTITUTE(SUBSTITUTE(SUBSTITUTE(LOWER(TRIM(I626)),"á","a"),"é","e"),"í","i"),"ó","o"),"ú","u"),"ü","u"),"ñ","n"),"à","a"),"è","e"),"ì","i"),"ò","o"),"ù","u"),"")</f>
        <v/>
      </c>
      <c r="X626" s="25">
        <f>IF(U626="","",IF(OR(U626="si, en la proxima tarea",U626="si, con cambios"),1,0))</f>
        <v/>
      </c>
      <c r="Y626" s="25">
        <f>IF(AND(Q626=1,A626&lt;&gt;""),IF(IFERROR(COUNTIFS(A$3:A626,"="&amp;SUBSTITUTE(SUBSTITUTE(SUBSTITUTE(A626,"~","~~"),"*","~*"),"?","~?"),Q$3:Q626,1),0)=1,MAX(Y$2:Y625)+1,""),"")</f>
        <v/>
      </c>
      <c r="Z626" s="25">
        <f>IF(Y626="","",COUNTIFS($A$3:$A$1002,"="&amp;SUBSTITUTE(SUBSTITUTE(SUBSTITUTE(A626,"~","~~"),"*","~*"),"?","~?"),$Q$3:$Q$1002,1)*10000-Y626)</f>
        <v/>
      </c>
    </row>
    <row r="627">
      <c r="A627">
        <f>IF(A$2=0,"",IFERROR(TRIM(INDEX('Pegar docentes'!$A$1:$BZ$1001,626,A$2)&amp;""),""))</f>
        <v/>
      </c>
      <c r="B627">
        <f>IF(B$2=0,"",IFERROR(TRIM(INDEX('Pegar docentes'!$A$1:$BZ$1001,626,B$2)&amp;""),""))</f>
        <v/>
      </c>
      <c r="C627">
        <f>IF(C$2=0,"",IFERROR(TRIM(INDEX('Pegar docentes'!$A$1:$BZ$1001,626,C$2)&amp;""),""))</f>
        <v/>
      </c>
      <c r="D627">
        <f>IF(D$2=0,"",IFERROR(TRIM(INDEX('Pegar docentes'!$A$1:$BZ$1001,626,D$2)&amp;""),""))</f>
        <v/>
      </c>
      <c r="E627">
        <f>IF(E$2=0,"",IFERROR(TRIM(INDEX('Pegar docentes'!$A$1:$BZ$1001,626,E$2)&amp;""),""))</f>
        <v/>
      </c>
      <c r="F627">
        <f>IF(F$2=0,"",IFERROR(TRIM(INDEX('Pegar docentes'!$A$1:$BZ$1001,626,F$2)&amp;""),""))</f>
        <v/>
      </c>
      <c r="G627">
        <f>IF(G$2=0,"",IFERROR(TRIM(INDEX('Pegar docentes'!$A$1:$BZ$1001,626,G$2)&amp;""),""))</f>
        <v/>
      </c>
      <c r="H627">
        <f>IF(H$2=0,"",IFERROR(TRIM(INDEX('Pegar docentes'!$A$1:$BZ$1001,626,H$2)&amp;""),""))</f>
        <v/>
      </c>
      <c r="I627">
        <f>IF(I$2=0,"",IFERROR(TRIM(INDEX('Pegar docentes'!$A$1:$BZ$1001,626,I$2)&amp;""),""))</f>
        <v/>
      </c>
      <c r="J627">
        <f>IF(J$2=0,"",IFERROR(TRIM(INDEX('Pegar docentes'!$A$1:$BZ$1001,626,J$2)&amp;""),""))</f>
        <v/>
      </c>
      <c r="K627">
        <f>IF(K$2=0,"",IFERROR(TRIM(INDEX('Pegar docentes'!$A$1:$BZ$1001,626,K$2)&amp;""),""))</f>
        <v/>
      </c>
      <c r="L627">
        <f>IF(L$2=0,"",IFERROR(TRIM(INDEX('Pegar docentes'!$A$1:$BZ$1001,626,L$2)&amp;""),""))</f>
        <v/>
      </c>
      <c r="M627">
        <f>IF(M$2=0,"",IFERROR(TRIM(INDEX('Pegar docentes'!$A$1:$BZ$1001,626,M$2)&amp;""),""))</f>
        <v/>
      </c>
      <c r="N627">
        <f>IF(N$2=0,"",IFERROR(TRIM(INDEX('Pegar docentes'!$A$1:$BZ$1001,626,N$2)&amp;""),""))</f>
        <v/>
      </c>
      <c r="O627">
        <f>IF(O$2=0,"",IFERROR(TRIM(INDEX('Pegar docentes'!$A$1:$BZ$1001,626,O$2)&amp;""),""))</f>
        <v/>
      </c>
      <c r="P627">
        <f>IF(P$2=0,"",IFERROR(TRIM(INDEX('Pegar docentes'!$A$1:$BZ$1001,626,P$2)&amp;""),""))</f>
        <v/>
      </c>
      <c r="Q627" s="25">
        <f>IF(OR(D627&lt;&gt;"",H627&lt;&gt;""),1,"")</f>
        <v/>
      </c>
      <c r="R627" s="25">
        <f>IF(Q627=1,IF(ISNUMBER(FIND("#"&amp;MID(D627,1,1)&amp;"#","#0#1#2#3#4#5#6#7#8#9#")),IF(ISNUMBER(FIND("#"&amp;MID(D627,2,1)&amp;"#","#0#1#2#3#4#5#6#7#8#9#")),IF(AND(VALUE(LEFT(D627,2))&gt;=1,VALUE(LEFT(D627,2))&lt;=5),VALUE(LEFT(D627,2)),""),IF(AND(VALUE(LEFT(D627,1))&gt;=1,VALUE(LEFT(D627,1))&lt;=5),VALUE(LEFT(D627,1)),"")),""),"")</f>
        <v/>
      </c>
      <c r="S627" s="25">
        <f>IF(AND(Q627=1,E627&lt;&gt;""),SUBSTITUTE(SUBSTITUTE(SUBSTITUTE(SUBSTITUTE(SUBSTITUTE(SUBSTITUTE(SUBSTITUTE(SUBSTITUTE(SUBSTITUTE(SUBSTITUTE(SUBSTITUTE(SUBSTITUTE(LOWER(TRIM(E627)),"á","a"),"é","e"),"í","i"),"ó","o"),"ú","u"),"ü","u"),"ñ","n"),"à","a"),"è","e"),"ì","i"),"ò","o"),"ù","u"),"")</f>
        <v/>
      </c>
      <c r="T627" s="25">
        <f>IF(AND(Q627=1,G627&lt;&gt;""),SUBSTITUTE(SUBSTITUTE(SUBSTITUTE(SUBSTITUTE(SUBSTITUTE(SUBSTITUTE(SUBSTITUTE(SUBSTITUTE(SUBSTITUTE(SUBSTITUTE(SUBSTITUTE(SUBSTITUTE(LOWER(TRIM(G627)),"á","a"),"é","e"),"í","i"),"ó","o"),"ú","u"),"ü","u"),"ñ","n"),"à","a"),"è","e"),"ì","i"),"ò","o"),"ù","u"),"")</f>
        <v/>
      </c>
      <c r="U627" s="25">
        <f>IF(AND(Q627=1,H627&lt;&gt;""),SUBSTITUTE(SUBSTITUTE(SUBSTITUTE(SUBSTITUTE(SUBSTITUTE(SUBSTITUTE(SUBSTITUTE(SUBSTITUTE(SUBSTITUTE(SUBSTITUTE(SUBSTITUTE(SUBSTITUTE(LOWER(TRIM(H627)),"á","a"),"é","e"),"í","i"),"ó","o"),"ú","u"),"ü","u"),"ñ","n"),"à","a"),"è","e"),"ì","i"),"ò","o"),"ù","u"),"")</f>
        <v/>
      </c>
      <c r="V627" s="25">
        <f>IF(AND(Q627=1,L627&lt;&gt;""),SUBSTITUTE(SUBSTITUTE(SUBSTITUTE(SUBSTITUTE(SUBSTITUTE(SUBSTITUTE(SUBSTITUTE(SUBSTITUTE(SUBSTITUTE(SUBSTITUTE(SUBSTITUTE(SUBSTITUTE(LOWER(TRIM(L627)),"á","a"),"é","e"),"í","i"),"ó","o"),"ú","u"),"ü","u"),"ñ","n"),"à","a"),"è","e"),"ì","i"),"ò","o"),"ù","u"),"")</f>
        <v/>
      </c>
      <c r="W627" s="25">
        <f>IF(AND(Q627=1,I627&lt;&gt;""),SUBSTITUTE(SUBSTITUTE(SUBSTITUTE(SUBSTITUTE(SUBSTITUTE(SUBSTITUTE(SUBSTITUTE(SUBSTITUTE(SUBSTITUTE(SUBSTITUTE(SUBSTITUTE(SUBSTITUTE(LOWER(TRIM(I627)),"á","a"),"é","e"),"í","i"),"ó","o"),"ú","u"),"ü","u"),"ñ","n"),"à","a"),"è","e"),"ì","i"),"ò","o"),"ù","u"),"")</f>
        <v/>
      </c>
      <c r="X627" s="25">
        <f>IF(U627="","",IF(OR(U627="si, en la proxima tarea",U627="si, con cambios"),1,0))</f>
        <v/>
      </c>
      <c r="Y627" s="25">
        <f>IF(AND(Q627=1,A627&lt;&gt;""),IF(IFERROR(COUNTIFS(A$3:A627,"="&amp;SUBSTITUTE(SUBSTITUTE(SUBSTITUTE(A627,"~","~~"),"*","~*"),"?","~?"),Q$3:Q627,1),0)=1,MAX(Y$2:Y626)+1,""),"")</f>
        <v/>
      </c>
      <c r="Z627" s="25">
        <f>IF(Y627="","",COUNTIFS($A$3:$A$1002,"="&amp;SUBSTITUTE(SUBSTITUTE(SUBSTITUTE(A627,"~","~~"),"*","~*"),"?","~?"),$Q$3:$Q$1002,1)*10000-Y627)</f>
        <v/>
      </c>
    </row>
    <row r="628">
      <c r="A628">
        <f>IF(A$2=0,"",IFERROR(TRIM(INDEX('Pegar docentes'!$A$1:$BZ$1001,627,A$2)&amp;""),""))</f>
        <v/>
      </c>
      <c r="B628">
        <f>IF(B$2=0,"",IFERROR(TRIM(INDEX('Pegar docentes'!$A$1:$BZ$1001,627,B$2)&amp;""),""))</f>
        <v/>
      </c>
      <c r="C628">
        <f>IF(C$2=0,"",IFERROR(TRIM(INDEX('Pegar docentes'!$A$1:$BZ$1001,627,C$2)&amp;""),""))</f>
        <v/>
      </c>
      <c r="D628">
        <f>IF(D$2=0,"",IFERROR(TRIM(INDEX('Pegar docentes'!$A$1:$BZ$1001,627,D$2)&amp;""),""))</f>
        <v/>
      </c>
      <c r="E628">
        <f>IF(E$2=0,"",IFERROR(TRIM(INDEX('Pegar docentes'!$A$1:$BZ$1001,627,E$2)&amp;""),""))</f>
        <v/>
      </c>
      <c r="F628">
        <f>IF(F$2=0,"",IFERROR(TRIM(INDEX('Pegar docentes'!$A$1:$BZ$1001,627,F$2)&amp;""),""))</f>
        <v/>
      </c>
      <c r="G628">
        <f>IF(G$2=0,"",IFERROR(TRIM(INDEX('Pegar docentes'!$A$1:$BZ$1001,627,G$2)&amp;""),""))</f>
        <v/>
      </c>
      <c r="H628">
        <f>IF(H$2=0,"",IFERROR(TRIM(INDEX('Pegar docentes'!$A$1:$BZ$1001,627,H$2)&amp;""),""))</f>
        <v/>
      </c>
      <c r="I628">
        <f>IF(I$2=0,"",IFERROR(TRIM(INDEX('Pegar docentes'!$A$1:$BZ$1001,627,I$2)&amp;""),""))</f>
        <v/>
      </c>
      <c r="J628">
        <f>IF(J$2=0,"",IFERROR(TRIM(INDEX('Pegar docentes'!$A$1:$BZ$1001,627,J$2)&amp;""),""))</f>
        <v/>
      </c>
      <c r="K628">
        <f>IF(K$2=0,"",IFERROR(TRIM(INDEX('Pegar docentes'!$A$1:$BZ$1001,627,K$2)&amp;""),""))</f>
        <v/>
      </c>
      <c r="L628">
        <f>IF(L$2=0,"",IFERROR(TRIM(INDEX('Pegar docentes'!$A$1:$BZ$1001,627,L$2)&amp;""),""))</f>
        <v/>
      </c>
      <c r="M628">
        <f>IF(M$2=0,"",IFERROR(TRIM(INDEX('Pegar docentes'!$A$1:$BZ$1001,627,M$2)&amp;""),""))</f>
        <v/>
      </c>
      <c r="N628">
        <f>IF(N$2=0,"",IFERROR(TRIM(INDEX('Pegar docentes'!$A$1:$BZ$1001,627,N$2)&amp;""),""))</f>
        <v/>
      </c>
      <c r="O628">
        <f>IF(O$2=0,"",IFERROR(TRIM(INDEX('Pegar docentes'!$A$1:$BZ$1001,627,O$2)&amp;""),""))</f>
        <v/>
      </c>
      <c r="P628">
        <f>IF(P$2=0,"",IFERROR(TRIM(INDEX('Pegar docentes'!$A$1:$BZ$1001,627,P$2)&amp;""),""))</f>
        <v/>
      </c>
      <c r="Q628" s="25">
        <f>IF(OR(D628&lt;&gt;"",H628&lt;&gt;""),1,"")</f>
        <v/>
      </c>
      <c r="R628" s="25">
        <f>IF(Q628=1,IF(ISNUMBER(FIND("#"&amp;MID(D628,1,1)&amp;"#","#0#1#2#3#4#5#6#7#8#9#")),IF(ISNUMBER(FIND("#"&amp;MID(D628,2,1)&amp;"#","#0#1#2#3#4#5#6#7#8#9#")),IF(AND(VALUE(LEFT(D628,2))&gt;=1,VALUE(LEFT(D628,2))&lt;=5),VALUE(LEFT(D628,2)),""),IF(AND(VALUE(LEFT(D628,1))&gt;=1,VALUE(LEFT(D628,1))&lt;=5),VALUE(LEFT(D628,1)),"")),""),"")</f>
        <v/>
      </c>
      <c r="S628" s="25">
        <f>IF(AND(Q628=1,E628&lt;&gt;""),SUBSTITUTE(SUBSTITUTE(SUBSTITUTE(SUBSTITUTE(SUBSTITUTE(SUBSTITUTE(SUBSTITUTE(SUBSTITUTE(SUBSTITUTE(SUBSTITUTE(SUBSTITUTE(SUBSTITUTE(LOWER(TRIM(E628)),"á","a"),"é","e"),"í","i"),"ó","o"),"ú","u"),"ü","u"),"ñ","n"),"à","a"),"è","e"),"ì","i"),"ò","o"),"ù","u"),"")</f>
        <v/>
      </c>
      <c r="T628" s="25">
        <f>IF(AND(Q628=1,G628&lt;&gt;""),SUBSTITUTE(SUBSTITUTE(SUBSTITUTE(SUBSTITUTE(SUBSTITUTE(SUBSTITUTE(SUBSTITUTE(SUBSTITUTE(SUBSTITUTE(SUBSTITUTE(SUBSTITUTE(SUBSTITUTE(LOWER(TRIM(G628)),"á","a"),"é","e"),"í","i"),"ó","o"),"ú","u"),"ü","u"),"ñ","n"),"à","a"),"è","e"),"ì","i"),"ò","o"),"ù","u"),"")</f>
        <v/>
      </c>
      <c r="U628" s="25">
        <f>IF(AND(Q628=1,H628&lt;&gt;""),SUBSTITUTE(SUBSTITUTE(SUBSTITUTE(SUBSTITUTE(SUBSTITUTE(SUBSTITUTE(SUBSTITUTE(SUBSTITUTE(SUBSTITUTE(SUBSTITUTE(SUBSTITUTE(SUBSTITUTE(LOWER(TRIM(H628)),"á","a"),"é","e"),"í","i"),"ó","o"),"ú","u"),"ü","u"),"ñ","n"),"à","a"),"è","e"),"ì","i"),"ò","o"),"ù","u"),"")</f>
        <v/>
      </c>
      <c r="V628" s="25">
        <f>IF(AND(Q628=1,L628&lt;&gt;""),SUBSTITUTE(SUBSTITUTE(SUBSTITUTE(SUBSTITUTE(SUBSTITUTE(SUBSTITUTE(SUBSTITUTE(SUBSTITUTE(SUBSTITUTE(SUBSTITUTE(SUBSTITUTE(SUBSTITUTE(LOWER(TRIM(L628)),"á","a"),"é","e"),"í","i"),"ó","o"),"ú","u"),"ü","u"),"ñ","n"),"à","a"),"è","e"),"ì","i"),"ò","o"),"ù","u"),"")</f>
        <v/>
      </c>
      <c r="W628" s="25">
        <f>IF(AND(Q628=1,I628&lt;&gt;""),SUBSTITUTE(SUBSTITUTE(SUBSTITUTE(SUBSTITUTE(SUBSTITUTE(SUBSTITUTE(SUBSTITUTE(SUBSTITUTE(SUBSTITUTE(SUBSTITUTE(SUBSTITUTE(SUBSTITUTE(LOWER(TRIM(I628)),"á","a"),"é","e"),"í","i"),"ó","o"),"ú","u"),"ü","u"),"ñ","n"),"à","a"),"è","e"),"ì","i"),"ò","o"),"ù","u"),"")</f>
        <v/>
      </c>
      <c r="X628" s="25">
        <f>IF(U628="","",IF(OR(U628="si, en la proxima tarea",U628="si, con cambios"),1,0))</f>
        <v/>
      </c>
      <c r="Y628" s="25">
        <f>IF(AND(Q628=1,A628&lt;&gt;""),IF(IFERROR(COUNTIFS(A$3:A628,"="&amp;SUBSTITUTE(SUBSTITUTE(SUBSTITUTE(A628,"~","~~"),"*","~*"),"?","~?"),Q$3:Q628,1),0)=1,MAX(Y$2:Y627)+1,""),"")</f>
        <v/>
      </c>
      <c r="Z628" s="25">
        <f>IF(Y628="","",COUNTIFS($A$3:$A$1002,"="&amp;SUBSTITUTE(SUBSTITUTE(SUBSTITUTE(A628,"~","~~"),"*","~*"),"?","~?"),$Q$3:$Q$1002,1)*10000-Y628)</f>
        <v/>
      </c>
    </row>
    <row r="629">
      <c r="A629">
        <f>IF(A$2=0,"",IFERROR(TRIM(INDEX('Pegar docentes'!$A$1:$BZ$1001,628,A$2)&amp;""),""))</f>
        <v/>
      </c>
      <c r="B629">
        <f>IF(B$2=0,"",IFERROR(TRIM(INDEX('Pegar docentes'!$A$1:$BZ$1001,628,B$2)&amp;""),""))</f>
        <v/>
      </c>
      <c r="C629">
        <f>IF(C$2=0,"",IFERROR(TRIM(INDEX('Pegar docentes'!$A$1:$BZ$1001,628,C$2)&amp;""),""))</f>
        <v/>
      </c>
      <c r="D629">
        <f>IF(D$2=0,"",IFERROR(TRIM(INDEX('Pegar docentes'!$A$1:$BZ$1001,628,D$2)&amp;""),""))</f>
        <v/>
      </c>
      <c r="E629">
        <f>IF(E$2=0,"",IFERROR(TRIM(INDEX('Pegar docentes'!$A$1:$BZ$1001,628,E$2)&amp;""),""))</f>
        <v/>
      </c>
      <c r="F629">
        <f>IF(F$2=0,"",IFERROR(TRIM(INDEX('Pegar docentes'!$A$1:$BZ$1001,628,F$2)&amp;""),""))</f>
        <v/>
      </c>
      <c r="G629">
        <f>IF(G$2=0,"",IFERROR(TRIM(INDEX('Pegar docentes'!$A$1:$BZ$1001,628,G$2)&amp;""),""))</f>
        <v/>
      </c>
      <c r="H629">
        <f>IF(H$2=0,"",IFERROR(TRIM(INDEX('Pegar docentes'!$A$1:$BZ$1001,628,H$2)&amp;""),""))</f>
        <v/>
      </c>
      <c r="I629">
        <f>IF(I$2=0,"",IFERROR(TRIM(INDEX('Pegar docentes'!$A$1:$BZ$1001,628,I$2)&amp;""),""))</f>
        <v/>
      </c>
      <c r="J629">
        <f>IF(J$2=0,"",IFERROR(TRIM(INDEX('Pegar docentes'!$A$1:$BZ$1001,628,J$2)&amp;""),""))</f>
        <v/>
      </c>
      <c r="K629">
        <f>IF(K$2=0,"",IFERROR(TRIM(INDEX('Pegar docentes'!$A$1:$BZ$1001,628,K$2)&amp;""),""))</f>
        <v/>
      </c>
      <c r="L629">
        <f>IF(L$2=0,"",IFERROR(TRIM(INDEX('Pegar docentes'!$A$1:$BZ$1001,628,L$2)&amp;""),""))</f>
        <v/>
      </c>
      <c r="M629">
        <f>IF(M$2=0,"",IFERROR(TRIM(INDEX('Pegar docentes'!$A$1:$BZ$1001,628,M$2)&amp;""),""))</f>
        <v/>
      </c>
      <c r="N629">
        <f>IF(N$2=0,"",IFERROR(TRIM(INDEX('Pegar docentes'!$A$1:$BZ$1001,628,N$2)&amp;""),""))</f>
        <v/>
      </c>
      <c r="O629">
        <f>IF(O$2=0,"",IFERROR(TRIM(INDEX('Pegar docentes'!$A$1:$BZ$1001,628,O$2)&amp;""),""))</f>
        <v/>
      </c>
      <c r="P629">
        <f>IF(P$2=0,"",IFERROR(TRIM(INDEX('Pegar docentes'!$A$1:$BZ$1001,628,P$2)&amp;""),""))</f>
        <v/>
      </c>
      <c r="Q629" s="25">
        <f>IF(OR(D629&lt;&gt;"",H629&lt;&gt;""),1,"")</f>
        <v/>
      </c>
      <c r="R629" s="25">
        <f>IF(Q629=1,IF(ISNUMBER(FIND("#"&amp;MID(D629,1,1)&amp;"#","#0#1#2#3#4#5#6#7#8#9#")),IF(ISNUMBER(FIND("#"&amp;MID(D629,2,1)&amp;"#","#0#1#2#3#4#5#6#7#8#9#")),IF(AND(VALUE(LEFT(D629,2))&gt;=1,VALUE(LEFT(D629,2))&lt;=5),VALUE(LEFT(D629,2)),""),IF(AND(VALUE(LEFT(D629,1))&gt;=1,VALUE(LEFT(D629,1))&lt;=5),VALUE(LEFT(D629,1)),"")),""),"")</f>
        <v/>
      </c>
      <c r="S629" s="25">
        <f>IF(AND(Q629=1,E629&lt;&gt;""),SUBSTITUTE(SUBSTITUTE(SUBSTITUTE(SUBSTITUTE(SUBSTITUTE(SUBSTITUTE(SUBSTITUTE(SUBSTITUTE(SUBSTITUTE(SUBSTITUTE(SUBSTITUTE(SUBSTITUTE(LOWER(TRIM(E629)),"á","a"),"é","e"),"í","i"),"ó","o"),"ú","u"),"ü","u"),"ñ","n"),"à","a"),"è","e"),"ì","i"),"ò","o"),"ù","u"),"")</f>
        <v/>
      </c>
      <c r="T629" s="25">
        <f>IF(AND(Q629=1,G629&lt;&gt;""),SUBSTITUTE(SUBSTITUTE(SUBSTITUTE(SUBSTITUTE(SUBSTITUTE(SUBSTITUTE(SUBSTITUTE(SUBSTITUTE(SUBSTITUTE(SUBSTITUTE(SUBSTITUTE(SUBSTITUTE(LOWER(TRIM(G629)),"á","a"),"é","e"),"í","i"),"ó","o"),"ú","u"),"ü","u"),"ñ","n"),"à","a"),"è","e"),"ì","i"),"ò","o"),"ù","u"),"")</f>
        <v/>
      </c>
      <c r="U629" s="25">
        <f>IF(AND(Q629=1,H629&lt;&gt;""),SUBSTITUTE(SUBSTITUTE(SUBSTITUTE(SUBSTITUTE(SUBSTITUTE(SUBSTITUTE(SUBSTITUTE(SUBSTITUTE(SUBSTITUTE(SUBSTITUTE(SUBSTITUTE(SUBSTITUTE(LOWER(TRIM(H629)),"á","a"),"é","e"),"í","i"),"ó","o"),"ú","u"),"ü","u"),"ñ","n"),"à","a"),"è","e"),"ì","i"),"ò","o"),"ù","u"),"")</f>
        <v/>
      </c>
      <c r="V629" s="25">
        <f>IF(AND(Q629=1,L629&lt;&gt;""),SUBSTITUTE(SUBSTITUTE(SUBSTITUTE(SUBSTITUTE(SUBSTITUTE(SUBSTITUTE(SUBSTITUTE(SUBSTITUTE(SUBSTITUTE(SUBSTITUTE(SUBSTITUTE(SUBSTITUTE(LOWER(TRIM(L629)),"á","a"),"é","e"),"í","i"),"ó","o"),"ú","u"),"ü","u"),"ñ","n"),"à","a"),"è","e"),"ì","i"),"ò","o"),"ù","u"),"")</f>
        <v/>
      </c>
      <c r="W629" s="25">
        <f>IF(AND(Q629=1,I629&lt;&gt;""),SUBSTITUTE(SUBSTITUTE(SUBSTITUTE(SUBSTITUTE(SUBSTITUTE(SUBSTITUTE(SUBSTITUTE(SUBSTITUTE(SUBSTITUTE(SUBSTITUTE(SUBSTITUTE(SUBSTITUTE(LOWER(TRIM(I629)),"á","a"),"é","e"),"í","i"),"ó","o"),"ú","u"),"ü","u"),"ñ","n"),"à","a"),"è","e"),"ì","i"),"ò","o"),"ù","u"),"")</f>
        <v/>
      </c>
      <c r="X629" s="25">
        <f>IF(U629="","",IF(OR(U629="si, en la proxima tarea",U629="si, con cambios"),1,0))</f>
        <v/>
      </c>
      <c r="Y629" s="25">
        <f>IF(AND(Q629=1,A629&lt;&gt;""),IF(IFERROR(COUNTIFS(A$3:A629,"="&amp;SUBSTITUTE(SUBSTITUTE(SUBSTITUTE(A629,"~","~~"),"*","~*"),"?","~?"),Q$3:Q629,1),0)=1,MAX(Y$2:Y628)+1,""),"")</f>
        <v/>
      </c>
      <c r="Z629" s="25">
        <f>IF(Y629="","",COUNTIFS($A$3:$A$1002,"="&amp;SUBSTITUTE(SUBSTITUTE(SUBSTITUTE(A629,"~","~~"),"*","~*"),"?","~?"),$Q$3:$Q$1002,1)*10000-Y629)</f>
        <v/>
      </c>
    </row>
    <row r="630">
      <c r="A630">
        <f>IF(A$2=0,"",IFERROR(TRIM(INDEX('Pegar docentes'!$A$1:$BZ$1001,629,A$2)&amp;""),""))</f>
        <v/>
      </c>
      <c r="B630">
        <f>IF(B$2=0,"",IFERROR(TRIM(INDEX('Pegar docentes'!$A$1:$BZ$1001,629,B$2)&amp;""),""))</f>
        <v/>
      </c>
      <c r="C630">
        <f>IF(C$2=0,"",IFERROR(TRIM(INDEX('Pegar docentes'!$A$1:$BZ$1001,629,C$2)&amp;""),""))</f>
        <v/>
      </c>
      <c r="D630">
        <f>IF(D$2=0,"",IFERROR(TRIM(INDEX('Pegar docentes'!$A$1:$BZ$1001,629,D$2)&amp;""),""))</f>
        <v/>
      </c>
      <c r="E630">
        <f>IF(E$2=0,"",IFERROR(TRIM(INDEX('Pegar docentes'!$A$1:$BZ$1001,629,E$2)&amp;""),""))</f>
        <v/>
      </c>
      <c r="F630">
        <f>IF(F$2=0,"",IFERROR(TRIM(INDEX('Pegar docentes'!$A$1:$BZ$1001,629,F$2)&amp;""),""))</f>
        <v/>
      </c>
      <c r="G630">
        <f>IF(G$2=0,"",IFERROR(TRIM(INDEX('Pegar docentes'!$A$1:$BZ$1001,629,G$2)&amp;""),""))</f>
        <v/>
      </c>
      <c r="H630">
        <f>IF(H$2=0,"",IFERROR(TRIM(INDEX('Pegar docentes'!$A$1:$BZ$1001,629,H$2)&amp;""),""))</f>
        <v/>
      </c>
      <c r="I630">
        <f>IF(I$2=0,"",IFERROR(TRIM(INDEX('Pegar docentes'!$A$1:$BZ$1001,629,I$2)&amp;""),""))</f>
        <v/>
      </c>
      <c r="J630">
        <f>IF(J$2=0,"",IFERROR(TRIM(INDEX('Pegar docentes'!$A$1:$BZ$1001,629,J$2)&amp;""),""))</f>
        <v/>
      </c>
      <c r="K630">
        <f>IF(K$2=0,"",IFERROR(TRIM(INDEX('Pegar docentes'!$A$1:$BZ$1001,629,K$2)&amp;""),""))</f>
        <v/>
      </c>
      <c r="L630">
        <f>IF(L$2=0,"",IFERROR(TRIM(INDEX('Pegar docentes'!$A$1:$BZ$1001,629,L$2)&amp;""),""))</f>
        <v/>
      </c>
      <c r="M630">
        <f>IF(M$2=0,"",IFERROR(TRIM(INDEX('Pegar docentes'!$A$1:$BZ$1001,629,M$2)&amp;""),""))</f>
        <v/>
      </c>
      <c r="N630">
        <f>IF(N$2=0,"",IFERROR(TRIM(INDEX('Pegar docentes'!$A$1:$BZ$1001,629,N$2)&amp;""),""))</f>
        <v/>
      </c>
      <c r="O630">
        <f>IF(O$2=0,"",IFERROR(TRIM(INDEX('Pegar docentes'!$A$1:$BZ$1001,629,O$2)&amp;""),""))</f>
        <v/>
      </c>
      <c r="P630">
        <f>IF(P$2=0,"",IFERROR(TRIM(INDEX('Pegar docentes'!$A$1:$BZ$1001,629,P$2)&amp;""),""))</f>
        <v/>
      </c>
      <c r="Q630" s="25">
        <f>IF(OR(D630&lt;&gt;"",H630&lt;&gt;""),1,"")</f>
        <v/>
      </c>
      <c r="R630" s="25">
        <f>IF(Q630=1,IF(ISNUMBER(FIND("#"&amp;MID(D630,1,1)&amp;"#","#0#1#2#3#4#5#6#7#8#9#")),IF(ISNUMBER(FIND("#"&amp;MID(D630,2,1)&amp;"#","#0#1#2#3#4#5#6#7#8#9#")),IF(AND(VALUE(LEFT(D630,2))&gt;=1,VALUE(LEFT(D630,2))&lt;=5),VALUE(LEFT(D630,2)),""),IF(AND(VALUE(LEFT(D630,1))&gt;=1,VALUE(LEFT(D630,1))&lt;=5),VALUE(LEFT(D630,1)),"")),""),"")</f>
        <v/>
      </c>
      <c r="S630" s="25">
        <f>IF(AND(Q630=1,E630&lt;&gt;""),SUBSTITUTE(SUBSTITUTE(SUBSTITUTE(SUBSTITUTE(SUBSTITUTE(SUBSTITUTE(SUBSTITUTE(SUBSTITUTE(SUBSTITUTE(SUBSTITUTE(SUBSTITUTE(SUBSTITUTE(LOWER(TRIM(E630)),"á","a"),"é","e"),"í","i"),"ó","o"),"ú","u"),"ü","u"),"ñ","n"),"à","a"),"è","e"),"ì","i"),"ò","o"),"ù","u"),"")</f>
        <v/>
      </c>
      <c r="T630" s="25">
        <f>IF(AND(Q630=1,G630&lt;&gt;""),SUBSTITUTE(SUBSTITUTE(SUBSTITUTE(SUBSTITUTE(SUBSTITUTE(SUBSTITUTE(SUBSTITUTE(SUBSTITUTE(SUBSTITUTE(SUBSTITUTE(SUBSTITUTE(SUBSTITUTE(LOWER(TRIM(G630)),"á","a"),"é","e"),"í","i"),"ó","o"),"ú","u"),"ü","u"),"ñ","n"),"à","a"),"è","e"),"ì","i"),"ò","o"),"ù","u"),"")</f>
        <v/>
      </c>
      <c r="U630" s="25">
        <f>IF(AND(Q630=1,H630&lt;&gt;""),SUBSTITUTE(SUBSTITUTE(SUBSTITUTE(SUBSTITUTE(SUBSTITUTE(SUBSTITUTE(SUBSTITUTE(SUBSTITUTE(SUBSTITUTE(SUBSTITUTE(SUBSTITUTE(SUBSTITUTE(LOWER(TRIM(H630)),"á","a"),"é","e"),"í","i"),"ó","o"),"ú","u"),"ü","u"),"ñ","n"),"à","a"),"è","e"),"ì","i"),"ò","o"),"ù","u"),"")</f>
        <v/>
      </c>
      <c r="V630" s="25">
        <f>IF(AND(Q630=1,L630&lt;&gt;""),SUBSTITUTE(SUBSTITUTE(SUBSTITUTE(SUBSTITUTE(SUBSTITUTE(SUBSTITUTE(SUBSTITUTE(SUBSTITUTE(SUBSTITUTE(SUBSTITUTE(SUBSTITUTE(SUBSTITUTE(LOWER(TRIM(L630)),"á","a"),"é","e"),"í","i"),"ó","o"),"ú","u"),"ü","u"),"ñ","n"),"à","a"),"è","e"),"ì","i"),"ò","o"),"ù","u"),"")</f>
        <v/>
      </c>
      <c r="W630" s="25">
        <f>IF(AND(Q630=1,I630&lt;&gt;""),SUBSTITUTE(SUBSTITUTE(SUBSTITUTE(SUBSTITUTE(SUBSTITUTE(SUBSTITUTE(SUBSTITUTE(SUBSTITUTE(SUBSTITUTE(SUBSTITUTE(SUBSTITUTE(SUBSTITUTE(LOWER(TRIM(I630)),"á","a"),"é","e"),"í","i"),"ó","o"),"ú","u"),"ü","u"),"ñ","n"),"à","a"),"è","e"),"ì","i"),"ò","o"),"ù","u"),"")</f>
        <v/>
      </c>
      <c r="X630" s="25">
        <f>IF(U630="","",IF(OR(U630="si, en la proxima tarea",U630="si, con cambios"),1,0))</f>
        <v/>
      </c>
      <c r="Y630" s="25">
        <f>IF(AND(Q630=1,A630&lt;&gt;""),IF(IFERROR(COUNTIFS(A$3:A630,"="&amp;SUBSTITUTE(SUBSTITUTE(SUBSTITUTE(A630,"~","~~"),"*","~*"),"?","~?"),Q$3:Q630,1),0)=1,MAX(Y$2:Y629)+1,""),"")</f>
        <v/>
      </c>
      <c r="Z630" s="25">
        <f>IF(Y630="","",COUNTIFS($A$3:$A$1002,"="&amp;SUBSTITUTE(SUBSTITUTE(SUBSTITUTE(A630,"~","~~"),"*","~*"),"?","~?"),$Q$3:$Q$1002,1)*10000-Y630)</f>
        <v/>
      </c>
    </row>
    <row r="631">
      <c r="A631">
        <f>IF(A$2=0,"",IFERROR(TRIM(INDEX('Pegar docentes'!$A$1:$BZ$1001,630,A$2)&amp;""),""))</f>
        <v/>
      </c>
      <c r="B631">
        <f>IF(B$2=0,"",IFERROR(TRIM(INDEX('Pegar docentes'!$A$1:$BZ$1001,630,B$2)&amp;""),""))</f>
        <v/>
      </c>
      <c r="C631">
        <f>IF(C$2=0,"",IFERROR(TRIM(INDEX('Pegar docentes'!$A$1:$BZ$1001,630,C$2)&amp;""),""))</f>
        <v/>
      </c>
      <c r="D631">
        <f>IF(D$2=0,"",IFERROR(TRIM(INDEX('Pegar docentes'!$A$1:$BZ$1001,630,D$2)&amp;""),""))</f>
        <v/>
      </c>
      <c r="E631">
        <f>IF(E$2=0,"",IFERROR(TRIM(INDEX('Pegar docentes'!$A$1:$BZ$1001,630,E$2)&amp;""),""))</f>
        <v/>
      </c>
      <c r="F631">
        <f>IF(F$2=0,"",IFERROR(TRIM(INDEX('Pegar docentes'!$A$1:$BZ$1001,630,F$2)&amp;""),""))</f>
        <v/>
      </c>
      <c r="G631">
        <f>IF(G$2=0,"",IFERROR(TRIM(INDEX('Pegar docentes'!$A$1:$BZ$1001,630,G$2)&amp;""),""))</f>
        <v/>
      </c>
      <c r="H631">
        <f>IF(H$2=0,"",IFERROR(TRIM(INDEX('Pegar docentes'!$A$1:$BZ$1001,630,H$2)&amp;""),""))</f>
        <v/>
      </c>
      <c r="I631">
        <f>IF(I$2=0,"",IFERROR(TRIM(INDEX('Pegar docentes'!$A$1:$BZ$1001,630,I$2)&amp;""),""))</f>
        <v/>
      </c>
      <c r="J631">
        <f>IF(J$2=0,"",IFERROR(TRIM(INDEX('Pegar docentes'!$A$1:$BZ$1001,630,J$2)&amp;""),""))</f>
        <v/>
      </c>
      <c r="K631">
        <f>IF(K$2=0,"",IFERROR(TRIM(INDEX('Pegar docentes'!$A$1:$BZ$1001,630,K$2)&amp;""),""))</f>
        <v/>
      </c>
      <c r="L631">
        <f>IF(L$2=0,"",IFERROR(TRIM(INDEX('Pegar docentes'!$A$1:$BZ$1001,630,L$2)&amp;""),""))</f>
        <v/>
      </c>
      <c r="M631">
        <f>IF(M$2=0,"",IFERROR(TRIM(INDEX('Pegar docentes'!$A$1:$BZ$1001,630,M$2)&amp;""),""))</f>
        <v/>
      </c>
      <c r="N631">
        <f>IF(N$2=0,"",IFERROR(TRIM(INDEX('Pegar docentes'!$A$1:$BZ$1001,630,N$2)&amp;""),""))</f>
        <v/>
      </c>
      <c r="O631">
        <f>IF(O$2=0,"",IFERROR(TRIM(INDEX('Pegar docentes'!$A$1:$BZ$1001,630,O$2)&amp;""),""))</f>
        <v/>
      </c>
      <c r="P631">
        <f>IF(P$2=0,"",IFERROR(TRIM(INDEX('Pegar docentes'!$A$1:$BZ$1001,630,P$2)&amp;""),""))</f>
        <v/>
      </c>
      <c r="Q631" s="25">
        <f>IF(OR(D631&lt;&gt;"",H631&lt;&gt;""),1,"")</f>
        <v/>
      </c>
      <c r="R631" s="25">
        <f>IF(Q631=1,IF(ISNUMBER(FIND("#"&amp;MID(D631,1,1)&amp;"#","#0#1#2#3#4#5#6#7#8#9#")),IF(ISNUMBER(FIND("#"&amp;MID(D631,2,1)&amp;"#","#0#1#2#3#4#5#6#7#8#9#")),IF(AND(VALUE(LEFT(D631,2))&gt;=1,VALUE(LEFT(D631,2))&lt;=5),VALUE(LEFT(D631,2)),""),IF(AND(VALUE(LEFT(D631,1))&gt;=1,VALUE(LEFT(D631,1))&lt;=5),VALUE(LEFT(D631,1)),"")),""),"")</f>
        <v/>
      </c>
      <c r="S631" s="25">
        <f>IF(AND(Q631=1,E631&lt;&gt;""),SUBSTITUTE(SUBSTITUTE(SUBSTITUTE(SUBSTITUTE(SUBSTITUTE(SUBSTITUTE(SUBSTITUTE(SUBSTITUTE(SUBSTITUTE(SUBSTITUTE(SUBSTITUTE(SUBSTITUTE(LOWER(TRIM(E631)),"á","a"),"é","e"),"í","i"),"ó","o"),"ú","u"),"ü","u"),"ñ","n"),"à","a"),"è","e"),"ì","i"),"ò","o"),"ù","u"),"")</f>
        <v/>
      </c>
      <c r="T631" s="25">
        <f>IF(AND(Q631=1,G631&lt;&gt;""),SUBSTITUTE(SUBSTITUTE(SUBSTITUTE(SUBSTITUTE(SUBSTITUTE(SUBSTITUTE(SUBSTITUTE(SUBSTITUTE(SUBSTITUTE(SUBSTITUTE(SUBSTITUTE(SUBSTITUTE(LOWER(TRIM(G631)),"á","a"),"é","e"),"í","i"),"ó","o"),"ú","u"),"ü","u"),"ñ","n"),"à","a"),"è","e"),"ì","i"),"ò","o"),"ù","u"),"")</f>
        <v/>
      </c>
      <c r="U631" s="25">
        <f>IF(AND(Q631=1,H631&lt;&gt;""),SUBSTITUTE(SUBSTITUTE(SUBSTITUTE(SUBSTITUTE(SUBSTITUTE(SUBSTITUTE(SUBSTITUTE(SUBSTITUTE(SUBSTITUTE(SUBSTITUTE(SUBSTITUTE(SUBSTITUTE(LOWER(TRIM(H631)),"á","a"),"é","e"),"í","i"),"ó","o"),"ú","u"),"ü","u"),"ñ","n"),"à","a"),"è","e"),"ì","i"),"ò","o"),"ù","u"),"")</f>
        <v/>
      </c>
      <c r="V631" s="25">
        <f>IF(AND(Q631=1,L631&lt;&gt;""),SUBSTITUTE(SUBSTITUTE(SUBSTITUTE(SUBSTITUTE(SUBSTITUTE(SUBSTITUTE(SUBSTITUTE(SUBSTITUTE(SUBSTITUTE(SUBSTITUTE(SUBSTITUTE(SUBSTITUTE(LOWER(TRIM(L631)),"á","a"),"é","e"),"í","i"),"ó","o"),"ú","u"),"ü","u"),"ñ","n"),"à","a"),"è","e"),"ì","i"),"ò","o"),"ù","u"),"")</f>
        <v/>
      </c>
      <c r="W631" s="25">
        <f>IF(AND(Q631=1,I631&lt;&gt;""),SUBSTITUTE(SUBSTITUTE(SUBSTITUTE(SUBSTITUTE(SUBSTITUTE(SUBSTITUTE(SUBSTITUTE(SUBSTITUTE(SUBSTITUTE(SUBSTITUTE(SUBSTITUTE(SUBSTITUTE(LOWER(TRIM(I631)),"á","a"),"é","e"),"í","i"),"ó","o"),"ú","u"),"ü","u"),"ñ","n"),"à","a"),"è","e"),"ì","i"),"ò","o"),"ù","u"),"")</f>
        <v/>
      </c>
      <c r="X631" s="25">
        <f>IF(U631="","",IF(OR(U631="si, en la proxima tarea",U631="si, con cambios"),1,0))</f>
        <v/>
      </c>
      <c r="Y631" s="25">
        <f>IF(AND(Q631=1,A631&lt;&gt;""),IF(IFERROR(COUNTIFS(A$3:A631,"="&amp;SUBSTITUTE(SUBSTITUTE(SUBSTITUTE(A631,"~","~~"),"*","~*"),"?","~?"),Q$3:Q631,1),0)=1,MAX(Y$2:Y630)+1,""),"")</f>
        <v/>
      </c>
      <c r="Z631" s="25">
        <f>IF(Y631="","",COUNTIFS($A$3:$A$1002,"="&amp;SUBSTITUTE(SUBSTITUTE(SUBSTITUTE(A631,"~","~~"),"*","~*"),"?","~?"),$Q$3:$Q$1002,1)*10000-Y631)</f>
        <v/>
      </c>
    </row>
    <row r="632">
      <c r="A632">
        <f>IF(A$2=0,"",IFERROR(TRIM(INDEX('Pegar docentes'!$A$1:$BZ$1001,631,A$2)&amp;""),""))</f>
        <v/>
      </c>
      <c r="B632">
        <f>IF(B$2=0,"",IFERROR(TRIM(INDEX('Pegar docentes'!$A$1:$BZ$1001,631,B$2)&amp;""),""))</f>
        <v/>
      </c>
      <c r="C632">
        <f>IF(C$2=0,"",IFERROR(TRIM(INDEX('Pegar docentes'!$A$1:$BZ$1001,631,C$2)&amp;""),""))</f>
        <v/>
      </c>
      <c r="D632">
        <f>IF(D$2=0,"",IFERROR(TRIM(INDEX('Pegar docentes'!$A$1:$BZ$1001,631,D$2)&amp;""),""))</f>
        <v/>
      </c>
      <c r="E632">
        <f>IF(E$2=0,"",IFERROR(TRIM(INDEX('Pegar docentes'!$A$1:$BZ$1001,631,E$2)&amp;""),""))</f>
        <v/>
      </c>
      <c r="F632">
        <f>IF(F$2=0,"",IFERROR(TRIM(INDEX('Pegar docentes'!$A$1:$BZ$1001,631,F$2)&amp;""),""))</f>
        <v/>
      </c>
      <c r="G632">
        <f>IF(G$2=0,"",IFERROR(TRIM(INDEX('Pegar docentes'!$A$1:$BZ$1001,631,G$2)&amp;""),""))</f>
        <v/>
      </c>
      <c r="H632">
        <f>IF(H$2=0,"",IFERROR(TRIM(INDEX('Pegar docentes'!$A$1:$BZ$1001,631,H$2)&amp;""),""))</f>
        <v/>
      </c>
      <c r="I632">
        <f>IF(I$2=0,"",IFERROR(TRIM(INDEX('Pegar docentes'!$A$1:$BZ$1001,631,I$2)&amp;""),""))</f>
        <v/>
      </c>
      <c r="J632">
        <f>IF(J$2=0,"",IFERROR(TRIM(INDEX('Pegar docentes'!$A$1:$BZ$1001,631,J$2)&amp;""),""))</f>
        <v/>
      </c>
      <c r="K632">
        <f>IF(K$2=0,"",IFERROR(TRIM(INDEX('Pegar docentes'!$A$1:$BZ$1001,631,K$2)&amp;""),""))</f>
        <v/>
      </c>
      <c r="L632">
        <f>IF(L$2=0,"",IFERROR(TRIM(INDEX('Pegar docentes'!$A$1:$BZ$1001,631,L$2)&amp;""),""))</f>
        <v/>
      </c>
      <c r="M632">
        <f>IF(M$2=0,"",IFERROR(TRIM(INDEX('Pegar docentes'!$A$1:$BZ$1001,631,M$2)&amp;""),""))</f>
        <v/>
      </c>
      <c r="N632">
        <f>IF(N$2=0,"",IFERROR(TRIM(INDEX('Pegar docentes'!$A$1:$BZ$1001,631,N$2)&amp;""),""))</f>
        <v/>
      </c>
      <c r="O632">
        <f>IF(O$2=0,"",IFERROR(TRIM(INDEX('Pegar docentes'!$A$1:$BZ$1001,631,O$2)&amp;""),""))</f>
        <v/>
      </c>
      <c r="P632">
        <f>IF(P$2=0,"",IFERROR(TRIM(INDEX('Pegar docentes'!$A$1:$BZ$1001,631,P$2)&amp;""),""))</f>
        <v/>
      </c>
      <c r="Q632" s="25">
        <f>IF(OR(D632&lt;&gt;"",H632&lt;&gt;""),1,"")</f>
        <v/>
      </c>
      <c r="R632" s="25">
        <f>IF(Q632=1,IF(ISNUMBER(FIND("#"&amp;MID(D632,1,1)&amp;"#","#0#1#2#3#4#5#6#7#8#9#")),IF(ISNUMBER(FIND("#"&amp;MID(D632,2,1)&amp;"#","#0#1#2#3#4#5#6#7#8#9#")),IF(AND(VALUE(LEFT(D632,2))&gt;=1,VALUE(LEFT(D632,2))&lt;=5),VALUE(LEFT(D632,2)),""),IF(AND(VALUE(LEFT(D632,1))&gt;=1,VALUE(LEFT(D632,1))&lt;=5),VALUE(LEFT(D632,1)),"")),""),"")</f>
        <v/>
      </c>
      <c r="S632" s="25">
        <f>IF(AND(Q632=1,E632&lt;&gt;""),SUBSTITUTE(SUBSTITUTE(SUBSTITUTE(SUBSTITUTE(SUBSTITUTE(SUBSTITUTE(SUBSTITUTE(SUBSTITUTE(SUBSTITUTE(SUBSTITUTE(SUBSTITUTE(SUBSTITUTE(LOWER(TRIM(E632)),"á","a"),"é","e"),"í","i"),"ó","o"),"ú","u"),"ü","u"),"ñ","n"),"à","a"),"è","e"),"ì","i"),"ò","o"),"ù","u"),"")</f>
        <v/>
      </c>
      <c r="T632" s="25">
        <f>IF(AND(Q632=1,G632&lt;&gt;""),SUBSTITUTE(SUBSTITUTE(SUBSTITUTE(SUBSTITUTE(SUBSTITUTE(SUBSTITUTE(SUBSTITUTE(SUBSTITUTE(SUBSTITUTE(SUBSTITUTE(SUBSTITUTE(SUBSTITUTE(LOWER(TRIM(G632)),"á","a"),"é","e"),"í","i"),"ó","o"),"ú","u"),"ü","u"),"ñ","n"),"à","a"),"è","e"),"ì","i"),"ò","o"),"ù","u"),"")</f>
        <v/>
      </c>
      <c r="U632" s="25">
        <f>IF(AND(Q632=1,H632&lt;&gt;""),SUBSTITUTE(SUBSTITUTE(SUBSTITUTE(SUBSTITUTE(SUBSTITUTE(SUBSTITUTE(SUBSTITUTE(SUBSTITUTE(SUBSTITUTE(SUBSTITUTE(SUBSTITUTE(SUBSTITUTE(LOWER(TRIM(H632)),"á","a"),"é","e"),"í","i"),"ó","o"),"ú","u"),"ü","u"),"ñ","n"),"à","a"),"è","e"),"ì","i"),"ò","o"),"ù","u"),"")</f>
        <v/>
      </c>
      <c r="V632" s="25">
        <f>IF(AND(Q632=1,L632&lt;&gt;""),SUBSTITUTE(SUBSTITUTE(SUBSTITUTE(SUBSTITUTE(SUBSTITUTE(SUBSTITUTE(SUBSTITUTE(SUBSTITUTE(SUBSTITUTE(SUBSTITUTE(SUBSTITUTE(SUBSTITUTE(LOWER(TRIM(L632)),"á","a"),"é","e"),"í","i"),"ó","o"),"ú","u"),"ü","u"),"ñ","n"),"à","a"),"è","e"),"ì","i"),"ò","o"),"ù","u"),"")</f>
        <v/>
      </c>
      <c r="W632" s="25">
        <f>IF(AND(Q632=1,I632&lt;&gt;""),SUBSTITUTE(SUBSTITUTE(SUBSTITUTE(SUBSTITUTE(SUBSTITUTE(SUBSTITUTE(SUBSTITUTE(SUBSTITUTE(SUBSTITUTE(SUBSTITUTE(SUBSTITUTE(SUBSTITUTE(LOWER(TRIM(I632)),"á","a"),"é","e"),"í","i"),"ó","o"),"ú","u"),"ü","u"),"ñ","n"),"à","a"),"è","e"),"ì","i"),"ò","o"),"ù","u"),"")</f>
        <v/>
      </c>
      <c r="X632" s="25">
        <f>IF(U632="","",IF(OR(U632="si, en la proxima tarea",U632="si, con cambios"),1,0))</f>
        <v/>
      </c>
      <c r="Y632" s="25">
        <f>IF(AND(Q632=1,A632&lt;&gt;""),IF(IFERROR(COUNTIFS(A$3:A632,"="&amp;SUBSTITUTE(SUBSTITUTE(SUBSTITUTE(A632,"~","~~"),"*","~*"),"?","~?"),Q$3:Q632,1),0)=1,MAX(Y$2:Y631)+1,""),"")</f>
        <v/>
      </c>
      <c r="Z632" s="25">
        <f>IF(Y632="","",COUNTIFS($A$3:$A$1002,"="&amp;SUBSTITUTE(SUBSTITUTE(SUBSTITUTE(A632,"~","~~"),"*","~*"),"?","~?"),$Q$3:$Q$1002,1)*10000-Y632)</f>
        <v/>
      </c>
    </row>
    <row r="633">
      <c r="A633">
        <f>IF(A$2=0,"",IFERROR(TRIM(INDEX('Pegar docentes'!$A$1:$BZ$1001,632,A$2)&amp;""),""))</f>
        <v/>
      </c>
      <c r="B633">
        <f>IF(B$2=0,"",IFERROR(TRIM(INDEX('Pegar docentes'!$A$1:$BZ$1001,632,B$2)&amp;""),""))</f>
        <v/>
      </c>
      <c r="C633">
        <f>IF(C$2=0,"",IFERROR(TRIM(INDEX('Pegar docentes'!$A$1:$BZ$1001,632,C$2)&amp;""),""))</f>
        <v/>
      </c>
      <c r="D633">
        <f>IF(D$2=0,"",IFERROR(TRIM(INDEX('Pegar docentes'!$A$1:$BZ$1001,632,D$2)&amp;""),""))</f>
        <v/>
      </c>
      <c r="E633">
        <f>IF(E$2=0,"",IFERROR(TRIM(INDEX('Pegar docentes'!$A$1:$BZ$1001,632,E$2)&amp;""),""))</f>
        <v/>
      </c>
      <c r="F633">
        <f>IF(F$2=0,"",IFERROR(TRIM(INDEX('Pegar docentes'!$A$1:$BZ$1001,632,F$2)&amp;""),""))</f>
        <v/>
      </c>
      <c r="G633">
        <f>IF(G$2=0,"",IFERROR(TRIM(INDEX('Pegar docentes'!$A$1:$BZ$1001,632,G$2)&amp;""),""))</f>
        <v/>
      </c>
      <c r="H633">
        <f>IF(H$2=0,"",IFERROR(TRIM(INDEX('Pegar docentes'!$A$1:$BZ$1001,632,H$2)&amp;""),""))</f>
        <v/>
      </c>
      <c r="I633">
        <f>IF(I$2=0,"",IFERROR(TRIM(INDEX('Pegar docentes'!$A$1:$BZ$1001,632,I$2)&amp;""),""))</f>
        <v/>
      </c>
      <c r="J633">
        <f>IF(J$2=0,"",IFERROR(TRIM(INDEX('Pegar docentes'!$A$1:$BZ$1001,632,J$2)&amp;""),""))</f>
        <v/>
      </c>
      <c r="K633">
        <f>IF(K$2=0,"",IFERROR(TRIM(INDEX('Pegar docentes'!$A$1:$BZ$1001,632,K$2)&amp;""),""))</f>
        <v/>
      </c>
      <c r="L633">
        <f>IF(L$2=0,"",IFERROR(TRIM(INDEX('Pegar docentes'!$A$1:$BZ$1001,632,L$2)&amp;""),""))</f>
        <v/>
      </c>
      <c r="M633">
        <f>IF(M$2=0,"",IFERROR(TRIM(INDEX('Pegar docentes'!$A$1:$BZ$1001,632,M$2)&amp;""),""))</f>
        <v/>
      </c>
      <c r="N633">
        <f>IF(N$2=0,"",IFERROR(TRIM(INDEX('Pegar docentes'!$A$1:$BZ$1001,632,N$2)&amp;""),""))</f>
        <v/>
      </c>
      <c r="O633">
        <f>IF(O$2=0,"",IFERROR(TRIM(INDEX('Pegar docentes'!$A$1:$BZ$1001,632,O$2)&amp;""),""))</f>
        <v/>
      </c>
      <c r="P633">
        <f>IF(P$2=0,"",IFERROR(TRIM(INDEX('Pegar docentes'!$A$1:$BZ$1001,632,P$2)&amp;""),""))</f>
        <v/>
      </c>
      <c r="Q633" s="25">
        <f>IF(OR(D633&lt;&gt;"",H633&lt;&gt;""),1,"")</f>
        <v/>
      </c>
      <c r="R633" s="25">
        <f>IF(Q633=1,IF(ISNUMBER(FIND("#"&amp;MID(D633,1,1)&amp;"#","#0#1#2#3#4#5#6#7#8#9#")),IF(ISNUMBER(FIND("#"&amp;MID(D633,2,1)&amp;"#","#0#1#2#3#4#5#6#7#8#9#")),IF(AND(VALUE(LEFT(D633,2))&gt;=1,VALUE(LEFT(D633,2))&lt;=5),VALUE(LEFT(D633,2)),""),IF(AND(VALUE(LEFT(D633,1))&gt;=1,VALUE(LEFT(D633,1))&lt;=5),VALUE(LEFT(D633,1)),"")),""),"")</f>
        <v/>
      </c>
      <c r="S633" s="25">
        <f>IF(AND(Q633=1,E633&lt;&gt;""),SUBSTITUTE(SUBSTITUTE(SUBSTITUTE(SUBSTITUTE(SUBSTITUTE(SUBSTITUTE(SUBSTITUTE(SUBSTITUTE(SUBSTITUTE(SUBSTITUTE(SUBSTITUTE(SUBSTITUTE(LOWER(TRIM(E633)),"á","a"),"é","e"),"í","i"),"ó","o"),"ú","u"),"ü","u"),"ñ","n"),"à","a"),"è","e"),"ì","i"),"ò","o"),"ù","u"),"")</f>
        <v/>
      </c>
      <c r="T633" s="25">
        <f>IF(AND(Q633=1,G633&lt;&gt;""),SUBSTITUTE(SUBSTITUTE(SUBSTITUTE(SUBSTITUTE(SUBSTITUTE(SUBSTITUTE(SUBSTITUTE(SUBSTITUTE(SUBSTITUTE(SUBSTITUTE(SUBSTITUTE(SUBSTITUTE(LOWER(TRIM(G633)),"á","a"),"é","e"),"í","i"),"ó","o"),"ú","u"),"ü","u"),"ñ","n"),"à","a"),"è","e"),"ì","i"),"ò","o"),"ù","u"),"")</f>
        <v/>
      </c>
      <c r="U633" s="25">
        <f>IF(AND(Q633=1,H633&lt;&gt;""),SUBSTITUTE(SUBSTITUTE(SUBSTITUTE(SUBSTITUTE(SUBSTITUTE(SUBSTITUTE(SUBSTITUTE(SUBSTITUTE(SUBSTITUTE(SUBSTITUTE(SUBSTITUTE(SUBSTITUTE(LOWER(TRIM(H633)),"á","a"),"é","e"),"í","i"),"ó","o"),"ú","u"),"ü","u"),"ñ","n"),"à","a"),"è","e"),"ì","i"),"ò","o"),"ù","u"),"")</f>
        <v/>
      </c>
      <c r="V633" s="25">
        <f>IF(AND(Q633=1,L633&lt;&gt;""),SUBSTITUTE(SUBSTITUTE(SUBSTITUTE(SUBSTITUTE(SUBSTITUTE(SUBSTITUTE(SUBSTITUTE(SUBSTITUTE(SUBSTITUTE(SUBSTITUTE(SUBSTITUTE(SUBSTITUTE(LOWER(TRIM(L633)),"á","a"),"é","e"),"í","i"),"ó","o"),"ú","u"),"ü","u"),"ñ","n"),"à","a"),"è","e"),"ì","i"),"ò","o"),"ù","u"),"")</f>
        <v/>
      </c>
      <c r="W633" s="25">
        <f>IF(AND(Q633=1,I633&lt;&gt;""),SUBSTITUTE(SUBSTITUTE(SUBSTITUTE(SUBSTITUTE(SUBSTITUTE(SUBSTITUTE(SUBSTITUTE(SUBSTITUTE(SUBSTITUTE(SUBSTITUTE(SUBSTITUTE(SUBSTITUTE(LOWER(TRIM(I633)),"á","a"),"é","e"),"í","i"),"ó","o"),"ú","u"),"ü","u"),"ñ","n"),"à","a"),"è","e"),"ì","i"),"ò","o"),"ù","u"),"")</f>
        <v/>
      </c>
      <c r="X633" s="25">
        <f>IF(U633="","",IF(OR(U633="si, en la proxima tarea",U633="si, con cambios"),1,0))</f>
        <v/>
      </c>
      <c r="Y633" s="25">
        <f>IF(AND(Q633=1,A633&lt;&gt;""),IF(IFERROR(COUNTIFS(A$3:A633,"="&amp;SUBSTITUTE(SUBSTITUTE(SUBSTITUTE(A633,"~","~~"),"*","~*"),"?","~?"),Q$3:Q633,1),0)=1,MAX(Y$2:Y632)+1,""),"")</f>
        <v/>
      </c>
      <c r="Z633" s="25">
        <f>IF(Y633="","",COUNTIFS($A$3:$A$1002,"="&amp;SUBSTITUTE(SUBSTITUTE(SUBSTITUTE(A633,"~","~~"),"*","~*"),"?","~?"),$Q$3:$Q$1002,1)*10000-Y633)</f>
        <v/>
      </c>
    </row>
    <row r="634">
      <c r="A634">
        <f>IF(A$2=0,"",IFERROR(TRIM(INDEX('Pegar docentes'!$A$1:$BZ$1001,633,A$2)&amp;""),""))</f>
        <v/>
      </c>
      <c r="B634">
        <f>IF(B$2=0,"",IFERROR(TRIM(INDEX('Pegar docentes'!$A$1:$BZ$1001,633,B$2)&amp;""),""))</f>
        <v/>
      </c>
      <c r="C634">
        <f>IF(C$2=0,"",IFERROR(TRIM(INDEX('Pegar docentes'!$A$1:$BZ$1001,633,C$2)&amp;""),""))</f>
        <v/>
      </c>
      <c r="D634">
        <f>IF(D$2=0,"",IFERROR(TRIM(INDEX('Pegar docentes'!$A$1:$BZ$1001,633,D$2)&amp;""),""))</f>
        <v/>
      </c>
      <c r="E634">
        <f>IF(E$2=0,"",IFERROR(TRIM(INDEX('Pegar docentes'!$A$1:$BZ$1001,633,E$2)&amp;""),""))</f>
        <v/>
      </c>
      <c r="F634">
        <f>IF(F$2=0,"",IFERROR(TRIM(INDEX('Pegar docentes'!$A$1:$BZ$1001,633,F$2)&amp;""),""))</f>
        <v/>
      </c>
      <c r="G634">
        <f>IF(G$2=0,"",IFERROR(TRIM(INDEX('Pegar docentes'!$A$1:$BZ$1001,633,G$2)&amp;""),""))</f>
        <v/>
      </c>
      <c r="H634">
        <f>IF(H$2=0,"",IFERROR(TRIM(INDEX('Pegar docentes'!$A$1:$BZ$1001,633,H$2)&amp;""),""))</f>
        <v/>
      </c>
      <c r="I634">
        <f>IF(I$2=0,"",IFERROR(TRIM(INDEX('Pegar docentes'!$A$1:$BZ$1001,633,I$2)&amp;""),""))</f>
        <v/>
      </c>
      <c r="J634">
        <f>IF(J$2=0,"",IFERROR(TRIM(INDEX('Pegar docentes'!$A$1:$BZ$1001,633,J$2)&amp;""),""))</f>
        <v/>
      </c>
      <c r="K634">
        <f>IF(K$2=0,"",IFERROR(TRIM(INDEX('Pegar docentes'!$A$1:$BZ$1001,633,K$2)&amp;""),""))</f>
        <v/>
      </c>
      <c r="L634">
        <f>IF(L$2=0,"",IFERROR(TRIM(INDEX('Pegar docentes'!$A$1:$BZ$1001,633,L$2)&amp;""),""))</f>
        <v/>
      </c>
      <c r="M634">
        <f>IF(M$2=0,"",IFERROR(TRIM(INDEX('Pegar docentes'!$A$1:$BZ$1001,633,M$2)&amp;""),""))</f>
        <v/>
      </c>
      <c r="N634">
        <f>IF(N$2=0,"",IFERROR(TRIM(INDEX('Pegar docentes'!$A$1:$BZ$1001,633,N$2)&amp;""),""))</f>
        <v/>
      </c>
      <c r="O634">
        <f>IF(O$2=0,"",IFERROR(TRIM(INDEX('Pegar docentes'!$A$1:$BZ$1001,633,O$2)&amp;""),""))</f>
        <v/>
      </c>
      <c r="P634">
        <f>IF(P$2=0,"",IFERROR(TRIM(INDEX('Pegar docentes'!$A$1:$BZ$1001,633,P$2)&amp;""),""))</f>
        <v/>
      </c>
      <c r="Q634" s="25">
        <f>IF(OR(D634&lt;&gt;"",H634&lt;&gt;""),1,"")</f>
        <v/>
      </c>
      <c r="R634" s="25">
        <f>IF(Q634=1,IF(ISNUMBER(FIND("#"&amp;MID(D634,1,1)&amp;"#","#0#1#2#3#4#5#6#7#8#9#")),IF(ISNUMBER(FIND("#"&amp;MID(D634,2,1)&amp;"#","#0#1#2#3#4#5#6#7#8#9#")),IF(AND(VALUE(LEFT(D634,2))&gt;=1,VALUE(LEFT(D634,2))&lt;=5),VALUE(LEFT(D634,2)),""),IF(AND(VALUE(LEFT(D634,1))&gt;=1,VALUE(LEFT(D634,1))&lt;=5),VALUE(LEFT(D634,1)),"")),""),"")</f>
        <v/>
      </c>
      <c r="S634" s="25">
        <f>IF(AND(Q634=1,E634&lt;&gt;""),SUBSTITUTE(SUBSTITUTE(SUBSTITUTE(SUBSTITUTE(SUBSTITUTE(SUBSTITUTE(SUBSTITUTE(SUBSTITUTE(SUBSTITUTE(SUBSTITUTE(SUBSTITUTE(SUBSTITUTE(LOWER(TRIM(E634)),"á","a"),"é","e"),"í","i"),"ó","o"),"ú","u"),"ü","u"),"ñ","n"),"à","a"),"è","e"),"ì","i"),"ò","o"),"ù","u"),"")</f>
        <v/>
      </c>
      <c r="T634" s="25">
        <f>IF(AND(Q634=1,G634&lt;&gt;""),SUBSTITUTE(SUBSTITUTE(SUBSTITUTE(SUBSTITUTE(SUBSTITUTE(SUBSTITUTE(SUBSTITUTE(SUBSTITUTE(SUBSTITUTE(SUBSTITUTE(SUBSTITUTE(SUBSTITUTE(LOWER(TRIM(G634)),"á","a"),"é","e"),"í","i"),"ó","o"),"ú","u"),"ü","u"),"ñ","n"),"à","a"),"è","e"),"ì","i"),"ò","o"),"ù","u"),"")</f>
        <v/>
      </c>
      <c r="U634" s="25">
        <f>IF(AND(Q634=1,H634&lt;&gt;""),SUBSTITUTE(SUBSTITUTE(SUBSTITUTE(SUBSTITUTE(SUBSTITUTE(SUBSTITUTE(SUBSTITUTE(SUBSTITUTE(SUBSTITUTE(SUBSTITUTE(SUBSTITUTE(SUBSTITUTE(LOWER(TRIM(H634)),"á","a"),"é","e"),"í","i"),"ó","o"),"ú","u"),"ü","u"),"ñ","n"),"à","a"),"è","e"),"ì","i"),"ò","o"),"ù","u"),"")</f>
        <v/>
      </c>
      <c r="V634" s="25">
        <f>IF(AND(Q634=1,L634&lt;&gt;""),SUBSTITUTE(SUBSTITUTE(SUBSTITUTE(SUBSTITUTE(SUBSTITUTE(SUBSTITUTE(SUBSTITUTE(SUBSTITUTE(SUBSTITUTE(SUBSTITUTE(SUBSTITUTE(SUBSTITUTE(LOWER(TRIM(L634)),"á","a"),"é","e"),"í","i"),"ó","o"),"ú","u"),"ü","u"),"ñ","n"),"à","a"),"è","e"),"ì","i"),"ò","o"),"ù","u"),"")</f>
        <v/>
      </c>
      <c r="W634" s="25">
        <f>IF(AND(Q634=1,I634&lt;&gt;""),SUBSTITUTE(SUBSTITUTE(SUBSTITUTE(SUBSTITUTE(SUBSTITUTE(SUBSTITUTE(SUBSTITUTE(SUBSTITUTE(SUBSTITUTE(SUBSTITUTE(SUBSTITUTE(SUBSTITUTE(LOWER(TRIM(I634)),"á","a"),"é","e"),"í","i"),"ó","o"),"ú","u"),"ü","u"),"ñ","n"),"à","a"),"è","e"),"ì","i"),"ò","o"),"ù","u"),"")</f>
        <v/>
      </c>
      <c r="X634" s="25">
        <f>IF(U634="","",IF(OR(U634="si, en la proxima tarea",U634="si, con cambios"),1,0))</f>
        <v/>
      </c>
      <c r="Y634" s="25">
        <f>IF(AND(Q634=1,A634&lt;&gt;""),IF(IFERROR(COUNTIFS(A$3:A634,"="&amp;SUBSTITUTE(SUBSTITUTE(SUBSTITUTE(A634,"~","~~"),"*","~*"),"?","~?"),Q$3:Q634,1),0)=1,MAX(Y$2:Y633)+1,""),"")</f>
        <v/>
      </c>
      <c r="Z634" s="25">
        <f>IF(Y634="","",COUNTIFS($A$3:$A$1002,"="&amp;SUBSTITUTE(SUBSTITUTE(SUBSTITUTE(A634,"~","~~"),"*","~*"),"?","~?"),$Q$3:$Q$1002,1)*10000-Y634)</f>
        <v/>
      </c>
    </row>
    <row r="635">
      <c r="A635">
        <f>IF(A$2=0,"",IFERROR(TRIM(INDEX('Pegar docentes'!$A$1:$BZ$1001,634,A$2)&amp;""),""))</f>
        <v/>
      </c>
      <c r="B635">
        <f>IF(B$2=0,"",IFERROR(TRIM(INDEX('Pegar docentes'!$A$1:$BZ$1001,634,B$2)&amp;""),""))</f>
        <v/>
      </c>
      <c r="C635">
        <f>IF(C$2=0,"",IFERROR(TRIM(INDEX('Pegar docentes'!$A$1:$BZ$1001,634,C$2)&amp;""),""))</f>
        <v/>
      </c>
      <c r="D635">
        <f>IF(D$2=0,"",IFERROR(TRIM(INDEX('Pegar docentes'!$A$1:$BZ$1001,634,D$2)&amp;""),""))</f>
        <v/>
      </c>
      <c r="E635">
        <f>IF(E$2=0,"",IFERROR(TRIM(INDEX('Pegar docentes'!$A$1:$BZ$1001,634,E$2)&amp;""),""))</f>
        <v/>
      </c>
      <c r="F635">
        <f>IF(F$2=0,"",IFERROR(TRIM(INDEX('Pegar docentes'!$A$1:$BZ$1001,634,F$2)&amp;""),""))</f>
        <v/>
      </c>
      <c r="G635">
        <f>IF(G$2=0,"",IFERROR(TRIM(INDEX('Pegar docentes'!$A$1:$BZ$1001,634,G$2)&amp;""),""))</f>
        <v/>
      </c>
      <c r="H635">
        <f>IF(H$2=0,"",IFERROR(TRIM(INDEX('Pegar docentes'!$A$1:$BZ$1001,634,H$2)&amp;""),""))</f>
        <v/>
      </c>
      <c r="I635">
        <f>IF(I$2=0,"",IFERROR(TRIM(INDEX('Pegar docentes'!$A$1:$BZ$1001,634,I$2)&amp;""),""))</f>
        <v/>
      </c>
      <c r="J635">
        <f>IF(J$2=0,"",IFERROR(TRIM(INDEX('Pegar docentes'!$A$1:$BZ$1001,634,J$2)&amp;""),""))</f>
        <v/>
      </c>
      <c r="K635">
        <f>IF(K$2=0,"",IFERROR(TRIM(INDEX('Pegar docentes'!$A$1:$BZ$1001,634,K$2)&amp;""),""))</f>
        <v/>
      </c>
      <c r="L635">
        <f>IF(L$2=0,"",IFERROR(TRIM(INDEX('Pegar docentes'!$A$1:$BZ$1001,634,L$2)&amp;""),""))</f>
        <v/>
      </c>
      <c r="M635">
        <f>IF(M$2=0,"",IFERROR(TRIM(INDEX('Pegar docentes'!$A$1:$BZ$1001,634,M$2)&amp;""),""))</f>
        <v/>
      </c>
      <c r="N635">
        <f>IF(N$2=0,"",IFERROR(TRIM(INDEX('Pegar docentes'!$A$1:$BZ$1001,634,N$2)&amp;""),""))</f>
        <v/>
      </c>
      <c r="O635">
        <f>IF(O$2=0,"",IFERROR(TRIM(INDEX('Pegar docentes'!$A$1:$BZ$1001,634,O$2)&amp;""),""))</f>
        <v/>
      </c>
      <c r="P635">
        <f>IF(P$2=0,"",IFERROR(TRIM(INDEX('Pegar docentes'!$A$1:$BZ$1001,634,P$2)&amp;""),""))</f>
        <v/>
      </c>
      <c r="Q635" s="25">
        <f>IF(OR(D635&lt;&gt;"",H635&lt;&gt;""),1,"")</f>
        <v/>
      </c>
      <c r="R635" s="25">
        <f>IF(Q635=1,IF(ISNUMBER(FIND("#"&amp;MID(D635,1,1)&amp;"#","#0#1#2#3#4#5#6#7#8#9#")),IF(ISNUMBER(FIND("#"&amp;MID(D635,2,1)&amp;"#","#0#1#2#3#4#5#6#7#8#9#")),IF(AND(VALUE(LEFT(D635,2))&gt;=1,VALUE(LEFT(D635,2))&lt;=5),VALUE(LEFT(D635,2)),""),IF(AND(VALUE(LEFT(D635,1))&gt;=1,VALUE(LEFT(D635,1))&lt;=5),VALUE(LEFT(D635,1)),"")),""),"")</f>
        <v/>
      </c>
      <c r="S635" s="25">
        <f>IF(AND(Q635=1,E635&lt;&gt;""),SUBSTITUTE(SUBSTITUTE(SUBSTITUTE(SUBSTITUTE(SUBSTITUTE(SUBSTITUTE(SUBSTITUTE(SUBSTITUTE(SUBSTITUTE(SUBSTITUTE(SUBSTITUTE(SUBSTITUTE(LOWER(TRIM(E635)),"á","a"),"é","e"),"í","i"),"ó","o"),"ú","u"),"ü","u"),"ñ","n"),"à","a"),"è","e"),"ì","i"),"ò","o"),"ù","u"),"")</f>
        <v/>
      </c>
      <c r="T635" s="25">
        <f>IF(AND(Q635=1,G635&lt;&gt;""),SUBSTITUTE(SUBSTITUTE(SUBSTITUTE(SUBSTITUTE(SUBSTITUTE(SUBSTITUTE(SUBSTITUTE(SUBSTITUTE(SUBSTITUTE(SUBSTITUTE(SUBSTITUTE(SUBSTITUTE(LOWER(TRIM(G635)),"á","a"),"é","e"),"í","i"),"ó","o"),"ú","u"),"ü","u"),"ñ","n"),"à","a"),"è","e"),"ì","i"),"ò","o"),"ù","u"),"")</f>
        <v/>
      </c>
      <c r="U635" s="25">
        <f>IF(AND(Q635=1,H635&lt;&gt;""),SUBSTITUTE(SUBSTITUTE(SUBSTITUTE(SUBSTITUTE(SUBSTITUTE(SUBSTITUTE(SUBSTITUTE(SUBSTITUTE(SUBSTITUTE(SUBSTITUTE(SUBSTITUTE(SUBSTITUTE(LOWER(TRIM(H635)),"á","a"),"é","e"),"í","i"),"ó","o"),"ú","u"),"ü","u"),"ñ","n"),"à","a"),"è","e"),"ì","i"),"ò","o"),"ù","u"),"")</f>
        <v/>
      </c>
      <c r="V635" s="25">
        <f>IF(AND(Q635=1,L635&lt;&gt;""),SUBSTITUTE(SUBSTITUTE(SUBSTITUTE(SUBSTITUTE(SUBSTITUTE(SUBSTITUTE(SUBSTITUTE(SUBSTITUTE(SUBSTITUTE(SUBSTITUTE(SUBSTITUTE(SUBSTITUTE(LOWER(TRIM(L635)),"á","a"),"é","e"),"í","i"),"ó","o"),"ú","u"),"ü","u"),"ñ","n"),"à","a"),"è","e"),"ì","i"),"ò","o"),"ù","u"),"")</f>
        <v/>
      </c>
      <c r="W635" s="25">
        <f>IF(AND(Q635=1,I635&lt;&gt;""),SUBSTITUTE(SUBSTITUTE(SUBSTITUTE(SUBSTITUTE(SUBSTITUTE(SUBSTITUTE(SUBSTITUTE(SUBSTITUTE(SUBSTITUTE(SUBSTITUTE(SUBSTITUTE(SUBSTITUTE(LOWER(TRIM(I635)),"á","a"),"é","e"),"í","i"),"ó","o"),"ú","u"),"ü","u"),"ñ","n"),"à","a"),"è","e"),"ì","i"),"ò","o"),"ù","u"),"")</f>
        <v/>
      </c>
      <c r="X635" s="25">
        <f>IF(U635="","",IF(OR(U635="si, en la proxima tarea",U635="si, con cambios"),1,0))</f>
        <v/>
      </c>
      <c r="Y635" s="25">
        <f>IF(AND(Q635=1,A635&lt;&gt;""),IF(IFERROR(COUNTIFS(A$3:A635,"="&amp;SUBSTITUTE(SUBSTITUTE(SUBSTITUTE(A635,"~","~~"),"*","~*"),"?","~?"),Q$3:Q635,1),0)=1,MAX(Y$2:Y634)+1,""),"")</f>
        <v/>
      </c>
      <c r="Z635" s="25">
        <f>IF(Y635="","",COUNTIFS($A$3:$A$1002,"="&amp;SUBSTITUTE(SUBSTITUTE(SUBSTITUTE(A635,"~","~~"),"*","~*"),"?","~?"),$Q$3:$Q$1002,1)*10000-Y635)</f>
        <v/>
      </c>
    </row>
    <row r="636">
      <c r="A636">
        <f>IF(A$2=0,"",IFERROR(TRIM(INDEX('Pegar docentes'!$A$1:$BZ$1001,635,A$2)&amp;""),""))</f>
        <v/>
      </c>
      <c r="B636">
        <f>IF(B$2=0,"",IFERROR(TRIM(INDEX('Pegar docentes'!$A$1:$BZ$1001,635,B$2)&amp;""),""))</f>
        <v/>
      </c>
      <c r="C636">
        <f>IF(C$2=0,"",IFERROR(TRIM(INDEX('Pegar docentes'!$A$1:$BZ$1001,635,C$2)&amp;""),""))</f>
        <v/>
      </c>
      <c r="D636">
        <f>IF(D$2=0,"",IFERROR(TRIM(INDEX('Pegar docentes'!$A$1:$BZ$1001,635,D$2)&amp;""),""))</f>
        <v/>
      </c>
      <c r="E636">
        <f>IF(E$2=0,"",IFERROR(TRIM(INDEX('Pegar docentes'!$A$1:$BZ$1001,635,E$2)&amp;""),""))</f>
        <v/>
      </c>
      <c r="F636">
        <f>IF(F$2=0,"",IFERROR(TRIM(INDEX('Pegar docentes'!$A$1:$BZ$1001,635,F$2)&amp;""),""))</f>
        <v/>
      </c>
      <c r="G636">
        <f>IF(G$2=0,"",IFERROR(TRIM(INDEX('Pegar docentes'!$A$1:$BZ$1001,635,G$2)&amp;""),""))</f>
        <v/>
      </c>
      <c r="H636">
        <f>IF(H$2=0,"",IFERROR(TRIM(INDEX('Pegar docentes'!$A$1:$BZ$1001,635,H$2)&amp;""),""))</f>
        <v/>
      </c>
      <c r="I636">
        <f>IF(I$2=0,"",IFERROR(TRIM(INDEX('Pegar docentes'!$A$1:$BZ$1001,635,I$2)&amp;""),""))</f>
        <v/>
      </c>
      <c r="J636">
        <f>IF(J$2=0,"",IFERROR(TRIM(INDEX('Pegar docentes'!$A$1:$BZ$1001,635,J$2)&amp;""),""))</f>
        <v/>
      </c>
      <c r="K636">
        <f>IF(K$2=0,"",IFERROR(TRIM(INDEX('Pegar docentes'!$A$1:$BZ$1001,635,K$2)&amp;""),""))</f>
        <v/>
      </c>
      <c r="L636">
        <f>IF(L$2=0,"",IFERROR(TRIM(INDEX('Pegar docentes'!$A$1:$BZ$1001,635,L$2)&amp;""),""))</f>
        <v/>
      </c>
      <c r="M636">
        <f>IF(M$2=0,"",IFERROR(TRIM(INDEX('Pegar docentes'!$A$1:$BZ$1001,635,M$2)&amp;""),""))</f>
        <v/>
      </c>
      <c r="N636">
        <f>IF(N$2=0,"",IFERROR(TRIM(INDEX('Pegar docentes'!$A$1:$BZ$1001,635,N$2)&amp;""),""))</f>
        <v/>
      </c>
      <c r="O636">
        <f>IF(O$2=0,"",IFERROR(TRIM(INDEX('Pegar docentes'!$A$1:$BZ$1001,635,O$2)&amp;""),""))</f>
        <v/>
      </c>
      <c r="P636">
        <f>IF(P$2=0,"",IFERROR(TRIM(INDEX('Pegar docentes'!$A$1:$BZ$1001,635,P$2)&amp;""),""))</f>
        <v/>
      </c>
      <c r="Q636" s="25">
        <f>IF(OR(D636&lt;&gt;"",H636&lt;&gt;""),1,"")</f>
        <v/>
      </c>
      <c r="R636" s="25">
        <f>IF(Q636=1,IF(ISNUMBER(FIND("#"&amp;MID(D636,1,1)&amp;"#","#0#1#2#3#4#5#6#7#8#9#")),IF(ISNUMBER(FIND("#"&amp;MID(D636,2,1)&amp;"#","#0#1#2#3#4#5#6#7#8#9#")),IF(AND(VALUE(LEFT(D636,2))&gt;=1,VALUE(LEFT(D636,2))&lt;=5),VALUE(LEFT(D636,2)),""),IF(AND(VALUE(LEFT(D636,1))&gt;=1,VALUE(LEFT(D636,1))&lt;=5),VALUE(LEFT(D636,1)),"")),""),"")</f>
        <v/>
      </c>
      <c r="S636" s="25">
        <f>IF(AND(Q636=1,E636&lt;&gt;""),SUBSTITUTE(SUBSTITUTE(SUBSTITUTE(SUBSTITUTE(SUBSTITUTE(SUBSTITUTE(SUBSTITUTE(SUBSTITUTE(SUBSTITUTE(SUBSTITUTE(SUBSTITUTE(SUBSTITUTE(LOWER(TRIM(E636)),"á","a"),"é","e"),"í","i"),"ó","o"),"ú","u"),"ü","u"),"ñ","n"),"à","a"),"è","e"),"ì","i"),"ò","o"),"ù","u"),"")</f>
        <v/>
      </c>
      <c r="T636" s="25">
        <f>IF(AND(Q636=1,G636&lt;&gt;""),SUBSTITUTE(SUBSTITUTE(SUBSTITUTE(SUBSTITUTE(SUBSTITUTE(SUBSTITUTE(SUBSTITUTE(SUBSTITUTE(SUBSTITUTE(SUBSTITUTE(SUBSTITUTE(SUBSTITUTE(LOWER(TRIM(G636)),"á","a"),"é","e"),"í","i"),"ó","o"),"ú","u"),"ü","u"),"ñ","n"),"à","a"),"è","e"),"ì","i"),"ò","o"),"ù","u"),"")</f>
        <v/>
      </c>
      <c r="U636" s="25">
        <f>IF(AND(Q636=1,H636&lt;&gt;""),SUBSTITUTE(SUBSTITUTE(SUBSTITUTE(SUBSTITUTE(SUBSTITUTE(SUBSTITUTE(SUBSTITUTE(SUBSTITUTE(SUBSTITUTE(SUBSTITUTE(SUBSTITUTE(SUBSTITUTE(LOWER(TRIM(H636)),"á","a"),"é","e"),"í","i"),"ó","o"),"ú","u"),"ü","u"),"ñ","n"),"à","a"),"è","e"),"ì","i"),"ò","o"),"ù","u"),"")</f>
        <v/>
      </c>
      <c r="V636" s="25">
        <f>IF(AND(Q636=1,L636&lt;&gt;""),SUBSTITUTE(SUBSTITUTE(SUBSTITUTE(SUBSTITUTE(SUBSTITUTE(SUBSTITUTE(SUBSTITUTE(SUBSTITUTE(SUBSTITUTE(SUBSTITUTE(SUBSTITUTE(SUBSTITUTE(LOWER(TRIM(L636)),"á","a"),"é","e"),"í","i"),"ó","o"),"ú","u"),"ü","u"),"ñ","n"),"à","a"),"è","e"),"ì","i"),"ò","o"),"ù","u"),"")</f>
        <v/>
      </c>
      <c r="W636" s="25">
        <f>IF(AND(Q636=1,I636&lt;&gt;""),SUBSTITUTE(SUBSTITUTE(SUBSTITUTE(SUBSTITUTE(SUBSTITUTE(SUBSTITUTE(SUBSTITUTE(SUBSTITUTE(SUBSTITUTE(SUBSTITUTE(SUBSTITUTE(SUBSTITUTE(LOWER(TRIM(I636)),"á","a"),"é","e"),"í","i"),"ó","o"),"ú","u"),"ü","u"),"ñ","n"),"à","a"),"è","e"),"ì","i"),"ò","o"),"ù","u"),"")</f>
        <v/>
      </c>
      <c r="X636" s="25">
        <f>IF(U636="","",IF(OR(U636="si, en la proxima tarea",U636="si, con cambios"),1,0))</f>
        <v/>
      </c>
      <c r="Y636" s="25">
        <f>IF(AND(Q636=1,A636&lt;&gt;""),IF(IFERROR(COUNTIFS(A$3:A636,"="&amp;SUBSTITUTE(SUBSTITUTE(SUBSTITUTE(A636,"~","~~"),"*","~*"),"?","~?"),Q$3:Q636,1),0)=1,MAX(Y$2:Y635)+1,""),"")</f>
        <v/>
      </c>
      <c r="Z636" s="25">
        <f>IF(Y636="","",COUNTIFS($A$3:$A$1002,"="&amp;SUBSTITUTE(SUBSTITUTE(SUBSTITUTE(A636,"~","~~"),"*","~*"),"?","~?"),$Q$3:$Q$1002,1)*10000-Y636)</f>
        <v/>
      </c>
    </row>
    <row r="637">
      <c r="A637">
        <f>IF(A$2=0,"",IFERROR(TRIM(INDEX('Pegar docentes'!$A$1:$BZ$1001,636,A$2)&amp;""),""))</f>
        <v/>
      </c>
      <c r="B637">
        <f>IF(B$2=0,"",IFERROR(TRIM(INDEX('Pegar docentes'!$A$1:$BZ$1001,636,B$2)&amp;""),""))</f>
        <v/>
      </c>
      <c r="C637">
        <f>IF(C$2=0,"",IFERROR(TRIM(INDEX('Pegar docentes'!$A$1:$BZ$1001,636,C$2)&amp;""),""))</f>
        <v/>
      </c>
      <c r="D637">
        <f>IF(D$2=0,"",IFERROR(TRIM(INDEX('Pegar docentes'!$A$1:$BZ$1001,636,D$2)&amp;""),""))</f>
        <v/>
      </c>
      <c r="E637">
        <f>IF(E$2=0,"",IFERROR(TRIM(INDEX('Pegar docentes'!$A$1:$BZ$1001,636,E$2)&amp;""),""))</f>
        <v/>
      </c>
      <c r="F637">
        <f>IF(F$2=0,"",IFERROR(TRIM(INDEX('Pegar docentes'!$A$1:$BZ$1001,636,F$2)&amp;""),""))</f>
        <v/>
      </c>
      <c r="G637">
        <f>IF(G$2=0,"",IFERROR(TRIM(INDEX('Pegar docentes'!$A$1:$BZ$1001,636,G$2)&amp;""),""))</f>
        <v/>
      </c>
      <c r="H637">
        <f>IF(H$2=0,"",IFERROR(TRIM(INDEX('Pegar docentes'!$A$1:$BZ$1001,636,H$2)&amp;""),""))</f>
        <v/>
      </c>
      <c r="I637">
        <f>IF(I$2=0,"",IFERROR(TRIM(INDEX('Pegar docentes'!$A$1:$BZ$1001,636,I$2)&amp;""),""))</f>
        <v/>
      </c>
      <c r="J637">
        <f>IF(J$2=0,"",IFERROR(TRIM(INDEX('Pegar docentes'!$A$1:$BZ$1001,636,J$2)&amp;""),""))</f>
        <v/>
      </c>
      <c r="K637">
        <f>IF(K$2=0,"",IFERROR(TRIM(INDEX('Pegar docentes'!$A$1:$BZ$1001,636,K$2)&amp;""),""))</f>
        <v/>
      </c>
      <c r="L637">
        <f>IF(L$2=0,"",IFERROR(TRIM(INDEX('Pegar docentes'!$A$1:$BZ$1001,636,L$2)&amp;""),""))</f>
        <v/>
      </c>
      <c r="M637">
        <f>IF(M$2=0,"",IFERROR(TRIM(INDEX('Pegar docentes'!$A$1:$BZ$1001,636,M$2)&amp;""),""))</f>
        <v/>
      </c>
      <c r="N637">
        <f>IF(N$2=0,"",IFERROR(TRIM(INDEX('Pegar docentes'!$A$1:$BZ$1001,636,N$2)&amp;""),""))</f>
        <v/>
      </c>
      <c r="O637">
        <f>IF(O$2=0,"",IFERROR(TRIM(INDEX('Pegar docentes'!$A$1:$BZ$1001,636,O$2)&amp;""),""))</f>
        <v/>
      </c>
      <c r="P637">
        <f>IF(P$2=0,"",IFERROR(TRIM(INDEX('Pegar docentes'!$A$1:$BZ$1001,636,P$2)&amp;""),""))</f>
        <v/>
      </c>
      <c r="Q637" s="25">
        <f>IF(OR(D637&lt;&gt;"",H637&lt;&gt;""),1,"")</f>
        <v/>
      </c>
      <c r="R637" s="25">
        <f>IF(Q637=1,IF(ISNUMBER(FIND("#"&amp;MID(D637,1,1)&amp;"#","#0#1#2#3#4#5#6#7#8#9#")),IF(ISNUMBER(FIND("#"&amp;MID(D637,2,1)&amp;"#","#0#1#2#3#4#5#6#7#8#9#")),IF(AND(VALUE(LEFT(D637,2))&gt;=1,VALUE(LEFT(D637,2))&lt;=5),VALUE(LEFT(D637,2)),""),IF(AND(VALUE(LEFT(D637,1))&gt;=1,VALUE(LEFT(D637,1))&lt;=5),VALUE(LEFT(D637,1)),"")),""),"")</f>
        <v/>
      </c>
      <c r="S637" s="25">
        <f>IF(AND(Q637=1,E637&lt;&gt;""),SUBSTITUTE(SUBSTITUTE(SUBSTITUTE(SUBSTITUTE(SUBSTITUTE(SUBSTITUTE(SUBSTITUTE(SUBSTITUTE(SUBSTITUTE(SUBSTITUTE(SUBSTITUTE(SUBSTITUTE(LOWER(TRIM(E637)),"á","a"),"é","e"),"í","i"),"ó","o"),"ú","u"),"ü","u"),"ñ","n"),"à","a"),"è","e"),"ì","i"),"ò","o"),"ù","u"),"")</f>
        <v/>
      </c>
      <c r="T637" s="25">
        <f>IF(AND(Q637=1,G637&lt;&gt;""),SUBSTITUTE(SUBSTITUTE(SUBSTITUTE(SUBSTITUTE(SUBSTITUTE(SUBSTITUTE(SUBSTITUTE(SUBSTITUTE(SUBSTITUTE(SUBSTITUTE(SUBSTITUTE(SUBSTITUTE(LOWER(TRIM(G637)),"á","a"),"é","e"),"í","i"),"ó","o"),"ú","u"),"ü","u"),"ñ","n"),"à","a"),"è","e"),"ì","i"),"ò","o"),"ù","u"),"")</f>
        <v/>
      </c>
      <c r="U637" s="25">
        <f>IF(AND(Q637=1,H637&lt;&gt;""),SUBSTITUTE(SUBSTITUTE(SUBSTITUTE(SUBSTITUTE(SUBSTITUTE(SUBSTITUTE(SUBSTITUTE(SUBSTITUTE(SUBSTITUTE(SUBSTITUTE(SUBSTITUTE(SUBSTITUTE(LOWER(TRIM(H637)),"á","a"),"é","e"),"í","i"),"ó","o"),"ú","u"),"ü","u"),"ñ","n"),"à","a"),"è","e"),"ì","i"),"ò","o"),"ù","u"),"")</f>
        <v/>
      </c>
      <c r="V637" s="25">
        <f>IF(AND(Q637=1,L637&lt;&gt;""),SUBSTITUTE(SUBSTITUTE(SUBSTITUTE(SUBSTITUTE(SUBSTITUTE(SUBSTITUTE(SUBSTITUTE(SUBSTITUTE(SUBSTITUTE(SUBSTITUTE(SUBSTITUTE(SUBSTITUTE(LOWER(TRIM(L637)),"á","a"),"é","e"),"í","i"),"ó","o"),"ú","u"),"ü","u"),"ñ","n"),"à","a"),"è","e"),"ì","i"),"ò","o"),"ù","u"),"")</f>
        <v/>
      </c>
      <c r="W637" s="25">
        <f>IF(AND(Q637=1,I637&lt;&gt;""),SUBSTITUTE(SUBSTITUTE(SUBSTITUTE(SUBSTITUTE(SUBSTITUTE(SUBSTITUTE(SUBSTITUTE(SUBSTITUTE(SUBSTITUTE(SUBSTITUTE(SUBSTITUTE(SUBSTITUTE(LOWER(TRIM(I637)),"á","a"),"é","e"),"í","i"),"ó","o"),"ú","u"),"ü","u"),"ñ","n"),"à","a"),"è","e"),"ì","i"),"ò","o"),"ù","u"),"")</f>
        <v/>
      </c>
      <c r="X637" s="25">
        <f>IF(U637="","",IF(OR(U637="si, en la proxima tarea",U637="si, con cambios"),1,0))</f>
        <v/>
      </c>
      <c r="Y637" s="25">
        <f>IF(AND(Q637=1,A637&lt;&gt;""),IF(IFERROR(COUNTIFS(A$3:A637,"="&amp;SUBSTITUTE(SUBSTITUTE(SUBSTITUTE(A637,"~","~~"),"*","~*"),"?","~?"),Q$3:Q637,1),0)=1,MAX(Y$2:Y636)+1,""),"")</f>
        <v/>
      </c>
      <c r="Z637" s="25">
        <f>IF(Y637="","",COUNTIFS($A$3:$A$1002,"="&amp;SUBSTITUTE(SUBSTITUTE(SUBSTITUTE(A637,"~","~~"),"*","~*"),"?","~?"),$Q$3:$Q$1002,1)*10000-Y637)</f>
        <v/>
      </c>
    </row>
    <row r="638">
      <c r="A638">
        <f>IF(A$2=0,"",IFERROR(TRIM(INDEX('Pegar docentes'!$A$1:$BZ$1001,637,A$2)&amp;""),""))</f>
        <v/>
      </c>
      <c r="B638">
        <f>IF(B$2=0,"",IFERROR(TRIM(INDEX('Pegar docentes'!$A$1:$BZ$1001,637,B$2)&amp;""),""))</f>
        <v/>
      </c>
      <c r="C638">
        <f>IF(C$2=0,"",IFERROR(TRIM(INDEX('Pegar docentes'!$A$1:$BZ$1001,637,C$2)&amp;""),""))</f>
        <v/>
      </c>
      <c r="D638">
        <f>IF(D$2=0,"",IFERROR(TRIM(INDEX('Pegar docentes'!$A$1:$BZ$1001,637,D$2)&amp;""),""))</f>
        <v/>
      </c>
      <c r="E638">
        <f>IF(E$2=0,"",IFERROR(TRIM(INDEX('Pegar docentes'!$A$1:$BZ$1001,637,E$2)&amp;""),""))</f>
        <v/>
      </c>
      <c r="F638">
        <f>IF(F$2=0,"",IFERROR(TRIM(INDEX('Pegar docentes'!$A$1:$BZ$1001,637,F$2)&amp;""),""))</f>
        <v/>
      </c>
      <c r="G638">
        <f>IF(G$2=0,"",IFERROR(TRIM(INDEX('Pegar docentes'!$A$1:$BZ$1001,637,G$2)&amp;""),""))</f>
        <v/>
      </c>
      <c r="H638">
        <f>IF(H$2=0,"",IFERROR(TRIM(INDEX('Pegar docentes'!$A$1:$BZ$1001,637,H$2)&amp;""),""))</f>
        <v/>
      </c>
      <c r="I638">
        <f>IF(I$2=0,"",IFERROR(TRIM(INDEX('Pegar docentes'!$A$1:$BZ$1001,637,I$2)&amp;""),""))</f>
        <v/>
      </c>
      <c r="J638">
        <f>IF(J$2=0,"",IFERROR(TRIM(INDEX('Pegar docentes'!$A$1:$BZ$1001,637,J$2)&amp;""),""))</f>
        <v/>
      </c>
      <c r="K638">
        <f>IF(K$2=0,"",IFERROR(TRIM(INDEX('Pegar docentes'!$A$1:$BZ$1001,637,K$2)&amp;""),""))</f>
        <v/>
      </c>
      <c r="L638">
        <f>IF(L$2=0,"",IFERROR(TRIM(INDEX('Pegar docentes'!$A$1:$BZ$1001,637,L$2)&amp;""),""))</f>
        <v/>
      </c>
      <c r="M638">
        <f>IF(M$2=0,"",IFERROR(TRIM(INDEX('Pegar docentes'!$A$1:$BZ$1001,637,M$2)&amp;""),""))</f>
        <v/>
      </c>
      <c r="N638">
        <f>IF(N$2=0,"",IFERROR(TRIM(INDEX('Pegar docentes'!$A$1:$BZ$1001,637,N$2)&amp;""),""))</f>
        <v/>
      </c>
      <c r="O638">
        <f>IF(O$2=0,"",IFERROR(TRIM(INDEX('Pegar docentes'!$A$1:$BZ$1001,637,O$2)&amp;""),""))</f>
        <v/>
      </c>
      <c r="P638">
        <f>IF(P$2=0,"",IFERROR(TRIM(INDEX('Pegar docentes'!$A$1:$BZ$1001,637,P$2)&amp;""),""))</f>
        <v/>
      </c>
      <c r="Q638" s="25">
        <f>IF(OR(D638&lt;&gt;"",H638&lt;&gt;""),1,"")</f>
        <v/>
      </c>
      <c r="R638" s="25">
        <f>IF(Q638=1,IF(ISNUMBER(FIND("#"&amp;MID(D638,1,1)&amp;"#","#0#1#2#3#4#5#6#7#8#9#")),IF(ISNUMBER(FIND("#"&amp;MID(D638,2,1)&amp;"#","#0#1#2#3#4#5#6#7#8#9#")),IF(AND(VALUE(LEFT(D638,2))&gt;=1,VALUE(LEFT(D638,2))&lt;=5),VALUE(LEFT(D638,2)),""),IF(AND(VALUE(LEFT(D638,1))&gt;=1,VALUE(LEFT(D638,1))&lt;=5),VALUE(LEFT(D638,1)),"")),""),"")</f>
        <v/>
      </c>
      <c r="S638" s="25">
        <f>IF(AND(Q638=1,E638&lt;&gt;""),SUBSTITUTE(SUBSTITUTE(SUBSTITUTE(SUBSTITUTE(SUBSTITUTE(SUBSTITUTE(SUBSTITUTE(SUBSTITUTE(SUBSTITUTE(SUBSTITUTE(SUBSTITUTE(SUBSTITUTE(LOWER(TRIM(E638)),"á","a"),"é","e"),"í","i"),"ó","o"),"ú","u"),"ü","u"),"ñ","n"),"à","a"),"è","e"),"ì","i"),"ò","o"),"ù","u"),"")</f>
        <v/>
      </c>
      <c r="T638" s="25">
        <f>IF(AND(Q638=1,G638&lt;&gt;""),SUBSTITUTE(SUBSTITUTE(SUBSTITUTE(SUBSTITUTE(SUBSTITUTE(SUBSTITUTE(SUBSTITUTE(SUBSTITUTE(SUBSTITUTE(SUBSTITUTE(SUBSTITUTE(SUBSTITUTE(LOWER(TRIM(G638)),"á","a"),"é","e"),"í","i"),"ó","o"),"ú","u"),"ü","u"),"ñ","n"),"à","a"),"è","e"),"ì","i"),"ò","o"),"ù","u"),"")</f>
        <v/>
      </c>
      <c r="U638" s="25">
        <f>IF(AND(Q638=1,H638&lt;&gt;""),SUBSTITUTE(SUBSTITUTE(SUBSTITUTE(SUBSTITUTE(SUBSTITUTE(SUBSTITUTE(SUBSTITUTE(SUBSTITUTE(SUBSTITUTE(SUBSTITUTE(SUBSTITUTE(SUBSTITUTE(LOWER(TRIM(H638)),"á","a"),"é","e"),"í","i"),"ó","o"),"ú","u"),"ü","u"),"ñ","n"),"à","a"),"è","e"),"ì","i"),"ò","o"),"ù","u"),"")</f>
        <v/>
      </c>
      <c r="V638" s="25">
        <f>IF(AND(Q638=1,L638&lt;&gt;""),SUBSTITUTE(SUBSTITUTE(SUBSTITUTE(SUBSTITUTE(SUBSTITUTE(SUBSTITUTE(SUBSTITUTE(SUBSTITUTE(SUBSTITUTE(SUBSTITUTE(SUBSTITUTE(SUBSTITUTE(LOWER(TRIM(L638)),"á","a"),"é","e"),"í","i"),"ó","o"),"ú","u"),"ü","u"),"ñ","n"),"à","a"),"è","e"),"ì","i"),"ò","o"),"ù","u"),"")</f>
        <v/>
      </c>
      <c r="W638" s="25">
        <f>IF(AND(Q638=1,I638&lt;&gt;""),SUBSTITUTE(SUBSTITUTE(SUBSTITUTE(SUBSTITUTE(SUBSTITUTE(SUBSTITUTE(SUBSTITUTE(SUBSTITUTE(SUBSTITUTE(SUBSTITUTE(SUBSTITUTE(SUBSTITUTE(LOWER(TRIM(I638)),"á","a"),"é","e"),"í","i"),"ó","o"),"ú","u"),"ü","u"),"ñ","n"),"à","a"),"è","e"),"ì","i"),"ò","o"),"ù","u"),"")</f>
        <v/>
      </c>
      <c r="X638" s="25">
        <f>IF(U638="","",IF(OR(U638="si, en la proxima tarea",U638="si, con cambios"),1,0))</f>
        <v/>
      </c>
      <c r="Y638" s="25">
        <f>IF(AND(Q638=1,A638&lt;&gt;""),IF(IFERROR(COUNTIFS(A$3:A638,"="&amp;SUBSTITUTE(SUBSTITUTE(SUBSTITUTE(A638,"~","~~"),"*","~*"),"?","~?"),Q$3:Q638,1),0)=1,MAX(Y$2:Y637)+1,""),"")</f>
        <v/>
      </c>
      <c r="Z638" s="25">
        <f>IF(Y638="","",COUNTIFS($A$3:$A$1002,"="&amp;SUBSTITUTE(SUBSTITUTE(SUBSTITUTE(A638,"~","~~"),"*","~*"),"?","~?"),$Q$3:$Q$1002,1)*10000-Y638)</f>
        <v/>
      </c>
    </row>
    <row r="639">
      <c r="A639">
        <f>IF(A$2=0,"",IFERROR(TRIM(INDEX('Pegar docentes'!$A$1:$BZ$1001,638,A$2)&amp;""),""))</f>
        <v/>
      </c>
      <c r="B639">
        <f>IF(B$2=0,"",IFERROR(TRIM(INDEX('Pegar docentes'!$A$1:$BZ$1001,638,B$2)&amp;""),""))</f>
        <v/>
      </c>
      <c r="C639">
        <f>IF(C$2=0,"",IFERROR(TRIM(INDEX('Pegar docentes'!$A$1:$BZ$1001,638,C$2)&amp;""),""))</f>
        <v/>
      </c>
      <c r="D639">
        <f>IF(D$2=0,"",IFERROR(TRIM(INDEX('Pegar docentes'!$A$1:$BZ$1001,638,D$2)&amp;""),""))</f>
        <v/>
      </c>
      <c r="E639">
        <f>IF(E$2=0,"",IFERROR(TRIM(INDEX('Pegar docentes'!$A$1:$BZ$1001,638,E$2)&amp;""),""))</f>
        <v/>
      </c>
      <c r="F639">
        <f>IF(F$2=0,"",IFERROR(TRIM(INDEX('Pegar docentes'!$A$1:$BZ$1001,638,F$2)&amp;""),""))</f>
        <v/>
      </c>
      <c r="G639">
        <f>IF(G$2=0,"",IFERROR(TRIM(INDEX('Pegar docentes'!$A$1:$BZ$1001,638,G$2)&amp;""),""))</f>
        <v/>
      </c>
      <c r="H639">
        <f>IF(H$2=0,"",IFERROR(TRIM(INDEX('Pegar docentes'!$A$1:$BZ$1001,638,H$2)&amp;""),""))</f>
        <v/>
      </c>
      <c r="I639">
        <f>IF(I$2=0,"",IFERROR(TRIM(INDEX('Pegar docentes'!$A$1:$BZ$1001,638,I$2)&amp;""),""))</f>
        <v/>
      </c>
      <c r="J639">
        <f>IF(J$2=0,"",IFERROR(TRIM(INDEX('Pegar docentes'!$A$1:$BZ$1001,638,J$2)&amp;""),""))</f>
        <v/>
      </c>
      <c r="K639">
        <f>IF(K$2=0,"",IFERROR(TRIM(INDEX('Pegar docentes'!$A$1:$BZ$1001,638,K$2)&amp;""),""))</f>
        <v/>
      </c>
      <c r="L639">
        <f>IF(L$2=0,"",IFERROR(TRIM(INDEX('Pegar docentes'!$A$1:$BZ$1001,638,L$2)&amp;""),""))</f>
        <v/>
      </c>
      <c r="M639">
        <f>IF(M$2=0,"",IFERROR(TRIM(INDEX('Pegar docentes'!$A$1:$BZ$1001,638,M$2)&amp;""),""))</f>
        <v/>
      </c>
      <c r="N639">
        <f>IF(N$2=0,"",IFERROR(TRIM(INDEX('Pegar docentes'!$A$1:$BZ$1001,638,N$2)&amp;""),""))</f>
        <v/>
      </c>
      <c r="O639">
        <f>IF(O$2=0,"",IFERROR(TRIM(INDEX('Pegar docentes'!$A$1:$BZ$1001,638,O$2)&amp;""),""))</f>
        <v/>
      </c>
      <c r="P639">
        <f>IF(P$2=0,"",IFERROR(TRIM(INDEX('Pegar docentes'!$A$1:$BZ$1001,638,P$2)&amp;""),""))</f>
        <v/>
      </c>
      <c r="Q639" s="25">
        <f>IF(OR(D639&lt;&gt;"",H639&lt;&gt;""),1,"")</f>
        <v/>
      </c>
      <c r="R639" s="25">
        <f>IF(Q639=1,IF(ISNUMBER(FIND("#"&amp;MID(D639,1,1)&amp;"#","#0#1#2#3#4#5#6#7#8#9#")),IF(ISNUMBER(FIND("#"&amp;MID(D639,2,1)&amp;"#","#0#1#2#3#4#5#6#7#8#9#")),IF(AND(VALUE(LEFT(D639,2))&gt;=1,VALUE(LEFT(D639,2))&lt;=5),VALUE(LEFT(D639,2)),""),IF(AND(VALUE(LEFT(D639,1))&gt;=1,VALUE(LEFT(D639,1))&lt;=5),VALUE(LEFT(D639,1)),"")),""),"")</f>
        <v/>
      </c>
      <c r="S639" s="25">
        <f>IF(AND(Q639=1,E639&lt;&gt;""),SUBSTITUTE(SUBSTITUTE(SUBSTITUTE(SUBSTITUTE(SUBSTITUTE(SUBSTITUTE(SUBSTITUTE(SUBSTITUTE(SUBSTITUTE(SUBSTITUTE(SUBSTITUTE(SUBSTITUTE(LOWER(TRIM(E639)),"á","a"),"é","e"),"í","i"),"ó","o"),"ú","u"),"ü","u"),"ñ","n"),"à","a"),"è","e"),"ì","i"),"ò","o"),"ù","u"),"")</f>
        <v/>
      </c>
      <c r="T639" s="25">
        <f>IF(AND(Q639=1,G639&lt;&gt;""),SUBSTITUTE(SUBSTITUTE(SUBSTITUTE(SUBSTITUTE(SUBSTITUTE(SUBSTITUTE(SUBSTITUTE(SUBSTITUTE(SUBSTITUTE(SUBSTITUTE(SUBSTITUTE(SUBSTITUTE(LOWER(TRIM(G639)),"á","a"),"é","e"),"í","i"),"ó","o"),"ú","u"),"ü","u"),"ñ","n"),"à","a"),"è","e"),"ì","i"),"ò","o"),"ù","u"),"")</f>
        <v/>
      </c>
      <c r="U639" s="25">
        <f>IF(AND(Q639=1,H639&lt;&gt;""),SUBSTITUTE(SUBSTITUTE(SUBSTITUTE(SUBSTITUTE(SUBSTITUTE(SUBSTITUTE(SUBSTITUTE(SUBSTITUTE(SUBSTITUTE(SUBSTITUTE(SUBSTITUTE(SUBSTITUTE(LOWER(TRIM(H639)),"á","a"),"é","e"),"í","i"),"ó","o"),"ú","u"),"ü","u"),"ñ","n"),"à","a"),"è","e"),"ì","i"),"ò","o"),"ù","u"),"")</f>
        <v/>
      </c>
      <c r="V639" s="25">
        <f>IF(AND(Q639=1,L639&lt;&gt;""),SUBSTITUTE(SUBSTITUTE(SUBSTITUTE(SUBSTITUTE(SUBSTITUTE(SUBSTITUTE(SUBSTITUTE(SUBSTITUTE(SUBSTITUTE(SUBSTITUTE(SUBSTITUTE(SUBSTITUTE(LOWER(TRIM(L639)),"á","a"),"é","e"),"í","i"),"ó","o"),"ú","u"),"ü","u"),"ñ","n"),"à","a"),"è","e"),"ì","i"),"ò","o"),"ù","u"),"")</f>
        <v/>
      </c>
      <c r="W639" s="25">
        <f>IF(AND(Q639=1,I639&lt;&gt;""),SUBSTITUTE(SUBSTITUTE(SUBSTITUTE(SUBSTITUTE(SUBSTITUTE(SUBSTITUTE(SUBSTITUTE(SUBSTITUTE(SUBSTITUTE(SUBSTITUTE(SUBSTITUTE(SUBSTITUTE(LOWER(TRIM(I639)),"á","a"),"é","e"),"í","i"),"ó","o"),"ú","u"),"ü","u"),"ñ","n"),"à","a"),"è","e"),"ì","i"),"ò","o"),"ù","u"),"")</f>
        <v/>
      </c>
      <c r="X639" s="25">
        <f>IF(U639="","",IF(OR(U639="si, en la proxima tarea",U639="si, con cambios"),1,0))</f>
        <v/>
      </c>
      <c r="Y639" s="25">
        <f>IF(AND(Q639=1,A639&lt;&gt;""),IF(IFERROR(COUNTIFS(A$3:A639,"="&amp;SUBSTITUTE(SUBSTITUTE(SUBSTITUTE(A639,"~","~~"),"*","~*"),"?","~?"),Q$3:Q639,1),0)=1,MAX(Y$2:Y638)+1,""),"")</f>
        <v/>
      </c>
      <c r="Z639" s="25">
        <f>IF(Y639="","",COUNTIFS($A$3:$A$1002,"="&amp;SUBSTITUTE(SUBSTITUTE(SUBSTITUTE(A639,"~","~~"),"*","~*"),"?","~?"),$Q$3:$Q$1002,1)*10000-Y639)</f>
        <v/>
      </c>
    </row>
    <row r="640">
      <c r="A640">
        <f>IF(A$2=0,"",IFERROR(TRIM(INDEX('Pegar docentes'!$A$1:$BZ$1001,639,A$2)&amp;""),""))</f>
        <v/>
      </c>
      <c r="B640">
        <f>IF(B$2=0,"",IFERROR(TRIM(INDEX('Pegar docentes'!$A$1:$BZ$1001,639,B$2)&amp;""),""))</f>
        <v/>
      </c>
      <c r="C640">
        <f>IF(C$2=0,"",IFERROR(TRIM(INDEX('Pegar docentes'!$A$1:$BZ$1001,639,C$2)&amp;""),""))</f>
        <v/>
      </c>
      <c r="D640">
        <f>IF(D$2=0,"",IFERROR(TRIM(INDEX('Pegar docentes'!$A$1:$BZ$1001,639,D$2)&amp;""),""))</f>
        <v/>
      </c>
      <c r="E640">
        <f>IF(E$2=0,"",IFERROR(TRIM(INDEX('Pegar docentes'!$A$1:$BZ$1001,639,E$2)&amp;""),""))</f>
        <v/>
      </c>
      <c r="F640">
        <f>IF(F$2=0,"",IFERROR(TRIM(INDEX('Pegar docentes'!$A$1:$BZ$1001,639,F$2)&amp;""),""))</f>
        <v/>
      </c>
      <c r="G640">
        <f>IF(G$2=0,"",IFERROR(TRIM(INDEX('Pegar docentes'!$A$1:$BZ$1001,639,G$2)&amp;""),""))</f>
        <v/>
      </c>
      <c r="H640">
        <f>IF(H$2=0,"",IFERROR(TRIM(INDEX('Pegar docentes'!$A$1:$BZ$1001,639,H$2)&amp;""),""))</f>
        <v/>
      </c>
      <c r="I640">
        <f>IF(I$2=0,"",IFERROR(TRIM(INDEX('Pegar docentes'!$A$1:$BZ$1001,639,I$2)&amp;""),""))</f>
        <v/>
      </c>
      <c r="J640">
        <f>IF(J$2=0,"",IFERROR(TRIM(INDEX('Pegar docentes'!$A$1:$BZ$1001,639,J$2)&amp;""),""))</f>
        <v/>
      </c>
      <c r="K640">
        <f>IF(K$2=0,"",IFERROR(TRIM(INDEX('Pegar docentes'!$A$1:$BZ$1001,639,K$2)&amp;""),""))</f>
        <v/>
      </c>
      <c r="L640">
        <f>IF(L$2=0,"",IFERROR(TRIM(INDEX('Pegar docentes'!$A$1:$BZ$1001,639,L$2)&amp;""),""))</f>
        <v/>
      </c>
      <c r="M640">
        <f>IF(M$2=0,"",IFERROR(TRIM(INDEX('Pegar docentes'!$A$1:$BZ$1001,639,M$2)&amp;""),""))</f>
        <v/>
      </c>
      <c r="N640">
        <f>IF(N$2=0,"",IFERROR(TRIM(INDEX('Pegar docentes'!$A$1:$BZ$1001,639,N$2)&amp;""),""))</f>
        <v/>
      </c>
      <c r="O640">
        <f>IF(O$2=0,"",IFERROR(TRIM(INDEX('Pegar docentes'!$A$1:$BZ$1001,639,O$2)&amp;""),""))</f>
        <v/>
      </c>
      <c r="P640">
        <f>IF(P$2=0,"",IFERROR(TRIM(INDEX('Pegar docentes'!$A$1:$BZ$1001,639,P$2)&amp;""),""))</f>
        <v/>
      </c>
      <c r="Q640" s="25">
        <f>IF(OR(D640&lt;&gt;"",H640&lt;&gt;""),1,"")</f>
        <v/>
      </c>
      <c r="R640" s="25">
        <f>IF(Q640=1,IF(ISNUMBER(FIND("#"&amp;MID(D640,1,1)&amp;"#","#0#1#2#3#4#5#6#7#8#9#")),IF(ISNUMBER(FIND("#"&amp;MID(D640,2,1)&amp;"#","#0#1#2#3#4#5#6#7#8#9#")),IF(AND(VALUE(LEFT(D640,2))&gt;=1,VALUE(LEFT(D640,2))&lt;=5),VALUE(LEFT(D640,2)),""),IF(AND(VALUE(LEFT(D640,1))&gt;=1,VALUE(LEFT(D640,1))&lt;=5),VALUE(LEFT(D640,1)),"")),""),"")</f>
        <v/>
      </c>
      <c r="S640" s="25">
        <f>IF(AND(Q640=1,E640&lt;&gt;""),SUBSTITUTE(SUBSTITUTE(SUBSTITUTE(SUBSTITUTE(SUBSTITUTE(SUBSTITUTE(SUBSTITUTE(SUBSTITUTE(SUBSTITUTE(SUBSTITUTE(SUBSTITUTE(SUBSTITUTE(LOWER(TRIM(E640)),"á","a"),"é","e"),"í","i"),"ó","o"),"ú","u"),"ü","u"),"ñ","n"),"à","a"),"è","e"),"ì","i"),"ò","o"),"ù","u"),"")</f>
        <v/>
      </c>
      <c r="T640" s="25">
        <f>IF(AND(Q640=1,G640&lt;&gt;""),SUBSTITUTE(SUBSTITUTE(SUBSTITUTE(SUBSTITUTE(SUBSTITUTE(SUBSTITUTE(SUBSTITUTE(SUBSTITUTE(SUBSTITUTE(SUBSTITUTE(SUBSTITUTE(SUBSTITUTE(LOWER(TRIM(G640)),"á","a"),"é","e"),"í","i"),"ó","o"),"ú","u"),"ü","u"),"ñ","n"),"à","a"),"è","e"),"ì","i"),"ò","o"),"ù","u"),"")</f>
        <v/>
      </c>
      <c r="U640" s="25">
        <f>IF(AND(Q640=1,H640&lt;&gt;""),SUBSTITUTE(SUBSTITUTE(SUBSTITUTE(SUBSTITUTE(SUBSTITUTE(SUBSTITUTE(SUBSTITUTE(SUBSTITUTE(SUBSTITUTE(SUBSTITUTE(SUBSTITUTE(SUBSTITUTE(LOWER(TRIM(H640)),"á","a"),"é","e"),"í","i"),"ó","o"),"ú","u"),"ü","u"),"ñ","n"),"à","a"),"è","e"),"ì","i"),"ò","o"),"ù","u"),"")</f>
        <v/>
      </c>
      <c r="V640" s="25">
        <f>IF(AND(Q640=1,L640&lt;&gt;""),SUBSTITUTE(SUBSTITUTE(SUBSTITUTE(SUBSTITUTE(SUBSTITUTE(SUBSTITUTE(SUBSTITUTE(SUBSTITUTE(SUBSTITUTE(SUBSTITUTE(SUBSTITUTE(SUBSTITUTE(LOWER(TRIM(L640)),"á","a"),"é","e"),"í","i"),"ó","o"),"ú","u"),"ü","u"),"ñ","n"),"à","a"),"è","e"),"ì","i"),"ò","o"),"ù","u"),"")</f>
        <v/>
      </c>
      <c r="W640" s="25">
        <f>IF(AND(Q640=1,I640&lt;&gt;""),SUBSTITUTE(SUBSTITUTE(SUBSTITUTE(SUBSTITUTE(SUBSTITUTE(SUBSTITUTE(SUBSTITUTE(SUBSTITUTE(SUBSTITUTE(SUBSTITUTE(SUBSTITUTE(SUBSTITUTE(LOWER(TRIM(I640)),"á","a"),"é","e"),"í","i"),"ó","o"),"ú","u"),"ü","u"),"ñ","n"),"à","a"),"è","e"),"ì","i"),"ò","o"),"ù","u"),"")</f>
        <v/>
      </c>
      <c r="X640" s="25">
        <f>IF(U640="","",IF(OR(U640="si, en la proxima tarea",U640="si, con cambios"),1,0))</f>
        <v/>
      </c>
      <c r="Y640" s="25">
        <f>IF(AND(Q640=1,A640&lt;&gt;""),IF(IFERROR(COUNTIFS(A$3:A640,"="&amp;SUBSTITUTE(SUBSTITUTE(SUBSTITUTE(A640,"~","~~"),"*","~*"),"?","~?"),Q$3:Q640,1),0)=1,MAX(Y$2:Y639)+1,""),"")</f>
        <v/>
      </c>
      <c r="Z640" s="25">
        <f>IF(Y640="","",COUNTIFS($A$3:$A$1002,"="&amp;SUBSTITUTE(SUBSTITUTE(SUBSTITUTE(A640,"~","~~"),"*","~*"),"?","~?"),$Q$3:$Q$1002,1)*10000-Y640)</f>
        <v/>
      </c>
    </row>
    <row r="641">
      <c r="A641">
        <f>IF(A$2=0,"",IFERROR(TRIM(INDEX('Pegar docentes'!$A$1:$BZ$1001,640,A$2)&amp;""),""))</f>
        <v/>
      </c>
      <c r="B641">
        <f>IF(B$2=0,"",IFERROR(TRIM(INDEX('Pegar docentes'!$A$1:$BZ$1001,640,B$2)&amp;""),""))</f>
        <v/>
      </c>
      <c r="C641">
        <f>IF(C$2=0,"",IFERROR(TRIM(INDEX('Pegar docentes'!$A$1:$BZ$1001,640,C$2)&amp;""),""))</f>
        <v/>
      </c>
      <c r="D641">
        <f>IF(D$2=0,"",IFERROR(TRIM(INDEX('Pegar docentes'!$A$1:$BZ$1001,640,D$2)&amp;""),""))</f>
        <v/>
      </c>
      <c r="E641">
        <f>IF(E$2=0,"",IFERROR(TRIM(INDEX('Pegar docentes'!$A$1:$BZ$1001,640,E$2)&amp;""),""))</f>
        <v/>
      </c>
      <c r="F641">
        <f>IF(F$2=0,"",IFERROR(TRIM(INDEX('Pegar docentes'!$A$1:$BZ$1001,640,F$2)&amp;""),""))</f>
        <v/>
      </c>
      <c r="G641">
        <f>IF(G$2=0,"",IFERROR(TRIM(INDEX('Pegar docentes'!$A$1:$BZ$1001,640,G$2)&amp;""),""))</f>
        <v/>
      </c>
      <c r="H641">
        <f>IF(H$2=0,"",IFERROR(TRIM(INDEX('Pegar docentes'!$A$1:$BZ$1001,640,H$2)&amp;""),""))</f>
        <v/>
      </c>
      <c r="I641">
        <f>IF(I$2=0,"",IFERROR(TRIM(INDEX('Pegar docentes'!$A$1:$BZ$1001,640,I$2)&amp;""),""))</f>
        <v/>
      </c>
      <c r="J641">
        <f>IF(J$2=0,"",IFERROR(TRIM(INDEX('Pegar docentes'!$A$1:$BZ$1001,640,J$2)&amp;""),""))</f>
        <v/>
      </c>
      <c r="K641">
        <f>IF(K$2=0,"",IFERROR(TRIM(INDEX('Pegar docentes'!$A$1:$BZ$1001,640,K$2)&amp;""),""))</f>
        <v/>
      </c>
      <c r="L641">
        <f>IF(L$2=0,"",IFERROR(TRIM(INDEX('Pegar docentes'!$A$1:$BZ$1001,640,L$2)&amp;""),""))</f>
        <v/>
      </c>
      <c r="M641">
        <f>IF(M$2=0,"",IFERROR(TRIM(INDEX('Pegar docentes'!$A$1:$BZ$1001,640,M$2)&amp;""),""))</f>
        <v/>
      </c>
      <c r="N641">
        <f>IF(N$2=0,"",IFERROR(TRIM(INDEX('Pegar docentes'!$A$1:$BZ$1001,640,N$2)&amp;""),""))</f>
        <v/>
      </c>
      <c r="O641">
        <f>IF(O$2=0,"",IFERROR(TRIM(INDEX('Pegar docentes'!$A$1:$BZ$1001,640,O$2)&amp;""),""))</f>
        <v/>
      </c>
      <c r="P641">
        <f>IF(P$2=0,"",IFERROR(TRIM(INDEX('Pegar docentes'!$A$1:$BZ$1001,640,P$2)&amp;""),""))</f>
        <v/>
      </c>
      <c r="Q641" s="25">
        <f>IF(OR(D641&lt;&gt;"",H641&lt;&gt;""),1,"")</f>
        <v/>
      </c>
      <c r="R641" s="25">
        <f>IF(Q641=1,IF(ISNUMBER(FIND("#"&amp;MID(D641,1,1)&amp;"#","#0#1#2#3#4#5#6#7#8#9#")),IF(ISNUMBER(FIND("#"&amp;MID(D641,2,1)&amp;"#","#0#1#2#3#4#5#6#7#8#9#")),IF(AND(VALUE(LEFT(D641,2))&gt;=1,VALUE(LEFT(D641,2))&lt;=5),VALUE(LEFT(D641,2)),""),IF(AND(VALUE(LEFT(D641,1))&gt;=1,VALUE(LEFT(D641,1))&lt;=5),VALUE(LEFT(D641,1)),"")),""),"")</f>
        <v/>
      </c>
      <c r="S641" s="25">
        <f>IF(AND(Q641=1,E641&lt;&gt;""),SUBSTITUTE(SUBSTITUTE(SUBSTITUTE(SUBSTITUTE(SUBSTITUTE(SUBSTITUTE(SUBSTITUTE(SUBSTITUTE(SUBSTITUTE(SUBSTITUTE(SUBSTITUTE(SUBSTITUTE(LOWER(TRIM(E641)),"á","a"),"é","e"),"í","i"),"ó","o"),"ú","u"),"ü","u"),"ñ","n"),"à","a"),"è","e"),"ì","i"),"ò","o"),"ù","u"),"")</f>
        <v/>
      </c>
      <c r="T641" s="25">
        <f>IF(AND(Q641=1,G641&lt;&gt;""),SUBSTITUTE(SUBSTITUTE(SUBSTITUTE(SUBSTITUTE(SUBSTITUTE(SUBSTITUTE(SUBSTITUTE(SUBSTITUTE(SUBSTITUTE(SUBSTITUTE(SUBSTITUTE(SUBSTITUTE(LOWER(TRIM(G641)),"á","a"),"é","e"),"í","i"),"ó","o"),"ú","u"),"ü","u"),"ñ","n"),"à","a"),"è","e"),"ì","i"),"ò","o"),"ù","u"),"")</f>
        <v/>
      </c>
      <c r="U641" s="25">
        <f>IF(AND(Q641=1,H641&lt;&gt;""),SUBSTITUTE(SUBSTITUTE(SUBSTITUTE(SUBSTITUTE(SUBSTITUTE(SUBSTITUTE(SUBSTITUTE(SUBSTITUTE(SUBSTITUTE(SUBSTITUTE(SUBSTITUTE(SUBSTITUTE(LOWER(TRIM(H641)),"á","a"),"é","e"),"í","i"),"ó","o"),"ú","u"),"ü","u"),"ñ","n"),"à","a"),"è","e"),"ì","i"),"ò","o"),"ù","u"),"")</f>
        <v/>
      </c>
      <c r="V641" s="25">
        <f>IF(AND(Q641=1,L641&lt;&gt;""),SUBSTITUTE(SUBSTITUTE(SUBSTITUTE(SUBSTITUTE(SUBSTITUTE(SUBSTITUTE(SUBSTITUTE(SUBSTITUTE(SUBSTITUTE(SUBSTITUTE(SUBSTITUTE(SUBSTITUTE(LOWER(TRIM(L641)),"á","a"),"é","e"),"í","i"),"ó","o"),"ú","u"),"ü","u"),"ñ","n"),"à","a"),"è","e"),"ì","i"),"ò","o"),"ù","u"),"")</f>
        <v/>
      </c>
      <c r="W641" s="25">
        <f>IF(AND(Q641=1,I641&lt;&gt;""),SUBSTITUTE(SUBSTITUTE(SUBSTITUTE(SUBSTITUTE(SUBSTITUTE(SUBSTITUTE(SUBSTITUTE(SUBSTITUTE(SUBSTITUTE(SUBSTITUTE(SUBSTITUTE(SUBSTITUTE(LOWER(TRIM(I641)),"á","a"),"é","e"),"í","i"),"ó","o"),"ú","u"),"ü","u"),"ñ","n"),"à","a"),"è","e"),"ì","i"),"ò","o"),"ù","u"),"")</f>
        <v/>
      </c>
      <c r="X641" s="25">
        <f>IF(U641="","",IF(OR(U641="si, en la proxima tarea",U641="si, con cambios"),1,0))</f>
        <v/>
      </c>
      <c r="Y641" s="25">
        <f>IF(AND(Q641=1,A641&lt;&gt;""),IF(IFERROR(COUNTIFS(A$3:A641,"="&amp;SUBSTITUTE(SUBSTITUTE(SUBSTITUTE(A641,"~","~~"),"*","~*"),"?","~?"),Q$3:Q641,1),0)=1,MAX(Y$2:Y640)+1,""),"")</f>
        <v/>
      </c>
      <c r="Z641" s="25">
        <f>IF(Y641="","",COUNTIFS($A$3:$A$1002,"="&amp;SUBSTITUTE(SUBSTITUTE(SUBSTITUTE(A641,"~","~~"),"*","~*"),"?","~?"),$Q$3:$Q$1002,1)*10000-Y641)</f>
        <v/>
      </c>
    </row>
    <row r="642">
      <c r="A642">
        <f>IF(A$2=0,"",IFERROR(TRIM(INDEX('Pegar docentes'!$A$1:$BZ$1001,641,A$2)&amp;""),""))</f>
        <v/>
      </c>
      <c r="B642">
        <f>IF(B$2=0,"",IFERROR(TRIM(INDEX('Pegar docentes'!$A$1:$BZ$1001,641,B$2)&amp;""),""))</f>
        <v/>
      </c>
      <c r="C642">
        <f>IF(C$2=0,"",IFERROR(TRIM(INDEX('Pegar docentes'!$A$1:$BZ$1001,641,C$2)&amp;""),""))</f>
        <v/>
      </c>
      <c r="D642">
        <f>IF(D$2=0,"",IFERROR(TRIM(INDEX('Pegar docentes'!$A$1:$BZ$1001,641,D$2)&amp;""),""))</f>
        <v/>
      </c>
      <c r="E642">
        <f>IF(E$2=0,"",IFERROR(TRIM(INDEX('Pegar docentes'!$A$1:$BZ$1001,641,E$2)&amp;""),""))</f>
        <v/>
      </c>
      <c r="F642">
        <f>IF(F$2=0,"",IFERROR(TRIM(INDEX('Pegar docentes'!$A$1:$BZ$1001,641,F$2)&amp;""),""))</f>
        <v/>
      </c>
      <c r="G642">
        <f>IF(G$2=0,"",IFERROR(TRIM(INDEX('Pegar docentes'!$A$1:$BZ$1001,641,G$2)&amp;""),""))</f>
        <v/>
      </c>
      <c r="H642">
        <f>IF(H$2=0,"",IFERROR(TRIM(INDEX('Pegar docentes'!$A$1:$BZ$1001,641,H$2)&amp;""),""))</f>
        <v/>
      </c>
      <c r="I642">
        <f>IF(I$2=0,"",IFERROR(TRIM(INDEX('Pegar docentes'!$A$1:$BZ$1001,641,I$2)&amp;""),""))</f>
        <v/>
      </c>
      <c r="J642">
        <f>IF(J$2=0,"",IFERROR(TRIM(INDEX('Pegar docentes'!$A$1:$BZ$1001,641,J$2)&amp;""),""))</f>
        <v/>
      </c>
      <c r="K642">
        <f>IF(K$2=0,"",IFERROR(TRIM(INDEX('Pegar docentes'!$A$1:$BZ$1001,641,K$2)&amp;""),""))</f>
        <v/>
      </c>
      <c r="L642">
        <f>IF(L$2=0,"",IFERROR(TRIM(INDEX('Pegar docentes'!$A$1:$BZ$1001,641,L$2)&amp;""),""))</f>
        <v/>
      </c>
      <c r="M642">
        <f>IF(M$2=0,"",IFERROR(TRIM(INDEX('Pegar docentes'!$A$1:$BZ$1001,641,M$2)&amp;""),""))</f>
        <v/>
      </c>
      <c r="N642">
        <f>IF(N$2=0,"",IFERROR(TRIM(INDEX('Pegar docentes'!$A$1:$BZ$1001,641,N$2)&amp;""),""))</f>
        <v/>
      </c>
      <c r="O642">
        <f>IF(O$2=0,"",IFERROR(TRIM(INDEX('Pegar docentes'!$A$1:$BZ$1001,641,O$2)&amp;""),""))</f>
        <v/>
      </c>
      <c r="P642">
        <f>IF(P$2=0,"",IFERROR(TRIM(INDEX('Pegar docentes'!$A$1:$BZ$1001,641,P$2)&amp;""),""))</f>
        <v/>
      </c>
      <c r="Q642" s="25">
        <f>IF(OR(D642&lt;&gt;"",H642&lt;&gt;""),1,"")</f>
        <v/>
      </c>
      <c r="R642" s="25">
        <f>IF(Q642=1,IF(ISNUMBER(FIND("#"&amp;MID(D642,1,1)&amp;"#","#0#1#2#3#4#5#6#7#8#9#")),IF(ISNUMBER(FIND("#"&amp;MID(D642,2,1)&amp;"#","#0#1#2#3#4#5#6#7#8#9#")),IF(AND(VALUE(LEFT(D642,2))&gt;=1,VALUE(LEFT(D642,2))&lt;=5),VALUE(LEFT(D642,2)),""),IF(AND(VALUE(LEFT(D642,1))&gt;=1,VALUE(LEFT(D642,1))&lt;=5),VALUE(LEFT(D642,1)),"")),""),"")</f>
        <v/>
      </c>
      <c r="S642" s="25">
        <f>IF(AND(Q642=1,E642&lt;&gt;""),SUBSTITUTE(SUBSTITUTE(SUBSTITUTE(SUBSTITUTE(SUBSTITUTE(SUBSTITUTE(SUBSTITUTE(SUBSTITUTE(SUBSTITUTE(SUBSTITUTE(SUBSTITUTE(SUBSTITUTE(LOWER(TRIM(E642)),"á","a"),"é","e"),"í","i"),"ó","o"),"ú","u"),"ü","u"),"ñ","n"),"à","a"),"è","e"),"ì","i"),"ò","o"),"ù","u"),"")</f>
        <v/>
      </c>
      <c r="T642" s="25">
        <f>IF(AND(Q642=1,G642&lt;&gt;""),SUBSTITUTE(SUBSTITUTE(SUBSTITUTE(SUBSTITUTE(SUBSTITUTE(SUBSTITUTE(SUBSTITUTE(SUBSTITUTE(SUBSTITUTE(SUBSTITUTE(SUBSTITUTE(SUBSTITUTE(LOWER(TRIM(G642)),"á","a"),"é","e"),"í","i"),"ó","o"),"ú","u"),"ü","u"),"ñ","n"),"à","a"),"è","e"),"ì","i"),"ò","o"),"ù","u"),"")</f>
        <v/>
      </c>
      <c r="U642" s="25">
        <f>IF(AND(Q642=1,H642&lt;&gt;""),SUBSTITUTE(SUBSTITUTE(SUBSTITUTE(SUBSTITUTE(SUBSTITUTE(SUBSTITUTE(SUBSTITUTE(SUBSTITUTE(SUBSTITUTE(SUBSTITUTE(SUBSTITUTE(SUBSTITUTE(LOWER(TRIM(H642)),"á","a"),"é","e"),"í","i"),"ó","o"),"ú","u"),"ü","u"),"ñ","n"),"à","a"),"è","e"),"ì","i"),"ò","o"),"ù","u"),"")</f>
        <v/>
      </c>
      <c r="V642" s="25">
        <f>IF(AND(Q642=1,L642&lt;&gt;""),SUBSTITUTE(SUBSTITUTE(SUBSTITUTE(SUBSTITUTE(SUBSTITUTE(SUBSTITUTE(SUBSTITUTE(SUBSTITUTE(SUBSTITUTE(SUBSTITUTE(SUBSTITUTE(SUBSTITUTE(LOWER(TRIM(L642)),"á","a"),"é","e"),"í","i"),"ó","o"),"ú","u"),"ü","u"),"ñ","n"),"à","a"),"è","e"),"ì","i"),"ò","o"),"ù","u"),"")</f>
        <v/>
      </c>
      <c r="W642" s="25">
        <f>IF(AND(Q642=1,I642&lt;&gt;""),SUBSTITUTE(SUBSTITUTE(SUBSTITUTE(SUBSTITUTE(SUBSTITUTE(SUBSTITUTE(SUBSTITUTE(SUBSTITUTE(SUBSTITUTE(SUBSTITUTE(SUBSTITUTE(SUBSTITUTE(LOWER(TRIM(I642)),"á","a"),"é","e"),"í","i"),"ó","o"),"ú","u"),"ü","u"),"ñ","n"),"à","a"),"è","e"),"ì","i"),"ò","o"),"ù","u"),"")</f>
        <v/>
      </c>
      <c r="X642" s="25">
        <f>IF(U642="","",IF(OR(U642="si, en la proxima tarea",U642="si, con cambios"),1,0))</f>
        <v/>
      </c>
      <c r="Y642" s="25">
        <f>IF(AND(Q642=1,A642&lt;&gt;""),IF(IFERROR(COUNTIFS(A$3:A642,"="&amp;SUBSTITUTE(SUBSTITUTE(SUBSTITUTE(A642,"~","~~"),"*","~*"),"?","~?"),Q$3:Q642,1),0)=1,MAX(Y$2:Y641)+1,""),"")</f>
        <v/>
      </c>
      <c r="Z642" s="25">
        <f>IF(Y642="","",COUNTIFS($A$3:$A$1002,"="&amp;SUBSTITUTE(SUBSTITUTE(SUBSTITUTE(A642,"~","~~"),"*","~*"),"?","~?"),$Q$3:$Q$1002,1)*10000-Y642)</f>
        <v/>
      </c>
    </row>
    <row r="643">
      <c r="A643">
        <f>IF(A$2=0,"",IFERROR(TRIM(INDEX('Pegar docentes'!$A$1:$BZ$1001,642,A$2)&amp;""),""))</f>
        <v/>
      </c>
      <c r="B643">
        <f>IF(B$2=0,"",IFERROR(TRIM(INDEX('Pegar docentes'!$A$1:$BZ$1001,642,B$2)&amp;""),""))</f>
        <v/>
      </c>
      <c r="C643">
        <f>IF(C$2=0,"",IFERROR(TRIM(INDEX('Pegar docentes'!$A$1:$BZ$1001,642,C$2)&amp;""),""))</f>
        <v/>
      </c>
      <c r="D643">
        <f>IF(D$2=0,"",IFERROR(TRIM(INDEX('Pegar docentes'!$A$1:$BZ$1001,642,D$2)&amp;""),""))</f>
        <v/>
      </c>
      <c r="E643">
        <f>IF(E$2=0,"",IFERROR(TRIM(INDEX('Pegar docentes'!$A$1:$BZ$1001,642,E$2)&amp;""),""))</f>
        <v/>
      </c>
      <c r="F643">
        <f>IF(F$2=0,"",IFERROR(TRIM(INDEX('Pegar docentes'!$A$1:$BZ$1001,642,F$2)&amp;""),""))</f>
        <v/>
      </c>
      <c r="G643">
        <f>IF(G$2=0,"",IFERROR(TRIM(INDEX('Pegar docentes'!$A$1:$BZ$1001,642,G$2)&amp;""),""))</f>
        <v/>
      </c>
      <c r="H643">
        <f>IF(H$2=0,"",IFERROR(TRIM(INDEX('Pegar docentes'!$A$1:$BZ$1001,642,H$2)&amp;""),""))</f>
        <v/>
      </c>
      <c r="I643">
        <f>IF(I$2=0,"",IFERROR(TRIM(INDEX('Pegar docentes'!$A$1:$BZ$1001,642,I$2)&amp;""),""))</f>
        <v/>
      </c>
      <c r="J643">
        <f>IF(J$2=0,"",IFERROR(TRIM(INDEX('Pegar docentes'!$A$1:$BZ$1001,642,J$2)&amp;""),""))</f>
        <v/>
      </c>
      <c r="K643">
        <f>IF(K$2=0,"",IFERROR(TRIM(INDEX('Pegar docentes'!$A$1:$BZ$1001,642,K$2)&amp;""),""))</f>
        <v/>
      </c>
      <c r="L643">
        <f>IF(L$2=0,"",IFERROR(TRIM(INDEX('Pegar docentes'!$A$1:$BZ$1001,642,L$2)&amp;""),""))</f>
        <v/>
      </c>
      <c r="M643">
        <f>IF(M$2=0,"",IFERROR(TRIM(INDEX('Pegar docentes'!$A$1:$BZ$1001,642,M$2)&amp;""),""))</f>
        <v/>
      </c>
      <c r="N643">
        <f>IF(N$2=0,"",IFERROR(TRIM(INDEX('Pegar docentes'!$A$1:$BZ$1001,642,N$2)&amp;""),""))</f>
        <v/>
      </c>
      <c r="O643">
        <f>IF(O$2=0,"",IFERROR(TRIM(INDEX('Pegar docentes'!$A$1:$BZ$1001,642,O$2)&amp;""),""))</f>
        <v/>
      </c>
      <c r="P643">
        <f>IF(P$2=0,"",IFERROR(TRIM(INDEX('Pegar docentes'!$A$1:$BZ$1001,642,P$2)&amp;""),""))</f>
        <v/>
      </c>
      <c r="Q643" s="25">
        <f>IF(OR(D643&lt;&gt;"",H643&lt;&gt;""),1,"")</f>
        <v/>
      </c>
      <c r="R643" s="25">
        <f>IF(Q643=1,IF(ISNUMBER(FIND("#"&amp;MID(D643,1,1)&amp;"#","#0#1#2#3#4#5#6#7#8#9#")),IF(ISNUMBER(FIND("#"&amp;MID(D643,2,1)&amp;"#","#0#1#2#3#4#5#6#7#8#9#")),IF(AND(VALUE(LEFT(D643,2))&gt;=1,VALUE(LEFT(D643,2))&lt;=5),VALUE(LEFT(D643,2)),""),IF(AND(VALUE(LEFT(D643,1))&gt;=1,VALUE(LEFT(D643,1))&lt;=5),VALUE(LEFT(D643,1)),"")),""),"")</f>
        <v/>
      </c>
      <c r="S643" s="25">
        <f>IF(AND(Q643=1,E643&lt;&gt;""),SUBSTITUTE(SUBSTITUTE(SUBSTITUTE(SUBSTITUTE(SUBSTITUTE(SUBSTITUTE(SUBSTITUTE(SUBSTITUTE(SUBSTITUTE(SUBSTITUTE(SUBSTITUTE(SUBSTITUTE(LOWER(TRIM(E643)),"á","a"),"é","e"),"í","i"),"ó","o"),"ú","u"),"ü","u"),"ñ","n"),"à","a"),"è","e"),"ì","i"),"ò","o"),"ù","u"),"")</f>
        <v/>
      </c>
      <c r="T643" s="25">
        <f>IF(AND(Q643=1,G643&lt;&gt;""),SUBSTITUTE(SUBSTITUTE(SUBSTITUTE(SUBSTITUTE(SUBSTITUTE(SUBSTITUTE(SUBSTITUTE(SUBSTITUTE(SUBSTITUTE(SUBSTITUTE(SUBSTITUTE(SUBSTITUTE(LOWER(TRIM(G643)),"á","a"),"é","e"),"í","i"),"ó","o"),"ú","u"),"ü","u"),"ñ","n"),"à","a"),"è","e"),"ì","i"),"ò","o"),"ù","u"),"")</f>
        <v/>
      </c>
      <c r="U643" s="25">
        <f>IF(AND(Q643=1,H643&lt;&gt;""),SUBSTITUTE(SUBSTITUTE(SUBSTITUTE(SUBSTITUTE(SUBSTITUTE(SUBSTITUTE(SUBSTITUTE(SUBSTITUTE(SUBSTITUTE(SUBSTITUTE(SUBSTITUTE(SUBSTITUTE(LOWER(TRIM(H643)),"á","a"),"é","e"),"í","i"),"ó","o"),"ú","u"),"ü","u"),"ñ","n"),"à","a"),"è","e"),"ì","i"),"ò","o"),"ù","u"),"")</f>
        <v/>
      </c>
      <c r="V643" s="25">
        <f>IF(AND(Q643=1,L643&lt;&gt;""),SUBSTITUTE(SUBSTITUTE(SUBSTITUTE(SUBSTITUTE(SUBSTITUTE(SUBSTITUTE(SUBSTITUTE(SUBSTITUTE(SUBSTITUTE(SUBSTITUTE(SUBSTITUTE(SUBSTITUTE(LOWER(TRIM(L643)),"á","a"),"é","e"),"í","i"),"ó","o"),"ú","u"),"ü","u"),"ñ","n"),"à","a"),"è","e"),"ì","i"),"ò","o"),"ù","u"),"")</f>
        <v/>
      </c>
      <c r="W643" s="25">
        <f>IF(AND(Q643=1,I643&lt;&gt;""),SUBSTITUTE(SUBSTITUTE(SUBSTITUTE(SUBSTITUTE(SUBSTITUTE(SUBSTITUTE(SUBSTITUTE(SUBSTITUTE(SUBSTITUTE(SUBSTITUTE(SUBSTITUTE(SUBSTITUTE(LOWER(TRIM(I643)),"á","a"),"é","e"),"í","i"),"ó","o"),"ú","u"),"ü","u"),"ñ","n"),"à","a"),"è","e"),"ì","i"),"ò","o"),"ù","u"),"")</f>
        <v/>
      </c>
      <c r="X643" s="25">
        <f>IF(U643="","",IF(OR(U643="si, en la proxima tarea",U643="si, con cambios"),1,0))</f>
        <v/>
      </c>
      <c r="Y643" s="25">
        <f>IF(AND(Q643=1,A643&lt;&gt;""),IF(IFERROR(COUNTIFS(A$3:A643,"="&amp;SUBSTITUTE(SUBSTITUTE(SUBSTITUTE(A643,"~","~~"),"*","~*"),"?","~?"),Q$3:Q643,1),0)=1,MAX(Y$2:Y642)+1,""),"")</f>
        <v/>
      </c>
      <c r="Z643" s="25">
        <f>IF(Y643="","",COUNTIFS($A$3:$A$1002,"="&amp;SUBSTITUTE(SUBSTITUTE(SUBSTITUTE(A643,"~","~~"),"*","~*"),"?","~?"),$Q$3:$Q$1002,1)*10000-Y643)</f>
        <v/>
      </c>
    </row>
    <row r="644">
      <c r="A644">
        <f>IF(A$2=0,"",IFERROR(TRIM(INDEX('Pegar docentes'!$A$1:$BZ$1001,643,A$2)&amp;""),""))</f>
        <v/>
      </c>
      <c r="B644">
        <f>IF(B$2=0,"",IFERROR(TRIM(INDEX('Pegar docentes'!$A$1:$BZ$1001,643,B$2)&amp;""),""))</f>
        <v/>
      </c>
      <c r="C644">
        <f>IF(C$2=0,"",IFERROR(TRIM(INDEX('Pegar docentes'!$A$1:$BZ$1001,643,C$2)&amp;""),""))</f>
        <v/>
      </c>
      <c r="D644">
        <f>IF(D$2=0,"",IFERROR(TRIM(INDEX('Pegar docentes'!$A$1:$BZ$1001,643,D$2)&amp;""),""))</f>
        <v/>
      </c>
      <c r="E644">
        <f>IF(E$2=0,"",IFERROR(TRIM(INDEX('Pegar docentes'!$A$1:$BZ$1001,643,E$2)&amp;""),""))</f>
        <v/>
      </c>
      <c r="F644">
        <f>IF(F$2=0,"",IFERROR(TRIM(INDEX('Pegar docentes'!$A$1:$BZ$1001,643,F$2)&amp;""),""))</f>
        <v/>
      </c>
      <c r="G644">
        <f>IF(G$2=0,"",IFERROR(TRIM(INDEX('Pegar docentes'!$A$1:$BZ$1001,643,G$2)&amp;""),""))</f>
        <v/>
      </c>
      <c r="H644">
        <f>IF(H$2=0,"",IFERROR(TRIM(INDEX('Pegar docentes'!$A$1:$BZ$1001,643,H$2)&amp;""),""))</f>
        <v/>
      </c>
      <c r="I644">
        <f>IF(I$2=0,"",IFERROR(TRIM(INDEX('Pegar docentes'!$A$1:$BZ$1001,643,I$2)&amp;""),""))</f>
        <v/>
      </c>
      <c r="J644">
        <f>IF(J$2=0,"",IFERROR(TRIM(INDEX('Pegar docentes'!$A$1:$BZ$1001,643,J$2)&amp;""),""))</f>
        <v/>
      </c>
      <c r="K644">
        <f>IF(K$2=0,"",IFERROR(TRIM(INDEX('Pegar docentes'!$A$1:$BZ$1001,643,K$2)&amp;""),""))</f>
        <v/>
      </c>
      <c r="L644">
        <f>IF(L$2=0,"",IFERROR(TRIM(INDEX('Pegar docentes'!$A$1:$BZ$1001,643,L$2)&amp;""),""))</f>
        <v/>
      </c>
      <c r="M644">
        <f>IF(M$2=0,"",IFERROR(TRIM(INDEX('Pegar docentes'!$A$1:$BZ$1001,643,M$2)&amp;""),""))</f>
        <v/>
      </c>
      <c r="N644">
        <f>IF(N$2=0,"",IFERROR(TRIM(INDEX('Pegar docentes'!$A$1:$BZ$1001,643,N$2)&amp;""),""))</f>
        <v/>
      </c>
      <c r="O644">
        <f>IF(O$2=0,"",IFERROR(TRIM(INDEX('Pegar docentes'!$A$1:$BZ$1001,643,O$2)&amp;""),""))</f>
        <v/>
      </c>
      <c r="P644">
        <f>IF(P$2=0,"",IFERROR(TRIM(INDEX('Pegar docentes'!$A$1:$BZ$1001,643,P$2)&amp;""),""))</f>
        <v/>
      </c>
      <c r="Q644" s="25">
        <f>IF(OR(D644&lt;&gt;"",H644&lt;&gt;""),1,"")</f>
        <v/>
      </c>
      <c r="R644" s="25">
        <f>IF(Q644=1,IF(ISNUMBER(FIND("#"&amp;MID(D644,1,1)&amp;"#","#0#1#2#3#4#5#6#7#8#9#")),IF(ISNUMBER(FIND("#"&amp;MID(D644,2,1)&amp;"#","#0#1#2#3#4#5#6#7#8#9#")),IF(AND(VALUE(LEFT(D644,2))&gt;=1,VALUE(LEFT(D644,2))&lt;=5),VALUE(LEFT(D644,2)),""),IF(AND(VALUE(LEFT(D644,1))&gt;=1,VALUE(LEFT(D644,1))&lt;=5),VALUE(LEFT(D644,1)),"")),""),"")</f>
        <v/>
      </c>
      <c r="S644" s="25">
        <f>IF(AND(Q644=1,E644&lt;&gt;""),SUBSTITUTE(SUBSTITUTE(SUBSTITUTE(SUBSTITUTE(SUBSTITUTE(SUBSTITUTE(SUBSTITUTE(SUBSTITUTE(SUBSTITUTE(SUBSTITUTE(SUBSTITUTE(SUBSTITUTE(LOWER(TRIM(E644)),"á","a"),"é","e"),"í","i"),"ó","o"),"ú","u"),"ü","u"),"ñ","n"),"à","a"),"è","e"),"ì","i"),"ò","o"),"ù","u"),"")</f>
        <v/>
      </c>
      <c r="T644" s="25">
        <f>IF(AND(Q644=1,G644&lt;&gt;""),SUBSTITUTE(SUBSTITUTE(SUBSTITUTE(SUBSTITUTE(SUBSTITUTE(SUBSTITUTE(SUBSTITUTE(SUBSTITUTE(SUBSTITUTE(SUBSTITUTE(SUBSTITUTE(SUBSTITUTE(LOWER(TRIM(G644)),"á","a"),"é","e"),"í","i"),"ó","o"),"ú","u"),"ü","u"),"ñ","n"),"à","a"),"è","e"),"ì","i"),"ò","o"),"ù","u"),"")</f>
        <v/>
      </c>
      <c r="U644" s="25">
        <f>IF(AND(Q644=1,H644&lt;&gt;""),SUBSTITUTE(SUBSTITUTE(SUBSTITUTE(SUBSTITUTE(SUBSTITUTE(SUBSTITUTE(SUBSTITUTE(SUBSTITUTE(SUBSTITUTE(SUBSTITUTE(SUBSTITUTE(SUBSTITUTE(LOWER(TRIM(H644)),"á","a"),"é","e"),"í","i"),"ó","o"),"ú","u"),"ü","u"),"ñ","n"),"à","a"),"è","e"),"ì","i"),"ò","o"),"ù","u"),"")</f>
        <v/>
      </c>
      <c r="V644" s="25">
        <f>IF(AND(Q644=1,L644&lt;&gt;""),SUBSTITUTE(SUBSTITUTE(SUBSTITUTE(SUBSTITUTE(SUBSTITUTE(SUBSTITUTE(SUBSTITUTE(SUBSTITUTE(SUBSTITUTE(SUBSTITUTE(SUBSTITUTE(SUBSTITUTE(LOWER(TRIM(L644)),"á","a"),"é","e"),"í","i"),"ó","o"),"ú","u"),"ü","u"),"ñ","n"),"à","a"),"è","e"),"ì","i"),"ò","o"),"ù","u"),"")</f>
        <v/>
      </c>
      <c r="W644" s="25">
        <f>IF(AND(Q644=1,I644&lt;&gt;""),SUBSTITUTE(SUBSTITUTE(SUBSTITUTE(SUBSTITUTE(SUBSTITUTE(SUBSTITUTE(SUBSTITUTE(SUBSTITUTE(SUBSTITUTE(SUBSTITUTE(SUBSTITUTE(SUBSTITUTE(LOWER(TRIM(I644)),"á","a"),"é","e"),"í","i"),"ó","o"),"ú","u"),"ü","u"),"ñ","n"),"à","a"),"è","e"),"ì","i"),"ò","o"),"ù","u"),"")</f>
        <v/>
      </c>
      <c r="X644" s="25">
        <f>IF(U644="","",IF(OR(U644="si, en la proxima tarea",U644="si, con cambios"),1,0))</f>
        <v/>
      </c>
      <c r="Y644" s="25">
        <f>IF(AND(Q644=1,A644&lt;&gt;""),IF(IFERROR(COUNTIFS(A$3:A644,"="&amp;SUBSTITUTE(SUBSTITUTE(SUBSTITUTE(A644,"~","~~"),"*","~*"),"?","~?"),Q$3:Q644,1),0)=1,MAX(Y$2:Y643)+1,""),"")</f>
        <v/>
      </c>
      <c r="Z644" s="25">
        <f>IF(Y644="","",COUNTIFS($A$3:$A$1002,"="&amp;SUBSTITUTE(SUBSTITUTE(SUBSTITUTE(A644,"~","~~"),"*","~*"),"?","~?"),$Q$3:$Q$1002,1)*10000-Y644)</f>
        <v/>
      </c>
    </row>
    <row r="645">
      <c r="A645">
        <f>IF(A$2=0,"",IFERROR(TRIM(INDEX('Pegar docentes'!$A$1:$BZ$1001,644,A$2)&amp;""),""))</f>
        <v/>
      </c>
      <c r="B645">
        <f>IF(B$2=0,"",IFERROR(TRIM(INDEX('Pegar docentes'!$A$1:$BZ$1001,644,B$2)&amp;""),""))</f>
        <v/>
      </c>
      <c r="C645">
        <f>IF(C$2=0,"",IFERROR(TRIM(INDEX('Pegar docentes'!$A$1:$BZ$1001,644,C$2)&amp;""),""))</f>
        <v/>
      </c>
      <c r="D645">
        <f>IF(D$2=0,"",IFERROR(TRIM(INDEX('Pegar docentes'!$A$1:$BZ$1001,644,D$2)&amp;""),""))</f>
        <v/>
      </c>
      <c r="E645">
        <f>IF(E$2=0,"",IFERROR(TRIM(INDEX('Pegar docentes'!$A$1:$BZ$1001,644,E$2)&amp;""),""))</f>
        <v/>
      </c>
      <c r="F645">
        <f>IF(F$2=0,"",IFERROR(TRIM(INDEX('Pegar docentes'!$A$1:$BZ$1001,644,F$2)&amp;""),""))</f>
        <v/>
      </c>
      <c r="G645">
        <f>IF(G$2=0,"",IFERROR(TRIM(INDEX('Pegar docentes'!$A$1:$BZ$1001,644,G$2)&amp;""),""))</f>
        <v/>
      </c>
      <c r="H645">
        <f>IF(H$2=0,"",IFERROR(TRIM(INDEX('Pegar docentes'!$A$1:$BZ$1001,644,H$2)&amp;""),""))</f>
        <v/>
      </c>
      <c r="I645">
        <f>IF(I$2=0,"",IFERROR(TRIM(INDEX('Pegar docentes'!$A$1:$BZ$1001,644,I$2)&amp;""),""))</f>
        <v/>
      </c>
      <c r="J645">
        <f>IF(J$2=0,"",IFERROR(TRIM(INDEX('Pegar docentes'!$A$1:$BZ$1001,644,J$2)&amp;""),""))</f>
        <v/>
      </c>
      <c r="K645">
        <f>IF(K$2=0,"",IFERROR(TRIM(INDEX('Pegar docentes'!$A$1:$BZ$1001,644,K$2)&amp;""),""))</f>
        <v/>
      </c>
      <c r="L645">
        <f>IF(L$2=0,"",IFERROR(TRIM(INDEX('Pegar docentes'!$A$1:$BZ$1001,644,L$2)&amp;""),""))</f>
        <v/>
      </c>
      <c r="M645">
        <f>IF(M$2=0,"",IFERROR(TRIM(INDEX('Pegar docentes'!$A$1:$BZ$1001,644,M$2)&amp;""),""))</f>
        <v/>
      </c>
      <c r="N645">
        <f>IF(N$2=0,"",IFERROR(TRIM(INDEX('Pegar docentes'!$A$1:$BZ$1001,644,N$2)&amp;""),""))</f>
        <v/>
      </c>
      <c r="O645">
        <f>IF(O$2=0,"",IFERROR(TRIM(INDEX('Pegar docentes'!$A$1:$BZ$1001,644,O$2)&amp;""),""))</f>
        <v/>
      </c>
      <c r="P645">
        <f>IF(P$2=0,"",IFERROR(TRIM(INDEX('Pegar docentes'!$A$1:$BZ$1001,644,P$2)&amp;""),""))</f>
        <v/>
      </c>
      <c r="Q645" s="25">
        <f>IF(OR(D645&lt;&gt;"",H645&lt;&gt;""),1,"")</f>
        <v/>
      </c>
      <c r="R645" s="25">
        <f>IF(Q645=1,IF(ISNUMBER(FIND("#"&amp;MID(D645,1,1)&amp;"#","#0#1#2#3#4#5#6#7#8#9#")),IF(ISNUMBER(FIND("#"&amp;MID(D645,2,1)&amp;"#","#0#1#2#3#4#5#6#7#8#9#")),IF(AND(VALUE(LEFT(D645,2))&gt;=1,VALUE(LEFT(D645,2))&lt;=5),VALUE(LEFT(D645,2)),""),IF(AND(VALUE(LEFT(D645,1))&gt;=1,VALUE(LEFT(D645,1))&lt;=5),VALUE(LEFT(D645,1)),"")),""),"")</f>
        <v/>
      </c>
      <c r="S645" s="25">
        <f>IF(AND(Q645=1,E645&lt;&gt;""),SUBSTITUTE(SUBSTITUTE(SUBSTITUTE(SUBSTITUTE(SUBSTITUTE(SUBSTITUTE(SUBSTITUTE(SUBSTITUTE(SUBSTITUTE(SUBSTITUTE(SUBSTITUTE(SUBSTITUTE(LOWER(TRIM(E645)),"á","a"),"é","e"),"í","i"),"ó","o"),"ú","u"),"ü","u"),"ñ","n"),"à","a"),"è","e"),"ì","i"),"ò","o"),"ù","u"),"")</f>
        <v/>
      </c>
      <c r="T645" s="25">
        <f>IF(AND(Q645=1,G645&lt;&gt;""),SUBSTITUTE(SUBSTITUTE(SUBSTITUTE(SUBSTITUTE(SUBSTITUTE(SUBSTITUTE(SUBSTITUTE(SUBSTITUTE(SUBSTITUTE(SUBSTITUTE(SUBSTITUTE(SUBSTITUTE(LOWER(TRIM(G645)),"á","a"),"é","e"),"í","i"),"ó","o"),"ú","u"),"ü","u"),"ñ","n"),"à","a"),"è","e"),"ì","i"),"ò","o"),"ù","u"),"")</f>
        <v/>
      </c>
      <c r="U645" s="25">
        <f>IF(AND(Q645=1,H645&lt;&gt;""),SUBSTITUTE(SUBSTITUTE(SUBSTITUTE(SUBSTITUTE(SUBSTITUTE(SUBSTITUTE(SUBSTITUTE(SUBSTITUTE(SUBSTITUTE(SUBSTITUTE(SUBSTITUTE(SUBSTITUTE(LOWER(TRIM(H645)),"á","a"),"é","e"),"í","i"),"ó","o"),"ú","u"),"ü","u"),"ñ","n"),"à","a"),"è","e"),"ì","i"),"ò","o"),"ù","u"),"")</f>
        <v/>
      </c>
      <c r="V645" s="25">
        <f>IF(AND(Q645=1,L645&lt;&gt;""),SUBSTITUTE(SUBSTITUTE(SUBSTITUTE(SUBSTITUTE(SUBSTITUTE(SUBSTITUTE(SUBSTITUTE(SUBSTITUTE(SUBSTITUTE(SUBSTITUTE(SUBSTITUTE(SUBSTITUTE(LOWER(TRIM(L645)),"á","a"),"é","e"),"í","i"),"ó","o"),"ú","u"),"ü","u"),"ñ","n"),"à","a"),"è","e"),"ì","i"),"ò","o"),"ù","u"),"")</f>
        <v/>
      </c>
      <c r="W645" s="25">
        <f>IF(AND(Q645=1,I645&lt;&gt;""),SUBSTITUTE(SUBSTITUTE(SUBSTITUTE(SUBSTITUTE(SUBSTITUTE(SUBSTITUTE(SUBSTITUTE(SUBSTITUTE(SUBSTITUTE(SUBSTITUTE(SUBSTITUTE(SUBSTITUTE(LOWER(TRIM(I645)),"á","a"),"é","e"),"í","i"),"ó","o"),"ú","u"),"ü","u"),"ñ","n"),"à","a"),"è","e"),"ì","i"),"ò","o"),"ù","u"),"")</f>
        <v/>
      </c>
      <c r="X645" s="25">
        <f>IF(U645="","",IF(OR(U645="si, en la proxima tarea",U645="si, con cambios"),1,0))</f>
        <v/>
      </c>
      <c r="Y645" s="25">
        <f>IF(AND(Q645=1,A645&lt;&gt;""),IF(IFERROR(COUNTIFS(A$3:A645,"="&amp;SUBSTITUTE(SUBSTITUTE(SUBSTITUTE(A645,"~","~~"),"*","~*"),"?","~?"),Q$3:Q645,1),0)=1,MAX(Y$2:Y644)+1,""),"")</f>
        <v/>
      </c>
      <c r="Z645" s="25">
        <f>IF(Y645="","",COUNTIFS($A$3:$A$1002,"="&amp;SUBSTITUTE(SUBSTITUTE(SUBSTITUTE(A645,"~","~~"),"*","~*"),"?","~?"),$Q$3:$Q$1002,1)*10000-Y645)</f>
        <v/>
      </c>
    </row>
    <row r="646">
      <c r="A646">
        <f>IF(A$2=0,"",IFERROR(TRIM(INDEX('Pegar docentes'!$A$1:$BZ$1001,645,A$2)&amp;""),""))</f>
        <v/>
      </c>
      <c r="B646">
        <f>IF(B$2=0,"",IFERROR(TRIM(INDEX('Pegar docentes'!$A$1:$BZ$1001,645,B$2)&amp;""),""))</f>
        <v/>
      </c>
      <c r="C646">
        <f>IF(C$2=0,"",IFERROR(TRIM(INDEX('Pegar docentes'!$A$1:$BZ$1001,645,C$2)&amp;""),""))</f>
        <v/>
      </c>
      <c r="D646">
        <f>IF(D$2=0,"",IFERROR(TRIM(INDEX('Pegar docentes'!$A$1:$BZ$1001,645,D$2)&amp;""),""))</f>
        <v/>
      </c>
      <c r="E646">
        <f>IF(E$2=0,"",IFERROR(TRIM(INDEX('Pegar docentes'!$A$1:$BZ$1001,645,E$2)&amp;""),""))</f>
        <v/>
      </c>
      <c r="F646">
        <f>IF(F$2=0,"",IFERROR(TRIM(INDEX('Pegar docentes'!$A$1:$BZ$1001,645,F$2)&amp;""),""))</f>
        <v/>
      </c>
      <c r="G646">
        <f>IF(G$2=0,"",IFERROR(TRIM(INDEX('Pegar docentes'!$A$1:$BZ$1001,645,G$2)&amp;""),""))</f>
        <v/>
      </c>
      <c r="H646">
        <f>IF(H$2=0,"",IFERROR(TRIM(INDEX('Pegar docentes'!$A$1:$BZ$1001,645,H$2)&amp;""),""))</f>
        <v/>
      </c>
      <c r="I646">
        <f>IF(I$2=0,"",IFERROR(TRIM(INDEX('Pegar docentes'!$A$1:$BZ$1001,645,I$2)&amp;""),""))</f>
        <v/>
      </c>
      <c r="J646">
        <f>IF(J$2=0,"",IFERROR(TRIM(INDEX('Pegar docentes'!$A$1:$BZ$1001,645,J$2)&amp;""),""))</f>
        <v/>
      </c>
      <c r="K646">
        <f>IF(K$2=0,"",IFERROR(TRIM(INDEX('Pegar docentes'!$A$1:$BZ$1001,645,K$2)&amp;""),""))</f>
        <v/>
      </c>
      <c r="L646">
        <f>IF(L$2=0,"",IFERROR(TRIM(INDEX('Pegar docentes'!$A$1:$BZ$1001,645,L$2)&amp;""),""))</f>
        <v/>
      </c>
      <c r="M646">
        <f>IF(M$2=0,"",IFERROR(TRIM(INDEX('Pegar docentes'!$A$1:$BZ$1001,645,M$2)&amp;""),""))</f>
        <v/>
      </c>
      <c r="N646">
        <f>IF(N$2=0,"",IFERROR(TRIM(INDEX('Pegar docentes'!$A$1:$BZ$1001,645,N$2)&amp;""),""))</f>
        <v/>
      </c>
      <c r="O646">
        <f>IF(O$2=0,"",IFERROR(TRIM(INDEX('Pegar docentes'!$A$1:$BZ$1001,645,O$2)&amp;""),""))</f>
        <v/>
      </c>
      <c r="P646">
        <f>IF(P$2=0,"",IFERROR(TRIM(INDEX('Pegar docentes'!$A$1:$BZ$1001,645,P$2)&amp;""),""))</f>
        <v/>
      </c>
      <c r="Q646" s="25">
        <f>IF(OR(D646&lt;&gt;"",H646&lt;&gt;""),1,"")</f>
        <v/>
      </c>
      <c r="R646" s="25">
        <f>IF(Q646=1,IF(ISNUMBER(FIND("#"&amp;MID(D646,1,1)&amp;"#","#0#1#2#3#4#5#6#7#8#9#")),IF(ISNUMBER(FIND("#"&amp;MID(D646,2,1)&amp;"#","#0#1#2#3#4#5#6#7#8#9#")),IF(AND(VALUE(LEFT(D646,2))&gt;=1,VALUE(LEFT(D646,2))&lt;=5),VALUE(LEFT(D646,2)),""),IF(AND(VALUE(LEFT(D646,1))&gt;=1,VALUE(LEFT(D646,1))&lt;=5),VALUE(LEFT(D646,1)),"")),""),"")</f>
        <v/>
      </c>
      <c r="S646" s="25">
        <f>IF(AND(Q646=1,E646&lt;&gt;""),SUBSTITUTE(SUBSTITUTE(SUBSTITUTE(SUBSTITUTE(SUBSTITUTE(SUBSTITUTE(SUBSTITUTE(SUBSTITUTE(SUBSTITUTE(SUBSTITUTE(SUBSTITUTE(SUBSTITUTE(LOWER(TRIM(E646)),"á","a"),"é","e"),"í","i"),"ó","o"),"ú","u"),"ü","u"),"ñ","n"),"à","a"),"è","e"),"ì","i"),"ò","o"),"ù","u"),"")</f>
        <v/>
      </c>
      <c r="T646" s="25">
        <f>IF(AND(Q646=1,G646&lt;&gt;""),SUBSTITUTE(SUBSTITUTE(SUBSTITUTE(SUBSTITUTE(SUBSTITUTE(SUBSTITUTE(SUBSTITUTE(SUBSTITUTE(SUBSTITUTE(SUBSTITUTE(SUBSTITUTE(SUBSTITUTE(LOWER(TRIM(G646)),"á","a"),"é","e"),"í","i"),"ó","o"),"ú","u"),"ü","u"),"ñ","n"),"à","a"),"è","e"),"ì","i"),"ò","o"),"ù","u"),"")</f>
        <v/>
      </c>
      <c r="U646" s="25">
        <f>IF(AND(Q646=1,H646&lt;&gt;""),SUBSTITUTE(SUBSTITUTE(SUBSTITUTE(SUBSTITUTE(SUBSTITUTE(SUBSTITUTE(SUBSTITUTE(SUBSTITUTE(SUBSTITUTE(SUBSTITUTE(SUBSTITUTE(SUBSTITUTE(LOWER(TRIM(H646)),"á","a"),"é","e"),"í","i"),"ó","o"),"ú","u"),"ü","u"),"ñ","n"),"à","a"),"è","e"),"ì","i"),"ò","o"),"ù","u"),"")</f>
        <v/>
      </c>
      <c r="V646" s="25">
        <f>IF(AND(Q646=1,L646&lt;&gt;""),SUBSTITUTE(SUBSTITUTE(SUBSTITUTE(SUBSTITUTE(SUBSTITUTE(SUBSTITUTE(SUBSTITUTE(SUBSTITUTE(SUBSTITUTE(SUBSTITUTE(SUBSTITUTE(SUBSTITUTE(LOWER(TRIM(L646)),"á","a"),"é","e"),"í","i"),"ó","o"),"ú","u"),"ü","u"),"ñ","n"),"à","a"),"è","e"),"ì","i"),"ò","o"),"ù","u"),"")</f>
        <v/>
      </c>
      <c r="W646" s="25">
        <f>IF(AND(Q646=1,I646&lt;&gt;""),SUBSTITUTE(SUBSTITUTE(SUBSTITUTE(SUBSTITUTE(SUBSTITUTE(SUBSTITUTE(SUBSTITUTE(SUBSTITUTE(SUBSTITUTE(SUBSTITUTE(SUBSTITUTE(SUBSTITUTE(LOWER(TRIM(I646)),"á","a"),"é","e"),"í","i"),"ó","o"),"ú","u"),"ü","u"),"ñ","n"),"à","a"),"è","e"),"ì","i"),"ò","o"),"ù","u"),"")</f>
        <v/>
      </c>
      <c r="X646" s="25">
        <f>IF(U646="","",IF(OR(U646="si, en la proxima tarea",U646="si, con cambios"),1,0))</f>
        <v/>
      </c>
      <c r="Y646" s="25">
        <f>IF(AND(Q646=1,A646&lt;&gt;""),IF(IFERROR(COUNTIFS(A$3:A646,"="&amp;SUBSTITUTE(SUBSTITUTE(SUBSTITUTE(A646,"~","~~"),"*","~*"),"?","~?"),Q$3:Q646,1),0)=1,MAX(Y$2:Y645)+1,""),"")</f>
        <v/>
      </c>
      <c r="Z646" s="25">
        <f>IF(Y646="","",COUNTIFS($A$3:$A$1002,"="&amp;SUBSTITUTE(SUBSTITUTE(SUBSTITUTE(A646,"~","~~"),"*","~*"),"?","~?"),$Q$3:$Q$1002,1)*10000-Y646)</f>
        <v/>
      </c>
    </row>
    <row r="647">
      <c r="A647">
        <f>IF(A$2=0,"",IFERROR(TRIM(INDEX('Pegar docentes'!$A$1:$BZ$1001,646,A$2)&amp;""),""))</f>
        <v/>
      </c>
      <c r="B647">
        <f>IF(B$2=0,"",IFERROR(TRIM(INDEX('Pegar docentes'!$A$1:$BZ$1001,646,B$2)&amp;""),""))</f>
        <v/>
      </c>
      <c r="C647">
        <f>IF(C$2=0,"",IFERROR(TRIM(INDEX('Pegar docentes'!$A$1:$BZ$1001,646,C$2)&amp;""),""))</f>
        <v/>
      </c>
      <c r="D647">
        <f>IF(D$2=0,"",IFERROR(TRIM(INDEX('Pegar docentes'!$A$1:$BZ$1001,646,D$2)&amp;""),""))</f>
        <v/>
      </c>
      <c r="E647">
        <f>IF(E$2=0,"",IFERROR(TRIM(INDEX('Pegar docentes'!$A$1:$BZ$1001,646,E$2)&amp;""),""))</f>
        <v/>
      </c>
      <c r="F647">
        <f>IF(F$2=0,"",IFERROR(TRIM(INDEX('Pegar docentes'!$A$1:$BZ$1001,646,F$2)&amp;""),""))</f>
        <v/>
      </c>
      <c r="G647">
        <f>IF(G$2=0,"",IFERROR(TRIM(INDEX('Pegar docentes'!$A$1:$BZ$1001,646,G$2)&amp;""),""))</f>
        <v/>
      </c>
      <c r="H647">
        <f>IF(H$2=0,"",IFERROR(TRIM(INDEX('Pegar docentes'!$A$1:$BZ$1001,646,H$2)&amp;""),""))</f>
        <v/>
      </c>
      <c r="I647">
        <f>IF(I$2=0,"",IFERROR(TRIM(INDEX('Pegar docentes'!$A$1:$BZ$1001,646,I$2)&amp;""),""))</f>
        <v/>
      </c>
      <c r="J647">
        <f>IF(J$2=0,"",IFERROR(TRIM(INDEX('Pegar docentes'!$A$1:$BZ$1001,646,J$2)&amp;""),""))</f>
        <v/>
      </c>
      <c r="K647">
        <f>IF(K$2=0,"",IFERROR(TRIM(INDEX('Pegar docentes'!$A$1:$BZ$1001,646,K$2)&amp;""),""))</f>
        <v/>
      </c>
      <c r="L647">
        <f>IF(L$2=0,"",IFERROR(TRIM(INDEX('Pegar docentes'!$A$1:$BZ$1001,646,L$2)&amp;""),""))</f>
        <v/>
      </c>
      <c r="M647">
        <f>IF(M$2=0,"",IFERROR(TRIM(INDEX('Pegar docentes'!$A$1:$BZ$1001,646,M$2)&amp;""),""))</f>
        <v/>
      </c>
      <c r="N647">
        <f>IF(N$2=0,"",IFERROR(TRIM(INDEX('Pegar docentes'!$A$1:$BZ$1001,646,N$2)&amp;""),""))</f>
        <v/>
      </c>
      <c r="O647">
        <f>IF(O$2=0,"",IFERROR(TRIM(INDEX('Pegar docentes'!$A$1:$BZ$1001,646,O$2)&amp;""),""))</f>
        <v/>
      </c>
      <c r="P647">
        <f>IF(P$2=0,"",IFERROR(TRIM(INDEX('Pegar docentes'!$A$1:$BZ$1001,646,P$2)&amp;""),""))</f>
        <v/>
      </c>
      <c r="Q647" s="25">
        <f>IF(OR(D647&lt;&gt;"",H647&lt;&gt;""),1,"")</f>
        <v/>
      </c>
      <c r="R647" s="25">
        <f>IF(Q647=1,IF(ISNUMBER(FIND("#"&amp;MID(D647,1,1)&amp;"#","#0#1#2#3#4#5#6#7#8#9#")),IF(ISNUMBER(FIND("#"&amp;MID(D647,2,1)&amp;"#","#0#1#2#3#4#5#6#7#8#9#")),IF(AND(VALUE(LEFT(D647,2))&gt;=1,VALUE(LEFT(D647,2))&lt;=5),VALUE(LEFT(D647,2)),""),IF(AND(VALUE(LEFT(D647,1))&gt;=1,VALUE(LEFT(D647,1))&lt;=5),VALUE(LEFT(D647,1)),"")),""),"")</f>
        <v/>
      </c>
      <c r="S647" s="25">
        <f>IF(AND(Q647=1,E647&lt;&gt;""),SUBSTITUTE(SUBSTITUTE(SUBSTITUTE(SUBSTITUTE(SUBSTITUTE(SUBSTITUTE(SUBSTITUTE(SUBSTITUTE(SUBSTITUTE(SUBSTITUTE(SUBSTITUTE(SUBSTITUTE(LOWER(TRIM(E647)),"á","a"),"é","e"),"í","i"),"ó","o"),"ú","u"),"ü","u"),"ñ","n"),"à","a"),"è","e"),"ì","i"),"ò","o"),"ù","u"),"")</f>
        <v/>
      </c>
      <c r="T647" s="25">
        <f>IF(AND(Q647=1,G647&lt;&gt;""),SUBSTITUTE(SUBSTITUTE(SUBSTITUTE(SUBSTITUTE(SUBSTITUTE(SUBSTITUTE(SUBSTITUTE(SUBSTITUTE(SUBSTITUTE(SUBSTITUTE(SUBSTITUTE(SUBSTITUTE(LOWER(TRIM(G647)),"á","a"),"é","e"),"í","i"),"ó","o"),"ú","u"),"ü","u"),"ñ","n"),"à","a"),"è","e"),"ì","i"),"ò","o"),"ù","u"),"")</f>
        <v/>
      </c>
      <c r="U647" s="25">
        <f>IF(AND(Q647=1,H647&lt;&gt;""),SUBSTITUTE(SUBSTITUTE(SUBSTITUTE(SUBSTITUTE(SUBSTITUTE(SUBSTITUTE(SUBSTITUTE(SUBSTITUTE(SUBSTITUTE(SUBSTITUTE(SUBSTITUTE(SUBSTITUTE(LOWER(TRIM(H647)),"á","a"),"é","e"),"í","i"),"ó","o"),"ú","u"),"ü","u"),"ñ","n"),"à","a"),"è","e"),"ì","i"),"ò","o"),"ù","u"),"")</f>
        <v/>
      </c>
      <c r="V647" s="25">
        <f>IF(AND(Q647=1,L647&lt;&gt;""),SUBSTITUTE(SUBSTITUTE(SUBSTITUTE(SUBSTITUTE(SUBSTITUTE(SUBSTITUTE(SUBSTITUTE(SUBSTITUTE(SUBSTITUTE(SUBSTITUTE(SUBSTITUTE(SUBSTITUTE(LOWER(TRIM(L647)),"á","a"),"é","e"),"í","i"),"ó","o"),"ú","u"),"ü","u"),"ñ","n"),"à","a"),"è","e"),"ì","i"),"ò","o"),"ù","u"),"")</f>
        <v/>
      </c>
      <c r="W647" s="25">
        <f>IF(AND(Q647=1,I647&lt;&gt;""),SUBSTITUTE(SUBSTITUTE(SUBSTITUTE(SUBSTITUTE(SUBSTITUTE(SUBSTITUTE(SUBSTITUTE(SUBSTITUTE(SUBSTITUTE(SUBSTITUTE(SUBSTITUTE(SUBSTITUTE(LOWER(TRIM(I647)),"á","a"),"é","e"),"í","i"),"ó","o"),"ú","u"),"ü","u"),"ñ","n"),"à","a"),"è","e"),"ì","i"),"ò","o"),"ù","u"),"")</f>
        <v/>
      </c>
      <c r="X647" s="25">
        <f>IF(U647="","",IF(OR(U647="si, en la proxima tarea",U647="si, con cambios"),1,0))</f>
        <v/>
      </c>
      <c r="Y647" s="25">
        <f>IF(AND(Q647=1,A647&lt;&gt;""),IF(IFERROR(COUNTIFS(A$3:A647,"="&amp;SUBSTITUTE(SUBSTITUTE(SUBSTITUTE(A647,"~","~~"),"*","~*"),"?","~?"),Q$3:Q647,1),0)=1,MAX(Y$2:Y646)+1,""),"")</f>
        <v/>
      </c>
      <c r="Z647" s="25">
        <f>IF(Y647="","",COUNTIFS($A$3:$A$1002,"="&amp;SUBSTITUTE(SUBSTITUTE(SUBSTITUTE(A647,"~","~~"),"*","~*"),"?","~?"),$Q$3:$Q$1002,1)*10000-Y647)</f>
        <v/>
      </c>
    </row>
    <row r="648">
      <c r="A648">
        <f>IF(A$2=0,"",IFERROR(TRIM(INDEX('Pegar docentes'!$A$1:$BZ$1001,647,A$2)&amp;""),""))</f>
        <v/>
      </c>
      <c r="B648">
        <f>IF(B$2=0,"",IFERROR(TRIM(INDEX('Pegar docentes'!$A$1:$BZ$1001,647,B$2)&amp;""),""))</f>
        <v/>
      </c>
      <c r="C648">
        <f>IF(C$2=0,"",IFERROR(TRIM(INDEX('Pegar docentes'!$A$1:$BZ$1001,647,C$2)&amp;""),""))</f>
        <v/>
      </c>
      <c r="D648">
        <f>IF(D$2=0,"",IFERROR(TRIM(INDEX('Pegar docentes'!$A$1:$BZ$1001,647,D$2)&amp;""),""))</f>
        <v/>
      </c>
      <c r="E648">
        <f>IF(E$2=0,"",IFERROR(TRIM(INDEX('Pegar docentes'!$A$1:$BZ$1001,647,E$2)&amp;""),""))</f>
        <v/>
      </c>
      <c r="F648">
        <f>IF(F$2=0,"",IFERROR(TRIM(INDEX('Pegar docentes'!$A$1:$BZ$1001,647,F$2)&amp;""),""))</f>
        <v/>
      </c>
      <c r="G648">
        <f>IF(G$2=0,"",IFERROR(TRIM(INDEX('Pegar docentes'!$A$1:$BZ$1001,647,G$2)&amp;""),""))</f>
        <v/>
      </c>
      <c r="H648">
        <f>IF(H$2=0,"",IFERROR(TRIM(INDEX('Pegar docentes'!$A$1:$BZ$1001,647,H$2)&amp;""),""))</f>
        <v/>
      </c>
      <c r="I648">
        <f>IF(I$2=0,"",IFERROR(TRIM(INDEX('Pegar docentes'!$A$1:$BZ$1001,647,I$2)&amp;""),""))</f>
        <v/>
      </c>
      <c r="J648">
        <f>IF(J$2=0,"",IFERROR(TRIM(INDEX('Pegar docentes'!$A$1:$BZ$1001,647,J$2)&amp;""),""))</f>
        <v/>
      </c>
      <c r="K648">
        <f>IF(K$2=0,"",IFERROR(TRIM(INDEX('Pegar docentes'!$A$1:$BZ$1001,647,K$2)&amp;""),""))</f>
        <v/>
      </c>
      <c r="L648">
        <f>IF(L$2=0,"",IFERROR(TRIM(INDEX('Pegar docentes'!$A$1:$BZ$1001,647,L$2)&amp;""),""))</f>
        <v/>
      </c>
      <c r="M648">
        <f>IF(M$2=0,"",IFERROR(TRIM(INDEX('Pegar docentes'!$A$1:$BZ$1001,647,M$2)&amp;""),""))</f>
        <v/>
      </c>
      <c r="N648">
        <f>IF(N$2=0,"",IFERROR(TRIM(INDEX('Pegar docentes'!$A$1:$BZ$1001,647,N$2)&amp;""),""))</f>
        <v/>
      </c>
      <c r="O648">
        <f>IF(O$2=0,"",IFERROR(TRIM(INDEX('Pegar docentes'!$A$1:$BZ$1001,647,O$2)&amp;""),""))</f>
        <v/>
      </c>
      <c r="P648">
        <f>IF(P$2=0,"",IFERROR(TRIM(INDEX('Pegar docentes'!$A$1:$BZ$1001,647,P$2)&amp;""),""))</f>
        <v/>
      </c>
      <c r="Q648" s="25">
        <f>IF(OR(D648&lt;&gt;"",H648&lt;&gt;""),1,"")</f>
        <v/>
      </c>
      <c r="R648" s="25">
        <f>IF(Q648=1,IF(ISNUMBER(FIND("#"&amp;MID(D648,1,1)&amp;"#","#0#1#2#3#4#5#6#7#8#9#")),IF(ISNUMBER(FIND("#"&amp;MID(D648,2,1)&amp;"#","#0#1#2#3#4#5#6#7#8#9#")),IF(AND(VALUE(LEFT(D648,2))&gt;=1,VALUE(LEFT(D648,2))&lt;=5),VALUE(LEFT(D648,2)),""),IF(AND(VALUE(LEFT(D648,1))&gt;=1,VALUE(LEFT(D648,1))&lt;=5),VALUE(LEFT(D648,1)),"")),""),"")</f>
        <v/>
      </c>
      <c r="S648" s="25">
        <f>IF(AND(Q648=1,E648&lt;&gt;""),SUBSTITUTE(SUBSTITUTE(SUBSTITUTE(SUBSTITUTE(SUBSTITUTE(SUBSTITUTE(SUBSTITUTE(SUBSTITUTE(SUBSTITUTE(SUBSTITUTE(SUBSTITUTE(SUBSTITUTE(LOWER(TRIM(E648)),"á","a"),"é","e"),"í","i"),"ó","o"),"ú","u"),"ü","u"),"ñ","n"),"à","a"),"è","e"),"ì","i"),"ò","o"),"ù","u"),"")</f>
        <v/>
      </c>
      <c r="T648" s="25">
        <f>IF(AND(Q648=1,G648&lt;&gt;""),SUBSTITUTE(SUBSTITUTE(SUBSTITUTE(SUBSTITUTE(SUBSTITUTE(SUBSTITUTE(SUBSTITUTE(SUBSTITUTE(SUBSTITUTE(SUBSTITUTE(SUBSTITUTE(SUBSTITUTE(LOWER(TRIM(G648)),"á","a"),"é","e"),"í","i"),"ó","o"),"ú","u"),"ü","u"),"ñ","n"),"à","a"),"è","e"),"ì","i"),"ò","o"),"ù","u"),"")</f>
        <v/>
      </c>
      <c r="U648" s="25">
        <f>IF(AND(Q648=1,H648&lt;&gt;""),SUBSTITUTE(SUBSTITUTE(SUBSTITUTE(SUBSTITUTE(SUBSTITUTE(SUBSTITUTE(SUBSTITUTE(SUBSTITUTE(SUBSTITUTE(SUBSTITUTE(SUBSTITUTE(SUBSTITUTE(LOWER(TRIM(H648)),"á","a"),"é","e"),"í","i"),"ó","o"),"ú","u"),"ü","u"),"ñ","n"),"à","a"),"è","e"),"ì","i"),"ò","o"),"ù","u"),"")</f>
        <v/>
      </c>
      <c r="V648" s="25">
        <f>IF(AND(Q648=1,L648&lt;&gt;""),SUBSTITUTE(SUBSTITUTE(SUBSTITUTE(SUBSTITUTE(SUBSTITUTE(SUBSTITUTE(SUBSTITUTE(SUBSTITUTE(SUBSTITUTE(SUBSTITUTE(SUBSTITUTE(SUBSTITUTE(LOWER(TRIM(L648)),"á","a"),"é","e"),"í","i"),"ó","o"),"ú","u"),"ü","u"),"ñ","n"),"à","a"),"è","e"),"ì","i"),"ò","o"),"ù","u"),"")</f>
        <v/>
      </c>
      <c r="W648" s="25">
        <f>IF(AND(Q648=1,I648&lt;&gt;""),SUBSTITUTE(SUBSTITUTE(SUBSTITUTE(SUBSTITUTE(SUBSTITUTE(SUBSTITUTE(SUBSTITUTE(SUBSTITUTE(SUBSTITUTE(SUBSTITUTE(SUBSTITUTE(SUBSTITUTE(LOWER(TRIM(I648)),"á","a"),"é","e"),"í","i"),"ó","o"),"ú","u"),"ü","u"),"ñ","n"),"à","a"),"è","e"),"ì","i"),"ò","o"),"ù","u"),"")</f>
        <v/>
      </c>
      <c r="X648" s="25">
        <f>IF(U648="","",IF(OR(U648="si, en la proxima tarea",U648="si, con cambios"),1,0))</f>
        <v/>
      </c>
      <c r="Y648" s="25">
        <f>IF(AND(Q648=1,A648&lt;&gt;""),IF(IFERROR(COUNTIFS(A$3:A648,"="&amp;SUBSTITUTE(SUBSTITUTE(SUBSTITUTE(A648,"~","~~"),"*","~*"),"?","~?"),Q$3:Q648,1),0)=1,MAX(Y$2:Y647)+1,""),"")</f>
        <v/>
      </c>
      <c r="Z648" s="25">
        <f>IF(Y648="","",COUNTIFS($A$3:$A$1002,"="&amp;SUBSTITUTE(SUBSTITUTE(SUBSTITUTE(A648,"~","~~"),"*","~*"),"?","~?"),$Q$3:$Q$1002,1)*10000-Y648)</f>
        <v/>
      </c>
    </row>
    <row r="649">
      <c r="A649">
        <f>IF(A$2=0,"",IFERROR(TRIM(INDEX('Pegar docentes'!$A$1:$BZ$1001,648,A$2)&amp;""),""))</f>
        <v/>
      </c>
      <c r="B649">
        <f>IF(B$2=0,"",IFERROR(TRIM(INDEX('Pegar docentes'!$A$1:$BZ$1001,648,B$2)&amp;""),""))</f>
        <v/>
      </c>
      <c r="C649">
        <f>IF(C$2=0,"",IFERROR(TRIM(INDEX('Pegar docentes'!$A$1:$BZ$1001,648,C$2)&amp;""),""))</f>
        <v/>
      </c>
      <c r="D649">
        <f>IF(D$2=0,"",IFERROR(TRIM(INDEX('Pegar docentes'!$A$1:$BZ$1001,648,D$2)&amp;""),""))</f>
        <v/>
      </c>
      <c r="E649">
        <f>IF(E$2=0,"",IFERROR(TRIM(INDEX('Pegar docentes'!$A$1:$BZ$1001,648,E$2)&amp;""),""))</f>
        <v/>
      </c>
      <c r="F649">
        <f>IF(F$2=0,"",IFERROR(TRIM(INDEX('Pegar docentes'!$A$1:$BZ$1001,648,F$2)&amp;""),""))</f>
        <v/>
      </c>
      <c r="G649">
        <f>IF(G$2=0,"",IFERROR(TRIM(INDEX('Pegar docentes'!$A$1:$BZ$1001,648,G$2)&amp;""),""))</f>
        <v/>
      </c>
      <c r="H649">
        <f>IF(H$2=0,"",IFERROR(TRIM(INDEX('Pegar docentes'!$A$1:$BZ$1001,648,H$2)&amp;""),""))</f>
        <v/>
      </c>
      <c r="I649">
        <f>IF(I$2=0,"",IFERROR(TRIM(INDEX('Pegar docentes'!$A$1:$BZ$1001,648,I$2)&amp;""),""))</f>
        <v/>
      </c>
      <c r="J649">
        <f>IF(J$2=0,"",IFERROR(TRIM(INDEX('Pegar docentes'!$A$1:$BZ$1001,648,J$2)&amp;""),""))</f>
        <v/>
      </c>
      <c r="K649">
        <f>IF(K$2=0,"",IFERROR(TRIM(INDEX('Pegar docentes'!$A$1:$BZ$1001,648,K$2)&amp;""),""))</f>
        <v/>
      </c>
      <c r="L649">
        <f>IF(L$2=0,"",IFERROR(TRIM(INDEX('Pegar docentes'!$A$1:$BZ$1001,648,L$2)&amp;""),""))</f>
        <v/>
      </c>
      <c r="M649">
        <f>IF(M$2=0,"",IFERROR(TRIM(INDEX('Pegar docentes'!$A$1:$BZ$1001,648,M$2)&amp;""),""))</f>
        <v/>
      </c>
      <c r="N649">
        <f>IF(N$2=0,"",IFERROR(TRIM(INDEX('Pegar docentes'!$A$1:$BZ$1001,648,N$2)&amp;""),""))</f>
        <v/>
      </c>
      <c r="O649">
        <f>IF(O$2=0,"",IFERROR(TRIM(INDEX('Pegar docentes'!$A$1:$BZ$1001,648,O$2)&amp;""),""))</f>
        <v/>
      </c>
      <c r="P649">
        <f>IF(P$2=0,"",IFERROR(TRIM(INDEX('Pegar docentes'!$A$1:$BZ$1001,648,P$2)&amp;""),""))</f>
        <v/>
      </c>
      <c r="Q649" s="25">
        <f>IF(OR(D649&lt;&gt;"",H649&lt;&gt;""),1,"")</f>
        <v/>
      </c>
      <c r="R649" s="25">
        <f>IF(Q649=1,IF(ISNUMBER(FIND("#"&amp;MID(D649,1,1)&amp;"#","#0#1#2#3#4#5#6#7#8#9#")),IF(ISNUMBER(FIND("#"&amp;MID(D649,2,1)&amp;"#","#0#1#2#3#4#5#6#7#8#9#")),IF(AND(VALUE(LEFT(D649,2))&gt;=1,VALUE(LEFT(D649,2))&lt;=5),VALUE(LEFT(D649,2)),""),IF(AND(VALUE(LEFT(D649,1))&gt;=1,VALUE(LEFT(D649,1))&lt;=5),VALUE(LEFT(D649,1)),"")),""),"")</f>
        <v/>
      </c>
      <c r="S649" s="25">
        <f>IF(AND(Q649=1,E649&lt;&gt;""),SUBSTITUTE(SUBSTITUTE(SUBSTITUTE(SUBSTITUTE(SUBSTITUTE(SUBSTITUTE(SUBSTITUTE(SUBSTITUTE(SUBSTITUTE(SUBSTITUTE(SUBSTITUTE(SUBSTITUTE(LOWER(TRIM(E649)),"á","a"),"é","e"),"í","i"),"ó","o"),"ú","u"),"ü","u"),"ñ","n"),"à","a"),"è","e"),"ì","i"),"ò","o"),"ù","u"),"")</f>
        <v/>
      </c>
      <c r="T649" s="25">
        <f>IF(AND(Q649=1,G649&lt;&gt;""),SUBSTITUTE(SUBSTITUTE(SUBSTITUTE(SUBSTITUTE(SUBSTITUTE(SUBSTITUTE(SUBSTITUTE(SUBSTITUTE(SUBSTITUTE(SUBSTITUTE(SUBSTITUTE(SUBSTITUTE(LOWER(TRIM(G649)),"á","a"),"é","e"),"í","i"),"ó","o"),"ú","u"),"ü","u"),"ñ","n"),"à","a"),"è","e"),"ì","i"),"ò","o"),"ù","u"),"")</f>
        <v/>
      </c>
      <c r="U649" s="25">
        <f>IF(AND(Q649=1,H649&lt;&gt;""),SUBSTITUTE(SUBSTITUTE(SUBSTITUTE(SUBSTITUTE(SUBSTITUTE(SUBSTITUTE(SUBSTITUTE(SUBSTITUTE(SUBSTITUTE(SUBSTITUTE(SUBSTITUTE(SUBSTITUTE(LOWER(TRIM(H649)),"á","a"),"é","e"),"í","i"),"ó","o"),"ú","u"),"ü","u"),"ñ","n"),"à","a"),"è","e"),"ì","i"),"ò","o"),"ù","u"),"")</f>
        <v/>
      </c>
      <c r="V649" s="25">
        <f>IF(AND(Q649=1,L649&lt;&gt;""),SUBSTITUTE(SUBSTITUTE(SUBSTITUTE(SUBSTITUTE(SUBSTITUTE(SUBSTITUTE(SUBSTITUTE(SUBSTITUTE(SUBSTITUTE(SUBSTITUTE(SUBSTITUTE(SUBSTITUTE(LOWER(TRIM(L649)),"á","a"),"é","e"),"í","i"),"ó","o"),"ú","u"),"ü","u"),"ñ","n"),"à","a"),"è","e"),"ì","i"),"ò","o"),"ù","u"),"")</f>
        <v/>
      </c>
      <c r="W649" s="25">
        <f>IF(AND(Q649=1,I649&lt;&gt;""),SUBSTITUTE(SUBSTITUTE(SUBSTITUTE(SUBSTITUTE(SUBSTITUTE(SUBSTITUTE(SUBSTITUTE(SUBSTITUTE(SUBSTITUTE(SUBSTITUTE(SUBSTITUTE(SUBSTITUTE(LOWER(TRIM(I649)),"á","a"),"é","e"),"í","i"),"ó","o"),"ú","u"),"ü","u"),"ñ","n"),"à","a"),"è","e"),"ì","i"),"ò","o"),"ù","u"),"")</f>
        <v/>
      </c>
      <c r="X649" s="25">
        <f>IF(U649="","",IF(OR(U649="si, en la proxima tarea",U649="si, con cambios"),1,0))</f>
        <v/>
      </c>
      <c r="Y649" s="25">
        <f>IF(AND(Q649=1,A649&lt;&gt;""),IF(IFERROR(COUNTIFS(A$3:A649,"="&amp;SUBSTITUTE(SUBSTITUTE(SUBSTITUTE(A649,"~","~~"),"*","~*"),"?","~?"),Q$3:Q649,1),0)=1,MAX(Y$2:Y648)+1,""),"")</f>
        <v/>
      </c>
      <c r="Z649" s="25">
        <f>IF(Y649="","",COUNTIFS($A$3:$A$1002,"="&amp;SUBSTITUTE(SUBSTITUTE(SUBSTITUTE(A649,"~","~~"),"*","~*"),"?","~?"),$Q$3:$Q$1002,1)*10000-Y649)</f>
        <v/>
      </c>
    </row>
    <row r="650">
      <c r="A650">
        <f>IF(A$2=0,"",IFERROR(TRIM(INDEX('Pegar docentes'!$A$1:$BZ$1001,649,A$2)&amp;""),""))</f>
        <v/>
      </c>
      <c r="B650">
        <f>IF(B$2=0,"",IFERROR(TRIM(INDEX('Pegar docentes'!$A$1:$BZ$1001,649,B$2)&amp;""),""))</f>
        <v/>
      </c>
      <c r="C650">
        <f>IF(C$2=0,"",IFERROR(TRIM(INDEX('Pegar docentes'!$A$1:$BZ$1001,649,C$2)&amp;""),""))</f>
        <v/>
      </c>
      <c r="D650">
        <f>IF(D$2=0,"",IFERROR(TRIM(INDEX('Pegar docentes'!$A$1:$BZ$1001,649,D$2)&amp;""),""))</f>
        <v/>
      </c>
      <c r="E650">
        <f>IF(E$2=0,"",IFERROR(TRIM(INDEX('Pegar docentes'!$A$1:$BZ$1001,649,E$2)&amp;""),""))</f>
        <v/>
      </c>
      <c r="F650">
        <f>IF(F$2=0,"",IFERROR(TRIM(INDEX('Pegar docentes'!$A$1:$BZ$1001,649,F$2)&amp;""),""))</f>
        <v/>
      </c>
      <c r="G650">
        <f>IF(G$2=0,"",IFERROR(TRIM(INDEX('Pegar docentes'!$A$1:$BZ$1001,649,G$2)&amp;""),""))</f>
        <v/>
      </c>
      <c r="H650">
        <f>IF(H$2=0,"",IFERROR(TRIM(INDEX('Pegar docentes'!$A$1:$BZ$1001,649,H$2)&amp;""),""))</f>
        <v/>
      </c>
      <c r="I650">
        <f>IF(I$2=0,"",IFERROR(TRIM(INDEX('Pegar docentes'!$A$1:$BZ$1001,649,I$2)&amp;""),""))</f>
        <v/>
      </c>
      <c r="J650">
        <f>IF(J$2=0,"",IFERROR(TRIM(INDEX('Pegar docentes'!$A$1:$BZ$1001,649,J$2)&amp;""),""))</f>
        <v/>
      </c>
      <c r="K650">
        <f>IF(K$2=0,"",IFERROR(TRIM(INDEX('Pegar docentes'!$A$1:$BZ$1001,649,K$2)&amp;""),""))</f>
        <v/>
      </c>
      <c r="L650">
        <f>IF(L$2=0,"",IFERROR(TRIM(INDEX('Pegar docentes'!$A$1:$BZ$1001,649,L$2)&amp;""),""))</f>
        <v/>
      </c>
      <c r="M650">
        <f>IF(M$2=0,"",IFERROR(TRIM(INDEX('Pegar docentes'!$A$1:$BZ$1001,649,M$2)&amp;""),""))</f>
        <v/>
      </c>
      <c r="N650">
        <f>IF(N$2=0,"",IFERROR(TRIM(INDEX('Pegar docentes'!$A$1:$BZ$1001,649,N$2)&amp;""),""))</f>
        <v/>
      </c>
      <c r="O650">
        <f>IF(O$2=0,"",IFERROR(TRIM(INDEX('Pegar docentes'!$A$1:$BZ$1001,649,O$2)&amp;""),""))</f>
        <v/>
      </c>
      <c r="P650">
        <f>IF(P$2=0,"",IFERROR(TRIM(INDEX('Pegar docentes'!$A$1:$BZ$1001,649,P$2)&amp;""),""))</f>
        <v/>
      </c>
      <c r="Q650" s="25">
        <f>IF(OR(D650&lt;&gt;"",H650&lt;&gt;""),1,"")</f>
        <v/>
      </c>
      <c r="R650" s="25">
        <f>IF(Q650=1,IF(ISNUMBER(FIND("#"&amp;MID(D650,1,1)&amp;"#","#0#1#2#3#4#5#6#7#8#9#")),IF(ISNUMBER(FIND("#"&amp;MID(D650,2,1)&amp;"#","#0#1#2#3#4#5#6#7#8#9#")),IF(AND(VALUE(LEFT(D650,2))&gt;=1,VALUE(LEFT(D650,2))&lt;=5),VALUE(LEFT(D650,2)),""),IF(AND(VALUE(LEFT(D650,1))&gt;=1,VALUE(LEFT(D650,1))&lt;=5),VALUE(LEFT(D650,1)),"")),""),"")</f>
        <v/>
      </c>
      <c r="S650" s="25">
        <f>IF(AND(Q650=1,E650&lt;&gt;""),SUBSTITUTE(SUBSTITUTE(SUBSTITUTE(SUBSTITUTE(SUBSTITUTE(SUBSTITUTE(SUBSTITUTE(SUBSTITUTE(SUBSTITUTE(SUBSTITUTE(SUBSTITUTE(SUBSTITUTE(LOWER(TRIM(E650)),"á","a"),"é","e"),"í","i"),"ó","o"),"ú","u"),"ü","u"),"ñ","n"),"à","a"),"è","e"),"ì","i"),"ò","o"),"ù","u"),"")</f>
        <v/>
      </c>
      <c r="T650" s="25">
        <f>IF(AND(Q650=1,G650&lt;&gt;""),SUBSTITUTE(SUBSTITUTE(SUBSTITUTE(SUBSTITUTE(SUBSTITUTE(SUBSTITUTE(SUBSTITUTE(SUBSTITUTE(SUBSTITUTE(SUBSTITUTE(SUBSTITUTE(SUBSTITUTE(LOWER(TRIM(G650)),"á","a"),"é","e"),"í","i"),"ó","o"),"ú","u"),"ü","u"),"ñ","n"),"à","a"),"è","e"),"ì","i"),"ò","o"),"ù","u"),"")</f>
        <v/>
      </c>
      <c r="U650" s="25">
        <f>IF(AND(Q650=1,H650&lt;&gt;""),SUBSTITUTE(SUBSTITUTE(SUBSTITUTE(SUBSTITUTE(SUBSTITUTE(SUBSTITUTE(SUBSTITUTE(SUBSTITUTE(SUBSTITUTE(SUBSTITUTE(SUBSTITUTE(SUBSTITUTE(LOWER(TRIM(H650)),"á","a"),"é","e"),"í","i"),"ó","o"),"ú","u"),"ü","u"),"ñ","n"),"à","a"),"è","e"),"ì","i"),"ò","o"),"ù","u"),"")</f>
        <v/>
      </c>
      <c r="V650" s="25">
        <f>IF(AND(Q650=1,L650&lt;&gt;""),SUBSTITUTE(SUBSTITUTE(SUBSTITUTE(SUBSTITUTE(SUBSTITUTE(SUBSTITUTE(SUBSTITUTE(SUBSTITUTE(SUBSTITUTE(SUBSTITUTE(SUBSTITUTE(SUBSTITUTE(LOWER(TRIM(L650)),"á","a"),"é","e"),"í","i"),"ó","o"),"ú","u"),"ü","u"),"ñ","n"),"à","a"),"è","e"),"ì","i"),"ò","o"),"ù","u"),"")</f>
        <v/>
      </c>
      <c r="W650" s="25">
        <f>IF(AND(Q650=1,I650&lt;&gt;""),SUBSTITUTE(SUBSTITUTE(SUBSTITUTE(SUBSTITUTE(SUBSTITUTE(SUBSTITUTE(SUBSTITUTE(SUBSTITUTE(SUBSTITUTE(SUBSTITUTE(SUBSTITUTE(SUBSTITUTE(LOWER(TRIM(I650)),"á","a"),"é","e"),"í","i"),"ó","o"),"ú","u"),"ü","u"),"ñ","n"),"à","a"),"è","e"),"ì","i"),"ò","o"),"ù","u"),"")</f>
        <v/>
      </c>
      <c r="X650" s="25">
        <f>IF(U650="","",IF(OR(U650="si, en la proxima tarea",U650="si, con cambios"),1,0))</f>
        <v/>
      </c>
      <c r="Y650" s="25">
        <f>IF(AND(Q650=1,A650&lt;&gt;""),IF(IFERROR(COUNTIFS(A$3:A650,"="&amp;SUBSTITUTE(SUBSTITUTE(SUBSTITUTE(A650,"~","~~"),"*","~*"),"?","~?"),Q$3:Q650,1),0)=1,MAX(Y$2:Y649)+1,""),"")</f>
        <v/>
      </c>
      <c r="Z650" s="25">
        <f>IF(Y650="","",COUNTIFS($A$3:$A$1002,"="&amp;SUBSTITUTE(SUBSTITUTE(SUBSTITUTE(A650,"~","~~"),"*","~*"),"?","~?"),$Q$3:$Q$1002,1)*10000-Y650)</f>
        <v/>
      </c>
    </row>
    <row r="651">
      <c r="A651">
        <f>IF(A$2=0,"",IFERROR(TRIM(INDEX('Pegar docentes'!$A$1:$BZ$1001,650,A$2)&amp;""),""))</f>
        <v/>
      </c>
      <c r="B651">
        <f>IF(B$2=0,"",IFERROR(TRIM(INDEX('Pegar docentes'!$A$1:$BZ$1001,650,B$2)&amp;""),""))</f>
        <v/>
      </c>
      <c r="C651">
        <f>IF(C$2=0,"",IFERROR(TRIM(INDEX('Pegar docentes'!$A$1:$BZ$1001,650,C$2)&amp;""),""))</f>
        <v/>
      </c>
      <c r="D651">
        <f>IF(D$2=0,"",IFERROR(TRIM(INDEX('Pegar docentes'!$A$1:$BZ$1001,650,D$2)&amp;""),""))</f>
        <v/>
      </c>
      <c r="E651">
        <f>IF(E$2=0,"",IFERROR(TRIM(INDEX('Pegar docentes'!$A$1:$BZ$1001,650,E$2)&amp;""),""))</f>
        <v/>
      </c>
      <c r="F651">
        <f>IF(F$2=0,"",IFERROR(TRIM(INDEX('Pegar docentes'!$A$1:$BZ$1001,650,F$2)&amp;""),""))</f>
        <v/>
      </c>
      <c r="G651">
        <f>IF(G$2=0,"",IFERROR(TRIM(INDEX('Pegar docentes'!$A$1:$BZ$1001,650,G$2)&amp;""),""))</f>
        <v/>
      </c>
      <c r="H651">
        <f>IF(H$2=0,"",IFERROR(TRIM(INDEX('Pegar docentes'!$A$1:$BZ$1001,650,H$2)&amp;""),""))</f>
        <v/>
      </c>
      <c r="I651">
        <f>IF(I$2=0,"",IFERROR(TRIM(INDEX('Pegar docentes'!$A$1:$BZ$1001,650,I$2)&amp;""),""))</f>
        <v/>
      </c>
      <c r="J651">
        <f>IF(J$2=0,"",IFERROR(TRIM(INDEX('Pegar docentes'!$A$1:$BZ$1001,650,J$2)&amp;""),""))</f>
        <v/>
      </c>
      <c r="K651">
        <f>IF(K$2=0,"",IFERROR(TRIM(INDEX('Pegar docentes'!$A$1:$BZ$1001,650,K$2)&amp;""),""))</f>
        <v/>
      </c>
      <c r="L651">
        <f>IF(L$2=0,"",IFERROR(TRIM(INDEX('Pegar docentes'!$A$1:$BZ$1001,650,L$2)&amp;""),""))</f>
        <v/>
      </c>
      <c r="M651">
        <f>IF(M$2=0,"",IFERROR(TRIM(INDEX('Pegar docentes'!$A$1:$BZ$1001,650,M$2)&amp;""),""))</f>
        <v/>
      </c>
      <c r="N651">
        <f>IF(N$2=0,"",IFERROR(TRIM(INDEX('Pegar docentes'!$A$1:$BZ$1001,650,N$2)&amp;""),""))</f>
        <v/>
      </c>
      <c r="O651">
        <f>IF(O$2=0,"",IFERROR(TRIM(INDEX('Pegar docentes'!$A$1:$BZ$1001,650,O$2)&amp;""),""))</f>
        <v/>
      </c>
      <c r="P651">
        <f>IF(P$2=0,"",IFERROR(TRIM(INDEX('Pegar docentes'!$A$1:$BZ$1001,650,P$2)&amp;""),""))</f>
        <v/>
      </c>
      <c r="Q651" s="25">
        <f>IF(OR(D651&lt;&gt;"",H651&lt;&gt;""),1,"")</f>
        <v/>
      </c>
      <c r="R651" s="25">
        <f>IF(Q651=1,IF(ISNUMBER(FIND("#"&amp;MID(D651,1,1)&amp;"#","#0#1#2#3#4#5#6#7#8#9#")),IF(ISNUMBER(FIND("#"&amp;MID(D651,2,1)&amp;"#","#0#1#2#3#4#5#6#7#8#9#")),IF(AND(VALUE(LEFT(D651,2))&gt;=1,VALUE(LEFT(D651,2))&lt;=5),VALUE(LEFT(D651,2)),""),IF(AND(VALUE(LEFT(D651,1))&gt;=1,VALUE(LEFT(D651,1))&lt;=5),VALUE(LEFT(D651,1)),"")),""),"")</f>
        <v/>
      </c>
      <c r="S651" s="25">
        <f>IF(AND(Q651=1,E651&lt;&gt;""),SUBSTITUTE(SUBSTITUTE(SUBSTITUTE(SUBSTITUTE(SUBSTITUTE(SUBSTITUTE(SUBSTITUTE(SUBSTITUTE(SUBSTITUTE(SUBSTITUTE(SUBSTITUTE(SUBSTITUTE(LOWER(TRIM(E651)),"á","a"),"é","e"),"í","i"),"ó","o"),"ú","u"),"ü","u"),"ñ","n"),"à","a"),"è","e"),"ì","i"),"ò","o"),"ù","u"),"")</f>
        <v/>
      </c>
      <c r="T651" s="25">
        <f>IF(AND(Q651=1,G651&lt;&gt;""),SUBSTITUTE(SUBSTITUTE(SUBSTITUTE(SUBSTITUTE(SUBSTITUTE(SUBSTITUTE(SUBSTITUTE(SUBSTITUTE(SUBSTITUTE(SUBSTITUTE(SUBSTITUTE(SUBSTITUTE(LOWER(TRIM(G651)),"á","a"),"é","e"),"í","i"),"ó","o"),"ú","u"),"ü","u"),"ñ","n"),"à","a"),"è","e"),"ì","i"),"ò","o"),"ù","u"),"")</f>
        <v/>
      </c>
      <c r="U651" s="25">
        <f>IF(AND(Q651=1,H651&lt;&gt;""),SUBSTITUTE(SUBSTITUTE(SUBSTITUTE(SUBSTITUTE(SUBSTITUTE(SUBSTITUTE(SUBSTITUTE(SUBSTITUTE(SUBSTITUTE(SUBSTITUTE(SUBSTITUTE(SUBSTITUTE(LOWER(TRIM(H651)),"á","a"),"é","e"),"í","i"),"ó","o"),"ú","u"),"ü","u"),"ñ","n"),"à","a"),"è","e"),"ì","i"),"ò","o"),"ù","u"),"")</f>
        <v/>
      </c>
      <c r="V651" s="25">
        <f>IF(AND(Q651=1,L651&lt;&gt;""),SUBSTITUTE(SUBSTITUTE(SUBSTITUTE(SUBSTITUTE(SUBSTITUTE(SUBSTITUTE(SUBSTITUTE(SUBSTITUTE(SUBSTITUTE(SUBSTITUTE(SUBSTITUTE(SUBSTITUTE(LOWER(TRIM(L651)),"á","a"),"é","e"),"í","i"),"ó","o"),"ú","u"),"ü","u"),"ñ","n"),"à","a"),"è","e"),"ì","i"),"ò","o"),"ù","u"),"")</f>
        <v/>
      </c>
      <c r="W651" s="25">
        <f>IF(AND(Q651=1,I651&lt;&gt;""),SUBSTITUTE(SUBSTITUTE(SUBSTITUTE(SUBSTITUTE(SUBSTITUTE(SUBSTITUTE(SUBSTITUTE(SUBSTITUTE(SUBSTITUTE(SUBSTITUTE(SUBSTITUTE(SUBSTITUTE(LOWER(TRIM(I651)),"á","a"),"é","e"),"í","i"),"ó","o"),"ú","u"),"ü","u"),"ñ","n"),"à","a"),"è","e"),"ì","i"),"ò","o"),"ù","u"),"")</f>
        <v/>
      </c>
      <c r="X651" s="25">
        <f>IF(U651="","",IF(OR(U651="si, en la proxima tarea",U651="si, con cambios"),1,0))</f>
        <v/>
      </c>
      <c r="Y651" s="25">
        <f>IF(AND(Q651=1,A651&lt;&gt;""),IF(IFERROR(COUNTIFS(A$3:A651,"="&amp;SUBSTITUTE(SUBSTITUTE(SUBSTITUTE(A651,"~","~~"),"*","~*"),"?","~?"),Q$3:Q651,1),0)=1,MAX(Y$2:Y650)+1,""),"")</f>
        <v/>
      </c>
      <c r="Z651" s="25">
        <f>IF(Y651="","",COUNTIFS($A$3:$A$1002,"="&amp;SUBSTITUTE(SUBSTITUTE(SUBSTITUTE(A651,"~","~~"),"*","~*"),"?","~?"),$Q$3:$Q$1002,1)*10000-Y651)</f>
        <v/>
      </c>
    </row>
    <row r="652">
      <c r="A652">
        <f>IF(A$2=0,"",IFERROR(TRIM(INDEX('Pegar docentes'!$A$1:$BZ$1001,651,A$2)&amp;""),""))</f>
        <v/>
      </c>
      <c r="B652">
        <f>IF(B$2=0,"",IFERROR(TRIM(INDEX('Pegar docentes'!$A$1:$BZ$1001,651,B$2)&amp;""),""))</f>
        <v/>
      </c>
      <c r="C652">
        <f>IF(C$2=0,"",IFERROR(TRIM(INDEX('Pegar docentes'!$A$1:$BZ$1001,651,C$2)&amp;""),""))</f>
        <v/>
      </c>
      <c r="D652">
        <f>IF(D$2=0,"",IFERROR(TRIM(INDEX('Pegar docentes'!$A$1:$BZ$1001,651,D$2)&amp;""),""))</f>
        <v/>
      </c>
      <c r="E652">
        <f>IF(E$2=0,"",IFERROR(TRIM(INDEX('Pegar docentes'!$A$1:$BZ$1001,651,E$2)&amp;""),""))</f>
        <v/>
      </c>
      <c r="F652">
        <f>IF(F$2=0,"",IFERROR(TRIM(INDEX('Pegar docentes'!$A$1:$BZ$1001,651,F$2)&amp;""),""))</f>
        <v/>
      </c>
      <c r="G652">
        <f>IF(G$2=0,"",IFERROR(TRIM(INDEX('Pegar docentes'!$A$1:$BZ$1001,651,G$2)&amp;""),""))</f>
        <v/>
      </c>
      <c r="H652">
        <f>IF(H$2=0,"",IFERROR(TRIM(INDEX('Pegar docentes'!$A$1:$BZ$1001,651,H$2)&amp;""),""))</f>
        <v/>
      </c>
      <c r="I652">
        <f>IF(I$2=0,"",IFERROR(TRIM(INDEX('Pegar docentes'!$A$1:$BZ$1001,651,I$2)&amp;""),""))</f>
        <v/>
      </c>
      <c r="J652">
        <f>IF(J$2=0,"",IFERROR(TRIM(INDEX('Pegar docentes'!$A$1:$BZ$1001,651,J$2)&amp;""),""))</f>
        <v/>
      </c>
      <c r="K652">
        <f>IF(K$2=0,"",IFERROR(TRIM(INDEX('Pegar docentes'!$A$1:$BZ$1001,651,K$2)&amp;""),""))</f>
        <v/>
      </c>
      <c r="L652">
        <f>IF(L$2=0,"",IFERROR(TRIM(INDEX('Pegar docentes'!$A$1:$BZ$1001,651,L$2)&amp;""),""))</f>
        <v/>
      </c>
      <c r="M652">
        <f>IF(M$2=0,"",IFERROR(TRIM(INDEX('Pegar docentes'!$A$1:$BZ$1001,651,M$2)&amp;""),""))</f>
        <v/>
      </c>
      <c r="N652">
        <f>IF(N$2=0,"",IFERROR(TRIM(INDEX('Pegar docentes'!$A$1:$BZ$1001,651,N$2)&amp;""),""))</f>
        <v/>
      </c>
      <c r="O652">
        <f>IF(O$2=0,"",IFERROR(TRIM(INDEX('Pegar docentes'!$A$1:$BZ$1001,651,O$2)&amp;""),""))</f>
        <v/>
      </c>
      <c r="P652">
        <f>IF(P$2=0,"",IFERROR(TRIM(INDEX('Pegar docentes'!$A$1:$BZ$1001,651,P$2)&amp;""),""))</f>
        <v/>
      </c>
      <c r="Q652" s="25">
        <f>IF(OR(D652&lt;&gt;"",H652&lt;&gt;""),1,"")</f>
        <v/>
      </c>
      <c r="R652" s="25">
        <f>IF(Q652=1,IF(ISNUMBER(FIND("#"&amp;MID(D652,1,1)&amp;"#","#0#1#2#3#4#5#6#7#8#9#")),IF(ISNUMBER(FIND("#"&amp;MID(D652,2,1)&amp;"#","#0#1#2#3#4#5#6#7#8#9#")),IF(AND(VALUE(LEFT(D652,2))&gt;=1,VALUE(LEFT(D652,2))&lt;=5),VALUE(LEFT(D652,2)),""),IF(AND(VALUE(LEFT(D652,1))&gt;=1,VALUE(LEFT(D652,1))&lt;=5),VALUE(LEFT(D652,1)),"")),""),"")</f>
        <v/>
      </c>
      <c r="S652" s="25">
        <f>IF(AND(Q652=1,E652&lt;&gt;""),SUBSTITUTE(SUBSTITUTE(SUBSTITUTE(SUBSTITUTE(SUBSTITUTE(SUBSTITUTE(SUBSTITUTE(SUBSTITUTE(SUBSTITUTE(SUBSTITUTE(SUBSTITUTE(SUBSTITUTE(LOWER(TRIM(E652)),"á","a"),"é","e"),"í","i"),"ó","o"),"ú","u"),"ü","u"),"ñ","n"),"à","a"),"è","e"),"ì","i"),"ò","o"),"ù","u"),"")</f>
        <v/>
      </c>
      <c r="T652" s="25">
        <f>IF(AND(Q652=1,G652&lt;&gt;""),SUBSTITUTE(SUBSTITUTE(SUBSTITUTE(SUBSTITUTE(SUBSTITUTE(SUBSTITUTE(SUBSTITUTE(SUBSTITUTE(SUBSTITUTE(SUBSTITUTE(SUBSTITUTE(SUBSTITUTE(LOWER(TRIM(G652)),"á","a"),"é","e"),"í","i"),"ó","o"),"ú","u"),"ü","u"),"ñ","n"),"à","a"),"è","e"),"ì","i"),"ò","o"),"ù","u"),"")</f>
        <v/>
      </c>
      <c r="U652" s="25">
        <f>IF(AND(Q652=1,H652&lt;&gt;""),SUBSTITUTE(SUBSTITUTE(SUBSTITUTE(SUBSTITUTE(SUBSTITUTE(SUBSTITUTE(SUBSTITUTE(SUBSTITUTE(SUBSTITUTE(SUBSTITUTE(SUBSTITUTE(SUBSTITUTE(LOWER(TRIM(H652)),"á","a"),"é","e"),"í","i"),"ó","o"),"ú","u"),"ü","u"),"ñ","n"),"à","a"),"è","e"),"ì","i"),"ò","o"),"ù","u"),"")</f>
        <v/>
      </c>
      <c r="V652" s="25">
        <f>IF(AND(Q652=1,L652&lt;&gt;""),SUBSTITUTE(SUBSTITUTE(SUBSTITUTE(SUBSTITUTE(SUBSTITUTE(SUBSTITUTE(SUBSTITUTE(SUBSTITUTE(SUBSTITUTE(SUBSTITUTE(SUBSTITUTE(SUBSTITUTE(LOWER(TRIM(L652)),"á","a"),"é","e"),"í","i"),"ó","o"),"ú","u"),"ü","u"),"ñ","n"),"à","a"),"è","e"),"ì","i"),"ò","o"),"ù","u"),"")</f>
        <v/>
      </c>
      <c r="W652" s="25">
        <f>IF(AND(Q652=1,I652&lt;&gt;""),SUBSTITUTE(SUBSTITUTE(SUBSTITUTE(SUBSTITUTE(SUBSTITUTE(SUBSTITUTE(SUBSTITUTE(SUBSTITUTE(SUBSTITUTE(SUBSTITUTE(SUBSTITUTE(SUBSTITUTE(LOWER(TRIM(I652)),"á","a"),"é","e"),"í","i"),"ó","o"),"ú","u"),"ü","u"),"ñ","n"),"à","a"),"è","e"),"ì","i"),"ò","o"),"ù","u"),"")</f>
        <v/>
      </c>
      <c r="X652" s="25">
        <f>IF(U652="","",IF(OR(U652="si, en la proxima tarea",U652="si, con cambios"),1,0))</f>
        <v/>
      </c>
      <c r="Y652" s="25">
        <f>IF(AND(Q652=1,A652&lt;&gt;""),IF(IFERROR(COUNTIFS(A$3:A652,"="&amp;SUBSTITUTE(SUBSTITUTE(SUBSTITUTE(A652,"~","~~"),"*","~*"),"?","~?"),Q$3:Q652,1),0)=1,MAX(Y$2:Y651)+1,""),"")</f>
        <v/>
      </c>
      <c r="Z652" s="25">
        <f>IF(Y652="","",COUNTIFS($A$3:$A$1002,"="&amp;SUBSTITUTE(SUBSTITUTE(SUBSTITUTE(A652,"~","~~"),"*","~*"),"?","~?"),$Q$3:$Q$1002,1)*10000-Y652)</f>
        <v/>
      </c>
    </row>
    <row r="653">
      <c r="A653">
        <f>IF(A$2=0,"",IFERROR(TRIM(INDEX('Pegar docentes'!$A$1:$BZ$1001,652,A$2)&amp;""),""))</f>
        <v/>
      </c>
      <c r="B653">
        <f>IF(B$2=0,"",IFERROR(TRIM(INDEX('Pegar docentes'!$A$1:$BZ$1001,652,B$2)&amp;""),""))</f>
        <v/>
      </c>
      <c r="C653">
        <f>IF(C$2=0,"",IFERROR(TRIM(INDEX('Pegar docentes'!$A$1:$BZ$1001,652,C$2)&amp;""),""))</f>
        <v/>
      </c>
      <c r="D653">
        <f>IF(D$2=0,"",IFERROR(TRIM(INDEX('Pegar docentes'!$A$1:$BZ$1001,652,D$2)&amp;""),""))</f>
        <v/>
      </c>
      <c r="E653">
        <f>IF(E$2=0,"",IFERROR(TRIM(INDEX('Pegar docentes'!$A$1:$BZ$1001,652,E$2)&amp;""),""))</f>
        <v/>
      </c>
      <c r="F653">
        <f>IF(F$2=0,"",IFERROR(TRIM(INDEX('Pegar docentes'!$A$1:$BZ$1001,652,F$2)&amp;""),""))</f>
        <v/>
      </c>
      <c r="G653">
        <f>IF(G$2=0,"",IFERROR(TRIM(INDEX('Pegar docentes'!$A$1:$BZ$1001,652,G$2)&amp;""),""))</f>
        <v/>
      </c>
      <c r="H653">
        <f>IF(H$2=0,"",IFERROR(TRIM(INDEX('Pegar docentes'!$A$1:$BZ$1001,652,H$2)&amp;""),""))</f>
        <v/>
      </c>
      <c r="I653">
        <f>IF(I$2=0,"",IFERROR(TRIM(INDEX('Pegar docentes'!$A$1:$BZ$1001,652,I$2)&amp;""),""))</f>
        <v/>
      </c>
      <c r="J653">
        <f>IF(J$2=0,"",IFERROR(TRIM(INDEX('Pegar docentes'!$A$1:$BZ$1001,652,J$2)&amp;""),""))</f>
        <v/>
      </c>
      <c r="K653">
        <f>IF(K$2=0,"",IFERROR(TRIM(INDEX('Pegar docentes'!$A$1:$BZ$1001,652,K$2)&amp;""),""))</f>
        <v/>
      </c>
      <c r="L653">
        <f>IF(L$2=0,"",IFERROR(TRIM(INDEX('Pegar docentes'!$A$1:$BZ$1001,652,L$2)&amp;""),""))</f>
        <v/>
      </c>
      <c r="M653">
        <f>IF(M$2=0,"",IFERROR(TRIM(INDEX('Pegar docentes'!$A$1:$BZ$1001,652,M$2)&amp;""),""))</f>
        <v/>
      </c>
      <c r="N653">
        <f>IF(N$2=0,"",IFERROR(TRIM(INDEX('Pegar docentes'!$A$1:$BZ$1001,652,N$2)&amp;""),""))</f>
        <v/>
      </c>
      <c r="O653">
        <f>IF(O$2=0,"",IFERROR(TRIM(INDEX('Pegar docentes'!$A$1:$BZ$1001,652,O$2)&amp;""),""))</f>
        <v/>
      </c>
      <c r="P653">
        <f>IF(P$2=0,"",IFERROR(TRIM(INDEX('Pegar docentes'!$A$1:$BZ$1001,652,P$2)&amp;""),""))</f>
        <v/>
      </c>
      <c r="Q653" s="25">
        <f>IF(OR(D653&lt;&gt;"",H653&lt;&gt;""),1,"")</f>
        <v/>
      </c>
      <c r="R653" s="25">
        <f>IF(Q653=1,IF(ISNUMBER(FIND("#"&amp;MID(D653,1,1)&amp;"#","#0#1#2#3#4#5#6#7#8#9#")),IF(ISNUMBER(FIND("#"&amp;MID(D653,2,1)&amp;"#","#0#1#2#3#4#5#6#7#8#9#")),IF(AND(VALUE(LEFT(D653,2))&gt;=1,VALUE(LEFT(D653,2))&lt;=5),VALUE(LEFT(D653,2)),""),IF(AND(VALUE(LEFT(D653,1))&gt;=1,VALUE(LEFT(D653,1))&lt;=5),VALUE(LEFT(D653,1)),"")),""),"")</f>
        <v/>
      </c>
      <c r="S653" s="25">
        <f>IF(AND(Q653=1,E653&lt;&gt;""),SUBSTITUTE(SUBSTITUTE(SUBSTITUTE(SUBSTITUTE(SUBSTITUTE(SUBSTITUTE(SUBSTITUTE(SUBSTITUTE(SUBSTITUTE(SUBSTITUTE(SUBSTITUTE(SUBSTITUTE(LOWER(TRIM(E653)),"á","a"),"é","e"),"í","i"),"ó","o"),"ú","u"),"ü","u"),"ñ","n"),"à","a"),"è","e"),"ì","i"),"ò","o"),"ù","u"),"")</f>
        <v/>
      </c>
      <c r="T653" s="25">
        <f>IF(AND(Q653=1,G653&lt;&gt;""),SUBSTITUTE(SUBSTITUTE(SUBSTITUTE(SUBSTITUTE(SUBSTITUTE(SUBSTITUTE(SUBSTITUTE(SUBSTITUTE(SUBSTITUTE(SUBSTITUTE(SUBSTITUTE(SUBSTITUTE(LOWER(TRIM(G653)),"á","a"),"é","e"),"í","i"),"ó","o"),"ú","u"),"ü","u"),"ñ","n"),"à","a"),"è","e"),"ì","i"),"ò","o"),"ù","u"),"")</f>
        <v/>
      </c>
      <c r="U653" s="25">
        <f>IF(AND(Q653=1,H653&lt;&gt;""),SUBSTITUTE(SUBSTITUTE(SUBSTITUTE(SUBSTITUTE(SUBSTITUTE(SUBSTITUTE(SUBSTITUTE(SUBSTITUTE(SUBSTITUTE(SUBSTITUTE(SUBSTITUTE(SUBSTITUTE(LOWER(TRIM(H653)),"á","a"),"é","e"),"í","i"),"ó","o"),"ú","u"),"ü","u"),"ñ","n"),"à","a"),"è","e"),"ì","i"),"ò","o"),"ù","u"),"")</f>
        <v/>
      </c>
      <c r="V653" s="25">
        <f>IF(AND(Q653=1,L653&lt;&gt;""),SUBSTITUTE(SUBSTITUTE(SUBSTITUTE(SUBSTITUTE(SUBSTITUTE(SUBSTITUTE(SUBSTITUTE(SUBSTITUTE(SUBSTITUTE(SUBSTITUTE(SUBSTITUTE(SUBSTITUTE(LOWER(TRIM(L653)),"á","a"),"é","e"),"í","i"),"ó","o"),"ú","u"),"ü","u"),"ñ","n"),"à","a"),"è","e"),"ì","i"),"ò","o"),"ù","u"),"")</f>
        <v/>
      </c>
      <c r="W653" s="25">
        <f>IF(AND(Q653=1,I653&lt;&gt;""),SUBSTITUTE(SUBSTITUTE(SUBSTITUTE(SUBSTITUTE(SUBSTITUTE(SUBSTITUTE(SUBSTITUTE(SUBSTITUTE(SUBSTITUTE(SUBSTITUTE(SUBSTITUTE(SUBSTITUTE(LOWER(TRIM(I653)),"á","a"),"é","e"),"í","i"),"ó","o"),"ú","u"),"ü","u"),"ñ","n"),"à","a"),"è","e"),"ì","i"),"ò","o"),"ù","u"),"")</f>
        <v/>
      </c>
      <c r="X653" s="25">
        <f>IF(U653="","",IF(OR(U653="si, en la proxima tarea",U653="si, con cambios"),1,0))</f>
        <v/>
      </c>
      <c r="Y653" s="25">
        <f>IF(AND(Q653=1,A653&lt;&gt;""),IF(IFERROR(COUNTIFS(A$3:A653,"="&amp;SUBSTITUTE(SUBSTITUTE(SUBSTITUTE(A653,"~","~~"),"*","~*"),"?","~?"),Q$3:Q653,1),0)=1,MAX(Y$2:Y652)+1,""),"")</f>
        <v/>
      </c>
      <c r="Z653" s="25">
        <f>IF(Y653="","",COUNTIFS($A$3:$A$1002,"="&amp;SUBSTITUTE(SUBSTITUTE(SUBSTITUTE(A653,"~","~~"),"*","~*"),"?","~?"),$Q$3:$Q$1002,1)*10000-Y653)</f>
        <v/>
      </c>
    </row>
    <row r="654">
      <c r="A654">
        <f>IF(A$2=0,"",IFERROR(TRIM(INDEX('Pegar docentes'!$A$1:$BZ$1001,653,A$2)&amp;""),""))</f>
        <v/>
      </c>
      <c r="B654">
        <f>IF(B$2=0,"",IFERROR(TRIM(INDEX('Pegar docentes'!$A$1:$BZ$1001,653,B$2)&amp;""),""))</f>
        <v/>
      </c>
      <c r="C654">
        <f>IF(C$2=0,"",IFERROR(TRIM(INDEX('Pegar docentes'!$A$1:$BZ$1001,653,C$2)&amp;""),""))</f>
        <v/>
      </c>
      <c r="D654">
        <f>IF(D$2=0,"",IFERROR(TRIM(INDEX('Pegar docentes'!$A$1:$BZ$1001,653,D$2)&amp;""),""))</f>
        <v/>
      </c>
      <c r="E654">
        <f>IF(E$2=0,"",IFERROR(TRIM(INDEX('Pegar docentes'!$A$1:$BZ$1001,653,E$2)&amp;""),""))</f>
        <v/>
      </c>
      <c r="F654">
        <f>IF(F$2=0,"",IFERROR(TRIM(INDEX('Pegar docentes'!$A$1:$BZ$1001,653,F$2)&amp;""),""))</f>
        <v/>
      </c>
      <c r="G654">
        <f>IF(G$2=0,"",IFERROR(TRIM(INDEX('Pegar docentes'!$A$1:$BZ$1001,653,G$2)&amp;""),""))</f>
        <v/>
      </c>
      <c r="H654">
        <f>IF(H$2=0,"",IFERROR(TRIM(INDEX('Pegar docentes'!$A$1:$BZ$1001,653,H$2)&amp;""),""))</f>
        <v/>
      </c>
      <c r="I654">
        <f>IF(I$2=0,"",IFERROR(TRIM(INDEX('Pegar docentes'!$A$1:$BZ$1001,653,I$2)&amp;""),""))</f>
        <v/>
      </c>
      <c r="J654">
        <f>IF(J$2=0,"",IFERROR(TRIM(INDEX('Pegar docentes'!$A$1:$BZ$1001,653,J$2)&amp;""),""))</f>
        <v/>
      </c>
      <c r="K654">
        <f>IF(K$2=0,"",IFERROR(TRIM(INDEX('Pegar docentes'!$A$1:$BZ$1001,653,K$2)&amp;""),""))</f>
        <v/>
      </c>
      <c r="L654">
        <f>IF(L$2=0,"",IFERROR(TRIM(INDEX('Pegar docentes'!$A$1:$BZ$1001,653,L$2)&amp;""),""))</f>
        <v/>
      </c>
      <c r="M654">
        <f>IF(M$2=0,"",IFERROR(TRIM(INDEX('Pegar docentes'!$A$1:$BZ$1001,653,M$2)&amp;""),""))</f>
        <v/>
      </c>
      <c r="N654">
        <f>IF(N$2=0,"",IFERROR(TRIM(INDEX('Pegar docentes'!$A$1:$BZ$1001,653,N$2)&amp;""),""))</f>
        <v/>
      </c>
      <c r="O654">
        <f>IF(O$2=0,"",IFERROR(TRIM(INDEX('Pegar docentes'!$A$1:$BZ$1001,653,O$2)&amp;""),""))</f>
        <v/>
      </c>
      <c r="P654">
        <f>IF(P$2=0,"",IFERROR(TRIM(INDEX('Pegar docentes'!$A$1:$BZ$1001,653,P$2)&amp;""),""))</f>
        <v/>
      </c>
      <c r="Q654" s="25">
        <f>IF(OR(D654&lt;&gt;"",H654&lt;&gt;""),1,"")</f>
        <v/>
      </c>
      <c r="R654" s="25">
        <f>IF(Q654=1,IF(ISNUMBER(FIND("#"&amp;MID(D654,1,1)&amp;"#","#0#1#2#3#4#5#6#7#8#9#")),IF(ISNUMBER(FIND("#"&amp;MID(D654,2,1)&amp;"#","#0#1#2#3#4#5#6#7#8#9#")),IF(AND(VALUE(LEFT(D654,2))&gt;=1,VALUE(LEFT(D654,2))&lt;=5),VALUE(LEFT(D654,2)),""),IF(AND(VALUE(LEFT(D654,1))&gt;=1,VALUE(LEFT(D654,1))&lt;=5),VALUE(LEFT(D654,1)),"")),""),"")</f>
        <v/>
      </c>
      <c r="S654" s="25">
        <f>IF(AND(Q654=1,E654&lt;&gt;""),SUBSTITUTE(SUBSTITUTE(SUBSTITUTE(SUBSTITUTE(SUBSTITUTE(SUBSTITUTE(SUBSTITUTE(SUBSTITUTE(SUBSTITUTE(SUBSTITUTE(SUBSTITUTE(SUBSTITUTE(LOWER(TRIM(E654)),"á","a"),"é","e"),"í","i"),"ó","o"),"ú","u"),"ü","u"),"ñ","n"),"à","a"),"è","e"),"ì","i"),"ò","o"),"ù","u"),"")</f>
        <v/>
      </c>
      <c r="T654" s="25">
        <f>IF(AND(Q654=1,G654&lt;&gt;""),SUBSTITUTE(SUBSTITUTE(SUBSTITUTE(SUBSTITUTE(SUBSTITUTE(SUBSTITUTE(SUBSTITUTE(SUBSTITUTE(SUBSTITUTE(SUBSTITUTE(SUBSTITUTE(SUBSTITUTE(LOWER(TRIM(G654)),"á","a"),"é","e"),"í","i"),"ó","o"),"ú","u"),"ü","u"),"ñ","n"),"à","a"),"è","e"),"ì","i"),"ò","o"),"ù","u"),"")</f>
        <v/>
      </c>
      <c r="U654" s="25">
        <f>IF(AND(Q654=1,H654&lt;&gt;""),SUBSTITUTE(SUBSTITUTE(SUBSTITUTE(SUBSTITUTE(SUBSTITUTE(SUBSTITUTE(SUBSTITUTE(SUBSTITUTE(SUBSTITUTE(SUBSTITUTE(SUBSTITUTE(SUBSTITUTE(LOWER(TRIM(H654)),"á","a"),"é","e"),"í","i"),"ó","o"),"ú","u"),"ü","u"),"ñ","n"),"à","a"),"è","e"),"ì","i"),"ò","o"),"ù","u"),"")</f>
        <v/>
      </c>
      <c r="V654" s="25">
        <f>IF(AND(Q654=1,L654&lt;&gt;""),SUBSTITUTE(SUBSTITUTE(SUBSTITUTE(SUBSTITUTE(SUBSTITUTE(SUBSTITUTE(SUBSTITUTE(SUBSTITUTE(SUBSTITUTE(SUBSTITUTE(SUBSTITUTE(SUBSTITUTE(LOWER(TRIM(L654)),"á","a"),"é","e"),"í","i"),"ó","o"),"ú","u"),"ü","u"),"ñ","n"),"à","a"),"è","e"),"ì","i"),"ò","o"),"ù","u"),"")</f>
        <v/>
      </c>
      <c r="W654" s="25">
        <f>IF(AND(Q654=1,I654&lt;&gt;""),SUBSTITUTE(SUBSTITUTE(SUBSTITUTE(SUBSTITUTE(SUBSTITUTE(SUBSTITUTE(SUBSTITUTE(SUBSTITUTE(SUBSTITUTE(SUBSTITUTE(SUBSTITUTE(SUBSTITUTE(LOWER(TRIM(I654)),"á","a"),"é","e"),"í","i"),"ó","o"),"ú","u"),"ü","u"),"ñ","n"),"à","a"),"è","e"),"ì","i"),"ò","o"),"ù","u"),"")</f>
        <v/>
      </c>
      <c r="X654" s="25">
        <f>IF(U654="","",IF(OR(U654="si, en la proxima tarea",U654="si, con cambios"),1,0))</f>
        <v/>
      </c>
      <c r="Y654" s="25">
        <f>IF(AND(Q654=1,A654&lt;&gt;""),IF(IFERROR(COUNTIFS(A$3:A654,"="&amp;SUBSTITUTE(SUBSTITUTE(SUBSTITUTE(A654,"~","~~"),"*","~*"),"?","~?"),Q$3:Q654,1),0)=1,MAX(Y$2:Y653)+1,""),"")</f>
        <v/>
      </c>
      <c r="Z654" s="25">
        <f>IF(Y654="","",COUNTIFS($A$3:$A$1002,"="&amp;SUBSTITUTE(SUBSTITUTE(SUBSTITUTE(A654,"~","~~"),"*","~*"),"?","~?"),$Q$3:$Q$1002,1)*10000-Y654)</f>
        <v/>
      </c>
    </row>
    <row r="655">
      <c r="A655">
        <f>IF(A$2=0,"",IFERROR(TRIM(INDEX('Pegar docentes'!$A$1:$BZ$1001,654,A$2)&amp;""),""))</f>
        <v/>
      </c>
      <c r="B655">
        <f>IF(B$2=0,"",IFERROR(TRIM(INDEX('Pegar docentes'!$A$1:$BZ$1001,654,B$2)&amp;""),""))</f>
        <v/>
      </c>
      <c r="C655">
        <f>IF(C$2=0,"",IFERROR(TRIM(INDEX('Pegar docentes'!$A$1:$BZ$1001,654,C$2)&amp;""),""))</f>
        <v/>
      </c>
      <c r="D655">
        <f>IF(D$2=0,"",IFERROR(TRIM(INDEX('Pegar docentes'!$A$1:$BZ$1001,654,D$2)&amp;""),""))</f>
        <v/>
      </c>
      <c r="E655">
        <f>IF(E$2=0,"",IFERROR(TRIM(INDEX('Pegar docentes'!$A$1:$BZ$1001,654,E$2)&amp;""),""))</f>
        <v/>
      </c>
      <c r="F655">
        <f>IF(F$2=0,"",IFERROR(TRIM(INDEX('Pegar docentes'!$A$1:$BZ$1001,654,F$2)&amp;""),""))</f>
        <v/>
      </c>
      <c r="G655">
        <f>IF(G$2=0,"",IFERROR(TRIM(INDEX('Pegar docentes'!$A$1:$BZ$1001,654,G$2)&amp;""),""))</f>
        <v/>
      </c>
      <c r="H655">
        <f>IF(H$2=0,"",IFERROR(TRIM(INDEX('Pegar docentes'!$A$1:$BZ$1001,654,H$2)&amp;""),""))</f>
        <v/>
      </c>
      <c r="I655">
        <f>IF(I$2=0,"",IFERROR(TRIM(INDEX('Pegar docentes'!$A$1:$BZ$1001,654,I$2)&amp;""),""))</f>
        <v/>
      </c>
      <c r="J655">
        <f>IF(J$2=0,"",IFERROR(TRIM(INDEX('Pegar docentes'!$A$1:$BZ$1001,654,J$2)&amp;""),""))</f>
        <v/>
      </c>
      <c r="K655">
        <f>IF(K$2=0,"",IFERROR(TRIM(INDEX('Pegar docentes'!$A$1:$BZ$1001,654,K$2)&amp;""),""))</f>
        <v/>
      </c>
      <c r="L655">
        <f>IF(L$2=0,"",IFERROR(TRIM(INDEX('Pegar docentes'!$A$1:$BZ$1001,654,L$2)&amp;""),""))</f>
        <v/>
      </c>
      <c r="M655">
        <f>IF(M$2=0,"",IFERROR(TRIM(INDEX('Pegar docentes'!$A$1:$BZ$1001,654,M$2)&amp;""),""))</f>
        <v/>
      </c>
      <c r="N655">
        <f>IF(N$2=0,"",IFERROR(TRIM(INDEX('Pegar docentes'!$A$1:$BZ$1001,654,N$2)&amp;""),""))</f>
        <v/>
      </c>
      <c r="O655">
        <f>IF(O$2=0,"",IFERROR(TRIM(INDEX('Pegar docentes'!$A$1:$BZ$1001,654,O$2)&amp;""),""))</f>
        <v/>
      </c>
      <c r="P655">
        <f>IF(P$2=0,"",IFERROR(TRIM(INDEX('Pegar docentes'!$A$1:$BZ$1001,654,P$2)&amp;""),""))</f>
        <v/>
      </c>
      <c r="Q655" s="25">
        <f>IF(OR(D655&lt;&gt;"",H655&lt;&gt;""),1,"")</f>
        <v/>
      </c>
      <c r="R655" s="25">
        <f>IF(Q655=1,IF(ISNUMBER(FIND("#"&amp;MID(D655,1,1)&amp;"#","#0#1#2#3#4#5#6#7#8#9#")),IF(ISNUMBER(FIND("#"&amp;MID(D655,2,1)&amp;"#","#0#1#2#3#4#5#6#7#8#9#")),IF(AND(VALUE(LEFT(D655,2))&gt;=1,VALUE(LEFT(D655,2))&lt;=5),VALUE(LEFT(D655,2)),""),IF(AND(VALUE(LEFT(D655,1))&gt;=1,VALUE(LEFT(D655,1))&lt;=5),VALUE(LEFT(D655,1)),"")),""),"")</f>
        <v/>
      </c>
      <c r="S655" s="25">
        <f>IF(AND(Q655=1,E655&lt;&gt;""),SUBSTITUTE(SUBSTITUTE(SUBSTITUTE(SUBSTITUTE(SUBSTITUTE(SUBSTITUTE(SUBSTITUTE(SUBSTITUTE(SUBSTITUTE(SUBSTITUTE(SUBSTITUTE(SUBSTITUTE(LOWER(TRIM(E655)),"á","a"),"é","e"),"í","i"),"ó","o"),"ú","u"),"ü","u"),"ñ","n"),"à","a"),"è","e"),"ì","i"),"ò","o"),"ù","u"),"")</f>
        <v/>
      </c>
      <c r="T655" s="25">
        <f>IF(AND(Q655=1,G655&lt;&gt;""),SUBSTITUTE(SUBSTITUTE(SUBSTITUTE(SUBSTITUTE(SUBSTITUTE(SUBSTITUTE(SUBSTITUTE(SUBSTITUTE(SUBSTITUTE(SUBSTITUTE(SUBSTITUTE(SUBSTITUTE(LOWER(TRIM(G655)),"á","a"),"é","e"),"í","i"),"ó","o"),"ú","u"),"ü","u"),"ñ","n"),"à","a"),"è","e"),"ì","i"),"ò","o"),"ù","u"),"")</f>
        <v/>
      </c>
      <c r="U655" s="25">
        <f>IF(AND(Q655=1,H655&lt;&gt;""),SUBSTITUTE(SUBSTITUTE(SUBSTITUTE(SUBSTITUTE(SUBSTITUTE(SUBSTITUTE(SUBSTITUTE(SUBSTITUTE(SUBSTITUTE(SUBSTITUTE(SUBSTITUTE(SUBSTITUTE(LOWER(TRIM(H655)),"á","a"),"é","e"),"í","i"),"ó","o"),"ú","u"),"ü","u"),"ñ","n"),"à","a"),"è","e"),"ì","i"),"ò","o"),"ù","u"),"")</f>
        <v/>
      </c>
      <c r="V655" s="25">
        <f>IF(AND(Q655=1,L655&lt;&gt;""),SUBSTITUTE(SUBSTITUTE(SUBSTITUTE(SUBSTITUTE(SUBSTITUTE(SUBSTITUTE(SUBSTITUTE(SUBSTITUTE(SUBSTITUTE(SUBSTITUTE(SUBSTITUTE(SUBSTITUTE(LOWER(TRIM(L655)),"á","a"),"é","e"),"í","i"),"ó","o"),"ú","u"),"ü","u"),"ñ","n"),"à","a"),"è","e"),"ì","i"),"ò","o"),"ù","u"),"")</f>
        <v/>
      </c>
      <c r="W655" s="25">
        <f>IF(AND(Q655=1,I655&lt;&gt;""),SUBSTITUTE(SUBSTITUTE(SUBSTITUTE(SUBSTITUTE(SUBSTITUTE(SUBSTITUTE(SUBSTITUTE(SUBSTITUTE(SUBSTITUTE(SUBSTITUTE(SUBSTITUTE(SUBSTITUTE(LOWER(TRIM(I655)),"á","a"),"é","e"),"í","i"),"ó","o"),"ú","u"),"ü","u"),"ñ","n"),"à","a"),"è","e"),"ì","i"),"ò","o"),"ù","u"),"")</f>
        <v/>
      </c>
      <c r="X655" s="25">
        <f>IF(U655="","",IF(OR(U655="si, en la proxima tarea",U655="si, con cambios"),1,0))</f>
        <v/>
      </c>
      <c r="Y655" s="25">
        <f>IF(AND(Q655=1,A655&lt;&gt;""),IF(IFERROR(COUNTIFS(A$3:A655,"="&amp;SUBSTITUTE(SUBSTITUTE(SUBSTITUTE(A655,"~","~~"),"*","~*"),"?","~?"),Q$3:Q655,1),0)=1,MAX(Y$2:Y654)+1,""),"")</f>
        <v/>
      </c>
      <c r="Z655" s="25">
        <f>IF(Y655="","",COUNTIFS($A$3:$A$1002,"="&amp;SUBSTITUTE(SUBSTITUTE(SUBSTITUTE(A655,"~","~~"),"*","~*"),"?","~?"),$Q$3:$Q$1002,1)*10000-Y655)</f>
        <v/>
      </c>
    </row>
    <row r="656">
      <c r="A656">
        <f>IF(A$2=0,"",IFERROR(TRIM(INDEX('Pegar docentes'!$A$1:$BZ$1001,655,A$2)&amp;""),""))</f>
        <v/>
      </c>
      <c r="B656">
        <f>IF(B$2=0,"",IFERROR(TRIM(INDEX('Pegar docentes'!$A$1:$BZ$1001,655,B$2)&amp;""),""))</f>
        <v/>
      </c>
      <c r="C656">
        <f>IF(C$2=0,"",IFERROR(TRIM(INDEX('Pegar docentes'!$A$1:$BZ$1001,655,C$2)&amp;""),""))</f>
        <v/>
      </c>
      <c r="D656">
        <f>IF(D$2=0,"",IFERROR(TRIM(INDEX('Pegar docentes'!$A$1:$BZ$1001,655,D$2)&amp;""),""))</f>
        <v/>
      </c>
      <c r="E656">
        <f>IF(E$2=0,"",IFERROR(TRIM(INDEX('Pegar docentes'!$A$1:$BZ$1001,655,E$2)&amp;""),""))</f>
        <v/>
      </c>
      <c r="F656">
        <f>IF(F$2=0,"",IFERROR(TRIM(INDEX('Pegar docentes'!$A$1:$BZ$1001,655,F$2)&amp;""),""))</f>
        <v/>
      </c>
      <c r="G656">
        <f>IF(G$2=0,"",IFERROR(TRIM(INDEX('Pegar docentes'!$A$1:$BZ$1001,655,G$2)&amp;""),""))</f>
        <v/>
      </c>
      <c r="H656">
        <f>IF(H$2=0,"",IFERROR(TRIM(INDEX('Pegar docentes'!$A$1:$BZ$1001,655,H$2)&amp;""),""))</f>
        <v/>
      </c>
      <c r="I656">
        <f>IF(I$2=0,"",IFERROR(TRIM(INDEX('Pegar docentes'!$A$1:$BZ$1001,655,I$2)&amp;""),""))</f>
        <v/>
      </c>
      <c r="J656">
        <f>IF(J$2=0,"",IFERROR(TRIM(INDEX('Pegar docentes'!$A$1:$BZ$1001,655,J$2)&amp;""),""))</f>
        <v/>
      </c>
      <c r="K656">
        <f>IF(K$2=0,"",IFERROR(TRIM(INDEX('Pegar docentes'!$A$1:$BZ$1001,655,K$2)&amp;""),""))</f>
        <v/>
      </c>
      <c r="L656">
        <f>IF(L$2=0,"",IFERROR(TRIM(INDEX('Pegar docentes'!$A$1:$BZ$1001,655,L$2)&amp;""),""))</f>
        <v/>
      </c>
      <c r="M656">
        <f>IF(M$2=0,"",IFERROR(TRIM(INDEX('Pegar docentes'!$A$1:$BZ$1001,655,M$2)&amp;""),""))</f>
        <v/>
      </c>
      <c r="N656">
        <f>IF(N$2=0,"",IFERROR(TRIM(INDEX('Pegar docentes'!$A$1:$BZ$1001,655,N$2)&amp;""),""))</f>
        <v/>
      </c>
      <c r="O656">
        <f>IF(O$2=0,"",IFERROR(TRIM(INDEX('Pegar docentes'!$A$1:$BZ$1001,655,O$2)&amp;""),""))</f>
        <v/>
      </c>
      <c r="P656">
        <f>IF(P$2=0,"",IFERROR(TRIM(INDEX('Pegar docentes'!$A$1:$BZ$1001,655,P$2)&amp;""),""))</f>
        <v/>
      </c>
      <c r="Q656" s="25">
        <f>IF(OR(D656&lt;&gt;"",H656&lt;&gt;""),1,"")</f>
        <v/>
      </c>
      <c r="R656" s="25">
        <f>IF(Q656=1,IF(ISNUMBER(FIND("#"&amp;MID(D656,1,1)&amp;"#","#0#1#2#3#4#5#6#7#8#9#")),IF(ISNUMBER(FIND("#"&amp;MID(D656,2,1)&amp;"#","#0#1#2#3#4#5#6#7#8#9#")),IF(AND(VALUE(LEFT(D656,2))&gt;=1,VALUE(LEFT(D656,2))&lt;=5),VALUE(LEFT(D656,2)),""),IF(AND(VALUE(LEFT(D656,1))&gt;=1,VALUE(LEFT(D656,1))&lt;=5),VALUE(LEFT(D656,1)),"")),""),"")</f>
        <v/>
      </c>
      <c r="S656" s="25">
        <f>IF(AND(Q656=1,E656&lt;&gt;""),SUBSTITUTE(SUBSTITUTE(SUBSTITUTE(SUBSTITUTE(SUBSTITUTE(SUBSTITUTE(SUBSTITUTE(SUBSTITUTE(SUBSTITUTE(SUBSTITUTE(SUBSTITUTE(SUBSTITUTE(LOWER(TRIM(E656)),"á","a"),"é","e"),"í","i"),"ó","o"),"ú","u"),"ü","u"),"ñ","n"),"à","a"),"è","e"),"ì","i"),"ò","o"),"ù","u"),"")</f>
        <v/>
      </c>
      <c r="T656" s="25">
        <f>IF(AND(Q656=1,G656&lt;&gt;""),SUBSTITUTE(SUBSTITUTE(SUBSTITUTE(SUBSTITUTE(SUBSTITUTE(SUBSTITUTE(SUBSTITUTE(SUBSTITUTE(SUBSTITUTE(SUBSTITUTE(SUBSTITUTE(SUBSTITUTE(LOWER(TRIM(G656)),"á","a"),"é","e"),"í","i"),"ó","o"),"ú","u"),"ü","u"),"ñ","n"),"à","a"),"è","e"),"ì","i"),"ò","o"),"ù","u"),"")</f>
        <v/>
      </c>
      <c r="U656" s="25">
        <f>IF(AND(Q656=1,H656&lt;&gt;""),SUBSTITUTE(SUBSTITUTE(SUBSTITUTE(SUBSTITUTE(SUBSTITUTE(SUBSTITUTE(SUBSTITUTE(SUBSTITUTE(SUBSTITUTE(SUBSTITUTE(SUBSTITUTE(SUBSTITUTE(LOWER(TRIM(H656)),"á","a"),"é","e"),"í","i"),"ó","o"),"ú","u"),"ü","u"),"ñ","n"),"à","a"),"è","e"),"ì","i"),"ò","o"),"ù","u"),"")</f>
        <v/>
      </c>
      <c r="V656" s="25">
        <f>IF(AND(Q656=1,L656&lt;&gt;""),SUBSTITUTE(SUBSTITUTE(SUBSTITUTE(SUBSTITUTE(SUBSTITUTE(SUBSTITUTE(SUBSTITUTE(SUBSTITUTE(SUBSTITUTE(SUBSTITUTE(SUBSTITUTE(SUBSTITUTE(LOWER(TRIM(L656)),"á","a"),"é","e"),"í","i"),"ó","o"),"ú","u"),"ü","u"),"ñ","n"),"à","a"),"è","e"),"ì","i"),"ò","o"),"ù","u"),"")</f>
        <v/>
      </c>
      <c r="W656" s="25">
        <f>IF(AND(Q656=1,I656&lt;&gt;""),SUBSTITUTE(SUBSTITUTE(SUBSTITUTE(SUBSTITUTE(SUBSTITUTE(SUBSTITUTE(SUBSTITUTE(SUBSTITUTE(SUBSTITUTE(SUBSTITUTE(SUBSTITUTE(SUBSTITUTE(LOWER(TRIM(I656)),"á","a"),"é","e"),"í","i"),"ó","o"),"ú","u"),"ü","u"),"ñ","n"),"à","a"),"è","e"),"ì","i"),"ò","o"),"ù","u"),"")</f>
        <v/>
      </c>
      <c r="X656" s="25">
        <f>IF(U656="","",IF(OR(U656="si, en la proxima tarea",U656="si, con cambios"),1,0))</f>
        <v/>
      </c>
      <c r="Y656" s="25">
        <f>IF(AND(Q656=1,A656&lt;&gt;""),IF(IFERROR(COUNTIFS(A$3:A656,"="&amp;SUBSTITUTE(SUBSTITUTE(SUBSTITUTE(A656,"~","~~"),"*","~*"),"?","~?"),Q$3:Q656,1),0)=1,MAX(Y$2:Y655)+1,""),"")</f>
        <v/>
      </c>
      <c r="Z656" s="25">
        <f>IF(Y656="","",COUNTIFS($A$3:$A$1002,"="&amp;SUBSTITUTE(SUBSTITUTE(SUBSTITUTE(A656,"~","~~"),"*","~*"),"?","~?"),$Q$3:$Q$1002,1)*10000-Y656)</f>
        <v/>
      </c>
    </row>
    <row r="657">
      <c r="A657">
        <f>IF(A$2=0,"",IFERROR(TRIM(INDEX('Pegar docentes'!$A$1:$BZ$1001,656,A$2)&amp;""),""))</f>
        <v/>
      </c>
      <c r="B657">
        <f>IF(B$2=0,"",IFERROR(TRIM(INDEX('Pegar docentes'!$A$1:$BZ$1001,656,B$2)&amp;""),""))</f>
        <v/>
      </c>
      <c r="C657">
        <f>IF(C$2=0,"",IFERROR(TRIM(INDEX('Pegar docentes'!$A$1:$BZ$1001,656,C$2)&amp;""),""))</f>
        <v/>
      </c>
      <c r="D657">
        <f>IF(D$2=0,"",IFERROR(TRIM(INDEX('Pegar docentes'!$A$1:$BZ$1001,656,D$2)&amp;""),""))</f>
        <v/>
      </c>
      <c r="E657">
        <f>IF(E$2=0,"",IFERROR(TRIM(INDEX('Pegar docentes'!$A$1:$BZ$1001,656,E$2)&amp;""),""))</f>
        <v/>
      </c>
      <c r="F657">
        <f>IF(F$2=0,"",IFERROR(TRIM(INDEX('Pegar docentes'!$A$1:$BZ$1001,656,F$2)&amp;""),""))</f>
        <v/>
      </c>
      <c r="G657">
        <f>IF(G$2=0,"",IFERROR(TRIM(INDEX('Pegar docentes'!$A$1:$BZ$1001,656,G$2)&amp;""),""))</f>
        <v/>
      </c>
      <c r="H657">
        <f>IF(H$2=0,"",IFERROR(TRIM(INDEX('Pegar docentes'!$A$1:$BZ$1001,656,H$2)&amp;""),""))</f>
        <v/>
      </c>
      <c r="I657">
        <f>IF(I$2=0,"",IFERROR(TRIM(INDEX('Pegar docentes'!$A$1:$BZ$1001,656,I$2)&amp;""),""))</f>
        <v/>
      </c>
      <c r="J657">
        <f>IF(J$2=0,"",IFERROR(TRIM(INDEX('Pegar docentes'!$A$1:$BZ$1001,656,J$2)&amp;""),""))</f>
        <v/>
      </c>
      <c r="K657">
        <f>IF(K$2=0,"",IFERROR(TRIM(INDEX('Pegar docentes'!$A$1:$BZ$1001,656,K$2)&amp;""),""))</f>
        <v/>
      </c>
      <c r="L657">
        <f>IF(L$2=0,"",IFERROR(TRIM(INDEX('Pegar docentes'!$A$1:$BZ$1001,656,L$2)&amp;""),""))</f>
        <v/>
      </c>
      <c r="M657">
        <f>IF(M$2=0,"",IFERROR(TRIM(INDEX('Pegar docentes'!$A$1:$BZ$1001,656,M$2)&amp;""),""))</f>
        <v/>
      </c>
      <c r="N657">
        <f>IF(N$2=0,"",IFERROR(TRIM(INDEX('Pegar docentes'!$A$1:$BZ$1001,656,N$2)&amp;""),""))</f>
        <v/>
      </c>
      <c r="O657">
        <f>IF(O$2=0,"",IFERROR(TRIM(INDEX('Pegar docentes'!$A$1:$BZ$1001,656,O$2)&amp;""),""))</f>
        <v/>
      </c>
      <c r="P657">
        <f>IF(P$2=0,"",IFERROR(TRIM(INDEX('Pegar docentes'!$A$1:$BZ$1001,656,P$2)&amp;""),""))</f>
        <v/>
      </c>
      <c r="Q657" s="25">
        <f>IF(OR(D657&lt;&gt;"",H657&lt;&gt;""),1,"")</f>
        <v/>
      </c>
      <c r="R657" s="25">
        <f>IF(Q657=1,IF(ISNUMBER(FIND("#"&amp;MID(D657,1,1)&amp;"#","#0#1#2#3#4#5#6#7#8#9#")),IF(ISNUMBER(FIND("#"&amp;MID(D657,2,1)&amp;"#","#0#1#2#3#4#5#6#7#8#9#")),IF(AND(VALUE(LEFT(D657,2))&gt;=1,VALUE(LEFT(D657,2))&lt;=5),VALUE(LEFT(D657,2)),""),IF(AND(VALUE(LEFT(D657,1))&gt;=1,VALUE(LEFT(D657,1))&lt;=5),VALUE(LEFT(D657,1)),"")),""),"")</f>
        <v/>
      </c>
      <c r="S657" s="25">
        <f>IF(AND(Q657=1,E657&lt;&gt;""),SUBSTITUTE(SUBSTITUTE(SUBSTITUTE(SUBSTITUTE(SUBSTITUTE(SUBSTITUTE(SUBSTITUTE(SUBSTITUTE(SUBSTITUTE(SUBSTITUTE(SUBSTITUTE(SUBSTITUTE(LOWER(TRIM(E657)),"á","a"),"é","e"),"í","i"),"ó","o"),"ú","u"),"ü","u"),"ñ","n"),"à","a"),"è","e"),"ì","i"),"ò","o"),"ù","u"),"")</f>
        <v/>
      </c>
      <c r="T657" s="25">
        <f>IF(AND(Q657=1,G657&lt;&gt;""),SUBSTITUTE(SUBSTITUTE(SUBSTITUTE(SUBSTITUTE(SUBSTITUTE(SUBSTITUTE(SUBSTITUTE(SUBSTITUTE(SUBSTITUTE(SUBSTITUTE(SUBSTITUTE(SUBSTITUTE(LOWER(TRIM(G657)),"á","a"),"é","e"),"í","i"),"ó","o"),"ú","u"),"ü","u"),"ñ","n"),"à","a"),"è","e"),"ì","i"),"ò","o"),"ù","u"),"")</f>
        <v/>
      </c>
      <c r="U657" s="25">
        <f>IF(AND(Q657=1,H657&lt;&gt;""),SUBSTITUTE(SUBSTITUTE(SUBSTITUTE(SUBSTITUTE(SUBSTITUTE(SUBSTITUTE(SUBSTITUTE(SUBSTITUTE(SUBSTITUTE(SUBSTITUTE(SUBSTITUTE(SUBSTITUTE(LOWER(TRIM(H657)),"á","a"),"é","e"),"í","i"),"ó","o"),"ú","u"),"ü","u"),"ñ","n"),"à","a"),"è","e"),"ì","i"),"ò","o"),"ù","u"),"")</f>
        <v/>
      </c>
      <c r="V657" s="25">
        <f>IF(AND(Q657=1,L657&lt;&gt;""),SUBSTITUTE(SUBSTITUTE(SUBSTITUTE(SUBSTITUTE(SUBSTITUTE(SUBSTITUTE(SUBSTITUTE(SUBSTITUTE(SUBSTITUTE(SUBSTITUTE(SUBSTITUTE(SUBSTITUTE(LOWER(TRIM(L657)),"á","a"),"é","e"),"í","i"),"ó","o"),"ú","u"),"ü","u"),"ñ","n"),"à","a"),"è","e"),"ì","i"),"ò","o"),"ù","u"),"")</f>
        <v/>
      </c>
      <c r="W657" s="25">
        <f>IF(AND(Q657=1,I657&lt;&gt;""),SUBSTITUTE(SUBSTITUTE(SUBSTITUTE(SUBSTITUTE(SUBSTITUTE(SUBSTITUTE(SUBSTITUTE(SUBSTITUTE(SUBSTITUTE(SUBSTITUTE(SUBSTITUTE(SUBSTITUTE(LOWER(TRIM(I657)),"á","a"),"é","e"),"í","i"),"ó","o"),"ú","u"),"ü","u"),"ñ","n"),"à","a"),"è","e"),"ì","i"),"ò","o"),"ù","u"),"")</f>
        <v/>
      </c>
      <c r="X657" s="25">
        <f>IF(U657="","",IF(OR(U657="si, en la proxima tarea",U657="si, con cambios"),1,0))</f>
        <v/>
      </c>
      <c r="Y657" s="25">
        <f>IF(AND(Q657=1,A657&lt;&gt;""),IF(IFERROR(COUNTIFS(A$3:A657,"="&amp;SUBSTITUTE(SUBSTITUTE(SUBSTITUTE(A657,"~","~~"),"*","~*"),"?","~?"),Q$3:Q657,1),0)=1,MAX(Y$2:Y656)+1,""),"")</f>
        <v/>
      </c>
      <c r="Z657" s="25">
        <f>IF(Y657="","",COUNTIFS($A$3:$A$1002,"="&amp;SUBSTITUTE(SUBSTITUTE(SUBSTITUTE(A657,"~","~~"),"*","~*"),"?","~?"),$Q$3:$Q$1002,1)*10000-Y657)</f>
        <v/>
      </c>
    </row>
    <row r="658">
      <c r="A658">
        <f>IF(A$2=0,"",IFERROR(TRIM(INDEX('Pegar docentes'!$A$1:$BZ$1001,657,A$2)&amp;""),""))</f>
        <v/>
      </c>
      <c r="B658">
        <f>IF(B$2=0,"",IFERROR(TRIM(INDEX('Pegar docentes'!$A$1:$BZ$1001,657,B$2)&amp;""),""))</f>
        <v/>
      </c>
      <c r="C658">
        <f>IF(C$2=0,"",IFERROR(TRIM(INDEX('Pegar docentes'!$A$1:$BZ$1001,657,C$2)&amp;""),""))</f>
        <v/>
      </c>
      <c r="D658">
        <f>IF(D$2=0,"",IFERROR(TRIM(INDEX('Pegar docentes'!$A$1:$BZ$1001,657,D$2)&amp;""),""))</f>
        <v/>
      </c>
      <c r="E658">
        <f>IF(E$2=0,"",IFERROR(TRIM(INDEX('Pegar docentes'!$A$1:$BZ$1001,657,E$2)&amp;""),""))</f>
        <v/>
      </c>
      <c r="F658">
        <f>IF(F$2=0,"",IFERROR(TRIM(INDEX('Pegar docentes'!$A$1:$BZ$1001,657,F$2)&amp;""),""))</f>
        <v/>
      </c>
      <c r="G658">
        <f>IF(G$2=0,"",IFERROR(TRIM(INDEX('Pegar docentes'!$A$1:$BZ$1001,657,G$2)&amp;""),""))</f>
        <v/>
      </c>
      <c r="H658">
        <f>IF(H$2=0,"",IFERROR(TRIM(INDEX('Pegar docentes'!$A$1:$BZ$1001,657,H$2)&amp;""),""))</f>
        <v/>
      </c>
      <c r="I658">
        <f>IF(I$2=0,"",IFERROR(TRIM(INDEX('Pegar docentes'!$A$1:$BZ$1001,657,I$2)&amp;""),""))</f>
        <v/>
      </c>
      <c r="J658">
        <f>IF(J$2=0,"",IFERROR(TRIM(INDEX('Pegar docentes'!$A$1:$BZ$1001,657,J$2)&amp;""),""))</f>
        <v/>
      </c>
      <c r="K658">
        <f>IF(K$2=0,"",IFERROR(TRIM(INDEX('Pegar docentes'!$A$1:$BZ$1001,657,K$2)&amp;""),""))</f>
        <v/>
      </c>
      <c r="L658">
        <f>IF(L$2=0,"",IFERROR(TRIM(INDEX('Pegar docentes'!$A$1:$BZ$1001,657,L$2)&amp;""),""))</f>
        <v/>
      </c>
      <c r="M658">
        <f>IF(M$2=0,"",IFERROR(TRIM(INDEX('Pegar docentes'!$A$1:$BZ$1001,657,M$2)&amp;""),""))</f>
        <v/>
      </c>
      <c r="N658">
        <f>IF(N$2=0,"",IFERROR(TRIM(INDEX('Pegar docentes'!$A$1:$BZ$1001,657,N$2)&amp;""),""))</f>
        <v/>
      </c>
      <c r="O658">
        <f>IF(O$2=0,"",IFERROR(TRIM(INDEX('Pegar docentes'!$A$1:$BZ$1001,657,O$2)&amp;""),""))</f>
        <v/>
      </c>
      <c r="P658">
        <f>IF(P$2=0,"",IFERROR(TRIM(INDEX('Pegar docentes'!$A$1:$BZ$1001,657,P$2)&amp;""),""))</f>
        <v/>
      </c>
      <c r="Q658" s="25">
        <f>IF(OR(D658&lt;&gt;"",H658&lt;&gt;""),1,"")</f>
        <v/>
      </c>
      <c r="R658" s="25">
        <f>IF(Q658=1,IF(ISNUMBER(FIND("#"&amp;MID(D658,1,1)&amp;"#","#0#1#2#3#4#5#6#7#8#9#")),IF(ISNUMBER(FIND("#"&amp;MID(D658,2,1)&amp;"#","#0#1#2#3#4#5#6#7#8#9#")),IF(AND(VALUE(LEFT(D658,2))&gt;=1,VALUE(LEFT(D658,2))&lt;=5),VALUE(LEFT(D658,2)),""),IF(AND(VALUE(LEFT(D658,1))&gt;=1,VALUE(LEFT(D658,1))&lt;=5),VALUE(LEFT(D658,1)),"")),""),"")</f>
        <v/>
      </c>
      <c r="S658" s="25">
        <f>IF(AND(Q658=1,E658&lt;&gt;""),SUBSTITUTE(SUBSTITUTE(SUBSTITUTE(SUBSTITUTE(SUBSTITUTE(SUBSTITUTE(SUBSTITUTE(SUBSTITUTE(SUBSTITUTE(SUBSTITUTE(SUBSTITUTE(SUBSTITUTE(LOWER(TRIM(E658)),"á","a"),"é","e"),"í","i"),"ó","o"),"ú","u"),"ü","u"),"ñ","n"),"à","a"),"è","e"),"ì","i"),"ò","o"),"ù","u"),"")</f>
        <v/>
      </c>
      <c r="T658" s="25">
        <f>IF(AND(Q658=1,G658&lt;&gt;""),SUBSTITUTE(SUBSTITUTE(SUBSTITUTE(SUBSTITUTE(SUBSTITUTE(SUBSTITUTE(SUBSTITUTE(SUBSTITUTE(SUBSTITUTE(SUBSTITUTE(SUBSTITUTE(SUBSTITUTE(LOWER(TRIM(G658)),"á","a"),"é","e"),"í","i"),"ó","o"),"ú","u"),"ü","u"),"ñ","n"),"à","a"),"è","e"),"ì","i"),"ò","o"),"ù","u"),"")</f>
        <v/>
      </c>
      <c r="U658" s="25">
        <f>IF(AND(Q658=1,H658&lt;&gt;""),SUBSTITUTE(SUBSTITUTE(SUBSTITUTE(SUBSTITUTE(SUBSTITUTE(SUBSTITUTE(SUBSTITUTE(SUBSTITUTE(SUBSTITUTE(SUBSTITUTE(SUBSTITUTE(SUBSTITUTE(LOWER(TRIM(H658)),"á","a"),"é","e"),"í","i"),"ó","o"),"ú","u"),"ü","u"),"ñ","n"),"à","a"),"è","e"),"ì","i"),"ò","o"),"ù","u"),"")</f>
        <v/>
      </c>
      <c r="V658" s="25">
        <f>IF(AND(Q658=1,L658&lt;&gt;""),SUBSTITUTE(SUBSTITUTE(SUBSTITUTE(SUBSTITUTE(SUBSTITUTE(SUBSTITUTE(SUBSTITUTE(SUBSTITUTE(SUBSTITUTE(SUBSTITUTE(SUBSTITUTE(SUBSTITUTE(LOWER(TRIM(L658)),"á","a"),"é","e"),"í","i"),"ó","o"),"ú","u"),"ü","u"),"ñ","n"),"à","a"),"è","e"),"ì","i"),"ò","o"),"ù","u"),"")</f>
        <v/>
      </c>
      <c r="W658" s="25">
        <f>IF(AND(Q658=1,I658&lt;&gt;""),SUBSTITUTE(SUBSTITUTE(SUBSTITUTE(SUBSTITUTE(SUBSTITUTE(SUBSTITUTE(SUBSTITUTE(SUBSTITUTE(SUBSTITUTE(SUBSTITUTE(SUBSTITUTE(SUBSTITUTE(LOWER(TRIM(I658)),"á","a"),"é","e"),"í","i"),"ó","o"),"ú","u"),"ü","u"),"ñ","n"),"à","a"),"è","e"),"ì","i"),"ò","o"),"ù","u"),"")</f>
        <v/>
      </c>
      <c r="X658" s="25">
        <f>IF(U658="","",IF(OR(U658="si, en la proxima tarea",U658="si, con cambios"),1,0))</f>
        <v/>
      </c>
      <c r="Y658" s="25">
        <f>IF(AND(Q658=1,A658&lt;&gt;""),IF(IFERROR(COUNTIFS(A$3:A658,"="&amp;SUBSTITUTE(SUBSTITUTE(SUBSTITUTE(A658,"~","~~"),"*","~*"),"?","~?"),Q$3:Q658,1),0)=1,MAX(Y$2:Y657)+1,""),"")</f>
        <v/>
      </c>
      <c r="Z658" s="25">
        <f>IF(Y658="","",COUNTIFS($A$3:$A$1002,"="&amp;SUBSTITUTE(SUBSTITUTE(SUBSTITUTE(A658,"~","~~"),"*","~*"),"?","~?"),$Q$3:$Q$1002,1)*10000-Y658)</f>
        <v/>
      </c>
    </row>
    <row r="659">
      <c r="A659">
        <f>IF(A$2=0,"",IFERROR(TRIM(INDEX('Pegar docentes'!$A$1:$BZ$1001,658,A$2)&amp;""),""))</f>
        <v/>
      </c>
      <c r="B659">
        <f>IF(B$2=0,"",IFERROR(TRIM(INDEX('Pegar docentes'!$A$1:$BZ$1001,658,B$2)&amp;""),""))</f>
        <v/>
      </c>
      <c r="C659">
        <f>IF(C$2=0,"",IFERROR(TRIM(INDEX('Pegar docentes'!$A$1:$BZ$1001,658,C$2)&amp;""),""))</f>
        <v/>
      </c>
      <c r="D659">
        <f>IF(D$2=0,"",IFERROR(TRIM(INDEX('Pegar docentes'!$A$1:$BZ$1001,658,D$2)&amp;""),""))</f>
        <v/>
      </c>
      <c r="E659">
        <f>IF(E$2=0,"",IFERROR(TRIM(INDEX('Pegar docentes'!$A$1:$BZ$1001,658,E$2)&amp;""),""))</f>
        <v/>
      </c>
      <c r="F659">
        <f>IF(F$2=0,"",IFERROR(TRIM(INDEX('Pegar docentes'!$A$1:$BZ$1001,658,F$2)&amp;""),""))</f>
        <v/>
      </c>
      <c r="G659">
        <f>IF(G$2=0,"",IFERROR(TRIM(INDEX('Pegar docentes'!$A$1:$BZ$1001,658,G$2)&amp;""),""))</f>
        <v/>
      </c>
      <c r="H659">
        <f>IF(H$2=0,"",IFERROR(TRIM(INDEX('Pegar docentes'!$A$1:$BZ$1001,658,H$2)&amp;""),""))</f>
        <v/>
      </c>
      <c r="I659">
        <f>IF(I$2=0,"",IFERROR(TRIM(INDEX('Pegar docentes'!$A$1:$BZ$1001,658,I$2)&amp;""),""))</f>
        <v/>
      </c>
      <c r="J659">
        <f>IF(J$2=0,"",IFERROR(TRIM(INDEX('Pegar docentes'!$A$1:$BZ$1001,658,J$2)&amp;""),""))</f>
        <v/>
      </c>
      <c r="K659">
        <f>IF(K$2=0,"",IFERROR(TRIM(INDEX('Pegar docentes'!$A$1:$BZ$1001,658,K$2)&amp;""),""))</f>
        <v/>
      </c>
      <c r="L659">
        <f>IF(L$2=0,"",IFERROR(TRIM(INDEX('Pegar docentes'!$A$1:$BZ$1001,658,L$2)&amp;""),""))</f>
        <v/>
      </c>
      <c r="M659">
        <f>IF(M$2=0,"",IFERROR(TRIM(INDEX('Pegar docentes'!$A$1:$BZ$1001,658,M$2)&amp;""),""))</f>
        <v/>
      </c>
      <c r="N659">
        <f>IF(N$2=0,"",IFERROR(TRIM(INDEX('Pegar docentes'!$A$1:$BZ$1001,658,N$2)&amp;""),""))</f>
        <v/>
      </c>
      <c r="O659">
        <f>IF(O$2=0,"",IFERROR(TRIM(INDEX('Pegar docentes'!$A$1:$BZ$1001,658,O$2)&amp;""),""))</f>
        <v/>
      </c>
      <c r="P659">
        <f>IF(P$2=0,"",IFERROR(TRIM(INDEX('Pegar docentes'!$A$1:$BZ$1001,658,P$2)&amp;""),""))</f>
        <v/>
      </c>
      <c r="Q659" s="25">
        <f>IF(OR(D659&lt;&gt;"",H659&lt;&gt;""),1,"")</f>
        <v/>
      </c>
      <c r="R659" s="25">
        <f>IF(Q659=1,IF(ISNUMBER(FIND("#"&amp;MID(D659,1,1)&amp;"#","#0#1#2#3#4#5#6#7#8#9#")),IF(ISNUMBER(FIND("#"&amp;MID(D659,2,1)&amp;"#","#0#1#2#3#4#5#6#7#8#9#")),IF(AND(VALUE(LEFT(D659,2))&gt;=1,VALUE(LEFT(D659,2))&lt;=5),VALUE(LEFT(D659,2)),""),IF(AND(VALUE(LEFT(D659,1))&gt;=1,VALUE(LEFT(D659,1))&lt;=5),VALUE(LEFT(D659,1)),"")),""),"")</f>
        <v/>
      </c>
      <c r="S659" s="25">
        <f>IF(AND(Q659=1,E659&lt;&gt;""),SUBSTITUTE(SUBSTITUTE(SUBSTITUTE(SUBSTITUTE(SUBSTITUTE(SUBSTITUTE(SUBSTITUTE(SUBSTITUTE(SUBSTITUTE(SUBSTITUTE(SUBSTITUTE(SUBSTITUTE(LOWER(TRIM(E659)),"á","a"),"é","e"),"í","i"),"ó","o"),"ú","u"),"ü","u"),"ñ","n"),"à","a"),"è","e"),"ì","i"),"ò","o"),"ù","u"),"")</f>
        <v/>
      </c>
      <c r="T659" s="25">
        <f>IF(AND(Q659=1,G659&lt;&gt;""),SUBSTITUTE(SUBSTITUTE(SUBSTITUTE(SUBSTITUTE(SUBSTITUTE(SUBSTITUTE(SUBSTITUTE(SUBSTITUTE(SUBSTITUTE(SUBSTITUTE(SUBSTITUTE(SUBSTITUTE(LOWER(TRIM(G659)),"á","a"),"é","e"),"í","i"),"ó","o"),"ú","u"),"ü","u"),"ñ","n"),"à","a"),"è","e"),"ì","i"),"ò","o"),"ù","u"),"")</f>
        <v/>
      </c>
      <c r="U659" s="25">
        <f>IF(AND(Q659=1,H659&lt;&gt;""),SUBSTITUTE(SUBSTITUTE(SUBSTITUTE(SUBSTITUTE(SUBSTITUTE(SUBSTITUTE(SUBSTITUTE(SUBSTITUTE(SUBSTITUTE(SUBSTITUTE(SUBSTITUTE(SUBSTITUTE(LOWER(TRIM(H659)),"á","a"),"é","e"),"í","i"),"ó","o"),"ú","u"),"ü","u"),"ñ","n"),"à","a"),"è","e"),"ì","i"),"ò","o"),"ù","u"),"")</f>
        <v/>
      </c>
      <c r="V659" s="25">
        <f>IF(AND(Q659=1,L659&lt;&gt;""),SUBSTITUTE(SUBSTITUTE(SUBSTITUTE(SUBSTITUTE(SUBSTITUTE(SUBSTITUTE(SUBSTITUTE(SUBSTITUTE(SUBSTITUTE(SUBSTITUTE(SUBSTITUTE(SUBSTITUTE(LOWER(TRIM(L659)),"á","a"),"é","e"),"í","i"),"ó","o"),"ú","u"),"ü","u"),"ñ","n"),"à","a"),"è","e"),"ì","i"),"ò","o"),"ù","u"),"")</f>
        <v/>
      </c>
      <c r="W659" s="25">
        <f>IF(AND(Q659=1,I659&lt;&gt;""),SUBSTITUTE(SUBSTITUTE(SUBSTITUTE(SUBSTITUTE(SUBSTITUTE(SUBSTITUTE(SUBSTITUTE(SUBSTITUTE(SUBSTITUTE(SUBSTITUTE(SUBSTITUTE(SUBSTITUTE(LOWER(TRIM(I659)),"á","a"),"é","e"),"í","i"),"ó","o"),"ú","u"),"ü","u"),"ñ","n"),"à","a"),"è","e"),"ì","i"),"ò","o"),"ù","u"),"")</f>
        <v/>
      </c>
      <c r="X659" s="25">
        <f>IF(U659="","",IF(OR(U659="si, en la proxima tarea",U659="si, con cambios"),1,0))</f>
        <v/>
      </c>
      <c r="Y659" s="25">
        <f>IF(AND(Q659=1,A659&lt;&gt;""),IF(IFERROR(COUNTIFS(A$3:A659,"="&amp;SUBSTITUTE(SUBSTITUTE(SUBSTITUTE(A659,"~","~~"),"*","~*"),"?","~?"),Q$3:Q659,1),0)=1,MAX(Y$2:Y658)+1,""),"")</f>
        <v/>
      </c>
      <c r="Z659" s="25">
        <f>IF(Y659="","",COUNTIFS($A$3:$A$1002,"="&amp;SUBSTITUTE(SUBSTITUTE(SUBSTITUTE(A659,"~","~~"),"*","~*"),"?","~?"),$Q$3:$Q$1002,1)*10000-Y659)</f>
        <v/>
      </c>
    </row>
    <row r="660">
      <c r="A660">
        <f>IF(A$2=0,"",IFERROR(TRIM(INDEX('Pegar docentes'!$A$1:$BZ$1001,659,A$2)&amp;""),""))</f>
        <v/>
      </c>
      <c r="B660">
        <f>IF(B$2=0,"",IFERROR(TRIM(INDEX('Pegar docentes'!$A$1:$BZ$1001,659,B$2)&amp;""),""))</f>
        <v/>
      </c>
      <c r="C660">
        <f>IF(C$2=0,"",IFERROR(TRIM(INDEX('Pegar docentes'!$A$1:$BZ$1001,659,C$2)&amp;""),""))</f>
        <v/>
      </c>
      <c r="D660">
        <f>IF(D$2=0,"",IFERROR(TRIM(INDEX('Pegar docentes'!$A$1:$BZ$1001,659,D$2)&amp;""),""))</f>
        <v/>
      </c>
      <c r="E660">
        <f>IF(E$2=0,"",IFERROR(TRIM(INDEX('Pegar docentes'!$A$1:$BZ$1001,659,E$2)&amp;""),""))</f>
        <v/>
      </c>
      <c r="F660">
        <f>IF(F$2=0,"",IFERROR(TRIM(INDEX('Pegar docentes'!$A$1:$BZ$1001,659,F$2)&amp;""),""))</f>
        <v/>
      </c>
      <c r="G660">
        <f>IF(G$2=0,"",IFERROR(TRIM(INDEX('Pegar docentes'!$A$1:$BZ$1001,659,G$2)&amp;""),""))</f>
        <v/>
      </c>
      <c r="H660">
        <f>IF(H$2=0,"",IFERROR(TRIM(INDEX('Pegar docentes'!$A$1:$BZ$1001,659,H$2)&amp;""),""))</f>
        <v/>
      </c>
      <c r="I660">
        <f>IF(I$2=0,"",IFERROR(TRIM(INDEX('Pegar docentes'!$A$1:$BZ$1001,659,I$2)&amp;""),""))</f>
        <v/>
      </c>
      <c r="J660">
        <f>IF(J$2=0,"",IFERROR(TRIM(INDEX('Pegar docentes'!$A$1:$BZ$1001,659,J$2)&amp;""),""))</f>
        <v/>
      </c>
      <c r="K660">
        <f>IF(K$2=0,"",IFERROR(TRIM(INDEX('Pegar docentes'!$A$1:$BZ$1001,659,K$2)&amp;""),""))</f>
        <v/>
      </c>
      <c r="L660">
        <f>IF(L$2=0,"",IFERROR(TRIM(INDEX('Pegar docentes'!$A$1:$BZ$1001,659,L$2)&amp;""),""))</f>
        <v/>
      </c>
      <c r="M660">
        <f>IF(M$2=0,"",IFERROR(TRIM(INDEX('Pegar docentes'!$A$1:$BZ$1001,659,M$2)&amp;""),""))</f>
        <v/>
      </c>
      <c r="N660">
        <f>IF(N$2=0,"",IFERROR(TRIM(INDEX('Pegar docentes'!$A$1:$BZ$1001,659,N$2)&amp;""),""))</f>
        <v/>
      </c>
      <c r="O660">
        <f>IF(O$2=0,"",IFERROR(TRIM(INDEX('Pegar docentes'!$A$1:$BZ$1001,659,O$2)&amp;""),""))</f>
        <v/>
      </c>
      <c r="P660">
        <f>IF(P$2=0,"",IFERROR(TRIM(INDEX('Pegar docentes'!$A$1:$BZ$1001,659,P$2)&amp;""),""))</f>
        <v/>
      </c>
      <c r="Q660" s="25">
        <f>IF(OR(D660&lt;&gt;"",H660&lt;&gt;""),1,"")</f>
        <v/>
      </c>
      <c r="R660" s="25">
        <f>IF(Q660=1,IF(ISNUMBER(FIND("#"&amp;MID(D660,1,1)&amp;"#","#0#1#2#3#4#5#6#7#8#9#")),IF(ISNUMBER(FIND("#"&amp;MID(D660,2,1)&amp;"#","#0#1#2#3#4#5#6#7#8#9#")),IF(AND(VALUE(LEFT(D660,2))&gt;=1,VALUE(LEFT(D660,2))&lt;=5),VALUE(LEFT(D660,2)),""),IF(AND(VALUE(LEFT(D660,1))&gt;=1,VALUE(LEFT(D660,1))&lt;=5),VALUE(LEFT(D660,1)),"")),""),"")</f>
        <v/>
      </c>
      <c r="S660" s="25">
        <f>IF(AND(Q660=1,E660&lt;&gt;""),SUBSTITUTE(SUBSTITUTE(SUBSTITUTE(SUBSTITUTE(SUBSTITUTE(SUBSTITUTE(SUBSTITUTE(SUBSTITUTE(SUBSTITUTE(SUBSTITUTE(SUBSTITUTE(SUBSTITUTE(LOWER(TRIM(E660)),"á","a"),"é","e"),"í","i"),"ó","o"),"ú","u"),"ü","u"),"ñ","n"),"à","a"),"è","e"),"ì","i"),"ò","o"),"ù","u"),"")</f>
        <v/>
      </c>
      <c r="T660" s="25">
        <f>IF(AND(Q660=1,G660&lt;&gt;""),SUBSTITUTE(SUBSTITUTE(SUBSTITUTE(SUBSTITUTE(SUBSTITUTE(SUBSTITUTE(SUBSTITUTE(SUBSTITUTE(SUBSTITUTE(SUBSTITUTE(SUBSTITUTE(SUBSTITUTE(LOWER(TRIM(G660)),"á","a"),"é","e"),"í","i"),"ó","o"),"ú","u"),"ü","u"),"ñ","n"),"à","a"),"è","e"),"ì","i"),"ò","o"),"ù","u"),"")</f>
        <v/>
      </c>
      <c r="U660" s="25">
        <f>IF(AND(Q660=1,H660&lt;&gt;""),SUBSTITUTE(SUBSTITUTE(SUBSTITUTE(SUBSTITUTE(SUBSTITUTE(SUBSTITUTE(SUBSTITUTE(SUBSTITUTE(SUBSTITUTE(SUBSTITUTE(SUBSTITUTE(SUBSTITUTE(LOWER(TRIM(H660)),"á","a"),"é","e"),"í","i"),"ó","o"),"ú","u"),"ü","u"),"ñ","n"),"à","a"),"è","e"),"ì","i"),"ò","o"),"ù","u"),"")</f>
        <v/>
      </c>
      <c r="V660" s="25">
        <f>IF(AND(Q660=1,L660&lt;&gt;""),SUBSTITUTE(SUBSTITUTE(SUBSTITUTE(SUBSTITUTE(SUBSTITUTE(SUBSTITUTE(SUBSTITUTE(SUBSTITUTE(SUBSTITUTE(SUBSTITUTE(SUBSTITUTE(SUBSTITUTE(LOWER(TRIM(L660)),"á","a"),"é","e"),"í","i"),"ó","o"),"ú","u"),"ü","u"),"ñ","n"),"à","a"),"è","e"),"ì","i"),"ò","o"),"ù","u"),"")</f>
        <v/>
      </c>
      <c r="W660" s="25">
        <f>IF(AND(Q660=1,I660&lt;&gt;""),SUBSTITUTE(SUBSTITUTE(SUBSTITUTE(SUBSTITUTE(SUBSTITUTE(SUBSTITUTE(SUBSTITUTE(SUBSTITUTE(SUBSTITUTE(SUBSTITUTE(SUBSTITUTE(SUBSTITUTE(LOWER(TRIM(I660)),"á","a"),"é","e"),"í","i"),"ó","o"),"ú","u"),"ü","u"),"ñ","n"),"à","a"),"è","e"),"ì","i"),"ò","o"),"ù","u"),"")</f>
        <v/>
      </c>
      <c r="X660" s="25">
        <f>IF(U660="","",IF(OR(U660="si, en la proxima tarea",U660="si, con cambios"),1,0))</f>
        <v/>
      </c>
      <c r="Y660" s="25">
        <f>IF(AND(Q660=1,A660&lt;&gt;""),IF(IFERROR(COUNTIFS(A$3:A660,"="&amp;SUBSTITUTE(SUBSTITUTE(SUBSTITUTE(A660,"~","~~"),"*","~*"),"?","~?"),Q$3:Q660,1),0)=1,MAX(Y$2:Y659)+1,""),"")</f>
        <v/>
      </c>
      <c r="Z660" s="25">
        <f>IF(Y660="","",COUNTIFS($A$3:$A$1002,"="&amp;SUBSTITUTE(SUBSTITUTE(SUBSTITUTE(A660,"~","~~"),"*","~*"),"?","~?"),$Q$3:$Q$1002,1)*10000-Y660)</f>
        <v/>
      </c>
    </row>
    <row r="661">
      <c r="A661">
        <f>IF(A$2=0,"",IFERROR(TRIM(INDEX('Pegar docentes'!$A$1:$BZ$1001,660,A$2)&amp;""),""))</f>
        <v/>
      </c>
      <c r="B661">
        <f>IF(B$2=0,"",IFERROR(TRIM(INDEX('Pegar docentes'!$A$1:$BZ$1001,660,B$2)&amp;""),""))</f>
        <v/>
      </c>
      <c r="C661">
        <f>IF(C$2=0,"",IFERROR(TRIM(INDEX('Pegar docentes'!$A$1:$BZ$1001,660,C$2)&amp;""),""))</f>
        <v/>
      </c>
      <c r="D661">
        <f>IF(D$2=0,"",IFERROR(TRIM(INDEX('Pegar docentes'!$A$1:$BZ$1001,660,D$2)&amp;""),""))</f>
        <v/>
      </c>
      <c r="E661">
        <f>IF(E$2=0,"",IFERROR(TRIM(INDEX('Pegar docentes'!$A$1:$BZ$1001,660,E$2)&amp;""),""))</f>
        <v/>
      </c>
      <c r="F661">
        <f>IF(F$2=0,"",IFERROR(TRIM(INDEX('Pegar docentes'!$A$1:$BZ$1001,660,F$2)&amp;""),""))</f>
        <v/>
      </c>
      <c r="G661">
        <f>IF(G$2=0,"",IFERROR(TRIM(INDEX('Pegar docentes'!$A$1:$BZ$1001,660,G$2)&amp;""),""))</f>
        <v/>
      </c>
      <c r="H661">
        <f>IF(H$2=0,"",IFERROR(TRIM(INDEX('Pegar docentes'!$A$1:$BZ$1001,660,H$2)&amp;""),""))</f>
        <v/>
      </c>
      <c r="I661">
        <f>IF(I$2=0,"",IFERROR(TRIM(INDEX('Pegar docentes'!$A$1:$BZ$1001,660,I$2)&amp;""),""))</f>
        <v/>
      </c>
      <c r="J661">
        <f>IF(J$2=0,"",IFERROR(TRIM(INDEX('Pegar docentes'!$A$1:$BZ$1001,660,J$2)&amp;""),""))</f>
        <v/>
      </c>
      <c r="K661">
        <f>IF(K$2=0,"",IFERROR(TRIM(INDEX('Pegar docentes'!$A$1:$BZ$1001,660,K$2)&amp;""),""))</f>
        <v/>
      </c>
      <c r="L661">
        <f>IF(L$2=0,"",IFERROR(TRIM(INDEX('Pegar docentes'!$A$1:$BZ$1001,660,L$2)&amp;""),""))</f>
        <v/>
      </c>
      <c r="M661">
        <f>IF(M$2=0,"",IFERROR(TRIM(INDEX('Pegar docentes'!$A$1:$BZ$1001,660,M$2)&amp;""),""))</f>
        <v/>
      </c>
      <c r="N661">
        <f>IF(N$2=0,"",IFERROR(TRIM(INDEX('Pegar docentes'!$A$1:$BZ$1001,660,N$2)&amp;""),""))</f>
        <v/>
      </c>
      <c r="O661">
        <f>IF(O$2=0,"",IFERROR(TRIM(INDEX('Pegar docentes'!$A$1:$BZ$1001,660,O$2)&amp;""),""))</f>
        <v/>
      </c>
      <c r="P661">
        <f>IF(P$2=0,"",IFERROR(TRIM(INDEX('Pegar docentes'!$A$1:$BZ$1001,660,P$2)&amp;""),""))</f>
        <v/>
      </c>
      <c r="Q661" s="25">
        <f>IF(OR(D661&lt;&gt;"",H661&lt;&gt;""),1,"")</f>
        <v/>
      </c>
      <c r="R661" s="25">
        <f>IF(Q661=1,IF(ISNUMBER(FIND("#"&amp;MID(D661,1,1)&amp;"#","#0#1#2#3#4#5#6#7#8#9#")),IF(ISNUMBER(FIND("#"&amp;MID(D661,2,1)&amp;"#","#0#1#2#3#4#5#6#7#8#9#")),IF(AND(VALUE(LEFT(D661,2))&gt;=1,VALUE(LEFT(D661,2))&lt;=5),VALUE(LEFT(D661,2)),""),IF(AND(VALUE(LEFT(D661,1))&gt;=1,VALUE(LEFT(D661,1))&lt;=5),VALUE(LEFT(D661,1)),"")),""),"")</f>
        <v/>
      </c>
      <c r="S661" s="25">
        <f>IF(AND(Q661=1,E661&lt;&gt;""),SUBSTITUTE(SUBSTITUTE(SUBSTITUTE(SUBSTITUTE(SUBSTITUTE(SUBSTITUTE(SUBSTITUTE(SUBSTITUTE(SUBSTITUTE(SUBSTITUTE(SUBSTITUTE(SUBSTITUTE(LOWER(TRIM(E661)),"á","a"),"é","e"),"í","i"),"ó","o"),"ú","u"),"ü","u"),"ñ","n"),"à","a"),"è","e"),"ì","i"),"ò","o"),"ù","u"),"")</f>
        <v/>
      </c>
      <c r="T661" s="25">
        <f>IF(AND(Q661=1,G661&lt;&gt;""),SUBSTITUTE(SUBSTITUTE(SUBSTITUTE(SUBSTITUTE(SUBSTITUTE(SUBSTITUTE(SUBSTITUTE(SUBSTITUTE(SUBSTITUTE(SUBSTITUTE(SUBSTITUTE(SUBSTITUTE(LOWER(TRIM(G661)),"á","a"),"é","e"),"í","i"),"ó","o"),"ú","u"),"ü","u"),"ñ","n"),"à","a"),"è","e"),"ì","i"),"ò","o"),"ù","u"),"")</f>
        <v/>
      </c>
      <c r="U661" s="25">
        <f>IF(AND(Q661=1,H661&lt;&gt;""),SUBSTITUTE(SUBSTITUTE(SUBSTITUTE(SUBSTITUTE(SUBSTITUTE(SUBSTITUTE(SUBSTITUTE(SUBSTITUTE(SUBSTITUTE(SUBSTITUTE(SUBSTITUTE(SUBSTITUTE(LOWER(TRIM(H661)),"á","a"),"é","e"),"í","i"),"ó","o"),"ú","u"),"ü","u"),"ñ","n"),"à","a"),"è","e"),"ì","i"),"ò","o"),"ù","u"),"")</f>
        <v/>
      </c>
      <c r="V661" s="25">
        <f>IF(AND(Q661=1,L661&lt;&gt;""),SUBSTITUTE(SUBSTITUTE(SUBSTITUTE(SUBSTITUTE(SUBSTITUTE(SUBSTITUTE(SUBSTITUTE(SUBSTITUTE(SUBSTITUTE(SUBSTITUTE(SUBSTITUTE(SUBSTITUTE(LOWER(TRIM(L661)),"á","a"),"é","e"),"í","i"),"ó","o"),"ú","u"),"ü","u"),"ñ","n"),"à","a"),"è","e"),"ì","i"),"ò","o"),"ù","u"),"")</f>
        <v/>
      </c>
      <c r="W661" s="25">
        <f>IF(AND(Q661=1,I661&lt;&gt;""),SUBSTITUTE(SUBSTITUTE(SUBSTITUTE(SUBSTITUTE(SUBSTITUTE(SUBSTITUTE(SUBSTITUTE(SUBSTITUTE(SUBSTITUTE(SUBSTITUTE(SUBSTITUTE(SUBSTITUTE(LOWER(TRIM(I661)),"á","a"),"é","e"),"í","i"),"ó","o"),"ú","u"),"ü","u"),"ñ","n"),"à","a"),"è","e"),"ì","i"),"ò","o"),"ù","u"),"")</f>
        <v/>
      </c>
      <c r="X661" s="25">
        <f>IF(U661="","",IF(OR(U661="si, en la proxima tarea",U661="si, con cambios"),1,0))</f>
        <v/>
      </c>
      <c r="Y661" s="25">
        <f>IF(AND(Q661=1,A661&lt;&gt;""),IF(IFERROR(COUNTIFS(A$3:A661,"="&amp;SUBSTITUTE(SUBSTITUTE(SUBSTITUTE(A661,"~","~~"),"*","~*"),"?","~?"),Q$3:Q661,1),0)=1,MAX(Y$2:Y660)+1,""),"")</f>
        <v/>
      </c>
      <c r="Z661" s="25">
        <f>IF(Y661="","",COUNTIFS($A$3:$A$1002,"="&amp;SUBSTITUTE(SUBSTITUTE(SUBSTITUTE(A661,"~","~~"),"*","~*"),"?","~?"),$Q$3:$Q$1002,1)*10000-Y661)</f>
        <v/>
      </c>
    </row>
    <row r="662">
      <c r="A662">
        <f>IF(A$2=0,"",IFERROR(TRIM(INDEX('Pegar docentes'!$A$1:$BZ$1001,661,A$2)&amp;""),""))</f>
        <v/>
      </c>
      <c r="B662">
        <f>IF(B$2=0,"",IFERROR(TRIM(INDEX('Pegar docentes'!$A$1:$BZ$1001,661,B$2)&amp;""),""))</f>
        <v/>
      </c>
      <c r="C662">
        <f>IF(C$2=0,"",IFERROR(TRIM(INDEX('Pegar docentes'!$A$1:$BZ$1001,661,C$2)&amp;""),""))</f>
        <v/>
      </c>
      <c r="D662">
        <f>IF(D$2=0,"",IFERROR(TRIM(INDEX('Pegar docentes'!$A$1:$BZ$1001,661,D$2)&amp;""),""))</f>
        <v/>
      </c>
      <c r="E662">
        <f>IF(E$2=0,"",IFERROR(TRIM(INDEX('Pegar docentes'!$A$1:$BZ$1001,661,E$2)&amp;""),""))</f>
        <v/>
      </c>
      <c r="F662">
        <f>IF(F$2=0,"",IFERROR(TRIM(INDEX('Pegar docentes'!$A$1:$BZ$1001,661,F$2)&amp;""),""))</f>
        <v/>
      </c>
      <c r="G662">
        <f>IF(G$2=0,"",IFERROR(TRIM(INDEX('Pegar docentes'!$A$1:$BZ$1001,661,G$2)&amp;""),""))</f>
        <v/>
      </c>
      <c r="H662">
        <f>IF(H$2=0,"",IFERROR(TRIM(INDEX('Pegar docentes'!$A$1:$BZ$1001,661,H$2)&amp;""),""))</f>
        <v/>
      </c>
      <c r="I662">
        <f>IF(I$2=0,"",IFERROR(TRIM(INDEX('Pegar docentes'!$A$1:$BZ$1001,661,I$2)&amp;""),""))</f>
        <v/>
      </c>
      <c r="J662">
        <f>IF(J$2=0,"",IFERROR(TRIM(INDEX('Pegar docentes'!$A$1:$BZ$1001,661,J$2)&amp;""),""))</f>
        <v/>
      </c>
      <c r="K662">
        <f>IF(K$2=0,"",IFERROR(TRIM(INDEX('Pegar docentes'!$A$1:$BZ$1001,661,K$2)&amp;""),""))</f>
        <v/>
      </c>
      <c r="L662">
        <f>IF(L$2=0,"",IFERROR(TRIM(INDEX('Pegar docentes'!$A$1:$BZ$1001,661,L$2)&amp;""),""))</f>
        <v/>
      </c>
      <c r="M662">
        <f>IF(M$2=0,"",IFERROR(TRIM(INDEX('Pegar docentes'!$A$1:$BZ$1001,661,M$2)&amp;""),""))</f>
        <v/>
      </c>
      <c r="N662">
        <f>IF(N$2=0,"",IFERROR(TRIM(INDEX('Pegar docentes'!$A$1:$BZ$1001,661,N$2)&amp;""),""))</f>
        <v/>
      </c>
      <c r="O662">
        <f>IF(O$2=0,"",IFERROR(TRIM(INDEX('Pegar docentes'!$A$1:$BZ$1001,661,O$2)&amp;""),""))</f>
        <v/>
      </c>
      <c r="P662">
        <f>IF(P$2=0,"",IFERROR(TRIM(INDEX('Pegar docentes'!$A$1:$BZ$1001,661,P$2)&amp;""),""))</f>
        <v/>
      </c>
      <c r="Q662" s="25">
        <f>IF(OR(D662&lt;&gt;"",H662&lt;&gt;""),1,"")</f>
        <v/>
      </c>
      <c r="R662" s="25">
        <f>IF(Q662=1,IF(ISNUMBER(FIND("#"&amp;MID(D662,1,1)&amp;"#","#0#1#2#3#4#5#6#7#8#9#")),IF(ISNUMBER(FIND("#"&amp;MID(D662,2,1)&amp;"#","#0#1#2#3#4#5#6#7#8#9#")),IF(AND(VALUE(LEFT(D662,2))&gt;=1,VALUE(LEFT(D662,2))&lt;=5),VALUE(LEFT(D662,2)),""),IF(AND(VALUE(LEFT(D662,1))&gt;=1,VALUE(LEFT(D662,1))&lt;=5),VALUE(LEFT(D662,1)),"")),""),"")</f>
        <v/>
      </c>
      <c r="S662" s="25">
        <f>IF(AND(Q662=1,E662&lt;&gt;""),SUBSTITUTE(SUBSTITUTE(SUBSTITUTE(SUBSTITUTE(SUBSTITUTE(SUBSTITUTE(SUBSTITUTE(SUBSTITUTE(SUBSTITUTE(SUBSTITUTE(SUBSTITUTE(SUBSTITUTE(LOWER(TRIM(E662)),"á","a"),"é","e"),"í","i"),"ó","o"),"ú","u"),"ü","u"),"ñ","n"),"à","a"),"è","e"),"ì","i"),"ò","o"),"ù","u"),"")</f>
        <v/>
      </c>
      <c r="T662" s="25">
        <f>IF(AND(Q662=1,G662&lt;&gt;""),SUBSTITUTE(SUBSTITUTE(SUBSTITUTE(SUBSTITUTE(SUBSTITUTE(SUBSTITUTE(SUBSTITUTE(SUBSTITUTE(SUBSTITUTE(SUBSTITUTE(SUBSTITUTE(SUBSTITUTE(LOWER(TRIM(G662)),"á","a"),"é","e"),"í","i"),"ó","o"),"ú","u"),"ü","u"),"ñ","n"),"à","a"),"è","e"),"ì","i"),"ò","o"),"ù","u"),"")</f>
        <v/>
      </c>
      <c r="U662" s="25">
        <f>IF(AND(Q662=1,H662&lt;&gt;""),SUBSTITUTE(SUBSTITUTE(SUBSTITUTE(SUBSTITUTE(SUBSTITUTE(SUBSTITUTE(SUBSTITUTE(SUBSTITUTE(SUBSTITUTE(SUBSTITUTE(SUBSTITUTE(SUBSTITUTE(LOWER(TRIM(H662)),"á","a"),"é","e"),"í","i"),"ó","o"),"ú","u"),"ü","u"),"ñ","n"),"à","a"),"è","e"),"ì","i"),"ò","o"),"ù","u"),"")</f>
        <v/>
      </c>
      <c r="V662" s="25">
        <f>IF(AND(Q662=1,L662&lt;&gt;""),SUBSTITUTE(SUBSTITUTE(SUBSTITUTE(SUBSTITUTE(SUBSTITUTE(SUBSTITUTE(SUBSTITUTE(SUBSTITUTE(SUBSTITUTE(SUBSTITUTE(SUBSTITUTE(SUBSTITUTE(LOWER(TRIM(L662)),"á","a"),"é","e"),"í","i"),"ó","o"),"ú","u"),"ü","u"),"ñ","n"),"à","a"),"è","e"),"ì","i"),"ò","o"),"ù","u"),"")</f>
        <v/>
      </c>
      <c r="W662" s="25">
        <f>IF(AND(Q662=1,I662&lt;&gt;""),SUBSTITUTE(SUBSTITUTE(SUBSTITUTE(SUBSTITUTE(SUBSTITUTE(SUBSTITUTE(SUBSTITUTE(SUBSTITUTE(SUBSTITUTE(SUBSTITUTE(SUBSTITUTE(SUBSTITUTE(LOWER(TRIM(I662)),"á","a"),"é","e"),"í","i"),"ó","o"),"ú","u"),"ü","u"),"ñ","n"),"à","a"),"è","e"),"ì","i"),"ò","o"),"ù","u"),"")</f>
        <v/>
      </c>
      <c r="X662" s="25">
        <f>IF(U662="","",IF(OR(U662="si, en la proxima tarea",U662="si, con cambios"),1,0))</f>
        <v/>
      </c>
      <c r="Y662" s="25">
        <f>IF(AND(Q662=1,A662&lt;&gt;""),IF(IFERROR(COUNTIFS(A$3:A662,"="&amp;SUBSTITUTE(SUBSTITUTE(SUBSTITUTE(A662,"~","~~"),"*","~*"),"?","~?"),Q$3:Q662,1),0)=1,MAX(Y$2:Y661)+1,""),"")</f>
        <v/>
      </c>
      <c r="Z662" s="25">
        <f>IF(Y662="","",COUNTIFS($A$3:$A$1002,"="&amp;SUBSTITUTE(SUBSTITUTE(SUBSTITUTE(A662,"~","~~"),"*","~*"),"?","~?"),$Q$3:$Q$1002,1)*10000-Y662)</f>
        <v/>
      </c>
    </row>
    <row r="663">
      <c r="A663">
        <f>IF(A$2=0,"",IFERROR(TRIM(INDEX('Pegar docentes'!$A$1:$BZ$1001,662,A$2)&amp;""),""))</f>
        <v/>
      </c>
      <c r="B663">
        <f>IF(B$2=0,"",IFERROR(TRIM(INDEX('Pegar docentes'!$A$1:$BZ$1001,662,B$2)&amp;""),""))</f>
        <v/>
      </c>
      <c r="C663">
        <f>IF(C$2=0,"",IFERROR(TRIM(INDEX('Pegar docentes'!$A$1:$BZ$1001,662,C$2)&amp;""),""))</f>
        <v/>
      </c>
      <c r="D663">
        <f>IF(D$2=0,"",IFERROR(TRIM(INDEX('Pegar docentes'!$A$1:$BZ$1001,662,D$2)&amp;""),""))</f>
        <v/>
      </c>
      <c r="E663">
        <f>IF(E$2=0,"",IFERROR(TRIM(INDEX('Pegar docentes'!$A$1:$BZ$1001,662,E$2)&amp;""),""))</f>
        <v/>
      </c>
      <c r="F663">
        <f>IF(F$2=0,"",IFERROR(TRIM(INDEX('Pegar docentes'!$A$1:$BZ$1001,662,F$2)&amp;""),""))</f>
        <v/>
      </c>
      <c r="G663">
        <f>IF(G$2=0,"",IFERROR(TRIM(INDEX('Pegar docentes'!$A$1:$BZ$1001,662,G$2)&amp;""),""))</f>
        <v/>
      </c>
      <c r="H663">
        <f>IF(H$2=0,"",IFERROR(TRIM(INDEX('Pegar docentes'!$A$1:$BZ$1001,662,H$2)&amp;""),""))</f>
        <v/>
      </c>
      <c r="I663">
        <f>IF(I$2=0,"",IFERROR(TRIM(INDEX('Pegar docentes'!$A$1:$BZ$1001,662,I$2)&amp;""),""))</f>
        <v/>
      </c>
      <c r="J663">
        <f>IF(J$2=0,"",IFERROR(TRIM(INDEX('Pegar docentes'!$A$1:$BZ$1001,662,J$2)&amp;""),""))</f>
        <v/>
      </c>
      <c r="K663">
        <f>IF(K$2=0,"",IFERROR(TRIM(INDEX('Pegar docentes'!$A$1:$BZ$1001,662,K$2)&amp;""),""))</f>
        <v/>
      </c>
      <c r="L663">
        <f>IF(L$2=0,"",IFERROR(TRIM(INDEX('Pegar docentes'!$A$1:$BZ$1001,662,L$2)&amp;""),""))</f>
        <v/>
      </c>
      <c r="M663">
        <f>IF(M$2=0,"",IFERROR(TRIM(INDEX('Pegar docentes'!$A$1:$BZ$1001,662,M$2)&amp;""),""))</f>
        <v/>
      </c>
      <c r="N663">
        <f>IF(N$2=0,"",IFERROR(TRIM(INDEX('Pegar docentes'!$A$1:$BZ$1001,662,N$2)&amp;""),""))</f>
        <v/>
      </c>
      <c r="O663">
        <f>IF(O$2=0,"",IFERROR(TRIM(INDEX('Pegar docentes'!$A$1:$BZ$1001,662,O$2)&amp;""),""))</f>
        <v/>
      </c>
      <c r="P663">
        <f>IF(P$2=0,"",IFERROR(TRIM(INDEX('Pegar docentes'!$A$1:$BZ$1001,662,P$2)&amp;""),""))</f>
        <v/>
      </c>
      <c r="Q663" s="25">
        <f>IF(OR(D663&lt;&gt;"",H663&lt;&gt;""),1,"")</f>
        <v/>
      </c>
      <c r="R663" s="25">
        <f>IF(Q663=1,IF(ISNUMBER(FIND("#"&amp;MID(D663,1,1)&amp;"#","#0#1#2#3#4#5#6#7#8#9#")),IF(ISNUMBER(FIND("#"&amp;MID(D663,2,1)&amp;"#","#0#1#2#3#4#5#6#7#8#9#")),IF(AND(VALUE(LEFT(D663,2))&gt;=1,VALUE(LEFT(D663,2))&lt;=5),VALUE(LEFT(D663,2)),""),IF(AND(VALUE(LEFT(D663,1))&gt;=1,VALUE(LEFT(D663,1))&lt;=5),VALUE(LEFT(D663,1)),"")),""),"")</f>
        <v/>
      </c>
      <c r="S663" s="25">
        <f>IF(AND(Q663=1,E663&lt;&gt;""),SUBSTITUTE(SUBSTITUTE(SUBSTITUTE(SUBSTITUTE(SUBSTITUTE(SUBSTITUTE(SUBSTITUTE(SUBSTITUTE(SUBSTITUTE(SUBSTITUTE(SUBSTITUTE(SUBSTITUTE(LOWER(TRIM(E663)),"á","a"),"é","e"),"í","i"),"ó","o"),"ú","u"),"ü","u"),"ñ","n"),"à","a"),"è","e"),"ì","i"),"ò","o"),"ù","u"),"")</f>
        <v/>
      </c>
      <c r="T663" s="25">
        <f>IF(AND(Q663=1,G663&lt;&gt;""),SUBSTITUTE(SUBSTITUTE(SUBSTITUTE(SUBSTITUTE(SUBSTITUTE(SUBSTITUTE(SUBSTITUTE(SUBSTITUTE(SUBSTITUTE(SUBSTITUTE(SUBSTITUTE(SUBSTITUTE(LOWER(TRIM(G663)),"á","a"),"é","e"),"í","i"),"ó","o"),"ú","u"),"ü","u"),"ñ","n"),"à","a"),"è","e"),"ì","i"),"ò","o"),"ù","u"),"")</f>
        <v/>
      </c>
      <c r="U663" s="25">
        <f>IF(AND(Q663=1,H663&lt;&gt;""),SUBSTITUTE(SUBSTITUTE(SUBSTITUTE(SUBSTITUTE(SUBSTITUTE(SUBSTITUTE(SUBSTITUTE(SUBSTITUTE(SUBSTITUTE(SUBSTITUTE(SUBSTITUTE(SUBSTITUTE(LOWER(TRIM(H663)),"á","a"),"é","e"),"í","i"),"ó","o"),"ú","u"),"ü","u"),"ñ","n"),"à","a"),"è","e"),"ì","i"),"ò","o"),"ù","u"),"")</f>
        <v/>
      </c>
      <c r="V663" s="25">
        <f>IF(AND(Q663=1,L663&lt;&gt;""),SUBSTITUTE(SUBSTITUTE(SUBSTITUTE(SUBSTITUTE(SUBSTITUTE(SUBSTITUTE(SUBSTITUTE(SUBSTITUTE(SUBSTITUTE(SUBSTITUTE(SUBSTITUTE(SUBSTITUTE(LOWER(TRIM(L663)),"á","a"),"é","e"),"í","i"),"ó","o"),"ú","u"),"ü","u"),"ñ","n"),"à","a"),"è","e"),"ì","i"),"ò","o"),"ù","u"),"")</f>
        <v/>
      </c>
      <c r="W663" s="25">
        <f>IF(AND(Q663=1,I663&lt;&gt;""),SUBSTITUTE(SUBSTITUTE(SUBSTITUTE(SUBSTITUTE(SUBSTITUTE(SUBSTITUTE(SUBSTITUTE(SUBSTITUTE(SUBSTITUTE(SUBSTITUTE(SUBSTITUTE(SUBSTITUTE(LOWER(TRIM(I663)),"á","a"),"é","e"),"í","i"),"ó","o"),"ú","u"),"ü","u"),"ñ","n"),"à","a"),"è","e"),"ì","i"),"ò","o"),"ù","u"),"")</f>
        <v/>
      </c>
      <c r="X663" s="25">
        <f>IF(U663="","",IF(OR(U663="si, en la proxima tarea",U663="si, con cambios"),1,0))</f>
        <v/>
      </c>
      <c r="Y663" s="25">
        <f>IF(AND(Q663=1,A663&lt;&gt;""),IF(IFERROR(COUNTIFS(A$3:A663,"="&amp;SUBSTITUTE(SUBSTITUTE(SUBSTITUTE(A663,"~","~~"),"*","~*"),"?","~?"),Q$3:Q663,1),0)=1,MAX(Y$2:Y662)+1,""),"")</f>
        <v/>
      </c>
      <c r="Z663" s="25">
        <f>IF(Y663="","",COUNTIFS($A$3:$A$1002,"="&amp;SUBSTITUTE(SUBSTITUTE(SUBSTITUTE(A663,"~","~~"),"*","~*"),"?","~?"),$Q$3:$Q$1002,1)*10000-Y663)</f>
        <v/>
      </c>
    </row>
    <row r="664">
      <c r="A664">
        <f>IF(A$2=0,"",IFERROR(TRIM(INDEX('Pegar docentes'!$A$1:$BZ$1001,663,A$2)&amp;""),""))</f>
        <v/>
      </c>
      <c r="B664">
        <f>IF(B$2=0,"",IFERROR(TRIM(INDEX('Pegar docentes'!$A$1:$BZ$1001,663,B$2)&amp;""),""))</f>
        <v/>
      </c>
      <c r="C664">
        <f>IF(C$2=0,"",IFERROR(TRIM(INDEX('Pegar docentes'!$A$1:$BZ$1001,663,C$2)&amp;""),""))</f>
        <v/>
      </c>
      <c r="D664">
        <f>IF(D$2=0,"",IFERROR(TRIM(INDEX('Pegar docentes'!$A$1:$BZ$1001,663,D$2)&amp;""),""))</f>
        <v/>
      </c>
      <c r="E664">
        <f>IF(E$2=0,"",IFERROR(TRIM(INDEX('Pegar docentes'!$A$1:$BZ$1001,663,E$2)&amp;""),""))</f>
        <v/>
      </c>
      <c r="F664">
        <f>IF(F$2=0,"",IFERROR(TRIM(INDEX('Pegar docentes'!$A$1:$BZ$1001,663,F$2)&amp;""),""))</f>
        <v/>
      </c>
      <c r="G664">
        <f>IF(G$2=0,"",IFERROR(TRIM(INDEX('Pegar docentes'!$A$1:$BZ$1001,663,G$2)&amp;""),""))</f>
        <v/>
      </c>
      <c r="H664">
        <f>IF(H$2=0,"",IFERROR(TRIM(INDEX('Pegar docentes'!$A$1:$BZ$1001,663,H$2)&amp;""),""))</f>
        <v/>
      </c>
      <c r="I664">
        <f>IF(I$2=0,"",IFERROR(TRIM(INDEX('Pegar docentes'!$A$1:$BZ$1001,663,I$2)&amp;""),""))</f>
        <v/>
      </c>
      <c r="J664">
        <f>IF(J$2=0,"",IFERROR(TRIM(INDEX('Pegar docentes'!$A$1:$BZ$1001,663,J$2)&amp;""),""))</f>
        <v/>
      </c>
      <c r="K664">
        <f>IF(K$2=0,"",IFERROR(TRIM(INDEX('Pegar docentes'!$A$1:$BZ$1001,663,K$2)&amp;""),""))</f>
        <v/>
      </c>
      <c r="L664">
        <f>IF(L$2=0,"",IFERROR(TRIM(INDEX('Pegar docentes'!$A$1:$BZ$1001,663,L$2)&amp;""),""))</f>
        <v/>
      </c>
      <c r="M664">
        <f>IF(M$2=0,"",IFERROR(TRIM(INDEX('Pegar docentes'!$A$1:$BZ$1001,663,M$2)&amp;""),""))</f>
        <v/>
      </c>
      <c r="N664">
        <f>IF(N$2=0,"",IFERROR(TRIM(INDEX('Pegar docentes'!$A$1:$BZ$1001,663,N$2)&amp;""),""))</f>
        <v/>
      </c>
      <c r="O664">
        <f>IF(O$2=0,"",IFERROR(TRIM(INDEX('Pegar docentes'!$A$1:$BZ$1001,663,O$2)&amp;""),""))</f>
        <v/>
      </c>
      <c r="P664">
        <f>IF(P$2=0,"",IFERROR(TRIM(INDEX('Pegar docentes'!$A$1:$BZ$1001,663,P$2)&amp;""),""))</f>
        <v/>
      </c>
      <c r="Q664" s="25">
        <f>IF(OR(D664&lt;&gt;"",H664&lt;&gt;""),1,"")</f>
        <v/>
      </c>
      <c r="R664" s="25">
        <f>IF(Q664=1,IF(ISNUMBER(FIND("#"&amp;MID(D664,1,1)&amp;"#","#0#1#2#3#4#5#6#7#8#9#")),IF(ISNUMBER(FIND("#"&amp;MID(D664,2,1)&amp;"#","#0#1#2#3#4#5#6#7#8#9#")),IF(AND(VALUE(LEFT(D664,2))&gt;=1,VALUE(LEFT(D664,2))&lt;=5),VALUE(LEFT(D664,2)),""),IF(AND(VALUE(LEFT(D664,1))&gt;=1,VALUE(LEFT(D664,1))&lt;=5),VALUE(LEFT(D664,1)),"")),""),"")</f>
        <v/>
      </c>
      <c r="S664" s="25">
        <f>IF(AND(Q664=1,E664&lt;&gt;""),SUBSTITUTE(SUBSTITUTE(SUBSTITUTE(SUBSTITUTE(SUBSTITUTE(SUBSTITUTE(SUBSTITUTE(SUBSTITUTE(SUBSTITUTE(SUBSTITUTE(SUBSTITUTE(SUBSTITUTE(LOWER(TRIM(E664)),"á","a"),"é","e"),"í","i"),"ó","o"),"ú","u"),"ü","u"),"ñ","n"),"à","a"),"è","e"),"ì","i"),"ò","o"),"ù","u"),"")</f>
        <v/>
      </c>
      <c r="T664" s="25">
        <f>IF(AND(Q664=1,G664&lt;&gt;""),SUBSTITUTE(SUBSTITUTE(SUBSTITUTE(SUBSTITUTE(SUBSTITUTE(SUBSTITUTE(SUBSTITUTE(SUBSTITUTE(SUBSTITUTE(SUBSTITUTE(SUBSTITUTE(SUBSTITUTE(LOWER(TRIM(G664)),"á","a"),"é","e"),"í","i"),"ó","o"),"ú","u"),"ü","u"),"ñ","n"),"à","a"),"è","e"),"ì","i"),"ò","o"),"ù","u"),"")</f>
        <v/>
      </c>
      <c r="U664" s="25">
        <f>IF(AND(Q664=1,H664&lt;&gt;""),SUBSTITUTE(SUBSTITUTE(SUBSTITUTE(SUBSTITUTE(SUBSTITUTE(SUBSTITUTE(SUBSTITUTE(SUBSTITUTE(SUBSTITUTE(SUBSTITUTE(SUBSTITUTE(SUBSTITUTE(LOWER(TRIM(H664)),"á","a"),"é","e"),"í","i"),"ó","o"),"ú","u"),"ü","u"),"ñ","n"),"à","a"),"è","e"),"ì","i"),"ò","o"),"ù","u"),"")</f>
        <v/>
      </c>
      <c r="V664" s="25">
        <f>IF(AND(Q664=1,L664&lt;&gt;""),SUBSTITUTE(SUBSTITUTE(SUBSTITUTE(SUBSTITUTE(SUBSTITUTE(SUBSTITUTE(SUBSTITUTE(SUBSTITUTE(SUBSTITUTE(SUBSTITUTE(SUBSTITUTE(SUBSTITUTE(LOWER(TRIM(L664)),"á","a"),"é","e"),"í","i"),"ó","o"),"ú","u"),"ü","u"),"ñ","n"),"à","a"),"è","e"),"ì","i"),"ò","o"),"ù","u"),"")</f>
        <v/>
      </c>
      <c r="W664" s="25">
        <f>IF(AND(Q664=1,I664&lt;&gt;""),SUBSTITUTE(SUBSTITUTE(SUBSTITUTE(SUBSTITUTE(SUBSTITUTE(SUBSTITUTE(SUBSTITUTE(SUBSTITUTE(SUBSTITUTE(SUBSTITUTE(SUBSTITUTE(SUBSTITUTE(LOWER(TRIM(I664)),"á","a"),"é","e"),"í","i"),"ó","o"),"ú","u"),"ü","u"),"ñ","n"),"à","a"),"è","e"),"ì","i"),"ò","o"),"ù","u"),"")</f>
        <v/>
      </c>
      <c r="X664" s="25">
        <f>IF(U664="","",IF(OR(U664="si, en la proxima tarea",U664="si, con cambios"),1,0))</f>
        <v/>
      </c>
      <c r="Y664" s="25">
        <f>IF(AND(Q664=1,A664&lt;&gt;""),IF(IFERROR(COUNTIFS(A$3:A664,"="&amp;SUBSTITUTE(SUBSTITUTE(SUBSTITUTE(A664,"~","~~"),"*","~*"),"?","~?"),Q$3:Q664,1),0)=1,MAX(Y$2:Y663)+1,""),"")</f>
        <v/>
      </c>
      <c r="Z664" s="25">
        <f>IF(Y664="","",COUNTIFS($A$3:$A$1002,"="&amp;SUBSTITUTE(SUBSTITUTE(SUBSTITUTE(A664,"~","~~"),"*","~*"),"?","~?"),$Q$3:$Q$1002,1)*10000-Y664)</f>
        <v/>
      </c>
    </row>
    <row r="665">
      <c r="A665">
        <f>IF(A$2=0,"",IFERROR(TRIM(INDEX('Pegar docentes'!$A$1:$BZ$1001,664,A$2)&amp;""),""))</f>
        <v/>
      </c>
      <c r="B665">
        <f>IF(B$2=0,"",IFERROR(TRIM(INDEX('Pegar docentes'!$A$1:$BZ$1001,664,B$2)&amp;""),""))</f>
        <v/>
      </c>
      <c r="C665">
        <f>IF(C$2=0,"",IFERROR(TRIM(INDEX('Pegar docentes'!$A$1:$BZ$1001,664,C$2)&amp;""),""))</f>
        <v/>
      </c>
      <c r="D665">
        <f>IF(D$2=0,"",IFERROR(TRIM(INDEX('Pegar docentes'!$A$1:$BZ$1001,664,D$2)&amp;""),""))</f>
        <v/>
      </c>
      <c r="E665">
        <f>IF(E$2=0,"",IFERROR(TRIM(INDEX('Pegar docentes'!$A$1:$BZ$1001,664,E$2)&amp;""),""))</f>
        <v/>
      </c>
      <c r="F665">
        <f>IF(F$2=0,"",IFERROR(TRIM(INDEX('Pegar docentes'!$A$1:$BZ$1001,664,F$2)&amp;""),""))</f>
        <v/>
      </c>
      <c r="G665">
        <f>IF(G$2=0,"",IFERROR(TRIM(INDEX('Pegar docentes'!$A$1:$BZ$1001,664,G$2)&amp;""),""))</f>
        <v/>
      </c>
      <c r="H665">
        <f>IF(H$2=0,"",IFERROR(TRIM(INDEX('Pegar docentes'!$A$1:$BZ$1001,664,H$2)&amp;""),""))</f>
        <v/>
      </c>
      <c r="I665">
        <f>IF(I$2=0,"",IFERROR(TRIM(INDEX('Pegar docentes'!$A$1:$BZ$1001,664,I$2)&amp;""),""))</f>
        <v/>
      </c>
      <c r="J665">
        <f>IF(J$2=0,"",IFERROR(TRIM(INDEX('Pegar docentes'!$A$1:$BZ$1001,664,J$2)&amp;""),""))</f>
        <v/>
      </c>
      <c r="K665">
        <f>IF(K$2=0,"",IFERROR(TRIM(INDEX('Pegar docentes'!$A$1:$BZ$1001,664,K$2)&amp;""),""))</f>
        <v/>
      </c>
      <c r="L665">
        <f>IF(L$2=0,"",IFERROR(TRIM(INDEX('Pegar docentes'!$A$1:$BZ$1001,664,L$2)&amp;""),""))</f>
        <v/>
      </c>
      <c r="M665">
        <f>IF(M$2=0,"",IFERROR(TRIM(INDEX('Pegar docentes'!$A$1:$BZ$1001,664,M$2)&amp;""),""))</f>
        <v/>
      </c>
      <c r="N665">
        <f>IF(N$2=0,"",IFERROR(TRIM(INDEX('Pegar docentes'!$A$1:$BZ$1001,664,N$2)&amp;""),""))</f>
        <v/>
      </c>
      <c r="O665">
        <f>IF(O$2=0,"",IFERROR(TRIM(INDEX('Pegar docentes'!$A$1:$BZ$1001,664,O$2)&amp;""),""))</f>
        <v/>
      </c>
      <c r="P665">
        <f>IF(P$2=0,"",IFERROR(TRIM(INDEX('Pegar docentes'!$A$1:$BZ$1001,664,P$2)&amp;""),""))</f>
        <v/>
      </c>
      <c r="Q665" s="25">
        <f>IF(OR(D665&lt;&gt;"",H665&lt;&gt;""),1,"")</f>
        <v/>
      </c>
      <c r="R665" s="25">
        <f>IF(Q665=1,IF(ISNUMBER(FIND("#"&amp;MID(D665,1,1)&amp;"#","#0#1#2#3#4#5#6#7#8#9#")),IF(ISNUMBER(FIND("#"&amp;MID(D665,2,1)&amp;"#","#0#1#2#3#4#5#6#7#8#9#")),IF(AND(VALUE(LEFT(D665,2))&gt;=1,VALUE(LEFT(D665,2))&lt;=5),VALUE(LEFT(D665,2)),""),IF(AND(VALUE(LEFT(D665,1))&gt;=1,VALUE(LEFT(D665,1))&lt;=5),VALUE(LEFT(D665,1)),"")),""),"")</f>
        <v/>
      </c>
      <c r="S665" s="25">
        <f>IF(AND(Q665=1,E665&lt;&gt;""),SUBSTITUTE(SUBSTITUTE(SUBSTITUTE(SUBSTITUTE(SUBSTITUTE(SUBSTITUTE(SUBSTITUTE(SUBSTITUTE(SUBSTITUTE(SUBSTITUTE(SUBSTITUTE(SUBSTITUTE(LOWER(TRIM(E665)),"á","a"),"é","e"),"í","i"),"ó","o"),"ú","u"),"ü","u"),"ñ","n"),"à","a"),"è","e"),"ì","i"),"ò","o"),"ù","u"),"")</f>
        <v/>
      </c>
      <c r="T665" s="25">
        <f>IF(AND(Q665=1,G665&lt;&gt;""),SUBSTITUTE(SUBSTITUTE(SUBSTITUTE(SUBSTITUTE(SUBSTITUTE(SUBSTITUTE(SUBSTITUTE(SUBSTITUTE(SUBSTITUTE(SUBSTITUTE(SUBSTITUTE(SUBSTITUTE(LOWER(TRIM(G665)),"á","a"),"é","e"),"í","i"),"ó","o"),"ú","u"),"ü","u"),"ñ","n"),"à","a"),"è","e"),"ì","i"),"ò","o"),"ù","u"),"")</f>
        <v/>
      </c>
      <c r="U665" s="25">
        <f>IF(AND(Q665=1,H665&lt;&gt;""),SUBSTITUTE(SUBSTITUTE(SUBSTITUTE(SUBSTITUTE(SUBSTITUTE(SUBSTITUTE(SUBSTITUTE(SUBSTITUTE(SUBSTITUTE(SUBSTITUTE(SUBSTITUTE(SUBSTITUTE(LOWER(TRIM(H665)),"á","a"),"é","e"),"í","i"),"ó","o"),"ú","u"),"ü","u"),"ñ","n"),"à","a"),"è","e"),"ì","i"),"ò","o"),"ù","u"),"")</f>
        <v/>
      </c>
      <c r="V665" s="25">
        <f>IF(AND(Q665=1,L665&lt;&gt;""),SUBSTITUTE(SUBSTITUTE(SUBSTITUTE(SUBSTITUTE(SUBSTITUTE(SUBSTITUTE(SUBSTITUTE(SUBSTITUTE(SUBSTITUTE(SUBSTITUTE(SUBSTITUTE(SUBSTITUTE(LOWER(TRIM(L665)),"á","a"),"é","e"),"í","i"),"ó","o"),"ú","u"),"ü","u"),"ñ","n"),"à","a"),"è","e"),"ì","i"),"ò","o"),"ù","u"),"")</f>
        <v/>
      </c>
      <c r="W665" s="25">
        <f>IF(AND(Q665=1,I665&lt;&gt;""),SUBSTITUTE(SUBSTITUTE(SUBSTITUTE(SUBSTITUTE(SUBSTITUTE(SUBSTITUTE(SUBSTITUTE(SUBSTITUTE(SUBSTITUTE(SUBSTITUTE(SUBSTITUTE(SUBSTITUTE(LOWER(TRIM(I665)),"á","a"),"é","e"),"í","i"),"ó","o"),"ú","u"),"ü","u"),"ñ","n"),"à","a"),"è","e"),"ì","i"),"ò","o"),"ù","u"),"")</f>
        <v/>
      </c>
      <c r="X665" s="25">
        <f>IF(U665="","",IF(OR(U665="si, en la proxima tarea",U665="si, con cambios"),1,0))</f>
        <v/>
      </c>
      <c r="Y665" s="25">
        <f>IF(AND(Q665=1,A665&lt;&gt;""),IF(IFERROR(COUNTIFS(A$3:A665,"="&amp;SUBSTITUTE(SUBSTITUTE(SUBSTITUTE(A665,"~","~~"),"*","~*"),"?","~?"),Q$3:Q665,1),0)=1,MAX(Y$2:Y664)+1,""),"")</f>
        <v/>
      </c>
      <c r="Z665" s="25">
        <f>IF(Y665="","",COUNTIFS($A$3:$A$1002,"="&amp;SUBSTITUTE(SUBSTITUTE(SUBSTITUTE(A665,"~","~~"),"*","~*"),"?","~?"),$Q$3:$Q$1002,1)*10000-Y665)</f>
        <v/>
      </c>
    </row>
    <row r="666">
      <c r="A666">
        <f>IF(A$2=0,"",IFERROR(TRIM(INDEX('Pegar docentes'!$A$1:$BZ$1001,665,A$2)&amp;""),""))</f>
        <v/>
      </c>
      <c r="B666">
        <f>IF(B$2=0,"",IFERROR(TRIM(INDEX('Pegar docentes'!$A$1:$BZ$1001,665,B$2)&amp;""),""))</f>
        <v/>
      </c>
      <c r="C666">
        <f>IF(C$2=0,"",IFERROR(TRIM(INDEX('Pegar docentes'!$A$1:$BZ$1001,665,C$2)&amp;""),""))</f>
        <v/>
      </c>
      <c r="D666">
        <f>IF(D$2=0,"",IFERROR(TRIM(INDEX('Pegar docentes'!$A$1:$BZ$1001,665,D$2)&amp;""),""))</f>
        <v/>
      </c>
      <c r="E666">
        <f>IF(E$2=0,"",IFERROR(TRIM(INDEX('Pegar docentes'!$A$1:$BZ$1001,665,E$2)&amp;""),""))</f>
        <v/>
      </c>
      <c r="F666">
        <f>IF(F$2=0,"",IFERROR(TRIM(INDEX('Pegar docentes'!$A$1:$BZ$1001,665,F$2)&amp;""),""))</f>
        <v/>
      </c>
      <c r="G666">
        <f>IF(G$2=0,"",IFERROR(TRIM(INDEX('Pegar docentes'!$A$1:$BZ$1001,665,G$2)&amp;""),""))</f>
        <v/>
      </c>
      <c r="H666">
        <f>IF(H$2=0,"",IFERROR(TRIM(INDEX('Pegar docentes'!$A$1:$BZ$1001,665,H$2)&amp;""),""))</f>
        <v/>
      </c>
      <c r="I666">
        <f>IF(I$2=0,"",IFERROR(TRIM(INDEX('Pegar docentes'!$A$1:$BZ$1001,665,I$2)&amp;""),""))</f>
        <v/>
      </c>
      <c r="J666">
        <f>IF(J$2=0,"",IFERROR(TRIM(INDEX('Pegar docentes'!$A$1:$BZ$1001,665,J$2)&amp;""),""))</f>
        <v/>
      </c>
      <c r="K666">
        <f>IF(K$2=0,"",IFERROR(TRIM(INDEX('Pegar docentes'!$A$1:$BZ$1001,665,K$2)&amp;""),""))</f>
        <v/>
      </c>
      <c r="L666">
        <f>IF(L$2=0,"",IFERROR(TRIM(INDEX('Pegar docentes'!$A$1:$BZ$1001,665,L$2)&amp;""),""))</f>
        <v/>
      </c>
      <c r="M666">
        <f>IF(M$2=0,"",IFERROR(TRIM(INDEX('Pegar docentes'!$A$1:$BZ$1001,665,M$2)&amp;""),""))</f>
        <v/>
      </c>
      <c r="N666">
        <f>IF(N$2=0,"",IFERROR(TRIM(INDEX('Pegar docentes'!$A$1:$BZ$1001,665,N$2)&amp;""),""))</f>
        <v/>
      </c>
      <c r="O666">
        <f>IF(O$2=0,"",IFERROR(TRIM(INDEX('Pegar docentes'!$A$1:$BZ$1001,665,O$2)&amp;""),""))</f>
        <v/>
      </c>
      <c r="P666">
        <f>IF(P$2=0,"",IFERROR(TRIM(INDEX('Pegar docentes'!$A$1:$BZ$1001,665,P$2)&amp;""),""))</f>
        <v/>
      </c>
      <c r="Q666" s="25">
        <f>IF(OR(D666&lt;&gt;"",H666&lt;&gt;""),1,"")</f>
        <v/>
      </c>
      <c r="R666" s="25">
        <f>IF(Q666=1,IF(ISNUMBER(FIND("#"&amp;MID(D666,1,1)&amp;"#","#0#1#2#3#4#5#6#7#8#9#")),IF(ISNUMBER(FIND("#"&amp;MID(D666,2,1)&amp;"#","#0#1#2#3#4#5#6#7#8#9#")),IF(AND(VALUE(LEFT(D666,2))&gt;=1,VALUE(LEFT(D666,2))&lt;=5),VALUE(LEFT(D666,2)),""),IF(AND(VALUE(LEFT(D666,1))&gt;=1,VALUE(LEFT(D666,1))&lt;=5),VALUE(LEFT(D666,1)),"")),""),"")</f>
        <v/>
      </c>
      <c r="S666" s="25">
        <f>IF(AND(Q666=1,E666&lt;&gt;""),SUBSTITUTE(SUBSTITUTE(SUBSTITUTE(SUBSTITUTE(SUBSTITUTE(SUBSTITUTE(SUBSTITUTE(SUBSTITUTE(SUBSTITUTE(SUBSTITUTE(SUBSTITUTE(SUBSTITUTE(LOWER(TRIM(E666)),"á","a"),"é","e"),"í","i"),"ó","o"),"ú","u"),"ü","u"),"ñ","n"),"à","a"),"è","e"),"ì","i"),"ò","o"),"ù","u"),"")</f>
        <v/>
      </c>
      <c r="T666" s="25">
        <f>IF(AND(Q666=1,G666&lt;&gt;""),SUBSTITUTE(SUBSTITUTE(SUBSTITUTE(SUBSTITUTE(SUBSTITUTE(SUBSTITUTE(SUBSTITUTE(SUBSTITUTE(SUBSTITUTE(SUBSTITUTE(SUBSTITUTE(SUBSTITUTE(LOWER(TRIM(G666)),"á","a"),"é","e"),"í","i"),"ó","o"),"ú","u"),"ü","u"),"ñ","n"),"à","a"),"è","e"),"ì","i"),"ò","o"),"ù","u"),"")</f>
        <v/>
      </c>
      <c r="U666" s="25">
        <f>IF(AND(Q666=1,H666&lt;&gt;""),SUBSTITUTE(SUBSTITUTE(SUBSTITUTE(SUBSTITUTE(SUBSTITUTE(SUBSTITUTE(SUBSTITUTE(SUBSTITUTE(SUBSTITUTE(SUBSTITUTE(SUBSTITUTE(SUBSTITUTE(LOWER(TRIM(H666)),"á","a"),"é","e"),"í","i"),"ó","o"),"ú","u"),"ü","u"),"ñ","n"),"à","a"),"è","e"),"ì","i"),"ò","o"),"ù","u"),"")</f>
        <v/>
      </c>
      <c r="V666" s="25">
        <f>IF(AND(Q666=1,L666&lt;&gt;""),SUBSTITUTE(SUBSTITUTE(SUBSTITUTE(SUBSTITUTE(SUBSTITUTE(SUBSTITUTE(SUBSTITUTE(SUBSTITUTE(SUBSTITUTE(SUBSTITUTE(SUBSTITUTE(SUBSTITUTE(LOWER(TRIM(L666)),"á","a"),"é","e"),"í","i"),"ó","o"),"ú","u"),"ü","u"),"ñ","n"),"à","a"),"è","e"),"ì","i"),"ò","o"),"ù","u"),"")</f>
        <v/>
      </c>
      <c r="W666" s="25">
        <f>IF(AND(Q666=1,I666&lt;&gt;""),SUBSTITUTE(SUBSTITUTE(SUBSTITUTE(SUBSTITUTE(SUBSTITUTE(SUBSTITUTE(SUBSTITUTE(SUBSTITUTE(SUBSTITUTE(SUBSTITUTE(SUBSTITUTE(SUBSTITUTE(LOWER(TRIM(I666)),"á","a"),"é","e"),"í","i"),"ó","o"),"ú","u"),"ü","u"),"ñ","n"),"à","a"),"è","e"),"ì","i"),"ò","o"),"ù","u"),"")</f>
        <v/>
      </c>
      <c r="X666" s="25">
        <f>IF(U666="","",IF(OR(U666="si, en la proxima tarea",U666="si, con cambios"),1,0))</f>
        <v/>
      </c>
      <c r="Y666" s="25">
        <f>IF(AND(Q666=1,A666&lt;&gt;""),IF(IFERROR(COUNTIFS(A$3:A666,"="&amp;SUBSTITUTE(SUBSTITUTE(SUBSTITUTE(A666,"~","~~"),"*","~*"),"?","~?"),Q$3:Q666,1),0)=1,MAX(Y$2:Y665)+1,""),"")</f>
        <v/>
      </c>
      <c r="Z666" s="25">
        <f>IF(Y666="","",COUNTIFS($A$3:$A$1002,"="&amp;SUBSTITUTE(SUBSTITUTE(SUBSTITUTE(A666,"~","~~"),"*","~*"),"?","~?"),$Q$3:$Q$1002,1)*10000-Y666)</f>
        <v/>
      </c>
    </row>
    <row r="667">
      <c r="A667">
        <f>IF(A$2=0,"",IFERROR(TRIM(INDEX('Pegar docentes'!$A$1:$BZ$1001,666,A$2)&amp;""),""))</f>
        <v/>
      </c>
      <c r="B667">
        <f>IF(B$2=0,"",IFERROR(TRIM(INDEX('Pegar docentes'!$A$1:$BZ$1001,666,B$2)&amp;""),""))</f>
        <v/>
      </c>
      <c r="C667">
        <f>IF(C$2=0,"",IFERROR(TRIM(INDEX('Pegar docentes'!$A$1:$BZ$1001,666,C$2)&amp;""),""))</f>
        <v/>
      </c>
      <c r="D667">
        <f>IF(D$2=0,"",IFERROR(TRIM(INDEX('Pegar docentes'!$A$1:$BZ$1001,666,D$2)&amp;""),""))</f>
        <v/>
      </c>
      <c r="E667">
        <f>IF(E$2=0,"",IFERROR(TRIM(INDEX('Pegar docentes'!$A$1:$BZ$1001,666,E$2)&amp;""),""))</f>
        <v/>
      </c>
      <c r="F667">
        <f>IF(F$2=0,"",IFERROR(TRIM(INDEX('Pegar docentes'!$A$1:$BZ$1001,666,F$2)&amp;""),""))</f>
        <v/>
      </c>
      <c r="G667">
        <f>IF(G$2=0,"",IFERROR(TRIM(INDEX('Pegar docentes'!$A$1:$BZ$1001,666,G$2)&amp;""),""))</f>
        <v/>
      </c>
      <c r="H667">
        <f>IF(H$2=0,"",IFERROR(TRIM(INDEX('Pegar docentes'!$A$1:$BZ$1001,666,H$2)&amp;""),""))</f>
        <v/>
      </c>
      <c r="I667">
        <f>IF(I$2=0,"",IFERROR(TRIM(INDEX('Pegar docentes'!$A$1:$BZ$1001,666,I$2)&amp;""),""))</f>
        <v/>
      </c>
      <c r="J667">
        <f>IF(J$2=0,"",IFERROR(TRIM(INDEX('Pegar docentes'!$A$1:$BZ$1001,666,J$2)&amp;""),""))</f>
        <v/>
      </c>
      <c r="K667">
        <f>IF(K$2=0,"",IFERROR(TRIM(INDEX('Pegar docentes'!$A$1:$BZ$1001,666,K$2)&amp;""),""))</f>
        <v/>
      </c>
      <c r="L667">
        <f>IF(L$2=0,"",IFERROR(TRIM(INDEX('Pegar docentes'!$A$1:$BZ$1001,666,L$2)&amp;""),""))</f>
        <v/>
      </c>
      <c r="M667">
        <f>IF(M$2=0,"",IFERROR(TRIM(INDEX('Pegar docentes'!$A$1:$BZ$1001,666,M$2)&amp;""),""))</f>
        <v/>
      </c>
      <c r="N667">
        <f>IF(N$2=0,"",IFERROR(TRIM(INDEX('Pegar docentes'!$A$1:$BZ$1001,666,N$2)&amp;""),""))</f>
        <v/>
      </c>
      <c r="O667">
        <f>IF(O$2=0,"",IFERROR(TRIM(INDEX('Pegar docentes'!$A$1:$BZ$1001,666,O$2)&amp;""),""))</f>
        <v/>
      </c>
      <c r="P667">
        <f>IF(P$2=0,"",IFERROR(TRIM(INDEX('Pegar docentes'!$A$1:$BZ$1001,666,P$2)&amp;""),""))</f>
        <v/>
      </c>
      <c r="Q667" s="25">
        <f>IF(OR(D667&lt;&gt;"",H667&lt;&gt;""),1,"")</f>
        <v/>
      </c>
      <c r="R667" s="25">
        <f>IF(Q667=1,IF(ISNUMBER(FIND("#"&amp;MID(D667,1,1)&amp;"#","#0#1#2#3#4#5#6#7#8#9#")),IF(ISNUMBER(FIND("#"&amp;MID(D667,2,1)&amp;"#","#0#1#2#3#4#5#6#7#8#9#")),IF(AND(VALUE(LEFT(D667,2))&gt;=1,VALUE(LEFT(D667,2))&lt;=5),VALUE(LEFT(D667,2)),""),IF(AND(VALUE(LEFT(D667,1))&gt;=1,VALUE(LEFT(D667,1))&lt;=5),VALUE(LEFT(D667,1)),"")),""),"")</f>
        <v/>
      </c>
      <c r="S667" s="25">
        <f>IF(AND(Q667=1,E667&lt;&gt;""),SUBSTITUTE(SUBSTITUTE(SUBSTITUTE(SUBSTITUTE(SUBSTITUTE(SUBSTITUTE(SUBSTITUTE(SUBSTITUTE(SUBSTITUTE(SUBSTITUTE(SUBSTITUTE(SUBSTITUTE(LOWER(TRIM(E667)),"á","a"),"é","e"),"í","i"),"ó","o"),"ú","u"),"ü","u"),"ñ","n"),"à","a"),"è","e"),"ì","i"),"ò","o"),"ù","u"),"")</f>
        <v/>
      </c>
      <c r="T667" s="25">
        <f>IF(AND(Q667=1,G667&lt;&gt;""),SUBSTITUTE(SUBSTITUTE(SUBSTITUTE(SUBSTITUTE(SUBSTITUTE(SUBSTITUTE(SUBSTITUTE(SUBSTITUTE(SUBSTITUTE(SUBSTITUTE(SUBSTITUTE(SUBSTITUTE(LOWER(TRIM(G667)),"á","a"),"é","e"),"í","i"),"ó","o"),"ú","u"),"ü","u"),"ñ","n"),"à","a"),"è","e"),"ì","i"),"ò","o"),"ù","u"),"")</f>
        <v/>
      </c>
      <c r="U667" s="25">
        <f>IF(AND(Q667=1,H667&lt;&gt;""),SUBSTITUTE(SUBSTITUTE(SUBSTITUTE(SUBSTITUTE(SUBSTITUTE(SUBSTITUTE(SUBSTITUTE(SUBSTITUTE(SUBSTITUTE(SUBSTITUTE(SUBSTITUTE(SUBSTITUTE(LOWER(TRIM(H667)),"á","a"),"é","e"),"í","i"),"ó","o"),"ú","u"),"ü","u"),"ñ","n"),"à","a"),"è","e"),"ì","i"),"ò","o"),"ù","u"),"")</f>
        <v/>
      </c>
      <c r="V667" s="25">
        <f>IF(AND(Q667=1,L667&lt;&gt;""),SUBSTITUTE(SUBSTITUTE(SUBSTITUTE(SUBSTITUTE(SUBSTITUTE(SUBSTITUTE(SUBSTITUTE(SUBSTITUTE(SUBSTITUTE(SUBSTITUTE(SUBSTITUTE(SUBSTITUTE(LOWER(TRIM(L667)),"á","a"),"é","e"),"í","i"),"ó","o"),"ú","u"),"ü","u"),"ñ","n"),"à","a"),"è","e"),"ì","i"),"ò","o"),"ù","u"),"")</f>
        <v/>
      </c>
      <c r="W667" s="25">
        <f>IF(AND(Q667=1,I667&lt;&gt;""),SUBSTITUTE(SUBSTITUTE(SUBSTITUTE(SUBSTITUTE(SUBSTITUTE(SUBSTITUTE(SUBSTITUTE(SUBSTITUTE(SUBSTITUTE(SUBSTITUTE(SUBSTITUTE(SUBSTITUTE(LOWER(TRIM(I667)),"á","a"),"é","e"),"í","i"),"ó","o"),"ú","u"),"ü","u"),"ñ","n"),"à","a"),"è","e"),"ì","i"),"ò","o"),"ù","u"),"")</f>
        <v/>
      </c>
      <c r="X667" s="25">
        <f>IF(U667="","",IF(OR(U667="si, en la proxima tarea",U667="si, con cambios"),1,0))</f>
        <v/>
      </c>
      <c r="Y667" s="25">
        <f>IF(AND(Q667=1,A667&lt;&gt;""),IF(IFERROR(COUNTIFS(A$3:A667,"="&amp;SUBSTITUTE(SUBSTITUTE(SUBSTITUTE(A667,"~","~~"),"*","~*"),"?","~?"),Q$3:Q667,1),0)=1,MAX(Y$2:Y666)+1,""),"")</f>
        <v/>
      </c>
      <c r="Z667" s="25">
        <f>IF(Y667="","",COUNTIFS($A$3:$A$1002,"="&amp;SUBSTITUTE(SUBSTITUTE(SUBSTITUTE(A667,"~","~~"),"*","~*"),"?","~?"),$Q$3:$Q$1002,1)*10000-Y667)</f>
        <v/>
      </c>
    </row>
    <row r="668">
      <c r="A668">
        <f>IF(A$2=0,"",IFERROR(TRIM(INDEX('Pegar docentes'!$A$1:$BZ$1001,667,A$2)&amp;""),""))</f>
        <v/>
      </c>
      <c r="B668">
        <f>IF(B$2=0,"",IFERROR(TRIM(INDEX('Pegar docentes'!$A$1:$BZ$1001,667,B$2)&amp;""),""))</f>
        <v/>
      </c>
      <c r="C668">
        <f>IF(C$2=0,"",IFERROR(TRIM(INDEX('Pegar docentes'!$A$1:$BZ$1001,667,C$2)&amp;""),""))</f>
        <v/>
      </c>
      <c r="D668">
        <f>IF(D$2=0,"",IFERROR(TRIM(INDEX('Pegar docentes'!$A$1:$BZ$1001,667,D$2)&amp;""),""))</f>
        <v/>
      </c>
      <c r="E668">
        <f>IF(E$2=0,"",IFERROR(TRIM(INDEX('Pegar docentes'!$A$1:$BZ$1001,667,E$2)&amp;""),""))</f>
        <v/>
      </c>
      <c r="F668">
        <f>IF(F$2=0,"",IFERROR(TRIM(INDEX('Pegar docentes'!$A$1:$BZ$1001,667,F$2)&amp;""),""))</f>
        <v/>
      </c>
      <c r="G668">
        <f>IF(G$2=0,"",IFERROR(TRIM(INDEX('Pegar docentes'!$A$1:$BZ$1001,667,G$2)&amp;""),""))</f>
        <v/>
      </c>
      <c r="H668">
        <f>IF(H$2=0,"",IFERROR(TRIM(INDEX('Pegar docentes'!$A$1:$BZ$1001,667,H$2)&amp;""),""))</f>
        <v/>
      </c>
      <c r="I668">
        <f>IF(I$2=0,"",IFERROR(TRIM(INDEX('Pegar docentes'!$A$1:$BZ$1001,667,I$2)&amp;""),""))</f>
        <v/>
      </c>
      <c r="J668">
        <f>IF(J$2=0,"",IFERROR(TRIM(INDEX('Pegar docentes'!$A$1:$BZ$1001,667,J$2)&amp;""),""))</f>
        <v/>
      </c>
      <c r="K668">
        <f>IF(K$2=0,"",IFERROR(TRIM(INDEX('Pegar docentes'!$A$1:$BZ$1001,667,K$2)&amp;""),""))</f>
        <v/>
      </c>
      <c r="L668">
        <f>IF(L$2=0,"",IFERROR(TRIM(INDEX('Pegar docentes'!$A$1:$BZ$1001,667,L$2)&amp;""),""))</f>
        <v/>
      </c>
      <c r="M668">
        <f>IF(M$2=0,"",IFERROR(TRIM(INDEX('Pegar docentes'!$A$1:$BZ$1001,667,M$2)&amp;""),""))</f>
        <v/>
      </c>
      <c r="N668">
        <f>IF(N$2=0,"",IFERROR(TRIM(INDEX('Pegar docentes'!$A$1:$BZ$1001,667,N$2)&amp;""),""))</f>
        <v/>
      </c>
      <c r="O668">
        <f>IF(O$2=0,"",IFERROR(TRIM(INDEX('Pegar docentes'!$A$1:$BZ$1001,667,O$2)&amp;""),""))</f>
        <v/>
      </c>
      <c r="P668">
        <f>IF(P$2=0,"",IFERROR(TRIM(INDEX('Pegar docentes'!$A$1:$BZ$1001,667,P$2)&amp;""),""))</f>
        <v/>
      </c>
      <c r="Q668" s="25">
        <f>IF(OR(D668&lt;&gt;"",H668&lt;&gt;""),1,"")</f>
        <v/>
      </c>
      <c r="R668" s="25">
        <f>IF(Q668=1,IF(ISNUMBER(FIND("#"&amp;MID(D668,1,1)&amp;"#","#0#1#2#3#4#5#6#7#8#9#")),IF(ISNUMBER(FIND("#"&amp;MID(D668,2,1)&amp;"#","#0#1#2#3#4#5#6#7#8#9#")),IF(AND(VALUE(LEFT(D668,2))&gt;=1,VALUE(LEFT(D668,2))&lt;=5),VALUE(LEFT(D668,2)),""),IF(AND(VALUE(LEFT(D668,1))&gt;=1,VALUE(LEFT(D668,1))&lt;=5),VALUE(LEFT(D668,1)),"")),""),"")</f>
        <v/>
      </c>
      <c r="S668" s="25">
        <f>IF(AND(Q668=1,E668&lt;&gt;""),SUBSTITUTE(SUBSTITUTE(SUBSTITUTE(SUBSTITUTE(SUBSTITUTE(SUBSTITUTE(SUBSTITUTE(SUBSTITUTE(SUBSTITUTE(SUBSTITUTE(SUBSTITUTE(SUBSTITUTE(LOWER(TRIM(E668)),"á","a"),"é","e"),"í","i"),"ó","o"),"ú","u"),"ü","u"),"ñ","n"),"à","a"),"è","e"),"ì","i"),"ò","o"),"ù","u"),"")</f>
        <v/>
      </c>
      <c r="T668" s="25">
        <f>IF(AND(Q668=1,G668&lt;&gt;""),SUBSTITUTE(SUBSTITUTE(SUBSTITUTE(SUBSTITUTE(SUBSTITUTE(SUBSTITUTE(SUBSTITUTE(SUBSTITUTE(SUBSTITUTE(SUBSTITUTE(SUBSTITUTE(SUBSTITUTE(LOWER(TRIM(G668)),"á","a"),"é","e"),"í","i"),"ó","o"),"ú","u"),"ü","u"),"ñ","n"),"à","a"),"è","e"),"ì","i"),"ò","o"),"ù","u"),"")</f>
        <v/>
      </c>
      <c r="U668" s="25">
        <f>IF(AND(Q668=1,H668&lt;&gt;""),SUBSTITUTE(SUBSTITUTE(SUBSTITUTE(SUBSTITUTE(SUBSTITUTE(SUBSTITUTE(SUBSTITUTE(SUBSTITUTE(SUBSTITUTE(SUBSTITUTE(SUBSTITUTE(SUBSTITUTE(LOWER(TRIM(H668)),"á","a"),"é","e"),"í","i"),"ó","o"),"ú","u"),"ü","u"),"ñ","n"),"à","a"),"è","e"),"ì","i"),"ò","o"),"ù","u"),"")</f>
        <v/>
      </c>
      <c r="V668" s="25">
        <f>IF(AND(Q668=1,L668&lt;&gt;""),SUBSTITUTE(SUBSTITUTE(SUBSTITUTE(SUBSTITUTE(SUBSTITUTE(SUBSTITUTE(SUBSTITUTE(SUBSTITUTE(SUBSTITUTE(SUBSTITUTE(SUBSTITUTE(SUBSTITUTE(LOWER(TRIM(L668)),"á","a"),"é","e"),"í","i"),"ó","o"),"ú","u"),"ü","u"),"ñ","n"),"à","a"),"è","e"),"ì","i"),"ò","o"),"ù","u"),"")</f>
        <v/>
      </c>
      <c r="W668" s="25">
        <f>IF(AND(Q668=1,I668&lt;&gt;""),SUBSTITUTE(SUBSTITUTE(SUBSTITUTE(SUBSTITUTE(SUBSTITUTE(SUBSTITUTE(SUBSTITUTE(SUBSTITUTE(SUBSTITUTE(SUBSTITUTE(SUBSTITUTE(SUBSTITUTE(LOWER(TRIM(I668)),"á","a"),"é","e"),"í","i"),"ó","o"),"ú","u"),"ü","u"),"ñ","n"),"à","a"),"è","e"),"ì","i"),"ò","o"),"ù","u"),"")</f>
        <v/>
      </c>
      <c r="X668" s="25">
        <f>IF(U668="","",IF(OR(U668="si, en la proxima tarea",U668="si, con cambios"),1,0))</f>
        <v/>
      </c>
      <c r="Y668" s="25">
        <f>IF(AND(Q668=1,A668&lt;&gt;""),IF(IFERROR(COUNTIFS(A$3:A668,"="&amp;SUBSTITUTE(SUBSTITUTE(SUBSTITUTE(A668,"~","~~"),"*","~*"),"?","~?"),Q$3:Q668,1),0)=1,MAX(Y$2:Y667)+1,""),"")</f>
        <v/>
      </c>
      <c r="Z668" s="25">
        <f>IF(Y668="","",COUNTIFS($A$3:$A$1002,"="&amp;SUBSTITUTE(SUBSTITUTE(SUBSTITUTE(A668,"~","~~"),"*","~*"),"?","~?"),$Q$3:$Q$1002,1)*10000-Y668)</f>
        <v/>
      </c>
    </row>
    <row r="669">
      <c r="A669">
        <f>IF(A$2=0,"",IFERROR(TRIM(INDEX('Pegar docentes'!$A$1:$BZ$1001,668,A$2)&amp;""),""))</f>
        <v/>
      </c>
      <c r="B669">
        <f>IF(B$2=0,"",IFERROR(TRIM(INDEX('Pegar docentes'!$A$1:$BZ$1001,668,B$2)&amp;""),""))</f>
        <v/>
      </c>
      <c r="C669">
        <f>IF(C$2=0,"",IFERROR(TRIM(INDEX('Pegar docentes'!$A$1:$BZ$1001,668,C$2)&amp;""),""))</f>
        <v/>
      </c>
      <c r="D669">
        <f>IF(D$2=0,"",IFERROR(TRIM(INDEX('Pegar docentes'!$A$1:$BZ$1001,668,D$2)&amp;""),""))</f>
        <v/>
      </c>
      <c r="E669">
        <f>IF(E$2=0,"",IFERROR(TRIM(INDEX('Pegar docentes'!$A$1:$BZ$1001,668,E$2)&amp;""),""))</f>
        <v/>
      </c>
      <c r="F669">
        <f>IF(F$2=0,"",IFERROR(TRIM(INDEX('Pegar docentes'!$A$1:$BZ$1001,668,F$2)&amp;""),""))</f>
        <v/>
      </c>
      <c r="G669">
        <f>IF(G$2=0,"",IFERROR(TRIM(INDEX('Pegar docentes'!$A$1:$BZ$1001,668,G$2)&amp;""),""))</f>
        <v/>
      </c>
      <c r="H669">
        <f>IF(H$2=0,"",IFERROR(TRIM(INDEX('Pegar docentes'!$A$1:$BZ$1001,668,H$2)&amp;""),""))</f>
        <v/>
      </c>
      <c r="I669">
        <f>IF(I$2=0,"",IFERROR(TRIM(INDEX('Pegar docentes'!$A$1:$BZ$1001,668,I$2)&amp;""),""))</f>
        <v/>
      </c>
      <c r="J669">
        <f>IF(J$2=0,"",IFERROR(TRIM(INDEX('Pegar docentes'!$A$1:$BZ$1001,668,J$2)&amp;""),""))</f>
        <v/>
      </c>
      <c r="K669">
        <f>IF(K$2=0,"",IFERROR(TRIM(INDEX('Pegar docentes'!$A$1:$BZ$1001,668,K$2)&amp;""),""))</f>
        <v/>
      </c>
      <c r="L669">
        <f>IF(L$2=0,"",IFERROR(TRIM(INDEX('Pegar docentes'!$A$1:$BZ$1001,668,L$2)&amp;""),""))</f>
        <v/>
      </c>
      <c r="M669">
        <f>IF(M$2=0,"",IFERROR(TRIM(INDEX('Pegar docentes'!$A$1:$BZ$1001,668,M$2)&amp;""),""))</f>
        <v/>
      </c>
      <c r="N669">
        <f>IF(N$2=0,"",IFERROR(TRIM(INDEX('Pegar docentes'!$A$1:$BZ$1001,668,N$2)&amp;""),""))</f>
        <v/>
      </c>
      <c r="O669">
        <f>IF(O$2=0,"",IFERROR(TRIM(INDEX('Pegar docentes'!$A$1:$BZ$1001,668,O$2)&amp;""),""))</f>
        <v/>
      </c>
      <c r="P669">
        <f>IF(P$2=0,"",IFERROR(TRIM(INDEX('Pegar docentes'!$A$1:$BZ$1001,668,P$2)&amp;""),""))</f>
        <v/>
      </c>
      <c r="Q669" s="25">
        <f>IF(OR(D669&lt;&gt;"",H669&lt;&gt;""),1,"")</f>
        <v/>
      </c>
      <c r="R669" s="25">
        <f>IF(Q669=1,IF(ISNUMBER(FIND("#"&amp;MID(D669,1,1)&amp;"#","#0#1#2#3#4#5#6#7#8#9#")),IF(ISNUMBER(FIND("#"&amp;MID(D669,2,1)&amp;"#","#0#1#2#3#4#5#6#7#8#9#")),IF(AND(VALUE(LEFT(D669,2))&gt;=1,VALUE(LEFT(D669,2))&lt;=5),VALUE(LEFT(D669,2)),""),IF(AND(VALUE(LEFT(D669,1))&gt;=1,VALUE(LEFT(D669,1))&lt;=5),VALUE(LEFT(D669,1)),"")),""),"")</f>
        <v/>
      </c>
      <c r="S669" s="25">
        <f>IF(AND(Q669=1,E669&lt;&gt;""),SUBSTITUTE(SUBSTITUTE(SUBSTITUTE(SUBSTITUTE(SUBSTITUTE(SUBSTITUTE(SUBSTITUTE(SUBSTITUTE(SUBSTITUTE(SUBSTITUTE(SUBSTITUTE(SUBSTITUTE(LOWER(TRIM(E669)),"á","a"),"é","e"),"í","i"),"ó","o"),"ú","u"),"ü","u"),"ñ","n"),"à","a"),"è","e"),"ì","i"),"ò","o"),"ù","u"),"")</f>
        <v/>
      </c>
      <c r="T669" s="25">
        <f>IF(AND(Q669=1,G669&lt;&gt;""),SUBSTITUTE(SUBSTITUTE(SUBSTITUTE(SUBSTITUTE(SUBSTITUTE(SUBSTITUTE(SUBSTITUTE(SUBSTITUTE(SUBSTITUTE(SUBSTITUTE(SUBSTITUTE(SUBSTITUTE(LOWER(TRIM(G669)),"á","a"),"é","e"),"í","i"),"ó","o"),"ú","u"),"ü","u"),"ñ","n"),"à","a"),"è","e"),"ì","i"),"ò","o"),"ù","u"),"")</f>
        <v/>
      </c>
      <c r="U669" s="25">
        <f>IF(AND(Q669=1,H669&lt;&gt;""),SUBSTITUTE(SUBSTITUTE(SUBSTITUTE(SUBSTITUTE(SUBSTITUTE(SUBSTITUTE(SUBSTITUTE(SUBSTITUTE(SUBSTITUTE(SUBSTITUTE(SUBSTITUTE(SUBSTITUTE(LOWER(TRIM(H669)),"á","a"),"é","e"),"í","i"),"ó","o"),"ú","u"),"ü","u"),"ñ","n"),"à","a"),"è","e"),"ì","i"),"ò","o"),"ù","u"),"")</f>
        <v/>
      </c>
      <c r="V669" s="25">
        <f>IF(AND(Q669=1,L669&lt;&gt;""),SUBSTITUTE(SUBSTITUTE(SUBSTITUTE(SUBSTITUTE(SUBSTITUTE(SUBSTITUTE(SUBSTITUTE(SUBSTITUTE(SUBSTITUTE(SUBSTITUTE(SUBSTITUTE(SUBSTITUTE(LOWER(TRIM(L669)),"á","a"),"é","e"),"í","i"),"ó","o"),"ú","u"),"ü","u"),"ñ","n"),"à","a"),"è","e"),"ì","i"),"ò","o"),"ù","u"),"")</f>
        <v/>
      </c>
      <c r="W669" s="25">
        <f>IF(AND(Q669=1,I669&lt;&gt;""),SUBSTITUTE(SUBSTITUTE(SUBSTITUTE(SUBSTITUTE(SUBSTITUTE(SUBSTITUTE(SUBSTITUTE(SUBSTITUTE(SUBSTITUTE(SUBSTITUTE(SUBSTITUTE(SUBSTITUTE(LOWER(TRIM(I669)),"á","a"),"é","e"),"í","i"),"ó","o"),"ú","u"),"ü","u"),"ñ","n"),"à","a"),"è","e"),"ì","i"),"ò","o"),"ù","u"),"")</f>
        <v/>
      </c>
      <c r="X669" s="25">
        <f>IF(U669="","",IF(OR(U669="si, en la proxima tarea",U669="si, con cambios"),1,0))</f>
        <v/>
      </c>
      <c r="Y669" s="25">
        <f>IF(AND(Q669=1,A669&lt;&gt;""),IF(IFERROR(COUNTIFS(A$3:A669,"="&amp;SUBSTITUTE(SUBSTITUTE(SUBSTITUTE(A669,"~","~~"),"*","~*"),"?","~?"),Q$3:Q669,1),0)=1,MAX(Y$2:Y668)+1,""),"")</f>
        <v/>
      </c>
      <c r="Z669" s="25">
        <f>IF(Y669="","",COUNTIFS($A$3:$A$1002,"="&amp;SUBSTITUTE(SUBSTITUTE(SUBSTITUTE(A669,"~","~~"),"*","~*"),"?","~?"),$Q$3:$Q$1002,1)*10000-Y669)</f>
        <v/>
      </c>
    </row>
    <row r="670">
      <c r="A670">
        <f>IF(A$2=0,"",IFERROR(TRIM(INDEX('Pegar docentes'!$A$1:$BZ$1001,669,A$2)&amp;""),""))</f>
        <v/>
      </c>
      <c r="B670">
        <f>IF(B$2=0,"",IFERROR(TRIM(INDEX('Pegar docentes'!$A$1:$BZ$1001,669,B$2)&amp;""),""))</f>
        <v/>
      </c>
      <c r="C670">
        <f>IF(C$2=0,"",IFERROR(TRIM(INDEX('Pegar docentes'!$A$1:$BZ$1001,669,C$2)&amp;""),""))</f>
        <v/>
      </c>
      <c r="D670">
        <f>IF(D$2=0,"",IFERROR(TRIM(INDEX('Pegar docentes'!$A$1:$BZ$1001,669,D$2)&amp;""),""))</f>
        <v/>
      </c>
      <c r="E670">
        <f>IF(E$2=0,"",IFERROR(TRIM(INDEX('Pegar docentes'!$A$1:$BZ$1001,669,E$2)&amp;""),""))</f>
        <v/>
      </c>
      <c r="F670">
        <f>IF(F$2=0,"",IFERROR(TRIM(INDEX('Pegar docentes'!$A$1:$BZ$1001,669,F$2)&amp;""),""))</f>
        <v/>
      </c>
      <c r="G670">
        <f>IF(G$2=0,"",IFERROR(TRIM(INDEX('Pegar docentes'!$A$1:$BZ$1001,669,G$2)&amp;""),""))</f>
        <v/>
      </c>
      <c r="H670">
        <f>IF(H$2=0,"",IFERROR(TRIM(INDEX('Pegar docentes'!$A$1:$BZ$1001,669,H$2)&amp;""),""))</f>
        <v/>
      </c>
      <c r="I670">
        <f>IF(I$2=0,"",IFERROR(TRIM(INDEX('Pegar docentes'!$A$1:$BZ$1001,669,I$2)&amp;""),""))</f>
        <v/>
      </c>
      <c r="J670">
        <f>IF(J$2=0,"",IFERROR(TRIM(INDEX('Pegar docentes'!$A$1:$BZ$1001,669,J$2)&amp;""),""))</f>
        <v/>
      </c>
      <c r="K670">
        <f>IF(K$2=0,"",IFERROR(TRIM(INDEX('Pegar docentes'!$A$1:$BZ$1001,669,K$2)&amp;""),""))</f>
        <v/>
      </c>
      <c r="L670">
        <f>IF(L$2=0,"",IFERROR(TRIM(INDEX('Pegar docentes'!$A$1:$BZ$1001,669,L$2)&amp;""),""))</f>
        <v/>
      </c>
      <c r="M670">
        <f>IF(M$2=0,"",IFERROR(TRIM(INDEX('Pegar docentes'!$A$1:$BZ$1001,669,M$2)&amp;""),""))</f>
        <v/>
      </c>
      <c r="N670">
        <f>IF(N$2=0,"",IFERROR(TRIM(INDEX('Pegar docentes'!$A$1:$BZ$1001,669,N$2)&amp;""),""))</f>
        <v/>
      </c>
      <c r="O670">
        <f>IF(O$2=0,"",IFERROR(TRIM(INDEX('Pegar docentes'!$A$1:$BZ$1001,669,O$2)&amp;""),""))</f>
        <v/>
      </c>
      <c r="P670">
        <f>IF(P$2=0,"",IFERROR(TRIM(INDEX('Pegar docentes'!$A$1:$BZ$1001,669,P$2)&amp;""),""))</f>
        <v/>
      </c>
      <c r="Q670" s="25">
        <f>IF(OR(D670&lt;&gt;"",H670&lt;&gt;""),1,"")</f>
        <v/>
      </c>
      <c r="R670" s="25">
        <f>IF(Q670=1,IF(ISNUMBER(FIND("#"&amp;MID(D670,1,1)&amp;"#","#0#1#2#3#4#5#6#7#8#9#")),IF(ISNUMBER(FIND("#"&amp;MID(D670,2,1)&amp;"#","#0#1#2#3#4#5#6#7#8#9#")),IF(AND(VALUE(LEFT(D670,2))&gt;=1,VALUE(LEFT(D670,2))&lt;=5),VALUE(LEFT(D670,2)),""),IF(AND(VALUE(LEFT(D670,1))&gt;=1,VALUE(LEFT(D670,1))&lt;=5),VALUE(LEFT(D670,1)),"")),""),"")</f>
        <v/>
      </c>
      <c r="S670" s="25">
        <f>IF(AND(Q670=1,E670&lt;&gt;""),SUBSTITUTE(SUBSTITUTE(SUBSTITUTE(SUBSTITUTE(SUBSTITUTE(SUBSTITUTE(SUBSTITUTE(SUBSTITUTE(SUBSTITUTE(SUBSTITUTE(SUBSTITUTE(SUBSTITUTE(LOWER(TRIM(E670)),"á","a"),"é","e"),"í","i"),"ó","o"),"ú","u"),"ü","u"),"ñ","n"),"à","a"),"è","e"),"ì","i"),"ò","o"),"ù","u"),"")</f>
        <v/>
      </c>
      <c r="T670" s="25">
        <f>IF(AND(Q670=1,G670&lt;&gt;""),SUBSTITUTE(SUBSTITUTE(SUBSTITUTE(SUBSTITUTE(SUBSTITUTE(SUBSTITUTE(SUBSTITUTE(SUBSTITUTE(SUBSTITUTE(SUBSTITUTE(SUBSTITUTE(SUBSTITUTE(LOWER(TRIM(G670)),"á","a"),"é","e"),"í","i"),"ó","o"),"ú","u"),"ü","u"),"ñ","n"),"à","a"),"è","e"),"ì","i"),"ò","o"),"ù","u"),"")</f>
        <v/>
      </c>
      <c r="U670" s="25">
        <f>IF(AND(Q670=1,H670&lt;&gt;""),SUBSTITUTE(SUBSTITUTE(SUBSTITUTE(SUBSTITUTE(SUBSTITUTE(SUBSTITUTE(SUBSTITUTE(SUBSTITUTE(SUBSTITUTE(SUBSTITUTE(SUBSTITUTE(SUBSTITUTE(LOWER(TRIM(H670)),"á","a"),"é","e"),"í","i"),"ó","o"),"ú","u"),"ü","u"),"ñ","n"),"à","a"),"è","e"),"ì","i"),"ò","o"),"ù","u"),"")</f>
        <v/>
      </c>
      <c r="V670" s="25">
        <f>IF(AND(Q670=1,L670&lt;&gt;""),SUBSTITUTE(SUBSTITUTE(SUBSTITUTE(SUBSTITUTE(SUBSTITUTE(SUBSTITUTE(SUBSTITUTE(SUBSTITUTE(SUBSTITUTE(SUBSTITUTE(SUBSTITUTE(SUBSTITUTE(LOWER(TRIM(L670)),"á","a"),"é","e"),"í","i"),"ó","o"),"ú","u"),"ü","u"),"ñ","n"),"à","a"),"è","e"),"ì","i"),"ò","o"),"ù","u"),"")</f>
        <v/>
      </c>
      <c r="W670" s="25">
        <f>IF(AND(Q670=1,I670&lt;&gt;""),SUBSTITUTE(SUBSTITUTE(SUBSTITUTE(SUBSTITUTE(SUBSTITUTE(SUBSTITUTE(SUBSTITUTE(SUBSTITUTE(SUBSTITUTE(SUBSTITUTE(SUBSTITUTE(SUBSTITUTE(LOWER(TRIM(I670)),"á","a"),"é","e"),"í","i"),"ó","o"),"ú","u"),"ü","u"),"ñ","n"),"à","a"),"è","e"),"ì","i"),"ò","o"),"ù","u"),"")</f>
        <v/>
      </c>
      <c r="X670" s="25">
        <f>IF(U670="","",IF(OR(U670="si, en la proxima tarea",U670="si, con cambios"),1,0))</f>
        <v/>
      </c>
      <c r="Y670" s="25">
        <f>IF(AND(Q670=1,A670&lt;&gt;""),IF(IFERROR(COUNTIFS(A$3:A670,"="&amp;SUBSTITUTE(SUBSTITUTE(SUBSTITUTE(A670,"~","~~"),"*","~*"),"?","~?"),Q$3:Q670,1),0)=1,MAX(Y$2:Y669)+1,""),"")</f>
        <v/>
      </c>
      <c r="Z670" s="25">
        <f>IF(Y670="","",COUNTIFS($A$3:$A$1002,"="&amp;SUBSTITUTE(SUBSTITUTE(SUBSTITUTE(A670,"~","~~"),"*","~*"),"?","~?"),$Q$3:$Q$1002,1)*10000-Y670)</f>
        <v/>
      </c>
    </row>
    <row r="671">
      <c r="A671">
        <f>IF(A$2=0,"",IFERROR(TRIM(INDEX('Pegar docentes'!$A$1:$BZ$1001,670,A$2)&amp;""),""))</f>
        <v/>
      </c>
      <c r="B671">
        <f>IF(B$2=0,"",IFERROR(TRIM(INDEX('Pegar docentes'!$A$1:$BZ$1001,670,B$2)&amp;""),""))</f>
        <v/>
      </c>
      <c r="C671">
        <f>IF(C$2=0,"",IFERROR(TRIM(INDEX('Pegar docentes'!$A$1:$BZ$1001,670,C$2)&amp;""),""))</f>
        <v/>
      </c>
      <c r="D671">
        <f>IF(D$2=0,"",IFERROR(TRIM(INDEX('Pegar docentes'!$A$1:$BZ$1001,670,D$2)&amp;""),""))</f>
        <v/>
      </c>
      <c r="E671">
        <f>IF(E$2=0,"",IFERROR(TRIM(INDEX('Pegar docentes'!$A$1:$BZ$1001,670,E$2)&amp;""),""))</f>
        <v/>
      </c>
      <c r="F671">
        <f>IF(F$2=0,"",IFERROR(TRIM(INDEX('Pegar docentes'!$A$1:$BZ$1001,670,F$2)&amp;""),""))</f>
        <v/>
      </c>
      <c r="G671">
        <f>IF(G$2=0,"",IFERROR(TRIM(INDEX('Pegar docentes'!$A$1:$BZ$1001,670,G$2)&amp;""),""))</f>
        <v/>
      </c>
      <c r="H671">
        <f>IF(H$2=0,"",IFERROR(TRIM(INDEX('Pegar docentes'!$A$1:$BZ$1001,670,H$2)&amp;""),""))</f>
        <v/>
      </c>
      <c r="I671">
        <f>IF(I$2=0,"",IFERROR(TRIM(INDEX('Pegar docentes'!$A$1:$BZ$1001,670,I$2)&amp;""),""))</f>
        <v/>
      </c>
      <c r="J671">
        <f>IF(J$2=0,"",IFERROR(TRIM(INDEX('Pegar docentes'!$A$1:$BZ$1001,670,J$2)&amp;""),""))</f>
        <v/>
      </c>
      <c r="K671">
        <f>IF(K$2=0,"",IFERROR(TRIM(INDEX('Pegar docentes'!$A$1:$BZ$1001,670,K$2)&amp;""),""))</f>
        <v/>
      </c>
      <c r="L671">
        <f>IF(L$2=0,"",IFERROR(TRIM(INDEX('Pegar docentes'!$A$1:$BZ$1001,670,L$2)&amp;""),""))</f>
        <v/>
      </c>
      <c r="M671">
        <f>IF(M$2=0,"",IFERROR(TRIM(INDEX('Pegar docentes'!$A$1:$BZ$1001,670,M$2)&amp;""),""))</f>
        <v/>
      </c>
      <c r="N671">
        <f>IF(N$2=0,"",IFERROR(TRIM(INDEX('Pegar docentes'!$A$1:$BZ$1001,670,N$2)&amp;""),""))</f>
        <v/>
      </c>
      <c r="O671">
        <f>IF(O$2=0,"",IFERROR(TRIM(INDEX('Pegar docentes'!$A$1:$BZ$1001,670,O$2)&amp;""),""))</f>
        <v/>
      </c>
      <c r="P671">
        <f>IF(P$2=0,"",IFERROR(TRIM(INDEX('Pegar docentes'!$A$1:$BZ$1001,670,P$2)&amp;""),""))</f>
        <v/>
      </c>
      <c r="Q671" s="25">
        <f>IF(OR(D671&lt;&gt;"",H671&lt;&gt;""),1,"")</f>
        <v/>
      </c>
      <c r="R671" s="25">
        <f>IF(Q671=1,IF(ISNUMBER(FIND("#"&amp;MID(D671,1,1)&amp;"#","#0#1#2#3#4#5#6#7#8#9#")),IF(ISNUMBER(FIND("#"&amp;MID(D671,2,1)&amp;"#","#0#1#2#3#4#5#6#7#8#9#")),IF(AND(VALUE(LEFT(D671,2))&gt;=1,VALUE(LEFT(D671,2))&lt;=5),VALUE(LEFT(D671,2)),""),IF(AND(VALUE(LEFT(D671,1))&gt;=1,VALUE(LEFT(D671,1))&lt;=5),VALUE(LEFT(D671,1)),"")),""),"")</f>
        <v/>
      </c>
      <c r="S671" s="25">
        <f>IF(AND(Q671=1,E671&lt;&gt;""),SUBSTITUTE(SUBSTITUTE(SUBSTITUTE(SUBSTITUTE(SUBSTITUTE(SUBSTITUTE(SUBSTITUTE(SUBSTITUTE(SUBSTITUTE(SUBSTITUTE(SUBSTITUTE(SUBSTITUTE(LOWER(TRIM(E671)),"á","a"),"é","e"),"í","i"),"ó","o"),"ú","u"),"ü","u"),"ñ","n"),"à","a"),"è","e"),"ì","i"),"ò","o"),"ù","u"),"")</f>
        <v/>
      </c>
      <c r="T671" s="25">
        <f>IF(AND(Q671=1,G671&lt;&gt;""),SUBSTITUTE(SUBSTITUTE(SUBSTITUTE(SUBSTITUTE(SUBSTITUTE(SUBSTITUTE(SUBSTITUTE(SUBSTITUTE(SUBSTITUTE(SUBSTITUTE(SUBSTITUTE(SUBSTITUTE(LOWER(TRIM(G671)),"á","a"),"é","e"),"í","i"),"ó","o"),"ú","u"),"ü","u"),"ñ","n"),"à","a"),"è","e"),"ì","i"),"ò","o"),"ù","u"),"")</f>
        <v/>
      </c>
      <c r="U671" s="25">
        <f>IF(AND(Q671=1,H671&lt;&gt;""),SUBSTITUTE(SUBSTITUTE(SUBSTITUTE(SUBSTITUTE(SUBSTITUTE(SUBSTITUTE(SUBSTITUTE(SUBSTITUTE(SUBSTITUTE(SUBSTITUTE(SUBSTITUTE(SUBSTITUTE(LOWER(TRIM(H671)),"á","a"),"é","e"),"í","i"),"ó","o"),"ú","u"),"ü","u"),"ñ","n"),"à","a"),"è","e"),"ì","i"),"ò","o"),"ù","u"),"")</f>
        <v/>
      </c>
      <c r="V671" s="25">
        <f>IF(AND(Q671=1,L671&lt;&gt;""),SUBSTITUTE(SUBSTITUTE(SUBSTITUTE(SUBSTITUTE(SUBSTITUTE(SUBSTITUTE(SUBSTITUTE(SUBSTITUTE(SUBSTITUTE(SUBSTITUTE(SUBSTITUTE(SUBSTITUTE(LOWER(TRIM(L671)),"á","a"),"é","e"),"í","i"),"ó","o"),"ú","u"),"ü","u"),"ñ","n"),"à","a"),"è","e"),"ì","i"),"ò","o"),"ù","u"),"")</f>
        <v/>
      </c>
      <c r="W671" s="25">
        <f>IF(AND(Q671=1,I671&lt;&gt;""),SUBSTITUTE(SUBSTITUTE(SUBSTITUTE(SUBSTITUTE(SUBSTITUTE(SUBSTITUTE(SUBSTITUTE(SUBSTITUTE(SUBSTITUTE(SUBSTITUTE(SUBSTITUTE(SUBSTITUTE(LOWER(TRIM(I671)),"á","a"),"é","e"),"í","i"),"ó","o"),"ú","u"),"ü","u"),"ñ","n"),"à","a"),"è","e"),"ì","i"),"ò","o"),"ù","u"),"")</f>
        <v/>
      </c>
      <c r="X671" s="25">
        <f>IF(U671="","",IF(OR(U671="si, en la proxima tarea",U671="si, con cambios"),1,0))</f>
        <v/>
      </c>
      <c r="Y671" s="25">
        <f>IF(AND(Q671=1,A671&lt;&gt;""),IF(IFERROR(COUNTIFS(A$3:A671,"="&amp;SUBSTITUTE(SUBSTITUTE(SUBSTITUTE(A671,"~","~~"),"*","~*"),"?","~?"),Q$3:Q671,1),0)=1,MAX(Y$2:Y670)+1,""),"")</f>
        <v/>
      </c>
      <c r="Z671" s="25">
        <f>IF(Y671="","",COUNTIFS($A$3:$A$1002,"="&amp;SUBSTITUTE(SUBSTITUTE(SUBSTITUTE(A671,"~","~~"),"*","~*"),"?","~?"),$Q$3:$Q$1002,1)*10000-Y671)</f>
        <v/>
      </c>
    </row>
    <row r="672">
      <c r="A672">
        <f>IF(A$2=0,"",IFERROR(TRIM(INDEX('Pegar docentes'!$A$1:$BZ$1001,671,A$2)&amp;""),""))</f>
        <v/>
      </c>
      <c r="B672">
        <f>IF(B$2=0,"",IFERROR(TRIM(INDEX('Pegar docentes'!$A$1:$BZ$1001,671,B$2)&amp;""),""))</f>
        <v/>
      </c>
      <c r="C672">
        <f>IF(C$2=0,"",IFERROR(TRIM(INDEX('Pegar docentes'!$A$1:$BZ$1001,671,C$2)&amp;""),""))</f>
        <v/>
      </c>
      <c r="D672">
        <f>IF(D$2=0,"",IFERROR(TRIM(INDEX('Pegar docentes'!$A$1:$BZ$1001,671,D$2)&amp;""),""))</f>
        <v/>
      </c>
      <c r="E672">
        <f>IF(E$2=0,"",IFERROR(TRIM(INDEX('Pegar docentes'!$A$1:$BZ$1001,671,E$2)&amp;""),""))</f>
        <v/>
      </c>
      <c r="F672">
        <f>IF(F$2=0,"",IFERROR(TRIM(INDEX('Pegar docentes'!$A$1:$BZ$1001,671,F$2)&amp;""),""))</f>
        <v/>
      </c>
      <c r="G672">
        <f>IF(G$2=0,"",IFERROR(TRIM(INDEX('Pegar docentes'!$A$1:$BZ$1001,671,G$2)&amp;""),""))</f>
        <v/>
      </c>
      <c r="H672">
        <f>IF(H$2=0,"",IFERROR(TRIM(INDEX('Pegar docentes'!$A$1:$BZ$1001,671,H$2)&amp;""),""))</f>
        <v/>
      </c>
      <c r="I672">
        <f>IF(I$2=0,"",IFERROR(TRIM(INDEX('Pegar docentes'!$A$1:$BZ$1001,671,I$2)&amp;""),""))</f>
        <v/>
      </c>
      <c r="J672">
        <f>IF(J$2=0,"",IFERROR(TRIM(INDEX('Pegar docentes'!$A$1:$BZ$1001,671,J$2)&amp;""),""))</f>
        <v/>
      </c>
      <c r="K672">
        <f>IF(K$2=0,"",IFERROR(TRIM(INDEX('Pegar docentes'!$A$1:$BZ$1001,671,K$2)&amp;""),""))</f>
        <v/>
      </c>
      <c r="L672">
        <f>IF(L$2=0,"",IFERROR(TRIM(INDEX('Pegar docentes'!$A$1:$BZ$1001,671,L$2)&amp;""),""))</f>
        <v/>
      </c>
      <c r="M672">
        <f>IF(M$2=0,"",IFERROR(TRIM(INDEX('Pegar docentes'!$A$1:$BZ$1001,671,M$2)&amp;""),""))</f>
        <v/>
      </c>
      <c r="N672">
        <f>IF(N$2=0,"",IFERROR(TRIM(INDEX('Pegar docentes'!$A$1:$BZ$1001,671,N$2)&amp;""),""))</f>
        <v/>
      </c>
      <c r="O672">
        <f>IF(O$2=0,"",IFERROR(TRIM(INDEX('Pegar docentes'!$A$1:$BZ$1001,671,O$2)&amp;""),""))</f>
        <v/>
      </c>
      <c r="P672">
        <f>IF(P$2=0,"",IFERROR(TRIM(INDEX('Pegar docentes'!$A$1:$BZ$1001,671,P$2)&amp;""),""))</f>
        <v/>
      </c>
      <c r="Q672" s="25">
        <f>IF(OR(D672&lt;&gt;"",H672&lt;&gt;""),1,"")</f>
        <v/>
      </c>
      <c r="R672" s="25">
        <f>IF(Q672=1,IF(ISNUMBER(FIND("#"&amp;MID(D672,1,1)&amp;"#","#0#1#2#3#4#5#6#7#8#9#")),IF(ISNUMBER(FIND("#"&amp;MID(D672,2,1)&amp;"#","#0#1#2#3#4#5#6#7#8#9#")),IF(AND(VALUE(LEFT(D672,2))&gt;=1,VALUE(LEFT(D672,2))&lt;=5),VALUE(LEFT(D672,2)),""),IF(AND(VALUE(LEFT(D672,1))&gt;=1,VALUE(LEFT(D672,1))&lt;=5),VALUE(LEFT(D672,1)),"")),""),"")</f>
        <v/>
      </c>
      <c r="S672" s="25">
        <f>IF(AND(Q672=1,E672&lt;&gt;""),SUBSTITUTE(SUBSTITUTE(SUBSTITUTE(SUBSTITUTE(SUBSTITUTE(SUBSTITUTE(SUBSTITUTE(SUBSTITUTE(SUBSTITUTE(SUBSTITUTE(SUBSTITUTE(SUBSTITUTE(LOWER(TRIM(E672)),"á","a"),"é","e"),"í","i"),"ó","o"),"ú","u"),"ü","u"),"ñ","n"),"à","a"),"è","e"),"ì","i"),"ò","o"),"ù","u"),"")</f>
        <v/>
      </c>
      <c r="T672" s="25">
        <f>IF(AND(Q672=1,G672&lt;&gt;""),SUBSTITUTE(SUBSTITUTE(SUBSTITUTE(SUBSTITUTE(SUBSTITUTE(SUBSTITUTE(SUBSTITUTE(SUBSTITUTE(SUBSTITUTE(SUBSTITUTE(SUBSTITUTE(SUBSTITUTE(LOWER(TRIM(G672)),"á","a"),"é","e"),"í","i"),"ó","o"),"ú","u"),"ü","u"),"ñ","n"),"à","a"),"è","e"),"ì","i"),"ò","o"),"ù","u"),"")</f>
        <v/>
      </c>
      <c r="U672" s="25">
        <f>IF(AND(Q672=1,H672&lt;&gt;""),SUBSTITUTE(SUBSTITUTE(SUBSTITUTE(SUBSTITUTE(SUBSTITUTE(SUBSTITUTE(SUBSTITUTE(SUBSTITUTE(SUBSTITUTE(SUBSTITUTE(SUBSTITUTE(SUBSTITUTE(LOWER(TRIM(H672)),"á","a"),"é","e"),"í","i"),"ó","o"),"ú","u"),"ü","u"),"ñ","n"),"à","a"),"è","e"),"ì","i"),"ò","o"),"ù","u"),"")</f>
        <v/>
      </c>
      <c r="V672" s="25">
        <f>IF(AND(Q672=1,L672&lt;&gt;""),SUBSTITUTE(SUBSTITUTE(SUBSTITUTE(SUBSTITUTE(SUBSTITUTE(SUBSTITUTE(SUBSTITUTE(SUBSTITUTE(SUBSTITUTE(SUBSTITUTE(SUBSTITUTE(SUBSTITUTE(LOWER(TRIM(L672)),"á","a"),"é","e"),"í","i"),"ó","o"),"ú","u"),"ü","u"),"ñ","n"),"à","a"),"è","e"),"ì","i"),"ò","o"),"ù","u"),"")</f>
        <v/>
      </c>
      <c r="W672" s="25">
        <f>IF(AND(Q672=1,I672&lt;&gt;""),SUBSTITUTE(SUBSTITUTE(SUBSTITUTE(SUBSTITUTE(SUBSTITUTE(SUBSTITUTE(SUBSTITUTE(SUBSTITUTE(SUBSTITUTE(SUBSTITUTE(SUBSTITUTE(SUBSTITUTE(LOWER(TRIM(I672)),"á","a"),"é","e"),"í","i"),"ó","o"),"ú","u"),"ü","u"),"ñ","n"),"à","a"),"è","e"),"ì","i"),"ò","o"),"ù","u"),"")</f>
        <v/>
      </c>
      <c r="X672" s="25">
        <f>IF(U672="","",IF(OR(U672="si, en la proxima tarea",U672="si, con cambios"),1,0))</f>
        <v/>
      </c>
      <c r="Y672" s="25">
        <f>IF(AND(Q672=1,A672&lt;&gt;""),IF(IFERROR(COUNTIFS(A$3:A672,"="&amp;SUBSTITUTE(SUBSTITUTE(SUBSTITUTE(A672,"~","~~"),"*","~*"),"?","~?"),Q$3:Q672,1),0)=1,MAX(Y$2:Y671)+1,""),"")</f>
        <v/>
      </c>
      <c r="Z672" s="25">
        <f>IF(Y672="","",COUNTIFS($A$3:$A$1002,"="&amp;SUBSTITUTE(SUBSTITUTE(SUBSTITUTE(A672,"~","~~"),"*","~*"),"?","~?"),$Q$3:$Q$1002,1)*10000-Y672)</f>
        <v/>
      </c>
    </row>
    <row r="673">
      <c r="A673">
        <f>IF(A$2=0,"",IFERROR(TRIM(INDEX('Pegar docentes'!$A$1:$BZ$1001,672,A$2)&amp;""),""))</f>
        <v/>
      </c>
      <c r="B673">
        <f>IF(B$2=0,"",IFERROR(TRIM(INDEX('Pegar docentes'!$A$1:$BZ$1001,672,B$2)&amp;""),""))</f>
        <v/>
      </c>
      <c r="C673">
        <f>IF(C$2=0,"",IFERROR(TRIM(INDEX('Pegar docentes'!$A$1:$BZ$1001,672,C$2)&amp;""),""))</f>
        <v/>
      </c>
      <c r="D673">
        <f>IF(D$2=0,"",IFERROR(TRIM(INDEX('Pegar docentes'!$A$1:$BZ$1001,672,D$2)&amp;""),""))</f>
        <v/>
      </c>
      <c r="E673">
        <f>IF(E$2=0,"",IFERROR(TRIM(INDEX('Pegar docentes'!$A$1:$BZ$1001,672,E$2)&amp;""),""))</f>
        <v/>
      </c>
      <c r="F673">
        <f>IF(F$2=0,"",IFERROR(TRIM(INDEX('Pegar docentes'!$A$1:$BZ$1001,672,F$2)&amp;""),""))</f>
        <v/>
      </c>
      <c r="G673">
        <f>IF(G$2=0,"",IFERROR(TRIM(INDEX('Pegar docentes'!$A$1:$BZ$1001,672,G$2)&amp;""),""))</f>
        <v/>
      </c>
      <c r="H673">
        <f>IF(H$2=0,"",IFERROR(TRIM(INDEX('Pegar docentes'!$A$1:$BZ$1001,672,H$2)&amp;""),""))</f>
        <v/>
      </c>
      <c r="I673">
        <f>IF(I$2=0,"",IFERROR(TRIM(INDEX('Pegar docentes'!$A$1:$BZ$1001,672,I$2)&amp;""),""))</f>
        <v/>
      </c>
      <c r="J673">
        <f>IF(J$2=0,"",IFERROR(TRIM(INDEX('Pegar docentes'!$A$1:$BZ$1001,672,J$2)&amp;""),""))</f>
        <v/>
      </c>
      <c r="K673">
        <f>IF(K$2=0,"",IFERROR(TRIM(INDEX('Pegar docentes'!$A$1:$BZ$1001,672,K$2)&amp;""),""))</f>
        <v/>
      </c>
      <c r="L673">
        <f>IF(L$2=0,"",IFERROR(TRIM(INDEX('Pegar docentes'!$A$1:$BZ$1001,672,L$2)&amp;""),""))</f>
        <v/>
      </c>
      <c r="M673">
        <f>IF(M$2=0,"",IFERROR(TRIM(INDEX('Pegar docentes'!$A$1:$BZ$1001,672,M$2)&amp;""),""))</f>
        <v/>
      </c>
      <c r="N673">
        <f>IF(N$2=0,"",IFERROR(TRIM(INDEX('Pegar docentes'!$A$1:$BZ$1001,672,N$2)&amp;""),""))</f>
        <v/>
      </c>
      <c r="O673">
        <f>IF(O$2=0,"",IFERROR(TRIM(INDEX('Pegar docentes'!$A$1:$BZ$1001,672,O$2)&amp;""),""))</f>
        <v/>
      </c>
      <c r="P673">
        <f>IF(P$2=0,"",IFERROR(TRIM(INDEX('Pegar docentes'!$A$1:$BZ$1001,672,P$2)&amp;""),""))</f>
        <v/>
      </c>
      <c r="Q673" s="25">
        <f>IF(OR(D673&lt;&gt;"",H673&lt;&gt;""),1,"")</f>
        <v/>
      </c>
      <c r="R673" s="25">
        <f>IF(Q673=1,IF(ISNUMBER(FIND("#"&amp;MID(D673,1,1)&amp;"#","#0#1#2#3#4#5#6#7#8#9#")),IF(ISNUMBER(FIND("#"&amp;MID(D673,2,1)&amp;"#","#0#1#2#3#4#5#6#7#8#9#")),IF(AND(VALUE(LEFT(D673,2))&gt;=1,VALUE(LEFT(D673,2))&lt;=5),VALUE(LEFT(D673,2)),""),IF(AND(VALUE(LEFT(D673,1))&gt;=1,VALUE(LEFT(D673,1))&lt;=5),VALUE(LEFT(D673,1)),"")),""),"")</f>
        <v/>
      </c>
      <c r="S673" s="25">
        <f>IF(AND(Q673=1,E673&lt;&gt;""),SUBSTITUTE(SUBSTITUTE(SUBSTITUTE(SUBSTITUTE(SUBSTITUTE(SUBSTITUTE(SUBSTITUTE(SUBSTITUTE(SUBSTITUTE(SUBSTITUTE(SUBSTITUTE(SUBSTITUTE(LOWER(TRIM(E673)),"á","a"),"é","e"),"í","i"),"ó","o"),"ú","u"),"ü","u"),"ñ","n"),"à","a"),"è","e"),"ì","i"),"ò","o"),"ù","u"),"")</f>
        <v/>
      </c>
      <c r="T673" s="25">
        <f>IF(AND(Q673=1,G673&lt;&gt;""),SUBSTITUTE(SUBSTITUTE(SUBSTITUTE(SUBSTITUTE(SUBSTITUTE(SUBSTITUTE(SUBSTITUTE(SUBSTITUTE(SUBSTITUTE(SUBSTITUTE(SUBSTITUTE(SUBSTITUTE(LOWER(TRIM(G673)),"á","a"),"é","e"),"í","i"),"ó","o"),"ú","u"),"ü","u"),"ñ","n"),"à","a"),"è","e"),"ì","i"),"ò","o"),"ù","u"),"")</f>
        <v/>
      </c>
      <c r="U673" s="25">
        <f>IF(AND(Q673=1,H673&lt;&gt;""),SUBSTITUTE(SUBSTITUTE(SUBSTITUTE(SUBSTITUTE(SUBSTITUTE(SUBSTITUTE(SUBSTITUTE(SUBSTITUTE(SUBSTITUTE(SUBSTITUTE(SUBSTITUTE(SUBSTITUTE(LOWER(TRIM(H673)),"á","a"),"é","e"),"í","i"),"ó","o"),"ú","u"),"ü","u"),"ñ","n"),"à","a"),"è","e"),"ì","i"),"ò","o"),"ù","u"),"")</f>
        <v/>
      </c>
      <c r="V673" s="25">
        <f>IF(AND(Q673=1,L673&lt;&gt;""),SUBSTITUTE(SUBSTITUTE(SUBSTITUTE(SUBSTITUTE(SUBSTITUTE(SUBSTITUTE(SUBSTITUTE(SUBSTITUTE(SUBSTITUTE(SUBSTITUTE(SUBSTITUTE(SUBSTITUTE(LOWER(TRIM(L673)),"á","a"),"é","e"),"í","i"),"ó","o"),"ú","u"),"ü","u"),"ñ","n"),"à","a"),"è","e"),"ì","i"),"ò","o"),"ù","u"),"")</f>
        <v/>
      </c>
      <c r="W673" s="25">
        <f>IF(AND(Q673=1,I673&lt;&gt;""),SUBSTITUTE(SUBSTITUTE(SUBSTITUTE(SUBSTITUTE(SUBSTITUTE(SUBSTITUTE(SUBSTITUTE(SUBSTITUTE(SUBSTITUTE(SUBSTITUTE(SUBSTITUTE(SUBSTITUTE(LOWER(TRIM(I673)),"á","a"),"é","e"),"í","i"),"ó","o"),"ú","u"),"ü","u"),"ñ","n"),"à","a"),"è","e"),"ì","i"),"ò","o"),"ù","u"),"")</f>
        <v/>
      </c>
      <c r="X673" s="25">
        <f>IF(U673="","",IF(OR(U673="si, en la proxima tarea",U673="si, con cambios"),1,0))</f>
        <v/>
      </c>
      <c r="Y673" s="25">
        <f>IF(AND(Q673=1,A673&lt;&gt;""),IF(IFERROR(COUNTIFS(A$3:A673,"="&amp;SUBSTITUTE(SUBSTITUTE(SUBSTITUTE(A673,"~","~~"),"*","~*"),"?","~?"),Q$3:Q673,1),0)=1,MAX(Y$2:Y672)+1,""),"")</f>
        <v/>
      </c>
      <c r="Z673" s="25">
        <f>IF(Y673="","",COUNTIFS($A$3:$A$1002,"="&amp;SUBSTITUTE(SUBSTITUTE(SUBSTITUTE(A673,"~","~~"),"*","~*"),"?","~?"),$Q$3:$Q$1002,1)*10000-Y673)</f>
        <v/>
      </c>
    </row>
    <row r="674">
      <c r="A674">
        <f>IF(A$2=0,"",IFERROR(TRIM(INDEX('Pegar docentes'!$A$1:$BZ$1001,673,A$2)&amp;""),""))</f>
        <v/>
      </c>
      <c r="B674">
        <f>IF(B$2=0,"",IFERROR(TRIM(INDEX('Pegar docentes'!$A$1:$BZ$1001,673,B$2)&amp;""),""))</f>
        <v/>
      </c>
      <c r="C674">
        <f>IF(C$2=0,"",IFERROR(TRIM(INDEX('Pegar docentes'!$A$1:$BZ$1001,673,C$2)&amp;""),""))</f>
        <v/>
      </c>
      <c r="D674">
        <f>IF(D$2=0,"",IFERROR(TRIM(INDEX('Pegar docentes'!$A$1:$BZ$1001,673,D$2)&amp;""),""))</f>
        <v/>
      </c>
      <c r="E674">
        <f>IF(E$2=0,"",IFERROR(TRIM(INDEX('Pegar docentes'!$A$1:$BZ$1001,673,E$2)&amp;""),""))</f>
        <v/>
      </c>
      <c r="F674">
        <f>IF(F$2=0,"",IFERROR(TRIM(INDEX('Pegar docentes'!$A$1:$BZ$1001,673,F$2)&amp;""),""))</f>
        <v/>
      </c>
      <c r="G674">
        <f>IF(G$2=0,"",IFERROR(TRIM(INDEX('Pegar docentes'!$A$1:$BZ$1001,673,G$2)&amp;""),""))</f>
        <v/>
      </c>
      <c r="H674">
        <f>IF(H$2=0,"",IFERROR(TRIM(INDEX('Pegar docentes'!$A$1:$BZ$1001,673,H$2)&amp;""),""))</f>
        <v/>
      </c>
      <c r="I674">
        <f>IF(I$2=0,"",IFERROR(TRIM(INDEX('Pegar docentes'!$A$1:$BZ$1001,673,I$2)&amp;""),""))</f>
        <v/>
      </c>
      <c r="J674">
        <f>IF(J$2=0,"",IFERROR(TRIM(INDEX('Pegar docentes'!$A$1:$BZ$1001,673,J$2)&amp;""),""))</f>
        <v/>
      </c>
      <c r="K674">
        <f>IF(K$2=0,"",IFERROR(TRIM(INDEX('Pegar docentes'!$A$1:$BZ$1001,673,K$2)&amp;""),""))</f>
        <v/>
      </c>
      <c r="L674">
        <f>IF(L$2=0,"",IFERROR(TRIM(INDEX('Pegar docentes'!$A$1:$BZ$1001,673,L$2)&amp;""),""))</f>
        <v/>
      </c>
      <c r="M674">
        <f>IF(M$2=0,"",IFERROR(TRIM(INDEX('Pegar docentes'!$A$1:$BZ$1001,673,M$2)&amp;""),""))</f>
        <v/>
      </c>
      <c r="N674">
        <f>IF(N$2=0,"",IFERROR(TRIM(INDEX('Pegar docentes'!$A$1:$BZ$1001,673,N$2)&amp;""),""))</f>
        <v/>
      </c>
      <c r="O674">
        <f>IF(O$2=0,"",IFERROR(TRIM(INDEX('Pegar docentes'!$A$1:$BZ$1001,673,O$2)&amp;""),""))</f>
        <v/>
      </c>
      <c r="P674">
        <f>IF(P$2=0,"",IFERROR(TRIM(INDEX('Pegar docentes'!$A$1:$BZ$1001,673,P$2)&amp;""),""))</f>
        <v/>
      </c>
      <c r="Q674" s="25">
        <f>IF(OR(D674&lt;&gt;"",H674&lt;&gt;""),1,"")</f>
        <v/>
      </c>
      <c r="R674" s="25">
        <f>IF(Q674=1,IF(ISNUMBER(FIND("#"&amp;MID(D674,1,1)&amp;"#","#0#1#2#3#4#5#6#7#8#9#")),IF(ISNUMBER(FIND("#"&amp;MID(D674,2,1)&amp;"#","#0#1#2#3#4#5#6#7#8#9#")),IF(AND(VALUE(LEFT(D674,2))&gt;=1,VALUE(LEFT(D674,2))&lt;=5),VALUE(LEFT(D674,2)),""),IF(AND(VALUE(LEFT(D674,1))&gt;=1,VALUE(LEFT(D674,1))&lt;=5),VALUE(LEFT(D674,1)),"")),""),"")</f>
        <v/>
      </c>
      <c r="S674" s="25">
        <f>IF(AND(Q674=1,E674&lt;&gt;""),SUBSTITUTE(SUBSTITUTE(SUBSTITUTE(SUBSTITUTE(SUBSTITUTE(SUBSTITUTE(SUBSTITUTE(SUBSTITUTE(SUBSTITUTE(SUBSTITUTE(SUBSTITUTE(SUBSTITUTE(LOWER(TRIM(E674)),"á","a"),"é","e"),"í","i"),"ó","o"),"ú","u"),"ü","u"),"ñ","n"),"à","a"),"è","e"),"ì","i"),"ò","o"),"ù","u"),"")</f>
        <v/>
      </c>
      <c r="T674" s="25">
        <f>IF(AND(Q674=1,G674&lt;&gt;""),SUBSTITUTE(SUBSTITUTE(SUBSTITUTE(SUBSTITUTE(SUBSTITUTE(SUBSTITUTE(SUBSTITUTE(SUBSTITUTE(SUBSTITUTE(SUBSTITUTE(SUBSTITUTE(SUBSTITUTE(LOWER(TRIM(G674)),"á","a"),"é","e"),"í","i"),"ó","o"),"ú","u"),"ü","u"),"ñ","n"),"à","a"),"è","e"),"ì","i"),"ò","o"),"ù","u"),"")</f>
        <v/>
      </c>
      <c r="U674" s="25">
        <f>IF(AND(Q674=1,H674&lt;&gt;""),SUBSTITUTE(SUBSTITUTE(SUBSTITUTE(SUBSTITUTE(SUBSTITUTE(SUBSTITUTE(SUBSTITUTE(SUBSTITUTE(SUBSTITUTE(SUBSTITUTE(SUBSTITUTE(SUBSTITUTE(LOWER(TRIM(H674)),"á","a"),"é","e"),"í","i"),"ó","o"),"ú","u"),"ü","u"),"ñ","n"),"à","a"),"è","e"),"ì","i"),"ò","o"),"ù","u"),"")</f>
        <v/>
      </c>
      <c r="V674" s="25">
        <f>IF(AND(Q674=1,L674&lt;&gt;""),SUBSTITUTE(SUBSTITUTE(SUBSTITUTE(SUBSTITUTE(SUBSTITUTE(SUBSTITUTE(SUBSTITUTE(SUBSTITUTE(SUBSTITUTE(SUBSTITUTE(SUBSTITUTE(SUBSTITUTE(LOWER(TRIM(L674)),"á","a"),"é","e"),"í","i"),"ó","o"),"ú","u"),"ü","u"),"ñ","n"),"à","a"),"è","e"),"ì","i"),"ò","o"),"ù","u"),"")</f>
        <v/>
      </c>
      <c r="W674" s="25">
        <f>IF(AND(Q674=1,I674&lt;&gt;""),SUBSTITUTE(SUBSTITUTE(SUBSTITUTE(SUBSTITUTE(SUBSTITUTE(SUBSTITUTE(SUBSTITUTE(SUBSTITUTE(SUBSTITUTE(SUBSTITUTE(SUBSTITUTE(SUBSTITUTE(LOWER(TRIM(I674)),"á","a"),"é","e"),"í","i"),"ó","o"),"ú","u"),"ü","u"),"ñ","n"),"à","a"),"è","e"),"ì","i"),"ò","o"),"ù","u"),"")</f>
        <v/>
      </c>
      <c r="X674" s="25">
        <f>IF(U674="","",IF(OR(U674="si, en la proxima tarea",U674="si, con cambios"),1,0))</f>
        <v/>
      </c>
      <c r="Y674" s="25">
        <f>IF(AND(Q674=1,A674&lt;&gt;""),IF(IFERROR(COUNTIFS(A$3:A674,"="&amp;SUBSTITUTE(SUBSTITUTE(SUBSTITUTE(A674,"~","~~"),"*","~*"),"?","~?"),Q$3:Q674,1),0)=1,MAX(Y$2:Y673)+1,""),"")</f>
        <v/>
      </c>
      <c r="Z674" s="25">
        <f>IF(Y674="","",COUNTIFS($A$3:$A$1002,"="&amp;SUBSTITUTE(SUBSTITUTE(SUBSTITUTE(A674,"~","~~"),"*","~*"),"?","~?"),$Q$3:$Q$1002,1)*10000-Y674)</f>
        <v/>
      </c>
    </row>
    <row r="675">
      <c r="A675">
        <f>IF(A$2=0,"",IFERROR(TRIM(INDEX('Pegar docentes'!$A$1:$BZ$1001,674,A$2)&amp;""),""))</f>
        <v/>
      </c>
      <c r="B675">
        <f>IF(B$2=0,"",IFERROR(TRIM(INDEX('Pegar docentes'!$A$1:$BZ$1001,674,B$2)&amp;""),""))</f>
        <v/>
      </c>
      <c r="C675">
        <f>IF(C$2=0,"",IFERROR(TRIM(INDEX('Pegar docentes'!$A$1:$BZ$1001,674,C$2)&amp;""),""))</f>
        <v/>
      </c>
      <c r="D675">
        <f>IF(D$2=0,"",IFERROR(TRIM(INDEX('Pegar docentes'!$A$1:$BZ$1001,674,D$2)&amp;""),""))</f>
        <v/>
      </c>
      <c r="E675">
        <f>IF(E$2=0,"",IFERROR(TRIM(INDEX('Pegar docentes'!$A$1:$BZ$1001,674,E$2)&amp;""),""))</f>
        <v/>
      </c>
      <c r="F675">
        <f>IF(F$2=0,"",IFERROR(TRIM(INDEX('Pegar docentes'!$A$1:$BZ$1001,674,F$2)&amp;""),""))</f>
        <v/>
      </c>
      <c r="G675">
        <f>IF(G$2=0,"",IFERROR(TRIM(INDEX('Pegar docentes'!$A$1:$BZ$1001,674,G$2)&amp;""),""))</f>
        <v/>
      </c>
      <c r="H675">
        <f>IF(H$2=0,"",IFERROR(TRIM(INDEX('Pegar docentes'!$A$1:$BZ$1001,674,H$2)&amp;""),""))</f>
        <v/>
      </c>
      <c r="I675">
        <f>IF(I$2=0,"",IFERROR(TRIM(INDEX('Pegar docentes'!$A$1:$BZ$1001,674,I$2)&amp;""),""))</f>
        <v/>
      </c>
      <c r="J675">
        <f>IF(J$2=0,"",IFERROR(TRIM(INDEX('Pegar docentes'!$A$1:$BZ$1001,674,J$2)&amp;""),""))</f>
        <v/>
      </c>
      <c r="K675">
        <f>IF(K$2=0,"",IFERROR(TRIM(INDEX('Pegar docentes'!$A$1:$BZ$1001,674,K$2)&amp;""),""))</f>
        <v/>
      </c>
      <c r="L675">
        <f>IF(L$2=0,"",IFERROR(TRIM(INDEX('Pegar docentes'!$A$1:$BZ$1001,674,L$2)&amp;""),""))</f>
        <v/>
      </c>
      <c r="M675">
        <f>IF(M$2=0,"",IFERROR(TRIM(INDEX('Pegar docentes'!$A$1:$BZ$1001,674,M$2)&amp;""),""))</f>
        <v/>
      </c>
      <c r="N675">
        <f>IF(N$2=0,"",IFERROR(TRIM(INDEX('Pegar docentes'!$A$1:$BZ$1001,674,N$2)&amp;""),""))</f>
        <v/>
      </c>
      <c r="O675">
        <f>IF(O$2=0,"",IFERROR(TRIM(INDEX('Pegar docentes'!$A$1:$BZ$1001,674,O$2)&amp;""),""))</f>
        <v/>
      </c>
      <c r="P675">
        <f>IF(P$2=0,"",IFERROR(TRIM(INDEX('Pegar docentes'!$A$1:$BZ$1001,674,P$2)&amp;""),""))</f>
        <v/>
      </c>
      <c r="Q675" s="25">
        <f>IF(OR(D675&lt;&gt;"",H675&lt;&gt;""),1,"")</f>
        <v/>
      </c>
      <c r="R675" s="25">
        <f>IF(Q675=1,IF(ISNUMBER(FIND("#"&amp;MID(D675,1,1)&amp;"#","#0#1#2#3#4#5#6#7#8#9#")),IF(ISNUMBER(FIND("#"&amp;MID(D675,2,1)&amp;"#","#0#1#2#3#4#5#6#7#8#9#")),IF(AND(VALUE(LEFT(D675,2))&gt;=1,VALUE(LEFT(D675,2))&lt;=5),VALUE(LEFT(D675,2)),""),IF(AND(VALUE(LEFT(D675,1))&gt;=1,VALUE(LEFT(D675,1))&lt;=5),VALUE(LEFT(D675,1)),"")),""),"")</f>
        <v/>
      </c>
      <c r="S675" s="25">
        <f>IF(AND(Q675=1,E675&lt;&gt;""),SUBSTITUTE(SUBSTITUTE(SUBSTITUTE(SUBSTITUTE(SUBSTITUTE(SUBSTITUTE(SUBSTITUTE(SUBSTITUTE(SUBSTITUTE(SUBSTITUTE(SUBSTITUTE(SUBSTITUTE(LOWER(TRIM(E675)),"á","a"),"é","e"),"í","i"),"ó","o"),"ú","u"),"ü","u"),"ñ","n"),"à","a"),"è","e"),"ì","i"),"ò","o"),"ù","u"),"")</f>
        <v/>
      </c>
      <c r="T675" s="25">
        <f>IF(AND(Q675=1,G675&lt;&gt;""),SUBSTITUTE(SUBSTITUTE(SUBSTITUTE(SUBSTITUTE(SUBSTITUTE(SUBSTITUTE(SUBSTITUTE(SUBSTITUTE(SUBSTITUTE(SUBSTITUTE(SUBSTITUTE(SUBSTITUTE(LOWER(TRIM(G675)),"á","a"),"é","e"),"í","i"),"ó","o"),"ú","u"),"ü","u"),"ñ","n"),"à","a"),"è","e"),"ì","i"),"ò","o"),"ù","u"),"")</f>
        <v/>
      </c>
      <c r="U675" s="25">
        <f>IF(AND(Q675=1,H675&lt;&gt;""),SUBSTITUTE(SUBSTITUTE(SUBSTITUTE(SUBSTITUTE(SUBSTITUTE(SUBSTITUTE(SUBSTITUTE(SUBSTITUTE(SUBSTITUTE(SUBSTITUTE(SUBSTITUTE(SUBSTITUTE(LOWER(TRIM(H675)),"á","a"),"é","e"),"í","i"),"ó","o"),"ú","u"),"ü","u"),"ñ","n"),"à","a"),"è","e"),"ì","i"),"ò","o"),"ù","u"),"")</f>
        <v/>
      </c>
      <c r="V675" s="25">
        <f>IF(AND(Q675=1,L675&lt;&gt;""),SUBSTITUTE(SUBSTITUTE(SUBSTITUTE(SUBSTITUTE(SUBSTITUTE(SUBSTITUTE(SUBSTITUTE(SUBSTITUTE(SUBSTITUTE(SUBSTITUTE(SUBSTITUTE(SUBSTITUTE(LOWER(TRIM(L675)),"á","a"),"é","e"),"í","i"),"ó","o"),"ú","u"),"ü","u"),"ñ","n"),"à","a"),"è","e"),"ì","i"),"ò","o"),"ù","u"),"")</f>
        <v/>
      </c>
      <c r="W675" s="25">
        <f>IF(AND(Q675=1,I675&lt;&gt;""),SUBSTITUTE(SUBSTITUTE(SUBSTITUTE(SUBSTITUTE(SUBSTITUTE(SUBSTITUTE(SUBSTITUTE(SUBSTITUTE(SUBSTITUTE(SUBSTITUTE(SUBSTITUTE(SUBSTITUTE(LOWER(TRIM(I675)),"á","a"),"é","e"),"í","i"),"ó","o"),"ú","u"),"ü","u"),"ñ","n"),"à","a"),"è","e"),"ì","i"),"ò","o"),"ù","u"),"")</f>
        <v/>
      </c>
      <c r="X675" s="25">
        <f>IF(U675="","",IF(OR(U675="si, en la proxima tarea",U675="si, con cambios"),1,0))</f>
        <v/>
      </c>
      <c r="Y675" s="25">
        <f>IF(AND(Q675=1,A675&lt;&gt;""),IF(IFERROR(COUNTIFS(A$3:A675,"="&amp;SUBSTITUTE(SUBSTITUTE(SUBSTITUTE(A675,"~","~~"),"*","~*"),"?","~?"),Q$3:Q675,1),0)=1,MAX(Y$2:Y674)+1,""),"")</f>
        <v/>
      </c>
      <c r="Z675" s="25">
        <f>IF(Y675="","",COUNTIFS($A$3:$A$1002,"="&amp;SUBSTITUTE(SUBSTITUTE(SUBSTITUTE(A675,"~","~~"),"*","~*"),"?","~?"),$Q$3:$Q$1002,1)*10000-Y675)</f>
        <v/>
      </c>
    </row>
    <row r="676">
      <c r="A676">
        <f>IF(A$2=0,"",IFERROR(TRIM(INDEX('Pegar docentes'!$A$1:$BZ$1001,675,A$2)&amp;""),""))</f>
        <v/>
      </c>
      <c r="B676">
        <f>IF(B$2=0,"",IFERROR(TRIM(INDEX('Pegar docentes'!$A$1:$BZ$1001,675,B$2)&amp;""),""))</f>
        <v/>
      </c>
      <c r="C676">
        <f>IF(C$2=0,"",IFERROR(TRIM(INDEX('Pegar docentes'!$A$1:$BZ$1001,675,C$2)&amp;""),""))</f>
        <v/>
      </c>
      <c r="D676">
        <f>IF(D$2=0,"",IFERROR(TRIM(INDEX('Pegar docentes'!$A$1:$BZ$1001,675,D$2)&amp;""),""))</f>
        <v/>
      </c>
      <c r="E676">
        <f>IF(E$2=0,"",IFERROR(TRIM(INDEX('Pegar docentes'!$A$1:$BZ$1001,675,E$2)&amp;""),""))</f>
        <v/>
      </c>
      <c r="F676">
        <f>IF(F$2=0,"",IFERROR(TRIM(INDEX('Pegar docentes'!$A$1:$BZ$1001,675,F$2)&amp;""),""))</f>
        <v/>
      </c>
      <c r="G676">
        <f>IF(G$2=0,"",IFERROR(TRIM(INDEX('Pegar docentes'!$A$1:$BZ$1001,675,G$2)&amp;""),""))</f>
        <v/>
      </c>
      <c r="H676">
        <f>IF(H$2=0,"",IFERROR(TRIM(INDEX('Pegar docentes'!$A$1:$BZ$1001,675,H$2)&amp;""),""))</f>
        <v/>
      </c>
      <c r="I676">
        <f>IF(I$2=0,"",IFERROR(TRIM(INDEX('Pegar docentes'!$A$1:$BZ$1001,675,I$2)&amp;""),""))</f>
        <v/>
      </c>
      <c r="J676">
        <f>IF(J$2=0,"",IFERROR(TRIM(INDEX('Pegar docentes'!$A$1:$BZ$1001,675,J$2)&amp;""),""))</f>
        <v/>
      </c>
      <c r="K676">
        <f>IF(K$2=0,"",IFERROR(TRIM(INDEX('Pegar docentes'!$A$1:$BZ$1001,675,K$2)&amp;""),""))</f>
        <v/>
      </c>
      <c r="L676">
        <f>IF(L$2=0,"",IFERROR(TRIM(INDEX('Pegar docentes'!$A$1:$BZ$1001,675,L$2)&amp;""),""))</f>
        <v/>
      </c>
      <c r="M676">
        <f>IF(M$2=0,"",IFERROR(TRIM(INDEX('Pegar docentes'!$A$1:$BZ$1001,675,M$2)&amp;""),""))</f>
        <v/>
      </c>
      <c r="N676">
        <f>IF(N$2=0,"",IFERROR(TRIM(INDEX('Pegar docentes'!$A$1:$BZ$1001,675,N$2)&amp;""),""))</f>
        <v/>
      </c>
      <c r="O676">
        <f>IF(O$2=0,"",IFERROR(TRIM(INDEX('Pegar docentes'!$A$1:$BZ$1001,675,O$2)&amp;""),""))</f>
        <v/>
      </c>
      <c r="P676">
        <f>IF(P$2=0,"",IFERROR(TRIM(INDEX('Pegar docentes'!$A$1:$BZ$1001,675,P$2)&amp;""),""))</f>
        <v/>
      </c>
      <c r="Q676" s="25">
        <f>IF(OR(D676&lt;&gt;"",H676&lt;&gt;""),1,"")</f>
        <v/>
      </c>
      <c r="R676" s="25">
        <f>IF(Q676=1,IF(ISNUMBER(FIND("#"&amp;MID(D676,1,1)&amp;"#","#0#1#2#3#4#5#6#7#8#9#")),IF(ISNUMBER(FIND("#"&amp;MID(D676,2,1)&amp;"#","#0#1#2#3#4#5#6#7#8#9#")),IF(AND(VALUE(LEFT(D676,2))&gt;=1,VALUE(LEFT(D676,2))&lt;=5),VALUE(LEFT(D676,2)),""),IF(AND(VALUE(LEFT(D676,1))&gt;=1,VALUE(LEFT(D676,1))&lt;=5),VALUE(LEFT(D676,1)),"")),""),"")</f>
        <v/>
      </c>
      <c r="S676" s="25">
        <f>IF(AND(Q676=1,E676&lt;&gt;""),SUBSTITUTE(SUBSTITUTE(SUBSTITUTE(SUBSTITUTE(SUBSTITUTE(SUBSTITUTE(SUBSTITUTE(SUBSTITUTE(SUBSTITUTE(SUBSTITUTE(SUBSTITUTE(SUBSTITUTE(LOWER(TRIM(E676)),"á","a"),"é","e"),"í","i"),"ó","o"),"ú","u"),"ü","u"),"ñ","n"),"à","a"),"è","e"),"ì","i"),"ò","o"),"ù","u"),"")</f>
        <v/>
      </c>
      <c r="T676" s="25">
        <f>IF(AND(Q676=1,G676&lt;&gt;""),SUBSTITUTE(SUBSTITUTE(SUBSTITUTE(SUBSTITUTE(SUBSTITUTE(SUBSTITUTE(SUBSTITUTE(SUBSTITUTE(SUBSTITUTE(SUBSTITUTE(SUBSTITUTE(SUBSTITUTE(LOWER(TRIM(G676)),"á","a"),"é","e"),"í","i"),"ó","o"),"ú","u"),"ü","u"),"ñ","n"),"à","a"),"è","e"),"ì","i"),"ò","o"),"ù","u"),"")</f>
        <v/>
      </c>
      <c r="U676" s="25">
        <f>IF(AND(Q676=1,H676&lt;&gt;""),SUBSTITUTE(SUBSTITUTE(SUBSTITUTE(SUBSTITUTE(SUBSTITUTE(SUBSTITUTE(SUBSTITUTE(SUBSTITUTE(SUBSTITUTE(SUBSTITUTE(SUBSTITUTE(SUBSTITUTE(LOWER(TRIM(H676)),"á","a"),"é","e"),"í","i"),"ó","o"),"ú","u"),"ü","u"),"ñ","n"),"à","a"),"è","e"),"ì","i"),"ò","o"),"ù","u"),"")</f>
        <v/>
      </c>
      <c r="V676" s="25">
        <f>IF(AND(Q676=1,L676&lt;&gt;""),SUBSTITUTE(SUBSTITUTE(SUBSTITUTE(SUBSTITUTE(SUBSTITUTE(SUBSTITUTE(SUBSTITUTE(SUBSTITUTE(SUBSTITUTE(SUBSTITUTE(SUBSTITUTE(SUBSTITUTE(LOWER(TRIM(L676)),"á","a"),"é","e"),"í","i"),"ó","o"),"ú","u"),"ü","u"),"ñ","n"),"à","a"),"è","e"),"ì","i"),"ò","o"),"ù","u"),"")</f>
        <v/>
      </c>
      <c r="W676" s="25">
        <f>IF(AND(Q676=1,I676&lt;&gt;""),SUBSTITUTE(SUBSTITUTE(SUBSTITUTE(SUBSTITUTE(SUBSTITUTE(SUBSTITUTE(SUBSTITUTE(SUBSTITUTE(SUBSTITUTE(SUBSTITUTE(SUBSTITUTE(SUBSTITUTE(LOWER(TRIM(I676)),"á","a"),"é","e"),"í","i"),"ó","o"),"ú","u"),"ü","u"),"ñ","n"),"à","a"),"è","e"),"ì","i"),"ò","o"),"ù","u"),"")</f>
        <v/>
      </c>
      <c r="X676" s="25">
        <f>IF(U676="","",IF(OR(U676="si, en la proxima tarea",U676="si, con cambios"),1,0))</f>
        <v/>
      </c>
      <c r="Y676" s="25">
        <f>IF(AND(Q676=1,A676&lt;&gt;""),IF(IFERROR(COUNTIFS(A$3:A676,"="&amp;SUBSTITUTE(SUBSTITUTE(SUBSTITUTE(A676,"~","~~"),"*","~*"),"?","~?"),Q$3:Q676,1),0)=1,MAX(Y$2:Y675)+1,""),"")</f>
        <v/>
      </c>
      <c r="Z676" s="25">
        <f>IF(Y676="","",COUNTIFS($A$3:$A$1002,"="&amp;SUBSTITUTE(SUBSTITUTE(SUBSTITUTE(A676,"~","~~"),"*","~*"),"?","~?"),$Q$3:$Q$1002,1)*10000-Y676)</f>
        <v/>
      </c>
    </row>
    <row r="677">
      <c r="A677">
        <f>IF(A$2=0,"",IFERROR(TRIM(INDEX('Pegar docentes'!$A$1:$BZ$1001,676,A$2)&amp;""),""))</f>
        <v/>
      </c>
      <c r="B677">
        <f>IF(B$2=0,"",IFERROR(TRIM(INDEX('Pegar docentes'!$A$1:$BZ$1001,676,B$2)&amp;""),""))</f>
        <v/>
      </c>
      <c r="C677">
        <f>IF(C$2=0,"",IFERROR(TRIM(INDEX('Pegar docentes'!$A$1:$BZ$1001,676,C$2)&amp;""),""))</f>
        <v/>
      </c>
      <c r="D677">
        <f>IF(D$2=0,"",IFERROR(TRIM(INDEX('Pegar docentes'!$A$1:$BZ$1001,676,D$2)&amp;""),""))</f>
        <v/>
      </c>
      <c r="E677">
        <f>IF(E$2=0,"",IFERROR(TRIM(INDEX('Pegar docentes'!$A$1:$BZ$1001,676,E$2)&amp;""),""))</f>
        <v/>
      </c>
      <c r="F677">
        <f>IF(F$2=0,"",IFERROR(TRIM(INDEX('Pegar docentes'!$A$1:$BZ$1001,676,F$2)&amp;""),""))</f>
        <v/>
      </c>
      <c r="G677">
        <f>IF(G$2=0,"",IFERROR(TRIM(INDEX('Pegar docentes'!$A$1:$BZ$1001,676,G$2)&amp;""),""))</f>
        <v/>
      </c>
      <c r="H677">
        <f>IF(H$2=0,"",IFERROR(TRIM(INDEX('Pegar docentes'!$A$1:$BZ$1001,676,H$2)&amp;""),""))</f>
        <v/>
      </c>
      <c r="I677">
        <f>IF(I$2=0,"",IFERROR(TRIM(INDEX('Pegar docentes'!$A$1:$BZ$1001,676,I$2)&amp;""),""))</f>
        <v/>
      </c>
      <c r="J677">
        <f>IF(J$2=0,"",IFERROR(TRIM(INDEX('Pegar docentes'!$A$1:$BZ$1001,676,J$2)&amp;""),""))</f>
        <v/>
      </c>
      <c r="K677">
        <f>IF(K$2=0,"",IFERROR(TRIM(INDEX('Pegar docentes'!$A$1:$BZ$1001,676,K$2)&amp;""),""))</f>
        <v/>
      </c>
      <c r="L677">
        <f>IF(L$2=0,"",IFERROR(TRIM(INDEX('Pegar docentes'!$A$1:$BZ$1001,676,L$2)&amp;""),""))</f>
        <v/>
      </c>
      <c r="M677">
        <f>IF(M$2=0,"",IFERROR(TRIM(INDEX('Pegar docentes'!$A$1:$BZ$1001,676,M$2)&amp;""),""))</f>
        <v/>
      </c>
      <c r="N677">
        <f>IF(N$2=0,"",IFERROR(TRIM(INDEX('Pegar docentes'!$A$1:$BZ$1001,676,N$2)&amp;""),""))</f>
        <v/>
      </c>
      <c r="O677">
        <f>IF(O$2=0,"",IFERROR(TRIM(INDEX('Pegar docentes'!$A$1:$BZ$1001,676,O$2)&amp;""),""))</f>
        <v/>
      </c>
      <c r="P677">
        <f>IF(P$2=0,"",IFERROR(TRIM(INDEX('Pegar docentes'!$A$1:$BZ$1001,676,P$2)&amp;""),""))</f>
        <v/>
      </c>
      <c r="Q677" s="25">
        <f>IF(OR(D677&lt;&gt;"",H677&lt;&gt;""),1,"")</f>
        <v/>
      </c>
      <c r="R677" s="25">
        <f>IF(Q677=1,IF(ISNUMBER(FIND("#"&amp;MID(D677,1,1)&amp;"#","#0#1#2#3#4#5#6#7#8#9#")),IF(ISNUMBER(FIND("#"&amp;MID(D677,2,1)&amp;"#","#0#1#2#3#4#5#6#7#8#9#")),IF(AND(VALUE(LEFT(D677,2))&gt;=1,VALUE(LEFT(D677,2))&lt;=5),VALUE(LEFT(D677,2)),""),IF(AND(VALUE(LEFT(D677,1))&gt;=1,VALUE(LEFT(D677,1))&lt;=5),VALUE(LEFT(D677,1)),"")),""),"")</f>
        <v/>
      </c>
      <c r="S677" s="25">
        <f>IF(AND(Q677=1,E677&lt;&gt;""),SUBSTITUTE(SUBSTITUTE(SUBSTITUTE(SUBSTITUTE(SUBSTITUTE(SUBSTITUTE(SUBSTITUTE(SUBSTITUTE(SUBSTITUTE(SUBSTITUTE(SUBSTITUTE(SUBSTITUTE(LOWER(TRIM(E677)),"á","a"),"é","e"),"í","i"),"ó","o"),"ú","u"),"ü","u"),"ñ","n"),"à","a"),"è","e"),"ì","i"),"ò","o"),"ù","u"),"")</f>
        <v/>
      </c>
      <c r="T677" s="25">
        <f>IF(AND(Q677=1,G677&lt;&gt;""),SUBSTITUTE(SUBSTITUTE(SUBSTITUTE(SUBSTITUTE(SUBSTITUTE(SUBSTITUTE(SUBSTITUTE(SUBSTITUTE(SUBSTITUTE(SUBSTITUTE(SUBSTITUTE(SUBSTITUTE(LOWER(TRIM(G677)),"á","a"),"é","e"),"í","i"),"ó","o"),"ú","u"),"ü","u"),"ñ","n"),"à","a"),"è","e"),"ì","i"),"ò","o"),"ù","u"),"")</f>
        <v/>
      </c>
      <c r="U677" s="25">
        <f>IF(AND(Q677=1,H677&lt;&gt;""),SUBSTITUTE(SUBSTITUTE(SUBSTITUTE(SUBSTITUTE(SUBSTITUTE(SUBSTITUTE(SUBSTITUTE(SUBSTITUTE(SUBSTITUTE(SUBSTITUTE(SUBSTITUTE(SUBSTITUTE(LOWER(TRIM(H677)),"á","a"),"é","e"),"í","i"),"ó","o"),"ú","u"),"ü","u"),"ñ","n"),"à","a"),"è","e"),"ì","i"),"ò","o"),"ù","u"),"")</f>
        <v/>
      </c>
      <c r="V677" s="25">
        <f>IF(AND(Q677=1,L677&lt;&gt;""),SUBSTITUTE(SUBSTITUTE(SUBSTITUTE(SUBSTITUTE(SUBSTITUTE(SUBSTITUTE(SUBSTITUTE(SUBSTITUTE(SUBSTITUTE(SUBSTITUTE(SUBSTITUTE(SUBSTITUTE(LOWER(TRIM(L677)),"á","a"),"é","e"),"í","i"),"ó","o"),"ú","u"),"ü","u"),"ñ","n"),"à","a"),"è","e"),"ì","i"),"ò","o"),"ù","u"),"")</f>
        <v/>
      </c>
      <c r="W677" s="25">
        <f>IF(AND(Q677=1,I677&lt;&gt;""),SUBSTITUTE(SUBSTITUTE(SUBSTITUTE(SUBSTITUTE(SUBSTITUTE(SUBSTITUTE(SUBSTITUTE(SUBSTITUTE(SUBSTITUTE(SUBSTITUTE(SUBSTITUTE(SUBSTITUTE(LOWER(TRIM(I677)),"á","a"),"é","e"),"í","i"),"ó","o"),"ú","u"),"ü","u"),"ñ","n"),"à","a"),"è","e"),"ì","i"),"ò","o"),"ù","u"),"")</f>
        <v/>
      </c>
      <c r="X677" s="25">
        <f>IF(U677="","",IF(OR(U677="si, en la proxima tarea",U677="si, con cambios"),1,0))</f>
        <v/>
      </c>
      <c r="Y677" s="25">
        <f>IF(AND(Q677=1,A677&lt;&gt;""),IF(IFERROR(COUNTIFS(A$3:A677,"="&amp;SUBSTITUTE(SUBSTITUTE(SUBSTITUTE(A677,"~","~~"),"*","~*"),"?","~?"),Q$3:Q677,1),0)=1,MAX(Y$2:Y676)+1,""),"")</f>
        <v/>
      </c>
      <c r="Z677" s="25">
        <f>IF(Y677="","",COUNTIFS($A$3:$A$1002,"="&amp;SUBSTITUTE(SUBSTITUTE(SUBSTITUTE(A677,"~","~~"),"*","~*"),"?","~?"),$Q$3:$Q$1002,1)*10000-Y677)</f>
        <v/>
      </c>
    </row>
    <row r="678">
      <c r="A678">
        <f>IF(A$2=0,"",IFERROR(TRIM(INDEX('Pegar docentes'!$A$1:$BZ$1001,677,A$2)&amp;""),""))</f>
        <v/>
      </c>
      <c r="B678">
        <f>IF(B$2=0,"",IFERROR(TRIM(INDEX('Pegar docentes'!$A$1:$BZ$1001,677,B$2)&amp;""),""))</f>
        <v/>
      </c>
      <c r="C678">
        <f>IF(C$2=0,"",IFERROR(TRIM(INDEX('Pegar docentes'!$A$1:$BZ$1001,677,C$2)&amp;""),""))</f>
        <v/>
      </c>
      <c r="D678">
        <f>IF(D$2=0,"",IFERROR(TRIM(INDEX('Pegar docentes'!$A$1:$BZ$1001,677,D$2)&amp;""),""))</f>
        <v/>
      </c>
      <c r="E678">
        <f>IF(E$2=0,"",IFERROR(TRIM(INDEX('Pegar docentes'!$A$1:$BZ$1001,677,E$2)&amp;""),""))</f>
        <v/>
      </c>
      <c r="F678">
        <f>IF(F$2=0,"",IFERROR(TRIM(INDEX('Pegar docentes'!$A$1:$BZ$1001,677,F$2)&amp;""),""))</f>
        <v/>
      </c>
      <c r="G678">
        <f>IF(G$2=0,"",IFERROR(TRIM(INDEX('Pegar docentes'!$A$1:$BZ$1001,677,G$2)&amp;""),""))</f>
        <v/>
      </c>
      <c r="H678">
        <f>IF(H$2=0,"",IFERROR(TRIM(INDEX('Pegar docentes'!$A$1:$BZ$1001,677,H$2)&amp;""),""))</f>
        <v/>
      </c>
      <c r="I678">
        <f>IF(I$2=0,"",IFERROR(TRIM(INDEX('Pegar docentes'!$A$1:$BZ$1001,677,I$2)&amp;""),""))</f>
        <v/>
      </c>
      <c r="J678">
        <f>IF(J$2=0,"",IFERROR(TRIM(INDEX('Pegar docentes'!$A$1:$BZ$1001,677,J$2)&amp;""),""))</f>
        <v/>
      </c>
      <c r="K678">
        <f>IF(K$2=0,"",IFERROR(TRIM(INDEX('Pegar docentes'!$A$1:$BZ$1001,677,K$2)&amp;""),""))</f>
        <v/>
      </c>
      <c r="L678">
        <f>IF(L$2=0,"",IFERROR(TRIM(INDEX('Pegar docentes'!$A$1:$BZ$1001,677,L$2)&amp;""),""))</f>
        <v/>
      </c>
      <c r="M678">
        <f>IF(M$2=0,"",IFERROR(TRIM(INDEX('Pegar docentes'!$A$1:$BZ$1001,677,M$2)&amp;""),""))</f>
        <v/>
      </c>
      <c r="N678">
        <f>IF(N$2=0,"",IFERROR(TRIM(INDEX('Pegar docentes'!$A$1:$BZ$1001,677,N$2)&amp;""),""))</f>
        <v/>
      </c>
      <c r="O678">
        <f>IF(O$2=0,"",IFERROR(TRIM(INDEX('Pegar docentes'!$A$1:$BZ$1001,677,O$2)&amp;""),""))</f>
        <v/>
      </c>
      <c r="P678">
        <f>IF(P$2=0,"",IFERROR(TRIM(INDEX('Pegar docentes'!$A$1:$BZ$1001,677,P$2)&amp;""),""))</f>
        <v/>
      </c>
      <c r="Q678" s="25">
        <f>IF(OR(D678&lt;&gt;"",H678&lt;&gt;""),1,"")</f>
        <v/>
      </c>
      <c r="R678" s="25">
        <f>IF(Q678=1,IF(ISNUMBER(FIND("#"&amp;MID(D678,1,1)&amp;"#","#0#1#2#3#4#5#6#7#8#9#")),IF(ISNUMBER(FIND("#"&amp;MID(D678,2,1)&amp;"#","#0#1#2#3#4#5#6#7#8#9#")),IF(AND(VALUE(LEFT(D678,2))&gt;=1,VALUE(LEFT(D678,2))&lt;=5),VALUE(LEFT(D678,2)),""),IF(AND(VALUE(LEFT(D678,1))&gt;=1,VALUE(LEFT(D678,1))&lt;=5),VALUE(LEFT(D678,1)),"")),""),"")</f>
        <v/>
      </c>
      <c r="S678" s="25">
        <f>IF(AND(Q678=1,E678&lt;&gt;""),SUBSTITUTE(SUBSTITUTE(SUBSTITUTE(SUBSTITUTE(SUBSTITUTE(SUBSTITUTE(SUBSTITUTE(SUBSTITUTE(SUBSTITUTE(SUBSTITUTE(SUBSTITUTE(SUBSTITUTE(LOWER(TRIM(E678)),"á","a"),"é","e"),"í","i"),"ó","o"),"ú","u"),"ü","u"),"ñ","n"),"à","a"),"è","e"),"ì","i"),"ò","o"),"ù","u"),"")</f>
        <v/>
      </c>
      <c r="T678" s="25">
        <f>IF(AND(Q678=1,G678&lt;&gt;""),SUBSTITUTE(SUBSTITUTE(SUBSTITUTE(SUBSTITUTE(SUBSTITUTE(SUBSTITUTE(SUBSTITUTE(SUBSTITUTE(SUBSTITUTE(SUBSTITUTE(SUBSTITUTE(SUBSTITUTE(LOWER(TRIM(G678)),"á","a"),"é","e"),"í","i"),"ó","o"),"ú","u"),"ü","u"),"ñ","n"),"à","a"),"è","e"),"ì","i"),"ò","o"),"ù","u"),"")</f>
        <v/>
      </c>
      <c r="U678" s="25">
        <f>IF(AND(Q678=1,H678&lt;&gt;""),SUBSTITUTE(SUBSTITUTE(SUBSTITUTE(SUBSTITUTE(SUBSTITUTE(SUBSTITUTE(SUBSTITUTE(SUBSTITUTE(SUBSTITUTE(SUBSTITUTE(SUBSTITUTE(SUBSTITUTE(LOWER(TRIM(H678)),"á","a"),"é","e"),"í","i"),"ó","o"),"ú","u"),"ü","u"),"ñ","n"),"à","a"),"è","e"),"ì","i"),"ò","o"),"ù","u"),"")</f>
        <v/>
      </c>
      <c r="V678" s="25">
        <f>IF(AND(Q678=1,L678&lt;&gt;""),SUBSTITUTE(SUBSTITUTE(SUBSTITUTE(SUBSTITUTE(SUBSTITUTE(SUBSTITUTE(SUBSTITUTE(SUBSTITUTE(SUBSTITUTE(SUBSTITUTE(SUBSTITUTE(SUBSTITUTE(LOWER(TRIM(L678)),"á","a"),"é","e"),"í","i"),"ó","o"),"ú","u"),"ü","u"),"ñ","n"),"à","a"),"è","e"),"ì","i"),"ò","o"),"ù","u"),"")</f>
        <v/>
      </c>
      <c r="W678" s="25">
        <f>IF(AND(Q678=1,I678&lt;&gt;""),SUBSTITUTE(SUBSTITUTE(SUBSTITUTE(SUBSTITUTE(SUBSTITUTE(SUBSTITUTE(SUBSTITUTE(SUBSTITUTE(SUBSTITUTE(SUBSTITUTE(SUBSTITUTE(SUBSTITUTE(LOWER(TRIM(I678)),"á","a"),"é","e"),"í","i"),"ó","o"),"ú","u"),"ü","u"),"ñ","n"),"à","a"),"è","e"),"ì","i"),"ò","o"),"ù","u"),"")</f>
        <v/>
      </c>
      <c r="X678" s="25">
        <f>IF(U678="","",IF(OR(U678="si, en la proxima tarea",U678="si, con cambios"),1,0))</f>
        <v/>
      </c>
      <c r="Y678" s="25">
        <f>IF(AND(Q678=1,A678&lt;&gt;""),IF(IFERROR(COUNTIFS(A$3:A678,"="&amp;SUBSTITUTE(SUBSTITUTE(SUBSTITUTE(A678,"~","~~"),"*","~*"),"?","~?"),Q$3:Q678,1),0)=1,MAX(Y$2:Y677)+1,""),"")</f>
        <v/>
      </c>
      <c r="Z678" s="25">
        <f>IF(Y678="","",COUNTIFS($A$3:$A$1002,"="&amp;SUBSTITUTE(SUBSTITUTE(SUBSTITUTE(A678,"~","~~"),"*","~*"),"?","~?"),$Q$3:$Q$1002,1)*10000-Y678)</f>
        <v/>
      </c>
    </row>
    <row r="679">
      <c r="A679">
        <f>IF(A$2=0,"",IFERROR(TRIM(INDEX('Pegar docentes'!$A$1:$BZ$1001,678,A$2)&amp;""),""))</f>
        <v/>
      </c>
      <c r="B679">
        <f>IF(B$2=0,"",IFERROR(TRIM(INDEX('Pegar docentes'!$A$1:$BZ$1001,678,B$2)&amp;""),""))</f>
        <v/>
      </c>
      <c r="C679">
        <f>IF(C$2=0,"",IFERROR(TRIM(INDEX('Pegar docentes'!$A$1:$BZ$1001,678,C$2)&amp;""),""))</f>
        <v/>
      </c>
      <c r="D679">
        <f>IF(D$2=0,"",IFERROR(TRIM(INDEX('Pegar docentes'!$A$1:$BZ$1001,678,D$2)&amp;""),""))</f>
        <v/>
      </c>
      <c r="E679">
        <f>IF(E$2=0,"",IFERROR(TRIM(INDEX('Pegar docentes'!$A$1:$BZ$1001,678,E$2)&amp;""),""))</f>
        <v/>
      </c>
      <c r="F679">
        <f>IF(F$2=0,"",IFERROR(TRIM(INDEX('Pegar docentes'!$A$1:$BZ$1001,678,F$2)&amp;""),""))</f>
        <v/>
      </c>
      <c r="G679">
        <f>IF(G$2=0,"",IFERROR(TRIM(INDEX('Pegar docentes'!$A$1:$BZ$1001,678,G$2)&amp;""),""))</f>
        <v/>
      </c>
      <c r="H679">
        <f>IF(H$2=0,"",IFERROR(TRIM(INDEX('Pegar docentes'!$A$1:$BZ$1001,678,H$2)&amp;""),""))</f>
        <v/>
      </c>
      <c r="I679">
        <f>IF(I$2=0,"",IFERROR(TRIM(INDEX('Pegar docentes'!$A$1:$BZ$1001,678,I$2)&amp;""),""))</f>
        <v/>
      </c>
      <c r="J679">
        <f>IF(J$2=0,"",IFERROR(TRIM(INDEX('Pegar docentes'!$A$1:$BZ$1001,678,J$2)&amp;""),""))</f>
        <v/>
      </c>
      <c r="K679">
        <f>IF(K$2=0,"",IFERROR(TRIM(INDEX('Pegar docentes'!$A$1:$BZ$1001,678,K$2)&amp;""),""))</f>
        <v/>
      </c>
      <c r="L679">
        <f>IF(L$2=0,"",IFERROR(TRIM(INDEX('Pegar docentes'!$A$1:$BZ$1001,678,L$2)&amp;""),""))</f>
        <v/>
      </c>
      <c r="M679">
        <f>IF(M$2=0,"",IFERROR(TRIM(INDEX('Pegar docentes'!$A$1:$BZ$1001,678,M$2)&amp;""),""))</f>
        <v/>
      </c>
      <c r="N679">
        <f>IF(N$2=0,"",IFERROR(TRIM(INDEX('Pegar docentes'!$A$1:$BZ$1001,678,N$2)&amp;""),""))</f>
        <v/>
      </c>
      <c r="O679">
        <f>IF(O$2=0,"",IFERROR(TRIM(INDEX('Pegar docentes'!$A$1:$BZ$1001,678,O$2)&amp;""),""))</f>
        <v/>
      </c>
      <c r="P679">
        <f>IF(P$2=0,"",IFERROR(TRIM(INDEX('Pegar docentes'!$A$1:$BZ$1001,678,P$2)&amp;""),""))</f>
        <v/>
      </c>
      <c r="Q679" s="25">
        <f>IF(OR(D679&lt;&gt;"",H679&lt;&gt;""),1,"")</f>
        <v/>
      </c>
      <c r="R679" s="25">
        <f>IF(Q679=1,IF(ISNUMBER(FIND("#"&amp;MID(D679,1,1)&amp;"#","#0#1#2#3#4#5#6#7#8#9#")),IF(ISNUMBER(FIND("#"&amp;MID(D679,2,1)&amp;"#","#0#1#2#3#4#5#6#7#8#9#")),IF(AND(VALUE(LEFT(D679,2))&gt;=1,VALUE(LEFT(D679,2))&lt;=5),VALUE(LEFT(D679,2)),""),IF(AND(VALUE(LEFT(D679,1))&gt;=1,VALUE(LEFT(D679,1))&lt;=5),VALUE(LEFT(D679,1)),"")),""),"")</f>
        <v/>
      </c>
      <c r="S679" s="25">
        <f>IF(AND(Q679=1,E679&lt;&gt;""),SUBSTITUTE(SUBSTITUTE(SUBSTITUTE(SUBSTITUTE(SUBSTITUTE(SUBSTITUTE(SUBSTITUTE(SUBSTITUTE(SUBSTITUTE(SUBSTITUTE(SUBSTITUTE(SUBSTITUTE(LOWER(TRIM(E679)),"á","a"),"é","e"),"í","i"),"ó","o"),"ú","u"),"ü","u"),"ñ","n"),"à","a"),"è","e"),"ì","i"),"ò","o"),"ù","u"),"")</f>
        <v/>
      </c>
      <c r="T679" s="25">
        <f>IF(AND(Q679=1,G679&lt;&gt;""),SUBSTITUTE(SUBSTITUTE(SUBSTITUTE(SUBSTITUTE(SUBSTITUTE(SUBSTITUTE(SUBSTITUTE(SUBSTITUTE(SUBSTITUTE(SUBSTITUTE(SUBSTITUTE(SUBSTITUTE(LOWER(TRIM(G679)),"á","a"),"é","e"),"í","i"),"ó","o"),"ú","u"),"ü","u"),"ñ","n"),"à","a"),"è","e"),"ì","i"),"ò","o"),"ù","u"),"")</f>
        <v/>
      </c>
      <c r="U679" s="25">
        <f>IF(AND(Q679=1,H679&lt;&gt;""),SUBSTITUTE(SUBSTITUTE(SUBSTITUTE(SUBSTITUTE(SUBSTITUTE(SUBSTITUTE(SUBSTITUTE(SUBSTITUTE(SUBSTITUTE(SUBSTITUTE(SUBSTITUTE(SUBSTITUTE(LOWER(TRIM(H679)),"á","a"),"é","e"),"í","i"),"ó","o"),"ú","u"),"ü","u"),"ñ","n"),"à","a"),"è","e"),"ì","i"),"ò","o"),"ù","u"),"")</f>
        <v/>
      </c>
      <c r="V679" s="25">
        <f>IF(AND(Q679=1,L679&lt;&gt;""),SUBSTITUTE(SUBSTITUTE(SUBSTITUTE(SUBSTITUTE(SUBSTITUTE(SUBSTITUTE(SUBSTITUTE(SUBSTITUTE(SUBSTITUTE(SUBSTITUTE(SUBSTITUTE(SUBSTITUTE(LOWER(TRIM(L679)),"á","a"),"é","e"),"í","i"),"ó","o"),"ú","u"),"ü","u"),"ñ","n"),"à","a"),"è","e"),"ì","i"),"ò","o"),"ù","u"),"")</f>
        <v/>
      </c>
      <c r="W679" s="25">
        <f>IF(AND(Q679=1,I679&lt;&gt;""),SUBSTITUTE(SUBSTITUTE(SUBSTITUTE(SUBSTITUTE(SUBSTITUTE(SUBSTITUTE(SUBSTITUTE(SUBSTITUTE(SUBSTITUTE(SUBSTITUTE(SUBSTITUTE(SUBSTITUTE(LOWER(TRIM(I679)),"á","a"),"é","e"),"í","i"),"ó","o"),"ú","u"),"ü","u"),"ñ","n"),"à","a"),"è","e"),"ì","i"),"ò","o"),"ù","u"),"")</f>
        <v/>
      </c>
      <c r="X679" s="25">
        <f>IF(U679="","",IF(OR(U679="si, en la proxima tarea",U679="si, con cambios"),1,0))</f>
        <v/>
      </c>
      <c r="Y679" s="25">
        <f>IF(AND(Q679=1,A679&lt;&gt;""),IF(IFERROR(COUNTIFS(A$3:A679,"="&amp;SUBSTITUTE(SUBSTITUTE(SUBSTITUTE(A679,"~","~~"),"*","~*"),"?","~?"),Q$3:Q679,1),0)=1,MAX(Y$2:Y678)+1,""),"")</f>
        <v/>
      </c>
      <c r="Z679" s="25">
        <f>IF(Y679="","",COUNTIFS($A$3:$A$1002,"="&amp;SUBSTITUTE(SUBSTITUTE(SUBSTITUTE(A679,"~","~~"),"*","~*"),"?","~?"),$Q$3:$Q$1002,1)*10000-Y679)</f>
        <v/>
      </c>
    </row>
    <row r="680">
      <c r="A680">
        <f>IF(A$2=0,"",IFERROR(TRIM(INDEX('Pegar docentes'!$A$1:$BZ$1001,679,A$2)&amp;""),""))</f>
        <v/>
      </c>
      <c r="B680">
        <f>IF(B$2=0,"",IFERROR(TRIM(INDEX('Pegar docentes'!$A$1:$BZ$1001,679,B$2)&amp;""),""))</f>
        <v/>
      </c>
      <c r="C680">
        <f>IF(C$2=0,"",IFERROR(TRIM(INDEX('Pegar docentes'!$A$1:$BZ$1001,679,C$2)&amp;""),""))</f>
        <v/>
      </c>
      <c r="D680">
        <f>IF(D$2=0,"",IFERROR(TRIM(INDEX('Pegar docentes'!$A$1:$BZ$1001,679,D$2)&amp;""),""))</f>
        <v/>
      </c>
      <c r="E680">
        <f>IF(E$2=0,"",IFERROR(TRIM(INDEX('Pegar docentes'!$A$1:$BZ$1001,679,E$2)&amp;""),""))</f>
        <v/>
      </c>
      <c r="F680">
        <f>IF(F$2=0,"",IFERROR(TRIM(INDEX('Pegar docentes'!$A$1:$BZ$1001,679,F$2)&amp;""),""))</f>
        <v/>
      </c>
      <c r="G680">
        <f>IF(G$2=0,"",IFERROR(TRIM(INDEX('Pegar docentes'!$A$1:$BZ$1001,679,G$2)&amp;""),""))</f>
        <v/>
      </c>
      <c r="H680">
        <f>IF(H$2=0,"",IFERROR(TRIM(INDEX('Pegar docentes'!$A$1:$BZ$1001,679,H$2)&amp;""),""))</f>
        <v/>
      </c>
      <c r="I680">
        <f>IF(I$2=0,"",IFERROR(TRIM(INDEX('Pegar docentes'!$A$1:$BZ$1001,679,I$2)&amp;""),""))</f>
        <v/>
      </c>
      <c r="J680">
        <f>IF(J$2=0,"",IFERROR(TRIM(INDEX('Pegar docentes'!$A$1:$BZ$1001,679,J$2)&amp;""),""))</f>
        <v/>
      </c>
      <c r="K680">
        <f>IF(K$2=0,"",IFERROR(TRIM(INDEX('Pegar docentes'!$A$1:$BZ$1001,679,K$2)&amp;""),""))</f>
        <v/>
      </c>
      <c r="L680">
        <f>IF(L$2=0,"",IFERROR(TRIM(INDEX('Pegar docentes'!$A$1:$BZ$1001,679,L$2)&amp;""),""))</f>
        <v/>
      </c>
      <c r="M680">
        <f>IF(M$2=0,"",IFERROR(TRIM(INDEX('Pegar docentes'!$A$1:$BZ$1001,679,M$2)&amp;""),""))</f>
        <v/>
      </c>
      <c r="N680">
        <f>IF(N$2=0,"",IFERROR(TRIM(INDEX('Pegar docentes'!$A$1:$BZ$1001,679,N$2)&amp;""),""))</f>
        <v/>
      </c>
      <c r="O680">
        <f>IF(O$2=0,"",IFERROR(TRIM(INDEX('Pegar docentes'!$A$1:$BZ$1001,679,O$2)&amp;""),""))</f>
        <v/>
      </c>
      <c r="P680">
        <f>IF(P$2=0,"",IFERROR(TRIM(INDEX('Pegar docentes'!$A$1:$BZ$1001,679,P$2)&amp;""),""))</f>
        <v/>
      </c>
      <c r="Q680" s="25">
        <f>IF(OR(D680&lt;&gt;"",H680&lt;&gt;""),1,"")</f>
        <v/>
      </c>
      <c r="R680" s="25">
        <f>IF(Q680=1,IF(ISNUMBER(FIND("#"&amp;MID(D680,1,1)&amp;"#","#0#1#2#3#4#5#6#7#8#9#")),IF(ISNUMBER(FIND("#"&amp;MID(D680,2,1)&amp;"#","#0#1#2#3#4#5#6#7#8#9#")),IF(AND(VALUE(LEFT(D680,2))&gt;=1,VALUE(LEFT(D680,2))&lt;=5),VALUE(LEFT(D680,2)),""),IF(AND(VALUE(LEFT(D680,1))&gt;=1,VALUE(LEFT(D680,1))&lt;=5),VALUE(LEFT(D680,1)),"")),""),"")</f>
        <v/>
      </c>
      <c r="S680" s="25">
        <f>IF(AND(Q680=1,E680&lt;&gt;""),SUBSTITUTE(SUBSTITUTE(SUBSTITUTE(SUBSTITUTE(SUBSTITUTE(SUBSTITUTE(SUBSTITUTE(SUBSTITUTE(SUBSTITUTE(SUBSTITUTE(SUBSTITUTE(SUBSTITUTE(LOWER(TRIM(E680)),"á","a"),"é","e"),"í","i"),"ó","o"),"ú","u"),"ü","u"),"ñ","n"),"à","a"),"è","e"),"ì","i"),"ò","o"),"ù","u"),"")</f>
        <v/>
      </c>
      <c r="T680" s="25">
        <f>IF(AND(Q680=1,G680&lt;&gt;""),SUBSTITUTE(SUBSTITUTE(SUBSTITUTE(SUBSTITUTE(SUBSTITUTE(SUBSTITUTE(SUBSTITUTE(SUBSTITUTE(SUBSTITUTE(SUBSTITUTE(SUBSTITUTE(SUBSTITUTE(LOWER(TRIM(G680)),"á","a"),"é","e"),"í","i"),"ó","o"),"ú","u"),"ü","u"),"ñ","n"),"à","a"),"è","e"),"ì","i"),"ò","o"),"ù","u"),"")</f>
        <v/>
      </c>
      <c r="U680" s="25">
        <f>IF(AND(Q680=1,H680&lt;&gt;""),SUBSTITUTE(SUBSTITUTE(SUBSTITUTE(SUBSTITUTE(SUBSTITUTE(SUBSTITUTE(SUBSTITUTE(SUBSTITUTE(SUBSTITUTE(SUBSTITUTE(SUBSTITUTE(SUBSTITUTE(LOWER(TRIM(H680)),"á","a"),"é","e"),"í","i"),"ó","o"),"ú","u"),"ü","u"),"ñ","n"),"à","a"),"è","e"),"ì","i"),"ò","o"),"ù","u"),"")</f>
        <v/>
      </c>
      <c r="V680" s="25">
        <f>IF(AND(Q680=1,L680&lt;&gt;""),SUBSTITUTE(SUBSTITUTE(SUBSTITUTE(SUBSTITUTE(SUBSTITUTE(SUBSTITUTE(SUBSTITUTE(SUBSTITUTE(SUBSTITUTE(SUBSTITUTE(SUBSTITUTE(SUBSTITUTE(LOWER(TRIM(L680)),"á","a"),"é","e"),"í","i"),"ó","o"),"ú","u"),"ü","u"),"ñ","n"),"à","a"),"è","e"),"ì","i"),"ò","o"),"ù","u"),"")</f>
        <v/>
      </c>
      <c r="W680" s="25">
        <f>IF(AND(Q680=1,I680&lt;&gt;""),SUBSTITUTE(SUBSTITUTE(SUBSTITUTE(SUBSTITUTE(SUBSTITUTE(SUBSTITUTE(SUBSTITUTE(SUBSTITUTE(SUBSTITUTE(SUBSTITUTE(SUBSTITUTE(SUBSTITUTE(LOWER(TRIM(I680)),"á","a"),"é","e"),"í","i"),"ó","o"),"ú","u"),"ü","u"),"ñ","n"),"à","a"),"è","e"),"ì","i"),"ò","o"),"ù","u"),"")</f>
        <v/>
      </c>
      <c r="X680" s="25">
        <f>IF(U680="","",IF(OR(U680="si, en la proxima tarea",U680="si, con cambios"),1,0))</f>
        <v/>
      </c>
      <c r="Y680" s="25">
        <f>IF(AND(Q680=1,A680&lt;&gt;""),IF(IFERROR(COUNTIFS(A$3:A680,"="&amp;SUBSTITUTE(SUBSTITUTE(SUBSTITUTE(A680,"~","~~"),"*","~*"),"?","~?"),Q$3:Q680,1),0)=1,MAX(Y$2:Y679)+1,""),"")</f>
        <v/>
      </c>
      <c r="Z680" s="25">
        <f>IF(Y680="","",COUNTIFS($A$3:$A$1002,"="&amp;SUBSTITUTE(SUBSTITUTE(SUBSTITUTE(A680,"~","~~"),"*","~*"),"?","~?"),$Q$3:$Q$1002,1)*10000-Y680)</f>
        <v/>
      </c>
    </row>
    <row r="681">
      <c r="A681">
        <f>IF(A$2=0,"",IFERROR(TRIM(INDEX('Pegar docentes'!$A$1:$BZ$1001,680,A$2)&amp;""),""))</f>
        <v/>
      </c>
      <c r="B681">
        <f>IF(B$2=0,"",IFERROR(TRIM(INDEX('Pegar docentes'!$A$1:$BZ$1001,680,B$2)&amp;""),""))</f>
        <v/>
      </c>
      <c r="C681">
        <f>IF(C$2=0,"",IFERROR(TRIM(INDEX('Pegar docentes'!$A$1:$BZ$1001,680,C$2)&amp;""),""))</f>
        <v/>
      </c>
      <c r="D681">
        <f>IF(D$2=0,"",IFERROR(TRIM(INDEX('Pegar docentes'!$A$1:$BZ$1001,680,D$2)&amp;""),""))</f>
        <v/>
      </c>
      <c r="E681">
        <f>IF(E$2=0,"",IFERROR(TRIM(INDEX('Pegar docentes'!$A$1:$BZ$1001,680,E$2)&amp;""),""))</f>
        <v/>
      </c>
      <c r="F681">
        <f>IF(F$2=0,"",IFERROR(TRIM(INDEX('Pegar docentes'!$A$1:$BZ$1001,680,F$2)&amp;""),""))</f>
        <v/>
      </c>
      <c r="G681">
        <f>IF(G$2=0,"",IFERROR(TRIM(INDEX('Pegar docentes'!$A$1:$BZ$1001,680,G$2)&amp;""),""))</f>
        <v/>
      </c>
      <c r="H681">
        <f>IF(H$2=0,"",IFERROR(TRIM(INDEX('Pegar docentes'!$A$1:$BZ$1001,680,H$2)&amp;""),""))</f>
        <v/>
      </c>
      <c r="I681">
        <f>IF(I$2=0,"",IFERROR(TRIM(INDEX('Pegar docentes'!$A$1:$BZ$1001,680,I$2)&amp;""),""))</f>
        <v/>
      </c>
      <c r="J681">
        <f>IF(J$2=0,"",IFERROR(TRIM(INDEX('Pegar docentes'!$A$1:$BZ$1001,680,J$2)&amp;""),""))</f>
        <v/>
      </c>
      <c r="K681">
        <f>IF(K$2=0,"",IFERROR(TRIM(INDEX('Pegar docentes'!$A$1:$BZ$1001,680,K$2)&amp;""),""))</f>
        <v/>
      </c>
      <c r="L681">
        <f>IF(L$2=0,"",IFERROR(TRIM(INDEX('Pegar docentes'!$A$1:$BZ$1001,680,L$2)&amp;""),""))</f>
        <v/>
      </c>
      <c r="M681">
        <f>IF(M$2=0,"",IFERROR(TRIM(INDEX('Pegar docentes'!$A$1:$BZ$1001,680,M$2)&amp;""),""))</f>
        <v/>
      </c>
      <c r="N681">
        <f>IF(N$2=0,"",IFERROR(TRIM(INDEX('Pegar docentes'!$A$1:$BZ$1001,680,N$2)&amp;""),""))</f>
        <v/>
      </c>
      <c r="O681">
        <f>IF(O$2=0,"",IFERROR(TRIM(INDEX('Pegar docentes'!$A$1:$BZ$1001,680,O$2)&amp;""),""))</f>
        <v/>
      </c>
      <c r="P681">
        <f>IF(P$2=0,"",IFERROR(TRIM(INDEX('Pegar docentes'!$A$1:$BZ$1001,680,P$2)&amp;""),""))</f>
        <v/>
      </c>
      <c r="Q681" s="25">
        <f>IF(OR(D681&lt;&gt;"",H681&lt;&gt;""),1,"")</f>
        <v/>
      </c>
      <c r="R681" s="25">
        <f>IF(Q681=1,IF(ISNUMBER(FIND("#"&amp;MID(D681,1,1)&amp;"#","#0#1#2#3#4#5#6#7#8#9#")),IF(ISNUMBER(FIND("#"&amp;MID(D681,2,1)&amp;"#","#0#1#2#3#4#5#6#7#8#9#")),IF(AND(VALUE(LEFT(D681,2))&gt;=1,VALUE(LEFT(D681,2))&lt;=5),VALUE(LEFT(D681,2)),""),IF(AND(VALUE(LEFT(D681,1))&gt;=1,VALUE(LEFT(D681,1))&lt;=5),VALUE(LEFT(D681,1)),"")),""),"")</f>
        <v/>
      </c>
      <c r="S681" s="25">
        <f>IF(AND(Q681=1,E681&lt;&gt;""),SUBSTITUTE(SUBSTITUTE(SUBSTITUTE(SUBSTITUTE(SUBSTITUTE(SUBSTITUTE(SUBSTITUTE(SUBSTITUTE(SUBSTITUTE(SUBSTITUTE(SUBSTITUTE(SUBSTITUTE(LOWER(TRIM(E681)),"á","a"),"é","e"),"í","i"),"ó","o"),"ú","u"),"ü","u"),"ñ","n"),"à","a"),"è","e"),"ì","i"),"ò","o"),"ù","u"),"")</f>
        <v/>
      </c>
      <c r="T681" s="25">
        <f>IF(AND(Q681=1,G681&lt;&gt;""),SUBSTITUTE(SUBSTITUTE(SUBSTITUTE(SUBSTITUTE(SUBSTITUTE(SUBSTITUTE(SUBSTITUTE(SUBSTITUTE(SUBSTITUTE(SUBSTITUTE(SUBSTITUTE(SUBSTITUTE(LOWER(TRIM(G681)),"á","a"),"é","e"),"í","i"),"ó","o"),"ú","u"),"ü","u"),"ñ","n"),"à","a"),"è","e"),"ì","i"),"ò","o"),"ù","u"),"")</f>
        <v/>
      </c>
      <c r="U681" s="25">
        <f>IF(AND(Q681=1,H681&lt;&gt;""),SUBSTITUTE(SUBSTITUTE(SUBSTITUTE(SUBSTITUTE(SUBSTITUTE(SUBSTITUTE(SUBSTITUTE(SUBSTITUTE(SUBSTITUTE(SUBSTITUTE(SUBSTITUTE(SUBSTITUTE(LOWER(TRIM(H681)),"á","a"),"é","e"),"í","i"),"ó","o"),"ú","u"),"ü","u"),"ñ","n"),"à","a"),"è","e"),"ì","i"),"ò","o"),"ù","u"),"")</f>
        <v/>
      </c>
      <c r="V681" s="25">
        <f>IF(AND(Q681=1,L681&lt;&gt;""),SUBSTITUTE(SUBSTITUTE(SUBSTITUTE(SUBSTITUTE(SUBSTITUTE(SUBSTITUTE(SUBSTITUTE(SUBSTITUTE(SUBSTITUTE(SUBSTITUTE(SUBSTITUTE(SUBSTITUTE(LOWER(TRIM(L681)),"á","a"),"é","e"),"í","i"),"ó","o"),"ú","u"),"ü","u"),"ñ","n"),"à","a"),"è","e"),"ì","i"),"ò","o"),"ù","u"),"")</f>
        <v/>
      </c>
      <c r="W681" s="25">
        <f>IF(AND(Q681=1,I681&lt;&gt;""),SUBSTITUTE(SUBSTITUTE(SUBSTITUTE(SUBSTITUTE(SUBSTITUTE(SUBSTITUTE(SUBSTITUTE(SUBSTITUTE(SUBSTITUTE(SUBSTITUTE(SUBSTITUTE(SUBSTITUTE(LOWER(TRIM(I681)),"á","a"),"é","e"),"í","i"),"ó","o"),"ú","u"),"ü","u"),"ñ","n"),"à","a"),"è","e"),"ì","i"),"ò","o"),"ù","u"),"")</f>
        <v/>
      </c>
      <c r="X681" s="25">
        <f>IF(U681="","",IF(OR(U681="si, en la proxima tarea",U681="si, con cambios"),1,0))</f>
        <v/>
      </c>
      <c r="Y681" s="25">
        <f>IF(AND(Q681=1,A681&lt;&gt;""),IF(IFERROR(COUNTIFS(A$3:A681,"="&amp;SUBSTITUTE(SUBSTITUTE(SUBSTITUTE(A681,"~","~~"),"*","~*"),"?","~?"),Q$3:Q681,1),0)=1,MAX(Y$2:Y680)+1,""),"")</f>
        <v/>
      </c>
      <c r="Z681" s="25">
        <f>IF(Y681="","",COUNTIFS($A$3:$A$1002,"="&amp;SUBSTITUTE(SUBSTITUTE(SUBSTITUTE(A681,"~","~~"),"*","~*"),"?","~?"),$Q$3:$Q$1002,1)*10000-Y681)</f>
        <v/>
      </c>
    </row>
    <row r="682">
      <c r="A682">
        <f>IF(A$2=0,"",IFERROR(TRIM(INDEX('Pegar docentes'!$A$1:$BZ$1001,681,A$2)&amp;""),""))</f>
        <v/>
      </c>
      <c r="B682">
        <f>IF(B$2=0,"",IFERROR(TRIM(INDEX('Pegar docentes'!$A$1:$BZ$1001,681,B$2)&amp;""),""))</f>
        <v/>
      </c>
      <c r="C682">
        <f>IF(C$2=0,"",IFERROR(TRIM(INDEX('Pegar docentes'!$A$1:$BZ$1001,681,C$2)&amp;""),""))</f>
        <v/>
      </c>
      <c r="D682">
        <f>IF(D$2=0,"",IFERROR(TRIM(INDEX('Pegar docentes'!$A$1:$BZ$1001,681,D$2)&amp;""),""))</f>
        <v/>
      </c>
      <c r="E682">
        <f>IF(E$2=0,"",IFERROR(TRIM(INDEX('Pegar docentes'!$A$1:$BZ$1001,681,E$2)&amp;""),""))</f>
        <v/>
      </c>
      <c r="F682">
        <f>IF(F$2=0,"",IFERROR(TRIM(INDEX('Pegar docentes'!$A$1:$BZ$1001,681,F$2)&amp;""),""))</f>
        <v/>
      </c>
      <c r="G682">
        <f>IF(G$2=0,"",IFERROR(TRIM(INDEX('Pegar docentes'!$A$1:$BZ$1001,681,G$2)&amp;""),""))</f>
        <v/>
      </c>
      <c r="H682">
        <f>IF(H$2=0,"",IFERROR(TRIM(INDEX('Pegar docentes'!$A$1:$BZ$1001,681,H$2)&amp;""),""))</f>
        <v/>
      </c>
      <c r="I682">
        <f>IF(I$2=0,"",IFERROR(TRIM(INDEX('Pegar docentes'!$A$1:$BZ$1001,681,I$2)&amp;""),""))</f>
        <v/>
      </c>
      <c r="J682">
        <f>IF(J$2=0,"",IFERROR(TRIM(INDEX('Pegar docentes'!$A$1:$BZ$1001,681,J$2)&amp;""),""))</f>
        <v/>
      </c>
      <c r="K682">
        <f>IF(K$2=0,"",IFERROR(TRIM(INDEX('Pegar docentes'!$A$1:$BZ$1001,681,K$2)&amp;""),""))</f>
        <v/>
      </c>
      <c r="L682">
        <f>IF(L$2=0,"",IFERROR(TRIM(INDEX('Pegar docentes'!$A$1:$BZ$1001,681,L$2)&amp;""),""))</f>
        <v/>
      </c>
      <c r="M682">
        <f>IF(M$2=0,"",IFERROR(TRIM(INDEX('Pegar docentes'!$A$1:$BZ$1001,681,M$2)&amp;""),""))</f>
        <v/>
      </c>
      <c r="N682">
        <f>IF(N$2=0,"",IFERROR(TRIM(INDEX('Pegar docentes'!$A$1:$BZ$1001,681,N$2)&amp;""),""))</f>
        <v/>
      </c>
      <c r="O682">
        <f>IF(O$2=0,"",IFERROR(TRIM(INDEX('Pegar docentes'!$A$1:$BZ$1001,681,O$2)&amp;""),""))</f>
        <v/>
      </c>
      <c r="P682">
        <f>IF(P$2=0,"",IFERROR(TRIM(INDEX('Pegar docentes'!$A$1:$BZ$1001,681,P$2)&amp;""),""))</f>
        <v/>
      </c>
      <c r="Q682" s="25">
        <f>IF(OR(D682&lt;&gt;"",H682&lt;&gt;""),1,"")</f>
        <v/>
      </c>
      <c r="R682" s="25">
        <f>IF(Q682=1,IF(ISNUMBER(FIND("#"&amp;MID(D682,1,1)&amp;"#","#0#1#2#3#4#5#6#7#8#9#")),IF(ISNUMBER(FIND("#"&amp;MID(D682,2,1)&amp;"#","#0#1#2#3#4#5#6#7#8#9#")),IF(AND(VALUE(LEFT(D682,2))&gt;=1,VALUE(LEFT(D682,2))&lt;=5),VALUE(LEFT(D682,2)),""),IF(AND(VALUE(LEFT(D682,1))&gt;=1,VALUE(LEFT(D682,1))&lt;=5),VALUE(LEFT(D682,1)),"")),""),"")</f>
        <v/>
      </c>
      <c r="S682" s="25">
        <f>IF(AND(Q682=1,E682&lt;&gt;""),SUBSTITUTE(SUBSTITUTE(SUBSTITUTE(SUBSTITUTE(SUBSTITUTE(SUBSTITUTE(SUBSTITUTE(SUBSTITUTE(SUBSTITUTE(SUBSTITUTE(SUBSTITUTE(SUBSTITUTE(LOWER(TRIM(E682)),"á","a"),"é","e"),"í","i"),"ó","o"),"ú","u"),"ü","u"),"ñ","n"),"à","a"),"è","e"),"ì","i"),"ò","o"),"ù","u"),"")</f>
        <v/>
      </c>
      <c r="T682" s="25">
        <f>IF(AND(Q682=1,G682&lt;&gt;""),SUBSTITUTE(SUBSTITUTE(SUBSTITUTE(SUBSTITUTE(SUBSTITUTE(SUBSTITUTE(SUBSTITUTE(SUBSTITUTE(SUBSTITUTE(SUBSTITUTE(SUBSTITUTE(SUBSTITUTE(LOWER(TRIM(G682)),"á","a"),"é","e"),"í","i"),"ó","o"),"ú","u"),"ü","u"),"ñ","n"),"à","a"),"è","e"),"ì","i"),"ò","o"),"ù","u"),"")</f>
        <v/>
      </c>
      <c r="U682" s="25">
        <f>IF(AND(Q682=1,H682&lt;&gt;""),SUBSTITUTE(SUBSTITUTE(SUBSTITUTE(SUBSTITUTE(SUBSTITUTE(SUBSTITUTE(SUBSTITUTE(SUBSTITUTE(SUBSTITUTE(SUBSTITUTE(SUBSTITUTE(SUBSTITUTE(LOWER(TRIM(H682)),"á","a"),"é","e"),"í","i"),"ó","o"),"ú","u"),"ü","u"),"ñ","n"),"à","a"),"è","e"),"ì","i"),"ò","o"),"ù","u"),"")</f>
        <v/>
      </c>
      <c r="V682" s="25">
        <f>IF(AND(Q682=1,L682&lt;&gt;""),SUBSTITUTE(SUBSTITUTE(SUBSTITUTE(SUBSTITUTE(SUBSTITUTE(SUBSTITUTE(SUBSTITUTE(SUBSTITUTE(SUBSTITUTE(SUBSTITUTE(SUBSTITUTE(SUBSTITUTE(LOWER(TRIM(L682)),"á","a"),"é","e"),"í","i"),"ó","o"),"ú","u"),"ü","u"),"ñ","n"),"à","a"),"è","e"),"ì","i"),"ò","o"),"ù","u"),"")</f>
        <v/>
      </c>
      <c r="W682" s="25">
        <f>IF(AND(Q682=1,I682&lt;&gt;""),SUBSTITUTE(SUBSTITUTE(SUBSTITUTE(SUBSTITUTE(SUBSTITUTE(SUBSTITUTE(SUBSTITUTE(SUBSTITUTE(SUBSTITUTE(SUBSTITUTE(SUBSTITUTE(SUBSTITUTE(LOWER(TRIM(I682)),"á","a"),"é","e"),"í","i"),"ó","o"),"ú","u"),"ü","u"),"ñ","n"),"à","a"),"è","e"),"ì","i"),"ò","o"),"ù","u"),"")</f>
        <v/>
      </c>
      <c r="X682" s="25">
        <f>IF(U682="","",IF(OR(U682="si, en la proxima tarea",U682="si, con cambios"),1,0))</f>
        <v/>
      </c>
      <c r="Y682" s="25">
        <f>IF(AND(Q682=1,A682&lt;&gt;""),IF(IFERROR(COUNTIFS(A$3:A682,"="&amp;SUBSTITUTE(SUBSTITUTE(SUBSTITUTE(A682,"~","~~"),"*","~*"),"?","~?"),Q$3:Q682,1),0)=1,MAX(Y$2:Y681)+1,""),"")</f>
        <v/>
      </c>
      <c r="Z682" s="25">
        <f>IF(Y682="","",COUNTIFS($A$3:$A$1002,"="&amp;SUBSTITUTE(SUBSTITUTE(SUBSTITUTE(A682,"~","~~"),"*","~*"),"?","~?"),$Q$3:$Q$1002,1)*10000-Y682)</f>
        <v/>
      </c>
    </row>
    <row r="683">
      <c r="A683">
        <f>IF(A$2=0,"",IFERROR(TRIM(INDEX('Pegar docentes'!$A$1:$BZ$1001,682,A$2)&amp;""),""))</f>
        <v/>
      </c>
      <c r="B683">
        <f>IF(B$2=0,"",IFERROR(TRIM(INDEX('Pegar docentes'!$A$1:$BZ$1001,682,B$2)&amp;""),""))</f>
        <v/>
      </c>
      <c r="C683">
        <f>IF(C$2=0,"",IFERROR(TRIM(INDEX('Pegar docentes'!$A$1:$BZ$1001,682,C$2)&amp;""),""))</f>
        <v/>
      </c>
      <c r="D683">
        <f>IF(D$2=0,"",IFERROR(TRIM(INDEX('Pegar docentes'!$A$1:$BZ$1001,682,D$2)&amp;""),""))</f>
        <v/>
      </c>
      <c r="E683">
        <f>IF(E$2=0,"",IFERROR(TRIM(INDEX('Pegar docentes'!$A$1:$BZ$1001,682,E$2)&amp;""),""))</f>
        <v/>
      </c>
      <c r="F683">
        <f>IF(F$2=0,"",IFERROR(TRIM(INDEX('Pegar docentes'!$A$1:$BZ$1001,682,F$2)&amp;""),""))</f>
        <v/>
      </c>
      <c r="G683">
        <f>IF(G$2=0,"",IFERROR(TRIM(INDEX('Pegar docentes'!$A$1:$BZ$1001,682,G$2)&amp;""),""))</f>
        <v/>
      </c>
      <c r="H683">
        <f>IF(H$2=0,"",IFERROR(TRIM(INDEX('Pegar docentes'!$A$1:$BZ$1001,682,H$2)&amp;""),""))</f>
        <v/>
      </c>
      <c r="I683">
        <f>IF(I$2=0,"",IFERROR(TRIM(INDEX('Pegar docentes'!$A$1:$BZ$1001,682,I$2)&amp;""),""))</f>
        <v/>
      </c>
      <c r="J683">
        <f>IF(J$2=0,"",IFERROR(TRIM(INDEX('Pegar docentes'!$A$1:$BZ$1001,682,J$2)&amp;""),""))</f>
        <v/>
      </c>
      <c r="K683">
        <f>IF(K$2=0,"",IFERROR(TRIM(INDEX('Pegar docentes'!$A$1:$BZ$1001,682,K$2)&amp;""),""))</f>
        <v/>
      </c>
      <c r="L683">
        <f>IF(L$2=0,"",IFERROR(TRIM(INDEX('Pegar docentes'!$A$1:$BZ$1001,682,L$2)&amp;""),""))</f>
        <v/>
      </c>
      <c r="M683">
        <f>IF(M$2=0,"",IFERROR(TRIM(INDEX('Pegar docentes'!$A$1:$BZ$1001,682,M$2)&amp;""),""))</f>
        <v/>
      </c>
      <c r="N683">
        <f>IF(N$2=0,"",IFERROR(TRIM(INDEX('Pegar docentes'!$A$1:$BZ$1001,682,N$2)&amp;""),""))</f>
        <v/>
      </c>
      <c r="O683">
        <f>IF(O$2=0,"",IFERROR(TRIM(INDEX('Pegar docentes'!$A$1:$BZ$1001,682,O$2)&amp;""),""))</f>
        <v/>
      </c>
      <c r="P683">
        <f>IF(P$2=0,"",IFERROR(TRIM(INDEX('Pegar docentes'!$A$1:$BZ$1001,682,P$2)&amp;""),""))</f>
        <v/>
      </c>
      <c r="Q683" s="25">
        <f>IF(OR(D683&lt;&gt;"",H683&lt;&gt;""),1,"")</f>
        <v/>
      </c>
      <c r="R683" s="25">
        <f>IF(Q683=1,IF(ISNUMBER(FIND("#"&amp;MID(D683,1,1)&amp;"#","#0#1#2#3#4#5#6#7#8#9#")),IF(ISNUMBER(FIND("#"&amp;MID(D683,2,1)&amp;"#","#0#1#2#3#4#5#6#7#8#9#")),IF(AND(VALUE(LEFT(D683,2))&gt;=1,VALUE(LEFT(D683,2))&lt;=5),VALUE(LEFT(D683,2)),""),IF(AND(VALUE(LEFT(D683,1))&gt;=1,VALUE(LEFT(D683,1))&lt;=5),VALUE(LEFT(D683,1)),"")),""),"")</f>
        <v/>
      </c>
      <c r="S683" s="25">
        <f>IF(AND(Q683=1,E683&lt;&gt;""),SUBSTITUTE(SUBSTITUTE(SUBSTITUTE(SUBSTITUTE(SUBSTITUTE(SUBSTITUTE(SUBSTITUTE(SUBSTITUTE(SUBSTITUTE(SUBSTITUTE(SUBSTITUTE(SUBSTITUTE(LOWER(TRIM(E683)),"á","a"),"é","e"),"í","i"),"ó","o"),"ú","u"),"ü","u"),"ñ","n"),"à","a"),"è","e"),"ì","i"),"ò","o"),"ù","u"),"")</f>
        <v/>
      </c>
      <c r="T683" s="25">
        <f>IF(AND(Q683=1,G683&lt;&gt;""),SUBSTITUTE(SUBSTITUTE(SUBSTITUTE(SUBSTITUTE(SUBSTITUTE(SUBSTITUTE(SUBSTITUTE(SUBSTITUTE(SUBSTITUTE(SUBSTITUTE(SUBSTITUTE(SUBSTITUTE(LOWER(TRIM(G683)),"á","a"),"é","e"),"í","i"),"ó","o"),"ú","u"),"ü","u"),"ñ","n"),"à","a"),"è","e"),"ì","i"),"ò","o"),"ù","u"),"")</f>
        <v/>
      </c>
      <c r="U683" s="25">
        <f>IF(AND(Q683=1,H683&lt;&gt;""),SUBSTITUTE(SUBSTITUTE(SUBSTITUTE(SUBSTITUTE(SUBSTITUTE(SUBSTITUTE(SUBSTITUTE(SUBSTITUTE(SUBSTITUTE(SUBSTITUTE(SUBSTITUTE(SUBSTITUTE(LOWER(TRIM(H683)),"á","a"),"é","e"),"í","i"),"ó","o"),"ú","u"),"ü","u"),"ñ","n"),"à","a"),"è","e"),"ì","i"),"ò","o"),"ù","u"),"")</f>
        <v/>
      </c>
      <c r="V683" s="25">
        <f>IF(AND(Q683=1,L683&lt;&gt;""),SUBSTITUTE(SUBSTITUTE(SUBSTITUTE(SUBSTITUTE(SUBSTITUTE(SUBSTITUTE(SUBSTITUTE(SUBSTITUTE(SUBSTITUTE(SUBSTITUTE(SUBSTITUTE(SUBSTITUTE(LOWER(TRIM(L683)),"á","a"),"é","e"),"í","i"),"ó","o"),"ú","u"),"ü","u"),"ñ","n"),"à","a"),"è","e"),"ì","i"),"ò","o"),"ù","u"),"")</f>
        <v/>
      </c>
      <c r="W683" s="25">
        <f>IF(AND(Q683=1,I683&lt;&gt;""),SUBSTITUTE(SUBSTITUTE(SUBSTITUTE(SUBSTITUTE(SUBSTITUTE(SUBSTITUTE(SUBSTITUTE(SUBSTITUTE(SUBSTITUTE(SUBSTITUTE(SUBSTITUTE(SUBSTITUTE(LOWER(TRIM(I683)),"á","a"),"é","e"),"í","i"),"ó","o"),"ú","u"),"ü","u"),"ñ","n"),"à","a"),"è","e"),"ì","i"),"ò","o"),"ù","u"),"")</f>
        <v/>
      </c>
      <c r="X683" s="25">
        <f>IF(U683="","",IF(OR(U683="si, en la proxima tarea",U683="si, con cambios"),1,0))</f>
        <v/>
      </c>
      <c r="Y683" s="25">
        <f>IF(AND(Q683=1,A683&lt;&gt;""),IF(IFERROR(COUNTIFS(A$3:A683,"="&amp;SUBSTITUTE(SUBSTITUTE(SUBSTITUTE(A683,"~","~~"),"*","~*"),"?","~?"),Q$3:Q683,1),0)=1,MAX(Y$2:Y682)+1,""),"")</f>
        <v/>
      </c>
      <c r="Z683" s="25">
        <f>IF(Y683="","",COUNTIFS($A$3:$A$1002,"="&amp;SUBSTITUTE(SUBSTITUTE(SUBSTITUTE(A683,"~","~~"),"*","~*"),"?","~?"),$Q$3:$Q$1002,1)*10000-Y683)</f>
        <v/>
      </c>
    </row>
    <row r="684">
      <c r="A684">
        <f>IF(A$2=0,"",IFERROR(TRIM(INDEX('Pegar docentes'!$A$1:$BZ$1001,683,A$2)&amp;""),""))</f>
        <v/>
      </c>
      <c r="B684">
        <f>IF(B$2=0,"",IFERROR(TRIM(INDEX('Pegar docentes'!$A$1:$BZ$1001,683,B$2)&amp;""),""))</f>
        <v/>
      </c>
      <c r="C684">
        <f>IF(C$2=0,"",IFERROR(TRIM(INDEX('Pegar docentes'!$A$1:$BZ$1001,683,C$2)&amp;""),""))</f>
        <v/>
      </c>
      <c r="D684">
        <f>IF(D$2=0,"",IFERROR(TRIM(INDEX('Pegar docentes'!$A$1:$BZ$1001,683,D$2)&amp;""),""))</f>
        <v/>
      </c>
      <c r="E684">
        <f>IF(E$2=0,"",IFERROR(TRIM(INDEX('Pegar docentes'!$A$1:$BZ$1001,683,E$2)&amp;""),""))</f>
        <v/>
      </c>
      <c r="F684">
        <f>IF(F$2=0,"",IFERROR(TRIM(INDEX('Pegar docentes'!$A$1:$BZ$1001,683,F$2)&amp;""),""))</f>
        <v/>
      </c>
      <c r="G684">
        <f>IF(G$2=0,"",IFERROR(TRIM(INDEX('Pegar docentes'!$A$1:$BZ$1001,683,G$2)&amp;""),""))</f>
        <v/>
      </c>
      <c r="H684">
        <f>IF(H$2=0,"",IFERROR(TRIM(INDEX('Pegar docentes'!$A$1:$BZ$1001,683,H$2)&amp;""),""))</f>
        <v/>
      </c>
      <c r="I684">
        <f>IF(I$2=0,"",IFERROR(TRIM(INDEX('Pegar docentes'!$A$1:$BZ$1001,683,I$2)&amp;""),""))</f>
        <v/>
      </c>
      <c r="J684">
        <f>IF(J$2=0,"",IFERROR(TRIM(INDEX('Pegar docentes'!$A$1:$BZ$1001,683,J$2)&amp;""),""))</f>
        <v/>
      </c>
      <c r="K684">
        <f>IF(K$2=0,"",IFERROR(TRIM(INDEX('Pegar docentes'!$A$1:$BZ$1001,683,K$2)&amp;""),""))</f>
        <v/>
      </c>
      <c r="L684">
        <f>IF(L$2=0,"",IFERROR(TRIM(INDEX('Pegar docentes'!$A$1:$BZ$1001,683,L$2)&amp;""),""))</f>
        <v/>
      </c>
      <c r="M684">
        <f>IF(M$2=0,"",IFERROR(TRIM(INDEX('Pegar docentes'!$A$1:$BZ$1001,683,M$2)&amp;""),""))</f>
        <v/>
      </c>
      <c r="N684">
        <f>IF(N$2=0,"",IFERROR(TRIM(INDEX('Pegar docentes'!$A$1:$BZ$1001,683,N$2)&amp;""),""))</f>
        <v/>
      </c>
      <c r="O684">
        <f>IF(O$2=0,"",IFERROR(TRIM(INDEX('Pegar docentes'!$A$1:$BZ$1001,683,O$2)&amp;""),""))</f>
        <v/>
      </c>
      <c r="P684">
        <f>IF(P$2=0,"",IFERROR(TRIM(INDEX('Pegar docentes'!$A$1:$BZ$1001,683,P$2)&amp;""),""))</f>
        <v/>
      </c>
      <c r="Q684" s="25">
        <f>IF(OR(D684&lt;&gt;"",H684&lt;&gt;""),1,"")</f>
        <v/>
      </c>
      <c r="R684" s="25">
        <f>IF(Q684=1,IF(ISNUMBER(FIND("#"&amp;MID(D684,1,1)&amp;"#","#0#1#2#3#4#5#6#7#8#9#")),IF(ISNUMBER(FIND("#"&amp;MID(D684,2,1)&amp;"#","#0#1#2#3#4#5#6#7#8#9#")),IF(AND(VALUE(LEFT(D684,2))&gt;=1,VALUE(LEFT(D684,2))&lt;=5),VALUE(LEFT(D684,2)),""),IF(AND(VALUE(LEFT(D684,1))&gt;=1,VALUE(LEFT(D684,1))&lt;=5),VALUE(LEFT(D684,1)),"")),""),"")</f>
        <v/>
      </c>
      <c r="S684" s="25">
        <f>IF(AND(Q684=1,E684&lt;&gt;""),SUBSTITUTE(SUBSTITUTE(SUBSTITUTE(SUBSTITUTE(SUBSTITUTE(SUBSTITUTE(SUBSTITUTE(SUBSTITUTE(SUBSTITUTE(SUBSTITUTE(SUBSTITUTE(SUBSTITUTE(LOWER(TRIM(E684)),"á","a"),"é","e"),"í","i"),"ó","o"),"ú","u"),"ü","u"),"ñ","n"),"à","a"),"è","e"),"ì","i"),"ò","o"),"ù","u"),"")</f>
        <v/>
      </c>
      <c r="T684" s="25">
        <f>IF(AND(Q684=1,G684&lt;&gt;""),SUBSTITUTE(SUBSTITUTE(SUBSTITUTE(SUBSTITUTE(SUBSTITUTE(SUBSTITUTE(SUBSTITUTE(SUBSTITUTE(SUBSTITUTE(SUBSTITUTE(SUBSTITUTE(SUBSTITUTE(LOWER(TRIM(G684)),"á","a"),"é","e"),"í","i"),"ó","o"),"ú","u"),"ü","u"),"ñ","n"),"à","a"),"è","e"),"ì","i"),"ò","o"),"ù","u"),"")</f>
        <v/>
      </c>
      <c r="U684" s="25">
        <f>IF(AND(Q684=1,H684&lt;&gt;""),SUBSTITUTE(SUBSTITUTE(SUBSTITUTE(SUBSTITUTE(SUBSTITUTE(SUBSTITUTE(SUBSTITUTE(SUBSTITUTE(SUBSTITUTE(SUBSTITUTE(SUBSTITUTE(SUBSTITUTE(LOWER(TRIM(H684)),"á","a"),"é","e"),"í","i"),"ó","o"),"ú","u"),"ü","u"),"ñ","n"),"à","a"),"è","e"),"ì","i"),"ò","o"),"ù","u"),"")</f>
        <v/>
      </c>
      <c r="V684" s="25">
        <f>IF(AND(Q684=1,L684&lt;&gt;""),SUBSTITUTE(SUBSTITUTE(SUBSTITUTE(SUBSTITUTE(SUBSTITUTE(SUBSTITUTE(SUBSTITUTE(SUBSTITUTE(SUBSTITUTE(SUBSTITUTE(SUBSTITUTE(SUBSTITUTE(LOWER(TRIM(L684)),"á","a"),"é","e"),"í","i"),"ó","o"),"ú","u"),"ü","u"),"ñ","n"),"à","a"),"è","e"),"ì","i"),"ò","o"),"ù","u"),"")</f>
        <v/>
      </c>
      <c r="W684" s="25">
        <f>IF(AND(Q684=1,I684&lt;&gt;""),SUBSTITUTE(SUBSTITUTE(SUBSTITUTE(SUBSTITUTE(SUBSTITUTE(SUBSTITUTE(SUBSTITUTE(SUBSTITUTE(SUBSTITUTE(SUBSTITUTE(SUBSTITUTE(SUBSTITUTE(LOWER(TRIM(I684)),"á","a"),"é","e"),"í","i"),"ó","o"),"ú","u"),"ü","u"),"ñ","n"),"à","a"),"è","e"),"ì","i"),"ò","o"),"ù","u"),"")</f>
        <v/>
      </c>
      <c r="X684" s="25">
        <f>IF(U684="","",IF(OR(U684="si, en la proxima tarea",U684="si, con cambios"),1,0))</f>
        <v/>
      </c>
      <c r="Y684" s="25">
        <f>IF(AND(Q684=1,A684&lt;&gt;""),IF(IFERROR(COUNTIFS(A$3:A684,"="&amp;SUBSTITUTE(SUBSTITUTE(SUBSTITUTE(A684,"~","~~"),"*","~*"),"?","~?"),Q$3:Q684,1),0)=1,MAX(Y$2:Y683)+1,""),"")</f>
        <v/>
      </c>
      <c r="Z684" s="25">
        <f>IF(Y684="","",COUNTIFS($A$3:$A$1002,"="&amp;SUBSTITUTE(SUBSTITUTE(SUBSTITUTE(A684,"~","~~"),"*","~*"),"?","~?"),$Q$3:$Q$1002,1)*10000-Y684)</f>
        <v/>
      </c>
    </row>
    <row r="685">
      <c r="A685">
        <f>IF(A$2=0,"",IFERROR(TRIM(INDEX('Pegar docentes'!$A$1:$BZ$1001,684,A$2)&amp;""),""))</f>
        <v/>
      </c>
      <c r="B685">
        <f>IF(B$2=0,"",IFERROR(TRIM(INDEX('Pegar docentes'!$A$1:$BZ$1001,684,B$2)&amp;""),""))</f>
        <v/>
      </c>
      <c r="C685">
        <f>IF(C$2=0,"",IFERROR(TRIM(INDEX('Pegar docentes'!$A$1:$BZ$1001,684,C$2)&amp;""),""))</f>
        <v/>
      </c>
      <c r="D685">
        <f>IF(D$2=0,"",IFERROR(TRIM(INDEX('Pegar docentes'!$A$1:$BZ$1001,684,D$2)&amp;""),""))</f>
        <v/>
      </c>
      <c r="E685">
        <f>IF(E$2=0,"",IFERROR(TRIM(INDEX('Pegar docentes'!$A$1:$BZ$1001,684,E$2)&amp;""),""))</f>
        <v/>
      </c>
      <c r="F685">
        <f>IF(F$2=0,"",IFERROR(TRIM(INDEX('Pegar docentes'!$A$1:$BZ$1001,684,F$2)&amp;""),""))</f>
        <v/>
      </c>
      <c r="G685">
        <f>IF(G$2=0,"",IFERROR(TRIM(INDEX('Pegar docentes'!$A$1:$BZ$1001,684,G$2)&amp;""),""))</f>
        <v/>
      </c>
      <c r="H685">
        <f>IF(H$2=0,"",IFERROR(TRIM(INDEX('Pegar docentes'!$A$1:$BZ$1001,684,H$2)&amp;""),""))</f>
        <v/>
      </c>
      <c r="I685">
        <f>IF(I$2=0,"",IFERROR(TRIM(INDEX('Pegar docentes'!$A$1:$BZ$1001,684,I$2)&amp;""),""))</f>
        <v/>
      </c>
      <c r="J685">
        <f>IF(J$2=0,"",IFERROR(TRIM(INDEX('Pegar docentes'!$A$1:$BZ$1001,684,J$2)&amp;""),""))</f>
        <v/>
      </c>
      <c r="K685">
        <f>IF(K$2=0,"",IFERROR(TRIM(INDEX('Pegar docentes'!$A$1:$BZ$1001,684,K$2)&amp;""),""))</f>
        <v/>
      </c>
      <c r="L685">
        <f>IF(L$2=0,"",IFERROR(TRIM(INDEX('Pegar docentes'!$A$1:$BZ$1001,684,L$2)&amp;""),""))</f>
        <v/>
      </c>
      <c r="M685">
        <f>IF(M$2=0,"",IFERROR(TRIM(INDEX('Pegar docentes'!$A$1:$BZ$1001,684,M$2)&amp;""),""))</f>
        <v/>
      </c>
      <c r="N685">
        <f>IF(N$2=0,"",IFERROR(TRIM(INDEX('Pegar docentes'!$A$1:$BZ$1001,684,N$2)&amp;""),""))</f>
        <v/>
      </c>
      <c r="O685">
        <f>IF(O$2=0,"",IFERROR(TRIM(INDEX('Pegar docentes'!$A$1:$BZ$1001,684,O$2)&amp;""),""))</f>
        <v/>
      </c>
      <c r="P685">
        <f>IF(P$2=0,"",IFERROR(TRIM(INDEX('Pegar docentes'!$A$1:$BZ$1001,684,P$2)&amp;""),""))</f>
        <v/>
      </c>
      <c r="Q685" s="25">
        <f>IF(OR(D685&lt;&gt;"",H685&lt;&gt;""),1,"")</f>
        <v/>
      </c>
      <c r="R685" s="25">
        <f>IF(Q685=1,IF(ISNUMBER(FIND("#"&amp;MID(D685,1,1)&amp;"#","#0#1#2#3#4#5#6#7#8#9#")),IF(ISNUMBER(FIND("#"&amp;MID(D685,2,1)&amp;"#","#0#1#2#3#4#5#6#7#8#9#")),IF(AND(VALUE(LEFT(D685,2))&gt;=1,VALUE(LEFT(D685,2))&lt;=5),VALUE(LEFT(D685,2)),""),IF(AND(VALUE(LEFT(D685,1))&gt;=1,VALUE(LEFT(D685,1))&lt;=5),VALUE(LEFT(D685,1)),"")),""),"")</f>
        <v/>
      </c>
      <c r="S685" s="25">
        <f>IF(AND(Q685=1,E685&lt;&gt;""),SUBSTITUTE(SUBSTITUTE(SUBSTITUTE(SUBSTITUTE(SUBSTITUTE(SUBSTITUTE(SUBSTITUTE(SUBSTITUTE(SUBSTITUTE(SUBSTITUTE(SUBSTITUTE(SUBSTITUTE(LOWER(TRIM(E685)),"á","a"),"é","e"),"í","i"),"ó","o"),"ú","u"),"ü","u"),"ñ","n"),"à","a"),"è","e"),"ì","i"),"ò","o"),"ù","u"),"")</f>
        <v/>
      </c>
      <c r="T685" s="25">
        <f>IF(AND(Q685=1,G685&lt;&gt;""),SUBSTITUTE(SUBSTITUTE(SUBSTITUTE(SUBSTITUTE(SUBSTITUTE(SUBSTITUTE(SUBSTITUTE(SUBSTITUTE(SUBSTITUTE(SUBSTITUTE(SUBSTITUTE(SUBSTITUTE(LOWER(TRIM(G685)),"á","a"),"é","e"),"í","i"),"ó","o"),"ú","u"),"ü","u"),"ñ","n"),"à","a"),"è","e"),"ì","i"),"ò","o"),"ù","u"),"")</f>
        <v/>
      </c>
      <c r="U685" s="25">
        <f>IF(AND(Q685=1,H685&lt;&gt;""),SUBSTITUTE(SUBSTITUTE(SUBSTITUTE(SUBSTITUTE(SUBSTITUTE(SUBSTITUTE(SUBSTITUTE(SUBSTITUTE(SUBSTITUTE(SUBSTITUTE(SUBSTITUTE(SUBSTITUTE(LOWER(TRIM(H685)),"á","a"),"é","e"),"í","i"),"ó","o"),"ú","u"),"ü","u"),"ñ","n"),"à","a"),"è","e"),"ì","i"),"ò","o"),"ù","u"),"")</f>
        <v/>
      </c>
      <c r="V685" s="25">
        <f>IF(AND(Q685=1,L685&lt;&gt;""),SUBSTITUTE(SUBSTITUTE(SUBSTITUTE(SUBSTITUTE(SUBSTITUTE(SUBSTITUTE(SUBSTITUTE(SUBSTITUTE(SUBSTITUTE(SUBSTITUTE(SUBSTITUTE(SUBSTITUTE(LOWER(TRIM(L685)),"á","a"),"é","e"),"í","i"),"ó","o"),"ú","u"),"ü","u"),"ñ","n"),"à","a"),"è","e"),"ì","i"),"ò","o"),"ù","u"),"")</f>
        <v/>
      </c>
      <c r="W685" s="25">
        <f>IF(AND(Q685=1,I685&lt;&gt;""),SUBSTITUTE(SUBSTITUTE(SUBSTITUTE(SUBSTITUTE(SUBSTITUTE(SUBSTITUTE(SUBSTITUTE(SUBSTITUTE(SUBSTITUTE(SUBSTITUTE(SUBSTITUTE(SUBSTITUTE(LOWER(TRIM(I685)),"á","a"),"é","e"),"í","i"),"ó","o"),"ú","u"),"ü","u"),"ñ","n"),"à","a"),"è","e"),"ì","i"),"ò","o"),"ù","u"),"")</f>
        <v/>
      </c>
      <c r="X685" s="25">
        <f>IF(U685="","",IF(OR(U685="si, en la proxima tarea",U685="si, con cambios"),1,0))</f>
        <v/>
      </c>
      <c r="Y685" s="25">
        <f>IF(AND(Q685=1,A685&lt;&gt;""),IF(IFERROR(COUNTIFS(A$3:A685,"="&amp;SUBSTITUTE(SUBSTITUTE(SUBSTITUTE(A685,"~","~~"),"*","~*"),"?","~?"),Q$3:Q685,1),0)=1,MAX(Y$2:Y684)+1,""),"")</f>
        <v/>
      </c>
      <c r="Z685" s="25">
        <f>IF(Y685="","",COUNTIFS($A$3:$A$1002,"="&amp;SUBSTITUTE(SUBSTITUTE(SUBSTITUTE(A685,"~","~~"),"*","~*"),"?","~?"),$Q$3:$Q$1002,1)*10000-Y685)</f>
        <v/>
      </c>
    </row>
    <row r="686">
      <c r="A686">
        <f>IF(A$2=0,"",IFERROR(TRIM(INDEX('Pegar docentes'!$A$1:$BZ$1001,685,A$2)&amp;""),""))</f>
        <v/>
      </c>
      <c r="B686">
        <f>IF(B$2=0,"",IFERROR(TRIM(INDEX('Pegar docentes'!$A$1:$BZ$1001,685,B$2)&amp;""),""))</f>
        <v/>
      </c>
      <c r="C686">
        <f>IF(C$2=0,"",IFERROR(TRIM(INDEX('Pegar docentes'!$A$1:$BZ$1001,685,C$2)&amp;""),""))</f>
        <v/>
      </c>
      <c r="D686">
        <f>IF(D$2=0,"",IFERROR(TRIM(INDEX('Pegar docentes'!$A$1:$BZ$1001,685,D$2)&amp;""),""))</f>
        <v/>
      </c>
      <c r="E686">
        <f>IF(E$2=0,"",IFERROR(TRIM(INDEX('Pegar docentes'!$A$1:$BZ$1001,685,E$2)&amp;""),""))</f>
        <v/>
      </c>
      <c r="F686">
        <f>IF(F$2=0,"",IFERROR(TRIM(INDEX('Pegar docentes'!$A$1:$BZ$1001,685,F$2)&amp;""),""))</f>
        <v/>
      </c>
      <c r="G686">
        <f>IF(G$2=0,"",IFERROR(TRIM(INDEX('Pegar docentes'!$A$1:$BZ$1001,685,G$2)&amp;""),""))</f>
        <v/>
      </c>
      <c r="H686">
        <f>IF(H$2=0,"",IFERROR(TRIM(INDEX('Pegar docentes'!$A$1:$BZ$1001,685,H$2)&amp;""),""))</f>
        <v/>
      </c>
      <c r="I686">
        <f>IF(I$2=0,"",IFERROR(TRIM(INDEX('Pegar docentes'!$A$1:$BZ$1001,685,I$2)&amp;""),""))</f>
        <v/>
      </c>
      <c r="J686">
        <f>IF(J$2=0,"",IFERROR(TRIM(INDEX('Pegar docentes'!$A$1:$BZ$1001,685,J$2)&amp;""),""))</f>
        <v/>
      </c>
      <c r="K686">
        <f>IF(K$2=0,"",IFERROR(TRIM(INDEX('Pegar docentes'!$A$1:$BZ$1001,685,K$2)&amp;""),""))</f>
        <v/>
      </c>
      <c r="L686">
        <f>IF(L$2=0,"",IFERROR(TRIM(INDEX('Pegar docentes'!$A$1:$BZ$1001,685,L$2)&amp;""),""))</f>
        <v/>
      </c>
      <c r="M686">
        <f>IF(M$2=0,"",IFERROR(TRIM(INDEX('Pegar docentes'!$A$1:$BZ$1001,685,M$2)&amp;""),""))</f>
        <v/>
      </c>
      <c r="N686">
        <f>IF(N$2=0,"",IFERROR(TRIM(INDEX('Pegar docentes'!$A$1:$BZ$1001,685,N$2)&amp;""),""))</f>
        <v/>
      </c>
      <c r="O686">
        <f>IF(O$2=0,"",IFERROR(TRIM(INDEX('Pegar docentes'!$A$1:$BZ$1001,685,O$2)&amp;""),""))</f>
        <v/>
      </c>
      <c r="P686">
        <f>IF(P$2=0,"",IFERROR(TRIM(INDEX('Pegar docentes'!$A$1:$BZ$1001,685,P$2)&amp;""),""))</f>
        <v/>
      </c>
      <c r="Q686" s="25">
        <f>IF(OR(D686&lt;&gt;"",H686&lt;&gt;""),1,"")</f>
        <v/>
      </c>
      <c r="R686" s="25">
        <f>IF(Q686=1,IF(ISNUMBER(FIND("#"&amp;MID(D686,1,1)&amp;"#","#0#1#2#3#4#5#6#7#8#9#")),IF(ISNUMBER(FIND("#"&amp;MID(D686,2,1)&amp;"#","#0#1#2#3#4#5#6#7#8#9#")),IF(AND(VALUE(LEFT(D686,2))&gt;=1,VALUE(LEFT(D686,2))&lt;=5),VALUE(LEFT(D686,2)),""),IF(AND(VALUE(LEFT(D686,1))&gt;=1,VALUE(LEFT(D686,1))&lt;=5),VALUE(LEFT(D686,1)),"")),""),"")</f>
        <v/>
      </c>
      <c r="S686" s="25">
        <f>IF(AND(Q686=1,E686&lt;&gt;""),SUBSTITUTE(SUBSTITUTE(SUBSTITUTE(SUBSTITUTE(SUBSTITUTE(SUBSTITUTE(SUBSTITUTE(SUBSTITUTE(SUBSTITUTE(SUBSTITUTE(SUBSTITUTE(SUBSTITUTE(LOWER(TRIM(E686)),"á","a"),"é","e"),"í","i"),"ó","o"),"ú","u"),"ü","u"),"ñ","n"),"à","a"),"è","e"),"ì","i"),"ò","o"),"ù","u"),"")</f>
        <v/>
      </c>
      <c r="T686" s="25">
        <f>IF(AND(Q686=1,G686&lt;&gt;""),SUBSTITUTE(SUBSTITUTE(SUBSTITUTE(SUBSTITUTE(SUBSTITUTE(SUBSTITUTE(SUBSTITUTE(SUBSTITUTE(SUBSTITUTE(SUBSTITUTE(SUBSTITUTE(SUBSTITUTE(LOWER(TRIM(G686)),"á","a"),"é","e"),"í","i"),"ó","o"),"ú","u"),"ü","u"),"ñ","n"),"à","a"),"è","e"),"ì","i"),"ò","o"),"ù","u"),"")</f>
        <v/>
      </c>
      <c r="U686" s="25">
        <f>IF(AND(Q686=1,H686&lt;&gt;""),SUBSTITUTE(SUBSTITUTE(SUBSTITUTE(SUBSTITUTE(SUBSTITUTE(SUBSTITUTE(SUBSTITUTE(SUBSTITUTE(SUBSTITUTE(SUBSTITUTE(SUBSTITUTE(SUBSTITUTE(LOWER(TRIM(H686)),"á","a"),"é","e"),"í","i"),"ó","o"),"ú","u"),"ü","u"),"ñ","n"),"à","a"),"è","e"),"ì","i"),"ò","o"),"ù","u"),"")</f>
        <v/>
      </c>
      <c r="V686" s="25">
        <f>IF(AND(Q686=1,L686&lt;&gt;""),SUBSTITUTE(SUBSTITUTE(SUBSTITUTE(SUBSTITUTE(SUBSTITUTE(SUBSTITUTE(SUBSTITUTE(SUBSTITUTE(SUBSTITUTE(SUBSTITUTE(SUBSTITUTE(SUBSTITUTE(LOWER(TRIM(L686)),"á","a"),"é","e"),"í","i"),"ó","o"),"ú","u"),"ü","u"),"ñ","n"),"à","a"),"è","e"),"ì","i"),"ò","o"),"ù","u"),"")</f>
        <v/>
      </c>
      <c r="W686" s="25">
        <f>IF(AND(Q686=1,I686&lt;&gt;""),SUBSTITUTE(SUBSTITUTE(SUBSTITUTE(SUBSTITUTE(SUBSTITUTE(SUBSTITUTE(SUBSTITUTE(SUBSTITUTE(SUBSTITUTE(SUBSTITUTE(SUBSTITUTE(SUBSTITUTE(LOWER(TRIM(I686)),"á","a"),"é","e"),"í","i"),"ó","o"),"ú","u"),"ü","u"),"ñ","n"),"à","a"),"è","e"),"ì","i"),"ò","o"),"ù","u"),"")</f>
        <v/>
      </c>
      <c r="X686" s="25">
        <f>IF(U686="","",IF(OR(U686="si, en la proxima tarea",U686="si, con cambios"),1,0))</f>
        <v/>
      </c>
      <c r="Y686" s="25">
        <f>IF(AND(Q686=1,A686&lt;&gt;""),IF(IFERROR(COUNTIFS(A$3:A686,"="&amp;SUBSTITUTE(SUBSTITUTE(SUBSTITUTE(A686,"~","~~"),"*","~*"),"?","~?"),Q$3:Q686,1),0)=1,MAX(Y$2:Y685)+1,""),"")</f>
        <v/>
      </c>
      <c r="Z686" s="25">
        <f>IF(Y686="","",COUNTIFS($A$3:$A$1002,"="&amp;SUBSTITUTE(SUBSTITUTE(SUBSTITUTE(A686,"~","~~"),"*","~*"),"?","~?"),$Q$3:$Q$1002,1)*10000-Y686)</f>
        <v/>
      </c>
    </row>
    <row r="687">
      <c r="A687">
        <f>IF(A$2=0,"",IFERROR(TRIM(INDEX('Pegar docentes'!$A$1:$BZ$1001,686,A$2)&amp;""),""))</f>
        <v/>
      </c>
      <c r="B687">
        <f>IF(B$2=0,"",IFERROR(TRIM(INDEX('Pegar docentes'!$A$1:$BZ$1001,686,B$2)&amp;""),""))</f>
        <v/>
      </c>
      <c r="C687">
        <f>IF(C$2=0,"",IFERROR(TRIM(INDEX('Pegar docentes'!$A$1:$BZ$1001,686,C$2)&amp;""),""))</f>
        <v/>
      </c>
      <c r="D687">
        <f>IF(D$2=0,"",IFERROR(TRIM(INDEX('Pegar docentes'!$A$1:$BZ$1001,686,D$2)&amp;""),""))</f>
        <v/>
      </c>
      <c r="E687">
        <f>IF(E$2=0,"",IFERROR(TRIM(INDEX('Pegar docentes'!$A$1:$BZ$1001,686,E$2)&amp;""),""))</f>
        <v/>
      </c>
      <c r="F687">
        <f>IF(F$2=0,"",IFERROR(TRIM(INDEX('Pegar docentes'!$A$1:$BZ$1001,686,F$2)&amp;""),""))</f>
        <v/>
      </c>
      <c r="G687">
        <f>IF(G$2=0,"",IFERROR(TRIM(INDEX('Pegar docentes'!$A$1:$BZ$1001,686,G$2)&amp;""),""))</f>
        <v/>
      </c>
      <c r="H687">
        <f>IF(H$2=0,"",IFERROR(TRIM(INDEX('Pegar docentes'!$A$1:$BZ$1001,686,H$2)&amp;""),""))</f>
        <v/>
      </c>
      <c r="I687">
        <f>IF(I$2=0,"",IFERROR(TRIM(INDEX('Pegar docentes'!$A$1:$BZ$1001,686,I$2)&amp;""),""))</f>
        <v/>
      </c>
      <c r="J687">
        <f>IF(J$2=0,"",IFERROR(TRIM(INDEX('Pegar docentes'!$A$1:$BZ$1001,686,J$2)&amp;""),""))</f>
        <v/>
      </c>
      <c r="K687">
        <f>IF(K$2=0,"",IFERROR(TRIM(INDEX('Pegar docentes'!$A$1:$BZ$1001,686,K$2)&amp;""),""))</f>
        <v/>
      </c>
      <c r="L687">
        <f>IF(L$2=0,"",IFERROR(TRIM(INDEX('Pegar docentes'!$A$1:$BZ$1001,686,L$2)&amp;""),""))</f>
        <v/>
      </c>
      <c r="M687">
        <f>IF(M$2=0,"",IFERROR(TRIM(INDEX('Pegar docentes'!$A$1:$BZ$1001,686,M$2)&amp;""),""))</f>
        <v/>
      </c>
      <c r="N687">
        <f>IF(N$2=0,"",IFERROR(TRIM(INDEX('Pegar docentes'!$A$1:$BZ$1001,686,N$2)&amp;""),""))</f>
        <v/>
      </c>
      <c r="O687">
        <f>IF(O$2=0,"",IFERROR(TRIM(INDEX('Pegar docentes'!$A$1:$BZ$1001,686,O$2)&amp;""),""))</f>
        <v/>
      </c>
      <c r="P687">
        <f>IF(P$2=0,"",IFERROR(TRIM(INDEX('Pegar docentes'!$A$1:$BZ$1001,686,P$2)&amp;""),""))</f>
        <v/>
      </c>
      <c r="Q687" s="25">
        <f>IF(OR(D687&lt;&gt;"",H687&lt;&gt;""),1,"")</f>
        <v/>
      </c>
      <c r="R687" s="25">
        <f>IF(Q687=1,IF(ISNUMBER(FIND("#"&amp;MID(D687,1,1)&amp;"#","#0#1#2#3#4#5#6#7#8#9#")),IF(ISNUMBER(FIND("#"&amp;MID(D687,2,1)&amp;"#","#0#1#2#3#4#5#6#7#8#9#")),IF(AND(VALUE(LEFT(D687,2))&gt;=1,VALUE(LEFT(D687,2))&lt;=5),VALUE(LEFT(D687,2)),""),IF(AND(VALUE(LEFT(D687,1))&gt;=1,VALUE(LEFT(D687,1))&lt;=5),VALUE(LEFT(D687,1)),"")),""),"")</f>
        <v/>
      </c>
      <c r="S687" s="25">
        <f>IF(AND(Q687=1,E687&lt;&gt;""),SUBSTITUTE(SUBSTITUTE(SUBSTITUTE(SUBSTITUTE(SUBSTITUTE(SUBSTITUTE(SUBSTITUTE(SUBSTITUTE(SUBSTITUTE(SUBSTITUTE(SUBSTITUTE(SUBSTITUTE(LOWER(TRIM(E687)),"á","a"),"é","e"),"í","i"),"ó","o"),"ú","u"),"ü","u"),"ñ","n"),"à","a"),"è","e"),"ì","i"),"ò","o"),"ù","u"),"")</f>
        <v/>
      </c>
      <c r="T687" s="25">
        <f>IF(AND(Q687=1,G687&lt;&gt;""),SUBSTITUTE(SUBSTITUTE(SUBSTITUTE(SUBSTITUTE(SUBSTITUTE(SUBSTITUTE(SUBSTITUTE(SUBSTITUTE(SUBSTITUTE(SUBSTITUTE(SUBSTITUTE(SUBSTITUTE(LOWER(TRIM(G687)),"á","a"),"é","e"),"í","i"),"ó","o"),"ú","u"),"ü","u"),"ñ","n"),"à","a"),"è","e"),"ì","i"),"ò","o"),"ù","u"),"")</f>
        <v/>
      </c>
      <c r="U687" s="25">
        <f>IF(AND(Q687=1,H687&lt;&gt;""),SUBSTITUTE(SUBSTITUTE(SUBSTITUTE(SUBSTITUTE(SUBSTITUTE(SUBSTITUTE(SUBSTITUTE(SUBSTITUTE(SUBSTITUTE(SUBSTITUTE(SUBSTITUTE(SUBSTITUTE(LOWER(TRIM(H687)),"á","a"),"é","e"),"í","i"),"ó","o"),"ú","u"),"ü","u"),"ñ","n"),"à","a"),"è","e"),"ì","i"),"ò","o"),"ù","u"),"")</f>
        <v/>
      </c>
      <c r="V687" s="25">
        <f>IF(AND(Q687=1,L687&lt;&gt;""),SUBSTITUTE(SUBSTITUTE(SUBSTITUTE(SUBSTITUTE(SUBSTITUTE(SUBSTITUTE(SUBSTITUTE(SUBSTITUTE(SUBSTITUTE(SUBSTITUTE(SUBSTITUTE(SUBSTITUTE(LOWER(TRIM(L687)),"á","a"),"é","e"),"í","i"),"ó","o"),"ú","u"),"ü","u"),"ñ","n"),"à","a"),"è","e"),"ì","i"),"ò","o"),"ù","u"),"")</f>
        <v/>
      </c>
      <c r="W687" s="25">
        <f>IF(AND(Q687=1,I687&lt;&gt;""),SUBSTITUTE(SUBSTITUTE(SUBSTITUTE(SUBSTITUTE(SUBSTITUTE(SUBSTITUTE(SUBSTITUTE(SUBSTITUTE(SUBSTITUTE(SUBSTITUTE(SUBSTITUTE(SUBSTITUTE(LOWER(TRIM(I687)),"á","a"),"é","e"),"í","i"),"ó","o"),"ú","u"),"ü","u"),"ñ","n"),"à","a"),"è","e"),"ì","i"),"ò","o"),"ù","u"),"")</f>
        <v/>
      </c>
      <c r="X687" s="25">
        <f>IF(U687="","",IF(OR(U687="si, en la proxima tarea",U687="si, con cambios"),1,0))</f>
        <v/>
      </c>
      <c r="Y687" s="25">
        <f>IF(AND(Q687=1,A687&lt;&gt;""),IF(IFERROR(COUNTIFS(A$3:A687,"="&amp;SUBSTITUTE(SUBSTITUTE(SUBSTITUTE(A687,"~","~~"),"*","~*"),"?","~?"),Q$3:Q687,1),0)=1,MAX(Y$2:Y686)+1,""),"")</f>
        <v/>
      </c>
      <c r="Z687" s="25">
        <f>IF(Y687="","",COUNTIFS($A$3:$A$1002,"="&amp;SUBSTITUTE(SUBSTITUTE(SUBSTITUTE(A687,"~","~~"),"*","~*"),"?","~?"),$Q$3:$Q$1002,1)*10000-Y687)</f>
        <v/>
      </c>
    </row>
    <row r="688">
      <c r="A688">
        <f>IF(A$2=0,"",IFERROR(TRIM(INDEX('Pegar docentes'!$A$1:$BZ$1001,687,A$2)&amp;""),""))</f>
        <v/>
      </c>
      <c r="B688">
        <f>IF(B$2=0,"",IFERROR(TRIM(INDEX('Pegar docentes'!$A$1:$BZ$1001,687,B$2)&amp;""),""))</f>
        <v/>
      </c>
      <c r="C688">
        <f>IF(C$2=0,"",IFERROR(TRIM(INDEX('Pegar docentes'!$A$1:$BZ$1001,687,C$2)&amp;""),""))</f>
        <v/>
      </c>
      <c r="D688">
        <f>IF(D$2=0,"",IFERROR(TRIM(INDEX('Pegar docentes'!$A$1:$BZ$1001,687,D$2)&amp;""),""))</f>
        <v/>
      </c>
      <c r="E688">
        <f>IF(E$2=0,"",IFERROR(TRIM(INDEX('Pegar docentes'!$A$1:$BZ$1001,687,E$2)&amp;""),""))</f>
        <v/>
      </c>
      <c r="F688">
        <f>IF(F$2=0,"",IFERROR(TRIM(INDEX('Pegar docentes'!$A$1:$BZ$1001,687,F$2)&amp;""),""))</f>
        <v/>
      </c>
      <c r="G688">
        <f>IF(G$2=0,"",IFERROR(TRIM(INDEX('Pegar docentes'!$A$1:$BZ$1001,687,G$2)&amp;""),""))</f>
        <v/>
      </c>
      <c r="H688">
        <f>IF(H$2=0,"",IFERROR(TRIM(INDEX('Pegar docentes'!$A$1:$BZ$1001,687,H$2)&amp;""),""))</f>
        <v/>
      </c>
      <c r="I688">
        <f>IF(I$2=0,"",IFERROR(TRIM(INDEX('Pegar docentes'!$A$1:$BZ$1001,687,I$2)&amp;""),""))</f>
        <v/>
      </c>
      <c r="J688">
        <f>IF(J$2=0,"",IFERROR(TRIM(INDEX('Pegar docentes'!$A$1:$BZ$1001,687,J$2)&amp;""),""))</f>
        <v/>
      </c>
      <c r="K688">
        <f>IF(K$2=0,"",IFERROR(TRIM(INDEX('Pegar docentes'!$A$1:$BZ$1001,687,K$2)&amp;""),""))</f>
        <v/>
      </c>
      <c r="L688">
        <f>IF(L$2=0,"",IFERROR(TRIM(INDEX('Pegar docentes'!$A$1:$BZ$1001,687,L$2)&amp;""),""))</f>
        <v/>
      </c>
      <c r="M688">
        <f>IF(M$2=0,"",IFERROR(TRIM(INDEX('Pegar docentes'!$A$1:$BZ$1001,687,M$2)&amp;""),""))</f>
        <v/>
      </c>
      <c r="N688">
        <f>IF(N$2=0,"",IFERROR(TRIM(INDEX('Pegar docentes'!$A$1:$BZ$1001,687,N$2)&amp;""),""))</f>
        <v/>
      </c>
      <c r="O688">
        <f>IF(O$2=0,"",IFERROR(TRIM(INDEX('Pegar docentes'!$A$1:$BZ$1001,687,O$2)&amp;""),""))</f>
        <v/>
      </c>
      <c r="P688">
        <f>IF(P$2=0,"",IFERROR(TRIM(INDEX('Pegar docentes'!$A$1:$BZ$1001,687,P$2)&amp;""),""))</f>
        <v/>
      </c>
      <c r="Q688" s="25">
        <f>IF(OR(D688&lt;&gt;"",H688&lt;&gt;""),1,"")</f>
        <v/>
      </c>
      <c r="R688" s="25">
        <f>IF(Q688=1,IF(ISNUMBER(FIND("#"&amp;MID(D688,1,1)&amp;"#","#0#1#2#3#4#5#6#7#8#9#")),IF(ISNUMBER(FIND("#"&amp;MID(D688,2,1)&amp;"#","#0#1#2#3#4#5#6#7#8#9#")),IF(AND(VALUE(LEFT(D688,2))&gt;=1,VALUE(LEFT(D688,2))&lt;=5),VALUE(LEFT(D688,2)),""),IF(AND(VALUE(LEFT(D688,1))&gt;=1,VALUE(LEFT(D688,1))&lt;=5),VALUE(LEFT(D688,1)),"")),""),"")</f>
        <v/>
      </c>
      <c r="S688" s="25">
        <f>IF(AND(Q688=1,E688&lt;&gt;""),SUBSTITUTE(SUBSTITUTE(SUBSTITUTE(SUBSTITUTE(SUBSTITUTE(SUBSTITUTE(SUBSTITUTE(SUBSTITUTE(SUBSTITUTE(SUBSTITUTE(SUBSTITUTE(SUBSTITUTE(LOWER(TRIM(E688)),"á","a"),"é","e"),"í","i"),"ó","o"),"ú","u"),"ü","u"),"ñ","n"),"à","a"),"è","e"),"ì","i"),"ò","o"),"ù","u"),"")</f>
        <v/>
      </c>
      <c r="T688" s="25">
        <f>IF(AND(Q688=1,G688&lt;&gt;""),SUBSTITUTE(SUBSTITUTE(SUBSTITUTE(SUBSTITUTE(SUBSTITUTE(SUBSTITUTE(SUBSTITUTE(SUBSTITUTE(SUBSTITUTE(SUBSTITUTE(SUBSTITUTE(SUBSTITUTE(LOWER(TRIM(G688)),"á","a"),"é","e"),"í","i"),"ó","o"),"ú","u"),"ü","u"),"ñ","n"),"à","a"),"è","e"),"ì","i"),"ò","o"),"ù","u"),"")</f>
        <v/>
      </c>
      <c r="U688" s="25">
        <f>IF(AND(Q688=1,H688&lt;&gt;""),SUBSTITUTE(SUBSTITUTE(SUBSTITUTE(SUBSTITUTE(SUBSTITUTE(SUBSTITUTE(SUBSTITUTE(SUBSTITUTE(SUBSTITUTE(SUBSTITUTE(SUBSTITUTE(SUBSTITUTE(LOWER(TRIM(H688)),"á","a"),"é","e"),"í","i"),"ó","o"),"ú","u"),"ü","u"),"ñ","n"),"à","a"),"è","e"),"ì","i"),"ò","o"),"ù","u"),"")</f>
        <v/>
      </c>
      <c r="V688" s="25">
        <f>IF(AND(Q688=1,L688&lt;&gt;""),SUBSTITUTE(SUBSTITUTE(SUBSTITUTE(SUBSTITUTE(SUBSTITUTE(SUBSTITUTE(SUBSTITUTE(SUBSTITUTE(SUBSTITUTE(SUBSTITUTE(SUBSTITUTE(SUBSTITUTE(LOWER(TRIM(L688)),"á","a"),"é","e"),"í","i"),"ó","o"),"ú","u"),"ü","u"),"ñ","n"),"à","a"),"è","e"),"ì","i"),"ò","o"),"ù","u"),"")</f>
        <v/>
      </c>
      <c r="W688" s="25">
        <f>IF(AND(Q688=1,I688&lt;&gt;""),SUBSTITUTE(SUBSTITUTE(SUBSTITUTE(SUBSTITUTE(SUBSTITUTE(SUBSTITUTE(SUBSTITUTE(SUBSTITUTE(SUBSTITUTE(SUBSTITUTE(SUBSTITUTE(SUBSTITUTE(LOWER(TRIM(I688)),"á","a"),"é","e"),"í","i"),"ó","o"),"ú","u"),"ü","u"),"ñ","n"),"à","a"),"è","e"),"ì","i"),"ò","o"),"ù","u"),"")</f>
        <v/>
      </c>
      <c r="X688" s="25">
        <f>IF(U688="","",IF(OR(U688="si, en la proxima tarea",U688="si, con cambios"),1,0))</f>
        <v/>
      </c>
      <c r="Y688" s="25">
        <f>IF(AND(Q688=1,A688&lt;&gt;""),IF(IFERROR(COUNTIFS(A$3:A688,"="&amp;SUBSTITUTE(SUBSTITUTE(SUBSTITUTE(A688,"~","~~"),"*","~*"),"?","~?"),Q$3:Q688,1),0)=1,MAX(Y$2:Y687)+1,""),"")</f>
        <v/>
      </c>
      <c r="Z688" s="25">
        <f>IF(Y688="","",COUNTIFS($A$3:$A$1002,"="&amp;SUBSTITUTE(SUBSTITUTE(SUBSTITUTE(A688,"~","~~"),"*","~*"),"?","~?"),$Q$3:$Q$1002,1)*10000-Y688)</f>
        <v/>
      </c>
    </row>
    <row r="689">
      <c r="A689">
        <f>IF(A$2=0,"",IFERROR(TRIM(INDEX('Pegar docentes'!$A$1:$BZ$1001,688,A$2)&amp;""),""))</f>
        <v/>
      </c>
      <c r="B689">
        <f>IF(B$2=0,"",IFERROR(TRIM(INDEX('Pegar docentes'!$A$1:$BZ$1001,688,B$2)&amp;""),""))</f>
        <v/>
      </c>
      <c r="C689">
        <f>IF(C$2=0,"",IFERROR(TRIM(INDEX('Pegar docentes'!$A$1:$BZ$1001,688,C$2)&amp;""),""))</f>
        <v/>
      </c>
      <c r="D689">
        <f>IF(D$2=0,"",IFERROR(TRIM(INDEX('Pegar docentes'!$A$1:$BZ$1001,688,D$2)&amp;""),""))</f>
        <v/>
      </c>
      <c r="E689">
        <f>IF(E$2=0,"",IFERROR(TRIM(INDEX('Pegar docentes'!$A$1:$BZ$1001,688,E$2)&amp;""),""))</f>
        <v/>
      </c>
      <c r="F689">
        <f>IF(F$2=0,"",IFERROR(TRIM(INDEX('Pegar docentes'!$A$1:$BZ$1001,688,F$2)&amp;""),""))</f>
        <v/>
      </c>
      <c r="G689">
        <f>IF(G$2=0,"",IFERROR(TRIM(INDEX('Pegar docentes'!$A$1:$BZ$1001,688,G$2)&amp;""),""))</f>
        <v/>
      </c>
      <c r="H689">
        <f>IF(H$2=0,"",IFERROR(TRIM(INDEX('Pegar docentes'!$A$1:$BZ$1001,688,H$2)&amp;""),""))</f>
        <v/>
      </c>
      <c r="I689">
        <f>IF(I$2=0,"",IFERROR(TRIM(INDEX('Pegar docentes'!$A$1:$BZ$1001,688,I$2)&amp;""),""))</f>
        <v/>
      </c>
      <c r="J689">
        <f>IF(J$2=0,"",IFERROR(TRIM(INDEX('Pegar docentes'!$A$1:$BZ$1001,688,J$2)&amp;""),""))</f>
        <v/>
      </c>
      <c r="K689">
        <f>IF(K$2=0,"",IFERROR(TRIM(INDEX('Pegar docentes'!$A$1:$BZ$1001,688,K$2)&amp;""),""))</f>
        <v/>
      </c>
      <c r="L689">
        <f>IF(L$2=0,"",IFERROR(TRIM(INDEX('Pegar docentes'!$A$1:$BZ$1001,688,L$2)&amp;""),""))</f>
        <v/>
      </c>
      <c r="M689">
        <f>IF(M$2=0,"",IFERROR(TRIM(INDEX('Pegar docentes'!$A$1:$BZ$1001,688,M$2)&amp;""),""))</f>
        <v/>
      </c>
      <c r="N689">
        <f>IF(N$2=0,"",IFERROR(TRIM(INDEX('Pegar docentes'!$A$1:$BZ$1001,688,N$2)&amp;""),""))</f>
        <v/>
      </c>
      <c r="O689">
        <f>IF(O$2=0,"",IFERROR(TRIM(INDEX('Pegar docentes'!$A$1:$BZ$1001,688,O$2)&amp;""),""))</f>
        <v/>
      </c>
      <c r="P689">
        <f>IF(P$2=0,"",IFERROR(TRIM(INDEX('Pegar docentes'!$A$1:$BZ$1001,688,P$2)&amp;""),""))</f>
        <v/>
      </c>
      <c r="Q689" s="25">
        <f>IF(OR(D689&lt;&gt;"",H689&lt;&gt;""),1,"")</f>
        <v/>
      </c>
      <c r="R689" s="25">
        <f>IF(Q689=1,IF(ISNUMBER(FIND("#"&amp;MID(D689,1,1)&amp;"#","#0#1#2#3#4#5#6#7#8#9#")),IF(ISNUMBER(FIND("#"&amp;MID(D689,2,1)&amp;"#","#0#1#2#3#4#5#6#7#8#9#")),IF(AND(VALUE(LEFT(D689,2))&gt;=1,VALUE(LEFT(D689,2))&lt;=5),VALUE(LEFT(D689,2)),""),IF(AND(VALUE(LEFT(D689,1))&gt;=1,VALUE(LEFT(D689,1))&lt;=5),VALUE(LEFT(D689,1)),"")),""),"")</f>
        <v/>
      </c>
      <c r="S689" s="25">
        <f>IF(AND(Q689=1,E689&lt;&gt;""),SUBSTITUTE(SUBSTITUTE(SUBSTITUTE(SUBSTITUTE(SUBSTITUTE(SUBSTITUTE(SUBSTITUTE(SUBSTITUTE(SUBSTITUTE(SUBSTITUTE(SUBSTITUTE(SUBSTITUTE(LOWER(TRIM(E689)),"á","a"),"é","e"),"í","i"),"ó","o"),"ú","u"),"ü","u"),"ñ","n"),"à","a"),"è","e"),"ì","i"),"ò","o"),"ù","u"),"")</f>
        <v/>
      </c>
      <c r="T689" s="25">
        <f>IF(AND(Q689=1,G689&lt;&gt;""),SUBSTITUTE(SUBSTITUTE(SUBSTITUTE(SUBSTITUTE(SUBSTITUTE(SUBSTITUTE(SUBSTITUTE(SUBSTITUTE(SUBSTITUTE(SUBSTITUTE(SUBSTITUTE(SUBSTITUTE(LOWER(TRIM(G689)),"á","a"),"é","e"),"í","i"),"ó","o"),"ú","u"),"ü","u"),"ñ","n"),"à","a"),"è","e"),"ì","i"),"ò","o"),"ù","u"),"")</f>
        <v/>
      </c>
      <c r="U689" s="25">
        <f>IF(AND(Q689=1,H689&lt;&gt;""),SUBSTITUTE(SUBSTITUTE(SUBSTITUTE(SUBSTITUTE(SUBSTITUTE(SUBSTITUTE(SUBSTITUTE(SUBSTITUTE(SUBSTITUTE(SUBSTITUTE(SUBSTITUTE(SUBSTITUTE(LOWER(TRIM(H689)),"á","a"),"é","e"),"í","i"),"ó","o"),"ú","u"),"ü","u"),"ñ","n"),"à","a"),"è","e"),"ì","i"),"ò","o"),"ù","u"),"")</f>
        <v/>
      </c>
      <c r="V689" s="25">
        <f>IF(AND(Q689=1,L689&lt;&gt;""),SUBSTITUTE(SUBSTITUTE(SUBSTITUTE(SUBSTITUTE(SUBSTITUTE(SUBSTITUTE(SUBSTITUTE(SUBSTITUTE(SUBSTITUTE(SUBSTITUTE(SUBSTITUTE(SUBSTITUTE(LOWER(TRIM(L689)),"á","a"),"é","e"),"í","i"),"ó","o"),"ú","u"),"ü","u"),"ñ","n"),"à","a"),"è","e"),"ì","i"),"ò","o"),"ù","u"),"")</f>
        <v/>
      </c>
      <c r="W689" s="25">
        <f>IF(AND(Q689=1,I689&lt;&gt;""),SUBSTITUTE(SUBSTITUTE(SUBSTITUTE(SUBSTITUTE(SUBSTITUTE(SUBSTITUTE(SUBSTITUTE(SUBSTITUTE(SUBSTITUTE(SUBSTITUTE(SUBSTITUTE(SUBSTITUTE(LOWER(TRIM(I689)),"á","a"),"é","e"),"í","i"),"ó","o"),"ú","u"),"ü","u"),"ñ","n"),"à","a"),"è","e"),"ì","i"),"ò","o"),"ù","u"),"")</f>
        <v/>
      </c>
      <c r="X689" s="25">
        <f>IF(U689="","",IF(OR(U689="si, en la proxima tarea",U689="si, con cambios"),1,0))</f>
        <v/>
      </c>
      <c r="Y689" s="25">
        <f>IF(AND(Q689=1,A689&lt;&gt;""),IF(IFERROR(COUNTIFS(A$3:A689,"="&amp;SUBSTITUTE(SUBSTITUTE(SUBSTITUTE(A689,"~","~~"),"*","~*"),"?","~?"),Q$3:Q689,1),0)=1,MAX(Y$2:Y688)+1,""),"")</f>
        <v/>
      </c>
      <c r="Z689" s="25">
        <f>IF(Y689="","",COUNTIFS($A$3:$A$1002,"="&amp;SUBSTITUTE(SUBSTITUTE(SUBSTITUTE(A689,"~","~~"),"*","~*"),"?","~?"),$Q$3:$Q$1002,1)*10000-Y689)</f>
        <v/>
      </c>
    </row>
    <row r="690">
      <c r="A690">
        <f>IF(A$2=0,"",IFERROR(TRIM(INDEX('Pegar docentes'!$A$1:$BZ$1001,689,A$2)&amp;""),""))</f>
        <v/>
      </c>
      <c r="B690">
        <f>IF(B$2=0,"",IFERROR(TRIM(INDEX('Pegar docentes'!$A$1:$BZ$1001,689,B$2)&amp;""),""))</f>
        <v/>
      </c>
      <c r="C690">
        <f>IF(C$2=0,"",IFERROR(TRIM(INDEX('Pegar docentes'!$A$1:$BZ$1001,689,C$2)&amp;""),""))</f>
        <v/>
      </c>
      <c r="D690">
        <f>IF(D$2=0,"",IFERROR(TRIM(INDEX('Pegar docentes'!$A$1:$BZ$1001,689,D$2)&amp;""),""))</f>
        <v/>
      </c>
      <c r="E690">
        <f>IF(E$2=0,"",IFERROR(TRIM(INDEX('Pegar docentes'!$A$1:$BZ$1001,689,E$2)&amp;""),""))</f>
        <v/>
      </c>
      <c r="F690">
        <f>IF(F$2=0,"",IFERROR(TRIM(INDEX('Pegar docentes'!$A$1:$BZ$1001,689,F$2)&amp;""),""))</f>
        <v/>
      </c>
      <c r="G690">
        <f>IF(G$2=0,"",IFERROR(TRIM(INDEX('Pegar docentes'!$A$1:$BZ$1001,689,G$2)&amp;""),""))</f>
        <v/>
      </c>
      <c r="H690">
        <f>IF(H$2=0,"",IFERROR(TRIM(INDEX('Pegar docentes'!$A$1:$BZ$1001,689,H$2)&amp;""),""))</f>
        <v/>
      </c>
      <c r="I690">
        <f>IF(I$2=0,"",IFERROR(TRIM(INDEX('Pegar docentes'!$A$1:$BZ$1001,689,I$2)&amp;""),""))</f>
        <v/>
      </c>
      <c r="J690">
        <f>IF(J$2=0,"",IFERROR(TRIM(INDEX('Pegar docentes'!$A$1:$BZ$1001,689,J$2)&amp;""),""))</f>
        <v/>
      </c>
      <c r="K690">
        <f>IF(K$2=0,"",IFERROR(TRIM(INDEX('Pegar docentes'!$A$1:$BZ$1001,689,K$2)&amp;""),""))</f>
        <v/>
      </c>
      <c r="L690">
        <f>IF(L$2=0,"",IFERROR(TRIM(INDEX('Pegar docentes'!$A$1:$BZ$1001,689,L$2)&amp;""),""))</f>
        <v/>
      </c>
      <c r="M690">
        <f>IF(M$2=0,"",IFERROR(TRIM(INDEX('Pegar docentes'!$A$1:$BZ$1001,689,M$2)&amp;""),""))</f>
        <v/>
      </c>
      <c r="N690">
        <f>IF(N$2=0,"",IFERROR(TRIM(INDEX('Pegar docentes'!$A$1:$BZ$1001,689,N$2)&amp;""),""))</f>
        <v/>
      </c>
      <c r="O690">
        <f>IF(O$2=0,"",IFERROR(TRIM(INDEX('Pegar docentes'!$A$1:$BZ$1001,689,O$2)&amp;""),""))</f>
        <v/>
      </c>
      <c r="P690">
        <f>IF(P$2=0,"",IFERROR(TRIM(INDEX('Pegar docentes'!$A$1:$BZ$1001,689,P$2)&amp;""),""))</f>
        <v/>
      </c>
      <c r="Q690" s="25">
        <f>IF(OR(D690&lt;&gt;"",H690&lt;&gt;""),1,"")</f>
        <v/>
      </c>
      <c r="R690" s="25">
        <f>IF(Q690=1,IF(ISNUMBER(FIND("#"&amp;MID(D690,1,1)&amp;"#","#0#1#2#3#4#5#6#7#8#9#")),IF(ISNUMBER(FIND("#"&amp;MID(D690,2,1)&amp;"#","#0#1#2#3#4#5#6#7#8#9#")),IF(AND(VALUE(LEFT(D690,2))&gt;=1,VALUE(LEFT(D690,2))&lt;=5),VALUE(LEFT(D690,2)),""),IF(AND(VALUE(LEFT(D690,1))&gt;=1,VALUE(LEFT(D690,1))&lt;=5),VALUE(LEFT(D690,1)),"")),""),"")</f>
        <v/>
      </c>
      <c r="S690" s="25">
        <f>IF(AND(Q690=1,E690&lt;&gt;""),SUBSTITUTE(SUBSTITUTE(SUBSTITUTE(SUBSTITUTE(SUBSTITUTE(SUBSTITUTE(SUBSTITUTE(SUBSTITUTE(SUBSTITUTE(SUBSTITUTE(SUBSTITUTE(SUBSTITUTE(LOWER(TRIM(E690)),"á","a"),"é","e"),"í","i"),"ó","o"),"ú","u"),"ü","u"),"ñ","n"),"à","a"),"è","e"),"ì","i"),"ò","o"),"ù","u"),"")</f>
        <v/>
      </c>
      <c r="T690" s="25">
        <f>IF(AND(Q690=1,G690&lt;&gt;""),SUBSTITUTE(SUBSTITUTE(SUBSTITUTE(SUBSTITUTE(SUBSTITUTE(SUBSTITUTE(SUBSTITUTE(SUBSTITUTE(SUBSTITUTE(SUBSTITUTE(SUBSTITUTE(SUBSTITUTE(LOWER(TRIM(G690)),"á","a"),"é","e"),"í","i"),"ó","o"),"ú","u"),"ü","u"),"ñ","n"),"à","a"),"è","e"),"ì","i"),"ò","o"),"ù","u"),"")</f>
        <v/>
      </c>
      <c r="U690" s="25">
        <f>IF(AND(Q690=1,H690&lt;&gt;""),SUBSTITUTE(SUBSTITUTE(SUBSTITUTE(SUBSTITUTE(SUBSTITUTE(SUBSTITUTE(SUBSTITUTE(SUBSTITUTE(SUBSTITUTE(SUBSTITUTE(SUBSTITUTE(SUBSTITUTE(LOWER(TRIM(H690)),"á","a"),"é","e"),"í","i"),"ó","o"),"ú","u"),"ü","u"),"ñ","n"),"à","a"),"è","e"),"ì","i"),"ò","o"),"ù","u"),"")</f>
        <v/>
      </c>
      <c r="V690" s="25">
        <f>IF(AND(Q690=1,L690&lt;&gt;""),SUBSTITUTE(SUBSTITUTE(SUBSTITUTE(SUBSTITUTE(SUBSTITUTE(SUBSTITUTE(SUBSTITUTE(SUBSTITUTE(SUBSTITUTE(SUBSTITUTE(SUBSTITUTE(SUBSTITUTE(LOWER(TRIM(L690)),"á","a"),"é","e"),"í","i"),"ó","o"),"ú","u"),"ü","u"),"ñ","n"),"à","a"),"è","e"),"ì","i"),"ò","o"),"ù","u"),"")</f>
        <v/>
      </c>
      <c r="W690" s="25">
        <f>IF(AND(Q690=1,I690&lt;&gt;""),SUBSTITUTE(SUBSTITUTE(SUBSTITUTE(SUBSTITUTE(SUBSTITUTE(SUBSTITUTE(SUBSTITUTE(SUBSTITUTE(SUBSTITUTE(SUBSTITUTE(SUBSTITUTE(SUBSTITUTE(LOWER(TRIM(I690)),"á","a"),"é","e"),"í","i"),"ó","o"),"ú","u"),"ü","u"),"ñ","n"),"à","a"),"è","e"),"ì","i"),"ò","o"),"ù","u"),"")</f>
        <v/>
      </c>
      <c r="X690" s="25">
        <f>IF(U690="","",IF(OR(U690="si, en la proxima tarea",U690="si, con cambios"),1,0))</f>
        <v/>
      </c>
      <c r="Y690" s="25">
        <f>IF(AND(Q690=1,A690&lt;&gt;""),IF(IFERROR(COUNTIFS(A$3:A690,"="&amp;SUBSTITUTE(SUBSTITUTE(SUBSTITUTE(A690,"~","~~"),"*","~*"),"?","~?"),Q$3:Q690,1),0)=1,MAX(Y$2:Y689)+1,""),"")</f>
        <v/>
      </c>
      <c r="Z690" s="25">
        <f>IF(Y690="","",COUNTIFS($A$3:$A$1002,"="&amp;SUBSTITUTE(SUBSTITUTE(SUBSTITUTE(A690,"~","~~"),"*","~*"),"?","~?"),$Q$3:$Q$1002,1)*10000-Y690)</f>
        <v/>
      </c>
    </row>
    <row r="691">
      <c r="A691">
        <f>IF(A$2=0,"",IFERROR(TRIM(INDEX('Pegar docentes'!$A$1:$BZ$1001,690,A$2)&amp;""),""))</f>
        <v/>
      </c>
      <c r="B691">
        <f>IF(B$2=0,"",IFERROR(TRIM(INDEX('Pegar docentes'!$A$1:$BZ$1001,690,B$2)&amp;""),""))</f>
        <v/>
      </c>
      <c r="C691">
        <f>IF(C$2=0,"",IFERROR(TRIM(INDEX('Pegar docentes'!$A$1:$BZ$1001,690,C$2)&amp;""),""))</f>
        <v/>
      </c>
      <c r="D691">
        <f>IF(D$2=0,"",IFERROR(TRIM(INDEX('Pegar docentes'!$A$1:$BZ$1001,690,D$2)&amp;""),""))</f>
        <v/>
      </c>
      <c r="E691">
        <f>IF(E$2=0,"",IFERROR(TRIM(INDEX('Pegar docentes'!$A$1:$BZ$1001,690,E$2)&amp;""),""))</f>
        <v/>
      </c>
      <c r="F691">
        <f>IF(F$2=0,"",IFERROR(TRIM(INDEX('Pegar docentes'!$A$1:$BZ$1001,690,F$2)&amp;""),""))</f>
        <v/>
      </c>
      <c r="G691">
        <f>IF(G$2=0,"",IFERROR(TRIM(INDEX('Pegar docentes'!$A$1:$BZ$1001,690,G$2)&amp;""),""))</f>
        <v/>
      </c>
      <c r="H691">
        <f>IF(H$2=0,"",IFERROR(TRIM(INDEX('Pegar docentes'!$A$1:$BZ$1001,690,H$2)&amp;""),""))</f>
        <v/>
      </c>
      <c r="I691">
        <f>IF(I$2=0,"",IFERROR(TRIM(INDEX('Pegar docentes'!$A$1:$BZ$1001,690,I$2)&amp;""),""))</f>
        <v/>
      </c>
      <c r="J691">
        <f>IF(J$2=0,"",IFERROR(TRIM(INDEX('Pegar docentes'!$A$1:$BZ$1001,690,J$2)&amp;""),""))</f>
        <v/>
      </c>
      <c r="K691">
        <f>IF(K$2=0,"",IFERROR(TRIM(INDEX('Pegar docentes'!$A$1:$BZ$1001,690,K$2)&amp;""),""))</f>
        <v/>
      </c>
      <c r="L691">
        <f>IF(L$2=0,"",IFERROR(TRIM(INDEX('Pegar docentes'!$A$1:$BZ$1001,690,L$2)&amp;""),""))</f>
        <v/>
      </c>
      <c r="M691">
        <f>IF(M$2=0,"",IFERROR(TRIM(INDEX('Pegar docentes'!$A$1:$BZ$1001,690,M$2)&amp;""),""))</f>
        <v/>
      </c>
      <c r="N691">
        <f>IF(N$2=0,"",IFERROR(TRIM(INDEX('Pegar docentes'!$A$1:$BZ$1001,690,N$2)&amp;""),""))</f>
        <v/>
      </c>
      <c r="O691">
        <f>IF(O$2=0,"",IFERROR(TRIM(INDEX('Pegar docentes'!$A$1:$BZ$1001,690,O$2)&amp;""),""))</f>
        <v/>
      </c>
      <c r="P691">
        <f>IF(P$2=0,"",IFERROR(TRIM(INDEX('Pegar docentes'!$A$1:$BZ$1001,690,P$2)&amp;""),""))</f>
        <v/>
      </c>
      <c r="Q691" s="25">
        <f>IF(OR(D691&lt;&gt;"",H691&lt;&gt;""),1,"")</f>
        <v/>
      </c>
      <c r="R691" s="25">
        <f>IF(Q691=1,IF(ISNUMBER(FIND("#"&amp;MID(D691,1,1)&amp;"#","#0#1#2#3#4#5#6#7#8#9#")),IF(ISNUMBER(FIND("#"&amp;MID(D691,2,1)&amp;"#","#0#1#2#3#4#5#6#7#8#9#")),IF(AND(VALUE(LEFT(D691,2))&gt;=1,VALUE(LEFT(D691,2))&lt;=5),VALUE(LEFT(D691,2)),""),IF(AND(VALUE(LEFT(D691,1))&gt;=1,VALUE(LEFT(D691,1))&lt;=5),VALUE(LEFT(D691,1)),"")),""),"")</f>
        <v/>
      </c>
      <c r="S691" s="25">
        <f>IF(AND(Q691=1,E691&lt;&gt;""),SUBSTITUTE(SUBSTITUTE(SUBSTITUTE(SUBSTITUTE(SUBSTITUTE(SUBSTITUTE(SUBSTITUTE(SUBSTITUTE(SUBSTITUTE(SUBSTITUTE(SUBSTITUTE(SUBSTITUTE(LOWER(TRIM(E691)),"á","a"),"é","e"),"í","i"),"ó","o"),"ú","u"),"ü","u"),"ñ","n"),"à","a"),"è","e"),"ì","i"),"ò","o"),"ù","u"),"")</f>
        <v/>
      </c>
      <c r="T691" s="25">
        <f>IF(AND(Q691=1,G691&lt;&gt;""),SUBSTITUTE(SUBSTITUTE(SUBSTITUTE(SUBSTITUTE(SUBSTITUTE(SUBSTITUTE(SUBSTITUTE(SUBSTITUTE(SUBSTITUTE(SUBSTITUTE(SUBSTITUTE(SUBSTITUTE(LOWER(TRIM(G691)),"á","a"),"é","e"),"í","i"),"ó","o"),"ú","u"),"ü","u"),"ñ","n"),"à","a"),"è","e"),"ì","i"),"ò","o"),"ù","u"),"")</f>
        <v/>
      </c>
      <c r="U691" s="25">
        <f>IF(AND(Q691=1,H691&lt;&gt;""),SUBSTITUTE(SUBSTITUTE(SUBSTITUTE(SUBSTITUTE(SUBSTITUTE(SUBSTITUTE(SUBSTITUTE(SUBSTITUTE(SUBSTITUTE(SUBSTITUTE(SUBSTITUTE(SUBSTITUTE(LOWER(TRIM(H691)),"á","a"),"é","e"),"í","i"),"ó","o"),"ú","u"),"ü","u"),"ñ","n"),"à","a"),"è","e"),"ì","i"),"ò","o"),"ù","u"),"")</f>
        <v/>
      </c>
      <c r="V691" s="25">
        <f>IF(AND(Q691=1,L691&lt;&gt;""),SUBSTITUTE(SUBSTITUTE(SUBSTITUTE(SUBSTITUTE(SUBSTITUTE(SUBSTITUTE(SUBSTITUTE(SUBSTITUTE(SUBSTITUTE(SUBSTITUTE(SUBSTITUTE(SUBSTITUTE(LOWER(TRIM(L691)),"á","a"),"é","e"),"í","i"),"ó","o"),"ú","u"),"ü","u"),"ñ","n"),"à","a"),"è","e"),"ì","i"),"ò","o"),"ù","u"),"")</f>
        <v/>
      </c>
      <c r="W691" s="25">
        <f>IF(AND(Q691=1,I691&lt;&gt;""),SUBSTITUTE(SUBSTITUTE(SUBSTITUTE(SUBSTITUTE(SUBSTITUTE(SUBSTITUTE(SUBSTITUTE(SUBSTITUTE(SUBSTITUTE(SUBSTITUTE(SUBSTITUTE(SUBSTITUTE(LOWER(TRIM(I691)),"á","a"),"é","e"),"í","i"),"ó","o"),"ú","u"),"ü","u"),"ñ","n"),"à","a"),"è","e"),"ì","i"),"ò","o"),"ù","u"),"")</f>
        <v/>
      </c>
      <c r="X691" s="25">
        <f>IF(U691="","",IF(OR(U691="si, en la proxima tarea",U691="si, con cambios"),1,0))</f>
        <v/>
      </c>
      <c r="Y691" s="25">
        <f>IF(AND(Q691=1,A691&lt;&gt;""),IF(IFERROR(COUNTIFS(A$3:A691,"="&amp;SUBSTITUTE(SUBSTITUTE(SUBSTITUTE(A691,"~","~~"),"*","~*"),"?","~?"),Q$3:Q691,1),0)=1,MAX(Y$2:Y690)+1,""),"")</f>
        <v/>
      </c>
      <c r="Z691" s="25">
        <f>IF(Y691="","",COUNTIFS($A$3:$A$1002,"="&amp;SUBSTITUTE(SUBSTITUTE(SUBSTITUTE(A691,"~","~~"),"*","~*"),"?","~?"),$Q$3:$Q$1002,1)*10000-Y691)</f>
        <v/>
      </c>
    </row>
    <row r="692">
      <c r="A692">
        <f>IF(A$2=0,"",IFERROR(TRIM(INDEX('Pegar docentes'!$A$1:$BZ$1001,691,A$2)&amp;""),""))</f>
        <v/>
      </c>
      <c r="B692">
        <f>IF(B$2=0,"",IFERROR(TRIM(INDEX('Pegar docentes'!$A$1:$BZ$1001,691,B$2)&amp;""),""))</f>
        <v/>
      </c>
      <c r="C692">
        <f>IF(C$2=0,"",IFERROR(TRIM(INDEX('Pegar docentes'!$A$1:$BZ$1001,691,C$2)&amp;""),""))</f>
        <v/>
      </c>
      <c r="D692">
        <f>IF(D$2=0,"",IFERROR(TRIM(INDEX('Pegar docentes'!$A$1:$BZ$1001,691,D$2)&amp;""),""))</f>
        <v/>
      </c>
      <c r="E692">
        <f>IF(E$2=0,"",IFERROR(TRIM(INDEX('Pegar docentes'!$A$1:$BZ$1001,691,E$2)&amp;""),""))</f>
        <v/>
      </c>
      <c r="F692">
        <f>IF(F$2=0,"",IFERROR(TRIM(INDEX('Pegar docentes'!$A$1:$BZ$1001,691,F$2)&amp;""),""))</f>
        <v/>
      </c>
      <c r="G692">
        <f>IF(G$2=0,"",IFERROR(TRIM(INDEX('Pegar docentes'!$A$1:$BZ$1001,691,G$2)&amp;""),""))</f>
        <v/>
      </c>
      <c r="H692">
        <f>IF(H$2=0,"",IFERROR(TRIM(INDEX('Pegar docentes'!$A$1:$BZ$1001,691,H$2)&amp;""),""))</f>
        <v/>
      </c>
      <c r="I692">
        <f>IF(I$2=0,"",IFERROR(TRIM(INDEX('Pegar docentes'!$A$1:$BZ$1001,691,I$2)&amp;""),""))</f>
        <v/>
      </c>
      <c r="J692">
        <f>IF(J$2=0,"",IFERROR(TRIM(INDEX('Pegar docentes'!$A$1:$BZ$1001,691,J$2)&amp;""),""))</f>
        <v/>
      </c>
      <c r="K692">
        <f>IF(K$2=0,"",IFERROR(TRIM(INDEX('Pegar docentes'!$A$1:$BZ$1001,691,K$2)&amp;""),""))</f>
        <v/>
      </c>
      <c r="L692">
        <f>IF(L$2=0,"",IFERROR(TRIM(INDEX('Pegar docentes'!$A$1:$BZ$1001,691,L$2)&amp;""),""))</f>
        <v/>
      </c>
      <c r="M692">
        <f>IF(M$2=0,"",IFERROR(TRIM(INDEX('Pegar docentes'!$A$1:$BZ$1001,691,M$2)&amp;""),""))</f>
        <v/>
      </c>
      <c r="N692">
        <f>IF(N$2=0,"",IFERROR(TRIM(INDEX('Pegar docentes'!$A$1:$BZ$1001,691,N$2)&amp;""),""))</f>
        <v/>
      </c>
      <c r="O692">
        <f>IF(O$2=0,"",IFERROR(TRIM(INDEX('Pegar docentes'!$A$1:$BZ$1001,691,O$2)&amp;""),""))</f>
        <v/>
      </c>
      <c r="P692">
        <f>IF(P$2=0,"",IFERROR(TRIM(INDEX('Pegar docentes'!$A$1:$BZ$1001,691,P$2)&amp;""),""))</f>
        <v/>
      </c>
      <c r="Q692" s="25">
        <f>IF(OR(D692&lt;&gt;"",H692&lt;&gt;""),1,"")</f>
        <v/>
      </c>
      <c r="R692" s="25">
        <f>IF(Q692=1,IF(ISNUMBER(FIND("#"&amp;MID(D692,1,1)&amp;"#","#0#1#2#3#4#5#6#7#8#9#")),IF(ISNUMBER(FIND("#"&amp;MID(D692,2,1)&amp;"#","#0#1#2#3#4#5#6#7#8#9#")),IF(AND(VALUE(LEFT(D692,2))&gt;=1,VALUE(LEFT(D692,2))&lt;=5),VALUE(LEFT(D692,2)),""),IF(AND(VALUE(LEFT(D692,1))&gt;=1,VALUE(LEFT(D692,1))&lt;=5),VALUE(LEFT(D692,1)),"")),""),"")</f>
        <v/>
      </c>
      <c r="S692" s="25">
        <f>IF(AND(Q692=1,E692&lt;&gt;""),SUBSTITUTE(SUBSTITUTE(SUBSTITUTE(SUBSTITUTE(SUBSTITUTE(SUBSTITUTE(SUBSTITUTE(SUBSTITUTE(SUBSTITUTE(SUBSTITUTE(SUBSTITUTE(SUBSTITUTE(LOWER(TRIM(E692)),"á","a"),"é","e"),"í","i"),"ó","o"),"ú","u"),"ü","u"),"ñ","n"),"à","a"),"è","e"),"ì","i"),"ò","o"),"ù","u"),"")</f>
        <v/>
      </c>
      <c r="T692" s="25">
        <f>IF(AND(Q692=1,G692&lt;&gt;""),SUBSTITUTE(SUBSTITUTE(SUBSTITUTE(SUBSTITUTE(SUBSTITUTE(SUBSTITUTE(SUBSTITUTE(SUBSTITUTE(SUBSTITUTE(SUBSTITUTE(SUBSTITUTE(SUBSTITUTE(LOWER(TRIM(G692)),"á","a"),"é","e"),"í","i"),"ó","o"),"ú","u"),"ü","u"),"ñ","n"),"à","a"),"è","e"),"ì","i"),"ò","o"),"ù","u"),"")</f>
        <v/>
      </c>
      <c r="U692" s="25">
        <f>IF(AND(Q692=1,H692&lt;&gt;""),SUBSTITUTE(SUBSTITUTE(SUBSTITUTE(SUBSTITUTE(SUBSTITUTE(SUBSTITUTE(SUBSTITUTE(SUBSTITUTE(SUBSTITUTE(SUBSTITUTE(SUBSTITUTE(SUBSTITUTE(LOWER(TRIM(H692)),"á","a"),"é","e"),"í","i"),"ó","o"),"ú","u"),"ü","u"),"ñ","n"),"à","a"),"è","e"),"ì","i"),"ò","o"),"ù","u"),"")</f>
        <v/>
      </c>
      <c r="V692" s="25">
        <f>IF(AND(Q692=1,L692&lt;&gt;""),SUBSTITUTE(SUBSTITUTE(SUBSTITUTE(SUBSTITUTE(SUBSTITUTE(SUBSTITUTE(SUBSTITUTE(SUBSTITUTE(SUBSTITUTE(SUBSTITUTE(SUBSTITUTE(SUBSTITUTE(LOWER(TRIM(L692)),"á","a"),"é","e"),"í","i"),"ó","o"),"ú","u"),"ü","u"),"ñ","n"),"à","a"),"è","e"),"ì","i"),"ò","o"),"ù","u"),"")</f>
        <v/>
      </c>
      <c r="W692" s="25">
        <f>IF(AND(Q692=1,I692&lt;&gt;""),SUBSTITUTE(SUBSTITUTE(SUBSTITUTE(SUBSTITUTE(SUBSTITUTE(SUBSTITUTE(SUBSTITUTE(SUBSTITUTE(SUBSTITUTE(SUBSTITUTE(SUBSTITUTE(SUBSTITUTE(LOWER(TRIM(I692)),"á","a"),"é","e"),"í","i"),"ó","o"),"ú","u"),"ü","u"),"ñ","n"),"à","a"),"è","e"),"ì","i"),"ò","o"),"ù","u"),"")</f>
        <v/>
      </c>
      <c r="X692" s="25">
        <f>IF(U692="","",IF(OR(U692="si, en la proxima tarea",U692="si, con cambios"),1,0))</f>
        <v/>
      </c>
      <c r="Y692" s="25">
        <f>IF(AND(Q692=1,A692&lt;&gt;""),IF(IFERROR(COUNTIFS(A$3:A692,"="&amp;SUBSTITUTE(SUBSTITUTE(SUBSTITUTE(A692,"~","~~"),"*","~*"),"?","~?"),Q$3:Q692,1),0)=1,MAX(Y$2:Y691)+1,""),"")</f>
        <v/>
      </c>
      <c r="Z692" s="25">
        <f>IF(Y692="","",COUNTIFS($A$3:$A$1002,"="&amp;SUBSTITUTE(SUBSTITUTE(SUBSTITUTE(A692,"~","~~"),"*","~*"),"?","~?"),$Q$3:$Q$1002,1)*10000-Y692)</f>
        <v/>
      </c>
    </row>
    <row r="693">
      <c r="A693">
        <f>IF(A$2=0,"",IFERROR(TRIM(INDEX('Pegar docentes'!$A$1:$BZ$1001,692,A$2)&amp;""),""))</f>
        <v/>
      </c>
      <c r="B693">
        <f>IF(B$2=0,"",IFERROR(TRIM(INDEX('Pegar docentes'!$A$1:$BZ$1001,692,B$2)&amp;""),""))</f>
        <v/>
      </c>
      <c r="C693">
        <f>IF(C$2=0,"",IFERROR(TRIM(INDEX('Pegar docentes'!$A$1:$BZ$1001,692,C$2)&amp;""),""))</f>
        <v/>
      </c>
      <c r="D693">
        <f>IF(D$2=0,"",IFERROR(TRIM(INDEX('Pegar docentes'!$A$1:$BZ$1001,692,D$2)&amp;""),""))</f>
        <v/>
      </c>
      <c r="E693">
        <f>IF(E$2=0,"",IFERROR(TRIM(INDEX('Pegar docentes'!$A$1:$BZ$1001,692,E$2)&amp;""),""))</f>
        <v/>
      </c>
      <c r="F693">
        <f>IF(F$2=0,"",IFERROR(TRIM(INDEX('Pegar docentes'!$A$1:$BZ$1001,692,F$2)&amp;""),""))</f>
        <v/>
      </c>
      <c r="G693">
        <f>IF(G$2=0,"",IFERROR(TRIM(INDEX('Pegar docentes'!$A$1:$BZ$1001,692,G$2)&amp;""),""))</f>
        <v/>
      </c>
      <c r="H693">
        <f>IF(H$2=0,"",IFERROR(TRIM(INDEX('Pegar docentes'!$A$1:$BZ$1001,692,H$2)&amp;""),""))</f>
        <v/>
      </c>
      <c r="I693">
        <f>IF(I$2=0,"",IFERROR(TRIM(INDEX('Pegar docentes'!$A$1:$BZ$1001,692,I$2)&amp;""),""))</f>
        <v/>
      </c>
      <c r="J693">
        <f>IF(J$2=0,"",IFERROR(TRIM(INDEX('Pegar docentes'!$A$1:$BZ$1001,692,J$2)&amp;""),""))</f>
        <v/>
      </c>
      <c r="K693">
        <f>IF(K$2=0,"",IFERROR(TRIM(INDEX('Pegar docentes'!$A$1:$BZ$1001,692,K$2)&amp;""),""))</f>
        <v/>
      </c>
      <c r="L693">
        <f>IF(L$2=0,"",IFERROR(TRIM(INDEX('Pegar docentes'!$A$1:$BZ$1001,692,L$2)&amp;""),""))</f>
        <v/>
      </c>
      <c r="M693">
        <f>IF(M$2=0,"",IFERROR(TRIM(INDEX('Pegar docentes'!$A$1:$BZ$1001,692,M$2)&amp;""),""))</f>
        <v/>
      </c>
      <c r="N693">
        <f>IF(N$2=0,"",IFERROR(TRIM(INDEX('Pegar docentes'!$A$1:$BZ$1001,692,N$2)&amp;""),""))</f>
        <v/>
      </c>
      <c r="O693">
        <f>IF(O$2=0,"",IFERROR(TRIM(INDEX('Pegar docentes'!$A$1:$BZ$1001,692,O$2)&amp;""),""))</f>
        <v/>
      </c>
      <c r="P693">
        <f>IF(P$2=0,"",IFERROR(TRIM(INDEX('Pegar docentes'!$A$1:$BZ$1001,692,P$2)&amp;""),""))</f>
        <v/>
      </c>
      <c r="Q693" s="25">
        <f>IF(OR(D693&lt;&gt;"",H693&lt;&gt;""),1,"")</f>
        <v/>
      </c>
      <c r="R693" s="25">
        <f>IF(Q693=1,IF(ISNUMBER(FIND("#"&amp;MID(D693,1,1)&amp;"#","#0#1#2#3#4#5#6#7#8#9#")),IF(ISNUMBER(FIND("#"&amp;MID(D693,2,1)&amp;"#","#0#1#2#3#4#5#6#7#8#9#")),IF(AND(VALUE(LEFT(D693,2))&gt;=1,VALUE(LEFT(D693,2))&lt;=5),VALUE(LEFT(D693,2)),""),IF(AND(VALUE(LEFT(D693,1))&gt;=1,VALUE(LEFT(D693,1))&lt;=5),VALUE(LEFT(D693,1)),"")),""),"")</f>
        <v/>
      </c>
      <c r="S693" s="25">
        <f>IF(AND(Q693=1,E693&lt;&gt;""),SUBSTITUTE(SUBSTITUTE(SUBSTITUTE(SUBSTITUTE(SUBSTITUTE(SUBSTITUTE(SUBSTITUTE(SUBSTITUTE(SUBSTITUTE(SUBSTITUTE(SUBSTITUTE(SUBSTITUTE(LOWER(TRIM(E693)),"á","a"),"é","e"),"í","i"),"ó","o"),"ú","u"),"ü","u"),"ñ","n"),"à","a"),"è","e"),"ì","i"),"ò","o"),"ù","u"),"")</f>
        <v/>
      </c>
      <c r="T693" s="25">
        <f>IF(AND(Q693=1,G693&lt;&gt;""),SUBSTITUTE(SUBSTITUTE(SUBSTITUTE(SUBSTITUTE(SUBSTITUTE(SUBSTITUTE(SUBSTITUTE(SUBSTITUTE(SUBSTITUTE(SUBSTITUTE(SUBSTITUTE(SUBSTITUTE(LOWER(TRIM(G693)),"á","a"),"é","e"),"í","i"),"ó","o"),"ú","u"),"ü","u"),"ñ","n"),"à","a"),"è","e"),"ì","i"),"ò","o"),"ù","u"),"")</f>
        <v/>
      </c>
      <c r="U693" s="25">
        <f>IF(AND(Q693=1,H693&lt;&gt;""),SUBSTITUTE(SUBSTITUTE(SUBSTITUTE(SUBSTITUTE(SUBSTITUTE(SUBSTITUTE(SUBSTITUTE(SUBSTITUTE(SUBSTITUTE(SUBSTITUTE(SUBSTITUTE(SUBSTITUTE(LOWER(TRIM(H693)),"á","a"),"é","e"),"í","i"),"ó","o"),"ú","u"),"ü","u"),"ñ","n"),"à","a"),"è","e"),"ì","i"),"ò","o"),"ù","u"),"")</f>
        <v/>
      </c>
      <c r="V693" s="25">
        <f>IF(AND(Q693=1,L693&lt;&gt;""),SUBSTITUTE(SUBSTITUTE(SUBSTITUTE(SUBSTITUTE(SUBSTITUTE(SUBSTITUTE(SUBSTITUTE(SUBSTITUTE(SUBSTITUTE(SUBSTITUTE(SUBSTITUTE(SUBSTITUTE(LOWER(TRIM(L693)),"á","a"),"é","e"),"í","i"),"ó","o"),"ú","u"),"ü","u"),"ñ","n"),"à","a"),"è","e"),"ì","i"),"ò","o"),"ù","u"),"")</f>
        <v/>
      </c>
      <c r="W693" s="25">
        <f>IF(AND(Q693=1,I693&lt;&gt;""),SUBSTITUTE(SUBSTITUTE(SUBSTITUTE(SUBSTITUTE(SUBSTITUTE(SUBSTITUTE(SUBSTITUTE(SUBSTITUTE(SUBSTITUTE(SUBSTITUTE(SUBSTITUTE(SUBSTITUTE(LOWER(TRIM(I693)),"á","a"),"é","e"),"í","i"),"ó","o"),"ú","u"),"ü","u"),"ñ","n"),"à","a"),"è","e"),"ì","i"),"ò","o"),"ù","u"),"")</f>
        <v/>
      </c>
      <c r="X693" s="25">
        <f>IF(U693="","",IF(OR(U693="si, en la proxima tarea",U693="si, con cambios"),1,0))</f>
        <v/>
      </c>
      <c r="Y693" s="25">
        <f>IF(AND(Q693=1,A693&lt;&gt;""),IF(IFERROR(COUNTIFS(A$3:A693,"="&amp;SUBSTITUTE(SUBSTITUTE(SUBSTITUTE(A693,"~","~~"),"*","~*"),"?","~?"),Q$3:Q693,1),0)=1,MAX(Y$2:Y692)+1,""),"")</f>
        <v/>
      </c>
      <c r="Z693" s="25">
        <f>IF(Y693="","",COUNTIFS($A$3:$A$1002,"="&amp;SUBSTITUTE(SUBSTITUTE(SUBSTITUTE(A693,"~","~~"),"*","~*"),"?","~?"),$Q$3:$Q$1002,1)*10000-Y693)</f>
        <v/>
      </c>
    </row>
    <row r="694">
      <c r="A694">
        <f>IF(A$2=0,"",IFERROR(TRIM(INDEX('Pegar docentes'!$A$1:$BZ$1001,693,A$2)&amp;""),""))</f>
        <v/>
      </c>
      <c r="B694">
        <f>IF(B$2=0,"",IFERROR(TRIM(INDEX('Pegar docentes'!$A$1:$BZ$1001,693,B$2)&amp;""),""))</f>
        <v/>
      </c>
      <c r="C694">
        <f>IF(C$2=0,"",IFERROR(TRIM(INDEX('Pegar docentes'!$A$1:$BZ$1001,693,C$2)&amp;""),""))</f>
        <v/>
      </c>
      <c r="D694">
        <f>IF(D$2=0,"",IFERROR(TRIM(INDEX('Pegar docentes'!$A$1:$BZ$1001,693,D$2)&amp;""),""))</f>
        <v/>
      </c>
      <c r="E694">
        <f>IF(E$2=0,"",IFERROR(TRIM(INDEX('Pegar docentes'!$A$1:$BZ$1001,693,E$2)&amp;""),""))</f>
        <v/>
      </c>
      <c r="F694">
        <f>IF(F$2=0,"",IFERROR(TRIM(INDEX('Pegar docentes'!$A$1:$BZ$1001,693,F$2)&amp;""),""))</f>
        <v/>
      </c>
      <c r="G694">
        <f>IF(G$2=0,"",IFERROR(TRIM(INDEX('Pegar docentes'!$A$1:$BZ$1001,693,G$2)&amp;""),""))</f>
        <v/>
      </c>
      <c r="H694">
        <f>IF(H$2=0,"",IFERROR(TRIM(INDEX('Pegar docentes'!$A$1:$BZ$1001,693,H$2)&amp;""),""))</f>
        <v/>
      </c>
      <c r="I694">
        <f>IF(I$2=0,"",IFERROR(TRIM(INDEX('Pegar docentes'!$A$1:$BZ$1001,693,I$2)&amp;""),""))</f>
        <v/>
      </c>
      <c r="J694">
        <f>IF(J$2=0,"",IFERROR(TRIM(INDEX('Pegar docentes'!$A$1:$BZ$1001,693,J$2)&amp;""),""))</f>
        <v/>
      </c>
      <c r="K694">
        <f>IF(K$2=0,"",IFERROR(TRIM(INDEX('Pegar docentes'!$A$1:$BZ$1001,693,K$2)&amp;""),""))</f>
        <v/>
      </c>
      <c r="L694">
        <f>IF(L$2=0,"",IFERROR(TRIM(INDEX('Pegar docentes'!$A$1:$BZ$1001,693,L$2)&amp;""),""))</f>
        <v/>
      </c>
      <c r="M694">
        <f>IF(M$2=0,"",IFERROR(TRIM(INDEX('Pegar docentes'!$A$1:$BZ$1001,693,M$2)&amp;""),""))</f>
        <v/>
      </c>
      <c r="N694">
        <f>IF(N$2=0,"",IFERROR(TRIM(INDEX('Pegar docentes'!$A$1:$BZ$1001,693,N$2)&amp;""),""))</f>
        <v/>
      </c>
      <c r="O694">
        <f>IF(O$2=0,"",IFERROR(TRIM(INDEX('Pegar docentes'!$A$1:$BZ$1001,693,O$2)&amp;""),""))</f>
        <v/>
      </c>
      <c r="P694">
        <f>IF(P$2=0,"",IFERROR(TRIM(INDEX('Pegar docentes'!$A$1:$BZ$1001,693,P$2)&amp;""),""))</f>
        <v/>
      </c>
      <c r="Q694" s="25">
        <f>IF(OR(D694&lt;&gt;"",H694&lt;&gt;""),1,"")</f>
        <v/>
      </c>
      <c r="R694" s="25">
        <f>IF(Q694=1,IF(ISNUMBER(FIND("#"&amp;MID(D694,1,1)&amp;"#","#0#1#2#3#4#5#6#7#8#9#")),IF(ISNUMBER(FIND("#"&amp;MID(D694,2,1)&amp;"#","#0#1#2#3#4#5#6#7#8#9#")),IF(AND(VALUE(LEFT(D694,2))&gt;=1,VALUE(LEFT(D694,2))&lt;=5),VALUE(LEFT(D694,2)),""),IF(AND(VALUE(LEFT(D694,1))&gt;=1,VALUE(LEFT(D694,1))&lt;=5),VALUE(LEFT(D694,1)),"")),""),"")</f>
        <v/>
      </c>
      <c r="S694" s="25">
        <f>IF(AND(Q694=1,E694&lt;&gt;""),SUBSTITUTE(SUBSTITUTE(SUBSTITUTE(SUBSTITUTE(SUBSTITUTE(SUBSTITUTE(SUBSTITUTE(SUBSTITUTE(SUBSTITUTE(SUBSTITUTE(SUBSTITUTE(SUBSTITUTE(LOWER(TRIM(E694)),"á","a"),"é","e"),"í","i"),"ó","o"),"ú","u"),"ü","u"),"ñ","n"),"à","a"),"è","e"),"ì","i"),"ò","o"),"ù","u"),"")</f>
        <v/>
      </c>
      <c r="T694" s="25">
        <f>IF(AND(Q694=1,G694&lt;&gt;""),SUBSTITUTE(SUBSTITUTE(SUBSTITUTE(SUBSTITUTE(SUBSTITUTE(SUBSTITUTE(SUBSTITUTE(SUBSTITUTE(SUBSTITUTE(SUBSTITUTE(SUBSTITUTE(SUBSTITUTE(LOWER(TRIM(G694)),"á","a"),"é","e"),"í","i"),"ó","o"),"ú","u"),"ü","u"),"ñ","n"),"à","a"),"è","e"),"ì","i"),"ò","o"),"ù","u"),"")</f>
        <v/>
      </c>
      <c r="U694" s="25">
        <f>IF(AND(Q694=1,H694&lt;&gt;""),SUBSTITUTE(SUBSTITUTE(SUBSTITUTE(SUBSTITUTE(SUBSTITUTE(SUBSTITUTE(SUBSTITUTE(SUBSTITUTE(SUBSTITUTE(SUBSTITUTE(SUBSTITUTE(SUBSTITUTE(LOWER(TRIM(H694)),"á","a"),"é","e"),"í","i"),"ó","o"),"ú","u"),"ü","u"),"ñ","n"),"à","a"),"è","e"),"ì","i"),"ò","o"),"ù","u"),"")</f>
        <v/>
      </c>
      <c r="V694" s="25">
        <f>IF(AND(Q694=1,L694&lt;&gt;""),SUBSTITUTE(SUBSTITUTE(SUBSTITUTE(SUBSTITUTE(SUBSTITUTE(SUBSTITUTE(SUBSTITUTE(SUBSTITUTE(SUBSTITUTE(SUBSTITUTE(SUBSTITUTE(SUBSTITUTE(LOWER(TRIM(L694)),"á","a"),"é","e"),"í","i"),"ó","o"),"ú","u"),"ü","u"),"ñ","n"),"à","a"),"è","e"),"ì","i"),"ò","o"),"ù","u"),"")</f>
        <v/>
      </c>
      <c r="W694" s="25">
        <f>IF(AND(Q694=1,I694&lt;&gt;""),SUBSTITUTE(SUBSTITUTE(SUBSTITUTE(SUBSTITUTE(SUBSTITUTE(SUBSTITUTE(SUBSTITUTE(SUBSTITUTE(SUBSTITUTE(SUBSTITUTE(SUBSTITUTE(SUBSTITUTE(LOWER(TRIM(I694)),"á","a"),"é","e"),"í","i"),"ó","o"),"ú","u"),"ü","u"),"ñ","n"),"à","a"),"è","e"),"ì","i"),"ò","o"),"ù","u"),"")</f>
        <v/>
      </c>
      <c r="X694" s="25">
        <f>IF(U694="","",IF(OR(U694="si, en la proxima tarea",U694="si, con cambios"),1,0))</f>
        <v/>
      </c>
      <c r="Y694" s="25">
        <f>IF(AND(Q694=1,A694&lt;&gt;""),IF(IFERROR(COUNTIFS(A$3:A694,"="&amp;SUBSTITUTE(SUBSTITUTE(SUBSTITUTE(A694,"~","~~"),"*","~*"),"?","~?"),Q$3:Q694,1),0)=1,MAX(Y$2:Y693)+1,""),"")</f>
        <v/>
      </c>
      <c r="Z694" s="25">
        <f>IF(Y694="","",COUNTIFS($A$3:$A$1002,"="&amp;SUBSTITUTE(SUBSTITUTE(SUBSTITUTE(A694,"~","~~"),"*","~*"),"?","~?"),$Q$3:$Q$1002,1)*10000-Y694)</f>
        <v/>
      </c>
    </row>
    <row r="695">
      <c r="A695">
        <f>IF(A$2=0,"",IFERROR(TRIM(INDEX('Pegar docentes'!$A$1:$BZ$1001,694,A$2)&amp;""),""))</f>
        <v/>
      </c>
      <c r="B695">
        <f>IF(B$2=0,"",IFERROR(TRIM(INDEX('Pegar docentes'!$A$1:$BZ$1001,694,B$2)&amp;""),""))</f>
        <v/>
      </c>
      <c r="C695">
        <f>IF(C$2=0,"",IFERROR(TRIM(INDEX('Pegar docentes'!$A$1:$BZ$1001,694,C$2)&amp;""),""))</f>
        <v/>
      </c>
      <c r="D695">
        <f>IF(D$2=0,"",IFERROR(TRIM(INDEX('Pegar docentes'!$A$1:$BZ$1001,694,D$2)&amp;""),""))</f>
        <v/>
      </c>
      <c r="E695">
        <f>IF(E$2=0,"",IFERROR(TRIM(INDEX('Pegar docentes'!$A$1:$BZ$1001,694,E$2)&amp;""),""))</f>
        <v/>
      </c>
      <c r="F695">
        <f>IF(F$2=0,"",IFERROR(TRIM(INDEX('Pegar docentes'!$A$1:$BZ$1001,694,F$2)&amp;""),""))</f>
        <v/>
      </c>
      <c r="G695">
        <f>IF(G$2=0,"",IFERROR(TRIM(INDEX('Pegar docentes'!$A$1:$BZ$1001,694,G$2)&amp;""),""))</f>
        <v/>
      </c>
      <c r="H695">
        <f>IF(H$2=0,"",IFERROR(TRIM(INDEX('Pegar docentes'!$A$1:$BZ$1001,694,H$2)&amp;""),""))</f>
        <v/>
      </c>
      <c r="I695">
        <f>IF(I$2=0,"",IFERROR(TRIM(INDEX('Pegar docentes'!$A$1:$BZ$1001,694,I$2)&amp;""),""))</f>
        <v/>
      </c>
      <c r="J695">
        <f>IF(J$2=0,"",IFERROR(TRIM(INDEX('Pegar docentes'!$A$1:$BZ$1001,694,J$2)&amp;""),""))</f>
        <v/>
      </c>
      <c r="K695">
        <f>IF(K$2=0,"",IFERROR(TRIM(INDEX('Pegar docentes'!$A$1:$BZ$1001,694,K$2)&amp;""),""))</f>
        <v/>
      </c>
      <c r="L695">
        <f>IF(L$2=0,"",IFERROR(TRIM(INDEX('Pegar docentes'!$A$1:$BZ$1001,694,L$2)&amp;""),""))</f>
        <v/>
      </c>
      <c r="M695">
        <f>IF(M$2=0,"",IFERROR(TRIM(INDEX('Pegar docentes'!$A$1:$BZ$1001,694,M$2)&amp;""),""))</f>
        <v/>
      </c>
      <c r="N695">
        <f>IF(N$2=0,"",IFERROR(TRIM(INDEX('Pegar docentes'!$A$1:$BZ$1001,694,N$2)&amp;""),""))</f>
        <v/>
      </c>
      <c r="O695">
        <f>IF(O$2=0,"",IFERROR(TRIM(INDEX('Pegar docentes'!$A$1:$BZ$1001,694,O$2)&amp;""),""))</f>
        <v/>
      </c>
      <c r="P695">
        <f>IF(P$2=0,"",IFERROR(TRIM(INDEX('Pegar docentes'!$A$1:$BZ$1001,694,P$2)&amp;""),""))</f>
        <v/>
      </c>
      <c r="Q695" s="25">
        <f>IF(OR(D695&lt;&gt;"",H695&lt;&gt;""),1,"")</f>
        <v/>
      </c>
      <c r="R695" s="25">
        <f>IF(Q695=1,IF(ISNUMBER(FIND("#"&amp;MID(D695,1,1)&amp;"#","#0#1#2#3#4#5#6#7#8#9#")),IF(ISNUMBER(FIND("#"&amp;MID(D695,2,1)&amp;"#","#0#1#2#3#4#5#6#7#8#9#")),IF(AND(VALUE(LEFT(D695,2))&gt;=1,VALUE(LEFT(D695,2))&lt;=5),VALUE(LEFT(D695,2)),""),IF(AND(VALUE(LEFT(D695,1))&gt;=1,VALUE(LEFT(D695,1))&lt;=5),VALUE(LEFT(D695,1)),"")),""),"")</f>
        <v/>
      </c>
      <c r="S695" s="25">
        <f>IF(AND(Q695=1,E695&lt;&gt;""),SUBSTITUTE(SUBSTITUTE(SUBSTITUTE(SUBSTITUTE(SUBSTITUTE(SUBSTITUTE(SUBSTITUTE(SUBSTITUTE(SUBSTITUTE(SUBSTITUTE(SUBSTITUTE(SUBSTITUTE(LOWER(TRIM(E695)),"á","a"),"é","e"),"í","i"),"ó","o"),"ú","u"),"ü","u"),"ñ","n"),"à","a"),"è","e"),"ì","i"),"ò","o"),"ù","u"),"")</f>
        <v/>
      </c>
      <c r="T695" s="25">
        <f>IF(AND(Q695=1,G695&lt;&gt;""),SUBSTITUTE(SUBSTITUTE(SUBSTITUTE(SUBSTITUTE(SUBSTITUTE(SUBSTITUTE(SUBSTITUTE(SUBSTITUTE(SUBSTITUTE(SUBSTITUTE(SUBSTITUTE(SUBSTITUTE(LOWER(TRIM(G695)),"á","a"),"é","e"),"í","i"),"ó","o"),"ú","u"),"ü","u"),"ñ","n"),"à","a"),"è","e"),"ì","i"),"ò","o"),"ù","u"),"")</f>
        <v/>
      </c>
      <c r="U695" s="25">
        <f>IF(AND(Q695=1,H695&lt;&gt;""),SUBSTITUTE(SUBSTITUTE(SUBSTITUTE(SUBSTITUTE(SUBSTITUTE(SUBSTITUTE(SUBSTITUTE(SUBSTITUTE(SUBSTITUTE(SUBSTITUTE(SUBSTITUTE(SUBSTITUTE(LOWER(TRIM(H695)),"á","a"),"é","e"),"í","i"),"ó","o"),"ú","u"),"ü","u"),"ñ","n"),"à","a"),"è","e"),"ì","i"),"ò","o"),"ù","u"),"")</f>
        <v/>
      </c>
      <c r="V695" s="25">
        <f>IF(AND(Q695=1,L695&lt;&gt;""),SUBSTITUTE(SUBSTITUTE(SUBSTITUTE(SUBSTITUTE(SUBSTITUTE(SUBSTITUTE(SUBSTITUTE(SUBSTITUTE(SUBSTITUTE(SUBSTITUTE(SUBSTITUTE(SUBSTITUTE(LOWER(TRIM(L695)),"á","a"),"é","e"),"í","i"),"ó","o"),"ú","u"),"ü","u"),"ñ","n"),"à","a"),"è","e"),"ì","i"),"ò","o"),"ù","u"),"")</f>
        <v/>
      </c>
      <c r="W695" s="25">
        <f>IF(AND(Q695=1,I695&lt;&gt;""),SUBSTITUTE(SUBSTITUTE(SUBSTITUTE(SUBSTITUTE(SUBSTITUTE(SUBSTITUTE(SUBSTITUTE(SUBSTITUTE(SUBSTITUTE(SUBSTITUTE(SUBSTITUTE(SUBSTITUTE(LOWER(TRIM(I695)),"á","a"),"é","e"),"í","i"),"ó","o"),"ú","u"),"ü","u"),"ñ","n"),"à","a"),"è","e"),"ì","i"),"ò","o"),"ù","u"),"")</f>
        <v/>
      </c>
      <c r="X695" s="25">
        <f>IF(U695="","",IF(OR(U695="si, en la proxima tarea",U695="si, con cambios"),1,0))</f>
        <v/>
      </c>
      <c r="Y695" s="25">
        <f>IF(AND(Q695=1,A695&lt;&gt;""),IF(IFERROR(COUNTIFS(A$3:A695,"="&amp;SUBSTITUTE(SUBSTITUTE(SUBSTITUTE(A695,"~","~~"),"*","~*"),"?","~?"),Q$3:Q695,1),0)=1,MAX(Y$2:Y694)+1,""),"")</f>
        <v/>
      </c>
      <c r="Z695" s="25">
        <f>IF(Y695="","",COUNTIFS($A$3:$A$1002,"="&amp;SUBSTITUTE(SUBSTITUTE(SUBSTITUTE(A695,"~","~~"),"*","~*"),"?","~?"),$Q$3:$Q$1002,1)*10000-Y695)</f>
        <v/>
      </c>
    </row>
    <row r="696">
      <c r="A696">
        <f>IF(A$2=0,"",IFERROR(TRIM(INDEX('Pegar docentes'!$A$1:$BZ$1001,695,A$2)&amp;""),""))</f>
        <v/>
      </c>
      <c r="B696">
        <f>IF(B$2=0,"",IFERROR(TRIM(INDEX('Pegar docentes'!$A$1:$BZ$1001,695,B$2)&amp;""),""))</f>
        <v/>
      </c>
      <c r="C696">
        <f>IF(C$2=0,"",IFERROR(TRIM(INDEX('Pegar docentes'!$A$1:$BZ$1001,695,C$2)&amp;""),""))</f>
        <v/>
      </c>
      <c r="D696">
        <f>IF(D$2=0,"",IFERROR(TRIM(INDEX('Pegar docentes'!$A$1:$BZ$1001,695,D$2)&amp;""),""))</f>
        <v/>
      </c>
      <c r="E696">
        <f>IF(E$2=0,"",IFERROR(TRIM(INDEX('Pegar docentes'!$A$1:$BZ$1001,695,E$2)&amp;""),""))</f>
        <v/>
      </c>
      <c r="F696">
        <f>IF(F$2=0,"",IFERROR(TRIM(INDEX('Pegar docentes'!$A$1:$BZ$1001,695,F$2)&amp;""),""))</f>
        <v/>
      </c>
      <c r="G696">
        <f>IF(G$2=0,"",IFERROR(TRIM(INDEX('Pegar docentes'!$A$1:$BZ$1001,695,G$2)&amp;""),""))</f>
        <v/>
      </c>
      <c r="H696">
        <f>IF(H$2=0,"",IFERROR(TRIM(INDEX('Pegar docentes'!$A$1:$BZ$1001,695,H$2)&amp;""),""))</f>
        <v/>
      </c>
      <c r="I696">
        <f>IF(I$2=0,"",IFERROR(TRIM(INDEX('Pegar docentes'!$A$1:$BZ$1001,695,I$2)&amp;""),""))</f>
        <v/>
      </c>
      <c r="J696">
        <f>IF(J$2=0,"",IFERROR(TRIM(INDEX('Pegar docentes'!$A$1:$BZ$1001,695,J$2)&amp;""),""))</f>
        <v/>
      </c>
      <c r="K696">
        <f>IF(K$2=0,"",IFERROR(TRIM(INDEX('Pegar docentes'!$A$1:$BZ$1001,695,K$2)&amp;""),""))</f>
        <v/>
      </c>
      <c r="L696">
        <f>IF(L$2=0,"",IFERROR(TRIM(INDEX('Pegar docentes'!$A$1:$BZ$1001,695,L$2)&amp;""),""))</f>
        <v/>
      </c>
      <c r="M696">
        <f>IF(M$2=0,"",IFERROR(TRIM(INDEX('Pegar docentes'!$A$1:$BZ$1001,695,M$2)&amp;""),""))</f>
        <v/>
      </c>
      <c r="N696">
        <f>IF(N$2=0,"",IFERROR(TRIM(INDEX('Pegar docentes'!$A$1:$BZ$1001,695,N$2)&amp;""),""))</f>
        <v/>
      </c>
      <c r="O696">
        <f>IF(O$2=0,"",IFERROR(TRIM(INDEX('Pegar docentes'!$A$1:$BZ$1001,695,O$2)&amp;""),""))</f>
        <v/>
      </c>
      <c r="P696">
        <f>IF(P$2=0,"",IFERROR(TRIM(INDEX('Pegar docentes'!$A$1:$BZ$1001,695,P$2)&amp;""),""))</f>
        <v/>
      </c>
      <c r="Q696" s="25">
        <f>IF(OR(D696&lt;&gt;"",H696&lt;&gt;""),1,"")</f>
        <v/>
      </c>
      <c r="R696" s="25">
        <f>IF(Q696=1,IF(ISNUMBER(FIND("#"&amp;MID(D696,1,1)&amp;"#","#0#1#2#3#4#5#6#7#8#9#")),IF(ISNUMBER(FIND("#"&amp;MID(D696,2,1)&amp;"#","#0#1#2#3#4#5#6#7#8#9#")),IF(AND(VALUE(LEFT(D696,2))&gt;=1,VALUE(LEFT(D696,2))&lt;=5),VALUE(LEFT(D696,2)),""),IF(AND(VALUE(LEFT(D696,1))&gt;=1,VALUE(LEFT(D696,1))&lt;=5),VALUE(LEFT(D696,1)),"")),""),"")</f>
        <v/>
      </c>
      <c r="S696" s="25">
        <f>IF(AND(Q696=1,E696&lt;&gt;""),SUBSTITUTE(SUBSTITUTE(SUBSTITUTE(SUBSTITUTE(SUBSTITUTE(SUBSTITUTE(SUBSTITUTE(SUBSTITUTE(SUBSTITUTE(SUBSTITUTE(SUBSTITUTE(SUBSTITUTE(LOWER(TRIM(E696)),"á","a"),"é","e"),"í","i"),"ó","o"),"ú","u"),"ü","u"),"ñ","n"),"à","a"),"è","e"),"ì","i"),"ò","o"),"ù","u"),"")</f>
        <v/>
      </c>
      <c r="T696" s="25">
        <f>IF(AND(Q696=1,G696&lt;&gt;""),SUBSTITUTE(SUBSTITUTE(SUBSTITUTE(SUBSTITUTE(SUBSTITUTE(SUBSTITUTE(SUBSTITUTE(SUBSTITUTE(SUBSTITUTE(SUBSTITUTE(SUBSTITUTE(SUBSTITUTE(LOWER(TRIM(G696)),"á","a"),"é","e"),"í","i"),"ó","o"),"ú","u"),"ü","u"),"ñ","n"),"à","a"),"è","e"),"ì","i"),"ò","o"),"ù","u"),"")</f>
        <v/>
      </c>
      <c r="U696" s="25">
        <f>IF(AND(Q696=1,H696&lt;&gt;""),SUBSTITUTE(SUBSTITUTE(SUBSTITUTE(SUBSTITUTE(SUBSTITUTE(SUBSTITUTE(SUBSTITUTE(SUBSTITUTE(SUBSTITUTE(SUBSTITUTE(SUBSTITUTE(SUBSTITUTE(LOWER(TRIM(H696)),"á","a"),"é","e"),"í","i"),"ó","o"),"ú","u"),"ü","u"),"ñ","n"),"à","a"),"è","e"),"ì","i"),"ò","o"),"ù","u"),"")</f>
        <v/>
      </c>
      <c r="V696" s="25">
        <f>IF(AND(Q696=1,L696&lt;&gt;""),SUBSTITUTE(SUBSTITUTE(SUBSTITUTE(SUBSTITUTE(SUBSTITUTE(SUBSTITUTE(SUBSTITUTE(SUBSTITUTE(SUBSTITUTE(SUBSTITUTE(SUBSTITUTE(SUBSTITUTE(LOWER(TRIM(L696)),"á","a"),"é","e"),"í","i"),"ó","o"),"ú","u"),"ü","u"),"ñ","n"),"à","a"),"è","e"),"ì","i"),"ò","o"),"ù","u"),"")</f>
        <v/>
      </c>
      <c r="W696" s="25">
        <f>IF(AND(Q696=1,I696&lt;&gt;""),SUBSTITUTE(SUBSTITUTE(SUBSTITUTE(SUBSTITUTE(SUBSTITUTE(SUBSTITUTE(SUBSTITUTE(SUBSTITUTE(SUBSTITUTE(SUBSTITUTE(SUBSTITUTE(SUBSTITUTE(LOWER(TRIM(I696)),"á","a"),"é","e"),"í","i"),"ó","o"),"ú","u"),"ü","u"),"ñ","n"),"à","a"),"è","e"),"ì","i"),"ò","o"),"ù","u"),"")</f>
        <v/>
      </c>
      <c r="X696" s="25">
        <f>IF(U696="","",IF(OR(U696="si, en la proxima tarea",U696="si, con cambios"),1,0))</f>
        <v/>
      </c>
      <c r="Y696" s="25">
        <f>IF(AND(Q696=1,A696&lt;&gt;""),IF(IFERROR(COUNTIFS(A$3:A696,"="&amp;SUBSTITUTE(SUBSTITUTE(SUBSTITUTE(A696,"~","~~"),"*","~*"),"?","~?"),Q$3:Q696,1),0)=1,MAX(Y$2:Y695)+1,""),"")</f>
        <v/>
      </c>
      <c r="Z696" s="25">
        <f>IF(Y696="","",COUNTIFS($A$3:$A$1002,"="&amp;SUBSTITUTE(SUBSTITUTE(SUBSTITUTE(A696,"~","~~"),"*","~*"),"?","~?"),$Q$3:$Q$1002,1)*10000-Y696)</f>
        <v/>
      </c>
    </row>
    <row r="697">
      <c r="A697">
        <f>IF(A$2=0,"",IFERROR(TRIM(INDEX('Pegar docentes'!$A$1:$BZ$1001,696,A$2)&amp;""),""))</f>
        <v/>
      </c>
      <c r="B697">
        <f>IF(B$2=0,"",IFERROR(TRIM(INDEX('Pegar docentes'!$A$1:$BZ$1001,696,B$2)&amp;""),""))</f>
        <v/>
      </c>
      <c r="C697">
        <f>IF(C$2=0,"",IFERROR(TRIM(INDEX('Pegar docentes'!$A$1:$BZ$1001,696,C$2)&amp;""),""))</f>
        <v/>
      </c>
      <c r="D697">
        <f>IF(D$2=0,"",IFERROR(TRIM(INDEX('Pegar docentes'!$A$1:$BZ$1001,696,D$2)&amp;""),""))</f>
        <v/>
      </c>
      <c r="E697">
        <f>IF(E$2=0,"",IFERROR(TRIM(INDEX('Pegar docentes'!$A$1:$BZ$1001,696,E$2)&amp;""),""))</f>
        <v/>
      </c>
      <c r="F697">
        <f>IF(F$2=0,"",IFERROR(TRIM(INDEX('Pegar docentes'!$A$1:$BZ$1001,696,F$2)&amp;""),""))</f>
        <v/>
      </c>
      <c r="G697">
        <f>IF(G$2=0,"",IFERROR(TRIM(INDEX('Pegar docentes'!$A$1:$BZ$1001,696,G$2)&amp;""),""))</f>
        <v/>
      </c>
      <c r="H697">
        <f>IF(H$2=0,"",IFERROR(TRIM(INDEX('Pegar docentes'!$A$1:$BZ$1001,696,H$2)&amp;""),""))</f>
        <v/>
      </c>
      <c r="I697">
        <f>IF(I$2=0,"",IFERROR(TRIM(INDEX('Pegar docentes'!$A$1:$BZ$1001,696,I$2)&amp;""),""))</f>
        <v/>
      </c>
      <c r="J697">
        <f>IF(J$2=0,"",IFERROR(TRIM(INDEX('Pegar docentes'!$A$1:$BZ$1001,696,J$2)&amp;""),""))</f>
        <v/>
      </c>
      <c r="K697">
        <f>IF(K$2=0,"",IFERROR(TRIM(INDEX('Pegar docentes'!$A$1:$BZ$1001,696,K$2)&amp;""),""))</f>
        <v/>
      </c>
      <c r="L697">
        <f>IF(L$2=0,"",IFERROR(TRIM(INDEX('Pegar docentes'!$A$1:$BZ$1001,696,L$2)&amp;""),""))</f>
        <v/>
      </c>
      <c r="M697">
        <f>IF(M$2=0,"",IFERROR(TRIM(INDEX('Pegar docentes'!$A$1:$BZ$1001,696,M$2)&amp;""),""))</f>
        <v/>
      </c>
      <c r="N697">
        <f>IF(N$2=0,"",IFERROR(TRIM(INDEX('Pegar docentes'!$A$1:$BZ$1001,696,N$2)&amp;""),""))</f>
        <v/>
      </c>
      <c r="O697">
        <f>IF(O$2=0,"",IFERROR(TRIM(INDEX('Pegar docentes'!$A$1:$BZ$1001,696,O$2)&amp;""),""))</f>
        <v/>
      </c>
      <c r="P697">
        <f>IF(P$2=0,"",IFERROR(TRIM(INDEX('Pegar docentes'!$A$1:$BZ$1001,696,P$2)&amp;""),""))</f>
        <v/>
      </c>
      <c r="Q697" s="25">
        <f>IF(OR(D697&lt;&gt;"",H697&lt;&gt;""),1,"")</f>
        <v/>
      </c>
      <c r="R697" s="25">
        <f>IF(Q697=1,IF(ISNUMBER(FIND("#"&amp;MID(D697,1,1)&amp;"#","#0#1#2#3#4#5#6#7#8#9#")),IF(ISNUMBER(FIND("#"&amp;MID(D697,2,1)&amp;"#","#0#1#2#3#4#5#6#7#8#9#")),IF(AND(VALUE(LEFT(D697,2))&gt;=1,VALUE(LEFT(D697,2))&lt;=5),VALUE(LEFT(D697,2)),""),IF(AND(VALUE(LEFT(D697,1))&gt;=1,VALUE(LEFT(D697,1))&lt;=5),VALUE(LEFT(D697,1)),"")),""),"")</f>
        <v/>
      </c>
      <c r="S697" s="25">
        <f>IF(AND(Q697=1,E697&lt;&gt;""),SUBSTITUTE(SUBSTITUTE(SUBSTITUTE(SUBSTITUTE(SUBSTITUTE(SUBSTITUTE(SUBSTITUTE(SUBSTITUTE(SUBSTITUTE(SUBSTITUTE(SUBSTITUTE(SUBSTITUTE(LOWER(TRIM(E697)),"á","a"),"é","e"),"í","i"),"ó","o"),"ú","u"),"ü","u"),"ñ","n"),"à","a"),"è","e"),"ì","i"),"ò","o"),"ù","u"),"")</f>
        <v/>
      </c>
      <c r="T697" s="25">
        <f>IF(AND(Q697=1,G697&lt;&gt;""),SUBSTITUTE(SUBSTITUTE(SUBSTITUTE(SUBSTITUTE(SUBSTITUTE(SUBSTITUTE(SUBSTITUTE(SUBSTITUTE(SUBSTITUTE(SUBSTITUTE(SUBSTITUTE(SUBSTITUTE(LOWER(TRIM(G697)),"á","a"),"é","e"),"í","i"),"ó","o"),"ú","u"),"ü","u"),"ñ","n"),"à","a"),"è","e"),"ì","i"),"ò","o"),"ù","u"),"")</f>
        <v/>
      </c>
      <c r="U697" s="25">
        <f>IF(AND(Q697=1,H697&lt;&gt;""),SUBSTITUTE(SUBSTITUTE(SUBSTITUTE(SUBSTITUTE(SUBSTITUTE(SUBSTITUTE(SUBSTITUTE(SUBSTITUTE(SUBSTITUTE(SUBSTITUTE(SUBSTITUTE(SUBSTITUTE(LOWER(TRIM(H697)),"á","a"),"é","e"),"í","i"),"ó","o"),"ú","u"),"ü","u"),"ñ","n"),"à","a"),"è","e"),"ì","i"),"ò","o"),"ù","u"),"")</f>
        <v/>
      </c>
      <c r="V697" s="25">
        <f>IF(AND(Q697=1,L697&lt;&gt;""),SUBSTITUTE(SUBSTITUTE(SUBSTITUTE(SUBSTITUTE(SUBSTITUTE(SUBSTITUTE(SUBSTITUTE(SUBSTITUTE(SUBSTITUTE(SUBSTITUTE(SUBSTITUTE(SUBSTITUTE(LOWER(TRIM(L697)),"á","a"),"é","e"),"í","i"),"ó","o"),"ú","u"),"ü","u"),"ñ","n"),"à","a"),"è","e"),"ì","i"),"ò","o"),"ù","u"),"")</f>
        <v/>
      </c>
      <c r="W697" s="25">
        <f>IF(AND(Q697=1,I697&lt;&gt;""),SUBSTITUTE(SUBSTITUTE(SUBSTITUTE(SUBSTITUTE(SUBSTITUTE(SUBSTITUTE(SUBSTITUTE(SUBSTITUTE(SUBSTITUTE(SUBSTITUTE(SUBSTITUTE(SUBSTITUTE(LOWER(TRIM(I697)),"á","a"),"é","e"),"í","i"),"ó","o"),"ú","u"),"ü","u"),"ñ","n"),"à","a"),"è","e"),"ì","i"),"ò","o"),"ù","u"),"")</f>
        <v/>
      </c>
      <c r="X697" s="25">
        <f>IF(U697="","",IF(OR(U697="si, en la proxima tarea",U697="si, con cambios"),1,0))</f>
        <v/>
      </c>
      <c r="Y697" s="25">
        <f>IF(AND(Q697=1,A697&lt;&gt;""),IF(IFERROR(COUNTIFS(A$3:A697,"="&amp;SUBSTITUTE(SUBSTITUTE(SUBSTITUTE(A697,"~","~~"),"*","~*"),"?","~?"),Q$3:Q697,1),0)=1,MAX(Y$2:Y696)+1,""),"")</f>
        <v/>
      </c>
      <c r="Z697" s="25">
        <f>IF(Y697="","",COUNTIFS($A$3:$A$1002,"="&amp;SUBSTITUTE(SUBSTITUTE(SUBSTITUTE(A697,"~","~~"),"*","~*"),"?","~?"),$Q$3:$Q$1002,1)*10000-Y697)</f>
        <v/>
      </c>
    </row>
    <row r="698">
      <c r="A698">
        <f>IF(A$2=0,"",IFERROR(TRIM(INDEX('Pegar docentes'!$A$1:$BZ$1001,697,A$2)&amp;""),""))</f>
        <v/>
      </c>
      <c r="B698">
        <f>IF(B$2=0,"",IFERROR(TRIM(INDEX('Pegar docentes'!$A$1:$BZ$1001,697,B$2)&amp;""),""))</f>
        <v/>
      </c>
      <c r="C698">
        <f>IF(C$2=0,"",IFERROR(TRIM(INDEX('Pegar docentes'!$A$1:$BZ$1001,697,C$2)&amp;""),""))</f>
        <v/>
      </c>
      <c r="D698">
        <f>IF(D$2=0,"",IFERROR(TRIM(INDEX('Pegar docentes'!$A$1:$BZ$1001,697,D$2)&amp;""),""))</f>
        <v/>
      </c>
      <c r="E698">
        <f>IF(E$2=0,"",IFERROR(TRIM(INDEX('Pegar docentes'!$A$1:$BZ$1001,697,E$2)&amp;""),""))</f>
        <v/>
      </c>
      <c r="F698">
        <f>IF(F$2=0,"",IFERROR(TRIM(INDEX('Pegar docentes'!$A$1:$BZ$1001,697,F$2)&amp;""),""))</f>
        <v/>
      </c>
      <c r="G698">
        <f>IF(G$2=0,"",IFERROR(TRIM(INDEX('Pegar docentes'!$A$1:$BZ$1001,697,G$2)&amp;""),""))</f>
        <v/>
      </c>
      <c r="H698">
        <f>IF(H$2=0,"",IFERROR(TRIM(INDEX('Pegar docentes'!$A$1:$BZ$1001,697,H$2)&amp;""),""))</f>
        <v/>
      </c>
      <c r="I698">
        <f>IF(I$2=0,"",IFERROR(TRIM(INDEX('Pegar docentes'!$A$1:$BZ$1001,697,I$2)&amp;""),""))</f>
        <v/>
      </c>
      <c r="J698">
        <f>IF(J$2=0,"",IFERROR(TRIM(INDEX('Pegar docentes'!$A$1:$BZ$1001,697,J$2)&amp;""),""))</f>
        <v/>
      </c>
      <c r="K698">
        <f>IF(K$2=0,"",IFERROR(TRIM(INDEX('Pegar docentes'!$A$1:$BZ$1001,697,K$2)&amp;""),""))</f>
        <v/>
      </c>
      <c r="L698">
        <f>IF(L$2=0,"",IFERROR(TRIM(INDEX('Pegar docentes'!$A$1:$BZ$1001,697,L$2)&amp;""),""))</f>
        <v/>
      </c>
      <c r="M698">
        <f>IF(M$2=0,"",IFERROR(TRIM(INDEX('Pegar docentes'!$A$1:$BZ$1001,697,M$2)&amp;""),""))</f>
        <v/>
      </c>
      <c r="N698">
        <f>IF(N$2=0,"",IFERROR(TRIM(INDEX('Pegar docentes'!$A$1:$BZ$1001,697,N$2)&amp;""),""))</f>
        <v/>
      </c>
      <c r="O698">
        <f>IF(O$2=0,"",IFERROR(TRIM(INDEX('Pegar docentes'!$A$1:$BZ$1001,697,O$2)&amp;""),""))</f>
        <v/>
      </c>
      <c r="P698">
        <f>IF(P$2=0,"",IFERROR(TRIM(INDEX('Pegar docentes'!$A$1:$BZ$1001,697,P$2)&amp;""),""))</f>
        <v/>
      </c>
      <c r="Q698" s="25">
        <f>IF(OR(D698&lt;&gt;"",H698&lt;&gt;""),1,"")</f>
        <v/>
      </c>
      <c r="R698" s="25">
        <f>IF(Q698=1,IF(ISNUMBER(FIND("#"&amp;MID(D698,1,1)&amp;"#","#0#1#2#3#4#5#6#7#8#9#")),IF(ISNUMBER(FIND("#"&amp;MID(D698,2,1)&amp;"#","#0#1#2#3#4#5#6#7#8#9#")),IF(AND(VALUE(LEFT(D698,2))&gt;=1,VALUE(LEFT(D698,2))&lt;=5),VALUE(LEFT(D698,2)),""),IF(AND(VALUE(LEFT(D698,1))&gt;=1,VALUE(LEFT(D698,1))&lt;=5),VALUE(LEFT(D698,1)),"")),""),"")</f>
        <v/>
      </c>
      <c r="S698" s="25">
        <f>IF(AND(Q698=1,E698&lt;&gt;""),SUBSTITUTE(SUBSTITUTE(SUBSTITUTE(SUBSTITUTE(SUBSTITUTE(SUBSTITUTE(SUBSTITUTE(SUBSTITUTE(SUBSTITUTE(SUBSTITUTE(SUBSTITUTE(SUBSTITUTE(LOWER(TRIM(E698)),"á","a"),"é","e"),"í","i"),"ó","o"),"ú","u"),"ü","u"),"ñ","n"),"à","a"),"è","e"),"ì","i"),"ò","o"),"ù","u"),"")</f>
        <v/>
      </c>
      <c r="T698" s="25">
        <f>IF(AND(Q698=1,G698&lt;&gt;""),SUBSTITUTE(SUBSTITUTE(SUBSTITUTE(SUBSTITUTE(SUBSTITUTE(SUBSTITUTE(SUBSTITUTE(SUBSTITUTE(SUBSTITUTE(SUBSTITUTE(SUBSTITUTE(SUBSTITUTE(LOWER(TRIM(G698)),"á","a"),"é","e"),"í","i"),"ó","o"),"ú","u"),"ü","u"),"ñ","n"),"à","a"),"è","e"),"ì","i"),"ò","o"),"ù","u"),"")</f>
        <v/>
      </c>
      <c r="U698" s="25">
        <f>IF(AND(Q698=1,H698&lt;&gt;""),SUBSTITUTE(SUBSTITUTE(SUBSTITUTE(SUBSTITUTE(SUBSTITUTE(SUBSTITUTE(SUBSTITUTE(SUBSTITUTE(SUBSTITUTE(SUBSTITUTE(SUBSTITUTE(SUBSTITUTE(LOWER(TRIM(H698)),"á","a"),"é","e"),"í","i"),"ó","o"),"ú","u"),"ü","u"),"ñ","n"),"à","a"),"è","e"),"ì","i"),"ò","o"),"ù","u"),"")</f>
        <v/>
      </c>
      <c r="V698" s="25">
        <f>IF(AND(Q698=1,L698&lt;&gt;""),SUBSTITUTE(SUBSTITUTE(SUBSTITUTE(SUBSTITUTE(SUBSTITUTE(SUBSTITUTE(SUBSTITUTE(SUBSTITUTE(SUBSTITUTE(SUBSTITUTE(SUBSTITUTE(SUBSTITUTE(LOWER(TRIM(L698)),"á","a"),"é","e"),"í","i"),"ó","o"),"ú","u"),"ü","u"),"ñ","n"),"à","a"),"è","e"),"ì","i"),"ò","o"),"ù","u"),"")</f>
        <v/>
      </c>
      <c r="W698" s="25">
        <f>IF(AND(Q698=1,I698&lt;&gt;""),SUBSTITUTE(SUBSTITUTE(SUBSTITUTE(SUBSTITUTE(SUBSTITUTE(SUBSTITUTE(SUBSTITUTE(SUBSTITUTE(SUBSTITUTE(SUBSTITUTE(SUBSTITUTE(SUBSTITUTE(LOWER(TRIM(I698)),"á","a"),"é","e"),"í","i"),"ó","o"),"ú","u"),"ü","u"),"ñ","n"),"à","a"),"è","e"),"ì","i"),"ò","o"),"ù","u"),"")</f>
        <v/>
      </c>
      <c r="X698" s="25">
        <f>IF(U698="","",IF(OR(U698="si, en la proxima tarea",U698="si, con cambios"),1,0))</f>
        <v/>
      </c>
      <c r="Y698" s="25">
        <f>IF(AND(Q698=1,A698&lt;&gt;""),IF(IFERROR(COUNTIFS(A$3:A698,"="&amp;SUBSTITUTE(SUBSTITUTE(SUBSTITUTE(A698,"~","~~"),"*","~*"),"?","~?"),Q$3:Q698,1),0)=1,MAX(Y$2:Y697)+1,""),"")</f>
        <v/>
      </c>
      <c r="Z698" s="25">
        <f>IF(Y698="","",COUNTIFS($A$3:$A$1002,"="&amp;SUBSTITUTE(SUBSTITUTE(SUBSTITUTE(A698,"~","~~"),"*","~*"),"?","~?"),$Q$3:$Q$1002,1)*10000-Y698)</f>
        <v/>
      </c>
    </row>
    <row r="699">
      <c r="A699">
        <f>IF(A$2=0,"",IFERROR(TRIM(INDEX('Pegar docentes'!$A$1:$BZ$1001,698,A$2)&amp;""),""))</f>
        <v/>
      </c>
      <c r="B699">
        <f>IF(B$2=0,"",IFERROR(TRIM(INDEX('Pegar docentes'!$A$1:$BZ$1001,698,B$2)&amp;""),""))</f>
        <v/>
      </c>
      <c r="C699">
        <f>IF(C$2=0,"",IFERROR(TRIM(INDEX('Pegar docentes'!$A$1:$BZ$1001,698,C$2)&amp;""),""))</f>
        <v/>
      </c>
      <c r="D699">
        <f>IF(D$2=0,"",IFERROR(TRIM(INDEX('Pegar docentes'!$A$1:$BZ$1001,698,D$2)&amp;""),""))</f>
        <v/>
      </c>
      <c r="E699">
        <f>IF(E$2=0,"",IFERROR(TRIM(INDEX('Pegar docentes'!$A$1:$BZ$1001,698,E$2)&amp;""),""))</f>
        <v/>
      </c>
      <c r="F699">
        <f>IF(F$2=0,"",IFERROR(TRIM(INDEX('Pegar docentes'!$A$1:$BZ$1001,698,F$2)&amp;""),""))</f>
        <v/>
      </c>
      <c r="G699">
        <f>IF(G$2=0,"",IFERROR(TRIM(INDEX('Pegar docentes'!$A$1:$BZ$1001,698,G$2)&amp;""),""))</f>
        <v/>
      </c>
      <c r="H699">
        <f>IF(H$2=0,"",IFERROR(TRIM(INDEX('Pegar docentes'!$A$1:$BZ$1001,698,H$2)&amp;""),""))</f>
        <v/>
      </c>
      <c r="I699">
        <f>IF(I$2=0,"",IFERROR(TRIM(INDEX('Pegar docentes'!$A$1:$BZ$1001,698,I$2)&amp;""),""))</f>
        <v/>
      </c>
      <c r="J699">
        <f>IF(J$2=0,"",IFERROR(TRIM(INDEX('Pegar docentes'!$A$1:$BZ$1001,698,J$2)&amp;""),""))</f>
        <v/>
      </c>
      <c r="K699">
        <f>IF(K$2=0,"",IFERROR(TRIM(INDEX('Pegar docentes'!$A$1:$BZ$1001,698,K$2)&amp;""),""))</f>
        <v/>
      </c>
      <c r="L699">
        <f>IF(L$2=0,"",IFERROR(TRIM(INDEX('Pegar docentes'!$A$1:$BZ$1001,698,L$2)&amp;""),""))</f>
        <v/>
      </c>
      <c r="M699">
        <f>IF(M$2=0,"",IFERROR(TRIM(INDEX('Pegar docentes'!$A$1:$BZ$1001,698,M$2)&amp;""),""))</f>
        <v/>
      </c>
      <c r="N699">
        <f>IF(N$2=0,"",IFERROR(TRIM(INDEX('Pegar docentes'!$A$1:$BZ$1001,698,N$2)&amp;""),""))</f>
        <v/>
      </c>
      <c r="O699">
        <f>IF(O$2=0,"",IFERROR(TRIM(INDEX('Pegar docentes'!$A$1:$BZ$1001,698,O$2)&amp;""),""))</f>
        <v/>
      </c>
      <c r="P699">
        <f>IF(P$2=0,"",IFERROR(TRIM(INDEX('Pegar docentes'!$A$1:$BZ$1001,698,P$2)&amp;""),""))</f>
        <v/>
      </c>
      <c r="Q699" s="25">
        <f>IF(OR(D699&lt;&gt;"",H699&lt;&gt;""),1,"")</f>
        <v/>
      </c>
      <c r="R699" s="25">
        <f>IF(Q699=1,IF(ISNUMBER(FIND("#"&amp;MID(D699,1,1)&amp;"#","#0#1#2#3#4#5#6#7#8#9#")),IF(ISNUMBER(FIND("#"&amp;MID(D699,2,1)&amp;"#","#0#1#2#3#4#5#6#7#8#9#")),IF(AND(VALUE(LEFT(D699,2))&gt;=1,VALUE(LEFT(D699,2))&lt;=5),VALUE(LEFT(D699,2)),""),IF(AND(VALUE(LEFT(D699,1))&gt;=1,VALUE(LEFT(D699,1))&lt;=5),VALUE(LEFT(D699,1)),"")),""),"")</f>
        <v/>
      </c>
      <c r="S699" s="25">
        <f>IF(AND(Q699=1,E699&lt;&gt;""),SUBSTITUTE(SUBSTITUTE(SUBSTITUTE(SUBSTITUTE(SUBSTITUTE(SUBSTITUTE(SUBSTITUTE(SUBSTITUTE(SUBSTITUTE(SUBSTITUTE(SUBSTITUTE(SUBSTITUTE(LOWER(TRIM(E699)),"á","a"),"é","e"),"í","i"),"ó","o"),"ú","u"),"ü","u"),"ñ","n"),"à","a"),"è","e"),"ì","i"),"ò","o"),"ù","u"),"")</f>
        <v/>
      </c>
      <c r="T699" s="25">
        <f>IF(AND(Q699=1,G699&lt;&gt;""),SUBSTITUTE(SUBSTITUTE(SUBSTITUTE(SUBSTITUTE(SUBSTITUTE(SUBSTITUTE(SUBSTITUTE(SUBSTITUTE(SUBSTITUTE(SUBSTITUTE(SUBSTITUTE(SUBSTITUTE(LOWER(TRIM(G699)),"á","a"),"é","e"),"í","i"),"ó","o"),"ú","u"),"ü","u"),"ñ","n"),"à","a"),"è","e"),"ì","i"),"ò","o"),"ù","u"),"")</f>
        <v/>
      </c>
      <c r="U699" s="25">
        <f>IF(AND(Q699=1,H699&lt;&gt;""),SUBSTITUTE(SUBSTITUTE(SUBSTITUTE(SUBSTITUTE(SUBSTITUTE(SUBSTITUTE(SUBSTITUTE(SUBSTITUTE(SUBSTITUTE(SUBSTITUTE(SUBSTITUTE(SUBSTITUTE(LOWER(TRIM(H699)),"á","a"),"é","e"),"í","i"),"ó","o"),"ú","u"),"ü","u"),"ñ","n"),"à","a"),"è","e"),"ì","i"),"ò","o"),"ù","u"),"")</f>
        <v/>
      </c>
      <c r="V699" s="25">
        <f>IF(AND(Q699=1,L699&lt;&gt;""),SUBSTITUTE(SUBSTITUTE(SUBSTITUTE(SUBSTITUTE(SUBSTITUTE(SUBSTITUTE(SUBSTITUTE(SUBSTITUTE(SUBSTITUTE(SUBSTITUTE(SUBSTITUTE(SUBSTITUTE(LOWER(TRIM(L699)),"á","a"),"é","e"),"í","i"),"ó","o"),"ú","u"),"ü","u"),"ñ","n"),"à","a"),"è","e"),"ì","i"),"ò","o"),"ù","u"),"")</f>
        <v/>
      </c>
      <c r="W699" s="25">
        <f>IF(AND(Q699=1,I699&lt;&gt;""),SUBSTITUTE(SUBSTITUTE(SUBSTITUTE(SUBSTITUTE(SUBSTITUTE(SUBSTITUTE(SUBSTITUTE(SUBSTITUTE(SUBSTITUTE(SUBSTITUTE(SUBSTITUTE(SUBSTITUTE(LOWER(TRIM(I699)),"á","a"),"é","e"),"í","i"),"ó","o"),"ú","u"),"ü","u"),"ñ","n"),"à","a"),"è","e"),"ì","i"),"ò","o"),"ù","u"),"")</f>
        <v/>
      </c>
      <c r="X699" s="25">
        <f>IF(U699="","",IF(OR(U699="si, en la proxima tarea",U699="si, con cambios"),1,0))</f>
        <v/>
      </c>
      <c r="Y699" s="25">
        <f>IF(AND(Q699=1,A699&lt;&gt;""),IF(IFERROR(COUNTIFS(A$3:A699,"="&amp;SUBSTITUTE(SUBSTITUTE(SUBSTITUTE(A699,"~","~~"),"*","~*"),"?","~?"),Q$3:Q699,1),0)=1,MAX(Y$2:Y698)+1,""),"")</f>
        <v/>
      </c>
      <c r="Z699" s="25">
        <f>IF(Y699="","",COUNTIFS($A$3:$A$1002,"="&amp;SUBSTITUTE(SUBSTITUTE(SUBSTITUTE(A699,"~","~~"),"*","~*"),"?","~?"),$Q$3:$Q$1002,1)*10000-Y699)</f>
        <v/>
      </c>
    </row>
    <row r="700">
      <c r="A700">
        <f>IF(A$2=0,"",IFERROR(TRIM(INDEX('Pegar docentes'!$A$1:$BZ$1001,699,A$2)&amp;""),""))</f>
        <v/>
      </c>
      <c r="B700">
        <f>IF(B$2=0,"",IFERROR(TRIM(INDEX('Pegar docentes'!$A$1:$BZ$1001,699,B$2)&amp;""),""))</f>
        <v/>
      </c>
      <c r="C700">
        <f>IF(C$2=0,"",IFERROR(TRIM(INDEX('Pegar docentes'!$A$1:$BZ$1001,699,C$2)&amp;""),""))</f>
        <v/>
      </c>
      <c r="D700">
        <f>IF(D$2=0,"",IFERROR(TRIM(INDEX('Pegar docentes'!$A$1:$BZ$1001,699,D$2)&amp;""),""))</f>
        <v/>
      </c>
      <c r="E700">
        <f>IF(E$2=0,"",IFERROR(TRIM(INDEX('Pegar docentes'!$A$1:$BZ$1001,699,E$2)&amp;""),""))</f>
        <v/>
      </c>
      <c r="F700">
        <f>IF(F$2=0,"",IFERROR(TRIM(INDEX('Pegar docentes'!$A$1:$BZ$1001,699,F$2)&amp;""),""))</f>
        <v/>
      </c>
      <c r="G700">
        <f>IF(G$2=0,"",IFERROR(TRIM(INDEX('Pegar docentes'!$A$1:$BZ$1001,699,G$2)&amp;""),""))</f>
        <v/>
      </c>
      <c r="H700">
        <f>IF(H$2=0,"",IFERROR(TRIM(INDEX('Pegar docentes'!$A$1:$BZ$1001,699,H$2)&amp;""),""))</f>
        <v/>
      </c>
      <c r="I700">
        <f>IF(I$2=0,"",IFERROR(TRIM(INDEX('Pegar docentes'!$A$1:$BZ$1001,699,I$2)&amp;""),""))</f>
        <v/>
      </c>
      <c r="J700">
        <f>IF(J$2=0,"",IFERROR(TRIM(INDEX('Pegar docentes'!$A$1:$BZ$1001,699,J$2)&amp;""),""))</f>
        <v/>
      </c>
      <c r="K700">
        <f>IF(K$2=0,"",IFERROR(TRIM(INDEX('Pegar docentes'!$A$1:$BZ$1001,699,K$2)&amp;""),""))</f>
        <v/>
      </c>
      <c r="L700">
        <f>IF(L$2=0,"",IFERROR(TRIM(INDEX('Pegar docentes'!$A$1:$BZ$1001,699,L$2)&amp;""),""))</f>
        <v/>
      </c>
      <c r="M700">
        <f>IF(M$2=0,"",IFERROR(TRIM(INDEX('Pegar docentes'!$A$1:$BZ$1001,699,M$2)&amp;""),""))</f>
        <v/>
      </c>
      <c r="N700">
        <f>IF(N$2=0,"",IFERROR(TRIM(INDEX('Pegar docentes'!$A$1:$BZ$1001,699,N$2)&amp;""),""))</f>
        <v/>
      </c>
      <c r="O700">
        <f>IF(O$2=0,"",IFERROR(TRIM(INDEX('Pegar docentes'!$A$1:$BZ$1001,699,O$2)&amp;""),""))</f>
        <v/>
      </c>
      <c r="P700">
        <f>IF(P$2=0,"",IFERROR(TRIM(INDEX('Pegar docentes'!$A$1:$BZ$1001,699,P$2)&amp;""),""))</f>
        <v/>
      </c>
      <c r="Q700" s="25">
        <f>IF(OR(D700&lt;&gt;"",H700&lt;&gt;""),1,"")</f>
        <v/>
      </c>
      <c r="R700" s="25">
        <f>IF(Q700=1,IF(ISNUMBER(FIND("#"&amp;MID(D700,1,1)&amp;"#","#0#1#2#3#4#5#6#7#8#9#")),IF(ISNUMBER(FIND("#"&amp;MID(D700,2,1)&amp;"#","#0#1#2#3#4#5#6#7#8#9#")),IF(AND(VALUE(LEFT(D700,2))&gt;=1,VALUE(LEFT(D700,2))&lt;=5),VALUE(LEFT(D700,2)),""),IF(AND(VALUE(LEFT(D700,1))&gt;=1,VALUE(LEFT(D700,1))&lt;=5),VALUE(LEFT(D700,1)),"")),""),"")</f>
        <v/>
      </c>
      <c r="S700" s="25">
        <f>IF(AND(Q700=1,E700&lt;&gt;""),SUBSTITUTE(SUBSTITUTE(SUBSTITUTE(SUBSTITUTE(SUBSTITUTE(SUBSTITUTE(SUBSTITUTE(SUBSTITUTE(SUBSTITUTE(SUBSTITUTE(SUBSTITUTE(SUBSTITUTE(LOWER(TRIM(E700)),"á","a"),"é","e"),"í","i"),"ó","o"),"ú","u"),"ü","u"),"ñ","n"),"à","a"),"è","e"),"ì","i"),"ò","o"),"ù","u"),"")</f>
        <v/>
      </c>
      <c r="T700" s="25">
        <f>IF(AND(Q700=1,G700&lt;&gt;""),SUBSTITUTE(SUBSTITUTE(SUBSTITUTE(SUBSTITUTE(SUBSTITUTE(SUBSTITUTE(SUBSTITUTE(SUBSTITUTE(SUBSTITUTE(SUBSTITUTE(SUBSTITUTE(SUBSTITUTE(LOWER(TRIM(G700)),"á","a"),"é","e"),"í","i"),"ó","o"),"ú","u"),"ü","u"),"ñ","n"),"à","a"),"è","e"),"ì","i"),"ò","o"),"ù","u"),"")</f>
        <v/>
      </c>
      <c r="U700" s="25">
        <f>IF(AND(Q700=1,H700&lt;&gt;""),SUBSTITUTE(SUBSTITUTE(SUBSTITUTE(SUBSTITUTE(SUBSTITUTE(SUBSTITUTE(SUBSTITUTE(SUBSTITUTE(SUBSTITUTE(SUBSTITUTE(SUBSTITUTE(SUBSTITUTE(LOWER(TRIM(H700)),"á","a"),"é","e"),"í","i"),"ó","o"),"ú","u"),"ü","u"),"ñ","n"),"à","a"),"è","e"),"ì","i"),"ò","o"),"ù","u"),"")</f>
        <v/>
      </c>
      <c r="V700" s="25">
        <f>IF(AND(Q700=1,L700&lt;&gt;""),SUBSTITUTE(SUBSTITUTE(SUBSTITUTE(SUBSTITUTE(SUBSTITUTE(SUBSTITUTE(SUBSTITUTE(SUBSTITUTE(SUBSTITUTE(SUBSTITUTE(SUBSTITUTE(SUBSTITUTE(LOWER(TRIM(L700)),"á","a"),"é","e"),"í","i"),"ó","o"),"ú","u"),"ü","u"),"ñ","n"),"à","a"),"è","e"),"ì","i"),"ò","o"),"ù","u"),"")</f>
        <v/>
      </c>
      <c r="W700" s="25">
        <f>IF(AND(Q700=1,I700&lt;&gt;""),SUBSTITUTE(SUBSTITUTE(SUBSTITUTE(SUBSTITUTE(SUBSTITUTE(SUBSTITUTE(SUBSTITUTE(SUBSTITUTE(SUBSTITUTE(SUBSTITUTE(SUBSTITUTE(SUBSTITUTE(LOWER(TRIM(I700)),"á","a"),"é","e"),"í","i"),"ó","o"),"ú","u"),"ü","u"),"ñ","n"),"à","a"),"è","e"),"ì","i"),"ò","o"),"ù","u"),"")</f>
        <v/>
      </c>
      <c r="X700" s="25">
        <f>IF(U700="","",IF(OR(U700="si, en la proxima tarea",U700="si, con cambios"),1,0))</f>
        <v/>
      </c>
      <c r="Y700" s="25">
        <f>IF(AND(Q700=1,A700&lt;&gt;""),IF(IFERROR(COUNTIFS(A$3:A700,"="&amp;SUBSTITUTE(SUBSTITUTE(SUBSTITUTE(A700,"~","~~"),"*","~*"),"?","~?"),Q$3:Q700,1),0)=1,MAX(Y$2:Y699)+1,""),"")</f>
        <v/>
      </c>
      <c r="Z700" s="25">
        <f>IF(Y700="","",COUNTIFS($A$3:$A$1002,"="&amp;SUBSTITUTE(SUBSTITUTE(SUBSTITUTE(A700,"~","~~"),"*","~*"),"?","~?"),$Q$3:$Q$1002,1)*10000-Y700)</f>
        <v/>
      </c>
    </row>
    <row r="701">
      <c r="A701">
        <f>IF(A$2=0,"",IFERROR(TRIM(INDEX('Pegar docentes'!$A$1:$BZ$1001,700,A$2)&amp;""),""))</f>
        <v/>
      </c>
      <c r="B701">
        <f>IF(B$2=0,"",IFERROR(TRIM(INDEX('Pegar docentes'!$A$1:$BZ$1001,700,B$2)&amp;""),""))</f>
        <v/>
      </c>
      <c r="C701">
        <f>IF(C$2=0,"",IFERROR(TRIM(INDEX('Pegar docentes'!$A$1:$BZ$1001,700,C$2)&amp;""),""))</f>
        <v/>
      </c>
      <c r="D701">
        <f>IF(D$2=0,"",IFERROR(TRIM(INDEX('Pegar docentes'!$A$1:$BZ$1001,700,D$2)&amp;""),""))</f>
        <v/>
      </c>
      <c r="E701">
        <f>IF(E$2=0,"",IFERROR(TRIM(INDEX('Pegar docentes'!$A$1:$BZ$1001,700,E$2)&amp;""),""))</f>
        <v/>
      </c>
      <c r="F701">
        <f>IF(F$2=0,"",IFERROR(TRIM(INDEX('Pegar docentes'!$A$1:$BZ$1001,700,F$2)&amp;""),""))</f>
        <v/>
      </c>
      <c r="G701">
        <f>IF(G$2=0,"",IFERROR(TRIM(INDEX('Pegar docentes'!$A$1:$BZ$1001,700,G$2)&amp;""),""))</f>
        <v/>
      </c>
      <c r="H701">
        <f>IF(H$2=0,"",IFERROR(TRIM(INDEX('Pegar docentes'!$A$1:$BZ$1001,700,H$2)&amp;""),""))</f>
        <v/>
      </c>
      <c r="I701">
        <f>IF(I$2=0,"",IFERROR(TRIM(INDEX('Pegar docentes'!$A$1:$BZ$1001,700,I$2)&amp;""),""))</f>
        <v/>
      </c>
      <c r="J701">
        <f>IF(J$2=0,"",IFERROR(TRIM(INDEX('Pegar docentes'!$A$1:$BZ$1001,700,J$2)&amp;""),""))</f>
        <v/>
      </c>
      <c r="K701">
        <f>IF(K$2=0,"",IFERROR(TRIM(INDEX('Pegar docentes'!$A$1:$BZ$1001,700,K$2)&amp;""),""))</f>
        <v/>
      </c>
      <c r="L701">
        <f>IF(L$2=0,"",IFERROR(TRIM(INDEX('Pegar docentes'!$A$1:$BZ$1001,700,L$2)&amp;""),""))</f>
        <v/>
      </c>
      <c r="M701">
        <f>IF(M$2=0,"",IFERROR(TRIM(INDEX('Pegar docentes'!$A$1:$BZ$1001,700,M$2)&amp;""),""))</f>
        <v/>
      </c>
      <c r="N701">
        <f>IF(N$2=0,"",IFERROR(TRIM(INDEX('Pegar docentes'!$A$1:$BZ$1001,700,N$2)&amp;""),""))</f>
        <v/>
      </c>
      <c r="O701">
        <f>IF(O$2=0,"",IFERROR(TRIM(INDEX('Pegar docentes'!$A$1:$BZ$1001,700,O$2)&amp;""),""))</f>
        <v/>
      </c>
      <c r="P701">
        <f>IF(P$2=0,"",IFERROR(TRIM(INDEX('Pegar docentes'!$A$1:$BZ$1001,700,P$2)&amp;""),""))</f>
        <v/>
      </c>
      <c r="Q701" s="25">
        <f>IF(OR(D701&lt;&gt;"",H701&lt;&gt;""),1,"")</f>
        <v/>
      </c>
      <c r="R701" s="25">
        <f>IF(Q701=1,IF(ISNUMBER(FIND("#"&amp;MID(D701,1,1)&amp;"#","#0#1#2#3#4#5#6#7#8#9#")),IF(ISNUMBER(FIND("#"&amp;MID(D701,2,1)&amp;"#","#0#1#2#3#4#5#6#7#8#9#")),IF(AND(VALUE(LEFT(D701,2))&gt;=1,VALUE(LEFT(D701,2))&lt;=5),VALUE(LEFT(D701,2)),""),IF(AND(VALUE(LEFT(D701,1))&gt;=1,VALUE(LEFT(D701,1))&lt;=5),VALUE(LEFT(D701,1)),"")),""),"")</f>
        <v/>
      </c>
      <c r="S701" s="25">
        <f>IF(AND(Q701=1,E701&lt;&gt;""),SUBSTITUTE(SUBSTITUTE(SUBSTITUTE(SUBSTITUTE(SUBSTITUTE(SUBSTITUTE(SUBSTITUTE(SUBSTITUTE(SUBSTITUTE(SUBSTITUTE(SUBSTITUTE(SUBSTITUTE(LOWER(TRIM(E701)),"á","a"),"é","e"),"í","i"),"ó","o"),"ú","u"),"ü","u"),"ñ","n"),"à","a"),"è","e"),"ì","i"),"ò","o"),"ù","u"),"")</f>
        <v/>
      </c>
      <c r="T701" s="25">
        <f>IF(AND(Q701=1,G701&lt;&gt;""),SUBSTITUTE(SUBSTITUTE(SUBSTITUTE(SUBSTITUTE(SUBSTITUTE(SUBSTITUTE(SUBSTITUTE(SUBSTITUTE(SUBSTITUTE(SUBSTITUTE(SUBSTITUTE(SUBSTITUTE(LOWER(TRIM(G701)),"á","a"),"é","e"),"í","i"),"ó","o"),"ú","u"),"ü","u"),"ñ","n"),"à","a"),"è","e"),"ì","i"),"ò","o"),"ù","u"),"")</f>
        <v/>
      </c>
      <c r="U701" s="25">
        <f>IF(AND(Q701=1,H701&lt;&gt;""),SUBSTITUTE(SUBSTITUTE(SUBSTITUTE(SUBSTITUTE(SUBSTITUTE(SUBSTITUTE(SUBSTITUTE(SUBSTITUTE(SUBSTITUTE(SUBSTITUTE(SUBSTITUTE(SUBSTITUTE(LOWER(TRIM(H701)),"á","a"),"é","e"),"í","i"),"ó","o"),"ú","u"),"ü","u"),"ñ","n"),"à","a"),"è","e"),"ì","i"),"ò","o"),"ù","u"),"")</f>
        <v/>
      </c>
      <c r="V701" s="25">
        <f>IF(AND(Q701=1,L701&lt;&gt;""),SUBSTITUTE(SUBSTITUTE(SUBSTITUTE(SUBSTITUTE(SUBSTITUTE(SUBSTITUTE(SUBSTITUTE(SUBSTITUTE(SUBSTITUTE(SUBSTITUTE(SUBSTITUTE(SUBSTITUTE(LOWER(TRIM(L701)),"á","a"),"é","e"),"í","i"),"ó","o"),"ú","u"),"ü","u"),"ñ","n"),"à","a"),"è","e"),"ì","i"),"ò","o"),"ù","u"),"")</f>
        <v/>
      </c>
      <c r="W701" s="25">
        <f>IF(AND(Q701=1,I701&lt;&gt;""),SUBSTITUTE(SUBSTITUTE(SUBSTITUTE(SUBSTITUTE(SUBSTITUTE(SUBSTITUTE(SUBSTITUTE(SUBSTITUTE(SUBSTITUTE(SUBSTITUTE(SUBSTITUTE(SUBSTITUTE(LOWER(TRIM(I701)),"á","a"),"é","e"),"í","i"),"ó","o"),"ú","u"),"ü","u"),"ñ","n"),"à","a"),"è","e"),"ì","i"),"ò","o"),"ù","u"),"")</f>
        <v/>
      </c>
      <c r="X701" s="25">
        <f>IF(U701="","",IF(OR(U701="si, en la proxima tarea",U701="si, con cambios"),1,0))</f>
        <v/>
      </c>
      <c r="Y701" s="25">
        <f>IF(AND(Q701=1,A701&lt;&gt;""),IF(IFERROR(COUNTIFS(A$3:A701,"="&amp;SUBSTITUTE(SUBSTITUTE(SUBSTITUTE(A701,"~","~~"),"*","~*"),"?","~?"),Q$3:Q701,1),0)=1,MAX(Y$2:Y700)+1,""),"")</f>
        <v/>
      </c>
      <c r="Z701" s="25">
        <f>IF(Y701="","",COUNTIFS($A$3:$A$1002,"="&amp;SUBSTITUTE(SUBSTITUTE(SUBSTITUTE(A701,"~","~~"),"*","~*"),"?","~?"),$Q$3:$Q$1002,1)*10000-Y701)</f>
        <v/>
      </c>
    </row>
    <row r="702">
      <c r="A702">
        <f>IF(A$2=0,"",IFERROR(TRIM(INDEX('Pegar docentes'!$A$1:$BZ$1001,701,A$2)&amp;""),""))</f>
        <v/>
      </c>
      <c r="B702">
        <f>IF(B$2=0,"",IFERROR(TRIM(INDEX('Pegar docentes'!$A$1:$BZ$1001,701,B$2)&amp;""),""))</f>
        <v/>
      </c>
      <c r="C702">
        <f>IF(C$2=0,"",IFERROR(TRIM(INDEX('Pegar docentes'!$A$1:$BZ$1001,701,C$2)&amp;""),""))</f>
        <v/>
      </c>
      <c r="D702">
        <f>IF(D$2=0,"",IFERROR(TRIM(INDEX('Pegar docentes'!$A$1:$BZ$1001,701,D$2)&amp;""),""))</f>
        <v/>
      </c>
      <c r="E702">
        <f>IF(E$2=0,"",IFERROR(TRIM(INDEX('Pegar docentes'!$A$1:$BZ$1001,701,E$2)&amp;""),""))</f>
        <v/>
      </c>
      <c r="F702">
        <f>IF(F$2=0,"",IFERROR(TRIM(INDEX('Pegar docentes'!$A$1:$BZ$1001,701,F$2)&amp;""),""))</f>
        <v/>
      </c>
      <c r="G702">
        <f>IF(G$2=0,"",IFERROR(TRIM(INDEX('Pegar docentes'!$A$1:$BZ$1001,701,G$2)&amp;""),""))</f>
        <v/>
      </c>
      <c r="H702">
        <f>IF(H$2=0,"",IFERROR(TRIM(INDEX('Pegar docentes'!$A$1:$BZ$1001,701,H$2)&amp;""),""))</f>
        <v/>
      </c>
      <c r="I702">
        <f>IF(I$2=0,"",IFERROR(TRIM(INDEX('Pegar docentes'!$A$1:$BZ$1001,701,I$2)&amp;""),""))</f>
        <v/>
      </c>
      <c r="J702">
        <f>IF(J$2=0,"",IFERROR(TRIM(INDEX('Pegar docentes'!$A$1:$BZ$1001,701,J$2)&amp;""),""))</f>
        <v/>
      </c>
      <c r="K702">
        <f>IF(K$2=0,"",IFERROR(TRIM(INDEX('Pegar docentes'!$A$1:$BZ$1001,701,K$2)&amp;""),""))</f>
        <v/>
      </c>
      <c r="L702">
        <f>IF(L$2=0,"",IFERROR(TRIM(INDEX('Pegar docentes'!$A$1:$BZ$1001,701,L$2)&amp;""),""))</f>
        <v/>
      </c>
      <c r="M702">
        <f>IF(M$2=0,"",IFERROR(TRIM(INDEX('Pegar docentes'!$A$1:$BZ$1001,701,M$2)&amp;""),""))</f>
        <v/>
      </c>
      <c r="N702">
        <f>IF(N$2=0,"",IFERROR(TRIM(INDEX('Pegar docentes'!$A$1:$BZ$1001,701,N$2)&amp;""),""))</f>
        <v/>
      </c>
      <c r="O702">
        <f>IF(O$2=0,"",IFERROR(TRIM(INDEX('Pegar docentes'!$A$1:$BZ$1001,701,O$2)&amp;""),""))</f>
        <v/>
      </c>
      <c r="P702">
        <f>IF(P$2=0,"",IFERROR(TRIM(INDEX('Pegar docentes'!$A$1:$BZ$1001,701,P$2)&amp;""),""))</f>
        <v/>
      </c>
      <c r="Q702" s="25">
        <f>IF(OR(D702&lt;&gt;"",H702&lt;&gt;""),1,"")</f>
        <v/>
      </c>
      <c r="R702" s="25">
        <f>IF(Q702=1,IF(ISNUMBER(FIND("#"&amp;MID(D702,1,1)&amp;"#","#0#1#2#3#4#5#6#7#8#9#")),IF(ISNUMBER(FIND("#"&amp;MID(D702,2,1)&amp;"#","#0#1#2#3#4#5#6#7#8#9#")),IF(AND(VALUE(LEFT(D702,2))&gt;=1,VALUE(LEFT(D702,2))&lt;=5),VALUE(LEFT(D702,2)),""),IF(AND(VALUE(LEFT(D702,1))&gt;=1,VALUE(LEFT(D702,1))&lt;=5),VALUE(LEFT(D702,1)),"")),""),"")</f>
        <v/>
      </c>
      <c r="S702" s="25">
        <f>IF(AND(Q702=1,E702&lt;&gt;""),SUBSTITUTE(SUBSTITUTE(SUBSTITUTE(SUBSTITUTE(SUBSTITUTE(SUBSTITUTE(SUBSTITUTE(SUBSTITUTE(SUBSTITUTE(SUBSTITUTE(SUBSTITUTE(SUBSTITUTE(LOWER(TRIM(E702)),"á","a"),"é","e"),"í","i"),"ó","o"),"ú","u"),"ü","u"),"ñ","n"),"à","a"),"è","e"),"ì","i"),"ò","o"),"ù","u"),"")</f>
        <v/>
      </c>
      <c r="T702" s="25">
        <f>IF(AND(Q702=1,G702&lt;&gt;""),SUBSTITUTE(SUBSTITUTE(SUBSTITUTE(SUBSTITUTE(SUBSTITUTE(SUBSTITUTE(SUBSTITUTE(SUBSTITUTE(SUBSTITUTE(SUBSTITUTE(SUBSTITUTE(SUBSTITUTE(LOWER(TRIM(G702)),"á","a"),"é","e"),"í","i"),"ó","o"),"ú","u"),"ü","u"),"ñ","n"),"à","a"),"è","e"),"ì","i"),"ò","o"),"ù","u"),"")</f>
        <v/>
      </c>
      <c r="U702" s="25">
        <f>IF(AND(Q702=1,H702&lt;&gt;""),SUBSTITUTE(SUBSTITUTE(SUBSTITUTE(SUBSTITUTE(SUBSTITUTE(SUBSTITUTE(SUBSTITUTE(SUBSTITUTE(SUBSTITUTE(SUBSTITUTE(SUBSTITUTE(SUBSTITUTE(LOWER(TRIM(H702)),"á","a"),"é","e"),"í","i"),"ó","o"),"ú","u"),"ü","u"),"ñ","n"),"à","a"),"è","e"),"ì","i"),"ò","o"),"ù","u"),"")</f>
        <v/>
      </c>
      <c r="V702" s="25">
        <f>IF(AND(Q702=1,L702&lt;&gt;""),SUBSTITUTE(SUBSTITUTE(SUBSTITUTE(SUBSTITUTE(SUBSTITUTE(SUBSTITUTE(SUBSTITUTE(SUBSTITUTE(SUBSTITUTE(SUBSTITUTE(SUBSTITUTE(SUBSTITUTE(LOWER(TRIM(L702)),"á","a"),"é","e"),"í","i"),"ó","o"),"ú","u"),"ü","u"),"ñ","n"),"à","a"),"è","e"),"ì","i"),"ò","o"),"ù","u"),"")</f>
        <v/>
      </c>
      <c r="W702" s="25">
        <f>IF(AND(Q702=1,I702&lt;&gt;""),SUBSTITUTE(SUBSTITUTE(SUBSTITUTE(SUBSTITUTE(SUBSTITUTE(SUBSTITUTE(SUBSTITUTE(SUBSTITUTE(SUBSTITUTE(SUBSTITUTE(SUBSTITUTE(SUBSTITUTE(LOWER(TRIM(I702)),"á","a"),"é","e"),"í","i"),"ó","o"),"ú","u"),"ü","u"),"ñ","n"),"à","a"),"è","e"),"ì","i"),"ò","o"),"ù","u"),"")</f>
        <v/>
      </c>
      <c r="X702" s="25">
        <f>IF(U702="","",IF(OR(U702="si, en la proxima tarea",U702="si, con cambios"),1,0))</f>
        <v/>
      </c>
      <c r="Y702" s="25">
        <f>IF(AND(Q702=1,A702&lt;&gt;""),IF(IFERROR(COUNTIFS(A$3:A702,"="&amp;SUBSTITUTE(SUBSTITUTE(SUBSTITUTE(A702,"~","~~"),"*","~*"),"?","~?"),Q$3:Q702,1),0)=1,MAX(Y$2:Y701)+1,""),"")</f>
        <v/>
      </c>
      <c r="Z702" s="25">
        <f>IF(Y702="","",COUNTIFS($A$3:$A$1002,"="&amp;SUBSTITUTE(SUBSTITUTE(SUBSTITUTE(A702,"~","~~"),"*","~*"),"?","~?"),$Q$3:$Q$1002,1)*10000-Y702)</f>
        <v/>
      </c>
    </row>
    <row r="703">
      <c r="A703">
        <f>IF(A$2=0,"",IFERROR(TRIM(INDEX('Pegar docentes'!$A$1:$BZ$1001,702,A$2)&amp;""),""))</f>
        <v/>
      </c>
      <c r="B703">
        <f>IF(B$2=0,"",IFERROR(TRIM(INDEX('Pegar docentes'!$A$1:$BZ$1001,702,B$2)&amp;""),""))</f>
        <v/>
      </c>
      <c r="C703">
        <f>IF(C$2=0,"",IFERROR(TRIM(INDEX('Pegar docentes'!$A$1:$BZ$1001,702,C$2)&amp;""),""))</f>
        <v/>
      </c>
      <c r="D703">
        <f>IF(D$2=0,"",IFERROR(TRIM(INDEX('Pegar docentes'!$A$1:$BZ$1001,702,D$2)&amp;""),""))</f>
        <v/>
      </c>
      <c r="E703">
        <f>IF(E$2=0,"",IFERROR(TRIM(INDEX('Pegar docentes'!$A$1:$BZ$1001,702,E$2)&amp;""),""))</f>
        <v/>
      </c>
      <c r="F703">
        <f>IF(F$2=0,"",IFERROR(TRIM(INDEX('Pegar docentes'!$A$1:$BZ$1001,702,F$2)&amp;""),""))</f>
        <v/>
      </c>
      <c r="G703">
        <f>IF(G$2=0,"",IFERROR(TRIM(INDEX('Pegar docentes'!$A$1:$BZ$1001,702,G$2)&amp;""),""))</f>
        <v/>
      </c>
      <c r="H703">
        <f>IF(H$2=0,"",IFERROR(TRIM(INDEX('Pegar docentes'!$A$1:$BZ$1001,702,H$2)&amp;""),""))</f>
        <v/>
      </c>
      <c r="I703">
        <f>IF(I$2=0,"",IFERROR(TRIM(INDEX('Pegar docentes'!$A$1:$BZ$1001,702,I$2)&amp;""),""))</f>
        <v/>
      </c>
      <c r="J703">
        <f>IF(J$2=0,"",IFERROR(TRIM(INDEX('Pegar docentes'!$A$1:$BZ$1001,702,J$2)&amp;""),""))</f>
        <v/>
      </c>
      <c r="K703">
        <f>IF(K$2=0,"",IFERROR(TRIM(INDEX('Pegar docentes'!$A$1:$BZ$1001,702,K$2)&amp;""),""))</f>
        <v/>
      </c>
      <c r="L703">
        <f>IF(L$2=0,"",IFERROR(TRIM(INDEX('Pegar docentes'!$A$1:$BZ$1001,702,L$2)&amp;""),""))</f>
        <v/>
      </c>
      <c r="M703">
        <f>IF(M$2=0,"",IFERROR(TRIM(INDEX('Pegar docentes'!$A$1:$BZ$1001,702,M$2)&amp;""),""))</f>
        <v/>
      </c>
      <c r="N703">
        <f>IF(N$2=0,"",IFERROR(TRIM(INDEX('Pegar docentes'!$A$1:$BZ$1001,702,N$2)&amp;""),""))</f>
        <v/>
      </c>
      <c r="O703">
        <f>IF(O$2=0,"",IFERROR(TRIM(INDEX('Pegar docentes'!$A$1:$BZ$1001,702,O$2)&amp;""),""))</f>
        <v/>
      </c>
      <c r="P703">
        <f>IF(P$2=0,"",IFERROR(TRIM(INDEX('Pegar docentes'!$A$1:$BZ$1001,702,P$2)&amp;""),""))</f>
        <v/>
      </c>
      <c r="Q703" s="25">
        <f>IF(OR(D703&lt;&gt;"",H703&lt;&gt;""),1,"")</f>
        <v/>
      </c>
      <c r="R703" s="25">
        <f>IF(Q703=1,IF(ISNUMBER(FIND("#"&amp;MID(D703,1,1)&amp;"#","#0#1#2#3#4#5#6#7#8#9#")),IF(ISNUMBER(FIND("#"&amp;MID(D703,2,1)&amp;"#","#0#1#2#3#4#5#6#7#8#9#")),IF(AND(VALUE(LEFT(D703,2))&gt;=1,VALUE(LEFT(D703,2))&lt;=5),VALUE(LEFT(D703,2)),""),IF(AND(VALUE(LEFT(D703,1))&gt;=1,VALUE(LEFT(D703,1))&lt;=5),VALUE(LEFT(D703,1)),"")),""),"")</f>
        <v/>
      </c>
      <c r="S703" s="25">
        <f>IF(AND(Q703=1,E703&lt;&gt;""),SUBSTITUTE(SUBSTITUTE(SUBSTITUTE(SUBSTITUTE(SUBSTITUTE(SUBSTITUTE(SUBSTITUTE(SUBSTITUTE(SUBSTITUTE(SUBSTITUTE(SUBSTITUTE(SUBSTITUTE(LOWER(TRIM(E703)),"á","a"),"é","e"),"í","i"),"ó","o"),"ú","u"),"ü","u"),"ñ","n"),"à","a"),"è","e"),"ì","i"),"ò","o"),"ù","u"),"")</f>
        <v/>
      </c>
      <c r="T703" s="25">
        <f>IF(AND(Q703=1,G703&lt;&gt;""),SUBSTITUTE(SUBSTITUTE(SUBSTITUTE(SUBSTITUTE(SUBSTITUTE(SUBSTITUTE(SUBSTITUTE(SUBSTITUTE(SUBSTITUTE(SUBSTITUTE(SUBSTITUTE(SUBSTITUTE(LOWER(TRIM(G703)),"á","a"),"é","e"),"í","i"),"ó","o"),"ú","u"),"ü","u"),"ñ","n"),"à","a"),"è","e"),"ì","i"),"ò","o"),"ù","u"),"")</f>
        <v/>
      </c>
      <c r="U703" s="25">
        <f>IF(AND(Q703=1,H703&lt;&gt;""),SUBSTITUTE(SUBSTITUTE(SUBSTITUTE(SUBSTITUTE(SUBSTITUTE(SUBSTITUTE(SUBSTITUTE(SUBSTITUTE(SUBSTITUTE(SUBSTITUTE(SUBSTITUTE(SUBSTITUTE(LOWER(TRIM(H703)),"á","a"),"é","e"),"í","i"),"ó","o"),"ú","u"),"ü","u"),"ñ","n"),"à","a"),"è","e"),"ì","i"),"ò","o"),"ù","u"),"")</f>
        <v/>
      </c>
      <c r="V703" s="25">
        <f>IF(AND(Q703=1,L703&lt;&gt;""),SUBSTITUTE(SUBSTITUTE(SUBSTITUTE(SUBSTITUTE(SUBSTITUTE(SUBSTITUTE(SUBSTITUTE(SUBSTITUTE(SUBSTITUTE(SUBSTITUTE(SUBSTITUTE(SUBSTITUTE(LOWER(TRIM(L703)),"á","a"),"é","e"),"í","i"),"ó","o"),"ú","u"),"ü","u"),"ñ","n"),"à","a"),"è","e"),"ì","i"),"ò","o"),"ù","u"),"")</f>
        <v/>
      </c>
      <c r="W703" s="25">
        <f>IF(AND(Q703=1,I703&lt;&gt;""),SUBSTITUTE(SUBSTITUTE(SUBSTITUTE(SUBSTITUTE(SUBSTITUTE(SUBSTITUTE(SUBSTITUTE(SUBSTITUTE(SUBSTITUTE(SUBSTITUTE(SUBSTITUTE(SUBSTITUTE(LOWER(TRIM(I703)),"á","a"),"é","e"),"í","i"),"ó","o"),"ú","u"),"ü","u"),"ñ","n"),"à","a"),"è","e"),"ì","i"),"ò","o"),"ù","u"),"")</f>
        <v/>
      </c>
      <c r="X703" s="25">
        <f>IF(U703="","",IF(OR(U703="si, en la proxima tarea",U703="si, con cambios"),1,0))</f>
        <v/>
      </c>
      <c r="Y703" s="25">
        <f>IF(AND(Q703=1,A703&lt;&gt;""),IF(IFERROR(COUNTIFS(A$3:A703,"="&amp;SUBSTITUTE(SUBSTITUTE(SUBSTITUTE(A703,"~","~~"),"*","~*"),"?","~?"),Q$3:Q703,1),0)=1,MAX(Y$2:Y702)+1,""),"")</f>
        <v/>
      </c>
      <c r="Z703" s="25">
        <f>IF(Y703="","",COUNTIFS($A$3:$A$1002,"="&amp;SUBSTITUTE(SUBSTITUTE(SUBSTITUTE(A703,"~","~~"),"*","~*"),"?","~?"),$Q$3:$Q$1002,1)*10000-Y703)</f>
        <v/>
      </c>
    </row>
    <row r="704">
      <c r="A704">
        <f>IF(A$2=0,"",IFERROR(TRIM(INDEX('Pegar docentes'!$A$1:$BZ$1001,703,A$2)&amp;""),""))</f>
        <v/>
      </c>
      <c r="B704">
        <f>IF(B$2=0,"",IFERROR(TRIM(INDEX('Pegar docentes'!$A$1:$BZ$1001,703,B$2)&amp;""),""))</f>
        <v/>
      </c>
      <c r="C704">
        <f>IF(C$2=0,"",IFERROR(TRIM(INDEX('Pegar docentes'!$A$1:$BZ$1001,703,C$2)&amp;""),""))</f>
        <v/>
      </c>
      <c r="D704">
        <f>IF(D$2=0,"",IFERROR(TRIM(INDEX('Pegar docentes'!$A$1:$BZ$1001,703,D$2)&amp;""),""))</f>
        <v/>
      </c>
      <c r="E704">
        <f>IF(E$2=0,"",IFERROR(TRIM(INDEX('Pegar docentes'!$A$1:$BZ$1001,703,E$2)&amp;""),""))</f>
        <v/>
      </c>
      <c r="F704">
        <f>IF(F$2=0,"",IFERROR(TRIM(INDEX('Pegar docentes'!$A$1:$BZ$1001,703,F$2)&amp;""),""))</f>
        <v/>
      </c>
      <c r="G704">
        <f>IF(G$2=0,"",IFERROR(TRIM(INDEX('Pegar docentes'!$A$1:$BZ$1001,703,G$2)&amp;""),""))</f>
        <v/>
      </c>
      <c r="H704">
        <f>IF(H$2=0,"",IFERROR(TRIM(INDEX('Pegar docentes'!$A$1:$BZ$1001,703,H$2)&amp;""),""))</f>
        <v/>
      </c>
      <c r="I704">
        <f>IF(I$2=0,"",IFERROR(TRIM(INDEX('Pegar docentes'!$A$1:$BZ$1001,703,I$2)&amp;""),""))</f>
        <v/>
      </c>
      <c r="J704">
        <f>IF(J$2=0,"",IFERROR(TRIM(INDEX('Pegar docentes'!$A$1:$BZ$1001,703,J$2)&amp;""),""))</f>
        <v/>
      </c>
      <c r="K704">
        <f>IF(K$2=0,"",IFERROR(TRIM(INDEX('Pegar docentes'!$A$1:$BZ$1001,703,K$2)&amp;""),""))</f>
        <v/>
      </c>
      <c r="L704">
        <f>IF(L$2=0,"",IFERROR(TRIM(INDEX('Pegar docentes'!$A$1:$BZ$1001,703,L$2)&amp;""),""))</f>
        <v/>
      </c>
      <c r="M704">
        <f>IF(M$2=0,"",IFERROR(TRIM(INDEX('Pegar docentes'!$A$1:$BZ$1001,703,M$2)&amp;""),""))</f>
        <v/>
      </c>
      <c r="N704">
        <f>IF(N$2=0,"",IFERROR(TRIM(INDEX('Pegar docentes'!$A$1:$BZ$1001,703,N$2)&amp;""),""))</f>
        <v/>
      </c>
      <c r="O704">
        <f>IF(O$2=0,"",IFERROR(TRIM(INDEX('Pegar docentes'!$A$1:$BZ$1001,703,O$2)&amp;""),""))</f>
        <v/>
      </c>
      <c r="P704">
        <f>IF(P$2=0,"",IFERROR(TRIM(INDEX('Pegar docentes'!$A$1:$BZ$1001,703,P$2)&amp;""),""))</f>
        <v/>
      </c>
      <c r="Q704" s="25">
        <f>IF(OR(D704&lt;&gt;"",H704&lt;&gt;""),1,"")</f>
        <v/>
      </c>
      <c r="R704" s="25">
        <f>IF(Q704=1,IF(ISNUMBER(FIND("#"&amp;MID(D704,1,1)&amp;"#","#0#1#2#3#4#5#6#7#8#9#")),IF(ISNUMBER(FIND("#"&amp;MID(D704,2,1)&amp;"#","#0#1#2#3#4#5#6#7#8#9#")),IF(AND(VALUE(LEFT(D704,2))&gt;=1,VALUE(LEFT(D704,2))&lt;=5),VALUE(LEFT(D704,2)),""),IF(AND(VALUE(LEFT(D704,1))&gt;=1,VALUE(LEFT(D704,1))&lt;=5),VALUE(LEFT(D704,1)),"")),""),"")</f>
        <v/>
      </c>
      <c r="S704" s="25">
        <f>IF(AND(Q704=1,E704&lt;&gt;""),SUBSTITUTE(SUBSTITUTE(SUBSTITUTE(SUBSTITUTE(SUBSTITUTE(SUBSTITUTE(SUBSTITUTE(SUBSTITUTE(SUBSTITUTE(SUBSTITUTE(SUBSTITUTE(SUBSTITUTE(LOWER(TRIM(E704)),"á","a"),"é","e"),"í","i"),"ó","o"),"ú","u"),"ü","u"),"ñ","n"),"à","a"),"è","e"),"ì","i"),"ò","o"),"ù","u"),"")</f>
        <v/>
      </c>
      <c r="T704" s="25">
        <f>IF(AND(Q704=1,G704&lt;&gt;""),SUBSTITUTE(SUBSTITUTE(SUBSTITUTE(SUBSTITUTE(SUBSTITUTE(SUBSTITUTE(SUBSTITUTE(SUBSTITUTE(SUBSTITUTE(SUBSTITUTE(SUBSTITUTE(SUBSTITUTE(LOWER(TRIM(G704)),"á","a"),"é","e"),"í","i"),"ó","o"),"ú","u"),"ü","u"),"ñ","n"),"à","a"),"è","e"),"ì","i"),"ò","o"),"ù","u"),"")</f>
        <v/>
      </c>
      <c r="U704" s="25">
        <f>IF(AND(Q704=1,H704&lt;&gt;""),SUBSTITUTE(SUBSTITUTE(SUBSTITUTE(SUBSTITUTE(SUBSTITUTE(SUBSTITUTE(SUBSTITUTE(SUBSTITUTE(SUBSTITUTE(SUBSTITUTE(SUBSTITUTE(SUBSTITUTE(LOWER(TRIM(H704)),"á","a"),"é","e"),"í","i"),"ó","o"),"ú","u"),"ü","u"),"ñ","n"),"à","a"),"è","e"),"ì","i"),"ò","o"),"ù","u"),"")</f>
        <v/>
      </c>
      <c r="V704" s="25">
        <f>IF(AND(Q704=1,L704&lt;&gt;""),SUBSTITUTE(SUBSTITUTE(SUBSTITUTE(SUBSTITUTE(SUBSTITUTE(SUBSTITUTE(SUBSTITUTE(SUBSTITUTE(SUBSTITUTE(SUBSTITUTE(SUBSTITUTE(SUBSTITUTE(LOWER(TRIM(L704)),"á","a"),"é","e"),"í","i"),"ó","o"),"ú","u"),"ü","u"),"ñ","n"),"à","a"),"è","e"),"ì","i"),"ò","o"),"ù","u"),"")</f>
        <v/>
      </c>
      <c r="W704" s="25">
        <f>IF(AND(Q704=1,I704&lt;&gt;""),SUBSTITUTE(SUBSTITUTE(SUBSTITUTE(SUBSTITUTE(SUBSTITUTE(SUBSTITUTE(SUBSTITUTE(SUBSTITUTE(SUBSTITUTE(SUBSTITUTE(SUBSTITUTE(SUBSTITUTE(LOWER(TRIM(I704)),"á","a"),"é","e"),"í","i"),"ó","o"),"ú","u"),"ü","u"),"ñ","n"),"à","a"),"è","e"),"ì","i"),"ò","o"),"ù","u"),"")</f>
        <v/>
      </c>
      <c r="X704" s="25">
        <f>IF(U704="","",IF(OR(U704="si, en la proxima tarea",U704="si, con cambios"),1,0))</f>
        <v/>
      </c>
      <c r="Y704" s="25">
        <f>IF(AND(Q704=1,A704&lt;&gt;""),IF(IFERROR(COUNTIFS(A$3:A704,"="&amp;SUBSTITUTE(SUBSTITUTE(SUBSTITUTE(A704,"~","~~"),"*","~*"),"?","~?"),Q$3:Q704,1),0)=1,MAX(Y$2:Y703)+1,""),"")</f>
        <v/>
      </c>
      <c r="Z704" s="25">
        <f>IF(Y704="","",COUNTIFS($A$3:$A$1002,"="&amp;SUBSTITUTE(SUBSTITUTE(SUBSTITUTE(A704,"~","~~"),"*","~*"),"?","~?"),$Q$3:$Q$1002,1)*10000-Y704)</f>
        <v/>
      </c>
    </row>
    <row r="705">
      <c r="A705">
        <f>IF(A$2=0,"",IFERROR(TRIM(INDEX('Pegar docentes'!$A$1:$BZ$1001,704,A$2)&amp;""),""))</f>
        <v/>
      </c>
      <c r="B705">
        <f>IF(B$2=0,"",IFERROR(TRIM(INDEX('Pegar docentes'!$A$1:$BZ$1001,704,B$2)&amp;""),""))</f>
        <v/>
      </c>
      <c r="C705">
        <f>IF(C$2=0,"",IFERROR(TRIM(INDEX('Pegar docentes'!$A$1:$BZ$1001,704,C$2)&amp;""),""))</f>
        <v/>
      </c>
      <c r="D705">
        <f>IF(D$2=0,"",IFERROR(TRIM(INDEX('Pegar docentes'!$A$1:$BZ$1001,704,D$2)&amp;""),""))</f>
        <v/>
      </c>
      <c r="E705">
        <f>IF(E$2=0,"",IFERROR(TRIM(INDEX('Pegar docentes'!$A$1:$BZ$1001,704,E$2)&amp;""),""))</f>
        <v/>
      </c>
      <c r="F705">
        <f>IF(F$2=0,"",IFERROR(TRIM(INDEX('Pegar docentes'!$A$1:$BZ$1001,704,F$2)&amp;""),""))</f>
        <v/>
      </c>
      <c r="G705">
        <f>IF(G$2=0,"",IFERROR(TRIM(INDEX('Pegar docentes'!$A$1:$BZ$1001,704,G$2)&amp;""),""))</f>
        <v/>
      </c>
      <c r="H705">
        <f>IF(H$2=0,"",IFERROR(TRIM(INDEX('Pegar docentes'!$A$1:$BZ$1001,704,H$2)&amp;""),""))</f>
        <v/>
      </c>
      <c r="I705">
        <f>IF(I$2=0,"",IFERROR(TRIM(INDEX('Pegar docentes'!$A$1:$BZ$1001,704,I$2)&amp;""),""))</f>
        <v/>
      </c>
      <c r="J705">
        <f>IF(J$2=0,"",IFERROR(TRIM(INDEX('Pegar docentes'!$A$1:$BZ$1001,704,J$2)&amp;""),""))</f>
        <v/>
      </c>
      <c r="K705">
        <f>IF(K$2=0,"",IFERROR(TRIM(INDEX('Pegar docentes'!$A$1:$BZ$1001,704,K$2)&amp;""),""))</f>
        <v/>
      </c>
      <c r="L705">
        <f>IF(L$2=0,"",IFERROR(TRIM(INDEX('Pegar docentes'!$A$1:$BZ$1001,704,L$2)&amp;""),""))</f>
        <v/>
      </c>
      <c r="M705">
        <f>IF(M$2=0,"",IFERROR(TRIM(INDEX('Pegar docentes'!$A$1:$BZ$1001,704,M$2)&amp;""),""))</f>
        <v/>
      </c>
      <c r="N705">
        <f>IF(N$2=0,"",IFERROR(TRIM(INDEX('Pegar docentes'!$A$1:$BZ$1001,704,N$2)&amp;""),""))</f>
        <v/>
      </c>
      <c r="O705">
        <f>IF(O$2=0,"",IFERROR(TRIM(INDEX('Pegar docentes'!$A$1:$BZ$1001,704,O$2)&amp;""),""))</f>
        <v/>
      </c>
      <c r="P705">
        <f>IF(P$2=0,"",IFERROR(TRIM(INDEX('Pegar docentes'!$A$1:$BZ$1001,704,P$2)&amp;""),""))</f>
        <v/>
      </c>
      <c r="Q705" s="25">
        <f>IF(OR(D705&lt;&gt;"",H705&lt;&gt;""),1,"")</f>
        <v/>
      </c>
      <c r="R705" s="25">
        <f>IF(Q705=1,IF(ISNUMBER(FIND("#"&amp;MID(D705,1,1)&amp;"#","#0#1#2#3#4#5#6#7#8#9#")),IF(ISNUMBER(FIND("#"&amp;MID(D705,2,1)&amp;"#","#0#1#2#3#4#5#6#7#8#9#")),IF(AND(VALUE(LEFT(D705,2))&gt;=1,VALUE(LEFT(D705,2))&lt;=5),VALUE(LEFT(D705,2)),""),IF(AND(VALUE(LEFT(D705,1))&gt;=1,VALUE(LEFT(D705,1))&lt;=5),VALUE(LEFT(D705,1)),"")),""),"")</f>
        <v/>
      </c>
      <c r="S705" s="25">
        <f>IF(AND(Q705=1,E705&lt;&gt;""),SUBSTITUTE(SUBSTITUTE(SUBSTITUTE(SUBSTITUTE(SUBSTITUTE(SUBSTITUTE(SUBSTITUTE(SUBSTITUTE(SUBSTITUTE(SUBSTITUTE(SUBSTITUTE(SUBSTITUTE(LOWER(TRIM(E705)),"á","a"),"é","e"),"í","i"),"ó","o"),"ú","u"),"ü","u"),"ñ","n"),"à","a"),"è","e"),"ì","i"),"ò","o"),"ù","u"),"")</f>
        <v/>
      </c>
      <c r="T705" s="25">
        <f>IF(AND(Q705=1,G705&lt;&gt;""),SUBSTITUTE(SUBSTITUTE(SUBSTITUTE(SUBSTITUTE(SUBSTITUTE(SUBSTITUTE(SUBSTITUTE(SUBSTITUTE(SUBSTITUTE(SUBSTITUTE(SUBSTITUTE(SUBSTITUTE(LOWER(TRIM(G705)),"á","a"),"é","e"),"í","i"),"ó","o"),"ú","u"),"ü","u"),"ñ","n"),"à","a"),"è","e"),"ì","i"),"ò","o"),"ù","u"),"")</f>
        <v/>
      </c>
      <c r="U705" s="25">
        <f>IF(AND(Q705=1,H705&lt;&gt;""),SUBSTITUTE(SUBSTITUTE(SUBSTITUTE(SUBSTITUTE(SUBSTITUTE(SUBSTITUTE(SUBSTITUTE(SUBSTITUTE(SUBSTITUTE(SUBSTITUTE(SUBSTITUTE(SUBSTITUTE(LOWER(TRIM(H705)),"á","a"),"é","e"),"í","i"),"ó","o"),"ú","u"),"ü","u"),"ñ","n"),"à","a"),"è","e"),"ì","i"),"ò","o"),"ù","u"),"")</f>
        <v/>
      </c>
      <c r="V705" s="25">
        <f>IF(AND(Q705=1,L705&lt;&gt;""),SUBSTITUTE(SUBSTITUTE(SUBSTITUTE(SUBSTITUTE(SUBSTITUTE(SUBSTITUTE(SUBSTITUTE(SUBSTITUTE(SUBSTITUTE(SUBSTITUTE(SUBSTITUTE(SUBSTITUTE(LOWER(TRIM(L705)),"á","a"),"é","e"),"í","i"),"ó","o"),"ú","u"),"ü","u"),"ñ","n"),"à","a"),"è","e"),"ì","i"),"ò","o"),"ù","u"),"")</f>
        <v/>
      </c>
      <c r="W705" s="25">
        <f>IF(AND(Q705=1,I705&lt;&gt;""),SUBSTITUTE(SUBSTITUTE(SUBSTITUTE(SUBSTITUTE(SUBSTITUTE(SUBSTITUTE(SUBSTITUTE(SUBSTITUTE(SUBSTITUTE(SUBSTITUTE(SUBSTITUTE(SUBSTITUTE(LOWER(TRIM(I705)),"á","a"),"é","e"),"í","i"),"ó","o"),"ú","u"),"ü","u"),"ñ","n"),"à","a"),"è","e"),"ì","i"),"ò","o"),"ù","u"),"")</f>
        <v/>
      </c>
      <c r="X705" s="25">
        <f>IF(U705="","",IF(OR(U705="si, en la proxima tarea",U705="si, con cambios"),1,0))</f>
        <v/>
      </c>
      <c r="Y705" s="25">
        <f>IF(AND(Q705=1,A705&lt;&gt;""),IF(IFERROR(COUNTIFS(A$3:A705,"="&amp;SUBSTITUTE(SUBSTITUTE(SUBSTITUTE(A705,"~","~~"),"*","~*"),"?","~?"),Q$3:Q705,1),0)=1,MAX(Y$2:Y704)+1,""),"")</f>
        <v/>
      </c>
      <c r="Z705" s="25">
        <f>IF(Y705="","",COUNTIFS($A$3:$A$1002,"="&amp;SUBSTITUTE(SUBSTITUTE(SUBSTITUTE(A705,"~","~~"),"*","~*"),"?","~?"),$Q$3:$Q$1002,1)*10000-Y705)</f>
        <v/>
      </c>
    </row>
    <row r="706">
      <c r="A706">
        <f>IF(A$2=0,"",IFERROR(TRIM(INDEX('Pegar docentes'!$A$1:$BZ$1001,705,A$2)&amp;""),""))</f>
        <v/>
      </c>
      <c r="B706">
        <f>IF(B$2=0,"",IFERROR(TRIM(INDEX('Pegar docentes'!$A$1:$BZ$1001,705,B$2)&amp;""),""))</f>
        <v/>
      </c>
      <c r="C706">
        <f>IF(C$2=0,"",IFERROR(TRIM(INDEX('Pegar docentes'!$A$1:$BZ$1001,705,C$2)&amp;""),""))</f>
        <v/>
      </c>
      <c r="D706">
        <f>IF(D$2=0,"",IFERROR(TRIM(INDEX('Pegar docentes'!$A$1:$BZ$1001,705,D$2)&amp;""),""))</f>
        <v/>
      </c>
      <c r="E706">
        <f>IF(E$2=0,"",IFERROR(TRIM(INDEX('Pegar docentes'!$A$1:$BZ$1001,705,E$2)&amp;""),""))</f>
        <v/>
      </c>
      <c r="F706">
        <f>IF(F$2=0,"",IFERROR(TRIM(INDEX('Pegar docentes'!$A$1:$BZ$1001,705,F$2)&amp;""),""))</f>
        <v/>
      </c>
      <c r="G706">
        <f>IF(G$2=0,"",IFERROR(TRIM(INDEX('Pegar docentes'!$A$1:$BZ$1001,705,G$2)&amp;""),""))</f>
        <v/>
      </c>
      <c r="H706">
        <f>IF(H$2=0,"",IFERROR(TRIM(INDEX('Pegar docentes'!$A$1:$BZ$1001,705,H$2)&amp;""),""))</f>
        <v/>
      </c>
      <c r="I706">
        <f>IF(I$2=0,"",IFERROR(TRIM(INDEX('Pegar docentes'!$A$1:$BZ$1001,705,I$2)&amp;""),""))</f>
        <v/>
      </c>
      <c r="J706">
        <f>IF(J$2=0,"",IFERROR(TRIM(INDEX('Pegar docentes'!$A$1:$BZ$1001,705,J$2)&amp;""),""))</f>
        <v/>
      </c>
      <c r="K706">
        <f>IF(K$2=0,"",IFERROR(TRIM(INDEX('Pegar docentes'!$A$1:$BZ$1001,705,K$2)&amp;""),""))</f>
        <v/>
      </c>
      <c r="L706">
        <f>IF(L$2=0,"",IFERROR(TRIM(INDEX('Pegar docentes'!$A$1:$BZ$1001,705,L$2)&amp;""),""))</f>
        <v/>
      </c>
      <c r="M706">
        <f>IF(M$2=0,"",IFERROR(TRIM(INDEX('Pegar docentes'!$A$1:$BZ$1001,705,M$2)&amp;""),""))</f>
        <v/>
      </c>
      <c r="N706">
        <f>IF(N$2=0,"",IFERROR(TRIM(INDEX('Pegar docentes'!$A$1:$BZ$1001,705,N$2)&amp;""),""))</f>
        <v/>
      </c>
      <c r="O706">
        <f>IF(O$2=0,"",IFERROR(TRIM(INDEX('Pegar docentes'!$A$1:$BZ$1001,705,O$2)&amp;""),""))</f>
        <v/>
      </c>
      <c r="P706">
        <f>IF(P$2=0,"",IFERROR(TRIM(INDEX('Pegar docentes'!$A$1:$BZ$1001,705,P$2)&amp;""),""))</f>
        <v/>
      </c>
      <c r="Q706" s="25">
        <f>IF(OR(D706&lt;&gt;"",H706&lt;&gt;""),1,"")</f>
        <v/>
      </c>
      <c r="R706" s="25">
        <f>IF(Q706=1,IF(ISNUMBER(FIND("#"&amp;MID(D706,1,1)&amp;"#","#0#1#2#3#4#5#6#7#8#9#")),IF(ISNUMBER(FIND("#"&amp;MID(D706,2,1)&amp;"#","#0#1#2#3#4#5#6#7#8#9#")),IF(AND(VALUE(LEFT(D706,2))&gt;=1,VALUE(LEFT(D706,2))&lt;=5),VALUE(LEFT(D706,2)),""),IF(AND(VALUE(LEFT(D706,1))&gt;=1,VALUE(LEFT(D706,1))&lt;=5),VALUE(LEFT(D706,1)),"")),""),"")</f>
        <v/>
      </c>
      <c r="S706" s="25">
        <f>IF(AND(Q706=1,E706&lt;&gt;""),SUBSTITUTE(SUBSTITUTE(SUBSTITUTE(SUBSTITUTE(SUBSTITUTE(SUBSTITUTE(SUBSTITUTE(SUBSTITUTE(SUBSTITUTE(SUBSTITUTE(SUBSTITUTE(SUBSTITUTE(LOWER(TRIM(E706)),"á","a"),"é","e"),"í","i"),"ó","o"),"ú","u"),"ü","u"),"ñ","n"),"à","a"),"è","e"),"ì","i"),"ò","o"),"ù","u"),"")</f>
        <v/>
      </c>
      <c r="T706" s="25">
        <f>IF(AND(Q706=1,G706&lt;&gt;""),SUBSTITUTE(SUBSTITUTE(SUBSTITUTE(SUBSTITUTE(SUBSTITUTE(SUBSTITUTE(SUBSTITUTE(SUBSTITUTE(SUBSTITUTE(SUBSTITUTE(SUBSTITUTE(SUBSTITUTE(LOWER(TRIM(G706)),"á","a"),"é","e"),"í","i"),"ó","o"),"ú","u"),"ü","u"),"ñ","n"),"à","a"),"è","e"),"ì","i"),"ò","o"),"ù","u"),"")</f>
        <v/>
      </c>
      <c r="U706" s="25">
        <f>IF(AND(Q706=1,H706&lt;&gt;""),SUBSTITUTE(SUBSTITUTE(SUBSTITUTE(SUBSTITUTE(SUBSTITUTE(SUBSTITUTE(SUBSTITUTE(SUBSTITUTE(SUBSTITUTE(SUBSTITUTE(SUBSTITUTE(SUBSTITUTE(LOWER(TRIM(H706)),"á","a"),"é","e"),"í","i"),"ó","o"),"ú","u"),"ü","u"),"ñ","n"),"à","a"),"è","e"),"ì","i"),"ò","o"),"ù","u"),"")</f>
        <v/>
      </c>
      <c r="V706" s="25">
        <f>IF(AND(Q706=1,L706&lt;&gt;""),SUBSTITUTE(SUBSTITUTE(SUBSTITUTE(SUBSTITUTE(SUBSTITUTE(SUBSTITUTE(SUBSTITUTE(SUBSTITUTE(SUBSTITUTE(SUBSTITUTE(SUBSTITUTE(SUBSTITUTE(LOWER(TRIM(L706)),"á","a"),"é","e"),"í","i"),"ó","o"),"ú","u"),"ü","u"),"ñ","n"),"à","a"),"è","e"),"ì","i"),"ò","o"),"ù","u"),"")</f>
        <v/>
      </c>
      <c r="W706" s="25">
        <f>IF(AND(Q706=1,I706&lt;&gt;""),SUBSTITUTE(SUBSTITUTE(SUBSTITUTE(SUBSTITUTE(SUBSTITUTE(SUBSTITUTE(SUBSTITUTE(SUBSTITUTE(SUBSTITUTE(SUBSTITUTE(SUBSTITUTE(SUBSTITUTE(LOWER(TRIM(I706)),"á","a"),"é","e"),"í","i"),"ó","o"),"ú","u"),"ü","u"),"ñ","n"),"à","a"),"è","e"),"ì","i"),"ò","o"),"ù","u"),"")</f>
        <v/>
      </c>
      <c r="X706" s="25">
        <f>IF(U706="","",IF(OR(U706="si, en la proxima tarea",U706="si, con cambios"),1,0))</f>
        <v/>
      </c>
      <c r="Y706" s="25">
        <f>IF(AND(Q706=1,A706&lt;&gt;""),IF(IFERROR(COUNTIFS(A$3:A706,"="&amp;SUBSTITUTE(SUBSTITUTE(SUBSTITUTE(A706,"~","~~"),"*","~*"),"?","~?"),Q$3:Q706,1),0)=1,MAX(Y$2:Y705)+1,""),"")</f>
        <v/>
      </c>
      <c r="Z706" s="25">
        <f>IF(Y706="","",COUNTIFS($A$3:$A$1002,"="&amp;SUBSTITUTE(SUBSTITUTE(SUBSTITUTE(A706,"~","~~"),"*","~*"),"?","~?"),$Q$3:$Q$1002,1)*10000-Y706)</f>
        <v/>
      </c>
    </row>
    <row r="707">
      <c r="A707">
        <f>IF(A$2=0,"",IFERROR(TRIM(INDEX('Pegar docentes'!$A$1:$BZ$1001,706,A$2)&amp;""),""))</f>
        <v/>
      </c>
      <c r="B707">
        <f>IF(B$2=0,"",IFERROR(TRIM(INDEX('Pegar docentes'!$A$1:$BZ$1001,706,B$2)&amp;""),""))</f>
        <v/>
      </c>
      <c r="C707">
        <f>IF(C$2=0,"",IFERROR(TRIM(INDEX('Pegar docentes'!$A$1:$BZ$1001,706,C$2)&amp;""),""))</f>
        <v/>
      </c>
      <c r="D707">
        <f>IF(D$2=0,"",IFERROR(TRIM(INDEX('Pegar docentes'!$A$1:$BZ$1001,706,D$2)&amp;""),""))</f>
        <v/>
      </c>
      <c r="E707">
        <f>IF(E$2=0,"",IFERROR(TRIM(INDEX('Pegar docentes'!$A$1:$BZ$1001,706,E$2)&amp;""),""))</f>
        <v/>
      </c>
      <c r="F707">
        <f>IF(F$2=0,"",IFERROR(TRIM(INDEX('Pegar docentes'!$A$1:$BZ$1001,706,F$2)&amp;""),""))</f>
        <v/>
      </c>
      <c r="G707">
        <f>IF(G$2=0,"",IFERROR(TRIM(INDEX('Pegar docentes'!$A$1:$BZ$1001,706,G$2)&amp;""),""))</f>
        <v/>
      </c>
      <c r="H707">
        <f>IF(H$2=0,"",IFERROR(TRIM(INDEX('Pegar docentes'!$A$1:$BZ$1001,706,H$2)&amp;""),""))</f>
        <v/>
      </c>
      <c r="I707">
        <f>IF(I$2=0,"",IFERROR(TRIM(INDEX('Pegar docentes'!$A$1:$BZ$1001,706,I$2)&amp;""),""))</f>
        <v/>
      </c>
      <c r="J707">
        <f>IF(J$2=0,"",IFERROR(TRIM(INDEX('Pegar docentes'!$A$1:$BZ$1001,706,J$2)&amp;""),""))</f>
        <v/>
      </c>
      <c r="K707">
        <f>IF(K$2=0,"",IFERROR(TRIM(INDEX('Pegar docentes'!$A$1:$BZ$1001,706,K$2)&amp;""),""))</f>
        <v/>
      </c>
      <c r="L707">
        <f>IF(L$2=0,"",IFERROR(TRIM(INDEX('Pegar docentes'!$A$1:$BZ$1001,706,L$2)&amp;""),""))</f>
        <v/>
      </c>
      <c r="M707">
        <f>IF(M$2=0,"",IFERROR(TRIM(INDEX('Pegar docentes'!$A$1:$BZ$1001,706,M$2)&amp;""),""))</f>
        <v/>
      </c>
      <c r="N707">
        <f>IF(N$2=0,"",IFERROR(TRIM(INDEX('Pegar docentes'!$A$1:$BZ$1001,706,N$2)&amp;""),""))</f>
        <v/>
      </c>
      <c r="O707">
        <f>IF(O$2=0,"",IFERROR(TRIM(INDEX('Pegar docentes'!$A$1:$BZ$1001,706,O$2)&amp;""),""))</f>
        <v/>
      </c>
      <c r="P707">
        <f>IF(P$2=0,"",IFERROR(TRIM(INDEX('Pegar docentes'!$A$1:$BZ$1001,706,P$2)&amp;""),""))</f>
        <v/>
      </c>
      <c r="Q707" s="25">
        <f>IF(OR(D707&lt;&gt;"",H707&lt;&gt;""),1,"")</f>
        <v/>
      </c>
      <c r="R707" s="25">
        <f>IF(Q707=1,IF(ISNUMBER(FIND("#"&amp;MID(D707,1,1)&amp;"#","#0#1#2#3#4#5#6#7#8#9#")),IF(ISNUMBER(FIND("#"&amp;MID(D707,2,1)&amp;"#","#0#1#2#3#4#5#6#7#8#9#")),IF(AND(VALUE(LEFT(D707,2))&gt;=1,VALUE(LEFT(D707,2))&lt;=5),VALUE(LEFT(D707,2)),""),IF(AND(VALUE(LEFT(D707,1))&gt;=1,VALUE(LEFT(D707,1))&lt;=5),VALUE(LEFT(D707,1)),"")),""),"")</f>
        <v/>
      </c>
      <c r="S707" s="25">
        <f>IF(AND(Q707=1,E707&lt;&gt;""),SUBSTITUTE(SUBSTITUTE(SUBSTITUTE(SUBSTITUTE(SUBSTITUTE(SUBSTITUTE(SUBSTITUTE(SUBSTITUTE(SUBSTITUTE(SUBSTITUTE(SUBSTITUTE(SUBSTITUTE(LOWER(TRIM(E707)),"á","a"),"é","e"),"í","i"),"ó","o"),"ú","u"),"ü","u"),"ñ","n"),"à","a"),"è","e"),"ì","i"),"ò","o"),"ù","u"),"")</f>
        <v/>
      </c>
      <c r="T707" s="25">
        <f>IF(AND(Q707=1,G707&lt;&gt;""),SUBSTITUTE(SUBSTITUTE(SUBSTITUTE(SUBSTITUTE(SUBSTITUTE(SUBSTITUTE(SUBSTITUTE(SUBSTITUTE(SUBSTITUTE(SUBSTITUTE(SUBSTITUTE(SUBSTITUTE(LOWER(TRIM(G707)),"á","a"),"é","e"),"í","i"),"ó","o"),"ú","u"),"ü","u"),"ñ","n"),"à","a"),"è","e"),"ì","i"),"ò","o"),"ù","u"),"")</f>
        <v/>
      </c>
      <c r="U707" s="25">
        <f>IF(AND(Q707=1,H707&lt;&gt;""),SUBSTITUTE(SUBSTITUTE(SUBSTITUTE(SUBSTITUTE(SUBSTITUTE(SUBSTITUTE(SUBSTITUTE(SUBSTITUTE(SUBSTITUTE(SUBSTITUTE(SUBSTITUTE(SUBSTITUTE(LOWER(TRIM(H707)),"á","a"),"é","e"),"í","i"),"ó","o"),"ú","u"),"ü","u"),"ñ","n"),"à","a"),"è","e"),"ì","i"),"ò","o"),"ù","u"),"")</f>
        <v/>
      </c>
      <c r="V707" s="25">
        <f>IF(AND(Q707=1,L707&lt;&gt;""),SUBSTITUTE(SUBSTITUTE(SUBSTITUTE(SUBSTITUTE(SUBSTITUTE(SUBSTITUTE(SUBSTITUTE(SUBSTITUTE(SUBSTITUTE(SUBSTITUTE(SUBSTITUTE(SUBSTITUTE(LOWER(TRIM(L707)),"á","a"),"é","e"),"í","i"),"ó","o"),"ú","u"),"ü","u"),"ñ","n"),"à","a"),"è","e"),"ì","i"),"ò","o"),"ù","u"),"")</f>
        <v/>
      </c>
      <c r="W707" s="25">
        <f>IF(AND(Q707=1,I707&lt;&gt;""),SUBSTITUTE(SUBSTITUTE(SUBSTITUTE(SUBSTITUTE(SUBSTITUTE(SUBSTITUTE(SUBSTITUTE(SUBSTITUTE(SUBSTITUTE(SUBSTITUTE(SUBSTITUTE(SUBSTITUTE(LOWER(TRIM(I707)),"á","a"),"é","e"),"í","i"),"ó","o"),"ú","u"),"ü","u"),"ñ","n"),"à","a"),"è","e"),"ì","i"),"ò","o"),"ù","u"),"")</f>
        <v/>
      </c>
      <c r="X707" s="25">
        <f>IF(U707="","",IF(OR(U707="si, en la proxima tarea",U707="si, con cambios"),1,0))</f>
        <v/>
      </c>
      <c r="Y707" s="25">
        <f>IF(AND(Q707=1,A707&lt;&gt;""),IF(IFERROR(COUNTIFS(A$3:A707,"="&amp;SUBSTITUTE(SUBSTITUTE(SUBSTITUTE(A707,"~","~~"),"*","~*"),"?","~?"),Q$3:Q707,1),0)=1,MAX(Y$2:Y706)+1,""),"")</f>
        <v/>
      </c>
      <c r="Z707" s="25">
        <f>IF(Y707="","",COUNTIFS($A$3:$A$1002,"="&amp;SUBSTITUTE(SUBSTITUTE(SUBSTITUTE(A707,"~","~~"),"*","~*"),"?","~?"),$Q$3:$Q$1002,1)*10000-Y707)</f>
        <v/>
      </c>
    </row>
    <row r="708">
      <c r="A708">
        <f>IF(A$2=0,"",IFERROR(TRIM(INDEX('Pegar docentes'!$A$1:$BZ$1001,707,A$2)&amp;""),""))</f>
        <v/>
      </c>
      <c r="B708">
        <f>IF(B$2=0,"",IFERROR(TRIM(INDEX('Pegar docentes'!$A$1:$BZ$1001,707,B$2)&amp;""),""))</f>
        <v/>
      </c>
      <c r="C708">
        <f>IF(C$2=0,"",IFERROR(TRIM(INDEX('Pegar docentes'!$A$1:$BZ$1001,707,C$2)&amp;""),""))</f>
        <v/>
      </c>
      <c r="D708">
        <f>IF(D$2=0,"",IFERROR(TRIM(INDEX('Pegar docentes'!$A$1:$BZ$1001,707,D$2)&amp;""),""))</f>
        <v/>
      </c>
      <c r="E708">
        <f>IF(E$2=0,"",IFERROR(TRIM(INDEX('Pegar docentes'!$A$1:$BZ$1001,707,E$2)&amp;""),""))</f>
        <v/>
      </c>
      <c r="F708">
        <f>IF(F$2=0,"",IFERROR(TRIM(INDEX('Pegar docentes'!$A$1:$BZ$1001,707,F$2)&amp;""),""))</f>
        <v/>
      </c>
      <c r="G708">
        <f>IF(G$2=0,"",IFERROR(TRIM(INDEX('Pegar docentes'!$A$1:$BZ$1001,707,G$2)&amp;""),""))</f>
        <v/>
      </c>
      <c r="H708">
        <f>IF(H$2=0,"",IFERROR(TRIM(INDEX('Pegar docentes'!$A$1:$BZ$1001,707,H$2)&amp;""),""))</f>
        <v/>
      </c>
      <c r="I708">
        <f>IF(I$2=0,"",IFERROR(TRIM(INDEX('Pegar docentes'!$A$1:$BZ$1001,707,I$2)&amp;""),""))</f>
        <v/>
      </c>
      <c r="J708">
        <f>IF(J$2=0,"",IFERROR(TRIM(INDEX('Pegar docentes'!$A$1:$BZ$1001,707,J$2)&amp;""),""))</f>
        <v/>
      </c>
      <c r="K708">
        <f>IF(K$2=0,"",IFERROR(TRIM(INDEX('Pegar docentes'!$A$1:$BZ$1001,707,K$2)&amp;""),""))</f>
        <v/>
      </c>
      <c r="L708">
        <f>IF(L$2=0,"",IFERROR(TRIM(INDEX('Pegar docentes'!$A$1:$BZ$1001,707,L$2)&amp;""),""))</f>
        <v/>
      </c>
      <c r="M708">
        <f>IF(M$2=0,"",IFERROR(TRIM(INDEX('Pegar docentes'!$A$1:$BZ$1001,707,M$2)&amp;""),""))</f>
        <v/>
      </c>
      <c r="N708">
        <f>IF(N$2=0,"",IFERROR(TRIM(INDEX('Pegar docentes'!$A$1:$BZ$1001,707,N$2)&amp;""),""))</f>
        <v/>
      </c>
      <c r="O708">
        <f>IF(O$2=0,"",IFERROR(TRIM(INDEX('Pegar docentes'!$A$1:$BZ$1001,707,O$2)&amp;""),""))</f>
        <v/>
      </c>
      <c r="P708">
        <f>IF(P$2=0,"",IFERROR(TRIM(INDEX('Pegar docentes'!$A$1:$BZ$1001,707,P$2)&amp;""),""))</f>
        <v/>
      </c>
      <c r="Q708" s="25">
        <f>IF(OR(D708&lt;&gt;"",H708&lt;&gt;""),1,"")</f>
        <v/>
      </c>
      <c r="R708" s="25">
        <f>IF(Q708=1,IF(ISNUMBER(FIND("#"&amp;MID(D708,1,1)&amp;"#","#0#1#2#3#4#5#6#7#8#9#")),IF(ISNUMBER(FIND("#"&amp;MID(D708,2,1)&amp;"#","#0#1#2#3#4#5#6#7#8#9#")),IF(AND(VALUE(LEFT(D708,2))&gt;=1,VALUE(LEFT(D708,2))&lt;=5),VALUE(LEFT(D708,2)),""),IF(AND(VALUE(LEFT(D708,1))&gt;=1,VALUE(LEFT(D708,1))&lt;=5),VALUE(LEFT(D708,1)),"")),""),"")</f>
        <v/>
      </c>
      <c r="S708" s="25">
        <f>IF(AND(Q708=1,E708&lt;&gt;""),SUBSTITUTE(SUBSTITUTE(SUBSTITUTE(SUBSTITUTE(SUBSTITUTE(SUBSTITUTE(SUBSTITUTE(SUBSTITUTE(SUBSTITUTE(SUBSTITUTE(SUBSTITUTE(SUBSTITUTE(LOWER(TRIM(E708)),"á","a"),"é","e"),"í","i"),"ó","o"),"ú","u"),"ü","u"),"ñ","n"),"à","a"),"è","e"),"ì","i"),"ò","o"),"ù","u"),"")</f>
        <v/>
      </c>
      <c r="T708" s="25">
        <f>IF(AND(Q708=1,G708&lt;&gt;""),SUBSTITUTE(SUBSTITUTE(SUBSTITUTE(SUBSTITUTE(SUBSTITUTE(SUBSTITUTE(SUBSTITUTE(SUBSTITUTE(SUBSTITUTE(SUBSTITUTE(SUBSTITUTE(SUBSTITUTE(LOWER(TRIM(G708)),"á","a"),"é","e"),"í","i"),"ó","o"),"ú","u"),"ü","u"),"ñ","n"),"à","a"),"è","e"),"ì","i"),"ò","o"),"ù","u"),"")</f>
        <v/>
      </c>
      <c r="U708" s="25">
        <f>IF(AND(Q708=1,H708&lt;&gt;""),SUBSTITUTE(SUBSTITUTE(SUBSTITUTE(SUBSTITUTE(SUBSTITUTE(SUBSTITUTE(SUBSTITUTE(SUBSTITUTE(SUBSTITUTE(SUBSTITUTE(SUBSTITUTE(SUBSTITUTE(LOWER(TRIM(H708)),"á","a"),"é","e"),"í","i"),"ó","o"),"ú","u"),"ü","u"),"ñ","n"),"à","a"),"è","e"),"ì","i"),"ò","o"),"ù","u"),"")</f>
        <v/>
      </c>
      <c r="V708" s="25">
        <f>IF(AND(Q708=1,L708&lt;&gt;""),SUBSTITUTE(SUBSTITUTE(SUBSTITUTE(SUBSTITUTE(SUBSTITUTE(SUBSTITUTE(SUBSTITUTE(SUBSTITUTE(SUBSTITUTE(SUBSTITUTE(SUBSTITUTE(SUBSTITUTE(LOWER(TRIM(L708)),"á","a"),"é","e"),"í","i"),"ó","o"),"ú","u"),"ü","u"),"ñ","n"),"à","a"),"è","e"),"ì","i"),"ò","o"),"ù","u"),"")</f>
        <v/>
      </c>
      <c r="W708" s="25">
        <f>IF(AND(Q708=1,I708&lt;&gt;""),SUBSTITUTE(SUBSTITUTE(SUBSTITUTE(SUBSTITUTE(SUBSTITUTE(SUBSTITUTE(SUBSTITUTE(SUBSTITUTE(SUBSTITUTE(SUBSTITUTE(SUBSTITUTE(SUBSTITUTE(LOWER(TRIM(I708)),"á","a"),"é","e"),"í","i"),"ó","o"),"ú","u"),"ü","u"),"ñ","n"),"à","a"),"è","e"),"ì","i"),"ò","o"),"ù","u"),"")</f>
        <v/>
      </c>
      <c r="X708" s="25">
        <f>IF(U708="","",IF(OR(U708="si, en la proxima tarea",U708="si, con cambios"),1,0))</f>
        <v/>
      </c>
      <c r="Y708" s="25">
        <f>IF(AND(Q708=1,A708&lt;&gt;""),IF(IFERROR(COUNTIFS(A$3:A708,"="&amp;SUBSTITUTE(SUBSTITUTE(SUBSTITUTE(A708,"~","~~"),"*","~*"),"?","~?"),Q$3:Q708,1),0)=1,MAX(Y$2:Y707)+1,""),"")</f>
        <v/>
      </c>
      <c r="Z708" s="25">
        <f>IF(Y708="","",COUNTIFS($A$3:$A$1002,"="&amp;SUBSTITUTE(SUBSTITUTE(SUBSTITUTE(A708,"~","~~"),"*","~*"),"?","~?"),$Q$3:$Q$1002,1)*10000-Y708)</f>
        <v/>
      </c>
    </row>
    <row r="709">
      <c r="A709">
        <f>IF(A$2=0,"",IFERROR(TRIM(INDEX('Pegar docentes'!$A$1:$BZ$1001,708,A$2)&amp;""),""))</f>
        <v/>
      </c>
      <c r="B709">
        <f>IF(B$2=0,"",IFERROR(TRIM(INDEX('Pegar docentes'!$A$1:$BZ$1001,708,B$2)&amp;""),""))</f>
        <v/>
      </c>
      <c r="C709">
        <f>IF(C$2=0,"",IFERROR(TRIM(INDEX('Pegar docentes'!$A$1:$BZ$1001,708,C$2)&amp;""),""))</f>
        <v/>
      </c>
      <c r="D709">
        <f>IF(D$2=0,"",IFERROR(TRIM(INDEX('Pegar docentes'!$A$1:$BZ$1001,708,D$2)&amp;""),""))</f>
        <v/>
      </c>
      <c r="E709">
        <f>IF(E$2=0,"",IFERROR(TRIM(INDEX('Pegar docentes'!$A$1:$BZ$1001,708,E$2)&amp;""),""))</f>
        <v/>
      </c>
      <c r="F709">
        <f>IF(F$2=0,"",IFERROR(TRIM(INDEX('Pegar docentes'!$A$1:$BZ$1001,708,F$2)&amp;""),""))</f>
        <v/>
      </c>
      <c r="G709">
        <f>IF(G$2=0,"",IFERROR(TRIM(INDEX('Pegar docentes'!$A$1:$BZ$1001,708,G$2)&amp;""),""))</f>
        <v/>
      </c>
      <c r="H709">
        <f>IF(H$2=0,"",IFERROR(TRIM(INDEX('Pegar docentes'!$A$1:$BZ$1001,708,H$2)&amp;""),""))</f>
        <v/>
      </c>
      <c r="I709">
        <f>IF(I$2=0,"",IFERROR(TRIM(INDEX('Pegar docentes'!$A$1:$BZ$1001,708,I$2)&amp;""),""))</f>
        <v/>
      </c>
      <c r="J709">
        <f>IF(J$2=0,"",IFERROR(TRIM(INDEX('Pegar docentes'!$A$1:$BZ$1001,708,J$2)&amp;""),""))</f>
        <v/>
      </c>
      <c r="K709">
        <f>IF(K$2=0,"",IFERROR(TRIM(INDEX('Pegar docentes'!$A$1:$BZ$1001,708,K$2)&amp;""),""))</f>
        <v/>
      </c>
      <c r="L709">
        <f>IF(L$2=0,"",IFERROR(TRIM(INDEX('Pegar docentes'!$A$1:$BZ$1001,708,L$2)&amp;""),""))</f>
        <v/>
      </c>
      <c r="M709">
        <f>IF(M$2=0,"",IFERROR(TRIM(INDEX('Pegar docentes'!$A$1:$BZ$1001,708,M$2)&amp;""),""))</f>
        <v/>
      </c>
      <c r="N709">
        <f>IF(N$2=0,"",IFERROR(TRIM(INDEX('Pegar docentes'!$A$1:$BZ$1001,708,N$2)&amp;""),""))</f>
        <v/>
      </c>
      <c r="O709">
        <f>IF(O$2=0,"",IFERROR(TRIM(INDEX('Pegar docentes'!$A$1:$BZ$1001,708,O$2)&amp;""),""))</f>
        <v/>
      </c>
      <c r="P709">
        <f>IF(P$2=0,"",IFERROR(TRIM(INDEX('Pegar docentes'!$A$1:$BZ$1001,708,P$2)&amp;""),""))</f>
        <v/>
      </c>
      <c r="Q709" s="25">
        <f>IF(OR(D709&lt;&gt;"",H709&lt;&gt;""),1,"")</f>
        <v/>
      </c>
      <c r="R709" s="25">
        <f>IF(Q709=1,IF(ISNUMBER(FIND("#"&amp;MID(D709,1,1)&amp;"#","#0#1#2#3#4#5#6#7#8#9#")),IF(ISNUMBER(FIND("#"&amp;MID(D709,2,1)&amp;"#","#0#1#2#3#4#5#6#7#8#9#")),IF(AND(VALUE(LEFT(D709,2))&gt;=1,VALUE(LEFT(D709,2))&lt;=5),VALUE(LEFT(D709,2)),""),IF(AND(VALUE(LEFT(D709,1))&gt;=1,VALUE(LEFT(D709,1))&lt;=5),VALUE(LEFT(D709,1)),"")),""),"")</f>
        <v/>
      </c>
      <c r="S709" s="25">
        <f>IF(AND(Q709=1,E709&lt;&gt;""),SUBSTITUTE(SUBSTITUTE(SUBSTITUTE(SUBSTITUTE(SUBSTITUTE(SUBSTITUTE(SUBSTITUTE(SUBSTITUTE(SUBSTITUTE(SUBSTITUTE(SUBSTITUTE(SUBSTITUTE(LOWER(TRIM(E709)),"á","a"),"é","e"),"í","i"),"ó","o"),"ú","u"),"ü","u"),"ñ","n"),"à","a"),"è","e"),"ì","i"),"ò","o"),"ù","u"),"")</f>
        <v/>
      </c>
      <c r="T709" s="25">
        <f>IF(AND(Q709=1,G709&lt;&gt;""),SUBSTITUTE(SUBSTITUTE(SUBSTITUTE(SUBSTITUTE(SUBSTITUTE(SUBSTITUTE(SUBSTITUTE(SUBSTITUTE(SUBSTITUTE(SUBSTITUTE(SUBSTITUTE(SUBSTITUTE(LOWER(TRIM(G709)),"á","a"),"é","e"),"í","i"),"ó","o"),"ú","u"),"ü","u"),"ñ","n"),"à","a"),"è","e"),"ì","i"),"ò","o"),"ù","u"),"")</f>
        <v/>
      </c>
      <c r="U709" s="25">
        <f>IF(AND(Q709=1,H709&lt;&gt;""),SUBSTITUTE(SUBSTITUTE(SUBSTITUTE(SUBSTITUTE(SUBSTITUTE(SUBSTITUTE(SUBSTITUTE(SUBSTITUTE(SUBSTITUTE(SUBSTITUTE(SUBSTITUTE(SUBSTITUTE(LOWER(TRIM(H709)),"á","a"),"é","e"),"í","i"),"ó","o"),"ú","u"),"ü","u"),"ñ","n"),"à","a"),"è","e"),"ì","i"),"ò","o"),"ù","u"),"")</f>
        <v/>
      </c>
      <c r="V709" s="25">
        <f>IF(AND(Q709=1,L709&lt;&gt;""),SUBSTITUTE(SUBSTITUTE(SUBSTITUTE(SUBSTITUTE(SUBSTITUTE(SUBSTITUTE(SUBSTITUTE(SUBSTITUTE(SUBSTITUTE(SUBSTITUTE(SUBSTITUTE(SUBSTITUTE(LOWER(TRIM(L709)),"á","a"),"é","e"),"í","i"),"ó","o"),"ú","u"),"ü","u"),"ñ","n"),"à","a"),"è","e"),"ì","i"),"ò","o"),"ù","u"),"")</f>
        <v/>
      </c>
      <c r="W709" s="25">
        <f>IF(AND(Q709=1,I709&lt;&gt;""),SUBSTITUTE(SUBSTITUTE(SUBSTITUTE(SUBSTITUTE(SUBSTITUTE(SUBSTITUTE(SUBSTITUTE(SUBSTITUTE(SUBSTITUTE(SUBSTITUTE(SUBSTITUTE(SUBSTITUTE(LOWER(TRIM(I709)),"á","a"),"é","e"),"í","i"),"ó","o"),"ú","u"),"ü","u"),"ñ","n"),"à","a"),"è","e"),"ì","i"),"ò","o"),"ù","u"),"")</f>
        <v/>
      </c>
      <c r="X709" s="25">
        <f>IF(U709="","",IF(OR(U709="si, en la proxima tarea",U709="si, con cambios"),1,0))</f>
        <v/>
      </c>
      <c r="Y709" s="25">
        <f>IF(AND(Q709=1,A709&lt;&gt;""),IF(IFERROR(COUNTIFS(A$3:A709,"="&amp;SUBSTITUTE(SUBSTITUTE(SUBSTITUTE(A709,"~","~~"),"*","~*"),"?","~?"),Q$3:Q709,1),0)=1,MAX(Y$2:Y708)+1,""),"")</f>
        <v/>
      </c>
      <c r="Z709" s="25">
        <f>IF(Y709="","",COUNTIFS($A$3:$A$1002,"="&amp;SUBSTITUTE(SUBSTITUTE(SUBSTITUTE(A709,"~","~~"),"*","~*"),"?","~?"),$Q$3:$Q$1002,1)*10000-Y709)</f>
        <v/>
      </c>
    </row>
    <row r="710">
      <c r="A710">
        <f>IF(A$2=0,"",IFERROR(TRIM(INDEX('Pegar docentes'!$A$1:$BZ$1001,709,A$2)&amp;""),""))</f>
        <v/>
      </c>
      <c r="B710">
        <f>IF(B$2=0,"",IFERROR(TRIM(INDEX('Pegar docentes'!$A$1:$BZ$1001,709,B$2)&amp;""),""))</f>
        <v/>
      </c>
      <c r="C710">
        <f>IF(C$2=0,"",IFERROR(TRIM(INDEX('Pegar docentes'!$A$1:$BZ$1001,709,C$2)&amp;""),""))</f>
        <v/>
      </c>
      <c r="D710">
        <f>IF(D$2=0,"",IFERROR(TRIM(INDEX('Pegar docentes'!$A$1:$BZ$1001,709,D$2)&amp;""),""))</f>
        <v/>
      </c>
      <c r="E710">
        <f>IF(E$2=0,"",IFERROR(TRIM(INDEX('Pegar docentes'!$A$1:$BZ$1001,709,E$2)&amp;""),""))</f>
        <v/>
      </c>
      <c r="F710">
        <f>IF(F$2=0,"",IFERROR(TRIM(INDEX('Pegar docentes'!$A$1:$BZ$1001,709,F$2)&amp;""),""))</f>
        <v/>
      </c>
      <c r="G710">
        <f>IF(G$2=0,"",IFERROR(TRIM(INDEX('Pegar docentes'!$A$1:$BZ$1001,709,G$2)&amp;""),""))</f>
        <v/>
      </c>
      <c r="H710">
        <f>IF(H$2=0,"",IFERROR(TRIM(INDEX('Pegar docentes'!$A$1:$BZ$1001,709,H$2)&amp;""),""))</f>
        <v/>
      </c>
      <c r="I710">
        <f>IF(I$2=0,"",IFERROR(TRIM(INDEX('Pegar docentes'!$A$1:$BZ$1001,709,I$2)&amp;""),""))</f>
        <v/>
      </c>
      <c r="J710">
        <f>IF(J$2=0,"",IFERROR(TRIM(INDEX('Pegar docentes'!$A$1:$BZ$1001,709,J$2)&amp;""),""))</f>
        <v/>
      </c>
      <c r="K710">
        <f>IF(K$2=0,"",IFERROR(TRIM(INDEX('Pegar docentes'!$A$1:$BZ$1001,709,K$2)&amp;""),""))</f>
        <v/>
      </c>
      <c r="L710">
        <f>IF(L$2=0,"",IFERROR(TRIM(INDEX('Pegar docentes'!$A$1:$BZ$1001,709,L$2)&amp;""),""))</f>
        <v/>
      </c>
      <c r="M710">
        <f>IF(M$2=0,"",IFERROR(TRIM(INDEX('Pegar docentes'!$A$1:$BZ$1001,709,M$2)&amp;""),""))</f>
        <v/>
      </c>
      <c r="N710">
        <f>IF(N$2=0,"",IFERROR(TRIM(INDEX('Pegar docentes'!$A$1:$BZ$1001,709,N$2)&amp;""),""))</f>
        <v/>
      </c>
      <c r="O710">
        <f>IF(O$2=0,"",IFERROR(TRIM(INDEX('Pegar docentes'!$A$1:$BZ$1001,709,O$2)&amp;""),""))</f>
        <v/>
      </c>
      <c r="P710">
        <f>IF(P$2=0,"",IFERROR(TRIM(INDEX('Pegar docentes'!$A$1:$BZ$1001,709,P$2)&amp;""),""))</f>
        <v/>
      </c>
      <c r="Q710" s="25">
        <f>IF(OR(D710&lt;&gt;"",H710&lt;&gt;""),1,"")</f>
        <v/>
      </c>
      <c r="R710" s="25">
        <f>IF(Q710=1,IF(ISNUMBER(FIND("#"&amp;MID(D710,1,1)&amp;"#","#0#1#2#3#4#5#6#7#8#9#")),IF(ISNUMBER(FIND("#"&amp;MID(D710,2,1)&amp;"#","#0#1#2#3#4#5#6#7#8#9#")),IF(AND(VALUE(LEFT(D710,2))&gt;=1,VALUE(LEFT(D710,2))&lt;=5),VALUE(LEFT(D710,2)),""),IF(AND(VALUE(LEFT(D710,1))&gt;=1,VALUE(LEFT(D710,1))&lt;=5),VALUE(LEFT(D710,1)),"")),""),"")</f>
        <v/>
      </c>
      <c r="S710" s="25">
        <f>IF(AND(Q710=1,E710&lt;&gt;""),SUBSTITUTE(SUBSTITUTE(SUBSTITUTE(SUBSTITUTE(SUBSTITUTE(SUBSTITUTE(SUBSTITUTE(SUBSTITUTE(SUBSTITUTE(SUBSTITUTE(SUBSTITUTE(SUBSTITUTE(LOWER(TRIM(E710)),"á","a"),"é","e"),"í","i"),"ó","o"),"ú","u"),"ü","u"),"ñ","n"),"à","a"),"è","e"),"ì","i"),"ò","o"),"ù","u"),"")</f>
        <v/>
      </c>
      <c r="T710" s="25">
        <f>IF(AND(Q710=1,G710&lt;&gt;""),SUBSTITUTE(SUBSTITUTE(SUBSTITUTE(SUBSTITUTE(SUBSTITUTE(SUBSTITUTE(SUBSTITUTE(SUBSTITUTE(SUBSTITUTE(SUBSTITUTE(SUBSTITUTE(SUBSTITUTE(LOWER(TRIM(G710)),"á","a"),"é","e"),"í","i"),"ó","o"),"ú","u"),"ü","u"),"ñ","n"),"à","a"),"è","e"),"ì","i"),"ò","o"),"ù","u"),"")</f>
        <v/>
      </c>
      <c r="U710" s="25">
        <f>IF(AND(Q710=1,H710&lt;&gt;""),SUBSTITUTE(SUBSTITUTE(SUBSTITUTE(SUBSTITUTE(SUBSTITUTE(SUBSTITUTE(SUBSTITUTE(SUBSTITUTE(SUBSTITUTE(SUBSTITUTE(SUBSTITUTE(SUBSTITUTE(LOWER(TRIM(H710)),"á","a"),"é","e"),"í","i"),"ó","o"),"ú","u"),"ü","u"),"ñ","n"),"à","a"),"è","e"),"ì","i"),"ò","o"),"ù","u"),"")</f>
        <v/>
      </c>
      <c r="V710" s="25">
        <f>IF(AND(Q710=1,L710&lt;&gt;""),SUBSTITUTE(SUBSTITUTE(SUBSTITUTE(SUBSTITUTE(SUBSTITUTE(SUBSTITUTE(SUBSTITUTE(SUBSTITUTE(SUBSTITUTE(SUBSTITUTE(SUBSTITUTE(SUBSTITUTE(LOWER(TRIM(L710)),"á","a"),"é","e"),"í","i"),"ó","o"),"ú","u"),"ü","u"),"ñ","n"),"à","a"),"è","e"),"ì","i"),"ò","o"),"ù","u"),"")</f>
        <v/>
      </c>
      <c r="W710" s="25">
        <f>IF(AND(Q710=1,I710&lt;&gt;""),SUBSTITUTE(SUBSTITUTE(SUBSTITUTE(SUBSTITUTE(SUBSTITUTE(SUBSTITUTE(SUBSTITUTE(SUBSTITUTE(SUBSTITUTE(SUBSTITUTE(SUBSTITUTE(SUBSTITUTE(LOWER(TRIM(I710)),"á","a"),"é","e"),"í","i"),"ó","o"),"ú","u"),"ü","u"),"ñ","n"),"à","a"),"è","e"),"ì","i"),"ò","o"),"ù","u"),"")</f>
        <v/>
      </c>
      <c r="X710" s="25">
        <f>IF(U710="","",IF(OR(U710="si, en la proxima tarea",U710="si, con cambios"),1,0))</f>
        <v/>
      </c>
      <c r="Y710" s="25">
        <f>IF(AND(Q710=1,A710&lt;&gt;""),IF(IFERROR(COUNTIFS(A$3:A710,"="&amp;SUBSTITUTE(SUBSTITUTE(SUBSTITUTE(A710,"~","~~"),"*","~*"),"?","~?"),Q$3:Q710,1),0)=1,MAX(Y$2:Y709)+1,""),"")</f>
        <v/>
      </c>
      <c r="Z710" s="25">
        <f>IF(Y710="","",COUNTIFS($A$3:$A$1002,"="&amp;SUBSTITUTE(SUBSTITUTE(SUBSTITUTE(A710,"~","~~"),"*","~*"),"?","~?"),$Q$3:$Q$1002,1)*10000-Y710)</f>
        <v/>
      </c>
    </row>
    <row r="711">
      <c r="A711">
        <f>IF(A$2=0,"",IFERROR(TRIM(INDEX('Pegar docentes'!$A$1:$BZ$1001,710,A$2)&amp;""),""))</f>
        <v/>
      </c>
      <c r="B711">
        <f>IF(B$2=0,"",IFERROR(TRIM(INDEX('Pegar docentes'!$A$1:$BZ$1001,710,B$2)&amp;""),""))</f>
        <v/>
      </c>
      <c r="C711">
        <f>IF(C$2=0,"",IFERROR(TRIM(INDEX('Pegar docentes'!$A$1:$BZ$1001,710,C$2)&amp;""),""))</f>
        <v/>
      </c>
      <c r="D711">
        <f>IF(D$2=0,"",IFERROR(TRIM(INDEX('Pegar docentes'!$A$1:$BZ$1001,710,D$2)&amp;""),""))</f>
        <v/>
      </c>
      <c r="E711">
        <f>IF(E$2=0,"",IFERROR(TRIM(INDEX('Pegar docentes'!$A$1:$BZ$1001,710,E$2)&amp;""),""))</f>
        <v/>
      </c>
      <c r="F711">
        <f>IF(F$2=0,"",IFERROR(TRIM(INDEX('Pegar docentes'!$A$1:$BZ$1001,710,F$2)&amp;""),""))</f>
        <v/>
      </c>
      <c r="G711">
        <f>IF(G$2=0,"",IFERROR(TRIM(INDEX('Pegar docentes'!$A$1:$BZ$1001,710,G$2)&amp;""),""))</f>
        <v/>
      </c>
      <c r="H711">
        <f>IF(H$2=0,"",IFERROR(TRIM(INDEX('Pegar docentes'!$A$1:$BZ$1001,710,H$2)&amp;""),""))</f>
        <v/>
      </c>
      <c r="I711">
        <f>IF(I$2=0,"",IFERROR(TRIM(INDEX('Pegar docentes'!$A$1:$BZ$1001,710,I$2)&amp;""),""))</f>
        <v/>
      </c>
      <c r="J711">
        <f>IF(J$2=0,"",IFERROR(TRIM(INDEX('Pegar docentes'!$A$1:$BZ$1001,710,J$2)&amp;""),""))</f>
        <v/>
      </c>
      <c r="K711">
        <f>IF(K$2=0,"",IFERROR(TRIM(INDEX('Pegar docentes'!$A$1:$BZ$1001,710,K$2)&amp;""),""))</f>
        <v/>
      </c>
      <c r="L711">
        <f>IF(L$2=0,"",IFERROR(TRIM(INDEX('Pegar docentes'!$A$1:$BZ$1001,710,L$2)&amp;""),""))</f>
        <v/>
      </c>
      <c r="M711">
        <f>IF(M$2=0,"",IFERROR(TRIM(INDEX('Pegar docentes'!$A$1:$BZ$1001,710,M$2)&amp;""),""))</f>
        <v/>
      </c>
      <c r="N711">
        <f>IF(N$2=0,"",IFERROR(TRIM(INDEX('Pegar docentes'!$A$1:$BZ$1001,710,N$2)&amp;""),""))</f>
        <v/>
      </c>
      <c r="O711">
        <f>IF(O$2=0,"",IFERROR(TRIM(INDEX('Pegar docentes'!$A$1:$BZ$1001,710,O$2)&amp;""),""))</f>
        <v/>
      </c>
      <c r="P711">
        <f>IF(P$2=0,"",IFERROR(TRIM(INDEX('Pegar docentes'!$A$1:$BZ$1001,710,P$2)&amp;""),""))</f>
        <v/>
      </c>
      <c r="Q711" s="25">
        <f>IF(OR(D711&lt;&gt;"",H711&lt;&gt;""),1,"")</f>
        <v/>
      </c>
      <c r="R711" s="25">
        <f>IF(Q711=1,IF(ISNUMBER(FIND("#"&amp;MID(D711,1,1)&amp;"#","#0#1#2#3#4#5#6#7#8#9#")),IF(ISNUMBER(FIND("#"&amp;MID(D711,2,1)&amp;"#","#0#1#2#3#4#5#6#7#8#9#")),IF(AND(VALUE(LEFT(D711,2))&gt;=1,VALUE(LEFT(D711,2))&lt;=5),VALUE(LEFT(D711,2)),""),IF(AND(VALUE(LEFT(D711,1))&gt;=1,VALUE(LEFT(D711,1))&lt;=5),VALUE(LEFT(D711,1)),"")),""),"")</f>
        <v/>
      </c>
      <c r="S711" s="25">
        <f>IF(AND(Q711=1,E711&lt;&gt;""),SUBSTITUTE(SUBSTITUTE(SUBSTITUTE(SUBSTITUTE(SUBSTITUTE(SUBSTITUTE(SUBSTITUTE(SUBSTITUTE(SUBSTITUTE(SUBSTITUTE(SUBSTITUTE(SUBSTITUTE(LOWER(TRIM(E711)),"á","a"),"é","e"),"í","i"),"ó","o"),"ú","u"),"ü","u"),"ñ","n"),"à","a"),"è","e"),"ì","i"),"ò","o"),"ù","u"),"")</f>
        <v/>
      </c>
      <c r="T711" s="25">
        <f>IF(AND(Q711=1,G711&lt;&gt;""),SUBSTITUTE(SUBSTITUTE(SUBSTITUTE(SUBSTITUTE(SUBSTITUTE(SUBSTITUTE(SUBSTITUTE(SUBSTITUTE(SUBSTITUTE(SUBSTITUTE(SUBSTITUTE(SUBSTITUTE(LOWER(TRIM(G711)),"á","a"),"é","e"),"í","i"),"ó","o"),"ú","u"),"ü","u"),"ñ","n"),"à","a"),"è","e"),"ì","i"),"ò","o"),"ù","u"),"")</f>
        <v/>
      </c>
      <c r="U711" s="25">
        <f>IF(AND(Q711=1,H711&lt;&gt;""),SUBSTITUTE(SUBSTITUTE(SUBSTITUTE(SUBSTITUTE(SUBSTITUTE(SUBSTITUTE(SUBSTITUTE(SUBSTITUTE(SUBSTITUTE(SUBSTITUTE(SUBSTITUTE(SUBSTITUTE(LOWER(TRIM(H711)),"á","a"),"é","e"),"í","i"),"ó","o"),"ú","u"),"ü","u"),"ñ","n"),"à","a"),"è","e"),"ì","i"),"ò","o"),"ù","u"),"")</f>
        <v/>
      </c>
      <c r="V711" s="25">
        <f>IF(AND(Q711=1,L711&lt;&gt;""),SUBSTITUTE(SUBSTITUTE(SUBSTITUTE(SUBSTITUTE(SUBSTITUTE(SUBSTITUTE(SUBSTITUTE(SUBSTITUTE(SUBSTITUTE(SUBSTITUTE(SUBSTITUTE(SUBSTITUTE(LOWER(TRIM(L711)),"á","a"),"é","e"),"í","i"),"ó","o"),"ú","u"),"ü","u"),"ñ","n"),"à","a"),"è","e"),"ì","i"),"ò","o"),"ù","u"),"")</f>
        <v/>
      </c>
      <c r="W711" s="25">
        <f>IF(AND(Q711=1,I711&lt;&gt;""),SUBSTITUTE(SUBSTITUTE(SUBSTITUTE(SUBSTITUTE(SUBSTITUTE(SUBSTITUTE(SUBSTITUTE(SUBSTITUTE(SUBSTITUTE(SUBSTITUTE(SUBSTITUTE(SUBSTITUTE(LOWER(TRIM(I711)),"á","a"),"é","e"),"í","i"),"ó","o"),"ú","u"),"ü","u"),"ñ","n"),"à","a"),"è","e"),"ì","i"),"ò","o"),"ù","u"),"")</f>
        <v/>
      </c>
      <c r="X711" s="25">
        <f>IF(U711="","",IF(OR(U711="si, en la proxima tarea",U711="si, con cambios"),1,0))</f>
        <v/>
      </c>
      <c r="Y711" s="25">
        <f>IF(AND(Q711=1,A711&lt;&gt;""),IF(IFERROR(COUNTIFS(A$3:A711,"="&amp;SUBSTITUTE(SUBSTITUTE(SUBSTITUTE(A711,"~","~~"),"*","~*"),"?","~?"),Q$3:Q711,1),0)=1,MAX(Y$2:Y710)+1,""),"")</f>
        <v/>
      </c>
      <c r="Z711" s="25">
        <f>IF(Y711="","",COUNTIFS($A$3:$A$1002,"="&amp;SUBSTITUTE(SUBSTITUTE(SUBSTITUTE(A711,"~","~~"),"*","~*"),"?","~?"),$Q$3:$Q$1002,1)*10000-Y711)</f>
        <v/>
      </c>
    </row>
    <row r="712">
      <c r="A712">
        <f>IF(A$2=0,"",IFERROR(TRIM(INDEX('Pegar docentes'!$A$1:$BZ$1001,711,A$2)&amp;""),""))</f>
        <v/>
      </c>
      <c r="B712">
        <f>IF(B$2=0,"",IFERROR(TRIM(INDEX('Pegar docentes'!$A$1:$BZ$1001,711,B$2)&amp;""),""))</f>
        <v/>
      </c>
      <c r="C712">
        <f>IF(C$2=0,"",IFERROR(TRIM(INDEX('Pegar docentes'!$A$1:$BZ$1001,711,C$2)&amp;""),""))</f>
        <v/>
      </c>
      <c r="D712">
        <f>IF(D$2=0,"",IFERROR(TRIM(INDEX('Pegar docentes'!$A$1:$BZ$1001,711,D$2)&amp;""),""))</f>
        <v/>
      </c>
      <c r="E712">
        <f>IF(E$2=0,"",IFERROR(TRIM(INDEX('Pegar docentes'!$A$1:$BZ$1001,711,E$2)&amp;""),""))</f>
        <v/>
      </c>
      <c r="F712">
        <f>IF(F$2=0,"",IFERROR(TRIM(INDEX('Pegar docentes'!$A$1:$BZ$1001,711,F$2)&amp;""),""))</f>
        <v/>
      </c>
      <c r="G712">
        <f>IF(G$2=0,"",IFERROR(TRIM(INDEX('Pegar docentes'!$A$1:$BZ$1001,711,G$2)&amp;""),""))</f>
        <v/>
      </c>
      <c r="H712">
        <f>IF(H$2=0,"",IFERROR(TRIM(INDEX('Pegar docentes'!$A$1:$BZ$1001,711,H$2)&amp;""),""))</f>
        <v/>
      </c>
      <c r="I712">
        <f>IF(I$2=0,"",IFERROR(TRIM(INDEX('Pegar docentes'!$A$1:$BZ$1001,711,I$2)&amp;""),""))</f>
        <v/>
      </c>
      <c r="J712">
        <f>IF(J$2=0,"",IFERROR(TRIM(INDEX('Pegar docentes'!$A$1:$BZ$1001,711,J$2)&amp;""),""))</f>
        <v/>
      </c>
      <c r="K712">
        <f>IF(K$2=0,"",IFERROR(TRIM(INDEX('Pegar docentes'!$A$1:$BZ$1001,711,K$2)&amp;""),""))</f>
        <v/>
      </c>
      <c r="L712">
        <f>IF(L$2=0,"",IFERROR(TRIM(INDEX('Pegar docentes'!$A$1:$BZ$1001,711,L$2)&amp;""),""))</f>
        <v/>
      </c>
      <c r="M712">
        <f>IF(M$2=0,"",IFERROR(TRIM(INDEX('Pegar docentes'!$A$1:$BZ$1001,711,M$2)&amp;""),""))</f>
        <v/>
      </c>
      <c r="N712">
        <f>IF(N$2=0,"",IFERROR(TRIM(INDEX('Pegar docentes'!$A$1:$BZ$1001,711,N$2)&amp;""),""))</f>
        <v/>
      </c>
      <c r="O712">
        <f>IF(O$2=0,"",IFERROR(TRIM(INDEX('Pegar docentes'!$A$1:$BZ$1001,711,O$2)&amp;""),""))</f>
        <v/>
      </c>
      <c r="P712">
        <f>IF(P$2=0,"",IFERROR(TRIM(INDEX('Pegar docentes'!$A$1:$BZ$1001,711,P$2)&amp;""),""))</f>
        <v/>
      </c>
      <c r="Q712" s="25">
        <f>IF(OR(D712&lt;&gt;"",H712&lt;&gt;""),1,"")</f>
        <v/>
      </c>
      <c r="R712" s="25">
        <f>IF(Q712=1,IF(ISNUMBER(FIND("#"&amp;MID(D712,1,1)&amp;"#","#0#1#2#3#4#5#6#7#8#9#")),IF(ISNUMBER(FIND("#"&amp;MID(D712,2,1)&amp;"#","#0#1#2#3#4#5#6#7#8#9#")),IF(AND(VALUE(LEFT(D712,2))&gt;=1,VALUE(LEFT(D712,2))&lt;=5),VALUE(LEFT(D712,2)),""),IF(AND(VALUE(LEFT(D712,1))&gt;=1,VALUE(LEFT(D712,1))&lt;=5),VALUE(LEFT(D712,1)),"")),""),"")</f>
        <v/>
      </c>
      <c r="S712" s="25">
        <f>IF(AND(Q712=1,E712&lt;&gt;""),SUBSTITUTE(SUBSTITUTE(SUBSTITUTE(SUBSTITUTE(SUBSTITUTE(SUBSTITUTE(SUBSTITUTE(SUBSTITUTE(SUBSTITUTE(SUBSTITUTE(SUBSTITUTE(SUBSTITUTE(LOWER(TRIM(E712)),"á","a"),"é","e"),"í","i"),"ó","o"),"ú","u"),"ü","u"),"ñ","n"),"à","a"),"è","e"),"ì","i"),"ò","o"),"ù","u"),"")</f>
        <v/>
      </c>
      <c r="T712" s="25">
        <f>IF(AND(Q712=1,G712&lt;&gt;""),SUBSTITUTE(SUBSTITUTE(SUBSTITUTE(SUBSTITUTE(SUBSTITUTE(SUBSTITUTE(SUBSTITUTE(SUBSTITUTE(SUBSTITUTE(SUBSTITUTE(SUBSTITUTE(SUBSTITUTE(LOWER(TRIM(G712)),"á","a"),"é","e"),"í","i"),"ó","o"),"ú","u"),"ü","u"),"ñ","n"),"à","a"),"è","e"),"ì","i"),"ò","o"),"ù","u"),"")</f>
        <v/>
      </c>
      <c r="U712" s="25">
        <f>IF(AND(Q712=1,H712&lt;&gt;""),SUBSTITUTE(SUBSTITUTE(SUBSTITUTE(SUBSTITUTE(SUBSTITUTE(SUBSTITUTE(SUBSTITUTE(SUBSTITUTE(SUBSTITUTE(SUBSTITUTE(SUBSTITUTE(SUBSTITUTE(LOWER(TRIM(H712)),"á","a"),"é","e"),"í","i"),"ó","o"),"ú","u"),"ü","u"),"ñ","n"),"à","a"),"è","e"),"ì","i"),"ò","o"),"ù","u"),"")</f>
        <v/>
      </c>
      <c r="V712" s="25">
        <f>IF(AND(Q712=1,L712&lt;&gt;""),SUBSTITUTE(SUBSTITUTE(SUBSTITUTE(SUBSTITUTE(SUBSTITUTE(SUBSTITUTE(SUBSTITUTE(SUBSTITUTE(SUBSTITUTE(SUBSTITUTE(SUBSTITUTE(SUBSTITUTE(LOWER(TRIM(L712)),"á","a"),"é","e"),"í","i"),"ó","o"),"ú","u"),"ü","u"),"ñ","n"),"à","a"),"è","e"),"ì","i"),"ò","o"),"ù","u"),"")</f>
        <v/>
      </c>
      <c r="W712" s="25">
        <f>IF(AND(Q712=1,I712&lt;&gt;""),SUBSTITUTE(SUBSTITUTE(SUBSTITUTE(SUBSTITUTE(SUBSTITUTE(SUBSTITUTE(SUBSTITUTE(SUBSTITUTE(SUBSTITUTE(SUBSTITUTE(SUBSTITUTE(SUBSTITUTE(LOWER(TRIM(I712)),"á","a"),"é","e"),"í","i"),"ó","o"),"ú","u"),"ü","u"),"ñ","n"),"à","a"),"è","e"),"ì","i"),"ò","o"),"ù","u"),"")</f>
        <v/>
      </c>
      <c r="X712" s="25">
        <f>IF(U712="","",IF(OR(U712="si, en la proxima tarea",U712="si, con cambios"),1,0))</f>
        <v/>
      </c>
      <c r="Y712" s="25">
        <f>IF(AND(Q712=1,A712&lt;&gt;""),IF(IFERROR(COUNTIFS(A$3:A712,"="&amp;SUBSTITUTE(SUBSTITUTE(SUBSTITUTE(A712,"~","~~"),"*","~*"),"?","~?"),Q$3:Q712,1),0)=1,MAX(Y$2:Y711)+1,""),"")</f>
        <v/>
      </c>
      <c r="Z712" s="25">
        <f>IF(Y712="","",COUNTIFS($A$3:$A$1002,"="&amp;SUBSTITUTE(SUBSTITUTE(SUBSTITUTE(A712,"~","~~"),"*","~*"),"?","~?"),$Q$3:$Q$1002,1)*10000-Y712)</f>
        <v/>
      </c>
    </row>
    <row r="713">
      <c r="A713">
        <f>IF(A$2=0,"",IFERROR(TRIM(INDEX('Pegar docentes'!$A$1:$BZ$1001,712,A$2)&amp;""),""))</f>
        <v/>
      </c>
      <c r="B713">
        <f>IF(B$2=0,"",IFERROR(TRIM(INDEX('Pegar docentes'!$A$1:$BZ$1001,712,B$2)&amp;""),""))</f>
        <v/>
      </c>
      <c r="C713">
        <f>IF(C$2=0,"",IFERROR(TRIM(INDEX('Pegar docentes'!$A$1:$BZ$1001,712,C$2)&amp;""),""))</f>
        <v/>
      </c>
      <c r="D713">
        <f>IF(D$2=0,"",IFERROR(TRIM(INDEX('Pegar docentes'!$A$1:$BZ$1001,712,D$2)&amp;""),""))</f>
        <v/>
      </c>
      <c r="E713">
        <f>IF(E$2=0,"",IFERROR(TRIM(INDEX('Pegar docentes'!$A$1:$BZ$1001,712,E$2)&amp;""),""))</f>
        <v/>
      </c>
      <c r="F713">
        <f>IF(F$2=0,"",IFERROR(TRIM(INDEX('Pegar docentes'!$A$1:$BZ$1001,712,F$2)&amp;""),""))</f>
        <v/>
      </c>
      <c r="G713">
        <f>IF(G$2=0,"",IFERROR(TRIM(INDEX('Pegar docentes'!$A$1:$BZ$1001,712,G$2)&amp;""),""))</f>
        <v/>
      </c>
      <c r="H713">
        <f>IF(H$2=0,"",IFERROR(TRIM(INDEX('Pegar docentes'!$A$1:$BZ$1001,712,H$2)&amp;""),""))</f>
        <v/>
      </c>
      <c r="I713">
        <f>IF(I$2=0,"",IFERROR(TRIM(INDEX('Pegar docentes'!$A$1:$BZ$1001,712,I$2)&amp;""),""))</f>
        <v/>
      </c>
      <c r="J713">
        <f>IF(J$2=0,"",IFERROR(TRIM(INDEX('Pegar docentes'!$A$1:$BZ$1001,712,J$2)&amp;""),""))</f>
        <v/>
      </c>
      <c r="K713">
        <f>IF(K$2=0,"",IFERROR(TRIM(INDEX('Pegar docentes'!$A$1:$BZ$1001,712,K$2)&amp;""),""))</f>
        <v/>
      </c>
      <c r="L713">
        <f>IF(L$2=0,"",IFERROR(TRIM(INDEX('Pegar docentes'!$A$1:$BZ$1001,712,L$2)&amp;""),""))</f>
        <v/>
      </c>
      <c r="M713">
        <f>IF(M$2=0,"",IFERROR(TRIM(INDEX('Pegar docentes'!$A$1:$BZ$1001,712,M$2)&amp;""),""))</f>
        <v/>
      </c>
      <c r="N713">
        <f>IF(N$2=0,"",IFERROR(TRIM(INDEX('Pegar docentes'!$A$1:$BZ$1001,712,N$2)&amp;""),""))</f>
        <v/>
      </c>
      <c r="O713">
        <f>IF(O$2=0,"",IFERROR(TRIM(INDEX('Pegar docentes'!$A$1:$BZ$1001,712,O$2)&amp;""),""))</f>
        <v/>
      </c>
      <c r="P713">
        <f>IF(P$2=0,"",IFERROR(TRIM(INDEX('Pegar docentes'!$A$1:$BZ$1001,712,P$2)&amp;""),""))</f>
        <v/>
      </c>
      <c r="Q713" s="25">
        <f>IF(OR(D713&lt;&gt;"",H713&lt;&gt;""),1,"")</f>
        <v/>
      </c>
      <c r="R713" s="25">
        <f>IF(Q713=1,IF(ISNUMBER(FIND("#"&amp;MID(D713,1,1)&amp;"#","#0#1#2#3#4#5#6#7#8#9#")),IF(ISNUMBER(FIND("#"&amp;MID(D713,2,1)&amp;"#","#0#1#2#3#4#5#6#7#8#9#")),IF(AND(VALUE(LEFT(D713,2))&gt;=1,VALUE(LEFT(D713,2))&lt;=5),VALUE(LEFT(D713,2)),""),IF(AND(VALUE(LEFT(D713,1))&gt;=1,VALUE(LEFT(D713,1))&lt;=5),VALUE(LEFT(D713,1)),"")),""),"")</f>
        <v/>
      </c>
      <c r="S713" s="25">
        <f>IF(AND(Q713=1,E713&lt;&gt;""),SUBSTITUTE(SUBSTITUTE(SUBSTITUTE(SUBSTITUTE(SUBSTITUTE(SUBSTITUTE(SUBSTITUTE(SUBSTITUTE(SUBSTITUTE(SUBSTITUTE(SUBSTITUTE(SUBSTITUTE(LOWER(TRIM(E713)),"á","a"),"é","e"),"í","i"),"ó","o"),"ú","u"),"ü","u"),"ñ","n"),"à","a"),"è","e"),"ì","i"),"ò","o"),"ù","u"),"")</f>
        <v/>
      </c>
      <c r="T713" s="25">
        <f>IF(AND(Q713=1,G713&lt;&gt;""),SUBSTITUTE(SUBSTITUTE(SUBSTITUTE(SUBSTITUTE(SUBSTITUTE(SUBSTITUTE(SUBSTITUTE(SUBSTITUTE(SUBSTITUTE(SUBSTITUTE(SUBSTITUTE(SUBSTITUTE(LOWER(TRIM(G713)),"á","a"),"é","e"),"í","i"),"ó","o"),"ú","u"),"ü","u"),"ñ","n"),"à","a"),"è","e"),"ì","i"),"ò","o"),"ù","u"),"")</f>
        <v/>
      </c>
      <c r="U713" s="25">
        <f>IF(AND(Q713=1,H713&lt;&gt;""),SUBSTITUTE(SUBSTITUTE(SUBSTITUTE(SUBSTITUTE(SUBSTITUTE(SUBSTITUTE(SUBSTITUTE(SUBSTITUTE(SUBSTITUTE(SUBSTITUTE(SUBSTITUTE(SUBSTITUTE(LOWER(TRIM(H713)),"á","a"),"é","e"),"í","i"),"ó","o"),"ú","u"),"ü","u"),"ñ","n"),"à","a"),"è","e"),"ì","i"),"ò","o"),"ù","u"),"")</f>
        <v/>
      </c>
      <c r="V713" s="25">
        <f>IF(AND(Q713=1,L713&lt;&gt;""),SUBSTITUTE(SUBSTITUTE(SUBSTITUTE(SUBSTITUTE(SUBSTITUTE(SUBSTITUTE(SUBSTITUTE(SUBSTITUTE(SUBSTITUTE(SUBSTITUTE(SUBSTITUTE(SUBSTITUTE(LOWER(TRIM(L713)),"á","a"),"é","e"),"í","i"),"ó","o"),"ú","u"),"ü","u"),"ñ","n"),"à","a"),"è","e"),"ì","i"),"ò","o"),"ù","u"),"")</f>
        <v/>
      </c>
      <c r="W713" s="25">
        <f>IF(AND(Q713=1,I713&lt;&gt;""),SUBSTITUTE(SUBSTITUTE(SUBSTITUTE(SUBSTITUTE(SUBSTITUTE(SUBSTITUTE(SUBSTITUTE(SUBSTITUTE(SUBSTITUTE(SUBSTITUTE(SUBSTITUTE(SUBSTITUTE(LOWER(TRIM(I713)),"á","a"),"é","e"),"í","i"),"ó","o"),"ú","u"),"ü","u"),"ñ","n"),"à","a"),"è","e"),"ì","i"),"ò","o"),"ù","u"),"")</f>
        <v/>
      </c>
      <c r="X713" s="25">
        <f>IF(U713="","",IF(OR(U713="si, en la proxima tarea",U713="si, con cambios"),1,0))</f>
        <v/>
      </c>
      <c r="Y713" s="25">
        <f>IF(AND(Q713=1,A713&lt;&gt;""),IF(IFERROR(COUNTIFS(A$3:A713,"="&amp;SUBSTITUTE(SUBSTITUTE(SUBSTITUTE(A713,"~","~~"),"*","~*"),"?","~?"),Q$3:Q713,1),0)=1,MAX(Y$2:Y712)+1,""),"")</f>
        <v/>
      </c>
      <c r="Z713" s="25">
        <f>IF(Y713="","",COUNTIFS($A$3:$A$1002,"="&amp;SUBSTITUTE(SUBSTITUTE(SUBSTITUTE(A713,"~","~~"),"*","~*"),"?","~?"),$Q$3:$Q$1002,1)*10000-Y713)</f>
        <v/>
      </c>
    </row>
    <row r="714">
      <c r="A714">
        <f>IF(A$2=0,"",IFERROR(TRIM(INDEX('Pegar docentes'!$A$1:$BZ$1001,713,A$2)&amp;""),""))</f>
        <v/>
      </c>
      <c r="B714">
        <f>IF(B$2=0,"",IFERROR(TRIM(INDEX('Pegar docentes'!$A$1:$BZ$1001,713,B$2)&amp;""),""))</f>
        <v/>
      </c>
      <c r="C714">
        <f>IF(C$2=0,"",IFERROR(TRIM(INDEX('Pegar docentes'!$A$1:$BZ$1001,713,C$2)&amp;""),""))</f>
        <v/>
      </c>
      <c r="D714">
        <f>IF(D$2=0,"",IFERROR(TRIM(INDEX('Pegar docentes'!$A$1:$BZ$1001,713,D$2)&amp;""),""))</f>
        <v/>
      </c>
      <c r="E714">
        <f>IF(E$2=0,"",IFERROR(TRIM(INDEX('Pegar docentes'!$A$1:$BZ$1001,713,E$2)&amp;""),""))</f>
        <v/>
      </c>
      <c r="F714">
        <f>IF(F$2=0,"",IFERROR(TRIM(INDEX('Pegar docentes'!$A$1:$BZ$1001,713,F$2)&amp;""),""))</f>
        <v/>
      </c>
      <c r="G714">
        <f>IF(G$2=0,"",IFERROR(TRIM(INDEX('Pegar docentes'!$A$1:$BZ$1001,713,G$2)&amp;""),""))</f>
        <v/>
      </c>
      <c r="H714">
        <f>IF(H$2=0,"",IFERROR(TRIM(INDEX('Pegar docentes'!$A$1:$BZ$1001,713,H$2)&amp;""),""))</f>
        <v/>
      </c>
      <c r="I714">
        <f>IF(I$2=0,"",IFERROR(TRIM(INDEX('Pegar docentes'!$A$1:$BZ$1001,713,I$2)&amp;""),""))</f>
        <v/>
      </c>
      <c r="J714">
        <f>IF(J$2=0,"",IFERROR(TRIM(INDEX('Pegar docentes'!$A$1:$BZ$1001,713,J$2)&amp;""),""))</f>
        <v/>
      </c>
      <c r="K714">
        <f>IF(K$2=0,"",IFERROR(TRIM(INDEX('Pegar docentes'!$A$1:$BZ$1001,713,K$2)&amp;""),""))</f>
        <v/>
      </c>
      <c r="L714">
        <f>IF(L$2=0,"",IFERROR(TRIM(INDEX('Pegar docentes'!$A$1:$BZ$1001,713,L$2)&amp;""),""))</f>
        <v/>
      </c>
      <c r="M714">
        <f>IF(M$2=0,"",IFERROR(TRIM(INDEX('Pegar docentes'!$A$1:$BZ$1001,713,M$2)&amp;""),""))</f>
        <v/>
      </c>
      <c r="N714">
        <f>IF(N$2=0,"",IFERROR(TRIM(INDEX('Pegar docentes'!$A$1:$BZ$1001,713,N$2)&amp;""),""))</f>
        <v/>
      </c>
      <c r="O714">
        <f>IF(O$2=0,"",IFERROR(TRIM(INDEX('Pegar docentes'!$A$1:$BZ$1001,713,O$2)&amp;""),""))</f>
        <v/>
      </c>
      <c r="P714">
        <f>IF(P$2=0,"",IFERROR(TRIM(INDEX('Pegar docentes'!$A$1:$BZ$1001,713,P$2)&amp;""),""))</f>
        <v/>
      </c>
      <c r="Q714" s="25">
        <f>IF(OR(D714&lt;&gt;"",H714&lt;&gt;""),1,"")</f>
        <v/>
      </c>
      <c r="R714" s="25">
        <f>IF(Q714=1,IF(ISNUMBER(FIND("#"&amp;MID(D714,1,1)&amp;"#","#0#1#2#3#4#5#6#7#8#9#")),IF(ISNUMBER(FIND("#"&amp;MID(D714,2,1)&amp;"#","#0#1#2#3#4#5#6#7#8#9#")),IF(AND(VALUE(LEFT(D714,2))&gt;=1,VALUE(LEFT(D714,2))&lt;=5),VALUE(LEFT(D714,2)),""),IF(AND(VALUE(LEFT(D714,1))&gt;=1,VALUE(LEFT(D714,1))&lt;=5),VALUE(LEFT(D714,1)),"")),""),"")</f>
        <v/>
      </c>
      <c r="S714" s="25">
        <f>IF(AND(Q714=1,E714&lt;&gt;""),SUBSTITUTE(SUBSTITUTE(SUBSTITUTE(SUBSTITUTE(SUBSTITUTE(SUBSTITUTE(SUBSTITUTE(SUBSTITUTE(SUBSTITUTE(SUBSTITUTE(SUBSTITUTE(SUBSTITUTE(LOWER(TRIM(E714)),"á","a"),"é","e"),"í","i"),"ó","o"),"ú","u"),"ü","u"),"ñ","n"),"à","a"),"è","e"),"ì","i"),"ò","o"),"ù","u"),"")</f>
        <v/>
      </c>
      <c r="T714" s="25">
        <f>IF(AND(Q714=1,G714&lt;&gt;""),SUBSTITUTE(SUBSTITUTE(SUBSTITUTE(SUBSTITUTE(SUBSTITUTE(SUBSTITUTE(SUBSTITUTE(SUBSTITUTE(SUBSTITUTE(SUBSTITUTE(SUBSTITUTE(SUBSTITUTE(LOWER(TRIM(G714)),"á","a"),"é","e"),"í","i"),"ó","o"),"ú","u"),"ü","u"),"ñ","n"),"à","a"),"è","e"),"ì","i"),"ò","o"),"ù","u"),"")</f>
        <v/>
      </c>
      <c r="U714" s="25">
        <f>IF(AND(Q714=1,H714&lt;&gt;""),SUBSTITUTE(SUBSTITUTE(SUBSTITUTE(SUBSTITUTE(SUBSTITUTE(SUBSTITUTE(SUBSTITUTE(SUBSTITUTE(SUBSTITUTE(SUBSTITUTE(SUBSTITUTE(SUBSTITUTE(LOWER(TRIM(H714)),"á","a"),"é","e"),"í","i"),"ó","o"),"ú","u"),"ü","u"),"ñ","n"),"à","a"),"è","e"),"ì","i"),"ò","o"),"ù","u"),"")</f>
        <v/>
      </c>
      <c r="V714" s="25">
        <f>IF(AND(Q714=1,L714&lt;&gt;""),SUBSTITUTE(SUBSTITUTE(SUBSTITUTE(SUBSTITUTE(SUBSTITUTE(SUBSTITUTE(SUBSTITUTE(SUBSTITUTE(SUBSTITUTE(SUBSTITUTE(SUBSTITUTE(SUBSTITUTE(LOWER(TRIM(L714)),"á","a"),"é","e"),"í","i"),"ó","o"),"ú","u"),"ü","u"),"ñ","n"),"à","a"),"è","e"),"ì","i"),"ò","o"),"ù","u"),"")</f>
        <v/>
      </c>
      <c r="W714" s="25">
        <f>IF(AND(Q714=1,I714&lt;&gt;""),SUBSTITUTE(SUBSTITUTE(SUBSTITUTE(SUBSTITUTE(SUBSTITUTE(SUBSTITUTE(SUBSTITUTE(SUBSTITUTE(SUBSTITUTE(SUBSTITUTE(SUBSTITUTE(SUBSTITUTE(LOWER(TRIM(I714)),"á","a"),"é","e"),"í","i"),"ó","o"),"ú","u"),"ü","u"),"ñ","n"),"à","a"),"è","e"),"ì","i"),"ò","o"),"ù","u"),"")</f>
        <v/>
      </c>
      <c r="X714" s="25">
        <f>IF(U714="","",IF(OR(U714="si, en la proxima tarea",U714="si, con cambios"),1,0))</f>
        <v/>
      </c>
      <c r="Y714" s="25">
        <f>IF(AND(Q714=1,A714&lt;&gt;""),IF(IFERROR(COUNTIFS(A$3:A714,"="&amp;SUBSTITUTE(SUBSTITUTE(SUBSTITUTE(A714,"~","~~"),"*","~*"),"?","~?"),Q$3:Q714,1),0)=1,MAX(Y$2:Y713)+1,""),"")</f>
        <v/>
      </c>
      <c r="Z714" s="25">
        <f>IF(Y714="","",COUNTIFS($A$3:$A$1002,"="&amp;SUBSTITUTE(SUBSTITUTE(SUBSTITUTE(A714,"~","~~"),"*","~*"),"?","~?"),$Q$3:$Q$1002,1)*10000-Y714)</f>
        <v/>
      </c>
    </row>
    <row r="715">
      <c r="A715">
        <f>IF(A$2=0,"",IFERROR(TRIM(INDEX('Pegar docentes'!$A$1:$BZ$1001,714,A$2)&amp;""),""))</f>
        <v/>
      </c>
      <c r="B715">
        <f>IF(B$2=0,"",IFERROR(TRIM(INDEX('Pegar docentes'!$A$1:$BZ$1001,714,B$2)&amp;""),""))</f>
        <v/>
      </c>
      <c r="C715">
        <f>IF(C$2=0,"",IFERROR(TRIM(INDEX('Pegar docentes'!$A$1:$BZ$1001,714,C$2)&amp;""),""))</f>
        <v/>
      </c>
      <c r="D715">
        <f>IF(D$2=0,"",IFERROR(TRIM(INDEX('Pegar docentes'!$A$1:$BZ$1001,714,D$2)&amp;""),""))</f>
        <v/>
      </c>
      <c r="E715">
        <f>IF(E$2=0,"",IFERROR(TRIM(INDEX('Pegar docentes'!$A$1:$BZ$1001,714,E$2)&amp;""),""))</f>
        <v/>
      </c>
      <c r="F715">
        <f>IF(F$2=0,"",IFERROR(TRIM(INDEX('Pegar docentes'!$A$1:$BZ$1001,714,F$2)&amp;""),""))</f>
        <v/>
      </c>
      <c r="G715">
        <f>IF(G$2=0,"",IFERROR(TRIM(INDEX('Pegar docentes'!$A$1:$BZ$1001,714,G$2)&amp;""),""))</f>
        <v/>
      </c>
      <c r="H715">
        <f>IF(H$2=0,"",IFERROR(TRIM(INDEX('Pegar docentes'!$A$1:$BZ$1001,714,H$2)&amp;""),""))</f>
        <v/>
      </c>
      <c r="I715">
        <f>IF(I$2=0,"",IFERROR(TRIM(INDEX('Pegar docentes'!$A$1:$BZ$1001,714,I$2)&amp;""),""))</f>
        <v/>
      </c>
      <c r="J715">
        <f>IF(J$2=0,"",IFERROR(TRIM(INDEX('Pegar docentes'!$A$1:$BZ$1001,714,J$2)&amp;""),""))</f>
        <v/>
      </c>
      <c r="K715">
        <f>IF(K$2=0,"",IFERROR(TRIM(INDEX('Pegar docentes'!$A$1:$BZ$1001,714,K$2)&amp;""),""))</f>
        <v/>
      </c>
      <c r="L715">
        <f>IF(L$2=0,"",IFERROR(TRIM(INDEX('Pegar docentes'!$A$1:$BZ$1001,714,L$2)&amp;""),""))</f>
        <v/>
      </c>
      <c r="M715">
        <f>IF(M$2=0,"",IFERROR(TRIM(INDEX('Pegar docentes'!$A$1:$BZ$1001,714,M$2)&amp;""),""))</f>
        <v/>
      </c>
      <c r="N715">
        <f>IF(N$2=0,"",IFERROR(TRIM(INDEX('Pegar docentes'!$A$1:$BZ$1001,714,N$2)&amp;""),""))</f>
        <v/>
      </c>
      <c r="O715">
        <f>IF(O$2=0,"",IFERROR(TRIM(INDEX('Pegar docentes'!$A$1:$BZ$1001,714,O$2)&amp;""),""))</f>
        <v/>
      </c>
      <c r="P715">
        <f>IF(P$2=0,"",IFERROR(TRIM(INDEX('Pegar docentes'!$A$1:$BZ$1001,714,P$2)&amp;""),""))</f>
        <v/>
      </c>
      <c r="Q715" s="25">
        <f>IF(OR(D715&lt;&gt;"",H715&lt;&gt;""),1,"")</f>
        <v/>
      </c>
      <c r="R715" s="25">
        <f>IF(Q715=1,IF(ISNUMBER(FIND("#"&amp;MID(D715,1,1)&amp;"#","#0#1#2#3#4#5#6#7#8#9#")),IF(ISNUMBER(FIND("#"&amp;MID(D715,2,1)&amp;"#","#0#1#2#3#4#5#6#7#8#9#")),IF(AND(VALUE(LEFT(D715,2))&gt;=1,VALUE(LEFT(D715,2))&lt;=5),VALUE(LEFT(D715,2)),""),IF(AND(VALUE(LEFT(D715,1))&gt;=1,VALUE(LEFT(D715,1))&lt;=5),VALUE(LEFT(D715,1)),"")),""),"")</f>
        <v/>
      </c>
      <c r="S715" s="25">
        <f>IF(AND(Q715=1,E715&lt;&gt;""),SUBSTITUTE(SUBSTITUTE(SUBSTITUTE(SUBSTITUTE(SUBSTITUTE(SUBSTITUTE(SUBSTITUTE(SUBSTITUTE(SUBSTITUTE(SUBSTITUTE(SUBSTITUTE(SUBSTITUTE(LOWER(TRIM(E715)),"á","a"),"é","e"),"í","i"),"ó","o"),"ú","u"),"ü","u"),"ñ","n"),"à","a"),"è","e"),"ì","i"),"ò","o"),"ù","u"),"")</f>
        <v/>
      </c>
      <c r="T715" s="25">
        <f>IF(AND(Q715=1,G715&lt;&gt;""),SUBSTITUTE(SUBSTITUTE(SUBSTITUTE(SUBSTITUTE(SUBSTITUTE(SUBSTITUTE(SUBSTITUTE(SUBSTITUTE(SUBSTITUTE(SUBSTITUTE(SUBSTITUTE(SUBSTITUTE(LOWER(TRIM(G715)),"á","a"),"é","e"),"í","i"),"ó","o"),"ú","u"),"ü","u"),"ñ","n"),"à","a"),"è","e"),"ì","i"),"ò","o"),"ù","u"),"")</f>
        <v/>
      </c>
      <c r="U715" s="25">
        <f>IF(AND(Q715=1,H715&lt;&gt;""),SUBSTITUTE(SUBSTITUTE(SUBSTITUTE(SUBSTITUTE(SUBSTITUTE(SUBSTITUTE(SUBSTITUTE(SUBSTITUTE(SUBSTITUTE(SUBSTITUTE(SUBSTITUTE(SUBSTITUTE(LOWER(TRIM(H715)),"á","a"),"é","e"),"í","i"),"ó","o"),"ú","u"),"ü","u"),"ñ","n"),"à","a"),"è","e"),"ì","i"),"ò","o"),"ù","u"),"")</f>
        <v/>
      </c>
      <c r="V715" s="25">
        <f>IF(AND(Q715=1,L715&lt;&gt;""),SUBSTITUTE(SUBSTITUTE(SUBSTITUTE(SUBSTITUTE(SUBSTITUTE(SUBSTITUTE(SUBSTITUTE(SUBSTITUTE(SUBSTITUTE(SUBSTITUTE(SUBSTITUTE(SUBSTITUTE(LOWER(TRIM(L715)),"á","a"),"é","e"),"í","i"),"ó","o"),"ú","u"),"ü","u"),"ñ","n"),"à","a"),"è","e"),"ì","i"),"ò","o"),"ù","u"),"")</f>
        <v/>
      </c>
      <c r="W715" s="25">
        <f>IF(AND(Q715=1,I715&lt;&gt;""),SUBSTITUTE(SUBSTITUTE(SUBSTITUTE(SUBSTITUTE(SUBSTITUTE(SUBSTITUTE(SUBSTITUTE(SUBSTITUTE(SUBSTITUTE(SUBSTITUTE(SUBSTITUTE(SUBSTITUTE(LOWER(TRIM(I715)),"á","a"),"é","e"),"í","i"),"ó","o"),"ú","u"),"ü","u"),"ñ","n"),"à","a"),"è","e"),"ì","i"),"ò","o"),"ù","u"),"")</f>
        <v/>
      </c>
      <c r="X715" s="25">
        <f>IF(U715="","",IF(OR(U715="si, en la proxima tarea",U715="si, con cambios"),1,0))</f>
        <v/>
      </c>
      <c r="Y715" s="25">
        <f>IF(AND(Q715=1,A715&lt;&gt;""),IF(IFERROR(COUNTIFS(A$3:A715,"="&amp;SUBSTITUTE(SUBSTITUTE(SUBSTITUTE(A715,"~","~~"),"*","~*"),"?","~?"),Q$3:Q715,1),0)=1,MAX(Y$2:Y714)+1,""),"")</f>
        <v/>
      </c>
      <c r="Z715" s="25">
        <f>IF(Y715="","",COUNTIFS($A$3:$A$1002,"="&amp;SUBSTITUTE(SUBSTITUTE(SUBSTITUTE(A715,"~","~~"),"*","~*"),"?","~?"),$Q$3:$Q$1002,1)*10000-Y715)</f>
        <v/>
      </c>
    </row>
    <row r="716">
      <c r="A716">
        <f>IF(A$2=0,"",IFERROR(TRIM(INDEX('Pegar docentes'!$A$1:$BZ$1001,715,A$2)&amp;""),""))</f>
        <v/>
      </c>
      <c r="B716">
        <f>IF(B$2=0,"",IFERROR(TRIM(INDEX('Pegar docentes'!$A$1:$BZ$1001,715,B$2)&amp;""),""))</f>
        <v/>
      </c>
      <c r="C716">
        <f>IF(C$2=0,"",IFERROR(TRIM(INDEX('Pegar docentes'!$A$1:$BZ$1001,715,C$2)&amp;""),""))</f>
        <v/>
      </c>
      <c r="D716">
        <f>IF(D$2=0,"",IFERROR(TRIM(INDEX('Pegar docentes'!$A$1:$BZ$1001,715,D$2)&amp;""),""))</f>
        <v/>
      </c>
      <c r="E716">
        <f>IF(E$2=0,"",IFERROR(TRIM(INDEX('Pegar docentes'!$A$1:$BZ$1001,715,E$2)&amp;""),""))</f>
        <v/>
      </c>
      <c r="F716">
        <f>IF(F$2=0,"",IFERROR(TRIM(INDEX('Pegar docentes'!$A$1:$BZ$1001,715,F$2)&amp;""),""))</f>
        <v/>
      </c>
      <c r="G716">
        <f>IF(G$2=0,"",IFERROR(TRIM(INDEX('Pegar docentes'!$A$1:$BZ$1001,715,G$2)&amp;""),""))</f>
        <v/>
      </c>
      <c r="H716">
        <f>IF(H$2=0,"",IFERROR(TRIM(INDEX('Pegar docentes'!$A$1:$BZ$1001,715,H$2)&amp;""),""))</f>
        <v/>
      </c>
      <c r="I716">
        <f>IF(I$2=0,"",IFERROR(TRIM(INDEX('Pegar docentes'!$A$1:$BZ$1001,715,I$2)&amp;""),""))</f>
        <v/>
      </c>
      <c r="J716">
        <f>IF(J$2=0,"",IFERROR(TRIM(INDEX('Pegar docentes'!$A$1:$BZ$1001,715,J$2)&amp;""),""))</f>
        <v/>
      </c>
      <c r="K716">
        <f>IF(K$2=0,"",IFERROR(TRIM(INDEX('Pegar docentes'!$A$1:$BZ$1001,715,K$2)&amp;""),""))</f>
        <v/>
      </c>
      <c r="L716">
        <f>IF(L$2=0,"",IFERROR(TRIM(INDEX('Pegar docentes'!$A$1:$BZ$1001,715,L$2)&amp;""),""))</f>
        <v/>
      </c>
      <c r="M716">
        <f>IF(M$2=0,"",IFERROR(TRIM(INDEX('Pegar docentes'!$A$1:$BZ$1001,715,M$2)&amp;""),""))</f>
        <v/>
      </c>
      <c r="N716">
        <f>IF(N$2=0,"",IFERROR(TRIM(INDEX('Pegar docentes'!$A$1:$BZ$1001,715,N$2)&amp;""),""))</f>
        <v/>
      </c>
      <c r="O716">
        <f>IF(O$2=0,"",IFERROR(TRIM(INDEX('Pegar docentes'!$A$1:$BZ$1001,715,O$2)&amp;""),""))</f>
        <v/>
      </c>
      <c r="P716">
        <f>IF(P$2=0,"",IFERROR(TRIM(INDEX('Pegar docentes'!$A$1:$BZ$1001,715,P$2)&amp;""),""))</f>
        <v/>
      </c>
      <c r="Q716" s="25">
        <f>IF(OR(D716&lt;&gt;"",H716&lt;&gt;""),1,"")</f>
        <v/>
      </c>
      <c r="R716" s="25">
        <f>IF(Q716=1,IF(ISNUMBER(FIND("#"&amp;MID(D716,1,1)&amp;"#","#0#1#2#3#4#5#6#7#8#9#")),IF(ISNUMBER(FIND("#"&amp;MID(D716,2,1)&amp;"#","#0#1#2#3#4#5#6#7#8#9#")),IF(AND(VALUE(LEFT(D716,2))&gt;=1,VALUE(LEFT(D716,2))&lt;=5),VALUE(LEFT(D716,2)),""),IF(AND(VALUE(LEFT(D716,1))&gt;=1,VALUE(LEFT(D716,1))&lt;=5),VALUE(LEFT(D716,1)),"")),""),"")</f>
        <v/>
      </c>
      <c r="S716" s="25">
        <f>IF(AND(Q716=1,E716&lt;&gt;""),SUBSTITUTE(SUBSTITUTE(SUBSTITUTE(SUBSTITUTE(SUBSTITUTE(SUBSTITUTE(SUBSTITUTE(SUBSTITUTE(SUBSTITUTE(SUBSTITUTE(SUBSTITUTE(SUBSTITUTE(LOWER(TRIM(E716)),"á","a"),"é","e"),"í","i"),"ó","o"),"ú","u"),"ü","u"),"ñ","n"),"à","a"),"è","e"),"ì","i"),"ò","o"),"ù","u"),"")</f>
        <v/>
      </c>
      <c r="T716" s="25">
        <f>IF(AND(Q716=1,G716&lt;&gt;""),SUBSTITUTE(SUBSTITUTE(SUBSTITUTE(SUBSTITUTE(SUBSTITUTE(SUBSTITUTE(SUBSTITUTE(SUBSTITUTE(SUBSTITUTE(SUBSTITUTE(SUBSTITUTE(SUBSTITUTE(LOWER(TRIM(G716)),"á","a"),"é","e"),"í","i"),"ó","o"),"ú","u"),"ü","u"),"ñ","n"),"à","a"),"è","e"),"ì","i"),"ò","o"),"ù","u"),"")</f>
        <v/>
      </c>
      <c r="U716" s="25">
        <f>IF(AND(Q716=1,H716&lt;&gt;""),SUBSTITUTE(SUBSTITUTE(SUBSTITUTE(SUBSTITUTE(SUBSTITUTE(SUBSTITUTE(SUBSTITUTE(SUBSTITUTE(SUBSTITUTE(SUBSTITUTE(SUBSTITUTE(SUBSTITUTE(LOWER(TRIM(H716)),"á","a"),"é","e"),"í","i"),"ó","o"),"ú","u"),"ü","u"),"ñ","n"),"à","a"),"è","e"),"ì","i"),"ò","o"),"ù","u"),"")</f>
        <v/>
      </c>
      <c r="V716" s="25">
        <f>IF(AND(Q716=1,L716&lt;&gt;""),SUBSTITUTE(SUBSTITUTE(SUBSTITUTE(SUBSTITUTE(SUBSTITUTE(SUBSTITUTE(SUBSTITUTE(SUBSTITUTE(SUBSTITUTE(SUBSTITUTE(SUBSTITUTE(SUBSTITUTE(LOWER(TRIM(L716)),"á","a"),"é","e"),"í","i"),"ó","o"),"ú","u"),"ü","u"),"ñ","n"),"à","a"),"è","e"),"ì","i"),"ò","o"),"ù","u"),"")</f>
        <v/>
      </c>
      <c r="W716" s="25">
        <f>IF(AND(Q716=1,I716&lt;&gt;""),SUBSTITUTE(SUBSTITUTE(SUBSTITUTE(SUBSTITUTE(SUBSTITUTE(SUBSTITUTE(SUBSTITUTE(SUBSTITUTE(SUBSTITUTE(SUBSTITUTE(SUBSTITUTE(SUBSTITUTE(LOWER(TRIM(I716)),"á","a"),"é","e"),"í","i"),"ó","o"),"ú","u"),"ü","u"),"ñ","n"),"à","a"),"è","e"),"ì","i"),"ò","o"),"ù","u"),"")</f>
        <v/>
      </c>
      <c r="X716" s="25">
        <f>IF(U716="","",IF(OR(U716="si, en la proxima tarea",U716="si, con cambios"),1,0))</f>
        <v/>
      </c>
      <c r="Y716" s="25">
        <f>IF(AND(Q716=1,A716&lt;&gt;""),IF(IFERROR(COUNTIFS(A$3:A716,"="&amp;SUBSTITUTE(SUBSTITUTE(SUBSTITUTE(A716,"~","~~"),"*","~*"),"?","~?"),Q$3:Q716,1),0)=1,MAX(Y$2:Y715)+1,""),"")</f>
        <v/>
      </c>
      <c r="Z716" s="25">
        <f>IF(Y716="","",COUNTIFS($A$3:$A$1002,"="&amp;SUBSTITUTE(SUBSTITUTE(SUBSTITUTE(A716,"~","~~"),"*","~*"),"?","~?"),$Q$3:$Q$1002,1)*10000-Y716)</f>
        <v/>
      </c>
    </row>
    <row r="717">
      <c r="A717">
        <f>IF(A$2=0,"",IFERROR(TRIM(INDEX('Pegar docentes'!$A$1:$BZ$1001,716,A$2)&amp;""),""))</f>
        <v/>
      </c>
      <c r="B717">
        <f>IF(B$2=0,"",IFERROR(TRIM(INDEX('Pegar docentes'!$A$1:$BZ$1001,716,B$2)&amp;""),""))</f>
        <v/>
      </c>
      <c r="C717">
        <f>IF(C$2=0,"",IFERROR(TRIM(INDEX('Pegar docentes'!$A$1:$BZ$1001,716,C$2)&amp;""),""))</f>
        <v/>
      </c>
      <c r="D717">
        <f>IF(D$2=0,"",IFERROR(TRIM(INDEX('Pegar docentes'!$A$1:$BZ$1001,716,D$2)&amp;""),""))</f>
        <v/>
      </c>
      <c r="E717">
        <f>IF(E$2=0,"",IFERROR(TRIM(INDEX('Pegar docentes'!$A$1:$BZ$1001,716,E$2)&amp;""),""))</f>
        <v/>
      </c>
      <c r="F717">
        <f>IF(F$2=0,"",IFERROR(TRIM(INDEX('Pegar docentes'!$A$1:$BZ$1001,716,F$2)&amp;""),""))</f>
        <v/>
      </c>
      <c r="G717">
        <f>IF(G$2=0,"",IFERROR(TRIM(INDEX('Pegar docentes'!$A$1:$BZ$1001,716,G$2)&amp;""),""))</f>
        <v/>
      </c>
      <c r="H717">
        <f>IF(H$2=0,"",IFERROR(TRIM(INDEX('Pegar docentes'!$A$1:$BZ$1001,716,H$2)&amp;""),""))</f>
        <v/>
      </c>
      <c r="I717">
        <f>IF(I$2=0,"",IFERROR(TRIM(INDEX('Pegar docentes'!$A$1:$BZ$1001,716,I$2)&amp;""),""))</f>
        <v/>
      </c>
      <c r="J717">
        <f>IF(J$2=0,"",IFERROR(TRIM(INDEX('Pegar docentes'!$A$1:$BZ$1001,716,J$2)&amp;""),""))</f>
        <v/>
      </c>
      <c r="K717">
        <f>IF(K$2=0,"",IFERROR(TRIM(INDEX('Pegar docentes'!$A$1:$BZ$1001,716,K$2)&amp;""),""))</f>
        <v/>
      </c>
      <c r="L717">
        <f>IF(L$2=0,"",IFERROR(TRIM(INDEX('Pegar docentes'!$A$1:$BZ$1001,716,L$2)&amp;""),""))</f>
        <v/>
      </c>
      <c r="M717">
        <f>IF(M$2=0,"",IFERROR(TRIM(INDEX('Pegar docentes'!$A$1:$BZ$1001,716,M$2)&amp;""),""))</f>
        <v/>
      </c>
      <c r="N717">
        <f>IF(N$2=0,"",IFERROR(TRIM(INDEX('Pegar docentes'!$A$1:$BZ$1001,716,N$2)&amp;""),""))</f>
        <v/>
      </c>
      <c r="O717">
        <f>IF(O$2=0,"",IFERROR(TRIM(INDEX('Pegar docentes'!$A$1:$BZ$1001,716,O$2)&amp;""),""))</f>
        <v/>
      </c>
      <c r="P717">
        <f>IF(P$2=0,"",IFERROR(TRIM(INDEX('Pegar docentes'!$A$1:$BZ$1001,716,P$2)&amp;""),""))</f>
        <v/>
      </c>
      <c r="Q717" s="25">
        <f>IF(OR(D717&lt;&gt;"",H717&lt;&gt;""),1,"")</f>
        <v/>
      </c>
      <c r="R717" s="25">
        <f>IF(Q717=1,IF(ISNUMBER(FIND("#"&amp;MID(D717,1,1)&amp;"#","#0#1#2#3#4#5#6#7#8#9#")),IF(ISNUMBER(FIND("#"&amp;MID(D717,2,1)&amp;"#","#0#1#2#3#4#5#6#7#8#9#")),IF(AND(VALUE(LEFT(D717,2))&gt;=1,VALUE(LEFT(D717,2))&lt;=5),VALUE(LEFT(D717,2)),""),IF(AND(VALUE(LEFT(D717,1))&gt;=1,VALUE(LEFT(D717,1))&lt;=5),VALUE(LEFT(D717,1)),"")),""),"")</f>
        <v/>
      </c>
      <c r="S717" s="25">
        <f>IF(AND(Q717=1,E717&lt;&gt;""),SUBSTITUTE(SUBSTITUTE(SUBSTITUTE(SUBSTITUTE(SUBSTITUTE(SUBSTITUTE(SUBSTITUTE(SUBSTITUTE(SUBSTITUTE(SUBSTITUTE(SUBSTITUTE(SUBSTITUTE(LOWER(TRIM(E717)),"á","a"),"é","e"),"í","i"),"ó","o"),"ú","u"),"ü","u"),"ñ","n"),"à","a"),"è","e"),"ì","i"),"ò","o"),"ù","u"),"")</f>
        <v/>
      </c>
      <c r="T717" s="25">
        <f>IF(AND(Q717=1,G717&lt;&gt;""),SUBSTITUTE(SUBSTITUTE(SUBSTITUTE(SUBSTITUTE(SUBSTITUTE(SUBSTITUTE(SUBSTITUTE(SUBSTITUTE(SUBSTITUTE(SUBSTITUTE(SUBSTITUTE(SUBSTITUTE(LOWER(TRIM(G717)),"á","a"),"é","e"),"í","i"),"ó","o"),"ú","u"),"ü","u"),"ñ","n"),"à","a"),"è","e"),"ì","i"),"ò","o"),"ù","u"),"")</f>
        <v/>
      </c>
      <c r="U717" s="25">
        <f>IF(AND(Q717=1,H717&lt;&gt;""),SUBSTITUTE(SUBSTITUTE(SUBSTITUTE(SUBSTITUTE(SUBSTITUTE(SUBSTITUTE(SUBSTITUTE(SUBSTITUTE(SUBSTITUTE(SUBSTITUTE(SUBSTITUTE(SUBSTITUTE(LOWER(TRIM(H717)),"á","a"),"é","e"),"í","i"),"ó","o"),"ú","u"),"ü","u"),"ñ","n"),"à","a"),"è","e"),"ì","i"),"ò","o"),"ù","u"),"")</f>
        <v/>
      </c>
      <c r="V717" s="25">
        <f>IF(AND(Q717=1,L717&lt;&gt;""),SUBSTITUTE(SUBSTITUTE(SUBSTITUTE(SUBSTITUTE(SUBSTITUTE(SUBSTITUTE(SUBSTITUTE(SUBSTITUTE(SUBSTITUTE(SUBSTITUTE(SUBSTITUTE(SUBSTITUTE(LOWER(TRIM(L717)),"á","a"),"é","e"),"í","i"),"ó","o"),"ú","u"),"ü","u"),"ñ","n"),"à","a"),"è","e"),"ì","i"),"ò","o"),"ù","u"),"")</f>
        <v/>
      </c>
      <c r="W717" s="25">
        <f>IF(AND(Q717=1,I717&lt;&gt;""),SUBSTITUTE(SUBSTITUTE(SUBSTITUTE(SUBSTITUTE(SUBSTITUTE(SUBSTITUTE(SUBSTITUTE(SUBSTITUTE(SUBSTITUTE(SUBSTITUTE(SUBSTITUTE(SUBSTITUTE(LOWER(TRIM(I717)),"á","a"),"é","e"),"í","i"),"ó","o"),"ú","u"),"ü","u"),"ñ","n"),"à","a"),"è","e"),"ì","i"),"ò","o"),"ù","u"),"")</f>
        <v/>
      </c>
      <c r="X717" s="25">
        <f>IF(U717="","",IF(OR(U717="si, en la proxima tarea",U717="si, con cambios"),1,0))</f>
        <v/>
      </c>
      <c r="Y717" s="25">
        <f>IF(AND(Q717=1,A717&lt;&gt;""),IF(IFERROR(COUNTIFS(A$3:A717,"="&amp;SUBSTITUTE(SUBSTITUTE(SUBSTITUTE(A717,"~","~~"),"*","~*"),"?","~?"),Q$3:Q717,1),0)=1,MAX(Y$2:Y716)+1,""),"")</f>
        <v/>
      </c>
      <c r="Z717" s="25">
        <f>IF(Y717="","",COUNTIFS($A$3:$A$1002,"="&amp;SUBSTITUTE(SUBSTITUTE(SUBSTITUTE(A717,"~","~~"),"*","~*"),"?","~?"),$Q$3:$Q$1002,1)*10000-Y717)</f>
        <v/>
      </c>
    </row>
    <row r="718">
      <c r="A718">
        <f>IF(A$2=0,"",IFERROR(TRIM(INDEX('Pegar docentes'!$A$1:$BZ$1001,717,A$2)&amp;""),""))</f>
        <v/>
      </c>
      <c r="B718">
        <f>IF(B$2=0,"",IFERROR(TRIM(INDEX('Pegar docentes'!$A$1:$BZ$1001,717,B$2)&amp;""),""))</f>
        <v/>
      </c>
      <c r="C718">
        <f>IF(C$2=0,"",IFERROR(TRIM(INDEX('Pegar docentes'!$A$1:$BZ$1001,717,C$2)&amp;""),""))</f>
        <v/>
      </c>
      <c r="D718">
        <f>IF(D$2=0,"",IFERROR(TRIM(INDEX('Pegar docentes'!$A$1:$BZ$1001,717,D$2)&amp;""),""))</f>
        <v/>
      </c>
      <c r="E718">
        <f>IF(E$2=0,"",IFERROR(TRIM(INDEX('Pegar docentes'!$A$1:$BZ$1001,717,E$2)&amp;""),""))</f>
        <v/>
      </c>
      <c r="F718">
        <f>IF(F$2=0,"",IFERROR(TRIM(INDEX('Pegar docentes'!$A$1:$BZ$1001,717,F$2)&amp;""),""))</f>
        <v/>
      </c>
      <c r="G718">
        <f>IF(G$2=0,"",IFERROR(TRIM(INDEX('Pegar docentes'!$A$1:$BZ$1001,717,G$2)&amp;""),""))</f>
        <v/>
      </c>
      <c r="H718">
        <f>IF(H$2=0,"",IFERROR(TRIM(INDEX('Pegar docentes'!$A$1:$BZ$1001,717,H$2)&amp;""),""))</f>
        <v/>
      </c>
      <c r="I718">
        <f>IF(I$2=0,"",IFERROR(TRIM(INDEX('Pegar docentes'!$A$1:$BZ$1001,717,I$2)&amp;""),""))</f>
        <v/>
      </c>
      <c r="J718">
        <f>IF(J$2=0,"",IFERROR(TRIM(INDEX('Pegar docentes'!$A$1:$BZ$1001,717,J$2)&amp;""),""))</f>
        <v/>
      </c>
      <c r="K718">
        <f>IF(K$2=0,"",IFERROR(TRIM(INDEX('Pegar docentes'!$A$1:$BZ$1001,717,K$2)&amp;""),""))</f>
        <v/>
      </c>
      <c r="L718">
        <f>IF(L$2=0,"",IFERROR(TRIM(INDEX('Pegar docentes'!$A$1:$BZ$1001,717,L$2)&amp;""),""))</f>
        <v/>
      </c>
      <c r="M718">
        <f>IF(M$2=0,"",IFERROR(TRIM(INDEX('Pegar docentes'!$A$1:$BZ$1001,717,M$2)&amp;""),""))</f>
        <v/>
      </c>
      <c r="N718">
        <f>IF(N$2=0,"",IFERROR(TRIM(INDEX('Pegar docentes'!$A$1:$BZ$1001,717,N$2)&amp;""),""))</f>
        <v/>
      </c>
      <c r="O718">
        <f>IF(O$2=0,"",IFERROR(TRIM(INDEX('Pegar docentes'!$A$1:$BZ$1001,717,O$2)&amp;""),""))</f>
        <v/>
      </c>
      <c r="P718">
        <f>IF(P$2=0,"",IFERROR(TRIM(INDEX('Pegar docentes'!$A$1:$BZ$1001,717,P$2)&amp;""),""))</f>
        <v/>
      </c>
      <c r="Q718" s="25">
        <f>IF(OR(D718&lt;&gt;"",H718&lt;&gt;""),1,"")</f>
        <v/>
      </c>
      <c r="R718" s="25">
        <f>IF(Q718=1,IF(ISNUMBER(FIND("#"&amp;MID(D718,1,1)&amp;"#","#0#1#2#3#4#5#6#7#8#9#")),IF(ISNUMBER(FIND("#"&amp;MID(D718,2,1)&amp;"#","#0#1#2#3#4#5#6#7#8#9#")),IF(AND(VALUE(LEFT(D718,2))&gt;=1,VALUE(LEFT(D718,2))&lt;=5),VALUE(LEFT(D718,2)),""),IF(AND(VALUE(LEFT(D718,1))&gt;=1,VALUE(LEFT(D718,1))&lt;=5),VALUE(LEFT(D718,1)),"")),""),"")</f>
        <v/>
      </c>
      <c r="S718" s="25">
        <f>IF(AND(Q718=1,E718&lt;&gt;""),SUBSTITUTE(SUBSTITUTE(SUBSTITUTE(SUBSTITUTE(SUBSTITUTE(SUBSTITUTE(SUBSTITUTE(SUBSTITUTE(SUBSTITUTE(SUBSTITUTE(SUBSTITUTE(SUBSTITUTE(LOWER(TRIM(E718)),"á","a"),"é","e"),"í","i"),"ó","o"),"ú","u"),"ü","u"),"ñ","n"),"à","a"),"è","e"),"ì","i"),"ò","o"),"ù","u"),"")</f>
        <v/>
      </c>
      <c r="T718" s="25">
        <f>IF(AND(Q718=1,G718&lt;&gt;""),SUBSTITUTE(SUBSTITUTE(SUBSTITUTE(SUBSTITUTE(SUBSTITUTE(SUBSTITUTE(SUBSTITUTE(SUBSTITUTE(SUBSTITUTE(SUBSTITUTE(SUBSTITUTE(SUBSTITUTE(LOWER(TRIM(G718)),"á","a"),"é","e"),"í","i"),"ó","o"),"ú","u"),"ü","u"),"ñ","n"),"à","a"),"è","e"),"ì","i"),"ò","o"),"ù","u"),"")</f>
        <v/>
      </c>
      <c r="U718" s="25">
        <f>IF(AND(Q718=1,H718&lt;&gt;""),SUBSTITUTE(SUBSTITUTE(SUBSTITUTE(SUBSTITUTE(SUBSTITUTE(SUBSTITUTE(SUBSTITUTE(SUBSTITUTE(SUBSTITUTE(SUBSTITUTE(SUBSTITUTE(SUBSTITUTE(LOWER(TRIM(H718)),"á","a"),"é","e"),"í","i"),"ó","o"),"ú","u"),"ü","u"),"ñ","n"),"à","a"),"è","e"),"ì","i"),"ò","o"),"ù","u"),"")</f>
        <v/>
      </c>
      <c r="V718" s="25">
        <f>IF(AND(Q718=1,L718&lt;&gt;""),SUBSTITUTE(SUBSTITUTE(SUBSTITUTE(SUBSTITUTE(SUBSTITUTE(SUBSTITUTE(SUBSTITUTE(SUBSTITUTE(SUBSTITUTE(SUBSTITUTE(SUBSTITUTE(SUBSTITUTE(LOWER(TRIM(L718)),"á","a"),"é","e"),"í","i"),"ó","o"),"ú","u"),"ü","u"),"ñ","n"),"à","a"),"è","e"),"ì","i"),"ò","o"),"ù","u"),"")</f>
        <v/>
      </c>
      <c r="W718" s="25">
        <f>IF(AND(Q718=1,I718&lt;&gt;""),SUBSTITUTE(SUBSTITUTE(SUBSTITUTE(SUBSTITUTE(SUBSTITUTE(SUBSTITUTE(SUBSTITUTE(SUBSTITUTE(SUBSTITUTE(SUBSTITUTE(SUBSTITUTE(SUBSTITUTE(LOWER(TRIM(I718)),"á","a"),"é","e"),"í","i"),"ó","o"),"ú","u"),"ü","u"),"ñ","n"),"à","a"),"è","e"),"ì","i"),"ò","o"),"ù","u"),"")</f>
        <v/>
      </c>
      <c r="X718" s="25">
        <f>IF(U718="","",IF(OR(U718="si, en la proxima tarea",U718="si, con cambios"),1,0))</f>
        <v/>
      </c>
      <c r="Y718" s="25">
        <f>IF(AND(Q718=1,A718&lt;&gt;""),IF(IFERROR(COUNTIFS(A$3:A718,"="&amp;SUBSTITUTE(SUBSTITUTE(SUBSTITUTE(A718,"~","~~"),"*","~*"),"?","~?"),Q$3:Q718,1),0)=1,MAX(Y$2:Y717)+1,""),"")</f>
        <v/>
      </c>
      <c r="Z718" s="25">
        <f>IF(Y718="","",COUNTIFS($A$3:$A$1002,"="&amp;SUBSTITUTE(SUBSTITUTE(SUBSTITUTE(A718,"~","~~"),"*","~*"),"?","~?"),$Q$3:$Q$1002,1)*10000-Y718)</f>
        <v/>
      </c>
    </row>
    <row r="719">
      <c r="A719">
        <f>IF(A$2=0,"",IFERROR(TRIM(INDEX('Pegar docentes'!$A$1:$BZ$1001,718,A$2)&amp;""),""))</f>
        <v/>
      </c>
      <c r="B719">
        <f>IF(B$2=0,"",IFERROR(TRIM(INDEX('Pegar docentes'!$A$1:$BZ$1001,718,B$2)&amp;""),""))</f>
        <v/>
      </c>
      <c r="C719">
        <f>IF(C$2=0,"",IFERROR(TRIM(INDEX('Pegar docentes'!$A$1:$BZ$1001,718,C$2)&amp;""),""))</f>
        <v/>
      </c>
      <c r="D719">
        <f>IF(D$2=0,"",IFERROR(TRIM(INDEX('Pegar docentes'!$A$1:$BZ$1001,718,D$2)&amp;""),""))</f>
        <v/>
      </c>
      <c r="E719">
        <f>IF(E$2=0,"",IFERROR(TRIM(INDEX('Pegar docentes'!$A$1:$BZ$1001,718,E$2)&amp;""),""))</f>
        <v/>
      </c>
      <c r="F719">
        <f>IF(F$2=0,"",IFERROR(TRIM(INDEX('Pegar docentes'!$A$1:$BZ$1001,718,F$2)&amp;""),""))</f>
        <v/>
      </c>
      <c r="G719">
        <f>IF(G$2=0,"",IFERROR(TRIM(INDEX('Pegar docentes'!$A$1:$BZ$1001,718,G$2)&amp;""),""))</f>
        <v/>
      </c>
      <c r="H719">
        <f>IF(H$2=0,"",IFERROR(TRIM(INDEX('Pegar docentes'!$A$1:$BZ$1001,718,H$2)&amp;""),""))</f>
        <v/>
      </c>
      <c r="I719">
        <f>IF(I$2=0,"",IFERROR(TRIM(INDEX('Pegar docentes'!$A$1:$BZ$1001,718,I$2)&amp;""),""))</f>
        <v/>
      </c>
      <c r="J719">
        <f>IF(J$2=0,"",IFERROR(TRIM(INDEX('Pegar docentes'!$A$1:$BZ$1001,718,J$2)&amp;""),""))</f>
        <v/>
      </c>
      <c r="K719">
        <f>IF(K$2=0,"",IFERROR(TRIM(INDEX('Pegar docentes'!$A$1:$BZ$1001,718,K$2)&amp;""),""))</f>
        <v/>
      </c>
      <c r="L719">
        <f>IF(L$2=0,"",IFERROR(TRIM(INDEX('Pegar docentes'!$A$1:$BZ$1001,718,L$2)&amp;""),""))</f>
        <v/>
      </c>
      <c r="M719">
        <f>IF(M$2=0,"",IFERROR(TRIM(INDEX('Pegar docentes'!$A$1:$BZ$1001,718,M$2)&amp;""),""))</f>
        <v/>
      </c>
      <c r="N719">
        <f>IF(N$2=0,"",IFERROR(TRIM(INDEX('Pegar docentes'!$A$1:$BZ$1001,718,N$2)&amp;""),""))</f>
        <v/>
      </c>
      <c r="O719">
        <f>IF(O$2=0,"",IFERROR(TRIM(INDEX('Pegar docentes'!$A$1:$BZ$1001,718,O$2)&amp;""),""))</f>
        <v/>
      </c>
      <c r="P719">
        <f>IF(P$2=0,"",IFERROR(TRIM(INDEX('Pegar docentes'!$A$1:$BZ$1001,718,P$2)&amp;""),""))</f>
        <v/>
      </c>
      <c r="Q719" s="25">
        <f>IF(OR(D719&lt;&gt;"",H719&lt;&gt;""),1,"")</f>
        <v/>
      </c>
      <c r="R719" s="25">
        <f>IF(Q719=1,IF(ISNUMBER(FIND("#"&amp;MID(D719,1,1)&amp;"#","#0#1#2#3#4#5#6#7#8#9#")),IF(ISNUMBER(FIND("#"&amp;MID(D719,2,1)&amp;"#","#0#1#2#3#4#5#6#7#8#9#")),IF(AND(VALUE(LEFT(D719,2))&gt;=1,VALUE(LEFT(D719,2))&lt;=5),VALUE(LEFT(D719,2)),""),IF(AND(VALUE(LEFT(D719,1))&gt;=1,VALUE(LEFT(D719,1))&lt;=5),VALUE(LEFT(D719,1)),"")),""),"")</f>
        <v/>
      </c>
      <c r="S719" s="25">
        <f>IF(AND(Q719=1,E719&lt;&gt;""),SUBSTITUTE(SUBSTITUTE(SUBSTITUTE(SUBSTITUTE(SUBSTITUTE(SUBSTITUTE(SUBSTITUTE(SUBSTITUTE(SUBSTITUTE(SUBSTITUTE(SUBSTITUTE(SUBSTITUTE(LOWER(TRIM(E719)),"á","a"),"é","e"),"í","i"),"ó","o"),"ú","u"),"ü","u"),"ñ","n"),"à","a"),"è","e"),"ì","i"),"ò","o"),"ù","u"),"")</f>
        <v/>
      </c>
      <c r="T719" s="25">
        <f>IF(AND(Q719=1,G719&lt;&gt;""),SUBSTITUTE(SUBSTITUTE(SUBSTITUTE(SUBSTITUTE(SUBSTITUTE(SUBSTITUTE(SUBSTITUTE(SUBSTITUTE(SUBSTITUTE(SUBSTITUTE(SUBSTITUTE(SUBSTITUTE(LOWER(TRIM(G719)),"á","a"),"é","e"),"í","i"),"ó","o"),"ú","u"),"ü","u"),"ñ","n"),"à","a"),"è","e"),"ì","i"),"ò","o"),"ù","u"),"")</f>
        <v/>
      </c>
      <c r="U719" s="25">
        <f>IF(AND(Q719=1,H719&lt;&gt;""),SUBSTITUTE(SUBSTITUTE(SUBSTITUTE(SUBSTITUTE(SUBSTITUTE(SUBSTITUTE(SUBSTITUTE(SUBSTITUTE(SUBSTITUTE(SUBSTITUTE(SUBSTITUTE(SUBSTITUTE(LOWER(TRIM(H719)),"á","a"),"é","e"),"í","i"),"ó","o"),"ú","u"),"ü","u"),"ñ","n"),"à","a"),"è","e"),"ì","i"),"ò","o"),"ù","u"),"")</f>
        <v/>
      </c>
      <c r="V719" s="25">
        <f>IF(AND(Q719=1,L719&lt;&gt;""),SUBSTITUTE(SUBSTITUTE(SUBSTITUTE(SUBSTITUTE(SUBSTITUTE(SUBSTITUTE(SUBSTITUTE(SUBSTITUTE(SUBSTITUTE(SUBSTITUTE(SUBSTITUTE(SUBSTITUTE(LOWER(TRIM(L719)),"á","a"),"é","e"),"í","i"),"ó","o"),"ú","u"),"ü","u"),"ñ","n"),"à","a"),"è","e"),"ì","i"),"ò","o"),"ù","u"),"")</f>
        <v/>
      </c>
      <c r="W719" s="25">
        <f>IF(AND(Q719=1,I719&lt;&gt;""),SUBSTITUTE(SUBSTITUTE(SUBSTITUTE(SUBSTITUTE(SUBSTITUTE(SUBSTITUTE(SUBSTITUTE(SUBSTITUTE(SUBSTITUTE(SUBSTITUTE(SUBSTITUTE(SUBSTITUTE(LOWER(TRIM(I719)),"á","a"),"é","e"),"í","i"),"ó","o"),"ú","u"),"ü","u"),"ñ","n"),"à","a"),"è","e"),"ì","i"),"ò","o"),"ù","u"),"")</f>
        <v/>
      </c>
      <c r="X719" s="25">
        <f>IF(U719="","",IF(OR(U719="si, en la proxima tarea",U719="si, con cambios"),1,0))</f>
        <v/>
      </c>
      <c r="Y719" s="25">
        <f>IF(AND(Q719=1,A719&lt;&gt;""),IF(IFERROR(COUNTIFS(A$3:A719,"="&amp;SUBSTITUTE(SUBSTITUTE(SUBSTITUTE(A719,"~","~~"),"*","~*"),"?","~?"),Q$3:Q719,1),0)=1,MAX(Y$2:Y718)+1,""),"")</f>
        <v/>
      </c>
      <c r="Z719" s="25">
        <f>IF(Y719="","",COUNTIFS($A$3:$A$1002,"="&amp;SUBSTITUTE(SUBSTITUTE(SUBSTITUTE(A719,"~","~~"),"*","~*"),"?","~?"),$Q$3:$Q$1002,1)*10000-Y719)</f>
        <v/>
      </c>
    </row>
    <row r="720">
      <c r="A720">
        <f>IF(A$2=0,"",IFERROR(TRIM(INDEX('Pegar docentes'!$A$1:$BZ$1001,719,A$2)&amp;""),""))</f>
        <v/>
      </c>
      <c r="B720">
        <f>IF(B$2=0,"",IFERROR(TRIM(INDEX('Pegar docentes'!$A$1:$BZ$1001,719,B$2)&amp;""),""))</f>
        <v/>
      </c>
      <c r="C720">
        <f>IF(C$2=0,"",IFERROR(TRIM(INDEX('Pegar docentes'!$A$1:$BZ$1001,719,C$2)&amp;""),""))</f>
        <v/>
      </c>
      <c r="D720">
        <f>IF(D$2=0,"",IFERROR(TRIM(INDEX('Pegar docentes'!$A$1:$BZ$1001,719,D$2)&amp;""),""))</f>
        <v/>
      </c>
      <c r="E720">
        <f>IF(E$2=0,"",IFERROR(TRIM(INDEX('Pegar docentes'!$A$1:$BZ$1001,719,E$2)&amp;""),""))</f>
        <v/>
      </c>
      <c r="F720">
        <f>IF(F$2=0,"",IFERROR(TRIM(INDEX('Pegar docentes'!$A$1:$BZ$1001,719,F$2)&amp;""),""))</f>
        <v/>
      </c>
      <c r="G720">
        <f>IF(G$2=0,"",IFERROR(TRIM(INDEX('Pegar docentes'!$A$1:$BZ$1001,719,G$2)&amp;""),""))</f>
        <v/>
      </c>
      <c r="H720">
        <f>IF(H$2=0,"",IFERROR(TRIM(INDEX('Pegar docentes'!$A$1:$BZ$1001,719,H$2)&amp;""),""))</f>
        <v/>
      </c>
      <c r="I720">
        <f>IF(I$2=0,"",IFERROR(TRIM(INDEX('Pegar docentes'!$A$1:$BZ$1001,719,I$2)&amp;""),""))</f>
        <v/>
      </c>
      <c r="J720">
        <f>IF(J$2=0,"",IFERROR(TRIM(INDEX('Pegar docentes'!$A$1:$BZ$1001,719,J$2)&amp;""),""))</f>
        <v/>
      </c>
      <c r="K720">
        <f>IF(K$2=0,"",IFERROR(TRIM(INDEX('Pegar docentes'!$A$1:$BZ$1001,719,K$2)&amp;""),""))</f>
        <v/>
      </c>
      <c r="L720">
        <f>IF(L$2=0,"",IFERROR(TRIM(INDEX('Pegar docentes'!$A$1:$BZ$1001,719,L$2)&amp;""),""))</f>
        <v/>
      </c>
      <c r="M720">
        <f>IF(M$2=0,"",IFERROR(TRIM(INDEX('Pegar docentes'!$A$1:$BZ$1001,719,M$2)&amp;""),""))</f>
        <v/>
      </c>
      <c r="N720">
        <f>IF(N$2=0,"",IFERROR(TRIM(INDEX('Pegar docentes'!$A$1:$BZ$1001,719,N$2)&amp;""),""))</f>
        <v/>
      </c>
      <c r="O720">
        <f>IF(O$2=0,"",IFERROR(TRIM(INDEX('Pegar docentes'!$A$1:$BZ$1001,719,O$2)&amp;""),""))</f>
        <v/>
      </c>
      <c r="P720">
        <f>IF(P$2=0,"",IFERROR(TRIM(INDEX('Pegar docentes'!$A$1:$BZ$1001,719,P$2)&amp;""),""))</f>
        <v/>
      </c>
      <c r="Q720" s="25">
        <f>IF(OR(D720&lt;&gt;"",H720&lt;&gt;""),1,"")</f>
        <v/>
      </c>
      <c r="R720" s="25">
        <f>IF(Q720=1,IF(ISNUMBER(FIND("#"&amp;MID(D720,1,1)&amp;"#","#0#1#2#3#4#5#6#7#8#9#")),IF(ISNUMBER(FIND("#"&amp;MID(D720,2,1)&amp;"#","#0#1#2#3#4#5#6#7#8#9#")),IF(AND(VALUE(LEFT(D720,2))&gt;=1,VALUE(LEFT(D720,2))&lt;=5),VALUE(LEFT(D720,2)),""),IF(AND(VALUE(LEFT(D720,1))&gt;=1,VALUE(LEFT(D720,1))&lt;=5),VALUE(LEFT(D720,1)),"")),""),"")</f>
        <v/>
      </c>
      <c r="S720" s="25">
        <f>IF(AND(Q720=1,E720&lt;&gt;""),SUBSTITUTE(SUBSTITUTE(SUBSTITUTE(SUBSTITUTE(SUBSTITUTE(SUBSTITUTE(SUBSTITUTE(SUBSTITUTE(SUBSTITUTE(SUBSTITUTE(SUBSTITUTE(SUBSTITUTE(LOWER(TRIM(E720)),"á","a"),"é","e"),"í","i"),"ó","o"),"ú","u"),"ü","u"),"ñ","n"),"à","a"),"è","e"),"ì","i"),"ò","o"),"ù","u"),"")</f>
        <v/>
      </c>
      <c r="T720" s="25">
        <f>IF(AND(Q720=1,G720&lt;&gt;""),SUBSTITUTE(SUBSTITUTE(SUBSTITUTE(SUBSTITUTE(SUBSTITUTE(SUBSTITUTE(SUBSTITUTE(SUBSTITUTE(SUBSTITUTE(SUBSTITUTE(SUBSTITUTE(SUBSTITUTE(LOWER(TRIM(G720)),"á","a"),"é","e"),"í","i"),"ó","o"),"ú","u"),"ü","u"),"ñ","n"),"à","a"),"è","e"),"ì","i"),"ò","o"),"ù","u"),"")</f>
        <v/>
      </c>
      <c r="U720" s="25">
        <f>IF(AND(Q720=1,H720&lt;&gt;""),SUBSTITUTE(SUBSTITUTE(SUBSTITUTE(SUBSTITUTE(SUBSTITUTE(SUBSTITUTE(SUBSTITUTE(SUBSTITUTE(SUBSTITUTE(SUBSTITUTE(SUBSTITUTE(SUBSTITUTE(LOWER(TRIM(H720)),"á","a"),"é","e"),"í","i"),"ó","o"),"ú","u"),"ü","u"),"ñ","n"),"à","a"),"è","e"),"ì","i"),"ò","o"),"ù","u"),"")</f>
        <v/>
      </c>
      <c r="V720" s="25">
        <f>IF(AND(Q720=1,L720&lt;&gt;""),SUBSTITUTE(SUBSTITUTE(SUBSTITUTE(SUBSTITUTE(SUBSTITUTE(SUBSTITUTE(SUBSTITUTE(SUBSTITUTE(SUBSTITUTE(SUBSTITUTE(SUBSTITUTE(SUBSTITUTE(LOWER(TRIM(L720)),"á","a"),"é","e"),"í","i"),"ó","o"),"ú","u"),"ü","u"),"ñ","n"),"à","a"),"è","e"),"ì","i"),"ò","o"),"ù","u"),"")</f>
        <v/>
      </c>
      <c r="W720" s="25">
        <f>IF(AND(Q720=1,I720&lt;&gt;""),SUBSTITUTE(SUBSTITUTE(SUBSTITUTE(SUBSTITUTE(SUBSTITUTE(SUBSTITUTE(SUBSTITUTE(SUBSTITUTE(SUBSTITUTE(SUBSTITUTE(SUBSTITUTE(SUBSTITUTE(LOWER(TRIM(I720)),"á","a"),"é","e"),"í","i"),"ó","o"),"ú","u"),"ü","u"),"ñ","n"),"à","a"),"è","e"),"ì","i"),"ò","o"),"ù","u"),"")</f>
        <v/>
      </c>
      <c r="X720" s="25">
        <f>IF(U720="","",IF(OR(U720="si, en la proxima tarea",U720="si, con cambios"),1,0))</f>
        <v/>
      </c>
      <c r="Y720" s="25">
        <f>IF(AND(Q720=1,A720&lt;&gt;""),IF(IFERROR(COUNTIFS(A$3:A720,"="&amp;SUBSTITUTE(SUBSTITUTE(SUBSTITUTE(A720,"~","~~"),"*","~*"),"?","~?"),Q$3:Q720,1),0)=1,MAX(Y$2:Y719)+1,""),"")</f>
        <v/>
      </c>
      <c r="Z720" s="25">
        <f>IF(Y720="","",COUNTIFS($A$3:$A$1002,"="&amp;SUBSTITUTE(SUBSTITUTE(SUBSTITUTE(A720,"~","~~"),"*","~*"),"?","~?"),$Q$3:$Q$1002,1)*10000-Y720)</f>
        <v/>
      </c>
    </row>
    <row r="721">
      <c r="A721">
        <f>IF(A$2=0,"",IFERROR(TRIM(INDEX('Pegar docentes'!$A$1:$BZ$1001,720,A$2)&amp;""),""))</f>
        <v/>
      </c>
      <c r="B721">
        <f>IF(B$2=0,"",IFERROR(TRIM(INDEX('Pegar docentes'!$A$1:$BZ$1001,720,B$2)&amp;""),""))</f>
        <v/>
      </c>
      <c r="C721">
        <f>IF(C$2=0,"",IFERROR(TRIM(INDEX('Pegar docentes'!$A$1:$BZ$1001,720,C$2)&amp;""),""))</f>
        <v/>
      </c>
      <c r="D721">
        <f>IF(D$2=0,"",IFERROR(TRIM(INDEX('Pegar docentes'!$A$1:$BZ$1001,720,D$2)&amp;""),""))</f>
        <v/>
      </c>
      <c r="E721">
        <f>IF(E$2=0,"",IFERROR(TRIM(INDEX('Pegar docentes'!$A$1:$BZ$1001,720,E$2)&amp;""),""))</f>
        <v/>
      </c>
      <c r="F721">
        <f>IF(F$2=0,"",IFERROR(TRIM(INDEX('Pegar docentes'!$A$1:$BZ$1001,720,F$2)&amp;""),""))</f>
        <v/>
      </c>
      <c r="G721">
        <f>IF(G$2=0,"",IFERROR(TRIM(INDEX('Pegar docentes'!$A$1:$BZ$1001,720,G$2)&amp;""),""))</f>
        <v/>
      </c>
      <c r="H721">
        <f>IF(H$2=0,"",IFERROR(TRIM(INDEX('Pegar docentes'!$A$1:$BZ$1001,720,H$2)&amp;""),""))</f>
        <v/>
      </c>
      <c r="I721">
        <f>IF(I$2=0,"",IFERROR(TRIM(INDEX('Pegar docentes'!$A$1:$BZ$1001,720,I$2)&amp;""),""))</f>
        <v/>
      </c>
      <c r="J721">
        <f>IF(J$2=0,"",IFERROR(TRIM(INDEX('Pegar docentes'!$A$1:$BZ$1001,720,J$2)&amp;""),""))</f>
        <v/>
      </c>
      <c r="K721">
        <f>IF(K$2=0,"",IFERROR(TRIM(INDEX('Pegar docentes'!$A$1:$BZ$1001,720,K$2)&amp;""),""))</f>
        <v/>
      </c>
      <c r="L721">
        <f>IF(L$2=0,"",IFERROR(TRIM(INDEX('Pegar docentes'!$A$1:$BZ$1001,720,L$2)&amp;""),""))</f>
        <v/>
      </c>
      <c r="M721">
        <f>IF(M$2=0,"",IFERROR(TRIM(INDEX('Pegar docentes'!$A$1:$BZ$1001,720,M$2)&amp;""),""))</f>
        <v/>
      </c>
      <c r="N721">
        <f>IF(N$2=0,"",IFERROR(TRIM(INDEX('Pegar docentes'!$A$1:$BZ$1001,720,N$2)&amp;""),""))</f>
        <v/>
      </c>
      <c r="O721">
        <f>IF(O$2=0,"",IFERROR(TRIM(INDEX('Pegar docentes'!$A$1:$BZ$1001,720,O$2)&amp;""),""))</f>
        <v/>
      </c>
      <c r="P721">
        <f>IF(P$2=0,"",IFERROR(TRIM(INDEX('Pegar docentes'!$A$1:$BZ$1001,720,P$2)&amp;""),""))</f>
        <v/>
      </c>
      <c r="Q721" s="25">
        <f>IF(OR(D721&lt;&gt;"",H721&lt;&gt;""),1,"")</f>
        <v/>
      </c>
      <c r="R721" s="25">
        <f>IF(Q721=1,IF(ISNUMBER(FIND("#"&amp;MID(D721,1,1)&amp;"#","#0#1#2#3#4#5#6#7#8#9#")),IF(ISNUMBER(FIND("#"&amp;MID(D721,2,1)&amp;"#","#0#1#2#3#4#5#6#7#8#9#")),IF(AND(VALUE(LEFT(D721,2))&gt;=1,VALUE(LEFT(D721,2))&lt;=5),VALUE(LEFT(D721,2)),""),IF(AND(VALUE(LEFT(D721,1))&gt;=1,VALUE(LEFT(D721,1))&lt;=5),VALUE(LEFT(D721,1)),"")),""),"")</f>
        <v/>
      </c>
      <c r="S721" s="25">
        <f>IF(AND(Q721=1,E721&lt;&gt;""),SUBSTITUTE(SUBSTITUTE(SUBSTITUTE(SUBSTITUTE(SUBSTITUTE(SUBSTITUTE(SUBSTITUTE(SUBSTITUTE(SUBSTITUTE(SUBSTITUTE(SUBSTITUTE(SUBSTITUTE(LOWER(TRIM(E721)),"á","a"),"é","e"),"í","i"),"ó","o"),"ú","u"),"ü","u"),"ñ","n"),"à","a"),"è","e"),"ì","i"),"ò","o"),"ù","u"),"")</f>
        <v/>
      </c>
      <c r="T721" s="25">
        <f>IF(AND(Q721=1,G721&lt;&gt;""),SUBSTITUTE(SUBSTITUTE(SUBSTITUTE(SUBSTITUTE(SUBSTITUTE(SUBSTITUTE(SUBSTITUTE(SUBSTITUTE(SUBSTITUTE(SUBSTITUTE(SUBSTITUTE(SUBSTITUTE(LOWER(TRIM(G721)),"á","a"),"é","e"),"í","i"),"ó","o"),"ú","u"),"ü","u"),"ñ","n"),"à","a"),"è","e"),"ì","i"),"ò","o"),"ù","u"),"")</f>
        <v/>
      </c>
      <c r="U721" s="25">
        <f>IF(AND(Q721=1,H721&lt;&gt;""),SUBSTITUTE(SUBSTITUTE(SUBSTITUTE(SUBSTITUTE(SUBSTITUTE(SUBSTITUTE(SUBSTITUTE(SUBSTITUTE(SUBSTITUTE(SUBSTITUTE(SUBSTITUTE(SUBSTITUTE(LOWER(TRIM(H721)),"á","a"),"é","e"),"í","i"),"ó","o"),"ú","u"),"ü","u"),"ñ","n"),"à","a"),"è","e"),"ì","i"),"ò","o"),"ù","u"),"")</f>
        <v/>
      </c>
      <c r="V721" s="25">
        <f>IF(AND(Q721=1,L721&lt;&gt;""),SUBSTITUTE(SUBSTITUTE(SUBSTITUTE(SUBSTITUTE(SUBSTITUTE(SUBSTITUTE(SUBSTITUTE(SUBSTITUTE(SUBSTITUTE(SUBSTITUTE(SUBSTITUTE(SUBSTITUTE(LOWER(TRIM(L721)),"á","a"),"é","e"),"í","i"),"ó","o"),"ú","u"),"ü","u"),"ñ","n"),"à","a"),"è","e"),"ì","i"),"ò","o"),"ù","u"),"")</f>
        <v/>
      </c>
      <c r="W721" s="25">
        <f>IF(AND(Q721=1,I721&lt;&gt;""),SUBSTITUTE(SUBSTITUTE(SUBSTITUTE(SUBSTITUTE(SUBSTITUTE(SUBSTITUTE(SUBSTITUTE(SUBSTITUTE(SUBSTITUTE(SUBSTITUTE(SUBSTITUTE(SUBSTITUTE(LOWER(TRIM(I721)),"á","a"),"é","e"),"í","i"),"ó","o"),"ú","u"),"ü","u"),"ñ","n"),"à","a"),"è","e"),"ì","i"),"ò","o"),"ù","u"),"")</f>
        <v/>
      </c>
      <c r="X721" s="25">
        <f>IF(U721="","",IF(OR(U721="si, en la proxima tarea",U721="si, con cambios"),1,0))</f>
        <v/>
      </c>
      <c r="Y721" s="25">
        <f>IF(AND(Q721=1,A721&lt;&gt;""),IF(IFERROR(COUNTIFS(A$3:A721,"="&amp;SUBSTITUTE(SUBSTITUTE(SUBSTITUTE(A721,"~","~~"),"*","~*"),"?","~?"),Q$3:Q721,1),0)=1,MAX(Y$2:Y720)+1,""),"")</f>
        <v/>
      </c>
      <c r="Z721" s="25">
        <f>IF(Y721="","",COUNTIFS($A$3:$A$1002,"="&amp;SUBSTITUTE(SUBSTITUTE(SUBSTITUTE(A721,"~","~~"),"*","~*"),"?","~?"),$Q$3:$Q$1002,1)*10000-Y721)</f>
        <v/>
      </c>
    </row>
    <row r="722">
      <c r="A722">
        <f>IF(A$2=0,"",IFERROR(TRIM(INDEX('Pegar docentes'!$A$1:$BZ$1001,721,A$2)&amp;""),""))</f>
        <v/>
      </c>
      <c r="B722">
        <f>IF(B$2=0,"",IFERROR(TRIM(INDEX('Pegar docentes'!$A$1:$BZ$1001,721,B$2)&amp;""),""))</f>
        <v/>
      </c>
      <c r="C722">
        <f>IF(C$2=0,"",IFERROR(TRIM(INDEX('Pegar docentes'!$A$1:$BZ$1001,721,C$2)&amp;""),""))</f>
        <v/>
      </c>
      <c r="D722">
        <f>IF(D$2=0,"",IFERROR(TRIM(INDEX('Pegar docentes'!$A$1:$BZ$1001,721,D$2)&amp;""),""))</f>
        <v/>
      </c>
      <c r="E722">
        <f>IF(E$2=0,"",IFERROR(TRIM(INDEX('Pegar docentes'!$A$1:$BZ$1001,721,E$2)&amp;""),""))</f>
        <v/>
      </c>
      <c r="F722">
        <f>IF(F$2=0,"",IFERROR(TRIM(INDEX('Pegar docentes'!$A$1:$BZ$1001,721,F$2)&amp;""),""))</f>
        <v/>
      </c>
      <c r="G722">
        <f>IF(G$2=0,"",IFERROR(TRIM(INDEX('Pegar docentes'!$A$1:$BZ$1001,721,G$2)&amp;""),""))</f>
        <v/>
      </c>
      <c r="H722">
        <f>IF(H$2=0,"",IFERROR(TRIM(INDEX('Pegar docentes'!$A$1:$BZ$1001,721,H$2)&amp;""),""))</f>
        <v/>
      </c>
      <c r="I722">
        <f>IF(I$2=0,"",IFERROR(TRIM(INDEX('Pegar docentes'!$A$1:$BZ$1001,721,I$2)&amp;""),""))</f>
        <v/>
      </c>
      <c r="J722">
        <f>IF(J$2=0,"",IFERROR(TRIM(INDEX('Pegar docentes'!$A$1:$BZ$1001,721,J$2)&amp;""),""))</f>
        <v/>
      </c>
      <c r="K722">
        <f>IF(K$2=0,"",IFERROR(TRIM(INDEX('Pegar docentes'!$A$1:$BZ$1001,721,K$2)&amp;""),""))</f>
        <v/>
      </c>
      <c r="L722">
        <f>IF(L$2=0,"",IFERROR(TRIM(INDEX('Pegar docentes'!$A$1:$BZ$1001,721,L$2)&amp;""),""))</f>
        <v/>
      </c>
      <c r="M722">
        <f>IF(M$2=0,"",IFERROR(TRIM(INDEX('Pegar docentes'!$A$1:$BZ$1001,721,M$2)&amp;""),""))</f>
        <v/>
      </c>
      <c r="N722">
        <f>IF(N$2=0,"",IFERROR(TRIM(INDEX('Pegar docentes'!$A$1:$BZ$1001,721,N$2)&amp;""),""))</f>
        <v/>
      </c>
      <c r="O722">
        <f>IF(O$2=0,"",IFERROR(TRIM(INDEX('Pegar docentes'!$A$1:$BZ$1001,721,O$2)&amp;""),""))</f>
        <v/>
      </c>
      <c r="P722">
        <f>IF(P$2=0,"",IFERROR(TRIM(INDEX('Pegar docentes'!$A$1:$BZ$1001,721,P$2)&amp;""),""))</f>
        <v/>
      </c>
      <c r="Q722" s="25">
        <f>IF(OR(D722&lt;&gt;"",H722&lt;&gt;""),1,"")</f>
        <v/>
      </c>
      <c r="R722" s="25">
        <f>IF(Q722=1,IF(ISNUMBER(FIND("#"&amp;MID(D722,1,1)&amp;"#","#0#1#2#3#4#5#6#7#8#9#")),IF(ISNUMBER(FIND("#"&amp;MID(D722,2,1)&amp;"#","#0#1#2#3#4#5#6#7#8#9#")),IF(AND(VALUE(LEFT(D722,2))&gt;=1,VALUE(LEFT(D722,2))&lt;=5),VALUE(LEFT(D722,2)),""),IF(AND(VALUE(LEFT(D722,1))&gt;=1,VALUE(LEFT(D722,1))&lt;=5),VALUE(LEFT(D722,1)),"")),""),"")</f>
        <v/>
      </c>
      <c r="S722" s="25">
        <f>IF(AND(Q722=1,E722&lt;&gt;""),SUBSTITUTE(SUBSTITUTE(SUBSTITUTE(SUBSTITUTE(SUBSTITUTE(SUBSTITUTE(SUBSTITUTE(SUBSTITUTE(SUBSTITUTE(SUBSTITUTE(SUBSTITUTE(SUBSTITUTE(LOWER(TRIM(E722)),"á","a"),"é","e"),"í","i"),"ó","o"),"ú","u"),"ü","u"),"ñ","n"),"à","a"),"è","e"),"ì","i"),"ò","o"),"ù","u"),"")</f>
        <v/>
      </c>
      <c r="T722" s="25">
        <f>IF(AND(Q722=1,G722&lt;&gt;""),SUBSTITUTE(SUBSTITUTE(SUBSTITUTE(SUBSTITUTE(SUBSTITUTE(SUBSTITUTE(SUBSTITUTE(SUBSTITUTE(SUBSTITUTE(SUBSTITUTE(SUBSTITUTE(SUBSTITUTE(LOWER(TRIM(G722)),"á","a"),"é","e"),"í","i"),"ó","o"),"ú","u"),"ü","u"),"ñ","n"),"à","a"),"è","e"),"ì","i"),"ò","o"),"ù","u"),"")</f>
        <v/>
      </c>
      <c r="U722" s="25">
        <f>IF(AND(Q722=1,H722&lt;&gt;""),SUBSTITUTE(SUBSTITUTE(SUBSTITUTE(SUBSTITUTE(SUBSTITUTE(SUBSTITUTE(SUBSTITUTE(SUBSTITUTE(SUBSTITUTE(SUBSTITUTE(SUBSTITUTE(SUBSTITUTE(LOWER(TRIM(H722)),"á","a"),"é","e"),"í","i"),"ó","o"),"ú","u"),"ü","u"),"ñ","n"),"à","a"),"è","e"),"ì","i"),"ò","o"),"ù","u"),"")</f>
        <v/>
      </c>
      <c r="V722" s="25">
        <f>IF(AND(Q722=1,L722&lt;&gt;""),SUBSTITUTE(SUBSTITUTE(SUBSTITUTE(SUBSTITUTE(SUBSTITUTE(SUBSTITUTE(SUBSTITUTE(SUBSTITUTE(SUBSTITUTE(SUBSTITUTE(SUBSTITUTE(SUBSTITUTE(LOWER(TRIM(L722)),"á","a"),"é","e"),"í","i"),"ó","o"),"ú","u"),"ü","u"),"ñ","n"),"à","a"),"è","e"),"ì","i"),"ò","o"),"ù","u"),"")</f>
        <v/>
      </c>
      <c r="W722" s="25">
        <f>IF(AND(Q722=1,I722&lt;&gt;""),SUBSTITUTE(SUBSTITUTE(SUBSTITUTE(SUBSTITUTE(SUBSTITUTE(SUBSTITUTE(SUBSTITUTE(SUBSTITUTE(SUBSTITUTE(SUBSTITUTE(SUBSTITUTE(SUBSTITUTE(LOWER(TRIM(I722)),"á","a"),"é","e"),"í","i"),"ó","o"),"ú","u"),"ü","u"),"ñ","n"),"à","a"),"è","e"),"ì","i"),"ò","o"),"ù","u"),"")</f>
        <v/>
      </c>
      <c r="X722" s="25">
        <f>IF(U722="","",IF(OR(U722="si, en la proxima tarea",U722="si, con cambios"),1,0))</f>
        <v/>
      </c>
      <c r="Y722" s="25">
        <f>IF(AND(Q722=1,A722&lt;&gt;""),IF(IFERROR(COUNTIFS(A$3:A722,"="&amp;SUBSTITUTE(SUBSTITUTE(SUBSTITUTE(A722,"~","~~"),"*","~*"),"?","~?"),Q$3:Q722,1),0)=1,MAX(Y$2:Y721)+1,""),"")</f>
        <v/>
      </c>
      <c r="Z722" s="25">
        <f>IF(Y722="","",COUNTIFS($A$3:$A$1002,"="&amp;SUBSTITUTE(SUBSTITUTE(SUBSTITUTE(A722,"~","~~"),"*","~*"),"?","~?"),$Q$3:$Q$1002,1)*10000-Y722)</f>
        <v/>
      </c>
    </row>
    <row r="723">
      <c r="A723">
        <f>IF(A$2=0,"",IFERROR(TRIM(INDEX('Pegar docentes'!$A$1:$BZ$1001,722,A$2)&amp;""),""))</f>
        <v/>
      </c>
      <c r="B723">
        <f>IF(B$2=0,"",IFERROR(TRIM(INDEX('Pegar docentes'!$A$1:$BZ$1001,722,B$2)&amp;""),""))</f>
        <v/>
      </c>
      <c r="C723">
        <f>IF(C$2=0,"",IFERROR(TRIM(INDEX('Pegar docentes'!$A$1:$BZ$1001,722,C$2)&amp;""),""))</f>
        <v/>
      </c>
      <c r="D723">
        <f>IF(D$2=0,"",IFERROR(TRIM(INDEX('Pegar docentes'!$A$1:$BZ$1001,722,D$2)&amp;""),""))</f>
        <v/>
      </c>
      <c r="E723">
        <f>IF(E$2=0,"",IFERROR(TRIM(INDEX('Pegar docentes'!$A$1:$BZ$1001,722,E$2)&amp;""),""))</f>
        <v/>
      </c>
      <c r="F723">
        <f>IF(F$2=0,"",IFERROR(TRIM(INDEX('Pegar docentes'!$A$1:$BZ$1001,722,F$2)&amp;""),""))</f>
        <v/>
      </c>
      <c r="G723">
        <f>IF(G$2=0,"",IFERROR(TRIM(INDEX('Pegar docentes'!$A$1:$BZ$1001,722,G$2)&amp;""),""))</f>
        <v/>
      </c>
      <c r="H723">
        <f>IF(H$2=0,"",IFERROR(TRIM(INDEX('Pegar docentes'!$A$1:$BZ$1001,722,H$2)&amp;""),""))</f>
        <v/>
      </c>
      <c r="I723">
        <f>IF(I$2=0,"",IFERROR(TRIM(INDEX('Pegar docentes'!$A$1:$BZ$1001,722,I$2)&amp;""),""))</f>
        <v/>
      </c>
      <c r="J723">
        <f>IF(J$2=0,"",IFERROR(TRIM(INDEX('Pegar docentes'!$A$1:$BZ$1001,722,J$2)&amp;""),""))</f>
        <v/>
      </c>
      <c r="K723">
        <f>IF(K$2=0,"",IFERROR(TRIM(INDEX('Pegar docentes'!$A$1:$BZ$1001,722,K$2)&amp;""),""))</f>
        <v/>
      </c>
      <c r="L723">
        <f>IF(L$2=0,"",IFERROR(TRIM(INDEX('Pegar docentes'!$A$1:$BZ$1001,722,L$2)&amp;""),""))</f>
        <v/>
      </c>
      <c r="M723">
        <f>IF(M$2=0,"",IFERROR(TRIM(INDEX('Pegar docentes'!$A$1:$BZ$1001,722,M$2)&amp;""),""))</f>
        <v/>
      </c>
      <c r="N723">
        <f>IF(N$2=0,"",IFERROR(TRIM(INDEX('Pegar docentes'!$A$1:$BZ$1001,722,N$2)&amp;""),""))</f>
        <v/>
      </c>
      <c r="O723">
        <f>IF(O$2=0,"",IFERROR(TRIM(INDEX('Pegar docentes'!$A$1:$BZ$1001,722,O$2)&amp;""),""))</f>
        <v/>
      </c>
      <c r="P723">
        <f>IF(P$2=0,"",IFERROR(TRIM(INDEX('Pegar docentes'!$A$1:$BZ$1001,722,P$2)&amp;""),""))</f>
        <v/>
      </c>
      <c r="Q723" s="25">
        <f>IF(OR(D723&lt;&gt;"",H723&lt;&gt;""),1,"")</f>
        <v/>
      </c>
      <c r="R723" s="25">
        <f>IF(Q723=1,IF(ISNUMBER(FIND("#"&amp;MID(D723,1,1)&amp;"#","#0#1#2#3#4#5#6#7#8#9#")),IF(ISNUMBER(FIND("#"&amp;MID(D723,2,1)&amp;"#","#0#1#2#3#4#5#6#7#8#9#")),IF(AND(VALUE(LEFT(D723,2))&gt;=1,VALUE(LEFT(D723,2))&lt;=5),VALUE(LEFT(D723,2)),""),IF(AND(VALUE(LEFT(D723,1))&gt;=1,VALUE(LEFT(D723,1))&lt;=5),VALUE(LEFT(D723,1)),"")),""),"")</f>
        <v/>
      </c>
      <c r="S723" s="25">
        <f>IF(AND(Q723=1,E723&lt;&gt;""),SUBSTITUTE(SUBSTITUTE(SUBSTITUTE(SUBSTITUTE(SUBSTITUTE(SUBSTITUTE(SUBSTITUTE(SUBSTITUTE(SUBSTITUTE(SUBSTITUTE(SUBSTITUTE(SUBSTITUTE(LOWER(TRIM(E723)),"á","a"),"é","e"),"í","i"),"ó","o"),"ú","u"),"ü","u"),"ñ","n"),"à","a"),"è","e"),"ì","i"),"ò","o"),"ù","u"),"")</f>
        <v/>
      </c>
      <c r="T723" s="25">
        <f>IF(AND(Q723=1,G723&lt;&gt;""),SUBSTITUTE(SUBSTITUTE(SUBSTITUTE(SUBSTITUTE(SUBSTITUTE(SUBSTITUTE(SUBSTITUTE(SUBSTITUTE(SUBSTITUTE(SUBSTITUTE(SUBSTITUTE(SUBSTITUTE(LOWER(TRIM(G723)),"á","a"),"é","e"),"í","i"),"ó","o"),"ú","u"),"ü","u"),"ñ","n"),"à","a"),"è","e"),"ì","i"),"ò","o"),"ù","u"),"")</f>
        <v/>
      </c>
      <c r="U723" s="25">
        <f>IF(AND(Q723=1,H723&lt;&gt;""),SUBSTITUTE(SUBSTITUTE(SUBSTITUTE(SUBSTITUTE(SUBSTITUTE(SUBSTITUTE(SUBSTITUTE(SUBSTITUTE(SUBSTITUTE(SUBSTITUTE(SUBSTITUTE(SUBSTITUTE(LOWER(TRIM(H723)),"á","a"),"é","e"),"í","i"),"ó","o"),"ú","u"),"ü","u"),"ñ","n"),"à","a"),"è","e"),"ì","i"),"ò","o"),"ù","u"),"")</f>
        <v/>
      </c>
      <c r="V723" s="25">
        <f>IF(AND(Q723=1,L723&lt;&gt;""),SUBSTITUTE(SUBSTITUTE(SUBSTITUTE(SUBSTITUTE(SUBSTITUTE(SUBSTITUTE(SUBSTITUTE(SUBSTITUTE(SUBSTITUTE(SUBSTITUTE(SUBSTITUTE(SUBSTITUTE(LOWER(TRIM(L723)),"á","a"),"é","e"),"í","i"),"ó","o"),"ú","u"),"ü","u"),"ñ","n"),"à","a"),"è","e"),"ì","i"),"ò","o"),"ù","u"),"")</f>
        <v/>
      </c>
      <c r="W723" s="25">
        <f>IF(AND(Q723=1,I723&lt;&gt;""),SUBSTITUTE(SUBSTITUTE(SUBSTITUTE(SUBSTITUTE(SUBSTITUTE(SUBSTITUTE(SUBSTITUTE(SUBSTITUTE(SUBSTITUTE(SUBSTITUTE(SUBSTITUTE(SUBSTITUTE(LOWER(TRIM(I723)),"á","a"),"é","e"),"í","i"),"ó","o"),"ú","u"),"ü","u"),"ñ","n"),"à","a"),"è","e"),"ì","i"),"ò","o"),"ù","u"),"")</f>
        <v/>
      </c>
      <c r="X723" s="25">
        <f>IF(U723="","",IF(OR(U723="si, en la proxima tarea",U723="si, con cambios"),1,0))</f>
        <v/>
      </c>
      <c r="Y723" s="25">
        <f>IF(AND(Q723=1,A723&lt;&gt;""),IF(IFERROR(COUNTIFS(A$3:A723,"="&amp;SUBSTITUTE(SUBSTITUTE(SUBSTITUTE(A723,"~","~~"),"*","~*"),"?","~?"),Q$3:Q723,1),0)=1,MAX(Y$2:Y722)+1,""),"")</f>
        <v/>
      </c>
      <c r="Z723" s="25">
        <f>IF(Y723="","",COUNTIFS($A$3:$A$1002,"="&amp;SUBSTITUTE(SUBSTITUTE(SUBSTITUTE(A723,"~","~~"),"*","~*"),"?","~?"),$Q$3:$Q$1002,1)*10000-Y723)</f>
        <v/>
      </c>
    </row>
    <row r="724">
      <c r="A724">
        <f>IF(A$2=0,"",IFERROR(TRIM(INDEX('Pegar docentes'!$A$1:$BZ$1001,723,A$2)&amp;""),""))</f>
        <v/>
      </c>
      <c r="B724">
        <f>IF(B$2=0,"",IFERROR(TRIM(INDEX('Pegar docentes'!$A$1:$BZ$1001,723,B$2)&amp;""),""))</f>
        <v/>
      </c>
      <c r="C724">
        <f>IF(C$2=0,"",IFERROR(TRIM(INDEX('Pegar docentes'!$A$1:$BZ$1001,723,C$2)&amp;""),""))</f>
        <v/>
      </c>
      <c r="D724">
        <f>IF(D$2=0,"",IFERROR(TRIM(INDEX('Pegar docentes'!$A$1:$BZ$1001,723,D$2)&amp;""),""))</f>
        <v/>
      </c>
      <c r="E724">
        <f>IF(E$2=0,"",IFERROR(TRIM(INDEX('Pegar docentes'!$A$1:$BZ$1001,723,E$2)&amp;""),""))</f>
        <v/>
      </c>
      <c r="F724">
        <f>IF(F$2=0,"",IFERROR(TRIM(INDEX('Pegar docentes'!$A$1:$BZ$1001,723,F$2)&amp;""),""))</f>
        <v/>
      </c>
      <c r="G724">
        <f>IF(G$2=0,"",IFERROR(TRIM(INDEX('Pegar docentes'!$A$1:$BZ$1001,723,G$2)&amp;""),""))</f>
        <v/>
      </c>
      <c r="H724">
        <f>IF(H$2=0,"",IFERROR(TRIM(INDEX('Pegar docentes'!$A$1:$BZ$1001,723,H$2)&amp;""),""))</f>
        <v/>
      </c>
      <c r="I724">
        <f>IF(I$2=0,"",IFERROR(TRIM(INDEX('Pegar docentes'!$A$1:$BZ$1001,723,I$2)&amp;""),""))</f>
        <v/>
      </c>
      <c r="J724">
        <f>IF(J$2=0,"",IFERROR(TRIM(INDEX('Pegar docentes'!$A$1:$BZ$1001,723,J$2)&amp;""),""))</f>
        <v/>
      </c>
      <c r="K724">
        <f>IF(K$2=0,"",IFERROR(TRIM(INDEX('Pegar docentes'!$A$1:$BZ$1001,723,K$2)&amp;""),""))</f>
        <v/>
      </c>
      <c r="L724">
        <f>IF(L$2=0,"",IFERROR(TRIM(INDEX('Pegar docentes'!$A$1:$BZ$1001,723,L$2)&amp;""),""))</f>
        <v/>
      </c>
      <c r="M724">
        <f>IF(M$2=0,"",IFERROR(TRIM(INDEX('Pegar docentes'!$A$1:$BZ$1001,723,M$2)&amp;""),""))</f>
        <v/>
      </c>
      <c r="N724">
        <f>IF(N$2=0,"",IFERROR(TRIM(INDEX('Pegar docentes'!$A$1:$BZ$1001,723,N$2)&amp;""),""))</f>
        <v/>
      </c>
      <c r="O724">
        <f>IF(O$2=0,"",IFERROR(TRIM(INDEX('Pegar docentes'!$A$1:$BZ$1001,723,O$2)&amp;""),""))</f>
        <v/>
      </c>
      <c r="P724">
        <f>IF(P$2=0,"",IFERROR(TRIM(INDEX('Pegar docentes'!$A$1:$BZ$1001,723,P$2)&amp;""),""))</f>
        <v/>
      </c>
      <c r="Q724" s="25">
        <f>IF(OR(D724&lt;&gt;"",H724&lt;&gt;""),1,"")</f>
        <v/>
      </c>
      <c r="R724" s="25">
        <f>IF(Q724=1,IF(ISNUMBER(FIND("#"&amp;MID(D724,1,1)&amp;"#","#0#1#2#3#4#5#6#7#8#9#")),IF(ISNUMBER(FIND("#"&amp;MID(D724,2,1)&amp;"#","#0#1#2#3#4#5#6#7#8#9#")),IF(AND(VALUE(LEFT(D724,2))&gt;=1,VALUE(LEFT(D724,2))&lt;=5),VALUE(LEFT(D724,2)),""),IF(AND(VALUE(LEFT(D724,1))&gt;=1,VALUE(LEFT(D724,1))&lt;=5),VALUE(LEFT(D724,1)),"")),""),"")</f>
        <v/>
      </c>
      <c r="S724" s="25">
        <f>IF(AND(Q724=1,E724&lt;&gt;""),SUBSTITUTE(SUBSTITUTE(SUBSTITUTE(SUBSTITUTE(SUBSTITUTE(SUBSTITUTE(SUBSTITUTE(SUBSTITUTE(SUBSTITUTE(SUBSTITUTE(SUBSTITUTE(SUBSTITUTE(LOWER(TRIM(E724)),"á","a"),"é","e"),"í","i"),"ó","o"),"ú","u"),"ü","u"),"ñ","n"),"à","a"),"è","e"),"ì","i"),"ò","o"),"ù","u"),"")</f>
        <v/>
      </c>
      <c r="T724" s="25">
        <f>IF(AND(Q724=1,G724&lt;&gt;""),SUBSTITUTE(SUBSTITUTE(SUBSTITUTE(SUBSTITUTE(SUBSTITUTE(SUBSTITUTE(SUBSTITUTE(SUBSTITUTE(SUBSTITUTE(SUBSTITUTE(SUBSTITUTE(SUBSTITUTE(LOWER(TRIM(G724)),"á","a"),"é","e"),"í","i"),"ó","o"),"ú","u"),"ü","u"),"ñ","n"),"à","a"),"è","e"),"ì","i"),"ò","o"),"ù","u"),"")</f>
        <v/>
      </c>
      <c r="U724" s="25">
        <f>IF(AND(Q724=1,H724&lt;&gt;""),SUBSTITUTE(SUBSTITUTE(SUBSTITUTE(SUBSTITUTE(SUBSTITUTE(SUBSTITUTE(SUBSTITUTE(SUBSTITUTE(SUBSTITUTE(SUBSTITUTE(SUBSTITUTE(SUBSTITUTE(LOWER(TRIM(H724)),"á","a"),"é","e"),"í","i"),"ó","o"),"ú","u"),"ü","u"),"ñ","n"),"à","a"),"è","e"),"ì","i"),"ò","o"),"ù","u"),"")</f>
        <v/>
      </c>
      <c r="V724" s="25">
        <f>IF(AND(Q724=1,L724&lt;&gt;""),SUBSTITUTE(SUBSTITUTE(SUBSTITUTE(SUBSTITUTE(SUBSTITUTE(SUBSTITUTE(SUBSTITUTE(SUBSTITUTE(SUBSTITUTE(SUBSTITUTE(SUBSTITUTE(SUBSTITUTE(LOWER(TRIM(L724)),"á","a"),"é","e"),"í","i"),"ó","o"),"ú","u"),"ü","u"),"ñ","n"),"à","a"),"è","e"),"ì","i"),"ò","o"),"ù","u"),"")</f>
        <v/>
      </c>
      <c r="W724" s="25">
        <f>IF(AND(Q724=1,I724&lt;&gt;""),SUBSTITUTE(SUBSTITUTE(SUBSTITUTE(SUBSTITUTE(SUBSTITUTE(SUBSTITUTE(SUBSTITUTE(SUBSTITUTE(SUBSTITUTE(SUBSTITUTE(SUBSTITUTE(SUBSTITUTE(LOWER(TRIM(I724)),"á","a"),"é","e"),"í","i"),"ó","o"),"ú","u"),"ü","u"),"ñ","n"),"à","a"),"è","e"),"ì","i"),"ò","o"),"ù","u"),"")</f>
        <v/>
      </c>
      <c r="X724" s="25">
        <f>IF(U724="","",IF(OR(U724="si, en la proxima tarea",U724="si, con cambios"),1,0))</f>
        <v/>
      </c>
      <c r="Y724" s="25">
        <f>IF(AND(Q724=1,A724&lt;&gt;""),IF(IFERROR(COUNTIFS(A$3:A724,"="&amp;SUBSTITUTE(SUBSTITUTE(SUBSTITUTE(A724,"~","~~"),"*","~*"),"?","~?"),Q$3:Q724,1),0)=1,MAX(Y$2:Y723)+1,""),"")</f>
        <v/>
      </c>
      <c r="Z724" s="25">
        <f>IF(Y724="","",COUNTIFS($A$3:$A$1002,"="&amp;SUBSTITUTE(SUBSTITUTE(SUBSTITUTE(A724,"~","~~"),"*","~*"),"?","~?"),$Q$3:$Q$1002,1)*10000-Y724)</f>
        <v/>
      </c>
    </row>
    <row r="725">
      <c r="A725">
        <f>IF(A$2=0,"",IFERROR(TRIM(INDEX('Pegar docentes'!$A$1:$BZ$1001,724,A$2)&amp;""),""))</f>
        <v/>
      </c>
      <c r="B725">
        <f>IF(B$2=0,"",IFERROR(TRIM(INDEX('Pegar docentes'!$A$1:$BZ$1001,724,B$2)&amp;""),""))</f>
        <v/>
      </c>
      <c r="C725">
        <f>IF(C$2=0,"",IFERROR(TRIM(INDEX('Pegar docentes'!$A$1:$BZ$1001,724,C$2)&amp;""),""))</f>
        <v/>
      </c>
      <c r="D725">
        <f>IF(D$2=0,"",IFERROR(TRIM(INDEX('Pegar docentes'!$A$1:$BZ$1001,724,D$2)&amp;""),""))</f>
        <v/>
      </c>
      <c r="E725">
        <f>IF(E$2=0,"",IFERROR(TRIM(INDEX('Pegar docentes'!$A$1:$BZ$1001,724,E$2)&amp;""),""))</f>
        <v/>
      </c>
      <c r="F725">
        <f>IF(F$2=0,"",IFERROR(TRIM(INDEX('Pegar docentes'!$A$1:$BZ$1001,724,F$2)&amp;""),""))</f>
        <v/>
      </c>
      <c r="G725">
        <f>IF(G$2=0,"",IFERROR(TRIM(INDEX('Pegar docentes'!$A$1:$BZ$1001,724,G$2)&amp;""),""))</f>
        <v/>
      </c>
      <c r="H725">
        <f>IF(H$2=0,"",IFERROR(TRIM(INDEX('Pegar docentes'!$A$1:$BZ$1001,724,H$2)&amp;""),""))</f>
        <v/>
      </c>
      <c r="I725">
        <f>IF(I$2=0,"",IFERROR(TRIM(INDEX('Pegar docentes'!$A$1:$BZ$1001,724,I$2)&amp;""),""))</f>
        <v/>
      </c>
      <c r="J725">
        <f>IF(J$2=0,"",IFERROR(TRIM(INDEX('Pegar docentes'!$A$1:$BZ$1001,724,J$2)&amp;""),""))</f>
        <v/>
      </c>
      <c r="K725">
        <f>IF(K$2=0,"",IFERROR(TRIM(INDEX('Pegar docentes'!$A$1:$BZ$1001,724,K$2)&amp;""),""))</f>
        <v/>
      </c>
      <c r="L725">
        <f>IF(L$2=0,"",IFERROR(TRIM(INDEX('Pegar docentes'!$A$1:$BZ$1001,724,L$2)&amp;""),""))</f>
        <v/>
      </c>
      <c r="M725">
        <f>IF(M$2=0,"",IFERROR(TRIM(INDEX('Pegar docentes'!$A$1:$BZ$1001,724,M$2)&amp;""),""))</f>
        <v/>
      </c>
      <c r="N725">
        <f>IF(N$2=0,"",IFERROR(TRIM(INDEX('Pegar docentes'!$A$1:$BZ$1001,724,N$2)&amp;""),""))</f>
        <v/>
      </c>
      <c r="O725">
        <f>IF(O$2=0,"",IFERROR(TRIM(INDEX('Pegar docentes'!$A$1:$BZ$1001,724,O$2)&amp;""),""))</f>
        <v/>
      </c>
      <c r="P725">
        <f>IF(P$2=0,"",IFERROR(TRIM(INDEX('Pegar docentes'!$A$1:$BZ$1001,724,P$2)&amp;""),""))</f>
        <v/>
      </c>
      <c r="Q725" s="25">
        <f>IF(OR(D725&lt;&gt;"",H725&lt;&gt;""),1,"")</f>
        <v/>
      </c>
      <c r="R725" s="25">
        <f>IF(Q725=1,IF(ISNUMBER(FIND("#"&amp;MID(D725,1,1)&amp;"#","#0#1#2#3#4#5#6#7#8#9#")),IF(ISNUMBER(FIND("#"&amp;MID(D725,2,1)&amp;"#","#0#1#2#3#4#5#6#7#8#9#")),IF(AND(VALUE(LEFT(D725,2))&gt;=1,VALUE(LEFT(D725,2))&lt;=5),VALUE(LEFT(D725,2)),""),IF(AND(VALUE(LEFT(D725,1))&gt;=1,VALUE(LEFT(D725,1))&lt;=5),VALUE(LEFT(D725,1)),"")),""),"")</f>
        <v/>
      </c>
      <c r="S725" s="25">
        <f>IF(AND(Q725=1,E725&lt;&gt;""),SUBSTITUTE(SUBSTITUTE(SUBSTITUTE(SUBSTITUTE(SUBSTITUTE(SUBSTITUTE(SUBSTITUTE(SUBSTITUTE(SUBSTITUTE(SUBSTITUTE(SUBSTITUTE(SUBSTITUTE(LOWER(TRIM(E725)),"á","a"),"é","e"),"í","i"),"ó","o"),"ú","u"),"ü","u"),"ñ","n"),"à","a"),"è","e"),"ì","i"),"ò","o"),"ù","u"),"")</f>
        <v/>
      </c>
      <c r="T725" s="25">
        <f>IF(AND(Q725=1,G725&lt;&gt;""),SUBSTITUTE(SUBSTITUTE(SUBSTITUTE(SUBSTITUTE(SUBSTITUTE(SUBSTITUTE(SUBSTITUTE(SUBSTITUTE(SUBSTITUTE(SUBSTITUTE(SUBSTITUTE(SUBSTITUTE(LOWER(TRIM(G725)),"á","a"),"é","e"),"í","i"),"ó","o"),"ú","u"),"ü","u"),"ñ","n"),"à","a"),"è","e"),"ì","i"),"ò","o"),"ù","u"),"")</f>
        <v/>
      </c>
      <c r="U725" s="25">
        <f>IF(AND(Q725=1,H725&lt;&gt;""),SUBSTITUTE(SUBSTITUTE(SUBSTITUTE(SUBSTITUTE(SUBSTITUTE(SUBSTITUTE(SUBSTITUTE(SUBSTITUTE(SUBSTITUTE(SUBSTITUTE(SUBSTITUTE(SUBSTITUTE(LOWER(TRIM(H725)),"á","a"),"é","e"),"í","i"),"ó","o"),"ú","u"),"ü","u"),"ñ","n"),"à","a"),"è","e"),"ì","i"),"ò","o"),"ù","u"),"")</f>
        <v/>
      </c>
      <c r="V725" s="25">
        <f>IF(AND(Q725=1,L725&lt;&gt;""),SUBSTITUTE(SUBSTITUTE(SUBSTITUTE(SUBSTITUTE(SUBSTITUTE(SUBSTITUTE(SUBSTITUTE(SUBSTITUTE(SUBSTITUTE(SUBSTITUTE(SUBSTITUTE(SUBSTITUTE(LOWER(TRIM(L725)),"á","a"),"é","e"),"í","i"),"ó","o"),"ú","u"),"ü","u"),"ñ","n"),"à","a"),"è","e"),"ì","i"),"ò","o"),"ù","u"),"")</f>
        <v/>
      </c>
      <c r="W725" s="25">
        <f>IF(AND(Q725=1,I725&lt;&gt;""),SUBSTITUTE(SUBSTITUTE(SUBSTITUTE(SUBSTITUTE(SUBSTITUTE(SUBSTITUTE(SUBSTITUTE(SUBSTITUTE(SUBSTITUTE(SUBSTITUTE(SUBSTITUTE(SUBSTITUTE(LOWER(TRIM(I725)),"á","a"),"é","e"),"í","i"),"ó","o"),"ú","u"),"ü","u"),"ñ","n"),"à","a"),"è","e"),"ì","i"),"ò","o"),"ù","u"),"")</f>
        <v/>
      </c>
      <c r="X725" s="25">
        <f>IF(U725="","",IF(OR(U725="si, en la proxima tarea",U725="si, con cambios"),1,0))</f>
        <v/>
      </c>
      <c r="Y725" s="25">
        <f>IF(AND(Q725=1,A725&lt;&gt;""),IF(IFERROR(COUNTIFS(A$3:A725,"="&amp;SUBSTITUTE(SUBSTITUTE(SUBSTITUTE(A725,"~","~~"),"*","~*"),"?","~?"),Q$3:Q725,1),0)=1,MAX(Y$2:Y724)+1,""),"")</f>
        <v/>
      </c>
      <c r="Z725" s="25">
        <f>IF(Y725="","",COUNTIFS($A$3:$A$1002,"="&amp;SUBSTITUTE(SUBSTITUTE(SUBSTITUTE(A725,"~","~~"),"*","~*"),"?","~?"),$Q$3:$Q$1002,1)*10000-Y725)</f>
        <v/>
      </c>
    </row>
    <row r="726">
      <c r="A726">
        <f>IF(A$2=0,"",IFERROR(TRIM(INDEX('Pegar docentes'!$A$1:$BZ$1001,725,A$2)&amp;""),""))</f>
        <v/>
      </c>
      <c r="B726">
        <f>IF(B$2=0,"",IFERROR(TRIM(INDEX('Pegar docentes'!$A$1:$BZ$1001,725,B$2)&amp;""),""))</f>
        <v/>
      </c>
      <c r="C726">
        <f>IF(C$2=0,"",IFERROR(TRIM(INDEX('Pegar docentes'!$A$1:$BZ$1001,725,C$2)&amp;""),""))</f>
        <v/>
      </c>
      <c r="D726">
        <f>IF(D$2=0,"",IFERROR(TRIM(INDEX('Pegar docentes'!$A$1:$BZ$1001,725,D$2)&amp;""),""))</f>
        <v/>
      </c>
      <c r="E726">
        <f>IF(E$2=0,"",IFERROR(TRIM(INDEX('Pegar docentes'!$A$1:$BZ$1001,725,E$2)&amp;""),""))</f>
        <v/>
      </c>
      <c r="F726">
        <f>IF(F$2=0,"",IFERROR(TRIM(INDEX('Pegar docentes'!$A$1:$BZ$1001,725,F$2)&amp;""),""))</f>
        <v/>
      </c>
      <c r="G726">
        <f>IF(G$2=0,"",IFERROR(TRIM(INDEX('Pegar docentes'!$A$1:$BZ$1001,725,G$2)&amp;""),""))</f>
        <v/>
      </c>
      <c r="H726">
        <f>IF(H$2=0,"",IFERROR(TRIM(INDEX('Pegar docentes'!$A$1:$BZ$1001,725,H$2)&amp;""),""))</f>
        <v/>
      </c>
      <c r="I726">
        <f>IF(I$2=0,"",IFERROR(TRIM(INDEX('Pegar docentes'!$A$1:$BZ$1001,725,I$2)&amp;""),""))</f>
        <v/>
      </c>
      <c r="J726">
        <f>IF(J$2=0,"",IFERROR(TRIM(INDEX('Pegar docentes'!$A$1:$BZ$1001,725,J$2)&amp;""),""))</f>
        <v/>
      </c>
      <c r="K726">
        <f>IF(K$2=0,"",IFERROR(TRIM(INDEX('Pegar docentes'!$A$1:$BZ$1001,725,K$2)&amp;""),""))</f>
        <v/>
      </c>
      <c r="L726">
        <f>IF(L$2=0,"",IFERROR(TRIM(INDEX('Pegar docentes'!$A$1:$BZ$1001,725,L$2)&amp;""),""))</f>
        <v/>
      </c>
      <c r="M726">
        <f>IF(M$2=0,"",IFERROR(TRIM(INDEX('Pegar docentes'!$A$1:$BZ$1001,725,M$2)&amp;""),""))</f>
        <v/>
      </c>
      <c r="N726">
        <f>IF(N$2=0,"",IFERROR(TRIM(INDEX('Pegar docentes'!$A$1:$BZ$1001,725,N$2)&amp;""),""))</f>
        <v/>
      </c>
      <c r="O726">
        <f>IF(O$2=0,"",IFERROR(TRIM(INDEX('Pegar docentes'!$A$1:$BZ$1001,725,O$2)&amp;""),""))</f>
        <v/>
      </c>
      <c r="P726">
        <f>IF(P$2=0,"",IFERROR(TRIM(INDEX('Pegar docentes'!$A$1:$BZ$1001,725,P$2)&amp;""),""))</f>
        <v/>
      </c>
      <c r="Q726" s="25">
        <f>IF(OR(D726&lt;&gt;"",H726&lt;&gt;""),1,"")</f>
        <v/>
      </c>
      <c r="R726" s="25">
        <f>IF(Q726=1,IF(ISNUMBER(FIND("#"&amp;MID(D726,1,1)&amp;"#","#0#1#2#3#4#5#6#7#8#9#")),IF(ISNUMBER(FIND("#"&amp;MID(D726,2,1)&amp;"#","#0#1#2#3#4#5#6#7#8#9#")),IF(AND(VALUE(LEFT(D726,2))&gt;=1,VALUE(LEFT(D726,2))&lt;=5),VALUE(LEFT(D726,2)),""),IF(AND(VALUE(LEFT(D726,1))&gt;=1,VALUE(LEFT(D726,1))&lt;=5),VALUE(LEFT(D726,1)),"")),""),"")</f>
        <v/>
      </c>
      <c r="S726" s="25">
        <f>IF(AND(Q726=1,E726&lt;&gt;""),SUBSTITUTE(SUBSTITUTE(SUBSTITUTE(SUBSTITUTE(SUBSTITUTE(SUBSTITUTE(SUBSTITUTE(SUBSTITUTE(SUBSTITUTE(SUBSTITUTE(SUBSTITUTE(SUBSTITUTE(LOWER(TRIM(E726)),"á","a"),"é","e"),"í","i"),"ó","o"),"ú","u"),"ü","u"),"ñ","n"),"à","a"),"è","e"),"ì","i"),"ò","o"),"ù","u"),"")</f>
        <v/>
      </c>
      <c r="T726" s="25">
        <f>IF(AND(Q726=1,G726&lt;&gt;""),SUBSTITUTE(SUBSTITUTE(SUBSTITUTE(SUBSTITUTE(SUBSTITUTE(SUBSTITUTE(SUBSTITUTE(SUBSTITUTE(SUBSTITUTE(SUBSTITUTE(SUBSTITUTE(SUBSTITUTE(LOWER(TRIM(G726)),"á","a"),"é","e"),"í","i"),"ó","o"),"ú","u"),"ü","u"),"ñ","n"),"à","a"),"è","e"),"ì","i"),"ò","o"),"ù","u"),"")</f>
        <v/>
      </c>
      <c r="U726" s="25">
        <f>IF(AND(Q726=1,H726&lt;&gt;""),SUBSTITUTE(SUBSTITUTE(SUBSTITUTE(SUBSTITUTE(SUBSTITUTE(SUBSTITUTE(SUBSTITUTE(SUBSTITUTE(SUBSTITUTE(SUBSTITUTE(SUBSTITUTE(SUBSTITUTE(LOWER(TRIM(H726)),"á","a"),"é","e"),"í","i"),"ó","o"),"ú","u"),"ü","u"),"ñ","n"),"à","a"),"è","e"),"ì","i"),"ò","o"),"ù","u"),"")</f>
        <v/>
      </c>
      <c r="V726" s="25">
        <f>IF(AND(Q726=1,L726&lt;&gt;""),SUBSTITUTE(SUBSTITUTE(SUBSTITUTE(SUBSTITUTE(SUBSTITUTE(SUBSTITUTE(SUBSTITUTE(SUBSTITUTE(SUBSTITUTE(SUBSTITUTE(SUBSTITUTE(SUBSTITUTE(LOWER(TRIM(L726)),"á","a"),"é","e"),"í","i"),"ó","o"),"ú","u"),"ü","u"),"ñ","n"),"à","a"),"è","e"),"ì","i"),"ò","o"),"ù","u"),"")</f>
        <v/>
      </c>
      <c r="W726" s="25">
        <f>IF(AND(Q726=1,I726&lt;&gt;""),SUBSTITUTE(SUBSTITUTE(SUBSTITUTE(SUBSTITUTE(SUBSTITUTE(SUBSTITUTE(SUBSTITUTE(SUBSTITUTE(SUBSTITUTE(SUBSTITUTE(SUBSTITUTE(SUBSTITUTE(LOWER(TRIM(I726)),"á","a"),"é","e"),"í","i"),"ó","o"),"ú","u"),"ü","u"),"ñ","n"),"à","a"),"è","e"),"ì","i"),"ò","o"),"ù","u"),"")</f>
        <v/>
      </c>
      <c r="X726" s="25">
        <f>IF(U726="","",IF(OR(U726="si, en la proxima tarea",U726="si, con cambios"),1,0))</f>
        <v/>
      </c>
      <c r="Y726" s="25">
        <f>IF(AND(Q726=1,A726&lt;&gt;""),IF(IFERROR(COUNTIFS(A$3:A726,"="&amp;SUBSTITUTE(SUBSTITUTE(SUBSTITUTE(A726,"~","~~"),"*","~*"),"?","~?"),Q$3:Q726,1),0)=1,MAX(Y$2:Y725)+1,""),"")</f>
        <v/>
      </c>
      <c r="Z726" s="25">
        <f>IF(Y726="","",COUNTIFS($A$3:$A$1002,"="&amp;SUBSTITUTE(SUBSTITUTE(SUBSTITUTE(A726,"~","~~"),"*","~*"),"?","~?"),$Q$3:$Q$1002,1)*10000-Y726)</f>
        <v/>
      </c>
    </row>
    <row r="727">
      <c r="A727">
        <f>IF(A$2=0,"",IFERROR(TRIM(INDEX('Pegar docentes'!$A$1:$BZ$1001,726,A$2)&amp;""),""))</f>
        <v/>
      </c>
      <c r="B727">
        <f>IF(B$2=0,"",IFERROR(TRIM(INDEX('Pegar docentes'!$A$1:$BZ$1001,726,B$2)&amp;""),""))</f>
        <v/>
      </c>
      <c r="C727">
        <f>IF(C$2=0,"",IFERROR(TRIM(INDEX('Pegar docentes'!$A$1:$BZ$1001,726,C$2)&amp;""),""))</f>
        <v/>
      </c>
      <c r="D727">
        <f>IF(D$2=0,"",IFERROR(TRIM(INDEX('Pegar docentes'!$A$1:$BZ$1001,726,D$2)&amp;""),""))</f>
        <v/>
      </c>
      <c r="E727">
        <f>IF(E$2=0,"",IFERROR(TRIM(INDEX('Pegar docentes'!$A$1:$BZ$1001,726,E$2)&amp;""),""))</f>
        <v/>
      </c>
      <c r="F727">
        <f>IF(F$2=0,"",IFERROR(TRIM(INDEX('Pegar docentes'!$A$1:$BZ$1001,726,F$2)&amp;""),""))</f>
        <v/>
      </c>
      <c r="G727">
        <f>IF(G$2=0,"",IFERROR(TRIM(INDEX('Pegar docentes'!$A$1:$BZ$1001,726,G$2)&amp;""),""))</f>
        <v/>
      </c>
      <c r="H727">
        <f>IF(H$2=0,"",IFERROR(TRIM(INDEX('Pegar docentes'!$A$1:$BZ$1001,726,H$2)&amp;""),""))</f>
        <v/>
      </c>
      <c r="I727">
        <f>IF(I$2=0,"",IFERROR(TRIM(INDEX('Pegar docentes'!$A$1:$BZ$1001,726,I$2)&amp;""),""))</f>
        <v/>
      </c>
      <c r="J727">
        <f>IF(J$2=0,"",IFERROR(TRIM(INDEX('Pegar docentes'!$A$1:$BZ$1001,726,J$2)&amp;""),""))</f>
        <v/>
      </c>
      <c r="K727">
        <f>IF(K$2=0,"",IFERROR(TRIM(INDEX('Pegar docentes'!$A$1:$BZ$1001,726,K$2)&amp;""),""))</f>
        <v/>
      </c>
      <c r="L727">
        <f>IF(L$2=0,"",IFERROR(TRIM(INDEX('Pegar docentes'!$A$1:$BZ$1001,726,L$2)&amp;""),""))</f>
        <v/>
      </c>
      <c r="M727">
        <f>IF(M$2=0,"",IFERROR(TRIM(INDEX('Pegar docentes'!$A$1:$BZ$1001,726,M$2)&amp;""),""))</f>
        <v/>
      </c>
      <c r="N727">
        <f>IF(N$2=0,"",IFERROR(TRIM(INDEX('Pegar docentes'!$A$1:$BZ$1001,726,N$2)&amp;""),""))</f>
        <v/>
      </c>
      <c r="O727">
        <f>IF(O$2=0,"",IFERROR(TRIM(INDEX('Pegar docentes'!$A$1:$BZ$1001,726,O$2)&amp;""),""))</f>
        <v/>
      </c>
      <c r="P727">
        <f>IF(P$2=0,"",IFERROR(TRIM(INDEX('Pegar docentes'!$A$1:$BZ$1001,726,P$2)&amp;""),""))</f>
        <v/>
      </c>
      <c r="Q727" s="25">
        <f>IF(OR(D727&lt;&gt;"",H727&lt;&gt;""),1,"")</f>
        <v/>
      </c>
      <c r="R727" s="25">
        <f>IF(Q727=1,IF(ISNUMBER(FIND("#"&amp;MID(D727,1,1)&amp;"#","#0#1#2#3#4#5#6#7#8#9#")),IF(ISNUMBER(FIND("#"&amp;MID(D727,2,1)&amp;"#","#0#1#2#3#4#5#6#7#8#9#")),IF(AND(VALUE(LEFT(D727,2))&gt;=1,VALUE(LEFT(D727,2))&lt;=5),VALUE(LEFT(D727,2)),""),IF(AND(VALUE(LEFT(D727,1))&gt;=1,VALUE(LEFT(D727,1))&lt;=5),VALUE(LEFT(D727,1)),"")),""),"")</f>
        <v/>
      </c>
      <c r="S727" s="25">
        <f>IF(AND(Q727=1,E727&lt;&gt;""),SUBSTITUTE(SUBSTITUTE(SUBSTITUTE(SUBSTITUTE(SUBSTITUTE(SUBSTITUTE(SUBSTITUTE(SUBSTITUTE(SUBSTITUTE(SUBSTITUTE(SUBSTITUTE(SUBSTITUTE(LOWER(TRIM(E727)),"á","a"),"é","e"),"í","i"),"ó","o"),"ú","u"),"ü","u"),"ñ","n"),"à","a"),"è","e"),"ì","i"),"ò","o"),"ù","u"),"")</f>
        <v/>
      </c>
      <c r="T727" s="25">
        <f>IF(AND(Q727=1,G727&lt;&gt;""),SUBSTITUTE(SUBSTITUTE(SUBSTITUTE(SUBSTITUTE(SUBSTITUTE(SUBSTITUTE(SUBSTITUTE(SUBSTITUTE(SUBSTITUTE(SUBSTITUTE(SUBSTITUTE(SUBSTITUTE(LOWER(TRIM(G727)),"á","a"),"é","e"),"í","i"),"ó","o"),"ú","u"),"ü","u"),"ñ","n"),"à","a"),"è","e"),"ì","i"),"ò","o"),"ù","u"),"")</f>
        <v/>
      </c>
      <c r="U727" s="25">
        <f>IF(AND(Q727=1,H727&lt;&gt;""),SUBSTITUTE(SUBSTITUTE(SUBSTITUTE(SUBSTITUTE(SUBSTITUTE(SUBSTITUTE(SUBSTITUTE(SUBSTITUTE(SUBSTITUTE(SUBSTITUTE(SUBSTITUTE(SUBSTITUTE(LOWER(TRIM(H727)),"á","a"),"é","e"),"í","i"),"ó","o"),"ú","u"),"ü","u"),"ñ","n"),"à","a"),"è","e"),"ì","i"),"ò","o"),"ù","u"),"")</f>
        <v/>
      </c>
      <c r="V727" s="25">
        <f>IF(AND(Q727=1,L727&lt;&gt;""),SUBSTITUTE(SUBSTITUTE(SUBSTITUTE(SUBSTITUTE(SUBSTITUTE(SUBSTITUTE(SUBSTITUTE(SUBSTITUTE(SUBSTITUTE(SUBSTITUTE(SUBSTITUTE(SUBSTITUTE(LOWER(TRIM(L727)),"á","a"),"é","e"),"í","i"),"ó","o"),"ú","u"),"ü","u"),"ñ","n"),"à","a"),"è","e"),"ì","i"),"ò","o"),"ù","u"),"")</f>
        <v/>
      </c>
      <c r="W727" s="25">
        <f>IF(AND(Q727=1,I727&lt;&gt;""),SUBSTITUTE(SUBSTITUTE(SUBSTITUTE(SUBSTITUTE(SUBSTITUTE(SUBSTITUTE(SUBSTITUTE(SUBSTITUTE(SUBSTITUTE(SUBSTITUTE(SUBSTITUTE(SUBSTITUTE(LOWER(TRIM(I727)),"á","a"),"é","e"),"í","i"),"ó","o"),"ú","u"),"ü","u"),"ñ","n"),"à","a"),"è","e"),"ì","i"),"ò","o"),"ù","u"),"")</f>
        <v/>
      </c>
      <c r="X727" s="25">
        <f>IF(U727="","",IF(OR(U727="si, en la proxima tarea",U727="si, con cambios"),1,0))</f>
        <v/>
      </c>
      <c r="Y727" s="25">
        <f>IF(AND(Q727=1,A727&lt;&gt;""),IF(IFERROR(COUNTIFS(A$3:A727,"="&amp;SUBSTITUTE(SUBSTITUTE(SUBSTITUTE(A727,"~","~~"),"*","~*"),"?","~?"),Q$3:Q727,1),0)=1,MAX(Y$2:Y726)+1,""),"")</f>
        <v/>
      </c>
      <c r="Z727" s="25">
        <f>IF(Y727="","",COUNTIFS($A$3:$A$1002,"="&amp;SUBSTITUTE(SUBSTITUTE(SUBSTITUTE(A727,"~","~~"),"*","~*"),"?","~?"),$Q$3:$Q$1002,1)*10000-Y727)</f>
        <v/>
      </c>
    </row>
    <row r="728">
      <c r="A728">
        <f>IF(A$2=0,"",IFERROR(TRIM(INDEX('Pegar docentes'!$A$1:$BZ$1001,727,A$2)&amp;""),""))</f>
        <v/>
      </c>
      <c r="B728">
        <f>IF(B$2=0,"",IFERROR(TRIM(INDEX('Pegar docentes'!$A$1:$BZ$1001,727,B$2)&amp;""),""))</f>
        <v/>
      </c>
      <c r="C728">
        <f>IF(C$2=0,"",IFERROR(TRIM(INDEX('Pegar docentes'!$A$1:$BZ$1001,727,C$2)&amp;""),""))</f>
        <v/>
      </c>
      <c r="D728">
        <f>IF(D$2=0,"",IFERROR(TRIM(INDEX('Pegar docentes'!$A$1:$BZ$1001,727,D$2)&amp;""),""))</f>
        <v/>
      </c>
      <c r="E728">
        <f>IF(E$2=0,"",IFERROR(TRIM(INDEX('Pegar docentes'!$A$1:$BZ$1001,727,E$2)&amp;""),""))</f>
        <v/>
      </c>
      <c r="F728">
        <f>IF(F$2=0,"",IFERROR(TRIM(INDEX('Pegar docentes'!$A$1:$BZ$1001,727,F$2)&amp;""),""))</f>
        <v/>
      </c>
      <c r="G728">
        <f>IF(G$2=0,"",IFERROR(TRIM(INDEX('Pegar docentes'!$A$1:$BZ$1001,727,G$2)&amp;""),""))</f>
        <v/>
      </c>
      <c r="H728">
        <f>IF(H$2=0,"",IFERROR(TRIM(INDEX('Pegar docentes'!$A$1:$BZ$1001,727,H$2)&amp;""),""))</f>
        <v/>
      </c>
      <c r="I728">
        <f>IF(I$2=0,"",IFERROR(TRIM(INDEX('Pegar docentes'!$A$1:$BZ$1001,727,I$2)&amp;""),""))</f>
        <v/>
      </c>
      <c r="J728">
        <f>IF(J$2=0,"",IFERROR(TRIM(INDEX('Pegar docentes'!$A$1:$BZ$1001,727,J$2)&amp;""),""))</f>
        <v/>
      </c>
      <c r="K728">
        <f>IF(K$2=0,"",IFERROR(TRIM(INDEX('Pegar docentes'!$A$1:$BZ$1001,727,K$2)&amp;""),""))</f>
        <v/>
      </c>
      <c r="L728">
        <f>IF(L$2=0,"",IFERROR(TRIM(INDEX('Pegar docentes'!$A$1:$BZ$1001,727,L$2)&amp;""),""))</f>
        <v/>
      </c>
      <c r="M728">
        <f>IF(M$2=0,"",IFERROR(TRIM(INDEX('Pegar docentes'!$A$1:$BZ$1001,727,M$2)&amp;""),""))</f>
        <v/>
      </c>
      <c r="N728">
        <f>IF(N$2=0,"",IFERROR(TRIM(INDEX('Pegar docentes'!$A$1:$BZ$1001,727,N$2)&amp;""),""))</f>
        <v/>
      </c>
      <c r="O728">
        <f>IF(O$2=0,"",IFERROR(TRIM(INDEX('Pegar docentes'!$A$1:$BZ$1001,727,O$2)&amp;""),""))</f>
        <v/>
      </c>
      <c r="P728">
        <f>IF(P$2=0,"",IFERROR(TRIM(INDEX('Pegar docentes'!$A$1:$BZ$1001,727,P$2)&amp;""),""))</f>
        <v/>
      </c>
      <c r="Q728" s="25">
        <f>IF(OR(D728&lt;&gt;"",H728&lt;&gt;""),1,"")</f>
        <v/>
      </c>
      <c r="R728" s="25">
        <f>IF(Q728=1,IF(ISNUMBER(FIND("#"&amp;MID(D728,1,1)&amp;"#","#0#1#2#3#4#5#6#7#8#9#")),IF(ISNUMBER(FIND("#"&amp;MID(D728,2,1)&amp;"#","#0#1#2#3#4#5#6#7#8#9#")),IF(AND(VALUE(LEFT(D728,2))&gt;=1,VALUE(LEFT(D728,2))&lt;=5),VALUE(LEFT(D728,2)),""),IF(AND(VALUE(LEFT(D728,1))&gt;=1,VALUE(LEFT(D728,1))&lt;=5),VALUE(LEFT(D728,1)),"")),""),"")</f>
        <v/>
      </c>
      <c r="S728" s="25">
        <f>IF(AND(Q728=1,E728&lt;&gt;""),SUBSTITUTE(SUBSTITUTE(SUBSTITUTE(SUBSTITUTE(SUBSTITUTE(SUBSTITUTE(SUBSTITUTE(SUBSTITUTE(SUBSTITUTE(SUBSTITUTE(SUBSTITUTE(SUBSTITUTE(LOWER(TRIM(E728)),"á","a"),"é","e"),"í","i"),"ó","o"),"ú","u"),"ü","u"),"ñ","n"),"à","a"),"è","e"),"ì","i"),"ò","o"),"ù","u"),"")</f>
        <v/>
      </c>
      <c r="T728" s="25">
        <f>IF(AND(Q728=1,G728&lt;&gt;""),SUBSTITUTE(SUBSTITUTE(SUBSTITUTE(SUBSTITUTE(SUBSTITUTE(SUBSTITUTE(SUBSTITUTE(SUBSTITUTE(SUBSTITUTE(SUBSTITUTE(SUBSTITUTE(SUBSTITUTE(LOWER(TRIM(G728)),"á","a"),"é","e"),"í","i"),"ó","o"),"ú","u"),"ü","u"),"ñ","n"),"à","a"),"è","e"),"ì","i"),"ò","o"),"ù","u"),"")</f>
        <v/>
      </c>
      <c r="U728" s="25">
        <f>IF(AND(Q728=1,H728&lt;&gt;""),SUBSTITUTE(SUBSTITUTE(SUBSTITUTE(SUBSTITUTE(SUBSTITUTE(SUBSTITUTE(SUBSTITUTE(SUBSTITUTE(SUBSTITUTE(SUBSTITUTE(SUBSTITUTE(SUBSTITUTE(LOWER(TRIM(H728)),"á","a"),"é","e"),"í","i"),"ó","o"),"ú","u"),"ü","u"),"ñ","n"),"à","a"),"è","e"),"ì","i"),"ò","o"),"ù","u"),"")</f>
        <v/>
      </c>
      <c r="V728" s="25">
        <f>IF(AND(Q728=1,L728&lt;&gt;""),SUBSTITUTE(SUBSTITUTE(SUBSTITUTE(SUBSTITUTE(SUBSTITUTE(SUBSTITUTE(SUBSTITUTE(SUBSTITUTE(SUBSTITUTE(SUBSTITUTE(SUBSTITUTE(SUBSTITUTE(LOWER(TRIM(L728)),"á","a"),"é","e"),"í","i"),"ó","o"),"ú","u"),"ü","u"),"ñ","n"),"à","a"),"è","e"),"ì","i"),"ò","o"),"ù","u"),"")</f>
        <v/>
      </c>
      <c r="W728" s="25">
        <f>IF(AND(Q728=1,I728&lt;&gt;""),SUBSTITUTE(SUBSTITUTE(SUBSTITUTE(SUBSTITUTE(SUBSTITUTE(SUBSTITUTE(SUBSTITUTE(SUBSTITUTE(SUBSTITUTE(SUBSTITUTE(SUBSTITUTE(SUBSTITUTE(LOWER(TRIM(I728)),"á","a"),"é","e"),"í","i"),"ó","o"),"ú","u"),"ü","u"),"ñ","n"),"à","a"),"è","e"),"ì","i"),"ò","o"),"ù","u"),"")</f>
        <v/>
      </c>
      <c r="X728" s="25">
        <f>IF(U728="","",IF(OR(U728="si, en la proxima tarea",U728="si, con cambios"),1,0))</f>
        <v/>
      </c>
      <c r="Y728" s="25">
        <f>IF(AND(Q728=1,A728&lt;&gt;""),IF(IFERROR(COUNTIFS(A$3:A728,"="&amp;SUBSTITUTE(SUBSTITUTE(SUBSTITUTE(A728,"~","~~"),"*","~*"),"?","~?"),Q$3:Q728,1),0)=1,MAX(Y$2:Y727)+1,""),"")</f>
        <v/>
      </c>
      <c r="Z728" s="25">
        <f>IF(Y728="","",COUNTIFS($A$3:$A$1002,"="&amp;SUBSTITUTE(SUBSTITUTE(SUBSTITUTE(A728,"~","~~"),"*","~*"),"?","~?"),$Q$3:$Q$1002,1)*10000-Y728)</f>
        <v/>
      </c>
    </row>
    <row r="729">
      <c r="A729">
        <f>IF(A$2=0,"",IFERROR(TRIM(INDEX('Pegar docentes'!$A$1:$BZ$1001,728,A$2)&amp;""),""))</f>
        <v/>
      </c>
      <c r="B729">
        <f>IF(B$2=0,"",IFERROR(TRIM(INDEX('Pegar docentes'!$A$1:$BZ$1001,728,B$2)&amp;""),""))</f>
        <v/>
      </c>
      <c r="C729">
        <f>IF(C$2=0,"",IFERROR(TRIM(INDEX('Pegar docentes'!$A$1:$BZ$1001,728,C$2)&amp;""),""))</f>
        <v/>
      </c>
      <c r="D729">
        <f>IF(D$2=0,"",IFERROR(TRIM(INDEX('Pegar docentes'!$A$1:$BZ$1001,728,D$2)&amp;""),""))</f>
        <v/>
      </c>
      <c r="E729">
        <f>IF(E$2=0,"",IFERROR(TRIM(INDEX('Pegar docentes'!$A$1:$BZ$1001,728,E$2)&amp;""),""))</f>
        <v/>
      </c>
      <c r="F729">
        <f>IF(F$2=0,"",IFERROR(TRIM(INDEX('Pegar docentes'!$A$1:$BZ$1001,728,F$2)&amp;""),""))</f>
        <v/>
      </c>
      <c r="G729">
        <f>IF(G$2=0,"",IFERROR(TRIM(INDEX('Pegar docentes'!$A$1:$BZ$1001,728,G$2)&amp;""),""))</f>
        <v/>
      </c>
      <c r="H729">
        <f>IF(H$2=0,"",IFERROR(TRIM(INDEX('Pegar docentes'!$A$1:$BZ$1001,728,H$2)&amp;""),""))</f>
        <v/>
      </c>
      <c r="I729">
        <f>IF(I$2=0,"",IFERROR(TRIM(INDEX('Pegar docentes'!$A$1:$BZ$1001,728,I$2)&amp;""),""))</f>
        <v/>
      </c>
      <c r="J729">
        <f>IF(J$2=0,"",IFERROR(TRIM(INDEX('Pegar docentes'!$A$1:$BZ$1001,728,J$2)&amp;""),""))</f>
        <v/>
      </c>
      <c r="K729">
        <f>IF(K$2=0,"",IFERROR(TRIM(INDEX('Pegar docentes'!$A$1:$BZ$1001,728,K$2)&amp;""),""))</f>
        <v/>
      </c>
      <c r="L729">
        <f>IF(L$2=0,"",IFERROR(TRIM(INDEX('Pegar docentes'!$A$1:$BZ$1001,728,L$2)&amp;""),""))</f>
        <v/>
      </c>
      <c r="M729">
        <f>IF(M$2=0,"",IFERROR(TRIM(INDEX('Pegar docentes'!$A$1:$BZ$1001,728,M$2)&amp;""),""))</f>
        <v/>
      </c>
      <c r="N729">
        <f>IF(N$2=0,"",IFERROR(TRIM(INDEX('Pegar docentes'!$A$1:$BZ$1001,728,N$2)&amp;""),""))</f>
        <v/>
      </c>
      <c r="O729">
        <f>IF(O$2=0,"",IFERROR(TRIM(INDEX('Pegar docentes'!$A$1:$BZ$1001,728,O$2)&amp;""),""))</f>
        <v/>
      </c>
      <c r="P729">
        <f>IF(P$2=0,"",IFERROR(TRIM(INDEX('Pegar docentes'!$A$1:$BZ$1001,728,P$2)&amp;""),""))</f>
        <v/>
      </c>
      <c r="Q729" s="25">
        <f>IF(OR(D729&lt;&gt;"",H729&lt;&gt;""),1,"")</f>
        <v/>
      </c>
      <c r="R729" s="25">
        <f>IF(Q729=1,IF(ISNUMBER(FIND("#"&amp;MID(D729,1,1)&amp;"#","#0#1#2#3#4#5#6#7#8#9#")),IF(ISNUMBER(FIND("#"&amp;MID(D729,2,1)&amp;"#","#0#1#2#3#4#5#6#7#8#9#")),IF(AND(VALUE(LEFT(D729,2))&gt;=1,VALUE(LEFT(D729,2))&lt;=5),VALUE(LEFT(D729,2)),""),IF(AND(VALUE(LEFT(D729,1))&gt;=1,VALUE(LEFT(D729,1))&lt;=5),VALUE(LEFT(D729,1)),"")),""),"")</f>
        <v/>
      </c>
      <c r="S729" s="25">
        <f>IF(AND(Q729=1,E729&lt;&gt;""),SUBSTITUTE(SUBSTITUTE(SUBSTITUTE(SUBSTITUTE(SUBSTITUTE(SUBSTITUTE(SUBSTITUTE(SUBSTITUTE(SUBSTITUTE(SUBSTITUTE(SUBSTITUTE(SUBSTITUTE(LOWER(TRIM(E729)),"á","a"),"é","e"),"í","i"),"ó","o"),"ú","u"),"ü","u"),"ñ","n"),"à","a"),"è","e"),"ì","i"),"ò","o"),"ù","u"),"")</f>
        <v/>
      </c>
      <c r="T729" s="25">
        <f>IF(AND(Q729=1,G729&lt;&gt;""),SUBSTITUTE(SUBSTITUTE(SUBSTITUTE(SUBSTITUTE(SUBSTITUTE(SUBSTITUTE(SUBSTITUTE(SUBSTITUTE(SUBSTITUTE(SUBSTITUTE(SUBSTITUTE(SUBSTITUTE(LOWER(TRIM(G729)),"á","a"),"é","e"),"í","i"),"ó","o"),"ú","u"),"ü","u"),"ñ","n"),"à","a"),"è","e"),"ì","i"),"ò","o"),"ù","u"),"")</f>
        <v/>
      </c>
      <c r="U729" s="25">
        <f>IF(AND(Q729=1,H729&lt;&gt;""),SUBSTITUTE(SUBSTITUTE(SUBSTITUTE(SUBSTITUTE(SUBSTITUTE(SUBSTITUTE(SUBSTITUTE(SUBSTITUTE(SUBSTITUTE(SUBSTITUTE(SUBSTITUTE(SUBSTITUTE(LOWER(TRIM(H729)),"á","a"),"é","e"),"í","i"),"ó","o"),"ú","u"),"ü","u"),"ñ","n"),"à","a"),"è","e"),"ì","i"),"ò","o"),"ù","u"),"")</f>
        <v/>
      </c>
      <c r="V729" s="25">
        <f>IF(AND(Q729=1,L729&lt;&gt;""),SUBSTITUTE(SUBSTITUTE(SUBSTITUTE(SUBSTITUTE(SUBSTITUTE(SUBSTITUTE(SUBSTITUTE(SUBSTITUTE(SUBSTITUTE(SUBSTITUTE(SUBSTITUTE(SUBSTITUTE(LOWER(TRIM(L729)),"á","a"),"é","e"),"í","i"),"ó","o"),"ú","u"),"ü","u"),"ñ","n"),"à","a"),"è","e"),"ì","i"),"ò","o"),"ù","u"),"")</f>
        <v/>
      </c>
      <c r="W729" s="25">
        <f>IF(AND(Q729=1,I729&lt;&gt;""),SUBSTITUTE(SUBSTITUTE(SUBSTITUTE(SUBSTITUTE(SUBSTITUTE(SUBSTITUTE(SUBSTITUTE(SUBSTITUTE(SUBSTITUTE(SUBSTITUTE(SUBSTITUTE(SUBSTITUTE(LOWER(TRIM(I729)),"á","a"),"é","e"),"í","i"),"ó","o"),"ú","u"),"ü","u"),"ñ","n"),"à","a"),"è","e"),"ì","i"),"ò","o"),"ù","u"),"")</f>
        <v/>
      </c>
      <c r="X729" s="25">
        <f>IF(U729="","",IF(OR(U729="si, en la proxima tarea",U729="si, con cambios"),1,0))</f>
        <v/>
      </c>
      <c r="Y729" s="25">
        <f>IF(AND(Q729=1,A729&lt;&gt;""),IF(IFERROR(COUNTIFS(A$3:A729,"="&amp;SUBSTITUTE(SUBSTITUTE(SUBSTITUTE(A729,"~","~~"),"*","~*"),"?","~?"),Q$3:Q729,1),0)=1,MAX(Y$2:Y728)+1,""),"")</f>
        <v/>
      </c>
      <c r="Z729" s="25">
        <f>IF(Y729="","",COUNTIFS($A$3:$A$1002,"="&amp;SUBSTITUTE(SUBSTITUTE(SUBSTITUTE(A729,"~","~~"),"*","~*"),"?","~?"),$Q$3:$Q$1002,1)*10000-Y729)</f>
        <v/>
      </c>
    </row>
    <row r="730">
      <c r="A730">
        <f>IF(A$2=0,"",IFERROR(TRIM(INDEX('Pegar docentes'!$A$1:$BZ$1001,729,A$2)&amp;""),""))</f>
        <v/>
      </c>
      <c r="B730">
        <f>IF(B$2=0,"",IFERROR(TRIM(INDEX('Pegar docentes'!$A$1:$BZ$1001,729,B$2)&amp;""),""))</f>
        <v/>
      </c>
      <c r="C730">
        <f>IF(C$2=0,"",IFERROR(TRIM(INDEX('Pegar docentes'!$A$1:$BZ$1001,729,C$2)&amp;""),""))</f>
        <v/>
      </c>
      <c r="D730">
        <f>IF(D$2=0,"",IFERROR(TRIM(INDEX('Pegar docentes'!$A$1:$BZ$1001,729,D$2)&amp;""),""))</f>
        <v/>
      </c>
      <c r="E730">
        <f>IF(E$2=0,"",IFERROR(TRIM(INDEX('Pegar docentes'!$A$1:$BZ$1001,729,E$2)&amp;""),""))</f>
        <v/>
      </c>
      <c r="F730">
        <f>IF(F$2=0,"",IFERROR(TRIM(INDEX('Pegar docentes'!$A$1:$BZ$1001,729,F$2)&amp;""),""))</f>
        <v/>
      </c>
      <c r="G730">
        <f>IF(G$2=0,"",IFERROR(TRIM(INDEX('Pegar docentes'!$A$1:$BZ$1001,729,G$2)&amp;""),""))</f>
        <v/>
      </c>
      <c r="H730">
        <f>IF(H$2=0,"",IFERROR(TRIM(INDEX('Pegar docentes'!$A$1:$BZ$1001,729,H$2)&amp;""),""))</f>
        <v/>
      </c>
      <c r="I730">
        <f>IF(I$2=0,"",IFERROR(TRIM(INDEX('Pegar docentes'!$A$1:$BZ$1001,729,I$2)&amp;""),""))</f>
        <v/>
      </c>
      <c r="J730">
        <f>IF(J$2=0,"",IFERROR(TRIM(INDEX('Pegar docentes'!$A$1:$BZ$1001,729,J$2)&amp;""),""))</f>
        <v/>
      </c>
      <c r="K730">
        <f>IF(K$2=0,"",IFERROR(TRIM(INDEX('Pegar docentes'!$A$1:$BZ$1001,729,K$2)&amp;""),""))</f>
        <v/>
      </c>
      <c r="L730">
        <f>IF(L$2=0,"",IFERROR(TRIM(INDEX('Pegar docentes'!$A$1:$BZ$1001,729,L$2)&amp;""),""))</f>
        <v/>
      </c>
      <c r="M730">
        <f>IF(M$2=0,"",IFERROR(TRIM(INDEX('Pegar docentes'!$A$1:$BZ$1001,729,M$2)&amp;""),""))</f>
        <v/>
      </c>
      <c r="N730">
        <f>IF(N$2=0,"",IFERROR(TRIM(INDEX('Pegar docentes'!$A$1:$BZ$1001,729,N$2)&amp;""),""))</f>
        <v/>
      </c>
      <c r="O730">
        <f>IF(O$2=0,"",IFERROR(TRIM(INDEX('Pegar docentes'!$A$1:$BZ$1001,729,O$2)&amp;""),""))</f>
        <v/>
      </c>
      <c r="P730">
        <f>IF(P$2=0,"",IFERROR(TRIM(INDEX('Pegar docentes'!$A$1:$BZ$1001,729,P$2)&amp;""),""))</f>
        <v/>
      </c>
      <c r="Q730" s="25">
        <f>IF(OR(D730&lt;&gt;"",H730&lt;&gt;""),1,"")</f>
        <v/>
      </c>
      <c r="R730" s="25">
        <f>IF(Q730=1,IF(ISNUMBER(FIND("#"&amp;MID(D730,1,1)&amp;"#","#0#1#2#3#4#5#6#7#8#9#")),IF(ISNUMBER(FIND("#"&amp;MID(D730,2,1)&amp;"#","#0#1#2#3#4#5#6#7#8#9#")),IF(AND(VALUE(LEFT(D730,2))&gt;=1,VALUE(LEFT(D730,2))&lt;=5),VALUE(LEFT(D730,2)),""),IF(AND(VALUE(LEFT(D730,1))&gt;=1,VALUE(LEFT(D730,1))&lt;=5),VALUE(LEFT(D730,1)),"")),""),"")</f>
        <v/>
      </c>
      <c r="S730" s="25">
        <f>IF(AND(Q730=1,E730&lt;&gt;""),SUBSTITUTE(SUBSTITUTE(SUBSTITUTE(SUBSTITUTE(SUBSTITUTE(SUBSTITUTE(SUBSTITUTE(SUBSTITUTE(SUBSTITUTE(SUBSTITUTE(SUBSTITUTE(SUBSTITUTE(LOWER(TRIM(E730)),"á","a"),"é","e"),"í","i"),"ó","o"),"ú","u"),"ü","u"),"ñ","n"),"à","a"),"è","e"),"ì","i"),"ò","o"),"ù","u"),"")</f>
        <v/>
      </c>
      <c r="T730" s="25">
        <f>IF(AND(Q730=1,G730&lt;&gt;""),SUBSTITUTE(SUBSTITUTE(SUBSTITUTE(SUBSTITUTE(SUBSTITUTE(SUBSTITUTE(SUBSTITUTE(SUBSTITUTE(SUBSTITUTE(SUBSTITUTE(SUBSTITUTE(SUBSTITUTE(LOWER(TRIM(G730)),"á","a"),"é","e"),"í","i"),"ó","o"),"ú","u"),"ü","u"),"ñ","n"),"à","a"),"è","e"),"ì","i"),"ò","o"),"ù","u"),"")</f>
        <v/>
      </c>
      <c r="U730" s="25">
        <f>IF(AND(Q730=1,H730&lt;&gt;""),SUBSTITUTE(SUBSTITUTE(SUBSTITUTE(SUBSTITUTE(SUBSTITUTE(SUBSTITUTE(SUBSTITUTE(SUBSTITUTE(SUBSTITUTE(SUBSTITUTE(SUBSTITUTE(SUBSTITUTE(LOWER(TRIM(H730)),"á","a"),"é","e"),"í","i"),"ó","o"),"ú","u"),"ü","u"),"ñ","n"),"à","a"),"è","e"),"ì","i"),"ò","o"),"ù","u"),"")</f>
        <v/>
      </c>
      <c r="V730" s="25">
        <f>IF(AND(Q730=1,L730&lt;&gt;""),SUBSTITUTE(SUBSTITUTE(SUBSTITUTE(SUBSTITUTE(SUBSTITUTE(SUBSTITUTE(SUBSTITUTE(SUBSTITUTE(SUBSTITUTE(SUBSTITUTE(SUBSTITUTE(SUBSTITUTE(LOWER(TRIM(L730)),"á","a"),"é","e"),"í","i"),"ó","o"),"ú","u"),"ü","u"),"ñ","n"),"à","a"),"è","e"),"ì","i"),"ò","o"),"ù","u"),"")</f>
        <v/>
      </c>
      <c r="W730" s="25">
        <f>IF(AND(Q730=1,I730&lt;&gt;""),SUBSTITUTE(SUBSTITUTE(SUBSTITUTE(SUBSTITUTE(SUBSTITUTE(SUBSTITUTE(SUBSTITUTE(SUBSTITUTE(SUBSTITUTE(SUBSTITUTE(SUBSTITUTE(SUBSTITUTE(LOWER(TRIM(I730)),"á","a"),"é","e"),"í","i"),"ó","o"),"ú","u"),"ü","u"),"ñ","n"),"à","a"),"è","e"),"ì","i"),"ò","o"),"ù","u"),"")</f>
        <v/>
      </c>
      <c r="X730" s="25">
        <f>IF(U730="","",IF(OR(U730="si, en la proxima tarea",U730="si, con cambios"),1,0))</f>
        <v/>
      </c>
      <c r="Y730" s="25">
        <f>IF(AND(Q730=1,A730&lt;&gt;""),IF(IFERROR(COUNTIFS(A$3:A730,"="&amp;SUBSTITUTE(SUBSTITUTE(SUBSTITUTE(A730,"~","~~"),"*","~*"),"?","~?"),Q$3:Q730,1),0)=1,MAX(Y$2:Y729)+1,""),"")</f>
        <v/>
      </c>
      <c r="Z730" s="25">
        <f>IF(Y730="","",COUNTIFS($A$3:$A$1002,"="&amp;SUBSTITUTE(SUBSTITUTE(SUBSTITUTE(A730,"~","~~"),"*","~*"),"?","~?"),$Q$3:$Q$1002,1)*10000-Y730)</f>
        <v/>
      </c>
    </row>
    <row r="731">
      <c r="A731">
        <f>IF(A$2=0,"",IFERROR(TRIM(INDEX('Pegar docentes'!$A$1:$BZ$1001,730,A$2)&amp;""),""))</f>
        <v/>
      </c>
      <c r="B731">
        <f>IF(B$2=0,"",IFERROR(TRIM(INDEX('Pegar docentes'!$A$1:$BZ$1001,730,B$2)&amp;""),""))</f>
        <v/>
      </c>
      <c r="C731">
        <f>IF(C$2=0,"",IFERROR(TRIM(INDEX('Pegar docentes'!$A$1:$BZ$1001,730,C$2)&amp;""),""))</f>
        <v/>
      </c>
      <c r="D731">
        <f>IF(D$2=0,"",IFERROR(TRIM(INDEX('Pegar docentes'!$A$1:$BZ$1001,730,D$2)&amp;""),""))</f>
        <v/>
      </c>
      <c r="E731">
        <f>IF(E$2=0,"",IFERROR(TRIM(INDEX('Pegar docentes'!$A$1:$BZ$1001,730,E$2)&amp;""),""))</f>
        <v/>
      </c>
      <c r="F731">
        <f>IF(F$2=0,"",IFERROR(TRIM(INDEX('Pegar docentes'!$A$1:$BZ$1001,730,F$2)&amp;""),""))</f>
        <v/>
      </c>
      <c r="G731">
        <f>IF(G$2=0,"",IFERROR(TRIM(INDEX('Pegar docentes'!$A$1:$BZ$1001,730,G$2)&amp;""),""))</f>
        <v/>
      </c>
      <c r="H731">
        <f>IF(H$2=0,"",IFERROR(TRIM(INDEX('Pegar docentes'!$A$1:$BZ$1001,730,H$2)&amp;""),""))</f>
        <v/>
      </c>
      <c r="I731">
        <f>IF(I$2=0,"",IFERROR(TRIM(INDEX('Pegar docentes'!$A$1:$BZ$1001,730,I$2)&amp;""),""))</f>
        <v/>
      </c>
      <c r="J731">
        <f>IF(J$2=0,"",IFERROR(TRIM(INDEX('Pegar docentes'!$A$1:$BZ$1001,730,J$2)&amp;""),""))</f>
        <v/>
      </c>
      <c r="K731">
        <f>IF(K$2=0,"",IFERROR(TRIM(INDEX('Pegar docentes'!$A$1:$BZ$1001,730,K$2)&amp;""),""))</f>
        <v/>
      </c>
      <c r="L731">
        <f>IF(L$2=0,"",IFERROR(TRIM(INDEX('Pegar docentes'!$A$1:$BZ$1001,730,L$2)&amp;""),""))</f>
        <v/>
      </c>
      <c r="M731">
        <f>IF(M$2=0,"",IFERROR(TRIM(INDEX('Pegar docentes'!$A$1:$BZ$1001,730,M$2)&amp;""),""))</f>
        <v/>
      </c>
      <c r="N731">
        <f>IF(N$2=0,"",IFERROR(TRIM(INDEX('Pegar docentes'!$A$1:$BZ$1001,730,N$2)&amp;""),""))</f>
        <v/>
      </c>
      <c r="O731">
        <f>IF(O$2=0,"",IFERROR(TRIM(INDEX('Pegar docentes'!$A$1:$BZ$1001,730,O$2)&amp;""),""))</f>
        <v/>
      </c>
      <c r="P731">
        <f>IF(P$2=0,"",IFERROR(TRIM(INDEX('Pegar docentes'!$A$1:$BZ$1001,730,P$2)&amp;""),""))</f>
        <v/>
      </c>
      <c r="Q731" s="25">
        <f>IF(OR(D731&lt;&gt;"",H731&lt;&gt;""),1,"")</f>
        <v/>
      </c>
      <c r="R731" s="25">
        <f>IF(Q731=1,IF(ISNUMBER(FIND("#"&amp;MID(D731,1,1)&amp;"#","#0#1#2#3#4#5#6#7#8#9#")),IF(ISNUMBER(FIND("#"&amp;MID(D731,2,1)&amp;"#","#0#1#2#3#4#5#6#7#8#9#")),IF(AND(VALUE(LEFT(D731,2))&gt;=1,VALUE(LEFT(D731,2))&lt;=5),VALUE(LEFT(D731,2)),""),IF(AND(VALUE(LEFT(D731,1))&gt;=1,VALUE(LEFT(D731,1))&lt;=5),VALUE(LEFT(D731,1)),"")),""),"")</f>
        <v/>
      </c>
      <c r="S731" s="25">
        <f>IF(AND(Q731=1,E731&lt;&gt;""),SUBSTITUTE(SUBSTITUTE(SUBSTITUTE(SUBSTITUTE(SUBSTITUTE(SUBSTITUTE(SUBSTITUTE(SUBSTITUTE(SUBSTITUTE(SUBSTITUTE(SUBSTITUTE(SUBSTITUTE(LOWER(TRIM(E731)),"á","a"),"é","e"),"í","i"),"ó","o"),"ú","u"),"ü","u"),"ñ","n"),"à","a"),"è","e"),"ì","i"),"ò","o"),"ù","u"),"")</f>
        <v/>
      </c>
      <c r="T731" s="25">
        <f>IF(AND(Q731=1,G731&lt;&gt;""),SUBSTITUTE(SUBSTITUTE(SUBSTITUTE(SUBSTITUTE(SUBSTITUTE(SUBSTITUTE(SUBSTITUTE(SUBSTITUTE(SUBSTITUTE(SUBSTITUTE(SUBSTITUTE(SUBSTITUTE(LOWER(TRIM(G731)),"á","a"),"é","e"),"í","i"),"ó","o"),"ú","u"),"ü","u"),"ñ","n"),"à","a"),"è","e"),"ì","i"),"ò","o"),"ù","u"),"")</f>
        <v/>
      </c>
      <c r="U731" s="25">
        <f>IF(AND(Q731=1,H731&lt;&gt;""),SUBSTITUTE(SUBSTITUTE(SUBSTITUTE(SUBSTITUTE(SUBSTITUTE(SUBSTITUTE(SUBSTITUTE(SUBSTITUTE(SUBSTITUTE(SUBSTITUTE(SUBSTITUTE(SUBSTITUTE(LOWER(TRIM(H731)),"á","a"),"é","e"),"í","i"),"ó","o"),"ú","u"),"ü","u"),"ñ","n"),"à","a"),"è","e"),"ì","i"),"ò","o"),"ù","u"),"")</f>
        <v/>
      </c>
      <c r="V731" s="25">
        <f>IF(AND(Q731=1,L731&lt;&gt;""),SUBSTITUTE(SUBSTITUTE(SUBSTITUTE(SUBSTITUTE(SUBSTITUTE(SUBSTITUTE(SUBSTITUTE(SUBSTITUTE(SUBSTITUTE(SUBSTITUTE(SUBSTITUTE(SUBSTITUTE(LOWER(TRIM(L731)),"á","a"),"é","e"),"í","i"),"ó","o"),"ú","u"),"ü","u"),"ñ","n"),"à","a"),"è","e"),"ì","i"),"ò","o"),"ù","u"),"")</f>
        <v/>
      </c>
      <c r="W731" s="25">
        <f>IF(AND(Q731=1,I731&lt;&gt;""),SUBSTITUTE(SUBSTITUTE(SUBSTITUTE(SUBSTITUTE(SUBSTITUTE(SUBSTITUTE(SUBSTITUTE(SUBSTITUTE(SUBSTITUTE(SUBSTITUTE(SUBSTITUTE(SUBSTITUTE(LOWER(TRIM(I731)),"á","a"),"é","e"),"í","i"),"ó","o"),"ú","u"),"ü","u"),"ñ","n"),"à","a"),"è","e"),"ì","i"),"ò","o"),"ù","u"),"")</f>
        <v/>
      </c>
      <c r="X731" s="25">
        <f>IF(U731="","",IF(OR(U731="si, en la proxima tarea",U731="si, con cambios"),1,0))</f>
        <v/>
      </c>
      <c r="Y731" s="25">
        <f>IF(AND(Q731=1,A731&lt;&gt;""),IF(IFERROR(COUNTIFS(A$3:A731,"="&amp;SUBSTITUTE(SUBSTITUTE(SUBSTITUTE(A731,"~","~~"),"*","~*"),"?","~?"),Q$3:Q731,1),0)=1,MAX(Y$2:Y730)+1,""),"")</f>
        <v/>
      </c>
      <c r="Z731" s="25">
        <f>IF(Y731="","",COUNTIFS($A$3:$A$1002,"="&amp;SUBSTITUTE(SUBSTITUTE(SUBSTITUTE(A731,"~","~~"),"*","~*"),"?","~?"),$Q$3:$Q$1002,1)*10000-Y731)</f>
        <v/>
      </c>
    </row>
    <row r="732">
      <c r="A732">
        <f>IF(A$2=0,"",IFERROR(TRIM(INDEX('Pegar docentes'!$A$1:$BZ$1001,731,A$2)&amp;""),""))</f>
        <v/>
      </c>
      <c r="B732">
        <f>IF(B$2=0,"",IFERROR(TRIM(INDEX('Pegar docentes'!$A$1:$BZ$1001,731,B$2)&amp;""),""))</f>
        <v/>
      </c>
      <c r="C732">
        <f>IF(C$2=0,"",IFERROR(TRIM(INDEX('Pegar docentes'!$A$1:$BZ$1001,731,C$2)&amp;""),""))</f>
        <v/>
      </c>
      <c r="D732">
        <f>IF(D$2=0,"",IFERROR(TRIM(INDEX('Pegar docentes'!$A$1:$BZ$1001,731,D$2)&amp;""),""))</f>
        <v/>
      </c>
      <c r="E732">
        <f>IF(E$2=0,"",IFERROR(TRIM(INDEX('Pegar docentes'!$A$1:$BZ$1001,731,E$2)&amp;""),""))</f>
        <v/>
      </c>
      <c r="F732">
        <f>IF(F$2=0,"",IFERROR(TRIM(INDEX('Pegar docentes'!$A$1:$BZ$1001,731,F$2)&amp;""),""))</f>
        <v/>
      </c>
      <c r="G732">
        <f>IF(G$2=0,"",IFERROR(TRIM(INDEX('Pegar docentes'!$A$1:$BZ$1001,731,G$2)&amp;""),""))</f>
        <v/>
      </c>
      <c r="H732">
        <f>IF(H$2=0,"",IFERROR(TRIM(INDEX('Pegar docentes'!$A$1:$BZ$1001,731,H$2)&amp;""),""))</f>
        <v/>
      </c>
      <c r="I732">
        <f>IF(I$2=0,"",IFERROR(TRIM(INDEX('Pegar docentes'!$A$1:$BZ$1001,731,I$2)&amp;""),""))</f>
        <v/>
      </c>
      <c r="J732">
        <f>IF(J$2=0,"",IFERROR(TRIM(INDEX('Pegar docentes'!$A$1:$BZ$1001,731,J$2)&amp;""),""))</f>
        <v/>
      </c>
      <c r="K732">
        <f>IF(K$2=0,"",IFERROR(TRIM(INDEX('Pegar docentes'!$A$1:$BZ$1001,731,K$2)&amp;""),""))</f>
        <v/>
      </c>
      <c r="L732">
        <f>IF(L$2=0,"",IFERROR(TRIM(INDEX('Pegar docentes'!$A$1:$BZ$1001,731,L$2)&amp;""),""))</f>
        <v/>
      </c>
      <c r="M732">
        <f>IF(M$2=0,"",IFERROR(TRIM(INDEX('Pegar docentes'!$A$1:$BZ$1001,731,M$2)&amp;""),""))</f>
        <v/>
      </c>
      <c r="N732">
        <f>IF(N$2=0,"",IFERROR(TRIM(INDEX('Pegar docentes'!$A$1:$BZ$1001,731,N$2)&amp;""),""))</f>
        <v/>
      </c>
      <c r="O732">
        <f>IF(O$2=0,"",IFERROR(TRIM(INDEX('Pegar docentes'!$A$1:$BZ$1001,731,O$2)&amp;""),""))</f>
        <v/>
      </c>
      <c r="P732">
        <f>IF(P$2=0,"",IFERROR(TRIM(INDEX('Pegar docentes'!$A$1:$BZ$1001,731,P$2)&amp;""),""))</f>
        <v/>
      </c>
      <c r="Q732" s="25">
        <f>IF(OR(D732&lt;&gt;"",H732&lt;&gt;""),1,"")</f>
        <v/>
      </c>
      <c r="R732" s="25">
        <f>IF(Q732=1,IF(ISNUMBER(FIND("#"&amp;MID(D732,1,1)&amp;"#","#0#1#2#3#4#5#6#7#8#9#")),IF(ISNUMBER(FIND("#"&amp;MID(D732,2,1)&amp;"#","#0#1#2#3#4#5#6#7#8#9#")),IF(AND(VALUE(LEFT(D732,2))&gt;=1,VALUE(LEFT(D732,2))&lt;=5),VALUE(LEFT(D732,2)),""),IF(AND(VALUE(LEFT(D732,1))&gt;=1,VALUE(LEFT(D732,1))&lt;=5),VALUE(LEFT(D732,1)),"")),""),"")</f>
        <v/>
      </c>
      <c r="S732" s="25">
        <f>IF(AND(Q732=1,E732&lt;&gt;""),SUBSTITUTE(SUBSTITUTE(SUBSTITUTE(SUBSTITUTE(SUBSTITUTE(SUBSTITUTE(SUBSTITUTE(SUBSTITUTE(SUBSTITUTE(SUBSTITUTE(SUBSTITUTE(SUBSTITUTE(LOWER(TRIM(E732)),"á","a"),"é","e"),"í","i"),"ó","o"),"ú","u"),"ü","u"),"ñ","n"),"à","a"),"è","e"),"ì","i"),"ò","o"),"ù","u"),"")</f>
        <v/>
      </c>
      <c r="T732" s="25">
        <f>IF(AND(Q732=1,G732&lt;&gt;""),SUBSTITUTE(SUBSTITUTE(SUBSTITUTE(SUBSTITUTE(SUBSTITUTE(SUBSTITUTE(SUBSTITUTE(SUBSTITUTE(SUBSTITUTE(SUBSTITUTE(SUBSTITUTE(SUBSTITUTE(LOWER(TRIM(G732)),"á","a"),"é","e"),"í","i"),"ó","o"),"ú","u"),"ü","u"),"ñ","n"),"à","a"),"è","e"),"ì","i"),"ò","o"),"ù","u"),"")</f>
        <v/>
      </c>
      <c r="U732" s="25">
        <f>IF(AND(Q732=1,H732&lt;&gt;""),SUBSTITUTE(SUBSTITUTE(SUBSTITUTE(SUBSTITUTE(SUBSTITUTE(SUBSTITUTE(SUBSTITUTE(SUBSTITUTE(SUBSTITUTE(SUBSTITUTE(SUBSTITUTE(SUBSTITUTE(LOWER(TRIM(H732)),"á","a"),"é","e"),"í","i"),"ó","o"),"ú","u"),"ü","u"),"ñ","n"),"à","a"),"è","e"),"ì","i"),"ò","o"),"ù","u"),"")</f>
        <v/>
      </c>
      <c r="V732" s="25">
        <f>IF(AND(Q732=1,L732&lt;&gt;""),SUBSTITUTE(SUBSTITUTE(SUBSTITUTE(SUBSTITUTE(SUBSTITUTE(SUBSTITUTE(SUBSTITUTE(SUBSTITUTE(SUBSTITUTE(SUBSTITUTE(SUBSTITUTE(SUBSTITUTE(LOWER(TRIM(L732)),"á","a"),"é","e"),"í","i"),"ó","o"),"ú","u"),"ü","u"),"ñ","n"),"à","a"),"è","e"),"ì","i"),"ò","o"),"ù","u"),"")</f>
        <v/>
      </c>
      <c r="W732" s="25">
        <f>IF(AND(Q732=1,I732&lt;&gt;""),SUBSTITUTE(SUBSTITUTE(SUBSTITUTE(SUBSTITUTE(SUBSTITUTE(SUBSTITUTE(SUBSTITUTE(SUBSTITUTE(SUBSTITUTE(SUBSTITUTE(SUBSTITUTE(SUBSTITUTE(LOWER(TRIM(I732)),"á","a"),"é","e"),"í","i"),"ó","o"),"ú","u"),"ü","u"),"ñ","n"),"à","a"),"è","e"),"ì","i"),"ò","o"),"ù","u"),"")</f>
        <v/>
      </c>
      <c r="X732" s="25">
        <f>IF(U732="","",IF(OR(U732="si, en la proxima tarea",U732="si, con cambios"),1,0))</f>
        <v/>
      </c>
      <c r="Y732" s="25">
        <f>IF(AND(Q732=1,A732&lt;&gt;""),IF(IFERROR(COUNTIFS(A$3:A732,"="&amp;SUBSTITUTE(SUBSTITUTE(SUBSTITUTE(A732,"~","~~"),"*","~*"),"?","~?"),Q$3:Q732,1),0)=1,MAX(Y$2:Y731)+1,""),"")</f>
        <v/>
      </c>
      <c r="Z732" s="25">
        <f>IF(Y732="","",COUNTIFS($A$3:$A$1002,"="&amp;SUBSTITUTE(SUBSTITUTE(SUBSTITUTE(A732,"~","~~"),"*","~*"),"?","~?"),$Q$3:$Q$1002,1)*10000-Y732)</f>
        <v/>
      </c>
    </row>
    <row r="733">
      <c r="A733">
        <f>IF(A$2=0,"",IFERROR(TRIM(INDEX('Pegar docentes'!$A$1:$BZ$1001,732,A$2)&amp;""),""))</f>
        <v/>
      </c>
      <c r="B733">
        <f>IF(B$2=0,"",IFERROR(TRIM(INDEX('Pegar docentes'!$A$1:$BZ$1001,732,B$2)&amp;""),""))</f>
        <v/>
      </c>
      <c r="C733">
        <f>IF(C$2=0,"",IFERROR(TRIM(INDEX('Pegar docentes'!$A$1:$BZ$1001,732,C$2)&amp;""),""))</f>
        <v/>
      </c>
      <c r="D733">
        <f>IF(D$2=0,"",IFERROR(TRIM(INDEX('Pegar docentes'!$A$1:$BZ$1001,732,D$2)&amp;""),""))</f>
        <v/>
      </c>
      <c r="E733">
        <f>IF(E$2=0,"",IFERROR(TRIM(INDEX('Pegar docentes'!$A$1:$BZ$1001,732,E$2)&amp;""),""))</f>
        <v/>
      </c>
      <c r="F733">
        <f>IF(F$2=0,"",IFERROR(TRIM(INDEX('Pegar docentes'!$A$1:$BZ$1001,732,F$2)&amp;""),""))</f>
        <v/>
      </c>
      <c r="G733">
        <f>IF(G$2=0,"",IFERROR(TRIM(INDEX('Pegar docentes'!$A$1:$BZ$1001,732,G$2)&amp;""),""))</f>
        <v/>
      </c>
      <c r="H733">
        <f>IF(H$2=0,"",IFERROR(TRIM(INDEX('Pegar docentes'!$A$1:$BZ$1001,732,H$2)&amp;""),""))</f>
        <v/>
      </c>
      <c r="I733">
        <f>IF(I$2=0,"",IFERROR(TRIM(INDEX('Pegar docentes'!$A$1:$BZ$1001,732,I$2)&amp;""),""))</f>
        <v/>
      </c>
      <c r="J733">
        <f>IF(J$2=0,"",IFERROR(TRIM(INDEX('Pegar docentes'!$A$1:$BZ$1001,732,J$2)&amp;""),""))</f>
        <v/>
      </c>
      <c r="K733">
        <f>IF(K$2=0,"",IFERROR(TRIM(INDEX('Pegar docentes'!$A$1:$BZ$1001,732,K$2)&amp;""),""))</f>
        <v/>
      </c>
      <c r="L733">
        <f>IF(L$2=0,"",IFERROR(TRIM(INDEX('Pegar docentes'!$A$1:$BZ$1001,732,L$2)&amp;""),""))</f>
        <v/>
      </c>
      <c r="M733">
        <f>IF(M$2=0,"",IFERROR(TRIM(INDEX('Pegar docentes'!$A$1:$BZ$1001,732,M$2)&amp;""),""))</f>
        <v/>
      </c>
      <c r="N733">
        <f>IF(N$2=0,"",IFERROR(TRIM(INDEX('Pegar docentes'!$A$1:$BZ$1001,732,N$2)&amp;""),""))</f>
        <v/>
      </c>
      <c r="O733">
        <f>IF(O$2=0,"",IFERROR(TRIM(INDEX('Pegar docentes'!$A$1:$BZ$1001,732,O$2)&amp;""),""))</f>
        <v/>
      </c>
      <c r="P733">
        <f>IF(P$2=0,"",IFERROR(TRIM(INDEX('Pegar docentes'!$A$1:$BZ$1001,732,P$2)&amp;""),""))</f>
        <v/>
      </c>
      <c r="Q733" s="25">
        <f>IF(OR(D733&lt;&gt;"",H733&lt;&gt;""),1,"")</f>
        <v/>
      </c>
      <c r="R733" s="25">
        <f>IF(Q733=1,IF(ISNUMBER(FIND("#"&amp;MID(D733,1,1)&amp;"#","#0#1#2#3#4#5#6#7#8#9#")),IF(ISNUMBER(FIND("#"&amp;MID(D733,2,1)&amp;"#","#0#1#2#3#4#5#6#7#8#9#")),IF(AND(VALUE(LEFT(D733,2))&gt;=1,VALUE(LEFT(D733,2))&lt;=5),VALUE(LEFT(D733,2)),""),IF(AND(VALUE(LEFT(D733,1))&gt;=1,VALUE(LEFT(D733,1))&lt;=5),VALUE(LEFT(D733,1)),"")),""),"")</f>
        <v/>
      </c>
      <c r="S733" s="25">
        <f>IF(AND(Q733=1,E733&lt;&gt;""),SUBSTITUTE(SUBSTITUTE(SUBSTITUTE(SUBSTITUTE(SUBSTITUTE(SUBSTITUTE(SUBSTITUTE(SUBSTITUTE(SUBSTITUTE(SUBSTITUTE(SUBSTITUTE(SUBSTITUTE(LOWER(TRIM(E733)),"á","a"),"é","e"),"í","i"),"ó","o"),"ú","u"),"ü","u"),"ñ","n"),"à","a"),"è","e"),"ì","i"),"ò","o"),"ù","u"),"")</f>
        <v/>
      </c>
      <c r="T733" s="25">
        <f>IF(AND(Q733=1,G733&lt;&gt;""),SUBSTITUTE(SUBSTITUTE(SUBSTITUTE(SUBSTITUTE(SUBSTITUTE(SUBSTITUTE(SUBSTITUTE(SUBSTITUTE(SUBSTITUTE(SUBSTITUTE(SUBSTITUTE(SUBSTITUTE(LOWER(TRIM(G733)),"á","a"),"é","e"),"í","i"),"ó","o"),"ú","u"),"ü","u"),"ñ","n"),"à","a"),"è","e"),"ì","i"),"ò","o"),"ù","u"),"")</f>
        <v/>
      </c>
      <c r="U733" s="25">
        <f>IF(AND(Q733=1,H733&lt;&gt;""),SUBSTITUTE(SUBSTITUTE(SUBSTITUTE(SUBSTITUTE(SUBSTITUTE(SUBSTITUTE(SUBSTITUTE(SUBSTITUTE(SUBSTITUTE(SUBSTITUTE(SUBSTITUTE(SUBSTITUTE(LOWER(TRIM(H733)),"á","a"),"é","e"),"í","i"),"ó","o"),"ú","u"),"ü","u"),"ñ","n"),"à","a"),"è","e"),"ì","i"),"ò","o"),"ù","u"),"")</f>
        <v/>
      </c>
      <c r="V733" s="25">
        <f>IF(AND(Q733=1,L733&lt;&gt;""),SUBSTITUTE(SUBSTITUTE(SUBSTITUTE(SUBSTITUTE(SUBSTITUTE(SUBSTITUTE(SUBSTITUTE(SUBSTITUTE(SUBSTITUTE(SUBSTITUTE(SUBSTITUTE(SUBSTITUTE(LOWER(TRIM(L733)),"á","a"),"é","e"),"í","i"),"ó","o"),"ú","u"),"ü","u"),"ñ","n"),"à","a"),"è","e"),"ì","i"),"ò","o"),"ù","u"),"")</f>
        <v/>
      </c>
      <c r="W733" s="25">
        <f>IF(AND(Q733=1,I733&lt;&gt;""),SUBSTITUTE(SUBSTITUTE(SUBSTITUTE(SUBSTITUTE(SUBSTITUTE(SUBSTITUTE(SUBSTITUTE(SUBSTITUTE(SUBSTITUTE(SUBSTITUTE(SUBSTITUTE(SUBSTITUTE(LOWER(TRIM(I733)),"á","a"),"é","e"),"í","i"),"ó","o"),"ú","u"),"ü","u"),"ñ","n"),"à","a"),"è","e"),"ì","i"),"ò","o"),"ù","u"),"")</f>
        <v/>
      </c>
      <c r="X733" s="25">
        <f>IF(U733="","",IF(OR(U733="si, en la proxima tarea",U733="si, con cambios"),1,0))</f>
        <v/>
      </c>
      <c r="Y733" s="25">
        <f>IF(AND(Q733=1,A733&lt;&gt;""),IF(IFERROR(COUNTIFS(A$3:A733,"="&amp;SUBSTITUTE(SUBSTITUTE(SUBSTITUTE(A733,"~","~~"),"*","~*"),"?","~?"),Q$3:Q733,1),0)=1,MAX(Y$2:Y732)+1,""),"")</f>
        <v/>
      </c>
      <c r="Z733" s="25">
        <f>IF(Y733="","",COUNTIFS($A$3:$A$1002,"="&amp;SUBSTITUTE(SUBSTITUTE(SUBSTITUTE(A733,"~","~~"),"*","~*"),"?","~?"),$Q$3:$Q$1002,1)*10000-Y733)</f>
        <v/>
      </c>
    </row>
    <row r="734">
      <c r="A734">
        <f>IF(A$2=0,"",IFERROR(TRIM(INDEX('Pegar docentes'!$A$1:$BZ$1001,733,A$2)&amp;""),""))</f>
        <v/>
      </c>
      <c r="B734">
        <f>IF(B$2=0,"",IFERROR(TRIM(INDEX('Pegar docentes'!$A$1:$BZ$1001,733,B$2)&amp;""),""))</f>
        <v/>
      </c>
      <c r="C734">
        <f>IF(C$2=0,"",IFERROR(TRIM(INDEX('Pegar docentes'!$A$1:$BZ$1001,733,C$2)&amp;""),""))</f>
        <v/>
      </c>
      <c r="D734">
        <f>IF(D$2=0,"",IFERROR(TRIM(INDEX('Pegar docentes'!$A$1:$BZ$1001,733,D$2)&amp;""),""))</f>
        <v/>
      </c>
      <c r="E734">
        <f>IF(E$2=0,"",IFERROR(TRIM(INDEX('Pegar docentes'!$A$1:$BZ$1001,733,E$2)&amp;""),""))</f>
        <v/>
      </c>
      <c r="F734">
        <f>IF(F$2=0,"",IFERROR(TRIM(INDEX('Pegar docentes'!$A$1:$BZ$1001,733,F$2)&amp;""),""))</f>
        <v/>
      </c>
      <c r="G734">
        <f>IF(G$2=0,"",IFERROR(TRIM(INDEX('Pegar docentes'!$A$1:$BZ$1001,733,G$2)&amp;""),""))</f>
        <v/>
      </c>
      <c r="H734">
        <f>IF(H$2=0,"",IFERROR(TRIM(INDEX('Pegar docentes'!$A$1:$BZ$1001,733,H$2)&amp;""),""))</f>
        <v/>
      </c>
      <c r="I734">
        <f>IF(I$2=0,"",IFERROR(TRIM(INDEX('Pegar docentes'!$A$1:$BZ$1001,733,I$2)&amp;""),""))</f>
        <v/>
      </c>
      <c r="J734">
        <f>IF(J$2=0,"",IFERROR(TRIM(INDEX('Pegar docentes'!$A$1:$BZ$1001,733,J$2)&amp;""),""))</f>
        <v/>
      </c>
      <c r="K734">
        <f>IF(K$2=0,"",IFERROR(TRIM(INDEX('Pegar docentes'!$A$1:$BZ$1001,733,K$2)&amp;""),""))</f>
        <v/>
      </c>
      <c r="L734">
        <f>IF(L$2=0,"",IFERROR(TRIM(INDEX('Pegar docentes'!$A$1:$BZ$1001,733,L$2)&amp;""),""))</f>
        <v/>
      </c>
      <c r="M734">
        <f>IF(M$2=0,"",IFERROR(TRIM(INDEX('Pegar docentes'!$A$1:$BZ$1001,733,M$2)&amp;""),""))</f>
        <v/>
      </c>
      <c r="N734">
        <f>IF(N$2=0,"",IFERROR(TRIM(INDEX('Pegar docentes'!$A$1:$BZ$1001,733,N$2)&amp;""),""))</f>
        <v/>
      </c>
      <c r="O734">
        <f>IF(O$2=0,"",IFERROR(TRIM(INDEX('Pegar docentes'!$A$1:$BZ$1001,733,O$2)&amp;""),""))</f>
        <v/>
      </c>
      <c r="P734">
        <f>IF(P$2=0,"",IFERROR(TRIM(INDEX('Pegar docentes'!$A$1:$BZ$1001,733,P$2)&amp;""),""))</f>
        <v/>
      </c>
      <c r="Q734" s="25">
        <f>IF(OR(D734&lt;&gt;"",H734&lt;&gt;""),1,"")</f>
        <v/>
      </c>
      <c r="R734" s="25">
        <f>IF(Q734=1,IF(ISNUMBER(FIND("#"&amp;MID(D734,1,1)&amp;"#","#0#1#2#3#4#5#6#7#8#9#")),IF(ISNUMBER(FIND("#"&amp;MID(D734,2,1)&amp;"#","#0#1#2#3#4#5#6#7#8#9#")),IF(AND(VALUE(LEFT(D734,2))&gt;=1,VALUE(LEFT(D734,2))&lt;=5),VALUE(LEFT(D734,2)),""),IF(AND(VALUE(LEFT(D734,1))&gt;=1,VALUE(LEFT(D734,1))&lt;=5),VALUE(LEFT(D734,1)),"")),""),"")</f>
        <v/>
      </c>
      <c r="S734" s="25">
        <f>IF(AND(Q734=1,E734&lt;&gt;""),SUBSTITUTE(SUBSTITUTE(SUBSTITUTE(SUBSTITUTE(SUBSTITUTE(SUBSTITUTE(SUBSTITUTE(SUBSTITUTE(SUBSTITUTE(SUBSTITUTE(SUBSTITUTE(SUBSTITUTE(LOWER(TRIM(E734)),"á","a"),"é","e"),"í","i"),"ó","o"),"ú","u"),"ü","u"),"ñ","n"),"à","a"),"è","e"),"ì","i"),"ò","o"),"ù","u"),"")</f>
        <v/>
      </c>
      <c r="T734" s="25">
        <f>IF(AND(Q734=1,G734&lt;&gt;""),SUBSTITUTE(SUBSTITUTE(SUBSTITUTE(SUBSTITUTE(SUBSTITUTE(SUBSTITUTE(SUBSTITUTE(SUBSTITUTE(SUBSTITUTE(SUBSTITUTE(SUBSTITUTE(SUBSTITUTE(LOWER(TRIM(G734)),"á","a"),"é","e"),"í","i"),"ó","o"),"ú","u"),"ü","u"),"ñ","n"),"à","a"),"è","e"),"ì","i"),"ò","o"),"ù","u"),"")</f>
        <v/>
      </c>
      <c r="U734" s="25">
        <f>IF(AND(Q734=1,H734&lt;&gt;""),SUBSTITUTE(SUBSTITUTE(SUBSTITUTE(SUBSTITUTE(SUBSTITUTE(SUBSTITUTE(SUBSTITUTE(SUBSTITUTE(SUBSTITUTE(SUBSTITUTE(SUBSTITUTE(SUBSTITUTE(LOWER(TRIM(H734)),"á","a"),"é","e"),"í","i"),"ó","o"),"ú","u"),"ü","u"),"ñ","n"),"à","a"),"è","e"),"ì","i"),"ò","o"),"ù","u"),"")</f>
        <v/>
      </c>
      <c r="V734" s="25">
        <f>IF(AND(Q734=1,L734&lt;&gt;""),SUBSTITUTE(SUBSTITUTE(SUBSTITUTE(SUBSTITUTE(SUBSTITUTE(SUBSTITUTE(SUBSTITUTE(SUBSTITUTE(SUBSTITUTE(SUBSTITUTE(SUBSTITUTE(SUBSTITUTE(LOWER(TRIM(L734)),"á","a"),"é","e"),"í","i"),"ó","o"),"ú","u"),"ü","u"),"ñ","n"),"à","a"),"è","e"),"ì","i"),"ò","o"),"ù","u"),"")</f>
        <v/>
      </c>
      <c r="W734" s="25">
        <f>IF(AND(Q734=1,I734&lt;&gt;""),SUBSTITUTE(SUBSTITUTE(SUBSTITUTE(SUBSTITUTE(SUBSTITUTE(SUBSTITUTE(SUBSTITUTE(SUBSTITUTE(SUBSTITUTE(SUBSTITUTE(SUBSTITUTE(SUBSTITUTE(LOWER(TRIM(I734)),"á","a"),"é","e"),"í","i"),"ó","o"),"ú","u"),"ü","u"),"ñ","n"),"à","a"),"è","e"),"ì","i"),"ò","o"),"ù","u"),"")</f>
        <v/>
      </c>
      <c r="X734" s="25">
        <f>IF(U734="","",IF(OR(U734="si, en la proxima tarea",U734="si, con cambios"),1,0))</f>
        <v/>
      </c>
      <c r="Y734" s="25">
        <f>IF(AND(Q734=1,A734&lt;&gt;""),IF(IFERROR(COUNTIFS(A$3:A734,"="&amp;SUBSTITUTE(SUBSTITUTE(SUBSTITUTE(A734,"~","~~"),"*","~*"),"?","~?"),Q$3:Q734,1),0)=1,MAX(Y$2:Y733)+1,""),"")</f>
        <v/>
      </c>
      <c r="Z734" s="25">
        <f>IF(Y734="","",COUNTIFS($A$3:$A$1002,"="&amp;SUBSTITUTE(SUBSTITUTE(SUBSTITUTE(A734,"~","~~"),"*","~*"),"?","~?"),$Q$3:$Q$1002,1)*10000-Y734)</f>
        <v/>
      </c>
    </row>
    <row r="735">
      <c r="A735">
        <f>IF(A$2=0,"",IFERROR(TRIM(INDEX('Pegar docentes'!$A$1:$BZ$1001,734,A$2)&amp;""),""))</f>
        <v/>
      </c>
      <c r="B735">
        <f>IF(B$2=0,"",IFERROR(TRIM(INDEX('Pegar docentes'!$A$1:$BZ$1001,734,B$2)&amp;""),""))</f>
        <v/>
      </c>
      <c r="C735">
        <f>IF(C$2=0,"",IFERROR(TRIM(INDEX('Pegar docentes'!$A$1:$BZ$1001,734,C$2)&amp;""),""))</f>
        <v/>
      </c>
      <c r="D735">
        <f>IF(D$2=0,"",IFERROR(TRIM(INDEX('Pegar docentes'!$A$1:$BZ$1001,734,D$2)&amp;""),""))</f>
        <v/>
      </c>
      <c r="E735">
        <f>IF(E$2=0,"",IFERROR(TRIM(INDEX('Pegar docentes'!$A$1:$BZ$1001,734,E$2)&amp;""),""))</f>
        <v/>
      </c>
      <c r="F735">
        <f>IF(F$2=0,"",IFERROR(TRIM(INDEX('Pegar docentes'!$A$1:$BZ$1001,734,F$2)&amp;""),""))</f>
        <v/>
      </c>
      <c r="G735">
        <f>IF(G$2=0,"",IFERROR(TRIM(INDEX('Pegar docentes'!$A$1:$BZ$1001,734,G$2)&amp;""),""))</f>
        <v/>
      </c>
      <c r="H735">
        <f>IF(H$2=0,"",IFERROR(TRIM(INDEX('Pegar docentes'!$A$1:$BZ$1001,734,H$2)&amp;""),""))</f>
        <v/>
      </c>
      <c r="I735">
        <f>IF(I$2=0,"",IFERROR(TRIM(INDEX('Pegar docentes'!$A$1:$BZ$1001,734,I$2)&amp;""),""))</f>
        <v/>
      </c>
      <c r="J735">
        <f>IF(J$2=0,"",IFERROR(TRIM(INDEX('Pegar docentes'!$A$1:$BZ$1001,734,J$2)&amp;""),""))</f>
        <v/>
      </c>
      <c r="K735">
        <f>IF(K$2=0,"",IFERROR(TRIM(INDEX('Pegar docentes'!$A$1:$BZ$1001,734,K$2)&amp;""),""))</f>
        <v/>
      </c>
      <c r="L735">
        <f>IF(L$2=0,"",IFERROR(TRIM(INDEX('Pegar docentes'!$A$1:$BZ$1001,734,L$2)&amp;""),""))</f>
        <v/>
      </c>
      <c r="M735">
        <f>IF(M$2=0,"",IFERROR(TRIM(INDEX('Pegar docentes'!$A$1:$BZ$1001,734,M$2)&amp;""),""))</f>
        <v/>
      </c>
      <c r="N735">
        <f>IF(N$2=0,"",IFERROR(TRIM(INDEX('Pegar docentes'!$A$1:$BZ$1001,734,N$2)&amp;""),""))</f>
        <v/>
      </c>
      <c r="O735">
        <f>IF(O$2=0,"",IFERROR(TRIM(INDEX('Pegar docentes'!$A$1:$BZ$1001,734,O$2)&amp;""),""))</f>
        <v/>
      </c>
      <c r="P735">
        <f>IF(P$2=0,"",IFERROR(TRIM(INDEX('Pegar docentes'!$A$1:$BZ$1001,734,P$2)&amp;""),""))</f>
        <v/>
      </c>
      <c r="Q735" s="25">
        <f>IF(OR(D735&lt;&gt;"",H735&lt;&gt;""),1,"")</f>
        <v/>
      </c>
      <c r="R735" s="25">
        <f>IF(Q735=1,IF(ISNUMBER(FIND("#"&amp;MID(D735,1,1)&amp;"#","#0#1#2#3#4#5#6#7#8#9#")),IF(ISNUMBER(FIND("#"&amp;MID(D735,2,1)&amp;"#","#0#1#2#3#4#5#6#7#8#9#")),IF(AND(VALUE(LEFT(D735,2))&gt;=1,VALUE(LEFT(D735,2))&lt;=5),VALUE(LEFT(D735,2)),""),IF(AND(VALUE(LEFT(D735,1))&gt;=1,VALUE(LEFT(D735,1))&lt;=5),VALUE(LEFT(D735,1)),"")),""),"")</f>
        <v/>
      </c>
      <c r="S735" s="25">
        <f>IF(AND(Q735=1,E735&lt;&gt;""),SUBSTITUTE(SUBSTITUTE(SUBSTITUTE(SUBSTITUTE(SUBSTITUTE(SUBSTITUTE(SUBSTITUTE(SUBSTITUTE(SUBSTITUTE(SUBSTITUTE(SUBSTITUTE(SUBSTITUTE(LOWER(TRIM(E735)),"á","a"),"é","e"),"í","i"),"ó","o"),"ú","u"),"ü","u"),"ñ","n"),"à","a"),"è","e"),"ì","i"),"ò","o"),"ù","u"),"")</f>
        <v/>
      </c>
      <c r="T735" s="25">
        <f>IF(AND(Q735=1,G735&lt;&gt;""),SUBSTITUTE(SUBSTITUTE(SUBSTITUTE(SUBSTITUTE(SUBSTITUTE(SUBSTITUTE(SUBSTITUTE(SUBSTITUTE(SUBSTITUTE(SUBSTITUTE(SUBSTITUTE(SUBSTITUTE(LOWER(TRIM(G735)),"á","a"),"é","e"),"í","i"),"ó","o"),"ú","u"),"ü","u"),"ñ","n"),"à","a"),"è","e"),"ì","i"),"ò","o"),"ù","u"),"")</f>
        <v/>
      </c>
      <c r="U735" s="25">
        <f>IF(AND(Q735=1,H735&lt;&gt;""),SUBSTITUTE(SUBSTITUTE(SUBSTITUTE(SUBSTITUTE(SUBSTITUTE(SUBSTITUTE(SUBSTITUTE(SUBSTITUTE(SUBSTITUTE(SUBSTITUTE(SUBSTITUTE(SUBSTITUTE(LOWER(TRIM(H735)),"á","a"),"é","e"),"í","i"),"ó","o"),"ú","u"),"ü","u"),"ñ","n"),"à","a"),"è","e"),"ì","i"),"ò","o"),"ù","u"),"")</f>
        <v/>
      </c>
      <c r="V735" s="25">
        <f>IF(AND(Q735=1,L735&lt;&gt;""),SUBSTITUTE(SUBSTITUTE(SUBSTITUTE(SUBSTITUTE(SUBSTITUTE(SUBSTITUTE(SUBSTITUTE(SUBSTITUTE(SUBSTITUTE(SUBSTITUTE(SUBSTITUTE(SUBSTITUTE(LOWER(TRIM(L735)),"á","a"),"é","e"),"í","i"),"ó","o"),"ú","u"),"ü","u"),"ñ","n"),"à","a"),"è","e"),"ì","i"),"ò","o"),"ù","u"),"")</f>
        <v/>
      </c>
      <c r="W735" s="25">
        <f>IF(AND(Q735=1,I735&lt;&gt;""),SUBSTITUTE(SUBSTITUTE(SUBSTITUTE(SUBSTITUTE(SUBSTITUTE(SUBSTITUTE(SUBSTITUTE(SUBSTITUTE(SUBSTITUTE(SUBSTITUTE(SUBSTITUTE(SUBSTITUTE(LOWER(TRIM(I735)),"á","a"),"é","e"),"í","i"),"ó","o"),"ú","u"),"ü","u"),"ñ","n"),"à","a"),"è","e"),"ì","i"),"ò","o"),"ù","u"),"")</f>
        <v/>
      </c>
      <c r="X735" s="25">
        <f>IF(U735="","",IF(OR(U735="si, en la proxima tarea",U735="si, con cambios"),1,0))</f>
        <v/>
      </c>
      <c r="Y735" s="25">
        <f>IF(AND(Q735=1,A735&lt;&gt;""),IF(IFERROR(COUNTIFS(A$3:A735,"="&amp;SUBSTITUTE(SUBSTITUTE(SUBSTITUTE(A735,"~","~~"),"*","~*"),"?","~?"),Q$3:Q735,1),0)=1,MAX(Y$2:Y734)+1,""),"")</f>
        <v/>
      </c>
      <c r="Z735" s="25">
        <f>IF(Y735="","",COUNTIFS($A$3:$A$1002,"="&amp;SUBSTITUTE(SUBSTITUTE(SUBSTITUTE(A735,"~","~~"),"*","~*"),"?","~?"),$Q$3:$Q$1002,1)*10000-Y735)</f>
        <v/>
      </c>
    </row>
    <row r="736">
      <c r="A736">
        <f>IF(A$2=0,"",IFERROR(TRIM(INDEX('Pegar docentes'!$A$1:$BZ$1001,735,A$2)&amp;""),""))</f>
        <v/>
      </c>
      <c r="B736">
        <f>IF(B$2=0,"",IFERROR(TRIM(INDEX('Pegar docentes'!$A$1:$BZ$1001,735,B$2)&amp;""),""))</f>
        <v/>
      </c>
      <c r="C736">
        <f>IF(C$2=0,"",IFERROR(TRIM(INDEX('Pegar docentes'!$A$1:$BZ$1001,735,C$2)&amp;""),""))</f>
        <v/>
      </c>
      <c r="D736">
        <f>IF(D$2=0,"",IFERROR(TRIM(INDEX('Pegar docentes'!$A$1:$BZ$1001,735,D$2)&amp;""),""))</f>
        <v/>
      </c>
      <c r="E736">
        <f>IF(E$2=0,"",IFERROR(TRIM(INDEX('Pegar docentes'!$A$1:$BZ$1001,735,E$2)&amp;""),""))</f>
        <v/>
      </c>
      <c r="F736">
        <f>IF(F$2=0,"",IFERROR(TRIM(INDEX('Pegar docentes'!$A$1:$BZ$1001,735,F$2)&amp;""),""))</f>
        <v/>
      </c>
      <c r="G736">
        <f>IF(G$2=0,"",IFERROR(TRIM(INDEX('Pegar docentes'!$A$1:$BZ$1001,735,G$2)&amp;""),""))</f>
        <v/>
      </c>
      <c r="H736">
        <f>IF(H$2=0,"",IFERROR(TRIM(INDEX('Pegar docentes'!$A$1:$BZ$1001,735,H$2)&amp;""),""))</f>
        <v/>
      </c>
      <c r="I736">
        <f>IF(I$2=0,"",IFERROR(TRIM(INDEX('Pegar docentes'!$A$1:$BZ$1001,735,I$2)&amp;""),""))</f>
        <v/>
      </c>
      <c r="J736">
        <f>IF(J$2=0,"",IFERROR(TRIM(INDEX('Pegar docentes'!$A$1:$BZ$1001,735,J$2)&amp;""),""))</f>
        <v/>
      </c>
      <c r="K736">
        <f>IF(K$2=0,"",IFERROR(TRIM(INDEX('Pegar docentes'!$A$1:$BZ$1001,735,K$2)&amp;""),""))</f>
        <v/>
      </c>
      <c r="L736">
        <f>IF(L$2=0,"",IFERROR(TRIM(INDEX('Pegar docentes'!$A$1:$BZ$1001,735,L$2)&amp;""),""))</f>
        <v/>
      </c>
      <c r="M736">
        <f>IF(M$2=0,"",IFERROR(TRIM(INDEX('Pegar docentes'!$A$1:$BZ$1001,735,M$2)&amp;""),""))</f>
        <v/>
      </c>
      <c r="N736">
        <f>IF(N$2=0,"",IFERROR(TRIM(INDEX('Pegar docentes'!$A$1:$BZ$1001,735,N$2)&amp;""),""))</f>
        <v/>
      </c>
      <c r="O736">
        <f>IF(O$2=0,"",IFERROR(TRIM(INDEX('Pegar docentes'!$A$1:$BZ$1001,735,O$2)&amp;""),""))</f>
        <v/>
      </c>
      <c r="P736">
        <f>IF(P$2=0,"",IFERROR(TRIM(INDEX('Pegar docentes'!$A$1:$BZ$1001,735,P$2)&amp;""),""))</f>
        <v/>
      </c>
      <c r="Q736" s="25">
        <f>IF(OR(D736&lt;&gt;"",H736&lt;&gt;""),1,"")</f>
        <v/>
      </c>
      <c r="R736" s="25">
        <f>IF(Q736=1,IF(ISNUMBER(FIND("#"&amp;MID(D736,1,1)&amp;"#","#0#1#2#3#4#5#6#7#8#9#")),IF(ISNUMBER(FIND("#"&amp;MID(D736,2,1)&amp;"#","#0#1#2#3#4#5#6#7#8#9#")),IF(AND(VALUE(LEFT(D736,2))&gt;=1,VALUE(LEFT(D736,2))&lt;=5),VALUE(LEFT(D736,2)),""),IF(AND(VALUE(LEFT(D736,1))&gt;=1,VALUE(LEFT(D736,1))&lt;=5),VALUE(LEFT(D736,1)),"")),""),"")</f>
        <v/>
      </c>
      <c r="S736" s="25">
        <f>IF(AND(Q736=1,E736&lt;&gt;""),SUBSTITUTE(SUBSTITUTE(SUBSTITUTE(SUBSTITUTE(SUBSTITUTE(SUBSTITUTE(SUBSTITUTE(SUBSTITUTE(SUBSTITUTE(SUBSTITUTE(SUBSTITUTE(SUBSTITUTE(LOWER(TRIM(E736)),"á","a"),"é","e"),"í","i"),"ó","o"),"ú","u"),"ü","u"),"ñ","n"),"à","a"),"è","e"),"ì","i"),"ò","o"),"ù","u"),"")</f>
        <v/>
      </c>
      <c r="T736" s="25">
        <f>IF(AND(Q736=1,G736&lt;&gt;""),SUBSTITUTE(SUBSTITUTE(SUBSTITUTE(SUBSTITUTE(SUBSTITUTE(SUBSTITUTE(SUBSTITUTE(SUBSTITUTE(SUBSTITUTE(SUBSTITUTE(SUBSTITUTE(SUBSTITUTE(LOWER(TRIM(G736)),"á","a"),"é","e"),"í","i"),"ó","o"),"ú","u"),"ü","u"),"ñ","n"),"à","a"),"è","e"),"ì","i"),"ò","o"),"ù","u"),"")</f>
        <v/>
      </c>
      <c r="U736" s="25">
        <f>IF(AND(Q736=1,H736&lt;&gt;""),SUBSTITUTE(SUBSTITUTE(SUBSTITUTE(SUBSTITUTE(SUBSTITUTE(SUBSTITUTE(SUBSTITUTE(SUBSTITUTE(SUBSTITUTE(SUBSTITUTE(SUBSTITUTE(SUBSTITUTE(LOWER(TRIM(H736)),"á","a"),"é","e"),"í","i"),"ó","o"),"ú","u"),"ü","u"),"ñ","n"),"à","a"),"è","e"),"ì","i"),"ò","o"),"ù","u"),"")</f>
        <v/>
      </c>
      <c r="V736" s="25">
        <f>IF(AND(Q736=1,L736&lt;&gt;""),SUBSTITUTE(SUBSTITUTE(SUBSTITUTE(SUBSTITUTE(SUBSTITUTE(SUBSTITUTE(SUBSTITUTE(SUBSTITUTE(SUBSTITUTE(SUBSTITUTE(SUBSTITUTE(SUBSTITUTE(LOWER(TRIM(L736)),"á","a"),"é","e"),"í","i"),"ó","o"),"ú","u"),"ü","u"),"ñ","n"),"à","a"),"è","e"),"ì","i"),"ò","o"),"ù","u"),"")</f>
        <v/>
      </c>
      <c r="W736" s="25">
        <f>IF(AND(Q736=1,I736&lt;&gt;""),SUBSTITUTE(SUBSTITUTE(SUBSTITUTE(SUBSTITUTE(SUBSTITUTE(SUBSTITUTE(SUBSTITUTE(SUBSTITUTE(SUBSTITUTE(SUBSTITUTE(SUBSTITUTE(SUBSTITUTE(LOWER(TRIM(I736)),"á","a"),"é","e"),"í","i"),"ó","o"),"ú","u"),"ü","u"),"ñ","n"),"à","a"),"è","e"),"ì","i"),"ò","o"),"ù","u"),"")</f>
        <v/>
      </c>
      <c r="X736" s="25">
        <f>IF(U736="","",IF(OR(U736="si, en la proxima tarea",U736="si, con cambios"),1,0))</f>
        <v/>
      </c>
      <c r="Y736" s="25">
        <f>IF(AND(Q736=1,A736&lt;&gt;""),IF(IFERROR(COUNTIFS(A$3:A736,"="&amp;SUBSTITUTE(SUBSTITUTE(SUBSTITUTE(A736,"~","~~"),"*","~*"),"?","~?"),Q$3:Q736,1),0)=1,MAX(Y$2:Y735)+1,""),"")</f>
        <v/>
      </c>
      <c r="Z736" s="25">
        <f>IF(Y736="","",COUNTIFS($A$3:$A$1002,"="&amp;SUBSTITUTE(SUBSTITUTE(SUBSTITUTE(A736,"~","~~"),"*","~*"),"?","~?"),$Q$3:$Q$1002,1)*10000-Y736)</f>
        <v/>
      </c>
    </row>
    <row r="737">
      <c r="A737">
        <f>IF(A$2=0,"",IFERROR(TRIM(INDEX('Pegar docentes'!$A$1:$BZ$1001,736,A$2)&amp;""),""))</f>
        <v/>
      </c>
      <c r="B737">
        <f>IF(B$2=0,"",IFERROR(TRIM(INDEX('Pegar docentes'!$A$1:$BZ$1001,736,B$2)&amp;""),""))</f>
        <v/>
      </c>
      <c r="C737">
        <f>IF(C$2=0,"",IFERROR(TRIM(INDEX('Pegar docentes'!$A$1:$BZ$1001,736,C$2)&amp;""),""))</f>
        <v/>
      </c>
      <c r="D737">
        <f>IF(D$2=0,"",IFERROR(TRIM(INDEX('Pegar docentes'!$A$1:$BZ$1001,736,D$2)&amp;""),""))</f>
        <v/>
      </c>
      <c r="E737">
        <f>IF(E$2=0,"",IFERROR(TRIM(INDEX('Pegar docentes'!$A$1:$BZ$1001,736,E$2)&amp;""),""))</f>
        <v/>
      </c>
      <c r="F737">
        <f>IF(F$2=0,"",IFERROR(TRIM(INDEX('Pegar docentes'!$A$1:$BZ$1001,736,F$2)&amp;""),""))</f>
        <v/>
      </c>
      <c r="G737">
        <f>IF(G$2=0,"",IFERROR(TRIM(INDEX('Pegar docentes'!$A$1:$BZ$1001,736,G$2)&amp;""),""))</f>
        <v/>
      </c>
      <c r="H737">
        <f>IF(H$2=0,"",IFERROR(TRIM(INDEX('Pegar docentes'!$A$1:$BZ$1001,736,H$2)&amp;""),""))</f>
        <v/>
      </c>
      <c r="I737">
        <f>IF(I$2=0,"",IFERROR(TRIM(INDEX('Pegar docentes'!$A$1:$BZ$1001,736,I$2)&amp;""),""))</f>
        <v/>
      </c>
      <c r="J737">
        <f>IF(J$2=0,"",IFERROR(TRIM(INDEX('Pegar docentes'!$A$1:$BZ$1001,736,J$2)&amp;""),""))</f>
        <v/>
      </c>
      <c r="K737">
        <f>IF(K$2=0,"",IFERROR(TRIM(INDEX('Pegar docentes'!$A$1:$BZ$1001,736,K$2)&amp;""),""))</f>
        <v/>
      </c>
      <c r="L737">
        <f>IF(L$2=0,"",IFERROR(TRIM(INDEX('Pegar docentes'!$A$1:$BZ$1001,736,L$2)&amp;""),""))</f>
        <v/>
      </c>
      <c r="M737">
        <f>IF(M$2=0,"",IFERROR(TRIM(INDEX('Pegar docentes'!$A$1:$BZ$1001,736,M$2)&amp;""),""))</f>
        <v/>
      </c>
      <c r="N737">
        <f>IF(N$2=0,"",IFERROR(TRIM(INDEX('Pegar docentes'!$A$1:$BZ$1001,736,N$2)&amp;""),""))</f>
        <v/>
      </c>
      <c r="O737">
        <f>IF(O$2=0,"",IFERROR(TRIM(INDEX('Pegar docentes'!$A$1:$BZ$1001,736,O$2)&amp;""),""))</f>
        <v/>
      </c>
      <c r="P737">
        <f>IF(P$2=0,"",IFERROR(TRIM(INDEX('Pegar docentes'!$A$1:$BZ$1001,736,P$2)&amp;""),""))</f>
        <v/>
      </c>
      <c r="Q737" s="25">
        <f>IF(OR(D737&lt;&gt;"",H737&lt;&gt;""),1,"")</f>
        <v/>
      </c>
      <c r="R737" s="25">
        <f>IF(Q737=1,IF(ISNUMBER(FIND("#"&amp;MID(D737,1,1)&amp;"#","#0#1#2#3#4#5#6#7#8#9#")),IF(ISNUMBER(FIND("#"&amp;MID(D737,2,1)&amp;"#","#0#1#2#3#4#5#6#7#8#9#")),IF(AND(VALUE(LEFT(D737,2))&gt;=1,VALUE(LEFT(D737,2))&lt;=5),VALUE(LEFT(D737,2)),""),IF(AND(VALUE(LEFT(D737,1))&gt;=1,VALUE(LEFT(D737,1))&lt;=5),VALUE(LEFT(D737,1)),"")),""),"")</f>
        <v/>
      </c>
      <c r="S737" s="25">
        <f>IF(AND(Q737=1,E737&lt;&gt;""),SUBSTITUTE(SUBSTITUTE(SUBSTITUTE(SUBSTITUTE(SUBSTITUTE(SUBSTITUTE(SUBSTITUTE(SUBSTITUTE(SUBSTITUTE(SUBSTITUTE(SUBSTITUTE(SUBSTITUTE(LOWER(TRIM(E737)),"á","a"),"é","e"),"í","i"),"ó","o"),"ú","u"),"ü","u"),"ñ","n"),"à","a"),"è","e"),"ì","i"),"ò","o"),"ù","u"),"")</f>
        <v/>
      </c>
      <c r="T737" s="25">
        <f>IF(AND(Q737=1,G737&lt;&gt;""),SUBSTITUTE(SUBSTITUTE(SUBSTITUTE(SUBSTITUTE(SUBSTITUTE(SUBSTITUTE(SUBSTITUTE(SUBSTITUTE(SUBSTITUTE(SUBSTITUTE(SUBSTITUTE(SUBSTITUTE(LOWER(TRIM(G737)),"á","a"),"é","e"),"í","i"),"ó","o"),"ú","u"),"ü","u"),"ñ","n"),"à","a"),"è","e"),"ì","i"),"ò","o"),"ù","u"),"")</f>
        <v/>
      </c>
      <c r="U737" s="25">
        <f>IF(AND(Q737=1,H737&lt;&gt;""),SUBSTITUTE(SUBSTITUTE(SUBSTITUTE(SUBSTITUTE(SUBSTITUTE(SUBSTITUTE(SUBSTITUTE(SUBSTITUTE(SUBSTITUTE(SUBSTITUTE(SUBSTITUTE(SUBSTITUTE(LOWER(TRIM(H737)),"á","a"),"é","e"),"í","i"),"ó","o"),"ú","u"),"ü","u"),"ñ","n"),"à","a"),"è","e"),"ì","i"),"ò","o"),"ù","u"),"")</f>
        <v/>
      </c>
      <c r="V737" s="25">
        <f>IF(AND(Q737=1,L737&lt;&gt;""),SUBSTITUTE(SUBSTITUTE(SUBSTITUTE(SUBSTITUTE(SUBSTITUTE(SUBSTITUTE(SUBSTITUTE(SUBSTITUTE(SUBSTITUTE(SUBSTITUTE(SUBSTITUTE(SUBSTITUTE(LOWER(TRIM(L737)),"á","a"),"é","e"),"í","i"),"ó","o"),"ú","u"),"ü","u"),"ñ","n"),"à","a"),"è","e"),"ì","i"),"ò","o"),"ù","u"),"")</f>
        <v/>
      </c>
      <c r="W737" s="25">
        <f>IF(AND(Q737=1,I737&lt;&gt;""),SUBSTITUTE(SUBSTITUTE(SUBSTITUTE(SUBSTITUTE(SUBSTITUTE(SUBSTITUTE(SUBSTITUTE(SUBSTITUTE(SUBSTITUTE(SUBSTITUTE(SUBSTITUTE(SUBSTITUTE(LOWER(TRIM(I737)),"á","a"),"é","e"),"í","i"),"ó","o"),"ú","u"),"ü","u"),"ñ","n"),"à","a"),"è","e"),"ì","i"),"ò","o"),"ù","u"),"")</f>
        <v/>
      </c>
      <c r="X737" s="25">
        <f>IF(U737="","",IF(OR(U737="si, en la proxima tarea",U737="si, con cambios"),1,0))</f>
        <v/>
      </c>
      <c r="Y737" s="25">
        <f>IF(AND(Q737=1,A737&lt;&gt;""),IF(IFERROR(COUNTIFS(A$3:A737,"="&amp;SUBSTITUTE(SUBSTITUTE(SUBSTITUTE(A737,"~","~~"),"*","~*"),"?","~?"),Q$3:Q737,1),0)=1,MAX(Y$2:Y736)+1,""),"")</f>
        <v/>
      </c>
      <c r="Z737" s="25">
        <f>IF(Y737="","",COUNTIFS($A$3:$A$1002,"="&amp;SUBSTITUTE(SUBSTITUTE(SUBSTITUTE(A737,"~","~~"),"*","~*"),"?","~?"),$Q$3:$Q$1002,1)*10000-Y737)</f>
        <v/>
      </c>
    </row>
    <row r="738">
      <c r="A738">
        <f>IF(A$2=0,"",IFERROR(TRIM(INDEX('Pegar docentes'!$A$1:$BZ$1001,737,A$2)&amp;""),""))</f>
        <v/>
      </c>
      <c r="B738">
        <f>IF(B$2=0,"",IFERROR(TRIM(INDEX('Pegar docentes'!$A$1:$BZ$1001,737,B$2)&amp;""),""))</f>
        <v/>
      </c>
      <c r="C738">
        <f>IF(C$2=0,"",IFERROR(TRIM(INDEX('Pegar docentes'!$A$1:$BZ$1001,737,C$2)&amp;""),""))</f>
        <v/>
      </c>
      <c r="D738">
        <f>IF(D$2=0,"",IFERROR(TRIM(INDEX('Pegar docentes'!$A$1:$BZ$1001,737,D$2)&amp;""),""))</f>
        <v/>
      </c>
      <c r="E738">
        <f>IF(E$2=0,"",IFERROR(TRIM(INDEX('Pegar docentes'!$A$1:$BZ$1001,737,E$2)&amp;""),""))</f>
        <v/>
      </c>
      <c r="F738">
        <f>IF(F$2=0,"",IFERROR(TRIM(INDEX('Pegar docentes'!$A$1:$BZ$1001,737,F$2)&amp;""),""))</f>
        <v/>
      </c>
      <c r="G738">
        <f>IF(G$2=0,"",IFERROR(TRIM(INDEX('Pegar docentes'!$A$1:$BZ$1001,737,G$2)&amp;""),""))</f>
        <v/>
      </c>
      <c r="H738">
        <f>IF(H$2=0,"",IFERROR(TRIM(INDEX('Pegar docentes'!$A$1:$BZ$1001,737,H$2)&amp;""),""))</f>
        <v/>
      </c>
      <c r="I738">
        <f>IF(I$2=0,"",IFERROR(TRIM(INDEX('Pegar docentes'!$A$1:$BZ$1001,737,I$2)&amp;""),""))</f>
        <v/>
      </c>
      <c r="J738">
        <f>IF(J$2=0,"",IFERROR(TRIM(INDEX('Pegar docentes'!$A$1:$BZ$1001,737,J$2)&amp;""),""))</f>
        <v/>
      </c>
      <c r="K738">
        <f>IF(K$2=0,"",IFERROR(TRIM(INDEX('Pegar docentes'!$A$1:$BZ$1001,737,K$2)&amp;""),""))</f>
        <v/>
      </c>
      <c r="L738">
        <f>IF(L$2=0,"",IFERROR(TRIM(INDEX('Pegar docentes'!$A$1:$BZ$1001,737,L$2)&amp;""),""))</f>
        <v/>
      </c>
      <c r="M738">
        <f>IF(M$2=0,"",IFERROR(TRIM(INDEX('Pegar docentes'!$A$1:$BZ$1001,737,M$2)&amp;""),""))</f>
        <v/>
      </c>
      <c r="N738">
        <f>IF(N$2=0,"",IFERROR(TRIM(INDEX('Pegar docentes'!$A$1:$BZ$1001,737,N$2)&amp;""),""))</f>
        <v/>
      </c>
      <c r="O738">
        <f>IF(O$2=0,"",IFERROR(TRIM(INDEX('Pegar docentes'!$A$1:$BZ$1001,737,O$2)&amp;""),""))</f>
        <v/>
      </c>
      <c r="P738">
        <f>IF(P$2=0,"",IFERROR(TRIM(INDEX('Pegar docentes'!$A$1:$BZ$1001,737,P$2)&amp;""),""))</f>
        <v/>
      </c>
      <c r="Q738" s="25">
        <f>IF(OR(D738&lt;&gt;"",H738&lt;&gt;""),1,"")</f>
        <v/>
      </c>
      <c r="R738" s="25">
        <f>IF(Q738=1,IF(ISNUMBER(FIND("#"&amp;MID(D738,1,1)&amp;"#","#0#1#2#3#4#5#6#7#8#9#")),IF(ISNUMBER(FIND("#"&amp;MID(D738,2,1)&amp;"#","#0#1#2#3#4#5#6#7#8#9#")),IF(AND(VALUE(LEFT(D738,2))&gt;=1,VALUE(LEFT(D738,2))&lt;=5),VALUE(LEFT(D738,2)),""),IF(AND(VALUE(LEFT(D738,1))&gt;=1,VALUE(LEFT(D738,1))&lt;=5),VALUE(LEFT(D738,1)),"")),""),"")</f>
        <v/>
      </c>
      <c r="S738" s="25">
        <f>IF(AND(Q738=1,E738&lt;&gt;""),SUBSTITUTE(SUBSTITUTE(SUBSTITUTE(SUBSTITUTE(SUBSTITUTE(SUBSTITUTE(SUBSTITUTE(SUBSTITUTE(SUBSTITUTE(SUBSTITUTE(SUBSTITUTE(SUBSTITUTE(LOWER(TRIM(E738)),"á","a"),"é","e"),"í","i"),"ó","o"),"ú","u"),"ü","u"),"ñ","n"),"à","a"),"è","e"),"ì","i"),"ò","o"),"ù","u"),"")</f>
        <v/>
      </c>
      <c r="T738" s="25">
        <f>IF(AND(Q738=1,G738&lt;&gt;""),SUBSTITUTE(SUBSTITUTE(SUBSTITUTE(SUBSTITUTE(SUBSTITUTE(SUBSTITUTE(SUBSTITUTE(SUBSTITUTE(SUBSTITUTE(SUBSTITUTE(SUBSTITUTE(SUBSTITUTE(LOWER(TRIM(G738)),"á","a"),"é","e"),"í","i"),"ó","o"),"ú","u"),"ü","u"),"ñ","n"),"à","a"),"è","e"),"ì","i"),"ò","o"),"ù","u"),"")</f>
        <v/>
      </c>
      <c r="U738" s="25">
        <f>IF(AND(Q738=1,H738&lt;&gt;""),SUBSTITUTE(SUBSTITUTE(SUBSTITUTE(SUBSTITUTE(SUBSTITUTE(SUBSTITUTE(SUBSTITUTE(SUBSTITUTE(SUBSTITUTE(SUBSTITUTE(SUBSTITUTE(SUBSTITUTE(LOWER(TRIM(H738)),"á","a"),"é","e"),"í","i"),"ó","o"),"ú","u"),"ü","u"),"ñ","n"),"à","a"),"è","e"),"ì","i"),"ò","o"),"ù","u"),"")</f>
        <v/>
      </c>
      <c r="V738" s="25">
        <f>IF(AND(Q738=1,L738&lt;&gt;""),SUBSTITUTE(SUBSTITUTE(SUBSTITUTE(SUBSTITUTE(SUBSTITUTE(SUBSTITUTE(SUBSTITUTE(SUBSTITUTE(SUBSTITUTE(SUBSTITUTE(SUBSTITUTE(SUBSTITUTE(LOWER(TRIM(L738)),"á","a"),"é","e"),"í","i"),"ó","o"),"ú","u"),"ü","u"),"ñ","n"),"à","a"),"è","e"),"ì","i"),"ò","o"),"ù","u"),"")</f>
        <v/>
      </c>
      <c r="W738" s="25">
        <f>IF(AND(Q738=1,I738&lt;&gt;""),SUBSTITUTE(SUBSTITUTE(SUBSTITUTE(SUBSTITUTE(SUBSTITUTE(SUBSTITUTE(SUBSTITUTE(SUBSTITUTE(SUBSTITUTE(SUBSTITUTE(SUBSTITUTE(SUBSTITUTE(LOWER(TRIM(I738)),"á","a"),"é","e"),"í","i"),"ó","o"),"ú","u"),"ü","u"),"ñ","n"),"à","a"),"è","e"),"ì","i"),"ò","o"),"ù","u"),"")</f>
        <v/>
      </c>
      <c r="X738" s="25">
        <f>IF(U738="","",IF(OR(U738="si, en la proxima tarea",U738="si, con cambios"),1,0))</f>
        <v/>
      </c>
      <c r="Y738" s="25">
        <f>IF(AND(Q738=1,A738&lt;&gt;""),IF(IFERROR(COUNTIFS(A$3:A738,"="&amp;SUBSTITUTE(SUBSTITUTE(SUBSTITUTE(A738,"~","~~"),"*","~*"),"?","~?"),Q$3:Q738,1),0)=1,MAX(Y$2:Y737)+1,""),"")</f>
        <v/>
      </c>
      <c r="Z738" s="25">
        <f>IF(Y738="","",COUNTIFS($A$3:$A$1002,"="&amp;SUBSTITUTE(SUBSTITUTE(SUBSTITUTE(A738,"~","~~"),"*","~*"),"?","~?"),$Q$3:$Q$1002,1)*10000-Y738)</f>
        <v/>
      </c>
    </row>
    <row r="739">
      <c r="A739">
        <f>IF(A$2=0,"",IFERROR(TRIM(INDEX('Pegar docentes'!$A$1:$BZ$1001,738,A$2)&amp;""),""))</f>
        <v/>
      </c>
      <c r="B739">
        <f>IF(B$2=0,"",IFERROR(TRIM(INDEX('Pegar docentes'!$A$1:$BZ$1001,738,B$2)&amp;""),""))</f>
        <v/>
      </c>
      <c r="C739">
        <f>IF(C$2=0,"",IFERROR(TRIM(INDEX('Pegar docentes'!$A$1:$BZ$1001,738,C$2)&amp;""),""))</f>
        <v/>
      </c>
      <c r="D739">
        <f>IF(D$2=0,"",IFERROR(TRIM(INDEX('Pegar docentes'!$A$1:$BZ$1001,738,D$2)&amp;""),""))</f>
        <v/>
      </c>
      <c r="E739">
        <f>IF(E$2=0,"",IFERROR(TRIM(INDEX('Pegar docentes'!$A$1:$BZ$1001,738,E$2)&amp;""),""))</f>
        <v/>
      </c>
      <c r="F739">
        <f>IF(F$2=0,"",IFERROR(TRIM(INDEX('Pegar docentes'!$A$1:$BZ$1001,738,F$2)&amp;""),""))</f>
        <v/>
      </c>
      <c r="G739">
        <f>IF(G$2=0,"",IFERROR(TRIM(INDEX('Pegar docentes'!$A$1:$BZ$1001,738,G$2)&amp;""),""))</f>
        <v/>
      </c>
      <c r="H739">
        <f>IF(H$2=0,"",IFERROR(TRIM(INDEX('Pegar docentes'!$A$1:$BZ$1001,738,H$2)&amp;""),""))</f>
        <v/>
      </c>
      <c r="I739">
        <f>IF(I$2=0,"",IFERROR(TRIM(INDEX('Pegar docentes'!$A$1:$BZ$1001,738,I$2)&amp;""),""))</f>
        <v/>
      </c>
      <c r="J739">
        <f>IF(J$2=0,"",IFERROR(TRIM(INDEX('Pegar docentes'!$A$1:$BZ$1001,738,J$2)&amp;""),""))</f>
        <v/>
      </c>
      <c r="K739">
        <f>IF(K$2=0,"",IFERROR(TRIM(INDEX('Pegar docentes'!$A$1:$BZ$1001,738,K$2)&amp;""),""))</f>
        <v/>
      </c>
      <c r="L739">
        <f>IF(L$2=0,"",IFERROR(TRIM(INDEX('Pegar docentes'!$A$1:$BZ$1001,738,L$2)&amp;""),""))</f>
        <v/>
      </c>
      <c r="M739">
        <f>IF(M$2=0,"",IFERROR(TRIM(INDEX('Pegar docentes'!$A$1:$BZ$1001,738,M$2)&amp;""),""))</f>
        <v/>
      </c>
      <c r="N739">
        <f>IF(N$2=0,"",IFERROR(TRIM(INDEX('Pegar docentes'!$A$1:$BZ$1001,738,N$2)&amp;""),""))</f>
        <v/>
      </c>
      <c r="O739">
        <f>IF(O$2=0,"",IFERROR(TRIM(INDEX('Pegar docentes'!$A$1:$BZ$1001,738,O$2)&amp;""),""))</f>
        <v/>
      </c>
      <c r="P739">
        <f>IF(P$2=0,"",IFERROR(TRIM(INDEX('Pegar docentes'!$A$1:$BZ$1001,738,P$2)&amp;""),""))</f>
        <v/>
      </c>
      <c r="Q739" s="25">
        <f>IF(OR(D739&lt;&gt;"",H739&lt;&gt;""),1,"")</f>
        <v/>
      </c>
      <c r="R739" s="25">
        <f>IF(Q739=1,IF(ISNUMBER(FIND("#"&amp;MID(D739,1,1)&amp;"#","#0#1#2#3#4#5#6#7#8#9#")),IF(ISNUMBER(FIND("#"&amp;MID(D739,2,1)&amp;"#","#0#1#2#3#4#5#6#7#8#9#")),IF(AND(VALUE(LEFT(D739,2))&gt;=1,VALUE(LEFT(D739,2))&lt;=5),VALUE(LEFT(D739,2)),""),IF(AND(VALUE(LEFT(D739,1))&gt;=1,VALUE(LEFT(D739,1))&lt;=5),VALUE(LEFT(D739,1)),"")),""),"")</f>
        <v/>
      </c>
      <c r="S739" s="25">
        <f>IF(AND(Q739=1,E739&lt;&gt;""),SUBSTITUTE(SUBSTITUTE(SUBSTITUTE(SUBSTITUTE(SUBSTITUTE(SUBSTITUTE(SUBSTITUTE(SUBSTITUTE(SUBSTITUTE(SUBSTITUTE(SUBSTITUTE(SUBSTITUTE(LOWER(TRIM(E739)),"á","a"),"é","e"),"í","i"),"ó","o"),"ú","u"),"ü","u"),"ñ","n"),"à","a"),"è","e"),"ì","i"),"ò","o"),"ù","u"),"")</f>
        <v/>
      </c>
      <c r="T739" s="25">
        <f>IF(AND(Q739=1,G739&lt;&gt;""),SUBSTITUTE(SUBSTITUTE(SUBSTITUTE(SUBSTITUTE(SUBSTITUTE(SUBSTITUTE(SUBSTITUTE(SUBSTITUTE(SUBSTITUTE(SUBSTITUTE(SUBSTITUTE(SUBSTITUTE(LOWER(TRIM(G739)),"á","a"),"é","e"),"í","i"),"ó","o"),"ú","u"),"ü","u"),"ñ","n"),"à","a"),"è","e"),"ì","i"),"ò","o"),"ù","u"),"")</f>
        <v/>
      </c>
      <c r="U739" s="25">
        <f>IF(AND(Q739=1,H739&lt;&gt;""),SUBSTITUTE(SUBSTITUTE(SUBSTITUTE(SUBSTITUTE(SUBSTITUTE(SUBSTITUTE(SUBSTITUTE(SUBSTITUTE(SUBSTITUTE(SUBSTITUTE(SUBSTITUTE(SUBSTITUTE(LOWER(TRIM(H739)),"á","a"),"é","e"),"í","i"),"ó","o"),"ú","u"),"ü","u"),"ñ","n"),"à","a"),"è","e"),"ì","i"),"ò","o"),"ù","u"),"")</f>
        <v/>
      </c>
      <c r="V739" s="25">
        <f>IF(AND(Q739=1,L739&lt;&gt;""),SUBSTITUTE(SUBSTITUTE(SUBSTITUTE(SUBSTITUTE(SUBSTITUTE(SUBSTITUTE(SUBSTITUTE(SUBSTITUTE(SUBSTITUTE(SUBSTITUTE(SUBSTITUTE(SUBSTITUTE(LOWER(TRIM(L739)),"á","a"),"é","e"),"í","i"),"ó","o"),"ú","u"),"ü","u"),"ñ","n"),"à","a"),"è","e"),"ì","i"),"ò","o"),"ù","u"),"")</f>
        <v/>
      </c>
      <c r="W739" s="25">
        <f>IF(AND(Q739=1,I739&lt;&gt;""),SUBSTITUTE(SUBSTITUTE(SUBSTITUTE(SUBSTITUTE(SUBSTITUTE(SUBSTITUTE(SUBSTITUTE(SUBSTITUTE(SUBSTITUTE(SUBSTITUTE(SUBSTITUTE(SUBSTITUTE(LOWER(TRIM(I739)),"á","a"),"é","e"),"í","i"),"ó","o"),"ú","u"),"ü","u"),"ñ","n"),"à","a"),"è","e"),"ì","i"),"ò","o"),"ù","u"),"")</f>
        <v/>
      </c>
      <c r="X739" s="25">
        <f>IF(U739="","",IF(OR(U739="si, en la proxima tarea",U739="si, con cambios"),1,0))</f>
        <v/>
      </c>
      <c r="Y739" s="25">
        <f>IF(AND(Q739=1,A739&lt;&gt;""),IF(IFERROR(COUNTIFS(A$3:A739,"="&amp;SUBSTITUTE(SUBSTITUTE(SUBSTITUTE(A739,"~","~~"),"*","~*"),"?","~?"),Q$3:Q739,1),0)=1,MAX(Y$2:Y738)+1,""),"")</f>
        <v/>
      </c>
      <c r="Z739" s="25">
        <f>IF(Y739="","",COUNTIFS($A$3:$A$1002,"="&amp;SUBSTITUTE(SUBSTITUTE(SUBSTITUTE(A739,"~","~~"),"*","~*"),"?","~?"),$Q$3:$Q$1002,1)*10000-Y739)</f>
        <v/>
      </c>
    </row>
    <row r="740">
      <c r="A740">
        <f>IF(A$2=0,"",IFERROR(TRIM(INDEX('Pegar docentes'!$A$1:$BZ$1001,739,A$2)&amp;""),""))</f>
        <v/>
      </c>
      <c r="B740">
        <f>IF(B$2=0,"",IFERROR(TRIM(INDEX('Pegar docentes'!$A$1:$BZ$1001,739,B$2)&amp;""),""))</f>
        <v/>
      </c>
      <c r="C740">
        <f>IF(C$2=0,"",IFERROR(TRIM(INDEX('Pegar docentes'!$A$1:$BZ$1001,739,C$2)&amp;""),""))</f>
        <v/>
      </c>
      <c r="D740">
        <f>IF(D$2=0,"",IFERROR(TRIM(INDEX('Pegar docentes'!$A$1:$BZ$1001,739,D$2)&amp;""),""))</f>
        <v/>
      </c>
      <c r="E740">
        <f>IF(E$2=0,"",IFERROR(TRIM(INDEX('Pegar docentes'!$A$1:$BZ$1001,739,E$2)&amp;""),""))</f>
        <v/>
      </c>
      <c r="F740">
        <f>IF(F$2=0,"",IFERROR(TRIM(INDEX('Pegar docentes'!$A$1:$BZ$1001,739,F$2)&amp;""),""))</f>
        <v/>
      </c>
      <c r="G740">
        <f>IF(G$2=0,"",IFERROR(TRIM(INDEX('Pegar docentes'!$A$1:$BZ$1001,739,G$2)&amp;""),""))</f>
        <v/>
      </c>
      <c r="H740">
        <f>IF(H$2=0,"",IFERROR(TRIM(INDEX('Pegar docentes'!$A$1:$BZ$1001,739,H$2)&amp;""),""))</f>
        <v/>
      </c>
      <c r="I740">
        <f>IF(I$2=0,"",IFERROR(TRIM(INDEX('Pegar docentes'!$A$1:$BZ$1001,739,I$2)&amp;""),""))</f>
        <v/>
      </c>
      <c r="J740">
        <f>IF(J$2=0,"",IFERROR(TRIM(INDEX('Pegar docentes'!$A$1:$BZ$1001,739,J$2)&amp;""),""))</f>
        <v/>
      </c>
      <c r="K740">
        <f>IF(K$2=0,"",IFERROR(TRIM(INDEX('Pegar docentes'!$A$1:$BZ$1001,739,K$2)&amp;""),""))</f>
        <v/>
      </c>
      <c r="L740">
        <f>IF(L$2=0,"",IFERROR(TRIM(INDEX('Pegar docentes'!$A$1:$BZ$1001,739,L$2)&amp;""),""))</f>
        <v/>
      </c>
      <c r="M740">
        <f>IF(M$2=0,"",IFERROR(TRIM(INDEX('Pegar docentes'!$A$1:$BZ$1001,739,M$2)&amp;""),""))</f>
        <v/>
      </c>
      <c r="N740">
        <f>IF(N$2=0,"",IFERROR(TRIM(INDEX('Pegar docentes'!$A$1:$BZ$1001,739,N$2)&amp;""),""))</f>
        <v/>
      </c>
      <c r="O740">
        <f>IF(O$2=0,"",IFERROR(TRIM(INDEX('Pegar docentes'!$A$1:$BZ$1001,739,O$2)&amp;""),""))</f>
        <v/>
      </c>
      <c r="P740">
        <f>IF(P$2=0,"",IFERROR(TRIM(INDEX('Pegar docentes'!$A$1:$BZ$1001,739,P$2)&amp;""),""))</f>
        <v/>
      </c>
      <c r="Q740" s="25">
        <f>IF(OR(D740&lt;&gt;"",H740&lt;&gt;""),1,"")</f>
        <v/>
      </c>
      <c r="R740" s="25">
        <f>IF(Q740=1,IF(ISNUMBER(FIND("#"&amp;MID(D740,1,1)&amp;"#","#0#1#2#3#4#5#6#7#8#9#")),IF(ISNUMBER(FIND("#"&amp;MID(D740,2,1)&amp;"#","#0#1#2#3#4#5#6#7#8#9#")),IF(AND(VALUE(LEFT(D740,2))&gt;=1,VALUE(LEFT(D740,2))&lt;=5),VALUE(LEFT(D740,2)),""),IF(AND(VALUE(LEFT(D740,1))&gt;=1,VALUE(LEFT(D740,1))&lt;=5),VALUE(LEFT(D740,1)),"")),""),"")</f>
        <v/>
      </c>
      <c r="S740" s="25">
        <f>IF(AND(Q740=1,E740&lt;&gt;""),SUBSTITUTE(SUBSTITUTE(SUBSTITUTE(SUBSTITUTE(SUBSTITUTE(SUBSTITUTE(SUBSTITUTE(SUBSTITUTE(SUBSTITUTE(SUBSTITUTE(SUBSTITUTE(SUBSTITUTE(LOWER(TRIM(E740)),"á","a"),"é","e"),"í","i"),"ó","o"),"ú","u"),"ü","u"),"ñ","n"),"à","a"),"è","e"),"ì","i"),"ò","o"),"ù","u"),"")</f>
        <v/>
      </c>
      <c r="T740" s="25">
        <f>IF(AND(Q740=1,G740&lt;&gt;""),SUBSTITUTE(SUBSTITUTE(SUBSTITUTE(SUBSTITUTE(SUBSTITUTE(SUBSTITUTE(SUBSTITUTE(SUBSTITUTE(SUBSTITUTE(SUBSTITUTE(SUBSTITUTE(SUBSTITUTE(LOWER(TRIM(G740)),"á","a"),"é","e"),"í","i"),"ó","o"),"ú","u"),"ü","u"),"ñ","n"),"à","a"),"è","e"),"ì","i"),"ò","o"),"ù","u"),"")</f>
        <v/>
      </c>
      <c r="U740" s="25">
        <f>IF(AND(Q740=1,H740&lt;&gt;""),SUBSTITUTE(SUBSTITUTE(SUBSTITUTE(SUBSTITUTE(SUBSTITUTE(SUBSTITUTE(SUBSTITUTE(SUBSTITUTE(SUBSTITUTE(SUBSTITUTE(SUBSTITUTE(SUBSTITUTE(LOWER(TRIM(H740)),"á","a"),"é","e"),"í","i"),"ó","o"),"ú","u"),"ü","u"),"ñ","n"),"à","a"),"è","e"),"ì","i"),"ò","o"),"ù","u"),"")</f>
        <v/>
      </c>
      <c r="V740" s="25">
        <f>IF(AND(Q740=1,L740&lt;&gt;""),SUBSTITUTE(SUBSTITUTE(SUBSTITUTE(SUBSTITUTE(SUBSTITUTE(SUBSTITUTE(SUBSTITUTE(SUBSTITUTE(SUBSTITUTE(SUBSTITUTE(SUBSTITUTE(SUBSTITUTE(LOWER(TRIM(L740)),"á","a"),"é","e"),"í","i"),"ó","o"),"ú","u"),"ü","u"),"ñ","n"),"à","a"),"è","e"),"ì","i"),"ò","o"),"ù","u"),"")</f>
        <v/>
      </c>
      <c r="W740" s="25">
        <f>IF(AND(Q740=1,I740&lt;&gt;""),SUBSTITUTE(SUBSTITUTE(SUBSTITUTE(SUBSTITUTE(SUBSTITUTE(SUBSTITUTE(SUBSTITUTE(SUBSTITUTE(SUBSTITUTE(SUBSTITUTE(SUBSTITUTE(SUBSTITUTE(LOWER(TRIM(I740)),"á","a"),"é","e"),"í","i"),"ó","o"),"ú","u"),"ü","u"),"ñ","n"),"à","a"),"è","e"),"ì","i"),"ò","o"),"ù","u"),"")</f>
        <v/>
      </c>
      <c r="X740" s="25">
        <f>IF(U740="","",IF(OR(U740="si, en la proxima tarea",U740="si, con cambios"),1,0))</f>
        <v/>
      </c>
      <c r="Y740" s="25">
        <f>IF(AND(Q740=1,A740&lt;&gt;""),IF(IFERROR(COUNTIFS(A$3:A740,"="&amp;SUBSTITUTE(SUBSTITUTE(SUBSTITUTE(A740,"~","~~"),"*","~*"),"?","~?"),Q$3:Q740,1),0)=1,MAX(Y$2:Y739)+1,""),"")</f>
        <v/>
      </c>
      <c r="Z740" s="25">
        <f>IF(Y740="","",COUNTIFS($A$3:$A$1002,"="&amp;SUBSTITUTE(SUBSTITUTE(SUBSTITUTE(A740,"~","~~"),"*","~*"),"?","~?"),$Q$3:$Q$1002,1)*10000-Y740)</f>
        <v/>
      </c>
    </row>
    <row r="741">
      <c r="A741">
        <f>IF(A$2=0,"",IFERROR(TRIM(INDEX('Pegar docentes'!$A$1:$BZ$1001,740,A$2)&amp;""),""))</f>
        <v/>
      </c>
      <c r="B741">
        <f>IF(B$2=0,"",IFERROR(TRIM(INDEX('Pegar docentes'!$A$1:$BZ$1001,740,B$2)&amp;""),""))</f>
        <v/>
      </c>
      <c r="C741">
        <f>IF(C$2=0,"",IFERROR(TRIM(INDEX('Pegar docentes'!$A$1:$BZ$1001,740,C$2)&amp;""),""))</f>
        <v/>
      </c>
      <c r="D741">
        <f>IF(D$2=0,"",IFERROR(TRIM(INDEX('Pegar docentes'!$A$1:$BZ$1001,740,D$2)&amp;""),""))</f>
        <v/>
      </c>
      <c r="E741">
        <f>IF(E$2=0,"",IFERROR(TRIM(INDEX('Pegar docentes'!$A$1:$BZ$1001,740,E$2)&amp;""),""))</f>
        <v/>
      </c>
      <c r="F741">
        <f>IF(F$2=0,"",IFERROR(TRIM(INDEX('Pegar docentes'!$A$1:$BZ$1001,740,F$2)&amp;""),""))</f>
        <v/>
      </c>
      <c r="G741">
        <f>IF(G$2=0,"",IFERROR(TRIM(INDEX('Pegar docentes'!$A$1:$BZ$1001,740,G$2)&amp;""),""))</f>
        <v/>
      </c>
      <c r="H741">
        <f>IF(H$2=0,"",IFERROR(TRIM(INDEX('Pegar docentes'!$A$1:$BZ$1001,740,H$2)&amp;""),""))</f>
        <v/>
      </c>
      <c r="I741">
        <f>IF(I$2=0,"",IFERROR(TRIM(INDEX('Pegar docentes'!$A$1:$BZ$1001,740,I$2)&amp;""),""))</f>
        <v/>
      </c>
      <c r="J741">
        <f>IF(J$2=0,"",IFERROR(TRIM(INDEX('Pegar docentes'!$A$1:$BZ$1001,740,J$2)&amp;""),""))</f>
        <v/>
      </c>
      <c r="K741">
        <f>IF(K$2=0,"",IFERROR(TRIM(INDEX('Pegar docentes'!$A$1:$BZ$1001,740,K$2)&amp;""),""))</f>
        <v/>
      </c>
      <c r="L741">
        <f>IF(L$2=0,"",IFERROR(TRIM(INDEX('Pegar docentes'!$A$1:$BZ$1001,740,L$2)&amp;""),""))</f>
        <v/>
      </c>
      <c r="M741">
        <f>IF(M$2=0,"",IFERROR(TRIM(INDEX('Pegar docentes'!$A$1:$BZ$1001,740,M$2)&amp;""),""))</f>
        <v/>
      </c>
      <c r="N741">
        <f>IF(N$2=0,"",IFERROR(TRIM(INDEX('Pegar docentes'!$A$1:$BZ$1001,740,N$2)&amp;""),""))</f>
        <v/>
      </c>
      <c r="O741">
        <f>IF(O$2=0,"",IFERROR(TRIM(INDEX('Pegar docentes'!$A$1:$BZ$1001,740,O$2)&amp;""),""))</f>
        <v/>
      </c>
      <c r="P741">
        <f>IF(P$2=0,"",IFERROR(TRIM(INDEX('Pegar docentes'!$A$1:$BZ$1001,740,P$2)&amp;""),""))</f>
        <v/>
      </c>
      <c r="Q741" s="25">
        <f>IF(OR(D741&lt;&gt;"",H741&lt;&gt;""),1,"")</f>
        <v/>
      </c>
      <c r="R741" s="25">
        <f>IF(Q741=1,IF(ISNUMBER(FIND("#"&amp;MID(D741,1,1)&amp;"#","#0#1#2#3#4#5#6#7#8#9#")),IF(ISNUMBER(FIND("#"&amp;MID(D741,2,1)&amp;"#","#0#1#2#3#4#5#6#7#8#9#")),IF(AND(VALUE(LEFT(D741,2))&gt;=1,VALUE(LEFT(D741,2))&lt;=5),VALUE(LEFT(D741,2)),""),IF(AND(VALUE(LEFT(D741,1))&gt;=1,VALUE(LEFT(D741,1))&lt;=5),VALUE(LEFT(D741,1)),"")),""),"")</f>
        <v/>
      </c>
      <c r="S741" s="25">
        <f>IF(AND(Q741=1,E741&lt;&gt;""),SUBSTITUTE(SUBSTITUTE(SUBSTITUTE(SUBSTITUTE(SUBSTITUTE(SUBSTITUTE(SUBSTITUTE(SUBSTITUTE(SUBSTITUTE(SUBSTITUTE(SUBSTITUTE(SUBSTITUTE(LOWER(TRIM(E741)),"á","a"),"é","e"),"í","i"),"ó","o"),"ú","u"),"ü","u"),"ñ","n"),"à","a"),"è","e"),"ì","i"),"ò","o"),"ù","u"),"")</f>
        <v/>
      </c>
      <c r="T741" s="25">
        <f>IF(AND(Q741=1,G741&lt;&gt;""),SUBSTITUTE(SUBSTITUTE(SUBSTITUTE(SUBSTITUTE(SUBSTITUTE(SUBSTITUTE(SUBSTITUTE(SUBSTITUTE(SUBSTITUTE(SUBSTITUTE(SUBSTITUTE(SUBSTITUTE(LOWER(TRIM(G741)),"á","a"),"é","e"),"í","i"),"ó","o"),"ú","u"),"ü","u"),"ñ","n"),"à","a"),"è","e"),"ì","i"),"ò","o"),"ù","u"),"")</f>
        <v/>
      </c>
      <c r="U741" s="25">
        <f>IF(AND(Q741=1,H741&lt;&gt;""),SUBSTITUTE(SUBSTITUTE(SUBSTITUTE(SUBSTITUTE(SUBSTITUTE(SUBSTITUTE(SUBSTITUTE(SUBSTITUTE(SUBSTITUTE(SUBSTITUTE(SUBSTITUTE(SUBSTITUTE(LOWER(TRIM(H741)),"á","a"),"é","e"),"í","i"),"ó","o"),"ú","u"),"ü","u"),"ñ","n"),"à","a"),"è","e"),"ì","i"),"ò","o"),"ù","u"),"")</f>
        <v/>
      </c>
      <c r="V741" s="25">
        <f>IF(AND(Q741=1,L741&lt;&gt;""),SUBSTITUTE(SUBSTITUTE(SUBSTITUTE(SUBSTITUTE(SUBSTITUTE(SUBSTITUTE(SUBSTITUTE(SUBSTITUTE(SUBSTITUTE(SUBSTITUTE(SUBSTITUTE(SUBSTITUTE(LOWER(TRIM(L741)),"á","a"),"é","e"),"í","i"),"ó","o"),"ú","u"),"ü","u"),"ñ","n"),"à","a"),"è","e"),"ì","i"),"ò","o"),"ù","u"),"")</f>
        <v/>
      </c>
      <c r="W741" s="25">
        <f>IF(AND(Q741=1,I741&lt;&gt;""),SUBSTITUTE(SUBSTITUTE(SUBSTITUTE(SUBSTITUTE(SUBSTITUTE(SUBSTITUTE(SUBSTITUTE(SUBSTITUTE(SUBSTITUTE(SUBSTITUTE(SUBSTITUTE(SUBSTITUTE(LOWER(TRIM(I741)),"á","a"),"é","e"),"í","i"),"ó","o"),"ú","u"),"ü","u"),"ñ","n"),"à","a"),"è","e"),"ì","i"),"ò","o"),"ù","u"),"")</f>
        <v/>
      </c>
      <c r="X741" s="25">
        <f>IF(U741="","",IF(OR(U741="si, en la proxima tarea",U741="si, con cambios"),1,0))</f>
        <v/>
      </c>
      <c r="Y741" s="25">
        <f>IF(AND(Q741=1,A741&lt;&gt;""),IF(IFERROR(COUNTIFS(A$3:A741,"="&amp;SUBSTITUTE(SUBSTITUTE(SUBSTITUTE(A741,"~","~~"),"*","~*"),"?","~?"),Q$3:Q741,1),0)=1,MAX(Y$2:Y740)+1,""),"")</f>
        <v/>
      </c>
      <c r="Z741" s="25">
        <f>IF(Y741="","",COUNTIFS($A$3:$A$1002,"="&amp;SUBSTITUTE(SUBSTITUTE(SUBSTITUTE(A741,"~","~~"),"*","~*"),"?","~?"),$Q$3:$Q$1002,1)*10000-Y741)</f>
        <v/>
      </c>
    </row>
    <row r="742">
      <c r="A742">
        <f>IF(A$2=0,"",IFERROR(TRIM(INDEX('Pegar docentes'!$A$1:$BZ$1001,741,A$2)&amp;""),""))</f>
        <v/>
      </c>
      <c r="B742">
        <f>IF(B$2=0,"",IFERROR(TRIM(INDEX('Pegar docentes'!$A$1:$BZ$1001,741,B$2)&amp;""),""))</f>
        <v/>
      </c>
      <c r="C742">
        <f>IF(C$2=0,"",IFERROR(TRIM(INDEX('Pegar docentes'!$A$1:$BZ$1001,741,C$2)&amp;""),""))</f>
        <v/>
      </c>
      <c r="D742">
        <f>IF(D$2=0,"",IFERROR(TRIM(INDEX('Pegar docentes'!$A$1:$BZ$1001,741,D$2)&amp;""),""))</f>
        <v/>
      </c>
      <c r="E742">
        <f>IF(E$2=0,"",IFERROR(TRIM(INDEX('Pegar docentes'!$A$1:$BZ$1001,741,E$2)&amp;""),""))</f>
        <v/>
      </c>
      <c r="F742">
        <f>IF(F$2=0,"",IFERROR(TRIM(INDEX('Pegar docentes'!$A$1:$BZ$1001,741,F$2)&amp;""),""))</f>
        <v/>
      </c>
      <c r="G742">
        <f>IF(G$2=0,"",IFERROR(TRIM(INDEX('Pegar docentes'!$A$1:$BZ$1001,741,G$2)&amp;""),""))</f>
        <v/>
      </c>
      <c r="H742">
        <f>IF(H$2=0,"",IFERROR(TRIM(INDEX('Pegar docentes'!$A$1:$BZ$1001,741,H$2)&amp;""),""))</f>
        <v/>
      </c>
      <c r="I742">
        <f>IF(I$2=0,"",IFERROR(TRIM(INDEX('Pegar docentes'!$A$1:$BZ$1001,741,I$2)&amp;""),""))</f>
        <v/>
      </c>
      <c r="J742">
        <f>IF(J$2=0,"",IFERROR(TRIM(INDEX('Pegar docentes'!$A$1:$BZ$1001,741,J$2)&amp;""),""))</f>
        <v/>
      </c>
      <c r="K742">
        <f>IF(K$2=0,"",IFERROR(TRIM(INDEX('Pegar docentes'!$A$1:$BZ$1001,741,K$2)&amp;""),""))</f>
        <v/>
      </c>
      <c r="L742">
        <f>IF(L$2=0,"",IFERROR(TRIM(INDEX('Pegar docentes'!$A$1:$BZ$1001,741,L$2)&amp;""),""))</f>
        <v/>
      </c>
      <c r="M742">
        <f>IF(M$2=0,"",IFERROR(TRIM(INDEX('Pegar docentes'!$A$1:$BZ$1001,741,M$2)&amp;""),""))</f>
        <v/>
      </c>
      <c r="N742">
        <f>IF(N$2=0,"",IFERROR(TRIM(INDEX('Pegar docentes'!$A$1:$BZ$1001,741,N$2)&amp;""),""))</f>
        <v/>
      </c>
      <c r="O742">
        <f>IF(O$2=0,"",IFERROR(TRIM(INDEX('Pegar docentes'!$A$1:$BZ$1001,741,O$2)&amp;""),""))</f>
        <v/>
      </c>
      <c r="P742">
        <f>IF(P$2=0,"",IFERROR(TRIM(INDEX('Pegar docentes'!$A$1:$BZ$1001,741,P$2)&amp;""),""))</f>
        <v/>
      </c>
      <c r="Q742" s="25">
        <f>IF(OR(D742&lt;&gt;"",H742&lt;&gt;""),1,"")</f>
        <v/>
      </c>
      <c r="R742" s="25">
        <f>IF(Q742=1,IF(ISNUMBER(FIND("#"&amp;MID(D742,1,1)&amp;"#","#0#1#2#3#4#5#6#7#8#9#")),IF(ISNUMBER(FIND("#"&amp;MID(D742,2,1)&amp;"#","#0#1#2#3#4#5#6#7#8#9#")),IF(AND(VALUE(LEFT(D742,2))&gt;=1,VALUE(LEFT(D742,2))&lt;=5),VALUE(LEFT(D742,2)),""),IF(AND(VALUE(LEFT(D742,1))&gt;=1,VALUE(LEFT(D742,1))&lt;=5),VALUE(LEFT(D742,1)),"")),""),"")</f>
        <v/>
      </c>
      <c r="S742" s="25">
        <f>IF(AND(Q742=1,E742&lt;&gt;""),SUBSTITUTE(SUBSTITUTE(SUBSTITUTE(SUBSTITUTE(SUBSTITUTE(SUBSTITUTE(SUBSTITUTE(SUBSTITUTE(SUBSTITUTE(SUBSTITUTE(SUBSTITUTE(SUBSTITUTE(LOWER(TRIM(E742)),"á","a"),"é","e"),"í","i"),"ó","o"),"ú","u"),"ü","u"),"ñ","n"),"à","a"),"è","e"),"ì","i"),"ò","o"),"ù","u"),"")</f>
        <v/>
      </c>
      <c r="T742" s="25">
        <f>IF(AND(Q742=1,G742&lt;&gt;""),SUBSTITUTE(SUBSTITUTE(SUBSTITUTE(SUBSTITUTE(SUBSTITUTE(SUBSTITUTE(SUBSTITUTE(SUBSTITUTE(SUBSTITUTE(SUBSTITUTE(SUBSTITUTE(SUBSTITUTE(LOWER(TRIM(G742)),"á","a"),"é","e"),"í","i"),"ó","o"),"ú","u"),"ü","u"),"ñ","n"),"à","a"),"è","e"),"ì","i"),"ò","o"),"ù","u"),"")</f>
        <v/>
      </c>
      <c r="U742" s="25">
        <f>IF(AND(Q742=1,H742&lt;&gt;""),SUBSTITUTE(SUBSTITUTE(SUBSTITUTE(SUBSTITUTE(SUBSTITUTE(SUBSTITUTE(SUBSTITUTE(SUBSTITUTE(SUBSTITUTE(SUBSTITUTE(SUBSTITUTE(SUBSTITUTE(LOWER(TRIM(H742)),"á","a"),"é","e"),"í","i"),"ó","o"),"ú","u"),"ü","u"),"ñ","n"),"à","a"),"è","e"),"ì","i"),"ò","o"),"ù","u"),"")</f>
        <v/>
      </c>
      <c r="V742" s="25">
        <f>IF(AND(Q742=1,L742&lt;&gt;""),SUBSTITUTE(SUBSTITUTE(SUBSTITUTE(SUBSTITUTE(SUBSTITUTE(SUBSTITUTE(SUBSTITUTE(SUBSTITUTE(SUBSTITUTE(SUBSTITUTE(SUBSTITUTE(SUBSTITUTE(LOWER(TRIM(L742)),"á","a"),"é","e"),"í","i"),"ó","o"),"ú","u"),"ü","u"),"ñ","n"),"à","a"),"è","e"),"ì","i"),"ò","o"),"ù","u"),"")</f>
        <v/>
      </c>
      <c r="W742" s="25">
        <f>IF(AND(Q742=1,I742&lt;&gt;""),SUBSTITUTE(SUBSTITUTE(SUBSTITUTE(SUBSTITUTE(SUBSTITUTE(SUBSTITUTE(SUBSTITUTE(SUBSTITUTE(SUBSTITUTE(SUBSTITUTE(SUBSTITUTE(SUBSTITUTE(LOWER(TRIM(I742)),"á","a"),"é","e"),"í","i"),"ó","o"),"ú","u"),"ü","u"),"ñ","n"),"à","a"),"è","e"),"ì","i"),"ò","o"),"ù","u"),"")</f>
        <v/>
      </c>
      <c r="X742" s="25">
        <f>IF(U742="","",IF(OR(U742="si, en la proxima tarea",U742="si, con cambios"),1,0))</f>
        <v/>
      </c>
      <c r="Y742" s="25">
        <f>IF(AND(Q742=1,A742&lt;&gt;""),IF(IFERROR(COUNTIFS(A$3:A742,"="&amp;SUBSTITUTE(SUBSTITUTE(SUBSTITUTE(A742,"~","~~"),"*","~*"),"?","~?"),Q$3:Q742,1),0)=1,MAX(Y$2:Y741)+1,""),"")</f>
        <v/>
      </c>
      <c r="Z742" s="25">
        <f>IF(Y742="","",COUNTIFS($A$3:$A$1002,"="&amp;SUBSTITUTE(SUBSTITUTE(SUBSTITUTE(A742,"~","~~"),"*","~*"),"?","~?"),$Q$3:$Q$1002,1)*10000-Y742)</f>
        <v/>
      </c>
    </row>
    <row r="743">
      <c r="A743">
        <f>IF(A$2=0,"",IFERROR(TRIM(INDEX('Pegar docentes'!$A$1:$BZ$1001,742,A$2)&amp;""),""))</f>
        <v/>
      </c>
      <c r="B743">
        <f>IF(B$2=0,"",IFERROR(TRIM(INDEX('Pegar docentes'!$A$1:$BZ$1001,742,B$2)&amp;""),""))</f>
        <v/>
      </c>
      <c r="C743">
        <f>IF(C$2=0,"",IFERROR(TRIM(INDEX('Pegar docentes'!$A$1:$BZ$1001,742,C$2)&amp;""),""))</f>
        <v/>
      </c>
      <c r="D743">
        <f>IF(D$2=0,"",IFERROR(TRIM(INDEX('Pegar docentes'!$A$1:$BZ$1001,742,D$2)&amp;""),""))</f>
        <v/>
      </c>
      <c r="E743">
        <f>IF(E$2=0,"",IFERROR(TRIM(INDEX('Pegar docentes'!$A$1:$BZ$1001,742,E$2)&amp;""),""))</f>
        <v/>
      </c>
      <c r="F743">
        <f>IF(F$2=0,"",IFERROR(TRIM(INDEX('Pegar docentes'!$A$1:$BZ$1001,742,F$2)&amp;""),""))</f>
        <v/>
      </c>
      <c r="G743">
        <f>IF(G$2=0,"",IFERROR(TRIM(INDEX('Pegar docentes'!$A$1:$BZ$1001,742,G$2)&amp;""),""))</f>
        <v/>
      </c>
      <c r="H743">
        <f>IF(H$2=0,"",IFERROR(TRIM(INDEX('Pegar docentes'!$A$1:$BZ$1001,742,H$2)&amp;""),""))</f>
        <v/>
      </c>
      <c r="I743">
        <f>IF(I$2=0,"",IFERROR(TRIM(INDEX('Pegar docentes'!$A$1:$BZ$1001,742,I$2)&amp;""),""))</f>
        <v/>
      </c>
      <c r="J743">
        <f>IF(J$2=0,"",IFERROR(TRIM(INDEX('Pegar docentes'!$A$1:$BZ$1001,742,J$2)&amp;""),""))</f>
        <v/>
      </c>
      <c r="K743">
        <f>IF(K$2=0,"",IFERROR(TRIM(INDEX('Pegar docentes'!$A$1:$BZ$1001,742,K$2)&amp;""),""))</f>
        <v/>
      </c>
      <c r="L743">
        <f>IF(L$2=0,"",IFERROR(TRIM(INDEX('Pegar docentes'!$A$1:$BZ$1001,742,L$2)&amp;""),""))</f>
        <v/>
      </c>
      <c r="M743">
        <f>IF(M$2=0,"",IFERROR(TRIM(INDEX('Pegar docentes'!$A$1:$BZ$1001,742,M$2)&amp;""),""))</f>
        <v/>
      </c>
      <c r="N743">
        <f>IF(N$2=0,"",IFERROR(TRIM(INDEX('Pegar docentes'!$A$1:$BZ$1001,742,N$2)&amp;""),""))</f>
        <v/>
      </c>
      <c r="O743">
        <f>IF(O$2=0,"",IFERROR(TRIM(INDEX('Pegar docentes'!$A$1:$BZ$1001,742,O$2)&amp;""),""))</f>
        <v/>
      </c>
      <c r="P743">
        <f>IF(P$2=0,"",IFERROR(TRIM(INDEX('Pegar docentes'!$A$1:$BZ$1001,742,P$2)&amp;""),""))</f>
        <v/>
      </c>
      <c r="Q743" s="25">
        <f>IF(OR(D743&lt;&gt;"",H743&lt;&gt;""),1,"")</f>
        <v/>
      </c>
      <c r="R743" s="25">
        <f>IF(Q743=1,IF(ISNUMBER(FIND("#"&amp;MID(D743,1,1)&amp;"#","#0#1#2#3#4#5#6#7#8#9#")),IF(ISNUMBER(FIND("#"&amp;MID(D743,2,1)&amp;"#","#0#1#2#3#4#5#6#7#8#9#")),IF(AND(VALUE(LEFT(D743,2))&gt;=1,VALUE(LEFT(D743,2))&lt;=5),VALUE(LEFT(D743,2)),""),IF(AND(VALUE(LEFT(D743,1))&gt;=1,VALUE(LEFT(D743,1))&lt;=5),VALUE(LEFT(D743,1)),"")),""),"")</f>
        <v/>
      </c>
      <c r="S743" s="25">
        <f>IF(AND(Q743=1,E743&lt;&gt;""),SUBSTITUTE(SUBSTITUTE(SUBSTITUTE(SUBSTITUTE(SUBSTITUTE(SUBSTITUTE(SUBSTITUTE(SUBSTITUTE(SUBSTITUTE(SUBSTITUTE(SUBSTITUTE(SUBSTITUTE(LOWER(TRIM(E743)),"á","a"),"é","e"),"í","i"),"ó","o"),"ú","u"),"ü","u"),"ñ","n"),"à","a"),"è","e"),"ì","i"),"ò","o"),"ù","u"),"")</f>
        <v/>
      </c>
      <c r="T743" s="25">
        <f>IF(AND(Q743=1,G743&lt;&gt;""),SUBSTITUTE(SUBSTITUTE(SUBSTITUTE(SUBSTITUTE(SUBSTITUTE(SUBSTITUTE(SUBSTITUTE(SUBSTITUTE(SUBSTITUTE(SUBSTITUTE(SUBSTITUTE(SUBSTITUTE(LOWER(TRIM(G743)),"á","a"),"é","e"),"í","i"),"ó","o"),"ú","u"),"ü","u"),"ñ","n"),"à","a"),"è","e"),"ì","i"),"ò","o"),"ù","u"),"")</f>
        <v/>
      </c>
      <c r="U743" s="25">
        <f>IF(AND(Q743=1,H743&lt;&gt;""),SUBSTITUTE(SUBSTITUTE(SUBSTITUTE(SUBSTITUTE(SUBSTITUTE(SUBSTITUTE(SUBSTITUTE(SUBSTITUTE(SUBSTITUTE(SUBSTITUTE(SUBSTITUTE(SUBSTITUTE(LOWER(TRIM(H743)),"á","a"),"é","e"),"í","i"),"ó","o"),"ú","u"),"ü","u"),"ñ","n"),"à","a"),"è","e"),"ì","i"),"ò","o"),"ù","u"),"")</f>
        <v/>
      </c>
      <c r="V743" s="25">
        <f>IF(AND(Q743=1,L743&lt;&gt;""),SUBSTITUTE(SUBSTITUTE(SUBSTITUTE(SUBSTITUTE(SUBSTITUTE(SUBSTITUTE(SUBSTITUTE(SUBSTITUTE(SUBSTITUTE(SUBSTITUTE(SUBSTITUTE(SUBSTITUTE(LOWER(TRIM(L743)),"á","a"),"é","e"),"í","i"),"ó","o"),"ú","u"),"ü","u"),"ñ","n"),"à","a"),"è","e"),"ì","i"),"ò","o"),"ù","u"),"")</f>
        <v/>
      </c>
      <c r="W743" s="25">
        <f>IF(AND(Q743=1,I743&lt;&gt;""),SUBSTITUTE(SUBSTITUTE(SUBSTITUTE(SUBSTITUTE(SUBSTITUTE(SUBSTITUTE(SUBSTITUTE(SUBSTITUTE(SUBSTITUTE(SUBSTITUTE(SUBSTITUTE(SUBSTITUTE(LOWER(TRIM(I743)),"á","a"),"é","e"),"í","i"),"ó","o"),"ú","u"),"ü","u"),"ñ","n"),"à","a"),"è","e"),"ì","i"),"ò","o"),"ù","u"),"")</f>
        <v/>
      </c>
      <c r="X743" s="25">
        <f>IF(U743="","",IF(OR(U743="si, en la proxima tarea",U743="si, con cambios"),1,0))</f>
        <v/>
      </c>
      <c r="Y743" s="25">
        <f>IF(AND(Q743=1,A743&lt;&gt;""),IF(IFERROR(COUNTIFS(A$3:A743,"="&amp;SUBSTITUTE(SUBSTITUTE(SUBSTITUTE(A743,"~","~~"),"*","~*"),"?","~?"),Q$3:Q743,1),0)=1,MAX(Y$2:Y742)+1,""),"")</f>
        <v/>
      </c>
      <c r="Z743" s="25">
        <f>IF(Y743="","",COUNTIFS($A$3:$A$1002,"="&amp;SUBSTITUTE(SUBSTITUTE(SUBSTITUTE(A743,"~","~~"),"*","~*"),"?","~?"),$Q$3:$Q$1002,1)*10000-Y743)</f>
        <v/>
      </c>
    </row>
    <row r="744">
      <c r="A744">
        <f>IF(A$2=0,"",IFERROR(TRIM(INDEX('Pegar docentes'!$A$1:$BZ$1001,743,A$2)&amp;""),""))</f>
        <v/>
      </c>
      <c r="B744">
        <f>IF(B$2=0,"",IFERROR(TRIM(INDEX('Pegar docentes'!$A$1:$BZ$1001,743,B$2)&amp;""),""))</f>
        <v/>
      </c>
      <c r="C744">
        <f>IF(C$2=0,"",IFERROR(TRIM(INDEX('Pegar docentes'!$A$1:$BZ$1001,743,C$2)&amp;""),""))</f>
        <v/>
      </c>
      <c r="D744">
        <f>IF(D$2=0,"",IFERROR(TRIM(INDEX('Pegar docentes'!$A$1:$BZ$1001,743,D$2)&amp;""),""))</f>
        <v/>
      </c>
      <c r="E744">
        <f>IF(E$2=0,"",IFERROR(TRIM(INDEX('Pegar docentes'!$A$1:$BZ$1001,743,E$2)&amp;""),""))</f>
        <v/>
      </c>
      <c r="F744">
        <f>IF(F$2=0,"",IFERROR(TRIM(INDEX('Pegar docentes'!$A$1:$BZ$1001,743,F$2)&amp;""),""))</f>
        <v/>
      </c>
      <c r="G744">
        <f>IF(G$2=0,"",IFERROR(TRIM(INDEX('Pegar docentes'!$A$1:$BZ$1001,743,G$2)&amp;""),""))</f>
        <v/>
      </c>
      <c r="H744">
        <f>IF(H$2=0,"",IFERROR(TRIM(INDEX('Pegar docentes'!$A$1:$BZ$1001,743,H$2)&amp;""),""))</f>
        <v/>
      </c>
      <c r="I744">
        <f>IF(I$2=0,"",IFERROR(TRIM(INDEX('Pegar docentes'!$A$1:$BZ$1001,743,I$2)&amp;""),""))</f>
        <v/>
      </c>
      <c r="J744">
        <f>IF(J$2=0,"",IFERROR(TRIM(INDEX('Pegar docentes'!$A$1:$BZ$1001,743,J$2)&amp;""),""))</f>
        <v/>
      </c>
      <c r="K744">
        <f>IF(K$2=0,"",IFERROR(TRIM(INDEX('Pegar docentes'!$A$1:$BZ$1001,743,K$2)&amp;""),""))</f>
        <v/>
      </c>
      <c r="L744">
        <f>IF(L$2=0,"",IFERROR(TRIM(INDEX('Pegar docentes'!$A$1:$BZ$1001,743,L$2)&amp;""),""))</f>
        <v/>
      </c>
      <c r="M744">
        <f>IF(M$2=0,"",IFERROR(TRIM(INDEX('Pegar docentes'!$A$1:$BZ$1001,743,M$2)&amp;""),""))</f>
        <v/>
      </c>
      <c r="N744">
        <f>IF(N$2=0,"",IFERROR(TRIM(INDEX('Pegar docentes'!$A$1:$BZ$1001,743,N$2)&amp;""),""))</f>
        <v/>
      </c>
      <c r="O744">
        <f>IF(O$2=0,"",IFERROR(TRIM(INDEX('Pegar docentes'!$A$1:$BZ$1001,743,O$2)&amp;""),""))</f>
        <v/>
      </c>
      <c r="P744">
        <f>IF(P$2=0,"",IFERROR(TRIM(INDEX('Pegar docentes'!$A$1:$BZ$1001,743,P$2)&amp;""),""))</f>
        <v/>
      </c>
      <c r="Q744" s="25">
        <f>IF(OR(D744&lt;&gt;"",H744&lt;&gt;""),1,"")</f>
        <v/>
      </c>
      <c r="R744" s="25">
        <f>IF(Q744=1,IF(ISNUMBER(FIND("#"&amp;MID(D744,1,1)&amp;"#","#0#1#2#3#4#5#6#7#8#9#")),IF(ISNUMBER(FIND("#"&amp;MID(D744,2,1)&amp;"#","#0#1#2#3#4#5#6#7#8#9#")),IF(AND(VALUE(LEFT(D744,2))&gt;=1,VALUE(LEFT(D744,2))&lt;=5),VALUE(LEFT(D744,2)),""),IF(AND(VALUE(LEFT(D744,1))&gt;=1,VALUE(LEFT(D744,1))&lt;=5),VALUE(LEFT(D744,1)),"")),""),"")</f>
        <v/>
      </c>
      <c r="S744" s="25">
        <f>IF(AND(Q744=1,E744&lt;&gt;""),SUBSTITUTE(SUBSTITUTE(SUBSTITUTE(SUBSTITUTE(SUBSTITUTE(SUBSTITUTE(SUBSTITUTE(SUBSTITUTE(SUBSTITUTE(SUBSTITUTE(SUBSTITUTE(SUBSTITUTE(LOWER(TRIM(E744)),"á","a"),"é","e"),"í","i"),"ó","o"),"ú","u"),"ü","u"),"ñ","n"),"à","a"),"è","e"),"ì","i"),"ò","o"),"ù","u"),"")</f>
        <v/>
      </c>
      <c r="T744" s="25">
        <f>IF(AND(Q744=1,G744&lt;&gt;""),SUBSTITUTE(SUBSTITUTE(SUBSTITUTE(SUBSTITUTE(SUBSTITUTE(SUBSTITUTE(SUBSTITUTE(SUBSTITUTE(SUBSTITUTE(SUBSTITUTE(SUBSTITUTE(SUBSTITUTE(LOWER(TRIM(G744)),"á","a"),"é","e"),"í","i"),"ó","o"),"ú","u"),"ü","u"),"ñ","n"),"à","a"),"è","e"),"ì","i"),"ò","o"),"ù","u"),"")</f>
        <v/>
      </c>
      <c r="U744" s="25">
        <f>IF(AND(Q744=1,H744&lt;&gt;""),SUBSTITUTE(SUBSTITUTE(SUBSTITUTE(SUBSTITUTE(SUBSTITUTE(SUBSTITUTE(SUBSTITUTE(SUBSTITUTE(SUBSTITUTE(SUBSTITUTE(SUBSTITUTE(SUBSTITUTE(LOWER(TRIM(H744)),"á","a"),"é","e"),"í","i"),"ó","o"),"ú","u"),"ü","u"),"ñ","n"),"à","a"),"è","e"),"ì","i"),"ò","o"),"ù","u"),"")</f>
        <v/>
      </c>
      <c r="V744" s="25">
        <f>IF(AND(Q744=1,L744&lt;&gt;""),SUBSTITUTE(SUBSTITUTE(SUBSTITUTE(SUBSTITUTE(SUBSTITUTE(SUBSTITUTE(SUBSTITUTE(SUBSTITUTE(SUBSTITUTE(SUBSTITUTE(SUBSTITUTE(SUBSTITUTE(LOWER(TRIM(L744)),"á","a"),"é","e"),"í","i"),"ó","o"),"ú","u"),"ü","u"),"ñ","n"),"à","a"),"è","e"),"ì","i"),"ò","o"),"ù","u"),"")</f>
        <v/>
      </c>
      <c r="W744" s="25">
        <f>IF(AND(Q744=1,I744&lt;&gt;""),SUBSTITUTE(SUBSTITUTE(SUBSTITUTE(SUBSTITUTE(SUBSTITUTE(SUBSTITUTE(SUBSTITUTE(SUBSTITUTE(SUBSTITUTE(SUBSTITUTE(SUBSTITUTE(SUBSTITUTE(LOWER(TRIM(I744)),"á","a"),"é","e"),"í","i"),"ó","o"),"ú","u"),"ü","u"),"ñ","n"),"à","a"),"è","e"),"ì","i"),"ò","o"),"ù","u"),"")</f>
        <v/>
      </c>
      <c r="X744" s="25">
        <f>IF(U744="","",IF(OR(U744="si, en la proxima tarea",U744="si, con cambios"),1,0))</f>
        <v/>
      </c>
      <c r="Y744" s="25">
        <f>IF(AND(Q744=1,A744&lt;&gt;""),IF(IFERROR(COUNTIFS(A$3:A744,"="&amp;SUBSTITUTE(SUBSTITUTE(SUBSTITUTE(A744,"~","~~"),"*","~*"),"?","~?"),Q$3:Q744,1),0)=1,MAX(Y$2:Y743)+1,""),"")</f>
        <v/>
      </c>
      <c r="Z744" s="25">
        <f>IF(Y744="","",COUNTIFS($A$3:$A$1002,"="&amp;SUBSTITUTE(SUBSTITUTE(SUBSTITUTE(A744,"~","~~"),"*","~*"),"?","~?"),$Q$3:$Q$1002,1)*10000-Y744)</f>
        <v/>
      </c>
    </row>
    <row r="745">
      <c r="A745">
        <f>IF(A$2=0,"",IFERROR(TRIM(INDEX('Pegar docentes'!$A$1:$BZ$1001,744,A$2)&amp;""),""))</f>
        <v/>
      </c>
      <c r="B745">
        <f>IF(B$2=0,"",IFERROR(TRIM(INDEX('Pegar docentes'!$A$1:$BZ$1001,744,B$2)&amp;""),""))</f>
        <v/>
      </c>
      <c r="C745">
        <f>IF(C$2=0,"",IFERROR(TRIM(INDEX('Pegar docentes'!$A$1:$BZ$1001,744,C$2)&amp;""),""))</f>
        <v/>
      </c>
      <c r="D745">
        <f>IF(D$2=0,"",IFERROR(TRIM(INDEX('Pegar docentes'!$A$1:$BZ$1001,744,D$2)&amp;""),""))</f>
        <v/>
      </c>
      <c r="E745">
        <f>IF(E$2=0,"",IFERROR(TRIM(INDEX('Pegar docentes'!$A$1:$BZ$1001,744,E$2)&amp;""),""))</f>
        <v/>
      </c>
      <c r="F745">
        <f>IF(F$2=0,"",IFERROR(TRIM(INDEX('Pegar docentes'!$A$1:$BZ$1001,744,F$2)&amp;""),""))</f>
        <v/>
      </c>
      <c r="G745">
        <f>IF(G$2=0,"",IFERROR(TRIM(INDEX('Pegar docentes'!$A$1:$BZ$1001,744,G$2)&amp;""),""))</f>
        <v/>
      </c>
      <c r="H745">
        <f>IF(H$2=0,"",IFERROR(TRIM(INDEX('Pegar docentes'!$A$1:$BZ$1001,744,H$2)&amp;""),""))</f>
        <v/>
      </c>
      <c r="I745">
        <f>IF(I$2=0,"",IFERROR(TRIM(INDEX('Pegar docentes'!$A$1:$BZ$1001,744,I$2)&amp;""),""))</f>
        <v/>
      </c>
      <c r="J745">
        <f>IF(J$2=0,"",IFERROR(TRIM(INDEX('Pegar docentes'!$A$1:$BZ$1001,744,J$2)&amp;""),""))</f>
        <v/>
      </c>
      <c r="K745">
        <f>IF(K$2=0,"",IFERROR(TRIM(INDEX('Pegar docentes'!$A$1:$BZ$1001,744,K$2)&amp;""),""))</f>
        <v/>
      </c>
      <c r="L745">
        <f>IF(L$2=0,"",IFERROR(TRIM(INDEX('Pegar docentes'!$A$1:$BZ$1001,744,L$2)&amp;""),""))</f>
        <v/>
      </c>
      <c r="M745">
        <f>IF(M$2=0,"",IFERROR(TRIM(INDEX('Pegar docentes'!$A$1:$BZ$1001,744,M$2)&amp;""),""))</f>
        <v/>
      </c>
      <c r="N745">
        <f>IF(N$2=0,"",IFERROR(TRIM(INDEX('Pegar docentes'!$A$1:$BZ$1001,744,N$2)&amp;""),""))</f>
        <v/>
      </c>
      <c r="O745">
        <f>IF(O$2=0,"",IFERROR(TRIM(INDEX('Pegar docentes'!$A$1:$BZ$1001,744,O$2)&amp;""),""))</f>
        <v/>
      </c>
      <c r="P745">
        <f>IF(P$2=0,"",IFERROR(TRIM(INDEX('Pegar docentes'!$A$1:$BZ$1001,744,P$2)&amp;""),""))</f>
        <v/>
      </c>
      <c r="Q745" s="25">
        <f>IF(OR(D745&lt;&gt;"",H745&lt;&gt;""),1,"")</f>
        <v/>
      </c>
      <c r="R745" s="25">
        <f>IF(Q745=1,IF(ISNUMBER(FIND("#"&amp;MID(D745,1,1)&amp;"#","#0#1#2#3#4#5#6#7#8#9#")),IF(ISNUMBER(FIND("#"&amp;MID(D745,2,1)&amp;"#","#0#1#2#3#4#5#6#7#8#9#")),IF(AND(VALUE(LEFT(D745,2))&gt;=1,VALUE(LEFT(D745,2))&lt;=5),VALUE(LEFT(D745,2)),""),IF(AND(VALUE(LEFT(D745,1))&gt;=1,VALUE(LEFT(D745,1))&lt;=5),VALUE(LEFT(D745,1)),"")),""),"")</f>
        <v/>
      </c>
      <c r="S745" s="25">
        <f>IF(AND(Q745=1,E745&lt;&gt;""),SUBSTITUTE(SUBSTITUTE(SUBSTITUTE(SUBSTITUTE(SUBSTITUTE(SUBSTITUTE(SUBSTITUTE(SUBSTITUTE(SUBSTITUTE(SUBSTITUTE(SUBSTITUTE(SUBSTITUTE(LOWER(TRIM(E745)),"á","a"),"é","e"),"í","i"),"ó","o"),"ú","u"),"ü","u"),"ñ","n"),"à","a"),"è","e"),"ì","i"),"ò","o"),"ù","u"),"")</f>
        <v/>
      </c>
      <c r="T745" s="25">
        <f>IF(AND(Q745=1,G745&lt;&gt;""),SUBSTITUTE(SUBSTITUTE(SUBSTITUTE(SUBSTITUTE(SUBSTITUTE(SUBSTITUTE(SUBSTITUTE(SUBSTITUTE(SUBSTITUTE(SUBSTITUTE(SUBSTITUTE(SUBSTITUTE(LOWER(TRIM(G745)),"á","a"),"é","e"),"í","i"),"ó","o"),"ú","u"),"ü","u"),"ñ","n"),"à","a"),"è","e"),"ì","i"),"ò","o"),"ù","u"),"")</f>
        <v/>
      </c>
      <c r="U745" s="25">
        <f>IF(AND(Q745=1,H745&lt;&gt;""),SUBSTITUTE(SUBSTITUTE(SUBSTITUTE(SUBSTITUTE(SUBSTITUTE(SUBSTITUTE(SUBSTITUTE(SUBSTITUTE(SUBSTITUTE(SUBSTITUTE(SUBSTITUTE(SUBSTITUTE(LOWER(TRIM(H745)),"á","a"),"é","e"),"í","i"),"ó","o"),"ú","u"),"ü","u"),"ñ","n"),"à","a"),"è","e"),"ì","i"),"ò","o"),"ù","u"),"")</f>
        <v/>
      </c>
      <c r="V745" s="25">
        <f>IF(AND(Q745=1,L745&lt;&gt;""),SUBSTITUTE(SUBSTITUTE(SUBSTITUTE(SUBSTITUTE(SUBSTITUTE(SUBSTITUTE(SUBSTITUTE(SUBSTITUTE(SUBSTITUTE(SUBSTITUTE(SUBSTITUTE(SUBSTITUTE(LOWER(TRIM(L745)),"á","a"),"é","e"),"í","i"),"ó","o"),"ú","u"),"ü","u"),"ñ","n"),"à","a"),"è","e"),"ì","i"),"ò","o"),"ù","u"),"")</f>
        <v/>
      </c>
      <c r="W745" s="25">
        <f>IF(AND(Q745=1,I745&lt;&gt;""),SUBSTITUTE(SUBSTITUTE(SUBSTITUTE(SUBSTITUTE(SUBSTITUTE(SUBSTITUTE(SUBSTITUTE(SUBSTITUTE(SUBSTITUTE(SUBSTITUTE(SUBSTITUTE(SUBSTITUTE(LOWER(TRIM(I745)),"á","a"),"é","e"),"í","i"),"ó","o"),"ú","u"),"ü","u"),"ñ","n"),"à","a"),"è","e"),"ì","i"),"ò","o"),"ù","u"),"")</f>
        <v/>
      </c>
      <c r="X745" s="25">
        <f>IF(U745="","",IF(OR(U745="si, en la proxima tarea",U745="si, con cambios"),1,0))</f>
        <v/>
      </c>
      <c r="Y745" s="25">
        <f>IF(AND(Q745=1,A745&lt;&gt;""),IF(IFERROR(COUNTIFS(A$3:A745,"="&amp;SUBSTITUTE(SUBSTITUTE(SUBSTITUTE(A745,"~","~~"),"*","~*"),"?","~?"),Q$3:Q745,1),0)=1,MAX(Y$2:Y744)+1,""),"")</f>
        <v/>
      </c>
      <c r="Z745" s="25">
        <f>IF(Y745="","",COUNTIFS($A$3:$A$1002,"="&amp;SUBSTITUTE(SUBSTITUTE(SUBSTITUTE(A745,"~","~~"),"*","~*"),"?","~?"),$Q$3:$Q$1002,1)*10000-Y745)</f>
        <v/>
      </c>
    </row>
    <row r="746">
      <c r="A746">
        <f>IF(A$2=0,"",IFERROR(TRIM(INDEX('Pegar docentes'!$A$1:$BZ$1001,745,A$2)&amp;""),""))</f>
        <v/>
      </c>
      <c r="B746">
        <f>IF(B$2=0,"",IFERROR(TRIM(INDEX('Pegar docentes'!$A$1:$BZ$1001,745,B$2)&amp;""),""))</f>
        <v/>
      </c>
      <c r="C746">
        <f>IF(C$2=0,"",IFERROR(TRIM(INDEX('Pegar docentes'!$A$1:$BZ$1001,745,C$2)&amp;""),""))</f>
        <v/>
      </c>
      <c r="D746">
        <f>IF(D$2=0,"",IFERROR(TRIM(INDEX('Pegar docentes'!$A$1:$BZ$1001,745,D$2)&amp;""),""))</f>
        <v/>
      </c>
      <c r="E746">
        <f>IF(E$2=0,"",IFERROR(TRIM(INDEX('Pegar docentes'!$A$1:$BZ$1001,745,E$2)&amp;""),""))</f>
        <v/>
      </c>
      <c r="F746">
        <f>IF(F$2=0,"",IFERROR(TRIM(INDEX('Pegar docentes'!$A$1:$BZ$1001,745,F$2)&amp;""),""))</f>
        <v/>
      </c>
      <c r="G746">
        <f>IF(G$2=0,"",IFERROR(TRIM(INDEX('Pegar docentes'!$A$1:$BZ$1001,745,G$2)&amp;""),""))</f>
        <v/>
      </c>
      <c r="H746">
        <f>IF(H$2=0,"",IFERROR(TRIM(INDEX('Pegar docentes'!$A$1:$BZ$1001,745,H$2)&amp;""),""))</f>
        <v/>
      </c>
      <c r="I746">
        <f>IF(I$2=0,"",IFERROR(TRIM(INDEX('Pegar docentes'!$A$1:$BZ$1001,745,I$2)&amp;""),""))</f>
        <v/>
      </c>
      <c r="J746">
        <f>IF(J$2=0,"",IFERROR(TRIM(INDEX('Pegar docentes'!$A$1:$BZ$1001,745,J$2)&amp;""),""))</f>
        <v/>
      </c>
      <c r="K746">
        <f>IF(K$2=0,"",IFERROR(TRIM(INDEX('Pegar docentes'!$A$1:$BZ$1001,745,K$2)&amp;""),""))</f>
        <v/>
      </c>
      <c r="L746">
        <f>IF(L$2=0,"",IFERROR(TRIM(INDEX('Pegar docentes'!$A$1:$BZ$1001,745,L$2)&amp;""),""))</f>
        <v/>
      </c>
      <c r="M746">
        <f>IF(M$2=0,"",IFERROR(TRIM(INDEX('Pegar docentes'!$A$1:$BZ$1001,745,M$2)&amp;""),""))</f>
        <v/>
      </c>
      <c r="N746">
        <f>IF(N$2=0,"",IFERROR(TRIM(INDEX('Pegar docentes'!$A$1:$BZ$1001,745,N$2)&amp;""),""))</f>
        <v/>
      </c>
      <c r="O746">
        <f>IF(O$2=0,"",IFERROR(TRIM(INDEX('Pegar docentes'!$A$1:$BZ$1001,745,O$2)&amp;""),""))</f>
        <v/>
      </c>
      <c r="P746">
        <f>IF(P$2=0,"",IFERROR(TRIM(INDEX('Pegar docentes'!$A$1:$BZ$1001,745,P$2)&amp;""),""))</f>
        <v/>
      </c>
      <c r="Q746" s="25">
        <f>IF(OR(D746&lt;&gt;"",H746&lt;&gt;""),1,"")</f>
        <v/>
      </c>
      <c r="R746" s="25">
        <f>IF(Q746=1,IF(ISNUMBER(FIND("#"&amp;MID(D746,1,1)&amp;"#","#0#1#2#3#4#5#6#7#8#9#")),IF(ISNUMBER(FIND("#"&amp;MID(D746,2,1)&amp;"#","#0#1#2#3#4#5#6#7#8#9#")),IF(AND(VALUE(LEFT(D746,2))&gt;=1,VALUE(LEFT(D746,2))&lt;=5),VALUE(LEFT(D746,2)),""),IF(AND(VALUE(LEFT(D746,1))&gt;=1,VALUE(LEFT(D746,1))&lt;=5),VALUE(LEFT(D746,1)),"")),""),"")</f>
        <v/>
      </c>
      <c r="S746" s="25">
        <f>IF(AND(Q746=1,E746&lt;&gt;""),SUBSTITUTE(SUBSTITUTE(SUBSTITUTE(SUBSTITUTE(SUBSTITUTE(SUBSTITUTE(SUBSTITUTE(SUBSTITUTE(SUBSTITUTE(SUBSTITUTE(SUBSTITUTE(SUBSTITUTE(LOWER(TRIM(E746)),"á","a"),"é","e"),"í","i"),"ó","o"),"ú","u"),"ü","u"),"ñ","n"),"à","a"),"è","e"),"ì","i"),"ò","o"),"ù","u"),"")</f>
        <v/>
      </c>
      <c r="T746" s="25">
        <f>IF(AND(Q746=1,G746&lt;&gt;""),SUBSTITUTE(SUBSTITUTE(SUBSTITUTE(SUBSTITUTE(SUBSTITUTE(SUBSTITUTE(SUBSTITUTE(SUBSTITUTE(SUBSTITUTE(SUBSTITUTE(SUBSTITUTE(SUBSTITUTE(LOWER(TRIM(G746)),"á","a"),"é","e"),"í","i"),"ó","o"),"ú","u"),"ü","u"),"ñ","n"),"à","a"),"è","e"),"ì","i"),"ò","o"),"ù","u"),"")</f>
        <v/>
      </c>
      <c r="U746" s="25">
        <f>IF(AND(Q746=1,H746&lt;&gt;""),SUBSTITUTE(SUBSTITUTE(SUBSTITUTE(SUBSTITUTE(SUBSTITUTE(SUBSTITUTE(SUBSTITUTE(SUBSTITUTE(SUBSTITUTE(SUBSTITUTE(SUBSTITUTE(SUBSTITUTE(LOWER(TRIM(H746)),"á","a"),"é","e"),"í","i"),"ó","o"),"ú","u"),"ü","u"),"ñ","n"),"à","a"),"è","e"),"ì","i"),"ò","o"),"ù","u"),"")</f>
        <v/>
      </c>
      <c r="V746" s="25">
        <f>IF(AND(Q746=1,L746&lt;&gt;""),SUBSTITUTE(SUBSTITUTE(SUBSTITUTE(SUBSTITUTE(SUBSTITUTE(SUBSTITUTE(SUBSTITUTE(SUBSTITUTE(SUBSTITUTE(SUBSTITUTE(SUBSTITUTE(SUBSTITUTE(LOWER(TRIM(L746)),"á","a"),"é","e"),"í","i"),"ó","o"),"ú","u"),"ü","u"),"ñ","n"),"à","a"),"è","e"),"ì","i"),"ò","o"),"ù","u"),"")</f>
        <v/>
      </c>
      <c r="W746" s="25">
        <f>IF(AND(Q746=1,I746&lt;&gt;""),SUBSTITUTE(SUBSTITUTE(SUBSTITUTE(SUBSTITUTE(SUBSTITUTE(SUBSTITUTE(SUBSTITUTE(SUBSTITUTE(SUBSTITUTE(SUBSTITUTE(SUBSTITUTE(SUBSTITUTE(LOWER(TRIM(I746)),"á","a"),"é","e"),"í","i"),"ó","o"),"ú","u"),"ü","u"),"ñ","n"),"à","a"),"è","e"),"ì","i"),"ò","o"),"ù","u"),"")</f>
        <v/>
      </c>
      <c r="X746" s="25">
        <f>IF(U746="","",IF(OR(U746="si, en la proxima tarea",U746="si, con cambios"),1,0))</f>
        <v/>
      </c>
      <c r="Y746" s="25">
        <f>IF(AND(Q746=1,A746&lt;&gt;""),IF(IFERROR(COUNTIFS(A$3:A746,"="&amp;SUBSTITUTE(SUBSTITUTE(SUBSTITUTE(A746,"~","~~"),"*","~*"),"?","~?"),Q$3:Q746,1),0)=1,MAX(Y$2:Y745)+1,""),"")</f>
        <v/>
      </c>
      <c r="Z746" s="25">
        <f>IF(Y746="","",COUNTIFS($A$3:$A$1002,"="&amp;SUBSTITUTE(SUBSTITUTE(SUBSTITUTE(A746,"~","~~"),"*","~*"),"?","~?"),$Q$3:$Q$1002,1)*10000-Y746)</f>
        <v/>
      </c>
    </row>
    <row r="747">
      <c r="A747">
        <f>IF(A$2=0,"",IFERROR(TRIM(INDEX('Pegar docentes'!$A$1:$BZ$1001,746,A$2)&amp;""),""))</f>
        <v/>
      </c>
      <c r="B747">
        <f>IF(B$2=0,"",IFERROR(TRIM(INDEX('Pegar docentes'!$A$1:$BZ$1001,746,B$2)&amp;""),""))</f>
        <v/>
      </c>
      <c r="C747">
        <f>IF(C$2=0,"",IFERROR(TRIM(INDEX('Pegar docentes'!$A$1:$BZ$1001,746,C$2)&amp;""),""))</f>
        <v/>
      </c>
      <c r="D747">
        <f>IF(D$2=0,"",IFERROR(TRIM(INDEX('Pegar docentes'!$A$1:$BZ$1001,746,D$2)&amp;""),""))</f>
        <v/>
      </c>
      <c r="E747">
        <f>IF(E$2=0,"",IFERROR(TRIM(INDEX('Pegar docentes'!$A$1:$BZ$1001,746,E$2)&amp;""),""))</f>
        <v/>
      </c>
      <c r="F747">
        <f>IF(F$2=0,"",IFERROR(TRIM(INDEX('Pegar docentes'!$A$1:$BZ$1001,746,F$2)&amp;""),""))</f>
        <v/>
      </c>
      <c r="G747">
        <f>IF(G$2=0,"",IFERROR(TRIM(INDEX('Pegar docentes'!$A$1:$BZ$1001,746,G$2)&amp;""),""))</f>
        <v/>
      </c>
      <c r="H747">
        <f>IF(H$2=0,"",IFERROR(TRIM(INDEX('Pegar docentes'!$A$1:$BZ$1001,746,H$2)&amp;""),""))</f>
        <v/>
      </c>
      <c r="I747">
        <f>IF(I$2=0,"",IFERROR(TRIM(INDEX('Pegar docentes'!$A$1:$BZ$1001,746,I$2)&amp;""),""))</f>
        <v/>
      </c>
      <c r="J747">
        <f>IF(J$2=0,"",IFERROR(TRIM(INDEX('Pegar docentes'!$A$1:$BZ$1001,746,J$2)&amp;""),""))</f>
        <v/>
      </c>
      <c r="K747">
        <f>IF(K$2=0,"",IFERROR(TRIM(INDEX('Pegar docentes'!$A$1:$BZ$1001,746,K$2)&amp;""),""))</f>
        <v/>
      </c>
      <c r="L747">
        <f>IF(L$2=0,"",IFERROR(TRIM(INDEX('Pegar docentes'!$A$1:$BZ$1001,746,L$2)&amp;""),""))</f>
        <v/>
      </c>
      <c r="M747">
        <f>IF(M$2=0,"",IFERROR(TRIM(INDEX('Pegar docentes'!$A$1:$BZ$1001,746,M$2)&amp;""),""))</f>
        <v/>
      </c>
      <c r="N747">
        <f>IF(N$2=0,"",IFERROR(TRIM(INDEX('Pegar docentes'!$A$1:$BZ$1001,746,N$2)&amp;""),""))</f>
        <v/>
      </c>
      <c r="O747">
        <f>IF(O$2=0,"",IFERROR(TRIM(INDEX('Pegar docentes'!$A$1:$BZ$1001,746,O$2)&amp;""),""))</f>
        <v/>
      </c>
      <c r="P747">
        <f>IF(P$2=0,"",IFERROR(TRIM(INDEX('Pegar docentes'!$A$1:$BZ$1001,746,P$2)&amp;""),""))</f>
        <v/>
      </c>
      <c r="Q747" s="25">
        <f>IF(OR(D747&lt;&gt;"",H747&lt;&gt;""),1,"")</f>
        <v/>
      </c>
      <c r="R747" s="25">
        <f>IF(Q747=1,IF(ISNUMBER(FIND("#"&amp;MID(D747,1,1)&amp;"#","#0#1#2#3#4#5#6#7#8#9#")),IF(ISNUMBER(FIND("#"&amp;MID(D747,2,1)&amp;"#","#0#1#2#3#4#5#6#7#8#9#")),IF(AND(VALUE(LEFT(D747,2))&gt;=1,VALUE(LEFT(D747,2))&lt;=5),VALUE(LEFT(D747,2)),""),IF(AND(VALUE(LEFT(D747,1))&gt;=1,VALUE(LEFT(D747,1))&lt;=5),VALUE(LEFT(D747,1)),"")),""),"")</f>
        <v/>
      </c>
      <c r="S747" s="25">
        <f>IF(AND(Q747=1,E747&lt;&gt;""),SUBSTITUTE(SUBSTITUTE(SUBSTITUTE(SUBSTITUTE(SUBSTITUTE(SUBSTITUTE(SUBSTITUTE(SUBSTITUTE(SUBSTITUTE(SUBSTITUTE(SUBSTITUTE(SUBSTITUTE(LOWER(TRIM(E747)),"á","a"),"é","e"),"í","i"),"ó","o"),"ú","u"),"ü","u"),"ñ","n"),"à","a"),"è","e"),"ì","i"),"ò","o"),"ù","u"),"")</f>
        <v/>
      </c>
      <c r="T747" s="25">
        <f>IF(AND(Q747=1,G747&lt;&gt;""),SUBSTITUTE(SUBSTITUTE(SUBSTITUTE(SUBSTITUTE(SUBSTITUTE(SUBSTITUTE(SUBSTITUTE(SUBSTITUTE(SUBSTITUTE(SUBSTITUTE(SUBSTITUTE(SUBSTITUTE(LOWER(TRIM(G747)),"á","a"),"é","e"),"í","i"),"ó","o"),"ú","u"),"ü","u"),"ñ","n"),"à","a"),"è","e"),"ì","i"),"ò","o"),"ù","u"),"")</f>
        <v/>
      </c>
      <c r="U747" s="25">
        <f>IF(AND(Q747=1,H747&lt;&gt;""),SUBSTITUTE(SUBSTITUTE(SUBSTITUTE(SUBSTITUTE(SUBSTITUTE(SUBSTITUTE(SUBSTITUTE(SUBSTITUTE(SUBSTITUTE(SUBSTITUTE(SUBSTITUTE(SUBSTITUTE(LOWER(TRIM(H747)),"á","a"),"é","e"),"í","i"),"ó","o"),"ú","u"),"ü","u"),"ñ","n"),"à","a"),"è","e"),"ì","i"),"ò","o"),"ù","u"),"")</f>
        <v/>
      </c>
      <c r="V747" s="25">
        <f>IF(AND(Q747=1,L747&lt;&gt;""),SUBSTITUTE(SUBSTITUTE(SUBSTITUTE(SUBSTITUTE(SUBSTITUTE(SUBSTITUTE(SUBSTITUTE(SUBSTITUTE(SUBSTITUTE(SUBSTITUTE(SUBSTITUTE(SUBSTITUTE(LOWER(TRIM(L747)),"á","a"),"é","e"),"í","i"),"ó","o"),"ú","u"),"ü","u"),"ñ","n"),"à","a"),"è","e"),"ì","i"),"ò","o"),"ù","u"),"")</f>
        <v/>
      </c>
      <c r="W747" s="25">
        <f>IF(AND(Q747=1,I747&lt;&gt;""),SUBSTITUTE(SUBSTITUTE(SUBSTITUTE(SUBSTITUTE(SUBSTITUTE(SUBSTITUTE(SUBSTITUTE(SUBSTITUTE(SUBSTITUTE(SUBSTITUTE(SUBSTITUTE(SUBSTITUTE(LOWER(TRIM(I747)),"á","a"),"é","e"),"í","i"),"ó","o"),"ú","u"),"ü","u"),"ñ","n"),"à","a"),"è","e"),"ì","i"),"ò","o"),"ù","u"),"")</f>
        <v/>
      </c>
      <c r="X747" s="25">
        <f>IF(U747="","",IF(OR(U747="si, en la proxima tarea",U747="si, con cambios"),1,0))</f>
        <v/>
      </c>
      <c r="Y747" s="25">
        <f>IF(AND(Q747=1,A747&lt;&gt;""),IF(IFERROR(COUNTIFS(A$3:A747,"="&amp;SUBSTITUTE(SUBSTITUTE(SUBSTITUTE(A747,"~","~~"),"*","~*"),"?","~?"),Q$3:Q747,1),0)=1,MAX(Y$2:Y746)+1,""),"")</f>
        <v/>
      </c>
      <c r="Z747" s="25">
        <f>IF(Y747="","",COUNTIFS($A$3:$A$1002,"="&amp;SUBSTITUTE(SUBSTITUTE(SUBSTITUTE(A747,"~","~~"),"*","~*"),"?","~?"),$Q$3:$Q$1002,1)*10000-Y747)</f>
        <v/>
      </c>
    </row>
    <row r="748">
      <c r="A748">
        <f>IF(A$2=0,"",IFERROR(TRIM(INDEX('Pegar docentes'!$A$1:$BZ$1001,747,A$2)&amp;""),""))</f>
        <v/>
      </c>
      <c r="B748">
        <f>IF(B$2=0,"",IFERROR(TRIM(INDEX('Pegar docentes'!$A$1:$BZ$1001,747,B$2)&amp;""),""))</f>
        <v/>
      </c>
      <c r="C748">
        <f>IF(C$2=0,"",IFERROR(TRIM(INDEX('Pegar docentes'!$A$1:$BZ$1001,747,C$2)&amp;""),""))</f>
        <v/>
      </c>
      <c r="D748">
        <f>IF(D$2=0,"",IFERROR(TRIM(INDEX('Pegar docentes'!$A$1:$BZ$1001,747,D$2)&amp;""),""))</f>
        <v/>
      </c>
      <c r="E748">
        <f>IF(E$2=0,"",IFERROR(TRIM(INDEX('Pegar docentes'!$A$1:$BZ$1001,747,E$2)&amp;""),""))</f>
        <v/>
      </c>
      <c r="F748">
        <f>IF(F$2=0,"",IFERROR(TRIM(INDEX('Pegar docentes'!$A$1:$BZ$1001,747,F$2)&amp;""),""))</f>
        <v/>
      </c>
      <c r="G748">
        <f>IF(G$2=0,"",IFERROR(TRIM(INDEX('Pegar docentes'!$A$1:$BZ$1001,747,G$2)&amp;""),""))</f>
        <v/>
      </c>
      <c r="H748">
        <f>IF(H$2=0,"",IFERROR(TRIM(INDEX('Pegar docentes'!$A$1:$BZ$1001,747,H$2)&amp;""),""))</f>
        <v/>
      </c>
      <c r="I748">
        <f>IF(I$2=0,"",IFERROR(TRIM(INDEX('Pegar docentes'!$A$1:$BZ$1001,747,I$2)&amp;""),""))</f>
        <v/>
      </c>
      <c r="J748">
        <f>IF(J$2=0,"",IFERROR(TRIM(INDEX('Pegar docentes'!$A$1:$BZ$1001,747,J$2)&amp;""),""))</f>
        <v/>
      </c>
      <c r="K748">
        <f>IF(K$2=0,"",IFERROR(TRIM(INDEX('Pegar docentes'!$A$1:$BZ$1001,747,K$2)&amp;""),""))</f>
        <v/>
      </c>
      <c r="L748">
        <f>IF(L$2=0,"",IFERROR(TRIM(INDEX('Pegar docentes'!$A$1:$BZ$1001,747,L$2)&amp;""),""))</f>
        <v/>
      </c>
      <c r="M748">
        <f>IF(M$2=0,"",IFERROR(TRIM(INDEX('Pegar docentes'!$A$1:$BZ$1001,747,M$2)&amp;""),""))</f>
        <v/>
      </c>
      <c r="N748">
        <f>IF(N$2=0,"",IFERROR(TRIM(INDEX('Pegar docentes'!$A$1:$BZ$1001,747,N$2)&amp;""),""))</f>
        <v/>
      </c>
      <c r="O748">
        <f>IF(O$2=0,"",IFERROR(TRIM(INDEX('Pegar docentes'!$A$1:$BZ$1001,747,O$2)&amp;""),""))</f>
        <v/>
      </c>
      <c r="P748">
        <f>IF(P$2=0,"",IFERROR(TRIM(INDEX('Pegar docentes'!$A$1:$BZ$1001,747,P$2)&amp;""),""))</f>
        <v/>
      </c>
      <c r="Q748" s="25">
        <f>IF(OR(D748&lt;&gt;"",H748&lt;&gt;""),1,"")</f>
        <v/>
      </c>
      <c r="R748" s="25">
        <f>IF(Q748=1,IF(ISNUMBER(FIND("#"&amp;MID(D748,1,1)&amp;"#","#0#1#2#3#4#5#6#7#8#9#")),IF(ISNUMBER(FIND("#"&amp;MID(D748,2,1)&amp;"#","#0#1#2#3#4#5#6#7#8#9#")),IF(AND(VALUE(LEFT(D748,2))&gt;=1,VALUE(LEFT(D748,2))&lt;=5),VALUE(LEFT(D748,2)),""),IF(AND(VALUE(LEFT(D748,1))&gt;=1,VALUE(LEFT(D748,1))&lt;=5),VALUE(LEFT(D748,1)),"")),""),"")</f>
        <v/>
      </c>
      <c r="S748" s="25">
        <f>IF(AND(Q748=1,E748&lt;&gt;""),SUBSTITUTE(SUBSTITUTE(SUBSTITUTE(SUBSTITUTE(SUBSTITUTE(SUBSTITUTE(SUBSTITUTE(SUBSTITUTE(SUBSTITUTE(SUBSTITUTE(SUBSTITUTE(SUBSTITUTE(LOWER(TRIM(E748)),"á","a"),"é","e"),"í","i"),"ó","o"),"ú","u"),"ü","u"),"ñ","n"),"à","a"),"è","e"),"ì","i"),"ò","o"),"ù","u"),"")</f>
        <v/>
      </c>
      <c r="T748" s="25">
        <f>IF(AND(Q748=1,G748&lt;&gt;""),SUBSTITUTE(SUBSTITUTE(SUBSTITUTE(SUBSTITUTE(SUBSTITUTE(SUBSTITUTE(SUBSTITUTE(SUBSTITUTE(SUBSTITUTE(SUBSTITUTE(SUBSTITUTE(SUBSTITUTE(LOWER(TRIM(G748)),"á","a"),"é","e"),"í","i"),"ó","o"),"ú","u"),"ü","u"),"ñ","n"),"à","a"),"è","e"),"ì","i"),"ò","o"),"ù","u"),"")</f>
        <v/>
      </c>
      <c r="U748" s="25">
        <f>IF(AND(Q748=1,H748&lt;&gt;""),SUBSTITUTE(SUBSTITUTE(SUBSTITUTE(SUBSTITUTE(SUBSTITUTE(SUBSTITUTE(SUBSTITUTE(SUBSTITUTE(SUBSTITUTE(SUBSTITUTE(SUBSTITUTE(SUBSTITUTE(LOWER(TRIM(H748)),"á","a"),"é","e"),"í","i"),"ó","o"),"ú","u"),"ü","u"),"ñ","n"),"à","a"),"è","e"),"ì","i"),"ò","o"),"ù","u"),"")</f>
        <v/>
      </c>
      <c r="V748" s="25">
        <f>IF(AND(Q748=1,L748&lt;&gt;""),SUBSTITUTE(SUBSTITUTE(SUBSTITUTE(SUBSTITUTE(SUBSTITUTE(SUBSTITUTE(SUBSTITUTE(SUBSTITUTE(SUBSTITUTE(SUBSTITUTE(SUBSTITUTE(SUBSTITUTE(LOWER(TRIM(L748)),"á","a"),"é","e"),"í","i"),"ó","o"),"ú","u"),"ü","u"),"ñ","n"),"à","a"),"è","e"),"ì","i"),"ò","o"),"ù","u"),"")</f>
        <v/>
      </c>
      <c r="W748" s="25">
        <f>IF(AND(Q748=1,I748&lt;&gt;""),SUBSTITUTE(SUBSTITUTE(SUBSTITUTE(SUBSTITUTE(SUBSTITUTE(SUBSTITUTE(SUBSTITUTE(SUBSTITUTE(SUBSTITUTE(SUBSTITUTE(SUBSTITUTE(SUBSTITUTE(LOWER(TRIM(I748)),"á","a"),"é","e"),"í","i"),"ó","o"),"ú","u"),"ü","u"),"ñ","n"),"à","a"),"è","e"),"ì","i"),"ò","o"),"ù","u"),"")</f>
        <v/>
      </c>
      <c r="X748" s="25">
        <f>IF(U748="","",IF(OR(U748="si, en la proxima tarea",U748="si, con cambios"),1,0))</f>
        <v/>
      </c>
      <c r="Y748" s="25">
        <f>IF(AND(Q748=1,A748&lt;&gt;""),IF(IFERROR(COUNTIFS(A$3:A748,"="&amp;SUBSTITUTE(SUBSTITUTE(SUBSTITUTE(A748,"~","~~"),"*","~*"),"?","~?"),Q$3:Q748,1),0)=1,MAX(Y$2:Y747)+1,""),"")</f>
        <v/>
      </c>
      <c r="Z748" s="25">
        <f>IF(Y748="","",COUNTIFS($A$3:$A$1002,"="&amp;SUBSTITUTE(SUBSTITUTE(SUBSTITUTE(A748,"~","~~"),"*","~*"),"?","~?"),$Q$3:$Q$1002,1)*10000-Y748)</f>
        <v/>
      </c>
    </row>
    <row r="749">
      <c r="A749">
        <f>IF(A$2=0,"",IFERROR(TRIM(INDEX('Pegar docentes'!$A$1:$BZ$1001,748,A$2)&amp;""),""))</f>
        <v/>
      </c>
      <c r="B749">
        <f>IF(B$2=0,"",IFERROR(TRIM(INDEX('Pegar docentes'!$A$1:$BZ$1001,748,B$2)&amp;""),""))</f>
        <v/>
      </c>
      <c r="C749">
        <f>IF(C$2=0,"",IFERROR(TRIM(INDEX('Pegar docentes'!$A$1:$BZ$1001,748,C$2)&amp;""),""))</f>
        <v/>
      </c>
      <c r="D749">
        <f>IF(D$2=0,"",IFERROR(TRIM(INDEX('Pegar docentes'!$A$1:$BZ$1001,748,D$2)&amp;""),""))</f>
        <v/>
      </c>
      <c r="E749">
        <f>IF(E$2=0,"",IFERROR(TRIM(INDEX('Pegar docentes'!$A$1:$BZ$1001,748,E$2)&amp;""),""))</f>
        <v/>
      </c>
      <c r="F749">
        <f>IF(F$2=0,"",IFERROR(TRIM(INDEX('Pegar docentes'!$A$1:$BZ$1001,748,F$2)&amp;""),""))</f>
        <v/>
      </c>
      <c r="G749">
        <f>IF(G$2=0,"",IFERROR(TRIM(INDEX('Pegar docentes'!$A$1:$BZ$1001,748,G$2)&amp;""),""))</f>
        <v/>
      </c>
      <c r="H749">
        <f>IF(H$2=0,"",IFERROR(TRIM(INDEX('Pegar docentes'!$A$1:$BZ$1001,748,H$2)&amp;""),""))</f>
        <v/>
      </c>
      <c r="I749">
        <f>IF(I$2=0,"",IFERROR(TRIM(INDEX('Pegar docentes'!$A$1:$BZ$1001,748,I$2)&amp;""),""))</f>
        <v/>
      </c>
      <c r="J749">
        <f>IF(J$2=0,"",IFERROR(TRIM(INDEX('Pegar docentes'!$A$1:$BZ$1001,748,J$2)&amp;""),""))</f>
        <v/>
      </c>
      <c r="K749">
        <f>IF(K$2=0,"",IFERROR(TRIM(INDEX('Pegar docentes'!$A$1:$BZ$1001,748,K$2)&amp;""),""))</f>
        <v/>
      </c>
      <c r="L749">
        <f>IF(L$2=0,"",IFERROR(TRIM(INDEX('Pegar docentes'!$A$1:$BZ$1001,748,L$2)&amp;""),""))</f>
        <v/>
      </c>
      <c r="M749">
        <f>IF(M$2=0,"",IFERROR(TRIM(INDEX('Pegar docentes'!$A$1:$BZ$1001,748,M$2)&amp;""),""))</f>
        <v/>
      </c>
      <c r="N749">
        <f>IF(N$2=0,"",IFERROR(TRIM(INDEX('Pegar docentes'!$A$1:$BZ$1001,748,N$2)&amp;""),""))</f>
        <v/>
      </c>
      <c r="O749">
        <f>IF(O$2=0,"",IFERROR(TRIM(INDEX('Pegar docentes'!$A$1:$BZ$1001,748,O$2)&amp;""),""))</f>
        <v/>
      </c>
      <c r="P749">
        <f>IF(P$2=0,"",IFERROR(TRIM(INDEX('Pegar docentes'!$A$1:$BZ$1001,748,P$2)&amp;""),""))</f>
        <v/>
      </c>
      <c r="Q749" s="25">
        <f>IF(OR(D749&lt;&gt;"",H749&lt;&gt;""),1,"")</f>
        <v/>
      </c>
      <c r="R749" s="25">
        <f>IF(Q749=1,IF(ISNUMBER(FIND("#"&amp;MID(D749,1,1)&amp;"#","#0#1#2#3#4#5#6#7#8#9#")),IF(ISNUMBER(FIND("#"&amp;MID(D749,2,1)&amp;"#","#0#1#2#3#4#5#6#7#8#9#")),IF(AND(VALUE(LEFT(D749,2))&gt;=1,VALUE(LEFT(D749,2))&lt;=5),VALUE(LEFT(D749,2)),""),IF(AND(VALUE(LEFT(D749,1))&gt;=1,VALUE(LEFT(D749,1))&lt;=5),VALUE(LEFT(D749,1)),"")),""),"")</f>
        <v/>
      </c>
      <c r="S749" s="25">
        <f>IF(AND(Q749=1,E749&lt;&gt;""),SUBSTITUTE(SUBSTITUTE(SUBSTITUTE(SUBSTITUTE(SUBSTITUTE(SUBSTITUTE(SUBSTITUTE(SUBSTITUTE(SUBSTITUTE(SUBSTITUTE(SUBSTITUTE(SUBSTITUTE(LOWER(TRIM(E749)),"á","a"),"é","e"),"í","i"),"ó","o"),"ú","u"),"ü","u"),"ñ","n"),"à","a"),"è","e"),"ì","i"),"ò","o"),"ù","u"),"")</f>
        <v/>
      </c>
      <c r="T749" s="25">
        <f>IF(AND(Q749=1,G749&lt;&gt;""),SUBSTITUTE(SUBSTITUTE(SUBSTITUTE(SUBSTITUTE(SUBSTITUTE(SUBSTITUTE(SUBSTITUTE(SUBSTITUTE(SUBSTITUTE(SUBSTITUTE(SUBSTITUTE(SUBSTITUTE(LOWER(TRIM(G749)),"á","a"),"é","e"),"í","i"),"ó","o"),"ú","u"),"ü","u"),"ñ","n"),"à","a"),"è","e"),"ì","i"),"ò","o"),"ù","u"),"")</f>
        <v/>
      </c>
      <c r="U749" s="25">
        <f>IF(AND(Q749=1,H749&lt;&gt;""),SUBSTITUTE(SUBSTITUTE(SUBSTITUTE(SUBSTITUTE(SUBSTITUTE(SUBSTITUTE(SUBSTITUTE(SUBSTITUTE(SUBSTITUTE(SUBSTITUTE(SUBSTITUTE(SUBSTITUTE(LOWER(TRIM(H749)),"á","a"),"é","e"),"í","i"),"ó","o"),"ú","u"),"ü","u"),"ñ","n"),"à","a"),"è","e"),"ì","i"),"ò","o"),"ù","u"),"")</f>
        <v/>
      </c>
      <c r="V749" s="25">
        <f>IF(AND(Q749=1,L749&lt;&gt;""),SUBSTITUTE(SUBSTITUTE(SUBSTITUTE(SUBSTITUTE(SUBSTITUTE(SUBSTITUTE(SUBSTITUTE(SUBSTITUTE(SUBSTITUTE(SUBSTITUTE(SUBSTITUTE(SUBSTITUTE(LOWER(TRIM(L749)),"á","a"),"é","e"),"í","i"),"ó","o"),"ú","u"),"ü","u"),"ñ","n"),"à","a"),"è","e"),"ì","i"),"ò","o"),"ù","u"),"")</f>
        <v/>
      </c>
      <c r="W749" s="25">
        <f>IF(AND(Q749=1,I749&lt;&gt;""),SUBSTITUTE(SUBSTITUTE(SUBSTITUTE(SUBSTITUTE(SUBSTITUTE(SUBSTITUTE(SUBSTITUTE(SUBSTITUTE(SUBSTITUTE(SUBSTITUTE(SUBSTITUTE(SUBSTITUTE(LOWER(TRIM(I749)),"á","a"),"é","e"),"í","i"),"ó","o"),"ú","u"),"ü","u"),"ñ","n"),"à","a"),"è","e"),"ì","i"),"ò","o"),"ù","u"),"")</f>
        <v/>
      </c>
      <c r="X749" s="25">
        <f>IF(U749="","",IF(OR(U749="si, en la proxima tarea",U749="si, con cambios"),1,0))</f>
        <v/>
      </c>
      <c r="Y749" s="25">
        <f>IF(AND(Q749=1,A749&lt;&gt;""),IF(IFERROR(COUNTIFS(A$3:A749,"="&amp;SUBSTITUTE(SUBSTITUTE(SUBSTITUTE(A749,"~","~~"),"*","~*"),"?","~?"),Q$3:Q749,1),0)=1,MAX(Y$2:Y748)+1,""),"")</f>
        <v/>
      </c>
      <c r="Z749" s="25">
        <f>IF(Y749="","",COUNTIFS($A$3:$A$1002,"="&amp;SUBSTITUTE(SUBSTITUTE(SUBSTITUTE(A749,"~","~~"),"*","~*"),"?","~?"),$Q$3:$Q$1002,1)*10000-Y749)</f>
        <v/>
      </c>
    </row>
    <row r="750">
      <c r="A750">
        <f>IF(A$2=0,"",IFERROR(TRIM(INDEX('Pegar docentes'!$A$1:$BZ$1001,749,A$2)&amp;""),""))</f>
        <v/>
      </c>
      <c r="B750">
        <f>IF(B$2=0,"",IFERROR(TRIM(INDEX('Pegar docentes'!$A$1:$BZ$1001,749,B$2)&amp;""),""))</f>
        <v/>
      </c>
      <c r="C750">
        <f>IF(C$2=0,"",IFERROR(TRIM(INDEX('Pegar docentes'!$A$1:$BZ$1001,749,C$2)&amp;""),""))</f>
        <v/>
      </c>
      <c r="D750">
        <f>IF(D$2=0,"",IFERROR(TRIM(INDEX('Pegar docentes'!$A$1:$BZ$1001,749,D$2)&amp;""),""))</f>
        <v/>
      </c>
      <c r="E750">
        <f>IF(E$2=0,"",IFERROR(TRIM(INDEX('Pegar docentes'!$A$1:$BZ$1001,749,E$2)&amp;""),""))</f>
        <v/>
      </c>
      <c r="F750">
        <f>IF(F$2=0,"",IFERROR(TRIM(INDEX('Pegar docentes'!$A$1:$BZ$1001,749,F$2)&amp;""),""))</f>
        <v/>
      </c>
      <c r="G750">
        <f>IF(G$2=0,"",IFERROR(TRIM(INDEX('Pegar docentes'!$A$1:$BZ$1001,749,G$2)&amp;""),""))</f>
        <v/>
      </c>
      <c r="H750">
        <f>IF(H$2=0,"",IFERROR(TRIM(INDEX('Pegar docentes'!$A$1:$BZ$1001,749,H$2)&amp;""),""))</f>
        <v/>
      </c>
      <c r="I750">
        <f>IF(I$2=0,"",IFERROR(TRIM(INDEX('Pegar docentes'!$A$1:$BZ$1001,749,I$2)&amp;""),""))</f>
        <v/>
      </c>
      <c r="J750">
        <f>IF(J$2=0,"",IFERROR(TRIM(INDEX('Pegar docentes'!$A$1:$BZ$1001,749,J$2)&amp;""),""))</f>
        <v/>
      </c>
      <c r="K750">
        <f>IF(K$2=0,"",IFERROR(TRIM(INDEX('Pegar docentes'!$A$1:$BZ$1001,749,K$2)&amp;""),""))</f>
        <v/>
      </c>
      <c r="L750">
        <f>IF(L$2=0,"",IFERROR(TRIM(INDEX('Pegar docentes'!$A$1:$BZ$1001,749,L$2)&amp;""),""))</f>
        <v/>
      </c>
      <c r="M750">
        <f>IF(M$2=0,"",IFERROR(TRIM(INDEX('Pegar docentes'!$A$1:$BZ$1001,749,M$2)&amp;""),""))</f>
        <v/>
      </c>
      <c r="N750">
        <f>IF(N$2=0,"",IFERROR(TRIM(INDEX('Pegar docentes'!$A$1:$BZ$1001,749,N$2)&amp;""),""))</f>
        <v/>
      </c>
      <c r="O750">
        <f>IF(O$2=0,"",IFERROR(TRIM(INDEX('Pegar docentes'!$A$1:$BZ$1001,749,O$2)&amp;""),""))</f>
        <v/>
      </c>
      <c r="P750">
        <f>IF(P$2=0,"",IFERROR(TRIM(INDEX('Pegar docentes'!$A$1:$BZ$1001,749,P$2)&amp;""),""))</f>
        <v/>
      </c>
      <c r="Q750" s="25">
        <f>IF(OR(D750&lt;&gt;"",H750&lt;&gt;""),1,"")</f>
        <v/>
      </c>
      <c r="R750" s="25">
        <f>IF(Q750=1,IF(ISNUMBER(FIND("#"&amp;MID(D750,1,1)&amp;"#","#0#1#2#3#4#5#6#7#8#9#")),IF(ISNUMBER(FIND("#"&amp;MID(D750,2,1)&amp;"#","#0#1#2#3#4#5#6#7#8#9#")),IF(AND(VALUE(LEFT(D750,2))&gt;=1,VALUE(LEFT(D750,2))&lt;=5),VALUE(LEFT(D750,2)),""),IF(AND(VALUE(LEFT(D750,1))&gt;=1,VALUE(LEFT(D750,1))&lt;=5),VALUE(LEFT(D750,1)),"")),""),"")</f>
        <v/>
      </c>
      <c r="S750" s="25">
        <f>IF(AND(Q750=1,E750&lt;&gt;""),SUBSTITUTE(SUBSTITUTE(SUBSTITUTE(SUBSTITUTE(SUBSTITUTE(SUBSTITUTE(SUBSTITUTE(SUBSTITUTE(SUBSTITUTE(SUBSTITUTE(SUBSTITUTE(SUBSTITUTE(LOWER(TRIM(E750)),"á","a"),"é","e"),"í","i"),"ó","o"),"ú","u"),"ü","u"),"ñ","n"),"à","a"),"è","e"),"ì","i"),"ò","o"),"ù","u"),"")</f>
        <v/>
      </c>
      <c r="T750" s="25">
        <f>IF(AND(Q750=1,G750&lt;&gt;""),SUBSTITUTE(SUBSTITUTE(SUBSTITUTE(SUBSTITUTE(SUBSTITUTE(SUBSTITUTE(SUBSTITUTE(SUBSTITUTE(SUBSTITUTE(SUBSTITUTE(SUBSTITUTE(SUBSTITUTE(LOWER(TRIM(G750)),"á","a"),"é","e"),"í","i"),"ó","o"),"ú","u"),"ü","u"),"ñ","n"),"à","a"),"è","e"),"ì","i"),"ò","o"),"ù","u"),"")</f>
        <v/>
      </c>
      <c r="U750" s="25">
        <f>IF(AND(Q750=1,H750&lt;&gt;""),SUBSTITUTE(SUBSTITUTE(SUBSTITUTE(SUBSTITUTE(SUBSTITUTE(SUBSTITUTE(SUBSTITUTE(SUBSTITUTE(SUBSTITUTE(SUBSTITUTE(SUBSTITUTE(SUBSTITUTE(LOWER(TRIM(H750)),"á","a"),"é","e"),"í","i"),"ó","o"),"ú","u"),"ü","u"),"ñ","n"),"à","a"),"è","e"),"ì","i"),"ò","o"),"ù","u"),"")</f>
        <v/>
      </c>
      <c r="V750" s="25">
        <f>IF(AND(Q750=1,L750&lt;&gt;""),SUBSTITUTE(SUBSTITUTE(SUBSTITUTE(SUBSTITUTE(SUBSTITUTE(SUBSTITUTE(SUBSTITUTE(SUBSTITUTE(SUBSTITUTE(SUBSTITUTE(SUBSTITUTE(SUBSTITUTE(LOWER(TRIM(L750)),"á","a"),"é","e"),"í","i"),"ó","o"),"ú","u"),"ü","u"),"ñ","n"),"à","a"),"è","e"),"ì","i"),"ò","o"),"ù","u"),"")</f>
        <v/>
      </c>
      <c r="W750" s="25">
        <f>IF(AND(Q750=1,I750&lt;&gt;""),SUBSTITUTE(SUBSTITUTE(SUBSTITUTE(SUBSTITUTE(SUBSTITUTE(SUBSTITUTE(SUBSTITUTE(SUBSTITUTE(SUBSTITUTE(SUBSTITUTE(SUBSTITUTE(SUBSTITUTE(LOWER(TRIM(I750)),"á","a"),"é","e"),"í","i"),"ó","o"),"ú","u"),"ü","u"),"ñ","n"),"à","a"),"è","e"),"ì","i"),"ò","o"),"ù","u"),"")</f>
        <v/>
      </c>
      <c r="X750" s="25">
        <f>IF(U750="","",IF(OR(U750="si, en la proxima tarea",U750="si, con cambios"),1,0))</f>
        <v/>
      </c>
      <c r="Y750" s="25">
        <f>IF(AND(Q750=1,A750&lt;&gt;""),IF(IFERROR(COUNTIFS(A$3:A750,"="&amp;SUBSTITUTE(SUBSTITUTE(SUBSTITUTE(A750,"~","~~"),"*","~*"),"?","~?"),Q$3:Q750,1),0)=1,MAX(Y$2:Y749)+1,""),"")</f>
        <v/>
      </c>
      <c r="Z750" s="25">
        <f>IF(Y750="","",COUNTIFS($A$3:$A$1002,"="&amp;SUBSTITUTE(SUBSTITUTE(SUBSTITUTE(A750,"~","~~"),"*","~*"),"?","~?"),$Q$3:$Q$1002,1)*10000-Y750)</f>
        <v/>
      </c>
    </row>
    <row r="751">
      <c r="A751">
        <f>IF(A$2=0,"",IFERROR(TRIM(INDEX('Pegar docentes'!$A$1:$BZ$1001,750,A$2)&amp;""),""))</f>
        <v/>
      </c>
      <c r="B751">
        <f>IF(B$2=0,"",IFERROR(TRIM(INDEX('Pegar docentes'!$A$1:$BZ$1001,750,B$2)&amp;""),""))</f>
        <v/>
      </c>
      <c r="C751">
        <f>IF(C$2=0,"",IFERROR(TRIM(INDEX('Pegar docentes'!$A$1:$BZ$1001,750,C$2)&amp;""),""))</f>
        <v/>
      </c>
      <c r="D751">
        <f>IF(D$2=0,"",IFERROR(TRIM(INDEX('Pegar docentes'!$A$1:$BZ$1001,750,D$2)&amp;""),""))</f>
        <v/>
      </c>
      <c r="E751">
        <f>IF(E$2=0,"",IFERROR(TRIM(INDEX('Pegar docentes'!$A$1:$BZ$1001,750,E$2)&amp;""),""))</f>
        <v/>
      </c>
      <c r="F751">
        <f>IF(F$2=0,"",IFERROR(TRIM(INDEX('Pegar docentes'!$A$1:$BZ$1001,750,F$2)&amp;""),""))</f>
        <v/>
      </c>
      <c r="G751">
        <f>IF(G$2=0,"",IFERROR(TRIM(INDEX('Pegar docentes'!$A$1:$BZ$1001,750,G$2)&amp;""),""))</f>
        <v/>
      </c>
      <c r="H751">
        <f>IF(H$2=0,"",IFERROR(TRIM(INDEX('Pegar docentes'!$A$1:$BZ$1001,750,H$2)&amp;""),""))</f>
        <v/>
      </c>
      <c r="I751">
        <f>IF(I$2=0,"",IFERROR(TRIM(INDEX('Pegar docentes'!$A$1:$BZ$1001,750,I$2)&amp;""),""))</f>
        <v/>
      </c>
      <c r="J751">
        <f>IF(J$2=0,"",IFERROR(TRIM(INDEX('Pegar docentes'!$A$1:$BZ$1001,750,J$2)&amp;""),""))</f>
        <v/>
      </c>
      <c r="K751">
        <f>IF(K$2=0,"",IFERROR(TRIM(INDEX('Pegar docentes'!$A$1:$BZ$1001,750,K$2)&amp;""),""))</f>
        <v/>
      </c>
      <c r="L751">
        <f>IF(L$2=0,"",IFERROR(TRIM(INDEX('Pegar docentes'!$A$1:$BZ$1001,750,L$2)&amp;""),""))</f>
        <v/>
      </c>
      <c r="M751">
        <f>IF(M$2=0,"",IFERROR(TRIM(INDEX('Pegar docentes'!$A$1:$BZ$1001,750,M$2)&amp;""),""))</f>
        <v/>
      </c>
      <c r="N751">
        <f>IF(N$2=0,"",IFERROR(TRIM(INDEX('Pegar docentes'!$A$1:$BZ$1001,750,N$2)&amp;""),""))</f>
        <v/>
      </c>
      <c r="O751">
        <f>IF(O$2=0,"",IFERROR(TRIM(INDEX('Pegar docentes'!$A$1:$BZ$1001,750,O$2)&amp;""),""))</f>
        <v/>
      </c>
      <c r="P751">
        <f>IF(P$2=0,"",IFERROR(TRIM(INDEX('Pegar docentes'!$A$1:$BZ$1001,750,P$2)&amp;""),""))</f>
        <v/>
      </c>
      <c r="Q751" s="25">
        <f>IF(OR(D751&lt;&gt;"",H751&lt;&gt;""),1,"")</f>
        <v/>
      </c>
      <c r="R751" s="25">
        <f>IF(Q751=1,IF(ISNUMBER(FIND("#"&amp;MID(D751,1,1)&amp;"#","#0#1#2#3#4#5#6#7#8#9#")),IF(ISNUMBER(FIND("#"&amp;MID(D751,2,1)&amp;"#","#0#1#2#3#4#5#6#7#8#9#")),IF(AND(VALUE(LEFT(D751,2))&gt;=1,VALUE(LEFT(D751,2))&lt;=5),VALUE(LEFT(D751,2)),""),IF(AND(VALUE(LEFT(D751,1))&gt;=1,VALUE(LEFT(D751,1))&lt;=5),VALUE(LEFT(D751,1)),"")),""),"")</f>
        <v/>
      </c>
      <c r="S751" s="25">
        <f>IF(AND(Q751=1,E751&lt;&gt;""),SUBSTITUTE(SUBSTITUTE(SUBSTITUTE(SUBSTITUTE(SUBSTITUTE(SUBSTITUTE(SUBSTITUTE(SUBSTITUTE(SUBSTITUTE(SUBSTITUTE(SUBSTITUTE(SUBSTITUTE(LOWER(TRIM(E751)),"á","a"),"é","e"),"í","i"),"ó","o"),"ú","u"),"ü","u"),"ñ","n"),"à","a"),"è","e"),"ì","i"),"ò","o"),"ù","u"),"")</f>
        <v/>
      </c>
      <c r="T751" s="25">
        <f>IF(AND(Q751=1,G751&lt;&gt;""),SUBSTITUTE(SUBSTITUTE(SUBSTITUTE(SUBSTITUTE(SUBSTITUTE(SUBSTITUTE(SUBSTITUTE(SUBSTITUTE(SUBSTITUTE(SUBSTITUTE(SUBSTITUTE(SUBSTITUTE(LOWER(TRIM(G751)),"á","a"),"é","e"),"í","i"),"ó","o"),"ú","u"),"ü","u"),"ñ","n"),"à","a"),"è","e"),"ì","i"),"ò","o"),"ù","u"),"")</f>
        <v/>
      </c>
      <c r="U751" s="25">
        <f>IF(AND(Q751=1,H751&lt;&gt;""),SUBSTITUTE(SUBSTITUTE(SUBSTITUTE(SUBSTITUTE(SUBSTITUTE(SUBSTITUTE(SUBSTITUTE(SUBSTITUTE(SUBSTITUTE(SUBSTITUTE(SUBSTITUTE(SUBSTITUTE(LOWER(TRIM(H751)),"á","a"),"é","e"),"í","i"),"ó","o"),"ú","u"),"ü","u"),"ñ","n"),"à","a"),"è","e"),"ì","i"),"ò","o"),"ù","u"),"")</f>
        <v/>
      </c>
      <c r="V751" s="25">
        <f>IF(AND(Q751=1,L751&lt;&gt;""),SUBSTITUTE(SUBSTITUTE(SUBSTITUTE(SUBSTITUTE(SUBSTITUTE(SUBSTITUTE(SUBSTITUTE(SUBSTITUTE(SUBSTITUTE(SUBSTITUTE(SUBSTITUTE(SUBSTITUTE(LOWER(TRIM(L751)),"á","a"),"é","e"),"í","i"),"ó","o"),"ú","u"),"ü","u"),"ñ","n"),"à","a"),"è","e"),"ì","i"),"ò","o"),"ù","u"),"")</f>
        <v/>
      </c>
      <c r="W751" s="25">
        <f>IF(AND(Q751=1,I751&lt;&gt;""),SUBSTITUTE(SUBSTITUTE(SUBSTITUTE(SUBSTITUTE(SUBSTITUTE(SUBSTITUTE(SUBSTITUTE(SUBSTITUTE(SUBSTITUTE(SUBSTITUTE(SUBSTITUTE(SUBSTITUTE(LOWER(TRIM(I751)),"á","a"),"é","e"),"í","i"),"ó","o"),"ú","u"),"ü","u"),"ñ","n"),"à","a"),"è","e"),"ì","i"),"ò","o"),"ù","u"),"")</f>
        <v/>
      </c>
      <c r="X751" s="25">
        <f>IF(U751="","",IF(OR(U751="si, en la proxima tarea",U751="si, con cambios"),1,0))</f>
        <v/>
      </c>
      <c r="Y751" s="25">
        <f>IF(AND(Q751=1,A751&lt;&gt;""),IF(IFERROR(COUNTIFS(A$3:A751,"="&amp;SUBSTITUTE(SUBSTITUTE(SUBSTITUTE(A751,"~","~~"),"*","~*"),"?","~?"),Q$3:Q751,1),0)=1,MAX(Y$2:Y750)+1,""),"")</f>
        <v/>
      </c>
      <c r="Z751" s="25">
        <f>IF(Y751="","",COUNTIFS($A$3:$A$1002,"="&amp;SUBSTITUTE(SUBSTITUTE(SUBSTITUTE(A751,"~","~~"),"*","~*"),"?","~?"),$Q$3:$Q$1002,1)*10000-Y751)</f>
        <v/>
      </c>
    </row>
    <row r="752">
      <c r="A752">
        <f>IF(A$2=0,"",IFERROR(TRIM(INDEX('Pegar docentes'!$A$1:$BZ$1001,751,A$2)&amp;""),""))</f>
        <v/>
      </c>
      <c r="B752">
        <f>IF(B$2=0,"",IFERROR(TRIM(INDEX('Pegar docentes'!$A$1:$BZ$1001,751,B$2)&amp;""),""))</f>
        <v/>
      </c>
      <c r="C752">
        <f>IF(C$2=0,"",IFERROR(TRIM(INDEX('Pegar docentes'!$A$1:$BZ$1001,751,C$2)&amp;""),""))</f>
        <v/>
      </c>
      <c r="D752">
        <f>IF(D$2=0,"",IFERROR(TRIM(INDEX('Pegar docentes'!$A$1:$BZ$1001,751,D$2)&amp;""),""))</f>
        <v/>
      </c>
      <c r="E752">
        <f>IF(E$2=0,"",IFERROR(TRIM(INDEX('Pegar docentes'!$A$1:$BZ$1001,751,E$2)&amp;""),""))</f>
        <v/>
      </c>
      <c r="F752">
        <f>IF(F$2=0,"",IFERROR(TRIM(INDEX('Pegar docentes'!$A$1:$BZ$1001,751,F$2)&amp;""),""))</f>
        <v/>
      </c>
      <c r="G752">
        <f>IF(G$2=0,"",IFERROR(TRIM(INDEX('Pegar docentes'!$A$1:$BZ$1001,751,G$2)&amp;""),""))</f>
        <v/>
      </c>
      <c r="H752">
        <f>IF(H$2=0,"",IFERROR(TRIM(INDEX('Pegar docentes'!$A$1:$BZ$1001,751,H$2)&amp;""),""))</f>
        <v/>
      </c>
      <c r="I752">
        <f>IF(I$2=0,"",IFERROR(TRIM(INDEX('Pegar docentes'!$A$1:$BZ$1001,751,I$2)&amp;""),""))</f>
        <v/>
      </c>
      <c r="J752">
        <f>IF(J$2=0,"",IFERROR(TRIM(INDEX('Pegar docentes'!$A$1:$BZ$1001,751,J$2)&amp;""),""))</f>
        <v/>
      </c>
      <c r="K752">
        <f>IF(K$2=0,"",IFERROR(TRIM(INDEX('Pegar docentes'!$A$1:$BZ$1001,751,K$2)&amp;""),""))</f>
        <v/>
      </c>
      <c r="L752">
        <f>IF(L$2=0,"",IFERROR(TRIM(INDEX('Pegar docentes'!$A$1:$BZ$1001,751,L$2)&amp;""),""))</f>
        <v/>
      </c>
      <c r="M752">
        <f>IF(M$2=0,"",IFERROR(TRIM(INDEX('Pegar docentes'!$A$1:$BZ$1001,751,M$2)&amp;""),""))</f>
        <v/>
      </c>
      <c r="N752">
        <f>IF(N$2=0,"",IFERROR(TRIM(INDEX('Pegar docentes'!$A$1:$BZ$1001,751,N$2)&amp;""),""))</f>
        <v/>
      </c>
      <c r="O752">
        <f>IF(O$2=0,"",IFERROR(TRIM(INDEX('Pegar docentes'!$A$1:$BZ$1001,751,O$2)&amp;""),""))</f>
        <v/>
      </c>
      <c r="P752">
        <f>IF(P$2=0,"",IFERROR(TRIM(INDEX('Pegar docentes'!$A$1:$BZ$1001,751,P$2)&amp;""),""))</f>
        <v/>
      </c>
      <c r="Q752" s="25">
        <f>IF(OR(D752&lt;&gt;"",H752&lt;&gt;""),1,"")</f>
        <v/>
      </c>
      <c r="R752" s="25">
        <f>IF(Q752=1,IF(ISNUMBER(FIND("#"&amp;MID(D752,1,1)&amp;"#","#0#1#2#3#4#5#6#7#8#9#")),IF(ISNUMBER(FIND("#"&amp;MID(D752,2,1)&amp;"#","#0#1#2#3#4#5#6#7#8#9#")),IF(AND(VALUE(LEFT(D752,2))&gt;=1,VALUE(LEFT(D752,2))&lt;=5),VALUE(LEFT(D752,2)),""),IF(AND(VALUE(LEFT(D752,1))&gt;=1,VALUE(LEFT(D752,1))&lt;=5),VALUE(LEFT(D752,1)),"")),""),"")</f>
        <v/>
      </c>
      <c r="S752" s="25">
        <f>IF(AND(Q752=1,E752&lt;&gt;""),SUBSTITUTE(SUBSTITUTE(SUBSTITUTE(SUBSTITUTE(SUBSTITUTE(SUBSTITUTE(SUBSTITUTE(SUBSTITUTE(SUBSTITUTE(SUBSTITUTE(SUBSTITUTE(SUBSTITUTE(LOWER(TRIM(E752)),"á","a"),"é","e"),"í","i"),"ó","o"),"ú","u"),"ü","u"),"ñ","n"),"à","a"),"è","e"),"ì","i"),"ò","o"),"ù","u"),"")</f>
        <v/>
      </c>
      <c r="T752" s="25">
        <f>IF(AND(Q752=1,G752&lt;&gt;""),SUBSTITUTE(SUBSTITUTE(SUBSTITUTE(SUBSTITUTE(SUBSTITUTE(SUBSTITUTE(SUBSTITUTE(SUBSTITUTE(SUBSTITUTE(SUBSTITUTE(SUBSTITUTE(SUBSTITUTE(LOWER(TRIM(G752)),"á","a"),"é","e"),"í","i"),"ó","o"),"ú","u"),"ü","u"),"ñ","n"),"à","a"),"è","e"),"ì","i"),"ò","o"),"ù","u"),"")</f>
        <v/>
      </c>
      <c r="U752" s="25">
        <f>IF(AND(Q752=1,H752&lt;&gt;""),SUBSTITUTE(SUBSTITUTE(SUBSTITUTE(SUBSTITUTE(SUBSTITUTE(SUBSTITUTE(SUBSTITUTE(SUBSTITUTE(SUBSTITUTE(SUBSTITUTE(SUBSTITUTE(SUBSTITUTE(LOWER(TRIM(H752)),"á","a"),"é","e"),"í","i"),"ó","o"),"ú","u"),"ü","u"),"ñ","n"),"à","a"),"è","e"),"ì","i"),"ò","o"),"ù","u"),"")</f>
        <v/>
      </c>
      <c r="V752" s="25">
        <f>IF(AND(Q752=1,L752&lt;&gt;""),SUBSTITUTE(SUBSTITUTE(SUBSTITUTE(SUBSTITUTE(SUBSTITUTE(SUBSTITUTE(SUBSTITUTE(SUBSTITUTE(SUBSTITUTE(SUBSTITUTE(SUBSTITUTE(SUBSTITUTE(LOWER(TRIM(L752)),"á","a"),"é","e"),"í","i"),"ó","o"),"ú","u"),"ü","u"),"ñ","n"),"à","a"),"è","e"),"ì","i"),"ò","o"),"ù","u"),"")</f>
        <v/>
      </c>
      <c r="W752" s="25">
        <f>IF(AND(Q752=1,I752&lt;&gt;""),SUBSTITUTE(SUBSTITUTE(SUBSTITUTE(SUBSTITUTE(SUBSTITUTE(SUBSTITUTE(SUBSTITUTE(SUBSTITUTE(SUBSTITUTE(SUBSTITUTE(SUBSTITUTE(SUBSTITUTE(LOWER(TRIM(I752)),"á","a"),"é","e"),"í","i"),"ó","o"),"ú","u"),"ü","u"),"ñ","n"),"à","a"),"è","e"),"ì","i"),"ò","o"),"ù","u"),"")</f>
        <v/>
      </c>
      <c r="X752" s="25">
        <f>IF(U752="","",IF(OR(U752="si, en la proxima tarea",U752="si, con cambios"),1,0))</f>
        <v/>
      </c>
      <c r="Y752" s="25">
        <f>IF(AND(Q752=1,A752&lt;&gt;""),IF(IFERROR(COUNTIFS(A$3:A752,"="&amp;SUBSTITUTE(SUBSTITUTE(SUBSTITUTE(A752,"~","~~"),"*","~*"),"?","~?"),Q$3:Q752,1),0)=1,MAX(Y$2:Y751)+1,""),"")</f>
        <v/>
      </c>
      <c r="Z752" s="25">
        <f>IF(Y752="","",COUNTIFS($A$3:$A$1002,"="&amp;SUBSTITUTE(SUBSTITUTE(SUBSTITUTE(A752,"~","~~"),"*","~*"),"?","~?"),$Q$3:$Q$1002,1)*10000-Y752)</f>
        <v/>
      </c>
    </row>
    <row r="753">
      <c r="A753">
        <f>IF(A$2=0,"",IFERROR(TRIM(INDEX('Pegar docentes'!$A$1:$BZ$1001,752,A$2)&amp;""),""))</f>
        <v/>
      </c>
      <c r="B753">
        <f>IF(B$2=0,"",IFERROR(TRIM(INDEX('Pegar docentes'!$A$1:$BZ$1001,752,B$2)&amp;""),""))</f>
        <v/>
      </c>
      <c r="C753">
        <f>IF(C$2=0,"",IFERROR(TRIM(INDEX('Pegar docentes'!$A$1:$BZ$1001,752,C$2)&amp;""),""))</f>
        <v/>
      </c>
      <c r="D753">
        <f>IF(D$2=0,"",IFERROR(TRIM(INDEX('Pegar docentes'!$A$1:$BZ$1001,752,D$2)&amp;""),""))</f>
        <v/>
      </c>
      <c r="E753">
        <f>IF(E$2=0,"",IFERROR(TRIM(INDEX('Pegar docentes'!$A$1:$BZ$1001,752,E$2)&amp;""),""))</f>
        <v/>
      </c>
      <c r="F753">
        <f>IF(F$2=0,"",IFERROR(TRIM(INDEX('Pegar docentes'!$A$1:$BZ$1001,752,F$2)&amp;""),""))</f>
        <v/>
      </c>
      <c r="G753">
        <f>IF(G$2=0,"",IFERROR(TRIM(INDEX('Pegar docentes'!$A$1:$BZ$1001,752,G$2)&amp;""),""))</f>
        <v/>
      </c>
      <c r="H753">
        <f>IF(H$2=0,"",IFERROR(TRIM(INDEX('Pegar docentes'!$A$1:$BZ$1001,752,H$2)&amp;""),""))</f>
        <v/>
      </c>
      <c r="I753">
        <f>IF(I$2=0,"",IFERROR(TRIM(INDEX('Pegar docentes'!$A$1:$BZ$1001,752,I$2)&amp;""),""))</f>
        <v/>
      </c>
      <c r="J753">
        <f>IF(J$2=0,"",IFERROR(TRIM(INDEX('Pegar docentes'!$A$1:$BZ$1001,752,J$2)&amp;""),""))</f>
        <v/>
      </c>
      <c r="K753">
        <f>IF(K$2=0,"",IFERROR(TRIM(INDEX('Pegar docentes'!$A$1:$BZ$1001,752,K$2)&amp;""),""))</f>
        <v/>
      </c>
      <c r="L753">
        <f>IF(L$2=0,"",IFERROR(TRIM(INDEX('Pegar docentes'!$A$1:$BZ$1001,752,L$2)&amp;""),""))</f>
        <v/>
      </c>
      <c r="M753">
        <f>IF(M$2=0,"",IFERROR(TRIM(INDEX('Pegar docentes'!$A$1:$BZ$1001,752,M$2)&amp;""),""))</f>
        <v/>
      </c>
      <c r="N753">
        <f>IF(N$2=0,"",IFERROR(TRIM(INDEX('Pegar docentes'!$A$1:$BZ$1001,752,N$2)&amp;""),""))</f>
        <v/>
      </c>
      <c r="O753">
        <f>IF(O$2=0,"",IFERROR(TRIM(INDEX('Pegar docentes'!$A$1:$BZ$1001,752,O$2)&amp;""),""))</f>
        <v/>
      </c>
      <c r="P753">
        <f>IF(P$2=0,"",IFERROR(TRIM(INDEX('Pegar docentes'!$A$1:$BZ$1001,752,P$2)&amp;""),""))</f>
        <v/>
      </c>
      <c r="Q753" s="25">
        <f>IF(OR(D753&lt;&gt;"",H753&lt;&gt;""),1,"")</f>
        <v/>
      </c>
      <c r="R753" s="25">
        <f>IF(Q753=1,IF(ISNUMBER(FIND("#"&amp;MID(D753,1,1)&amp;"#","#0#1#2#3#4#5#6#7#8#9#")),IF(ISNUMBER(FIND("#"&amp;MID(D753,2,1)&amp;"#","#0#1#2#3#4#5#6#7#8#9#")),IF(AND(VALUE(LEFT(D753,2))&gt;=1,VALUE(LEFT(D753,2))&lt;=5),VALUE(LEFT(D753,2)),""),IF(AND(VALUE(LEFT(D753,1))&gt;=1,VALUE(LEFT(D753,1))&lt;=5),VALUE(LEFT(D753,1)),"")),""),"")</f>
        <v/>
      </c>
      <c r="S753" s="25">
        <f>IF(AND(Q753=1,E753&lt;&gt;""),SUBSTITUTE(SUBSTITUTE(SUBSTITUTE(SUBSTITUTE(SUBSTITUTE(SUBSTITUTE(SUBSTITUTE(SUBSTITUTE(SUBSTITUTE(SUBSTITUTE(SUBSTITUTE(SUBSTITUTE(LOWER(TRIM(E753)),"á","a"),"é","e"),"í","i"),"ó","o"),"ú","u"),"ü","u"),"ñ","n"),"à","a"),"è","e"),"ì","i"),"ò","o"),"ù","u"),"")</f>
        <v/>
      </c>
      <c r="T753" s="25">
        <f>IF(AND(Q753=1,G753&lt;&gt;""),SUBSTITUTE(SUBSTITUTE(SUBSTITUTE(SUBSTITUTE(SUBSTITUTE(SUBSTITUTE(SUBSTITUTE(SUBSTITUTE(SUBSTITUTE(SUBSTITUTE(SUBSTITUTE(SUBSTITUTE(LOWER(TRIM(G753)),"á","a"),"é","e"),"í","i"),"ó","o"),"ú","u"),"ü","u"),"ñ","n"),"à","a"),"è","e"),"ì","i"),"ò","o"),"ù","u"),"")</f>
        <v/>
      </c>
      <c r="U753" s="25">
        <f>IF(AND(Q753=1,H753&lt;&gt;""),SUBSTITUTE(SUBSTITUTE(SUBSTITUTE(SUBSTITUTE(SUBSTITUTE(SUBSTITUTE(SUBSTITUTE(SUBSTITUTE(SUBSTITUTE(SUBSTITUTE(SUBSTITUTE(SUBSTITUTE(LOWER(TRIM(H753)),"á","a"),"é","e"),"í","i"),"ó","o"),"ú","u"),"ü","u"),"ñ","n"),"à","a"),"è","e"),"ì","i"),"ò","o"),"ù","u"),"")</f>
        <v/>
      </c>
      <c r="V753" s="25">
        <f>IF(AND(Q753=1,L753&lt;&gt;""),SUBSTITUTE(SUBSTITUTE(SUBSTITUTE(SUBSTITUTE(SUBSTITUTE(SUBSTITUTE(SUBSTITUTE(SUBSTITUTE(SUBSTITUTE(SUBSTITUTE(SUBSTITUTE(SUBSTITUTE(LOWER(TRIM(L753)),"á","a"),"é","e"),"í","i"),"ó","o"),"ú","u"),"ü","u"),"ñ","n"),"à","a"),"è","e"),"ì","i"),"ò","o"),"ù","u"),"")</f>
        <v/>
      </c>
      <c r="W753" s="25">
        <f>IF(AND(Q753=1,I753&lt;&gt;""),SUBSTITUTE(SUBSTITUTE(SUBSTITUTE(SUBSTITUTE(SUBSTITUTE(SUBSTITUTE(SUBSTITUTE(SUBSTITUTE(SUBSTITUTE(SUBSTITUTE(SUBSTITUTE(SUBSTITUTE(LOWER(TRIM(I753)),"á","a"),"é","e"),"í","i"),"ó","o"),"ú","u"),"ü","u"),"ñ","n"),"à","a"),"è","e"),"ì","i"),"ò","o"),"ù","u"),"")</f>
        <v/>
      </c>
      <c r="X753" s="25">
        <f>IF(U753="","",IF(OR(U753="si, en la proxima tarea",U753="si, con cambios"),1,0))</f>
        <v/>
      </c>
      <c r="Y753" s="25">
        <f>IF(AND(Q753=1,A753&lt;&gt;""),IF(IFERROR(COUNTIFS(A$3:A753,"="&amp;SUBSTITUTE(SUBSTITUTE(SUBSTITUTE(A753,"~","~~"),"*","~*"),"?","~?"),Q$3:Q753,1),0)=1,MAX(Y$2:Y752)+1,""),"")</f>
        <v/>
      </c>
      <c r="Z753" s="25">
        <f>IF(Y753="","",COUNTIFS($A$3:$A$1002,"="&amp;SUBSTITUTE(SUBSTITUTE(SUBSTITUTE(A753,"~","~~"),"*","~*"),"?","~?"),$Q$3:$Q$1002,1)*10000-Y753)</f>
        <v/>
      </c>
    </row>
    <row r="754">
      <c r="A754">
        <f>IF(A$2=0,"",IFERROR(TRIM(INDEX('Pegar docentes'!$A$1:$BZ$1001,753,A$2)&amp;""),""))</f>
        <v/>
      </c>
      <c r="B754">
        <f>IF(B$2=0,"",IFERROR(TRIM(INDEX('Pegar docentes'!$A$1:$BZ$1001,753,B$2)&amp;""),""))</f>
        <v/>
      </c>
      <c r="C754">
        <f>IF(C$2=0,"",IFERROR(TRIM(INDEX('Pegar docentes'!$A$1:$BZ$1001,753,C$2)&amp;""),""))</f>
        <v/>
      </c>
      <c r="D754">
        <f>IF(D$2=0,"",IFERROR(TRIM(INDEX('Pegar docentes'!$A$1:$BZ$1001,753,D$2)&amp;""),""))</f>
        <v/>
      </c>
      <c r="E754">
        <f>IF(E$2=0,"",IFERROR(TRIM(INDEX('Pegar docentes'!$A$1:$BZ$1001,753,E$2)&amp;""),""))</f>
        <v/>
      </c>
      <c r="F754">
        <f>IF(F$2=0,"",IFERROR(TRIM(INDEX('Pegar docentes'!$A$1:$BZ$1001,753,F$2)&amp;""),""))</f>
        <v/>
      </c>
      <c r="G754">
        <f>IF(G$2=0,"",IFERROR(TRIM(INDEX('Pegar docentes'!$A$1:$BZ$1001,753,G$2)&amp;""),""))</f>
        <v/>
      </c>
      <c r="H754">
        <f>IF(H$2=0,"",IFERROR(TRIM(INDEX('Pegar docentes'!$A$1:$BZ$1001,753,H$2)&amp;""),""))</f>
        <v/>
      </c>
      <c r="I754">
        <f>IF(I$2=0,"",IFERROR(TRIM(INDEX('Pegar docentes'!$A$1:$BZ$1001,753,I$2)&amp;""),""))</f>
        <v/>
      </c>
      <c r="J754">
        <f>IF(J$2=0,"",IFERROR(TRIM(INDEX('Pegar docentes'!$A$1:$BZ$1001,753,J$2)&amp;""),""))</f>
        <v/>
      </c>
      <c r="K754">
        <f>IF(K$2=0,"",IFERROR(TRIM(INDEX('Pegar docentes'!$A$1:$BZ$1001,753,K$2)&amp;""),""))</f>
        <v/>
      </c>
      <c r="L754">
        <f>IF(L$2=0,"",IFERROR(TRIM(INDEX('Pegar docentes'!$A$1:$BZ$1001,753,L$2)&amp;""),""))</f>
        <v/>
      </c>
      <c r="M754">
        <f>IF(M$2=0,"",IFERROR(TRIM(INDEX('Pegar docentes'!$A$1:$BZ$1001,753,M$2)&amp;""),""))</f>
        <v/>
      </c>
      <c r="N754">
        <f>IF(N$2=0,"",IFERROR(TRIM(INDEX('Pegar docentes'!$A$1:$BZ$1001,753,N$2)&amp;""),""))</f>
        <v/>
      </c>
      <c r="O754">
        <f>IF(O$2=0,"",IFERROR(TRIM(INDEX('Pegar docentes'!$A$1:$BZ$1001,753,O$2)&amp;""),""))</f>
        <v/>
      </c>
      <c r="P754">
        <f>IF(P$2=0,"",IFERROR(TRIM(INDEX('Pegar docentes'!$A$1:$BZ$1001,753,P$2)&amp;""),""))</f>
        <v/>
      </c>
      <c r="Q754" s="25">
        <f>IF(OR(D754&lt;&gt;"",H754&lt;&gt;""),1,"")</f>
        <v/>
      </c>
      <c r="R754" s="25">
        <f>IF(Q754=1,IF(ISNUMBER(FIND("#"&amp;MID(D754,1,1)&amp;"#","#0#1#2#3#4#5#6#7#8#9#")),IF(ISNUMBER(FIND("#"&amp;MID(D754,2,1)&amp;"#","#0#1#2#3#4#5#6#7#8#9#")),IF(AND(VALUE(LEFT(D754,2))&gt;=1,VALUE(LEFT(D754,2))&lt;=5),VALUE(LEFT(D754,2)),""),IF(AND(VALUE(LEFT(D754,1))&gt;=1,VALUE(LEFT(D754,1))&lt;=5),VALUE(LEFT(D754,1)),"")),""),"")</f>
        <v/>
      </c>
      <c r="S754" s="25">
        <f>IF(AND(Q754=1,E754&lt;&gt;""),SUBSTITUTE(SUBSTITUTE(SUBSTITUTE(SUBSTITUTE(SUBSTITUTE(SUBSTITUTE(SUBSTITUTE(SUBSTITUTE(SUBSTITUTE(SUBSTITUTE(SUBSTITUTE(SUBSTITUTE(LOWER(TRIM(E754)),"á","a"),"é","e"),"í","i"),"ó","o"),"ú","u"),"ü","u"),"ñ","n"),"à","a"),"è","e"),"ì","i"),"ò","o"),"ù","u"),"")</f>
        <v/>
      </c>
      <c r="T754" s="25">
        <f>IF(AND(Q754=1,G754&lt;&gt;""),SUBSTITUTE(SUBSTITUTE(SUBSTITUTE(SUBSTITUTE(SUBSTITUTE(SUBSTITUTE(SUBSTITUTE(SUBSTITUTE(SUBSTITUTE(SUBSTITUTE(SUBSTITUTE(SUBSTITUTE(LOWER(TRIM(G754)),"á","a"),"é","e"),"í","i"),"ó","o"),"ú","u"),"ü","u"),"ñ","n"),"à","a"),"è","e"),"ì","i"),"ò","o"),"ù","u"),"")</f>
        <v/>
      </c>
      <c r="U754" s="25">
        <f>IF(AND(Q754=1,H754&lt;&gt;""),SUBSTITUTE(SUBSTITUTE(SUBSTITUTE(SUBSTITUTE(SUBSTITUTE(SUBSTITUTE(SUBSTITUTE(SUBSTITUTE(SUBSTITUTE(SUBSTITUTE(SUBSTITUTE(SUBSTITUTE(LOWER(TRIM(H754)),"á","a"),"é","e"),"í","i"),"ó","o"),"ú","u"),"ü","u"),"ñ","n"),"à","a"),"è","e"),"ì","i"),"ò","o"),"ù","u"),"")</f>
        <v/>
      </c>
      <c r="V754" s="25">
        <f>IF(AND(Q754=1,L754&lt;&gt;""),SUBSTITUTE(SUBSTITUTE(SUBSTITUTE(SUBSTITUTE(SUBSTITUTE(SUBSTITUTE(SUBSTITUTE(SUBSTITUTE(SUBSTITUTE(SUBSTITUTE(SUBSTITUTE(SUBSTITUTE(LOWER(TRIM(L754)),"á","a"),"é","e"),"í","i"),"ó","o"),"ú","u"),"ü","u"),"ñ","n"),"à","a"),"è","e"),"ì","i"),"ò","o"),"ù","u"),"")</f>
        <v/>
      </c>
      <c r="W754" s="25">
        <f>IF(AND(Q754=1,I754&lt;&gt;""),SUBSTITUTE(SUBSTITUTE(SUBSTITUTE(SUBSTITUTE(SUBSTITUTE(SUBSTITUTE(SUBSTITUTE(SUBSTITUTE(SUBSTITUTE(SUBSTITUTE(SUBSTITUTE(SUBSTITUTE(LOWER(TRIM(I754)),"á","a"),"é","e"),"í","i"),"ó","o"),"ú","u"),"ü","u"),"ñ","n"),"à","a"),"è","e"),"ì","i"),"ò","o"),"ù","u"),"")</f>
        <v/>
      </c>
      <c r="X754" s="25">
        <f>IF(U754="","",IF(OR(U754="si, en la proxima tarea",U754="si, con cambios"),1,0))</f>
        <v/>
      </c>
      <c r="Y754" s="25">
        <f>IF(AND(Q754=1,A754&lt;&gt;""),IF(IFERROR(COUNTIFS(A$3:A754,"="&amp;SUBSTITUTE(SUBSTITUTE(SUBSTITUTE(A754,"~","~~"),"*","~*"),"?","~?"),Q$3:Q754,1),0)=1,MAX(Y$2:Y753)+1,""),"")</f>
        <v/>
      </c>
      <c r="Z754" s="25">
        <f>IF(Y754="","",COUNTIFS($A$3:$A$1002,"="&amp;SUBSTITUTE(SUBSTITUTE(SUBSTITUTE(A754,"~","~~"),"*","~*"),"?","~?"),$Q$3:$Q$1002,1)*10000-Y754)</f>
        <v/>
      </c>
    </row>
    <row r="755">
      <c r="A755">
        <f>IF(A$2=0,"",IFERROR(TRIM(INDEX('Pegar docentes'!$A$1:$BZ$1001,754,A$2)&amp;""),""))</f>
        <v/>
      </c>
      <c r="B755">
        <f>IF(B$2=0,"",IFERROR(TRIM(INDEX('Pegar docentes'!$A$1:$BZ$1001,754,B$2)&amp;""),""))</f>
        <v/>
      </c>
      <c r="C755">
        <f>IF(C$2=0,"",IFERROR(TRIM(INDEX('Pegar docentes'!$A$1:$BZ$1001,754,C$2)&amp;""),""))</f>
        <v/>
      </c>
      <c r="D755">
        <f>IF(D$2=0,"",IFERROR(TRIM(INDEX('Pegar docentes'!$A$1:$BZ$1001,754,D$2)&amp;""),""))</f>
        <v/>
      </c>
      <c r="E755">
        <f>IF(E$2=0,"",IFERROR(TRIM(INDEX('Pegar docentes'!$A$1:$BZ$1001,754,E$2)&amp;""),""))</f>
        <v/>
      </c>
      <c r="F755">
        <f>IF(F$2=0,"",IFERROR(TRIM(INDEX('Pegar docentes'!$A$1:$BZ$1001,754,F$2)&amp;""),""))</f>
        <v/>
      </c>
      <c r="G755">
        <f>IF(G$2=0,"",IFERROR(TRIM(INDEX('Pegar docentes'!$A$1:$BZ$1001,754,G$2)&amp;""),""))</f>
        <v/>
      </c>
      <c r="H755">
        <f>IF(H$2=0,"",IFERROR(TRIM(INDEX('Pegar docentes'!$A$1:$BZ$1001,754,H$2)&amp;""),""))</f>
        <v/>
      </c>
      <c r="I755">
        <f>IF(I$2=0,"",IFERROR(TRIM(INDEX('Pegar docentes'!$A$1:$BZ$1001,754,I$2)&amp;""),""))</f>
        <v/>
      </c>
      <c r="J755">
        <f>IF(J$2=0,"",IFERROR(TRIM(INDEX('Pegar docentes'!$A$1:$BZ$1001,754,J$2)&amp;""),""))</f>
        <v/>
      </c>
      <c r="K755">
        <f>IF(K$2=0,"",IFERROR(TRIM(INDEX('Pegar docentes'!$A$1:$BZ$1001,754,K$2)&amp;""),""))</f>
        <v/>
      </c>
      <c r="L755">
        <f>IF(L$2=0,"",IFERROR(TRIM(INDEX('Pegar docentes'!$A$1:$BZ$1001,754,L$2)&amp;""),""))</f>
        <v/>
      </c>
      <c r="M755">
        <f>IF(M$2=0,"",IFERROR(TRIM(INDEX('Pegar docentes'!$A$1:$BZ$1001,754,M$2)&amp;""),""))</f>
        <v/>
      </c>
      <c r="N755">
        <f>IF(N$2=0,"",IFERROR(TRIM(INDEX('Pegar docentes'!$A$1:$BZ$1001,754,N$2)&amp;""),""))</f>
        <v/>
      </c>
      <c r="O755">
        <f>IF(O$2=0,"",IFERROR(TRIM(INDEX('Pegar docentes'!$A$1:$BZ$1001,754,O$2)&amp;""),""))</f>
        <v/>
      </c>
      <c r="P755">
        <f>IF(P$2=0,"",IFERROR(TRIM(INDEX('Pegar docentes'!$A$1:$BZ$1001,754,P$2)&amp;""),""))</f>
        <v/>
      </c>
      <c r="Q755" s="25">
        <f>IF(OR(D755&lt;&gt;"",H755&lt;&gt;""),1,"")</f>
        <v/>
      </c>
      <c r="R755" s="25">
        <f>IF(Q755=1,IF(ISNUMBER(FIND("#"&amp;MID(D755,1,1)&amp;"#","#0#1#2#3#4#5#6#7#8#9#")),IF(ISNUMBER(FIND("#"&amp;MID(D755,2,1)&amp;"#","#0#1#2#3#4#5#6#7#8#9#")),IF(AND(VALUE(LEFT(D755,2))&gt;=1,VALUE(LEFT(D755,2))&lt;=5),VALUE(LEFT(D755,2)),""),IF(AND(VALUE(LEFT(D755,1))&gt;=1,VALUE(LEFT(D755,1))&lt;=5),VALUE(LEFT(D755,1)),"")),""),"")</f>
        <v/>
      </c>
      <c r="S755" s="25">
        <f>IF(AND(Q755=1,E755&lt;&gt;""),SUBSTITUTE(SUBSTITUTE(SUBSTITUTE(SUBSTITUTE(SUBSTITUTE(SUBSTITUTE(SUBSTITUTE(SUBSTITUTE(SUBSTITUTE(SUBSTITUTE(SUBSTITUTE(SUBSTITUTE(LOWER(TRIM(E755)),"á","a"),"é","e"),"í","i"),"ó","o"),"ú","u"),"ü","u"),"ñ","n"),"à","a"),"è","e"),"ì","i"),"ò","o"),"ù","u"),"")</f>
        <v/>
      </c>
      <c r="T755" s="25">
        <f>IF(AND(Q755=1,G755&lt;&gt;""),SUBSTITUTE(SUBSTITUTE(SUBSTITUTE(SUBSTITUTE(SUBSTITUTE(SUBSTITUTE(SUBSTITUTE(SUBSTITUTE(SUBSTITUTE(SUBSTITUTE(SUBSTITUTE(SUBSTITUTE(LOWER(TRIM(G755)),"á","a"),"é","e"),"í","i"),"ó","o"),"ú","u"),"ü","u"),"ñ","n"),"à","a"),"è","e"),"ì","i"),"ò","o"),"ù","u"),"")</f>
        <v/>
      </c>
      <c r="U755" s="25">
        <f>IF(AND(Q755=1,H755&lt;&gt;""),SUBSTITUTE(SUBSTITUTE(SUBSTITUTE(SUBSTITUTE(SUBSTITUTE(SUBSTITUTE(SUBSTITUTE(SUBSTITUTE(SUBSTITUTE(SUBSTITUTE(SUBSTITUTE(SUBSTITUTE(LOWER(TRIM(H755)),"á","a"),"é","e"),"í","i"),"ó","o"),"ú","u"),"ü","u"),"ñ","n"),"à","a"),"è","e"),"ì","i"),"ò","o"),"ù","u"),"")</f>
        <v/>
      </c>
      <c r="V755" s="25">
        <f>IF(AND(Q755=1,L755&lt;&gt;""),SUBSTITUTE(SUBSTITUTE(SUBSTITUTE(SUBSTITUTE(SUBSTITUTE(SUBSTITUTE(SUBSTITUTE(SUBSTITUTE(SUBSTITUTE(SUBSTITUTE(SUBSTITUTE(SUBSTITUTE(LOWER(TRIM(L755)),"á","a"),"é","e"),"í","i"),"ó","o"),"ú","u"),"ü","u"),"ñ","n"),"à","a"),"è","e"),"ì","i"),"ò","o"),"ù","u"),"")</f>
        <v/>
      </c>
      <c r="W755" s="25">
        <f>IF(AND(Q755=1,I755&lt;&gt;""),SUBSTITUTE(SUBSTITUTE(SUBSTITUTE(SUBSTITUTE(SUBSTITUTE(SUBSTITUTE(SUBSTITUTE(SUBSTITUTE(SUBSTITUTE(SUBSTITUTE(SUBSTITUTE(SUBSTITUTE(LOWER(TRIM(I755)),"á","a"),"é","e"),"í","i"),"ó","o"),"ú","u"),"ü","u"),"ñ","n"),"à","a"),"è","e"),"ì","i"),"ò","o"),"ù","u"),"")</f>
        <v/>
      </c>
      <c r="X755" s="25">
        <f>IF(U755="","",IF(OR(U755="si, en la proxima tarea",U755="si, con cambios"),1,0))</f>
        <v/>
      </c>
      <c r="Y755" s="25">
        <f>IF(AND(Q755=1,A755&lt;&gt;""),IF(IFERROR(COUNTIFS(A$3:A755,"="&amp;SUBSTITUTE(SUBSTITUTE(SUBSTITUTE(A755,"~","~~"),"*","~*"),"?","~?"),Q$3:Q755,1),0)=1,MAX(Y$2:Y754)+1,""),"")</f>
        <v/>
      </c>
      <c r="Z755" s="25">
        <f>IF(Y755="","",COUNTIFS($A$3:$A$1002,"="&amp;SUBSTITUTE(SUBSTITUTE(SUBSTITUTE(A755,"~","~~"),"*","~*"),"?","~?"),$Q$3:$Q$1002,1)*10000-Y755)</f>
        <v/>
      </c>
    </row>
    <row r="756">
      <c r="A756">
        <f>IF(A$2=0,"",IFERROR(TRIM(INDEX('Pegar docentes'!$A$1:$BZ$1001,755,A$2)&amp;""),""))</f>
        <v/>
      </c>
      <c r="B756">
        <f>IF(B$2=0,"",IFERROR(TRIM(INDEX('Pegar docentes'!$A$1:$BZ$1001,755,B$2)&amp;""),""))</f>
        <v/>
      </c>
      <c r="C756">
        <f>IF(C$2=0,"",IFERROR(TRIM(INDEX('Pegar docentes'!$A$1:$BZ$1001,755,C$2)&amp;""),""))</f>
        <v/>
      </c>
      <c r="D756">
        <f>IF(D$2=0,"",IFERROR(TRIM(INDEX('Pegar docentes'!$A$1:$BZ$1001,755,D$2)&amp;""),""))</f>
        <v/>
      </c>
      <c r="E756">
        <f>IF(E$2=0,"",IFERROR(TRIM(INDEX('Pegar docentes'!$A$1:$BZ$1001,755,E$2)&amp;""),""))</f>
        <v/>
      </c>
      <c r="F756">
        <f>IF(F$2=0,"",IFERROR(TRIM(INDEX('Pegar docentes'!$A$1:$BZ$1001,755,F$2)&amp;""),""))</f>
        <v/>
      </c>
      <c r="G756">
        <f>IF(G$2=0,"",IFERROR(TRIM(INDEX('Pegar docentes'!$A$1:$BZ$1001,755,G$2)&amp;""),""))</f>
        <v/>
      </c>
      <c r="H756">
        <f>IF(H$2=0,"",IFERROR(TRIM(INDEX('Pegar docentes'!$A$1:$BZ$1001,755,H$2)&amp;""),""))</f>
        <v/>
      </c>
      <c r="I756">
        <f>IF(I$2=0,"",IFERROR(TRIM(INDEX('Pegar docentes'!$A$1:$BZ$1001,755,I$2)&amp;""),""))</f>
        <v/>
      </c>
      <c r="J756">
        <f>IF(J$2=0,"",IFERROR(TRIM(INDEX('Pegar docentes'!$A$1:$BZ$1001,755,J$2)&amp;""),""))</f>
        <v/>
      </c>
      <c r="K756">
        <f>IF(K$2=0,"",IFERROR(TRIM(INDEX('Pegar docentes'!$A$1:$BZ$1001,755,K$2)&amp;""),""))</f>
        <v/>
      </c>
      <c r="L756">
        <f>IF(L$2=0,"",IFERROR(TRIM(INDEX('Pegar docentes'!$A$1:$BZ$1001,755,L$2)&amp;""),""))</f>
        <v/>
      </c>
      <c r="M756">
        <f>IF(M$2=0,"",IFERROR(TRIM(INDEX('Pegar docentes'!$A$1:$BZ$1001,755,M$2)&amp;""),""))</f>
        <v/>
      </c>
      <c r="N756">
        <f>IF(N$2=0,"",IFERROR(TRIM(INDEX('Pegar docentes'!$A$1:$BZ$1001,755,N$2)&amp;""),""))</f>
        <v/>
      </c>
      <c r="O756">
        <f>IF(O$2=0,"",IFERROR(TRIM(INDEX('Pegar docentes'!$A$1:$BZ$1001,755,O$2)&amp;""),""))</f>
        <v/>
      </c>
      <c r="P756">
        <f>IF(P$2=0,"",IFERROR(TRIM(INDEX('Pegar docentes'!$A$1:$BZ$1001,755,P$2)&amp;""),""))</f>
        <v/>
      </c>
      <c r="Q756" s="25">
        <f>IF(OR(D756&lt;&gt;"",H756&lt;&gt;""),1,"")</f>
        <v/>
      </c>
      <c r="R756" s="25">
        <f>IF(Q756=1,IF(ISNUMBER(FIND("#"&amp;MID(D756,1,1)&amp;"#","#0#1#2#3#4#5#6#7#8#9#")),IF(ISNUMBER(FIND("#"&amp;MID(D756,2,1)&amp;"#","#0#1#2#3#4#5#6#7#8#9#")),IF(AND(VALUE(LEFT(D756,2))&gt;=1,VALUE(LEFT(D756,2))&lt;=5),VALUE(LEFT(D756,2)),""),IF(AND(VALUE(LEFT(D756,1))&gt;=1,VALUE(LEFT(D756,1))&lt;=5),VALUE(LEFT(D756,1)),"")),""),"")</f>
        <v/>
      </c>
      <c r="S756" s="25">
        <f>IF(AND(Q756=1,E756&lt;&gt;""),SUBSTITUTE(SUBSTITUTE(SUBSTITUTE(SUBSTITUTE(SUBSTITUTE(SUBSTITUTE(SUBSTITUTE(SUBSTITUTE(SUBSTITUTE(SUBSTITUTE(SUBSTITUTE(SUBSTITUTE(LOWER(TRIM(E756)),"á","a"),"é","e"),"í","i"),"ó","o"),"ú","u"),"ü","u"),"ñ","n"),"à","a"),"è","e"),"ì","i"),"ò","o"),"ù","u"),"")</f>
        <v/>
      </c>
      <c r="T756" s="25">
        <f>IF(AND(Q756=1,G756&lt;&gt;""),SUBSTITUTE(SUBSTITUTE(SUBSTITUTE(SUBSTITUTE(SUBSTITUTE(SUBSTITUTE(SUBSTITUTE(SUBSTITUTE(SUBSTITUTE(SUBSTITUTE(SUBSTITUTE(SUBSTITUTE(LOWER(TRIM(G756)),"á","a"),"é","e"),"í","i"),"ó","o"),"ú","u"),"ü","u"),"ñ","n"),"à","a"),"è","e"),"ì","i"),"ò","o"),"ù","u"),"")</f>
        <v/>
      </c>
      <c r="U756" s="25">
        <f>IF(AND(Q756=1,H756&lt;&gt;""),SUBSTITUTE(SUBSTITUTE(SUBSTITUTE(SUBSTITUTE(SUBSTITUTE(SUBSTITUTE(SUBSTITUTE(SUBSTITUTE(SUBSTITUTE(SUBSTITUTE(SUBSTITUTE(SUBSTITUTE(LOWER(TRIM(H756)),"á","a"),"é","e"),"í","i"),"ó","o"),"ú","u"),"ü","u"),"ñ","n"),"à","a"),"è","e"),"ì","i"),"ò","o"),"ù","u"),"")</f>
        <v/>
      </c>
      <c r="V756" s="25">
        <f>IF(AND(Q756=1,L756&lt;&gt;""),SUBSTITUTE(SUBSTITUTE(SUBSTITUTE(SUBSTITUTE(SUBSTITUTE(SUBSTITUTE(SUBSTITUTE(SUBSTITUTE(SUBSTITUTE(SUBSTITUTE(SUBSTITUTE(SUBSTITUTE(LOWER(TRIM(L756)),"á","a"),"é","e"),"í","i"),"ó","o"),"ú","u"),"ü","u"),"ñ","n"),"à","a"),"è","e"),"ì","i"),"ò","o"),"ù","u"),"")</f>
        <v/>
      </c>
      <c r="W756" s="25">
        <f>IF(AND(Q756=1,I756&lt;&gt;""),SUBSTITUTE(SUBSTITUTE(SUBSTITUTE(SUBSTITUTE(SUBSTITUTE(SUBSTITUTE(SUBSTITUTE(SUBSTITUTE(SUBSTITUTE(SUBSTITUTE(SUBSTITUTE(SUBSTITUTE(LOWER(TRIM(I756)),"á","a"),"é","e"),"í","i"),"ó","o"),"ú","u"),"ü","u"),"ñ","n"),"à","a"),"è","e"),"ì","i"),"ò","o"),"ù","u"),"")</f>
        <v/>
      </c>
      <c r="X756" s="25">
        <f>IF(U756="","",IF(OR(U756="si, en la proxima tarea",U756="si, con cambios"),1,0))</f>
        <v/>
      </c>
      <c r="Y756" s="25">
        <f>IF(AND(Q756=1,A756&lt;&gt;""),IF(IFERROR(COUNTIFS(A$3:A756,"="&amp;SUBSTITUTE(SUBSTITUTE(SUBSTITUTE(A756,"~","~~"),"*","~*"),"?","~?"),Q$3:Q756,1),0)=1,MAX(Y$2:Y755)+1,""),"")</f>
        <v/>
      </c>
      <c r="Z756" s="25">
        <f>IF(Y756="","",COUNTIFS($A$3:$A$1002,"="&amp;SUBSTITUTE(SUBSTITUTE(SUBSTITUTE(A756,"~","~~"),"*","~*"),"?","~?"),$Q$3:$Q$1002,1)*10000-Y756)</f>
        <v/>
      </c>
    </row>
    <row r="757">
      <c r="A757">
        <f>IF(A$2=0,"",IFERROR(TRIM(INDEX('Pegar docentes'!$A$1:$BZ$1001,756,A$2)&amp;""),""))</f>
        <v/>
      </c>
      <c r="B757">
        <f>IF(B$2=0,"",IFERROR(TRIM(INDEX('Pegar docentes'!$A$1:$BZ$1001,756,B$2)&amp;""),""))</f>
        <v/>
      </c>
      <c r="C757">
        <f>IF(C$2=0,"",IFERROR(TRIM(INDEX('Pegar docentes'!$A$1:$BZ$1001,756,C$2)&amp;""),""))</f>
        <v/>
      </c>
      <c r="D757">
        <f>IF(D$2=0,"",IFERROR(TRIM(INDEX('Pegar docentes'!$A$1:$BZ$1001,756,D$2)&amp;""),""))</f>
        <v/>
      </c>
      <c r="E757">
        <f>IF(E$2=0,"",IFERROR(TRIM(INDEX('Pegar docentes'!$A$1:$BZ$1001,756,E$2)&amp;""),""))</f>
        <v/>
      </c>
      <c r="F757">
        <f>IF(F$2=0,"",IFERROR(TRIM(INDEX('Pegar docentes'!$A$1:$BZ$1001,756,F$2)&amp;""),""))</f>
        <v/>
      </c>
      <c r="G757">
        <f>IF(G$2=0,"",IFERROR(TRIM(INDEX('Pegar docentes'!$A$1:$BZ$1001,756,G$2)&amp;""),""))</f>
        <v/>
      </c>
      <c r="H757">
        <f>IF(H$2=0,"",IFERROR(TRIM(INDEX('Pegar docentes'!$A$1:$BZ$1001,756,H$2)&amp;""),""))</f>
        <v/>
      </c>
      <c r="I757">
        <f>IF(I$2=0,"",IFERROR(TRIM(INDEX('Pegar docentes'!$A$1:$BZ$1001,756,I$2)&amp;""),""))</f>
        <v/>
      </c>
      <c r="J757">
        <f>IF(J$2=0,"",IFERROR(TRIM(INDEX('Pegar docentes'!$A$1:$BZ$1001,756,J$2)&amp;""),""))</f>
        <v/>
      </c>
      <c r="K757">
        <f>IF(K$2=0,"",IFERROR(TRIM(INDEX('Pegar docentes'!$A$1:$BZ$1001,756,K$2)&amp;""),""))</f>
        <v/>
      </c>
      <c r="L757">
        <f>IF(L$2=0,"",IFERROR(TRIM(INDEX('Pegar docentes'!$A$1:$BZ$1001,756,L$2)&amp;""),""))</f>
        <v/>
      </c>
      <c r="M757">
        <f>IF(M$2=0,"",IFERROR(TRIM(INDEX('Pegar docentes'!$A$1:$BZ$1001,756,M$2)&amp;""),""))</f>
        <v/>
      </c>
      <c r="N757">
        <f>IF(N$2=0,"",IFERROR(TRIM(INDEX('Pegar docentes'!$A$1:$BZ$1001,756,N$2)&amp;""),""))</f>
        <v/>
      </c>
      <c r="O757">
        <f>IF(O$2=0,"",IFERROR(TRIM(INDEX('Pegar docentes'!$A$1:$BZ$1001,756,O$2)&amp;""),""))</f>
        <v/>
      </c>
      <c r="P757">
        <f>IF(P$2=0,"",IFERROR(TRIM(INDEX('Pegar docentes'!$A$1:$BZ$1001,756,P$2)&amp;""),""))</f>
        <v/>
      </c>
      <c r="Q757" s="25">
        <f>IF(OR(D757&lt;&gt;"",H757&lt;&gt;""),1,"")</f>
        <v/>
      </c>
      <c r="R757" s="25">
        <f>IF(Q757=1,IF(ISNUMBER(FIND("#"&amp;MID(D757,1,1)&amp;"#","#0#1#2#3#4#5#6#7#8#9#")),IF(ISNUMBER(FIND("#"&amp;MID(D757,2,1)&amp;"#","#0#1#2#3#4#5#6#7#8#9#")),IF(AND(VALUE(LEFT(D757,2))&gt;=1,VALUE(LEFT(D757,2))&lt;=5),VALUE(LEFT(D757,2)),""),IF(AND(VALUE(LEFT(D757,1))&gt;=1,VALUE(LEFT(D757,1))&lt;=5),VALUE(LEFT(D757,1)),"")),""),"")</f>
        <v/>
      </c>
      <c r="S757" s="25">
        <f>IF(AND(Q757=1,E757&lt;&gt;""),SUBSTITUTE(SUBSTITUTE(SUBSTITUTE(SUBSTITUTE(SUBSTITUTE(SUBSTITUTE(SUBSTITUTE(SUBSTITUTE(SUBSTITUTE(SUBSTITUTE(SUBSTITUTE(SUBSTITUTE(LOWER(TRIM(E757)),"á","a"),"é","e"),"í","i"),"ó","o"),"ú","u"),"ü","u"),"ñ","n"),"à","a"),"è","e"),"ì","i"),"ò","o"),"ù","u"),"")</f>
        <v/>
      </c>
      <c r="T757" s="25">
        <f>IF(AND(Q757=1,G757&lt;&gt;""),SUBSTITUTE(SUBSTITUTE(SUBSTITUTE(SUBSTITUTE(SUBSTITUTE(SUBSTITUTE(SUBSTITUTE(SUBSTITUTE(SUBSTITUTE(SUBSTITUTE(SUBSTITUTE(SUBSTITUTE(LOWER(TRIM(G757)),"á","a"),"é","e"),"í","i"),"ó","o"),"ú","u"),"ü","u"),"ñ","n"),"à","a"),"è","e"),"ì","i"),"ò","o"),"ù","u"),"")</f>
        <v/>
      </c>
      <c r="U757" s="25">
        <f>IF(AND(Q757=1,H757&lt;&gt;""),SUBSTITUTE(SUBSTITUTE(SUBSTITUTE(SUBSTITUTE(SUBSTITUTE(SUBSTITUTE(SUBSTITUTE(SUBSTITUTE(SUBSTITUTE(SUBSTITUTE(SUBSTITUTE(SUBSTITUTE(LOWER(TRIM(H757)),"á","a"),"é","e"),"í","i"),"ó","o"),"ú","u"),"ü","u"),"ñ","n"),"à","a"),"è","e"),"ì","i"),"ò","o"),"ù","u"),"")</f>
        <v/>
      </c>
      <c r="V757" s="25">
        <f>IF(AND(Q757=1,L757&lt;&gt;""),SUBSTITUTE(SUBSTITUTE(SUBSTITUTE(SUBSTITUTE(SUBSTITUTE(SUBSTITUTE(SUBSTITUTE(SUBSTITUTE(SUBSTITUTE(SUBSTITUTE(SUBSTITUTE(SUBSTITUTE(LOWER(TRIM(L757)),"á","a"),"é","e"),"í","i"),"ó","o"),"ú","u"),"ü","u"),"ñ","n"),"à","a"),"è","e"),"ì","i"),"ò","o"),"ù","u"),"")</f>
        <v/>
      </c>
      <c r="W757" s="25">
        <f>IF(AND(Q757=1,I757&lt;&gt;""),SUBSTITUTE(SUBSTITUTE(SUBSTITUTE(SUBSTITUTE(SUBSTITUTE(SUBSTITUTE(SUBSTITUTE(SUBSTITUTE(SUBSTITUTE(SUBSTITUTE(SUBSTITUTE(SUBSTITUTE(LOWER(TRIM(I757)),"á","a"),"é","e"),"í","i"),"ó","o"),"ú","u"),"ü","u"),"ñ","n"),"à","a"),"è","e"),"ì","i"),"ò","o"),"ù","u"),"")</f>
        <v/>
      </c>
      <c r="X757" s="25">
        <f>IF(U757="","",IF(OR(U757="si, en la proxima tarea",U757="si, con cambios"),1,0))</f>
        <v/>
      </c>
      <c r="Y757" s="25">
        <f>IF(AND(Q757=1,A757&lt;&gt;""),IF(IFERROR(COUNTIFS(A$3:A757,"="&amp;SUBSTITUTE(SUBSTITUTE(SUBSTITUTE(A757,"~","~~"),"*","~*"),"?","~?"),Q$3:Q757,1),0)=1,MAX(Y$2:Y756)+1,""),"")</f>
        <v/>
      </c>
      <c r="Z757" s="25">
        <f>IF(Y757="","",COUNTIFS($A$3:$A$1002,"="&amp;SUBSTITUTE(SUBSTITUTE(SUBSTITUTE(A757,"~","~~"),"*","~*"),"?","~?"),$Q$3:$Q$1002,1)*10000-Y757)</f>
        <v/>
      </c>
    </row>
    <row r="758">
      <c r="A758">
        <f>IF(A$2=0,"",IFERROR(TRIM(INDEX('Pegar docentes'!$A$1:$BZ$1001,757,A$2)&amp;""),""))</f>
        <v/>
      </c>
      <c r="B758">
        <f>IF(B$2=0,"",IFERROR(TRIM(INDEX('Pegar docentes'!$A$1:$BZ$1001,757,B$2)&amp;""),""))</f>
        <v/>
      </c>
      <c r="C758">
        <f>IF(C$2=0,"",IFERROR(TRIM(INDEX('Pegar docentes'!$A$1:$BZ$1001,757,C$2)&amp;""),""))</f>
        <v/>
      </c>
      <c r="D758">
        <f>IF(D$2=0,"",IFERROR(TRIM(INDEX('Pegar docentes'!$A$1:$BZ$1001,757,D$2)&amp;""),""))</f>
        <v/>
      </c>
      <c r="E758">
        <f>IF(E$2=0,"",IFERROR(TRIM(INDEX('Pegar docentes'!$A$1:$BZ$1001,757,E$2)&amp;""),""))</f>
        <v/>
      </c>
      <c r="F758">
        <f>IF(F$2=0,"",IFERROR(TRIM(INDEX('Pegar docentes'!$A$1:$BZ$1001,757,F$2)&amp;""),""))</f>
        <v/>
      </c>
      <c r="G758">
        <f>IF(G$2=0,"",IFERROR(TRIM(INDEX('Pegar docentes'!$A$1:$BZ$1001,757,G$2)&amp;""),""))</f>
        <v/>
      </c>
      <c r="H758">
        <f>IF(H$2=0,"",IFERROR(TRIM(INDEX('Pegar docentes'!$A$1:$BZ$1001,757,H$2)&amp;""),""))</f>
        <v/>
      </c>
      <c r="I758">
        <f>IF(I$2=0,"",IFERROR(TRIM(INDEX('Pegar docentes'!$A$1:$BZ$1001,757,I$2)&amp;""),""))</f>
        <v/>
      </c>
      <c r="J758">
        <f>IF(J$2=0,"",IFERROR(TRIM(INDEX('Pegar docentes'!$A$1:$BZ$1001,757,J$2)&amp;""),""))</f>
        <v/>
      </c>
      <c r="K758">
        <f>IF(K$2=0,"",IFERROR(TRIM(INDEX('Pegar docentes'!$A$1:$BZ$1001,757,K$2)&amp;""),""))</f>
        <v/>
      </c>
      <c r="L758">
        <f>IF(L$2=0,"",IFERROR(TRIM(INDEX('Pegar docentes'!$A$1:$BZ$1001,757,L$2)&amp;""),""))</f>
        <v/>
      </c>
      <c r="M758">
        <f>IF(M$2=0,"",IFERROR(TRIM(INDEX('Pegar docentes'!$A$1:$BZ$1001,757,M$2)&amp;""),""))</f>
        <v/>
      </c>
      <c r="N758">
        <f>IF(N$2=0,"",IFERROR(TRIM(INDEX('Pegar docentes'!$A$1:$BZ$1001,757,N$2)&amp;""),""))</f>
        <v/>
      </c>
      <c r="O758">
        <f>IF(O$2=0,"",IFERROR(TRIM(INDEX('Pegar docentes'!$A$1:$BZ$1001,757,O$2)&amp;""),""))</f>
        <v/>
      </c>
      <c r="P758">
        <f>IF(P$2=0,"",IFERROR(TRIM(INDEX('Pegar docentes'!$A$1:$BZ$1001,757,P$2)&amp;""),""))</f>
        <v/>
      </c>
      <c r="Q758" s="25">
        <f>IF(OR(D758&lt;&gt;"",H758&lt;&gt;""),1,"")</f>
        <v/>
      </c>
      <c r="R758" s="25">
        <f>IF(Q758=1,IF(ISNUMBER(FIND("#"&amp;MID(D758,1,1)&amp;"#","#0#1#2#3#4#5#6#7#8#9#")),IF(ISNUMBER(FIND("#"&amp;MID(D758,2,1)&amp;"#","#0#1#2#3#4#5#6#7#8#9#")),IF(AND(VALUE(LEFT(D758,2))&gt;=1,VALUE(LEFT(D758,2))&lt;=5),VALUE(LEFT(D758,2)),""),IF(AND(VALUE(LEFT(D758,1))&gt;=1,VALUE(LEFT(D758,1))&lt;=5),VALUE(LEFT(D758,1)),"")),""),"")</f>
        <v/>
      </c>
      <c r="S758" s="25">
        <f>IF(AND(Q758=1,E758&lt;&gt;""),SUBSTITUTE(SUBSTITUTE(SUBSTITUTE(SUBSTITUTE(SUBSTITUTE(SUBSTITUTE(SUBSTITUTE(SUBSTITUTE(SUBSTITUTE(SUBSTITUTE(SUBSTITUTE(SUBSTITUTE(LOWER(TRIM(E758)),"á","a"),"é","e"),"í","i"),"ó","o"),"ú","u"),"ü","u"),"ñ","n"),"à","a"),"è","e"),"ì","i"),"ò","o"),"ù","u"),"")</f>
        <v/>
      </c>
      <c r="T758" s="25">
        <f>IF(AND(Q758=1,G758&lt;&gt;""),SUBSTITUTE(SUBSTITUTE(SUBSTITUTE(SUBSTITUTE(SUBSTITUTE(SUBSTITUTE(SUBSTITUTE(SUBSTITUTE(SUBSTITUTE(SUBSTITUTE(SUBSTITUTE(SUBSTITUTE(LOWER(TRIM(G758)),"á","a"),"é","e"),"í","i"),"ó","o"),"ú","u"),"ü","u"),"ñ","n"),"à","a"),"è","e"),"ì","i"),"ò","o"),"ù","u"),"")</f>
        <v/>
      </c>
      <c r="U758" s="25">
        <f>IF(AND(Q758=1,H758&lt;&gt;""),SUBSTITUTE(SUBSTITUTE(SUBSTITUTE(SUBSTITUTE(SUBSTITUTE(SUBSTITUTE(SUBSTITUTE(SUBSTITUTE(SUBSTITUTE(SUBSTITUTE(SUBSTITUTE(SUBSTITUTE(LOWER(TRIM(H758)),"á","a"),"é","e"),"í","i"),"ó","o"),"ú","u"),"ü","u"),"ñ","n"),"à","a"),"è","e"),"ì","i"),"ò","o"),"ù","u"),"")</f>
        <v/>
      </c>
      <c r="V758" s="25">
        <f>IF(AND(Q758=1,L758&lt;&gt;""),SUBSTITUTE(SUBSTITUTE(SUBSTITUTE(SUBSTITUTE(SUBSTITUTE(SUBSTITUTE(SUBSTITUTE(SUBSTITUTE(SUBSTITUTE(SUBSTITUTE(SUBSTITUTE(SUBSTITUTE(LOWER(TRIM(L758)),"á","a"),"é","e"),"í","i"),"ó","o"),"ú","u"),"ü","u"),"ñ","n"),"à","a"),"è","e"),"ì","i"),"ò","o"),"ù","u"),"")</f>
        <v/>
      </c>
      <c r="W758" s="25">
        <f>IF(AND(Q758=1,I758&lt;&gt;""),SUBSTITUTE(SUBSTITUTE(SUBSTITUTE(SUBSTITUTE(SUBSTITUTE(SUBSTITUTE(SUBSTITUTE(SUBSTITUTE(SUBSTITUTE(SUBSTITUTE(SUBSTITUTE(SUBSTITUTE(LOWER(TRIM(I758)),"á","a"),"é","e"),"í","i"),"ó","o"),"ú","u"),"ü","u"),"ñ","n"),"à","a"),"è","e"),"ì","i"),"ò","o"),"ù","u"),"")</f>
        <v/>
      </c>
      <c r="X758" s="25">
        <f>IF(U758="","",IF(OR(U758="si, en la proxima tarea",U758="si, con cambios"),1,0))</f>
        <v/>
      </c>
      <c r="Y758" s="25">
        <f>IF(AND(Q758=1,A758&lt;&gt;""),IF(IFERROR(COUNTIFS(A$3:A758,"="&amp;SUBSTITUTE(SUBSTITUTE(SUBSTITUTE(A758,"~","~~"),"*","~*"),"?","~?"),Q$3:Q758,1),0)=1,MAX(Y$2:Y757)+1,""),"")</f>
        <v/>
      </c>
      <c r="Z758" s="25">
        <f>IF(Y758="","",COUNTIFS($A$3:$A$1002,"="&amp;SUBSTITUTE(SUBSTITUTE(SUBSTITUTE(A758,"~","~~"),"*","~*"),"?","~?"),$Q$3:$Q$1002,1)*10000-Y758)</f>
        <v/>
      </c>
    </row>
    <row r="759">
      <c r="A759">
        <f>IF(A$2=0,"",IFERROR(TRIM(INDEX('Pegar docentes'!$A$1:$BZ$1001,758,A$2)&amp;""),""))</f>
        <v/>
      </c>
      <c r="B759">
        <f>IF(B$2=0,"",IFERROR(TRIM(INDEX('Pegar docentes'!$A$1:$BZ$1001,758,B$2)&amp;""),""))</f>
        <v/>
      </c>
      <c r="C759">
        <f>IF(C$2=0,"",IFERROR(TRIM(INDEX('Pegar docentes'!$A$1:$BZ$1001,758,C$2)&amp;""),""))</f>
        <v/>
      </c>
      <c r="D759">
        <f>IF(D$2=0,"",IFERROR(TRIM(INDEX('Pegar docentes'!$A$1:$BZ$1001,758,D$2)&amp;""),""))</f>
        <v/>
      </c>
      <c r="E759">
        <f>IF(E$2=0,"",IFERROR(TRIM(INDEX('Pegar docentes'!$A$1:$BZ$1001,758,E$2)&amp;""),""))</f>
        <v/>
      </c>
      <c r="F759">
        <f>IF(F$2=0,"",IFERROR(TRIM(INDEX('Pegar docentes'!$A$1:$BZ$1001,758,F$2)&amp;""),""))</f>
        <v/>
      </c>
      <c r="G759">
        <f>IF(G$2=0,"",IFERROR(TRIM(INDEX('Pegar docentes'!$A$1:$BZ$1001,758,G$2)&amp;""),""))</f>
        <v/>
      </c>
      <c r="H759">
        <f>IF(H$2=0,"",IFERROR(TRIM(INDEX('Pegar docentes'!$A$1:$BZ$1001,758,H$2)&amp;""),""))</f>
        <v/>
      </c>
      <c r="I759">
        <f>IF(I$2=0,"",IFERROR(TRIM(INDEX('Pegar docentes'!$A$1:$BZ$1001,758,I$2)&amp;""),""))</f>
        <v/>
      </c>
      <c r="J759">
        <f>IF(J$2=0,"",IFERROR(TRIM(INDEX('Pegar docentes'!$A$1:$BZ$1001,758,J$2)&amp;""),""))</f>
        <v/>
      </c>
      <c r="K759">
        <f>IF(K$2=0,"",IFERROR(TRIM(INDEX('Pegar docentes'!$A$1:$BZ$1001,758,K$2)&amp;""),""))</f>
        <v/>
      </c>
      <c r="L759">
        <f>IF(L$2=0,"",IFERROR(TRIM(INDEX('Pegar docentes'!$A$1:$BZ$1001,758,L$2)&amp;""),""))</f>
        <v/>
      </c>
      <c r="M759">
        <f>IF(M$2=0,"",IFERROR(TRIM(INDEX('Pegar docentes'!$A$1:$BZ$1001,758,M$2)&amp;""),""))</f>
        <v/>
      </c>
      <c r="N759">
        <f>IF(N$2=0,"",IFERROR(TRIM(INDEX('Pegar docentes'!$A$1:$BZ$1001,758,N$2)&amp;""),""))</f>
        <v/>
      </c>
      <c r="O759">
        <f>IF(O$2=0,"",IFERROR(TRIM(INDEX('Pegar docentes'!$A$1:$BZ$1001,758,O$2)&amp;""),""))</f>
        <v/>
      </c>
      <c r="P759">
        <f>IF(P$2=0,"",IFERROR(TRIM(INDEX('Pegar docentes'!$A$1:$BZ$1001,758,P$2)&amp;""),""))</f>
        <v/>
      </c>
      <c r="Q759" s="25">
        <f>IF(OR(D759&lt;&gt;"",H759&lt;&gt;""),1,"")</f>
        <v/>
      </c>
      <c r="R759" s="25">
        <f>IF(Q759=1,IF(ISNUMBER(FIND("#"&amp;MID(D759,1,1)&amp;"#","#0#1#2#3#4#5#6#7#8#9#")),IF(ISNUMBER(FIND("#"&amp;MID(D759,2,1)&amp;"#","#0#1#2#3#4#5#6#7#8#9#")),IF(AND(VALUE(LEFT(D759,2))&gt;=1,VALUE(LEFT(D759,2))&lt;=5),VALUE(LEFT(D759,2)),""),IF(AND(VALUE(LEFT(D759,1))&gt;=1,VALUE(LEFT(D759,1))&lt;=5),VALUE(LEFT(D759,1)),"")),""),"")</f>
        <v/>
      </c>
      <c r="S759" s="25">
        <f>IF(AND(Q759=1,E759&lt;&gt;""),SUBSTITUTE(SUBSTITUTE(SUBSTITUTE(SUBSTITUTE(SUBSTITUTE(SUBSTITUTE(SUBSTITUTE(SUBSTITUTE(SUBSTITUTE(SUBSTITUTE(SUBSTITUTE(SUBSTITUTE(LOWER(TRIM(E759)),"á","a"),"é","e"),"í","i"),"ó","o"),"ú","u"),"ü","u"),"ñ","n"),"à","a"),"è","e"),"ì","i"),"ò","o"),"ù","u"),"")</f>
        <v/>
      </c>
      <c r="T759" s="25">
        <f>IF(AND(Q759=1,G759&lt;&gt;""),SUBSTITUTE(SUBSTITUTE(SUBSTITUTE(SUBSTITUTE(SUBSTITUTE(SUBSTITUTE(SUBSTITUTE(SUBSTITUTE(SUBSTITUTE(SUBSTITUTE(SUBSTITUTE(SUBSTITUTE(LOWER(TRIM(G759)),"á","a"),"é","e"),"í","i"),"ó","o"),"ú","u"),"ü","u"),"ñ","n"),"à","a"),"è","e"),"ì","i"),"ò","o"),"ù","u"),"")</f>
        <v/>
      </c>
      <c r="U759" s="25">
        <f>IF(AND(Q759=1,H759&lt;&gt;""),SUBSTITUTE(SUBSTITUTE(SUBSTITUTE(SUBSTITUTE(SUBSTITUTE(SUBSTITUTE(SUBSTITUTE(SUBSTITUTE(SUBSTITUTE(SUBSTITUTE(SUBSTITUTE(SUBSTITUTE(LOWER(TRIM(H759)),"á","a"),"é","e"),"í","i"),"ó","o"),"ú","u"),"ü","u"),"ñ","n"),"à","a"),"è","e"),"ì","i"),"ò","o"),"ù","u"),"")</f>
        <v/>
      </c>
      <c r="V759" s="25">
        <f>IF(AND(Q759=1,L759&lt;&gt;""),SUBSTITUTE(SUBSTITUTE(SUBSTITUTE(SUBSTITUTE(SUBSTITUTE(SUBSTITUTE(SUBSTITUTE(SUBSTITUTE(SUBSTITUTE(SUBSTITUTE(SUBSTITUTE(SUBSTITUTE(LOWER(TRIM(L759)),"á","a"),"é","e"),"í","i"),"ó","o"),"ú","u"),"ü","u"),"ñ","n"),"à","a"),"è","e"),"ì","i"),"ò","o"),"ù","u"),"")</f>
        <v/>
      </c>
      <c r="W759" s="25">
        <f>IF(AND(Q759=1,I759&lt;&gt;""),SUBSTITUTE(SUBSTITUTE(SUBSTITUTE(SUBSTITUTE(SUBSTITUTE(SUBSTITUTE(SUBSTITUTE(SUBSTITUTE(SUBSTITUTE(SUBSTITUTE(SUBSTITUTE(SUBSTITUTE(LOWER(TRIM(I759)),"á","a"),"é","e"),"í","i"),"ó","o"),"ú","u"),"ü","u"),"ñ","n"),"à","a"),"è","e"),"ì","i"),"ò","o"),"ù","u"),"")</f>
        <v/>
      </c>
      <c r="X759" s="25">
        <f>IF(U759="","",IF(OR(U759="si, en la proxima tarea",U759="si, con cambios"),1,0))</f>
        <v/>
      </c>
      <c r="Y759" s="25">
        <f>IF(AND(Q759=1,A759&lt;&gt;""),IF(IFERROR(COUNTIFS(A$3:A759,"="&amp;SUBSTITUTE(SUBSTITUTE(SUBSTITUTE(A759,"~","~~"),"*","~*"),"?","~?"),Q$3:Q759,1),0)=1,MAX(Y$2:Y758)+1,""),"")</f>
        <v/>
      </c>
      <c r="Z759" s="25">
        <f>IF(Y759="","",COUNTIFS($A$3:$A$1002,"="&amp;SUBSTITUTE(SUBSTITUTE(SUBSTITUTE(A759,"~","~~"),"*","~*"),"?","~?"),$Q$3:$Q$1002,1)*10000-Y759)</f>
        <v/>
      </c>
    </row>
    <row r="760">
      <c r="A760">
        <f>IF(A$2=0,"",IFERROR(TRIM(INDEX('Pegar docentes'!$A$1:$BZ$1001,759,A$2)&amp;""),""))</f>
        <v/>
      </c>
      <c r="B760">
        <f>IF(B$2=0,"",IFERROR(TRIM(INDEX('Pegar docentes'!$A$1:$BZ$1001,759,B$2)&amp;""),""))</f>
        <v/>
      </c>
      <c r="C760">
        <f>IF(C$2=0,"",IFERROR(TRIM(INDEX('Pegar docentes'!$A$1:$BZ$1001,759,C$2)&amp;""),""))</f>
        <v/>
      </c>
      <c r="D760">
        <f>IF(D$2=0,"",IFERROR(TRIM(INDEX('Pegar docentes'!$A$1:$BZ$1001,759,D$2)&amp;""),""))</f>
        <v/>
      </c>
      <c r="E760">
        <f>IF(E$2=0,"",IFERROR(TRIM(INDEX('Pegar docentes'!$A$1:$BZ$1001,759,E$2)&amp;""),""))</f>
        <v/>
      </c>
      <c r="F760">
        <f>IF(F$2=0,"",IFERROR(TRIM(INDEX('Pegar docentes'!$A$1:$BZ$1001,759,F$2)&amp;""),""))</f>
        <v/>
      </c>
      <c r="G760">
        <f>IF(G$2=0,"",IFERROR(TRIM(INDEX('Pegar docentes'!$A$1:$BZ$1001,759,G$2)&amp;""),""))</f>
        <v/>
      </c>
      <c r="H760">
        <f>IF(H$2=0,"",IFERROR(TRIM(INDEX('Pegar docentes'!$A$1:$BZ$1001,759,H$2)&amp;""),""))</f>
        <v/>
      </c>
      <c r="I760">
        <f>IF(I$2=0,"",IFERROR(TRIM(INDEX('Pegar docentes'!$A$1:$BZ$1001,759,I$2)&amp;""),""))</f>
        <v/>
      </c>
      <c r="J760">
        <f>IF(J$2=0,"",IFERROR(TRIM(INDEX('Pegar docentes'!$A$1:$BZ$1001,759,J$2)&amp;""),""))</f>
        <v/>
      </c>
      <c r="K760">
        <f>IF(K$2=0,"",IFERROR(TRIM(INDEX('Pegar docentes'!$A$1:$BZ$1001,759,K$2)&amp;""),""))</f>
        <v/>
      </c>
      <c r="L760">
        <f>IF(L$2=0,"",IFERROR(TRIM(INDEX('Pegar docentes'!$A$1:$BZ$1001,759,L$2)&amp;""),""))</f>
        <v/>
      </c>
      <c r="M760">
        <f>IF(M$2=0,"",IFERROR(TRIM(INDEX('Pegar docentes'!$A$1:$BZ$1001,759,M$2)&amp;""),""))</f>
        <v/>
      </c>
      <c r="N760">
        <f>IF(N$2=0,"",IFERROR(TRIM(INDEX('Pegar docentes'!$A$1:$BZ$1001,759,N$2)&amp;""),""))</f>
        <v/>
      </c>
      <c r="O760">
        <f>IF(O$2=0,"",IFERROR(TRIM(INDEX('Pegar docentes'!$A$1:$BZ$1001,759,O$2)&amp;""),""))</f>
        <v/>
      </c>
      <c r="P760">
        <f>IF(P$2=0,"",IFERROR(TRIM(INDEX('Pegar docentes'!$A$1:$BZ$1001,759,P$2)&amp;""),""))</f>
        <v/>
      </c>
      <c r="Q760" s="25">
        <f>IF(OR(D760&lt;&gt;"",H760&lt;&gt;""),1,"")</f>
        <v/>
      </c>
      <c r="R760" s="25">
        <f>IF(Q760=1,IF(ISNUMBER(FIND("#"&amp;MID(D760,1,1)&amp;"#","#0#1#2#3#4#5#6#7#8#9#")),IF(ISNUMBER(FIND("#"&amp;MID(D760,2,1)&amp;"#","#0#1#2#3#4#5#6#7#8#9#")),IF(AND(VALUE(LEFT(D760,2))&gt;=1,VALUE(LEFT(D760,2))&lt;=5),VALUE(LEFT(D760,2)),""),IF(AND(VALUE(LEFT(D760,1))&gt;=1,VALUE(LEFT(D760,1))&lt;=5),VALUE(LEFT(D760,1)),"")),""),"")</f>
        <v/>
      </c>
      <c r="S760" s="25">
        <f>IF(AND(Q760=1,E760&lt;&gt;""),SUBSTITUTE(SUBSTITUTE(SUBSTITUTE(SUBSTITUTE(SUBSTITUTE(SUBSTITUTE(SUBSTITUTE(SUBSTITUTE(SUBSTITUTE(SUBSTITUTE(SUBSTITUTE(SUBSTITUTE(LOWER(TRIM(E760)),"á","a"),"é","e"),"í","i"),"ó","o"),"ú","u"),"ü","u"),"ñ","n"),"à","a"),"è","e"),"ì","i"),"ò","o"),"ù","u"),"")</f>
        <v/>
      </c>
      <c r="T760" s="25">
        <f>IF(AND(Q760=1,G760&lt;&gt;""),SUBSTITUTE(SUBSTITUTE(SUBSTITUTE(SUBSTITUTE(SUBSTITUTE(SUBSTITUTE(SUBSTITUTE(SUBSTITUTE(SUBSTITUTE(SUBSTITUTE(SUBSTITUTE(SUBSTITUTE(LOWER(TRIM(G760)),"á","a"),"é","e"),"í","i"),"ó","o"),"ú","u"),"ü","u"),"ñ","n"),"à","a"),"è","e"),"ì","i"),"ò","o"),"ù","u"),"")</f>
        <v/>
      </c>
      <c r="U760" s="25">
        <f>IF(AND(Q760=1,H760&lt;&gt;""),SUBSTITUTE(SUBSTITUTE(SUBSTITUTE(SUBSTITUTE(SUBSTITUTE(SUBSTITUTE(SUBSTITUTE(SUBSTITUTE(SUBSTITUTE(SUBSTITUTE(SUBSTITUTE(SUBSTITUTE(LOWER(TRIM(H760)),"á","a"),"é","e"),"í","i"),"ó","o"),"ú","u"),"ü","u"),"ñ","n"),"à","a"),"è","e"),"ì","i"),"ò","o"),"ù","u"),"")</f>
        <v/>
      </c>
      <c r="V760" s="25">
        <f>IF(AND(Q760=1,L760&lt;&gt;""),SUBSTITUTE(SUBSTITUTE(SUBSTITUTE(SUBSTITUTE(SUBSTITUTE(SUBSTITUTE(SUBSTITUTE(SUBSTITUTE(SUBSTITUTE(SUBSTITUTE(SUBSTITUTE(SUBSTITUTE(LOWER(TRIM(L760)),"á","a"),"é","e"),"í","i"),"ó","o"),"ú","u"),"ü","u"),"ñ","n"),"à","a"),"è","e"),"ì","i"),"ò","o"),"ù","u"),"")</f>
        <v/>
      </c>
      <c r="W760" s="25">
        <f>IF(AND(Q760=1,I760&lt;&gt;""),SUBSTITUTE(SUBSTITUTE(SUBSTITUTE(SUBSTITUTE(SUBSTITUTE(SUBSTITUTE(SUBSTITUTE(SUBSTITUTE(SUBSTITUTE(SUBSTITUTE(SUBSTITUTE(SUBSTITUTE(LOWER(TRIM(I760)),"á","a"),"é","e"),"í","i"),"ó","o"),"ú","u"),"ü","u"),"ñ","n"),"à","a"),"è","e"),"ì","i"),"ò","o"),"ù","u"),"")</f>
        <v/>
      </c>
      <c r="X760" s="25">
        <f>IF(U760="","",IF(OR(U760="si, en la proxima tarea",U760="si, con cambios"),1,0))</f>
        <v/>
      </c>
      <c r="Y760" s="25">
        <f>IF(AND(Q760=1,A760&lt;&gt;""),IF(IFERROR(COUNTIFS(A$3:A760,"="&amp;SUBSTITUTE(SUBSTITUTE(SUBSTITUTE(A760,"~","~~"),"*","~*"),"?","~?"),Q$3:Q760,1),0)=1,MAX(Y$2:Y759)+1,""),"")</f>
        <v/>
      </c>
      <c r="Z760" s="25">
        <f>IF(Y760="","",COUNTIFS($A$3:$A$1002,"="&amp;SUBSTITUTE(SUBSTITUTE(SUBSTITUTE(A760,"~","~~"),"*","~*"),"?","~?"),$Q$3:$Q$1002,1)*10000-Y760)</f>
        <v/>
      </c>
    </row>
    <row r="761">
      <c r="A761">
        <f>IF(A$2=0,"",IFERROR(TRIM(INDEX('Pegar docentes'!$A$1:$BZ$1001,760,A$2)&amp;""),""))</f>
        <v/>
      </c>
      <c r="B761">
        <f>IF(B$2=0,"",IFERROR(TRIM(INDEX('Pegar docentes'!$A$1:$BZ$1001,760,B$2)&amp;""),""))</f>
        <v/>
      </c>
      <c r="C761">
        <f>IF(C$2=0,"",IFERROR(TRIM(INDEX('Pegar docentes'!$A$1:$BZ$1001,760,C$2)&amp;""),""))</f>
        <v/>
      </c>
      <c r="D761">
        <f>IF(D$2=0,"",IFERROR(TRIM(INDEX('Pegar docentes'!$A$1:$BZ$1001,760,D$2)&amp;""),""))</f>
        <v/>
      </c>
      <c r="E761">
        <f>IF(E$2=0,"",IFERROR(TRIM(INDEX('Pegar docentes'!$A$1:$BZ$1001,760,E$2)&amp;""),""))</f>
        <v/>
      </c>
      <c r="F761">
        <f>IF(F$2=0,"",IFERROR(TRIM(INDEX('Pegar docentes'!$A$1:$BZ$1001,760,F$2)&amp;""),""))</f>
        <v/>
      </c>
      <c r="G761">
        <f>IF(G$2=0,"",IFERROR(TRIM(INDEX('Pegar docentes'!$A$1:$BZ$1001,760,G$2)&amp;""),""))</f>
        <v/>
      </c>
      <c r="H761">
        <f>IF(H$2=0,"",IFERROR(TRIM(INDEX('Pegar docentes'!$A$1:$BZ$1001,760,H$2)&amp;""),""))</f>
        <v/>
      </c>
      <c r="I761">
        <f>IF(I$2=0,"",IFERROR(TRIM(INDEX('Pegar docentes'!$A$1:$BZ$1001,760,I$2)&amp;""),""))</f>
        <v/>
      </c>
      <c r="J761">
        <f>IF(J$2=0,"",IFERROR(TRIM(INDEX('Pegar docentes'!$A$1:$BZ$1001,760,J$2)&amp;""),""))</f>
        <v/>
      </c>
      <c r="K761">
        <f>IF(K$2=0,"",IFERROR(TRIM(INDEX('Pegar docentes'!$A$1:$BZ$1001,760,K$2)&amp;""),""))</f>
        <v/>
      </c>
      <c r="L761">
        <f>IF(L$2=0,"",IFERROR(TRIM(INDEX('Pegar docentes'!$A$1:$BZ$1001,760,L$2)&amp;""),""))</f>
        <v/>
      </c>
      <c r="M761">
        <f>IF(M$2=0,"",IFERROR(TRIM(INDEX('Pegar docentes'!$A$1:$BZ$1001,760,M$2)&amp;""),""))</f>
        <v/>
      </c>
      <c r="N761">
        <f>IF(N$2=0,"",IFERROR(TRIM(INDEX('Pegar docentes'!$A$1:$BZ$1001,760,N$2)&amp;""),""))</f>
        <v/>
      </c>
      <c r="O761">
        <f>IF(O$2=0,"",IFERROR(TRIM(INDEX('Pegar docentes'!$A$1:$BZ$1001,760,O$2)&amp;""),""))</f>
        <v/>
      </c>
      <c r="P761">
        <f>IF(P$2=0,"",IFERROR(TRIM(INDEX('Pegar docentes'!$A$1:$BZ$1001,760,P$2)&amp;""),""))</f>
        <v/>
      </c>
      <c r="Q761" s="25">
        <f>IF(OR(D761&lt;&gt;"",H761&lt;&gt;""),1,"")</f>
        <v/>
      </c>
      <c r="R761" s="25">
        <f>IF(Q761=1,IF(ISNUMBER(FIND("#"&amp;MID(D761,1,1)&amp;"#","#0#1#2#3#4#5#6#7#8#9#")),IF(ISNUMBER(FIND("#"&amp;MID(D761,2,1)&amp;"#","#0#1#2#3#4#5#6#7#8#9#")),IF(AND(VALUE(LEFT(D761,2))&gt;=1,VALUE(LEFT(D761,2))&lt;=5),VALUE(LEFT(D761,2)),""),IF(AND(VALUE(LEFT(D761,1))&gt;=1,VALUE(LEFT(D761,1))&lt;=5),VALUE(LEFT(D761,1)),"")),""),"")</f>
        <v/>
      </c>
      <c r="S761" s="25">
        <f>IF(AND(Q761=1,E761&lt;&gt;""),SUBSTITUTE(SUBSTITUTE(SUBSTITUTE(SUBSTITUTE(SUBSTITUTE(SUBSTITUTE(SUBSTITUTE(SUBSTITUTE(SUBSTITUTE(SUBSTITUTE(SUBSTITUTE(SUBSTITUTE(LOWER(TRIM(E761)),"á","a"),"é","e"),"í","i"),"ó","o"),"ú","u"),"ü","u"),"ñ","n"),"à","a"),"è","e"),"ì","i"),"ò","o"),"ù","u"),"")</f>
        <v/>
      </c>
      <c r="T761" s="25">
        <f>IF(AND(Q761=1,G761&lt;&gt;""),SUBSTITUTE(SUBSTITUTE(SUBSTITUTE(SUBSTITUTE(SUBSTITUTE(SUBSTITUTE(SUBSTITUTE(SUBSTITUTE(SUBSTITUTE(SUBSTITUTE(SUBSTITUTE(SUBSTITUTE(LOWER(TRIM(G761)),"á","a"),"é","e"),"í","i"),"ó","o"),"ú","u"),"ü","u"),"ñ","n"),"à","a"),"è","e"),"ì","i"),"ò","o"),"ù","u"),"")</f>
        <v/>
      </c>
      <c r="U761" s="25">
        <f>IF(AND(Q761=1,H761&lt;&gt;""),SUBSTITUTE(SUBSTITUTE(SUBSTITUTE(SUBSTITUTE(SUBSTITUTE(SUBSTITUTE(SUBSTITUTE(SUBSTITUTE(SUBSTITUTE(SUBSTITUTE(SUBSTITUTE(SUBSTITUTE(LOWER(TRIM(H761)),"á","a"),"é","e"),"í","i"),"ó","o"),"ú","u"),"ü","u"),"ñ","n"),"à","a"),"è","e"),"ì","i"),"ò","o"),"ù","u"),"")</f>
        <v/>
      </c>
      <c r="V761" s="25">
        <f>IF(AND(Q761=1,L761&lt;&gt;""),SUBSTITUTE(SUBSTITUTE(SUBSTITUTE(SUBSTITUTE(SUBSTITUTE(SUBSTITUTE(SUBSTITUTE(SUBSTITUTE(SUBSTITUTE(SUBSTITUTE(SUBSTITUTE(SUBSTITUTE(LOWER(TRIM(L761)),"á","a"),"é","e"),"í","i"),"ó","o"),"ú","u"),"ü","u"),"ñ","n"),"à","a"),"è","e"),"ì","i"),"ò","o"),"ù","u"),"")</f>
        <v/>
      </c>
      <c r="W761" s="25">
        <f>IF(AND(Q761=1,I761&lt;&gt;""),SUBSTITUTE(SUBSTITUTE(SUBSTITUTE(SUBSTITUTE(SUBSTITUTE(SUBSTITUTE(SUBSTITUTE(SUBSTITUTE(SUBSTITUTE(SUBSTITUTE(SUBSTITUTE(SUBSTITUTE(LOWER(TRIM(I761)),"á","a"),"é","e"),"í","i"),"ó","o"),"ú","u"),"ü","u"),"ñ","n"),"à","a"),"è","e"),"ì","i"),"ò","o"),"ù","u"),"")</f>
        <v/>
      </c>
      <c r="X761" s="25">
        <f>IF(U761="","",IF(OR(U761="si, en la proxima tarea",U761="si, con cambios"),1,0))</f>
        <v/>
      </c>
      <c r="Y761" s="25">
        <f>IF(AND(Q761=1,A761&lt;&gt;""),IF(IFERROR(COUNTIFS(A$3:A761,"="&amp;SUBSTITUTE(SUBSTITUTE(SUBSTITUTE(A761,"~","~~"),"*","~*"),"?","~?"),Q$3:Q761,1),0)=1,MAX(Y$2:Y760)+1,""),"")</f>
        <v/>
      </c>
      <c r="Z761" s="25">
        <f>IF(Y761="","",COUNTIFS($A$3:$A$1002,"="&amp;SUBSTITUTE(SUBSTITUTE(SUBSTITUTE(A761,"~","~~"),"*","~*"),"?","~?"),$Q$3:$Q$1002,1)*10000-Y761)</f>
        <v/>
      </c>
    </row>
    <row r="762">
      <c r="A762">
        <f>IF(A$2=0,"",IFERROR(TRIM(INDEX('Pegar docentes'!$A$1:$BZ$1001,761,A$2)&amp;""),""))</f>
        <v/>
      </c>
      <c r="B762">
        <f>IF(B$2=0,"",IFERROR(TRIM(INDEX('Pegar docentes'!$A$1:$BZ$1001,761,B$2)&amp;""),""))</f>
        <v/>
      </c>
      <c r="C762">
        <f>IF(C$2=0,"",IFERROR(TRIM(INDEX('Pegar docentes'!$A$1:$BZ$1001,761,C$2)&amp;""),""))</f>
        <v/>
      </c>
      <c r="D762">
        <f>IF(D$2=0,"",IFERROR(TRIM(INDEX('Pegar docentes'!$A$1:$BZ$1001,761,D$2)&amp;""),""))</f>
        <v/>
      </c>
      <c r="E762">
        <f>IF(E$2=0,"",IFERROR(TRIM(INDEX('Pegar docentes'!$A$1:$BZ$1001,761,E$2)&amp;""),""))</f>
        <v/>
      </c>
      <c r="F762">
        <f>IF(F$2=0,"",IFERROR(TRIM(INDEX('Pegar docentes'!$A$1:$BZ$1001,761,F$2)&amp;""),""))</f>
        <v/>
      </c>
      <c r="G762">
        <f>IF(G$2=0,"",IFERROR(TRIM(INDEX('Pegar docentes'!$A$1:$BZ$1001,761,G$2)&amp;""),""))</f>
        <v/>
      </c>
      <c r="H762">
        <f>IF(H$2=0,"",IFERROR(TRIM(INDEX('Pegar docentes'!$A$1:$BZ$1001,761,H$2)&amp;""),""))</f>
        <v/>
      </c>
      <c r="I762">
        <f>IF(I$2=0,"",IFERROR(TRIM(INDEX('Pegar docentes'!$A$1:$BZ$1001,761,I$2)&amp;""),""))</f>
        <v/>
      </c>
      <c r="J762">
        <f>IF(J$2=0,"",IFERROR(TRIM(INDEX('Pegar docentes'!$A$1:$BZ$1001,761,J$2)&amp;""),""))</f>
        <v/>
      </c>
      <c r="K762">
        <f>IF(K$2=0,"",IFERROR(TRIM(INDEX('Pegar docentes'!$A$1:$BZ$1001,761,K$2)&amp;""),""))</f>
        <v/>
      </c>
      <c r="L762">
        <f>IF(L$2=0,"",IFERROR(TRIM(INDEX('Pegar docentes'!$A$1:$BZ$1001,761,L$2)&amp;""),""))</f>
        <v/>
      </c>
      <c r="M762">
        <f>IF(M$2=0,"",IFERROR(TRIM(INDEX('Pegar docentes'!$A$1:$BZ$1001,761,M$2)&amp;""),""))</f>
        <v/>
      </c>
      <c r="N762">
        <f>IF(N$2=0,"",IFERROR(TRIM(INDEX('Pegar docentes'!$A$1:$BZ$1001,761,N$2)&amp;""),""))</f>
        <v/>
      </c>
      <c r="O762">
        <f>IF(O$2=0,"",IFERROR(TRIM(INDEX('Pegar docentes'!$A$1:$BZ$1001,761,O$2)&amp;""),""))</f>
        <v/>
      </c>
      <c r="P762">
        <f>IF(P$2=0,"",IFERROR(TRIM(INDEX('Pegar docentes'!$A$1:$BZ$1001,761,P$2)&amp;""),""))</f>
        <v/>
      </c>
      <c r="Q762" s="25">
        <f>IF(OR(D762&lt;&gt;"",H762&lt;&gt;""),1,"")</f>
        <v/>
      </c>
      <c r="R762" s="25">
        <f>IF(Q762=1,IF(ISNUMBER(FIND("#"&amp;MID(D762,1,1)&amp;"#","#0#1#2#3#4#5#6#7#8#9#")),IF(ISNUMBER(FIND("#"&amp;MID(D762,2,1)&amp;"#","#0#1#2#3#4#5#6#7#8#9#")),IF(AND(VALUE(LEFT(D762,2))&gt;=1,VALUE(LEFT(D762,2))&lt;=5),VALUE(LEFT(D762,2)),""),IF(AND(VALUE(LEFT(D762,1))&gt;=1,VALUE(LEFT(D762,1))&lt;=5),VALUE(LEFT(D762,1)),"")),""),"")</f>
        <v/>
      </c>
      <c r="S762" s="25">
        <f>IF(AND(Q762=1,E762&lt;&gt;""),SUBSTITUTE(SUBSTITUTE(SUBSTITUTE(SUBSTITUTE(SUBSTITUTE(SUBSTITUTE(SUBSTITUTE(SUBSTITUTE(SUBSTITUTE(SUBSTITUTE(SUBSTITUTE(SUBSTITUTE(LOWER(TRIM(E762)),"á","a"),"é","e"),"í","i"),"ó","o"),"ú","u"),"ü","u"),"ñ","n"),"à","a"),"è","e"),"ì","i"),"ò","o"),"ù","u"),"")</f>
        <v/>
      </c>
      <c r="T762" s="25">
        <f>IF(AND(Q762=1,G762&lt;&gt;""),SUBSTITUTE(SUBSTITUTE(SUBSTITUTE(SUBSTITUTE(SUBSTITUTE(SUBSTITUTE(SUBSTITUTE(SUBSTITUTE(SUBSTITUTE(SUBSTITUTE(SUBSTITUTE(SUBSTITUTE(LOWER(TRIM(G762)),"á","a"),"é","e"),"í","i"),"ó","o"),"ú","u"),"ü","u"),"ñ","n"),"à","a"),"è","e"),"ì","i"),"ò","o"),"ù","u"),"")</f>
        <v/>
      </c>
      <c r="U762" s="25">
        <f>IF(AND(Q762=1,H762&lt;&gt;""),SUBSTITUTE(SUBSTITUTE(SUBSTITUTE(SUBSTITUTE(SUBSTITUTE(SUBSTITUTE(SUBSTITUTE(SUBSTITUTE(SUBSTITUTE(SUBSTITUTE(SUBSTITUTE(SUBSTITUTE(LOWER(TRIM(H762)),"á","a"),"é","e"),"í","i"),"ó","o"),"ú","u"),"ü","u"),"ñ","n"),"à","a"),"è","e"),"ì","i"),"ò","o"),"ù","u"),"")</f>
        <v/>
      </c>
      <c r="V762" s="25">
        <f>IF(AND(Q762=1,L762&lt;&gt;""),SUBSTITUTE(SUBSTITUTE(SUBSTITUTE(SUBSTITUTE(SUBSTITUTE(SUBSTITUTE(SUBSTITUTE(SUBSTITUTE(SUBSTITUTE(SUBSTITUTE(SUBSTITUTE(SUBSTITUTE(LOWER(TRIM(L762)),"á","a"),"é","e"),"í","i"),"ó","o"),"ú","u"),"ü","u"),"ñ","n"),"à","a"),"è","e"),"ì","i"),"ò","o"),"ù","u"),"")</f>
        <v/>
      </c>
      <c r="W762" s="25">
        <f>IF(AND(Q762=1,I762&lt;&gt;""),SUBSTITUTE(SUBSTITUTE(SUBSTITUTE(SUBSTITUTE(SUBSTITUTE(SUBSTITUTE(SUBSTITUTE(SUBSTITUTE(SUBSTITUTE(SUBSTITUTE(SUBSTITUTE(SUBSTITUTE(LOWER(TRIM(I762)),"á","a"),"é","e"),"í","i"),"ó","o"),"ú","u"),"ü","u"),"ñ","n"),"à","a"),"è","e"),"ì","i"),"ò","o"),"ù","u"),"")</f>
        <v/>
      </c>
      <c r="X762" s="25">
        <f>IF(U762="","",IF(OR(U762="si, en la proxima tarea",U762="si, con cambios"),1,0))</f>
        <v/>
      </c>
      <c r="Y762" s="25">
        <f>IF(AND(Q762=1,A762&lt;&gt;""),IF(IFERROR(COUNTIFS(A$3:A762,"="&amp;SUBSTITUTE(SUBSTITUTE(SUBSTITUTE(A762,"~","~~"),"*","~*"),"?","~?"),Q$3:Q762,1),0)=1,MAX(Y$2:Y761)+1,""),"")</f>
        <v/>
      </c>
      <c r="Z762" s="25">
        <f>IF(Y762="","",COUNTIFS($A$3:$A$1002,"="&amp;SUBSTITUTE(SUBSTITUTE(SUBSTITUTE(A762,"~","~~"),"*","~*"),"?","~?"),$Q$3:$Q$1002,1)*10000-Y762)</f>
        <v/>
      </c>
    </row>
    <row r="763">
      <c r="A763">
        <f>IF(A$2=0,"",IFERROR(TRIM(INDEX('Pegar docentes'!$A$1:$BZ$1001,762,A$2)&amp;""),""))</f>
        <v/>
      </c>
      <c r="B763">
        <f>IF(B$2=0,"",IFERROR(TRIM(INDEX('Pegar docentes'!$A$1:$BZ$1001,762,B$2)&amp;""),""))</f>
        <v/>
      </c>
      <c r="C763">
        <f>IF(C$2=0,"",IFERROR(TRIM(INDEX('Pegar docentes'!$A$1:$BZ$1001,762,C$2)&amp;""),""))</f>
        <v/>
      </c>
      <c r="D763">
        <f>IF(D$2=0,"",IFERROR(TRIM(INDEX('Pegar docentes'!$A$1:$BZ$1001,762,D$2)&amp;""),""))</f>
        <v/>
      </c>
      <c r="E763">
        <f>IF(E$2=0,"",IFERROR(TRIM(INDEX('Pegar docentes'!$A$1:$BZ$1001,762,E$2)&amp;""),""))</f>
        <v/>
      </c>
      <c r="F763">
        <f>IF(F$2=0,"",IFERROR(TRIM(INDEX('Pegar docentes'!$A$1:$BZ$1001,762,F$2)&amp;""),""))</f>
        <v/>
      </c>
      <c r="G763">
        <f>IF(G$2=0,"",IFERROR(TRIM(INDEX('Pegar docentes'!$A$1:$BZ$1001,762,G$2)&amp;""),""))</f>
        <v/>
      </c>
      <c r="H763">
        <f>IF(H$2=0,"",IFERROR(TRIM(INDEX('Pegar docentes'!$A$1:$BZ$1001,762,H$2)&amp;""),""))</f>
        <v/>
      </c>
      <c r="I763">
        <f>IF(I$2=0,"",IFERROR(TRIM(INDEX('Pegar docentes'!$A$1:$BZ$1001,762,I$2)&amp;""),""))</f>
        <v/>
      </c>
      <c r="J763">
        <f>IF(J$2=0,"",IFERROR(TRIM(INDEX('Pegar docentes'!$A$1:$BZ$1001,762,J$2)&amp;""),""))</f>
        <v/>
      </c>
      <c r="K763">
        <f>IF(K$2=0,"",IFERROR(TRIM(INDEX('Pegar docentes'!$A$1:$BZ$1001,762,K$2)&amp;""),""))</f>
        <v/>
      </c>
      <c r="L763">
        <f>IF(L$2=0,"",IFERROR(TRIM(INDEX('Pegar docentes'!$A$1:$BZ$1001,762,L$2)&amp;""),""))</f>
        <v/>
      </c>
      <c r="M763">
        <f>IF(M$2=0,"",IFERROR(TRIM(INDEX('Pegar docentes'!$A$1:$BZ$1001,762,M$2)&amp;""),""))</f>
        <v/>
      </c>
      <c r="N763">
        <f>IF(N$2=0,"",IFERROR(TRIM(INDEX('Pegar docentes'!$A$1:$BZ$1001,762,N$2)&amp;""),""))</f>
        <v/>
      </c>
      <c r="O763">
        <f>IF(O$2=0,"",IFERROR(TRIM(INDEX('Pegar docentes'!$A$1:$BZ$1001,762,O$2)&amp;""),""))</f>
        <v/>
      </c>
      <c r="P763">
        <f>IF(P$2=0,"",IFERROR(TRIM(INDEX('Pegar docentes'!$A$1:$BZ$1001,762,P$2)&amp;""),""))</f>
        <v/>
      </c>
      <c r="Q763" s="25">
        <f>IF(OR(D763&lt;&gt;"",H763&lt;&gt;""),1,"")</f>
        <v/>
      </c>
      <c r="R763" s="25">
        <f>IF(Q763=1,IF(ISNUMBER(FIND("#"&amp;MID(D763,1,1)&amp;"#","#0#1#2#3#4#5#6#7#8#9#")),IF(ISNUMBER(FIND("#"&amp;MID(D763,2,1)&amp;"#","#0#1#2#3#4#5#6#7#8#9#")),IF(AND(VALUE(LEFT(D763,2))&gt;=1,VALUE(LEFT(D763,2))&lt;=5),VALUE(LEFT(D763,2)),""),IF(AND(VALUE(LEFT(D763,1))&gt;=1,VALUE(LEFT(D763,1))&lt;=5),VALUE(LEFT(D763,1)),"")),""),"")</f>
        <v/>
      </c>
      <c r="S763" s="25">
        <f>IF(AND(Q763=1,E763&lt;&gt;""),SUBSTITUTE(SUBSTITUTE(SUBSTITUTE(SUBSTITUTE(SUBSTITUTE(SUBSTITUTE(SUBSTITUTE(SUBSTITUTE(SUBSTITUTE(SUBSTITUTE(SUBSTITUTE(SUBSTITUTE(LOWER(TRIM(E763)),"á","a"),"é","e"),"í","i"),"ó","o"),"ú","u"),"ü","u"),"ñ","n"),"à","a"),"è","e"),"ì","i"),"ò","o"),"ù","u"),"")</f>
        <v/>
      </c>
      <c r="T763" s="25">
        <f>IF(AND(Q763=1,G763&lt;&gt;""),SUBSTITUTE(SUBSTITUTE(SUBSTITUTE(SUBSTITUTE(SUBSTITUTE(SUBSTITUTE(SUBSTITUTE(SUBSTITUTE(SUBSTITUTE(SUBSTITUTE(SUBSTITUTE(SUBSTITUTE(LOWER(TRIM(G763)),"á","a"),"é","e"),"í","i"),"ó","o"),"ú","u"),"ü","u"),"ñ","n"),"à","a"),"è","e"),"ì","i"),"ò","o"),"ù","u"),"")</f>
        <v/>
      </c>
      <c r="U763" s="25">
        <f>IF(AND(Q763=1,H763&lt;&gt;""),SUBSTITUTE(SUBSTITUTE(SUBSTITUTE(SUBSTITUTE(SUBSTITUTE(SUBSTITUTE(SUBSTITUTE(SUBSTITUTE(SUBSTITUTE(SUBSTITUTE(SUBSTITUTE(SUBSTITUTE(LOWER(TRIM(H763)),"á","a"),"é","e"),"í","i"),"ó","o"),"ú","u"),"ü","u"),"ñ","n"),"à","a"),"è","e"),"ì","i"),"ò","o"),"ù","u"),"")</f>
        <v/>
      </c>
      <c r="V763" s="25">
        <f>IF(AND(Q763=1,L763&lt;&gt;""),SUBSTITUTE(SUBSTITUTE(SUBSTITUTE(SUBSTITUTE(SUBSTITUTE(SUBSTITUTE(SUBSTITUTE(SUBSTITUTE(SUBSTITUTE(SUBSTITUTE(SUBSTITUTE(SUBSTITUTE(LOWER(TRIM(L763)),"á","a"),"é","e"),"í","i"),"ó","o"),"ú","u"),"ü","u"),"ñ","n"),"à","a"),"è","e"),"ì","i"),"ò","o"),"ù","u"),"")</f>
        <v/>
      </c>
      <c r="W763" s="25">
        <f>IF(AND(Q763=1,I763&lt;&gt;""),SUBSTITUTE(SUBSTITUTE(SUBSTITUTE(SUBSTITUTE(SUBSTITUTE(SUBSTITUTE(SUBSTITUTE(SUBSTITUTE(SUBSTITUTE(SUBSTITUTE(SUBSTITUTE(SUBSTITUTE(LOWER(TRIM(I763)),"á","a"),"é","e"),"í","i"),"ó","o"),"ú","u"),"ü","u"),"ñ","n"),"à","a"),"è","e"),"ì","i"),"ò","o"),"ù","u"),"")</f>
        <v/>
      </c>
      <c r="X763" s="25">
        <f>IF(U763="","",IF(OR(U763="si, en la proxima tarea",U763="si, con cambios"),1,0))</f>
        <v/>
      </c>
      <c r="Y763" s="25">
        <f>IF(AND(Q763=1,A763&lt;&gt;""),IF(IFERROR(COUNTIFS(A$3:A763,"="&amp;SUBSTITUTE(SUBSTITUTE(SUBSTITUTE(A763,"~","~~"),"*","~*"),"?","~?"),Q$3:Q763,1),0)=1,MAX(Y$2:Y762)+1,""),"")</f>
        <v/>
      </c>
      <c r="Z763" s="25">
        <f>IF(Y763="","",COUNTIFS($A$3:$A$1002,"="&amp;SUBSTITUTE(SUBSTITUTE(SUBSTITUTE(A763,"~","~~"),"*","~*"),"?","~?"),$Q$3:$Q$1002,1)*10000-Y763)</f>
        <v/>
      </c>
    </row>
    <row r="764">
      <c r="A764">
        <f>IF(A$2=0,"",IFERROR(TRIM(INDEX('Pegar docentes'!$A$1:$BZ$1001,763,A$2)&amp;""),""))</f>
        <v/>
      </c>
      <c r="B764">
        <f>IF(B$2=0,"",IFERROR(TRIM(INDEX('Pegar docentes'!$A$1:$BZ$1001,763,B$2)&amp;""),""))</f>
        <v/>
      </c>
      <c r="C764">
        <f>IF(C$2=0,"",IFERROR(TRIM(INDEX('Pegar docentes'!$A$1:$BZ$1001,763,C$2)&amp;""),""))</f>
        <v/>
      </c>
      <c r="D764">
        <f>IF(D$2=0,"",IFERROR(TRIM(INDEX('Pegar docentes'!$A$1:$BZ$1001,763,D$2)&amp;""),""))</f>
        <v/>
      </c>
      <c r="E764">
        <f>IF(E$2=0,"",IFERROR(TRIM(INDEX('Pegar docentes'!$A$1:$BZ$1001,763,E$2)&amp;""),""))</f>
        <v/>
      </c>
      <c r="F764">
        <f>IF(F$2=0,"",IFERROR(TRIM(INDEX('Pegar docentes'!$A$1:$BZ$1001,763,F$2)&amp;""),""))</f>
        <v/>
      </c>
      <c r="G764">
        <f>IF(G$2=0,"",IFERROR(TRIM(INDEX('Pegar docentes'!$A$1:$BZ$1001,763,G$2)&amp;""),""))</f>
        <v/>
      </c>
      <c r="H764">
        <f>IF(H$2=0,"",IFERROR(TRIM(INDEX('Pegar docentes'!$A$1:$BZ$1001,763,H$2)&amp;""),""))</f>
        <v/>
      </c>
      <c r="I764">
        <f>IF(I$2=0,"",IFERROR(TRIM(INDEX('Pegar docentes'!$A$1:$BZ$1001,763,I$2)&amp;""),""))</f>
        <v/>
      </c>
      <c r="J764">
        <f>IF(J$2=0,"",IFERROR(TRIM(INDEX('Pegar docentes'!$A$1:$BZ$1001,763,J$2)&amp;""),""))</f>
        <v/>
      </c>
      <c r="K764">
        <f>IF(K$2=0,"",IFERROR(TRIM(INDEX('Pegar docentes'!$A$1:$BZ$1001,763,K$2)&amp;""),""))</f>
        <v/>
      </c>
      <c r="L764">
        <f>IF(L$2=0,"",IFERROR(TRIM(INDEX('Pegar docentes'!$A$1:$BZ$1001,763,L$2)&amp;""),""))</f>
        <v/>
      </c>
      <c r="M764">
        <f>IF(M$2=0,"",IFERROR(TRIM(INDEX('Pegar docentes'!$A$1:$BZ$1001,763,M$2)&amp;""),""))</f>
        <v/>
      </c>
      <c r="N764">
        <f>IF(N$2=0,"",IFERROR(TRIM(INDEX('Pegar docentes'!$A$1:$BZ$1001,763,N$2)&amp;""),""))</f>
        <v/>
      </c>
      <c r="O764">
        <f>IF(O$2=0,"",IFERROR(TRIM(INDEX('Pegar docentes'!$A$1:$BZ$1001,763,O$2)&amp;""),""))</f>
        <v/>
      </c>
      <c r="P764">
        <f>IF(P$2=0,"",IFERROR(TRIM(INDEX('Pegar docentes'!$A$1:$BZ$1001,763,P$2)&amp;""),""))</f>
        <v/>
      </c>
      <c r="Q764" s="25">
        <f>IF(OR(D764&lt;&gt;"",H764&lt;&gt;""),1,"")</f>
        <v/>
      </c>
      <c r="R764" s="25">
        <f>IF(Q764=1,IF(ISNUMBER(FIND("#"&amp;MID(D764,1,1)&amp;"#","#0#1#2#3#4#5#6#7#8#9#")),IF(ISNUMBER(FIND("#"&amp;MID(D764,2,1)&amp;"#","#0#1#2#3#4#5#6#7#8#9#")),IF(AND(VALUE(LEFT(D764,2))&gt;=1,VALUE(LEFT(D764,2))&lt;=5),VALUE(LEFT(D764,2)),""),IF(AND(VALUE(LEFT(D764,1))&gt;=1,VALUE(LEFT(D764,1))&lt;=5),VALUE(LEFT(D764,1)),"")),""),"")</f>
        <v/>
      </c>
      <c r="S764" s="25">
        <f>IF(AND(Q764=1,E764&lt;&gt;""),SUBSTITUTE(SUBSTITUTE(SUBSTITUTE(SUBSTITUTE(SUBSTITUTE(SUBSTITUTE(SUBSTITUTE(SUBSTITUTE(SUBSTITUTE(SUBSTITUTE(SUBSTITUTE(SUBSTITUTE(LOWER(TRIM(E764)),"á","a"),"é","e"),"í","i"),"ó","o"),"ú","u"),"ü","u"),"ñ","n"),"à","a"),"è","e"),"ì","i"),"ò","o"),"ù","u"),"")</f>
        <v/>
      </c>
      <c r="T764" s="25">
        <f>IF(AND(Q764=1,G764&lt;&gt;""),SUBSTITUTE(SUBSTITUTE(SUBSTITUTE(SUBSTITUTE(SUBSTITUTE(SUBSTITUTE(SUBSTITUTE(SUBSTITUTE(SUBSTITUTE(SUBSTITUTE(SUBSTITUTE(SUBSTITUTE(LOWER(TRIM(G764)),"á","a"),"é","e"),"í","i"),"ó","o"),"ú","u"),"ü","u"),"ñ","n"),"à","a"),"è","e"),"ì","i"),"ò","o"),"ù","u"),"")</f>
        <v/>
      </c>
      <c r="U764" s="25">
        <f>IF(AND(Q764=1,H764&lt;&gt;""),SUBSTITUTE(SUBSTITUTE(SUBSTITUTE(SUBSTITUTE(SUBSTITUTE(SUBSTITUTE(SUBSTITUTE(SUBSTITUTE(SUBSTITUTE(SUBSTITUTE(SUBSTITUTE(SUBSTITUTE(LOWER(TRIM(H764)),"á","a"),"é","e"),"í","i"),"ó","o"),"ú","u"),"ü","u"),"ñ","n"),"à","a"),"è","e"),"ì","i"),"ò","o"),"ù","u"),"")</f>
        <v/>
      </c>
      <c r="V764" s="25">
        <f>IF(AND(Q764=1,L764&lt;&gt;""),SUBSTITUTE(SUBSTITUTE(SUBSTITUTE(SUBSTITUTE(SUBSTITUTE(SUBSTITUTE(SUBSTITUTE(SUBSTITUTE(SUBSTITUTE(SUBSTITUTE(SUBSTITUTE(SUBSTITUTE(LOWER(TRIM(L764)),"á","a"),"é","e"),"í","i"),"ó","o"),"ú","u"),"ü","u"),"ñ","n"),"à","a"),"è","e"),"ì","i"),"ò","o"),"ù","u"),"")</f>
        <v/>
      </c>
      <c r="W764" s="25">
        <f>IF(AND(Q764=1,I764&lt;&gt;""),SUBSTITUTE(SUBSTITUTE(SUBSTITUTE(SUBSTITUTE(SUBSTITUTE(SUBSTITUTE(SUBSTITUTE(SUBSTITUTE(SUBSTITUTE(SUBSTITUTE(SUBSTITUTE(SUBSTITUTE(LOWER(TRIM(I764)),"á","a"),"é","e"),"í","i"),"ó","o"),"ú","u"),"ü","u"),"ñ","n"),"à","a"),"è","e"),"ì","i"),"ò","o"),"ù","u"),"")</f>
        <v/>
      </c>
      <c r="X764" s="25">
        <f>IF(U764="","",IF(OR(U764="si, en la proxima tarea",U764="si, con cambios"),1,0))</f>
        <v/>
      </c>
      <c r="Y764" s="25">
        <f>IF(AND(Q764=1,A764&lt;&gt;""),IF(IFERROR(COUNTIFS(A$3:A764,"="&amp;SUBSTITUTE(SUBSTITUTE(SUBSTITUTE(A764,"~","~~"),"*","~*"),"?","~?"),Q$3:Q764,1),0)=1,MAX(Y$2:Y763)+1,""),"")</f>
        <v/>
      </c>
      <c r="Z764" s="25">
        <f>IF(Y764="","",COUNTIFS($A$3:$A$1002,"="&amp;SUBSTITUTE(SUBSTITUTE(SUBSTITUTE(A764,"~","~~"),"*","~*"),"?","~?"),$Q$3:$Q$1002,1)*10000-Y764)</f>
        <v/>
      </c>
    </row>
    <row r="765">
      <c r="A765">
        <f>IF(A$2=0,"",IFERROR(TRIM(INDEX('Pegar docentes'!$A$1:$BZ$1001,764,A$2)&amp;""),""))</f>
        <v/>
      </c>
      <c r="B765">
        <f>IF(B$2=0,"",IFERROR(TRIM(INDEX('Pegar docentes'!$A$1:$BZ$1001,764,B$2)&amp;""),""))</f>
        <v/>
      </c>
      <c r="C765">
        <f>IF(C$2=0,"",IFERROR(TRIM(INDEX('Pegar docentes'!$A$1:$BZ$1001,764,C$2)&amp;""),""))</f>
        <v/>
      </c>
      <c r="D765">
        <f>IF(D$2=0,"",IFERROR(TRIM(INDEX('Pegar docentes'!$A$1:$BZ$1001,764,D$2)&amp;""),""))</f>
        <v/>
      </c>
      <c r="E765">
        <f>IF(E$2=0,"",IFERROR(TRIM(INDEX('Pegar docentes'!$A$1:$BZ$1001,764,E$2)&amp;""),""))</f>
        <v/>
      </c>
      <c r="F765">
        <f>IF(F$2=0,"",IFERROR(TRIM(INDEX('Pegar docentes'!$A$1:$BZ$1001,764,F$2)&amp;""),""))</f>
        <v/>
      </c>
      <c r="G765">
        <f>IF(G$2=0,"",IFERROR(TRIM(INDEX('Pegar docentes'!$A$1:$BZ$1001,764,G$2)&amp;""),""))</f>
        <v/>
      </c>
      <c r="H765">
        <f>IF(H$2=0,"",IFERROR(TRIM(INDEX('Pegar docentes'!$A$1:$BZ$1001,764,H$2)&amp;""),""))</f>
        <v/>
      </c>
      <c r="I765">
        <f>IF(I$2=0,"",IFERROR(TRIM(INDEX('Pegar docentes'!$A$1:$BZ$1001,764,I$2)&amp;""),""))</f>
        <v/>
      </c>
      <c r="J765">
        <f>IF(J$2=0,"",IFERROR(TRIM(INDEX('Pegar docentes'!$A$1:$BZ$1001,764,J$2)&amp;""),""))</f>
        <v/>
      </c>
      <c r="K765">
        <f>IF(K$2=0,"",IFERROR(TRIM(INDEX('Pegar docentes'!$A$1:$BZ$1001,764,K$2)&amp;""),""))</f>
        <v/>
      </c>
      <c r="L765">
        <f>IF(L$2=0,"",IFERROR(TRIM(INDEX('Pegar docentes'!$A$1:$BZ$1001,764,L$2)&amp;""),""))</f>
        <v/>
      </c>
      <c r="M765">
        <f>IF(M$2=0,"",IFERROR(TRIM(INDEX('Pegar docentes'!$A$1:$BZ$1001,764,M$2)&amp;""),""))</f>
        <v/>
      </c>
      <c r="N765">
        <f>IF(N$2=0,"",IFERROR(TRIM(INDEX('Pegar docentes'!$A$1:$BZ$1001,764,N$2)&amp;""),""))</f>
        <v/>
      </c>
      <c r="O765">
        <f>IF(O$2=0,"",IFERROR(TRIM(INDEX('Pegar docentes'!$A$1:$BZ$1001,764,O$2)&amp;""),""))</f>
        <v/>
      </c>
      <c r="P765">
        <f>IF(P$2=0,"",IFERROR(TRIM(INDEX('Pegar docentes'!$A$1:$BZ$1001,764,P$2)&amp;""),""))</f>
        <v/>
      </c>
      <c r="Q765" s="25">
        <f>IF(OR(D765&lt;&gt;"",H765&lt;&gt;""),1,"")</f>
        <v/>
      </c>
      <c r="R765" s="25">
        <f>IF(Q765=1,IF(ISNUMBER(FIND("#"&amp;MID(D765,1,1)&amp;"#","#0#1#2#3#4#5#6#7#8#9#")),IF(ISNUMBER(FIND("#"&amp;MID(D765,2,1)&amp;"#","#0#1#2#3#4#5#6#7#8#9#")),IF(AND(VALUE(LEFT(D765,2))&gt;=1,VALUE(LEFT(D765,2))&lt;=5),VALUE(LEFT(D765,2)),""),IF(AND(VALUE(LEFT(D765,1))&gt;=1,VALUE(LEFT(D765,1))&lt;=5),VALUE(LEFT(D765,1)),"")),""),"")</f>
        <v/>
      </c>
      <c r="S765" s="25">
        <f>IF(AND(Q765=1,E765&lt;&gt;""),SUBSTITUTE(SUBSTITUTE(SUBSTITUTE(SUBSTITUTE(SUBSTITUTE(SUBSTITUTE(SUBSTITUTE(SUBSTITUTE(SUBSTITUTE(SUBSTITUTE(SUBSTITUTE(SUBSTITUTE(LOWER(TRIM(E765)),"á","a"),"é","e"),"í","i"),"ó","o"),"ú","u"),"ü","u"),"ñ","n"),"à","a"),"è","e"),"ì","i"),"ò","o"),"ù","u"),"")</f>
        <v/>
      </c>
      <c r="T765" s="25">
        <f>IF(AND(Q765=1,G765&lt;&gt;""),SUBSTITUTE(SUBSTITUTE(SUBSTITUTE(SUBSTITUTE(SUBSTITUTE(SUBSTITUTE(SUBSTITUTE(SUBSTITUTE(SUBSTITUTE(SUBSTITUTE(SUBSTITUTE(SUBSTITUTE(LOWER(TRIM(G765)),"á","a"),"é","e"),"í","i"),"ó","o"),"ú","u"),"ü","u"),"ñ","n"),"à","a"),"è","e"),"ì","i"),"ò","o"),"ù","u"),"")</f>
        <v/>
      </c>
      <c r="U765" s="25">
        <f>IF(AND(Q765=1,H765&lt;&gt;""),SUBSTITUTE(SUBSTITUTE(SUBSTITUTE(SUBSTITUTE(SUBSTITUTE(SUBSTITUTE(SUBSTITUTE(SUBSTITUTE(SUBSTITUTE(SUBSTITUTE(SUBSTITUTE(SUBSTITUTE(LOWER(TRIM(H765)),"á","a"),"é","e"),"í","i"),"ó","o"),"ú","u"),"ü","u"),"ñ","n"),"à","a"),"è","e"),"ì","i"),"ò","o"),"ù","u"),"")</f>
        <v/>
      </c>
      <c r="V765" s="25">
        <f>IF(AND(Q765=1,L765&lt;&gt;""),SUBSTITUTE(SUBSTITUTE(SUBSTITUTE(SUBSTITUTE(SUBSTITUTE(SUBSTITUTE(SUBSTITUTE(SUBSTITUTE(SUBSTITUTE(SUBSTITUTE(SUBSTITUTE(SUBSTITUTE(LOWER(TRIM(L765)),"á","a"),"é","e"),"í","i"),"ó","o"),"ú","u"),"ü","u"),"ñ","n"),"à","a"),"è","e"),"ì","i"),"ò","o"),"ù","u"),"")</f>
        <v/>
      </c>
      <c r="W765" s="25">
        <f>IF(AND(Q765=1,I765&lt;&gt;""),SUBSTITUTE(SUBSTITUTE(SUBSTITUTE(SUBSTITUTE(SUBSTITUTE(SUBSTITUTE(SUBSTITUTE(SUBSTITUTE(SUBSTITUTE(SUBSTITUTE(SUBSTITUTE(SUBSTITUTE(LOWER(TRIM(I765)),"á","a"),"é","e"),"í","i"),"ó","o"),"ú","u"),"ü","u"),"ñ","n"),"à","a"),"è","e"),"ì","i"),"ò","o"),"ù","u"),"")</f>
        <v/>
      </c>
      <c r="X765" s="25">
        <f>IF(U765="","",IF(OR(U765="si, en la proxima tarea",U765="si, con cambios"),1,0))</f>
        <v/>
      </c>
      <c r="Y765" s="25">
        <f>IF(AND(Q765=1,A765&lt;&gt;""),IF(IFERROR(COUNTIFS(A$3:A765,"="&amp;SUBSTITUTE(SUBSTITUTE(SUBSTITUTE(A765,"~","~~"),"*","~*"),"?","~?"),Q$3:Q765,1),0)=1,MAX(Y$2:Y764)+1,""),"")</f>
        <v/>
      </c>
      <c r="Z765" s="25">
        <f>IF(Y765="","",COUNTIFS($A$3:$A$1002,"="&amp;SUBSTITUTE(SUBSTITUTE(SUBSTITUTE(A765,"~","~~"),"*","~*"),"?","~?"),$Q$3:$Q$1002,1)*10000-Y765)</f>
        <v/>
      </c>
    </row>
    <row r="766">
      <c r="A766">
        <f>IF(A$2=0,"",IFERROR(TRIM(INDEX('Pegar docentes'!$A$1:$BZ$1001,765,A$2)&amp;""),""))</f>
        <v/>
      </c>
      <c r="B766">
        <f>IF(B$2=0,"",IFERROR(TRIM(INDEX('Pegar docentes'!$A$1:$BZ$1001,765,B$2)&amp;""),""))</f>
        <v/>
      </c>
      <c r="C766">
        <f>IF(C$2=0,"",IFERROR(TRIM(INDEX('Pegar docentes'!$A$1:$BZ$1001,765,C$2)&amp;""),""))</f>
        <v/>
      </c>
      <c r="D766">
        <f>IF(D$2=0,"",IFERROR(TRIM(INDEX('Pegar docentes'!$A$1:$BZ$1001,765,D$2)&amp;""),""))</f>
        <v/>
      </c>
      <c r="E766">
        <f>IF(E$2=0,"",IFERROR(TRIM(INDEX('Pegar docentes'!$A$1:$BZ$1001,765,E$2)&amp;""),""))</f>
        <v/>
      </c>
      <c r="F766">
        <f>IF(F$2=0,"",IFERROR(TRIM(INDEX('Pegar docentes'!$A$1:$BZ$1001,765,F$2)&amp;""),""))</f>
        <v/>
      </c>
      <c r="G766">
        <f>IF(G$2=0,"",IFERROR(TRIM(INDEX('Pegar docentes'!$A$1:$BZ$1001,765,G$2)&amp;""),""))</f>
        <v/>
      </c>
      <c r="H766">
        <f>IF(H$2=0,"",IFERROR(TRIM(INDEX('Pegar docentes'!$A$1:$BZ$1001,765,H$2)&amp;""),""))</f>
        <v/>
      </c>
      <c r="I766">
        <f>IF(I$2=0,"",IFERROR(TRIM(INDEX('Pegar docentes'!$A$1:$BZ$1001,765,I$2)&amp;""),""))</f>
        <v/>
      </c>
      <c r="J766">
        <f>IF(J$2=0,"",IFERROR(TRIM(INDEX('Pegar docentes'!$A$1:$BZ$1001,765,J$2)&amp;""),""))</f>
        <v/>
      </c>
      <c r="K766">
        <f>IF(K$2=0,"",IFERROR(TRIM(INDEX('Pegar docentes'!$A$1:$BZ$1001,765,K$2)&amp;""),""))</f>
        <v/>
      </c>
      <c r="L766">
        <f>IF(L$2=0,"",IFERROR(TRIM(INDEX('Pegar docentes'!$A$1:$BZ$1001,765,L$2)&amp;""),""))</f>
        <v/>
      </c>
      <c r="M766">
        <f>IF(M$2=0,"",IFERROR(TRIM(INDEX('Pegar docentes'!$A$1:$BZ$1001,765,M$2)&amp;""),""))</f>
        <v/>
      </c>
      <c r="N766">
        <f>IF(N$2=0,"",IFERROR(TRIM(INDEX('Pegar docentes'!$A$1:$BZ$1001,765,N$2)&amp;""),""))</f>
        <v/>
      </c>
      <c r="O766">
        <f>IF(O$2=0,"",IFERROR(TRIM(INDEX('Pegar docentes'!$A$1:$BZ$1001,765,O$2)&amp;""),""))</f>
        <v/>
      </c>
      <c r="P766">
        <f>IF(P$2=0,"",IFERROR(TRIM(INDEX('Pegar docentes'!$A$1:$BZ$1001,765,P$2)&amp;""),""))</f>
        <v/>
      </c>
      <c r="Q766" s="25">
        <f>IF(OR(D766&lt;&gt;"",H766&lt;&gt;""),1,"")</f>
        <v/>
      </c>
      <c r="R766" s="25">
        <f>IF(Q766=1,IF(ISNUMBER(FIND("#"&amp;MID(D766,1,1)&amp;"#","#0#1#2#3#4#5#6#7#8#9#")),IF(ISNUMBER(FIND("#"&amp;MID(D766,2,1)&amp;"#","#0#1#2#3#4#5#6#7#8#9#")),IF(AND(VALUE(LEFT(D766,2))&gt;=1,VALUE(LEFT(D766,2))&lt;=5),VALUE(LEFT(D766,2)),""),IF(AND(VALUE(LEFT(D766,1))&gt;=1,VALUE(LEFT(D766,1))&lt;=5),VALUE(LEFT(D766,1)),"")),""),"")</f>
        <v/>
      </c>
      <c r="S766" s="25">
        <f>IF(AND(Q766=1,E766&lt;&gt;""),SUBSTITUTE(SUBSTITUTE(SUBSTITUTE(SUBSTITUTE(SUBSTITUTE(SUBSTITUTE(SUBSTITUTE(SUBSTITUTE(SUBSTITUTE(SUBSTITUTE(SUBSTITUTE(SUBSTITUTE(LOWER(TRIM(E766)),"á","a"),"é","e"),"í","i"),"ó","o"),"ú","u"),"ü","u"),"ñ","n"),"à","a"),"è","e"),"ì","i"),"ò","o"),"ù","u"),"")</f>
        <v/>
      </c>
      <c r="T766" s="25">
        <f>IF(AND(Q766=1,G766&lt;&gt;""),SUBSTITUTE(SUBSTITUTE(SUBSTITUTE(SUBSTITUTE(SUBSTITUTE(SUBSTITUTE(SUBSTITUTE(SUBSTITUTE(SUBSTITUTE(SUBSTITUTE(SUBSTITUTE(SUBSTITUTE(LOWER(TRIM(G766)),"á","a"),"é","e"),"í","i"),"ó","o"),"ú","u"),"ü","u"),"ñ","n"),"à","a"),"è","e"),"ì","i"),"ò","o"),"ù","u"),"")</f>
        <v/>
      </c>
      <c r="U766" s="25">
        <f>IF(AND(Q766=1,H766&lt;&gt;""),SUBSTITUTE(SUBSTITUTE(SUBSTITUTE(SUBSTITUTE(SUBSTITUTE(SUBSTITUTE(SUBSTITUTE(SUBSTITUTE(SUBSTITUTE(SUBSTITUTE(SUBSTITUTE(SUBSTITUTE(LOWER(TRIM(H766)),"á","a"),"é","e"),"í","i"),"ó","o"),"ú","u"),"ü","u"),"ñ","n"),"à","a"),"è","e"),"ì","i"),"ò","o"),"ù","u"),"")</f>
        <v/>
      </c>
      <c r="V766" s="25">
        <f>IF(AND(Q766=1,L766&lt;&gt;""),SUBSTITUTE(SUBSTITUTE(SUBSTITUTE(SUBSTITUTE(SUBSTITUTE(SUBSTITUTE(SUBSTITUTE(SUBSTITUTE(SUBSTITUTE(SUBSTITUTE(SUBSTITUTE(SUBSTITUTE(LOWER(TRIM(L766)),"á","a"),"é","e"),"í","i"),"ó","o"),"ú","u"),"ü","u"),"ñ","n"),"à","a"),"è","e"),"ì","i"),"ò","o"),"ù","u"),"")</f>
        <v/>
      </c>
      <c r="W766" s="25">
        <f>IF(AND(Q766=1,I766&lt;&gt;""),SUBSTITUTE(SUBSTITUTE(SUBSTITUTE(SUBSTITUTE(SUBSTITUTE(SUBSTITUTE(SUBSTITUTE(SUBSTITUTE(SUBSTITUTE(SUBSTITUTE(SUBSTITUTE(SUBSTITUTE(LOWER(TRIM(I766)),"á","a"),"é","e"),"í","i"),"ó","o"),"ú","u"),"ü","u"),"ñ","n"),"à","a"),"è","e"),"ì","i"),"ò","o"),"ù","u"),"")</f>
        <v/>
      </c>
      <c r="X766" s="25">
        <f>IF(U766="","",IF(OR(U766="si, en la proxima tarea",U766="si, con cambios"),1,0))</f>
        <v/>
      </c>
      <c r="Y766" s="25">
        <f>IF(AND(Q766=1,A766&lt;&gt;""),IF(IFERROR(COUNTIFS(A$3:A766,"="&amp;SUBSTITUTE(SUBSTITUTE(SUBSTITUTE(A766,"~","~~"),"*","~*"),"?","~?"),Q$3:Q766,1),0)=1,MAX(Y$2:Y765)+1,""),"")</f>
        <v/>
      </c>
      <c r="Z766" s="25">
        <f>IF(Y766="","",COUNTIFS($A$3:$A$1002,"="&amp;SUBSTITUTE(SUBSTITUTE(SUBSTITUTE(A766,"~","~~"),"*","~*"),"?","~?"),$Q$3:$Q$1002,1)*10000-Y766)</f>
        <v/>
      </c>
    </row>
    <row r="767">
      <c r="A767">
        <f>IF(A$2=0,"",IFERROR(TRIM(INDEX('Pegar docentes'!$A$1:$BZ$1001,766,A$2)&amp;""),""))</f>
        <v/>
      </c>
      <c r="B767">
        <f>IF(B$2=0,"",IFERROR(TRIM(INDEX('Pegar docentes'!$A$1:$BZ$1001,766,B$2)&amp;""),""))</f>
        <v/>
      </c>
      <c r="C767">
        <f>IF(C$2=0,"",IFERROR(TRIM(INDEX('Pegar docentes'!$A$1:$BZ$1001,766,C$2)&amp;""),""))</f>
        <v/>
      </c>
      <c r="D767">
        <f>IF(D$2=0,"",IFERROR(TRIM(INDEX('Pegar docentes'!$A$1:$BZ$1001,766,D$2)&amp;""),""))</f>
        <v/>
      </c>
      <c r="E767">
        <f>IF(E$2=0,"",IFERROR(TRIM(INDEX('Pegar docentes'!$A$1:$BZ$1001,766,E$2)&amp;""),""))</f>
        <v/>
      </c>
      <c r="F767">
        <f>IF(F$2=0,"",IFERROR(TRIM(INDEX('Pegar docentes'!$A$1:$BZ$1001,766,F$2)&amp;""),""))</f>
        <v/>
      </c>
      <c r="G767">
        <f>IF(G$2=0,"",IFERROR(TRIM(INDEX('Pegar docentes'!$A$1:$BZ$1001,766,G$2)&amp;""),""))</f>
        <v/>
      </c>
      <c r="H767">
        <f>IF(H$2=0,"",IFERROR(TRIM(INDEX('Pegar docentes'!$A$1:$BZ$1001,766,H$2)&amp;""),""))</f>
        <v/>
      </c>
      <c r="I767">
        <f>IF(I$2=0,"",IFERROR(TRIM(INDEX('Pegar docentes'!$A$1:$BZ$1001,766,I$2)&amp;""),""))</f>
        <v/>
      </c>
      <c r="J767">
        <f>IF(J$2=0,"",IFERROR(TRIM(INDEX('Pegar docentes'!$A$1:$BZ$1001,766,J$2)&amp;""),""))</f>
        <v/>
      </c>
      <c r="K767">
        <f>IF(K$2=0,"",IFERROR(TRIM(INDEX('Pegar docentes'!$A$1:$BZ$1001,766,K$2)&amp;""),""))</f>
        <v/>
      </c>
      <c r="L767">
        <f>IF(L$2=0,"",IFERROR(TRIM(INDEX('Pegar docentes'!$A$1:$BZ$1001,766,L$2)&amp;""),""))</f>
        <v/>
      </c>
      <c r="M767">
        <f>IF(M$2=0,"",IFERROR(TRIM(INDEX('Pegar docentes'!$A$1:$BZ$1001,766,M$2)&amp;""),""))</f>
        <v/>
      </c>
      <c r="N767">
        <f>IF(N$2=0,"",IFERROR(TRIM(INDEX('Pegar docentes'!$A$1:$BZ$1001,766,N$2)&amp;""),""))</f>
        <v/>
      </c>
      <c r="O767">
        <f>IF(O$2=0,"",IFERROR(TRIM(INDEX('Pegar docentes'!$A$1:$BZ$1001,766,O$2)&amp;""),""))</f>
        <v/>
      </c>
      <c r="P767">
        <f>IF(P$2=0,"",IFERROR(TRIM(INDEX('Pegar docentes'!$A$1:$BZ$1001,766,P$2)&amp;""),""))</f>
        <v/>
      </c>
      <c r="Q767" s="25">
        <f>IF(OR(D767&lt;&gt;"",H767&lt;&gt;""),1,"")</f>
        <v/>
      </c>
      <c r="R767" s="25">
        <f>IF(Q767=1,IF(ISNUMBER(FIND("#"&amp;MID(D767,1,1)&amp;"#","#0#1#2#3#4#5#6#7#8#9#")),IF(ISNUMBER(FIND("#"&amp;MID(D767,2,1)&amp;"#","#0#1#2#3#4#5#6#7#8#9#")),IF(AND(VALUE(LEFT(D767,2))&gt;=1,VALUE(LEFT(D767,2))&lt;=5),VALUE(LEFT(D767,2)),""),IF(AND(VALUE(LEFT(D767,1))&gt;=1,VALUE(LEFT(D767,1))&lt;=5),VALUE(LEFT(D767,1)),"")),""),"")</f>
        <v/>
      </c>
      <c r="S767" s="25">
        <f>IF(AND(Q767=1,E767&lt;&gt;""),SUBSTITUTE(SUBSTITUTE(SUBSTITUTE(SUBSTITUTE(SUBSTITUTE(SUBSTITUTE(SUBSTITUTE(SUBSTITUTE(SUBSTITUTE(SUBSTITUTE(SUBSTITUTE(SUBSTITUTE(LOWER(TRIM(E767)),"á","a"),"é","e"),"í","i"),"ó","o"),"ú","u"),"ü","u"),"ñ","n"),"à","a"),"è","e"),"ì","i"),"ò","o"),"ù","u"),"")</f>
        <v/>
      </c>
      <c r="T767" s="25">
        <f>IF(AND(Q767=1,G767&lt;&gt;""),SUBSTITUTE(SUBSTITUTE(SUBSTITUTE(SUBSTITUTE(SUBSTITUTE(SUBSTITUTE(SUBSTITUTE(SUBSTITUTE(SUBSTITUTE(SUBSTITUTE(SUBSTITUTE(SUBSTITUTE(LOWER(TRIM(G767)),"á","a"),"é","e"),"í","i"),"ó","o"),"ú","u"),"ü","u"),"ñ","n"),"à","a"),"è","e"),"ì","i"),"ò","o"),"ù","u"),"")</f>
        <v/>
      </c>
      <c r="U767" s="25">
        <f>IF(AND(Q767=1,H767&lt;&gt;""),SUBSTITUTE(SUBSTITUTE(SUBSTITUTE(SUBSTITUTE(SUBSTITUTE(SUBSTITUTE(SUBSTITUTE(SUBSTITUTE(SUBSTITUTE(SUBSTITUTE(SUBSTITUTE(SUBSTITUTE(LOWER(TRIM(H767)),"á","a"),"é","e"),"í","i"),"ó","o"),"ú","u"),"ü","u"),"ñ","n"),"à","a"),"è","e"),"ì","i"),"ò","o"),"ù","u"),"")</f>
        <v/>
      </c>
      <c r="V767" s="25">
        <f>IF(AND(Q767=1,L767&lt;&gt;""),SUBSTITUTE(SUBSTITUTE(SUBSTITUTE(SUBSTITUTE(SUBSTITUTE(SUBSTITUTE(SUBSTITUTE(SUBSTITUTE(SUBSTITUTE(SUBSTITUTE(SUBSTITUTE(SUBSTITUTE(LOWER(TRIM(L767)),"á","a"),"é","e"),"í","i"),"ó","o"),"ú","u"),"ü","u"),"ñ","n"),"à","a"),"è","e"),"ì","i"),"ò","o"),"ù","u"),"")</f>
        <v/>
      </c>
      <c r="W767" s="25">
        <f>IF(AND(Q767=1,I767&lt;&gt;""),SUBSTITUTE(SUBSTITUTE(SUBSTITUTE(SUBSTITUTE(SUBSTITUTE(SUBSTITUTE(SUBSTITUTE(SUBSTITUTE(SUBSTITUTE(SUBSTITUTE(SUBSTITUTE(SUBSTITUTE(LOWER(TRIM(I767)),"á","a"),"é","e"),"í","i"),"ó","o"),"ú","u"),"ü","u"),"ñ","n"),"à","a"),"è","e"),"ì","i"),"ò","o"),"ù","u"),"")</f>
        <v/>
      </c>
      <c r="X767" s="25">
        <f>IF(U767="","",IF(OR(U767="si, en la proxima tarea",U767="si, con cambios"),1,0))</f>
        <v/>
      </c>
      <c r="Y767" s="25">
        <f>IF(AND(Q767=1,A767&lt;&gt;""),IF(IFERROR(COUNTIFS(A$3:A767,"="&amp;SUBSTITUTE(SUBSTITUTE(SUBSTITUTE(A767,"~","~~"),"*","~*"),"?","~?"),Q$3:Q767,1),0)=1,MAX(Y$2:Y766)+1,""),"")</f>
        <v/>
      </c>
      <c r="Z767" s="25">
        <f>IF(Y767="","",COUNTIFS($A$3:$A$1002,"="&amp;SUBSTITUTE(SUBSTITUTE(SUBSTITUTE(A767,"~","~~"),"*","~*"),"?","~?"),$Q$3:$Q$1002,1)*10000-Y767)</f>
        <v/>
      </c>
    </row>
    <row r="768">
      <c r="A768">
        <f>IF(A$2=0,"",IFERROR(TRIM(INDEX('Pegar docentes'!$A$1:$BZ$1001,767,A$2)&amp;""),""))</f>
        <v/>
      </c>
      <c r="B768">
        <f>IF(B$2=0,"",IFERROR(TRIM(INDEX('Pegar docentes'!$A$1:$BZ$1001,767,B$2)&amp;""),""))</f>
        <v/>
      </c>
      <c r="C768">
        <f>IF(C$2=0,"",IFERROR(TRIM(INDEX('Pegar docentes'!$A$1:$BZ$1001,767,C$2)&amp;""),""))</f>
        <v/>
      </c>
      <c r="D768">
        <f>IF(D$2=0,"",IFERROR(TRIM(INDEX('Pegar docentes'!$A$1:$BZ$1001,767,D$2)&amp;""),""))</f>
        <v/>
      </c>
      <c r="E768">
        <f>IF(E$2=0,"",IFERROR(TRIM(INDEX('Pegar docentes'!$A$1:$BZ$1001,767,E$2)&amp;""),""))</f>
        <v/>
      </c>
      <c r="F768">
        <f>IF(F$2=0,"",IFERROR(TRIM(INDEX('Pegar docentes'!$A$1:$BZ$1001,767,F$2)&amp;""),""))</f>
        <v/>
      </c>
      <c r="G768">
        <f>IF(G$2=0,"",IFERROR(TRIM(INDEX('Pegar docentes'!$A$1:$BZ$1001,767,G$2)&amp;""),""))</f>
        <v/>
      </c>
      <c r="H768">
        <f>IF(H$2=0,"",IFERROR(TRIM(INDEX('Pegar docentes'!$A$1:$BZ$1001,767,H$2)&amp;""),""))</f>
        <v/>
      </c>
      <c r="I768">
        <f>IF(I$2=0,"",IFERROR(TRIM(INDEX('Pegar docentes'!$A$1:$BZ$1001,767,I$2)&amp;""),""))</f>
        <v/>
      </c>
      <c r="J768">
        <f>IF(J$2=0,"",IFERROR(TRIM(INDEX('Pegar docentes'!$A$1:$BZ$1001,767,J$2)&amp;""),""))</f>
        <v/>
      </c>
      <c r="K768">
        <f>IF(K$2=0,"",IFERROR(TRIM(INDEX('Pegar docentes'!$A$1:$BZ$1001,767,K$2)&amp;""),""))</f>
        <v/>
      </c>
      <c r="L768">
        <f>IF(L$2=0,"",IFERROR(TRIM(INDEX('Pegar docentes'!$A$1:$BZ$1001,767,L$2)&amp;""),""))</f>
        <v/>
      </c>
      <c r="M768">
        <f>IF(M$2=0,"",IFERROR(TRIM(INDEX('Pegar docentes'!$A$1:$BZ$1001,767,M$2)&amp;""),""))</f>
        <v/>
      </c>
      <c r="N768">
        <f>IF(N$2=0,"",IFERROR(TRIM(INDEX('Pegar docentes'!$A$1:$BZ$1001,767,N$2)&amp;""),""))</f>
        <v/>
      </c>
      <c r="O768">
        <f>IF(O$2=0,"",IFERROR(TRIM(INDEX('Pegar docentes'!$A$1:$BZ$1001,767,O$2)&amp;""),""))</f>
        <v/>
      </c>
      <c r="P768">
        <f>IF(P$2=0,"",IFERROR(TRIM(INDEX('Pegar docentes'!$A$1:$BZ$1001,767,P$2)&amp;""),""))</f>
        <v/>
      </c>
      <c r="Q768" s="25">
        <f>IF(OR(D768&lt;&gt;"",H768&lt;&gt;""),1,"")</f>
        <v/>
      </c>
      <c r="R768" s="25">
        <f>IF(Q768=1,IF(ISNUMBER(FIND("#"&amp;MID(D768,1,1)&amp;"#","#0#1#2#3#4#5#6#7#8#9#")),IF(ISNUMBER(FIND("#"&amp;MID(D768,2,1)&amp;"#","#0#1#2#3#4#5#6#7#8#9#")),IF(AND(VALUE(LEFT(D768,2))&gt;=1,VALUE(LEFT(D768,2))&lt;=5),VALUE(LEFT(D768,2)),""),IF(AND(VALUE(LEFT(D768,1))&gt;=1,VALUE(LEFT(D768,1))&lt;=5),VALUE(LEFT(D768,1)),"")),""),"")</f>
        <v/>
      </c>
      <c r="S768" s="25">
        <f>IF(AND(Q768=1,E768&lt;&gt;""),SUBSTITUTE(SUBSTITUTE(SUBSTITUTE(SUBSTITUTE(SUBSTITUTE(SUBSTITUTE(SUBSTITUTE(SUBSTITUTE(SUBSTITUTE(SUBSTITUTE(SUBSTITUTE(SUBSTITUTE(LOWER(TRIM(E768)),"á","a"),"é","e"),"í","i"),"ó","o"),"ú","u"),"ü","u"),"ñ","n"),"à","a"),"è","e"),"ì","i"),"ò","o"),"ù","u"),"")</f>
        <v/>
      </c>
      <c r="T768" s="25">
        <f>IF(AND(Q768=1,G768&lt;&gt;""),SUBSTITUTE(SUBSTITUTE(SUBSTITUTE(SUBSTITUTE(SUBSTITUTE(SUBSTITUTE(SUBSTITUTE(SUBSTITUTE(SUBSTITUTE(SUBSTITUTE(SUBSTITUTE(SUBSTITUTE(LOWER(TRIM(G768)),"á","a"),"é","e"),"í","i"),"ó","o"),"ú","u"),"ü","u"),"ñ","n"),"à","a"),"è","e"),"ì","i"),"ò","o"),"ù","u"),"")</f>
        <v/>
      </c>
      <c r="U768" s="25">
        <f>IF(AND(Q768=1,H768&lt;&gt;""),SUBSTITUTE(SUBSTITUTE(SUBSTITUTE(SUBSTITUTE(SUBSTITUTE(SUBSTITUTE(SUBSTITUTE(SUBSTITUTE(SUBSTITUTE(SUBSTITUTE(SUBSTITUTE(SUBSTITUTE(LOWER(TRIM(H768)),"á","a"),"é","e"),"í","i"),"ó","o"),"ú","u"),"ü","u"),"ñ","n"),"à","a"),"è","e"),"ì","i"),"ò","o"),"ù","u"),"")</f>
        <v/>
      </c>
      <c r="V768" s="25">
        <f>IF(AND(Q768=1,L768&lt;&gt;""),SUBSTITUTE(SUBSTITUTE(SUBSTITUTE(SUBSTITUTE(SUBSTITUTE(SUBSTITUTE(SUBSTITUTE(SUBSTITUTE(SUBSTITUTE(SUBSTITUTE(SUBSTITUTE(SUBSTITUTE(LOWER(TRIM(L768)),"á","a"),"é","e"),"í","i"),"ó","o"),"ú","u"),"ü","u"),"ñ","n"),"à","a"),"è","e"),"ì","i"),"ò","o"),"ù","u"),"")</f>
        <v/>
      </c>
      <c r="W768" s="25">
        <f>IF(AND(Q768=1,I768&lt;&gt;""),SUBSTITUTE(SUBSTITUTE(SUBSTITUTE(SUBSTITUTE(SUBSTITUTE(SUBSTITUTE(SUBSTITUTE(SUBSTITUTE(SUBSTITUTE(SUBSTITUTE(SUBSTITUTE(SUBSTITUTE(LOWER(TRIM(I768)),"á","a"),"é","e"),"í","i"),"ó","o"),"ú","u"),"ü","u"),"ñ","n"),"à","a"),"è","e"),"ì","i"),"ò","o"),"ù","u"),"")</f>
        <v/>
      </c>
      <c r="X768" s="25">
        <f>IF(U768="","",IF(OR(U768="si, en la proxima tarea",U768="si, con cambios"),1,0))</f>
        <v/>
      </c>
      <c r="Y768" s="25">
        <f>IF(AND(Q768=1,A768&lt;&gt;""),IF(IFERROR(COUNTIFS(A$3:A768,"="&amp;SUBSTITUTE(SUBSTITUTE(SUBSTITUTE(A768,"~","~~"),"*","~*"),"?","~?"),Q$3:Q768,1),0)=1,MAX(Y$2:Y767)+1,""),"")</f>
        <v/>
      </c>
      <c r="Z768" s="25">
        <f>IF(Y768="","",COUNTIFS($A$3:$A$1002,"="&amp;SUBSTITUTE(SUBSTITUTE(SUBSTITUTE(A768,"~","~~"),"*","~*"),"?","~?"),$Q$3:$Q$1002,1)*10000-Y768)</f>
        <v/>
      </c>
    </row>
    <row r="769">
      <c r="A769">
        <f>IF(A$2=0,"",IFERROR(TRIM(INDEX('Pegar docentes'!$A$1:$BZ$1001,768,A$2)&amp;""),""))</f>
        <v/>
      </c>
      <c r="B769">
        <f>IF(B$2=0,"",IFERROR(TRIM(INDEX('Pegar docentes'!$A$1:$BZ$1001,768,B$2)&amp;""),""))</f>
        <v/>
      </c>
      <c r="C769">
        <f>IF(C$2=0,"",IFERROR(TRIM(INDEX('Pegar docentes'!$A$1:$BZ$1001,768,C$2)&amp;""),""))</f>
        <v/>
      </c>
      <c r="D769">
        <f>IF(D$2=0,"",IFERROR(TRIM(INDEX('Pegar docentes'!$A$1:$BZ$1001,768,D$2)&amp;""),""))</f>
        <v/>
      </c>
      <c r="E769">
        <f>IF(E$2=0,"",IFERROR(TRIM(INDEX('Pegar docentes'!$A$1:$BZ$1001,768,E$2)&amp;""),""))</f>
        <v/>
      </c>
      <c r="F769">
        <f>IF(F$2=0,"",IFERROR(TRIM(INDEX('Pegar docentes'!$A$1:$BZ$1001,768,F$2)&amp;""),""))</f>
        <v/>
      </c>
      <c r="G769">
        <f>IF(G$2=0,"",IFERROR(TRIM(INDEX('Pegar docentes'!$A$1:$BZ$1001,768,G$2)&amp;""),""))</f>
        <v/>
      </c>
      <c r="H769">
        <f>IF(H$2=0,"",IFERROR(TRIM(INDEX('Pegar docentes'!$A$1:$BZ$1001,768,H$2)&amp;""),""))</f>
        <v/>
      </c>
      <c r="I769">
        <f>IF(I$2=0,"",IFERROR(TRIM(INDEX('Pegar docentes'!$A$1:$BZ$1001,768,I$2)&amp;""),""))</f>
        <v/>
      </c>
      <c r="J769">
        <f>IF(J$2=0,"",IFERROR(TRIM(INDEX('Pegar docentes'!$A$1:$BZ$1001,768,J$2)&amp;""),""))</f>
        <v/>
      </c>
      <c r="K769">
        <f>IF(K$2=0,"",IFERROR(TRIM(INDEX('Pegar docentes'!$A$1:$BZ$1001,768,K$2)&amp;""),""))</f>
        <v/>
      </c>
      <c r="L769">
        <f>IF(L$2=0,"",IFERROR(TRIM(INDEX('Pegar docentes'!$A$1:$BZ$1001,768,L$2)&amp;""),""))</f>
        <v/>
      </c>
      <c r="M769">
        <f>IF(M$2=0,"",IFERROR(TRIM(INDEX('Pegar docentes'!$A$1:$BZ$1001,768,M$2)&amp;""),""))</f>
        <v/>
      </c>
      <c r="N769">
        <f>IF(N$2=0,"",IFERROR(TRIM(INDEX('Pegar docentes'!$A$1:$BZ$1001,768,N$2)&amp;""),""))</f>
        <v/>
      </c>
      <c r="O769">
        <f>IF(O$2=0,"",IFERROR(TRIM(INDEX('Pegar docentes'!$A$1:$BZ$1001,768,O$2)&amp;""),""))</f>
        <v/>
      </c>
      <c r="P769">
        <f>IF(P$2=0,"",IFERROR(TRIM(INDEX('Pegar docentes'!$A$1:$BZ$1001,768,P$2)&amp;""),""))</f>
        <v/>
      </c>
      <c r="Q769" s="25">
        <f>IF(OR(D769&lt;&gt;"",H769&lt;&gt;""),1,"")</f>
        <v/>
      </c>
      <c r="R769" s="25">
        <f>IF(Q769=1,IF(ISNUMBER(FIND("#"&amp;MID(D769,1,1)&amp;"#","#0#1#2#3#4#5#6#7#8#9#")),IF(ISNUMBER(FIND("#"&amp;MID(D769,2,1)&amp;"#","#0#1#2#3#4#5#6#7#8#9#")),IF(AND(VALUE(LEFT(D769,2))&gt;=1,VALUE(LEFT(D769,2))&lt;=5),VALUE(LEFT(D769,2)),""),IF(AND(VALUE(LEFT(D769,1))&gt;=1,VALUE(LEFT(D769,1))&lt;=5),VALUE(LEFT(D769,1)),"")),""),"")</f>
        <v/>
      </c>
      <c r="S769" s="25">
        <f>IF(AND(Q769=1,E769&lt;&gt;""),SUBSTITUTE(SUBSTITUTE(SUBSTITUTE(SUBSTITUTE(SUBSTITUTE(SUBSTITUTE(SUBSTITUTE(SUBSTITUTE(SUBSTITUTE(SUBSTITUTE(SUBSTITUTE(SUBSTITUTE(LOWER(TRIM(E769)),"á","a"),"é","e"),"í","i"),"ó","o"),"ú","u"),"ü","u"),"ñ","n"),"à","a"),"è","e"),"ì","i"),"ò","o"),"ù","u"),"")</f>
        <v/>
      </c>
      <c r="T769" s="25">
        <f>IF(AND(Q769=1,G769&lt;&gt;""),SUBSTITUTE(SUBSTITUTE(SUBSTITUTE(SUBSTITUTE(SUBSTITUTE(SUBSTITUTE(SUBSTITUTE(SUBSTITUTE(SUBSTITUTE(SUBSTITUTE(SUBSTITUTE(SUBSTITUTE(LOWER(TRIM(G769)),"á","a"),"é","e"),"í","i"),"ó","o"),"ú","u"),"ü","u"),"ñ","n"),"à","a"),"è","e"),"ì","i"),"ò","o"),"ù","u"),"")</f>
        <v/>
      </c>
      <c r="U769" s="25">
        <f>IF(AND(Q769=1,H769&lt;&gt;""),SUBSTITUTE(SUBSTITUTE(SUBSTITUTE(SUBSTITUTE(SUBSTITUTE(SUBSTITUTE(SUBSTITUTE(SUBSTITUTE(SUBSTITUTE(SUBSTITUTE(SUBSTITUTE(SUBSTITUTE(LOWER(TRIM(H769)),"á","a"),"é","e"),"í","i"),"ó","o"),"ú","u"),"ü","u"),"ñ","n"),"à","a"),"è","e"),"ì","i"),"ò","o"),"ù","u"),"")</f>
        <v/>
      </c>
      <c r="V769" s="25">
        <f>IF(AND(Q769=1,L769&lt;&gt;""),SUBSTITUTE(SUBSTITUTE(SUBSTITUTE(SUBSTITUTE(SUBSTITUTE(SUBSTITUTE(SUBSTITUTE(SUBSTITUTE(SUBSTITUTE(SUBSTITUTE(SUBSTITUTE(SUBSTITUTE(LOWER(TRIM(L769)),"á","a"),"é","e"),"í","i"),"ó","o"),"ú","u"),"ü","u"),"ñ","n"),"à","a"),"è","e"),"ì","i"),"ò","o"),"ù","u"),"")</f>
        <v/>
      </c>
      <c r="W769" s="25">
        <f>IF(AND(Q769=1,I769&lt;&gt;""),SUBSTITUTE(SUBSTITUTE(SUBSTITUTE(SUBSTITUTE(SUBSTITUTE(SUBSTITUTE(SUBSTITUTE(SUBSTITUTE(SUBSTITUTE(SUBSTITUTE(SUBSTITUTE(SUBSTITUTE(LOWER(TRIM(I769)),"á","a"),"é","e"),"í","i"),"ó","o"),"ú","u"),"ü","u"),"ñ","n"),"à","a"),"è","e"),"ì","i"),"ò","o"),"ù","u"),"")</f>
        <v/>
      </c>
      <c r="X769" s="25">
        <f>IF(U769="","",IF(OR(U769="si, en la proxima tarea",U769="si, con cambios"),1,0))</f>
        <v/>
      </c>
      <c r="Y769" s="25">
        <f>IF(AND(Q769=1,A769&lt;&gt;""),IF(IFERROR(COUNTIFS(A$3:A769,"="&amp;SUBSTITUTE(SUBSTITUTE(SUBSTITUTE(A769,"~","~~"),"*","~*"),"?","~?"),Q$3:Q769,1),0)=1,MAX(Y$2:Y768)+1,""),"")</f>
        <v/>
      </c>
      <c r="Z769" s="25">
        <f>IF(Y769="","",COUNTIFS($A$3:$A$1002,"="&amp;SUBSTITUTE(SUBSTITUTE(SUBSTITUTE(A769,"~","~~"),"*","~*"),"?","~?"),$Q$3:$Q$1002,1)*10000-Y769)</f>
        <v/>
      </c>
    </row>
    <row r="770">
      <c r="A770">
        <f>IF(A$2=0,"",IFERROR(TRIM(INDEX('Pegar docentes'!$A$1:$BZ$1001,769,A$2)&amp;""),""))</f>
        <v/>
      </c>
      <c r="B770">
        <f>IF(B$2=0,"",IFERROR(TRIM(INDEX('Pegar docentes'!$A$1:$BZ$1001,769,B$2)&amp;""),""))</f>
        <v/>
      </c>
      <c r="C770">
        <f>IF(C$2=0,"",IFERROR(TRIM(INDEX('Pegar docentes'!$A$1:$BZ$1001,769,C$2)&amp;""),""))</f>
        <v/>
      </c>
      <c r="D770">
        <f>IF(D$2=0,"",IFERROR(TRIM(INDEX('Pegar docentes'!$A$1:$BZ$1001,769,D$2)&amp;""),""))</f>
        <v/>
      </c>
      <c r="E770">
        <f>IF(E$2=0,"",IFERROR(TRIM(INDEX('Pegar docentes'!$A$1:$BZ$1001,769,E$2)&amp;""),""))</f>
        <v/>
      </c>
      <c r="F770">
        <f>IF(F$2=0,"",IFERROR(TRIM(INDEX('Pegar docentes'!$A$1:$BZ$1001,769,F$2)&amp;""),""))</f>
        <v/>
      </c>
      <c r="G770">
        <f>IF(G$2=0,"",IFERROR(TRIM(INDEX('Pegar docentes'!$A$1:$BZ$1001,769,G$2)&amp;""),""))</f>
        <v/>
      </c>
      <c r="H770">
        <f>IF(H$2=0,"",IFERROR(TRIM(INDEX('Pegar docentes'!$A$1:$BZ$1001,769,H$2)&amp;""),""))</f>
        <v/>
      </c>
      <c r="I770">
        <f>IF(I$2=0,"",IFERROR(TRIM(INDEX('Pegar docentes'!$A$1:$BZ$1001,769,I$2)&amp;""),""))</f>
        <v/>
      </c>
      <c r="J770">
        <f>IF(J$2=0,"",IFERROR(TRIM(INDEX('Pegar docentes'!$A$1:$BZ$1001,769,J$2)&amp;""),""))</f>
        <v/>
      </c>
      <c r="K770">
        <f>IF(K$2=0,"",IFERROR(TRIM(INDEX('Pegar docentes'!$A$1:$BZ$1001,769,K$2)&amp;""),""))</f>
        <v/>
      </c>
      <c r="L770">
        <f>IF(L$2=0,"",IFERROR(TRIM(INDEX('Pegar docentes'!$A$1:$BZ$1001,769,L$2)&amp;""),""))</f>
        <v/>
      </c>
      <c r="M770">
        <f>IF(M$2=0,"",IFERROR(TRIM(INDEX('Pegar docentes'!$A$1:$BZ$1001,769,M$2)&amp;""),""))</f>
        <v/>
      </c>
      <c r="N770">
        <f>IF(N$2=0,"",IFERROR(TRIM(INDEX('Pegar docentes'!$A$1:$BZ$1001,769,N$2)&amp;""),""))</f>
        <v/>
      </c>
      <c r="O770">
        <f>IF(O$2=0,"",IFERROR(TRIM(INDEX('Pegar docentes'!$A$1:$BZ$1001,769,O$2)&amp;""),""))</f>
        <v/>
      </c>
      <c r="P770">
        <f>IF(P$2=0,"",IFERROR(TRIM(INDEX('Pegar docentes'!$A$1:$BZ$1001,769,P$2)&amp;""),""))</f>
        <v/>
      </c>
      <c r="Q770" s="25">
        <f>IF(OR(D770&lt;&gt;"",H770&lt;&gt;""),1,"")</f>
        <v/>
      </c>
      <c r="R770" s="25">
        <f>IF(Q770=1,IF(ISNUMBER(FIND("#"&amp;MID(D770,1,1)&amp;"#","#0#1#2#3#4#5#6#7#8#9#")),IF(ISNUMBER(FIND("#"&amp;MID(D770,2,1)&amp;"#","#0#1#2#3#4#5#6#7#8#9#")),IF(AND(VALUE(LEFT(D770,2))&gt;=1,VALUE(LEFT(D770,2))&lt;=5),VALUE(LEFT(D770,2)),""),IF(AND(VALUE(LEFT(D770,1))&gt;=1,VALUE(LEFT(D770,1))&lt;=5),VALUE(LEFT(D770,1)),"")),""),"")</f>
        <v/>
      </c>
      <c r="S770" s="25">
        <f>IF(AND(Q770=1,E770&lt;&gt;""),SUBSTITUTE(SUBSTITUTE(SUBSTITUTE(SUBSTITUTE(SUBSTITUTE(SUBSTITUTE(SUBSTITUTE(SUBSTITUTE(SUBSTITUTE(SUBSTITUTE(SUBSTITUTE(SUBSTITUTE(LOWER(TRIM(E770)),"á","a"),"é","e"),"í","i"),"ó","o"),"ú","u"),"ü","u"),"ñ","n"),"à","a"),"è","e"),"ì","i"),"ò","o"),"ù","u"),"")</f>
        <v/>
      </c>
      <c r="T770" s="25">
        <f>IF(AND(Q770=1,G770&lt;&gt;""),SUBSTITUTE(SUBSTITUTE(SUBSTITUTE(SUBSTITUTE(SUBSTITUTE(SUBSTITUTE(SUBSTITUTE(SUBSTITUTE(SUBSTITUTE(SUBSTITUTE(SUBSTITUTE(SUBSTITUTE(LOWER(TRIM(G770)),"á","a"),"é","e"),"í","i"),"ó","o"),"ú","u"),"ü","u"),"ñ","n"),"à","a"),"è","e"),"ì","i"),"ò","o"),"ù","u"),"")</f>
        <v/>
      </c>
      <c r="U770" s="25">
        <f>IF(AND(Q770=1,H770&lt;&gt;""),SUBSTITUTE(SUBSTITUTE(SUBSTITUTE(SUBSTITUTE(SUBSTITUTE(SUBSTITUTE(SUBSTITUTE(SUBSTITUTE(SUBSTITUTE(SUBSTITUTE(SUBSTITUTE(SUBSTITUTE(LOWER(TRIM(H770)),"á","a"),"é","e"),"í","i"),"ó","o"),"ú","u"),"ü","u"),"ñ","n"),"à","a"),"è","e"),"ì","i"),"ò","o"),"ù","u"),"")</f>
        <v/>
      </c>
      <c r="V770" s="25">
        <f>IF(AND(Q770=1,L770&lt;&gt;""),SUBSTITUTE(SUBSTITUTE(SUBSTITUTE(SUBSTITUTE(SUBSTITUTE(SUBSTITUTE(SUBSTITUTE(SUBSTITUTE(SUBSTITUTE(SUBSTITUTE(SUBSTITUTE(SUBSTITUTE(LOWER(TRIM(L770)),"á","a"),"é","e"),"í","i"),"ó","o"),"ú","u"),"ü","u"),"ñ","n"),"à","a"),"è","e"),"ì","i"),"ò","o"),"ù","u"),"")</f>
        <v/>
      </c>
      <c r="W770" s="25">
        <f>IF(AND(Q770=1,I770&lt;&gt;""),SUBSTITUTE(SUBSTITUTE(SUBSTITUTE(SUBSTITUTE(SUBSTITUTE(SUBSTITUTE(SUBSTITUTE(SUBSTITUTE(SUBSTITUTE(SUBSTITUTE(SUBSTITUTE(SUBSTITUTE(LOWER(TRIM(I770)),"á","a"),"é","e"),"í","i"),"ó","o"),"ú","u"),"ü","u"),"ñ","n"),"à","a"),"è","e"),"ì","i"),"ò","o"),"ù","u"),"")</f>
        <v/>
      </c>
      <c r="X770" s="25">
        <f>IF(U770="","",IF(OR(U770="si, en la proxima tarea",U770="si, con cambios"),1,0))</f>
        <v/>
      </c>
      <c r="Y770" s="25">
        <f>IF(AND(Q770=1,A770&lt;&gt;""),IF(IFERROR(COUNTIFS(A$3:A770,"="&amp;SUBSTITUTE(SUBSTITUTE(SUBSTITUTE(A770,"~","~~"),"*","~*"),"?","~?"),Q$3:Q770,1),0)=1,MAX(Y$2:Y769)+1,""),"")</f>
        <v/>
      </c>
      <c r="Z770" s="25">
        <f>IF(Y770="","",COUNTIFS($A$3:$A$1002,"="&amp;SUBSTITUTE(SUBSTITUTE(SUBSTITUTE(A770,"~","~~"),"*","~*"),"?","~?"),$Q$3:$Q$1002,1)*10000-Y770)</f>
        <v/>
      </c>
    </row>
    <row r="771">
      <c r="A771">
        <f>IF(A$2=0,"",IFERROR(TRIM(INDEX('Pegar docentes'!$A$1:$BZ$1001,770,A$2)&amp;""),""))</f>
        <v/>
      </c>
      <c r="B771">
        <f>IF(B$2=0,"",IFERROR(TRIM(INDEX('Pegar docentes'!$A$1:$BZ$1001,770,B$2)&amp;""),""))</f>
        <v/>
      </c>
      <c r="C771">
        <f>IF(C$2=0,"",IFERROR(TRIM(INDEX('Pegar docentes'!$A$1:$BZ$1001,770,C$2)&amp;""),""))</f>
        <v/>
      </c>
      <c r="D771">
        <f>IF(D$2=0,"",IFERROR(TRIM(INDEX('Pegar docentes'!$A$1:$BZ$1001,770,D$2)&amp;""),""))</f>
        <v/>
      </c>
      <c r="E771">
        <f>IF(E$2=0,"",IFERROR(TRIM(INDEX('Pegar docentes'!$A$1:$BZ$1001,770,E$2)&amp;""),""))</f>
        <v/>
      </c>
      <c r="F771">
        <f>IF(F$2=0,"",IFERROR(TRIM(INDEX('Pegar docentes'!$A$1:$BZ$1001,770,F$2)&amp;""),""))</f>
        <v/>
      </c>
      <c r="G771">
        <f>IF(G$2=0,"",IFERROR(TRIM(INDEX('Pegar docentes'!$A$1:$BZ$1001,770,G$2)&amp;""),""))</f>
        <v/>
      </c>
      <c r="H771">
        <f>IF(H$2=0,"",IFERROR(TRIM(INDEX('Pegar docentes'!$A$1:$BZ$1001,770,H$2)&amp;""),""))</f>
        <v/>
      </c>
      <c r="I771">
        <f>IF(I$2=0,"",IFERROR(TRIM(INDEX('Pegar docentes'!$A$1:$BZ$1001,770,I$2)&amp;""),""))</f>
        <v/>
      </c>
      <c r="J771">
        <f>IF(J$2=0,"",IFERROR(TRIM(INDEX('Pegar docentes'!$A$1:$BZ$1001,770,J$2)&amp;""),""))</f>
        <v/>
      </c>
      <c r="K771">
        <f>IF(K$2=0,"",IFERROR(TRIM(INDEX('Pegar docentes'!$A$1:$BZ$1001,770,K$2)&amp;""),""))</f>
        <v/>
      </c>
      <c r="L771">
        <f>IF(L$2=0,"",IFERROR(TRIM(INDEX('Pegar docentes'!$A$1:$BZ$1001,770,L$2)&amp;""),""))</f>
        <v/>
      </c>
      <c r="M771">
        <f>IF(M$2=0,"",IFERROR(TRIM(INDEX('Pegar docentes'!$A$1:$BZ$1001,770,M$2)&amp;""),""))</f>
        <v/>
      </c>
      <c r="N771">
        <f>IF(N$2=0,"",IFERROR(TRIM(INDEX('Pegar docentes'!$A$1:$BZ$1001,770,N$2)&amp;""),""))</f>
        <v/>
      </c>
      <c r="O771">
        <f>IF(O$2=0,"",IFERROR(TRIM(INDEX('Pegar docentes'!$A$1:$BZ$1001,770,O$2)&amp;""),""))</f>
        <v/>
      </c>
      <c r="P771">
        <f>IF(P$2=0,"",IFERROR(TRIM(INDEX('Pegar docentes'!$A$1:$BZ$1001,770,P$2)&amp;""),""))</f>
        <v/>
      </c>
      <c r="Q771" s="25">
        <f>IF(OR(D771&lt;&gt;"",H771&lt;&gt;""),1,"")</f>
        <v/>
      </c>
      <c r="R771" s="25">
        <f>IF(Q771=1,IF(ISNUMBER(FIND("#"&amp;MID(D771,1,1)&amp;"#","#0#1#2#3#4#5#6#7#8#9#")),IF(ISNUMBER(FIND("#"&amp;MID(D771,2,1)&amp;"#","#0#1#2#3#4#5#6#7#8#9#")),IF(AND(VALUE(LEFT(D771,2))&gt;=1,VALUE(LEFT(D771,2))&lt;=5),VALUE(LEFT(D771,2)),""),IF(AND(VALUE(LEFT(D771,1))&gt;=1,VALUE(LEFT(D771,1))&lt;=5),VALUE(LEFT(D771,1)),"")),""),"")</f>
        <v/>
      </c>
      <c r="S771" s="25">
        <f>IF(AND(Q771=1,E771&lt;&gt;""),SUBSTITUTE(SUBSTITUTE(SUBSTITUTE(SUBSTITUTE(SUBSTITUTE(SUBSTITUTE(SUBSTITUTE(SUBSTITUTE(SUBSTITUTE(SUBSTITUTE(SUBSTITUTE(SUBSTITUTE(LOWER(TRIM(E771)),"á","a"),"é","e"),"í","i"),"ó","o"),"ú","u"),"ü","u"),"ñ","n"),"à","a"),"è","e"),"ì","i"),"ò","o"),"ù","u"),"")</f>
        <v/>
      </c>
      <c r="T771" s="25">
        <f>IF(AND(Q771=1,G771&lt;&gt;""),SUBSTITUTE(SUBSTITUTE(SUBSTITUTE(SUBSTITUTE(SUBSTITUTE(SUBSTITUTE(SUBSTITUTE(SUBSTITUTE(SUBSTITUTE(SUBSTITUTE(SUBSTITUTE(SUBSTITUTE(LOWER(TRIM(G771)),"á","a"),"é","e"),"í","i"),"ó","o"),"ú","u"),"ü","u"),"ñ","n"),"à","a"),"è","e"),"ì","i"),"ò","o"),"ù","u"),"")</f>
        <v/>
      </c>
      <c r="U771" s="25">
        <f>IF(AND(Q771=1,H771&lt;&gt;""),SUBSTITUTE(SUBSTITUTE(SUBSTITUTE(SUBSTITUTE(SUBSTITUTE(SUBSTITUTE(SUBSTITUTE(SUBSTITUTE(SUBSTITUTE(SUBSTITUTE(SUBSTITUTE(SUBSTITUTE(LOWER(TRIM(H771)),"á","a"),"é","e"),"í","i"),"ó","o"),"ú","u"),"ü","u"),"ñ","n"),"à","a"),"è","e"),"ì","i"),"ò","o"),"ù","u"),"")</f>
        <v/>
      </c>
      <c r="V771" s="25">
        <f>IF(AND(Q771=1,L771&lt;&gt;""),SUBSTITUTE(SUBSTITUTE(SUBSTITUTE(SUBSTITUTE(SUBSTITUTE(SUBSTITUTE(SUBSTITUTE(SUBSTITUTE(SUBSTITUTE(SUBSTITUTE(SUBSTITUTE(SUBSTITUTE(LOWER(TRIM(L771)),"á","a"),"é","e"),"í","i"),"ó","o"),"ú","u"),"ü","u"),"ñ","n"),"à","a"),"è","e"),"ì","i"),"ò","o"),"ù","u"),"")</f>
        <v/>
      </c>
      <c r="W771" s="25">
        <f>IF(AND(Q771=1,I771&lt;&gt;""),SUBSTITUTE(SUBSTITUTE(SUBSTITUTE(SUBSTITUTE(SUBSTITUTE(SUBSTITUTE(SUBSTITUTE(SUBSTITUTE(SUBSTITUTE(SUBSTITUTE(SUBSTITUTE(SUBSTITUTE(LOWER(TRIM(I771)),"á","a"),"é","e"),"í","i"),"ó","o"),"ú","u"),"ü","u"),"ñ","n"),"à","a"),"è","e"),"ì","i"),"ò","o"),"ù","u"),"")</f>
        <v/>
      </c>
      <c r="X771" s="25">
        <f>IF(U771="","",IF(OR(U771="si, en la proxima tarea",U771="si, con cambios"),1,0))</f>
        <v/>
      </c>
      <c r="Y771" s="25">
        <f>IF(AND(Q771=1,A771&lt;&gt;""),IF(IFERROR(COUNTIFS(A$3:A771,"="&amp;SUBSTITUTE(SUBSTITUTE(SUBSTITUTE(A771,"~","~~"),"*","~*"),"?","~?"),Q$3:Q771,1),0)=1,MAX(Y$2:Y770)+1,""),"")</f>
        <v/>
      </c>
      <c r="Z771" s="25">
        <f>IF(Y771="","",COUNTIFS($A$3:$A$1002,"="&amp;SUBSTITUTE(SUBSTITUTE(SUBSTITUTE(A771,"~","~~"),"*","~*"),"?","~?"),$Q$3:$Q$1002,1)*10000-Y771)</f>
        <v/>
      </c>
    </row>
    <row r="772">
      <c r="A772">
        <f>IF(A$2=0,"",IFERROR(TRIM(INDEX('Pegar docentes'!$A$1:$BZ$1001,771,A$2)&amp;""),""))</f>
        <v/>
      </c>
      <c r="B772">
        <f>IF(B$2=0,"",IFERROR(TRIM(INDEX('Pegar docentes'!$A$1:$BZ$1001,771,B$2)&amp;""),""))</f>
        <v/>
      </c>
      <c r="C772">
        <f>IF(C$2=0,"",IFERROR(TRIM(INDEX('Pegar docentes'!$A$1:$BZ$1001,771,C$2)&amp;""),""))</f>
        <v/>
      </c>
      <c r="D772">
        <f>IF(D$2=0,"",IFERROR(TRIM(INDEX('Pegar docentes'!$A$1:$BZ$1001,771,D$2)&amp;""),""))</f>
        <v/>
      </c>
      <c r="E772">
        <f>IF(E$2=0,"",IFERROR(TRIM(INDEX('Pegar docentes'!$A$1:$BZ$1001,771,E$2)&amp;""),""))</f>
        <v/>
      </c>
      <c r="F772">
        <f>IF(F$2=0,"",IFERROR(TRIM(INDEX('Pegar docentes'!$A$1:$BZ$1001,771,F$2)&amp;""),""))</f>
        <v/>
      </c>
      <c r="G772">
        <f>IF(G$2=0,"",IFERROR(TRIM(INDEX('Pegar docentes'!$A$1:$BZ$1001,771,G$2)&amp;""),""))</f>
        <v/>
      </c>
      <c r="H772">
        <f>IF(H$2=0,"",IFERROR(TRIM(INDEX('Pegar docentes'!$A$1:$BZ$1001,771,H$2)&amp;""),""))</f>
        <v/>
      </c>
      <c r="I772">
        <f>IF(I$2=0,"",IFERROR(TRIM(INDEX('Pegar docentes'!$A$1:$BZ$1001,771,I$2)&amp;""),""))</f>
        <v/>
      </c>
      <c r="J772">
        <f>IF(J$2=0,"",IFERROR(TRIM(INDEX('Pegar docentes'!$A$1:$BZ$1001,771,J$2)&amp;""),""))</f>
        <v/>
      </c>
      <c r="K772">
        <f>IF(K$2=0,"",IFERROR(TRIM(INDEX('Pegar docentes'!$A$1:$BZ$1001,771,K$2)&amp;""),""))</f>
        <v/>
      </c>
      <c r="L772">
        <f>IF(L$2=0,"",IFERROR(TRIM(INDEX('Pegar docentes'!$A$1:$BZ$1001,771,L$2)&amp;""),""))</f>
        <v/>
      </c>
      <c r="M772">
        <f>IF(M$2=0,"",IFERROR(TRIM(INDEX('Pegar docentes'!$A$1:$BZ$1001,771,M$2)&amp;""),""))</f>
        <v/>
      </c>
      <c r="N772">
        <f>IF(N$2=0,"",IFERROR(TRIM(INDEX('Pegar docentes'!$A$1:$BZ$1001,771,N$2)&amp;""),""))</f>
        <v/>
      </c>
      <c r="O772">
        <f>IF(O$2=0,"",IFERROR(TRIM(INDEX('Pegar docentes'!$A$1:$BZ$1001,771,O$2)&amp;""),""))</f>
        <v/>
      </c>
      <c r="P772">
        <f>IF(P$2=0,"",IFERROR(TRIM(INDEX('Pegar docentes'!$A$1:$BZ$1001,771,P$2)&amp;""),""))</f>
        <v/>
      </c>
      <c r="Q772" s="25">
        <f>IF(OR(D772&lt;&gt;"",H772&lt;&gt;""),1,"")</f>
        <v/>
      </c>
      <c r="R772" s="25">
        <f>IF(Q772=1,IF(ISNUMBER(FIND("#"&amp;MID(D772,1,1)&amp;"#","#0#1#2#3#4#5#6#7#8#9#")),IF(ISNUMBER(FIND("#"&amp;MID(D772,2,1)&amp;"#","#0#1#2#3#4#5#6#7#8#9#")),IF(AND(VALUE(LEFT(D772,2))&gt;=1,VALUE(LEFT(D772,2))&lt;=5),VALUE(LEFT(D772,2)),""),IF(AND(VALUE(LEFT(D772,1))&gt;=1,VALUE(LEFT(D772,1))&lt;=5),VALUE(LEFT(D772,1)),"")),""),"")</f>
        <v/>
      </c>
      <c r="S772" s="25">
        <f>IF(AND(Q772=1,E772&lt;&gt;""),SUBSTITUTE(SUBSTITUTE(SUBSTITUTE(SUBSTITUTE(SUBSTITUTE(SUBSTITUTE(SUBSTITUTE(SUBSTITUTE(SUBSTITUTE(SUBSTITUTE(SUBSTITUTE(SUBSTITUTE(LOWER(TRIM(E772)),"á","a"),"é","e"),"í","i"),"ó","o"),"ú","u"),"ü","u"),"ñ","n"),"à","a"),"è","e"),"ì","i"),"ò","o"),"ù","u"),"")</f>
        <v/>
      </c>
      <c r="T772" s="25">
        <f>IF(AND(Q772=1,G772&lt;&gt;""),SUBSTITUTE(SUBSTITUTE(SUBSTITUTE(SUBSTITUTE(SUBSTITUTE(SUBSTITUTE(SUBSTITUTE(SUBSTITUTE(SUBSTITUTE(SUBSTITUTE(SUBSTITUTE(SUBSTITUTE(LOWER(TRIM(G772)),"á","a"),"é","e"),"í","i"),"ó","o"),"ú","u"),"ü","u"),"ñ","n"),"à","a"),"è","e"),"ì","i"),"ò","o"),"ù","u"),"")</f>
        <v/>
      </c>
      <c r="U772" s="25">
        <f>IF(AND(Q772=1,H772&lt;&gt;""),SUBSTITUTE(SUBSTITUTE(SUBSTITUTE(SUBSTITUTE(SUBSTITUTE(SUBSTITUTE(SUBSTITUTE(SUBSTITUTE(SUBSTITUTE(SUBSTITUTE(SUBSTITUTE(SUBSTITUTE(LOWER(TRIM(H772)),"á","a"),"é","e"),"í","i"),"ó","o"),"ú","u"),"ü","u"),"ñ","n"),"à","a"),"è","e"),"ì","i"),"ò","o"),"ù","u"),"")</f>
        <v/>
      </c>
      <c r="V772" s="25">
        <f>IF(AND(Q772=1,L772&lt;&gt;""),SUBSTITUTE(SUBSTITUTE(SUBSTITUTE(SUBSTITUTE(SUBSTITUTE(SUBSTITUTE(SUBSTITUTE(SUBSTITUTE(SUBSTITUTE(SUBSTITUTE(SUBSTITUTE(SUBSTITUTE(LOWER(TRIM(L772)),"á","a"),"é","e"),"í","i"),"ó","o"),"ú","u"),"ü","u"),"ñ","n"),"à","a"),"è","e"),"ì","i"),"ò","o"),"ù","u"),"")</f>
        <v/>
      </c>
      <c r="W772" s="25">
        <f>IF(AND(Q772=1,I772&lt;&gt;""),SUBSTITUTE(SUBSTITUTE(SUBSTITUTE(SUBSTITUTE(SUBSTITUTE(SUBSTITUTE(SUBSTITUTE(SUBSTITUTE(SUBSTITUTE(SUBSTITUTE(SUBSTITUTE(SUBSTITUTE(LOWER(TRIM(I772)),"á","a"),"é","e"),"í","i"),"ó","o"),"ú","u"),"ü","u"),"ñ","n"),"à","a"),"è","e"),"ì","i"),"ò","o"),"ù","u"),"")</f>
        <v/>
      </c>
      <c r="X772" s="25">
        <f>IF(U772="","",IF(OR(U772="si, en la proxima tarea",U772="si, con cambios"),1,0))</f>
        <v/>
      </c>
      <c r="Y772" s="25">
        <f>IF(AND(Q772=1,A772&lt;&gt;""),IF(IFERROR(COUNTIFS(A$3:A772,"="&amp;SUBSTITUTE(SUBSTITUTE(SUBSTITUTE(A772,"~","~~"),"*","~*"),"?","~?"),Q$3:Q772,1),0)=1,MAX(Y$2:Y771)+1,""),"")</f>
        <v/>
      </c>
      <c r="Z772" s="25">
        <f>IF(Y772="","",COUNTIFS($A$3:$A$1002,"="&amp;SUBSTITUTE(SUBSTITUTE(SUBSTITUTE(A772,"~","~~"),"*","~*"),"?","~?"),$Q$3:$Q$1002,1)*10000-Y772)</f>
        <v/>
      </c>
    </row>
    <row r="773">
      <c r="A773">
        <f>IF(A$2=0,"",IFERROR(TRIM(INDEX('Pegar docentes'!$A$1:$BZ$1001,772,A$2)&amp;""),""))</f>
        <v/>
      </c>
      <c r="B773">
        <f>IF(B$2=0,"",IFERROR(TRIM(INDEX('Pegar docentes'!$A$1:$BZ$1001,772,B$2)&amp;""),""))</f>
        <v/>
      </c>
      <c r="C773">
        <f>IF(C$2=0,"",IFERROR(TRIM(INDEX('Pegar docentes'!$A$1:$BZ$1001,772,C$2)&amp;""),""))</f>
        <v/>
      </c>
      <c r="D773">
        <f>IF(D$2=0,"",IFERROR(TRIM(INDEX('Pegar docentes'!$A$1:$BZ$1001,772,D$2)&amp;""),""))</f>
        <v/>
      </c>
      <c r="E773">
        <f>IF(E$2=0,"",IFERROR(TRIM(INDEX('Pegar docentes'!$A$1:$BZ$1001,772,E$2)&amp;""),""))</f>
        <v/>
      </c>
      <c r="F773">
        <f>IF(F$2=0,"",IFERROR(TRIM(INDEX('Pegar docentes'!$A$1:$BZ$1001,772,F$2)&amp;""),""))</f>
        <v/>
      </c>
      <c r="G773">
        <f>IF(G$2=0,"",IFERROR(TRIM(INDEX('Pegar docentes'!$A$1:$BZ$1001,772,G$2)&amp;""),""))</f>
        <v/>
      </c>
      <c r="H773">
        <f>IF(H$2=0,"",IFERROR(TRIM(INDEX('Pegar docentes'!$A$1:$BZ$1001,772,H$2)&amp;""),""))</f>
        <v/>
      </c>
      <c r="I773">
        <f>IF(I$2=0,"",IFERROR(TRIM(INDEX('Pegar docentes'!$A$1:$BZ$1001,772,I$2)&amp;""),""))</f>
        <v/>
      </c>
      <c r="J773">
        <f>IF(J$2=0,"",IFERROR(TRIM(INDEX('Pegar docentes'!$A$1:$BZ$1001,772,J$2)&amp;""),""))</f>
        <v/>
      </c>
      <c r="K773">
        <f>IF(K$2=0,"",IFERROR(TRIM(INDEX('Pegar docentes'!$A$1:$BZ$1001,772,K$2)&amp;""),""))</f>
        <v/>
      </c>
      <c r="L773">
        <f>IF(L$2=0,"",IFERROR(TRIM(INDEX('Pegar docentes'!$A$1:$BZ$1001,772,L$2)&amp;""),""))</f>
        <v/>
      </c>
      <c r="M773">
        <f>IF(M$2=0,"",IFERROR(TRIM(INDEX('Pegar docentes'!$A$1:$BZ$1001,772,M$2)&amp;""),""))</f>
        <v/>
      </c>
      <c r="N773">
        <f>IF(N$2=0,"",IFERROR(TRIM(INDEX('Pegar docentes'!$A$1:$BZ$1001,772,N$2)&amp;""),""))</f>
        <v/>
      </c>
      <c r="O773">
        <f>IF(O$2=0,"",IFERROR(TRIM(INDEX('Pegar docentes'!$A$1:$BZ$1001,772,O$2)&amp;""),""))</f>
        <v/>
      </c>
      <c r="P773">
        <f>IF(P$2=0,"",IFERROR(TRIM(INDEX('Pegar docentes'!$A$1:$BZ$1001,772,P$2)&amp;""),""))</f>
        <v/>
      </c>
      <c r="Q773" s="25">
        <f>IF(OR(D773&lt;&gt;"",H773&lt;&gt;""),1,"")</f>
        <v/>
      </c>
      <c r="R773" s="25">
        <f>IF(Q773=1,IF(ISNUMBER(FIND("#"&amp;MID(D773,1,1)&amp;"#","#0#1#2#3#4#5#6#7#8#9#")),IF(ISNUMBER(FIND("#"&amp;MID(D773,2,1)&amp;"#","#0#1#2#3#4#5#6#7#8#9#")),IF(AND(VALUE(LEFT(D773,2))&gt;=1,VALUE(LEFT(D773,2))&lt;=5),VALUE(LEFT(D773,2)),""),IF(AND(VALUE(LEFT(D773,1))&gt;=1,VALUE(LEFT(D773,1))&lt;=5),VALUE(LEFT(D773,1)),"")),""),"")</f>
        <v/>
      </c>
      <c r="S773" s="25">
        <f>IF(AND(Q773=1,E773&lt;&gt;""),SUBSTITUTE(SUBSTITUTE(SUBSTITUTE(SUBSTITUTE(SUBSTITUTE(SUBSTITUTE(SUBSTITUTE(SUBSTITUTE(SUBSTITUTE(SUBSTITUTE(SUBSTITUTE(SUBSTITUTE(LOWER(TRIM(E773)),"á","a"),"é","e"),"í","i"),"ó","o"),"ú","u"),"ü","u"),"ñ","n"),"à","a"),"è","e"),"ì","i"),"ò","o"),"ù","u"),"")</f>
        <v/>
      </c>
      <c r="T773" s="25">
        <f>IF(AND(Q773=1,G773&lt;&gt;""),SUBSTITUTE(SUBSTITUTE(SUBSTITUTE(SUBSTITUTE(SUBSTITUTE(SUBSTITUTE(SUBSTITUTE(SUBSTITUTE(SUBSTITUTE(SUBSTITUTE(SUBSTITUTE(SUBSTITUTE(LOWER(TRIM(G773)),"á","a"),"é","e"),"í","i"),"ó","o"),"ú","u"),"ü","u"),"ñ","n"),"à","a"),"è","e"),"ì","i"),"ò","o"),"ù","u"),"")</f>
        <v/>
      </c>
      <c r="U773" s="25">
        <f>IF(AND(Q773=1,H773&lt;&gt;""),SUBSTITUTE(SUBSTITUTE(SUBSTITUTE(SUBSTITUTE(SUBSTITUTE(SUBSTITUTE(SUBSTITUTE(SUBSTITUTE(SUBSTITUTE(SUBSTITUTE(SUBSTITUTE(SUBSTITUTE(LOWER(TRIM(H773)),"á","a"),"é","e"),"í","i"),"ó","o"),"ú","u"),"ü","u"),"ñ","n"),"à","a"),"è","e"),"ì","i"),"ò","o"),"ù","u"),"")</f>
        <v/>
      </c>
      <c r="V773" s="25">
        <f>IF(AND(Q773=1,L773&lt;&gt;""),SUBSTITUTE(SUBSTITUTE(SUBSTITUTE(SUBSTITUTE(SUBSTITUTE(SUBSTITUTE(SUBSTITUTE(SUBSTITUTE(SUBSTITUTE(SUBSTITUTE(SUBSTITUTE(SUBSTITUTE(LOWER(TRIM(L773)),"á","a"),"é","e"),"í","i"),"ó","o"),"ú","u"),"ü","u"),"ñ","n"),"à","a"),"è","e"),"ì","i"),"ò","o"),"ù","u"),"")</f>
        <v/>
      </c>
      <c r="W773" s="25">
        <f>IF(AND(Q773=1,I773&lt;&gt;""),SUBSTITUTE(SUBSTITUTE(SUBSTITUTE(SUBSTITUTE(SUBSTITUTE(SUBSTITUTE(SUBSTITUTE(SUBSTITUTE(SUBSTITUTE(SUBSTITUTE(SUBSTITUTE(SUBSTITUTE(LOWER(TRIM(I773)),"á","a"),"é","e"),"í","i"),"ó","o"),"ú","u"),"ü","u"),"ñ","n"),"à","a"),"è","e"),"ì","i"),"ò","o"),"ù","u"),"")</f>
        <v/>
      </c>
      <c r="X773" s="25">
        <f>IF(U773="","",IF(OR(U773="si, en la proxima tarea",U773="si, con cambios"),1,0))</f>
        <v/>
      </c>
      <c r="Y773" s="25">
        <f>IF(AND(Q773=1,A773&lt;&gt;""),IF(IFERROR(COUNTIFS(A$3:A773,"="&amp;SUBSTITUTE(SUBSTITUTE(SUBSTITUTE(A773,"~","~~"),"*","~*"),"?","~?"),Q$3:Q773,1),0)=1,MAX(Y$2:Y772)+1,""),"")</f>
        <v/>
      </c>
      <c r="Z773" s="25">
        <f>IF(Y773="","",COUNTIFS($A$3:$A$1002,"="&amp;SUBSTITUTE(SUBSTITUTE(SUBSTITUTE(A773,"~","~~"),"*","~*"),"?","~?"),$Q$3:$Q$1002,1)*10000-Y773)</f>
        <v/>
      </c>
    </row>
    <row r="774">
      <c r="A774">
        <f>IF(A$2=0,"",IFERROR(TRIM(INDEX('Pegar docentes'!$A$1:$BZ$1001,773,A$2)&amp;""),""))</f>
        <v/>
      </c>
      <c r="B774">
        <f>IF(B$2=0,"",IFERROR(TRIM(INDEX('Pegar docentes'!$A$1:$BZ$1001,773,B$2)&amp;""),""))</f>
        <v/>
      </c>
      <c r="C774">
        <f>IF(C$2=0,"",IFERROR(TRIM(INDEX('Pegar docentes'!$A$1:$BZ$1001,773,C$2)&amp;""),""))</f>
        <v/>
      </c>
      <c r="D774">
        <f>IF(D$2=0,"",IFERROR(TRIM(INDEX('Pegar docentes'!$A$1:$BZ$1001,773,D$2)&amp;""),""))</f>
        <v/>
      </c>
      <c r="E774">
        <f>IF(E$2=0,"",IFERROR(TRIM(INDEX('Pegar docentes'!$A$1:$BZ$1001,773,E$2)&amp;""),""))</f>
        <v/>
      </c>
      <c r="F774">
        <f>IF(F$2=0,"",IFERROR(TRIM(INDEX('Pegar docentes'!$A$1:$BZ$1001,773,F$2)&amp;""),""))</f>
        <v/>
      </c>
      <c r="G774">
        <f>IF(G$2=0,"",IFERROR(TRIM(INDEX('Pegar docentes'!$A$1:$BZ$1001,773,G$2)&amp;""),""))</f>
        <v/>
      </c>
      <c r="H774">
        <f>IF(H$2=0,"",IFERROR(TRIM(INDEX('Pegar docentes'!$A$1:$BZ$1001,773,H$2)&amp;""),""))</f>
        <v/>
      </c>
      <c r="I774">
        <f>IF(I$2=0,"",IFERROR(TRIM(INDEX('Pegar docentes'!$A$1:$BZ$1001,773,I$2)&amp;""),""))</f>
        <v/>
      </c>
      <c r="J774">
        <f>IF(J$2=0,"",IFERROR(TRIM(INDEX('Pegar docentes'!$A$1:$BZ$1001,773,J$2)&amp;""),""))</f>
        <v/>
      </c>
      <c r="K774">
        <f>IF(K$2=0,"",IFERROR(TRIM(INDEX('Pegar docentes'!$A$1:$BZ$1001,773,K$2)&amp;""),""))</f>
        <v/>
      </c>
      <c r="L774">
        <f>IF(L$2=0,"",IFERROR(TRIM(INDEX('Pegar docentes'!$A$1:$BZ$1001,773,L$2)&amp;""),""))</f>
        <v/>
      </c>
      <c r="M774">
        <f>IF(M$2=0,"",IFERROR(TRIM(INDEX('Pegar docentes'!$A$1:$BZ$1001,773,M$2)&amp;""),""))</f>
        <v/>
      </c>
      <c r="N774">
        <f>IF(N$2=0,"",IFERROR(TRIM(INDEX('Pegar docentes'!$A$1:$BZ$1001,773,N$2)&amp;""),""))</f>
        <v/>
      </c>
      <c r="O774">
        <f>IF(O$2=0,"",IFERROR(TRIM(INDEX('Pegar docentes'!$A$1:$BZ$1001,773,O$2)&amp;""),""))</f>
        <v/>
      </c>
      <c r="P774">
        <f>IF(P$2=0,"",IFERROR(TRIM(INDEX('Pegar docentes'!$A$1:$BZ$1001,773,P$2)&amp;""),""))</f>
        <v/>
      </c>
      <c r="Q774" s="25">
        <f>IF(OR(D774&lt;&gt;"",H774&lt;&gt;""),1,"")</f>
        <v/>
      </c>
      <c r="R774" s="25">
        <f>IF(Q774=1,IF(ISNUMBER(FIND("#"&amp;MID(D774,1,1)&amp;"#","#0#1#2#3#4#5#6#7#8#9#")),IF(ISNUMBER(FIND("#"&amp;MID(D774,2,1)&amp;"#","#0#1#2#3#4#5#6#7#8#9#")),IF(AND(VALUE(LEFT(D774,2))&gt;=1,VALUE(LEFT(D774,2))&lt;=5),VALUE(LEFT(D774,2)),""),IF(AND(VALUE(LEFT(D774,1))&gt;=1,VALUE(LEFT(D774,1))&lt;=5),VALUE(LEFT(D774,1)),"")),""),"")</f>
        <v/>
      </c>
      <c r="S774" s="25">
        <f>IF(AND(Q774=1,E774&lt;&gt;""),SUBSTITUTE(SUBSTITUTE(SUBSTITUTE(SUBSTITUTE(SUBSTITUTE(SUBSTITUTE(SUBSTITUTE(SUBSTITUTE(SUBSTITUTE(SUBSTITUTE(SUBSTITUTE(SUBSTITUTE(LOWER(TRIM(E774)),"á","a"),"é","e"),"í","i"),"ó","o"),"ú","u"),"ü","u"),"ñ","n"),"à","a"),"è","e"),"ì","i"),"ò","o"),"ù","u"),"")</f>
        <v/>
      </c>
      <c r="T774" s="25">
        <f>IF(AND(Q774=1,G774&lt;&gt;""),SUBSTITUTE(SUBSTITUTE(SUBSTITUTE(SUBSTITUTE(SUBSTITUTE(SUBSTITUTE(SUBSTITUTE(SUBSTITUTE(SUBSTITUTE(SUBSTITUTE(SUBSTITUTE(SUBSTITUTE(LOWER(TRIM(G774)),"á","a"),"é","e"),"í","i"),"ó","o"),"ú","u"),"ü","u"),"ñ","n"),"à","a"),"è","e"),"ì","i"),"ò","o"),"ù","u"),"")</f>
        <v/>
      </c>
      <c r="U774" s="25">
        <f>IF(AND(Q774=1,H774&lt;&gt;""),SUBSTITUTE(SUBSTITUTE(SUBSTITUTE(SUBSTITUTE(SUBSTITUTE(SUBSTITUTE(SUBSTITUTE(SUBSTITUTE(SUBSTITUTE(SUBSTITUTE(SUBSTITUTE(SUBSTITUTE(LOWER(TRIM(H774)),"á","a"),"é","e"),"í","i"),"ó","o"),"ú","u"),"ü","u"),"ñ","n"),"à","a"),"è","e"),"ì","i"),"ò","o"),"ù","u"),"")</f>
        <v/>
      </c>
      <c r="V774" s="25">
        <f>IF(AND(Q774=1,L774&lt;&gt;""),SUBSTITUTE(SUBSTITUTE(SUBSTITUTE(SUBSTITUTE(SUBSTITUTE(SUBSTITUTE(SUBSTITUTE(SUBSTITUTE(SUBSTITUTE(SUBSTITUTE(SUBSTITUTE(SUBSTITUTE(LOWER(TRIM(L774)),"á","a"),"é","e"),"í","i"),"ó","o"),"ú","u"),"ü","u"),"ñ","n"),"à","a"),"è","e"),"ì","i"),"ò","o"),"ù","u"),"")</f>
        <v/>
      </c>
      <c r="W774" s="25">
        <f>IF(AND(Q774=1,I774&lt;&gt;""),SUBSTITUTE(SUBSTITUTE(SUBSTITUTE(SUBSTITUTE(SUBSTITUTE(SUBSTITUTE(SUBSTITUTE(SUBSTITUTE(SUBSTITUTE(SUBSTITUTE(SUBSTITUTE(SUBSTITUTE(LOWER(TRIM(I774)),"á","a"),"é","e"),"í","i"),"ó","o"),"ú","u"),"ü","u"),"ñ","n"),"à","a"),"è","e"),"ì","i"),"ò","o"),"ù","u"),"")</f>
        <v/>
      </c>
      <c r="X774" s="25">
        <f>IF(U774="","",IF(OR(U774="si, en la proxima tarea",U774="si, con cambios"),1,0))</f>
        <v/>
      </c>
      <c r="Y774" s="25">
        <f>IF(AND(Q774=1,A774&lt;&gt;""),IF(IFERROR(COUNTIFS(A$3:A774,"="&amp;SUBSTITUTE(SUBSTITUTE(SUBSTITUTE(A774,"~","~~"),"*","~*"),"?","~?"),Q$3:Q774,1),0)=1,MAX(Y$2:Y773)+1,""),"")</f>
        <v/>
      </c>
      <c r="Z774" s="25">
        <f>IF(Y774="","",COUNTIFS($A$3:$A$1002,"="&amp;SUBSTITUTE(SUBSTITUTE(SUBSTITUTE(A774,"~","~~"),"*","~*"),"?","~?"),$Q$3:$Q$1002,1)*10000-Y774)</f>
        <v/>
      </c>
    </row>
    <row r="775">
      <c r="A775">
        <f>IF(A$2=0,"",IFERROR(TRIM(INDEX('Pegar docentes'!$A$1:$BZ$1001,774,A$2)&amp;""),""))</f>
        <v/>
      </c>
      <c r="B775">
        <f>IF(B$2=0,"",IFERROR(TRIM(INDEX('Pegar docentes'!$A$1:$BZ$1001,774,B$2)&amp;""),""))</f>
        <v/>
      </c>
      <c r="C775">
        <f>IF(C$2=0,"",IFERROR(TRIM(INDEX('Pegar docentes'!$A$1:$BZ$1001,774,C$2)&amp;""),""))</f>
        <v/>
      </c>
      <c r="D775">
        <f>IF(D$2=0,"",IFERROR(TRIM(INDEX('Pegar docentes'!$A$1:$BZ$1001,774,D$2)&amp;""),""))</f>
        <v/>
      </c>
      <c r="E775">
        <f>IF(E$2=0,"",IFERROR(TRIM(INDEX('Pegar docentes'!$A$1:$BZ$1001,774,E$2)&amp;""),""))</f>
        <v/>
      </c>
      <c r="F775">
        <f>IF(F$2=0,"",IFERROR(TRIM(INDEX('Pegar docentes'!$A$1:$BZ$1001,774,F$2)&amp;""),""))</f>
        <v/>
      </c>
      <c r="G775">
        <f>IF(G$2=0,"",IFERROR(TRIM(INDEX('Pegar docentes'!$A$1:$BZ$1001,774,G$2)&amp;""),""))</f>
        <v/>
      </c>
      <c r="H775">
        <f>IF(H$2=0,"",IFERROR(TRIM(INDEX('Pegar docentes'!$A$1:$BZ$1001,774,H$2)&amp;""),""))</f>
        <v/>
      </c>
      <c r="I775">
        <f>IF(I$2=0,"",IFERROR(TRIM(INDEX('Pegar docentes'!$A$1:$BZ$1001,774,I$2)&amp;""),""))</f>
        <v/>
      </c>
      <c r="J775">
        <f>IF(J$2=0,"",IFERROR(TRIM(INDEX('Pegar docentes'!$A$1:$BZ$1001,774,J$2)&amp;""),""))</f>
        <v/>
      </c>
      <c r="K775">
        <f>IF(K$2=0,"",IFERROR(TRIM(INDEX('Pegar docentes'!$A$1:$BZ$1001,774,K$2)&amp;""),""))</f>
        <v/>
      </c>
      <c r="L775">
        <f>IF(L$2=0,"",IFERROR(TRIM(INDEX('Pegar docentes'!$A$1:$BZ$1001,774,L$2)&amp;""),""))</f>
        <v/>
      </c>
      <c r="M775">
        <f>IF(M$2=0,"",IFERROR(TRIM(INDEX('Pegar docentes'!$A$1:$BZ$1001,774,M$2)&amp;""),""))</f>
        <v/>
      </c>
      <c r="N775">
        <f>IF(N$2=0,"",IFERROR(TRIM(INDEX('Pegar docentes'!$A$1:$BZ$1001,774,N$2)&amp;""),""))</f>
        <v/>
      </c>
      <c r="O775">
        <f>IF(O$2=0,"",IFERROR(TRIM(INDEX('Pegar docentes'!$A$1:$BZ$1001,774,O$2)&amp;""),""))</f>
        <v/>
      </c>
      <c r="P775">
        <f>IF(P$2=0,"",IFERROR(TRIM(INDEX('Pegar docentes'!$A$1:$BZ$1001,774,P$2)&amp;""),""))</f>
        <v/>
      </c>
      <c r="Q775" s="25">
        <f>IF(OR(D775&lt;&gt;"",H775&lt;&gt;""),1,"")</f>
        <v/>
      </c>
      <c r="R775" s="25">
        <f>IF(Q775=1,IF(ISNUMBER(FIND("#"&amp;MID(D775,1,1)&amp;"#","#0#1#2#3#4#5#6#7#8#9#")),IF(ISNUMBER(FIND("#"&amp;MID(D775,2,1)&amp;"#","#0#1#2#3#4#5#6#7#8#9#")),IF(AND(VALUE(LEFT(D775,2))&gt;=1,VALUE(LEFT(D775,2))&lt;=5),VALUE(LEFT(D775,2)),""),IF(AND(VALUE(LEFT(D775,1))&gt;=1,VALUE(LEFT(D775,1))&lt;=5),VALUE(LEFT(D775,1)),"")),""),"")</f>
        <v/>
      </c>
      <c r="S775" s="25">
        <f>IF(AND(Q775=1,E775&lt;&gt;""),SUBSTITUTE(SUBSTITUTE(SUBSTITUTE(SUBSTITUTE(SUBSTITUTE(SUBSTITUTE(SUBSTITUTE(SUBSTITUTE(SUBSTITUTE(SUBSTITUTE(SUBSTITUTE(SUBSTITUTE(LOWER(TRIM(E775)),"á","a"),"é","e"),"í","i"),"ó","o"),"ú","u"),"ü","u"),"ñ","n"),"à","a"),"è","e"),"ì","i"),"ò","o"),"ù","u"),"")</f>
        <v/>
      </c>
      <c r="T775" s="25">
        <f>IF(AND(Q775=1,G775&lt;&gt;""),SUBSTITUTE(SUBSTITUTE(SUBSTITUTE(SUBSTITUTE(SUBSTITUTE(SUBSTITUTE(SUBSTITUTE(SUBSTITUTE(SUBSTITUTE(SUBSTITUTE(SUBSTITUTE(SUBSTITUTE(LOWER(TRIM(G775)),"á","a"),"é","e"),"í","i"),"ó","o"),"ú","u"),"ü","u"),"ñ","n"),"à","a"),"è","e"),"ì","i"),"ò","o"),"ù","u"),"")</f>
        <v/>
      </c>
      <c r="U775" s="25">
        <f>IF(AND(Q775=1,H775&lt;&gt;""),SUBSTITUTE(SUBSTITUTE(SUBSTITUTE(SUBSTITUTE(SUBSTITUTE(SUBSTITUTE(SUBSTITUTE(SUBSTITUTE(SUBSTITUTE(SUBSTITUTE(SUBSTITUTE(SUBSTITUTE(LOWER(TRIM(H775)),"á","a"),"é","e"),"í","i"),"ó","o"),"ú","u"),"ü","u"),"ñ","n"),"à","a"),"è","e"),"ì","i"),"ò","o"),"ù","u"),"")</f>
        <v/>
      </c>
      <c r="V775" s="25">
        <f>IF(AND(Q775=1,L775&lt;&gt;""),SUBSTITUTE(SUBSTITUTE(SUBSTITUTE(SUBSTITUTE(SUBSTITUTE(SUBSTITUTE(SUBSTITUTE(SUBSTITUTE(SUBSTITUTE(SUBSTITUTE(SUBSTITUTE(SUBSTITUTE(LOWER(TRIM(L775)),"á","a"),"é","e"),"í","i"),"ó","o"),"ú","u"),"ü","u"),"ñ","n"),"à","a"),"è","e"),"ì","i"),"ò","o"),"ù","u"),"")</f>
        <v/>
      </c>
      <c r="W775" s="25">
        <f>IF(AND(Q775=1,I775&lt;&gt;""),SUBSTITUTE(SUBSTITUTE(SUBSTITUTE(SUBSTITUTE(SUBSTITUTE(SUBSTITUTE(SUBSTITUTE(SUBSTITUTE(SUBSTITUTE(SUBSTITUTE(SUBSTITUTE(SUBSTITUTE(LOWER(TRIM(I775)),"á","a"),"é","e"),"í","i"),"ó","o"),"ú","u"),"ü","u"),"ñ","n"),"à","a"),"è","e"),"ì","i"),"ò","o"),"ù","u"),"")</f>
        <v/>
      </c>
      <c r="X775" s="25">
        <f>IF(U775="","",IF(OR(U775="si, en la proxima tarea",U775="si, con cambios"),1,0))</f>
        <v/>
      </c>
      <c r="Y775" s="25">
        <f>IF(AND(Q775=1,A775&lt;&gt;""),IF(IFERROR(COUNTIFS(A$3:A775,"="&amp;SUBSTITUTE(SUBSTITUTE(SUBSTITUTE(A775,"~","~~"),"*","~*"),"?","~?"),Q$3:Q775,1),0)=1,MAX(Y$2:Y774)+1,""),"")</f>
        <v/>
      </c>
      <c r="Z775" s="25">
        <f>IF(Y775="","",COUNTIFS($A$3:$A$1002,"="&amp;SUBSTITUTE(SUBSTITUTE(SUBSTITUTE(A775,"~","~~"),"*","~*"),"?","~?"),$Q$3:$Q$1002,1)*10000-Y775)</f>
        <v/>
      </c>
    </row>
    <row r="776">
      <c r="A776">
        <f>IF(A$2=0,"",IFERROR(TRIM(INDEX('Pegar docentes'!$A$1:$BZ$1001,775,A$2)&amp;""),""))</f>
        <v/>
      </c>
      <c r="B776">
        <f>IF(B$2=0,"",IFERROR(TRIM(INDEX('Pegar docentes'!$A$1:$BZ$1001,775,B$2)&amp;""),""))</f>
        <v/>
      </c>
      <c r="C776">
        <f>IF(C$2=0,"",IFERROR(TRIM(INDEX('Pegar docentes'!$A$1:$BZ$1001,775,C$2)&amp;""),""))</f>
        <v/>
      </c>
      <c r="D776">
        <f>IF(D$2=0,"",IFERROR(TRIM(INDEX('Pegar docentes'!$A$1:$BZ$1001,775,D$2)&amp;""),""))</f>
        <v/>
      </c>
      <c r="E776">
        <f>IF(E$2=0,"",IFERROR(TRIM(INDEX('Pegar docentes'!$A$1:$BZ$1001,775,E$2)&amp;""),""))</f>
        <v/>
      </c>
      <c r="F776">
        <f>IF(F$2=0,"",IFERROR(TRIM(INDEX('Pegar docentes'!$A$1:$BZ$1001,775,F$2)&amp;""),""))</f>
        <v/>
      </c>
      <c r="G776">
        <f>IF(G$2=0,"",IFERROR(TRIM(INDEX('Pegar docentes'!$A$1:$BZ$1001,775,G$2)&amp;""),""))</f>
        <v/>
      </c>
      <c r="H776">
        <f>IF(H$2=0,"",IFERROR(TRIM(INDEX('Pegar docentes'!$A$1:$BZ$1001,775,H$2)&amp;""),""))</f>
        <v/>
      </c>
      <c r="I776">
        <f>IF(I$2=0,"",IFERROR(TRIM(INDEX('Pegar docentes'!$A$1:$BZ$1001,775,I$2)&amp;""),""))</f>
        <v/>
      </c>
      <c r="J776">
        <f>IF(J$2=0,"",IFERROR(TRIM(INDEX('Pegar docentes'!$A$1:$BZ$1001,775,J$2)&amp;""),""))</f>
        <v/>
      </c>
      <c r="K776">
        <f>IF(K$2=0,"",IFERROR(TRIM(INDEX('Pegar docentes'!$A$1:$BZ$1001,775,K$2)&amp;""),""))</f>
        <v/>
      </c>
      <c r="L776">
        <f>IF(L$2=0,"",IFERROR(TRIM(INDEX('Pegar docentes'!$A$1:$BZ$1001,775,L$2)&amp;""),""))</f>
        <v/>
      </c>
      <c r="M776">
        <f>IF(M$2=0,"",IFERROR(TRIM(INDEX('Pegar docentes'!$A$1:$BZ$1001,775,M$2)&amp;""),""))</f>
        <v/>
      </c>
      <c r="N776">
        <f>IF(N$2=0,"",IFERROR(TRIM(INDEX('Pegar docentes'!$A$1:$BZ$1001,775,N$2)&amp;""),""))</f>
        <v/>
      </c>
      <c r="O776">
        <f>IF(O$2=0,"",IFERROR(TRIM(INDEX('Pegar docentes'!$A$1:$BZ$1001,775,O$2)&amp;""),""))</f>
        <v/>
      </c>
      <c r="P776">
        <f>IF(P$2=0,"",IFERROR(TRIM(INDEX('Pegar docentes'!$A$1:$BZ$1001,775,P$2)&amp;""),""))</f>
        <v/>
      </c>
      <c r="Q776" s="25">
        <f>IF(OR(D776&lt;&gt;"",H776&lt;&gt;""),1,"")</f>
        <v/>
      </c>
      <c r="R776" s="25">
        <f>IF(Q776=1,IF(ISNUMBER(FIND("#"&amp;MID(D776,1,1)&amp;"#","#0#1#2#3#4#5#6#7#8#9#")),IF(ISNUMBER(FIND("#"&amp;MID(D776,2,1)&amp;"#","#0#1#2#3#4#5#6#7#8#9#")),IF(AND(VALUE(LEFT(D776,2))&gt;=1,VALUE(LEFT(D776,2))&lt;=5),VALUE(LEFT(D776,2)),""),IF(AND(VALUE(LEFT(D776,1))&gt;=1,VALUE(LEFT(D776,1))&lt;=5),VALUE(LEFT(D776,1)),"")),""),"")</f>
        <v/>
      </c>
      <c r="S776" s="25">
        <f>IF(AND(Q776=1,E776&lt;&gt;""),SUBSTITUTE(SUBSTITUTE(SUBSTITUTE(SUBSTITUTE(SUBSTITUTE(SUBSTITUTE(SUBSTITUTE(SUBSTITUTE(SUBSTITUTE(SUBSTITUTE(SUBSTITUTE(SUBSTITUTE(LOWER(TRIM(E776)),"á","a"),"é","e"),"í","i"),"ó","o"),"ú","u"),"ü","u"),"ñ","n"),"à","a"),"è","e"),"ì","i"),"ò","o"),"ù","u"),"")</f>
        <v/>
      </c>
      <c r="T776" s="25">
        <f>IF(AND(Q776=1,G776&lt;&gt;""),SUBSTITUTE(SUBSTITUTE(SUBSTITUTE(SUBSTITUTE(SUBSTITUTE(SUBSTITUTE(SUBSTITUTE(SUBSTITUTE(SUBSTITUTE(SUBSTITUTE(SUBSTITUTE(SUBSTITUTE(LOWER(TRIM(G776)),"á","a"),"é","e"),"í","i"),"ó","o"),"ú","u"),"ü","u"),"ñ","n"),"à","a"),"è","e"),"ì","i"),"ò","o"),"ù","u"),"")</f>
        <v/>
      </c>
      <c r="U776" s="25">
        <f>IF(AND(Q776=1,H776&lt;&gt;""),SUBSTITUTE(SUBSTITUTE(SUBSTITUTE(SUBSTITUTE(SUBSTITUTE(SUBSTITUTE(SUBSTITUTE(SUBSTITUTE(SUBSTITUTE(SUBSTITUTE(SUBSTITUTE(SUBSTITUTE(LOWER(TRIM(H776)),"á","a"),"é","e"),"í","i"),"ó","o"),"ú","u"),"ü","u"),"ñ","n"),"à","a"),"è","e"),"ì","i"),"ò","o"),"ù","u"),"")</f>
        <v/>
      </c>
      <c r="V776" s="25">
        <f>IF(AND(Q776=1,L776&lt;&gt;""),SUBSTITUTE(SUBSTITUTE(SUBSTITUTE(SUBSTITUTE(SUBSTITUTE(SUBSTITUTE(SUBSTITUTE(SUBSTITUTE(SUBSTITUTE(SUBSTITUTE(SUBSTITUTE(SUBSTITUTE(LOWER(TRIM(L776)),"á","a"),"é","e"),"í","i"),"ó","o"),"ú","u"),"ü","u"),"ñ","n"),"à","a"),"è","e"),"ì","i"),"ò","o"),"ù","u"),"")</f>
        <v/>
      </c>
      <c r="W776" s="25">
        <f>IF(AND(Q776=1,I776&lt;&gt;""),SUBSTITUTE(SUBSTITUTE(SUBSTITUTE(SUBSTITUTE(SUBSTITUTE(SUBSTITUTE(SUBSTITUTE(SUBSTITUTE(SUBSTITUTE(SUBSTITUTE(SUBSTITUTE(SUBSTITUTE(LOWER(TRIM(I776)),"á","a"),"é","e"),"í","i"),"ó","o"),"ú","u"),"ü","u"),"ñ","n"),"à","a"),"è","e"),"ì","i"),"ò","o"),"ù","u"),"")</f>
        <v/>
      </c>
      <c r="X776" s="25">
        <f>IF(U776="","",IF(OR(U776="si, en la proxima tarea",U776="si, con cambios"),1,0))</f>
        <v/>
      </c>
      <c r="Y776" s="25">
        <f>IF(AND(Q776=1,A776&lt;&gt;""),IF(IFERROR(COUNTIFS(A$3:A776,"="&amp;SUBSTITUTE(SUBSTITUTE(SUBSTITUTE(A776,"~","~~"),"*","~*"),"?","~?"),Q$3:Q776,1),0)=1,MAX(Y$2:Y775)+1,""),"")</f>
        <v/>
      </c>
      <c r="Z776" s="25">
        <f>IF(Y776="","",COUNTIFS($A$3:$A$1002,"="&amp;SUBSTITUTE(SUBSTITUTE(SUBSTITUTE(A776,"~","~~"),"*","~*"),"?","~?"),$Q$3:$Q$1002,1)*10000-Y776)</f>
        <v/>
      </c>
    </row>
    <row r="777">
      <c r="A777">
        <f>IF(A$2=0,"",IFERROR(TRIM(INDEX('Pegar docentes'!$A$1:$BZ$1001,776,A$2)&amp;""),""))</f>
        <v/>
      </c>
      <c r="B777">
        <f>IF(B$2=0,"",IFERROR(TRIM(INDEX('Pegar docentes'!$A$1:$BZ$1001,776,B$2)&amp;""),""))</f>
        <v/>
      </c>
      <c r="C777">
        <f>IF(C$2=0,"",IFERROR(TRIM(INDEX('Pegar docentes'!$A$1:$BZ$1001,776,C$2)&amp;""),""))</f>
        <v/>
      </c>
      <c r="D777">
        <f>IF(D$2=0,"",IFERROR(TRIM(INDEX('Pegar docentes'!$A$1:$BZ$1001,776,D$2)&amp;""),""))</f>
        <v/>
      </c>
      <c r="E777">
        <f>IF(E$2=0,"",IFERROR(TRIM(INDEX('Pegar docentes'!$A$1:$BZ$1001,776,E$2)&amp;""),""))</f>
        <v/>
      </c>
      <c r="F777">
        <f>IF(F$2=0,"",IFERROR(TRIM(INDEX('Pegar docentes'!$A$1:$BZ$1001,776,F$2)&amp;""),""))</f>
        <v/>
      </c>
      <c r="G777">
        <f>IF(G$2=0,"",IFERROR(TRIM(INDEX('Pegar docentes'!$A$1:$BZ$1001,776,G$2)&amp;""),""))</f>
        <v/>
      </c>
      <c r="H777">
        <f>IF(H$2=0,"",IFERROR(TRIM(INDEX('Pegar docentes'!$A$1:$BZ$1001,776,H$2)&amp;""),""))</f>
        <v/>
      </c>
      <c r="I777">
        <f>IF(I$2=0,"",IFERROR(TRIM(INDEX('Pegar docentes'!$A$1:$BZ$1001,776,I$2)&amp;""),""))</f>
        <v/>
      </c>
      <c r="J777">
        <f>IF(J$2=0,"",IFERROR(TRIM(INDEX('Pegar docentes'!$A$1:$BZ$1001,776,J$2)&amp;""),""))</f>
        <v/>
      </c>
      <c r="K777">
        <f>IF(K$2=0,"",IFERROR(TRIM(INDEX('Pegar docentes'!$A$1:$BZ$1001,776,K$2)&amp;""),""))</f>
        <v/>
      </c>
      <c r="L777">
        <f>IF(L$2=0,"",IFERROR(TRIM(INDEX('Pegar docentes'!$A$1:$BZ$1001,776,L$2)&amp;""),""))</f>
        <v/>
      </c>
      <c r="M777">
        <f>IF(M$2=0,"",IFERROR(TRIM(INDEX('Pegar docentes'!$A$1:$BZ$1001,776,M$2)&amp;""),""))</f>
        <v/>
      </c>
      <c r="N777">
        <f>IF(N$2=0,"",IFERROR(TRIM(INDEX('Pegar docentes'!$A$1:$BZ$1001,776,N$2)&amp;""),""))</f>
        <v/>
      </c>
      <c r="O777">
        <f>IF(O$2=0,"",IFERROR(TRIM(INDEX('Pegar docentes'!$A$1:$BZ$1001,776,O$2)&amp;""),""))</f>
        <v/>
      </c>
      <c r="P777">
        <f>IF(P$2=0,"",IFERROR(TRIM(INDEX('Pegar docentes'!$A$1:$BZ$1001,776,P$2)&amp;""),""))</f>
        <v/>
      </c>
      <c r="Q777" s="25">
        <f>IF(OR(D777&lt;&gt;"",H777&lt;&gt;""),1,"")</f>
        <v/>
      </c>
      <c r="R777" s="25">
        <f>IF(Q777=1,IF(ISNUMBER(FIND("#"&amp;MID(D777,1,1)&amp;"#","#0#1#2#3#4#5#6#7#8#9#")),IF(ISNUMBER(FIND("#"&amp;MID(D777,2,1)&amp;"#","#0#1#2#3#4#5#6#7#8#9#")),IF(AND(VALUE(LEFT(D777,2))&gt;=1,VALUE(LEFT(D777,2))&lt;=5),VALUE(LEFT(D777,2)),""),IF(AND(VALUE(LEFT(D777,1))&gt;=1,VALUE(LEFT(D777,1))&lt;=5),VALUE(LEFT(D777,1)),"")),""),"")</f>
        <v/>
      </c>
      <c r="S777" s="25">
        <f>IF(AND(Q777=1,E777&lt;&gt;""),SUBSTITUTE(SUBSTITUTE(SUBSTITUTE(SUBSTITUTE(SUBSTITUTE(SUBSTITUTE(SUBSTITUTE(SUBSTITUTE(SUBSTITUTE(SUBSTITUTE(SUBSTITUTE(SUBSTITUTE(LOWER(TRIM(E777)),"á","a"),"é","e"),"í","i"),"ó","o"),"ú","u"),"ü","u"),"ñ","n"),"à","a"),"è","e"),"ì","i"),"ò","o"),"ù","u"),"")</f>
        <v/>
      </c>
      <c r="T777" s="25">
        <f>IF(AND(Q777=1,G777&lt;&gt;""),SUBSTITUTE(SUBSTITUTE(SUBSTITUTE(SUBSTITUTE(SUBSTITUTE(SUBSTITUTE(SUBSTITUTE(SUBSTITUTE(SUBSTITUTE(SUBSTITUTE(SUBSTITUTE(SUBSTITUTE(LOWER(TRIM(G777)),"á","a"),"é","e"),"í","i"),"ó","o"),"ú","u"),"ü","u"),"ñ","n"),"à","a"),"è","e"),"ì","i"),"ò","o"),"ù","u"),"")</f>
        <v/>
      </c>
      <c r="U777" s="25">
        <f>IF(AND(Q777=1,H777&lt;&gt;""),SUBSTITUTE(SUBSTITUTE(SUBSTITUTE(SUBSTITUTE(SUBSTITUTE(SUBSTITUTE(SUBSTITUTE(SUBSTITUTE(SUBSTITUTE(SUBSTITUTE(SUBSTITUTE(SUBSTITUTE(LOWER(TRIM(H777)),"á","a"),"é","e"),"í","i"),"ó","o"),"ú","u"),"ü","u"),"ñ","n"),"à","a"),"è","e"),"ì","i"),"ò","o"),"ù","u"),"")</f>
        <v/>
      </c>
      <c r="V777" s="25">
        <f>IF(AND(Q777=1,L777&lt;&gt;""),SUBSTITUTE(SUBSTITUTE(SUBSTITUTE(SUBSTITUTE(SUBSTITUTE(SUBSTITUTE(SUBSTITUTE(SUBSTITUTE(SUBSTITUTE(SUBSTITUTE(SUBSTITUTE(SUBSTITUTE(LOWER(TRIM(L777)),"á","a"),"é","e"),"í","i"),"ó","o"),"ú","u"),"ü","u"),"ñ","n"),"à","a"),"è","e"),"ì","i"),"ò","o"),"ù","u"),"")</f>
        <v/>
      </c>
      <c r="W777" s="25">
        <f>IF(AND(Q777=1,I777&lt;&gt;""),SUBSTITUTE(SUBSTITUTE(SUBSTITUTE(SUBSTITUTE(SUBSTITUTE(SUBSTITUTE(SUBSTITUTE(SUBSTITUTE(SUBSTITUTE(SUBSTITUTE(SUBSTITUTE(SUBSTITUTE(LOWER(TRIM(I777)),"á","a"),"é","e"),"í","i"),"ó","o"),"ú","u"),"ü","u"),"ñ","n"),"à","a"),"è","e"),"ì","i"),"ò","o"),"ù","u"),"")</f>
        <v/>
      </c>
      <c r="X777" s="25">
        <f>IF(U777="","",IF(OR(U777="si, en la proxima tarea",U777="si, con cambios"),1,0))</f>
        <v/>
      </c>
      <c r="Y777" s="25">
        <f>IF(AND(Q777=1,A777&lt;&gt;""),IF(IFERROR(COUNTIFS(A$3:A777,"="&amp;SUBSTITUTE(SUBSTITUTE(SUBSTITUTE(A777,"~","~~"),"*","~*"),"?","~?"),Q$3:Q777,1),0)=1,MAX(Y$2:Y776)+1,""),"")</f>
        <v/>
      </c>
      <c r="Z777" s="25">
        <f>IF(Y777="","",COUNTIFS($A$3:$A$1002,"="&amp;SUBSTITUTE(SUBSTITUTE(SUBSTITUTE(A777,"~","~~"),"*","~*"),"?","~?"),$Q$3:$Q$1002,1)*10000-Y777)</f>
        <v/>
      </c>
    </row>
    <row r="778">
      <c r="A778">
        <f>IF(A$2=0,"",IFERROR(TRIM(INDEX('Pegar docentes'!$A$1:$BZ$1001,777,A$2)&amp;""),""))</f>
        <v/>
      </c>
      <c r="B778">
        <f>IF(B$2=0,"",IFERROR(TRIM(INDEX('Pegar docentes'!$A$1:$BZ$1001,777,B$2)&amp;""),""))</f>
        <v/>
      </c>
      <c r="C778">
        <f>IF(C$2=0,"",IFERROR(TRIM(INDEX('Pegar docentes'!$A$1:$BZ$1001,777,C$2)&amp;""),""))</f>
        <v/>
      </c>
      <c r="D778">
        <f>IF(D$2=0,"",IFERROR(TRIM(INDEX('Pegar docentes'!$A$1:$BZ$1001,777,D$2)&amp;""),""))</f>
        <v/>
      </c>
      <c r="E778">
        <f>IF(E$2=0,"",IFERROR(TRIM(INDEX('Pegar docentes'!$A$1:$BZ$1001,777,E$2)&amp;""),""))</f>
        <v/>
      </c>
      <c r="F778">
        <f>IF(F$2=0,"",IFERROR(TRIM(INDEX('Pegar docentes'!$A$1:$BZ$1001,777,F$2)&amp;""),""))</f>
        <v/>
      </c>
      <c r="G778">
        <f>IF(G$2=0,"",IFERROR(TRIM(INDEX('Pegar docentes'!$A$1:$BZ$1001,777,G$2)&amp;""),""))</f>
        <v/>
      </c>
      <c r="H778">
        <f>IF(H$2=0,"",IFERROR(TRIM(INDEX('Pegar docentes'!$A$1:$BZ$1001,777,H$2)&amp;""),""))</f>
        <v/>
      </c>
      <c r="I778">
        <f>IF(I$2=0,"",IFERROR(TRIM(INDEX('Pegar docentes'!$A$1:$BZ$1001,777,I$2)&amp;""),""))</f>
        <v/>
      </c>
      <c r="J778">
        <f>IF(J$2=0,"",IFERROR(TRIM(INDEX('Pegar docentes'!$A$1:$BZ$1001,777,J$2)&amp;""),""))</f>
        <v/>
      </c>
      <c r="K778">
        <f>IF(K$2=0,"",IFERROR(TRIM(INDEX('Pegar docentes'!$A$1:$BZ$1001,777,K$2)&amp;""),""))</f>
        <v/>
      </c>
      <c r="L778">
        <f>IF(L$2=0,"",IFERROR(TRIM(INDEX('Pegar docentes'!$A$1:$BZ$1001,777,L$2)&amp;""),""))</f>
        <v/>
      </c>
      <c r="M778">
        <f>IF(M$2=0,"",IFERROR(TRIM(INDEX('Pegar docentes'!$A$1:$BZ$1001,777,M$2)&amp;""),""))</f>
        <v/>
      </c>
      <c r="N778">
        <f>IF(N$2=0,"",IFERROR(TRIM(INDEX('Pegar docentes'!$A$1:$BZ$1001,777,N$2)&amp;""),""))</f>
        <v/>
      </c>
      <c r="O778">
        <f>IF(O$2=0,"",IFERROR(TRIM(INDEX('Pegar docentes'!$A$1:$BZ$1001,777,O$2)&amp;""),""))</f>
        <v/>
      </c>
      <c r="P778">
        <f>IF(P$2=0,"",IFERROR(TRIM(INDEX('Pegar docentes'!$A$1:$BZ$1001,777,P$2)&amp;""),""))</f>
        <v/>
      </c>
      <c r="Q778" s="25">
        <f>IF(OR(D778&lt;&gt;"",H778&lt;&gt;""),1,"")</f>
        <v/>
      </c>
      <c r="R778" s="25">
        <f>IF(Q778=1,IF(ISNUMBER(FIND("#"&amp;MID(D778,1,1)&amp;"#","#0#1#2#3#4#5#6#7#8#9#")),IF(ISNUMBER(FIND("#"&amp;MID(D778,2,1)&amp;"#","#0#1#2#3#4#5#6#7#8#9#")),IF(AND(VALUE(LEFT(D778,2))&gt;=1,VALUE(LEFT(D778,2))&lt;=5),VALUE(LEFT(D778,2)),""),IF(AND(VALUE(LEFT(D778,1))&gt;=1,VALUE(LEFT(D778,1))&lt;=5),VALUE(LEFT(D778,1)),"")),""),"")</f>
        <v/>
      </c>
      <c r="S778" s="25">
        <f>IF(AND(Q778=1,E778&lt;&gt;""),SUBSTITUTE(SUBSTITUTE(SUBSTITUTE(SUBSTITUTE(SUBSTITUTE(SUBSTITUTE(SUBSTITUTE(SUBSTITUTE(SUBSTITUTE(SUBSTITUTE(SUBSTITUTE(SUBSTITUTE(LOWER(TRIM(E778)),"á","a"),"é","e"),"í","i"),"ó","o"),"ú","u"),"ü","u"),"ñ","n"),"à","a"),"è","e"),"ì","i"),"ò","o"),"ù","u"),"")</f>
        <v/>
      </c>
      <c r="T778" s="25">
        <f>IF(AND(Q778=1,G778&lt;&gt;""),SUBSTITUTE(SUBSTITUTE(SUBSTITUTE(SUBSTITUTE(SUBSTITUTE(SUBSTITUTE(SUBSTITUTE(SUBSTITUTE(SUBSTITUTE(SUBSTITUTE(SUBSTITUTE(SUBSTITUTE(LOWER(TRIM(G778)),"á","a"),"é","e"),"í","i"),"ó","o"),"ú","u"),"ü","u"),"ñ","n"),"à","a"),"è","e"),"ì","i"),"ò","o"),"ù","u"),"")</f>
        <v/>
      </c>
      <c r="U778" s="25">
        <f>IF(AND(Q778=1,H778&lt;&gt;""),SUBSTITUTE(SUBSTITUTE(SUBSTITUTE(SUBSTITUTE(SUBSTITUTE(SUBSTITUTE(SUBSTITUTE(SUBSTITUTE(SUBSTITUTE(SUBSTITUTE(SUBSTITUTE(SUBSTITUTE(LOWER(TRIM(H778)),"á","a"),"é","e"),"í","i"),"ó","o"),"ú","u"),"ü","u"),"ñ","n"),"à","a"),"è","e"),"ì","i"),"ò","o"),"ù","u"),"")</f>
        <v/>
      </c>
      <c r="V778" s="25">
        <f>IF(AND(Q778=1,L778&lt;&gt;""),SUBSTITUTE(SUBSTITUTE(SUBSTITUTE(SUBSTITUTE(SUBSTITUTE(SUBSTITUTE(SUBSTITUTE(SUBSTITUTE(SUBSTITUTE(SUBSTITUTE(SUBSTITUTE(SUBSTITUTE(LOWER(TRIM(L778)),"á","a"),"é","e"),"í","i"),"ó","o"),"ú","u"),"ü","u"),"ñ","n"),"à","a"),"è","e"),"ì","i"),"ò","o"),"ù","u"),"")</f>
        <v/>
      </c>
      <c r="W778" s="25">
        <f>IF(AND(Q778=1,I778&lt;&gt;""),SUBSTITUTE(SUBSTITUTE(SUBSTITUTE(SUBSTITUTE(SUBSTITUTE(SUBSTITUTE(SUBSTITUTE(SUBSTITUTE(SUBSTITUTE(SUBSTITUTE(SUBSTITUTE(SUBSTITUTE(LOWER(TRIM(I778)),"á","a"),"é","e"),"í","i"),"ó","o"),"ú","u"),"ü","u"),"ñ","n"),"à","a"),"è","e"),"ì","i"),"ò","o"),"ù","u"),"")</f>
        <v/>
      </c>
      <c r="X778" s="25">
        <f>IF(U778="","",IF(OR(U778="si, en la proxima tarea",U778="si, con cambios"),1,0))</f>
        <v/>
      </c>
      <c r="Y778" s="25">
        <f>IF(AND(Q778=1,A778&lt;&gt;""),IF(IFERROR(COUNTIFS(A$3:A778,"="&amp;SUBSTITUTE(SUBSTITUTE(SUBSTITUTE(A778,"~","~~"),"*","~*"),"?","~?"),Q$3:Q778,1),0)=1,MAX(Y$2:Y777)+1,""),"")</f>
        <v/>
      </c>
      <c r="Z778" s="25">
        <f>IF(Y778="","",COUNTIFS($A$3:$A$1002,"="&amp;SUBSTITUTE(SUBSTITUTE(SUBSTITUTE(A778,"~","~~"),"*","~*"),"?","~?"),$Q$3:$Q$1002,1)*10000-Y778)</f>
        <v/>
      </c>
    </row>
    <row r="779">
      <c r="A779">
        <f>IF(A$2=0,"",IFERROR(TRIM(INDEX('Pegar docentes'!$A$1:$BZ$1001,778,A$2)&amp;""),""))</f>
        <v/>
      </c>
      <c r="B779">
        <f>IF(B$2=0,"",IFERROR(TRIM(INDEX('Pegar docentes'!$A$1:$BZ$1001,778,B$2)&amp;""),""))</f>
        <v/>
      </c>
      <c r="C779">
        <f>IF(C$2=0,"",IFERROR(TRIM(INDEX('Pegar docentes'!$A$1:$BZ$1001,778,C$2)&amp;""),""))</f>
        <v/>
      </c>
      <c r="D779">
        <f>IF(D$2=0,"",IFERROR(TRIM(INDEX('Pegar docentes'!$A$1:$BZ$1001,778,D$2)&amp;""),""))</f>
        <v/>
      </c>
      <c r="E779">
        <f>IF(E$2=0,"",IFERROR(TRIM(INDEX('Pegar docentes'!$A$1:$BZ$1001,778,E$2)&amp;""),""))</f>
        <v/>
      </c>
      <c r="F779">
        <f>IF(F$2=0,"",IFERROR(TRIM(INDEX('Pegar docentes'!$A$1:$BZ$1001,778,F$2)&amp;""),""))</f>
        <v/>
      </c>
      <c r="G779">
        <f>IF(G$2=0,"",IFERROR(TRIM(INDEX('Pegar docentes'!$A$1:$BZ$1001,778,G$2)&amp;""),""))</f>
        <v/>
      </c>
      <c r="H779">
        <f>IF(H$2=0,"",IFERROR(TRIM(INDEX('Pegar docentes'!$A$1:$BZ$1001,778,H$2)&amp;""),""))</f>
        <v/>
      </c>
      <c r="I779">
        <f>IF(I$2=0,"",IFERROR(TRIM(INDEX('Pegar docentes'!$A$1:$BZ$1001,778,I$2)&amp;""),""))</f>
        <v/>
      </c>
      <c r="J779">
        <f>IF(J$2=0,"",IFERROR(TRIM(INDEX('Pegar docentes'!$A$1:$BZ$1001,778,J$2)&amp;""),""))</f>
        <v/>
      </c>
      <c r="K779">
        <f>IF(K$2=0,"",IFERROR(TRIM(INDEX('Pegar docentes'!$A$1:$BZ$1001,778,K$2)&amp;""),""))</f>
        <v/>
      </c>
      <c r="L779">
        <f>IF(L$2=0,"",IFERROR(TRIM(INDEX('Pegar docentes'!$A$1:$BZ$1001,778,L$2)&amp;""),""))</f>
        <v/>
      </c>
      <c r="M779">
        <f>IF(M$2=0,"",IFERROR(TRIM(INDEX('Pegar docentes'!$A$1:$BZ$1001,778,M$2)&amp;""),""))</f>
        <v/>
      </c>
      <c r="N779">
        <f>IF(N$2=0,"",IFERROR(TRIM(INDEX('Pegar docentes'!$A$1:$BZ$1001,778,N$2)&amp;""),""))</f>
        <v/>
      </c>
      <c r="O779">
        <f>IF(O$2=0,"",IFERROR(TRIM(INDEX('Pegar docentes'!$A$1:$BZ$1001,778,O$2)&amp;""),""))</f>
        <v/>
      </c>
      <c r="P779">
        <f>IF(P$2=0,"",IFERROR(TRIM(INDEX('Pegar docentes'!$A$1:$BZ$1001,778,P$2)&amp;""),""))</f>
        <v/>
      </c>
      <c r="Q779" s="25">
        <f>IF(OR(D779&lt;&gt;"",H779&lt;&gt;""),1,"")</f>
        <v/>
      </c>
      <c r="R779" s="25">
        <f>IF(Q779=1,IF(ISNUMBER(FIND("#"&amp;MID(D779,1,1)&amp;"#","#0#1#2#3#4#5#6#7#8#9#")),IF(ISNUMBER(FIND("#"&amp;MID(D779,2,1)&amp;"#","#0#1#2#3#4#5#6#7#8#9#")),IF(AND(VALUE(LEFT(D779,2))&gt;=1,VALUE(LEFT(D779,2))&lt;=5),VALUE(LEFT(D779,2)),""),IF(AND(VALUE(LEFT(D779,1))&gt;=1,VALUE(LEFT(D779,1))&lt;=5),VALUE(LEFT(D779,1)),"")),""),"")</f>
        <v/>
      </c>
      <c r="S779" s="25">
        <f>IF(AND(Q779=1,E779&lt;&gt;""),SUBSTITUTE(SUBSTITUTE(SUBSTITUTE(SUBSTITUTE(SUBSTITUTE(SUBSTITUTE(SUBSTITUTE(SUBSTITUTE(SUBSTITUTE(SUBSTITUTE(SUBSTITUTE(SUBSTITUTE(LOWER(TRIM(E779)),"á","a"),"é","e"),"í","i"),"ó","o"),"ú","u"),"ü","u"),"ñ","n"),"à","a"),"è","e"),"ì","i"),"ò","o"),"ù","u"),"")</f>
        <v/>
      </c>
      <c r="T779" s="25">
        <f>IF(AND(Q779=1,G779&lt;&gt;""),SUBSTITUTE(SUBSTITUTE(SUBSTITUTE(SUBSTITUTE(SUBSTITUTE(SUBSTITUTE(SUBSTITUTE(SUBSTITUTE(SUBSTITUTE(SUBSTITUTE(SUBSTITUTE(SUBSTITUTE(LOWER(TRIM(G779)),"á","a"),"é","e"),"í","i"),"ó","o"),"ú","u"),"ü","u"),"ñ","n"),"à","a"),"è","e"),"ì","i"),"ò","o"),"ù","u"),"")</f>
        <v/>
      </c>
      <c r="U779" s="25">
        <f>IF(AND(Q779=1,H779&lt;&gt;""),SUBSTITUTE(SUBSTITUTE(SUBSTITUTE(SUBSTITUTE(SUBSTITUTE(SUBSTITUTE(SUBSTITUTE(SUBSTITUTE(SUBSTITUTE(SUBSTITUTE(SUBSTITUTE(SUBSTITUTE(LOWER(TRIM(H779)),"á","a"),"é","e"),"í","i"),"ó","o"),"ú","u"),"ü","u"),"ñ","n"),"à","a"),"è","e"),"ì","i"),"ò","o"),"ù","u"),"")</f>
        <v/>
      </c>
      <c r="V779" s="25">
        <f>IF(AND(Q779=1,L779&lt;&gt;""),SUBSTITUTE(SUBSTITUTE(SUBSTITUTE(SUBSTITUTE(SUBSTITUTE(SUBSTITUTE(SUBSTITUTE(SUBSTITUTE(SUBSTITUTE(SUBSTITUTE(SUBSTITUTE(SUBSTITUTE(LOWER(TRIM(L779)),"á","a"),"é","e"),"í","i"),"ó","o"),"ú","u"),"ü","u"),"ñ","n"),"à","a"),"è","e"),"ì","i"),"ò","o"),"ù","u"),"")</f>
        <v/>
      </c>
      <c r="W779" s="25">
        <f>IF(AND(Q779=1,I779&lt;&gt;""),SUBSTITUTE(SUBSTITUTE(SUBSTITUTE(SUBSTITUTE(SUBSTITUTE(SUBSTITUTE(SUBSTITUTE(SUBSTITUTE(SUBSTITUTE(SUBSTITUTE(SUBSTITUTE(SUBSTITUTE(LOWER(TRIM(I779)),"á","a"),"é","e"),"í","i"),"ó","o"),"ú","u"),"ü","u"),"ñ","n"),"à","a"),"è","e"),"ì","i"),"ò","o"),"ù","u"),"")</f>
        <v/>
      </c>
      <c r="X779" s="25">
        <f>IF(U779="","",IF(OR(U779="si, en la proxima tarea",U779="si, con cambios"),1,0))</f>
        <v/>
      </c>
      <c r="Y779" s="25">
        <f>IF(AND(Q779=1,A779&lt;&gt;""),IF(IFERROR(COUNTIFS(A$3:A779,"="&amp;SUBSTITUTE(SUBSTITUTE(SUBSTITUTE(A779,"~","~~"),"*","~*"),"?","~?"),Q$3:Q779,1),0)=1,MAX(Y$2:Y778)+1,""),"")</f>
        <v/>
      </c>
      <c r="Z779" s="25">
        <f>IF(Y779="","",COUNTIFS($A$3:$A$1002,"="&amp;SUBSTITUTE(SUBSTITUTE(SUBSTITUTE(A779,"~","~~"),"*","~*"),"?","~?"),$Q$3:$Q$1002,1)*10000-Y779)</f>
        <v/>
      </c>
    </row>
    <row r="780">
      <c r="A780">
        <f>IF(A$2=0,"",IFERROR(TRIM(INDEX('Pegar docentes'!$A$1:$BZ$1001,779,A$2)&amp;""),""))</f>
        <v/>
      </c>
      <c r="B780">
        <f>IF(B$2=0,"",IFERROR(TRIM(INDEX('Pegar docentes'!$A$1:$BZ$1001,779,B$2)&amp;""),""))</f>
        <v/>
      </c>
      <c r="C780">
        <f>IF(C$2=0,"",IFERROR(TRIM(INDEX('Pegar docentes'!$A$1:$BZ$1001,779,C$2)&amp;""),""))</f>
        <v/>
      </c>
      <c r="D780">
        <f>IF(D$2=0,"",IFERROR(TRIM(INDEX('Pegar docentes'!$A$1:$BZ$1001,779,D$2)&amp;""),""))</f>
        <v/>
      </c>
      <c r="E780">
        <f>IF(E$2=0,"",IFERROR(TRIM(INDEX('Pegar docentes'!$A$1:$BZ$1001,779,E$2)&amp;""),""))</f>
        <v/>
      </c>
      <c r="F780">
        <f>IF(F$2=0,"",IFERROR(TRIM(INDEX('Pegar docentes'!$A$1:$BZ$1001,779,F$2)&amp;""),""))</f>
        <v/>
      </c>
      <c r="G780">
        <f>IF(G$2=0,"",IFERROR(TRIM(INDEX('Pegar docentes'!$A$1:$BZ$1001,779,G$2)&amp;""),""))</f>
        <v/>
      </c>
      <c r="H780">
        <f>IF(H$2=0,"",IFERROR(TRIM(INDEX('Pegar docentes'!$A$1:$BZ$1001,779,H$2)&amp;""),""))</f>
        <v/>
      </c>
      <c r="I780">
        <f>IF(I$2=0,"",IFERROR(TRIM(INDEX('Pegar docentes'!$A$1:$BZ$1001,779,I$2)&amp;""),""))</f>
        <v/>
      </c>
      <c r="J780">
        <f>IF(J$2=0,"",IFERROR(TRIM(INDEX('Pegar docentes'!$A$1:$BZ$1001,779,J$2)&amp;""),""))</f>
        <v/>
      </c>
      <c r="K780">
        <f>IF(K$2=0,"",IFERROR(TRIM(INDEX('Pegar docentes'!$A$1:$BZ$1001,779,K$2)&amp;""),""))</f>
        <v/>
      </c>
      <c r="L780">
        <f>IF(L$2=0,"",IFERROR(TRIM(INDEX('Pegar docentes'!$A$1:$BZ$1001,779,L$2)&amp;""),""))</f>
        <v/>
      </c>
      <c r="M780">
        <f>IF(M$2=0,"",IFERROR(TRIM(INDEX('Pegar docentes'!$A$1:$BZ$1001,779,M$2)&amp;""),""))</f>
        <v/>
      </c>
      <c r="N780">
        <f>IF(N$2=0,"",IFERROR(TRIM(INDEX('Pegar docentes'!$A$1:$BZ$1001,779,N$2)&amp;""),""))</f>
        <v/>
      </c>
      <c r="O780">
        <f>IF(O$2=0,"",IFERROR(TRIM(INDEX('Pegar docentes'!$A$1:$BZ$1001,779,O$2)&amp;""),""))</f>
        <v/>
      </c>
      <c r="P780">
        <f>IF(P$2=0,"",IFERROR(TRIM(INDEX('Pegar docentes'!$A$1:$BZ$1001,779,P$2)&amp;""),""))</f>
        <v/>
      </c>
      <c r="Q780" s="25">
        <f>IF(OR(D780&lt;&gt;"",H780&lt;&gt;""),1,"")</f>
        <v/>
      </c>
      <c r="R780" s="25">
        <f>IF(Q780=1,IF(ISNUMBER(FIND("#"&amp;MID(D780,1,1)&amp;"#","#0#1#2#3#4#5#6#7#8#9#")),IF(ISNUMBER(FIND("#"&amp;MID(D780,2,1)&amp;"#","#0#1#2#3#4#5#6#7#8#9#")),IF(AND(VALUE(LEFT(D780,2))&gt;=1,VALUE(LEFT(D780,2))&lt;=5),VALUE(LEFT(D780,2)),""),IF(AND(VALUE(LEFT(D780,1))&gt;=1,VALUE(LEFT(D780,1))&lt;=5),VALUE(LEFT(D780,1)),"")),""),"")</f>
        <v/>
      </c>
      <c r="S780" s="25">
        <f>IF(AND(Q780=1,E780&lt;&gt;""),SUBSTITUTE(SUBSTITUTE(SUBSTITUTE(SUBSTITUTE(SUBSTITUTE(SUBSTITUTE(SUBSTITUTE(SUBSTITUTE(SUBSTITUTE(SUBSTITUTE(SUBSTITUTE(SUBSTITUTE(LOWER(TRIM(E780)),"á","a"),"é","e"),"í","i"),"ó","o"),"ú","u"),"ü","u"),"ñ","n"),"à","a"),"è","e"),"ì","i"),"ò","o"),"ù","u"),"")</f>
        <v/>
      </c>
      <c r="T780" s="25">
        <f>IF(AND(Q780=1,G780&lt;&gt;""),SUBSTITUTE(SUBSTITUTE(SUBSTITUTE(SUBSTITUTE(SUBSTITUTE(SUBSTITUTE(SUBSTITUTE(SUBSTITUTE(SUBSTITUTE(SUBSTITUTE(SUBSTITUTE(SUBSTITUTE(LOWER(TRIM(G780)),"á","a"),"é","e"),"í","i"),"ó","o"),"ú","u"),"ü","u"),"ñ","n"),"à","a"),"è","e"),"ì","i"),"ò","o"),"ù","u"),"")</f>
        <v/>
      </c>
      <c r="U780" s="25">
        <f>IF(AND(Q780=1,H780&lt;&gt;""),SUBSTITUTE(SUBSTITUTE(SUBSTITUTE(SUBSTITUTE(SUBSTITUTE(SUBSTITUTE(SUBSTITUTE(SUBSTITUTE(SUBSTITUTE(SUBSTITUTE(SUBSTITUTE(SUBSTITUTE(LOWER(TRIM(H780)),"á","a"),"é","e"),"í","i"),"ó","o"),"ú","u"),"ü","u"),"ñ","n"),"à","a"),"è","e"),"ì","i"),"ò","o"),"ù","u"),"")</f>
        <v/>
      </c>
      <c r="V780" s="25">
        <f>IF(AND(Q780=1,L780&lt;&gt;""),SUBSTITUTE(SUBSTITUTE(SUBSTITUTE(SUBSTITUTE(SUBSTITUTE(SUBSTITUTE(SUBSTITUTE(SUBSTITUTE(SUBSTITUTE(SUBSTITUTE(SUBSTITUTE(SUBSTITUTE(LOWER(TRIM(L780)),"á","a"),"é","e"),"í","i"),"ó","o"),"ú","u"),"ü","u"),"ñ","n"),"à","a"),"è","e"),"ì","i"),"ò","o"),"ù","u"),"")</f>
        <v/>
      </c>
      <c r="W780" s="25">
        <f>IF(AND(Q780=1,I780&lt;&gt;""),SUBSTITUTE(SUBSTITUTE(SUBSTITUTE(SUBSTITUTE(SUBSTITUTE(SUBSTITUTE(SUBSTITUTE(SUBSTITUTE(SUBSTITUTE(SUBSTITUTE(SUBSTITUTE(SUBSTITUTE(LOWER(TRIM(I780)),"á","a"),"é","e"),"í","i"),"ó","o"),"ú","u"),"ü","u"),"ñ","n"),"à","a"),"è","e"),"ì","i"),"ò","o"),"ù","u"),"")</f>
        <v/>
      </c>
      <c r="X780" s="25">
        <f>IF(U780="","",IF(OR(U780="si, en la proxima tarea",U780="si, con cambios"),1,0))</f>
        <v/>
      </c>
      <c r="Y780" s="25">
        <f>IF(AND(Q780=1,A780&lt;&gt;""),IF(IFERROR(COUNTIFS(A$3:A780,"="&amp;SUBSTITUTE(SUBSTITUTE(SUBSTITUTE(A780,"~","~~"),"*","~*"),"?","~?"),Q$3:Q780,1),0)=1,MAX(Y$2:Y779)+1,""),"")</f>
        <v/>
      </c>
      <c r="Z780" s="25">
        <f>IF(Y780="","",COUNTIFS($A$3:$A$1002,"="&amp;SUBSTITUTE(SUBSTITUTE(SUBSTITUTE(A780,"~","~~"),"*","~*"),"?","~?"),$Q$3:$Q$1002,1)*10000-Y780)</f>
        <v/>
      </c>
    </row>
    <row r="781">
      <c r="A781">
        <f>IF(A$2=0,"",IFERROR(TRIM(INDEX('Pegar docentes'!$A$1:$BZ$1001,780,A$2)&amp;""),""))</f>
        <v/>
      </c>
      <c r="B781">
        <f>IF(B$2=0,"",IFERROR(TRIM(INDEX('Pegar docentes'!$A$1:$BZ$1001,780,B$2)&amp;""),""))</f>
        <v/>
      </c>
      <c r="C781">
        <f>IF(C$2=0,"",IFERROR(TRIM(INDEX('Pegar docentes'!$A$1:$BZ$1001,780,C$2)&amp;""),""))</f>
        <v/>
      </c>
      <c r="D781">
        <f>IF(D$2=0,"",IFERROR(TRIM(INDEX('Pegar docentes'!$A$1:$BZ$1001,780,D$2)&amp;""),""))</f>
        <v/>
      </c>
      <c r="E781">
        <f>IF(E$2=0,"",IFERROR(TRIM(INDEX('Pegar docentes'!$A$1:$BZ$1001,780,E$2)&amp;""),""))</f>
        <v/>
      </c>
      <c r="F781">
        <f>IF(F$2=0,"",IFERROR(TRIM(INDEX('Pegar docentes'!$A$1:$BZ$1001,780,F$2)&amp;""),""))</f>
        <v/>
      </c>
      <c r="G781">
        <f>IF(G$2=0,"",IFERROR(TRIM(INDEX('Pegar docentes'!$A$1:$BZ$1001,780,G$2)&amp;""),""))</f>
        <v/>
      </c>
      <c r="H781">
        <f>IF(H$2=0,"",IFERROR(TRIM(INDEX('Pegar docentes'!$A$1:$BZ$1001,780,H$2)&amp;""),""))</f>
        <v/>
      </c>
      <c r="I781">
        <f>IF(I$2=0,"",IFERROR(TRIM(INDEX('Pegar docentes'!$A$1:$BZ$1001,780,I$2)&amp;""),""))</f>
        <v/>
      </c>
      <c r="J781">
        <f>IF(J$2=0,"",IFERROR(TRIM(INDEX('Pegar docentes'!$A$1:$BZ$1001,780,J$2)&amp;""),""))</f>
        <v/>
      </c>
      <c r="K781">
        <f>IF(K$2=0,"",IFERROR(TRIM(INDEX('Pegar docentes'!$A$1:$BZ$1001,780,K$2)&amp;""),""))</f>
        <v/>
      </c>
      <c r="L781">
        <f>IF(L$2=0,"",IFERROR(TRIM(INDEX('Pegar docentes'!$A$1:$BZ$1001,780,L$2)&amp;""),""))</f>
        <v/>
      </c>
      <c r="M781">
        <f>IF(M$2=0,"",IFERROR(TRIM(INDEX('Pegar docentes'!$A$1:$BZ$1001,780,M$2)&amp;""),""))</f>
        <v/>
      </c>
      <c r="N781">
        <f>IF(N$2=0,"",IFERROR(TRIM(INDEX('Pegar docentes'!$A$1:$BZ$1001,780,N$2)&amp;""),""))</f>
        <v/>
      </c>
      <c r="O781">
        <f>IF(O$2=0,"",IFERROR(TRIM(INDEX('Pegar docentes'!$A$1:$BZ$1001,780,O$2)&amp;""),""))</f>
        <v/>
      </c>
      <c r="P781">
        <f>IF(P$2=0,"",IFERROR(TRIM(INDEX('Pegar docentes'!$A$1:$BZ$1001,780,P$2)&amp;""),""))</f>
        <v/>
      </c>
      <c r="Q781" s="25">
        <f>IF(OR(D781&lt;&gt;"",H781&lt;&gt;""),1,"")</f>
        <v/>
      </c>
      <c r="R781" s="25">
        <f>IF(Q781=1,IF(ISNUMBER(FIND("#"&amp;MID(D781,1,1)&amp;"#","#0#1#2#3#4#5#6#7#8#9#")),IF(ISNUMBER(FIND("#"&amp;MID(D781,2,1)&amp;"#","#0#1#2#3#4#5#6#7#8#9#")),IF(AND(VALUE(LEFT(D781,2))&gt;=1,VALUE(LEFT(D781,2))&lt;=5),VALUE(LEFT(D781,2)),""),IF(AND(VALUE(LEFT(D781,1))&gt;=1,VALUE(LEFT(D781,1))&lt;=5),VALUE(LEFT(D781,1)),"")),""),"")</f>
        <v/>
      </c>
      <c r="S781" s="25">
        <f>IF(AND(Q781=1,E781&lt;&gt;""),SUBSTITUTE(SUBSTITUTE(SUBSTITUTE(SUBSTITUTE(SUBSTITUTE(SUBSTITUTE(SUBSTITUTE(SUBSTITUTE(SUBSTITUTE(SUBSTITUTE(SUBSTITUTE(SUBSTITUTE(LOWER(TRIM(E781)),"á","a"),"é","e"),"í","i"),"ó","o"),"ú","u"),"ü","u"),"ñ","n"),"à","a"),"è","e"),"ì","i"),"ò","o"),"ù","u"),"")</f>
        <v/>
      </c>
      <c r="T781" s="25">
        <f>IF(AND(Q781=1,G781&lt;&gt;""),SUBSTITUTE(SUBSTITUTE(SUBSTITUTE(SUBSTITUTE(SUBSTITUTE(SUBSTITUTE(SUBSTITUTE(SUBSTITUTE(SUBSTITUTE(SUBSTITUTE(SUBSTITUTE(SUBSTITUTE(LOWER(TRIM(G781)),"á","a"),"é","e"),"í","i"),"ó","o"),"ú","u"),"ü","u"),"ñ","n"),"à","a"),"è","e"),"ì","i"),"ò","o"),"ù","u"),"")</f>
        <v/>
      </c>
      <c r="U781" s="25">
        <f>IF(AND(Q781=1,H781&lt;&gt;""),SUBSTITUTE(SUBSTITUTE(SUBSTITUTE(SUBSTITUTE(SUBSTITUTE(SUBSTITUTE(SUBSTITUTE(SUBSTITUTE(SUBSTITUTE(SUBSTITUTE(SUBSTITUTE(SUBSTITUTE(LOWER(TRIM(H781)),"á","a"),"é","e"),"í","i"),"ó","o"),"ú","u"),"ü","u"),"ñ","n"),"à","a"),"è","e"),"ì","i"),"ò","o"),"ù","u"),"")</f>
        <v/>
      </c>
      <c r="V781" s="25">
        <f>IF(AND(Q781=1,L781&lt;&gt;""),SUBSTITUTE(SUBSTITUTE(SUBSTITUTE(SUBSTITUTE(SUBSTITUTE(SUBSTITUTE(SUBSTITUTE(SUBSTITUTE(SUBSTITUTE(SUBSTITUTE(SUBSTITUTE(SUBSTITUTE(LOWER(TRIM(L781)),"á","a"),"é","e"),"í","i"),"ó","o"),"ú","u"),"ü","u"),"ñ","n"),"à","a"),"è","e"),"ì","i"),"ò","o"),"ù","u"),"")</f>
        <v/>
      </c>
      <c r="W781" s="25">
        <f>IF(AND(Q781=1,I781&lt;&gt;""),SUBSTITUTE(SUBSTITUTE(SUBSTITUTE(SUBSTITUTE(SUBSTITUTE(SUBSTITUTE(SUBSTITUTE(SUBSTITUTE(SUBSTITUTE(SUBSTITUTE(SUBSTITUTE(SUBSTITUTE(LOWER(TRIM(I781)),"á","a"),"é","e"),"í","i"),"ó","o"),"ú","u"),"ü","u"),"ñ","n"),"à","a"),"è","e"),"ì","i"),"ò","o"),"ù","u"),"")</f>
        <v/>
      </c>
      <c r="X781" s="25">
        <f>IF(U781="","",IF(OR(U781="si, en la proxima tarea",U781="si, con cambios"),1,0))</f>
        <v/>
      </c>
      <c r="Y781" s="25">
        <f>IF(AND(Q781=1,A781&lt;&gt;""),IF(IFERROR(COUNTIFS(A$3:A781,"="&amp;SUBSTITUTE(SUBSTITUTE(SUBSTITUTE(A781,"~","~~"),"*","~*"),"?","~?"),Q$3:Q781,1),0)=1,MAX(Y$2:Y780)+1,""),"")</f>
        <v/>
      </c>
      <c r="Z781" s="25">
        <f>IF(Y781="","",COUNTIFS($A$3:$A$1002,"="&amp;SUBSTITUTE(SUBSTITUTE(SUBSTITUTE(A781,"~","~~"),"*","~*"),"?","~?"),$Q$3:$Q$1002,1)*10000-Y781)</f>
        <v/>
      </c>
    </row>
    <row r="782">
      <c r="A782">
        <f>IF(A$2=0,"",IFERROR(TRIM(INDEX('Pegar docentes'!$A$1:$BZ$1001,781,A$2)&amp;""),""))</f>
        <v/>
      </c>
      <c r="B782">
        <f>IF(B$2=0,"",IFERROR(TRIM(INDEX('Pegar docentes'!$A$1:$BZ$1001,781,B$2)&amp;""),""))</f>
        <v/>
      </c>
      <c r="C782">
        <f>IF(C$2=0,"",IFERROR(TRIM(INDEX('Pegar docentes'!$A$1:$BZ$1001,781,C$2)&amp;""),""))</f>
        <v/>
      </c>
      <c r="D782">
        <f>IF(D$2=0,"",IFERROR(TRIM(INDEX('Pegar docentes'!$A$1:$BZ$1001,781,D$2)&amp;""),""))</f>
        <v/>
      </c>
      <c r="E782">
        <f>IF(E$2=0,"",IFERROR(TRIM(INDEX('Pegar docentes'!$A$1:$BZ$1001,781,E$2)&amp;""),""))</f>
        <v/>
      </c>
      <c r="F782">
        <f>IF(F$2=0,"",IFERROR(TRIM(INDEX('Pegar docentes'!$A$1:$BZ$1001,781,F$2)&amp;""),""))</f>
        <v/>
      </c>
      <c r="G782">
        <f>IF(G$2=0,"",IFERROR(TRIM(INDEX('Pegar docentes'!$A$1:$BZ$1001,781,G$2)&amp;""),""))</f>
        <v/>
      </c>
      <c r="H782">
        <f>IF(H$2=0,"",IFERROR(TRIM(INDEX('Pegar docentes'!$A$1:$BZ$1001,781,H$2)&amp;""),""))</f>
        <v/>
      </c>
      <c r="I782">
        <f>IF(I$2=0,"",IFERROR(TRIM(INDEX('Pegar docentes'!$A$1:$BZ$1001,781,I$2)&amp;""),""))</f>
        <v/>
      </c>
      <c r="J782">
        <f>IF(J$2=0,"",IFERROR(TRIM(INDEX('Pegar docentes'!$A$1:$BZ$1001,781,J$2)&amp;""),""))</f>
        <v/>
      </c>
      <c r="K782">
        <f>IF(K$2=0,"",IFERROR(TRIM(INDEX('Pegar docentes'!$A$1:$BZ$1001,781,K$2)&amp;""),""))</f>
        <v/>
      </c>
      <c r="L782">
        <f>IF(L$2=0,"",IFERROR(TRIM(INDEX('Pegar docentes'!$A$1:$BZ$1001,781,L$2)&amp;""),""))</f>
        <v/>
      </c>
      <c r="M782">
        <f>IF(M$2=0,"",IFERROR(TRIM(INDEX('Pegar docentes'!$A$1:$BZ$1001,781,M$2)&amp;""),""))</f>
        <v/>
      </c>
      <c r="N782">
        <f>IF(N$2=0,"",IFERROR(TRIM(INDEX('Pegar docentes'!$A$1:$BZ$1001,781,N$2)&amp;""),""))</f>
        <v/>
      </c>
      <c r="O782">
        <f>IF(O$2=0,"",IFERROR(TRIM(INDEX('Pegar docentes'!$A$1:$BZ$1001,781,O$2)&amp;""),""))</f>
        <v/>
      </c>
      <c r="P782">
        <f>IF(P$2=0,"",IFERROR(TRIM(INDEX('Pegar docentes'!$A$1:$BZ$1001,781,P$2)&amp;""),""))</f>
        <v/>
      </c>
      <c r="Q782" s="25">
        <f>IF(OR(D782&lt;&gt;"",H782&lt;&gt;""),1,"")</f>
        <v/>
      </c>
      <c r="R782" s="25">
        <f>IF(Q782=1,IF(ISNUMBER(FIND("#"&amp;MID(D782,1,1)&amp;"#","#0#1#2#3#4#5#6#7#8#9#")),IF(ISNUMBER(FIND("#"&amp;MID(D782,2,1)&amp;"#","#0#1#2#3#4#5#6#7#8#9#")),IF(AND(VALUE(LEFT(D782,2))&gt;=1,VALUE(LEFT(D782,2))&lt;=5),VALUE(LEFT(D782,2)),""),IF(AND(VALUE(LEFT(D782,1))&gt;=1,VALUE(LEFT(D782,1))&lt;=5),VALUE(LEFT(D782,1)),"")),""),"")</f>
        <v/>
      </c>
      <c r="S782" s="25">
        <f>IF(AND(Q782=1,E782&lt;&gt;""),SUBSTITUTE(SUBSTITUTE(SUBSTITUTE(SUBSTITUTE(SUBSTITUTE(SUBSTITUTE(SUBSTITUTE(SUBSTITUTE(SUBSTITUTE(SUBSTITUTE(SUBSTITUTE(SUBSTITUTE(LOWER(TRIM(E782)),"á","a"),"é","e"),"í","i"),"ó","o"),"ú","u"),"ü","u"),"ñ","n"),"à","a"),"è","e"),"ì","i"),"ò","o"),"ù","u"),"")</f>
        <v/>
      </c>
      <c r="T782" s="25">
        <f>IF(AND(Q782=1,G782&lt;&gt;""),SUBSTITUTE(SUBSTITUTE(SUBSTITUTE(SUBSTITUTE(SUBSTITUTE(SUBSTITUTE(SUBSTITUTE(SUBSTITUTE(SUBSTITUTE(SUBSTITUTE(SUBSTITUTE(SUBSTITUTE(LOWER(TRIM(G782)),"á","a"),"é","e"),"í","i"),"ó","o"),"ú","u"),"ü","u"),"ñ","n"),"à","a"),"è","e"),"ì","i"),"ò","o"),"ù","u"),"")</f>
        <v/>
      </c>
      <c r="U782" s="25">
        <f>IF(AND(Q782=1,H782&lt;&gt;""),SUBSTITUTE(SUBSTITUTE(SUBSTITUTE(SUBSTITUTE(SUBSTITUTE(SUBSTITUTE(SUBSTITUTE(SUBSTITUTE(SUBSTITUTE(SUBSTITUTE(SUBSTITUTE(SUBSTITUTE(LOWER(TRIM(H782)),"á","a"),"é","e"),"í","i"),"ó","o"),"ú","u"),"ü","u"),"ñ","n"),"à","a"),"è","e"),"ì","i"),"ò","o"),"ù","u"),"")</f>
        <v/>
      </c>
      <c r="V782" s="25">
        <f>IF(AND(Q782=1,L782&lt;&gt;""),SUBSTITUTE(SUBSTITUTE(SUBSTITUTE(SUBSTITUTE(SUBSTITUTE(SUBSTITUTE(SUBSTITUTE(SUBSTITUTE(SUBSTITUTE(SUBSTITUTE(SUBSTITUTE(SUBSTITUTE(LOWER(TRIM(L782)),"á","a"),"é","e"),"í","i"),"ó","o"),"ú","u"),"ü","u"),"ñ","n"),"à","a"),"è","e"),"ì","i"),"ò","o"),"ù","u"),"")</f>
        <v/>
      </c>
      <c r="W782" s="25">
        <f>IF(AND(Q782=1,I782&lt;&gt;""),SUBSTITUTE(SUBSTITUTE(SUBSTITUTE(SUBSTITUTE(SUBSTITUTE(SUBSTITUTE(SUBSTITUTE(SUBSTITUTE(SUBSTITUTE(SUBSTITUTE(SUBSTITUTE(SUBSTITUTE(LOWER(TRIM(I782)),"á","a"),"é","e"),"í","i"),"ó","o"),"ú","u"),"ü","u"),"ñ","n"),"à","a"),"è","e"),"ì","i"),"ò","o"),"ù","u"),"")</f>
        <v/>
      </c>
      <c r="X782" s="25">
        <f>IF(U782="","",IF(OR(U782="si, en la proxima tarea",U782="si, con cambios"),1,0))</f>
        <v/>
      </c>
      <c r="Y782" s="25">
        <f>IF(AND(Q782=1,A782&lt;&gt;""),IF(IFERROR(COUNTIFS(A$3:A782,"="&amp;SUBSTITUTE(SUBSTITUTE(SUBSTITUTE(A782,"~","~~"),"*","~*"),"?","~?"),Q$3:Q782,1),0)=1,MAX(Y$2:Y781)+1,""),"")</f>
        <v/>
      </c>
      <c r="Z782" s="25">
        <f>IF(Y782="","",COUNTIFS($A$3:$A$1002,"="&amp;SUBSTITUTE(SUBSTITUTE(SUBSTITUTE(A782,"~","~~"),"*","~*"),"?","~?"),$Q$3:$Q$1002,1)*10000-Y782)</f>
        <v/>
      </c>
    </row>
    <row r="783">
      <c r="A783">
        <f>IF(A$2=0,"",IFERROR(TRIM(INDEX('Pegar docentes'!$A$1:$BZ$1001,782,A$2)&amp;""),""))</f>
        <v/>
      </c>
      <c r="B783">
        <f>IF(B$2=0,"",IFERROR(TRIM(INDEX('Pegar docentes'!$A$1:$BZ$1001,782,B$2)&amp;""),""))</f>
        <v/>
      </c>
      <c r="C783">
        <f>IF(C$2=0,"",IFERROR(TRIM(INDEX('Pegar docentes'!$A$1:$BZ$1001,782,C$2)&amp;""),""))</f>
        <v/>
      </c>
      <c r="D783">
        <f>IF(D$2=0,"",IFERROR(TRIM(INDEX('Pegar docentes'!$A$1:$BZ$1001,782,D$2)&amp;""),""))</f>
        <v/>
      </c>
      <c r="E783">
        <f>IF(E$2=0,"",IFERROR(TRIM(INDEX('Pegar docentes'!$A$1:$BZ$1001,782,E$2)&amp;""),""))</f>
        <v/>
      </c>
      <c r="F783">
        <f>IF(F$2=0,"",IFERROR(TRIM(INDEX('Pegar docentes'!$A$1:$BZ$1001,782,F$2)&amp;""),""))</f>
        <v/>
      </c>
      <c r="G783">
        <f>IF(G$2=0,"",IFERROR(TRIM(INDEX('Pegar docentes'!$A$1:$BZ$1001,782,G$2)&amp;""),""))</f>
        <v/>
      </c>
      <c r="H783">
        <f>IF(H$2=0,"",IFERROR(TRIM(INDEX('Pegar docentes'!$A$1:$BZ$1001,782,H$2)&amp;""),""))</f>
        <v/>
      </c>
      <c r="I783">
        <f>IF(I$2=0,"",IFERROR(TRIM(INDEX('Pegar docentes'!$A$1:$BZ$1001,782,I$2)&amp;""),""))</f>
        <v/>
      </c>
      <c r="J783">
        <f>IF(J$2=0,"",IFERROR(TRIM(INDEX('Pegar docentes'!$A$1:$BZ$1001,782,J$2)&amp;""),""))</f>
        <v/>
      </c>
      <c r="K783">
        <f>IF(K$2=0,"",IFERROR(TRIM(INDEX('Pegar docentes'!$A$1:$BZ$1001,782,K$2)&amp;""),""))</f>
        <v/>
      </c>
      <c r="L783">
        <f>IF(L$2=0,"",IFERROR(TRIM(INDEX('Pegar docentes'!$A$1:$BZ$1001,782,L$2)&amp;""),""))</f>
        <v/>
      </c>
      <c r="M783">
        <f>IF(M$2=0,"",IFERROR(TRIM(INDEX('Pegar docentes'!$A$1:$BZ$1001,782,M$2)&amp;""),""))</f>
        <v/>
      </c>
      <c r="N783">
        <f>IF(N$2=0,"",IFERROR(TRIM(INDEX('Pegar docentes'!$A$1:$BZ$1001,782,N$2)&amp;""),""))</f>
        <v/>
      </c>
      <c r="O783">
        <f>IF(O$2=0,"",IFERROR(TRIM(INDEX('Pegar docentes'!$A$1:$BZ$1001,782,O$2)&amp;""),""))</f>
        <v/>
      </c>
      <c r="P783">
        <f>IF(P$2=0,"",IFERROR(TRIM(INDEX('Pegar docentes'!$A$1:$BZ$1001,782,P$2)&amp;""),""))</f>
        <v/>
      </c>
      <c r="Q783" s="25">
        <f>IF(OR(D783&lt;&gt;"",H783&lt;&gt;""),1,"")</f>
        <v/>
      </c>
      <c r="R783" s="25">
        <f>IF(Q783=1,IF(ISNUMBER(FIND("#"&amp;MID(D783,1,1)&amp;"#","#0#1#2#3#4#5#6#7#8#9#")),IF(ISNUMBER(FIND("#"&amp;MID(D783,2,1)&amp;"#","#0#1#2#3#4#5#6#7#8#9#")),IF(AND(VALUE(LEFT(D783,2))&gt;=1,VALUE(LEFT(D783,2))&lt;=5),VALUE(LEFT(D783,2)),""),IF(AND(VALUE(LEFT(D783,1))&gt;=1,VALUE(LEFT(D783,1))&lt;=5),VALUE(LEFT(D783,1)),"")),""),"")</f>
        <v/>
      </c>
      <c r="S783" s="25">
        <f>IF(AND(Q783=1,E783&lt;&gt;""),SUBSTITUTE(SUBSTITUTE(SUBSTITUTE(SUBSTITUTE(SUBSTITUTE(SUBSTITUTE(SUBSTITUTE(SUBSTITUTE(SUBSTITUTE(SUBSTITUTE(SUBSTITUTE(SUBSTITUTE(LOWER(TRIM(E783)),"á","a"),"é","e"),"í","i"),"ó","o"),"ú","u"),"ü","u"),"ñ","n"),"à","a"),"è","e"),"ì","i"),"ò","o"),"ù","u"),"")</f>
        <v/>
      </c>
      <c r="T783" s="25">
        <f>IF(AND(Q783=1,G783&lt;&gt;""),SUBSTITUTE(SUBSTITUTE(SUBSTITUTE(SUBSTITUTE(SUBSTITUTE(SUBSTITUTE(SUBSTITUTE(SUBSTITUTE(SUBSTITUTE(SUBSTITUTE(SUBSTITUTE(SUBSTITUTE(LOWER(TRIM(G783)),"á","a"),"é","e"),"í","i"),"ó","o"),"ú","u"),"ü","u"),"ñ","n"),"à","a"),"è","e"),"ì","i"),"ò","o"),"ù","u"),"")</f>
        <v/>
      </c>
      <c r="U783" s="25">
        <f>IF(AND(Q783=1,H783&lt;&gt;""),SUBSTITUTE(SUBSTITUTE(SUBSTITUTE(SUBSTITUTE(SUBSTITUTE(SUBSTITUTE(SUBSTITUTE(SUBSTITUTE(SUBSTITUTE(SUBSTITUTE(SUBSTITUTE(SUBSTITUTE(LOWER(TRIM(H783)),"á","a"),"é","e"),"í","i"),"ó","o"),"ú","u"),"ü","u"),"ñ","n"),"à","a"),"è","e"),"ì","i"),"ò","o"),"ù","u"),"")</f>
        <v/>
      </c>
      <c r="V783" s="25">
        <f>IF(AND(Q783=1,L783&lt;&gt;""),SUBSTITUTE(SUBSTITUTE(SUBSTITUTE(SUBSTITUTE(SUBSTITUTE(SUBSTITUTE(SUBSTITUTE(SUBSTITUTE(SUBSTITUTE(SUBSTITUTE(SUBSTITUTE(SUBSTITUTE(LOWER(TRIM(L783)),"á","a"),"é","e"),"í","i"),"ó","o"),"ú","u"),"ü","u"),"ñ","n"),"à","a"),"è","e"),"ì","i"),"ò","o"),"ù","u"),"")</f>
        <v/>
      </c>
      <c r="W783" s="25">
        <f>IF(AND(Q783=1,I783&lt;&gt;""),SUBSTITUTE(SUBSTITUTE(SUBSTITUTE(SUBSTITUTE(SUBSTITUTE(SUBSTITUTE(SUBSTITUTE(SUBSTITUTE(SUBSTITUTE(SUBSTITUTE(SUBSTITUTE(SUBSTITUTE(LOWER(TRIM(I783)),"á","a"),"é","e"),"í","i"),"ó","o"),"ú","u"),"ü","u"),"ñ","n"),"à","a"),"è","e"),"ì","i"),"ò","o"),"ù","u"),"")</f>
        <v/>
      </c>
      <c r="X783" s="25">
        <f>IF(U783="","",IF(OR(U783="si, en la proxima tarea",U783="si, con cambios"),1,0))</f>
        <v/>
      </c>
      <c r="Y783" s="25">
        <f>IF(AND(Q783=1,A783&lt;&gt;""),IF(IFERROR(COUNTIFS(A$3:A783,"="&amp;SUBSTITUTE(SUBSTITUTE(SUBSTITUTE(A783,"~","~~"),"*","~*"),"?","~?"),Q$3:Q783,1),0)=1,MAX(Y$2:Y782)+1,""),"")</f>
        <v/>
      </c>
      <c r="Z783" s="25">
        <f>IF(Y783="","",COUNTIFS($A$3:$A$1002,"="&amp;SUBSTITUTE(SUBSTITUTE(SUBSTITUTE(A783,"~","~~"),"*","~*"),"?","~?"),$Q$3:$Q$1002,1)*10000-Y783)</f>
        <v/>
      </c>
    </row>
    <row r="784">
      <c r="A784">
        <f>IF(A$2=0,"",IFERROR(TRIM(INDEX('Pegar docentes'!$A$1:$BZ$1001,783,A$2)&amp;""),""))</f>
        <v/>
      </c>
      <c r="B784">
        <f>IF(B$2=0,"",IFERROR(TRIM(INDEX('Pegar docentes'!$A$1:$BZ$1001,783,B$2)&amp;""),""))</f>
        <v/>
      </c>
      <c r="C784">
        <f>IF(C$2=0,"",IFERROR(TRIM(INDEX('Pegar docentes'!$A$1:$BZ$1001,783,C$2)&amp;""),""))</f>
        <v/>
      </c>
      <c r="D784">
        <f>IF(D$2=0,"",IFERROR(TRIM(INDEX('Pegar docentes'!$A$1:$BZ$1001,783,D$2)&amp;""),""))</f>
        <v/>
      </c>
      <c r="E784">
        <f>IF(E$2=0,"",IFERROR(TRIM(INDEX('Pegar docentes'!$A$1:$BZ$1001,783,E$2)&amp;""),""))</f>
        <v/>
      </c>
      <c r="F784">
        <f>IF(F$2=0,"",IFERROR(TRIM(INDEX('Pegar docentes'!$A$1:$BZ$1001,783,F$2)&amp;""),""))</f>
        <v/>
      </c>
      <c r="G784">
        <f>IF(G$2=0,"",IFERROR(TRIM(INDEX('Pegar docentes'!$A$1:$BZ$1001,783,G$2)&amp;""),""))</f>
        <v/>
      </c>
      <c r="H784">
        <f>IF(H$2=0,"",IFERROR(TRIM(INDEX('Pegar docentes'!$A$1:$BZ$1001,783,H$2)&amp;""),""))</f>
        <v/>
      </c>
      <c r="I784">
        <f>IF(I$2=0,"",IFERROR(TRIM(INDEX('Pegar docentes'!$A$1:$BZ$1001,783,I$2)&amp;""),""))</f>
        <v/>
      </c>
      <c r="J784">
        <f>IF(J$2=0,"",IFERROR(TRIM(INDEX('Pegar docentes'!$A$1:$BZ$1001,783,J$2)&amp;""),""))</f>
        <v/>
      </c>
      <c r="K784">
        <f>IF(K$2=0,"",IFERROR(TRIM(INDEX('Pegar docentes'!$A$1:$BZ$1001,783,K$2)&amp;""),""))</f>
        <v/>
      </c>
      <c r="L784">
        <f>IF(L$2=0,"",IFERROR(TRIM(INDEX('Pegar docentes'!$A$1:$BZ$1001,783,L$2)&amp;""),""))</f>
        <v/>
      </c>
      <c r="M784">
        <f>IF(M$2=0,"",IFERROR(TRIM(INDEX('Pegar docentes'!$A$1:$BZ$1001,783,M$2)&amp;""),""))</f>
        <v/>
      </c>
      <c r="N784">
        <f>IF(N$2=0,"",IFERROR(TRIM(INDEX('Pegar docentes'!$A$1:$BZ$1001,783,N$2)&amp;""),""))</f>
        <v/>
      </c>
      <c r="O784">
        <f>IF(O$2=0,"",IFERROR(TRIM(INDEX('Pegar docentes'!$A$1:$BZ$1001,783,O$2)&amp;""),""))</f>
        <v/>
      </c>
      <c r="P784">
        <f>IF(P$2=0,"",IFERROR(TRIM(INDEX('Pegar docentes'!$A$1:$BZ$1001,783,P$2)&amp;""),""))</f>
        <v/>
      </c>
      <c r="Q784" s="25">
        <f>IF(OR(D784&lt;&gt;"",H784&lt;&gt;""),1,"")</f>
        <v/>
      </c>
      <c r="R784" s="25">
        <f>IF(Q784=1,IF(ISNUMBER(FIND("#"&amp;MID(D784,1,1)&amp;"#","#0#1#2#3#4#5#6#7#8#9#")),IF(ISNUMBER(FIND("#"&amp;MID(D784,2,1)&amp;"#","#0#1#2#3#4#5#6#7#8#9#")),IF(AND(VALUE(LEFT(D784,2))&gt;=1,VALUE(LEFT(D784,2))&lt;=5),VALUE(LEFT(D784,2)),""),IF(AND(VALUE(LEFT(D784,1))&gt;=1,VALUE(LEFT(D784,1))&lt;=5),VALUE(LEFT(D784,1)),"")),""),"")</f>
        <v/>
      </c>
      <c r="S784" s="25">
        <f>IF(AND(Q784=1,E784&lt;&gt;""),SUBSTITUTE(SUBSTITUTE(SUBSTITUTE(SUBSTITUTE(SUBSTITUTE(SUBSTITUTE(SUBSTITUTE(SUBSTITUTE(SUBSTITUTE(SUBSTITUTE(SUBSTITUTE(SUBSTITUTE(LOWER(TRIM(E784)),"á","a"),"é","e"),"í","i"),"ó","o"),"ú","u"),"ü","u"),"ñ","n"),"à","a"),"è","e"),"ì","i"),"ò","o"),"ù","u"),"")</f>
        <v/>
      </c>
      <c r="T784" s="25">
        <f>IF(AND(Q784=1,G784&lt;&gt;""),SUBSTITUTE(SUBSTITUTE(SUBSTITUTE(SUBSTITUTE(SUBSTITUTE(SUBSTITUTE(SUBSTITUTE(SUBSTITUTE(SUBSTITUTE(SUBSTITUTE(SUBSTITUTE(SUBSTITUTE(LOWER(TRIM(G784)),"á","a"),"é","e"),"í","i"),"ó","o"),"ú","u"),"ü","u"),"ñ","n"),"à","a"),"è","e"),"ì","i"),"ò","o"),"ù","u"),"")</f>
        <v/>
      </c>
      <c r="U784" s="25">
        <f>IF(AND(Q784=1,H784&lt;&gt;""),SUBSTITUTE(SUBSTITUTE(SUBSTITUTE(SUBSTITUTE(SUBSTITUTE(SUBSTITUTE(SUBSTITUTE(SUBSTITUTE(SUBSTITUTE(SUBSTITUTE(SUBSTITUTE(SUBSTITUTE(LOWER(TRIM(H784)),"á","a"),"é","e"),"í","i"),"ó","o"),"ú","u"),"ü","u"),"ñ","n"),"à","a"),"è","e"),"ì","i"),"ò","o"),"ù","u"),"")</f>
        <v/>
      </c>
      <c r="V784" s="25">
        <f>IF(AND(Q784=1,L784&lt;&gt;""),SUBSTITUTE(SUBSTITUTE(SUBSTITUTE(SUBSTITUTE(SUBSTITUTE(SUBSTITUTE(SUBSTITUTE(SUBSTITUTE(SUBSTITUTE(SUBSTITUTE(SUBSTITUTE(SUBSTITUTE(LOWER(TRIM(L784)),"á","a"),"é","e"),"í","i"),"ó","o"),"ú","u"),"ü","u"),"ñ","n"),"à","a"),"è","e"),"ì","i"),"ò","o"),"ù","u"),"")</f>
        <v/>
      </c>
      <c r="W784" s="25">
        <f>IF(AND(Q784=1,I784&lt;&gt;""),SUBSTITUTE(SUBSTITUTE(SUBSTITUTE(SUBSTITUTE(SUBSTITUTE(SUBSTITUTE(SUBSTITUTE(SUBSTITUTE(SUBSTITUTE(SUBSTITUTE(SUBSTITUTE(SUBSTITUTE(LOWER(TRIM(I784)),"á","a"),"é","e"),"í","i"),"ó","o"),"ú","u"),"ü","u"),"ñ","n"),"à","a"),"è","e"),"ì","i"),"ò","o"),"ù","u"),"")</f>
        <v/>
      </c>
      <c r="X784" s="25">
        <f>IF(U784="","",IF(OR(U784="si, en la proxima tarea",U784="si, con cambios"),1,0))</f>
        <v/>
      </c>
      <c r="Y784" s="25">
        <f>IF(AND(Q784=1,A784&lt;&gt;""),IF(IFERROR(COUNTIFS(A$3:A784,"="&amp;SUBSTITUTE(SUBSTITUTE(SUBSTITUTE(A784,"~","~~"),"*","~*"),"?","~?"),Q$3:Q784,1),0)=1,MAX(Y$2:Y783)+1,""),"")</f>
        <v/>
      </c>
      <c r="Z784" s="25">
        <f>IF(Y784="","",COUNTIFS($A$3:$A$1002,"="&amp;SUBSTITUTE(SUBSTITUTE(SUBSTITUTE(A784,"~","~~"),"*","~*"),"?","~?"),$Q$3:$Q$1002,1)*10000-Y784)</f>
        <v/>
      </c>
    </row>
    <row r="785">
      <c r="A785">
        <f>IF(A$2=0,"",IFERROR(TRIM(INDEX('Pegar docentes'!$A$1:$BZ$1001,784,A$2)&amp;""),""))</f>
        <v/>
      </c>
      <c r="B785">
        <f>IF(B$2=0,"",IFERROR(TRIM(INDEX('Pegar docentes'!$A$1:$BZ$1001,784,B$2)&amp;""),""))</f>
        <v/>
      </c>
      <c r="C785">
        <f>IF(C$2=0,"",IFERROR(TRIM(INDEX('Pegar docentes'!$A$1:$BZ$1001,784,C$2)&amp;""),""))</f>
        <v/>
      </c>
      <c r="D785">
        <f>IF(D$2=0,"",IFERROR(TRIM(INDEX('Pegar docentes'!$A$1:$BZ$1001,784,D$2)&amp;""),""))</f>
        <v/>
      </c>
      <c r="E785">
        <f>IF(E$2=0,"",IFERROR(TRIM(INDEX('Pegar docentes'!$A$1:$BZ$1001,784,E$2)&amp;""),""))</f>
        <v/>
      </c>
      <c r="F785">
        <f>IF(F$2=0,"",IFERROR(TRIM(INDEX('Pegar docentes'!$A$1:$BZ$1001,784,F$2)&amp;""),""))</f>
        <v/>
      </c>
      <c r="G785">
        <f>IF(G$2=0,"",IFERROR(TRIM(INDEX('Pegar docentes'!$A$1:$BZ$1001,784,G$2)&amp;""),""))</f>
        <v/>
      </c>
      <c r="H785">
        <f>IF(H$2=0,"",IFERROR(TRIM(INDEX('Pegar docentes'!$A$1:$BZ$1001,784,H$2)&amp;""),""))</f>
        <v/>
      </c>
      <c r="I785">
        <f>IF(I$2=0,"",IFERROR(TRIM(INDEX('Pegar docentes'!$A$1:$BZ$1001,784,I$2)&amp;""),""))</f>
        <v/>
      </c>
      <c r="J785">
        <f>IF(J$2=0,"",IFERROR(TRIM(INDEX('Pegar docentes'!$A$1:$BZ$1001,784,J$2)&amp;""),""))</f>
        <v/>
      </c>
      <c r="K785">
        <f>IF(K$2=0,"",IFERROR(TRIM(INDEX('Pegar docentes'!$A$1:$BZ$1001,784,K$2)&amp;""),""))</f>
        <v/>
      </c>
      <c r="L785">
        <f>IF(L$2=0,"",IFERROR(TRIM(INDEX('Pegar docentes'!$A$1:$BZ$1001,784,L$2)&amp;""),""))</f>
        <v/>
      </c>
      <c r="M785">
        <f>IF(M$2=0,"",IFERROR(TRIM(INDEX('Pegar docentes'!$A$1:$BZ$1001,784,M$2)&amp;""),""))</f>
        <v/>
      </c>
      <c r="N785">
        <f>IF(N$2=0,"",IFERROR(TRIM(INDEX('Pegar docentes'!$A$1:$BZ$1001,784,N$2)&amp;""),""))</f>
        <v/>
      </c>
      <c r="O785">
        <f>IF(O$2=0,"",IFERROR(TRIM(INDEX('Pegar docentes'!$A$1:$BZ$1001,784,O$2)&amp;""),""))</f>
        <v/>
      </c>
      <c r="P785">
        <f>IF(P$2=0,"",IFERROR(TRIM(INDEX('Pegar docentes'!$A$1:$BZ$1001,784,P$2)&amp;""),""))</f>
        <v/>
      </c>
      <c r="Q785" s="25">
        <f>IF(OR(D785&lt;&gt;"",H785&lt;&gt;""),1,"")</f>
        <v/>
      </c>
      <c r="R785" s="25">
        <f>IF(Q785=1,IF(ISNUMBER(FIND("#"&amp;MID(D785,1,1)&amp;"#","#0#1#2#3#4#5#6#7#8#9#")),IF(ISNUMBER(FIND("#"&amp;MID(D785,2,1)&amp;"#","#0#1#2#3#4#5#6#7#8#9#")),IF(AND(VALUE(LEFT(D785,2))&gt;=1,VALUE(LEFT(D785,2))&lt;=5),VALUE(LEFT(D785,2)),""),IF(AND(VALUE(LEFT(D785,1))&gt;=1,VALUE(LEFT(D785,1))&lt;=5),VALUE(LEFT(D785,1)),"")),""),"")</f>
        <v/>
      </c>
      <c r="S785" s="25">
        <f>IF(AND(Q785=1,E785&lt;&gt;""),SUBSTITUTE(SUBSTITUTE(SUBSTITUTE(SUBSTITUTE(SUBSTITUTE(SUBSTITUTE(SUBSTITUTE(SUBSTITUTE(SUBSTITUTE(SUBSTITUTE(SUBSTITUTE(SUBSTITUTE(LOWER(TRIM(E785)),"á","a"),"é","e"),"í","i"),"ó","o"),"ú","u"),"ü","u"),"ñ","n"),"à","a"),"è","e"),"ì","i"),"ò","o"),"ù","u"),"")</f>
        <v/>
      </c>
      <c r="T785" s="25">
        <f>IF(AND(Q785=1,G785&lt;&gt;""),SUBSTITUTE(SUBSTITUTE(SUBSTITUTE(SUBSTITUTE(SUBSTITUTE(SUBSTITUTE(SUBSTITUTE(SUBSTITUTE(SUBSTITUTE(SUBSTITUTE(SUBSTITUTE(SUBSTITUTE(LOWER(TRIM(G785)),"á","a"),"é","e"),"í","i"),"ó","o"),"ú","u"),"ü","u"),"ñ","n"),"à","a"),"è","e"),"ì","i"),"ò","o"),"ù","u"),"")</f>
        <v/>
      </c>
      <c r="U785" s="25">
        <f>IF(AND(Q785=1,H785&lt;&gt;""),SUBSTITUTE(SUBSTITUTE(SUBSTITUTE(SUBSTITUTE(SUBSTITUTE(SUBSTITUTE(SUBSTITUTE(SUBSTITUTE(SUBSTITUTE(SUBSTITUTE(SUBSTITUTE(SUBSTITUTE(LOWER(TRIM(H785)),"á","a"),"é","e"),"í","i"),"ó","o"),"ú","u"),"ü","u"),"ñ","n"),"à","a"),"è","e"),"ì","i"),"ò","o"),"ù","u"),"")</f>
        <v/>
      </c>
      <c r="V785" s="25">
        <f>IF(AND(Q785=1,L785&lt;&gt;""),SUBSTITUTE(SUBSTITUTE(SUBSTITUTE(SUBSTITUTE(SUBSTITUTE(SUBSTITUTE(SUBSTITUTE(SUBSTITUTE(SUBSTITUTE(SUBSTITUTE(SUBSTITUTE(SUBSTITUTE(LOWER(TRIM(L785)),"á","a"),"é","e"),"í","i"),"ó","o"),"ú","u"),"ü","u"),"ñ","n"),"à","a"),"è","e"),"ì","i"),"ò","o"),"ù","u"),"")</f>
        <v/>
      </c>
      <c r="W785" s="25">
        <f>IF(AND(Q785=1,I785&lt;&gt;""),SUBSTITUTE(SUBSTITUTE(SUBSTITUTE(SUBSTITUTE(SUBSTITUTE(SUBSTITUTE(SUBSTITUTE(SUBSTITUTE(SUBSTITUTE(SUBSTITUTE(SUBSTITUTE(SUBSTITUTE(LOWER(TRIM(I785)),"á","a"),"é","e"),"í","i"),"ó","o"),"ú","u"),"ü","u"),"ñ","n"),"à","a"),"è","e"),"ì","i"),"ò","o"),"ù","u"),"")</f>
        <v/>
      </c>
      <c r="X785" s="25">
        <f>IF(U785="","",IF(OR(U785="si, en la proxima tarea",U785="si, con cambios"),1,0))</f>
        <v/>
      </c>
      <c r="Y785" s="25">
        <f>IF(AND(Q785=1,A785&lt;&gt;""),IF(IFERROR(COUNTIFS(A$3:A785,"="&amp;SUBSTITUTE(SUBSTITUTE(SUBSTITUTE(A785,"~","~~"),"*","~*"),"?","~?"),Q$3:Q785,1),0)=1,MAX(Y$2:Y784)+1,""),"")</f>
        <v/>
      </c>
      <c r="Z785" s="25">
        <f>IF(Y785="","",COUNTIFS($A$3:$A$1002,"="&amp;SUBSTITUTE(SUBSTITUTE(SUBSTITUTE(A785,"~","~~"),"*","~*"),"?","~?"),$Q$3:$Q$1002,1)*10000-Y785)</f>
        <v/>
      </c>
    </row>
    <row r="786">
      <c r="A786">
        <f>IF(A$2=0,"",IFERROR(TRIM(INDEX('Pegar docentes'!$A$1:$BZ$1001,785,A$2)&amp;""),""))</f>
        <v/>
      </c>
      <c r="B786">
        <f>IF(B$2=0,"",IFERROR(TRIM(INDEX('Pegar docentes'!$A$1:$BZ$1001,785,B$2)&amp;""),""))</f>
        <v/>
      </c>
      <c r="C786">
        <f>IF(C$2=0,"",IFERROR(TRIM(INDEX('Pegar docentes'!$A$1:$BZ$1001,785,C$2)&amp;""),""))</f>
        <v/>
      </c>
      <c r="D786">
        <f>IF(D$2=0,"",IFERROR(TRIM(INDEX('Pegar docentes'!$A$1:$BZ$1001,785,D$2)&amp;""),""))</f>
        <v/>
      </c>
      <c r="E786">
        <f>IF(E$2=0,"",IFERROR(TRIM(INDEX('Pegar docentes'!$A$1:$BZ$1001,785,E$2)&amp;""),""))</f>
        <v/>
      </c>
      <c r="F786">
        <f>IF(F$2=0,"",IFERROR(TRIM(INDEX('Pegar docentes'!$A$1:$BZ$1001,785,F$2)&amp;""),""))</f>
        <v/>
      </c>
      <c r="G786">
        <f>IF(G$2=0,"",IFERROR(TRIM(INDEX('Pegar docentes'!$A$1:$BZ$1001,785,G$2)&amp;""),""))</f>
        <v/>
      </c>
      <c r="H786">
        <f>IF(H$2=0,"",IFERROR(TRIM(INDEX('Pegar docentes'!$A$1:$BZ$1001,785,H$2)&amp;""),""))</f>
        <v/>
      </c>
      <c r="I786">
        <f>IF(I$2=0,"",IFERROR(TRIM(INDEX('Pegar docentes'!$A$1:$BZ$1001,785,I$2)&amp;""),""))</f>
        <v/>
      </c>
      <c r="J786">
        <f>IF(J$2=0,"",IFERROR(TRIM(INDEX('Pegar docentes'!$A$1:$BZ$1001,785,J$2)&amp;""),""))</f>
        <v/>
      </c>
      <c r="K786">
        <f>IF(K$2=0,"",IFERROR(TRIM(INDEX('Pegar docentes'!$A$1:$BZ$1001,785,K$2)&amp;""),""))</f>
        <v/>
      </c>
      <c r="L786">
        <f>IF(L$2=0,"",IFERROR(TRIM(INDEX('Pegar docentes'!$A$1:$BZ$1001,785,L$2)&amp;""),""))</f>
        <v/>
      </c>
      <c r="M786">
        <f>IF(M$2=0,"",IFERROR(TRIM(INDEX('Pegar docentes'!$A$1:$BZ$1001,785,M$2)&amp;""),""))</f>
        <v/>
      </c>
      <c r="N786">
        <f>IF(N$2=0,"",IFERROR(TRIM(INDEX('Pegar docentes'!$A$1:$BZ$1001,785,N$2)&amp;""),""))</f>
        <v/>
      </c>
      <c r="O786">
        <f>IF(O$2=0,"",IFERROR(TRIM(INDEX('Pegar docentes'!$A$1:$BZ$1001,785,O$2)&amp;""),""))</f>
        <v/>
      </c>
      <c r="P786">
        <f>IF(P$2=0,"",IFERROR(TRIM(INDEX('Pegar docentes'!$A$1:$BZ$1001,785,P$2)&amp;""),""))</f>
        <v/>
      </c>
      <c r="Q786" s="25">
        <f>IF(OR(D786&lt;&gt;"",H786&lt;&gt;""),1,"")</f>
        <v/>
      </c>
      <c r="R786" s="25">
        <f>IF(Q786=1,IF(ISNUMBER(FIND("#"&amp;MID(D786,1,1)&amp;"#","#0#1#2#3#4#5#6#7#8#9#")),IF(ISNUMBER(FIND("#"&amp;MID(D786,2,1)&amp;"#","#0#1#2#3#4#5#6#7#8#9#")),IF(AND(VALUE(LEFT(D786,2))&gt;=1,VALUE(LEFT(D786,2))&lt;=5),VALUE(LEFT(D786,2)),""),IF(AND(VALUE(LEFT(D786,1))&gt;=1,VALUE(LEFT(D786,1))&lt;=5),VALUE(LEFT(D786,1)),"")),""),"")</f>
        <v/>
      </c>
      <c r="S786" s="25">
        <f>IF(AND(Q786=1,E786&lt;&gt;""),SUBSTITUTE(SUBSTITUTE(SUBSTITUTE(SUBSTITUTE(SUBSTITUTE(SUBSTITUTE(SUBSTITUTE(SUBSTITUTE(SUBSTITUTE(SUBSTITUTE(SUBSTITUTE(SUBSTITUTE(LOWER(TRIM(E786)),"á","a"),"é","e"),"í","i"),"ó","o"),"ú","u"),"ü","u"),"ñ","n"),"à","a"),"è","e"),"ì","i"),"ò","o"),"ù","u"),"")</f>
        <v/>
      </c>
      <c r="T786" s="25">
        <f>IF(AND(Q786=1,G786&lt;&gt;""),SUBSTITUTE(SUBSTITUTE(SUBSTITUTE(SUBSTITUTE(SUBSTITUTE(SUBSTITUTE(SUBSTITUTE(SUBSTITUTE(SUBSTITUTE(SUBSTITUTE(SUBSTITUTE(SUBSTITUTE(LOWER(TRIM(G786)),"á","a"),"é","e"),"í","i"),"ó","o"),"ú","u"),"ü","u"),"ñ","n"),"à","a"),"è","e"),"ì","i"),"ò","o"),"ù","u"),"")</f>
        <v/>
      </c>
      <c r="U786" s="25">
        <f>IF(AND(Q786=1,H786&lt;&gt;""),SUBSTITUTE(SUBSTITUTE(SUBSTITUTE(SUBSTITUTE(SUBSTITUTE(SUBSTITUTE(SUBSTITUTE(SUBSTITUTE(SUBSTITUTE(SUBSTITUTE(SUBSTITUTE(SUBSTITUTE(LOWER(TRIM(H786)),"á","a"),"é","e"),"í","i"),"ó","o"),"ú","u"),"ü","u"),"ñ","n"),"à","a"),"è","e"),"ì","i"),"ò","o"),"ù","u"),"")</f>
        <v/>
      </c>
      <c r="V786" s="25">
        <f>IF(AND(Q786=1,L786&lt;&gt;""),SUBSTITUTE(SUBSTITUTE(SUBSTITUTE(SUBSTITUTE(SUBSTITUTE(SUBSTITUTE(SUBSTITUTE(SUBSTITUTE(SUBSTITUTE(SUBSTITUTE(SUBSTITUTE(SUBSTITUTE(LOWER(TRIM(L786)),"á","a"),"é","e"),"í","i"),"ó","o"),"ú","u"),"ü","u"),"ñ","n"),"à","a"),"è","e"),"ì","i"),"ò","o"),"ù","u"),"")</f>
        <v/>
      </c>
      <c r="W786" s="25">
        <f>IF(AND(Q786=1,I786&lt;&gt;""),SUBSTITUTE(SUBSTITUTE(SUBSTITUTE(SUBSTITUTE(SUBSTITUTE(SUBSTITUTE(SUBSTITUTE(SUBSTITUTE(SUBSTITUTE(SUBSTITUTE(SUBSTITUTE(SUBSTITUTE(LOWER(TRIM(I786)),"á","a"),"é","e"),"í","i"),"ó","o"),"ú","u"),"ü","u"),"ñ","n"),"à","a"),"è","e"),"ì","i"),"ò","o"),"ù","u"),"")</f>
        <v/>
      </c>
      <c r="X786" s="25">
        <f>IF(U786="","",IF(OR(U786="si, en la proxima tarea",U786="si, con cambios"),1,0))</f>
        <v/>
      </c>
      <c r="Y786" s="25">
        <f>IF(AND(Q786=1,A786&lt;&gt;""),IF(IFERROR(COUNTIFS(A$3:A786,"="&amp;SUBSTITUTE(SUBSTITUTE(SUBSTITUTE(A786,"~","~~"),"*","~*"),"?","~?"),Q$3:Q786,1),0)=1,MAX(Y$2:Y785)+1,""),"")</f>
        <v/>
      </c>
      <c r="Z786" s="25">
        <f>IF(Y786="","",COUNTIFS($A$3:$A$1002,"="&amp;SUBSTITUTE(SUBSTITUTE(SUBSTITUTE(A786,"~","~~"),"*","~*"),"?","~?"),$Q$3:$Q$1002,1)*10000-Y786)</f>
        <v/>
      </c>
    </row>
    <row r="787">
      <c r="A787">
        <f>IF(A$2=0,"",IFERROR(TRIM(INDEX('Pegar docentes'!$A$1:$BZ$1001,786,A$2)&amp;""),""))</f>
        <v/>
      </c>
      <c r="B787">
        <f>IF(B$2=0,"",IFERROR(TRIM(INDEX('Pegar docentes'!$A$1:$BZ$1001,786,B$2)&amp;""),""))</f>
        <v/>
      </c>
      <c r="C787">
        <f>IF(C$2=0,"",IFERROR(TRIM(INDEX('Pegar docentes'!$A$1:$BZ$1001,786,C$2)&amp;""),""))</f>
        <v/>
      </c>
      <c r="D787">
        <f>IF(D$2=0,"",IFERROR(TRIM(INDEX('Pegar docentes'!$A$1:$BZ$1001,786,D$2)&amp;""),""))</f>
        <v/>
      </c>
      <c r="E787">
        <f>IF(E$2=0,"",IFERROR(TRIM(INDEX('Pegar docentes'!$A$1:$BZ$1001,786,E$2)&amp;""),""))</f>
        <v/>
      </c>
      <c r="F787">
        <f>IF(F$2=0,"",IFERROR(TRIM(INDEX('Pegar docentes'!$A$1:$BZ$1001,786,F$2)&amp;""),""))</f>
        <v/>
      </c>
      <c r="G787">
        <f>IF(G$2=0,"",IFERROR(TRIM(INDEX('Pegar docentes'!$A$1:$BZ$1001,786,G$2)&amp;""),""))</f>
        <v/>
      </c>
      <c r="H787">
        <f>IF(H$2=0,"",IFERROR(TRIM(INDEX('Pegar docentes'!$A$1:$BZ$1001,786,H$2)&amp;""),""))</f>
        <v/>
      </c>
      <c r="I787">
        <f>IF(I$2=0,"",IFERROR(TRIM(INDEX('Pegar docentes'!$A$1:$BZ$1001,786,I$2)&amp;""),""))</f>
        <v/>
      </c>
      <c r="J787">
        <f>IF(J$2=0,"",IFERROR(TRIM(INDEX('Pegar docentes'!$A$1:$BZ$1001,786,J$2)&amp;""),""))</f>
        <v/>
      </c>
      <c r="K787">
        <f>IF(K$2=0,"",IFERROR(TRIM(INDEX('Pegar docentes'!$A$1:$BZ$1001,786,K$2)&amp;""),""))</f>
        <v/>
      </c>
      <c r="L787">
        <f>IF(L$2=0,"",IFERROR(TRIM(INDEX('Pegar docentes'!$A$1:$BZ$1001,786,L$2)&amp;""),""))</f>
        <v/>
      </c>
      <c r="M787">
        <f>IF(M$2=0,"",IFERROR(TRIM(INDEX('Pegar docentes'!$A$1:$BZ$1001,786,M$2)&amp;""),""))</f>
        <v/>
      </c>
      <c r="N787">
        <f>IF(N$2=0,"",IFERROR(TRIM(INDEX('Pegar docentes'!$A$1:$BZ$1001,786,N$2)&amp;""),""))</f>
        <v/>
      </c>
      <c r="O787">
        <f>IF(O$2=0,"",IFERROR(TRIM(INDEX('Pegar docentes'!$A$1:$BZ$1001,786,O$2)&amp;""),""))</f>
        <v/>
      </c>
      <c r="P787">
        <f>IF(P$2=0,"",IFERROR(TRIM(INDEX('Pegar docentes'!$A$1:$BZ$1001,786,P$2)&amp;""),""))</f>
        <v/>
      </c>
      <c r="Q787" s="25">
        <f>IF(OR(D787&lt;&gt;"",H787&lt;&gt;""),1,"")</f>
        <v/>
      </c>
      <c r="R787" s="25">
        <f>IF(Q787=1,IF(ISNUMBER(FIND("#"&amp;MID(D787,1,1)&amp;"#","#0#1#2#3#4#5#6#7#8#9#")),IF(ISNUMBER(FIND("#"&amp;MID(D787,2,1)&amp;"#","#0#1#2#3#4#5#6#7#8#9#")),IF(AND(VALUE(LEFT(D787,2))&gt;=1,VALUE(LEFT(D787,2))&lt;=5),VALUE(LEFT(D787,2)),""),IF(AND(VALUE(LEFT(D787,1))&gt;=1,VALUE(LEFT(D787,1))&lt;=5),VALUE(LEFT(D787,1)),"")),""),"")</f>
        <v/>
      </c>
      <c r="S787" s="25">
        <f>IF(AND(Q787=1,E787&lt;&gt;""),SUBSTITUTE(SUBSTITUTE(SUBSTITUTE(SUBSTITUTE(SUBSTITUTE(SUBSTITUTE(SUBSTITUTE(SUBSTITUTE(SUBSTITUTE(SUBSTITUTE(SUBSTITUTE(SUBSTITUTE(LOWER(TRIM(E787)),"á","a"),"é","e"),"í","i"),"ó","o"),"ú","u"),"ü","u"),"ñ","n"),"à","a"),"è","e"),"ì","i"),"ò","o"),"ù","u"),"")</f>
        <v/>
      </c>
      <c r="T787" s="25">
        <f>IF(AND(Q787=1,G787&lt;&gt;""),SUBSTITUTE(SUBSTITUTE(SUBSTITUTE(SUBSTITUTE(SUBSTITUTE(SUBSTITUTE(SUBSTITUTE(SUBSTITUTE(SUBSTITUTE(SUBSTITUTE(SUBSTITUTE(SUBSTITUTE(LOWER(TRIM(G787)),"á","a"),"é","e"),"í","i"),"ó","o"),"ú","u"),"ü","u"),"ñ","n"),"à","a"),"è","e"),"ì","i"),"ò","o"),"ù","u"),"")</f>
        <v/>
      </c>
      <c r="U787" s="25">
        <f>IF(AND(Q787=1,H787&lt;&gt;""),SUBSTITUTE(SUBSTITUTE(SUBSTITUTE(SUBSTITUTE(SUBSTITUTE(SUBSTITUTE(SUBSTITUTE(SUBSTITUTE(SUBSTITUTE(SUBSTITUTE(SUBSTITUTE(SUBSTITUTE(LOWER(TRIM(H787)),"á","a"),"é","e"),"í","i"),"ó","o"),"ú","u"),"ü","u"),"ñ","n"),"à","a"),"è","e"),"ì","i"),"ò","o"),"ù","u"),"")</f>
        <v/>
      </c>
      <c r="V787" s="25">
        <f>IF(AND(Q787=1,L787&lt;&gt;""),SUBSTITUTE(SUBSTITUTE(SUBSTITUTE(SUBSTITUTE(SUBSTITUTE(SUBSTITUTE(SUBSTITUTE(SUBSTITUTE(SUBSTITUTE(SUBSTITUTE(SUBSTITUTE(SUBSTITUTE(LOWER(TRIM(L787)),"á","a"),"é","e"),"í","i"),"ó","o"),"ú","u"),"ü","u"),"ñ","n"),"à","a"),"è","e"),"ì","i"),"ò","o"),"ù","u"),"")</f>
        <v/>
      </c>
      <c r="W787" s="25">
        <f>IF(AND(Q787=1,I787&lt;&gt;""),SUBSTITUTE(SUBSTITUTE(SUBSTITUTE(SUBSTITUTE(SUBSTITUTE(SUBSTITUTE(SUBSTITUTE(SUBSTITUTE(SUBSTITUTE(SUBSTITUTE(SUBSTITUTE(SUBSTITUTE(LOWER(TRIM(I787)),"á","a"),"é","e"),"í","i"),"ó","o"),"ú","u"),"ü","u"),"ñ","n"),"à","a"),"è","e"),"ì","i"),"ò","o"),"ù","u"),"")</f>
        <v/>
      </c>
      <c r="X787" s="25">
        <f>IF(U787="","",IF(OR(U787="si, en la proxima tarea",U787="si, con cambios"),1,0))</f>
        <v/>
      </c>
      <c r="Y787" s="25">
        <f>IF(AND(Q787=1,A787&lt;&gt;""),IF(IFERROR(COUNTIFS(A$3:A787,"="&amp;SUBSTITUTE(SUBSTITUTE(SUBSTITUTE(A787,"~","~~"),"*","~*"),"?","~?"),Q$3:Q787,1),0)=1,MAX(Y$2:Y786)+1,""),"")</f>
        <v/>
      </c>
      <c r="Z787" s="25">
        <f>IF(Y787="","",COUNTIFS($A$3:$A$1002,"="&amp;SUBSTITUTE(SUBSTITUTE(SUBSTITUTE(A787,"~","~~"),"*","~*"),"?","~?"),$Q$3:$Q$1002,1)*10000-Y787)</f>
        <v/>
      </c>
    </row>
    <row r="788">
      <c r="A788">
        <f>IF(A$2=0,"",IFERROR(TRIM(INDEX('Pegar docentes'!$A$1:$BZ$1001,787,A$2)&amp;""),""))</f>
        <v/>
      </c>
      <c r="B788">
        <f>IF(B$2=0,"",IFERROR(TRIM(INDEX('Pegar docentes'!$A$1:$BZ$1001,787,B$2)&amp;""),""))</f>
        <v/>
      </c>
      <c r="C788">
        <f>IF(C$2=0,"",IFERROR(TRIM(INDEX('Pegar docentes'!$A$1:$BZ$1001,787,C$2)&amp;""),""))</f>
        <v/>
      </c>
      <c r="D788">
        <f>IF(D$2=0,"",IFERROR(TRIM(INDEX('Pegar docentes'!$A$1:$BZ$1001,787,D$2)&amp;""),""))</f>
        <v/>
      </c>
      <c r="E788">
        <f>IF(E$2=0,"",IFERROR(TRIM(INDEX('Pegar docentes'!$A$1:$BZ$1001,787,E$2)&amp;""),""))</f>
        <v/>
      </c>
      <c r="F788">
        <f>IF(F$2=0,"",IFERROR(TRIM(INDEX('Pegar docentes'!$A$1:$BZ$1001,787,F$2)&amp;""),""))</f>
        <v/>
      </c>
      <c r="G788">
        <f>IF(G$2=0,"",IFERROR(TRIM(INDEX('Pegar docentes'!$A$1:$BZ$1001,787,G$2)&amp;""),""))</f>
        <v/>
      </c>
      <c r="H788">
        <f>IF(H$2=0,"",IFERROR(TRIM(INDEX('Pegar docentes'!$A$1:$BZ$1001,787,H$2)&amp;""),""))</f>
        <v/>
      </c>
      <c r="I788">
        <f>IF(I$2=0,"",IFERROR(TRIM(INDEX('Pegar docentes'!$A$1:$BZ$1001,787,I$2)&amp;""),""))</f>
        <v/>
      </c>
      <c r="J788">
        <f>IF(J$2=0,"",IFERROR(TRIM(INDEX('Pegar docentes'!$A$1:$BZ$1001,787,J$2)&amp;""),""))</f>
        <v/>
      </c>
      <c r="K788">
        <f>IF(K$2=0,"",IFERROR(TRIM(INDEX('Pegar docentes'!$A$1:$BZ$1001,787,K$2)&amp;""),""))</f>
        <v/>
      </c>
      <c r="L788">
        <f>IF(L$2=0,"",IFERROR(TRIM(INDEX('Pegar docentes'!$A$1:$BZ$1001,787,L$2)&amp;""),""))</f>
        <v/>
      </c>
      <c r="M788">
        <f>IF(M$2=0,"",IFERROR(TRIM(INDEX('Pegar docentes'!$A$1:$BZ$1001,787,M$2)&amp;""),""))</f>
        <v/>
      </c>
      <c r="N788">
        <f>IF(N$2=0,"",IFERROR(TRIM(INDEX('Pegar docentes'!$A$1:$BZ$1001,787,N$2)&amp;""),""))</f>
        <v/>
      </c>
      <c r="O788">
        <f>IF(O$2=0,"",IFERROR(TRIM(INDEX('Pegar docentes'!$A$1:$BZ$1001,787,O$2)&amp;""),""))</f>
        <v/>
      </c>
      <c r="P788">
        <f>IF(P$2=0,"",IFERROR(TRIM(INDEX('Pegar docentes'!$A$1:$BZ$1001,787,P$2)&amp;""),""))</f>
        <v/>
      </c>
      <c r="Q788" s="25">
        <f>IF(OR(D788&lt;&gt;"",H788&lt;&gt;""),1,"")</f>
        <v/>
      </c>
      <c r="R788" s="25">
        <f>IF(Q788=1,IF(ISNUMBER(FIND("#"&amp;MID(D788,1,1)&amp;"#","#0#1#2#3#4#5#6#7#8#9#")),IF(ISNUMBER(FIND("#"&amp;MID(D788,2,1)&amp;"#","#0#1#2#3#4#5#6#7#8#9#")),IF(AND(VALUE(LEFT(D788,2))&gt;=1,VALUE(LEFT(D788,2))&lt;=5),VALUE(LEFT(D788,2)),""),IF(AND(VALUE(LEFT(D788,1))&gt;=1,VALUE(LEFT(D788,1))&lt;=5),VALUE(LEFT(D788,1)),"")),""),"")</f>
        <v/>
      </c>
      <c r="S788" s="25">
        <f>IF(AND(Q788=1,E788&lt;&gt;""),SUBSTITUTE(SUBSTITUTE(SUBSTITUTE(SUBSTITUTE(SUBSTITUTE(SUBSTITUTE(SUBSTITUTE(SUBSTITUTE(SUBSTITUTE(SUBSTITUTE(SUBSTITUTE(SUBSTITUTE(LOWER(TRIM(E788)),"á","a"),"é","e"),"í","i"),"ó","o"),"ú","u"),"ü","u"),"ñ","n"),"à","a"),"è","e"),"ì","i"),"ò","o"),"ù","u"),"")</f>
        <v/>
      </c>
      <c r="T788" s="25">
        <f>IF(AND(Q788=1,G788&lt;&gt;""),SUBSTITUTE(SUBSTITUTE(SUBSTITUTE(SUBSTITUTE(SUBSTITUTE(SUBSTITUTE(SUBSTITUTE(SUBSTITUTE(SUBSTITUTE(SUBSTITUTE(SUBSTITUTE(SUBSTITUTE(LOWER(TRIM(G788)),"á","a"),"é","e"),"í","i"),"ó","o"),"ú","u"),"ü","u"),"ñ","n"),"à","a"),"è","e"),"ì","i"),"ò","o"),"ù","u"),"")</f>
        <v/>
      </c>
      <c r="U788" s="25">
        <f>IF(AND(Q788=1,H788&lt;&gt;""),SUBSTITUTE(SUBSTITUTE(SUBSTITUTE(SUBSTITUTE(SUBSTITUTE(SUBSTITUTE(SUBSTITUTE(SUBSTITUTE(SUBSTITUTE(SUBSTITUTE(SUBSTITUTE(SUBSTITUTE(LOWER(TRIM(H788)),"á","a"),"é","e"),"í","i"),"ó","o"),"ú","u"),"ü","u"),"ñ","n"),"à","a"),"è","e"),"ì","i"),"ò","o"),"ù","u"),"")</f>
        <v/>
      </c>
      <c r="V788" s="25">
        <f>IF(AND(Q788=1,L788&lt;&gt;""),SUBSTITUTE(SUBSTITUTE(SUBSTITUTE(SUBSTITUTE(SUBSTITUTE(SUBSTITUTE(SUBSTITUTE(SUBSTITUTE(SUBSTITUTE(SUBSTITUTE(SUBSTITUTE(SUBSTITUTE(LOWER(TRIM(L788)),"á","a"),"é","e"),"í","i"),"ó","o"),"ú","u"),"ü","u"),"ñ","n"),"à","a"),"è","e"),"ì","i"),"ò","o"),"ù","u"),"")</f>
        <v/>
      </c>
      <c r="W788" s="25">
        <f>IF(AND(Q788=1,I788&lt;&gt;""),SUBSTITUTE(SUBSTITUTE(SUBSTITUTE(SUBSTITUTE(SUBSTITUTE(SUBSTITUTE(SUBSTITUTE(SUBSTITUTE(SUBSTITUTE(SUBSTITUTE(SUBSTITUTE(SUBSTITUTE(LOWER(TRIM(I788)),"á","a"),"é","e"),"í","i"),"ó","o"),"ú","u"),"ü","u"),"ñ","n"),"à","a"),"è","e"),"ì","i"),"ò","o"),"ù","u"),"")</f>
        <v/>
      </c>
      <c r="X788" s="25">
        <f>IF(U788="","",IF(OR(U788="si, en la proxima tarea",U788="si, con cambios"),1,0))</f>
        <v/>
      </c>
      <c r="Y788" s="25">
        <f>IF(AND(Q788=1,A788&lt;&gt;""),IF(IFERROR(COUNTIFS(A$3:A788,"="&amp;SUBSTITUTE(SUBSTITUTE(SUBSTITUTE(A788,"~","~~"),"*","~*"),"?","~?"),Q$3:Q788,1),0)=1,MAX(Y$2:Y787)+1,""),"")</f>
        <v/>
      </c>
      <c r="Z788" s="25">
        <f>IF(Y788="","",COUNTIFS($A$3:$A$1002,"="&amp;SUBSTITUTE(SUBSTITUTE(SUBSTITUTE(A788,"~","~~"),"*","~*"),"?","~?"),$Q$3:$Q$1002,1)*10000-Y788)</f>
        <v/>
      </c>
    </row>
    <row r="789">
      <c r="A789">
        <f>IF(A$2=0,"",IFERROR(TRIM(INDEX('Pegar docentes'!$A$1:$BZ$1001,788,A$2)&amp;""),""))</f>
        <v/>
      </c>
      <c r="B789">
        <f>IF(B$2=0,"",IFERROR(TRIM(INDEX('Pegar docentes'!$A$1:$BZ$1001,788,B$2)&amp;""),""))</f>
        <v/>
      </c>
      <c r="C789">
        <f>IF(C$2=0,"",IFERROR(TRIM(INDEX('Pegar docentes'!$A$1:$BZ$1001,788,C$2)&amp;""),""))</f>
        <v/>
      </c>
      <c r="D789">
        <f>IF(D$2=0,"",IFERROR(TRIM(INDEX('Pegar docentes'!$A$1:$BZ$1001,788,D$2)&amp;""),""))</f>
        <v/>
      </c>
      <c r="E789">
        <f>IF(E$2=0,"",IFERROR(TRIM(INDEX('Pegar docentes'!$A$1:$BZ$1001,788,E$2)&amp;""),""))</f>
        <v/>
      </c>
      <c r="F789">
        <f>IF(F$2=0,"",IFERROR(TRIM(INDEX('Pegar docentes'!$A$1:$BZ$1001,788,F$2)&amp;""),""))</f>
        <v/>
      </c>
      <c r="G789">
        <f>IF(G$2=0,"",IFERROR(TRIM(INDEX('Pegar docentes'!$A$1:$BZ$1001,788,G$2)&amp;""),""))</f>
        <v/>
      </c>
      <c r="H789">
        <f>IF(H$2=0,"",IFERROR(TRIM(INDEX('Pegar docentes'!$A$1:$BZ$1001,788,H$2)&amp;""),""))</f>
        <v/>
      </c>
      <c r="I789">
        <f>IF(I$2=0,"",IFERROR(TRIM(INDEX('Pegar docentes'!$A$1:$BZ$1001,788,I$2)&amp;""),""))</f>
        <v/>
      </c>
      <c r="J789">
        <f>IF(J$2=0,"",IFERROR(TRIM(INDEX('Pegar docentes'!$A$1:$BZ$1001,788,J$2)&amp;""),""))</f>
        <v/>
      </c>
      <c r="K789">
        <f>IF(K$2=0,"",IFERROR(TRIM(INDEX('Pegar docentes'!$A$1:$BZ$1001,788,K$2)&amp;""),""))</f>
        <v/>
      </c>
      <c r="L789">
        <f>IF(L$2=0,"",IFERROR(TRIM(INDEX('Pegar docentes'!$A$1:$BZ$1001,788,L$2)&amp;""),""))</f>
        <v/>
      </c>
      <c r="M789">
        <f>IF(M$2=0,"",IFERROR(TRIM(INDEX('Pegar docentes'!$A$1:$BZ$1001,788,M$2)&amp;""),""))</f>
        <v/>
      </c>
      <c r="N789">
        <f>IF(N$2=0,"",IFERROR(TRIM(INDEX('Pegar docentes'!$A$1:$BZ$1001,788,N$2)&amp;""),""))</f>
        <v/>
      </c>
      <c r="O789">
        <f>IF(O$2=0,"",IFERROR(TRIM(INDEX('Pegar docentes'!$A$1:$BZ$1001,788,O$2)&amp;""),""))</f>
        <v/>
      </c>
      <c r="P789">
        <f>IF(P$2=0,"",IFERROR(TRIM(INDEX('Pegar docentes'!$A$1:$BZ$1001,788,P$2)&amp;""),""))</f>
        <v/>
      </c>
      <c r="Q789" s="25">
        <f>IF(OR(D789&lt;&gt;"",H789&lt;&gt;""),1,"")</f>
        <v/>
      </c>
      <c r="R789" s="25">
        <f>IF(Q789=1,IF(ISNUMBER(FIND("#"&amp;MID(D789,1,1)&amp;"#","#0#1#2#3#4#5#6#7#8#9#")),IF(ISNUMBER(FIND("#"&amp;MID(D789,2,1)&amp;"#","#0#1#2#3#4#5#6#7#8#9#")),IF(AND(VALUE(LEFT(D789,2))&gt;=1,VALUE(LEFT(D789,2))&lt;=5),VALUE(LEFT(D789,2)),""),IF(AND(VALUE(LEFT(D789,1))&gt;=1,VALUE(LEFT(D789,1))&lt;=5),VALUE(LEFT(D789,1)),"")),""),"")</f>
        <v/>
      </c>
      <c r="S789" s="25">
        <f>IF(AND(Q789=1,E789&lt;&gt;""),SUBSTITUTE(SUBSTITUTE(SUBSTITUTE(SUBSTITUTE(SUBSTITUTE(SUBSTITUTE(SUBSTITUTE(SUBSTITUTE(SUBSTITUTE(SUBSTITUTE(SUBSTITUTE(SUBSTITUTE(LOWER(TRIM(E789)),"á","a"),"é","e"),"í","i"),"ó","o"),"ú","u"),"ü","u"),"ñ","n"),"à","a"),"è","e"),"ì","i"),"ò","o"),"ù","u"),"")</f>
        <v/>
      </c>
      <c r="T789" s="25">
        <f>IF(AND(Q789=1,G789&lt;&gt;""),SUBSTITUTE(SUBSTITUTE(SUBSTITUTE(SUBSTITUTE(SUBSTITUTE(SUBSTITUTE(SUBSTITUTE(SUBSTITUTE(SUBSTITUTE(SUBSTITUTE(SUBSTITUTE(SUBSTITUTE(LOWER(TRIM(G789)),"á","a"),"é","e"),"í","i"),"ó","o"),"ú","u"),"ü","u"),"ñ","n"),"à","a"),"è","e"),"ì","i"),"ò","o"),"ù","u"),"")</f>
        <v/>
      </c>
      <c r="U789" s="25">
        <f>IF(AND(Q789=1,H789&lt;&gt;""),SUBSTITUTE(SUBSTITUTE(SUBSTITUTE(SUBSTITUTE(SUBSTITUTE(SUBSTITUTE(SUBSTITUTE(SUBSTITUTE(SUBSTITUTE(SUBSTITUTE(SUBSTITUTE(SUBSTITUTE(LOWER(TRIM(H789)),"á","a"),"é","e"),"í","i"),"ó","o"),"ú","u"),"ü","u"),"ñ","n"),"à","a"),"è","e"),"ì","i"),"ò","o"),"ù","u"),"")</f>
        <v/>
      </c>
      <c r="V789" s="25">
        <f>IF(AND(Q789=1,L789&lt;&gt;""),SUBSTITUTE(SUBSTITUTE(SUBSTITUTE(SUBSTITUTE(SUBSTITUTE(SUBSTITUTE(SUBSTITUTE(SUBSTITUTE(SUBSTITUTE(SUBSTITUTE(SUBSTITUTE(SUBSTITUTE(LOWER(TRIM(L789)),"á","a"),"é","e"),"í","i"),"ó","o"),"ú","u"),"ü","u"),"ñ","n"),"à","a"),"è","e"),"ì","i"),"ò","o"),"ù","u"),"")</f>
        <v/>
      </c>
      <c r="W789" s="25">
        <f>IF(AND(Q789=1,I789&lt;&gt;""),SUBSTITUTE(SUBSTITUTE(SUBSTITUTE(SUBSTITUTE(SUBSTITUTE(SUBSTITUTE(SUBSTITUTE(SUBSTITUTE(SUBSTITUTE(SUBSTITUTE(SUBSTITUTE(SUBSTITUTE(LOWER(TRIM(I789)),"á","a"),"é","e"),"í","i"),"ó","o"),"ú","u"),"ü","u"),"ñ","n"),"à","a"),"è","e"),"ì","i"),"ò","o"),"ù","u"),"")</f>
        <v/>
      </c>
      <c r="X789" s="25">
        <f>IF(U789="","",IF(OR(U789="si, en la proxima tarea",U789="si, con cambios"),1,0))</f>
        <v/>
      </c>
      <c r="Y789" s="25">
        <f>IF(AND(Q789=1,A789&lt;&gt;""),IF(IFERROR(COUNTIFS(A$3:A789,"="&amp;SUBSTITUTE(SUBSTITUTE(SUBSTITUTE(A789,"~","~~"),"*","~*"),"?","~?"),Q$3:Q789,1),0)=1,MAX(Y$2:Y788)+1,""),"")</f>
        <v/>
      </c>
      <c r="Z789" s="25">
        <f>IF(Y789="","",COUNTIFS($A$3:$A$1002,"="&amp;SUBSTITUTE(SUBSTITUTE(SUBSTITUTE(A789,"~","~~"),"*","~*"),"?","~?"),$Q$3:$Q$1002,1)*10000-Y789)</f>
        <v/>
      </c>
    </row>
    <row r="790">
      <c r="A790">
        <f>IF(A$2=0,"",IFERROR(TRIM(INDEX('Pegar docentes'!$A$1:$BZ$1001,789,A$2)&amp;""),""))</f>
        <v/>
      </c>
      <c r="B790">
        <f>IF(B$2=0,"",IFERROR(TRIM(INDEX('Pegar docentes'!$A$1:$BZ$1001,789,B$2)&amp;""),""))</f>
        <v/>
      </c>
      <c r="C790">
        <f>IF(C$2=0,"",IFERROR(TRIM(INDEX('Pegar docentes'!$A$1:$BZ$1001,789,C$2)&amp;""),""))</f>
        <v/>
      </c>
      <c r="D790">
        <f>IF(D$2=0,"",IFERROR(TRIM(INDEX('Pegar docentes'!$A$1:$BZ$1001,789,D$2)&amp;""),""))</f>
        <v/>
      </c>
      <c r="E790">
        <f>IF(E$2=0,"",IFERROR(TRIM(INDEX('Pegar docentes'!$A$1:$BZ$1001,789,E$2)&amp;""),""))</f>
        <v/>
      </c>
      <c r="F790">
        <f>IF(F$2=0,"",IFERROR(TRIM(INDEX('Pegar docentes'!$A$1:$BZ$1001,789,F$2)&amp;""),""))</f>
        <v/>
      </c>
      <c r="G790">
        <f>IF(G$2=0,"",IFERROR(TRIM(INDEX('Pegar docentes'!$A$1:$BZ$1001,789,G$2)&amp;""),""))</f>
        <v/>
      </c>
      <c r="H790">
        <f>IF(H$2=0,"",IFERROR(TRIM(INDEX('Pegar docentes'!$A$1:$BZ$1001,789,H$2)&amp;""),""))</f>
        <v/>
      </c>
      <c r="I790">
        <f>IF(I$2=0,"",IFERROR(TRIM(INDEX('Pegar docentes'!$A$1:$BZ$1001,789,I$2)&amp;""),""))</f>
        <v/>
      </c>
      <c r="J790">
        <f>IF(J$2=0,"",IFERROR(TRIM(INDEX('Pegar docentes'!$A$1:$BZ$1001,789,J$2)&amp;""),""))</f>
        <v/>
      </c>
      <c r="K790">
        <f>IF(K$2=0,"",IFERROR(TRIM(INDEX('Pegar docentes'!$A$1:$BZ$1001,789,K$2)&amp;""),""))</f>
        <v/>
      </c>
      <c r="L790">
        <f>IF(L$2=0,"",IFERROR(TRIM(INDEX('Pegar docentes'!$A$1:$BZ$1001,789,L$2)&amp;""),""))</f>
        <v/>
      </c>
      <c r="M790">
        <f>IF(M$2=0,"",IFERROR(TRIM(INDEX('Pegar docentes'!$A$1:$BZ$1001,789,M$2)&amp;""),""))</f>
        <v/>
      </c>
      <c r="N790">
        <f>IF(N$2=0,"",IFERROR(TRIM(INDEX('Pegar docentes'!$A$1:$BZ$1001,789,N$2)&amp;""),""))</f>
        <v/>
      </c>
      <c r="O790">
        <f>IF(O$2=0,"",IFERROR(TRIM(INDEX('Pegar docentes'!$A$1:$BZ$1001,789,O$2)&amp;""),""))</f>
        <v/>
      </c>
      <c r="P790">
        <f>IF(P$2=0,"",IFERROR(TRIM(INDEX('Pegar docentes'!$A$1:$BZ$1001,789,P$2)&amp;""),""))</f>
        <v/>
      </c>
      <c r="Q790" s="25">
        <f>IF(OR(D790&lt;&gt;"",H790&lt;&gt;""),1,"")</f>
        <v/>
      </c>
      <c r="R790" s="25">
        <f>IF(Q790=1,IF(ISNUMBER(FIND("#"&amp;MID(D790,1,1)&amp;"#","#0#1#2#3#4#5#6#7#8#9#")),IF(ISNUMBER(FIND("#"&amp;MID(D790,2,1)&amp;"#","#0#1#2#3#4#5#6#7#8#9#")),IF(AND(VALUE(LEFT(D790,2))&gt;=1,VALUE(LEFT(D790,2))&lt;=5),VALUE(LEFT(D790,2)),""),IF(AND(VALUE(LEFT(D790,1))&gt;=1,VALUE(LEFT(D790,1))&lt;=5),VALUE(LEFT(D790,1)),"")),""),"")</f>
        <v/>
      </c>
      <c r="S790" s="25">
        <f>IF(AND(Q790=1,E790&lt;&gt;""),SUBSTITUTE(SUBSTITUTE(SUBSTITUTE(SUBSTITUTE(SUBSTITUTE(SUBSTITUTE(SUBSTITUTE(SUBSTITUTE(SUBSTITUTE(SUBSTITUTE(SUBSTITUTE(SUBSTITUTE(LOWER(TRIM(E790)),"á","a"),"é","e"),"í","i"),"ó","o"),"ú","u"),"ü","u"),"ñ","n"),"à","a"),"è","e"),"ì","i"),"ò","o"),"ù","u"),"")</f>
        <v/>
      </c>
      <c r="T790" s="25">
        <f>IF(AND(Q790=1,G790&lt;&gt;""),SUBSTITUTE(SUBSTITUTE(SUBSTITUTE(SUBSTITUTE(SUBSTITUTE(SUBSTITUTE(SUBSTITUTE(SUBSTITUTE(SUBSTITUTE(SUBSTITUTE(SUBSTITUTE(SUBSTITUTE(LOWER(TRIM(G790)),"á","a"),"é","e"),"í","i"),"ó","o"),"ú","u"),"ü","u"),"ñ","n"),"à","a"),"è","e"),"ì","i"),"ò","o"),"ù","u"),"")</f>
        <v/>
      </c>
      <c r="U790" s="25">
        <f>IF(AND(Q790=1,H790&lt;&gt;""),SUBSTITUTE(SUBSTITUTE(SUBSTITUTE(SUBSTITUTE(SUBSTITUTE(SUBSTITUTE(SUBSTITUTE(SUBSTITUTE(SUBSTITUTE(SUBSTITUTE(SUBSTITUTE(SUBSTITUTE(LOWER(TRIM(H790)),"á","a"),"é","e"),"í","i"),"ó","o"),"ú","u"),"ü","u"),"ñ","n"),"à","a"),"è","e"),"ì","i"),"ò","o"),"ù","u"),"")</f>
        <v/>
      </c>
      <c r="V790" s="25">
        <f>IF(AND(Q790=1,L790&lt;&gt;""),SUBSTITUTE(SUBSTITUTE(SUBSTITUTE(SUBSTITUTE(SUBSTITUTE(SUBSTITUTE(SUBSTITUTE(SUBSTITUTE(SUBSTITUTE(SUBSTITUTE(SUBSTITUTE(SUBSTITUTE(LOWER(TRIM(L790)),"á","a"),"é","e"),"í","i"),"ó","o"),"ú","u"),"ü","u"),"ñ","n"),"à","a"),"è","e"),"ì","i"),"ò","o"),"ù","u"),"")</f>
        <v/>
      </c>
      <c r="W790" s="25">
        <f>IF(AND(Q790=1,I790&lt;&gt;""),SUBSTITUTE(SUBSTITUTE(SUBSTITUTE(SUBSTITUTE(SUBSTITUTE(SUBSTITUTE(SUBSTITUTE(SUBSTITUTE(SUBSTITUTE(SUBSTITUTE(SUBSTITUTE(SUBSTITUTE(LOWER(TRIM(I790)),"á","a"),"é","e"),"í","i"),"ó","o"),"ú","u"),"ü","u"),"ñ","n"),"à","a"),"è","e"),"ì","i"),"ò","o"),"ù","u"),"")</f>
        <v/>
      </c>
      <c r="X790" s="25">
        <f>IF(U790="","",IF(OR(U790="si, en la proxima tarea",U790="si, con cambios"),1,0))</f>
        <v/>
      </c>
      <c r="Y790" s="25">
        <f>IF(AND(Q790=1,A790&lt;&gt;""),IF(IFERROR(COUNTIFS(A$3:A790,"="&amp;SUBSTITUTE(SUBSTITUTE(SUBSTITUTE(A790,"~","~~"),"*","~*"),"?","~?"),Q$3:Q790,1),0)=1,MAX(Y$2:Y789)+1,""),"")</f>
        <v/>
      </c>
      <c r="Z790" s="25">
        <f>IF(Y790="","",COUNTIFS($A$3:$A$1002,"="&amp;SUBSTITUTE(SUBSTITUTE(SUBSTITUTE(A790,"~","~~"),"*","~*"),"?","~?"),$Q$3:$Q$1002,1)*10000-Y790)</f>
        <v/>
      </c>
    </row>
    <row r="791">
      <c r="A791">
        <f>IF(A$2=0,"",IFERROR(TRIM(INDEX('Pegar docentes'!$A$1:$BZ$1001,790,A$2)&amp;""),""))</f>
        <v/>
      </c>
      <c r="B791">
        <f>IF(B$2=0,"",IFERROR(TRIM(INDEX('Pegar docentes'!$A$1:$BZ$1001,790,B$2)&amp;""),""))</f>
        <v/>
      </c>
      <c r="C791">
        <f>IF(C$2=0,"",IFERROR(TRIM(INDEX('Pegar docentes'!$A$1:$BZ$1001,790,C$2)&amp;""),""))</f>
        <v/>
      </c>
      <c r="D791">
        <f>IF(D$2=0,"",IFERROR(TRIM(INDEX('Pegar docentes'!$A$1:$BZ$1001,790,D$2)&amp;""),""))</f>
        <v/>
      </c>
      <c r="E791">
        <f>IF(E$2=0,"",IFERROR(TRIM(INDEX('Pegar docentes'!$A$1:$BZ$1001,790,E$2)&amp;""),""))</f>
        <v/>
      </c>
      <c r="F791">
        <f>IF(F$2=0,"",IFERROR(TRIM(INDEX('Pegar docentes'!$A$1:$BZ$1001,790,F$2)&amp;""),""))</f>
        <v/>
      </c>
      <c r="G791">
        <f>IF(G$2=0,"",IFERROR(TRIM(INDEX('Pegar docentes'!$A$1:$BZ$1001,790,G$2)&amp;""),""))</f>
        <v/>
      </c>
      <c r="H791">
        <f>IF(H$2=0,"",IFERROR(TRIM(INDEX('Pegar docentes'!$A$1:$BZ$1001,790,H$2)&amp;""),""))</f>
        <v/>
      </c>
      <c r="I791">
        <f>IF(I$2=0,"",IFERROR(TRIM(INDEX('Pegar docentes'!$A$1:$BZ$1001,790,I$2)&amp;""),""))</f>
        <v/>
      </c>
      <c r="J791">
        <f>IF(J$2=0,"",IFERROR(TRIM(INDEX('Pegar docentes'!$A$1:$BZ$1001,790,J$2)&amp;""),""))</f>
        <v/>
      </c>
      <c r="K791">
        <f>IF(K$2=0,"",IFERROR(TRIM(INDEX('Pegar docentes'!$A$1:$BZ$1001,790,K$2)&amp;""),""))</f>
        <v/>
      </c>
      <c r="L791">
        <f>IF(L$2=0,"",IFERROR(TRIM(INDEX('Pegar docentes'!$A$1:$BZ$1001,790,L$2)&amp;""),""))</f>
        <v/>
      </c>
      <c r="M791">
        <f>IF(M$2=0,"",IFERROR(TRIM(INDEX('Pegar docentes'!$A$1:$BZ$1001,790,M$2)&amp;""),""))</f>
        <v/>
      </c>
      <c r="N791">
        <f>IF(N$2=0,"",IFERROR(TRIM(INDEX('Pegar docentes'!$A$1:$BZ$1001,790,N$2)&amp;""),""))</f>
        <v/>
      </c>
      <c r="O791">
        <f>IF(O$2=0,"",IFERROR(TRIM(INDEX('Pegar docentes'!$A$1:$BZ$1001,790,O$2)&amp;""),""))</f>
        <v/>
      </c>
      <c r="P791">
        <f>IF(P$2=0,"",IFERROR(TRIM(INDEX('Pegar docentes'!$A$1:$BZ$1001,790,P$2)&amp;""),""))</f>
        <v/>
      </c>
      <c r="Q791" s="25">
        <f>IF(OR(D791&lt;&gt;"",H791&lt;&gt;""),1,"")</f>
        <v/>
      </c>
      <c r="R791" s="25">
        <f>IF(Q791=1,IF(ISNUMBER(FIND("#"&amp;MID(D791,1,1)&amp;"#","#0#1#2#3#4#5#6#7#8#9#")),IF(ISNUMBER(FIND("#"&amp;MID(D791,2,1)&amp;"#","#0#1#2#3#4#5#6#7#8#9#")),IF(AND(VALUE(LEFT(D791,2))&gt;=1,VALUE(LEFT(D791,2))&lt;=5),VALUE(LEFT(D791,2)),""),IF(AND(VALUE(LEFT(D791,1))&gt;=1,VALUE(LEFT(D791,1))&lt;=5),VALUE(LEFT(D791,1)),"")),""),"")</f>
        <v/>
      </c>
      <c r="S791" s="25">
        <f>IF(AND(Q791=1,E791&lt;&gt;""),SUBSTITUTE(SUBSTITUTE(SUBSTITUTE(SUBSTITUTE(SUBSTITUTE(SUBSTITUTE(SUBSTITUTE(SUBSTITUTE(SUBSTITUTE(SUBSTITUTE(SUBSTITUTE(SUBSTITUTE(LOWER(TRIM(E791)),"á","a"),"é","e"),"í","i"),"ó","o"),"ú","u"),"ü","u"),"ñ","n"),"à","a"),"è","e"),"ì","i"),"ò","o"),"ù","u"),"")</f>
        <v/>
      </c>
      <c r="T791" s="25">
        <f>IF(AND(Q791=1,G791&lt;&gt;""),SUBSTITUTE(SUBSTITUTE(SUBSTITUTE(SUBSTITUTE(SUBSTITUTE(SUBSTITUTE(SUBSTITUTE(SUBSTITUTE(SUBSTITUTE(SUBSTITUTE(SUBSTITUTE(SUBSTITUTE(LOWER(TRIM(G791)),"á","a"),"é","e"),"í","i"),"ó","o"),"ú","u"),"ü","u"),"ñ","n"),"à","a"),"è","e"),"ì","i"),"ò","o"),"ù","u"),"")</f>
        <v/>
      </c>
      <c r="U791" s="25">
        <f>IF(AND(Q791=1,H791&lt;&gt;""),SUBSTITUTE(SUBSTITUTE(SUBSTITUTE(SUBSTITUTE(SUBSTITUTE(SUBSTITUTE(SUBSTITUTE(SUBSTITUTE(SUBSTITUTE(SUBSTITUTE(SUBSTITUTE(SUBSTITUTE(LOWER(TRIM(H791)),"á","a"),"é","e"),"í","i"),"ó","o"),"ú","u"),"ü","u"),"ñ","n"),"à","a"),"è","e"),"ì","i"),"ò","o"),"ù","u"),"")</f>
        <v/>
      </c>
      <c r="V791" s="25">
        <f>IF(AND(Q791=1,L791&lt;&gt;""),SUBSTITUTE(SUBSTITUTE(SUBSTITUTE(SUBSTITUTE(SUBSTITUTE(SUBSTITUTE(SUBSTITUTE(SUBSTITUTE(SUBSTITUTE(SUBSTITUTE(SUBSTITUTE(SUBSTITUTE(LOWER(TRIM(L791)),"á","a"),"é","e"),"í","i"),"ó","o"),"ú","u"),"ü","u"),"ñ","n"),"à","a"),"è","e"),"ì","i"),"ò","o"),"ù","u"),"")</f>
        <v/>
      </c>
      <c r="W791" s="25">
        <f>IF(AND(Q791=1,I791&lt;&gt;""),SUBSTITUTE(SUBSTITUTE(SUBSTITUTE(SUBSTITUTE(SUBSTITUTE(SUBSTITUTE(SUBSTITUTE(SUBSTITUTE(SUBSTITUTE(SUBSTITUTE(SUBSTITUTE(SUBSTITUTE(LOWER(TRIM(I791)),"á","a"),"é","e"),"í","i"),"ó","o"),"ú","u"),"ü","u"),"ñ","n"),"à","a"),"è","e"),"ì","i"),"ò","o"),"ù","u"),"")</f>
        <v/>
      </c>
      <c r="X791" s="25">
        <f>IF(U791="","",IF(OR(U791="si, en la proxima tarea",U791="si, con cambios"),1,0))</f>
        <v/>
      </c>
      <c r="Y791" s="25">
        <f>IF(AND(Q791=1,A791&lt;&gt;""),IF(IFERROR(COUNTIFS(A$3:A791,"="&amp;SUBSTITUTE(SUBSTITUTE(SUBSTITUTE(A791,"~","~~"),"*","~*"),"?","~?"),Q$3:Q791,1),0)=1,MAX(Y$2:Y790)+1,""),"")</f>
        <v/>
      </c>
      <c r="Z791" s="25">
        <f>IF(Y791="","",COUNTIFS($A$3:$A$1002,"="&amp;SUBSTITUTE(SUBSTITUTE(SUBSTITUTE(A791,"~","~~"),"*","~*"),"?","~?"),$Q$3:$Q$1002,1)*10000-Y791)</f>
        <v/>
      </c>
    </row>
    <row r="792">
      <c r="A792">
        <f>IF(A$2=0,"",IFERROR(TRIM(INDEX('Pegar docentes'!$A$1:$BZ$1001,791,A$2)&amp;""),""))</f>
        <v/>
      </c>
      <c r="B792">
        <f>IF(B$2=0,"",IFERROR(TRIM(INDEX('Pegar docentes'!$A$1:$BZ$1001,791,B$2)&amp;""),""))</f>
        <v/>
      </c>
      <c r="C792">
        <f>IF(C$2=0,"",IFERROR(TRIM(INDEX('Pegar docentes'!$A$1:$BZ$1001,791,C$2)&amp;""),""))</f>
        <v/>
      </c>
      <c r="D792">
        <f>IF(D$2=0,"",IFERROR(TRIM(INDEX('Pegar docentes'!$A$1:$BZ$1001,791,D$2)&amp;""),""))</f>
        <v/>
      </c>
      <c r="E792">
        <f>IF(E$2=0,"",IFERROR(TRIM(INDEX('Pegar docentes'!$A$1:$BZ$1001,791,E$2)&amp;""),""))</f>
        <v/>
      </c>
      <c r="F792">
        <f>IF(F$2=0,"",IFERROR(TRIM(INDEX('Pegar docentes'!$A$1:$BZ$1001,791,F$2)&amp;""),""))</f>
        <v/>
      </c>
      <c r="G792">
        <f>IF(G$2=0,"",IFERROR(TRIM(INDEX('Pegar docentes'!$A$1:$BZ$1001,791,G$2)&amp;""),""))</f>
        <v/>
      </c>
      <c r="H792">
        <f>IF(H$2=0,"",IFERROR(TRIM(INDEX('Pegar docentes'!$A$1:$BZ$1001,791,H$2)&amp;""),""))</f>
        <v/>
      </c>
      <c r="I792">
        <f>IF(I$2=0,"",IFERROR(TRIM(INDEX('Pegar docentes'!$A$1:$BZ$1001,791,I$2)&amp;""),""))</f>
        <v/>
      </c>
      <c r="J792">
        <f>IF(J$2=0,"",IFERROR(TRIM(INDEX('Pegar docentes'!$A$1:$BZ$1001,791,J$2)&amp;""),""))</f>
        <v/>
      </c>
      <c r="K792">
        <f>IF(K$2=0,"",IFERROR(TRIM(INDEX('Pegar docentes'!$A$1:$BZ$1001,791,K$2)&amp;""),""))</f>
        <v/>
      </c>
      <c r="L792">
        <f>IF(L$2=0,"",IFERROR(TRIM(INDEX('Pegar docentes'!$A$1:$BZ$1001,791,L$2)&amp;""),""))</f>
        <v/>
      </c>
      <c r="M792">
        <f>IF(M$2=0,"",IFERROR(TRIM(INDEX('Pegar docentes'!$A$1:$BZ$1001,791,M$2)&amp;""),""))</f>
        <v/>
      </c>
      <c r="N792">
        <f>IF(N$2=0,"",IFERROR(TRIM(INDEX('Pegar docentes'!$A$1:$BZ$1001,791,N$2)&amp;""),""))</f>
        <v/>
      </c>
      <c r="O792">
        <f>IF(O$2=0,"",IFERROR(TRIM(INDEX('Pegar docentes'!$A$1:$BZ$1001,791,O$2)&amp;""),""))</f>
        <v/>
      </c>
      <c r="P792">
        <f>IF(P$2=0,"",IFERROR(TRIM(INDEX('Pegar docentes'!$A$1:$BZ$1001,791,P$2)&amp;""),""))</f>
        <v/>
      </c>
      <c r="Q792" s="25">
        <f>IF(OR(D792&lt;&gt;"",H792&lt;&gt;""),1,"")</f>
        <v/>
      </c>
      <c r="R792" s="25">
        <f>IF(Q792=1,IF(ISNUMBER(FIND("#"&amp;MID(D792,1,1)&amp;"#","#0#1#2#3#4#5#6#7#8#9#")),IF(ISNUMBER(FIND("#"&amp;MID(D792,2,1)&amp;"#","#0#1#2#3#4#5#6#7#8#9#")),IF(AND(VALUE(LEFT(D792,2))&gt;=1,VALUE(LEFT(D792,2))&lt;=5),VALUE(LEFT(D792,2)),""),IF(AND(VALUE(LEFT(D792,1))&gt;=1,VALUE(LEFT(D792,1))&lt;=5),VALUE(LEFT(D792,1)),"")),""),"")</f>
        <v/>
      </c>
      <c r="S792" s="25">
        <f>IF(AND(Q792=1,E792&lt;&gt;""),SUBSTITUTE(SUBSTITUTE(SUBSTITUTE(SUBSTITUTE(SUBSTITUTE(SUBSTITUTE(SUBSTITUTE(SUBSTITUTE(SUBSTITUTE(SUBSTITUTE(SUBSTITUTE(SUBSTITUTE(LOWER(TRIM(E792)),"á","a"),"é","e"),"í","i"),"ó","o"),"ú","u"),"ü","u"),"ñ","n"),"à","a"),"è","e"),"ì","i"),"ò","o"),"ù","u"),"")</f>
        <v/>
      </c>
      <c r="T792" s="25">
        <f>IF(AND(Q792=1,G792&lt;&gt;""),SUBSTITUTE(SUBSTITUTE(SUBSTITUTE(SUBSTITUTE(SUBSTITUTE(SUBSTITUTE(SUBSTITUTE(SUBSTITUTE(SUBSTITUTE(SUBSTITUTE(SUBSTITUTE(SUBSTITUTE(LOWER(TRIM(G792)),"á","a"),"é","e"),"í","i"),"ó","o"),"ú","u"),"ü","u"),"ñ","n"),"à","a"),"è","e"),"ì","i"),"ò","o"),"ù","u"),"")</f>
        <v/>
      </c>
      <c r="U792" s="25">
        <f>IF(AND(Q792=1,H792&lt;&gt;""),SUBSTITUTE(SUBSTITUTE(SUBSTITUTE(SUBSTITUTE(SUBSTITUTE(SUBSTITUTE(SUBSTITUTE(SUBSTITUTE(SUBSTITUTE(SUBSTITUTE(SUBSTITUTE(SUBSTITUTE(LOWER(TRIM(H792)),"á","a"),"é","e"),"í","i"),"ó","o"),"ú","u"),"ü","u"),"ñ","n"),"à","a"),"è","e"),"ì","i"),"ò","o"),"ù","u"),"")</f>
        <v/>
      </c>
      <c r="V792" s="25">
        <f>IF(AND(Q792=1,L792&lt;&gt;""),SUBSTITUTE(SUBSTITUTE(SUBSTITUTE(SUBSTITUTE(SUBSTITUTE(SUBSTITUTE(SUBSTITUTE(SUBSTITUTE(SUBSTITUTE(SUBSTITUTE(SUBSTITUTE(SUBSTITUTE(LOWER(TRIM(L792)),"á","a"),"é","e"),"í","i"),"ó","o"),"ú","u"),"ü","u"),"ñ","n"),"à","a"),"è","e"),"ì","i"),"ò","o"),"ù","u"),"")</f>
        <v/>
      </c>
      <c r="W792" s="25">
        <f>IF(AND(Q792=1,I792&lt;&gt;""),SUBSTITUTE(SUBSTITUTE(SUBSTITUTE(SUBSTITUTE(SUBSTITUTE(SUBSTITUTE(SUBSTITUTE(SUBSTITUTE(SUBSTITUTE(SUBSTITUTE(SUBSTITUTE(SUBSTITUTE(LOWER(TRIM(I792)),"á","a"),"é","e"),"í","i"),"ó","o"),"ú","u"),"ü","u"),"ñ","n"),"à","a"),"è","e"),"ì","i"),"ò","o"),"ù","u"),"")</f>
        <v/>
      </c>
      <c r="X792" s="25">
        <f>IF(U792="","",IF(OR(U792="si, en la proxima tarea",U792="si, con cambios"),1,0))</f>
        <v/>
      </c>
      <c r="Y792" s="25">
        <f>IF(AND(Q792=1,A792&lt;&gt;""),IF(IFERROR(COUNTIFS(A$3:A792,"="&amp;SUBSTITUTE(SUBSTITUTE(SUBSTITUTE(A792,"~","~~"),"*","~*"),"?","~?"),Q$3:Q792,1),0)=1,MAX(Y$2:Y791)+1,""),"")</f>
        <v/>
      </c>
      <c r="Z792" s="25">
        <f>IF(Y792="","",COUNTIFS($A$3:$A$1002,"="&amp;SUBSTITUTE(SUBSTITUTE(SUBSTITUTE(A792,"~","~~"),"*","~*"),"?","~?"),$Q$3:$Q$1002,1)*10000-Y792)</f>
        <v/>
      </c>
    </row>
    <row r="793">
      <c r="A793">
        <f>IF(A$2=0,"",IFERROR(TRIM(INDEX('Pegar docentes'!$A$1:$BZ$1001,792,A$2)&amp;""),""))</f>
        <v/>
      </c>
      <c r="B793">
        <f>IF(B$2=0,"",IFERROR(TRIM(INDEX('Pegar docentes'!$A$1:$BZ$1001,792,B$2)&amp;""),""))</f>
        <v/>
      </c>
      <c r="C793">
        <f>IF(C$2=0,"",IFERROR(TRIM(INDEX('Pegar docentes'!$A$1:$BZ$1001,792,C$2)&amp;""),""))</f>
        <v/>
      </c>
      <c r="D793">
        <f>IF(D$2=0,"",IFERROR(TRIM(INDEX('Pegar docentes'!$A$1:$BZ$1001,792,D$2)&amp;""),""))</f>
        <v/>
      </c>
      <c r="E793">
        <f>IF(E$2=0,"",IFERROR(TRIM(INDEX('Pegar docentes'!$A$1:$BZ$1001,792,E$2)&amp;""),""))</f>
        <v/>
      </c>
      <c r="F793">
        <f>IF(F$2=0,"",IFERROR(TRIM(INDEX('Pegar docentes'!$A$1:$BZ$1001,792,F$2)&amp;""),""))</f>
        <v/>
      </c>
      <c r="G793">
        <f>IF(G$2=0,"",IFERROR(TRIM(INDEX('Pegar docentes'!$A$1:$BZ$1001,792,G$2)&amp;""),""))</f>
        <v/>
      </c>
      <c r="H793">
        <f>IF(H$2=0,"",IFERROR(TRIM(INDEX('Pegar docentes'!$A$1:$BZ$1001,792,H$2)&amp;""),""))</f>
        <v/>
      </c>
      <c r="I793">
        <f>IF(I$2=0,"",IFERROR(TRIM(INDEX('Pegar docentes'!$A$1:$BZ$1001,792,I$2)&amp;""),""))</f>
        <v/>
      </c>
      <c r="J793">
        <f>IF(J$2=0,"",IFERROR(TRIM(INDEX('Pegar docentes'!$A$1:$BZ$1001,792,J$2)&amp;""),""))</f>
        <v/>
      </c>
      <c r="K793">
        <f>IF(K$2=0,"",IFERROR(TRIM(INDEX('Pegar docentes'!$A$1:$BZ$1001,792,K$2)&amp;""),""))</f>
        <v/>
      </c>
      <c r="L793">
        <f>IF(L$2=0,"",IFERROR(TRIM(INDEX('Pegar docentes'!$A$1:$BZ$1001,792,L$2)&amp;""),""))</f>
        <v/>
      </c>
      <c r="M793">
        <f>IF(M$2=0,"",IFERROR(TRIM(INDEX('Pegar docentes'!$A$1:$BZ$1001,792,M$2)&amp;""),""))</f>
        <v/>
      </c>
      <c r="N793">
        <f>IF(N$2=0,"",IFERROR(TRIM(INDEX('Pegar docentes'!$A$1:$BZ$1001,792,N$2)&amp;""),""))</f>
        <v/>
      </c>
      <c r="O793">
        <f>IF(O$2=0,"",IFERROR(TRIM(INDEX('Pegar docentes'!$A$1:$BZ$1001,792,O$2)&amp;""),""))</f>
        <v/>
      </c>
      <c r="P793">
        <f>IF(P$2=0,"",IFERROR(TRIM(INDEX('Pegar docentes'!$A$1:$BZ$1001,792,P$2)&amp;""),""))</f>
        <v/>
      </c>
      <c r="Q793" s="25">
        <f>IF(OR(D793&lt;&gt;"",H793&lt;&gt;""),1,"")</f>
        <v/>
      </c>
      <c r="R793" s="25">
        <f>IF(Q793=1,IF(ISNUMBER(FIND("#"&amp;MID(D793,1,1)&amp;"#","#0#1#2#3#4#5#6#7#8#9#")),IF(ISNUMBER(FIND("#"&amp;MID(D793,2,1)&amp;"#","#0#1#2#3#4#5#6#7#8#9#")),IF(AND(VALUE(LEFT(D793,2))&gt;=1,VALUE(LEFT(D793,2))&lt;=5),VALUE(LEFT(D793,2)),""),IF(AND(VALUE(LEFT(D793,1))&gt;=1,VALUE(LEFT(D793,1))&lt;=5),VALUE(LEFT(D793,1)),"")),""),"")</f>
        <v/>
      </c>
      <c r="S793" s="25">
        <f>IF(AND(Q793=1,E793&lt;&gt;""),SUBSTITUTE(SUBSTITUTE(SUBSTITUTE(SUBSTITUTE(SUBSTITUTE(SUBSTITUTE(SUBSTITUTE(SUBSTITUTE(SUBSTITUTE(SUBSTITUTE(SUBSTITUTE(SUBSTITUTE(LOWER(TRIM(E793)),"á","a"),"é","e"),"í","i"),"ó","o"),"ú","u"),"ü","u"),"ñ","n"),"à","a"),"è","e"),"ì","i"),"ò","o"),"ù","u"),"")</f>
        <v/>
      </c>
      <c r="T793" s="25">
        <f>IF(AND(Q793=1,G793&lt;&gt;""),SUBSTITUTE(SUBSTITUTE(SUBSTITUTE(SUBSTITUTE(SUBSTITUTE(SUBSTITUTE(SUBSTITUTE(SUBSTITUTE(SUBSTITUTE(SUBSTITUTE(SUBSTITUTE(SUBSTITUTE(LOWER(TRIM(G793)),"á","a"),"é","e"),"í","i"),"ó","o"),"ú","u"),"ü","u"),"ñ","n"),"à","a"),"è","e"),"ì","i"),"ò","o"),"ù","u"),"")</f>
        <v/>
      </c>
      <c r="U793" s="25">
        <f>IF(AND(Q793=1,H793&lt;&gt;""),SUBSTITUTE(SUBSTITUTE(SUBSTITUTE(SUBSTITUTE(SUBSTITUTE(SUBSTITUTE(SUBSTITUTE(SUBSTITUTE(SUBSTITUTE(SUBSTITUTE(SUBSTITUTE(SUBSTITUTE(LOWER(TRIM(H793)),"á","a"),"é","e"),"í","i"),"ó","o"),"ú","u"),"ü","u"),"ñ","n"),"à","a"),"è","e"),"ì","i"),"ò","o"),"ù","u"),"")</f>
        <v/>
      </c>
      <c r="V793" s="25">
        <f>IF(AND(Q793=1,L793&lt;&gt;""),SUBSTITUTE(SUBSTITUTE(SUBSTITUTE(SUBSTITUTE(SUBSTITUTE(SUBSTITUTE(SUBSTITUTE(SUBSTITUTE(SUBSTITUTE(SUBSTITUTE(SUBSTITUTE(SUBSTITUTE(LOWER(TRIM(L793)),"á","a"),"é","e"),"í","i"),"ó","o"),"ú","u"),"ü","u"),"ñ","n"),"à","a"),"è","e"),"ì","i"),"ò","o"),"ù","u"),"")</f>
        <v/>
      </c>
      <c r="W793" s="25">
        <f>IF(AND(Q793=1,I793&lt;&gt;""),SUBSTITUTE(SUBSTITUTE(SUBSTITUTE(SUBSTITUTE(SUBSTITUTE(SUBSTITUTE(SUBSTITUTE(SUBSTITUTE(SUBSTITUTE(SUBSTITUTE(SUBSTITUTE(SUBSTITUTE(LOWER(TRIM(I793)),"á","a"),"é","e"),"í","i"),"ó","o"),"ú","u"),"ü","u"),"ñ","n"),"à","a"),"è","e"),"ì","i"),"ò","o"),"ù","u"),"")</f>
        <v/>
      </c>
      <c r="X793" s="25">
        <f>IF(U793="","",IF(OR(U793="si, en la proxima tarea",U793="si, con cambios"),1,0))</f>
        <v/>
      </c>
      <c r="Y793" s="25">
        <f>IF(AND(Q793=1,A793&lt;&gt;""),IF(IFERROR(COUNTIFS(A$3:A793,"="&amp;SUBSTITUTE(SUBSTITUTE(SUBSTITUTE(A793,"~","~~"),"*","~*"),"?","~?"),Q$3:Q793,1),0)=1,MAX(Y$2:Y792)+1,""),"")</f>
        <v/>
      </c>
      <c r="Z793" s="25">
        <f>IF(Y793="","",COUNTIFS($A$3:$A$1002,"="&amp;SUBSTITUTE(SUBSTITUTE(SUBSTITUTE(A793,"~","~~"),"*","~*"),"?","~?"),$Q$3:$Q$1002,1)*10000-Y793)</f>
        <v/>
      </c>
    </row>
    <row r="794">
      <c r="A794">
        <f>IF(A$2=0,"",IFERROR(TRIM(INDEX('Pegar docentes'!$A$1:$BZ$1001,793,A$2)&amp;""),""))</f>
        <v/>
      </c>
      <c r="B794">
        <f>IF(B$2=0,"",IFERROR(TRIM(INDEX('Pegar docentes'!$A$1:$BZ$1001,793,B$2)&amp;""),""))</f>
        <v/>
      </c>
      <c r="C794">
        <f>IF(C$2=0,"",IFERROR(TRIM(INDEX('Pegar docentes'!$A$1:$BZ$1001,793,C$2)&amp;""),""))</f>
        <v/>
      </c>
      <c r="D794">
        <f>IF(D$2=0,"",IFERROR(TRIM(INDEX('Pegar docentes'!$A$1:$BZ$1001,793,D$2)&amp;""),""))</f>
        <v/>
      </c>
      <c r="E794">
        <f>IF(E$2=0,"",IFERROR(TRIM(INDEX('Pegar docentes'!$A$1:$BZ$1001,793,E$2)&amp;""),""))</f>
        <v/>
      </c>
      <c r="F794">
        <f>IF(F$2=0,"",IFERROR(TRIM(INDEX('Pegar docentes'!$A$1:$BZ$1001,793,F$2)&amp;""),""))</f>
        <v/>
      </c>
      <c r="G794">
        <f>IF(G$2=0,"",IFERROR(TRIM(INDEX('Pegar docentes'!$A$1:$BZ$1001,793,G$2)&amp;""),""))</f>
        <v/>
      </c>
      <c r="H794">
        <f>IF(H$2=0,"",IFERROR(TRIM(INDEX('Pegar docentes'!$A$1:$BZ$1001,793,H$2)&amp;""),""))</f>
        <v/>
      </c>
      <c r="I794">
        <f>IF(I$2=0,"",IFERROR(TRIM(INDEX('Pegar docentes'!$A$1:$BZ$1001,793,I$2)&amp;""),""))</f>
        <v/>
      </c>
      <c r="J794">
        <f>IF(J$2=0,"",IFERROR(TRIM(INDEX('Pegar docentes'!$A$1:$BZ$1001,793,J$2)&amp;""),""))</f>
        <v/>
      </c>
      <c r="K794">
        <f>IF(K$2=0,"",IFERROR(TRIM(INDEX('Pegar docentes'!$A$1:$BZ$1001,793,K$2)&amp;""),""))</f>
        <v/>
      </c>
      <c r="L794">
        <f>IF(L$2=0,"",IFERROR(TRIM(INDEX('Pegar docentes'!$A$1:$BZ$1001,793,L$2)&amp;""),""))</f>
        <v/>
      </c>
      <c r="M794">
        <f>IF(M$2=0,"",IFERROR(TRIM(INDEX('Pegar docentes'!$A$1:$BZ$1001,793,M$2)&amp;""),""))</f>
        <v/>
      </c>
      <c r="N794">
        <f>IF(N$2=0,"",IFERROR(TRIM(INDEX('Pegar docentes'!$A$1:$BZ$1001,793,N$2)&amp;""),""))</f>
        <v/>
      </c>
      <c r="O794">
        <f>IF(O$2=0,"",IFERROR(TRIM(INDEX('Pegar docentes'!$A$1:$BZ$1001,793,O$2)&amp;""),""))</f>
        <v/>
      </c>
      <c r="P794">
        <f>IF(P$2=0,"",IFERROR(TRIM(INDEX('Pegar docentes'!$A$1:$BZ$1001,793,P$2)&amp;""),""))</f>
        <v/>
      </c>
      <c r="Q794" s="25">
        <f>IF(OR(D794&lt;&gt;"",H794&lt;&gt;""),1,"")</f>
        <v/>
      </c>
      <c r="R794" s="25">
        <f>IF(Q794=1,IF(ISNUMBER(FIND("#"&amp;MID(D794,1,1)&amp;"#","#0#1#2#3#4#5#6#7#8#9#")),IF(ISNUMBER(FIND("#"&amp;MID(D794,2,1)&amp;"#","#0#1#2#3#4#5#6#7#8#9#")),IF(AND(VALUE(LEFT(D794,2))&gt;=1,VALUE(LEFT(D794,2))&lt;=5),VALUE(LEFT(D794,2)),""),IF(AND(VALUE(LEFT(D794,1))&gt;=1,VALUE(LEFT(D794,1))&lt;=5),VALUE(LEFT(D794,1)),"")),""),"")</f>
        <v/>
      </c>
      <c r="S794" s="25">
        <f>IF(AND(Q794=1,E794&lt;&gt;""),SUBSTITUTE(SUBSTITUTE(SUBSTITUTE(SUBSTITUTE(SUBSTITUTE(SUBSTITUTE(SUBSTITUTE(SUBSTITUTE(SUBSTITUTE(SUBSTITUTE(SUBSTITUTE(SUBSTITUTE(LOWER(TRIM(E794)),"á","a"),"é","e"),"í","i"),"ó","o"),"ú","u"),"ü","u"),"ñ","n"),"à","a"),"è","e"),"ì","i"),"ò","o"),"ù","u"),"")</f>
        <v/>
      </c>
      <c r="T794" s="25">
        <f>IF(AND(Q794=1,G794&lt;&gt;""),SUBSTITUTE(SUBSTITUTE(SUBSTITUTE(SUBSTITUTE(SUBSTITUTE(SUBSTITUTE(SUBSTITUTE(SUBSTITUTE(SUBSTITUTE(SUBSTITUTE(SUBSTITUTE(SUBSTITUTE(LOWER(TRIM(G794)),"á","a"),"é","e"),"í","i"),"ó","o"),"ú","u"),"ü","u"),"ñ","n"),"à","a"),"è","e"),"ì","i"),"ò","o"),"ù","u"),"")</f>
        <v/>
      </c>
      <c r="U794" s="25">
        <f>IF(AND(Q794=1,H794&lt;&gt;""),SUBSTITUTE(SUBSTITUTE(SUBSTITUTE(SUBSTITUTE(SUBSTITUTE(SUBSTITUTE(SUBSTITUTE(SUBSTITUTE(SUBSTITUTE(SUBSTITUTE(SUBSTITUTE(SUBSTITUTE(LOWER(TRIM(H794)),"á","a"),"é","e"),"í","i"),"ó","o"),"ú","u"),"ü","u"),"ñ","n"),"à","a"),"è","e"),"ì","i"),"ò","o"),"ù","u"),"")</f>
        <v/>
      </c>
      <c r="V794" s="25">
        <f>IF(AND(Q794=1,L794&lt;&gt;""),SUBSTITUTE(SUBSTITUTE(SUBSTITUTE(SUBSTITUTE(SUBSTITUTE(SUBSTITUTE(SUBSTITUTE(SUBSTITUTE(SUBSTITUTE(SUBSTITUTE(SUBSTITUTE(SUBSTITUTE(LOWER(TRIM(L794)),"á","a"),"é","e"),"í","i"),"ó","o"),"ú","u"),"ü","u"),"ñ","n"),"à","a"),"è","e"),"ì","i"),"ò","o"),"ù","u"),"")</f>
        <v/>
      </c>
      <c r="W794" s="25">
        <f>IF(AND(Q794=1,I794&lt;&gt;""),SUBSTITUTE(SUBSTITUTE(SUBSTITUTE(SUBSTITUTE(SUBSTITUTE(SUBSTITUTE(SUBSTITUTE(SUBSTITUTE(SUBSTITUTE(SUBSTITUTE(SUBSTITUTE(SUBSTITUTE(LOWER(TRIM(I794)),"á","a"),"é","e"),"í","i"),"ó","o"),"ú","u"),"ü","u"),"ñ","n"),"à","a"),"è","e"),"ì","i"),"ò","o"),"ù","u"),"")</f>
        <v/>
      </c>
      <c r="X794" s="25">
        <f>IF(U794="","",IF(OR(U794="si, en la proxima tarea",U794="si, con cambios"),1,0))</f>
        <v/>
      </c>
      <c r="Y794" s="25">
        <f>IF(AND(Q794=1,A794&lt;&gt;""),IF(IFERROR(COUNTIFS(A$3:A794,"="&amp;SUBSTITUTE(SUBSTITUTE(SUBSTITUTE(A794,"~","~~"),"*","~*"),"?","~?"),Q$3:Q794,1),0)=1,MAX(Y$2:Y793)+1,""),"")</f>
        <v/>
      </c>
      <c r="Z794" s="25">
        <f>IF(Y794="","",COUNTIFS($A$3:$A$1002,"="&amp;SUBSTITUTE(SUBSTITUTE(SUBSTITUTE(A794,"~","~~"),"*","~*"),"?","~?"),$Q$3:$Q$1002,1)*10000-Y794)</f>
        <v/>
      </c>
    </row>
    <row r="795">
      <c r="A795">
        <f>IF(A$2=0,"",IFERROR(TRIM(INDEX('Pegar docentes'!$A$1:$BZ$1001,794,A$2)&amp;""),""))</f>
        <v/>
      </c>
      <c r="B795">
        <f>IF(B$2=0,"",IFERROR(TRIM(INDEX('Pegar docentes'!$A$1:$BZ$1001,794,B$2)&amp;""),""))</f>
        <v/>
      </c>
      <c r="C795">
        <f>IF(C$2=0,"",IFERROR(TRIM(INDEX('Pegar docentes'!$A$1:$BZ$1001,794,C$2)&amp;""),""))</f>
        <v/>
      </c>
      <c r="D795">
        <f>IF(D$2=0,"",IFERROR(TRIM(INDEX('Pegar docentes'!$A$1:$BZ$1001,794,D$2)&amp;""),""))</f>
        <v/>
      </c>
      <c r="E795">
        <f>IF(E$2=0,"",IFERROR(TRIM(INDEX('Pegar docentes'!$A$1:$BZ$1001,794,E$2)&amp;""),""))</f>
        <v/>
      </c>
      <c r="F795">
        <f>IF(F$2=0,"",IFERROR(TRIM(INDEX('Pegar docentes'!$A$1:$BZ$1001,794,F$2)&amp;""),""))</f>
        <v/>
      </c>
      <c r="G795">
        <f>IF(G$2=0,"",IFERROR(TRIM(INDEX('Pegar docentes'!$A$1:$BZ$1001,794,G$2)&amp;""),""))</f>
        <v/>
      </c>
      <c r="H795">
        <f>IF(H$2=0,"",IFERROR(TRIM(INDEX('Pegar docentes'!$A$1:$BZ$1001,794,H$2)&amp;""),""))</f>
        <v/>
      </c>
      <c r="I795">
        <f>IF(I$2=0,"",IFERROR(TRIM(INDEX('Pegar docentes'!$A$1:$BZ$1001,794,I$2)&amp;""),""))</f>
        <v/>
      </c>
      <c r="J795">
        <f>IF(J$2=0,"",IFERROR(TRIM(INDEX('Pegar docentes'!$A$1:$BZ$1001,794,J$2)&amp;""),""))</f>
        <v/>
      </c>
      <c r="K795">
        <f>IF(K$2=0,"",IFERROR(TRIM(INDEX('Pegar docentes'!$A$1:$BZ$1001,794,K$2)&amp;""),""))</f>
        <v/>
      </c>
      <c r="L795">
        <f>IF(L$2=0,"",IFERROR(TRIM(INDEX('Pegar docentes'!$A$1:$BZ$1001,794,L$2)&amp;""),""))</f>
        <v/>
      </c>
      <c r="M795">
        <f>IF(M$2=0,"",IFERROR(TRIM(INDEX('Pegar docentes'!$A$1:$BZ$1001,794,M$2)&amp;""),""))</f>
        <v/>
      </c>
      <c r="N795">
        <f>IF(N$2=0,"",IFERROR(TRIM(INDEX('Pegar docentes'!$A$1:$BZ$1001,794,N$2)&amp;""),""))</f>
        <v/>
      </c>
      <c r="O795">
        <f>IF(O$2=0,"",IFERROR(TRIM(INDEX('Pegar docentes'!$A$1:$BZ$1001,794,O$2)&amp;""),""))</f>
        <v/>
      </c>
      <c r="P795">
        <f>IF(P$2=0,"",IFERROR(TRIM(INDEX('Pegar docentes'!$A$1:$BZ$1001,794,P$2)&amp;""),""))</f>
        <v/>
      </c>
      <c r="Q795" s="25">
        <f>IF(OR(D795&lt;&gt;"",H795&lt;&gt;""),1,"")</f>
        <v/>
      </c>
      <c r="R795" s="25">
        <f>IF(Q795=1,IF(ISNUMBER(FIND("#"&amp;MID(D795,1,1)&amp;"#","#0#1#2#3#4#5#6#7#8#9#")),IF(ISNUMBER(FIND("#"&amp;MID(D795,2,1)&amp;"#","#0#1#2#3#4#5#6#7#8#9#")),IF(AND(VALUE(LEFT(D795,2))&gt;=1,VALUE(LEFT(D795,2))&lt;=5),VALUE(LEFT(D795,2)),""),IF(AND(VALUE(LEFT(D795,1))&gt;=1,VALUE(LEFT(D795,1))&lt;=5),VALUE(LEFT(D795,1)),"")),""),"")</f>
        <v/>
      </c>
      <c r="S795" s="25">
        <f>IF(AND(Q795=1,E795&lt;&gt;""),SUBSTITUTE(SUBSTITUTE(SUBSTITUTE(SUBSTITUTE(SUBSTITUTE(SUBSTITUTE(SUBSTITUTE(SUBSTITUTE(SUBSTITUTE(SUBSTITUTE(SUBSTITUTE(SUBSTITUTE(LOWER(TRIM(E795)),"á","a"),"é","e"),"í","i"),"ó","o"),"ú","u"),"ü","u"),"ñ","n"),"à","a"),"è","e"),"ì","i"),"ò","o"),"ù","u"),"")</f>
        <v/>
      </c>
      <c r="T795" s="25">
        <f>IF(AND(Q795=1,G795&lt;&gt;""),SUBSTITUTE(SUBSTITUTE(SUBSTITUTE(SUBSTITUTE(SUBSTITUTE(SUBSTITUTE(SUBSTITUTE(SUBSTITUTE(SUBSTITUTE(SUBSTITUTE(SUBSTITUTE(SUBSTITUTE(LOWER(TRIM(G795)),"á","a"),"é","e"),"í","i"),"ó","o"),"ú","u"),"ü","u"),"ñ","n"),"à","a"),"è","e"),"ì","i"),"ò","o"),"ù","u"),"")</f>
        <v/>
      </c>
      <c r="U795" s="25">
        <f>IF(AND(Q795=1,H795&lt;&gt;""),SUBSTITUTE(SUBSTITUTE(SUBSTITUTE(SUBSTITUTE(SUBSTITUTE(SUBSTITUTE(SUBSTITUTE(SUBSTITUTE(SUBSTITUTE(SUBSTITUTE(SUBSTITUTE(SUBSTITUTE(LOWER(TRIM(H795)),"á","a"),"é","e"),"í","i"),"ó","o"),"ú","u"),"ü","u"),"ñ","n"),"à","a"),"è","e"),"ì","i"),"ò","o"),"ù","u"),"")</f>
        <v/>
      </c>
      <c r="V795" s="25">
        <f>IF(AND(Q795=1,L795&lt;&gt;""),SUBSTITUTE(SUBSTITUTE(SUBSTITUTE(SUBSTITUTE(SUBSTITUTE(SUBSTITUTE(SUBSTITUTE(SUBSTITUTE(SUBSTITUTE(SUBSTITUTE(SUBSTITUTE(SUBSTITUTE(LOWER(TRIM(L795)),"á","a"),"é","e"),"í","i"),"ó","o"),"ú","u"),"ü","u"),"ñ","n"),"à","a"),"è","e"),"ì","i"),"ò","o"),"ù","u"),"")</f>
        <v/>
      </c>
      <c r="W795" s="25">
        <f>IF(AND(Q795=1,I795&lt;&gt;""),SUBSTITUTE(SUBSTITUTE(SUBSTITUTE(SUBSTITUTE(SUBSTITUTE(SUBSTITUTE(SUBSTITUTE(SUBSTITUTE(SUBSTITUTE(SUBSTITUTE(SUBSTITUTE(SUBSTITUTE(LOWER(TRIM(I795)),"á","a"),"é","e"),"í","i"),"ó","o"),"ú","u"),"ü","u"),"ñ","n"),"à","a"),"è","e"),"ì","i"),"ò","o"),"ù","u"),"")</f>
        <v/>
      </c>
      <c r="X795" s="25">
        <f>IF(U795="","",IF(OR(U795="si, en la proxima tarea",U795="si, con cambios"),1,0))</f>
        <v/>
      </c>
      <c r="Y795" s="25">
        <f>IF(AND(Q795=1,A795&lt;&gt;""),IF(IFERROR(COUNTIFS(A$3:A795,"="&amp;SUBSTITUTE(SUBSTITUTE(SUBSTITUTE(A795,"~","~~"),"*","~*"),"?","~?"),Q$3:Q795,1),0)=1,MAX(Y$2:Y794)+1,""),"")</f>
        <v/>
      </c>
      <c r="Z795" s="25">
        <f>IF(Y795="","",COUNTIFS($A$3:$A$1002,"="&amp;SUBSTITUTE(SUBSTITUTE(SUBSTITUTE(A795,"~","~~"),"*","~*"),"?","~?"),$Q$3:$Q$1002,1)*10000-Y795)</f>
        <v/>
      </c>
    </row>
    <row r="796">
      <c r="A796">
        <f>IF(A$2=0,"",IFERROR(TRIM(INDEX('Pegar docentes'!$A$1:$BZ$1001,795,A$2)&amp;""),""))</f>
        <v/>
      </c>
      <c r="B796">
        <f>IF(B$2=0,"",IFERROR(TRIM(INDEX('Pegar docentes'!$A$1:$BZ$1001,795,B$2)&amp;""),""))</f>
        <v/>
      </c>
      <c r="C796">
        <f>IF(C$2=0,"",IFERROR(TRIM(INDEX('Pegar docentes'!$A$1:$BZ$1001,795,C$2)&amp;""),""))</f>
        <v/>
      </c>
      <c r="D796">
        <f>IF(D$2=0,"",IFERROR(TRIM(INDEX('Pegar docentes'!$A$1:$BZ$1001,795,D$2)&amp;""),""))</f>
        <v/>
      </c>
      <c r="E796">
        <f>IF(E$2=0,"",IFERROR(TRIM(INDEX('Pegar docentes'!$A$1:$BZ$1001,795,E$2)&amp;""),""))</f>
        <v/>
      </c>
      <c r="F796">
        <f>IF(F$2=0,"",IFERROR(TRIM(INDEX('Pegar docentes'!$A$1:$BZ$1001,795,F$2)&amp;""),""))</f>
        <v/>
      </c>
      <c r="G796">
        <f>IF(G$2=0,"",IFERROR(TRIM(INDEX('Pegar docentes'!$A$1:$BZ$1001,795,G$2)&amp;""),""))</f>
        <v/>
      </c>
      <c r="H796">
        <f>IF(H$2=0,"",IFERROR(TRIM(INDEX('Pegar docentes'!$A$1:$BZ$1001,795,H$2)&amp;""),""))</f>
        <v/>
      </c>
      <c r="I796">
        <f>IF(I$2=0,"",IFERROR(TRIM(INDEX('Pegar docentes'!$A$1:$BZ$1001,795,I$2)&amp;""),""))</f>
        <v/>
      </c>
      <c r="J796">
        <f>IF(J$2=0,"",IFERROR(TRIM(INDEX('Pegar docentes'!$A$1:$BZ$1001,795,J$2)&amp;""),""))</f>
        <v/>
      </c>
      <c r="K796">
        <f>IF(K$2=0,"",IFERROR(TRIM(INDEX('Pegar docentes'!$A$1:$BZ$1001,795,K$2)&amp;""),""))</f>
        <v/>
      </c>
      <c r="L796">
        <f>IF(L$2=0,"",IFERROR(TRIM(INDEX('Pegar docentes'!$A$1:$BZ$1001,795,L$2)&amp;""),""))</f>
        <v/>
      </c>
      <c r="M796">
        <f>IF(M$2=0,"",IFERROR(TRIM(INDEX('Pegar docentes'!$A$1:$BZ$1001,795,M$2)&amp;""),""))</f>
        <v/>
      </c>
      <c r="N796">
        <f>IF(N$2=0,"",IFERROR(TRIM(INDEX('Pegar docentes'!$A$1:$BZ$1001,795,N$2)&amp;""),""))</f>
        <v/>
      </c>
      <c r="O796">
        <f>IF(O$2=0,"",IFERROR(TRIM(INDEX('Pegar docentes'!$A$1:$BZ$1001,795,O$2)&amp;""),""))</f>
        <v/>
      </c>
      <c r="P796">
        <f>IF(P$2=0,"",IFERROR(TRIM(INDEX('Pegar docentes'!$A$1:$BZ$1001,795,P$2)&amp;""),""))</f>
        <v/>
      </c>
      <c r="Q796" s="25">
        <f>IF(OR(D796&lt;&gt;"",H796&lt;&gt;""),1,"")</f>
        <v/>
      </c>
      <c r="R796" s="25">
        <f>IF(Q796=1,IF(ISNUMBER(FIND("#"&amp;MID(D796,1,1)&amp;"#","#0#1#2#3#4#5#6#7#8#9#")),IF(ISNUMBER(FIND("#"&amp;MID(D796,2,1)&amp;"#","#0#1#2#3#4#5#6#7#8#9#")),IF(AND(VALUE(LEFT(D796,2))&gt;=1,VALUE(LEFT(D796,2))&lt;=5),VALUE(LEFT(D796,2)),""),IF(AND(VALUE(LEFT(D796,1))&gt;=1,VALUE(LEFT(D796,1))&lt;=5),VALUE(LEFT(D796,1)),"")),""),"")</f>
        <v/>
      </c>
      <c r="S796" s="25">
        <f>IF(AND(Q796=1,E796&lt;&gt;""),SUBSTITUTE(SUBSTITUTE(SUBSTITUTE(SUBSTITUTE(SUBSTITUTE(SUBSTITUTE(SUBSTITUTE(SUBSTITUTE(SUBSTITUTE(SUBSTITUTE(SUBSTITUTE(SUBSTITUTE(LOWER(TRIM(E796)),"á","a"),"é","e"),"í","i"),"ó","o"),"ú","u"),"ü","u"),"ñ","n"),"à","a"),"è","e"),"ì","i"),"ò","o"),"ù","u"),"")</f>
        <v/>
      </c>
      <c r="T796" s="25">
        <f>IF(AND(Q796=1,G796&lt;&gt;""),SUBSTITUTE(SUBSTITUTE(SUBSTITUTE(SUBSTITUTE(SUBSTITUTE(SUBSTITUTE(SUBSTITUTE(SUBSTITUTE(SUBSTITUTE(SUBSTITUTE(SUBSTITUTE(SUBSTITUTE(LOWER(TRIM(G796)),"á","a"),"é","e"),"í","i"),"ó","o"),"ú","u"),"ü","u"),"ñ","n"),"à","a"),"è","e"),"ì","i"),"ò","o"),"ù","u"),"")</f>
        <v/>
      </c>
      <c r="U796" s="25">
        <f>IF(AND(Q796=1,H796&lt;&gt;""),SUBSTITUTE(SUBSTITUTE(SUBSTITUTE(SUBSTITUTE(SUBSTITUTE(SUBSTITUTE(SUBSTITUTE(SUBSTITUTE(SUBSTITUTE(SUBSTITUTE(SUBSTITUTE(SUBSTITUTE(LOWER(TRIM(H796)),"á","a"),"é","e"),"í","i"),"ó","o"),"ú","u"),"ü","u"),"ñ","n"),"à","a"),"è","e"),"ì","i"),"ò","o"),"ù","u"),"")</f>
        <v/>
      </c>
      <c r="V796" s="25">
        <f>IF(AND(Q796=1,L796&lt;&gt;""),SUBSTITUTE(SUBSTITUTE(SUBSTITUTE(SUBSTITUTE(SUBSTITUTE(SUBSTITUTE(SUBSTITUTE(SUBSTITUTE(SUBSTITUTE(SUBSTITUTE(SUBSTITUTE(SUBSTITUTE(LOWER(TRIM(L796)),"á","a"),"é","e"),"í","i"),"ó","o"),"ú","u"),"ü","u"),"ñ","n"),"à","a"),"è","e"),"ì","i"),"ò","o"),"ù","u"),"")</f>
        <v/>
      </c>
      <c r="W796" s="25">
        <f>IF(AND(Q796=1,I796&lt;&gt;""),SUBSTITUTE(SUBSTITUTE(SUBSTITUTE(SUBSTITUTE(SUBSTITUTE(SUBSTITUTE(SUBSTITUTE(SUBSTITUTE(SUBSTITUTE(SUBSTITUTE(SUBSTITUTE(SUBSTITUTE(LOWER(TRIM(I796)),"á","a"),"é","e"),"í","i"),"ó","o"),"ú","u"),"ü","u"),"ñ","n"),"à","a"),"è","e"),"ì","i"),"ò","o"),"ù","u"),"")</f>
        <v/>
      </c>
      <c r="X796" s="25">
        <f>IF(U796="","",IF(OR(U796="si, en la proxima tarea",U796="si, con cambios"),1,0))</f>
        <v/>
      </c>
      <c r="Y796" s="25">
        <f>IF(AND(Q796=1,A796&lt;&gt;""),IF(IFERROR(COUNTIFS(A$3:A796,"="&amp;SUBSTITUTE(SUBSTITUTE(SUBSTITUTE(A796,"~","~~"),"*","~*"),"?","~?"),Q$3:Q796,1),0)=1,MAX(Y$2:Y795)+1,""),"")</f>
        <v/>
      </c>
      <c r="Z796" s="25">
        <f>IF(Y796="","",COUNTIFS($A$3:$A$1002,"="&amp;SUBSTITUTE(SUBSTITUTE(SUBSTITUTE(A796,"~","~~"),"*","~*"),"?","~?"),$Q$3:$Q$1002,1)*10000-Y796)</f>
        <v/>
      </c>
    </row>
    <row r="797">
      <c r="A797">
        <f>IF(A$2=0,"",IFERROR(TRIM(INDEX('Pegar docentes'!$A$1:$BZ$1001,796,A$2)&amp;""),""))</f>
        <v/>
      </c>
      <c r="B797">
        <f>IF(B$2=0,"",IFERROR(TRIM(INDEX('Pegar docentes'!$A$1:$BZ$1001,796,B$2)&amp;""),""))</f>
        <v/>
      </c>
      <c r="C797">
        <f>IF(C$2=0,"",IFERROR(TRIM(INDEX('Pegar docentes'!$A$1:$BZ$1001,796,C$2)&amp;""),""))</f>
        <v/>
      </c>
      <c r="D797">
        <f>IF(D$2=0,"",IFERROR(TRIM(INDEX('Pegar docentes'!$A$1:$BZ$1001,796,D$2)&amp;""),""))</f>
        <v/>
      </c>
      <c r="E797">
        <f>IF(E$2=0,"",IFERROR(TRIM(INDEX('Pegar docentes'!$A$1:$BZ$1001,796,E$2)&amp;""),""))</f>
        <v/>
      </c>
      <c r="F797">
        <f>IF(F$2=0,"",IFERROR(TRIM(INDEX('Pegar docentes'!$A$1:$BZ$1001,796,F$2)&amp;""),""))</f>
        <v/>
      </c>
      <c r="G797">
        <f>IF(G$2=0,"",IFERROR(TRIM(INDEX('Pegar docentes'!$A$1:$BZ$1001,796,G$2)&amp;""),""))</f>
        <v/>
      </c>
      <c r="H797">
        <f>IF(H$2=0,"",IFERROR(TRIM(INDEX('Pegar docentes'!$A$1:$BZ$1001,796,H$2)&amp;""),""))</f>
        <v/>
      </c>
      <c r="I797">
        <f>IF(I$2=0,"",IFERROR(TRIM(INDEX('Pegar docentes'!$A$1:$BZ$1001,796,I$2)&amp;""),""))</f>
        <v/>
      </c>
      <c r="J797">
        <f>IF(J$2=0,"",IFERROR(TRIM(INDEX('Pegar docentes'!$A$1:$BZ$1001,796,J$2)&amp;""),""))</f>
        <v/>
      </c>
      <c r="K797">
        <f>IF(K$2=0,"",IFERROR(TRIM(INDEX('Pegar docentes'!$A$1:$BZ$1001,796,K$2)&amp;""),""))</f>
        <v/>
      </c>
      <c r="L797">
        <f>IF(L$2=0,"",IFERROR(TRIM(INDEX('Pegar docentes'!$A$1:$BZ$1001,796,L$2)&amp;""),""))</f>
        <v/>
      </c>
      <c r="M797">
        <f>IF(M$2=0,"",IFERROR(TRIM(INDEX('Pegar docentes'!$A$1:$BZ$1001,796,M$2)&amp;""),""))</f>
        <v/>
      </c>
      <c r="N797">
        <f>IF(N$2=0,"",IFERROR(TRIM(INDEX('Pegar docentes'!$A$1:$BZ$1001,796,N$2)&amp;""),""))</f>
        <v/>
      </c>
      <c r="O797">
        <f>IF(O$2=0,"",IFERROR(TRIM(INDEX('Pegar docentes'!$A$1:$BZ$1001,796,O$2)&amp;""),""))</f>
        <v/>
      </c>
      <c r="P797">
        <f>IF(P$2=0,"",IFERROR(TRIM(INDEX('Pegar docentes'!$A$1:$BZ$1001,796,P$2)&amp;""),""))</f>
        <v/>
      </c>
      <c r="Q797" s="25">
        <f>IF(OR(D797&lt;&gt;"",H797&lt;&gt;""),1,"")</f>
        <v/>
      </c>
      <c r="R797" s="25">
        <f>IF(Q797=1,IF(ISNUMBER(FIND("#"&amp;MID(D797,1,1)&amp;"#","#0#1#2#3#4#5#6#7#8#9#")),IF(ISNUMBER(FIND("#"&amp;MID(D797,2,1)&amp;"#","#0#1#2#3#4#5#6#7#8#9#")),IF(AND(VALUE(LEFT(D797,2))&gt;=1,VALUE(LEFT(D797,2))&lt;=5),VALUE(LEFT(D797,2)),""),IF(AND(VALUE(LEFT(D797,1))&gt;=1,VALUE(LEFT(D797,1))&lt;=5),VALUE(LEFT(D797,1)),"")),""),"")</f>
        <v/>
      </c>
      <c r="S797" s="25">
        <f>IF(AND(Q797=1,E797&lt;&gt;""),SUBSTITUTE(SUBSTITUTE(SUBSTITUTE(SUBSTITUTE(SUBSTITUTE(SUBSTITUTE(SUBSTITUTE(SUBSTITUTE(SUBSTITUTE(SUBSTITUTE(SUBSTITUTE(SUBSTITUTE(LOWER(TRIM(E797)),"á","a"),"é","e"),"í","i"),"ó","o"),"ú","u"),"ü","u"),"ñ","n"),"à","a"),"è","e"),"ì","i"),"ò","o"),"ù","u"),"")</f>
        <v/>
      </c>
      <c r="T797" s="25">
        <f>IF(AND(Q797=1,G797&lt;&gt;""),SUBSTITUTE(SUBSTITUTE(SUBSTITUTE(SUBSTITUTE(SUBSTITUTE(SUBSTITUTE(SUBSTITUTE(SUBSTITUTE(SUBSTITUTE(SUBSTITUTE(SUBSTITUTE(SUBSTITUTE(LOWER(TRIM(G797)),"á","a"),"é","e"),"í","i"),"ó","o"),"ú","u"),"ü","u"),"ñ","n"),"à","a"),"è","e"),"ì","i"),"ò","o"),"ù","u"),"")</f>
        <v/>
      </c>
      <c r="U797" s="25">
        <f>IF(AND(Q797=1,H797&lt;&gt;""),SUBSTITUTE(SUBSTITUTE(SUBSTITUTE(SUBSTITUTE(SUBSTITUTE(SUBSTITUTE(SUBSTITUTE(SUBSTITUTE(SUBSTITUTE(SUBSTITUTE(SUBSTITUTE(SUBSTITUTE(LOWER(TRIM(H797)),"á","a"),"é","e"),"í","i"),"ó","o"),"ú","u"),"ü","u"),"ñ","n"),"à","a"),"è","e"),"ì","i"),"ò","o"),"ù","u"),"")</f>
        <v/>
      </c>
      <c r="V797" s="25">
        <f>IF(AND(Q797=1,L797&lt;&gt;""),SUBSTITUTE(SUBSTITUTE(SUBSTITUTE(SUBSTITUTE(SUBSTITUTE(SUBSTITUTE(SUBSTITUTE(SUBSTITUTE(SUBSTITUTE(SUBSTITUTE(SUBSTITUTE(SUBSTITUTE(LOWER(TRIM(L797)),"á","a"),"é","e"),"í","i"),"ó","o"),"ú","u"),"ü","u"),"ñ","n"),"à","a"),"è","e"),"ì","i"),"ò","o"),"ù","u"),"")</f>
        <v/>
      </c>
      <c r="W797" s="25">
        <f>IF(AND(Q797=1,I797&lt;&gt;""),SUBSTITUTE(SUBSTITUTE(SUBSTITUTE(SUBSTITUTE(SUBSTITUTE(SUBSTITUTE(SUBSTITUTE(SUBSTITUTE(SUBSTITUTE(SUBSTITUTE(SUBSTITUTE(SUBSTITUTE(LOWER(TRIM(I797)),"á","a"),"é","e"),"í","i"),"ó","o"),"ú","u"),"ü","u"),"ñ","n"),"à","a"),"è","e"),"ì","i"),"ò","o"),"ù","u"),"")</f>
        <v/>
      </c>
      <c r="X797" s="25">
        <f>IF(U797="","",IF(OR(U797="si, en la proxima tarea",U797="si, con cambios"),1,0))</f>
        <v/>
      </c>
      <c r="Y797" s="25">
        <f>IF(AND(Q797=1,A797&lt;&gt;""),IF(IFERROR(COUNTIFS(A$3:A797,"="&amp;SUBSTITUTE(SUBSTITUTE(SUBSTITUTE(A797,"~","~~"),"*","~*"),"?","~?"),Q$3:Q797,1),0)=1,MAX(Y$2:Y796)+1,""),"")</f>
        <v/>
      </c>
      <c r="Z797" s="25">
        <f>IF(Y797="","",COUNTIFS($A$3:$A$1002,"="&amp;SUBSTITUTE(SUBSTITUTE(SUBSTITUTE(A797,"~","~~"),"*","~*"),"?","~?"),$Q$3:$Q$1002,1)*10000-Y797)</f>
        <v/>
      </c>
    </row>
    <row r="798">
      <c r="A798">
        <f>IF(A$2=0,"",IFERROR(TRIM(INDEX('Pegar docentes'!$A$1:$BZ$1001,797,A$2)&amp;""),""))</f>
        <v/>
      </c>
      <c r="B798">
        <f>IF(B$2=0,"",IFERROR(TRIM(INDEX('Pegar docentes'!$A$1:$BZ$1001,797,B$2)&amp;""),""))</f>
        <v/>
      </c>
      <c r="C798">
        <f>IF(C$2=0,"",IFERROR(TRIM(INDEX('Pegar docentes'!$A$1:$BZ$1001,797,C$2)&amp;""),""))</f>
        <v/>
      </c>
      <c r="D798">
        <f>IF(D$2=0,"",IFERROR(TRIM(INDEX('Pegar docentes'!$A$1:$BZ$1001,797,D$2)&amp;""),""))</f>
        <v/>
      </c>
      <c r="E798">
        <f>IF(E$2=0,"",IFERROR(TRIM(INDEX('Pegar docentes'!$A$1:$BZ$1001,797,E$2)&amp;""),""))</f>
        <v/>
      </c>
      <c r="F798">
        <f>IF(F$2=0,"",IFERROR(TRIM(INDEX('Pegar docentes'!$A$1:$BZ$1001,797,F$2)&amp;""),""))</f>
        <v/>
      </c>
      <c r="G798">
        <f>IF(G$2=0,"",IFERROR(TRIM(INDEX('Pegar docentes'!$A$1:$BZ$1001,797,G$2)&amp;""),""))</f>
        <v/>
      </c>
      <c r="H798">
        <f>IF(H$2=0,"",IFERROR(TRIM(INDEX('Pegar docentes'!$A$1:$BZ$1001,797,H$2)&amp;""),""))</f>
        <v/>
      </c>
      <c r="I798">
        <f>IF(I$2=0,"",IFERROR(TRIM(INDEX('Pegar docentes'!$A$1:$BZ$1001,797,I$2)&amp;""),""))</f>
        <v/>
      </c>
      <c r="J798">
        <f>IF(J$2=0,"",IFERROR(TRIM(INDEX('Pegar docentes'!$A$1:$BZ$1001,797,J$2)&amp;""),""))</f>
        <v/>
      </c>
      <c r="K798">
        <f>IF(K$2=0,"",IFERROR(TRIM(INDEX('Pegar docentes'!$A$1:$BZ$1001,797,K$2)&amp;""),""))</f>
        <v/>
      </c>
      <c r="L798">
        <f>IF(L$2=0,"",IFERROR(TRIM(INDEX('Pegar docentes'!$A$1:$BZ$1001,797,L$2)&amp;""),""))</f>
        <v/>
      </c>
      <c r="M798">
        <f>IF(M$2=0,"",IFERROR(TRIM(INDEX('Pegar docentes'!$A$1:$BZ$1001,797,M$2)&amp;""),""))</f>
        <v/>
      </c>
      <c r="N798">
        <f>IF(N$2=0,"",IFERROR(TRIM(INDEX('Pegar docentes'!$A$1:$BZ$1001,797,N$2)&amp;""),""))</f>
        <v/>
      </c>
      <c r="O798">
        <f>IF(O$2=0,"",IFERROR(TRIM(INDEX('Pegar docentes'!$A$1:$BZ$1001,797,O$2)&amp;""),""))</f>
        <v/>
      </c>
      <c r="P798">
        <f>IF(P$2=0,"",IFERROR(TRIM(INDEX('Pegar docentes'!$A$1:$BZ$1001,797,P$2)&amp;""),""))</f>
        <v/>
      </c>
      <c r="Q798" s="25">
        <f>IF(OR(D798&lt;&gt;"",H798&lt;&gt;""),1,"")</f>
        <v/>
      </c>
      <c r="R798" s="25">
        <f>IF(Q798=1,IF(ISNUMBER(FIND("#"&amp;MID(D798,1,1)&amp;"#","#0#1#2#3#4#5#6#7#8#9#")),IF(ISNUMBER(FIND("#"&amp;MID(D798,2,1)&amp;"#","#0#1#2#3#4#5#6#7#8#9#")),IF(AND(VALUE(LEFT(D798,2))&gt;=1,VALUE(LEFT(D798,2))&lt;=5),VALUE(LEFT(D798,2)),""),IF(AND(VALUE(LEFT(D798,1))&gt;=1,VALUE(LEFT(D798,1))&lt;=5),VALUE(LEFT(D798,1)),"")),""),"")</f>
        <v/>
      </c>
      <c r="S798" s="25">
        <f>IF(AND(Q798=1,E798&lt;&gt;""),SUBSTITUTE(SUBSTITUTE(SUBSTITUTE(SUBSTITUTE(SUBSTITUTE(SUBSTITUTE(SUBSTITUTE(SUBSTITUTE(SUBSTITUTE(SUBSTITUTE(SUBSTITUTE(SUBSTITUTE(LOWER(TRIM(E798)),"á","a"),"é","e"),"í","i"),"ó","o"),"ú","u"),"ü","u"),"ñ","n"),"à","a"),"è","e"),"ì","i"),"ò","o"),"ù","u"),"")</f>
        <v/>
      </c>
      <c r="T798" s="25">
        <f>IF(AND(Q798=1,G798&lt;&gt;""),SUBSTITUTE(SUBSTITUTE(SUBSTITUTE(SUBSTITUTE(SUBSTITUTE(SUBSTITUTE(SUBSTITUTE(SUBSTITUTE(SUBSTITUTE(SUBSTITUTE(SUBSTITUTE(SUBSTITUTE(LOWER(TRIM(G798)),"á","a"),"é","e"),"í","i"),"ó","o"),"ú","u"),"ü","u"),"ñ","n"),"à","a"),"è","e"),"ì","i"),"ò","o"),"ù","u"),"")</f>
        <v/>
      </c>
      <c r="U798" s="25">
        <f>IF(AND(Q798=1,H798&lt;&gt;""),SUBSTITUTE(SUBSTITUTE(SUBSTITUTE(SUBSTITUTE(SUBSTITUTE(SUBSTITUTE(SUBSTITUTE(SUBSTITUTE(SUBSTITUTE(SUBSTITUTE(SUBSTITUTE(SUBSTITUTE(LOWER(TRIM(H798)),"á","a"),"é","e"),"í","i"),"ó","o"),"ú","u"),"ü","u"),"ñ","n"),"à","a"),"è","e"),"ì","i"),"ò","o"),"ù","u"),"")</f>
        <v/>
      </c>
      <c r="V798" s="25">
        <f>IF(AND(Q798=1,L798&lt;&gt;""),SUBSTITUTE(SUBSTITUTE(SUBSTITUTE(SUBSTITUTE(SUBSTITUTE(SUBSTITUTE(SUBSTITUTE(SUBSTITUTE(SUBSTITUTE(SUBSTITUTE(SUBSTITUTE(SUBSTITUTE(LOWER(TRIM(L798)),"á","a"),"é","e"),"í","i"),"ó","o"),"ú","u"),"ü","u"),"ñ","n"),"à","a"),"è","e"),"ì","i"),"ò","o"),"ù","u"),"")</f>
        <v/>
      </c>
      <c r="W798" s="25">
        <f>IF(AND(Q798=1,I798&lt;&gt;""),SUBSTITUTE(SUBSTITUTE(SUBSTITUTE(SUBSTITUTE(SUBSTITUTE(SUBSTITUTE(SUBSTITUTE(SUBSTITUTE(SUBSTITUTE(SUBSTITUTE(SUBSTITUTE(SUBSTITUTE(LOWER(TRIM(I798)),"á","a"),"é","e"),"í","i"),"ó","o"),"ú","u"),"ü","u"),"ñ","n"),"à","a"),"è","e"),"ì","i"),"ò","o"),"ù","u"),"")</f>
        <v/>
      </c>
      <c r="X798" s="25">
        <f>IF(U798="","",IF(OR(U798="si, en la proxima tarea",U798="si, con cambios"),1,0))</f>
        <v/>
      </c>
      <c r="Y798" s="25">
        <f>IF(AND(Q798=1,A798&lt;&gt;""),IF(IFERROR(COUNTIFS(A$3:A798,"="&amp;SUBSTITUTE(SUBSTITUTE(SUBSTITUTE(A798,"~","~~"),"*","~*"),"?","~?"),Q$3:Q798,1),0)=1,MAX(Y$2:Y797)+1,""),"")</f>
        <v/>
      </c>
      <c r="Z798" s="25">
        <f>IF(Y798="","",COUNTIFS($A$3:$A$1002,"="&amp;SUBSTITUTE(SUBSTITUTE(SUBSTITUTE(A798,"~","~~"),"*","~*"),"?","~?"),$Q$3:$Q$1002,1)*10000-Y798)</f>
        <v/>
      </c>
    </row>
    <row r="799">
      <c r="A799">
        <f>IF(A$2=0,"",IFERROR(TRIM(INDEX('Pegar docentes'!$A$1:$BZ$1001,798,A$2)&amp;""),""))</f>
        <v/>
      </c>
      <c r="B799">
        <f>IF(B$2=0,"",IFERROR(TRIM(INDEX('Pegar docentes'!$A$1:$BZ$1001,798,B$2)&amp;""),""))</f>
        <v/>
      </c>
      <c r="C799">
        <f>IF(C$2=0,"",IFERROR(TRIM(INDEX('Pegar docentes'!$A$1:$BZ$1001,798,C$2)&amp;""),""))</f>
        <v/>
      </c>
      <c r="D799">
        <f>IF(D$2=0,"",IFERROR(TRIM(INDEX('Pegar docentes'!$A$1:$BZ$1001,798,D$2)&amp;""),""))</f>
        <v/>
      </c>
      <c r="E799">
        <f>IF(E$2=0,"",IFERROR(TRIM(INDEX('Pegar docentes'!$A$1:$BZ$1001,798,E$2)&amp;""),""))</f>
        <v/>
      </c>
      <c r="F799">
        <f>IF(F$2=0,"",IFERROR(TRIM(INDEX('Pegar docentes'!$A$1:$BZ$1001,798,F$2)&amp;""),""))</f>
        <v/>
      </c>
      <c r="G799">
        <f>IF(G$2=0,"",IFERROR(TRIM(INDEX('Pegar docentes'!$A$1:$BZ$1001,798,G$2)&amp;""),""))</f>
        <v/>
      </c>
      <c r="H799">
        <f>IF(H$2=0,"",IFERROR(TRIM(INDEX('Pegar docentes'!$A$1:$BZ$1001,798,H$2)&amp;""),""))</f>
        <v/>
      </c>
      <c r="I799">
        <f>IF(I$2=0,"",IFERROR(TRIM(INDEX('Pegar docentes'!$A$1:$BZ$1001,798,I$2)&amp;""),""))</f>
        <v/>
      </c>
      <c r="J799">
        <f>IF(J$2=0,"",IFERROR(TRIM(INDEX('Pegar docentes'!$A$1:$BZ$1001,798,J$2)&amp;""),""))</f>
        <v/>
      </c>
      <c r="K799">
        <f>IF(K$2=0,"",IFERROR(TRIM(INDEX('Pegar docentes'!$A$1:$BZ$1001,798,K$2)&amp;""),""))</f>
        <v/>
      </c>
      <c r="L799">
        <f>IF(L$2=0,"",IFERROR(TRIM(INDEX('Pegar docentes'!$A$1:$BZ$1001,798,L$2)&amp;""),""))</f>
        <v/>
      </c>
      <c r="M799">
        <f>IF(M$2=0,"",IFERROR(TRIM(INDEX('Pegar docentes'!$A$1:$BZ$1001,798,M$2)&amp;""),""))</f>
        <v/>
      </c>
      <c r="N799">
        <f>IF(N$2=0,"",IFERROR(TRIM(INDEX('Pegar docentes'!$A$1:$BZ$1001,798,N$2)&amp;""),""))</f>
        <v/>
      </c>
      <c r="O799">
        <f>IF(O$2=0,"",IFERROR(TRIM(INDEX('Pegar docentes'!$A$1:$BZ$1001,798,O$2)&amp;""),""))</f>
        <v/>
      </c>
      <c r="P799">
        <f>IF(P$2=0,"",IFERROR(TRIM(INDEX('Pegar docentes'!$A$1:$BZ$1001,798,P$2)&amp;""),""))</f>
        <v/>
      </c>
      <c r="Q799" s="25">
        <f>IF(OR(D799&lt;&gt;"",H799&lt;&gt;""),1,"")</f>
        <v/>
      </c>
      <c r="R799" s="25">
        <f>IF(Q799=1,IF(ISNUMBER(FIND("#"&amp;MID(D799,1,1)&amp;"#","#0#1#2#3#4#5#6#7#8#9#")),IF(ISNUMBER(FIND("#"&amp;MID(D799,2,1)&amp;"#","#0#1#2#3#4#5#6#7#8#9#")),IF(AND(VALUE(LEFT(D799,2))&gt;=1,VALUE(LEFT(D799,2))&lt;=5),VALUE(LEFT(D799,2)),""),IF(AND(VALUE(LEFT(D799,1))&gt;=1,VALUE(LEFT(D799,1))&lt;=5),VALUE(LEFT(D799,1)),"")),""),"")</f>
        <v/>
      </c>
      <c r="S799" s="25">
        <f>IF(AND(Q799=1,E799&lt;&gt;""),SUBSTITUTE(SUBSTITUTE(SUBSTITUTE(SUBSTITUTE(SUBSTITUTE(SUBSTITUTE(SUBSTITUTE(SUBSTITUTE(SUBSTITUTE(SUBSTITUTE(SUBSTITUTE(SUBSTITUTE(LOWER(TRIM(E799)),"á","a"),"é","e"),"í","i"),"ó","o"),"ú","u"),"ü","u"),"ñ","n"),"à","a"),"è","e"),"ì","i"),"ò","o"),"ù","u"),"")</f>
        <v/>
      </c>
      <c r="T799" s="25">
        <f>IF(AND(Q799=1,G799&lt;&gt;""),SUBSTITUTE(SUBSTITUTE(SUBSTITUTE(SUBSTITUTE(SUBSTITUTE(SUBSTITUTE(SUBSTITUTE(SUBSTITUTE(SUBSTITUTE(SUBSTITUTE(SUBSTITUTE(SUBSTITUTE(LOWER(TRIM(G799)),"á","a"),"é","e"),"í","i"),"ó","o"),"ú","u"),"ü","u"),"ñ","n"),"à","a"),"è","e"),"ì","i"),"ò","o"),"ù","u"),"")</f>
        <v/>
      </c>
      <c r="U799" s="25">
        <f>IF(AND(Q799=1,H799&lt;&gt;""),SUBSTITUTE(SUBSTITUTE(SUBSTITUTE(SUBSTITUTE(SUBSTITUTE(SUBSTITUTE(SUBSTITUTE(SUBSTITUTE(SUBSTITUTE(SUBSTITUTE(SUBSTITUTE(SUBSTITUTE(LOWER(TRIM(H799)),"á","a"),"é","e"),"í","i"),"ó","o"),"ú","u"),"ü","u"),"ñ","n"),"à","a"),"è","e"),"ì","i"),"ò","o"),"ù","u"),"")</f>
        <v/>
      </c>
      <c r="V799" s="25">
        <f>IF(AND(Q799=1,L799&lt;&gt;""),SUBSTITUTE(SUBSTITUTE(SUBSTITUTE(SUBSTITUTE(SUBSTITUTE(SUBSTITUTE(SUBSTITUTE(SUBSTITUTE(SUBSTITUTE(SUBSTITUTE(SUBSTITUTE(SUBSTITUTE(LOWER(TRIM(L799)),"á","a"),"é","e"),"í","i"),"ó","o"),"ú","u"),"ü","u"),"ñ","n"),"à","a"),"è","e"),"ì","i"),"ò","o"),"ù","u"),"")</f>
        <v/>
      </c>
      <c r="W799" s="25">
        <f>IF(AND(Q799=1,I799&lt;&gt;""),SUBSTITUTE(SUBSTITUTE(SUBSTITUTE(SUBSTITUTE(SUBSTITUTE(SUBSTITUTE(SUBSTITUTE(SUBSTITUTE(SUBSTITUTE(SUBSTITUTE(SUBSTITUTE(SUBSTITUTE(LOWER(TRIM(I799)),"á","a"),"é","e"),"í","i"),"ó","o"),"ú","u"),"ü","u"),"ñ","n"),"à","a"),"è","e"),"ì","i"),"ò","o"),"ù","u"),"")</f>
        <v/>
      </c>
      <c r="X799" s="25">
        <f>IF(U799="","",IF(OR(U799="si, en la proxima tarea",U799="si, con cambios"),1,0))</f>
        <v/>
      </c>
      <c r="Y799" s="25">
        <f>IF(AND(Q799=1,A799&lt;&gt;""),IF(IFERROR(COUNTIFS(A$3:A799,"="&amp;SUBSTITUTE(SUBSTITUTE(SUBSTITUTE(A799,"~","~~"),"*","~*"),"?","~?"),Q$3:Q799,1),0)=1,MAX(Y$2:Y798)+1,""),"")</f>
        <v/>
      </c>
      <c r="Z799" s="25">
        <f>IF(Y799="","",COUNTIFS($A$3:$A$1002,"="&amp;SUBSTITUTE(SUBSTITUTE(SUBSTITUTE(A799,"~","~~"),"*","~*"),"?","~?"),$Q$3:$Q$1002,1)*10000-Y799)</f>
        <v/>
      </c>
    </row>
    <row r="800">
      <c r="A800">
        <f>IF(A$2=0,"",IFERROR(TRIM(INDEX('Pegar docentes'!$A$1:$BZ$1001,799,A$2)&amp;""),""))</f>
        <v/>
      </c>
      <c r="B800">
        <f>IF(B$2=0,"",IFERROR(TRIM(INDEX('Pegar docentes'!$A$1:$BZ$1001,799,B$2)&amp;""),""))</f>
        <v/>
      </c>
      <c r="C800">
        <f>IF(C$2=0,"",IFERROR(TRIM(INDEX('Pegar docentes'!$A$1:$BZ$1001,799,C$2)&amp;""),""))</f>
        <v/>
      </c>
      <c r="D800">
        <f>IF(D$2=0,"",IFERROR(TRIM(INDEX('Pegar docentes'!$A$1:$BZ$1001,799,D$2)&amp;""),""))</f>
        <v/>
      </c>
      <c r="E800">
        <f>IF(E$2=0,"",IFERROR(TRIM(INDEX('Pegar docentes'!$A$1:$BZ$1001,799,E$2)&amp;""),""))</f>
        <v/>
      </c>
      <c r="F800">
        <f>IF(F$2=0,"",IFERROR(TRIM(INDEX('Pegar docentes'!$A$1:$BZ$1001,799,F$2)&amp;""),""))</f>
        <v/>
      </c>
      <c r="G800">
        <f>IF(G$2=0,"",IFERROR(TRIM(INDEX('Pegar docentes'!$A$1:$BZ$1001,799,G$2)&amp;""),""))</f>
        <v/>
      </c>
      <c r="H800">
        <f>IF(H$2=0,"",IFERROR(TRIM(INDEX('Pegar docentes'!$A$1:$BZ$1001,799,H$2)&amp;""),""))</f>
        <v/>
      </c>
      <c r="I800">
        <f>IF(I$2=0,"",IFERROR(TRIM(INDEX('Pegar docentes'!$A$1:$BZ$1001,799,I$2)&amp;""),""))</f>
        <v/>
      </c>
      <c r="J800">
        <f>IF(J$2=0,"",IFERROR(TRIM(INDEX('Pegar docentes'!$A$1:$BZ$1001,799,J$2)&amp;""),""))</f>
        <v/>
      </c>
      <c r="K800">
        <f>IF(K$2=0,"",IFERROR(TRIM(INDEX('Pegar docentes'!$A$1:$BZ$1001,799,K$2)&amp;""),""))</f>
        <v/>
      </c>
      <c r="L800">
        <f>IF(L$2=0,"",IFERROR(TRIM(INDEX('Pegar docentes'!$A$1:$BZ$1001,799,L$2)&amp;""),""))</f>
        <v/>
      </c>
      <c r="M800">
        <f>IF(M$2=0,"",IFERROR(TRIM(INDEX('Pegar docentes'!$A$1:$BZ$1001,799,M$2)&amp;""),""))</f>
        <v/>
      </c>
      <c r="N800">
        <f>IF(N$2=0,"",IFERROR(TRIM(INDEX('Pegar docentes'!$A$1:$BZ$1001,799,N$2)&amp;""),""))</f>
        <v/>
      </c>
      <c r="O800">
        <f>IF(O$2=0,"",IFERROR(TRIM(INDEX('Pegar docentes'!$A$1:$BZ$1001,799,O$2)&amp;""),""))</f>
        <v/>
      </c>
      <c r="P800">
        <f>IF(P$2=0,"",IFERROR(TRIM(INDEX('Pegar docentes'!$A$1:$BZ$1001,799,P$2)&amp;""),""))</f>
        <v/>
      </c>
      <c r="Q800" s="25">
        <f>IF(OR(D800&lt;&gt;"",H800&lt;&gt;""),1,"")</f>
        <v/>
      </c>
      <c r="R800" s="25">
        <f>IF(Q800=1,IF(ISNUMBER(FIND("#"&amp;MID(D800,1,1)&amp;"#","#0#1#2#3#4#5#6#7#8#9#")),IF(ISNUMBER(FIND("#"&amp;MID(D800,2,1)&amp;"#","#0#1#2#3#4#5#6#7#8#9#")),IF(AND(VALUE(LEFT(D800,2))&gt;=1,VALUE(LEFT(D800,2))&lt;=5),VALUE(LEFT(D800,2)),""),IF(AND(VALUE(LEFT(D800,1))&gt;=1,VALUE(LEFT(D800,1))&lt;=5),VALUE(LEFT(D800,1)),"")),""),"")</f>
        <v/>
      </c>
      <c r="S800" s="25">
        <f>IF(AND(Q800=1,E800&lt;&gt;""),SUBSTITUTE(SUBSTITUTE(SUBSTITUTE(SUBSTITUTE(SUBSTITUTE(SUBSTITUTE(SUBSTITUTE(SUBSTITUTE(SUBSTITUTE(SUBSTITUTE(SUBSTITUTE(SUBSTITUTE(LOWER(TRIM(E800)),"á","a"),"é","e"),"í","i"),"ó","o"),"ú","u"),"ü","u"),"ñ","n"),"à","a"),"è","e"),"ì","i"),"ò","o"),"ù","u"),"")</f>
        <v/>
      </c>
      <c r="T800" s="25">
        <f>IF(AND(Q800=1,G800&lt;&gt;""),SUBSTITUTE(SUBSTITUTE(SUBSTITUTE(SUBSTITUTE(SUBSTITUTE(SUBSTITUTE(SUBSTITUTE(SUBSTITUTE(SUBSTITUTE(SUBSTITUTE(SUBSTITUTE(SUBSTITUTE(LOWER(TRIM(G800)),"á","a"),"é","e"),"í","i"),"ó","o"),"ú","u"),"ü","u"),"ñ","n"),"à","a"),"è","e"),"ì","i"),"ò","o"),"ù","u"),"")</f>
        <v/>
      </c>
      <c r="U800" s="25">
        <f>IF(AND(Q800=1,H800&lt;&gt;""),SUBSTITUTE(SUBSTITUTE(SUBSTITUTE(SUBSTITUTE(SUBSTITUTE(SUBSTITUTE(SUBSTITUTE(SUBSTITUTE(SUBSTITUTE(SUBSTITUTE(SUBSTITUTE(SUBSTITUTE(LOWER(TRIM(H800)),"á","a"),"é","e"),"í","i"),"ó","o"),"ú","u"),"ü","u"),"ñ","n"),"à","a"),"è","e"),"ì","i"),"ò","o"),"ù","u"),"")</f>
        <v/>
      </c>
      <c r="V800" s="25">
        <f>IF(AND(Q800=1,L800&lt;&gt;""),SUBSTITUTE(SUBSTITUTE(SUBSTITUTE(SUBSTITUTE(SUBSTITUTE(SUBSTITUTE(SUBSTITUTE(SUBSTITUTE(SUBSTITUTE(SUBSTITUTE(SUBSTITUTE(SUBSTITUTE(LOWER(TRIM(L800)),"á","a"),"é","e"),"í","i"),"ó","o"),"ú","u"),"ü","u"),"ñ","n"),"à","a"),"è","e"),"ì","i"),"ò","o"),"ù","u"),"")</f>
        <v/>
      </c>
      <c r="W800" s="25">
        <f>IF(AND(Q800=1,I800&lt;&gt;""),SUBSTITUTE(SUBSTITUTE(SUBSTITUTE(SUBSTITUTE(SUBSTITUTE(SUBSTITUTE(SUBSTITUTE(SUBSTITUTE(SUBSTITUTE(SUBSTITUTE(SUBSTITUTE(SUBSTITUTE(LOWER(TRIM(I800)),"á","a"),"é","e"),"í","i"),"ó","o"),"ú","u"),"ü","u"),"ñ","n"),"à","a"),"è","e"),"ì","i"),"ò","o"),"ù","u"),"")</f>
        <v/>
      </c>
      <c r="X800" s="25">
        <f>IF(U800="","",IF(OR(U800="si, en la proxima tarea",U800="si, con cambios"),1,0))</f>
        <v/>
      </c>
      <c r="Y800" s="25">
        <f>IF(AND(Q800=1,A800&lt;&gt;""),IF(IFERROR(COUNTIFS(A$3:A800,"="&amp;SUBSTITUTE(SUBSTITUTE(SUBSTITUTE(A800,"~","~~"),"*","~*"),"?","~?"),Q$3:Q800,1),0)=1,MAX(Y$2:Y799)+1,""),"")</f>
        <v/>
      </c>
      <c r="Z800" s="25">
        <f>IF(Y800="","",COUNTIFS($A$3:$A$1002,"="&amp;SUBSTITUTE(SUBSTITUTE(SUBSTITUTE(A800,"~","~~"),"*","~*"),"?","~?"),$Q$3:$Q$1002,1)*10000-Y800)</f>
        <v/>
      </c>
    </row>
    <row r="801">
      <c r="A801">
        <f>IF(A$2=0,"",IFERROR(TRIM(INDEX('Pegar docentes'!$A$1:$BZ$1001,800,A$2)&amp;""),""))</f>
        <v/>
      </c>
      <c r="B801">
        <f>IF(B$2=0,"",IFERROR(TRIM(INDEX('Pegar docentes'!$A$1:$BZ$1001,800,B$2)&amp;""),""))</f>
        <v/>
      </c>
      <c r="C801">
        <f>IF(C$2=0,"",IFERROR(TRIM(INDEX('Pegar docentes'!$A$1:$BZ$1001,800,C$2)&amp;""),""))</f>
        <v/>
      </c>
      <c r="D801">
        <f>IF(D$2=0,"",IFERROR(TRIM(INDEX('Pegar docentes'!$A$1:$BZ$1001,800,D$2)&amp;""),""))</f>
        <v/>
      </c>
      <c r="E801">
        <f>IF(E$2=0,"",IFERROR(TRIM(INDEX('Pegar docentes'!$A$1:$BZ$1001,800,E$2)&amp;""),""))</f>
        <v/>
      </c>
      <c r="F801">
        <f>IF(F$2=0,"",IFERROR(TRIM(INDEX('Pegar docentes'!$A$1:$BZ$1001,800,F$2)&amp;""),""))</f>
        <v/>
      </c>
      <c r="G801">
        <f>IF(G$2=0,"",IFERROR(TRIM(INDEX('Pegar docentes'!$A$1:$BZ$1001,800,G$2)&amp;""),""))</f>
        <v/>
      </c>
      <c r="H801">
        <f>IF(H$2=0,"",IFERROR(TRIM(INDEX('Pegar docentes'!$A$1:$BZ$1001,800,H$2)&amp;""),""))</f>
        <v/>
      </c>
      <c r="I801">
        <f>IF(I$2=0,"",IFERROR(TRIM(INDEX('Pegar docentes'!$A$1:$BZ$1001,800,I$2)&amp;""),""))</f>
        <v/>
      </c>
      <c r="J801">
        <f>IF(J$2=0,"",IFERROR(TRIM(INDEX('Pegar docentes'!$A$1:$BZ$1001,800,J$2)&amp;""),""))</f>
        <v/>
      </c>
      <c r="K801">
        <f>IF(K$2=0,"",IFERROR(TRIM(INDEX('Pegar docentes'!$A$1:$BZ$1001,800,K$2)&amp;""),""))</f>
        <v/>
      </c>
      <c r="L801">
        <f>IF(L$2=0,"",IFERROR(TRIM(INDEX('Pegar docentes'!$A$1:$BZ$1001,800,L$2)&amp;""),""))</f>
        <v/>
      </c>
      <c r="M801">
        <f>IF(M$2=0,"",IFERROR(TRIM(INDEX('Pegar docentes'!$A$1:$BZ$1001,800,M$2)&amp;""),""))</f>
        <v/>
      </c>
      <c r="N801">
        <f>IF(N$2=0,"",IFERROR(TRIM(INDEX('Pegar docentes'!$A$1:$BZ$1001,800,N$2)&amp;""),""))</f>
        <v/>
      </c>
      <c r="O801">
        <f>IF(O$2=0,"",IFERROR(TRIM(INDEX('Pegar docentes'!$A$1:$BZ$1001,800,O$2)&amp;""),""))</f>
        <v/>
      </c>
      <c r="P801">
        <f>IF(P$2=0,"",IFERROR(TRIM(INDEX('Pegar docentes'!$A$1:$BZ$1001,800,P$2)&amp;""),""))</f>
        <v/>
      </c>
      <c r="Q801" s="25">
        <f>IF(OR(D801&lt;&gt;"",H801&lt;&gt;""),1,"")</f>
        <v/>
      </c>
      <c r="R801" s="25">
        <f>IF(Q801=1,IF(ISNUMBER(FIND("#"&amp;MID(D801,1,1)&amp;"#","#0#1#2#3#4#5#6#7#8#9#")),IF(ISNUMBER(FIND("#"&amp;MID(D801,2,1)&amp;"#","#0#1#2#3#4#5#6#7#8#9#")),IF(AND(VALUE(LEFT(D801,2))&gt;=1,VALUE(LEFT(D801,2))&lt;=5),VALUE(LEFT(D801,2)),""),IF(AND(VALUE(LEFT(D801,1))&gt;=1,VALUE(LEFT(D801,1))&lt;=5),VALUE(LEFT(D801,1)),"")),""),"")</f>
        <v/>
      </c>
      <c r="S801" s="25">
        <f>IF(AND(Q801=1,E801&lt;&gt;""),SUBSTITUTE(SUBSTITUTE(SUBSTITUTE(SUBSTITUTE(SUBSTITUTE(SUBSTITUTE(SUBSTITUTE(SUBSTITUTE(SUBSTITUTE(SUBSTITUTE(SUBSTITUTE(SUBSTITUTE(LOWER(TRIM(E801)),"á","a"),"é","e"),"í","i"),"ó","o"),"ú","u"),"ü","u"),"ñ","n"),"à","a"),"è","e"),"ì","i"),"ò","o"),"ù","u"),"")</f>
        <v/>
      </c>
      <c r="T801" s="25">
        <f>IF(AND(Q801=1,G801&lt;&gt;""),SUBSTITUTE(SUBSTITUTE(SUBSTITUTE(SUBSTITUTE(SUBSTITUTE(SUBSTITUTE(SUBSTITUTE(SUBSTITUTE(SUBSTITUTE(SUBSTITUTE(SUBSTITUTE(SUBSTITUTE(LOWER(TRIM(G801)),"á","a"),"é","e"),"í","i"),"ó","o"),"ú","u"),"ü","u"),"ñ","n"),"à","a"),"è","e"),"ì","i"),"ò","o"),"ù","u"),"")</f>
        <v/>
      </c>
      <c r="U801" s="25">
        <f>IF(AND(Q801=1,H801&lt;&gt;""),SUBSTITUTE(SUBSTITUTE(SUBSTITUTE(SUBSTITUTE(SUBSTITUTE(SUBSTITUTE(SUBSTITUTE(SUBSTITUTE(SUBSTITUTE(SUBSTITUTE(SUBSTITUTE(SUBSTITUTE(LOWER(TRIM(H801)),"á","a"),"é","e"),"í","i"),"ó","o"),"ú","u"),"ü","u"),"ñ","n"),"à","a"),"è","e"),"ì","i"),"ò","o"),"ù","u"),"")</f>
        <v/>
      </c>
      <c r="V801" s="25">
        <f>IF(AND(Q801=1,L801&lt;&gt;""),SUBSTITUTE(SUBSTITUTE(SUBSTITUTE(SUBSTITUTE(SUBSTITUTE(SUBSTITUTE(SUBSTITUTE(SUBSTITUTE(SUBSTITUTE(SUBSTITUTE(SUBSTITUTE(SUBSTITUTE(LOWER(TRIM(L801)),"á","a"),"é","e"),"í","i"),"ó","o"),"ú","u"),"ü","u"),"ñ","n"),"à","a"),"è","e"),"ì","i"),"ò","o"),"ù","u"),"")</f>
        <v/>
      </c>
      <c r="W801" s="25">
        <f>IF(AND(Q801=1,I801&lt;&gt;""),SUBSTITUTE(SUBSTITUTE(SUBSTITUTE(SUBSTITUTE(SUBSTITUTE(SUBSTITUTE(SUBSTITUTE(SUBSTITUTE(SUBSTITUTE(SUBSTITUTE(SUBSTITUTE(SUBSTITUTE(LOWER(TRIM(I801)),"á","a"),"é","e"),"í","i"),"ó","o"),"ú","u"),"ü","u"),"ñ","n"),"à","a"),"è","e"),"ì","i"),"ò","o"),"ù","u"),"")</f>
        <v/>
      </c>
      <c r="X801" s="25">
        <f>IF(U801="","",IF(OR(U801="si, en la proxima tarea",U801="si, con cambios"),1,0))</f>
        <v/>
      </c>
      <c r="Y801" s="25">
        <f>IF(AND(Q801=1,A801&lt;&gt;""),IF(IFERROR(COUNTIFS(A$3:A801,"="&amp;SUBSTITUTE(SUBSTITUTE(SUBSTITUTE(A801,"~","~~"),"*","~*"),"?","~?"),Q$3:Q801,1),0)=1,MAX(Y$2:Y800)+1,""),"")</f>
        <v/>
      </c>
      <c r="Z801" s="25">
        <f>IF(Y801="","",COUNTIFS($A$3:$A$1002,"="&amp;SUBSTITUTE(SUBSTITUTE(SUBSTITUTE(A801,"~","~~"),"*","~*"),"?","~?"),$Q$3:$Q$1002,1)*10000-Y801)</f>
        <v/>
      </c>
    </row>
    <row r="802">
      <c r="A802">
        <f>IF(A$2=0,"",IFERROR(TRIM(INDEX('Pegar docentes'!$A$1:$BZ$1001,801,A$2)&amp;""),""))</f>
        <v/>
      </c>
      <c r="B802">
        <f>IF(B$2=0,"",IFERROR(TRIM(INDEX('Pegar docentes'!$A$1:$BZ$1001,801,B$2)&amp;""),""))</f>
        <v/>
      </c>
      <c r="C802">
        <f>IF(C$2=0,"",IFERROR(TRIM(INDEX('Pegar docentes'!$A$1:$BZ$1001,801,C$2)&amp;""),""))</f>
        <v/>
      </c>
      <c r="D802">
        <f>IF(D$2=0,"",IFERROR(TRIM(INDEX('Pegar docentes'!$A$1:$BZ$1001,801,D$2)&amp;""),""))</f>
        <v/>
      </c>
      <c r="E802">
        <f>IF(E$2=0,"",IFERROR(TRIM(INDEX('Pegar docentes'!$A$1:$BZ$1001,801,E$2)&amp;""),""))</f>
        <v/>
      </c>
      <c r="F802">
        <f>IF(F$2=0,"",IFERROR(TRIM(INDEX('Pegar docentes'!$A$1:$BZ$1001,801,F$2)&amp;""),""))</f>
        <v/>
      </c>
      <c r="G802">
        <f>IF(G$2=0,"",IFERROR(TRIM(INDEX('Pegar docentes'!$A$1:$BZ$1001,801,G$2)&amp;""),""))</f>
        <v/>
      </c>
      <c r="H802">
        <f>IF(H$2=0,"",IFERROR(TRIM(INDEX('Pegar docentes'!$A$1:$BZ$1001,801,H$2)&amp;""),""))</f>
        <v/>
      </c>
      <c r="I802">
        <f>IF(I$2=0,"",IFERROR(TRIM(INDEX('Pegar docentes'!$A$1:$BZ$1001,801,I$2)&amp;""),""))</f>
        <v/>
      </c>
      <c r="J802">
        <f>IF(J$2=0,"",IFERROR(TRIM(INDEX('Pegar docentes'!$A$1:$BZ$1001,801,J$2)&amp;""),""))</f>
        <v/>
      </c>
      <c r="K802">
        <f>IF(K$2=0,"",IFERROR(TRIM(INDEX('Pegar docentes'!$A$1:$BZ$1001,801,K$2)&amp;""),""))</f>
        <v/>
      </c>
      <c r="L802">
        <f>IF(L$2=0,"",IFERROR(TRIM(INDEX('Pegar docentes'!$A$1:$BZ$1001,801,L$2)&amp;""),""))</f>
        <v/>
      </c>
      <c r="M802">
        <f>IF(M$2=0,"",IFERROR(TRIM(INDEX('Pegar docentes'!$A$1:$BZ$1001,801,M$2)&amp;""),""))</f>
        <v/>
      </c>
      <c r="N802">
        <f>IF(N$2=0,"",IFERROR(TRIM(INDEX('Pegar docentes'!$A$1:$BZ$1001,801,N$2)&amp;""),""))</f>
        <v/>
      </c>
      <c r="O802">
        <f>IF(O$2=0,"",IFERROR(TRIM(INDEX('Pegar docentes'!$A$1:$BZ$1001,801,O$2)&amp;""),""))</f>
        <v/>
      </c>
      <c r="P802">
        <f>IF(P$2=0,"",IFERROR(TRIM(INDEX('Pegar docentes'!$A$1:$BZ$1001,801,P$2)&amp;""),""))</f>
        <v/>
      </c>
      <c r="Q802" s="25">
        <f>IF(OR(D802&lt;&gt;"",H802&lt;&gt;""),1,"")</f>
        <v/>
      </c>
      <c r="R802" s="25">
        <f>IF(Q802=1,IF(ISNUMBER(FIND("#"&amp;MID(D802,1,1)&amp;"#","#0#1#2#3#4#5#6#7#8#9#")),IF(ISNUMBER(FIND("#"&amp;MID(D802,2,1)&amp;"#","#0#1#2#3#4#5#6#7#8#9#")),IF(AND(VALUE(LEFT(D802,2))&gt;=1,VALUE(LEFT(D802,2))&lt;=5),VALUE(LEFT(D802,2)),""),IF(AND(VALUE(LEFT(D802,1))&gt;=1,VALUE(LEFT(D802,1))&lt;=5),VALUE(LEFT(D802,1)),"")),""),"")</f>
        <v/>
      </c>
      <c r="S802" s="25">
        <f>IF(AND(Q802=1,E802&lt;&gt;""),SUBSTITUTE(SUBSTITUTE(SUBSTITUTE(SUBSTITUTE(SUBSTITUTE(SUBSTITUTE(SUBSTITUTE(SUBSTITUTE(SUBSTITUTE(SUBSTITUTE(SUBSTITUTE(SUBSTITUTE(LOWER(TRIM(E802)),"á","a"),"é","e"),"í","i"),"ó","o"),"ú","u"),"ü","u"),"ñ","n"),"à","a"),"è","e"),"ì","i"),"ò","o"),"ù","u"),"")</f>
        <v/>
      </c>
      <c r="T802" s="25">
        <f>IF(AND(Q802=1,G802&lt;&gt;""),SUBSTITUTE(SUBSTITUTE(SUBSTITUTE(SUBSTITUTE(SUBSTITUTE(SUBSTITUTE(SUBSTITUTE(SUBSTITUTE(SUBSTITUTE(SUBSTITUTE(SUBSTITUTE(SUBSTITUTE(LOWER(TRIM(G802)),"á","a"),"é","e"),"í","i"),"ó","o"),"ú","u"),"ü","u"),"ñ","n"),"à","a"),"è","e"),"ì","i"),"ò","o"),"ù","u"),"")</f>
        <v/>
      </c>
      <c r="U802" s="25">
        <f>IF(AND(Q802=1,H802&lt;&gt;""),SUBSTITUTE(SUBSTITUTE(SUBSTITUTE(SUBSTITUTE(SUBSTITUTE(SUBSTITUTE(SUBSTITUTE(SUBSTITUTE(SUBSTITUTE(SUBSTITUTE(SUBSTITUTE(SUBSTITUTE(LOWER(TRIM(H802)),"á","a"),"é","e"),"í","i"),"ó","o"),"ú","u"),"ü","u"),"ñ","n"),"à","a"),"è","e"),"ì","i"),"ò","o"),"ù","u"),"")</f>
        <v/>
      </c>
      <c r="V802" s="25">
        <f>IF(AND(Q802=1,L802&lt;&gt;""),SUBSTITUTE(SUBSTITUTE(SUBSTITUTE(SUBSTITUTE(SUBSTITUTE(SUBSTITUTE(SUBSTITUTE(SUBSTITUTE(SUBSTITUTE(SUBSTITUTE(SUBSTITUTE(SUBSTITUTE(LOWER(TRIM(L802)),"á","a"),"é","e"),"í","i"),"ó","o"),"ú","u"),"ü","u"),"ñ","n"),"à","a"),"è","e"),"ì","i"),"ò","o"),"ù","u"),"")</f>
        <v/>
      </c>
      <c r="W802" s="25">
        <f>IF(AND(Q802=1,I802&lt;&gt;""),SUBSTITUTE(SUBSTITUTE(SUBSTITUTE(SUBSTITUTE(SUBSTITUTE(SUBSTITUTE(SUBSTITUTE(SUBSTITUTE(SUBSTITUTE(SUBSTITUTE(SUBSTITUTE(SUBSTITUTE(LOWER(TRIM(I802)),"á","a"),"é","e"),"í","i"),"ó","o"),"ú","u"),"ü","u"),"ñ","n"),"à","a"),"è","e"),"ì","i"),"ò","o"),"ù","u"),"")</f>
        <v/>
      </c>
      <c r="X802" s="25">
        <f>IF(U802="","",IF(OR(U802="si, en la proxima tarea",U802="si, con cambios"),1,0))</f>
        <v/>
      </c>
      <c r="Y802" s="25">
        <f>IF(AND(Q802=1,A802&lt;&gt;""),IF(IFERROR(COUNTIFS(A$3:A802,"="&amp;SUBSTITUTE(SUBSTITUTE(SUBSTITUTE(A802,"~","~~"),"*","~*"),"?","~?"),Q$3:Q802,1),0)=1,MAX(Y$2:Y801)+1,""),"")</f>
        <v/>
      </c>
      <c r="Z802" s="25">
        <f>IF(Y802="","",COUNTIFS($A$3:$A$1002,"="&amp;SUBSTITUTE(SUBSTITUTE(SUBSTITUTE(A802,"~","~~"),"*","~*"),"?","~?"),$Q$3:$Q$1002,1)*10000-Y802)</f>
        <v/>
      </c>
    </row>
    <row r="803">
      <c r="A803">
        <f>IF(A$2=0,"",IFERROR(TRIM(INDEX('Pegar docentes'!$A$1:$BZ$1001,802,A$2)&amp;""),""))</f>
        <v/>
      </c>
      <c r="B803">
        <f>IF(B$2=0,"",IFERROR(TRIM(INDEX('Pegar docentes'!$A$1:$BZ$1001,802,B$2)&amp;""),""))</f>
        <v/>
      </c>
      <c r="C803">
        <f>IF(C$2=0,"",IFERROR(TRIM(INDEX('Pegar docentes'!$A$1:$BZ$1001,802,C$2)&amp;""),""))</f>
        <v/>
      </c>
      <c r="D803">
        <f>IF(D$2=0,"",IFERROR(TRIM(INDEX('Pegar docentes'!$A$1:$BZ$1001,802,D$2)&amp;""),""))</f>
        <v/>
      </c>
      <c r="E803">
        <f>IF(E$2=0,"",IFERROR(TRIM(INDEX('Pegar docentes'!$A$1:$BZ$1001,802,E$2)&amp;""),""))</f>
        <v/>
      </c>
      <c r="F803">
        <f>IF(F$2=0,"",IFERROR(TRIM(INDEX('Pegar docentes'!$A$1:$BZ$1001,802,F$2)&amp;""),""))</f>
        <v/>
      </c>
      <c r="G803">
        <f>IF(G$2=0,"",IFERROR(TRIM(INDEX('Pegar docentes'!$A$1:$BZ$1001,802,G$2)&amp;""),""))</f>
        <v/>
      </c>
      <c r="H803">
        <f>IF(H$2=0,"",IFERROR(TRIM(INDEX('Pegar docentes'!$A$1:$BZ$1001,802,H$2)&amp;""),""))</f>
        <v/>
      </c>
      <c r="I803">
        <f>IF(I$2=0,"",IFERROR(TRIM(INDEX('Pegar docentes'!$A$1:$BZ$1001,802,I$2)&amp;""),""))</f>
        <v/>
      </c>
      <c r="J803">
        <f>IF(J$2=0,"",IFERROR(TRIM(INDEX('Pegar docentes'!$A$1:$BZ$1001,802,J$2)&amp;""),""))</f>
        <v/>
      </c>
      <c r="K803">
        <f>IF(K$2=0,"",IFERROR(TRIM(INDEX('Pegar docentes'!$A$1:$BZ$1001,802,K$2)&amp;""),""))</f>
        <v/>
      </c>
      <c r="L803">
        <f>IF(L$2=0,"",IFERROR(TRIM(INDEX('Pegar docentes'!$A$1:$BZ$1001,802,L$2)&amp;""),""))</f>
        <v/>
      </c>
      <c r="M803">
        <f>IF(M$2=0,"",IFERROR(TRIM(INDEX('Pegar docentes'!$A$1:$BZ$1001,802,M$2)&amp;""),""))</f>
        <v/>
      </c>
      <c r="N803">
        <f>IF(N$2=0,"",IFERROR(TRIM(INDEX('Pegar docentes'!$A$1:$BZ$1001,802,N$2)&amp;""),""))</f>
        <v/>
      </c>
      <c r="O803">
        <f>IF(O$2=0,"",IFERROR(TRIM(INDEX('Pegar docentes'!$A$1:$BZ$1001,802,O$2)&amp;""),""))</f>
        <v/>
      </c>
      <c r="P803">
        <f>IF(P$2=0,"",IFERROR(TRIM(INDEX('Pegar docentes'!$A$1:$BZ$1001,802,P$2)&amp;""),""))</f>
        <v/>
      </c>
      <c r="Q803" s="25">
        <f>IF(OR(D803&lt;&gt;"",H803&lt;&gt;""),1,"")</f>
        <v/>
      </c>
      <c r="R803" s="25">
        <f>IF(Q803=1,IF(ISNUMBER(FIND("#"&amp;MID(D803,1,1)&amp;"#","#0#1#2#3#4#5#6#7#8#9#")),IF(ISNUMBER(FIND("#"&amp;MID(D803,2,1)&amp;"#","#0#1#2#3#4#5#6#7#8#9#")),IF(AND(VALUE(LEFT(D803,2))&gt;=1,VALUE(LEFT(D803,2))&lt;=5),VALUE(LEFT(D803,2)),""),IF(AND(VALUE(LEFT(D803,1))&gt;=1,VALUE(LEFT(D803,1))&lt;=5),VALUE(LEFT(D803,1)),"")),""),"")</f>
        <v/>
      </c>
      <c r="S803" s="25">
        <f>IF(AND(Q803=1,E803&lt;&gt;""),SUBSTITUTE(SUBSTITUTE(SUBSTITUTE(SUBSTITUTE(SUBSTITUTE(SUBSTITUTE(SUBSTITUTE(SUBSTITUTE(SUBSTITUTE(SUBSTITUTE(SUBSTITUTE(SUBSTITUTE(LOWER(TRIM(E803)),"á","a"),"é","e"),"í","i"),"ó","o"),"ú","u"),"ü","u"),"ñ","n"),"à","a"),"è","e"),"ì","i"),"ò","o"),"ù","u"),"")</f>
        <v/>
      </c>
      <c r="T803" s="25">
        <f>IF(AND(Q803=1,G803&lt;&gt;""),SUBSTITUTE(SUBSTITUTE(SUBSTITUTE(SUBSTITUTE(SUBSTITUTE(SUBSTITUTE(SUBSTITUTE(SUBSTITUTE(SUBSTITUTE(SUBSTITUTE(SUBSTITUTE(SUBSTITUTE(LOWER(TRIM(G803)),"á","a"),"é","e"),"í","i"),"ó","o"),"ú","u"),"ü","u"),"ñ","n"),"à","a"),"è","e"),"ì","i"),"ò","o"),"ù","u"),"")</f>
        <v/>
      </c>
      <c r="U803" s="25">
        <f>IF(AND(Q803=1,H803&lt;&gt;""),SUBSTITUTE(SUBSTITUTE(SUBSTITUTE(SUBSTITUTE(SUBSTITUTE(SUBSTITUTE(SUBSTITUTE(SUBSTITUTE(SUBSTITUTE(SUBSTITUTE(SUBSTITUTE(SUBSTITUTE(LOWER(TRIM(H803)),"á","a"),"é","e"),"í","i"),"ó","o"),"ú","u"),"ü","u"),"ñ","n"),"à","a"),"è","e"),"ì","i"),"ò","o"),"ù","u"),"")</f>
        <v/>
      </c>
      <c r="V803" s="25">
        <f>IF(AND(Q803=1,L803&lt;&gt;""),SUBSTITUTE(SUBSTITUTE(SUBSTITUTE(SUBSTITUTE(SUBSTITUTE(SUBSTITUTE(SUBSTITUTE(SUBSTITUTE(SUBSTITUTE(SUBSTITUTE(SUBSTITUTE(SUBSTITUTE(LOWER(TRIM(L803)),"á","a"),"é","e"),"í","i"),"ó","o"),"ú","u"),"ü","u"),"ñ","n"),"à","a"),"è","e"),"ì","i"),"ò","o"),"ù","u"),"")</f>
        <v/>
      </c>
      <c r="W803" s="25">
        <f>IF(AND(Q803=1,I803&lt;&gt;""),SUBSTITUTE(SUBSTITUTE(SUBSTITUTE(SUBSTITUTE(SUBSTITUTE(SUBSTITUTE(SUBSTITUTE(SUBSTITUTE(SUBSTITUTE(SUBSTITUTE(SUBSTITUTE(SUBSTITUTE(LOWER(TRIM(I803)),"á","a"),"é","e"),"í","i"),"ó","o"),"ú","u"),"ü","u"),"ñ","n"),"à","a"),"è","e"),"ì","i"),"ò","o"),"ù","u"),"")</f>
        <v/>
      </c>
      <c r="X803" s="25">
        <f>IF(U803="","",IF(OR(U803="si, en la proxima tarea",U803="si, con cambios"),1,0))</f>
        <v/>
      </c>
      <c r="Y803" s="25">
        <f>IF(AND(Q803=1,A803&lt;&gt;""),IF(IFERROR(COUNTIFS(A$3:A803,"="&amp;SUBSTITUTE(SUBSTITUTE(SUBSTITUTE(A803,"~","~~"),"*","~*"),"?","~?"),Q$3:Q803,1),0)=1,MAX(Y$2:Y802)+1,""),"")</f>
        <v/>
      </c>
      <c r="Z803" s="25">
        <f>IF(Y803="","",COUNTIFS($A$3:$A$1002,"="&amp;SUBSTITUTE(SUBSTITUTE(SUBSTITUTE(A803,"~","~~"),"*","~*"),"?","~?"),$Q$3:$Q$1002,1)*10000-Y803)</f>
        <v/>
      </c>
    </row>
    <row r="804">
      <c r="A804">
        <f>IF(A$2=0,"",IFERROR(TRIM(INDEX('Pegar docentes'!$A$1:$BZ$1001,803,A$2)&amp;""),""))</f>
        <v/>
      </c>
      <c r="B804">
        <f>IF(B$2=0,"",IFERROR(TRIM(INDEX('Pegar docentes'!$A$1:$BZ$1001,803,B$2)&amp;""),""))</f>
        <v/>
      </c>
      <c r="C804">
        <f>IF(C$2=0,"",IFERROR(TRIM(INDEX('Pegar docentes'!$A$1:$BZ$1001,803,C$2)&amp;""),""))</f>
        <v/>
      </c>
      <c r="D804">
        <f>IF(D$2=0,"",IFERROR(TRIM(INDEX('Pegar docentes'!$A$1:$BZ$1001,803,D$2)&amp;""),""))</f>
        <v/>
      </c>
      <c r="E804">
        <f>IF(E$2=0,"",IFERROR(TRIM(INDEX('Pegar docentes'!$A$1:$BZ$1001,803,E$2)&amp;""),""))</f>
        <v/>
      </c>
      <c r="F804">
        <f>IF(F$2=0,"",IFERROR(TRIM(INDEX('Pegar docentes'!$A$1:$BZ$1001,803,F$2)&amp;""),""))</f>
        <v/>
      </c>
      <c r="G804">
        <f>IF(G$2=0,"",IFERROR(TRIM(INDEX('Pegar docentes'!$A$1:$BZ$1001,803,G$2)&amp;""),""))</f>
        <v/>
      </c>
      <c r="H804">
        <f>IF(H$2=0,"",IFERROR(TRIM(INDEX('Pegar docentes'!$A$1:$BZ$1001,803,H$2)&amp;""),""))</f>
        <v/>
      </c>
      <c r="I804">
        <f>IF(I$2=0,"",IFERROR(TRIM(INDEX('Pegar docentes'!$A$1:$BZ$1001,803,I$2)&amp;""),""))</f>
        <v/>
      </c>
      <c r="J804">
        <f>IF(J$2=0,"",IFERROR(TRIM(INDEX('Pegar docentes'!$A$1:$BZ$1001,803,J$2)&amp;""),""))</f>
        <v/>
      </c>
      <c r="K804">
        <f>IF(K$2=0,"",IFERROR(TRIM(INDEX('Pegar docentes'!$A$1:$BZ$1001,803,K$2)&amp;""),""))</f>
        <v/>
      </c>
      <c r="L804">
        <f>IF(L$2=0,"",IFERROR(TRIM(INDEX('Pegar docentes'!$A$1:$BZ$1001,803,L$2)&amp;""),""))</f>
        <v/>
      </c>
      <c r="M804">
        <f>IF(M$2=0,"",IFERROR(TRIM(INDEX('Pegar docentes'!$A$1:$BZ$1001,803,M$2)&amp;""),""))</f>
        <v/>
      </c>
      <c r="N804">
        <f>IF(N$2=0,"",IFERROR(TRIM(INDEX('Pegar docentes'!$A$1:$BZ$1001,803,N$2)&amp;""),""))</f>
        <v/>
      </c>
      <c r="O804">
        <f>IF(O$2=0,"",IFERROR(TRIM(INDEX('Pegar docentes'!$A$1:$BZ$1001,803,O$2)&amp;""),""))</f>
        <v/>
      </c>
      <c r="P804">
        <f>IF(P$2=0,"",IFERROR(TRIM(INDEX('Pegar docentes'!$A$1:$BZ$1001,803,P$2)&amp;""),""))</f>
        <v/>
      </c>
      <c r="Q804" s="25">
        <f>IF(OR(D804&lt;&gt;"",H804&lt;&gt;""),1,"")</f>
        <v/>
      </c>
      <c r="R804" s="25">
        <f>IF(Q804=1,IF(ISNUMBER(FIND("#"&amp;MID(D804,1,1)&amp;"#","#0#1#2#3#4#5#6#7#8#9#")),IF(ISNUMBER(FIND("#"&amp;MID(D804,2,1)&amp;"#","#0#1#2#3#4#5#6#7#8#9#")),IF(AND(VALUE(LEFT(D804,2))&gt;=1,VALUE(LEFT(D804,2))&lt;=5),VALUE(LEFT(D804,2)),""),IF(AND(VALUE(LEFT(D804,1))&gt;=1,VALUE(LEFT(D804,1))&lt;=5),VALUE(LEFT(D804,1)),"")),""),"")</f>
        <v/>
      </c>
      <c r="S804" s="25">
        <f>IF(AND(Q804=1,E804&lt;&gt;""),SUBSTITUTE(SUBSTITUTE(SUBSTITUTE(SUBSTITUTE(SUBSTITUTE(SUBSTITUTE(SUBSTITUTE(SUBSTITUTE(SUBSTITUTE(SUBSTITUTE(SUBSTITUTE(SUBSTITUTE(LOWER(TRIM(E804)),"á","a"),"é","e"),"í","i"),"ó","o"),"ú","u"),"ü","u"),"ñ","n"),"à","a"),"è","e"),"ì","i"),"ò","o"),"ù","u"),"")</f>
        <v/>
      </c>
      <c r="T804" s="25">
        <f>IF(AND(Q804=1,G804&lt;&gt;""),SUBSTITUTE(SUBSTITUTE(SUBSTITUTE(SUBSTITUTE(SUBSTITUTE(SUBSTITUTE(SUBSTITUTE(SUBSTITUTE(SUBSTITUTE(SUBSTITUTE(SUBSTITUTE(SUBSTITUTE(LOWER(TRIM(G804)),"á","a"),"é","e"),"í","i"),"ó","o"),"ú","u"),"ü","u"),"ñ","n"),"à","a"),"è","e"),"ì","i"),"ò","o"),"ù","u"),"")</f>
        <v/>
      </c>
      <c r="U804" s="25">
        <f>IF(AND(Q804=1,H804&lt;&gt;""),SUBSTITUTE(SUBSTITUTE(SUBSTITUTE(SUBSTITUTE(SUBSTITUTE(SUBSTITUTE(SUBSTITUTE(SUBSTITUTE(SUBSTITUTE(SUBSTITUTE(SUBSTITUTE(SUBSTITUTE(LOWER(TRIM(H804)),"á","a"),"é","e"),"í","i"),"ó","o"),"ú","u"),"ü","u"),"ñ","n"),"à","a"),"è","e"),"ì","i"),"ò","o"),"ù","u"),"")</f>
        <v/>
      </c>
      <c r="V804" s="25">
        <f>IF(AND(Q804=1,L804&lt;&gt;""),SUBSTITUTE(SUBSTITUTE(SUBSTITUTE(SUBSTITUTE(SUBSTITUTE(SUBSTITUTE(SUBSTITUTE(SUBSTITUTE(SUBSTITUTE(SUBSTITUTE(SUBSTITUTE(SUBSTITUTE(LOWER(TRIM(L804)),"á","a"),"é","e"),"í","i"),"ó","o"),"ú","u"),"ü","u"),"ñ","n"),"à","a"),"è","e"),"ì","i"),"ò","o"),"ù","u"),"")</f>
        <v/>
      </c>
      <c r="W804" s="25">
        <f>IF(AND(Q804=1,I804&lt;&gt;""),SUBSTITUTE(SUBSTITUTE(SUBSTITUTE(SUBSTITUTE(SUBSTITUTE(SUBSTITUTE(SUBSTITUTE(SUBSTITUTE(SUBSTITUTE(SUBSTITUTE(SUBSTITUTE(SUBSTITUTE(LOWER(TRIM(I804)),"á","a"),"é","e"),"í","i"),"ó","o"),"ú","u"),"ü","u"),"ñ","n"),"à","a"),"è","e"),"ì","i"),"ò","o"),"ù","u"),"")</f>
        <v/>
      </c>
      <c r="X804" s="25">
        <f>IF(U804="","",IF(OR(U804="si, en la proxima tarea",U804="si, con cambios"),1,0))</f>
        <v/>
      </c>
      <c r="Y804" s="25">
        <f>IF(AND(Q804=1,A804&lt;&gt;""),IF(IFERROR(COUNTIFS(A$3:A804,"="&amp;SUBSTITUTE(SUBSTITUTE(SUBSTITUTE(A804,"~","~~"),"*","~*"),"?","~?"),Q$3:Q804,1),0)=1,MAX(Y$2:Y803)+1,""),"")</f>
        <v/>
      </c>
      <c r="Z804" s="25">
        <f>IF(Y804="","",COUNTIFS($A$3:$A$1002,"="&amp;SUBSTITUTE(SUBSTITUTE(SUBSTITUTE(A804,"~","~~"),"*","~*"),"?","~?"),$Q$3:$Q$1002,1)*10000-Y804)</f>
        <v/>
      </c>
    </row>
    <row r="805">
      <c r="A805">
        <f>IF(A$2=0,"",IFERROR(TRIM(INDEX('Pegar docentes'!$A$1:$BZ$1001,804,A$2)&amp;""),""))</f>
        <v/>
      </c>
      <c r="B805">
        <f>IF(B$2=0,"",IFERROR(TRIM(INDEX('Pegar docentes'!$A$1:$BZ$1001,804,B$2)&amp;""),""))</f>
        <v/>
      </c>
      <c r="C805">
        <f>IF(C$2=0,"",IFERROR(TRIM(INDEX('Pegar docentes'!$A$1:$BZ$1001,804,C$2)&amp;""),""))</f>
        <v/>
      </c>
      <c r="D805">
        <f>IF(D$2=0,"",IFERROR(TRIM(INDEX('Pegar docentes'!$A$1:$BZ$1001,804,D$2)&amp;""),""))</f>
        <v/>
      </c>
      <c r="E805">
        <f>IF(E$2=0,"",IFERROR(TRIM(INDEX('Pegar docentes'!$A$1:$BZ$1001,804,E$2)&amp;""),""))</f>
        <v/>
      </c>
      <c r="F805">
        <f>IF(F$2=0,"",IFERROR(TRIM(INDEX('Pegar docentes'!$A$1:$BZ$1001,804,F$2)&amp;""),""))</f>
        <v/>
      </c>
      <c r="G805">
        <f>IF(G$2=0,"",IFERROR(TRIM(INDEX('Pegar docentes'!$A$1:$BZ$1001,804,G$2)&amp;""),""))</f>
        <v/>
      </c>
      <c r="H805">
        <f>IF(H$2=0,"",IFERROR(TRIM(INDEX('Pegar docentes'!$A$1:$BZ$1001,804,H$2)&amp;""),""))</f>
        <v/>
      </c>
      <c r="I805">
        <f>IF(I$2=0,"",IFERROR(TRIM(INDEX('Pegar docentes'!$A$1:$BZ$1001,804,I$2)&amp;""),""))</f>
        <v/>
      </c>
      <c r="J805">
        <f>IF(J$2=0,"",IFERROR(TRIM(INDEX('Pegar docentes'!$A$1:$BZ$1001,804,J$2)&amp;""),""))</f>
        <v/>
      </c>
      <c r="K805">
        <f>IF(K$2=0,"",IFERROR(TRIM(INDEX('Pegar docentes'!$A$1:$BZ$1001,804,K$2)&amp;""),""))</f>
        <v/>
      </c>
      <c r="L805">
        <f>IF(L$2=0,"",IFERROR(TRIM(INDEX('Pegar docentes'!$A$1:$BZ$1001,804,L$2)&amp;""),""))</f>
        <v/>
      </c>
      <c r="M805">
        <f>IF(M$2=0,"",IFERROR(TRIM(INDEX('Pegar docentes'!$A$1:$BZ$1001,804,M$2)&amp;""),""))</f>
        <v/>
      </c>
      <c r="N805">
        <f>IF(N$2=0,"",IFERROR(TRIM(INDEX('Pegar docentes'!$A$1:$BZ$1001,804,N$2)&amp;""),""))</f>
        <v/>
      </c>
      <c r="O805">
        <f>IF(O$2=0,"",IFERROR(TRIM(INDEX('Pegar docentes'!$A$1:$BZ$1001,804,O$2)&amp;""),""))</f>
        <v/>
      </c>
      <c r="P805">
        <f>IF(P$2=0,"",IFERROR(TRIM(INDEX('Pegar docentes'!$A$1:$BZ$1001,804,P$2)&amp;""),""))</f>
        <v/>
      </c>
      <c r="Q805" s="25">
        <f>IF(OR(D805&lt;&gt;"",H805&lt;&gt;""),1,"")</f>
        <v/>
      </c>
      <c r="R805" s="25">
        <f>IF(Q805=1,IF(ISNUMBER(FIND("#"&amp;MID(D805,1,1)&amp;"#","#0#1#2#3#4#5#6#7#8#9#")),IF(ISNUMBER(FIND("#"&amp;MID(D805,2,1)&amp;"#","#0#1#2#3#4#5#6#7#8#9#")),IF(AND(VALUE(LEFT(D805,2))&gt;=1,VALUE(LEFT(D805,2))&lt;=5),VALUE(LEFT(D805,2)),""),IF(AND(VALUE(LEFT(D805,1))&gt;=1,VALUE(LEFT(D805,1))&lt;=5),VALUE(LEFT(D805,1)),"")),""),"")</f>
        <v/>
      </c>
      <c r="S805" s="25">
        <f>IF(AND(Q805=1,E805&lt;&gt;""),SUBSTITUTE(SUBSTITUTE(SUBSTITUTE(SUBSTITUTE(SUBSTITUTE(SUBSTITUTE(SUBSTITUTE(SUBSTITUTE(SUBSTITUTE(SUBSTITUTE(SUBSTITUTE(SUBSTITUTE(LOWER(TRIM(E805)),"á","a"),"é","e"),"í","i"),"ó","o"),"ú","u"),"ü","u"),"ñ","n"),"à","a"),"è","e"),"ì","i"),"ò","o"),"ù","u"),"")</f>
        <v/>
      </c>
      <c r="T805" s="25">
        <f>IF(AND(Q805=1,G805&lt;&gt;""),SUBSTITUTE(SUBSTITUTE(SUBSTITUTE(SUBSTITUTE(SUBSTITUTE(SUBSTITUTE(SUBSTITUTE(SUBSTITUTE(SUBSTITUTE(SUBSTITUTE(SUBSTITUTE(SUBSTITUTE(LOWER(TRIM(G805)),"á","a"),"é","e"),"í","i"),"ó","o"),"ú","u"),"ü","u"),"ñ","n"),"à","a"),"è","e"),"ì","i"),"ò","o"),"ù","u"),"")</f>
        <v/>
      </c>
      <c r="U805" s="25">
        <f>IF(AND(Q805=1,H805&lt;&gt;""),SUBSTITUTE(SUBSTITUTE(SUBSTITUTE(SUBSTITUTE(SUBSTITUTE(SUBSTITUTE(SUBSTITUTE(SUBSTITUTE(SUBSTITUTE(SUBSTITUTE(SUBSTITUTE(SUBSTITUTE(LOWER(TRIM(H805)),"á","a"),"é","e"),"í","i"),"ó","o"),"ú","u"),"ü","u"),"ñ","n"),"à","a"),"è","e"),"ì","i"),"ò","o"),"ù","u"),"")</f>
        <v/>
      </c>
      <c r="V805" s="25">
        <f>IF(AND(Q805=1,L805&lt;&gt;""),SUBSTITUTE(SUBSTITUTE(SUBSTITUTE(SUBSTITUTE(SUBSTITUTE(SUBSTITUTE(SUBSTITUTE(SUBSTITUTE(SUBSTITUTE(SUBSTITUTE(SUBSTITUTE(SUBSTITUTE(LOWER(TRIM(L805)),"á","a"),"é","e"),"í","i"),"ó","o"),"ú","u"),"ü","u"),"ñ","n"),"à","a"),"è","e"),"ì","i"),"ò","o"),"ù","u"),"")</f>
        <v/>
      </c>
      <c r="W805" s="25">
        <f>IF(AND(Q805=1,I805&lt;&gt;""),SUBSTITUTE(SUBSTITUTE(SUBSTITUTE(SUBSTITUTE(SUBSTITUTE(SUBSTITUTE(SUBSTITUTE(SUBSTITUTE(SUBSTITUTE(SUBSTITUTE(SUBSTITUTE(SUBSTITUTE(LOWER(TRIM(I805)),"á","a"),"é","e"),"í","i"),"ó","o"),"ú","u"),"ü","u"),"ñ","n"),"à","a"),"è","e"),"ì","i"),"ò","o"),"ù","u"),"")</f>
        <v/>
      </c>
      <c r="X805" s="25">
        <f>IF(U805="","",IF(OR(U805="si, en la proxima tarea",U805="si, con cambios"),1,0))</f>
        <v/>
      </c>
      <c r="Y805" s="25">
        <f>IF(AND(Q805=1,A805&lt;&gt;""),IF(IFERROR(COUNTIFS(A$3:A805,"="&amp;SUBSTITUTE(SUBSTITUTE(SUBSTITUTE(A805,"~","~~"),"*","~*"),"?","~?"),Q$3:Q805,1),0)=1,MAX(Y$2:Y804)+1,""),"")</f>
        <v/>
      </c>
      <c r="Z805" s="25">
        <f>IF(Y805="","",COUNTIFS($A$3:$A$1002,"="&amp;SUBSTITUTE(SUBSTITUTE(SUBSTITUTE(A805,"~","~~"),"*","~*"),"?","~?"),$Q$3:$Q$1002,1)*10000-Y805)</f>
        <v/>
      </c>
    </row>
    <row r="806">
      <c r="A806">
        <f>IF(A$2=0,"",IFERROR(TRIM(INDEX('Pegar docentes'!$A$1:$BZ$1001,805,A$2)&amp;""),""))</f>
        <v/>
      </c>
      <c r="B806">
        <f>IF(B$2=0,"",IFERROR(TRIM(INDEX('Pegar docentes'!$A$1:$BZ$1001,805,B$2)&amp;""),""))</f>
        <v/>
      </c>
      <c r="C806">
        <f>IF(C$2=0,"",IFERROR(TRIM(INDEX('Pegar docentes'!$A$1:$BZ$1001,805,C$2)&amp;""),""))</f>
        <v/>
      </c>
      <c r="D806">
        <f>IF(D$2=0,"",IFERROR(TRIM(INDEX('Pegar docentes'!$A$1:$BZ$1001,805,D$2)&amp;""),""))</f>
        <v/>
      </c>
      <c r="E806">
        <f>IF(E$2=0,"",IFERROR(TRIM(INDEX('Pegar docentes'!$A$1:$BZ$1001,805,E$2)&amp;""),""))</f>
        <v/>
      </c>
      <c r="F806">
        <f>IF(F$2=0,"",IFERROR(TRIM(INDEX('Pegar docentes'!$A$1:$BZ$1001,805,F$2)&amp;""),""))</f>
        <v/>
      </c>
      <c r="G806">
        <f>IF(G$2=0,"",IFERROR(TRIM(INDEX('Pegar docentes'!$A$1:$BZ$1001,805,G$2)&amp;""),""))</f>
        <v/>
      </c>
      <c r="H806">
        <f>IF(H$2=0,"",IFERROR(TRIM(INDEX('Pegar docentes'!$A$1:$BZ$1001,805,H$2)&amp;""),""))</f>
        <v/>
      </c>
      <c r="I806">
        <f>IF(I$2=0,"",IFERROR(TRIM(INDEX('Pegar docentes'!$A$1:$BZ$1001,805,I$2)&amp;""),""))</f>
        <v/>
      </c>
      <c r="J806">
        <f>IF(J$2=0,"",IFERROR(TRIM(INDEX('Pegar docentes'!$A$1:$BZ$1001,805,J$2)&amp;""),""))</f>
        <v/>
      </c>
      <c r="K806">
        <f>IF(K$2=0,"",IFERROR(TRIM(INDEX('Pegar docentes'!$A$1:$BZ$1001,805,K$2)&amp;""),""))</f>
        <v/>
      </c>
      <c r="L806">
        <f>IF(L$2=0,"",IFERROR(TRIM(INDEX('Pegar docentes'!$A$1:$BZ$1001,805,L$2)&amp;""),""))</f>
        <v/>
      </c>
      <c r="M806">
        <f>IF(M$2=0,"",IFERROR(TRIM(INDEX('Pegar docentes'!$A$1:$BZ$1001,805,M$2)&amp;""),""))</f>
        <v/>
      </c>
      <c r="N806">
        <f>IF(N$2=0,"",IFERROR(TRIM(INDEX('Pegar docentes'!$A$1:$BZ$1001,805,N$2)&amp;""),""))</f>
        <v/>
      </c>
      <c r="O806">
        <f>IF(O$2=0,"",IFERROR(TRIM(INDEX('Pegar docentes'!$A$1:$BZ$1001,805,O$2)&amp;""),""))</f>
        <v/>
      </c>
      <c r="P806">
        <f>IF(P$2=0,"",IFERROR(TRIM(INDEX('Pegar docentes'!$A$1:$BZ$1001,805,P$2)&amp;""),""))</f>
        <v/>
      </c>
      <c r="Q806" s="25">
        <f>IF(OR(D806&lt;&gt;"",H806&lt;&gt;""),1,"")</f>
        <v/>
      </c>
      <c r="R806" s="25">
        <f>IF(Q806=1,IF(ISNUMBER(FIND("#"&amp;MID(D806,1,1)&amp;"#","#0#1#2#3#4#5#6#7#8#9#")),IF(ISNUMBER(FIND("#"&amp;MID(D806,2,1)&amp;"#","#0#1#2#3#4#5#6#7#8#9#")),IF(AND(VALUE(LEFT(D806,2))&gt;=1,VALUE(LEFT(D806,2))&lt;=5),VALUE(LEFT(D806,2)),""),IF(AND(VALUE(LEFT(D806,1))&gt;=1,VALUE(LEFT(D806,1))&lt;=5),VALUE(LEFT(D806,1)),"")),""),"")</f>
        <v/>
      </c>
      <c r="S806" s="25">
        <f>IF(AND(Q806=1,E806&lt;&gt;""),SUBSTITUTE(SUBSTITUTE(SUBSTITUTE(SUBSTITUTE(SUBSTITUTE(SUBSTITUTE(SUBSTITUTE(SUBSTITUTE(SUBSTITUTE(SUBSTITUTE(SUBSTITUTE(SUBSTITUTE(LOWER(TRIM(E806)),"á","a"),"é","e"),"í","i"),"ó","o"),"ú","u"),"ü","u"),"ñ","n"),"à","a"),"è","e"),"ì","i"),"ò","o"),"ù","u"),"")</f>
        <v/>
      </c>
      <c r="T806" s="25">
        <f>IF(AND(Q806=1,G806&lt;&gt;""),SUBSTITUTE(SUBSTITUTE(SUBSTITUTE(SUBSTITUTE(SUBSTITUTE(SUBSTITUTE(SUBSTITUTE(SUBSTITUTE(SUBSTITUTE(SUBSTITUTE(SUBSTITUTE(SUBSTITUTE(LOWER(TRIM(G806)),"á","a"),"é","e"),"í","i"),"ó","o"),"ú","u"),"ü","u"),"ñ","n"),"à","a"),"è","e"),"ì","i"),"ò","o"),"ù","u"),"")</f>
        <v/>
      </c>
      <c r="U806" s="25">
        <f>IF(AND(Q806=1,H806&lt;&gt;""),SUBSTITUTE(SUBSTITUTE(SUBSTITUTE(SUBSTITUTE(SUBSTITUTE(SUBSTITUTE(SUBSTITUTE(SUBSTITUTE(SUBSTITUTE(SUBSTITUTE(SUBSTITUTE(SUBSTITUTE(LOWER(TRIM(H806)),"á","a"),"é","e"),"í","i"),"ó","o"),"ú","u"),"ü","u"),"ñ","n"),"à","a"),"è","e"),"ì","i"),"ò","o"),"ù","u"),"")</f>
        <v/>
      </c>
      <c r="V806" s="25">
        <f>IF(AND(Q806=1,L806&lt;&gt;""),SUBSTITUTE(SUBSTITUTE(SUBSTITUTE(SUBSTITUTE(SUBSTITUTE(SUBSTITUTE(SUBSTITUTE(SUBSTITUTE(SUBSTITUTE(SUBSTITUTE(SUBSTITUTE(SUBSTITUTE(LOWER(TRIM(L806)),"á","a"),"é","e"),"í","i"),"ó","o"),"ú","u"),"ü","u"),"ñ","n"),"à","a"),"è","e"),"ì","i"),"ò","o"),"ù","u"),"")</f>
        <v/>
      </c>
      <c r="W806" s="25">
        <f>IF(AND(Q806=1,I806&lt;&gt;""),SUBSTITUTE(SUBSTITUTE(SUBSTITUTE(SUBSTITUTE(SUBSTITUTE(SUBSTITUTE(SUBSTITUTE(SUBSTITUTE(SUBSTITUTE(SUBSTITUTE(SUBSTITUTE(SUBSTITUTE(LOWER(TRIM(I806)),"á","a"),"é","e"),"í","i"),"ó","o"),"ú","u"),"ü","u"),"ñ","n"),"à","a"),"è","e"),"ì","i"),"ò","o"),"ù","u"),"")</f>
        <v/>
      </c>
      <c r="X806" s="25">
        <f>IF(U806="","",IF(OR(U806="si, en la proxima tarea",U806="si, con cambios"),1,0))</f>
        <v/>
      </c>
      <c r="Y806" s="25">
        <f>IF(AND(Q806=1,A806&lt;&gt;""),IF(IFERROR(COUNTIFS(A$3:A806,"="&amp;SUBSTITUTE(SUBSTITUTE(SUBSTITUTE(A806,"~","~~"),"*","~*"),"?","~?"),Q$3:Q806,1),0)=1,MAX(Y$2:Y805)+1,""),"")</f>
        <v/>
      </c>
      <c r="Z806" s="25">
        <f>IF(Y806="","",COUNTIFS($A$3:$A$1002,"="&amp;SUBSTITUTE(SUBSTITUTE(SUBSTITUTE(A806,"~","~~"),"*","~*"),"?","~?"),$Q$3:$Q$1002,1)*10000-Y806)</f>
        <v/>
      </c>
    </row>
    <row r="807">
      <c r="A807">
        <f>IF(A$2=0,"",IFERROR(TRIM(INDEX('Pegar docentes'!$A$1:$BZ$1001,806,A$2)&amp;""),""))</f>
        <v/>
      </c>
      <c r="B807">
        <f>IF(B$2=0,"",IFERROR(TRIM(INDEX('Pegar docentes'!$A$1:$BZ$1001,806,B$2)&amp;""),""))</f>
        <v/>
      </c>
      <c r="C807">
        <f>IF(C$2=0,"",IFERROR(TRIM(INDEX('Pegar docentes'!$A$1:$BZ$1001,806,C$2)&amp;""),""))</f>
        <v/>
      </c>
      <c r="D807">
        <f>IF(D$2=0,"",IFERROR(TRIM(INDEX('Pegar docentes'!$A$1:$BZ$1001,806,D$2)&amp;""),""))</f>
        <v/>
      </c>
      <c r="E807">
        <f>IF(E$2=0,"",IFERROR(TRIM(INDEX('Pegar docentes'!$A$1:$BZ$1001,806,E$2)&amp;""),""))</f>
        <v/>
      </c>
      <c r="F807">
        <f>IF(F$2=0,"",IFERROR(TRIM(INDEX('Pegar docentes'!$A$1:$BZ$1001,806,F$2)&amp;""),""))</f>
        <v/>
      </c>
      <c r="G807">
        <f>IF(G$2=0,"",IFERROR(TRIM(INDEX('Pegar docentes'!$A$1:$BZ$1001,806,G$2)&amp;""),""))</f>
        <v/>
      </c>
      <c r="H807">
        <f>IF(H$2=0,"",IFERROR(TRIM(INDEX('Pegar docentes'!$A$1:$BZ$1001,806,H$2)&amp;""),""))</f>
        <v/>
      </c>
      <c r="I807">
        <f>IF(I$2=0,"",IFERROR(TRIM(INDEX('Pegar docentes'!$A$1:$BZ$1001,806,I$2)&amp;""),""))</f>
        <v/>
      </c>
      <c r="J807">
        <f>IF(J$2=0,"",IFERROR(TRIM(INDEX('Pegar docentes'!$A$1:$BZ$1001,806,J$2)&amp;""),""))</f>
        <v/>
      </c>
      <c r="K807">
        <f>IF(K$2=0,"",IFERROR(TRIM(INDEX('Pegar docentes'!$A$1:$BZ$1001,806,K$2)&amp;""),""))</f>
        <v/>
      </c>
      <c r="L807">
        <f>IF(L$2=0,"",IFERROR(TRIM(INDEX('Pegar docentes'!$A$1:$BZ$1001,806,L$2)&amp;""),""))</f>
        <v/>
      </c>
      <c r="M807">
        <f>IF(M$2=0,"",IFERROR(TRIM(INDEX('Pegar docentes'!$A$1:$BZ$1001,806,M$2)&amp;""),""))</f>
        <v/>
      </c>
      <c r="N807">
        <f>IF(N$2=0,"",IFERROR(TRIM(INDEX('Pegar docentes'!$A$1:$BZ$1001,806,N$2)&amp;""),""))</f>
        <v/>
      </c>
      <c r="O807">
        <f>IF(O$2=0,"",IFERROR(TRIM(INDEX('Pegar docentes'!$A$1:$BZ$1001,806,O$2)&amp;""),""))</f>
        <v/>
      </c>
      <c r="P807">
        <f>IF(P$2=0,"",IFERROR(TRIM(INDEX('Pegar docentes'!$A$1:$BZ$1001,806,P$2)&amp;""),""))</f>
        <v/>
      </c>
      <c r="Q807" s="25">
        <f>IF(OR(D807&lt;&gt;"",H807&lt;&gt;""),1,"")</f>
        <v/>
      </c>
      <c r="R807" s="25">
        <f>IF(Q807=1,IF(ISNUMBER(FIND("#"&amp;MID(D807,1,1)&amp;"#","#0#1#2#3#4#5#6#7#8#9#")),IF(ISNUMBER(FIND("#"&amp;MID(D807,2,1)&amp;"#","#0#1#2#3#4#5#6#7#8#9#")),IF(AND(VALUE(LEFT(D807,2))&gt;=1,VALUE(LEFT(D807,2))&lt;=5),VALUE(LEFT(D807,2)),""),IF(AND(VALUE(LEFT(D807,1))&gt;=1,VALUE(LEFT(D807,1))&lt;=5),VALUE(LEFT(D807,1)),"")),""),"")</f>
        <v/>
      </c>
      <c r="S807" s="25">
        <f>IF(AND(Q807=1,E807&lt;&gt;""),SUBSTITUTE(SUBSTITUTE(SUBSTITUTE(SUBSTITUTE(SUBSTITUTE(SUBSTITUTE(SUBSTITUTE(SUBSTITUTE(SUBSTITUTE(SUBSTITUTE(SUBSTITUTE(SUBSTITUTE(LOWER(TRIM(E807)),"á","a"),"é","e"),"í","i"),"ó","o"),"ú","u"),"ü","u"),"ñ","n"),"à","a"),"è","e"),"ì","i"),"ò","o"),"ù","u"),"")</f>
        <v/>
      </c>
      <c r="T807" s="25">
        <f>IF(AND(Q807=1,G807&lt;&gt;""),SUBSTITUTE(SUBSTITUTE(SUBSTITUTE(SUBSTITUTE(SUBSTITUTE(SUBSTITUTE(SUBSTITUTE(SUBSTITUTE(SUBSTITUTE(SUBSTITUTE(SUBSTITUTE(SUBSTITUTE(LOWER(TRIM(G807)),"á","a"),"é","e"),"í","i"),"ó","o"),"ú","u"),"ü","u"),"ñ","n"),"à","a"),"è","e"),"ì","i"),"ò","o"),"ù","u"),"")</f>
        <v/>
      </c>
      <c r="U807" s="25">
        <f>IF(AND(Q807=1,H807&lt;&gt;""),SUBSTITUTE(SUBSTITUTE(SUBSTITUTE(SUBSTITUTE(SUBSTITUTE(SUBSTITUTE(SUBSTITUTE(SUBSTITUTE(SUBSTITUTE(SUBSTITUTE(SUBSTITUTE(SUBSTITUTE(LOWER(TRIM(H807)),"á","a"),"é","e"),"í","i"),"ó","o"),"ú","u"),"ü","u"),"ñ","n"),"à","a"),"è","e"),"ì","i"),"ò","o"),"ù","u"),"")</f>
        <v/>
      </c>
      <c r="V807" s="25">
        <f>IF(AND(Q807=1,L807&lt;&gt;""),SUBSTITUTE(SUBSTITUTE(SUBSTITUTE(SUBSTITUTE(SUBSTITUTE(SUBSTITUTE(SUBSTITUTE(SUBSTITUTE(SUBSTITUTE(SUBSTITUTE(SUBSTITUTE(SUBSTITUTE(LOWER(TRIM(L807)),"á","a"),"é","e"),"í","i"),"ó","o"),"ú","u"),"ü","u"),"ñ","n"),"à","a"),"è","e"),"ì","i"),"ò","o"),"ù","u"),"")</f>
        <v/>
      </c>
      <c r="W807" s="25">
        <f>IF(AND(Q807=1,I807&lt;&gt;""),SUBSTITUTE(SUBSTITUTE(SUBSTITUTE(SUBSTITUTE(SUBSTITUTE(SUBSTITUTE(SUBSTITUTE(SUBSTITUTE(SUBSTITUTE(SUBSTITUTE(SUBSTITUTE(SUBSTITUTE(LOWER(TRIM(I807)),"á","a"),"é","e"),"í","i"),"ó","o"),"ú","u"),"ü","u"),"ñ","n"),"à","a"),"è","e"),"ì","i"),"ò","o"),"ù","u"),"")</f>
        <v/>
      </c>
      <c r="X807" s="25">
        <f>IF(U807="","",IF(OR(U807="si, en la proxima tarea",U807="si, con cambios"),1,0))</f>
        <v/>
      </c>
      <c r="Y807" s="25">
        <f>IF(AND(Q807=1,A807&lt;&gt;""),IF(IFERROR(COUNTIFS(A$3:A807,"="&amp;SUBSTITUTE(SUBSTITUTE(SUBSTITUTE(A807,"~","~~"),"*","~*"),"?","~?"),Q$3:Q807,1),0)=1,MAX(Y$2:Y806)+1,""),"")</f>
        <v/>
      </c>
      <c r="Z807" s="25">
        <f>IF(Y807="","",COUNTIFS($A$3:$A$1002,"="&amp;SUBSTITUTE(SUBSTITUTE(SUBSTITUTE(A807,"~","~~"),"*","~*"),"?","~?"),$Q$3:$Q$1002,1)*10000-Y807)</f>
        <v/>
      </c>
    </row>
    <row r="808">
      <c r="A808">
        <f>IF(A$2=0,"",IFERROR(TRIM(INDEX('Pegar docentes'!$A$1:$BZ$1001,807,A$2)&amp;""),""))</f>
        <v/>
      </c>
      <c r="B808">
        <f>IF(B$2=0,"",IFERROR(TRIM(INDEX('Pegar docentes'!$A$1:$BZ$1001,807,B$2)&amp;""),""))</f>
        <v/>
      </c>
      <c r="C808">
        <f>IF(C$2=0,"",IFERROR(TRIM(INDEX('Pegar docentes'!$A$1:$BZ$1001,807,C$2)&amp;""),""))</f>
        <v/>
      </c>
      <c r="D808">
        <f>IF(D$2=0,"",IFERROR(TRIM(INDEX('Pegar docentes'!$A$1:$BZ$1001,807,D$2)&amp;""),""))</f>
        <v/>
      </c>
      <c r="E808">
        <f>IF(E$2=0,"",IFERROR(TRIM(INDEX('Pegar docentes'!$A$1:$BZ$1001,807,E$2)&amp;""),""))</f>
        <v/>
      </c>
      <c r="F808">
        <f>IF(F$2=0,"",IFERROR(TRIM(INDEX('Pegar docentes'!$A$1:$BZ$1001,807,F$2)&amp;""),""))</f>
        <v/>
      </c>
      <c r="G808">
        <f>IF(G$2=0,"",IFERROR(TRIM(INDEX('Pegar docentes'!$A$1:$BZ$1001,807,G$2)&amp;""),""))</f>
        <v/>
      </c>
      <c r="H808">
        <f>IF(H$2=0,"",IFERROR(TRIM(INDEX('Pegar docentes'!$A$1:$BZ$1001,807,H$2)&amp;""),""))</f>
        <v/>
      </c>
      <c r="I808">
        <f>IF(I$2=0,"",IFERROR(TRIM(INDEX('Pegar docentes'!$A$1:$BZ$1001,807,I$2)&amp;""),""))</f>
        <v/>
      </c>
      <c r="J808">
        <f>IF(J$2=0,"",IFERROR(TRIM(INDEX('Pegar docentes'!$A$1:$BZ$1001,807,J$2)&amp;""),""))</f>
        <v/>
      </c>
      <c r="K808">
        <f>IF(K$2=0,"",IFERROR(TRIM(INDEX('Pegar docentes'!$A$1:$BZ$1001,807,K$2)&amp;""),""))</f>
        <v/>
      </c>
      <c r="L808">
        <f>IF(L$2=0,"",IFERROR(TRIM(INDEX('Pegar docentes'!$A$1:$BZ$1001,807,L$2)&amp;""),""))</f>
        <v/>
      </c>
      <c r="M808">
        <f>IF(M$2=0,"",IFERROR(TRIM(INDEX('Pegar docentes'!$A$1:$BZ$1001,807,M$2)&amp;""),""))</f>
        <v/>
      </c>
      <c r="N808">
        <f>IF(N$2=0,"",IFERROR(TRIM(INDEX('Pegar docentes'!$A$1:$BZ$1001,807,N$2)&amp;""),""))</f>
        <v/>
      </c>
      <c r="O808">
        <f>IF(O$2=0,"",IFERROR(TRIM(INDEX('Pegar docentes'!$A$1:$BZ$1001,807,O$2)&amp;""),""))</f>
        <v/>
      </c>
      <c r="P808">
        <f>IF(P$2=0,"",IFERROR(TRIM(INDEX('Pegar docentes'!$A$1:$BZ$1001,807,P$2)&amp;""),""))</f>
        <v/>
      </c>
      <c r="Q808" s="25">
        <f>IF(OR(D808&lt;&gt;"",H808&lt;&gt;""),1,"")</f>
        <v/>
      </c>
      <c r="R808" s="25">
        <f>IF(Q808=1,IF(ISNUMBER(FIND("#"&amp;MID(D808,1,1)&amp;"#","#0#1#2#3#4#5#6#7#8#9#")),IF(ISNUMBER(FIND("#"&amp;MID(D808,2,1)&amp;"#","#0#1#2#3#4#5#6#7#8#9#")),IF(AND(VALUE(LEFT(D808,2))&gt;=1,VALUE(LEFT(D808,2))&lt;=5),VALUE(LEFT(D808,2)),""),IF(AND(VALUE(LEFT(D808,1))&gt;=1,VALUE(LEFT(D808,1))&lt;=5),VALUE(LEFT(D808,1)),"")),""),"")</f>
        <v/>
      </c>
      <c r="S808" s="25">
        <f>IF(AND(Q808=1,E808&lt;&gt;""),SUBSTITUTE(SUBSTITUTE(SUBSTITUTE(SUBSTITUTE(SUBSTITUTE(SUBSTITUTE(SUBSTITUTE(SUBSTITUTE(SUBSTITUTE(SUBSTITUTE(SUBSTITUTE(SUBSTITUTE(LOWER(TRIM(E808)),"á","a"),"é","e"),"í","i"),"ó","o"),"ú","u"),"ü","u"),"ñ","n"),"à","a"),"è","e"),"ì","i"),"ò","o"),"ù","u"),"")</f>
        <v/>
      </c>
      <c r="T808" s="25">
        <f>IF(AND(Q808=1,G808&lt;&gt;""),SUBSTITUTE(SUBSTITUTE(SUBSTITUTE(SUBSTITUTE(SUBSTITUTE(SUBSTITUTE(SUBSTITUTE(SUBSTITUTE(SUBSTITUTE(SUBSTITUTE(SUBSTITUTE(SUBSTITUTE(LOWER(TRIM(G808)),"á","a"),"é","e"),"í","i"),"ó","o"),"ú","u"),"ü","u"),"ñ","n"),"à","a"),"è","e"),"ì","i"),"ò","o"),"ù","u"),"")</f>
        <v/>
      </c>
      <c r="U808" s="25">
        <f>IF(AND(Q808=1,H808&lt;&gt;""),SUBSTITUTE(SUBSTITUTE(SUBSTITUTE(SUBSTITUTE(SUBSTITUTE(SUBSTITUTE(SUBSTITUTE(SUBSTITUTE(SUBSTITUTE(SUBSTITUTE(SUBSTITUTE(SUBSTITUTE(LOWER(TRIM(H808)),"á","a"),"é","e"),"í","i"),"ó","o"),"ú","u"),"ü","u"),"ñ","n"),"à","a"),"è","e"),"ì","i"),"ò","o"),"ù","u"),"")</f>
        <v/>
      </c>
      <c r="V808" s="25">
        <f>IF(AND(Q808=1,L808&lt;&gt;""),SUBSTITUTE(SUBSTITUTE(SUBSTITUTE(SUBSTITUTE(SUBSTITUTE(SUBSTITUTE(SUBSTITUTE(SUBSTITUTE(SUBSTITUTE(SUBSTITUTE(SUBSTITUTE(SUBSTITUTE(LOWER(TRIM(L808)),"á","a"),"é","e"),"í","i"),"ó","o"),"ú","u"),"ü","u"),"ñ","n"),"à","a"),"è","e"),"ì","i"),"ò","o"),"ù","u"),"")</f>
        <v/>
      </c>
      <c r="W808" s="25">
        <f>IF(AND(Q808=1,I808&lt;&gt;""),SUBSTITUTE(SUBSTITUTE(SUBSTITUTE(SUBSTITUTE(SUBSTITUTE(SUBSTITUTE(SUBSTITUTE(SUBSTITUTE(SUBSTITUTE(SUBSTITUTE(SUBSTITUTE(SUBSTITUTE(LOWER(TRIM(I808)),"á","a"),"é","e"),"í","i"),"ó","o"),"ú","u"),"ü","u"),"ñ","n"),"à","a"),"è","e"),"ì","i"),"ò","o"),"ù","u"),"")</f>
        <v/>
      </c>
      <c r="X808" s="25">
        <f>IF(U808="","",IF(OR(U808="si, en la proxima tarea",U808="si, con cambios"),1,0))</f>
        <v/>
      </c>
      <c r="Y808" s="25">
        <f>IF(AND(Q808=1,A808&lt;&gt;""),IF(IFERROR(COUNTIFS(A$3:A808,"="&amp;SUBSTITUTE(SUBSTITUTE(SUBSTITUTE(A808,"~","~~"),"*","~*"),"?","~?"),Q$3:Q808,1),0)=1,MAX(Y$2:Y807)+1,""),"")</f>
        <v/>
      </c>
      <c r="Z808" s="25">
        <f>IF(Y808="","",COUNTIFS($A$3:$A$1002,"="&amp;SUBSTITUTE(SUBSTITUTE(SUBSTITUTE(A808,"~","~~"),"*","~*"),"?","~?"),$Q$3:$Q$1002,1)*10000-Y808)</f>
        <v/>
      </c>
    </row>
    <row r="809">
      <c r="A809">
        <f>IF(A$2=0,"",IFERROR(TRIM(INDEX('Pegar docentes'!$A$1:$BZ$1001,808,A$2)&amp;""),""))</f>
        <v/>
      </c>
      <c r="B809">
        <f>IF(B$2=0,"",IFERROR(TRIM(INDEX('Pegar docentes'!$A$1:$BZ$1001,808,B$2)&amp;""),""))</f>
        <v/>
      </c>
      <c r="C809">
        <f>IF(C$2=0,"",IFERROR(TRIM(INDEX('Pegar docentes'!$A$1:$BZ$1001,808,C$2)&amp;""),""))</f>
        <v/>
      </c>
      <c r="D809">
        <f>IF(D$2=0,"",IFERROR(TRIM(INDEX('Pegar docentes'!$A$1:$BZ$1001,808,D$2)&amp;""),""))</f>
        <v/>
      </c>
      <c r="E809">
        <f>IF(E$2=0,"",IFERROR(TRIM(INDEX('Pegar docentes'!$A$1:$BZ$1001,808,E$2)&amp;""),""))</f>
        <v/>
      </c>
      <c r="F809">
        <f>IF(F$2=0,"",IFERROR(TRIM(INDEX('Pegar docentes'!$A$1:$BZ$1001,808,F$2)&amp;""),""))</f>
        <v/>
      </c>
      <c r="G809">
        <f>IF(G$2=0,"",IFERROR(TRIM(INDEX('Pegar docentes'!$A$1:$BZ$1001,808,G$2)&amp;""),""))</f>
        <v/>
      </c>
      <c r="H809">
        <f>IF(H$2=0,"",IFERROR(TRIM(INDEX('Pegar docentes'!$A$1:$BZ$1001,808,H$2)&amp;""),""))</f>
        <v/>
      </c>
      <c r="I809">
        <f>IF(I$2=0,"",IFERROR(TRIM(INDEX('Pegar docentes'!$A$1:$BZ$1001,808,I$2)&amp;""),""))</f>
        <v/>
      </c>
      <c r="J809">
        <f>IF(J$2=0,"",IFERROR(TRIM(INDEX('Pegar docentes'!$A$1:$BZ$1001,808,J$2)&amp;""),""))</f>
        <v/>
      </c>
      <c r="K809">
        <f>IF(K$2=0,"",IFERROR(TRIM(INDEX('Pegar docentes'!$A$1:$BZ$1001,808,K$2)&amp;""),""))</f>
        <v/>
      </c>
      <c r="L809">
        <f>IF(L$2=0,"",IFERROR(TRIM(INDEX('Pegar docentes'!$A$1:$BZ$1001,808,L$2)&amp;""),""))</f>
        <v/>
      </c>
      <c r="M809">
        <f>IF(M$2=0,"",IFERROR(TRIM(INDEX('Pegar docentes'!$A$1:$BZ$1001,808,M$2)&amp;""),""))</f>
        <v/>
      </c>
      <c r="N809">
        <f>IF(N$2=0,"",IFERROR(TRIM(INDEX('Pegar docentes'!$A$1:$BZ$1001,808,N$2)&amp;""),""))</f>
        <v/>
      </c>
      <c r="O809">
        <f>IF(O$2=0,"",IFERROR(TRIM(INDEX('Pegar docentes'!$A$1:$BZ$1001,808,O$2)&amp;""),""))</f>
        <v/>
      </c>
      <c r="P809">
        <f>IF(P$2=0,"",IFERROR(TRIM(INDEX('Pegar docentes'!$A$1:$BZ$1001,808,P$2)&amp;""),""))</f>
        <v/>
      </c>
      <c r="Q809" s="25">
        <f>IF(OR(D809&lt;&gt;"",H809&lt;&gt;""),1,"")</f>
        <v/>
      </c>
      <c r="R809" s="25">
        <f>IF(Q809=1,IF(ISNUMBER(FIND("#"&amp;MID(D809,1,1)&amp;"#","#0#1#2#3#4#5#6#7#8#9#")),IF(ISNUMBER(FIND("#"&amp;MID(D809,2,1)&amp;"#","#0#1#2#3#4#5#6#7#8#9#")),IF(AND(VALUE(LEFT(D809,2))&gt;=1,VALUE(LEFT(D809,2))&lt;=5),VALUE(LEFT(D809,2)),""),IF(AND(VALUE(LEFT(D809,1))&gt;=1,VALUE(LEFT(D809,1))&lt;=5),VALUE(LEFT(D809,1)),"")),""),"")</f>
        <v/>
      </c>
      <c r="S809" s="25">
        <f>IF(AND(Q809=1,E809&lt;&gt;""),SUBSTITUTE(SUBSTITUTE(SUBSTITUTE(SUBSTITUTE(SUBSTITUTE(SUBSTITUTE(SUBSTITUTE(SUBSTITUTE(SUBSTITUTE(SUBSTITUTE(SUBSTITUTE(SUBSTITUTE(LOWER(TRIM(E809)),"á","a"),"é","e"),"í","i"),"ó","o"),"ú","u"),"ü","u"),"ñ","n"),"à","a"),"è","e"),"ì","i"),"ò","o"),"ù","u"),"")</f>
        <v/>
      </c>
      <c r="T809" s="25">
        <f>IF(AND(Q809=1,G809&lt;&gt;""),SUBSTITUTE(SUBSTITUTE(SUBSTITUTE(SUBSTITUTE(SUBSTITUTE(SUBSTITUTE(SUBSTITUTE(SUBSTITUTE(SUBSTITUTE(SUBSTITUTE(SUBSTITUTE(SUBSTITUTE(LOWER(TRIM(G809)),"á","a"),"é","e"),"í","i"),"ó","o"),"ú","u"),"ü","u"),"ñ","n"),"à","a"),"è","e"),"ì","i"),"ò","o"),"ù","u"),"")</f>
        <v/>
      </c>
      <c r="U809" s="25">
        <f>IF(AND(Q809=1,H809&lt;&gt;""),SUBSTITUTE(SUBSTITUTE(SUBSTITUTE(SUBSTITUTE(SUBSTITUTE(SUBSTITUTE(SUBSTITUTE(SUBSTITUTE(SUBSTITUTE(SUBSTITUTE(SUBSTITUTE(SUBSTITUTE(LOWER(TRIM(H809)),"á","a"),"é","e"),"í","i"),"ó","o"),"ú","u"),"ü","u"),"ñ","n"),"à","a"),"è","e"),"ì","i"),"ò","o"),"ù","u"),"")</f>
        <v/>
      </c>
      <c r="V809" s="25">
        <f>IF(AND(Q809=1,L809&lt;&gt;""),SUBSTITUTE(SUBSTITUTE(SUBSTITUTE(SUBSTITUTE(SUBSTITUTE(SUBSTITUTE(SUBSTITUTE(SUBSTITUTE(SUBSTITUTE(SUBSTITUTE(SUBSTITUTE(SUBSTITUTE(LOWER(TRIM(L809)),"á","a"),"é","e"),"í","i"),"ó","o"),"ú","u"),"ü","u"),"ñ","n"),"à","a"),"è","e"),"ì","i"),"ò","o"),"ù","u"),"")</f>
        <v/>
      </c>
      <c r="W809" s="25">
        <f>IF(AND(Q809=1,I809&lt;&gt;""),SUBSTITUTE(SUBSTITUTE(SUBSTITUTE(SUBSTITUTE(SUBSTITUTE(SUBSTITUTE(SUBSTITUTE(SUBSTITUTE(SUBSTITUTE(SUBSTITUTE(SUBSTITUTE(SUBSTITUTE(LOWER(TRIM(I809)),"á","a"),"é","e"),"í","i"),"ó","o"),"ú","u"),"ü","u"),"ñ","n"),"à","a"),"è","e"),"ì","i"),"ò","o"),"ù","u"),"")</f>
        <v/>
      </c>
      <c r="X809" s="25">
        <f>IF(U809="","",IF(OR(U809="si, en la proxima tarea",U809="si, con cambios"),1,0))</f>
        <v/>
      </c>
      <c r="Y809" s="25">
        <f>IF(AND(Q809=1,A809&lt;&gt;""),IF(IFERROR(COUNTIFS(A$3:A809,"="&amp;SUBSTITUTE(SUBSTITUTE(SUBSTITUTE(A809,"~","~~"),"*","~*"),"?","~?"),Q$3:Q809,1),0)=1,MAX(Y$2:Y808)+1,""),"")</f>
        <v/>
      </c>
      <c r="Z809" s="25">
        <f>IF(Y809="","",COUNTIFS($A$3:$A$1002,"="&amp;SUBSTITUTE(SUBSTITUTE(SUBSTITUTE(A809,"~","~~"),"*","~*"),"?","~?"),$Q$3:$Q$1002,1)*10000-Y809)</f>
        <v/>
      </c>
    </row>
    <row r="810">
      <c r="A810">
        <f>IF(A$2=0,"",IFERROR(TRIM(INDEX('Pegar docentes'!$A$1:$BZ$1001,809,A$2)&amp;""),""))</f>
        <v/>
      </c>
      <c r="B810">
        <f>IF(B$2=0,"",IFERROR(TRIM(INDEX('Pegar docentes'!$A$1:$BZ$1001,809,B$2)&amp;""),""))</f>
        <v/>
      </c>
      <c r="C810">
        <f>IF(C$2=0,"",IFERROR(TRIM(INDEX('Pegar docentes'!$A$1:$BZ$1001,809,C$2)&amp;""),""))</f>
        <v/>
      </c>
      <c r="D810">
        <f>IF(D$2=0,"",IFERROR(TRIM(INDEX('Pegar docentes'!$A$1:$BZ$1001,809,D$2)&amp;""),""))</f>
        <v/>
      </c>
      <c r="E810">
        <f>IF(E$2=0,"",IFERROR(TRIM(INDEX('Pegar docentes'!$A$1:$BZ$1001,809,E$2)&amp;""),""))</f>
        <v/>
      </c>
      <c r="F810">
        <f>IF(F$2=0,"",IFERROR(TRIM(INDEX('Pegar docentes'!$A$1:$BZ$1001,809,F$2)&amp;""),""))</f>
        <v/>
      </c>
      <c r="G810">
        <f>IF(G$2=0,"",IFERROR(TRIM(INDEX('Pegar docentes'!$A$1:$BZ$1001,809,G$2)&amp;""),""))</f>
        <v/>
      </c>
      <c r="H810">
        <f>IF(H$2=0,"",IFERROR(TRIM(INDEX('Pegar docentes'!$A$1:$BZ$1001,809,H$2)&amp;""),""))</f>
        <v/>
      </c>
      <c r="I810">
        <f>IF(I$2=0,"",IFERROR(TRIM(INDEX('Pegar docentes'!$A$1:$BZ$1001,809,I$2)&amp;""),""))</f>
        <v/>
      </c>
      <c r="J810">
        <f>IF(J$2=0,"",IFERROR(TRIM(INDEX('Pegar docentes'!$A$1:$BZ$1001,809,J$2)&amp;""),""))</f>
        <v/>
      </c>
      <c r="K810">
        <f>IF(K$2=0,"",IFERROR(TRIM(INDEX('Pegar docentes'!$A$1:$BZ$1001,809,K$2)&amp;""),""))</f>
        <v/>
      </c>
      <c r="L810">
        <f>IF(L$2=0,"",IFERROR(TRIM(INDEX('Pegar docentes'!$A$1:$BZ$1001,809,L$2)&amp;""),""))</f>
        <v/>
      </c>
      <c r="M810">
        <f>IF(M$2=0,"",IFERROR(TRIM(INDEX('Pegar docentes'!$A$1:$BZ$1001,809,M$2)&amp;""),""))</f>
        <v/>
      </c>
      <c r="N810">
        <f>IF(N$2=0,"",IFERROR(TRIM(INDEX('Pegar docentes'!$A$1:$BZ$1001,809,N$2)&amp;""),""))</f>
        <v/>
      </c>
      <c r="O810">
        <f>IF(O$2=0,"",IFERROR(TRIM(INDEX('Pegar docentes'!$A$1:$BZ$1001,809,O$2)&amp;""),""))</f>
        <v/>
      </c>
      <c r="P810">
        <f>IF(P$2=0,"",IFERROR(TRIM(INDEX('Pegar docentes'!$A$1:$BZ$1001,809,P$2)&amp;""),""))</f>
        <v/>
      </c>
      <c r="Q810" s="25">
        <f>IF(OR(D810&lt;&gt;"",H810&lt;&gt;""),1,"")</f>
        <v/>
      </c>
      <c r="R810" s="25">
        <f>IF(Q810=1,IF(ISNUMBER(FIND("#"&amp;MID(D810,1,1)&amp;"#","#0#1#2#3#4#5#6#7#8#9#")),IF(ISNUMBER(FIND("#"&amp;MID(D810,2,1)&amp;"#","#0#1#2#3#4#5#6#7#8#9#")),IF(AND(VALUE(LEFT(D810,2))&gt;=1,VALUE(LEFT(D810,2))&lt;=5),VALUE(LEFT(D810,2)),""),IF(AND(VALUE(LEFT(D810,1))&gt;=1,VALUE(LEFT(D810,1))&lt;=5),VALUE(LEFT(D810,1)),"")),""),"")</f>
        <v/>
      </c>
      <c r="S810" s="25">
        <f>IF(AND(Q810=1,E810&lt;&gt;""),SUBSTITUTE(SUBSTITUTE(SUBSTITUTE(SUBSTITUTE(SUBSTITUTE(SUBSTITUTE(SUBSTITUTE(SUBSTITUTE(SUBSTITUTE(SUBSTITUTE(SUBSTITUTE(SUBSTITUTE(LOWER(TRIM(E810)),"á","a"),"é","e"),"í","i"),"ó","o"),"ú","u"),"ü","u"),"ñ","n"),"à","a"),"è","e"),"ì","i"),"ò","o"),"ù","u"),"")</f>
        <v/>
      </c>
      <c r="T810" s="25">
        <f>IF(AND(Q810=1,G810&lt;&gt;""),SUBSTITUTE(SUBSTITUTE(SUBSTITUTE(SUBSTITUTE(SUBSTITUTE(SUBSTITUTE(SUBSTITUTE(SUBSTITUTE(SUBSTITUTE(SUBSTITUTE(SUBSTITUTE(SUBSTITUTE(LOWER(TRIM(G810)),"á","a"),"é","e"),"í","i"),"ó","o"),"ú","u"),"ü","u"),"ñ","n"),"à","a"),"è","e"),"ì","i"),"ò","o"),"ù","u"),"")</f>
        <v/>
      </c>
      <c r="U810" s="25">
        <f>IF(AND(Q810=1,H810&lt;&gt;""),SUBSTITUTE(SUBSTITUTE(SUBSTITUTE(SUBSTITUTE(SUBSTITUTE(SUBSTITUTE(SUBSTITUTE(SUBSTITUTE(SUBSTITUTE(SUBSTITUTE(SUBSTITUTE(SUBSTITUTE(LOWER(TRIM(H810)),"á","a"),"é","e"),"í","i"),"ó","o"),"ú","u"),"ü","u"),"ñ","n"),"à","a"),"è","e"),"ì","i"),"ò","o"),"ù","u"),"")</f>
        <v/>
      </c>
      <c r="V810" s="25">
        <f>IF(AND(Q810=1,L810&lt;&gt;""),SUBSTITUTE(SUBSTITUTE(SUBSTITUTE(SUBSTITUTE(SUBSTITUTE(SUBSTITUTE(SUBSTITUTE(SUBSTITUTE(SUBSTITUTE(SUBSTITUTE(SUBSTITUTE(SUBSTITUTE(LOWER(TRIM(L810)),"á","a"),"é","e"),"í","i"),"ó","o"),"ú","u"),"ü","u"),"ñ","n"),"à","a"),"è","e"),"ì","i"),"ò","o"),"ù","u"),"")</f>
        <v/>
      </c>
      <c r="W810" s="25">
        <f>IF(AND(Q810=1,I810&lt;&gt;""),SUBSTITUTE(SUBSTITUTE(SUBSTITUTE(SUBSTITUTE(SUBSTITUTE(SUBSTITUTE(SUBSTITUTE(SUBSTITUTE(SUBSTITUTE(SUBSTITUTE(SUBSTITUTE(SUBSTITUTE(LOWER(TRIM(I810)),"á","a"),"é","e"),"í","i"),"ó","o"),"ú","u"),"ü","u"),"ñ","n"),"à","a"),"è","e"),"ì","i"),"ò","o"),"ù","u"),"")</f>
        <v/>
      </c>
      <c r="X810" s="25">
        <f>IF(U810="","",IF(OR(U810="si, en la proxima tarea",U810="si, con cambios"),1,0))</f>
        <v/>
      </c>
      <c r="Y810" s="25">
        <f>IF(AND(Q810=1,A810&lt;&gt;""),IF(IFERROR(COUNTIFS(A$3:A810,"="&amp;SUBSTITUTE(SUBSTITUTE(SUBSTITUTE(A810,"~","~~"),"*","~*"),"?","~?"),Q$3:Q810,1),0)=1,MAX(Y$2:Y809)+1,""),"")</f>
        <v/>
      </c>
      <c r="Z810" s="25">
        <f>IF(Y810="","",COUNTIFS($A$3:$A$1002,"="&amp;SUBSTITUTE(SUBSTITUTE(SUBSTITUTE(A810,"~","~~"),"*","~*"),"?","~?"),$Q$3:$Q$1002,1)*10000-Y810)</f>
        <v/>
      </c>
    </row>
    <row r="811">
      <c r="A811">
        <f>IF(A$2=0,"",IFERROR(TRIM(INDEX('Pegar docentes'!$A$1:$BZ$1001,810,A$2)&amp;""),""))</f>
        <v/>
      </c>
      <c r="B811">
        <f>IF(B$2=0,"",IFERROR(TRIM(INDEX('Pegar docentes'!$A$1:$BZ$1001,810,B$2)&amp;""),""))</f>
        <v/>
      </c>
      <c r="C811">
        <f>IF(C$2=0,"",IFERROR(TRIM(INDEX('Pegar docentes'!$A$1:$BZ$1001,810,C$2)&amp;""),""))</f>
        <v/>
      </c>
      <c r="D811">
        <f>IF(D$2=0,"",IFERROR(TRIM(INDEX('Pegar docentes'!$A$1:$BZ$1001,810,D$2)&amp;""),""))</f>
        <v/>
      </c>
      <c r="E811">
        <f>IF(E$2=0,"",IFERROR(TRIM(INDEX('Pegar docentes'!$A$1:$BZ$1001,810,E$2)&amp;""),""))</f>
        <v/>
      </c>
      <c r="F811">
        <f>IF(F$2=0,"",IFERROR(TRIM(INDEX('Pegar docentes'!$A$1:$BZ$1001,810,F$2)&amp;""),""))</f>
        <v/>
      </c>
      <c r="G811">
        <f>IF(G$2=0,"",IFERROR(TRIM(INDEX('Pegar docentes'!$A$1:$BZ$1001,810,G$2)&amp;""),""))</f>
        <v/>
      </c>
      <c r="H811">
        <f>IF(H$2=0,"",IFERROR(TRIM(INDEX('Pegar docentes'!$A$1:$BZ$1001,810,H$2)&amp;""),""))</f>
        <v/>
      </c>
      <c r="I811">
        <f>IF(I$2=0,"",IFERROR(TRIM(INDEX('Pegar docentes'!$A$1:$BZ$1001,810,I$2)&amp;""),""))</f>
        <v/>
      </c>
      <c r="J811">
        <f>IF(J$2=0,"",IFERROR(TRIM(INDEX('Pegar docentes'!$A$1:$BZ$1001,810,J$2)&amp;""),""))</f>
        <v/>
      </c>
      <c r="K811">
        <f>IF(K$2=0,"",IFERROR(TRIM(INDEX('Pegar docentes'!$A$1:$BZ$1001,810,K$2)&amp;""),""))</f>
        <v/>
      </c>
      <c r="L811">
        <f>IF(L$2=0,"",IFERROR(TRIM(INDEX('Pegar docentes'!$A$1:$BZ$1001,810,L$2)&amp;""),""))</f>
        <v/>
      </c>
      <c r="M811">
        <f>IF(M$2=0,"",IFERROR(TRIM(INDEX('Pegar docentes'!$A$1:$BZ$1001,810,M$2)&amp;""),""))</f>
        <v/>
      </c>
      <c r="N811">
        <f>IF(N$2=0,"",IFERROR(TRIM(INDEX('Pegar docentes'!$A$1:$BZ$1001,810,N$2)&amp;""),""))</f>
        <v/>
      </c>
      <c r="O811">
        <f>IF(O$2=0,"",IFERROR(TRIM(INDEX('Pegar docentes'!$A$1:$BZ$1001,810,O$2)&amp;""),""))</f>
        <v/>
      </c>
      <c r="P811">
        <f>IF(P$2=0,"",IFERROR(TRIM(INDEX('Pegar docentes'!$A$1:$BZ$1001,810,P$2)&amp;""),""))</f>
        <v/>
      </c>
      <c r="Q811" s="25">
        <f>IF(OR(D811&lt;&gt;"",H811&lt;&gt;""),1,"")</f>
        <v/>
      </c>
      <c r="R811" s="25">
        <f>IF(Q811=1,IF(ISNUMBER(FIND("#"&amp;MID(D811,1,1)&amp;"#","#0#1#2#3#4#5#6#7#8#9#")),IF(ISNUMBER(FIND("#"&amp;MID(D811,2,1)&amp;"#","#0#1#2#3#4#5#6#7#8#9#")),IF(AND(VALUE(LEFT(D811,2))&gt;=1,VALUE(LEFT(D811,2))&lt;=5),VALUE(LEFT(D811,2)),""),IF(AND(VALUE(LEFT(D811,1))&gt;=1,VALUE(LEFT(D811,1))&lt;=5),VALUE(LEFT(D811,1)),"")),""),"")</f>
        <v/>
      </c>
      <c r="S811" s="25">
        <f>IF(AND(Q811=1,E811&lt;&gt;""),SUBSTITUTE(SUBSTITUTE(SUBSTITUTE(SUBSTITUTE(SUBSTITUTE(SUBSTITUTE(SUBSTITUTE(SUBSTITUTE(SUBSTITUTE(SUBSTITUTE(SUBSTITUTE(SUBSTITUTE(LOWER(TRIM(E811)),"á","a"),"é","e"),"í","i"),"ó","o"),"ú","u"),"ü","u"),"ñ","n"),"à","a"),"è","e"),"ì","i"),"ò","o"),"ù","u"),"")</f>
        <v/>
      </c>
      <c r="T811" s="25">
        <f>IF(AND(Q811=1,G811&lt;&gt;""),SUBSTITUTE(SUBSTITUTE(SUBSTITUTE(SUBSTITUTE(SUBSTITUTE(SUBSTITUTE(SUBSTITUTE(SUBSTITUTE(SUBSTITUTE(SUBSTITUTE(SUBSTITUTE(SUBSTITUTE(LOWER(TRIM(G811)),"á","a"),"é","e"),"í","i"),"ó","o"),"ú","u"),"ü","u"),"ñ","n"),"à","a"),"è","e"),"ì","i"),"ò","o"),"ù","u"),"")</f>
        <v/>
      </c>
      <c r="U811" s="25">
        <f>IF(AND(Q811=1,H811&lt;&gt;""),SUBSTITUTE(SUBSTITUTE(SUBSTITUTE(SUBSTITUTE(SUBSTITUTE(SUBSTITUTE(SUBSTITUTE(SUBSTITUTE(SUBSTITUTE(SUBSTITUTE(SUBSTITUTE(SUBSTITUTE(LOWER(TRIM(H811)),"á","a"),"é","e"),"í","i"),"ó","o"),"ú","u"),"ü","u"),"ñ","n"),"à","a"),"è","e"),"ì","i"),"ò","o"),"ù","u"),"")</f>
        <v/>
      </c>
      <c r="V811" s="25">
        <f>IF(AND(Q811=1,L811&lt;&gt;""),SUBSTITUTE(SUBSTITUTE(SUBSTITUTE(SUBSTITUTE(SUBSTITUTE(SUBSTITUTE(SUBSTITUTE(SUBSTITUTE(SUBSTITUTE(SUBSTITUTE(SUBSTITUTE(SUBSTITUTE(LOWER(TRIM(L811)),"á","a"),"é","e"),"í","i"),"ó","o"),"ú","u"),"ü","u"),"ñ","n"),"à","a"),"è","e"),"ì","i"),"ò","o"),"ù","u"),"")</f>
        <v/>
      </c>
      <c r="W811" s="25">
        <f>IF(AND(Q811=1,I811&lt;&gt;""),SUBSTITUTE(SUBSTITUTE(SUBSTITUTE(SUBSTITUTE(SUBSTITUTE(SUBSTITUTE(SUBSTITUTE(SUBSTITUTE(SUBSTITUTE(SUBSTITUTE(SUBSTITUTE(SUBSTITUTE(LOWER(TRIM(I811)),"á","a"),"é","e"),"í","i"),"ó","o"),"ú","u"),"ü","u"),"ñ","n"),"à","a"),"è","e"),"ì","i"),"ò","o"),"ù","u"),"")</f>
        <v/>
      </c>
      <c r="X811" s="25">
        <f>IF(U811="","",IF(OR(U811="si, en la proxima tarea",U811="si, con cambios"),1,0))</f>
        <v/>
      </c>
      <c r="Y811" s="25">
        <f>IF(AND(Q811=1,A811&lt;&gt;""),IF(IFERROR(COUNTIFS(A$3:A811,"="&amp;SUBSTITUTE(SUBSTITUTE(SUBSTITUTE(A811,"~","~~"),"*","~*"),"?","~?"),Q$3:Q811,1),0)=1,MAX(Y$2:Y810)+1,""),"")</f>
        <v/>
      </c>
      <c r="Z811" s="25">
        <f>IF(Y811="","",COUNTIFS($A$3:$A$1002,"="&amp;SUBSTITUTE(SUBSTITUTE(SUBSTITUTE(A811,"~","~~"),"*","~*"),"?","~?"),$Q$3:$Q$1002,1)*10000-Y811)</f>
        <v/>
      </c>
    </row>
    <row r="812">
      <c r="A812">
        <f>IF(A$2=0,"",IFERROR(TRIM(INDEX('Pegar docentes'!$A$1:$BZ$1001,811,A$2)&amp;""),""))</f>
        <v/>
      </c>
      <c r="B812">
        <f>IF(B$2=0,"",IFERROR(TRIM(INDEX('Pegar docentes'!$A$1:$BZ$1001,811,B$2)&amp;""),""))</f>
        <v/>
      </c>
      <c r="C812">
        <f>IF(C$2=0,"",IFERROR(TRIM(INDEX('Pegar docentes'!$A$1:$BZ$1001,811,C$2)&amp;""),""))</f>
        <v/>
      </c>
      <c r="D812">
        <f>IF(D$2=0,"",IFERROR(TRIM(INDEX('Pegar docentes'!$A$1:$BZ$1001,811,D$2)&amp;""),""))</f>
        <v/>
      </c>
      <c r="E812">
        <f>IF(E$2=0,"",IFERROR(TRIM(INDEX('Pegar docentes'!$A$1:$BZ$1001,811,E$2)&amp;""),""))</f>
        <v/>
      </c>
      <c r="F812">
        <f>IF(F$2=0,"",IFERROR(TRIM(INDEX('Pegar docentes'!$A$1:$BZ$1001,811,F$2)&amp;""),""))</f>
        <v/>
      </c>
      <c r="G812">
        <f>IF(G$2=0,"",IFERROR(TRIM(INDEX('Pegar docentes'!$A$1:$BZ$1001,811,G$2)&amp;""),""))</f>
        <v/>
      </c>
      <c r="H812">
        <f>IF(H$2=0,"",IFERROR(TRIM(INDEX('Pegar docentes'!$A$1:$BZ$1001,811,H$2)&amp;""),""))</f>
        <v/>
      </c>
      <c r="I812">
        <f>IF(I$2=0,"",IFERROR(TRIM(INDEX('Pegar docentes'!$A$1:$BZ$1001,811,I$2)&amp;""),""))</f>
        <v/>
      </c>
      <c r="J812">
        <f>IF(J$2=0,"",IFERROR(TRIM(INDEX('Pegar docentes'!$A$1:$BZ$1001,811,J$2)&amp;""),""))</f>
        <v/>
      </c>
      <c r="K812">
        <f>IF(K$2=0,"",IFERROR(TRIM(INDEX('Pegar docentes'!$A$1:$BZ$1001,811,K$2)&amp;""),""))</f>
        <v/>
      </c>
      <c r="L812">
        <f>IF(L$2=0,"",IFERROR(TRIM(INDEX('Pegar docentes'!$A$1:$BZ$1001,811,L$2)&amp;""),""))</f>
        <v/>
      </c>
      <c r="M812">
        <f>IF(M$2=0,"",IFERROR(TRIM(INDEX('Pegar docentes'!$A$1:$BZ$1001,811,M$2)&amp;""),""))</f>
        <v/>
      </c>
      <c r="N812">
        <f>IF(N$2=0,"",IFERROR(TRIM(INDEX('Pegar docentes'!$A$1:$BZ$1001,811,N$2)&amp;""),""))</f>
        <v/>
      </c>
      <c r="O812">
        <f>IF(O$2=0,"",IFERROR(TRIM(INDEX('Pegar docentes'!$A$1:$BZ$1001,811,O$2)&amp;""),""))</f>
        <v/>
      </c>
      <c r="P812">
        <f>IF(P$2=0,"",IFERROR(TRIM(INDEX('Pegar docentes'!$A$1:$BZ$1001,811,P$2)&amp;""),""))</f>
        <v/>
      </c>
      <c r="Q812" s="25">
        <f>IF(OR(D812&lt;&gt;"",H812&lt;&gt;""),1,"")</f>
        <v/>
      </c>
      <c r="R812" s="25">
        <f>IF(Q812=1,IF(ISNUMBER(FIND("#"&amp;MID(D812,1,1)&amp;"#","#0#1#2#3#4#5#6#7#8#9#")),IF(ISNUMBER(FIND("#"&amp;MID(D812,2,1)&amp;"#","#0#1#2#3#4#5#6#7#8#9#")),IF(AND(VALUE(LEFT(D812,2))&gt;=1,VALUE(LEFT(D812,2))&lt;=5),VALUE(LEFT(D812,2)),""),IF(AND(VALUE(LEFT(D812,1))&gt;=1,VALUE(LEFT(D812,1))&lt;=5),VALUE(LEFT(D812,1)),"")),""),"")</f>
        <v/>
      </c>
      <c r="S812" s="25">
        <f>IF(AND(Q812=1,E812&lt;&gt;""),SUBSTITUTE(SUBSTITUTE(SUBSTITUTE(SUBSTITUTE(SUBSTITUTE(SUBSTITUTE(SUBSTITUTE(SUBSTITUTE(SUBSTITUTE(SUBSTITUTE(SUBSTITUTE(SUBSTITUTE(LOWER(TRIM(E812)),"á","a"),"é","e"),"í","i"),"ó","o"),"ú","u"),"ü","u"),"ñ","n"),"à","a"),"è","e"),"ì","i"),"ò","o"),"ù","u"),"")</f>
        <v/>
      </c>
      <c r="T812" s="25">
        <f>IF(AND(Q812=1,G812&lt;&gt;""),SUBSTITUTE(SUBSTITUTE(SUBSTITUTE(SUBSTITUTE(SUBSTITUTE(SUBSTITUTE(SUBSTITUTE(SUBSTITUTE(SUBSTITUTE(SUBSTITUTE(SUBSTITUTE(SUBSTITUTE(LOWER(TRIM(G812)),"á","a"),"é","e"),"í","i"),"ó","o"),"ú","u"),"ü","u"),"ñ","n"),"à","a"),"è","e"),"ì","i"),"ò","o"),"ù","u"),"")</f>
        <v/>
      </c>
      <c r="U812" s="25">
        <f>IF(AND(Q812=1,H812&lt;&gt;""),SUBSTITUTE(SUBSTITUTE(SUBSTITUTE(SUBSTITUTE(SUBSTITUTE(SUBSTITUTE(SUBSTITUTE(SUBSTITUTE(SUBSTITUTE(SUBSTITUTE(SUBSTITUTE(SUBSTITUTE(LOWER(TRIM(H812)),"á","a"),"é","e"),"í","i"),"ó","o"),"ú","u"),"ü","u"),"ñ","n"),"à","a"),"è","e"),"ì","i"),"ò","o"),"ù","u"),"")</f>
        <v/>
      </c>
      <c r="V812" s="25">
        <f>IF(AND(Q812=1,L812&lt;&gt;""),SUBSTITUTE(SUBSTITUTE(SUBSTITUTE(SUBSTITUTE(SUBSTITUTE(SUBSTITUTE(SUBSTITUTE(SUBSTITUTE(SUBSTITUTE(SUBSTITUTE(SUBSTITUTE(SUBSTITUTE(LOWER(TRIM(L812)),"á","a"),"é","e"),"í","i"),"ó","o"),"ú","u"),"ü","u"),"ñ","n"),"à","a"),"è","e"),"ì","i"),"ò","o"),"ù","u"),"")</f>
        <v/>
      </c>
      <c r="W812" s="25">
        <f>IF(AND(Q812=1,I812&lt;&gt;""),SUBSTITUTE(SUBSTITUTE(SUBSTITUTE(SUBSTITUTE(SUBSTITUTE(SUBSTITUTE(SUBSTITUTE(SUBSTITUTE(SUBSTITUTE(SUBSTITUTE(SUBSTITUTE(SUBSTITUTE(LOWER(TRIM(I812)),"á","a"),"é","e"),"í","i"),"ó","o"),"ú","u"),"ü","u"),"ñ","n"),"à","a"),"è","e"),"ì","i"),"ò","o"),"ù","u"),"")</f>
        <v/>
      </c>
      <c r="X812" s="25">
        <f>IF(U812="","",IF(OR(U812="si, en la proxima tarea",U812="si, con cambios"),1,0))</f>
        <v/>
      </c>
      <c r="Y812" s="25">
        <f>IF(AND(Q812=1,A812&lt;&gt;""),IF(IFERROR(COUNTIFS(A$3:A812,"="&amp;SUBSTITUTE(SUBSTITUTE(SUBSTITUTE(A812,"~","~~"),"*","~*"),"?","~?"),Q$3:Q812,1),0)=1,MAX(Y$2:Y811)+1,""),"")</f>
        <v/>
      </c>
      <c r="Z812" s="25">
        <f>IF(Y812="","",COUNTIFS($A$3:$A$1002,"="&amp;SUBSTITUTE(SUBSTITUTE(SUBSTITUTE(A812,"~","~~"),"*","~*"),"?","~?"),$Q$3:$Q$1002,1)*10000-Y812)</f>
        <v/>
      </c>
    </row>
    <row r="813">
      <c r="A813">
        <f>IF(A$2=0,"",IFERROR(TRIM(INDEX('Pegar docentes'!$A$1:$BZ$1001,812,A$2)&amp;""),""))</f>
        <v/>
      </c>
      <c r="B813">
        <f>IF(B$2=0,"",IFERROR(TRIM(INDEX('Pegar docentes'!$A$1:$BZ$1001,812,B$2)&amp;""),""))</f>
        <v/>
      </c>
      <c r="C813">
        <f>IF(C$2=0,"",IFERROR(TRIM(INDEX('Pegar docentes'!$A$1:$BZ$1001,812,C$2)&amp;""),""))</f>
        <v/>
      </c>
      <c r="D813">
        <f>IF(D$2=0,"",IFERROR(TRIM(INDEX('Pegar docentes'!$A$1:$BZ$1001,812,D$2)&amp;""),""))</f>
        <v/>
      </c>
      <c r="E813">
        <f>IF(E$2=0,"",IFERROR(TRIM(INDEX('Pegar docentes'!$A$1:$BZ$1001,812,E$2)&amp;""),""))</f>
        <v/>
      </c>
      <c r="F813">
        <f>IF(F$2=0,"",IFERROR(TRIM(INDEX('Pegar docentes'!$A$1:$BZ$1001,812,F$2)&amp;""),""))</f>
        <v/>
      </c>
      <c r="G813">
        <f>IF(G$2=0,"",IFERROR(TRIM(INDEX('Pegar docentes'!$A$1:$BZ$1001,812,G$2)&amp;""),""))</f>
        <v/>
      </c>
      <c r="H813">
        <f>IF(H$2=0,"",IFERROR(TRIM(INDEX('Pegar docentes'!$A$1:$BZ$1001,812,H$2)&amp;""),""))</f>
        <v/>
      </c>
      <c r="I813">
        <f>IF(I$2=0,"",IFERROR(TRIM(INDEX('Pegar docentes'!$A$1:$BZ$1001,812,I$2)&amp;""),""))</f>
        <v/>
      </c>
      <c r="J813">
        <f>IF(J$2=0,"",IFERROR(TRIM(INDEX('Pegar docentes'!$A$1:$BZ$1001,812,J$2)&amp;""),""))</f>
        <v/>
      </c>
      <c r="K813">
        <f>IF(K$2=0,"",IFERROR(TRIM(INDEX('Pegar docentes'!$A$1:$BZ$1001,812,K$2)&amp;""),""))</f>
        <v/>
      </c>
      <c r="L813">
        <f>IF(L$2=0,"",IFERROR(TRIM(INDEX('Pegar docentes'!$A$1:$BZ$1001,812,L$2)&amp;""),""))</f>
        <v/>
      </c>
      <c r="M813">
        <f>IF(M$2=0,"",IFERROR(TRIM(INDEX('Pegar docentes'!$A$1:$BZ$1001,812,M$2)&amp;""),""))</f>
        <v/>
      </c>
      <c r="N813">
        <f>IF(N$2=0,"",IFERROR(TRIM(INDEX('Pegar docentes'!$A$1:$BZ$1001,812,N$2)&amp;""),""))</f>
        <v/>
      </c>
      <c r="O813">
        <f>IF(O$2=0,"",IFERROR(TRIM(INDEX('Pegar docentes'!$A$1:$BZ$1001,812,O$2)&amp;""),""))</f>
        <v/>
      </c>
      <c r="P813">
        <f>IF(P$2=0,"",IFERROR(TRIM(INDEX('Pegar docentes'!$A$1:$BZ$1001,812,P$2)&amp;""),""))</f>
        <v/>
      </c>
      <c r="Q813" s="25">
        <f>IF(OR(D813&lt;&gt;"",H813&lt;&gt;""),1,"")</f>
        <v/>
      </c>
      <c r="R813" s="25">
        <f>IF(Q813=1,IF(ISNUMBER(FIND("#"&amp;MID(D813,1,1)&amp;"#","#0#1#2#3#4#5#6#7#8#9#")),IF(ISNUMBER(FIND("#"&amp;MID(D813,2,1)&amp;"#","#0#1#2#3#4#5#6#7#8#9#")),IF(AND(VALUE(LEFT(D813,2))&gt;=1,VALUE(LEFT(D813,2))&lt;=5),VALUE(LEFT(D813,2)),""),IF(AND(VALUE(LEFT(D813,1))&gt;=1,VALUE(LEFT(D813,1))&lt;=5),VALUE(LEFT(D813,1)),"")),""),"")</f>
        <v/>
      </c>
      <c r="S813" s="25">
        <f>IF(AND(Q813=1,E813&lt;&gt;""),SUBSTITUTE(SUBSTITUTE(SUBSTITUTE(SUBSTITUTE(SUBSTITUTE(SUBSTITUTE(SUBSTITUTE(SUBSTITUTE(SUBSTITUTE(SUBSTITUTE(SUBSTITUTE(SUBSTITUTE(LOWER(TRIM(E813)),"á","a"),"é","e"),"í","i"),"ó","o"),"ú","u"),"ü","u"),"ñ","n"),"à","a"),"è","e"),"ì","i"),"ò","o"),"ù","u"),"")</f>
        <v/>
      </c>
      <c r="T813" s="25">
        <f>IF(AND(Q813=1,G813&lt;&gt;""),SUBSTITUTE(SUBSTITUTE(SUBSTITUTE(SUBSTITUTE(SUBSTITUTE(SUBSTITUTE(SUBSTITUTE(SUBSTITUTE(SUBSTITUTE(SUBSTITUTE(SUBSTITUTE(SUBSTITUTE(LOWER(TRIM(G813)),"á","a"),"é","e"),"í","i"),"ó","o"),"ú","u"),"ü","u"),"ñ","n"),"à","a"),"è","e"),"ì","i"),"ò","o"),"ù","u"),"")</f>
        <v/>
      </c>
      <c r="U813" s="25">
        <f>IF(AND(Q813=1,H813&lt;&gt;""),SUBSTITUTE(SUBSTITUTE(SUBSTITUTE(SUBSTITUTE(SUBSTITUTE(SUBSTITUTE(SUBSTITUTE(SUBSTITUTE(SUBSTITUTE(SUBSTITUTE(SUBSTITUTE(SUBSTITUTE(LOWER(TRIM(H813)),"á","a"),"é","e"),"í","i"),"ó","o"),"ú","u"),"ü","u"),"ñ","n"),"à","a"),"è","e"),"ì","i"),"ò","o"),"ù","u"),"")</f>
        <v/>
      </c>
      <c r="V813" s="25">
        <f>IF(AND(Q813=1,L813&lt;&gt;""),SUBSTITUTE(SUBSTITUTE(SUBSTITUTE(SUBSTITUTE(SUBSTITUTE(SUBSTITUTE(SUBSTITUTE(SUBSTITUTE(SUBSTITUTE(SUBSTITUTE(SUBSTITUTE(SUBSTITUTE(LOWER(TRIM(L813)),"á","a"),"é","e"),"í","i"),"ó","o"),"ú","u"),"ü","u"),"ñ","n"),"à","a"),"è","e"),"ì","i"),"ò","o"),"ù","u"),"")</f>
        <v/>
      </c>
      <c r="W813" s="25">
        <f>IF(AND(Q813=1,I813&lt;&gt;""),SUBSTITUTE(SUBSTITUTE(SUBSTITUTE(SUBSTITUTE(SUBSTITUTE(SUBSTITUTE(SUBSTITUTE(SUBSTITUTE(SUBSTITUTE(SUBSTITUTE(SUBSTITUTE(SUBSTITUTE(LOWER(TRIM(I813)),"á","a"),"é","e"),"í","i"),"ó","o"),"ú","u"),"ü","u"),"ñ","n"),"à","a"),"è","e"),"ì","i"),"ò","o"),"ù","u"),"")</f>
        <v/>
      </c>
      <c r="X813" s="25">
        <f>IF(U813="","",IF(OR(U813="si, en la proxima tarea",U813="si, con cambios"),1,0))</f>
        <v/>
      </c>
      <c r="Y813" s="25">
        <f>IF(AND(Q813=1,A813&lt;&gt;""),IF(IFERROR(COUNTIFS(A$3:A813,"="&amp;SUBSTITUTE(SUBSTITUTE(SUBSTITUTE(A813,"~","~~"),"*","~*"),"?","~?"),Q$3:Q813,1),0)=1,MAX(Y$2:Y812)+1,""),"")</f>
        <v/>
      </c>
      <c r="Z813" s="25">
        <f>IF(Y813="","",COUNTIFS($A$3:$A$1002,"="&amp;SUBSTITUTE(SUBSTITUTE(SUBSTITUTE(A813,"~","~~"),"*","~*"),"?","~?"),$Q$3:$Q$1002,1)*10000-Y813)</f>
        <v/>
      </c>
    </row>
    <row r="814">
      <c r="A814">
        <f>IF(A$2=0,"",IFERROR(TRIM(INDEX('Pegar docentes'!$A$1:$BZ$1001,813,A$2)&amp;""),""))</f>
        <v/>
      </c>
      <c r="B814">
        <f>IF(B$2=0,"",IFERROR(TRIM(INDEX('Pegar docentes'!$A$1:$BZ$1001,813,B$2)&amp;""),""))</f>
        <v/>
      </c>
      <c r="C814">
        <f>IF(C$2=0,"",IFERROR(TRIM(INDEX('Pegar docentes'!$A$1:$BZ$1001,813,C$2)&amp;""),""))</f>
        <v/>
      </c>
      <c r="D814">
        <f>IF(D$2=0,"",IFERROR(TRIM(INDEX('Pegar docentes'!$A$1:$BZ$1001,813,D$2)&amp;""),""))</f>
        <v/>
      </c>
      <c r="E814">
        <f>IF(E$2=0,"",IFERROR(TRIM(INDEX('Pegar docentes'!$A$1:$BZ$1001,813,E$2)&amp;""),""))</f>
        <v/>
      </c>
      <c r="F814">
        <f>IF(F$2=0,"",IFERROR(TRIM(INDEX('Pegar docentes'!$A$1:$BZ$1001,813,F$2)&amp;""),""))</f>
        <v/>
      </c>
      <c r="G814">
        <f>IF(G$2=0,"",IFERROR(TRIM(INDEX('Pegar docentes'!$A$1:$BZ$1001,813,G$2)&amp;""),""))</f>
        <v/>
      </c>
      <c r="H814">
        <f>IF(H$2=0,"",IFERROR(TRIM(INDEX('Pegar docentes'!$A$1:$BZ$1001,813,H$2)&amp;""),""))</f>
        <v/>
      </c>
      <c r="I814">
        <f>IF(I$2=0,"",IFERROR(TRIM(INDEX('Pegar docentes'!$A$1:$BZ$1001,813,I$2)&amp;""),""))</f>
        <v/>
      </c>
      <c r="J814">
        <f>IF(J$2=0,"",IFERROR(TRIM(INDEX('Pegar docentes'!$A$1:$BZ$1001,813,J$2)&amp;""),""))</f>
        <v/>
      </c>
      <c r="K814">
        <f>IF(K$2=0,"",IFERROR(TRIM(INDEX('Pegar docentes'!$A$1:$BZ$1001,813,K$2)&amp;""),""))</f>
        <v/>
      </c>
      <c r="L814">
        <f>IF(L$2=0,"",IFERROR(TRIM(INDEX('Pegar docentes'!$A$1:$BZ$1001,813,L$2)&amp;""),""))</f>
        <v/>
      </c>
      <c r="M814">
        <f>IF(M$2=0,"",IFERROR(TRIM(INDEX('Pegar docentes'!$A$1:$BZ$1001,813,M$2)&amp;""),""))</f>
        <v/>
      </c>
      <c r="N814">
        <f>IF(N$2=0,"",IFERROR(TRIM(INDEX('Pegar docentes'!$A$1:$BZ$1001,813,N$2)&amp;""),""))</f>
        <v/>
      </c>
      <c r="O814">
        <f>IF(O$2=0,"",IFERROR(TRIM(INDEX('Pegar docentes'!$A$1:$BZ$1001,813,O$2)&amp;""),""))</f>
        <v/>
      </c>
      <c r="P814">
        <f>IF(P$2=0,"",IFERROR(TRIM(INDEX('Pegar docentes'!$A$1:$BZ$1001,813,P$2)&amp;""),""))</f>
        <v/>
      </c>
      <c r="Q814" s="25">
        <f>IF(OR(D814&lt;&gt;"",H814&lt;&gt;""),1,"")</f>
        <v/>
      </c>
      <c r="R814" s="25">
        <f>IF(Q814=1,IF(ISNUMBER(FIND("#"&amp;MID(D814,1,1)&amp;"#","#0#1#2#3#4#5#6#7#8#9#")),IF(ISNUMBER(FIND("#"&amp;MID(D814,2,1)&amp;"#","#0#1#2#3#4#5#6#7#8#9#")),IF(AND(VALUE(LEFT(D814,2))&gt;=1,VALUE(LEFT(D814,2))&lt;=5),VALUE(LEFT(D814,2)),""),IF(AND(VALUE(LEFT(D814,1))&gt;=1,VALUE(LEFT(D814,1))&lt;=5),VALUE(LEFT(D814,1)),"")),""),"")</f>
        <v/>
      </c>
      <c r="S814" s="25">
        <f>IF(AND(Q814=1,E814&lt;&gt;""),SUBSTITUTE(SUBSTITUTE(SUBSTITUTE(SUBSTITUTE(SUBSTITUTE(SUBSTITUTE(SUBSTITUTE(SUBSTITUTE(SUBSTITUTE(SUBSTITUTE(SUBSTITUTE(SUBSTITUTE(LOWER(TRIM(E814)),"á","a"),"é","e"),"í","i"),"ó","o"),"ú","u"),"ü","u"),"ñ","n"),"à","a"),"è","e"),"ì","i"),"ò","o"),"ù","u"),"")</f>
        <v/>
      </c>
      <c r="T814" s="25">
        <f>IF(AND(Q814=1,G814&lt;&gt;""),SUBSTITUTE(SUBSTITUTE(SUBSTITUTE(SUBSTITUTE(SUBSTITUTE(SUBSTITUTE(SUBSTITUTE(SUBSTITUTE(SUBSTITUTE(SUBSTITUTE(SUBSTITUTE(SUBSTITUTE(LOWER(TRIM(G814)),"á","a"),"é","e"),"í","i"),"ó","o"),"ú","u"),"ü","u"),"ñ","n"),"à","a"),"è","e"),"ì","i"),"ò","o"),"ù","u"),"")</f>
        <v/>
      </c>
      <c r="U814" s="25">
        <f>IF(AND(Q814=1,H814&lt;&gt;""),SUBSTITUTE(SUBSTITUTE(SUBSTITUTE(SUBSTITUTE(SUBSTITUTE(SUBSTITUTE(SUBSTITUTE(SUBSTITUTE(SUBSTITUTE(SUBSTITUTE(SUBSTITUTE(SUBSTITUTE(LOWER(TRIM(H814)),"á","a"),"é","e"),"í","i"),"ó","o"),"ú","u"),"ü","u"),"ñ","n"),"à","a"),"è","e"),"ì","i"),"ò","o"),"ù","u"),"")</f>
        <v/>
      </c>
      <c r="V814" s="25">
        <f>IF(AND(Q814=1,L814&lt;&gt;""),SUBSTITUTE(SUBSTITUTE(SUBSTITUTE(SUBSTITUTE(SUBSTITUTE(SUBSTITUTE(SUBSTITUTE(SUBSTITUTE(SUBSTITUTE(SUBSTITUTE(SUBSTITUTE(SUBSTITUTE(LOWER(TRIM(L814)),"á","a"),"é","e"),"í","i"),"ó","o"),"ú","u"),"ü","u"),"ñ","n"),"à","a"),"è","e"),"ì","i"),"ò","o"),"ù","u"),"")</f>
        <v/>
      </c>
      <c r="W814" s="25">
        <f>IF(AND(Q814=1,I814&lt;&gt;""),SUBSTITUTE(SUBSTITUTE(SUBSTITUTE(SUBSTITUTE(SUBSTITUTE(SUBSTITUTE(SUBSTITUTE(SUBSTITUTE(SUBSTITUTE(SUBSTITUTE(SUBSTITUTE(SUBSTITUTE(LOWER(TRIM(I814)),"á","a"),"é","e"),"í","i"),"ó","o"),"ú","u"),"ü","u"),"ñ","n"),"à","a"),"è","e"),"ì","i"),"ò","o"),"ù","u"),"")</f>
        <v/>
      </c>
      <c r="X814" s="25">
        <f>IF(U814="","",IF(OR(U814="si, en la proxima tarea",U814="si, con cambios"),1,0))</f>
        <v/>
      </c>
      <c r="Y814" s="25">
        <f>IF(AND(Q814=1,A814&lt;&gt;""),IF(IFERROR(COUNTIFS(A$3:A814,"="&amp;SUBSTITUTE(SUBSTITUTE(SUBSTITUTE(A814,"~","~~"),"*","~*"),"?","~?"),Q$3:Q814,1),0)=1,MAX(Y$2:Y813)+1,""),"")</f>
        <v/>
      </c>
      <c r="Z814" s="25">
        <f>IF(Y814="","",COUNTIFS($A$3:$A$1002,"="&amp;SUBSTITUTE(SUBSTITUTE(SUBSTITUTE(A814,"~","~~"),"*","~*"),"?","~?"),$Q$3:$Q$1002,1)*10000-Y814)</f>
        <v/>
      </c>
    </row>
    <row r="815">
      <c r="A815">
        <f>IF(A$2=0,"",IFERROR(TRIM(INDEX('Pegar docentes'!$A$1:$BZ$1001,814,A$2)&amp;""),""))</f>
        <v/>
      </c>
      <c r="B815">
        <f>IF(B$2=0,"",IFERROR(TRIM(INDEX('Pegar docentes'!$A$1:$BZ$1001,814,B$2)&amp;""),""))</f>
        <v/>
      </c>
      <c r="C815">
        <f>IF(C$2=0,"",IFERROR(TRIM(INDEX('Pegar docentes'!$A$1:$BZ$1001,814,C$2)&amp;""),""))</f>
        <v/>
      </c>
      <c r="D815">
        <f>IF(D$2=0,"",IFERROR(TRIM(INDEX('Pegar docentes'!$A$1:$BZ$1001,814,D$2)&amp;""),""))</f>
        <v/>
      </c>
      <c r="E815">
        <f>IF(E$2=0,"",IFERROR(TRIM(INDEX('Pegar docentes'!$A$1:$BZ$1001,814,E$2)&amp;""),""))</f>
        <v/>
      </c>
      <c r="F815">
        <f>IF(F$2=0,"",IFERROR(TRIM(INDEX('Pegar docentes'!$A$1:$BZ$1001,814,F$2)&amp;""),""))</f>
        <v/>
      </c>
      <c r="G815">
        <f>IF(G$2=0,"",IFERROR(TRIM(INDEX('Pegar docentes'!$A$1:$BZ$1001,814,G$2)&amp;""),""))</f>
        <v/>
      </c>
      <c r="H815">
        <f>IF(H$2=0,"",IFERROR(TRIM(INDEX('Pegar docentes'!$A$1:$BZ$1001,814,H$2)&amp;""),""))</f>
        <v/>
      </c>
      <c r="I815">
        <f>IF(I$2=0,"",IFERROR(TRIM(INDEX('Pegar docentes'!$A$1:$BZ$1001,814,I$2)&amp;""),""))</f>
        <v/>
      </c>
      <c r="J815">
        <f>IF(J$2=0,"",IFERROR(TRIM(INDEX('Pegar docentes'!$A$1:$BZ$1001,814,J$2)&amp;""),""))</f>
        <v/>
      </c>
      <c r="K815">
        <f>IF(K$2=0,"",IFERROR(TRIM(INDEX('Pegar docentes'!$A$1:$BZ$1001,814,K$2)&amp;""),""))</f>
        <v/>
      </c>
      <c r="L815">
        <f>IF(L$2=0,"",IFERROR(TRIM(INDEX('Pegar docentes'!$A$1:$BZ$1001,814,L$2)&amp;""),""))</f>
        <v/>
      </c>
      <c r="M815">
        <f>IF(M$2=0,"",IFERROR(TRIM(INDEX('Pegar docentes'!$A$1:$BZ$1001,814,M$2)&amp;""),""))</f>
        <v/>
      </c>
      <c r="N815">
        <f>IF(N$2=0,"",IFERROR(TRIM(INDEX('Pegar docentes'!$A$1:$BZ$1001,814,N$2)&amp;""),""))</f>
        <v/>
      </c>
      <c r="O815">
        <f>IF(O$2=0,"",IFERROR(TRIM(INDEX('Pegar docentes'!$A$1:$BZ$1001,814,O$2)&amp;""),""))</f>
        <v/>
      </c>
      <c r="P815">
        <f>IF(P$2=0,"",IFERROR(TRIM(INDEX('Pegar docentes'!$A$1:$BZ$1001,814,P$2)&amp;""),""))</f>
        <v/>
      </c>
      <c r="Q815" s="25">
        <f>IF(OR(D815&lt;&gt;"",H815&lt;&gt;""),1,"")</f>
        <v/>
      </c>
      <c r="R815" s="25">
        <f>IF(Q815=1,IF(ISNUMBER(FIND("#"&amp;MID(D815,1,1)&amp;"#","#0#1#2#3#4#5#6#7#8#9#")),IF(ISNUMBER(FIND("#"&amp;MID(D815,2,1)&amp;"#","#0#1#2#3#4#5#6#7#8#9#")),IF(AND(VALUE(LEFT(D815,2))&gt;=1,VALUE(LEFT(D815,2))&lt;=5),VALUE(LEFT(D815,2)),""),IF(AND(VALUE(LEFT(D815,1))&gt;=1,VALUE(LEFT(D815,1))&lt;=5),VALUE(LEFT(D815,1)),"")),""),"")</f>
        <v/>
      </c>
      <c r="S815" s="25">
        <f>IF(AND(Q815=1,E815&lt;&gt;""),SUBSTITUTE(SUBSTITUTE(SUBSTITUTE(SUBSTITUTE(SUBSTITUTE(SUBSTITUTE(SUBSTITUTE(SUBSTITUTE(SUBSTITUTE(SUBSTITUTE(SUBSTITUTE(SUBSTITUTE(LOWER(TRIM(E815)),"á","a"),"é","e"),"í","i"),"ó","o"),"ú","u"),"ü","u"),"ñ","n"),"à","a"),"è","e"),"ì","i"),"ò","o"),"ù","u"),"")</f>
        <v/>
      </c>
      <c r="T815" s="25">
        <f>IF(AND(Q815=1,G815&lt;&gt;""),SUBSTITUTE(SUBSTITUTE(SUBSTITUTE(SUBSTITUTE(SUBSTITUTE(SUBSTITUTE(SUBSTITUTE(SUBSTITUTE(SUBSTITUTE(SUBSTITUTE(SUBSTITUTE(SUBSTITUTE(LOWER(TRIM(G815)),"á","a"),"é","e"),"í","i"),"ó","o"),"ú","u"),"ü","u"),"ñ","n"),"à","a"),"è","e"),"ì","i"),"ò","o"),"ù","u"),"")</f>
        <v/>
      </c>
      <c r="U815" s="25">
        <f>IF(AND(Q815=1,H815&lt;&gt;""),SUBSTITUTE(SUBSTITUTE(SUBSTITUTE(SUBSTITUTE(SUBSTITUTE(SUBSTITUTE(SUBSTITUTE(SUBSTITUTE(SUBSTITUTE(SUBSTITUTE(SUBSTITUTE(SUBSTITUTE(LOWER(TRIM(H815)),"á","a"),"é","e"),"í","i"),"ó","o"),"ú","u"),"ü","u"),"ñ","n"),"à","a"),"è","e"),"ì","i"),"ò","o"),"ù","u"),"")</f>
        <v/>
      </c>
      <c r="V815" s="25">
        <f>IF(AND(Q815=1,L815&lt;&gt;""),SUBSTITUTE(SUBSTITUTE(SUBSTITUTE(SUBSTITUTE(SUBSTITUTE(SUBSTITUTE(SUBSTITUTE(SUBSTITUTE(SUBSTITUTE(SUBSTITUTE(SUBSTITUTE(SUBSTITUTE(LOWER(TRIM(L815)),"á","a"),"é","e"),"í","i"),"ó","o"),"ú","u"),"ü","u"),"ñ","n"),"à","a"),"è","e"),"ì","i"),"ò","o"),"ù","u"),"")</f>
        <v/>
      </c>
      <c r="W815" s="25">
        <f>IF(AND(Q815=1,I815&lt;&gt;""),SUBSTITUTE(SUBSTITUTE(SUBSTITUTE(SUBSTITUTE(SUBSTITUTE(SUBSTITUTE(SUBSTITUTE(SUBSTITUTE(SUBSTITUTE(SUBSTITUTE(SUBSTITUTE(SUBSTITUTE(LOWER(TRIM(I815)),"á","a"),"é","e"),"í","i"),"ó","o"),"ú","u"),"ü","u"),"ñ","n"),"à","a"),"è","e"),"ì","i"),"ò","o"),"ù","u"),"")</f>
        <v/>
      </c>
      <c r="X815" s="25">
        <f>IF(U815="","",IF(OR(U815="si, en la proxima tarea",U815="si, con cambios"),1,0))</f>
        <v/>
      </c>
      <c r="Y815" s="25">
        <f>IF(AND(Q815=1,A815&lt;&gt;""),IF(IFERROR(COUNTIFS(A$3:A815,"="&amp;SUBSTITUTE(SUBSTITUTE(SUBSTITUTE(A815,"~","~~"),"*","~*"),"?","~?"),Q$3:Q815,1),0)=1,MAX(Y$2:Y814)+1,""),"")</f>
        <v/>
      </c>
      <c r="Z815" s="25">
        <f>IF(Y815="","",COUNTIFS($A$3:$A$1002,"="&amp;SUBSTITUTE(SUBSTITUTE(SUBSTITUTE(A815,"~","~~"),"*","~*"),"?","~?"),$Q$3:$Q$1002,1)*10000-Y815)</f>
        <v/>
      </c>
    </row>
    <row r="816">
      <c r="A816">
        <f>IF(A$2=0,"",IFERROR(TRIM(INDEX('Pegar docentes'!$A$1:$BZ$1001,815,A$2)&amp;""),""))</f>
        <v/>
      </c>
      <c r="B816">
        <f>IF(B$2=0,"",IFERROR(TRIM(INDEX('Pegar docentes'!$A$1:$BZ$1001,815,B$2)&amp;""),""))</f>
        <v/>
      </c>
      <c r="C816">
        <f>IF(C$2=0,"",IFERROR(TRIM(INDEX('Pegar docentes'!$A$1:$BZ$1001,815,C$2)&amp;""),""))</f>
        <v/>
      </c>
      <c r="D816">
        <f>IF(D$2=0,"",IFERROR(TRIM(INDEX('Pegar docentes'!$A$1:$BZ$1001,815,D$2)&amp;""),""))</f>
        <v/>
      </c>
      <c r="E816">
        <f>IF(E$2=0,"",IFERROR(TRIM(INDEX('Pegar docentes'!$A$1:$BZ$1001,815,E$2)&amp;""),""))</f>
        <v/>
      </c>
      <c r="F816">
        <f>IF(F$2=0,"",IFERROR(TRIM(INDEX('Pegar docentes'!$A$1:$BZ$1001,815,F$2)&amp;""),""))</f>
        <v/>
      </c>
      <c r="G816">
        <f>IF(G$2=0,"",IFERROR(TRIM(INDEX('Pegar docentes'!$A$1:$BZ$1001,815,G$2)&amp;""),""))</f>
        <v/>
      </c>
      <c r="H816">
        <f>IF(H$2=0,"",IFERROR(TRIM(INDEX('Pegar docentes'!$A$1:$BZ$1001,815,H$2)&amp;""),""))</f>
        <v/>
      </c>
      <c r="I816">
        <f>IF(I$2=0,"",IFERROR(TRIM(INDEX('Pegar docentes'!$A$1:$BZ$1001,815,I$2)&amp;""),""))</f>
        <v/>
      </c>
      <c r="J816">
        <f>IF(J$2=0,"",IFERROR(TRIM(INDEX('Pegar docentes'!$A$1:$BZ$1001,815,J$2)&amp;""),""))</f>
        <v/>
      </c>
      <c r="K816">
        <f>IF(K$2=0,"",IFERROR(TRIM(INDEX('Pegar docentes'!$A$1:$BZ$1001,815,K$2)&amp;""),""))</f>
        <v/>
      </c>
      <c r="L816">
        <f>IF(L$2=0,"",IFERROR(TRIM(INDEX('Pegar docentes'!$A$1:$BZ$1001,815,L$2)&amp;""),""))</f>
        <v/>
      </c>
      <c r="M816">
        <f>IF(M$2=0,"",IFERROR(TRIM(INDEX('Pegar docentes'!$A$1:$BZ$1001,815,M$2)&amp;""),""))</f>
        <v/>
      </c>
      <c r="N816">
        <f>IF(N$2=0,"",IFERROR(TRIM(INDEX('Pegar docentes'!$A$1:$BZ$1001,815,N$2)&amp;""),""))</f>
        <v/>
      </c>
      <c r="O816">
        <f>IF(O$2=0,"",IFERROR(TRIM(INDEX('Pegar docentes'!$A$1:$BZ$1001,815,O$2)&amp;""),""))</f>
        <v/>
      </c>
      <c r="P816">
        <f>IF(P$2=0,"",IFERROR(TRIM(INDEX('Pegar docentes'!$A$1:$BZ$1001,815,P$2)&amp;""),""))</f>
        <v/>
      </c>
      <c r="Q816" s="25">
        <f>IF(OR(D816&lt;&gt;"",H816&lt;&gt;""),1,"")</f>
        <v/>
      </c>
      <c r="R816" s="25">
        <f>IF(Q816=1,IF(ISNUMBER(FIND("#"&amp;MID(D816,1,1)&amp;"#","#0#1#2#3#4#5#6#7#8#9#")),IF(ISNUMBER(FIND("#"&amp;MID(D816,2,1)&amp;"#","#0#1#2#3#4#5#6#7#8#9#")),IF(AND(VALUE(LEFT(D816,2))&gt;=1,VALUE(LEFT(D816,2))&lt;=5),VALUE(LEFT(D816,2)),""),IF(AND(VALUE(LEFT(D816,1))&gt;=1,VALUE(LEFT(D816,1))&lt;=5),VALUE(LEFT(D816,1)),"")),""),"")</f>
        <v/>
      </c>
      <c r="S816" s="25">
        <f>IF(AND(Q816=1,E816&lt;&gt;""),SUBSTITUTE(SUBSTITUTE(SUBSTITUTE(SUBSTITUTE(SUBSTITUTE(SUBSTITUTE(SUBSTITUTE(SUBSTITUTE(SUBSTITUTE(SUBSTITUTE(SUBSTITUTE(SUBSTITUTE(LOWER(TRIM(E816)),"á","a"),"é","e"),"í","i"),"ó","o"),"ú","u"),"ü","u"),"ñ","n"),"à","a"),"è","e"),"ì","i"),"ò","o"),"ù","u"),"")</f>
        <v/>
      </c>
      <c r="T816" s="25">
        <f>IF(AND(Q816=1,G816&lt;&gt;""),SUBSTITUTE(SUBSTITUTE(SUBSTITUTE(SUBSTITUTE(SUBSTITUTE(SUBSTITUTE(SUBSTITUTE(SUBSTITUTE(SUBSTITUTE(SUBSTITUTE(SUBSTITUTE(SUBSTITUTE(LOWER(TRIM(G816)),"á","a"),"é","e"),"í","i"),"ó","o"),"ú","u"),"ü","u"),"ñ","n"),"à","a"),"è","e"),"ì","i"),"ò","o"),"ù","u"),"")</f>
        <v/>
      </c>
      <c r="U816" s="25">
        <f>IF(AND(Q816=1,H816&lt;&gt;""),SUBSTITUTE(SUBSTITUTE(SUBSTITUTE(SUBSTITUTE(SUBSTITUTE(SUBSTITUTE(SUBSTITUTE(SUBSTITUTE(SUBSTITUTE(SUBSTITUTE(SUBSTITUTE(SUBSTITUTE(LOWER(TRIM(H816)),"á","a"),"é","e"),"í","i"),"ó","o"),"ú","u"),"ü","u"),"ñ","n"),"à","a"),"è","e"),"ì","i"),"ò","o"),"ù","u"),"")</f>
        <v/>
      </c>
      <c r="V816" s="25">
        <f>IF(AND(Q816=1,L816&lt;&gt;""),SUBSTITUTE(SUBSTITUTE(SUBSTITUTE(SUBSTITUTE(SUBSTITUTE(SUBSTITUTE(SUBSTITUTE(SUBSTITUTE(SUBSTITUTE(SUBSTITUTE(SUBSTITUTE(SUBSTITUTE(LOWER(TRIM(L816)),"á","a"),"é","e"),"í","i"),"ó","o"),"ú","u"),"ü","u"),"ñ","n"),"à","a"),"è","e"),"ì","i"),"ò","o"),"ù","u"),"")</f>
        <v/>
      </c>
      <c r="W816" s="25">
        <f>IF(AND(Q816=1,I816&lt;&gt;""),SUBSTITUTE(SUBSTITUTE(SUBSTITUTE(SUBSTITUTE(SUBSTITUTE(SUBSTITUTE(SUBSTITUTE(SUBSTITUTE(SUBSTITUTE(SUBSTITUTE(SUBSTITUTE(SUBSTITUTE(LOWER(TRIM(I816)),"á","a"),"é","e"),"í","i"),"ó","o"),"ú","u"),"ü","u"),"ñ","n"),"à","a"),"è","e"),"ì","i"),"ò","o"),"ù","u"),"")</f>
        <v/>
      </c>
      <c r="X816" s="25">
        <f>IF(U816="","",IF(OR(U816="si, en la proxima tarea",U816="si, con cambios"),1,0))</f>
        <v/>
      </c>
      <c r="Y816" s="25">
        <f>IF(AND(Q816=1,A816&lt;&gt;""),IF(IFERROR(COUNTIFS(A$3:A816,"="&amp;SUBSTITUTE(SUBSTITUTE(SUBSTITUTE(A816,"~","~~"),"*","~*"),"?","~?"),Q$3:Q816,1),0)=1,MAX(Y$2:Y815)+1,""),"")</f>
        <v/>
      </c>
      <c r="Z816" s="25">
        <f>IF(Y816="","",COUNTIFS($A$3:$A$1002,"="&amp;SUBSTITUTE(SUBSTITUTE(SUBSTITUTE(A816,"~","~~"),"*","~*"),"?","~?"),$Q$3:$Q$1002,1)*10000-Y816)</f>
        <v/>
      </c>
    </row>
    <row r="817">
      <c r="A817">
        <f>IF(A$2=0,"",IFERROR(TRIM(INDEX('Pegar docentes'!$A$1:$BZ$1001,816,A$2)&amp;""),""))</f>
        <v/>
      </c>
      <c r="B817">
        <f>IF(B$2=0,"",IFERROR(TRIM(INDEX('Pegar docentes'!$A$1:$BZ$1001,816,B$2)&amp;""),""))</f>
        <v/>
      </c>
      <c r="C817">
        <f>IF(C$2=0,"",IFERROR(TRIM(INDEX('Pegar docentes'!$A$1:$BZ$1001,816,C$2)&amp;""),""))</f>
        <v/>
      </c>
      <c r="D817">
        <f>IF(D$2=0,"",IFERROR(TRIM(INDEX('Pegar docentes'!$A$1:$BZ$1001,816,D$2)&amp;""),""))</f>
        <v/>
      </c>
      <c r="E817">
        <f>IF(E$2=0,"",IFERROR(TRIM(INDEX('Pegar docentes'!$A$1:$BZ$1001,816,E$2)&amp;""),""))</f>
        <v/>
      </c>
      <c r="F817">
        <f>IF(F$2=0,"",IFERROR(TRIM(INDEX('Pegar docentes'!$A$1:$BZ$1001,816,F$2)&amp;""),""))</f>
        <v/>
      </c>
      <c r="G817">
        <f>IF(G$2=0,"",IFERROR(TRIM(INDEX('Pegar docentes'!$A$1:$BZ$1001,816,G$2)&amp;""),""))</f>
        <v/>
      </c>
      <c r="H817">
        <f>IF(H$2=0,"",IFERROR(TRIM(INDEX('Pegar docentes'!$A$1:$BZ$1001,816,H$2)&amp;""),""))</f>
        <v/>
      </c>
      <c r="I817">
        <f>IF(I$2=0,"",IFERROR(TRIM(INDEX('Pegar docentes'!$A$1:$BZ$1001,816,I$2)&amp;""),""))</f>
        <v/>
      </c>
      <c r="J817">
        <f>IF(J$2=0,"",IFERROR(TRIM(INDEX('Pegar docentes'!$A$1:$BZ$1001,816,J$2)&amp;""),""))</f>
        <v/>
      </c>
      <c r="K817">
        <f>IF(K$2=0,"",IFERROR(TRIM(INDEX('Pegar docentes'!$A$1:$BZ$1001,816,K$2)&amp;""),""))</f>
        <v/>
      </c>
      <c r="L817">
        <f>IF(L$2=0,"",IFERROR(TRIM(INDEX('Pegar docentes'!$A$1:$BZ$1001,816,L$2)&amp;""),""))</f>
        <v/>
      </c>
      <c r="M817">
        <f>IF(M$2=0,"",IFERROR(TRIM(INDEX('Pegar docentes'!$A$1:$BZ$1001,816,M$2)&amp;""),""))</f>
        <v/>
      </c>
      <c r="N817">
        <f>IF(N$2=0,"",IFERROR(TRIM(INDEX('Pegar docentes'!$A$1:$BZ$1001,816,N$2)&amp;""),""))</f>
        <v/>
      </c>
      <c r="O817">
        <f>IF(O$2=0,"",IFERROR(TRIM(INDEX('Pegar docentes'!$A$1:$BZ$1001,816,O$2)&amp;""),""))</f>
        <v/>
      </c>
      <c r="P817">
        <f>IF(P$2=0,"",IFERROR(TRIM(INDEX('Pegar docentes'!$A$1:$BZ$1001,816,P$2)&amp;""),""))</f>
        <v/>
      </c>
      <c r="Q817" s="25">
        <f>IF(OR(D817&lt;&gt;"",H817&lt;&gt;""),1,"")</f>
        <v/>
      </c>
      <c r="R817" s="25">
        <f>IF(Q817=1,IF(ISNUMBER(FIND("#"&amp;MID(D817,1,1)&amp;"#","#0#1#2#3#4#5#6#7#8#9#")),IF(ISNUMBER(FIND("#"&amp;MID(D817,2,1)&amp;"#","#0#1#2#3#4#5#6#7#8#9#")),IF(AND(VALUE(LEFT(D817,2))&gt;=1,VALUE(LEFT(D817,2))&lt;=5),VALUE(LEFT(D817,2)),""),IF(AND(VALUE(LEFT(D817,1))&gt;=1,VALUE(LEFT(D817,1))&lt;=5),VALUE(LEFT(D817,1)),"")),""),"")</f>
        <v/>
      </c>
      <c r="S817" s="25">
        <f>IF(AND(Q817=1,E817&lt;&gt;""),SUBSTITUTE(SUBSTITUTE(SUBSTITUTE(SUBSTITUTE(SUBSTITUTE(SUBSTITUTE(SUBSTITUTE(SUBSTITUTE(SUBSTITUTE(SUBSTITUTE(SUBSTITUTE(SUBSTITUTE(LOWER(TRIM(E817)),"á","a"),"é","e"),"í","i"),"ó","o"),"ú","u"),"ü","u"),"ñ","n"),"à","a"),"è","e"),"ì","i"),"ò","o"),"ù","u"),"")</f>
        <v/>
      </c>
      <c r="T817" s="25">
        <f>IF(AND(Q817=1,G817&lt;&gt;""),SUBSTITUTE(SUBSTITUTE(SUBSTITUTE(SUBSTITUTE(SUBSTITUTE(SUBSTITUTE(SUBSTITUTE(SUBSTITUTE(SUBSTITUTE(SUBSTITUTE(SUBSTITUTE(SUBSTITUTE(LOWER(TRIM(G817)),"á","a"),"é","e"),"í","i"),"ó","o"),"ú","u"),"ü","u"),"ñ","n"),"à","a"),"è","e"),"ì","i"),"ò","o"),"ù","u"),"")</f>
        <v/>
      </c>
      <c r="U817" s="25">
        <f>IF(AND(Q817=1,H817&lt;&gt;""),SUBSTITUTE(SUBSTITUTE(SUBSTITUTE(SUBSTITUTE(SUBSTITUTE(SUBSTITUTE(SUBSTITUTE(SUBSTITUTE(SUBSTITUTE(SUBSTITUTE(SUBSTITUTE(SUBSTITUTE(LOWER(TRIM(H817)),"á","a"),"é","e"),"í","i"),"ó","o"),"ú","u"),"ü","u"),"ñ","n"),"à","a"),"è","e"),"ì","i"),"ò","o"),"ù","u"),"")</f>
        <v/>
      </c>
      <c r="V817" s="25">
        <f>IF(AND(Q817=1,L817&lt;&gt;""),SUBSTITUTE(SUBSTITUTE(SUBSTITUTE(SUBSTITUTE(SUBSTITUTE(SUBSTITUTE(SUBSTITUTE(SUBSTITUTE(SUBSTITUTE(SUBSTITUTE(SUBSTITUTE(SUBSTITUTE(LOWER(TRIM(L817)),"á","a"),"é","e"),"í","i"),"ó","o"),"ú","u"),"ü","u"),"ñ","n"),"à","a"),"è","e"),"ì","i"),"ò","o"),"ù","u"),"")</f>
        <v/>
      </c>
      <c r="W817" s="25">
        <f>IF(AND(Q817=1,I817&lt;&gt;""),SUBSTITUTE(SUBSTITUTE(SUBSTITUTE(SUBSTITUTE(SUBSTITUTE(SUBSTITUTE(SUBSTITUTE(SUBSTITUTE(SUBSTITUTE(SUBSTITUTE(SUBSTITUTE(SUBSTITUTE(LOWER(TRIM(I817)),"á","a"),"é","e"),"í","i"),"ó","o"),"ú","u"),"ü","u"),"ñ","n"),"à","a"),"è","e"),"ì","i"),"ò","o"),"ù","u"),"")</f>
        <v/>
      </c>
      <c r="X817" s="25">
        <f>IF(U817="","",IF(OR(U817="si, en la proxima tarea",U817="si, con cambios"),1,0))</f>
        <v/>
      </c>
      <c r="Y817" s="25">
        <f>IF(AND(Q817=1,A817&lt;&gt;""),IF(IFERROR(COUNTIFS(A$3:A817,"="&amp;SUBSTITUTE(SUBSTITUTE(SUBSTITUTE(A817,"~","~~"),"*","~*"),"?","~?"),Q$3:Q817,1),0)=1,MAX(Y$2:Y816)+1,""),"")</f>
        <v/>
      </c>
      <c r="Z817" s="25">
        <f>IF(Y817="","",COUNTIFS($A$3:$A$1002,"="&amp;SUBSTITUTE(SUBSTITUTE(SUBSTITUTE(A817,"~","~~"),"*","~*"),"?","~?"),$Q$3:$Q$1002,1)*10000-Y817)</f>
        <v/>
      </c>
    </row>
    <row r="818">
      <c r="A818">
        <f>IF(A$2=0,"",IFERROR(TRIM(INDEX('Pegar docentes'!$A$1:$BZ$1001,817,A$2)&amp;""),""))</f>
        <v/>
      </c>
      <c r="B818">
        <f>IF(B$2=0,"",IFERROR(TRIM(INDEX('Pegar docentes'!$A$1:$BZ$1001,817,B$2)&amp;""),""))</f>
        <v/>
      </c>
      <c r="C818">
        <f>IF(C$2=0,"",IFERROR(TRIM(INDEX('Pegar docentes'!$A$1:$BZ$1001,817,C$2)&amp;""),""))</f>
        <v/>
      </c>
      <c r="D818">
        <f>IF(D$2=0,"",IFERROR(TRIM(INDEX('Pegar docentes'!$A$1:$BZ$1001,817,D$2)&amp;""),""))</f>
        <v/>
      </c>
      <c r="E818">
        <f>IF(E$2=0,"",IFERROR(TRIM(INDEX('Pegar docentes'!$A$1:$BZ$1001,817,E$2)&amp;""),""))</f>
        <v/>
      </c>
      <c r="F818">
        <f>IF(F$2=0,"",IFERROR(TRIM(INDEX('Pegar docentes'!$A$1:$BZ$1001,817,F$2)&amp;""),""))</f>
        <v/>
      </c>
      <c r="G818">
        <f>IF(G$2=0,"",IFERROR(TRIM(INDEX('Pegar docentes'!$A$1:$BZ$1001,817,G$2)&amp;""),""))</f>
        <v/>
      </c>
      <c r="H818">
        <f>IF(H$2=0,"",IFERROR(TRIM(INDEX('Pegar docentes'!$A$1:$BZ$1001,817,H$2)&amp;""),""))</f>
        <v/>
      </c>
      <c r="I818">
        <f>IF(I$2=0,"",IFERROR(TRIM(INDEX('Pegar docentes'!$A$1:$BZ$1001,817,I$2)&amp;""),""))</f>
        <v/>
      </c>
      <c r="J818">
        <f>IF(J$2=0,"",IFERROR(TRIM(INDEX('Pegar docentes'!$A$1:$BZ$1001,817,J$2)&amp;""),""))</f>
        <v/>
      </c>
      <c r="K818">
        <f>IF(K$2=0,"",IFERROR(TRIM(INDEX('Pegar docentes'!$A$1:$BZ$1001,817,K$2)&amp;""),""))</f>
        <v/>
      </c>
      <c r="L818">
        <f>IF(L$2=0,"",IFERROR(TRIM(INDEX('Pegar docentes'!$A$1:$BZ$1001,817,L$2)&amp;""),""))</f>
        <v/>
      </c>
      <c r="M818">
        <f>IF(M$2=0,"",IFERROR(TRIM(INDEX('Pegar docentes'!$A$1:$BZ$1001,817,M$2)&amp;""),""))</f>
        <v/>
      </c>
      <c r="N818">
        <f>IF(N$2=0,"",IFERROR(TRIM(INDEX('Pegar docentes'!$A$1:$BZ$1001,817,N$2)&amp;""),""))</f>
        <v/>
      </c>
      <c r="O818">
        <f>IF(O$2=0,"",IFERROR(TRIM(INDEX('Pegar docentes'!$A$1:$BZ$1001,817,O$2)&amp;""),""))</f>
        <v/>
      </c>
      <c r="P818">
        <f>IF(P$2=0,"",IFERROR(TRIM(INDEX('Pegar docentes'!$A$1:$BZ$1001,817,P$2)&amp;""),""))</f>
        <v/>
      </c>
      <c r="Q818" s="25">
        <f>IF(OR(D818&lt;&gt;"",H818&lt;&gt;""),1,"")</f>
        <v/>
      </c>
      <c r="R818" s="25">
        <f>IF(Q818=1,IF(ISNUMBER(FIND("#"&amp;MID(D818,1,1)&amp;"#","#0#1#2#3#4#5#6#7#8#9#")),IF(ISNUMBER(FIND("#"&amp;MID(D818,2,1)&amp;"#","#0#1#2#3#4#5#6#7#8#9#")),IF(AND(VALUE(LEFT(D818,2))&gt;=1,VALUE(LEFT(D818,2))&lt;=5),VALUE(LEFT(D818,2)),""),IF(AND(VALUE(LEFT(D818,1))&gt;=1,VALUE(LEFT(D818,1))&lt;=5),VALUE(LEFT(D818,1)),"")),""),"")</f>
        <v/>
      </c>
      <c r="S818" s="25">
        <f>IF(AND(Q818=1,E818&lt;&gt;""),SUBSTITUTE(SUBSTITUTE(SUBSTITUTE(SUBSTITUTE(SUBSTITUTE(SUBSTITUTE(SUBSTITUTE(SUBSTITUTE(SUBSTITUTE(SUBSTITUTE(SUBSTITUTE(SUBSTITUTE(LOWER(TRIM(E818)),"á","a"),"é","e"),"í","i"),"ó","o"),"ú","u"),"ü","u"),"ñ","n"),"à","a"),"è","e"),"ì","i"),"ò","o"),"ù","u"),"")</f>
        <v/>
      </c>
      <c r="T818" s="25">
        <f>IF(AND(Q818=1,G818&lt;&gt;""),SUBSTITUTE(SUBSTITUTE(SUBSTITUTE(SUBSTITUTE(SUBSTITUTE(SUBSTITUTE(SUBSTITUTE(SUBSTITUTE(SUBSTITUTE(SUBSTITUTE(SUBSTITUTE(SUBSTITUTE(LOWER(TRIM(G818)),"á","a"),"é","e"),"í","i"),"ó","o"),"ú","u"),"ü","u"),"ñ","n"),"à","a"),"è","e"),"ì","i"),"ò","o"),"ù","u"),"")</f>
        <v/>
      </c>
      <c r="U818" s="25">
        <f>IF(AND(Q818=1,H818&lt;&gt;""),SUBSTITUTE(SUBSTITUTE(SUBSTITUTE(SUBSTITUTE(SUBSTITUTE(SUBSTITUTE(SUBSTITUTE(SUBSTITUTE(SUBSTITUTE(SUBSTITUTE(SUBSTITUTE(SUBSTITUTE(LOWER(TRIM(H818)),"á","a"),"é","e"),"í","i"),"ó","o"),"ú","u"),"ü","u"),"ñ","n"),"à","a"),"è","e"),"ì","i"),"ò","o"),"ù","u"),"")</f>
        <v/>
      </c>
      <c r="V818" s="25">
        <f>IF(AND(Q818=1,L818&lt;&gt;""),SUBSTITUTE(SUBSTITUTE(SUBSTITUTE(SUBSTITUTE(SUBSTITUTE(SUBSTITUTE(SUBSTITUTE(SUBSTITUTE(SUBSTITUTE(SUBSTITUTE(SUBSTITUTE(SUBSTITUTE(LOWER(TRIM(L818)),"á","a"),"é","e"),"í","i"),"ó","o"),"ú","u"),"ü","u"),"ñ","n"),"à","a"),"è","e"),"ì","i"),"ò","o"),"ù","u"),"")</f>
        <v/>
      </c>
      <c r="W818" s="25">
        <f>IF(AND(Q818=1,I818&lt;&gt;""),SUBSTITUTE(SUBSTITUTE(SUBSTITUTE(SUBSTITUTE(SUBSTITUTE(SUBSTITUTE(SUBSTITUTE(SUBSTITUTE(SUBSTITUTE(SUBSTITUTE(SUBSTITUTE(SUBSTITUTE(LOWER(TRIM(I818)),"á","a"),"é","e"),"í","i"),"ó","o"),"ú","u"),"ü","u"),"ñ","n"),"à","a"),"è","e"),"ì","i"),"ò","o"),"ù","u"),"")</f>
        <v/>
      </c>
      <c r="X818" s="25">
        <f>IF(U818="","",IF(OR(U818="si, en la proxima tarea",U818="si, con cambios"),1,0))</f>
        <v/>
      </c>
      <c r="Y818" s="25">
        <f>IF(AND(Q818=1,A818&lt;&gt;""),IF(IFERROR(COUNTIFS(A$3:A818,"="&amp;SUBSTITUTE(SUBSTITUTE(SUBSTITUTE(A818,"~","~~"),"*","~*"),"?","~?"),Q$3:Q818,1),0)=1,MAX(Y$2:Y817)+1,""),"")</f>
        <v/>
      </c>
      <c r="Z818" s="25">
        <f>IF(Y818="","",COUNTIFS($A$3:$A$1002,"="&amp;SUBSTITUTE(SUBSTITUTE(SUBSTITUTE(A818,"~","~~"),"*","~*"),"?","~?"),$Q$3:$Q$1002,1)*10000-Y818)</f>
        <v/>
      </c>
    </row>
    <row r="819">
      <c r="A819">
        <f>IF(A$2=0,"",IFERROR(TRIM(INDEX('Pegar docentes'!$A$1:$BZ$1001,818,A$2)&amp;""),""))</f>
        <v/>
      </c>
      <c r="B819">
        <f>IF(B$2=0,"",IFERROR(TRIM(INDEX('Pegar docentes'!$A$1:$BZ$1001,818,B$2)&amp;""),""))</f>
        <v/>
      </c>
      <c r="C819">
        <f>IF(C$2=0,"",IFERROR(TRIM(INDEX('Pegar docentes'!$A$1:$BZ$1001,818,C$2)&amp;""),""))</f>
        <v/>
      </c>
      <c r="D819">
        <f>IF(D$2=0,"",IFERROR(TRIM(INDEX('Pegar docentes'!$A$1:$BZ$1001,818,D$2)&amp;""),""))</f>
        <v/>
      </c>
      <c r="E819">
        <f>IF(E$2=0,"",IFERROR(TRIM(INDEX('Pegar docentes'!$A$1:$BZ$1001,818,E$2)&amp;""),""))</f>
        <v/>
      </c>
      <c r="F819">
        <f>IF(F$2=0,"",IFERROR(TRIM(INDEX('Pegar docentes'!$A$1:$BZ$1001,818,F$2)&amp;""),""))</f>
        <v/>
      </c>
      <c r="G819">
        <f>IF(G$2=0,"",IFERROR(TRIM(INDEX('Pegar docentes'!$A$1:$BZ$1001,818,G$2)&amp;""),""))</f>
        <v/>
      </c>
      <c r="H819">
        <f>IF(H$2=0,"",IFERROR(TRIM(INDEX('Pegar docentes'!$A$1:$BZ$1001,818,H$2)&amp;""),""))</f>
        <v/>
      </c>
      <c r="I819">
        <f>IF(I$2=0,"",IFERROR(TRIM(INDEX('Pegar docentes'!$A$1:$BZ$1001,818,I$2)&amp;""),""))</f>
        <v/>
      </c>
      <c r="J819">
        <f>IF(J$2=0,"",IFERROR(TRIM(INDEX('Pegar docentes'!$A$1:$BZ$1001,818,J$2)&amp;""),""))</f>
        <v/>
      </c>
      <c r="K819">
        <f>IF(K$2=0,"",IFERROR(TRIM(INDEX('Pegar docentes'!$A$1:$BZ$1001,818,K$2)&amp;""),""))</f>
        <v/>
      </c>
      <c r="L819">
        <f>IF(L$2=0,"",IFERROR(TRIM(INDEX('Pegar docentes'!$A$1:$BZ$1001,818,L$2)&amp;""),""))</f>
        <v/>
      </c>
      <c r="M819">
        <f>IF(M$2=0,"",IFERROR(TRIM(INDEX('Pegar docentes'!$A$1:$BZ$1001,818,M$2)&amp;""),""))</f>
        <v/>
      </c>
      <c r="N819">
        <f>IF(N$2=0,"",IFERROR(TRIM(INDEX('Pegar docentes'!$A$1:$BZ$1001,818,N$2)&amp;""),""))</f>
        <v/>
      </c>
      <c r="O819">
        <f>IF(O$2=0,"",IFERROR(TRIM(INDEX('Pegar docentes'!$A$1:$BZ$1001,818,O$2)&amp;""),""))</f>
        <v/>
      </c>
      <c r="P819">
        <f>IF(P$2=0,"",IFERROR(TRIM(INDEX('Pegar docentes'!$A$1:$BZ$1001,818,P$2)&amp;""),""))</f>
        <v/>
      </c>
      <c r="Q819" s="25">
        <f>IF(OR(D819&lt;&gt;"",H819&lt;&gt;""),1,"")</f>
        <v/>
      </c>
      <c r="R819" s="25">
        <f>IF(Q819=1,IF(ISNUMBER(FIND("#"&amp;MID(D819,1,1)&amp;"#","#0#1#2#3#4#5#6#7#8#9#")),IF(ISNUMBER(FIND("#"&amp;MID(D819,2,1)&amp;"#","#0#1#2#3#4#5#6#7#8#9#")),IF(AND(VALUE(LEFT(D819,2))&gt;=1,VALUE(LEFT(D819,2))&lt;=5),VALUE(LEFT(D819,2)),""),IF(AND(VALUE(LEFT(D819,1))&gt;=1,VALUE(LEFT(D819,1))&lt;=5),VALUE(LEFT(D819,1)),"")),""),"")</f>
        <v/>
      </c>
      <c r="S819" s="25">
        <f>IF(AND(Q819=1,E819&lt;&gt;""),SUBSTITUTE(SUBSTITUTE(SUBSTITUTE(SUBSTITUTE(SUBSTITUTE(SUBSTITUTE(SUBSTITUTE(SUBSTITUTE(SUBSTITUTE(SUBSTITUTE(SUBSTITUTE(SUBSTITUTE(LOWER(TRIM(E819)),"á","a"),"é","e"),"í","i"),"ó","o"),"ú","u"),"ü","u"),"ñ","n"),"à","a"),"è","e"),"ì","i"),"ò","o"),"ù","u"),"")</f>
        <v/>
      </c>
      <c r="T819" s="25">
        <f>IF(AND(Q819=1,G819&lt;&gt;""),SUBSTITUTE(SUBSTITUTE(SUBSTITUTE(SUBSTITUTE(SUBSTITUTE(SUBSTITUTE(SUBSTITUTE(SUBSTITUTE(SUBSTITUTE(SUBSTITUTE(SUBSTITUTE(SUBSTITUTE(LOWER(TRIM(G819)),"á","a"),"é","e"),"í","i"),"ó","o"),"ú","u"),"ü","u"),"ñ","n"),"à","a"),"è","e"),"ì","i"),"ò","o"),"ù","u"),"")</f>
        <v/>
      </c>
      <c r="U819" s="25">
        <f>IF(AND(Q819=1,H819&lt;&gt;""),SUBSTITUTE(SUBSTITUTE(SUBSTITUTE(SUBSTITUTE(SUBSTITUTE(SUBSTITUTE(SUBSTITUTE(SUBSTITUTE(SUBSTITUTE(SUBSTITUTE(SUBSTITUTE(SUBSTITUTE(LOWER(TRIM(H819)),"á","a"),"é","e"),"í","i"),"ó","o"),"ú","u"),"ü","u"),"ñ","n"),"à","a"),"è","e"),"ì","i"),"ò","o"),"ù","u"),"")</f>
        <v/>
      </c>
      <c r="V819" s="25">
        <f>IF(AND(Q819=1,L819&lt;&gt;""),SUBSTITUTE(SUBSTITUTE(SUBSTITUTE(SUBSTITUTE(SUBSTITUTE(SUBSTITUTE(SUBSTITUTE(SUBSTITUTE(SUBSTITUTE(SUBSTITUTE(SUBSTITUTE(SUBSTITUTE(LOWER(TRIM(L819)),"á","a"),"é","e"),"í","i"),"ó","o"),"ú","u"),"ü","u"),"ñ","n"),"à","a"),"è","e"),"ì","i"),"ò","o"),"ù","u"),"")</f>
        <v/>
      </c>
      <c r="W819" s="25">
        <f>IF(AND(Q819=1,I819&lt;&gt;""),SUBSTITUTE(SUBSTITUTE(SUBSTITUTE(SUBSTITUTE(SUBSTITUTE(SUBSTITUTE(SUBSTITUTE(SUBSTITUTE(SUBSTITUTE(SUBSTITUTE(SUBSTITUTE(SUBSTITUTE(LOWER(TRIM(I819)),"á","a"),"é","e"),"í","i"),"ó","o"),"ú","u"),"ü","u"),"ñ","n"),"à","a"),"è","e"),"ì","i"),"ò","o"),"ù","u"),"")</f>
        <v/>
      </c>
      <c r="X819" s="25">
        <f>IF(U819="","",IF(OR(U819="si, en la proxima tarea",U819="si, con cambios"),1,0))</f>
        <v/>
      </c>
      <c r="Y819" s="25">
        <f>IF(AND(Q819=1,A819&lt;&gt;""),IF(IFERROR(COUNTIFS(A$3:A819,"="&amp;SUBSTITUTE(SUBSTITUTE(SUBSTITUTE(A819,"~","~~"),"*","~*"),"?","~?"),Q$3:Q819,1),0)=1,MAX(Y$2:Y818)+1,""),"")</f>
        <v/>
      </c>
      <c r="Z819" s="25">
        <f>IF(Y819="","",COUNTIFS($A$3:$A$1002,"="&amp;SUBSTITUTE(SUBSTITUTE(SUBSTITUTE(A819,"~","~~"),"*","~*"),"?","~?"),$Q$3:$Q$1002,1)*10000-Y819)</f>
        <v/>
      </c>
    </row>
    <row r="820">
      <c r="A820">
        <f>IF(A$2=0,"",IFERROR(TRIM(INDEX('Pegar docentes'!$A$1:$BZ$1001,819,A$2)&amp;""),""))</f>
        <v/>
      </c>
      <c r="B820">
        <f>IF(B$2=0,"",IFERROR(TRIM(INDEX('Pegar docentes'!$A$1:$BZ$1001,819,B$2)&amp;""),""))</f>
        <v/>
      </c>
      <c r="C820">
        <f>IF(C$2=0,"",IFERROR(TRIM(INDEX('Pegar docentes'!$A$1:$BZ$1001,819,C$2)&amp;""),""))</f>
        <v/>
      </c>
      <c r="D820">
        <f>IF(D$2=0,"",IFERROR(TRIM(INDEX('Pegar docentes'!$A$1:$BZ$1001,819,D$2)&amp;""),""))</f>
        <v/>
      </c>
      <c r="E820">
        <f>IF(E$2=0,"",IFERROR(TRIM(INDEX('Pegar docentes'!$A$1:$BZ$1001,819,E$2)&amp;""),""))</f>
        <v/>
      </c>
      <c r="F820">
        <f>IF(F$2=0,"",IFERROR(TRIM(INDEX('Pegar docentes'!$A$1:$BZ$1001,819,F$2)&amp;""),""))</f>
        <v/>
      </c>
      <c r="G820">
        <f>IF(G$2=0,"",IFERROR(TRIM(INDEX('Pegar docentes'!$A$1:$BZ$1001,819,G$2)&amp;""),""))</f>
        <v/>
      </c>
      <c r="H820">
        <f>IF(H$2=0,"",IFERROR(TRIM(INDEX('Pegar docentes'!$A$1:$BZ$1001,819,H$2)&amp;""),""))</f>
        <v/>
      </c>
      <c r="I820">
        <f>IF(I$2=0,"",IFERROR(TRIM(INDEX('Pegar docentes'!$A$1:$BZ$1001,819,I$2)&amp;""),""))</f>
        <v/>
      </c>
      <c r="J820">
        <f>IF(J$2=0,"",IFERROR(TRIM(INDEX('Pegar docentes'!$A$1:$BZ$1001,819,J$2)&amp;""),""))</f>
        <v/>
      </c>
      <c r="K820">
        <f>IF(K$2=0,"",IFERROR(TRIM(INDEX('Pegar docentes'!$A$1:$BZ$1001,819,K$2)&amp;""),""))</f>
        <v/>
      </c>
      <c r="L820">
        <f>IF(L$2=0,"",IFERROR(TRIM(INDEX('Pegar docentes'!$A$1:$BZ$1001,819,L$2)&amp;""),""))</f>
        <v/>
      </c>
      <c r="M820">
        <f>IF(M$2=0,"",IFERROR(TRIM(INDEX('Pegar docentes'!$A$1:$BZ$1001,819,M$2)&amp;""),""))</f>
        <v/>
      </c>
      <c r="N820">
        <f>IF(N$2=0,"",IFERROR(TRIM(INDEX('Pegar docentes'!$A$1:$BZ$1001,819,N$2)&amp;""),""))</f>
        <v/>
      </c>
      <c r="O820">
        <f>IF(O$2=0,"",IFERROR(TRIM(INDEX('Pegar docentes'!$A$1:$BZ$1001,819,O$2)&amp;""),""))</f>
        <v/>
      </c>
      <c r="P820">
        <f>IF(P$2=0,"",IFERROR(TRIM(INDEX('Pegar docentes'!$A$1:$BZ$1001,819,P$2)&amp;""),""))</f>
        <v/>
      </c>
      <c r="Q820" s="25">
        <f>IF(OR(D820&lt;&gt;"",H820&lt;&gt;""),1,"")</f>
        <v/>
      </c>
      <c r="R820" s="25">
        <f>IF(Q820=1,IF(ISNUMBER(FIND("#"&amp;MID(D820,1,1)&amp;"#","#0#1#2#3#4#5#6#7#8#9#")),IF(ISNUMBER(FIND("#"&amp;MID(D820,2,1)&amp;"#","#0#1#2#3#4#5#6#7#8#9#")),IF(AND(VALUE(LEFT(D820,2))&gt;=1,VALUE(LEFT(D820,2))&lt;=5),VALUE(LEFT(D820,2)),""),IF(AND(VALUE(LEFT(D820,1))&gt;=1,VALUE(LEFT(D820,1))&lt;=5),VALUE(LEFT(D820,1)),"")),""),"")</f>
        <v/>
      </c>
      <c r="S820" s="25">
        <f>IF(AND(Q820=1,E820&lt;&gt;""),SUBSTITUTE(SUBSTITUTE(SUBSTITUTE(SUBSTITUTE(SUBSTITUTE(SUBSTITUTE(SUBSTITUTE(SUBSTITUTE(SUBSTITUTE(SUBSTITUTE(SUBSTITUTE(SUBSTITUTE(LOWER(TRIM(E820)),"á","a"),"é","e"),"í","i"),"ó","o"),"ú","u"),"ü","u"),"ñ","n"),"à","a"),"è","e"),"ì","i"),"ò","o"),"ù","u"),"")</f>
        <v/>
      </c>
      <c r="T820" s="25">
        <f>IF(AND(Q820=1,G820&lt;&gt;""),SUBSTITUTE(SUBSTITUTE(SUBSTITUTE(SUBSTITUTE(SUBSTITUTE(SUBSTITUTE(SUBSTITUTE(SUBSTITUTE(SUBSTITUTE(SUBSTITUTE(SUBSTITUTE(SUBSTITUTE(LOWER(TRIM(G820)),"á","a"),"é","e"),"í","i"),"ó","o"),"ú","u"),"ü","u"),"ñ","n"),"à","a"),"è","e"),"ì","i"),"ò","o"),"ù","u"),"")</f>
        <v/>
      </c>
      <c r="U820" s="25">
        <f>IF(AND(Q820=1,H820&lt;&gt;""),SUBSTITUTE(SUBSTITUTE(SUBSTITUTE(SUBSTITUTE(SUBSTITUTE(SUBSTITUTE(SUBSTITUTE(SUBSTITUTE(SUBSTITUTE(SUBSTITUTE(SUBSTITUTE(SUBSTITUTE(LOWER(TRIM(H820)),"á","a"),"é","e"),"í","i"),"ó","o"),"ú","u"),"ü","u"),"ñ","n"),"à","a"),"è","e"),"ì","i"),"ò","o"),"ù","u"),"")</f>
        <v/>
      </c>
      <c r="V820" s="25">
        <f>IF(AND(Q820=1,L820&lt;&gt;""),SUBSTITUTE(SUBSTITUTE(SUBSTITUTE(SUBSTITUTE(SUBSTITUTE(SUBSTITUTE(SUBSTITUTE(SUBSTITUTE(SUBSTITUTE(SUBSTITUTE(SUBSTITUTE(SUBSTITUTE(LOWER(TRIM(L820)),"á","a"),"é","e"),"í","i"),"ó","o"),"ú","u"),"ü","u"),"ñ","n"),"à","a"),"è","e"),"ì","i"),"ò","o"),"ù","u"),"")</f>
        <v/>
      </c>
      <c r="W820" s="25">
        <f>IF(AND(Q820=1,I820&lt;&gt;""),SUBSTITUTE(SUBSTITUTE(SUBSTITUTE(SUBSTITUTE(SUBSTITUTE(SUBSTITUTE(SUBSTITUTE(SUBSTITUTE(SUBSTITUTE(SUBSTITUTE(SUBSTITUTE(SUBSTITUTE(LOWER(TRIM(I820)),"á","a"),"é","e"),"í","i"),"ó","o"),"ú","u"),"ü","u"),"ñ","n"),"à","a"),"è","e"),"ì","i"),"ò","o"),"ù","u"),"")</f>
        <v/>
      </c>
      <c r="X820" s="25">
        <f>IF(U820="","",IF(OR(U820="si, en la proxima tarea",U820="si, con cambios"),1,0))</f>
        <v/>
      </c>
      <c r="Y820" s="25">
        <f>IF(AND(Q820=1,A820&lt;&gt;""),IF(IFERROR(COUNTIFS(A$3:A820,"="&amp;SUBSTITUTE(SUBSTITUTE(SUBSTITUTE(A820,"~","~~"),"*","~*"),"?","~?"),Q$3:Q820,1),0)=1,MAX(Y$2:Y819)+1,""),"")</f>
        <v/>
      </c>
      <c r="Z820" s="25">
        <f>IF(Y820="","",COUNTIFS($A$3:$A$1002,"="&amp;SUBSTITUTE(SUBSTITUTE(SUBSTITUTE(A820,"~","~~"),"*","~*"),"?","~?"),$Q$3:$Q$1002,1)*10000-Y820)</f>
        <v/>
      </c>
    </row>
    <row r="821">
      <c r="A821">
        <f>IF(A$2=0,"",IFERROR(TRIM(INDEX('Pegar docentes'!$A$1:$BZ$1001,820,A$2)&amp;""),""))</f>
        <v/>
      </c>
      <c r="B821">
        <f>IF(B$2=0,"",IFERROR(TRIM(INDEX('Pegar docentes'!$A$1:$BZ$1001,820,B$2)&amp;""),""))</f>
        <v/>
      </c>
      <c r="C821">
        <f>IF(C$2=0,"",IFERROR(TRIM(INDEX('Pegar docentes'!$A$1:$BZ$1001,820,C$2)&amp;""),""))</f>
        <v/>
      </c>
      <c r="D821">
        <f>IF(D$2=0,"",IFERROR(TRIM(INDEX('Pegar docentes'!$A$1:$BZ$1001,820,D$2)&amp;""),""))</f>
        <v/>
      </c>
      <c r="E821">
        <f>IF(E$2=0,"",IFERROR(TRIM(INDEX('Pegar docentes'!$A$1:$BZ$1001,820,E$2)&amp;""),""))</f>
        <v/>
      </c>
      <c r="F821">
        <f>IF(F$2=0,"",IFERROR(TRIM(INDEX('Pegar docentes'!$A$1:$BZ$1001,820,F$2)&amp;""),""))</f>
        <v/>
      </c>
      <c r="G821">
        <f>IF(G$2=0,"",IFERROR(TRIM(INDEX('Pegar docentes'!$A$1:$BZ$1001,820,G$2)&amp;""),""))</f>
        <v/>
      </c>
      <c r="H821">
        <f>IF(H$2=0,"",IFERROR(TRIM(INDEX('Pegar docentes'!$A$1:$BZ$1001,820,H$2)&amp;""),""))</f>
        <v/>
      </c>
      <c r="I821">
        <f>IF(I$2=0,"",IFERROR(TRIM(INDEX('Pegar docentes'!$A$1:$BZ$1001,820,I$2)&amp;""),""))</f>
        <v/>
      </c>
      <c r="J821">
        <f>IF(J$2=0,"",IFERROR(TRIM(INDEX('Pegar docentes'!$A$1:$BZ$1001,820,J$2)&amp;""),""))</f>
        <v/>
      </c>
      <c r="K821">
        <f>IF(K$2=0,"",IFERROR(TRIM(INDEX('Pegar docentes'!$A$1:$BZ$1001,820,K$2)&amp;""),""))</f>
        <v/>
      </c>
      <c r="L821">
        <f>IF(L$2=0,"",IFERROR(TRIM(INDEX('Pegar docentes'!$A$1:$BZ$1001,820,L$2)&amp;""),""))</f>
        <v/>
      </c>
      <c r="M821">
        <f>IF(M$2=0,"",IFERROR(TRIM(INDEX('Pegar docentes'!$A$1:$BZ$1001,820,M$2)&amp;""),""))</f>
        <v/>
      </c>
      <c r="N821">
        <f>IF(N$2=0,"",IFERROR(TRIM(INDEX('Pegar docentes'!$A$1:$BZ$1001,820,N$2)&amp;""),""))</f>
        <v/>
      </c>
      <c r="O821">
        <f>IF(O$2=0,"",IFERROR(TRIM(INDEX('Pegar docentes'!$A$1:$BZ$1001,820,O$2)&amp;""),""))</f>
        <v/>
      </c>
      <c r="P821">
        <f>IF(P$2=0,"",IFERROR(TRIM(INDEX('Pegar docentes'!$A$1:$BZ$1001,820,P$2)&amp;""),""))</f>
        <v/>
      </c>
      <c r="Q821" s="25">
        <f>IF(OR(D821&lt;&gt;"",H821&lt;&gt;""),1,"")</f>
        <v/>
      </c>
      <c r="R821" s="25">
        <f>IF(Q821=1,IF(ISNUMBER(FIND("#"&amp;MID(D821,1,1)&amp;"#","#0#1#2#3#4#5#6#7#8#9#")),IF(ISNUMBER(FIND("#"&amp;MID(D821,2,1)&amp;"#","#0#1#2#3#4#5#6#7#8#9#")),IF(AND(VALUE(LEFT(D821,2))&gt;=1,VALUE(LEFT(D821,2))&lt;=5),VALUE(LEFT(D821,2)),""),IF(AND(VALUE(LEFT(D821,1))&gt;=1,VALUE(LEFT(D821,1))&lt;=5),VALUE(LEFT(D821,1)),"")),""),"")</f>
        <v/>
      </c>
      <c r="S821" s="25">
        <f>IF(AND(Q821=1,E821&lt;&gt;""),SUBSTITUTE(SUBSTITUTE(SUBSTITUTE(SUBSTITUTE(SUBSTITUTE(SUBSTITUTE(SUBSTITUTE(SUBSTITUTE(SUBSTITUTE(SUBSTITUTE(SUBSTITUTE(SUBSTITUTE(LOWER(TRIM(E821)),"á","a"),"é","e"),"í","i"),"ó","o"),"ú","u"),"ü","u"),"ñ","n"),"à","a"),"è","e"),"ì","i"),"ò","o"),"ù","u"),"")</f>
        <v/>
      </c>
      <c r="T821" s="25">
        <f>IF(AND(Q821=1,G821&lt;&gt;""),SUBSTITUTE(SUBSTITUTE(SUBSTITUTE(SUBSTITUTE(SUBSTITUTE(SUBSTITUTE(SUBSTITUTE(SUBSTITUTE(SUBSTITUTE(SUBSTITUTE(SUBSTITUTE(SUBSTITUTE(LOWER(TRIM(G821)),"á","a"),"é","e"),"í","i"),"ó","o"),"ú","u"),"ü","u"),"ñ","n"),"à","a"),"è","e"),"ì","i"),"ò","o"),"ù","u"),"")</f>
        <v/>
      </c>
      <c r="U821" s="25">
        <f>IF(AND(Q821=1,H821&lt;&gt;""),SUBSTITUTE(SUBSTITUTE(SUBSTITUTE(SUBSTITUTE(SUBSTITUTE(SUBSTITUTE(SUBSTITUTE(SUBSTITUTE(SUBSTITUTE(SUBSTITUTE(SUBSTITUTE(SUBSTITUTE(LOWER(TRIM(H821)),"á","a"),"é","e"),"í","i"),"ó","o"),"ú","u"),"ü","u"),"ñ","n"),"à","a"),"è","e"),"ì","i"),"ò","o"),"ù","u"),"")</f>
        <v/>
      </c>
      <c r="V821" s="25">
        <f>IF(AND(Q821=1,L821&lt;&gt;""),SUBSTITUTE(SUBSTITUTE(SUBSTITUTE(SUBSTITUTE(SUBSTITUTE(SUBSTITUTE(SUBSTITUTE(SUBSTITUTE(SUBSTITUTE(SUBSTITUTE(SUBSTITUTE(SUBSTITUTE(LOWER(TRIM(L821)),"á","a"),"é","e"),"í","i"),"ó","o"),"ú","u"),"ü","u"),"ñ","n"),"à","a"),"è","e"),"ì","i"),"ò","o"),"ù","u"),"")</f>
        <v/>
      </c>
      <c r="W821" s="25">
        <f>IF(AND(Q821=1,I821&lt;&gt;""),SUBSTITUTE(SUBSTITUTE(SUBSTITUTE(SUBSTITUTE(SUBSTITUTE(SUBSTITUTE(SUBSTITUTE(SUBSTITUTE(SUBSTITUTE(SUBSTITUTE(SUBSTITUTE(SUBSTITUTE(LOWER(TRIM(I821)),"á","a"),"é","e"),"í","i"),"ó","o"),"ú","u"),"ü","u"),"ñ","n"),"à","a"),"è","e"),"ì","i"),"ò","o"),"ù","u"),"")</f>
        <v/>
      </c>
      <c r="X821" s="25">
        <f>IF(U821="","",IF(OR(U821="si, en la proxima tarea",U821="si, con cambios"),1,0))</f>
        <v/>
      </c>
      <c r="Y821" s="25">
        <f>IF(AND(Q821=1,A821&lt;&gt;""),IF(IFERROR(COUNTIFS(A$3:A821,"="&amp;SUBSTITUTE(SUBSTITUTE(SUBSTITUTE(A821,"~","~~"),"*","~*"),"?","~?"),Q$3:Q821,1),0)=1,MAX(Y$2:Y820)+1,""),"")</f>
        <v/>
      </c>
      <c r="Z821" s="25">
        <f>IF(Y821="","",COUNTIFS($A$3:$A$1002,"="&amp;SUBSTITUTE(SUBSTITUTE(SUBSTITUTE(A821,"~","~~"),"*","~*"),"?","~?"),$Q$3:$Q$1002,1)*10000-Y821)</f>
        <v/>
      </c>
    </row>
    <row r="822">
      <c r="A822">
        <f>IF(A$2=0,"",IFERROR(TRIM(INDEX('Pegar docentes'!$A$1:$BZ$1001,821,A$2)&amp;""),""))</f>
        <v/>
      </c>
      <c r="B822">
        <f>IF(B$2=0,"",IFERROR(TRIM(INDEX('Pegar docentes'!$A$1:$BZ$1001,821,B$2)&amp;""),""))</f>
        <v/>
      </c>
      <c r="C822">
        <f>IF(C$2=0,"",IFERROR(TRIM(INDEX('Pegar docentes'!$A$1:$BZ$1001,821,C$2)&amp;""),""))</f>
        <v/>
      </c>
      <c r="D822">
        <f>IF(D$2=0,"",IFERROR(TRIM(INDEX('Pegar docentes'!$A$1:$BZ$1001,821,D$2)&amp;""),""))</f>
        <v/>
      </c>
      <c r="E822">
        <f>IF(E$2=0,"",IFERROR(TRIM(INDEX('Pegar docentes'!$A$1:$BZ$1001,821,E$2)&amp;""),""))</f>
        <v/>
      </c>
      <c r="F822">
        <f>IF(F$2=0,"",IFERROR(TRIM(INDEX('Pegar docentes'!$A$1:$BZ$1001,821,F$2)&amp;""),""))</f>
        <v/>
      </c>
      <c r="G822">
        <f>IF(G$2=0,"",IFERROR(TRIM(INDEX('Pegar docentes'!$A$1:$BZ$1001,821,G$2)&amp;""),""))</f>
        <v/>
      </c>
      <c r="H822">
        <f>IF(H$2=0,"",IFERROR(TRIM(INDEX('Pegar docentes'!$A$1:$BZ$1001,821,H$2)&amp;""),""))</f>
        <v/>
      </c>
      <c r="I822">
        <f>IF(I$2=0,"",IFERROR(TRIM(INDEX('Pegar docentes'!$A$1:$BZ$1001,821,I$2)&amp;""),""))</f>
        <v/>
      </c>
      <c r="J822">
        <f>IF(J$2=0,"",IFERROR(TRIM(INDEX('Pegar docentes'!$A$1:$BZ$1001,821,J$2)&amp;""),""))</f>
        <v/>
      </c>
      <c r="K822">
        <f>IF(K$2=0,"",IFERROR(TRIM(INDEX('Pegar docentes'!$A$1:$BZ$1001,821,K$2)&amp;""),""))</f>
        <v/>
      </c>
      <c r="L822">
        <f>IF(L$2=0,"",IFERROR(TRIM(INDEX('Pegar docentes'!$A$1:$BZ$1001,821,L$2)&amp;""),""))</f>
        <v/>
      </c>
      <c r="M822">
        <f>IF(M$2=0,"",IFERROR(TRIM(INDEX('Pegar docentes'!$A$1:$BZ$1001,821,M$2)&amp;""),""))</f>
        <v/>
      </c>
      <c r="N822">
        <f>IF(N$2=0,"",IFERROR(TRIM(INDEX('Pegar docentes'!$A$1:$BZ$1001,821,N$2)&amp;""),""))</f>
        <v/>
      </c>
      <c r="O822">
        <f>IF(O$2=0,"",IFERROR(TRIM(INDEX('Pegar docentes'!$A$1:$BZ$1001,821,O$2)&amp;""),""))</f>
        <v/>
      </c>
      <c r="P822">
        <f>IF(P$2=0,"",IFERROR(TRIM(INDEX('Pegar docentes'!$A$1:$BZ$1001,821,P$2)&amp;""),""))</f>
        <v/>
      </c>
      <c r="Q822" s="25">
        <f>IF(OR(D822&lt;&gt;"",H822&lt;&gt;""),1,"")</f>
        <v/>
      </c>
      <c r="R822" s="25">
        <f>IF(Q822=1,IF(ISNUMBER(FIND("#"&amp;MID(D822,1,1)&amp;"#","#0#1#2#3#4#5#6#7#8#9#")),IF(ISNUMBER(FIND("#"&amp;MID(D822,2,1)&amp;"#","#0#1#2#3#4#5#6#7#8#9#")),IF(AND(VALUE(LEFT(D822,2))&gt;=1,VALUE(LEFT(D822,2))&lt;=5),VALUE(LEFT(D822,2)),""),IF(AND(VALUE(LEFT(D822,1))&gt;=1,VALUE(LEFT(D822,1))&lt;=5),VALUE(LEFT(D822,1)),"")),""),"")</f>
        <v/>
      </c>
      <c r="S822" s="25">
        <f>IF(AND(Q822=1,E822&lt;&gt;""),SUBSTITUTE(SUBSTITUTE(SUBSTITUTE(SUBSTITUTE(SUBSTITUTE(SUBSTITUTE(SUBSTITUTE(SUBSTITUTE(SUBSTITUTE(SUBSTITUTE(SUBSTITUTE(SUBSTITUTE(LOWER(TRIM(E822)),"á","a"),"é","e"),"í","i"),"ó","o"),"ú","u"),"ü","u"),"ñ","n"),"à","a"),"è","e"),"ì","i"),"ò","o"),"ù","u"),"")</f>
        <v/>
      </c>
      <c r="T822" s="25">
        <f>IF(AND(Q822=1,G822&lt;&gt;""),SUBSTITUTE(SUBSTITUTE(SUBSTITUTE(SUBSTITUTE(SUBSTITUTE(SUBSTITUTE(SUBSTITUTE(SUBSTITUTE(SUBSTITUTE(SUBSTITUTE(SUBSTITUTE(SUBSTITUTE(LOWER(TRIM(G822)),"á","a"),"é","e"),"í","i"),"ó","o"),"ú","u"),"ü","u"),"ñ","n"),"à","a"),"è","e"),"ì","i"),"ò","o"),"ù","u"),"")</f>
        <v/>
      </c>
      <c r="U822" s="25">
        <f>IF(AND(Q822=1,H822&lt;&gt;""),SUBSTITUTE(SUBSTITUTE(SUBSTITUTE(SUBSTITUTE(SUBSTITUTE(SUBSTITUTE(SUBSTITUTE(SUBSTITUTE(SUBSTITUTE(SUBSTITUTE(SUBSTITUTE(SUBSTITUTE(LOWER(TRIM(H822)),"á","a"),"é","e"),"í","i"),"ó","o"),"ú","u"),"ü","u"),"ñ","n"),"à","a"),"è","e"),"ì","i"),"ò","o"),"ù","u"),"")</f>
        <v/>
      </c>
      <c r="V822" s="25">
        <f>IF(AND(Q822=1,L822&lt;&gt;""),SUBSTITUTE(SUBSTITUTE(SUBSTITUTE(SUBSTITUTE(SUBSTITUTE(SUBSTITUTE(SUBSTITUTE(SUBSTITUTE(SUBSTITUTE(SUBSTITUTE(SUBSTITUTE(SUBSTITUTE(LOWER(TRIM(L822)),"á","a"),"é","e"),"í","i"),"ó","o"),"ú","u"),"ü","u"),"ñ","n"),"à","a"),"è","e"),"ì","i"),"ò","o"),"ù","u"),"")</f>
        <v/>
      </c>
      <c r="W822" s="25">
        <f>IF(AND(Q822=1,I822&lt;&gt;""),SUBSTITUTE(SUBSTITUTE(SUBSTITUTE(SUBSTITUTE(SUBSTITUTE(SUBSTITUTE(SUBSTITUTE(SUBSTITUTE(SUBSTITUTE(SUBSTITUTE(SUBSTITUTE(SUBSTITUTE(LOWER(TRIM(I822)),"á","a"),"é","e"),"í","i"),"ó","o"),"ú","u"),"ü","u"),"ñ","n"),"à","a"),"è","e"),"ì","i"),"ò","o"),"ù","u"),"")</f>
        <v/>
      </c>
      <c r="X822" s="25">
        <f>IF(U822="","",IF(OR(U822="si, en la proxima tarea",U822="si, con cambios"),1,0))</f>
        <v/>
      </c>
      <c r="Y822" s="25">
        <f>IF(AND(Q822=1,A822&lt;&gt;""),IF(IFERROR(COUNTIFS(A$3:A822,"="&amp;SUBSTITUTE(SUBSTITUTE(SUBSTITUTE(A822,"~","~~"),"*","~*"),"?","~?"),Q$3:Q822,1),0)=1,MAX(Y$2:Y821)+1,""),"")</f>
        <v/>
      </c>
      <c r="Z822" s="25">
        <f>IF(Y822="","",COUNTIFS($A$3:$A$1002,"="&amp;SUBSTITUTE(SUBSTITUTE(SUBSTITUTE(A822,"~","~~"),"*","~*"),"?","~?"),$Q$3:$Q$1002,1)*10000-Y822)</f>
        <v/>
      </c>
    </row>
    <row r="823">
      <c r="A823">
        <f>IF(A$2=0,"",IFERROR(TRIM(INDEX('Pegar docentes'!$A$1:$BZ$1001,822,A$2)&amp;""),""))</f>
        <v/>
      </c>
      <c r="B823">
        <f>IF(B$2=0,"",IFERROR(TRIM(INDEX('Pegar docentes'!$A$1:$BZ$1001,822,B$2)&amp;""),""))</f>
        <v/>
      </c>
      <c r="C823">
        <f>IF(C$2=0,"",IFERROR(TRIM(INDEX('Pegar docentes'!$A$1:$BZ$1001,822,C$2)&amp;""),""))</f>
        <v/>
      </c>
      <c r="D823">
        <f>IF(D$2=0,"",IFERROR(TRIM(INDEX('Pegar docentes'!$A$1:$BZ$1001,822,D$2)&amp;""),""))</f>
        <v/>
      </c>
      <c r="E823">
        <f>IF(E$2=0,"",IFERROR(TRIM(INDEX('Pegar docentes'!$A$1:$BZ$1001,822,E$2)&amp;""),""))</f>
        <v/>
      </c>
      <c r="F823">
        <f>IF(F$2=0,"",IFERROR(TRIM(INDEX('Pegar docentes'!$A$1:$BZ$1001,822,F$2)&amp;""),""))</f>
        <v/>
      </c>
      <c r="G823">
        <f>IF(G$2=0,"",IFERROR(TRIM(INDEX('Pegar docentes'!$A$1:$BZ$1001,822,G$2)&amp;""),""))</f>
        <v/>
      </c>
      <c r="H823">
        <f>IF(H$2=0,"",IFERROR(TRIM(INDEX('Pegar docentes'!$A$1:$BZ$1001,822,H$2)&amp;""),""))</f>
        <v/>
      </c>
      <c r="I823">
        <f>IF(I$2=0,"",IFERROR(TRIM(INDEX('Pegar docentes'!$A$1:$BZ$1001,822,I$2)&amp;""),""))</f>
        <v/>
      </c>
      <c r="J823">
        <f>IF(J$2=0,"",IFERROR(TRIM(INDEX('Pegar docentes'!$A$1:$BZ$1001,822,J$2)&amp;""),""))</f>
        <v/>
      </c>
      <c r="K823">
        <f>IF(K$2=0,"",IFERROR(TRIM(INDEX('Pegar docentes'!$A$1:$BZ$1001,822,K$2)&amp;""),""))</f>
        <v/>
      </c>
      <c r="L823">
        <f>IF(L$2=0,"",IFERROR(TRIM(INDEX('Pegar docentes'!$A$1:$BZ$1001,822,L$2)&amp;""),""))</f>
        <v/>
      </c>
      <c r="M823">
        <f>IF(M$2=0,"",IFERROR(TRIM(INDEX('Pegar docentes'!$A$1:$BZ$1001,822,M$2)&amp;""),""))</f>
        <v/>
      </c>
      <c r="N823">
        <f>IF(N$2=0,"",IFERROR(TRIM(INDEX('Pegar docentes'!$A$1:$BZ$1001,822,N$2)&amp;""),""))</f>
        <v/>
      </c>
      <c r="O823">
        <f>IF(O$2=0,"",IFERROR(TRIM(INDEX('Pegar docentes'!$A$1:$BZ$1001,822,O$2)&amp;""),""))</f>
        <v/>
      </c>
      <c r="P823">
        <f>IF(P$2=0,"",IFERROR(TRIM(INDEX('Pegar docentes'!$A$1:$BZ$1001,822,P$2)&amp;""),""))</f>
        <v/>
      </c>
      <c r="Q823" s="25">
        <f>IF(OR(D823&lt;&gt;"",H823&lt;&gt;""),1,"")</f>
        <v/>
      </c>
      <c r="R823" s="25">
        <f>IF(Q823=1,IF(ISNUMBER(FIND("#"&amp;MID(D823,1,1)&amp;"#","#0#1#2#3#4#5#6#7#8#9#")),IF(ISNUMBER(FIND("#"&amp;MID(D823,2,1)&amp;"#","#0#1#2#3#4#5#6#7#8#9#")),IF(AND(VALUE(LEFT(D823,2))&gt;=1,VALUE(LEFT(D823,2))&lt;=5),VALUE(LEFT(D823,2)),""),IF(AND(VALUE(LEFT(D823,1))&gt;=1,VALUE(LEFT(D823,1))&lt;=5),VALUE(LEFT(D823,1)),"")),""),"")</f>
        <v/>
      </c>
      <c r="S823" s="25">
        <f>IF(AND(Q823=1,E823&lt;&gt;""),SUBSTITUTE(SUBSTITUTE(SUBSTITUTE(SUBSTITUTE(SUBSTITUTE(SUBSTITUTE(SUBSTITUTE(SUBSTITUTE(SUBSTITUTE(SUBSTITUTE(SUBSTITUTE(SUBSTITUTE(LOWER(TRIM(E823)),"á","a"),"é","e"),"í","i"),"ó","o"),"ú","u"),"ü","u"),"ñ","n"),"à","a"),"è","e"),"ì","i"),"ò","o"),"ù","u"),"")</f>
        <v/>
      </c>
      <c r="T823" s="25">
        <f>IF(AND(Q823=1,G823&lt;&gt;""),SUBSTITUTE(SUBSTITUTE(SUBSTITUTE(SUBSTITUTE(SUBSTITUTE(SUBSTITUTE(SUBSTITUTE(SUBSTITUTE(SUBSTITUTE(SUBSTITUTE(SUBSTITUTE(SUBSTITUTE(LOWER(TRIM(G823)),"á","a"),"é","e"),"í","i"),"ó","o"),"ú","u"),"ü","u"),"ñ","n"),"à","a"),"è","e"),"ì","i"),"ò","o"),"ù","u"),"")</f>
        <v/>
      </c>
      <c r="U823" s="25">
        <f>IF(AND(Q823=1,H823&lt;&gt;""),SUBSTITUTE(SUBSTITUTE(SUBSTITUTE(SUBSTITUTE(SUBSTITUTE(SUBSTITUTE(SUBSTITUTE(SUBSTITUTE(SUBSTITUTE(SUBSTITUTE(SUBSTITUTE(SUBSTITUTE(LOWER(TRIM(H823)),"á","a"),"é","e"),"í","i"),"ó","o"),"ú","u"),"ü","u"),"ñ","n"),"à","a"),"è","e"),"ì","i"),"ò","o"),"ù","u"),"")</f>
        <v/>
      </c>
      <c r="V823" s="25">
        <f>IF(AND(Q823=1,L823&lt;&gt;""),SUBSTITUTE(SUBSTITUTE(SUBSTITUTE(SUBSTITUTE(SUBSTITUTE(SUBSTITUTE(SUBSTITUTE(SUBSTITUTE(SUBSTITUTE(SUBSTITUTE(SUBSTITUTE(SUBSTITUTE(LOWER(TRIM(L823)),"á","a"),"é","e"),"í","i"),"ó","o"),"ú","u"),"ü","u"),"ñ","n"),"à","a"),"è","e"),"ì","i"),"ò","o"),"ù","u"),"")</f>
        <v/>
      </c>
      <c r="W823" s="25">
        <f>IF(AND(Q823=1,I823&lt;&gt;""),SUBSTITUTE(SUBSTITUTE(SUBSTITUTE(SUBSTITUTE(SUBSTITUTE(SUBSTITUTE(SUBSTITUTE(SUBSTITUTE(SUBSTITUTE(SUBSTITUTE(SUBSTITUTE(SUBSTITUTE(LOWER(TRIM(I823)),"á","a"),"é","e"),"í","i"),"ó","o"),"ú","u"),"ü","u"),"ñ","n"),"à","a"),"è","e"),"ì","i"),"ò","o"),"ù","u"),"")</f>
        <v/>
      </c>
      <c r="X823" s="25">
        <f>IF(U823="","",IF(OR(U823="si, en la proxima tarea",U823="si, con cambios"),1,0))</f>
        <v/>
      </c>
      <c r="Y823" s="25">
        <f>IF(AND(Q823=1,A823&lt;&gt;""),IF(IFERROR(COUNTIFS(A$3:A823,"="&amp;SUBSTITUTE(SUBSTITUTE(SUBSTITUTE(A823,"~","~~"),"*","~*"),"?","~?"),Q$3:Q823,1),0)=1,MAX(Y$2:Y822)+1,""),"")</f>
        <v/>
      </c>
      <c r="Z823" s="25">
        <f>IF(Y823="","",COUNTIFS($A$3:$A$1002,"="&amp;SUBSTITUTE(SUBSTITUTE(SUBSTITUTE(A823,"~","~~"),"*","~*"),"?","~?"),$Q$3:$Q$1002,1)*10000-Y823)</f>
        <v/>
      </c>
    </row>
    <row r="824">
      <c r="A824">
        <f>IF(A$2=0,"",IFERROR(TRIM(INDEX('Pegar docentes'!$A$1:$BZ$1001,823,A$2)&amp;""),""))</f>
        <v/>
      </c>
      <c r="B824">
        <f>IF(B$2=0,"",IFERROR(TRIM(INDEX('Pegar docentes'!$A$1:$BZ$1001,823,B$2)&amp;""),""))</f>
        <v/>
      </c>
      <c r="C824">
        <f>IF(C$2=0,"",IFERROR(TRIM(INDEX('Pegar docentes'!$A$1:$BZ$1001,823,C$2)&amp;""),""))</f>
        <v/>
      </c>
      <c r="D824">
        <f>IF(D$2=0,"",IFERROR(TRIM(INDEX('Pegar docentes'!$A$1:$BZ$1001,823,D$2)&amp;""),""))</f>
        <v/>
      </c>
      <c r="E824">
        <f>IF(E$2=0,"",IFERROR(TRIM(INDEX('Pegar docentes'!$A$1:$BZ$1001,823,E$2)&amp;""),""))</f>
        <v/>
      </c>
      <c r="F824">
        <f>IF(F$2=0,"",IFERROR(TRIM(INDEX('Pegar docentes'!$A$1:$BZ$1001,823,F$2)&amp;""),""))</f>
        <v/>
      </c>
      <c r="G824">
        <f>IF(G$2=0,"",IFERROR(TRIM(INDEX('Pegar docentes'!$A$1:$BZ$1001,823,G$2)&amp;""),""))</f>
        <v/>
      </c>
      <c r="H824">
        <f>IF(H$2=0,"",IFERROR(TRIM(INDEX('Pegar docentes'!$A$1:$BZ$1001,823,H$2)&amp;""),""))</f>
        <v/>
      </c>
      <c r="I824">
        <f>IF(I$2=0,"",IFERROR(TRIM(INDEX('Pegar docentes'!$A$1:$BZ$1001,823,I$2)&amp;""),""))</f>
        <v/>
      </c>
      <c r="J824">
        <f>IF(J$2=0,"",IFERROR(TRIM(INDEX('Pegar docentes'!$A$1:$BZ$1001,823,J$2)&amp;""),""))</f>
        <v/>
      </c>
      <c r="K824">
        <f>IF(K$2=0,"",IFERROR(TRIM(INDEX('Pegar docentes'!$A$1:$BZ$1001,823,K$2)&amp;""),""))</f>
        <v/>
      </c>
      <c r="L824">
        <f>IF(L$2=0,"",IFERROR(TRIM(INDEX('Pegar docentes'!$A$1:$BZ$1001,823,L$2)&amp;""),""))</f>
        <v/>
      </c>
      <c r="M824">
        <f>IF(M$2=0,"",IFERROR(TRIM(INDEX('Pegar docentes'!$A$1:$BZ$1001,823,M$2)&amp;""),""))</f>
        <v/>
      </c>
      <c r="N824">
        <f>IF(N$2=0,"",IFERROR(TRIM(INDEX('Pegar docentes'!$A$1:$BZ$1001,823,N$2)&amp;""),""))</f>
        <v/>
      </c>
      <c r="O824">
        <f>IF(O$2=0,"",IFERROR(TRIM(INDEX('Pegar docentes'!$A$1:$BZ$1001,823,O$2)&amp;""),""))</f>
        <v/>
      </c>
      <c r="P824">
        <f>IF(P$2=0,"",IFERROR(TRIM(INDEX('Pegar docentes'!$A$1:$BZ$1001,823,P$2)&amp;""),""))</f>
        <v/>
      </c>
      <c r="Q824" s="25">
        <f>IF(OR(D824&lt;&gt;"",H824&lt;&gt;""),1,"")</f>
        <v/>
      </c>
      <c r="R824" s="25">
        <f>IF(Q824=1,IF(ISNUMBER(FIND("#"&amp;MID(D824,1,1)&amp;"#","#0#1#2#3#4#5#6#7#8#9#")),IF(ISNUMBER(FIND("#"&amp;MID(D824,2,1)&amp;"#","#0#1#2#3#4#5#6#7#8#9#")),IF(AND(VALUE(LEFT(D824,2))&gt;=1,VALUE(LEFT(D824,2))&lt;=5),VALUE(LEFT(D824,2)),""),IF(AND(VALUE(LEFT(D824,1))&gt;=1,VALUE(LEFT(D824,1))&lt;=5),VALUE(LEFT(D824,1)),"")),""),"")</f>
        <v/>
      </c>
      <c r="S824" s="25">
        <f>IF(AND(Q824=1,E824&lt;&gt;""),SUBSTITUTE(SUBSTITUTE(SUBSTITUTE(SUBSTITUTE(SUBSTITUTE(SUBSTITUTE(SUBSTITUTE(SUBSTITUTE(SUBSTITUTE(SUBSTITUTE(SUBSTITUTE(SUBSTITUTE(LOWER(TRIM(E824)),"á","a"),"é","e"),"í","i"),"ó","o"),"ú","u"),"ü","u"),"ñ","n"),"à","a"),"è","e"),"ì","i"),"ò","o"),"ù","u"),"")</f>
        <v/>
      </c>
      <c r="T824" s="25">
        <f>IF(AND(Q824=1,G824&lt;&gt;""),SUBSTITUTE(SUBSTITUTE(SUBSTITUTE(SUBSTITUTE(SUBSTITUTE(SUBSTITUTE(SUBSTITUTE(SUBSTITUTE(SUBSTITUTE(SUBSTITUTE(SUBSTITUTE(SUBSTITUTE(LOWER(TRIM(G824)),"á","a"),"é","e"),"í","i"),"ó","o"),"ú","u"),"ü","u"),"ñ","n"),"à","a"),"è","e"),"ì","i"),"ò","o"),"ù","u"),"")</f>
        <v/>
      </c>
      <c r="U824" s="25">
        <f>IF(AND(Q824=1,H824&lt;&gt;""),SUBSTITUTE(SUBSTITUTE(SUBSTITUTE(SUBSTITUTE(SUBSTITUTE(SUBSTITUTE(SUBSTITUTE(SUBSTITUTE(SUBSTITUTE(SUBSTITUTE(SUBSTITUTE(SUBSTITUTE(LOWER(TRIM(H824)),"á","a"),"é","e"),"í","i"),"ó","o"),"ú","u"),"ü","u"),"ñ","n"),"à","a"),"è","e"),"ì","i"),"ò","o"),"ù","u"),"")</f>
        <v/>
      </c>
      <c r="V824" s="25">
        <f>IF(AND(Q824=1,L824&lt;&gt;""),SUBSTITUTE(SUBSTITUTE(SUBSTITUTE(SUBSTITUTE(SUBSTITUTE(SUBSTITUTE(SUBSTITUTE(SUBSTITUTE(SUBSTITUTE(SUBSTITUTE(SUBSTITUTE(SUBSTITUTE(LOWER(TRIM(L824)),"á","a"),"é","e"),"í","i"),"ó","o"),"ú","u"),"ü","u"),"ñ","n"),"à","a"),"è","e"),"ì","i"),"ò","o"),"ù","u"),"")</f>
        <v/>
      </c>
      <c r="W824" s="25">
        <f>IF(AND(Q824=1,I824&lt;&gt;""),SUBSTITUTE(SUBSTITUTE(SUBSTITUTE(SUBSTITUTE(SUBSTITUTE(SUBSTITUTE(SUBSTITUTE(SUBSTITUTE(SUBSTITUTE(SUBSTITUTE(SUBSTITUTE(SUBSTITUTE(LOWER(TRIM(I824)),"á","a"),"é","e"),"í","i"),"ó","o"),"ú","u"),"ü","u"),"ñ","n"),"à","a"),"è","e"),"ì","i"),"ò","o"),"ù","u"),"")</f>
        <v/>
      </c>
      <c r="X824" s="25">
        <f>IF(U824="","",IF(OR(U824="si, en la proxima tarea",U824="si, con cambios"),1,0))</f>
        <v/>
      </c>
      <c r="Y824" s="25">
        <f>IF(AND(Q824=1,A824&lt;&gt;""),IF(IFERROR(COUNTIFS(A$3:A824,"="&amp;SUBSTITUTE(SUBSTITUTE(SUBSTITUTE(A824,"~","~~"),"*","~*"),"?","~?"),Q$3:Q824,1),0)=1,MAX(Y$2:Y823)+1,""),"")</f>
        <v/>
      </c>
      <c r="Z824" s="25">
        <f>IF(Y824="","",COUNTIFS($A$3:$A$1002,"="&amp;SUBSTITUTE(SUBSTITUTE(SUBSTITUTE(A824,"~","~~"),"*","~*"),"?","~?"),$Q$3:$Q$1002,1)*10000-Y824)</f>
        <v/>
      </c>
    </row>
    <row r="825">
      <c r="A825">
        <f>IF(A$2=0,"",IFERROR(TRIM(INDEX('Pegar docentes'!$A$1:$BZ$1001,824,A$2)&amp;""),""))</f>
        <v/>
      </c>
      <c r="B825">
        <f>IF(B$2=0,"",IFERROR(TRIM(INDEX('Pegar docentes'!$A$1:$BZ$1001,824,B$2)&amp;""),""))</f>
        <v/>
      </c>
      <c r="C825">
        <f>IF(C$2=0,"",IFERROR(TRIM(INDEX('Pegar docentes'!$A$1:$BZ$1001,824,C$2)&amp;""),""))</f>
        <v/>
      </c>
      <c r="D825">
        <f>IF(D$2=0,"",IFERROR(TRIM(INDEX('Pegar docentes'!$A$1:$BZ$1001,824,D$2)&amp;""),""))</f>
        <v/>
      </c>
      <c r="E825">
        <f>IF(E$2=0,"",IFERROR(TRIM(INDEX('Pegar docentes'!$A$1:$BZ$1001,824,E$2)&amp;""),""))</f>
        <v/>
      </c>
      <c r="F825">
        <f>IF(F$2=0,"",IFERROR(TRIM(INDEX('Pegar docentes'!$A$1:$BZ$1001,824,F$2)&amp;""),""))</f>
        <v/>
      </c>
      <c r="G825">
        <f>IF(G$2=0,"",IFERROR(TRIM(INDEX('Pegar docentes'!$A$1:$BZ$1001,824,G$2)&amp;""),""))</f>
        <v/>
      </c>
      <c r="H825">
        <f>IF(H$2=0,"",IFERROR(TRIM(INDEX('Pegar docentes'!$A$1:$BZ$1001,824,H$2)&amp;""),""))</f>
        <v/>
      </c>
      <c r="I825">
        <f>IF(I$2=0,"",IFERROR(TRIM(INDEX('Pegar docentes'!$A$1:$BZ$1001,824,I$2)&amp;""),""))</f>
        <v/>
      </c>
      <c r="J825">
        <f>IF(J$2=0,"",IFERROR(TRIM(INDEX('Pegar docentes'!$A$1:$BZ$1001,824,J$2)&amp;""),""))</f>
        <v/>
      </c>
      <c r="K825">
        <f>IF(K$2=0,"",IFERROR(TRIM(INDEX('Pegar docentes'!$A$1:$BZ$1001,824,K$2)&amp;""),""))</f>
        <v/>
      </c>
      <c r="L825">
        <f>IF(L$2=0,"",IFERROR(TRIM(INDEX('Pegar docentes'!$A$1:$BZ$1001,824,L$2)&amp;""),""))</f>
        <v/>
      </c>
      <c r="M825">
        <f>IF(M$2=0,"",IFERROR(TRIM(INDEX('Pegar docentes'!$A$1:$BZ$1001,824,M$2)&amp;""),""))</f>
        <v/>
      </c>
      <c r="N825">
        <f>IF(N$2=0,"",IFERROR(TRIM(INDEX('Pegar docentes'!$A$1:$BZ$1001,824,N$2)&amp;""),""))</f>
        <v/>
      </c>
      <c r="O825">
        <f>IF(O$2=0,"",IFERROR(TRIM(INDEX('Pegar docentes'!$A$1:$BZ$1001,824,O$2)&amp;""),""))</f>
        <v/>
      </c>
      <c r="P825">
        <f>IF(P$2=0,"",IFERROR(TRIM(INDEX('Pegar docentes'!$A$1:$BZ$1001,824,P$2)&amp;""),""))</f>
        <v/>
      </c>
      <c r="Q825" s="25">
        <f>IF(OR(D825&lt;&gt;"",H825&lt;&gt;""),1,"")</f>
        <v/>
      </c>
      <c r="R825" s="25">
        <f>IF(Q825=1,IF(ISNUMBER(FIND("#"&amp;MID(D825,1,1)&amp;"#","#0#1#2#3#4#5#6#7#8#9#")),IF(ISNUMBER(FIND("#"&amp;MID(D825,2,1)&amp;"#","#0#1#2#3#4#5#6#7#8#9#")),IF(AND(VALUE(LEFT(D825,2))&gt;=1,VALUE(LEFT(D825,2))&lt;=5),VALUE(LEFT(D825,2)),""),IF(AND(VALUE(LEFT(D825,1))&gt;=1,VALUE(LEFT(D825,1))&lt;=5),VALUE(LEFT(D825,1)),"")),""),"")</f>
        <v/>
      </c>
      <c r="S825" s="25">
        <f>IF(AND(Q825=1,E825&lt;&gt;""),SUBSTITUTE(SUBSTITUTE(SUBSTITUTE(SUBSTITUTE(SUBSTITUTE(SUBSTITUTE(SUBSTITUTE(SUBSTITUTE(SUBSTITUTE(SUBSTITUTE(SUBSTITUTE(SUBSTITUTE(LOWER(TRIM(E825)),"á","a"),"é","e"),"í","i"),"ó","o"),"ú","u"),"ü","u"),"ñ","n"),"à","a"),"è","e"),"ì","i"),"ò","o"),"ù","u"),"")</f>
        <v/>
      </c>
      <c r="T825" s="25">
        <f>IF(AND(Q825=1,G825&lt;&gt;""),SUBSTITUTE(SUBSTITUTE(SUBSTITUTE(SUBSTITUTE(SUBSTITUTE(SUBSTITUTE(SUBSTITUTE(SUBSTITUTE(SUBSTITUTE(SUBSTITUTE(SUBSTITUTE(SUBSTITUTE(LOWER(TRIM(G825)),"á","a"),"é","e"),"í","i"),"ó","o"),"ú","u"),"ü","u"),"ñ","n"),"à","a"),"è","e"),"ì","i"),"ò","o"),"ù","u"),"")</f>
        <v/>
      </c>
      <c r="U825" s="25">
        <f>IF(AND(Q825=1,H825&lt;&gt;""),SUBSTITUTE(SUBSTITUTE(SUBSTITUTE(SUBSTITUTE(SUBSTITUTE(SUBSTITUTE(SUBSTITUTE(SUBSTITUTE(SUBSTITUTE(SUBSTITUTE(SUBSTITUTE(SUBSTITUTE(LOWER(TRIM(H825)),"á","a"),"é","e"),"í","i"),"ó","o"),"ú","u"),"ü","u"),"ñ","n"),"à","a"),"è","e"),"ì","i"),"ò","o"),"ù","u"),"")</f>
        <v/>
      </c>
      <c r="V825" s="25">
        <f>IF(AND(Q825=1,L825&lt;&gt;""),SUBSTITUTE(SUBSTITUTE(SUBSTITUTE(SUBSTITUTE(SUBSTITUTE(SUBSTITUTE(SUBSTITUTE(SUBSTITUTE(SUBSTITUTE(SUBSTITUTE(SUBSTITUTE(SUBSTITUTE(LOWER(TRIM(L825)),"á","a"),"é","e"),"í","i"),"ó","o"),"ú","u"),"ü","u"),"ñ","n"),"à","a"),"è","e"),"ì","i"),"ò","o"),"ù","u"),"")</f>
        <v/>
      </c>
      <c r="W825" s="25">
        <f>IF(AND(Q825=1,I825&lt;&gt;""),SUBSTITUTE(SUBSTITUTE(SUBSTITUTE(SUBSTITUTE(SUBSTITUTE(SUBSTITUTE(SUBSTITUTE(SUBSTITUTE(SUBSTITUTE(SUBSTITUTE(SUBSTITUTE(SUBSTITUTE(LOWER(TRIM(I825)),"á","a"),"é","e"),"í","i"),"ó","o"),"ú","u"),"ü","u"),"ñ","n"),"à","a"),"è","e"),"ì","i"),"ò","o"),"ù","u"),"")</f>
        <v/>
      </c>
      <c r="X825" s="25">
        <f>IF(U825="","",IF(OR(U825="si, en la proxima tarea",U825="si, con cambios"),1,0))</f>
        <v/>
      </c>
      <c r="Y825" s="25">
        <f>IF(AND(Q825=1,A825&lt;&gt;""),IF(IFERROR(COUNTIFS(A$3:A825,"="&amp;SUBSTITUTE(SUBSTITUTE(SUBSTITUTE(A825,"~","~~"),"*","~*"),"?","~?"),Q$3:Q825,1),0)=1,MAX(Y$2:Y824)+1,""),"")</f>
        <v/>
      </c>
      <c r="Z825" s="25">
        <f>IF(Y825="","",COUNTIFS($A$3:$A$1002,"="&amp;SUBSTITUTE(SUBSTITUTE(SUBSTITUTE(A825,"~","~~"),"*","~*"),"?","~?"),$Q$3:$Q$1002,1)*10000-Y825)</f>
        <v/>
      </c>
    </row>
    <row r="826">
      <c r="A826">
        <f>IF(A$2=0,"",IFERROR(TRIM(INDEX('Pegar docentes'!$A$1:$BZ$1001,825,A$2)&amp;""),""))</f>
        <v/>
      </c>
      <c r="B826">
        <f>IF(B$2=0,"",IFERROR(TRIM(INDEX('Pegar docentes'!$A$1:$BZ$1001,825,B$2)&amp;""),""))</f>
        <v/>
      </c>
      <c r="C826">
        <f>IF(C$2=0,"",IFERROR(TRIM(INDEX('Pegar docentes'!$A$1:$BZ$1001,825,C$2)&amp;""),""))</f>
        <v/>
      </c>
      <c r="D826">
        <f>IF(D$2=0,"",IFERROR(TRIM(INDEX('Pegar docentes'!$A$1:$BZ$1001,825,D$2)&amp;""),""))</f>
        <v/>
      </c>
      <c r="E826">
        <f>IF(E$2=0,"",IFERROR(TRIM(INDEX('Pegar docentes'!$A$1:$BZ$1001,825,E$2)&amp;""),""))</f>
        <v/>
      </c>
      <c r="F826">
        <f>IF(F$2=0,"",IFERROR(TRIM(INDEX('Pegar docentes'!$A$1:$BZ$1001,825,F$2)&amp;""),""))</f>
        <v/>
      </c>
      <c r="G826">
        <f>IF(G$2=0,"",IFERROR(TRIM(INDEX('Pegar docentes'!$A$1:$BZ$1001,825,G$2)&amp;""),""))</f>
        <v/>
      </c>
      <c r="H826">
        <f>IF(H$2=0,"",IFERROR(TRIM(INDEX('Pegar docentes'!$A$1:$BZ$1001,825,H$2)&amp;""),""))</f>
        <v/>
      </c>
      <c r="I826">
        <f>IF(I$2=0,"",IFERROR(TRIM(INDEX('Pegar docentes'!$A$1:$BZ$1001,825,I$2)&amp;""),""))</f>
        <v/>
      </c>
      <c r="J826">
        <f>IF(J$2=0,"",IFERROR(TRIM(INDEX('Pegar docentes'!$A$1:$BZ$1001,825,J$2)&amp;""),""))</f>
        <v/>
      </c>
      <c r="K826">
        <f>IF(K$2=0,"",IFERROR(TRIM(INDEX('Pegar docentes'!$A$1:$BZ$1001,825,K$2)&amp;""),""))</f>
        <v/>
      </c>
      <c r="L826">
        <f>IF(L$2=0,"",IFERROR(TRIM(INDEX('Pegar docentes'!$A$1:$BZ$1001,825,L$2)&amp;""),""))</f>
        <v/>
      </c>
      <c r="M826">
        <f>IF(M$2=0,"",IFERROR(TRIM(INDEX('Pegar docentes'!$A$1:$BZ$1001,825,M$2)&amp;""),""))</f>
        <v/>
      </c>
      <c r="N826">
        <f>IF(N$2=0,"",IFERROR(TRIM(INDEX('Pegar docentes'!$A$1:$BZ$1001,825,N$2)&amp;""),""))</f>
        <v/>
      </c>
      <c r="O826">
        <f>IF(O$2=0,"",IFERROR(TRIM(INDEX('Pegar docentes'!$A$1:$BZ$1001,825,O$2)&amp;""),""))</f>
        <v/>
      </c>
      <c r="P826">
        <f>IF(P$2=0,"",IFERROR(TRIM(INDEX('Pegar docentes'!$A$1:$BZ$1001,825,P$2)&amp;""),""))</f>
        <v/>
      </c>
      <c r="Q826" s="25">
        <f>IF(OR(D826&lt;&gt;"",H826&lt;&gt;""),1,"")</f>
        <v/>
      </c>
      <c r="R826" s="25">
        <f>IF(Q826=1,IF(ISNUMBER(FIND("#"&amp;MID(D826,1,1)&amp;"#","#0#1#2#3#4#5#6#7#8#9#")),IF(ISNUMBER(FIND("#"&amp;MID(D826,2,1)&amp;"#","#0#1#2#3#4#5#6#7#8#9#")),IF(AND(VALUE(LEFT(D826,2))&gt;=1,VALUE(LEFT(D826,2))&lt;=5),VALUE(LEFT(D826,2)),""),IF(AND(VALUE(LEFT(D826,1))&gt;=1,VALUE(LEFT(D826,1))&lt;=5),VALUE(LEFT(D826,1)),"")),""),"")</f>
        <v/>
      </c>
      <c r="S826" s="25">
        <f>IF(AND(Q826=1,E826&lt;&gt;""),SUBSTITUTE(SUBSTITUTE(SUBSTITUTE(SUBSTITUTE(SUBSTITUTE(SUBSTITUTE(SUBSTITUTE(SUBSTITUTE(SUBSTITUTE(SUBSTITUTE(SUBSTITUTE(SUBSTITUTE(LOWER(TRIM(E826)),"á","a"),"é","e"),"í","i"),"ó","o"),"ú","u"),"ü","u"),"ñ","n"),"à","a"),"è","e"),"ì","i"),"ò","o"),"ù","u"),"")</f>
        <v/>
      </c>
      <c r="T826" s="25">
        <f>IF(AND(Q826=1,G826&lt;&gt;""),SUBSTITUTE(SUBSTITUTE(SUBSTITUTE(SUBSTITUTE(SUBSTITUTE(SUBSTITUTE(SUBSTITUTE(SUBSTITUTE(SUBSTITUTE(SUBSTITUTE(SUBSTITUTE(SUBSTITUTE(LOWER(TRIM(G826)),"á","a"),"é","e"),"í","i"),"ó","o"),"ú","u"),"ü","u"),"ñ","n"),"à","a"),"è","e"),"ì","i"),"ò","o"),"ù","u"),"")</f>
        <v/>
      </c>
      <c r="U826" s="25">
        <f>IF(AND(Q826=1,H826&lt;&gt;""),SUBSTITUTE(SUBSTITUTE(SUBSTITUTE(SUBSTITUTE(SUBSTITUTE(SUBSTITUTE(SUBSTITUTE(SUBSTITUTE(SUBSTITUTE(SUBSTITUTE(SUBSTITUTE(SUBSTITUTE(LOWER(TRIM(H826)),"á","a"),"é","e"),"í","i"),"ó","o"),"ú","u"),"ü","u"),"ñ","n"),"à","a"),"è","e"),"ì","i"),"ò","o"),"ù","u"),"")</f>
        <v/>
      </c>
      <c r="V826" s="25">
        <f>IF(AND(Q826=1,L826&lt;&gt;""),SUBSTITUTE(SUBSTITUTE(SUBSTITUTE(SUBSTITUTE(SUBSTITUTE(SUBSTITUTE(SUBSTITUTE(SUBSTITUTE(SUBSTITUTE(SUBSTITUTE(SUBSTITUTE(SUBSTITUTE(LOWER(TRIM(L826)),"á","a"),"é","e"),"í","i"),"ó","o"),"ú","u"),"ü","u"),"ñ","n"),"à","a"),"è","e"),"ì","i"),"ò","o"),"ù","u"),"")</f>
        <v/>
      </c>
      <c r="W826" s="25">
        <f>IF(AND(Q826=1,I826&lt;&gt;""),SUBSTITUTE(SUBSTITUTE(SUBSTITUTE(SUBSTITUTE(SUBSTITUTE(SUBSTITUTE(SUBSTITUTE(SUBSTITUTE(SUBSTITUTE(SUBSTITUTE(SUBSTITUTE(SUBSTITUTE(LOWER(TRIM(I826)),"á","a"),"é","e"),"í","i"),"ó","o"),"ú","u"),"ü","u"),"ñ","n"),"à","a"),"è","e"),"ì","i"),"ò","o"),"ù","u"),"")</f>
        <v/>
      </c>
      <c r="X826" s="25">
        <f>IF(U826="","",IF(OR(U826="si, en la proxima tarea",U826="si, con cambios"),1,0))</f>
        <v/>
      </c>
      <c r="Y826" s="25">
        <f>IF(AND(Q826=1,A826&lt;&gt;""),IF(IFERROR(COUNTIFS(A$3:A826,"="&amp;SUBSTITUTE(SUBSTITUTE(SUBSTITUTE(A826,"~","~~"),"*","~*"),"?","~?"),Q$3:Q826,1),0)=1,MAX(Y$2:Y825)+1,""),"")</f>
        <v/>
      </c>
      <c r="Z826" s="25">
        <f>IF(Y826="","",COUNTIFS($A$3:$A$1002,"="&amp;SUBSTITUTE(SUBSTITUTE(SUBSTITUTE(A826,"~","~~"),"*","~*"),"?","~?"),$Q$3:$Q$1002,1)*10000-Y826)</f>
        <v/>
      </c>
    </row>
    <row r="827">
      <c r="A827">
        <f>IF(A$2=0,"",IFERROR(TRIM(INDEX('Pegar docentes'!$A$1:$BZ$1001,826,A$2)&amp;""),""))</f>
        <v/>
      </c>
      <c r="B827">
        <f>IF(B$2=0,"",IFERROR(TRIM(INDEX('Pegar docentes'!$A$1:$BZ$1001,826,B$2)&amp;""),""))</f>
        <v/>
      </c>
      <c r="C827">
        <f>IF(C$2=0,"",IFERROR(TRIM(INDEX('Pegar docentes'!$A$1:$BZ$1001,826,C$2)&amp;""),""))</f>
        <v/>
      </c>
      <c r="D827">
        <f>IF(D$2=0,"",IFERROR(TRIM(INDEX('Pegar docentes'!$A$1:$BZ$1001,826,D$2)&amp;""),""))</f>
        <v/>
      </c>
      <c r="E827">
        <f>IF(E$2=0,"",IFERROR(TRIM(INDEX('Pegar docentes'!$A$1:$BZ$1001,826,E$2)&amp;""),""))</f>
        <v/>
      </c>
      <c r="F827">
        <f>IF(F$2=0,"",IFERROR(TRIM(INDEX('Pegar docentes'!$A$1:$BZ$1001,826,F$2)&amp;""),""))</f>
        <v/>
      </c>
      <c r="G827">
        <f>IF(G$2=0,"",IFERROR(TRIM(INDEX('Pegar docentes'!$A$1:$BZ$1001,826,G$2)&amp;""),""))</f>
        <v/>
      </c>
      <c r="H827">
        <f>IF(H$2=0,"",IFERROR(TRIM(INDEX('Pegar docentes'!$A$1:$BZ$1001,826,H$2)&amp;""),""))</f>
        <v/>
      </c>
      <c r="I827">
        <f>IF(I$2=0,"",IFERROR(TRIM(INDEX('Pegar docentes'!$A$1:$BZ$1001,826,I$2)&amp;""),""))</f>
        <v/>
      </c>
      <c r="J827">
        <f>IF(J$2=0,"",IFERROR(TRIM(INDEX('Pegar docentes'!$A$1:$BZ$1001,826,J$2)&amp;""),""))</f>
        <v/>
      </c>
      <c r="K827">
        <f>IF(K$2=0,"",IFERROR(TRIM(INDEX('Pegar docentes'!$A$1:$BZ$1001,826,K$2)&amp;""),""))</f>
        <v/>
      </c>
      <c r="L827">
        <f>IF(L$2=0,"",IFERROR(TRIM(INDEX('Pegar docentes'!$A$1:$BZ$1001,826,L$2)&amp;""),""))</f>
        <v/>
      </c>
      <c r="M827">
        <f>IF(M$2=0,"",IFERROR(TRIM(INDEX('Pegar docentes'!$A$1:$BZ$1001,826,M$2)&amp;""),""))</f>
        <v/>
      </c>
      <c r="N827">
        <f>IF(N$2=0,"",IFERROR(TRIM(INDEX('Pegar docentes'!$A$1:$BZ$1001,826,N$2)&amp;""),""))</f>
        <v/>
      </c>
      <c r="O827">
        <f>IF(O$2=0,"",IFERROR(TRIM(INDEX('Pegar docentes'!$A$1:$BZ$1001,826,O$2)&amp;""),""))</f>
        <v/>
      </c>
      <c r="P827">
        <f>IF(P$2=0,"",IFERROR(TRIM(INDEX('Pegar docentes'!$A$1:$BZ$1001,826,P$2)&amp;""),""))</f>
        <v/>
      </c>
      <c r="Q827" s="25">
        <f>IF(OR(D827&lt;&gt;"",H827&lt;&gt;""),1,"")</f>
        <v/>
      </c>
      <c r="R827" s="25">
        <f>IF(Q827=1,IF(ISNUMBER(FIND("#"&amp;MID(D827,1,1)&amp;"#","#0#1#2#3#4#5#6#7#8#9#")),IF(ISNUMBER(FIND("#"&amp;MID(D827,2,1)&amp;"#","#0#1#2#3#4#5#6#7#8#9#")),IF(AND(VALUE(LEFT(D827,2))&gt;=1,VALUE(LEFT(D827,2))&lt;=5),VALUE(LEFT(D827,2)),""),IF(AND(VALUE(LEFT(D827,1))&gt;=1,VALUE(LEFT(D827,1))&lt;=5),VALUE(LEFT(D827,1)),"")),""),"")</f>
        <v/>
      </c>
      <c r="S827" s="25">
        <f>IF(AND(Q827=1,E827&lt;&gt;""),SUBSTITUTE(SUBSTITUTE(SUBSTITUTE(SUBSTITUTE(SUBSTITUTE(SUBSTITUTE(SUBSTITUTE(SUBSTITUTE(SUBSTITUTE(SUBSTITUTE(SUBSTITUTE(SUBSTITUTE(LOWER(TRIM(E827)),"á","a"),"é","e"),"í","i"),"ó","o"),"ú","u"),"ü","u"),"ñ","n"),"à","a"),"è","e"),"ì","i"),"ò","o"),"ù","u"),"")</f>
        <v/>
      </c>
      <c r="T827" s="25">
        <f>IF(AND(Q827=1,G827&lt;&gt;""),SUBSTITUTE(SUBSTITUTE(SUBSTITUTE(SUBSTITUTE(SUBSTITUTE(SUBSTITUTE(SUBSTITUTE(SUBSTITUTE(SUBSTITUTE(SUBSTITUTE(SUBSTITUTE(SUBSTITUTE(LOWER(TRIM(G827)),"á","a"),"é","e"),"í","i"),"ó","o"),"ú","u"),"ü","u"),"ñ","n"),"à","a"),"è","e"),"ì","i"),"ò","o"),"ù","u"),"")</f>
        <v/>
      </c>
      <c r="U827" s="25">
        <f>IF(AND(Q827=1,H827&lt;&gt;""),SUBSTITUTE(SUBSTITUTE(SUBSTITUTE(SUBSTITUTE(SUBSTITUTE(SUBSTITUTE(SUBSTITUTE(SUBSTITUTE(SUBSTITUTE(SUBSTITUTE(SUBSTITUTE(SUBSTITUTE(LOWER(TRIM(H827)),"á","a"),"é","e"),"í","i"),"ó","o"),"ú","u"),"ü","u"),"ñ","n"),"à","a"),"è","e"),"ì","i"),"ò","o"),"ù","u"),"")</f>
        <v/>
      </c>
      <c r="V827" s="25">
        <f>IF(AND(Q827=1,L827&lt;&gt;""),SUBSTITUTE(SUBSTITUTE(SUBSTITUTE(SUBSTITUTE(SUBSTITUTE(SUBSTITUTE(SUBSTITUTE(SUBSTITUTE(SUBSTITUTE(SUBSTITUTE(SUBSTITUTE(SUBSTITUTE(LOWER(TRIM(L827)),"á","a"),"é","e"),"í","i"),"ó","o"),"ú","u"),"ü","u"),"ñ","n"),"à","a"),"è","e"),"ì","i"),"ò","o"),"ù","u"),"")</f>
        <v/>
      </c>
      <c r="W827" s="25">
        <f>IF(AND(Q827=1,I827&lt;&gt;""),SUBSTITUTE(SUBSTITUTE(SUBSTITUTE(SUBSTITUTE(SUBSTITUTE(SUBSTITUTE(SUBSTITUTE(SUBSTITUTE(SUBSTITUTE(SUBSTITUTE(SUBSTITUTE(SUBSTITUTE(LOWER(TRIM(I827)),"á","a"),"é","e"),"í","i"),"ó","o"),"ú","u"),"ü","u"),"ñ","n"),"à","a"),"è","e"),"ì","i"),"ò","o"),"ù","u"),"")</f>
        <v/>
      </c>
      <c r="X827" s="25">
        <f>IF(U827="","",IF(OR(U827="si, en la proxima tarea",U827="si, con cambios"),1,0))</f>
        <v/>
      </c>
      <c r="Y827" s="25">
        <f>IF(AND(Q827=1,A827&lt;&gt;""),IF(IFERROR(COUNTIFS(A$3:A827,"="&amp;SUBSTITUTE(SUBSTITUTE(SUBSTITUTE(A827,"~","~~"),"*","~*"),"?","~?"),Q$3:Q827,1),0)=1,MAX(Y$2:Y826)+1,""),"")</f>
        <v/>
      </c>
      <c r="Z827" s="25">
        <f>IF(Y827="","",COUNTIFS($A$3:$A$1002,"="&amp;SUBSTITUTE(SUBSTITUTE(SUBSTITUTE(A827,"~","~~"),"*","~*"),"?","~?"),$Q$3:$Q$1002,1)*10000-Y827)</f>
        <v/>
      </c>
    </row>
    <row r="828">
      <c r="A828">
        <f>IF(A$2=0,"",IFERROR(TRIM(INDEX('Pegar docentes'!$A$1:$BZ$1001,827,A$2)&amp;""),""))</f>
        <v/>
      </c>
      <c r="B828">
        <f>IF(B$2=0,"",IFERROR(TRIM(INDEX('Pegar docentes'!$A$1:$BZ$1001,827,B$2)&amp;""),""))</f>
        <v/>
      </c>
      <c r="C828">
        <f>IF(C$2=0,"",IFERROR(TRIM(INDEX('Pegar docentes'!$A$1:$BZ$1001,827,C$2)&amp;""),""))</f>
        <v/>
      </c>
      <c r="D828">
        <f>IF(D$2=0,"",IFERROR(TRIM(INDEX('Pegar docentes'!$A$1:$BZ$1001,827,D$2)&amp;""),""))</f>
        <v/>
      </c>
      <c r="E828">
        <f>IF(E$2=0,"",IFERROR(TRIM(INDEX('Pegar docentes'!$A$1:$BZ$1001,827,E$2)&amp;""),""))</f>
        <v/>
      </c>
      <c r="F828">
        <f>IF(F$2=0,"",IFERROR(TRIM(INDEX('Pegar docentes'!$A$1:$BZ$1001,827,F$2)&amp;""),""))</f>
        <v/>
      </c>
      <c r="G828">
        <f>IF(G$2=0,"",IFERROR(TRIM(INDEX('Pegar docentes'!$A$1:$BZ$1001,827,G$2)&amp;""),""))</f>
        <v/>
      </c>
      <c r="H828">
        <f>IF(H$2=0,"",IFERROR(TRIM(INDEX('Pegar docentes'!$A$1:$BZ$1001,827,H$2)&amp;""),""))</f>
        <v/>
      </c>
      <c r="I828">
        <f>IF(I$2=0,"",IFERROR(TRIM(INDEX('Pegar docentes'!$A$1:$BZ$1001,827,I$2)&amp;""),""))</f>
        <v/>
      </c>
      <c r="J828">
        <f>IF(J$2=0,"",IFERROR(TRIM(INDEX('Pegar docentes'!$A$1:$BZ$1001,827,J$2)&amp;""),""))</f>
        <v/>
      </c>
      <c r="K828">
        <f>IF(K$2=0,"",IFERROR(TRIM(INDEX('Pegar docentes'!$A$1:$BZ$1001,827,K$2)&amp;""),""))</f>
        <v/>
      </c>
      <c r="L828">
        <f>IF(L$2=0,"",IFERROR(TRIM(INDEX('Pegar docentes'!$A$1:$BZ$1001,827,L$2)&amp;""),""))</f>
        <v/>
      </c>
      <c r="M828">
        <f>IF(M$2=0,"",IFERROR(TRIM(INDEX('Pegar docentes'!$A$1:$BZ$1001,827,M$2)&amp;""),""))</f>
        <v/>
      </c>
      <c r="N828">
        <f>IF(N$2=0,"",IFERROR(TRIM(INDEX('Pegar docentes'!$A$1:$BZ$1001,827,N$2)&amp;""),""))</f>
        <v/>
      </c>
      <c r="O828">
        <f>IF(O$2=0,"",IFERROR(TRIM(INDEX('Pegar docentes'!$A$1:$BZ$1001,827,O$2)&amp;""),""))</f>
        <v/>
      </c>
      <c r="P828">
        <f>IF(P$2=0,"",IFERROR(TRIM(INDEX('Pegar docentes'!$A$1:$BZ$1001,827,P$2)&amp;""),""))</f>
        <v/>
      </c>
      <c r="Q828" s="25">
        <f>IF(OR(D828&lt;&gt;"",H828&lt;&gt;""),1,"")</f>
        <v/>
      </c>
      <c r="R828" s="25">
        <f>IF(Q828=1,IF(ISNUMBER(FIND("#"&amp;MID(D828,1,1)&amp;"#","#0#1#2#3#4#5#6#7#8#9#")),IF(ISNUMBER(FIND("#"&amp;MID(D828,2,1)&amp;"#","#0#1#2#3#4#5#6#7#8#9#")),IF(AND(VALUE(LEFT(D828,2))&gt;=1,VALUE(LEFT(D828,2))&lt;=5),VALUE(LEFT(D828,2)),""),IF(AND(VALUE(LEFT(D828,1))&gt;=1,VALUE(LEFT(D828,1))&lt;=5),VALUE(LEFT(D828,1)),"")),""),"")</f>
        <v/>
      </c>
      <c r="S828" s="25">
        <f>IF(AND(Q828=1,E828&lt;&gt;""),SUBSTITUTE(SUBSTITUTE(SUBSTITUTE(SUBSTITUTE(SUBSTITUTE(SUBSTITUTE(SUBSTITUTE(SUBSTITUTE(SUBSTITUTE(SUBSTITUTE(SUBSTITUTE(SUBSTITUTE(LOWER(TRIM(E828)),"á","a"),"é","e"),"í","i"),"ó","o"),"ú","u"),"ü","u"),"ñ","n"),"à","a"),"è","e"),"ì","i"),"ò","o"),"ù","u"),"")</f>
        <v/>
      </c>
      <c r="T828" s="25">
        <f>IF(AND(Q828=1,G828&lt;&gt;""),SUBSTITUTE(SUBSTITUTE(SUBSTITUTE(SUBSTITUTE(SUBSTITUTE(SUBSTITUTE(SUBSTITUTE(SUBSTITUTE(SUBSTITUTE(SUBSTITUTE(SUBSTITUTE(SUBSTITUTE(LOWER(TRIM(G828)),"á","a"),"é","e"),"í","i"),"ó","o"),"ú","u"),"ü","u"),"ñ","n"),"à","a"),"è","e"),"ì","i"),"ò","o"),"ù","u"),"")</f>
        <v/>
      </c>
      <c r="U828" s="25">
        <f>IF(AND(Q828=1,H828&lt;&gt;""),SUBSTITUTE(SUBSTITUTE(SUBSTITUTE(SUBSTITUTE(SUBSTITUTE(SUBSTITUTE(SUBSTITUTE(SUBSTITUTE(SUBSTITUTE(SUBSTITUTE(SUBSTITUTE(SUBSTITUTE(LOWER(TRIM(H828)),"á","a"),"é","e"),"í","i"),"ó","o"),"ú","u"),"ü","u"),"ñ","n"),"à","a"),"è","e"),"ì","i"),"ò","o"),"ù","u"),"")</f>
        <v/>
      </c>
      <c r="V828" s="25">
        <f>IF(AND(Q828=1,L828&lt;&gt;""),SUBSTITUTE(SUBSTITUTE(SUBSTITUTE(SUBSTITUTE(SUBSTITUTE(SUBSTITUTE(SUBSTITUTE(SUBSTITUTE(SUBSTITUTE(SUBSTITUTE(SUBSTITUTE(SUBSTITUTE(LOWER(TRIM(L828)),"á","a"),"é","e"),"í","i"),"ó","o"),"ú","u"),"ü","u"),"ñ","n"),"à","a"),"è","e"),"ì","i"),"ò","o"),"ù","u"),"")</f>
        <v/>
      </c>
      <c r="W828" s="25">
        <f>IF(AND(Q828=1,I828&lt;&gt;""),SUBSTITUTE(SUBSTITUTE(SUBSTITUTE(SUBSTITUTE(SUBSTITUTE(SUBSTITUTE(SUBSTITUTE(SUBSTITUTE(SUBSTITUTE(SUBSTITUTE(SUBSTITUTE(SUBSTITUTE(LOWER(TRIM(I828)),"á","a"),"é","e"),"í","i"),"ó","o"),"ú","u"),"ü","u"),"ñ","n"),"à","a"),"è","e"),"ì","i"),"ò","o"),"ù","u"),"")</f>
        <v/>
      </c>
      <c r="X828" s="25">
        <f>IF(U828="","",IF(OR(U828="si, en la proxima tarea",U828="si, con cambios"),1,0))</f>
        <v/>
      </c>
      <c r="Y828" s="25">
        <f>IF(AND(Q828=1,A828&lt;&gt;""),IF(IFERROR(COUNTIFS(A$3:A828,"="&amp;SUBSTITUTE(SUBSTITUTE(SUBSTITUTE(A828,"~","~~"),"*","~*"),"?","~?"),Q$3:Q828,1),0)=1,MAX(Y$2:Y827)+1,""),"")</f>
        <v/>
      </c>
      <c r="Z828" s="25">
        <f>IF(Y828="","",COUNTIFS($A$3:$A$1002,"="&amp;SUBSTITUTE(SUBSTITUTE(SUBSTITUTE(A828,"~","~~"),"*","~*"),"?","~?"),$Q$3:$Q$1002,1)*10000-Y828)</f>
        <v/>
      </c>
    </row>
    <row r="829">
      <c r="A829">
        <f>IF(A$2=0,"",IFERROR(TRIM(INDEX('Pegar docentes'!$A$1:$BZ$1001,828,A$2)&amp;""),""))</f>
        <v/>
      </c>
      <c r="B829">
        <f>IF(B$2=0,"",IFERROR(TRIM(INDEX('Pegar docentes'!$A$1:$BZ$1001,828,B$2)&amp;""),""))</f>
        <v/>
      </c>
      <c r="C829">
        <f>IF(C$2=0,"",IFERROR(TRIM(INDEX('Pegar docentes'!$A$1:$BZ$1001,828,C$2)&amp;""),""))</f>
        <v/>
      </c>
      <c r="D829">
        <f>IF(D$2=0,"",IFERROR(TRIM(INDEX('Pegar docentes'!$A$1:$BZ$1001,828,D$2)&amp;""),""))</f>
        <v/>
      </c>
      <c r="E829">
        <f>IF(E$2=0,"",IFERROR(TRIM(INDEX('Pegar docentes'!$A$1:$BZ$1001,828,E$2)&amp;""),""))</f>
        <v/>
      </c>
      <c r="F829">
        <f>IF(F$2=0,"",IFERROR(TRIM(INDEX('Pegar docentes'!$A$1:$BZ$1001,828,F$2)&amp;""),""))</f>
        <v/>
      </c>
      <c r="G829">
        <f>IF(G$2=0,"",IFERROR(TRIM(INDEX('Pegar docentes'!$A$1:$BZ$1001,828,G$2)&amp;""),""))</f>
        <v/>
      </c>
      <c r="H829">
        <f>IF(H$2=0,"",IFERROR(TRIM(INDEX('Pegar docentes'!$A$1:$BZ$1001,828,H$2)&amp;""),""))</f>
        <v/>
      </c>
      <c r="I829">
        <f>IF(I$2=0,"",IFERROR(TRIM(INDEX('Pegar docentes'!$A$1:$BZ$1001,828,I$2)&amp;""),""))</f>
        <v/>
      </c>
      <c r="J829">
        <f>IF(J$2=0,"",IFERROR(TRIM(INDEX('Pegar docentes'!$A$1:$BZ$1001,828,J$2)&amp;""),""))</f>
        <v/>
      </c>
      <c r="K829">
        <f>IF(K$2=0,"",IFERROR(TRIM(INDEX('Pegar docentes'!$A$1:$BZ$1001,828,K$2)&amp;""),""))</f>
        <v/>
      </c>
      <c r="L829">
        <f>IF(L$2=0,"",IFERROR(TRIM(INDEX('Pegar docentes'!$A$1:$BZ$1001,828,L$2)&amp;""),""))</f>
        <v/>
      </c>
      <c r="M829">
        <f>IF(M$2=0,"",IFERROR(TRIM(INDEX('Pegar docentes'!$A$1:$BZ$1001,828,M$2)&amp;""),""))</f>
        <v/>
      </c>
      <c r="N829">
        <f>IF(N$2=0,"",IFERROR(TRIM(INDEX('Pegar docentes'!$A$1:$BZ$1001,828,N$2)&amp;""),""))</f>
        <v/>
      </c>
      <c r="O829">
        <f>IF(O$2=0,"",IFERROR(TRIM(INDEX('Pegar docentes'!$A$1:$BZ$1001,828,O$2)&amp;""),""))</f>
        <v/>
      </c>
      <c r="P829">
        <f>IF(P$2=0,"",IFERROR(TRIM(INDEX('Pegar docentes'!$A$1:$BZ$1001,828,P$2)&amp;""),""))</f>
        <v/>
      </c>
      <c r="Q829" s="25">
        <f>IF(OR(D829&lt;&gt;"",H829&lt;&gt;""),1,"")</f>
        <v/>
      </c>
      <c r="R829" s="25">
        <f>IF(Q829=1,IF(ISNUMBER(FIND("#"&amp;MID(D829,1,1)&amp;"#","#0#1#2#3#4#5#6#7#8#9#")),IF(ISNUMBER(FIND("#"&amp;MID(D829,2,1)&amp;"#","#0#1#2#3#4#5#6#7#8#9#")),IF(AND(VALUE(LEFT(D829,2))&gt;=1,VALUE(LEFT(D829,2))&lt;=5),VALUE(LEFT(D829,2)),""),IF(AND(VALUE(LEFT(D829,1))&gt;=1,VALUE(LEFT(D829,1))&lt;=5),VALUE(LEFT(D829,1)),"")),""),"")</f>
        <v/>
      </c>
      <c r="S829" s="25">
        <f>IF(AND(Q829=1,E829&lt;&gt;""),SUBSTITUTE(SUBSTITUTE(SUBSTITUTE(SUBSTITUTE(SUBSTITUTE(SUBSTITUTE(SUBSTITUTE(SUBSTITUTE(SUBSTITUTE(SUBSTITUTE(SUBSTITUTE(SUBSTITUTE(LOWER(TRIM(E829)),"á","a"),"é","e"),"í","i"),"ó","o"),"ú","u"),"ü","u"),"ñ","n"),"à","a"),"è","e"),"ì","i"),"ò","o"),"ù","u"),"")</f>
        <v/>
      </c>
      <c r="T829" s="25">
        <f>IF(AND(Q829=1,G829&lt;&gt;""),SUBSTITUTE(SUBSTITUTE(SUBSTITUTE(SUBSTITUTE(SUBSTITUTE(SUBSTITUTE(SUBSTITUTE(SUBSTITUTE(SUBSTITUTE(SUBSTITUTE(SUBSTITUTE(SUBSTITUTE(LOWER(TRIM(G829)),"á","a"),"é","e"),"í","i"),"ó","o"),"ú","u"),"ü","u"),"ñ","n"),"à","a"),"è","e"),"ì","i"),"ò","o"),"ù","u"),"")</f>
        <v/>
      </c>
      <c r="U829" s="25">
        <f>IF(AND(Q829=1,H829&lt;&gt;""),SUBSTITUTE(SUBSTITUTE(SUBSTITUTE(SUBSTITUTE(SUBSTITUTE(SUBSTITUTE(SUBSTITUTE(SUBSTITUTE(SUBSTITUTE(SUBSTITUTE(SUBSTITUTE(SUBSTITUTE(LOWER(TRIM(H829)),"á","a"),"é","e"),"í","i"),"ó","o"),"ú","u"),"ü","u"),"ñ","n"),"à","a"),"è","e"),"ì","i"),"ò","o"),"ù","u"),"")</f>
        <v/>
      </c>
      <c r="V829" s="25">
        <f>IF(AND(Q829=1,L829&lt;&gt;""),SUBSTITUTE(SUBSTITUTE(SUBSTITUTE(SUBSTITUTE(SUBSTITUTE(SUBSTITUTE(SUBSTITUTE(SUBSTITUTE(SUBSTITUTE(SUBSTITUTE(SUBSTITUTE(SUBSTITUTE(LOWER(TRIM(L829)),"á","a"),"é","e"),"í","i"),"ó","o"),"ú","u"),"ü","u"),"ñ","n"),"à","a"),"è","e"),"ì","i"),"ò","o"),"ù","u"),"")</f>
        <v/>
      </c>
      <c r="W829" s="25">
        <f>IF(AND(Q829=1,I829&lt;&gt;""),SUBSTITUTE(SUBSTITUTE(SUBSTITUTE(SUBSTITUTE(SUBSTITUTE(SUBSTITUTE(SUBSTITUTE(SUBSTITUTE(SUBSTITUTE(SUBSTITUTE(SUBSTITUTE(SUBSTITUTE(LOWER(TRIM(I829)),"á","a"),"é","e"),"í","i"),"ó","o"),"ú","u"),"ü","u"),"ñ","n"),"à","a"),"è","e"),"ì","i"),"ò","o"),"ù","u"),"")</f>
        <v/>
      </c>
      <c r="X829" s="25">
        <f>IF(U829="","",IF(OR(U829="si, en la proxima tarea",U829="si, con cambios"),1,0))</f>
        <v/>
      </c>
      <c r="Y829" s="25">
        <f>IF(AND(Q829=1,A829&lt;&gt;""),IF(IFERROR(COUNTIFS(A$3:A829,"="&amp;SUBSTITUTE(SUBSTITUTE(SUBSTITUTE(A829,"~","~~"),"*","~*"),"?","~?"),Q$3:Q829,1),0)=1,MAX(Y$2:Y828)+1,""),"")</f>
        <v/>
      </c>
      <c r="Z829" s="25">
        <f>IF(Y829="","",COUNTIFS($A$3:$A$1002,"="&amp;SUBSTITUTE(SUBSTITUTE(SUBSTITUTE(A829,"~","~~"),"*","~*"),"?","~?"),$Q$3:$Q$1002,1)*10000-Y829)</f>
        <v/>
      </c>
    </row>
    <row r="830">
      <c r="A830">
        <f>IF(A$2=0,"",IFERROR(TRIM(INDEX('Pegar docentes'!$A$1:$BZ$1001,829,A$2)&amp;""),""))</f>
        <v/>
      </c>
      <c r="B830">
        <f>IF(B$2=0,"",IFERROR(TRIM(INDEX('Pegar docentes'!$A$1:$BZ$1001,829,B$2)&amp;""),""))</f>
        <v/>
      </c>
      <c r="C830">
        <f>IF(C$2=0,"",IFERROR(TRIM(INDEX('Pegar docentes'!$A$1:$BZ$1001,829,C$2)&amp;""),""))</f>
        <v/>
      </c>
      <c r="D830">
        <f>IF(D$2=0,"",IFERROR(TRIM(INDEX('Pegar docentes'!$A$1:$BZ$1001,829,D$2)&amp;""),""))</f>
        <v/>
      </c>
      <c r="E830">
        <f>IF(E$2=0,"",IFERROR(TRIM(INDEX('Pegar docentes'!$A$1:$BZ$1001,829,E$2)&amp;""),""))</f>
        <v/>
      </c>
      <c r="F830">
        <f>IF(F$2=0,"",IFERROR(TRIM(INDEX('Pegar docentes'!$A$1:$BZ$1001,829,F$2)&amp;""),""))</f>
        <v/>
      </c>
      <c r="G830">
        <f>IF(G$2=0,"",IFERROR(TRIM(INDEX('Pegar docentes'!$A$1:$BZ$1001,829,G$2)&amp;""),""))</f>
        <v/>
      </c>
      <c r="H830">
        <f>IF(H$2=0,"",IFERROR(TRIM(INDEX('Pegar docentes'!$A$1:$BZ$1001,829,H$2)&amp;""),""))</f>
        <v/>
      </c>
      <c r="I830">
        <f>IF(I$2=0,"",IFERROR(TRIM(INDEX('Pegar docentes'!$A$1:$BZ$1001,829,I$2)&amp;""),""))</f>
        <v/>
      </c>
      <c r="J830">
        <f>IF(J$2=0,"",IFERROR(TRIM(INDEX('Pegar docentes'!$A$1:$BZ$1001,829,J$2)&amp;""),""))</f>
        <v/>
      </c>
      <c r="K830">
        <f>IF(K$2=0,"",IFERROR(TRIM(INDEX('Pegar docentes'!$A$1:$BZ$1001,829,K$2)&amp;""),""))</f>
        <v/>
      </c>
      <c r="L830">
        <f>IF(L$2=0,"",IFERROR(TRIM(INDEX('Pegar docentes'!$A$1:$BZ$1001,829,L$2)&amp;""),""))</f>
        <v/>
      </c>
      <c r="M830">
        <f>IF(M$2=0,"",IFERROR(TRIM(INDEX('Pegar docentes'!$A$1:$BZ$1001,829,M$2)&amp;""),""))</f>
        <v/>
      </c>
      <c r="N830">
        <f>IF(N$2=0,"",IFERROR(TRIM(INDEX('Pegar docentes'!$A$1:$BZ$1001,829,N$2)&amp;""),""))</f>
        <v/>
      </c>
      <c r="O830">
        <f>IF(O$2=0,"",IFERROR(TRIM(INDEX('Pegar docentes'!$A$1:$BZ$1001,829,O$2)&amp;""),""))</f>
        <v/>
      </c>
      <c r="P830">
        <f>IF(P$2=0,"",IFERROR(TRIM(INDEX('Pegar docentes'!$A$1:$BZ$1001,829,P$2)&amp;""),""))</f>
        <v/>
      </c>
      <c r="Q830" s="25">
        <f>IF(OR(D830&lt;&gt;"",H830&lt;&gt;""),1,"")</f>
        <v/>
      </c>
      <c r="R830" s="25">
        <f>IF(Q830=1,IF(ISNUMBER(FIND("#"&amp;MID(D830,1,1)&amp;"#","#0#1#2#3#4#5#6#7#8#9#")),IF(ISNUMBER(FIND("#"&amp;MID(D830,2,1)&amp;"#","#0#1#2#3#4#5#6#7#8#9#")),IF(AND(VALUE(LEFT(D830,2))&gt;=1,VALUE(LEFT(D830,2))&lt;=5),VALUE(LEFT(D830,2)),""),IF(AND(VALUE(LEFT(D830,1))&gt;=1,VALUE(LEFT(D830,1))&lt;=5),VALUE(LEFT(D830,1)),"")),""),"")</f>
        <v/>
      </c>
      <c r="S830" s="25">
        <f>IF(AND(Q830=1,E830&lt;&gt;""),SUBSTITUTE(SUBSTITUTE(SUBSTITUTE(SUBSTITUTE(SUBSTITUTE(SUBSTITUTE(SUBSTITUTE(SUBSTITUTE(SUBSTITUTE(SUBSTITUTE(SUBSTITUTE(SUBSTITUTE(LOWER(TRIM(E830)),"á","a"),"é","e"),"í","i"),"ó","o"),"ú","u"),"ü","u"),"ñ","n"),"à","a"),"è","e"),"ì","i"),"ò","o"),"ù","u"),"")</f>
        <v/>
      </c>
      <c r="T830" s="25">
        <f>IF(AND(Q830=1,G830&lt;&gt;""),SUBSTITUTE(SUBSTITUTE(SUBSTITUTE(SUBSTITUTE(SUBSTITUTE(SUBSTITUTE(SUBSTITUTE(SUBSTITUTE(SUBSTITUTE(SUBSTITUTE(SUBSTITUTE(SUBSTITUTE(LOWER(TRIM(G830)),"á","a"),"é","e"),"í","i"),"ó","o"),"ú","u"),"ü","u"),"ñ","n"),"à","a"),"è","e"),"ì","i"),"ò","o"),"ù","u"),"")</f>
        <v/>
      </c>
      <c r="U830" s="25">
        <f>IF(AND(Q830=1,H830&lt;&gt;""),SUBSTITUTE(SUBSTITUTE(SUBSTITUTE(SUBSTITUTE(SUBSTITUTE(SUBSTITUTE(SUBSTITUTE(SUBSTITUTE(SUBSTITUTE(SUBSTITUTE(SUBSTITUTE(SUBSTITUTE(LOWER(TRIM(H830)),"á","a"),"é","e"),"í","i"),"ó","o"),"ú","u"),"ü","u"),"ñ","n"),"à","a"),"è","e"),"ì","i"),"ò","o"),"ù","u"),"")</f>
        <v/>
      </c>
      <c r="V830" s="25">
        <f>IF(AND(Q830=1,L830&lt;&gt;""),SUBSTITUTE(SUBSTITUTE(SUBSTITUTE(SUBSTITUTE(SUBSTITUTE(SUBSTITUTE(SUBSTITUTE(SUBSTITUTE(SUBSTITUTE(SUBSTITUTE(SUBSTITUTE(SUBSTITUTE(LOWER(TRIM(L830)),"á","a"),"é","e"),"í","i"),"ó","o"),"ú","u"),"ü","u"),"ñ","n"),"à","a"),"è","e"),"ì","i"),"ò","o"),"ù","u"),"")</f>
        <v/>
      </c>
      <c r="W830" s="25">
        <f>IF(AND(Q830=1,I830&lt;&gt;""),SUBSTITUTE(SUBSTITUTE(SUBSTITUTE(SUBSTITUTE(SUBSTITUTE(SUBSTITUTE(SUBSTITUTE(SUBSTITUTE(SUBSTITUTE(SUBSTITUTE(SUBSTITUTE(SUBSTITUTE(LOWER(TRIM(I830)),"á","a"),"é","e"),"í","i"),"ó","o"),"ú","u"),"ü","u"),"ñ","n"),"à","a"),"è","e"),"ì","i"),"ò","o"),"ù","u"),"")</f>
        <v/>
      </c>
      <c r="X830" s="25">
        <f>IF(U830="","",IF(OR(U830="si, en la proxima tarea",U830="si, con cambios"),1,0))</f>
        <v/>
      </c>
      <c r="Y830" s="25">
        <f>IF(AND(Q830=1,A830&lt;&gt;""),IF(IFERROR(COUNTIFS(A$3:A830,"="&amp;SUBSTITUTE(SUBSTITUTE(SUBSTITUTE(A830,"~","~~"),"*","~*"),"?","~?"),Q$3:Q830,1),0)=1,MAX(Y$2:Y829)+1,""),"")</f>
        <v/>
      </c>
      <c r="Z830" s="25">
        <f>IF(Y830="","",COUNTIFS($A$3:$A$1002,"="&amp;SUBSTITUTE(SUBSTITUTE(SUBSTITUTE(A830,"~","~~"),"*","~*"),"?","~?"),$Q$3:$Q$1002,1)*10000-Y830)</f>
        <v/>
      </c>
    </row>
    <row r="831">
      <c r="A831">
        <f>IF(A$2=0,"",IFERROR(TRIM(INDEX('Pegar docentes'!$A$1:$BZ$1001,830,A$2)&amp;""),""))</f>
        <v/>
      </c>
      <c r="B831">
        <f>IF(B$2=0,"",IFERROR(TRIM(INDEX('Pegar docentes'!$A$1:$BZ$1001,830,B$2)&amp;""),""))</f>
        <v/>
      </c>
      <c r="C831">
        <f>IF(C$2=0,"",IFERROR(TRIM(INDEX('Pegar docentes'!$A$1:$BZ$1001,830,C$2)&amp;""),""))</f>
        <v/>
      </c>
      <c r="D831">
        <f>IF(D$2=0,"",IFERROR(TRIM(INDEX('Pegar docentes'!$A$1:$BZ$1001,830,D$2)&amp;""),""))</f>
        <v/>
      </c>
      <c r="E831">
        <f>IF(E$2=0,"",IFERROR(TRIM(INDEX('Pegar docentes'!$A$1:$BZ$1001,830,E$2)&amp;""),""))</f>
        <v/>
      </c>
      <c r="F831">
        <f>IF(F$2=0,"",IFERROR(TRIM(INDEX('Pegar docentes'!$A$1:$BZ$1001,830,F$2)&amp;""),""))</f>
        <v/>
      </c>
      <c r="G831">
        <f>IF(G$2=0,"",IFERROR(TRIM(INDEX('Pegar docentes'!$A$1:$BZ$1001,830,G$2)&amp;""),""))</f>
        <v/>
      </c>
      <c r="H831">
        <f>IF(H$2=0,"",IFERROR(TRIM(INDEX('Pegar docentes'!$A$1:$BZ$1001,830,H$2)&amp;""),""))</f>
        <v/>
      </c>
      <c r="I831">
        <f>IF(I$2=0,"",IFERROR(TRIM(INDEX('Pegar docentes'!$A$1:$BZ$1001,830,I$2)&amp;""),""))</f>
        <v/>
      </c>
      <c r="J831">
        <f>IF(J$2=0,"",IFERROR(TRIM(INDEX('Pegar docentes'!$A$1:$BZ$1001,830,J$2)&amp;""),""))</f>
        <v/>
      </c>
      <c r="K831">
        <f>IF(K$2=0,"",IFERROR(TRIM(INDEX('Pegar docentes'!$A$1:$BZ$1001,830,K$2)&amp;""),""))</f>
        <v/>
      </c>
      <c r="L831">
        <f>IF(L$2=0,"",IFERROR(TRIM(INDEX('Pegar docentes'!$A$1:$BZ$1001,830,L$2)&amp;""),""))</f>
        <v/>
      </c>
      <c r="M831">
        <f>IF(M$2=0,"",IFERROR(TRIM(INDEX('Pegar docentes'!$A$1:$BZ$1001,830,M$2)&amp;""),""))</f>
        <v/>
      </c>
      <c r="N831">
        <f>IF(N$2=0,"",IFERROR(TRIM(INDEX('Pegar docentes'!$A$1:$BZ$1001,830,N$2)&amp;""),""))</f>
        <v/>
      </c>
      <c r="O831">
        <f>IF(O$2=0,"",IFERROR(TRIM(INDEX('Pegar docentes'!$A$1:$BZ$1001,830,O$2)&amp;""),""))</f>
        <v/>
      </c>
      <c r="P831">
        <f>IF(P$2=0,"",IFERROR(TRIM(INDEX('Pegar docentes'!$A$1:$BZ$1001,830,P$2)&amp;""),""))</f>
        <v/>
      </c>
      <c r="Q831" s="25">
        <f>IF(OR(D831&lt;&gt;"",H831&lt;&gt;""),1,"")</f>
        <v/>
      </c>
      <c r="R831" s="25">
        <f>IF(Q831=1,IF(ISNUMBER(FIND("#"&amp;MID(D831,1,1)&amp;"#","#0#1#2#3#4#5#6#7#8#9#")),IF(ISNUMBER(FIND("#"&amp;MID(D831,2,1)&amp;"#","#0#1#2#3#4#5#6#7#8#9#")),IF(AND(VALUE(LEFT(D831,2))&gt;=1,VALUE(LEFT(D831,2))&lt;=5),VALUE(LEFT(D831,2)),""),IF(AND(VALUE(LEFT(D831,1))&gt;=1,VALUE(LEFT(D831,1))&lt;=5),VALUE(LEFT(D831,1)),"")),""),"")</f>
        <v/>
      </c>
      <c r="S831" s="25">
        <f>IF(AND(Q831=1,E831&lt;&gt;""),SUBSTITUTE(SUBSTITUTE(SUBSTITUTE(SUBSTITUTE(SUBSTITUTE(SUBSTITUTE(SUBSTITUTE(SUBSTITUTE(SUBSTITUTE(SUBSTITUTE(SUBSTITUTE(SUBSTITUTE(LOWER(TRIM(E831)),"á","a"),"é","e"),"í","i"),"ó","o"),"ú","u"),"ü","u"),"ñ","n"),"à","a"),"è","e"),"ì","i"),"ò","o"),"ù","u"),"")</f>
        <v/>
      </c>
      <c r="T831" s="25">
        <f>IF(AND(Q831=1,G831&lt;&gt;""),SUBSTITUTE(SUBSTITUTE(SUBSTITUTE(SUBSTITUTE(SUBSTITUTE(SUBSTITUTE(SUBSTITUTE(SUBSTITUTE(SUBSTITUTE(SUBSTITUTE(SUBSTITUTE(SUBSTITUTE(LOWER(TRIM(G831)),"á","a"),"é","e"),"í","i"),"ó","o"),"ú","u"),"ü","u"),"ñ","n"),"à","a"),"è","e"),"ì","i"),"ò","o"),"ù","u"),"")</f>
        <v/>
      </c>
      <c r="U831" s="25">
        <f>IF(AND(Q831=1,H831&lt;&gt;""),SUBSTITUTE(SUBSTITUTE(SUBSTITUTE(SUBSTITUTE(SUBSTITUTE(SUBSTITUTE(SUBSTITUTE(SUBSTITUTE(SUBSTITUTE(SUBSTITUTE(SUBSTITUTE(SUBSTITUTE(LOWER(TRIM(H831)),"á","a"),"é","e"),"í","i"),"ó","o"),"ú","u"),"ü","u"),"ñ","n"),"à","a"),"è","e"),"ì","i"),"ò","o"),"ù","u"),"")</f>
        <v/>
      </c>
      <c r="V831" s="25">
        <f>IF(AND(Q831=1,L831&lt;&gt;""),SUBSTITUTE(SUBSTITUTE(SUBSTITUTE(SUBSTITUTE(SUBSTITUTE(SUBSTITUTE(SUBSTITUTE(SUBSTITUTE(SUBSTITUTE(SUBSTITUTE(SUBSTITUTE(SUBSTITUTE(LOWER(TRIM(L831)),"á","a"),"é","e"),"í","i"),"ó","o"),"ú","u"),"ü","u"),"ñ","n"),"à","a"),"è","e"),"ì","i"),"ò","o"),"ù","u"),"")</f>
        <v/>
      </c>
      <c r="W831" s="25">
        <f>IF(AND(Q831=1,I831&lt;&gt;""),SUBSTITUTE(SUBSTITUTE(SUBSTITUTE(SUBSTITUTE(SUBSTITUTE(SUBSTITUTE(SUBSTITUTE(SUBSTITUTE(SUBSTITUTE(SUBSTITUTE(SUBSTITUTE(SUBSTITUTE(LOWER(TRIM(I831)),"á","a"),"é","e"),"í","i"),"ó","o"),"ú","u"),"ü","u"),"ñ","n"),"à","a"),"è","e"),"ì","i"),"ò","o"),"ù","u"),"")</f>
        <v/>
      </c>
      <c r="X831" s="25">
        <f>IF(U831="","",IF(OR(U831="si, en la proxima tarea",U831="si, con cambios"),1,0))</f>
        <v/>
      </c>
      <c r="Y831" s="25">
        <f>IF(AND(Q831=1,A831&lt;&gt;""),IF(IFERROR(COUNTIFS(A$3:A831,"="&amp;SUBSTITUTE(SUBSTITUTE(SUBSTITUTE(A831,"~","~~"),"*","~*"),"?","~?"),Q$3:Q831,1),0)=1,MAX(Y$2:Y830)+1,""),"")</f>
        <v/>
      </c>
      <c r="Z831" s="25">
        <f>IF(Y831="","",COUNTIFS($A$3:$A$1002,"="&amp;SUBSTITUTE(SUBSTITUTE(SUBSTITUTE(A831,"~","~~"),"*","~*"),"?","~?"),$Q$3:$Q$1002,1)*10000-Y831)</f>
        <v/>
      </c>
    </row>
    <row r="832">
      <c r="A832">
        <f>IF(A$2=0,"",IFERROR(TRIM(INDEX('Pegar docentes'!$A$1:$BZ$1001,831,A$2)&amp;""),""))</f>
        <v/>
      </c>
      <c r="B832">
        <f>IF(B$2=0,"",IFERROR(TRIM(INDEX('Pegar docentes'!$A$1:$BZ$1001,831,B$2)&amp;""),""))</f>
        <v/>
      </c>
      <c r="C832">
        <f>IF(C$2=0,"",IFERROR(TRIM(INDEX('Pegar docentes'!$A$1:$BZ$1001,831,C$2)&amp;""),""))</f>
        <v/>
      </c>
      <c r="D832">
        <f>IF(D$2=0,"",IFERROR(TRIM(INDEX('Pegar docentes'!$A$1:$BZ$1001,831,D$2)&amp;""),""))</f>
        <v/>
      </c>
      <c r="E832">
        <f>IF(E$2=0,"",IFERROR(TRIM(INDEX('Pegar docentes'!$A$1:$BZ$1001,831,E$2)&amp;""),""))</f>
        <v/>
      </c>
      <c r="F832">
        <f>IF(F$2=0,"",IFERROR(TRIM(INDEX('Pegar docentes'!$A$1:$BZ$1001,831,F$2)&amp;""),""))</f>
        <v/>
      </c>
      <c r="G832">
        <f>IF(G$2=0,"",IFERROR(TRIM(INDEX('Pegar docentes'!$A$1:$BZ$1001,831,G$2)&amp;""),""))</f>
        <v/>
      </c>
      <c r="H832">
        <f>IF(H$2=0,"",IFERROR(TRIM(INDEX('Pegar docentes'!$A$1:$BZ$1001,831,H$2)&amp;""),""))</f>
        <v/>
      </c>
      <c r="I832">
        <f>IF(I$2=0,"",IFERROR(TRIM(INDEX('Pegar docentes'!$A$1:$BZ$1001,831,I$2)&amp;""),""))</f>
        <v/>
      </c>
      <c r="J832">
        <f>IF(J$2=0,"",IFERROR(TRIM(INDEX('Pegar docentes'!$A$1:$BZ$1001,831,J$2)&amp;""),""))</f>
        <v/>
      </c>
      <c r="K832">
        <f>IF(K$2=0,"",IFERROR(TRIM(INDEX('Pegar docentes'!$A$1:$BZ$1001,831,K$2)&amp;""),""))</f>
        <v/>
      </c>
      <c r="L832">
        <f>IF(L$2=0,"",IFERROR(TRIM(INDEX('Pegar docentes'!$A$1:$BZ$1001,831,L$2)&amp;""),""))</f>
        <v/>
      </c>
      <c r="M832">
        <f>IF(M$2=0,"",IFERROR(TRIM(INDEX('Pegar docentes'!$A$1:$BZ$1001,831,M$2)&amp;""),""))</f>
        <v/>
      </c>
      <c r="N832">
        <f>IF(N$2=0,"",IFERROR(TRIM(INDEX('Pegar docentes'!$A$1:$BZ$1001,831,N$2)&amp;""),""))</f>
        <v/>
      </c>
      <c r="O832">
        <f>IF(O$2=0,"",IFERROR(TRIM(INDEX('Pegar docentes'!$A$1:$BZ$1001,831,O$2)&amp;""),""))</f>
        <v/>
      </c>
      <c r="P832">
        <f>IF(P$2=0,"",IFERROR(TRIM(INDEX('Pegar docentes'!$A$1:$BZ$1001,831,P$2)&amp;""),""))</f>
        <v/>
      </c>
      <c r="Q832" s="25">
        <f>IF(OR(D832&lt;&gt;"",H832&lt;&gt;""),1,"")</f>
        <v/>
      </c>
      <c r="R832" s="25">
        <f>IF(Q832=1,IF(ISNUMBER(FIND("#"&amp;MID(D832,1,1)&amp;"#","#0#1#2#3#4#5#6#7#8#9#")),IF(ISNUMBER(FIND("#"&amp;MID(D832,2,1)&amp;"#","#0#1#2#3#4#5#6#7#8#9#")),IF(AND(VALUE(LEFT(D832,2))&gt;=1,VALUE(LEFT(D832,2))&lt;=5),VALUE(LEFT(D832,2)),""),IF(AND(VALUE(LEFT(D832,1))&gt;=1,VALUE(LEFT(D832,1))&lt;=5),VALUE(LEFT(D832,1)),"")),""),"")</f>
        <v/>
      </c>
      <c r="S832" s="25">
        <f>IF(AND(Q832=1,E832&lt;&gt;""),SUBSTITUTE(SUBSTITUTE(SUBSTITUTE(SUBSTITUTE(SUBSTITUTE(SUBSTITUTE(SUBSTITUTE(SUBSTITUTE(SUBSTITUTE(SUBSTITUTE(SUBSTITUTE(SUBSTITUTE(LOWER(TRIM(E832)),"á","a"),"é","e"),"í","i"),"ó","o"),"ú","u"),"ü","u"),"ñ","n"),"à","a"),"è","e"),"ì","i"),"ò","o"),"ù","u"),"")</f>
        <v/>
      </c>
      <c r="T832" s="25">
        <f>IF(AND(Q832=1,G832&lt;&gt;""),SUBSTITUTE(SUBSTITUTE(SUBSTITUTE(SUBSTITUTE(SUBSTITUTE(SUBSTITUTE(SUBSTITUTE(SUBSTITUTE(SUBSTITUTE(SUBSTITUTE(SUBSTITUTE(SUBSTITUTE(LOWER(TRIM(G832)),"á","a"),"é","e"),"í","i"),"ó","o"),"ú","u"),"ü","u"),"ñ","n"),"à","a"),"è","e"),"ì","i"),"ò","o"),"ù","u"),"")</f>
        <v/>
      </c>
      <c r="U832" s="25">
        <f>IF(AND(Q832=1,H832&lt;&gt;""),SUBSTITUTE(SUBSTITUTE(SUBSTITUTE(SUBSTITUTE(SUBSTITUTE(SUBSTITUTE(SUBSTITUTE(SUBSTITUTE(SUBSTITUTE(SUBSTITUTE(SUBSTITUTE(SUBSTITUTE(LOWER(TRIM(H832)),"á","a"),"é","e"),"í","i"),"ó","o"),"ú","u"),"ü","u"),"ñ","n"),"à","a"),"è","e"),"ì","i"),"ò","o"),"ù","u"),"")</f>
        <v/>
      </c>
      <c r="V832" s="25">
        <f>IF(AND(Q832=1,L832&lt;&gt;""),SUBSTITUTE(SUBSTITUTE(SUBSTITUTE(SUBSTITUTE(SUBSTITUTE(SUBSTITUTE(SUBSTITUTE(SUBSTITUTE(SUBSTITUTE(SUBSTITUTE(SUBSTITUTE(SUBSTITUTE(LOWER(TRIM(L832)),"á","a"),"é","e"),"í","i"),"ó","o"),"ú","u"),"ü","u"),"ñ","n"),"à","a"),"è","e"),"ì","i"),"ò","o"),"ù","u"),"")</f>
        <v/>
      </c>
      <c r="W832" s="25">
        <f>IF(AND(Q832=1,I832&lt;&gt;""),SUBSTITUTE(SUBSTITUTE(SUBSTITUTE(SUBSTITUTE(SUBSTITUTE(SUBSTITUTE(SUBSTITUTE(SUBSTITUTE(SUBSTITUTE(SUBSTITUTE(SUBSTITUTE(SUBSTITUTE(LOWER(TRIM(I832)),"á","a"),"é","e"),"í","i"),"ó","o"),"ú","u"),"ü","u"),"ñ","n"),"à","a"),"è","e"),"ì","i"),"ò","o"),"ù","u"),"")</f>
        <v/>
      </c>
      <c r="X832" s="25">
        <f>IF(U832="","",IF(OR(U832="si, en la proxima tarea",U832="si, con cambios"),1,0))</f>
        <v/>
      </c>
      <c r="Y832" s="25">
        <f>IF(AND(Q832=1,A832&lt;&gt;""),IF(IFERROR(COUNTIFS(A$3:A832,"="&amp;SUBSTITUTE(SUBSTITUTE(SUBSTITUTE(A832,"~","~~"),"*","~*"),"?","~?"),Q$3:Q832,1),0)=1,MAX(Y$2:Y831)+1,""),"")</f>
        <v/>
      </c>
      <c r="Z832" s="25">
        <f>IF(Y832="","",COUNTIFS($A$3:$A$1002,"="&amp;SUBSTITUTE(SUBSTITUTE(SUBSTITUTE(A832,"~","~~"),"*","~*"),"?","~?"),$Q$3:$Q$1002,1)*10000-Y832)</f>
        <v/>
      </c>
    </row>
    <row r="833">
      <c r="A833">
        <f>IF(A$2=0,"",IFERROR(TRIM(INDEX('Pegar docentes'!$A$1:$BZ$1001,832,A$2)&amp;""),""))</f>
        <v/>
      </c>
      <c r="B833">
        <f>IF(B$2=0,"",IFERROR(TRIM(INDEX('Pegar docentes'!$A$1:$BZ$1001,832,B$2)&amp;""),""))</f>
        <v/>
      </c>
      <c r="C833">
        <f>IF(C$2=0,"",IFERROR(TRIM(INDEX('Pegar docentes'!$A$1:$BZ$1001,832,C$2)&amp;""),""))</f>
        <v/>
      </c>
      <c r="D833">
        <f>IF(D$2=0,"",IFERROR(TRIM(INDEX('Pegar docentes'!$A$1:$BZ$1001,832,D$2)&amp;""),""))</f>
        <v/>
      </c>
      <c r="E833">
        <f>IF(E$2=0,"",IFERROR(TRIM(INDEX('Pegar docentes'!$A$1:$BZ$1001,832,E$2)&amp;""),""))</f>
        <v/>
      </c>
      <c r="F833">
        <f>IF(F$2=0,"",IFERROR(TRIM(INDEX('Pegar docentes'!$A$1:$BZ$1001,832,F$2)&amp;""),""))</f>
        <v/>
      </c>
      <c r="G833">
        <f>IF(G$2=0,"",IFERROR(TRIM(INDEX('Pegar docentes'!$A$1:$BZ$1001,832,G$2)&amp;""),""))</f>
        <v/>
      </c>
      <c r="H833">
        <f>IF(H$2=0,"",IFERROR(TRIM(INDEX('Pegar docentes'!$A$1:$BZ$1001,832,H$2)&amp;""),""))</f>
        <v/>
      </c>
      <c r="I833">
        <f>IF(I$2=0,"",IFERROR(TRIM(INDEX('Pegar docentes'!$A$1:$BZ$1001,832,I$2)&amp;""),""))</f>
        <v/>
      </c>
      <c r="J833">
        <f>IF(J$2=0,"",IFERROR(TRIM(INDEX('Pegar docentes'!$A$1:$BZ$1001,832,J$2)&amp;""),""))</f>
        <v/>
      </c>
      <c r="K833">
        <f>IF(K$2=0,"",IFERROR(TRIM(INDEX('Pegar docentes'!$A$1:$BZ$1001,832,K$2)&amp;""),""))</f>
        <v/>
      </c>
      <c r="L833">
        <f>IF(L$2=0,"",IFERROR(TRIM(INDEX('Pegar docentes'!$A$1:$BZ$1001,832,L$2)&amp;""),""))</f>
        <v/>
      </c>
      <c r="M833">
        <f>IF(M$2=0,"",IFERROR(TRIM(INDEX('Pegar docentes'!$A$1:$BZ$1001,832,M$2)&amp;""),""))</f>
        <v/>
      </c>
      <c r="N833">
        <f>IF(N$2=0,"",IFERROR(TRIM(INDEX('Pegar docentes'!$A$1:$BZ$1001,832,N$2)&amp;""),""))</f>
        <v/>
      </c>
      <c r="O833">
        <f>IF(O$2=0,"",IFERROR(TRIM(INDEX('Pegar docentes'!$A$1:$BZ$1001,832,O$2)&amp;""),""))</f>
        <v/>
      </c>
      <c r="P833">
        <f>IF(P$2=0,"",IFERROR(TRIM(INDEX('Pegar docentes'!$A$1:$BZ$1001,832,P$2)&amp;""),""))</f>
        <v/>
      </c>
      <c r="Q833" s="25">
        <f>IF(OR(D833&lt;&gt;"",H833&lt;&gt;""),1,"")</f>
        <v/>
      </c>
      <c r="R833" s="25">
        <f>IF(Q833=1,IF(ISNUMBER(FIND("#"&amp;MID(D833,1,1)&amp;"#","#0#1#2#3#4#5#6#7#8#9#")),IF(ISNUMBER(FIND("#"&amp;MID(D833,2,1)&amp;"#","#0#1#2#3#4#5#6#7#8#9#")),IF(AND(VALUE(LEFT(D833,2))&gt;=1,VALUE(LEFT(D833,2))&lt;=5),VALUE(LEFT(D833,2)),""),IF(AND(VALUE(LEFT(D833,1))&gt;=1,VALUE(LEFT(D833,1))&lt;=5),VALUE(LEFT(D833,1)),"")),""),"")</f>
        <v/>
      </c>
      <c r="S833" s="25">
        <f>IF(AND(Q833=1,E833&lt;&gt;""),SUBSTITUTE(SUBSTITUTE(SUBSTITUTE(SUBSTITUTE(SUBSTITUTE(SUBSTITUTE(SUBSTITUTE(SUBSTITUTE(SUBSTITUTE(SUBSTITUTE(SUBSTITUTE(SUBSTITUTE(LOWER(TRIM(E833)),"á","a"),"é","e"),"í","i"),"ó","o"),"ú","u"),"ü","u"),"ñ","n"),"à","a"),"è","e"),"ì","i"),"ò","o"),"ù","u"),"")</f>
        <v/>
      </c>
      <c r="T833" s="25">
        <f>IF(AND(Q833=1,G833&lt;&gt;""),SUBSTITUTE(SUBSTITUTE(SUBSTITUTE(SUBSTITUTE(SUBSTITUTE(SUBSTITUTE(SUBSTITUTE(SUBSTITUTE(SUBSTITUTE(SUBSTITUTE(SUBSTITUTE(SUBSTITUTE(LOWER(TRIM(G833)),"á","a"),"é","e"),"í","i"),"ó","o"),"ú","u"),"ü","u"),"ñ","n"),"à","a"),"è","e"),"ì","i"),"ò","o"),"ù","u"),"")</f>
        <v/>
      </c>
      <c r="U833" s="25">
        <f>IF(AND(Q833=1,H833&lt;&gt;""),SUBSTITUTE(SUBSTITUTE(SUBSTITUTE(SUBSTITUTE(SUBSTITUTE(SUBSTITUTE(SUBSTITUTE(SUBSTITUTE(SUBSTITUTE(SUBSTITUTE(SUBSTITUTE(SUBSTITUTE(LOWER(TRIM(H833)),"á","a"),"é","e"),"í","i"),"ó","o"),"ú","u"),"ü","u"),"ñ","n"),"à","a"),"è","e"),"ì","i"),"ò","o"),"ù","u"),"")</f>
        <v/>
      </c>
      <c r="V833" s="25">
        <f>IF(AND(Q833=1,L833&lt;&gt;""),SUBSTITUTE(SUBSTITUTE(SUBSTITUTE(SUBSTITUTE(SUBSTITUTE(SUBSTITUTE(SUBSTITUTE(SUBSTITUTE(SUBSTITUTE(SUBSTITUTE(SUBSTITUTE(SUBSTITUTE(LOWER(TRIM(L833)),"á","a"),"é","e"),"í","i"),"ó","o"),"ú","u"),"ü","u"),"ñ","n"),"à","a"),"è","e"),"ì","i"),"ò","o"),"ù","u"),"")</f>
        <v/>
      </c>
      <c r="W833" s="25">
        <f>IF(AND(Q833=1,I833&lt;&gt;""),SUBSTITUTE(SUBSTITUTE(SUBSTITUTE(SUBSTITUTE(SUBSTITUTE(SUBSTITUTE(SUBSTITUTE(SUBSTITUTE(SUBSTITUTE(SUBSTITUTE(SUBSTITUTE(SUBSTITUTE(LOWER(TRIM(I833)),"á","a"),"é","e"),"í","i"),"ó","o"),"ú","u"),"ü","u"),"ñ","n"),"à","a"),"è","e"),"ì","i"),"ò","o"),"ù","u"),"")</f>
        <v/>
      </c>
      <c r="X833" s="25">
        <f>IF(U833="","",IF(OR(U833="si, en la proxima tarea",U833="si, con cambios"),1,0))</f>
        <v/>
      </c>
      <c r="Y833" s="25">
        <f>IF(AND(Q833=1,A833&lt;&gt;""),IF(IFERROR(COUNTIFS(A$3:A833,"="&amp;SUBSTITUTE(SUBSTITUTE(SUBSTITUTE(A833,"~","~~"),"*","~*"),"?","~?"),Q$3:Q833,1),0)=1,MAX(Y$2:Y832)+1,""),"")</f>
        <v/>
      </c>
      <c r="Z833" s="25">
        <f>IF(Y833="","",COUNTIFS($A$3:$A$1002,"="&amp;SUBSTITUTE(SUBSTITUTE(SUBSTITUTE(A833,"~","~~"),"*","~*"),"?","~?"),$Q$3:$Q$1002,1)*10000-Y833)</f>
        <v/>
      </c>
    </row>
    <row r="834">
      <c r="A834">
        <f>IF(A$2=0,"",IFERROR(TRIM(INDEX('Pegar docentes'!$A$1:$BZ$1001,833,A$2)&amp;""),""))</f>
        <v/>
      </c>
      <c r="B834">
        <f>IF(B$2=0,"",IFERROR(TRIM(INDEX('Pegar docentes'!$A$1:$BZ$1001,833,B$2)&amp;""),""))</f>
        <v/>
      </c>
      <c r="C834">
        <f>IF(C$2=0,"",IFERROR(TRIM(INDEX('Pegar docentes'!$A$1:$BZ$1001,833,C$2)&amp;""),""))</f>
        <v/>
      </c>
      <c r="D834">
        <f>IF(D$2=0,"",IFERROR(TRIM(INDEX('Pegar docentes'!$A$1:$BZ$1001,833,D$2)&amp;""),""))</f>
        <v/>
      </c>
      <c r="E834">
        <f>IF(E$2=0,"",IFERROR(TRIM(INDEX('Pegar docentes'!$A$1:$BZ$1001,833,E$2)&amp;""),""))</f>
        <v/>
      </c>
      <c r="F834">
        <f>IF(F$2=0,"",IFERROR(TRIM(INDEX('Pegar docentes'!$A$1:$BZ$1001,833,F$2)&amp;""),""))</f>
        <v/>
      </c>
      <c r="G834">
        <f>IF(G$2=0,"",IFERROR(TRIM(INDEX('Pegar docentes'!$A$1:$BZ$1001,833,G$2)&amp;""),""))</f>
        <v/>
      </c>
      <c r="H834">
        <f>IF(H$2=0,"",IFERROR(TRIM(INDEX('Pegar docentes'!$A$1:$BZ$1001,833,H$2)&amp;""),""))</f>
        <v/>
      </c>
      <c r="I834">
        <f>IF(I$2=0,"",IFERROR(TRIM(INDEX('Pegar docentes'!$A$1:$BZ$1001,833,I$2)&amp;""),""))</f>
        <v/>
      </c>
      <c r="J834">
        <f>IF(J$2=0,"",IFERROR(TRIM(INDEX('Pegar docentes'!$A$1:$BZ$1001,833,J$2)&amp;""),""))</f>
        <v/>
      </c>
      <c r="K834">
        <f>IF(K$2=0,"",IFERROR(TRIM(INDEX('Pegar docentes'!$A$1:$BZ$1001,833,K$2)&amp;""),""))</f>
        <v/>
      </c>
      <c r="L834">
        <f>IF(L$2=0,"",IFERROR(TRIM(INDEX('Pegar docentes'!$A$1:$BZ$1001,833,L$2)&amp;""),""))</f>
        <v/>
      </c>
      <c r="M834">
        <f>IF(M$2=0,"",IFERROR(TRIM(INDEX('Pegar docentes'!$A$1:$BZ$1001,833,M$2)&amp;""),""))</f>
        <v/>
      </c>
      <c r="N834">
        <f>IF(N$2=0,"",IFERROR(TRIM(INDEX('Pegar docentes'!$A$1:$BZ$1001,833,N$2)&amp;""),""))</f>
        <v/>
      </c>
      <c r="O834">
        <f>IF(O$2=0,"",IFERROR(TRIM(INDEX('Pegar docentes'!$A$1:$BZ$1001,833,O$2)&amp;""),""))</f>
        <v/>
      </c>
      <c r="P834">
        <f>IF(P$2=0,"",IFERROR(TRIM(INDEX('Pegar docentes'!$A$1:$BZ$1001,833,P$2)&amp;""),""))</f>
        <v/>
      </c>
      <c r="Q834" s="25">
        <f>IF(OR(D834&lt;&gt;"",H834&lt;&gt;""),1,"")</f>
        <v/>
      </c>
      <c r="R834" s="25">
        <f>IF(Q834=1,IF(ISNUMBER(FIND("#"&amp;MID(D834,1,1)&amp;"#","#0#1#2#3#4#5#6#7#8#9#")),IF(ISNUMBER(FIND("#"&amp;MID(D834,2,1)&amp;"#","#0#1#2#3#4#5#6#7#8#9#")),IF(AND(VALUE(LEFT(D834,2))&gt;=1,VALUE(LEFT(D834,2))&lt;=5),VALUE(LEFT(D834,2)),""),IF(AND(VALUE(LEFT(D834,1))&gt;=1,VALUE(LEFT(D834,1))&lt;=5),VALUE(LEFT(D834,1)),"")),""),"")</f>
        <v/>
      </c>
      <c r="S834" s="25">
        <f>IF(AND(Q834=1,E834&lt;&gt;""),SUBSTITUTE(SUBSTITUTE(SUBSTITUTE(SUBSTITUTE(SUBSTITUTE(SUBSTITUTE(SUBSTITUTE(SUBSTITUTE(SUBSTITUTE(SUBSTITUTE(SUBSTITUTE(SUBSTITUTE(LOWER(TRIM(E834)),"á","a"),"é","e"),"í","i"),"ó","o"),"ú","u"),"ü","u"),"ñ","n"),"à","a"),"è","e"),"ì","i"),"ò","o"),"ù","u"),"")</f>
        <v/>
      </c>
      <c r="T834" s="25">
        <f>IF(AND(Q834=1,G834&lt;&gt;""),SUBSTITUTE(SUBSTITUTE(SUBSTITUTE(SUBSTITUTE(SUBSTITUTE(SUBSTITUTE(SUBSTITUTE(SUBSTITUTE(SUBSTITUTE(SUBSTITUTE(SUBSTITUTE(SUBSTITUTE(LOWER(TRIM(G834)),"á","a"),"é","e"),"í","i"),"ó","o"),"ú","u"),"ü","u"),"ñ","n"),"à","a"),"è","e"),"ì","i"),"ò","o"),"ù","u"),"")</f>
        <v/>
      </c>
      <c r="U834" s="25">
        <f>IF(AND(Q834=1,H834&lt;&gt;""),SUBSTITUTE(SUBSTITUTE(SUBSTITUTE(SUBSTITUTE(SUBSTITUTE(SUBSTITUTE(SUBSTITUTE(SUBSTITUTE(SUBSTITUTE(SUBSTITUTE(SUBSTITUTE(SUBSTITUTE(LOWER(TRIM(H834)),"á","a"),"é","e"),"í","i"),"ó","o"),"ú","u"),"ü","u"),"ñ","n"),"à","a"),"è","e"),"ì","i"),"ò","o"),"ù","u"),"")</f>
        <v/>
      </c>
      <c r="V834" s="25">
        <f>IF(AND(Q834=1,L834&lt;&gt;""),SUBSTITUTE(SUBSTITUTE(SUBSTITUTE(SUBSTITUTE(SUBSTITUTE(SUBSTITUTE(SUBSTITUTE(SUBSTITUTE(SUBSTITUTE(SUBSTITUTE(SUBSTITUTE(SUBSTITUTE(LOWER(TRIM(L834)),"á","a"),"é","e"),"í","i"),"ó","o"),"ú","u"),"ü","u"),"ñ","n"),"à","a"),"è","e"),"ì","i"),"ò","o"),"ù","u"),"")</f>
        <v/>
      </c>
      <c r="W834" s="25">
        <f>IF(AND(Q834=1,I834&lt;&gt;""),SUBSTITUTE(SUBSTITUTE(SUBSTITUTE(SUBSTITUTE(SUBSTITUTE(SUBSTITUTE(SUBSTITUTE(SUBSTITUTE(SUBSTITUTE(SUBSTITUTE(SUBSTITUTE(SUBSTITUTE(LOWER(TRIM(I834)),"á","a"),"é","e"),"í","i"),"ó","o"),"ú","u"),"ü","u"),"ñ","n"),"à","a"),"è","e"),"ì","i"),"ò","o"),"ù","u"),"")</f>
        <v/>
      </c>
      <c r="X834" s="25">
        <f>IF(U834="","",IF(OR(U834="si, en la proxima tarea",U834="si, con cambios"),1,0))</f>
        <v/>
      </c>
      <c r="Y834" s="25">
        <f>IF(AND(Q834=1,A834&lt;&gt;""),IF(IFERROR(COUNTIFS(A$3:A834,"="&amp;SUBSTITUTE(SUBSTITUTE(SUBSTITUTE(A834,"~","~~"),"*","~*"),"?","~?"),Q$3:Q834,1),0)=1,MAX(Y$2:Y833)+1,""),"")</f>
        <v/>
      </c>
      <c r="Z834" s="25">
        <f>IF(Y834="","",COUNTIFS($A$3:$A$1002,"="&amp;SUBSTITUTE(SUBSTITUTE(SUBSTITUTE(A834,"~","~~"),"*","~*"),"?","~?"),$Q$3:$Q$1002,1)*10000-Y834)</f>
        <v/>
      </c>
    </row>
    <row r="835">
      <c r="A835">
        <f>IF(A$2=0,"",IFERROR(TRIM(INDEX('Pegar docentes'!$A$1:$BZ$1001,834,A$2)&amp;""),""))</f>
        <v/>
      </c>
      <c r="B835">
        <f>IF(B$2=0,"",IFERROR(TRIM(INDEX('Pegar docentes'!$A$1:$BZ$1001,834,B$2)&amp;""),""))</f>
        <v/>
      </c>
      <c r="C835">
        <f>IF(C$2=0,"",IFERROR(TRIM(INDEX('Pegar docentes'!$A$1:$BZ$1001,834,C$2)&amp;""),""))</f>
        <v/>
      </c>
      <c r="D835">
        <f>IF(D$2=0,"",IFERROR(TRIM(INDEX('Pegar docentes'!$A$1:$BZ$1001,834,D$2)&amp;""),""))</f>
        <v/>
      </c>
      <c r="E835">
        <f>IF(E$2=0,"",IFERROR(TRIM(INDEX('Pegar docentes'!$A$1:$BZ$1001,834,E$2)&amp;""),""))</f>
        <v/>
      </c>
      <c r="F835">
        <f>IF(F$2=0,"",IFERROR(TRIM(INDEX('Pegar docentes'!$A$1:$BZ$1001,834,F$2)&amp;""),""))</f>
        <v/>
      </c>
      <c r="G835">
        <f>IF(G$2=0,"",IFERROR(TRIM(INDEX('Pegar docentes'!$A$1:$BZ$1001,834,G$2)&amp;""),""))</f>
        <v/>
      </c>
      <c r="H835">
        <f>IF(H$2=0,"",IFERROR(TRIM(INDEX('Pegar docentes'!$A$1:$BZ$1001,834,H$2)&amp;""),""))</f>
        <v/>
      </c>
      <c r="I835">
        <f>IF(I$2=0,"",IFERROR(TRIM(INDEX('Pegar docentes'!$A$1:$BZ$1001,834,I$2)&amp;""),""))</f>
        <v/>
      </c>
      <c r="J835">
        <f>IF(J$2=0,"",IFERROR(TRIM(INDEX('Pegar docentes'!$A$1:$BZ$1001,834,J$2)&amp;""),""))</f>
        <v/>
      </c>
      <c r="K835">
        <f>IF(K$2=0,"",IFERROR(TRIM(INDEX('Pegar docentes'!$A$1:$BZ$1001,834,K$2)&amp;""),""))</f>
        <v/>
      </c>
      <c r="L835">
        <f>IF(L$2=0,"",IFERROR(TRIM(INDEX('Pegar docentes'!$A$1:$BZ$1001,834,L$2)&amp;""),""))</f>
        <v/>
      </c>
      <c r="M835">
        <f>IF(M$2=0,"",IFERROR(TRIM(INDEX('Pegar docentes'!$A$1:$BZ$1001,834,M$2)&amp;""),""))</f>
        <v/>
      </c>
      <c r="N835">
        <f>IF(N$2=0,"",IFERROR(TRIM(INDEX('Pegar docentes'!$A$1:$BZ$1001,834,N$2)&amp;""),""))</f>
        <v/>
      </c>
      <c r="O835">
        <f>IF(O$2=0,"",IFERROR(TRIM(INDEX('Pegar docentes'!$A$1:$BZ$1001,834,O$2)&amp;""),""))</f>
        <v/>
      </c>
      <c r="P835">
        <f>IF(P$2=0,"",IFERROR(TRIM(INDEX('Pegar docentes'!$A$1:$BZ$1001,834,P$2)&amp;""),""))</f>
        <v/>
      </c>
      <c r="Q835" s="25">
        <f>IF(OR(D835&lt;&gt;"",H835&lt;&gt;""),1,"")</f>
        <v/>
      </c>
      <c r="R835" s="25">
        <f>IF(Q835=1,IF(ISNUMBER(FIND("#"&amp;MID(D835,1,1)&amp;"#","#0#1#2#3#4#5#6#7#8#9#")),IF(ISNUMBER(FIND("#"&amp;MID(D835,2,1)&amp;"#","#0#1#2#3#4#5#6#7#8#9#")),IF(AND(VALUE(LEFT(D835,2))&gt;=1,VALUE(LEFT(D835,2))&lt;=5),VALUE(LEFT(D835,2)),""),IF(AND(VALUE(LEFT(D835,1))&gt;=1,VALUE(LEFT(D835,1))&lt;=5),VALUE(LEFT(D835,1)),"")),""),"")</f>
        <v/>
      </c>
      <c r="S835" s="25">
        <f>IF(AND(Q835=1,E835&lt;&gt;""),SUBSTITUTE(SUBSTITUTE(SUBSTITUTE(SUBSTITUTE(SUBSTITUTE(SUBSTITUTE(SUBSTITUTE(SUBSTITUTE(SUBSTITUTE(SUBSTITUTE(SUBSTITUTE(SUBSTITUTE(LOWER(TRIM(E835)),"á","a"),"é","e"),"í","i"),"ó","o"),"ú","u"),"ü","u"),"ñ","n"),"à","a"),"è","e"),"ì","i"),"ò","o"),"ù","u"),"")</f>
        <v/>
      </c>
      <c r="T835" s="25">
        <f>IF(AND(Q835=1,G835&lt;&gt;""),SUBSTITUTE(SUBSTITUTE(SUBSTITUTE(SUBSTITUTE(SUBSTITUTE(SUBSTITUTE(SUBSTITUTE(SUBSTITUTE(SUBSTITUTE(SUBSTITUTE(SUBSTITUTE(SUBSTITUTE(LOWER(TRIM(G835)),"á","a"),"é","e"),"í","i"),"ó","o"),"ú","u"),"ü","u"),"ñ","n"),"à","a"),"è","e"),"ì","i"),"ò","o"),"ù","u"),"")</f>
        <v/>
      </c>
      <c r="U835" s="25">
        <f>IF(AND(Q835=1,H835&lt;&gt;""),SUBSTITUTE(SUBSTITUTE(SUBSTITUTE(SUBSTITUTE(SUBSTITUTE(SUBSTITUTE(SUBSTITUTE(SUBSTITUTE(SUBSTITUTE(SUBSTITUTE(SUBSTITUTE(SUBSTITUTE(LOWER(TRIM(H835)),"á","a"),"é","e"),"í","i"),"ó","o"),"ú","u"),"ü","u"),"ñ","n"),"à","a"),"è","e"),"ì","i"),"ò","o"),"ù","u"),"")</f>
        <v/>
      </c>
      <c r="V835" s="25">
        <f>IF(AND(Q835=1,L835&lt;&gt;""),SUBSTITUTE(SUBSTITUTE(SUBSTITUTE(SUBSTITUTE(SUBSTITUTE(SUBSTITUTE(SUBSTITUTE(SUBSTITUTE(SUBSTITUTE(SUBSTITUTE(SUBSTITUTE(SUBSTITUTE(LOWER(TRIM(L835)),"á","a"),"é","e"),"í","i"),"ó","o"),"ú","u"),"ü","u"),"ñ","n"),"à","a"),"è","e"),"ì","i"),"ò","o"),"ù","u"),"")</f>
        <v/>
      </c>
      <c r="W835" s="25">
        <f>IF(AND(Q835=1,I835&lt;&gt;""),SUBSTITUTE(SUBSTITUTE(SUBSTITUTE(SUBSTITUTE(SUBSTITUTE(SUBSTITUTE(SUBSTITUTE(SUBSTITUTE(SUBSTITUTE(SUBSTITUTE(SUBSTITUTE(SUBSTITUTE(LOWER(TRIM(I835)),"á","a"),"é","e"),"í","i"),"ó","o"),"ú","u"),"ü","u"),"ñ","n"),"à","a"),"è","e"),"ì","i"),"ò","o"),"ù","u"),"")</f>
        <v/>
      </c>
      <c r="X835" s="25">
        <f>IF(U835="","",IF(OR(U835="si, en la proxima tarea",U835="si, con cambios"),1,0))</f>
        <v/>
      </c>
      <c r="Y835" s="25">
        <f>IF(AND(Q835=1,A835&lt;&gt;""),IF(IFERROR(COUNTIFS(A$3:A835,"="&amp;SUBSTITUTE(SUBSTITUTE(SUBSTITUTE(A835,"~","~~"),"*","~*"),"?","~?"),Q$3:Q835,1),0)=1,MAX(Y$2:Y834)+1,""),"")</f>
        <v/>
      </c>
      <c r="Z835" s="25">
        <f>IF(Y835="","",COUNTIFS($A$3:$A$1002,"="&amp;SUBSTITUTE(SUBSTITUTE(SUBSTITUTE(A835,"~","~~"),"*","~*"),"?","~?"),$Q$3:$Q$1002,1)*10000-Y835)</f>
        <v/>
      </c>
    </row>
    <row r="836">
      <c r="A836">
        <f>IF(A$2=0,"",IFERROR(TRIM(INDEX('Pegar docentes'!$A$1:$BZ$1001,835,A$2)&amp;""),""))</f>
        <v/>
      </c>
      <c r="B836">
        <f>IF(B$2=0,"",IFERROR(TRIM(INDEX('Pegar docentes'!$A$1:$BZ$1001,835,B$2)&amp;""),""))</f>
        <v/>
      </c>
      <c r="C836">
        <f>IF(C$2=0,"",IFERROR(TRIM(INDEX('Pegar docentes'!$A$1:$BZ$1001,835,C$2)&amp;""),""))</f>
        <v/>
      </c>
      <c r="D836">
        <f>IF(D$2=0,"",IFERROR(TRIM(INDEX('Pegar docentes'!$A$1:$BZ$1001,835,D$2)&amp;""),""))</f>
        <v/>
      </c>
      <c r="E836">
        <f>IF(E$2=0,"",IFERROR(TRIM(INDEX('Pegar docentes'!$A$1:$BZ$1001,835,E$2)&amp;""),""))</f>
        <v/>
      </c>
      <c r="F836">
        <f>IF(F$2=0,"",IFERROR(TRIM(INDEX('Pegar docentes'!$A$1:$BZ$1001,835,F$2)&amp;""),""))</f>
        <v/>
      </c>
      <c r="G836">
        <f>IF(G$2=0,"",IFERROR(TRIM(INDEX('Pegar docentes'!$A$1:$BZ$1001,835,G$2)&amp;""),""))</f>
        <v/>
      </c>
      <c r="H836">
        <f>IF(H$2=0,"",IFERROR(TRIM(INDEX('Pegar docentes'!$A$1:$BZ$1001,835,H$2)&amp;""),""))</f>
        <v/>
      </c>
      <c r="I836">
        <f>IF(I$2=0,"",IFERROR(TRIM(INDEX('Pegar docentes'!$A$1:$BZ$1001,835,I$2)&amp;""),""))</f>
        <v/>
      </c>
      <c r="J836">
        <f>IF(J$2=0,"",IFERROR(TRIM(INDEX('Pegar docentes'!$A$1:$BZ$1001,835,J$2)&amp;""),""))</f>
        <v/>
      </c>
      <c r="K836">
        <f>IF(K$2=0,"",IFERROR(TRIM(INDEX('Pegar docentes'!$A$1:$BZ$1001,835,K$2)&amp;""),""))</f>
        <v/>
      </c>
      <c r="L836">
        <f>IF(L$2=0,"",IFERROR(TRIM(INDEX('Pegar docentes'!$A$1:$BZ$1001,835,L$2)&amp;""),""))</f>
        <v/>
      </c>
      <c r="M836">
        <f>IF(M$2=0,"",IFERROR(TRIM(INDEX('Pegar docentes'!$A$1:$BZ$1001,835,M$2)&amp;""),""))</f>
        <v/>
      </c>
      <c r="N836">
        <f>IF(N$2=0,"",IFERROR(TRIM(INDEX('Pegar docentes'!$A$1:$BZ$1001,835,N$2)&amp;""),""))</f>
        <v/>
      </c>
      <c r="O836">
        <f>IF(O$2=0,"",IFERROR(TRIM(INDEX('Pegar docentes'!$A$1:$BZ$1001,835,O$2)&amp;""),""))</f>
        <v/>
      </c>
      <c r="P836">
        <f>IF(P$2=0,"",IFERROR(TRIM(INDEX('Pegar docentes'!$A$1:$BZ$1001,835,P$2)&amp;""),""))</f>
        <v/>
      </c>
      <c r="Q836" s="25">
        <f>IF(OR(D836&lt;&gt;"",H836&lt;&gt;""),1,"")</f>
        <v/>
      </c>
      <c r="R836" s="25">
        <f>IF(Q836=1,IF(ISNUMBER(FIND("#"&amp;MID(D836,1,1)&amp;"#","#0#1#2#3#4#5#6#7#8#9#")),IF(ISNUMBER(FIND("#"&amp;MID(D836,2,1)&amp;"#","#0#1#2#3#4#5#6#7#8#9#")),IF(AND(VALUE(LEFT(D836,2))&gt;=1,VALUE(LEFT(D836,2))&lt;=5),VALUE(LEFT(D836,2)),""),IF(AND(VALUE(LEFT(D836,1))&gt;=1,VALUE(LEFT(D836,1))&lt;=5),VALUE(LEFT(D836,1)),"")),""),"")</f>
        <v/>
      </c>
      <c r="S836" s="25">
        <f>IF(AND(Q836=1,E836&lt;&gt;""),SUBSTITUTE(SUBSTITUTE(SUBSTITUTE(SUBSTITUTE(SUBSTITUTE(SUBSTITUTE(SUBSTITUTE(SUBSTITUTE(SUBSTITUTE(SUBSTITUTE(SUBSTITUTE(SUBSTITUTE(LOWER(TRIM(E836)),"á","a"),"é","e"),"í","i"),"ó","o"),"ú","u"),"ü","u"),"ñ","n"),"à","a"),"è","e"),"ì","i"),"ò","o"),"ù","u"),"")</f>
        <v/>
      </c>
      <c r="T836" s="25">
        <f>IF(AND(Q836=1,G836&lt;&gt;""),SUBSTITUTE(SUBSTITUTE(SUBSTITUTE(SUBSTITUTE(SUBSTITUTE(SUBSTITUTE(SUBSTITUTE(SUBSTITUTE(SUBSTITUTE(SUBSTITUTE(SUBSTITUTE(SUBSTITUTE(LOWER(TRIM(G836)),"á","a"),"é","e"),"í","i"),"ó","o"),"ú","u"),"ü","u"),"ñ","n"),"à","a"),"è","e"),"ì","i"),"ò","o"),"ù","u"),"")</f>
        <v/>
      </c>
      <c r="U836" s="25">
        <f>IF(AND(Q836=1,H836&lt;&gt;""),SUBSTITUTE(SUBSTITUTE(SUBSTITUTE(SUBSTITUTE(SUBSTITUTE(SUBSTITUTE(SUBSTITUTE(SUBSTITUTE(SUBSTITUTE(SUBSTITUTE(SUBSTITUTE(SUBSTITUTE(LOWER(TRIM(H836)),"á","a"),"é","e"),"í","i"),"ó","o"),"ú","u"),"ü","u"),"ñ","n"),"à","a"),"è","e"),"ì","i"),"ò","o"),"ù","u"),"")</f>
        <v/>
      </c>
      <c r="V836" s="25">
        <f>IF(AND(Q836=1,L836&lt;&gt;""),SUBSTITUTE(SUBSTITUTE(SUBSTITUTE(SUBSTITUTE(SUBSTITUTE(SUBSTITUTE(SUBSTITUTE(SUBSTITUTE(SUBSTITUTE(SUBSTITUTE(SUBSTITUTE(SUBSTITUTE(LOWER(TRIM(L836)),"á","a"),"é","e"),"í","i"),"ó","o"),"ú","u"),"ü","u"),"ñ","n"),"à","a"),"è","e"),"ì","i"),"ò","o"),"ù","u"),"")</f>
        <v/>
      </c>
      <c r="W836" s="25">
        <f>IF(AND(Q836=1,I836&lt;&gt;""),SUBSTITUTE(SUBSTITUTE(SUBSTITUTE(SUBSTITUTE(SUBSTITUTE(SUBSTITUTE(SUBSTITUTE(SUBSTITUTE(SUBSTITUTE(SUBSTITUTE(SUBSTITUTE(SUBSTITUTE(LOWER(TRIM(I836)),"á","a"),"é","e"),"í","i"),"ó","o"),"ú","u"),"ü","u"),"ñ","n"),"à","a"),"è","e"),"ì","i"),"ò","o"),"ù","u"),"")</f>
        <v/>
      </c>
      <c r="X836" s="25">
        <f>IF(U836="","",IF(OR(U836="si, en la proxima tarea",U836="si, con cambios"),1,0))</f>
        <v/>
      </c>
      <c r="Y836" s="25">
        <f>IF(AND(Q836=1,A836&lt;&gt;""),IF(IFERROR(COUNTIFS(A$3:A836,"="&amp;SUBSTITUTE(SUBSTITUTE(SUBSTITUTE(A836,"~","~~"),"*","~*"),"?","~?"),Q$3:Q836,1),0)=1,MAX(Y$2:Y835)+1,""),"")</f>
        <v/>
      </c>
      <c r="Z836" s="25">
        <f>IF(Y836="","",COUNTIFS($A$3:$A$1002,"="&amp;SUBSTITUTE(SUBSTITUTE(SUBSTITUTE(A836,"~","~~"),"*","~*"),"?","~?"),$Q$3:$Q$1002,1)*10000-Y836)</f>
        <v/>
      </c>
    </row>
    <row r="837">
      <c r="A837">
        <f>IF(A$2=0,"",IFERROR(TRIM(INDEX('Pegar docentes'!$A$1:$BZ$1001,836,A$2)&amp;""),""))</f>
        <v/>
      </c>
      <c r="B837">
        <f>IF(B$2=0,"",IFERROR(TRIM(INDEX('Pegar docentes'!$A$1:$BZ$1001,836,B$2)&amp;""),""))</f>
        <v/>
      </c>
      <c r="C837">
        <f>IF(C$2=0,"",IFERROR(TRIM(INDEX('Pegar docentes'!$A$1:$BZ$1001,836,C$2)&amp;""),""))</f>
        <v/>
      </c>
      <c r="D837">
        <f>IF(D$2=0,"",IFERROR(TRIM(INDEX('Pegar docentes'!$A$1:$BZ$1001,836,D$2)&amp;""),""))</f>
        <v/>
      </c>
      <c r="E837">
        <f>IF(E$2=0,"",IFERROR(TRIM(INDEX('Pegar docentes'!$A$1:$BZ$1001,836,E$2)&amp;""),""))</f>
        <v/>
      </c>
      <c r="F837">
        <f>IF(F$2=0,"",IFERROR(TRIM(INDEX('Pegar docentes'!$A$1:$BZ$1001,836,F$2)&amp;""),""))</f>
        <v/>
      </c>
      <c r="G837">
        <f>IF(G$2=0,"",IFERROR(TRIM(INDEX('Pegar docentes'!$A$1:$BZ$1001,836,G$2)&amp;""),""))</f>
        <v/>
      </c>
      <c r="H837">
        <f>IF(H$2=0,"",IFERROR(TRIM(INDEX('Pegar docentes'!$A$1:$BZ$1001,836,H$2)&amp;""),""))</f>
        <v/>
      </c>
      <c r="I837">
        <f>IF(I$2=0,"",IFERROR(TRIM(INDEX('Pegar docentes'!$A$1:$BZ$1001,836,I$2)&amp;""),""))</f>
        <v/>
      </c>
      <c r="J837">
        <f>IF(J$2=0,"",IFERROR(TRIM(INDEX('Pegar docentes'!$A$1:$BZ$1001,836,J$2)&amp;""),""))</f>
        <v/>
      </c>
      <c r="K837">
        <f>IF(K$2=0,"",IFERROR(TRIM(INDEX('Pegar docentes'!$A$1:$BZ$1001,836,K$2)&amp;""),""))</f>
        <v/>
      </c>
      <c r="L837">
        <f>IF(L$2=0,"",IFERROR(TRIM(INDEX('Pegar docentes'!$A$1:$BZ$1001,836,L$2)&amp;""),""))</f>
        <v/>
      </c>
      <c r="M837">
        <f>IF(M$2=0,"",IFERROR(TRIM(INDEX('Pegar docentes'!$A$1:$BZ$1001,836,M$2)&amp;""),""))</f>
        <v/>
      </c>
      <c r="N837">
        <f>IF(N$2=0,"",IFERROR(TRIM(INDEX('Pegar docentes'!$A$1:$BZ$1001,836,N$2)&amp;""),""))</f>
        <v/>
      </c>
      <c r="O837">
        <f>IF(O$2=0,"",IFERROR(TRIM(INDEX('Pegar docentes'!$A$1:$BZ$1001,836,O$2)&amp;""),""))</f>
        <v/>
      </c>
      <c r="P837">
        <f>IF(P$2=0,"",IFERROR(TRIM(INDEX('Pegar docentes'!$A$1:$BZ$1001,836,P$2)&amp;""),""))</f>
        <v/>
      </c>
      <c r="Q837" s="25">
        <f>IF(OR(D837&lt;&gt;"",H837&lt;&gt;""),1,"")</f>
        <v/>
      </c>
      <c r="R837" s="25">
        <f>IF(Q837=1,IF(ISNUMBER(FIND("#"&amp;MID(D837,1,1)&amp;"#","#0#1#2#3#4#5#6#7#8#9#")),IF(ISNUMBER(FIND("#"&amp;MID(D837,2,1)&amp;"#","#0#1#2#3#4#5#6#7#8#9#")),IF(AND(VALUE(LEFT(D837,2))&gt;=1,VALUE(LEFT(D837,2))&lt;=5),VALUE(LEFT(D837,2)),""),IF(AND(VALUE(LEFT(D837,1))&gt;=1,VALUE(LEFT(D837,1))&lt;=5),VALUE(LEFT(D837,1)),"")),""),"")</f>
        <v/>
      </c>
      <c r="S837" s="25">
        <f>IF(AND(Q837=1,E837&lt;&gt;""),SUBSTITUTE(SUBSTITUTE(SUBSTITUTE(SUBSTITUTE(SUBSTITUTE(SUBSTITUTE(SUBSTITUTE(SUBSTITUTE(SUBSTITUTE(SUBSTITUTE(SUBSTITUTE(SUBSTITUTE(LOWER(TRIM(E837)),"á","a"),"é","e"),"í","i"),"ó","o"),"ú","u"),"ü","u"),"ñ","n"),"à","a"),"è","e"),"ì","i"),"ò","o"),"ù","u"),"")</f>
        <v/>
      </c>
      <c r="T837" s="25">
        <f>IF(AND(Q837=1,G837&lt;&gt;""),SUBSTITUTE(SUBSTITUTE(SUBSTITUTE(SUBSTITUTE(SUBSTITUTE(SUBSTITUTE(SUBSTITUTE(SUBSTITUTE(SUBSTITUTE(SUBSTITUTE(SUBSTITUTE(SUBSTITUTE(LOWER(TRIM(G837)),"á","a"),"é","e"),"í","i"),"ó","o"),"ú","u"),"ü","u"),"ñ","n"),"à","a"),"è","e"),"ì","i"),"ò","o"),"ù","u"),"")</f>
        <v/>
      </c>
      <c r="U837" s="25">
        <f>IF(AND(Q837=1,H837&lt;&gt;""),SUBSTITUTE(SUBSTITUTE(SUBSTITUTE(SUBSTITUTE(SUBSTITUTE(SUBSTITUTE(SUBSTITUTE(SUBSTITUTE(SUBSTITUTE(SUBSTITUTE(SUBSTITUTE(SUBSTITUTE(LOWER(TRIM(H837)),"á","a"),"é","e"),"í","i"),"ó","o"),"ú","u"),"ü","u"),"ñ","n"),"à","a"),"è","e"),"ì","i"),"ò","o"),"ù","u"),"")</f>
        <v/>
      </c>
      <c r="V837" s="25">
        <f>IF(AND(Q837=1,L837&lt;&gt;""),SUBSTITUTE(SUBSTITUTE(SUBSTITUTE(SUBSTITUTE(SUBSTITUTE(SUBSTITUTE(SUBSTITUTE(SUBSTITUTE(SUBSTITUTE(SUBSTITUTE(SUBSTITUTE(SUBSTITUTE(LOWER(TRIM(L837)),"á","a"),"é","e"),"í","i"),"ó","o"),"ú","u"),"ü","u"),"ñ","n"),"à","a"),"è","e"),"ì","i"),"ò","o"),"ù","u"),"")</f>
        <v/>
      </c>
      <c r="W837" s="25">
        <f>IF(AND(Q837=1,I837&lt;&gt;""),SUBSTITUTE(SUBSTITUTE(SUBSTITUTE(SUBSTITUTE(SUBSTITUTE(SUBSTITUTE(SUBSTITUTE(SUBSTITUTE(SUBSTITUTE(SUBSTITUTE(SUBSTITUTE(SUBSTITUTE(LOWER(TRIM(I837)),"á","a"),"é","e"),"í","i"),"ó","o"),"ú","u"),"ü","u"),"ñ","n"),"à","a"),"è","e"),"ì","i"),"ò","o"),"ù","u"),"")</f>
        <v/>
      </c>
      <c r="X837" s="25">
        <f>IF(U837="","",IF(OR(U837="si, en la proxima tarea",U837="si, con cambios"),1,0))</f>
        <v/>
      </c>
      <c r="Y837" s="25">
        <f>IF(AND(Q837=1,A837&lt;&gt;""),IF(IFERROR(COUNTIFS(A$3:A837,"="&amp;SUBSTITUTE(SUBSTITUTE(SUBSTITUTE(A837,"~","~~"),"*","~*"),"?","~?"),Q$3:Q837,1),0)=1,MAX(Y$2:Y836)+1,""),"")</f>
        <v/>
      </c>
      <c r="Z837" s="25">
        <f>IF(Y837="","",COUNTIFS($A$3:$A$1002,"="&amp;SUBSTITUTE(SUBSTITUTE(SUBSTITUTE(A837,"~","~~"),"*","~*"),"?","~?"),$Q$3:$Q$1002,1)*10000-Y837)</f>
        <v/>
      </c>
    </row>
    <row r="838">
      <c r="A838">
        <f>IF(A$2=0,"",IFERROR(TRIM(INDEX('Pegar docentes'!$A$1:$BZ$1001,837,A$2)&amp;""),""))</f>
        <v/>
      </c>
      <c r="B838">
        <f>IF(B$2=0,"",IFERROR(TRIM(INDEX('Pegar docentes'!$A$1:$BZ$1001,837,B$2)&amp;""),""))</f>
        <v/>
      </c>
      <c r="C838">
        <f>IF(C$2=0,"",IFERROR(TRIM(INDEX('Pegar docentes'!$A$1:$BZ$1001,837,C$2)&amp;""),""))</f>
        <v/>
      </c>
      <c r="D838">
        <f>IF(D$2=0,"",IFERROR(TRIM(INDEX('Pegar docentes'!$A$1:$BZ$1001,837,D$2)&amp;""),""))</f>
        <v/>
      </c>
      <c r="E838">
        <f>IF(E$2=0,"",IFERROR(TRIM(INDEX('Pegar docentes'!$A$1:$BZ$1001,837,E$2)&amp;""),""))</f>
        <v/>
      </c>
      <c r="F838">
        <f>IF(F$2=0,"",IFERROR(TRIM(INDEX('Pegar docentes'!$A$1:$BZ$1001,837,F$2)&amp;""),""))</f>
        <v/>
      </c>
      <c r="G838">
        <f>IF(G$2=0,"",IFERROR(TRIM(INDEX('Pegar docentes'!$A$1:$BZ$1001,837,G$2)&amp;""),""))</f>
        <v/>
      </c>
      <c r="H838">
        <f>IF(H$2=0,"",IFERROR(TRIM(INDEX('Pegar docentes'!$A$1:$BZ$1001,837,H$2)&amp;""),""))</f>
        <v/>
      </c>
      <c r="I838">
        <f>IF(I$2=0,"",IFERROR(TRIM(INDEX('Pegar docentes'!$A$1:$BZ$1001,837,I$2)&amp;""),""))</f>
        <v/>
      </c>
      <c r="J838">
        <f>IF(J$2=0,"",IFERROR(TRIM(INDEX('Pegar docentes'!$A$1:$BZ$1001,837,J$2)&amp;""),""))</f>
        <v/>
      </c>
      <c r="K838">
        <f>IF(K$2=0,"",IFERROR(TRIM(INDEX('Pegar docentes'!$A$1:$BZ$1001,837,K$2)&amp;""),""))</f>
        <v/>
      </c>
      <c r="L838">
        <f>IF(L$2=0,"",IFERROR(TRIM(INDEX('Pegar docentes'!$A$1:$BZ$1001,837,L$2)&amp;""),""))</f>
        <v/>
      </c>
      <c r="M838">
        <f>IF(M$2=0,"",IFERROR(TRIM(INDEX('Pegar docentes'!$A$1:$BZ$1001,837,M$2)&amp;""),""))</f>
        <v/>
      </c>
      <c r="N838">
        <f>IF(N$2=0,"",IFERROR(TRIM(INDEX('Pegar docentes'!$A$1:$BZ$1001,837,N$2)&amp;""),""))</f>
        <v/>
      </c>
      <c r="O838">
        <f>IF(O$2=0,"",IFERROR(TRIM(INDEX('Pegar docentes'!$A$1:$BZ$1001,837,O$2)&amp;""),""))</f>
        <v/>
      </c>
      <c r="P838">
        <f>IF(P$2=0,"",IFERROR(TRIM(INDEX('Pegar docentes'!$A$1:$BZ$1001,837,P$2)&amp;""),""))</f>
        <v/>
      </c>
      <c r="Q838" s="25">
        <f>IF(OR(D838&lt;&gt;"",H838&lt;&gt;""),1,"")</f>
        <v/>
      </c>
      <c r="R838" s="25">
        <f>IF(Q838=1,IF(ISNUMBER(FIND("#"&amp;MID(D838,1,1)&amp;"#","#0#1#2#3#4#5#6#7#8#9#")),IF(ISNUMBER(FIND("#"&amp;MID(D838,2,1)&amp;"#","#0#1#2#3#4#5#6#7#8#9#")),IF(AND(VALUE(LEFT(D838,2))&gt;=1,VALUE(LEFT(D838,2))&lt;=5),VALUE(LEFT(D838,2)),""),IF(AND(VALUE(LEFT(D838,1))&gt;=1,VALUE(LEFT(D838,1))&lt;=5),VALUE(LEFT(D838,1)),"")),""),"")</f>
        <v/>
      </c>
      <c r="S838" s="25">
        <f>IF(AND(Q838=1,E838&lt;&gt;""),SUBSTITUTE(SUBSTITUTE(SUBSTITUTE(SUBSTITUTE(SUBSTITUTE(SUBSTITUTE(SUBSTITUTE(SUBSTITUTE(SUBSTITUTE(SUBSTITUTE(SUBSTITUTE(SUBSTITUTE(LOWER(TRIM(E838)),"á","a"),"é","e"),"í","i"),"ó","o"),"ú","u"),"ü","u"),"ñ","n"),"à","a"),"è","e"),"ì","i"),"ò","o"),"ù","u"),"")</f>
        <v/>
      </c>
      <c r="T838" s="25">
        <f>IF(AND(Q838=1,G838&lt;&gt;""),SUBSTITUTE(SUBSTITUTE(SUBSTITUTE(SUBSTITUTE(SUBSTITUTE(SUBSTITUTE(SUBSTITUTE(SUBSTITUTE(SUBSTITUTE(SUBSTITUTE(SUBSTITUTE(SUBSTITUTE(LOWER(TRIM(G838)),"á","a"),"é","e"),"í","i"),"ó","o"),"ú","u"),"ü","u"),"ñ","n"),"à","a"),"è","e"),"ì","i"),"ò","o"),"ù","u"),"")</f>
        <v/>
      </c>
      <c r="U838" s="25">
        <f>IF(AND(Q838=1,H838&lt;&gt;""),SUBSTITUTE(SUBSTITUTE(SUBSTITUTE(SUBSTITUTE(SUBSTITUTE(SUBSTITUTE(SUBSTITUTE(SUBSTITUTE(SUBSTITUTE(SUBSTITUTE(SUBSTITUTE(SUBSTITUTE(LOWER(TRIM(H838)),"á","a"),"é","e"),"í","i"),"ó","o"),"ú","u"),"ü","u"),"ñ","n"),"à","a"),"è","e"),"ì","i"),"ò","o"),"ù","u"),"")</f>
        <v/>
      </c>
      <c r="V838" s="25">
        <f>IF(AND(Q838=1,L838&lt;&gt;""),SUBSTITUTE(SUBSTITUTE(SUBSTITUTE(SUBSTITUTE(SUBSTITUTE(SUBSTITUTE(SUBSTITUTE(SUBSTITUTE(SUBSTITUTE(SUBSTITUTE(SUBSTITUTE(SUBSTITUTE(LOWER(TRIM(L838)),"á","a"),"é","e"),"í","i"),"ó","o"),"ú","u"),"ü","u"),"ñ","n"),"à","a"),"è","e"),"ì","i"),"ò","o"),"ù","u"),"")</f>
        <v/>
      </c>
      <c r="W838" s="25">
        <f>IF(AND(Q838=1,I838&lt;&gt;""),SUBSTITUTE(SUBSTITUTE(SUBSTITUTE(SUBSTITUTE(SUBSTITUTE(SUBSTITUTE(SUBSTITUTE(SUBSTITUTE(SUBSTITUTE(SUBSTITUTE(SUBSTITUTE(SUBSTITUTE(LOWER(TRIM(I838)),"á","a"),"é","e"),"í","i"),"ó","o"),"ú","u"),"ü","u"),"ñ","n"),"à","a"),"è","e"),"ì","i"),"ò","o"),"ù","u"),"")</f>
        <v/>
      </c>
      <c r="X838" s="25">
        <f>IF(U838="","",IF(OR(U838="si, en la proxima tarea",U838="si, con cambios"),1,0))</f>
        <v/>
      </c>
      <c r="Y838" s="25">
        <f>IF(AND(Q838=1,A838&lt;&gt;""),IF(IFERROR(COUNTIFS(A$3:A838,"="&amp;SUBSTITUTE(SUBSTITUTE(SUBSTITUTE(A838,"~","~~"),"*","~*"),"?","~?"),Q$3:Q838,1),0)=1,MAX(Y$2:Y837)+1,""),"")</f>
        <v/>
      </c>
      <c r="Z838" s="25">
        <f>IF(Y838="","",COUNTIFS($A$3:$A$1002,"="&amp;SUBSTITUTE(SUBSTITUTE(SUBSTITUTE(A838,"~","~~"),"*","~*"),"?","~?"),$Q$3:$Q$1002,1)*10000-Y838)</f>
        <v/>
      </c>
    </row>
    <row r="839">
      <c r="A839">
        <f>IF(A$2=0,"",IFERROR(TRIM(INDEX('Pegar docentes'!$A$1:$BZ$1001,838,A$2)&amp;""),""))</f>
        <v/>
      </c>
      <c r="B839">
        <f>IF(B$2=0,"",IFERROR(TRIM(INDEX('Pegar docentes'!$A$1:$BZ$1001,838,B$2)&amp;""),""))</f>
        <v/>
      </c>
      <c r="C839">
        <f>IF(C$2=0,"",IFERROR(TRIM(INDEX('Pegar docentes'!$A$1:$BZ$1001,838,C$2)&amp;""),""))</f>
        <v/>
      </c>
      <c r="D839">
        <f>IF(D$2=0,"",IFERROR(TRIM(INDEX('Pegar docentes'!$A$1:$BZ$1001,838,D$2)&amp;""),""))</f>
        <v/>
      </c>
      <c r="E839">
        <f>IF(E$2=0,"",IFERROR(TRIM(INDEX('Pegar docentes'!$A$1:$BZ$1001,838,E$2)&amp;""),""))</f>
        <v/>
      </c>
      <c r="F839">
        <f>IF(F$2=0,"",IFERROR(TRIM(INDEX('Pegar docentes'!$A$1:$BZ$1001,838,F$2)&amp;""),""))</f>
        <v/>
      </c>
      <c r="G839">
        <f>IF(G$2=0,"",IFERROR(TRIM(INDEX('Pegar docentes'!$A$1:$BZ$1001,838,G$2)&amp;""),""))</f>
        <v/>
      </c>
      <c r="H839">
        <f>IF(H$2=0,"",IFERROR(TRIM(INDEX('Pegar docentes'!$A$1:$BZ$1001,838,H$2)&amp;""),""))</f>
        <v/>
      </c>
      <c r="I839">
        <f>IF(I$2=0,"",IFERROR(TRIM(INDEX('Pegar docentes'!$A$1:$BZ$1001,838,I$2)&amp;""),""))</f>
        <v/>
      </c>
      <c r="J839">
        <f>IF(J$2=0,"",IFERROR(TRIM(INDEX('Pegar docentes'!$A$1:$BZ$1001,838,J$2)&amp;""),""))</f>
        <v/>
      </c>
      <c r="K839">
        <f>IF(K$2=0,"",IFERROR(TRIM(INDEX('Pegar docentes'!$A$1:$BZ$1001,838,K$2)&amp;""),""))</f>
        <v/>
      </c>
      <c r="L839">
        <f>IF(L$2=0,"",IFERROR(TRIM(INDEX('Pegar docentes'!$A$1:$BZ$1001,838,L$2)&amp;""),""))</f>
        <v/>
      </c>
      <c r="M839">
        <f>IF(M$2=0,"",IFERROR(TRIM(INDEX('Pegar docentes'!$A$1:$BZ$1001,838,M$2)&amp;""),""))</f>
        <v/>
      </c>
      <c r="N839">
        <f>IF(N$2=0,"",IFERROR(TRIM(INDEX('Pegar docentes'!$A$1:$BZ$1001,838,N$2)&amp;""),""))</f>
        <v/>
      </c>
      <c r="O839">
        <f>IF(O$2=0,"",IFERROR(TRIM(INDEX('Pegar docentes'!$A$1:$BZ$1001,838,O$2)&amp;""),""))</f>
        <v/>
      </c>
      <c r="P839">
        <f>IF(P$2=0,"",IFERROR(TRIM(INDEX('Pegar docentes'!$A$1:$BZ$1001,838,P$2)&amp;""),""))</f>
        <v/>
      </c>
      <c r="Q839" s="25">
        <f>IF(OR(D839&lt;&gt;"",H839&lt;&gt;""),1,"")</f>
        <v/>
      </c>
      <c r="R839" s="25">
        <f>IF(Q839=1,IF(ISNUMBER(FIND("#"&amp;MID(D839,1,1)&amp;"#","#0#1#2#3#4#5#6#7#8#9#")),IF(ISNUMBER(FIND("#"&amp;MID(D839,2,1)&amp;"#","#0#1#2#3#4#5#6#7#8#9#")),IF(AND(VALUE(LEFT(D839,2))&gt;=1,VALUE(LEFT(D839,2))&lt;=5),VALUE(LEFT(D839,2)),""),IF(AND(VALUE(LEFT(D839,1))&gt;=1,VALUE(LEFT(D839,1))&lt;=5),VALUE(LEFT(D839,1)),"")),""),"")</f>
        <v/>
      </c>
      <c r="S839" s="25">
        <f>IF(AND(Q839=1,E839&lt;&gt;""),SUBSTITUTE(SUBSTITUTE(SUBSTITUTE(SUBSTITUTE(SUBSTITUTE(SUBSTITUTE(SUBSTITUTE(SUBSTITUTE(SUBSTITUTE(SUBSTITUTE(SUBSTITUTE(SUBSTITUTE(LOWER(TRIM(E839)),"á","a"),"é","e"),"í","i"),"ó","o"),"ú","u"),"ü","u"),"ñ","n"),"à","a"),"è","e"),"ì","i"),"ò","o"),"ù","u"),"")</f>
        <v/>
      </c>
      <c r="T839" s="25">
        <f>IF(AND(Q839=1,G839&lt;&gt;""),SUBSTITUTE(SUBSTITUTE(SUBSTITUTE(SUBSTITUTE(SUBSTITUTE(SUBSTITUTE(SUBSTITUTE(SUBSTITUTE(SUBSTITUTE(SUBSTITUTE(SUBSTITUTE(SUBSTITUTE(LOWER(TRIM(G839)),"á","a"),"é","e"),"í","i"),"ó","o"),"ú","u"),"ü","u"),"ñ","n"),"à","a"),"è","e"),"ì","i"),"ò","o"),"ù","u"),"")</f>
        <v/>
      </c>
      <c r="U839" s="25">
        <f>IF(AND(Q839=1,H839&lt;&gt;""),SUBSTITUTE(SUBSTITUTE(SUBSTITUTE(SUBSTITUTE(SUBSTITUTE(SUBSTITUTE(SUBSTITUTE(SUBSTITUTE(SUBSTITUTE(SUBSTITUTE(SUBSTITUTE(SUBSTITUTE(LOWER(TRIM(H839)),"á","a"),"é","e"),"í","i"),"ó","o"),"ú","u"),"ü","u"),"ñ","n"),"à","a"),"è","e"),"ì","i"),"ò","o"),"ù","u"),"")</f>
        <v/>
      </c>
      <c r="V839" s="25">
        <f>IF(AND(Q839=1,L839&lt;&gt;""),SUBSTITUTE(SUBSTITUTE(SUBSTITUTE(SUBSTITUTE(SUBSTITUTE(SUBSTITUTE(SUBSTITUTE(SUBSTITUTE(SUBSTITUTE(SUBSTITUTE(SUBSTITUTE(SUBSTITUTE(LOWER(TRIM(L839)),"á","a"),"é","e"),"í","i"),"ó","o"),"ú","u"),"ü","u"),"ñ","n"),"à","a"),"è","e"),"ì","i"),"ò","o"),"ù","u"),"")</f>
        <v/>
      </c>
      <c r="W839" s="25">
        <f>IF(AND(Q839=1,I839&lt;&gt;""),SUBSTITUTE(SUBSTITUTE(SUBSTITUTE(SUBSTITUTE(SUBSTITUTE(SUBSTITUTE(SUBSTITUTE(SUBSTITUTE(SUBSTITUTE(SUBSTITUTE(SUBSTITUTE(SUBSTITUTE(LOWER(TRIM(I839)),"á","a"),"é","e"),"í","i"),"ó","o"),"ú","u"),"ü","u"),"ñ","n"),"à","a"),"è","e"),"ì","i"),"ò","o"),"ù","u"),"")</f>
        <v/>
      </c>
      <c r="X839" s="25">
        <f>IF(U839="","",IF(OR(U839="si, en la proxima tarea",U839="si, con cambios"),1,0))</f>
        <v/>
      </c>
      <c r="Y839" s="25">
        <f>IF(AND(Q839=1,A839&lt;&gt;""),IF(IFERROR(COUNTIFS(A$3:A839,"="&amp;SUBSTITUTE(SUBSTITUTE(SUBSTITUTE(A839,"~","~~"),"*","~*"),"?","~?"),Q$3:Q839,1),0)=1,MAX(Y$2:Y838)+1,""),"")</f>
        <v/>
      </c>
      <c r="Z839" s="25">
        <f>IF(Y839="","",COUNTIFS($A$3:$A$1002,"="&amp;SUBSTITUTE(SUBSTITUTE(SUBSTITUTE(A839,"~","~~"),"*","~*"),"?","~?"),$Q$3:$Q$1002,1)*10000-Y839)</f>
        <v/>
      </c>
    </row>
    <row r="840">
      <c r="A840">
        <f>IF(A$2=0,"",IFERROR(TRIM(INDEX('Pegar docentes'!$A$1:$BZ$1001,839,A$2)&amp;""),""))</f>
        <v/>
      </c>
      <c r="B840">
        <f>IF(B$2=0,"",IFERROR(TRIM(INDEX('Pegar docentes'!$A$1:$BZ$1001,839,B$2)&amp;""),""))</f>
        <v/>
      </c>
      <c r="C840">
        <f>IF(C$2=0,"",IFERROR(TRIM(INDEX('Pegar docentes'!$A$1:$BZ$1001,839,C$2)&amp;""),""))</f>
        <v/>
      </c>
      <c r="D840">
        <f>IF(D$2=0,"",IFERROR(TRIM(INDEX('Pegar docentes'!$A$1:$BZ$1001,839,D$2)&amp;""),""))</f>
        <v/>
      </c>
      <c r="E840">
        <f>IF(E$2=0,"",IFERROR(TRIM(INDEX('Pegar docentes'!$A$1:$BZ$1001,839,E$2)&amp;""),""))</f>
        <v/>
      </c>
      <c r="F840">
        <f>IF(F$2=0,"",IFERROR(TRIM(INDEX('Pegar docentes'!$A$1:$BZ$1001,839,F$2)&amp;""),""))</f>
        <v/>
      </c>
      <c r="G840">
        <f>IF(G$2=0,"",IFERROR(TRIM(INDEX('Pegar docentes'!$A$1:$BZ$1001,839,G$2)&amp;""),""))</f>
        <v/>
      </c>
      <c r="H840">
        <f>IF(H$2=0,"",IFERROR(TRIM(INDEX('Pegar docentes'!$A$1:$BZ$1001,839,H$2)&amp;""),""))</f>
        <v/>
      </c>
      <c r="I840">
        <f>IF(I$2=0,"",IFERROR(TRIM(INDEX('Pegar docentes'!$A$1:$BZ$1001,839,I$2)&amp;""),""))</f>
        <v/>
      </c>
      <c r="J840">
        <f>IF(J$2=0,"",IFERROR(TRIM(INDEX('Pegar docentes'!$A$1:$BZ$1001,839,J$2)&amp;""),""))</f>
        <v/>
      </c>
      <c r="K840">
        <f>IF(K$2=0,"",IFERROR(TRIM(INDEX('Pegar docentes'!$A$1:$BZ$1001,839,K$2)&amp;""),""))</f>
        <v/>
      </c>
      <c r="L840">
        <f>IF(L$2=0,"",IFERROR(TRIM(INDEX('Pegar docentes'!$A$1:$BZ$1001,839,L$2)&amp;""),""))</f>
        <v/>
      </c>
      <c r="M840">
        <f>IF(M$2=0,"",IFERROR(TRIM(INDEX('Pegar docentes'!$A$1:$BZ$1001,839,M$2)&amp;""),""))</f>
        <v/>
      </c>
      <c r="N840">
        <f>IF(N$2=0,"",IFERROR(TRIM(INDEX('Pegar docentes'!$A$1:$BZ$1001,839,N$2)&amp;""),""))</f>
        <v/>
      </c>
      <c r="O840">
        <f>IF(O$2=0,"",IFERROR(TRIM(INDEX('Pegar docentes'!$A$1:$BZ$1001,839,O$2)&amp;""),""))</f>
        <v/>
      </c>
      <c r="P840">
        <f>IF(P$2=0,"",IFERROR(TRIM(INDEX('Pegar docentes'!$A$1:$BZ$1001,839,P$2)&amp;""),""))</f>
        <v/>
      </c>
      <c r="Q840" s="25">
        <f>IF(OR(D840&lt;&gt;"",H840&lt;&gt;""),1,"")</f>
        <v/>
      </c>
      <c r="R840" s="25">
        <f>IF(Q840=1,IF(ISNUMBER(FIND("#"&amp;MID(D840,1,1)&amp;"#","#0#1#2#3#4#5#6#7#8#9#")),IF(ISNUMBER(FIND("#"&amp;MID(D840,2,1)&amp;"#","#0#1#2#3#4#5#6#7#8#9#")),IF(AND(VALUE(LEFT(D840,2))&gt;=1,VALUE(LEFT(D840,2))&lt;=5),VALUE(LEFT(D840,2)),""),IF(AND(VALUE(LEFT(D840,1))&gt;=1,VALUE(LEFT(D840,1))&lt;=5),VALUE(LEFT(D840,1)),"")),""),"")</f>
        <v/>
      </c>
      <c r="S840" s="25">
        <f>IF(AND(Q840=1,E840&lt;&gt;""),SUBSTITUTE(SUBSTITUTE(SUBSTITUTE(SUBSTITUTE(SUBSTITUTE(SUBSTITUTE(SUBSTITUTE(SUBSTITUTE(SUBSTITUTE(SUBSTITUTE(SUBSTITUTE(SUBSTITUTE(LOWER(TRIM(E840)),"á","a"),"é","e"),"í","i"),"ó","o"),"ú","u"),"ü","u"),"ñ","n"),"à","a"),"è","e"),"ì","i"),"ò","o"),"ù","u"),"")</f>
        <v/>
      </c>
      <c r="T840" s="25">
        <f>IF(AND(Q840=1,G840&lt;&gt;""),SUBSTITUTE(SUBSTITUTE(SUBSTITUTE(SUBSTITUTE(SUBSTITUTE(SUBSTITUTE(SUBSTITUTE(SUBSTITUTE(SUBSTITUTE(SUBSTITUTE(SUBSTITUTE(SUBSTITUTE(LOWER(TRIM(G840)),"á","a"),"é","e"),"í","i"),"ó","o"),"ú","u"),"ü","u"),"ñ","n"),"à","a"),"è","e"),"ì","i"),"ò","o"),"ù","u"),"")</f>
        <v/>
      </c>
      <c r="U840" s="25">
        <f>IF(AND(Q840=1,H840&lt;&gt;""),SUBSTITUTE(SUBSTITUTE(SUBSTITUTE(SUBSTITUTE(SUBSTITUTE(SUBSTITUTE(SUBSTITUTE(SUBSTITUTE(SUBSTITUTE(SUBSTITUTE(SUBSTITUTE(SUBSTITUTE(LOWER(TRIM(H840)),"á","a"),"é","e"),"í","i"),"ó","o"),"ú","u"),"ü","u"),"ñ","n"),"à","a"),"è","e"),"ì","i"),"ò","o"),"ù","u"),"")</f>
        <v/>
      </c>
      <c r="V840" s="25">
        <f>IF(AND(Q840=1,L840&lt;&gt;""),SUBSTITUTE(SUBSTITUTE(SUBSTITUTE(SUBSTITUTE(SUBSTITUTE(SUBSTITUTE(SUBSTITUTE(SUBSTITUTE(SUBSTITUTE(SUBSTITUTE(SUBSTITUTE(SUBSTITUTE(LOWER(TRIM(L840)),"á","a"),"é","e"),"í","i"),"ó","o"),"ú","u"),"ü","u"),"ñ","n"),"à","a"),"è","e"),"ì","i"),"ò","o"),"ù","u"),"")</f>
        <v/>
      </c>
      <c r="W840" s="25">
        <f>IF(AND(Q840=1,I840&lt;&gt;""),SUBSTITUTE(SUBSTITUTE(SUBSTITUTE(SUBSTITUTE(SUBSTITUTE(SUBSTITUTE(SUBSTITUTE(SUBSTITUTE(SUBSTITUTE(SUBSTITUTE(SUBSTITUTE(SUBSTITUTE(LOWER(TRIM(I840)),"á","a"),"é","e"),"í","i"),"ó","o"),"ú","u"),"ü","u"),"ñ","n"),"à","a"),"è","e"),"ì","i"),"ò","o"),"ù","u"),"")</f>
        <v/>
      </c>
      <c r="X840" s="25">
        <f>IF(U840="","",IF(OR(U840="si, en la proxima tarea",U840="si, con cambios"),1,0))</f>
        <v/>
      </c>
      <c r="Y840" s="25">
        <f>IF(AND(Q840=1,A840&lt;&gt;""),IF(IFERROR(COUNTIFS(A$3:A840,"="&amp;SUBSTITUTE(SUBSTITUTE(SUBSTITUTE(A840,"~","~~"),"*","~*"),"?","~?"),Q$3:Q840,1),0)=1,MAX(Y$2:Y839)+1,""),"")</f>
        <v/>
      </c>
      <c r="Z840" s="25">
        <f>IF(Y840="","",COUNTIFS($A$3:$A$1002,"="&amp;SUBSTITUTE(SUBSTITUTE(SUBSTITUTE(A840,"~","~~"),"*","~*"),"?","~?"),$Q$3:$Q$1002,1)*10000-Y840)</f>
        <v/>
      </c>
    </row>
    <row r="841">
      <c r="A841">
        <f>IF(A$2=0,"",IFERROR(TRIM(INDEX('Pegar docentes'!$A$1:$BZ$1001,840,A$2)&amp;""),""))</f>
        <v/>
      </c>
      <c r="B841">
        <f>IF(B$2=0,"",IFERROR(TRIM(INDEX('Pegar docentes'!$A$1:$BZ$1001,840,B$2)&amp;""),""))</f>
        <v/>
      </c>
      <c r="C841">
        <f>IF(C$2=0,"",IFERROR(TRIM(INDEX('Pegar docentes'!$A$1:$BZ$1001,840,C$2)&amp;""),""))</f>
        <v/>
      </c>
      <c r="D841">
        <f>IF(D$2=0,"",IFERROR(TRIM(INDEX('Pegar docentes'!$A$1:$BZ$1001,840,D$2)&amp;""),""))</f>
        <v/>
      </c>
      <c r="E841">
        <f>IF(E$2=0,"",IFERROR(TRIM(INDEX('Pegar docentes'!$A$1:$BZ$1001,840,E$2)&amp;""),""))</f>
        <v/>
      </c>
      <c r="F841">
        <f>IF(F$2=0,"",IFERROR(TRIM(INDEX('Pegar docentes'!$A$1:$BZ$1001,840,F$2)&amp;""),""))</f>
        <v/>
      </c>
      <c r="G841">
        <f>IF(G$2=0,"",IFERROR(TRIM(INDEX('Pegar docentes'!$A$1:$BZ$1001,840,G$2)&amp;""),""))</f>
        <v/>
      </c>
      <c r="H841">
        <f>IF(H$2=0,"",IFERROR(TRIM(INDEX('Pegar docentes'!$A$1:$BZ$1001,840,H$2)&amp;""),""))</f>
        <v/>
      </c>
      <c r="I841">
        <f>IF(I$2=0,"",IFERROR(TRIM(INDEX('Pegar docentes'!$A$1:$BZ$1001,840,I$2)&amp;""),""))</f>
        <v/>
      </c>
      <c r="J841">
        <f>IF(J$2=0,"",IFERROR(TRIM(INDEX('Pegar docentes'!$A$1:$BZ$1001,840,J$2)&amp;""),""))</f>
        <v/>
      </c>
      <c r="K841">
        <f>IF(K$2=0,"",IFERROR(TRIM(INDEX('Pegar docentes'!$A$1:$BZ$1001,840,K$2)&amp;""),""))</f>
        <v/>
      </c>
      <c r="L841">
        <f>IF(L$2=0,"",IFERROR(TRIM(INDEX('Pegar docentes'!$A$1:$BZ$1001,840,L$2)&amp;""),""))</f>
        <v/>
      </c>
      <c r="M841">
        <f>IF(M$2=0,"",IFERROR(TRIM(INDEX('Pegar docentes'!$A$1:$BZ$1001,840,M$2)&amp;""),""))</f>
        <v/>
      </c>
      <c r="N841">
        <f>IF(N$2=0,"",IFERROR(TRIM(INDEX('Pegar docentes'!$A$1:$BZ$1001,840,N$2)&amp;""),""))</f>
        <v/>
      </c>
      <c r="O841">
        <f>IF(O$2=0,"",IFERROR(TRIM(INDEX('Pegar docentes'!$A$1:$BZ$1001,840,O$2)&amp;""),""))</f>
        <v/>
      </c>
      <c r="P841">
        <f>IF(P$2=0,"",IFERROR(TRIM(INDEX('Pegar docentes'!$A$1:$BZ$1001,840,P$2)&amp;""),""))</f>
        <v/>
      </c>
      <c r="Q841" s="25">
        <f>IF(OR(D841&lt;&gt;"",H841&lt;&gt;""),1,"")</f>
        <v/>
      </c>
      <c r="R841" s="25">
        <f>IF(Q841=1,IF(ISNUMBER(FIND("#"&amp;MID(D841,1,1)&amp;"#","#0#1#2#3#4#5#6#7#8#9#")),IF(ISNUMBER(FIND("#"&amp;MID(D841,2,1)&amp;"#","#0#1#2#3#4#5#6#7#8#9#")),IF(AND(VALUE(LEFT(D841,2))&gt;=1,VALUE(LEFT(D841,2))&lt;=5),VALUE(LEFT(D841,2)),""),IF(AND(VALUE(LEFT(D841,1))&gt;=1,VALUE(LEFT(D841,1))&lt;=5),VALUE(LEFT(D841,1)),"")),""),"")</f>
        <v/>
      </c>
      <c r="S841" s="25">
        <f>IF(AND(Q841=1,E841&lt;&gt;""),SUBSTITUTE(SUBSTITUTE(SUBSTITUTE(SUBSTITUTE(SUBSTITUTE(SUBSTITUTE(SUBSTITUTE(SUBSTITUTE(SUBSTITUTE(SUBSTITUTE(SUBSTITUTE(SUBSTITUTE(LOWER(TRIM(E841)),"á","a"),"é","e"),"í","i"),"ó","o"),"ú","u"),"ü","u"),"ñ","n"),"à","a"),"è","e"),"ì","i"),"ò","o"),"ù","u"),"")</f>
        <v/>
      </c>
      <c r="T841" s="25">
        <f>IF(AND(Q841=1,G841&lt;&gt;""),SUBSTITUTE(SUBSTITUTE(SUBSTITUTE(SUBSTITUTE(SUBSTITUTE(SUBSTITUTE(SUBSTITUTE(SUBSTITUTE(SUBSTITUTE(SUBSTITUTE(SUBSTITUTE(SUBSTITUTE(LOWER(TRIM(G841)),"á","a"),"é","e"),"í","i"),"ó","o"),"ú","u"),"ü","u"),"ñ","n"),"à","a"),"è","e"),"ì","i"),"ò","o"),"ù","u"),"")</f>
        <v/>
      </c>
      <c r="U841" s="25">
        <f>IF(AND(Q841=1,H841&lt;&gt;""),SUBSTITUTE(SUBSTITUTE(SUBSTITUTE(SUBSTITUTE(SUBSTITUTE(SUBSTITUTE(SUBSTITUTE(SUBSTITUTE(SUBSTITUTE(SUBSTITUTE(SUBSTITUTE(SUBSTITUTE(LOWER(TRIM(H841)),"á","a"),"é","e"),"í","i"),"ó","o"),"ú","u"),"ü","u"),"ñ","n"),"à","a"),"è","e"),"ì","i"),"ò","o"),"ù","u"),"")</f>
        <v/>
      </c>
      <c r="V841" s="25">
        <f>IF(AND(Q841=1,L841&lt;&gt;""),SUBSTITUTE(SUBSTITUTE(SUBSTITUTE(SUBSTITUTE(SUBSTITUTE(SUBSTITUTE(SUBSTITUTE(SUBSTITUTE(SUBSTITUTE(SUBSTITUTE(SUBSTITUTE(SUBSTITUTE(LOWER(TRIM(L841)),"á","a"),"é","e"),"í","i"),"ó","o"),"ú","u"),"ü","u"),"ñ","n"),"à","a"),"è","e"),"ì","i"),"ò","o"),"ù","u"),"")</f>
        <v/>
      </c>
      <c r="W841" s="25">
        <f>IF(AND(Q841=1,I841&lt;&gt;""),SUBSTITUTE(SUBSTITUTE(SUBSTITUTE(SUBSTITUTE(SUBSTITUTE(SUBSTITUTE(SUBSTITUTE(SUBSTITUTE(SUBSTITUTE(SUBSTITUTE(SUBSTITUTE(SUBSTITUTE(LOWER(TRIM(I841)),"á","a"),"é","e"),"í","i"),"ó","o"),"ú","u"),"ü","u"),"ñ","n"),"à","a"),"è","e"),"ì","i"),"ò","o"),"ù","u"),"")</f>
        <v/>
      </c>
      <c r="X841" s="25">
        <f>IF(U841="","",IF(OR(U841="si, en la proxima tarea",U841="si, con cambios"),1,0))</f>
        <v/>
      </c>
      <c r="Y841" s="25">
        <f>IF(AND(Q841=1,A841&lt;&gt;""),IF(IFERROR(COUNTIFS(A$3:A841,"="&amp;SUBSTITUTE(SUBSTITUTE(SUBSTITUTE(A841,"~","~~"),"*","~*"),"?","~?"),Q$3:Q841,1),0)=1,MAX(Y$2:Y840)+1,""),"")</f>
        <v/>
      </c>
      <c r="Z841" s="25">
        <f>IF(Y841="","",COUNTIFS($A$3:$A$1002,"="&amp;SUBSTITUTE(SUBSTITUTE(SUBSTITUTE(A841,"~","~~"),"*","~*"),"?","~?"),$Q$3:$Q$1002,1)*10000-Y841)</f>
        <v/>
      </c>
    </row>
    <row r="842">
      <c r="A842">
        <f>IF(A$2=0,"",IFERROR(TRIM(INDEX('Pegar docentes'!$A$1:$BZ$1001,841,A$2)&amp;""),""))</f>
        <v/>
      </c>
      <c r="B842">
        <f>IF(B$2=0,"",IFERROR(TRIM(INDEX('Pegar docentes'!$A$1:$BZ$1001,841,B$2)&amp;""),""))</f>
        <v/>
      </c>
      <c r="C842">
        <f>IF(C$2=0,"",IFERROR(TRIM(INDEX('Pegar docentes'!$A$1:$BZ$1001,841,C$2)&amp;""),""))</f>
        <v/>
      </c>
      <c r="D842">
        <f>IF(D$2=0,"",IFERROR(TRIM(INDEX('Pegar docentes'!$A$1:$BZ$1001,841,D$2)&amp;""),""))</f>
        <v/>
      </c>
      <c r="E842">
        <f>IF(E$2=0,"",IFERROR(TRIM(INDEX('Pegar docentes'!$A$1:$BZ$1001,841,E$2)&amp;""),""))</f>
        <v/>
      </c>
      <c r="F842">
        <f>IF(F$2=0,"",IFERROR(TRIM(INDEX('Pegar docentes'!$A$1:$BZ$1001,841,F$2)&amp;""),""))</f>
        <v/>
      </c>
      <c r="G842">
        <f>IF(G$2=0,"",IFERROR(TRIM(INDEX('Pegar docentes'!$A$1:$BZ$1001,841,G$2)&amp;""),""))</f>
        <v/>
      </c>
      <c r="H842">
        <f>IF(H$2=0,"",IFERROR(TRIM(INDEX('Pegar docentes'!$A$1:$BZ$1001,841,H$2)&amp;""),""))</f>
        <v/>
      </c>
      <c r="I842">
        <f>IF(I$2=0,"",IFERROR(TRIM(INDEX('Pegar docentes'!$A$1:$BZ$1001,841,I$2)&amp;""),""))</f>
        <v/>
      </c>
      <c r="J842">
        <f>IF(J$2=0,"",IFERROR(TRIM(INDEX('Pegar docentes'!$A$1:$BZ$1001,841,J$2)&amp;""),""))</f>
        <v/>
      </c>
      <c r="K842">
        <f>IF(K$2=0,"",IFERROR(TRIM(INDEX('Pegar docentes'!$A$1:$BZ$1001,841,K$2)&amp;""),""))</f>
        <v/>
      </c>
      <c r="L842">
        <f>IF(L$2=0,"",IFERROR(TRIM(INDEX('Pegar docentes'!$A$1:$BZ$1001,841,L$2)&amp;""),""))</f>
        <v/>
      </c>
      <c r="M842">
        <f>IF(M$2=0,"",IFERROR(TRIM(INDEX('Pegar docentes'!$A$1:$BZ$1001,841,M$2)&amp;""),""))</f>
        <v/>
      </c>
      <c r="N842">
        <f>IF(N$2=0,"",IFERROR(TRIM(INDEX('Pegar docentes'!$A$1:$BZ$1001,841,N$2)&amp;""),""))</f>
        <v/>
      </c>
      <c r="O842">
        <f>IF(O$2=0,"",IFERROR(TRIM(INDEX('Pegar docentes'!$A$1:$BZ$1001,841,O$2)&amp;""),""))</f>
        <v/>
      </c>
      <c r="P842">
        <f>IF(P$2=0,"",IFERROR(TRIM(INDEX('Pegar docentes'!$A$1:$BZ$1001,841,P$2)&amp;""),""))</f>
        <v/>
      </c>
      <c r="Q842" s="25">
        <f>IF(OR(D842&lt;&gt;"",H842&lt;&gt;""),1,"")</f>
        <v/>
      </c>
      <c r="R842" s="25">
        <f>IF(Q842=1,IF(ISNUMBER(FIND("#"&amp;MID(D842,1,1)&amp;"#","#0#1#2#3#4#5#6#7#8#9#")),IF(ISNUMBER(FIND("#"&amp;MID(D842,2,1)&amp;"#","#0#1#2#3#4#5#6#7#8#9#")),IF(AND(VALUE(LEFT(D842,2))&gt;=1,VALUE(LEFT(D842,2))&lt;=5),VALUE(LEFT(D842,2)),""),IF(AND(VALUE(LEFT(D842,1))&gt;=1,VALUE(LEFT(D842,1))&lt;=5),VALUE(LEFT(D842,1)),"")),""),"")</f>
        <v/>
      </c>
      <c r="S842" s="25">
        <f>IF(AND(Q842=1,E842&lt;&gt;""),SUBSTITUTE(SUBSTITUTE(SUBSTITUTE(SUBSTITUTE(SUBSTITUTE(SUBSTITUTE(SUBSTITUTE(SUBSTITUTE(SUBSTITUTE(SUBSTITUTE(SUBSTITUTE(SUBSTITUTE(LOWER(TRIM(E842)),"á","a"),"é","e"),"í","i"),"ó","o"),"ú","u"),"ü","u"),"ñ","n"),"à","a"),"è","e"),"ì","i"),"ò","o"),"ù","u"),"")</f>
        <v/>
      </c>
      <c r="T842" s="25">
        <f>IF(AND(Q842=1,G842&lt;&gt;""),SUBSTITUTE(SUBSTITUTE(SUBSTITUTE(SUBSTITUTE(SUBSTITUTE(SUBSTITUTE(SUBSTITUTE(SUBSTITUTE(SUBSTITUTE(SUBSTITUTE(SUBSTITUTE(SUBSTITUTE(LOWER(TRIM(G842)),"á","a"),"é","e"),"í","i"),"ó","o"),"ú","u"),"ü","u"),"ñ","n"),"à","a"),"è","e"),"ì","i"),"ò","o"),"ù","u"),"")</f>
        <v/>
      </c>
      <c r="U842" s="25">
        <f>IF(AND(Q842=1,H842&lt;&gt;""),SUBSTITUTE(SUBSTITUTE(SUBSTITUTE(SUBSTITUTE(SUBSTITUTE(SUBSTITUTE(SUBSTITUTE(SUBSTITUTE(SUBSTITUTE(SUBSTITUTE(SUBSTITUTE(SUBSTITUTE(LOWER(TRIM(H842)),"á","a"),"é","e"),"í","i"),"ó","o"),"ú","u"),"ü","u"),"ñ","n"),"à","a"),"è","e"),"ì","i"),"ò","o"),"ù","u"),"")</f>
        <v/>
      </c>
      <c r="V842" s="25">
        <f>IF(AND(Q842=1,L842&lt;&gt;""),SUBSTITUTE(SUBSTITUTE(SUBSTITUTE(SUBSTITUTE(SUBSTITUTE(SUBSTITUTE(SUBSTITUTE(SUBSTITUTE(SUBSTITUTE(SUBSTITUTE(SUBSTITUTE(SUBSTITUTE(LOWER(TRIM(L842)),"á","a"),"é","e"),"í","i"),"ó","o"),"ú","u"),"ü","u"),"ñ","n"),"à","a"),"è","e"),"ì","i"),"ò","o"),"ù","u"),"")</f>
        <v/>
      </c>
      <c r="W842" s="25">
        <f>IF(AND(Q842=1,I842&lt;&gt;""),SUBSTITUTE(SUBSTITUTE(SUBSTITUTE(SUBSTITUTE(SUBSTITUTE(SUBSTITUTE(SUBSTITUTE(SUBSTITUTE(SUBSTITUTE(SUBSTITUTE(SUBSTITUTE(SUBSTITUTE(LOWER(TRIM(I842)),"á","a"),"é","e"),"í","i"),"ó","o"),"ú","u"),"ü","u"),"ñ","n"),"à","a"),"è","e"),"ì","i"),"ò","o"),"ù","u"),"")</f>
        <v/>
      </c>
      <c r="X842" s="25">
        <f>IF(U842="","",IF(OR(U842="si, en la proxima tarea",U842="si, con cambios"),1,0))</f>
        <v/>
      </c>
      <c r="Y842" s="25">
        <f>IF(AND(Q842=1,A842&lt;&gt;""),IF(IFERROR(COUNTIFS(A$3:A842,"="&amp;SUBSTITUTE(SUBSTITUTE(SUBSTITUTE(A842,"~","~~"),"*","~*"),"?","~?"),Q$3:Q842,1),0)=1,MAX(Y$2:Y841)+1,""),"")</f>
        <v/>
      </c>
      <c r="Z842" s="25">
        <f>IF(Y842="","",COUNTIFS($A$3:$A$1002,"="&amp;SUBSTITUTE(SUBSTITUTE(SUBSTITUTE(A842,"~","~~"),"*","~*"),"?","~?"),$Q$3:$Q$1002,1)*10000-Y842)</f>
        <v/>
      </c>
    </row>
    <row r="843">
      <c r="A843">
        <f>IF(A$2=0,"",IFERROR(TRIM(INDEX('Pegar docentes'!$A$1:$BZ$1001,842,A$2)&amp;""),""))</f>
        <v/>
      </c>
      <c r="B843">
        <f>IF(B$2=0,"",IFERROR(TRIM(INDEX('Pegar docentes'!$A$1:$BZ$1001,842,B$2)&amp;""),""))</f>
        <v/>
      </c>
      <c r="C843">
        <f>IF(C$2=0,"",IFERROR(TRIM(INDEX('Pegar docentes'!$A$1:$BZ$1001,842,C$2)&amp;""),""))</f>
        <v/>
      </c>
      <c r="D843">
        <f>IF(D$2=0,"",IFERROR(TRIM(INDEX('Pegar docentes'!$A$1:$BZ$1001,842,D$2)&amp;""),""))</f>
        <v/>
      </c>
      <c r="E843">
        <f>IF(E$2=0,"",IFERROR(TRIM(INDEX('Pegar docentes'!$A$1:$BZ$1001,842,E$2)&amp;""),""))</f>
        <v/>
      </c>
      <c r="F843">
        <f>IF(F$2=0,"",IFERROR(TRIM(INDEX('Pegar docentes'!$A$1:$BZ$1001,842,F$2)&amp;""),""))</f>
        <v/>
      </c>
      <c r="G843">
        <f>IF(G$2=0,"",IFERROR(TRIM(INDEX('Pegar docentes'!$A$1:$BZ$1001,842,G$2)&amp;""),""))</f>
        <v/>
      </c>
      <c r="H843">
        <f>IF(H$2=0,"",IFERROR(TRIM(INDEX('Pegar docentes'!$A$1:$BZ$1001,842,H$2)&amp;""),""))</f>
        <v/>
      </c>
      <c r="I843">
        <f>IF(I$2=0,"",IFERROR(TRIM(INDEX('Pegar docentes'!$A$1:$BZ$1001,842,I$2)&amp;""),""))</f>
        <v/>
      </c>
      <c r="J843">
        <f>IF(J$2=0,"",IFERROR(TRIM(INDEX('Pegar docentes'!$A$1:$BZ$1001,842,J$2)&amp;""),""))</f>
        <v/>
      </c>
      <c r="K843">
        <f>IF(K$2=0,"",IFERROR(TRIM(INDEX('Pegar docentes'!$A$1:$BZ$1001,842,K$2)&amp;""),""))</f>
        <v/>
      </c>
      <c r="L843">
        <f>IF(L$2=0,"",IFERROR(TRIM(INDEX('Pegar docentes'!$A$1:$BZ$1001,842,L$2)&amp;""),""))</f>
        <v/>
      </c>
      <c r="M843">
        <f>IF(M$2=0,"",IFERROR(TRIM(INDEX('Pegar docentes'!$A$1:$BZ$1001,842,M$2)&amp;""),""))</f>
        <v/>
      </c>
      <c r="N843">
        <f>IF(N$2=0,"",IFERROR(TRIM(INDEX('Pegar docentes'!$A$1:$BZ$1001,842,N$2)&amp;""),""))</f>
        <v/>
      </c>
      <c r="O843">
        <f>IF(O$2=0,"",IFERROR(TRIM(INDEX('Pegar docentes'!$A$1:$BZ$1001,842,O$2)&amp;""),""))</f>
        <v/>
      </c>
      <c r="P843">
        <f>IF(P$2=0,"",IFERROR(TRIM(INDEX('Pegar docentes'!$A$1:$BZ$1001,842,P$2)&amp;""),""))</f>
        <v/>
      </c>
      <c r="Q843" s="25">
        <f>IF(OR(D843&lt;&gt;"",H843&lt;&gt;""),1,"")</f>
        <v/>
      </c>
      <c r="R843" s="25">
        <f>IF(Q843=1,IF(ISNUMBER(FIND("#"&amp;MID(D843,1,1)&amp;"#","#0#1#2#3#4#5#6#7#8#9#")),IF(ISNUMBER(FIND("#"&amp;MID(D843,2,1)&amp;"#","#0#1#2#3#4#5#6#7#8#9#")),IF(AND(VALUE(LEFT(D843,2))&gt;=1,VALUE(LEFT(D843,2))&lt;=5),VALUE(LEFT(D843,2)),""),IF(AND(VALUE(LEFT(D843,1))&gt;=1,VALUE(LEFT(D843,1))&lt;=5),VALUE(LEFT(D843,1)),"")),""),"")</f>
        <v/>
      </c>
      <c r="S843" s="25">
        <f>IF(AND(Q843=1,E843&lt;&gt;""),SUBSTITUTE(SUBSTITUTE(SUBSTITUTE(SUBSTITUTE(SUBSTITUTE(SUBSTITUTE(SUBSTITUTE(SUBSTITUTE(SUBSTITUTE(SUBSTITUTE(SUBSTITUTE(SUBSTITUTE(LOWER(TRIM(E843)),"á","a"),"é","e"),"í","i"),"ó","o"),"ú","u"),"ü","u"),"ñ","n"),"à","a"),"è","e"),"ì","i"),"ò","o"),"ù","u"),"")</f>
        <v/>
      </c>
      <c r="T843" s="25">
        <f>IF(AND(Q843=1,G843&lt;&gt;""),SUBSTITUTE(SUBSTITUTE(SUBSTITUTE(SUBSTITUTE(SUBSTITUTE(SUBSTITUTE(SUBSTITUTE(SUBSTITUTE(SUBSTITUTE(SUBSTITUTE(SUBSTITUTE(SUBSTITUTE(LOWER(TRIM(G843)),"á","a"),"é","e"),"í","i"),"ó","o"),"ú","u"),"ü","u"),"ñ","n"),"à","a"),"è","e"),"ì","i"),"ò","o"),"ù","u"),"")</f>
        <v/>
      </c>
      <c r="U843" s="25">
        <f>IF(AND(Q843=1,H843&lt;&gt;""),SUBSTITUTE(SUBSTITUTE(SUBSTITUTE(SUBSTITUTE(SUBSTITUTE(SUBSTITUTE(SUBSTITUTE(SUBSTITUTE(SUBSTITUTE(SUBSTITUTE(SUBSTITUTE(SUBSTITUTE(LOWER(TRIM(H843)),"á","a"),"é","e"),"í","i"),"ó","o"),"ú","u"),"ü","u"),"ñ","n"),"à","a"),"è","e"),"ì","i"),"ò","o"),"ù","u"),"")</f>
        <v/>
      </c>
      <c r="V843" s="25">
        <f>IF(AND(Q843=1,L843&lt;&gt;""),SUBSTITUTE(SUBSTITUTE(SUBSTITUTE(SUBSTITUTE(SUBSTITUTE(SUBSTITUTE(SUBSTITUTE(SUBSTITUTE(SUBSTITUTE(SUBSTITUTE(SUBSTITUTE(SUBSTITUTE(LOWER(TRIM(L843)),"á","a"),"é","e"),"í","i"),"ó","o"),"ú","u"),"ü","u"),"ñ","n"),"à","a"),"è","e"),"ì","i"),"ò","o"),"ù","u"),"")</f>
        <v/>
      </c>
      <c r="W843" s="25">
        <f>IF(AND(Q843=1,I843&lt;&gt;""),SUBSTITUTE(SUBSTITUTE(SUBSTITUTE(SUBSTITUTE(SUBSTITUTE(SUBSTITUTE(SUBSTITUTE(SUBSTITUTE(SUBSTITUTE(SUBSTITUTE(SUBSTITUTE(SUBSTITUTE(LOWER(TRIM(I843)),"á","a"),"é","e"),"í","i"),"ó","o"),"ú","u"),"ü","u"),"ñ","n"),"à","a"),"è","e"),"ì","i"),"ò","o"),"ù","u"),"")</f>
        <v/>
      </c>
      <c r="X843" s="25">
        <f>IF(U843="","",IF(OR(U843="si, en la proxima tarea",U843="si, con cambios"),1,0))</f>
        <v/>
      </c>
      <c r="Y843" s="25">
        <f>IF(AND(Q843=1,A843&lt;&gt;""),IF(IFERROR(COUNTIFS(A$3:A843,"="&amp;SUBSTITUTE(SUBSTITUTE(SUBSTITUTE(A843,"~","~~"),"*","~*"),"?","~?"),Q$3:Q843,1),0)=1,MAX(Y$2:Y842)+1,""),"")</f>
        <v/>
      </c>
      <c r="Z843" s="25">
        <f>IF(Y843="","",COUNTIFS($A$3:$A$1002,"="&amp;SUBSTITUTE(SUBSTITUTE(SUBSTITUTE(A843,"~","~~"),"*","~*"),"?","~?"),$Q$3:$Q$1002,1)*10000-Y843)</f>
        <v/>
      </c>
    </row>
    <row r="844">
      <c r="A844">
        <f>IF(A$2=0,"",IFERROR(TRIM(INDEX('Pegar docentes'!$A$1:$BZ$1001,843,A$2)&amp;""),""))</f>
        <v/>
      </c>
      <c r="B844">
        <f>IF(B$2=0,"",IFERROR(TRIM(INDEX('Pegar docentes'!$A$1:$BZ$1001,843,B$2)&amp;""),""))</f>
        <v/>
      </c>
      <c r="C844">
        <f>IF(C$2=0,"",IFERROR(TRIM(INDEX('Pegar docentes'!$A$1:$BZ$1001,843,C$2)&amp;""),""))</f>
        <v/>
      </c>
      <c r="D844">
        <f>IF(D$2=0,"",IFERROR(TRIM(INDEX('Pegar docentes'!$A$1:$BZ$1001,843,D$2)&amp;""),""))</f>
        <v/>
      </c>
      <c r="E844">
        <f>IF(E$2=0,"",IFERROR(TRIM(INDEX('Pegar docentes'!$A$1:$BZ$1001,843,E$2)&amp;""),""))</f>
        <v/>
      </c>
      <c r="F844">
        <f>IF(F$2=0,"",IFERROR(TRIM(INDEX('Pegar docentes'!$A$1:$BZ$1001,843,F$2)&amp;""),""))</f>
        <v/>
      </c>
      <c r="G844">
        <f>IF(G$2=0,"",IFERROR(TRIM(INDEX('Pegar docentes'!$A$1:$BZ$1001,843,G$2)&amp;""),""))</f>
        <v/>
      </c>
      <c r="H844">
        <f>IF(H$2=0,"",IFERROR(TRIM(INDEX('Pegar docentes'!$A$1:$BZ$1001,843,H$2)&amp;""),""))</f>
        <v/>
      </c>
      <c r="I844">
        <f>IF(I$2=0,"",IFERROR(TRIM(INDEX('Pegar docentes'!$A$1:$BZ$1001,843,I$2)&amp;""),""))</f>
        <v/>
      </c>
      <c r="J844">
        <f>IF(J$2=0,"",IFERROR(TRIM(INDEX('Pegar docentes'!$A$1:$BZ$1001,843,J$2)&amp;""),""))</f>
        <v/>
      </c>
      <c r="K844">
        <f>IF(K$2=0,"",IFERROR(TRIM(INDEX('Pegar docentes'!$A$1:$BZ$1001,843,K$2)&amp;""),""))</f>
        <v/>
      </c>
      <c r="L844">
        <f>IF(L$2=0,"",IFERROR(TRIM(INDEX('Pegar docentes'!$A$1:$BZ$1001,843,L$2)&amp;""),""))</f>
        <v/>
      </c>
      <c r="M844">
        <f>IF(M$2=0,"",IFERROR(TRIM(INDEX('Pegar docentes'!$A$1:$BZ$1001,843,M$2)&amp;""),""))</f>
        <v/>
      </c>
      <c r="N844">
        <f>IF(N$2=0,"",IFERROR(TRIM(INDEX('Pegar docentes'!$A$1:$BZ$1001,843,N$2)&amp;""),""))</f>
        <v/>
      </c>
      <c r="O844">
        <f>IF(O$2=0,"",IFERROR(TRIM(INDEX('Pegar docentes'!$A$1:$BZ$1001,843,O$2)&amp;""),""))</f>
        <v/>
      </c>
      <c r="P844">
        <f>IF(P$2=0,"",IFERROR(TRIM(INDEX('Pegar docentes'!$A$1:$BZ$1001,843,P$2)&amp;""),""))</f>
        <v/>
      </c>
      <c r="Q844" s="25">
        <f>IF(OR(D844&lt;&gt;"",H844&lt;&gt;""),1,"")</f>
        <v/>
      </c>
      <c r="R844" s="25">
        <f>IF(Q844=1,IF(ISNUMBER(FIND("#"&amp;MID(D844,1,1)&amp;"#","#0#1#2#3#4#5#6#7#8#9#")),IF(ISNUMBER(FIND("#"&amp;MID(D844,2,1)&amp;"#","#0#1#2#3#4#5#6#7#8#9#")),IF(AND(VALUE(LEFT(D844,2))&gt;=1,VALUE(LEFT(D844,2))&lt;=5),VALUE(LEFT(D844,2)),""),IF(AND(VALUE(LEFT(D844,1))&gt;=1,VALUE(LEFT(D844,1))&lt;=5),VALUE(LEFT(D844,1)),"")),""),"")</f>
        <v/>
      </c>
      <c r="S844" s="25">
        <f>IF(AND(Q844=1,E844&lt;&gt;""),SUBSTITUTE(SUBSTITUTE(SUBSTITUTE(SUBSTITUTE(SUBSTITUTE(SUBSTITUTE(SUBSTITUTE(SUBSTITUTE(SUBSTITUTE(SUBSTITUTE(SUBSTITUTE(SUBSTITUTE(LOWER(TRIM(E844)),"á","a"),"é","e"),"í","i"),"ó","o"),"ú","u"),"ü","u"),"ñ","n"),"à","a"),"è","e"),"ì","i"),"ò","o"),"ù","u"),"")</f>
        <v/>
      </c>
      <c r="T844" s="25">
        <f>IF(AND(Q844=1,G844&lt;&gt;""),SUBSTITUTE(SUBSTITUTE(SUBSTITUTE(SUBSTITUTE(SUBSTITUTE(SUBSTITUTE(SUBSTITUTE(SUBSTITUTE(SUBSTITUTE(SUBSTITUTE(SUBSTITUTE(SUBSTITUTE(LOWER(TRIM(G844)),"á","a"),"é","e"),"í","i"),"ó","o"),"ú","u"),"ü","u"),"ñ","n"),"à","a"),"è","e"),"ì","i"),"ò","o"),"ù","u"),"")</f>
        <v/>
      </c>
      <c r="U844" s="25">
        <f>IF(AND(Q844=1,H844&lt;&gt;""),SUBSTITUTE(SUBSTITUTE(SUBSTITUTE(SUBSTITUTE(SUBSTITUTE(SUBSTITUTE(SUBSTITUTE(SUBSTITUTE(SUBSTITUTE(SUBSTITUTE(SUBSTITUTE(SUBSTITUTE(LOWER(TRIM(H844)),"á","a"),"é","e"),"í","i"),"ó","o"),"ú","u"),"ü","u"),"ñ","n"),"à","a"),"è","e"),"ì","i"),"ò","o"),"ù","u"),"")</f>
        <v/>
      </c>
      <c r="V844" s="25">
        <f>IF(AND(Q844=1,L844&lt;&gt;""),SUBSTITUTE(SUBSTITUTE(SUBSTITUTE(SUBSTITUTE(SUBSTITUTE(SUBSTITUTE(SUBSTITUTE(SUBSTITUTE(SUBSTITUTE(SUBSTITUTE(SUBSTITUTE(SUBSTITUTE(LOWER(TRIM(L844)),"á","a"),"é","e"),"í","i"),"ó","o"),"ú","u"),"ü","u"),"ñ","n"),"à","a"),"è","e"),"ì","i"),"ò","o"),"ù","u"),"")</f>
        <v/>
      </c>
      <c r="W844" s="25">
        <f>IF(AND(Q844=1,I844&lt;&gt;""),SUBSTITUTE(SUBSTITUTE(SUBSTITUTE(SUBSTITUTE(SUBSTITUTE(SUBSTITUTE(SUBSTITUTE(SUBSTITUTE(SUBSTITUTE(SUBSTITUTE(SUBSTITUTE(SUBSTITUTE(LOWER(TRIM(I844)),"á","a"),"é","e"),"í","i"),"ó","o"),"ú","u"),"ü","u"),"ñ","n"),"à","a"),"è","e"),"ì","i"),"ò","o"),"ù","u"),"")</f>
        <v/>
      </c>
      <c r="X844" s="25">
        <f>IF(U844="","",IF(OR(U844="si, en la proxima tarea",U844="si, con cambios"),1,0))</f>
        <v/>
      </c>
      <c r="Y844" s="25">
        <f>IF(AND(Q844=1,A844&lt;&gt;""),IF(IFERROR(COUNTIFS(A$3:A844,"="&amp;SUBSTITUTE(SUBSTITUTE(SUBSTITUTE(A844,"~","~~"),"*","~*"),"?","~?"),Q$3:Q844,1),0)=1,MAX(Y$2:Y843)+1,""),"")</f>
        <v/>
      </c>
      <c r="Z844" s="25">
        <f>IF(Y844="","",COUNTIFS($A$3:$A$1002,"="&amp;SUBSTITUTE(SUBSTITUTE(SUBSTITUTE(A844,"~","~~"),"*","~*"),"?","~?"),$Q$3:$Q$1002,1)*10000-Y844)</f>
        <v/>
      </c>
    </row>
    <row r="845">
      <c r="A845">
        <f>IF(A$2=0,"",IFERROR(TRIM(INDEX('Pegar docentes'!$A$1:$BZ$1001,844,A$2)&amp;""),""))</f>
        <v/>
      </c>
      <c r="B845">
        <f>IF(B$2=0,"",IFERROR(TRIM(INDEX('Pegar docentes'!$A$1:$BZ$1001,844,B$2)&amp;""),""))</f>
        <v/>
      </c>
      <c r="C845">
        <f>IF(C$2=0,"",IFERROR(TRIM(INDEX('Pegar docentes'!$A$1:$BZ$1001,844,C$2)&amp;""),""))</f>
        <v/>
      </c>
      <c r="D845">
        <f>IF(D$2=0,"",IFERROR(TRIM(INDEX('Pegar docentes'!$A$1:$BZ$1001,844,D$2)&amp;""),""))</f>
        <v/>
      </c>
      <c r="E845">
        <f>IF(E$2=0,"",IFERROR(TRIM(INDEX('Pegar docentes'!$A$1:$BZ$1001,844,E$2)&amp;""),""))</f>
        <v/>
      </c>
      <c r="F845">
        <f>IF(F$2=0,"",IFERROR(TRIM(INDEX('Pegar docentes'!$A$1:$BZ$1001,844,F$2)&amp;""),""))</f>
        <v/>
      </c>
      <c r="G845">
        <f>IF(G$2=0,"",IFERROR(TRIM(INDEX('Pegar docentes'!$A$1:$BZ$1001,844,G$2)&amp;""),""))</f>
        <v/>
      </c>
      <c r="H845">
        <f>IF(H$2=0,"",IFERROR(TRIM(INDEX('Pegar docentes'!$A$1:$BZ$1001,844,H$2)&amp;""),""))</f>
        <v/>
      </c>
      <c r="I845">
        <f>IF(I$2=0,"",IFERROR(TRIM(INDEX('Pegar docentes'!$A$1:$BZ$1001,844,I$2)&amp;""),""))</f>
        <v/>
      </c>
      <c r="J845">
        <f>IF(J$2=0,"",IFERROR(TRIM(INDEX('Pegar docentes'!$A$1:$BZ$1001,844,J$2)&amp;""),""))</f>
        <v/>
      </c>
      <c r="K845">
        <f>IF(K$2=0,"",IFERROR(TRIM(INDEX('Pegar docentes'!$A$1:$BZ$1001,844,K$2)&amp;""),""))</f>
        <v/>
      </c>
      <c r="L845">
        <f>IF(L$2=0,"",IFERROR(TRIM(INDEX('Pegar docentes'!$A$1:$BZ$1001,844,L$2)&amp;""),""))</f>
        <v/>
      </c>
      <c r="M845">
        <f>IF(M$2=0,"",IFERROR(TRIM(INDEX('Pegar docentes'!$A$1:$BZ$1001,844,M$2)&amp;""),""))</f>
        <v/>
      </c>
      <c r="N845">
        <f>IF(N$2=0,"",IFERROR(TRIM(INDEX('Pegar docentes'!$A$1:$BZ$1001,844,N$2)&amp;""),""))</f>
        <v/>
      </c>
      <c r="O845">
        <f>IF(O$2=0,"",IFERROR(TRIM(INDEX('Pegar docentes'!$A$1:$BZ$1001,844,O$2)&amp;""),""))</f>
        <v/>
      </c>
      <c r="P845">
        <f>IF(P$2=0,"",IFERROR(TRIM(INDEX('Pegar docentes'!$A$1:$BZ$1001,844,P$2)&amp;""),""))</f>
        <v/>
      </c>
      <c r="Q845" s="25">
        <f>IF(OR(D845&lt;&gt;"",H845&lt;&gt;""),1,"")</f>
        <v/>
      </c>
      <c r="R845" s="25">
        <f>IF(Q845=1,IF(ISNUMBER(FIND("#"&amp;MID(D845,1,1)&amp;"#","#0#1#2#3#4#5#6#7#8#9#")),IF(ISNUMBER(FIND("#"&amp;MID(D845,2,1)&amp;"#","#0#1#2#3#4#5#6#7#8#9#")),IF(AND(VALUE(LEFT(D845,2))&gt;=1,VALUE(LEFT(D845,2))&lt;=5),VALUE(LEFT(D845,2)),""),IF(AND(VALUE(LEFT(D845,1))&gt;=1,VALUE(LEFT(D845,1))&lt;=5),VALUE(LEFT(D845,1)),"")),""),"")</f>
        <v/>
      </c>
      <c r="S845" s="25">
        <f>IF(AND(Q845=1,E845&lt;&gt;""),SUBSTITUTE(SUBSTITUTE(SUBSTITUTE(SUBSTITUTE(SUBSTITUTE(SUBSTITUTE(SUBSTITUTE(SUBSTITUTE(SUBSTITUTE(SUBSTITUTE(SUBSTITUTE(SUBSTITUTE(LOWER(TRIM(E845)),"á","a"),"é","e"),"í","i"),"ó","o"),"ú","u"),"ü","u"),"ñ","n"),"à","a"),"è","e"),"ì","i"),"ò","o"),"ù","u"),"")</f>
        <v/>
      </c>
      <c r="T845" s="25">
        <f>IF(AND(Q845=1,G845&lt;&gt;""),SUBSTITUTE(SUBSTITUTE(SUBSTITUTE(SUBSTITUTE(SUBSTITUTE(SUBSTITUTE(SUBSTITUTE(SUBSTITUTE(SUBSTITUTE(SUBSTITUTE(SUBSTITUTE(SUBSTITUTE(LOWER(TRIM(G845)),"á","a"),"é","e"),"í","i"),"ó","o"),"ú","u"),"ü","u"),"ñ","n"),"à","a"),"è","e"),"ì","i"),"ò","o"),"ù","u"),"")</f>
        <v/>
      </c>
      <c r="U845" s="25">
        <f>IF(AND(Q845=1,H845&lt;&gt;""),SUBSTITUTE(SUBSTITUTE(SUBSTITUTE(SUBSTITUTE(SUBSTITUTE(SUBSTITUTE(SUBSTITUTE(SUBSTITUTE(SUBSTITUTE(SUBSTITUTE(SUBSTITUTE(SUBSTITUTE(LOWER(TRIM(H845)),"á","a"),"é","e"),"í","i"),"ó","o"),"ú","u"),"ü","u"),"ñ","n"),"à","a"),"è","e"),"ì","i"),"ò","o"),"ù","u"),"")</f>
        <v/>
      </c>
      <c r="V845" s="25">
        <f>IF(AND(Q845=1,L845&lt;&gt;""),SUBSTITUTE(SUBSTITUTE(SUBSTITUTE(SUBSTITUTE(SUBSTITUTE(SUBSTITUTE(SUBSTITUTE(SUBSTITUTE(SUBSTITUTE(SUBSTITUTE(SUBSTITUTE(SUBSTITUTE(LOWER(TRIM(L845)),"á","a"),"é","e"),"í","i"),"ó","o"),"ú","u"),"ü","u"),"ñ","n"),"à","a"),"è","e"),"ì","i"),"ò","o"),"ù","u"),"")</f>
        <v/>
      </c>
      <c r="W845" s="25">
        <f>IF(AND(Q845=1,I845&lt;&gt;""),SUBSTITUTE(SUBSTITUTE(SUBSTITUTE(SUBSTITUTE(SUBSTITUTE(SUBSTITUTE(SUBSTITUTE(SUBSTITUTE(SUBSTITUTE(SUBSTITUTE(SUBSTITUTE(SUBSTITUTE(LOWER(TRIM(I845)),"á","a"),"é","e"),"í","i"),"ó","o"),"ú","u"),"ü","u"),"ñ","n"),"à","a"),"è","e"),"ì","i"),"ò","o"),"ù","u"),"")</f>
        <v/>
      </c>
      <c r="X845" s="25">
        <f>IF(U845="","",IF(OR(U845="si, en la proxima tarea",U845="si, con cambios"),1,0))</f>
        <v/>
      </c>
      <c r="Y845" s="25">
        <f>IF(AND(Q845=1,A845&lt;&gt;""),IF(IFERROR(COUNTIFS(A$3:A845,"="&amp;SUBSTITUTE(SUBSTITUTE(SUBSTITUTE(A845,"~","~~"),"*","~*"),"?","~?"),Q$3:Q845,1),0)=1,MAX(Y$2:Y844)+1,""),"")</f>
        <v/>
      </c>
      <c r="Z845" s="25">
        <f>IF(Y845="","",COUNTIFS($A$3:$A$1002,"="&amp;SUBSTITUTE(SUBSTITUTE(SUBSTITUTE(A845,"~","~~"),"*","~*"),"?","~?"),$Q$3:$Q$1002,1)*10000-Y845)</f>
        <v/>
      </c>
    </row>
    <row r="846">
      <c r="A846">
        <f>IF(A$2=0,"",IFERROR(TRIM(INDEX('Pegar docentes'!$A$1:$BZ$1001,845,A$2)&amp;""),""))</f>
        <v/>
      </c>
      <c r="B846">
        <f>IF(B$2=0,"",IFERROR(TRIM(INDEX('Pegar docentes'!$A$1:$BZ$1001,845,B$2)&amp;""),""))</f>
        <v/>
      </c>
      <c r="C846">
        <f>IF(C$2=0,"",IFERROR(TRIM(INDEX('Pegar docentes'!$A$1:$BZ$1001,845,C$2)&amp;""),""))</f>
        <v/>
      </c>
      <c r="D846">
        <f>IF(D$2=0,"",IFERROR(TRIM(INDEX('Pegar docentes'!$A$1:$BZ$1001,845,D$2)&amp;""),""))</f>
        <v/>
      </c>
      <c r="E846">
        <f>IF(E$2=0,"",IFERROR(TRIM(INDEX('Pegar docentes'!$A$1:$BZ$1001,845,E$2)&amp;""),""))</f>
        <v/>
      </c>
      <c r="F846">
        <f>IF(F$2=0,"",IFERROR(TRIM(INDEX('Pegar docentes'!$A$1:$BZ$1001,845,F$2)&amp;""),""))</f>
        <v/>
      </c>
      <c r="G846">
        <f>IF(G$2=0,"",IFERROR(TRIM(INDEX('Pegar docentes'!$A$1:$BZ$1001,845,G$2)&amp;""),""))</f>
        <v/>
      </c>
      <c r="H846">
        <f>IF(H$2=0,"",IFERROR(TRIM(INDEX('Pegar docentes'!$A$1:$BZ$1001,845,H$2)&amp;""),""))</f>
        <v/>
      </c>
      <c r="I846">
        <f>IF(I$2=0,"",IFERROR(TRIM(INDEX('Pegar docentes'!$A$1:$BZ$1001,845,I$2)&amp;""),""))</f>
        <v/>
      </c>
      <c r="J846">
        <f>IF(J$2=0,"",IFERROR(TRIM(INDEX('Pegar docentes'!$A$1:$BZ$1001,845,J$2)&amp;""),""))</f>
        <v/>
      </c>
      <c r="K846">
        <f>IF(K$2=0,"",IFERROR(TRIM(INDEX('Pegar docentes'!$A$1:$BZ$1001,845,K$2)&amp;""),""))</f>
        <v/>
      </c>
      <c r="L846">
        <f>IF(L$2=0,"",IFERROR(TRIM(INDEX('Pegar docentes'!$A$1:$BZ$1001,845,L$2)&amp;""),""))</f>
        <v/>
      </c>
      <c r="M846">
        <f>IF(M$2=0,"",IFERROR(TRIM(INDEX('Pegar docentes'!$A$1:$BZ$1001,845,M$2)&amp;""),""))</f>
        <v/>
      </c>
      <c r="N846">
        <f>IF(N$2=0,"",IFERROR(TRIM(INDEX('Pegar docentes'!$A$1:$BZ$1001,845,N$2)&amp;""),""))</f>
        <v/>
      </c>
      <c r="O846">
        <f>IF(O$2=0,"",IFERROR(TRIM(INDEX('Pegar docentes'!$A$1:$BZ$1001,845,O$2)&amp;""),""))</f>
        <v/>
      </c>
      <c r="P846">
        <f>IF(P$2=0,"",IFERROR(TRIM(INDEX('Pegar docentes'!$A$1:$BZ$1001,845,P$2)&amp;""),""))</f>
        <v/>
      </c>
      <c r="Q846" s="25">
        <f>IF(OR(D846&lt;&gt;"",H846&lt;&gt;""),1,"")</f>
        <v/>
      </c>
      <c r="R846" s="25">
        <f>IF(Q846=1,IF(ISNUMBER(FIND("#"&amp;MID(D846,1,1)&amp;"#","#0#1#2#3#4#5#6#7#8#9#")),IF(ISNUMBER(FIND("#"&amp;MID(D846,2,1)&amp;"#","#0#1#2#3#4#5#6#7#8#9#")),IF(AND(VALUE(LEFT(D846,2))&gt;=1,VALUE(LEFT(D846,2))&lt;=5),VALUE(LEFT(D846,2)),""),IF(AND(VALUE(LEFT(D846,1))&gt;=1,VALUE(LEFT(D846,1))&lt;=5),VALUE(LEFT(D846,1)),"")),""),"")</f>
        <v/>
      </c>
      <c r="S846" s="25">
        <f>IF(AND(Q846=1,E846&lt;&gt;""),SUBSTITUTE(SUBSTITUTE(SUBSTITUTE(SUBSTITUTE(SUBSTITUTE(SUBSTITUTE(SUBSTITUTE(SUBSTITUTE(SUBSTITUTE(SUBSTITUTE(SUBSTITUTE(SUBSTITUTE(LOWER(TRIM(E846)),"á","a"),"é","e"),"í","i"),"ó","o"),"ú","u"),"ü","u"),"ñ","n"),"à","a"),"è","e"),"ì","i"),"ò","o"),"ù","u"),"")</f>
        <v/>
      </c>
      <c r="T846" s="25">
        <f>IF(AND(Q846=1,G846&lt;&gt;""),SUBSTITUTE(SUBSTITUTE(SUBSTITUTE(SUBSTITUTE(SUBSTITUTE(SUBSTITUTE(SUBSTITUTE(SUBSTITUTE(SUBSTITUTE(SUBSTITUTE(SUBSTITUTE(SUBSTITUTE(LOWER(TRIM(G846)),"á","a"),"é","e"),"í","i"),"ó","o"),"ú","u"),"ü","u"),"ñ","n"),"à","a"),"è","e"),"ì","i"),"ò","o"),"ù","u"),"")</f>
        <v/>
      </c>
      <c r="U846" s="25">
        <f>IF(AND(Q846=1,H846&lt;&gt;""),SUBSTITUTE(SUBSTITUTE(SUBSTITUTE(SUBSTITUTE(SUBSTITUTE(SUBSTITUTE(SUBSTITUTE(SUBSTITUTE(SUBSTITUTE(SUBSTITUTE(SUBSTITUTE(SUBSTITUTE(LOWER(TRIM(H846)),"á","a"),"é","e"),"í","i"),"ó","o"),"ú","u"),"ü","u"),"ñ","n"),"à","a"),"è","e"),"ì","i"),"ò","o"),"ù","u"),"")</f>
        <v/>
      </c>
      <c r="V846" s="25">
        <f>IF(AND(Q846=1,L846&lt;&gt;""),SUBSTITUTE(SUBSTITUTE(SUBSTITUTE(SUBSTITUTE(SUBSTITUTE(SUBSTITUTE(SUBSTITUTE(SUBSTITUTE(SUBSTITUTE(SUBSTITUTE(SUBSTITUTE(SUBSTITUTE(LOWER(TRIM(L846)),"á","a"),"é","e"),"í","i"),"ó","o"),"ú","u"),"ü","u"),"ñ","n"),"à","a"),"è","e"),"ì","i"),"ò","o"),"ù","u"),"")</f>
        <v/>
      </c>
      <c r="W846" s="25">
        <f>IF(AND(Q846=1,I846&lt;&gt;""),SUBSTITUTE(SUBSTITUTE(SUBSTITUTE(SUBSTITUTE(SUBSTITUTE(SUBSTITUTE(SUBSTITUTE(SUBSTITUTE(SUBSTITUTE(SUBSTITUTE(SUBSTITUTE(SUBSTITUTE(LOWER(TRIM(I846)),"á","a"),"é","e"),"í","i"),"ó","o"),"ú","u"),"ü","u"),"ñ","n"),"à","a"),"è","e"),"ì","i"),"ò","o"),"ù","u"),"")</f>
        <v/>
      </c>
      <c r="X846" s="25">
        <f>IF(U846="","",IF(OR(U846="si, en la proxima tarea",U846="si, con cambios"),1,0))</f>
        <v/>
      </c>
      <c r="Y846" s="25">
        <f>IF(AND(Q846=1,A846&lt;&gt;""),IF(IFERROR(COUNTIFS(A$3:A846,"="&amp;SUBSTITUTE(SUBSTITUTE(SUBSTITUTE(A846,"~","~~"),"*","~*"),"?","~?"),Q$3:Q846,1),0)=1,MAX(Y$2:Y845)+1,""),"")</f>
        <v/>
      </c>
      <c r="Z846" s="25">
        <f>IF(Y846="","",COUNTIFS($A$3:$A$1002,"="&amp;SUBSTITUTE(SUBSTITUTE(SUBSTITUTE(A846,"~","~~"),"*","~*"),"?","~?"),$Q$3:$Q$1002,1)*10000-Y846)</f>
        <v/>
      </c>
    </row>
    <row r="847">
      <c r="A847">
        <f>IF(A$2=0,"",IFERROR(TRIM(INDEX('Pegar docentes'!$A$1:$BZ$1001,846,A$2)&amp;""),""))</f>
        <v/>
      </c>
      <c r="B847">
        <f>IF(B$2=0,"",IFERROR(TRIM(INDEX('Pegar docentes'!$A$1:$BZ$1001,846,B$2)&amp;""),""))</f>
        <v/>
      </c>
      <c r="C847">
        <f>IF(C$2=0,"",IFERROR(TRIM(INDEX('Pegar docentes'!$A$1:$BZ$1001,846,C$2)&amp;""),""))</f>
        <v/>
      </c>
      <c r="D847">
        <f>IF(D$2=0,"",IFERROR(TRIM(INDEX('Pegar docentes'!$A$1:$BZ$1001,846,D$2)&amp;""),""))</f>
        <v/>
      </c>
      <c r="E847">
        <f>IF(E$2=0,"",IFERROR(TRIM(INDEX('Pegar docentes'!$A$1:$BZ$1001,846,E$2)&amp;""),""))</f>
        <v/>
      </c>
      <c r="F847">
        <f>IF(F$2=0,"",IFERROR(TRIM(INDEX('Pegar docentes'!$A$1:$BZ$1001,846,F$2)&amp;""),""))</f>
        <v/>
      </c>
      <c r="G847">
        <f>IF(G$2=0,"",IFERROR(TRIM(INDEX('Pegar docentes'!$A$1:$BZ$1001,846,G$2)&amp;""),""))</f>
        <v/>
      </c>
      <c r="H847">
        <f>IF(H$2=0,"",IFERROR(TRIM(INDEX('Pegar docentes'!$A$1:$BZ$1001,846,H$2)&amp;""),""))</f>
        <v/>
      </c>
      <c r="I847">
        <f>IF(I$2=0,"",IFERROR(TRIM(INDEX('Pegar docentes'!$A$1:$BZ$1001,846,I$2)&amp;""),""))</f>
        <v/>
      </c>
      <c r="J847">
        <f>IF(J$2=0,"",IFERROR(TRIM(INDEX('Pegar docentes'!$A$1:$BZ$1001,846,J$2)&amp;""),""))</f>
        <v/>
      </c>
      <c r="K847">
        <f>IF(K$2=0,"",IFERROR(TRIM(INDEX('Pegar docentes'!$A$1:$BZ$1001,846,K$2)&amp;""),""))</f>
        <v/>
      </c>
      <c r="L847">
        <f>IF(L$2=0,"",IFERROR(TRIM(INDEX('Pegar docentes'!$A$1:$BZ$1001,846,L$2)&amp;""),""))</f>
        <v/>
      </c>
      <c r="M847">
        <f>IF(M$2=0,"",IFERROR(TRIM(INDEX('Pegar docentes'!$A$1:$BZ$1001,846,M$2)&amp;""),""))</f>
        <v/>
      </c>
      <c r="N847">
        <f>IF(N$2=0,"",IFERROR(TRIM(INDEX('Pegar docentes'!$A$1:$BZ$1001,846,N$2)&amp;""),""))</f>
        <v/>
      </c>
      <c r="O847">
        <f>IF(O$2=0,"",IFERROR(TRIM(INDEX('Pegar docentes'!$A$1:$BZ$1001,846,O$2)&amp;""),""))</f>
        <v/>
      </c>
      <c r="P847">
        <f>IF(P$2=0,"",IFERROR(TRIM(INDEX('Pegar docentes'!$A$1:$BZ$1001,846,P$2)&amp;""),""))</f>
        <v/>
      </c>
      <c r="Q847" s="25">
        <f>IF(OR(D847&lt;&gt;"",H847&lt;&gt;""),1,"")</f>
        <v/>
      </c>
      <c r="R847" s="25">
        <f>IF(Q847=1,IF(ISNUMBER(FIND("#"&amp;MID(D847,1,1)&amp;"#","#0#1#2#3#4#5#6#7#8#9#")),IF(ISNUMBER(FIND("#"&amp;MID(D847,2,1)&amp;"#","#0#1#2#3#4#5#6#7#8#9#")),IF(AND(VALUE(LEFT(D847,2))&gt;=1,VALUE(LEFT(D847,2))&lt;=5),VALUE(LEFT(D847,2)),""),IF(AND(VALUE(LEFT(D847,1))&gt;=1,VALUE(LEFT(D847,1))&lt;=5),VALUE(LEFT(D847,1)),"")),""),"")</f>
        <v/>
      </c>
      <c r="S847" s="25">
        <f>IF(AND(Q847=1,E847&lt;&gt;""),SUBSTITUTE(SUBSTITUTE(SUBSTITUTE(SUBSTITUTE(SUBSTITUTE(SUBSTITUTE(SUBSTITUTE(SUBSTITUTE(SUBSTITUTE(SUBSTITUTE(SUBSTITUTE(SUBSTITUTE(LOWER(TRIM(E847)),"á","a"),"é","e"),"í","i"),"ó","o"),"ú","u"),"ü","u"),"ñ","n"),"à","a"),"è","e"),"ì","i"),"ò","o"),"ù","u"),"")</f>
        <v/>
      </c>
      <c r="T847" s="25">
        <f>IF(AND(Q847=1,G847&lt;&gt;""),SUBSTITUTE(SUBSTITUTE(SUBSTITUTE(SUBSTITUTE(SUBSTITUTE(SUBSTITUTE(SUBSTITUTE(SUBSTITUTE(SUBSTITUTE(SUBSTITUTE(SUBSTITUTE(SUBSTITUTE(LOWER(TRIM(G847)),"á","a"),"é","e"),"í","i"),"ó","o"),"ú","u"),"ü","u"),"ñ","n"),"à","a"),"è","e"),"ì","i"),"ò","o"),"ù","u"),"")</f>
        <v/>
      </c>
      <c r="U847" s="25">
        <f>IF(AND(Q847=1,H847&lt;&gt;""),SUBSTITUTE(SUBSTITUTE(SUBSTITUTE(SUBSTITUTE(SUBSTITUTE(SUBSTITUTE(SUBSTITUTE(SUBSTITUTE(SUBSTITUTE(SUBSTITUTE(SUBSTITUTE(SUBSTITUTE(LOWER(TRIM(H847)),"á","a"),"é","e"),"í","i"),"ó","o"),"ú","u"),"ü","u"),"ñ","n"),"à","a"),"è","e"),"ì","i"),"ò","o"),"ù","u"),"")</f>
        <v/>
      </c>
      <c r="V847" s="25">
        <f>IF(AND(Q847=1,L847&lt;&gt;""),SUBSTITUTE(SUBSTITUTE(SUBSTITUTE(SUBSTITUTE(SUBSTITUTE(SUBSTITUTE(SUBSTITUTE(SUBSTITUTE(SUBSTITUTE(SUBSTITUTE(SUBSTITUTE(SUBSTITUTE(LOWER(TRIM(L847)),"á","a"),"é","e"),"í","i"),"ó","o"),"ú","u"),"ü","u"),"ñ","n"),"à","a"),"è","e"),"ì","i"),"ò","o"),"ù","u"),"")</f>
        <v/>
      </c>
      <c r="W847" s="25">
        <f>IF(AND(Q847=1,I847&lt;&gt;""),SUBSTITUTE(SUBSTITUTE(SUBSTITUTE(SUBSTITUTE(SUBSTITUTE(SUBSTITUTE(SUBSTITUTE(SUBSTITUTE(SUBSTITUTE(SUBSTITUTE(SUBSTITUTE(SUBSTITUTE(LOWER(TRIM(I847)),"á","a"),"é","e"),"í","i"),"ó","o"),"ú","u"),"ü","u"),"ñ","n"),"à","a"),"è","e"),"ì","i"),"ò","o"),"ù","u"),"")</f>
        <v/>
      </c>
      <c r="X847" s="25">
        <f>IF(U847="","",IF(OR(U847="si, en la proxima tarea",U847="si, con cambios"),1,0))</f>
        <v/>
      </c>
      <c r="Y847" s="25">
        <f>IF(AND(Q847=1,A847&lt;&gt;""),IF(IFERROR(COUNTIFS(A$3:A847,"="&amp;SUBSTITUTE(SUBSTITUTE(SUBSTITUTE(A847,"~","~~"),"*","~*"),"?","~?"),Q$3:Q847,1),0)=1,MAX(Y$2:Y846)+1,""),"")</f>
        <v/>
      </c>
      <c r="Z847" s="25">
        <f>IF(Y847="","",COUNTIFS($A$3:$A$1002,"="&amp;SUBSTITUTE(SUBSTITUTE(SUBSTITUTE(A847,"~","~~"),"*","~*"),"?","~?"),$Q$3:$Q$1002,1)*10000-Y847)</f>
        <v/>
      </c>
    </row>
    <row r="848">
      <c r="A848">
        <f>IF(A$2=0,"",IFERROR(TRIM(INDEX('Pegar docentes'!$A$1:$BZ$1001,847,A$2)&amp;""),""))</f>
        <v/>
      </c>
      <c r="B848">
        <f>IF(B$2=0,"",IFERROR(TRIM(INDEX('Pegar docentes'!$A$1:$BZ$1001,847,B$2)&amp;""),""))</f>
        <v/>
      </c>
      <c r="C848">
        <f>IF(C$2=0,"",IFERROR(TRIM(INDEX('Pegar docentes'!$A$1:$BZ$1001,847,C$2)&amp;""),""))</f>
        <v/>
      </c>
      <c r="D848">
        <f>IF(D$2=0,"",IFERROR(TRIM(INDEX('Pegar docentes'!$A$1:$BZ$1001,847,D$2)&amp;""),""))</f>
        <v/>
      </c>
      <c r="E848">
        <f>IF(E$2=0,"",IFERROR(TRIM(INDEX('Pegar docentes'!$A$1:$BZ$1001,847,E$2)&amp;""),""))</f>
        <v/>
      </c>
      <c r="F848">
        <f>IF(F$2=0,"",IFERROR(TRIM(INDEX('Pegar docentes'!$A$1:$BZ$1001,847,F$2)&amp;""),""))</f>
        <v/>
      </c>
      <c r="G848">
        <f>IF(G$2=0,"",IFERROR(TRIM(INDEX('Pegar docentes'!$A$1:$BZ$1001,847,G$2)&amp;""),""))</f>
        <v/>
      </c>
      <c r="H848">
        <f>IF(H$2=0,"",IFERROR(TRIM(INDEX('Pegar docentes'!$A$1:$BZ$1001,847,H$2)&amp;""),""))</f>
        <v/>
      </c>
      <c r="I848">
        <f>IF(I$2=0,"",IFERROR(TRIM(INDEX('Pegar docentes'!$A$1:$BZ$1001,847,I$2)&amp;""),""))</f>
        <v/>
      </c>
      <c r="J848">
        <f>IF(J$2=0,"",IFERROR(TRIM(INDEX('Pegar docentes'!$A$1:$BZ$1001,847,J$2)&amp;""),""))</f>
        <v/>
      </c>
      <c r="K848">
        <f>IF(K$2=0,"",IFERROR(TRIM(INDEX('Pegar docentes'!$A$1:$BZ$1001,847,K$2)&amp;""),""))</f>
        <v/>
      </c>
      <c r="L848">
        <f>IF(L$2=0,"",IFERROR(TRIM(INDEX('Pegar docentes'!$A$1:$BZ$1001,847,L$2)&amp;""),""))</f>
        <v/>
      </c>
      <c r="M848">
        <f>IF(M$2=0,"",IFERROR(TRIM(INDEX('Pegar docentes'!$A$1:$BZ$1001,847,M$2)&amp;""),""))</f>
        <v/>
      </c>
      <c r="N848">
        <f>IF(N$2=0,"",IFERROR(TRIM(INDEX('Pegar docentes'!$A$1:$BZ$1001,847,N$2)&amp;""),""))</f>
        <v/>
      </c>
      <c r="O848">
        <f>IF(O$2=0,"",IFERROR(TRIM(INDEX('Pegar docentes'!$A$1:$BZ$1001,847,O$2)&amp;""),""))</f>
        <v/>
      </c>
      <c r="P848">
        <f>IF(P$2=0,"",IFERROR(TRIM(INDEX('Pegar docentes'!$A$1:$BZ$1001,847,P$2)&amp;""),""))</f>
        <v/>
      </c>
      <c r="Q848" s="25">
        <f>IF(OR(D848&lt;&gt;"",H848&lt;&gt;""),1,"")</f>
        <v/>
      </c>
      <c r="R848" s="25">
        <f>IF(Q848=1,IF(ISNUMBER(FIND("#"&amp;MID(D848,1,1)&amp;"#","#0#1#2#3#4#5#6#7#8#9#")),IF(ISNUMBER(FIND("#"&amp;MID(D848,2,1)&amp;"#","#0#1#2#3#4#5#6#7#8#9#")),IF(AND(VALUE(LEFT(D848,2))&gt;=1,VALUE(LEFT(D848,2))&lt;=5),VALUE(LEFT(D848,2)),""),IF(AND(VALUE(LEFT(D848,1))&gt;=1,VALUE(LEFT(D848,1))&lt;=5),VALUE(LEFT(D848,1)),"")),""),"")</f>
        <v/>
      </c>
      <c r="S848" s="25">
        <f>IF(AND(Q848=1,E848&lt;&gt;""),SUBSTITUTE(SUBSTITUTE(SUBSTITUTE(SUBSTITUTE(SUBSTITUTE(SUBSTITUTE(SUBSTITUTE(SUBSTITUTE(SUBSTITUTE(SUBSTITUTE(SUBSTITUTE(SUBSTITUTE(LOWER(TRIM(E848)),"á","a"),"é","e"),"í","i"),"ó","o"),"ú","u"),"ü","u"),"ñ","n"),"à","a"),"è","e"),"ì","i"),"ò","o"),"ù","u"),"")</f>
        <v/>
      </c>
      <c r="T848" s="25">
        <f>IF(AND(Q848=1,G848&lt;&gt;""),SUBSTITUTE(SUBSTITUTE(SUBSTITUTE(SUBSTITUTE(SUBSTITUTE(SUBSTITUTE(SUBSTITUTE(SUBSTITUTE(SUBSTITUTE(SUBSTITUTE(SUBSTITUTE(SUBSTITUTE(LOWER(TRIM(G848)),"á","a"),"é","e"),"í","i"),"ó","o"),"ú","u"),"ü","u"),"ñ","n"),"à","a"),"è","e"),"ì","i"),"ò","o"),"ù","u"),"")</f>
        <v/>
      </c>
      <c r="U848" s="25">
        <f>IF(AND(Q848=1,H848&lt;&gt;""),SUBSTITUTE(SUBSTITUTE(SUBSTITUTE(SUBSTITUTE(SUBSTITUTE(SUBSTITUTE(SUBSTITUTE(SUBSTITUTE(SUBSTITUTE(SUBSTITUTE(SUBSTITUTE(SUBSTITUTE(LOWER(TRIM(H848)),"á","a"),"é","e"),"í","i"),"ó","o"),"ú","u"),"ü","u"),"ñ","n"),"à","a"),"è","e"),"ì","i"),"ò","o"),"ù","u"),"")</f>
        <v/>
      </c>
      <c r="V848" s="25">
        <f>IF(AND(Q848=1,L848&lt;&gt;""),SUBSTITUTE(SUBSTITUTE(SUBSTITUTE(SUBSTITUTE(SUBSTITUTE(SUBSTITUTE(SUBSTITUTE(SUBSTITUTE(SUBSTITUTE(SUBSTITUTE(SUBSTITUTE(SUBSTITUTE(LOWER(TRIM(L848)),"á","a"),"é","e"),"í","i"),"ó","o"),"ú","u"),"ü","u"),"ñ","n"),"à","a"),"è","e"),"ì","i"),"ò","o"),"ù","u"),"")</f>
        <v/>
      </c>
      <c r="W848" s="25">
        <f>IF(AND(Q848=1,I848&lt;&gt;""),SUBSTITUTE(SUBSTITUTE(SUBSTITUTE(SUBSTITUTE(SUBSTITUTE(SUBSTITUTE(SUBSTITUTE(SUBSTITUTE(SUBSTITUTE(SUBSTITUTE(SUBSTITUTE(SUBSTITUTE(LOWER(TRIM(I848)),"á","a"),"é","e"),"í","i"),"ó","o"),"ú","u"),"ü","u"),"ñ","n"),"à","a"),"è","e"),"ì","i"),"ò","o"),"ù","u"),"")</f>
        <v/>
      </c>
      <c r="X848" s="25">
        <f>IF(U848="","",IF(OR(U848="si, en la proxima tarea",U848="si, con cambios"),1,0))</f>
        <v/>
      </c>
      <c r="Y848" s="25">
        <f>IF(AND(Q848=1,A848&lt;&gt;""),IF(IFERROR(COUNTIFS(A$3:A848,"="&amp;SUBSTITUTE(SUBSTITUTE(SUBSTITUTE(A848,"~","~~"),"*","~*"),"?","~?"),Q$3:Q848,1),0)=1,MAX(Y$2:Y847)+1,""),"")</f>
        <v/>
      </c>
      <c r="Z848" s="25">
        <f>IF(Y848="","",COUNTIFS($A$3:$A$1002,"="&amp;SUBSTITUTE(SUBSTITUTE(SUBSTITUTE(A848,"~","~~"),"*","~*"),"?","~?"),$Q$3:$Q$1002,1)*10000-Y848)</f>
        <v/>
      </c>
    </row>
    <row r="849">
      <c r="A849">
        <f>IF(A$2=0,"",IFERROR(TRIM(INDEX('Pegar docentes'!$A$1:$BZ$1001,848,A$2)&amp;""),""))</f>
        <v/>
      </c>
      <c r="B849">
        <f>IF(B$2=0,"",IFERROR(TRIM(INDEX('Pegar docentes'!$A$1:$BZ$1001,848,B$2)&amp;""),""))</f>
        <v/>
      </c>
      <c r="C849">
        <f>IF(C$2=0,"",IFERROR(TRIM(INDEX('Pegar docentes'!$A$1:$BZ$1001,848,C$2)&amp;""),""))</f>
        <v/>
      </c>
      <c r="D849">
        <f>IF(D$2=0,"",IFERROR(TRIM(INDEX('Pegar docentes'!$A$1:$BZ$1001,848,D$2)&amp;""),""))</f>
        <v/>
      </c>
      <c r="E849">
        <f>IF(E$2=0,"",IFERROR(TRIM(INDEX('Pegar docentes'!$A$1:$BZ$1001,848,E$2)&amp;""),""))</f>
        <v/>
      </c>
      <c r="F849">
        <f>IF(F$2=0,"",IFERROR(TRIM(INDEX('Pegar docentes'!$A$1:$BZ$1001,848,F$2)&amp;""),""))</f>
        <v/>
      </c>
      <c r="G849">
        <f>IF(G$2=0,"",IFERROR(TRIM(INDEX('Pegar docentes'!$A$1:$BZ$1001,848,G$2)&amp;""),""))</f>
        <v/>
      </c>
      <c r="H849">
        <f>IF(H$2=0,"",IFERROR(TRIM(INDEX('Pegar docentes'!$A$1:$BZ$1001,848,H$2)&amp;""),""))</f>
        <v/>
      </c>
      <c r="I849">
        <f>IF(I$2=0,"",IFERROR(TRIM(INDEX('Pegar docentes'!$A$1:$BZ$1001,848,I$2)&amp;""),""))</f>
        <v/>
      </c>
      <c r="J849">
        <f>IF(J$2=0,"",IFERROR(TRIM(INDEX('Pegar docentes'!$A$1:$BZ$1001,848,J$2)&amp;""),""))</f>
        <v/>
      </c>
      <c r="K849">
        <f>IF(K$2=0,"",IFERROR(TRIM(INDEX('Pegar docentes'!$A$1:$BZ$1001,848,K$2)&amp;""),""))</f>
        <v/>
      </c>
      <c r="L849">
        <f>IF(L$2=0,"",IFERROR(TRIM(INDEX('Pegar docentes'!$A$1:$BZ$1001,848,L$2)&amp;""),""))</f>
        <v/>
      </c>
      <c r="M849">
        <f>IF(M$2=0,"",IFERROR(TRIM(INDEX('Pegar docentes'!$A$1:$BZ$1001,848,M$2)&amp;""),""))</f>
        <v/>
      </c>
      <c r="N849">
        <f>IF(N$2=0,"",IFERROR(TRIM(INDEX('Pegar docentes'!$A$1:$BZ$1001,848,N$2)&amp;""),""))</f>
        <v/>
      </c>
      <c r="O849">
        <f>IF(O$2=0,"",IFERROR(TRIM(INDEX('Pegar docentes'!$A$1:$BZ$1001,848,O$2)&amp;""),""))</f>
        <v/>
      </c>
      <c r="P849">
        <f>IF(P$2=0,"",IFERROR(TRIM(INDEX('Pegar docentes'!$A$1:$BZ$1001,848,P$2)&amp;""),""))</f>
        <v/>
      </c>
      <c r="Q849" s="25">
        <f>IF(OR(D849&lt;&gt;"",H849&lt;&gt;""),1,"")</f>
        <v/>
      </c>
      <c r="R849" s="25">
        <f>IF(Q849=1,IF(ISNUMBER(FIND("#"&amp;MID(D849,1,1)&amp;"#","#0#1#2#3#4#5#6#7#8#9#")),IF(ISNUMBER(FIND("#"&amp;MID(D849,2,1)&amp;"#","#0#1#2#3#4#5#6#7#8#9#")),IF(AND(VALUE(LEFT(D849,2))&gt;=1,VALUE(LEFT(D849,2))&lt;=5),VALUE(LEFT(D849,2)),""),IF(AND(VALUE(LEFT(D849,1))&gt;=1,VALUE(LEFT(D849,1))&lt;=5),VALUE(LEFT(D849,1)),"")),""),"")</f>
        <v/>
      </c>
      <c r="S849" s="25">
        <f>IF(AND(Q849=1,E849&lt;&gt;""),SUBSTITUTE(SUBSTITUTE(SUBSTITUTE(SUBSTITUTE(SUBSTITUTE(SUBSTITUTE(SUBSTITUTE(SUBSTITUTE(SUBSTITUTE(SUBSTITUTE(SUBSTITUTE(SUBSTITUTE(LOWER(TRIM(E849)),"á","a"),"é","e"),"í","i"),"ó","o"),"ú","u"),"ü","u"),"ñ","n"),"à","a"),"è","e"),"ì","i"),"ò","o"),"ù","u"),"")</f>
        <v/>
      </c>
      <c r="T849" s="25">
        <f>IF(AND(Q849=1,G849&lt;&gt;""),SUBSTITUTE(SUBSTITUTE(SUBSTITUTE(SUBSTITUTE(SUBSTITUTE(SUBSTITUTE(SUBSTITUTE(SUBSTITUTE(SUBSTITUTE(SUBSTITUTE(SUBSTITUTE(SUBSTITUTE(LOWER(TRIM(G849)),"á","a"),"é","e"),"í","i"),"ó","o"),"ú","u"),"ü","u"),"ñ","n"),"à","a"),"è","e"),"ì","i"),"ò","o"),"ù","u"),"")</f>
        <v/>
      </c>
      <c r="U849" s="25">
        <f>IF(AND(Q849=1,H849&lt;&gt;""),SUBSTITUTE(SUBSTITUTE(SUBSTITUTE(SUBSTITUTE(SUBSTITUTE(SUBSTITUTE(SUBSTITUTE(SUBSTITUTE(SUBSTITUTE(SUBSTITUTE(SUBSTITUTE(SUBSTITUTE(LOWER(TRIM(H849)),"á","a"),"é","e"),"í","i"),"ó","o"),"ú","u"),"ü","u"),"ñ","n"),"à","a"),"è","e"),"ì","i"),"ò","o"),"ù","u"),"")</f>
        <v/>
      </c>
      <c r="V849" s="25">
        <f>IF(AND(Q849=1,L849&lt;&gt;""),SUBSTITUTE(SUBSTITUTE(SUBSTITUTE(SUBSTITUTE(SUBSTITUTE(SUBSTITUTE(SUBSTITUTE(SUBSTITUTE(SUBSTITUTE(SUBSTITUTE(SUBSTITUTE(SUBSTITUTE(LOWER(TRIM(L849)),"á","a"),"é","e"),"í","i"),"ó","o"),"ú","u"),"ü","u"),"ñ","n"),"à","a"),"è","e"),"ì","i"),"ò","o"),"ù","u"),"")</f>
        <v/>
      </c>
      <c r="W849" s="25">
        <f>IF(AND(Q849=1,I849&lt;&gt;""),SUBSTITUTE(SUBSTITUTE(SUBSTITUTE(SUBSTITUTE(SUBSTITUTE(SUBSTITUTE(SUBSTITUTE(SUBSTITUTE(SUBSTITUTE(SUBSTITUTE(SUBSTITUTE(SUBSTITUTE(LOWER(TRIM(I849)),"á","a"),"é","e"),"í","i"),"ó","o"),"ú","u"),"ü","u"),"ñ","n"),"à","a"),"è","e"),"ì","i"),"ò","o"),"ù","u"),"")</f>
        <v/>
      </c>
      <c r="X849" s="25">
        <f>IF(U849="","",IF(OR(U849="si, en la proxima tarea",U849="si, con cambios"),1,0))</f>
        <v/>
      </c>
      <c r="Y849" s="25">
        <f>IF(AND(Q849=1,A849&lt;&gt;""),IF(IFERROR(COUNTIFS(A$3:A849,"="&amp;SUBSTITUTE(SUBSTITUTE(SUBSTITUTE(A849,"~","~~"),"*","~*"),"?","~?"),Q$3:Q849,1),0)=1,MAX(Y$2:Y848)+1,""),"")</f>
        <v/>
      </c>
      <c r="Z849" s="25">
        <f>IF(Y849="","",COUNTIFS($A$3:$A$1002,"="&amp;SUBSTITUTE(SUBSTITUTE(SUBSTITUTE(A849,"~","~~"),"*","~*"),"?","~?"),$Q$3:$Q$1002,1)*10000-Y849)</f>
        <v/>
      </c>
    </row>
    <row r="850">
      <c r="A850">
        <f>IF(A$2=0,"",IFERROR(TRIM(INDEX('Pegar docentes'!$A$1:$BZ$1001,849,A$2)&amp;""),""))</f>
        <v/>
      </c>
      <c r="B850">
        <f>IF(B$2=0,"",IFERROR(TRIM(INDEX('Pegar docentes'!$A$1:$BZ$1001,849,B$2)&amp;""),""))</f>
        <v/>
      </c>
      <c r="C850">
        <f>IF(C$2=0,"",IFERROR(TRIM(INDEX('Pegar docentes'!$A$1:$BZ$1001,849,C$2)&amp;""),""))</f>
        <v/>
      </c>
      <c r="D850">
        <f>IF(D$2=0,"",IFERROR(TRIM(INDEX('Pegar docentes'!$A$1:$BZ$1001,849,D$2)&amp;""),""))</f>
        <v/>
      </c>
      <c r="E850">
        <f>IF(E$2=0,"",IFERROR(TRIM(INDEX('Pegar docentes'!$A$1:$BZ$1001,849,E$2)&amp;""),""))</f>
        <v/>
      </c>
      <c r="F850">
        <f>IF(F$2=0,"",IFERROR(TRIM(INDEX('Pegar docentes'!$A$1:$BZ$1001,849,F$2)&amp;""),""))</f>
        <v/>
      </c>
      <c r="G850">
        <f>IF(G$2=0,"",IFERROR(TRIM(INDEX('Pegar docentes'!$A$1:$BZ$1001,849,G$2)&amp;""),""))</f>
        <v/>
      </c>
      <c r="H850">
        <f>IF(H$2=0,"",IFERROR(TRIM(INDEX('Pegar docentes'!$A$1:$BZ$1001,849,H$2)&amp;""),""))</f>
        <v/>
      </c>
      <c r="I850">
        <f>IF(I$2=0,"",IFERROR(TRIM(INDEX('Pegar docentes'!$A$1:$BZ$1001,849,I$2)&amp;""),""))</f>
        <v/>
      </c>
      <c r="J850">
        <f>IF(J$2=0,"",IFERROR(TRIM(INDEX('Pegar docentes'!$A$1:$BZ$1001,849,J$2)&amp;""),""))</f>
        <v/>
      </c>
      <c r="K850">
        <f>IF(K$2=0,"",IFERROR(TRIM(INDEX('Pegar docentes'!$A$1:$BZ$1001,849,K$2)&amp;""),""))</f>
        <v/>
      </c>
      <c r="L850">
        <f>IF(L$2=0,"",IFERROR(TRIM(INDEX('Pegar docentes'!$A$1:$BZ$1001,849,L$2)&amp;""),""))</f>
        <v/>
      </c>
      <c r="M850">
        <f>IF(M$2=0,"",IFERROR(TRIM(INDEX('Pegar docentes'!$A$1:$BZ$1001,849,M$2)&amp;""),""))</f>
        <v/>
      </c>
      <c r="N850">
        <f>IF(N$2=0,"",IFERROR(TRIM(INDEX('Pegar docentes'!$A$1:$BZ$1001,849,N$2)&amp;""),""))</f>
        <v/>
      </c>
      <c r="O850">
        <f>IF(O$2=0,"",IFERROR(TRIM(INDEX('Pegar docentes'!$A$1:$BZ$1001,849,O$2)&amp;""),""))</f>
        <v/>
      </c>
      <c r="P850">
        <f>IF(P$2=0,"",IFERROR(TRIM(INDEX('Pegar docentes'!$A$1:$BZ$1001,849,P$2)&amp;""),""))</f>
        <v/>
      </c>
      <c r="Q850" s="25">
        <f>IF(OR(D850&lt;&gt;"",H850&lt;&gt;""),1,"")</f>
        <v/>
      </c>
      <c r="R850" s="25">
        <f>IF(Q850=1,IF(ISNUMBER(FIND("#"&amp;MID(D850,1,1)&amp;"#","#0#1#2#3#4#5#6#7#8#9#")),IF(ISNUMBER(FIND("#"&amp;MID(D850,2,1)&amp;"#","#0#1#2#3#4#5#6#7#8#9#")),IF(AND(VALUE(LEFT(D850,2))&gt;=1,VALUE(LEFT(D850,2))&lt;=5),VALUE(LEFT(D850,2)),""),IF(AND(VALUE(LEFT(D850,1))&gt;=1,VALUE(LEFT(D850,1))&lt;=5),VALUE(LEFT(D850,1)),"")),""),"")</f>
        <v/>
      </c>
      <c r="S850" s="25">
        <f>IF(AND(Q850=1,E850&lt;&gt;""),SUBSTITUTE(SUBSTITUTE(SUBSTITUTE(SUBSTITUTE(SUBSTITUTE(SUBSTITUTE(SUBSTITUTE(SUBSTITUTE(SUBSTITUTE(SUBSTITUTE(SUBSTITUTE(SUBSTITUTE(LOWER(TRIM(E850)),"á","a"),"é","e"),"í","i"),"ó","o"),"ú","u"),"ü","u"),"ñ","n"),"à","a"),"è","e"),"ì","i"),"ò","o"),"ù","u"),"")</f>
        <v/>
      </c>
      <c r="T850" s="25">
        <f>IF(AND(Q850=1,G850&lt;&gt;""),SUBSTITUTE(SUBSTITUTE(SUBSTITUTE(SUBSTITUTE(SUBSTITUTE(SUBSTITUTE(SUBSTITUTE(SUBSTITUTE(SUBSTITUTE(SUBSTITUTE(SUBSTITUTE(SUBSTITUTE(LOWER(TRIM(G850)),"á","a"),"é","e"),"í","i"),"ó","o"),"ú","u"),"ü","u"),"ñ","n"),"à","a"),"è","e"),"ì","i"),"ò","o"),"ù","u"),"")</f>
        <v/>
      </c>
      <c r="U850" s="25">
        <f>IF(AND(Q850=1,H850&lt;&gt;""),SUBSTITUTE(SUBSTITUTE(SUBSTITUTE(SUBSTITUTE(SUBSTITUTE(SUBSTITUTE(SUBSTITUTE(SUBSTITUTE(SUBSTITUTE(SUBSTITUTE(SUBSTITUTE(SUBSTITUTE(LOWER(TRIM(H850)),"á","a"),"é","e"),"í","i"),"ó","o"),"ú","u"),"ü","u"),"ñ","n"),"à","a"),"è","e"),"ì","i"),"ò","o"),"ù","u"),"")</f>
        <v/>
      </c>
      <c r="V850" s="25">
        <f>IF(AND(Q850=1,L850&lt;&gt;""),SUBSTITUTE(SUBSTITUTE(SUBSTITUTE(SUBSTITUTE(SUBSTITUTE(SUBSTITUTE(SUBSTITUTE(SUBSTITUTE(SUBSTITUTE(SUBSTITUTE(SUBSTITUTE(SUBSTITUTE(LOWER(TRIM(L850)),"á","a"),"é","e"),"í","i"),"ó","o"),"ú","u"),"ü","u"),"ñ","n"),"à","a"),"è","e"),"ì","i"),"ò","o"),"ù","u"),"")</f>
        <v/>
      </c>
      <c r="W850" s="25">
        <f>IF(AND(Q850=1,I850&lt;&gt;""),SUBSTITUTE(SUBSTITUTE(SUBSTITUTE(SUBSTITUTE(SUBSTITUTE(SUBSTITUTE(SUBSTITUTE(SUBSTITUTE(SUBSTITUTE(SUBSTITUTE(SUBSTITUTE(SUBSTITUTE(LOWER(TRIM(I850)),"á","a"),"é","e"),"í","i"),"ó","o"),"ú","u"),"ü","u"),"ñ","n"),"à","a"),"è","e"),"ì","i"),"ò","o"),"ù","u"),"")</f>
        <v/>
      </c>
      <c r="X850" s="25">
        <f>IF(U850="","",IF(OR(U850="si, en la proxima tarea",U850="si, con cambios"),1,0))</f>
        <v/>
      </c>
      <c r="Y850" s="25">
        <f>IF(AND(Q850=1,A850&lt;&gt;""),IF(IFERROR(COUNTIFS(A$3:A850,"="&amp;SUBSTITUTE(SUBSTITUTE(SUBSTITUTE(A850,"~","~~"),"*","~*"),"?","~?"),Q$3:Q850,1),0)=1,MAX(Y$2:Y849)+1,""),"")</f>
        <v/>
      </c>
      <c r="Z850" s="25">
        <f>IF(Y850="","",COUNTIFS($A$3:$A$1002,"="&amp;SUBSTITUTE(SUBSTITUTE(SUBSTITUTE(A850,"~","~~"),"*","~*"),"?","~?"),$Q$3:$Q$1002,1)*10000-Y850)</f>
        <v/>
      </c>
    </row>
    <row r="851">
      <c r="A851">
        <f>IF(A$2=0,"",IFERROR(TRIM(INDEX('Pegar docentes'!$A$1:$BZ$1001,850,A$2)&amp;""),""))</f>
        <v/>
      </c>
      <c r="B851">
        <f>IF(B$2=0,"",IFERROR(TRIM(INDEX('Pegar docentes'!$A$1:$BZ$1001,850,B$2)&amp;""),""))</f>
        <v/>
      </c>
      <c r="C851">
        <f>IF(C$2=0,"",IFERROR(TRIM(INDEX('Pegar docentes'!$A$1:$BZ$1001,850,C$2)&amp;""),""))</f>
        <v/>
      </c>
      <c r="D851">
        <f>IF(D$2=0,"",IFERROR(TRIM(INDEX('Pegar docentes'!$A$1:$BZ$1001,850,D$2)&amp;""),""))</f>
        <v/>
      </c>
      <c r="E851">
        <f>IF(E$2=0,"",IFERROR(TRIM(INDEX('Pegar docentes'!$A$1:$BZ$1001,850,E$2)&amp;""),""))</f>
        <v/>
      </c>
      <c r="F851">
        <f>IF(F$2=0,"",IFERROR(TRIM(INDEX('Pegar docentes'!$A$1:$BZ$1001,850,F$2)&amp;""),""))</f>
        <v/>
      </c>
      <c r="G851">
        <f>IF(G$2=0,"",IFERROR(TRIM(INDEX('Pegar docentes'!$A$1:$BZ$1001,850,G$2)&amp;""),""))</f>
        <v/>
      </c>
      <c r="H851">
        <f>IF(H$2=0,"",IFERROR(TRIM(INDEX('Pegar docentes'!$A$1:$BZ$1001,850,H$2)&amp;""),""))</f>
        <v/>
      </c>
      <c r="I851">
        <f>IF(I$2=0,"",IFERROR(TRIM(INDEX('Pegar docentes'!$A$1:$BZ$1001,850,I$2)&amp;""),""))</f>
        <v/>
      </c>
      <c r="J851">
        <f>IF(J$2=0,"",IFERROR(TRIM(INDEX('Pegar docentes'!$A$1:$BZ$1001,850,J$2)&amp;""),""))</f>
        <v/>
      </c>
      <c r="K851">
        <f>IF(K$2=0,"",IFERROR(TRIM(INDEX('Pegar docentes'!$A$1:$BZ$1001,850,K$2)&amp;""),""))</f>
        <v/>
      </c>
      <c r="L851">
        <f>IF(L$2=0,"",IFERROR(TRIM(INDEX('Pegar docentes'!$A$1:$BZ$1001,850,L$2)&amp;""),""))</f>
        <v/>
      </c>
      <c r="M851">
        <f>IF(M$2=0,"",IFERROR(TRIM(INDEX('Pegar docentes'!$A$1:$BZ$1001,850,M$2)&amp;""),""))</f>
        <v/>
      </c>
      <c r="N851">
        <f>IF(N$2=0,"",IFERROR(TRIM(INDEX('Pegar docentes'!$A$1:$BZ$1001,850,N$2)&amp;""),""))</f>
        <v/>
      </c>
      <c r="O851">
        <f>IF(O$2=0,"",IFERROR(TRIM(INDEX('Pegar docentes'!$A$1:$BZ$1001,850,O$2)&amp;""),""))</f>
        <v/>
      </c>
      <c r="P851">
        <f>IF(P$2=0,"",IFERROR(TRIM(INDEX('Pegar docentes'!$A$1:$BZ$1001,850,P$2)&amp;""),""))</f>
        <v/>
      </c>
      <c r="Q851" s="25">
        <f>IF(OR(D851&lt;&gt;"",H851&lt;&gt;""),1,"")</f>
        <v/>
      </c>
      <c r="R851" s="25">
        <f>IF(Q851=1,IF(ISNUMBER(FIND("#"&amp;MID(D851,1,1)&amp;"#","#0#1#2#3#4#5#6#7#8#9#")),IF(ISNUMBER(FIND("#"&amp;MID(D851,2,1)&amp;"#","#0#1#2#3#4#5#6#7#8#9#")),IF(AND(VALUE(LEFT(D851,2))&gt;=1,VALUE(LEFT(D851,2))&lt;=5),VALUE(LEFT(D851,2)),""),IF(AND(VALUE(LEFT(D851,1))&gt;=1,VALUE(LEFT(D851,1))&lt;=5),VALUE(LEFT(D851,1)),"")),""),"")</f>
        <v/>
      </c>
      <c r="S851" s="25">
        <f>IF(AND(Q851=1,E851&lt;&gt;""),SUBSTITUTE(SUBSTITUTE(SUBSTITUTE(SUBSTITUTE(SUBSTITUTE(SUBSTITUTE(SUBSTITUTE(SUBSTITUTE(SUBSTITUTE(SUBSTITUTE(SUBSTITUTE(SUBSTITUTE(LOWER(TRIM(E851)),"á","a"),"é","e"),"í","i"),"ó","o"),"ú","u"),"ü","u"),"ñ","n"),"à","a"),"è","e"),"ì","i"),"ò","o"),"ù","u"),"")</f>
        <v/>
      </c>
      <c r="T851" s="25">
        <f>IF(AND(Q851=1,G851&lt;&gt;""),SUBSTITUTE(SUBSTITUTE(SUBSTITUTE(SUBSTITUTE(SUBSTITUTE(SUBSTITUTE(SUBSTITUTE(SUBSTITUTE(SUBSTITUTE(SUBSTITUTE(SUBSTITUTE(SUBSTITUTE(LOWER(TRIM(G851)),"á","a"),"é","e"),"í","i"),"ó","o"),"ú","u"),"ü","u"),"ñ","n"),"à","a"),"è","e"),"ì","i"),"ò","o"),"ù","u"),"")</f>
        <v/>
      </c>
      <c r="U851" s="25">
        <f>IF(AND(Q851=1,H851&lt;&gt;""),SUBSTITUTE(SUBSTITUTE(SUBSTITUTE(SUBSTITUTE(SUBSTITUTE(SUBSTITUTE(SUBSTITUTE(SUBSTITUTE(SUBSTITUTE(SUBSTITUTE(SUBSTITUTE(SUBSTITUTE(LOWER(TRIM(H851)),"á","a"),"é","e"),"í","i"),"ó","o"),"ú","u"),"ü","u"),"ñ","n"),"à","a"),"è","e"),"ì","i"),"ò","o"),"ù","u"),"")</f>
        <v/>
      </c>
      <c r="V851" s="25">
        <f>IF(AND(Q851=1,L851&lt;&gt;""),SUBSTITUTE(SUBSTITUTE(SUBSTITUTE(SUBSTITUTE(SUBSTITUTE(SUBSTITUTE(SUBSTITUTE(SUBSTITUTE(SUBSTITUTE(SUBSTITUTE(SUBSTITUTE(SUBSTITUTE(LOWER(TRIM(L851)),"á","a"),"é","e"),"í","i"),"ó","o"),"ú","u"),"ü","u"),"ñ","n"),"à","a"),"è","e"),"ì","i"),"ò","o"),"ù","u"),"")</f>
        <v/>
      </c>
      <c r="W851" s="25">
        <f>IF(AND(Q851=1,I851&lt;&gt;""),SUBSTITUTE(SUBSTITUTE(SUBSTITUTE(SUBSTITUTE(SUBSTITUTE(SUBSTITUTE(SUBSTITUTE(SUBSTITUTE(SUBSTITUTE(SUBSTITUTE(SUBSTITUTE(SUBSTITUTE(LOWER(TRIM(I851)),"á","a"),"é","e"),"í","i"),"ó","o"),"ú","u"),"ü","u"),"ñ","n"),"à","a"),"è","e"),"ì","i"),"ò","o"),"ù","u"),"")</f>
        <v/>
      </c>
      <c r="X851" s="25">
        <f>IF(U851="","",IF(OR(U851="si, en la proxima tarea",U851="si, con cambios"),1,0))</f>
        <v/>
      </c>
      <c r="Y851" s="25">
        <f>IF(AND(Q851=1,A851&lt;&gt;""),IF(IFERROR(COUNTIFS(A$3:A851,"="&amp;SUBSTITUTE(SUBSTITUTE(SUBSTITUTE(A851,"~","~~"),"*","~*"),"?","~?"),Q$3:Q851,1),0)=1,MAX(Y$2:Y850)+1,""),"")</f>
        <v/>
      </c>
      <c r="Z851" s="25">
        <f>IF(Y851="","",COUNTIFS($A$3:$A$1002,"="&amp;SUBSTITUTE(SUBSTITUTE(SUBSTITUTE(A851,"~","~~"),"*","~*"),"?","~?"),$Q$3:$Q$1002,1)*10000-Y851)</f>
        <v/>
      </c>
    </row>
    <row r="852">
      <c r="A852">
        <f>IF(A$2=0,"",IFERROR(TRIM(INDEX('Pegar docentes'!$A$1:$BZ$1001,851,A$2)&amp;""),""))</f>
        <v/>
      </c>
      <c r="B852">
        <f>IF(B$2=0,"",IFERROR(TRIM(INDEX('Pegar docentes'!$A$1:$BZ$1001,851,B$2)&amp;""),""))</f>
        <v/>
      </c>
      <c r="C852">
        <f>IF(C$2=0,"",IFERROR(TRIM(INDEX('Pegar docentes'!$A$1:$BZ$1001,851,C$2)&amp;""),""))</f>
        <v/>
      </c>
      <c r="D852">
        <f>IF(D$2=0,"",IFERROR(TRIM(INDEX('Pegar docentes'!$A$1:$BZ$1001,851,D$2)&amp;""),""))</f>
        <v/>
      </c>
      <c r="E852">
        <f>IF(E$2=0,"",IFERROR(TRIM(INDEX('Pegar docentes'!$A$1:$BZ$1001,851,E$2)&amp;""),""))</f>
        <v/>
      </c>
      <c r="F852">
        <f>IF(F$2=0,"",IFERROR(TRIM(INDEX('Pegar docentes'!$A$1:$BZ$1001,851,F$2)&amp;""),""))</f>
        <v/>
      </c>
      <c r="G852">
        <f>IF(G$2=0,"",IFERROR(TRIM(INDEX('Pegar docentes'!$A$1:$BZ$1001,851,G$2)&amp;""),""))</f>
        <v/>
      </c>
      <c r="H852">
        <f>IF(H$2=0,"",IFERROR(TRIM(INDEX('Pegar docentes'!$A$1:$BZ$1001,851,H$2)&amp;""),""))</f>
        <v/>
      </c>
      <c r="I852">
        <f>IF(I$2=0,"",IFERROR(TRIM(INDEX('Pegar docentes'!$A$1:$BZ$1001,851,I$2)&amp;""),""))</f>
        <v/>
      </c>
      <c r="J852">
        <f>IF(J$2=0,"",IFERROR(TRIM(INDEX('Pegar docentes'!$A$1:$BZ$1001,851,J$2)&amp;""),""))</f>
        <v/>
      </c>
      <c r="K852">
        <f>IF(K$2=0,"",IFERROR(TRIM(INDEX('Pegar docentes'!$A$1:$BZ$1001,851,K$2)&amp;""),""))</f>
        <v/>
      </c>
      <c r="L852">
        <f>IF(L$2=0,"",IFERROR(TRIM(INDEX('Pegar docentes'!$A$1:$BZ$1001,851,L$2)&amp;""),""))</f>
        <v/>
      </c>
      <c r="M852">
        <f>IF(M$2=0,"",IFERROR(TRIM(INDEX('Pegar docentes'!$A$1:$BZ$1001,851,M$2)&amp;""),""))</f>
        <v/>
      </c>
      <c r="N852">
        <f>IF(N$2=0,"",IFERROR(TRIM(INDEX('Pegar docentes'!$A$1:$BZ$1001,851,N$2)&amp;""),""))</f>
        <v/>
      </c>
      <c r="O852">
        <f>IF(O$2=0,"",IFERROR(TRIM(INDEX('Pegar docentes'!$A$1:$BZ$1001,851,O$2)&amp;""),""))</f>
        <v/>
      </c>
      <c r="P852">
        <f>IF(P$2=0,"",IFERROR(TRIM(INDEX('Pegar docentes'!$A$1:$BZ$1001,851,P$2)&amp;""),""))</f>
        <v/>
      </c>
      <c r="Q852" s="25">
        <f>IF(OR(D852&lt;&gt;"",H852&lt;&gt;""),1,"")</f>
        <v/>
      </c>
      <c r="R852" s="25">
        <f>IF(Q852=1,IF(ISNUMBER(FIND("#"&amp;MID(D852,1,1)&amp;"#","#0#1#2#3#4#5#6#7#8#9#")),IF(ISNUMBER(FIND("#"&amp;MID(D852,2,1)&amp;"#","#0#1#2#3#4#5#6#7#8#9#")),IF(AND(VALUE(LEFT(D852,2))&gt;=1,VALUE(LEFT(D852,2))&lt;=5),VALUE(LEFT(D852,2)),""),IF(AND(VALUE(LEFT(D852,1))&gt;=1,VALUE(LEFT(D852,1))&lt;=5),VALUE(LEFT(D852,1)),"")),""),"")</f>
        <v/>
      </c>
      <c r="S852" s="25">
        <f>IF(AND(Q852=1,E852&lt;&gt;""),SUBSTITUTE(SUBSTITUTE(SUBSTITUTE(SUBSTITUTE(SUBSTITUTE(SUBSTITUTE(SUBSTITUTE(SUBSTITUTE(SUBSTITUTE(SUBSTITUTE(SUBSTITUTE(SUBSTITUTE(LOWER(TRIM(E852)),"á","a"),"é","e"),"í","i"),"ó","o"),"ú","u"),"ü","u"),"ñ","n"),"à","a"),"è","e"),"ì","i"),"ò","o"),"ù","u"),"")</f>
        <v/>
      </c>
      <c r="T852" s="25">
        <f>IF(AND(Q852=1,G852&lt;&gt;""),SUBSTITUTE(SUBSTITUTE(SUBSTITUTE(SUBSTITUTE(SUBSTITUTE(SUBSTITUTE(SUBSTITUTE(SUBSTITUTE(SUBSTITUTE(SUBSTITUTE(SUBSTITUTE(SUBSTITUTE(LOWER(TRIM(G852)),"á","a"),"é","e"),"í","i"),"ó","o"),"ú","u"),"ü","u"),"ñ","n"),"à","a"),"è","e"),"ì","i"),"ò","o"),"ù","u"),"")</f>
        <v/>
      </c>
      <c r="U852" s="25">
        <f>IF(AND(Q852=1,H852&lt;&gt;""),SUBSTITUTE(SUBSTITUTE(SUBSTITUTE(SUBSTITUTE(SUBSTITUTE(SUBSTITUTE(SUBSTITUTE(SUBSTITUTE(SUBSTITUTE(SUBSTITUTE(SUBSTITUTE(SUBSTITUTE(LOWER(TRIM(H852)),"á","a"),"é","e"),"í","i"),"ó","o"),"ú","u"),"ü","u"),"ñ","n"),"à","a"),"è","e"),"ì","i"),"ò","o"),"ù","u"),"")</f>
        <v/>
      </c>
      <c r="V852" s="25">
        <f>IF(AND(Q852=1,L852&lt;&gt;""),SUBSTITUTE(SUBSTITUTE(SUBSTITUTE(SUBSTITUTE(SUBSTITUTE(SUBSTITUTE(SUBSTITUTE(SUBSTITUTE(SUBSTITUTE(SUBSTITUTE(SUBSTITUTE(SUBSTITUTE(LOWER(TRIM(L852)),"á","a"),"é","e"),"í","i"),"ó","o"),"ú","u"),"ü","u"),"ñ","n"),"à","a"),"è","e"),"ì","i"),"ò","o"),"ù","u"),"")</f>
        <v/>
      </c>
      <c r="W852" s="25">
        <f>IF(AND(Q852=1,I852&lt;&gt;""),SUBSTITUTE(SUBSTITUTE(SUBSTITUTE(SUBSTITUTE(SUBSTITUTE(SUBSTITUTE(SUBSTITUTE(SUBSTITUTE(SUBSTITUTE(SUBSTITUTE(SUBSTITUTE(SUBSTITUTE(LOWER(TRIM(I852)),"á","a"),"é","e"),"í","i"),"ó","o"),"ú","u"),"ü","u"),"ñ","n"),"à","a"),"è","e"),"ì","i"),"ò","o"),"ù","u"),"")</f>
        <v/>
      </c>
      <c r="X852" s="25">
        <f>IF(U852="","",IF(OR(U852="si, en la proxima tarea",U852="si, con cambios"),1,0))</f>
        <v/>
      </c>
      <c r="Y852" s="25">
        <f>IF(AND(Q852=1,A852&lt;&gt;""),IF(IFERROR(COUNTIFS(A$3:A852,"="&amp;SUBSTITUTE(SUBSTITUTE(SUBSTITUTE(A852,"~","~~"),"*","~*"),"?","~?"),Q$3:Q852,1),0)=1,MAX(Y$2:Y851)+1,""),"")</f>
        <v/>
      </c>
      <c r="Z852" s="25">
        <f>IF(Y852="","",COUNTIFS($A$3:$A$1002,"="&amp;SUBSTITUTE(SUBSTITUTE(SUBSTITUTE(A852,"~","~~"),"*","~*"),"?","~?"),$Q$3:$Q$1002,1)*10000-Y852)</f>
        <v/>
      </c>
    </row>
    <row r="853">
      <c r="A853">
        <f>IF(A$2=0,"",IFERROR(TRIM(INDEX('Pegar docentes'!$A$1:$BZ$1001,852,A$2)&amp;""),""))</f>
        <v/>
      </c>
      <c r="B853">
        <f>IF(B$2=0,"",IFERROR(TRIM(INDEX('Pegar docentes'!$A$1:$BZ$1001,852,B$2)&amp;""),""))</f>
        <v/>
      </c>
      <c r="C853">
        <f>IF(C$2=0,"",IFERROR(TRIM(INDEX('Pegar docentes'!$A$1:$BZ$1001,852,C$2)&amp;""),""))</f>
        <v/>
      </c>
      <c r="D853">
        <f>IF(D$2=0,"",IFERROR(TRIM(INDEX('Pegar docentes'!$A$1:$BZ$1001,852,D$2)&amp;""),""))</f>
        <v/>
      </c>
      <c r="E853">
        <f>IF(E$2=0,"",IFERROR(TRIM(INDEX('Pegar docentes'!$A$1:$BZ$1001,852,E$2)&amp;""),""))</f>
        <v/>
      </c>
      <c r="F853">
        <f>IF(F$2=0,"",IFERROR(TRIM(INDEX('Pegar docentes'!$A$1:$BZ$1001,852,F$2)&amp;""),""))</f>
        <v/>
      </c>
      <c r="G853">
        <f>IF(G$2=0,"",IFERROR(TRIM(INDEX('Pegar docentes'!$A$1:$BZ$1001,852,G$2)&amp;""),""))</f>
        <v/>
      </c>
      <c r="H853">
        <f>IF(H$2=0,"",IFERROR(TRIM(INDEX('Pegar docentes'!$A$1:$BZ$1001,852,H$2)&amp;""),""))</f>
        <v/>
      </c>
      <c r="I853">
        <f>IF(I$2=0,"",IFERROR(TRIM(INDEX('Pegar docentes'!$A$1:$BZ$1001,852,I$2)&amp;""),""))</f>
        <v/>
      </c>
      <c r="J853">
        <f>IF(J$2=0,"",IFERROR(TRIM(INDEX('Pegar docentes'!$A$1:$BZ$1001,852,J$2)&amp;""),""))</f>
        <v/>
      </c>
      <c r="K853">
        <f>IF(K$2=0,"",IFERROR(TRIM(INDEX('Pegar docentes'!$A$1:$BZ$1001,852,K$2)&amp;""),""))</f>
        <v/>
      </c>
      <c r="L853">
        <f>IF(L$2=0,"",IFERROR(TRIM(INDEX('Pegar docentes'!$A$1:$BZ$1001,852,L$2)&amp;""),""))</f>
        <v/>
      </c>
      <c r="M853">
        <f>IF(M$2=0,"",IFERROR(TRIM(INDEX('Pegar docentes'!$A$1:$BZ$1001,852,M$2)&amp;""),""))</f>
        <v/>
      </c>
      <c r="N853">
        <f>IF(N$2=0,"",IFERROR(TRIM(INDEX('Pegar docentes'!$A$1:$BZ$1001,852,N$2)&amp;""),""))</f>
        <v/>
      </c>
      <c r="O853">
        <f>IF(O$2=0,"",IFERROR(TRIM(INDEX('Pegar docentes'!$A$1:$BZ$1001,852,O$2)&amp;""),""))</f>
        <v/>
      </c>
      <c r="P853">
        <f>IF(P$2=0,"",IFERROR(TRIM(INDEX('Pegar docentes'!$A$1:$BZ$1001,852,P$2)&amp;""),""))</f>
        <v/>
      </c>
      <c r="Q853" s="25">
        <f>IF(OR(D853&lt;&gt;"",H853&lt;&gt;""),1,"")</f>
        <v/>
      </c>
      <c r="R853" s="25">
        <f>IF(Q853=1,IF(ISNUMBER(FIND("#"&amp;MID(D853,1,1)&amp;"#","#0#1#2#3#4#5#6#7#8#9#")),IF(ISNUMBER(FIND("#"&amp;MID(D853,2,1)&amp;"#","#0#1#2#3#4#5#6#7#8#9#")),IF(AND(VALUE(LEFT(D853,2))&gt;=1,VALUE(LEFT(D853,2))&lt;=5),VALUE(LEFT(D853,2)),""),IF(AND(VALUE(LEFT(D853,1))&gt;=1,VALUE(LEFT(D853,1))&lt;=5),VALUE(LEFT(D853,1)),"")),""),"")</f>
        <v/>
      </c>
      <c r="S853" s="25">
        <f>IF(AND(Q853=1,E853&lt;&gt;""),SUBSTITUTE(SUBSTITUTE(SUBSTITUTE(SUBSTITUTE(SUBSTITUTE(SUBSTITUTE(SUBSTITUTE(SUBSTITUTE(SUBSTITUTE(SUBSTITUTE(SUBSTITUTE(SUBSTITUTE(LOWER(TRIM(E853)),"á","a"),"é","e"),"í","i"),"ó","o"),"ú","u"),"ü","u"),"ñ","n"),"à","a"),"è","e"),"ì","i"),"ò","o"),"ù","u"),"")</f>
        <v/>
      </c>
      <c r="T853" s="25">
        <f>IF(AND(Q853=1,G853&lt;&gt;""),SUBSTITUTE(SUBSTITUTE(SUBSTITUTE(SUBSTITUTE(SUBSTITUTE(SUBSTITUTE(SUBSTITUTE(SUBSTITUTE(SUBSTITUTE(SUBSTITUTE(SUBSTITUTE(SUBSTITUTE(LOWER(TRIM(G853)),"á","a"),"é","e"),"í","i"),"ó","o"),"ú","u"),"ü","u"),"ñ","n"),"à","a"),"è","e"),"ì","i"),"ò","o"),"ù","u"),"")</f>
        <v/>
      </c>
      <c r="U853" s="25">
        <f>IF(AND(Q853=1,H853&lt;&gt;""),SUBSTITUTE(SUBSTITUTE(SUBSTITUTE(SUBSTITUTE(SUBSTITUTE(SUBSTITUTE(SUBSTITUTE(SUBSTITUTE(SUBSTITUTE(SUBSTITUTE(SUBSTITUTE(SUBSTITUTE(LOWER(TRIM(H853)),"á","a"),"é","e"),"í","i"),"ó","o"),"ú","u"),"ü","u"),"ñ","n"),"à","a"),"è","e"),"ì","i"),"ò","o"),"ù","u"),"")</f>
        <v/>
      </c>
      <c r="V853" s="25">
        <f>IF(AND(Q853=1,L853&lt;&gt;""),SUBSTITUTE(SUBSTITUTE(SUBSTITUTE(SUBSTITUTE(SUBSTITUTE(SUBSTITUTE(SUBSTITUTE(SUBSTITUTE(SUBSTITUTE(SUBSTITUTE(SUBSTITUTE(SUBSTITUTE(LOWER(TRIM(L853)),"á","a"),"é","e"),"í","i"),"ó","o"),"ú","u"),"ü","u"),"ñ","n"),"à","a"),"è","e"),"ì","i"),"ò","o"),"ù","u"),"")</f>
        <v/>
      </c>
      <c r="W853" s="25">
        <f>IF(AND(Q853=1,I853&lt;&gt;""),SUBSTITUTE(SUBSTITUTE(SUBSTITUTE(SUBSTITUTE(SUBSTITUTE(SUBSTITUTE(SUBSTITUTE(SUBSTITUTE(SUBSTITUTE(SUBSTITUTE(SUBSTITUTE(SUBSTITUTE(LOWER(TRIM(I853)),"á","a"),"é","e"),"í","i"),"ó","o"),"ú","u"),"ü","u"),"ñ","n"),"à","a"),"è","e"),"ì","i"),"ò","o"),"ù","u"),"")</f>
        <v/>
      </c>
      <c r="X853" s="25">
        <f>IF(U853="","",IF(OR(U853="si, en la proxima tarea",U853="si, con cambios"),1,0))</f>
        <v/>
      </c>
      <c r="Y853" s="25">
        <f>IF(AND(Q853=1,A853&lt;&gt;""),IF(IFERROR(COUNTIFS(A$3:A853,"="&amp;SUBSTITUTE(SUBSTITUTE(SUBSTITUTE(A853,"~","~~"),"*","~*"),"?","~?"),Q$3:Q853,1),0)=1,MAX(Y$2:Y852)+1,""),"")</f>
        <v/>
      </c>
      <c r="Z853" s="25">
        <f>IF(Y853="","",COUNTIFS($A$3:$A$1002,"="&amp;SUBSTITUTE(SUBSTITUTE(SUBSTITUTE(A853,"~","~~"),"*","~*"),"?","~?"),$Q$3:$Q$1002,1)*10000-Y853)</f>
        <v/>
      </c>
    </row>
    <row r="854">
      <c r="A854">
        <f>IF(A$2=0,"",IFERROR(TRIM(INDEX('Pegar docentes'!$A$1:$BZ$1001,853,A$2)&amp;""),""))</f>
        <v/>
      </c>
      <c r="B854">
        <f>IF(B$2=0,"",IFERROR(TRIM(INDEX('Pegar docentes'!$A$1:$BZ$1001,853,B$2)&amp;""),""))</f>
        <v/>
      </c>
      <c r="C854">
        <f>IF(C$2=0,"",IFERROR(TRIM(INDEX('Pegar docentes'!$A$1:$BZ$1001,853,C$2)&amp;""),""))</f>
        <v/>
      </c>
      <c r="D854">
        <f>IF(D$2=0,"",IFERROR(TRIM(INDEX('Pegar docentes'!$A$1:$BZ$1001,853,D$2)&amp;""),""))</f>
        <v/>
      </c>
      <c r="E854">
        <f>IF(E$2=0,"",IFERROR(TRIM(INDEX('Pegar docentes'!$A$1:$BZ$1001,853,E$2)&amp;""),""))</f>
        <v/>
      </c>
      <c r="F854">
        <f>IF(F$2=0,"",IFERROR(TRIM(INDEX('Pegar docentes'!$A$1:$BZ$1001,853,F$2)&amp;""),""))</f>
        <v/>
      </c>
      <c r="G854">
        <f>IF(G$2=0,"",IFERROR(TRIM(INDEX('Pegar docentes'!$A$1:$BZ$1001,853,G$2)&amp;""),""))</f>
        <v/>
      </c>
      <c r="H854">
        <f>IF(H$2=0,"",IFERROR(TRIM(INDEX('Pegar docentes'!$A$1:$BZ$1001,853,H$2)&amp;""),""))</f>
        <v/>
      </c>
      <c r="I854">
        <f>IF(I$2=0,"",IFERROR(TRIM(INDEX('Pegar docentes'!$A$1:$BZ$1001,853,I$2)&amp;""),""))</f>
        <v/>
      </c>
      <c r="J854">
        <f>IF(J$2=0,"",IFERROR(TRIM(INDEX('Pegar docentes'!$A$1:$BZ$1001,853,J$2)&amp;""),""))</f>
        <v/>
      </c>
      <c r="K854">
        <f>IF(K$2=0,"",IFERROR(TRIM(INDEX('Pegar docentes'!$A$1:$BZ$1001,853,K$2)&amp;""),""))</f>
        <v/>
      </c>
      <c r="L854">
        <f>IF(L$2=0,"",IFERROR(TRIM(INDEX('Pegar docentes'!$A$1:$BZ$1001,853,L$2)&amp;""),""))</f>
        <v/>
      </c>
      <c r="M854">
        <f>IF(M$2=0,"",IFERROR(TRIM(INDEX('Pegar docentes'!$A$1:$BZ$1001,853,M$2)&amp;""),""))</f>
        <v/>
      </c>
      <c r="N854">
        <f>IF(N$2=0,"",IFERROR(TRIM(INDEX('Pegar docentes'!$A$1:$BZ$1001,853,N$2)&amp;""),""))</f>
        <v/>
      </c>
      <c r="O854">
        <f>IF(O$2=0,"",IFERROR(TRIM(INDEX('Pegar docentes'!$A$1:$BZ$1001,853,O$2)&amp;""),""))</f>
        <v/>
      </c>
      <c r="P854">
        <f>IF(P$2=0,"",IFERROR(TRIM(INDEX('Pegar docentes'!$A$1:$BZ$1001,853,P$2)&amp;""),""))</f>
        <v/>
      </c>
      <c r="Q854" s="25">
        <f>IF(OR(D854&lt;&gt;"",H854&lt;&gt;""),1,"")</f>
        <v/>
      </c>
      <c r="R854" s="25">
        <f>IF(Q854=1,IF(ISNUMBER(FIND("#"&amp;MID(D854,1,1)&amp;"#","#0#1#2#3#4#5#6#7#8#9#")),IF(ISNUMBER(FIND("#"&amp;MID(D854,2,1)&amp;"#","#0#1#2#3#4#5#6#7#8#9#")),IF(AND(VALUE(LEFT(D854,2))&gt;=1,VALUE(LEFT(D854,2))&lt;=5),VALUE(LEFT(D854,2)),""),IF(AND(VALUE(LEFT(D854,1))&gt;=1,VALUE(LEFT(D854,1))&lt;=5),VALUE(LEFT(D854,1)),"")),""),"")</f>
        <v/>
      </c>
      <c r="S854" s="25">
        <f>IF(AND(Q854=1,E854&lt;&gt;""),SUBSTITUTE(SUBSTITUTE(SUBSTITUTE(SUBSTITUTE(SUBSTITUTE(SUBSTITUTE(SUBSTITUTE(SUBSTITUTE(SUBSTITUTE(SUBSTITUTE(SUBSTITUTE(SUBSTITUTE(LOWER(TRIM(E854)),"á","a"),"é","e"),"í","i"),"ó","o"),"ú","u"),"ü","u"),"ñ","n"),"à","a"),"è","e"),"ì","i"),"ò","o"),"ù","u"),"")</f>
        <v/>
      </c>
      <c r="T854" s="25">
        <f>IF(AND(Q854=1,G854&lt;&gt;""),SUBSTITUTE(SUBSTITUTE(SUBSTITUTE(SUBSTITUTE(SUBSTITUTE(SUBSTITUTE(SUBSTITUTE(SUBSTITUTE(SUBSTITUTE(SUBSTITUTE(SUBSTITUTE(SUBSTITUTE(LOWER(TRIM(G854)),"á","a"),"é","e"),"í","i"),"ó","o"),"ú","u"),"ü","u"),"ñ","n"),"à","a"),"è","e"),"ì","i"),"ò","o"),"ù","u"),"")</f>
        <v/>
      </c>
      <c r="U854" s="25">
        <f>IF(AND(Q854=1,H854&lt;&gt;""),SUBSTITUTE(SUBSTITUTE(SUBSTITUTE(SUBSTITUTE(SUBSTITUTE(SUBSTITUTE(SUBSTITUTE(SUBSTITUTE(SUBSTITUTE(SUBSTITUTE(SUBSTITUTE(SUBSTITUTE(LOWER(TRIM(H854)),"á","a"),"é","e"),"í","i"),"ó","o"),"ú","u"),"ü","u"),"ñ","n"),"à","a"),"è","e"),"ì","i"),"ò","o"),"ù","u"),"")</f>
        <v/>
      </c>
      <c r="V854" s="25">
        <f>IF(AND(Q854=1,L854&lt;&gt;""),SUBSTITUTE(SUBSTITUTE(SUBSTITUTE(SUBSTITUTE(SUBSTITUTE(SUBSTITUTE(SUBSTITUTE(SUBSTITUTE(SUBSTITUTE(SUBSTITUTE(SUBSTITUTE(SUBSTITUTE(LOWER(TRIM(L854)),"á","a"),"é","e"),"í","i"),"ó","o"),"ú","u"),"ü","u"),"ñ","n"),"à","a"),"è","e"),"ì","i"),"ò","o"),"ù","u"),"")</f>
        <v/>
      </c>
      <c r="W854" s="25">
        <f>IF(AND(Q854=1,I854&lt;&gt;""),SUBSTITUTE(SUBSTITUTE(SUBSTITUTE(SUBSTITUTE(SUBSTITUTE(SUBSTITUTE(SUBSTITUTE(SUBSTITUTE(SUBSTITUTE(SUBSTITUTE(SUBSTITUTE(SUBSTITUTE(LOWER(TRIM(I854)),"á","a"),"é","e"),"í","i"),"ó","o"),"ú","u"),"ü","u"),"ñ","n"),"à","a"),"è","e"),"ì","i"),"ò","o"),"ù","u"),"")</f>
        <v/>
      </c>
      <c r="X854" s="25">
        <f>IF(U854="","",IF(OR(U854="si, en la proxima tarea",U854="si, con cambios"),1,0))</f>
        <v/>
      </c>
      <c r="Y854" s="25">
        <f>IF(AND(Q854=1,A854&lt;&gt;""),IF(IFERROR(COUNTIFS(A$3:A854,"="&amp;SUBSTITUTE(SUBSTITUTE(SUBSTITUTE(A854,"~","~~"),"*","~*"),"?","~?"),Q$3:Q854,1),0)=1,MAX(Y$2:Y853)+1,""),"")</f>
        <v/>
      </c>
      <c r="Z854" s="25">
        <f>IF(Y854="","",COUNTIFS($A$3:$A$1002,"="&amp;SUBSTITUTE(SUBSTITUTE(SUBSTITUTE(A854,"~","~~"),"*","~*"),"?","~?"),$Q$3:$Q$1002,1)*10000-Y854)</f>
        <v/>
      </c>
    </row>
    <row r="855">
      <c r="A855">
        <f>IF(A$2=0,"",IFERROR(TRIM(INDEX('Pegar docentes'!$A$1:$BZ$1001,854,A$2)&amp;""),""))</f>
        <v/>
      </c>
      <c r="B855">
        <f>IF(B$2=0,"",IFERROR(TRIM(INDEX('Pegar docentes'!$A$1:$BZ$1001,854,B$2)&amp;""),""))</f>
        <v/>
      </c>
      <c r="C855">
        <f>IF(C$2=0,"",IFERROR(TRIM(INDEX('Pegar docentes'!$A$1:$BZ$1001,854,C$2)&amp;""),""))</f>
        <v/>
      </c>
      <c r="D855">
        <f>IF(D$2=0,"",IFERROR(TRIM(INDEX('Pegar docentes'!$A$1:$BZ$1001,854,D$2)&amp;""),""))</f>
        <v/>
      </c>
      <c r="E855">
        <f>IF(E$2=0,"",IFERROR(TRIM(INDEX('Pegar docentes'!$A$1:$BZ$1001,854,E$2)&amp;""),""))</f>
        <v/>
      </c>
      <c r="F855">
        <f>IF(F$2=0,"",IFERROR(TRIM(INDEX('Pegar docentes'!$A$1:$BZ$1001,854,F$2)&amp;""),""))</f>
        <v/>
      </c>
      <c r="G855">
        <f>IF(G$2=0,"",IFERROR(TRIM(INDEX('Pegar docentes'!$A$1:$BZ$1001,854,G$2)&amp;""),""))</f>
        <v/>
      </c>
      <c r="H855">
        <f>IF(H$2=0,"",IFERROR(TRIM(INDEX('Pegar docentes'!$A$1:$BZ$1001,854,H$2)&amp;""),""))</f>
        <v/>
      </c>
      <c r="I855">
        <f>IF(I$2=0,"",IFERROR(TRIM(INDEX('Pegar docentes'!$A$1:$BZ$1001,854,I$2)&amp;""),""))</f>
        <v/>
      </c>
      <c r="J855">
        <f>IF(J$2=0,"",IFERROR(TRIM(INDEX('Pegar docentes'!$A$1:$BZ$1001,854,J$2)&amp;""),""))</f>
        <v/>
      </c>
      <c r="K855">
        <f>IF(K$2=0,"",IFERROR(TRIM(INDEX('Pegar docentes'!$A$1:$BZ$1001,854,K$2)&amp;""),""))</f>
        <v/>
      </c>
      <c r="L855">
        <f>IF(L$2=0,"",IFERROR(TRIM(INDEX('Pegar docentes'!$A$1:$BZ$1001,854,L$2)&amp;""),""))</f>
        <v/>
      </c>
      <c r="M855">
        <f>IF(M$2=0,"",IFERROR(TRIM(INDEX('Pegar docentes'!$A$1:$BZ$1001,854,M$2)&amp;""),""))</f>
        <v/>
      </c>
      <c r="N855">
        <f>IF(N$2=0,"",IFERROR(TRIM(INDEX('Pegar docentes'!$A$1:$BZ$1001,854,N$2)&amp;""),""))</f>
        <v/>
      </c>
      <c r="O855">
        <f>IF(O$2=0,"",IFERROR(TRIM(INDEX('Pegar docentes'!$A$1:$BZ$1001,854,O$2)&amp;""),""))</f>
        <v/>
      </c>
      <c r="P855">
        <f>IF(P$2=0,"",IFERROR(TRIM(INDEX('Pegar docentes'!$A$1:$BZ$1001,854,P$2)&amp;""),""))</f>
        <v/>
      </c>
      <c r="Q855" s="25">
        <f>IF(OR(D855&lt;&gt;"",H855&lt;&gt;""),1,"")</f>
        <v/>
      </c>
      <c r="R855" s="25">
        <f>IF(Q855=1,IF(ISNUMBER(FIND("#"&amp;MID(D855,1,1)&amp;"#","#0#1#2#3#4#5#6#7#8#9#")),IF(ISNUMBER(FIND("#"&amp;MID(D855,2,1)&amp;"#","#0#1#2#3#4#5#6#7#8#9#")),IF(AND(VALUE(LEFT(D855,2))&gt;=1,VALUE(LEFT(D855,2))&lt;=5),VALUE(LEFT(D855,2)),""),IF(AND(VALUE(LEFT(D855,1))&gt;=1,VALUE(LEFT(D855,1))&lt;=5),VALUE(LEFT(D855,1)),"")),""),"")</f>
        <v/>
      </c>
      <c r="S855" s="25">
        <f>IF(AND(Q855=1,E855&lt;&gt;""),SUBSTITUTE(SUBSTITUTE(SUBSTITUTE(SUBSTITUTE(SUBSTITUTE(SUBSTITUTE(SUBSTITUTE(SUBSTITUTE(SUBSTITUTE(SUBSTITUTE(SUBSTITUTE(SUBSTITUTE(LOWER(TRIM(E855)),"á","a"),"é","e"),"í","i"),"ó","o"),"ú","u"),"ü","u"),"ñ","n"),"à","a"),"è","e"),"ì","i"),"ò","o"),"ù","u"),"")</f>
        <v/>
      </c>
      <c r="T855" s="25">
        <f>IF(AND(Q855=1,G855&lt;&gt;""),SUBSTITUTE(SUBSTITUTE(SUBSTITUTE(SUBSTITUTE(SUBSTITUTE(SUBSTITUTE(SUBSTITUTE(SUBSTITUTE(SUBSTITUTE(SUBSTITUTE(SUBSTITUTE(SUBSTITUTE(LOWER(TRIM(G855)),"á","a"),"é","e"),"í","i"),"ó","o"),"ú","u"),"ü","u"),"ñ","n"),"à","a"),"è","e"),"ì","i"),"ò","o"),"ù","u"),"")</f>
        <v/>
      </c>
      <c r="U855" s="25">
        <f>IF(AND(Q855=1,H855&lt;&gt;""),SUBSTITUTE(SUBSTITUTE(SUBSTITUTE(SUBSTITUTE(SUBSTITUTE(SUBSTITUTE(SUBSTITUTE(SUBSTITUTE(SUBSTITUTE(SUBSTITUTE(SUBSTITUTE(SUBSTITUTE(LOWER(TRIM(H855)),"á","a"),"é","e"),"í","i"),"ó","o"),"ú","u"),"ü","u"),"ñ","n"),"à","a"),"è","e"),"ì","i"),"ò","o"),"ù","u"),"")</f>
        <v/>
      </c>
      <c r="V855" s="25">
        <f>IF(AND(Q855=1,L855&lt;&gt;""),SUBSTITUTE(SUBSTITUTE(SUBSTITUTE(SUBSTITUTE(SUBSTITUTE(SUBSTITUTE(SUBSTITUTE(SUBSTITUTE(SUBSTITUTE(SUBSTITUTE(SUBSTITUTE(SUBSTITUTE(LOWER(TRIM(L855)),"á","a"),"é","e"),"í","i"),"ó","o"),"ú","u"),"ü","u"),"ñ","n"),"à","a"),"è","e"),"ì","i"),"ò","o"),"ù","u"),"")</f>
        <v/>
      </c>
      <c r="W855" s="25">
        <f>IF(AND(Q855=1,I855&lt;&gt;""),SUBSTITUTE(SUBSTITUTE(SUBSTITUTE(SUBSTITUTE(SUBSTITUTE(SUBSTITUTE(SUBSTITUTE(SUBSTITUTE(SUBSTITUTE(SUBSTITUTE(SUBSTITUTE(SUBSTITUTE(LOWER(TRIM(I855)),"á","a"),"é","e"),"í","i"),"ó","o"),"ú","u"),"ü","u"),"ñ","n"),"à","a"),"è","e"),"ì","i"),"ò","o"),"ù","u"),"")</f>
        <v/>
      </c>
      <c r="X855" s="25">
        <f>IF(U855="","",IF(OR(U855="si, en la proxima tarea",U855="si, con cambios"),1,0))</f>
        <v/>
      </c>
      <c r="Y855" s="25">
        <f>IF(AND(Q855=1,A855&lt;&gt;""),IF(IFERROR(COUNTIFS(A$3:A855,"="&amp;SUBSTITUTE(SUBSTITUTE(SUBSTITUTE(A855,"~","~~"),"*","~*"),"?","~?"),Q$3:Q855,1),0)=1,MAX(Y$2:Y854)+1,""),"")</f>
        <v/>
      </c>
      <c r="Z855" s="25">
        <f>IF(Y855="","",COUNTIFS($A$3:$A$1002,"="&amp;SUBSTITUTE(SUBSTITUTE(SUBSTITUTE(A855,"~","~~"),"*","~*"),"?","~?"),$Q$3:$Q$1002,1)*10000-Y855)</f>
        <v/>
      </c>
    </row>
    <row r="856">
      <c r="A856">
        <f>IF(A$2=0,"",IFERROR(TRIM(INDEX('Pegar docentes'!$A$1:$BZ$1001,855,A$2)&amp;""),""))</f>
        <v/>
      </c>
      <c r="B856">
        <f>IF(B$2=0,"",IFERROR(TRIM(INDEX('Pegar docentes'!$A$1:$BZ$1001,855,B$2)&amp;""),""))</f>
        <v/>
      </c>
      <c r="C856">
        <f>IF(C$2=0,"",IFERROR(TRIM(INDEX('Pegar docentes'!$A$1:$BZ$1001,855,C$2)&amp;""),""))</f>
        <v/>
      </c>
      <c r="D856">
        <f>IF(D$2=0,"",IFERROR(TRIM(INDEX('Pegar docentes'!$A$1:$BZ$1001,855,D$2)&amp;""),""))</f>
        <v/>
      </c>
      <c r="E856">
        <f>IF(E$2=0,"",IFERROR(TRIM(INDEX('Pegar docentes'!$A$1:$BZ$1001,855,E$2)&amp;""),""))</f>
        <v/>
      </c>
      <c r="F856">
        <f>IF(F$2=0,"",IFERROR(TRIM(INDEX('Pegar docentes'!$A$1:$BZ$1001,855,F$2)&amp;""),""))</f>
        <v/>
      </c>
      <c r="G856">
        <f>IF(G$2=0,"",IFERROR(TRIM(INDEX('Pegar docentes'!$A$1:$BZ$1001,855,G$2)&amp;""),""))</f>
        <v/>
      </c>
      <c r="H856">
        <f>IF(H$2=0,"",IFERROR(TRIM(INDEX('Pegar docentes'!$A$1:$BZ$1001,855,H$2)&amp;""),""))</f>
        <v/>
      </c>
      <c r="I856">
        <f>IF(I$2=0,"",IFERROR(TRIM(INDEX('Pegar docentes'!$A$1:$BZ$1001,855,I$2)&amp;""),""))</f>
        <v/>
      </c>
      <c r="J856">
        <f>IF(J$2=0,"",IFERROR(TRIM(INDEX('Pegar docentes'!$A$1:$BZ$1001,855,J$2)&amp;""),""))</f>
        <v/>
      </c>
      <c r="K856">
        <f>IF(K$2=0,"",IFERROR(TRIM(INDEX('Pegar docentes'!$A$1:$BZ$1001,855,K$2)&amp;""),""))</f>
        <v/>
      </c>
      <c r="L856">
        <f>IF(L$2=0,"",IFERROR(TRIM(INDEX('Pegar docentes'!$A$1:$BZ$1001,855,L$2)&amp;""),""))</f>
        <v/>
      </c>
      <c r="M856">
        <f>IF(M$2=0,"",IFERROR(TRIM(INDEX('Pegar docentes'!$A$1:$BZ$1001,855,M$2)&amp;""),""))</f>
        <v/>
      </c>
      <c r="N856">
        <f>IF(N$2=0,"",IFERROR(TRIM(INDEX('Pegar docentes'!$A$1:$BZ$1001,855,N$2)&amp;""),""))</f>
        <v/>
      </c>
      <c r="O856">
        <f>IF(O$2=0,"",IFERROR(TRIM(INDEX('Pegar docentes'!$A$1:$BZ$1001,855,O$2)&amp;""),""))</f>
        <v/>
      </c>
      <c r="P856">
        <f>IF(P$2=0,"",IFERROR(TRIM(INDEX('Pegar docentes'!$A$1:$BZ$1001,855,P$2)&amp;""),""))</f>
        <v/>
      </c>
      <c r="Q856" s="25">
        <f>IF(OR(D856&lt;&gt;"",H856&lt;&gt;""),1,"")</f>
        <v/>
      </c>
      <c r="R856" s="25">
        <f>IF(Q856=1,IF(ISNUMBER(FIND("#"&amp;MID(D856,1,1)&amp;"#","#0#1#2#3#4#5#6#7#8#9#")),IF(ISNUMBER(FIND("#"&amp;MID(D856,2,1)&amp;"#","#0#1#2#3#4#5#6#7#8#9#")),IF(AND(VALUE(LEFT(D856,2))&gt;=1,VALUE(LEFT(D856,2))&lt;=5),VALUE(LEFT(D856,2)),""),IF(AND(VALUE(LEFT(D856,1))&gt;=1,VALUE(LEFT(D856,1))&lt;=5),VALUE(LEFT(D856,1)),"")),""),"")</f>
        <v/>
      </c>
      <c r="S856" s="25">
        <f>IF(AND(Q856=1,E856&lt;&gt;""),SUBSTITUTE(SUBSTITUTE(SUBSTITUTE(SUBSTITUTE(SUBSTITUTE(SUBSTITUTE(SUBSTITUTE(SUBSTITUTE(SUBSTITUTE(SUBSTITUTE(SUBSTITUTE(SUBSTITUTE(LOWER(TRIM(E856)),"á","a"),"é","e"),"í","i"),"ó","o"),"ú","u"),"ü","u"),"ñ","n"),"à","a"),"è","e"),"ì","i"),"ò","o"),"ù","u"),"")</f>
        <v/>
      </c>
      <c r="T856" s="25">
        <f>IF(AND(Q856=1,G856&lt;&gt;""),SUBSTITUTE(SUBSTITUTE(SUBSTITUTE(SUBSTITUTE(SUBSTITUTE(SUBSTITUTE(SUBSTITUTE(SUBSTITUTE(SUBSTITUTE(SUBSTITUTE(SUBSTITUTE(SUBSTITUTE(LOWER(TRIM(G856)),"á","a"),"é","e"),"í","i"),"ó","o"),"ú","u"),"ü","u"),"ñ","n"),"à","a"),"è","e"),"ì","i"),"ò","o"),"ù","u"),"")</f>
        <v/>
      </c>
      <c r="U856" s="25">
        <f>IF(AND(Q856=1,H856&lt;&gt;""),SUBSTITUTE(SUBSTITUTE(SUBSTITUTE(SUBSTITUTE(SUBSTITUTE(SUBSTITUTE(SUBSTITUTE(SUBSTITUTE(SUBSTITUTE(SUBSTITUTE(SUBSTITUTE(SUBSTITUTE(LOWER(TRIM(H856)),"á","a"),"é","e"),"í","i"),"ó","o"),"ú","u"),"ü","u"),"ñ","n"),"à","a"),"è","e"),"ì","i"),"ò","o"),"ù","u"),"")</f>
        <v/>
      </c>
      <c r="V856" s="25">
        <f>IF(AND(Q856=1,L856&lt;&gt;""),SUBSTITUTE(SUBSTITUTE(SUBSTITUTE(SUBSTITUTE(SUBSTITUTE(SUBSTITUTE(SUBSTITUTE(SUBSTITUTE(SUBSTITUTE(SUBSTITUTE(SUBSTITUTE(SUBSTITUTE(LOWER(TRIM(L856)),"á","a"),"é","e"),"í","i"),"ó","o"),"ú","u"),"ü","u"),"ñ","n"),"à","a"),"è","e"),"ì","i"),"ò","o"),"ù","u"),"")</f>
        <v/>
      </c>
      <c r="W856" s="25">
        <f>IF(AND(Q856=1,I856&lt;&gt;""),SUBSTITUTE(SUBSTITUTE(SUBSTITUTE(SUBSTITUTE(SUBSTITUTE(SUBSTITUTE(SUBSTITUTE(SUBSTITUTE(SUBSTITUTE(SUBSTITUTE(SUBSTITUTE(SUBSTITUTE(LOWER(TRIM(I856)),"á","a"),"é","e"),"í","i"),"ó","o"),"ú","u"),"ü","u"),"ñ","n"),"à","a"),"è","e"),"ì","i"),"ò","o"),"ù","u"),"")</f>
        <v/>
      </c>
      <c r="X856" s="25">
        <f>IF(U856="","",IF(OR(U856="si, en la proxima tarea",U856="si, con cambios"),1,0))</f>
        <v/>
      </c>
      <c r="Y856" s="25">
        <f>IF(AND(Q856=1,A856&lt;&gt;""),IF(IFERROR(COUNTIFS(A$3:A856,"="&amp;SUBSTITUTE(SUBSTITUTE(SUBSTITUTE(A856,"~","~~"),"*","~*"),"?","~?"),Q$3:Q856,1),0)=1,MAX(Y$2:Y855)+1,""),"")</f>
        <v/>
      </c>
      <c r="Z856" s="25">
        <f>IF(Y856="","",COUNTIFS($A$3:$A$1002,"="&amp;SUBSTITUTE(SUBSTITUTE(SUBSTITUTE(A856,"~","~~"),"*","~*"),"?","~?"),$Q$3:$Q$1002,1)*10000-Y856)</f>
        <v/>
      </c>
    </row>
    <row r="857">
      <c r="A857">
        <f>IF(A$2=0,"",IFERROR(TRIM(INDEX('Pegar docentes'!$A$1:$BZ$1001,856,A$2)&amp;""),""))</f>
        <v/>
      </c>
      <c r="B857">
        <f>IF(B$2=0,"",IFERROR(TRIM(INDEX('Pegar docentes'!$A$1:$BZ$1001,856,B$2)&amp;""),""))</f>
        <v/>
      </c>
      <c r="C857">
        <f>IF(C$2=0,"",IFERROR(TRIM(INDEX('Pegar docentes'!$A$1:$BZ$1001,856,C$2)&amp;""),""))</f>
        <v/>
      </c>
      <c r="D857">
        <f>IF(D$2=0,"",IFERROR(TRIM(INDEX('Pegar docentes'!$A$1:$BZ$1001,856,D$2)&amp;""),""))</f>
        <v/>
      </c>
      <c r="E857">
        <f>IF(E$2=0,"",IFERROR(TRIM(INDEX('Pegar docentes'!$A$1:$BZ$1001,856,E$2)&amp;""),""))</f>
        <v/>
      </c>
      <c r="F857">
        <f>IF(F$2=0,"",IFERROR(TRIM(INDEX('Pegar docentes'!$A$1:$BZ$1001,856,F$2)&amp;""),""))</f>
        <v/>
      </c>
      <c r="G857">
        <f>IF(G$2=0,"",IFERROR(TRIM(INDEX('Pegar docentes'!$A$1:$BZ$1001,856,G$2)&amp;""),""))</f>
        <v/>
      </c>
      <c r="H857">
        <f>IF(H$2=0,"",IFERROR(TRIM(INDEX('Pegar docentes'!$A$1:$BZ$1001,856,H$2)&amp;""),""))</f>
        <v/>
      </c>
      <c r="I857">
        <f>IF(I$2=0,"",IFERROR(TRIM(INDEX('Pegar docentes'!$A$1:$BZ$1001,856,I$2)&amp;""),""))</f>
        <v/>
      </c>
      <c r="J857">
        <f>IF(J$2=0,"",IFERROR(TRIM(INDEX('Pegar docentes'!$A$1:$BZ$1001,856,J$2)&amp;""),""))</f>
        <v/>
      </c>
      <c r="K857">
        <f>IF(K$2=0,"",IFERROR(TRIM(INDEX('Pegar docentes'!$A$1:$BZ$1001,856,K$2)&amp;""),""))</f>
        <v/>
      </c>
      <c r="L857">
        <f>IF(L$2=0,"",IFERROR(TRIM(INDEX('Pegar docentes'!$A$1:$BZ$1001,856,L$2)&amp;""),""))</f>
        <v/>
      </c>
      <c r="M857">
        <f>IF(M$2=0,"",IFERROR(TRIM(INDEX('Pegar docentes'!$A$1:$BZ$1001,856,M$2)&amp;""),""))</f>
        <v/>
      </c>
      <c r="N857">
        <f>IF(N$2=0,"",IFERROR(TRIM(INDEX('Pegar docentes'!$A$1:$BZ$1001,856,N$2)&amp;""),""))</f>
        <v/>
      </c>
      <c r="O857">
        <f>IF(O$2=0,"",IFERROR(TRIM(INDEX('Pegar docentes'!$A$1:$BZ$1001,856,O$2)&amp;""),""))</f>
        <v/>
      </c>
      <c r="P857">
        <f>IF(P$2=0,"",IFERROR(TRIM(INDEX('Pegar docentes'!$A$1:$BZ$1001,856,P$2)&amp;""),""))</f>
        <v/>
      </c>
      <c r="Q857" s="25">
        <f>IF(OR(D857&lt;&gt;"",H857&lt;&gt;""),1,"")</f>
        <v/>
      </c>
      <c r="R857" s="25">
        <f>IF(Q857=1,IF(ISNUMBER(FIND("#"&amp;MID(D857,1,1)&amp;"#","#0#1#2#3#4#5#6#7#8#9#")),IF(ISNUMBER(FIND("#"&amp;MID(D857,2,1)&amp;"#","#0#1#2#3#4#5#6#7#8#9#")),IF(AND(VALUE(LEFT(D857,2))&gt;=1,VALUE(LEFT(D857,2))&lt;=5),VALUE(LEFT(D857,2)),""),IF(AND(VALUE(LEFT(D857,1))&gt;=1,VALUE(LEFT(D857,1))&lt;=5),VALUE(LEFT(D857,1)),"")),""),"")</f>
        <v/>
      </c>
      <c r="S857" s="25">
        <f>IF(AND(Q857=1,E857&lt;&gt;""),SUBSTITUTE(SUBSTITUTE(SUBSTITUTE(SUBSTITUTE(SUBSTITUTE(SUBSTITUTE(SUBSTITUTE(SUBSTITUTE(SUBSTITUTE(SUBSTITUTE(SUBSTITUTE(SUBSTITUTE(LOWER(TRIM(E857)),"á","a"),"é","e"),"í","i"),"ó","o"),"ú","u"),"ü","u"),"ñ","n"),"à","a"),"è","e"),"ì","i"),"ò","o"),"ù","u"),"")</f>
        <v/>
      </c>
      <c r="T857" s="25">
        <f>IF(AND(Q857=1,G857&lt;&gt;""),SUBSTITUTE(SUBSTITUTE(SUBSTITUTE(SUBSTITUTE(SUBSTITUTE(SUBSTITUTE(SUBSTITUTE(SUBSTITUTE(SUBSTITUTE(SUBSTITUTE(SUBSTITUTE(SUBSTITUTE(LOWER(TRIM(G857)),"á","a"),"é","e"),"í","i"),"ó","o"),"ú","u"),"ü","u"),"ñ","n"),"à","a"),"è","e"),"ì","i"),"ò","o"),"ù","u"),"")</f>
        <v/>
      </c>
      <c r="U857" s="25">
        <f>IF(AND(Q857=1,H857&lt;&gt;""),SUBSTITUTE(SUBSTITUTE(SUBSTITUTE(SUBSTITUTE(SUBSTITUTE(SUBSTITUTE(SUBSTITUTE(SUBSTITUTE(SUBSTITUTE(SUBSTITUTE(SUBSTITUTE(SUBSTITUTE(LOWER(TRIM(H857)),"á","a"),"é","e"),"í","i"),"ó","o"),"ú","u"),"ü","u"),"ñ","n"),"à","a"),"è","e"),"ì","i"),"ò","o"),"ù","u"),"")</f>
        <v/>
      </c>
      <c r="V857" s="25">
        <f>IF(AND(Q857=1,L857&lt;&gt;""),SUBSTITUTE(SUBSTITUTE(SUBSTITUTE(SUBSTITUTE(SUBSTITUTE(SUBSTITUTE(SUBSTITUTE(SUBSTITUTE(SUBSTITUTE(SUBSTITUTE(SUBSTITUTE(SUBSTITUTE(LOWER(TRIM(L857)),"á","a"),"é","e"),"í","i"),"ó","o"),"ú","u"),"ü","u"),"ñ","n"),"à","a"),"è","e"),"ì","i"),"ò","o"),"ù","u"),"")</f>
        <v/>
      </c>
      <c r="W857" s="25">
        <f>IF(AND(Q857=1,I857&lt;&gt;""),SUBSTITUTE(SUBSTITUTE(SUBSTITUTE(SUBSTITUTE(SUBSTITUTE(SUBSTITUTE(SUBSTITUTE(SUBSTITUTE(SUBSTITUTE(SUBSTITUTE(SUBSTITUTE(SUBSTITUTE(LOWER(TRIM(I857)),"á","a"),"é","e"),"í","i"),"ó","o"),"ú","u"),"ü","u"),"ñ","n"),"à","a"),"è","e"),"ì","i"),"ò","o"),"ù","u"),"")</f>
        <v/>
      </c>
      <c r="X857" s="25">
        <f>IF(U857="","",IF(OR(U857="si, en la proxima tarea",U857="si, con cambios"),1,0))</f>
        <v/>
      </c>
      <c r="Y857" s="25">
        <f>IF(AND(Q857=1,A857&lt;&gt;""),IF(IFERROR(COUNTIFS(A$3:A857,"="&amp;SUBSTITUTE(SUBSTITUTE(SUBSTITUTE(A857,"~","~~"),"*","~*"),"?","~?"),Q$3:Q857,1),0)=1,MAX(Y$2:Y856)+1,""),"")</f>
        <v/>
      </c>
      <c r="Z857" s="25">
        <f>IF(Y857="","",COUNTIFS($A$3:$A$1002,"="&amp;SUBSTITUTE(SUBSTITUTE(SUBSTITUTE(A857,"~","~~"),"*","~*"),"?","~?"),$Q$3:$Q$1002,1)*10000-Y857)</f>
        <v/>
      </c>
    </row>
    <row r="858">
      <c r="A858">
        <f>IF(A$2=0,"",IFERROR(TRIM(INDEX('Pegar docentes'!$A$1:$BZ$1001,857,A$2)&amp;""),""))</f>
        <v/>
      </c>
      <c r="B858">
        <f>IF(B$2=0,"",IFERROR(TRIM(INDEX('Pegar docentes'!$A$1:$BZ$1001,857,B$2)&amp;""),""))</f>
        <v/>
      </c>
      <c r="C858">
        <f>IF(C$2=0,"",IFERROR(TRIM(INDEX('Pegar docentes'!$A$1:$BZ$1001,857,C$2)&amp;""),""))</f>
        <v/>
      </c>
      <c r="D858">
        <f>IF(D$2=0,"",IFERROR(TRIM(INDEX('Pegar docentes'!$A$1:$BZ$1001,857,D$2)&amp;""),""))</f>
        <v/>
      </c>
      <c r="E858">
        <f>IF(E$2=0,"",IFERROR(TRIM(INDEX('Pegar docentes'!$A$1:$BZ$1001,857,E$2)&amp;""),""))</f>
        <v/>
      </c>
      <c r="F858">
        <f>IF(F$2=0,"",IFERROR(TRIM(INDEX('Pegar docentes'!$A$1:$BZ$1001,857,F$2)&amp;""),""))</f>
        <v/>
      </c>
      <c r="G858">
        <f>IF(G$2=0,"",IFERROR(TRIM(INDEX('Pegar docentes'!$A$1:$BZ$1001,857,G$2)&amp;""),""))</f>
        <v/>
      </c>
      <c r="H858">
        <f>IF(H$2=0,"",IFERROR(TRIM(INDEX('Pegar docentes'!$A$1:$BZ$1001,857,H$2)&amp;""),""))</f>
        <v/>
      </c>
      <c r="I858">
        <f>IF(I$2=0,"",IFERROR(TRIM(INDEX('Pegar docentes'!$A$1:$BZ$1001,857,I$2)&amp;""),""))</f>
        <v/>
      </c>
      <c r="J858">
        <f>IF(J$2=0,"",IFERROR(TRIM(INDEX('Pegar docentes'!$A$1:$BZ$1001,857,J$2)&amp;""),""))</f>
        <v/>
      </c>
      <c r="K858">
        <f>IF(K$2=0,"",IFERROR(TRIM(INDEX('Pegar docentes'!$A$1:$BZ$1001,857,K$2)&amp;""),""))</f>
        <v/>
      </c>
      <c r="L858">
        <f>IF(L$2=0,"",IFERROR(TRIM(INDEX('Pegar docentes'!$A$1:$BZ$1001,857,L$2)&amp;""),""))</f>
        <v/>
      </c>
      <c r="M858">
        <f>IF(M$2=0,"",IFERROR(TRIM(INDEX('Pegar docentes'!$A$1:$BZ$1001,857,M$2)&amp;""),""))</f>
        <v/>
      </c>
      <c r="N858">
        <f>IF(N$2=0,"",IFERROR(TRIM(INDEX('Pegar docentes'!$A$1:$BZ$1001,857,N$2)&amp;""),""))</f>
        <v/>
      </c>
      <c r="O858">
        <f>IF(O$2=0,"",IFERROR(TRIM(INDEX('Pegar docentes'!$A$1:$BZ$1001,857,O$2)&amp;""),""))</f>
        <v/>
      </c>
      <c r="P858">
        <f>IF(P$2=0,"",IFERROR(TRIM(INDEX('Pegar docentes'!$A$1:$BZ$1001,857,P$2)&amp;""),""))</f>
        <v/>
      </c>
      <c r="Q858" s="25">
        <f>IF(OR(D858&lt;&gt;"",H858&lt;&gt;""),1,"")</f>
        <v/>
      </c>
      <c r="R858" s="25">
        <f>IF(Q858=1,IF(ISNUMBER(FIND("#"&amp;MID(D858,1,1)&amp;"#","#0#1#2#3#4#5#6#7#8#9#")),IF(ISNUMBER(FIND("#"&amp;MID(D858,2,1)&amp;"#","#0#1#2#3#4#5#6#7#8#9#")),IF(AND(VALUE(LEFT(D858,2))&gt;=1,VALUE(LEFT(D858,2))&lt;=5),VALUE(LEFT(D858,2)),""),IF(AND(VALUE(LEFT(D858,1))&gt;=1,VALUE(LEFT(D858,1))&lt;=5),VALUE(LEFT(D858,1)),"")),""),"")</f>
        <v/>
      </c>
      <c r="S858" s="25">
        <f>IF(AND(Q858=1,E858&lt;&gt;""),SUBSTITUTE(SUBSTITUTE(SUBSTITUTE(SUBSTITUTE(SUBSTITUTE(SUBSTITUTE(SUBSTITUTE(SUBSTITUTE(SUBSTITUTE(SUBSTITUTE(SUBSTITUTE(SUBSTITUTE(LOWER(TRIM(E858)),"á","a"),"é","e"),"í","i"),"ó","o"),"ú","u"),"ü","u"),"ñ","n"),"à","a"),"è","e"),"ì","i"),"ò","o"),"ù","u"),"")</f>
        <v/>
      </c>
      <c r="T858" s="25">
        <f>IF(AND(Q858=1,G858&lt;&gt;""),SUBSTITUTE(SUBSTITUTE(SUBSTITUTE(SUBSTITUTE(SUBSTITUTE(SUBSTITUTE(SUBSTITUTE(SUBSTITUTE(SUBSTITUTE(SUBSTITUTE(SUBSTITUTE(SUBSTITUTE(LOWER(TRIM(G858)),"á","a"),"é","e"),"í","i"),"ó","o"),"ú","u"),"ü","u"),"ñ","n"),"à","a"),"è","e"),"ì","i"),"ò","o"),"ù","u"),"")</f>
        <v/>
      </c>
      <c r="U858" s="25">
        <f>IF(AND(Q858=1,H858&lt;&gt;""),SUBSTITUTE(SUBSTITUTE(SUBSTITUTE(SUBSTITUTE(SUBSTITUTE(SUBSTITUTE(SUBSTITUTE(SUBSTITUTE(SUBSTITUTE(SUBSTITUTE(SUBSTITUTE(SUBSTITUTE(LOWER(TRIM(H858)),"á","a"),"é","e"),"í","i"),"ó","o"),"ú","u"),"ü","u"),"ñ","n"),"à","a"),"è","e"),"ì","i"),"ò","o"),"ù","u"),"")</f>
        <v/>
      </c>
      <c r="V858" s="25">
        <f>IF(AND(Q858=1,L858&lt;&gt;""),SUBSTITUTE(SUBSTITUTE(SUBSTITUTE(SUBSTITUTE(SUBSTITUTE(SUBSTITUTE(SUBSTITUTE(SUBSTITUTE(SUBSTITUTE(SUBSTITUTE(SUBSTITUTE(SUBSTITUTE(LOWER(TRIM(L858)),"á","a"),"é","e"),"í","i"),"ó","o"),"ú","u"),"ü","u"),"ñ","n"),"à","a"),"è","e"),"ì","i"),"ò","o"),"ù","u"),"")</f>
        <v/>
      </c>
      <c r="W858" s="25">
        <f>IF(AND(Q858=1,I858&lt;&gt;""),SUBSTITUTE(SUBSTITUTE(SUBSTITUTE(SUBSTITUTE(SUBSTITUTE(SUBSTITUTE(SUBSTITUTE(SUBSTITUTE(SUBSTITUTE(SUBSTITUTE(SUBSTITUTE(SUBSTITUTE(LOWER(TRIM(I858)),"á","a"),"é","e"),"í","i"),"ó","o"),"ú","u"),"ü","u"),"ñ","n"),"à","a"),"è","e"),"ì","i"),"ò","o"),"ù","u"),"")</f>
        <v/>
      </c>
      <c r="X858" s="25">
        <f>IF(U858="","",IF(OR(U858="si, en la proxima tarea",U858="si, con cambios"),1,0))</f>
        <v/>
      </c>
      <c r="Y858" s="25">
        <f>IF(AND(Q858=1,A858&lt;&gt;""),IF(IFERROR(COUNTIFS(A$3:A858,"="&amp;SUBSTITUTE(SUBSTITUTE(SUBSTITUTE(A858,"~","~~"),"*","~*"),"?","~?"),Q$3:Q858,1),0)=1,MAX(Y$2:Y857)+1,""),"")</f>
        <v/>
      </c>
      <c r="Z858" s="25">
        <f>IF(Y858="","",COUNTIFS($A$3:$A$1002,"="&amp;SUBSTITUTE(SUBSTITUTE(SUBSTITUTE(A858,"~","~~"),"*","~*"),"?","~?"),$Q$3:$Q$1002,1)*10000-Y858)</f>
        <v/>
      </c>
    </row>
    <row r="859">
      <c r="A859">
        <f>IF(A$2=0,"",IFERROR(TRIM(INDEX('Pegar docentes'!$A$1:$BZ$1001,858,A$2)&amp;""),""))</f>
        <v/>
      </c>
      <c r="B859">
        <f>IF(B$2=0,"",IFERROR(TRIM(INDEX('Pegar docentes'!$A$1:$BZ$1001,858,B$2)&amp;""),""))</f>
        <v/>
      </c>
      <c r="C859">
        <f>IF(C$2=0,"",IFERROR(TRIM(INDEX('Pegar docentes'!$A$1:$BZ$1001,858,C$2)&amp;""),""))</f>
        <v/>
      </c>
      <c r="D859">
        <f>IF(D$2=0,"",IFERROR(TRIM(INDEX('Pegar docentes'!$A$1:$BZ$1001,858,D$2)&amp;""),""))</f>
        <v/>
      </c>
      <c r="E859">
        <f>IF(E$2=0,"",IFERROR(TRIM(INDEX('Pegar docentes'!$A$1:$BZ$1001,858,E$2)&amp;""),""))</f>
        <v/>
      </c>
      <c r="F859">
        <f>IF(F$2=0,"",IFERROR(TRIM(INDEX('Pegar docentes'!$A$1:$BZ$1001,858,F$2)&amp;""),""))</f>
        <v/>
      </c>
      <c r="G859">
        <f>IF(G$2=0,"",IFERROR(TRIM(INDEX('Pegar docentes'!$A$1:$BZ$1001,858,G$2)&amp;""),""))</f>
        <v/>
      </c>
      <c r="H859">
        <f>IF(H$2=0,"",IFERROR(TRIM(INDEX('Pegar docentes'!$A$1:$BZ$1001,858,H$2)&amp;""),""))</f>
        <v/>
      </c>
      <c r="I859">
        <f>IF(I$2=0,"",IFERROR(TRIM(INDEX('Pegar docentes'!$A$1:$BZ$1001,858,I$2)&amp;""),""))</f>
        <v/>
      </c>
      <c r="J859">
        <f>IF(J$2=0,"",IFERROR(TRIM(INDEX('Pegar docentes'!$A$1:$BZ$1001,858,J$2)&amp;""),""))</f>
        <v/>
      </c>
      <c r="K859">
        <f>IF(K$2=0,"",IFERROR(TRIM(INDEX('Pegar docentes'!$A$1:$BZ$1001,858,K$2)&amp;""),""))</f>
        <v/>
      </c>
      <c r="L859">
        <f>IF(L$2=0,"",IFERROR(TRIM(INDEX('Pegar docentes'!$A$1:$BZ$1001,858,L$2)&amp;""),""))</f>
        <v/>
      </c>
      <c r="M859">
        <f>IF(M$2=0,"",IFERROR(TRIM(INDEX('Pegar docentes'!$A$1:$BZ$1001,858,M$2)&amp;""),""))</f>
        <v/>
      </c>
      <c r="N859">
        <f>IF(N$2=0,"",IFERROR(TRIM(INDEX('Pegar docentes'!$A$1:$BZ$1001,858,N$2)&amp;""),""))</f>
        <v/>
      </c>
      <c r="O859">
        <f>IF(O$2=0,"",IFERROR(TRIM(INDEX('Pegar docentes'!$A$1:$BZ$1001,858,O$2)&amp;""),""))</f>
        <v/>
      </c>
      <c r="P859">
        <f>IF(P$2=0,"",IFERROR(TRIM(INDEX('Pegar docentes'!$A$1:$BZ$1001,858,P$2)&amp;""),""))</f>
        <v/>
      </c>
      <c r="Q859" s="25">
        <f>IF(OR(D859&lt;&gt;"",H859&lt;&gt;""),1,"")</f>
        <v/>
      </c>
      <c r="R859" s="25">
        <f>IF(Q859=1,IF(ISNUMBER(FIND("#"&amp;MID(D859,1,1)&amp;"#","#0#1#2#3#4#5#6#7#8#9#")),IF(ISNUMBER(FIND("#"&amp;MID(D859,2,1)&amp;"#","#0#1#2#3#4#5#6#7#8#9#")),IF(AND(VALUE(LEFT(D859,2))&gt;=1,VALUE(LEFT(D859,2))&lt;=5),VALUE(LEFT(D859,2)),""),IF(AND(VALUE(LEFT(D859,1))&gt;=1,VALUE(LEFT(D859,1))&lt;=5),VALUE(LEFT(D859,1)),"")),""),"")</f>
        <v/>
      </c>
      <c r="S859" s="25">
        <f>IF(AND(Q859=1,E859&lt;&gt;""),SUBSTITUTE(SUBSTITUTE(SUBSTITUTE(SUBSTITUTE(SUBSTITUTE(SUBSTITUTE(SUBSTITUTE(SUBSTITUTE(SUBSTITUTE(SUBSTITUTE(SUBSTITUTE(SUBSTITUTE(LOWER(TRIM(E859)),"á","a"),"é","e"),"í","i"),"ó","o"),"ú","u"),"ü","u"),"ñ","n"),"à","a"),"è","e"),"ì","i"),"ò","o"),"ù","u"),"")</f>
        <v/>
      </c>
      <c r="T859" s="25">
        <f>IF(AND(Q859=1,G859&lt;&gt;""),SUBSTITUTE(SUBSTITUTE(SUBSTITUTE(SUBSTITUTE(SUBSTITUTE(SUBSTITUTE(SUBSTITUTE(SUBSTITUTE(SUBSTITUTE(SUBSTITUTE(SUBSTITUTE(SUBSTITUTE(LOWER(TRIM(G859)),"á","a"),"é","e"),"í","i"),"ó","o"),"ú","u"),"ü","u"),"ñ","n"),"à","a"),"è","e"),"ì","i"),"ò","o"),"ù","u"),"")</f>
        <v/>
      </c>
      <c r="U859" s="25">
        <f>IF(AND(Q859=1,H859&lt;&gt;""),SUBSTITUTE(SUBSTITUTE(SUBSTITUTE(SUBSTITUTE(SUBSTITUTE(SUBSTITUTE(SUBSTITUTE(SUBSTITUTE(SUBSTITUTE(SUBSTITUTE(SUBSTITUTE(SUBSTITUTE(LOWER(TRIM(H859)),"á","a"),"é","e"),"í","i"),"ó","o"),"ú","u"),"ü","u"),"ñ","n"),"à","a"),"è","e"),"ì","i"),"ò","o"),"ù","u"),"")</f>
        <v/>
      </c>
      <c r="V859" s="25">
        <f>IF(AND(Q859=1,L859&lt;&gt;""),SUBSTITUTE(SUBSTITUTE(SUBSTITUTE(SUBSTITUTE(SUBSTITUTE(SUBSTITUTE(SUBSTITUTE(SUBSTITUTE(SUBSTITUTE(SUBSTITUTE(SUBSTITUTE(SUBSTITUTE(LOWER(TRIM(L859)),"á","a"),"é","e"),"í","i"),"ó","o"),"ú","u"),"ü","u"),"ñ","n"),"à","a"),"è","e"),"ì","i"),"ò","o"),"ù","u"),"")</f>
        <v/>
      </c>
      <c r="W859" s="25">
        <f>IF(AND(Q859=1,I859&lt;&gt;""),SUBSTITUTE(SUBSTITUTE(SUBSTITUTE(SUBSTITUTE(SUBSTITUTE(SUBSTITUTE(SUBSTITUTE(SUBSTITUTE(SUBSTITUTE(SUBSTITUTE(SUBSTITUTE(SUBSTITUTE(LOWER(TRIM(I859)),"á","a"),"é","e"),"í","i"),"ó","o"),"ú","u"),"ü","u"),"ñ","n"),"à","a"),"è","e"),"ì","i"),"ò","o"),"ù","u"),"")</f>
        <v/>
      </c>
      <c r="X859" s="25">
        <f>IF(U859="","",IF(OR(U859="si, en la proxima tarea",U859="si, con cambios"),1,0))</f>
        <v/>
      </c>
      <c r="Y859" s="25">
        <f>IF(AND(Q859=1,A859&lt;&gt;""),IF(IFERROR(COUNTIFS(A$3:A859,"="&amp;SUBSTITUTE(SUBSTITUTE(SUBSTITUTE(A859,"~","~~"),"*","~*"),"?","~?"),Q$3:Q859,1),0)=1,MAX(Y$2:Y858)+1,""),"")</f>
        <v/>
      </c>
      <c r="Z859" s="25">
        <f>IF(Y859="","",COUNTIFS($A$3:$A$1002,"="&amp;SUBSTITUTE(SUBSTITUTE(SUBSTITUTE(A859,"~","~~"),"*","~*"),"?","~?"),$Q$3:$Q$1002,1)*10000-Y859)</f>
        <v/>
      </c>
    </row>
    <row r="860">
      <c r="A860">
        <f>IF(A$2=0,"",IFERROR(TRIM(INDEX('Pegar docentes'!$A$1:$BZ$1001,859,A$2)&amp;""),""))</f>
        <v/>
      </c>
      <c r="B860">
        <f>IF(B$2=0,"",IFERROR(TRIM(INDEX('Pegar docentes'!$A$1:$BZ$1001,859,B$2)&amp;""),""))</f>
        <v/>
      </c>
      <c r="C860">
        <f>IF(C$2=0,"",IFERROR(TRIM(INDEX('Pegar docentes'!$A$1:$BZ$1001,859,C$2)&amp;""),""))</f>
        <v/>
      </c>
      <c r="D860">
        <f>IF(D$2=0,"",IFERROR(TRIM(INDEX('Pegar docentes'!$A$1:$BZ$1001,859,D$2)&amp;""),""))</f>
        <v/>
      </c>
      <c r="E860">
        <f>IF(E$2=0,"",IFERROR(TRIM(INDEX('Pegar docentes'!$A$1:$BZ$1001,859,E$2)&amp;""),""))</f>
        <v/>
      </c>
      <c r="F860">
        <f>IF(F$2=0,"",IFERROR(TRIM(INDEX('Pegar docentes'!$A$1:$BZ$1001,859,F$2)&amp;""),""))</f>
        <v/>
      </c>
      <c r="G860">
        <f>IF(G$2=0,"",IFERROR(TRIM(INDEX('Pegar docentes'!$A$1:$BZ$1001,859,G$2)&amp;""),""))</f>
        <v/>
      </c>
      <c r="H860">
        <f>IF(H$2=0,"",IFERROR(TRIM(INDEX('Pegar docentes'!$A$1:$BZ$1001,859,H$2)&amp;""),""))</f>
        <v/>
      </c>
      <c r="I860">
        <f>IF(I$2=0,"",IFERROR(TRIM(INDEX('Pegar docentes'!$A$1:$BZ$1001,859,I$2)&amp;""),""))</f>
        <v/>
      </c>
      <c r="J860">
        <f>IF(J$2=0,"",IFERROR(TRIM(INDEX('Pegar docentes'!$A$1:$BZ$1001,859,J$2)&amp;""),""))</f>
        <v/>
      </c>
      <c r="K860">
        <f>IF(K$2=0,"",IFERROR(TRIM(INDEX('Pegar docentes'!$A$1:$BZ$1001,859,K$2)&amp;""),""))</f>
        <v/>
      </c>
      <c r="L860">
        <f>IF(L$2=0,"",IFERROR(TRIM(INDEX('Pegar docentes'!$A$1:$BZ$1001,859,L$2)&amp;""),""))</f>
        <v/>
      </c>
      <c r="M860">
        <f>IF(M$2=0,"",IFERROR(TRIM(INDEX('Pegar docentes'!$A$1:$BZ$1001,859,M$2)&amp;""),""))</f>
        <v/>
      </c>
      <c r="N860">
        <f>IF(N$2=0,"",IFERROR(TRIM(INDEX('Pegar docentes'!$A$1:$BZ$1001,859,N$2)&amp;""),""))</f>
        <v/>
      </c>
      <c r="O860">
        <f>IF(O$2=0,"",IFERROR(TRIM(INDEX('Pegar docentes'!$A$1:$BZ$1001,859,O$2)&amp;""),""))</f>
        <v/>
      </c>
      <c r="P860">
        <f>IF(P$2=0,"",IFERROR(TRIM(INDEX('Pegar docentes'!$A$1:$BZ$1001,859,P$2)&amp;""),""))</f>
        <v/>
      </c>
      <c r="Q860" s="25">
        <f>IF(OR(D860&lt;&gt;"",H860&lt;&gt;""),1,"")</f>
        <v/>
      </c>
      <c r="R860" s="25">
        <f>IF(Q860=1,IF(ISNUMBER(FIND("#"&amp;MID(D860,1,1)&amp;"#","#0#1#2#3#4#5#6#7#8#9#")),IF(ISNUMBER(FIND("#"&amp;MID(D860,2,1)&amp;"#","#0#1#2#3#4#5#6#7#8#9#")),IF(AND(VALUE(LEFT(D860,2))&gt;=1,VALUE(LEFT(D860,2))&lt;=5),VALUE(LEFT(D860,2)),""),IF(AND(VALUE(LEFT(D860,1))&gt;=1,VALUE(LEFT(D860,1))&lt;=5),VALUE(LEFT(D860,1)),"")),""),"")</f>
        <v/>
      </c>
      <c r="S860" s="25">
        <f>IF(AND(Q860=1,E860&lt;&gt;""),SUBSTITUTE(SUBSTITUTE(SUBSTITUTE(SUBSTITUTE(SUBSTITUTE(SUBSTITUTE(SUBSTITUTE(SUBSTITUTE(SUBSTITUTE(SUBSTITUTE(SUBSTITUTE(SUBSTITUTE(LOWER(TRIM(E860)),"á","a"),"é","e"),"í","i"),"ó","o"),"ú","u"),"ü","u"),"ñ","n"),"à","a"),"è","e"),"ì","i"),"ò","o"),"ù","u"),"")</f>
        <v/>
      </c>
      <c r="T860" s="25">
        <f>IF(AND(Q860=1,G860&lt;&gt;""),SUBSTITUTE(SUBSTITUTE(SUBSTITUTE(SUBSTITUTE(SUBSTITUTE(SUBSTITUTE(SUBSTITUTE(SUBSTITUTE(SUBSTITUTE(SUBSTITUTE(SUBSTITUTE(SUBSTITUTE(LOWER(TRIM(G860)),"á","a"),"é","e"),"í","i"),"ó","o"),"ú","u"),"ü","u"),"ñ","n"),"à","a"),"è","e"),"ì","i"),"ò","o"),"ù","u"),"")</f>
        <v/>
      </c>
      <c r="U860" s="25">
        <f>IF(AND(Q860=1,H860&lt;&gt;""),SUBSTITUTE(SUBSTITUTE(SUBSTITUTE(SUBSTITUTE(SUBSTITUTE(SUBSTITUTE(SUBSTITUTE(SUBSTITUTE(SUBSTITUTE(SUBSTITUTE(SUBSTITUTE(SUBSTITUTE(LOWER(TRIM(H860)),"á","a"),"é","e"),"í","i"),"ó","o"),"ú","u"),"ü","u"),"ñ","n"),"à","a"),"è","e"),"ì","i"),"ò","o"),"ù","u"),"")</f>
        <v/>
      </c>
      <c r="V860" s="25">
        <f>IF(AND(Q860=1,L860&lt;&gt;""),SUBSTITUTE(SUBSTITUTE(SUBSTITUTE(SUBSTITUTE(SUBSTITUTE(SUBSTITUTE(SUBSTITUTE(SUBSTITUTE(SUBSTITUTE(SUBSTITUTE(SUBSTITUTE(SUBSTITUTE(LOWER(TRIM(L860)),"á","a"),"é","e"),"í","i"),"ó","o"),"ú","u"),"ü","u"),"ñ","n"),"à","a"),"è","e"),"ì","i"),"ò","o"),"ù","u"),"")</f>
        <v/>
      </c>
      <c r="W860" s="25">
        <f>IF(AND(Q860=1,I860&lt;&gt;""),SUBSTITUTE(SUBSTITUTE(SUBSTITUTE(SUBSTITUTE(SUBSTITUTE(SUBSTITUTE(SUBSTITUTE(SUBSTITUTE(SUBSTITUTE(SUBSTITUTE(SUBSTITUTE(SUBSTITUTE(LOWER(TRIM(I860)),"á","a"),"é","e"),"í","i"),"ó","o"),"ú","u"),"ü","u"),"ñ","n"),"à","a"),"è","e"),"ì","i"),"ò","o"),"ù","u"),"")</f>
        <v/>
      </c>
      <c r="X860" s="25">
        <f>IF(U860="","",IF(OR(U860="si, en la proxima tarea",U860="si, con cambios"),1,0))</f>
        <v/>
      </c>
      <c r="Y860" s="25">
        <f>IF(AND(Q860=1,A860&lt;&gt;""),IF(IFERROR(COUNTIFS(A$3:A860,"="&amp;SUBSTITUTE(SUBSTITUTE(SUBSTITUTE(A860,"~","~~"),"*","~*"),"?","~?"),Q$3:Q860,1),0)=1,MAX(Y$2:Y859)+1,""),"")</f>
        <v/>
      </c>
      <c r="Z860" s="25">
        <f>IF(Y860="","",COUNTIFS($A$3:$A$1002,"="&amp;SUBSTITUTE(SUBSTITUTE(SUBSTITUTE(A860,"~","~~"),"*","~*"),"?","~?"),$Q$3:$Q$1002,1)*10000-Y860)</f>
        <v/>
      </c>
    </row>
    <row r="861">
      <c r="A861">
        <f>IF(A$2=0,"",IFERROR(TRIM(INDEX('Pegar docentes'!$A$1:$BZ$1001,860,A$2)&amp;""),""))</f>
        <v/>
      </c>
      <c r="B861">
        <f>IF(B$2=0,"",IFERROR(TRIM(INDEX('Pegar docentes'!$A$1:$BZ$1001,860,B$2)&amp;""),""))</f>
        <v/>
      </c>
      <c r="C861">
        <f>IF(C$2=0,"",IFERROR(TRIM(INDEX('Pegar docentes'!$A$1:$BZ$1001,860,C$2)&amp;""),""))</f>
        <v/>
      </c>
      <c r="D861">
        <f>IF(D$2=0,"",IFERROR(TRIM(INDEX('Pegar docentes'!$A$1:$BZ$1001,860,D$2)&amp;""),""))</f>
        <v/>
      </c>
      <c r="E861">
        <f>IF(E$2=0,"",IFERROR(TRIM(INDEX('Pegar docentes'!$A$1:$BZ$1001,860,E$2)&amp;""),""))</f>
        <v/>
      </c>
      <c r="F861">
        <f>IF(F$2=0,"",IFERROR(TRIM(INDEX('Pegar docentes'!$A$1:$BZ$1001,860,F$2)&amp;""),""))</f>
        <v/>
      </c>
      <c r="G861">
        <f>IF(G$2=0,"",IFERROR(TRIM(INDEX('Pegar docentes'!$A$1:$BZ$1001,860,G$2)&amp;""),""))</f>
        <v/>
      </c>
      <c r="H861">
        <f>IF(H$2=0,"",IFERROR(TRIM(INDEX('Pegar docentes'!$A$1:$BZ$1001,860,H$2)&amp;""),""))</f>
        <v/>
      </c>
      <c r="I861">
        <f>IF(I$2=0,"",IFERROR(TRIM(INDEX('Pegar docentes'!$A$1:$BZ$1001,860,I$2)&amp;""),""))</f>
        <v/>
      </c>
      <c r="J861">
        <f>IF(J$2=0,"",IFERROR(TRIM(INDEX('Pegar docentes'!$A$1:$BZ$1001,860,J$2)&amp;""),""))</f>
        <v/>
      </c>
      <c r="K861">
        <f>IF(K$2=0,"",IFERROR(TRIM(INDEX('Pegar docentes'!$A$1:$BZ$1001,860,K$2)&amp;""),""))</f>
        <v/>
      </c>
      <c r="L861">
        <f>IF(L$2=0,"",IFERROR(TRIM(INDEX('Pegar docentes'!$A$1:$BZ$1001,860,L$2)&amp;""),""))</f>
        <v/>
      </c>
      <c r="M861">
        <f>IF(M$2=0,"",IFERROR(TRIM(INDEX('Pegar docentes'!$A$1:$BZ$1001,860,M$2)&amp;""),""))</f>
        <v/>
      </c>
      <c r="N861">
        <f>IF(N$2=0,"",IFERROR(TRIM(INDEX('Pegar docentes'!$A$1:$BZ$1001,860,N$2)&amp;""),""))</f>
        <v/>
      </c>
      <c r="O861">
        <f>IF(O$2=0,"",IFERROR(TRIM(INDEX('Pegar docentes'!$A$1:$BZ$1001,860,O$2)&amp;""),""))</f>
        <v/>
      </c>
      <c r="P861">
        <f>IF(P$2=0,"",IFERROR(TRIM(INDEX('Pegar docentes'!$A$1:$BZ$1001,860,P$2)&amp;""),""))</f>
        <v/>
      </c>
      <c r="Q861" s="25">
        <f>IF(OR(D861&lt;&gt;"",H861&lt;&gt;""),1,"")</f>
        <v/>
      </c>
      <c r="R861" s="25">
        <f>IF(Q861=1,IF(ISNUMBER(FIND("#"&amp;MID(D861,1,1)&amp;"#","#0#1#2#3#4#5#6#7#8#9#")),IF(ISNUMBER(FIND("#"&amp;MID(D861,2,1)&amp;"#","#0#1#2#3#4#5#6#7#8#9#")),IF(AND(VALUE(LEFT(D861,2))&gt;=1,VALUE(LEFT(D861,2))&lt;=5),VALUE(LEFT(D861,2)),""),IF(AND(VALUE(LEFT(D861,1))&gt;=1,VALUE(LEFT(D861,1))&lt;=5),VALUE(LEFT(D861,1)),"")),""),"")</f>
        <v/>
      </c>
      <c r="S861" s="25">
        <f>IF(AND(Q861=1,E861&lt;&gt;""),SUBSTITUTE(SUBSTITUTE(SUBSTITUTE(SUBSTITUTE(SUBSTITUTE(SUBSTITUTE(SUBSTITUTE(SUBSTITUTE(SUBSTITUTE(SUBSTITUTE(SUBSTITUTE(SUBSTITUTE(LOWER(TRIM(E861)),"á","a"),"é","e"),"í","i"),"ó","o"),"ú","u"),"ü","u"),"ñ","n"),"à","a"),"è","e"),"ì","i"),"ò","o"),"ù","u"),"")</f>
        <v/>
      </c>
      <c r="T861" s="25">
        <f>IF(AND(Q861=1,G861&lt;&gt;""),SUBSTITUTE(SUBSTITUTE(SUBSTITUTE(SUBSTITUTE(SUBSTITUTE(SUBSTITUTE(SUBSTITUTE(SUBSTITUTE(SUBSTITUTE(SUBSTITUTE(SUBSTITUTE(SUBSTITUTE(LOWER(TRIM(G861)),"á","a"),"é","e"),"í","i"),"ó","o"),"ú","u"),"ü","u"),"ñ","n"),"à","a"),"è","e"),"ì","i"),"ò","o"),"ù","u"),"")</f>
        <v/>
      </c>
      <c r="U861" s="25">
        <f>IF(AND(Q861=1,H861&lt;&gt;""),SUBSTITUTE(SUBSTITUTE(SUBSTITUTE(SUBSTITUTE(SUBSTITUTE(SUBSTITUTE(SUBSTITUTE(SUBSTITUTE(SUBSTITUTE(SUBSTITUTE(SUBSTITUTE(SUBSTITUTE(LOWER(TRIM(H861)),"á","a"),"é","e"),"í","i"),"ó","o"),"ú","u"),"ü","u"),"ñ","n"),"à","a"),"è","e"),"ì","i"),"ò","o"),"ù","u"),"")</f>
        <v/>
      </c>
      <c r="V861" s="25">
        <f>IF(AND(Q861=1,L861&lt;&gt;""),SUBSTITUTE(SUBSTITUTE(SUBSTITUTE(SUBSTITUTE(SUBSTITUTE(SUBSTITUTE(SUBSTITUTE(SUBSTITUTE(SUBSTITUTE(SUBSTITUTE(SUBSTITUTE(SUBSTITUTE(LOWER(TRIM(L861)),"á","a"),"é","e"),"í","i"),"ó","o"),"ú","u"),"ü","u"),"ñ","n"),"à","a"),"è","e"),"ì","i"),"ò","o"),"ù","u"),"")</f>
        <v/>
      </c>
      <c r="W861" s="25">
        <f>IF(AND(Q861=1,I861&lt;&gt;""),SUBSTITUTE(SUBSTITUTE(SUBSTITUTE(SUBSTITUTE(SUBSTITUTE(SUBSTITUTE(SUBSTITUTE(SUBSTITUTE(SUBSTITUTE(SUBSTITUTE(SUBSTITUTE(SUBSTITUTE(LOWER(TRIM(I861)),"á","a"),"é","e"),"í","i"),"ó","o"),"ú","u"),"ü","u"),"ñ","n"),"à","a"),"è","e"),"ì","i"),"ò","o"),"ù","u"),"")</f>
        <v/>
      </c>
      <c r="X861" s="25">
        <f>IF(U861="","",IF(OR(U861="si, en la proxima tarea",U861="si, con cambios"),1,0))</f>
        <v/>
      </c>
      <c r="Y861" s="25">
        <f>IF(AND(Q861=1,A861&lt;&gt;""),IF(IFERROR(COUNTIFS(A$3:A861,"="&amp;SUBSTITUTE(SUBSTITUTE(SUBSTITUTE(A861,"~","~~"),"*","~*"),"?","~?"),Q$3:Q861,1),0)=1,MAX(Y$2:Y860)+1,""),"")</f>
        <v/>
      </c>
      <c r="Z861" s="25">
        <f>IF(Y861="","",COUNTIFS($A$3:$A$1002,"="&amp;SUBSTITUTE(SUBSTITUTE(SUBSTITUTE(A861,"~","~~"),"*","~*"),"?","~?"),$Q$3:$Q$1002,1)*10000-Y861)</f>
        <v/>
      </c>
    </row>
    <row r="862">
      <c r="A862">
        <f>IF(A$2=0,"",IFERROR(TRIM(INDEX('Pegar docentes'!$A$1:$BZ$1001,861,A$2)&amp;""),""))</f>
        <v/>
      </c>
      <c r="B862">
        <f>IF(B$2=0,"",IFERROR(TRIM(INDEX('Pegar docentes'!$A$1:$BZ$1001,861,B$2)&amp;""),""))</f>
        <v/>
      </c>
      <c r="C862">
        <f>IF(C$2=0,"",IFERROR(TRIM(INDEX('Pegar docentes'!$A$1:$BZ$1001,861,C$2)&amp;""),""))</f>
        <v/>
      </c>
      <c r="D862">
        <f>IF(D$2=0,"",IFERROR(TRIM(INDEX('Pegar docentes'!$A$1:$BZ$1001,861,D$2)&amp;""),""))</f>
        <v/>
      </c>
      <c r="E862">
        <f>IF(E$2=0,"",IFERROR(TRIM(INDEX('Pegar docentes'!$A$1:$BZ$1001,861,E$2)&amp;""),""))</f>
        <v/>
      </c>
      <c r="F862">
        <f>IF(F$2=0,"",IFERROR(TRIM(INDEX('Pegar docentes'!$A$1:$BZ$1001,861,F$2)&amp;""),""))</f>
        <v/>
      </c>
      <c r="G862">
        <f>IF(G$2=0,"",IFERROR(TRIM(INDEX('Pegar docentes'!$A$1:$BZ$1001,861,G$2)&amp;""),""))</f>
        <v/>
      </c>
      <c r="H862">
        <f>IF(H$2=0,"",IFERROR(TRIM(INDEX('Pegar docentes'!$A$1:$BZ$1001,861,H$2)&amp;""),""))</f>
        <v/>
      </c>
      <c r="I862">
        <f>IF(I$2=0,"",IFERROR(TRIM(INDEX('Pegar docentes'!$A$1:$BZ$1001,861,I$2)&amp;""),""))</f>
        <v/>
      </c>
      <c r="J862">
        <f>IF(J$2=0,"",IFERROR(TRIM(INDEX('Pegar docentes'!$A$1:$BZ$1001,861,J$2)&amp;""),""))</f>
        <v/>
      </c>
      <c r="K862">
        <f>IF(K$2=0,"",IFERROR(TRIM(INDEX('Pegar docentes'!$A$1:$BZ$1001,861,K$2)&amp;""),""))</f>
        <v/>
      </c>
      <c r="L862">
        <f>IF(L$2=0,"",IFERROR(TRIM(INDEX('Pegar docentes'!$A$1:$BZ$1001,861,L$2)&amp;""),""))</f>
        <v/>
      </c>
      <c r="M862">
        <f>IF(M$2=0,"",IFERROR(TRIM(INDEX('Pegar docentes'!$A$1:$BZ$1001,861,M$2)&amp;""),""))</f>
        <v/>
      </c>
      <c r="N862">
        <f>IF(N$2=0,"",IFERROR(TRIM(INDEX('Pegar docentes'!$A$1:$BZ$1001,861,N$2)&amp;""),""))</f>
        <v/>
      </c>
      <c r="O862">
        <f>IF(O$2=0,"",IFERROR(TRIM(INDEX('Pegar docentes'!$A$1:$BZ$1001,861,O$2)&amp;""),""))</f>
        <v/>
      </c>
      <c r="P862">
        <f>IF(P$2=0,"",IFERROR(TRIM(INDEX('Pegar docentes'!$A$1:$BZ$1001,861,P$2)&amp;""),""))</f>
        <v/>
      </c>
      <c r="Q862" s="25">
        <f>IF(OR(D862&lt;&gt;"",H862&lt;&gt;""),1,"")</f>
        <v/>
      </c>
      <c r="R862" s="25">
        <f>IF(Q862=1,IF(ISNUMBER(FIND("#"&amp;MID(D862,1,1)&amp;"#","#0#1#2#3#4#5#6#7#8#9#")),IF(ISNUMBER(FIND("#"&amp;MID(D862,2,1)&amp;"#","#0#1#2#3#4#5#6#7#8#9#")),IF(AND(VALUE(LEFT(D862,2))&gt;=1,VALUE(LEFT(D862,2))&lt;=5),VALUE(LEFT(D862,2)),""),IF(AND(VALUE(LEFT(D862,1))&gt;=1,VALUE(LEFT(D862,1))&lt;=5),VALUE(LEFT(D862,1)),"")),""),"")</f>
        <v/>
      </c>
      <c r="S862" s="25">
        <f>IF(AND(Q862=1,E862&lt;&gt;""),SUBSTITUTE(SUBSTITUTE(SUBSTITUTE(SUBSTITUTE(SUBSTITUTE(SUBSTITUTE(SUBSTITUTE(SUBSTITUTE(SUBSTITUTE(SUBSTITUTE(SUBSTITUTE(SUBSTITUTE(LOWER(TRIM(E862)),"á","a"),"é","e"),"í","i"),"ó","o"),"ú","u"),"ü","u"),"ñ","n"),"à","a"),"è","e"),"ì","i"),"ò","o"),"ù","u"),"")</f>
        <v/>
      </c>
      <c r="T862" s="25">
        <f>IF(AND(Q862=1,G862&lt;&gt;""),SUBSTITUTE(SUBSTITUTE(SUBSTITUTE(SUBSTITUTE(SUBSTITUTE(SUBSTITUTE(SUBSTITUTE(SUBSTITUTE(SUBSTITUTE(SUBSTITUTE(SUBSTITUTE(SUBSTITUTE(LOWER(TRIM(G862)),"á","a"),"é","e"),"í","i"),"ó","o"),"ú","u"),"ü","u"),"ñ","n"),"à","a"),"è","e"),"ì","i"),"ò","o"),"ù","u"),"")</f>
        <v/>
      </c>
      <c r="U862" s="25">
        <f>IF(AND(Q862=1,H862&lt;&gt;""),SUBSTITUTE(SUBSTITUTE(SUBSTITUTE(SUBSTITUTE(SUBSTITUTE(SUBSTITUTE(SUBSTITUTE(SUBSTITUTE(SUBSTITUTE(SUBSTITUTE(SUBSTITUTE(SUBSTITUTE(LOWER(TRIM(H862)),"á","a"),"é","e"),"í","i"),"ó","o"),"ú","u"),"ü","u"),"ñ","n"),"à","a"),"è","e"),"ì","i"),"ò","o"),"ù","u"),"")</f>
        <v/>
      </c>
      <c r="V862" s="25">
        <f>IF(AND(Q862=1,L862&lt;&gt;""),SUBSTITUTE(SUBSTITUTE(SUBSTITUTE(SUBSTITUTE(SUBSTITUTE(SUBSTITUTE(SUBSTITUTE(SUBSTITUTE(SUBSTITUTE(SUBSTITUTE(SUBSTITUTE(SUBSTITUTE(LOWER(TRIM(L862)),"á","a"),"é","e"),"í","i"),"ó","o"),"ú","u"),"ü","u"),"ñ","n"),"à","a"),"è","e"),"ì","i"),"ò","o"),"ù","u"),"")</f>
        <v/>
      </c>
      <c r="W862" s="25">
        <f>IF(AND(Q862=1,I862&lt;&gt;""),SUBSTITUTE(SUBSTITUTE(SUBSTITUTE(SUBSTITUTE(SUBSTITUTE(SUBSTITUTE(SUBSTITUTE(SUBSTITUTE(SUBSTITUTE(SUBSTITUTE(SUBSTITUTE(SUBSTITUTE(LOWER(TRIM(I862)),"á","a"),"é","e"),"í","i"),"ó","o"),"ú","u"),"ü","u"),"ñ","n"),"à","a"),"è","e"),"ì","i"),"ò","o"),"ù","u"),"")</f>
        <v/>
      </c>
      <c r="X862" s="25">
        <f>IF(U862="","",IF(OR(U862="si, en la proxima tarea",U862="si, con cambios"),1,0))</f>
        <v/>
      </c>
      <c r="Y862" s="25">
        <f>IF(AND(Q862=1,A862&lt;&gt;""),IF(IFERROR(COUNTIFS(A$3:A862,"="&amp;SUBSTITUTE(SUBSTITUTE(SUBSTITUTE(A862,"~","~~"),"*","~*"),"?","~?"),Q$3:Q862,1),0)=1,MAX(Y$2:Y861)+1,""),"")</f>
        <v/>
      </c>
      <c r="Z862" s="25">
        <f>IF(Y862="","",COUNTIFS($A$3:$A$1002,"="&amp;SUBSTITUTE(SUBSTITUTE(SUBSTITUTE(A862,"~","~~"),"*","~*"),"?","~?"),$Q$3:$Q$1002,1)*10000-Y862)</f>
        <v/>
      </c>
    </row>
    <row r="863">
      <c r="A863">
        <f>IF(A$2=0,"",IFERROR(TRIM(INDEX('Pegar docentes'!$A$1:$BZ$1001,862,A$2)&amp;""),""))</f>
        <v/>
      </c>
      <c r="B863">
        <f>IF(B$2=0,"",IFERROR(TRIM(INDEX('Pegar docentes'!$A$1:$BZ$1001,862,B$2)&amp;""),""))</f>
        <v/>
      </c>
      <c r="C863">
        <f>IF(C$2=0,"",IFERROR(TRIM(INDEX('Pegar docentes'!$A$1:$BZ$1001,862,C$2)&amp;""),""))</f>
        <v/>
      </c>
      <c r="D863">
        <f>IF(D$2=0,"",IFERROR(TRIM(INDEX('Pegar docentes'!$A$1:$BZ$1001,862,D$2)&amp;""),""))</f>
        <v/>
      </c>
      <c r="E863">
        <f>IF(E$2=0,"",IFERROR(TRIM(INDEX('Pegar docentes'!$A$1:$BZ$1001,862,E$2)&amp;""),""))</f>
        <v/>
      </c>
      <c r="F863">
        <f>IF(F$2=0,"",IFERROR(TRIM(INDEX('Pegar docentes'!$A$1:$BZ$1001,862,F$2)&amp;""),""))</f>
        <v/>
      </c>
      <c r="G863">
        <f>IF(G$2=0,"",IFERROR(TRIM(INDEX('Pegar docentes'!$A$1:$BZ$1001,862,G$2)&amp;""),""))</f>
        <v/>
      </c>
      <c r="H863">
        <f>IF(H$2=0,"",IFERROR(TRIM(INDEX('Pegar docentes'!$A$1:$BZ$1001,862,H$2)&amp;""),""))</f>
        <v/>
      </c>
      <c r="I863">
        <f>IF(I$2=0,"",IFERROR(TRIM(INDEX('Pegar docentes'!$A$1:$BZ$1001,862,I$2)&amp;""),""))</f>
        <v/>
      </c>
      <c r="J863">
        <f>IF(J$2=0,"",IFERROR(TRIM(INDEX('Pegar docentes'!$A$1:$BZ$1001,862,J$2)&amp;""),""))</f>
        <v/>
      </c>
      <c r="K863">
        <f>IF(K$2=0,"",IFERROR(TRIM(INDEX('Pegar docentes'!$A$1:$BZ$1001,862,K$2)&amp;""),""))</f>
        <v/>
      </c>
      <c r="L863">
        <f>IF(L$2=0,"",IFERROR(TRIM(INDEX('Pegar docentes'!$A$1:$BZ$1001,862,L$2)&amp;""),""))</f>
        <v/>
      </c>
      <c r="M863">
        <f>IF(M$2=0,"",IFERROR(TRIM(INDEX('Pegar docentes'!$A$1:$BZ$1001,862,M$2)&amp;""),""))</f>
        <v/>
      </c>
      <c r="N863">
        <f>IF(N$2=0,"",IFERROR(TRIM(INDEX('Pegar docentes'!$A$1:$BZ$1001,862,N$2)&amp;""),""))</f>
        <v/>
      </c>
      <c r="O863">
        <f>IF(O$2=0,"",IFERROR(TRIM(INDEX('Pegar docentes'!$A$1:$BZ$1001,862,O$2)&amp;""),""))</f>
        <v/>
      </c>
      <c r="P863">
        <f>IF(P$2=0,"",IFERROR(TRIM(INDEX('Pegar docentes'!$A$1:$BZ$1001,862,P$2)&amp;""),""))</f>
        <v/>
      </c>
      <c r="Q863" s="25">
        <f>IF(OR(D863&lt;&gt;"",H863&lt;&gt;""),1,"")</f>
        <v/>
      </c>
      <c r="R863" s="25">
        <f>IF(Q863=1,IF(ISNUMBER(FIND("#"&amp;MID(D863,1,1)&amp;"#","#0#1#2#3#4#5#6#7#8#9#")),IF(ISNUMBER(FIND("#"&amp;MID(D863,2,1)&amp;"#","#0#1#2#3#4#5#6#7#8#9#")),IF(AND(VALUE(LEFT(D863,2))&gt;=1,VALUE(LEFT(D863,2))&lt;=5),VALUE(LEFT(D863,2)),""),IF(AND(VALUE(LEFT(D863,1))&gt;=1,VALUE(LEFT(D863,1))&lt;=5),VALUE(LEFT(D863,1)),"")),""),"")</f>
        <v/>
      </c>
      <c r="S863" s="25">
        <f>IF(AND(Q863=1,E863&lt;&gt;""),SUBSTITUTE(SUBSTITUTE(SUBSTITUTE(SUBSTITUTE(SUBSTITUTE(SUBSTITUTE(SUBSTITUTE(SUBSTITUTE(SUBSTITUTE(SUBSTITUTE(SUBSTITUTE(SUBSTITUTE(LOWER(TRIM(E863)),"á","a"),"é","e"),"í","i"),"ó","o"),"ú","u"),"ü","u"),"ñ","n"),"à","a"),"è","e"),"ì","i"),"ò","o"),"ù","u"),"")</f>
        <v/>
      </c>
      <c r="T863" s="25">
        <f>IF(AND(Q863=1,G863&lt;&gt;""),SUBSTITUTE(SUBSTITUTE(SUBSTITUTE(SUBSTITUTE(SUBSTITUTE(SUBSTITUTE(SUBSTITUTE(SUBSTITUTE(SUBSTITUTE(SUBSTITUTE(SUBSTITUTE(SUBSTITUTE(LOWER(TRIM(G863)),"á","a"),"é","e"),"í","i"),"ó","o"),"ú","u"),"ü","u"),"ñ","n"),"à","a"),"è","e"),"ì","i"),"ò","o"),"ù","u"),"")</f>
        <v/>
      </c>
      <c r="U863" s="25">
        <f>IF(AND(Q863=1,H863&lt;&gt;""),SUBSTITUTE(SUBSTITUTE(SUBSTITUTE(SUBSTITUTE(SUBSTITUTE(SUBSTITUTE(SUBSTITUTE(SUBSTITUTE(SUBSTITUTE(SUBSTITUTE(SUBSTITUTE(SUBSTITUTE(LOWER(TRIM(H863)),"á","a"),"é","e"),"í","i"),"ó","o"),"ú","u"),"ü","u"),"ñ","n"),"à","a"),"è","e"),"ì","i"),"ò","o"),"ù","u"),"")</f>
        <v/>
      </c>
      <c r="V863" s="25">
        <f>IF(AND(Q863=1,L863&lt;&gt;""),SUBSTITUTE(SUBSTITUTE(SUBSTITUTE(SUBSTITUTE(SUBSTITUTE(SUBSTITUTE(SUBSTITUTE(SUBSTITUTE(SUBSTITUTE(SUBSTITUTE(SUBSTITUTE(SUBSTITUTE(LOWER(TRIM(L863)),"á","a"),"é","e"),"í","i"),"ó","o"),"ú","u"),"ü","u"),"ñ","n"),"à","a"),"è","e"),"ì","i"),"ò","o"),"ù","u"),"")</f>
        <v/>
      </c>
      <c r="W863" s="25">
        <f>IF(AND(Q863=1,I863&lt;&gt;""),SUBSTITUTE(SUBSTITUTE(SUBSTITUTE(SUBSTITUTE(SUBSTITUTE(SUBSTITUTE(SUBSTITUTE(SUBSTITUTE(SUBSTITUTE(SUBSTITUTE(SUBSTITUTE(SUBSTITUTE(LOWER(TRIM(I863)),"á","a"),"é","e"),"í","i"),"ó","o"),"ú","u"),"ü","u"),"ñ","n"),"à","a"),"è","e"),"ì","i"),"ò","o"),"ù","u"),"")</f>
        <v/>
      </c>
      <c r="X863" s="25">
        <f>IF(U863="","",IF(OR(U863="si, en la proxima tarea",U863="si, con cambios"),1,0))</f>
        <v/>
      </c>
      <c r="Y863" s="25">
        <f>IF(AND(Q863=1,A863&lt;&gt;""),IF(IFERROR(COUNTIFS(A$3:A863,"="&amp;SUBSTITUTE(SUBSTITUTE(SUBSTITUTE(A863,"~","~~"),"*","~*"),"?","~?"),Q$3:Q863,1),0)=1,MAX(Y$2:Y862)+1,""),"")</f>
        <v/>
      </c>
      <c r="Z863" s="25">
        <f>IF(Y863="","",COUNTIFS($A$3:$A$1002,"="&amp;SUBSTITUTE(SUBSTITUTE(SUBSTITUTE(A863,"~","~~"),"*","~*"),"?","~?"),$Q$3:$Q$1002,1)*10000-Y863)</f>
        <v/>
      </c>
    </row>
    <row r="864">
      <c r="A864">
        <f>IF(A$2=0,"",IFERROR(TRIM(INDEX('Pegar docentes'!$A$1:$BZ$1001,863,A$2)&amp;""),""))</f>
        <v/>
      </c>
      <c r="B864">
        <f>IF(B$2=0,"",IFERROR(TRIM(INDEX('Pegar docentes'!$A$1:$BZ$1001,863,B$2)&amp;""),""))</f>
        <v/>
      </c>
      <c r="C864">
        <f>IF(C$2=0,"",IFERROR(TRIM(INDEX('Pegar docentes'!$A$1:$BZ$1001,863,C$2)&amp;""),""))</f>
        <v/>
      </c>
      <c r="D864">
        <f>IF(D$2=0,"",IFERROR(TRIM(INDEX('Pegar docentes'!$A$1:$BZ$1001,863,D$2)&amp;""),""))</f>
        <v/>
      </c>
      <c r="E864">
        <f>IF(E$2=0,"",IFERROR(TRIM(INDEX('Pegar docentes'!$A$1:$BZ$1001,863,E$2)&amp;""),""))</f>
        <v/>
      </c>
      <c r="F864">
        <f>IF(F$2=0,"",IFERROR(TRIM(INDEX('Pegar docentes'!$A$1:$BZ$1001,863,F$2)&amp;""),""))</f>
        <v/>
      </c>
      <c r="G864">
        <f>IF(G$2=0,"",IFERROR(TRIM(INDEX('Pegar docentes'!$A$1:$BZ$1001,863,G$2)&amp;""),""))</f>
        <v/>
      </c>
      <c r="H864">
        <f>IF(H$2=0,"",IFERROR(TRIM(INDEX('Pegar docentes'!$A$1:$BZ$1001,863,H$2)&amp;""),""))</f>
        <v/>
      </c>
      <c r="I864">
        <f>IF(I$2=0,"",IFERROR(TRIM(INDEX('Pegar docentes'!$A$1:$BZ$1001,863,I$2)&amp;""),""))</f>
        <v/>
      </c>
      <c r="J864">
        <f>IF(J$2=0,"",IFERROR(TRIM(INDEX('Pegar docentes'!$A$1:$BZ$1001,863,J$2)&amp;""),""))</f>
        <v/>
      </c>
      <c r="K864">
        <f>IF(K$2=0,"",IFERROR(TRIM(INDEX('Pegar docentes'!$A$1:$BZ$1001,863,K$2)&amp;""),""))</f>
        <v/>
      </c>
      <c r="L864">
        <f>IF(L$2=0,"",IFERROR(TRIM(INDEX('Pegar docentes'!$A$1:$BZ$1001,863,L$2)&amp;""),""))</f>
        <v/>
      </c>
      <c r="M864">
        <f>IF(M$2=0,"",IFERROR(TRIM(INDEX('Pegar docentes'!$A$1:$BZ$1001,863,M$2)&amp;""),""))</f>
        <v/>
      </c>
      <c r="N864">
        <f>IF(N$2=0,"",IFERROR(TRIM(INDEX('Pegar docentes'!$A$1:$BZ$1001,863,N$2)&amp;""),""))</f>
        <v/>
      </c>
      <c r="O864">
        <f>IF(O$2=0,"",IFERROR(TRIM(INDEX('Pegar docentes'!$A$1:$BZ$1001,863,O$2)&amp;""),""))</f>
        <v/>
      </c>
      <c r="P864">
        <f>IF(P$2=0,"",IFERROR(TRIM(INDEX('Pegar docentes'!$A$1:$BZ$1001,863,P$2)&amp;""),""))</f>
        <v/>
      </c>
      <c r="Q864" s="25">
        <f>IF(OR(D864&lt;&gt;"",H864&lt;&gt;""),1,"")</f>
        <v/>
      </c>
      <c r="R864" s="25">
        <f>IF(Q864=1,IF(ISNUMBER(FIND("#"&amp;MID(D864,1,1)&amp;"#","#0#1#2#3#4#5#6#7#8#9#")),IF(ISNUMBER(FIND("#"&amp;MID(D864,2,1)&amp;"#","#0#1#2#3#4#5#6#7#8#9#")),IF(AND(VALUE(LEFT(D864,2))&gt;=1,VALUE(LEFT(D864,2))&lt;=5),VALUE(LEFT(D864,2)),""),IF(AND(VALUE(LEFT(D864,1))&gt;=1,VALUE(LEFT(D864,1))&lt;=5),VALUE(LEFT(D864,1)),"")),""),"")</f>
        <v/>
      </c>
      <c r="S864" s="25">
        <f>IF(AND(Q864=1,E864&lt;&gt;""),SUBSTITUTE(SUBSTITUTE(SUBSTITUTE(SUBSTITUTE(SUBSTITUTE(SUBSTITUTE(SUBSTITUTE(SUBSTITUTE(SUBSTITUTE(SUBSTITUTE(SUBSTITUTE(SUBSTITUTE(LOWER(TRIM(E864)),"á","a"),"é","e"),"í","i"),"ó","o"),"ú","u"),"ü","u"),"ñ","n"),"à","a"),"è","e"),"ì","i"),"ò","o"),"ù","u"),"")</f>
        <v/>
      </c>
      <c r="T864" s="25">
        <f>IF(AND(Q864=1,G864&lt;&gt;""),SUBSTITUTE(SUBSTITUTE(SUBSTITUTE(SUBSTITUTE(SUBSTITUTE(SUBSTITUTE(SUBSTITUTE(SUBSTITUTE(SUBSTITUTE(SUBSTITUTE(SUBSTITUTE(SUBSTITUTE(LOWER(TRIM(G864)),"á","a"),"é","e"),"í","i"),"ó","o"),"ú","u"),"ü","u"),"ñ","n"),"à","a"),"è","e"),"ì","i"),"ò","o"),"ù","u"),"")</f>
        <v/>
      </c>
      <c r="U864" s="25">
        <f>IF(AND(Q864=1,H864&lt;&gt;""),SUBSTITUTE(SUBSTITUTE(SUBSTITUTE(SUBSTITUTE(SUBSTITUTE(SUBSTITUTE(SUBSTITUTE(SUBSTITUTE(SUBSTITUTE(SUBSTITUTE(SUBSTITUTE(SUBSTITUTE(LOWER(TRIM(H864)),"á","a"),"é","e"),"í","i"),"ó","o"),"ú","u"),"ü","u"),"ñ","n"),"à","a"),"è","e"),"ì","i"),"ò","o"),"ù","u"),"")</f>
        <v/>
      </c>
      <c r="V864" s="25">
        <f>IF(AND(Q864=1,L864&lt;&gt;""),SUBSTITUTE(SUBSTITUTE(SUBSTITUTE(SUBSTITUTE(SUBSTITUTE(SUBSTITUTE(SUBSTITUTE(SUBSTITUTE(SUBSTITUTE(SUBSTITUTE(SUBSTITUTE(SUBSTITUTE(LOWER(TRIM(L864)),"á","a"),"é","e"),"í","i"),"ó","o"),"ú","u"),"ü","u"),"ñ","n"),"à","a"),"è","e"),"ì","i"),"ò","o"),"ù","u"),"")</f>
        <v/>
      </c>
      <c r="W864" s="25">
        <f>IF(AND(Q864=1,I864&lt;&gt;""),SUBSTITUTE(SUBSTITUTE(SUBSTITUTE(SUBSTITUTE(SUBSTITUTE(SUBSTITUTE(SUBSTITUTE(SUBSTITUTE(SUBSTITUTE(SUBSTITUTE(SUBSTITUTE(SUBSTITUTE(LOWER(TRIM(I864)),"á","a"),"é","e"),"í","i"),"ó","o"),"ú","u"),"ü","u"),"ñ","n"),"à","a"),"è","e"),"ì","i"),"ò","o"),"ù","u"),"")</f>
        <v/>
      </c>
      <c r="X864" s="25">
        <f>IF(U864="","",IF(OR(U864="si, en la proxima tarea",U864="si, con cambios"),1,0))</f>
        <v/>
      </c>
      <c r="Y864" s="25">
        <f>IF(AND(Q864=1,A864&lt;&gt;""),IF(IFERROR(COUNTIFS(A$3:A864,"="&amp;SUBSTITUTE(SUBSTITUTE(SUBSTITUTE(A864,"~","~~"),"*","~*"),"?","~?"),Q$3:Q864,1),0)=1,MAX(Y$2:Y863)+1,""),"")</f>
        <v/>
      </c>
      <c r="Z864" s="25">
        <f>IF(Y864="","",COUNTIFS($A$3:$A$1002,"="&amp;SUBSTITUTE(SUBSTITUTE(SUBSTITUTE(A864,"~","~~"),"*","~*"),"?","~?"),$Q$3:$Q$1002,1)*10000-Y864)</f>
        <v/>
      </c>
    </row>
    <row r="865">
      <c r="A865">
        <f>IF(A$2=0,"",IFERROR(TRIM(INDEX('Pegar docentes'!$A$1:$BZ$1001,864,A$2)&amp;""),""))</f>
        <v/>
      </c>
      <c r="B865">
        <f>IF(B$2=0,"",IFERROR(TRIM(INDEX('Pegar docentes'!$A$1:$BZ$1001,864,B$2)&amp;""),""))</f>
        <v/>
      </c>
      <c r="C865">
        <f>IF(C$2=0,"",IFERROR(TRIM(INDEX('Pegar docentes'!$A$1:$BZ$1001,864,C$2)&amp;""),""))</f>
        <v/>
      </c>
      <c r="D865">
        <f>IF(D$2=0,"",IFERROR(TRIM(INDEX('Pegar docentes'!$A$1:$BZ$1001,864,D$2)&amp;""),""))</f>
        <v/>
      </c>
      <c r="E865">
        <f>IF(E$2=0,"",IFERROR(TRIM(INDEX('Pegar docentes'!$A$1:$BZ$1001,864,E$2)&amp;""),""))</f>
        <v/>
      </c>
      <c r="F865">
        <f>IF(F$2=0,"",IFERROR(TRIM(INDEX('Pegar docentes'!$A$1:$BZ$1001,864,F$2)&amp;""),""))</f>
        <v/>
      </c>
      <c r="G865">
        <f>IF(G$2=0,"",IFERROR(TRIM(INDEX('Pegar docentes'!$A$1:$BZ$1001,864,G$2)&amp;""),""))</f>
        <v/>
      </c>
      <c r="H865">
        <f>IF(H$2=0,"",IFERROR(TRIM(INDEX('Pegar docentes'!$A$1:$BZ$1001,864,H$2)&amp;""),""))</f>
        <v/>
      </c>
      <c r="I865">
        <f>IF(I$2=0,"",IFERROR(TRIM(INDEX('Pegar docentes'!$A$1:$BZ$1001,864,I$2)&amp;""),""))</f>
        <v/>
      </c>
      <c r="J865">
        <f>IF(J$2=0,"",IFERROR(TRIM(INDEX('Pegar docentes'!$A$1:$BZ$1001,864,J$2)&amp;""),""))</f>
        <v/>
      </c>
      <c r="K865">
        <f>IF(K$2=0,"",IFERROR(TRIM(INDEX('Pegar docentes'!$A$1:$BZ$1001,864,K$2)&amp;""),""))</f>
        <v/>
      </c>
      <c r="L865">
        <f>IF(L$2=0,"",IFERROR(TRIM(INDEX('Pegar docentes'!$A$1:$BZ$1001,864,L$2)&amp;""),""))</f>
        <v/>
      </c>
      <c r="M865">
        <f>IF(M$2=0,"",IFERROR(TRIM(INDEX('Pegar docentes'!$A$1:$BZ$1001,864,M$2)&amp;""),""))</f>
        <v/>
      </c>
      <c r="N865">
        <f>IF(N$2=0,"",IFERROR(TRIM(INDEX('Pegar docentes'!$A$1:$BZ$1001,864,N$2)&amp;""),""))</f>
        <v/>
      </c>
      <c r="O865">
        <f>IF(O$2=0,"",IFERROR(TRIM(INDEX('Pegar docentes'!$A$1:$BZ$1001,864,O$2)&amp;""),""))</f>
        <v/>
      </c>
      <c r="P865">
        <f>IF(P$2=0,"",IFERROR(TRIM(INDEX('Pegar docentes'!$A$1:$BZ$1001,864,P$2)&amp;""),""))</f>
        <v/>
      </c>
      <c r="Q865" s="25">
        <f>IF(OR(D865&lt;&gt;"",H865&lt;&gt;""),1,"")</f>
        <v/>
      </c>
      <c r="R865" s="25">
        <f>IF(Q865=1,IF(ISNUMBER(FIND("#"&amp;MID(D865,1,1)&amp;"#","#0#1#2#3#4#5#6#7#8#9#")),IF(ISNUMBER(FIND("#"&amp;MID(D865,2,1)&amp;"#","#0#1#2#3#4#5#6#7#8#9#")),IF(AND(VALUE(LEFT(D865,2))&gt;=1,VALUE(LEFT(D865,2))&lt;=5),VALUE(LEFT(D865,2)),""),IF(AND(VALUE(LEFT(D865,1))&gt;=1,VALUE(LEFT(D865,1))&lt;=5),VALUE(LEFT(D865,1)),"")),""),"")</f>
        <v/>
      </c>
      <c r="S865" s="25">
        <f>IF(AND(Q865=1,E865&lt;&gt;""),SUBSTITUTE(SUBSTITUTE(SUBSTITUTE(SUBSTITUTE(SUBSTITUTE(SUBSTITUTE(SUBSTITUTE(SUBSTITUTE(SUBSTITUTE(SUBSTITUTE(SUBSTITUTE(SUBSTITUTE(LOWER(TRIM(E865)),"á","a"),"é","e"),"í","i"),"ó","o"),"ú","u"),"ü","u"),"ñ","n"),"à","a"),"è","e"),"ì","i"),"ò","o"),"ù","u"),"")</f>
        <v/>
      </c>
      <c r="T865" s="25">
        <f>IF(AND(Q865=1,G865&lt;&gt;""),SUBSTITUTE(SUBSTITUTE(SUBSTITUTE(SUBSTITUTE(SUBSTITUTE(SUBSTITUTE(SUBSTITUTE(SUBSTITUTE(SUBSTITUTE(SUBSTITUTE(SUBSTITUTE(SUBSTITUTE(LOWER(TRIM(G865)),"á","a"),"é","e"),"í","i"),"ó","o"),"ú","u"),"ü","u"),"ñ","n"),"à","a"),"è","e"),"ì","i"),"ò","o"),"ù","u"),"")</f>
        <v/>
      </c>
      <c r="U865" s="25">
        <f>IF(AND(Q865=1,H865&lt;&gt;""),SUBSTITUTE(SUBSTITUTE(SUBSTITUTE(SUBSTITUTE(SUBSTITUTE(SUBSTITUTE(SUBSTITUTE(SUBSTITUTE(SUBSTITUTE(SUBSTITUTE(SUBSTITUTE(SUBSTITUTE(LOWER(TRIM(H865)),"á","a"),"é","e"),"í","i"),"ó","o"),"ú","u"),"ü","u"),"ñ","n"),"à","a"),"è","e"),"ì","i"),"ò","o"),"ù","u"),"")</f>
        <v/>
      </c>
      <c r="V865" s="25">
        <f>IF(AND(Q865=1,L865&lt;&gt;""),SUBSTITUTE(SUBSTITUTE(SUBSTITUTE(SUBSTITUTE(SUBSTITUTE(SUBSTITUTE(SUBSTITUTE(SUBSTITUTE(SUBSTITUTE(SUBSTITUTE(SUBSTITUTE(SUBSTITUTE(LOWER(TRIM(L865)),"á","a"),"é","e"),"í","i"),"ó","o"),"ú","u"),"ü","u"),"ñ","n"),"à","a"),"è","e"),"ì","i"),"ò","o"),"ù","u"),"")</f>
        <v/>
      </c>
      <c r="W865" s="25">
        <f>IF(AND(Q865=1,I865&lt;&gt;""),SUBSTITUTE(SUBSTITUTE(SUBSTITUTE(SUBSTITUTE(SUBSTITUTE(SUBSTITUTE(SUBSTITUTE(SUBSTITUTE(SUBSTITUTE(SUBSTITUTE(SUBSTITUTE(SUBSTITUTE(LOWER(TRIM(I865)),"á","a"),"é","e"),"í","i"),"ó","o"),"ú","u"),"ü","u"),"ñ","n"),"à","a"),"è","e"),"ì","i"),"ò","o"),"ù","u"),"")</f>
        <v/>
      </c>
      <c r="X865" s="25">
        <f>IF(U865="","",IF(OR(U865="si, en la proxima tarea",U865="si, con cambios"),1,0))</f>
        <v/>
      </c>
      <c r="Y865" s="25">
        <f>IF(AND(Q865=1,A865&lt;&gt;""),IF(IFERROR(COUNTIFS(A$3:A865,"="&amp;SUBSTITUTE(SUBSTITUTE(SUBSTITUTE(A865,"~","~~"),"*","~*"),"?","~?"),Q$3:Q865,1),0)=1,MAX(Y$2:Y864)+1,""),"")</f>
        <v/>
      </c>
      <c r="Z865" s="25">
        <f>IF(Y865="","",COUNTIFS($A$3:$A$1002,"="&amp;SUBSTITUTE(SUBSTITUTE(SUBSTITUTE(A865,"~","~~"),"*","~*"),"?","~?"),$Q$3:$Q$1002,1)*10000-Y865)</f>
        <v/>
      </c>
    </row>
    <row r="866">
      <c r="A866">
        <f>IF(A$2=0,"",IFERROR(TRIM(INDEX('Pegar docentes'!$A$1:$BZ$1001,865,A$2)&amp;""),""))</f>
        <v/>
      </c>
      <c r="B866">
        <f>IF(B$2=0,"",IFERROR(TRIM(INDEX('Pegar docentes'!$A$1:$BZ$1001,865,B$2)&amp;""),""))</f>
        <v/>
      </c>
      <c r="C866">
        <f>IF(C$2=0,"",IFERROR(TRIM(INDEX('Pegar docentes'!$A$1:$BZ$1001,865,C$2)&amp;""),""))</f>
        <v/>
      </c>
      <c r="D866">
        <f>IF(D$2=0,"",IFERROR(TRIM(INDEX('Pegar docentes'!$A$1:$BZ$1001,865,D$2)&amp;""),""))</f>
        <v/>
      </c>
      <c r="E866">
        <f>IF(E$2=0,"",IFERROR(TRIM(INDEX('Pegar docentes'!$A$1:$BZ$1001,865,E$2)&amp;""),""))</f>
        <v/>
      </c>
      <c r="F866">
        <f>IF(F$2=0,"",IFERROR(TRIM(INDEX('Pegar docentes'!$A$1:$BZ$1001,865,F$2)&amp;""),""))</f>
        <v/>
      </c>
      <c r="G866">
        <f>IF(G$2=0,"",IFERROR(TRIM(INDEX('Pegar docentes'!$A$1:$BZ$1001,865,G$2)&amp;""),""))</f>
        <v/>
      </c>
      <c r="H866">
        <f>IF(H$2=0,"",IFERROR(TRIM(INDEX('Pegar docentes'!$A$1:$BZ$1001,865,H$2)&amp;""),""))</f>
        <v/>
      </c>
      <c r="I866">
        <f>IF(I$2=0,"",IFERROR(TRIM(INDEX('Pegar docentes'!$A$1:$BZ$1001,865,I$2)&amp;""),""))</f>
        <v/>
      </c>
      <c r="J866">
        <f>IF(J$2=0,"",IFERROR(TRIM(INDEX('Pegar docentes'!$A$1:$BZ$1001,865,J$2)&amp;""),""))</f>
        <v/>
      </c>
      <c r="K866">
        <f>IF(K$2=0,"",IFERROR(TRIM(INDEX('Pegar docentes'!$A$1:$BZ$1001,865,K$2)&amp;""),""))</f>
        <v/>
      </c>
      <c r="L866">
        <f>IF(L$2=0,"",IFERROR(TRIM(INDEX('Pegar docentes'!$A$1:$BZ$1001,865,L$2)&amp;""),""))</f>
        <v/>
      </c>
      <c r="M866">
        <f>IF(M$2=0,"",IFERROR(TRIM(INDEX('Pegar docentes'!$A$1:$BZ$1001,865,M$2)&amp;""),""))</f>
        <v/>
      </c>
      <c r="N866">
        <f>IF(N$2=0,"",IFERROR(TRIM(INDEX('Pegar docentes'!$A$1:$BZ$1001,865,N$2)&amp;""),""))</f>
        <v/>
      </c>
      <c r="O866">
        <f>IF(O$2=0,"",IFERROR(TRIM(INDEX('Pegar docentes'!$A$1:$BZ$1001,865,O$2)&amp;""),""))</f>
        <v/>
      </c>
      <c r="P866">
        <f>IF(P$2=0,"",IFERROR(TRIM(INDEX('Pegar docentes'!$A$1:$BZ$1001,865,P$2)&amp;""),""))</f>
        <v/>
      </c>
      <c r="Q866" s="25">
        <f>IF(OR(D866&lt;&gt;"",H866&lt;&gt;""),1,"")</f>
        <v/>
      </c>
      <c r="R866" s="25">
        <f>IF(Q866=1,IF(ISNUMBER(FIND("#"&amp;MID(D866,1,1)&amp;"#","#0#1#2#3#4#5#6#7#8#9#")),IF(ISNUMBER(FIND("#"&amp;MID(D866,2,1)&amp;"#","#0#1#2#3#4#5#6#7#8#9#")),IF(AND(VALUE(LEFT(D866,2))&gt;=1,VALUE(LEFT(D866,2))&lt;=5),VALUE(LEFT(D866,2)),""),IF(AND(VALUE(LEFT(D866,1))&gt;=1,VALUE(LEFT(D866,1))&lt;=5),VALUE(LEFT(D866,1)),"")),""),"")</f>
        <v/>
      </c>
      <c r="S866" s="25">
        <f>IF(AND(Q866=1,E866&lt;&gt;""),SUBSTITUTE(SUBSTITUTE(SUBSTITUTE(SUBSTITUTE(SUBSTITUTE(SUBSTITUTE(SUBSTITUTE(SUBSTITUTE(SUBSTITUTE(SUBSTITUTE(SUBSTITUTE(SUBSTITUTE(LOWER(TRIM(E866)),"á","a"),"é","e"),"í","i"),"ó","o"),"ú","u"),"ü","u"),"ñ","n"),"à","a"),"è","e"),"ì","i"),"ò","o"),"ù","u"),"")</f>
        <v/>
      </c>
      <c r="T866" s="25">
        <f>IF(AND(Q866=1,G866&lt;&gt;""),SUBSTITUTE(SUBSTITUTE(SUBSTITUTE(SUBSTITUTE(SUBSTITUTE(SUBSTITUTE(SUBSTITUTE(SUBSTITUTE(SUBSTITUTE(SUBSTITUTE(SUBSTITUTE(SUBSTITUTE(LOWER(TRIM(G866)),"á","a"),"é","e"),"í","i"),"ó","o"),"ú","u"),"ü","u"),"ñ","n"),"à","a"),"è","e"),"ì","i"),"ò","o"),"ù","u"),"")</f>
        <v/>
      </c>
      <c r="U866" s="25">
        <f>IF(AND(Q866=1,H866&lt;&gt;""),SUBSTITUTE(SUBSTITUTE(SUBSTITUTE(SUBSTITUTE(SUBSTITUTE(SUBSTITUTE(SUBSTITUTE(SUBSTITUTE(SUBSTITUTE(SUBSTITUTE(SUBSTITUTE(SUBSTITUTE(LOWER(TRIM(H866)),"á","a"),"é","e"),"í","i"),"ó","o"),"ú","u"),"ü","u"),"ñ","n"),"à","a"),"è","e"),"ì","i"),"ò","o"),"ù","u"),"")</f>
        <v/>
      </c>
      <c r="V866" s="25">
        <f>IF(AND(Q866=1,L866&lt;&gt;""),SUBSTITUTE(SUBSTITUTE(SUBSTITUTE(SUBSTITUTE(SUBSTITUTE(SUBSTITUTE(SUBSTITUTE(SUBSTITUTE(SUBSTITUTE(SUBSTITUTE(SUBSTITUTE(SUBSTITUTE(LOWER(TRIM(L866)),"á","a"),"é","e"),"í","i"),"ó","o"),"ú","u"),"ü","u"),"ñ","n"),"à","a"),"è","e"),"ì","i"),"ò","o"),"ù","u"),"")</f>
        <v/>
      </c>
      <c r="W866" s="25">
        <f>IF(AND(Q866=1,I866&lt;&gt;""),SUBSTITUTE(SUBSTITUTE(SUBSTITUTE(SUBSTITUTE(SUBSTITUTE(SUBSTITUTE(SUBSTITUTE(SUBSTITUTE(SUBSTITUTE(SUBSTITUTE(SUBSTITUTE(SUBSTITUTE(LOWER(TRIM(I866)),"á","a"),"é","e"),"í","i"),"ó","o"),"ú","u"),"ü","u"),"ñ","n"),"à","a"),"è","e"),"ì","i"),"ò","o"),"ù","u"),"")</f>
        <v/>
      </c>
      <c r="X866" s="25">
        <f>IF(U866="","",IF(OR(U866="si, en la proxima tarea",U866="si, con cambios"),1,0))</f>
        <v/>
      </c>
      <c r="Y866" s="25">
        <f>IF(AND(Q866=1,A866&lt;&gt;""),IF(IFERROR(COUNTIFS(A$3:A866,"="&amp;SUBSTITUTE(SUBSTITUTE(SUBSTITUTE(A866,"~","~~"),"*","~*"),"?","~?"),Q$3:Q866,1),0)=1,MAX(Y$2:Y865)+1,""),"")</f>
        <v/>
      </c>
      <c r="Z866" s="25">
        <f>IF(Y866="","",COUNTIFS($A$3:$A$1002,"="&amp;SUBSTITUTE(SUBSTITUTE(SUBSTITUTE(A866,"~","~~"),"*","~*"),"?","~?"),$Q$3:$Q$1002,1)*10000-Y866)</f>
        <v/>
      </c>
    </row>
    <row r="867">
      <c r="A867">
        <f>IF(A$2=0,"",IFERROR(TRIM(INDEX('Pegar docentes'!$A$1:$BZ$1001,866,A$2)&amp;""),""))</f>
        <v/>
      </c>
      <c r="B867">
        <f>IF(B$2=0,"",IFERROR(TRIM(INDEX('Pegar docentes'!$A$1:$BZ$1001,866,B$2)&amp;""),""))</f>
        <v/>
      </c>
      <c r="C867">
        <f>IF(C$2=0,"",IFERROR(TRIM(INDEX('Pegar docentes'!$A$1:$BZ$1001,866,C$2)&amp;""),""))</f>
        <v/>
      </c>
      <c r="D867">
        <f>IF(D$2=0,"",IFERROR(TRIM(INDEX('Pegar docentes'!$A$1:$BZ$1001,866,D$2)&amp;""),""))</f>
        <v/>
      </c>
      <c r="E867">
        <f>IF(E$2=0,"",IFERROR(TRIM(INDEX('Pegar docentes'!$A$1:$BZ$1001,866,E$2)&amp;""),""))</f>
        <v/>
      </c>
      <c r="F867">
        <f>IF(F$2=0,"",IFERROR(TRIM(INDEX('Pegar docentes'!$A$1:$BZ$1001,866,F$2)&amp;""),""))</f>
        <v/>
      </c>
      <c r="G867">
        <f>IF(G$2=0,"",IFERROR(TRIM(INDEX('Pegar docentes'!$A$1:$BZ$1001,866,G$2)&amp;""),""))</f>
        <v/>
      </c>
      <c r="H867">
        <f>IF(H$2=0,"",IFERROR(TRIM(INDEX('Pegar docentes'!$A$1:$BZ$1001,866,H$2)&amp;""),""))</f>
        <v/>
      </c>
      <c r="I867">
        <f>IF(I$2=0,"",IFERROR(TRIM(INDEX('Pegar docentes'!$A$1:$BZ$1001,866,I$2)&amp;""),""))</f>
        <v/>
      </c>
      <c r="J867">
        <f>IF(J$2=0,"",IFERROR(TRIM(INDEX('Pegar docentes'!$A$1:$BZ$1001,866,J$2)&amp;""),""))</f>
        <v/>
      </c>
      <c r="K867">
        <f>IF(K$2=0,"",IFERROR(TRIM(INDEX('Pegar docentes'!$A$1:$BZ$1001,866,K$2)&amp;""),""))</f>
        <v/>
      </c>
      <c r="L867">
        <f>IF(L$2=0,"",IFERROR(TRIM(INDEX('Pegar docentes'!$A$1:$BZ$1001,866,L$2)&amp;""),""))</f>
        <v/>
      </c>
      <c r="M867">
        <f>IF(M$2=0,"",IFERROR(TRIM(INDEX('Pegar docentes'!$A$1:$BZ$1001,866,M$2)&amp;""),""))</f>
        <v/>
      </c>
      <c r="N867">
        <f>IF(N$2=0,"",IFERROR(TRIM(INDEX('Pegar docentes'!$A$1:$BZ$1001,866,N$2)&amp;""),""))</f>
        <v/>
      </c>
      <c r="O867">
        <f>IF(O$2=0,"",IFERROR(TRIM(INDEX('Pegar docentes'!$A$1:$BZ$1001,866,O$2)&amp;""),""))</f>
        <v/>
      </c>
      <c r="P867">
        <f>IF(P$2=0,"",IFERROR(TRIM(INDEX('Pegar docentes'!$A$1:$BZ$1001,866,P$2)&amp;""),""))</f>
        <v/>
      </c>
      <c r="Q867" s="25">
        <f>IF(OR(D867&lt;&gt;"",H867&lt;&gt;""),1,"")</f>
        <v/>
      </c>
      <c r="R867" s="25">
        <f>IF(Q867=1,IF(ISNUMBER(FIND("#"&amp;MID(D867,1,1)&amp;"#","#0#1#2#3#4#5#6#7#8#9#")),IF(ISNUMBER(FIND("#"&amp;MID(D867,2,1)&amp;"#","#0#1#2#3#4#5#6#7#8#9#")),IF(AND(VALUE(LEFT(D867,2))&gt;=1,VALUE(LEFT(D867,2))&lt;=5),VALUE(LEFT(D867,2)),""),IF(AND(VALUE(LEFT(D867,1))&gt;=1,VALUE(LEFT(D867,1))&lt;=5),VALUE(LEFT(D867,1)),"")),""),"")</f>
        <v/>
      </c>
      <c r="S867" s="25">
        <f>IF(AND(Q867=1,E867&lt;&gt;""),SUBSTITUTE(SUBSTITUTE(SUBSTITUTE(SUBSTITUTE(SUBSTITUTE(SUBSTITUTE(SUBSTITUTE(SUBSTITUTE(SUBSTITUTE(SUBSTITUTE(SUBSTITUTE(SUBSTITUTE(LOWER(TRIM(E867)),"á","a"),"é","e"),"í","i"),"ó","o"),"ú","u"),"ü","u"),"ñ","n"),"à","a"),"è","e"),"ì","i"),"ò","o"),"ù","u"),"")</f>
        <v/>
      </c>
      <c r="T867" s="25">
        <f>IF(AND(Q867=1,G867&lt;&gt;""),SUBSTITUTE(SUBSTITUTE(SUBSTITUTE(SUBSTITUTE(SUBSTITUTE(SUBSTITUTE(SUBSTITUTE(SUBSTITUTE(SUBSTITUTE(SUBSTITUTE(SUBSTITUTE(SUBSTITUTE(LOWER(TRIM(G867)),"á","a"),"é","e"),"í","i"),"ó","o"),"ú","u"),"ü","u"),"ñ","n"),"à","a"),"è","e"),"ì","i"),"ò","o"),"ù","u"),"")</f>
        <v/>
      </c>
      <c r="U867" s="25">
        <f>IF(AND(Q867=1,H867&lt;&gt;""),SUBSTITUTE(SUBSTITUTE(SUBSTITUTE(SUBSTITUTE(SUBSTITUTE(SUBSTITUTE(SUBSTITUTE(SUBSTITUTE(SUBSTITUTE(SUBSTITUTE(SUBSTITUTE(SUBSTITUTE(LOWER(TRIM(H867)),"á","a"),"é","e"),"í","i"),"ó","o"),"ú","u"),"ü","u"),"ñ","n"),"à","a"),"è","e"),"ì","i"),"ò","o"),"ù","u"),"")</f>
        <v/>
      </c>
      <c r="V867" s="25">
        <f>IF(AND(Q867=1,L867&lt;&gt;""),SUBSTITUTE(SUBSTITUTE(SUBSTITUTE(SUBSTITUTE(SUBSTITUTE(SUBSTITUTE(SUBSTITUTE(SUBSTITUTE(SUBSTITUTE(SUBSTITUTE(SUBSTITUTE(SUBSTITUTE(LOWER(TRIM(L867)),"á","a"),"é","e"),"í","i"),"ó","o"),"ú","u"),"ü","u"),"ñ","n"),"à","a"),"è","e"),"ì","i"),"ò","o"),"ù","u"),"")</f>
        <v/>
      </c>
      <c r="W867" s="25">
        <f>IF(AND(Q867=1,I867&lt;&gt;""),SUBSTITUTE(SUBSTITUTE(SUBSTITUTE(SUBSTITUTE(SUBSTITUTE(SUBSTITUTE(SUBSTITUTE(SUBSTITUTE(SUBSTITUTE(SUBSTITUTE(SUBSTITUTE(SUBSTITUTE(LOWER(TRIM(I867)),"á","a"),"é","e"),"í","i"),"ó","o"),"ú","u"),"ü","u"),"ñ","n"),"à","a"),"è","e"),"ì","i"),"ò","o"),"ù","u"),"")</f>
        <v/>
      </c>
      <c r="X867" s="25">
        <f>IF(U867="","",IF(OR(U867="si, en la proxima tarea",U867="si, con cambios"),1,0))</f>
        <v/>
      </c>
      <c r="Y867" s="25">
        <f>IF(AND(Q867=1,A867&lt;&gt;""),IF(IFERROR(COUNTIFS(A$3:A867,"="&amp;SUBSTITUTE(SUBSTITUTE(SUBSTITUTE(A867,"~","~~"),"*","~*"),"?","~?"),Q$3:Q867,1),0)=1,MAX(Y$2:Y866)+1,""),"")</f>
        <v/>
      </c>
      <c r="Z867" s="25">
        <f>IF(Y867="","",COUNTIFS($A$3:$A$1002,"="&amp;SUBSTITUTE(SUBSTITUTE(SUBSTITUTE(A867,"~","~~"),"*","~*"),"?","~?"),$Q$3:$Q$1002,1)*10000-Y867)</f>
        <v/>
      </c>
    </row>
    <row r="868">
      <c r="A868">
        <f>IF(A$2=0,"",IFERROR(TRIM(INDEX('Pegar docentes'!$A$1:$BZ$1001,867,A$2)&amp;""),""))</f>
        <v/>
      </c>
      <c r="B868">
        <f>IF(B$2=0,"",IFERROR(TRIM(INDEX('Pegar docentes'!$A$1:$BZ$1001,867,B$2)&amp;""),""))</f>
        <v/>
      </c>
      <c r="C868">
        <f>IF(C$2=0,"",IFERROR(TRIM(INDEX('Pegar docentes'!$A$1:$BZ$1001,867,C$2)&amp;""),""))</f>
        <v/>
      </c>
      <c r="D868">
        <f>IF(D$2=0,"",IFERROR(TRIM(INDEX('Pegar docentes'!$A$1:$BZ$1001,867,D$2)&amp;""),""))</f>
        <v/>
      </c>
      <c r="E868">
        <f>IF(E$2=0,"",IFERROR(TRIM(INDEX('Pegar docentes'!$A$1:$BZ$1001,867,E$2)&amp;""),""))</f>
        <v/>
      </c>
      <c r="F868">
        <f>IF(F$2=0,"",IFERROR(TRIM(INDEX('Pegar docentes'!$A$1:$BZ$1001,867,F$2)&amp;""),""))</f>
        <v/>
      </c>
      <c r="G868">
        <f>IF(G$2=0,"",IFERROR(TRIM(INDEX('Pegar docentes'!$A$1:$BZ$1001,867,G$2)&amp;""),""))</f>
        <v/>
      </c>
      <c r="H868">
        <f>IF(H$2=0,"",IFERROR(TRIM(INDEX('Pegar docentes'!$A$1:$BZ$1001,867,H$2)&amp;""),""))</f>
        <v/>
      </c>
      <c r="I868">
        <f>IF(I$2=0,"",IFERROR(TRIM(INDEX('Pegar docentes'!$A$1:$BZ$1001,867,I$2)&amp;""),""))</f>
        <v/>
      </c>
      <c r="J868">
        <f>IF(J$2=0,"",IFERROR(TRIM(INDEX('Pegar docentes'!$A$1:$BZ$1001,867,J$2)&amp;""),""))</f>
        <v/>
      </c>
      <c r="K868">
        <f>IF(K$2=0,"",IFERROR(TRIM(INDEX('Pegar docentes'!$A$1:$BZ$1001,867,K$2)&amp;""),""))</f>
        <v/>
      </c>
      <c r="L868">
        <f>IF(L$2=0,"",IFERROR(TRIM(INDEX('Pegar docentes'!$A$1:$BZ$1001,867,L$2)&amp;""),""))</f>
        <v/>
      </c>
      <c r="M868">
        <f>IF(M$2=0,"",IFERROR(TRIM(INDEX('Pegar docentes'!$A$1:$BZ$1001,867,M$2)&amp;""),""))</f>
        <v/>
      </c>
      <c r="N868">
        <f>IF(N$2=0,"",IFERROR(TRIM(INDEX('Pegar docentes'!$A$1:$BZ$1001,867,N$2)&amp;""),""))</f>
        <v/>
      </c>
      <c r="O868">
        <f>IF(O$2=0,"",IFERROR(TRIM(INDEX('Pegar docentes'!$A$1:$BZ$1001,867,O$2)&amp;""),""))</f>
        <v/>
      </c>
      <c r="P868">
        <f>IF(P$2=0,"",IFERROR(TRIM(INDEX('Pegar docentes'!$A$1:$BZ$1001,867,P$2)&amp;""),""))</f>
        <v/>
      </c>
      <c r="Q868" s="25">
        <f>IF(OR(D868&lt;&gt;"",H868&lt;&gt;""),1,"")</f>
        <v/>
      </c>
      <c r="R868" s="25">
        <f>IF(Q868=1,IF(ISNUMBER(FIND("#"&amp;MID(D868,1,1)&amp;"#","#0#1#2#3#4#5#6#7#8#9#")),IF(ISNUMBER(FIND("#"&amp;MID(D868,2,1)&amp;"#","#0#1#2#3#4#5#6#7#8#9#")),IF(AND(VALUE(LEFT(D868,2))&gt;=1,VALUE(LEFT(D868,2))&lt;=5),VALUE(LEFT(D868,2)),""),IF(AND(VALUE(LEFT(D868,1))&gt;=1,VALUE(LEFT(D868,1))&lt;=5),VALUE(LEFT(D868,1)),"")),""),"")</f>
        <v/>
      </c>
      <c r="S868" s="25">
        <f>IF(AND(Q868=1,E868&lt;&gt;""),SUBSTITUTE(SUBSTITUTE(SUBSTITUTE(SUBSTITUTE(SUBSTITUTE(SUBSTITUTE(SUBSTITUTE(SUBSTITUTE(SUBSTITUTE(SUBSTITUTE(SUBSTITUTE(SUBSTITUTE(LOWER(TRIM(E868)),"á","a"),"é","e"),"í","i"),"ó","o"),"ú","u"),"ü","u"),"ñ","n"),"à","a"),"è","e"),"ì","i"),"ò","o"),"ù","u"),"")</f>
        <v/>
      </c>
      <c r="T868" s="25">
        <f>IF(AND(Q868=1,G868&lt;&gt;""),SUBSTITUTE(SUBSTITUTE(SUBSTITUTE(SUBSTITUTE(SUBSTITUTE(SUBSTITUTE(SUBSTITUTE(SUBSTITUTE(SUBSTITUTE(SUBSTITUTE(SUBSTITUTE(SUBSTITUTE(LOWER(TRIM(G868)),"á","a"),"é","e"),"í","i"),"ó","o"),"ú","u"),"ü","u"),"ñ","n"),"à","a"),"è","e"),"ì","i"),"ò","o"),"ù","u"),"")</f>
        <v/>
      </c>
      <c r="U868" s="25">
        <f>IF(AND(Q868=1,H868&lt;&gt;""),SUBSTITUTE(SUBSTITUTE(SUBSTITUTE(SUBSTITUTE(SUBSTITUTE(SUBSTITUTE(SUBSTITUTE(SUBSTITUTE(SUBSTITUTE(SUBSTITUTE(SUBSTITUTE(SUBSTITUTE(LOWER(TRIM(H868)),"á","a"),"é","e"),"í","i"),"ó","o"),"ú","u"),"ü","u"),"ñ","n"),"à","a"),"è","e"),"ì","i"),"ò","o"),"ù","u"),"")</f>
        <v/>
      </c>
      <c r="V868" s="25">
        <f>IF(AND(Q868=1,L868&lt;&gt;""),SUBSTITUTE(SUBSTITUTE(SUBSTITUTE(SUBSTITUTE(SUBSTITUTE(SUBSTITUTE(SUBSTITUTE(SUBSTITUTE(SUBSTITUTE(SUBSTITUTE(SUBSTITUTE(SUBSTITUTE(LOWER(TRIM(L868)),"á","a"),"é","e"),"í","i"),"ó","o"),"ú","u"),"ü","u"),"ñ","n"),"à","a"),"è","e"),"ì","i"),"ò","o"),"ù","u"),"")</f>
        <v/>
      </c>
      <c r="W868" s="25">
        <f>IF(AND(Q868=1,I868&lt;&gt;""),SUBSTITUTE(SUBSTITUTE(SUBSTITUTE(SUBSTITUTE(SUBSTITUTE(SUBSTITUTE(SUBSTITUTE(SUBSTITUTE(SUBSTITUTE(SUBSTITUTE(SUBSTITUTE(SUBSTITUTE(LOWER(TRIM(I868)),"á","a"),"é","e"),"í","i"),"ó","o"),"ú","u"),"ü","u"),"ñ","n"),"à","a"),"è","e"),"ì","i"),"ò","o"),"ù","u"),"")</f>
        <v/>
      </c>
      <c r="X868" s="25">
        <f>IF(U868="","",IF(OR(U868="si, en la proxima tarea",U868="si, con cambios"),1,0))</f>
        <v/>
      </c>
      <c r="Y868" s="25">
        <f>IF(AND(Q868=1,A868&lt;&gt;""),IF(IFERROR(COUNTIFS(A$3:A868,"="&amp;SUBSTITUTE(SUBSTITUTE(SUBSTITUTE(A868,"~","~~"),"*","~*"),"?","~?"),Q$3:Q868,1),0)=1,MAX(Y$2:Y867)+1,""),"")</f>
        <v/>
      </c>
      <c r="Z868" s="25">
        <f>IF(Y868="","",COUNTIFS($A$3:$A$1002,"="&amp;SUBSTITUTE(SUBSTITUTE(SUBSTITUTE(A868,"~","~~"),"*","~*"),"?","~?"),$Q$3:$Q$1002,1)*10000-Y868)</f>
        <v/>
      </c>
    </row>
    <row r="869">
      <c r="A869">
        <f>IF(A$2=0,"",IFERROR(TRIM(INDEX('Pegar docentes'!$A$1:$BZ$1001,868,A$2)&amp;""),""))</f>
        <v/>
      </c>
      <c r="B869">
        <f>IF(B$2=0,"",IFERROR(TRIM(INDEX('Pegar docentes'!$A$1:$BZ$1001,868,B$2)&amp;""),""))</f>
        <v/>
      </c>
      <c r="C869">
        <f>IF(C$2=0,"",IFERROR(TRIM(INDEX('Pegar docentes'!$A$1:$BZ$1001,868,C$2)&amp;""),""))</f>
        <v/>
      </c>
      <c r="D869">
        <f>IF(D$2=0,"",IFERROR(TRIM(INDEX('Pegar docentes'!$A$1:$BZ$1001,868,D$2)&amp;""),""))</f>
        <v/>
      </c>
      <c r="E869">
        <f>IF(E$2=0,"",IFERROR(TRIM(INDEX('Pegar docentes'!$A$1:$BZ$1001,868,E$2)&amp;""),""))</f>
        <v/>
      </c>
      <c r="F869">
        <f>IF(F$2=0,"",IFERROR(TRIM(INDEX('Pegar docentes'!$A$1:$BZ$1001,868,F$2)&amp;""),""))</f>
        <v/>
      </c>
      <c r="G869">
        <f>IF(G$2=0,"",IFERROR(TRIM(INDEX('Pegar docentes'!$A$1:$BZ$1001,868,G$2)&amp;""),""))</f>
        <v/>
      </c>
      <c r="H869">
        <f>IF(H$2=0,"",IFERROR(TRIM(INDEX('Pegar docentes'!$A$1:$BZ$1001,868,H$2)&amp;""),""))</f>
        <v/>
      </c>
      <c r="I869">
        <f>IF(I$2=0,"",IFERROR(TRIM(INDEX('Pegar docentes'!$A$1:$BZ$1001,868,I$2)&amp;""),""))</f>
        <v/>
      </c>
      <c r="J869">
        <f>IF(J$2=0,"",IFERROR(TRIM(INDEX('Pegar docentes'!$A$1:$BZ$1001,868,J$2)&amp;""),""))</f>
        <v/>
      </c>
      <c r="K869">
        <f>IF(K$2=0,"",IFERROR(TRIM(INDEX('Pegar docentes'!$A$1:$BZ$1001,868,K$2)&amp;""),""))</f>
        <v/>
      </c>
      <c r="L869">
        <f>IF(L$2=0,"",IFERROR(TRIM(INDEX('Pegar docentes'!$A$1:$BZ$1001,868,L$2)&amp;""),""))</f>
        <v/>
      </c>
      <c r="M869">
        <f>IF(M$2=0,"",IFERROR(TRIM(INDEX('Pegar docentes'!$A$1:$BZ$1001,868,M$2)&amp;""),""))</f>
        <v/>
      </c>
      <c r="N869">
        <f>IF(N$2=0,"",IFERROR(TRIM(INDEX('Pegar docentes'!$A$1:$BZ$1001,868,N$2)&amp;""),""))</f>
        <v/>
      </c>
      <c r="O869">
        <f>IF(O$2=0,"",IFERROR(TRIM(INDEX('Pegar docentes'!$A$1:$BZ$1001,868,O$2)&amp;""),""))</f>
        <v/>
      </c>
      <c r="P869">
        <f>IF(P$2=0,"",IFERROR(TRIM(INDEX('Pegar docentes'!$A$1:$BZ$1001,868,P$2)&amp;""),""))</f>
        <v/>
      </c>
      <c r="Q869" s="25">
        <f>IF(OR(D869&lt;&gt;"",H869&lt;&gt;""),1,"")</f>
        <v/>
      </c>
      <c r="R869" s="25">
        <f>IF(Q869=1,IF(ISNUMBER(FIND("#"&amp;MID(D869,1,1)&amp;"#","#0#1#2#3#4#5#6#7#8#9#")),IF(ISNUMBER(FIND("#"&amp;MID(D869,2,1)&amp;"#","#0#1#2#3#4#5#6#7#8#9#")),IF(AND(VALUE(LEFT(D869,2))&gt;=1,VALUE(LEFT(D869,2))&lt;=5),VALUE(LEFT(D869,2)),""),IF(AND(VALUE(LEFT(D869,1))&gt;=1,VALUE(LEFT(D869,1))&lt;=5),VALUE(LEFT(D869,1)),"")),""),"")</f>
        <v/>
      </c>
      <c r="S869" s="25">
        <f>IF(AND(Q869=1,E869&lt;&gt;""),SUBSTITUTE(SUBSTITUTE(SUBSTITUTE(SUBSTITUTE(SUBSTITUTE(SUBSTITUTE(SUBSTITUTE(SUBSTITUTE(SUBSTITUTE(SUBSTITUTE(SUBSTITUTE(SUBSTITUTE(LOWER(TRIM(E869)),"á","a"),"é","e"),"í","i"),"ó","o"),"ú","u"),"ü","u"),"ñ","n"),"à","a"),"è","e"),"ì","i"),"ò","o"),"ù","u"),"")</f>
        <v/>
      </c>
      <c r="T869" s="25">
        <f>IF(AND(Q869=1,G869&lt;&gt;""),SUBSTITUTE(SUBSTITUTE(SUBSTITUTE(SUBSTITUTE(SUBSTITUTE(SUBSTITUTE(SUBSTITUTE(SUBSTITUTE(SUBSTITUTE(SUBSTITUTE(SUBSTITUTE(SUBSTITUTE(LOWER(TRIM(G869)),"á","a"),"é","e"),"í","i"),"ó","o"),"ú","u"),"ü","u"),"ñ","n"),"à","a"),"è","e"),"ì","i"),"ò","o"),"ù","u"),"")</f>
        <v/>
      </c>
      <c r="U869" s="25">
        <f>IF(AND(Q869=1,H869&lt;&gt;""),SUBSTITUTE(SUBSTITUTE(SUBSTITUTE(SUBSTITUTE(SUBSTITUTE(SUBSTITUTE(SUBSTITUTE(SUBSTITUTE(SUBSTITUTE(SUBSTITUTE(SUBSTITUTE(SUBSTITUTE(LOWER(TRIM(H869)),"á","a"),"é","e"),"í","i"),"ó","o"),"ú","u"),"ü","u"),"ñ","n"),"à","a"),"è","e"),"ì","i"),"ò","o"),"ù","u"),"")</f>
        <v/>
      </c>
      <c r="V869" s="25">
        <f>IF(AND(Q869=1,L869&lt;&gt;""),SUBSTITUTE(SUBSTITUTE(SUBSTITUTE(SUBSTITUTE(SUBSTITUTE(SUBSTITUTE(SUBSTITUTE(SUBSTITUTE(SUBSTITUTE(SUBSTITUTE(SUBSTITUTE(SUBSTITUTE(LOWER(TRIM(L869)),"á","a"),"é","e"),"í","i"),"ó","o"),"ú","u"),"ü","u"),"ñ","n"),"à","a"),"è","e"),"ì","i"),"ò","o"),"ù","u"),"")</f>
        <v/>
      </c>
      <c r="W869" s="25">
        <f>IF(AND(Q869=1,I869&lt;&gt;""),SUBSTITUTE(SUBSTITUTE(SUBSTITUTE(SUBSTITUTE(SUBSTITUTE(SUBSTITUTE(SUBSTITUTE(SUBSTITUTE(SUBSTITUTE(SUBSTITUTE(SUBSTITUTE(SUBSTITUTE(LOWER(TRIM(I869)),"á","a"),"é","e"),"í","i"),"ó","o"),"ú","u"),"ü","u"),"ñ","n"),"à","a"),"è","e"),"ì","i"),"ò","o"),"ù","u"),"")</f>
        <v/>
      </c>
      <c r="X869" s="25">
        <f>IF(U869="","",IF(OR(U869="si, en la proxima tarea",U869="si, con cambios"),1,0))</f>
        <v/>
      </c>
      <c r="Y869" s="25">
        <f>IF(AND(Q869=1,A869&lt;&gt;""),IF(IFERROR(COUNTIFS(A$3:A869,"="&amp;SUBSTITUTE(SUBSTITUTE(SUBSTITUTE(A869,"~","~~"),"*","~*"),"?","~?"),Q$3:Q869,1),0)=1,MAX(Y$2:Y868)+1,""),"")</f>
        <v/>
      </c>
      <c r="Z869" s="25">
        <f>IF(Y869="","",COUNTIFS($A$3:$A$1002,"="&amp;SUBSTITUTE(SUBSTITUTE(SUBSTITUTE(A869,"~","~~"),"*","~*"),"?","~?"),$Q$3:$Q$1002,1)*10000-Y869)</f>
        <v/>
      </c>
    </row>
    <row r="870">
      <c r="A870">
        <f>IF(A$2=0,"",IFERROR(TRIM(INDEX('Pegar docentes'!$A$1:$BZ$1001,869,A$2)&amp;""),""))</f>
        <v/>
      </c>
      <c r="B870">
        <f>IF(B$2=0,"",IFERROR(TRIM(INDEX('Pegar docentes'!$A$1:$BZ$1001,869,B$2)&amp;""),""))</f>
        <v/>
      </c>
      <c r="C870">
        <f>IF(C$2=0,"",IFERROR(TRIM(INDEX('Pegar docentes'!$A$1:$BZ$1001,869,C$2)&amp;""),""))</f>
        <v/>
      </c>
      <c r="D870">
        <f>IF(D$2=0,"",IFERROR(TRIM(INDEX('Pegar docentes'!$A$1:$BZ$1001,869,D$2)&amp;""),""))</f>
        <v/>
      </c>
      <c r="E870">
        <f>IF(E$2=0,"",IFERROR(TRIM(INDEX('Pegar docentes'!$A$1:$BZ$1001,869,E$2)&amp;""),""))</f>
        <v/>
      </c>
      <c r="F870">
        <f>IF(F$2=0,"",IFERROR(TRIM(INDEX('Pegar docentes'!$A$1:$BZ$1001,869,F$2)&amp;""),""))</f>
        <v/>
      </c>
      <c r="G870">
        <f>IF(G$2=0,"",IFERROR(TRIM(INDEX('Pegar docentes'!$A$1:$BZ$1001,869,G$2)&amp;""),""))</f>
        <v/>
      </c>
      <c r="H870">
        <f>IF(H$2=0,"",IFERROR(TRIM(INDEX('Pegar docentes'!$A$1:$BZ$1001,869,H$2)&amp;""),""))</f>
        <v/>
      </c>
      <c r="I870">
        <f>IF(I$2=0,"",IFERROR(TRIM(INDEX('Pegar docentes'!$A$1:$BZ$1001,869,I$2)&amp;""),""))</f>
        <v/>
      </c>
      <c r="J870">
        <f>IF(J$2=0,"",IFERROR(TRIM(INDEX('Pegar docentes'!$A$1:$BZ$1001,869,J$2)&amp;""),""))</f>
        <v/>
      </c>
      <c r="K870">
        <f>IF(K$2=0,"",IFERROR(TRIM(INDEX('Pegar docentes'!$A$1:$BZ$1001,869,K$2)&amp;""),""))</f>
        <v/>
      </c>
      <c r="L870">
        <f>IF(L$2=0,"",IFERROR(TRIM(INDEX('Pegar docentes'!$A$1:$BZ$1001,869,L$2)&amp;""),""))</f>
        <v/>
      </c>
      <c r="M870">
        <f>IF(M$2=0,"",IFERROR(TRIM(INDEX('Pegar docentes'!$A$1:$BZ$1001,869,M$2)&amp;""),""))</f>
        <v/>
      </c>
      <c r="N870">
        <f>IF(N$2=0,"",IFERROR(TRIM(INDEX('Pegar docentes'!$A$1:$BZ$1001,869,N$2)&amp;""),""))</f>
        <v/>
      </c>
      <c r="O870">
        <f>IF(O$2=0,"",IFERROR(TRIM(INDEX('Pegar docentes'!$A$1:$BZ$1001,869,O$2)&amp;""),""))</f>
        <v/>
      </c>
      <c r="P870">
        <f>IF(P$2=0,"",IFERROR(TRIM(INDEX('Pegar docentes'!$A$1:$BZ$1001,869,P$2)&amp;""),""))</f>
        <v/>
      </c>
      <c r="Q870" s="25">
        <f>IF(OR(D870&lt;&gt;"",H870&lt;&gt;""),1,"")</f>
        <v/>
      </c>
      <c r="R870" s="25">
        <f>IF(Q870=1,IF(ISNUMBER(FIND("#"&amp;MID(D870,1,1)&amp;"#","#0#1#2#3#4#5#6#7#8#9#")),IF(ISNUMBER(FIND("#"&amp;MID(D870,2,1)&amp;"#","#0#1#2#3#4#5#6#7#8#9#")),IF(AND(VALUE(LEFT(D870,2))&gt;=1,VALUE(LEFT(D870,2))&lt;=5),VALUE(LEFT(D870,2)),""),IF(AND(VALUE(LEFT(D870,1))&gt;=1,VALUE(LEFT(D870,1))&lt;=5),VALUE(LEFT(D870,1)),"")),""),"")</f>
        <v/>
      </c>
      <c r="S870" s="25">
        <f>IF(AND(Q870=1,E870&lt;&gt;""),SUBSTITUTE(SUBSTITUTE(SUBSTITUTE(SUBSTITUTE(SUBSTITUTE(SUBSTITUTE(SUBSTITUTE(SUBSTITUTE(SUBSTITUTE(SUBSTITUTE(SUBSTITUTE(SUBSTITUTE(LOWER(TRIM(E870)),"á","a"),"é","e"),"í","i"),"ó","o"),"ú","u"),"ü","u"),"ñ","n"),"à","a"),"è","e"),"ì","i"),"ò","o"),"ù","u"),"")</f>
        <v/>
      </c>
      <c r="T870" s="25">
        <f>IF(AND(Q870=1,G870&lt;&gt;""),SUBSTITUTE(SUBSTITUTE(SUBSTITUTE(SUBSTITUTE(SUBSTITUTE(SUBSTITUTE(SUBSTITUTE(SUBSTITUTE(SUBSTITUTE(SUBSTITUTE(SUBSTITUTE(SUBSTITUTE(LOWER(TRIM(G870)),"á","a"),"é","e"),"í","i"),"ó","o"),"ú","u"),"ü","u"),"ñ","n"),"à","a"),"è","e"),"ì","i"),"ò","o"),"ù","u"),"")</f>
        <v/>
      </c>
      <c r="U870" s="25">
        <f>IF(AND(Q870=1,H870&lt;&gt;""),SUBSTITUTE(SUBSTITUTE(SUBSTITUTE(SUBSTITUTE(SUBSTITUTE(SUBSTITUTE(SUBSTITUTE(SUBSTITUTE(SUBSTITUTE(SUBSTITUTE(SUBSTITUTE(SUBSTITUTE(LOWER(TRIM(H870)),"á","a"),"é","e"),"í","i"),"ó","o"),"ú","u"),"ü","u"),"ñ","n"),"à","a"),"è","e"),"ì","i"),"ò","o"),"ù","u"),"")</f>
        <v/>
      </c>
      <c r="V870" s="25">
        <f>IF(AND(Q870=1,L870&lt;&gt;""),SUBSTITUTE(SUBSTITUTE(SUBSTITUTE(SUBSTITUTE(SUBSTITUTE(SUBSTITUTE(SUBSTITUTE(SUBSTITUTE(SUBSTITUTE(SUBSTITUTE(SUBSTITUTE(SUBSTITUTE(LOWER(TRIM(L870)),"á","a"),"é","e"),"í","i"),"ó","o"),"ú","u"),"ü","u"),"ñ","n"),"à","a"),"è","e"),"ì","i"),"ò","o"),"ù","u"),"")</f>
        <v/>
      </c>
      <c r="W870" s="25">
        <f>IF(AND(Q870=1,I870&lt;&gt;""),SUBSTITUTE(SUBSTITUTE(SUBSTITUTE(SUBSTITUTE(SUBSTITUTE(SUBSTITUTE(SUBSTITUTE(SUBSTITUTE(SUBSTITUTE(SUBSTITUTE(SUBSTITUTE(SUBSTITUTE(LOWER(TRIM(I870)),"á","a"),"é","e"),"í","i"),"ó","o"),"ú","u"),"ü","u"),"ñ","n"),"à","a"),"è","e"),"ì","i"),"ò","o"),"ù","u"),"")</f>
        <v/>
      </c>
      <c r="X870" s="25">
        <f>IF(U870="","",IF(OR(U870="si, en la proxima tarea",U870="si, con cambios"),1,0))</f>
        <v/>
      </c>
      <c r="Y870" s="25">
        <f>IF(AND(Q870=1,A870&lt;&gt;""),IF(IFERROR(COUNTIFS(A$3:A870,"="&amp;SUBSTITUTE(SUBSTITUTE(SUBSTITUTE(A870,"~","~~"),"*","~*"),"?","~?"),Q$3:Q870,1),0)=1,MAX(Y$2:Y869)+1,""),"")</f>
        <v/>
      </c>
      <c r="Z870" s="25">
        <f>IF(Y870="","",COUNTIFS($A$3:$A$1002,"="&amp;SUBSTITUTE(SUBSTITUTE(SUBSTITUTE(A870,"~","~~"),"*","~*"),"?","~?"),$Q$3:$Q$1002,1)*10000-Y870)</f>
        <v/>
      </c>
    </row>
    <row r="871">
      <c r="A871">
        <f>IF(A$2=0,"",IFERROR(TRIM(INDEX('Pegar docentes'!$A$1:$BZ$1001,870,A$2)&amp;""),""))</f>
        <v/>
      </c>
      <c r="B871">
        <f>IF(B$2=0,"",IFERROR(TRIM(INDEX('Pegar docentes'!$A$1:$BZ$1001,870,B$2)&amp;""),""))</f>
        <v/>
      </c>
      <c r="C871">
        <f>IF(C$2=0,"",IFERROR(TRIM(INDEX('Pegar docentes'!$A$1:$BZ$1001,870,C$2)&amp;""),""))</f>
        <v/>
      </c>
      <c r="D871">
        <f>IF(D$2=0,"",IFERROR(TRIM(INDEX('Pegar docentes'!$A$1:$BZ$1001,870,D$2)&amp;""),""))</f>
        <v/>
      </c>
      <c r="E871">
        <f>IF(E$2=0,"",IFERROR(TRIM(INDEX('Pegar docentes'!$A$1:$BZ$1001,870,E$2)&amp;""),""))</f>
        <v/>
      </c>
      <c r="F871">
        <f>IF(F$2=0,"",IFERROR(TRIM(INDEX('Pegar docentes'!$A$1:$BZ$1001,870,F$2)&amp;""),""))</f>
        <v/>
      </c>
      <c r="G871">
        <f>IF(G$2=0,"",IFERROR(TRIM(INDEX('Pegar docentes'!$A$1:$BZ$1001,870,G$2)&amp;""),""))</f>
        <v/>
      </c>
      <c r="H871">
        <f>IF(H$2=0,"",IFERROR(TRIM(INDEX('Pegar docentes'!$A$1:$BZ$1001,870,H$2)&amp;""),""))</f>
        <v/>
      </c>
      <c r="I871">
        <f>IF(I$2=0,"",IFERROR(TRIM(INDEX('Pegar docentes'!$A$1:$BZ$1001,870,I$2)&amp;""),""))</f>
        <v/>
      </c>
      <c r="J871">
        <f>IF(J$2=0,"",IFERROR(TRIM(INDEX('Pegar docentes'!$A$1:$BZ$1001,870,J$2)&amp;""),""))</f>
        <v/>
      </c>
      <c r="K871">
        <f>IF(K$2=0,"",IFERROR(TRIM(INDEX('Pegar docentes'!$A$1:$BZ$1001,870,K$2)&amp;""),""))</f>
        <v/>
      </c>
      <c r="L871">
        <f>IF(L$2=0,"",IFERROR(TRIM(INDEX('Pegar docentes'!$A$1:$BZ$1001,870,L$2)&amp;""),""))</f>
        <v/>
      </c>
      <c r="M871">
        <f>IF(M$2=0,"",IFERROR(TRIM(INDEX('Pegar docentes'!$A$1:$BZ$1001,870,M$2)&amp;""),""))</f>
        <v/>
      </c>
      <c r="N871">
        <f>IF(N$2=0,"",IFERROR(TRIM(INDEX('Pegar docentes'!$A$1:$BZ$1001,870,N$2)&amp;""),""))</f>
        <v/>
      </c>
      <c r="O871">
        <f>IF(O$2=0,"",IFERROR(TRIM(INDEX('Pegar docentes'!$A$1:$BZ$1001,870,O$2)&amp;""),""))</f>
        <v/>
      </c>
      <c r="P871">
        <f>IF(P$2=0,"",IFERROR(TRIM(INDEX('Pegar docentes'!$A$1:$BZ$1001,870,P$2)&amp;""),""))</f>
        <v/>
      </c>
      <c r="Q871" s="25">
        <f>IF(OR(D871&lt;&gt;"",H871&lt;&gt;""),1,"")</f>
        <v/>
      </c>
      <c r="R871" s="25">
        <f>IF(Q871=1,IF(ISNUMBER(FIND("#"&amp;MID(D871,1,1)&amp;"#","#0#1#2#3#4#5#6#7#8#9#")),IF(ISNUMBER(FIND("#"&amp;MID(D871,2,1)&amp;"#","#0#1#2#3#4#5#6#7#8#9#")),IF(AND(VALUE(LEFT(D871,2))&gt;=1,VALUE(LEFT(D871,2))&lt;=5),VALUE(LEFT(D871,2)),""),IF(AND(VALUE(LEFT(D871,1))&gt;=1,VALUE(LEFT(D871,1))&lt;=5),VALUE(LEFT(D871,1)),"")),""),"")</f>
        <v/>
      </c>
      <c r="S871" s="25">
        <f>IF(AND(Q871=1,E871&lt;&gt;""),SUBSTITUTE(SUBSTITUTE(SUBSTITUTE(SUBSTITUTE(SUBSTITUTE(SUBSTITUTE(SUBSTITUTE(SUBSTITUTE(SUBSTITUTE(SUBSTITUTE(SUBSTITUTE(SUBSTITUTE(LOWER(TRIM(E871)),"á","a"),"é","e"),"í","i"),"ó","o"),"ú","u"),"ü","u"),"ñ","n"),"à","a"),"è","e"),"ì","i"),"ò","o"),"ù","u"),"")</f>
        <v/>
      </c>
      <c r="T871" s="25">
        <f>IF(AND(Q871=1,G871&lt;&gt;""),SUBSTITUTE(SUBSTITUTE(SUBSTITUTE(SUBSTITUTE(SUBSTITUTE(SUBSTITUTE(SUBSTITUTE(SUBSTITUTE(SUBSTITUTE(SUBSTITUTE(SUBSTITUTE(SUBSTITUTE(LOWER(TRIM(G871)),"á","a"),"é","e"),"í","i"),"ó","o"),"ú","u"),"ü","u"),"ñ","n"),"à","a"),"è","e"),"ì","i"),"ò","o"),"ù","u"),"")</f>
        <v/>
      </c>
      <c r="U871" s="25">
        <f>IF(AND(Q871=1,H871&lt;&gt;""),SUBSTITUTE(SUBSTITUTE(SUBSTITUTE(SUBSTITUTE(SUBSTITUTE(SUBSTITUTE(SUBSTITUTE(SUBSTITUTE(SUBSTITUTE(SUBSTITUTE(SUBSTITUTE(SUBSTITUTE(LOWER(TRIM(H871)),"á","a"),"é","e"),"í","i"),"ó","o"),"ú","u"),"ü","u"),"ñ","n"),"à","a"),"è","e"),"ì","i"),"ò","o"),"ù","u"),"")</f>
        <v/>
      </c>
      <c r="V871" s="25">
        <f>IF(AND(Q871=1,L871&lt;&gt;""),SUBSTITUTE(SUBSTITUTE(SUBSTITUTE(SUBSTITUTE(SUBSTITUTE(SUBSTITUTE(SUBSTITUTE(SUBSTITUTE(SUBSTITUTE(SUBSTITUTE(SUBSTITUTE(SUBSTITUTE(LOWER(TRIM(L871)),"á","a"),"é","e"),"í","i"),"ó","o"),"ú","u"),"ü","u"),"ñ","n"),"à","a"),"è","e"),"ì","i"),"ò","o"),"ù","u"),"")</f>
        <v/>
      </c>
      <c r="W871" s="25">
        <f>IF(AND(Q871=1,I871&lt;&gt;""),SUBSTITUTE(SUBSTITUTE(SUBSTITUTE(SUBSTITUTE(SUBSTITUTE(SUBSTITUTE(SUBSTITUTE(SUBSTITUTE(SUBSTITUTE(SUBSTITUTE(SUBSTITUTE(SUBSTITUTE(LOWER(TRIM(I871)),"á","a"),"é","e"),"í","i"),"ó","o"),"ú","u"),"ü","u"),"ñ","n"),"à","a"),"è","e"),"ì","i"),"ò","o"),"ù","u"),"")</f>
        <v/>
      </c>
      <c r="X871" s="25">
        <f>IF(U871="","",IF(OR(U871="si, en la proxima tarea",U871="si, con cambios"),1,0))</f>
        <v/>
      </c>
      <c r="Y871" s="25">
        <f>IF(AND(Q871=1,A871&lt;&gt;""),IF(IFERROR(COUNTIFS(A$3:A871,"="&amp;SUBSTITUTE(SUBSTITUTE(SUBSTITUTE(A871,"~","~~"),"*","~*"),"?","~?"),Q$3:Q871,1),0)=1,MAX(Y$2:Y870)+1,""),"")</f>
        <v/>
      </c>
      <c r="Z871" s="25">
        <f>IF(Y871="","",COUNTIFS($A$3:$A$1002,"="&amp;SUBSTITUTE(SUBSTITUTE(SUBSTITUTE(A871,"~","~~"),"*","~*"),"?","~?"),$Q$3:$Q$1002,1)*10000-Y871)</f>
        <v/>
      </c>
    </row>
    <row r="872">
      <c r="A872">
        <f>IF(A$2=0,"",IFERROR(TRIM(INDEX('Pegar docentes'!$A$1:$BZ$1001,871,A$2)&amp;""),""))</f>
        <v/>
      </c>
      <c r="B872">
        <f>IF(B$2=0,"",IFERROR(TRIM(INDEX('Pegar docentes'!$A$1:$BZ$1001,871,B$2)&amp;""),""))</f>
        <v/>
      </c>
      <c r="C872">
        <f>IF(C$2=0,"",IFERROR(TRIM(INDEX('Pegar docentes'!$A$1:$BZ$1001,871,C$2)&amp;""),""))</f>
        <v/>
      </c>
      <c r="D872">
        <f>IF(D$2=0,"",IFERROR(TRIM(INDEX('Pegar docentes'!$A$1:$BZ$1001,871,D$2)&amp;""),""))</f>
        <v/>
      </c>
      <c r="E872">
        <f>IF(E$2=0,"",IFERROR(TRIM(INDEX('Pegar docentes'!$A$1:$BZ$1001,871,E$2)&amp;""),""))</f>
        <v/>
      </c>
      <c r="F872">
        <f>IF(F$2=0,"",IFERROR(TRIM(INDEX('Pegar docentes'!$A$1:$BZ$1001,871,F$2)&amp;""),""))</f>
        <v/>
      </c>
      <c r="G872">
        <f>IF(G$2=0,"",IFERROR(TRIM(INDEX('Pegar docentes'!$A$1:$BZ$1001,871,G$2)&amp;""),""))</f>
        <v/>
      </c>
      <c r="H872">
        <f>IF(H$2=0,"",IFERROR(TRIM(INDEX('Pegar docentes'!$A$1:$BZ$1001,871,H$2)&amp;""),""))</f>
        <v/>
      </c>
      <c r="I872">
        <f>IF(I$2=0,"",IFERROR(TRIM(INDEX('Pegar docentes'!$A$1:$BZ$1001,871,I$2)&amp;""),""))</f>
        <v/>
      </c>
      <c r="J872">
        <f>IF(J$2=0,"",IFERROR(TRIM(INDEX('Pegar docentes'!$A$1:$BZ$1001,871,J$2)&amp;""),""))</f>
        <v/>
      </c>
      <c r="K872">
        <f>IF(K$2=0,"",IFERROR(TRIM(INDEX('Pegar docentes'!$A$1:$BZ$1001,871,K$2)&amp;""),""))</f>
        <v/>
      </c>
      <c r="L872">
        <f>IF(L$2=0,"",IFERROR(TRIM(INDEX('Pegar docentes'!$A$1:$BZ$1001,871,L$2)&amp;""),""))</f>
        <v/>
      </c>
      <c r="M872">
        <f>IF(M$2=0,"",IFERROR(TRIM(INDEX('Pegar docentes'!$A$1:$BZ$1001,871,M$2)&amp;""),""))</f>
        <v/>
      </c>
      <c r="N872">
        <f>IF(N$2=0,"",IFERROR(TRIM(INDEX('Pegar docentes'!$A$1:$BZ$1001,871,N$2)&amp;""),""))</f>
        <v/>
      </c>
      <c r="O872">
        <f>IF(O$2=0,"",IFERROR(TRIM(INDEX('Pegar docentes'!$A$1:$BZ$1001,871,O$2)&amp;""),""))</f>
        <v/>
      </c>
      <c r="P872">
        <f>IF(P$2=0,"",IFERROR(TRIM(INDEX('Pegar docentes'!$A$1:$BZ$1001,871,P$2)&amp;""),""))</f>
        <v/>
      </c>
      <c r="Q872" s="25">
        <f>IF(OR(D872&lt;&gt;"",H872&lt;&gt;""),1,"")</f>
        <v/>
      </c>
      <c r="R872" s="25">
        <f>IF(Q872=1,IF(ISNUMBER(FIND("#"&amp;MID(D872,1,1)&amp;"#","#0#1#2#3#4#5#6#7#8#9#")),IF(ISNUMBER(FIND("#"&amp;MID(D872,2,1)&amp;"#","#0#1#2#3#4#5#6#7#8#9#")),IF(AND(VALUE(LEFT(D872,2))&gt;=1,VALUE(LEFT(D872,2))&lt;=5),VALUE(LEFT(D872,2)),""),IF(AND(VALUE(LEFT(D872,1))&gt;=1,VALUE(LEFT(D872,1))&lt;=5),VALUE(LEFT(D872,1)),"")),""),"")</f>
        <v/>
      </c>
      <c r="S872" s="25">
        <f>IF(AND(Q872=1,E872&lt;&gt;""),SUBSTITUTE(SUBSTITUTE(SUBSTITUTE(SUBSTITUTE(SUBSTITUTE(SUBSTITUTE(SUBSTITUTE(SUBSTITUTE(SUBSTITUTE(SUBSTITUTE(SUBSTITUTE(SUBSTITUTE(LOWER(TRIM(E872)),"á","a"),"é","e"),"í","i"),"ó","o"),"ú","u"),"ü","u"),"ñ","n"),"à","a"),"è","e"),"ì","i"),"ò","o"),"ù","u"),"")</f>
        <v/>
      </c>
      <c r="T872" s="25">
        <f>IF(AND(Q872=1,G872&lt;&gt;""),SUBSTITUTE(SUBSTITUTE(SUBSTITUTE(SUBSTITUTE(SUBSTITUTE(SUBSTITUTE(SUBSTITUTE(SUBSTITUTE(SUBSTITUTE(SUBSTITUTE(SUBSTITUTE(SUBSTITUTE(LOWER(TRIM(G872)),"á","a"),"é","e"),"í","i"),"ó","o"),"ú","u"),"ü","u"),"ñ","n"),"à","a"),"è","e"),"ì","i"),"ò","o"),"ù","u"),"")</f>
        <v/>
      </c>
      <c r="U872" s="25">
        <f>IF(AND(Q872=1,H872&lt;&gt;""),SUBSTITUTE(SUBSTITUTE(SUBSTITUTE(SUBSTITUTE(SUBSTITUTE(SUBSTITUTE(SUBSTITUTE(SUBSTITUTE(SUBSTITUTE(SUBSTITUTE(SUBSTITUTE(SUBSTITUTE(LOWER(TRIM(H872)),"á","a"),"é","e"),"í","i"),"ó","o"),"ú","u"),"ü","u"),"ñ","n"),"à","a"),"è","e"),"ì","i"),"ò","o"),"ù","u"),"")</f>
        <v/>
      </c>
      <c r="V872" s="25">
        <f>IF(AND(Q872=1,L872&lt;&gt;""),SUBSTITUTE(SUBSTITUTE(SUBSTITUTE(SUBSTITUTE(SUBSTITUTE(SUBSTITUTE(SUBSTITUTE(SUBSTITUTE(SUBSTITUTE(SUBSTITUTE(SUBSTITUTE(SUBSTITUTE(LOWER(TRIM(L872)),"á","a"),"é","e"),"í","i"),"ó","o"),"ú","u"),"ü","u"),"ñ","n"),"à","a"),"è","e"),"ì","i"),"ò","o"),"ù","u"),"")</f>
        <v/>
      </c>
      <c r="W872" s="25">
        <f>IF(AND(Q872=1,I872&lt;&gt;""),SUBSTITUTE(SUBSTITUTE(SUBSTITUTE(SUBSTITUTE(SUBSTITUTE(SUBSTITUTE(SUBSTITUTE(SUBSTITUTE(SUBSTITUTE(SUBSTITUTE(SUBSTITUTE(SUBSTITUTE(LOWER(TRIM(I872)),"á","a"),"é","e"),"í","i"),"ó","o"),"ú","u"),"ü","u"),"ñ","n"),"à","a"),"è","e"),"ì","i"),"ò","o"),"ù","u"),"")</f>
        <v/>
      </c>
      <c r="X872" s="25">
        <f>IF(U872="","",IF(OR(U872="si, en la proxima tarea",U872="si, con cambios"),1,0))</f>
        <v/>
      </c>
      <c r="Y872" s="25">
        <f>IF(AND(Q872=1,A872&lt;&gt;""),IF(IFERROR(COUNTIFS(A$3:A872,"="&amp;SUBSTITUTE(SUBSTITUTE(SUBSTITUTE(A872,"~","~~"),"*","~*"),"?","~?"),Q$3:Q872,1),0)=1,MAX(Y$2:Y871)+1,""),"")</f>
        <v/>
      </c>
      <c r="Z872" s="25">
        <f>IF(Y872="","",COUNTIFS($A$3:$A$1002,"="&amp;SUBSTITUTE(SUBSTITUTE(SUBSTITUTE(A872,"~","~~"),"*","~*"),"?","~?"),$Q$3:$Q$1002,1)*10000-Y872)</f>
        <v/>
      </c>
    </row>
    <row r="873">
      <c r="A873">
        <f>IF(A$2=0,"",IFERROR(TRIM(INDEX('Pegar docentes'!$A$1:$BZ$1001,872,A$2)&amp;""),""))</f>
        <v/>
      </c>
      <c r="B873">
        <f>IF(B$2=0,"",IFERROR(TRIM(INDEX('Pegar docentes'!$A$1:$BZ$1001,872,B$2)&amp;""),""))</f>
        <v/>
      </c>
      <c r="C873">
        <f>IF(C$2=0,"",IFERROR(TRIM(INDEX('Pegar docentes'!$A$1:$BZ$1001,872,C$2)&amp;""),""))</f>
        <v/>
      </c>
      <c r="D873">
        <f>IF(D$2=0,"",IFERROR(TRIM(INDEX('Pegar docentes'!$A$1:$BZ$1001,872,D$2)&amp;""),""))</f>
        <v/>
      </c>
      <c r="E873">
        <f>IF(E$2=0,"",IFERROR(TRIM(INDEX('Pegar docentes'!$A$1:$BZ$1001,872,E$2)&amp;""),""))</f>
        <v/>
      </c>
      <c r="F873">
        <f>IF(F$2=0,"",IFERROR(TRIM(INDEX('Pegar docentes'!$A$1:$BZ$1001,872,F$2)&amp;""),""))</f>
        <v/>
      </c>
      <c r="G873">
        <f>IF(G$2=0,"",IFERROR(TRIM(INDEX('Pegar docentes'!$A$1:$BZ$1001,872,G$2)&amp;""),""))</f>
        <v/>
      </c>
      <c r="H873">
        <f>IF(H$2=0,"",IFERROR(TRIM(INDEX('Pegar docentes'!$A$1:$BZ$1001,872,H$2)&amp;""),""))</f>
        <v/>
      </c>
      <c r="I873">
        <f>IF(I$2=0,"",IFERROR(TRIM(INDEX('Pegar docentes'!$A$1:$BZ$1001,872,I$2)&amp;""),""))</f>
        <v/>
      </c>
      <c r="J873">
        <f>IF(J$2=0,"",IFERROR(TRIM(INDEX('Pegar docentes'!$A$1:$BZ$1001,872,J$2)&amp;""),""))</f>
        <v/>
      </c>
      <c r="K873">
        <f>IF(K$2=0,"",IFERROR(TRIM(INDEX('Pegar docentes'!$A$1:$BZ$1001,872,K$2)&amp;""),""))</f>
        <v/>
      </c>
      <c r="L873">
        <f>IF(L$2=0,"",IFERROR(TRIM(INDEX('Pegar docentes'!$A$1:$BZ$1001,872,L$2)&amp;""),""))</f>
        <v/>
      </c>
      <c r="M873">
        <f>IF(M$2=0,"",IFERROR(TRIM(INDEX('Pegar docentes'!$A$1:$BZ$1001,872,M$2)&amp;""),""))</f>
        <v/>
      </c>
      <c r="N873">
        <f>IF(N$2=0,"",IFERROR(TRIM(INDEX('Pegar docentes'!$A$1:$BZ$1001,872,N$2)&amp;""),""))</f>
        <v/>
      </c>
      <c r="O873">
        <f>IF(O$2=0,"",IFERROR(TRIM(INDEX('Pegar docentes'!$A$1:$BZ$1001,872,O$2)&amp;""),""))</f>
        <v/>
      </c>
      <c r="P873">
        <f>IF(P$2=0,"",IFERROR(TRIM(INDEX('Pegar docentes'!$A$1:$BZ$1001,872,P$2)&amp;""),""))</f>
        <v/>
      </c>
      <c r="Q873" s="25">
        <f>IF(OR(D873&lt;&gt;"",H873&lt;&gt;""),1,"")</f>
        <v/>
      </c>
      <c r="R873" s="25">
        <f>IF(Q873=1,IF(ISNUMBER(FIND("#"&amp;MID(D873,1,1)&amp;"#","#0#1#2#3#4#5#6#7#8#9#")),IF(ISNUMBER(FIND("#"&amp;MID(D873,2,1)&amp;"#","#0#1#2#3#4#5#6#7#8#9#")),IF(AND(VALUE(LEFT(D873,2))&gt;=1,VALUE(LEFT(D873,2))&lt;=5),VALUE(LEFT(D873,2)),""),IF(AND(VALUE(LEFT(D873,1))&gt;=1,VALUE(LEFT(D873,1))&lt;=5),VALUE(LEFT(D873,1)),"")),""),"")</f>
        <v/>
      </c>
      <c r="S873" s="25">
        <f>IF(AND(Q873=1,E873&lt;&gt;""),SUBSTITUTE(SUBSTITUTE(SUBSTITUTE(SUBSTITUTE(SUBSTITUTE(SUBSTITUTE(SUBSTITUTE(SUBSTITUTE(SUBSTITUTE(SUBSTITUTE(SUBSTITUTE(SUBSTITUTE(LOWER(TRIM(E873)),"á","a"),"é","e"),"í","i"),"ó","o"),"ú","u"),"ü","u"),"ñ","n"),"à","a"),"è","e"),"ì","i"),"ò","o"),"ù","u"),"")</f>
        <v/>
      </c>
      <c r="T873" s="25">
        <f>IF(AND(Q873=1,G873&lt;&gt;""),SUBSTITUTE(SUBSTITUTE(SUBSTITUTE(SUBSTITUTE(SUBSTITUTE(SUBSTITUTE(SUBSTITUTE(SUBSTITUTE(SUBSTITUTE(SUBSTITUTE(SUBSTITUTE(SUBSTITUTE(LOWER(TRIM(G873)),"á","a"),"é","e"),"í","i"),"ó","o"),"ú","u"),"ü","u"),"ñ","n"),"à","a"),"è","e"),"ì","i"),"ò","o"),"ù","u"),"")</f>
        <v/>
      </c>
      <c r="U873" s="25">
        <f>IF(AND(Q873=1,H873&lt;&gt;""),SUBSTITUTE(SUBSTITUTE(SUBSTITUTE(SUBSTITUTE(SUBSTITUTE(SUBSTITUTE(SUBSTITUTE(SUBSTITUTE(SUBSTITUTE(SUBSTITUTE(SUBSTITUTE(SUBSTITUTE(LOWER(TRIM(H873)),"á","a"),"é","e"),"í","i"),"ó","o"),"ú","u"),"ü","u"),"ñ","n"),"à","a"),"è","e"),"ì","i"),"ò","o"),"ù","u"),"")</f>
        <v/>
      </c>
      <c r="V873" s="25">
        <f>IF(AND(Q873=1,L873&lt;&gt;""),SUBSTITUTE(SUBSTITUTE(SUBSTITUTE(SUBSTITUTE(SUBSTITUTE(SUBSTITUTE(SUBSTITUTE(SUBSTITUTE(SUBSTITUTE(SUBSTITUTE(SUBSTITUTE(SUBSTITUTE(LOWER(TRIM(L873)),"á","a"),"é","e"),"í","i"),"ó","o"),"ú","u"),"ü","u"),"ñ","n"),"à","a"),"è","e"),"ì","i"),"ò","o"),"ù","u"),"")</f>
        <v/>
      </c>
      <c r="W873" s="25">
        <f>IF(AND(Q873=1,I873&lt;&gt;""),SUBSTITUTE(SUBSTITUTE(SUBSTITUTE(SUBSTITUTE(SUBSTITUTE(SUBSTITUTE(SUBSTITUTE(SUBSTITUTE(SUBSTITUTE(SUBSTITUTE(SUBSTITUTE(SUBSTITUTE(LOWER(TRIM(I873)),"á","a"),"é","e"),"í","i"),"ó","o"),"ú","u"),"ü","u"),"ñ","n"),"à","a"),"è","e"),"ì","i"),"ò","o"),"ù","u"),"")</f>
        <v/>
      </c>
      <c r="X873" s="25">
        <f>IF(U873="","",IF(OR(U873="si, en la proxima tarea",U873="si, con cambios"),1,0))</f>
        <v/>
      </c>
      <c r="Y873" s="25">
        <f>IF(AND(Q873=1,A873&lt;&gt;""),IF(IFERROR(COUNTIFS(A$3:A873,"="&amp;SUBSTITUTE(SUBSTITUTE(SUBSTITUTE(A873,"~","~~"),"*","~*"),"?","~?"),Q$3:Q873,1),0)=1,MAX(Y$2:Y872)+1,""),"")</f>
        <v/>
      </c>
      <c r="Z873" s="25">
        <f>IF(Y873="","",COUNTIFS($A$3:$A$1002,"="&amp;SUBSTITUTE(SUBSTITUTE(SUBSTITUTE(A873,"~","~~"),"*","~*"),"?","~?"),$Q$3:$Q$1002,1)*10000-Y873)</f>
        <v/>
      </c>
    </row>
    <row r="874">
      <c r="A874">
        <f>IF(A$2=0,"",IFERROR(TRIM(INDEX('Pegar docentes'!$A$1:$BZ$1001,873,A$2)&amp;""),""))</f>
        <v/>
      </c>
      <c r="B874">
        <f>IF(B$2=0,"",IFERROR(TRIM(INDEX('Pegar docentes'!$A$1:$BZ$1001,873,B$2)&amp;""),""))</f>
        <v/>
      </c>
      <c r="C874">
        <f>IF(C$2=0,"",IFERROR(TRIM(INDEX('Pegar docentes'!$A$1:$BZ$1001,873,C$2)&amp;""),""))</f>
        <v/>
      </c>
      <c r="D874">
        <f>IF(D$2=0,"",IFERROR(TRIM(INDEX('Pegar docentes'!$A$1:$BZ$1001,873,D$2)&amp;""),""))</f>
        <v/>
      </c>
      <c r="E874">
        <f>IF(E$2=0,"",IFERROR(TRIM(INDEX('Pegar docentes'!$A$1:$BZ$1001,873,E$2)&amp;""),""))</f>
        <v/>
      </c>
      <c r="F874">
        <f>IF(F$2=0,"",IFERROR(TRIM(INDEX('Pegar docentes'!$A$1:$BZ$1001,873,F$2)&amp;""),""))</f>
        <v/>
      </c>
      <c r="G874">
        <f>IF(G$2=0,"",IFERROR(TRIM(INDEX('Pegar docentes'!$A$1:$BZ$1001,873,G$2)&amp;""),""))</f>
        <v/>
      </c>
      <c r="H874">
        <f>IF(H$2=0,"",IFERROR(TRIM(INDEX('Pegar docentes'!$A$1:$BZ$1001,873,H$2)&amp;""),""))</f>
        <v/>
      </c>
      <c r="I874">
        <f>IF(I$2=0,"",IFERROR(TRIM(INDEX('Pegar docentes'!$A$1:$BZ$1001,873,I$2)&amp;""),""))</f>
        <v/>
      </c>
      <c r="J874">
        <f>IF(J$2=0,"",IFERROR(TRIM(INDEX('Pegar docentes'!$A$1:$BZ$1001,873,J$2)&amp;""),""))</f>
        <v/>
      </c>
      <c r="K874">
        <f>IF(K$2=0,"",IFERROR(TRIM(INDEX('Pegar docentes'!$A$1:$BZ$1001,873,K$2)&amp;""),""))</f>
        <v/>
      </c>
      <c r="L874">
        <f>IF(L$2=0,"",IFERROR(TRIM(INDEX('Pegar docentes'!$A$1:$BZ$1001,873,L$2)&amp;""),""))</f>
        <v/>
      </c>
      <c r="M874">
        <f>IF(M$2=0,"",IFERROR(TRIM(INDEX('Pegar docentes'!$A$1:$BZ$1001,873,M$2)&amp;""),""))</f>
        <v/>
      </c>
      <c r="N874">
        <f>IF(N$2=0,"",IFERROR(TRIM(INDEX('Pegar docentes'!$A$1:$BZ$1001,873,N$2)&amp;""),""))</f>
        <v/>
      </c>
      <c r="O874">
        <f>IF(O$2=0,"",IFERROR(TRIM(INDEX('Pegar docentes'!$A$1:$BZ$1001,873,O$2)&amp;""),""))</f>
        <v/>
      </c>
      <c r="P874">
        <f>IF(P$2=0,"",IFERROR(TRIM(INDEX('Pegar docentes'!$A$1:$BZ$1001,873,P$2)&amp;""),""))</f>
        <v/>
      </c>
      <c r="Q874" s="25">
        <f>IF(OR(D874&lt;&gt;"",H874&lt;&gt;""),1,"")</f>
        <v/>
      </c>
      <c r="R874" s="25">
        <f>IF(Q874=1,IF(ISNUMBER(FIND("#"&amp;MID(D874,1,1)&amp;"#","#0#1#2#3#4#5#6#7#8#9#")),IF(ISNUMBER(FIND("#"&amp;MID(D874,2,1)&amp;"#","#0#1#2#3#4#5#6#7#8#9#")),IF(AND(VALUE(LEFT(D874,2))&gt;=1,VALUE(LEFT(D874,2))&lt;=5),VALUE(LEFT(D874,2)),""),IF(AND(VALUE(LEFT(D874,1))&gt;=1,VALUE(LEFT(D874,1))&lt;=5),VALUE(LEFT(D874,1)),"")),""),"")</f>
        <v/>
      </c>
      <c r="S874" s="25">
        <f>IF(AND(Q874=1,E874&lt;&gt;""),SUBSTITUTE(SUBSTITUTE(SUBSTITUTE(SUBSTITUTE(SUBSTITUTE(SUBSTITUTE(SUBSTITUTE(SUBSTITUTE(SUBSTITUTE(SUBSTITUTE(SUBSTITUTE(SUBSTITUTE(LOWER(TRIM(E874)),"á","a"),"é","e"),"í","i"),"ó","o"),"ú","u"),"ü","u"),"ñ","n"),"à","a"),"è","e"),"ì","i"),"ò","o"),"ù","u"),"")</f>
        <v/>
      </c>
      <c r="T874" s="25">
        <f>IF(AND(Q874=1,G874&lt;&gt;""),SUBSTITUTE(SUBSTITUTE(SUBSTITUTE(SUBSTITUTE(SUBSTITUTE(SUBSTITUTE(SUBSTITUTE(SUBSTITUTE(SUBSTITUTE(SUBSTITUTE(SUBSTITUTE(SUBSTITUTE(LOWER(TRIM(G874)),"á","a"),"é","e"),"í","i"),"ó","o"),"ú","u"),"ü","u"),"ñ","n"),"à","a"),"è","e"),"ì","i"),"ò","o"),"ù","u"),"")</f>
        <v/>
      </c>
      <c r="U874" s="25">
        <f>IF(AND(Q874=1,H874&lt;&gt;""),SUBSTITUTE(SUBSTITUTE(SUBSTITUTE(SUBSTITUTE(SUBSTITUTE(SUBSTITUTE(SUBSTITUTE(SUBSTITUTE(SUBSTITUTE(SUBSTITUTE(SUBSTITUTE(SUBSTITUTE(LOWER(TRIM(H874)),"á","a"),"é","e"),"í","i"),"ó","o"),"ú","u"),"ü","u"),"ñ","n"),"à","a"),"è","e"),"ì","i"),"ò","o"),"ù","u"),"")</f>
        <v/>
      </c>
      <c r="V874" s="25">
        <f>IF(AND(Q874=1,L874&lt;&gt;""),SUBSTITUTE(SUBSTITUTE(SUBSTITUTE(SUBSTITUTE(SUBSTITUTE(SUBSTITUTE(SUBSTITUTE(SUBSTITUTE(SUBSTITUTE(SUBSTITUTE(SUBSTITUTE(SUBSTITUTE(LOWER(TRIM(L874)),"á","a"),"é","e"),"í","i"),"ó","o"),"ú","u"),"ü","u"),"ñ","n"),"à","a"),"è","e"),"ì","i"),"ò","o"),"ù","u"),"")</f>
        <v/>
      </c>
      <c r="W874" s="25">
        <f>IF(AND(Q874=1,I874&lt;&gt;""),SUBSTITUTE(SUBSTITUTE(SUBSTITUTE(SUBSTITUTE(SUBSTITUTE(SUBSTITUTE(SUBSTITUTE(SUBSTITUTE(SUBSTITUTE(SUBSTITUTE(SUBSTITUTE(SUBSTITUTE(LOWER(TRIM(I874)),"á","a"),"é","e"),"í","i"),"ó","o"),"ú","u"),"ü","u"),"ñ","n"),"à","a"),"è","e"),"ì","i"),"ò","o"),"ù","u"),"")</f>
        <v/>
      </c>
      <c r="X874" s="25">
        <f>IF(U874="","",IF(OR(U874="si, en la proxima tarea",U874="si, con cambios"),1,0))</f>
        <v/>
      </c>
      <c r="Y874" s="25">
        <f>IF(AND(Q874=1,A874&lt;&gt;""),IF(IFERROR(COUNTIFS(A$3:A874,"="&amp;SUBSTITUTE(SUBSTITUTE(SUBSTITUTE(A874,"~","~~"),"*","~*"),"?","~?"),Q$3:Q874,1),0)=1,MAX(Y$2:Y873)+1,""),"")</f>
        <v/>
      </c>
      <c r="Z874" s="25">
        <f>IF(Y874="","",COUNTIFS($A$3:$A$1002,"="&amp;SUBSTITUTE(SUBSTITUTE(SUBSTITUTE(A874,"~","~~"),"*","~*"),"?","~?"),$Q$3:$Q$1002,1)*10000-Y874)</f>
        <v/>
      </c>
    </row>
    <row r="875">
      <c r="A875">
        <f>IF(A$2=0,"",IFERROR(TRIM(INDEX('Pegar docentes'!$A$1:$BZ$1001,874,A$2)&amp;""),""))</f>
        <v/>
      </c>
      <c r="B875">
        <f>IF(B$2=0,"",IFERROR(TRIM(INDEX('Pegar docentes'!$A$1:$BZ$1001,874,B$2)&amp;""),""))</f>
        <v/>
      </c>
      <c r="C875">
        <f>IF(C$2=0,"",IFERROR(TRIM(INDEX('Pegar docentes'!$A$1:$BZ$1001,874,C$2)&amp;""),""))</f>
        <v/>
      </c>
      <c r="D875">
        <f>IF(D$2=0,"",IFERROR(TRIM(INDEX('Pegar docentes'!$A$1:$BZ$1001,874,D$2)&amp;""),""))</f>
        <v/>
      </c>
      <c r="E875">
        <f>IF(E$2=0,"",IFERROR(TRIM(INDEX('Pegar docentes'!$A$1:$BZ$1001,874,E$2)&amp;""),""))</f>
        <v/>
      </c>
      <c r="F875">
        <f>IF(F$2=0,"",IFERROR(TRIM(INDEX('Pegar docentes'!$A$1:$BZ$1001,874,F$2)&amp;""),""))</f>
        <v/>
      </c>
      <c r="G875">
        <f>IF(G$2=0,"",IFERROR(TRIM(INDEX('Pegar docentes'!$A$1:$BZ$1001,874,G$2)&amp;""),""))</f>
        <v/>
      </c>
      <c r="H875">
        <f>IF(H$2=0,"",IFERROR(TRIM(INDEX('Pegar docentes'!$A$1:$BZ$1001,874,H$2)&amp;""),""))</f>
        <v/>
      </c>
      <c r="I875">
        <f>IF(I$2=0,"",IFERROR(TRIM(INDEX('Pegar docentes'!$A$1:$BZ$1001,874,I$2)&amp;""),""))</f>
        <v/>
      </c>
      <c r="J875">
        <f>IF(J$2=0,"",IFERROR(TRIM(INDEX('Pegar docentes'!$A$1:$BZ$1001,874,J$2)&amp;""),""))</f>
        <v/>
      </c>
      <c r="K875">
        <f>IF(K$2=0,"",IFERROR(TRIM(INDEX('Pegar docentes'!$A$1:$BZ$1001,874,K$2)&amp;""),""))</f>
        <v/>
      </c>
      <c r="L875">
        <f>IF(L$2=0,"",IFERROR(TRIM(INDEX('Pegar docentes'!$A$1:$BZ$1001,874,L$2)&amp;""),""))</f>
        <v/>
      </c>
      <c r="M875">
        <f>IF(M$2=0,"",IFERROR(TRIM(INDEX('Pegar docentes'!$A$1:$BZ$1001,874,M$2)&amp;""),""))</f>
        <v/>
      </c>
      <c r="N875">
        <f>IF(N$2=0,"",IFERROR(TRIM(INDEX('Pegar docentes'!$A$1:$BZ$1001,874,N$2)&amp;""),""))</f>
        <v/>
      </c>
      <c r="O875">
        <f>IF(O$2=0,"",IFERROR(TRIM(INDEX('Pegar docentes'!$A$1:$BZ$1001,874,O$2)&amp;""),""))</f>
        <v/>
      </c>
      <c r="P875">
        <f>IF(P$2=0,"",IFERROR(TRIM(INDEX('Pegar docentes'!$A$1:$BZ$1001,874,P$2)&amp;""),""))</f>
        <v/>
      </c>
      <c r="Q875" s="25">
        <f>IF(OR(D875&lt;&gt;"",H875&lt;&gt;""),1,"")</f>
        <v/>
      </c>
      <c r="R875" s="25">
        <f>IF(Q875=1,IF(ISNUMBER(FIND("#"&amp;MID(D875,1,1)&amp;"#","#0#1#2#3#4#5#6#7#8#9#")),IF(ISNUMBER(FIND("#"&amp;MID(D875,2,1)&amp;"#","#0#1#2#3#4#5#6#7#8#9#")),IF(AND(VALUE(LEFT(D875,2))&gt;=1,VALUE(LEFT(D875,2))&lt;=5),VALUE(LEFT(D875,2)),""),IF(AND(VALUE(LEFT(D875,1))&gt;=1,VALUE(LEFT(D875,1))&lt;=5),VALUE(LEFT(D875,1)),"")),""),"")</f>
        <v/>
      </c>
      <c r="S875" s="25">
        <f>IF(AND(Q875=1,E875&lt;&gt;""),SUBSTITUTE(SUBSTITUTE(SUBSTITUTE(SUBSTITUTE(SUBSTITUTE(SUBSTITUTE(SUBSTITUTE(SUBSTITUTE(SUBSTITUTE(SUBSTITUTE(SUBSTITUTE(SUBSTITUTE(LOWER(TRIM(E875)),"á","a"),"é","e"),"í","i"),"ó","o"),"ú","u"),"ü","u"),"ñ","n"),"à","a"),"è","e"),"ì","i"),"ò","o"),"ù","u"),"")</f>
        <v/>
      </c>
      <c r="T875" s="25">
        <f>IF(AND(Q875=1,G875&lt;&gt;""),SUBSTITUTE(SUBSTITUTE(SUBSTITUTE(SUBSTITUTE(SUBSTITUTE(SUBSTITUTE(SUBSTITUTE(SUBSTITUTE(SUBSTITUTE(SUBSTITUTE(SUBSTITUTE(SUBSTITUTE(LOWER(TRIM(G875)),"á","a"),"é","e"),"í","i"),"ó","o"),"ú","u"),"ü","u"),"ñ","n"),"à","a"),"è","e"),"ì","i"),"ò","o"),"ù","u"),"")</f>
        <v/>
      </c>
      <c r="U875" s="25">
        <f>IF(AND(Q875=1,H875&lt;&gt;""),SUBSTITUTE(SUBSTITUTE(SUBSTITUTE(SUBSTITUTE(SUBSTITUTE(SUBSTITUTE(SUBSTITUTE(SUBSTITUTE(SUBSTITUTE(SUBSTITUTE(SUBSTITUTE(SUBSTITUTE(LOWER(TRIM(H875)),"á","a"),"é","e"),"í","i"),"ó","o"),"ú","u"),"ü","u"),"ñ","n"),"à","a"),"è","e"),"ì","i"),"ò","o"),"ù","u"),"")</f>
        <v/>
      </c>
      <c r="V875" s="25">
        <f>IF(AND(Q875=1,L875&lt;&gt;""),SUBSTITUTE(SUBSTITUTE(SUBSTITUTE(SUBSTITUTE(SUBSTITUTE(SUBSTITUTE(SUBSTITUTE(SUBSTITUTE(SUBSTITUTE(SUBSTITUTE(SUBSTITUTE(SUBSTITUTE(LOWER(TRIM(L875)),"á","a"),"é","e"),"í","i"),"ó","o"),"ú","u"),"ü","u"),"ñ","n"),"à","a"),"è","e"),"ì","i"),"ò","o"),"ù","u"),"")</f>
        <v/>
      </c>
      <c r="W875" s="25">
        <f>IF(AND(Q875=1,I875&lt;&gt;""),SUBSTITUTE(SUBSTITUTE(SUBSTITUTE(SUBSTITUTE(SUBSTITUTE(SUBSTITUTE(SUBSTITUTE(SUBSTITUTE(SUBSTITUTE(SUBSTITUTE(SUBSTITUTE(SUBSTITUTE(LOWER(TRIM(I875)),"á","a"),"é","e"),"í","i"),"ó","o"),"ú","u"),"ü","u"),"ñ","n"),"à","a"),"è","e"),"ì","i"),"ò","o"),"ù","u"),"")</f>
        <v/>
      </c>
      <c r="X875" s="25">
        <f>IF(U875="","",IF(OR(U875="si, en la proxima tarea",U875="si, con cambios"),1,0))</f>
        <v/>
      </c>
      <c r="Y875" s="25">
        <f>IF(AND(Q875=1,A875&lt;&gt;""),IF(IFERROR(COUNTIFS(A$3:A875,"="&amp;SUBSTITUTE(SUBSTITUTE(SUBSTITUTE(A875,"~","~~"),"*","~*"),"?","~?"),Q$3:Q875,1),0)=1,MAX(Y$2:Y874)+1,""),"")</f>
        <v/>
      </c>
      <c r="Z875" s="25">
        <f>IF(Y875="","",COUNTIFS($A$3:$A$1002,"="&amp;SUBSTITUTE(SUBSTITUTE(SUBSTITUTE(A875,"~","~~"),"*","~*"),"?","~?"),$Q$3:$Q$1002,1)*10000-Y875)</f>
        <v/>
      </c>
    </row>
    <row r="876">
      <c r="A876">
        <f>IF(A$2=0,"",IFERROR(TRIM(INDEX('Pegar docentes'!$A$1:$BZ$1001,875,A$2)&amp;""),""))</f>
        <v/>
      </c>
      <c r="B876">
        <f>IF(B$2=0,"",IFERROR(TRIM(INDEX('Pegar docentes'!$A$1:$BZ$1001,875,B$2)&amp;""),""))</f>
        <v/>
      </c>
      <c r="C876">
        <f>IF(C$2=0,"",IFERROR(TRIM(INDEX('Pegar docentes'!$A$1:$BZ$1001,875,C$2)&amp;""),""))</f>
        <v/>
      </c>
      <c r="D876">
        <f>IF(D$2=0,"",IFERROR(TRIM(INDEX('Pegar docentes'!$A$1:$BZ$1001,875,D$2)&amp;""),""))</f>
        <v/>
      </c>
      <c r="E876">
        <f>IF(E$2=0,"",IFERROR(TRIM(INDEX('Pegar docentes'!$A$1:$BZ$1001,875,E$2)&amp;""),""))</f>
        <v/>
      </c>
      <c r="F876">
        <f>IF(F$2=0,"",IFERROR(TRIM(INDEX('Pegar docentes'!$A$1:$BZ$1001,875,F$2)&amp;""),""))</f>
        <v/>
      </c>
      <c r="G876">
        <f>IF(G$2=0,"",IFERROR(TRIM(INDEX('Pegar docentes'!$A$1:$BZ$1001,875,G$2)&amp;""),""))</f>
        <v/>
      </c>
      <c r="H876">
        <f>IF(H$2=0,"",IFERROR(TRIM(INDEX('Pegar docentes'!$A$1:$BZ$1001,875,H$2)&amp;""),""))</f>
        <v/>
      </c>
      <c r="I876">
        <f>IF(I$2=0,"",IFERROR(TRIM(INDEX('Pegar docentes'!$A$1:$BZ$1001,875,I$2)&amp;""),""))</f>
        <v/>
      </c>
      <c r="J876">
        <f>IF(J$2=0,"",IFERROR(TRIM(INDEX('Pegar docentes'!$A$1:$BZ$1001,875,J$2)&amp;""),""))</f>
        <v/>
      </c>
      <c r="K876">
        <f>IF(K$2=0,"",IFERROR(TRIM(INDEX('Pegar docentes'!$A$1:$BZ$1001,875,K$2)&amp;""),""))</f>
        <v/>
      </c>
      <c r="L876">
        <f>IF(L$2=0,"",IFERROR(TRIM(INDEX('Pegar docentes'!$A$1:$BZ$1001,875,L$2)&amp;""),""))</f>
        <v/>
      </c>
      <c r="M876">
        <f>IF(M$2=0,"",IFERROR(TRIM(INDEX('Pegar docentes'!$A$1:$BZ$1001,875,M$2)&amp;""),""))</f>
        <v/>
      </c>
      <c r="N876">
        <f>IF(N$2=0,"",IFERROR(TRIM(INDEX('Pegar docentes'!$A$1:$BZ$1001,875,N$2)&amp;""),""))</f>
        <v/>
      </c>
      <c r="O876">
        <f>IF(O$2=0,"",IFERROR(TRIM(INDEX('Pegar docentes'!$A$1:$BZ$1001,875,O$2)&amp;""),""))</f>
        <v/>
      </c>
      <c r="P876">
        <f>IF(P$2=0,"",IFERROR(TRIM(INDEX('Pegar docentes'!$A$1:$BZ$1001,875,P$2)&amp;""),""))</f>
        <v/>
      </c>
      <c r="Q876" s="25">
        <f>IF(OR(D876&lt;&gt;"",H876&lt;&gt;""),1,"")</f>
        <v/>
      </c>
      <c r="R876" s="25">
        <f>IF(Q876=1,IF(ISNUMBER(FIND("#"&amp;MID(D876,1,1)&amp;"#","#0#1#2#3#4#5#6#7#8#9#")),IF(ISNUMBER(FIND("#"&amp;MID(D876,2,1)&amp;"#","#0#1#2#3#4#5#6#7#8#9#")),IF(AND(VALUE(LEFT(D876,2))&gt;=1,VALUE(LEFT(D876,2))&lt;=5),VALUE(LEFT(D876,2)),""),IF(AND(VALUE(LEFT(D876,1))&gt;=1,VALUE(LEFT(D876,1))&lt;=5),VALUE(LEFT(D876,1)),"")),""),"")</f>
        <v/>
      </c>
      <c r="S876" s="25">
        <f>IF(AND(Q876=1,E876&lt;&gt;""),SUBSTITUTE(SUBSTITUTE(SUBSTITUTE(SUBSTITUTE(SUBSTITUTE(SUBSTITUTE(SUBSTITUTE(SUBSTITUTE(SUBSTITUTE(SUBSTITUTE(SUBSTITUTE(SUBSTITUTE(LOWER(TRIM(E876)),"á","a"),"é","e"),"í","i"),"ó","o"),"ú","u"),"ü","u"),"ñ","n"),"à","a"),"è","e"),"ì","i"),"ò","o"),"ù","u"),"")</f>
        <v/>
      </c>
      <c r="T876" s="25">
        <f>IF(AND(Q876=1,G876&lt;&gt;""),SUBSTITUTE(SUBSTITUTE(SUBSTITUTE(SUBSTITUTE(SUBSTITUTE(SUBSTITUTE(SUBSTITUTE(SUBSTITUTE(SUBSTITUTE(SUBSTITUTE(SUBSTITUTE(SUBSTITUTE(LOWER(TRIM(G876)),"á","a"),"é","e"),"í","i"),"ó","o"),"ú","u"),"ü","u"),"ñ","n"),"à","a"),"è","e"),"ì","i"),"ò","o"),"ù","u"),"")</f>
        <v/>
      </c>
      <c r="U876" s="25">
        <f>IF(AND(Q876=1,H876&lt;&gt;""),SUBSTITUTE(SUBSTITUTE(SUBSTITUTE(SUBSTITUTE(SUBSTITUTE(SUBSTITUTE(SUBSTITUTE(SUBSTITUTE(SUBSTITUTE(SUBSTITUTE(SUBSTITUTE(SUBSTITUTE(LOWER(TRIM(H876)),"á","a"),"é","e"),"í","i"),"ó","o"),"ú","u"),"ü","u"),"ñ","n"),"à","a"),"è","e"),"ì","i"),"ò","o"),"ù","u"),"")</f>
        <v/>
      </c>
      <c r="V876" s="25">
        <f>IF(AND(Q876=1,L876&lt;&gt;""),SUBSTITUTE(SUBSTITUTE(SUBSTITUTE(SUBSTITUTE(SUBSTITUTE(SUBSTITUTE(SUBSTITUTE(SUBSTITUTE(SUBSTITUTE(SUBSTITUTE(SUBSTITUTE(SUBSTITUTE(LOWER(TRIM(L876)),"á","a"),"é","e"),"í","i"),"ó","o"),"ú","u"),"ü","u"),"ñ","n"),"à","a"),"è","e"),"ì","i"),"ò","o"),"ù","u"),"")</f>
        <v/>
      </c>
      <c r="W876" s="25">
        <f>IF(AND(Q876=1,I876&lt;&gt;""),SUBSTITUTE(SUBSTITUTE(SUBSTITUTE(SUBSTITUTE(SUBSTITUTE(SUBSTITUTE(SUBSTITUTE(SUBSTITUTE(SUBSTITUTE(SUBSTITUTE(SUBSTITUTE(SUBSTITUTE(LOWER(TRIM(I876)),"á","a"),"é","e"),"í","i"),"ó","o"),"ú","u"),"ü","u"),"ñ","n"),"à","a"),"è","e"),"ì","i"),"ò","o"),"ù","u"),"")</f>
        <v/>
      </c>
      <c r="X876" s="25">
        <f>IF(U876="","",IF(OR(U876="si, en la proxima tarea",U876="si, con cambios"),1,0))</f>
        <v/>
      </c>
      <c r="Y876" s="25">
        <f>IF(AND(Q876=1,A876&lt;&gt;""),IF(IFERROR(COUNTIFS(A$3:A876,"="&amp;SUBSTITUTE(SUBSTITUTE(SUBSTITUTE(A876,"~","~~"),"*","~*"),"?","~?"),Q$3:Q876,1),0)=1,MAX(Y$2:Y875)+1,""),"")</f>
        <v/>
      </c>
      <c r="Z876" s="25">
        <f>IF(Y876="","",COUNTIFS($A$3:$A$1002,"="&amp;SUBSTITUTE(SUBSTITUTE(SUBSTITUTE(A876,"~","~~"),"*","~*"),"?","~?"),$Q$3:$Q$1002,1)*10000-Y876)</f>
        <v/>
      </c>
    </row>
    <row r="877">
      <c r="A877">
        <f>IF(A$2=0,"",IFERROR(TRIM(INDEX('Pegar docentes'!$A$1:$BZ$1001,876,A$2)&amp;""),""))</f>
        <v/>
      </c>
      <c r="B877">
        <f>IF(B$2=0,"",IFERROR(TRIM(INDEX('Pegar docentes'!$A$1:$BZ$1001,876,B$2)&amp;""),""))</f>
        <v/>
      </c>
      <c r="C877">
        <f>IF(C$2=0,"",IFERROR(TRIM(INDEX('Pegar docentes'!$A$1:$BZ$1001,876,C$2)&amp;""),""))</f>
        <v/>
      </c>
      <c r="D877">
        <f>IF(D$2=0,"",IFERROR(TRIM(INDEX('Pegar docentes'!$A$1:$BZ$1001,876,D$2)&amp;""),""))</f>
        <v/>
      </c>
      <c r="E877">
        <f>IF(E$2=0,"",IFERROR(TRIM(INDEX('Pegar docentes'!$A$1:$BZ$1001,876,E$2)&amp;""),""))</f>
        <v/>
      </c>
      <c r="F877">
        <f>IF(F$2=0,"",IFERROR(TRIM(INDEX('Pegar docentes'!$A$1:$BZ$1001,876,F$2)&amp;""),""))</f>
        <v/>
      </c>
      <c r="G877">
        <f>IF(G$2=0,"",IFERROR(TRIM(INDEX('Pegar docentes'!$A$1:$BZ$1001,876,G$2)&amp;""),""))</f>
        <v/>
      </c>
      <c r="H877">
        <f>IF(H$2=0,"",IFERROR(TRIM(INDEX('Pegar docentes'!$A$1:$BZ$1001,876,H$2)&amp;""),""))</f>
        <v/>
      </c>
      <c r="I877">
        <f>IF(I$2=0,"",IFERROR(TRIM(INDEX('Pegar docentes'!$A$1:$BZ$1001,876,I$2)&amp;""),""))</f>
        <v/>
      </c>
      <c r="J877">
        <f>IF(J$2=0,"",IFERROR(TRIM(INDEX('Pegar docentes'!$A$1:$BZ$1001,876,J$2)&amp;""),""))</f>
        <v/>
      </c>
      <c r="K877">
        <f>IF(K$2=0,"",IFERROR(TRIM(INDEX('Pegar docentes'!$A$1:$BZ$1001,876,K$2)&amp;""),""))</f>
        <v/>
      </c>
      <c r="L877">
        <f>IF(L$2=0,"",IFERROR(TRIM(INDEX('Pegar docentes'!$A$1:$BZ$1001,876,L$2)&amp;""),""))</f>
        <v/>
      </c>
      <c r="M877">
        <f>IF(M$2=0,"",IFERROR(TRIM(INDEX('Pegar docentes'!$A$1:$BZ$1001,876,M$2)&amp;""),""))</f>
        <v/>
      </c>
      <c r="N877">
        <f>IF(N$2=0,"",IFERROR(TRIM(INDEX('Pegar docentes'!$A$1:$BZ$1001,876,N$2)&amp;""),""))</f>
        <v/>
      </c>
      <c r="O877">
        <f>IF(O$2=0,"",IFERROR(TRIM(INDEX('Pegar docentes'!$A$1:$BZ$1001,876,O$2)&amp;""),""))</f>
        <v/>
      </c>
      <c r="P877">
        <f>IF(P$2=0,"",IFERROR(TRIM(INDEX('Pegar docentes'!$A$1:$BZ$1001,876,P$2)&amp;""),""))</f>
        <v/>
      </c>
      <c r="Q877" s="25">
        <f>IF(OR(D877&lt;&gt;"",H877&lt;&gt;""),1,"")</f>
        <v/>
      </c>
      <c r="R877" s="25">
        <f>IF(Q877=1,IF(ISNUMBER(FIND("#"&amp;MID(D877,1,1)&amp;"#","#0#1#2#3#4#5#6#7#8#9#")),IF(ISNUMBER(FIND("#"&amp;MID(D877,2,1)&amp;"#","#0#1#2#3#4#5#6#7#8#9#")),IF(AND(VALUE(LEFT(D877,2))&gt;=1,VALUE(LEFT(D877,2))&lt;=5),VALUE(LEFT(D877,2)),""),IF(AND(VALUE(LEFT(D877,1))&gt;=1,VALUE(LEFT(D877,1))&lt;=5),VALUE(LEFT(D877,1)),"")),""),"")</f>
        <v/>
      </c>
      <c r="S877" s="25">
        <f>IF(AND(Q877=1,E877&lt;&gt;""),SUBSTITUTE(SUBSTITUTE(SUBSTITUTE(SUBSTITUTE(SUBSTITUTE(SUBSTITUTE(SUBSTITUTE(SUBSTITUTE(SUBSTITUTE(SUBSTITUTE(SUBSTITUTE(SUBSTITUTE(LOWER(TRIM(E877)),"á","a"),"é","e"),"í","i"),"ó","o"),"ú","u"),"ü","u"),"ñ","n"),"à","a"),"è","e"),"ì","i"),"ò","o"),"ù","u"),"")</f>
        <v/>
      </c>
      <c r="T877" s="25">
        <f>IF(AND(Q877=1,G877&lt;&gt;""),SUBSTITUTE(SUBSTITUTE(SUBSTITUTE(SUBSTITUTE(SUBSTITUTE(SUBSTITUTE(SUBSTITUTE(SUBSTITUTE(SUBSTITUTE(SUBSTITUTE(SUBSTITUTE(SUBSTITUTE(LOWER(TRIM(G877)),"á","a"),"é","e"),"í","i"),"ó","o"),"ú","u"),"ü","u"),"ñ","n"),"à","a"),"è","e"),"ì","i"),"ò","o"),"ù","u"),"")</f>
        <v/>
      </c>
      <c r="U877" s="25">
        <f>IF(AND(Q877=1,H877&lt;&gt;""),SUBSTITUTE(SUBSTITUTE(SUBSTITUTE(SUBSTITUTE(SUBSTITUTE(SUBSTITUTE(SUBSTITUTE(SUBSTITUTE(SUBSTITUTE(SUBSTITUTE(SUBSTITUTE(SUBSTITUTE(LOWER(TRIM(H877)),"á","a"),"é","e"),"í","i"),"ó","o"),"ú","u"),"ü","u"),"ñ","n"),"à","a"),"è","e"),"ì","i"),"ò","o"),"ù","u"),"")</f>
        <v/>
      </c>
      <c r="V877" s="25">
        <f>IF(AND(Q877=1,L877&lt;&gt;""),SUBSTITUTE(SUBSTITUTE(SUBSTITUTE(SUBSTITUTE(SUBSTITUTE(SUBSTITUTE(SUBSTITUTE(SUBSTITUTE(SUBSTITUTE(SUBSTITUTE(SUBSTITUTE(SUBSTITUTE(LOWER(TRIM(L877)),"á","a"),"é","e"),"í","i"),"ó","o"),"ú","u"),"ü","u"),"ñ","n"),"à","a"),"è","e"),"ì","i"),"ò","o"),"ù","u"),"")</f>
        <v/>
      </c>
      <c r="W877" s="25">
        <f>IF(AND(Q877=1,I877&lt;&gt;""),SUBSTITUTE(SUBSTITUTE(SUBSTITUTE(SUBSTITUTE(SUBSTITUTE(SUBSTITUTE(SUBSTITUTE(SUBSTITUTE(SUBSTITUTE(SUBSTITUTE(SUBSTITUTE(SUBSTITUTE(LOWER(TRIM(I877)),"á","a"),"é","e"),"í","i"),"ó","o"),"ú","u"),"ü","u"),"ñ","n"),"à","a"),"è","e"),"ì","i"),"ò","o"),"ù","u"),"")</f>
        <v/>
      </c>
      <c r="X877" s="25">
        <f>IF(U877="","",IF(OR(U877="si, en la proxima tarea",U877="si, con cambios"),1,0))</f>
        <v/>
      </c>
      <c r="Y877" s="25">
        <f>IF(AND(Q877=1,A877&lt;&gt;""),IF(IFERROR(COUNTIFS(A$3:A877,"="&amp;SUBSTITUTE(SUBSTITUTE(SUBSTITUTE(A877,"~","~~"),"*","~*"),"?","~?"),Q$3:Q877,1),0)=1,MAX(Y$2:Y876)+1,""),"")</f>
        <v/>
      </c>
      <c r="Z877" s="25">
        <f>IF(Y877="","",COUNTIFS($A$3:$A$1002,"="&amp;SUBSTITUTE(SUBSTITUTE(SUBSTITUTE(A877,"~","~~"),"*","~*"),"?","~?"),$Q$3:$Q$1002,1)*10000-Y877)</f>
        <v/>
      </c>
    </row>
    <row r="878">
      <c r="A878">
        <f>IF(A$2=0,"",IFERROR(TRIM(INDEX('Pegar docentes'!$A$1:$BZ$1001,877,A$2)&amp;""),""))</f>
        <v/>
      </c>
      <c r="B878">
        <f>IF(B$2=0,"",IFERROR(TRIM(INDEX('Pegar docentes'!$A$1:$BZ$1001,877,B$2)&amp;""),""))</f>
        <v/>
      </c>
      <c r="C878">
        <f>IF(C$2=0,"",IFERROR(TRIM(INDEX('Pegar docentes'!$A$1:$BZ$1001,877,C$2)&amp;""),""))</f>
        <v/>
      </c>
      <c r="D878">
        <f>IF(D$2=0,"",IFERROR(TRIM(INDEX('Pegar docentes'!$A$1:$BZ$1001,877,D$2)&amp;""),""))</f>
        <v/>
      </c>
      <c r="E878">
        <f>IF(E$2=0,"",IFERROR(TRIM(INDEX('Pegar docentes'!$A$1:$BZ$1001,877,E$2)&amp;""),""))</f>
        <v/>
      </c>
      <c r="F878">
        <f>IF(F$2=0,"",IFERROR(TRIM(INDEX('Pegar docentes'!$A$1:$BZ$1001,877,F$2)&amp;""),""))</f>
        <v/>
      </c>
      <c r="G878">
        <f>IF(G$2=0,"",IFERROR(TRIM(INDEX('Pegar docentes'!$A$1:$BZ$1001,877,G$2)&amp;""),""))</f>
        <v/>
      </c>
      <c r="H878">
        <f>IF(H$2=0,"",IFERROR(TRIM(INDEX('Pegar docentes'!$A$1:$BZ$1001,877,H$2)&amp;""),""))</f>
        <v/>
      </c>
      <c r="I878">
        <f>IF(I$2=0,"",IFERROR(TRIM(INDEX('Pegar docentes'!$A$1:$BZ$1001,877,I$2)&amp;""),""))</f>
        <v/>
      </c>
      <c r="J878">
        <f>IF(J$2=0,"",IFERROR(TRIM(INDEX('Pegar docentes'!$A$1:$BZ$1001,877,J$2)&amp;""),""))</f>
        <v/>
      </c>
      <c r="K878">
        <f>IF(K$2=0,"",IFERROR(TRIM(INDEX('Pegar docentes'!$A$1:$BZ$1001,877,K$2)&amp;""),""))</f>
        <v/>
      </c>
      <c r="L878">
        <f>IF(L$2=0,"",IFERROR(TRIM(INDEX('Pegar docentes'!$A$1:$BZ$1001,877,L$2)&amp;""),""))</f>
        <v/>
      </c>
      <c r="M878">
        <f>IF(M$2=0,"",IFERROR(TRIM(INDEX('Pegar docentes'!$A$1:$BZ$1001,877,M$2)&amp;""),""))</f>
        <v/>
      </c>
      <c r="N878">
        <f>IF(N$2=0,"",IFERROR(TRIM(INDEX('Pegar docentes'!$A$1:$BZ$1001,877,N$2)&amp;""),""))</f>
        <v/>
      </c>
      <c r="O878">
        <f>IF(O$2=0,"",IFERROR(TRIM(INDEX('Pegar docentes'!$A$1:$BZ$1001,877,O$2)&amp;""),""))</f>
        <v/>
      </c>
      <c r="P878">
        <f>IF(P$2=0,"",IFERROR(TRIM(INDEX('Pegar docentes'!$A$1:$BZ$1001,877,P$2)&amp;""),""))</f>
        <v/>
      </c>
      <c r="Q878" s="25">
        <f>IF(OR(D878&lt;&gt;"",H878&lt;&gt;""),1,"")</f>
        <v/>
      </c>
      <c r="R878" s="25">
        <f>IF(Q878=1,IF(ISNUMBER(FIND("#"&amp;MID(D878,1,1)&amp;"#","#0#1#2#3#4#5#6#7#8#9#")),IF(ISNUMBER(FIND("#"&amp;MID(D878,2,1)&amp;"#","#0#1#2#3#4#5#6#7#8#9#")),IF(AND(VALUE(LEFT(D878,2))&gt;=1,VALUE(LEFT(D878,2))&lt;=5),VALUE(LEFT(D878,2)),""),IF(AND(VALUE(LEFT(D878,1))&gt;=1,VALUE(LEFT(D878,1))&lt;=5),VALUE(LEFT(D878,1)),"")),""),"")</f>
        <v/>
      </c>
      <c r="S878" s="25">
        <f>IF(AND(Q878=1,E878&lt;&gt;""),SUBSTITUTE(SUBSTITUTE(SUBSTITUTE(SUBSTITUTE(SUBSTITUTE(SUBSTITUTE(SUBSTITUTE(SUBSTITUTE(SUBSTITUTE(SUBSTITUTE(SUBSTITUTE(SUBSTITUTE(LOWER(TRIM(E878)),"á","a"),"é","e"),"í","i"),"ó","o"),"ú","u"),"ü","u"),"ñ","n"),"à","a"),"è","e"),"ì","i"),"ò","o"),"ù","u"),"")</f>
        <v/>
      </c>
      <c r="T878" s="25">
        <f>IF(AND(Q878=1,G878&lt;&gt;""),SUBSTITUTE(SUBSTITUTE(SUBSTITUTE(SUBSTITUTE(SUBSTITUTE(SUBSTITUTE(SUBSTITUTE(SUBSTITUTE(SUBSTITUTE(SUBSTITUTE(SUBSTITUTE(SUBSTITUTE(LOWER(TRIM(G878)),"á","a"),"é","e"),"í","i"),"ó","o"),"ú","u"),"ü","u"),"ñ","n"),"à","a"),"è","e"),"ì","i"),"ò","o"),"ù","u"),"")</f>
        <v/>
      </c>
      <c r="U878" s="25">
        <f>IF(AND(Q878=1,H878&lt;&gt;""),SUBSTITUTE(SUBSTITUTE(SUBSTITUTE(SUBSTITUTE(SUBSTITUTE(SUBSTITUTE(SUBSTITUTE(SUBSTITUTE(SUBSTITUTE(SUBSTITUTE(SUBSTITUTE(SUBSTITUTE(LOWER(TRIM(H878)),"á","a"),"é","e"),"í","i"),"ó","o"),"ú","u"),"ü","u"),"ñ","n"),"à","a"),"è","e"),"ì","i"),"ò","o"),"ù","u"),"")</f>
        <v/>
      </c>
      <c r="V878" s="25">
        <f>IF(AND(Q878=1,L878&lt;&gt;""),SUBSTITUTE(SUBSTITUTE(SUBSTITUTE(SUBSTITUTE(SUBSTITUTE(SUBSTITUTE(SUBSTITUTE(SUBSTITUTE(SUBSTITUTE(SUBSTITUTE(SUBSTITUTE(SUBSTITUTE(LOWER(TRIM(L878)),"á","a"),"é","e"),"í","i"),"ó","o"),"ú","u"),"ü","u"),"ñ","n"),"à","a"),"è","e"),"ì","i"),"ò","o"),"ù","u"),"")</f>
        <v/>
      </c>
      <c r="W878" s="25">
        <f>IF(AND(Q878=1,I878&lt;&gt;""),SUBSTITUTE(SUBSTITUTE(SUBSTITUTE(SUBSTITUTE(SUBSTITUTE(SUBSTITUTE(SUBSTITUTE(SUBSTITUTE(SUBSTITUTE(SUBSTITUTE(SUBSTITUTE(SUBSTITUTE(LOWER(TRIM(I878)),"á","a"),"é","e"),"í","i"),"ó","o"),"ú","u"),"ü","u"),"ñ","n"),"à","a"),"è","e"),"ì","i"),"ò","o"),"ù","u"),"")</f>
        <v/>
      </c>
      <c r="X878" s="25">
        <f>IF(U878="","",IF(OR(U878="si, en la proxima tarea",U878="si, con cambios"),1,0))</f>
        <v/>
      </c>
      <c r="Y878" s="25">
        <f>IF(AND(Q878=1,A878&lt;&gt;""),IF(IFERROR(COUNTIFS(A$3:A878,"="&amp;SUBSTITUTE(SUBSTITUTE(SUBSTITUTE(A878,"~","~~"),"*","~*"),"?","~?"),Q$3:Q878,1),0)=1,MAX(Y$2:Y877)+1,""),"")</f>
        <v/>
      </c>
      <c r="Z878" s="25">
        <f>IF(Y878="","",COUNTIFS($A$3:$A$1002,"="&amp;SUBSTITUTE(SUBSTITUTE(SUBSTITUTE(A878,"~","~~"),"*","~*"),"?","~?"),$Q$3:$Q$1002,1)*10000-Y878)</f>
        <v/>
      </c>
    </row>
    <row r="879">
      <c r="A879">
        <f>IF(A$2=0,"",IFERROR(TRIM(INDEX('Pegar docentes'!$A$1:$BZ$1001,878,A$2)&amp;""),""))</f>
        <v/>
      </c>
      <c r="B879">
        <f>IF(B$2=0,"",IFERROR(TRIM(INDEX('Pegar docentes'!$A$1:$BZ$1001,878,B$2)&amp;""),""))</f>
        <v/>
      </c>
      <c r="C879">
        <f>IF(C$2=0,"",IFERROR(TRIM(INDEX('Pegar docentes'!$A$1:$BZ$1001,878,C$2)&amp;""),""))</f>
        <v/>
      </c>
      <c r="D879">
        <f>IF(D$2=0,"",IFERROR(TRIM(INDEX('Pegar docentes'!$A$1:$BZ$1001,878,D$2)&amp;""),""))</f>
        <v/>
      </c>
      <c r="E879">
        <f>IF(E$2=0,"",IFERROR(TRIM(INDEX('Pegar docentes'!$A$1:$BZ$1001,878,E$2)&amp;""),""))</f>
        <v/>
      </c>
      <c r="F879">
        <f>IF(F$2=0,"",IFERROR(TRIM(INDEX('Pegar docentes'!$A$1:$BZ$1001,878,F$2)&amp;""),""))</f>
        <v/>
      </c>
      <c r="G879">
        <f>IF(G$2=0,"",IFERROR(TRIM(INDEX('Pegar docentes'!$A$1:$BZ$1001,878,G$2)&amp;""),""))</f>
        <v/>
      </c>
      <c r="H879">
        <f>IF(H$2=0,"",IFERROR(TRIM(INDEX('Pegar docentes'!$A$1:$BZ$1001,878,H$2)&amp;""),""))</f>
        <v/>
      </c>
      <c r="I879">
        <f>IF(I$2=0,"",IFERROR(TRIM(INDEX('Pegar docentes'!$A$1:$BZ$1001,878,I$2)&amp;""),""))</f>
        <v/>
      </c>
      <c r="J879">
        <f>IF(J$2=0,"",IFERROR(TRIM(INDEX('Pegar docentes'!$A$1:$BZ$1001,878,J$2)&amp;""),""))</f>
        <v/>
      </c>
      <c r="K879">
        <f>IF(K$2=0,"",IFERROR(TRIM(INDEX('Pegar docentes'!$A$1:$BZ$1001,878,K$2)&amp;""),""))</f>
        <v/>
      </c>
      <c r="L879">
        <f>IF(L$2=0,"",IFERROR(TRIM(INDEX('Pegar docentes'!$A$1:$BZ$1001,878,L$2)&amp;""),""))</f>
        <v/>
      </c>
      <c r="M879">
        <f>IF(M$2=0,"",IFERROR(TRIM(INDEX('Pegar docentes'!$A$1:$BZ$1001,878,M$2)&amp;""),""))</f>
        <v/>
      </c>
      <c r="N879">
        <f>IF(N$2=0,"",IFERROR(TRIM(INDEX('Pegar docentes'!$A$1:$BZ$1001,878,N$2)&amp;""),""))</f>
        <v/>
      </c>
      <c r="O879">
        <f>IF(O$2=0,"",IFERROR(TRIM(INDEX('Pegar docentes'!$A$1:$BZ$1001,878,O$2)&amp;""),""))</f>
        <v/>
      </c>
      <c r="P879">
        <f>IF(P$2=0,"",IFERROR(TRIM(INDEX('Pegar docentes'!$A$1:$BZ$1001,878,P$2)&amp;""),""))</f>
        <v/>
      </c>
      <c r="Q879" s="25">
        <f>IF(OR(D879&lt;&gt;"",H879&lt;&gt;""),1,"")</f>
        <v/>
      </c>
      <c r="R879" s="25">
        <f>IF(Q879=1,IF(ISNUMBER(FIND("#"&amp;MID(D879,1,1)&amp;"#","#0#1#2#3#4#5#6#7#8#9#")),IF(ISNUMBER(FIND("#"&amp;MID(D879,2,1)&amp;"#","#0#1#2#3#4#5#6#7#8#9#")),IF(AND(VALUE(LEFT(D879,2))&gt;=1,VALUE(LEFT(D879,2))&lt;=5),VALUE(LEFT(D879,2)),""),IF(AND(VALUE(LEFT(D879,1))&gt;=1,VALUE(LEFT(D879,1))&lt;=5),VALUE(LEFT(D879,1)),"")),""),"")</f>
        <v/>
      </c>
      <c r="S879" s="25">
        <f>IF(AND(Q879=1,E879&lt;&gt;""),SUBSTITUTE(SUBSTITUTE(SUBSTITUTE(SUBSTITUTE(SUBSTITUTE(SUBSTITUTE(SUBSTITUTE(SUBSTITUTE(SUBSTITUTE(SUBSTITUTE(SUBSTITUTE(SUBSTITUTE(LOWER(TRIM(E879)),"á","a"),"é","e"),"í","i"),"ó","o"),"ú","u"),"ü","u"),"ñ","n"),"à","a"),"è","e"),"ì","i"),"ò","o"),"ù","u"),"")</f>
        <v/>
      </c>
      <c r="T879" s="25">
        <f>IF(AND(Q879=1,G879&lt;&gt;""),SUBSTITUTE(SUBSTITUTE(SUBSTITUTE(SUBSTITUTE(SUBSTITUTE(SUBSTITUTE(SUBSTITUTE(SUBSTITUTE(SUBSTITUTE(SUBSTITUTE(SUBSTITUTE(SUBSTITUTE(LOWER(TRIM(G879)),"á","a"),"é","e"),"í","i"),"ó","o"),"ú","u"),"ü","u"),"ñ","n"),"à","a"),"è","e"),"ì","i"),"ò","o"),"ù","u"),"")</f>
        <v/>
      </c>
      <c r="U879" s="25">
        <f>IF(AND(Q879=1,H879&lt;&gt;""),SUBSTITUTE(SUBSTITUTE(SUBSTITUTE(SUBSTITUTE(SUBSTITUTE(SUBSTITUTE(SUBSTITUTE(SUBSTITUTE(SUBSTITUTE(SUBSTITUTE(SUBSTITUTE(SUBSTITUTE(LOWER(TRIM(H879)),"á","a"),"é","e"),"í","i"),"ó","o"),"ú","u"),"ü","u"),"ñ","n"),"à","a"),"è","e"),"ì","i"),"ò","o"),"ù","u"),"")</f>
        <v/>
      </c>
      <c r="V879" s="25">
        <f>IF(AND(Q879=1,L879&lt;&gt;""),SUBSTITUTE(SUBSTITUTE(SUBSTITUTE(SUBSTITUTE(SUBSTITUTE(SUBSTITUTE(SUBSTITUTE(SUBSTITUTE(SUBSTITUTE(SUBSTITUTE(SUBSTITUTE(SUBSTITUTE(LOWER(TRIM(L879)),"á","a"),"é","e"),"í","i"),"ó","o"),"ú","u"),"ü","u"),"ñ","n"),"à","a"),"è","e"),"ì","i"),"ò","o"),"ù","u"),"")</f>
        <v/>
      </c>
      <c r="W879" s="25">
        <f>IF(AND(Q879=1,I879&lt;&gt;""),SUBSTITUTE(SUBSTITUTE(SUBSTITUTE(SUBSTITUTE(SUBSTITUTE(SUBSTITUTE(SUBSTITUTE(SUBSTITUTE(SUBSTITUTE(SUBSTITUTE(SUBSTITUTE(SUBSTITUTE(LOWER(TRIM(I879)),"á","a"),"é","e"),"í","i"),"ó","o"),"ú","u"),"ü","u"),"ñ","n"),"à","a"),"è","e"),"ì","i"),"ò","o"),"ù","u"),"")</f>
        <v/>
      </c>
      <c r="X879" s="25">
        <f>IF(U879="","",IF(OR(U879="si, en la proxima tarea",U879="si, con cambios"),1,0))</f>
        <v/>
      </c>
      <c r="Y879" s="25">
        <f>IF(AND(Q879=1,A879&lt;&gt;""),IF(IFERROR(COUNTIFS(A$3:A879,"="&amp;SUBSTITUTE(SUBSTITUTE(SUBSTITUTE(A879,"~","~~"),"*","~*"),"?","~?"),Q$3:Q879,1),0)=1,MAX(Y$2:Y878)+1,""),"")</f>
        <v/>
      </c>
      <c r="Z879" s="25">
        <f>IF(Y879="","",COUNTIFS($A$3:$A$1002,"="&amp;SUBSTITUTE(SUBSTITUTE(SUBSTITUTE(A879,"~","~~"),"*","~*"),"?","~?"),$Q$3:$Q$1002,1)*10000-Y879)</f>
        <v/>
      </c>
    </row>
    <row r="880">
      <c r="A880">
        <f>IF(A$2=0,"",IFERROR(TRIM(INDEX('Pegar docentes'!$A$1:$BZ$1001,879,A$2)&amp;""),""))</f>
        <v/>
      </c>
      <c r="B880">
        <f>IF(B$2=0,"",IFERROR(TRIM(INDEX('Pegar docentes'!$A$1:$BZ$1001,879,B$2)&amp;""),""))</f>
        <v/>
      </c>
      <c r="C880">
        <f>IF(C$2=0,"",IFERROR(TRIM(INDEX('Pegar docentes'!$A$1:$BZ$1001,879,C$2)&amp;""),""))</f>
        <v/>
      </c>
      <c r="D880">
        <f>IF(D$2=0,"",IFERROR(TRIM(INDEX('Pegar docentes'!$A$1:$BZ$1001,879,D$2)&amp;""),""))</f>
        <v/>
      </c>
      <c r="E880">
        <f>IF(E$2=0,"",IFERROR(TRIM(INDEX('Pegar docentes'!$A$1:$BZ$1001,879,E$2)&amp;""),""))</f>
        <v/>
      </c>
      <c r="F880">
        <f>IF(F$2=0,"",IFERROR(TRIM(INDEX('Pegar docentes'!$A$1:$BZ$1001,879,F$2)&amp;""),""))</f>
        <v/>
      </c>
      <c r="G880">
        <f>IF(G$2=0,"",IFERROR(TRIM(INDEX('Pegar docentes'!$A$1:$BZ$1001,879,G$2)&amp;""),""))</f>
        <v/>
      </c>
      <c r="H880">
        <f>IF(H$2=0,"",IFERROR(TRIM(INDEX('Pegar docentes'!$A$1:$BZ$1001,879,H$2)&amp;""),""))</f>
        <v/>
      </c>
      <c r="I880">
        <f>IF(I$2=0,"",IFERROR(TRIM(INDEX('Pegar docentes'!$A$1:$BZ$1001,879,I$2)&amp;""),""))</f>
        <v/>
      </c>
      <c r="J880">
        <f>IF(J$2=0,"",IFERROR(TRIM(INDEX('Pegar docentes'!$A$1:$BZ$1001,879,J$2)&amp;""),""))</f>
        <v/>
      </c>
      <c r="K880">
        <f>IF(K$2=0,"",IFERROR(TRIM(INDEX('Pegar docentes'!$A$1:$BZ$1001,879,K$2)&amp;""),""))</f>
        <v/>
      </c>
      <c r="L880">
        <f>IF(L$2=0,"",IFERROR(TRIM(INDEX('Pegar docentes'!$A$1:$BZ$1001,879,L$2)&amp;""),""))</f>
        <v/>
      </c>
      <c r="M880">
        <f>IF(M$2=0,"",IFERROR(TRIM(INDEX('Pegar docentes'!$A$1:$BZ$1001,879,M$2)&amp;""),""))</f>
        <v/>
      </c>
      <c r="N880">
        <f>IF(N$2=0,"",IFERROR(TRIM(INDEX('Pegar docentes'!$A$1:$BZ$1001,879,N$2)&amp;""),""))</f>
        <v/>
      </c>
      <c r="O880">
        <f>IF(O$2=0,"",IFERROR(TRIM(INDEX('Pegar docentes'!$A$1:$BZ$1001,879,O$2)&amp;""),""))</f>
        <v/>
      </c>
      <c r="P880">
        <f>IF(P$2=0,"",IFERROR(TRIM(INDEX('Pegar docentes'!$A$1:$BZ$1001,879,P$2)&amp;""),""))</f>
        <v/>
      </c>
      <c r="Q880" s="25">
        <f>IF(OR(D880&lt;&gt;"",H880&lt;&gt;""),1,"")</f>
        <v/>
      </c>
      <c r="R880" s="25">
        <f>IF(Q880=1,IF(ISNUMBER(FIND("#"&amp;MID(D880,1,1)&amp;"#","#0#1#2#3#4#5#6#7#8#9#")),IF(ISNUMBER(FIND("#"&amp;MID(D880,2,1)&amp;"#","#0#1#2#3#4#5#6#7#8#9#")),IF(AND(VALUE(LEFT(D880,2))&gt;=1,VALUE(LEFT(D880,2))&lt;=5),VALUE(LEFT(D880,2)),""),IF(AND(VALUE(LEFT(D880,1))&gt;=1,VALUE(LEFT(D880,1))&lt;=5),VALUE(LEFT(D880,1)),"")),""),"")</f>
        <v/>
      </c>
      <c r="S880" s="25">
        <f>IF(AND(Q880=1,E880&lt;&gt;""),SUBSTITUTE(SUBSTITUTE(SUBSTITUTE(SUBSTITUTE(SUBSTITUTE(SUBSTITUTE(SUBSTITUTE(SUBSTITUTE(SUBSTITUTE(SUBSTITUTE(SUBSTITUTE(SUBSTITUTE(LOWER(TRIM(E880)),"á","a"),"é","e"),"í","i"),"ó","o"),"ú","u"),"ü","u"),"ñ","n"),"à","a"),"è","e"),"ì","i"),"ò","o"),"ù","u"),"")</f>
        <v/>
      </c>
      <c r="T880" s="25">
        <f>IF(AND(Q880=1,G880&lt;&gt;""),SUBSTITUTE(SUBSTITUTE(SUBSTITUTE(SUBSTITUTE(SUBSTITUTE(SUBSTITUTE(SUBSTITUTE(SUBSTITUTE(SUBSTITUTE(SUBSTITUTE(SUBSTITUTE(SUBSTITUTE(LOWER(TRIM(G880)),"á","a"),"é","e"),"í","i"),"ó","o"),"ú","u"),"ü","u"),"ñ","n"),"à","a"),"è","e"),"ì","i"),"ò","o"),"ù","u"),"")</f>
        <v/>
      </c>
      <c r="U880" s="25">
        <f>IF(AND(Q880=1,H880&lt;&gt;""),SUBSTITUTE(SUBSTITUTE(SUBSTITUTE(SUBSTITUTE(SUBSTITUTE(SUBSTITUTE(SUBSTITUTE(SUBSTITUTE(SUBSTITUTE(SUBSTITUTE(SUBSTITUTE(SUBSTITUTE(LOWER(TRIM(H880)),"á","a"),"é","e"),"í","i"),"ó","o"),"ú","u"),"ü","u"),"ñ","n"),"à","a"),"è","e"),"ì","i"),"ò","o"),"ù","u"),"")</f>
        <v/>
      </c>
      <c r="V880" s="25">
        <f>IF(AND(Q880=1,L880&lt;&gt;""),SUBSTITUTE(SUBSTITUTE(SUBSTITUTE(SUBSTITUTE(SUBSTITUTE(SUBSTITUTE(SUBSTITUTE(SUBSTITUTE(SUBSTITUTE(SUBSTITUTE(SUBSTITUTE(SUBSTITUTE(LOWER(TRIM(L880)),"á","a"),"é","e"),"í","i"),"ó","o"),"ú","u"),"ü","u"),"ñ","n"),"à","a"),"è","e"),"ì","i"),"ò","o"),"ù","u"),"")</f>
        <v/>
      </c>
      <c r="W880" s="25">
        <f>IF(AND(Q880=1,I880&lt;&gt;""),SUBSTITUTE(SUBSTITUTE(SUBSTITUTE(SUBSTITUTE(SUBSTITUTE(SUBSTITUTE(SUBSTITUTE(SUBSTITUTE(SUBSTITUTE(SUBSTITUTE(SUBSTITUTE(SUBSTITUTE(LOWER(TRIM(I880)),"á","a"),"é","e"),"í","i"),"ó","o"),"ú","u"),"ü","u"),"ñ","n"),"à","a"),"è","e"),"ì","i"),"ò","o"),"ù","u"),"")</f>
        <v/>
      </c>
      <c r="X880" s="25">
        <f>IF(U880="","",IF(OR(U880="si, en la proxima tarea",U880="si, con cambios"),1,0))</f>
        <v/>
      </c>
      <c r="Y880" s="25">
        <f>IF(AND(Q880=1,A880&lt;&gt;""),IF(IFERROR(COUNTIFS(A$3:A880,"="&amp;SUBSTITUTE(SUBSTITUTE(SUBSTITUTE(A880,"~","~~"),"*","~*"),"?","~?"),Q$3:Q880,1),0)=1,MAX(Y$2:Y879)+1,""),"")</f>
        <v/>
      </c>
      <c r="Z880" s="25">
        <f>IF(Y880="","",COUNTIFS($A$3:$A$1002,"="&amp;SUBSTITUTE(SUBSTITUTE(SUBSTITUTE(A880,"~","~~"),"*","~*"),"?","~?"),$Q$3:$Q$1002,1)*10000-Y880)</f>
        <v/>
      </c>
    </row>
    <row r="881">
      <c r="A881">
        <f>IF(A$2=0,"",IFERROR(TRIM(INDEX('Pegar docentes'!$A$1:$BZ$1001,880,A$2)&amp;""),""))</f>
        <v/>
      </c>
      <c r="B881">
        <f>IF(B$2=0,"",IFERROR(TRIM(INDEX('Pegar docentes'!$A$1:$BZ$1001,880,B$2)&amp;""),""))</f>
        <v/>
      </c>
      <c r="C881">
        <f>IF(C$2=0,"",IFERROR(TRIM(INDEX('Pegar docentes'!$A$1:$BZ$1001,880,C$2)&amp;""),""))</f>
        <v/>
      </c>
      <c r="D881">
        <f>IF(D$2=0,"",IFERROR(TRIM(INDEX('Pegar docentes'!$A$1:$BZ$1001,880,D$2)&amp;""),""))</f>
        <v/>
      </c>
      <c r="E881">
        <f>IF(E$2=0,"",IFERROR(TRIM(INDEX('Pegar docentes'!$A$1:$BZ$1001,880,E$2)&amp;""),""))</f>
        <v/>
      </c>
      <c r="F881">
        <f>IF(F$2=0,"",IFERROR(TRIM(INDEX('Pegar docentes'!$A$1:$BZ$1001,880,F$2)&amp;""),""))</f>
        <v/>
      </c>
      <c r="G881">
        <f>IF(G$2=0,"",IFERROR(TRIM(INDEX('Pegar docentes'!$A$1:$BZ$1001,880,G$2)&amp;""),""))</f>
        <v/>
      </c>
      <c r="H881">
        <f>IF(H$2=0,"",IFERROR(TRIM(INDEX('Pegar docentes'!$A$1:$BZ$1001,880,H$2)&amp;""),""))</f>
        <v/>
      </c>
      <c r="I881">
        <f>IF(I$2=0,"",IFERROR(TRIM(INDEX('Pegar docentes'!$A$1:$BZ$1001,880,I$2)&amp;""),""))</f>
        <v/>
      </c>
      <c r="J881">
        <f>IF(J$2=0,"",IFERROR(TRIM(INDEX('Pegar docentes'!$A$1:$BZ$1001,880,J$2)&amp;""),""))</f>
        <v/>
      </c>
      <c r="K881">
        <f>IF(K$2=0,"",IFERROR(TRIM(INDEX('Pegar docentes'!$A$1:$BZ$1001,880,K$2)&amp;""),""))</f>
        <v/>
      </c>
      <c r="L881">
        <f>IF(L$2=0,"",IFERROR(TRIM(INDEX('Pegar docentes'!$A$1:$BZ$1001,880,L$2)&amp;""),""))</f>
        <v/>
      </c>
      <c r="M881">
        <f>IF(M$2=0,"",IFERROR(TRIM(INDEX('Pegar docentes'!$A$1:$BZ$1001,880,M$2)&amp;""),""))</f>
        <v/>
      </c>
      <c r="N881">
        <f>IF(N$2=0,"",IFERROR(TRIM(INDEX('Pegar docentes'!$A$1:$BZ$1001,880,N$2)&amp;""),""))</f>
        <v/>
      </c>
      <c r="O881">
        <f>IF(O$2=0,"",IFERROR(TRIM(INDEX('Pegar docentes'!$A$1:$BZ$1001,880,O$2)&amp;""),""))</f>
        <v/>
      </c>
      <c r="P881">
        <f>IF(P$2=0,"",IFERROR(TRIM(INDEX('Pegar docentes'!$A$1:$BZ$1001,880,P$2)&amp;""),""))</f>
        <v/>
      </c>
      <c r="Q881" s="25">
        <f>IF(OR(D881&lt;&gt;"",H881&lt;&gt;""),1,"")</f>
        <v/>
      </c>
      <c r="R881" s="25">
        <f>IF(Q881=1,IF(ISNUMBER(FIND("#"&amp;MID(D881,1,1)&amp;"#","#0#1#2#3#4#5#6#7#8#9#")),IF(ISNUMBER(FIND("#"&amp;MID(D881,2,1)&amp;"#","#0#1#2#3#4#5#6#7#8#9#")),IF(AND(VALUE(LEFT(D881,2))&gt;=1,VALUE(LEFT(D881,2))&lt;=5),VALUE(LEFT(D881,2)),""),IF(AND(VALUE(LEFT(D881,1))&gt;=1,VALUE(LEFT(D881,1))&lt;=5),VALUE(LEFT(D881,1)),"")),""),"")</f>
        <v/>
      </c>
      <c r="S881" s="25">
        <f>IF(AND(Q881=1,E881&lt;&gt;""),SUBSTITUTE(SUBSTITUTE(SUBSTITUTE(SUBSTITUTE(SUBSTITUTE(SUBSTITUTE(SUBSTITUTE(SUBSTITUTE(SUBSTITUTE(SUBSTITUTE(SUBSTITUTE(SUBSTITUTE(LOWER(TRIM(E881)),"á","a"),"é","e"),"í","i"),"ó","o"),"ú","u"),"ü","u"),"ñ","n"),"à","a"),"è","e"),"ì","i"),"ò","o"),"ù","u"),"")</f>
        <v/>
      </c>
      <c r="T881" s="25">
        <f>IF(AND(Q881=1,G881&lt;&gt;""),SUBSTITUTE(SUBSTITUTE(SUBSTITUTE(SUBSTITUTE(SUBSTITUTE(SUBSTITUTE(SUBSTITUTE(SUBSTITUTE(SUBSTITUTE(SUBSTITUTE(SUBSTITUTE(SUBSTITUTE(LOWER(TRIM(G881)),"á","a"),"é","e"),"í","i"),"ó","o"),"ú","u"),"ü","u"),"ñ","n"),"à","a"),"è","e"),"ì","i"),"ò","o"),"ù","u"),"")</f>
        <v/>
      </c>
      <c r="U881" s="25">
        <f>IF(AND(Q881=1,H881&lt;&gt;""),SUBSTITUTE(SUBSTITUTE(SUBSTITUTE(SUBSTITUTE(SUBSTITUTE(SUBSTITUTE(SUBSTITUTE(SUBSTITUTE(SUBSTITUTE(SUBSTITUTE(SUBSTITUTE(SUBSTITUTE(LOWER(TRIM(H881)),"á","a"),"é","e"),"í","i"),"ó","o"),"ú","u"),"ü","u"),"ñ","n"),"à","a"),"è","e"),"ì","i"),"ò","o"),"ù","u"),"")</f>
        <v/>
      </c>
      <c r="V881" s="25">
        <f>IF(AND(Q881=1,L881&lt;&gt;""),SUBSTITUTE(SUBSTITUTE(SUBSTITUTE(SUBSTITUTE(SUBSTITUTE(SUBSTITUTE(SUBSTITUTE(SUBSTITUTE(SUBSTITUTE(SUBSTITUTE(SUBSTITUTE(SUBSTITUTE(LOWER(TRIM(L881)),"á","a"),"é","e"),"í","i"),"ó","o"),"ú","u"),"ü","u"),"ñ","n"),"à","a"),"è","e"),"ì","i"),"ò","o"),"ù","u"),"")</f>
        <v/>
      </c>
      <c r="W881" s="25">
        <f>IF(AND(Q881=1,I881&lt;&gt;""),SUBSTITUTE(SUBSTITUTE(SUBSTITUTE(SUBSTITUTE(SUBSTITUTE(SUBSTITUTE(SUBSTITUTE(SUBSTITUTE(SUBSTITUTE(SUBSTITUTE(SUBSTITUTE(SUBSTITUTE(LOWER(TRIM(I881)),"á","a"),"é","e"),"í","i"),"ó","o"),"ú","u"),"ü","u"),"ñ","n"),"à","a"),"è","e"),"ì","i"),"ò","o"),"ù","u"),"")</f>
        <v/>
      </c>
      <c r="X881" s="25">
        <f>IF(U881="","",IF(OR(U881="si, en la proxima tarea",U881="si, con cambios"),1,0))</f>
        <v/>
      </c>
      <c r="Y881" s="25">
        <f>IF(AND(Q881=1,A881&lt;&gt;""),IF(IFERROR(COUNTIFS(A$3:A881,"="&amp;SUBSTITUTE(SUBSTITUTE(SUBSTITUTE(A881,"~","~~"),"*","~*"),"?","~?"),Q$3:Q881,1),0)=1,MAX(Y$2:Y880)+1,""),"")</f>
        <v/>
      </c>
      <c r="Z881" s="25">
        <f>IF(Y881="","",COUNTIFS($A$3:$A$1002,"="&amp;SUBSTITUTE(SUBSTITUTE(SUBSTITUTE(A881,"~","~~"),"*","~*"),"?","~?"),$Q$3:$Q$1002,1)*10000-Y881)</f>
        <v/>
      </c>
    </row>
    <row r="882">
      <c r="A882">
        <f>IF(A$2=0,"",IFERROR(TRIM(INDEX('Pegar docentes'!$A$1:$BZ$1001,881,A$2)&amp;""),""))</f>
        <v/>
      </c>
      <c r="B882">
        <f>IF(B$2=0,"",IFERROR(TRIM(INDEX('Pegar docentes'!$A$1:$BZ$1001,881,B$2)&amp;""),""))</f>
        <v/>
      </c>
      <c r="C882">
        <f>IF(C$2=0,"",IFERROR(TRIM(INDEX('Pegar docentes'!$A$1:$BZ$1001,881,C$2)&amp;""),""))</f>
        <v/>
      </c>
      <c r="D882">
        <f>IF(D$2=0,"",IFERROR(TRIM(INDEX('Pegar docentes'!$A$1:$BZ$1001,881,D$2)&amp;""),""))</f>
        <v/>
      </c>
      <c r="E882">
        <f>IF(E$2=0,"",IFERROR(TRIM(INDEX('Pegar docentes'!$A$1:$BZ$1001,881,E$2)&amp;""),""))</f>
        <v/>
      </c>
      <c r="F882">
        <f>IF(F$2=0,"",IFERROR(TRIM(INDEX('Pegar docentes'!$A$1:$BZ$1001,881,F$2)&amp;""),""))</f>
        <v/>
      </c>
      <c r="G882">
        <f>IF(G$2=0,"",IFERROR(TRIM(INDEX('Pegar docentes'!$A$1:$BZ$1001,881,G$2)&amp;""),""))</f>
        <v/>
      </c>
      <c r="H882">
        <f>IF(H$2=0,"",IFERROR(TRIM(INDEX('Pegar docentes'!$A$1:$BZ$1001,881,H$2)&amp;""),""))</f>
        <v/>
      </c>
      <c r="I882">
        <f>IF(I$2=0,"",IFERROR(TRIM(INDEX('Pegar docentes'!$A$1:$BZ$1001,881,I$2)&amp;""),""))</f>
        <v/>
      </c>
      <c r="J882">
        <f>IF(J$2=0,"",IFERROR(TRIM(INDEX('Pegar docentes'!$A$1:$BZ$1001,881,J$2)&amp;""),""))</f>
        <v/>
      </c>
      <c r="K882">
        <f>IF(K$2=0,"",IFERROR(TRIM(INDEX('Pegar docentes'!$A$1:$BZ$1001,881,K$2)&amp;""),""))</f>
        <v/>
      </c>
      <c r="L882">
        <f>IF(L$2=0,"",IFERROR(TRIM(INDEX('Pegar docentes'!$A$1:$BZ$1001,881,L$2)&amp;""),""))</f>
        <v/>
      </c>
      <c r="M882">
        <f>IF(M$2=0,"",IFERROR(TRIM(INDEX('Pegar docentes'!$A$1:$BZ$1001,881,M$2)&amp;""),""))</f>
        <v/>
      </c>
      <c r="N882">
        <f>IF(N$2=0,"",IFERROR(TRIM(INDEX('Pegar docentes'!$A$1:$BZ$1001,881,N$2)&amp;""),""))</f>
        <v/>
      </c>
      <c r="O882">
        <f>IF(O$2=0,"",IFERROR(TRIM(INDEX('Pegar docentes'!$A$1:$BZ$1001,881,O$2)&amp;""),""))</f>
        <v/>
      </c>
      <c r="P882">
        <f>IF(P$2=0,"",IFERROR(TRIM(INDEX('Pegar docentes'!$A$1:$BZ$1001,881,P$2)&amp;""),""))</f>
        <v/>
      </c>
      <c r="Q882" s="25">
        <f>IF(OR(D882&lt;&gt;"",H882&lt;&gt;""),1,"")</f>
        <v/>
      </c>
      <c r="R882" s="25">
        <f>IF(Q882=1,IF(ISNUMBER(FIND("#"&amp;MID(D882,1,1)&amp;"#","#0#1#2#3#4#5#6#7#8#9#")),IF(ISNUMBER(FIND("#"&amp;MID(D882,2,1)&amp;"#","#0#1#2#3#4#5#6#7#8#9#")),IF(AND(VALUE(LEFT(D882,2))&gt;=1,VALUE(LEFT(D882,2))&lt;=5),VALUE(LEFT(D882,2)),""),IF(AND(VALUE(LEFT(D882,1))&gt;=1,VALUE(LEFT(D882,1))&lt;=5),VALUE(LEFT(D882,1)),"")),""),"")</f>
        <v/>
      </c>
      <c r="S882" s="25">
        <f>IF(AND(Q882=1,E882&lt;&gt;""),SUBSTITUTE(SUBSTITUTE(SUBSTITUTE(SUBSTITUTE(SUBSTITUTE(SUBSTITUTE(SUBSTITUTE(SUBSTITUTE(SUBSTITUTE(SUBSTITUTE(SUBSTITUTE(SUBSTITUTE(LOWER(TRIM(E882)),"á","a"),"é","e"),"í","i"),"ó","o"),"ú","u"),"ü","u"),"ñ","n"),"à","a"),"è","e"),"ì","i"),"ò","o"),"ù","u"),"")</f>
        <v/>
      </c>
      <c r="T882" s="25">
        <f>IF(AND(Q882=1,G882&lt;&gt;""),SUBSTITUTE(SUBSTITUTE(SUBSTITUTE(SUBSTITUTE(SUBSTITUTE(SUBSTITUTE(SUBSTITUTE(SUBSTITUTE(SUBSTITUTE(SUBSTITUTE(SUBSTITUTE(SUBSTITUTE(LOWER(TRIM(G882)),"á","a"),"é","e"),"í","i"),"ó","o"),"ú","u"),"ü","u"),"ñ","n"),"à","a"),"è","e"),"ì","i"),"ò","o"),"ù","u"),"")</f>
        <v/>
      </c>
      <c r="U882" s="25">
        <f>IF(AND(Q882=1,H882&lt;&gt;""),SUBSTITUTE(SUBSTITUTE(SUBSTITUTE(SUBSTITUTE(SUBSTITUTE(SUBSTITUTE(SUBSTITUTE(SUBSTITUTE(SUBSTITUTE(SUBSTITUTE(SUBSTITUTE(SUBSTITUTE(LOWER(TRIM(H882)),"á","a"),"é","e"),"í","i"),"ó","o"),"ú","u"),"ü","u"),"ñ","n"),"à","a"),"è","e"),"ì","i"),"ò","o"),"ù","u"),"")</f>
        <v/>
      </c>
      <c r="V882" s="25">
        <f>IF(AND(Q882=1,L882&lt;&gt;""),SUBSTITUTE(SUBSTITUTE(SUBSTITUTE(SUBSTITUTE(SUBSTITUTE(SUBSTITUTE(SUBSTITUTE(SUBSTITUTE(SUBSTITUTE(SUBSTITUTE(SUBSTITUTE(SUBSTITUTE(LOWER(TRIM(L882)),"á","a"),"é","e"),"í","i"),"ó","o"),"ú","u"),"ü","u"),"ñ","n"),"à","a"),"è","e"),"ì","i"),"ò","o"),"ù","u"),"")</f>
        <v/>
      </c>
      <c r="W882" s="25">
        <f>IF(AND(Q882=1,I882&lt;&gt;""),SUBSTITUTE(SUBSTITUTE(SUBSTITUTE(SUBSTITUTE(SUBSTITUTE(SUBSTITUTE(SUBSTITUTE(SUBSTITUTE(SUBSTITUTE(SUBSTITUTE(SUBSTITUTE(SUBSTITUTE(LOWER(TRIM(I882)),"á","a"),"é","e"),"í","i"),"ó","o"),"ú","u"),"ü","u"),"ñ","n"),"à","a"),"è","e"),"ì","i"),"ò","o"),"ù","u"),"")</f>
        <v/>
      </c>
      <c r="X882" s="25">
        <f>IF(U882="","",IF(OR(U882="si, en la proxima tarea",U882="si, con cambios"),1,0))</f>
        <v/>
      </c>
      <c r="Y882" s="25">
        <f>IF(AND(Q882=1,A882&lt;&gt;""),IF(IFERROR(COUNTIFS(A$3:A882,"="&amp;SUBSTITUTE(SUBSTITUTE(SUBSTITUTE(A882,"~","~~"),"*","~*"),"?","~?"),Q$3:Q882,1),0)=1,MAX(Y$2:Y881)+1,""),"")</f>
        <v/>
      </c>
      <c r="Z882" s="25">
        <f>IF(Y882="","",COUNTIFS($A$3:$A$1002,"="&amp;SUBSTITUTE(SUBSTITUTE(SUBSTITUTE(A882,"~","~~"),"*","~*"),"?","~?"),$Q$3:$Q$1002,1)*10000-Y882)</f>
        <v/>
      </c>
    </row>
    <row r="883">
      <c r="A883">
        <f>IF(A$2=0,"",IFERROR(TRIM(INDEX('Pegar docentes'!$A$1:$BZ$1001,882,A$2)&amp;""),""))</f>
        <v/>
      </c>
      <c r="B883">
        <f>IF(B$2=0,"",IFERROR(TRIM(INDEX('Pegar docentes'!$A$1:$BZ$1001,882,B$2)&amp;""),""))</f>
        <v/>
      </c>
      <c r="C883">
        <f>IF(C$2=0,"",IFERROR(TRIM(INDEX('Pegar docentes'!$A$1:$BZ$1001,882,C$2)&amp;""),""))</f>
        <v/>
      </c>
      <c r="D883">
        <f>IF(D$2=0,"",IFERROR(TRIM(INDEX('Pegar docentes'!$A$1:$BZ$1001,882,D$2)&amp;""),""))</f>
        <v/>
      </c>
      <c r="E883">
        <f>IF(E$2=0,"",IFERROR(TRIM(INDEX('Pegar docentes'!$A$1:$BZ$1001,882,E$2)&amp;""),""))</f>
        <v/>
      </c>
      <c r="F883">
        <f>IF(F$2=0,"",IFERROR(TRIM(INDEX('Pegar docentes'!$A$1:$BZ$1001,882,F$2)&amp;""),""))</f>
        <v/>
      </c>
      <c r="G883">
        <f>IF(G$2=0,"",IFERROR(TRIM(INDEX('Pegar docentes'!$A$1:$BZ$1001,882,G$2)&amp;""),""))</f>
        <v/>
      </c>
      <c r="H883">
        <f>IF(H$2=0,"",IFERROR(TRIM(INDEX('Pegar docentes'!$A$1:$BZ$1001,882,H$2)&amp;""),""))</f>
        <v/>
      </c>
      <c r="I883">
        <f>IF(I$2=0,"",IFERROR(TRIM(INDEX('Pegar docentes'!$A$1:$BZ$1001,882,I$2)&amp;""),""))</f>
        <v/>
      </c>
      <c r="J883">
        <f>IF(J$2=0,"",IFERROR(TRIM(INDEX('Pegar docentes'!$A$1:$BZ$1001,882,J$2)&amp;""),""))</f>
        <v/>
      </c>
      <c r="K883">
        <f>IF(K$2=0,"",IFERROR(TRIM(INDEX('Pegar docentes'!$A$1:$BZ$1001,882,K$2)&amp;""),""))</f>
        <v/>
      </c>
      <c r="L883">
        <f>IF(L$2=0,"",IFERROR(TRIM(INDEX('Pegar docentes'!$A$1:$BZ$1001,882,L$2)&amp;""),""))</f>
        <v/>
      </c>
      <c r="M883">
        <f>IF(M$2=0,"",IFERROR(TRIM(INDEX('Pegar docentes'!$A$1:$BZ$1001,882,M$2)&amp;""),""))</f>
        <v/>
      </c>
      <c r="N883">
        <f>IF(N$2=0,"",IFERROR(TRIM(INDEX('Pegar docentes'!$A$1:$BZ$1001,882,N$2)&amp;""),""))</f>
        <v/>
      </c>
      <c r="O883">
        <f>IF(O$2=0,"",IFERROR(TRIM(INDEX('Pegar docentes'!$A$1:$BZ$1001,882,O$2)&amp;""),""))</f>
        <v/>
      </c>
      <c r="P883">
        <f>IF(P$2=0,"",IFERROR(TRIM(INDEX('Pegar docentes'!$A$1:$BZ$1001,882,P$2)&amp;""),""))</f>
        <v/>
      </c>
      <c r="Q883" s="25">
        <f>IF(OR(D883&lt;&gt;"",H883&lt;&gt;""),1,"")</f>
        <v/>
      </c>
      <c r="R883" s="25">
        <f>IF(Q883=1,IF(ISNUMBER(FIND("#"&amp;MID(D883,1,1)&amp;"#","#0#1#2#3#4#5#6#7#8#9#")),IF(ISNUMBER(FIND("#"&amp;MID(D883,2,1)&amp;"#","#0#1#2#3#4#5#6#7#8#9#")),IF(AND(VALUE(LEFT(D883,2))&gt;=1,VALUE(LEFT(D883,2))&lt;=5),VALUE(LEFT(D883,2)),""),IF(AND(VALUE(LEFT(D883,1))&gt;=1,VALUE(LEFT(D883,1))&lt;=5),VALUE(LEFT(D883,1)),"")),""),"")</f>
        <v/>
      </c>
      <c r="S883" s="25">
        <f>IF(AND(Q883=1,E883&lt;&gt;""),SUBSTITUTE(SUBSTITUTE(SUBSTITUTE(SUBSTITUTE(SUBSTITUTE(SUBSTITUTE(SUBSTITUTE(SUBSTITUTE(SUBSTITUTE(SUBSTITUTE(SUBSTITUTE(SUBSTITUTE(LOWER(TRIM(E883)),"á","a"),"é","e"),"í","i"),"ó","o"),"ú","u"),"ü","u"),"ñ","n"),"à","a"),"è","e"),"ì","i"),"ò","o"),"ù","u"),"")</f>
        <v/>
      </c>
      <c r="T883" s="25">
        <f>IF(AND(Q883=1,G883&lt;&gt;""),SUBSTITUTE(SUBSTITUTE(SUBSTITUTE(SUBSTITUTE(SUBSTITUTE(SUBSTITUTE(SUBSTITUTE(SUBSTITUTE(SUBSTITUTE(SUBSTITUTE(SUBSTITUTE(SUBSTITUTE(LOWER(TRIM(G883)),"á","a"),"é","e"),"í","i"),"ó","o"),"ú","u"),"ü","u"),"ñ","n"),"à","a"),"è","e"),"ì","i"),"ò","o"),"ù","u"),"")</f>
        <v/>
      </c>
      <c r="U883" s="25">
        <f>IF(AND(Q883=1,H883&lt;&gt;""),SUBSTITUTE(SUBSTITUTE(SUBSTITUTE(SUBSTITUTE(SUBSTITUTE(SUBSTITUTE(SUBSTITUTE(SUBSTITUTE(SUBSTITUTE(SUBSTITUTE(SUBSTITUTE(SUBSTITUTE(LOWER(TRIM(H883)),"á","a"),"é","e"),"í","i"),"ó","o"),"ú","u"),"ü","u"),"ñ","n"),"à","a"),"è","e"),"ì","i"),"ò","o"),"ù","u"),"")</f>
        <v/>
      </c>
      <c r="V883" s="25">
        <f>IF(AND(Q883=1,L883&lt;&gt;""),SUBSTITUTE(SUBSTITUTE(SUBSTITUTE(SUBSTITUTE(SUBSTITUTE(SUBSTITUTE(SUBSTITUTE(SUBSTITUTE(SUBSTITUTE(SUBSTITUTE(SUBSTITUTE(SUBSTITUTE(LOWER(TRIM(L883)),"á","a"),"é","e"),"í","i"),"ó","o"),"ú","u"),"ü","u"),"ñ","n"),"à","a"),"è","e"),"ì","i"),"ò","o"),"ù","u"),"")</f>
        <v/>
      </c>
      <c r="W883" s="25">
        <f>IF(AND(Q883=1,I883&lt;&gt;""),SUBSTITUTE(SUBSTITUTE(SUBSTITUTE(SUBSTITUTE(SUBSTITUTE(SUBSTITUTE(SUBSTITUTE(SUBSTITUTE(SUBSTITUTE(SUBSTITUTE(SUBSTITUTE(SUBSTITUTE(LOWER(TRIM(I883)),"á","a"),"é","e"),"í","i"),"ó","o"),"ú","u"),"ü","u"),"ñ","n"),"à","a"),"è","e"),"ì","i"),"ò","o"),"ù","u"),"")</f>
        <v/>
      </c>
      <c r="X883" s="25">
        <f>IF(U883="","",IF(OR(U883="si, en la proxima tarea",U883="si, con cambios"),1,0))</f>
        <v/>
      </c>
      <c r="Y883" s="25">
        <f>IF(AND(Q883=1,A883&lt;&gt;""),IF(IFERROR(COUNTIFS(A$3:A883,"="&amp;SUBSTITUTE(SUBSTITUTE(SUBSTITUTE(A883,"~","~~"),"*","~*"),"?","~?"),Q$3:Q883,1),0)=1,MAX(Y$2:Y882)+1,""),"")</f>
        <v/>
      </c>
      <c r="Z883" s="25">
        <f>IF(Y883="","",COUNTIFS($A$3:$A$1002,"="&amp;SUBSTITUTE(SUBSTITUTE(SUBSTITUTE(A883,"~","~~"),"*","~*"),"?","~?"),$Q$3:$Q$1002,1)*10000-Y883)</f>
        <v/>
      </c>
    </row>
    <row r="884">
      <c r="A884">
        <f>IF(A$2=0,"",IFERROR(TRIM(INDEX('Pegar docentes'!$A$1:$BZ$1001,883,A$2)&amp;""),""))</f>
        <v/>
      </c>
      <c r="B884">
        <f>IF(B$2=0,"",IFERROR(TRIM(INDEX('Pegar docentes'!$A$1:$BZ$1001,883,B$2)&amp;""),""))</f>
        <v/>
      </c>
      <c r="C884">
        <f>IF(C$2=0,"",IFERROR(TRIM(INDEX('Pegar docentes'!$A$1:$BZ$1001,883,C$2)&amp;""),""))</f>
        <v/>
      </c>
      <c r="D884">
        <f>IF(D$2=0,"",IFERROR(TRIM(INDEX('Pegar docentes'!$A$1:$BZ$1001,883,D$2)&amp;""),""))</f>
        <v/>
      </c>
      <c r="E884">
        <f>IF(E$2=0,"",IFERROR(TRIM(INDEX('Pegar docentes'!$A$1:$BZ$1001,883,E$2)&amp;""),""))</f>
        <v/>
      </c>
      <c r="F884">
        <f>IF(F$2=0,"",IFERROR(TRIM(INDEX('Pegar docentes'!$A$1:$BZ$1001,883,F$2)&amp;""),""))</f>
        <v/>
      </c>
      <c r="G884">
        <f>IF(G$2=0,"",IFERROR(TRIM(INDEX('Pegar docentes'!$A$1:$BZ$1001,883,G$2)&amp;""),""))</f>
        <v/>
      </c>
      <c r="H884">
        <f>IF(H$2=0,"",IFERROR(TRIM(INDEX('Pegar docentes'!$A$1:$BZ$1001,883,H$2)&amp;""),""))</f>
        <v/>
      </c>
      <c r="I884">
        <f>IF(I$2=0,"",IFERROR(TRIM(INDEX('Pegar docentes'!$A$1:$BZ$1001,883,I$2)&amp;""),""))</f>
        <v/>
      </c>
      <c r="J884">
        <f>IF(J$2=0,"",IFERROR(TRIM(INDEX('Pegar docentes'!$A$1:$BZ$1001,883,J$2)&amp;""),""))</f>
        <v/>
      </c>
      <c r="K884">
        <f>IF(K$2=0,"",IFERROR(TRIM(INDEX('Pegar docentes'!$A$1:$BZ$1001,883,K$2)&amp;""),""))</f>
        <v/>
      </c>
      <c r="L884">
        <f>IF(L$2=0,"",IFERROR(TRIM(INDEX('Pegar docentes'!$A$1:$BZ$1001,883,L$2)&amp;""),""))</f>
        <v/>
      </c>
      <c r="M884">
        <f>IF(M$2=0,"",IFERROR(TRIM(INDEX('Pegar docentes'!$A$1:$BZ$1001,883,M$2)&amp;""),""))</f>
        <v/>
      </c>
      <c r="N884">
        <f>IF(N$2=0,"",IFERROR(TRIM(INDEX('Pegar docentes'!$A$1:$BZ$1001,883,N$2)&amp;""),""))</f>
        <v/>
      </c>
      <c r="O884">
        <f>IF(O$2=0,"",IFERROR(TRIM(INDEX('Pegar docentes'!$A$1:$BZ$1001,883,O$2)&amp;""),""))</f>
        <v/>
      </c>
      <c r="P884">
        <f>IF(P$2=0,"",IFERROR(TRIM(INDEX('Pegar docentes'!$A$1:$BZ$1001,883,P$2)&amp;""),""))</f>
        <v/>
      </c>
      <c r="Q884" s="25">
        <f>IF(OR(D884&lt;&gt;"",H884&lt;&gt;""),1,"")</f>
        <v/>
      </c>
      <c r="R884" s="25">
        <f>IF(Q884=1,IF(ISNUMBER(FIND("#"&amp;MID(D884,1,1)&amp;"#","#0#1#2#3#4#5#6#7#8#9#")),IF(ISNUMBER(FIND("#"&amp;MID(D884,2,1)&amp;"#","#0#1#2#3#4#5#6#7#8#9#")),IF(AND(VALUE(LEFT(D884,2))&gt;=1,VALUE(LEFT(D884,2))&lt;=5),VALUE(LEFT(D884,2)),""),IF(AND(VALUE(LEFT(D884,1))&gt;=1,VALUE(LEFT(D884,1))&lt;=5),VALUE(LEFT(D884,1)),"")),""),"")</f>
        <v/>
      </c>
      <c r="S884" s="25">
        <f>IF(AND(Q884=1,E884&lt;&gt;""),SUBSTITUTE(SUBSTITUTE(SUBSTITUTE(SUBSTITUTE(SUBSTITUTE(SUBSTITUTE(SUBSTITUTE(SUBSTITUTE(SUBSTITUTE(SUBSTITUTE(SUBSTITUTE(SUBSTITUTE(LOWER(TRIM(E884)),"á","a"),"é","e"),"í","i"),"ó","o"),"ú","u"),"ü","u"),"ñ","n"),"à","a"),"è","e"),"ì","i"),"ò","o"),"ù","u"),"")</f>
        <v/>
      </c>
      <c r="T884" s="25">
        <f>IF(AND(Q884=1,G884&lt;&gt;""),SUBSTITUTE(SUBSTITUTE(SUBSTITUTE(SUBSTITUTE(SUBSTITUTE(SUBSTITUTE(SUBSTITUTE(SUBSTITUTE(SUBSTITUTE(SUBSTITUTE(SUBSTITUTE(SUBSTITUTE(LOWER(TRIM(G884)),"á","a"),"é","e"),"í","i"),"ó","o"),"ú","u"),"ü","u"),"ñ","n"),"à","a"),"è","e"),"ì","i"),"ò","o"),"ù","u"),"")</f>
        <v/>
      </c>
      <c r="U884" s="25">
        <f>IF(AND(Q884=1,H884&lt;&gt;""),SUBSTITUTE(SUBSTITUTE(SUBSTITUTE(SUBSTITUTE(SUBSTITUTE(SUBSTITUTE(SUBSTITUTE(SUBSTITUTE(SUBSTITUTE(SUBSTITUTE(SUBSTITUTE(SUBSTITUTE(LOWER(TRIM(H884)),"á","a"),"é","e"),"í","i"),"ó","o"),"ú","u"),"ü","u"),"ñ","n"),"à","a"),"è","e"),"ì","i"),"ò","o"),"ù","u"),"")</f>
        <v/>
      </c>
      <c r="V884" s="25">
        <f>IF(AND(Q884=1,L884&lt;&gt;""),SUBSTITUTE(SUBSTITUTE(SUBSTITUTE(SUBSTITUTE(SUBSTITUTE(SUBSTITUTE(SUBSTITUTE(SUBSTITUTE(SUBSTITUTE(SUBSTITUTE(SUBSTITUTE(SUBSTITUTE(LOWER(TRIM(L884)),"á","a"),"é","e"),"í","i"),"ó","o"),"ú","u"),"ü","u"),"ñ","n"),"à","a"),"è","e"),"ì","i"),"ò","o"),"ù","u"),"")</f>
        <v/>
      </c>
      <c r="W884" s="25">
        <f>IF(AND(Q884=1,I884&lt;&gt;""),SUBSTITUTE(SUBSTITUTE(SUBSTITUTE(SUBSTITUTE(SUBSTITUTE(SUBSTITUTE(SUBSTITUTE(SUBSTITUTE(SUBSTITUTE(SUBSTITUTE(SUBSTITUTE(SUBSTITUTE(LOWER(TRIM(I884)),"á","a"),"é","e"),"í","i"),"ó","o"),"ú","u"),"ü","u"),"ñ","n"),"à","a"),"è","e"),"ì","i"),"ò","o"),"ù","u"),"")</f>
        <v/>
      </c>
      <c r="X884" s="25">
        <f>IF(U884="","",IF(OR(U884="si, en la proxima tarea",U884="si, con cambios"),1,0))</f>
        <v/>
      </c>
      <c r="Y884" s="25">
        <f>IF(AND(Q884=1,A884&lt;&gt;""),IF(IFERROR(COUNTIFS(A$3:A884,"="&amp;SUBSTITUTE(SUBSTITUTE(SUBSTITUTE(A884,"~","~~"),"*","~*"),"?","~?"),Q$3:Q884,1),0)=1,MAX(Y$2:Y883)+1,""),"")</f>
        <v/>
      </c>
      <c r="Z884" s="25">
        <f>IF(Y884="","",COUNTIFS($A$3:$A$1002,"="&amp;SUBSTITUTE(SUBSTITUTE(SUBSTITUTE(A884,"~","~~"),"*","~*"),"?","~?"),$Q$3:$Q$1002,1)*10000-Y884)</f>
        <v/>
      </c>
    </row>
    <row r="885">
      <c r="A885">
        <f>IF(A$2=0,"",IFERROR(TRIM(INDEX('Pegar docentes'!$A$1:$BZ$1001,884,A$2)&amp;""),""))</f>
        <v/>
      </c>
      <c r="B885">
        <f>IF(B$2=0,"",IFERROR(TRIM(INDEX('Pegar docentes'!$A$1:$BZ$1001,884,B$2)&amp;""),""))</f>
        <v/>
      </c>
      <c r="C885">
        <f>IF(C$2=0,"",IFERROR(TRIM(INDEX('Pegar docentes'!$A$1:$BZ$1001,884,C$2)&amp;""),""))</f>
        <v/>
      </c>
      <c r="D885">
        <f>IF(D$2=0,"",IFERROR(TRIM(INDEX('Pegar docentes'!$A$1:$BZ$1001,884,D$2)&amp;""),""))</f>
        <v/>
      </c>
      <c r="E885">
        <f>IF(E$2=0,"",IFERROR(TRIM(INDEX('Pegar docentes'!$A$1:$BZ$1001,884,E$2)&amp;""),""))</f>
        <v/>
      </c>
      <c r="F885">
        <f>IF(F$2=0,"",IFERROR(TRIM(INDEX('Pegar docentes'!$A$1:$BZ$1001,884,F$2)&amp;""),""))</f>
        <v/>
      </c>
      <c r="G885">
        <f>IF(G$2=0,"",IFERROR(TRIM(INDEX('Pegar docentes'!$A$1:$BZ$1001,884,G$2)&amp;""),""))</f>
        <v/>
      </c>
      <c r="H885">
        <f>IF(H$2=0,"",IFERROR(TRIM(INDEX('Pegar docentes'!$A$1:$BZ$1001,884,H$2)&amp;""),""))</f>
        <v/>
      </c>
      <c r="I885">
        <f>IF(I$2=0,"",IFERROR(TRIM(INDEX('Pegar docentes'!$A$1:$BZ$1001,884,I$2)&amp;""),""))</f>
        <v/>
      </c>
      <c r="J885">
        <f>IF(J$2=0,"",IFERROR(TRIM(INDEX('Pegar docentes'!$A$1:$BZ$1001,884,J$2)&amp;""),""))</f>
        <v/>
      </c>
      <c r="K885">
        <f>IF(K$2=0,"",IFERROR(TRIM(INDEX('Pegar docentes'!$A$1:$BZ$1001,884,K$2)&amp;""),""))</f>
        <v/>
      </c>
      <c r="L885">
        <f>IF(L$2=0,"",IFERROR(TRIM(INDEX('Pegar docentes'!$A$1:$BZ$1001,884,L$2)&amp;""),""))</f>
        <v/>
      </c>
      <c r="M885">
        <f>IF(M$2=0,"",IFERROR(TRIM(INDEX('Pegar docentes'!$A$1:$BZ$1001,884,M$2)&amp;""),""))</f>
        <v/>
      </c>
      <c r="N885">
        <f>IF(N$2=0,"",IFERROR(TRIM(INDEX('Pegar docentes'!$A$1:$BZ$1001,884,N$2)&amp;""),""))</f>
        <v/>
      </c>
      <c r="O885">
        <f>IF(O$2=0,"",IFERROR(TRIM(INDEX('Pegar docentes'!$A$1:$BZ$1001,884,O$2)&amp;""),""))</f>
        <v/>
      </c>
      <c r="P885">
        <f>IF(P$2=0,"",IFERROR(TRIM(INDEX('Pegar docentes'!$A$1:$BZ$1001,884,P$2)&amp;""),""))</f>
        <v/>
      </c>
      <c r="Q885" s="25">
        <f>IF(OR(D885&lt;&gt;"",H885&lt;&gt;""),1,"")</f>
        <v/>
      </c>
      <c r="R885" s="25">
        <f>IF(Q885=1,IF(ISNUMBER(FIND("#"&amp;MID(D885,1,1)&amp;"#","#0#1#2#3#4#5#6#7#8#9#")),IF(ISNUMBER(FIND("#"&amp;MID(D885,2,1)&amp;"#","#0#1#2#3#4#5#6#7#8#9#")),IF(AND(VALUE(LEFT(D885,2))&gt;=1,VALUE(LEFT(D885,2))&lt;=5),VALUE(LEFT(D885,2)),""),IF(AND(VALUE(LEFT(D885,1))&gt;=1,VALUE(LEFT(D885,1))&lt;=5),VALUE(LEFT(D885,1)),"")),""),"")</f>
        <v/>
      </c>
      <c r="S885" s="25">
        <f>IF(AND(Q885=1,E885&lt;&gt;""),SUBSTITUTE(SUBSTITUTE(SUBSTITUTE(SUBSTITUTE(SUBSTITUTE(SUBSTITUTE(SUBSTITUTE(SUBSTITUTE(SUBSTITUTE(SUBSTITUTE(SUBSTITUTE(SUBSTITUTE(LOWER(TRIM(E885)),"á","a"),"é","e"),"í","i"),"ó","o"),"ú","u"),"ü","u"),"ñ","n"),"à","a"),"è","e"),"ì","i"),"ò","o"),"ù","u"),"")</f>
        <v/>
      </c>
      <c r="T885" s="25">
        <f>IF(AND(Q885=1,G885&lt;&gt;""),SUBSTITUTE(SUBSTITUTE(SUBSTITUTE(SUBSTITUTE(SUBSTITUTE(SUBSTITUTE(SUBSTITUTE(SUBSTITUTE(SUBSTITUTE(SUBSTITUTE(SUBSTITUTE(SUBSTITUTE(LOWER(TRIM(G885)),"á","a"),"é","e"),"í","i"),"ó","o"),"ú","u"),"ü","u"),"ñ","n"),"à","a"),"è","e"),"ì","i"),"ò","o"),"ù","u"),"")</f>
        <v/>
      </c>
      <c r="U885" s="25">
        <f>IF(AND(Q885=1,H885&lt;&gt;""),SUBSTITUTE(SUBSTITUTE(SUBSTITUTE(SUBSTITUTE(SUBSTITUTE(SUBSTITUTE(SUBSTITUTE(SUBSTITUTE(SUBSTITUTE(SUBSTITUTE(SUBSTITUTE(SUBSTITUTE(LOWER(TRIM(H885)),"á","a"),"é","e"),"í","i"),"ó","o"),"ú","u"),"ü","u"),"ñ","n"),"à","a"),"è","e"),"ì","i"),"ò","o"),"ù","u"),"")</f>
        <v/>
      </c>
      <c r="V885" s="25">
        <f>IF(AND(Q885=1,L885&lt;&gt;""),SUBSTITUTE(SUBSTITUTE(SUBSTITUTE(SUBSTITUTE(SUBSTITUTE(SUBSTITUTE(SUBSTITUTE(SUBSTITUTE(SUBSTITUTE(SUBSTITUTE(SUBSTITUTE(SUBSTITUTE(LOWER(TRIM(L885)),"á","a"),"é","e"),"í","i"),"ó","o"),"ú","u"),"ü","u"),"ñ","n"),"à","a"),"è","e"),"ì","i"),"ò","o"),"ù","u"),"")</f>
        <v/>
      </c>
      <c r="W885" s="25">
        <f>IF(AND(Q885=1,I885&lt;&gt;""),SUBSTITUTE(SUBSTITUTE(SUBSTITUTE(SUBSTITUTE(SUBSTITUTE(SUBSTITUTE(SUBSTITUTE(SUBSTITUTE(SUBSTITUTE(SUBSTITUTE(SUBSTITUTE(SUBSTITUTE(LOWER(TRIM(I885)),"á","a"),"é","e"),"í","i"),"ó","o"),"ú","u"),"ü","u"),"ñ","n"),"à","a"),"è","e"),"ì","i"),"ò","o"),"ù","u"),"")</f>
        <v/>
      </c>
      <c r="X885" s="25">
        <f>IF(U885="","",IF(OR(U885="si, en la proxima tarea",U885="si, con cambios"),1,0))</f>
        <v/>
      </c>
      <c r="Y885" s="25">
        <f>IF(AND(Q885=1,A885&lt;&gt;""),IF(IFERROR(COUNTIFS(A$3:A885,"="&amp;SUBSTITUTE(SUBSTITUTE(SUBSTITUTE(A885,"~","~~"),"*","~*"),"?","~?"),Q$3:Q885,1),0)=1,MAX(Y$2:Y884)+1,""),"")</f>
        <v/>
      </c>
      <c r="Z885" s="25">
        <f>IF(Y885="","",COUNTIFS($A$3:$A$1002,"="&amp;SUBSTITUTE(SUBSTITUTE(SUBSTITUTE(A885,"~","~~"),"*","~*"),"?","~?"),$Q$3:$Q$1002,1)*10000-Y885)</f>
        <v/>
      </c>
    </row>
    <row r="886">
      <c r="A886">
        <f>IF(A$2=0,"",IFERROR(TRIM(INDEX('Pegar docentes'!$A$1:$BZ$1001,885,A$2)&amp;""),""))</f>
        <v/>
      </c>
      <c r="B886">
        <f>IF(B$2=0,"",IFERROR(TRIM(INDEX('Pegar docentes'!$A$1:$BZ$1001,885,B$2)&amp;""),""))</f>
        <v/>
      </c>
      <c r="C886">
        <f>IF(C$2=0,"",IFERROR(TRIM(INDEX('Pegar docentes'!$A$1:$BZ$1001,885,C$2)&amp;""),""))</f>
        <v/>
      </c>
      <c r="D886">
        <f>IF(D$2=0,"",IFERROR(TRIM(INDEX('Pegar docentes'!$A$1:$BZ$1001,885,D$2)&amp;""),""))</f>
        <v/>
      </c>
      <c r="E886">
        <f>IF(E$2=0,"",IFERROR(TRIM(INDEX('Pegar docentes'!$A$1:$BZ$1001,885,E$2)&amp;""),""))</f>
        <v/>
      </c>
      <c r="F886">
        <f>IF(F$2=0,"",IFERROR(TRIM(INDEX('Pegar docentes'!$A$1:$BZ$1001,885,F$2)&amp;""),""))</f>
        <v/>
      </c>
      <c r="G886">
        <f>IF(G$2=0,"",IFERROR(TRIM(INDEX('Pegar docentes'!$A$1:$BZ$1001,885,G$2)&amp;""),""))</f>
        <v/>
      </c>
      <c r="H886">
        <f>IF(H$2=0,"",IFERROR(TRIM(INDEX('Pegar docentes'!$A$1:$BZ$1001,885,H$2)&amp;""),""))</f>
        <v/>
      </c>
      <c r="I886">
        <f>IF(I$2=0,"",IFERROR(TRIM(INDEX('Pegar docentes'!$A$1:$BZ$1001,885,I$2)&amp;""),""))</f>
        <v/>
      </c>
      <c r="J886">
        <f>IF(J$2=0,"",IFERROR(TRIM(INDEX('Pegar docentes'!$A$1:$BZ$1001,885,J$2)&amp;""),""))</f>
        <v/>
      </c>
      <c r="K886">
        <f>IF(K$2=0,"",IFERROR(TRIM(INDEX('Pegar docentes'!$A$1:$BZ$1001,885,K$2)&amp;""),""))</f>
        <v/>
      </c>
      <c r="L886">
        <f>IF(L$2=0,"",IFERROR(TRIM(INDEX('Pegar docentes'!$A$1:$BZ$1001,885,L$2)&amp;""),""))</f>
        <v/>
      </c>
      <c r="M886">
        <f>IF(M$2=0,"",IFERROR(TRIM(INDEX('Pegar docentes'!$A$1:$BZ$1001,885,M$2)&amp;""),""))</f>
        <v/>
      </c>
      <c r="N886">
        <f>IF(N$2=0,"",IFERROR(TRIM(INDEX('Pegar docentes'!$A$1:$BZ$1001,885,N$2)&amp;""),""))</f>
        <v/>
      </c>
      <c r="O886">
        <f>IF(O$2=0,"",IFERROR(TRIM(INDEX('Pegar docentes'!$A$1:$BZ$1001,885,O$2)&amp;""),""))</f>
        <v/>
      </c>
      <c r="P886">
        <f>IF(P$2=0,"",IFERROR(TRIM(INDEX('Pegar docentes'!$A$1:$BZ$1001,885,P$2)&amp;""),""))</f>
        <v/>
      </c>
      <c r="Q886" s="25">
        <f>IF(OR(D886&lt;&gt;"",H886&lt;&gt;""),1,"")</f>
        <v/>
      </c>
      <c r="R886" s="25">
        <f>IF(Q886=1,IF(ISNUMBER(FIND("#"&amp;MID(D886,1,1)&amp;"#","#0#1#2#3#4#5#6#7#8#9#")),IF(ISNUMBER(FIND("#"&amp;MID(D886,2,1)&amp;"#","#0#1#2#3#4#5#6#7#8#9#")),IF(AND(VALUE(LEFT(D886,2))&gt;=1,VALUE(LEFT(D886,2))&lt;=5),VALUE(LEFT(D886,2)),""),IF(AND(VALUE(LEFT(D886,1))&gt;=1,VALUE(LEFT(D886,1))&lt;=5),VALUE(LEFT(D886,1)),"")),""),"")</f>
        <v/>
      </c>
      <c r="S886" s="25">
        <f>IF(AND(Q886=1,E886&lt;&gt;""),SUBSTITUTE(SUBSTITUTE(SUBSTITUTE(SUBSTITUTE(SUBSTITUTE(SUBSTITUTE(SUBSTITUTE(SUBSTITUTE(SUBSTITUTE(SUBSTITUTE(SUBSTITUTE(SUBSTITUTE(LOWER(TRIM(E886)),"á","a"),"é","e"),"í","i"),"ó","o"),"ú","u"),"ü","u"),"ñ","n"),"à","a"),"è","e"),"ì","i"),"ò","o"),"ù","u"),"")</f>
        <v/>
      </c>
      <c r="T886" s="25">
        <f>IF(AND(Q886=1,G886&lt;&gt;""),SUBSTITUTE(SUBSTITUTE(SUBSTITUTE(SUBSTITUTE(SUBSTITUTE(SUBSTITUTE(SUBSTITUTE(SUBSTITUTE(SUBSTITUTE(SUBSTITUTE(SUBSTITUTE(SUBSTITUTE(LOWER(TRIM(G886)),"á","a"),"é","e"),"í","i"),"ó","o"),"ú","u"),"ü","u"),"ñ","n"),"à","a"),"è","e"),"ì","i"),"ò","o"),"ù","u"),"")</f>
        <v/>
      </c>
      <c r="U886" s="25">
        <f>IF(AND(Q886=1,H886&lt;&gt;""),SUBSTITUTE(SUBSTITUTE(SUBSTITUTE(SUBSTITUTE(SUBSTITUTE(SUBSTITUTE(SUBSTITUTE(SUBSTITUTE(SUBSTITUTE(SUBSTITUTE(SUBSTITUTE(SUBSTITUTE(LOWER(TRIM(H886)),"á","a"),"é","e"),"í","i"),"ó","o"),"ú","u"),"ü","u"),"ñ","n"),"à","a"),"è","e"),"ì","i"),"ò","o"),"ù","u"),"")</f>
        <v/>
      </c>
      <c r="V886" s="25">
        <f>IF(AND(Q886=1,L886&lt;&gt;""),SUBSTITUTE(SUBSTITUTE(SUBSTITUTE(SUBSTITUTE(SUBSTITUTE(SUBSTITUTE(SUBSTITUTE(SUBSTITUTE(SUBSTITUTE(SUBSTITUTE(SUBSTITUTE(SUBSTITUTE(LOWER(TRIM(L886)),"á","a"),"é","e"),"í","i"),"ó","o"),"ú","u"),"ü","u"),"ñ","n"),"à","a"),"è","e"),"ì","i"),"ò","o"),"ù","u"),"")</f>
        <v/>
      </c>
      <c r="W886" s="25">
        <f>IF(AND(Q886=1,I886&lt;&gt;""),SUBSTITUTE(SUBSTITUTE(SUBSTITUTE(SUBSTITUTE(SUBSTITUTE(SUBSTITUTE(SUBSTITUTE(SUBSTITUTE(SUBSTITUTE(SUBSTITUTE(SUBSTITUTE(SUBSTITUTE(LOWER(TRIM(I886)),"á","a"),"é","e"),"í","i"),"ó","o"),"ú","u"),"ü","u"),"ñ","n"),"à","a"),"è","e"),"ì","i"),"ò","o"),"ù","u"),"")</f>
        <v/>
      </c>
      <c r="X886" s="25">
        <f>IF(U886="","",IF(OR(U886="si, en la proxima tarea",U886="si, con cambios"),1,0))</f>
        <v/>
      </c>
      <c r="Y886" s="25">
        <f>IF(AND(Q886=1,A886&lt;&gt;""),IF(IFERROR(COUNTIFS(A$3:A886,"="&amp;SUBSTITUTE(SUBSTITUTE(SUBSTITUTE(A886,"~","~~"),"*","~*"),"?","~?"),Q$3:Q886,1),0)=1,MAX(Y$2:Y885)+1,""),"")</f>
        <v/>
      </c>
      <c r="Z886" s="25">
        <f>IF(Y886="","",COUNTIFS($A$3:$A$1002,"="&amp;SUBSTITUTE(SUBSTITUTE(SUBSTITUTE(A886,"~","~~"),"*","~*"),"?","~?"),$Q$3:$Q$1002,1)*10000-Y886)</f>
        <v/>
      </c>
    </row>
    <row r="887">
      <c r="A887">
        <f>IF(A$2=0,"",IFERROR(TRIM(INDEX('Pegar docentes'!$A$1:$BZ$1001,886,A$2)&amp;""),""))</f>
        <v/>
      </c>
      <c r="B887">
        <f>IF(B$2=0,"",IFERROR(TRIM(INDEX('Pegar docentes'!$A$1:$BZ$1001,886,B$2)&amp;""),""))</f>
        <v/>
      </c>
      <c r="C887">
        <f>IF(C$2=0,"",IFERROR(TRIM(INDEX('Pegar docentes'!$A$1:$BZ$1001,886,C$2)&amp;""),""))</f>
        <v/>
      </c>
      <c r="D887">
        <f>IF(D$2=0,"",IFERROR(TRIM(INDEX('Pegar docentes'!$A$1:$BZ$1001,886,D$2)&amp;""),""))</f>
        <v/>
      </c>
      <c r="E887">
        <f>IF(E$2=0,"",IFERROR(TRIM(INDEX('Pegar docentes'!$A$1:$BZ$1001,886,E$2)&amp;""),""))</f>
        <v/>
      </c>
      <c r="F887">
        <f>IF(F$2=0,"",IFERROR(TRIM(INDEX('Pegar docentes'!$A$1:$BZ$1001,886,F$2)&amp;""),""))</f>
        <v/>
      </c>
      <c r="G887">
        <f>IF(G$2=0,"",IFERROR(TRIM(INDEX('Pegar docentes'!$A$1:$BZ$1001,886,G$2)&amp;""),""))</f>
        <v/>
      </c>
      <c r="H887">
        <f>IF(H$2=0,"",IFERROR(TRIM(INDEX('Pegar docentes'!$A$1:$BZ$1001,886,H$2)&amp;""),""))</f>
        <v/>
      </c>
      <c r="I887">
        <f>IF(I$2=0,"",IFERROR(TRIM(INDEX('Pegar docentes'!$A$1:$BZ$1001,886,I$2)&amp;""),""))</f>
        <v/>
      </c>
      <c r="J887">
        <f>IF(J$2=0,"",IFERROR(TRIM(INDEX('Pegar docentes'!$A$1:$BZ$1001,886,J$2)&amp;""),""))</f>
        <v/>
      </c>
      <c r="K887">
        <f>IF(K$2=0,"",IFERROR(TRIM(INDEX('Pegar docentes'!$A$1:$BZ$1001,886,K$2)&amp;""),""))</f>
        <v/>
      </c>
      <c r="L887">
        <f>IF(L$2=0,"",IFERROR(TRIM(INDEX('Pegar docentes'!$A$1:$BZ$1001,886,L$2)&amp;""),""))</f>
        <v/>
      </c>
      <c r="M887">
        <f>IF(M$2=0,"",IFERROR(TRIM(INDEX('Pegar docentes'!$A$1:$BZ$1001,886,M$2)&amp;""),""))</f>
        <v/>
      </c>
      <c r="N887">
        <f>IF(N$2=0,"",IFERROR(TRIM(INDEX('Pegar docentes'!$A$1:$BZ$1001,886,N$2)&amp;""),""))</f>
        <v/>
      </c>
      <c r="O887">
        <f>IF(O$2=0,"",IFERROR(TRIM(INDEX('Pegar docentes'!$A$1:$BZ$1001,886,O$2)&amp;""),""))</f>
        <v/>
      </c>
      <c r="P887">
        <f>IF(P$2=0,"",IFERROR(TRIM(INDEX('Pegar docentes'!$A$1:$BZ$1001,886,P$2)&amp;""),""))</f>
        <v/>
      </c>
      <c r="Q887" s="25">
        <f>IF(OR(D887&lt;&gt;"",H887&lt;&gt;""),1,"")</f>
        <v/>
      </c>
      <c r="R887" s="25">
        <f>IF(Q887=1,IF(ISNUMBER(FIND("#"&amp;MID(D887,1,1)&amp;"#","#0#1#2#3#4#5#6#7#8#9#")),IF(ISNUMBER(FIND("#"&amp;MID(D887,2,1)&amp;"#","#0#1#2#3#4#5#6#7#8#9#")),IF(AND(VALUE(LEFT(D887,2))&gt;=1,VALUE(LEFT(D887,2))&lt;=5),VALUE(LEFT(D887,2)),""),IF(AND(VALUE(LEFT(D887,1))&gt;=1,VALUE(LEFT(D887,1))&lt;=5),VALUE(LEFT(D887,1)),"")),""),"")</f>
        <v/>
      </c>
      <c r="S887" s="25">
        <f>IF(AND(Q887=1,E887&lt;&gt;""),SUBSTITUTE(SUBSTITUTE(SUBSTITUTE(SUBSTITUTE(SUBSTITUTE(SUBSTITUTE(SUBSTITUTE(SUBSTITUTE(SUBSTITUTE(SUBSTITUTE(SUBSTITUTE(SUBSTITUTE(LOWER(TRIM(E887)),"á","a"),"é","e"),"í","i"),"ó","o"),"ú","u"),"ü","u"),"ñ","n"),"à","a"),"è","e"),"ì","i"),"ò","o"),"ù","u"),"")</f>
        <v/>
      </c>
      <c r="T887" s="25">
        <f>IF(AND(Q887=1,G887&lt;&gt;""),SUBSTITUTE(SUBSTITUTE(SUBSTITUTE(SUBSTITUTE(SUBSTITUTE(SUBSTITUTE(SUBSTITUTE(SUBSTITUTE(SUBSTITUTE(SUBSTITUTE(SUBSTITUTE(SUBSTITUTE(LOWER(TRIM(G887)),"á","a"),"é","e"),"í","i"),"ó","o"),"ú","u"),"ü","u"),"ñ","n"),"à","a"),"è","e"),"ì","i"),"ò","o"),"ù","u"),"")</f>
        <v/>
      </c>
      <c r="U887" s="25">
        <f>IF(AND(Q887=1,H887&lt;&gt;""),SUBSTITUTE(SUBSTITUTE(SUBSTITUTE(SUBSTITUTE(SUBSTITUTE(SUBSTITUTE(SUBSTITUTE(SUBSTITUTE(SUBSTITUTE(SUBSTITUTE(SUBSTITUTE(SUBSTITUTE(LOWER(TRIM(H887)),"á","a"),"é","e"),"í","i"),"ó","o"),"ú","u"),"ü","u"),"ñ","n"),"à","a"),"è","e"),"ì","i"),"ò","o"),"ù","u"),"")</f>
        <v/>
      </c>
      <c r="V887" s="25">
        <f>IF(AND(Q887=1,L887&lt;&gt;""),SUBSTITUTE(SUBSTITUTE(SUBSTITUTE(SUBSTITUTE(SUBSTITUTE(SUBSTITUTE(SUBSTITUTE(SUBSTITUTE(SUBSTITUTE(SUBSTITUTE(SUBSTITUTE(SUBSTITUTE(LOWER(TRIM(L887)),"á","a"),"é","e"),"í","i"),"ó","o"),"ú","u"),"ü","u"),"ñ","n"),"à","a"),"è","e"),"ì","i"),"ò","o"),"ù","u"),"")</f>
        <v/>
      </c>
      <c r="W887" s="25">
        <f>IF(AND(Q887=1,I887&lt;&gt;""),SUBSTITUTE(SUBSTITUTE(SUBSTITUTE(SUBSTITUTE(SUBSTITUTE(SUBSTITUTE(SUBSTITUTE(SUBSTITUTE(SUBSTITUTE(SUBSTITUTE(SUBSTITUTE(SUBSTITUTE(LOWER(TRIM(I887)),"á","a"),"é","e"),"í","i"),"ó","o"),"ú","u"),"ü","u"),"ñ","n"),"à","a"),"è","e"),"ì","i"),"ò","o"),"ù","u"),"")</f>
        <v/>
      </c>
      <c r="X887" s="25">
        <f>IF(U887="","",IF(OR(U887="si, en la proxima tarea",U887="si, con cambios"),1,0))</f>
        <v/>
      </c>
      <c r="Y887" s="25">
        <f>IF(AND(Q887=1,A887&lt;&gt;""),IF(IFERROR(COUNTIFS(A$3:A887,"="&amp;SUBSTITUTE(SUBSTITUTE(SUBSTITUTE(A887,"~","~~"),"*","~*"),"?","~?"),Q$3:Q887,1),0)=1,MAX(Y$2:Y886)+1,""),"")</f>
        <v/>
      </c>
      <c r="Z887" s="25">
        <f>IF(Y887="","",COUNTIFS($A$3:$A$1002,"="&amp;SUBSTITUTE(SUBSTITUTE(SUBSTITUTE(A887,"~","~~"),"*","~*"),"?","~?"),$Q$3:$Q$1002,1)*10000-Y887)</f>
        <v/>
      </c>
    </row>
    <row r="888">
      <c r="A888">
        <f>IF(A$2=0,"",IFERROR(TRIM(INDEX('Pegar docentes'!$A$1:$BZ$1001,887,A$2)&amp;""),""))</f>
        <v/>
      </c>
      <c r="B888">
        <f>IF(B$2=0,"",IFERROR(TRIM(INDEX('Pegar docentes'!$A$1:$BZ$1001,887,B$2)&amp;""),""))</f>
        <v/>
      </c>
      <c r="C888">
        <f>IF(C$2=0,"",IFERROR(TRIM(INDEX('Pegar docentes'!$A$1:$BZ$1001,887,C$2)&amp;""),""))</f>
        <v/>
      </c>
      <c r="D888">
        <f>IF(D$2=0,"",IFERROR(TRIM(INDEX('Pegar docentes'!$A$1:$BZ$1001,887,D$2)&amp;""),""))</f>
        <v/>
      </c>
      <c r="E888">
        <f>IF(E$2=0,"",IFERROR(TRIM(INDEX('Pegar docentes'!$A$1:$BZ$1001,887,E$2)&amp;""),""))</f>
        <v/>
      </c>
      <c r="F888">
        <f>IF(F$2=0,"",IFERROR(TRIM(INDEX('Pegar docentes'!$A$1:$BZ$1001,887,F$2)&amp;""),""))</f>
        <v/>
      </c>
      <c r="G888">
        <f>IF(G$2=0,"",IFERROR(TRIM(INDEX('Pegar docentes'!$A$1:$BZ$1001,887,G$2)&amp;""),""))</f>
        <v/>
      </c>
      <c r="H888">
        <f>IF(H$2=0,"",IFERROR(TRIM(INDEX('Pegar docentes'!$A$1:$BZ$1001,887,H$2)&amp;""),""))</f>
        <v/>
      </c>
      <c r="I888">
        <f>IF(I$2=0,"",IFERROR(TRIM(INDEX('Pegar docentes'!$A$1:$BZ$1001,887,I$2)&amp;""),""))</f>
        <v/>
      </c>
      <c r="J888">
        <f>IF(J$2=0,"",IFERROR(TRIM(INDEX('Pegar docentes'!$A$1:$BZ$1001,887,J$2)&amp;""),""))</f>
        <v/>
      </c>
      <c r="K888">
        <f>IF(K$2=0,"",IFERROR(TRIM(INDEX('Pegar docentes'!$A$1:$BZ$1001,887,K$2)&amp;""),""))</f>
        <v/>
      </c>
      <c r="L888">
        <f>IF(L$2=0,"",IFERROR(TRIM(INDEX('Pegar docentes'!$A$1:$BZ$1001,887,L$2)&amp;""),""))</f>
        <v/>
      </c>
      <c r="M888">
        <f>IF(M$2=0,"",IFERROR(TRIM(INDEX('Pegar docentes'!$A$1:$BZ$1001,887,M$2)&amp;""),""))</f>
        <v/>
      </c>
      <c r="N888">
        <f>IF(N$2=0,"",IFERROR(TRIM(INDEX('Pegar docentes'!$A$1:$BZ$1001,887,N$2)&amp;""),""))</f>
        <v/>
      </c>
      <c r="O888">
        <f>IF(O$2=0,"",IFERROR(TRIM(INDEX('Pegar docentes'!$A$1:$BZ$1001,887,O$2)&amp;""),""))</f>
        <v/>
      </c>
      <c r="P888">
        <f>IF(P$2=0,"",IFERROR(TRIM(INDEX('Pegar docentes'!$A$1:$BZ$1001,887,P$2)&amp;""),""))</f>
        <v/>
      </c>
      <c r="Q888" s="25">
        <f>IF(OR(D888&lt;&gt;"",H888&lt;&gt;""),1,"")</f>
        <v/>
      </c>
      <c r="R888" s="25">
        <f>IF(Q888=1,IF(ISNUMBER(FIND("#"&amp;MID(D888,1,1)&amp;"#","#0#1#2#3#4#5#6#7#8#9#")),IF(ISNUMBER(FIND("#"&amp;MID(D888,2,1)&amp;"#","#0#1#2#3#4#5#6#7#8#9#")),IF(AND(VALUE(LEFT(D888,2))&gt;=1,VALUE(LEFT(D888,2))&lt;=5),VALUE(LEFT(D888,2)),""),IF(AND(VALUE(LEFT(D888,1))&gt;=1,VALUE(LEFT(D888,1))&lt;=5),VALUE(LEFT(D888,1)),"")),""),"")</f>
        <v/>
      </c>
      <c r="S888" s="25">
        <f>IF(AND(Q888=1,E888&lt;&gt;""),SUBSTITUTE(SUBSTITUTE(SUBSTITUTE(SUBSTITUTE(SUBSTITUTE(SUBSTITUTE(SUBSTITUTE(SUBSTITUTE(SUBSTITUTE(SUBSTITUTE(SUBSTITUTE(SUBSTITUTE(LOWER(TRIM(E888)),"á","a"),"é","e"),"í","i"),"ó","o"),"ú","u"),"ü","u"),"ñ","n"),"à","a"),"è","e"),"ì","i"),"ò","o"),"ù","u"),"")</f>
        <v/>
      </c>
      <c r="T888" s="25">
        <f>IF(AND(Q888=1,G888&lt;&gt;""),SUBSTITUTE(SUBSTITUTE(SUBSTITUTE(SUBSTITUTE(SUBSTITUTE(SUBSTITUTE(SUBSTITUTE(SUBSTITUTE(SUBSTITUTE(SUBSTITUTE(SUBSTITUTE(SUBSTITUTE(LOWER(TRIM(G888)),"á","a"),"é","e"),"í","i"),"ó","o"),"ú","u"),"ü","u"),"ñ","n"),"à","a"),"è","e"),"ì","i"),"ò","o"),"ù","u"),"")</f>
        <v/>
      </c>
      <c r="U888" s="25">
        <f>IF(AND(Q888=1,H888&lt;&gt;""),SUBSTITUTE(SUBSTITUTE(SUBSTITUTE(SUBSTITUTE(SUBSTITUTE(SUBSTITUTE(SUBSTITUTE(SUBSTITUTE(SUBSTITUTE(SUBSTITUTE(SUBSTITUTE(SUBSTITUTE(LOWER(TRIM(H888)),"á","a"),"é","e"),"í","i"),"ó","o"),"ú","u"),"ü","u"),"ñ","n"),"à","a"),"è","e"),"ì","i"),"ò","o"),"ù","u"),"")</f>
        <v/>
      </c>
      <c r="V888" s="25">
        <f>IF(AND(Q888=1,L888&lt;&gt;""),SUBSTITUTE(SUBSTITUTE(SUBSTITUTE(SUBSTITUTE(SUBSTITUTE(SUBSTITUTE(SUBSTITUTE(SUBSTITUTE(SUBSTITUTE(SUBSTITUTE(SUBSTITUTE(SUBSTITUTE(LOWER(TRIM(L888)),"á","a"),"é","e"),"í","i"),"ó","o"),"ú","u"),"ü","u"),"ñ","n"),"à","a"),"è","e"),"ì","i"),"ò","o"),"ù","u"),"")</f>
        <v/>
      </c>
      <c r="W888" s="25">
        <f>IF(AND(Q888=1,I888&lt;&gt;""),SUBSTITUTE(SUBSTITUTE(SUBSTITUTE(SUBSTITUTE(SUBSTITUTE(SUBSTITUTE(SUBSTITUTE(SUBSTITUTE(SUBSTITUTE(SUBSTITUTE(SUBSTITUTE(SUBSTITUTE(LOWER(TRIM(I888)),"á","a"),"é","e"),"í","i"),"ó","o"),"ú","u"),"ü","u"),"ñ","n"),"à","a"),"è","e"),"ì","i"),"ò","o"),"ù","u"),"")</f>
        <v/>
      </c>
      <c r="X888" s="25">
        <f>IF(U888="","",IF(OR(U888="si, en la proxima tarea",U888="si, con cambios"),1,0))</f>
        <v/>
      </c>
      <c r="Y888" s="25">
        <f>IF(AND(Q888=1,A888&lt;&gt;""),IF(IFERROR(COUNTIFS(A$3:A888,"="&amp;SUBSTITUTE(SUBSTITUTE(SUBSTITUTE(A888,"~","~~"),"*","~*"),"?","~?"),Q$3:Q888,1),0)=1,MAX(Y$2:Y887)+1,""),"")</f>
        <v/>
      </c>
      <c r="Z888" s="25">
        <f>IF(Y888="","",COUNTIFS($A$3:$A$1002,"="&amp;SUBSTITUTE(SUBSTITUTE(SUBSTITUTE(A888,"~","~~"),"*","~*"),"?","~?"),$Q$3:$Q$1002,1)*10000-Y888)</f>
        <v/>
      </c>
    </row>
    <row r="889">
      <c r="A889">
        <f>IF(A$2=0,"",IFERROR(TRIM(INDEX('Pegar docentes'!$A$1:$BZ$1001,888,A$2)&amp;""),""))</f>
        <v/>
      </c>
      <c r="B889">
        <f>IF(B$2=0,"",IFERROR(TRIM(INDEX('Pegar docentes'!$A$1:$BZ$1001,888,B$2)&amp;""),""))</f>
        <v/>
      </c>
      <c r="C889">
        <f>IF(C$2=0,"",IFERROR(TRIM(INDEX('Pegar docentes'!$A$1:$BZ$1001,888,C$2)&amp;""),""))</f>
        <v/>
      </c>
      <c r="D889">
        <f>IF(D$2=0,"",IFERROR(TRIM(INDEX('Pegar docentes'!$A$1:$BZ$1001,888,D$2)&amp;""),""))</f>
        <v/>
      </c>
      <c r="E889">
        <f>IF(E$2=0,"",IFERROR(TRIM(INDEX('Pegar docentes'!$A$1:$BZ$1001,888,E$2)&amp;""),""))</f>
        <v/>
      </c>
      <c r="F889">
        <f>IF(F$2=0,"",IFERROR(TRIM(INDEX('Pegar docentes'!$A$1:$BZ$1001,888,F$2)&amp;""),""))</f>
        <v/>
      </c>
      <c r="G889">
        <f>IF(G$2=0,"",IFERROR(TRIM(INDEX('Pegar docentes'!$A$1:$BZ$1001,888,G$2)&amp;""),""))</f>
        <v/>
      </c>
      <c r="H889">
        <f>IF(H$2=0,"",IFERROR(TRIM(INDEX('Pegar docentes'!$A$1:$BZ$1001,888,H$2)&amp;""),""))</f>
        <v/>
      </c>
      <c r="I889">
        <f>IF(I$2=0,"",IFERROR(TRIM(INDEX('Pegar docentes'!$A$1:$BZ$1001,888,I$2)&amp;""),""))</f>
        <v/>
      </c>
      <c r="J889">
        <f>IF(J$2=0,"",IFERROR(TRIM(INDEX('Pegar docentes'!$A$1:$BZ$1001,888,J$2)&amp;""),""))</f>
        <v/>
      </c>
      <c r="K889">
        <f>IF(K$2=0,"",IFERROR(TRIM(INDEX('Pegar docentes'!$A$1:$BZ$1001,888,K$2)&amp;""),""))</f>
        <v/>
      </c>
      <c r="L889">
        <f>IF(L$2=0,"",IFERROR(TRIM(INDEX('Pegar docentes'!$A$1:$BZ$1001,888,L$2)&amp;""),""))</f>
        <v/>
      </c>
      <c r="M889">
        <f>IF(M$2=0,"",IFERROR(TRIM(INDEX('Pegar docentes'!$A$1:$BZ$1001,888,M$2)&amp;""),""))</f>
        <v/>
      </c>
      <c r="N889">
        <f>IF(N$2=0,"",IFERROR(TRIM(INDEX('Pegar docentes'!$A$1:$BZ$1001,888,N$2)&amp;""),""))</f>
        <v/>
      </c>
      <c r="O889">
        <f>IF(O$2=0,"",IFERROR(TRIM(INDEX('Pegar docentes'!$A$1:$BZ$1001,888,O$2)&amp;""),""))</f>
        <v/>
      </c>
      <c r="P889">
        <f>IF(P$2=0,"",IFERROR(TRIM(INDEX('Pegar docentes'!$A$1:$BZ$1001,888,P$2)&amp;""),""))</f>
        <v/>
      </c>
      <c r="Q889" s="25">
        <f>IF(OR(D889&lt;&gt;"",H889&lt;&gt;""),1,"")</f>
        <v/>
      </c>
      <c r="R889" s="25">
        <f>IF(Q889=1,IF(ISNUMBER(FIND("#"&amp;MID(D889,1,1)&amp;"#","#0#1#2#3#4#5#6#7#8#9#")),IF(ISNUMBER(FIND("#"&amp;MID(D889,2,1)&amp;"#","#0#1#2#3#4#5#6#7#8#9#")),IF(AND(VALUE(LEFT(D889,2))&gt;=1,VALUE(LEFT(D889,2))&lt;=5),VALUE(LEFT(D889,2)),""),IF(AND(VALUE(LEFT(D889,1))&gt;=1,VALUE(LEFT(D889,1))&lt;=5),VALUE(LEFT(D889,1)),"")),""),"")</f>
        <v/>
      </c>
      <c r="S889" s="25">
        <f>IF(AND(Q889=1,E889&lt;&gt;""),SUBSTITUTE(SUBSTITUTE(SUBSTITUTE(SUBSTITUTE(SUBSTITUTE(SUBSTITUTE(SUBSTITUTE(SUBSTITUTE(SUBSTITUTE(SUBSTITUTE(SUBSTITUTE(SUBSTITUTE(LOWER(TRIM(E889)),"á","a"),"é","e"),"í","i"),"ó","o"),"ú","u"),"ü","u"),"ñ","n"),"à","a"),"è","e"),"ì","i"),"ò","o"),"ù","u"),"")</f>
        <v/>
      </c>
      <c r="T889" s="25">
        <f>IF(AND(Q889=1,G889&lt;&gt;""),SUBSTITUTE(SUBSTITUTE(SUBSTITUTE(SUBSTITUTE(SUBSTITUTE(SUBSTITUTE(SUBSTITUTE(SUBSTITUTE(SUBSTITUTE(SUBSTITUTE(SUBSTITUTE(SUBSTITUTE(LOWER(TRIM(G889)),"á","a"),"é","e"),"í","i"),"ó","o"),"ú","u"),"ü","u"),"ñ","n"),"à","a"),"è","e"),"ì","i"),"ò","o"),"ù","u"),"")</f>
        <v/>
      </c>
      <c r="U889" s="25">
        <f>IF(AND(Q889=1,H889&lt;&gt;""),SUBSTITUTE(SUBSTITUTE(SUBSTITUTE(SUBSTITUTE(SUBSTITUTE(SUBSTITUTE(SUBSTITUTE(SUBSTITUTE(SUBSTITUTE(SUBSTITUTE(SUBSTITUTE(SUBSTITUTE(LOWER(TRIM(H889)),"á","a"),"é","e"),"í","i"),"ó","o"),"ú","u"),"ü","u"),"ñ","n"),"à","a"),"è","e"),"ì","i"),"ò","o"),"ù","u"),"")</f>
        <v/>
      </c>
      <c r="V889" s="25">
        <f>IF(AND(Q889=1,L889&lt;&gt;""),SUBSTITUTE(SUBSTITUTE(SUBSTITUTE(SUBSTITUTE(SUBSTITUTE(SUBSTITUTE(SUBSTITUTE(SUBSTITUTE(SUBSTITUTE(SUBSTITUTE(SUBSTITUTE(SUBSTITUTE(LOWER(TRIM(L889)),"á","a"),"é","e"),"í","i"),"ó","o"),"ú","u"),"ü","u"),"ñ","n"),"à","a"),"è","e"),"ì","i"),"ò","o"),"ù","u"),"")</f>
        <v/>
      </c>
      <c r="W889" s="25">
        <f>IF(AND(Q889=1,I889&lt;&gt;""),SUBSTITUTE(SUBSTITUTE(SUBSTITUTE(SUBSTITUTE(SUBSTITUTE(SUBSTITUTE(SUBSTITUTE(SUBSTITUTE(SUBSTITUTE(SUBSTITUTE(SUBSTITUTE(SUBSTITUTE(LOWER(TRIM(I889)),"á","a"),"é","e"),"í","i"),"ó","o"),"ú","u"),"ü","u"),"ñ","n"),"à","a"),"è","e"),"ì","i"),"ò","o"),"ù","u"),"")</f>
        <v/>
      </c>
      <c r="X889" s="25">
        <f>IF(U889="","",IF(OR(U889="si, en la proxima tarea",U889="si, con cambios"),1,0))</f>
        <v/>
      </c>
      <c r="Y889" s="25">
        <f>IF(AND(Q889=1,A889&lt;&gt;""),IF(IFERROR(COUNTIFS(A$3:A889,"="&amp;SUBSTITUTE(SUBSTITUTE(SUBSTITUTE(A889,"~","~~"),"*","~*"),"?","~?"),Q$3:Q889,1),0)=1,MAX(Y$2:Y888)+1,""),"")</f>
        <v/>
      </c>
      <c r="Z889" s="25">
        <f>IF(Y889="","",COUNTIFS($A$3:$A$1002,"="&amp;SUBSTITUTE(SUBSTITUTE(SUBSTITUTE(A889,"~","~~"),"*","~*"),"?","~?"),$Q$3:$Q$1002,1)*10000-Y889)</f>
        <v/>
      </c>
    </row>
    <row r="890">
      <c r="A890">
        <f>IF(A$2=0,"",IFERROR(TRIM(INDEX('Pegar docentes'!$A$1:$BZ$1001,889,A$2)&amp;""),""))</f>
        <v/>
      </c>
      <c r="B890">
        <f>IF(B$2=0,"",IFERROR(TRIM(INDEX('Pegar docentes'!$A$1:$BZ$1001,889,B$2)&amp;""),""))</f>
        <v/>
      </c>
      <c r="C890">
        <f>IF(C$2=0,"",IFERROR(TRIM(INDEX('Pegar docentes'!$A$1:$BZ$1001,889,C$2)&amp;""),""))</f>
        <v/>
      </c>
      <c r="D890">
        <f>IF(D$2=0,"",IFERROR(TRIM(INDEX('Pegar docentes'!$A$1:$BZ$1001,889,D$2)&amp;""),""))</f>
        <v/>
      </c>
      <c r="E890">
        <f>IF(E$2=0,"",IFERROR(TRIM(INDEX('Pegar docentes'!$A$1:$BZ$1001,889,E$2)&amp;""),""))</f>
        <v/>
      </c>
      <c r="F890">
        <f>IF(F$2=0,"",IFERROR(TRIM(INDEX('Pegar docentes'!$A$1:$BZ$1001,889,F$2)&amp;""),""))</f>
        <v/>
      </c>
      <c r="G890">
        <f>IF(G$2=0,"",IFERROR(TRIM(INDEX('Pegar docentes'!$A$1:$BZ$1001,889,G$2)&amp;""),""))</f>
        <v/>
      </c>
      <c r="H890">
        <f>IF(H$2=0,"",IFERROR(TRIM(INDEX('Pegar docentes'!$A$1:$BZ$1001,889,H$2)&amp;""),""))</f>
        <v/>
      </c>
      <c r="I890">
        <f>IF(I$2=0,"",IFERROR(TRIM(INDEX('Pegar docentes'!$A$1:$BZ$1001,889,I$2)&amp;""),""))</f>
        <v/>
      </c>
      <c r="J890">
        <f>IF(J$2=0,"",IFERROR(TRIM(INDEX('Pegar docentes'!$A$1:$BZ$1001,889,J$2)&amp;""),""))</f>
        <v/>
      </c>
      <c r="K890">
        <f>IF(K$2=0,"",IFERROR(TRIM(INDEX('Pegar docentes'!$A$1:$BZ$1001,889,K$2)&amp;""),""))</f>
        <v/>
      </c>
      <c r="L890">
        <f>IF(L$2=0,"",IFERROR(TRIM(INDEX('Pegar docentes'!$A$1:$BZ$1001,889,L$2)&amp;""),""))</f>
        <v/>
      </c>
      <c r="M890">
        <f>IF(M$2=0,"",IFERROR(TRIM(INDEX('Pegar docentes'!$A$1:$BZ$1001,889,M$2)&amp;""),""))</f>
        <v/>
      </c>
      <c r="N890">
        <f>IF(N$2=0,"",IFERROR(TRIM(INDEX('Pegar docentes'!$A$1:$BZ$1001,889,N$2)&amp;""),""))</f>
        <v/>
      </c>
      <c r="O890">
        <f>IF(O$2=0,"",IFERROR(TRIM(INDEX('Pegar docentes'!$A$1:$BZ$1001,889,O$2)&amp;""),""))</f>
        <v/>
      </c>
      <c r="P890">
        <f>IF(P$2=0,"",IFERROR(TRIM(INDEX('Pegar docentes'!$A$1:$BZ$1001,889,P$2)&amp;""),""))</f>
        <v/>
      </c>
      <c r="Q890" s="25">
        <f>IF(OR(D890&lt;&gt;"",H890&lt;&gt;""),1,"")</f>
        <v/>
      </c>
      <c r="R890" s="25">
        <f>IF(Q890=1,IF(ISNUMBER(FIND("#"&amp;MID(D890,1,1)&amp;"#","#0#1#2#3#4#5#6#7#8#9#")),IF(ISNUMBER(FIND("#"&amp;MID(D890,2,1)&amp;"#","#0#1#2#3#4#5#6#7#8#9#")),IF(AND(VALUE(LEFT(D890,2))&gt;=1,VALUE(LEFT(D890,2))&lt;=5),VALUE(LEFT(D890,2)),""),IF(AND(VALUE(LEFT(D890,1))&gt;=1,VALUE(LEFT(D890,1))&lt;=5),VALUE(LEFT(D890,1)),"")),""),"")</f>
        <v/>
      </c>
      <c r="S890" s="25">
        <f>IF(AND(Q890=1,E890&lt;&gt;""),SUBSTITUTE(SUBSTITUTE(SUBSTITUTE(SUBSTITUTE(SUBSTITUTE(SUBSTITUTE(SUBSTITUTE(SUBSTITUTE(SUBSTITUTE(SUBSTITUTE(SUBSTITUTE(SUBSTITUTE(LOWER(TRIM(E890)),"á","a"),"é","e"),"í","i"),"ó","o"),"ú","u"),"ü","u"),"ñ","n"),"à","a"),"è","e"),"ì","i"),"ò","o"),"ù","u"),"")</f>
        <v/>
      </c>
      <c r="T890" s="25">
        <f>IF(AND(Q890=1,G890&lt;&gt;""),SUBSTITUTE(SUBSTITUTE(SUBSTITUTE(SUBSTITUTE(SUBSTITUTE(SUBSTITUTE(SUBSTITUTE(SUBSTITUTE(SUBSTITUTE(SUBSTITUTE(SUBSTITUTE(SUBSTITUTE(LOWER(TRIM(G890)),"á","a"),"é","e"),"í","i"),"ó","o"),"ú","u"),"ü","u"),"ñ","n"),"à","a"),"è","e"),"ì","i"),"ò","o"),"ù","u"),"")</f>
        <v/>
      </c>
      <c r="U890" s="25">
        <f>IF(AND(Q890=1,H890&lt;&gt;""),SUBSTITUTE(SUBSTITUTE(SUBSTITUTE(SUBSTITUTE(SUBSTITUTE(SUBSTITUTE(SUBSTITUTE(SUBSTITUTE(SUBSTITUTE(SUBSTITUTE(SUBSTITUTE(SUBSTITUTE(LOWER(TRIM(H890)),"á","a"),"é","e"),"í","i"),"ó","o"),"ú","u"),"ü","u"),"ñ","n"),"à","a"),"è","e"),"ì","i"),"ò","o"),"ù","u"),"")</f>
        <v/>
      </c>
      <c r="V890" s="25">
        <f>IF(AND(Q890=1,L890&lt;&gt;""),SUBSTITUTE(SUBSTITUTE(SUBSTITUTE(SUBSTITUTE(SUBSTITUTE(SUBSTITUTE(SUBSTITUTE(SUBSTITUTE(SUBSTITUTE(SUBSTITUTE(SUBSTITUTE(SUBSTITUTE(LOWER(TRIM(L890)),"á","a"),"é","e"),"í","i"),"ó","o"),"ú","u"),"ü","u"),"ñ","n"),"à","a"),"è","e"),"ì","i"),"ò","o"),"ù","u"),"")</f>
        <v/>
      </c>
      <c r="W890" s="25">
        <f>IF(AND(Q890=1,I890&lt;&gt;""),SUBSTITUTE(SUBSTITUTE(SUBSTITUTE(SUBSTITUTE(SUBSTITUTE(SUBSTITUTE(SUBSTITUTE(SUBSTITUTE(SUBSTITUTE(SUBSTITUTE(SUBSTITUTE(SUBSTITUTE(LOWER(TRIM(I890)),"á","a"),"é","e"),"í","i"),"ó","o"),"ú","u"),"ü","u"),"ñ","n"),"à","a"),"è","e"),"ì","i"),"ò","o"),"ù","u"),"")</f>
        <v/>
      </c>
      <c r="X890" s="25">
        <f>IF(U890="","",IF(OR(U890="si, en la proxima tarea",U890="si, con cambios"),1,0))</f>
        <v/>
      </c>
      <c r="Y890" s="25">
        <f>IF(AND(Q890=1,A890&lt;&gt;""),IF(IFERROR(COUNTIFS(A$3:A890,"="&amp;SUBSTITUTE(SUBSTITUTE(SUBSTITUTE(A890,"~","~~"),"*","~*"),"?","~?"),Q$3:Q890,1),0)=1,MAX(Y$2:Y889)+1,""),"")</f>
        <v/>
      </c>
      <c r="Z890" s="25">
        <f>IF(Y890="","",COUNTIFS($A$3:$A$1002,"="&amp;SUBSTITUTE(SUBSTITUTE(SUBSTITUTE(A890,"~","~~"),"*","~*"),"?","~?"),$Q$3:$Q$1002,1)*10000-Y890)</f>
        <v/>
      </c>
    </row>
    <row r="891">
      <c r="A891">
        <f>IF(A$2=0,"",IFERROR(TRIM(INDEX('Pegar docentes'!$A$1:$BZ$1001,890,A$2)&amp;""),""))</f>
        <v/>
      </c>
      <c r="B891">
        <f>IF(B$2=0,"",IFERROR(TRIM(INDEX('Pegar docentes'!$A$1:$BZ$1001,890,B$2)&amp;""),""))</f>
        <v/>
      </c>
      <c r="C891">
        <f>IF(C$2=0,"",IFERROR(TRIM(INDEX('Pegar docentes'!$A$1:$BZ$1001,890,C$2)&amp;""),""))</f>
        <v/>
      </c>
      <c r="D891">
        <f>IF(D$2=0,"",IFERROR(TRIM(INDEX('Pegar docentes'!$A$1:$BZ$1001,890,D$2)&amp;""),""))</f>
        <v/>
      </c>
      <c r="E891">
        <f>IF(E$2=0,"",IFERROR(TRIM(INDEX('Pegar docentes'!$A$1:$BZ$1001,890,E$2)&amp;""),""))</f>
        <v/>
      </c>
      <c r="F891">
        <f>IF(F$2=0,"",IFERROR(TRIM(INDEX('Pegar docentes'!$A$1:$BZ$1001,890,F$2)&amp;""),""))</f>
        <v/>
      </c>
      <c r="G891">
        <f>IF(G$2=0,"",IFERROR(TRIM(INDEX('Pegar docentes'!$A$1:$BZ$1001,890,G$2)&amp;""),""))</f>
        <v/>
      </c>
      <c r="H891">
        <f>IF(H$2=0,"",IFERROR(TRIM(INDEX('Pegar docentes'!$A$1:$BZ$1001,890,H$2)&amp;""),""))</f>
        <v/>
      </c>
      <c r="I891">
        <f>IF(I$2=0,"",IFERROR(TRIM(INDEX('Pegar docentes'!$A$1:$BZ$1001,890,I$2)&amp;""),""))</f>
        <v/>
      </c>
      <c r="J891">
        <f>IF(J$2=0,"",IFERROR(TRIM(INDEX('Pegar docentes'!$A$1:$BZ$1001,890,J$2)&amp;""),""))</f>
        <v/>
      </c>
      <c r="K891">
        <f>IF(K$2=0,"",IFERROR(TRIM(INDEX('Pegar docentes'!$A$1:$BZ$1001,890,K$2)&amp;""),""))</f>
        <v/>
      </c>
      <c r="L891">
        <f>IF(L$2=0,"",IFERROR(TRIM(INDEX('Pegar docentes'!$A$1:$BZ$1001,890,L$2)&amp;""),""))</f>
        <v/>
      </c>
      <c r="M891">
        <f>IF(M$2=0,"",IFERROR(TRIM(INDEX('Pegar docentes'!$A$1:$BZ$1001,890,M$2)&amp;""),""))</f>
        <v/>
      </c>
      <c r="N891">
        <f>IF(N$2=0,"",IFERROR(TRIM(INDEX('Pegar docentes'!$A$1:$BZ$1001,890,N$2)&amp;""),""))</f>
        <v/>
      </c>
      <c r="O891">
        <f>IF(O$2=0,"",IFERROR(TRIM(INDEX('Pegar docentes'!$A$1:$BZ$1001,890,O$2)&amp;""),""))</f>
        <v/>
      </c>
      <c r="P891">
        <f>IF(P$2=0,"",IFERROR(TRIM(INDEX('Pegar docentes'!$A$1:$BZ$1001,890,P$2)&amp;""),""))</f>
        <v/>
      </c>
      <c r="Q891" s="25">
        <f>IF(OR(D891&lt;&gt;"",H891&lt;&gt;""),1,"")</f>
        <v/>
      </c>
      <c r="R891" s="25">
        <f>IF(Q891=1,IF(ISNUMBER(FIND("#"&amp;MID(D891,1,1)&amp;"#","#0#1#2#3#4#5#6#7#8#9#")),IF(ISNUMBER(FIND("#"&amp;MID(D891,2,1)&amp;"#","#0#1#2#3#4#5#6#7#8#9#")),IF(AND(VALUE(LEFT(D891,2))&gt;=1,VALUE(LEFT(D891,2))&lt;=5),VALUE(LEFT(D891,2)),""),IF(AND(VALUE(LEFT(D891,1))&gt;=1,VALUE(LEFT(D891,1))&lt;=5),VALUE(LEFT(D891,1)),"")),""),"")</f>
        <v/>
      </c>
      <c r="S891" s="25">
        <f>IF(AND(Q891=1,E891&lt;&gt;""),SUBSTITUTE(SUBSTITUTE(SUBSTITUTE(SUBSTITUTE(SUBSTITUTE(SUBSTITUTE(SUBSTITUTE(SUBSTITUTE(SUBSTITUTE(SUBSTITUTE(SUBSTITUTE(SUBSTITUTE(LOWER(TRIM(E891)),"á","a"),"é","e"),"í","i"),"ó","o"),"ú","u"),"ü","u"),"ñ","n"),"à","a"),"è","e"),"ì","i"),"ò","o"),"ù","u"),"")</f>
        <v/>
      </c>
      <c r="T891" s="25">
        <f>IF(AND(Q891=1,G891&lt;&gt;""),SUBSTITUTE(SUBSTITUTE(SUBSTITUTE(SUBSTITUTE(SUBSTITUTE(SUBSTITUTE(SUBSTITUTE(SUBSTITUTE(SUBSTITUTE(SUBSTITUTE(SUBSTITUTE(SUBSTITUTE(LOWER(TRIM(G891)),"á","a"),"é","e"),"í","i"),"ó","o"),"ú","u"),"ü","u"),"ñ","n"),"à","a"),"è","e"),"ì","i"),"ò","o"),"ù","u"),"")</f>
        <v/>
      </c>
      <c r="U891" s="25">
        <f>IF(AND(Q891=1,H891&lt;&gt;""),SUBSTITUTE(SUBSTITUTE(SUBSTITUTE(SUBSTITUTE(SUBSTITUTE(SUBSTITUTE(SUBSTITUTE(SUBSTITUTE(SUBSTITUTE(SUBSTITUTE(SUBSTITUTE(SUBSTITUTE(LOWER(TRIM(H891)),"á","a"),"é","e"),"í","i"),"ó","o"),"ú","u"),"ü","u"),"ñ","n"),"à","a"),"è","e"),"ì","i"),"ò","o"),"ù","u"),"")</f>
        <v/>
      </c>
      <c r="V891" s="25">
        <f>IF(AND(Q891=1,L891&lt;&gt;""),SUBSTITUTE(SUBSTITUTE(SUBSTITUTE(SUBSTITUTE(SUBSTITUTE(SUBSTITUTE(SUBSTITUTE(SUBSTITUTE(SUBSTITUTE(SUBSTITUTE(SUBSTITUTE(SUBSTITUTE(LOWER(TRIM(L891)),"á","a"),"é","e"),"í","i"),"ó","o"),"ú","u"),"ü","u"),"ñ","n"),"à","a"),"è","e"),"ì","i"),"ò","o"),"ù","u"),"")</f>
        <v/>
      </c>
      <c r="W891" s="25">
        <f>IF(AND(Q891=1,I891&lt;&gt;""),SUBSTITUTE(SUBSTITUTE(SUBSTITUTE(SUBSTITUTE(SUBSTITUTE(SUBSTITUTE(SUBSTITUTE(SUBSTITUTE(SUBSTITUTE(SUBSTITUTE(SUBSTITUTE(SUBSTITUTE(LOWER(TRIM(I891)),"á","a"),"é","e"),"í","i"),"ó","o"),"ú","u"),"ü","u"),"ñ","n"),"à","a"),"è","e"),"ì","i"),"ò","o"),"ù","u"),"")</f>
        <v/>
      </c>
      <c r="X891" s="25">
        <f>IF(U891="","",IF(OR(U891="si, en la proxima tarea",U891="si, con cambios"),1,0))</f>
        <v/>
      </c>
      <c r="Y891" s="25">
        <f>IF(AND(Q891=1,A891&lt;&gt;""),IF(IFERROR(COUNTIFS(A$3:A891,"="&amp;SUBSTITUTE(SUBSTITUTE(SUBSTITUTE(A891,"~","~~"),"*","~*"),"?","~?"),Q$3:Q891,1),0)=1,MAX(Y$2:Y890)+1,""),"")</f>
        <v/>
      </c>
      <c r="Z891" s="25">
        <f>IF(Y891="","",COUNTIFS($A$3:$A$1002,"="&amp;SUBSTITUTE(SUBSTITUTE(SUBSTITUTE(A891,"~","~~"),"*","~*"),"?","~?"),$Q$3:$Q$1002,1)*10000-Y891)</f>
        <v/>
      </c>
    </row>
    <row r="892">
      <c r="A892">
        <f>IF(A$2=0,"",IFERROR(TRIM(INDEX('Pegar docentes'!$A$1:$BZ$1001,891,A$2)&amp;""),""))</f>
        <v/>
      </c>
      <c r="B892">
        <f>IF(B$2=0,"",IFERROR(TRIM(INDEX('Pegar docentes'!$A$1:$BZ$1001,891,B$2)&amp;""),""))</f>
        <v/>
      </c>
      <c r="C892">
        <f>IF(C$2=0,"",IFERROR(TRIM(INDEX('Pegar docentes'!$A$1:$BZ$1001,891,C$2)&amp;""),""))</f>
        <v/>
      </c>
      <c r="D892">
        <f>IF(D$2=0,"",IFERROR(TRIM(INDEX('Pegar docentes'!$A$1:$BZ$1001,891,D$2)&amp;""),""))</f>
        <v/>
      </c>
      <c r="E892">
        <f>IF(E$2=0,"",IFERROR(TRIM(INDEX('Pegar docentes'!$A$1:$BZ$1001,891,E$2)&amp;""),""))</f>
        <v/>
      </c>
      <c r="F892">
        <f>IF(F$2=0,"",IFERROR(TRIM(INDEX('Pegar docentes'!$A$1:$BZ$1001,891,F$2)&amp;""),""))</f>
        <v/>
      </c>
      <c r="G892">
        <f>IF(G$2=0,"",IFERROR(TRIM(INDEX('Pegar docentes'!$A$1:$BZ$1001,891,G$2)&amp;""),""))</f>
        <v/>
      </c>
      <c r="H892">
        <f>IF(H$2=0,"",IFERROR(TRIM(INDEX('Pegar docentes'!$A$1:$BZ$1001,891,H$2)&amp;""),""))</f>
        <v/>
      </c>
      <c r="I892">
        <f>IF(I$2=0,"",IFERROR(TRIM(INDEX('Pegar docentes'!$A$1:$BZ$1001,891,I$2)&amp;""),""))</f>
        <v/>
      </c>
      <c r="J892">
        <f>IF(J$2=0,"",IFERROR(TRIM(INDEX('Pegar docentes'!$A$1:$BZ$1001,891,J$2)&amp;""),""))</f>
        <v/>
      </c>
      <c r="K892">
        <f>IF(K$2=0,"",IFERROR(TRIM(INDEX('Pegar docentes'!$A$1:$BZ$1001,891,K$2)&amp;""),""))</f>
        <v/>
      </c>
      <c r="L892">
        <f>IF(L$2=0,"",IFERROR(TRIM(INDEX('Pegar docentes'!$A$1:$BZ$1001,891,L$2)&amp;""),""))</f>
        <v/>
      </c>
      <c r="M892">
        <f>IF(M$2=0,"",IFERROR(TRIM(INDEX('Pegar docentes'!$A$1:$BZ$1001,891,M$2)&amp;""),""))</f>
        <v/>
      </c>
      <c r="N892">
        <f>IF(N$2=0,"",IFERROR(TRIM(INDEX('Pegar docentes'!$A$1:$BZ$1001,891,N$2)&amp;""),""))</f>
        <v/>
      </c>
      <c r="O892">
        <f>IF(O$2=0,"",IFERROR(TRIM(INDEX('Pegar docentes'!$A$1:$BZ$1001,891,O$2)&amp;""),""))</f>
        <v/>
      </c>
      <c r="P892">
        <f>IF(P$2=0,"",IFERROR(TRIM(INDEX('Pegar docentes'!$A$1:$BZ$1001,891,P$2)&amp;""),""))</f>
        <v/>
      </c>
      <c r="Q892" s="25">
        <f>IF(OR(D892&lt;&gt;"",H892&lt;&gt;""),1,"")</f>
        <v/>
      </c>
      <c r="R892" s="25">
        <f>IF(Q892=1,IF(ISNUMBER(FIND("#"&amp;MID(D892,1,1)&amp;"#","#0#1#2#3#4#5#6#7#8#9#")),IF(ISNUMBER(FIND("#"&amp;MID(D892,2,1)&amp;"#","#0#1#2#3#4#5#6#7#8#9#")),IF(AND(VALUE(LEFT(D892,2))&gt;=1,VALUE(LEFT(D892,2))&lt;=5),VALUE(LEFT(D892,2)),""),IF(AND(VALUE(LEFT(D892,1))&gt;=1,VALUE(LEFT(D892,1))&lt;=5),VALUE(LEFT(D892,1)),"")),""),"")</f>
        <v/>
      </c>
      <c r="S892" s="25">
        <f>IF(AND(Q892=1,E892&lt;&gt;""),SUBSTITUTE(SUBSTITUTE(SUBSTITUTE(SUBSTITUTE(SUBSTITUTE(SUBSTITUTE(SUBSTITUTE(SUBSTITUTE(SUBSTITUTE(SUBSTITUTE(SUBSTITUTE(SUBSTITUTE(LOWER(TRIM(E892)),"á","a"),"é","e"),"í","i"),"ó","o"),"ú","u"),"ü","u"),"ñ","n"),"à","a"),"è","e"),"ì","i"),"ò","o"),"ù","u"),"")</f>
        <v/>
      </c>
      <c r="T892" s="25">
        <f>IF(AND(Q892=1,G892&lt;&gt;""),SUBSTITUTE(SUBSTITUTE(SUBSTITUTE(SUBSTITUTE(SUBSTITUTE(SUBSTITUTE(SUBSTITUTE(SUBSTITUTE(SUBSTITUTE(SUBSTITUTE(SUBSTITUTE(SUBSTITUTE(LOWER(TRIM(G892)),"á","a"),"é","e"),"í","i"),"ó","o"),"ú","u"),"ü","u"),"ñ","n"),"à","a"),"è","e"),"ì","i"),"ò","o"),"ù","u"),"")</f>
        <v/>
      </c>
      <c r="U892" s="25">
        <f>IF(AND(Q892=1,H892&lt;&gt;""),SUBSTITUTE(SUBSTITUTE(SUBSTITUTE(SUBSTITUTE(SUBSTITUTE(SUBSTITUTE(SUBSTITUTE(SUBSTITUTE(SUBSTITUTE(SUBSTITUTE(SUBSTITUTE(SUBSTITUTE(LOWER(TRIM(H892)),"á","a"),"é","e"),"í","i"),"ó","o"),"ú","u"),"ü","u"),"ñ","n"),"à","a"),"è","e"),"ì","i"),"ò","o"),"ù","u"),"")</f>
        <v/>
      </c>
      <c r="V892" s="25">
        <f>IF(AND(Q892=1,L892&lt;&gt;""),SUBSTITUTE(SUBSTITUTE(SUBSTITUTE(SUBSTITUTE(SUBSTITUTE(SUBSTITUTE(SUBSTITUTE(SUBSTITUTE(SUBSTITUTE(SUBSTITUTE(SUBSTITUTE(SUBSTITUTE(LOWER(TRIM(L892)),"á","a"),"é","e"),"í","i"),"ó","o"),"ú","u"),"ü","u"),"ñ","n"),"à","a"),"è","e"),"ì","i"),"ò","o"),"ù","u"),"")</f>
        <v/>
      </c>
      <c r="W892" s="25">
        <f>IF(AND(Q892=1,I892&lt;&gt;""),SUBSTITUTE(SUBSTITUTE(SUBSTITUTE(SUBSTITUTE(SUBSTITUTE(SUBSTITUTE(SUBSTITUTE(SUBSTITUTE(SUBSTITUTE(SUBSTITUTE(SUBSTITUTE(SUBSTITUTE(LOWER(TRIM(I892)),"á","a"),"é","e"),"í","i"),"ó","o"),"ú","u"),"ü","u"),"ñ","n"),"à","a"),"è","e"),"ì","i"),"ò","o"),"ù","u"),"")</f>
        <v/>
      </c>
      <c r="X892" s="25">
        <f>IF(U892="","",IF(OR(U892="si, en la proxima tarea",U892="si, con cambios"),1,0))</f>
        <v/>
      </c>
      <c r="Y892" s="25">
        <f>IF(AND(Q892=1,A892&lt;&gt;""),IF(IFERROR(COUNTIFS(A$3:A892,"="&amp;SUBSTITUTE(SUBSTITUTE(SUBSTITUTE(A892,"~","~~"),"*","~*"),"?","~?"),Q$3:Q892,1),0)=1,MAX(Y$2:Y891)+1,""),"")</f>
        <v/>
      </c>
      <c r="Z892" s="25">
        <f>IF(Y892="","",COUNTIFS($A$3:$A$1002,"="&amp;SUBSTITUTE(SUBSTITUTE(SUBSTITUTE(A892,"~","~~"),"*","~*"),"?","~?"),$Q$3:$Q$1002,1)*10000-Y892)</f>
        <v/>
      </c>
    </row>
    <row r="893">
      <c r="A893">
        <f>IF(A$2=0,"",IFERROR(TRIM(INDEX('Pegar docentes'!$A$1:$BZ$1001,892,A$2)&amp;""),""))</f>
        <v/>
      </c>
      <c r="B893">
        <f>IF(B$2=0,"",IFERROR(TRIM(INDEX('Pegar docentes'!$A$1:$BZ$1001,892,B$2)&amp;""),""))</f>
        <v/>
      </c>
      <c r="C893">
        <f>IF(C$2=0,"",IFERROR(TRIM(INDEX('Pegar docentes'!$A$1:$BZ$1001,892,C$2)&amp;""),""))</f>
        <v/>
      </c>
      <c r="D893">
        <f>IF(D$2=0,"",IFERROR(TRIM(INDEX('Pegar docentes'!$A$1:$BZ$1001,892,D$2)&amp;""),""))</f>
        <v/>
      </c>
      <c r="E893">
        <f>IF(E$2=0,"",IFERROR(TRIM(INDEX('Pegar docentes'!$A$1:$BZ$1001,892,E$2)&amp;""),""))</f>
        <v/>
      </c>
      <c r="F893">
        <f>IF(F$2=0,"",IFERROR(TRIM(INDEX('Pegar docentes'!$A$1:$BZ$1001,892,F$2)&amp;""),""))</f>
        <v/>
      </c>
      <c r="G893">
        <f>IF(G$2=0,"",IFERROR(TRIM(INDEX('Pegar docentes'!$A$1:$BZ$1001,892,G$2)&amp;""),""))</f>
        <v/>
      </c>
      <c r="H893">
        <f>IF(H$2=0,"",IFERROR(TRIM(INDEX('Pegar docentes'!$A$1:$BZ$1001,892,H$2)&amp;""),""))</f>
        <v/>
      </c>
      <c r="I893">
        <f>IF(I$2=0,"",IFERROR(TRIM(INDEX('Pegar docentes'!$A$1:$BZ$1001,892,I$2)&amp;""),""))</f>
        <v/>
      </c>
      <c r="J893">
        <f>IF(J$2=0,"",IFERROR(TRIM(INDEX('Pegar docentes'!$A$1:$BZ$1001,892,J$2)&amp;""),""))</f>
        <v/>
      </c>
      <c r="K893">
        <f>IF(K$2=0,"",IFERROR(TRIM(INDEX('Pegar docentes'!$A$1:$BZ$1001,892,K$2)&amp;""),""))</f>
        <v/>
      </c>
      <c r="L893">
        <f>IF(L$2=0,"",IFERROR(TRIM(INDEX('Pegar docentes'!$A$1:$BZ$1001,892,L$2)&amp;""),""))</f>
        <v/>
      </c>
      <c r="M893">
        <f>IF(M$2=0,"",IFERROR(TRIM(INDEX('Pegar docentes'!$A$1:$BZ$1001,892,M$2)&amp;""),""))</f>
        <v/>
      </c>
      <c r="N893">
        <f>IF(N$2=0,"",IFERROR(TRIM(INDEX('Pegar docentes'!$A$1:$BZ$1001,892,N$2)&amp;""),""))</f>
        <v/>
      </c>
      <c r="O893">
        <f>IF(O$2=0,"",IFERROR(TRIM(INDEX('Pegar docentes'!$A$1:$BZ$1001,892,O$2)&amp;""),""))</f>
        <v/>
      </c>
      <c r="P893">
        <f>IF(P$2=0,"",IFERROR(TRIM(INDEX('Pegar docentes'!$A$1:$BZ$1001,892,P$2)&amp;""),""))</f>
        <v/>
      </c>
      <c r="Q893" s="25">
        <f>IF(OR(D893&lt;&gt;"",H893&lt;&gt;""),1,"")</f>
        <v/>
      </c>
      <c r="R893" s="25">
        <f>IF(Q893=1,IF(ISNUMBER(FIND("#"&amp;MID(D893,1,1)&amp;"#","#0#1#2#3#4#5#6#7#8#9#")),IF(ISNUMBER(FIND("#"&amp;MID(D893,2,1)&amp;"#","#0#1#2#3#4#5#6#7#8#9#")),IF(AND(VALUE(LEFT(D893,2))&gt;=1,VALUE(LEFT(D893,2))&lt;=5),VALUE(LEFT(D893,2)),""),IF(AND(VALUE(LEFT(D893,1))&gt;=1,VALUE(LEFT(D893,1))&lt;=5),VALUE(LEFT(D893,1)),"")),""),"")</f>
        <v/>
      </c>
      <c r="S893" s="25">
        <f>IF(AND(Q893=1,E893&lt;&gt;""),SUBSTITUTE(SUBSTITUTE(SUBSTITUTE(SUBSTITUTE(SUBSTITUTE(SUBSTITUTE(SUBSTITUTE(SUBSTITUTE(SUBSTITUTE(SUBSTITUTE(SUBSTITUTE(SUBSTITUTE(LOWER(TRIM(E893)),"á","a"),"é","e"),"í","i"),"ó","o"),"ú","u"),"ü","u"),"ñ","n"),"à","a"),"è","e"),"ì","i"),"ò","o"),"ù","u"),"")</f>
        <v/>
      </c>
      <c r="T893" s="25">
        <f>IF(AND(Q893=1,G893&lt;&gt;""),SUBSTITUTE(SUBSTITUTE(SUBSTITUTE(SUBSTITUTE(SUBSTITUTE(SUBSTITUTE(SUBSTITUTE(SUBSTITUTE(SUBSTITUTE(SUBSTITUTE(SUBSTITUTE(SUBSTITUTE(LOWER(TRIM(G893)),"á","a"),"é","e"),"í","i"),"ó","o"),"ú","u"),"ü","u"),"ñ","n"),"à","a"),"è","e"),"ì","i"),"ò","o"),"ù","u"),"")</f>
        <v/>
      </c>
      <c r="U893" s="25">
        <f>IF(AND(Q893=1,H893&lt;&gt;""),SUBSTITUTE(SUBSTITUTE(SUBSTITUTE(SUBSTITUTE(SUBSTITUTE(SUBSTITUTE(SUBSTITUTE(SUBSTITUTE(SUBSTITUTE(SUBSTITUTE(SUBSTITUTE(SUBSTITUTE(LOWER(TRIM(H893)),"á","a"),"é","e"),"í","i"),"ó","o"),"ú","u"),"ü","u"),"ñ","n"),"à","a"),"è","e"),"ì","i"),"ò","o"),"ù","u"),"")</f>
        <v/>
      </c>
      <c r="V893" s="25">
        <f>IF(AND(Q893=1,L893&lt;&gt;""),SUBSTITUTE(SUBSTITUTE(SUBSTITUTE(SUBSTITUTE(SUBSTITUTE(SUBSTITUTE(SUBSTITUTE(SUBSTITUTE(SUBSTITUTE(SUBSTITUTE(SUBSTITUTE(SUBSTITUTE(LOWER(TRIM(L893)),"á","a"),"é","e"),"í","i"),"ó","o"),"ú","u"),"ü","u"),"ñ","n"),"à","a"),"è","e"),"ì","i"),"ò","o"),"ù","u"),"")</f>
        <v/>
      </c>
      <c r="W893" s="25">
        <f>IF(AND(Q893=1,I893&lt;&gt;""),SUBSTITUTE(SUBSTITUTE(SUBSTITUTE(SUBSTITUTE(SUBSTITUTE(SUBSTITUTE(SUBSTITUTE(SUBSTITUTE(SUBSTITUTE(SUBSTITUTE(SUBSTITUTE(SUBSTITUTE(LOWER(TRIM(I893)),"á","a"),"é","e"),"í","i"),"ó","o"),"ú","u"),"ü","u"),"ñ","n"),"à","a"),"è","e"),"ì","i"),"ò","o"),"ù","u"),"")</f>
        <v/>
      </c>
      <c r="X893" s="25">
        <f>IF(U893="","",IF(OR(U893="si, en la proxima tarea",U893="si, con cambios"),1,0))</f>
        <v/>
      </c>
      <c r="Y893" s="25">
        <f>IF(AND(Q893=1,A893&lt;&gt;""),IF(IFERROR(COUNTIFS(A$3:A893,"="&amp;SUBSTITUTE(SUBSTITUTE(SUBSTITUTE(A893,"~","~~"),"*","~*"),"?","~?"),Q$3:Q893,1),0)=1,MAX(Y$2:Y892)+1,""),"")</f>
        <v/>
      </c>
      <c r="Z893" s="25">
        <f>IF(Y893="","",COUNTIFS($A$3:$A$1002,"="&amp;SUBSTITUTE(SUBSTITUTE(SUBSTITUTE(A893,"~","~~"),"*","~*"),"?","~?"),$Q$3:$Q$1002,1)*10000-Y893)</f>
        <v/>
      </c>
    </row>
    <row r="894">
      <c r="A894">
        <f>IF(A$2=0,"",IFERROR(TRIM(INDEX('Pegar docentes'!$A$1:$BZ$1001,893,A$2)&amp;""),""))</f>
        <v/>
      </c>
      <c r="B894">
        <f>IF(B$2=0,"",IFERROR(TRIM(INDEX('Pegar docentes'!$A$1:$BZ$1001,893,B$2)&amp;""),""))</f>
        <v/>
      </c>
      <c r="C894">
        <f>IF(C$2=0,"",IFERROR(TRIM(INDEX('Pegar docentes'!$A$1:$BZ$1001,893,C$2)&amp;""),""))</f>
        <v/>
      </c>
      <c r="D894">
        <f>IF(D$2=0,"",IFERROR(TRIM(INDEX('Pegar docentes'!$A$1:$BZ$1001,893,D$2)&amp;""),""))</f>
        <v/>
      </c>
      <c r="E894">
        <f>IF(E$2=0,"",IFERROR(TRIM(INDEX('Pegar docentes'!$A$1:$BZ$1001,893,E$2)&amp;""),""))</f>
        <v/>
      </c>
      <c r="F894">
        <f>IF(F$2=0,"",IFERROR(TRIM(INDEX('Pegar docentes'!$A$1:$BZ$1001,893,F$2)&amp;""),""))</f>
        <v/>
      </c>
      <c r="G894">
        <f>IF(G$2=0,"",IFERROR(TRIM(INDEX('Pegar docentes'!$A$1:$BZ$1001,893,G$2)&amp;""),""))</f>
        <v/>
      </c>
      <c r="H894">
        <f>IF(H$2=0,"",IFERROR(TRIM(INDEX('Pegar docentes'!$A$1:$BZ$1001,893,H$2)&amp;""),""))</f>
        <v/>
      </c>
      <c r="I894">
        <f>IF(I$2=0,"",IFERROR(TRIM(INDEX('Pegar docentes'!$A$1:$BZ$1001,893,I$2)&amp;""),""))</f>
        <v/>
      </c>
      <c r="J894">
        <f>IF(J$2=0,"",IFERROR(TRIM(INDEX('Pegar docentes'!$A$1:$BZ$1001,893,J$2)&amp;""),""))</f>
        <v/>
      </c>
      <c r="K894">
        <f>IF(K$2=0,"",IFERROR(TRIM(INDEX('Pegar docentes'!$A$1:$BZ$1001,893,K$2)&amp;""),""))</f>
        <v/>
      </c>
      <c r="L894">
        <f>IF(L$2=0,"",IFERROR(TRIM(INDEX('Pegar docentes'!$A$1:$BZ$1001,893,L$2)&amp;""),""))</f>
        <v/>
      </c>
      <c r="M894">
        <f>IF(M$2=0,"",IFERROR(TRIM(INDEX('Pegar docentes'!$A$1:$BZ$1001,893,M$2)&amp;""),""))</f>
        <v/>
      </c>
      <c r="N894">
        <f>IF(N$2=0,"",IFERROR(TRIM(INDEX('Pegar docentes'!$A$1:$BZ$1001,893,N$2)&amp;""),""))</f>
        <v/>
      </c>
      <c r="O894">
        <f>IF(O$2=0,"",IFERROR(TRIM(INDEX('Pegar docentes'!$A$1:$BZ$1001,893,O$2)&amp;""),""))</f>
        <v/>
      </c>
      <c r="P894">
        <f>IF(P$2=0,"",IFERROR(TRIM(INDEX('Pegar docentes'!$A$1:$BZ$1001,893,P$2)&amp;""),""))</f>
        <v/>
      </c>
      <c r="Q894" s="25">
        <f>IF(OR(D894&lt;&gt;"",H894&lt;&gt;""),1,"")</f>
        <v/>
      </c>
      <c r="R894" s="25">
        <f>IF(Q894=1,IF(ISNUMBER(FIND("#"&amp;MID(D894,1,1)&amp;"#","#0#1#2#3#4#5#6#7#8#9#")),IF(ISNUMBER(FIND("#"&amp;MID(D894,2,1)&amp;"#","#0#1#2#3#4#5#6#7#8#9#")),IF(AND(VALUE(LEFT(D894,2))&gt;=1,VALUE(LEFT(D894,2))&lt;=5),VALUE(LEFT(D894,2)),""),IF(AND(VALUE(LEFT(D894,1))&gt;=1,VALUE(LEFT(D894,1))&lt;=5),VALUE(LEFT(D894,1)),"")),""),"")</f>
        <v/>
      </c>
      <c r="S894" s="25">
        <f>IF(AND(Q894=1,E894&lt;&gt;""),SUBSTITUTE(SUBSTITUTE(SUBSTITUTE(SUBSTITUTE(SUBSTITUTE(SUBSTITUTE(SUBSTITUTE(SUBSTITUTE(SUBSTITUTE(SUBSTITUTE(SUBSTITUTE(SUBSTITUTE(LOWER(TRIM(E894)),"á","a"),"é","e"),"í","i"),"ó","o"),"ú","u"),"ü","u"),"ñ","n"),"à","a"),"è","e"),"ì","i"),"ò","o"),"ù","u"),"")</f>
        <v/>
      </c>
      <c r="T894" s="25">
        <f>IF(AND(Q894=1,G894&lt;&gt;""),SUBSTITUTE(SUBSTITUTE(SUBSTITUTE(SUBSTITUTE(SUBSTITUTE(SUBSTITUTE(SUBSTITUTE(SUBSTITUTE(SUBSTITUTE(SUBSTITUTE(SUBSTITUTE(SUBSTITUTE(LOWER(TRIM(G894)),"á","a"),"é","e"),"í","i"),"ó","o"),"ú","u"),"ü","u"),"ñ","n"),"à","a"),"è","e"),"ì","i"),"ò","o"),"ù","u"),"")</f>
        <v/>
      </c>
      <c r="U894" s="25">
        <f>IF(AND(Q894=1,H894&lt;&gt;""),SUBSTITUTE(SUBSTITUTE(SUBSTITUTE(SUBSTITUTE(SUBSTITUTE(SUBSTITUTE(SUBSTITUTE(SUBSTITUTE(SUBSTITUTE(SUBSTITUTE(SUBSTITUTE(SUBSTITUTE(LOWER(TRIM(H894)),"á","a"),"é","e"),"í","i"),"ó","o"),"ú","u"),"ü","u"),"ñ","n"),"à","a"),"è","e"),"ì","i"),"ò","o"),"ù","u"),"")</f>
        <v/>
      </c>
      <c r="V894" s="25">
        <f>IF(AND(Q894=1,L894&lt;&gt;""),SUBSTITUTE(SUBSTITUTE(SUBSTITUTE(SUBSTITUTE(SUBSTITUTE(SUBSTITUTE(SUBSTITUTE(SUBSTITUTE(SUBSTITUTE(SUBSTITUTE(SUBSTITUTE(SUBSTITUTE(LOWER(TRIM(L894)),"á","a"),"é","e"),"í","i"),"ó","o"),"ú","u"),"ü","u"),"ñ","n"),"à","a"),"è","e"),"ì","i"),"ò","o"),"ù","u"),"")</f>
        <v/>
      </c>
      <c r="W894" s="25">
        <f>IF(AND(Q894=1,I894&lt;&gt;""),SUBSTITUTE(SUBSTITUTE(SUBSTITUTE(SUBSTITUTE(SUBSTITUTE(SUBSTITUTE(SUBSTITUTE(SUBSTITUTE(SUBSTITUTE(SUBSTITUTE(SUBSTITUTE(SUBSTITUTE(LOWER(TRIM(I894)),"á","a"),"é","e"),"í","i"),"ó","o"),"ú","u"),"ü","u"),"ñ","n"),"à","a"),"è","e"),"ì","i"),"ò","o"),"ù","u"),"")</f>
        <v/>
      </c>
      <c r="X894" s="25">
        <f>IF(U894="","",IF(OR(U894="si, en la proxima tarea",U894="si, con cambios"),1,0))</f>
        <v/>
      </c>
      <c r="Y894" s="25">
        <f>IF(AND(Q894=1,A894&lt;&gt;""),IF(IFERROR(COUNTIFS(A$3:A894,"="&amp;SUBSTITUTE(SUBSTITUTE(SUBSTITUTE(A894,"~","~~"),"*","~*"),"?","~?"),Q$3:Q894,1),0)=1,MAX(Y$2:Y893)+1,""),"")</f>
        <v/>
      </c>
      <c r="Z894" s="25">
        <f>IF(Y894="","",COUNTIFS($A$3:$A$1002,"="&amp;SUBSTITUTE(SUBSTITUTE(SUBSTITUTE(A894,"~","~~"),"*","~*"),"?","~?"),$Q$3:$Q$1002,1)*10000-Y894)</f>
        <v/>
      </c>
    </row>
    <row r="895">
      <c r="A895">
        <f>IF(A$2=0,"",IFERROR(TRIM(INDEX('Pegar docentes'!$A$1:$BZ$1001,894,A$2)&amp;""),""))</f>
        <v/>
      </c>
      <c r="B895">
        <f>IF(B$2=0,"",IFERROR(TRIM(INDEX('Pegar docentes'!$A$1:$BZ$1001,894,B$2)&amp;""),""))</f>
        <v/>
      </c>
      <c r="C895">
        <f>IF(C$2=0,"",IFERROR(TRIM(INDEX('Pegar docentes'!$A$1:$BZ$1001,894,C$2)&amp;""),""))</f>
        <v/>
      </c>
      <c r="D895">
        <f>IF(D$2=0,"",IFERROR(TRIM(INDEX('Pegar docentes'!$A$1:$BZ$1001,894,D$2)&amp;""),""))</f>
        <v/>
      </c>
      <c r="E895">
        <f>IF(E$2=0,"",IFERROR(TRIM(INDEX('Pegar docentes'!$A$1:$BZ$1001,894,E$2)&amp;""),""))</f>
        <v/>
      </c>
      <c r="F895">
        <f>IF(F$2=0,"",IFERROR(TRIM(INDEX('Pegar docentes'!$A$1:$BZ$1001,894,F$2)&amp;""),""))</f>
        <v/>
      </c>
      <c r="G895">
        <f>IF(G$2=0,"",IFERROR(TRIM(INDEX('Pegar docentes'!$A$1:$BZ$1001,894,G$2)&amp;""),""))</f>
        <v/>
      </c>
      <c r="H895">
        <f>IF(H$2=0,"",IFERROR(TRIM(INDEX('Pegar docentes'!$A$1:$BZ$1001,894,H$2)&amp;""),""))</f>
        <v/>
      </c>
      <c r="I895">
        <f>IF(I$2=0,"",IFERROR(TRIM(INDEX('Pegar docentes'!$A$1:$BZ$1001,894,I$2)&amp;""),""))</f>
        <v/>
      </c>
      <c r="J895">
        <f>IF(J$2=0,"",IFERROR(TRIM(INDEX('Pegar docentes'!$A$1:$BZ$1001,894,J$2)&amp;""),""))</f>
        <v/>
      </c>
      <c r="K895">
        <f>IF(K$2=0,"",IFERROR(TRIM(INDEX('Pegar docentes'!$A$1:$BZ$1001,894,K$2)&amp;""),""))</f>
        <v/>
      </c>
      <c r="L895">
        <f>IF(L$2=0,"",IFERROR(TRIM(INDEX('Pegar docentes'!$A$1:$BZ$1001,894,L$2)&amp;""),""))</f>
        <v/>
      </c>
      <c r="M895">
        <f>IF(M$2=0,"",IFERROR(TRIM(INDEX('Pegar docentes'!$A$1:$BZ$1001,894,M$2)&amp;""),""))</f>
        <v/>
      </c>
      <c r="N895">
        <f>IF(N$2=0,"",IFERROR(TRIM(INDEX('Pegar docentes'!$A$1:$BZ$1001,894,N$2)&amp;""),""))</f>
        <v/>
      </c>
      <c r="O895">
        <f>IF(O$2=0,"",IFERROR(TRIM(INDEX('Pegar docentes'!$A$1:$BZ$1001,894,O$2)&amp;""),""))</f>
        <v/>
      </c>
      <c r="P895">
        <f>IF(P$2=0,"",IFERROR(TRIM(INDEX('Pegar docentes'!$A$1:$BZ$1001,894,P$2)&amp;""),""))</f>
        <v/>
      </c>
      <c r="Q895" s="25">
        <f>IF(OR(D895&lt;&gt;"",H895&lt;&gt;""),1,"")</f>
        <v/>
      </c>
      <c r="R895" s="25">
        <f>IF(Q895=1,IF(ISNUMBER(FIND("#"&amp;MID(D895,1,1)&amp;"#","#0#1#2#3#4#5#6#7#8#9#")),IF(ISNUMBER(FIND("#"&amp;MID(D895,2,1)&amp;"#","#0#1#2#3#4#5#6#7#8#9#")),IF(AND(VALUE(LEFT(D895,2))&gt;=1,VALUE(LEFT(D895,2))&lt;=5),VALUE(LEFT(D895,2)),""),IF(AND(VALUE(LEFT(D895,1))&gt;=1,VALUE(LEFT(D895,1))&lt;=5),VALUE(LEFT(D895,1)),"")),""),"")</f>
        <v/>
      </c>
      <c r="S895" s="25">
        <f>IF(AND(Q895=1,E895&lt;&gt;""),SUBSTITUTE(SUBSTITUTE(SUBSTITUTE(SUBSTITUTE(SUBSTITUTE(SUBSTITUTE(SUBSTITUTE(SUBSTITUTE(SUBSTITUTE(SUBSTITUTE(SUBSTITUTE(SUBSTITUTE(LOWER(TRIM(E895)),"á","a"),"é","e"),"í","i"),"ó","o"),"ú","u"),"ü","u"),"ñ","n"),"à","a"),"è","e"),"ì","i"),"ò","o"),"ù","u"),"")</f>
        <v/>
      </c>
      <c r="T895" s="25">
        <f>IF(AND(Q895=1,G895&lt;&gt;""),SUBSTITUTE(SUBSTITUTE(SUBSTITUTE(SUBSTITUTE(SUBSTITUTE(SUBSTITUTE(SUBSTITUTE(SUBSTITUTE(SUBSTITUTE(SUBSTITUTE(SUBSTITUTE(SUBSTITUTE(LOWER(TRIM(G895)),"á","a"),"é","e"),"í","i"),"ó","o"),"ú","u"),"ü","u"),"ñ","n"),"à","a"),"è","e"),"ì","i"),"ò","o"),"ù","u"),"")</f>
        <v/>
      </c>
      <c r="U895" s="25">
        <f>IF(AND(Q895=1,H895&lt;&gt;""),SUBSTITUTE(SUBSTITUTE(SUBSTITUTE(SUBSTITUTE(SUBSTITUTE(SUBSTITUTE(SUBSTITUTE(SUBSTITUTE(SUBSTITUTE(SUBSTITUTE(SUBSTITUTE(SUBSTITUTE(LOWER(TRIM(H895)),"á","a"),"é","e"),"í","i"),"ó","o"),"ú","u"),"ü","u"),"ñ","n"),"à","a"),"è","e"),"ì","i"),"ò","o"),"ù","u"),"")</f>
        <v/>
      </c>
      <c r="V895" s="25">
        <f>IF(AND(Q895=1,L895&lt;&gt;""),SUBSTITUTE(SUBSTITUTE(SUBSTITUTE(SUBSTITUTE(SUBSTITUTE(SUBSTITUTE(SUBSTITUTE(SUBSTITUTE(SUBSTITUTE(SUBSTITUTE(SUBSTITUTE(SUBSTITUTE(LOWER(TRIM(L895)),"á","a"),"é","e"),"í","i"),"ó","o"),"ú","u"),"ü","u"),"ñ","n"),"à","a"),"è","e"),"ì","i"),"ò","o"),"ù","u"),"")</f>
        <v/>
      </c>
      <c r="W895" s="25">
        <f>IF(AND(Q895=1,I895&lt;&gt;""),SUBSTITUTE(SUBSTITUTE(SUBSTITUTE(SUBSTITUTE(SUBSTITUTE(SUBSTITUTE(SUBSTITUTE(SUBSTITUTE(SUBSTITUTE(SUBSTITUTE(SUBSTITUTE(SUBSTITUTE(LOWER(TRIM(I895)),"á","a"),"é","e"),"í","i"),"ó","o"),"ú","u"),"ü","u"),"ñ","n"),"à","a"),"è","e"),"ì","i"),"ò","o"),"ù","u"),"")</f>
        <v/>
      </c>
      <c r="X895" s="25">
        <f>IF(U895="","",IF(OR(U895="si, en la proxima tarea",U895="si, con cambios"),1,0))</f>
        <v/>
      </c>
      <c r="Y895" s="25">
        <f>IF(AND(Q895=1,A895&lt;&gt;""),IF(IFERROR(COUNTIFS(A$3:A895,"="&amp;SUBSTITUTE(SUBSTITUTE(SUBSTITUTE(A895,"~","~~"),"*","~*"),"?","~?"),Q$3:Q895,1),0)=1,MAX(Y$2:Y894)+1,""),"")</f>
        <v/>
      </c>
      <c r="Z895" s="25">
        <f>IF(Y895="","",COUNTIFS($A$3:$A$1002,"="&amp;SUBSTITUTE(SUBSTITUTE(SUBSTITUTE(A895,"~","~~"),"*","~*"),"?","~?"),$Q$3:$Q$1002,1)*10000-Y895)</f>
        <v/>
      </c>
    </row>
    <row r="896">
      <c r="A896">
        <f>IF(A$2=0,"",IFERROR(TRIM(INDEX('Pegar docentes'!$A$1:$BZ$1001,895,A$2)&amp;""),""))</f>
        <v/>
      </c>
      <c r="B896">
        <f>IF(B$2=0,"",IFERROR(TRIM(INDEX('Pegar docentes'!$A$1:$BZ$1001,895,B$2)&amp;""),""))</f>
        <v/>
      </c>
      <c r="C896">
        <f>IF(C$2=0,"",IFERROR(TRIM(INDEX('Pegar docentes'!$A$1:$BZ$1001,895,C$2)&amp;""),""))</f>
        <v/>
      </c>
      <c r="D896">
        <f>IF(D$2=0,"",IFERROR(TRIM(INDEX('Pegar docentes'!$A$1:$BZ$1001,895,D$2)&amp;""),""))</f>
        <v/>
      </c>
      <c r="E896">
        <f>IF(E$2=0,"",IFERROR(TRIM(INDEX('Pegar docentes'!$A$1:$BZ$1001,895,E$2)&amp;""),""))</f>
        <v/>
      </c>
      <c r="F896">
        <f>IF(F$2=0,"",IFERROR(TRIM(INDEX('Pegar docentes'!$A$1:$BZ$1001,895,F$2)&amp;""),""))</f>
        <v/>
      </c>
      <c r="G896">
        <f>IF(G$2=0,"",IFERROR(TRIM(INDEX('Pegar docentes'!$A$1:$BZ$1001,895,G$2)&amp;""),""))</f>
        <v/>
      </c>
      <c r="H896">
        <f>IF(H$2=0,"",IFERROR(TRIM(INDEX('Pegar docentes'!$A$1:$BZ$1001,895,H$2)&amp;""),""))</f>
        <v/>
      </c>
      <c r="I896">
        <f>IF(I$2=0,"",IFERROR(TRIM(INDEX('Pegar docentes'!$A$1:$BZ$1001,895,I$2)&amp;""),""))</f>
        <v/>
      </c>
      <c r="J896">
        <f>IF(J$2=0,"",IFERROR(TRIM(INDEX('Pegar docentes'!$A$1:$BZ$1001,895,J$2)&amp;""),""))</f>
        <v/>
      </c>
      <c r="K896">
        <f>IF(K$2=0,"",IFERROR(TRIM(INDEX('Pegar docentes'!$A$1:$BZ$1001,895,K$2)&amp;""),""))</f>
        <v/>
      </c>
      <c r="L896">
        <f>IF(L$2=0,"",IFERROR(TRIM(INDEX('Pegar docentes'!$A$1:$BZ$1001,895,L$2)&amp;""),""))</f>
        <v/>
      </c>
      <c r="M896">
        <f>IF(M$2=0,"",IFERROR(TRIM(INDEX('Pegar docentes'!$A$1:$BZ$1001,895,M$2)&amp;""),""))</f>
        <v/>
      </c>
      <c r="N896">
        <f>IF(N$2=0,"",IFERROR(TRIM(INDEX('Pegar docentes'!$A$1:$BZ$1001,895,N$2)&amp;""),""))</f>
        <v/>
      </c>
      <c r="O896">
        <f>IF(O$2=0,"",IFERROR(TRIM(INDEX('Pegar docentes'!$A$1:$BZ$1001,895,O$2)&amp;""),""))</f>
        <v/>
      </c>
      <c r="P896">
        <f>IF(P$2=0,"",IFERROR(TRIM(INDEX('Pegar docentes'!$A$1:$BZ$1001,895,P$2)&amp;""),""))</f>
        <v/>
      </c>
      <c r="Q896" s="25">
        <f>IF(OR(D896&lt;&gt;"",H896&lt;&gt;""),1,"")</f>
        <v/>
      </c>
      <c r="R896" s="25">
        <f>IF(Q896=1,IF(ISNUMBER(FIND("#"&amp;MID(D896,1,1)&amp;"#","#0#1#2#3#4#5#6#7#8#9#")),IF(ISNUMBER(FIND("#"&amp;MID(D896,2,1)&amp;"#","#0#1#2#3#4#5#6#7#8#9#")),IF(AND(VALUE(LEFT(D896,2))&gt;=1,VALUE(LEFT(D896,2))&lt;=5),VALUE(LEFT(D896,2)),""),IF(AND(VALUE(LEFT(D896,1))&gt;=1,VALUE(LEFT(D896,1))&lt;=5),VALUE(LEFT(D896,1)),"")),""),"")</f>
        <v/>
      </c>
      <c r="S896" s="25">
        <f>IF(AND(Q896=1,E896&lt;&gt;""),SUBSTITUTE(SUBSTITUTE(SUBSTITUTE(SUBSTITUTE(SUBSTITUTE(SUBSTITUTE(SUBSTITUTE(SUBSTITUTE(SUBSTITUTE(SUBSTITUTE(SUBSTITUTE(SUBSTITUTE(LOWER(TRIM(E896)),"á","a"),"é","e"),"í","i"),"ó","o"),"ú","u"),"ü","u"),"ñ","n"),"à","a"),"è","e"),"ì","i"),"ò","o"),"ù","u"),"")</f>
        <v/>
      </c>
      <c r="T896" s="25">
        <f>IF(AND(Q896=1,G896&lt;&gt;""),SUBSTITUTE(SUBSTITUTE(SUBSTITUTE(SUBSTITUTE(SUBSTITUTE(SUBSTITUTE(SUBSTITUTE(SUBSTITUTE(SUBSTITUTE(SUBSTITUTE(SUBSTITUTE(SUBSTITUTE(LOWER(TRIM(G896)),"á","a"),"é","e"),"í","i"),"ó","o"),"ú","u"),"ü","u"),"ñ","n"),"à","a"),"è","e"),"ì","i"),"ò","o"),"ù","u"),"")</f>
        <v/>
      </c>
      <c r="U896" s="25">
        <f>IF(AND(Q896=1,H896&lt;&gt;""),SUBSTITUTE(SUBSTITUTE(SUBSTITUTE(SUBSTITUTE(SUBSTITUTE(SUBSTITUTE(SUBSTITUTE(SUBSTITUTE(SUBSTITUTE(SUBSTITUTE(SUBSTITUTE(SUBSTITUTE(LOWER(TRIM(H896)),"á","a"),"é","e"),"í","i"),"ó","o"),"ú","u"),"ü","u"),"ñ","n"),"à","a"),"è","e"),"ì","i"),"ò","o"),"ù","u"),"")</f>
        <v/>
      </c>
      <c r="V896" s="25">
        <f>IF(AND(Q896=1,L896&lt;&gt;""),SUBSTITUTE(SUBSTITUTE(SUBSTITUTE(SUBSTITUTE(SUBSTITUTE(SUBSTITUTE(SUBSTITUTE(SUBSTITUTE(SUBSTITUTE(SUBSTITUTE(SUBSTITUTE(SUBSTITUTE(LOWER(TRIM(L896)),"á","a"),"é","e"),"í","i"),"ó","o"),"ú","u"),"ü","u"),"ñ","n"),"à","a"),"è","e"),"ì","i"),"ò","o"),"ù","u"),"")</f>
        <v/>
      </c>
      <c r="W896" s="25">
        <f>IF(AND(Q896=1,I896&lt;&gt;""),SUBSTITUTE(SUBSTITUTE(SUBSTITUTE(SUBSTITUTE(SUBSTITUTE(SUBSTITUTE(SUBSTITUTE(SUBSTITUTE(SUBSTITUTE(SUBSTITUTE(SUBSTITUTE(SUBSTITUTE(LOWER(TRIM(I896)),"á","a"),"é","e"),"í","i"),"ó","o"),"ú","u"),"ü","u"),"ñ","n"),"à","a"),"è","e"),"ì","i"),"ò","o"),"ù","u"),"")</f>
        <v/>
      </c>
      <c r="X896" s="25">
        <f>IF(U896="","",IF(OR(U896="si, en la proxima tarea",U896="si, con cambios"),1,0))</f>
        <v/>
      </c>
      <c r="Y896" s="25">
        <f>IF(AND(Q896=1,A896&lt;&gt;""),IF(IFERROR(COUNTIFS(A$3:A896,"="&amp;SUBSTITUTE(SUBSTITUTE(SUBSTITUTE(A896,"~","~~"),"*","~*"),"?","~?"),Q$3:Q896,1),0)=1,MAX(Y$2:Y895)+1,""),"")</f>
        <v/>
      </c>
      <c r="Z896" s="25">
        <f>IF(Y896="","",COUNTIFS($A$3:$A$1002,"="&amp;SUBSTITUTE(SUBSTITUTE(SUBSTITUTE(A896,"~","~~"),"*","~*"),"?","~?"),$Q$3:$Q$1002,1)*10000-Y896)</f>
        <v/>
      </c>
    </row>
    <row r="897">
      <c r="A897">
        <f>IF(A$2=0,"",IFERROR(TRIM(INDEX('Pegar docentes'!$A$1:$BZ$1001,896,A$2)&amp;""),""))</f>
        <v/>
      </c>
      <c r="B897">
        <f>IF(B$2=0,"",IFERROR(TRIM(INDEX('Pegar docentes'!$A$1:$BZ$1001,896,B$2)&amp;""),""))</f>
        <v/>
      </c>
      <c r="C897">
        <f>IF(C$2=0,"",IFERROR(TRIM(INDEX('Pegar docentes'!$A$1:$BZ$1001,896,C$2)&amp;""),""))</f>
        <v/>
      </c>
      <c r="D897">
        <f>IF(D$2=0,"",IFERROR(TRIM(INDEX('Pegar docentes'!$A$1:$BZ$1001,896,D$2)&amp;""),""))</f>
        <v/>
      </c>
      <c r="E897">
        <f>IF(E$2=0,"",IFERROR(TRIM(INDEX('Pegar docentes'!$A$1:$BZ$1001,896,E$2)&amp;""),""))</f>
        <v/>
      </c>
      <c r="F897">
        <f>IF(F$2=0,"",IFERROR(TRIM(INDEX('Pegar docentes'!$A$1:$BZ$1001,896,F$2)&amp;""),""))</f>
        <v/>
      </c>
      <c r="G897">
        <f>IF(G$2=0,"",IFERROR(TRIM(INDEX('Pegar docentes'!$A$1:$BZ$1001,896,G$2)&amp;""),""))</f>
        <v/>
      </c>
      <c r="H897">
        <f>IF(H$2=0,"",IFERROR(TRIM(INDEX('Pegar docentes'!$A$1:$BZ$1001,896,H$2)&amp;""),""))</f>
        <v/>
      </c>
      <c r="I897">
        <f>IF(I$2=0,"",IFERROR(TRIM(INDEX('Pegar docentes'!$A$1:$BZ$1001,896,I$2)&amp;""),""))</f>
        <v/>
      </c>
      <c r="J897">
        <f>IF(J$2=0,"",IFERROR(TRIM(INDEX('Pegar docentes'!$A$1:$BZ$1001,896,J$2)&amp;""),""))</f>
        <v/>
      </c>
      <c r="K897">
        <f>IF(K$2=0,"",IFERROR(TRIM(INDEX('Pegar docentes'!$A$1:$BZ$1001,896,K$2)&amp;""),""))</f>
        <v/>
      </c>
      <c r="L897">
        <f>IF(L$2=0,"",IFERROR(TRIM(INDEX('Pegar docentes'!$A$1:$BZ$1001,896,L$2)&amp;""),""))</f>
        <v/>
      </c>
      <c r="M897">
        <f>IF(M$2=0,"",IFERROR(TRIM(INDEX('Pegar docentes'!$A$1:$BZ$1001,896,M$2)&amp;""),""))</f>
        <v/>
      </c>
      <c r="N897">
        <f>IF(N$2=0,"",IFERROR(TRIM(INDEX('Pegar docentes'!$A$1:$BZ$1001,896,N$2)&amp;""),""))</f>
        <v/>
      </c>
      <c r="O897">
        <f>IF(O$2=0,"",IFERROR(TRIM(INDEX('Pegar docentes'!$A$1:$BZ$1001,896,O$2)&amp;""),""))</f>
        <v/>
      </c>
      <c r="P897">
        <f>IF(P$2=0,"",IFERROR(TRIM(INDEX('Pegar docentes'!$A$1:$BZ$1001,896,P$2)&amp;""),""))</f>
        <v/>
      </c>
      <c r="Q897" s="25">
        <f>IF(OR(D897&lt;&gt;"",H897&lt;&gt;""),1,"")</f>
        <v/>
      </c>
      <c r="R897" s="25">
        <f>IF(Q897=1,IF(ISNUMBER(FIND("#"&amp;MID(D897,1,1)&amp;"#","#0#1#2#3#4#5#6#7#8#9#")),IF(ISNUMBER(FIND("#"&amp;MID(D897,2,1)&amp;"#","#0#1#2#3#4#5#6#7#8#9#")),IF(AND(VALUE(LEFT(D897,2))&gt;=1,VALUE(LEFT(D897,2))&lt;=5),VALUE(LEFT(D897,2)),""),IF(AND(VALUE(LEFT(D897,1))&gt;=1,VALUE(LEFT(D897,1))&lt;=5),VALUE(LEFT(D897,1)),"")),""),"")</f>
        <v/>
      </c>
      <c r="S897" s="25">
        <f>IF(AND(Q897=1,E897&lt;&gt;""),SUBSTITUTE(SUBSTITUTE(SUBSTITUTE(SUBSTITUTE(SUBSTITUTE(SUBSTITUTE(SUBSTITUTE(SUBSTITUTE(SUBSTITUTE(SUBSTITUTE(SUBSTITUTE(SUBSTITUTE(LOWER(TRIM(E897)),"á","a"),"é","e"),"í","i"),"ó","o"),"ú","u"),"ü","u"),"ñ","n"),"à","a"),"è","e"),"ì","i"),"ò","o"),"ù","u"),"")</f>
        <v/>
      </c>
      <c r="T897" s="25">
        <f>IF(AND(Q897=1,G897&lt;&gt;""),SUBSTITUTE(SUBSTITUTE(SUBSTITUTE(SUBSTITUTE(SUBSTITUTE(SUBSTITUTE(SUBSTITUTE(SUBSTITUTE(SUBSTITUTE(SUBSTITUTE(SUBSTITUTE(SUBSTITUTE(LOWER(TRIM(G897)),"á","a"),"é","e"),"í","i"),"ó","o"),"ú","u"),"ü","u"),"ñ","n"),"à","a"),"è","e"),"ì","i"),"ò","o"),"ù","u"),"")</f>
        <v/>
      </c>
      <c r="U897" s="25">
        <f>IF(AND(Q897=1,H897&lt;&gt;""),SUBSTITUTE(SUBSTITUTE(SUBSTITUTE(SUBSTITUTE(SUBSTITUTE(SUBSTITUTE(SUBSTITUTE(SUBSTITUTE(SUBSTITUTE(SUBSTITUTE(SUBSTITUTE(SUBSTITUTE(LOWER(TRIM(H897)),"á","a"),"é","e"),"í","i"),"ó","o"),"ú","u"),"ü","u"),"ñ","n"),"à","a"),"è","e"),"ì","i"),"ò","o"),"ù","u"),"")</f>
        <v/>
      </c>
      <c r="V897" s="25">
        <f>IF(AND(Q897=1,L897&lt;&gt;""),SUBSTITUTE(SUBSTITUTE(SUBSTITUTE(SUBSTITUTE(SUBSTITUTE(SUBSTITUTE(SUBSTITUTE(SUBSTITUTE(SUBSTITUTE(SUBSTITUTE(SUBSTITUTE(SUBSTITUTE(LOWER(TRIM(L897)),"á","a"),"é","e"),"í","i"),"ó","o"),"ú","u"),"ü","u"),"ñ","n"),"à","a"),"è","e"),"ì","i"),"ò","o"),"ù","u"),"")</f>
        <v/>
      </c>
      <c r="W897" s="25">
        <f>IF(AND(Q897=1,I897&lt;&gt;""),SUBSTITUTE(SUBSTITUTE(SUBSTITUTE(SUBSTITUTE(SUBSTITUTE(SUBSTITUTE(SUBSTITUTE(SUBSTITUTE(SUBSTITUTE(SUBSTITUTE(SUBSTITUTE(SUBSTITUTE(LOWER(TRIM(I897)),"á","a"),"é","e"),"í","i"),"ó","o"),"ú","u"),"ü","u"),"ñ","n"),"à","a"),"è","e"),"ì","i"),"ò","o"),"ù","u"),"")</f>
        <v/>
      </c>
      <c r="X897" s="25">
        <f>IF(U897="","",IF(OR(U897="si, en la proxima tarea",U897="si, con cambios"),1,0))</f>
        <v/>
      </c>
      <c r="Y897" s="25">
        <f>IF(AND(Q897=1,A897&lt;&gt;""),IF(IFERROR(COUNTIFS(A$3:A897,"="&amp;SUBSTITUTE(SUBSTITUTE(SUBSTITUTE(A897,"~","~~"),"*","~*"),"?","~?"),Q$3:Q897,1),0)=1,MAX(Y$2:Y896)+1,""),"")</f>
        <v/>
      </c>
      <c r="Z897" s="25">
        <f>IF(Y897="","",COUNTIFS($A$3:$A$1002,"="&amp;SUBSTITUTE(SUBSTITUTE(SUBSTITUTE(A897,"~","~~"),"*","~*"),"?","~?"),$Q$3:$Q$1002,1)*10000-Y897)</f>
        <v/>
      </c>
    </row>
    <row r="898">
      <c r="A898">
        <f>IF(A$2=0,"",IFERROR(TRIM(INDEX('Pegar docentes'!$A$1:$BZ$1001,897,A$2)&amp;""),""))</f>
        <v/>
      </c>
      <c r="B898">
        <f>IF(B$2=0,"",IFERROR(TRIM(INDEX('Pegar docentes'!$A$1:$BZ$1001,897,B$2)&amp;""),""))</f>
        <v/>
      </c>
      <c r="C898">
        <f>IF(C$2=0,"",IFERROR(TRIM(INDEX('Pegar docentes'!$A$1:$BZ$1001,897,C$2)&amp;""),""))</f>
        <v/>
      </c>
      <c r="D898">
        <f>IF(D$2=0,"",IFERROR(TRIM(INDEX('Pegar docentes'!$A$1:$BZ$1001,897,D$2)&amp;""),""))</f>
        <v/>
      </c>
      <c r="E898">
        <f>IF(E$2=0,"",IFERROR(TRIM(INDEX('Pegar docentes'!$A$1:$BZ$1001,897,E$2)&amp;""),""))</f>
        <v/>
      </c>
      <c r="F898">
        <f>IF(F$2=0,"",IFERROR(TRIM(INDEX('Pegar docentes'!$A$1:$BZ$1001,897,F$2)&amp;""),""))</f>
        <v/>
      </c>
      <c r="G898">
        <f>IF(G$2=0,"",IFERROR(TRIM(INDEX('Pegar docentes'!$A$1:$BZ$1001,897,G$2)&amp;""),""))</f>
        <v/>
      </c>
      <c r="H898">
        <f>IF(H$2=0,"",IFERROR(TRIM(INDEX('Pegar docentes'!$A$1:$BZ$1001,897,H$2)&amp;""),""))</f>
        <v/>
      </c>
      <c r="I898">
        <f>IF(I$2=0,"",IFERROR(TRIM(INDEX('Pegar docentes'!$A$1:$BZ$1001,897,I$2)&amp;""),""))</f>
        <v/>
      </c>
      <c r="J898">
        <f>IF(J$2=0,"",IFERROR(TRIM(INDEX('Pegar docentes'!$A$1:$BZ$1001,897,J$2)&amp;""),""))</f>
        <v/>
      </c>
      <c r="K898">
        <f>IF(K$2=0,"",IFERROR(TRIM(INDEX('Pegar docentes'!$A$1:$BZ$1001,897,K$2)&amp;""),""))</f>
        <v/>
      </c>
      <c r="L898">
        <f>IF(L$2=0,"",IFERROR(TRIM(INDEX('Pegar docentes'!$A$1:$BZ$1001,897,L$2)&amp;""),""))</f>
        <v/>
      </c>
      <c r="M898">
        <f>IF(M$2=0,"",IFERROR(TRIM(INDEX('Pegar docentes'!$A$1:$BZ$1001,897,M$2)&amp;""),""))</f>
        <v/>
      </c>
      <c r="N898">
        <f>IF(N$2=0,"",IFERROR(TRIM(INDEX('Pegar docentes'!$A$1:$BZ$1001,897,N$2)&amp;""),""))</f>
        <v/>
      </c>
      <c r="O898">
        <f>IF(O$2=0,"",IFERROR(TRIM(INDEX('Pegar docentes'!$A$1:$BZ$1001,897,O$2)&amp;""),""))</f>
        <v/>
      </c>
      <c r="P898">
        <f>IF(P$2=0,"",IFERROR(TRIM(INDEX('Pegar docentes'!$A$1:$BZ$1001,897,P$2)&amp;""),""))</f>
        <v/>
      </c>
      <c r="Q898" s="25">
        <f>IF(OR(D898&lt;&gt;"",H898&lt;&gt;""),1,"")</f>
        <v/>
      </c>
      <c r="R898" s="25">
        <f>IF(Q898=1,IF(ISNUMBER(FIND("#"&amp;MID(D898,1,1)&amp;"#","#0#1#2#3#4#5#6#7#8#9#")),IF(ISNUMBER(FIND("#"&amp;MID(D898,2,1)&amp;"#","#0#1#2#3#4#5#6#7#8#9#")),IF(AND(VALUE(LEFT(D898,2))&gt;=1,VALUE(LEFT(D898,2))&lt;=5),VALUE(LEFT(D898,2)),""),IF(AND(VALUE(LEFT(D898,1))&gt;=1,VALUE(LEFT(D898,1))&lt;=5),VALUE(LEFT(D898,1)),"")),""),"")</f>
        <v/>
      </c>
      <c r="S898" s="25">
        <f>IF(AND(Q898=1,E898&lt;&gt;""),SUBSTITUTE(SUBSTITUTE(SUBSTITUTE(SUBSTITUTE(SUBSTITUTE(SUBSTITUTE(SUBSTITUTE(SUBSTITUTE(SUBSTITUTE(SUBSTITUTE(SUBSTITUTE(SUBSTITUTE(LOWER(TRIM(E898)),"á","a"),"é","e"),"í","i"),"ó","o"),"ú","u"),"ü","u"),"ñ","n"),"à","a"),"è","e"),"ì","i"),"ò","o"),"ù","u"),"")</f>
        <v/>
      </c>
      <c r="T898" s="25">
        <f>IF(AND(Q898=1,G898&lt;&gt;""),SUBSTITUTE(SUBSTITUTE(SUBSTITUTE(SUBSTITUTE(SUBSTITUTE(SUBSTITUTE(SUBSTITUTE(SUBSTITUTE(SUBSTITUTE(SUBSTITUTE(SUBSTITUTE(SUBSTITUTE(LOWER(TRIM(G898)),"á","a"),"é","e"),"í","i"),"ó","o"),"ú","u"),"ü","u"),"ñ","n"),"à","a"),"è","e"),"ì","i"),"ò","o"),"ù","u"),"")</f>
        <v/>
      </c>
      <c r="U898" s="25">
        <f>IF(AND(Q898=1,H898&lt;&gt;""),SUBSTITUTE(SUBSTITUTE(SUBSTITUTE(SUBSTITUTE(SUBSTITUTE(SUBSTITUTE(SUBSTITUTE(SUBSTITUTE(SUBSTITUTE(SUBSTITUTE(SUBSTITUTE(SUBSTITUTE(LOWER(TRIM(H898)),"á","a"),"é","e"),"í","i"),"ó","o"),"ú","u"),"ü","u"),"ñ","n"),"à","a"),"è","e"),"ì","i"),"ò","o"),"ù","u"),"")</f>
        <v/>
      </c>
      <c r="V898" s="25">
        <f>IF(AND(Q898=1,L898&lt;&gt;""),SUBSTITUTE(SUBSTITUTE(SUBSTITUTE(SUBSTITUTE(SUBSTITUTE(SUBSTITUTE(SUBSTITUTE(SUBSTITUTE(SUBSTITUTE(SUBSTITUTE(SUBSTITUTE(SUBSTITUTE(LOWER(TRIM(L898)),"á","a"),"é","e"),"í","i"),"ó","o"),"ú","u"),"ü","u"),"ñ","n"),"à","a"),"è","e"),"ì","i"),"ò","o"),"ù","u"),"")</f>
        <v/>
      </c>
      <c r="W898" s="25">
        <f>IF(AND(Q898=1,I898&lt;&gt;""),SUBSTITUTE(SUBSTITUTE(SUBSTITUTE(SUBSTITUTE(SUBSTITUTE(SUBSTITUTE(SUBSTITUTE(SUBSTITUTE(SUBSTITUTE(SUBSTITUTE(SUBSTITUTE(SUBSTITUTE(LOWER(TRIM(I898)),"á","a"),"é","e"),"í","i"),"ó","o"),"ú","u"),"ü","u"),"ñ","n"),"à","a"),"è","e"),"ì","i"),"ò","o"),"ù","u"),"")</f>
        <v/>
      </c>
      <c r="X898" s="25">
        <f>IF(U898="","",IF(OR(U898="si, en la proxima tarea",U898="si, con cambios"),1,0))</f>
        <v/>
      </c>
      <c r="Y898" s="25">
        <f>IF(AND(Q898=1,A898&lt;&gt;""),IF(IFERROR(COUNTIFS(A$3:A898,"="&amp;SUBSTITUTE(SUBSTITUTE(SUBSTITUTE(A898,"~","~~"),"*","~*"),"?","~?"),Q$3:Q898,1),0)=1,MAX(Y$2:Y897)+1,""),"")</f>
        <v/>
      </c>
      <c r="Z898" s="25">
        <f>IF(Y898="","",COUNTIFS($A$3:$A$1002,"="&amp;SUBSTITUTE(SUBSTITUTE(SUBSTITUTE(A898,"~","~~"),"*","~*"),"?","~?"),$Q$3:$Q$1002,1)*10000-Y898)</f>
        <v/>
      </c>
    </row>
    <row r="899">
      <c r="A899">
        <f>IF(A$2=0,"",IFERROR(TRIM(INDEX('Pegar docentes'!$A$1:$BZ$1001,898,A$2)&amp;""),""))</f>
        <v/>
      </c>
      <c r="B899">
        <f>IF(B$2=0,"",IFERROR(TRIM(INDEX('Pegar docentes'!$A$1:$BZ$1001,898,B$2)&amp;""),""))</f>
        <v/>
      </c>
      <c r="C899">
        <f>IF(C$2=0,"",IFERROR(TRIM(INDEX('Pegar docentes'!$A$1:$BZ$1001,898,C$2)&amp;""),""))</f>
        <v/>
      </c>
      <c r="D899">
        <f>IF(D$2=0,"",IFERROR(TRIM(INDEX('Pegar docentes'!$A$1:$BZ$1001,898,D$2)&amp;""),""))</f>
        <v/>
      </c>
      <c r="E899">
        <f>IF(E$2=0,"",IFERROR(TRIM(INDEX('Pegar docentes'!$A$1:$BZ$1001,898,E$2)&amp;""),""))</f>
        <v/>
      </c>
      <c r="F899">
        <f>IF(F$2=0,"",IFERROR(TRIM(INDEX('Pegar docentes'!$A$1:$BZ$1001,898,F$2)&amp;""),""))</f>
        <v/>
      </c>
      <c r="G899">
        <f>IF(G$2=0,"",IFERROR(TRIM(INDEX('Pegar docentes'!$A$1:$BZ$1001,898,G$2)&amp;""),""))</f>
        <v/>
      </c>
      <c r="H899">
        <f>IF(H$2=0,"",IFERROR(TRIM(INDEX('Pegar docentes'!$A$1:$BZ$1001,898,H$2)&amp;""),""))</f>
        <v/>
      </c>
      <c r="I899">
        <f>IF(I$2=0,"",IFERROR(TRIM(INDEX('Pegar docentes'!$A$1:$BZ$1001,898,I$2)&amp;""),""))</f>
        <v/>
      </c>
      <c r="J899">
        <f>IF(J$2=0,"",IFERROR(TRIM(INDEX('Pegar docentes'!$A$1:$BZ$1001,898,J$2)&amp;""),""))</f>
        <v/>
      </c>
      <c r="K899">
        <f>IF(K$2=0,"",IFERROR(TRIM(INDEX('Pegar docentes'!$A$1:$BZ$1001,898,K$2)&amp;""),""))</f>
        <v/>
      </c>
      <c r="L899">
        <f>IF(L$2=0,"",IFERROR(TRIM(INDEX('Pegar docentes'!$A$1:$BZ$1001,898,L$2)&amp;""),""))</f>
        <v/>
      </c>
      <c r="M899">
        <f>IF(M$2=0,"",IFERROR(TRIM(INDEX('Pegar docentes'!$A$1:$BZ$1001,898,M$2)&amp;""),""))</f>
        <v/>
      </c>
      <c r="N899">
        <f>IF(N$2=0,"",IFERROR(TRIM(INDEX('Pegar docentes'!$A$1:$BZ$1001,898,N$2)&amp;""),""))</f>
        <v/>
      </c>
      <c r="O899">
        <f>IF(O$2=0,"",IFERROR(TRIM(INDEX('Pegar docentes'!$A$1:$BZ$1001,898,O$2)&amp;""),""))</f>
        <v/>
      </c>
      <c r="P899">
        <f>IF(P$2=0,"",IFERROR(TRIM(INDEX('Pegar docentes'!$A$1:$BZ$1001,898,P$2)&amp;""),""))</f>
        <v/>
      </c>
      <c r="Q899" s="25">
        <f>IF(OR(D899&lt;&gt;"",H899&lt;&gt;""),1,"")</f>
        <v/>
      </c>
      <c r="R899" s="25">
        <f>IF(Q899=1,IF(ISNUMBER(FIND("#"&amp;MID(D899,1,1)&amp;"#","#0#1#2#3#4#5#6#7#8#9#")),IF(ISNUMBER(FIND("#"&amp;MID(D899,2,1)&amp;"#","#0#1#2#3#4#5#6#7#8#9#")),IF(AND(VALUE(LEFT(D899,2))&gt;=1,VALUE(LEFT(D899,2))&lt;=5),VALUE(LEFT(D899,2)),""),IF(AND(VALUE(LEFT(D899,1))&gt;=1,VALUE(LEFT(D899,1))&lt;=5),VALUE(LEFT(D899,1)),"")),""),"")</f>
        <v/>
      </c>
      <c r="S899" s="25">
        <f>IF(AND(Q899=1,E899&lt;&gt;""),SUBSTITUTE(SUBSTITUTE(SUBSTITUTE(SUBSTITUTE(SUBSTITUTE(SUBSTITUTE(SUBSTITUTE(SUBSTITUTE(SUBSTITUTE(SUBSTITUTE(SUBSTITUTE(SUBSTITUTE(LOWER(TRIM(E899)),"á","a"),"é","e"),"í","i"),"ó","o"),"ú","u"),"ü","u"),"ñ","n"),"à","a"),"è","e"),"ì","i"),"ò","o"),"ù","u"),"")</f>
        <v/>
      </c>
      <c r="T899" s="25">
        <f>IF(AND(Q899=1,G899&lt;&gt;""),SUBSTITUTE(SUBSTITUTE(SUBSTITUTE(SUBSTITUTE(SUBSTITUTE(SUBSTITUTE(SUBSTITUTE(SUBSTITUTE(SUBSTITUTE(SUBSTITUTE(SUBSTITUTE(SUBSTITUTE(LOWER(TRIM(G899)),"á","a"),"é","e"),"í","i"),"ó","o"),"ú","u"),"ü","u"),"ñ","n"),"à","a"),"è","e"),"ì","i"),"ò","o"),"ù","u"),"")</f>
        <v/>
      </c>
      <c r="U899" s="25">
        <f>IF(AND(Q899=1,H899&lt;&gt;""),SUBSTITUTE(SUBSTITUTE(SUBSTITUTE(SUBSTITUTE(SUBSTITUTE(SUBSTITUTE(SUBSTITUTE(SUBSTITUTE(SUBSTITUTE(SUBSTITUTE(SUBSTITUTE(SUBSTITUTE(LOWER(TRIM(H899)),"á","a"),"é","e"),"í","i"),"ó","o"),"ú","u"),"ü","u"),"ñ","n"),"à","a"),"è","e"),"ì","i"),"ò","o"),"ù","u"),"")</f>
        <v/>
      </c>
      <c r="V899" s="25">
        <f>IF(AND(Q899=1,L899&lt;&gt;""),SUBSTITUTE(SUBSTITUTE(SUBSTITUTE(SUBSTITUTE(SUBSTITUTE(SUBSTITUTE(SUBSTITUTE(SUBSTITUTE(SUBSTITUTE(SUBSTITUTE(SUBSTITUTE(SUBSTITUTE(LOWER(TRIM(L899)),"á","a"),"é","e"),"í","i"),"ó","o"),"ú","u"),"ü","u"),"ñ","n"),"à","a"),"è","e"),"ì","i"),"ò","o"),"ù","u"),"")</f>
        <v/>
      </c>
      <c r="W899" s="25">
        <f>IF(AND(Q899=1,I899&lt;&gt;""),SUBSTITUTE(SUBSTITUTE(SUBSTITUTE(SUBSTITUTE(SUBSTITUTE(SUBSTITUTE(SUBSTITUTE(SUBSTITUTE(SUBSTITUTE(SUBSTITUTE(SUBSTITUTE(SUBSTITUTE(LOWER(TRIM(I899)),"á","a"),"é","e"),"í","i"),"ó","o"),"ú","u"),"ü","u"),"ñ","n"),"à","a"),"è","e"),"ì","i"),"ò","o"),"ù","u"),"")</f>
        <v/>
      </c>
      <c r="X899" s="25">
        <f>IF(U899="","",IF(OR(U899="si, en la proxima tarea",U899="si, con cambios"),1,0))</f>
        <v/>
      </c>
      <c r="Y899" s="25">
        <f>IF(AND(Q899=1,A899&lt;&gt;""),IF(IFERROR(COUNTIFS(A$3:A899,"="&amp;SUBSTITUTE(SUBSTITUTE(SUBSTITUTE(A899,"~","~~"),"*","~*"),"?","~?"),Q$3:Q899,1),0)=1,MAX(Y$2:Y898)+1,""),"")</f>
        <v/>
      </c>
      <c r="Z899" s="25">
        <f>IF(Y899="","",COUNTIFS($A$3:$A$1002,"="&amp;SUBSTITUTE(SUBSTITUTE(SUBSTITUTE(A899,"~","~~"),"*","~*"),"?","~?"),$Q$3:$Q$1002,1)*10000-Y899)</f>
        <v/>
      </c>
    </row>
    <row r="900">
      <c r="A900">
        <f>IF(A$2=0,"",IFERROR(TRIM(INDEX('Pegar docentes'!$A$1:$BZ$1001,899,A$2)&amp;""),""))</f>
        <v/>
      </c>
      <c r="B900">
        <f>IF(B$2=0,"",IFERROR(TRIM(INDEX('Pegar docentes'!$A$1:$BZ$1001,899,B$2)&amp;""),""))</f>
        <v/>
      </c>
      <c r="C900">
        <f>IF(C$2=0,"",IFERROR(TRIM(INDEX('Pegar docentes'!$A$1:$BZ$1001,899,C$2)&amp;""),""))</f>
        <v/>
      </c>
      <c r="D900">
        <f>IF(D$2=0,"",IFERROR(TRIM(INDEX('Pegar docentes'!$A$1:$BZ$1001,899,D$2)&amp;""),""))</f>
        <v/>
      </c>
      <c r="E900">
        <f>IF(E$2=0,"",IFERROR(TRIM(INDEX('Pegar docentes'!$A$1:$BZ$1001,899,E$2)&amp;""),""))</f>
        <v/>
      </c>
      <c r="F900">
        <f>IF(F$2=0,"",IFERROR(TRIM(INDEX('Pegar docentes'!$A$1:$BZ$1001,899,F$2)&amp;""),""))</f>
        <v/>
      </c>
      <c r="G900">
        <f>IF(G$2=0,"",IFERROR(TRIM(INDEX('Pegar docentes'!$A$1:$BZ$1001,899,G$2)&amp;""),""))</f>
        <v/>
      </c>
      <c r="H900">
        <f>IF(H$2=0,"",IFERROR(TRIM(INDEX('Pegar docentes'!$A$1:$BZ$1001,899,H$2)&amp;""),""))</f>
        <v/>
      </c>
      <c r="I900">
        <f>IF(I$2=0,"",IFERROR(TRIM(INDEX('Pegar docentes'!$A$1:$BZ$1001,899,I$2)&amp;""),""))</f>
        <v/>
      </c>
      <c r="J900">
        <f>IF(J$2=0,"",IFERROR(TRIM(INDEX('Pegar docentes'!$A$1:$BZ$1001,899,J$2)&amp;""),""))</f>
        <v/>
      </c>
      <c r="K900">
        <f>IF(K$2=0,"",IFERROR(TRIM(INDEX('Pegar docentes'!$A$1:$BZ$1001,899,K$2)&amp;""),""))</f>
        <v/>
      </c>
      <c r="L900">
        <f>IF(L$2=0,"",IFERROR(TRIM(INDEX('Pegar docentes'!$A$1:$BZ$1001,899,L$2)&amp;""),""))</f>
        <v/>
      </c>
      <c r="M900">
        <f>IF(M$2=0,"",IFERROR(TRIM(INDEX('Pegar docentes'!$A$1:$BZ$1001,899,M$2)&amp;""),""))</f>
        <v/>
      </c>
      <c r="N900">
        <f>IF(N$2=0,"",IFERROR(TRIM(INDEX('Pegar docentes'!$A$1:$BZ$1001,899,N$2)&amp;""),""))</f>
        <v/>
      </c>
      <c r="O900">
        <f>IF(O$2=0,"",IFERROR(TRIM(INDEX('Pegar docentes'!$A$1:$BZ$1001,899,O$2)&amp;""),""))</f>
        <v/>
      </c>
      <c r="P900">
        <f>IF(P$2=0,"",IFERROR(TRIM(INDEX('Pegar docentes'!$A$1:$BZ$1001,899,P$2)&amp;""),""))</f>
        <v/>
      </c>
      <c r="Q900" s="25">
        <f>IF(OR(D900&lt;&gt;"",H900&lt;&gt;""),1,"")</f>
        <v/>
      </c>
      <c r="R900" s="25">
        <f>IF(Q900=1,IF(ISNUMBER(FIND("#"&amp;MID(D900,1,1)&amp;"#","#0#1#2#3#4#5#6#7#8#9#")),IF(ISNUMBER(FIND("#"&amp;MID(D900,2,1)&amp;"#","#0#1#2#3#4#5#6#7#8#9#")),IF(AND(VALUE(LEFT(D900,2))&gt;=1,VALUE(LEFT(D900,2))&lt;=5),VALUE(LEFT(D900,2)),""),IF(AND(VALUE(LEFT(D900,1))&gt;=1,VALUE(LEFT(D900,1))&lt;=5),VALUE(LEFT(D900,1)),"")),""),"")</f>
        <v/>
      </c>
      <c r="S900" s="25">
        <f>IF(AND(Q900=1,E900&lt;&gt;""),SUBSTITUTE(SUBSTITUTE(SUBSTITUTE(SUBSTITUTE(SUBSTITUTE(SUBSTITUTE(SUBSTITUTE(SUBSTITUTE(SUBSTITUTE(SUBSTITUTE(SUBSTITUTE(SUBSTITUTE(LOWER(TRIM(E900)),"á","a"),"é","e"),"í","i"),"ó","o"),"ú","u"),"ü","u"),"ñ","n"),"à","a"),"è","e"),"ì","i"),"ò","o"),"ù","u"),"")</f>
        <v/>
      </c>
      <c r="T900" s="25">
        <f>IF(AND(Q900=1,G900&lt;&gt;""),SUBSTITUTE(SUBSTITUTE(SUBSTITUTE(SUBSTITUTE(SUBSTITUTE(SUBSTITUTE(SUBSTITUTE(SUBSTITUTE(SUBSTITUTE(SUBSTITUTE(SUBSTITUTE(SUBSTITUTE(LOWER(TRIM(G900)),"á","a"),"é","e"),"í","i"),"ó","o"),"ú","u"),"ü","u"),"ñ","n"),"à","a"),"è","e"),"ì","i"),"ò","o"),"ù","u"),"")</f>
        <v/>
      </c>
      <c r="U900" s="25">
        <f>IF(AND(Q900=1,H900&lt;&gt;""),SUBSTITUTE(SUBSTITUTE(SUBSTITUTE(SUBSTITUTE(SUBSTITUTE(SUBSTITUTE(SUBSTITUTE(SUBSTITUTE(SUBSTITUTE(SUBSTITUTE(SUBSTITUTE(SUBSTITUTE(LOWER(TRIM(H900)),"á","a"),"é","e"),"í","i"),"ó","o"),"ú","u"),"ü","u"),"ñ","n"),"à","a"),"è","e"),"ì","i"),"ò","o"),"ù","u"),"")</f>
        <v/>
      </c>
      <c r="V900" s="25">
        <f>IF(AND(Q900=1,L900&lt;&gt;""),SUBSTITUTE(SUBSTITUTE(SUBSTITUTE(SUBSTITUTE(SUBSTITUTE(SUBSTITUTE(SUBSTITUTE(SUBSTITUTE(SUBSTITUTE(SUBSTITUTE(SUBSTITUTE(SUBSTITUTE(LOWER(TRIM(L900)),"á","a"),"é","e"),"í","i"),"ó","o"),"ú","u"),"ü","u"),"ñ","n"),"à","a"),"è","e"),"ì","i"),"ò","o"),"ù","u"),"")</f>
        <v/>
      </c>
      <c r="W900" s="25">
        <f>IF(AND(Q900=1,I900&lt;&gt;""),SUBSTITUTE(SUBSTITUTE(SUBSTITUTE(SUBSTITUTE(SUBSTITUTE(SUBSTITUTE(SUBSTITUTE(SUBSTITUTE(SUBSTITUTE(SUBSTITUTE(SUBSTITUTE(SUBSTITUTE(LOWER(TRIM(I900)),"á","a"),"é","e"),"í","i"),"ó","o"),"ú","u"),"ü","u"),"ñ","n"),"à","a"),"è","e"),"ì","i"),"ò","o"),"ù","u"),"")</f>
        <v/>
      </c>
      <c r="X900" s="25">
        <f>IF(U900="","",IF(OR(U900="si, en la proxima tarea",U900="si, con cambios"),1,0))</f>
        <v/>
      </c>
      <c r="Y900" s="25">
        <f>IF(AND(Q900=1,A900&lt;&gt;""),IF(IFERROR(COUNTIFS(A$3:A900,"="&amp;SUBSTITUTE(SUBSTITUTE(SUBSTITUTE(A900,"~","~~"),"*","~*"),"?","~?"),Q$3:Q900,1),0)=1,MAX(Y$2:Y899)+1,""),"")</f>
        <v/>
      </c>
      <c r="Z900" s="25">
        <f>IF(Y900="","",COUNTIFS($A$3:$A$1002,"="&amp;SUBSTITUTE(SUBSTITUTE(SUBSTITUTE(A900,"~","~~"),"*","~*"),"?","~?"),$Q$3:$Q$1002,1)*10000-Y900)</f>
        <v/>
      </c>
    </row>
    <row r="901">
      <c r="A901">
        <f>IF(A$2=0,"",IFERROR(TRIM(INDEX('Pegar docentes'!$A$1:$BZ$1001,900,A$2)&amp;""),""))</f>
        <v/>
      </c>
      <c r="B901">
        <f>IF(B$2=0,"",IFERROR(TRIM(INDEX('Pegar docentes'!$A$1:$BZ$1001,900,B$2)&amp;""),""))</f>
        <v/>
      </c>
      <c r="C901">
        <f>IF(C$2=0,"",IFERROR(TRIM(INDEX('Pegar docentes'!$A$1:$BZ$1001,900,C$2)&amp;""),""))</f>
        <v/>
      </c>
      <c r="D901">
        <f>IF(D$2=0,"",IFERROR(TRIM(INDEX('Pegar docentes'!$A$1:$BZ$1001,900,D$2)&amp;""),""))</f>
        <v/>
      </c>
      <c r="E901">
        <f>IF(E$2=0,"",IFERROR(TRIM(INDEX('Pegar docentes'!$A$1:$BZ$1001,900,E$2)&amp;""),""))</f>
        <v/>
      </c>
      <c r="F901">
        <f>IF(F$2=0,"",IFERROR(TRIM(INDEX('Pegar docentes'!$A$1:$BZ$1001,900,F$2)&amp;""),""))</f>
        <v/>
      </c>
      <c r="G901">
        <f>IF(G$2=0,"",IFERROR(TRIM(INDEX('Pegar docentes'!$A$1:$BZ$1001,900,G$2)&amp;""),""))</f>
        <v/>
      </c>
      <c r="H901">
        <f>IF(H$2=0,"",IFERROR(TRIM(INDEX('Pegar docentes'!$A$1:$BZ$1001,900,H$2)&amp;""),""))</f>
        <v/>
      </c>
      <c r="I901">
        <f>IF(I$2=0,"",IFERROR(TRIM(INDEX('Pegar docentes'!$A$1:$BZ$1001,900,I$2)&amp;""),""))</f>
        <v/>
      </c>
      <c r="J901">
        <f>IF(J$2=0,"",IFERROR(TRIM(INDEX('Pegar docentes'!$A$1:$BZ$1001,900,J$2)&amp;""),""))</f>
        <v/>
      </c>
      <c r="K901">
        <f>IF(K$2=0,"",IFERROR(TRIM(INDEX('Pegar docentes'!$A$1:$BZ$1001,900,K$2)&amp;""),""))</f>
        <v/>
      </c>
      <c r="L901">
        <f>IF(L$2=0,"",IFERROR(TRIM(INDEX('Pegar docentes'!$A$1:$BZ$1001,900,L$2)&amp;""),""))</f>
        <v/>
      </c>
      <c r="M901">
        <f>IF(M$2=0,"",IFERROR(TRIM(INDEX('Pegar docentes'!$A$1:$BZ$1001,900,M$2)&amp;""),""))</f>
        <v/>
      </c>
      <c r="N901">
        <f>IF(N$2=0,"",IFERROR(TRIM(INDEX('Pegar docentes'!$A$1:$BZ$1001,900,N$2)&amp;""),""))</f>
        <v/>
      </c>
      <c r="O901">
        <f>IF(O$2=0,"",IFERROR(TRIM(INDEX('Pegar docentes'!$A$1:$BZ$1001,900,O$2)&amp;""),""))</f>
        <v/>
      </c>
      <c r="P901">
        <f>IF(P$2=0,"",IFERROR(TRIM(INDEX('Pegar docentes'!$A$1:$BZ$1001,900,P$2)&amp;""),""))</f>
        <v/>
      </c>
      <c r="Q901" s="25">
        <f>IF(OR(D901&lt;&gt;"",H901&lt;&gt;""),1,"")</f>
        <v/>
      </c>
      <c r="R901" s="25">
        <f>IF(Q901=1,IF(ISNUMBER(FIND("#"&amp;MID(D901,1,1)&amp;"#","#0#1#2#3#4#5#6#7#8#9#")),IF(ISNUMBER(FIND("#"&amp;MID(D901,2,1)&amp;"#","#0#1#2#3#4#5#6#7#8#9#")),IF(AND(VALUE(LEFT(D901,2))&gt;=1,VALUE(LEFT(D901,2))&lt;=5),VALUE(LEFT(D901,2)),""),IF(AND(VALUE(LEFT(D901,1))&gt;=1,VALUE(LEFT(D901,1))&lt;=5),VALUE(LEFT(D901,1)),"")),""),"")</f>
        <v/>
      </c>
      <c r="S901" s="25">
        <f>IF(AND(Q901=1,E901&lt;&gt;""),SUBSTITUTE(SUBSTITUTE(SUBSTITUTE(SUBSTITUTE(SUBSTITUTE(SUBSTITUTE(SUBSTITUTE(SUBSTITUTE(SUBSTITUTE(SUBSTITUTE(SUBSTITUTE(SUBSTITUTE(LOWER(TRIM(E901)),"á","a"),"é","e"),"í","i"),"ó","o"),"ú","u"),"ü","u"),"ñ","n"),"à","a"),"è","e"),"ì","i"),"ò","o"),"ù","u"),"")</f>
        <v/>
      </c>
      <c r="T901" s="25">
        <f>IF(AND(Q901=1,G901&lt;&gt;""),SUBSTITUTE(SUBSTITUTE(SUBSTITUTE(SUBSTITUTE(SUBSTITUTE(SUBSTITUTE(SUBSTITUTE(SUBSTITUTE(SUBSTITUTE(SUBSTITUTE(SUBSTITUTE(SUBSTITUTE(LOWER(TRIM(G901)),"á","a"),"é","e"),"í","i"),"ó","o"),"ú","u"),"ü","u"),"ñ","n"),"à","a"),"è","e"),"ì","i"),"ò","o"),"ù","u"),"")</f>
        <v/>
      </c>
      <c r="U901" s="25">
        <f>IF(AND(Q901=1,H901&lt;&gt;""),SUBSTITUTE(SUBSTITUTE(SUBSTITUTE(SUBSTITUTE(SUBSTITUTE(SUBSTITUTE(SUBSTITUTE(SUBSTITUTE(SUBSTITUTE(SUBSTITUTE(SUBSTITUTE(SUBSTITUTE(LOWER(TRIM(H901)),"á","a"),"é","e"),"í","i"),"ó","o"),"ú","u"),"ü","u"),"ñ","n"),"à","a"),"è","e"),"ì","i"),"ò","o"),"ù","u"),"")</f>
        <v/>
      </c>
      <c r="V901" s="25">
        <f>IF(AND(Q901=1,L901&lt;&gt;""),SUBSTITUTE(SUBSTITUTE(SUBSTITUTE(SUBSTITUTE(SUBSTITUTE(SUBSTITUTE(SUBSTITUTE(SUBSTITUTE(SUBSTITUTE(SUBSTITUTE(SUBSTITUTE(SUBSTITUTE(LOWER(TRIM(L901)),"á","a"),"é","e"),"í","i"),"ó","o"),"ú","u"),"ü","u"),"ñ","n"),"à","a"),"è","e"),"ì","i"),"ò","o"),"ù","u"),"")</f>
        <v/>
      </c>
      <c r="W901" s="25">
        <f>IF(AND(Q901=1,I901&lt;&gt;""),SUBSTITUTE(SUBSTITUTE(SUBSTITUTE(SUBSTITUTE(SUBSTITUTE(SUBSTITUTE(SUBSTITUTE(SUBSTITUTE(SUBSTITUTE(SUBSTITUTE(SUBSTITUTE(SUBSTITUTE(LOWER(TRIM(I901)),"á","a"),"é","e"),"í","i"),"ó","o"),"ú","u"),"ü","u"),"ñ","n"),"à","a"),"è","e"),"ì","i"),"ò","o"),"ù","u"),"")</f>
        <v/>
      </c>
      <c r="X901" s="25">
        <f>IF(U901="","",IF(OR(U901="si, en la proxima tarea",U901="si, con cambios"),1,0))</f>
        <v/>
      </c>
      <c r="Y901" s="25">
        <f>IF(AND(Q901=1,A901&lt;&gt;""),IF(IFERROR(COUNTIFS(A$3:A901,"="&amp;SUBSTITUTE(SUBSTITUTE(SUBSTITUTE(A901,"~","~~"),"*","~*"),"?","~?"),Q$3:Q901,1),0)=1,MAX(Y$2:Y900)+1,""),"")</f>
        <v/>
      </c>
      <c r="Z901" s="25">
        <f>IF(Y901="","",COUNTIFS($A$3:$A$1002,"="&amp;SUBSTITUTE(SUBSTITUTE(SUBSTITUTE(A901,"~","~~"),"*","~*"),"?","~?"),$Q$3:$Q$1002,1)*10000-Y901)</f>
        <v/>
      </c>
    </row>
    <row r="902">
      <c r="A902">
        <f>IF(A$2=0,"",IFERROR(TRIM(INDEX('Pegar docentes'!$A$1:$BZ$1001,901,A$2)&amp;""),""))</f>
        <v/>
      </c>
      <c r="B902">
        <f>IF(B$2=0,"",IFERROR(TRIM(INDEX('Pegar docentes'!$A$1:$BZ$1001,901,B$2)&amp;""),""))</f>
        <v/>
      </c>
      <c r="C902">
        <f>IF(C$2=0,"",IFERROR(TRIM(INDEX('Pegar docentes'!$A$1:$BZ$1001,901,C$2)&amp;""),""))</f>
        <v/>
      </c>
      <c r="D902">
        <f>IF(D$2=0,"",IFERROR(TRIM(INDEX('Pegar docentes'!$A$1:$BZ$1001,901,D$2)&amp;""),""))</f>
        <v/>
      </c>
      <c r="E902">
        <f>IF(E$2=0,"",IFERROR(TRIM(INDEX('Pegar docentes'!$A$1:$BZ$1001,901,E$2)&amp;""),""))</f>
        <v/>
      </c>
      <c r="F902">
        <f>IF(F$2=0,"",IFERROR(TRIM(INDEX('Pegar docentes'!$A$1:$BZ$1001,901,F$2)&amp;""),""))</f>
        <v/>
      </c>
      <c r="G902">
        <f>IF(G$2=0,"",IFERROR(TRIM(INDEX('Pegar docentes'!$A$1:$BZ$1001,901,G$2)&amp;""),""))</f>
        <v/>
      </c>
      <c r="H902">
        <f>IF(H$2=0,"",IFERROR(TRIM(INDEX('Pegar docentes'!$A$1:$BZ$1001,901,H$2)&amp;""),""))</f>
        <v/>
      </c>
      <c r="I902">
        <f>IF(I$2=0,"",IFERROR(TRIM(INDEX('Pegar docentes'!$A$1:$BZ$1001,901,I$2)&amp;""),""))</f>
        <v/>
      </c>
      <c r="J902">
        <f>IF(J$2=0,"",IFERROR(TRIM(INDEX('Pegar docentes'!$A$1:$BZ$1001,901,J$2)&amp;""),""))</f>
        <v/>
      </c>
      <c r="K902">
        <f>IF(K$2=0,"",IFERROR(TRIM(INDEX('Pegar docentes'!$A$1:$BZ$1001,901,K$2)&amp;""),""))</f>
        <v/>
      </c>
      <c r="L902">
        <f>IF(L$2=0,"",IFERROR(TRIM(INDEX('Pegar docentes'!$A$1:$BZ$1001,901,L$2)&amp;""),""))</f>
        <v/>
      </c>
      <c r="M902">
        <f>IF(M$2=0,"",IFERROR(TRIM(INDEX('Pegar docentes'!$A$1:$BZ$1001,901,M$2)&amp;""),""))</f>
        <v/>
      </c>
      <c r="N902">
        <f>IF(N$2=0,"",IFERROR(TRIM(INDEX('Pegar docentes'!$A$1:$BZ$1001,901,N$2)&amp;""),""))</f>
        <v/>
      </c>
      <c r="O902">
        <f>IF(O$2=0,"",IFERROR(TRIM(INDEX('Pegar docentes'!$A$1:$BZ$1001,901,O$2)&amp;""),""))</f>
        <v/>
      </c>
      <c r="P902">
        <f>IF(P$2=0,"",IFERROR(TRIM(INDEX('Pegar docentes'!$A$1:$BZ$1001,901,P$2)&amp;""),""))</f>
        <v/>
      </c>
      <c r="Q902" s="25">
        <f>IF(OR(D902&lt;&gt;"",H902&lt;&gt;""),1,"")</f>
        <v/>
      </c>
      <c r="R902" s="25">
        <f>IF(Q902=1,IF(ISNUMBER(FIND("#"&amp;MID(D902,1,1)&amp;"#","#0#1#2#3#4#5#6#7#8#9#")),IF(ISNUMBER(FIND("#"&amp;MID(D902,2,1)&amp;"#","#0#1#2#3#4#5#6#7#8#9#")),IF(AND(VALUE(LEFT(D902,2))&gt;=1,VALUE(LEFT(D902,2))&lt;=5),VALUE(LEFT(D902,2)),""),IF(AND(VALUE(LEFT(D902,1))&gt;=1,VALUE(LEFT(D902,1))&lt;=5),VALUE(LEFT(D902,1)),"")),""),"")</f>
        <v/>
      </c>
      <c r="S902" s="25">
        <f>IF(AND(Q902=1,E902&lt;&gt;""),SUBSTITUTE(SUBSTITUTE(SUBSTITUTE(SUBSTITUTE(SUBSTITUTE(SUBSTITUTE(SUBSTITUTE(SUBSTITUTE(SUBSTITUTE(SUBSTITUTE(SUBSTITUTE(SUBSTITUTE(LOWER(TRIM(E902)),"á","a"),"é","e"),"í","i"),"ó","o"),"ú","u"),"ü","u"),"ñ","n"),"à","a"),"è","e"),"ì","i"),"ò","o"),"ù","u"),"")</f>
        <v/>
      </c>
      <c r="T902" s="25">
        <f>IF(AND(Q902=1,G902&lt;&gt;""),SUBSTITUTE(SUBSTITUTE(SUBSTITUTE(SUBSTITUTE(SUBSTITUTE(SUBSTITUTE(SUBSTITUTE(SUBSTITUTE(SUBSTITUTE(SUBSTITUTE(SUBSTITUTE(SUBSTITUTE(LOWER(TRIM(G902)),"á","a"),"é","e"),"í","i"),"ó","o"),"ú","u"),"ü","u"),"ñ","n"),"à","a"),"è","e"),"ì","i"),"ò","o"),"ù","u"),"")</f>
        <v/>
      </c>
      <c r="U902" s="25">
        <f>IF(AND(Q902=1,H902&lt;&gt;""),SUBSTITUTE(SUBSTITUTE(SUBSTITUTE(SUBSTITUTE(SUBSTITUTE(SUBSTITUTE(SUBSTITUTE(SUBSTITUTE(SUBSTITUTE(SUBSTITUTE(SUBSTITUTE(SUBSTITUTE(LOWER(TRIM(H902)),"á","a"),"é","e"),"í","i"),"ó","o"),"ú","u"),"ü","u"),"ñ","n"),"à","a"),"è","e"),"ì","i"),"ò","o"),"ù","u"),"")</f>
        <v/>
      </c>
      <c r="V902" s="25">
        <f>IF(AND(Q902=1,L902&lt;&gt;""),SUBSTITUTE(SUBSTITUTE(SUBSTITUTE(SUBSTITUTE(SUBSTITUTE(SUBSTITUTE(SUBSTITUTE(SUBSTITUTE(SUBSTITUTE(SUBSTITUTE(SUBSTITUTE(SUBSTITUTE(LOWER(TRIM(L902)),"á","a"),"é","e"),"í","i"),"ó","o"),"ú","u"),"ü","u"),"ñ","n"),"à","a"),"è","e"),"ì","i"),"ò","o"),"ù","u"),"")</f>
        <v/>
      </c>
      <c r="W902" s="25">
        <f>IF(AND(Q902=1,I902&lt;&gt;""),SUBSTITUTE(SUBSTITUTE(SUBSTITUTE(SUBSTITUTE(SUBSTITUTE(SUBSTITUTE(SUBSTITUTE(SUBSTITUTE(SUBSTITUTE(SUBSTITUTE(SUBSTITUTE(SUBSTITUTE(LOWER(TRIM(I902)),"á","a"),"é","e"),"í","i"),"ó","o"),"ú","u"),"ü","u"),"ñ","n"),"à","a"),"è","e"),"ì","i"),"ò","o"),"ù","u"),"")</f>
        <v/>
      </c>
      <c r="X902" s="25">
        <f>IF(U902="","",IF(OR(U902="si, en la proxima tarea",U902="si, con cambios"),1,0))</f>
        <v/>
      </c>
      <c r="Y902" s="25">
        <f>IF(AND(Q902=1,A902&lt;&gt;""),IF(IFERROR(COUNTIFS(A$3:A902,"="&amp;SUBSTITUTE(SUBSTITUTE(SUBSTITUTE(A902,"~","~~"),"*","~*"),"?","~?"),Q$3:Q902,1),0)=1,MAX(Y$2:Y901)+1,""),"")</f>
        <v/>
      </c>
      <c r="Z902" s="25">
        <f>IF(Y902="","",COUNTIFS($A$3:$A$1002,"="&amp;SUBSTITUTE(SUBSTITUTE(SUBSTITUTE(A902,"~","~~"),"*","~*"),"?","~?"),$Q$3:$Q$1002,1)*10000-Y902)</f>
        <v/>
      </c>
    </row>
    <row r="903">
      <c r="A903">
        <f>IF(A$2=0,"",IFERROR(TRIM(INDEX('Pegar docentes'!$A$1:$BZ$1001,902,A$2)&amp;""),""))</f>
        <v/>
      </c>
      <c r="B903">
        <f>IF(B$2=0,"",IFERROR(TRIM(INDEX('Pegar docentes'!$A$1:$BZ$1001,902,B$2)&amp;""),""))</f>
        <v/>
      </c>
      <c r="C903">
        <f>IF(C$2=0,"",IFERROR(TRIM(INDEX('Pegar docentes'!$A$1:$BZ$1001,902,C$2)&amp;""),""))</f>
        <v/>
      </c>
      <c r="D903">
        <f>IF(D$2=0,"",IFERROR(TRIM(INDEX('Pegar docentes'!$A$1:$BZ$1001,902,D$2)&amp;""),""))</f>
        <v/>
      </c>
      <c r="E903">
        <f>IF(E$2=0,"",IFERROR(TRIM(INDEX('Pegar docentes'!$A$1:$BZ$1001,902,E$2)&amp;""),""))</f>
        <v/>
      </c>
      <c r="F903">
        <f>IF(F$2=0,"",IFERROR(TRIM(INDEX('Pegar docentes'!$A$1:$BZ$1001,902,F$2)&amp;""),""))</f>
        <v/>
      </c>
      <c r="G903">
        <f>IF(G$2=0,"",IFERROR(TRIM(INDEX('Pegar docentes'!$A$1:$BZ$1001,902,G$2)&amp;""),""))</f>
        <v/>
      </c>
      <c r="H903">
        <f>IF(H$2=0,"",IFERROR(TRIM(INDEX('Pegar docentes'!$A$1:$BZ$1001,902,H$2)&amp;""),""))</f>
        <v/>
      </c>
      <c r="I903">
        <f>IF(I$2=0,"",IFERROR(TRIM(INDEX('Pegar docentes'!$A$1:$BZ$1001,902,I$2)&amp;""),""))</f>
        <v/>
      </c>
      <c r="J903">
        <f>IF(J$2=0,"",IFERROR(TRIM(INDEX('Pegar docentes'!$A$1:$BZ$1001,902,J$2)&amp;""),""))</f>
        <v/>
      </c>
      <c r="K903">
        <f>IF(K$2=0,"",IFERROR(TRIM(INDEX('Pegar docentes'!$A$1:$BZ$1001,902,K$2)&amp;""),""))</f>
        <v/>
      </c>
      <c r="L903">
        <f>IF(L$2=0,"",IFERROR(TRIM(INDEX('Pegar docentes'!$A$1:$BZ$1001,902,L$2)&amp;""),""))</f>
        <v/>
      </c>
      <c r="M903">
        <f>IF(M$2=0,"",IFERROR(TRIM(INDEX('Pegar docentes'!$A$1:$BZ$1001,902,M$2)&amp;""),""))</f>
        <v/>
      </c>
      <c r="N903">
        <f>IF(N$2=0,"",IFERROR(TRIM(INDEX('Pegar docentes'!$A$1:$BZ$1001,902,N$2)&amp;""),""))</f>
        <v/>
      </c>
      <c r="O903">
        <f>IF(O$2=0,"",IFERROR(TRIM(INDEX('Pegar docentes'!$A$1:$BZ$1001,902,O$2)&amp;""),""))</f>
        <v/>
      </c>
      <c r="P903">
        <f>IF(P$2=0,"",IFERROR(TRIM(INDEX('Pegar docentes'!$A$1:$BZ$1001,902,P$2)&amp;""),""))</f>
        <v/>
      </c>
      <c r="Q903" s="25">
        <f>IF(OR(D903&lt;&gt;"",H903&lt;&gt;""),1,"")</f>
        <v/>
      </c>
      <c r="R903" s="25">
        <f>IF(Q903=1,IF(ISNUMBER(FIND("#"&amp;MID(D903,1,1)&amp;"#","#0#1#2#3#4#5#6#7#8#9#")),IF(ISNUMBER(FIND("#"&amp;MID(D903,2,1)&amp;"#","#0#1#2#3#4#5#6#7#8#9#")),IF(AND(VALUE(LEFT(D903,2))&gt;=1,VALUE(LEFT(D903,2))&lt;=5),VALUE(LEFT(D903,2)),""),IF(AND(VALUE(LEFT(D903,1))&gt;=1,VALUE(LEFT(D903,1))&lt;=5),VALUE(LEFT(D903,1)),"")),""),"")</f>
        <v/>
      </c>
      <c r="S903" s="25">
        <f>IF(AND(Q903=1,E903&lt;&gt;""),SUBSTITUTE(SUBSTITUTE(SUBSTITUTE(SUBSTITUTE(SUBSTITUTE(SUBSTITUTE(SUBSTITUTE(SUBSTITUTE(SUBSTITUTE(SUBSTITUTE(SUBSTITUTE(SUBSTITUTE(LOWER(TRIM(E903)),"á","a"),"é","e"),"í","i"),"ó","o"),"ú","u"),"ü","u"),"ñ","n"),"à","a"),"è","e"),"ì","i"),"ò","o"),"ù","u"),"")</f>
        <v/>
      </c>
      <c r="T903" s="25">
        <f>IF(AND(Q903=1,G903&lt;&gt;""),SUBSTITUTE(SUBSTITUTE(SUBSTITUTE(SUBSTITUTE(SUBSTITUTE(SUBSTITUTE(SUBSTITUTE(SUBSTITUTE(SUBSTITUTE(SUBSTITUTE(SUBSTITUTE(SUBSTITUTE(LOWER(TRIM(G903)),"á","a"),"é","e"),"í","i"),"ó","o"),"ú","u"),"ü","u"),"ñ","n"),"à","a"),"è","e"),"ì","i"),"ò","o"),"ù","u"),"")</f>
        <v/>
      </c>
      <c r="U903" s="25">
        <f>IF(AND(Q903=1,H903&lt;&gt;""),SUBSTITUTE(SUBSTITUTE(SUBSTITUTE(SUBSTITUTE(SUBSTITUTE(SUBSTITUTE(SUBSTITUTE(SUBSTITUTE(SUBSTITUTE(SUBSTITUTE(SUBSTITUTE(SUBSTITUTE(LOWER(TRIM(H903)),"á","a"),"é","e"),"í","i"),"ó","o"),"ú","u"),"ü","u"),"ñ","n"),"à","a"),"è","e"),"ì","i"),"ò","o"),"ù","u"),"")</f>
        <v/>
      </c>
      <c r="V903" s="25">
        <f>IF(AND(Q903=1,L903&lt;&gt;""),SUBSTITUTE(SUBSTITUTE(SUBSTITUTE(SUBSTITUTE(SUBSTITUTE(SUBSTITUTE(SUBSTITUTE(SUBSTITUTE(SUBSTITUTE(SUBSTITUTE(SUBSTITUTE(SUBSTITUTE(LOWER(TRIM(L903)),"á","a"),"é","e"),"í","i"),"ó","o"),"ú","u"),"ü","u"),"ñ","n"),"à","a"),"è","e"),"ì","i"),"ò","o"),"ù","u"),"")</f>
        <v/>
      </c>
      <c r="W903" s="25">
        <f>IF(AND(Q903=1,I903&lt;&gt;""),SUBSTITUTE(SUBSTITUTE(SUBSTITUTE(SUBSTITUTE(SUBSTITUTE(SUBSTITUTE(SUBSTITUTE(SUBSTITUTE(SUBSTITUTE(SUBSTITUTE(SUBSTITUTE(SUBSTITUTE(LOWER(TRIM(I903)),"á","a"),"é","e"),"í","i"),"ó","o"),"ú","u"),"ü","u"),"ñ","n"),"à","a"),"è","e"),"ì","i"),"ò","o"),"ù","u"),"")</f>
        <v/>
      </c>
      <c r="X903" s="25">
        <f>IF(U903="","",IF(OR(U903="si, en la proxima tarea",U903="si, con cambios"),1,0))</f>
        <v/>
      </c>
      <c r="Y903" s="25">
        <f>IF(AND(Q903=1,A903&lt;&gt;""),IF(IFERROR(COUNTIFS(A$3:A903,"="&amp;SUBSTITUTE(SUBSTITUTE(SUBSTITUTE(A903,"~","~~"),"*","~*"),"?","~?"),Q$3:Q903,1),0)=1,MAX(Y$2:Y902)+1,""),"")</f>
        <v/>
      </c>
      <c r="Z903" s="25">
        <f>IF(Y903="","",COUNTIFS($A$3:$A$1002,"="&amp;SUBSTITUTE(SUBSTITUTE(SUBSTITUTE(A903,"~","~~"),"*","~*"),"?","~?"),$Q$3:$Q$1002,1)*10000-Y903)</f>
        <v/>
      </c>
    </row>
    <row r="904">
      <c r="A904">
        <f>IF(A$2=0,"",IFERROR(TRIM(INDEX('Pegar docentes'!$A$1:$BZ$1001,903,A$2)&amp;""),""))</f>
        <v/>
      </c>
      <c r="B904">
        <f>IF(B$2=0,"",IFERROR(TRIM(INDEX('Pegar docentes'!$A$1:$BZ$1001,903,B$2)&amp;""),""))</f>
        <v/>
      </c>
      <c r="C904">
        <f>IF(C$2=0,"",IFERROR(TRIM(INDEX('Pegar docentes'!$A$1:$BZ$1001,903,C$2)&amp;""),""))</f>
        <v/>
      </c>
      <c r="D904">
        <f>IF(D$2=0,"",IFERROR(TRIM(INDEX('Pegar docentes'!$A$1:$BZ$1001,903,D$2)&amp;""),""))</f>
        <v/>
      </c>
      <c r="E904">
        <f>IF(E$2=0,"",IFERROR(TRIM(INDEX('Pegar docentes'!$A$1:$BZ$1001,903,E$2)&amp;""),""))</f>
        <v/>
      </c>
      <c r="F904">
        <f>IF(F$2=0,"",IFERROR(TRIM(INDEX('Pegar docentes'!$A$1:$BZ$1001,903,F$2)&amp;""),""))</f>
        <v/>
      </c>
      <c r="G904">
        <f>IF(G$2=0,"",IFERROR(TRIM(INDEX('Pegar docentes'!$A$1:$BZ$1001,903,G$2)&amp;""),""))</f>
        <v/>
      </c>
      <c r="H904">
        <f>IF(H$2=0,"",IFERROR(TRIM(INDEX('Pegar docentes'!$A$1:$BZ$1001,903,H$2)&amp;""),""))</f>
        <v/>
      </c>
      <c r="I904">
        <f>IF(I$2=0,"",IFERROR(TRIM(INDEX('Pegar docentes'!$A$1:$BZ$1001,903,I$2)&amp;""),""))</f>
        <v/>
      </c>
      <c r="J904">
        <f>IF(J$2=0,"",IFERROR(TRIM(INDEX('Pegar docentes'!$A$1:$BZ$1001,903,J$2)&amp;""),""))</f>
        <v/>
      </c>
      <c r="K904">
        <f>IF(K$2=0,"",IFERROR(TRIM(INDEX('Pegar docentes'!$A$1:$BZ$1001,903,K$2)&amp;""),""))</f>
        <v/>
      </c>
      <c r="L904">
        <f>IF(L$2=0,"",IFERROR(TRIM(INDEX('Pegar docentes'!$A$1:$BZ$1001,903,L$2)&amp;""),""))</f>
        <v/>
      </c>
      <c r="M904">
        <f>IF(M$2=0,"",IFERROR(TRIM(INDEX('Pegar docentes'!$A$1:$BZ$1001,903,M$2)&amp;""),""))</f>
        <v/>
      </c>
      <c r="N904">
        <f>IF(N$2=0,"",IFERROR(TRIM(INDEX('Pegar docentes'!$A$1:$BZ$1001,903,N$2)&amp;""),""))</f>
        <v/>
      </c>
      <c r="O904">
        <f>IF(O$2=0,"",IFERROR(TRIM(INDEX('Pegar docentes'!$A$1:$BZ$1001,903,O$2)&amp;""),""))</f>
        <v/>
      </c>
      <c r="P904">
        <f>IF(P$2=0,"",IFERROR(TRIM(INDEX('Pegar docentes'!$A$1:$BZ$1001,903,P$2)&amp;""),""))</f>
        <v/>
      </c>
      <c r="Q904" s="25">
        <f>IF(OR(D904&lt;&gt;"",H904&lt;&gt;""),1,"")</f>
        <v/>
      </c>
      <c r="R904" s="25">
        <f>IF(Q904=1,IF(ISNUMBER(FIND("#"&amp;MID(D904,1,1)&amp;"#","#0#1#2#3#4#5#6#7#8#9#")),IF(ISNUMBER(FIND("#"&amp;MID(D904,2,1)&amp;"#","#0#1#2#3#4#5#6#7#8#9#")),IF(AND(VALUE(LEFT(D904,2))&gt;=1,VALUE(LEFT(D904,2))&lt;=5),VALUE(LEFT(D904,2)),""),IF(AND(VALUE(LEFT(D904,1))&gt;=1,VALUE(LEFT(D904,1))&lt;=5),VALUE(LEFT(D904,1)),"")),""),"")</f>
        <v/>
      </c>
      <c r="S904" s="25">
        <f>IF(AND(Q904=1,E904&lt;&gt;""),SUBSTITUTE(SUBSTITUTE(SUBSTITUTE(SUBSTITUTE(SUBSTITUTE(SUBSTITUTE(SUBSTITUTE(SUBSTITUTE(SUBSTITUTE(SUBSTITUTE(SUBSTITUTE(SUBSTITUTE(LOWER(TRIM(E904)),"á","a"),"é","e"),"í","i"),"ó","o"),"ú","u"),"ü","u"),"ñ","n"),"à","a"),"è","e"),"ì","i"),"ò","o"),"ù","u"),"")</f>
        <v/>
      </c>
      <c r="T904" s="25">
        <f>IF(AND(Q904=1,G904&lt;&gt;""),SUBSTITUTE(SUBSTITUTE(SUBSTITUTE(SUBSTITUTE(SUBSTITUTE(SUBSTITUTE(SUBSTITUTE(SUBSTITUTE(SUBSTITUTE(SUBSTITUTE(SUBSTITUTE(SUBSTITUTE(LOWER(TRIM(G904)),"á","a"),"é","e"),"í","i"),"ó","o"),"ú","u"),"ü","u"),"ñ","n"),"à","a"),"è","e"),"ì","i"),"ò","o"),"ù","u"),"")</f>
        <v/>
      </c>
      <c r="U904" s="25">
        <f>IF(AND(Q904=1,H904&lt;&gt;""),SUBSTITUTE(SUBSTITUTE(SUBSTITUTE(SUBSTITUTE(SUBSTITUTE(SUBSTITUTE(SUBSTITUTE(SUBSTITUTE(SUBSTITUTE(SUBSTITUTE(SUBSTITUTE(SUBSTITUTE(LOWER(TRIM(H904)),"á","a"),"é","e"),"í","i"),"ó","o"),"ú","u"),"ü","u"),"ñ","n"),"à","a"),"è","e"),"ì","i"),"ò","o"),"ù","u"),"")</f>
        <v/>
      </c>
      <c r="V904" s="25">
        <f>IF(AND(Q904=1,L904&lt;&gt;""),SUBSTITUTE(SUBSTITUTE(SUBSTITUTE(SUBSTITUTE(SUBSTITUTE(SUBSTITUTE(SUBSTITUTE(SUBSTITUTE(SUBSTITUTE(SUBSTITUTE(SUBSTITUTE(SUBSTITUTE(LOWER(TRIM(L904)),"á","a"),"é","e"),"í","i"),"ó","o"),"ú","u"),"ü","u"),"ñ","n"),"à","a"),"è","e"),"ì","i"),"ò","o"),"ù","u"),"")</f>
        <v/>
      </c>
      <c r="W904" s="25">
        <f>IF(AND(Q904=1,I904&lt;&gt;""),SUBSTITUTE(SUBSTITUTE(SUBSTITUTE(SUBSTITUTE(SUBSTITUTE(SUBSTITUTE(SUBSTITUTE(SUBSTITUTE(SUBSTITUTE(SUBSTITUTE(SUBSTITUTE(SUBSTITUTE(LOWER(TRIM(I904)),"á","a"),"é","e"),"í","i"),"ó","o"),"ú","u"),"ü","u"),"ñ","n"),"à","a"),"è","e"),"ì","i"),"ò","o"),"ù","u"),"")</f>
        <v/>
      </c>
      <c r="X904" s="25">
        <f>IF(U904="","",IF(OR(U904="si, en la proxima tarea",U904="si, con cambios"),1,0))</f>
        <v/>
      </c>
      <c r="Y904" s="25">
        <f>IF(AND(Q904=1,A904&lt;&gt;""),IF(IFERROR(COUNTIFS(A$3:A904,"="&amp;SUBSTITUTE(SUBSTITUTE(SUBSTITUTE(A904,"~","~~"),"*","~*"),"?","~?"),Q$3:Q904,1),0)=1,MAX(Y$2:Y903)+1,""),"")</f>
        <v/>
      </c>
      <c r="Z904" s="25">
        <f>IF(Y904="","",COUNTIFS($A$3:$A$1002,"="&amp;SUBSTITUTE(SUBSTITUTE(SUBSTITUTE(A904,"~","~~"),"*","~*"),"?","~?"),$Q$3:$Q$1002,1)*10000-Y904)</f>
        <v/>
      </c>
    </row>
    <row r="905">
      <c r="A905">
        <f>IF(A$2=0,"",IFERROR(TRIM(INDEX('Pegar docentes'!$A$1:$BZ$1001,904,A$2)&amp;""),""))</f>
        <v/>
      </c>
      <c r="B905">
        <f>IF(B$2=0,"",IFERROR(TRIM(INDEX('Pegar docentes'!$A$1:$BZ$1001,904,B$2)&amp;""),""))</f>
        <v/>
      </c>
      <c r="C905">
        <f>IF(C$2=0,"",IFERROR(TRIM(INDEX('Pegar docentes'!$A$1:$BZ$1001,904,C$2)&amp;""),""))</f>
        <v/>
      </c>
      <c r="D905">
        <f>IF(D$2=0,"",IFERROR(TRIM(INDEX('Pegar docentes'!$A$1:$BZ$1001,904,D$2)&amp;""),""))</f>
        <v/>
      </c>
      <c r="E905">
        <f>IF(E$2=0,"",IFERROR(TRIM(INDEX('Pegar docentes'!$A$1:$BZ$1001,904,E$2)&amp;""),""))</f>
        <v/>
      </c>
      <c r="F905">
        <f>IF(F$2=0,"",IFERROR(TRIM(INDEX('Pegar docentes'!$A$1:$BZ$1001,904,F$2)&amp;""),""))</f>
        <v/>
      </c>
      <c r="G905">
        <f>IF(G$2=0,"",IFERROR(TRIM(INDEX('Pegar docentes'!$A$1:$BZ$1001,904,G$2)&amp;""),""))</f>
        <v/>
      </c>
      <c r="H905">
        <f>IF(H$2=0,"",IFERROR(TRIM(INDEX('Pegar docentes'!$A$1:$BZ$1001,904,H$2)&amp;""),""))</f>
        <v/>
      </c>
      <c r="I905">
        <f>IF(I$2=0,"",IFERROR(TRIM(INDEX('Pegar docentes'!$A$1:$BZ$1001,904,I$2)&amp;""),""))</f>
        <v/>
      </c>
      <c r="J905">
        <f>IF(J$2=0,"",IFERROR(TRIM(INDEX('Pegar docentes'!$A$1:$BZ$1001,904,J$2)&amp;""),""))</f>
        <v/>
      </c>
      <c r="K905">
        <f>IF(K$2=0,"",IFERROR(TRIM(INDEX('Pegar docentes'!$A$1:$BZ$1001,904,K$2)&amp;""),""))</f>
        <v/>
      </c>
      <c r="L905">
        <f>IF(L$2=0,"",IFERROR(TRIM(INDEX('Pegar docentes'!$A$1:$BZ$1001,904,L$2)&amp;""),""))</f>
        <v/>
      </c>
      <c r="M905">
        <f>IF(M$2=0,"",IFERROR(TRIM(INDEX('Pegar docentes'!$A$1:$BZ$1001,904,M$2)&amp;""),""))</f>
        <v/>
      </c>
      <c r="N905">
        <f>IF(N$2=0,"",IFERROR(TRIM(INDEX('Pegar docentes'!$A$1:$BZ$1001,904,N$2)&amp;""),""))</f>
        <v/>
      </c>
      <c r="O905">
        <f>IF(O$2=0,"",IFERROR(TRIM(INDEX('Pegar docentes'!$A$1:$BZ$1001,904,O$2)&amp;""),""))</f>
        <v/>
      </c>
      <c r="P905">
        <f>IF(P$2=0,"",IFERROR(TRIM(INDEX('Pegar docentes'!$A$1:$BZ$1001,904,P$2)&amp;""),""))</f>
        <v/>
      </c>
      <c r="Q905" s="25">
        <f>IF(OR(D905&lt;&gt;"",H905&lt;&gt;""),1,"")</f>
        <v/>
      </c>
      <c r="R905" s="25">
        <f>IF(Q905=1,IF(ISNUMBER(FIND("#"&amp;MID(D905,1,1)&amp;"#","#0#1#2#3#4#5#6#7#8#9#")),IF(ISNUMBER(FIND("#"&amp;MID(D905,2,1)&amp;"#","#0#1#2#3#4#5#6#7#8#9#")),IF(AND(VALUE(LEFT(D905,2))&gt;=1,VALUE(LEFT(D905,2))&lt;=5),VALUE(LEFT(D905,2)),""),IF(AND(VALUE(LEFT(D905,1))&gt;=1,VALUE(LEFT(D905,1))&lt;=5),VALUE(LEFT(D905,1)),"")),""),"")</f>
        <v/>
      </c>
      <c r="S905" s="25">
        <f>IF(AND(Q905=1,E905&lt;&gt;""),SUBSTITUTE(SUBSTITUTE(SUBSTITUTE(SUBSTITUTE(SUBSTITUTE(SUBSTITUTE(SUBSTITUTE(SUBSTITUTE(SUBSTITUTE(SUBSTITUTE(SUBSTITUTE(SUBSTITUTE(LOWER(TRIM(E905)),"á","a"),"é","e"),"í","i"),"ó","o"),"ú","u"),"ü","u"),"ñ","n"),"à","a"),"è","e"),"ì","i"),"ò","o"),"ù","u"),"")</f>
        <v/>
      </c>
      <c r="T905" s="25">
        <f>IF(AND(Q905=1,G905&lt;&gt;""),SUBSTITUTE(SUBSTITUTE(SUBSTITUTE(SUBSTITUTE(SUBSTITUTE(SUBSTITUTE(SUBSTITUTE(SUBSTITUTE(SUBSTITUTE(SUBSTITUTE(SUBSTITUTE(SUBSTITUTE(LOWER(TRIM(G905)),"á","a"),"é","e"),"í","i"),"ó","o"),"ú","u"),"ü","u"),"ñ","n"),"à","a"),"è","e"),"ì","i"),"ò","o"),"ù","u"),"")</f>
        <v/>
      </c>
      <c r="U905" s="25">
        <f>IF(AND(Q905=1,H905&lt;&gt;""),SUBSTITUTE(SUBSTITUTE(SUBSTITUTE(SUBSTITUTE(SUBSTITUTE(SUBSTITUTE(SUBSTITUTE(SUBSTITUTE(SUBSTITUTE(SUBSTITUTE(SUBSTITUTE(SUBSTITUTE(LOWER(TRIM(H905)),"á","a"),"é","e"),"í","i"),"ó","o"),"ú","u"),"ü","u"),"ñ","n"),"à","a"),"è","e"),"ì","i"),"ò","o"),"ù","u"),"")</f>
        <v/>
      </c>
      <c r="V905" s="25">
        <f>IF(AND(Q905=1,L905&lt;&gt;""),SUBSTITUTE(SUBSTITUTE(SUBSTITUTE(SUBSTITUTE(SUBSTITUTE(SUBSTITUTE(SUBSTITUTE(SUBSTITUTE(SUBSTITUTE(SUBSTITUTE(SUBSTITUTE(SUBSTITUTE(LOWER(TRIM(L905)),"á","a"),"é","e"),"í","i"),"ó","o"),"ú","u"),"ü","u"),"ñ","n"),"à","a"),"è","e"),"ì","i"),"ò","o"),"ù","u"),"")</f>
        <v/>
      </c>
      <c r="W905" s="25">
        <f>IF(AND(Q905=1,I905&lt;&gt;""),SUBSTITUTE(SUBSTITUTE(SUBSTITUTE(SUBSTITUTE(SUBSTITUTE(SUBSTITUTE(SUBSTITUTE(SUBSTITUTE(SUBSTITUTE(SUBSTITUTE(SUBSTITUTE(SUBSTITUTE(LOWER(TRIM(I905)),"á","a"),"é","e"),"í","i"),"ó","o"),"ú","u"),"ü","u"),"ñ","n"),"à","a"),"è","e"),"ì","i"),"ò","o"),"ù","u"),"")</f>
        <v/>
      </c>
      <c r="X905" s="25">
        <f>IF(U905="","",IF(OR(U905="si, en la proxima tarea",U905="si, con cambios"),1,0))</f>
        <v/>
      </c>
      <c r="Y905" s="25">
        <f>IF(AND(Q905=1,A905&lt;&gt;""),IF(IFERROR(COUNTIFS(A$3:A905,"="&amp;SUBSTITUTE(SUBSTITUTE(SUBSTITUTE(A905,"~","~~"),"*","~*"),"?","~?"),Q$3:Q905,1),0)=1,MAX(Y$2:Y904)+1,""),"")</f>
        <v/>
      </c>
      <c r="Z905" s="25">
        <f>IF(Y905="","",COUNTIFS($A$3:$A$1002,"="&amp;SUBSTITUTE(SUBSTITUTE(SUBSTITUTE(A905,"~","~~"),"*","~*"),"?","~?"),$Q$3:$Q$1002,1)*10000-Y905)</f>
        <v/>
      </c>
    </row>
    <row r="906">
      <c r="A906">
        <f>IF(A$2=0,"",IFERROR(TRIM(INDEX('Pegar docentes'!$A$1:$BZ$1001,905,A$2)&amp;""),""))</f>
        <v/>
      </c>
      <c r="B906">
        <f>IF(B$2=0,"",IFERROR(TRIM(INDEX('Pegar docentes'!$A$1:$BZ$1001,905,B$2)&amp;""),""))</f>
        <v/>
      </c>
      <c r="C906">
        <f>IF(C$2=0,"",IFERROR(TRIM(INDEX('Pegar docentes'!$A$1:$BZ$1001,905,C$2)&amp;""),""))</f>
        <v/>
      </c>
      <c r="D906">
        <f>IF(D$2=0,"",IFERROR(TRIM(INDEX('Pegar docentes'!$A$1:$BZ$1001,905,D$2)&amp;""),""))</f>
        <v/>
      </c>
      <c r="E906">
        <f>IF(E$2=0,"",IFERROR(TRIM(INDEX('Pegar docentes'!$A$1:$BZ$1001,905,E$2)&amp;""),""))</f>
        <v/>
      </c>
      <c r="F906">
        <f>IF(F$2=0,"",IFERROR(TRIM(INDEX('Pegar docentes'!$A$1:$BZ$1001,905,F$2)&amp;""),""))</f>
        <v/>
      </c>
      <c r="G906">
        <f>IF(G$2=0,"",IFERROR(TRIM(INDEX('Pegar docentes'!$A$1:$BZ$1001,905,G$2)&amp;""),""))</f>
        <v/>
      </c>
      <c r="H906">
        <f>IF(H$2=0,"",IFERROR(TRIM(INDEX('Pegar docentes'!$A$1:$BZ$1001,905,H$2)&amp;""),""))</f>
        <v/>
      </c>
      <c r="I906">
        <f>IF(I$2=0,"",IFERROR(TRIM(INDEX('Pegar docentes'!$A$1:$BZ$1001,905,I$2)&amp;""),""))</f>
        <v/>
      </c>
      <c r="J906">
        <f>IF(J$2=0,"",IFERROR(TRIM(INDEX('Pegar docentes'!$A$1:$BZ$1001,905,J$2)&amp;""),""))</f>
        <v/>
      </c>
      <c r="K906">
        <f>IF(K$2=0,"",IFERROR(TRIM(INDEX('Pegar docentes'!$A$1:$BZ$1001,905,K$2)&amp;""),""))</f>
        <v/>
      </c>
      <c r="L906">
        <f>IF(L$2=0,"",IFERROR(TRIM(INDEX('Pegar docentes'!$A$1:$BZ$1001,905,L$2)&amp;""),""))</f>
        <v/>
      </c>
      <c r="M906">
        <f>IF(M$2=0,"",IFERROR(TRIM(INDEX('Pegar docentes'!$A$1:$BZ$1001,905,M$2)&amp;""),""))</f>
        <v/>
      </c>
      <c r="N906">
        <f>IF(N$2=0,"",IFERROR(TRIM(INDEX('Pegar docentes'!$A$1:$BZ$1001,905,N$2)&amp;""),""))</f>
        <v/>
      </c>
      <c r="O906">
        <f>IF(O$2=0,"",IFERROR(TRIM(INDEX('Pegar docentes'!$A$1:$BZ$1001,905,O$2)&amp;""),""))</f>
        <v/>
      </c>
      <c r="P906">
        <f>IF(P$2=0,"",IFERROR(TRIM(INDEX('Pegar docentes'!$A$1:$BZ$1001,905,P$2)&amp;""),""))</f>
        <v/>
      </c>
      <c r="Q906" s="25">
        <f>IF(OR(D906&lt;&gt;"",H906&lt;&gt;""),1,"")</f>
        <v/>
      </c>
      <c r="R906" s="25">
        <f>IF(Q906=1,IF(ISNUMBER(FIND("#"&amp;MID(D906,1,1)&amp;"#","#0#1#2#3#4#5#6#7#8#9#")),IF(ISNUMBER(FIND("#"&amp;MID(D906,2,1)&amp;"#","#0#1#2#3#4#5#6#7#8#9#")),IF(AND(VALUE(LEFT(D906,2))&gt;=1,VALUE(LEFT(D906,2))&lt;=5),VALUE(LEFT(D906,2)),""),IF(AND(VALUE(LEFT(D906,1))&gt;=1,VALUE(LEFT(D906,1))&lt;=5),VALUE(LEFT(D906,1)),"")),""),"")</f>
        <v/>
      </c>
      <c r="S906" s="25">
        <f>IF(AND(Q906=1,E906&lt;&gt;""),SUBSTITUTE(SUBSTITUTE(SUBSTITUTE(SUBSTITUTE(SUBSTITUTE(SUBSTITUTE(SUBSTITUTE(SUBSTITUTE(SUBSTITUTE(SUBSTITUTE(SUBSTITUTE(SUBSTITUTE(LOWER(TRIM(E906)),"á","a"),"é","e"),"í","i"),"ó","o"),"ú","u"),"ü","u"),"ñ","n"),"à","a"),"è","e"),"ì","i"),"ò","o"),"ù","u"),"")</f>
        <v/>
      </c>
      <c r="T906" s="25">
        <f>IF(AND(Q906=1,G906&lt;&gt;""),SUBSTITUTE(SUBSTITUTE(SUBSTITUTE(SUBSTITUTE(SUBSTITUTE(SUBSTITUTE(SUBSTITUTE(SUBSTITUTE(SUBSTITUTE(SUBSTITUTE(SUBSTITUTE(SUBSTITUTE(LOWER(TRIM(G906)),"á","a"),"é","e"),"í","i"),"ó","o"),"ú","u"),"ü","u"),"ñ","n"),"à","a"),"è","e"),"ì","i"),"ò","o"),"ù","u"),"")</f>
        <v/>
      </c>
      <c r="U906" s="25">
        <f>IF(AND(Q906=1,H906&lt;&gt;""),SUBSTITUTE(SUBSTITUTE(SUBSTITUTE(SUBSTITUTE(SUBSTITUTE(SUBSTITUTE(SUBSTITUTE(SUBSTITUTE(SUBSTITUTE(SUBSTITUTE(SUBSTITUTE(SUBSTITUTE(LOWER(TRIM(H906)),"á","a"),"é","e"),"í","i"),"ó","o"),"ú","u"),"ü","u"),"ñ","n"),"à","a"),"è","e"),"ì","i"),"ò","o"),"ù","u"),"")</f>
        <v/>
      </c>
      <c r="V906" s="25">
        <f>IF(AND(Q906=1,L906&lt;&gt;""),SUBSTITUTE(SUBSTITUTE(SUBSTITUTE(SUBSTITUTE(SUBSTITUTE(SUBSTITUTE(SUBSTITUTE(SUBSTITUTE(SUBSTITUTE(SUBSTITUTE(SUBSTITUTE(SUBSTITUTE(LOWER(TRIM(L906)),"á","a"),"é","e"),"í","i"),"ó","o"),"ú","u"),"ü","u"),"ñ","n"),"à","a"),"è","e"),"ì","i"),"ò","o"),"ù","u"),"")</f>
        <v/>
      </c>
      <c r="W906" s="25">
        <f>IF(AND(Q906=1,I906&lt;&gt;""),SUBSTITUTE(SUBSTITUTE(SUBSTITUTE(SUBSTITUTE(SUBSTITUTE(SUBSTITUTE(SUBSTITUTE(SUBSTITUTE(SUBSTITUTE(SUBSTITUTE(SUBSTITUTE(SUBSTITUTE(LOWER(TRIM(I906)),"á","a"),"é","e"),"í","i"),"ó","o"),"ú","u"),"ü","u"),"ñ","n"),"à","a"),"è","e"),"ì","i"),"ò","o"),"ù","u"),"")</f>
        <v/>
      </c>
      <c r="X906" s="25">
        <f>IF(U906="","",IF(OR(U906="si, en la proxima tarea",U906="si, con cambios"),1,0))</f>
        <v/>
      </c>
      <c r="Y906" s="25">
        <f>IF(AND(Q906=1,A906&lt;&gt;""),IF(IFERROR(COUNTIFS(A$3:A906,"="&amp;SUBSTITUTE(SUBSTITUTE(SUBSTITUTE(A906,"~","~~"),"*","~*"),"?","~?"),Q$3:Q906,1),0)=1,MAX(Y$2:Y905)+1,""),"")</f>
        <v/>
      </c>
      <c r="Z906" s="25">
        <f>IF(Y906="","",COUNTIFS($A$3:$A$1002,"="&amp;SUBSTITUTE(SUBSTITUTE(SUBSTITUTE(A906,"~","~~"),"*","~*"),"?","~?"),$Q$3:$Q$1002,1)*10000-Y906)</f>
        <v/>
      </c>
    </row>
    <row r="907">
      <c r="A907">
        <f>IF(A$2=0,"",IFERROR(TRIM(INDEX('Pegar docentes'!$A$1:$BZ$1001,906,A$2)&amp;""),""))</f>
        <v/>
      </c>
      <c r="B907">
        <f>IF(B$2=0,"",IFERROR(TRIM(INDEX('Pegar docentes'!$A$1:$BZ$1001,906,B$2)&amp;""),""))</f>
        <v/>
      </c>
      <c r="C907">
        <f>IF(C$2=0,"",IFERROR(TRIM(INDEX('Pegar docentes'!$A$1:$BZ$1001,906,C$2)&amp;""),""))</f>
        <v/>
      </c>
      <c r="D907">
        <f>IF(D$2=0,"",IFERROR(TRIM(INDEX('Pegar docentes'!$A$1:$BZ$1001,906,D$2)&amp;""),""))</f>
        <v/>
      </c>
      <c r="E907">
        <f>IF(E$2=0,"",IFERROR(TRIM(INDEX('Pegar docentes'!$A$1:$BZ$1001,906,E$2)&amp;""),""))</f>
        <v/>
      </c>
      <c r="F907">
        <f>IF(F$2=0,"",IFERROR(TRIM(INDEX('Pegar docentes'!$A$1:$BZ$1001,906,F$2)&amp;""),""))</f>
        <v/>
      </c>
      <c r="G907">
        <f>IF(G$2=0,"",IFERROR(TRIM(INDEX('Pegar docentes'!$A$1:$BZ$1001,906,G$2)&amp;""),""))</f>
        <v/>
      </c>
      <c r="H907">
        <f>IF(H$2=0,"",IFERROR(TRIM(INDEX('Pegar docentes'!$A$1:$BZ$1001,906,H$2)&amp;""),""))</f>
        <v/>
      </c>
      <c r="I907">
        <f>IF(I$2=0,"",IFERROR(TRIM(INDEX('Pegar docentes'!$A$1:$BZ$1001,906,I$2)&amp;""),""))</f>
        <v/>
      </c>
      <c r="J907">
        <f>IF(J$2=0,"",IFERROR(TRIM(INDEX('Pegar docentes'!$A$1:$BZ$1001,906,J$2)&amp;""),""))</f>
        <v/>
      </c>
      <c r="K907">
        <f>IF(K$2=0,"",IFERROR(TRIM(INDEX('Pegar docentes'!$A$1:$BZ$1001,906,K$2)&amp;""),""))</f>
        <v/>
      </c>
      <c r="L907">
        <f>IF(L$2=0,"",IFERROR(TRIM(INDEX('Pegar docentes'!$A$1:$BZ$1001,906,L$2)&amp;""),""))</f>
        <v/>
      </c>
      <c r="M907">
        <f>IF(M$2=0,"",IFERROR(TRIM(INDEX('Pegar docentes'!$A$1:$BZ$1001,906,M$2)&amp;""),""))</f>
        <v/>
      </c>
      <c r="N907">
        <f>IF(N$2=0,"",IFERROR(TRIM(INDEX('Pegar docentes'!$A$1:$BZ$1001,906,N$2)&amp;""),""))</f>
        <v/>
      </c>
      <c r="O907">
        <f>IF(O$2=0,"",IFERROR(TRIM(INDEX('Pegar docentes'!$A$1:$BZ$1001,906,O$2)&amp;""),""))</f>
        <v/>
      </c>
      <c r="P907">
        <f>IF(P$2=0,"",IFERROR(TRIM(INDEX('Pegar docentes'!$A$1:$BZ$1001,906,P$2)&amp;""),""))</f>
        <v/>
      </c>
      <c r="Q907" s="25">
        <f>IF(OR(D907&lt;&gt;"",H907&lt;&gt;""),1,"")</f>
        <v/>
      </c>
      <c r="R907" s="25">
        <f>IF(Q907=1,IF(ISNUMBER(FIND("#"&amp;MID(D907,1,1)&amp;"#","#0#1#2#3#4#5#6#7#8#9#")),IF(ISNUMBER(FIND("#"&amp;MID(D907,2,1)&amp;"#","#0#1#2#3#4#5#6#7#8#9#")),IF(AND(VALUE(LEFT(D907,2))&gt;=1,VALUE(LEFT(D907,2))&lt;=5),VALUE(LEFT(D907,2)),""),IF(AND(VALUE(LEFT(D907,1))&gt;=1,VALUE(LEFT(D907,1))&lt;=5),VALUE(LEFT(D907,1)),"")),""),"")</f>
        <v/>
      </c>
      <c r="S907" s="25">
        <f>IF(AND(Q907=1,E907&lt;&gt;""),SUBSTITUTE(SUBSTITUTE(SUBSTITUTE(SUBSTITUTE(SUBSTITUTE(SUBSTITUTE(SUBSTITUTE(SUBSTITUTE(SUBSTITUTE(SUBSTITUTE(SUBSTITUTE(SUBSTITUTE(LOWER(TRIM(E907)),"á","a"),"é","e"),"í","i"),"ó","o"),"ú","u"),"ü","u"),"ñ","n"),"à","a"),"è","e"),"ì","i"),"ò","o"),"ù","u"),"")</f>
        <v/>
      </c>
      <c r="T907" s="25">
        <f>IF(AND(Q907=1,G907&lt;&gt;""),SUBSTITUTE(SUBSTITUTE(SUBSTITUTE(SUBSTITUTE(SUBSTITUTE(SUBSTITUTE(SUBSTITUTE(SUBSTITUTE(SUBSTITUTE(SUBSTITUTE(SUBSTITUTE(SUBSTITUTE(LOWER(TRIM(G907)),"á","a"),"é","e"),"í","i"),"ó","o"),"ú","u"),"ü","u"),"ñ","n"),"à","a"),"è","e"),"ì","i"),"ò","o"),"ù","u"),"")</f>
        <v/>
      </c>
      <c r="U907" s="25">
        <f>IF(AND(Q907=1,H907&lt;&gt;""),SUBSTITUTE(SUBSTITUTE(SUBSTITUTE(SUBSTITUTE(SUBSTITUTE(SUBSTITUTE(SUBSTITUTE(SUBSTITUTE(SUBSTITUTE(SUBSTITUTE(SUBSTITUTE(SUBSTITUTE(LOWER(TRIM(H907)),"á","a"),"é","e"),"í","i"),"ó","o"),"ú","u"),"ü","u"),"ñ","n"),"à","a"),"è","e"),"ì","i"),"ò","o"),"ù","u"),"")</f>
        <v/>
      </c>
      <c r="V907" s="25">
        <f>IF(AND(Q907=1,L907&lt;&gt;""),SUBSTITUTE(SUBSTITUTE(SUBSTITUTE(SUBSTITUTE(SUBSTITUTE(SUBSTITUTE(SUBSTITUTE(SUBSTITUTE(SUBSTITUTE(SUBSTITUTE(SUBSTITUTE(SUBSTITUTE(LOWER(TRIM(L907)),"á","a"),"é","e"),"í","i"),"ó","o"),"ú","u"),"ü","u"),"ñ","n"),"à","a"),"è","e"),"ì","i"),"ò","o"),"ù","u"),"")</f>
        <v/>
      </c>
      <c r="W907" s="25">
        <f>IF(AND(Q907=1,I907&lt;&gt;""),SUBSTITUTE(SUBSTITUTE(SUBSTITUTE(SUBSTITUTE(SUBSTITUTE(SUBSTITUTE(SUBSTITUTE(SUBSTITUTE(SUBSTITUTE(SUBSTITUTE(SUBSTITUTE(SUBSTITUTE(LOWER(TRIM(I907)),"á","a"),"é","e"),"í","i"),"ó","o"),"ú","u"),"ü","u"),"ñ","n"),"à","a"),"è","e"),"ì","i"),"ò","o"),"ù","u"),"")</f>
        <v/>
      </c>
      <c r="X907" s="25">
        <f>IF(U907="","",IF(OR(U907="si, en la proxima tarea",U907="si, con cambios"),1,0))</f>
        <v/>
      </c>
      <c r="Y907" s="25">
        <f>IF(AND(Q907=1,A907&lt;&gt;""),IF(IFERROR(COUNTIFS(A$3:A907,"="&amp;SUBSTITUTE(SUBSTITUTE(SUBSTITUTE(A907,"~","~~"),"*","~*"),"?","~?"),Q$3:Q907,1),0)=1,MAX(Y$2:Y906)+1,""),"")</f>
        <v/>
      </c>
      <c r="Z907" s="25">
        <f>IF(Y907="","",COUNTIFS($A$3:$A$1002,"="&amp;SUBSTITUTE(SUBSTITUTE(SUBSTITUTE(A907,"~","~~"),"*","~*"),"?","~?"),$Q$3:$Q$1002,1)*10000-Y907)</f>
        <v/>
      </c>
    </row>
    <row r="908">
      <c r="A908">
        <f>IF(A$2=0,"",IFERROR(TRIM(INDEX('Pegar docentes'!$A$1:$BZ$1001,907,A$2)&amp;""),""))</f>
        <v/>
      </c>
      <c r="B908">
        <f>IF(B$2=0,"",IFERROR(TRIM(INDEX('Pegar docentes'!$A$1:$BZ$1001,907,B$2)&amp;""),""))</f>
        <v/>
      </c>
      <c r="C908">
        <f>IF(C$2=0,"",IFERROR(TRIM(INDEX('Pegar docentes'!$A$1:$BZ$1001,907,C$2)&amp;""),""))</f>
        <v/>
      </c>
      <c r="D908">
        <f>IF(D$2=0,"",IFERROR(TRIM(INDEX('Pegar docentes'!$A$1:$BZ$1001,907,D$2)&amp;""),""))</f>
        <v/>
      </c>
      <c r="E908">
        <f>IF(E$2=0,"",IFERROR(TRIM(INDEX('Pegar docentes'!$A$1:$BZ$1001,907,E$2)&amp;""),""))</f>
        <v/>
      </c>
      <c r="F908">
        <f>IF(F$2=0,"",IFERROR(TRIM(INDEX('Pegar docentes'!$A$1:$BZ$1001,907,F$2)&amp;""),""))</f>
        <v/>
      </c>
      <c r="G908">
        <f>IF(G$2=0,"",IFERROR(TRIM(INDEX('Pegar docentes'!$A$1:$BZ$1001,907,G$2)&amp;""),""))</f>
        <v/>
      </c>
      <c r="H908">
        <f>IF(H$2=0,"",IFERROR(TRIM(INDEX('Pegar docentes'!$A$1:$BZ$1001,907,H$2)&amp;""),""))</f>
        <v/>
      </c>
      <c r="I908">
        <f>IF(I$2=0,"",IFERROR(TRIM(INDEX('Pegar docentes'!$A$1:$BZ$1001,907,I$2)&amp;""),""))</f>
        <v/>
      </c>
      <c r="J908">
        <f>IF(J$2=0,"",IFERROR(TRIM(INDEX('Pegar docentes'!$A$1:$BZ$1001,907,J$2)&amp;""),""))</f>
        <v/>
      </c>
      <c r="K908">
        <f>IF(K$2=0,"",IFERROR(TRIM(INDEX('Pegar docentes'!$A$1:$BZ$1001,907,K$2)&amp;""),""))</f>
        <v/>
      </c>
      <c r="L908">
        <f>IF(L$2=0,"",IFERROR(TRIM(INDEX('Pegar docentes'!$A$1:$BZ$1001,907,L$2)&amp;""),""))</f>
        <v/>
      </c>
      <c r="M908">
        <f>IF(M$2=0,"",IFERROR(TRIM(INDEX('Pegar docentes'!$A$1:$BZ$1001,907,M$2)&amp;""),""))</f>
        <v/>
      </c>
      <c r="N908">
        <f>IF(N$2=0,"",IFERROR(TRIM(INDEX('Pegar docentes'!$A$1:$BZ$1001,907,N$2)&amp;""),""))</f>
        <v/>
      </c>
      <c r="O908">
        <f>IF(O$2=0,"",IFERROR(TRIM(INDEX('Pegar docentes'!$A$1:$BZ$1001,907,O$2)&amp;""),""))</f>
        <v/>
      </c>
      <c r="P908">
        <f>IF(P$2=0,"",IFERROR(TRIM(INDEX('Pegar docentes'!$A$1:$BZ$1001,907,P$2)&amp;""),""))</f>
        <v/>
      </c>
      <c r="Q908" s="25">
        <f>IF(OR(D908&lt;&gt;"",H908&lt;&gt;""),1,"")</f>
        <v/>
      </c>
      <c r="R908" s="25">
        <f>IF(Q908=1,IF(ISNUMBER(FIND("#"&amp;MID(D908,1,1)&amp;"#","#0#1#2#3#4#5#6#7#8#9#")),IF(ISNUMBER(FIND("#"&amp;MID(D908,2,1)&amp;"#","#0#1#2#3#4#5#6#7#8#9#")),IF(AND(VALUE(LEFT(D908,2))&gt;=1,VALUE(LEFT(D908,2))&lt;=5),VALUE(LEFT(D908,2)),""),IF(AND(VALUE(LEFT(D908,1))&gt;=1,VALUE(LEFT(D908,1))&lt;=5),VALUE(LEFT(D908,1)),"")),""),"")</f>
        <v/>
      </c>
      <c r="S908" s="25">
        <f>IF(AND(Q908=1,E908&lt;&gt;""),SUBSTITUTE(SUBSTITUTE(SUBSTITUTE(SUBSTITUTE(SUBSTITUTE(SUBSTITUTE(SUBSTITUTE(SUBSTITUTE(SUBSTITUTE(SUBSTITUTE(SUBSTITUTE(SUBSTITUTE(LOWER(TRIM(E908)),"á","a"),"é","e"),"í","i"),"ó","o"),"ú","u"),"ü","u"),"ñ","n"),"à","a"),"è","e"),"ì","i"),"ò","o"),"ù","u"),"")</f>
        <v/>
      </c>
      <c r="T908" s="25">
        <f>IF(AND(Q908=1,G908&lt;&gt;""),SUBSTITUTE(SUBSTITUTE(SUBSTITUTE(SUBSTITUTE(SUBSTITUTE(SUBSTITUTE(SUBSTITUTE(SUBSTITUTE(SUBSTITUTE(SUBSTITUTE(SUBSTITUTE(SUBSTITUTE(LOWER(TRIM(G908)),"á","a"),"é","e"),"í","i"),"ó","o"),"ú","u"),"ü","u"),"ñ","n"),"à","a"),"è","e"),"ì","i"),"ò","o"),"ù","u"),"")</f>
        <v/>
      </c>
      <c r="U908" s="25">
        <f>IF(AND(Q908=1,H908&lt;&gt;""),SUBSTITUTE(SUBSTITUTE(SUBSTITUTE(SUBSTITUTE(SUBSTITUTE(SUBSTITUTE(SUBSTITUTE(SUBSTITUTE(SUBSTITUTE(SUBSTITUTE(SUBSTITUTE(SUBSTITUTE(LOWER(TRIM(H908)),"á","a"),"é","e"),"í","i"),"ó","o"),"ú","u"),"ü","u"),"ñ","n"),"à","a"),"è","e"),"ì","i"),"ò","o"),"ù","u"),"")</f>
        <v/>
      </c>
      <c r="V908" s="25">
        <f>IF(AND(Q908=1,L908&lt;&gt;""),SUBSTITUTE(SUBSTITUTE(SUBSTITUTE(SUBSTITUTE(SUBSTITUTE(SUBSTITUTE(SUBSTITUTE(SUBSTITUTE(SUBSTITUTE(SUBSTITUTE(SUBSTITUTE(SUBSTITUTE(LOWER(TRIM(L908)),"á","a"),"é","e"),"í","i"),"ó","o"),"ú","u"),"ü","u"),"ñ","n"),"à","a"),"è","e"),"ì","i"),"ò","o"),"ù","u"),"")</f>
        <v/>
      </c>
      <c r="W908" s="25">
        <f>IF(AND(Q908=1,I908&lt;&gt;""),SUBSTITUTE(SUBSTITUTE(SUBSTITUTE(SUBSTITUTE(SUBSTITUTE(SUBSTITUTE(SUBSTITUTE(SUBSTITUTE(SUBSTITUTE(SUBSTITUTE(SUBSTITUTE(SUBSTITUTE(LOWER(TRIM(I908)),"á","a"),"é","e"),"í","i"),"ó","o"),"ú","u"),"ü","u"),"ñ","n"),"à","a"),"è","e"),"ì","i"),"ò","o"),"ù","u"),"")</f>
        <v/>
      </c>
      <c r="X908" s="25">
        <f>IF(U908="","",IF(OR(U908="si, en la proxima tarea",U908="si, con cambios"),1,0))</f>
        <v/>
      </c>
      <c r="Y908" s="25">
        <f>IF(AND(Q908=1,A908&lt;&gt;""),IF(IFERROR(COUNTIFS(A$3:A908,"="&amp;SUBSTITUTE(SUBSTITUTE(SUBSTITUTE(A908,"~","~~"),"*","~*"),"?","~?"),Q$3:Q908,1),0)=1,MAX(Y$2:Y907)+1,""),"")</f>
        <v/>
      </c>
      <c r="Z908" s="25">
        <f>IF(Y908="","",COUNTIFS($A$3:$A$1002,"="&amp;SUBSTITUTE(SUBSTITUTE(SUBSTITUTE(A908,"~","~~"),"*","~*"),"?","~?"),$Q$3:$Q$1002,1)*10000-Y908)</f>
        <v/>
      </c>
    </row>
    <row r="909">
      <c r="A909">
        <f>IF(A$2=0,"",IFERROR(TRIM(INDEX('Pegar docentes'!$A$1:$BZ$1001,908,A$2)&amp;""),""))</f>
        <v/>
      </c>
      <c r="B909">
        <f>IF(B$2=0,"",IFERROR(TRIM(INDEX('Pegar docentes'!$A$1:$BZ$1001,908,B$2)&amp;""),""))</f>
        <v/>
      </c>
      <c r="C909">
        <f>IF(C$2=0,"",IFERROR(TRIM(INDEX('Pegar docentes'!$A$1:$BZ$1001,908,C$2)&amp;""),""))</f>
        <v/>
      </c>
      <c r="D909">
        <f>IF(D$2=0,"",IFERROR(TRIM(INDEX('Pegar docentes'!$A$1:$BZ$1001,908,D$2)&amp;""),""))</f>
        <v/>
      </c>
      <c r="E909">
        <f>IF(E$2=0,"",IFERROR(TRIM(INDEX('Pegar docentes'!$A$1:$BZ$1001,908,E$2)&amp;""),""))</f>
        <v/>
      </c>
      <c r="F909">
        <f>IF(F$2=0,"",IFERROR(TRIM(INDEX('Pegar docentes'!$A$1:$BZ$1001,908,F$2)&amp;""),""))</f>
        <v/>
      </c>
      <c r="G909">
        <f>IF(G$2=0,"",IFERROR(TRIM(INDEX('Pegar docentes'!$A$1:$BZ$1001,908,G$2)&amp;""),""))</f>
        <v/>
      </c>
      <c r="H909">
        <f>IF(H$2=0,"",IFERROR(TRIM(INDEX('Pegar docentes'!$A$1:$BZ$1001,908,H$2)&amp;""),""))</f>
        <v/>
      </c>
      <c r="I909">
        <f>IF(I$2=0,"",IFERROR(TRIM(INDEX('Pegar docentes'!$A$1:$BZ$1001,908,I$2)&amp;""),""))</f>
        <v/>
      </c>
      <c r="J909">
        <f>IF(J$2=0,"",IFERROR(TRIM(INDEX('Pegar docentes'!$A$1:$BZ$1001,908,J$2)&amp;""),""))</f>
        <v/>
      </c>
      <c r="K909">
        <f>IF(K$2=0,"",IFERROR(TRIM(INDEX('Pegar docentes'!$A$1:$BZ$1001,908,K$2)&amp;""),""))</f>
        <v/>
      </c>
      <c r="L909">
        <f>IF(L$2=0,"",IFERROR(TRIM(INDEX('Pegar docentes'!$A$1:$BZ$1001,908,L$2)&amp;""),""))</f>
        <v/>
      </c>
      <c r="M909">
        <f>IF(M$2=0,"",IFERROR(TRIM(INDEX('Pegar docentes'!$A$1:$BZ$1001,908,M$2)&amp;""),""))</f>
        <v/>
      </c>
      <c r="N909">
        <f>IF(N$2=0,"",IFERROR(TRIM(INDEX('Pegar docentes'!$A$1:$BZ$1001,908,N$2)&amp;""),""))</f>
        <v/>
      </c>
      <c r="O909">
        <f>IF(O$2=0,"",IFERROR(TRIM(INDEX('Pegar docentes'!$A$1:$BZ$1001,908,O$2)&amp;""),""))</f>
        <v/>
      </c>
      <c r="P909">
        <f>IF(P$2=0,"",IFERROR(TRIM(INDEX('Pegar docentes'!$A$1:$BZ$1001,908,P$2)&amp;""),""))</f>
        <v/>
      </c>
      <c r="Q909" s="25">
        <f>IF(OR(D909&lt;&gt;"",H909&lt;&gt;""),1,"")</f>
        <v/>
      </c>
      <c r="R909" s="25">
        <f>IF(Q909=1,IF(ISNUMBER(FIND("#"&amp;MID(D909,1,1)&amp;"#","#0#1#2#3#4#5#6#7#8#9#")),IF(ISNUMBER(FIND("#"&amp;MID(D909,2,1)&amp;"#","#0#1#2#3#4#5#6#7#8#9#")),IF(AND(VALUE(LEFT(D909,2))&gt;=1,VALUE(LEFT(D909,2))&lt;=5),VALUE(LEFT(D909,2)),""),IF(AND(VALUE(LEFT(D909,1))&gt;=1,VALUE(LEFT(D909,1))&lt;=5),VALUE(LEFT(D909,1)),"")),""),"")</f>
        <v/>
      </c>
      <c r="S909" s="25">
        <f>IF(AND(Q909=1,E909&lt;&gt;""),SUBSTITUTE(SUBSTITUTE(SUBSTITUTE(SUBSTITUTE(SUBSTITUTE(SUBSTITUTE(SUBSTITUTE(SUBSTITUTE(SUBSTITUTE(SUBSTITUTE(SUBSTITUTE(SUBSTITUTE(LOWER(TRIM(E909)),"á","a"),"é","e"),"í","i"),"ó","o"),"ú","u"),"ü","u"),"ñ","n"),"à","a"),"è","e"),"ì","i"),"ò","o"),"ù","u"),"")</f>
        <v/>
      </c>
      <c r="T909" s="25">
        <f>IF(AND(Q909=1,G909&lt;&gt;""),SUBSTITUTE(SUBSTITUTE(SUBSTITUTE(SUBSTITUTE(SUBSTITUTE(SUBSTITUTE(SUBSTITUTE(SUBSTITUTE(SUBSTITUTE(SUBSTITUTE(SUBSTITUTE(SUBSTITUTE(LOWER(TRIM(G909)),"á","a"),"é","e"),"í","i"),"ó","o"),"ú","u"),"ü","u"),"ñ","n"),"à","a"),"è","e"),"ì","i"),"ò","o"),"ù","u"),"")</f>
        <v/>
      </c>
      <c r="U909" s="25">
        <f>IF(AND(Q909=1,H909&lt;&gt;""),SUBSTITUTE(SUBSTITUTE(SUBSTITUTE(SUBSTITUTE(SUBSTITUTE(SUBSTITUTE(SUBSTITUTE(SUBSTITUTE(SUBSTITUTE(SUBSTITUTE(SUBSTITUTE(SUBSTITUTE(LOWER(TRIM(H909)),"á","a"),"é","e"),"í","i"),"ó","o"),"ú","u"),"ü","u"),"ñ","n"),"à","a"),"è","e"),"ì","i"),"ò","o"),"ù","u"),"")</f>
        <v/>
      </c>
      <c r="V909" s="25">
        <f>IF(AND(Q909=1,L909&lt;&gt;""),SUBSTITUTE(SUBSTITUTE(SUBSTITUTE(SUBSTITUTE(SUBSTITUTE(SUBSTITUTE(SUBSTITUTE(SUBSTITUTE(SUBSTITUTE(SUBSTITUTE(SUBSTITUTE(SUBSTITUTE(LOWER(TRIM(L909)),"á","a"),"é","e"),"í","i"),"ó","o"),"ú","u"),"ü","u"),"ñ","n"),"à","a"),"è","e"),"ì","i"),"ò","o"),"ù","u"),"")</f>
        <v/>
      </c>
      <c r="W909" s="25">
        <f>IF(AND(Q909=1,I909&lt;&gt;""),SUBSTITUTE(SUBSTITUTE(SUBSTITUTE(SUBSTITUTE(SUBSTITUTE(SUBSTITUTE(SUBSTITUTE(SUBSTITUTE(SUBSTITUTE(SUBSTITUTE(SUBSTITUTE(SUBSTITUTE(LOWER(TRIM(I909)),"á","a"),"é","e"),"í","i"),"ó","o"),"ú","u"),"ü","u"),"ñ","n"),"à","a"),"è","e"),"ì","i"),"ò","o"),"ù","u"),"")</f>
        <v/>
      </c>
      <c r="X909" s="25">
        <f>IF(U909="","",IF(OR(U909="si, en la proxima tarea",U909="si, con cambios"),1,0))</f>
        <v/>
      </c>
      <c r="Y909" s="25">
        <f>IF(AND(Q909=1,A909&lt;&gt;""),IF(IFERROR(COUNTIFS(A$3:A909,"="&amp;SUBSTITUTE(SUBSTITUTE(SUBSTITUTE(A909,"~","~~"),"*","~*"),"?","~?"),Q$3:Q909,1),0)=1,MAX(Y$2:Y908)+1,""),"")</f>
        <v/>
      </c>
      <c r="Z909" s="25">
        <f>IF(Y909="","",COUNTIFS($A$3:$A$1002,"="&amp;SUBSTITUTE(SUBSTITUTE(SUBSTITUTE(A909,"~","~~"),"*","~*"),"?","~?"),$Q$3:$Q$1002,1)*10000-Y909)</f>
        <v/>
      </c>
    </row>
    <row r="910">
      <c r="A910">
        <f>IF(A$2=0,"",IFERROR(TRIM(INDEX('Pegar docentes'!$A$1:$BZ$1001,909,A$2)&amp;""),""))</f>
        <v/>
      </c>
      <c r="B910">
        <f>IF(B$2=0,"",IFERROR(TRIM(INDEX('Pegar docentes'!$A$1:$BZ$1001,909,B$2)&amp;""),""))</f>
        <v/>
      </c>
      <c r="C910">
        <f>IF(C$2=0,"",IFERROR(TRIM(INDEX('Pegar docentes'!$A$1:$BZ$1001,909,C$2)&amp;""),""))</f>
        <v/>
      </c>
      <c r="D910">
        <f>IF(D$2=0,"",IFERROR(TRIM(INDEX('Pegar docentes'!$A$1:$BZ$1001,909,D$2)&amp;""),""))</f>
        <v/>
      </c>
      <c r="E910">
        <f>IF(E$2=0,"",IFERROR(TRIM(INDEX('Pegar docentes'!$A$1:$BZ$1001,909,E$2)&amp;""),""))</f>
        <v/>
      </c>
      <c r="F910">
        <f>IF(F$2=0,"",IFERROR(TRIM(INDEX('Pegar docentes'!$A$1:$BZ$1001,909,F$2)&amp;""),""))</f>
        <v/>
      </c>
      <c r="G910">
        <f>IF(G$2=0,"",IFERROR(TRIM(INDEX('Pegar docentes'!$A$1:$BZ$1001,909,G$2)&amp;""),""))</f>
        <v/>
      </c>
      <c r="H910">
        <f>IF(H$2=0,"",IFERROR(TRIM(INDEX('Pegar docentes'!$A$1:$BZ$1001,909,H$2)&amp;""),""))</f>
        <v/>
      </c>
      <c r="I910">
        <f>IF(I$2=0,"",IFERROR(TRIM(INDEX('Pegar docentes'!$A$1:$BZ$1001,909,I$2)&amp;""),""))</f>
        <v/>
      </c>
      <c r="J910">
        <f>IF(J$2=0,"",IFERROR(TRIM(INDEX('Pegar docentes'!$A$1:$BZ$1001,909,J$2)&amp;""),""))</f>
        <v/>
      </c>
      <c r="K910">
        <f>IF(K$2=0,"",IFERROR(TRIM(INDEX('Pegar docentes'!$A$1:$BZ$1001,909,K$2)&amp;""),""))</f>
        <v/>
      </c>
      <c r="L910">
        <f>IF(L$2=0,"",IFERROR(TRIM(INDEX('Pegar docentes'!$A$1:$BZ$1001,909,L$2)&amp;""),""))</f>
        <v/>
      </c>
      <c r="M910">
        <f>IF(M$2=0,"",IFERROR(TRIM(INDEX('Pegar docentes'!$A$1:$BZ$1001,909,M$2)&amp;""),""))</f>
        <v/>
      </c>
      <c r="N910">
        <f>IF(N$2=0,"",IFERROR(TRIM(INDEX('Pegar docentes'!$A$1:$BZ$1001,909,N$2)&amp;""),""))</f>
        <v/>
      </c>
      <c r="O910">
        <f>IF(O$2=0,"",IFERROR(TRIM(INDEX('Pegar docentes'!$A$1:$BZ$1001,909,O$2)&amp;""),""))</f>
        <v/>
      </c>
      <c r="P910">
        <f>IF(P$2=0,"",IFERROR(TRIM(INDEX('Pegar docentes'!$A$1:$BZ$1001,909,P$2)&amp;""),""))</f>
        <v/>
      </c>
      <c r="Q910" s="25">
        <f>IF(OR(D910&lt;&gt;"",H910&lt;&gt;""),1,"")</f>
        <v/>
      </c>
      <c r="R910" s="25">
        <f>IF(Q910=1,IF(ISNUMBER(FIND("#"&amp;MID(D910,1,1)&amp;"#","#0#1#2#3#4#5#6#7#8#9#")),IF(ISNUMBER(FIND("#"&amp;MID(D910,2,1)&amp;"#","#0#1#2#3#4#5#6#7#8#9#")),IF(AND(VALUE(LEFT(D910,2))&gt;=1,VALUE(LEFT(D910,2))&lt;=5),VALUE(LEFT(D910,2)),""),IF(AND(VALUE(LEFT(D910,1))&gt;=1,VALUE(LEFT(D910,1))&lt;=5),VALUE(LEFT(D910,1)),"")),""),"")</f>
        <v/>
      </c>
      <c r="S910" s="25">
        <f>IF(AND(Q910=1,E910&lt;&gt;""),SUBSTITUTE(SUBSTITUTE(SUBSTITUTE(SUBSTITUTE(SUBSTITUTE(SUBSTITUTE(SUBSTITUTE(SUBSTITUTE(SUBSTITUTE(SUBSTITUTE(SUBSTITUTE(SUBSTITUTE(LOWER(TRIM(E910)),"á","a"),"é","e"),"í","i"),"ó","o"),"ú","u"),"ü","u"),"ñ","n"),"à","a"),"è","e"),"ì","i"),"ò","o"),"ù","u"),"")</f>
        <v/>
      </c>
      <c r="T910" s="25">
        <f>IF(AND(Q910=1,G910&lt;&gt;""),SUBSTITUTE(SUBSTITUTE(SUBSTITUTE(SUBSTITUTE(SUBSTITUTE(SUBSTITUTE(SUBSTITUTE(SUBSTITUTE(SUBSTITUTE(SUBSTITUTE(SUBSTITUTE(SUBSTITUTE(LOWER(TRIM(G910)),"á","a"),"é","e"),"í","i"),"ó","o"),"ú","u"),"ü","u"),"ñ","n"),"à","a"),"è","e"),"ì","i"),"ò","o"),"ù","u"),"")</f>
        <v/>
      </c>
      <c r="U910" s="25">
        <f>IF(AND(Q910=1,H910&lt;&gt;""),SUBSTITUTE(SUBSTITUTE(SUBSTITUTE(SUBSTITUTE(SUBSTITUTE(SUBSTITUTE(SUBSTITUTE(SUBSTITUTE(SUBSTITUTE(SUBSTITUTE(SUBSTITUTE(SUBSTITUTE(LOWER(TRIM(H910)),"á","a"),"é","e"),"í","i"),"ó","o"),"ú","u"),"ü","u"),"ñ","n"),"à","a"),"è","e"),"ì","i"),"ò","o"),"ù","u"),"")</f>
        <v/>
      </c>
      <c r="V910" s="25">
        <f>IF(AND(Q910=1,L910&lt;&gt;""),SUBSTITUTE(SUBSTITUTE(SUBSTITUTE(SUBSTITUTE(SUBSTITUTE(SUBSTITUTE(SUBSTITUTE(SUBSTITUTE(SUBSTITUTE(SUBSTITUTE(SUBSTITUTE(SUBSTITUTE(LOWER(TRIM(L910)),"á","a"),"é","e"),"í","i"),"ó","o"),"ú","u"),"ü","u"),"ñ","n"),"à","a"),"è","e"),"ì","i"),"ò","o"),"ù","u"),"")</f>
        <v/>
      </c>
      <c r="W910" s="25">
        <f>IF(AND(Q910=1,I910&lt;&gt;""),SUBSTITUTE(SUBSTITUTE(SUBSTITUTE(SUBSTITUTE(SUBSTITUTE(SUBSTITUTE(SUBSTITUTE(SUBSTITUTE(SUBSTITUTE(SUBSTITUTE(SUBSTITUTE(SUBSTITUTE(LOWER(TRIM(I910)),"á","a"),"é","e"),"í","i"),"ó","o"),"ú","u"),"ü","u"),"ñ","n"),"à","a"),"è","e"),"ì","i"),"ò","o"),"ù","u"),"")</f>
        <v/>
      </c>
      <c r="X910" s="25">
        <f>IF(U910="","",IF(OR(U910="si, en la proxima tarea",U910="si, con cambios"),1,0))</f>
        <v/>
      </c>
      <c r="Y910" s="25">
        <f>IF(AND(Q910=1,A910&lt;&gt;""),IF(IFERROR(COUNTIFS(A$3:A910,"="&amp;SUBSTITUTE(SUBSTITUTE(SUBSTITUTE(A910,"~","~~"),"*","~*"),"?","~?"),Q$3:Q910,1),0)=1,MAX(Y$2:Y909)+1,""),"")</f>
        <v/>
      </c>
      <c r="Z910" s="25">
        <f>IF(Y910="","",COUNTIFS($A$3:$A$1002,"="&amp;SUBSTITUTE(SUBSTITUTE(SUBSTITUTE(A910,"~","~~"),"*","~*"),"?","~?"),$Q$3:$Q$1002,1)*10000-Y910)</f>
        <v/>
      </c>
    </row>
    <row r="911">
      <c r="A911">
        <f>IF(A$2=0,"",IFERROR(TRIM(INDEX('Pegar docentes'!$A$1:$BZ$1001,910,A$2)&amp;""),""))</f>
        <v/>
      </c>
      <c r="B911">
        <f>IF(B$2=0,"",IFERROR(TRIM(INDEX('Pegar docentes'!$A$1:$BZ$1001,910,B$2)&amp;""),""))</f>
        <v/>
      </c>
      <c r="C911">
        <f>IF(C$2=0,"",IFERROR(TRIM(INDEX('Pegar docentes'!$A$1:$BZ$1001,910,C$2)&amp;""),""))</f>
        <v/>
      </c>
      <c r="D911">
        <f>IF(D$2=0,"",IFERROR(TRIM(INDEX('Pegar docentes'!$A$1:$BZ$1001,910,D$2)&amp;""),""))</f>
        <v/>
      </c>
      <c r="E911">
        <f>IF(E$2=0,"",IFERROR(TRIM(INDEX('Pegar docentes'!$A$1:$BZ$1001,910,E$2)&amp;""),""))</f>
        <v/>
      </c>
      <c r="F911">
        <f>IF(F$2=0,"",IFERROR(TRIM(INDEX('Pegar docentes'!$A$1:$BZ$1001,910,F$2)&amp;""),""))</f>
        <v/>
      </c>
      <c r="G911">
        <f>IF(G$2=0,"",IFERROR(TRIM(INDEX('Pegar docentes'!$A$1:$BZ$1001,910,G$2)&amp;""),""))</f>
        <v/>
      </c>
      <c r="H911">
        <f>IF(H$2=0,"",IFERROR(TRIM(INDEX('Pegar docentes'!$A$1:$BZ$1001,910,H$2)&amp;""),""))</f>
        <v/>
      </c>
      <c r="I911">
        <f>IF(I$2=0,"",IFERROR(TRIM(INDEX('Pegar docentes'!$A$1:$BZ$1001,910,I$2)&amp;""),""))</f>
        <v/>
      </c>
      <c r="J911">
        <f>IF(J$2=0,"",IFERROR(TRIM(INDEX('Pegar docentes'!$A$1:$BZ$1001,910,J$2)&amp;""),""))</f>
        <v/>
      </c>
      <c r="K911">
        <f>IF(K$2=0,"",IFERROR(TRIM(INDEX('Pegar docentes'!$A$1:$BZ$1001,910,K$2)&amp;""),""))</f>
        <v/>
      </c>
      <c r="L911">
        <f>IF(L$2=0,"",IFERROR(TRIM(INDEX('Pegar docentes'!$A$1:$BZ$1001,910,L$2)&amp;""),""))</f>
        <v/>
      </c>
      <c r="M911">
        <f>IF(M$2=0,"",IFERROR(TRIM(INDEX('Pegar docentes'!$A$1:$BZ$1001,910,M$2)&amp;""),""))</f>
        <v/>
      </c>
      <c r="N911">
        <f>IF(N$2=0,"",IFERROR(TRIM(INDEX('Pegar docentes'!$A$1:$BZ$1001,910,N$2)&amp;""),""))</f>
        <v/>
      </c>
      <c r="O911">
        <f>IF(O$2=0,"",IFERROR(TRIM(INDEX('Pegar docentes'!$A$1:$BZ$1001,910,O$2)&amp;""),""))</f>
        <v/>
      </c>
      <c r="P911">
        <f>IF(P$2=0,"",IFERROR(TRIM(INDEX('Pegar docentes'!$A$1:$BZ$1001,910,P$2)&amp;""),""))</f>
        <v/>
      </c>
      <c r="Q911" s="25">
        <f>IF(OR(D911&lt;&gt;"",H911&lt;&gt;""),1,"")</f>
        <v/>
      </c>
      <c r="R911" s="25">
        <f>IF(Q911=1,IF(ISNUMBER(FIND("#"&amp;MID(D911,1,1)&amp;"#","#0#1#2#3#4#5#6#7#8#9#")),IF(ISNUMBER(FIND("#"&amp;MID(D911,2,1)&amp;"#","#0#1#2#3#4#5#6#7#8#9#")),IF(AND(VALUE(LEFT(D911,2))&gt;=1,VALUE(LEFT(D911,2))&lt;=5),VALUE(LEFT(D911,2)),""),IF(AND(VALUE(LEFT(D911,1))&gt;=1,VALUE(LEFT(D911,1))&lt;=5),VALUE(LEFT(D911,1)),"")),""),"")</f>
        <v/>
      </c>
      <c r="S911" s="25">
        <f>IF(AND(Q911=1,E911&lt;&gt;""),SUBSTITUTE(SUBSTITUTE(SUBSTITUTE(SUBSTITUTE(SUBSTITUTE(SUBSTITUTE(SUBSTITUTE(SUBSTITUTE(SUBSTITUTE(SUBSTITUTE(SUBSTITUTE(SUBSTITUTE(LOWER(TRIM(E911)),"á","a"),"é","e"),"í","i"),"ó","o"),"ú","u"),"ü","u"),"ñ","n"),"à","a"),"è","e"),"ì","i"),"ò","o"),"ù","u"),"")</f>
        <v/>
      </c>
      <c r="T911" s="25">
        <f>IF(AND(Q911=1,G911&lt;&gt;""),SUBSTITUTE(SUBSTITUTE(SUBSTITUTE(SUBSTITUTE(SUBSTITUTE(SUBSTITUTE(SUBSTITUTE(SUBSTITUTE(SUBSTITUTE(SUBSTITUTE(SUBSTITUTE(SUBSTITUTE(LOWER(TRIM(G911)),"á","a"),"é","e"),"í","i"),"ó","o"),"ú","u"),"ü","u"),"ñ","n"),"à","a"),"è","e"),"ì","i"),"ò","o"),"ù","u"),"")</f>
        <v/>
      </c>
      <c r="U911" s="25">
        <f>IF(AND(Q911=1,H911&lt;&gt;""),SUBSTITUTE(SUBSTITUTE(SUBSTITUTE(SUBSTITUTE(SUBSTITUTE(SUBSTITUTE(SUBSTITUTE(SUBSTITUTE(SUBSTITUTE(SUBSTITUTE(SUBSTITUTE(SUBSTITUTE(LOWER(TRIM(H911)),"á","a"),"é","e"),"í","i"),"ó","o"),"ú","u"),"ü","u"),"ñ","n"),"à","a"),"è","e"),"ì","i"),"ò","o"),"ù","u"),"")</f>
        <v/>
      </c>
      <c r="V911" s="25">
        <f>IF(AND(Q911=1,L911&lt;&gt;""),SUBSTITUTE(SUBSTITUTE(SUBSTITUTE(SUBSTITUTE(SUBSTITUTE(SUBSTITUTE(SUBSTITUTE(SUBSTITUTE(SUBSTITUTE(SUBSTITUTE(SUBSTITUTE(SUBSTITUTE(LOWER(TRIM(L911)),"á","a"),"é","e"),"í","i"),"ó","o"),"ú","u"),"ü","u"),"ñ","n"),"à","a"),"è","e"),"ì","i"),"ò","o"),"ù","u"),"")</f>
        <v/>
      </c>
      <c r="W911" s="25">
        <f>IF(AND(Q911=1,I911&lt;&gt;""),SUBSTITUTE(SUBSTITUTE(SUBSTITUTE(SUBSTITUTE(SUBSTITUTE(SUBSTITUTE(SUBSTITUTE(SUBSTITUTE(SUBSTITUTE(SUBSTITUTE(SUBSTITUTE(SUBSTITUTE(LOWER(TRIM(I911)),"á","a"),"é","e"),"í","i"),"ó","o"),"ú","u"),"ü","u"),"ñ","n"),"à","a"),"è","e"),"ì","i"),"ò","o"),"ù","u"),"")</f>
        <v/>
      </c>
      <c r="X911" s="25">
        <f>IF(U911="","",IF(OR(U911="si, en la proxima tarea",U911="si, con cambios"),1,0))</f>
        <v/>
      </c>
      <c r="Y911" s="25">
        <f>IF(AND(Q911=1,A911&lt;&gt;""),IF(IFERROR(COUNTIFS(A$3:A911,"="&amp;SUBSTITUTE(SUBSTITUTE(SUBSTITUTE(A911,"~","~~"),"*","~*"),"?","~?"),Q$3:Q911,1),0)=1,MAX(Y$2:Y910)+1,""),"")</f>
        <v/>
      </c>
      <c r="Z911" s="25">
        <f>IF(Y911="","",COUNTIFS($A$3:$A$1002,"="&amp;SUBSTITUTE(SUBSTITUTE(SUBSTITUTE(A911,"~","~~"),"*","~*"),"?","~?"),$Q$3:$Q$1002,1)*10000-Y911)</f>
        <v/>
      </c>
    </row>
    <row r="912">
      <c r="A912">
        <f>IF(A$2=0,"",IFERROR(TRIM(INDEX('Pegar docentes'!$A$1:$BZ$1001,911,A$2)&amp;""),""))</f>
        <v/>
      </c>
      <c r="B912">
        <f>IF(B$2=0,"",IFERROR(TRIM(INDEX('Pegar docentes'!$A$1:$BZ$1001,911,B$2)&amp;""),""))</f>
        <v/>
      </c>
      <c r="C912">
        <f>IF(C$2=0,"",IFERROR(TRIM(INDEX('Pegar docentes'!$A$1:$BZ$1001,911,C$2)&amp;""),""))</f>
        <v/>
      </c>
      <c r="D912">
        <f>IF(D$2=0,"",IFERROR(TRIM(INDEX('Pegar docentes'!$A$1:$BZ$1001,911,D$2)&amp;""),""))</f>
        <v/>
      </c>
      <c r="E912">
        <f>IF(E$2=0,"",IFERROR(TRIM(INDEX('Pegar docentes'!$A$1:$BZ$1001,911,E$2)&amp;""),""))</f>
        <v/>
      </c>
      <c r="F912">
        <f>IF(F$2=0,"",IFERROR(TRIM(INDEX('Pegar docentes'!$A$1:$BZ$1001,911,F$2)&amp;""),""))</f>
        <v/>
      </c>
      <c r="G912">
        <f>IF(G$2=0,"",IFERROR(TRIM(INDEX('Pegar docentes'!$A$1:$BZ$1001,911,G$2)&amp;""),""))</f>
        <v/>
      </c>
      <c r="H912">
        <f>IF(H$2=0,"",IFERROR(TRIM(INDEX('Pegar docentes'!$A$1:$BZ$1001,911,H$2)&amp;""),""))</f>
        <v/>
      </c>
      <c r="I912">
        <f>IF(I$2=0,"",IFERROR(TRIM(INDEX('Pegar docentes'!$A$1:$BZ$1001,911,I$2)&amp;""),""))</f>
        <v/>
      </c>
      <c r="J912">
        <f>IF(J$2=0,"",IFERROR(TRIM(INDEX('Pegar docentes'!$A$1:$BZ$1001,911,J$2)&amp;""),""))</f>
        <v/>
      </c>
      <c r="K912">
        <f>IF(K$2=0,"",IFERROR(TRIM(INDEX('Pegar docentes'!$A$1:$BZ$1001,911,K$2)&amp;""),""))</f>
        <v/>
      </c>
      <c r="L912">
        <f>IF(L$2=0,"",IFERROR(TRIM(INDEX('Pegar docentes'!$A$1:$BZ$1001,911,L$2)&amp;""),""))</f>
        <v/>
      </c>
      <c r="M912">
        <f>IF(M$2=0,"",IFERROR(TRIM(INDEX('Pegar docentes'!$A$1:$BZ$1001,911,M$2)&amp;""),""))</f>
        <v/>
      </c>
      <c r="N912">
        <f>IF(N$2=0,"",IFERROR(TRIM(INDEX('Pegar docentes'!$A$1:$BZ$1001,911,N$2)&amp;""),""))</f>
        <v/>
      </c>
      <c r="O912">
        <f>IF(O$2=0,"",IFERROR(TRIM(INDEX('Pegar docentes'!$A$1:$BZ$1001,911,O$2)&amp;""),""))</f>
        <v/>
      </c>
      <c r="P912">
        <f>IF(P$2=0,"",IFERROR(TRIM(INDEX('Pegar docentes'!$A$1:$BZ$1001,911,P$2)&amp;""),""))</f>
        <v/>
      </c>
      <c r="Q912" s="25">
        <f>IF(OR(D912&lt;&gt;"",H912&lt;&gt;""),1,"")</f>
        <v/>
      </c>
      <c r="R912" s="25">
        <f>IF(Q912=1,IF(ISNUMBER(FIND("#"&amp;MID(D912,1,1)&amp;"#","#0#1#2#3#4#5#6#7#8#9#")),IF(ISNUMBER(FIND("#"&amp;MID(D912,2,1)&amp;"#","#0#1#2#3#4#5#6#7#8#9#")),IF(AND(VALUE(LEFT(D912,2))&gt;=1,VALUE(LEFT(D912,2))&lt;=5),VALUE(LEFT(D912,2)),""),IF(AND(VALUE(LEFT(D912,1))&gt;=1,VALUE(LEFT(D912,1))&lt;=5),VALUE(LEFT(D912,1)),"")),""),"")</f>
        <v/>
      </c>
      <c r="S912" s="25">
        <f>IF(AND(Q912=1,E912&lt;&gt;""),SUBSTITUTE(SUBSTITUTE(SUBSTITUTE(SUBSTITUTE(SUBSTITUTE(SUBSTITUTE(SUBSTITUTE(SUBSTITUTE(SUBSTITUTE(SUBSTITUTE(SUBSTITUTE(SUBSTITUTE(LOWER(TRIM(E912)),"á","a"),"é","e"),"í","i"),"ó","o"),"ú","u"),"ü","u"),"ñ","n"),"à","a"),"è","e"),"ì","i"),"ò","o"),"ù","u"),"")</f>
        <v/>
      </c>
      <c r="T912" s="25">
        <f>IF(AND(Q912=1,G912&lt;&gt;""),SUBSTITUTE(SUBSTITUTE(SUBSTITUTE(SUBSTITUTE(SUBSTITUTE(SUBSTITUTE(SUBSTITUTE(SUBSTITUTE(SUBSTITUTE(SUBSTITUTE(SUBSTITUTE(SUBSTITUTE(LOWER(TRIM(G912)),"á","a"),"é","e"),"í","i"),"ó","o"),"ú","u"),"ü","u"),"ñ","n"),"à","a"),"è","e"),"ì","i"),"ò","o"),"ù","u"),"")</f>
        <v/>
      </c>
      <c r="U912" s="25">
        <f>IF(AND(Q912=1,H912&lt;&gt;""),SUBSTITUTE(SUBSTITUTE(SUBSTITUTE(SUBSTITUTE(SUBSTITUTE(SUBSTITUTE(SUBSTITUTE(SUBSTITUTE(SUBSTITUTE(SUBSTITUTE(SUBSTITUTE(SUBSTITUTE(LOWER(TRIM(H912)),"á","a"),"é","e"),"í","i"),"ó","o"),"ú","u"),"ü","u"),"ñ","n"),"à","a"),"è","e"),"ì","i"),"ò","o"),"ù","u"),"")</f>
        <v/>
      </c>
      <c r="V912" s="25">
        <f>IF(AND(Q912=1,L912&lt;&gt;""),SUBSTITUTE(SUBSTITUTE(SUBSTITUTE(SUBSTITUTE(SUBSTITUTE(SUBSTITUTE(SUBSTITUTE(SUBSTITUTE(SUBSTITUTE(SUBSTITUTE(SUBSTITUTE(SUBSTITUTE(LOWER(TRIM(L912)),"á","a"),"é","e"),"í","i"),"ó","o"),"ú","u"),"ü","u"),"ñ","n"),"à","a"),"è","e"),"ì","i"),"ò","o"),"ù","u"),"")</f>
        <v/>
      </c>
      <c r="W912" s="25">
        <f>IF(AND(Q912=1,I912&lt;&gt;""),SUBSTITUTE(SUBSTITUTE(SUBSTITUTE(SUBSTITUTE(SUBSTITUTE(SUBSTITUTE(SUBSTITUTE(SUBSTITUTE(SUBSTITUTE(SUBSTITUTE(SUBSTITUTE(SUBSTITUTE(LOWER(TRIM(I912)),"á","a"),"é","e"),"í","i"),"ó","o"),"ú","u"),"ü","u"),"ñ","n"),"à","a"),"è","e"),"ì","i"),"ò","o"),"ù","u"),"")</f>
        <v/>
      </c>
      <c r="X912" s="25">
        <f>IF(U912="","",IF(OR(U912="si, en la proxima tarea",U912="si, con cambios"),1,0))</f>
        <v/>
      </c>
      <c r="Y912" s="25">
        <f>IF(AND(Q912=1,A912&lt;&gt;""),IF(IFERROR(COUNTIFS(A$3:A912,"="&amp;SUBSTITUTE(SUBSTITUTE(SUBSTITUTE(A912,"~","~~"),"*","~*"),"?","~?"),Q$3:Q912,1),0)=1,MAX(Y$2:Y911)+1,""),"")</f>
        <v/>
      </c>
      <c r="Z912" s="25">
        <f>IF(Y912="","",COUNTIFS($A$3:$A$1002,"="&amp;SUBSTITUTE(SUBSTITUTE(SUBSTITUTE(A912,"~","~~"),"*","~*"),"?","~?"),$Q$3:$Q$1002,1)*10000-Y912)</f>
        <v/>
      </c>
    </row>
    <row r="913">
      <c r="A913">
        <f>IF(A$2=0,"",IFERROR(TRIM(INDEX('Pegar docentes'!$A$1:$BZ$1001,912,A$2)&amp;""),""))</f>
        <v/>
      </c>
      <c r="B913">
        <f>IF(B$2=0,"",IFERROR(TRIM(INDEX('Pegar docentes'!$A$1:$BZ$1001,912,B$2)&amp;""),""))</f>
        <v/>
      </c>
      <c r="C913">
        <f>IF(C$2=0,"",IFERROR(TRIM(INDEX('Pegar docentes'!$A$1:$BZ$1001,912,C$2)&amp;""),""))</f>
        <v/>
      </c>
      <c r="D913">
        <f>IF(D$2=0,"",IFERROR(TRIM(INDEX('Pegar docentes'!$A$1:$BZ$1001,912,D$2)&amp;""),""))</f>
        <v/>
      </c>
      <c r="E913">
        <f>IF(E$2=0,"",IFERROR(TRIM(INDEX('Pegar docentes'!$A$1:$BZ$1001,912,E$2)&amp;""),""))</f>
        <v/>
      </c>
      <c r="F913">
        <f>IF(F$2=0,"",IFERROR(TRIM(INDEX('Pegar docentes'!$A$1:$BZ$1001,912,F$2)&amp;""),""))</f>
        <v/>
      </c>
      <c r="G913">
        <f>IF(G$2=0,"",IFERROR(TRIM(INDEX('Pegar docentes'!$A$1:$BZ$1001,912,G$2)&amp;""),""))</f>
        <v/>
      </c>
      <c r="H913">
        <f>IF(H$2=0,"",IFERROR(TRIM(INDEX('Pegar docentes'!$A$1:$BZ$1001,912,H$2)&amp;""),""))</f>
        <v/>
      </c>
      <c r="I913">
        <f>IF(I$2=0,"",IFERROR(TRIM(INDEX('Pegar docentes'!$A$1:$BZ$1001,912,I$2)&amp;""),""))</f>
        <v/>
      </c>
      <c r="J913">
        <f>IF(J$2=0,"",IFERROR(TRIM(INDEX('Pegar docentes'!$A$1:$BZ$1001,912,J$2)&amp;""),""))</f>
        <v/>
      </c>
      <c r="K913">
        <f>IF(K$2=0,"",IFERROR(TRIM(INDEX('Pegar docentes'!$A$1:$BZ$1001,912,K$2)&amp;""),""))</f>
        <v/>
      </c>
      <c r="L913">
        <f>IF(L$2=0,"",IFERROR(TRIM(INDEX('Pegar docentes'!$A$1:$BZ$1001,912,L$2)&amp;""),""))</f>
        <v/>
      </c>
      <c r="M913">
        <f>IF(M$2=0,"",IFERROR(TRIM(INDEX('Pegar docentes'!$A$1:$BZ$1001,912,M$2)&amp;""),""))</f>
        <v/>
      </c>
      <c r="N913">
        <f>IF(N$2=0,"",IFERROR(TRIM(INDEX('Pegar docentes'!$A$1:$BZ$1001,912,N$2)&amp;""),""))</f>
        <v/>
      </c>
      <c r="O913">
        <f>IF(O$2=0,"",IFERROR(TRIM(INDEX('Pegar docentes'!$A$1:$BZ$1001,912,O$2)&amp;""),""))</f>
        <v/>
      </c>
      <c r="P913">
        <f>IF(P$2=0,"",IFERROR(TRIM(INDEX('Pegar docentes'!$A$1:$BZ$1001,912,P$2)&amp;""),""))</f>
        <v/>
      </c>
      <c r="Q913" s="25">
        <f>IF(OR(D913&lt;&gt;"",H913&lt;&gt;""),1,"")</f>
        <v/>
      </c>
      <c r="R913" s="25">
        <f>IF(Q913=1,IF(ISNUMBER(FIND("#"&amp;MID(D913,1,1)&amp;"#","#0#1#2#3#4#5#6#7#8#9#")),IF(ISNUMBER(FIND("#"&amp;MID(D913,2,1)&amp;"#","#0#1#2#3#4#5#6#7#8#9#")),IF(AND(VALUE(LEFT(D913,2))&gt;=1,VALUE(LEFT(D913,2))&lt;=5),VALUE(LEFT(D913,2)),""),IF(AND(VALUE(LEFT(D913,1))&gt;=1,VALUE(LEFT(D913,1))&lt;=5),VALUE(LEFT(D913,1)),"")),""),"")</f>
        <v/>
      </c>
      <c r="S913" s="25">
        <f>IF(AND(Q913=1,E913&lt;&gt;""),SUBSTITUTE(SUBSTITUTE(SUBSTITUTE(SUBSTITUTE(SUBSTITUTE(SUBSTITUTE(SUBSTITUTE(SUBSTITUTE(SUBSTITUTE(SUBSTITUTE(SUBSTITUTE(SUBSTITUTE(LOWER(TRIM(E913)),"á","a"),"é","e"),"í","i"),"ó","o"),"ú","u"),"ü","u"),"ñ","n"),"à","a"),"è","e"),"ì","i"),"ò","o"),"ù","u"),"")</f>
        <v/>
      </c>
      <c r="T913" s="25">
        <f>IF(AND(Q913=1,G913&lt;&gt;""),SUBSTITUTE(SUBSTITUTE(SUBSTITUTE(SUBSTITUTE(SUBSTITUTE(SUBSTITUTE(SUBSTITUTE(SUBSTITUTE(SUBSTITUTE(SUBSTITUTE(SUBSTITUTE(SUBSTITUTE(LOWER(TRIM(G913)),"á","a"),"é","e"),"í","i"),"ó","o"),"ú","u"),"ü","u"),"ñ","n"),"à","a"),"è","e"),"ì","i"),"ò","o"),"ù","u"),"")</f>
        <v/>
      </c>
      <c r="U913" s="25">
        <f>IF(AND(Q913=1,H913&lt;&gt;""),SUBSTITUTE(SUBSTITUTE(SUBSTITUTE(SUBSTITUTE(SUBSTITUTE(SUBSTITUTE(SUBSTITUTE(SUBSTITUTE(SUBSTITUTE(SUBSTITUTE(SUBSTITUTE(SUBSTITUTE(LOWER(TRIM(H913)),"á","a"),"é","e"),"í","i"),"ó","o"),"ú","u"),"ü","u"),"ñ","n"),"à","a"),"è","e"),"ì","i"),"ò","o"),"ù","u"),"")</f>
        <v/>
      </c>
      <c r="V913" s="25">
        <f>IF(AND(Q913=1,L913&lt;&gt;""),SUBSTITUTE(SUBSTITUTE(SUBSTITUTE(SUBSTITUTE(SUBSTITUTE(SUBSTITUTE(SUBSTITUTE(SUBSTITUTE(SUBSTITUTE(SUBSTITUTE(SUBSTITUTE(SUBSTITUTE(LOWER(TRIM(L913)),"á","a"),"é","e"),"í","i"),"ó","o"),"ú","u"),"ü","u"),"ñ","n"),"à","a"),"è","e"),"ì","i"),"ò","o"),"ù","u"),"")</f>
        <v/>
      </c>
      <c r="W913" s="25">
        <f>IF(AND(Q913=1,I913&lt;&gt;""),SUBSTITUTE(SUBSTITUTE(SUBSTITUTE(SUBSTITUTE(SUBSTITUTE(SUBSTITUTE(SUBSTITUTE(SUBSTITUTE(SUBSTITUTE(SUBSTITUTE(SUBSTITUTE(SUBSTITUTE(LOWER(TRIM(I913)),"á","a"),"é","e"),"í","i"),"ó","o"),"ú","u"),"ü","u"),"ñ","n"),"à","a"),"è","e"),"ì","i"),"ò","o"),"ù","u"),"")</f>
        <v/>
      </c>
      <c r="X913" s="25">
        <f>IF(U913="","",IF(OR(U913="si, en la proxima tarea",U913="si, con cambios"),1,0))</f>
        <v/>
      </c>
      <c r="Y913" s="25">
        <f>IF(AND(Q913=1,A913&lt;&gt;""),IF(IFERROR(COUNTIFS(A$3:A913,"="&amp;SUBSTITUTE(SUBSTITUTE(SUBSTITUTE(A913,"~","~~"),"*","~*"),"?","~?"),Q$3:Q913,1),0)=1,MAX(Y$2:Y912)+1,""),"")</f>
        <v/>
      </c>
      <c r="Z913" s="25">
        <f>IF(Y913="","",COUNTIFS($A$3:$A$1002,"="&amp;SUBSTITUTE(SUBSTITUTE(SUBSTITUTE(A913,"~","~~"),"*","~*"),"?","~?"),$Q$3:$Q$1002,1)*10000-Y913)</f>
        <v/>
      </c>
    </row>
    <row r="914">
      <c r="A914">
        <f>IF(A$2=0,"",IFERROR(TRIM(INDEX('Pegar docentes'!$A$1:$BZ$1001,913,A$2)&amp;""),""))</f>
        <v/>
      </c>
      <c r="B914">
        <f>IF(B$2=0,"",IFERROR(TRIM(INDEX('Pegar docentes'!$A$1:$BZ$1001,913,B$2)&amp;""),""))</f>
        <v/>
      </c>
      <c r="C914">
        <f>IF(C$2=0,"",IFERROR(TRIM(INDEX('Pegar docentes'!$A$1:$BZ$1001,913,C$2)&amp;""),""))</f>
        <v/>
      </c>
      <c r="D914">
        <f>IF(D$2=0,"",IFERROR(TRIM(INDEX('Pegar docentes'!$A$1:$BZ$1001,913,D$2)&amp;""),""))</f>
        <v/>
      </c>
      <c r="E914">
        <f>IF(E$2=0,"",IFERROR(TRIM(INDEX('Pegar docentes'!$A$1:$BZ$1001,913,E$2)&amp;""),""))</f>
        <v/>
      </c>
      <c r="F914">
        <f>IF(F$2=0,"",IFERROR(TRIM(INDEX('Pegar docentes'!$A$1:$BZ$1001,913,F$2)&amp;""),""))</f>
        <v/>
      </c>
      <c r="G914">
        <f>IF(G$2=0,"",IFERROR(TRIM(INDEX('Pegar docentes'!$A$1:$BZ$1001,913,G$2)&amp;""),""))</f>
        <v/>
      </c>
      <c r="H914">
        <f>IF(H$2=0,"",IFERROR(TRIM(INDEX('Pegar docentes'!$A$1:$BZ$1001,913,H$2)&amp;""),""))</f>
        <v/>
      </c>
      <c r="I914">
        <f>IF(I$2=0,"",IFERROR(TRIM(INDEX('Pegar docentes'!$A$1:$BZ$1001,913,I$2)&amp;""),""))</f>
        <v/>
      </c>
      <c r="J914">
        <f>IF(J$2=0,"",IFERROR(TRIM(INDEX('Pegar docentes'!$A$1:$BZ$1001,913,J$2)&amp;""),""))</f>
        <v/>
      </c>
      <c r="K914">
        <f>IF(K$2=0,"",IFERROR(TRIM(INDEX('Pegar docentes'!$A$1:$BZ$1001,913,K$2)&amp;""),""))</f>
        <v/>
      </c>
      <c r="L914">
        <f>IF(L$2=0,"",IFERROR(TRIM(INDEX('Pegar docentes'!$A$1:$BZ$1001,913,L$2)&amp;""),""))</f>
        <v/>
      </c>
      <c r="M914">
        <f>IF(M$2=0,"",IFERROR(TRIM(INDEX('Pegar docentes'!$A$1:$BZ$1001,913,M$2)&amp;""),""))</f>
        <v/>
      </c>
      <c r="N914">
        <f>IF(N$2=0,"",IFERROR(TRIM(INDEX('Pegar docentes'!$A$1:$BZ$1001,913,N$2)&amp;""),""))</f>
        <v/>
      </c>
      <c r="O914">
        <f>IF(O$2=0,"",IFERROR(TRIM(INDEX('Pegar docentes'!$A$1:$BZ$1001,913,O$2)&amp;""),""))</f>
        <v/>
      </c>
      <c r="P914">
        <f>IF(P$2=0,"",IFERROR(TRIM(INDEX('Pegar docentes'!$A$1:$BZ$1001,913,P$2)&amp;""),""))</f>
        <v/>
      </c>
      <c r="Q914" s="25">
        <f>IF(OR(D914&lt;&gt;"",H914&lt;&gt;""),1,"")</f>
        <v/>
      </c>
      <c r="R914" s="25">
        <f>IF(Q914=1,IF(ISNUMBER(FIND("#"&amp;MID(D914,1,1)&amp;"#","#0#1#2#3#4#5#6#7#8#9#")),IF(ISNUMBER(FIND("#"&amp;MID(D914,2,1)&amp;"#","#0#1#2#3#4#5#6#7#8#9#")),IF(AND(VALUE(LEFT(D914,2))&gt;=1,VALUE(LEFT(D914,2))&lt;=5),VALUE(LEFT(D914,2)),""),IF(AND(VALUE(LEFT(D914,1))&gt;=1,VALUE(LEFT(D914,1))&lt;=5),VALUE(LEFT(D914,1)),"")),""),"")</f>
        <v/>
      </c>
      <c r="S914" s="25">
        <f>IF(AND(Q914=1,E914&lt;&gt;""),SUBSTITUTE(SUBSTITUTE(SUBSTITUTE(SUBSTITUTE(SUBSTITUTE(SUBSTITUTE(SUBSTITUTE(SUBSTITUTE(SUBSTITUTE(SUBSTITUTE(SUBSTITUTE(SUBSTITUTE(LOWER(TRIM(E914)),"á","a"),"é","e"),"í","i"),"ó","o"),"ú","u"),"ü","u"),"ñ","n"),"à","a"),"è","e"),"ì","i"),"ò","o"),"ù","u"),"")</f>
        <v/>
      </c>
      <c r="T914" s="25">
        <f>IF(AND(Q914=1,G914&lt;&gt;""),SUBSTITUTE(SUBSTITUTE(SUBSTITUTE(SUBSTITUTE(SUBSTITUTE(SUBSTITUTE(SUBSTITUTE(SUBSTITUTE(SUBSTITUTE(SUBSTITUTE(SUBSTITUTE(SUBSTITUTE(LOWER(TRIM(G914)),"á","a"),"é","e"),"í","i"),"ó","o"),"ú","u"),"ü","u"),"ñ","n"),"à","a"),"è","e"),"ì","i"),"ò","o"),"ù","u"),"")</f>
        <v/>
      </c>
      <c r="U914" s="25">
        <f>IF(AND(Q914=1,H914&lt;&gt;""),SUBSTITUTE(SUBSTITUTE(SUBSTITUTE(SUBSTITUTE(SUBSTITUTE(SUBSTITUTE(SUBSTITUTE(SUBSTITUTE(SUBSTITUTE(SUBSTITUTE(SUBSTITUTE(SUBSTITUTE(LOWER(TRIM(H914)),"á","a"),"é","e"),"í","i"),"ó","o"),"ú","u"),"ü","u"),"ñ","n"),"à","a"),"è","e"),"ì","i"),"ò","o"),"ù","u"),"")</f>
        <v/>
      </c>
      <c r="V914" s="25">
        <f>IF(AND(Q914=1,L914&lt;&gt;""),SUBSTITUTE(SUBSTITUTE(SUBSTITUTE(SUBSTITUTE(SUBSTITUTE(SUBSTITUTE(SUBSTITUTE(SUBSTITUTE(SUBSTITUTE(SUBSTITUTE(SUBSTITUTE(SUBSTITUTE(LOWER(TRIM(L914)),"á","a"),"é","e"),"í","i"),"ó","o"),"ú","u"),"ü","u"),"ñ","n"),"à","a"),"è","e"),"ì","i"),"ò","o"),"ù","u"),"")</f>
        <v/>
      </c>
      <c r="W914" s="25">
        <f>IF(AND(Q914=1,I914&lt;&gt;""),SUBSTITUTE(SUBSTITUTE(SUBSTITUTE(SUBSTITUTE(SUBSTITUTE(SUBSTITUTE(SUBSTITUTE(SUBSTITUTE(SUBSTITUTE(SUBSTITUTE(SUBSTITUTE(SUBSTITUTE(LOWER(TRIM(I914)),"á","a"),"é","e"),"í","i"),"ó","o"),"ú","u"),"ü","u"),"ñ","n"),"à","a"),"è","e"),"ì","i"),"ò","o"),"ù","u"),"")</f>
        <v/>
      </c>
      <c r="X914" s="25">
        <f>IF(U914="","",IF(OR(U914="si, en la proxima tarea",U914="si, con cambios"),1,0))</f>
        <v/>
      </c>
      <c r="Y914" s="25">
        <f>IF(AND(Q914=1,A914&lt;&gt;""),IF(IFERROR(COUNTIFS(A$3:A914,"="&amp;SUBSTITUTE(SUBSTITUTE(SUBSTITUTE(A914,"~","~~"),"*","~*"),"?","~?"),Q$3:Q914,1),0)=1,MAX(Y$2:Y913)+1,""),"")</f>
        <v/>
      </c>
      <c r="Z914" s="25">
        <f>IF(Y914="","",COUNTIFS($A$3:$A$1002,"="&amp;SUBSTITUTE(SUBSTITUTE(SUBSTITUTE(A914,"~","~~"),"*","~*"),"?","~?"),$Q$3:$Q$1002,1)*10000-Y914)</f>
        <v/>
      </c>
    </row>
    <row r="915">
      <c r="A915">
        <f>IF(A$2=0,"",IFERROR(TRIM(INDEX('Pegar docentes'!$A$1:$BZ$1001,914,A$2)&amp;""),""))</f>
        <v/>
      </c>
      <c r="B915">
        <f>IF(B$2=0,"",IFERROR(TRIM(INDEX('Pegar docentes'!$A$1:$BZ$1001,914,B$2)&amp;""),""))</f>
        <v/>
      </c>
      <c r="C915">
        <f>IF(C$2=0,"",IFERROR(TRIM(INDEX('Pegar docentes'!$A$1:$BZ$1001,914,C$2)&amp;""),""))</f>
        <v/>
      </c>
      <c r="D915">
        <f>IF(D$2=0,"",IFERROR(TRIM(INDEX('Pegar docentes'!$A$1:$BZ$1001,914,D$2)&amp;""),""))</f>
        <v/>
      </c>
      <c r="E915">
        <f>IF(E$2=0,"",IFERROR(TRIM(INDEX('Pegar docentes'!$A$1:$BZ$1001,914,E$2)&amp;""),""))</f>
        <v/>
      </c>
      <c r="F915">
        <f>IF(F$2=0,"",IFERROR(TRIM(INDEX('Pegar docentes'!$A$1:$BZ$1001,914,F$2)&amp;""),""))</f>
        <v/>
      </c>
      <c r="G915">
        <f>IF(G$2=0,"",IFERROR(TRIM(INDEX('Pegar docentes'!$A$1:$BZ$1001,914,G$2)&amp;""),""))</f>
        <v/>
      </c>
      <c r="H915">
        <f>IF(H$2=0,"",IFERROR(TRIM(INDEX('Pegar docentes'!$A$1:$BZ$1001,914,H$2)&amp;""),""))</f>
        <v/>
      </c>
      <c r="I915">
        <f>IF(I$2=0,"",IFERROR(TRIM(INDEX('Pegar docentes'!$A$1:$BZ$1001,914,I$2)&amp;""),""))</f>
        <v/>
      </c>
      <c r="J915">
        <f>IF(J$2=0,"",IFERROR(TRIM(INDEX('Pegar docentes'!$A$1:$BZ$1001,914,J$2)&amp;""),""))</f>
        <v/>
      </c>
      <c r="K915">
        <f>IF(K$2=0,"",IFERROR(TRIM(INDEX('Pegar docentes'!$A$1:$BZ$1001,914,K$2)&amp;""),""))</f>
        <v/>
      </c>
      <c r="L915">
        <f>IF(L$2=0,"",IFERROR(TRIM(INDEX('Pegar docentes'!$A$1:$BZ$1001,914,L$2)&amp;""),""))</f>
        <v/>
      </c>
      <c r="M915">
        <f>IF(M$2=0,"",IFERROR(TRIM(INDEX('Pegar docentes'!$A$1:$BZ$1001,914,M$2)&amp;""),""))</f>
        <v/>
      </c>
      <c r="N915">
        <f>IF(N$2=0,"",IFERROR(TRIM(INDEX('Pegar docentes'!$A$1:$BZ$1001,914,N$2)&amp;""),""))</f>
        <v/>
      </c>
      <c r="O915">
        <f>IF(O$2=0,"",IFERROR(TRIM(INDEX('Pegar docentes'!$A$1:$BZ$1001,914,O$2)&amp;""),""))</f>
        <v/>
      </c>
      <c r="P915">
        <f>IF(P$2=0,"",IFERROR(TRIM(INDEX('Pegar docentes'!$A$1:$BZ$1001,914,P$2)&amp;""),""))</f>
        <v/>
      </c>
      <c r="Q915" s="25">
        <f>IF(OR(D915&lt;&gt;"",H915&lt;&gt;""),1,"")</f>
        <v/>
      </c>
      <c r="R915" s="25">
        <f>IF(Q915=1,IF(ISNUMBER(FIND("#"&amp;MID(D915,1,1)&amp;"#","#0#1#2#3#4#5#6#7#8#9#")),IF(ISNUMBER(FIND("#"&amp;MID(D915,2,1)&amp;"#","#0#1#2#3#4#5#6#7#8#9#")),IF(AND(VALUE(LEFT(D915,2))&gt;=1,VALUE(LEFT(D915,2))&lt;=5),VALUE(LEFT(D915,2)),""),IF(AND(VALUE(LEFT(D915,1))&gt;=1,VALUE(LEFT(D915,1))&lt;=5),VALUE(LEFT(D915,1)),"")),""),"")</f>
        <v/>
      </c>
      <c r="S915" s="25">
        <f>IF(AND(Q915=1,E915&lt;&gt;""),SUBSTITUTE(SUBSTITUTE(SUBSTITUTE(SUBSTITUTE(SUBSTITUTE(SUBSTITUTE(SUBSTITUTE(SUBSTITUTE(SUBSTITUTE(SUBSTITUTE(SUBSTITUTE(SUBSTITUTE(LOWER(TRIM(E915)),"á","a"),"é","e"),"í","i"),"ó","o"),"ú","u"),"ü","u"),"ñ","n"),"à","a"),"è","e"),"ì","i"),"ò","o"),"ù","u"),"")</f>
        <v/>
      </c>
      <c r="T915" s="25">
        <f>IF(AND(Q915=1,G915&lt;&gt;""),SUBSTITUTE(SUBSTITUTE(SUBSTITUTE(SUBSTITUTE(SUBSTITUTE(SUBSTITUTE(SUBSTITUTE(SUBSTITUTE(SUBSTITUTE(SUBSTITUTE(SUBSTITUTE(SUBSTITUTE(LOWER(TRIM(G915)),"á","a"),"é","e"),"í","i"),"ó","o"),"ú","u"),"ü","u"),"ñ","n"),"à","a"),"è","e"),"ì","i"),"ò","o"),"ù","u"),"")</f>
        <v/>
      </c>
      <c r="U915" s="25">
        <f>IF(AND(Q915=1,H915&lt;&gt;""),SUBSTITUTE(SUBSTITUTE(SUBSTITUTE(SUBSTITUTE(SUBSTITUTE(SUBSTITUTE(SUBSTITUTE(SUBSTITUTE(SUBSTITUTE(SUBSTITUTE(SUBSTITUTE(SUBSTITUTE(LOWER(TRIM(H915)),"á","a"),"é","e"),"í","i"),"ó","o"),"ú","u"),"ü","u"),"ñ","n"),"à","a"),"è","e"),"ì","i"),"ò","o"),"ù","u"),"")</f>
        <v/>
      </c>
      <c r="V915" s="25">
        <f>IF(AND(Q915=1,L915&lt;&gt;""),SUBSTITUTE(SUBSTITUTE(SUBSTITUTE(SUBSTITUTE(SUBSTITUTE(SUBSTITUTE(SUBSTITUTE(SUBSTITUTE(SUBSTITUTE(SUBSTITUTE(SUBSTITUTE(SUBSTITUTE(LOWER(TRIM(L915)),"á","a"),"é","e"),"í","i"),"ó","o"),"ú","u"),"ü","u"),"ñ","n"),"à","a"),"è","e"),"ì","i"),"ò","o"),"ù","u"),"")</f>
        <v/>
      </c>
      <c r="W915" s="25">
        <f>IF(AND(Q915=1,I915&lt;&gt;""),SUBSTITUTE(SUBSTITUTE(SUBSTITUTE(SUBSTITUTE(SUBSTITUTE(SUBSTITUTE(SUBSTITUTE(SUBSTITUTE(SUBSTITUTE(SUBSTITUTE(SUBSTITUTE(SUBSTITUTE(LOWER(TRIM(I915)),"á","a"),"é","e"),"í","i"),"ó","o"),"ú","u"),"ü","u"),"ñ","n"),"à","a"),"è","e"),"ì","i"),"ò","o"),"ù","u"),"")</f>
        <v/>
      </c>
      <c r="X915" s="25">
        <f>IF(U915="","",IF(OR(U915="si, en la proxima tarea",U915="si, con cambios"),1,0))</f>
        <v/>
      </c>
      <c r="Y915" s="25">
        <f>IF(AND(Q915=1,A915&lt;&gt;""),IF(IFERROR(COUNTIFS(A$3:A915,"="&amp;SUBSTITUTE(SUBSTITUTE(SUBSTITUTE(A915,"~","~~"),"*","~*"),"?","~?"),Q$3:Q915,1),0)=1,MAX(Y$2:Y914)+1,""),"")</f>
        <v/>
      </c>
      <c r="Z915" s="25">
        <f>IF(Y915="","",COUNTIFS($A$3:$A$1002,"="&amp;SUBSTITUTE(SUBSTITUTE(SUBSTITUTE(A915,"~","~~"),"*","~*"),"?","~?"),$Q$3:$Q$1002,1)*10000-Y915)</f>
        <v/>
      </c>
    </row>
    <row r="916">
      <c r="A916">
        <f>IF(A$2=0,"",IFERROR(TRIM(INDEX('Pegar docentes'!$A$1:$BZ$1001,915,A$2)&amp;""),""))</f>
        <v/>
      </c>
      <c r="B916">
        <f>IF(B$2=0,"",IFERROR(TRIM(INDEX('Pegar docentes'!$A$1:$BZ$1001,915,B$2)&amp;""),""))</f>
        <v/>
      </c>
      <c r="C916">
        <f>IF(C$2=0,"",IFERROR(TRIM(INDEX('Pegar docentes'!$A$1:$BZ$1001,915,C$2)&amp;""),""))</f>
        <v/>
      </c>
      <c r="D916">
        <f>IF(D$2=0,"",IFERROR(TRIM(INDEX('Pegar docentes'!$A$1:$BZ$1001,915,D$2)&amp;""),""))</f>
        <v/>
      </c>
      <c r="E916">
        <f>IF(E$2=0,"",IFERROR(TRIM(INDEX('Pegar docentes'!$A$1:$BZ$1001,915,E$2)&amp;""),""))</f>
        <v/>
      </c>
      <c r="F916">
        <f>IF(F$2=0,"",IFERROR(TRIM(INDEX('Pegar docentes'!$A$1:$BZ$1001,915,F$2)&amp;""),""))</f>
        <v/>
      </c>
      <c r="G916">
        <f>IF(G$2=0,"",IFERROR(TRIM(INDEX('Pegar docentes'!$A$1:$BZ$1001,915,G$2)&amp;""),""))</f>
        <v/>
      </c>
      <c r="H916">
        <f>IF(H$2=0,"",IFERROR(TRIM(INDEX('Pegar docentes'!$A$1:$BZ$1001,915,H$2)&amp;""),""))</f>
        <v/>
      </c>
      <c r="I916">
        <f>IF(I$2=0,"",IFERROR(TRIM(INDEX('Pegar docentes'!$A$1:$BZ$1001,915,I$2)&amp;""),""))</f>
        <v/>
      </c>
      <c r="J916">
        <f>IF(J$2=0,"",IFERROR(TRIM(INDEX('Pegar docentes'!$A$1:$BZ$1001,915,J$2)&amp;""),""))</f>
        <v/>
      </c>
      <c r="K916">
        <f>IF(K$2=0,"",IFERROR(TRIM(INDEX('Pegar docentes'!$A$1:$BZ$1001,915,K$2)&amp;""),""))</f>
        <v/>
      </c>
      <c r="L916">
        <f>IF(L$2=0,"",IFERROR(TRIM(INDEX('Pegar docentes'!$A$1:$BZ$1001,915,L$2)&amp;""),""))</f>
        <v/>
      </c>
      <c r="M916">
        <f>IF(M$2=0,"",IFERROR(TRIM(INDEX('Pegar docentes'!$A$1:$BZ$1001,915,M$2)&amp;""),""))</f>
        <v/>
      </c>
      <c r="N916">
        <f>IF(N$2=0,"",IFERROR(TRIM(INDEX('Pegar docentes'!$A$1:$BZ$1001,915,N$2)&amp;""),""))</f>
        <v/>
      </c>
      <c r="O916">
        <f>IF(O$2=0,"",IFERROR(TRIM(INDEX('Pegar docentes'!$A$1:$BZ$1001,915,O$2)&amp;""),""))</f>
        <v/>
      </c>
      <c r="P916">
        <f>IF(P$2=0,"",IFERROR(TRIM(INDEX('Pegar docentes'!$A$1:$BZ$1001,915,P$2)&amp;""),""))</f>
        <v/>
      </c>
      <c r="Q916" s="25">
        <f>IF(OR(D916&lt;&gt;"",H916&lt;&gt;""),1,"")</f>
        <v/>
      </c>
      <c r="R916" s="25">
        <f>IF(Q916=1,IF(ISNUMBER(FIND("#"&amp;MID(D916,1,1)&amp;"#","#0#1#2#3#4#5#6#7#8#9#")),IF(ISNUMBER(FIND("#"&amp;MID(D916,2,1)&amp;"#","#0#1#2#3#4#5#6#7#8#9#")),IF(AND(VALUE(LEFT(D916,2))&gt;=1,VALUE(LEFT(D916,2))&lt;=5),VALUE(LEFT(D916,2)),""),IF(AND(VALUE(LEFT(D916,1))&gt;=1,VALUE(LEFT(D916,1))&lt;=5),VALUE(LEFT(D916,1)),"")),""),"")</f>
        <v/>
      </c>
      <c r="S916" s="25">
        <f>IF(AND(Q916=1,E916&lt;&gt;""),SUBSTITUTE(SUBSTITUTE(SUBSTITUTE(SUBSTITUTE(SUBSTITUTE(SUBSTITUTE(SUBSTITUTE(SUBSTITUTE(SUBSTITUTE(SUBSTITUTE(SUBSTITUTE(SUBSTITUTE(LOWER(TRIM(E916)),"á","a"),"é","e"),"í","i"),"ó","o"),"ú","u"),"ü","u"),"ñ","n"),"à","a"),"è","e"),"ì","i"),"ò","o"),"ù","u"),"")</f>
        <v/>
      </c>
      <c r="T916" s="25">
        <f>IF(AND(Q916=1,G916&lt;&gt;""),SUBSTITUTE(SUBSTITUTE(SUBSTITUTE(SUBSTITUTE(SUBSTITUTE(SUBSTITUTE(SUBSTITUTE(SUBSTITUTE(SUBSTITUTE(SUBSTITUTE(SUBSTITUTE(SUBSTITUTE(LOWER(TRIM(G916)),"á","a"),"é","e"),"í","i"),"ó","o"),"ú","u"),"ü","u"),"ñ","n"),"à","a"),"è","e"),"ì","i"),"ò","o"),"ù","u"),"")</f>
        <v/>
      </c>
      <c r="U916" s="25">
        <f>IF(AND(Q916=1,H916&lt;&gt;""),SUBSTITUTE(SUBSTITUTE(SUBSTITUTE(SUBSTITUTE(SUBSTITUTE(SUBSTITUTE(SUBSTITUTE(SUBSTITUTE(SUBSTITUTE(SUBSTITUTE(SUBSTITUTE(SUBSTITUTE(LOWER(TRIM(H916)),"á","a"),"é","e"),"í","i"),"ó","o"),"ú","u"),"ü","u"),"ñ","n"),"à","a"),"è","e"),"ì","i"),"ò","o"),"ù","u"),"")</f>
        <v/>
      </c>
      <c r="V916" s="25">
        <f>IF(AND(Q916=1,L916&lt;&gt;""),SUBSTITUTE(SUBSTITUTE(SUBSTITUTE(SUBSTITUTE(SUBSTITUTE(SUBSTITUTE(SUBSTITUTE(SUBSTITUTE(SUBSTITUTE(SUBSTITUTE(SUBSTITUTE(SUBSTITUTE(LOWER(TRIM(L916)),"á","a"),"é","e"),"í","i"),"ó","o"),"ú","u"),"ü","u"),"ñ","n"),"à","a"),"è","e"),"ì","i"),"ò","o"),"ù","u"),"")</f>
        <v/>
      </c>
      <c r="W916" s="25">
        <f>IF(AND(Q916=1,I916&lt;&gt;""),SUBSTITUTE(SUBSTITUTE(SUBSTITUTE(SUBSTITUTE(SUBSTITUTE(SUBSTITUTE(SUBSTITUTE(SUBSTITUTE(SUBSTITUTE(SUBSTITUTE(SUBSTITUTE(SUBSTITUTE(LOWER(TRIM(I916)),"á","a"),"é","e"),"í","i"),"ó","o"),"ú","u"),"ü","u"),"ñ","n"),"à","a"),"è","e"),"ì","i"),"ò","o"),"ù","u"),"")</f>
        <v/>
      </c>
      <c r="X916" s="25">
        <f>IF(U916="","",IF(OR(U916="si, en la proxima tarea",U916="si, con cambios"),1,0))</f>
        <v/>
      </c>
      <c r="Y916" s="25">
        <f>IF(AND(Q916=1,A916&lt;&gt;""),IF(IFERROR(COUNTIFS(A$3:A916,"="&amp;SUBSTITUTE(SUBSTITUTE(SUBSTITUTE(A916,"~","~~"),"*","~*"),"?","~?"),Q$3:Q916,1),0)=1,MAX(Y$2:Y915)+1,""),"")</f>
        <v/>
      </c>
      <c r="Z916" s="25">
        <f>IF(Y916="","",COUNTIFS($A$3:$A$1002,"="&amp;SUBSTITUTE(SUBSTITUTE(SUBSTITUTE(A916,"~","~~"),"*","~*"),"?","~?"),$Q$3:$Q$1002,1)*10000-Y916)</f>
        <v/>
      </c>
    </row>
    <row r="917">
      <c r="A917">
        <f>IF(A$2=0,"",IFERROR(TRIM(INDEX('Pegar docentes'!$A$1:$BZ$1001,916,A$2)&amp;""),""))</f>
        <v/>
      </c>
      <c r="B917">
        <f>IF(B$2=0,"",IFERROR(TRIM(INDEX('Pegar docentes'!$A$1:$BZ$1001,916,B$2)&amp;""),""))</f>
        <v/>
      </c>
      <c r="C917">
        <f>IF(C$2=0,"",IFERROR(TRIM(INDEX('Pegar docentes'!$A$1:$BZ$1001,916,C$2)&amp;""),""))</f>
        <v/>
      </c>
      <c r="D917">
        <f>IF(D$2=0,"",IFERROR(TRIM(INDEX('Pegar docentes'!$A$1:$BZ$1001,916,D$2)&amp;""),""))</f>
        <v/>
      </c>
      <c r="E917">
        <f>IF(E$2=0,"",IFERROR(TRIM(INDEX('Pegar docentes'!$A$1:$BZ$1001,916,E$2)&amp;""),""))</f>
        <v/>
      </c>
      <c r="F917">
        <f>IF(F$2=0,"",IFERROR(TRIM(INDEX('Pegar docentes'!$A$1:$BZ$1001,916,F$2)&amp;""),""))</f>
        <v/>
      </c>
      <c r="G917">
        <f>IF(G$2=0,"",IFERROR(TRIM(INDEX('Pegar docentes'!$A$1:$BZ$1001,916,G$2)&amp;""),""))</f>
        <v/>
      </c>
      <c r="H917">
        <f>IF(H$2=0,"",IFERROR(TRIM(INDEX('Pegar docentes'!$A$1:$BZ$1001,916,H$2)&amp;""),""))</f>
        <v/>
      </c>
      <c r="I917">
        <f>IF(I$2=0,"",IFERROR(TRIM(INDEX('Pegar docentes'!$A$1:$BZ$1001,916,I$2)&amp;""),""))</f>
        <v/>
      </c>
      <c r="J917">
        <f>IF(J$2=0,"",IFERROR(TRIM(INDEX('Pegar docentes'!$A$1:$BZ$1001,916,J$2)&amp;""),""))</f>
        <v/>
      </c>
      <c r="K917">
        <f>IF(K$2=0,"",IFERROR(TRIM(INDEX('Pegar docentes'!$A$1:$BZ$1001,916,K$2)&amp;""),""))</f>
        <v/>
      </c>
      <c r="L917">
        <f>IF(L$2=0,"",IFERROR(TRIM(INDEX('Pegar docentes'!$A$1:$BZ$1001,916,L$2)&amp;""),""))</f>
        <v/>
      </c>
      <c r="M917">
        <f>IF(M$2=0,"",IFERROR(TRIM(INDEX('Pegar docentes'!$A$1:$BZ$1001,916,M$2)&amp;""),""))</f>
        <v/>
      </c>
      <c r="N917">
        <f>IF(N$2=0,"",IFERROR(TRIM(INDEX('Pegar docentes'!$A$1:$BZ$1001,916,N$2)&amp;""),""))</f>
        <v/>
      </c>
      <c r="O917">
        <f>IF(O$2=0,"",IFERROR(TRIM(INDEX('Pegar docentes'!$A$1:$BZ$1001,916,O$2)&amp;""),""))</f>
        <v/>
      </c>
      <c r="P917">
        <f>IF(P$2=0,"",IFERROR(TRIM(INDEX('Pegar docentes'!$A$1:$BZ$1001,916,P$2)&amp;""),""))</f>
        <v/>
      </c>
      <c r="Q917" s="25">
        <f>IF(OR(D917&lt;&gt;"",H917&lt;&gt;""),1,"")</f>
        <v/>
      </c>
      <c r="R917" s="25">
        <f>IF(Q917=1,IF(ISNUMBER(FIND("#"&amp;MID(D917,1,1)&amp;"#","#0#1#2#3#4#5#6#7#8#9#")),IF(ISNUMBER(FIND("#"&amp;MID(D917,2,1)&amp;"#","#0#1#2#3#4#5#6#7#8#9#")),IF(AND(VALUE(LEFT(D917,2))&gt;=1,VALUE(LEFT(D917,2))&lt;=5),VALUE(LEFT(D917,2)),""),IF(AND(VALUE(LEFT(D917,1))&gt;=1,VALUE(LEFT(D917,1))&lt;=5),VALUE(LEFT(D917,1)),"")),""),"")</f>
        <v/>
      </c>
      <c r="S917" s="25">
        <f>IF(AND(Q917=1,E917&lt;&gt;""),SUBSTITUTE(SUBSTITUTE(SUBSTITUTE(SUBSTITUTE(SUBSTITUTE(SUBSTITUTE(SUBSTITUTE(SUBSTITUTE(SUBSTITUTE(SUBSTITUTE(SUBSTITUTE(SUBSTITUTE(LOWER(TRIM(E917)),"á","a"),"é","e"),"í","i"),"ó","o"),"ú","u"),"ü","u"),"ñ","n"),"à","a"),"è","e"),"ì","i"),"ò","o"),"ù","u"),"")</f>
        <v/>
      </c>
      <c r="T917" s="25">
        <f>IF(AND(Q917=1,G917&lt;&gt;""),SUBSTITUTE(SUBSTITUTE(SUBSTITUTE(SUBSTITUTE(SUBSTITUTE(SUBSTITUTE(SUBSTITUTE(SUBSTITUTE(SUBSTITUTE(SUBSTITUTE(SUBSTITUTE(SUBSTITUTE(LOWER(TRIM(G917)),"á","a"),"é","e"),"í","i"),"ó","o"),"ú","u"),"ü","u"),"ñ","n"),"à","a"),"è","e"),"ì","i"),"ò","o"),"ù","u"),"")</f>
        <v/>
      </c>
      <c r="U917" s="25">
        <f>IF(AND(Q917=1,H917&lt;&gt;""),SUBSTITUTE(SUBSTITUTE(SUBSTITUTE(SUBSTITUTE(SUBSTITUTE(SUBSTITUTE(SUBSTITUTE(SUBSTITUTE(SUBSTITUTE(SUBSTITUTE(SUBSTITUTE(SUBSTITUTE(LOWER(TRIM(H917)),"á","a"),"é","e"),"í","i"),"ó","o"),"ú","u"),"ü","u"),"ñ","n"),"à","a"),"è","e"),"ì","i"),"ò","o"),"ù","u"),"")</f>
        <v/>
      </c>
      <c r="V917" s="25">
        <f>IF(AND(Q917=1,L917&lt;&gt;""),SUBSTITUTE(SUBSTITUTE(SUBSTITUTE(SUBSTITUTE(SUBSTITUTE(SUBSTITUTE(SUBSTITUTE(SUBSTITUTE(SUBSTITUTE(SUBSTITUTE(SUBSTITUTE(SUBSTITUTE(LOWER(TRIM(L917)),"á","a"),"é","e"),"í","i"),"ó","o"),"ú","u"),"ü","u"),"ñ","n"),"à","a"),"è","e"),"ì","i"),"ò","o"),"ù","u"),"")</f>
        <v/>
      </c>
      <c r="W917" s="25">
        <f>IF(AND(Q917=1,I917&lt;&gt;""),SUBSTITUTE(SUBSTITUTE(SUBSTITUTE(SUBSTITUTE(SUBSTITUTE(SUBSTITUTE(SUBSTITUTE(SUBSTITUTE(SUBSTITUTE(SUBSTITUTE(SUBSTITUTE(SUBSTITUTE(LOWER(TRIM(I917)),"á","a"),"é","e"),"í","i"),"ó","o"),"ú","u"),"ü","u"),"ñ","n"),"à","a"),"è","e"),"ì","i"),"ò","o"),"ù","u"),"")</f>
        <v/>
      </c>
      <c r="X917" s="25">
        <f>IF(U917="","",IF(OR(U917="si, en la proxima tarea",U917="si, con cambios"),1,0))</f>
        <v/>
      </c>
      <c r="Y917" s="25">
        <f>IF(AND(Q917=1,A917&lt;&gt;""),IF(IFERROR(COUNTIFS(A$3:A917,"="&amp;SUBSTITUTE(SUBSTITUTE(SUBSTITUTE(A917,"~","~~"),"*","~*"),"?","~?"),Q$3:Q917,1),0)=1,MAX(Y$2:Y916)+1,""),"")</f>
        <v/>
      </c>
      <c r="Z917" s="25">
        <f>IF(Y917="","",COUNTIFS($A$3:$A$1002,"="&amp;SUBSTITUTE(SUBSTITUTE(SUBSTITUTE(A917,"~","~~"),"*","~*"),"?","~?"),$Q$3:$Q$1002,1)*10000-Y917)</f>
        <v/>
      </c>
    </row>
    <row r="918">
      <c r="A918">
        <f>IF(A$2=0,"",IFERROR(TRIM(INDEX('Pegar docentes'!$A$1:$BZ$1001,917,A$2)&amp;""),""))</f>
        <v/>
      </c>
      <c r="B918">
        <f>IF(B$2=0,"",IFERROR(TRIM(INDEX('Pegar docentes'!$A$1:$BZ$1001,917,B$2)&amp;""),""))</f>
        <v/>
      </c>
      <c r="C918">
        <f>IF(C$2=0,"",IFERROR(TRIM(INDEX('Pegar docentes'!$A$1:$BZ$1001,917,C$2)&amp;""),""))</f>
        <v/>
      </c>
      <c r="D918">
        <f>IF(D$2=0,"",IFERROR(TRIM(INDEX('Pegar docentes'!$A$1:$BZ$1001,917,D$2)&amp;""),""))</f>
        <v/>
      </c>
      <c r="E918">
        <f>IF(E$2=0,"",IFERROR(TRIM(INDEX('Pegar docentes'!$A$1:$BZ$1001,917,E$2)&amp;""),""))</f>
        <v/>
      </c>
      <c r="F918">
        <f>IF(F$2=0,"",IFERROR(TRIM(INDEX('Pegar docentes'!$A$1:$BZ$1001,917,F$2)&amp;""),""))</f>
        <v/>
      </c>
      <c r="G918">
        <f>IF(G$2=0,"",IFERROR(TRIM(INDEX('Pegar docentes'!$A$1:$BZ$1001,917,G$2)&amp;""),""))</f>
        <v/>
      </c>
      <c r="H918">
        <f>IF(H$2=0,"",IFERROR(TRIM(INDEX('Pegar docentes'!$A$1:$BZ$1001,917,H$2)&amp;""),""))</f>
        <v/>
      </c>
      <c r="I918">
        <f>IF(I$2=0,"",IFERROR(TRIM(INDEX('Pegar docentes'!$A$1:$BZ$1001,917,I$2)&amp;""),""))</f>
        <v/>
      </c>
      <c r="J918">
        <f>IF(J$2=0,"",IFERROR(TRIM(INDEX('Pegar docentes'!$A$1:$BZ$1001,917,J$2)&amp;""),""))</f>
        <v/>
      </c>
      <c r="K918">
        <f>IF(K$2=0,"",IFERROR(TRIM(INDEX('Pegar docentes'!$A$1:$BZ$1001,917,K$2)&amp;""),""))</f>
        <v/>
      </c>
      <c r="L918">
        <f>IF(L$2=0,"",IFERROR(TRIM(INDEX('Pegar docentes'!$A$1:$BZ$1001,917,L$2)&amp;""),""))</f>
        <v/>
      </c>
      <c r="M918">
        <f>IF(M$2=0,"",IFERROR(TRIM(INDEX('Pegar docentes'!$A$1:$BZ$1001,917,M$2)&amp;""),""))</f>
        <v/>
      </c>
      <c r="N918">
        <f>IF(N$2=0,"",IFERROR(TRIM(INDEX('Pegar docentes'!$A$1:$BZ$1001,917,N$2)&amp;""),""))</f>
        <v/>
      </c>
      <c r="O918">
        <f>IF(O$2=0,"",IFERROR(TRIM(INDEX('Pegar docentes'!$A$1:$BZ$1001,917,O$2)&amp;""),""))</f>
        <v/>
      </c>
      <c r="P918">
        <f>IF(P$2=0,"",IFERROR(TRIM(INDEX('Pegar docentes'!$A$1:$BZ$1001,917,P$2)&amp;""),""))</f>
        <v/>
      </c>
      <c r="Q918" s="25">
        <f>IF(OR(D918&lt;&gt;"",H918&lt;&gt;""),1,"")</f>
        <v/>
      </c>
      <c r="R918" s="25">
        <f>IF(Q918=1,IF(ISNUMBER(FIND("#"&amp;MID(D918,1,1)&amp;"#","#0#1#2#3#4#5#6#7#8#9#")),IF(ISNUMBER(FIND("#"&amp;MID(D918,2,1)&amp;"#","#0#1#2#3#4#5#6#7#8#9#")),IF(AND(VALUE(LEFT(D918,2))&gt;=1,VALUE(LEFT(D918,2))&lt;=5),VALUE(LEFT(D918,2)),""),IF(AND(VALUE(LEFT(D918,1))&gt;=1,VALUE(LEFT(D918,1))&lt;=5),VALUE(LEFT(D918,1)),"")),""),"")</f>
        <v/>
      </c>
      <c r="S918" s="25">
        <f>IF(AND(Q918=1,E918&lt;&gt;""),SUBSTITUTE(SUBSTITUTE(SUBSTITUTE(SUBSTITUTE(SUBSTITUTE(SUBSTITUTE(SUBSTITUTE(SUBSTITUTE(SUBSTITUTE(SUBSTITUTE(SUBSTITUTE(SUBSTITUTE(LOWER(TRIM(E918)),"á","a"),"é","e"),"í","i"),"ó","o"),"ú","u"),"ü","u"),"ñ","n"),"à","a"),"è","e"),"ì","i"),"ò","o"),"ù","u"),"")</f>
        <v/>
      </c>
      <c r="T918" s="25">
        <f>IF(AND(Q918=1,G918&lt;&gt;""),SUBSTITUTE(SUBSTITUTE(SUBSTITUTE(SUBSTITUTE(SUBSTITUTE(SUBSTITUTE(SUBSTITUTE(SUBSTITUTE(SUBSTITUTE(SUBSTITUTE(SUBSTITUTE(SUBSTITUTE(LOWER(TRIM(G918)),"á","a"),"é","e"),"í","i"),"ó","o"),"ú","u"),"ü","u"),"ñ","n"),"à","a"),"è","e"),"ì","i"),"ò","o"),"ù","u"),"")</f>
        <v/>
      </c>
      <c r="U918" s="25">
        <f>IF(AND(Q918=1,H918&lt;&gt;""),SUBSTITUTE(SUBSTITUTE(SUBSTITUTE(SUBSTITUTE(SUBSTITUTE(SUBSTITUTE(SUBSTITUTE(SUBSTITUTE(SUBSTITUTE(SUBSTITUTE(SUBSTITUTE(SUBSTITUTE(LOWER(TRIM(H918)),"á","a"),"é","e"),"í","i"),"ó","o"),"ú","u"),"ü","u"),"ñ","n"),"à","a"),"è","e"),"ì","i"),"ò","o"),"ù","u"),"")</f>
        <v/>
      </c>
      <c r="V918" s="25">
        <f>IF(AND(Q918=1,L918&lt;&gt;""),SUBSTITUTE(SUBSTITUTE(SUBSTITUTE(SUBSTITUTE(SUBSTITUTE(SUBSTITUTE(SUBSTITUTE(SUBSTITUTE(SUBSTITUTE(SUBSTITUTE(SUBSTITUTE(SUBSTITUTE(LOWER(TRIM(L918)),"á","a"),"é","e"),"í","i"),"ó","o"),"ú","u"),"ü","u"),"ñ","n"),"à","a"),"è","e"),"ì","i"),"ò","o"),"ù","u"),"")</f>
        <v/>
      </c>
      <c r="W918" s="25">
        <f>IF(AND(Q918=1,I918&lt;&gt;""),SUBSTITUTE(SUBSTITUTE(SUBSTITUTE(SUBSTITUTE(SUBSTITUTE(SUBSTITUTE(SUBSTITUTE(SUBSTITUTE(SUBSTITUTE(SUBSTITUTE(SUBSTITUTE(SUBSTITUTE(LOWER(TRIM(I918)),"á","a"),"é","e"),"í","i"),"ó","o"),"ú","u"),"ü","u"),"ñ","n"),"à","a"),"è","e"),"ì","i"),"ò","o"),"ù","u"),"")</f>
        <v/>
      </c>
      <c r="X918" s="25">
        <f>IF(U918="","",IF(OR(U918="si, en la proxima tarea",U918="si, con cambios"),1,0))</f>
        <v/>
      </c>
      <c r="Y918" s="25">
        <f>IF(AND(Q918=1,A918&lt;&gt;""),IF(IFERROR(COUNTIFS(A$3:A918,"="&amp;SUBSTITUTE(SUBSTITUTE(SUBSTITUTE(A918,"~","~~"),"*","~*"),"?","~?"),Q$3:Q918,1),0)=1,MAX(Y$2:Y917)+1,""),"")</f>
        <v/>
      </c>
      <c r="Z918" s="25">
        <f>IF(Y918="","",COUNTIFS($A$3:$A$1002,"="&amp;SUBSTITUTE(SUBSTITUTE(SUBSTITUTE(A918,"~","~~"),"*","~*"),"?","~?"),$Q$3:$Q$1002,1)*10000-Y918)</f>
        <v/>
      </c>
    </row>
    <row r="919">
      <c r="A919">
        <f>IF(A$2=0,"",IFERROR(TRIM(INDEX('Pegar docentes'!$A$1:$BZ$1001,918,A$2)&amp;""),""))</f>
        <v/>
      </c>
      <c r="B919">
        <f>IF(B$2=0,"",IFERROR(TRIM(INDEX('Pegar docentes'!$A$1:$BZ$1001,918,B$2)&amp;""),""))</f>
        <v/>
      </c>
      <c r="C919">
        <f>IF(C$2=0,"",IFERROR(TRIM(INDEX('Pegar docentes'!$A$1:$BZ$1001,918,C$2)&amp;""),""))</f>
        <v/>
      </c>
      <c r="D919">
        <f>IF(D$2=0,"",IFERROR(TRIM(INDEX('Pegar docentes'!$A$1:$BZ$1001,918,D$2)&amp;""),""))</f>
        <v/>
      </c>
      <c r="E919">
        <f>IF(E$2=0,"",IFERROR(TRIM(INDEX('Pegar docentes'!$A$1:$BZ$1001,918,E$2)&amp;""),""))</f>
        <v/>
      </c>
      <c r="F919">
        <f>IF(F$2=0,"",IFERROR(TRIM(INDEX('Pegar docentes'!$A$1:$BZ$1001,918,F$2)&amp;""),""))</f>
        <v/>
      </c>
      <c r="G919">
        <f>IF(G$2=0,"",IFERROR(TRIM(INDEX('Pegar docentes'!$A$1:$BZ$1001,918,G$2)&amp;""),""))</f>
        <v/>
      </c>
      <c r="H919">
        <f>IF(H$2=0,"",IFERROR(TRIM(INDEX('Pegar docentes'!$A$1:$BZ$1001,918,H$2)&amp;""),""))</f>
        <v/>
      </c>
      <c r="I919">
        <f>IF(I$2=0,"",IFERROR(TRIM(INDEX('Pegar docentes'!$A$1:$BZ$1001,918,I$2)&amp;""),""))</f>
        <v/>
      </c>
      <c r="J919">
        <f>IF(J$2=0,"",IFERROR(TRIM(INDEX('Pegar docentes'!$A$1:$BZ$1001,918,J$2)&amp;""),""))</f>
        <v/>
      </c>
      <c r="K919">
        <f>IF(K$2=0,"",IFERROR(TRIM(INDEX('Pegar docentes'!$A$1:$BZ$1001,918,K$2)&amp;""),""))</f>
        <v/>
      </c>
      <c r="L919">
        <f>IF(L$2=0,"",IFERROR(TRIM(INDEX('Pegar docentes'!$A$1:$BZ$1001,918,L$2)&amp;""),""))</f>
        <v/>
      </c>
      <c r="M919">
        <f>IF(M$2=0,"",IFERROR(TRIM(INDEX('Pegar docentes'!$A$1:$BZ$1001,918,M$2)&amp;""),""))</f>
        <v/>
      </c>
      <c r="N919">
        <f>IF(N$2=0,"",IFERROR(TRIM(INDEX('Pegar docentes'!$A$1:$BZ$1001,918,N$2)&amp;""),""))</f>
        <v/>
      </c>
      <c r="O919">
        <f>IF(O$2=0,"",IFERROR(TRIM(INDEX('Pegar docentes'!$A$1:$BZ$1001,918,O$2)&amp;""),""))</f>
        <v/>
      </c>
      <c r="P919">
        <f>IF(P$2=0,"",IFERROR(TRIM(INDEX('Pegar docentes'!$A$1:$BZ$1001,918,P$2)&amp;""),""))</f>
        <v/>
      </c>
      <c r="Q919" s="25">
        <f>IF(OR(D919&lt;&gt;"",H919&lt;&gt;""),1,"")</f>
        <v/>
      </c>
      <c r="R919" s="25">
        <f>IF(Q919=1,IF(ISNUMBER(FIND("#"&amp;MID(D919,1,1)&amp;"#","#0#1#2#3#4#5#6#7#8#9#")),IF(ISNUMBER(FIND("#"&amp;MID(D919,2,1)&amp;"#","#0#1#2#3#4#5#6#7#8#9#")),IF(AND(VALUE(LEFT(D919,2))&gt;=1,VALUE(LEFT(D919,2))&lt;=5),VALUE(LEFT(D919,2)),""),IF(AND(VALUE(LEFT(D919,1))&gt;=1,VALUE(LEFT(D919,1))&lt;=5),VALUE(LEFT(D919,1)),"")),""),"")</f>
        <v/>
      </c>
      <c r="S919" s="25">
        <f>IF(AND(Q919=1,E919&lt;&gt;""),SUBSTITUTE(SUBSTITUTE(SUBSTITUTE(SUBSTITUTE(SUBSTITUTE(SUBSTITUTE(SUBSTITUTE(SUBSTITUTE(SUBSTITUTE(SUBSTITUTE(SUBSTITUTE(SUBSTITUTE(LOWER(TRIM(E919)),"á","a"),"é","e"),"í","i"),"ó","o"),"ú","u"),"ü","u"),"ñ","n"),"à","a"),"è","e"),"ì","i"),"ò","o"),"ù","u"),"")</f>
        <v/>
      </c>
      <c r="T919" s="25">
        <f>IF(AND(Q919=1,G919&lt;&gt;""),SUBSTITUTE(SUBSTITUTE(SUBSTITUTE(SUBSTITUTE(SUBSTITUTE(SUBSTITUTE(SUBSTITUTE(SUBSTITUTE(SUBSTITUTE(SUBSTITUTE(SUBSTITUTE(SUBSTITUTE(LOWER(TRIM(G919)),"á","a"),"é","e"),"í","i"),"ó","o"),"ú","u"),"ü","u"),"ñ","n"),"à","a"),"è","e"),"ì","i"),"ò","o"),"ù","u"),"")</f>
        <v/>
      </c>
      <c r="U919" s="25">
        <f>IF(AND(Q919=1,H919&lt;&gt;""),SUBSTITUTE(SUBSTITUTE(SUBSTITUTE(SUBSTITUTE(SUBSTITUTE(SUBSTITUTE(SUBSTITUTE(SUBSTITUTE(SUBSTITUTE(SUBSTITUTE(SUBSTITUTE(SUBSTITUTE(LOWER(TRIM(H919)),"á","a"),"é","e"),"í","i"),"ó","o"),"ú","u"),"ü","u"),"ñ","n"),"à","a"),"è","e"),"ì","i"),"ò","o"),"ù","u"),"")</f>
        <v/>
      </c>
      <c r="V919" s="25">
        <f>IF(AND(Q919=1,L919&lt;&gt;""),SUBSTITUTE(SUBSTITUTE(SUBSTITUTE(SUBSTITUTE(SUBSTITUTE(SUBSTITUTE(SUBSTITUTE(SUBSTITUTE(SUBSTITUTE(SUBSTITUTE(SUBSTITUTE(SUBSTITUTE(LOWER(TRIM(L919)),"á","a"),"é","e"),"í","i"),"ó","o"),"ú","u"),"ü","u"),"ñ","n"),"à","a"),"è","e"),"ì","i"),"ò","o"),"ù","u"),"")</f>
        <v/>
      </c>
      <c r="W919" s="25">
        <f>IF(AND(Q919=1,I919&lt;&gt;""),SUBSTITUTE(SUBSTITUTE(SUBSTITUTE(SUBSTITUTE(SUBSTITUTE(SUBSTITUTE(SUBSTITUTE(SUBSTITUTE(SUBSTITUTE(SUBSTITUTE(SUBSTITUTE(SUBSTITUTE(LOWER(TRIM(I919)),"á","a"),"é","e"),"í","i"),"ó","o"),"ú","u"),"ü","u"),"ñ","n"),"à","a"),"è","e"),"ì","i"),"ò","o"),"ù","u"),"")</f>
        <v/>
      </c>
      <c r="X919" s="25">
        <f>IF(U919="","",IF(OR(U919="si, en la proxima tarea",U919="si, con cambios"),1,0))</f>
        <v/>
      </c>
      <c r="Y919" s="25">
        <f>IF(AND(Q919=1,A919&lt;&gt;""),IF(IFERROR(COUNTIFS(A$3:A919,"="&amp;SUBSTITUTE(SUBSTITUTE(SUBSTITUTE(A919,"~","~~"),"*","~*"),"?","~?"),Q$3:Q919,1),0)=1,MAX(Y$2:Y918)+1,""),"")</f>
        <v/>
      </c>
      <c r="Z919" s="25">
        <f>IF(Y919="","",COUNTIFS($A$3:$A$1002,"="&amp;SUBSTITUTE(SUBSTITUTE(SUBSTITUTE(A919,"~","~~"),"*","~*"),"?","~?"),$Q$3:$Q$1002,1)*10000-Y919)</f>
        <v/>
      </c>
    </row>
    <row r="920">
      <c r="A920">
        <f>IF(A$2=0,"",IFERROR(TRIM(INDEX('Pegar docentes'!$A$1:$BZ$1001,919,A$2)&amp;""),""))</f>
        <v/>
      </c>
      <c r="B920">
        <f>IF(B$2=0,"",IFERROR(TRIM(INDEX('Pegar docentes'!$A$1:$BZ$1001,919,B$2)&amp;""),""))</f>
        <v/>
      </c>
      <c r="C920">
        <f>IF(C$2=0,"",IFERROR(TRIM(INDEX('Pegar docentes'!$A$1:$BZ$1001,919,C$2)&amp;""),""))</f>
        <v/>
      </c>
      <c r="D920">
        <f>IF(D$2=0,"",IFERROR(TRIM(INDEX('Pegar docentes'!$A$1:$BZ$1001,919,D$2)&amp;""),""))</f>
        <v/>
      </c>
      <c r="E920">
        <f>IF(E$2=0,"",IFERROR(TRIM(INDEX('Pegar docentes'!$A$1:$BZ$1001,919,E$2)&amp;""),""))</f>
        <v/>
      </c>
      <c r="F920">
        <f>IF(F$2=0,"",IFERROR(TRIM(INDEX('Pegar docentes'!$A$1:$BZ$1001,919,F$2)&amp;""),""))</f>
        <v/>
      </c>
      <c r="G920">
        <f>IF(G$2=0,"",IFERROR(TRIM(INDEX('Pegar docentes'!$A$1:$BZ$1001,919,G$2)&amp;""),""))</f>
        <v/>
      </c>
      <c r="H920">
        <f>IF(H$2=0,"",IFERROR(TRIM(INDEX('Pegar docentes'!$A$1:$BZ$1001,919,H$2)&amp;""),""))</f>
        <v/>
      </c>
      <c r="I920">
        <f>IF(I$2=0,"",IFERROR(TRIM(INDEX('Pegar docentes'!$A$1:$BZ$1001,919,I$2)&amp;""),""))</f>
        <v/>
      </c>
      <c r="J920">
        <f>IF(J$2=0,"",IFERROR(TRIM(INDEX('Pegar docentes'!$A$1:$BZ$1001,919,J$2)&amp;""),""))</f>
        <v/>
      </c>
      <c r="K920">
        <f>IF(K$2=0,"",IFERROR(TRIM(INDEX('Pegar docentes'!$A$1:$BZ$1001,919,K$2)&amp;""),""))</f>
        <v/>
      </c>
      <c r="L920">
        <f>IF(L$2=0,"",IFERROR(TRIM(INDEX('Pegar docentes'!$A$1:$BZ$1001,919,L$2)&amp;""),""))</f>
        <v/>
      </c>
      <c r="M920">
        <f>IF(M$2=0,"",IFERROR(TRIM(INDEX('Pegar docentes'!$A$1:$BZ$1001,919,M$2)&amp;""),""))</f>
        <v/>
      </c>
      <c r="N920">
        <f>IF(N$2=0,"",IFERROR(TRIM(INDEX('Pegar docentes'!$A$1:$BZ$1001,919,N$2)&amp;""),""))</f>
        <v/>
      </c>
      <c r="O920">
        <f>IF(O$2=0,"",IFERROR(TRIM(INDEX('Pegar docentes'!$A$1:$BZ$1001,919,O$2)&amp;""),""))</f>
        <v/>
      </c>
      <c r="P920">
        <f>IF(P$2=0,"",IFERROR(TRIM(INDEX('Pegar docentes'!$A$1:$BZ$1001,919,P$2)&amp;""),""))</f>
        <v/>
      </c>
      <c r="Q920" s="25">
        <f>IF(OR(D920&lt;&gt;"",H920&lt;&gt;""),1,"")</f>
        <v/>
      </c>
      <c r="R920" s="25">
        <f>IF(Q920=1,IF(ISNUMBER(FIND("#"&amp;MID(D920,1,1)&amp;"#","#0#1#2#3#4#5#6#7#8#9#")),IF(ISNUMBER(FIND("#"&amp;MID(D920,2,1)&amp;"#","#0#1#2#3#4#5#6#7#8#9#")),IF(AND(VALUE(LEFT(D920,2))&gt;=1,VALUE(LEFT(D920,2))&lt;=5),VALUE(LEFT(D920,2)),""),IF(AND(VALUE(LEFT(D920,1))&gt;=1,VALUE(LEFT(D920,1))&lt;=5),VALUE(LEFT(D920,1)),"")),""),"")</f>
        <v/>
      </c>
      <c r="S920" s="25">
        <f>IF(AND(Q920=1,E920&lt;&gt;""),SUBSTITUTE(SUBSTITUTE(SUBSTITUTE(SUBSTITUTE(SUBSTITUTE(SUBSTITUTE(SUBSTITUTE(SUBSTITUTE(SUBSTITUTE(SUBSTITUTE(SUBSTITUTE(SUBSTITUTE(LOWER(TRIM(E920)),"á","a"),"é","e"),"í","i"),"ó","o"),"ú","u"),"ü","u"),"ñ","n"),"à","a"),"è","e"),"ì","i"),"ò","o"),"ù","u"),"")</f>
        <v/>
      </c>
      <c r="T920" s="25">
        <f>IF(AND(Q920=1,G920&lt;&gt;""),SUBSTITUTE(SUBSTITUTE(SUBSTITUTE(SUBSTITUTE(SUBSTITUTE(SUBSTITUTE(SUBSTITUTE(SUBSTITUTE(SUBSTITUTE(SUBSTITUTE(SUBSTITUTE(SUBSTITUTE(LOWER(TRIM(G920)),"á","a"),"é","e"),"í","i"),"ó","o"),"ú","u"),"ü","u"),"ñ","n"),"à","a"),"è","e"),"ì","i"),"ò","o"),"ù","u"),"")</f>
        <v/>
      </c>
      <c r="U920" s="25">
        <f>IF(AND(Q920=1,H920&lt;&gt;""),SUBSTITUTE(SUBSTITUTE(SUBSTITUTE(SUBSTITUTE(SUBSTITUTE(SUBSTITUTE(SUBSTITUTE(SUBSTITUTE(SUBSTITUTE(SUBSTITUTE(SUBSTITUTE(SUBSTITUTE(LOWER(TRIM(H920)),"á","a"),"é","e"),"í","i"),"ó","o"),"ú","u"),"ü","u"),"ñ","n"),"à","a"),"è","e"),"ì","i"),"ò","o"),"ù","u"),"")</f>
        <v/>
      </c>
      <c r="V920" s="25">
        <f>IF(AND(Q920=1,L920&lt;&gt;""),SUBSTITUTE(SUBSTITUTE(SUBSTITUTE(SUBSTITUTE(SUBSTITUTE(SUBSTITUTE(SUBSTITUTE(SUBSTITUTE(SUBSTITUTE(SUBSTITUTE(SUBSTITUTE(SUBSTITUTE(LOWER(TRIM(L920)),"á","a"),"é","e"),"í","i"),"ó","o"),"ú","u"),"ü","u"),"ñ","n"),"à","a"),"è","e"),"ì","i"),"ò","o"),"ù","u"),"")</f>
        <v/>
      </c>
      <c r="W920" s="25">
        <f>IF(AND(Q920=1,I920&lt;&gt;""),SUBSTITUTE(SUBSTITUTE(SUBSTITUTE(SUBSTITUTE(SUBSTITUTE(SUBSTITUTE(SUBSTITUTE(SUBSTITUTE(SUBSTITUTE(SUBSTITUTE(SUBSTITUTE(SUBSTITUTE(LOWER(TRIM(I920)),"á","a"),"é","e"),"í","i"),"ó","o"),"ú","u"),"ü","u"),"ñ","n"),"à","a"),"è","e"),"ì","i"),"ò","o"),"ù","u"),"")</f>
        <v/>
      </c>
      <c r="X920" s="25">
        <f>IF(U920="","",IF(OR(U920="si, en la proxima tarea",U920="si, con cambios"),1,0))</f>
        <v/>
      </c>
      <c r="Y920" s="25">
        <f>IF(AND(Q920=1,A920&lt;&gt;""),IF(IFERROR(COUNTIFS(A$3:A920,"="&amp;SUBSTITUTE(SUBSTITUTE(SUBSTITUTE(A920,"~","~~"),"*","~*"),"?","~?"),Q$3:Q920,1),0)=1,MAX(Y$2:Y919)+1,""),"")</f>
        <v/>
      </c>
      <c r="Z920" s="25">
        <f>IF(Y920="","",COUNTIFS($A$3:$A$1002,"="&amp;SUBSTITUTE(SUBSTITUTE(SUBSTITUTE(A920,"~","~~"),"*","~*"),"?","~?"),$Q$3:$Q$1002,1)*10000-Y920)</f>
        <v/>
      </c>
    </row>
    <row r="921">
      <c r="A921">
        <f>IF(A$2=0,"",IFERROR(TRIM(INDEX('Pegar docentes'!$A$1:$BZ$1001,920,A$2)&amp;""),""))</f>
        <v/>
      </c>
      <c r="B921">
        <f>IF(B$2=0,"",IFERROR(TRIM(INDEX('Pegar docentes'!$A$1:$BZ$1001,920,B$2)&amp;""),""))</f>
        <v/>
      </c>
      <c r="C921">
        <f>IF(C$2=0,"",IFERROR(TRIM(INDEX('Pegar docentes'!$A$1:$BZ$1001,920,C$2)&amp;""),""))</f>
        <v/>
      </c>
      <c r="D921">
        <f>IF(D$2=0,"",IFERROR(TRIM(INDEX('Pegar docentes'!$A$1:$BZ$1001,920,D$2)&amp;""),""))</f>
        <v/>
      </c>
      <c r="E921">
        <f>IF(E$2=0,"",IFERROR(TRIM(INDEX('Pegar docentes'!$A$1:$BZ$1001,920,E$2)&amp;""),""))</f>
        <v/>
      </c>
      <c r="F921">
        <f>IF(F$2=0,"",IFERROR(TRIM(INDEX('Pegar docentes'!$A$1:$BZ$1001,920,F$2)&amp;""),""))</f>
        <v/>
      </c>
      <c r="G921">
        <f>IF(G$2=0,"",IFERROR(TRIM(INDEX('Pegar docentes'!$A$1:$BZ$1001,920,G$2)&amp;""),""))</f>
        <v/>
      </c>
      <c r="H921">
        <f>IF(H$2=0,"",IFERROR(TRIM(INDEX('Pegar docentes'!$A$1:$BZ$1001,920,H$2)&amp;""),""))</f>
        <v/>
      </c>
      <c r="I921">
        <f>IF(I$2=0,"",IFERROR(TRIM(INDEX('Pegar docentes'!$A$1:$BZ$1001,920,I$2)&amp;""),""))</f>
        <v/>
      </c>
      <c r="J921">
        <f>IF(J$2=0,"",IFERROR(TRIM(INDEX('Pegar docentes'!$A$1:$BZ$1001,920,J$2)&amp;""),""))</f>
        <v/>
      </c>
      <c r="K921">
        <f>IF(K$2=0,"",IFERROR(TRIM(INDEX('Pegar docentes'!$A$1:$BZ$1001,920,K$2)&amp;""),""))</f>
        <v/>
      </c>
      <c r="L921">
        <f>IF(L$2=0,"",IFERROR(TRIM(INDEX('Pegar docentes'!$A$1:$BZ$1001,920,L$2)&amp;""),""))</f>
        <v/>
      </c>
      <c r="M921">
        <f>IF(M$2=0,"",IFERROR(TRIM(INDEX('Pegar docentes'!$A$1:$BZ$1001,920,M$2)&amp;""),""))</f>
        <v/>
      </c>
      <c r="N921">
        <f>IF(N$2=0,"",IFERROR(TRIM(INDEX('Pegar docentes'!$A$1:$BZ$1001,920,N$2)&amp;""),""))</f>
        <v/>
      </c>
      <c r="O921">
        <f>IF(O$2=0,"",IFERROR(TRIM(INDEX('Pegar docentes'!$A$1:$BZ$1001,920,O$2)&amp;""),""))</f>
        <v/>
      </c>
      <c r="P921">
        <f>IF(P$2=0,"",IFERROR(TRIM(INDEX('Pegar docentes'!$A$1:$BZ$1001,920,P$2)&amp;""),""))</f>
        <v/>
      </c>
      <c r="Q921" s="25">
        <f>IF(OR(D921&lt;&gt;"",H921&lt;&gt;""),1,"")</f>
        <v/>
      </c>
      <c r="R921" s="25">
        <f>IF(Q921=1,IF(ISNUMBER(FIND("#"&amp;MID(D921,1,1)&amp;"#","#0#1#2#3#4#5#6#7#8#9#")),IF(ISNUMBER(FIND("#"&amp;MID(D921,2,1)&amp;"#","#0#1#2#3#4#5#6#7#8#9#")),IF(AND(VALUE(LEFT(D921,2))&gt;=1,VALUE(LEFT(D921,2))&lt;=5),VALUE(LEFT(D921,2)),""),IF(AND(VALUE(LEFT(D921,1))&gt;=1,VALUE(LEFT(D921,1))&lt;=5),VALUE(LEFT(D921,1)),"")),""),"")</f>
        <v/>
      </c>
      <c r="S921" s="25">
        <f>IF(AND(Q921=1,E921&lt;&gt;""),SUBSTITUTE(SUBSTITUTE(SUBSTITUTE(SUBSTITUTE(SUBSTITUTE(SUBSTITUTE(SUBSTITUTE(SUBSTITUTE(SUBSTITUTE(SUBSTITUTE(SUBSTITUTE(SUBSTITUTE(LOWER(TRIM(E921)),"á","a"),"é","e"),"í","i"),"ó","o"),"ú","u"),"ü","u"),"ñ","n"),"à","a"),"è","e"),"ì","i"),"ò","o"),"ù","u"),"")</f>
        <v/>
      </c>
      <c r="T921" s="25">
        <f>IF(AND(Q921=1,G921&lt;&gt;""),SUBSTITUTE(SUBSTITUTE(SUBSTITUTE(SUBSTITUTE(SUBSTITUTE(SUBSTITUTE(SUBSTITUTE(SUBSTITUTE(SUBSTITUTE(SUBSTITUTE(SUBSTITUTE(SUBSTITUTE(LOWER(TRIM(G921)),"á","a"),"é","e"),"í","i"),"ó","o"),"ú","u"),"ü","u"),"ñ","n"),"à","a"),"è","e"),"ì","i"),"ò","o"),"ù","u"),"")</f>
        <v/>
      </c>
      <c r="U921" s="25">
        <f>IF(AND(Q921=1,H921&lt;&gt;""),SUBSTITUTE(SUBSTITUTE(SUBSTITUTE(SUBSTITUTE(SUBSTITUTE(SUBSTITUTE(SUBSTITUTE(SUBSTITUTE(SUBSTITUTE(SUBSTITUTE(SUBSTITUTE(SUBSTITUTE(LOWER(TRIM(H921)),"á","a"),"é","e"),"í","i"),"ó","o"),"ú","u"),"ü","u"),"ñ","n"),"à","a"),"è","e"),"ì","i"),"ò","o"),"ù","u"),"")</f>
        <v/>
      </c>
      <c r="V921" s="25">
        <f>IF(AND(Q921=1,L921&lt;&gt;""),SUBSTITUTE(SUBSTITUTE(SUBSTITUTE(SUBSTITUTE(SUBSTITUTE(SUBSTITUTE(SUBSTITUTE(SUBSTITUTE(SUBSTITUTE(SUBSTITUTE(SUBSTITUTE(SUBSTITUTE(LOWER(TRIM(L921)),"á","a"),"é","e"),"í","i"),"ó","o"),"ú","u"),"ü","u"),"ñ","n"),"à","a"),"è","e"),"ì","i"),"ò","o"),"ù","u"),"")</f>
        <v/>
      </c>
      <c r="W921" s="25">
        <f>IF(AND(Q921=1,I921&lt;&gt;""),SUBSTITUTE(SUBSTITUTE(SUBSTITUTE(SUBSTITUTE(SUBSTITUTE(SUBSTITUTE(SUBSTITUTE(SUBSTITUTE(SUBSTITUTE(SUBSTITUTE(SUBSTITUTE(SUBSTITUTE(LOWER(TRIM(I921)),"á","a"),"é","e"),"í","i"),"ó","o"),"ú","u"),"ü","u"),"ñ","n"),"à","a"),"è","e"),"ì","i"),"ò","o"),"ù","u"),"")</f>
        <v/>
      </c>
      <c r="X921" s="25">
        <f>IF(U921="","",IF(OR(U921="si, en la proxima tarea",U921="si, con cambios"),1,0))</f>
        <v/>
      </c>
      <c r="Y921" s="25">
        <f>IF(AND(Q921=1,A921&lt;&gt;""),IF(IFERROR(COUNTIFS(A$3:A921,"="&amp;SUBSTITUTE(SUBSTITUTE(SUBSTITUTE(A921,"~","~~"),"*","~*"),"?","~?"),Q$3:Q921,1),0)=1,MAX(Y$2:Y920)+1,""),"")</f>
        <v/>
      </c>
      <c r="Z921" s="25">
        <f>IF(Y921="","",COUNTIFS($A$3:$A$1002,"="&amp;SUBSTITUTE(SUBSTITUTE(SUBSTITUTE(A921,"~","~~"),"*","~*"),"?","~?"),$Q$3:$Q$1002,1)*10000-Y921)</f>
        <v/>
      </c>
    </row>
    <row r="922">
      <c r="A922">
        <f>IF(A$2=0,"",IFERROR(TRIM(INDEX('Pegar docentes'!$A$1:$BZ$1001,921,A$2)&amp;""),""))</f>
        <v/>
      </c>
      <c r="B922">
        <f>IF(B$2=0,"",IFERROR(TRIM(INDEX('Pegar docentes'!$A$1:$BZ$1001,921,B$2)&amp;""),""))</f>
        <v/>
      </c>
      <c r="C922">
        <f>IF(C$2=0,"",IFERROR(TRIM(INDEX('Pegar docentes'!$A$1:$BZ$1001,921,C$2)&amp;""),""))</f>
        <v/>
      </c>
      <c r="D922">
        <f>IF(D$2=0,"",IFERROR(TRIM(INDEX('Pegar docentes'!$A$1:$BZ$1001,921,D$2)&amp;""),""))</f>
        <v/>
      </c>
      <c r="E922">
        <f>IF(E$2=0,"",IFERROR(TRIM(INDEX('Pegar docentes'!$A$1:$BZ$1001,921,E$2)&amp;""),""))</f>
        <v/>
      </c>
      <c r="F922">
        <f>IF(F$2=0,"",IFERROR(TRIM(INDEX('Pegar docentes'!$A$1:$BZ$1001,921,F$2)&amp;""),""))</f>
        <v/>
      </c>
      <c r="G922">
        <f>IF(G$2=0,"",IFERROR(TRIM(INDEX('Pegar docentes'!$A$1:$BZ$1001,921,G$2)&amp;""),""))</f>
        <v/>
      </c>
      <c r="H922">
        <f>IF(H$2=0,"",IFERROR(TRIM(INDEX('Pegar docentes'!$A$1:$BZ$1001,921,H$2)&amp;""),""))</f>
        <v/>
      </c>
      <c r="I922">
        <f>IF(I$2=0,"",IFERROR(TRIM(INDEX('Pegar docentes'!$A$1:$BZ$1001,921,I$2)&amp;""),""))</f>
        <v/>
      </c>
      <c r="J922">
        <f>IF(J$2=0,"",IFERROR(TRIM(INDEX('Pegar docentes'!$A$1:$BZ$1001,921,J$2)&amp;""),""))</f>
        <v/>
      </c>
      <c r="K922">
        <f>IF(K$2=0,"",IFERROR(TRIM(INDEX('Pegar docentes'!$A$1:$BZ$1001,921,K$2)&amp;""),""))</f>
        <v/>
      </c>
      <c r="L922">
        <f>IF(L$2=0,"",IFERROR(TRIM(INDEX('Pegar docentes'!$A$1:$BZ$1001,921,L$2)&amp;""),""))</f>
        <v/>
      </c>
      <c r="M922">
        <f>IF(M$2=0,"",IFERROR(TRIM(INDEX('Pegar docentes'!$A$1:$BZ$1001,921,M$2)&amp;""),""))</f>
        <v/>
      </c>
      <c r="N922">
        <f>IF(N$2=0,"",IFERROR(TRIM(INDEX('Pegar docentes'!$A$1:$BZ$1001,921,N$2)&amp;""),""))</f>
        <v/>
      </c>
      <c r="O922">
        <f>IF(O$2=0,"",IFERROR(TRIM(INDEX('Pegar docentes'!$A$1:$BZ$1001,921,O$2)&amp;""),""))</f>
        <v/>
      </c>
      <c r="P922">
        <f>IF(P$2=0,"",IFERROR(TRIM(INDEX('Pegar docentes'!$A$1:$BZ$1001,921,P$2)&amp;""),""))</f>
        <v/>
      </c>
      <c r="Q922" s="25">
        <f>IF(OR(D922&lt;&gt;"",H922&lt;&gt;""),1,"")</f>
        <v/>
      </c>
      <c r="R922" s="25">
        <f>IF(Q922=1,IF(ISNUMBER(FIND("#"&amp;MID(D922,1,1)&amp;"#","#0#1#2#3#4#5#6#7#8#9#")),IF(ISNUMBER(FIND("#"&amp;MID(D922,2,1)&amp;"#","#0#1#2#3#4#5#6#7#8#9#")),IF(AND(VALUE(LEFT(D922,2))&gt;=1,VALUE(LEFT(D922,2))&lt;=5),VALUE(LEFT(D922,2)),""),IF(AND(VALUE(LEFT(D922,1))&gt;=1,VALUE(LEFT(D922,1))&lt;=5),VALUE(LEFT(D922,1)),"")),""),"")</f>
        <v/>
      </c>
      <c r="S922" s="25">
        <f>IF(AND(Q922=1,E922&lt;&gt;""),SUBSTITUTE(SUBSTITUTE(SUBSTITUTE(SUBSTITUTE(SUBSTITUTE(SUBSTITUTE(SUBSTITUTE(SUBSTITUTE(SUBSTITUTE(SUBSTITUTE(SUBSTITUTE(SUBSTITUTE(LOWER(TRIM(E922)),"á","a"),"é","e"),"í","i"),"ó","o"),"ú","u"),"ü","u"),"ñ","n"),"à","a"),"è","e"),"ì","i"),"ò","o"),"ù","u"),"")</f>
        <v/>
      </c>
      <c r="T922" s="25">
        <f>IF(AND(Q922=1,G922&lt;&gt;""),SUBSTITUTE(SUBSTITUTE(SUBSTITUTE(SUBSTITUTE(SUBSTITUTE(SUBSTITUTE(SUBSTITUTE(SUBSTITUTE(SUBSTITUTE(SUBSTITUTE(SUBSTITUTE(SUBSTITUTE(LOWER(TRIM(G922)),"á","a"),"é","e"),"í","i"),"ó","o"),"ú","u"),"ü","u"),"ñ","n"),"à","a"),"è","e"),"ì","i"),"ò","o"),"ù","u"),"")</f>
        <v/>
      </c>
      <c r="U922" s="25">
        <f>IF(AND(Q922=1,H922&lt;&gt;""),SUBSTITUTE(SUBSTITUTE(SUBSTITUTE(SUBSTITUTE(SUBSTITUTE(SUBSTITUTE(SUBSTITUTE(SUBSTITUTE(SUBSTITUTE(SUBSTITUTE(SUBSTITUTE(SUBSTITUTE(LOWER(TRIM(H922)),"á","a"),"é","e"),"í","i"),"ó","o"),"ú","u"),"ü","u"),"ñ","n"),"à","a"),"è","e"),"ì","i"),"ò","o"),"ù","u"),"")</f>
        <v/>
      </c>
      <c r="V922" s="25">
        <f>IF(AND(Q922=1,L922&lt;&gt;""),SUBSTITUTE(SUBSTITUTE(SUBSTITUTE(SUBSTITUTE(SUBSTITUTE(SUBSTITUTE(SUBSTITUTE(SUBSTITUTE(SUBSTITUTE(SUBSTITUTE(SUBSTITUTE(SUBSTITUTE(LOWER(TRIM(L922)),"á","a"),"é","e"),"í","i"),"ó","o"),"ú","u"),"ü","u"),"ñ","n"),"à","a"),"è","e"),"ì","i"),"ò","o"),"ù","u"),"")</f>
        <v/>
      </c>
      <c r="W922" s="25">
        <f>IF(AND(Q922=1,I922&lt;&gt;""),SUBSTITUTE(SUBSTITUTE(SUBSTITUTE(SUBSTITUTE(SUBSTITUTE(SUBSTITUTE(SUBSTITUTE(SUBSTITUTE(SUBSTITUTE(SUBSTITUTE(SUBSTITUTE(SUBSTITUTE(LOWER(TRIM(I922)),"á","a"),"é","e"),"í","i"),"ó","o"),"ú","u"),"ü","u"),"ñ","n"),"à","a"),"è","e"),"ì","i"),"ò","o"),"ù","u"),"")</f>
        <v/>
      </c>
      <c r="X922" s="25">
        <f>IF(U922="","",IF(OR(U922="si, en la proxima tarea",U922="si, con cambios"),1,0))</f>
        <v/>
      </c>
      <c r="Y922" s="25">
        <f>IF(AND(Q922=1,A922&lt;&gt;""),IF(IFERROR(COUNTIFS(A$3:A922,"="&amp;SUBSTITUTE(SUBSTITUTE(SUBSTITUTE(A922,"~","~~"),"*","~*"),"?","~?"),Q$3:Q922,1),0)=1,MAX(Y$2:Y921)+1,""),"")</f>
        <v/>
      </c>
      <c r="Z922" s="25">
        <f>IF(Y922="","",COUNTIFS($A$3:$A$1002,"="&amp;SUBSTITUTE(SUBSTITUTE(SUBSTITUTE(A922,"~","~~"),"*","~*"),"?","~?"),$Q$3:$Q$1002,1)*10000-Y922)</f>
        <v/>
      </c>
    </row>
    <row r="923">
      <c r="A923">
        <f>IF(A$2=0,"",IFERROR(TRIM(INDEX('Pegar docentes'!$A$1:$BZ$1001,922,A$2)&amp;""),""))</f>
        <v/>
      </c>
      <c r="B923">
        <f>IF(B$2=0,"",IFERROR(TRIM(INDEX('Pegar docentes'!$A$1:$BZ$1001,922,B$2)&amp;""),""))</f>
        <v/>
      </c>
      <c r="C923">
        <f>IF(C$2=0,"",IFERROR(TRIM(INDEX('Pegar docentes'!$A$1:$BZ$1001,922,C$2)&amp;""),""))</f>
        <v/>
      </c>
      <c r="D923">
        <f>IF(D$2=0,"",IFERROR(TRIM(INDEX('Pegar docentes'!$A$1:$BZ$1001,922,D$2)&amp;""),""))</f>
        <v/>
      </c>
      <c r="E923">
        <f>IF(E$2=0,"",IFERROR(TRIM(INDEX('Pegar docentes'!$A$1:$BZ$1001,922,E$2)&amp;""),""))</f>
        <v/>
      </c>
      <c r="F923">
        <f>IF(F$2=0,"",IFERROR(TRIM(INDEX('Pegar docentes'!$A$1:$BZ$1001,922,F$2)&amp;""),""))</f>
        <v/>
      </c>
      <c r="G923">
        <f>IF(G$2=0,"",IFERROR(TRIM(INDEX('Pegar docentes'!$A$1:$BZ$1001,922,G$2)&amp;""),""))</f>
        <v/>
      </c>
      <c r="H923">
        <f>IF(H$2=0,"",IFERROR(TRIM(INDEX('Pegar docentes'!$A$1:$BZ$1001,922,H$2)&amp;""),""))</f>
        <v/>
      </c>
      <c r="I923">
        <f>IF(I$2=0,"",IFERROR(TRIM(INDEX('Pegar docentes'!$A$1:$BZ$1001,922,I$2)&amp;""),""))</f>
        <v/>
      </c>
      <c r="J923">
        <f>IF(J$2=0,"",IFERROR(TRIM(INDEX('Pegar docentes'!$A$1:$BZ$1001,922,J$2)&amp;""),""))</f>
        <v/>
      </c>
      <c r="K923">
        <f>IF(K$2=0,"",IFERROR(TRIM(INDEX('Pegar docentes'!$A$1:$BZ$1001,922,K$2)&amp;""),""))</f>
        <v/>
      </c>
      <c r="L923">
        <f>IF(L$2=0,"",IFERROR(TRIM(INDEX('Pegar docentes'!$A$1:$BZ$1001,922,L$2)&amp;""),""))</f>
        <v/>
      </c>
      <c r="M923">
        <f>IF(M$2=0,"",IFERROR(TRIM(INDEX('Pegar docentes'!$A$1:$BZ$1001,922,M$2)&amp;""),""))</f>
        <v/>
      </c>
      <c r="N923">
        <f>IF(N$2=0,"",IFERROR(TRIM(INDEX('Pegar docentes'!$A$1:$BZ$1001,922,N$2)&amp;""),""))</f>
        <v/>
      </c>
      <c r="O923">
        <f>IF(O$2=0,"",IFERROR(TRIM(INDEX('Pegar docentes'!$A$1:$BZ$1001,922,O$2)&amp;""),""))</f>
        <v/>
      </c>
      <c r="P923">
        <f>IF(P$2=0,"",IFERROR(TRIM(INDEX('Pegar docentes'!$A$1:$BZ$1001,922,P$2)&amp;""),""))</f>
        <v/>
      </c>
      <c r="Q923" s="25">
        <f>IF(OR(D923&lt;&gt;"",H923&lt;&gt;""),1,"")</f>
        <v/>
      </c>
      <c r="R923" s="25">
        <f>IF(Q923=1,IF(ISNUMBER(FIND("#"&amp;MID(D923,1,1)&amp;"#","#0#1#2#3#4#5#6#7#8#9#")),IF(ISNUMBER(FIND("#"&amp;MID(D923,2,1)&amp;"#","#0#1#2#3#4#5#6#7#8#9#")),IF(AND(VALUE(LEFT(D923,2))&gt;=1,VALUE(LEFT(D923,2))&lt;=5),VALUE(LEFT(D923,2)),""),IF(AND(VALUE(LEFT(D923,1))&gt;=1,VALUE(LEFT(D923,1))&lt;=5),VALUE(LEFT(D923,1)),"")),""),"")</f>
        <v/>
      </c>
      <c r="S923" s="25">
        <f>IF(AND(Q923=1,E923&lt;&gt;""),SUBSTITUTE(SUBSTITUTE(SUBSTITUTE(SUBSTITUTE(SUBSTITUTE(SUBSTITUTE(SUBSTITUTE(SUBSTITUTE(SUBSTITUTE(SUBSTITUTE(SUBSTITUTE(SUBSTITUTE(LOWER(TRIM(E923)),"á","a"),"é","e"),"í","i"),"ó","o"),"ú","u"),"ü","u"),"ñ","n"),"à","a"),"è","e"),"ì","i"),"ò","o"),"ù","u"),"")</f>
        <v/>
      </c>
      <c r="T923" s="25">
        <f>IF(AND(Q923=1,G923&lt;&gt;""),SUBSTITUTE(SUBSTITUTE(SUBSTITUTE(SUBSTITUTE(SUBSTITUTE(SUBSTITUTE(SUBSTITUTE(SUBSTITUTE(SUBSTITUTE(SUBSTITUTE(SUBSTITUTE(SUBSTITUTE(LOWER(TRIM(G923)),"á","a"),"é","e"),"í","i"),"ó","o"),"ú","u"),"ü","u"),"ñ","n"),"à","a"),"è","e"),"ì","i"),"ò","o"),"ù","u"),"")</f>
        <v/>
      </c>
      <c r="U923" s="25">
        <f>IF(AND(Q923=1,H923&lt;&gt;""),SUBSTITUTE(SUBSTITUTE(SUBSTITUTE(SUBSTITUTE(SUBSTITUTE(SUBSTITUTE(SUBSTITUTE(SUBSTITUTE(SUBSTITUTE(SUBSTITUTE(SUBSTITUTE(SUBSTITUTE(LOWER(TRIM(H923)),"á","a"),"é","e"),"í","i"),"ó","o"),"ú","u"),"ü","u"),"ñ","n"),"à","a"),"è","e"),"ì","i"),"ò","o"),"ù","u"),"")</f>
        <v/>
      </c>
      <c r="V923" s="25">
        <f>IF(AND(Q923=1,L923&lt;&gt;""),SUBSTITUTE(SUBSTITUTE(SUBSTITUTE(SUBSTITUTE(SUBSTITUTE(SUBSTITUTE(SUBSTITUTE(SUBSTITUTE(SUBSTITUTE(SUBSTITUTE(SUBSTITUTE(SUBSTITUTE(LOWER(TRIM(L923)),"á","a"),"é","e"),"í","i"),"ó","o"),"ú","u"),"ü","u"),"ñ","n"),"à","a"),"è","e"),"ì","i"),"ò","o"),"ù","u"),"")</f>
        <v/>
      </c>
      <c r="W923" s="25">
        <f>IF(AND(Q923=1,I923&lt;&gt;""),SUBSTITUTE(SUBSTITUTE(SUBSTITUTE(SUBSTITUTE(SUBSTITUTE(SUBSTITUTE(SUBSTITUTE(SUBSTITUTE(SUBSTITUTE(SUBSTITUTE(SUBSTITUTE(SUBSTITUTE(LOWER(TRIM(I923)),"á","a"),"é","e"),"í","i"),"ó","o"),"ú","u"),"ü","u"),"ñ","n"),"à","a"),"è","e"),"ì","i"),"ò","o"),"ù","u"),"")</f>
        <v/>
      </c>
      <c r="X923" s="25">
        <f>IF(U923="","",IF(OR(U923="si, en la proxima tarea",U923="si, con cambios"),1,0))</f>
        <v/>
      </c>
      <c r="Y923" s="25">
        <f>IF(AND(Q923=1,A923&lt;&gt;""),IF(IFERROR(COUNTIFS(A$3:A923,"="&amp;SUBSTITUTE(SUBSTITUTE(SUBSTITUTE(A923,"~","~~"),"*","~*"),"?","~?"),Q$3:Q923,1),0)=1,MAX(Y$2:Y922)+1,""),"")</f>
        <v/>
      </c>
      <c r="Z923" s="25">
        <f>IF(Y923="","",COUNTIFS($A$3:$A$1002,"="&amp;SUBSTITUTE(SUBSTITUTE(SUBSTITUTE(A923,"~","~~"),"*","~*"),"?","~?"),$Q$3:$Q$1002,1)*10000-Y923)</f>
        <v/>
      </c>
    </row>
    <row r="924">
      <c r="A924">
        <f>IF(A$2=0,"",IFERROR(TRIM(INDEX('Pegar docentes'!$A$1:$BZ$1001,923,A$2)&amp;""),""))</f>
        <v/>
      </c>
      <c r="B924">
        <f>IF(B$2=0,"",IFERROR(TRIM(INDEX('Pegar docentes'!$A$1:$BZ$1001,923,B$2)&amp;""),""))</f>
        <v/>
      </c>
      <c r="C924">
        <f>IF(C$2=0,"",IFERROR(TRIM(INDEX('Pegar docentes'!$A$1:$BZ$1001,923,C$2)&amp;""),""))</f>
        <v/>
      </c>
      <c r="D924">
        <f>IF(D$2=0,"",IFERROR(TRIM(INDEX('Pegar docentes'!$A$1:$BZ$1001,923,D$2)&amp;""),""))</f>
        <v/>
      </c>
      <c r="E924">
        <f>IF(E$2=0,"",IFERROR(TRIM(INDEX('Pegar docentes'!$A$1:$BZ$1001,923,E$2)&amp;""),""))</f>
        <v/>
      </c>
      <c r="F924">
        <f>IF(F$2=0,"",IFERROR(TRIM(INDEX('Pegar docentes'!$A$1:$BZ$1001,923,F$2)&amp;""),""))</f>
        <v/>
      </c>
      <c r="G924">
        <f>IF(G$2=0,"",IFERROR(TRIM(INDEX('Pegar docentes'!$A$1:$BZ$1001,923,G$2)&amp;""),""))</f>
        <v/>
      </c>
      <c r="H924">
        <f>IF(H$2=0,"",IFERROR(TRIM(INDEX('Pegar docentes'!$A$1:$BZ$1001,923,H$2)&amp;""),""))</f>
        <v/>
      </c>
      <c r="I924">
        <f>IF(I$2=0,"",IFERROR(TRIM(INDEX('Pegar docentes'!$A$1:$BZ$1001,923,I$2)&amp;""),""))</f>
        <v/>
      </c>
      <c r="J924">
        <f>IF(J$2=0,"",IFERROR(TRIM(INDEX('Pegar docentes'!$A$1:$BZ$1001,923,J$2)&amp;""),""))</f>
        <v/>
      </c>
      <c r="K924">
        <f>IF(K$2=0,"",IFERROR(TRIM(INDEX('Pegar docentes'!$A$1:$BZ$1001,923,K$2)&amp;""),""))</f>
        <v/>
      </c>
      <c r="L924">
        <f>IF(L$2=0,"",IFERROR(TRIM(INDEX('Pegar docentes'!$A$1:$BZ$1001,923,L$2)&amp;""),""))</f>
        <v/>
      </c>
      <c r="M924">
        <f>IF(M$2=0,"",IFERROR(TRIM(INDEX('Pegar docentes'!$A$1:$BZ$1001,923,M$2)&amp;""),""))</f>
        <v/>
      </c>
      <c r="N924">
        <f>IF(N$2=0,"",IFERROR(TRIM(INDEX('Pegar docentes'!$A$1:$BZ$1001,923,N$2)&amp;""),""))</f>
        <v/>
      </c>
      <c r="O924">
        <f>IF(O$2=0,"",IFERROR(TRIM(INDEX('Pegar docentes'!$A$1:$BZ$1001,923,O$2)&amp;""),""))</f>
        <v/>
      </c>
      <c r="P924">
        <f>IF(P$2=0,"",IFERROR(TRIM(INDEX('Pegar docentes'!$A$1:$BZ$1001,923,P$2)&amp;""),""))</f>
        <v/>
      </c>
      <c r="Q924" s="25">
        <f>IF(OR(D924&lt;&gt;"",H924&lt;&gt;""),1,"")</f>
        <v/>
      </c>
      <c r="R924" s="25">
        <f>IF(Q924=1,IF(ISNUMBER(FIND("#"&amp;MID(D924,1,1)&amp;"#","#0#1#2#3#4#5#6#7#8#9#")),IF(ISNUMBER(FIND("#"&amp;MID(D924,2,1)&amp;"#","#0#1#2#3#4#5#6#7#8#9#")),IF(AND(VALUE(LEFT(D924,2))&gt;=1,VALUE(LEFT(D924,2))&lt;=5),VALUE(LEFT(D924,2)),""),IF(AND(VALUE(LEFT(D924,1))&gt;=1,VALUE(LEFT(D924,1))&lt;=5),VALUE(LEFT(D924,1)),"")),""),"")</f>
        <v/>
      </c>
      <c r="S924" s="25">
        <f>IF(AND(Q924=1,E924&lt;&gt;""),SUBSTITUTE(SUBSTITUTE(SUBSTITUTE(SUBSTITUTE(SUBSTITUTE(SUBSTITUTE(SUBSTITUTE(SUBSTITUTE(SUBSTITUTE(SUBSTITUTE(SUBSTITUTE(SUBSTITUTE(LOWER(TRIM(E924)),"á","a"),"é","e"),"í","i"),"ó","o"),"ú","u"),"ü","u"),"ñ","n"),"à","a"),"è","e"),"ì","i"),"ò","o"),"ù","u"),"")</f>
        <v/>
      </c>
      <c r="T924" s="25">
        <f>IF(AND(Q924=1,G924&lt;&gt;""),SUBSTITUTE(SUBSTITUTE(SUBSTITUTE(SUBSTITUTE(SUBSTITUTE(SUBSTITUTE(SUBSTITUTE(SUBSTITUTE(SUBSTITUTE(SUBSTITUTE(SUBSTITUTE(SUBSTITUTE(LOWER(TRIM(G924)),"á","a"),"é","e"),"í","i"),"ó","o"),"ú","u"),"ü","u"),"ñ","n"),"à","a"),"è","e"),"ì","i"),"ò","o"),"ù","u"),"")</f>
        <v/>
      </c>
      <c r="U924" s="25">
        <f>IF(AND(Q924=1,H924&lt;&gt;""),SUBSTITUTE(SUBSTITUTE(SUBSTITUTE(SUBSTITUTE(SUBSTITUTE(SUBSTITUTE(SUBSTITUTE(SUBSTITUTE(SUBSTITUTE(SUBSTITUTE(SUBSTITUTE(SUBSTITUTE(LOWER(TRIM(H924)),"á","a"),"é","e"),"í","i"),"ó","o"),"ú","u"),"ü","u"),"ñ","n"),"à","a"),"è","e"),"ì","i"),"ò","o"),"ù","u"),"")</f>
        <v/>
      </c>
      <c r="V924" s="25">
        <f>IF(AND(Q924=1,L924&lt;&gt;""),SUBSTITUTE(SUBSTITUTE(SUBSTITUTE(SUBSTITUTE(SUBSTITUTE(SUBSTITUTE(SUBSTITUTE(SUBSTITUTE(SUBSTITUTE(SUBSTITUTE(SUBSTITUTE(SUBSTITUTE(LOWER(TRIM(L924)),"á","a"),"é","e"),"í","i"),"ó","o"),"ú","u"),"ü","u"),"ñ","n"),"à","a"),"è","e"),"ì","i"),"ò","o"),"ù","u"),"")</f>
        <v/>
      </c>
      <c r="W924" s="25">
        <f>IF(AND(Q924=1,I924&lt;&gt;""),SUBSTITUTE(SUBSTITUTE(SUBSTITUTE(SUBSTITUTE(SUBSTITUTE(SUBSTITUTE(SUBSTITUTE(SUBSTITUTE(SUBSTITUTE(SUBSTITUTE(SUBSTITUTE(SUBSTITUTE(LOWER(TRIM(I924)),"á","a"),"é","e"),"í","i"),"ó","o"),"ú","u"),"ü","u"),"ñ","n"),"à","a"),"è","e"),"ì","i"),"ò","o"),"ù","u"),"")</f>
        <v/>
      </c>
      <c r="X924" s="25">
        <f>IF(U924="","",IF(OR(U924="si, en la proxima tarea",U924="si, con cambios"),1,0))</f>
        <v/>
      </c>
      <c r="Y924" s="25">
        <f>IF(AND(Q924=1,A924&lt;&gt;""),IF(IFERROR(COUNTIFS(A$3:A924,"="&amp;SUBSTITUTE(SUBSTITUTE(SUBSTITUTE(A924,"~","~~"),"*","~*"),"?","~?"),Q$3:Q924,1),0)=1,MAX(Y$2:Y923)+1,""),"")</f>
        <v/>
      </c>
      <c r="Z924" s="25">
        <f>IF(Y924="","",COUNTIFS($A$3:$A$1002,"="&amp;SUBSTITUTE(SUBSTITUTE(SUBSTITUTE(A924,"~","~~"),"*","~*"),"?","~?"),$Q$3:$Q$1002,1)*10000-Y924)</f>
        <v/>
      </c>
    </row>
    <row r="925">
      <c r="A925">
        <f>IF(A$2=0,"",IFERROR(TRIM(INDEX('Pegar docentes'!$A$1:$BZ$1001,924,A$2)&amp;""),""))</f>
        <v/>
      </c>
      <c r="B925">
        <f>IF(B$2=0,"",IFERROR(TRIM(INDEX('Pegar docentes'!$A$1:$BZ$1001,924,B$2)&amp;""),""))</f>
        <v/>
      </c>
      <c r="C925">
        <f>IF(C$2=0,"",IFERROR(TRIM(INDEX('Pegar docentes'!$A$1:$BZ$1001,924,C$2)&amp;""),""))</f>
        <v/>
      </c>
      <c r="D925">
        <f>IF(D$2=0,"",IFERROR(TRIM(INDEX('Pegar docentes'!$A$1:$BZ$1001,924,D$2)&amp;""),""))</f>
        <v/>
      </c>
      <c r="E925">
        <f>IF(E$2=0,"",IFERROR(TRIM(INDEX('Pegar docentes'!$A$1:$BZ$1001,924,E$2)&amp;""),""))</f>
        <v/>
      </c>
      <c r="F925">
        <f>IF(F$2=0,"",IFERROR(TRIM(INDEX('Pegar docentes'!$A$1:$BZ$1001,924,F$2)&amp;""),""))</f>
        <v/>
      </c>
      <c r="G925">
        <f>IF(G$2=0,"",IFERROR(TRIM(INDEX('Pegar docentes'!$A$1:$BZ$1001,924,G$2)&amp;""),""))</f>
        <v/>
      </c>
      <c r="H925">
        <f>IF(H$2=0,"",IFERROR(TRIM(INDEX('Pegar docentes'!$A$1:$BZ$1001,924,H$2)&amp;""),""))</f>
        <v/>
      </c>
      <c r="I925">
        <f>IF(I$2=0,"",IFERROR(TRIM(INDEX('Pegar docentes'!$A$1:$BZ$1001,924,I$2)&amp;""),""))</f>
        <v/>
      </c>
      <c r="J925">
        <f>IF(J$2=0,"",IFERROR(TRIM(INDEX('Pegar docentes'!$A$1:$BZ$1001,924,J$2)&amp;""),""))</f>
        <v/>
      </c>
      <c r="K925">
        <f>IF(K$2=0,"",IFERROR(TRIM(INDEX('Pegar docentes'!$A$1:$BZ$1001,924,K$2)&amp;""),""))</f>
        <v/>
      </c>
      <c r="L925">
        <f>IF(L$2=0,"",IFERROR(TRIM(INDEX('Pegar docentes'!$A$1:$BZ$1001,924,L$2)&amp;""),""))</f>
        <v/>
      </c>
      <c r="M925">
        <f>IF(M$2=0,"",IFERROR(TRIM(INDEX('Pegar docentes'!$A$1:$BZ$1001,924,M$2)&amp;""),""))</f>
        <v/>
      </c>
      <c r="N925">
        <f>IF(N$2=0,"",IFERROR(TRIM(INDEX('Pegar docentes'!$A$1:$BZ$1001,924,N$2)&amp;""),""))</f>
        <v/>
      </c>
      <c r="O925">
        <f>IF(O$2=0,"",IFERROR(TRIM(INDEX('Pegar docentes'!$A$1:$BZ$1001,924,O$2)&amp;""),""))</f>
        <v/>
      </c>
      <c r="P925">
        <f>IF(P$2=0,"",IFERROR(TRIM(INDEX('Pegar docentes'!$A$1:$BZ$1001,924,P$2)&amp;""),""))</f>
        <v/>
      </c>
      <c r="Q925" s="25">
        <f>IF(OR(D925&lt;&gt;"",H925&lt;&gt;""),1,"")</f>
        <v/>
      </c>
      <c r="R925" s="25">
        <f>IF(Q925=1,IF(ISNUMBER(FIND("#"&amp;MID(D925,1,1)&amp;"#","#0#1#2#3#4#5#6#7#8#9#")),IF(ISNUMBER(FIND("#"&amp;MID(D925,2,1)&amp;"#","#0#1#2#3#4#5#6#7#8#9#")),IF(AND(VALUE(LEFT(D925,2))&gt;=1,VALUE(LEFT(D925,2))&lt;=5),VALUE(LEFT(D925,2)),""),IF(AND(VALUE(LEFT(D925,1))&gt;=1,VALUE(LEFT(D925,1))&lt;=5),VALUE(LEFT(D925,1)),"")),""),"")</f>
        <v/>
      </c>
      <c r="S925" s="25">
        <f>IF(AND(Q925=1,E925&lt;&gt;""),SUBSTITUTE(SUBSTITUTE(SUBSTITUTE(SUBSTITUTE(SUBSTITUTE(SUBSTITUTE(SUBSTITUTE(SUBSTITUTE(SUBSTITUTE(SUBSTITUTE(SUBSTITUTE(SUBSTITUTE(LOWER(TRIM(E925)),"á","a"),"é","e"),"í","i"),"ó","o"),"ú","u"),"ü","u"),"ñ","n"),"à","a"),"è","e"),"ì","i"),"ò","o"),"ù","u"),"")</f>
        <v/>
      </c>
      <c r="T925" s="25">
        <f>IF(AND(Q925=1,G925&lt;&gt;""),SUBSTITUTE(SUBSTITUTE(SUBSTITUTE(SUBSTITUTE(SUBSTITUTE(SUBSTITUTE(SUBSTITUTE(SUBSTITUTE(SUBSTITUTE(SUBSTITUTE(SUBSTITUTE(SUBSTITUTE(LOWER(TRIM(G925)),"á","a"),"é","e"),"í","i"),"ó","o"),"ú","u"),"ü","u"),"ñ","n"),"à","a"),"è","e"),"ì","i"),"ò","o"),"ù","u"),"")</f>
        <v/>
      </c>
      <c r="U925" s="25">
        <f>IF(AND(Q925=1,H925&lt;&gt;""),SUBSTITUTE(SUBSTITUTE(SUBSTITUTE(SUBSTITUTE(SUBSTITUTE(SUBSTITUTE(SUBSTITUTE(SUBSTITUTE(SUBSTITUTE(SUBSTITUTE(SUBSTITUTE(SUBSTITUTE(LOWER(TRIM(H925)),"á","a"),"é","e"),"í","i"),"ó","o"),"ú","u"),"ü","u"),"ñ","n"),"à","a"),"è","e"),"ì","i"),"ò","o"),"ù","u"),"")</f>
        <v/>
      </c>
      <c r="V925" s="25">
        <f>IF(AND(Q925=1,L925&lt;&gt;""),SUBSTITUTE(SUBSTITUTE(SUBSTITUTE(SUBSTITUTE(SUBSTITUTE(SUBSTITUTE(SUBSTITUTE(SUBSTITUTE(SUBSTITUTE(SUBSTITUTE(SUBSTITUTE(SUBSTITUTE(LOWER(TRIM(L925)),"á","a"),"é","e"),"í","i"),"ó","o"),"ú","u"),"ü","u"),"ñ","n"),"à","a"),"è","e"),"ì","i"),"ò","o"),"ù","u"),"")</f>
        <v/>
      </c>
      <c r="W925" s="25">
        <f>IF(AND(Q925=1,I925&lt;&gt;""),SUBSTITUTE(SUBSTITUTE(SUBSTITUTE(SUBSTITUTE(SUBSTITUTE(SUBSTITUTE(SUBSTITUTE(SUBSTITUTE(SUBSTITUTE(SUBSTITUTE(SUBSTITUTE(SUBSTITUTE(LOWER(TRIM(I925)),"á","a"),"é","e"),"í","i"),"ó","o"),"ú","u"),"ü","u"),"ñ","n"),"à","a"),"è","e"),"ì","i"),"ò","o"),"ù","u"),"")</f>
        <v/>
      </c>
      <c r="X925" s="25">
        <f>IF(U925="","",IF(OR(U925="si, en la proxima tarea",U925="si, con cambios"),1,0))</f>
        <v/>
      </c>
      <c r="Y925" s="25">
        <f>IF(AND(Q925=1,A925&lt;&gt;""),IF(IFERROR(COUNTIFS(A$3:A925,"="&amp;SUBSTITUTE(SUBSTITUTE(SUBSTITUTE(A925,"~","~~"),"*","~*"),"?","~?"),Q$3:Q925,1),0)=1,MAX(Y$2:Y924)+1,""),"")</f>
        <v/>
      </c>
      <c r="Z925" s="25">
        <f>IF(Y925="","",COUNTIFS($A$3:$A$1002,"="&amp;SUBSTITUTE(SUBSTITUTE(SUBSTITUTE(A925,"~","~~"),"*","~*"),"?","~?"),$Q$3:$Q$1002,1)*10000-Y925)</f>
        <v/>
      </c>
    </row>
    <row r="926">
      <c r="A926">
        <f>IF(A$2=0,"",IFERROR(TRIM(INDEX('Pegar docentes'!$A$1:$BZ$1001,925,A$2)&amp;""),""))</f>
        <v/>
      </c>
      <c r="B926">
        <f>IF(B$2=0,"",IFERROR(TRIM(INDEX('Pegar docentes'!$A$1:$BZ$1001,925,B$2)&amp;""),""))</f>
        <v/>
      </c>
      <c r="C926">
        <f>IF(C$2=0,"",IFERROR(TRIM(INDEX('Pegar docentes'!$A$1:$BZ$1001,925,C$2)&amp;""),""))</f>
        <v/>
      </c>
      <c r="D926">
        <f>IF(D$2=0,"",IFERROR(TRIM(INDEX('Pegar docentes'!$A$1:$BZ$1001,925,D$2)&amp;""),""))</f>
        <v/>
      </c>
      <c r="E926">
        <f>IF(E$2=0,"",IFERROR(TRIM(INDEX('Pegar docentes'!$A$1:$BZ$1001,925,E$2)&amp;""),""))</f>
        <v/>
      </c>
      <c r="F926">
        <f>IF(F$2=0,"",IFERROR(TRIM(INDEX('Pegar docentes'!$A$1:$BZ$1001,925,F$2)&amp;""),""))</f>
        <v/>
      </c>
      <c r="G926">
        <f>IF(G$2=0,"",IFERROR(TRIM(INDEX('Pegar docentes'!$A$1:$BZ$1001,925,G$2)&amp;""),""))</f>
        <v/>
      </c>
      <c r="H926">
        <f>IF(H$2=0,"",IFERROR(TRIM(INDEX('Pegar docentes'!$A$1:$BZ$1001,925,H$2)&amp;""),""))</f>
        <v/>
      </c>
      <c r="I926">
        <f>IF(I$2=0,"",IFERROR(TRIM(INDEX('Pegar docentes'!$A$1:$BZ$1001,925,I$2)&amp;""),""))</f>
        <v/>
      </c>
      <c r="J926">
        <f>IF(J$2=0,"",IFERROR(TRIM(INDEX('Pegar docentes'!$A$1:$BZ$1001,925,J$2)&amp;""),""))</f>
        <v/>
      </c>
      <c r="K926">
        <f>IF(K$2=0,"",IFERROR(TRIM(INDEX('Pegar docentes'!$A$1:$BZ$1001,925,K$2)&amp;""),""))</f>
        <v/>
      </c>
      <c r="L926">
        <f>IF(L$2=0,"",IFERROR(TRIM(INDEX('Pegar docentes'!$A$1:$BZ$1001,925,L$2)&amp;""),""))</f>
        <v/>
      </c>
      <c r="M926">
        <f>IF(M$2=0,"",IFERROR(TRIM(INDEX('Pegar docentes'!$A$1:$BZ$1001,925,M$2)&amp;""),""))</f>
        <v/>
      </c>
      <c r="N926">
        <f>IF(N$2=0,"",IFERROR(TRIM(INDEX('Pegar docentes'!$A$1:$BZ$1001,925,N$2)&amp;""),""))</f>
        <v/>
      </c>
      <c r="O926">
        <f>IF(O$2=0,"",IFERROR(TRIM(INDEX('Pegar docentes'!$A$1:$BZ$1001,925,O$2)&amp;""),""))</f>
        <v/>
      </c>
      <c r="P926">
        <f>IF(P$2=0,"",IFERROR(TRIM(INDEX('Pegar docentes'!$A$1:$BZ$1001,925,P$2)&amp;""),""))</f>
        <v/>
      </c>
      <c r="Q926" s="25">
        <f>IF(OR(D926&lt;&gt;"",H926&lt;&gt;""),1,"")</f>
        <v/>
      </c>
      <c r="R926" s="25">
        <f>IF(Q926=1,IF(ISNUMBER(FIND("#"&amp;MID(D926,1,1)&amp;"#","#0#1#2#3#4#5#6#7#8#9#")),IF(ISNUMBER(FIND("#"&amp;MID(D926,2,1)&amp;"#","#0#1#2#3#4#5#6#7#8#9#")),IF(AND(VALUE(LEFT(D926,2))&gt;=1,VALUE(LEFT(D926,2))&lt;=5),VALUE(LEFT(D926,2)),""),IF(AND(VALUE(LEFT(D926,1))&gt;=1,VALUE(LEFT(D926,1))&lt;=5),VALUE(LEFT(D926,1)),"")),""),"")</f>
        <v/>
      </c>
      <c r="S926" s="25">
        <f>IF(AND(Q926=1,E926&lt;&gt;""),SUBSTITUTE(SUBSTITUTE(SUBSTITUTE(SUBSTITUTE(SUBSTITUTE(SUBSTITUTE(SUBSTITUTE(SUBSTITUTE(SUBSTITUTE(SUBSTITUTE(SUBSTITUTE(SUBSTITUTE(LOWER(TRIM(E926)),"á","a"),"é","e"),"í","i"),"ó","o"),"ú","u"),"ü","u"),"ñ","n"),"à","a"),"è","e"),"ì","i"),"ò","o"),"ù","u"),"")</f>
        <v/>
      </c>
      <c r="T926" s="25">
        <f>IF(AND(Q926=1,G926&lt;&gt;""),SUBSTITUTE(SUBSTITUTE(SUBSTITUTE(SUBSTITUTE(SUBSTITUTE(SUBSTITUTE(SUBSTITUTE(SUBSTITUTE(SUBSTITUTE(SUBSTITUTE(SUBSTITUTE(SUBSTITUTE(LOWER(TRIM(G926)),"á","a"),"é","e"),"í","i"),"ó","o"),"ú","u"),"ü","u"),"ñ","n"),"à","a"),"è","e"),"ì","i"),"ò","o"),"ù","u"),"")</f>
        <v/>
      </c>
      <c r="U926" s="25">
        <f>IF(AND(Q926=1,H926&lt;&gt;""),SUBSTITUTE(SUBSTITUTE(SUBSTITUTE(SUBSTITUTE(SUBSTITUTE(SUBSTITUTE(SUBSTITUTE(SUBSTITUTE(SUBSTITUTE(SUBSTITUTE(SUBSTITUTE(SUBSTITUTE(LOWER(TRIM(H926)),"á","a"),"é","e"),"í","i"),"ó","o"),"ú","u"),"ü","u"),"ñ","n"),"à","a"),"è","e"),"ì","i"),"ò","o"),"ù","u"),"")</f>
        <v/>
      </c>
      <c r="V926" s="25">
        <f>IF(AND(Q926=1,L926&lt;&gt;""),SUBSTITUTE(SUBSTITUTE(SUBSTITUTE(SUBSTITUTE(SUBSTITUTE(SUBSTITUTE(SUBSTITUTE(SUBSTITUTE(SUBSTITUTE(SUBSTITUTE(SUBSTITUTE(SUBSTITUTE(LOWER(TRIM(L926)),"á","a"),"é","e"),"í","i"),"ó","o"),"ú","u"),"ü","u"),"ñ","n"),"à","a"),"è","e"),"ì","i"),"ò","o"),"ù","u"),"")</f>
        <v/>
      </c>
      <c r="W926" s="25">
        <f>IF(AND(Q926=1,I926&lt;&gt;""),SUBSTITUTE(SUBSTITUTE(SUBSTITUTE(SUBSTITUTE(SUBSTITUTE(SUBSTITUTE(SUBSTITUTE(SUBSTITUTE(SUBSTITUTE(SUBSTITUTE(SUBSTITUTE(SUBSTITUTE(LOWER(TRIM(I926)),"á","a"),"é","e"),"í","i"),"ó","o"),"ú","u"),"ü","u"),"ñ","n"),"à","a"),"è","e"),"ì","i"),"ò","o"),"ù","u"),"")</f>
        <v/>
      </c>
      <c r="X926" s="25">
        <f>IF(U926="","",IF(OR(U926="si, en la proxima tarea",U926="si, con cambios"),1,0))</f>
        <v/>
      </c>
      <c r="Y926" s="25">
        <f>IF(AND(Q926=1,A926&lt;&gt;""),IF(IFERROR(COUNTIFS(A$3:A926,"="&amp;SUBSTITUTE(SUBSTITUTE(SUBSTITUTE(A926,"~","~~"),"*","~*"),"?","~?"),Q$3:Q926,1),0)=1,MAX(Y$2:Y925)+1,""),"")</f>
        <v/>
      </c>
      <c r="Z926" s="25">
        <f>IF(Y926="","",COUNTIFS($A$3:$A$1002,"="&amp;SUBSTITUTE(SUBSTITUTE(SUBSTITUTE(A926,"~","~~"),"*","~*"),"?","~?"),$Q$3:$Q$1002,1)*10000-Y926)</f>
        <v/>
      </c>
    </row>
    <row r="927">
      <c r="A927">
        <f>IF(A$2=0,"",IFERROR(TRIM(INDEX('Pegar docentes'!$A$1:$BZ$1001,926,A$2)&amp;""),""))</f>
        <v/>
      </c>
      <c r="B927">
        <f>IF(B$2=0,"",IFERROR(TRIM(INDEX('Pegar docentes'!$A$1:$BZ$1001,926,B$2)&amp;""),""))</f>
        <v/>
      </c>
      <c r="C927">
        <f>IF(C$2=0,"",IFERROR(TRIM(INDEX('Pegar docentes'!$A$1:$BZ$1001,926,C$2)&amp;""),""))</f>
        <v/>
      </c>
      <c r="D927">
        <f>IF(D$2=0,"",IFERROR(TRIM(INDEX('Pegar docentes'!$A$1:$BZ$1001,926,D$2)&amp;""),""))</f>
        <v/>
      </c>
      <c r="E927">
        <f>IF(E$2=0,"",IFERROR(TRIM(INDEX('Pegar docentes'!$A$1:$BZ$1001,926,E$2)&amp;""),""))</f>
        <v/>
      </c>
      <c r="F927">
        <f>IF(F$2=0,"",IFERROR(TRIM(INDEX('Pegar docentes'!$A$1:$BZ$1001,926,F$2)&amp;""),""))</f>
        <v/>
      </c>
      <c r="G927">
        <f>IF(G$2=0,"",IFERROR(TRIM(INDEX('Pegar docentes'!$A$1:$BZ$1001,926,G$2)&amp;""),""))</f>
        <v/>
      </c>
      <c r="H927">
        <f>IF(H$2=0,"",IFERROR(TRIM(INDEX('Pegar docentes'!$A$1:$BZ$1001,926,H$2)&amp;""),""))</f>
        <v/>
      </c>
      <c r="I927">
        <f>IF(I$2=0,"",IFERROR(TRIM(INDEX('Pegar docentes'!$A$1:$BZ$1001,926,I$2)&amp;""),""))</f>
        <v/>
      </c>
      <c r="J927">
        <f>IF(J$2=0,"",IFERROR(TRIM(INDEX('Pegar docentes'!$A$1:$BZ$1001,926,J$2)&amp;""),""))</f>
        <v/>
      </c>
      <c r="K927">
        <f>IF(K$2=0,"",IFERROR(TRIM(INDEX('Pegar docentes'!$A$1:$BZ$1001,926,K$2)&amp;""),""))</f>
        <v/>
      </c>
      <c r="L927">
        <f>IF(L$2=0,"",IFERROR(TRIM(INDEX('Pegar docentes'!$A$1:$BZ$1001,926,L$2)&amp;""),""))</f>
        <v/>
      </c>
      <c r="M927">
        <f>IF(M$2=0,"",IFERROR(TRIM(INDEX('Pegar docentes'!$A$1:$BZ$1001,926,M$2)&amp;""),""))</f>
        <v/>
      </c>
      <c r="N927">
        <f>IF(N$2=0,"",IFERROR(TRIM(INDEX('Pegar docentes'!$A$1:$BZ$1001,926,N$2)&amp;""),""))</f>
        <v/>
      </c>
      <c r="O927">
        <f>IF(O$2=0,"",IFERROR(TRIM(INDEX('Pegar docentes'!$A$1:$BZ$1001,926,O$2)&amp;""),""))</f>
        <v/>
      </c>
      <c r="P927">
        <f>IF(P$2=0,"",IFERROR(TRIM(INDEX('Pegar docentes'!$A$1:$BZ$1001,926,P$2)&amp;""),""))</f>
        <v/>
      </c>
      <c r="Q927" s="25">
        <f>IF(OR(D927&lt;&gt;"",H927&lt;&gt;""),1,"")</f>
        <v/>
      </c>
      <c r="R927" s="25">
        <f>IF(Q927=1,IF(ISNUMBER(FIND("#"&amp;MID(D927,1,1)&amp;"#","#0#1#2#3#4#5#6#7#8#9#")),IF(ISNUMBER(FIND("#"&amp;MID(D927,2,1)&amp;"#","#0#1#2#3#4#5#6#7#8#9#")),IF(AND(VALUE(LEFT(D927,2))&gt;=1,VALUE(LEFT(D927,2))&lt;=5),VALUE(LEFT(D927,2)),""),IF(AND(VALUE(LEFT(D927,1))&gt;=1,VALUE(LEFT(D927,1))&lt;=5),VALUE(LEFT(D927,1)),"")),""),"")</f>
        <v/>
      </c>
      <c r="S927" s="25">
        <f>IF(AND(Q927=1,E927&lt;&gt;""),SUBSTITUTE(SUBSTITUTE(SUBSTITUTE(SUBSTITUTE(SUBSTITUTE(SUBSTITUTE(SUBSTITUTE(SUBSTITUTE(SUBSTITUTE(SUBSTITUTE(SUBSTITUTE(SUBSTITUTE(LOWER(TRIM(E927)),"á","a"),"é","e"),"í","i"),"ó","o"),"ú","u"),"ü","u"),"ñ","n"),"à","a"),"è","e"),"ì","i"),"ò","o"),"ù","u"),"")</f>
        <v/>
      </c>
      <c r="T927" s="25">
        <f>IF(AND(Q927=1,G927&lt;&gt;""),SUBSTITUTE(SUBSTITUTE(SUBSTITUTE(SUBSTITUTE(SUBSTITUTE(SUBSTITUTE(SUBSTITUTE(SUBSTITUTE(SUBSTITUTE(SUBSTITUTE(SUBSTITUTE(SUBSTITUTE(LOWER(TRIM(G927)),"á","a"),"é","e"),"í","i"),"ó","o"),"ú","u"),"ü","u"),"ñ","n"),"à","a"),"è","e"),"ì","i"),"ò","o"),"ù","u"),"")</f>
        <v/>
      </c>
      <c r="U927" s="25">
        <f>IF(AND(Q927=1,H927&lt;&gt;""),SUBSTITUTE(SUBSTITUTE(SUBSTITUTE(SUBSTITUTE(SUBSTITUTE(SUBSTITUTE(SUBSTITUTE(SUBSTITUTE(SUBSTITUTE(SUBSTITUTE(SUBSTITUTE(SUBSTITUTE(LOWER(TRIM(H927)),"á","a"),"é","e"),"í","i"),"ó","o"),"ú","u"),"ü","u"),"ñ","n"),"à","a"),"è","e"),"ì","i"),"ò","o"),"ù","u"),"")</f>
        <v/>
      </c>
      <c r="V927" s="25">
        <f>IF(AND(Q927=1,L927&lt;&gt;""),SUBSTITUTE(SUBSTITUTE(SUBSTITUTE(SUBSTITUTE(SUBSTITUTE(SUBSTITUTE(SUBSTITUTE(SUBSTITUTE(SUBSTITUTE(SUBSTITUTE(SUBSTITUTE(SUBSTITUTE(LOWER(TRIM(L927)),"á","a"),"é","e"),"í","i"),"ó","o"),"ú","u"),"ü","u"),"ñ","n"),"à","a"),"è","e"),"ì","i"),"ò","o"),"ù","u"),"")</f>
        <v/>
      </c>
      <c r="W927" s="25">
        <f>IF(AND(Q927=1,I927&lt;&gt;""),SUBSTITUTE(SUBSTITUTE(SUBSTITUTE(SUBSTITUTE(SUBSTITUTE(SUBSTITUTE(SUBSTITUTE(SUBSTITUTE(SUBSTITUTE(SUBSTITUTE(SUBSTITUTE(SUBSTITUTE(LOWER(TRIM(I927)),"á","a"),"é","e"),"í","i"),"ó","o"),"ú","u"),"ü","u"),"ñ","n"),"à","a"),"è","e"),"ì","i"),"ò","o"),"ù","u"),"")</f>
        <v/>
      </c>
      <c r="X927" s="25">
        <f>IF(U927="","",IF(OR(U927="si, en la proxima tarea",U927="si, con cambios"),1,0))</f>
        <v/>
      </c>
      <c r="Y927" s="25">
        <f>IF(AND(Q927=1,A927&lt;&gt;""),IF(IFERROR(COUNTIFS(A$3:A927,"="&amp;SUBSTITUTE(SUBSTITUTE(SUBSTITUTE(A927,"~","~~"),"*","~*"),"?","~?"),Q$3:Q927,1),0)=1,MAX(Y$2:Y926)+1,""),"")</f>
        <v/>
      </c>
      <c r="Z927" s="25">
        <f>IF(Y927="","",COUNTIFS($A$3:$A$1002,"="&amp;SUBSTITUTE(SUBSTITUTE(SUBSTITUTE(A927,"~","~~"),"*","~*"),"?","~?"),$Q$3:$Q$1002,1)*10000-Y927)</f>
        <v/>
      </c>
    </row>
    <row r="928">
      <c r="A928">
        <f>IF(A$2=0,"",IFERROR(TRIM(INDEX('Pegar docentes'!$A$1:$BZ$1001,927,A$2)&amp;""),""))</f>
        <v/>
      </c>
      <c r="B928">
        <f>IF(B$2=0,"",IFERROR(TRIM(INDEX('Pegar docentes'!$A$1:$BZ$1001,927,B$2)&amp;""),""))</f>
        <v/>
      </c>
      <c r="C928">
        <f>IF(C$2=0,"",IFERROR(TRIM(INDEX('Pegar docentes'!$A$1:$BZ$1001,927,C$2)&amp;""),""))</f>
        <v/>
      </c>
      <c r="D928">
        <f>IF(D$2=0,"",IFERROR(TRIM(INDEX('Pegar docentes'!$A$1:$BZ$1001,927,D$2)&amp;""),""))</f>
        <v/>
      </c>
      <c r="E928">
        <f>IF(E$2=0,"",IFERROR(TRIM(INDEX('Pegar docentes'!$A$1:$BZ$1001,927,E$2)&amp;""),""))</f>
        <v/>
      </c>
      <c r="F928">
        <f>IF(F$2=0,"",IFERROR(TRIM(INDEX('Pegar docentes'!$A$1:$BZ$1001,927,F$2)&amp;""),""))</f>
        <v/>
      </c>
      <c r="G928">
        <f>IF(G$2=0,"",IFERROR(TRIM(INDEX('Pegar docentes'!$A$1:$BZ$1001,927,G$2)&amp;""),""))</f>
        <v/>
      </c>
      <c r="H928">
        <f>IF(H$2=0,"",IFERROR(TRIM(INDEX('Pegar docentes'!$A$1:$BZ$1001,927,H$2)&amp;""),""))</f>
        <v/>
      </c>
      <c r="I928">
        <f>IF(I$2=0,"",IFERROR(TRIM(INDEX('Pegar docentes'!$A$1:$BZ$1001,927,I$2)&amp;""),""))</f>
        <v/>
      </c>
      <c r="J928">
        <f>IF(J$2=0,"",IFERROR(TRIM(INDEX('Pegar docentes'!$A$1:$BZ$1001,927,J$2)&amp;""),""))</f>
        <v/>
      </c>
      <c r="K928">
        <f>IF(K$2=0,"",IFERROR(TRIM(INDEX('Pegar docentes'!$A$1:$BZ$1001,927,K$2)&amp;""),""))</f>
        <v/>
      </c>
      <c r="L928">
        <f>IF(L$2=0,"",IFERROR(TRIM(INDEX('Pegar docentes'!$A$1:$BZ$1001,927,L$2)&amp;""),""))</f>
        <v/>
      </c>
      <c r="M928">
        <f>IF(M$2=0,"",IFERROR(TRIM(INDEX('Pegar docentes'!$A$1:$BZ$1001,927,M$2)&amp;""),""))</f>
        <v/>
      </c>
      <c r="N928">
        <f>IF(N$2=0,"",IFERROR(TRIM(INDEX('Pegar docentes'!$A$1:$BZ$1001,927,N$2)&amp;""),""))</f>
        <v/>
      </c>
      <c r="O928">
        <f>IF(O$2=0,"",IFERROR(TRIM(INDEX('Pegar docentes'!$A$1:$BZ$1001,927,O$2)&amp;""),""))</f>
        <v/>
      </c>
      <c r="P928">
        <f>IF(P$2=0,"",IFERROR(TRIM(INDEX('Pegar docentes'!$A$1:$BZ$1001,927,P$2)&amp;""),""))</f>
        <v/>
      </c>
      <c r="Q928" s="25">
        <f>IF(OR(D928&lt;&gt;"",H928&lt;&gt;""),1,"")</f>
        <v/>
      </c>
      <c r="R928" s="25">
        <f>IF(Q928=1,IF(ISNUMBER(FIND("#"&amp;MID(D928,1,1)&amp;"#","#0#1#2#3#4#5#6#7#8#9#")),IF(ISNUMBER(FIND("#"&amp;MID(D928,2,1)&amp;"#","#0#1#2#3#4#5#6#7#8#9#")),IF(AND(VALUE(LEFT(D928,2))&gt;=1,VALUE(LEFT(D928,2))&lt;=5),VALUE(LEFT(D928,2)),""),IF(AND(VALUE(LEFT(D928,1))&gt;=1,VALUE(LEFT(D928,1))&lt;=5),VALUE(LEFT(D928,1)),"")),""),"")</f>
        <v/>
      </c>
      <c r="S928" s="25">
        <f>IF(AND(Q928=1,E928&lt;&gt;""),SUBSTITUTE(SUBSTITUTE(SUBSTITUTE(SUBSTITUTE(SUBSTITUTE(SUBSTITUTE(SUBSTITUTE(SUBSTITUTE(SUBSTITUTE(SUBSTITUTE(SUBSTITUTE(SUBSTITUTE(LOWER(TRIM(E928)),"á","a"),"é","e"),"í","i"),"ó","o"),"ú","u"),"ü","u"),"ñ","n"),"à","a"),"è","e"),"ì","i"),"ò","o"),"ù","u"),"")</f>
        <v/>
      </c>
      <c r="T928" s="25">
        <f>IF(AND(Q928=1,G928&lt;&gt;""),SUBSTITUTE(SUBSTITUTE(SUBSTITUTE(SUBSTITUTE(SUBSTITUTE(SUBSTITUTE(SUBSTITUTE(SUBSTITUTE(SUBSTITUTE(SUBSTITUTE(SUBSTITUTE(SUBSTITUTE(LOWER(TRIM(G928)),"á","a"),"é","e"),"í","i"),"ó","o"),"ú","u"),"ü","u"),"ñ","n"),"à","a"),"è","e"),"ì","i"),"ò","o"),"ù","u"),"")</f>
        <v/>
      </c>
      <c r="U928" s="25">
        <f>IF(AND(Q928=1,H928&lt;&gt;""),SUBSTITUTE(SUBSTITUTE(SUBSTITUTE(SUBSTITUTE(SUBSTITUTE(SUBSTITUTE(SUBSTITUTE(SUBSTITUTE(SUBSTITUTE(SUBSTITUTE(SUBSTITUTE(SUBSTITUTE(LOWER(TRIM(H928)),"á","a"),"é","e"),"í","i"),"ó","o"),"ú","u"),"ü","u"),"ñ","n"),"à","a"),"è","e"),"ì","i"),"ò","o"),"ù","u"),"")</f>
        <v/>
      </c>
      <c r="V928" s="25">
        <f>IF(AND(Q928=1,L928&lt;&gt;""),SUBSTITUTE(SUBSTITUTE(SUBSTITUTE(SUBSTITUTE(SUBSTITUTE(SUBSTITUTE(SUBSTITUTE(SUBSTITUTE(SUBSTITUTE(SUBSTITUTE(SUBSTITUTE(SUBSTITUTE(LOWER(TRIM(L928)),"á","a"),"é","e"),"í","i"),"ó","o"),"ú","u"),"ü","u"),"ñ","n"),"à","a"),"è","e"),"ì","i"),"ò","o"),"ù","u"),"")</f>
        <v/>
      </c>
      <c r="W928" s="25">
        <f>IF(AND(Q928=1,I928&lt;&gt;""),SUBSTITUTE(SUBSTITUTE(SUBSTITUTE(SUBSTITUTE(SUBSTITUTE(SUBSTITUTE(SUBSTITUTE(SUBSTITUTE(SUBSTITUTE(SUBSTITUTE(SUBSTITUTE(SUBSTITUTE(LOWER(TRIM(I928)),"á","a"),"é","e"),"í","i"),"ó","o"),"ú","u"),"ü","u"),"ñ","n"),"à","a"),"è","e"),"ì","i"),"ò","o"),"ù","u"),"")</f>
        <v/>
      </c>
      <c r="X928" s="25">
        <f>IF(U928="","",IF(OR(U928="si, en la proxima tarea",U928="si, con cambios"),1,0))</f>
        <v/>
      </c>
      <c r="Y928" s="25">
        <f>IF(AND(Q928=1,A928&lt;&gt;""),IF(IFERROR(COUNTIFS(A$3:A928,"="&amp;SUBSTITUTE(SUBSTITUTE(SUBSTITUTE(A928,"~","~~"),"*","~*"),"?","~?"),Q$3:Q928,1),0)=1,MAX(Y$2:Y927)+1,""),"")</f>
        <v/>
      </c>
      <c r="Z928" s="25">
        <f>IF(Y928="","",COUNTIFS($A$3:$A$1002,"="&amp;SUBSTITUTE(SUBSTITUTE(SUBSTITUTE(A928,"~","~~"),"*","~*"),"?","~?"),$Q$3:$Q$1002,1)*10000-Y928)</f>
        <v/>
      </c>
    </row>
    <row r="929">
      <c r="A929">
        <f>IF(A$2=0,"",IFERROR(TRIM(INDEX('Pegar docentes'!$A$1:$BZ$1001,928,A$2)&amp;""),""))</f>
        <v/>
      </c>
      <c r="B929">
        <f>IF(B$2=0,"",IFERROR(TRIM(INDEX('Pegar docentes'!$A$1:$BZ$1001,928,B$2)&amp;""),""))</f>
        <v/>
      </c>
      <c r="C929">
        <f>IF(C$2=0,"",IFERROR(TRIM(INDEX('Pegar docentes'!$A$1:$BZ$1001,928,C$2)&amp;""),""))</f>
        <v/>
      </c>
      <c r="D929">
        <f>IF(D$2=0,"",IFERROR(TRIM(INDEX('Pegar docentes'!$A$1:$BZ$1001,928,D$2)&amp;""),""))</f>
        <v/>
      </c>
      <c r="E929">
        <f>IF(E$2=0,"",IFERROR(TRIM(INDEX('Pegar docentes'!$A$1:$BZ$1001,928,E$2)&amp;""),""))</f>
        <v/>
      </c>
      <c r="F929">
        <f>IF(F$2=0,"",IFERROR(TRIM(INDEX('Pegar docentes'!$A$1:$BZ$1001,928,F$2)&amp;""),""))</f>
        <v/>
      </c>
      <c r="G929">
        <f>IF(G$2=0,"",IFERROR(TRIM(INDEX('Pegar docentes'!$A$1:$BZ$1001,928,G$2)&amp;""),""))</f>
        <v/>
      </c>
      <c r="H929">
        <f>IF(H$2=0,"",IFERROR(TRIM(INDEX('Pegar docentes'!$A$1:$BZ$1001,928,H$2)&amp;""),""))</f>
        <v/>
      </c>
      <c r="I929">
        <f>IF(I$2=0,"",IFERROR(TRIM(INDEX('Pegar docentes'!$A$1:$BZ$1001,928,I$2)&amp;""),""))</f>
        <v/>
      </c>
      <c r="J929">
        <f>IF(J$2=0,"",IFERROR(TRIM(INDEX('Pegar docentes'!$A$1:$BZ$1001,928,J$2)&amp;""),""))</f>
        <v/>
      </c>
      <c r="K929">
        <f>IF(K$2=0,"",IFERROR(TRIM(INDEX('Pegar docentes'!$A$1:$BZ$1001,928,K$2)&amp;""),""))</f>
        <v/>
      </c>
      <c r="L929">
        <f>IF(L$2=0,"",IFERROR(TRIM(INDEX('Pegar docentes'!$A$1:$BZ$1001,928,L$2)&amp;""),""))</f>
        <v/>
      </c>
      <c r="M929">
        <f>IF(M$2=0,"",IFERROR(TRIM(INDEX('Pegar docentes'!$A$1:$BZ$1001,928,M$2)&amp;""),""))</f>
        <v/>
      </c>
      <c r="N929">
        <f>IF(N$2=0,"",IFERROR(TRIM(INDEX('Pegar docentes'!$A$1:$BZ$1001,928,N$2)&amp;""),""))</f>
        <v/>
      </c>
      <c r="O929">
        <f>IF(O$2=0,"",IFERROR(TRIM(INDEX('Pegar docentes'!$A$1:$BZ$1001,928,O$2)&amp;""),""))</f>
        <v/>
      </c>
      <c r="P929">
        <f>IF(P$2=0,"",IFERROR(TRIM(INDEX('Pegar docentes'!$A$1:$BZ$1001,928,P$2)&amp;""),""))</f>
        <v/>
      </c>
      <c r="Q929" s="25">
        <f>IF(OR(D929&lt;&gt;"",H929&lt;&gt;""),1,"")</f>
        <v/>
      </c>
      <c r="R929" s="25">
        <f>IF(Q929=1,IF(ISNUMBER(FIND("#"&amp;MID(D929,1,1)&amp;"#","#0#1#2#3#4#5#6#7#8#9#")),IF(ISNUMBER(FIND("#"&amp;MID(D929,2,1)&amp;"#","#0#1#2#3#4#5#6#7#8#9#")),IF(AND(VALUE(LEFT(D929,2))&gt;=1,VALUE(LEFT(D929,2))&lt;=5),VALUE(LEFT(D929,2)),""),IF(AND(VALUE(LEFT(D929,1))&gt;=1,VALUE(LEFT(D929,1))&lt;=5),VALUE(LEFT(D929,1)),"")),""),"")</f>
        <v/>
      </c>
      <c r="S929" s="25">
        <f>IF(AND(Q929=1,E929&lt;&gt;""),SUBSTITUTE(SUBSTITUTE(SUBSTITUTE(SUBSTITUTE(SUBSTITUTE(SUBSTITUTE(SUBSTITUTE(SUBSTITUTE(SUBSTITUTE(SUBSTITUTE(SUBSTITUTE(SUBSTITUTE(LOWER(TRIM(E929)),"á","a"),"é","e"),"í","i"),"ó","o"),"ú","u"),"ü","u"),"ñ","n"),"à","a"),"è","e"),"ì","i"),"ò","o"),"ù","u"),"")</f>
        <v/>
      </c>
      <c r="T929" s="25">
        <f>IF(AND(Q929=1,G929&lt;&gt;""),SUBSTITUTE(SUBSTITUTE(SUBSTITUTE(SUBSTITUTE(SUBSTITUTE(SUBSTITUTE(SUBSTITUTE(SUBSTITUTE(SUBSTITUTE(SUBSTITUTE(SUBSTITUTE(SUBSTITUTE(LOWER(TRIM(G929)),"á","a"),"é","e"),"í","i"),"ó","o"),"ú","u"),"ü","u"),"ñ","n"),"à","a"),"è","e"),"ì","i"),"ò","o"),"ù","u"),"")</f>
        <v/>
      </c>
      <c r="U929" s="25">
        <f>IF(AND(Q929=1,H929&lt;&gt;""),SUBSTITUTE(SUBSTITUTE(SUBSTITUTE(SUBSTITUTE(SUBSTITUTE(SUBSTITUTE(SUBSTITUTE(SUBSTITUTE(SUBSTITUTE(SUBSTITUTE(SUBSTITUTE(SUBSTITUTE(LOWER(TRIM(H929)),"á","a"),"é","e"),"í","i"),"ó","o"),"ú","u"),"ü","u"),"ñ","n"),"à","a"),"è","e"),"ì","i"),"ò","o"),"ù","u"),"")</f>
        <v/>
      </c>
      <c r="V929" s="25">
        <f>IF(AND(Q929=1,L929&lt;&gt;""),SUBSTITUTE(SUBSTITUTE(SUBSTITUTE(SUBSTITUTE(SUBSTITUTE(SUBSTITUTE(SUBSTITUTE(SUBSTITUTE(SUBSTITUTE(SUBSTITUTE(SUBSTITUTE(SUBSTITUTE(LOWER(TRIM(L929)),"á","a"),"é","e"),"í","i"),"ó","o"),"ú","u"),"ü","u"),"ñ","n"),"à","a"),"è","e"),"ì","i"),"ò","o"),"ù","u"),"")</f>
        <v/>
      </c>
      <c r="W929" s="25">
        <f>IF(AND(Q929=1,I929&lt;&gt;""),SUBSTITUTE(SUBSTITUTE(SUBSTITUTE(SUBSTITUTE(SUBSTITUTE(SUBSTITUTE(SUBSTITUTE(SUBSTITUTE(SUBSTITUTE(SUBSTITUTE(SUBSTITUTE(SUBSTITUTE(LOWER(TRIM(I929)),"á","a"),"é","e"),"í","i"),"ó","o"),"ú","u"),"ü","u"),"ñ","n"),"à","a"),"è","e"),"ì","i"),"ò","o"),"ù","u"),"")</f>
        <v/>
      </c>
      <c r="X929" s="25">
        <f>IF(U929="","",IF(OR(U929="si, en la proxima tarea",U929="si, con cambios"),1,0))</f>
        <v/>
      </c>
      <c r="Y929" s="25">
        <f>IF(AND(Q929=1,A929&lt;&gt;""),IF(IFERROR(COUNTIFS(A$3:A929,"="&amp;SUBSTITUTE(SUBSTITUTE(SUBSTITUTE(A929,"~","~~"),"*","~*"),"?","~?"),Q$3:Q929,1),0)=1,MAX(Y$2:Y928)+1,""),"")</f>
        <v/>
      </c>
      <c r="Z929" s="25">
        <f>IF(Y929="","",COUNTIFS($A$3:$A$1002,"="&amp;SUBSTITUTE(SUBSTITUTE(SUBSTITUTE(A929,"~","~~"),"*","~*"),"?","~?"),$Q$3:$Q$1002,1)*10000-Y929)</f>
        <v/>
      </c>
    </row>
    <row r="930">
      <c r="A930">
        <f>IF(A$2=0,"",IFERROR(TRIM(INDEX('Pegar docentes'!$A$1:$BZ$1001,929,A$2)&amp;""),""))</f>
        <v/>
      </c>
      <c r="B930">
        <f>IF(B$2=0,"",IFERROR(TRIM(INDEX('Pegar docentes'!$A$1:$BZ$1001,929,B$2)&amp;""),""))</f>
        <v/>
      </c>
      <c r="C930">
        <f>IF(C$2=0,"",IFERROR(TRIM(INDEX('Pegar docentes'!$A$1:$BZ$1001,929,C$2)&amp;""),""))</f>
        <v/>
      </c>
      <c r="D930">
        <f>IF(D$2=0,"",IFERROR(TRIM(INDEX('Pegar docentes'!$A$1:$BZ$1001,929,D$2)&amp;""),""))</f>
        <v/>
      </c>
      <c r="E930">
        <f>IF(E$2=0,"",IFERROR(TRIM(INDEX('Pegar docentes'!$A$1:$BZ$1001,929,E$2)&amp;""),""))</f>
        <v/>
      </c>
      <c r="F930">
        <f>IF(F$2=0,"",IFERROR(TRIM(INDEX('Pegar docentes'!$A$1:$BZ$1001,929,F$2)&amp;""),""))</f>
        <v/>
      </c>
      <c r="G930">
        <f>IF(G$2=0,"",IFERROR(TRIM(INDEX('Pegar docentes'!$A$1:$BZ$1001,929,G$2)&amp;""),""))</f>
        <v/>
      </c>
      <c r="H930">
        <f>IF(H$2=0,"",IFERROR(TRIM(INDEX('Pegar docentes'!$A$1:$BZ$1001,929,H$2)&amp;""),""))</f>
        <v/>
      </c>
      <c r="I930">
        <f>IF(I$2=0,"",IFERROR(TRIM(INDEX('Pegar docentes'!$A$1:$BZ$1001,929,I$2)&amp;""),""))</f>
        <v/>
      </c>
      <c r="J930">
        <f>IF(J$2=0,"",IFERROR(TRIM(INDEX('Pegar docentes'!$A$1:$BZ$1001,929,J$2)&amp;""),""))</f>
        <v/>
      </c>
      <c r="K930">
        <f>IF(K$2=0,"",IFERROR(TRIM(INDEX('Pegar docentes'!$A$1:$BZ$1001,929,K$2)&amp;""),""))</f>
        <v/>
      </c>
      <c r="L930">
        <f>IF(L$2=0,"",IFERROR(TRIM(INDEX('Pegar docentes'!$A$1:$BZ$1001,929,L$2)&amp;""),""))</f>
        <v/>
      </c>
      <c r="M930">
        <f>IF(M$2=0,"",IFERROR(TRIM(INDEX('Pegar docentes'!$A$1:$BZ$1001,929,M$2)&amp;""),""))</f>
        <v/>
      </c>
      <c r="N930">
        <f>IF(N$2=0,"",IFERROR(TRIM(INDEX('Pegar docentes'!$A$1:$BZ$1001,929,N$2)&amp;""),""))</f>
        <v/>
      </c>
      <c r="O930">
        <f>IF(O$2=0,"",IFERROR(TRIM(INDEX('Pegar docentes'!$A$1:$BZ$1001,929,O$2)&amp;""),""))</f>
        <v/>
      </c>
      <c r="P930">
        <f>IF(P$2=0,"",IFERROR(TRIM(INDEX('Pegar docentes'!$A$1:$BZ$1001,929,P$2)&amp;""),""))</f>
        <v/>
      </c>
      <c r="Q930" s="25">
        <f>IF(OR(D930&lt;&gt;"",H930&lt;&gt;""),1,"")</f>
        <v/>
      </c>
      <c r="R930" s="25">
        <f>IF(Q930=1,IF(ISNUMBER(FIND("#"&amp;MID(D930,1,1)&amp;"#","#0#1#2#3#4#5#6#7#8#9#")),IF(ISNUMBER(FIND("#"&amp;MID(D930,2,1)&amp;"#","#0#1#2#3#4#5#6#7#8#9#")),IF(AND(VALUE(LEFT(D930,2))&gt;=1,VALUE(LEFT(D930,2))&lt;=5),VALUE(LEFT(D930,2)),""),IF(AND(VALUE(LEFT(D930,1))&gt;=1,VALUE(LEFT(D930,1))&lt;=5),VALUE(LEFT(D930,1)),"")),""),"")</f>
        <v/>
      </c>
      <c r="S930" s="25">
        <f>IF(AND(Q930=1,E930&lt;&gt;""),SUBSTITUTE(SUBSTITUTE(SUBSTITUTE(SUBSTITUTE(SUBSTITUTE(SUBSTITUTE(SUBSTITUTE(SUBSTITUTE(SUBSTITUTE(SUBSTITUTE(SUBSTITUTE(SUBSTITUTE(LOWER(TRIM(E930)),"á","a"),"é","e"),"í","i"),"ó","o"),"ú","u"),"ü","u"),"ñ","n"),"à","a"),"è","e"),"ì","i"),"ò","o"),"ù","u"),"")</f>
        <v/>
      </c>
      <c r="T930" s="25">
        <f>IF(AND(Q930=1,G930&lt;&gt;""),SUBSTITUTE(SUBSTITUTE(SUBSTITUTE(SUBSTITUTE(SUBSTITUTE(SUBSTITUTE(SUBSTITUTE(SUBSTITUTE(SUBSTITUTE(SUBSTITUTE(SUBSTITUTE(SUBSTITUTE(LOWER(TRIM(G930)),"á","a"),"é","e"),"í","i"),"ó","o"),"ú","u"),"ü","u"),"ñ","n"),"à","a"),"è","e"),"ì","i"),"ò","o"),"ù","u"),"")</f>
        <v/>
      </c>
      <c r="U930" s="25">
        <f>IF(AND(Q930=1,H930&lt;&gt;""),SUBSTITUTE(SUBSTITUTE(SUBSTITUTE(SUBSTITUTE(SUBSTITUTE(SUBSTITUTE(SUBSTITUTE(SUBSTITUTE(SUBSTITUTE(SUBSTITUTE(SUBSTITUTE(SUBSTITUTE(LOWER(TRIM(H930)),"á","a"),"é","e"),"í","i"),"ó","o"),"ú","u"),"ü","u"),"ñ","n"),"à","a"),"è","e"),"ì","i"),"ò","o"),"ù","u"),"")</f>
        <v/>
      </c>
      <c r="V930" s="25">
        <f>IF(AND(Q930=1,L930&lt;&gt;""),SUBSTITUTE(SUBSTITUTE(SUBSTITUTE(SUBSTITUTE(SUBSTITUTE(SUBSTITUTE(SUBSTITUTE(SUBSTITUTE(SUBSTITUTE(SUBSTITUTE(SUBSTITUTE(SUBSTITUTE(LOWER(TRIM(L930)),"á","a"),"é","e"),"í","i"),"ó","o"),"ú","u"),"ü","u"),"ñ","n"),"à","a"),"è","e"),"ì","i"),"ò","o"),"ù","u"),"")</f>
        <v/>
      </c>
      <c r="W930" s="25">
        <f>IF(AND(Q930=1,I930&lt;&gt;""),SUBSTITUTE(SUBSTITUTE(SUBSTITUTE(SUBSTITUTE(SUBSTITUTE(SUBSTITUTE(SUBSTITUTE(SUBSTITUTE(SUBSTITUTE(SUBSTITUTE(SUBSTITUTE(SUBSTITUTE(LOWER(TRIM(I930)),"á","a"),"é","e"),"í","i"),"ó","o"),"ú","u"),"ü","u"),"ñ","n"),"à","a"),"è","e"),"ì","i"),"ò","o"),"ù","u"),"")</f>
        <v/>
      </c>
      <c r="X930" s="25">
        <f>IF(U930="","",IF(OR(U930="si, en la proxima tarea",U930="si, con cambios"),1,0))</f>
        <v/>
      </c>
      <c r="Y930" s="25">
        <f>IF(AND(Q930=1,A930&lt;&gt;""),IF(IFERROR(COUNTIFS(A$3:A930,"="&amp;SUBSTITUTE(SUBSTITUTE(SUBSTITUTE(A930,"~","~~"),"*","~*"),"?","~?"),Q$3:Q930,1),0)=1,MAX(Y$2:Y929)+1,""),"")</f>
        <v/>
      </c>
      <c r="Z930" s="25">
        <f>IF(Y930="","",COUNTIFS($A$3:$A$1002,"="&amp;SUBSTITUTE(SUBSTITUTE(SUBSTITUTE(A930,"~","~~"),"*","~*"),"?","~?"),$Q$3:$Q$1002,1)*10000-Y930)</f>
        <v/>
      </c>
    </row>
    <row r="931">
      <c r="A931">
        <f>IF(A$2=0,"",IFERROR(TRIM(INDEX('Pegar docentes'!$A$1:$BZ$1001,930,A$2)&amp;""),""))</f>
        <v/>
      </c>
      <c r="B931">
        <f>IF(B$2=0,"",IFERROR(TRIM(INDEX('Pegar docentes'!$A$1:$BZ$1001,930,B$2)&amp;""),""))</f>
        <v/>
      </c>
      <c r="C931">
        <f>IF(C$2=0,"",IFERROR(TRIM(INDEX('Pegar docentes'!$A$1:$BZ$1001,930,C$2)&amp;""),""))</f>
        <v/>
      </c>
      <c r="D931">
        <f>IF(D$2=0,"",IFERROR(TRIM(INDEX('Pegar docentes'!$A$1:$BZ$1001,930,D$2)&amp;""),""))</f>
        <v/>
      </c>
      <c r="E931">
        <f>IF(E$2=0,"",IFERROR(TRIM(INDEX('Pegar docentes'!$A$1:$BZ$1001,930,E$2)&amp;""),""))</f>
        <v/>
      </c>
      <c r="F931">
        <f>IF(F$2=0,"",IFERROR(TRIM(INDEX('Pegar docentes'!$A$1:$BZ$1001,930,F$2)&amp;""),""))</f>
        <v/>
      </c>
      <c r="G931">
        <f>IF(G$2=0,"",IFERROR(TRIM(INDEX('Pegar docentes'!$A$1:$BZ$1001,930,G$2)&amp;""),""))</f>
        <v/>
      </c>
      <c r="H931">
        <f>IF(H$2=0,"",IFERROR(TRIM(INDEX('Pegar docentes'!$A$1:$BZ$1001,930,H$2)&amp;""),""))</f>
        <v/>
      </c>
      <c r="I931">
        <f>IF(I$2=0,"",IFERROR(TRIM(INDEX('Pegar docentes'!$A$1:$BZ$1001,930,I$2)&amp;""),""))</f>
        <v/>
      </c>
      <c r="J931">
        <f>IF(J$2=0,"",IFERROR(TRIM(INDEX('Pegar docentes'!$A$1:$BZ$1001,930,J$2)&amp;""),""))</f>
        <v/>
      </c>
      <c r="K931">
        <f>IF(K$2=0,"",IFERROR(TRIM(INDEX('Pegar docentes'!$A$1:$BZ$1001,930,K$2)&amp;""),""))</f>
        <v/>
      </c>
      <c r="L931">
        <f>IF(L$2=0,"",IFERROR(TRIM(INDEX('Pegar docentes'!$A$1:$BZ$1001,930,L$2)&amp;""),""))</f>
        <v/>
      </c>
      <c r="M931">
        <f>IF(M$2=0,"",IFERROR(TRIM(INDEX('Pegar docentes'!$A$1:$BZ$1001,930,M$2)&amp;""),""))</f>
        <v/>
      </c>
      <c r="N931">
        <f>IF(N$2=0,"",IFERROR(TRIM(INDEX('Pegar docentes'!$A$1:$BZ$1001,930,N$2)&amp;""),""))</f>
        <v/>
      </c>
      <c r="O931">
        <f>IF(O$2=0,"",IFERROR(TRIM(INDEX('Pegar docentes'!$A$1:$BZ$1001,930,O$2)&amp;""),""))</f>
        <v/>
      </c>
      <c r="P931">
        <f>IF(P$2=0,"",IFERROR(TRIM(INDEX('Pegar docentes'!$A$1:$BZ$1001,930,P$2)&amp;""),""))</f>
        <v/>
      </c>
      <c r="Q931" s="25">
        <f>IF(OR(D931&lt;&gt;"",H931&lt;&gt;""),1,"")</f>
        <v/>
      </c>
      <c r="R931" s="25">
        <f>IF(Q931=1,IF(ISNUMBER(FIND("#"&amp;MID(D931,1,1)&amp;"#","#0#1#2#3#4#5#6#7#8#9#")),IF(ISNUMBER(FIND("#"&amp;MID(D931,2,1)&amp;"#","#0#1#2#3#4#5#6#7#8#9#")),IF(AND(VALUE(LEFT(D931,2))&gt;=1,VALUE(LEFT(D931,2))&lt;=5),VALUE(LEFT(D931,2)),""),IF(AND(VALUE(LEFT(D931,1))&gt;=1,VALUE(LEFT(D931,1))&lt;=5),VALUE(LEFT(D931,1)),"")),""),"")</f>
        <v/>
      </c>
      <c r="S931" s="25">
        <f>IF(AND(Q931=1,E931&lt;&gt;""),SUBSTITUTE(SUBSTITUTE(SUBSTITUTE(SUBSTITUTE(SUBSTITUTE(SUBSTITUTE(SUBSTITUTE(SUBSTITUTE(SUBSTITUTE(SUBSTITUTE(SUBSTITUTE(SUBSTITUTE(LOWER(TRIM(E931)),"á","a"),"é","e"),"í","i"),"ó","o"),"ú","u"),"ü","u"),"ñ","n"),"à","a"),"è","e"),"ì","i"),"ò","o"),"ù","u"),"")</f>
        <v/>
      </c>
      <c r="T931" s="25">
        <f>IF(AND(Q931=1,G931&lt;&gt;""),SUBSTITUTE(SUBSTITUTE(SUBSTITUTE(SUBSTITUTE(SUBSTITUTE(SUBSTITUTE(SUBSTITUTE(SUBSTITUTE(SUBSTITUTE(SUBSTITUTE(SUBSTITUTE(SUBSTITUTE(LOWER(TRIM(G931)),"á","a"),"é","e"),"í","i"),"ó","o"),"ú","u"),"ü","u"),"ñ","n"),"à","a"),"è","e"),"ì","i"),"ò","o"),"ù","u"),"")</f>
        <v/>
      </c>
      <c r="U931" s="25">
        <f>IF(AND(Q931=1,H931&lt;&gt;""),SUBSTITUTE(SUBSTITUTE(SUBSTITUTE(SUBSTITUTE(SUBSTITUTE(SUBSTITUTE(SUBSTITUTE(SUBSTITUTE(SUBSTITUTE(SUBSTITUTE(SUBSTITUTE(SUBSTITUTE(LOWER(TRIM(H931)),"á","a"),"é","e"),"í","i"),"ó","o"),"ú","u"),"ü","u"),"ñ","n"),"à","a"),"è","e"),"ì","i"),"ò","o"),"ù","u"),"")</f>
        <v/>
      </c>
      <c r="V931" s="25">
        <f>IF(AND(Q931=1,L931&lt;&gt;""),SUBSTITUTE(SUBSTITUTE(SUBSTITUTE(SUBSTITUTE(SUBSTITUTE(SUBSTITUTE(SUBSTITUTE(SUBSTITUTE(SUBSTITUTE(SUBSTITUTE(SUBSTITUTE(SUBSTITUTE(LOWER(TRIM(L931)),"á","a"),"é","e"),"í","i"),"ó","o"),"ú","u"),"ü","u"),"ñ","n"),"à","a"),"è","e"),"ì","i"),"ò","o"),"ù","u"),"")</f>
        <v/>
      </c>
      <c r="W931" s="25">
        <f>IF(AND(Q931=1,I931&lt;&gt;""),SUBSTITUTE(SUBSTITUTE(SUBSTITUTE(SUBSTITUTE(SUBSTITUTE(SUBSTITUTE(SUBSTITUTE(SUBSTITUTE(SUBSTITUTE(SUBSTITUTE(SUBSTITUTE(SUBSTITUTE(LOWER(TRIM(I931)),"á","a"),"é","e"),"í","i"),"ó","o"),"ú","u"),"ü","u"),"ñ","n"),"à","a"),"è","e"),"ì","i"),"ò","o"),"ù","u"),"")</f>
        <v/>
      </c>
      <c r="X931" s="25">
        <f>IF(U931="","",IF(OR(U931="si, en la proxima tarea",U931="si, con cambios"),1,0))</f>
        <v/>
      </c>
      <c r="Y931" s="25">
        <f>IF(AND(Q931=1,A931&lt;&gt;""),IF(IFERROR(COUNTIFS(A$3:A931,"="&amp;SUBSTITUTE(SUBSTITUTE(SUBSTITUTE(A931,"~","~~"),"*","~*"),"?","~?"),Q$3:Q931,1),0)=1,MAX(Y$2:Y930)+1,""),"")</f>
        <v/>
      </c>
      <c r="Z931" s="25">
        <f>IF(Y931="","",COUNTIFS($A$3:$A$1002,"="&amp;SUBSTITUTE(SUBSTITUTE(SUBSTITUTE(A931,"~","~~"),"*","~*"),"?","~?"),$Q$3:$Q$1002,1)*10000-Y931)</f>
        <v/>
      </c>
    </row>
    <row r="932">
      <c r="A932">
        <f>IF(A$2=0,"",IFERROR(TRIM(INDEX('Pegar docentes'!$A$1:$BZ$1001,931,A$2)&amp;""),""))</f>
        <v/>
      </c>
      <c r="B932">
        <f>IF(B$2=0,"",IFERROR(TRIM(INDEX('Pegar docentes'!$A$1:$BZ$1001,931,B$2)&amp;""),""))</f>
        <v/>
      </c>
      <c r="C932">
        <f>IF(C$2=0,"",IFERROR(TRIM(INDEX('Pegar docentes'!$A$1:$BZ$1001,931,C$2)&amp;""),""))</f>
        <v/>
      </c>
      <c r="D932">
        <f>IF(D$2=0,"",IFERROR(TRIM(INDEX('Pegar docentes'!$A$1:$BZ$1001,931,D$2)&amp;""),""))</f>
        <v/>
      </c>
      <c r="E932">
        <f>IF(E$2=0,"",IFERROR(TRIM(INDEX('Pegar docentes'!$A$1:$BZ$1001,931,E$2)&amp;""),""))</f>
        <v/>
      </c>
      <c r="F932">
        <f>IF(F$2=0,"",IFERROR(TRIM(INDEX('Pegar docentes'!$A$1:$BZ$1001,931,F$2)&amp;""),""))</f>
        <v/>
      </c>
      <c r="G932">
        <f>IF(G$2=0,"",IFERROR(TRIM(INDEX('Pegar docentes'!$A$1:$BZ$1001,931,G$2)&amp;""),""))</f>
        <v/>
      </c>
      <c r="H932">
        <f>IF(H$2=0,"",IFERROR(TRIM(INDEX('Pegar docentes'!$A$1:$BZ$1001,931,H$2)&amp;""),""))</f>
        <v/>
      </c>
      <c r="I932">
        <f>IF(I$2=0,"",IFERROR(TRIM(INDEX('Pegar docentes'!$A$1:$BZ$1001,931,I$2)&amp;""),""))</f>
        <v/>
      </c>
      <c r="J932">
        <f>IF(J$2=0,"",IFERROR(TRIM(INDEX('Pegar docentes'!$A$1:$BZ$1001,931,J$2)&amp;""),""))</f>
        <v/>
      </c>
      <c r="K932">
        <f>IF(K$2=0,"",IFERROR(TRIM(INDEX('Pegar docentes'!$A$1:$BZ$1001,931,K$2)&amp;""),""))</f>
        <v/>
      </c>
      <c r="L932">
        <f>IF(L$2=0,"",IFERROR(TRIM(INDEX('Pegar docentes'!$A$1:$BZ$1001,931,L$2)&amp;""),""))</f>
        <v/>
      </c>
      <c r="M932">
        <f>IF(M$2=0,"",IFERROR(TRIM(INDEX('Pegar docentes'!$A$1:$BZ$1001,931,M$2)&amp;""),""))</f>
        <v/>
      </c>
      <c r="N932">
        <f>IF(N$2=0,"",IFERROR(TRIM(INDEX('Pegar docentes'!$A$1:$BZ$1001,931,N$2)&amp;""),""))</f>
        <v/>
      </c>
      <c r="O932">
        <f>IF(O$2=0,"",IFERROR(TRIM(INDEX('Pegar docentes'!$A$1:$BZ$1001,931,O$2)&amp;""),""))</f>
        <v/>
      </c>
      <c r="P932">
        <f>IF(P$2=0,"",IFERROR(TRIM(INDEX('Pegar docentes'!$A$1:$BZ$1001,931,P$2)&amp;""),""))</f>
        <v/>
      </c>
      <c r="Q932" s="25">
        <f>IF(OR(D932&lt;&gt;"",H932&lt;&gt;""),1,"")</f>
        <v/>
      </c>
      <c r="R932" s="25">
        <f>IF(Q932=1,IF(ISNUMBER(FIND("#"&amp;MID(D932,1,1)&amp;"#","#0#1#2#3#4#5#6#7#8#9#")),IF(ISNUMBER(FIND("#"&amp;MID(D932,2,1)&amp;"#","#0#1#2#3#4#5#6#7#8#9#")),IF(AND(VALUE(LEFT(D932,2))&gt;=1,VALUE(LEFT(D932,2))&lt;=5),VALUE(LEFT(D932,2)),""),IF(AND(VALUE(LEFT(D932,1))&gt;=1,VALUE(LEFT(D932,1))&lt;=5),VALUE(LEFT(D932,1)),"")),""),"")</f>
        <v/>
      </c>
      <c r="S932" s="25">
        <f>IF(AND(Q932=1,E932&lt;&gt;""),SUBSTITUTE(SUBSTITUTE(SUBSTITUTE(SUBSTITUTE(SUBSTITUTE(SUBSTITUTE(SUBSTITUTE(SUBSTITUTE(SUBSTITUTE(SUBSTITUTE(SUBSTITUTE(SUBSTITUTE(LOWER(TRIM(E932)),"á","a"),"é","e"),"í","i"),"ó","o"),"ú","u"),"ü","u"),"ñ","n"),"à","a"),"è","e"),"ì","i"),"ò","o"),"ù","u"),"")</f>
        <v/>
      </c>
      <c r="T932" s="25">
        <f>IF(AND(Q932=1,G932&lt;&gt;""),SUBSTITUTE(SUBSTITUTE(SUBSTITUTE(SUBSTITUTE(SUBSTITUTE(SUBSTITUTE(SUBSTITUTE(SUBSTITUTE(SUBSTITUTE(SUBSTITUTE(SUBSTITUTE(SUBSTITUTE(LOWER(TRIM(G932)),"á","a"),"é","e"),"í","i"),"ó","o"),"ú","u"),"ü","u"),"ñ","n"),"à","a"),"è","e"),"ì","i"),"ò","o"),"ù","u"),"")</f>
        <v/>
      </c>
      <c r="U932" s="25">
        <f>IF(AND(Q932=1,H932&lt;&gt;""),SUBSTITUTE(SUBSTITUTE(SUBSTITUTE(SUBSTITUTE(SUBSTITUTE(SUBSTITUTE(SUBSTITUTE(SUBSTITUTE(SUBSTITUTE(SUBSTITUTE(SUBSTITUTE(SUBSTITUTE(LOWER(TRIM(H932)),"á","a"),"é","e"),"í","i"),"ó","o"),"ú","u"),"ü","u"),"ñ","n"),"à","a"),"è","e"),"ì","i"),"ò","o"),"ù","u"),"")</f>
        <v/>
      </c>
      <c r="V932" s="25">
        <f>IF(AND(Q932=1,L932&lt;&gt;""),SUBSTITUTE(SUBSTITUTE(SUBSTITUTE(SUBSTITUTE(SUBSTITUTE(SUBSTITUTE(SUBSTITUTE(SUBSTITUTE(SUBSTITUTE(SUBSTITUTE(SUBSTITUTE(SUBSTITUTE(LOWER(TRIM(L932)),"á","a"),"é","e"),"í","i"),"ó","o"),"ú","u"),"ü","u"),"ñ","n"),"à","a"),"è","e"),"ì","i"),"ò","o"),"ù","u"),"")</f>
        <v/>
      </c>
      <c r="W932" s="25">
        <f>IF(AND(Q932=1,I932&lt;&gt;""),SUBSTITUTE(SUBSTITUTE(SUBSTITUTE(SUBSTITUTE(SUBSTITUTE(SUBSTITUTE(SUBSTITUTE(SUBSTITUTE(SUBSTITUTE(SUBSTITUTE(SUBSTITUTE(SUBSTITUTE(LOWER(TRIM(I932)),"á","a"),"é","e"),"í","i"),"ó","o"),"ú","u"),"ü","u"),"ñ","n"),"à","a"),"è","e"),"ì","i"),"ò","o"),"ù","u"),"")</f>
        <v/>
      </c>
      <c r="X932" s="25">
        <f>IF(U932="","",IF(OR(U932="si, en la proxima tarea",U932="si, con cambios"),1,0))</f>
        <v/>
      </c>
      <c r="Y932" s="25">
        <f>IF(AND(Q932=1,A932&lt;&gt;""),IF(IFERROR(COUNTIFS(A$3:A932,"="&amp;SUBSTITUTE(SUBSTITUTE(SUBSTITUTE(A932,"~","~~"),"*","~*"),"?","~?"),Q$3:Q932,1),0)=1,MAX(Y$2:Y931)+1,""),"")</f>
        <v/>
      </c>
      <c r="Z932" s="25">
        <f>IF(Y932="","",COUNTIFS($A$3:$A$1002,"="&amp;SUBSTITUTE(SUBSTITUTE(SUBSTITUTE(A932,"~","~~"),"*","~*"),"?","~?"),$Q$3:$Q$1002,1)*10000-Y932)</f>
        <v/>
      </c>
    </row>
    <row r="933">
      <c r="A933">
        <f>IF(A$2=0,"",IFERROR(TRIM(INDEX('Pegar docentes'!$A$1:$BZ$1001,932,A$2)&amp;""),""))</f>
        <v/>
      </c>
      <c r="B933">
        <f>IF(B$2=0,"",IFERROR(TRIM(INDEX('Pegar docentes'!$A$1:$BZ$1001,932,B$2)&amp;""),""))</f>
        <v/>
      </c>
      <c r="C933">
        <f>IF(C$2=0,"",IFERROR(TRIM(INDEX('Pegar docentes'!$A$1:$BZ$1001,932,C$2)&amp;""),""))</f>
        <v/>
      </c>
      <c r="D933">
        <f>IF(D$2=0,"",IFERROR(TRIM(INDEX('Pegar docentes'!$A$1:$BZ$1001,932,D$2)&amp;""),""))</f>
        <v/>
      </c>
      <c r="E933">
        <f>IF(E$2=0,"",IFERROR(TRIM(INDEX('Pegar docentes'!$A$1:$BZ$1001,932,E$2)&amp;""),""))</f>
        <v/>
      </c>
      <c r="F933">
        <f>IF(F$2=0,"",IFERROR(TRIM(INDEX('Pegar docentes'!$A$1:$BZ$1001,932,F$2)&amp;""),""))</f>
        <v/>
      </c>
      <c r="G933">
        <f>IF(G$2=0,"",IFERROR(TRIM(INDEX('Pegar docentes'!$A$1:$BZ$1001,932,G$2)&amp;""),""))</f>
        <v/>
      </c>
      <c r="H933">
        <f>IF(H$2=0,"",IFERROR(TRIM(INDEX('Pegar docentes'!$A$1:$BZ$1001,932,H$2)&amp;""),""))</f>
        <v/>
      </c>
      <c r="I933">
        <f>IF(I$2=0,"",IFERROR(TRIM(INDEX('Pegar docentes'!$A$1:$BZ$1001,932,I$2)&amp;""),""))</f>
        <v/>
      </c>
      <c r="J933">
        <f>IF(J$2=0,"",IFERROR(TRIM(INDEX('Pegar docentes'!$A$1:$BZ$1001,932,J$2)&amp;""),""))</f>
        <v/>
      </c>
      <c r="K933">
        <f>IF(K$2=0,"",IFERROR(TRIM(INDEX('Pegar docentes'!$A$1:$BZ$1001,932,K$2)&amp;""),""))</f>
        <v/>
      </c>
      <c r="L933">
        <f>IF(L$2=0,"",IFERROR(TRIM(INDEX('Pegar docentes'!$A$1:$BZ$1001,932,L$2)&amp;""),""))</f>
        <v/>
      </c>
      <c r="M933">
        <f>IF(M$2=0,"",IFERROR(TRIM(INDEX('Pegar docentes'!$A$1:$BZ$1001,932,M$2)&amp;""),""))</f>
        <v/>
      </c>
      <c r="N933">
        <f>IF(N$2=0,"",IFERROR(TRIM(INDEX('Pegar docentes'!$A$1:$BZ$1001,932,N$2)&amp;""),""))</f>
        <v/>
      </c>
      <c r="O933">
        <f>IF(O$2=0,"",IFERROR(TRIM(INDEX('Pegar docentes'!$A$1:$BZ$1001,932,O$2)&amp;""),""))</f>
        <v/>
      </c>
      <c r="P933">
        <f>IF(P$2=0,"",IFERROR(TRIM(INDEX('Pegar docentes'!$A$1:$BZ$1001,932,P$2)&amp;""),""))</f>
        <v/>
      </c>
      <c r="Q933" s="25">
        <f>IF(OR(D933&lt;&gt;"",H933&lt;&gt;""),1,"")</f>
        <v/>
      </c>
      <c r="R933" s="25">
        <f>IF(Q933=1,IF(ISNUMBER(FIND("#"&amp;MID(D933,1,1)&amp;"#","#0#1#2#3#4#5#6#7#8#9#")),IF(ISNUMBER(FIND("#"&amp;MID(D933,2,1)&amp;"#","#0#1#2#3#4#5#6#7#8#9#")),IF(AND(VALUE(LEFT(D933,2))&gt;=1,VALUE(LEFT(D933,2))&lt;=5),VALUE(LEFT(D933,2)),""),IF(AND(VALUE(LEFT(D933,1))&gt;=1,VALUE(LEFT(D933,1))&lt;=5),VALUE(LEFT(D933,1)),"")),""),"")</f>
        <v/>
      </c>
      <c r="S933" s="25">
        <f>IF(AND(Q933=1,E933&lt;&gt;""),SUBSTITUTE(SUBSTITUTE(SUBSTITUTE(SUBSTITUTE(SUBSTITUTE(SUBSTITUTE(SUBSTITUTE(SUBSTITUTE(SUBSTITUTE(SUBSTITUTE(SUBSTITUTE(SUBSTITUTE(LOWER(TRIM(E933)),"á","a"),"é","e"),"í","i"),"ó","o"),"ú","u"),"ü","u"),"ñ","n"),"à","a"),"è","e"),"ì","i"),"ò","o"),"ù","u"),"")</f>
        <v/>
      </c>
      <c r="T933" s="25">
        <f>IF(AND(Q933=1,G933&lt;&gt;""),SUBSTITUTE(SUBSTITUTE(SUBSTITUTE(SUBSTITUTE(SUBSTITUTE(SUBSTITUTE(SUBSTITUTE(SUBSTITUTE(SUBSTITUTE(SUBSTITUTE(SUBSTITUTE(SUBSTITUTE(LOWER(TRIM(G933)),"á","a"),"é","e"),"í","i"),"ó","o"),"ú","u"),"ü","u"),"ñ","n"),"à","a"),"è","e"),"ì","i"),"ò","o"),"ù","u"),"")</f>
        <v/>
      </c>
      <c r="U933" s="25">
        <f>IF(AND(Q933=1,H933&lt;&gt;""),SUBSTITUTE(SUBSTITUTE(SUBSTITUTE(SUBSTITUTE(SUBSTITUTE(SUBSTITUTE(SUBSTITUTE(SUBSTITUTE(SUBSTITUTE(SUBSTITUTE(SUBSTITUTE(SUBSTITUTE(LOWER(TRIM(H933)),"á","a"),"é","e"),"í","i"),"ó","o"),"ú","u"),"ü","u"),"ñ","n"),"à","a"),"è","e"),"ì","i"),"ò","o"),"ù","u"),"")</f>
        <v/>
      </c>
      <c r="V933" s="25">
        <f>IF(AND(Q933=1,L933&lt;&gt;""),SUBSTITUTE(SUBSTITUTE(SUBSTITUTE(SUBSTITUTE(SUBSTITUTE(SUBSTITUTE(SUBSTITUTE(SUBSTITUTE(SUBSTITUTE(SUBSTITUTE(SUBSTITUTE(SUBSTITUTE(LOWER(TRIM(L933)),"á","a"),"é","e"),"í","i"),"ó","o"),"ú","u"),"ü","u"),"ñ","n"),"à","a"),"è","e"),"ì","i"),"ò","o"),"ù","u"),"")</f>
        <v/>
      </c>
      <c r="W933" s="25">
        <f>IF(AND(Q933=1,I933&lt;&gt;""),SUBSTITUTE(SUBSTITUTE(SUBSTITUTE(SUBSTITUTE(SUBSTITUTE(SUBSTITUTE(SUBSTITUTE(SUBSTITUTE(SUBSTITUTE(SUBSTITUTE(SUBSTITUTE(SUBSTITUTE(LOWER(TRIM(I933)),"á","a"),"é","e"),"í","i"),"ó","o"),"ú","u"),"ü","u"),"ñ","n"),"à","a"),"è","e"),"ì","i"),"ò","o"),"ù","u"),"")</f>
        <v/>
      </c>
      <c r="X933" s="25">
        <f>IF(U933="","",IF(OR(U933="si, en la proxima tarea",U933="si, con cambios"),1,0))</f>
        <v/>
      </c>
      <c r="Y933" s="25">
        <f>IF(AND(Q933=1,A933&lt;&gt;""),IF(IFERROR(COUNTIFS(A$3:A933,"="&amp;SUBSTITUTE(SUBSTITUTE(SUBSTITUTE(A933,"~","~~"),"*","~*"),"?","~?"),Q$3:Q933,1),0)=1,MAX(Y$2:Y932)+1,""),"")</f>
        <v/>
      </c>
      <c r="Z933" s="25">
        <f>IF(Y933="","",COUNTIFS($A$3:$A$1002,"="&amp;SUBSTITUTE(SUBSTITUTE(SUBSTITUTE(A933,"~","~~"),"*","~*"),"?","~?"),$Q$3:$Q$1002,1)*10000-Y933)</f>
        <v/>
      </c>
    </row>
    <row r="934">
      <c r="A934">
        <f>IF(A$2=0,"",IFERROR(TRIM(INDEX('Pegar docentes'!$A$1:$BZ$1001,933,A$2)&amp;""),""))</f>
        <v/>
      </c>
      <c r="B934">
        <f>IF(B$2=0,"",IFERROR(TRIM(INDEX('Pegar docentes'!$A$1:$BZ$1001,933,B$2)&amp;""),""))</f>
        <v/>
      </c>
      <c r="C934">
        <f>IF(C$2=0,"",IFERROR(TRIM(INDEX('Pegar docentes'!$A$1:$BZ$1001,933,C$2)&amp;""),""))</f>
        <v/>
      </c>
      <c r="D934">
        <f>IF(D$2=0,"",IFERROR(TRIM(INDEX('Pegar docentes'!$A$1:$BZ$1001,933,D$2)&amp;""),""))</f>
        <v/>
      </c>
      <c r="E934">
        <f>IF(E$2=0,"",IFERROR(TRIM(INDEX('Pegar docentes'!$A$1:$BZ$1001,933,E$2)&amp;""),""))</f>
        <v/>
      </c>
      <c r="F934">
        <f>IF(F$2=0,"",IFERROR(TRIM(INDEX('Pegar docentes'!$A$1:$BZ$1001,933,F$2)&amp;""),""))</f>
        <v/>
      </c>
      <c r="G934">
        <f>IF(G$2=0,"",IFERROR(TRIM(INDEX('Pegar docentes'!$A$1:$BZ$1001,933,G$2)&amp;""),""))</f>
        <v/>
      </c>
      <c r="H934">
        <f>IF(H$2=0,"",IFERROR(TRIM(INDEX('Pegar docentes'!$A$1:$BZ$1001,933,H$2)&amp;""),""))</f>
        <v/>
      </c>
      <c r="I934">
        <f>IF(I$2=0,"",IFERROR(TRIM(INDEX('Pegar docentes'!$A$1:$BZ$1001,933,I$2)&amp;""),""))</f>
        <v/>
      </c>
      <c r="J934">
        <f>IF(J$2=0,"",IFERROR(TRIM(INDEX('Pegar docentes'!$A$1:$BZ$1001,933,J$2)&amp;""),""))</f>
        <v/>
      </c>
      <c r="K934">
        <f>IF(K$2=0,"",IFERROR(TRIM(INDEX('Pegar docentes'!$A$1:$BZ$1001,933,K$2)&amp;""),""))</f>
        <v/>
      </c>
      <c r="L934">
        <f>IF(L$2=0,"",IFERROR(TRIM(INDEX('Pegar docentes'!$A$1:$BZ$1001,933,L$2)&amp;""),""))</f>
        <v/>
      </c>
      <c r="M934">
        <f>IF(M$2=0,"",IFERROR(TRIM(INDEX('Pegar docentes'!$A$1:$BZ$1001,933,M$2)&amp;""),""))</f>
        <v/>
      </c>
      <c r="N934">
        <f>IF(N$2=0,"",IFERROR(TRIM(INDEX('Pegar docentes'!$A$1:$BZ$1001,933,N$2)&amp;""),""))</f>
        <v/>
      </c>
      <c r="O934">
        <f>IF(O$2=0,"",IFERROR(TRIM(INDEX('Pegar docentes'!$A$1:$BZ$1001,933,O$2)&amp;""),""))</f>
        <v/>
      </c>
      <c r="P934">
        <f>IF(P$2=0,"",IFERROR(TRIM(INDEX('Pegar docentes'!$A$1:$BZ$1001,933,P$2)&amp;""),""))</f>
        <v/>
      </c>
      <c r="Q934" s="25">
        <f>IF(OR(D934&lt;&gt;"",H934&lt;&gt;""),1,"")</f>
        <v/>
      </c>
      <c r="R934" s="25">
        <f>IF(Q934=1,IF(ISNUMBER(FIND("#"&amp;MID(D934,1,1)&amp;"#","#0#1#2#3#4#5#6#7#8#9#")),IF(ISNUMBER(FIND("#"&amp;MID(D934,2,1)&amp;"#","#0#1#2#3#4#5#6#7#8#9#")),IF(AND(VALUE(LEFT(D934,2))&gt;=1,VALUE(LEFT(D934,2))&lt;=5),VALUE(LEFT(D934,2)),""),IF(AND(VALUE(LEFT(D934,1))&gt;=1,VALUE(LEFT(D934,1))&lt;=5),VALUE(LEFT(D934,1)),"")),""),"")</f>
        <v/>
      </c>
      <c r="S934" s="25">
        <f>IF(AND(Q934=1,E934&lt;&gt;""),SUBSTITUTE(SUBSTITUTE(SUBSTITUTE(SUBSTITUTE(SUBSTITUTE(SUBSTITUTE(SUBSTITUTE(SUBSTITUTE(SUBSTITUTE(SUBSTITUTE(SUBSTITUTE(SUBSTITUTE(LOWER(TRIM(E934)),"á","a"),"é","e"),"í","i"),"ó","o"),"ú","u"),"ü","u"),"ñ","n"),"à","a"),"è","e"),"ì","i"),"ò","o"),"ù","u"),"")</f>
        <v/>
      </c>
      <c r="T934" s="25">
        <f>IF(AND(Q934=1,G934&lt;&gt;""),SUBSTITUTE(SUBSTITUTE(SUBSTITUTE(SUBSTITUTE(SUBSTITUTE(SUBSTITUTE(SUBSTITUTE(SUBSTITUTE(SUBSTITUTE(SUBSTITUTE(SUBSTITUTE(SUBSTITUTE(LOWER(TRIM(G934)),"á","a"),"é","e"),"í","i"),"ó","o"),"ú","u"),"ü","u"),"ñ","n"),"à","a"),"è","e"),"ì","i"),"ò","o"),"ù","u"),"")</f>
        <v/>
      </c>
      <c r="U934" s="25">
        <f>IF(AND(Q934=1,H934&lt;&gt;""),SUBSTITUTE(SUBSTITUTE(SUBSTITUTE(SUBSTITUTE(SUBSTITUTE(SUBSTITUTE(SUBSTITUTE(SUBSTITUTE(SUBSTITUTE(SUBSTITUTE(SUBSTITUTE(SUBSTITUTE(LOWER(TRIM(H934)),"á","a"),"é","e"),"í","i"),"ó","o"),"ú","u"),"ü","u"),"ñ","n"),"à","a"),"è","e"),"ì","i"),"ò","o"),"ù","u"),"")</f>
        <v/>
      </c>
      <c r="V934" s="25">
        <f>IF(AND(Q934=1,L934&lt;&gt;""),SUBSTITUTE(SUBSTITUTE(SUBSTITUTE(SUBSTITUTE(SUBSTITUTE(SUBSTITUTE(SUBSTITUTE(SUBSTITUTE(SUBSTITUTE(SUBSTITUTE(SUBSTITUTE(SUBSTITUTE(LOWER(TRIM(L934)),"á","a"),"é","e"),"í","i"),"ó","o"),"ú","u"),"ü","u"),"ñ","n"),"à","a"),"è","e"),"ì","i"),"ò","o"),"ù","u"),"")</f>
        <v/>
      </c>
      <c r="W934" s="25">
        <f>IF(AND(Q934=1,I934&lt;&gt;""),SUBSTITUTE(SUBSTITUTE(SUBSTITUTE(SUBSTITUTE(SUBSTITUTE(SUBSTITUTE(SUBSTITUTE(SUBSTITUTE(SUBSTITUTE(SUBSTITUTE(SUBSTITUTE(SUBSTITUTE(LOWER(TRIM(I934)),"á","a"),"é","e"),"í","i"),"ó","o"),"ú","u"),"ü","u"),"ñ","n"),"à","a"),"è","e"),"ì","i"),"ò","o"),"ù","u"),"")</f>
        <v/>
      </c>
      <c r="X934" s="25">
        <f>IF(U934="","",IF(OR(U934="si, en la proxima tarea",U934="si, con cambios"),1,0))</f>
        <v/>
      </c>
      <c r="Y934" s="25">
        <f>IF(AND(Q934=1,A934&lt;&gt;""),IF(IFERROR(COUNTIFS(A$3:A934,"="&amp;SUBSTITUTE(SUBSTITUTE(SUBSTITUTE(A934,"~","~~"),"*","~*"),"?","~?"),Q$3:Q934,1),0)=1,MAX(Y$2:Y933)+1,""),"")</f>
        <v/>
      </c>
      <c r="Z934" s="25">
        <f>IF(Y934="","",COUNTIFS($A$3:$A$1002,"="&amp;SUBSTITUTE(SUBSTITUTE(SUBSTITUTE(A934,"~","~~"),"*","~*"),"?","~?"),$Q$3:$Q$1002,1)*10000-Y934)</f>
        <v/>
      </c>
    </row>
    <row r="935">
      <c r="A935">
        <f>IF(A$2=0,"",IFERROR(TRIM(INDEX('Pegar docentes'!$A$1:$BZ$1001,934,A$2)&amp;""),""))</f>
        <v/>
      </c>
      <c r="B935">
        <f>IF(B$2=0,"",IFERROR(TRIM(INDEX('Pegar docentes'!$A$1:$BZ$1001,934,B$2)&amp;""),""))</f>
        <v/>
      </c>
      <c r="C935">
        <f>IF(C$2=0,"",IFERROR(TRIM(INDEX('Pegar docentes'!$A$1:$BZ$1001,934,C$2)&amp;""),""))</f>
        <v/>
      </c>
      <c r="D935">
        <f>IF(D$2=0,"",IFERROR(TRIM(INDEX('Pegar docentes'!$A$1:$BZ$1001,934,D$2)&amp;""),""))</f>
        <v/>
      </c>
      <c r="E935">
        <f>IF(E$2=0,"",IFERROR(TRIM(INDEX('Pegar docentes'!$A$1:$BZ$1001,934,E$2)&amp;""),""))</f>
        <v/>
      </c>
      <c r="F935">
        <f>IF(F$2=0,"",IFERROR(TRIM(INDEX('Pegar docentes'!$A$1:$BZ$1001,934,F$2)&amp;""),""))</f>
        <v/>
      </c>
      <c r="G935">
        <f>IF(G$2=0,"",IFERROR(TRIM(INDEX('Pegar docentes'!$A$1:$BZ$1001,934,G$2)&amp;""),""))</f>
        <v/>
      </c>
      <c r="H935">
        <f>IF(H$2=0,"",IFERROR(TRIM(INDEX('Pegar docentes'!$A$1:$BZ$1001,934,H$2)&amp;""),""))</f>
        <v/>
      </c>
      <c r="I935">
        <f>IF(I$2=0,"",IFERROR(TRIM(INDEX('Pegar docentes'!$A$1:$BZ$1001,934,I$2)&amp;""),""))</f>
        <v/>
      </c>
      <c r="J935">
        <f>IF(J$2=0,"",IFERROR(TRIM(INDEX('Pegar docentes'!$A$1:$BZ$1001,934,J$2)&amp;""),""))</f>
        <v/>
      </c>
      <c r="K935">
        <f>IF(K$2=0,"",IFERROR(TRIM(INDEX('Pegar docentes'!$A$1:$BZ$1001,934,K$2)&amp;""),""))</f>
        <v/>
      </c>
      <c r="L935">
        <f>IF(L$2=0,"",IFERROR(TRIM(INDEX('Pegar docentes'!$A$1:$BZ$1001,934,L$2)&amp;""),""))</f>
        <v/>
      </c>
      <c r="M935">
        <f>IF(M$2=0,"",IFERROR(TRIM(INDEX('Pegar docentes'!$A$1:$BZ$1001,934,M$2)&amp;""),""))</f>
        <v/>
      </c>
      <c r="N935">
        <f>IF(N$2=0,"",IFERROR(TRIM(INDEX('Pegar docentes'!$A$1:$BZ$1001,934,N$2)&amp;""),""))</f>
        <v/>
      </c>
      <c r="O935">
        <f>IF(O$2=0,"",IFERROR(TRIM(INDEX('Pegar docentes'!$A$1:$BZ$1001,934,O$2)&amp;""),""))</f>
        <v/>
      </c>
      <c r="P935">
        <f>IF(P$2=0,"",IFERROR(TRIM(INDEX('Pegar docentes'!$A$1:$BZ$1001,934,P$2)&amp;""),""))</f>
        <v/>
      </c>
      <c r="Q935" s="25">
        <f>IF(OR(D935&lt;&gt;"",H935&lt;&gt;""),1,"")</f>
        <v/>
      </c>
      <c r="R935" s="25">
        <f>IF(Q935=1,IF(ISNUMBER(FIND("#"&amp;MID(D935,1,1)&amp;"#","#0#1#2#3#4#5#6#7#8#9#")),IF(ISNUMBER(FIND("#"&amp;MID(D935,2,1)&amp;"#","#0#1#2#3#4#5#6#7#8#9#")),IF(AND(VALUE(LEFT(D935,2))&gt;=1,VALUE(LEFT(D935,2))&lt;=5),VALUE(LEFT(D935,2)),""),IF(AND(VALUE(LEFT(D935,1))&gt;=1,VALUE(LEFT(D935,1))&lt;=5),VALUE(LEFT(D935,1)),"")),""),"")</f>
        <v/>
      </c>
      <c r="S935" s="25">
        <f>IF(AND(Q935=1,E935&lt;&gt;""),SUBSTITUTE(SUBSTITUTE(SUBSTITUTE(SUBSTITUTE(SUBSTITUTE(SUBSTITUTE(SUBSTITUTE(SUBSTITUTE(SUBSTITUTE(SUBSTITUTE(SUBSTITUTE(SUBSTITUTE(LOWER(TRIM(E935)),"á","a"),"é","e"),"í","i"),"ó","o"),"ú","u"),"ü","u"),"ñ","n"),"à","a"),"è","e"),"ì","i"),"ò","o"),"ù","u"),"")</f>
        <v/>
      </c>
      <c r="T935" s="25">
        <f>IF(AND(Q935=1,G935&lt;&gt;""),SUBSTITUTE(SUBSTITUTE(SUBSTITUTE(SUBSTITUTE(SUBSTITUTE(SUBSTITUTE(SUBSTITUTE(SUBSTITUTE(SUBSTITUTE(SUBSTITUTE(SUBSTITUTE(SUBSTITUTE(LOWER(TRIM(G935)),"á","a"),"é","e"),"í","i"),"ó","o"),"ú","u"),"ü","u"),"ñ","n"),"à","a"),"è","e"),"ì","i"),"ò","o"),"ù","u"),"")</f>
        <v/>
      </c>
      <c r="U935" s="25">
        <f>IF(AND(Q935=1,H935&lt;&gt;""),SUBSTITUTE(SUBSTITUTE(SUBSTITUTE(SUBSTITUTE(SUBSTITUTE(SUBSTITUTE(SUBSTITUTE(SUBSTITUTE(SUBSTITUTE(SUBSTITUTE(SUBSTITUTE(SUBSTITUTE(LOWER(TRIM(H935)),"á","a"),"é","e"),"í","i"),"ó","o"),"ú","u"),"ü","u"),"ñ","n"),"à","a"),"è","e"),"ì","i"),"ò","o"),"ù","u"),"")</f>
        <v/>
      </c>
      <c r="V935" s="25">
        <f>IF(AND(Q935=1,L935&lt;&gt;""),SUBSTITUTE(SUBSTITUTE(SUBSTITUTE(SUBSTITUTE(SUBSTITUTE(SUBSTITUTE(SUBSTITUTE(SUBSTITUTE(SUBSTITUTE(SUBSTITUTE(SUBSTITUTE(SUBSTITUTE(LOWER(TRIM(L935)),"á","a"),"é","e"),"í","i"),"ó","o"),"ú","u"),"ü","u"),"ñ","n"),"à","a"),"è","e"),"ì","i"),"ò","o"),"ù","u"),"")</f>
        <v/>
      </c>
      <c r="W935" s="25">
        <f>IF(AND(Q935=1,I935&lt;&gt;""),SUBSTITUTE(SUBSTITUTE(SUBSTITUTE(SUBSTITUTE(SUBSTITUTE(SUBSTITUTE(SUBSTITUTE(SUBSTITUTE(SUBSTITUTE(SUBSTITUTE(SUBSTITUTE(SUBSTITUTE(LOWER(TRIM(I935)),"á","a"),"é","e"),"í","i"),"ó","o"),"ú","u"),"ü","u"),"ñ","n"),"à","a"),"è","e"),"ì","i"),"ò","o"),"ù","u"),"")</f>
        <v/>
      </c>
      <c r="X935" s="25">
        <f>IF(U935="","",IF(OR(U935="si, en la proxima tarea",U935="si, con cambios"),1,0))</f>
        <v/>
      </c>
      <c r="Y935" s="25">
        <f>IF(AND(Q935=1,A935&lt;&gt;""),IF(IFERROR(COUNTIFS(A$3:A935,"="&amp;SUBSTITUTE(SUBSTITUTE(SUBSTITUTE(A935,"~","~~"),"*","~*"),"?","~?"),Q$3:Q935,1),0)=1,MAX(Y$2:Y934)+1,""),"")</f>
        <v/>
      </c>
      <c r="Z935" s="25">
        <f>IF(Y935="","",COUNTIFS($A$3:$A$1002,"="&amp;SUBSTITUTE(SUBSTITUTE(SUBSTITUTE(A935,"~","~~"),"*","~*"),"?","~?"),$Q$3:$Q$1002,1)*10000-Y935)</f>
        <v/>
      </c>
    </row>
    <row r="936">
      <c r="A936">
        <f>IF(A$2=0,"",IFERROR(TRIM(INDEX('Pegar docentes'!$A$1:$BZ$1001,935,A$2)&amp;""),""))</f>
        <v/>
      </c>
      <c r="B936">
        <f>IF(B$2=0,"",IFERROR(TRIM(INDEX('Pegar docentes'!$A$1:$BZ$1001,935,B$2)&amp;""),""))</f>
        <v/>
      </c>
      <c r="C936">
        <f>IF(C$2=0,"",IFERROR(TRIM(INDEX('Pegar docentes'!$A$1:$BZ$1001,935,C$2)&amp;""),""))</f>
        <v/>
      </c>
      <c r="D936">
        <f>IF(D$2=0,"",IFERROR(TRIM(INDEX('Pegar docentes'!$A$1:$BZ$1001,935,D$2)&amp;""),""))</f>
        <v/>
      </c>
      <c r="E936">
        <f>IF(E$2=0,"",IFERROR(TRIM(INDEX('Pegar docentes'!$A$1:$BZ$1001,935,E$2)&amp;""),""))</f>
        <v/>
      </c>
      <c r="F936">
        <f>IF(F$2=0,"",IFERROR(TRIM(INDEX('Pegar docentes'!$A$1:$BZ$1001,935,F$2)&amp;""),""))</f>
        <v/>
      </c>
      <c r="G936">
        <f>IF(G$2=0,"",IFERROR(TRIM(INDEX('Pegar docentes'!$A$1:$BZ$1001,935,G$2)&amp;""),""))</f>
        <v/>
      </c>
      <c r="H936">
        <f>IF(H$2=0,"",IFERROR(TRIM(INDEX('Pegar docentes'!$A$1:$BZ$1001,935,H$2)&amp;""),""))</f>
        <v/>
      </c>
      <c r="I936">
        <f>IF(I$2=0,"",IFERROR(TRIM(INDEX('Pegar docentes'!$A$1:$BZ$1001,935,I$2)&amp;""),""))</f>
        <v/>
      </c>
      <c r="J936">
        <f>IF(J$2=0,"",IFERROR(TRIM(INDEX('Pegar docentes'!$A$1:$BZ$1001,935,J$2)&amp;""),""))</f>
        <v/>
      </c>
      <c r="K936">
        <f>IF(K$2=0,"",IFERROR(TRIM(INDEX('Pegar docentes'!$A$1:$BZ$1001,935,K$2)&amp;""),""))</f>
        <v/>
      </c>
      <c r="L936">
        <f>IF(L$2=0,"",IFERROR(TRIM(INDEX('Pegar docentes'!$A$1:$BZ$1001,935,L$2)&amp;""),""))</f>
        <v/>
      </c>
      <c r="M936">
        <f>IF(M$2=0,"",IFERROR(TRIM(INDEX('Pegar docentes'!$A$1:$BZ$1001,935,M$2)&amp;""),""))</f>
        <v/>
      </c>
      <c r="N936">
        <f>IF(N$2=0,"",IFERROR(TRIM(INDEX('Pegar docentes'!$A$1:$BZ$1001,935,N$2)&amp;""),""))</f>
        <v/>
      </c>
      <c r="O936">
        <f>IF(O$2=0,"",IFERROR(TRIM(INDEX('Pegar docentes'!$A$1:$BZ$1001,935,O$2)&amp;""),""))</f>
        <v/>
      </c>
      <c r="P936">
        <f>IF(P$2=0,"",IFERROR(TRIM(INDEX('Pegar docentes'!$A$1:$BZ$1001,935,P$2)&amp;""),""))</f>
        <v/>
      </c>
      <c r="Q936" s="25">
        <f>IF(OR(D936&lt;&gt;"",H936&lt;&gt;""),1,"")</f>
        <v/>
      </c>
      <c r="R936" s="25">
        <f>IF(Q936=1,IF(ISNUMBER(FIND("#"&amp;MID(D936,1,1)&amp;"#","#0#1#2#3#4#5#6#7#8#9#")),IF(ISNUMBER(FIND("#"&amp;MID(D936,2,1)&amp;"#","#0#1#2#3#4#5#6#7#8#9#")),IF(AND(VALUE(LEFT(D936,2))&gt;=1,VALUE(LEFT(D936,2))&lt;=5),VALUE(LEFT(D936,2)),""),IF(AND(VALUE(LEFT(D936,1))&gt;=1,VALUE(LEFT(D936,1))&lt;=5),VALUE(LEFT(D936,1)),"")),""),"")</f>
        <v/>
      </c>
      <c r="S936" s="25">
        <f>IF(AND(Q936=1,E936&lt;&gt;""),SUBSTITUTE(SUBSTITUTE(SUBSTITUTE(SUBSTITUTE(SUBSTITUTE(SUBSTITUTE(SUBSTITUTE(SUBSTITUTE(SUBSTITUTE(SUBSTITUTE(SUBSTITUTE(SUBSTITUTE(LOWER(TRIM(E936)),"á","a"),"é","e"),"í","i"),"ó","o"),"ú","u"),"ü","u"),"ñ","n"),"à","a"),"è","e"),"ì","i"),"ò","o"),"ù","u"),"")</f>
        <v/>
      </c>
      <c r="T936" s="25">
        <f>IF(AND(Q936=1,G936&lt;&gt;""),SUBSTITUTE(SUBSTITUTE(SUBSTITUTE(SUBSTITUTE(SUBSTITUTE(SUBSTITUTE(SUBSTITUTE(SUBSTITUTE(SUBSTITUTE(SUBSTITUTE(SUBSTITUTE(SUBSTITUTE(LOWER(TRIM(G936)),"á","a"),"é","e"),"í","i"),"ó","o"),"ú","u"),"ü","u"),"ñ","n"),"à","a"),"è","e"),"ì","i"),"ò","o"),"ù","u"),"")</f>
        <v/>
      </c>
      <c r="U936" s="25">
        <f>IF(AND(Q936=1,H936&lt;&gt;""),SUBSTITUTE(SUBSTITUTE(SUBSTITUTE(SUBSTITUTE(SUBSTITUTE(SUBSTITUTE(SUBSTITUTE(SUBSTITUTE(SUBSTITUTE(SUBSTITUTE(SUBSTITUTE(SUBSTITUTE(LOWER(TRIM(H936)),"á","a"),"é","e"),"í","i"),"ó","o"),"ú","u"),"ü","u"),"ñ","n"),"à","a"),"è","e"),"ì","i"),"ò","o"),"ù","u"),"")</f>
        <v/>
      </c>
      <c r="V936" s="25">
        <f>IF(AND(Q936=1,L936&lt;&gt;""),SUBSTITUTE(SUBSTITUTE(SUBSTITUTE(SUBSTITUTE(SUBSTITUTE(SUBSTITUTE(SUBSTITUTE(SUBSTITUTE(SUBSTITUTE(SUBSTITUTE(SUBSTITUTE(SUBSTITUTE(LOWER(TRIM(L936)),"á","a"),"é","e"),"í","i"),"ó","o"),"ú","u"),"ü","u"),"ñ","n"),"à","a"),"è","e"),"ì","i"),"ò","o"),"ù","u"),"")</f>
        <v/>
      </c>
      <c r="W936" s="25">
        <f>IF(AND(Q936=1,I936&lt;&gt;""),SUBSTITUTE(SUBSTITUTE(SUBSTITUTE(SUBSTITUTE(SUBSTITUTE(SUBSTITUTE(SUBSTITUTE(SUBSTITUTE(SUBSTITUTE(SUBSTITUTE(SUBSTITUTE(SUBSTITUTE(LOWER(TRIM(I936)),"á","a"),"é","e"),"í","i"),"ó","o"),"ú","u"),"ü","u"),"ñ","n"),"à","a"),"è","e"),"ì","i"),"ò","o"),"ù","u"),"")</f>
        <v/>
      </c>
      <c r="X936" s="25">
        <f>IF(U936="","",IF(OR(U936="si, en la proxima tarea",U936="si, con cambios"),1,0))</f>
        <v/>
      </c>
      <c r="Y936" s="25">
        <f>IF(AND(Q936=1,A936&lt;&gt;""),IF(IFERROR(COUNTIFS(A$3:A936,"="&amp;SUBSTITUTE(SUBSTITUTE(SUBSTITUTE(A936,"~","~~"),"*","~*"),"?","~?"),Q$3:Q936,1),0)=1,MAX(Y$2:Y935)+1,""),"")</f>
        <v/>
      </c>
      <c r="Z936" s="25">
        <f>IF(Y936="","",COUNTIFS($A$3:$A$1002,"="&amp;SUBSTITUTE(SUBSTITUTE(SUBSTITUTE(A936,"~","~~"),"*","~*"),"?","~?"),$Q$3:$Q$1002,1)*10000-Y936)</f>
        <v/>
      </c>
    </row>
    <row r="937">
      <c r="A937">
        <f>IF(A$2=0,"",IFERROR(TRIM(INDEX('Pegar docentes'!$A$1:$BZ$1001,936,A$2)&amp;""),""))</f>
        <v/>
      </c>
      <c r="B937">
        <f>IF(B$2=0,"",IFERROR(TRIM(INDEX('Pegar docentes'!$A$1:$BZ$1001,936,B$2)&amp;""),""))</f>
        <v/>
      </c>
      <c r="C937">
        <f>IF(C$2=0,"",IFERROR(TRIM(INDEX('Pegar docentes'!$A$1:$BZ$1001,936,C$2)&amp;""),""))</f>
        <v/>
      </c>
      <c r="D937">
        <f>IF(D$2=0,"",IFERROR(TRIM(INDEX('Pegar docentes'!$A$1:$BZ$1001,936,D$2)&amp;""),""))</f>
        <v/>
      </c>
      <c r="E937">
        <f>IF(E$2=0,"",IFERROR(TRIM(INDEX('Pegar docentes'!$A$1:$BZ$1001,936,E$2)&amp;""),""))</f>
        <v/>
      </c>
      <c r="F937">
        <f>IF(F$2=0,"",IFERROR(TRIM(INDEX('Pegar docentes'!$A$1:$BZ$1001,936,F$2)&amp;""),""))</f>
        <v/>
      </c>
      <c r="G937">
        <f>IF(G$2=0,"",IFERROR(TRIM(INDEX('Pegar docentes'!$A$1:$BZ$1001,936,G$2)&amp;""),""))</f>
        <v/>
      </c>
      <c r="H937">
        <f>IF(H$2=0,"",IFERROR(TRIM(INDEX('Pegar docentes'!$A$1:$BZ$1001,936,H$2)&amp;""),""))</f>
        <v/>
      </c>
      <c r="I937">
        <f>IF(I$2=0,"",IFERROR(TRIM(INDEX('Pegar docentes'!$A$1:$BZ$1001,936,I$2)&amp;""),""))</f>
        <v/>
      </c>
      <c r="J937">
        <f>IF(J$2=0,"",IFERROR(TRIM(INDEX('Pegar docentes'!$A$1:$BZ$1001,936,J$2)&amp;""),""))</f>
        <v/>
      </c>
      <c r="K937">
        <f>IF(K$2=0,"",IFERROR(TRIM(INDEX('Pegar docentes'!$A$1:$BZ$1001,936,K$2)&amp;""),""))</f>
        <v/>
      </c>
      <c r="L937">
        <f>IF(L$2=0,"",IFERROR(TRIM(INDEX('Pegar docentes'!$A$1:$BZ$1001,936,L$2)&amp;""),""))</f>
        <v/>
      </c>
      <c r="M937">
        <f>IF(M$2=0,"",IFERROR(TRIM(INDEX('Pegar docentes'!$A$1:$BZ$1001,936,M$2)&amp;""),""))</f>
        <v/>
      </c>
      <c r="N937">
        <f>IF(N$2=0,"",IFERROR(TRIM(INDEX('Pegar docentes'!$A$1:$BZ$1001,936,N$2)&amp;""),""))</f>
        <v/>
      </c>
      <c r="O937">
        <f>IF(O$2=0,"",IFERROR(TRIM(INDEX('Pegar docentes'!$A$1:$BZ$1001,936,O$2)&amp;""),""))</f>
        <v/>
      </c>
      <c r="P937">
        <f>IF(P$2=0,"",IFERROR(TRIM(INDEX('Pegar docentes'!$A$1:$BZ$1001,936,P$2)&amp;""),""))</f>
        <v/>
      </c>
      <c r="Q937" s="25">
        <f>IF(OR(D937&lt;&gt;"",H937&lt;&gt;""),1,"")</f>
        <v/>
      </c>
      <c r="R937" s="25">
        <f>IF(Q937=1,IF(ISNUMBER(FIND("#"&amp;MID(D937,1,1)&amp;"#","#0#1#2#3#4#5#6#7#8#9#")),IF(ISNUMBER(FIND("#"&amp;MID(D937,2,1)&amp;"#","#0#1#2#3#4#5#6#7#8#9#")),IF(AND(VALUE(LEFT(D937,2))&gt;=1,VALUE(LEFT(D937,2))&lt;=5),VALUE(LEFT(D937,2)),""),IF(AND(VALUE(LEFT(D937,1))&gt;=1,VALUE(LEFT(D937,1))&lt;=5),VALUE(LEFT(D937,1)),"")),""),"")</f>
        <v/>
      </c>
      <c r="S937" s="25">
        <f>IF(AND(Q937=1,E937&lt;&gt;""),SUBSTITUTE(SUBSTITUTE(SUBSTITUTE(SUBSTITUTE(SUBSTITUTE(SUBSTITUTE(SUBSTITUTE(SUBSTITUTE(SUBSTITUTE(SUBSTITUTE(SUBSTITUTE(SUBSTITUTE(LOWER(TRIM(E937)),"á","a"),"é","e"),"í","i"),"ó","o"),"ú","u"),"ü","u"),"ñ","n"),"à","a"),"è","e"),"ì","i"),"ò","o"),"ù","u"),"")</f>
        <v/>
      </c>
      <c r="T937" s="25">
        <f>IF(AND(Q937=1,G937&lt;&gt;""),SUBSTITUTE(SUBSTITUTE(SUBSTITUTE(SUBSTITUTE(SUBSTITUTE(SUBSTITUTE(SUBSTITUTE(SUBSTITUTE(SUBSTITUTE(SUBSTITUTE(SUBSTITUTE(SUBSTITUTE(LOWER(TRIM(G937)),"á","a"),"é","e"),"í","i"),"ó","o"),"ú","u"),"ü","u"),"ñ","n"),"à","a"),"è","e"),"ì","i"),"ò","o"),"ù","u"),"")</f>
        <v/>
      </c>
      <c r="U937" s="25">
        <f>IF(AND(Q937=1,H937&lt;&gt;""),SUBSTITUTE(SUBSTITUTE(SUBSTITUTE(SUBSTITUTE(SUBSTITUTE(SUBSTITUTE(SUBSTITUTE(SUBSTITUTE(SUBSTITUTE(SUBSTITUTE(SUBSTITUTE(SUBSTITUTE(LOWER(TRIM(H937)),"á","a"),"é","e"),"í","i"),"ó","o"),"ú","u"),"ü","u"),"ñ","n"),"à","a"),"è","e"),"ì","i"),"ò","o"),"ù","u"),"")</f>
        <v/>
      </c>
      <c r="V937" s="25">
        <f>IF(AND(Q937=1,L937&lt;&gt;""),SUBSTITUTE(SUBSTITUTE(SUBSTITUTE(SUBSTITUTE(SUBSTITUTE(SUBSTITUTE(SUBSTITUTE(SUBSTITUTE(SUBSTITUTE(SUBSTITUTE(SUBSTITUTE(SUBSTITUTE(LOWER(TRIM(L937)),"á","a"),"é","e"),"í","i"),"ó","o"),"ú","u"),"ü","u"),"ñ","n"),"à","a"),"è","e"),"ì","i"),"ò","o"),"ù","u"),"")</f>
        <v/>
      </c>
      <c r="W937" s="25">
        <f>IF(AND(Q937=1,I937&lt;&gt;""),SUBSTITUTE(SUBSTITUTE(SUBSTITUTE(SUBSTITUTE(SUBSTITUTE(SUBSTITUTE(SUBSTITUTE(SUBSTITUTE(SUBSTITUTE(SUBSTITUTE(SUBSTITUTE(SUBSTITUTE(LOWER(TRIM(I937)),"á","a"),"é","e"),"í","i"),"ó","o"),"ú","u"),"ü","u"),"ñ","n"),"à","a"),"è","e"),"ì","i"),"ò","o"),"ù","u"),"")</f>
        <v/>
      </c>
      <c r="X937" s="25">
        <f>IF(U937="","",IF(OR(U937="si, en la proxima tarea",U937="si, con cambios"),1,0))</f>
        <v/>
      </c>
      <c r="Y937" s="25">
        <f>IF(AND(Q937=1,A937&lt;&gt;""),IF(IFERROR(COUNTIFS(A$3:A937,"="&amp;SUBSTITUTE(SUBSTITUTE(SUBSTITUTE(A937,"~","~~"),"*","~*"),"?","~?"),Q$3:Q937,1),0)=1,MAX(Y$2:Y936)+1,""),"")</f>
        <v/>
      </c>
      <c r="Z937" s="25">
        <f>IF(Y937="","",COUNTIFS($A$3:$A$1002,"="&amp;SUBSTITUTE(SUBSTITUTE(SUBSTITUTE(A937,"~","~~"),"*","~*"),"?","~?"),$Q$3:$Q$1002,1)*10000-Y937)</f>
        <v/>
      </c>
    </row>
    <row r="938">
      <c r="A938">
        <f>IF(A$2=0,"",IFERROR(TRIM(INDEX('Pegar docentes'!$A$1:$BZ$1001,937,A$2)&amp;""),""))</f>
        <v/>
      </c>
      <c r="B938">
        <f>IF(B$2=0,"",IFERROR(TRIM(INDEX('Pegar docentes'!$A$1:$BZ$1001,937,B$2)&amp;""),""))</f>
        <v/>
      </c>
      <c r="C938">
        <f>IF(C$2=0,"",IFERROR(TRIM(INDEX('Pegar docentes'!$A$1:$BZ$1001,937,C$2)&amp;""),""))</f>
        <v/>
      </c>
      <c r="D938">
        <f>IF(D$2=0,"",IFERROR(TRIM(INDEX('Pegar docentes'!$A$1:$BZ$1001,937,D$2)&amp;""),""))</f>
        <v/>
      </c>
      <c r="E938">
        <f>IF(E$2=0,"",IFERROR(TRIM(INDEX('Pegar docentes'!$A$1:$BZ$1001,937,E$2)&amp;""),""))</f>
        <v/>
      </c>
      <c r="F938">
        <f>IF(F$2=0,"",IFERROR(TRIM(INDEX('Pegar docentes'!$A$1:$BZ$1001,937,F$2)&amp;""),""))</f>
        <v/>
      </c>
      <c r="G938">
        <f>IF(G$2=0,"",IFERROR(TRIM(INDEX('Pegar docentes'!$A$1:$BZ$1001,937,G$2)&amp;""),""))</f>
        <v/>
      </c>
      <c r="H938">
        <f>IF(H$2=0,"",IFERROR(TRIM(INDEX('Pegar docentes'!$A$1:$BZ$1001,937,H$2)&amp;""),""))</f>
        <v/>
      </c>
      <c r="I938">
        <f>IF(I$2=0,"",IFERROR(TRIM(INDEX('Pegar docentes'!$A$1:$BZ$1001,937,I$2)&amp;""),""))</f>
        <v/>
      </c>
      <c r="J938">
        <f>IF(J$2=0,"",IFERROR(TRIM(INDEX('Pegar docentes'!$A$1:$BZ$1001,937,J$2)&amp;""),""))</f>
        <v/>
      </c>
      <c r="K938">
        <f>IF(K$2=0,"",IFERROR(TRIM(INDEX('Pegar docentes'!$A$1:$BZ$1001,937,K$2)&amp;""),""))</f>
        <v/>
      </c>
      <c r="L938">
        <f>IF(L$2=0,"",IFERROR(TRIM(INDEX('Pegar docentes'!$A$1:$BZ$1001,937,L$2)&amp;""),""))</f>
        <v/>
      </c>
      <c r="M938">
        <f>IF(M$2=0,"",IFERROR(TRIM(INDEX('Pegar docentes'!$A$1:$BZ$1001,937,M$2)&amp;""),""))</f>
        <v/>
      </c>
      <c r="N938">
        <f>IF(N$2=0,"",IFERROR(TRIM(INDEX('Pegar docentes'!$A$1:$BZ$1001,937,N$2)&amp;""),""))</f>
        <v/>
      </c>
      <c r="O938">
        <f>IF(O$2=0,"",IFERROR(TRIM(INDEX('Pegar docentes'!$A$1:$BZ$1001,937,O$2)&amp;""),""))</f>
        <v/>
      </c>
      <c r="P938">
        <f>IF(P$2=0,"",IFERROR(TRIM(INDEX('Pegar docentes'!$A$1:$BZ$1001,937,P$2)&amp;""),""))</f>
        <v/>
      </c>
      <c r="Q938" s="25">
        <f>IF(OR(D938&lt;&gt;"",H938&lt;&gt;""),1,"")</f>
        <v/>
      </c>
      <c r="R938" s="25">
        <f>IF(Q938=1,IF(ISNUMBER(FIND("#"&amp;MID(D938,1,1)&amp;"#","#0#1#2#3#4#5#6#7#8#9#")),IF(ISNUMBER(FIND("#"&amp;MID(D938,2,1)&amp;"#","#0#1#2#3#4#5#6#7#8#9#")),IF(AND(VALUE(LEFT(D938,2))&gt;=1,VALUE(LEFT(D938,2))&lt;=5),VALUE(LEFT(D938,2)),""),IF(AND(VALUE(LEFT(D938,1))&gt;=1,VALUE(LEFT(D938,1))&lt;=5),VALUE(LEFT(D938,1)),"")),""),"")</f>
        <v/>
      </c>
      <c r="S938" s="25">
        <f>IF(AND(Q938=1,E938&lt;&gt;""),SUBSTITUTE(SUBSTITUTE(SUBSTITUTE(SUBSTITUTE(SUBSTITUTE(SUBSTITUTE(SUBSTITUTE(SUBSTITUTE(SUBSTITUTE(SUBSTITUTE(SUBSTITUTE(SUBSTITUTE(LOWER(TRIM(E938)),"á","a"),"é","e"),"í","i"),"ó","o"),"ú","u"),"ü","u"),"ñ","n"),"à","a"),"è","e"),"ì","i"),"ò","o"),"ù","u"),"")</f>
        <v/>
      </c>
      <c r="T938" s="25">
        <f>IF(AND(Q938=1,G938&lt;&gt;""),SUBSTITUTE(SUBSTITUTE(SUBSTITUTE(SUBSTITUTE(SUBSTITUTE(SUBSTITUTE(SUBSTITUTE(SUBSTITUTE(SUBSTITUTE(SUBSTITUTE(SUBSTITUTE(SUBSTITUTE(LOWER(TRIM(G938)),"á","a"),"é","e"),"í","i"),"ó","o"),"ú","u"),"ü","u"),"ñ","n"),"à","a"),"è","e"),"ì","i"),"ò","o"),"ù","u"),"")</f>
        <v/>
      </c>
      <c r="U938" s="25">
        <f>IF(AND(Q938=1,H938&lt;&gt;""),SUBSTITUTE(SUBSTITUTE(SUBSTITUTE(SUBSTITUTE(SUBSTITUTE(SUBSTITUTE(SUBSTITUTE(SUBSTITUTE(SUBSTITUTE(SUBSTITUTE(SUBSTITUTE(SUBSTITUTE(LOWER(TRIM(H938)),"á","a"),"é","e"),"í","i"),"ó","o"),"ú","u"),"ü","u"),"ñ","n"),"à","a"),"è","e"),"ì","i"),"ò","o"),"ù","u"),"")</f>
        <v/>
      </c>
      <c r="V938" s="25">
        <f>IF(AND(Q938=1,L938&lt;&gt;""),SUBSTITUTE(SUBSTITUTE(SUBSTITUTE(SUBSTITUTE(SUBSTITUTE(SUBSTITUTE(SUBSTITUTE(SUBSTITUTE(SUBSTITUTE(SUBSTITUTE(SUBSTITUTE(SUBSTITUTE(LOWER(TRIM(L938)),"á","a"),"é","e"),"í","i"),"ó","o"),"ú","u"),"ü","u"),"ñ","n"),"à","a"),"è","e"),"ì","i"),"ò","o"),"ù","u"),"")</f>
        <v/>
      </c>
      <c r="W938" s="25">
        <f>IF(AND(Q938=1,I938&lt;&gt;""),SUBSTITUTE(SUBSTITUTE(SUBSTITUTE(SUBSTITUTE(SUBSTITUTE(SUBSTITUTE(SUBSTITUTE(SUBSTITUTE(SUBSTITUTE(SUBSTITUTE(SUBSTITUTE(SUBSTITUTE(LOWER(TRIM(I938)),"á","a"),"é","e"),"í","i"),"ó","o"),"ú","u"),"ü","u"),"ñ","n"),"à","a"),"è","e"),"ì","i"),"ò","o"),"ù","u"),"")</f>
        <v/>
      </c>
      <c r="X938" s="25">
        <f>IF(U938="","",IF(OR(U938="si, en la proxima tarea",U938="si, con cambios"),1,0))</f>
        <v/>
      </c>
      <c r="Y938" s="25">
        <f>IF(AND(Q938=1,A938&lt;&gt;""),IF(IFERROR(COUNTIFS(A$3:A938,"="&amp;SUBSTITUTE(SUBSTITUTE(SUBSTITUTE(A938,"~","~~"),"*","~*"),"?","~?"),Q$3:Q938,1),0)=1,MAX(Y$2:Y937)+1,""),"")</f>
        <v/>
      </c>
      <c r="Z938" s="25">
        <f>IF(Y938="","",COUNTIFS($A$3:$A$1002,"="&amp;SUBSTITUTE(SUBSTITUTE(SUBSTITUTE(A938,"~","~~"),"*","~*"),"?","~?"),$Q$3:$Q$1002,1)*10000-Y938)</f>
        <v/>
      </c>
    </row>
    <row r="939">
      <c r="A939">
        <f>IF(A$2=0,"",IFERROR(TRIM(INDEX('Pegar docentes'!$A$1:$BZ$1001,938,A$2)&amp;""),""))</f>
        <v/>
      </c>
      <c r="B939">
        <f>IF(B$2=0,"",IFERROR(TRIM(INDEX('Pegar docentes'!$A$1:$BZ$1001,938,B$2)&amp;""),""))</f>
        <v/>
      </c>
      <c r="C939">
        <f>IF(C$2=0,"",IFERROR(TRIM(INDEX('Pegar docentes'!$A$1:$BZ$1001,938,C$2)&amp;""),""))</f>
        <v/>
      </c>
      <c r="D939">
        <f>IF(D$2=0,"",IFERROR(TRIM(INDEX('Pegar docentes'!$A$1:$BZ$1001,938,D$2)&amp;""),""))</f>
        <v/>
      </c>
      <c r="E939">
        <f>IF(E$2=0,"",IFERROR(TRIM(INDEX('Pegar docentes'!$A$1:$BZ$1001,938,E$2)&amp;""),""))</f>
        <v/>
      </c>
      <c r="F939">
        <f>IF(F$2=0,"",IFERROR(TRIM(INDEX('Pegar docentes'!$A$1:$BZ$1001,938,F$2)&amp;""),""))</f>
        <v/>
      </c>
      <c r="G939">
        <f>IF(G$2=0,"",IFERROR(TRIM(INDEX('Pegar docentes'!$A$1:$BZ$1001,938,G$2)&amp;""),""))</f>
        <v/>
      </c>
      <c r="H939">
        <f>IF(H$2=0,"",IFERROR(TRIM(INDEX('Pegar docentes'!$A$1:$BZ$1001,938,H$2)&amp;""),""))</f>
        <v/>
      </c>
      <c r="I939">
        <f>IF(I$2=0,"",IFERROR(TRIM(INDEX('Pegar docentes'!$A$1:$BZ$1001,938,I$2)&amp;""),""))</f>
        <v/>
      </c>
      <c r="J939">
        <f>IF(J$2=0,"",IFERROR(TRIM(INDEX('Pegar docentes'!$A$1:$BZ$1001,938,J$2)&amp;""),""))</f>
        <v/>
      </c>
      <c r="K939">
        <f>IF(K$2=0,"",IFERROR(TRIM(INDEX('Pegar docentes'!$A$1:$BZ$1001,938,K$2)&amp;""),""))</f>
        <v/>
      </c>
      <c r="L939">
        <f>IF(L$2=0,"",IFERROR(TRIM(INDEX('Pegar docentes'!$A$1:$BZ$1001,938,L$2)&amp;""),""))</f>
        <v/>
      </c>
      <c r="M939">
        <f>IF(M$2=0,"",IFERROR(TRIM(INDEX('Pegar docentes'!$A$1:$BZ$1001,938,M$2)&amp;""),""))</f>
        <v/>
      </c>
      <c r="N939">
        <f>IF(N$2=0,"",IFERROR(TRIM(INDEX('Pegar docentes'!$A$1:$BZ$1001,938,N$2)&amp;""),""))</f>
        <v/>
      </c>
      <c r="O939">
        <f>IF(O$2=0,"",IFERROR(TRIM(INDEX('Pegar docentes'!$A$1:$BZ$1001,938,O$2)&amp;""),""))</f>
        <v/>
      </c>
      <c r="P939">
        <f>IF(P$2=0,"",IFERROR(TRIM(INDEX('Pegar docentes'!$A$1:$BZ$1001,938,P$2)&amp;""),""))</f>
        <v/>
      </c>
      <c r="Q939" s="25">
        <f>IF(OR(D939&lt;&gt;"",H939&lt;&gt;""),1,"")</f>
        <v/>
      </c>
      <c r="R939" s="25">
        <f>IF(Q939=1,IF(ISNUMBER(FIND("#"&amp;MID(D939,1,1)&amp;"#","#0#1#2#3#4#5#6#7#8#9#")),IF(ISNUMBER(FIND("#"&amp;MID(D939,2,1)&amp;"#","#0#1#2#3#4#5#6#7#8#9#")),IF(AND(VALUE(LEFT(D939,2))&gt;=1,VALUE(LEFT(D939,2))&lt;=5),VALUE(LEFT(D939,2)),""),IF(AND(VALUE(LEFT(D939,1))&gt;=1,VALUE(LEFT(D939,1))&lt;=5),VALUE(LEFT(D939,1)),"")),""),"")</f>
        <v/>
      </c>
      <c r="S939" s="25">
        <f>IF(AND(Q939=1,E939&lt;&gt;""),SUBSTITUTE(SUBSTITUTE(SUBSTITUTE(SUBSTITUTE(SUBSTITUTE(SUBSTITUTE(SUBSTITUTE(SUBSTITUTE(SUBSTITUTE(SUBSTITUTE(SUBSTITUTE(SUBSTITUTE(LOWER(TRIM(E939)),"á","a"),"é","e"),"í","i"),"ó","o"),"ú","u"),"ü","u"),"ñ","n"),"à","a"),"è","e"),"ì","i"),"ò","o"),"ù","u"),"")</f>
        <v/>
      </c>
      <c r="T939" s="25">
        <f>IF(AND(Q939=1,G939&lt;&gt;""),SUBSTITUTE(SUBSTITUTE(SUBSTITUTE(SUBSTITUTE(SUBSTITUTE(SUBSTITUTE(SUBSTITUTE(SUBSTITUTE(SUBSTITUTE(SUBSTITUTE(SUBSTITUTE(SUBSTITUTE(LOWER(TRIM(G939)),"á","a"),"é","e"),"í","i"),"ó","o"),"ú","u"),"ü","u"),"ñ","n"),"à","a"),"è","e"),"ì","i"),"ò","o"),"ù","u"),"")</f>
        <v/>
      </c>
      <c r="U939" s="25">
        <f>IF(AND(Q939=1,H939&lt;&gt;""),SUBSTITUTE(SUBSTITUTE(SUBSTITUTE(SUBSTITUTE(SUBSTITUTE(SUBSTITUTE(SUBSTITUTE(SUBSTITUTE(SUBSTITUTE(SUBSTITUTE(SUBSTITUTE(SUBSTITUTE(LOWER(TRIM(H939)),"á","a"),"é","e"),"í","i"),"ó","o"),"ú","u"),"ü","u"),"ñ","n"),"à","a"),"è","e"),"ì","i"),"ò","o"),"ù","u"),"")</f>
        <v/>
      </c>
      <c r="V939" s="25">
        <f>IF(AND(Q939=1,L939&lt;&gt;""),SUBSTITUTE(SUBSTITUTE(SUBSTITUTE(SUBSTITUTE(SUBSTITUTE(SUBSTITUTE(SUBSTITUTE(SUBSTITUTE(SUBSTITUTE(SUBSTITUTE(SUBSTITUTE(SUBSTITUTE(LOWER(TRIM(L939)),"á","a"),"é","e"),"í","i"),"ó","o"),"ú","u"),"ü","u"),"ñ","n"),"à","a"),"è","e"),"ì","i"),"ò","o"),"ù","u"),"")</f>
        <v/>
      </c>
      <c r="W939" s="25">
        <f>IF(AND(Q939=1,I939&lt;&gt;""),SUBSTITUTE(SUBSTITUTE(SUBSTITUTE(SUBSTITUTE(SUBSTITUTE(SUBSTITUTE(SUBSTITUTE(SUBSTITUTE(SUBSTITUTE(SUBSTITUTE(SUBSTITUTE(SUBSTITUTE(LOWER(TRIM(I939)),"á","a"),"é","e"),"í","i"),"ó","o"),"ú","u"),"ü","u"),"ñ","n"),"à","a"),"è","e"),"ì","i"),"ò","o"),"ù","u"),"")</f>
        <v/>
      </c>
      <c r="X939" s="25">
        <f>IF(U939="","",IF(OR(U939="si, en la proxima tarea",U939="si, con cambios"),1,0))</f>
        <v/>
      </c>
      <c r="Y939" s="25">
        <f>IF(AND(Q939=1,A939&lt;&gt;""),IF(IFERROR(COUNTIFS(A$3:A939,"="&amp;SUBSTITUTE(SUBSTITUTE(SUBSTITUTE(A939,"~","~~"),"*","~*"),"?","~?"),Q$3:Q939,1),0)=1,MAX(Y$2:Y938)+1,""),"")</f>
        <v/>
      </c>
      <c r="Z939" s="25">
        <f>IF(Y939="","",COUNTIFS($A$3:$A$1002,"="&amp;SUBSTITUTE(SUBSTITUTE(SUBSTITUTE(A939,"~","~~"),"*","~*"),"?","~?"),$Q$3:$Q$1002,1)*10000-Y939)</f>
        <v/>
      </c>
    </row>
    <row r="940">
      <c r="A940">
        <f>IF(A$2=0,"",IFERROR(TRIM(INDEX('Pegar docentes'!$A$1:$BZ$1001,939,A$2)&amp;""),""))</f>
        <v/>
      </c>
      <c r="B940">
        <f>IF(B$2=0,"",IFERROR(TRIM(INDEX('Pegar docentes'!$A$1:$BZ$1001,939,B$2)&amp;""),""))</f>
        <v/>
      </c>
      <c r="C940">
        <f>IF(C$2=0,"",IFERROR(TRIM(INDEX('Pegar docentes'!$A$1:$BZ$1001,939,C$2)&amp;""),""))</f>
        <v/>
      </c>
      <c r="D940">
        <f>IF(D$2=0,"",IFERROR(TRIM(INDEX('Pegar docentes'!$A$1:$BZ$1001,939,D$2)&amp;""),""))</f>
        <v/>
      </c>
      <c r="E940">
        <f>IF(E$2=0,"",IFERROR(TRIM(INDEX('Pegar docentes'!$A$1:$BZ$1001,939,E$2)&amp;""),""))</f>
        <v/>
      </c>
      <c r="F940">
        <f>IF(F$2=0,"",IFERROR(TRIM(INDEX('Pegar docentes'!$A$1:$BZ$1001,939,F$2)&amp;""),""))</f>
        <v/>
      </c>
      <c r="G940">
        <f>IF(G$2=0,"",IFERROR(TRIM(INDEX('Pegar docentes'!$A$1:$BZ$1001,939,G$2)&amp;""),""))</f>
        <v/>
      </c>
      <c r="H940">
        <f>IF(H$2=0,"",IFERROR(TRIM(INDEX('Pegar docentes'!$A$1:$BZ$1001,939,H$2)&amp;""),""))</f>
        <v/>
      </c>
      <c r="I940">
        <f>IF(I$2=0,"",IFERROR(TRIM(INDEX('Pegar docentes'!$A$1:$BZ$1001,939,I$2)&amp;""),""))</f>
        <v/>
      </c>
      <c r="J940">
        <f>IF(J$2=0,"",IFERROR(TRIM(INDEX('Pegar docentes'!$A$1:$BZ$1001,939,J$2)&amp;""),""))</f>
        <v/>
      </c>
      <c r="K940">
        <f>IF(K$2=0,"",IFERROR(TRIM(INDEX('Pegar docentes'!$A$1:$BZ$1001,939,K$2)&amp;""),""))</f>
        <v/>
      </c>
      <c r="L940">
        <f>IF(L$2=0,"",IFERROR(TRIM(INDEX('Pegar docentes'!$A$1:$BZ$1001,939,L$2)&amp;""),""))</f>
        <v/>
      </c>
      <c r="M940">
        <f>IF(M$2=0,"",IFERROR(TRIM(INDEX('Pegar docentes'!$A$1:$BZ$1001,939,M$2)&amp;""),""))</f>
        <v/>
      </c>
      <c r="N940">
        <f>IF(N$2=0,"",IFERROR(TRIM(INDEX('Pegar docentes'!$A$1:$BZ$1001,939,N$2)&amp;""),""))</f>
        <v/>
      </c>
      <c r="O940">
        <f>IF(O$2=0,"",IFERROR(TRIM(INDEX('Pegar docentes'!$A$1:$BZ$1001,939,O$2)&amp;""),""))</f>
        <v/>
      </c>
      <c r="P940">
        <f>IF(P$2=0,"",IFERROR(TRIM(INDEX('Pegar docentes'!$A$1:$BZ$1001,939,P$2)&amp;""),""))</f>
        <v/>
      </c>
      <c r="Q940" s="25">
        <f>IF(OR(D940&lt;&gt;"",H940&lt;&gt;""),1,"")</f>
        <v/>
      </c>
      <c r="R940" s="25">
        <f>IF(Q940=1,IF(ISNUMBER(FIND("#"&amp;MID(D940,1,1)&amp;"#","#0#1#2#3#4#5#6#7#8#9#")),IF(ISNUMBER(FIND("#"&amp;MID(D940,2,1)&amp;"#","#0#1#2#3#4#5#6#7#8#9#")),IF(AND(VALUE(LEFT(D940,2))&gt;=1,VALUE(LEFT(D940,2))&lt;=5),VALUE(LEFT(D940,2)),""),IF(AND(VALUE(LEFT(D940,1))&gt;=1,VALUE(LEFT(D940,1))&lt;=5),VALUE(LEFT(D940,1)),"")),""),"")</f>
        <v/>
      </c>
      <c r="S940" s="25">
        <f>IF(AND(Q940=1,E940&lt;&gt;""),SUBSTITUTE(SUBSTITUTE(SUBSTITUTE(SUBSTITUTE(SUBSTITUTE(SUBSTITUTE(SUBSTITUTE(SUBSTITUTE(SUBSTITUTE(SUBSTITUTE(SUBSTITUTE(SUBSTITUTE(LOWER(TRIM(E940)),"á","a"),"é","e"),"í","i"),"ó","o"),"ú","u"),"ü","u"),"ñ","n"),"à","a"),"è","e"),"ì","i"),"ò","o"),"ù","u"),"")</f>
        <v/>
      </c>
      <c r="T940" s="25">
        <f>IF(AND(Q940=1,G940&lt;&gt;""),SUBSTITUTE(SUBSTITUTE(SUBSTITUTE(SUBSTITUTE(SUBSTITUTE(SUBSTITUTE(SUBSTITUTE(SUBSTITUTE(SUBSTITUTE(SUBSTITUTE(SUBSTITUTE(SUBSTITUTE(LOWER(TRIM(G940)),"á","a"),"é","e"),"í","i"),"ó","o"),"ú","u"),"ü","u"),"ñ","n"),"à","a"),"è","e"),"ì","i"),"ò","o"),"ù","u"),"")</f>
        <v/>
      </c>
      <c r="U940" s="25">
        <f>IF(AND(Q940=1,H940&lt;&gt;""),SUBSTITUTE(SUBSTITUTE(SUBSTITUTE(SUBSTITUTE(SUBSTITUTE(SUBSTITUTE(SUBSTITUTE(SUBSTITUTE(SUBSTITUTE(SUBSTITUTE(SUBSTITUTE(SUBSTITUTE(LOWER(TRIM(H940)),"á","a"),"é","e"),"í","i"),"ó","o"),"ú","u"),"ü","u"),"ñ","n"),"à","a"),"è","e"),"ì","i"),"ò","o"),"ù","u"),"")</f>
        <v/>
      </c>
      <c r="V940" s="25">
        <f>IF(AND(Q940=1,L940&lt;&gt;""),SUBSTITUTE(SUBSTITUTE(SUBSTITUTE(SUBSTITUTE(SUBSTITUTE(SUBSTITUTE(SUBSTITUTE(SUBSTITUTE(SUBSTITUTE(SUBSTITUTE(SUBSTITUTE(SUBSTITUTE(LOWER(TRIM(L940)),"á","a"),"é","e"),"í","i"),"ó","o"),"ú","u"),"ü","u"),"ñ","n"),"à","a"),"è","e"),"ì","i"),"ò","o"),"ù","u"),"")</f>
        <v/>
      </c>
      <c r="W940" s="25">
        <f>IF(AND(Q940=1,I940&lt;&gt;""),SUBSTITUTE(SUBSTITUTE(SUBSTITUTE(SUBSTITUTE(SUBSTITUTE(SUBSTITUTE(SUBSTITUTE(SUBSTITUTE(SUBSTITUTE(SUBSTITUTE(SUBSTITUTE(SUBSTITUTE(LOWER(TRIM(I940)),"á","a"),"é","e"),"í","i"),"ó","o"),"ú","u"),"ü","u"),"ñ","n"),"à","a"),"è","e"),"ì","i"),"ò","o"),"ù","u"),"")</f>
        <v/>
      </c>
      <c r="X940" s="25">
        <f>IF(U940="","",IF(OR(U940="si, en la proxima tarea",U940="si, con cambios"),1,0))</f>
        <v/>
      </c>
      <c r="Y940" s="25">
        <f>IF(AND(Q940=1,A940&lt;&gt;""),IF(IFERROR(COUNTIFS(A$3:A940,"="&amp;SUBSTITUTE(SUBSTITUTE(SUBSTITUTE(A940,"~","~~"),"*","~*"),"?","~?"),Q$3:Q940,1),0)=1,MAX(Y$2:Y939)+1,""),"")</f>
        <v/>
      </c>
      <c r="Z940" s="25">
        <f>IF(Y940="","",COUNTIFS($A$3:$A$1002,"="&amp;SUBSTITUTE(SUBSTITUTE(SUBSTITUTE(A940,"~","~~"),"*","~*"),"?","~?"),$Q$3:$Q$1002,1)*10000-Y940)</f>
        <v/>
      </c>
    </row>
    <row r="941">
      <c r="A941">
        <f>IF(A$2=0,"",IFERROR(TRIM(INDEX('Pegar docentes'!$A$1:$BZ$1001,940,A$2)&amp;""),""))</f>
        <v/>
      </c>
      <c r="B941">
        <f>IF(B$2=0,"",IFERROR(TRIM(INDEX('Pegar docentes'!$A$1:$BZ$1001,940,B$2)&amp;""),""))</f>
        <v/>
      </c>
      <c r="C941">
        <f>IF(C$2=0,"",IFERROR(TRIM(INDEX('Pegar docentes'!$A$1:$BZ$1001,940,C$2)&amp;""),""))</f>
        <v/>
      </c>
      <c r="D941">
        <f>IF(D$2=0,"",IFERROR(TRIM(INDEX('Pegar docentes'!$A$1:$BZ$1001,940,D$2)&amp;""),""))</f>
        <v/>
      </c>
      <c r="E941">
        <f>IF(E$2=0,"",IFERROR(TRIM(INDEX('Pegar docentes'!$A$1:$BZ$1001,940,E$2)&amp;""),""))</f>
        <v/>
      </c>
      <c r="F941">
        <f>IF(F$2=0,"",IFERROR(TRIM(INDEX('Pegar docentes'!$A$1:$BZ$1001,940,F$2)&amp;""),""))</f>
        <v/>
      </c>
      <c r="G941">
        <f>IF(G$2=0,"",IFERROR(TRIM(INDEX('Pegar docentes'!$A$1:$BZ$1001,940,G$2)&amp;""),""))</f>
        <v/>
      </c>
      <c r="H941">
        <f>IF(H$2=0,"",IFERROR(TRIM(INDEX('Pegar docentes'!$A$1:$BZ$1001,940,H$2)&amp;""),""))</f>
        <v/>
      </c>
      <c r="I941">
        <f>IF(I$2=0,"",IFERROR(TRIM(INDEX('Pegar docentes'!$A$1:$BZ$1001,940,I$2)&amp;""),""))</f>
        <v/>
      </c>
      <c r="J941">
        <f>IF(J$2=0,"",IFERROR(TRIM(INDEX('Pegar docentes'!$A$1:$BZ$1001,940,J$2)&amp;""),""))</f>
        <v/>
      </c>
      <c r="K941">
        <f>IF(K$2=0,"",IFERROR(TRIM(INDEX('Pegar docentes'!$A$1:$BZ$1001,940,K$2)&amp;""),""))</f>
        <v/>
      </c>
      <c r="L941">
        <f>IF(L$2=0,"",IFERROR(TRIM(INDEX('Pegar docentes'!$A$1:$BZ$1001,940,L$2)&amp;""),""))</f>
        <v/>
      </c>
      <c r="M941">
        <f>IF(M$2=0,"",IFERROR(TRIM(INDEX('Pegar docentes'!$A$1:$BZ$1001,940,M$2)&amp;""),""))</f>
        <v/>
      </c>
      <c r="N941">
        <f>IF(N$2=0,"",IFERROR(TRIM(INDEX('Pegar docentes'!$A$1:$BZ$1001,940,N$2)&amp;""),""))</f>
        <v/>
      </c>
      <c r="O941">
        <f>IF(O$2=0,"",IFERROR(TRIM(INDEX('Pegar docentes'!$A$1:$BZ$1001,940,O$2)&amp;""),""))</f>
        <v/>
      </c>
      <c r="P941">
        <f>IF(P$2=0,"",IFERROR(TRIM(INDEX('Pegar docentes'!$A$1:$BZ$1001,940,P$2)&amp;""),""))</f>
        <v/>
      </c>
      <c r="Q941" s="25">
        <f>IF(OR(D941&lt;&gt;"",H941&lt;&gt;""),1,"")</f>
        <v/>
      </c>
      <c r="R941" s="25">
        <f>IF(Q941=1,IF(ISNUMBER(FIND("#"&amp;MID(D941,1,1)&amp;"#","#0#1#2#3#4#5#6#7#8#9#")),IF(ISNUMBER(FIND("#"&amp;MID(D941,2,1)&amp;"#","#0#1#2#3#4#5#6#7#8#9#")),IF(AND(VALUE(LEFT(D941,2))&gt;=1,VALUE(LEFT(D941,2))&lt;=5),VALUE(LEFT(D941,2)),""),IF(AND(VALUE(LEFT(D941,1))&gt;=1,VALUE(LEFT(D941,1))&lt;=5),VALUE(LEFT(D941,1)),"")),""),"")</f>
        <v/>
      </c>
      <c r="S941" s="25">
        <f>IF(AND(Q941=1,E941&lt;&gt;""),SUBSTITUTE(SUBSTITUTE(SUBSTITUTE(SUBSTITUTE(SUBSTITUTE(SUBSTITUTE(SUBSTITUTE(SUBSTITUTE(SUBSTITUTE(SUBSTITUTE(SUBSTITUTE(SUBSTITUTE(LOWER(TRIM(E941)),"á","a"),"é","e"),"í","i"),"ó","o"),"ú","u"),"ü","u"),"ñ","n"),"à","a"),"è","e"),"ì","i"),"ò","o"),"ù","u"),"")</f>
        <v/>
      </c>
      <c r="T941" s="25">
        <f>IF(AND(Q941=1,G941&lt;&gt;""),SUBSTITUTE(SUBSTITUTE(SUBSTITUTE(SUBSTITUTE(SUBSTITUTE(SUBSTITUTE(SUBSTITUTE(SUBSTITUTE(SUBSTITUTE(SUBSTITUTE(SUBSTITUTE(SUBSTITUTE(LOWER(TRIM(G941)),"á","a"),"é","e"),"í","i"),"ó","o"),"ú","u"),"ü","u"),"ñ","n"),"à","a"),"è","e"),"ì","i"),"ò","o"),"ù","u"),"")</f>
        <v/>
      </c>
      <c r="U941" s="25">
        <f>IF(AND(Q941=1,H941&lt;&gt;""),SUBSTITUTE(SUBSTITUTE(SUBSTITUTE(SUBSTITUTE(SUBSTITUTE(SUBSTITUTE(SUBSTITUTE(SUBSTITUTE(SUBSTITUTE(SUBSTITUTE(SUBSTITUTE(SUBSTITUTE(LOWER(TRIM(H941)),"á","a"),"é","e"),"í","i"),"ó","o"),"ú","u"),"ü","u"),"ñ","n"),"à","a"),"è","e"),"ì","i"),"ò","o"),"ù","u"),"")</f>
        <v/>
      </c>
      <c r="V941" s="25">
        <f>IF(AND(Q941=1,L941&lt;&gt;""),SUBSTITUTE(SUBSTITUTE(SUBSTITUTE(SUBSTITUTE(SUBSTITUTE(SUBSTITUTE(SUBSTITUTE(SUBSTITUTE(SUBSTITUTE(SUBSTITUTE(SUBSTITUTE(SUBSTITUTE(LOWER(TRIM(L941)),"á","a"),"é","e"),"í","i"),"ó","o"),"ú","u"),"ü","u"),"ñ","n"),"à","a"),"è","e"),"ì","i"),"ò","o"),"ù","u"),"")</f>
        <v/>
      </c>
      <c r="W941" s="25">
        <f>IF(AND(Q941=1,I941&lt;&gt;""),SUBSTITUTE(SUBSTITUTE(SUBSTITUTE(SUBSTITUTE(SUBSTITUTE(SUBSTITUTE(SUBSTITUTE(SUBSTITUTE(SUBSTITUTE(SUBSTITUTE(SUBSTITUTE(SUBSTITUTE(LOWER(TRIM(I941)),"á","a"),"é","e"),"í","i"),"ó","o"),"ú","u"),"ü","u"),"ñ","n"),"à","a"),"è","e"),"ì","i"),"ò","o"),"ù","u"),"")</f>
        <v/>
      </c>
      <c r="X941" s="25">
        <f>IF(U941="","",IF(OR(U941="si, en la proxima tarea",U941="si, con cambios"),1,0))</f>
        <v/>
      </c>
      <c r="Y941" s="25">
        <f>IF(AND(Q941=1,A941&lt;&gt;""),IF(IFERROR(COUNTIFS(A$3:A941,"="&amp;SUBSTITUTE(SUBSTITUTE(SUBSTITUTE(A941,"~","~~"),"*","~*"),"?","~?"),Q$3:Q941,1),0)=1,MAX(Y$2:Y940)+1,""),"")</f>
        <v/>
      </c>
      <c r="Z941" s="25">
        <f>IF(Y941="","",COUNTIFS($A$3:$A$1002,"="&amp;SUBSTITUTE(SUBSTITUTE(SUBSTITUTE(A941,"~","~~"),"*","~*"),"?","~?"),$Q$3:$Q$1002,1)*10000-Y941)</f>
        <v/>
      </c>
    </row>
    <row r="942">
      <c r="A942">
        <f>IF(A$2=0,"",IFERROR(TRIM(INDEX('Pegar docentes'!$A$1:$BZ$1001,941,A$2)&amp;""),""))</f>
        <v/>
      </c>
      <c r="B942">
        <f>IF(B$2=0,"",IFERROR(TRIM(INDEX('Pegar docentes'!$A$1:$BZ$1001,941,B$2)&amp;""),""))</f>
        <v/>
      </c>
      <c r="C942">
        <f>IF(C$2=0,"",IFERROR(TRIM(INDEX('Pegar docentes'!$A$1:$BZ$1001,941,C$2)&amp;""),""))</f>
        <v/>
      </c>
      <c r="D942">
        <f>IF(D$2=0,"",IFERROR(TRIM(INDEX('Pegar docentes'!$A$1:$BZ$1001,941,D$2)&amp;""),""))</f>
        <v/>
      </c>
      <c r="E942">
        <f>IF(E$2=0,"",IFERROR(TRIM(INDEX('Pegar docentes'!$A$1:$BZ$1001,941,E$2)&amp;""),""))</f>
        <v/>
      </c>
      <c r="F942">
        <f>IF(F$2=0,"",IFERROR(TRIM(INDEX('Pegar docentes'!$A$1:$BZ$1001,941,F$2)&amp;""),""))</f>
        <v/>
      </c>
      <c r="G942">
        <f>IF(G$2=0,"",IFERROR(TRIM(INDEX('Pegar docentes'!$A$1:$BZ$1001,941,G$2)&amp;""),""))</f>
        <v/>
      </c>
      <c r="H942">
        <f>IF(H$2=0,"",IFERROR(TRIM(INDEX('Pegar docentes'!$A$1:$BZ$1001,941,H$2)&amp;""),""))</f>
        <v/>
      </c>
      <c r="I942">
        <f>IF(I$2=0,"",IFERROR(TRIM(INDEX('Pegar docentes'!$A$1:$BZ$1001,941,I$2)&amp;""),""))</f>
        <v/>
      </c>
      <c r="J942">
        <f>IF(J$2=0,"",IFERROR(TRIM(INDEX('Pegar docentes'!$A$1:$BZ$1001,941,J$2)&amp;""),""))</f>
        <v/>
      </c>
      <c r="K942">
        <f>IF(K$2=0,"",IFERROR(TRIM(INDEX('Pegar docentes'!$A$1:$BZ$1001,941,K$2)&amp;""),""))</f>
        <v/>
      </c>
      <c r="L942">
        <f>IF(L$2=0,"",IFERROR(TRIM(INDEX('Pegar docentes'!$A$1:$BZ$1001,941,L$2)&amp;""),""))</f>
        <v/>
      </c>
      <c r="M942">
        <f>IF(M$2=0,"",IFERROR(TRIM(INDEX('Pegar docentes'!$A$1:$BZ$1001,941,M$2)&amp;""),""))</f>
        <v/>
      </c>
      <c r="N942">
        <f>IF(N$2=0,"",IFERROR(TRIM(INDEX('Pegar docentes'!$A$1:$BZ$1001,941,N$2)&amp;""),""))</f>
        <v/>
      </c>
      <c r="O942">
        <f>IF(O$2=0,"",IFERROR(TRIM(INDEX('Pegar docentes'!$A$1:$BZ$1001,941,O$2)&amp;""),""))</f>
        <v/>
      </c>
      <c r="P942">
        <f>IF(P$2=0,"",IFERROR(TRIM(INDEX('Pegar docentes'!$A$1:$BZ$1001,941,P$2)&amp;""),""))</f>
        <v/>
      </c>
      <c r="Q942" s="25">
        <f>IF(OR(D942&lt;&gt;"",H942&lt;&gt;""),1,"")</f>
        <v/>
      </c>
      <c r="R942" s="25">
        <f>IF(Q942=1,IF(ISNUMBER(FIND("#"&amp;MID(D942,1,1)&amp;"#","#0#1#2#3#4#5#6#7#8#9#")),IF(ISNUMBER(FIND("#"&amp;MID(D942,2,1)&amp;"#","#0#1#2#3#4#5#6#7#8#9#")),IF(AND(VALUE(LEFT(D942,2))&gt;=1,VALUE(LEFT(D942,2))&lt;=5),VALUE(LEFT(D942,2)),""),IF(AND(VALUE(LEFT(D942,1))&gt;=1,VALUE(LEFT(D942,1))&lt;=5),VALUE(LEFT(D942,1)),"")),""),"")</f>
        <v/>
      </c>
      <c r="S942" s="25">
        <f>IF(AND(Q942=1,E942&lt;&gt;""),SUBSTITUTE(SUBSTITUTE(SUBSTITUTE(SUBSTITUTE(SUBSTITUTE(SUBSTITUTE(SUBSTITUTE(SUBSTITUTE(SUBSTITUTE(SUBSTITUTE(SUBSTITUTE(SUBSTITUTE(LOWER(TRIM(E942)),"á","a"),"é","e"),"í","i"),"ó","o"),"ú","u"),"ü","u"),"ñ","n"),"à","a"),"è","e"),"ì","i"),"ò","o"),"ù","u"),"")</f>
        <v/>
      </c>
      <c r="T942" s="25">
        <f>IF(AND(Q942=1,G942&lt;&gt;""),SUBSTITUTE(SUBSTITUTE(SUBSTITUTE(SUBSTITUTE(SUBSTITUTE(SUBSTITUTE(SUBSTITUTE(SUBSTITUTE(SUBSTITUTE(SUBSTITUTE(SUBSTITUTE(SUBSTITUTE(LOWER(TRIM(G942)),"á","a"),"é","e"),"í","i"),"ó","o"),"ú","u"),"ü","u"),"ñ","n"),"à","a"),"è","e"),"ì","i"),"ò","o"),"ù","u"),"")</f>
        <v/>
      </c>
      <c r="U942" s="25">
        <f>IF(AND(Q942=1,H942&lt;&gt;""),SUBSTITUTE(SUBSTITUTE(SUBSTITUTE(SUBSTITUTE(SUBSTITUTE(SUBSTITUTE(SUBSTITUTE(SUBSTITUTE(SUBSTITUTE(SUBSTITUTE(SUBSTITUTE(SUBSTITUTE(LOWER(TRIM(H942)),"á","a"),"é","e"),"í","i"),"ó","o"),"ú","u"),"ü","u"),"ñ","n"),"à","a"),"è","e"),"ì","i"),"ò","o"),"ù","u"),"")</f>
        <v/>
      </c>
      <c r="V942" s="25">
        <f>IF(AND(Q942=1,L942&lt;&gt;""),SUBSTITUTE(SUBSTITUTE(SUBSTITUTE(SUBSTITUTE(SUBSTITUTE(SUBSTITUTE(SUBSTITUTE(SUBSTITUTE(SUBSTITUTE(SUBSTITUTE(SUBSTITUTE(SUBSTITUTE(LOWER(TRIM(L942)),"á","a"),"é","e"),"í","i"),"ó","o"),"ú","u"),"ü","u"),"ñ","n"),"à","a"),"è","e"),"ì","i"),"ò","o"),"ù","u"),"")</f>
        <v/>
      </c>
      <c r="W942" s="25">
        <f>IF(AND(Q942=1,I942&lt;&gt;""),SUBSTITUTE(SUBSTITUTE(SUBSTITUTE(SUBSTITUTE(SUBSTITUTE(SUBSTITUTE(SUBSTITUTE(SUBSTITUTE(SUBSTITUTE(SUBSTITUTE(SUBSTITUTE(SUBSTITUTE(LOWER(TRIM(I942)),"á","a"),"é","e"),"í","i"),"ó","o"),"ú","u"),"ü","u"),"ñ","n"),"à","a"),"è","e"),"ì","i"),"ò","o"),"ù","u"),"")</f>
        <v/>
      </c>
      <c r="X942" s="25">
        <f>IF(U942="","",IF(OR(U942="si, en la proxima tarea",U942="si, con cambios"),1,0))</f>
        <v/>
      </c>
      <c r="Y942" s="25">
        <f>IF(AND(Q942=1,A942&lt;&gt;""),IF(IFERROR(COUNTIFS(A$3:A942,"="&amp;SUBSTITUTE(SUBSTITUTE(SUBSTITUTE(A942,"~","~~"),"*","~*"),"?","~?"),Q$3:Q942,1),0)=1,MAX(Y$2:Y941)+1,""),"")</f>
        <v/>
      </c>
      <c r="Z942" s="25">
        <f>IF(Y942="","",COUNTIFS($A$3:$A$1002,"="&amp;SUBSTITUTE(SUBSTITUTE(SUBSTITUTE(A942,"~","~~"),"*","~*"),"?","~?"),$Q$3:$Q$1002,1)*10000-Y942)</f>
        <v/>
      </c>
    </row>
    <row r="943">
      <c r="A943">
        <f>IF(A$2=0,"",IFERROR(TRIM(INDEX('Pegar docentes'!$A$1:$BZ$1001,942,A$2)&amp;""),""))</f>
        <v/>
      </c>
      <c r="B943">
        <f>IF(B$2=0,"",IFERROR(TRIM(INDEX('Pegar docentes'!$A$1:$BZ$1001,942,B$2)&amp;""),""))</f>
        <v/>
      </c>
      <c r="C943">
        <f>IF(C$2=0,"",IFERROR(TRIM(INDEX('Pegar docentes'!$A$1:$BZ$1001,942,C$2)&amp;""),""))</f>
        <v/>
      </c>
      <c r="D943">
        <f>IF(D$2=0,"",IFERROR(TRIM(INDEX('Pegar docentes'!$A$1:$BZ$1001,942,D$2)&amp;""),""))</f>
        <v/>
      </c>
      <c r="E943">
        <f>IF(E$2=0,"",IFERROR(TRIM(INDEX('Pegar docentes'!$A$1:$BZ$1001,942,E$2)&amp;""),""))</f>
        <v/>
      </c>
      <c r="F943">
        <f>IF(F$2=0,"",IFERROR(TRIM(INDEX('Pegar docentes'!$A$1:$BZ$1001,942,F$2)&amp;""),""))</f>
        <v/>
      </c>
      <c r="G943">
        <f>IF(G$2=0,"",IFERROR(TRIM(INDEX('Pegar docentes'!$A$1:$BZ$1001,942,G$2)&amp;""),""))</f>
        <v/>
      </c>
      <c r="H943">
        <f>IF(H$2=0,"",IFERROR(TRIM(INDEX('Pegar docentes'!$A$1:$BZ$1001,942,H$2)&amp;""),""))</f>
        <v/>
      </c>
      <c r="I943">
        <f>IF(I$2=0,"",IFERROR(TRIM(INDEX('Pegar docentes'!$A$1:$BZ$1001,942,I$2)&amp;""),""))</f>
        <v/>
      </c>
      <c r="J943">
        <f>IF(J$2=0,"",IFERROR(TRIM(INDEX('Pegar docentes'!$A$1:$BZ$1001,942,J$2)&amp;""),""))</f>
        <v/>
      </c>
      <c r="K943">
        <f>IF(K$2=0,"",IFERROR(TRIM(INDEX('Pegar docentes'!$A$1:$BZ$1001,942,K$2)&amp;""),""))</f>
        <v/>
      </c>
      <c r="L943">
        <f>IF(L$2=0,"",IFERROR(TRIM(INDEX('Pegar docentes'!$A$1:$BZ$1001,942,L$2)&amp;""),""))</f>
        <v/>
      </c>
      <c r="M943">
        <f>IF(M$2=0,"",IFERROR(TRIM(INDEX('Pegar docentes'!$A$1:$BZ$1001,942,M$2)&amp;""),""))</f>
        <v/>
      </c>
      <c r="N943">
        <f>IF(N$2=0,"",IFERROR(TRIM(INDEX('Pegar docentes'!$A$1:$BZ$1001,942,N$2)&amp;""),""))</f>
        <v/>
      </c>
      <c r="O943">
        <f>IF(O$2=0,"",IFERROR(TRIM(INDEX('Pegar docentes'!$A$1:$BZ$1001,942,O$2)&amp;""),""))</f>
        <v/>
      </c>
      <c r="P943">
        <f>IF(P$2=0,"",IFERROR(TRIM(INDEX('Pegar docentes'!$A$1:$BZ$1001,942,P$2)&amp;""),""))</f>
        <v/>
      </c>
      <c r="Q943" s="25">
        <f>IF(OR(D943&lt;&gt;"",H943&lt;&gt;""),1,"")</f>
        <v/>
      </c>
      <c r="R943" s="25">
        <f>IF(Q943=1,IF(ISNUMBER(FIND("#"&amp;MID(D943,1,1)&amp;"#","#0#1#2#3#4#5#6#7#8#9#")),IF(ISNUMBER(FIND("#"&amp;MID(D943,2,1)&amp;"#","#0#1#2#3#4#5#6#7#8#9#")),IF(AND(VALUE(LEFT(D943,2))&gt;=1,VALUE(LEFT(D943,2))&lt;=5),VALUE(LEFT(D943,2)),""),IF(AND(VALUE(LEFT(D943,1))&gt;=1,VALUE(LEFT(D943,1))&lt;=5),VALUE(LEFT(D943,1)),"")),""),"")</f>
        <v/>
      </c>
      <c r="S943" s="25">
        <f>IF(AND(Q943=1,E943&lt;&gt;""),SUBSTITUTE(SUBSTITUTE(SUBSTITUTE(SUBSTITUTE(SUBSTITUTE(SUBSTITUTE(SUBSTITUTE(SUBSTITUTE(SUBSTITUTE(SUBSTITUTE(SUBSTITUTE(SUBSTITUTE(LOWER(TRIM(E943)),"á","a"),"é","e"),"í","i"),"ó","o"),"ú","u"),"ü","u"),"ñ","n"),"à","a"),"è","e"),"ì","i"),"ò","o"),"ù","u"),"")</f>
        <v/>
      </c>
      <c r="T943" s="25">
        <f>IF(AND(Q943=1,G943&lt;&gt;""),SUBSTITUTE(SUBSTITUTE(SUBSTITUTE(SUBSTITUTE(SUBSTITUTE(SUBSTITUTE(SUBSTITUTE(SUBSTITUTE(SUBSTITUTE(SUBSTITUTE(SUBSTITUTE(SUBSTITUTE(LOWER(TRIM(G943)),"á","a"),"é","e"),"í","i"),"ó","o"),"ú","u"),"ü","u"),"ñ","n"),"à","a"),"è","e"),"ì","i"),"ò","o"),"ù","u"),"")</f>
        <v/>
      </c>
      <c r="U943" s="25">
        <f>IF(AND(Q943=1,H943&lt;&gt;""),SUBSTITUTE(SUBSTITUTE(SUBSTITUTE(SUBSTITUTE(SUBSTITUTE(SUBSTITUTE(SUBSTITUTE(SUBSTITUTE(SUBSTITUTE(SUBSTITUTE(SUBSTITUTE(SUBSTITUTE(LOWER(TRIM(H943)),"á","a"),"é","e"),"í","i"),"ó","o"),"ú","u"),"ü","u"),"ñ","n"),"à","a"),"è","e"),"ì","i"),"ò","o"),"ù","u"),"")</f>
        <v/>
      </c>
      <c r="V943" s="25">
        <f>IF(AND(Q943=1,L943&lt;&gt;""),SUBSTITUTE(SUBSTITUTE(SUBSTITUTE(SUBSTITUTE(SUBSTITUTE(SUBSTITUTE(SUBSTITUTE(SUBSTITUTE(SUBSTITUTE(SUBSTITUTE(SUBSTITUTE(SUBSTITUTE(LOWER(TRIM(L943)),"á","a"),"é","e"),"í","i"),"ó","o"),"ú","u"),"ü","u"),"ñ","n"),"à","a"),"è","e"),"ì","i"),"ò","o"),"ù","u"),"")</f>
        <v/>
      </c>
      <c r="W943" s="25">
        <f>IF(AND(Q943=1,I943&lt;&gt;""),SUBSTITUTE(SUBSTITUTE(SUBSTITUTE(SUBSTITUTE(SUBSTITUTE(SUBSTITUTE(SUBSTITUTE(SUBSTITUTE(SUBSTITUTE(SUBSTITUTE(SUBSTITUTE(SUBSTITUTE(LOWER(TRIM(I943)),"á","a"),"é","e"),"í","i"),"ó","o"),"ú","u"),"ü","u"),"ñ","n"),"à","a"),"è","e"),"ì","i"),"ò","o"),"ù","u"),"")</f>
        <v/>
      </c>
      <c r="X943" s="25">
        <f>IF(U943="","",IF(OR(U943="si, en la proxima tarea",U943="si, con cambios"),1,0))</f>
        <v/>
      </c>
      <c r="Y943" s="25">
        <f>IF(AND(Q943=1,A943&lt;&gt;""),IF(IFERROR(COUNTIFS(A$3:A943,"="&amp;SUBSTITUTE(SUBSTITUTE(SUBSTITUTE(A943,"~","~~"),"*","~*"),"?","~?"),Q$3:Q943,1),0)=1,MAX(Y$2:Y942)+1,""),"")</f>
        <v/>
      </c>
      <c r="Z943" s="25">
        <f>IF(Y943="","",COUNTIFS($A$3:$A$1002,"="&amp;SUBSTITUTE(SUBSTITUTE(SUBSTITUTE(A943,"~","~~"),"*","~*"),"?","~?"),$Q$3:$Q$1002,1)*10000-Y943)</f>
        <v/>
      </c>
    </row>
    <row r="944">
      <c r="A944">
        <f>IF(A$2=0,"",IFERROR(TRIM(INDEX('Pegar docentes'!$A$1:$BZ$1001,943,A$2)&amp;""),""))</f>
        <v/>
      </c>
      <c r="B944">
        <f>IF(B$2=0,"",IFERROR(TRIM(INDEX('Pegar docentes'!$A$1:$BZ$1001,943,B$2)&amp;""),""))</f>
        <v/>
      </c>
      <c r="C944">
        <f>IF(C$2=0,"",IFERROR(TRIM(INDEX('Pegar docentes'!$A$1:$BZ$1001,943,C$2)&amp;""),""))</f>
        <v/>
      </c>
      <c r="D944">
        <f>IF(D$2=0,"",IFERROR(TRIM(INDEX('Pegar docentes'!$A$1:$BZ$1001,943,D$2)&amp;""),""))</f>
        <v/>
      </c>
      <c r="E944">
        <f>IF(E$2=0,"",IFERROR(TRIM(INDEX('Pegar docentes'!$A$1:$BZ$1001,943,E$2)&amp;""),""))</f>
        <v/>
      </c>
      <c r="F944">
        <f>IF(F$2=0,"",IFERROR(TRIM(INDEX('Pegar docentes'!$A$1:$BZ$1001,943,F$2)&amp;""),""))</f>
        <v/>
      </c>
      <c r="G944">
        <f>IF(G$2=0,"",IFERROR(TRIM(INDEX('Pegar docentes'!$A$1:$BZ$1001,943,G$2)&amp;""),""))</f>
        <v/>
      </c>
      <c r="H944">
        <f>IF(H$2=0,"",IFERROR(TRIM(INDEX('Pegar docentes'!$A$1:$BZ$1001,943,H$2)&amp;""),""))</f>
        <v/>
      </c>
      <c r="I944">
        <f>IF(I$2=0,"",IFERROR(TRIM(INDEX('Pegar docentes'!$A$1:$BZ$1001,943,I$2)&amp;""),""))</f>
        <v/>
      </c>
      <c r="J944">
        <f>IF(J$2=0,"",IFERROR(TRIM(INDEX('Pegar docentes'!$A$1:$BZ$1001,943,J$2)&amp;""),""))</f>
        <v/>
      </c>
      <c r="K944">
        <f>IF(K$2=0,"",IFERROR(TRIM(INDEX('Pegar docentes'!$A$1:$BZ$1001,943,K$2)&amp;""),""))</f>
        <v/>
      </c>
      <c r="L944">
        <f>IF(L$2=0,"",IFERROR(TRIM(INDEX('Pegar docentes'!$A$1:$BZ$1001,943,L$2)&amp;""),""))</f>
        <v/>
      </c>
      <c r="M944">
        <f>IF(M$2=0,"",IFERROR(TRIM(INDEX('Pegar docentes'!$A$1:$BZ$1001,943,M$2)&amp;""),""))</f>
        <v/>
      </c>
      <c r="N944">
        <f>IF(N$2=0,"",IFERROR(TRIM(INDEX('Pegar docentes'!$A$1:$BZ$1001,943,N$2)&amp;""),""))</f>
        <v/>
      </c>
      <c r="O944">
        <f>IF(O$2=0,"",IFERROR(TRIM(INDEX('Pegar docentes'!$A$1:$BZ$1001,943,O$2)&amp;""),""))</f>
        <v/>
      </c>
      <c r="P944">
        <f>IF(P$2=0,"",IFERROR(TRIM(INDEX('Pegar docentes'!$A$1:$BZ$1001,943,P$2)&amp;""),""))</f>
        <v/>
      </c>
      <c r="Q944" s="25">
        <f>IF(OR(D944&lt;&gt;"",H944&lt;&gt;""),1,"")</f>
        <v/>
      </c>
      <c r="R944" s="25">
        <f>IF(Q944=1,IF(ISNUMBER(FIND("#"&amp;MID(D944,1,1)&amp;"#","#0#1#2#3#4#5#6#7#8#9#")),IF(ISNUMBER(FIND("#"&amp;MID(D944,2,1)&amp;"#","#0#1#2#3#4#5#6#7#8#9#")),IF(AND(VALUE(LEFT(D944,2))&gt;=1,VALUE(LEFT(D944,2))&lt;=5),VALUE(LEFT(D944,2)),""),IF(AND(VALUE(LEFT(D944,1))&gt;=1,VALUE(LEFT(D944,1))&lt;=5),VALUE(LEFT(D944,1)),"")),""),"")</f>
        <v/>
      </c>
      <c r="S944" s="25">
        <f>IF(AND(Q944=1,E944&lt;&gt;""),SUBSTITUTE(SUBSTITUTE(SUBSTITUTE(SUBSTITUTE(SUBSTITUTE(SUBSTITUTE(SUBSTITUTE(SUBSTITUTE(SUBSTITUTE(SUBSTITUTE(SUBSTITUTE(SUBSTITUTE(LOWER(TRIM(E944)),"á","a"),"é","e"),"í","i"),"ó","o"),"ú","u"),"ü","u"),"ñ","n"),"à","a"),"è","e"),"ì","i"),"ò","o"),"ù","u"),"")</f>
        <v/>
      </c>
      <c r="T944" s="25">
        <f>IF(AND(Q944=1,G944&lt;&gt;""),SUBSTITUTE(SUBSTITUTE(SUBSTITUTE(SUBSTITUTE(SUBSTITUTE(SUBSTITUTE(SUBSTITUTE(SUBSTITUTE(SUBSTITUTE(SUBSTITUTE(SUBSTITUTE(SUBSTITUTE(LOWER(TRIM(G944)),"á","a"),"é","e"),"í","i"),"ó","o"),"ú","u"),"ü","u"),"ñ","n"),"à","a"),"è","e"),"ì","i"),"ò","o"),"ù","u"),"")</f>
        <v/>
      </c>
      <c r="U944" s="25">
        <f>IF(AND(Q944=1,H944&lt;&gt;""),SUBSTITUTE(SUBSTITUTE(SUBSTITUTE(SUBSTITUTE(SUBSTITUTE(SUBSTITUTE(SUBSTITUTE(SUBSTITUTE(SUBSTITUTE(SUBSTITUTE(SUBSTITUTE(SUBSTITUTE(LOWER(TRIM(H944)),"á","a"),"é","e"),"í","i"),"ó","o"),"ú","u"),"ü","u"),"ñ","n"),"à","a"),"è","e"),"ì","i"),"ò","o"),"ù","u"),"")</f>
        <v/>
      </c>
      <c r="V944" s="25">
        <f>IF(AND(Q944=1,L944&lt;&gt;""),SUBSTITUTE(SUBSTITUTE(SUBSTITUTE(SUBSTITUTE(SUBSTITUTE(SUBSTITUTE(SUBSTITUTE(SUBSTITUTE(SUBSTITUTE(SUBSTITUTE(SUBSTITUTE(SUBSTITUTE(LOWER(TRIM(L944)),"á","a"),"é","e"),"í","i"),"ó","o"),"ú","u"),"ü","u"),"ñ","n"),"à","a"),"è","e"),"ì","i"),"ò","o"),"ù","u"),"")</f>
        <v/>
      </c>
      <c r="W944" s="25">
        <f>IF(AND(Q944=1,I944&lt;&gt;""),SUBSTITUTE(SUBSTITUTE(SUBSTITUTE(SUBSTITUTE(SUBSTITUTE(SUBSTITUTE(SUBSTITUTE(SUBSTITUTE(SUBSTITUTE(SUBSTITUTE(SUBSTITUTE(SUBSTITUTE(LOWER(TRIM(I944)),"á","a"),"é","e"),"í","i"),"ó","o"),"ú","u"),"ü","u"),"ñ","n"),"à","a"),"è","e"),"ì","i"),"ò","o"),"ù","u"),"")</f>
        <v/>
      </c>
      <c r="X944" s="25">
        <f>IF(U944="","",IF(OR(U944="si, en la proxima tarea",U944="si, con cambios"),1,0))</f>
        <v/>
      </c>
      <c r="Y944" s="25">
        <f>IF(AND(Q944=1,A944&lt;&gt;""),IF(IFERROR(COUNTIFS(A$3:A944,"="&amp;SUBSTITUTE(SUBSTITUTE(SUBSTITUTE(A944,"~","~~"),"*","~*"),"?","~?"),Q$3:Q944,1),0)=1,MAX(Y$2:Y943)+1,""),"")</f>
        <v/>
      </c>
      <c r="Z944" s="25">
        <f>IF(Y944="","",COUNTIFS($A$3:$A$1002,"="&amp;SUBSTITUTE(SUBSTITUTE(SUBSTITUTE(A944,"~","~~"),"*","~*"),"?","~?"),$Q$3:$Q$1002,1)*10000-Y944)</f>
        <v/>
      </c>
    </row>
    <row r="945">
      <c r="A945">
        <f>IF(A$2=0,"",IFERROR(TRIM(INDEX('Pegar docentes'!$A$1:$BZ$1001,944,A$2)&amp;""),""))</f>
        <v/>
      </c>
      <c r="B945">
        <f>IF(B$2=0,"",IFERROR(TRIM(INDEX('Pegar docentes'!$A$1:$BZ$1001,944,B$2)&amp;""),""))</f>
        <v/>
      </c>
      <c r="C945">
        <f>IF(C$2=0,"",IFERROR(TRIM(INDEX('Pegar docentes'!$A$1:$BZ$1001,944,C$2)&amp;""),""))</f>
        <v/>
      </c>
      <c r="D945">
        <f>IF(D$2=0,"",IFERROR(TRIM(INDEX('Pegar docentes'!$A$1:$BZ$1001,944,D$2)&amp;""),""))</f>
        <v/>
      </c>
      <c r="E945">
        <f>IF(E$2=0,"",IFERROR(TRIM(INDEX('Pegar docentes'!$A$1:$BZ$1001,944,E$2)&amp;""),""))</f>
        <v/>
      </c>
      <c r="F945">
        <f>IF(F$2=0,"",IFERROR(TRIM(INDEX('Pegar docentes'!$A$1:$BZ$1001,944,F$2)&amp;""),""))</f>
        <v/>
      </c>
      <c r="G945">
        <f>IF(G$2=0,"",IFERROR(TRIM(INDEX('Pegar docentes'!$A$1:$BZ$1001,944,G$2)&amp;""),""))</f>
        <v/>
      </c>
      <c r="H945">
        <f>IF(H$2=0,"",IFERROR(TRIM(INDEX('Pegar docentes'!$A$1:$BZ$1001,944,H$2)&amp;""),""))</f>
        <v/>
      </c>
      <c r="I945">
        <f>IF(I$2=0,"",IFERROR(TRIM(INDEX('Pegar docentes'!$A$1:$BZ$1001,944,I$2)&amp;""),""))</f>
        <v/>
      </c>
      <c r="J945">
        <f>IF(J$2=0,"",IFERROR(TRIM(INDEX('Pegar docentes'!$A$1:$BZ$1001,944,J$2)&amp;""),""))</f>
        <v/>
      </c>
      <c r="K945">
        <f>IF(K$2=0,"",IFERROR(TRIM(INDEX('Pegar docentes'!$A$1:$BZ$1001,944,K$2)&amp;""),""))</f>
        <v/>
      </c>
      <c r="L945">
        <f>IF(L$2=0,"",IFERROR(TRIM(INDEX('Pegar docentes'!$A$1:$BZ$1001,944,L$2)&amp;""),""))</f>
        <v/>
      </c>
      <c r="M945">
        <f>IF(M$2=0,"",IFERROR(TRIM(INDEX('Pegar docentes'!$A$1:$BZ$1001,944,M$2)&amp;""),""))</f>
        <v/>
      </c>
      <c r="N945">
        <f>IF(N$2=0,"",IFERROR(TRIM(INDEX('Pegar docentes'!$A$1:$BZ$1001,944,N$2)&amp;""),""))</f>
        <v/>
      </c>
      <c r="O945">
        <f>IF(O$2=0,"",IFERROR(TRIM(INDEX('Pegar docentes'!$A$1:$BZ$1001,944,O$2)&amp;""),""))</f>
        <v/>
      </c>
      <c r="P945">
        <f>IF(P$2=0,"",IFERROR(TRIM(INDEX('Pegar docentes'!$A$1:$BZ$1001,944,P$2)&amp;""),""))</f>
        <v/>
      </c>
      <c r="Q945" s="25">
        <f>IF(OR(D945&lt;&gt;"",H945&lt;&gt;""),1,"")</f>
        <v/>
      </c>
      <c r="R945" s="25">
        <f>IF(Q945=1,IF(ISNUMBER(FIND("#"&amp;MID(D945,1,1)&amp;"#","#0#1#2#3#4#5#6#7#8#9#")),IF(ISNUMBER(FIND("#"&amp;MID(D945,2,1)&amp;"#","#0#1#2#3#4#5#6#7#8#9#")),IF(AND(VALUE(LEFT(D945,2))&gt;=1,VALUE(LEFT(D945,2))&lt;=5),VALUE(LEFT(D945,2)),""),IF(AND(VALUE(LEFT(D945,1))&gt;=1,VALUE(LEFT(D945,1))&lt;=5),VALUE(LEFT(D945,1)),"")),""),"")</f>
        <v/>
      </c>
      <c r="S945" s="25">
        <f>IF(AND(Q945=1,E945&lt;&gt;""),SUBSTITUTE(SUBSTITUTE(SUBSTITUTE(SUBSTITUTE(SUBSTITUTE(SUBSTITUTE(SUBSTITUTE(SUBSTITUTE(SUBSTITUTE(SUBSTITUTE(SUBSTITUTE(SUBSTITUTE(LOWER(TRIM(E945)),"á","a"),"é","e"),"í","i"),"ó","o"),"ú","u"),"ü","u"),"ñ","n"),"à","a"),"è","e"),"ì","i"),"ò","o"),"ù","u"),"")</f>
        <v/>
      </c>
      <c r="T945" s="25">
        <f>IF(AND(Q945=1,G945&lt;&gt;""),SUBSTITUTE(SUBSTITUTE(SUBSTITUTE(SUBSTITUTE(SUBSTITUTE(SUBSTITUTE(SUBSTITUTE(SUBSTITUTE(SUBSTITUTE(SUBSTITUTE(SUBSTITUTE(SUBSTITUTE(LOWER(TRIM(G945)),"á","a"),"é","e"),"í","i"),"ó","o"),"ú","u"),"ü","u"),"ñ","n"),"à","a"),"è","e"),"ì","i"),"ò","o"),"ù","u"),"")</f>
        <v/>
      </c>
      <c r="U945" s="25">
        <f>IF(AND(Q945=1,H945&lt;&gt;""),SUBSTITUTE(SUBSTITUTE(SUBSTITUTE(SUBSTITUTE(SUBSTITUTE(SUBSTITUTE(SUBSTITUTE(SUBSTITUTE(SUBSTITUTE(SUBSTITUTE(SUBSTITUTE(SUBSTITUTE(LOWER(TRIM(H945)),"á","a"),"é","e"),"í","i"),"ó","o"),"ú","u"),"ü","u"),"ñ","n"),"à","a"),"è","e"),"ì","i"),"ò","o"),"ù","u"),"")</f>
        <v/>
      </c>
      <c r="V945" s="25">
        <f>IF(AND(Q945=1,L945&lt;&gt;""),SUBSTITUTE(SUBSTITUTE(SUBSTITUTE(SUBSTITUTE(SUBSTITUTE(SUBSTITUTE(SUBSTITUTE(SUBSTITUTE(SUBSTITUTE(SUBSTITUTE(SUBSTITUTE(SUBSTITUTE(LOWER(TRIM(L945)),"á","a"),"é","e"),"í","i"),"ó","o"),"ú","u"),"ü","u"),"ñ","n"),"à","a"),"è","e"),"ì","i"),"ò","o"),"ù","u"),"")</f>
        <v/>
      </c>
      <c r="W945" s="25">
        <f>IF(AND(Q945=1,I945&lt;&gt;""),SUBSTITUTE(SUBSTITUTE(SUBSTITUTE(SUBSTITUTE(SUBSTITUTE(SUBSTITUTE(SUBSTITUTE(SUBSTITUTE(SUBSTITUTE(SUBSTITUTE(SUBSTITUTE(SUBSTITUTE(LOWER(TRIM(I945)),"á","a"),"é","e"),"í","i"),"ó","o"),"ú","u"),"ü","u"),"ñ","n"),"à","a"),"è","e"),"ì","i"),"ò","o"),"ù","u"),"")</f>
        <v/>
      </c>
      <c r="X945" s="25">
        <f>IF(U945="","",IF(OR(U945="si, en la proxima tarea",U945="si, con cambios"),1,0))</f>
        <v/>
      </c>
      <c r="Y945" s="25">
        <f>IF(AND(Q945=1,A945&lt;&gt;""),IF(IFERROR(COUNTIFS(A$3:A945,"="&amp;SUBSTITUTE(SUBSTITUTE(SUBSTITUTE(A945,"~","~~"),"*","~*"),"?","~?"),Q$3:Q945,1),0)=1,MAX(Y$2:Y944)+1,""),"")</f>
        <v/>
      </c>
      <c r="Z945" s="25">
        <f>IF(Y945="","",COUNTIFS($A$3:$A$1002,"="&amp;SUBSTITUTE(SUBSTITUTE(SUBSTITUTE(A945,"~","~~"),"*","~*"),"?","~?"),$Q$3:$Q$1002,1)*10000-Y945)</f>
        <v/>
      </c>
    </row>
    <row r="946">
      <c r="A946">
        <f>IF(A$2=0,"",IFERROR(TRIM(INDEX('Pegar docentes'!$A$1:$BZ$1001,945,A$2)&amp;""),""))</f>
        <v/>
      </c>
      <c r="B946">
        <f>IF(B$2=0,"",IFERROR(TRIM(INDEX('Pegar docentes'!$A$1:$BZ$1001,945,B$2)&amp;""),""))</f>
        <v/>
      </c>
      <c r="C946">
        <f>IF(C$2=0,"",IFERROR(TRIM(INDEX('Pegar docentes'!$A$1:$BZ$1001,945,C$2)&amp;""),""))</f>
        <v/>
      </c>
      <c r="D946">
        <f>IF(D$2=0,"",IFERROR(TRIM(INDEX('Pegar docentes'!$A$1:$BZ$1001,945,D$2)&amp;""),""))</f>
        <v/>
      </c>
      <c r="E946">
        <f>IF(E$2=0,"",IFERROR(TRIM(INDEX('Pegar docentes'!$A$1:$BZ$1001,945,E$2)&amp;""),""))</f>
        <v/>
      </c>
      <c r="F946">
        <f>IF(F$2=0,"",IFERROR(TRIM(INDEX('Pegar docentes'!$A$1:$BZ$1001,945,F$2)&amp;""),""))</f>
        <v/>
      </c>
      <c r="G946">
        <f>IF(G$2=0,"",IFERROR(TRIM(INDEX('Pegar docentes'!$A$1:$BZ$1001,945,G$2)&amp;""),""))</f>
        <v/>
      </c>
      <c r="H946">
        <f>IF(H$2=0,"",IFERROR(TRIM(INDEX('Pegar docentes'!$A$1:$BZ$1001,945,H$2)&amp;""),""))</f>
        <v/>
      </c>
      <c r="I946">
        <f>IF(I$2=0,"",IFERROR(TRIM(INDEX('Pegar docentes'!$A$1:$BZ$1001,945,I$2)&amp;""),""))</f>
        <v/>
      </c>
      <c r="J946">
        <f>IF(J$2=0,"",IFERROR(TRIM(INDEX('Pegar docentes'!$A$1:$BZ$1001,945,J$2)&amp;""),""))</f>
        <v/>
      </c>
      <c r="K946">
        <f>IF(K$2=0,"",IFERROR(TRIM(INDEX('Pegar docentes'!$A$1:$BZ$1001,945,K$2)&amp;""),""))</f>
        <v/>
      </c>
      <c r="L946">
        <f>IF(L$2=0,"",IFERROR(TRIM(INDEX('Pegar docentes'!$A$1:$BZ$1001,945,L$2)&amp;""),""))</f>
        <v/>
      </c>
      <c r="M946">
        <f>IF(M$2=0,"",IFERROR(TRIM(INDEX('Pegar docentes'!$A$1:$BZ$1001,945,M$2)&amp;""),""))</f>
        <v/>
      </c>
      <c r="N946">
        <f>IF(N$2=0,"",IFERROR(TRIM(INDEX('Pegar docentes'!$A$1:$BZ$1001,945,N$2)&amp;""),""))</f>
        <v/>
      </c>
      <c r="O946">
        <f>IF(O$2=0,"",IFERROR(TRIM(INDEX('Pegar docentes'!$A$1:$BZ$1001,945,O$2)&amp;""),""))</f>
        <v/>
      </c>
      <c r="P946">
        <f>IF(P$2=0,"",IFERROR(TRIM(INDEX('Pegar docentes'!$A$1:$BZ$1001,945,P$2)&amp;""),""))</f>
        <v/>
      </c>
      <c r="Q946" s="25">
        <f>IF(OR(D946&lt;&gt;"",H946&lt;&gt;""),1,"")</f>
        <v/>
      </c>
      <c r="R946" s="25">
        <f>IF(Q946=1,IF(ISNUMBER(FIND("#"&amp;MID(D946,1,1)&amp;"#","#0#1#2#3#4#5#6#7#8#9#")),IF(ISNUMBER(FIND("#"&amp;MID(D946,2,1)&amp;"#","#0#1#2#3#4#5#6#7#8#9#")),IF(AND(VALUE(LEFT(D946,2))&gt;=1,VALUE(LEFT(D946,2))&lt;=5),VALUE(LEFT(D946,2)),""),IF(AND(VALUE(LEFT(D946,1))&gt;=1,VALUE(LEFT(D946,1))&lt;=5),VALUE(LEFT(D946,1)),"")),""),"")</f>
        <v/>
      </c>
      <c r="S946" s="25">
        <f>IF(AND(Q946=1,E946&lt;&gt;""),SUBSTITUTE(SUBSTITUTE(SUBSTITUTE(SUBSTITUTE(SUBSTITUTE(SUBSTITUTE(SUBSTITUTE(SUBSTITUTE(SUBSTITUTE(SUBSTITUTE(SUBSTITUTE(SUBSTITUTE(LOWER(TRIM(E946)),"á","a"),"é","e"),"í","i"),"ó","o"),"ú","u"),"ü","u"),"ñ","n"),"à","a"),"è","e"),"ì","i"),"ò","o"),"ù","u"),"")</f>
        <v/>
      </c>
      <c r="T946" s="25">
        <f>IF(AND(Q946=1,G946&lt;&gt;""),SUBSTITUTE(SUBSTITUTE(SUBSTITUTE(SUBSTITUTE(SUBSTITUTE(SUBSTITUTE(SUBSTITUTE(SUBSTITUTE(SUBSTITUTE(SUBSTITUTE(SUBSTITUTE(SUBSTITUTE(LOWER(TRIM(G946)),"á","a"),"é","e"),"í","i"),"ó","o"),"ú","u"),"ü","u"),"ñ","n"),"à","a"),"è","e"),"ì","i"),"ò","o"),"ù","u"),"")</f>
        <v/>
      </c>
      <c r="U946" s="25">
        <f>IF(AND(Q946=1,H946&lt;&gt;""),SUBSTITUTE(SUBSTITUTE(SUBSTITUTE(SUBSTITUTE(SUBSTITUTE(SUBSTITUTE(SUBSTITUTE(SUBSTITUTE(SUBSTITUTE(SUBSTITUTE(SUBSTITUTE(SUBSTITUTE(LOWER(TRIM(H946)),"á","a"),"é","e"),"í","i"),"ó","o"),"ú","u"),"ü","u"),"ñ","n"),"à","a"),"è","e"),"ì","i"),"ò","o"),"ù","u"),"")</f>
        <v/>
      </c>
      <c r="V946" s="25">
        <f>IF(AND(Q946=1,L946&lt;&gt;""),SUBSTITUTE(SUBSTITUTE(SUBSTITUTE(SUBSTITUTE(SUBSTITUTE(SUBSTITUTE(SUBSTITUTE(SUBSTITUTE(SUBSTITUTE(SUBSTITUTE(SUBSTITUTE(SUBSTITUTE(LOWER(TRIM(L946)),"á","a"),"é","e"),"í","i"),"ó","o"),"ú","u"),"ü","u"),"ñ","n"),"à","a"),"è","e"),"ì","i"),"ò","o"),"ù","u"),"")</f>
        <v/>
      </c>
      <c r="W946" s="25">
        <f>IF(AND(Q946=1,I946&lt;&gt;""),SUBSTITUTE(SUBSTITUTE(SUBSTITUTE(SUBSTITUTE(SUBSTITUTE(SUBSTITUTE(SUBSTITUTE(SUBSTITUTE(SUBSTITUTE(SUBSTITUTE(SUBSTITUTE(SUBSTITUTE(LOWER(TRIM(I946)),"á","a"),"é","e"),"í","i"),"ó","o"),"ú","u"),"ü","u"),"ñ","n"),"à","a"),"è","e"),"ì","i"),"ò","o"),"ù","u"),"")</f>
        <v/>
      </c>
      <c r="X946" s="25">
        <f>IF(U946="","",IF(OR(U946="si, en la proxima tarea",U946="si, con cambios"),1,0))</f>
        <v/>
      </c>
      <c r="Y946" s="25">
        <f>IF(AND(Q946=1,A946&lt;&gt;""),IF(IFERROR(COUNTIFS(A$3:A946,"="&amp;SUBSTITUTE(SUBSTITUTE(SUBSTITUTE(A946,"~","~~"),"*","~*"),"?","~?"),Q$3:Q946,1),0)=1,MAX(Y$2:Y945)+1,""),"")</f>
        <v/>
      </c>
      <c r="Z946" s="25">
        <f>IF(Y946="","",COUNTIFS($A$3:$A$1002,"="&amp;SUBSTITUTE(SUBSTITUTE(SUBSTITUTE(A946,"~","~~"),"*","~*"),"?","~?"),$Q$3:$Q$1002,1)*10000-Y946)</f>
        <v/>
      </c>
    </row>
    <row r="947">
      <c r="A947">
        <f>IF(A$2=0,"",IFERROR(TRIM(INDEX('Pegar docentes'!$A$1:$BZ$1001,946,A$2)&amp;""),""))</f>
        <v/>
      </c>
      <c r="B947">
        <f>IF(B$2=0,"",IFERROR(TRIM(INDEX('Pegar docentes'!$A$1:$BZ$1001,946,B$2)&amp;""),""))</f>
        <v/>
      </c>
      <c r="C947">
        <f>IF(C$2=0,"",IFERROR(TRIM(INDEX('Pegar docentes'!$A$1:$BZ$1001,946,C$2)&amp;""),""))</f>
        <v/>
      </c>
      <c r="D947">
        <f>IF(D$2=0,"",IFERROR(TRIM(INDEX('Pegar docentes'!$A$1:$BZ$1001,946,D$2)&amp;""),""))</f>
        <v/>
      </c>
      <c r="E947">
        <f>IF(E$2=0,"",IFERROR(TRIM(INDEX('Pegar docentes'!$A$1:$BZ$1001,946,E$2)&amp;""),""))</f>
        <v/>
      </c>
      <c r="F947">
        <f>IF(F$2=0,"",IFERROR(TRIM(INDEX('Pegar docentes'!$A$1:$BZ$1001,946,F$2)&amp;""),""))</f>
        <v/>
      </c>
      <c r="G947">
        <f>IF(G$2=0,"",IFERROR(TRIM(INDEX('Pegar docentes'!$A$1:$BZ$1001,946,G$2)&amp;""),""))</f>
        <v/>
      </c>
      <c r="H947">
        <f>IF(H$2=0,"",IFERROR(TRIM(INDEX('Pegar docentes'!$A$1:$BZ$1001,946,H$2)&amp;""),""))</f>
        <v/>
      </c>
      <c r="I947">
        <f>IF(I$2=0,"",IFERROR(TRIM(INDEX('Pegar docentes'!$A$1:$BZ$1001,946,I$2)&amp;""),""))</f>
        <v/>
      </c>
      <c r="J947">
        <f>IF(J$2=0,"",IFERROR(TRIM(INDEX('Pegar docentes'!$A$1:$BZ$1001,946,J$2)&amp;""),""))</f>
        <v/>
      </c>
      <c r="K947">
        <f>IF(K$2=0,"",IFERROR(TRIM(INDEX('Pegar docentes'!$A$1:$BZ$1001,946,K$2)&amp;""),""))</f>
        <v/>
      </c>
      <c r="L947">
        <f>IF(L$2=0,"",IFERROR(TRIM(INDEX('Pegar docentes'!$A$1:$BZ$1001,946,L$2)&amp;""),""))</f>
        <v/>
      </c>
      <c r="M947">
        <f>IF(M$2=0,"",IFERROR(TRIM(INDEX('Pegar docentes'!$A$1:$BZ$1001,946,M$2)&amp;""),""))</f>
        <v/>
      </c>
      <c r="N947">
        <f>IF(N$2=0,"",IFERROR(TRIM(INDEX('Pegar docentes'!$A$1:$BZ$1001,946,N$2)&amp;""),""))</f>
        <v/>
      </c>
      <c r="O947">
        <f>IF(O$2=0,"",IFERROR(TRIM(INDEX('Pegar docentes'!$A$1:$BZ$1001,946,O$2)&amp;""),""))</f>
        <v/>
      </c>
      <c r="P947">
        <f>IF(P$2=0,"",IFERROR(TRIM(INDEX('Pegar docentes'!$A$1:$BZ$1001,946,P$2)&amp;""),""))</f>
        <v/>
      </c>
      <c r="Q947" s="25">
        <f>IF(OR(D947&lt;&gt;"",H947&lt;&gt;""),1,"")</f>
        <v/>
      </c>
      <c r="R947" s="25">
        <f>IF(Q947=1,IF(ISNUMBER(FIND("#"&amp;MID(D947,1,1)&amp;"#","#0#1#2#3#4#5#6#7#8#9#")),IF(ISNUMBER(FIND("#"&amp;MID(D947,2,1)&amp;"#","#0#1#2#3#4#5#6#7#8#9#")),IF(AND(VALUE(LEFT(D947,2))&gt;=1,VALUE(LEFT(D947,2))&lt;=5),VALUE(LEFT(D947,2)),""),IF(AND(VALUE(LEFT(D947,1))&gt;=1,VALUE(LEFT(D947,1))&lt;=5),VALUE(LEFT(D947,1)),"")),""),"")</f>
        <v/>
      </c>
      <c r="S947" s="25">
        <f>IF(AND(Q947=1,E947&lt;&gt;""),SUBSTITUTE(SUBSTITUTE(SUBSTITUTE(SUBSTITUTE(SUBSTITUTE(SUBSTITUTE(SUBSTITUTE(SUBSTITUTE(SUBSTITUTE(SUBSTITUTE(SUBSTITUTE(SUBSTITUTE(LOWER(TRIM(E947)),"á","a"),"é","e"),"í","i"),"ó","o"),"ú","u"),"ü","u"),"ñ","n"),"à","a"),"è","e"),"ì","i"),"ò","o"),"ù","u"),"")</f>
        <v/>
      </c>
      <c r="T947" s="25">
        <f>IF(AND(Q947=1,G947&lt;&gt;""),SUBSTITUTE(SUBSTITUTE(SUBSTITUTE(SUBSTITUTE(SUBSTITUTE(SUBSTITUTE(SUBSTITUTE(SUBSTITUTE(SUBSTITUTE(SUBSTITUTE(SUBSTITUTE(SUBSTITUTE(LOWER(TRIM(G947)),"á","a"),"é","e"),"í","i"),"ó","o"),"ú","u"),"ü","u"),"ñ","n"),"à","a"),"è","e"),"ì","i"),"ò","o"),"ù","u"),"")</f>
        <v/>
      </c>
      <c r="U947" s="25">
        <f>IF(AND(Q947=1,H947&lt;&gt;""),SUBSTITUTE(SUBSTITUTE(SUBSTITUTE(SUBSTITUTE(SUBSTITUTE(SUBSTITUTE(SUBSTITUTE(SUBSTITUTE(SUBSTITUTE(SUBSTITUTE(SUBSTITUTE(SUBSTITUTE(LOWER(TRIM(H947)),"á","a"),"é","e"),"í","i"),"ó","o"),"ú","u"),"ü","u"),"ñ","n"),"à","a"),"è","e"),"ì","i"),"ò","o"),"ù","u"),"")</f>
        <v/>
      </c>
      <c r="V947" s="25">
        <f>IF(AND(Q947=1,L947&lt;&gt;""),SUBSTITUTE(SUBSTITUTE(SUBSTITUTE(SUBSTITUTE(SUBSTITUTE(SUBSTITUTE(SUBSTITUTE(SUBSTITUTE(SUBSTITUTE(SUBSTITUTE(SUBSTITUTE(SUBSTITUTE(LOWER(TRIM(L947)),"á","a"),"é","e"),"í","i"),"ó","o"),"ú","u"),"ü","u"),"ñ","n"),"à","a"),"è","e"),"ì","i"),"ò","o"),"ù","u"),"")</f>
        <v/>
      </c>
      <c r="W947" s="25">
        <f>IF(AND(Q947=1,I947&lt;&gt;""),SUBSTITUTE(SUBSTITUTE(SUBSTITUTE(SUBSTITUTE(SUBSTITUTE(SUBSTITUTE(SUBSTITUTE(SUBSTITUTE(SUBSTITUTE(SUBSTITUTE(SUBSTITUTE(SUBSTITUTE(LOWER(TRIM(I947)),"á","a"),"é","e"),"í","i"),"ó","o"),"ú","u"),"ü","u"),"ñ","n"),"à","a"),"è","e"),"ì","i"),"ò","o"),"ù","u"),"")</f>
        <v/>
      </c>
      <c r="X947" s="25">
        <f>IF(U947="","",IF(OR(U947="si, en la proxima tarea",U947="si, con cambios"),1,0))</f>
        <v/>
      </c>
      <c r="Y947" s="25">
        <f>IF(AND(Q947=1,A947&lt;&gt;""),IF(IFERROR(COUNTIFS(A$3:A947,"="&amp;SUBSTITUTE(SUBSTITUTE(SUBSTITUTE(A947,"~","~~"),"*","~*"),"?","~?"),Q$3:Q947,1),0)=1,MAX(Y$2:Y946)+1,""),"")</f>
        <v/>
      </c>
      <c r="Z947" s="25">
        <f>IF(Y947="","",COUNTIFS($A$3:$A$1002,"="&amp;SUBSTITUTE(SUBSTITUTE(SUBSTITUTE(A947,"~","~~"),"*","~*"),"?","~?"),$Q$3:$Q$1002,1)*10000-Y947)</f>
        <v/>
      </c>
    </row>
    <row r="948">
      <c r="A948">
        <f>IF(A$2=0,"",IFERROR(TRIM(INDEX('Pegar docentes'!$A$1:$BZ$1001,947,A$2)&amp;""),""))</f>
        <v/>
      </c>
      <c r="B948">
        <f>IF(B$2=0,"",IFERROR(TRIM(INDEX('Pegar docentes'!$A$1:$BZ$1001,947,B$2)&amp;""),""))</f>
        <v/>
      </c>
      <c r="C948">
        <f>IF(C$2=0,"",IFERROR(TRIM(INDEX('Pegar docentes'!$A$1:$BZ$1001,947,C$2)&amp;""),""))</f>
        <v/>
      </c>
      <c r="D948">
        <f>IF(D$2=0,"",IFERROR(TRIM(INDEX('Pegar docentes'!$A$1:$BZ$1001,947,D$2)&amp;""),""))</f>
        <v/>
      </c>
      <c r="E948">
        <f>IF(E$2=0,"",IFERROR(TRIM(INDEX('Pegar docentes'!$A$1:$BZ$1001,947,E$2)&amp;""),""))</f>
        <v/>
      </c>
      <c r="F948">
        <f>IF(F$2=0,"",IFERROR(TRIM(INDEX('Pegar docentes'!$A$1:$BZ$1001,947,F$2)&amp;""),""))</f>
        <v/>
      </c>
      <c r="G948">
        <f>IF(G$2=0,"",IFERROR(TRIM(INDEX('Pegar docentes'!$A$1:$BZ$1001,947,G$2)&amp;""),""))</f>
        <v/>
      </c>
      <c r="H948">
        <f>IF(H$2=0,"",IFERROR(TRIM(INDEX('Pegar docentes'!$A$1:$BZ$1001,947,H$2)&amp;""),""))</f>
        <v/>
      </c>
      <c r="I948">
        <f>IF(I$2=0,"",IFERROR(TRIM(INDEX('Pegar docentes'!$A$1:$BZ$1001,947,I$2)&amp;""),""))</f>
        <v/>
      </c>
      <c r="J948">
        <f>IF(J$2=0,"",IFERROR(TRIM(INDEX('Pegar docentes'!$A$1:$BZ$1001,947,J$2)&amp;""),""))</f>
        <v/>
      </c>
      <c r="K948">
        <f>IF(K$2=0,"",IFERROR(TRIM(INDEX('Pegar docentes'!$A$1:$BZ$1001,947,K$2)&amp;""),""))</f>
        <v/>
      </c>
      <c r="L948">
        <f>IF(L$2=0,"",IFERROR(TRIM(INDEX('Pegar docentes'!$A$1:$BZ$1001,947,L$2)&amp;""),""))</f>
        <v/>
      </c>
      <c r="M948">
        <f>IF(M$2=0,"",IFERROR(TRIM(INDEX('Pegar docentes'!$A$1:$BZ$1001,947,M$2)&amp;""),""))</f>
        <v/>
      </c>
      <c r="N948">
        <f>IF(N$2=0,"",IFERROR(TRIM(INDEX('Pegar docentes'!$A$1:$BZ$1001,947,N$2)&amp;""),""))</f>
        <v/>
      </c>
      <c r="O948">
        <f>IF(O$2=0,"",IFERROR(TRIM(INDEX('Pegar docentes'!$A$1:$BZ$1001,947,O$2)&amp;""),""))</f>
        <v/>
      </c>
      <c r="P948">
        <f>IF(P$2=0,"",IFERROR(TRIM(INDEX('Pegar docentes'!$A$1:$BZ$1001,947,P$2)&amp;""),""))</f>
        <v/>
      </c>
      <c r="Q948" s="25">
        <f>IF(OR(D948&lt;&gt;"",H948&lt;&gt;""),1,"")</f>
        <v/>
      </c>
      <c r="R948" s="25">
        <f>IF(Q948=1,IF(ISNUMBER(FIND("#"&amp;MID(D948,1,1)&amp;"#","#0#1#2#3#4#5#6#7#8#9#")),IF(ISNUMBER(FIND("#"&amp;MID(D948,2,1)&amp;"#","#0#1#2#3#4#5#6#7#8#9#")),IF(AND(VALUE(LEFT(D948,2))&gt;=1,VALUE(LEFT(D948,2))&lt;=5),VALUE(LEFT(D948,2)),""),IF(AND(VALUE(LEFT(D948,1))&gt;=1,VALUE(LEFT(D948,1))&lt;=5),VALUE(LEFT(D948,1)),"")),""),"")</f>
        <v/>
      </c>
      <c r="S948" s="25">
        <f>IF(AND(Q948=1,E948&lt;&gt;""),SUBSTITUTE(SUBSTITUTE(SUBSTITUTE(SUBSTITUTE(SUBSTITUTE(SUBSTITUTE(SUBSTITUTE(SUBSTITUTE(SUBSTITUTE(SUBSTITUTE(SUBSTITUTE(SUBSTITUTE(LOWER(TRIM(E948)),"á","a"),"é","e"),"í","i"),"ó","o"),"ú","u"),"ü","u"),"ñ","n"),"à","a"),"è","e"),"ì","i"),"ò","o"),"ù","u"),"")</f>
        <v/>
      </c>
      <c r="T948" s="25">
        <f>IF(AND(Q948=1,G948&lt;&gt;""),SUBSTITUTE(SUBSTITUTE(SUBSTITUTE(SUBSTITUTE(SUBSTITUTE(SUBSTITUTE(SUBSTITUTE(SUBSTITUTE(SUBSTITUTE(SUBSTITUTE(SUBSTITUTE(SUBSTITUTE(LOWER(TRIM(G948)),"á","a"),"é","e"),"í","i"),"ó","o"),"ú","u"),"ü","u"),"ñ","n"),"à","a"),"è","e"),"ì","i"),"ò","o"),"ù","u"),"")</f>
        <v/>
      </c>
      <c r="U948" s="25">
        <f>IF(AND(Q948=1,H948&lt;&gt;""),SUBSTITUTE(SUBSTITUTE(SUBSTITUTE(SUBSTITUTE(SUBSTITUTE(SUBSTITUTE(SUBSTITUTE(SUBSTITUTE(SUBSTITUTE(SUBSTITUTE(SUBSTITUTE(SUBSTITUTE(LOWER(TRIM(H948)),"á","a"),"é","e"),"í","i"),"ó","o"),"ú","u"),"ü","u"),"ñ","n"),"à","a"),"è","e"),"ì","i"),"ò","o"),"ù","u"),"")</f>
        <v/>
      </c>
      <c r="V948" s="25">
        <f>IF(AND(Q948=1,L948&lt;&gt;""),SUBSTITUTE(SUBSTITUTE(SUBSTITUTE(SUBSTITUTE(SUBSTITUTE(SUBSTITUTE(SUBSTITUTE(SUBSTITUTE(SUBSTITUTE(SUBSTITUTE(SUBSTITUTE(SUBSTITUTE(LOWER(TRIM(L948)),"á","a"),"é","e"),"í","i"),"ó","o"),"ú","u"),"ü","u"),"ñ","n"),"à","a"),"è","e"),"ì","i"),"ò","o"),"ù","u"),"")</f>
        <v/>
      </c>
      <c r="W948" s="25">
        <f>IF(AND(Q948=1,I948&lt;&gt;""),SUBSTITUTE(SUBSTITUTE(SUBSTITUTE(SUBSTITUTE(SUBSTITUTE(SUBSTITUTE(SUBSTITUTE(SUBSTITUTE(SUBSTITUTE(SUBSTITUTE(SUBSTITUTE(SUBSTITUTE(LOWER(TRIM(I948)),"á","a"),"é","e"),"í","i"),"ó","o"),"ú","u"),"ü","u"),"ñ","n"),"à","a"),"è","e"),"ì","i"),"ò","o"),"ù","u"),"")</f>
        <v/>
      </c>
      <c r="X948" s="25">
        <f>IF(U948="","",IF(OR(U948="si, en la proxima tarea",U948="si, con cambios"),1,0))</f>
        <v/>
      </c>
      <c r="Y948" s="25">
        <f>IF(AND(Q948=1,A948&lt;&gt;""),IF(IFERROR(COUNTIFS(A$3:A948,"="&amp;SUBSTITUTE(SUBSTITUTE(SUBSTITUTE(A948,"~","~~"),"*","~*"),"?","~?"),Q$3:Q948,1),0)=1,MAX(Y$2:Y947)+1,""),"")</f>
        <v/>
      </c>
      <c r="Z948" s="25">
        <f>IF(Y948="","",COUNTIFS($A$3:$A$1002,"="&amp;SUBSTITUTE(SUBSTITUTE(SUBSTITUTE(A948,"~","~~"),"*","~*"),"?","~?"),$Q$3:$Q$1002,1)*10000-Y948)</f>
        <v/>
      </c>
    </row>
    <row r="949">
      <c r="A949">
        <f>IF(A$2=0,"",IFERROR(TRIM(INDEX('Pegar docentes'!$A$1:$BZ$1001,948,A$2)&amp;""),""))</f>
        <v/>
      </c>
      <c r="B949">
        <f>IF(B$2=0,"",IFERROR(TRIM(INDEX('Pegar docentes'!$A$1:$BZ$1001,948,B$2)&amp;""),""))</f>
        <v/>
      </c>
      <c r="C949">
        <f>IF(C$2=0,"",IFERROR(TRIM(INDEX('Pegar docentes'!$A$1:$BZ$1001,948,C$2)&amp;""),""))</f>
        <v/>
      </c>
      <c r="D949">
        <f>IF(D$2=0,"",IFERROR(TRIM(INDEX('Pegar docentes'!$A$1:$BZ$1001,948,D$2)&amp;""),""))</f>
        <v/>
      </c>
      <c r="E949">
        <f>IF(E$2=0,"",IFERROR(TRIM(INDEX('Pegar docentes'!$A$1:$BZ$1001,948,E$2)&amp;""),""))</f>
        <v/>
      </c>
      <c r="F949">
        <f>IF(F$2=0,"",IFERROR(TRIM(INDEX('Pegar docentes'!$A$1:$BZ$1001,948,F$2)&amp;""),""))</f>
        <v/>
      </c>
      <c r="G949">
        <f>IF(G$2=0,"",IFERROR(TRIM(INDEX('Pegar docentes'!$A$1:$BZ$1001,948,G$2)&amp;""),""))</f>
        <v/>
      </c>
      <c r="H949">
        <f>IF(H$2=0,"",IFERROR(TRIM(INDEX('Pegar docentes'!$A$1:$BZ$1001,948,H$2)&amp;""),""))</f>
        <v/>
      </c>
      <c r="I949">
        <f>IF(I$2=0,"",IFERROR(TRIM(INDEX('Pegar docentes'!$A$1:$BZ$1001,948,I$2)&amp;""),""))</f>
        <v/>
      </c>
      <c r="J949">
        <f>IF(J$2=0,"",IFERROR(TRIM(INDEX('Pegar docentes'!$A$1:$BZ$1001,948,J$2)&amp;""),""))</f>
        <v/>
      </c>
      <c r="K949">
        <f>IF(K$2=0,"",IFERROR(TRIM(INDEX('Pegar docentes'!$A$1:$BZ$1001,948,K$2)&amp;""),""))</f>
        <v/>
      </c>
      <c r="L949">
        <f>IF(L$2=0,"",IFERROR(TRIM(INDEX('Pegar docentes'!$A$1:$BZ$1001,948,L$2)&amp;""),""))</f>
        <v/>
      </c>
      <c r="M949">
        <f>IF(M$2=0,"",IFERROR(TRIM(INDEX('Pegar docentes'!$A$1:$BZ$1001,948,M$2)&amp;""),""))</f>
        <v/>
      </c>
      <c r="N949">
        <f>IF(N$2=0,"",IFERROR(TRIM(INDEX('Pegar docentes'!$A$1:$BZ$1001,948,N$2)&amp;""),""))</f>
        <v/>
      </c>
      <c r="O949">
        <f>IF(O$2=0,"",IFERROR(TRIM(INDEX('Pegar docentes'!$A$1:$BZ$1001,948,O$2)&amp;""),""))</f>
        <v/>
      </c>
      <c r="P949">
        <f>IF(P$2=0,"",IFERROR(TRIM(INDEX('Pegar docentes'!$A$1:$BZ$1001,948,P$2)&amp;""),""))</f>
        <v/>
      </c>
      <c r="Q949" s="25">
        <f>IF(OR(D949&lt;&gt;"",H949&lt;&gt;""),1,"")</f>
        <v/>
      </c>
      <c r="R949" s="25">
        <f>IF(Q949=1,IF(ISNUMBER(FIND("#"&amp;MID(D949,1,1)&amp;"#","#0#1#2#3#4#5#6#7#8#9#")),IF(ISNUMBER(FIND("#"&amp;MID(D949,2,1)&amp;"#","#0#1#2#3#4#5#6#7#8#9#")),IF(AND(VALUE(LEFT(D949,2))&gt;=1,VALUE(LEFT(D949,2))&lt;=5),VALUE(LEFT(D949,2)),""),IF(AND(VALUE(LEFT(D949,1))&gt;=1,VALUE(LEFT(D949,1))&lt;=5),VALUE(LEFT(D949,1)),"")),""),"")</f>
        <v/>
      </c>
      <c r="S949" s="25">
        <f>IF(AND(Q949=1,E949&lt;&gt;""),SUBSTITUTE(SUBSTITUTE(SUBSTITUTE(SUBSTITUTE(SUBSTITUTE(SUBSTITUTE(SUBSTITUTE(SUBSTITUTE(SUBSTITUTE(SUBSTITUTE(SUBSTITUTE(SUBSTITUTE(LOWER(TRIM(E949)),"á","a"),"é","e"),"í","i"),"ó","o"),"ú","u"),"ü","u"),"ñ","n"),"à","a"),"è","e"),"ì","i"),"ò","o"),"ù","u"),"")</f>
        <v/>
      </c>
      <c r="T949" s="25">
        <f>IF(AND(Q949=1,G949&lt;&gt;""),SUBSTITUTE(SUBSTITUTE(SUBSTITUTE(SUBSTITUTE(SUBSTITUTE(SUBSTITUTE(SUBSTITUTE(SUBSTITUTE(SUBSTITUTE(SUBSTITUTE(SUBSTITUTE(SUBSTITUTE(LOWER(TRIM(G949)),"á","a"),"é","e"),"í","i"),"ó","o"),"ú","u"),"ü","u"),"ñ","n"),"à","a"),"è","e"),"ì","i"),"ò","o"),"ù","u"),"")</f>
        <v/>
      </c>
      <c r="U949" s="25">
        <f>IF(AND(Q949=1,H949&lt;&gt;""),SUBSTITUTE(SUBSTITUTE(SUBSTITUTE(SUBSTITUTE(SUBSTITUTE(SUBSTITUTE(SUBSTITUTE(SUBSTITUTE(SUBSTITUTE(SUBSTITUTE(SUBSTITUTE(SUBSTITUTE(LOWER(TRIM(H949)),"á","a"),"é","e"),"í","i"),"ó","o"),"ú","u"),"ü","u"),"ñ","n"),"à","a"),"è","e"),"ì","i"),"ò","o"),"ù","u"),"")</f>
        <v/>
      </c>
      <c r="V949" s="25">
        <f>IF(AND(Q949=1,L949&lt;&gt;""),SUBSTITUTE(SUBSTITUTE(SUBSTITUTE(SUBSTITUTE(SUBSTITUTE(SUBSTITUTE(SUBSTITUTE(SUBSTITUTE(SUBSTITUTE(SUBSTITUTE(SUBSTITUTE(SUBSTITUTE(LOWER(TRIM(L949)),"á","a"),"é","e"),"í","i"),"ó","o"),"ú","u"),"ü","u"),"ñ","n"),"à","a"),"è","e"),"ì","i"),"ò","o"),"ù","u"),"")</f>
        <v/>
      </c>
      <c r="W949" s="25">
        <f>IF(AND(Q949=1,I949&lt;&gt;""),SUBSTITUTE(SUBSTITUTE(SUBSTITUTE(SUBSTITUTE(SUBSTITUTE(SUBSTITUTE(SUBSTITUTE(SUBSTITUTE(SUBSTITUTE(SUBSTITUTE(SUBSTITUTE(SUBSTITUTE(LOWER(TRIM(I949)),"á","a"),"é","e"),"í","i"),"ó","o"),"ú","u"),"ü","u"),"ñ","n"),"à","a"),"è","e"),"ì","i"),"ò","o"),"ù","u"),"")</f>
        <v/>
      </c>
      <c r="X949" s="25">
        <f>IF(U949="","",IF(OR(U949="si, en la proxima tarea",U949="si, con cambios"),1,0))</f>
        <v/>
      </c>
      <c r="Y949" s="25">
        <f>IF(AND(Q949=1,A949&lt;&gt;""),IF(IFERROR(COUNTIFS(A$3:A949,"="&amp;SUBSTITUTE(SUBSTITUTE(SUBSTITUTE(A949,"~","~~"),"*","~*"),"?","~?"),Q$3:Q949,1),0)=1,MAX(Y$2:Y948)+1,""),"")</f>
        <v/>
      </c>
      <c r="Z949" s="25">
        <f>IF(Y949="","",COUNTIFS($A$3:$A$1002,"="&amp;SUBSTITUTE(SUBSTITUTE(SUBSTITUTE(A949,"~","~~"),"*","~*"),"?","~?"),$Q$3:$Q$1002,1)*10000-Y949)</f>
        <v/>
      </c>
    </row>
    <row r="950">
      <c r="A950">
        <f>IF(A$2=0,"",IFERROR(TRIM(INDEX('Pegar docentes'!$A$1:$BZ$1001,949,A$2)&amp;""),""))</f>
        <v/>
      </c>
      <c r="B950">
        <f>IF(B$2=0,"",IFERROR(TRIM(INDEX('Pegar docentes'!$A$1:$BZ$1001,949,B$2)&amp;""),""))</f>
        <v/>
      </c>
      <c r="C950">
        <f>IF(C$2=0,"",IFERROR(TRIM(INDEX('Pegar docentes'!$A$1:$BZ$1001,949,C$2)&amp;""),""))</f>
        <v/>
      </c>
      <c r="D950">
        <f>IF(D$2=0,"",IFERROR(TRIM(INDEX('Pegar docentes'!$A$1:$BZ$1001,949,D$2)&amp;""),""))</f>
        <v/>
      </c>
      <c r="E950">
        <f>IF(E$2=0,"",IFERROR(TRIM(INDEX('Pegar docentes'!$A$1:$BZ$1001,949,E$2)&amp;""),""))</f>
        <v/>
      </c>
      <c r="F950">
        <f>IF(F$2=0,"",IFERROR(TRIM(INDEX('Pegar docentes'!$A$1:$BZ$1001,949,F$2)&amp;""),""))</f>
        <v/>
      </c>
      <c r="G950">
        <f>IF(G$2=0,"",IFERROR(TRIM(INDEX('Pegar docentes'!$A$1:$BZ$1001,949,G$2)&amp;""),""))</f>
        <v/>
      </c>
      <c r="H950">
        <f>IF(H$2=0,"",IFERROR(TRIM(INDEX('Pegar docentes'!$A$1:$BZ$1001,949,H$2)&amp;""),""))</f>
        <v/>
      </c>
      <c r="I950">
        <f>IF(I$2=0,"",IFERROR(TRIM(INDEX('Pegar docentes'!$A$1:$BZ$1001,949,I$2)&amp;""),""))</f>
        <v/>
      </c>
      <c r="J950">
        <f>IF(J$2=0,"",IFERROR(TRIM(INDEX('Pegar docentes'!$A$1:$BZ$1001,949,J$2)&amp;""),""))</f>
        <v/>
      </c>
      <c r="K950">
        <f>IF(K$2=0,"",IFERROR(TRIM(INDEX('Pegar docentes'!$A$1:$BZ$1001,949,K$2)&amp;""),""))</f>
        <v/>
      </c>
      <c r="L950">
        <f>IF(L$2=0,"",IFERROR(TRIM(INDEX('Pegar docentes'!$A$1:$BZ$1001,949,L$2)&amp;""),""))</f>
        <v/>
      </c>
      <c r="M950">
        <f>IF(M$2=0,"",IFERROR(TRIM(INDEX('Pegar docentes'!$A$1:$BZ$1001,949,M$2)&amp;""),""))</f>
        <v/>
      </c>
      <c r="N950">
        <f>IF(N$2=0,"",IFERROR(TRIM(INDEX('Pegar docentes'!$A$1:$BZ$1001,949,N$2)&amp;""),""))</f>
        <v/>
      </c>
      <c r="O950">
        <f>IF(O$2=0,"",IFERROR(TRIM(INDEX('Pegar docentes'!$A$1:$BZ$1001,949,O$2)&amp;""),""))</f>
        <v/>
      </c>
      <c r="P950">
        <f>IF(P$2=0,"",IFERROR(TRIM(INDEX('Pegar docentes'!$A$1:$BZ$1001,949,P$2)&amp;""),""))</f>
        <v/>
      </c>
      <c r="Q950" s="25">
        <f>IF(OR(D950&lt;&gt;"",H950&lt;&gt;""),1,"")</f>
        <v/>
      </c>
      <c r="R950" s="25">
        <f>IF(Q950=1,IF(ISNUMBER(FIND("#"&amp;MID(D950,1,1)&amp;"#","#0#1#2#3#4#5#6#7#8#9#")),IF(ISNUMBER(FIND("#"&amp;MID(D950,2,1)&amp;"#","#0#1#2#3#4#5#6#7#8#9#")),IF(AND(VALUE(LEFT(D950,2))&gt;=1,VALUE(LEFT(D950,2))&lt;=5),VALUE(LEFT(D950,2)),""),IF(AND(VALUE(LEFT(D950,1))&gt;=1,VALUE(LEFT(D950,1))&lt;=5),VALUE(LEFT(D950,1)),"")),""),"")</f>
        <v/>
      </c>
      <c r="S950" s="25">
        <f>IF(AND(Q950=1,E950&lt;&gt;""),SUBSTITUTE(SUBSTITUTE(SUBSTITUTE(SUBSTITUTE(SUBSTITUTE(SUBSTITUTE(SUBSTITUTE(SUBSTITUTE(SUBSTITUTE(SUBSTITUTE(SUBSTITUTE(SUBSTITUTE(LOWER(TRIM(E950)),"á","a"),"é","e"),"í","i"),"ó","o"),"ú","u"),"ü","u"),"ñ","n"),"à","a"),"è","e"),"ì","i"),"ò","o"),"ù","u"),"")</f>
        <v/>
      </c>
      <c r="T950" s="25">
        <f>IF(AND(Q950=1,G950&lt;&gt;""),SUBSTITUTE(SUBSTITUTE(SUBSTITUTE(SUBSTITUTE(SUBSTITUTE(SUBSTITUTE(SUBSTITUTE(SUBSTITUTE(SUBSTITUTE(SUBSTITUTE(SUBSTITUTE(SUBSTITUTE(LOWER(TRIM(G950)),"á","a"),"é","e"),"í","i"),"ó","o"),"ú","u"),"ü","u"),"ñ","n"),"à","a"),"è","e"),"ì","i"),"ò","o"),"ù","u"),"")</f>
        <v/>
      </c>
      <c r="U950" s="25">
        <f>IF(AND(Q950=1,H950&lt;&gt;""),SUBSTITUTE(SUBSTITUTE(SUBSTITUTE(SUBSTITUTE(SUBSTITUTE(SUBSTITUTE(SUBSTITUTE(SUBSTITUTE(SUBSTITUTE(SUBSTITUTE(SUBSTITUTE(SUBSTITUTE(LOWER(TRIM(H950)),"á","a"),"é","e"),"í","i"),"ó","o"),"ú","u"),"ü","u"),"ñ","n"),"à","a"),"è","e"),"ì","i"),"ò","o"),"ù","u"),"")</f>
        <v/>
      </c>
      <c r="V950" s="25">
        <f>IF(AND(Q950=1,L950&lt;&gt;""),SUBSTITUTE(SUBSTITUTE(SUBSTITUTE(SUBSTITUTE(SUBSTITUTE(SUBSTITUTE(SUBSTITUTE(SUBSTITUTE(SUBSTITUTE(SUBSTITUTE(SUBSTITUTE(SUBSTITUTE(LOWER(TRIM(L950)),"á","a"),"é","e"),"í","i"),"ó","o"),"ú","u"),"ü","u"),"ñ","n"),"à","a"),"è","e"),"ì","i"),"ò","o"),"ù","u"),"")</f>
        <v/>
      </c>
      <c r="W950" s="25">
        <f>IF(AND(Q950=1,I950&lt;&gt;""),SUBSTITUTE(SUBSTITUTE(SUBSTITUTE(SUBSTITUTE(SUBSTITUTE(SUBSTITUTE(SUBSTITUTE(SUBSTITUTE(SUBSTITUTE(SUBSTITUTE(SUBSTITUTE(SUBSTITUTE(LOWER(TRIM(I950)),"á","a"),"é","e"),"í","i"),"ó","o"),"ú","u"),"ü","u"),"ñ","n"),"à","a"),"è","e"),"ì","i"),"ò","o"),"ù","u"),"")</f>
        <v/>
      </c>
      <c r="X950" s="25">
        <f>IF(U950="","",IF(OR(U950="si, en la proxima tarea",U950="si, con cambios"),1,0))</f>
        <v/>
      </c>
      <c r="Y950" s="25">
        <f>IF(AND(Q950=1,A950&lt;&gt;""),IF(IFERROR(COUNTIFS(A$3:A950,"="&amp;SUBSTITUTE(SUBSTITUTE(SUBSTITUTE(A950,"~","~~"),"*","~*"),"?","~?"),Q$3:Q950,1),0)=1,MAX(Y$2:Y949)+1,""),"")</f>
        <v/>
      </c>
      <c r="Z950" s="25">
        <f>IF(Y950="","",COUNTIFS($A$3:$A$1002,"="&amp;SUBSTITUTE(SUBSTITUTE(SUBSTITUTE(A950,"~","~~"),"*","~*"),"?","~?"),$Q$3:$Q$1002,1)*10000-Y950)</f>
        <v/>
      </c>
    </row>
    <row r="951">
      <c r="A951">
        <f>IF(A$2=0,"",IFERROR(TRIM(INDEX('Pegar docentes'!$A$1:$BZ$1001,950,A$2)&amp;""),""))</f>
        <v/>
      </c>
      <c r="B951">
        <f>IF(B$2=0,"",IFERROR(TRIM(INDEX('Pegar docentes'!$A$1:$BZ$1001,950,B$2)&amp;""),""))</f>
        <v/>
      </c>
      <c r="C951">
        <f>IF(C$2=0,"",IFERROR(TRIM(INDEX('Pegar docentes'!$A$1:$BZ$1001,950,C$2)&amp;""),""))</f>
        <v/>
      </c>
      <c r="D951">
        <f>IF(D$2=0,"",IFERROR(TRIM(INDEX('Pegar docentes'!$A$1:$BZ$1001,950,D$2)&amp;""),""))</f>
        <v/>
      </c>
      <c r="E951">
        <f>IF(E$2=0,"",IFERROR(TRIM(INDEX('Pegar docentes'!$A$1:$BZ$1001,950,E$2)&amp;""),""))</f>
        <v/>
      </c>
      <c r="F951">
        <f>IF(F$2=0,"",IFERROR(TRIM(INDEX('Pegar docentes'!$A$1:$BZ$1001,950,F$2)&amp;""),""))</f>
        <v/>
      </c>
      <c r="G951">
        <f>IF(G$2=0,"",IFERROR(TRIM(INDEX('Pegar docentes'!$A$1:$BZ$1001,950,G$2)&amp;""),""))</f>
        <v/>
      </c>
      <c r="H951">
        <f>IF(H$2=0,"",IFERROR(TRIM(INDEX('Pegar docentes'!$A$1:$BZ$1001,950,H$2)&amp;""),""))</f>
        <v/>
      </c>
      <c r="I951">
        <f>IF(I$2=0,"",IFERROR(TRIM(INDEX('Pegar docentes'!$A$1:$BZ$1001,950,I$2)&amp;""),""))</f>
        <v/>
      </c>
      <c r="J951">
        <f>IF(J$2=0,"",IFERROR(TRIM(INDEX('Pegar docentes'!$A$1:$BZ$1001,950,J$2)&amp;""),""))</f>
        <v/>
      </c>
      <c r="K951">
        <f>IF(K$2=0,"",IFERROR(TRIM(INDEX('Pegar docentes'!$A$1:$BZ$1001,950,K$2)&amp;""),""))</f>
        <v/>
      </c>
      <c r="L951">
        <f>IF(L$2=0,"",IFERROR(TRIM(INDEX('Pegar docentes'!$A$1:$BZ$1001,950,L$2)&amp;""),""))</f>
        <v/>
      </c>
      <c r="M951">
        <f>IF(M$2=0,"",IFERROR(TRIM(INDEX('Pegar docentes'!$A$1:$BZ$1001,950,M$2)&amp;""),""))</f>
        <v/>
      </c>
      <c r="N951">
        <f>IF(N$2=0,"",IFERROR(TRIM(INDEX('Pegar docentes'!$A$1:$BZ$1001,950,N$2)&amp;""),""))</f>
        <v/>
      </c>
      <c r="O951">
        <f>IF(O$2=0,"",IFERROR(TRIM(INDEX('Pegar docentes'!$A$1:$BZ$1001,950,O$2)&amp;""),""))</f>
        <v/>
      </c>
      <c r="P951">
        <f>IF(P$2=0,"",IFERROR(TRIM(INDEX('Pegar docentes'!$A$1:$BZ$1001,950,P$2)&amp;""),""))</f>
        <v/>
      </c>
      <c r="Q951" s="25">
        <f>IF(OR(D951&lt;&gt;"",H951&lt;&gt;""),1,"")</f>
        <v/>
      </c>
      <c r="R951" s="25">
        <f>IF(Q951=1,IF(ISNUMBER(FIND("#"&amp;MID(D951,1,1)&amp;"#","#0#1#2#3#4#5#6#7#8#9#")),IF(ISNUMBER(FIND("#"&amp;MID(D951,2,1)&amp;"#","#0#1#2#3#4#5#6#7#8#9#")),IF(AND(VALUE(LEFT(D951,2))&gt;=1,VALUE(LEFT(D951,2))&lt;=5),VALUE(LEFT(D951,2)),""),IF(AND(VALUE(LEFT(D951,1))&gt;=1,VALUE(LEFT(D951,1))&lt;=5),VALUE(LEFT(D951,1)),"")),""),"")</f>
        <v/>
      </c>
      <c r="S951" s="25">
        <f>IF(AND(Q951=1,E951&lt;&gt;""),SUBSTITUTE(SUBSTITUTE(SUBSTITUTE(SUBSTITUTE(SUBSTITUTE(SUBSTITUTE(SUBSTITUTE(SUBSTITUTE(SUBSTITUTE(SUBSTITUTE(SUBSTITUTE(SUBSTITUTE(LOWER(TRIM(E951)),"á","a"),"é","e"),"í","i"),"ó","o"),"ú","u"),"ü","u"),"ñ","n"),"à","a"),"è","e"),"ì","i"),"ò","o"),"ù","u"),"")</f>
        <v/>
      </c>
      <c r="T951" s="25">
        <f>IF(AND(Q951=1,G951&lt;&gt;""),SUBSTITUTE(SUBSTITUTE(SUBSTITUTE(SUBSTITUTE(SUBSTITUTE(SUBSTITUTE(SUBSTITUTE(SUBSTITUTE(SUBSTITUTE(SUBSTITUTE(SUBSTITUTE(SUBSTITUTE(LOWER(TRIM(G951)),"á","a"),"é","e"),"í","i"),"ó","o"),"ú","u"),"ü","u"),"ñ","n"),"à","a"),"è","e"),"ì","i"),"ò","o"),"ù","u"),"")</f>
        <v/>
      </c>
      <c r="U951" s="25">
        <f>IF(AND(Q951=1,H951&lt;&gt;""),SUBSTITUTE(SUBSTITUTE(SUBSTITUTE(SUBSTITUTE(SUBSTITUTE(SUBSTITUTE(SUBSTITUTE(SUBSTITUTE(SUBSTITUTE(SUBSTITUTE(SUBSTITUTE(SUBSTITUTE(LOWER(TRIM(H951)),"á","a"),"é","e"),"í","i"),"ó","o"),"ú","u"),"ü","u"),"ñ","n"),"à","a"),"è","e"),"ì","i"),"ò","o"),"ù","u"),"")</f>
        <v/>
      </c>
      <c r="V951" s="25">
        <f>IF(AND(Q951=1,L951&lt;&gt;""),SUBSTITUTE(SUBSTITUTE(SUBSTITUTE(SUBSTITUTE(SUBSTITUTE(SUBSTITUTE(SUBSTITUTE(SUBSTITUTE(SUBSTITUTE(SUBSTITUTE(SUBSTITUTE(SUBSTITUTE(LOWER(TRIM(L951)),"á","a"),"é","e"),"í","i"),"ó","o"),"ú","u"),"ü","u"),"ñ","n"),"à","a"),"è","e"),"ì","i"),"ò","o"),"ù","u"),"")</f>
        <v/>
      </c>
      <c r="W951" s="25">
        <f>IF(AND(Q951=1,I951&lt;&gt;""),SUBSTITUTE(SUBSTITUTE(SUBSTITUTE(SUBSTITUTE(SUBSTITUTE(SUBSTITUTE(SUBSTITUTE(SUBSTITUTE(SUBSTITUTE(SUBSTITUTE(SUBSTITUTE(SUBSTITUTE(LOWER(TRIM(I951)),"á","a"),"é","e"),"í","i"),"ó","o"),"ú","u"),"ü","u"),"ñ","n"),"à","a"),"è","e"),"ì","i"),"ò","o"),"ù","u"),"")</f>
        <v/>
      </c>
      <c r="X951" s="25">
        <f>IF(U951="","",IF(OR(U951="si, en la proxima tarea",U951="si, con cambios"),1,0))</f>
        <v/>
      </c>
      <c r="Y951" s="25">
        <f>IF(AND(Q951=1,A951&lt;&gt;""),IF(IFERROR(COUNTIFS(A$3:A951,"="&amp;SUBSTITUTE(SUBSTITUTE(SUBSTITUTE(A951,"~","~~"),"*","~*"),"?","~?"),Q$3:Q951,1),0)=1,MAX(Y$2:Y950)+1,""),"")</f>
        <v/>
      </c>
      <c r="Z951" s="25">
        <f>IF(Y951="","",COUNTIFS($A$3:$A$1002,"="&amp;SUBSTITUTE(SUBSTITUTE(SUBSTITUTE(A951,"~","~~"),"*","~*"),"?","~?"),$Q$3:$Q$1002,1)*10000-Y951)</f>
        <v/>
      </c>
    </row>
    <row r="952">
      <c r="A952">
        <f>IF(A$2=0,"",IFERROR(TRIM(INDEX('Pegar docentes'!$A$1:$BZ$1001,951,A$2)&amp;""),""))</f>
        <v/>
      </c>
      <c r="B952">
        <f>IF(B$2=0,"",IFERROR(TRIM(INDEX('Pegar docentes'!$A$1:$BZ$1001,951,B$2)&amp;""),""))</f>
        <v/>
      </c>
      <c r="C952">
        <f>IF(C$2=0,"",IFERROR(TRIM(INDEX('Pegar docentes'!$A$1:$BZ$1001,951,C$2)&amp;""),""))</f>
        <v/>
      </c>
      <c r="D952">
        <f>IF(D$2=0,"",IFERROR(TRIM(INDEX('Pegar docentes'!$A$1:$BZ$1001,951,D$2)&amp;""),""))</f>
        <v/>
      </c>
      <c r="E952">
        <f>IF(E$2=0,"",IFERROR(TRIM(INDEX('Pegar docentes'!$A$1:$BZ$1001,951,E$2)&amp;""),""))</f>
        <v/>
      </c>
      <c r="F952">
        <f>IF(F$2=0,"",IFERROR(TRIM(INDEX('Pegar docentes'!$A$1:$BZ$1001,951,F$2)&amp;""),""))</f>
        <v/>
      </c>
      <c r="G952">
        <f>IF(G$2=0,"",IFERROR(TRIM(INDEX('Pegar docentes'!$A$1:$BZ$1001,951,G$2)&amp;""),""))</f>
        <v/>
      </c>
      <c r="H952">
        <f>IF(H$2=0,"",IFERROR(TRIM(INDEX('Pegar docentes'!$A$1:$BZ$1001,951,H$2)&amp;""),""))</f>
        <v/>
      </c>
      <c r="I952">
        <f>IF(I$2=0,"",IFERROR(TRIM(INDEX('Pegar docentes'!$A$1:$BZ$1001,951,I$2)&amp;""),""))</f>
        <v/>
      </c>
      <c r="J952">
        <f>IF(J$2=0,"",IFERROR(TRIM(INDEX('Pegar docentes'!$A$1:$BZ$1001,951,J$2)&amp;""),""))</f>
        <v/>
      </c>
      <c r="K952">
        <f>IF(K$2=0,"",IFERROR(TRIM(INDEX('Pegar docentes'!$A$1:$BZ$1001,951,K$2)&amp;""),""))</f>
        <v/>
      </c>
      <c r="L952">
        <f>IF(L$2=0,"",IFERROR(TRIM(INDEX('Pegar docentes'!$A$1:$BZ$1001,951,L$2)&amp;""),""))</f>
        <v/>
      </c>
      <c r="M952">
        <f>IF(M$2=0,"",IFERROR(TRIM(INDEX('Pegar docentes'!$A$1:$BZ$1001,951,M$2)&amp;""),""))</f>
        <v/>
      </c>
      <c r="N952">
        <f>IF(N$2=0,"",IFERROR(TRIM(INDEX('Pegar docentes'!$A$1:$BZ$1001,951,N$2)&amp;""),""))</f>
        <v/>
      </c>
      <c r="O952">
        <f>IF(O$2=0,"",IFERROR(TRIM(INDEX('Pegar docentes'!$A$1:$BZ$1001,951,O$2)&amp;""),""))</f>
        <v/>
      </c>
      <c r="P952">
        <f>IF(P$2=0,"",IFERROR(TRIM(INDEX('Pegar docentes'!$A$1:$BZ$1001,951,P$2)&amp;""),""))</f>
        <v/>
      </c>
      <c r="Q952" s="25">
        <f>IF(OR(D952&lt;&gt;"",H952&lt;&gt;""),1,"")</f>
        <v/>
      </c>
      <c r="R952" s="25">
        <f>IF(Q952=1,IF(ISNUMBER(FIND("#"&amp;MID(D952,1,1)&amp;"#","#0#1#2#3#4#5#6#7#8#9#")),IF(ISNUMBER(FIND("#"&amp;MID(D952,2,1)&amp;"#","#0#1#2#3#4#5#6#7#8#9#")),IF(AND(VALUE(LEFT(D952,2))&gt;=1,VALUE(LEFT(D952,2))&lt;=5),VALUE(LEFT(D952,2)),""),IF(AND(VALUE(LEFT(D952,1))&gt;=1,VALUE(LEFT(D952,1))&lt;=5),VALUE(LEFT(D952,1)),"")),""),"")</f>
        <v/>
      </c>
      <c r="S952" s="25">
        <f>IF(AND(Q952=1,E952&lt;&gt;""),SUBSTITUTE(SUBSTITUTE(SUBSTITUTE(SUBSTITUTE(SUBSTITUTE(SUBSTITUTE(SUBSTITUTE(SUBSTITUTE(SUBSTITUTE(SUBSTITUTE(SUBSTITUTE(SUBSTITUTE(LOWER(TRIM(E952)),"á","a"),"é","e"),"í","i"),"ó","o"),"ú","u"),"ü","u"),"ñ","n"),"à","a"),"è","e"),"ì","i"),"ò","o"),"ù","u"),"")</f>
        <v/>
      </c>
      <c r="T952" s="25">
        <f>IF(AND(Q952=1,G952&lt;&gt;""),SUBSTITUTE(SUBSTITUTE(SUBSTITUTE(SUBSTITUTE(SUBSTITUTE(SUBSTITUTE(SUBSTITUTE(SUBSTITUTE(SUBSTITUTE(SUBSTITUTE(SUBSTITUTE(SUBSTITUTE(LOWER(TRIM(G952)),"á","a"),"é","e"),"í","i"),"ó","o"),"ú","u"),"ü","u"),"ñ","n"),"à","a"),"è","e"),"ì","i"),"ò","o"),"ù","u"),"")</f>
        <v/>
      </c>
      <c r="U952" s="25">
        <f>IF(AND(Q952=1,H952&lt;&gt;""),SUBSTITUTE(SUBSTITUTE(SUBSTITUTE(SUBSTITUTE(SUBSTITUTE(SUBSTITUTE(SUBSTITUTE(SUBSTITUTE(SUBSTITUTE(SUBSTITUTE(SUBSTITUTE(SUBSTITUTE(LOWER(TRIM(H952)),"á","a"),"é","e"),"í","i"),"ó","o"),"ú","u"),"ü","u"),"ñ","n"),"à","a"),"è","e"),"ì","i"),"ò","o"),"ù","u"),"")</f>
        <v/>
      </c>
      <c r="V952" s="25">
        <f>IF(AND(Q952=1,L952&lt;&gt;""),SUBSTITUTE(SUBSTITUTE(SUBSTITUTE(SUBSTITUTE(SUBSTITUTE(SUBSTITUTE(SUBSTITUTE(SUBSTITUTE(SUBSTITUTE(SUBSTITUTE(SUBSTITUTE(SUBSTITUTE(LOWER(TRIM(L952)),"á","a"),"é","e"),"í","i"),"ó","o"),"ú","u"),"ü","u"),"ñ","n"),"à","a"),"è","e"),"ì","i"),"ò","o"),"ù","u"),"")</f>
        <v/>
      </c>
      <c r="W952" s="25">
        <f>IF(AND(Q952=1,I952&lt;&gt;""),SUBSTITUTE(SUBSTITUTE(SUBSTITUTE(SUBSTITUTE(SUBSTITUTE(SUBSTITUTE(SUBSTITUTE(SUBSTITUTE(SUBSTITUTE(SUBSTITUTE(SUBSTITUTE(SUBSTITUTE(LOWER(TRIM(I952)),"á","a"),"é","e"),"í","i"),"ó","o"),"ú","u"),"ü","u"),"ñ","n"),"à","a"),"è","e"),"ì","i"),"ò","o"),"ù","u"),"")</f>
        <v/>
      </c>
      <c r="X952" s="25">
        <f>IF(U952="","",IF(OR(U952="si, en la proxima tarea",U952="si, con cambios"),1,0))</f>
        <v/>
      </c>
      <c r="Y952" s="25">
        <f>IF(AND(Q952=1,A952&lt;&gt;""),IF(IFERROR(COUNTIFS(A$3:A952,"="&amp;SUBSTITUTE(SUBSTITUTE(SUBSTITUTE(A952,"~","~~"),"*","~*"),"?","~?"),Q$3:Q952,1),0)=1,MAX(Y$2:Y951)+1,""),"")</f>
        <v/>
      </c>
      <c r="Z952" s="25">
        <f>IF(Y952="","",COUNTIFS($A$3:$A$1002,"="&amp;SUBSTITUTE(SUBSTITUTE(SUBSTITUTE(A952,"~","~~"),"*","~*"),"?","~?"),$Q$3:$Q$1002,1)*10000-Y952)</f>
        <v/>
      </c>
    </row>
    <row r="953">
      <c r="A953">
        <f>IF(A$2=0,"",IFERROR(TRIM(INDEX('Pegar docentes'!$A$1:$BZ$1001,952,A$2)&amp;""),""))</f>
        <v/>
      </c>
      <c r="B953">
        <f>IF(B$2=0,"",IFERROR(TRIM(INDEX('Pegar docentes'!$A$1:$BZ$1001,952,B$2)&amp;""),""))</f>
        <v/>
      </c>
      <c r="C953">
        <f>IF(C$2=0,"",IFERROR(TRIM(INDEX('Pegar docentes'!$A$1:$BZ$1001,952,C$2)&amp;""),""))</f>
        <v/>
      </c>
      <c r="D953">
        <f>IF(D$2=0,"",IFERROR(TRIM(INDEX('Pegar docentes'!$A$1:$BZ$1001,952,D$2)&amp;""),""))</f>
        <v/>
      </c>
      <c r="E953">
        <f>IF(E$2=0,"",IFERROR(TRIM(INDEX('Pegar docentes'!$A$1:$BZ$1001,952,E$2)&amp;""),""))</f>
        <v/>
      </c>
      <c r="F953">
        <f>IF(F$2=0,"",IFERROR(TRIM(INDEX('Pegar docentes'!$A$1:$BZ$1001,952,F$2)&amp;""),""))</f>
        <v/>
      </c>
      <c r="G953">
        <f>IF(G$2=0,"",IFERROR(TRIM(INDEX('Pegar docentes'!$A$1:$BZ$1001,952,G$2)&amp;""),""))</f>
        <v/>
      </c>
      <c r="H953">
        <f>IF(H$2=0,"",IFERROR(TRIM(INDEX('Pegar docentes'!$A$1:$BZ$1001,952,H$2)&amp;""),""))</f>
        <v/>
      </c>
      <c r="I953">
        <f>IF(I$2=0,"",IFERROR(TRIM(INDEX('Pegar docentes'!$A$1:$BZ$1001,952,I$2)&amp;""),""))</f>
        <v/>
      </c>
      <c r="J953">
        <f>IF(J$2=0,"",IFERROR(TRIM(INDEX('Pegar docentes'!$A$1:$BZ$1001,952,J$2)&amp;""),""))</f>
        <v/>
      </c>
      <c r="K953">
        <f>IF(K$2=0,"",IFERROR(TRIM(INDEX('Pegar docentes'!$A$1:$BZ$1001,952,K$2)&amp;""),""))</f>
        <v/>
      </c>
      <c r="L953">
        <f>IF(L$2=0,"",IFERROR(TRIM(INDEX('Pegar docentes'!$A$1:$BZ$1001,952,L$2)&amp;""),""))</f>
        <v/>
      </c>
      <c r="M953">
        <f>IF(M$2=0,"",IFERROR(TRIM(INDEX('Pegar docentes'!$A$1:$BZ$1001,952,M$2)&amp;""),""))</f>
        <v/>
      </c>
      <c r="N953">
        <f>IF(N$2=0,"",IFERROR(TRIM(INDEX('Pegar docentes'!$A$1:$BZ$1001,952,N$2)&amp;""),""))</f>
        <v/>
      </c>
      <c r="O953">
        <f>IF(O$2=0,"",IFERROR(TRIM(INDEX('Pegar docentes'!$A$1:$BZ$1001,952,O$2)&amp;""),""))</f>
        <v/>
      </c>
      <c r="P953">
        <f>IF(P$2=0,"",IFERROR(TRIM(INDEX('Pegar docentes'!$A$1:$BZ$1001,952,P$2)&amp;""),""))</f>
        <v/>
      </c>
      <c r="Q953" s="25">
        <f>IF(OR(D953&lt;&gt;"",H953&lt;&gt;""),1,"")</f>
        <v/>
      </c>
      <c r="R953" s="25">
        <f>IF(Q953=1,IF(ISNUMBER(FIND("#"&amp;MID(D953,1,1)&amp;"#","#0#1#2#3#4#5#6#7#8#9#")),IF(ISNUMBER(FIND("#"&amp;MID(D953,2,1)&amp;"#","#0#1#2#3#4#5#6#7#8#9#")),IF(AND(VALUE(LEFT(D953,2))&gt;=1,VALUE(LEFT(D953,2))&lt;=5),VALUE(LEFT(D953,2)),""),IF(AND(VALUE(LEFT(D953,1))&gt;=1,VALUE(LEFT(D953,1))&lt;=5),VALUE(LEFT(D953,1)),"")),""),"")</f>
        <v/>
      </c>
      <c r="S953" s="25">
        <f>IF(AND(Q953=1,E953&lt;&gt;""),SUBSTITUTE(SUBSTITUTE(SUBSTITUTE(SUBSTITUTE(SUBSTITUTE(SUBSTITUTE(SUBSTITUTE(SUBSTITUTE(SUBSTITUTE(SUBSTITUTE(SUBSTITUTE(SUBSTITUTE(LOWER(TRIM(E953)),"á","a"),"é","e"),"í","i"),"ó","o"),"ú","u"),"ü","u"),"ñ","n"),"à","a"),"è","e"),"ì","i"),"ò","o"),"ù","u"),"")</f>
        <v/>
      </c>
      <c r="T953" s="25">
        <f>IF(AND(Q953=1,G953&lt;&gt;""),SUBSTITUTE(SUBSTITUTE(SUBSTITUTE(SUBSTITUTE(SUBSTITUTE(SUBSTITUTE(SUBSTITUTE(SUBSTITUTE(SUBSTITUTE(SUBSTITUTE(SUBSTITUTE(SUBSTITUTE(LOWER(TRIM(G953)),"á","a"),"é","e"),"í","i"),"ó","o"),"ú","u"),"ü","u"),"ñ","n"),"à","a"),"è","e"),"ì","i"),"ò","o"),"ù","u"),"")</f>
        <v/>
      </c>
      <c r="U953" s="25">
        <f>IF(AND(Q953=1,H953&lt;&gt;""),SUBSTITUTE(SUBSTITUTE(SUBSTITUTE(SUBSTITUTE(SUBSTITUTE(SUBSTITUTE(SUBSTITUTE(SUBSTITUTE(SUBSTITUTE(SUBSTITUTE(SUBSTITUTE(SUBSTITUTE(LOWER(TRIM(H953)),"á","a"),"é","e"),"í","i"),"ó","o"),"ú","u"),"ü","u"),"ñ","n"),"à","a"),"è","e"),"ì","i"),"ò","o"),"ù","u"),"")</f>
        <v/>
      </c>
      <c r="V953" s="25">
        <f>IF(AND(Q953=1,L953&lt;&gt;""),SUBSTITUTE(SUBSTITUTE(SUBSTITUTE(SUBSTITUTE(SUBSTITUTE(SUBSTITUTE(SUBSTITUTE(SUBSTITUTE(SUBSTITUTE(SUBSTITUTE(SUBSTITUTE(SUBSTITUTE(LOWER(TRIM(L953)),"á","a"),"é","e"),"í","i"),"ó","o"),"ú","u"),"ü","u"),"ñ","n"),"à","a"),"è","e"),"ì","i"),"ò","o"),"ù","u"),"")</f>
        <v/>
      </c>
      <c r="W953" s="25">
        <f>IF(AND(Q953=1,I953&lt;&gt;""),SUBSTITUTE(SUBSTITUTE(SUBSTITUTE(SUBSTITUTE(SUBSTITUTE(SUBSTITUTE(SUBSTITUTE(SUBSTITUTE(SUBSTITUTE(SUBSTITUTE(SUBSTITUTE(SUBSTITUTE(LOWER(TRIM(I953)),"á","a"),"é","e"),"í","i"),"ó","o"),"ú","u"),"ü","u"),"ñ","n"),"à","a"),"è","e"),"ì","i"),"ò","o"),"ù","u"),"")</f>
        <v/>
      </c>
      <c r="X953" s="25">
        <f>IF(U953="","",IF(OR(U953="si, en la proxima tarea",U953="si, con cambios"),1,0))</f>
        <v/>
      </c>
      <c r="Y953" s="25">
        <f>IF(AND(Q953=1,A953&lt;&gt;""),IF(IFERROR(COUNTIFS(A$3:A953,"="&amp;SUBSTITUTE(SUBSTITUTE(SUBSTITUTE(A953,"~","~~"),"*","~*"),"?","~?"),Q$3:Q953,1),0)=1,MAX(Y$2:Y952)+1,""),"")</f>
        <v/>
      </c>
      <c r="Z953" s="25">
        <f>IF(Y953="","",COUNTIFS($A$3:$A$1002,"="&amp;SUBSTITUTE(SUBSTITUTE(SUBSTITUTE(A953,"~","~~"),"*","~*"),"?","~?"),$Q$3:$Q$1002,1)*10000-Y953)</f>
        <v/>
      </c>
    </row>
    <row r="954">
      <c r="A954">
        <f>IF(A$2=0,"",IFERROR(TRIM(INDEX('Pegar docentes'!$A$1:$BZ$1001,953,A$2)&amp;""),""))</f>
        <v/>
      </c>
      <c r="B954">
        <f>IF(B$2=0,"",IFERROR(TRIM(INDEX('Pegar docentes'!$A$1:$BZ$1001,953,B$2)&amp;""),""))</f>
        <v/>
      </c>
      <c r="C954">
        <f>IF(C$2=0,"",IFERROR(TRIM(INDEX('Pegar docentes'!$A$1:$BZ$1001,953,C$2)&amp;""),""))</f>
        <v/>
      </c>
      <c r="D954">
        <f>IF(D$2=0,"",IFERROR(TRIM(INDEX('Pegar docentes'!$A$1:$BZ$1001,953,D$2)&amp;""),""))</f>
        <v/>
      </c>
      <c r="E954">
        <f>IF(E$2=0,"",IFERROR(TRIM(INDEX('Pegar docentes'!$A$1:$BZ$1001,953,E$2)&amp;""),""))</f>
        <v/>
      </c>
      <c r="F954">
        <f>IF(F$2=0,"",IFERROR(TRIM(INDEX('Pegar docentes'!$A$1:$BZ$1001,953,F$2)&amp;""),""))</f>
        <v/>
      </c>
      <c r="G954">
        <f>IF(G$2=0,"",IFERROR(TRIM(INDEX('Pegar docentes'!$A$1:$BZ$1001,953,G$2)&amp;""),""))</f>
        <v/>
      </c>
      <c r="H954">
        <f>IF(H$2=0,"",IFERROR(TRIM(INDEX('Pegar docentes'!$A$1:$BZ$1001,953,H$2)&amp;""),""))</f>
        <v/>
      </c>
      <c r="I954">
        <f>IF(I$2=0,"",IFERROR(TRIM(INDEX('Pegar docentes'!$A$1:$BZ$1001,953,I$2)&amp;""),""))</f>
        <v/>
      </c>
      <c r="J954">
        <f>IF(J$2=0,"",IFERROR(TRIM(INDEX('Pegar docentes'!$A$1:$BZ$1001,953,J$2)&amp;""),""))</f>
        <v/>
      </c>
      <c r="K954">
        <f>IF(K$2=0,"",IFERROR(TRIM(INDEX('Pegar docentes'!$A$1:$BZ$1001,953,K$2)&amp;""),""))</f>
        <v/>
      </c>
      <c r="L954">
        <f>IF(L$2=0,"",IFERROR(TRIM(INDEX('Pegar docentes'!$A$1:$BZ$1001,953,L$2)&amp;""),""))</f>
        <v/>
      </c>
      <c r="M954">
        <f>IF(M$2=0,"",IFERROR(TRIM(INDEX('Pegar docentes'!$A$1:$BZ$1001,953,M$2)&amp;""),""))</f>
        <v/>
      </c>
      <c r="N954">
        <f>IF(N$2=0,"",IFERROR(TRIM(INDEX('Pegar docentes'!$A$1:$BZ$1001,953,N$2)&amp;""),""))</f>
        <v/>
      </c>
      <c r="O954">
        <f>IF(O$2=0,"",IFERROR(TRIM(INDEX('Pegar docentes'!$A$1:$BZ$1001,953,O$2)&amp;""),""))</f>
        <v/>
      </c>
      <c r="P954">
        <f>IF(P$2=0,"",IFERROR(TRIM(INDEX('Pegar docentes'!$A$1:$BZ$1001,953,P$2)&amp;""),""))</f>
        <v/>
      </c>
      <c r="Q954" s="25">
        <f>IF(OR(D954&lt;&gt;"",H954&lt;&gt;""),1,"")</f>
        <v/>
      </c>
      <c r="R954" s="25">
        <f>IF(Q954=1,IF(ISNUMBER(FIND("#"&amp;MID(D954,1,1)&amp;"#","#0#1#2#3#4#5#6#7#8#9#")),IF(ISNUMBER(FIND("#"&amp;MID(D954,2,1)&amp;"#","#0#1#2#3#4#5#6#7#8#9#")),IF(AND(VALUE(LEFT(D954,2))&gt;=1,VALUE(LEFT(D954,2))&lt;=5),VALUE(LEFT(D954,2)),""),IF(AND(VALUE(LEFT(D954,1))&gt;=1,VALUE(LEFT(D954,1))&lt;=5),VALUE(LEFT(D954,1)),"")),""),"")</f>
        <v/>
      </c>
      <c r="S954" s="25">
        <f>IF(AND(Q954=1,E954&lt;&gt;""),SUBSTITUTE(SUBSTITUTE(SUBSTITUTE(SUBSTITUTE(SUBSTITUTE(SUBSTITUTE(SUBSTITUTE(SUBSTITUTE(SUBSTITUTE(SUBSTITUTE(SUBSTITUTE(SUBSTITUTE(LOWER(TRIM(E954)),"á","a"),"é","e"),"í","i"),"ó","o"),"ú","u"),"ü","u"),"ñ","n"),"à","a"),"è","e"),"ì","i"),"ò","o"),"ù","u"),"")</f>
        <v/>
      </c>
      <c r="T954" s="25">
        <f>IF(AND(Q954=1,G954&lt;&gt;""),SUBSTITUTE(SUBSTITUTE(SUBSTITUTE(SUBSTITUTE(SUBSTITUTE(SUBSTITUTE(SUBSTITUTE(SUBSTITUTE(SUBSTITUTE(SUBSTITUTE(SUBSTITUTE(SUBSTITUTE(LOWER(TRIM(G954)),"á","a"),"é","e"),"í","i"),"ó","o"),"ú","u"),"ü","u"),"ñ","n"),"à","a"),"è","e"),"ì","i"),"ò","o"),"ù","u"),"")</f>
        <v/>
      </c>
      <c r="U954" s="25">
        <f>IF(AND(Q954=1,H954&lt;&gt;""),SUBSTITUTE(SUBSTITUTE(SUBSTITUTE(SUBSTITUTE(SUBSTITUTE(SUBSTITUTE(SUBSTITUTE(SUBSTITUTE(SUBSTITUTE(SUBSTITUTE(SUBSTITUTE(SUBSTITUTE(LOWER(TRIM(H954)),"á","a"),"é","e"),"í","i"),"ó","o"),"ú","u"),"ü","u"),"ñ","n"),"à","a"),"è","e"),"ì","i"),"ò","o"),"ù","u"),"")</f>
        <v/>
      </c>
      <c r="V954" s="25">
        <f>IF(AND(Q954=1,L954&lt;&gt;""),SUBSTITUTE(SUBSTITUTE(SUBSTITUTE(SUBSTITUTE(SUBSTITUTE(SUBSTITUTE(SUBSTITUTE(SUBSTITUTE(SUBSTITUTE(SUBSTITUTE(SUBSTITUTE(SUBSTITUTE(LOWER(TRIM(L954)),"á","a"),"é","e"),"í","i"),"ó","o"),"ú","u"),"ü","u"),"ñ","n"),"à","a"),"è","e"),"ì","i"),"ò","o"),"ù","u"),"")</f>
        <v/>
      </c>
      <c r="W954" s="25">
        <f>IF(AND(Q954=1,I954&lt;&gt;""),SUBSTITUTE(SUBSTITUTE(SUBSTITUTE(SUBSTITUTE(SUBSTITUTE(SUBSTITUTE(SUBSTITUTE(SUBSTITUTE(SUBSTITUTE(SUBSTITUTE(SUBSTITUTE(SUBSTITUTE(LOWER(TRIM(I954)),"á","a"),"é","e"),"í","i"),"ó","o"),"ú","u"),"ü","u"),"ñ","n"),"à","a"),"è","e"),"ì","i"),"ò","o"),"ù","u"),"")</f>
        <v/>
      </c>
      <c r="X954" s="25">
        <f>IF(U954="","",IF(OR(U954="si, en la proxima tarea",U954="si, con cambios"),1,0))</f>
        <v/>
      </c>
      <c r="Y954" s="25">
        <f>IF(AND(Q954=1,A954&lt;&gt;""),IF(IFERROR(COUNTIFS(A$3:A954,"="&amp;SUBSTITUTE(SUBSTITUTE(SUBSTITUTE(A954,"~","~~"),"*","~*"),"?","~?"),Q$3:Q954,1),0)=1,MAX(Y$2:Y953)+1,""),"")</f>
        <v/>
      </c>
      <c r="Z954" s="25">
        <f>IF(Y954="","",COUNTIFS($A$3:$A$1002,"="&amp;SUBSTITUTE(SUBSTITUTE(SUBSTITUTE(A954,"~","~~"),"*","~*"),"?","~?"),$Q$3:$Q$1002,1)*10000-Y954)</f>
        <v/>
      </c>
    </row>
    <row r="955">
      <c r="A955">
        <f>IF(A$2=0,"",IFERROR(TRIM(INDEX('Pegar docentes'!$A$1:$BZ$1001,954,A$2)&amp;""),""))</f>
        <v/>
      </c>
      <c r="B955">
        <f>IF(B$2=0,"",IFERROR(TRIM(INDEX('Pegar docentes'!$A$1:$BZ$1001,954,B$2)&amp;""),""))</f>
        <v/>
      </c>
      <c r="C955">
        <f>IF(C$2=0,"",IFERROR(TRIM(INDEX('Pegar docentes'!$A$1:$BZ$1001,954,C$2)&amp;""),""))</f>
        <v/>
      </c>
      <c r="D955">
        <f>IF(D$2=0,"",IFERROR(TRIM(INDEX('Pegar docentes'!$A$1:$BZ$1001,954,D$2)&amp;""),""))</f>
        <v/>
      </c>
      <c r="E955">
        <f>IF(E$2=0,"",IFERROR(TRIM(INDEX('Pegar docentes'!$A$1:$BZ$1001,954,E$2)&amp;""),""))</f>
        <v/>
      </c>
      <c r="F955">
        <f>IF(F$2=0,"",IFERROR(TRIM(INDEX('Pegar docentes'!$A$1:$BZ$1001,954,F$2)&amp;""),""))</f>
        <v/>
      </c>
      <c r="G955">
        <f>IF(G$2=0,"",IFERROR(TRIM(INDEX('Pegar docentes'!$A$1:$BZ$1001,954,G$2)&amp;""),""))</f>
        <v/>
      </c>
      <c r="H955">
        <f>IF(H$2=0,"",IFERROR(TRIM(INDEX('Pegar docentes'!$A$1:$BZ$1001,954,H$2)&amp;""),""))</f>
        <v/>
      </c>
      <c r="I955">
        <f>IF(I$2=0,"",IFERROR(TRIM(INDEX('Pegar docentes'!$A$1:$BZ$1001,954,I$2)&amp;""),""))</f>
        <v/>
      </c>
      <c r="J955">
        <f>IF(J$2=0,"",IFERROR(TRIM(INDEX('Pegar docentes'!$A$1:$BZ$1001,954,J$2)&amp;""),""))</f>
        <v/>
      </c>
      <c r="K955">
        <f>IF(K$2=0,"",IFERROR(TRIM(INDEX('Pegar docentes'!$A$1:$BZ$1001,954,K$2)&amp;""),""))</f>
        <v/>
      </c>
      <c r="L955">
        <f>IF(L$2=0,"",IFERROR(TRIM(INDEX('Pegar docentes'!$A$1:$BZ$1001,954,L$2)&amp;""),""))</f>
        <v/>
      </c>
      <c r="M955">
        <f>IF(M$2=0,"",IFERROR(TRIM(INDEX('Pegar docentes'!$A$1:$BZ$1001,954,M$2)&amp;""),""))</f>
        <v/>
      </c>
      <c r="N955">
        <f>IF(N$2=0,"",IFERROR(TRIM(INDEX('Pegar docentes'!$A$1:$BZ$1001,954,N$2)&amp;""),""))</f>
        <v/>
      </c>
      <c r="O955">
        <f>IF(O$2=0,"",IFERROR(TRIM(INDEX('Pegar docentes'!$A$1:$BZ$1001,954,O$2)&amp;""),""))</f>
        <v/>
      </c>
      <c r="P955">
        <f>IF(P$2=0,"",IFERROR(TRIM(INDEX('Pegar docentes'!$A$1:$BZ$1001,954,P$2)&amp;""),""))</f>
        <v/>
      </c>
      <c r="Q955" s="25">
        <f>IF(OR(D955&lt;&gt;"",H955&lt;&gt;""),1,"")</f>
        <v/>
      </c>
      <c r="R955" s="25">
        <f>IF(Q955=1,IF(ISNUMBER(FIND("#"&amp;MID(D955,1,1)&amp;"#","#0#1#2#3#4#5#6#7#8#9#")),IF(ISNUMBER(FIND("#"&amp;MID(D955,2,1)&amp;"#","#0#1#2#3#4#5#6#7#8#9#")),IF(AND(VALUE(LEFT(D955,2))&gt;=1,VALUE(LEFT(D955,2))&lt;=5),VALUE(LEFT(D955,2)),""),IF(AND(VALUE(LEFT(D955,1))&gt;=1,VALUE(LEFT(D955,1))&lt;=5),VALUE(LEFT(D955,1)),"")),""),"")</f>
        <v/>
      </c>
      <c r="S955" s="25">
        <f>IF(AND(Q955=1,E955&lt;&gt;""),SUBSTITUTE(SUBSTITUTE(SUBSTITUTE(SUBSTITUTE(SUBSTITUTE(SUBSTITUTE(SUBSTITUTE(SUBSTITUTE(SUBSTITUTE(SUBSTITUTE(SUBSTITUTE(SUBSTITUTE(LOWER(TRIM(E955)),"á","a"),"é","e"),"í","i"),"ó","o"),"ú","u"),"ü","u"),"ñ","n"),"à","a"),"è","e"),"ì","i"),"ò","o"),"ù","u"),"")</f>
        <v/>
      </c>
      <c r="T955" s="25">
        <f>IF(AND(Q955=1,G955&lt;&gt;""),SUBSTITUTE(SUBSTITUTE(SUBSTITUTE(SUBSTITUTE(SUBSTITUTE(SUBSTITUTE(SUBSTITUTE(SUBSTITUTE(SUBSTITUTE(SUBSTITUTE(SUBSTITUTE(SUBSTITUTE(LOWER(TRIM(G955)),"á","a"),"é","e"),"í","i"),"ó","o"),"ú","u"),"ü","u"),"ñ","n"),"à","a"),"è","e"),"ì","i"),"ò","o"),"ù","u"),"")</f>
        <v/>
      </c>
      <c r="U955" s="25">
        <f>IF(AND(Q955=1,H955&lt;&gt;""),SUBSTITUTE(SUBSTITUTE(SUBSTITUTE(SUBSTITUTE(SUBSTITUTE(SUBSTITUTE(SUBSTITUTE(SUBSTITUTE(SUBSTITUTE(SUBSTITUTE(SUBSTITUTE(SUBSTITUTE(LOWER(TRIM(H955)),"á","a"),"é","e"),"í","i"),"ó","o"),"ú","u"),"ü","u"),"ñ","n"),"à","a"),"è","e"),"ì","i"),"ò","o"),"ù","u"),"")</f>
        <v/>
      </c>
      <c r="V955" s="25">
        <f>IF(AND(Q955=1,L955&lt;&gt;""),SUBSTITUTE(SUBSTITUTE(SUBSTITUTE(SUBSTITUTE(SUBSTITUTE(SUBSTITUTE(SUBSTITUTE(SUBSTITUTE(SUBSTITUTE(SUBSTITUTE(SUBSTITUTE(SUBSTITUTE(LOWER(TRIM(L955)),"á","a"),"é","e"),"í","i"),"ó","o"),"ú","u"),"ü","u"),"ñ","n"),"à","a"),"è","e"),"ì","i"),"ò","o"),"ù","u"),"")</f>
        <v/>
      </c>
      <c r="W955" s="25">
        <f>IF(AND(Q955=1,I955&lt;&gt;""),SUBSTITUTE(SUBSTITUTE(SUBSTITUTE(SUBSTITUTE(SUBSTITUTE(SUBSTITUTE(SUBSTITUTE(SUBSTITUTE(SUBSTITUTE(SUBSTITUTE(SUBSTITUTE(SUBSTITUTE(LOWER(TRIM(I955)),"á","a"),"é","e"),"í","i"),"ó","o"),"ú","u"),"ü","u"),"ñ","n"),"à","a"),"è","e"),"ì","i"),"ò","o"),"ù","u"),"")</f>
        <v/>
      </c>
      <c r="X955" s="25">
        <f>IF(U955="","",IF(OR(U955="si, en la proxima tarea",U955="si, con cambios"),1,0))</f>
        <v/>
      </c>
      <c r="Y955" s="25">
        <f>IF(AND(Q955=1,A955&lt;&gt;""),IF(IFERROR(COUNTIFS(A$3:A955,"="&amp;SUBSTITUTE(SUBSTITUTE(SUBSTITUTE(A955,"~","~~"),"*","~*"),"?","~?"),Q$3:Q955,1),0)=1,MAX(Y$2:Y954)+1,""),"")</f>
        <v/>
      </c>
      <c r="Z955" s="25">
        <f>IF(Y955="","",COUNTIFS($A$3:$A$1002,"="&amp;SUBSTITUTE(SUBSTITUTE(SUBSTITUTE(A955,"~","~~"),"*","~*"),"?","~?"),$Q$3:$Q$1002,1)*10000-Y955)</f>
        <v/>
      </c>
    </row>
    <row r="956">
      <c r="A956">
        <f>IF(A$2=0,"",IFERROR(TRIM(INDEX('Pegar docentes'!$A$1:$BZ$1001,955,A$2)&amp;""),""))</f>
        <v/>
      </c>
      <c r="B956">
        <f>IF(B$2=0,"",IFERROR(TRIM(INDEX('Pegar docentes'!$A$1:$BZ$1001,955,B$2)&amp;""),""))</f>
        <v/>
      </c>
      <c r="C956">
        <f>IF(C$2=0,"",IFERROR(TRIM(INDEX('Pegar docentes'!$A$1:$BZ$1001,955,C$2)&amp;""),""))</f>
        <v/>
      </c>
      <c r="D956">
        <f>IF(D$2=0,"",IFERROR(TRIM(INDEX('Pegar docentes'!$A$1:$BZ$1001,955,D$2)&amp;""),""))</f>
        <v/>
      </c>
      <c r="E956">
        <f>IF(E$2=0,"",IFERROR(TRIM(INDEX('Pegar docentes'!$A$1:$BZ$1001,955,E$2)&amp;""),""))</f>
        <v/>
      </c>
      <c r="F956">
        <f>IF(F$2=0,"",IFERROR(TRIM(INDEX('Pegar docentes'!$A$1:$BZ$1001,955,F$2)&amp;""),""))</f>
        <v/>
      </c>
      <c r="G956">
        <f>IF(G$2=0,"",IFERROR(TRIM(INDEX('Pegar docentes'!$A$1:$BZ$1001,955,G$2)&amp;""),""))</f>
        <v/>
      </c>
      <c r="H956">
        <f>IF(H$2=0,"",IFERROR(TRIM(INDEX('Pegar docentes'!$A$1:$BZ$1001,955,H$2)&amp;""),""))</f>
        <v/>
      </c>
      <c r="I956">
        <f>IF(I$2=0,"",IFERROR(TRIM(INDEX('Pegar docentes'!$A$1:$BZ$1001,955,I$2)&amp;""),""))</f>
        <v/>
      </c>
      <c r="J956">
        <f>IF(J$2=0,"",IFERROR(TRIM(INDEX('Pegar docentes'!$A$1:$BZ$1001,955,J$2)&amp;""),""))</f>
        <v/>
      </c>
      <c r="K956">
        <f>IF(K$2=0,"",IFERROR(TRIM(INDEX('Pegar docentes'!$A$1:$BZ$1001,955,K$2)&amp;""),""))</f>
        <v/>
      </c>
      <c r="L956">
        <f>IF(L$2=0,"",IFERROR(TRIM(INDEX('Pegar docentes'!$A$1:$BZ$1001,955,L$2)&amp;""),""))</f>
        <v/>
      </c>
      <c r="M956">
        <f>IF(M$2=0,"",IFERROR(TRIM(INDEX('Pegar docentes'!$A$1:$BZ$1001,955,M$2)&amp;""),""))</f>
        <v/>
      </c>
      <c r="N956">
        <f>IF(N$2=0,"",IFERROR(TRIM(INDEX('Pegar docentes'!$A$1:$BZ$1001,955,N$2)&amp;""),""))</f>
        <v/>
      </c>
      <c r="O956">
        <f>IF(O$2=0,"",IFERROR(TRIM(INDEX('Pegar docentes'!$A$1:$BZ$1001,955,O$2)&amp;""),""))</f>
        <v/>
      </c>
      <c r="P956">
        <f>IF(P$2=0,"",IFERROR(TRIM(INDEX('Pegar docentes'!$A$1:$BZ$1001,955,P$2)&amp;""),""))</f>
        <v/>
      </c>
      <c r="Q956" s="25">
        <f>IF(OR(D956&lt;&gt;"",H956&lt;&gt;""),1,"")</f>
        <v/>
      </c>
      <c r="R956" s="25">
        <f>IF(Q956=1,IF(ISNUMBER(FIND("#"&amp;MID(D956,1,1)&amp;"#","#0#1#2#3#4#5#6#7#8#9#")),IF(ISNUMBER(FIND("#"&amp;MID(D956,2,1)&amp;"#","#0#1#2#3#4#5#6#7#8#9#")),IF(AND(VALUE(LEFT(D956,2))&gt;=1,VALUE(LEFT(D956,2))&lt;=5),VALUE(LEFT(D956,2)),""),IF(AND(VALUE(LEFT(D956,1))&gt;=1,VALUE(LEFT(D956,1))&lt;=5),VALUE(LEFT(D956,1)),"")),""),"")</f>
        <v/>
      </c>
      <c r="S956" s="25">
        <f>IF(AND(Q956=1,E956&lt;&gt;""),SUBSTITUTE(SUBSTITUTE(SUBSTITUTE(SUBSTITUTE(SUBSTITUTE(SUBSTITUTE(SUBSTITUTE(SUBSTITUTE(SUBSTITUTE(SUBSTITUTE(SUBSTITUTE(SUBSTITUTE(LOWER(TRIM(E956)),"á","a"),"é","e"),"í","i"),"ó","o"),"ú","u"),"ü","u"),"ñ","n"),"à","a"),"è","e"),"ì","i"),"ò","o"),"ù","u"),"")</f>
        <v/>
      </c>
      <c r="T956" s="25">
        <f>IF(AND(Q956=1,G956&lt;&gt;""),SUBSTITUTE(SUBSTITUTE(SUBSTITUTE(SUBSTITUTE(SUBSTITUTE(SUBSTITUTE(SUBSTITUTE(SUBSTITUTE(SUBSTITUTE(SUBSTITUTE(SUBSTITUTE(SUBSTITUTE(LOWER(TRIM(G956)),"á","a"),"é","e"),"í","i"),"ó","o"),"ú","u"),"ü","u"),"ñ","n"),"à","a"),"è","e"),"ì","i"),"ò","o"),"ù","u"),"")</f>
        <v/>
      </c>
      <c r="U956" s="25">
        <f>IF(AND(Q956=1,H956&lt;&gt;""),SUBSTITUTE(SUBSTITUTE(SUBSTITUTE(SUBSTITUTE(SUBSTITUTE(SUBSTITUTE(SUBSTITUTE(SUBSTITUTE(SUBSTITUTE(SUBSTITUTE(SUBSTITUTE(SUBSTITUTE(LOWER(TRIM(H956)),"á","a"),"é","e"),"í","i"),"ó","o"),"ú","u"),"ü","u"),"ñ","n"),"à","a"),"è","e"),"ì","i"),"ò","o"),"ù","u"),"")</f>
        <v/>
      </c>
      <c r="V956" s="25">
        <f>IF(AND(Q956=1,L956&lt;&gt;""),SUBSTITUTE(SUBSTITUTE(SUBSTITUTE(SUBSTITUTE(SUBSTITUTE(SUBSTITUTE(SUBSTITUTE(SUBSTITUTE(SUBSTITUTE(SUBSTITUTE(SUBSTITUTE(SUBSTITUTE(LOWER(TRIM(L956)),"á","a"),"é","e"),"í","i"),"ó","o"),"ú","u"),"ü","u"),"ñ","n"),"à","a"),"è","e"),"ì","i"),"ò","o"),"ù","u"),"")</f>
        <v/>
      </c>
      <c r="W956" s="25">
        <f>IF(AND(Q956=1,I956&lt;&gt;""),SUBSTITUTE(SUBSTITUTE(SUBSTITUTE(SUBSTITUTE(SUBSTITUTE(SUBSTITUTE(SUBSTITUTE(SUBSTITUTE(SUBSTITUTE(SUBSTITUTE(SUBSTITUTE(SUBSTITUTE(LOWER(TRIM(I956)),"á","a"),"é","e"),"í","i"),"ó","o"),"ú","u"),"ü","u"),"ñ","n"),"à","a"),"è","e"),"ì","i"),"ò","o"),"ù","u"),"")</f>
        <v/>
      </c>
      <c r="X956" s="25">
        <f>IF(U956="","",IF(OR(U956="si, en la proxima tarea",U956="si, con cambios"),1,0))</f>
        <v/>
      </c>
      <c r="Y956" s="25">
        <f>IF(AND(Q956=1,A956&lt;&gt;""),IF(IFERROR(COUNTIFS(A$3:A956,"="&amp;SUBSTITUTE(SUBSTITUTE(SUBSTITUTE(A956,"~","~~"),"*","~*"),"?","~?"),Q$3:Q956,1),0)=1,MAX(Y$2:Y955)+1,""),"")</f>
        <v/>
      </c>
      <c r="Z956" s="25">
        <f>IF(Y956="","",COUNTIFS($A$3:$A$1002,"="&amp;SUBSTITUTE(SUBSTITUTE(SUBSTITUTE(A956,"~","~~"),"*","~*"),"?","~?"),$Q$3:$Q$1002,1)*10000-Y956)</f>
        <v/>
      </c>
    </row>
    <row r="957">
      <c r="A957">
        <f>IF(A$2=0,"",IFERROR(TRIM(INDEX('Pegar docentes'!$A$1:$BZ$1001,956,A$2)&amp;""),""))</f>
        <v/>
      </c>
      <c r="B957">
        <f>IF(B$2=0,"",IFERROR(TRIM(INDEX('Pegar docentes'!$A$1:$BZ$1001,956,B$2)&amp;""),""))</f>
        <v/>
      </c>
      <c r="C957">
        <f>IF(C$2=0,"",IFERROR(TRIM(INDEX('Pegar docentes'!$A$1:$BZ$1001,956,C$2)&amp;""),""))</f>
        <v/>
      </c>
      <c r="D957">
        <f>IF(D$2=0,"",IFERROR(TRIM(INDEX('Pegar docentes'!$A$1:$BZ$1001,956,D$2)&amp;""),""))</f>
        <v/>
      </c>
      <c r="E957">
        <f>IF(E$2=0,"",IFERROR(TRIM(INDEX('Pegar docentes'!$A$1:$BZ$1001,956,E$2)&amp;""),""))</f>
        <v/>
      </c>
      <c r="F957">
        <f>IF(F$2=0,"",IFERROR(TRIM(INDEX('Pegar docentes'!$A$1:$BZ$1001,956,F$2)&amp;""),""))</f>
        <v/>
      </c>
      <c r="G957">
        <f>IF(G$2=0,"",IFERROR(TRIM(INDEX('Pegar docentes'!$A$1:$BZ$1001,956,G$2)&amp;""),""))</f>
        <v/>
      </c>
      <c r="H957">
        <f>IF(H$2=0,"",IFERROR(TRIM(INDEX('Pegar docentes'!$A$1:$BZ$1001,956,H$2)&amp;""),""))</f>
        <v/>
      </c>
      <c r="I957">
        <f>IF(I$2=0,"",IFERROR(TRIM(INDEX('Pegar docentes'!$A$1:$BZ$1001,956,I$2)&amp;""),""))</f>
        <v/>
      </c>
      <c r="J957">
        <f>IF(J$2=0,"",IFERROR(TRIM(INDEX('Pegar docentes'!$A$1:$BZ$1001,956,J$2)&amp;""),""))</f>
        <v/>
      </c>
      <c r="K957">
        <f>IF(K$2=0,"",IFERROR(TRIM(INDEX('Pegar docentes'!$A$1:$BZ$1001,956,K$2)&amp;""),""))</f>
        <v/>
      </c>
      <c r="L957">
        <f>IF(L$2=0,"",IFERROR(TRIM(INDEX('Pegar docentes'!$A$1:$BZ$1001,956,L$2)&amp;""),""))</f>
        <v/>
      </c>
      <c r="M957">
        <f>IF(M$2=0,"",IFERROR(TRIM(INDEX('Pegar docentes'!$A$1:$BZ$1001,956,M$2)&amp;""),""))</f>
        <v/>
      </c>
      <c r="N957">
        <f>IF(N$2=0,"",IFERROR(TRIM(INDEX('Pegar docentes'!$A$1:$BZ$1001,956,N$2)&amp;""),""))</f>
        <v/>
      </c>
      <c r="O957">
        <f>IF(O$2=0,"",IFERROR(TRIM(INDEX('Pegar docentes'!$A$1:$BZ$1001,956,O$2)&amp;""),""))</f>
        <v/>
      </c>
      <c r="P957">
        <f>IF(P$2=0,"",IFERROR(TRIM(INDEX('Pegar docentes'!$A$1:$BZ$1001,956,P$2)&amp;""),""))</f>
        <v/>
      </c>
      <c r="Q957" s="25">
        <f>IF(OR(D957&lt;&gt;"",H957&lt;&gt;""),1,"")</f>
        <v/>
      </c>
      <c r="R957" s="25">
        <f>IF(Q957=1,IF(ISNUMBER(FIND("#"&amp;MID(D957,1,1)&amp;"#","#0#1#2#3#4#5#6#7#8#9#")),IF(ISNUMBER(FIND("#"&amp;MID(D957,2,1)&amp;"#","#0#1#2#3#4#5#6#7#8#9#")),IF(AND(VALUE(LEFT(D957,2))&gt;=1,VALUE(LEFT(D957,2))&lt;=5),VALUE(LEFT(D957,2)),""),IF(AND(VALUE(LEFT(D957,1))&gt;=1,VALUE(LEFT(D957,1))&lt;=5),VALUE(LEFT(D957,1)),"")),""),"")</f>
        <v/>
      </c>
      <c r="S957" s="25">
        <f>IF(AND(Q957=1,E957&lt;&gt;""),SUBSTITUTE(SUBSTITUTE(SUBSTITUTE(SUBSTITUTE(SUBSTITUTE(SUBSTITUTE(SUBSTITUTE(SUBSTITUTE(SUBSTITUTE(SUBSTITUTE(SUBSTITUTE(SUBSTITUTE(LOWER(TRIM(E957)),"á","a"),"é","e"),"í","i"),"ó","o"),"ú","u"),"ü","u"),"ñ","n"),"à","a"),"è","e"),"ì","i"),"ò","o"),"ù","u"),"")</f>
        <v/>
      </c>
      <c r="T957" s="25">
        <f>IF(AND(Q957=1,G957&lt;&gt;""),SUBSTITUTE(SUBSTITUTE(SUBSTITUTE(SUBSTITUTE(SUBSTITUTE(SUBSTITUTE(SUBSTITUTE(SUBSTITUTE(SUBSTITUTE(SUBSTITUTE(SUBSTITUTE(SUBSTITUTE(LOWER(TRIM(G957)),"á","a"),"é","e"),"í","i"),"ó","o"),"ú","u"),"ü","u"),"ñ","n"),"à","a"),"è","e"),"ì","i"),"ò","o"),"ù","u"),"")</f>
        <v/>
      </c>
      <c r="U957" s="25">
        <f>IF(AND(Q957=1,H957&lt;&gt;""),SUBSTITUTE(SUBSTITUTE(SUBSTITUTE(SUBSTITUTE(SUBSTITUTE(SUBSTITUTE(SUBSTITUTE(SUBSTITUTE(SUBSTITUTE(SUBSTITUTE(SUBSTITUTE(SUBSTITUTE(LOWER(TRIM(H957)),"á","a"),"é","e"),"í","i"),"ó","o"),"ú","u"),"ü","u"),"ñ","n"),"à","a"),"è","e"),"ì","i"),"ò","o"),"ù","u"),"")</f>
        <v/>
      </c>
      <c r="V957" s="25">
        <f>IF(AND(Q957=1,L957&lt;&gt;""),SUBSTITUTE(SUBSTITUTE(SUBSTITUTE(SUBSTITUTE(SUBSTITUTE(SUBSTITUTE(SUBSTITUTE(SUBSTITUTE(SUBSTITUTE(SUBSTITUTE(SUBSTITUTE(SUBSTITUTE(LOWER(TRIM(L957)),"á","a"),"é","e"),"í","i"),"ó","o"),"ú","u"),"ü","u"),"ñ","n"),"à","a"),"è","e"),"ì","i"),"ò","o"),"ù","u"),"")</f>
        <v/>
      </c>
      <c r="W957" s="25">
        <f>IF(AND(Q957=1,I957&lt;&gt;""),SUBSTITUTE(SUBSTITUTE(SUBSTITUTE(SUBSTITUTE(SUBSTITUTE(SUBSTITUTE(SUBSTITUTE(SUBSTITUTE(SUBSTITUTE(SUBSTITUTE(SUBSTITUTE(SUBSTITUTE(LOWER(TRIM(I957)),"á","a"),"é","e"),"í","i"),"ó","o"),"ú","u"),"ü","u"),"ñ","n"),"à","a"),"è","e"),"ì","i"),"ò","o"),"ù","u"),"")</f>
        <v/>
      </c>
      <c r="X957" s="25">
        <f>IF(U957="","",IF(OR(U957="si, en la proxima tarea",U957="si, con cambios"),1,0))</f>
        <v/>
      </c>
      <c r="Y957" s="25">
        <f>IF(AND(Q957=1,A957&lt;&gt;""),IF(IFERROR(COUNTIFS(A$3:A957,"="&amp;SUBSTITUTE(SUBSTITUTE(SUBSTITUTE(A957,"~","~~"),"*","~*"),"?","~?"),Q$3:Q957,1),0)=1,MAX(Y$2:Y956)+1,""),"")</f>
        <v/>
      </c>
      <c r="Z957" s="25">
        <f>IF(Y957="","",COUNTIFS($A$3:$A$1002,"="&amp;SUBSTITUTE(SUBSTITUTE(SUBSTITUTE(A957,"~","~~"),"*","~*"),"?","~?"),$Q$3:$Q$1002,1)*10000-Y957)</f>
        <v/>
      </c>
    </row>
    <row r="958">
      <c r="A958">
        <f>IF(A$2=0,"",IFERROR(TRIM(INDEX('Pegar docentes'!$A$1:$BZ$1001,957,A$2)&amp;""),""))</f>
        <v/>
      </c>
      <c r="B958">
        <f>IF(B$2=0,"",IFERROR(TRIM(INDEX('Pegar docentes'!$A$1:$BZ$1001,957,B$2)&amp;""),""))</f>
        <v/>
      </c>
      <c r="C958">
        <f>IF(C$2=0,"",IFERROR(TRIM(INDEX('Pegar docentes'!$A$1:$BZ$1001,957,C$2)&amp;""),""))</f>
        <v/>
      </c>
      <c r="D958">
        <f>IF(D$2=0,"",IFERROR(TRIM(INDEX('Pegar docentes'!$A$1:$BZ$1001,957,D$2)&amp;""),""))</f>
        <v/>
      </c>
      <c r="E958">
        <f>IF(E$2=0,"",IFERROR(TRIM(INDEX('Pegar docentes'!$A$1:$BZ$1001,957,E$2)&amp;""),""))</f>
        <v/>
      </c>
      <c r="F958">
        <f>IF(F$2=0,"",IFERROR(TRIM(INDEX('Pegar docentes'!$A$1:$BZ$1001,957,F$2)&amp;""),""))</f>
        <v/>
      </c>
      <c r="G958">
        <f>IF(G$2=0,"",IFERROR(TRIM(INDEX('Pegar docentes'!$A$1:$BZ$1001,957,G$2)&amp;""),""))</f>
        <v/>
      </c>
      <c r="H958">
        <f>IF(H$2=0,"",IFERROR(TRIM(INDEX('Pegar docentes'!$A$1:$BZ$1001,957,H$2)&amp;""),""))</f>
        <v/>
      </c>
      <c r="I958">
        <f>IF(I$2=0,"",IFERROR(TRIM(INDEX('Pegar docentes'!$A$1:$BZ$1001,957,I$2)&amp;""),""))</f>
        <v/>
      </c>
      <c r="J958">
        <f>IF(J$2=0,"",IFERROR(TRIM(INDEX('Pegar docentes'!$A$1:$BZ$1001,957,J$2)&amp;""),""))</f>
        <v/>
      </c>
      <c r="K958">
        <f>IF(K$2=0,"",IFERROR(TRIM(INDEX('Pegar docentes'!$A$1:$BZ$1001,957,K$2)&amp;""),""))</f>
        <v/>
      </c>
      <c r="L958">
        <f>IF(L$2=0,"",IFERROR(TRIM(INDEX('Pegar docentes'!$A$1:$BZ$1001,957,L$2)&amp;""),""))</f>
        <v/>
      </c>
      <c r="M958">
        <f>IF(M$2=0,"",IFERROR(TRIM(INDEX('Pegar docentes'!$A$1:$BZ$1001,957,M$2)&amp;""),""))</f>
        <v/>
      </c>
      <c r="N958">
        <f>IF(N$2=0,"",IFERROR(TRIM(INDEX('Pegar docentes'!$A$1:$BZ$1001,957,N$2)&amp;""),""))</f>
        <v/>
      </c>
      <c r="O958">
        <f>IF(O$2=0,"",IFERROR(TRIM(INDEX('Pegar docentes'!$A$1:$BZ$1001,957,O$2)&amp;""),""))</f>
        <v/>
      </c>
      <c r="P958">
        <f>IF(P$2=0,"",IFERROR(TRIM(INDEX('Pegar docentes'!$A$1:$BZ$1001,957,P$2)&amp;""),""))</f>
        <v/>
      </c>
      <c r="Q958" s="25">
        <f>IF(OR(D958&lt;&gt;"",H958&lt;&gt;""),1,"")</f>
        <v/>
      </c>
      <c r="R958" s="25">
        <f>IF(Q958=1,IF(ISNUMBER(FIND("#"&amp;MID(D958,1,1)&amp;"#","#0#1#2#3#4#5#6#7#8#9#")),IF(ISNUMBER(FIND("#"&amp;MID(D958,2,1)&amp;"#","#0#1#2#3#4#5#6#7#8#9#")),IF(AND(VALUE(LEFT(D958,2))&gt;=1,VALUE(LEFT(D958,2))&lt;=5),VALUE(LEFT(D958,2)),""),IF(AND(VALUE(LEFT(D958,1))&gt;=1,VALUE(LEFT(D958,1))&lt;=5),VALUE(LEFT(D958,1)),"")),""),"")</f>
        <v/>
      </c>
      <c r="S958" s="25">
        <f>IF(AND(Q958=1,E958&lt;&gt;""),SUBSTITUTE(SUBSTITUTE(SUBSTITUTE(SUBSTITUTE(SUBSTITUTE(SUBSTITUTE(SUBSTITUTE(SUBSTITUTE(SUBSTITUTE(SUBSTITUTE(SUBSTITUTE(SUBSTITUTE(LOWER(TRIM(E958)),"á","a"),"é","e"),"í","i"),"ó","o"),"ú","u"),"ü","u"),"ñ","n"),"à","a"),"è","e"),"ì","i"),"ò","o"),"ù","u"),"")</f>
        <v/>
      </c>
      <c r="T958" s="25">
        <f>IF(AND(Q958=1,G958&lt;&gt;""),SUBSTITUTE(SUBSTITUTE(SUBSTITUTE(SUBSTITUTE(SUBSTITUTE(SUBSTITUTE(SUBSTITUTE(SUBSTITUTE(SUBSTITUTE(SUBSTITUTE(SUBSTITUTE(SUBSTITUTE(LOWER(TRIM(G958)),"á","a"),"é","e"),"í","i"),"ó","o"),"ú","u"),"ü","u"),"ñ","n"),"à","a"),"è","e"),"ì","i"),"ò","o"),"ù","u"),"")</f>
        <v/>
      </c>
      <c r="U958" s="25">
        <f>IF(AND(Q958=1,H958&lt;&gt;""),SUBSTITUTE(SUBSTITUTE(SUBSTITUTE(SUBSTITUTE(SUBSTITUTE(SUBSTITUTE(SUBSTITUTE(SUBSTITUTE(SUBSTITUTE(SUBSTITUTE(SUBSTITUTE(SUBSTITUTE(LOWER(TRIM(H958)),"á","a"),"é","e"),"í","i"),"ó","o"),"ú","u"),"ü","u"),"ñ","n"),"à","a"),"è","e"),"ì","i"),"ò","o"),"ù","u"),"")</f>
        <v/>
      </c>
      <c r="V958" s="25">
        <f>IF(AND(Q958=1,L958&lt;&gt;""),SUBSTITUTE(SUBSTITUTE(SUBSTITUTE(SUBSTITUTE(SUBSTITUTE(SUBSTITUTE(SUBSTITUTE(SUBSTITUTE(SUBSTITUTE(SUBSTITUTE(SUBSTITUTE(SUBSTITUTE(LOWER(TRIM(L958)),"á","a"),"é","e"),"í","i"),"ó","o"),"ú","u"),"ü","u"),"ñ","n"),"à","a"),"è","e"),"ì","i"),"ò","o"),"ù","u"),"")</f>
        <v/>
      </c>
      <c r="W958" s="25">
        <f>IF(AND(Q958=1,I958&lt;&gt;""),SUBSTITUTE(SUBSTITUTE(SUBSTITUTE(SUBSTITUTE(SUBSTITUTE(SUBSTITUTE(SUBSTITUTE(SUBSTITUTE(SUBSTITUTE(SUBSTITUTE(SUBSTITUTE(SUBSTITUTE(LOWER(TRIM(I958)),"á","a"),"é","e"),"í","i"),"ó","o"),"ú","u"),"ü","u"),"ñ","n"),"à","a"),"è","e"),"ì","i"),"ò","o"),"ù","u"),"")</f>
        <v/>
      </c>
      <c r="X958" s="25">
        <f>IF(U958="","",IF(OR(U958="si, en la proxima tarea",U958="si, con cambios"),1,0))</f>
        <v/>
      </c>
      <c r="Y958" s="25">
        <f>IF(AND(Q958=1,A958&lt;&gt;""),IF(IFERROR(COUNTIFS(A$3:A958,"="&amp;SUBSTITUTE(SUBSTITUTE(SUBSTITUTE(A958,"~","~~"),"*","~*"),"?","~?"),Q$3:Q958,1),0)=1,MAX(Y$2:Y957)+1,""),"")</f>
        <v/>
      </c>
      <c r="Z958" s="25">
        <f>IF(Y958="","",COUNTIFS($A$3:$A$1002,"="&amp;SUBSTITUTE(SUBSTITUTE(SUBSTITUTE(A958,"~","~~"),"*","~*"),"?","~?"),$Q$3:$Q$1002,1)*10000-Y958)</f>
        <v/>
      </c>
    </row>
    <row r="959">
      <c r="A959">
        <f>IF(A$2=0,"",IFERROR(TRIM(INDEX('Pegar docentes'!$A$1:$BZ$1001,958,A$2)&amp;""),""))</f>
        <v/>
      </c>
      <c r="B959">
        <f>IF(B$2=0,"",IFERROR(TRIM(INDEX('Pegar docentes'!$A$1:$BZ$1001,958,B$2)&amp;""),""))</f>
        <v/>
      </c>
      <c r="C959">
        <f>IF(C$2=0,"",IFERROR(TRIM(INDEX('Pegar docentes'!$A$1:$BZ$1001,958,C$2)&amp;""),""))</f>
        <v/>
      </c>
      <c r="D959">
        <f>IF(D$2=0,"",IFERROR(TRIM(INDEX('Pegar docentes'!$A$1:$BZ$1001,958,D$2)&amp;""),""))</f>
        <v/>
      </c>
      <c r="E959">
        <f>IF(E$2=0,"",IFERROR(TRIM(INDEX('Pegar docentes'!$A$1:$BZ$1001,958,E$2)&amp;""),""))</f>
        <v/>
      </c>
      <c r="F959">
        <f>IF(F$2=0,"",IFERROR(TRIM(INDEX('Pegar docentes'!$A$1:$BZ$1001,958,F$2)&amp;""),""))</f>
        <v/>
      </c>
      <c r="G959">
        <f>IF(G$2=0,"",IFERROR(TRIM(INDEX('Pegar docentes'!$A$1:$BZ$1001,958,G$2)&amp;""),""))</f>
        <v/>
      </c>
      <c r="H959">
        <f>IF(H$2=0,"",IFERROR(TRIM(INDEX('Pegar docentes'!$A$1:$BZ$1001,958,H$2)&amp;""),""))</f>
        <v/>
      </c>
      <c r="I959">
        <f>IF(I$2=0,"",IFERROR(TRIM(INDEX('Pegar docentes'!$A$1:$BZ$1001,958,I$2)&amp;""),""))</f>
        <v/>
      </c>
      <c r="J959">
        <f>IF(J$2=0,"",IFERROR(TRIM(INDEX('Pegar docentes'!$A$1:$BZ$1001,958,J$2)&amp;""),""))</f>
        <v/>
      </c>
      <c r="K959">
        <f>IF(K$2=0,"",IFERROR(TRIM(INDEX('Pegar docentes'!$A$1:$BZ$1001,958,K$2)&amp;""),""))</f>
        <v/>
      </c>
      <c r="L959">
        <f>IF(L$2=0,"",IFERROR(TRIM(INDEX('Pegar docentes'!$A$1:$BZ$1001,958,L$2)&amp;""),""))</f>
        <v/>
      </c>
      <c r="M959">
        <f>IF(M$2=0,"",IFERROR(TRIM(INDEX('Pegar docentes'!$A$1:$BZ$1001,958,M$2)&amp;""),""))</f>
        <v/>
      </c>
      <c r="N959">
        <f>IF(N$2=0,"",IFERROR(TRIM(INDEX('Pegar docentes'!$A$1:$BZ$1001,958,N$2)&amp;""),""))</f>
        <v/>
      </c>
      <c r="O959">
        <f>IF(O$2=0,"",IFERROR(TRIM(INDEX('Pegar docentes'!$A$1:$BZ$1001,958,O$2)&amp;""),""))</f>
        <v/>
      </c>
      <c r="P959">
        <f>IF(P$2=0,"",IFERROR(TRIM(INDEX('Pegar docentes'!$A$1:$BZ$1001,958,P$2)&amp;""),""))</f>
        <v/>
      </c>
      <c r="Q959" s="25">
        <f>IF(OR(D959&lt;&gt;"",H959&lt;&gt;""),1,"")</f>
        <v/>
      </c>
      <c r="R959" s="25">
        <f>IF(Q959=1,IF(ISNUMBER(FIND("#"&amp;MID(D959,1,1)&amp;"#","#0#1#2#3#4#5#6#7#8#9#")),IF(ISNUMBER(FIND("#"&amp;MID(D959,2,1)&amp;"#","#0#1#2#3#4#5#6#7#8#9#")),IF(AND(VALUE(LEFT(D959,2))&gt;=1,VALUE(LEFT(D959,2))&lt;=5),VALUE(LEFT(D959,2)),""),IF(AND(VALUE(LEFT(D959,1))&gt;=1,VALUE(LEFT(D959,1))&lt;=5),VALUE(LEFT(D959,1)),"")),""),"")</f>
        <v/>
      </c>
      <c r="S959" s="25">
        <f>IF(AND(Q959=1,E959&lt;&gt;""),SUBSTITUTE(SUBSTITUTE(SUBSTITUTE(SUBSTITUTE(SUBSTITUTE(SUBSTITUTE(SUBSTITUTE(SUBSTITUTE(SUBSTITUTE(SUBSTITUTE(SUBSTITUTE(SUBSTITUTE(LOWER(TRIM(E959)),"á","a"),"é","e"),"í","i"),"ó","o"),"ú","u"),"ü","u"),"ñ","n"),"à","a"),"è","e"),"ì","i"),"ò","o"),"ù","u"),"")</f>
        <v/>
      </c>
      <c r="T959" s="25">
        <f>IF(AND(Q959=1,G959&lt;&gt;""),SUBSTITUTE(SUBSTITUTE(SUBSTITUTE(SUBSTITUTE(SUBSTITUTE(SUBSTITUTE(SUBSTITUTE(SUBSTITUTE(SUBSTITUTE(SUBSTITUTE(SUBSTITUTE(SUBSTITUTE(LOWER(TRIM(G959)),"á","a"),"é","e"),"í","i"),"ó","o"),"ú","u"),"ü","u"),"ñ","n"),"à","a"),"è","e"),"ì","i"),"ò","o"),"ù","u"),"")</f>
        <v/>
      </c>
      <c r="U959" s="25">
        <f>IF(AND(Q959=1,H959&lt;&gt;""),SUBSTITUTE(SUBSTITUTE(SUBSTITUTE(SUBSTITUTE(SUBSTITUTE(SUBSTITUTE(SUBSTITUTE(SUBSTITUTE(SUBSTITUTE(SUBSTITUTE(SUBSTITUTE(SUBSTITUTE(LOWER(TRIM(H959)),"á","a"),"é","e"),"í","i"),"ó","o"),"ú","u"),"ü","u"),"ñ","n"),"à","a"),"è","e"),"ì","i"),"ò","o"),"ù","u"),"")</f>
        <v/>
      </c>
      <c r="V959" s="25">
        <f>IF(AND(Q959=1,L959&lt;&gt;""),SUBSTITUTE(SUBSTITUTE(SUBSTITUTE(SUBSTITUTE(SUBSTITUTE(SUBSTITUTE(SUBSTITUTE(SUBSTITUTE(SUBSTITUTE(SUBSTITUTE(SUBSTITUTE(SUBSTITUTE(LOWER(TRIM(L959)),"á","a"),"é","e"),"í","i"),"ó","o"),"ú","u"),"ü","u"),"ñ","n"),"à","a"),"è","e"),"ì","i"),"ò","o"),"ù","u"),"")</f>
        <v/>
      </c>
      <c r="W959" s="25">
        <f>IF(AND(Q959=1,I959&lt;&gt;""),SUBSTITUTE(SUBSTITUTE(SUBSTITUTE(SUBSTITUTE(SUBSTITUTE(SUBSTITUTE(SUBSTITUTE(SUBSTITUTE(SUBSTITUTE(SUBSTITUTE(SUBSTITUTE(SUBSTITUTE(LOWER(TRIM(I959)),"á","a"),"é","e"),"í","i"),"ó","o"),"ú","u"),"ü","u"),"ñ","n"),"à","a"),"è","e"),"ì","i"),"ò","o"),"ù","u"),"")</f>
        <v/>
      </c>
      <c r="X959" s="25">
        <f>IF(U959="","",IF(OR(U959="si, en la proxima tarea",U959="si, con cambios"),1,0))</f>
        <v/>
      </c>
      <c r="Y959" s="25">
        <f>IF(AND(Q959=1,A959&lt;&gt;""),IF(IFERROR(COUNTIFS(A$3:A959,"="&amp;SUBSTITUTE(SUBSTITUTE(SUBSTITUTE(A959,"~","~~"),"*","~*"),"?","~?"),Q$3:Q959,1),0)=1,MAX(Y$2:Y958)+1,""),"")</f>
        <v/>
      </c>
      <c r="Z959" s="25">
        <f>IF(Y959="","",COUNTIFS($A$3:$A$1002,"="&amp;SUBSTITUTE(SUBSTITUTE(SUBSTITUTE(A959,"~","~~"),"*","~*"),"?","~?"),$Q$3:$Q$1002,1)*10000-Y959)</f>
        <v/>
      </c>
    </row>
    <row r="960">
      <c r="A960">
        <f>IF(A$2=0,"",IFERROR(TRIM(INDEX('Pegar docentes'!$A$1:$BZ$1001,959,A$2)&amp;""),""))</f>
        <v/>
      </c>
      <c r="B960">
        <f>IF(B$2=0,"",IFERROR(TRIM(INDEX('Pegar docentes'!$A$1:$BZ$1001,959,B$2)&amp;""),""))</f>
        <v/>
      </c>
      <c r="C960">
        <f>IF(C$2=0,"",IFERROR(TRIM(INDEX('Pegar docentes'!$A$1:$BZ$1001,959,C$2)&amp;""),""))</f>
        <v/>
      </c>
      <c r="D960">
        <f>IF(D$2=0,"",IFERROR(TRIM(INDEX('Pegar docentes'!$A$1:$BZ$1001,959,D$2)&amp;""),""))</f>
        <v/>
      </c>
      <c r="E960">
        <f>IF(E$2=0,"",IFERROR(TRIM(INDEX('Pegar docentes'!$A$1:$BZ$1001,959,E$2)&amp;""),""))</f>
        <v/>
      </c>
      <c r="F960">
        <f>IF(F$2=0,"",IFERROR(TRIM(INDEX('Pegar docentes'!$A$1:$BZ$1001,959,F$2)&amp;""),""))</f>
        <v/>
      </c>
      <c r="G960">
        <f>IF(G$2=0,"",IFERROR(TRIM(INDEX('Pegar docentes'!$A$1:$BZ$1001,959,G$2)&amp;""),""))</f>
        <v/>
      </c>
      <c r="H960">
        <f>IF(H$2=0,"",IFERROR(TRIM(INDEX('Pegar docentes'!$A$1:$BZ$1001,959,H$2)&amp;""),""))</f>
        <v/>
      </c>
      <c r="I960">
        <f>IF(I$2=0,"",IFERROR(TRIM(INDEX('Pegar docentes'!$A$1:$BZ$1001,959,I$2)&amp;""),""))</f>
        <v/>
      </c>
      <c r="J960">
        <f>IF(J$2=0,"",IFERROR(TRIM(INDEX('Pegar docentes'!$A$1:$BZ$1001,959,J$2)&amp;""),""))</f>
        <v/>
      </c>
      <c r="K960">
        <f>IF(K$2=0,"",IFERROR(TRIM(INDEX('Pegar docentes'!$A$1:$BZ$1001,959,K$2)&amp;""),""))</f>
        <v/>
      </c>
      <c r="L960">
        <f>IF(L$2=0,"",IFERROR(TRIM(INDEX('Pegar docentes'!$A$1:$BZ$1001,959,L$2)&amp;""),""))</f>
        <v/>
      </c>
      <c r="M960">
        <f>IF(M$2=0,"",IFERROR(TRIM(INDEX('Pegar docentes'!$A$1:$BZ$1001,959,M$2)&amp;""),""))</f>
        <v/>
      </c>
      <c r="N960">
        <f>IF(N$2=0,"",IFERROR(TRIM(INDEX('Pegar docentes'!$A$1:$BZ$1001,959,N$2)&amp;""),""))</f>
        <v/>
      </c>
      <c r="O960">
        <f>IF(O$2=0,"",IFERROR(TRIM(INDEX('Pegar docentes'!$A$1:$BZ$1001,959,O$2)&amp;""),""))</f>
        <v/>
      </c>
      <c r="P960">
        <f>IF(P$2=0,"",IFERROR(TRIM(INDEX('Pegar docentes'!$A$1:$BZ$1001,959,P$2)&amp;""),""))</f>
        <v/>
      </c>
      <c r="Q960" s="25">
        <f>IF(OR(D960&lt;&gt;"",H960&lt;&gt;""),1,"")</f>
        <v/>
      </c>
      <c r="R960" s="25">
        <f>IF(Q960=1,IF(ISNUMBER(FIND("#"&amp;MID(D960,1,1)&amp;"#","#0#1#2#3#4#5#6#7#8#9#")),IF(ISNUMBER(FIND("#"&amp;MID(D960,2,1)&amp;"#","#0#1#2#3#4#5#6#7#8#9#")),IF(AND(VALUE(LEFT(D960,2))&gt;=1,VALUE(LEFT(D960,2))&lt;=5),VALUE(LEFT(D960,2)),""),IF(AND(VALUE(LEFT(D960,1))&gt;=1,VALUE(LEFT(D960,1))&lt;=5),VALUE(LEFT(D960,1)),"")),""),"")</f>
        <v/>
      </c>
      <c r="S960" s="25">
        <f>IF(AND(Q960=1,E960&lt;&gt;""),SUBSTITUTE(SUBSTITUTE(SUBSTITUTE(SUBSTITUTE(SUBSTITUTE(SUBSTITUTE(SUBSTITUTE(SUBSTITUTE(SUBSTITUTE(SUBSTITUTE(SUBSTITUTE(SUBSTITUTE(LOWER(TRIM(E960)),"á","a"),"é","e"),"í","i"),"ó","o"),"ú","u"),"ü","u"),"ñ","n"),"à","a"),"è","e"),"ì","i"),"ò","o"),"ù","u"),"")</f>
        <v/>
      </c>
      <c r="T960" s="25">
        <f>IF(AND(Q960=1,G960&lt;&gt;""),SUBSTITUTE(SUBSTITUTE(SUBSTITUTE(SUBSTITUTE(SUBSTITUTE(SUBSTITUTE(SUBSTITUTE(SUBSTITUTE(SUBSTITUTE(SUBSTITUTE(SUBSTITUTE(SUBSTITUTE(LOWER(TRIM(G960)),"á","a"),"é","e"),"í","i"),"ó","o"),"ú","u"),"ü","u"),"ñ","n"),"à","a"),"è","e"),"ì","i"),"ò","o"),"ù","u"),"")</f>
        <v/>
      </c>
      <c r="U960" s="25">
        <f>IF(AND(Q960=1,H960&lt;&gt;""),SUBSTITUTE(SUBSTITUTE(SUBSTITUTE(SUBSTITUTE(SUBSTITUTE(SUBSTITUTE(SUBSTITUTE(SUBSTITUTE(SUBSTITUTE(SUBSTITUTE(SUBSTITUTE(SUBSTITUTE(LOWER(TRIM(H960)),"á","a"),"é","e"),"í","i"),"ó","o"),"ú","u"),"ü","u"),"ñ","n"),"à","a"),"è","e"),"ì","i"),"ò","o"),"ù","u"),"")</f>
        <v/>
      </c>
      <c r="V960" s="25">
        <f>IF(AND(Q960=1,L960&lt;&gt;""),SUBSTITUTE(SUBSTITUTE(SUBSTITUTE(SUBSTITUTE(SUBSTITUTE(SUBSTITUTE(SUBSTITUTE(SUBSTITUTE(SUBSTITUTE(SUBSTITUTE(SUBSTITUTE(SUBSTITUTE(LOWER(TRIM(L960)),"á","a"),"é","e"),"í","i"),"ó","o"),"ú","u"),"ü","u"),"ñ","n"),"à","a"),"è","e"),"ì","i"),"ò","o"),"ù","u"),"")</f>
        <v/>
      </c>
      <c r="W960" s="25">
        <f>IF(AND(Q960=1,I960&lt;&gt;""),SUBSTITUTE(SUBSTITUTE(SUBSTITUTE(SUBSTITUTE(SUBSTITUTE(SUBSTITUTE(SUBSTITUTE(SUBSTITUTE(SUBSTITUTE(SUBSTITUTE(SUBSTITUTE(SUBSTITUTE(LOWER(TRIM(I960)),"á","a"),"é","e"),"í","i"),"ó","o"),"ú","u"),"ü","u"),"ñ","n"),"à","a"),"è","e"),"ì","i"),"ò","o"),"ù","u"),"")</f>
        <v/>
      </c>
      <c r="X960" s="25">
        <f>IF(U960="","",IF(OR(U960="si, en la proxima tarea",U960="si, con cambios"),1,0))</f>
        <v/>
      </c>
      <c r="Y960" s="25">
        <f>IF(AND(Q960=1,A960&lt;&gt;""),IF(IFERROR(COUNTIFS(A$3:A960,"="&amp;SUBSTITUTE(SUBSTITUTE(SUBSTITUTE(A960,"~","~~"),"*","~*"),"?","~?"),Q$3:Q960,1),0)=1,MAX(Y$2:Y959)+1,""),"")</f>
        <v/>
      </c>
      <c r="Z960" s="25">
        <f>IF(Y960="","",COUNTIFS($A$3:$A$1002,"="&amp;SUBSTITUTE(SUBSTITUTE(SUBSTITUTE(A960,"~","~~"),"*","~*"),"?","~?"),$Q$3:$Q$1002,1)*10000-Y960)</f>
        <v/>
      </c>
    </row>
    <row r="961">
      <c r="A961">
        <f>IF(A$2=0,"",IFERROR(TRIM(INDEX('Pegar docentes'!$A$1:$BZ$1001,960,A$2)&amp;""),""))</f>
        <v/>
      </c>
      <c r="B961">
        <f>IF(B$2=0,"",IFERROR(TRIM(INDEX('Pegar docentes'!$A$1:$BZ$1001,960,B$2)&amp;""),""))</f>
        <v/>
      </c>
      <c r="C961">
        <f>IF(C$2=0,"",IFERROR(TRIM(INDEX('Pegar docentes'!$A$1:$BZ$1001,960,C$2)&amp;""),""))</f>
        <v/>
      </c>
      <c r="D961">
        <f>IF(D$2=0,"",IFERROR(TRIM(INDEX('Pegar docentes'!$A$1:$BZ$1001,960,D$2)&amp;""),""))</f>
        <v/>
      </c>
      <c r="E961">
        <f>IF(E$2=0,"",IFERROR(TRIM(INDEX('Pegar docentes'!$A$1:$BZ$1001,960,E$2)&amp;""),""))</f>
        <v/>
      </c>
      <c r="F961">
        <f>IF(F$2=0,"",IFERROR(TRIM(INDEX('Pegar docentes'!$A$1:$BZ$1001,960,F$2)&amp;""),""))</f>
        <v/>
      </c>
      <c r="G961">
        <f>IF(G$2=0,"",IFERROR(TRIM(INDEX('Pegar docentes'!$A$1:$BZ$1001,960,G$2)&amp;""),""))</f>
        <v/>
      </c>
      <c r="H961">
        <f>IF(H$2=0,"",IFERROR(TRIM(INDEX('Pegar docentes'!$A$1:$BZ$1001,960,H$2)&amp;""),""))</f>
        <v/>
      </c>
      <c r="I961">
        <f>IF(I$2=0,"",IFERROR(TRIM(INDEX('Pegar docentes'!$A$1:$BZ$1001,960,I$2)&amp;""),""))</f>
        <v/>
      </c>
      <c r="J961">
        <f>IF(J$2=0,"",IFERROR(TRIM(INDEX('Pegar docentes'!$A$1:$BZ$1001,960,J$2)&amp;""),""))</f>
        <v/>
      </c>
      <c r="K961">
        <f>IF(K$2=0,"",IFERROR(TRIM(INDEX('Pegar docentes'!$A$1:$BZ$1001,960,K$2)&amp;""),""))</f>
        <v/>
      </c>
      <c r="L961">
        <f>IF(L$2=0,"",IFERROR(TRIM(INDEX('Pegar docentes'!$A$1:$BZ$1001,960,L$2)&amp;""),""))</f>
        <v/>
      </c>
      <c r="M961">
        <f>IF(M$2=0,"",IFERROR(TRIM(INDEX('Pegar docentes'!$A$1:$BZ$1001,960,M$2)&amp;""),""))</f>
        <v/>
      </c>
      <c r="N961">
        <f>IF(N$2=0,"",IFERROR(TRIM(INDEX('Pegar docentes'!$A$1:$BZ$1001,960,N$2)&amp;""),""))</f>
        <v/>
      </c>
      <c r="O961">
        <f>IF(O$2=0,"",IFERROR(TRIM(INDEX('Pegar docentes'!$A$1:$BZ$1001,960,O$2)&amp;""),""))</f>
        <v/>
      </c>
      <c r="P961">
        <f>IF(P$2=0,"",IFERROR(TRIM(INDEX('Pegar docentes'!$A$1:$BZ$1001,960,P$2)&amp;""),""))</f>
        <v/>
      </c>
      <c r="Q961" s="25">
        <f>IF(OR(D961&lt;&gt;"",H961&lt;&gt;""),1,"")</f>
        <v/>
      </c>
      <c r="R961" s="25">
        <f>IF(Q961=1,IF(ISNUMBER(FIND("#"&amp;MID(D961,1,1)&amp;"#","#0#1#2#3#4#5#6#7#8#9#")),IF(ISNUMBER(FIND("#"&amp;MID(D961,2,1)&amp;"#","#0#1#2#3#4#5#6#7#8#9#")),IF(AND(VALUE(LEFT(D961,2))&gt;=1,VALUE(LEFT(D961,2))&lt;=5),VALUE(LEFT(D961,2)),""),IF(AND(VALUE(LEFT(D961,1))&gt;=1,VALUE(LEFT(D961,1))&lt;=5),VALUE(LEFT(D961,1)),"")),""),"")</f>
        <v/>
      </c>
      <c r="S961" s="25">
        <f>IF(AND(Q961=1,E961&lt;&gt;""),SUBSTITUTE(SUBSTITUTE(SUBSTITUTE(SUBSTITUTE(SUBSTITUTE(SUBSTITUTE(SUBSTITUTE(SUBSTITUTE(SUBSTITUTE(SUBSTITUTE(SUBSTITUTE(SUBSTITUTE(LOWER(TRIM(E961)),"á","a"),"é","e"),"í","i"),"ó","o"),"ú","u"),"ü","u"),"ñ","n"),"à","a"),"è","e"),"ì","i"),"ò","o"),"ù","u"),"")</f>
        <v/>
      </c>
      <c r="T961" s="25">
        <f>IF(AND(Q961=1,G961&lt;&gt;""),SUBSTITUTE(SUBSTITUTE(SUBSTITUTE(SUBSTITUTE(SUBSTITUTE(SUBSTITUTE(SUBSTITUTE(SUBSTITUTE(SUBSTITUTE(SUBSTITUTE(SUBSTITUTE(SUBSTITUTE(LOWER(TRIM(G961)),"á","a"),"é","e"),"í","i"),"ó","o"),"ú","u"),"ü","u"),"ñ","n"),"à","a"),"è","e"),"ì","i"),"ò","o"),"ù","u"),"")</f>
        <v/>
      </c>
      <c r="U961" s="25">
        <f>IF(AND(Q961=1,H961&lt;&gt;""),SUBSTITUTE(SUBSTITUTE(SUBSTITUTE(SUBSTITUTE(SUBSTITUTE(SUBSTITUTE(SUBSTITUTE(SUBSTITUTE(SUBSTITUTE(SUBSTITUTE(SUBSTITUTE(SUBSTITUTE(LOWER(TRIM(H961)),"á","a"),"é","e"),"í","i"),"ó","o"),"ú","u"),"ü","u"),"ñ","n"),"à","a"),"è","e"),"ì","i"),"ò","o"),"ù","u"),"")</f>
        <v/>
      </c>
      <c r="V961" s="25">
        <f>IF(AND(Q961=1,L961&lt;&gt;""),SUBSTITUTE(SUBSTITUTE(SUBSTITUTE(SUBSTITUTE(SUBSTITUTE(SUBSTITUTE(SUBSTITUTE(SUBSTITUTE(SUBSTITUTE(SUBSTITUTE(SUBSTITUTE(SUBSTITUTE(LOWER(TRIM(L961)),"á","a"),"é","e"),"í","i"),"ó","o"),"ú","u"),"ü","u"),"ñ","n"),"à","a"),"è","e"),"ì","i"),"ò","o"),"ù","u"),"")</f>
        <v/>
      </c>
      <c r="W961" s="25">
        <f>IF(AND(Q961=1,I961&lt;&gt;""),SUBSTITUTE(SUBSTITUTE(SUBSTITUTE(SUBSTITUTE(SUBSTITUTE(SUBSTITUTE(SUBSTITUTE(SUBSTITUTE(SUBSTITUTE(SUBSTITUTE(SUBSTITUTE(SUBSTITUTE(LOWER(TRIM(I961)),"á","a"),"é","e"),"í","i"),"ó","o"),"ú","u"),"ü","u"),"ñ","n"),"à","a"),"è","e"),"ì","i"),"ò","o"),"ù","u"),"")</f>
        <v/>
      </c>
      <c r="X961" s="25">
        <f>IF(U961="","",IF(OR(U961="si, en la proxima tarea",U961="si, con cambios"),1,0))</f>
        <v/>
      </c>
      <c r="Y961" s="25">
        <f>IF(AND(Q961=1,A961&lt;&gt;""),IF(IFERROR(COUNTIFS(A$3:A961,"="&amp;SUBSTITUTE(SUBSTITUTE(SUBSTITUTE(A961,"~","~~"),"*","~*"),"?","~?"),Q$3:Q961,1),0)=1,MAX(Y$2:Y960)+1,""),"")</f>
        <v/>
      </c>
      <c r="Z961" s="25">
        <f>IF(Y961="","",COUNTIFS($A$3:$A$1002,"="&amp;SUBSTITUTE(SUBSTITUTE(SUBSTITUTE(A961,"~","~~"),"*","~*"),"?","~?"),$Q$3:$Q$1002,1)*10000-Y961)</f>
        <v/>
      </c>
    </row>
    <row r="962">
      <c r="A962">
        <f>IF(A$2=0,"",IFERROR(TRIM(INDEX('Pegar docentes'!$A$1:$BZ$1001,961,A$2)&amp;""),""))</f>
        <v/>
      </c>
      <c r="B962">
        <f>IF(B$2=0,"",IFERROR(TRIM(INDEX('Pegar docentes'!$A$1:$BZ$1001,961,B$2)&amp;""),""))</f>
        <v/>
      </c>
      <c r="C962">
        <f>IF(C$2=0,"",IFERROR(TRIM(INDEX('Pegar docentes'!$A$1:$BZ$1001,961,C$2)&amp;""),""))</f>
        <v/>
      </c>
      <c r="D962">
        <f>IF(D$2=0,"",IFERROR(TRIM(INDEX('Pegar docentes'!$A$1:$BZ$1001,961,D$2)&amp;""),""))</f>
        <v/>
      </c>
      <c r="E962">
        <f>IF(E$2=0,"",IFERROR(TRIM(INDEX('Pegar docentes'!$A$1:$BZ$1001,961,E$2)&amp;""),""))</f>
        <v/>
      </c>
      <c r="F962">
        <f>IF(F$2=0,"",IFERROR(TRIM(INDEX('Pegar docentes'!$A$1:$BZ$1001,961,F$2)&amp;""),""))</f>
        <v/>
      </c>
      <c r="G962">
        <f>IF(G$2=0,"",IFERROR(TRIM(INDEX('Pegar docentes'!$A$1:$BZ$1001,961,G$2)&amp;""),""))</f>
        <v/>
      </c>
      <c r="H962">
        <f>IF(H$2=0,"",IFERROR(TRIM(INDEX('Pegar docentes'!$A$1:$BZ$1001,961,H$2)&amp;""),""))</f>
        <v/>
      </c>
      <c r="I962">
        <f>IF(I$2=0,"",IFERROR(TRIM(INDEX('Pegar docentes'!$A$1:$BZ$1001,961,I$2)&amp;""),""))</f>
        <v/>
      </c>
      <c r="J962">
        <f>IF(J$2=0,"",IFERROR(TRIM(INDEX('Pegar docentes'!$A$1:$BZ$1001,961,J$2)&amp;""),""))</f>
        <v/>
      </c>
      <c r="K962">
        <f>IF(K$2=0,"",IFERROR(TRIM(INDEX('Pegar docentes'!$A$1:$BZ$1001,961,K$2)&amp;""),""))</f>
        <v/>
      </c>
      <c r="L962">
        <f>IF(L$2=0,"",IFERROR(TRIM(INDEX('Pegar docentes'!$A$1:$BZ$1001,961,L$2)&amp;""),""))</f>
        <v/>
      </c>
      <c r="M962">
        <f>IF(M$2=0,"",IFERROR(TRIM(INDEX('Pegar docentes'!$A$1:$BZ$1001,961,M$2)&amp;""),""))</f>
        <v/>
      </c>
      <c r="N962">
        <f>IF(N$2=0,"",IFERROR(TRIM(INDEX('Pegar docentes'!$A$1:$BZ$1001,961,N$2)&amp;""),""))</f>
        <v/>
      </c>
      <c r="O962">
        <f>IF(O$2=0,"",IFERROR(TRIM(INDEX('Pegar docentes'!$A$1:$BZ$1001,961,O$2)&amp;""),""))</f>
        <v/>
      </c>
      <c r="P962">
        <f>IF(P$2=0,"",IFERROR(TRIM(INDEX('Pegar docentes'!$A$1:$BZ$1001,961,P$2)&amp;""),""))</f>
        <v/>
      </c>
      <c r="Q962" s="25">
        <f>IF(OR(D962&lt;&gt;"",H962&lt;&gt;""),1,"")</f>
        <v/>
      </c>
      <c r="R962" s="25">
        <f>IF(Q962=1,IF(ISNUMBER(FIND("#"&amp;MID(D962,1,1)&amp;"#","#0#1#2#3#4#5#6#7#8#9#")),IF(ISNUMBER(FIND("#"&amp;MID(D962,2,1)&amp;"#","#0#1#2#3#4#5#6#7#8#9#")),IF(AND(VALUE(LEFT(D962,2))&gt;=1,VALUE(LEFT(D962,2))&lt;=5),VALUE(LEFT(D962,2)),""),IF(AND(VALUE(LEFT(D962,1))&gt;=1,VALUE(LEFT(D962,1))&lt;=5),VALUE(LEFT(D962,1)),"")),""),"")</f>
        <v/>
      </c>
      <c r="S962" s="25">
        <f>IF(AND(Q962=1,E962&lt;&gt;""),SUBSTITUTE(SUBSTITUTE(SUBSTITUTE(SUBSTITUTE(SUBSTITUTE(SUBSTITUTE(SUBSTITUTE(SUBSTITUTE(SUBSTITUTE(SUBSTITUTE(SUBSTITUTE(SUBSTITUTE(LOWER(TRIM(E962)),"á","a"),"é","e"),"í","i"),"ó","o"),"ú","u"),"ü","u"),"ñ","n"),"à","a"),"è","e"),"ì","i"),"ò","o"),"ù","u"),"")</f>
        <v/>
      </c>
      <c r="T962" s="25">
        <f>IF(AND(Q962=1,G962&lt;&gt;""),SUBSTITUTE(SUBSTITUTE(SUBSTITUTE(SUBSTITUTE(SUBSTITUTE(SUBSTITUTE(SUBSTITUTE(SUBSTITUTE(SUBSTITUTE(SUBSTITUTE(SUBSTITUTE(SUBSTITUTE(LOWER(TRIM(G962)),"á","a"),"é","e"),"í","i"),"ó","o"),"ú","u"),"ü","u"),"ñ","n"),"à","a"),"è","e"),"ì","i"),"ò","o"),"ù","u"),"")</f>
        <v/>
      </c>
      <c r="U962" s="25">
        <f>IF(AND(Q962=1,H962&lt;&gt;""),SUBSTITUTE(SUBSTITUTE(SUBSTITUTE(SUBSTITUTE(SUBSTITUTE(SUBSTITUTE(SUBSTITUTE(SUBSTITUTE(SUBSTITUTE(SUBSTITUTE(SUBSTITUTE(SUBSTITUTE(LOWER(TRIM(H962)),"á","a"),"é","e"),"í","i"),"ó","o"),"ú","u"),"ü","u"),"ñ","n"),"à","a"),"è","e"),"ì","i"),"ò","o"),"ù","u"),"")</f>
        <v/>
      </c>
      <c r="V962" s="25">
        <f>IF(AND(Q962=1,L962&lt;&gt;""),SUBSTITUTE(SUBSTITUTE(SUBSTITUTE(SUBSTITUTE(SUBSTITUTE(SUBSTITUTE(SUBSTITUTE(SUBSTITUTE(SUBSTITUTE(SUBSTITUTE(SUBSTITUTE(SUBSTITUTE(LOWER(TRIM(L962)),"á","a"),"é","e"),"í","i"),"ó","o"),"ú","u"),"ü","u"),"ñ","n"),"à","a"),"è","e"),"ì","i"),"ò","o"),"ù","u"),"")</f>
        <v/>
      </c>
      <c r="W962" s="25">
        <f>IF(AND(Q962=1,I962&lt;&gt;""),SUBSTITUTE(SUBSTITUTE(SUBSTITUTE(SUBSTITUTE(SUBSTITUTE(SUBSTITUTE(SUBSTITUTE(SUBSTITUTE(SUBSTITUTE(SUBSTITUTE(SUBSTITUTE(SUBSTITUTE(LOWER(TRIM(I962)),"á","a"),"é","e"),"í","i"),"ó","o"),"ú","u"),"ü","u"),"ñ","n"),"à","a"),"è","e"),"ì","i"),"ò","o"),"ù","u"),"")</f>
        <v/>
      </c>
      <c r="X962" s="25">
        <f>IF(U962="","",IF(OR(U962="si, en la proxima tarea",U962="si, con cambios"),1,0))</f>
        <v/>
      </c>
      <c r="Y962" s="25">
        <f>IF(AND(Q962=1,A962&lt;&gt;""),IF(IFERROR(COUNTIFS(A$3:A962,"="&amp;SUBSTITUTE(SUBSTITUTE(SUBSTITUTE(A962,"~","~~"),"*","~*"),"?","~?"),Q$3:Q962,1),0)=1,MAX(Y$2:Y961)+1,""),"")</f>
        <v/>
      </c>
      <c r="Z962" s="25">
        <f>IF(Y962="","",COUNTIFS($A$3:$A$1002,"="&amp;SUBSTITUTE(SUBSTITUTE(SUBSTITUTE(A962,"~","~~"),"*","~*"),"?","~?"),$Q$3:$Q$1002,1)*10000-Y962)</f>
        <v/>
      </c>
    </row>
    <row r="963">
      <c r="A963">
        <f>IF(A$2=0,"",IFERROR(TRIM(INDEX('Pegar docentes'!$A$1:$BZ$1001,962,A$2)&amp;""),""))</f>
        <v/>
      </c>
      <c r="B963">
        <f>IF(B$2=0,"",IFERROR(TRIM(INDEX('Pegar docentes'!$A$1:$BZ$1001,962,B$2)&amp;""),""))</f>
        <v/>
      </c>
      <c r="C963">
        <f>IF(C$2=0,"",IFERROR(TRIM(INDEX('Pegar docentes'!$A$1:$BZ$1001,962,C$2)&amp;""),""))</f>
        <v/>
      </c>
      <c r="D963">
        <f>IF(D$2=0,"",IFERROR(TRIM(INDEX('Pegar docentes'!$A$1:$BZ$1001,962,D$2)&amp;""),""))</f>
        <v/>
      </c>
      <c r="E963">
        <f>IF(E$2=0,"",IFERROR(TRIM(INDEX('Pegar docentes'!$A$1:$BZ$1001,962,E$2)&amp;""),""))</f>
        <v/>
      </c>
      <c r="F963">
        <f>IF(F$2=0,"",IFERROR(TRIM(INDEX('Pegar docentes'!$A$1:$BZ$1001,962,F$2)&amp;""),""))</f>
        <v/>
      </c>
      <c r="G963">
        <f>IF(G$2=0,"",IFERROR(TRIM(INDEX('Pegar docentes'!$A$1:$BZ$1001,962,G$2)&amp;""),""))</f>
        <v/>
      </c>
      <c r="H963">
        <f>IF(H$2=0,"",IFERROR(TRIM(INDEX('Pegar docentes'!$A$1:$BZ$1001,962,H$2)&amp;""),""))</f>
        <v/>
      </c>
      <c r="I963">
        <f>IF(I$2=0,"",IFERROR(TRIM(INDEX('Pegar docentes'!$A$1:$BZ$1001,962,I$2)&amp;""),""))</f>
        <v/>
      </c>
      <c r="J963">
        <f>IF(J$2=0,"",IFERROR(TRIM(INDEX('Pegar docentes'!$A$1:$BZ$1001,962,J$2)&amp;""),""))</f>
        <v/>
      </c>
      <c r="K963">
        <f>IF(K$2=0,"",IFERROR(TRIM(INDEX('Pegar docentes'!$A$1:$BZ$1001,962,K$2)&amp;""),""))</f>
        <v/>
      </c>
      <c r="L963">
        <f>IF(L$2=0,"",IFERROR(TRIM(INDEX('Pegar docentes'!$A$1:$BZ$1001,962,L$2)&amp;""),""))</f>
        <v/>
      </c>
      <c r="M963">
        <f>IF(M$2=0,"",IFERROR(TRIM(INDEX('Pegar docentes'!$A$1:$BZ$1001,962,M$2)&amp;""),""))</f>
        <v/>
      </c>
      <c r="N963">
        <f>IF(N$2=0,"",IFERROR(TRIM(INDEX('Pegar docentes'!$A$1:$BZ$1001,962,N$2)&amp;""),""))</f>
        <v/>
      </c>
      <c r="O963">
        <f>IF(O$2=0,"",IFERROR(TRIM(INDEX('Pegar docentes'!$A$1:$BZ$1001,962,O$2)&amp;""),""))</f>
        <v/>
      </c>
      <c r="P963">
        <f>IF(P$2=0,"",IFERROR(TRIM(INDEX('Pegar docentes'!$A$1:$BZ$1001,962,P$2)&amp;""),""))</f>
        <v/>
      </c>
      <c r="Q963" s="25">
        <f>IF(OR(D963&lt;&gt;"",H963&lt;&gt;""),1,"")</f>
        <v/>
      </c>
      <c r="R963" s="25">
        <f>IF(Q963=1,IF(ISNUMBER(FIND("#"&amp;MID(D963,1,1)&amp;"#","#0#1#2#3#4#5#6#7#8#9#")),IF(ISNUMBER(FIND("#"&amp;MID(D963,2,1)&amp;"#","#0#1#2#3#4#5#6#7#8#9#")),IF(AND(VALUE(LEFT(D963,2))&gt;=1,VALUE(LEFT(D963,2))&lt;=5),VALUE(LEFT(D963,2)),""),IF(AND(VALUE(LEFT(D963,1))&gt;=1,VALUE(LEFT(D963,1))&lt;=5),VALUE(LEFT(D963,1)),"")),""),"")</f>
        <v/>
      </c>
      <c r="S963" s="25">
        <f>IF(AND(Q963=1,E963&lt;&gt;""),SUBSTITUTE(SUBSTITUTE(SUBSTITUTE(SUBSTITUTE(SUBSTITUTE(SUBSTITUTE(SUBSTITUTE(SUBSTITUTE(SUBSTITUTE(SUBSTITUTE(SUBSTITUTE(SUBSTITUTE(LOWER(TRIM(E963)),"á","a"),"é","e"),"í","i"),"ó","o"),"ú","u"),"ü","u"),"ñ","n"),"à","a"),"è","e"),"ì","i"),"ò","o"),"ù","u"),"")</f>
        <v/>
      </c>
      <c r="T963" s="25">
        <f>IF(AND(Q963=1,G963&lt;&gt;""),SUBSTITUTE(SUBSTITUTE(SUBSTITUTE(SUBSTITUTE(SUBSTITUTE(SUBSTITUTE(SUBSTITUTE(SUBSTITUTE(SUBSTITUTE(SUBSTITUTE(SUBSTITUTE(SUBSTITUTE(LOWER(TRIM(G963)),"á","a"),"é","e"),"í","i"),"ó","o"),"ú","u"),"ü","u"),"ñ","n"),"à","a"),"è","e"),"ì","i"),"ò","o"),"ù","u"),"")</f>
        <v/>
      </c>
      <c r="U963" s="25">
        <f>IF(AND(Q963=1,H963&lt;&gt;""),SUBSTITUTE(SUBSTITUTE(SUBSTITUTE(SUBSTITUTE(SUBSTITUTE(SUBSTITUTE(SUBSTITUTE(SUBSTITUTE(SUBSTITUTE(SUBSTITUTE(SUBSTITUTE(SUBSTITUTE(LOWER(TRIM(H963)),"á","a"),"é","e"),"í","i"),"ó","o"),"ú","u"),"ü","u"),"ñ","n"),"à","a"),"è","e"),"ì","i"),"ò","o"),"ù","u"),"")</f>
        <v/>
      </c>
      <c r="V963" s="25">
        <f>IF(AND(Q963=1,L963&lt;&gt;""),SUBSTITUTE(SUBSTITUTE(SUBSTITUTE(SUBSTITUTE(SUBSTITUTE(SUBSTITUTE(SUBSTITUTE(SUBSTITUTE(SUBSTITUTE(SUBSTITUTE(SUBSTITUTE(SUBSTITUTE(LOWER(TRIM(L963)),"á","a"),"é","e"),"í","i"),"ó","o"),"ú","u"),"ü","u"),"ñ","n"),"à","a"),"è","e"),"ì","i"),"ò","o"),"ù","u"),"")</f>
        <v/>
      </c>
      <c r="W963" s="25">
        <f>IF(AND(Q963=1,I963&lt;&gt;""),SUBSTITUTE(SUBSTITUTE(SUBSTITUTE(SUBSTITUTE(SUBSTITUTE(SUBSTITUTE(SUBSTITUTE(SUBSTITUTE(SUBSTITUTE(SUBSTITUTE(SUBSTITUTE(SUBSTITUTE(LOWER(TRIM(I963)),"á","a"),"é","e"),"í","i"),"ó","o"),"ú","u"),"ü","u"),"ñ","n"),"à","a"),"è","e"),"ì","i"),"ò","o"),"ù","u"),"")</f>
        <v/>
      </c>
      <c r="X963" s="25">
        <f>IF(U963="","",IF(OR(U963="si, en la proxima tarea",U963="si, con cambios"),1,0))</f>
        <v/>
      </c>
      <c r="Y963" s="25">
        <f>IF(AND(Q963=1,A963&lt;&gt;""),IF(IFERROR(COUNTIFS(A$3:A963,"="&amp;SUBSTITUTE(SUBSTITUTE(SUBSTITUTE(A963,"~","~~"),"*","~*"),"?","~?"),Q$3:Q963,1),0)=1,MAX(Y$2:Y962)+1,""),"")</f>
        <v/>
      </c>
      <c r="Z963" s="25">
        <f>IF(Y963="","",COUNTIFS($A$3:$A$1002,"="&amp;SUBSTITUTE(SUBSTITUTE(SUBSTITUTE(A963,"~","~~"),"*","~*"),"?","~?"),$Q$3:$Q$1002,1)*10000-Y963)</f>
        <v/>
      </c>
    </row>
    <row r="964">
      <c r="A964">
        <f>IF(A$2=0,"",IFERROR(TRIM(INDEX('Pegar docentes'!$A$1:$BZ$1001,963,A$2)&amp;""),""))</f>
        <v/>
      </c>
      <c r="B964">
        <f>IF(B$2=0,"",IFERROR(TRIM(INDEX('Pegar docentes'!$A$1:$BZ$1001,963,B$2)&amp;""),""))</f>
        <v/>
      </c>
      <c r="C964">
        <f>IF(C$2=0,"",IFERROR(TRIM(INDEX('Pegar docentes'!$A$1:$BZ$1001,963,C$2)&amp;""),""))</f>
        <v/>
      </c>
      <c r="D964">
        <f>IF(D$2=0,"",IFERROR(TRIM(INDEX('Pegar docentes'!$A$1:$BZ$1001,963,D$2)&amp;""),""))</f>
        <v/>
      </c>
      <c r="E964">
        <f>IF(E$2=0,"",IFERROR(TRIM(INDEX('Pegar docentes'!$A$1:$BZ$1001,963,E$2)&amp;""),""))</f>
        <v/>
      </c>
      <c r="F964">
        <f>IF(F$2=0,"",IFERROR(TRIM(INDEX('Pegar docentes'!$A$1:$BZ$1001,963,F$2)&amp;""),""))</f>
        <v/>
      </c>
      <c r="G964">
        <f>IF(G$2=0,"",IFERROR(TRIM(INDEX('Pegar docentes'!$A$1:$BZ$1001,963,G$2)&amp;""),""))</f>
        <v/>
      </c>
      <c r="H964">
        <f>IF(H$2=0,"",IFERROR(TRIM(INDEX('Pegar docentes'!$A$1:$BZ$1001,963,H$2)&amp;""),""))</f>
        <v/>
      </c>
      <c r="I964">
        <f>IF(I$2=0,"",IFERROR(TRIM(INDEX('Pegar docentes'!$A$1:$BZ$1001,963,I$2)&amp;""),""))</f>
        <v/>
      </c>
      <c r="J964">
        <f>IF(J$2=0,"",IFERROR(TRIM(INDEX('Pegar docentes'!$A$1:$BZ$1001,963,J$2)&amp;""),""))</f>
        <v/>
      </c>
      <c r="K964">
        <f>IF(K$2=0,"",IFERROR(TRIM(INDEX('Pegar docentes'!$A$1:$BZ$1001,963,K$2)&amp;""),""))</f>
        <v/>
      </c>
      <c r="L964">
        <f>IF(L$2=0,"",IFERROR(TRIM(INDEX('Pegar docentes'!$A$1:$BZ$1001,963,L$2)&amp;""),""))</f>
        <v/>
      </c>
      <c r="M964">
        <f>IF(M$2=0,"",IFERROR(TRIM(INDEX('Pegar docentes'!$A$1:$BZ$1001,963,M$2)&amp;""),""))</f>
        <v/>
      </c>
      <c r="N964">
        <f>IF(N$2=0,"",IFERROR(TRIM(INDEX('Pegar docentes'!$A$1:$BZ$1001,963,N$2)&amp;""),""))</f>
        <v/>
      </c>
      <c r="O964">
        <f>IF(O$2=0,"",IFERROR(TRIM(INDEX('Pegar docentes'!$A$1:$BZ$1001,963,O$2)&amp;""),""))</f>
        <v/>
      </c>
      <c r="P964">
        <f>IF(P$2=0,"",IFERROR(TRIM(INDEX('Pegar docentes'!$A$1:$BZ$1001,963,P$2)&amp;""),""))</f>
        <v/>
      </c>
      <c r="Q964" s="25">
        <f>IF(OR(D964&lt;&gt;"",H964&lt;&gt;""),1,"")</f>
        <v/>
      </c>
      <c r="R964" s="25">
        <f>IF(Q964=1,IF(ISNUMBER(FIND("#"&amp;MID(D964,1,1)&amp;"#","#0#1#2#3#4#5#6#7#8#9#")),IF(ISNUMBER(FIND("#"&amp;MID(D964,2,1)&amp;"#","#0#1#2#3#4#5#6#7#8#9#")),IF(AND(VALUE(LEFT(D964,2))&gt;=1,VALUE(LEFT(D964,2))&lt;=5),VALUE(LEFT(D964,2)),""),IF(AND(VALUE(LEFT(D964,1))&gt;=1,VALUE(LEFT(D964,1))&lt;=5),VALUE(LEFT(D964,1)),"")),""),"")</f>
        <v/>
      </c>
      <c r="S964" s="25">
        <f>IF(AND(Q964=1,E964&lt;&gt;""),SUBSTITUTE(SUBSTITUTE(SUBSTITUTE(SUBSTITUTE(SUBSTITUTE(SUBSTITUTE(SUBSTITUTE(SUBSTITUTE(SUBSTITUTE(SUBSTITUTE(SUBSTITUTE(SUBSTITUTE(LOWER(TRIM(E964)),"á","a"),"é","e"),"í","i"),"ó","o"),"ú","u"),"ü","u"),"ñ","n"),"à","a"),"è","e"),"ì","i"),"ò","o"),"ù","u"),"")</f>
        <v/>
      </c>
      <c r="T964" s="25">
        <f>IF(AND(Q964=1,G964&lt;&gt;""),SUBSTITUTE(SUBSTITUTE(SUBSTITUTE(SUBSTITUTE(SUBSTITUTE(SUBSTITUTE(SUBSTITUTE(SUBSTITUTE(SUBSTITUTE(SUBSTITUTE(SUBSTITUTE(SUBSTITUTE(LOWER(TRIM(G964)),"á","a"),"é","e"),"í","i"),"ó","o"),"ú","u"),"ü","u"),"ñ","n"),"à","a"),"è","e"),"ì","i"),"ò","o"),"ù","u"),"")</f>
        <v/>
      </c>
      <c r="U964" s="25">
        <f>IF(AND(Q964=1,H964&lt;&gt;""),SUBSTITUTE(SUBSTITUTE(SUBSTITUTE(SUBSTITUTE(SUBSTITUTE(SUBSTITUTE(SUBSTITUTE(SUBSTITUTE(SUBSTITUTE(SUBSTITUTE(SUBSTITUTE(SUBSTITUTE(LOWER(TRIM(H964)),"á","a"),"é","e"),"í","i"),"ó","o"),"ú","u"),"ü","u"),"ñ","n"),"à","a"),"è","e"),"ì","i"),"ò","o"),"ù","u"),"")</f>
        <v/>
      </c>
      <c r="V964" s="25">
        <f>IF(AND(Q964=1,L964&lt;&gt;""),SUBSTITUTE(SUBSTITUTE(SUBSTITUTE(SUBSTITUTE(SUBSTITUTE(SUBSTITUTE(SUBSTITUTE(SUBSTITUTE(SUBSTITUTE(SUBSTITUTE(SUBSTITUTE(SUBSTITUTE(LOWER(TRIM(L964)),"á","a"),"é","e"),"í","i"),"ó","o"),"ú","u"),"ü","u"),"ñ","n"),"à","a"),"è","e"),"ì","i"),"ò","o"),"ù","u"),"")</f>
        <v/>
      </c>
      <c r="W964" s="25">
        <f>IF(AND(Q964=1,I964&lt;&gt;""),SUBSTITUTE(SUBSTITUTE(SUBSTITUTE(SUBSTITUTE(SUBSTITUTE(SUBSTITUTE(SUBSTITUTE(SUBSTITUTE(SUBSTITUTE(SUBSTITUTE(SUBSTITUTE(SUBSTITUTE(LOWER(TRIM(I964)),"á","a"),"é","e"),"í","i"),"ó","o"),"ú","u"),"ü","u"),"ñ","n"),"à","a"),"è","e"),"ì","i"),"ò","o"),"ù","u"),"")</f>
        <v/>
      </c>
      <c r="X964" s="25">
        <f>IF(U964="","",IF(OR(U964="si, en la proxima tarea",U964="si, con cambios"),1,0))</f>
        <v/>
      </c>
      <c r="Y964" s="25">
        <f>IF(AND(Q964=1,A964&lt;&gt;""),IF(IFERROR(COUNTIFS(A$3:A964,"="&amp;SUBSTITUTE(SUBSTITUTE(SUBSTITUTE(A964,"~","~~"),"*","~*"),"?","~?"),Q$3:Q964,1),0)=1,MAX(Y$2:Y963)+1,""),"")</f>
        <v/>
      </c>
      <c r="Z964" s="25">
        <f>IF(Y964="","",COUNTIFS($A$3:$A$1002,"="&amp;SUBSTITUTE(SUBSTITUTE(SUBSTITUTE(A964,"~","~~"),"*","~*"),"?","~?"),$Q$3:$Q$1002,1)*10000-Y964)</f>
        <v/>
      </c>
    </row>
    <row r="965">
      <c r="A965">
        <f>IF(A$2=0,"",IFERROR(TRIM(INDEX('Pegar docentes'!$A$1:$BZ$1001,964,A$2)&amp;""),""))</f>
        <v/>
      </c>
      <c r="B965">
        <f>IF(B$2=0,"",IFERROR(TRIM(INDEX('Pegar docentes'!$A$1:$BZ$1001,964,B$2)&amp;""),""))</f>
        <v/>
      </c>
      <c r="C965">
        <f>IF(C$2=0,"",IFERROR(TRIM(INDEX('Pegar docentes'!$A$1:$BZ$1001,964,C$2)&amp;""),""))</f>
        <v/>
      </c>
      <c r="D965">
        <f>IF(D$2=0,"",IFERROR(TRIM(INDEX('Pegar docentes'!$A$1:$BZ$1001,964,D$2)&amp;""),""))</f>
        <v/>
      </c>
      <c r="E965">
        <f>IF(E$2=0,"",IFERROR(TRIM(INDEX('Pegar docentes'!$A$1:$BZ$1001,964,E$2)&amp;""),""))</f>
        <v/>
      </c>
      <c r="F965">
        <f>IF(F$2=0,"",IFERROR(TRIM(INDEX('Pegar docentes'!$A$1:$BZ$1001,964,F$2)&amp;""),""))</f>
        <v/>
      </c>
      <c r="G965">
        <f>IF(G$2=0,"",IFERROR(TRIM(INDEX('Pegar docentes'!$A$1:$BZ$1001,964,G$2)&amp;""),""))</f>
        <v/>
      </c>
      <c r="H965">
        <f>IF(H$2=0,"",IFERROR(TRIM(INDEX('Pegar docentes'!$A$1:$BZ$1001,964,H$2)&amp;""),""))</f>
        <v/>
      </c>
      <c r="I965">
        <f>IF(I$2=0,"",IFERROR(TRIM(INDEX('Pegar docentes'!$A$1:$BZ$1001,964,I$2)&amp;""),""))</f>
        <v/>
      </c>
      <c r="J965">
        <f>IF(J$2=0,"",IFERROR(TRIM(INDEX('Pegar docentes'!$A$1:$BZ$1001,964,J$2)&amp;""),""))</f>
        <v/>
      </c>
      <c r="K965">
        <f>IF(K$2=0,"",IFERROR(TRIM(INDEX('Pegar docentes'!$A$1:$BZ$1001,964,K$2)&amp;""),""))</f>
        <v/>
      </c>
      <c r="L965">
        <f>IF(L$2=0,"",IFERROR(TRIM(INDEX('Pegar docentes'!$A$1:$BZ$1001,964,L$2)&amp;""),""))</f>
        <v/>
      </c>
      <c r="M965">
        <f>IF(M$2=0,"",IFERROR(TRIM(INDEX('Pegar docentes'!$A$1:$BZ$1001,964,M$2)&amp;""),""))</f>
        <v/>
      </c>
      <c r="N965">
        <f>IF(N$2=0,"",IFERROR(TRIM(INDEX('Pegar docentes'!$A$1:$BZ$1001,964,N$2)&amp;""),""))</f>
        <v/>
      </c>
      <c r="O965">
        <f>IF(O$2=0,"",IFERROR(TRIM(INDEX('Pegar docentes'!$A$1:$BZ$1001,964,O$2)&amp;""),""))</f>
        <v/>
      </c>
      <c r="P965">
        <f>IF(P$2=0,"",IFERROR(TRIM(INDEX('Pegar docentes'!$A$1:$BZ$1001,964,P$2)&amp;""),""))</f>
        <v/>
      </c>
      <c r="Q965" s="25">
        <f>IF(OR(D965&lt;&gt;"",H965&lt;&gt;""),1,"")</f>
        <v/>
      </c>
      <c r="R965" s="25">
        <f>IF(Q965=1,IF(ISNUMBER(FIND("#"&amp;MID(D965,1,1)&amp;"#","#0#1#2#3#4#5#6#7#8#9#")),IF(ISNUMBER(FIND("#"&amp;MID(D965,2,1)&amp;"#","#0#1#2#3#4#5#6#7#8#9#")),IF(AND(VALUE(LEFT(D965,2))&gt;=1,VALUE(LEFT(D965,2))&lt;=5),VALUE(LEFT(D965,2)),""),IF(AND(VALUE(LEFT(D965,1))&gt;=1,VALUE(LEFT(D965,1))&lt;=5),VALUE(LEFT(D965,1)),"")),""),"")</f>
        <v/>
      </c>
      <c r="S965" s="25">
        <f>IF(AND(Q965=1,E965&lt;&gt;""),SUBSTITUTE(SUBSTITUTE(SUBSTITUTE(SUBSTITUTE(SUBSTITUTE(SUBSTITUTE(SUBSTITUTE(SUBSTITUTE(SUBSTITUTE(SUBSTITUTE(SUBSTITUTE(SUBSTITUTE(LOWER(TRIM(E965)),"á","a"),"é","e"),"í","i"),"ó","o"),"ú","u"),"ü","u"),"ñ","n"),"à","a"),"è","e"),"ì","i"),"ò","o"),"ù","u"),"")</f>
        <v/>
      </c>
      <c r="T965" s="25">
        <f>IF(AND(Q965=1,G965&lt;&gt;""),SUBSTITUTE(SUBSTITUTE(SUBSTITUTE(SUBSTITUTE(SUBSTITUTE(SUBSTITUTE(SUBSTITUTE(SUBSTITUTE(SUBSTITUTE(SUBSTITUTE(SUBSTITUTE(SUBSTITUTE(LOWER(TRIM(G965)),"á","a"),"é","e"),"í","i"),"ó","o"),"ú","u"),"ü","u"),"ñ","n"),"à","a"),"è","e"),"ì","i"),"ò","o"),"ù","u"),"")</f>
        <v/>
      </c>
      <c r="U965" s="25">
        <f>IF(AND(Q965=1,H965&lt;&gt;""),SUBSTITUTE(SUBSTITUTE(SUBSTITUTE(SUBSTITUTE(SUBSTITUTE(SUBSTITUTE(SUBSTITUTE(SUBSTITUTE(SUBSTITUTE(SUBSTITUTE(SUBSTITUTE(SUBSTITUTE(LOWER(TRIM(H965)),"á","a"),"é","e"),"í","i"),"ó","o"),"ú","u"),"ü","u"),"ñ","n"),"à","a"),"è","e"),"ì","i"),"ò","o"),"ù","u"),"")</f>
        <v/>
      </c>
      <c r="V965" s="25">
        <f>IF(AND(Q965=1,L965&lt;&gt;""),SUBSTITUTE(SUBSTITUTE(SUBSTITUTE(SUBSTITUTE(SUBSTITUTE(SUBSTITUTE(SUBSTITUTE(SUBSTITUTE(SUBSTITUTE(SUBSTITUTE(SUBSTITUTE(SUBSTITUTE(LOWER(TRIM(L965)),"á","a"),"é","e"),"í","i"),"ó","o"),"ú","u"),"ü","u"),"ñ","n"),"à","a"),"è","e"),"ì","i"),"ò","o"),"ù","u"),"")</f>
        <v/>
      </c>
      <c r="W965" s="25">
        <f>IF(AND(Q965=1,I965&lt;&gt;""),SUBSTITUTE(SUBSTITUTE(SUBSTITUTE(SUBSTITUTE(SUBSTITUTE(SUBSTITUTE(SUBSTITUTE(SUBSTITUTE(SUBSTITUTE(SUBSTITUTE(SUBSTITUTE(SUBSTITUTE(LOWER(TRIM(I965)),"á","a"),"é","e"),"í","i"),"ó","o"),"ú","u"),"ü","u"),"ñ","n"),"à","a"),"è","e"),"ì","i"),"ò","o"),"ù","u"),"")</f>
        <v/>
      </c>
      <c r="X965" s="25">
        <f>IF(U965="","",IF(OR(U965="si, en la proxima tarea",U965="si, con cambios"),1,0))</f>
        <v/>
      </c>
      <c r="Y965" s="25">
        <f>IF(AND(Q965=1,A965&lt;&gt;""),IF(IFERROR(COUNTIFS(A$3:A965,"="&amp;SUBSTITUTE(SUBSTITUTE(SUBSTITUTE(A965,"~","~~"),"*","~*"),"?","~?"),Q$3:Q965,1),0)=1,MAX(Y$2:Y964)+1,""),"")</f>
        <v/>
      </c>
      <c r="Z965" s="25">
        <f>IF(Y965="","",COUNTIFS($A$3:$A$1002,"="&amp;SUBSTITUTE(SUBSTITUTE(SUBSTITUTE(A965,"~","~~"),"*","~*"),"?","~?"),$Q$3:$Q$1002,1)*10000-Y965)</f>
        <v/>
      </c>
    </row>
    <row r="966">
      <c r="A966">
        <f>IF(A$2=0,"",IFERROR(TRIM(INDEX('Pegar docentes'!$A$1:$BZ$1001,965,A$2)&amp;""),""))</f>
        <v/>
      </c>
      <c r="B966">
        <f>IF(B$2=0,"",IFERROR(TRIM(INDEX('Pegar docentes'!$A$1:$BZ$1001,965,B$2)&amp;""),""))</f>
        <v/>
      </c>
      <c r="C966">
        <f>IF(C$2=0,"",IFERROR(TRIM(INDEX('Pegar docentes'!$A$1:$BZ$1001,965,C$2)&amp;""),""))</f>
        <v/>
      </c>
      <c r="D966">
        <f>IF(D$2=0,"",IFERROR(TRIM(INDEX('Pegar docentes'!$A$1:$BZ$1001,965,D$2)&amp;""),""))</f>
        <v/>
      </c>
      <c r="E966">
        <f>IF(E$2=0,"",IFERROR(TRIM(INDEX('Pegar docentes'!$A$1:$BZ$1001,965,E$2)&amp;""),""))</f>
        <v/>
      </c>
      <c r="F966">
        <f>IF(F$2=0,"",IFERROR(TRIM(INDEX('Pegar docentes'!$A$1:$BZ$1001,965,F$2)&amp;""),""))</f>
        <v/>
      </c>
      <c r="G966">
        <f>IF(G$2=0,"",IFERROR(TRIM(INDEX('Pegar docentes'!$A$1:$BZ$1001,965,G$2)&amp;""),""))</f>
        <v/>
      </c>
      <c r="H966">
        <f>IF(H$2=0,"",IFERROR(TRIM(INDEX('Pegar docentes'!$A$1:$BZ$1001,965,H$2)&amp;""),""))</f>
        <v/>
      </c>
      <c r="I966">
        <f>IF(I$2=0,"",IFERROR(TRIM(INDEX('Pegar docentes'!$A$1:$BZ$1001,965,I$2)&amp;""),""))</f>
        <v/>
      </c>
      <c r="J966">
        <f>IF(J$2=0,"",IFERROR(TRIM(INDEX('Pegar docentes'!$A$1:$BZ$1001,965,J$2)&amp;""),""))</f>
        <v/>
      </c>
      <c r="K966">
        <f>IF(K$2=0,"",IFERROR(TRIM(INDEX('Pegar docentes'!$A$1:$BZ$1001,965,K$2)&amp;""),""))</f>
        <v/>
      </c>
      <c r="L966">
        <f>IF(L$2=0,"",IFERROR(TRIM(INDEX('Pegar docentes'!$A$1:$BZ$1001,965,L$2)&amp;""),""))</f>
        <v/>
      </c>
      <c r="M966">
        <f>IF(M$2=0,"",IFERROR(TRIM(INDEX('Pegar docentes'!$A$1:$BZ$1001,965,M$2)&amp;""),""))</f>
        <v/>
      </c>
      <c r="N966">
        <f>IF(N$2=0,"",IFERROR(TRIM(INDEX('Pegar docentes'!$A$1:$BZ$1001,965,N$2)&amp;""),""))</f>
        <v/>
      </c>
      <c r="O966">
        <f>IF(O$2=0,"",IFERROR(TRIM(INDEX('Pegar docentes'!$A$1:$BZ$1001,965,O$2)&amp;""),""))</f>
        <v/>
      </c>
      <c r="P966">
        <f>IF(P$2=0,"",IFERROR(TRIM(INDEX('Pegar docentes'!$A$1:$BZ$1001,965,P$2)&amp;""),""))</f>
        <v/>
      </c>
      <c r="Q966" s="25">
        <f>IF(OR(D966&lt;&gt;"",H966&lt;&gt;""),1,"")</f>
        <v/>
      </c>
      <c r="R966" s="25">
        <f>IF(Q966=1,IF(ISNUMBER(FIND("#"&amp;MID(D966,1,1)&amp;"#","#0#1#2#3#4#5#6#7#8#9#")),IF(ISNUMBER(FIND("#"&amp;MID(D966,2,1)&amp;"#","#0#1#2#3#4#5#6#7#8#9#")),IF(AND(VALUE(LEFT(D966,2))&gt;=1,VALUE(LEFT(D966,2))&lt;=5),VALUE(LEFT(D966,2)),""),IF(AND(VALUE(LEFT(D966,1))&gt;=1,VALUE(LEFT(D966,1))&lt;=5),VALUE(LEFT(D966,1)),"")),""),"")</f>
        <v/>
      </c>
      <c r="S966" s="25">
        <f>IF(AND(Q966=1,E966&lt;&gt;""),SUBSTITUTE(SUBSTITUTE(SUBSTITUTE(SUBSTITUTE(SUBSTITUTE(SUBSTITUTE(SUBSTITUTE(SUBSTITUTE(SUBSTITUTE(SUBSTITUTE(SUBSTITUTE(SUBSTITUTE(LOWER(TRIM(E966)),"á","a"),"é","e"),"í","i"),"ó","o"),"ú","u"),"ü","u"),"ñ","n"),"à","a"),"è","e"),"ì","i"),"ò","o"),"ù","u"),"")</f>
        <v/>
      </c>
      <c r="T966" s="25">
        <f>IF(AND(Q966=1,G966&lt;&gt;""),SUBSTITUTE(SUBSTITUTE(SUBSTITUTE(SUBSTITUTE(SUBSTITUTE(SUBSTITUTE(SUBSTITUTE(SUBSTITUTE(SUBSTITUTE(SUBSTITUTE(SUBSTITUTE(SUBSTITUTE(LOWER(TRIM(G966)),"á","a"),"é","e"),"í","i"),"ó","o"),"ú","u"),"ü","u"),"ñ","n"),"à","a"),"è","e"),"ì","i"),"ò","o"),"ù","u"),"")</f>
        <v/>
      </c>
      <c r="U966" s="25">
        <f>IF(AND(Q966=1,H966&lt;&gt;""),SUBSTITUTE(SUBSTITUTE(SUBSTITUTE(SUBSTITUTE(SUBSTITUTE(SUBSTITUTE(SUBSTITUTE(SUBSTITUTE(SUBSTITUTE(SUBSTITUTE(SUBSTITUTE(SUBSTITUTE(LOWER(TRIM(H966)),"á","a"),"é","e"),"í","i"),"ó","o"),"ú","u"),"ü","u"),"ñ","n"),"à","a"),"è","e"),"ì","i"),"ò","o"),"ù","u"),"")</f>
        <v/>
      </c>
      <c r="V966" s="25">
        <f>IF(AND(Q966=1,L966&lt;&gt;""),SUBSTITUTE(SUBSTITUTE(SUBSTITUTE(SUBSTITUTE(SUBSTITUTE(SUBSTITUTE(SUBSTITUTE(SUBSTITUTE(SUBSTITUTE(SUBSTITUTE(SUBSTITUTE(SUBSTITUTE(LOWER(TRIM(L966)),"á","a"),"é","e"),"í","i"),"ó","o"),"ú","u"),"ü","u"),"ñ","n"),"à","a"),"è","e"),"ì","i"),"ò","o"),"ù","u"),"")</f>
        <v/>
      </c>
      <c r="W966" s="25">
        <f>IF(AND(Q966=1,I966&lt;&gt;""),SUBSTITUTE(SUBSTITUTE(SUBSTITUTE(SUBSTITUTE(SUBSTITUTE(SUBSTITUTE(SUBSTITUTE(SUBSTITUTE(SUBSTITUTE(SUBSTITUTE(SUBSTITUTE(SUBSTITUTE(LOWER(TRIM(I966)),"á","a"),"é","e"),"í","i"),"ó","o"),"ú","u"),"ü","u"),"ñ","n"),"à","a"),"è","e"),"ì","i"),"ò","o"),"ù","u"),"")</f>
        <v/>
      </c>
      <c r="X966" s="25">
        <f>IF(U966="","",IF(OR(U966="si, en la proxima tarea",U966="si, con cambios"),1,0))</f>
        <v/>
      </c>
      <c r="Y966" s="25">
        <f>IF(AND(Q966=1,A966&lt;&gt;""),IF(IFERROR(COUNTIFS(A$3:A966,"="&amp;SUBSTITUTE(SUBSTITUTE(SUBSTITUTE(A966,"~","~~"),"*","~*"),"?","~?"),Q$3:Q966,1),0)=1,MAX(Y$2:Y965)+1,""),"")</f>
        <v/>
      </c>
      <c r="Z966" s="25">
        <f>IF(Y966="","",COUNTIFS($A$3:$A$1002,"="&amp;SUBSTITUTE(SUBSTITUTE(SUBSTITUTE(A966,"~","~~"),"*","~*"),"?","~?"),$Q$3:$Q$1002,1)*10000-Y966)</f>
        <v/>
      </c>
    </row>
    <row r="967">
      <c r="A967">
        <f>IF(A$2=0,"",IFERROR(TRIM(INDEX('Pegar docentes'!$A$1:$BZ$1001,966,A$2)&amp;""),""))</f>
        <v/>
      </c>
      <c r="B967">
        <f>IF(B$2=0,"",IFERROR(TRIM(INDEX('Pegar docentes'!$A$1:$BZ$1001,966,B$2)&amp;""),""))</f>
        <v/>
      </c>
      <c r="C967">
        <f>IF(C$2=0,"",IFERROR(TRIM(INDEX('Pegar docentes'!$A$1:$BZ$1001,966,C$2)&amp;""),""))</f>
        <v/>
      </c>
      <c r="D967">
        <f>IF(D$2=0,"",IFERROR(TRIM(INDEX('Pegar docentes'!$A$1:$BZ$1001,966,D$2)&amp;""),""))</f>
        <v/>
      </c>
      <c r="E967">
        <f>IF(E$2=0,"",IFERROR(TRIM(INDEX('Pegar docentes'!$A$1:$BZ$1001,966,E$2)&amp;""),""))</f>
        <v/>
      </c>
      <c r="F967">
        <f>IF(F$2=0,"",IFERROR(TRIM(INDEX('Pegar docentes'!$A$1:$BZ$1001,966,F$2)&amp;""),""))</f>
        <v/>
      </c>
      <c r="G967">
        <f>IF(G$2=0,"",IFERROR(TRIM(INDEX('Pegar docentes'!$A$1:$BZ$1001,966,G$2)&amp;""),""))</f>
        <v/>
      </c>
      <c r="H967">
        <f>IF(H$2=0,"",IFERROR(TRIM(INDEX('Pegar docentes'!$A$1:$BZ$1001,966,H$2)&amp;""),""))</f>
        <v/>
      </c>
      <c r="I967">
        <f>IF(I$2=0,"",IFERROR(TRIM(INDEX('Pegar docentes'!$A$1:$BZ$1001,966,I$2)&amp;""),""))</f>
        <v/>
      </c>
      <c r="J967">
        <f>IF(J$2=0,"",IFERROR(TRIM(INDEX('Pegar docentes'!$A$1:$BZ$1001,966,J$2)&amp;""),""))</f>
        <v/>
      </c>
      <c r="K967">
        <f>IF(K$2=0,"",IFERROR(TRIM(INDEX('Pegar docentes'!$A$1:$BZ$1001,966,K$2)&amp;""),""))</f>
        <v/>
      </c>
      <c r="L967">
        <f>IF(L$2=0,"",IFERROR(TRIM(INDEX('Pegar docentes'!$A$1:$BZ$1001,966,L$2)&amp;""),""))</f>
        <v/>
      </c>
      <c r="M967">
        <f>IF(M$2=0,"",IFERROR(TRIM(INDEX('Pegar docentes'!$A$1:$BZ$1001,966,M$2)&amp;""),""))</f>
        <v/>
      </c>
      <c r="N967">
        <f>IF(N$2=0,"",IFERROR(TRIM(INDEX('Pegar docentes'!$A$1:$BZ$1001,966,N$2)&amp;""),""))</f>
        <v/>
      </c>
      <c r="O967">
        <f>IF(O$2=0,"",IFERROR(TRIM(INDEX('Pegar docentes'!$A$1:$BZ$1001,966,O$2)&amp;""),""))</f>
        <v/>
      </c>
      <c r="P967">
        <f>IF(P$2=0,"",IFERROR(TRIM(INDEX('Pegar docentes'!$A$1:$BZ$1001,966,P$2)&amp;""),""))</f>
        <v/>
      </c>
      <c r="Q967" s="25">
        <f>IF(OR(D967&lt;&gt;"",H967&lt;&gt;""),1,"")</f>
        <v/>
      </c>
      <c r="R967" s="25">
        <f>IF(Q967=1,IF(ISNUMBER(FIND("#"&amp;MID(D967,1,1)&amp;"#","#0#1#2#3#4#5#6#7#8#9#")),IF(ISNUMBER(FIND("#"&amp;MID(D967,2,1)&amp;"#","#0#1#2#3#4#5#6#7#8#9#")),IF(AND(VALUE(LEFT(D967,2))&gt;=1,VALUE(LEFT(D967,2))&lt;=5),VALUE(LEFT(D967,2)),""),IF(AND(VALUE(LEFT(D967,1))&gt;=1,VALUE(LEFT(D967,1))&lt;=5),VALUE(LEFT(D967,1)),"")),""),"")</f>
        <v/>
      </c>
      <c r="S967" s="25">
        <f>IF(AND(Q967=1,E967&lt;&gt;""),SUBSTITUTE(SUBSTITUTE(SUBSTITUTE(SUBSTITUTE(SUBSTITUTE(SUBSTITUTE(SUBSTITUTE(SUBSTITUTE(SUBSTITUTE(SUBSTITUTE(SUBSTITUTE(SUBSTITUTE(LOWER(TRIM(E967)),"á","a"),"é","e"),"í","i"),"ó","o"),"ú","u"),"ü","u"),"ñ","n"),"à","a"),"è","e"),"ì","i"),"ò","o"),"ù","u"),"")</f>
        <v/>
      </c>
      <c r="T967" s="25">
        <f>IF(AND(Q967=1,G967&lt;&gt;""),SUBSTITUTE(SUBSTITUTE(SUBSTITUTE(SUBSTITUTE(SUBSTITUTE(SUBSTITUTE(SUBSTITUTE(SUBSTITUTE(SUBSTITUTE(SUBSTITUTE(SUBSTITUTE(SUBSTITUTE(LOWER(TRIM(G967)),"á","a"),"é","e"),"í","i"),"ó","o"),"ú","u"),"ü","u"),"ñ","n"),"à","a"),"è","e"),"ì","i"),"ò","o"),"ù","u"),"")</f>
        <v/>
      </c>
      <c r="U967" s="25">
        <f>IF(AND(Q967=1,H967&lt;&gt;""),SUBSTITUTE(SUBSTITUTE(SUBSTITUTE(SUBSTITUTE(SUBSTITUTE(SUBSTITUTE(SUBSTITUTE(SUBSTITUTE(SUBSTITUTE(SUBSTITUTE(SUBSTITUTE(SUBSTITUTE(LOWER(TRIM(H967)),"á","a"),"é","e"),"í","i"),"ó","o"),"ú","u"),"ü","u"),"ñ","n"),"à","a"),"è","e"),"ì","i"),"ò","o"),"ù","u"),"")</f>
        <v/>
      </c>
      <c r="V967" s="25">
        <f>IF(AND(Q967=1,L967&lt;&gt;""),SUBSTITUTE(SUBSTITUTE(SUBSTITUTE(SUBSTITUTE(SUBSTITUTE(SUBSTITUTE(SUBSTITUTE(SUBSTITUTE(SUBSTITUTE(SUBSTITUTE(SUBSTITUTE(SUBSTITUTE(LOWER(TRIM(L967)),"á","a"),"é","e"),"í","i"),"ó","o"),"ú","u"),"ü","u"),"ñ","n"),"à","a"),"è","e"),"ì","i"),"ò","o"),"ù","u"),"")</f>
        <v/>
      </c>
      <c r="W967" s="25">
        <f>IF(AND(Q967=1,I967&lt;&gt;""),SUBSTITUTE(SUBSTITUTE(SUBSTITUTE(SUBSTITUTE(SUBSTITUTE(SUBSTITUTE(SUBSTITUTE(SUBSTITUTE(SUBSTITUTE(SUBSTITUTE(SUBSTITUTE(SUBSTITUTE(LOWER(TRIM(I967)),"á","a"),"é","e"),"í","i"),"ó","o"),"ú","u"),"ü","u"),"ñ","n"),"à","a"),"è","e"),"ì","i"),"ò","o"),"ù","u"),"")</f>
        <v/>
      </c>
      <c r="X967" s="25">
        <f>IF(U967="","",IF(OR(U967="si, en la proxima tarea",U967="si, con cambios"),1,0))</f>
        <v/>
      </c>
      <c r="Y967" s="25">
        <f>IF(AND(Q967=1,A967&lt;&gt;""),IF(IFERROR(COUNTIFS(A$3:A967,"="&amp;SUBSTITUTE(SUBSTITUTE(SUBSTITUTE(A967,"~","~~"),"*","~*"),"?","~?"),Q$3:Q967,1),0)=1,MAX(Y$2:Y966)+1,""),"")</f>
        <v/>
      </c>
      <c r="Z967" s="25">
        <f>IF(Y967="","",COUNTIFS($A$3:$A$1002,"="&amp;SUBSTITUTE(SUBSTITUTE(SUBSTITUTE(A967,"~","~~"),"*","~*"),"?","~?"),$Q$3:$Q$1002,1)*10000-Y967)</f>
        <v/>
      </c>
    </row>
    <row r="968">
      <c r="A968">
        <f>IF(A$2=0,"",IFERROR(TRIM(INDEX('Pegar docentes'!$A$1:$BZ$1001,967,A$2)&amp;""),""))</f>
        <v/>
      </c>
      <c r="B968">
        <f>IF(B$2=0,"",IFERROR(TRIM(INDEX('Pegar docentes'!$A$1:$BZ$1001,967,B$2)&amp;""),""))</f>
        <v/>
      </c>
      <c r="C968">
        <f>IF(C$2=0,"",IFERROR(TRIM(INDEX('Pegar docentes'!$A$1:$BZ$1001,967,C$2)&amp;""),""))</f>
        <v/>
      </c>
      <c r="D968">
        <f>IF(D$2=0,"",IFERROR(TRIM(INDEX('Pegar docentes'!$A$1:$BZ$1001,967,D$2)&amp;""),""))</f>
        <v/>
      </c>
      <c r="E968">
        <f>IF(E$2=0,"",IFERROR(TRIM(INDEX('Pegar docentes'!$A$1:$BZ$1001,967,E$2)&amp;""),""))</f>
        <v/>
      </c>
      <c r="F968">
        <f>IF(F$2=0,"",IFERROR(TRIM(INDEX('Pegar docentes'!$A$1:$BZ$1001,967,F$2)&amp;""),""))</f>
        <v/>
      </c>
      <c r="G968">
        <f>IF(G$2=0,"",IFERROR(TRIM(INDEX('Pegar docentes'!$A$1:$BZ$1001,967,G$2)&amp;""),""))</f>
        <v/>
      </c>
      <c r="H968">
        <f>IF(H$2=0,"",IFERROR(TRIM(INDEX('Pegar docentes'!$A$1:$BZ$1001,967,H$2)&amp;""),""))</f>
        <v/>
      </c>
      <c r="I968">
        <f>IF(I$2=0,"",IFERROR(TRIM(INDEX('Pegar docentes'!$A$1:$BZ$1001,967,I$2)&amp;""),""))</f>
        <v/>
      </c>
      <c r="J968">
        <f>IF(J$2=0,"",IFERROR(TRIM(INDEX('Pegar docentes'!$A$1:$BZ$1001,967,J$2)&amp;""),""))</f>
        <v/>
      </c>
      <c r="K968">
        <f>IF(K$2=0,"",IFERROR(TRIM(INDEX('Pegar docentes'!$A$1:$BZ$1001,967,K$2)&amp;""),""))</f>
        <v/>
      </c>
      <c r="L968">
        <f>IF(L$2=0,"",IFERROR(TRIM(INDEX('Pegar docentes'!$A$1:$BZ$1001,967,L$2)&amp;""),""))</f>
        <v/>
      </c>
      <c r="M968">
        <f>IF(M$2=0,"",IFERROR(TRIM(INDEX('Pegar docentes'!$A$1:$BZ$1001,967,M$2)&amp;""),""))</f>
        <v/>
      </c>
      <c r="N968">
        <f>IF(N$2=0,"",IFERROR(TRIM(INDEX('Pegar docentes'!$A$1:$BZ$1001,967,N$2)&amp;""),""))</f>
        <v/>
      </c>
      <c r="O968">
        <f>IF(O$2=0,"",IFERROR(TRIM(INDEX('Pegar docentes'!$A$1:$BZ$1001,967,O$2)&amp;""),""))</f>
        <v/>
      </c>
      <c r="P968">
        <f>IF(P$2=0,"",IFERROR(TRIM(INDEX('Pegar docentes'!$A$1:$BZ$1001,967,P$2)&amp;""),""))</f>
        <v/>
      </c>
      <c r="Q968" s="25">
        <f>IF(OR(D968&lt;&gt;"",H968&lt;&gt;""),1,"")</f>
        <v/>
      </c>
      <c r="R968" s="25">
        <f>IF(Q968=1,IF(ISNUMBER(FIND("#"&amp;MID(D968,1,1)&amp;"#","#0#1#2#3#4#5#6#7#8#9#")),IF(ISNUMBER(FIND("#"&amp;MID(D968,2,1)&amp;"#","#0#1#2#3#4#5#6#7#8#9#")),IF(AND(VALUE(LEFT(D968,2))&gt;=1,VALUE(LEFT(D968,2))&lt;=5),VALUE(LEFT(D968,2)),""),IF(AND(VALUE(LEFT(D968,1))&gt;=1,VALUE(LEFT(D968,1))&lt;=5),VALUE(LEFT(D968,1)),"")),""),"")</f>
        <v/>
      </c>
      <c r="S968" s="25">
        <f>IF(AND(Q968=1,E968&lt;&gt;""),SUBSTITUTE(SUBSTITUTE(SUBSTITUTE(SUBSTITUTE(SUBSTITUTE(SUBSTITUTE(SUBSTITUTE(SUBSTITUTE(SUBSTITUTE(SUBSTITUTE(SUBSTITUTE(SUBSTITUTE(LOWER(TRIM(E968)),"á","a"),"é","e"),"í","i"),"ó","o"),"ú","u"),"ü","u"),"ñ","n"),"à","a"),"è","e"),"ì","i"),"ò","o"),"ù","u"),"")</f>
        <v/>
      </c>
      <c r="T968" s="25">
        <f>IF(AND(Q968=1,G968&lt;&gt;""),SUBSTITUTE(SUBSTITUTE(SUBSTITUTE(SUBSTITUTE(SUBSTITUTE(SUBSTITUTE(SUBSTITUTE(SUBSTITUTE(SUBSTITUTE(SUBSTITUTE(SUBSTITUTE(SUBSTITUTE(LOWER(TRIM(G968)),"á","a"),"é","e"),"í","i"),"ó","o"),"ú","u"),"ü","u"),"ñ","n"),"à","a"),"è","e"),"ì","i"),"ò","o"),"ù","u"),"")</f>
        <v/>
      </c>
      <c r="U968" s="25">
        <f>IF(AND(Q968=1,H968&lt;&gt;""),SUBSTITUTE(SUBSTITUTE(SUBSTITUTE(SUBSTITUTE(SUBSTITUTE(SUBSTITUTE(SUBSTITUTE(SUBSTITUTE(SUBSTITUTE(SUBSTITUTE(SUBSTITUTE(SUBSTITUTE(LOWER(TRIM(H968)),"á","a"),"é","e"),"í","i"),"ó","o"),"ú","u"),"ü","u"),"ñ","n"),"à","a"),"è","e"),"ì","i"),"ò","o"),"ù","u"),"")</f>
        <v/>
      </c>
      <c r="V968" s="25">
        <f>IF(AND(Q968=1,L968&lt;&gt;""),SUBSTITUTE(SUBSTITUTE(SUBSTITUTE(SUBSTITUTE(SUBSTITUTE(SUBSTITUTE(SUBSTITUTE(SUBSTITUTE(SUBSTITUTE(SUBSTITUTE(SUBSTITUTE(SUBSTITUTE(LOWER(TRIM(L968)),"á","a"),"é","e"),"í","i"),"ó","o"),"ú","u"),"ü","u"),"ñ","n"),"à","a"),"è","e"),"ì","i"),"ò","o"),"ù","u"),"")</f>
        <v/>
      </c>
      <c r="W968" s="25">
        <f>IF(AND(Q968=1,I968&lt;&gt;""),SUBSTITUTE(SUBSTITUTE(SUBSTITUTE(SUBSTITUTE(SUBSTITUTE(SUBSTITUTE(SUBSTITUTE(SUBSTITUTE(SUBSTITUTE(SUBSTITUTE(SUBSTITUTE(SUBSTITUTE(LOWER(TRIM(I968)),"á","a"),"é","e"),"í","i"),"ó","o"),"ú","u"),"ü","u"),"ñ","n"),"à","a"),"è","e"),"ì","i"),"ò","o"),"ù","u"),"")</f>
        <v/>
      </c>
      <c r="X968" s="25">
        <f>IF(U968="","",IF(OR(U968="si, en la proxima tarea",U968="si, con cambios"),1,0))</f>
        <v/>
      </c>
      <c r="Y968" s="25">
        <f>IF(AND(Q968=1,A968&lt;&gt;""),IF(IFERROR(COUNTIFS(A$3:A968,"="&amp;SUBSTITUTE(SUBSTITUTE(SUBSTITUTE(A968,"~","~~"),"*","~*"),"?","~?"),Q$3:Q968,1),0)=1,MAX(Y$2:Y967)+1,""),"")</f>
        <v/>
      </c>
      <c r="Z968" s="25">
        <f>IF(Y968="","",COUNTIFS($A$3:$A$1002,"="&amp;SUBSTITUTE(SUBSTITUTE(SUBSTITUTE(A968,"~","~~"),"*","~*"),"?","~?"),$Q$3:$Q$1002,1)*10000-Y968)</f>
        <v/>
      </c>
    </row>
    <row r="969">
      <c r="A969">
        <f>IF(A$2=0,"",IFERROR(TRIM(INDEX('Pegar docentes'!$A$1:$BZ$1001,968,A$2)&amp;""),""))</f>
        <v/>
      </c>
      <c r="B969">
        <f>IF(B$2=0,"",IFERROR(TRIM(INDEX('Pegar docentes'!$A$1:$BZ$1001,968,B$2)&amp;""),""))</f>
        <v/>
      </c>
      <c r="C969">
        <f>IF(C$2=0,"",IFERROR(TRIM(INDEX('Pegar docentes'!$A$1:$BZ$1001,968,C$2)&amp;""),""))</f>
        <v/>
      </c>
      <c r="D969">
        <f>IF(D$2=0,"",IFERROR(TRIM(INDEX('Pegar docentes'!$A$1:$BZ$1001,968,D$2)&amp;""),""))</f>
        <v/>
      </c>
      <c r="E969">
        <f>IF(E$2=0,"",IFERROR(TRIM(INDEX('Pegar docentes'!$A$1:$BZ$1001,968,E$2)&amp;""),""))</f>
        <v/>
      </c>
      <c r="F969">
        <f>IF(F$2=0,"",IFERROR(TRIM(INDEX('Pegar docentes'!$A$1:$BZ$1001,968,F$2)&amp;""),""))</f>
        <v/>
      </c>
      <c r="G969">
        <f>IF(G$2=0,"",IFERROR(TRIM(INDEX('Pegar docentes'!$A$1:$BZ$1001,968,G$2)&amp;""),""))</f>
        <v/>
      </c>
      <c r="H969">
        <f>IF(H$2=0,"",IFERROR(TRIM(INDEX('Pegar docentes'!$A$1:$BZ$1001,968,H$2)&amp;""),""))</f>
        <v/>
      </c>
      <c r="I969">
        <f>IF(I$2=0,"",IFERROR(TRIM(INDEX('Pegar docentes'!$A$1:$BZ$1001,968,I$2)&amp;""),""))</f>
        <v/>
      </c>
      <c r="J969">
        <f>IF(J$2=0,"",IFERROR(TRIM(INDEX('Pegar docentes'!$A$1:$BZ$1001,968,J$2)&amp;""),""))</f>
        <v/>
      </c>
      <c r="K969">
        <f>IF(K$2=0,"",IFERROR(TRIM(INDEX('Pegar docentes'!$A$1:$BZ$1001,968,K$2)&amp;""),""))</f>
        <v/>
      </c>
      <c r="L969">
        <f>IF(L$2=0,"",IFERROR(TRIM(INDEX('Pegar docentes'!$A$1:$BZ$1001,968,L$2)&amp;""),""))</f>
        <v/>
      </c>
      <c r="M969">
        <f>IF(M$2=0,"",IFERROR(TRIM(INDEX('Pegar docentes'!$A$1:$BZ$1001,968,M$2)&amp;""),""))</f>
        <v/>
      </c>
      <c r="N969">
        <f>IF(N$2=0,"",IFERROR(TRIM(INDEX('Pegar docentes'!$A$1:$BZ$1001,968,N$2)&amp;""),""))</f>
        <v/>
      </c>
      <c r="O969">
        <f>IF(O$2=0,"",IFERROR(TRIM(INDEX('Pegar docentes'!$A$1:$BZ$1001,968,O$2)&amp;""),""))</f>
        <v/>
      </c>
      <c r="P969">
        <f>IF(P$2=0,"",IFERROR(TRIM(INDEX('Pegar docentes'!$A$1:$BZ$1001,968,P$2)&amp;""),""))</f>
        <v/>
      </c>
      <c r="Q969" s="25">
        <f>IF(OR(D969&lt;&gt;"",H969&lt;&gt;""),1,"")</f>
        <v/>
      </c>
      <c r="R969" s="25">
        <f>IF(Q969=1,IF(ISNUMBER(FIND("#"&amp;MID(D969,1,1)&amp;"#","#0#1#2#3#4#5#6#7#8#9#")),IF(ISNUMBER(FIND("#"&amp;MID(D969,2,1)&amp;"#","#0#1#2#3#4#5#6#7#8#9#")),IF(AND(VALUE(LEFT(D969,2))&gt;=1,VALUE(LEFT(D969,2))&lt;=5),VALUE(LEFT(D969,2)),""),IF(AND(VALUE(LEFT(D969,1))&gt;=1,VALUE(LEFT(D969,1))&lt;=5),VALUE(LEFT(D969,1)),"")),""),"")</f>
        <v/>
      </c>
      <c r="S969" s="25">
        <f>IF(AND(Q969=1,E969&lt;&gt;""),SUBSTITUTE(SUBSTITUTE(SUBSTITUTE(SUBSTITUTE(SUBSTITUTE(SUBSTITUTE(SUBSTITUTE(SUBSTITUTE(SUBSTITUTE(SUBSTITUTE(SUBSTITUTE(SUBSTITUTE(LOWER(TRIM(E969)),"á","a"),"é","e"),"í","i"),"ó","o"),"ú","u"),"ü","u"),"ñ","n"),"à","a"),"è","e"),"ì","i"),"ò","o"),"ù","u"),"")</f>
        <v/>
      </c>
      <c r="T969" s="25">
        <f>IF(AND(Q969=1,G969&lt;&gt;""),SUBSTITUTE(SUBSTITUTE(SUBSTITUTE(SUBSTITUTE(SUBSTITUTE(SUBSTITUTE(SUBSTITUTE(SUBSTITUTE(SUBSTITUTE(SUBSTITUTE(SUBSTITUTE(SUBSTITUTE(LOWER(TRIM(G969)),"á","a"),"é","e"),"í","i"),"ó","o"),"ú","u"),"ü","u"),"ñ","n"),"à","a"),"è","e"),"ì","i"),"ò","o"),"ù","u"),"")</f>
        <v/>
      </c>
      <c r="U969" s="25">
        <f>IF(AND(Q969=1,H969&lt;&gt;""),SUBSTITUTE(SUBSTITUTE(SUBSTITUTE(SUBSTITUTE(SUBSTITUTE(SUBSTITUTE(SUBSTITUTE(SUBSTITUTE(SUBSTITUTE(SUBSTITUTE(SUBSTITUTE(SUBSTITUTE(LOWER(TRIM(H969)),"á","a"),"é","e"),"í","i"),"ó","o"),"ú","u"),"ü","u"),"ñ","n"),"à","a"),"è","e"),"ì","i"),"ò","o"),"ù","u"),"")</f>
        <v/>
      </c>
      <c r="V969" s="25">
        <f>IF(AND(Q969=1,L969&lt;&gt;""),SUBSTITUTE(SUBSTITUTE(SUBSTITUTE(SUBSTITUTE(SUBSTITUTE(SUBSTITUTE(SUBSTITUTE(SUBSTITUTE(SUBSTITUTE(SUBSTITUTE(SUBSTITUTE(SUBSTITUTE(LOWER(TRIM(L969)),"á","a"),"é","e"),"í","i"),"ó","o"),"ú","u"),"ü","u"),"ñ","n"),"à","a"),"è","e"),"ì","i"),"ò","o"),"ù","u"),"")</f>
        <v/>
      </c>
      <c r="W969" s="25">
        <f>IF(AND(Q969=1,I969&lt;&gt;""),SUBSTITUTE(SUBSTITUTE(SUBSTITUTE(SUBSTITUTE(SUBSTITUTE(SUBSTITUTE(SUBSTITUTE(SUBSTITUTE(SUBSTITUTE(SUBSTITUTE(SUBSTITUTE(SUBSTITUTE(LOWER(TRIM(I969)),"á","a"),"é","e"),"í","i"),"ó","o"),"ú","u"),"ü","u"),"ñ","n"),"à","a"),"è","e"),"ì","i"),"ò","o"),"ù","u"),"")</f>
        <v/>
      </c>
      <c r="X969" s="25">
        <f>IF(U969="","",IF(OR(U969="si, en la proxima tarea",U969="si, con cambios"),1,0))</f>
        <v/>
      </c>
      <c r="Y969" s="25">
        <f>IF(AND(Q969=1,A969&lt;&gt;""),IF(IFERROR(COUNTIFS(A$3:A969,"="&amp;SUBSTITUTE(SUBSTITUTE(SUBSTITUTE(A969,"~","~~"),"*","~*"),"?","~?"),Q$3:Q969,1),0)=1,MAX(Y$2:Y968)+1,""),"")</f>
        <v/>
      </c>
      <c r="Z969" s="25">
        <f>IF(Y969="","",COUNTIFS($A$3:$A$1002,"="&amp;SUBSTITUTE(SUBSTITUTE(SUBSTITUTE(A969,"~","~~"),"*","~*"),"?","~?"),$Q$3:$Q$1002,1)*10000-Y969)</f>
        <v/>
      </c>
    </row>
    <row r="970">
      <c r="A970">
        <f>IF(A$2=0,"",IFERROR(TRIM(INDEX('Pegar docentes'!$A$1:$BZ$1001,969,A$2)&amp;""),""))</f>
        <v/>
      </c>
      <c r="B970">
        <f>IF(B$2=0,"",IFERROR(TRIM(INDEX('Pegar docentes'!$A$1:$BZ$1001,969,B$2)&amp;""),""))</f>
        <v/>
      </c>
      <c r="C970">
        <f>IF(C$2=0,"",IFERROR(TRIM(INDEX('Pegar docentes'!$A$1:$BZ$1001,969,C$2)&amp;""),""))</f>
        <v/>
      </c>
      <c r="D970">
        <f>IF(D$2=0,"",IFERROR(TRIM(INDEX('Pegar docentes'!$A$1:$BZ$1001,969,D$2)&amp;""),""))</f>
        <v/>
      </c>
      <c r="E970">
        <f>IF(E$2=0,"",IFERROR(TRIM(INDEX('Pegar docentes'!$A$1:$BZ$1001,969,E$2)&amp;""),""))</f>
        <v/>
      </c>
      <c r="F970">
        <f>IF(F$2=0,"",IFERROR(TRIM(INDEX('Pegar docentes'!$A$1:$BZ$1001,969,F$2)&amp;""),""))</f>
        <v/>
      </c>
      <c r="G970">
        <f>IF(G$2=0,"",IFERROR(TRIM(INDEX('Pegar docentes'!$A$1:$BZ$1001,969,G$2)&amp;""),""))</f>
        <v/>
      </c>
      <c r="H970">
        <f>IF(H$2=0,"",IFERROR(TRIM(INDEX('Pegar docentes'!$A$1:$BZ$1001,969,H$2)&amp;""),""))</f>
        <v/>
      </c>
      <c r="I970">
        <f>IF(I$2=0,"",IFERROR(TRIM(INDEX('Pegar docentes'!$A$1:$BZ$1001,969,I$2)&amp;""),""))</f>
        <v/>
      </c>
      <c r="J970">
        <f>IF(J$2=0,"",IFERROR(TRIM(INDEX('Pegar docentes'!$A$1:$BZ$1001,969,J$2)&amp;""),""))</f>
        <v/>
      </c>
      <c r="K970">
        <f>IF(K$2=0,"",IFERROR(TRIM(INDEX('Pegar docentes'!$A$1:$BZ$1001,969,K$2)&amp;""),""))</f>
        <v/>
      </c>
      <c r="L970">
        <f>IF(L$2=0,"",IFERROR(TRIM(INDEX('Pegar docentes'!$A$1:$BZ$1001,969,L$2)&amp;""),""))</f>
        <v/>
      </c>
      <c r="M970">
        <f>IF(M$2=0,"",IFERROR(TRIM(INDEX('Pegar docentes'!$A$1:$BZ$1001,969,M$2)&amp;""),""))</f>
        <v/>
      </c>
      <c r="N970">
        <f>IF(N$2=0,"",IFERROR(TRIM(INDEX('Pegar docentes'!$A$1:$BZ$1001,969,N$2)&amp;""),""))</f>
        <v/>
      </c>
      <c r="O970">
        <f>IF(O$2=0,"",IFERROR(TRIM(INDEX('Pegar docentes'!$A$1:$BZ$1001,969,O$2)&amp;""),""))</f>
        <v/>
      </c>
      <c r="P970">
        <f>IF(P$2=0,"",IFERROR(TRIM(INDEX('Pegar docentes'!$A$1:$BZ$1001,969,P$2)&amp;""),""))</f>
        <v/>
      </c>
      <c r="Q970" s="25">
        <f>IF(OR(D970&lt;&gt;"",H970&lt;&gt;""),1,"")</f>
        <v/>
      </c>
      <c r="R970" s="25">
        <f>IF(Q970=1,IF(ISNUMBER(FIND("#"&amp;MID(D970,1,1)&amp;"#","#0#1#2#3#4#5#6#7#8#9#")),IF(ISNUMBER(FIND("#"&amp;MID(D970,2,1)&amp;"#","#0#1#2#3#4#5#6#7#8#9#")),IF(AND(VALUE(LEFT(D970,2))&gt;=1,VALUE(LEFT(D970,2))&lt;=5),VALUE(LEFT(D970,2)),""),IF(AND(VALUE(LEFT(D970,1))&gt;=1,VALUE(LEFT(D970,1))&lt;=5),VALUE(LEFT(D970,1)),"")),""),"")</f>
        <v/>
      </c>
      <c r="S970" s="25">
        <f>IF(AND(Q970=1,E970&lt;&gt;""),SUBSTITUTE(SUBSTITUTE(SUBSTITUTE(SUBSTITUTE(SUBSTITUTE(SUBSTITUTE(SUBSTITUTE(SUBSTITUTE(SUBSTITUTE(SUBSTITUTE(SUBSTITUTE(SUBSTITUTE(LOWER(TRIM(E970)),"á","a"),"é","e"),"í","i"),"ó","o"),"ú","u"),"ü","u"),"ñ","n"),"à","a"),"è","e"),"ì","i"),"ò","o"),"ù","u"),"")</f>
        <v/>
      </c>
      <c r="T970" s="25">
        <f>IF(AND(Q970=1,G970&lt;&gt;""),SUBSTITUTE(SUBSTITUTE(SUBSTITUTE(SUBSTITUTE(SUBSTITUTE(SUBSTITUTE(SUBSTITUTE(SUBSTITUTE(SUBSTITUTE(SUBSTITUTE(SUBSTITUTE(SUBSTITUTE(LOWER(TRIM(G970)),"á","a"),"é","e"),"í","i"),"ó","o"),"ú","u"),"ü","u"),"ñ","n"),"à","a"),"è","e"),"ì","i"),"ò","o"),"ù","u"),"")</f>
        <v/>
      </c>
      <c r="U970" s="25">
        <f>IF(AND(Q970=1,H970&lt;&gt;""),SUBSTITUTE(SUBSTITUTE(SUBSTITUTE(SUBSTITUTE(SUBSTITUTE(SUBSTITUTE(SUBSTITUTE(SUBSTITUTE(SUBSTITUTE(SUBSTITUTE(SUBSTITUTE(SUBSTITUTE(LOWER(TRIM(H970)),"á","a"),"é","e"),"í","i"),"ó","o"),"ú","u"),"ü","u"),"ñ","n"),"à","a"),"è","e"),"ì","i"),"ò","o"),"ù","u"),"")</f>
        <v/>
      </c>
      <c r="V970" s="25">
        <f>IF(AND(Q970=1,L970&lt;&gt;""),SUBSTITUTE(SUBSTITUTE(SUBSTITUTE(SUBSTITUTE(SUBSTITUTE(SUBSTITUTE(SUBSTITUTE(SUBSTITUTE(SUBSTITUTE(SUBSTITUTE(SUBSTITUTE(SUBSTITUTE(LOWER(TRIM(L970)),"á","a"),"é","e"),"í","i"),"ó","o"),"ú","u"),"ü","u"),"ñ","n"),"à","a"),"è","e"),"ì","i"),"ò","o"),"ù","u"),"")</f>
        <v/>
      </c>
      <c r="W970" s="25">
        <f>IF(AND(Q970=1,I970&lt;&gt;""),SUBSTITUTE(SUBSTITUTE(SUBSTITUTE(SUBSTITUTE(SUBSTITUTE(SUBSTITUTE(SUBSTITUTE(SUBSTITUTE(SUBSTITUTE(SUBSTITUTE(SUBSTITUTE(SUBSTITUTE(LOWER(TRIM(I970)),"á","a"),"é","e"),"í","i"),"ó","o"),"ú","u"),"ü","u"),"ñ","n"),"à","a"),"è","e"),"ì","i"),"ò","o"),"ù","u"),"")</f>
        <v/>
      </c>
      <c r="X970" s="25">
        <f>IF(U970="","",IF(OR(U970="si, en la proxima tarea",U970="si, con cambios"),1,0))</f>
        <v/>
      </c>
      <c r="Y970" s="25">
        <f>IF(AND(Q970=1,A970&lt;&gt;""),IF(IFERROR(COUNTIFS(A$3:A970,"="&amp;SUBSTITUTE(SUBSTITUTE(SUBSTITUTE(A970,"~","~~"),"*","~*"),"?","~?"),Q$3:Q970,1),0)=1,MAX(Y$2:Y969)+1,""),"")</f>
        <v/>
      </c>
      <c r="Z970" s="25">
        <f>IF(Y970="","",COUNTIFS($A$3:$A$1002,"="&amp;SUBSTITUTE(SUBSTITUTE(SUBSTITUTE(A970,"~","~~"),"*","~*"),"?","~?"),$Q$3:$Q$1002,1)*10000-Y970)</f>
        <v/>
      </c>
    </row>
    <row r="971">
      <c r="A971">
        <f>IF(A$2=0,"",IFERROR(TRIM(INDEX('Pegar docentes'!$A$1:$BZ$1001,970,A$2)&amp;""),""))</f>
        <v/>
      </c>
      <c r="B971">
        <f>IF(B$2=0,"",IFERROR(TRIM(INDEX('Pegar docentes'!$A$1:$BZ$1001,970,B$2)&amp;""),""))</f>
        <v/>
      </c>
      <c r="C971">
        <f>IF(C$2=0,"",IFERROR(TRIM(INDEX('Pegar docentes'!$A$1:$BZ$1001,970,C$2)&amp;""),""))</f>
        <v/>
      </c>
      <c r="D971">
        <f>IF(D$2=0,"",IFERROR(TRIM(INDEX('Pegar docentes'!$A$1:$BZ$1001,970,D$2)&amp;""),""))</f>
        <v/>
      </c>
      <c r="E971">
        <f>IF(E$2=0,"",IFERROR(TRIM(INDEX('Pegar docentes'!$A$1:$BZ$1001,970,E$2)&amp;""),""))</f>
        <v/>
      </c>
      <c r="F971">
        <f>IF(F$2=0,"",IFERROR(TRIM(INDEX('Pegar docentes'!$A$1:$BZ$1001,970,F$2)&amp;""),""))</f>
        <v/>
      </c>
      <c r="G971">
        <f>IF(G$2=0,"",IFERROR(TRIM(INDEX('Pegar docentes'!$A$1:$BZ$1001,970,G$2)&amp;""),""))</f>
        <v/>
      </c>
      <c r="H971">
        <f>IF(H$2=0,"",IFERROR(TRIM(INDEX('Pegar docentes'!$A$1:$BZ$1001,970,H$2)&amp;""),""))</f>
        <v/>
      </c>
      <c r="I971">
        <f>IF(I$2=0,"",IFERROR(TRIM(INDEX('Pegar docentes'!$A$1:$BZ$1001,970,I$2)&amp;""),""))</f>
        <v/>
      </c>
      <c r="J971">
        <f>IF(J$2=0,"",IFERROR(TRIM(INDEX('Pegar docentes'!$A$1:$BZ$1001,970,J$2)&amp;""),""))</f>
        <v/>
      </c>
      <c r="K971">
        <f>IF(K$2=0,"",IFERROR(TRIM(INDEX('Pegar docentes'!$A$1:$BZ$1001,970,K$2)&amp;""),""))</f>
        <v/>
      </c>
      <c r="L971">
        <f>IF(L$2=0,"",IFERROR(TRIM(INDEX('Pegar docentes'!$A$1:$BZ$1001,970,L$2)&amp;""),""))</f>
        <v/>
      </c>
      <c r="M971">
        <f>IF(M$2=0,"",IFERROR(TRIM(INDEX('Pegar docentes'!$A$1:$BZ$1001,970,M$2)&amp;""),""))</f>
        <v/>
      </c>
      <c r="N971">
        <f>IF(N$2=0,"",IFERROR(TRIM(INDEX('Pegar docentes'!$A$1:$BZ$1001,970,N$2)&amp;""),""))</f>
        <v/>
      </c>
      <c r="O971">
        <f>IF(O$2=0,"",IFERROR(TRIM(INDEX('Pegar docentes'!$A$1:$BZ$1001,970,O$2)&amp;""),""))</f>
        <v/>
      </c>
      <c r="P971">
        <f>IF(P$2=0,"",IFERROR(TRIM(INDEX('Pegar docentes'!$A$1:$BZ$1001,970,P$2)&amp;""),""))</f>
        <v/>
      </c>
      <c r="Q971" s="25">
        <f>IF(OR(D971&lt;&gt;"",H971&lt;&gt;""),1,"")</f>
        <v/>
      </c>
      <c r="R971" s="25">
        <f>IF(Q971=1,IF(ISNUMBER(FIND("#"&amp;MID(D971,1,1)&amp;"#","#0#1#2#3#4#5#6#7#8#9#")),IF(ISNUMBER(FIND("#"&amp;MID(D971,2,1)&amp;"#","#0#1#2#3#4#5#6#7#8#9#")),IF(AND(VALUE(LEFT(D971,2))&gt;=1,VALUE(LEFT(D971,2))&lt;=5),VALUE(LEFT(D971,2)),""),IF(AND(VALUE(LEFT(D971,1))&gt;=1,VALUE(LEFT(D971,1))&lt;=5),VALUE(LEFT(D971,1)),"")),""),"")</f>
        <v/>
      </c>
      <c r="S971" s="25">
        <f>IF(AND(Q971=1,E971&lt;&gt;""),SUBSTITUTE(SUBSTITUTE(SUBSTITUTE(SUBSTITUTE(SUBSTITUTE(SUBSTITUTE(SUBSTITUTE(SUBSTITUTE(SUBSTITUTE(SUBSTITUTE(SUBSTITUTE(SUBSTITUTE(LOWER(TRIM(E971)),"á","a"),"é","e"),"í","i"),"ó","o"),"ú","u"),"ü","u"),"ñ","n"),"à","a"),"è","e"),"ì","i"),"ò","o"),"ù","u"),"")</f>
        <v/>
      </c>
      <c r="T971" s="25">
        <f>IF(AND(Q971=1,G971&lt;&gt;""),SUBSTITUTE(SUBSTITUTE(SUBSTITUTE(SUBSTITUTE(SUBSTITUTE(SUBSTITUTE(SUBSTITUTE(SUBSTITUTE(SUBSTITUTE(SUBSTITUTE(SUBSTITUTE(SUBSTITUTE(LOWER(TRIM(G971)),"á","a"),"é","e"),"í","i"),"ó","o"),"ú","u"),"ü","u"),"ñ","n"),"à","a"),"è","e"),"ì","i"),"ò","o"),"ù","u"),"")</f>
        <v/>
      </c>
      <c r="U971" s="25">
        <f>IF(AND(Q971=1,H971&lt;&gt;""),SUBSTITUTE(SUBSTITUTE(SUBSTITUTE(SUBSTITUTE(SUBSTITUTE(SUBSTITUTE(SUBSTITUTE(SUBSTITUTE(SUBSTITUTE(SUBSTITUTE(SUBSTITUTE(SUBSTITUTE(LOWER(TRIM(H971)),"á","a"),"é","e"),"í","i"),"ó","o"),"ú","u"),"ü","u"),"ñ","n"),"à","a"),"è","e"),"ì","i"),"ò","o"),"ù","u"),"")</f>
        <v/>
      </c>
      <c r="V971" s="25">
        <f>IF(AND(Q971=1,L971&lt;&gt;""),SUBSTITUTE(SUBSTITUTE(SUBSTITUTE(SUBSTITUTE(SUBSTITUTE(SUBSTITUTE(SUBSTITUTE(SUBSTITUTE(SUBSTITUTE(SUBSTITUTE(SUBSTITUTE(SUBSTITUTE(LOWER(TRIM(L971)),"á","a"),"é","e"),"í","i"),"ó","o"),"ú","u"),"ü","u"),"ñ","n"),"à","a"),"è","e"),"ì","i"),"ò","o"),"ù","u"),"")</f>
        <v/>
      </c>
      <c r="W971" s="25">
        <f>IF(AND(Q971=1,I971&lt;&gt;""),SUBSTITUTE(SUBSTITUTE(SUBSTITUTE(SUBSTITUTE(SUBSTITUTE(SUBSTITUTE(SUBSTITUTE(SUBSTITUTE(SUBSTITUTE(SUBSTITUTE(SUBSTITUTE(SUBSTITUTE(LOWER(TRIM(I971)),"á","a"),"é","e"),"í","i"),"ó","o"),"ú","u"),"ü","u"),"ñ","n"),"à","a"),"è","e"),"ì","i"),"ò","o"),"ù","u"),"")</f>
        <v/>
      </c>
      <c r="X971" s="25">
        <f>IF(U971="","",IF(OR(U971="si, en la proxima tarea",U971="si, con cambios"),1,0))</f>
        <v/>
      </c>
      <c r="Y971" s="25">
        <f>IF(AND(Q971=1,A971&lt;&gt;""),IF(IFERROR(COUNTIFS(A$3:A971,"="&amp;SUBSTITUTE(SUBSTITUTE(SUBSTITUTE(A971,"~","~~"),"*","~*"),"?","~?"),Q$3:Q971,1),0)=1,MAX(Y$2:Y970)+1,""),"")</f>
        <v/>
      </c>
      <c r="Z971" s="25">
        <f>IF(Y971="","",COUNTIFS($A$3:$A$1002,"="&amp;SUBSTITUTE(SUBSTITUTE(SUBSTITUTE(A971,"~","~~"),"*","~*"),"?","~?"),$Q$3:$Q$1002,1)*10000-Y971)</f>
        <v/>
      </c>
    </row>
    <row r="972">
      <c r="A972">
        <f>IF(A$2=0,"",IFERROR(TRIM(INDEX('Pegar docentes'!$A$1:$BZ$1001,971,A$2)&amp;""),""))</f>
        <v/>
      </c>
      <c r="B972">
        <f>IF(B$2=0,"",IFERROR(TRIM(INDEX('Pegar docentes'!$A$1:$BZ$1001,971,B$2)&amp;""),""))</f>
        <v/>
      </c>
      <c r="C972">
        <f>IF(C$2=0,"",IFERROR(TRIM(INDEX('Pegar docentes'!$A$1:$BZ$1001,971,C$2)&amp;""),""))</f>
        <v/>
      </c>
      <c r="D972">
        <f>IF(D$2=0,"",IFERROR(TRIM(INDEX('Pegar docentes'!$A$1:$BZ$1001,971,D$2)&amp;""),""))</f>
        <v/>
      </c>
      <c r="E972">
        <f>IF(E$2=0,"",IFERROR(TRIM(INDEX('Pegar docentes'!$A$1:$BZ$1001,971,E$2)&amp;""),""))</f>
        <v/>
      </c>
      <c r="F972">
        <f>IF(F$2=0,"",IFERROR(TRIM(INDEX('Pegar docentes'!$A$1:$BZ$1001,971,F$2)&amp;""),""))</f>
        <v/>
      </c>
      <c r="G972">
        <f>IF(G$2=0,"",IFERROR(TRIM(INDEX('Pegar docentes'!$A$1:$BZ$1001,971,G$2)&amp;""),""))</f>
        <v/>
      </c>
      <c r="H972">
        <f>IF(H$2=0,"",IFERROR(TRIM(INDEX('Pegar docentes'!$A$1:$BZ$1001,971,H$2)&amp;""),""))</f>
        <v/>
      </c>
      <c r="I972">
        <f>IF(I$2=0,"",IFERROR(TRIM(INDEX('Pegar docentes'!$A$1:$BZ$1001,971,I$2)&amp;""),""))</f>
        <v/>
      </c>
      <c r="J972">
        <f>IF(J$2=0,"",IFERROR(TRIM(INDEX('Pegar docentes'!$A$1:$BZ$1001,971,J$2)&amp;""),""))</f>
        <v/>
      </c>
      <c r="K972">
        <f>IF(K$2=0,"",IFERROR(TRIM(INDEX('Pegar docentes'!$A$1:$BZ$1001,971,K$2)&amp;""),""))</f>
        <v/>
      </c>
      <c r="L972">
        <f>IF(L$2=0,"",IFERROR(TRIM(INDEX('Pegar docentes'!$A$1:$BZ$1001,971,L$2)&amp;""),""))</f>
        <v/>
      </c>
      <c r="M972">
        <f>IF(M$2=0,"",IFERROR(TRIM(INDEX('Pegar docentes'!$A$1:$BZ$1001,971,M$2)&amp;""),""))</f>
        <v/>
      </c>
      <c r="N972">
        <f>IF(N$2=0,"",IFERROR(TRIM(INDEX('Pegar docentes'!$A$1:$BZ$1001,971,N$2)&amp;""),""))</f>
        <v/>
      </c>
      <c r="O972">
        <f>IF(O$2=0,"",IFERROR(TRIM(INDEX('Pegar docentes'!$A$1:$BZ$1001,971,O$2)&amp;""),""))</f>
        <v/>
      </c>
      <c r="P972">
        <f>IF(P$2=0,"",IFERROR(TRIM(INDEX('Pegar docentes'!$A$1:$BZ$1001,971,P$2)&amp;""),""))</f>
        <v/>
      </c>
      <c r="Q972" s="25">
        <f>IF(OR(D972&lt;&gt;"",H972&lt;&gt;""),1,"")</f>
        <v/>
      </c>
      <c r="R972" s="25">
        <f>IF(Q972=1,IF(ISNUMBER(FIND("#"&amp;MID(D972,1,1)&amp;"#","#0#1#2#3#4#5#6#7#8#9#")),IF(ISNUMBER(FIND("#"&amp;MID(D972,2,1)&amp;"#","#0#1#2#3#4#5#6#7#8#9#")),IF(AND(VALUE(LEFT(D972,2))&gt;=1,VALUE(LEFT(D972,2))&lt;=5),VALUE(LEFT(D972,2)),""),IF(AND(VALUE(LEFT(D972,1))&gt;=1,VALUE(LEFT(D972,1))&lt;=5),VALUE(LEFT(D972,1)),"")),""),"")</f>
        <v/>
      </c>
      <c r="S972" s="25">
        <f>IF(AND(Q972=1,E972&lt;&gt;""),SUBSTITUTE(SUBSTITUTE(SUBSTITUTE(SUBSTITUTE(SUBSTITUTE(SUBSTITUTE(SUBSTITUTE(SUBSTITUTE(SUBSTITUTE(SUBSTITUTE(SUBSTITUTE(SUBSTITUTE(LOWER(TRIM(E972)),"á","a"),"é","e"),"í","i"),"ó","o"),"ú","u"),"ü","u"),"ñ","n"),"à","a"),"è","e"),"ì","i"),"ò","o"),"ù","u"),"")</f>
        <v/>
      </c>
      <c r="T972" s="25">
        <f>IF(AND(Q972=1,G972&lt;&gt;""),SUBSTITUTE(SUBSTITUTE(SUBSTITUTE(SUBSTITUTE(SUBSTITUTE(SUBSTITUTE(SUBSTITUTE(SUBSTITUTE(SUBSTITUTE(SUBSTITUTE(SUBSTITUTE(SUBSTITUTE(LOWER(TRIM(G972)),"á","a"),"é","e"),"í","i"),"ó","o"),"ú","u"),"ü","u"),"ñ","n"),"à","a"),"è","e"),"ì","i"),"ò","o"),"ù","u"),"")</f>
        <v/>
      </c>
      <c r="U972" s="25">
        <f>IF(AND(Q972=1,H972&lt;&gt;""),SUBSTITUTE(SUBSTITUTE(SUBSTITUTE(SUBSTITUTE(SUBSTITUTE(SUBSTITUTE(SUBSTITUTE(SUBSTITUTE(SUBSTITUTE(SUBSTITUTE(SUBSTITUTE(SUBSTITUTE(LOWER(TRIM(H972)),"á","a"),"é","e"),"í","i"),"ó","o"),"ú","u"),"ü","u"),"ñ","n"),"à","a"),"è","e"),"ì","i"),"ò","o"),"ù","u"),"")</f>
        <v/>
      </c>
      <c r="V972" s="25">
        <f>IF(AND(Q972=1,L972&lt;&gt;""),SUBSTITUTE(SUBSTITUTE(SUBSTITUTE(SUBSTITUTE(SUBSTITUTE(SUBSTITUTE(SUBSTITUTE(SUBSTITUTE(SUBSTITUTE(SUBSTITUTE(SUBSTITUTE(SUBSTITUTE(LOWER(TRIM(L972)),"á","a"),"é","e"),"í","i"),"ó","o"),"ú","u"),"ü","u"),"ñ","n"),"à","a"),"è","e"),"ì","i"),"ò","o"),"ù","u"),"")</f>
        <v/>
      </c>
      <c r="W972" s="25">
        <f>IF(AND(Q972=1,I972&lt;&gt;""),SUBSTITUTE(SUBSTITUTE(SUBSTITUTE(SUBSTITUTE(SUBSTITUTE(SUBSTITUTE(SUBSTITUTE(SUBSTITUTE(SUBSTITUTE(SUBSTITUTE(SUBSTITUTE(SUBSTITUTE(LOWER(TRIM(I972)),"á","a"),"é","e"),"í","i"),"ó","o"),"ú","u"),"ü","u"),"ñ","n"),"à","a"),"è","e"),"ì","i"),"ò","o"),"ù","u"),"")</f>
        <v/>
      </c>
      <c r="X972" s="25">
        <f>IF(U972="","",IF(OR(U972="si, en la proxima tarea",U972="si, con cambios"),1,0))</f>
        <v/>
      </c>
      <c r="Y972" s="25">
        <f>IF(AND(Q972=1,A972&lt;&gt;""),IF(IFERROR(COUNTIFS(A$3:A972,"="&amp;SUBSTITUTE(SUBSTITUTE(SUBSTITUTE(A972,"~","~~"),"*","~*"),"?","~?"),Q$3:Q972,1),0)=1,MAX(Y$2:Y971)+1,""),"")</f>
        <v/>
      </c>
      <c r="Z972" s="25">
        <f>IF(Y972="","",COUNTIFS($A$3:$A$1002,"="&amp;SUBSTITUTE(SUBSTITUTE(SUBSTITUTE(A972,"~","~~"),"*","~*"),"?","~?"),$Q$3:$Q$1002,1)*10000-Y972)</f>
        <v/>
      </c>
    </row>
    <row r="973">
      <c r="A973">
        <f>IF(A$2=0,"",IFERROR(TRIM(INDEX('Pegar docentes'!$A$1:$BZ$1001,972,A$2)&amp;""),""))</f>
        <v/>
      </c>
      <c r="B973">
        <f>IF(B$2=0,"",IFERROR(TRIM(INDEX('Pegar docentes'!$A$1:$BZ$1001,972,B$2)&amp;""),""))</f>
        <v/>
      </c>
      <c r="C973">
        <f>IF(C$2=0,"",IFERROR(TRIM(INDEX('Pegar docentes'!$A$1:$BZ$1001,972,C$2)&amp;""),""))</f>
        <v/>
      </c>
      <c r="D973">
        <f>IF(D$2=0,"",IFERROR(TRIM(INDEX('Pegar docentes'!$A$1:$BZ$1001,972,D$2)&amp;""),""))</f>
        <v/>
      </c>
      <c r="E973">
        <f>IF(E$2=0,"",IFERROR(TRIM(INDEX('Pegar docentes'!$A$1:$BZ$1001,972,E$2)&amp;""),""))</f>
        <v/>
      </c>
      <c r="F973">
        <f>IF(F$2=0,"",IFERROR(TRIM(INDEX('Pegar docentes'!$A$1:$BZ$1001,972,F$2)&amp;""),""))</f>
        <v/>
      </c>
      <c r="G973">
        <f>IF(G$2=0,"",IFERROR(TRIM(INDEX('Pegar docentes'!$A$1:$BZ$1001,972,G$2)&amp;""),""))</f>
        <v/>
      </c>
      <c r="H973">
        <f>IF(H$2=0,"",IFERROR(TRIM(INDEX('Pegar docentes'!$A$1:$BZ$1001,972,H$2)&amp;""),""))</f>
        <v/>
      </c>
      <c r="I973">
        <f>IF(I$2=0,"",IFERROR(TRIM(INDEX('Pegar docentes'!$A$1:$BZ$1001,972,I$2)&amp;""),""))</f>
        <v/>
      </c>
      <c r="J973">
        <f>IF(J$2=0,"",IFERROR(TRIM(INDEX('Pegar docentes'!$A$1:$BZ$1001,972,J$2)&amp;""),""))</f>
        <v/>
      </c>
      <c r="K973">
        <f>IF(K$2=0,"",IFERROR(TRIM(INDEX('Pegar docentes'!$A$1:$BZ$1001,972,K$2)&amp;""),""))</f>
        <v/>
      </c>
      <c r="L973">
        <f>IF(L$2=0,"",IFERROR(TRIM(INDEX('Pegar docentes'!$A$1:$BZ$1001,972,L$2)&amp;""),""))</f>
        <v/>
      </c>
      <c r="M973">
        <f>IF(M$2=0,"",IFERROR(TRIM(INDEX('Pegar docentes'!$A$1:$BZ$1001,972,M$2)&amp;""),""))</f>
        <v/>
      </c>
      <c r="N973">
        <f>IF(N$2=0,"",IFERROR(TRIM(INDEX('Pegar docentes'!$A$1:$BZ$1001,972,N$2)&amp;""),""))</f>
        <v/>
      </c>
      <c r="O973">
        <f>IF(O$2=0,"",IFERROR(TRIM(INDEX('Pegar docentes'!$A$1:$BZ$1001,972,O$2)&amp;""),""))</f>
        <v/>
      </c>
      <c r="P973">
        <f>IF(P$2=0,"",IFERROR(TRIM(INDEX('Pegar docentes'!$A$1:$BZ$1001,972,P$2)&amp;""),""))</f>
        <v/>
      </c>
      <c r="Q973" s="25">
        <f>IF(OR(D973&lt;&gt;"",H973&lt;&gt;""),1,"")</f>
        <v/>
      </c>
      <c r="R973" s="25">
        <f>IF(Q973=1,IF(ISNUMBER(FIND("#"&amp;MID(D973,1,1)&amp;"#","#0#1#2#3#4#5#6#7#8#9#")),IF(ISNUMBER(FIND("#"&amp;MID(D973,2,1)&amp;"#","#0#1#2#3#4#5#6#7#8#9#")),IF(AND(VALUE(LEFT(D973,2))&gt;=1,VALUE(LEFT(D973,2))&lt;=5),VALUE(LEFT(D973,2)),""),IF(AND(VALUE(LEFT(D973,1))&gt;=1,VALUE(LEFT(D973,1))&lt;=5),VALUE(LEFT(D973,1)),"")),""),"")</f>
        <v/>
      </c>
      <c r="S973" s="25">
        <f>IF(AND(Q973=1,E973&lt;&gt;""),SUBSTITUTE(SUBSTITUTE(SUBSTITUTE(SUBSTITUTE(SUBSTITUTE(SUBSTITUTE(SUBSTITUTE(SUBSTITUTE(SUBSTITUTE(SUBSTITUTE(SUBSTITUTE(SUBSTITUTE(LOWER(TRIM(E973)),"á","a"),"é","e"),"í","i"),"ó","o"),"ú","u"),"ü","u"),"ñ","n"),"à","a"),"è","e"),"ì","i"),"ò","o"),"ù","u"),"")</f>
        <v/>
      </c>
      <c r="T973" s="25">
        <f>IF(AND(Q973=1,G973&lt;&gt;""),SUBSTITUTE(SUBSTITUTE(SUBSTITUTE(SUBSTITUTE(SUBSTITUTE(SUBSTITUTE(SUBSTITUTE(SUBSTITUTE(SUBSTITUTE(SUBSTITUTE(SUBSTITUTE(SUBSTITUTE(LOWER(TRIM(G973)),"á","a"),"é","e"),"í","i"),"ó","o"),"ú","u"),"ü","u"),"ñ","n"),"à","a"),"è","e"),"ì","i"),"ò","o"),"ù","u"),"")</f>
        <v/>
      </c>
      <c r="U973" s="25">
        <f>IF(AND(Q973=1,H973&lt;&gt;""),SUBSTITUTE(SUBSTITUTE(SUBSTITUTE(SUBSTITUTE(SUBSTITUTE(SUBSTITUTE(SUBSTITUTE(SUBSTITUTE(SUBSTITUTE(SUBSTITUTE(SUBSTITUTE(SUBSTITUTE(LOWER(TRIM(H973)),"á","a"),"é","e"),"í","i"),"ó","o"),"ú","u"),"ü","u"),"ñ","n"),"à","a"),"è","e"),"ì","i"),"ò","o"),"ù","u"),"")</f>
        <v/>
      </c>
      <c r="V973" s="25">
        <f>IF(AND(Q973=1,L973&lt;&gt;""),SUBSTITUTE(SUBSTITUTE(SUBSTITUTE(SUBSTITUTE(SUBSTITUTE(SUBSTITUTE(SUBSTITUTE(SUBSTITUTE(SUBSTITUTE(SUBSTITUTE(SUBSTITUTE(SUBSTITUTE(LOWER(TRIM(L973)),"á","a"),"é","e"),"í","i"),"ó","o"),"ú","u"),"ü","u"),"ñ","n"),"à","a"),"è","e"),"ì","i"),"ò","o"),"ù","u"),"")</f>
        <v/>
      </c>
      <c r="W973" s="25">
        <f>IF(AND(Q973=1,I973&lt;&gt;""),SUBSTITUTE(SUBSTITUTE(SUBSTITUTE(SUBSTITUTE(SUBSTITUTE(SUBSTITUTE(SUBSTITUTE(SUBSTITUTE(SUBSTITUTE(SUBSTITUTE(SUBSTITUTE(SUBSTITUTE(LOWER(TRIM(I973)),"á","a"),"é","e"),"í","i"),"ó","o"),"ú","u"),"ü","u"),"ñ","n"),"à","a"),"è","e"),"ì","i"),"ò","o"),"ù","u"),"")</f>
        <v/>
      </c>
      <c r="X973" s="25">
        <f>IF(U973="","",IF(OR(U973="si, en la proxima tarea",U973="si, con cambios"),1,0))</f>
        <v/>
      </c>
      <c r="Y973" s="25">
        <f>IF(AND(Q973=1,A973&lt;&gt;""),IF(IFERROR(COUNTIFS(A$3:A973,"="&amp;SUBSTITUTE(SUBSTITUTE(SUBSTITUTE(A973,"~","~~"),"*","~*"),"?","~?"),Q$3:Q973,1),0)=1,MAX(Y$2:Y972)+1,""),"")</f>
        <v/>
      </c>
      <c r="Z973" s="25">
        <f>IF(Y973="","",COUNTIFS($A$3:$A$1002,"="&amp;SUBSTITUTE(SUBSTITUTE(SUBSTITUTE(A973,"~","~~"),"*","~*"),"?","~?"),$Q$3:$Q$1002,1)*10000-Y973)</f>
        <v/>
      </c>
    </row>
    <row r="974">
      <c r="A974">
        <f>IF(A$2=0,"",IFERROR(TRIM(INDEX('Pegar docentes'!$A$1:$BZ$1001,973,A$2)&amp;""),""))</f>
        <v/>
      </c>
      <c r="B974">
        <f>IF(B$2=0,"",IFERROR(TRIM(INDEX('Pegar docentes'!$A$1:$BZ$1001,973,B$2)&amp;""),""))</f>
        <v/>
      </c>
      <c r="C974">
        <f>IF(C$2=0,"",IFERROR(TRIM(INDEX('Pegar docentes'!$A$1:$BZ$1001,973,C$2)&amp;""),""))</f>
        <v/>
      </c>
      <c r="D974">
        <f>IF(D$2=0,"",IFERROR(TRIM(INDEX('Pegar docentes'!$A$1:$BZ$1001,973,D$2)&amp;""),""))</f>
        <v/>
      </c>
      <c r="E974">
        <f>IF(E$2=0,"",IFERROR(TRIM(INDEX('Pegar docentes'!$A$1:$BZ$1001,973,E$2)&amp;""),""))</f>
        <v/>
      </c>
      <c r="F974">
        <f>IF(F$2=0,"",IFERROR(TRIM(INDEX('Pegar docentes'!$A$1:$BZ$1001,973,F$2)&amp;""),""))</f>
        <v/>
      </c>
      <c r="G974">
        <f>IF(G$2=0,"",IFERROR(TRIM(INDEX('Pegar docentes'!$A$1:$BZ$1001,973,G$2)&amp;""),""))</f>
        <v/>
      </c>
      <c r="H974">
        <f>IF(H$2=0,"",IFERROR(TRIM(INDEX('Pegar docentes'!$A$1:$BZ$1001,973,H$2)&amp;""),""))</f>
        <v/>
      </c>
      <c r="I974">
        <f>IF(I$2=0,"",IFERROR(TRIM(INDEX('Pegar docentes'!$A$1:$BZ$1001,973,I$2)&amp;""),""))</f>
        <v/>
      </c>
      <c r="J974">
        <f>IF(J$2=0,"",IFERROR(TRIM(INDEX('Pegar docentes'!$A$1:$BZ$1001,973,J$2)&amp;""),""))</f>
        <v/>
      </c>
      <c r="K974">
        <f>IF(K$2=0,"",IFERROR(TRIM(INDEX('Pegar docentes'!$A$1:$BZ$1001,973,K$2)&amp;""),""))</f>
        <v/>
      </c>
      <c r="L974">
        <f>IF(L$2=0,"",IFERROR(TRIM(INDEX('Pegar docentes'!$A$1:$BZ$1001,973,L$2)&amp;""),""))</f>
        <v/>
      </c>
      <c r="M974">
        <f>IF(M$2=0,"",IFERROR(TRIM(INDEX('Pegar docentes'!$A$1:$BZ$1001,973,M$2)&amp;""),""))</f>
        <v/>
      </c>
      <c r="N974">
        <f>IF(N$2=0,"",IFERROR(TRIM(INDEX('Pegar docentes'!$A$1:$BZ$1001,973,N$2)&amp;""),""))</f>
        <v/>
      </c>
      <c r="O974">
        <f>IF(O$2=0,"",IFERROR(TRIM(INDEX('Pegar docentes'!$A$1:$BZ$1001,973,O$2)&amp;""),""))</f>
        <v/>
      </c>
      <c r="P974">
        <f>IF(P$2=0,"",IFERROR(TRIM(INDEX('Pegar docentes'!$A$1:$BZ$1001,973,P$2)&amp;""),""))</f>
        <v/>
      </c>
      <c r="Q974" s="25">
        <f>IF(OR(D974&lt;&gt;"",H974&lt;&gt;""),1,"")</f>
        <v/>
      </c>
      <c r="R974" s="25">
        <f>IF(Q974=1,IF(ISNUMBER(FIND("#"&amp;MID(D974,1,1)&amp;"#","#0#1#2#3#4#5#6#7#8#9#")),IF(ISNUMBER(FIND("#"&amp;MID(D974,2,1)&amp;"#","#0#1#2#3#4#5#6#7#8#9#")),IF(AND(VALUE(LEFT(D974,2))&gt;=1,VALUE(LEFT(D974,2))&lt;=5),VALUE(LEFT(D974,2)),""),IF(AND(VALUE(LEFT(D974,1))&gt;=1,VALUE(LEFT(D974,1))&lt;=5),VALUE(LEFT(D974,1)),"")),""),"")</f>
        <v/>
      </c>
      <c r="S974" s="25">
        <f>IF(AND(Q974=1,E974&lt;&gt;""),SUBSTITUTE(SUBSTITUTE(SUBSTITUTE(SUBSTITUTE(SUBSTITUTE(SUBSTITUTE(SUBSTITUTE(SUBSTITUTE(SUBSTITUTE(SUBSTITUTE(SUBSTITUTE(SUBSTITUTE(LOWER(TRIM(E974)),"á","a"),"é","e"),"í","i"),"ó","o"),"ú","u"),"ü","u"),"ñ","n"),"à","a"),"è","e"),"ì","i"),"ò","o"),"ù","u"),"")</f>
        <v/>
      </c>
      <c r="T974" s="25">
        <f>IF(AND(Q974=1,G974&lt;&gt;""),SUBSTITUTE(SUBSTITUTE(SUBSTITUTE(SUBSTITUTE(SUBSTITUTE(SUBSTITUTE(SUBSTITUTE(SUBSTITUTE(SUBSTITUTE(SUBSTITUTE(SUBSTITUTE(SUBSTITUTE(LOWER(TRIM(G974)),"á","a"),"é","e"),"í","i"),"ó","o"),"ú","u"),"ü","u"),"ñ","n"),"à","a"),"è","e"),"ì","i"),"ò","o"),"ù","u"),"")</f>
        <v/>
      </c>
      <c r="U974" s="25">
        <f>IF(AND(Q974=1,H974&lt;&gt;""),SUBSTITUTE(SUBSTITUTE(SUBSTITUTE(SUBSTITUTE(SUBSTITUTE(SUBSTITUTE(SUBSTITUTE(SUBSTITUTE(SUBSTITUTE(SUBSTITUTE(SUBSTITUTE(SUBSTITUTE(LOWER(TRIM(H974)),"á","a"),"é","e"),"í","i"),"ó","o"),"ú","u"),"ü","u"),"ñ","n"),"à","a"),"è","e"),"ì","i"),"ò","o"),"ù","u"),"")</f>
        <v/>
      </c>
      <c r="V974" s="25">
        <f>IF(AND(Q974=1,L974&lt;&gt;""),SUBSTITUTE(SUBSTITUTE(SUBSTITUTE(SUBSTITUTE(SUBSTITUTE(SUBSTITUTE(SUBSTITUTE(SUBSTITUTE(SUBSTITUTE(SUBSTITUTE(SUBSTITUTE(SUBSTITUTE(LOWER(TRIM(L974)),"á","a"),"é","e"),"í","i"),"ó","o"),"ú","u"),"ü","u"),"ñ","n"),"à","a"),"è","e"),"ì","i"),"ò","o"),"ù","u"),"")</f>
        <v/>
      </c>
      <c r="W974" s="25">
        <f>IF(AND(Q974=1,I974&lt;&gt;""),SUBSTITUTE(SUBSTITUTE(SUBSTITUTE(SUBSTITUTE(SUBSTITUTE(SUBSTITUTE(SUBSTITUTE(SUBSTITUTE(SUBSTITUTE(SUBSTITUTE(SUBSTITUTE(SUBSTITUTE(LOWER(TRIM(I974)),"á","a"),"é","e"),"í","i"),"ó","o"),"ú","u"),"ü","u"),"ñ","n"),"à","a"),"è","e"),"ì","i"),"ò","o"),"ù","u"),"")</f>
        <v/>
      </c>
      <c r="X974" s="25">
        <f>IF(U974="","",IF(OR(U974="si, en la proxima tarea",U974="si, con cambios"),1,0))</f>
        <v/>
      </c>
      <c r="Y974" s="25">
        <f>IF(AND(Q974=1,A974&lt;&gt;""),IF(IFERROR(COUNTIFS(A$3:A974,"="&amp;SUBSTITUTE(SUBSTITUTE(SUBSTITUTE(A974,"~","~~"),"*","~*"),"?","~?"),Q$3:Q974,1),0)=1,MAX(Y$2:Y973)+1,""),"")</f>
        <v/>
      </c>
      <c r="Z974" s="25">
        <f>IF(Y974="","",COUNTIFS($A$3:$A$1002,"="&amp;SUBSTITUTE(SUBSTITUTE(SUBSTITUTE(A974,"~","~~"),"*","~*"),"?","~?"),$Q$3:$Q$1002,1)*10000-Y974)</f>
        <v/>
      </c>
    </row>
    <row r="975">
      <c r="A975">
        <f>IF(A$2=0,"",IFERROR(TRIM(INDEX('Pegar docentes'!$A$1:$BZ$1001,974,A$2)&amp;""),""))</f>
        <v/>
      </c>
      <c r="B975">
        <f>IF(B$2=0,"",IFERROR(TRIM(INDEX('Pegar docentes'!$A$1:$BZ$1001,974,B$2)&amp;""),""))</f>
        <v/>
      </c>
      <c r="C975">
        <f>IF(C$2=0,"",IFERROR(TRIM(INDEX('Pegar docentes'!$A$1:$BZ$1001,974,C$2)&amp;""),""))</f>
        <v/>
      </c>
      <c r="D975">
        <f>IF(D$2=0,"",IFERROR(TRIM(INDEX('Pegar docentes'!$A$1:$BZ$1001,974,D$2)&amp;""),""))</f>
        <v/>
      </c>
      <c r="E975">
        <f>IF(E$2=0,"",IFERROR(TRIM(INDEX('Pegar docentes'!$A$1:$BZ$1001,974,E$2)&amp;""),""))</f>
        <v/>
      </c>
      <c r="F975">
        <f>IF(F$2=0,"",IFERROR(TRIM(INDEX('Pegar docentes'!$A$1:$BZ$1001,974,F$2)&amp;""),""))</f>
        <v/>
      </c>
      <c r="G975">
        <f>IF(G$2=0,"",IFERROR(TRIM(INDEX('Pegar docentes'!$A$1:$BZ$1001,974,G$2)&amp;""),""))</f>
        <v/>
      </c>
      <c r="H975">
        <f>IF(H$2=0,"",IFERROR(TRIM(INDEX('Pegar docentes'!$A$1:$BZ$1001,974,H$2)&amp;""),""))</f>
        <v/>
      </c>
      <c r="I975">
        <f>IF(I$2=0,"",IFERROR(TRIM(INDEX('Pegar docentes'!$A$1:$BZ$1001,974,I$2)&amp;""),""))</f>
        <v/>
      </c>
      <c r="J975">
        <f>IF(J$2=0,"",IFERROR(TRIM(INDEX('Pegar docentes'!$A$1:$BZ$1001,974,J$2)&amp;""),""))</f>
        <v/>
      </c>
      <c r="K975">
        <f>IF(K$2=0,"",IFERROR(TRIM(INDEX('Pegar docentes'!$A$1:$BZ$1001,974,K$2)&amp;""),""))</f>
        <v/>
      </c>
      <c r="L975">
        <f>IF(L$2=0,"",IFERROR(TRIM(INDEX('Pegar docentes'!$A$1:$BZ$1001,974,L$2)&amp;""),""))</f>
        <v/>
      </c>
      <c r="M975">
        <f>IF(M$2=0,"",IFERROR(TRIM(INDEX('Pegar docentes'!$A$1:$BZ$1001,974,M$2)&amp;""),""))</f>
        <v/>
      </c>
      <c r="N975">
        <f>IF(N$2=0,"",IFERROR(TRIM(INDEX('Pegar docentes'!$A$1:$BZ$1001,974,N$2)&amp;""),""))</f>
        <v/>
      </c>
      <c r="O975">
        <f>IF(O$2=0,"",IFERROR(TRIM(INDEX('Pegar docentes'!$A$1:$BZ$1001,974,O$2)&amp;""),""))</f>
        <v/>
      </c>
      <c r="P975">
        <f>IF(P$2=0,"",IFERROR(TRIM(INDEX('Pegar docentes'!$A$1:$BZ$1001,974,P$2)&amp;""),""))</f>
        <v/>
      </c>
      <c r="Q975" s="25">
        <f>IF(OR(D975&lt;&gt;"",H975&lt;&gt;""),1,"")</f>
        <v/>
      </c>
      <c r="R975" s="25">
        <f>IF(Q975=1,IF(ISNUMBER(FIND("#"&amp;MID(D975,1,1)&amp;"#","#0#1#2#3#4#5#6#7#8#9#")),IF(ISNUMBER(FIND("#"&amp;MID(D975,2,1)&amp;"#","#0#1#2#3#4#5#6#7#8#9#")),IF(AND(VALUE(LEFT(D975,2))&gt;=1,VALUE(LEFT(D975,2))&lt;=5),VALUE(LEFT(D975,2)),""),IF(AND(VALUE(LEFT(D975,1))&gt;=1,VALUE(LEFT(D975,1))&lt;=5),VALUE(LEFT(D975,1)),"")),""),"")</f>
        <v/>
      </c>
      <c r="S975" s="25">
        <f>IF(AND(Q975=1,E975&lt;&gt;""),SUBSTITUTE(SUBSTITUTE(SUBSTITUTE(SUBSTITUTE(SUBSTITUTE(SUBSTITUTE(SUBSTITUTE(SUBSTITUTE(SUBSTITUTE(SUBSTITUTE(SUBSTITUTE(SUBSTITUTE(LOWER(TRIM(E975)),"á","a"),"é","e"),"í","i"),"ó","o"),"ú","u"),"ü","u"),"ñ","n"),"à","a"),"è","e"),"ì","i"),"ò","o"),"ù","u"),"")</f>
        <v/>
      </c>
      <c r="T975" s="25">
        <f>IF(AND(Q975=1,G975&lt;&gt;""),SUBSTITUTE(SUBSTITUTE(SUBSTITUTE(SUBSTITUTE(SUBSTITUTE(SUBSTITUTE(SUBSTITUTE(SUBSTITUTE(SUBSTITUTE(SUBSTITUTE(SUBSTITUTE(SUBSTITUTE(LOWER(TRIM(G975)),"á","a"),"é","e"),"í","i"),"ó","o"),"ú","u"),"ü","u"),"ñ","n"),"à","a"),"è","e"),"ì","i"),"ò","o"),"ù","u"),"")</f>
        <v/>
      </c>
      <c r="U975" s="25">
        <f>IF(AND(Q975=1,H975&lt;&gt;""),SUBSTITUTE(SUBSTITUTE(SUBSTITUTE(SUBSTITUTE(SUBSTITUTE(SUBSTITUTE(SUBSTITUTE(SUBSTITUTE(SUBSTITUTE(SUBSTITUTE(SUBSTITUTE(SUBSTITUTE(LOWER(TRIM(H975)),"á","a"),"é","e"),"í","i"),"ó","o"),"ú","u"),"ü","u"),"ñ","n"),"à","a"),"è","e"),"ì","i"),"ò","o"),"ù","u"),"")</f>
        <v/>
      </c>
      <c r="V975" s="25">
        <f>IF(AND(Q975=1,L975&lt;&gt;""),SUBSTITUTE(SUBSTITUTE(SUBSTITUTE(SUBSTITUTE(SUBSTITUTE(SUBSTITUTE(SUBSTITUTE(SUBSTITUTE(SUBSTITUTE(SUBSTITUTE(SUBSTITUTE(SUBSTITUTE(LOWER(TRIM(L975)),"á","a"),"é","e"),"í","i"),"ó","o"),"ú","u"),"ü","u"),"ñ","n"),"à","a"),"è","e"),"ì","i"),"ò","o"),"ù","u"),"")</f>
        <v/>
      </c>
      <c r="W975" s="25">
        <f>IF(AND(Q975=1,I975&lt;&gt;""),SUBSTITUTE(SUBSTITUTE(SUBSTITUTE(SUBSTITUTE(SUBSTITUTE(SUBSTITUTE(SUBSTITUTE(SUBSTITUTE(SUBSTITUTE(SUBSTITUTE(SUBSTITUTE(SUBSTITUTE(LOWER(TRIM(I975)),"á","a"),"é","e"),"í","i"),"ó","o"),"ú","u"),"ü","u"),"ñ","n"),"à","a"),"è","e"),"ì","i"),"ò","o"),"ù","u"),"")</f>
        <v/>
      </c>
      <c r="X975" s="25">
        <f>IF(U975="","",IF(OR(U975="si, en la proxima tarea",U975="si, con cambios"),1,0))</f>
        <v/>
      </c>
      <c r="Y975" s="25">
        <f>IF(AND(Q975=1,A975&lt;&gt;""),IF(IFERROR(COUNTIFS(A$3:A975,"="&amp;SUBSTITUTE(SUBSTITUTE(SUBSTITUTE(A975,"~","~~"),"*","~*"),"?","~?"),Q$3:Q975,1),0)=1,MAX(Y$2:Y974)+1,""),"")</f>
        <v/>
      </c>
      <c r="Z975" s="25">
        <f>IF(Y975="","",COUNTIFS($A$3:$A$1002,"="&amp;SUBSTITUTE(SUBSTITUTE(SUBSTITUTE(A975,"~","~~"),"*","~*"),"?","~?"),$Q$3:$Q$1002,1)*10000-Y975)</f>
        <v/>
      </c>
    </row>
    <row r="976">
      <c r="A976">
        <f>IF(A$2=0,"",IFERROR(TRIM(INDEX('Pegar docentes'!$A$1:$BZ$1001,975,A$2)&amp;""),""))</f>
        <v/>
      </c>
      <c r="B976">
        <f>IF(B$2=0,"",IFERROR(TRIM(INDEX('Pegar docentes'!$A$1:$BZ$1001,975,B$2)&amp;""),""))</f>
        <v/>
      </c>
      <c r="C976">
        <f>IF(C$2=0,"",IFERROR(TRIM(INDEX('Pegar docentes'!$A$1:$BZ$1001,975,C$2)&amp;""),""))</f>
        <v/>
      </c>
      <c r="D976">
        <f>IF(D$2=0,"",IFERROR(TRIM(INDEX('Pegar docentes'!$A$1:$BZ$1001,975,D$2)&amp;""),""))</f>
        <v/>
      </c>
      <c r="E976">
        <f>IF(E$2=0,"",IFERROR(TRIM(INDEX('Pegar docentes'!$A$1:$BZ$1001,975,E$2)&amp;""),""))</f>
        <v/>
      </c>
      <c r="F976">
        <f>IF(F$2=0,"",IFERROR(TRIM(INDEX('Pegar docentes'!$A$1:$BZ$1001,975,F$2)&amp;""),""))</f>
        <v/>
      </c>
      <c r="G976">
        <f>IF(G$2=0,"",IFERROR(TRIM(INDEX('Pegar docentes'!$A$1:$BZ$1001,975,G$2)&amp;""),""))</f>
        <v/>
      </c>
      <c r="H976">
        <f>IF(H$2=0,"",IFERROR(TRIM(INDEX('Pegar docentes'!$A$1:$BZ$1001,975,H$2)&amp;""),""))</f>
        <v/>
      </c>
      <c r="I976">
        <f>IF(I$2=0,"",IFERROR(TRIM(INDEX('Pegar docentes'!$A$1:$BZ$1001,975,I$2)&amp;""),""))</f>
        <v/>
      </c>
      <c r="J976">
        <f>IF(J$2=0,"",IFERROR(TRIM(INDEX('Pegar docentes'!$A$1:$BZ$1001,975,J$2)&amp;""),""))</f>
        <v/>
      </c>
      <c r="K976">
        <f>IF(K$2=0,"",IFERROR(TRIM(INDEX('Pegar docentes'!$A$1:$BZ$1001,975,K$2)&amp;""),""))</f>
        <v/>
      </c>
      <c r="L976">
        <f>IF(L$2=0,"",IFERROR(TRIM(INDEX('Pegar docentes'!$A$1:$BZ$1001,975,L$2)&amp;""),""))</f>
        <v/>
      </c>
      <c r="M976">
        <f>IF(M$2=0,"",IFERROR(TRIM(INDEX('Pegar docentes'!$A$1:$BZ$1001,975,M$2)&amp;""),""))</f>
        <v/>
      </c>
      <c r="N976">
        <f>IF(N$2=0,"",IFERROR(TRIM(INDEX('Pegar docentes'!$A$1:$BZ$1001,975,N$2)&amp;""),""))</f>
        <v/>
      </c>
      <c r="O976">
        <f>IF(O$2=0,"",IFERROR(TRIM(INDEX('Pegar docentes'!$A$1:$BZ$1001,975,O$2)&amp;""),""))</f>
        <v/>
      </c>
      <c r="P976">
        <f>IF(P$2=0,"",IFERROR(TRIM(INDEX('Pegar docentes'!$A$1:$BZ$1001,975,P$2)&amp;""),""))</f>
        <v/>
      </c>
      <c r="Q976" s="25">
        <f>IF(OR(D976&lt;&gt;"",H976&lt;&gt;""),1,"")</f>
        <v/>
      </c>
      <c r="R976" s="25">
        <f>IF(Q976=1,IF(ISNUMBER(FIND("#"&amp;MID(D976,1,1)&amp;"#","#0#1#2#3#4#5#6#7#8#9#")),IF(ISNUMBER(FIND("#"&amp;MID(D976,2,1)&amp;"#","#0#1#2#3#4#5#6#7#8#9#")),IF(AND(VALUE(LEFT(D976,2))&gt;=1,VALUE(LEFT(D976,2))&lt;=5),VALUE(LEFT(D976,2)),""),IF(AND(VALUE(LEFT(D976,1))&gt;=1,VALUE(LEFT(D976,1))&lt;=5),VALUE(LEFT(D976,1)),"")),""),"")</f>
        <v/>
      </c>
      <c r="S976" s="25">
        <f>IF(AND(Q976=1,E976&lt;&gt;""),SUBSTITUTE(SUBSTITUTE(SUBSTITUTE(SUBSTITUTE(SUBSTITUTE(SUBSTITUTE(SUBSTITUTE(SUBSTITUTE(SUBSTITUTE(SUBSTITUTE(SUBSTITUTE(SUBSTITUTE(LOWER(TRIM(E976)),"á","a"),"é","e"),"í","i"),"ó","o"),"ú","u"),"ü","u"),"ñ","n"),"à","a"),"è","e"),"ì","i"),"ò","o"),"ù","u"),"")</f>
        <v/>
      </c>
      <c r="T976" s="25">
        <f>IF(AND(Q976=1,G976&lt;&gt;""),SUBSTITUTE(SUBSTITUTE(SUBSTITUTE(SUBSTITUTE(SUBSTITUTE(SUBSTITUTE(SUBSTITUTE(SUBSTITUTE(SUBSTITUTE(SUBSTITUTE(SUBSTITUTE(SUBSTITUTE(LOWER(TRIM(G976)),"á","a"),"é","e"),"í","i"),"ó","o"),"ú","u"),"ü","u"),"ñ","n"),"à","a"),"è","e"),"ì","i"),"ò","o"),"ù","u"),"")</f>
        <v/>
      </c>
      <c r="U976" s="25">
        <f>IF(AND(Q976=1,H976&lt;&gt;""),SUBSTITUTE(SUBSTITUTE(SUBSTITUTE(SUBSTITUTE(SUBSTITUTE(SUBSTITUTE(SUBSTITUTE(SUBSTITUTE(SUBSTITUTE(SUBSTITUTE(SUBSTITUTE(SUBSTITUTE(LOWER(TRIM(H976)),"á","a"),"é","e"),"í","i"),"ó","o"),"ú","u"),"ü","u"),"ñ","n"),"à","a"),"è","e"),"ì","i"),"ò","o"),"ù","u"),"")</f>
        <v/>
      </c>
      <c r="V976" s="25">
        <f>IF(AND(Q976=1,L976&lt;&gt;""),SUBSTITUTE(SUBSTITUTE(SUBSTITUTE(SUBSTITUTE(SUBSTITUTE(SUBSTITUTE(SUBSTITUTE(SUBSTITUTE(SUBSTITUTE(SUBSTITUTE(SUBSTITUTE(SUBSTITUTE(LOWER(TRIM(L976)),"á","a"),"é","e"),"í","i"),"ó","o"),"ú","u"),"ü","u"),"ñ","n"),"à","a"),"è","e"),"ì","i"),"ò","o"),"ù","u"),"")</f>
        <v/>
      </c>
      <c r="W976" s="25">
        <f>IF(AND(Q976=1,I976&lt;&gt;""),SUBSTITUTE(SUBSTITUTE(SUBSTITUTE(SUBSTITUTE(SUBSTITUTE(SUBSTITUTE(SUBSTITUTE(SUBSTITUTE(SUBSTITUTE(SUBSTITUTE(SUBSTITUTE(SUBSTITUTE(LOWER(TRIM(I976)),"á","a"),"é","e"),"í","i"),"ó","o"),"ú","u"),"ü","u"),"ñ","n"),"à","a"),"è","e"),"ì","i"),"ò","o"),"ù","u"),"")</f>
        <v/>
      </c>
      <c r="X976" s="25">
        <f>IF(U976="","",IF(OR(U976="si, en la proxima tarea",U976="si, con cambios"),1,0))</f>
        <v/>
      </c>
      <c r="Y976" s="25">
        <f>IF(AND(Q976=1,A976&lt;&gt;""),IF(IFERROR(COUNTIFS(A$3:A976,"="&amp;SUBSTITUTE(SUBSTITUTE(SUBSTITUTE(A976,"~","~~"),"*","~*"),"?","~?"),Q$3:Q976,1),0)=1,MAX(Y$2:Y975)+1,""),"")</f>
        <v/>
      </c>
      <c r="Z976" s="25">
        <f>IF(Y976="","",COUNTIFS($A$3:$A$1002,"="&amp;SUBSTITUTE(SUBSTITUTE(SUBSTITUTE(A976,"~","~~"),"*","~*"),"?","~?"),$Q$3:$Q$1002,1)*10000-Y976)</f>
        <v/>
      </c>
    </row>
    <row r="977">
      <c r="A977">
        <f>IF(A$2=0,"",IFERROR(TRIM(INDEX('Pegar docentes'!$A$1:$BZ$1001,976,A$2)&amp;""),""))</f>
        <v/>
      </c>
      <c r="B977">
        <f>IF(B$2=0,"",IFERROR(TRIM(INDEX('Pegar docentes'!$A$1:$BZ$1001,976,B$2)&amp;""),""))</f>
        <v/>
      </c>
      <c r="C977">
        <f>IF(C$2=0,"",IFERROR(TRIM(INDEX('Pegar docentes'!$A$1:$BZ$1001,976,C$2)&amp;""),""))</f>
        <v/>
      </c>
      <c r="D977">
        <f>IF(D$2=0,"",IFERROR(TRIM(INDEX('Pegar docentes'!$A$1:$BZ$1001,976,D$2)&amp;""),""))</f>
        <v/>
      </c>
      <c r="E977">
        <f>IF(E$2=0,"",IFERROR(TRIM(INDEX('Pegar docentes'!$A$1:$BZ$1001,976,E$2)&amp;""),""))</f>
        <v/>
      </c>
      <c r="F977">
        <f>IF(F$2=0,"",IFERROR(TRIM(INDEX('Pegar docentes'!$A$1:$BZ$1001,976,F$2)&amp;""),""))</f>
        <v/>
      </c>
      <c r="G977">
        <f>IF(G$2=0,"",IFERROR(TRIM(INDEX('Pegar docentes'!$A$1:$BZ$1001,976,G$2)&amp;""),""))</f>
        <v/>
      </c>
      <c r="H977">
        <f>IF(H$2=0,"",IFERROR(TRIM(INDEX('Pegar docentes'!$A$1:$BZ$1001,976,H$2)&amp;""),""))</f>
        <v/>
      </c>
      <c r="I977">
        <f>IF(I$2=0,"",IFERROR(TRIM(INDEX('Pegar docentes'!$A$1:$BZ$1001,976,I$2)&amp;""),""))</f>
        <v/>
      </c>
      <c r="J977">
        <f>IF(J$2=0,"",IFERROR(TRIM(INDEX('Pegar docentes'!$A$1:$BZ$1001,976,J$2)&amp;""),""))</f>
        <v/>
      </c>
      <c r="K977">
        <f>IF(K$2=0,"",IFERROR(TRIM(INDEX('Pegar docentes'!$A$1:$BZ$1001,976,K$2)&amp;""),""))</f>
        <v/>
      </c>
      <c r="L977">
        <f>IF(L$2=0,"",IFERROR(TRIM(INDEX('Pegar docentes'!$A$1:$BZ$1001,976,L$2)&amp;""),""))</f>
        <v/>
      </c>
      <c r="M977">
        <f>IF(M$2=0,"",IFERROR(TRIM(INDEX('Pegar docentes'!$A$1:$BZ$1001,976,M$2)&amp;""),""))</f>
        <v/>
      </c>
      <c r="N977">
        <f>IF(N$2=0,"",IFERROR(TRIM(INDEX('Pegar docentes'!$A$1:$BZ$1001,976,N$2)&amp;""),""))</f>
        <v/>
      </c>
      <c r="O977">
        <f>IF(O$2=0,"",IFERROR(TRIM(INDEX('Pegar docentes'!$A$1:$BZ$1001,976,O$2)&amp;""),""))</f>
        <v/>
      </c>
      <c r="P977">
        <f>IF(P$2=0,"",IFERROR(TRIM(INDEX('Pegar docentes'!$A$1:$BZ$1001,976,P$2)&amp;""),""))</f>
        <v/>
      </c>
      <c r="Q977" s="25">
        <f>IF(OR(D977&lt;&gt;"",H977&lt;&gt;""),1,"")</f>
        <v/>
      </c>
      <c r="R977" s="25">
        <f>IF(Q977=1,IF(ISNUMBER(FIND("#"&amp;MID(D977,1,1)&amp;"#","#0#1#2#3#4#5#6#7#8#9#")),IF(ISNUMBER(FIND("#"&amp;MID(D977,2,1)&amp;"#","#0#1#2#3#4#5#6#7#8#9#")),IF(AND(VALUE(LEFT(D977,2))&gt;=1,VALUE(LEFT(D977,2))&lt;=5),VALUE(LEFT(D977,2)),""),IF(AND(VALUE(LEFT(D977,1))&gt;=1,VALUE(LEFT(D977,1))&lt;=5),VALUE(LEFT(D977,1)),"")),""),"")</f>
        <v/>
      </c>
      <c r="S977" s="25">
        <f>IF(AND(Q977=1,E977&lt;&gt;""),SUBSTITUTE(SUBSTITUTE(SUBSTITUTE(SUBSTITUTE(SUBSTITUTE(SUBSTITUTE(SUBSTITUTE(SUBSTITUTE(SUBSTITUTE(SUBSTITUTE(SUBSTITUTE(SUBSTITUTE(LOWER(TRIM(E977)),"á","a"),"é","e"),"í","i"),"ó","o"),"ú","u"),"ü","u"),"ñ","n"),"à","a"),"è","e"),"ì","i"),"ò","o"),"ù","u"),"")</f>
        <v/>
      </c>
      <c r="T977" s="25">
        <f>IF(AND(Q977=1,G977&lt;&gt;""),SUBSTITUTE(SUBSTITUTE(SUBSTITUTE(SUBSTITUTE(SUBSTITUTE(SUBSTITUTE(SUBSTITUTE(SUBSTITUTE(SUBSTITUTE(SUBSTITUTE(SUBSTITUTE(SUBSTITUTE(LOWER(TRIM(G977)),"á","a"),"é","e"),"í","i"),"ó","o"),"ú","u"),"ü","u"),"ñ","n"),"à","a"),"è","e"),"ì","i"),"ò","o"),"ù","u"),"")</f>
        <v/>
      </c>
      <c r="U977" s="25">
        <f>IF(AND(Q977=1,H977&lt;&gt;""),SUBSTITUTE(SUBSTITUTE(SUBSTITUTE(SUBSTITUTE(SUBSTITUTE(SUBSTITUTE(SUBSTITUTE(SUBSTITUTE(SUBSTITUTE(SUBSTITUTE(SUBSTITUTE(SUBSTITUTE(LOWER(TRIM(H977)),"á","a"),"é","e"),"í","i"),"ó","o"),"ú","u"),"ü","u"),"ñ","n"),"à","a"),"è","e"),"ì","i"),"ò","o"),"ù","u"),"")</f>
        <v/>
      </c>
      <c r="V977" s="25">
        <f>IF(AND(Q977=1,L977&lt;&gt;""),SUBSTITUTE(SUBSTITUTE(SUBSTITUTE(SUBSTITUTE(SUBSTITUTE(SUBSTITUTE(SUBSTITUTE(SUBSTITUTE(SUBSTITUTE(SUBSTITUTE(SUBSTITUTE(SUBSTITUTE(LOWER(TRIM(L977)),"á","a"),"é","e"),"í","i"),"ó","o"),"ú","u"),"ü","u"),"ñ","n"),"à","a"),"è","e"),"ì","i"),"ò","o"),"ù","u"),"")</f>
        <v/>
      </c>
      <c r="W977" s="25">
        <f>IF(AND(Q977=1,I977&lt;&gt;""),SUBSTITUTE(SUBSTITUTE(SUBSTITUTE(SUBSTITUTE(SUBSTITUTE(SUBSTITUTE(SUBSTITUTE(SUBSTITUTE(SUBSTITUTE(SUBSTITUTE(SUBSTITUTE(SUBSTITUTE(LOWER(TRIM(I977)),"á","a"),"é","e"),"í","i"),"ó","o"),"ú","u"),"ü","u"),"ñ","n"),"à","a"),"è","e"),"ì","i"),"ò","o"),"ù","u"),"")</f>
        <v/>
      </c>
      <c r="X977" s="25">
        <f>IF(U977="","",IF(OR(U977="si, en la proxima tarea",U977="si, con cambios"),1,0))</f>
        <v/>
      </c>
      <c r="Y977" s="25">
        <f>IF(AND(Q977=1,A977&lt;&gt;""),IF(IFERROR(COUNTIFS(A$3:A977,"="&amp;SUBSTITUTE(SUBSTITUTE(SUBSTITUTE(A977,"~","~~"),"*","~*"),"?","~?"),Q$3:Q977,1),0)=1,MAX(Y$2:Y976)+1,""),"")</f>
        <v/>
      </c>
      <c r="Z977" s="25">
        <f>IF(Y977="","",COUNTIFS($A$3:$A$1002,"="&amp;SUBSTITUTE(SUBSTITUTE(SUBSTITUTE(A977,"~","~~"),"*","~*"),"?","~?"),$Q$3:$Q$1002,1)*10000-Y977)</f>
        <v/>
      </c>
    </row>
    <row r="978">
      <c r="A978">
        <f>IF(A$2=0,"",IFERROR(TRIM(INDEX('Pegar docentes'!$A$1:$BZ$1001,977,A$2)&amp;""),""))</f>
        <v/>
      </c>
      <c r="B978">
        <f>IF(B$2=0,"",IFERROR(TRIM(INDEX('Pegar docentes'!$A$1:$BZ$1001,977,B$2)&amp;""),""))</f>
        <v/>
      </c>
      <c r="C978">
        <f>IF(C$2=0,"",IFERROR(TRIM(INDEX('Pegar docentes'!$A$1:$BZ$1001,977,C$2)&amp;""),""))</f>
        <v/>
      </c>
      <c r="D978">
        <f>IF(D$2=0,"",IFERROR(TRIM(INDEX('Pegar docentes'!$A$1:$BZ$1001,977,D$2)&amp;""),""))</f>
        <v/>
      </c>
      <c r="E978">
        <f>IF(E$2=0,"",IFERROR(TRIM(INDEX('Pegar docentes'!$A$1:$BZ$1001,977,E$2)&amp;""),""))</f>
        <v/>
      </c>
      <c r="F978">
        <f>IF(F$2=0,"",IFERROR(TRIM(INDEX('Pegar docentes'!$A$1:$BZ$1001,977,F$2)&amp;""),""))</f>
        <v/>
      </c>
      <c r="G978">
        <f>IF(G$2=0,"",IFERROR(TRIM(INDEX('Pegar docentes'!$A$1:$BZ$1001,977,G$2)&amp;""),""))</f>
        <v/>
      </c>
      <c r="H978">
        <f>IF(H$2=0,"",IFERROR(TRIM(INDEX('Pegar docentes'!$A$1:$BZ$1001,977,H$2)&amp;""),""))</f>
        <v/>
      </c>
      <c r="I978">
        <f>IF(I$2=0,"",IFERROR(TRIM(INDEX('Pegar docentes'!$A$1:$BZ$1001,977,I$2)&amp;""),""))</f>
        <v/>
      </c>
      <c r="J978">
        <f>IF(J$2=0,"",IFERROR(TRIM(INDEX('Pegar docentes'!$A$1:$BZ$1001,977,J$2)&amp;""),""))</f>
        <v/>
      </c>
      <c r="K978">
        <f>IF(K$2=0,"",IFERROR(TRIM(INDEX('Pegar docentes'!$A$1:$BZ$1001,977,K$2)&amp;""),""))</f>
        <v/>
      </c>
      <c r="L978">
        <f>IF(L$2=0,"",IFERROR(TRIM(INDEX('Pegar docentes'!$A$1:$BZ$1001,977,L$2)&amp;""),""))</f>
        <v/>
      </c>
      <c r="M978">
        <f>IF(M$2=0,"",IFERROR(TRIM(INDEX('Pegar docentes'!$A$1:$BZ$1001,977,M$2)&amp;""),""))</f>
        <v/>
      </c>
      <c r="N978">
        <f>IF(N$2=0,"",IFERROR(TRIM(INDEX('Pegar docentes'!$A$1:$BZ$1001,977,N$2)&amp;""),""))</f>
        <v/>
      </c>
      <c r="O978">
        <f>IF(O$2=0,"",IFERROR(TRIM(INDEX('Pegar docentes'!$A$1:$BZ$1001,977,O$2)&amp;""),""))</f>
        <v/>
      </c>
      <c r="P978">
        <f>IF(P$2=0,"",IFERROR(TRIM(INDEX('Pegar docentes'!$A$1:$BZ$1001,977,P$2)&amp;""),""))</f>
        <v/>
      </c>
      <c r="Q978" s="25">
        <f>IF(OR(D978&lt;&gt;"",H978&lt;&gt;""),1,"")</f>
        <v/>
      </c>
      <c r="R978" s="25">
        <f>IF(Q978=1,IF(ISNUMBER(FIND("#"&amp;MID(D978,1,1)&amp;"#","#0#1#2#3#4#5#6#7#8#9#")),IF(ISNUMBER(FIND("#"&amp;MID(D978,2,1)&amp;"#","#0#1#2#3#4#5#6#7#8#9#")),IF(AND(VALUE(LEFT(D978,2))&gt;=1,VALUE(LEFT(D978,2))&lt;=5),VALUE(LEFT(D978,2)),""),IF(AND(VALUE(LEFT(D978,1))&gt;=1,VALUE(LEFT(D978,1))&lt;=5),VALUE(LEFT(D978,1)),"")),""),"")</f>
        <v/>
      </c>
      <c r="S978" s="25">
        <f>IF(AND(Q978=1,E978&lt;&gt;""),SUBSTITUTE(SUBSTITUTE(SUBSTITUTE(SUBSTITUTE(SUBSTITUTE(SUBSTITUTE(SUBSTITUTE(SUBSTITUTE(SUBSTITUTE(SUBSTITUTE(SUBSTITUTE(SUBSTITUTE(LOWER(TRIM(E978)),"á","a"),"é","e"),"í","i"),"ó","o"),"ú","u"),"ü","u"),"ñ","n"),"à","a"),"è","e"),"ì","i"),"ò","o"),"ù","u"),"")</f>
        <v/>
      </c>
      <c r="T978" s="25">
        <f>IF(AND(Q978=1,G978&lt;&gt;""),SUBSTITUTE(SUBSTITUTE(SUBSTITUTE(SUBSTITUTE(SUBSTITUTE(SUBSTITUTE(SUBSTITUTE(SUBSTITUTE(SUBSTITUTE(SUBSTITUTE(SUBSTITUTE(SUBSTITUTE(LOWER(TRIM(G978)),"á","a"),"é","e"),"í","i"),"ó","o"),"ú","u"),"ü","u"),"ñ","n"),"à","a"),"è","e"),"ì","i"),"ò","o"),"ù","u"),"")</f>
        <v/>
      </c>
      <c r="U978" s="25">
        <f>IF(AND(Q978=1,H978&lt;&gt;""),SUBSTITUTE(SUBSTITUTE(SUBSTITUTE(SUBSTITUTE(SUBSTITUTE(SUBSTITUTE(SUBSTITUTE(SUBSTITUTE(SUBSTITUTE(SUBSTITUTE(SUBSTITUTE(SUBSTITUTE(LOWER(TRIM(H978)),"á","a"),"é","e"),"í","i"),"ó","o"),"ú","u"),"ü","u"),"ñ","n"),"à","a"),"è","e"),"ì","i"),"ò","o"),"ù","u"),"")</f>
        <v/>
      </c>
      <c r="V978" s="25">
        <f>IF(AND(Q978=1,L978&lt;&gt;""),SUBSTITUTE(SUBSTITUTE(SUBSTITUTE(SUBSTITUTE(SUBSTITUTE(SUBSTITUTE(SUBSTITUTE(SUBSTITUTE(SUBSTITUTE(SUBSTITUTE(SUBSTITUTE(SUBSTITUTE(LOWER(TRIM(L978)),"á","a"),"é","e"),"í","i"),"ó","o"),"ú","u"),"ü","u"),"ñ","n"),"à","a"),"è","e"),"ì","i"),"ò","o"),"ù","u"),"")</f>
        <v/>
      </c>
      <c r="W978" s="25">
        <f>IF(AND(Q978=1,I978&lt;&gt;""),SUBSTITUTE(SUBSTITUTE(SUBSTITUTE(SUBSTITUTE(SUBSTITUTE(SUBSTITUTE(SUBSTITUTE(SUBSTITUTE(SUBSTITUTE(SUBSTITUTE(SUBSTITUTE(SUBSTITUTE(LOWER(TRIM(I978)),"á","a"),"é","e"),"í","i"),"ó","o"),"ú","u"),"ü","u"),"ñ","n"),"à","a"),"è","e"),"ì","i"),"ò","o"),"ù","u"),"")</f>
        <v/>
      </c>
      <c r="X978" s="25">
        <f>IF(U978="","",IF(OR(U978="si, en la proxima tarea",U978="si, con cambios"),1,0))</f>
        <v/>
      </c>
      <c r="Y978" s="25">
        <f>IF(AND(Q978=1,A978&lt;&gt;""),IF(IFERROR(COUNTIFS(A$3:A978,"="&amp;SUBSTITUTE(SUBSTITUTE(SUBSTITUTE(A978,"~","~~"),"*","~*"),"?","~?"),Q$3:Q978,1),0)=1,MAX(Y$2:Y977)+1,""),"")</f>
        <v/>
      </c>
      <c r="Z978" s="25">
        <f>IF(Y978="","",COUNTIFS($A$3:$A$1002,"="&amp;SUBSTITUTE(SUBSTITUTE(SUBSTITUTE(A978,"~","~~"),"*","~*"),"?","~?"),$Q$3:$Q$1002,1)*10000-Y978)</f>
        <v/>
      </c>
    </row>
    <row r="979">
      <c r="A979">
        <f>IF(A$2=0,"",IFERROR(TRIM(INDEX('Pegar docentes'!$A$1:$BZ$1001,978,A$2)&amp;""),""))</f>
        <v/>
      </c>
      <c r="B979">
        <f>IF(B$2=0,"",IFERROR(TRIM(INDEX('Pegar docentes'!$A$1:$BZ$1001,978,B$2)&amp;""),""))</f>
        <v/>
      </c>
      <c r="C979">
        <f>IF(C$2=0,"",IFERROR(TRIM(INDEX('Pegar docentes'!$A$1:$BZ$1001,978,C$2)&amp;""),""))</f>
        <v/>
      </c>
      <c r="D979">
        <f>IF(D$2=0,"",IFERROR(TRIM(INDEX('Pegar docentes'!$A$1:$BZ$1001,978,D$2)&amp;""),""))</f>
        <v/>
      </c>
      <c r="E979">
        <f>IF(E$2=0,"",IFERROR(TRIM(INDEX('Pegar docentes'!$A$1:$BZ$1001,978,E$2)&amp;""),""))</f>
        <v/>
      </c>
      <c r="F979">
        <f>IF(F$2=0,"",IFERROR(TRIM(INDEX('Pegar docentes'!$A$1:$BZ$1001,978,F$2)&amp;""),""))</f>
        <v/>
      </c>
      <c r="G979">
        <f>IF(G$2=0,"",IFERROR(TRIM(INDEX('Pegar docentes'!$A$1:$BZ$1001,978,G$2)&amp;""),""))</f>
        <v/>
      </c>
      <c r="H979">
        <f>IF(H$2=0,"",IFERROR(TRIM(INDEX('Pegar docentes'!$A$1:$BZ$1001,978,H$2)&amp;""),""))</f>
        <v/>
      </c>
      <c r="I979">
        <f>IF(I$2=0,"",IFERROR(TRIM(INDEX('Pegar docentes'!$A$1:$BZ$1001,978,I$2)&amp;""),""))</f>
        <v/>
      </c>
      <c r="J979">
        <f>IF(J$2=0,"",IFERROR(TRIM(INDEX('Pegar docentes'!$A$1:$BZ$1001,978,J$2)&amp;""),""))</f>
        <v/>
      </c>
      <c r="K979">
        <f>IF(K$2=0,"",IFERROR(TRIM(INDEX('Pegar docentes'!$A$1:$BZ$1001,978,K$2)&amp;""),""))</f>
        <v/>
      </c>
      <c r="L979">
        <f>IF(L$2=0,"",IFERROR(TRIM(INDEX('Pegar docentes'!$A$1:$BZ$1001,978,L$2)&amp;""),""))</f>
        <v/>
      </c>
      <c r="M979">
        <f>IF(M$2=0,"",IFERROR(TRIM(INDEX('Pegar docentes'!$A$1:$BZ$1001,978,M$2)&amp;""),""))</f>
        <v/>
      </c>
      <c r="N979">
        <f>IF(N$2=0,"",IFERROR(TRIM(INDEX('Pegar docentes'!$A$1:$BZ$1001,978,N$2)&amp;""),""))</f>
        <v/>
      </c>
      <c r="O979">
        <f>IF(O$2=0,"",IFERROR(TRIM(INDEX('Pegar docentes'!$A$1:$BZ$1001,978,O$2)&amp;""),""))</f>
        <v/>
      </c>
      <c r="P979">
        <f>IF(P$2=0,"",IFERROR(TRIM(INDEX('Pegar docentes'!$A$1:$BZ$1001,978,P$2)&amp;""),""))</f>
        <v/>
      </c>
      <c r="Q979" s="25">
        <f>IF(OR(D979&lt;&gt;"",H979&lt;&gt;""),1,"")</f>
        <v/>
      </c>
      <c r="R979" s="25">
        <f>IF(Q979=1,IF(ISNUMBER(FIND("#"&amp;MID(D979,1,1)&amp;"#","#0#1#2#3#4#5#6#7#8#9#")),IF(ISNUMBER(FIND("#"&amp;MID(D979,2,1)&amp;"#","#0#1#2#3#4#5#6#7#8#9#")),IF(AND(VALUE(LEFT(D979,2))&gt;=1,VALUE(LEFT(D979,2))&lt;=5),VALUE(LEFT(D979,2)),""),IF(AND(VALUE(LEFT(D979,1))&gt;=1,VALUE(LEFT(D979,1))&lt;=5),VALUE(LEFT(D979,1)),"")),""),"")</f>
        <v/>
      </c>
      <c r="S979" s="25">
        <f>IF(AND(Q979=1,E979&lt;&gt;""),SUBSTITUTE(SUBSTITUTE(SUBSTITUTE(SUBSTITUTE(SUBSTITUTE(SUBSTITUTE(SUBSTITUTE(SUBSTITUTE(SUBSTITUTE(SUBSTITUTE(SUBSTITUTE(SUBSTITUTE(LOWER(TRIM(E979)),"á","a"),"é","e"),"í","i"),"ó","o"),"ú","u"),"ü","u"),"ñ","n"),"à","a"),"è","e"),"ì","i"),"ò","o"),"ù","u"),"")</f>
        <v/>
      </c>
      <c r="T979" s="25">
        <f>IF(AND(Q979=1,G979&lt;&gt;""),SUBSTITUTE(SUBSTITUTE(SUBSTITUTE(SUBSTITUTE(SUBSTITUTE(SUBSTITUTE(SUBSTITUTE(SUBSTITUTE(SUBSTITUTE(SUBSTITUTE(SUBSTITUTE(SUBSTITUTE(LOWER(TRIM(G979)),"á","a"),"é","e"),"í","i"),"ó","o"),"ú","u"),"ü","u"),"ñ","n"),"à","a"),"è","e"),"ì","i"),"ò","o"),"ù","u"),"")</f>
        <v/>
      </c>
      <c r="U979" s="25">
        <f>IF(AND(Q979=1,H979&lt;&gt;""),SUBSTITUTE(SUBSTITUTE(SUBSTITUTE(SUBSTITUTE(SUBSTITUTE(SUBSTITUTE(SUBSTITUTE(SUBSTITUTE(SUBSTITUTE(SUBSTITUTE(SUBSTITUTE(SUBSTITUTE(LOWER(TRIM(H979)),"á","a"),"é","e"),"í","i"),"ó","o"),"ú","u"),"ü","u"),"ñ","n"),"à","a"),"è","e"),"ì","i"),"ò","o"),"ù","u"),"")</f>
        <v/>
      </c>
      <c r="V979" s="25">
        <f>IF(AND(Q979=1,L979&lt;&gt;""),SUBSTITUTE(SUBSTITUTE(SUBSTITUTE(SUBSTITUTE(SUBSTITUTE(SUBSTITUTE(SUBSTITUTE(SUBSTITUTE(SUBSTITUTE(SUBSTITUTE(SUBSTITUTE(SUBSTITUTE(LOWER(TRIM(L979)),"á","a"),"é","e"),"í","i"),"ó","o"),"ú","u"),"ü","u"),"ñ","n"),"à","a"),"è","e"),"ì","i"),"ò","o"),"ù","u"),"")</f>
        <v/>
      </c>
      <c r="W979" s="25">
        <f>IF(AND(Q979=1,I979&lt;&gt;""),SUBSTITUTE(SUBSTITUTE(SUBSTITUTE(SUBSTITUTE(SUBSTITUTE(SUBSTITUTE(SUBSTITUTE(SUBSTITUTE(SUBSTITUTE(SUBSTITUTE(SUBSTITUTE(SUBSTITUTE(LOWER(TRIM(I979)),"á","a"),"é","e"),"í","i"),"ó","o"),"ú","u"),"ü","u"),"ñ","n"),"à","a"),"è","e"),"ì","i"),"ò","o"),"ù","u"),"")</f>
        <v/>
      </c>
      <c r="X979" s="25">
        <f>IF(U979="","",IF(OR(U979="si, en la proxima tarea",U979="si, con cambios"),1,0))</f>
        <v/>
      </c>
      <c r="Y979" s="25">
        <f>IF(AND(Q979=1,A979&lt;&gt;""),IF(IFERROR(COUNTIFS(A$3:A979,"="&amp;SUBSTITUTE(SUBSTITUTE(SUBSTITUTE(A979,"~","~~"),"*","~*"),"?","~?"),Q$3:Q979,1),0)=1,MAX(Y$2:Y978)+1,""),"")</f>
        <v/>
      </c>
      <c r="Z979" s="25">
        <f>IF(Y979="","",COUNTIFS($A$3:$A$1002,"="&amp;SUBSTITUTE(SUBSTITUTE(SUBSTITUTE(A979,"~","~~"),"*","~*"),"?","~?"),$Q$3:$Q$1002,1)*10000-Y979)</f>
        <v/>
      </c>
    </row>
    <row r="980">
      <c r="A980">
        <f>IF(A$2=0,"",IFERROR(TRIM(INDEX('Pegar docentes'!$A$1:$BZ$1001,979,A$2)&amp;""),""))</f>
        <v/>
      </c>
      <c r="B980">
        <f>IF(B$2=0,"",IFERROR(TRIM(INDEX('Pegar docentes'!$A$1:$BZ$1001,979,B$2)&amp;""),""))</f>
        <v/>
      </c>
      <c r="C980">
        <f>IF(C$2=0,"",IFERROR(TRIM(INDEX('Pegar docentes'!$A$1:$BZ$1001,979,C$2)&amp;""),""))</f>
        <v/>
      </c>
      <c r="D980">
        <f>IF(D$2=0,"",IFERROR(TRIM(INDEX('Pegar docentes'!$A$1:$BZ$1001,979,D$2)&amp;""),""))</f>
        <v/>
      </c>
      <c r="E980">
        <f>IF(E$2=0,"",IFERROR(TRIM(INDEX('Pegar docentes'!$A$1:$BZ$1001,979,E$2)&amp;""),""))</f>
        <v/>
      </c>
      <c r="F980">
        <f>IF(F$2=0,"",IFERROR(TRIM(INDEX('Pegar docentes'!$A$1:$BZ$1001,979,F$2)&amp;""),""))</f>
        <v/>
      </c>
      <c r="G980">
        <f>IF(G$2=0,"",IFERROR(TRIM(INDEX('Pegar docentes'!$A$1:$BZ$1001,979,G$2)&amp;""),""))</f>
        <v/>
      </c>
      <c r="H980">
        <f>IF(H$2=0,"",IFERROR(TRIM(INDEX('Pegar docentes'!$A$1:$BZ$1001,979,H$2)&amp;""),""))</f>
        <v/>
      </c>
      <c r="I980">
        <f>IF(I$2=0,"",IFERROR(TRIM(INDEX('Pegar docentes'!$A$1:$BZ$1001,979,I$2)&amp;""),""))</f>
        <v/>
      </c>
      <c r="J980">
        <f>IF(J$2=0,"",IFERROR(TRIM(INDEX('Pegar docentes'!$A$1:$BZ$1001,979,J$2)&amp;""),""))</f>
        <v/>
      </c>
      <c r="K980">
        <f>IF(K$2=0,"",IFERROR(TRIM(INDEX('Pegar docentes'!$A$1:$BZ$1001,979,K$2)&amp;""),""))</f>
        <v/>
      </c>
      <c r="L980">
        <f>IF(L$2=0,"",IFERROR(TRIM(INDEX('Pegar docentes'!$A$1:$BZ$1001,979,L$2)&amp;""),""))</f>
        <v/>
      </c>
      <c r="M980">
        <f>IF(M$2=0,"",IFERROR(TRIM(INDEX('Pegar docentes'!$A$1:$BZ$1001,979,M$2)&amp;""),""))</f>
        <v/>
      </c>
      <c r="N980">
        <f>IF(N$2=0,"",IFERROR(TRIM(INDEX('Pegar docentes'!$A$1:$BZ$1001,979,N$2)&amp;""),""))</f>
        <v/>
      </c>
      <c r="O980">
        <f>IF(O$2=0,"",IFERROR(TRIM(INDEX('Pegar docentes'!$A$1:$BZ$1001,979,O$2)&amp;""),""))</f>
        <v/>
      </c>
      <c r="P980">
        <f>IF(P$2=0,"",IFERROR(TRIM(INDEX('Pegar docentes'!$A$1:$BZ$1001,979,P$2)&amp;""),""))</f>
        <v/>
      </c>
      <c r="Q980" s="25">
        <f>IF(OR(D980&lt;&gt;"",H980&lt;&gt;""),1,"")</f>
        <v/>
      </c>
      <c r="R980" s="25">
        <f>IF(Q980=1,IF(ISNUMBER(FIND("#"&amp;MID(D980,1,1)&amp;"#","#0#1#2#3#4#5#6#7#8#9#")),IF(ISNUMBER(FIND("#"&amp;MID(D980,2,1)&amp;"#","#0#1#2#3#4#5#6#7#8#9#")),IF(AND(VALUE(LEFT(D980,2))&gt;=1,VALUE(LEFT(D980,2))&lt;=5),VALUE(LEFT(D980,2)),""),IF(AND(VALUE(LEFT(D980,1))&gt;=1,VALUE(LEFT(D980,1))&lt;=5),VALUE(LEFT(D980,1)),"")),""),"")</f>
        <v/>
      </c>
      <c r="S980" s="25">
        <f>IF(AND(Q980=1,E980&lt;&gt;""),SUBSTITUTE(SUBSTITUTE(SUBSTITUTE(SUBSTITUTE(SUBSTITUTE(SUBSTITUTE(SUBSTITUTE(SUBSTITUTE(SUBSTITUTE(SUBSTITUTE(SUBSTITUTE(SUBSTITUTE(LOWER(TRIM(E980)),"á","a"),"é","e"),"í","i"),"ó","o"),"ú","u"),"ü","u"),"ñ","n"),"à","a"),"è","e"),"ì","i"),"ò","o"),"ù","u"),"")</f>
        <v/>
      </c>
      <c r="T980" s="25">
        <f>IF(AND(Q980=1,G980&lt;&gt;""),SUBSTITUTE(SUBSTITUTE(SUBSTITUTE(SUBSTITUTE(SUBSTITUTE(SUBSTITUTE(SUBSTITUTE(SUBSTITUTE(SUBSTITUTE(SUBSTITUTE(SUBSTITUTE(SUBSTITUTE(LOWER(TRIM(G980)),"á","a"),"é","e"),"í","i"),"ó","o"),"ú","u"),"ü","u"),"ñ","n"),"à","a"),"è","e"),"ì","i"),"ò","o"),"ù","u"),"")</f>
        <v/>
      </c>
      <c r="U980" s="25">
        <f>IF(AND(Q980=1,H980&lt;&gt;""),SUBSTITUTE(SUBSTITUTE(SUBSTITUTE(SUBSTITUTE(SUBSTITUTE(SUBSTITUTE(SUBSTITUTE(SUBSTITUTE(SUBSTITUTE(SUBSTITUTE(SUBSTITUTE(SUBSTITUTE(LOWER(TRIM(H980)),"á","a"),"é","e"),"í","i"),"ó","o"),"ú","u"),"ü","u"),"ñ","n"),"à","a"),"è","e"),"ì","i"),"ò","o"),"ù","u"),"")</f>
        <v/>
      </c>
      <c r="V980" s="25">
        <f>IF(AND(Q980=1,L980&lt;&gt;""),SUBSTITUTE(SUBSTITUTE(SUBSTITUTE(SUBSTITUTE(SUBSTITUTE(SUBSTITUTE(SUBSTITUTE(SUBSTITUTE(SUBSTITUTE(SUBSTITUTE(SUBSTITUTE(SUBSTITUTE(LOWER(TRIM(L980)),"á","a"),"é","e"),"í","i"),"ó","o"),"ú","u"),"ü","u"),"ñ","n"),"à","a"),"è","e"),"ì","i"),"ò","o"),"ù","u"),"")</f>
        <v/>
      </c>
      <c r="W980" s="25">
        <f>IF(AND(Q980=1,I980&lt;&gt;""),SUBSTITUTE(SUBSTITUTE(SUBSTITUTE(SUBSTITUTE(SUBSTITUTE(SUBSTITUTE(SUBSTITUTE(SUBSTITUTE(SUBSTITUTE(SUBSTITUTE(SUBSTITUTE(SUBSTITUTE(LOWER(TRIM(I980)),"á","a"),"é","e"),"í","i"),"ó","o"),"ú","u"),"ü","u"),"ñ","n"),"à","a"),"è","e"),"ì","i"),"ò","o"),"ù","u"),"")</f>
        <v/>
      </c>
      <c r="X980" s="25">
        <f>IF(U980="","",IF(OR(U980="si, en la proxima tarea",U980="si, con cambios"),1,0))</f>
        <v/>
      </c>
      <c r="Y980" s="25">
        <f>IF(AND(Q980=1,A980&lt;&gt;""),IF(IFERROR(COUNTIFS(A$3:A980,"="&amp;SUBSTITUTE(SUBSTITUTE(SUBSTITUTE(A980,"~","~~"),"*","~*"),"?","~?"),Q$3:Q980,1),0)=1,MAX(Y$2:Y979)+1,""),"")</f>
        <v/>
      </c>
      <c r="Z980" s="25">
        <f>IF(Y980="","",COUNTIFS($A$3:$A$1002,"="&amp;SUBSTITUTE(SUBSTITUTE(SUBSTITUTE(A980,"~","~~"),"*","~*"),"?","~?"),$Q$3:$Q$1002,1)*10000-Y980)</f>
        <v/>
      </c>
    </row>
    <row r="981">
      <c r="A981">
        <f>IF(A$2=0,"",IFERROR(TRIM(INDEX('Pegar docentes'!$A$1:$BZ$1001,980,A$2)&amp;""),""))</f>
        <v/>
      </c>
      <c r="B981">
        <f>IF(B$2=0,"",IFERROR(TRIM(INDEX('Pegar docentes'!$A$1:$BZ$1001,980,B$2)&amp;""),""))</f>
        <v/>
      </c>
      <c r="C981">
        <f>IF(C$2=0,"",IFERROR(TRIM(INDEX('Pegar docentes'!$A$1:$BZ$1001,980,C$2)&amp;""),""))</f>
        <v/>
      </c>
      <c r="D981">
        <f>IF(D$2=0,"",IFERROR(TRIM(INDEX('Pegar docentes'!$A$1:$BZ$1001,980,D$2)&amp;""),""))</f>
        <v/>
      </c>
      <c r="E981">
        <f>IF(E$2=0,"",IFERROR(TRIM(INDEX('Pegar docentes'!$A$1:$BZ$1001,980,E$2)&amp;""),""))</f>
        <v/>
      </c>
      <c r="F981">
        <f>IF(F$2=0,"",IFERROR(TRIM(INDEX('Pegar docentes'!$A$1:$BZ$1001,980,F$2)&amp;""),""))</f>
        <v/>
      </c>
      <c r="G981">
        <f>IF(G$2=0,"",IFERROR(TRIM(INDEX('Pegar docentes'!$A$1:$BZ$1001,980,G$2)&amp;""),""))</f>
        <v/>
      </c>
      <c r="H981">
        <f>IF(H$2=0,"",IFERROR(TRIM(INDEX('Pegar docentes'!$A$1:$BZ$1001,980,H$2)&amp;""),""))</f>
        <v/>
      </c>
      <c r="I981">
        <f>IF(I$2=0,"",IFERROR(TRIM(INDEX('Pegar docentes'!$A$1:$BZ$1001,980,I$2)&amp;""),""))</f>
        <v/>
      </c>
      <c r="J981">
        <f>IF(J$2=0,"",IFERROR(TRIM(INDEX('Pegar docentes'!$A$1:$BZ$1001,980,J$2)&amp;""),""))</f>
        <v/>
      </c>
      <c r="K981">
        <f>IF(K$2=0,"",IFERROR(TRIM(INDEX('Pegar docentes'!$A$1:$BZ$1001,980,K$2)&amp;""),""))</f>
        <v/>
      </c>
      <c r="L981">
        <f>IF(L$2=0,"",IFERROR(TRIM(INDEX('Pegar docentes'!$A$1:$BZ$1001,980,L$2)&amp;""),""))</f>
        <v/>
      </c>
      <c r="M981">
        <f>IF(M$2=0,"",IFERROR(TRIM(INDEX('Pegar docentes'!$A$1:$BZ$1001,980,M$2)&amp;""),""))</f>
        <v/>
      </c>
      <c r="N981">
        <f>IF(N$2=0,"",IFERROR(TRIM(INDEX('Pegar docentes'!$A$1:$BZ$1001,980,N$2)&amp;""),""))</f>
        <v/>
      </c>
      <c r="O981">
        <f>IF(O$2=0,"",IFERROR(TRIM(INDEX('Pegar docentes'!$A$1:$BZ$1001,980,O$2)&amp;""),""))</f>
        <v/>
      </c>
      <c r="P981">
        <f>IF(P$2=0,"",IFERROR(TRIM(INDEX('Pegar docentes'!$A$1:$BZ$1001,980,P$2)&amp;""),""))</f>
        <v/>
      </c>
      <c r="Q981" s="25">
        <f>IF(OR(D981&lt;&gt;"",H981&lt;&gt;""),1,"")</f>
        <v/>
      </c>
      <c r="R981" s="25">
        <f>IF(Q981=1,IF(ISNUMBER(FIND("#"&amp;MID(D981,1,1)&amp;"#","#0#1#2#3#4#5#6#7#8#9#")),IF(ISNUMBER(FIND("#"&amp;MID(D981,2,1)&amp;"#","#0#1#2#3#4#5#6#7#8#9#")),IF(AND(VALUE(LEFT(D981,2))&gt;=1,VALUE(LEFT(D981,2))&lt;=5),VALUE(LEFT(D981,2)),""),IF(AND(VALUE(LEFT(D981,1))&gt;=1,VALUE(LEFT(D981,1))&lt;=5),VALUE(LEFT(D981,1)),"")),""),"")</f>
        <v/>
      </c>
      <c r="S981" s="25">
        <f>IF(AND(Q981=1,E981&lt;&gt;""),SUBSTITUTE(SUBSTITUTE(SUBSTITUTE(SUBSTITUTE(SUBSTITUTE(SUBSTITUTE(SUBSTITUTE(SUBSTITUTE(SUBSTITUTE(SUBSTITUTE(SUBSTITUTE(SUBSTITUTE(LOWER(TRIM(E981)),"á","a"),"é","e"),"í","i"),"ó","o"),"ú","u"),"ü","u"),"ñ","n"),"à","a"),"è","e"),"ì","i"),"ò","o"),"ù","u"),"")</f>
        <v/>
      </c>
      <c r="T981" s="25">
        <f>IF(AND(Q981=1,G981&lt;&gt;""),SUBSTITUTE(SUBSTITUTE(SUBSTITUTE(SUBSTITUTE(SUBSTITUTE(SUBSTITUTE(SUBSTITUTE(SUBSTITUTE(SUBSTITUTE(SUBSTITUTE(SUBSTITUTE(SUBSTITUTE(LOWER(TRIM(G981)),"á","a"),"é","e"),"í","i"),"ó","o"),"ú","u"),"ü","u"),"ñ","n"),"à","a"),"è","e"),"ì","i"),"ò","o"),"ù","u"),"")</f>
        <v/>
      </c>
      <c r="U981" s="25">
        <f>IF(AND(Q981=1,H981&lt;&gt;""),SUBSTITUTE(SUBSTITUTE(SUBSTITUTE(SUBSTITUTE(SUBSTITUTE(SUBSTITUTE(SUBSTITUTE(SUBSTITUTE(SUBSTITUTE(SUBSTITUTE(SUBSTITUTE(SUBSTITUTE(LOWER(TRIM(H981)),"á","a"),"é","e"),"í","i"),"ó","o"),"ú","u"),"ü","u"),"ñ","n"),"à","a"),"è","e"),"ì","i"),"ò","o"),"ù","u"),"")</f>
        <v/>
      </c>
      <c r="V981" s="25">
        <f>IF(AND(Q981=1,L981&lt;&gt;""),SUBSTITUTE(SUBSTITUTE(SUBSTITUTE(SUBSTITUTE(SUBSTITUTE(SUBSTITUTE(SUBSTITUTE(SUBSTITUTE(SUBSTITUTE(SUBSTITUTE(SUBSTITUTE(SUBSTITUTE(LOWER(TRIM(L981)),"á","a"),"é","e"),"í","i"),"ó","o"),"ú","u"),"ü","u"),"ñ","n"),"à","a"),"è","e"),"ì","i"),"ò","o"),"ù","u"),"")</f>
        <v/>
      </c>
      <c r="W981" s="25">
        <f>IF(AND(Q981=1,I981&lt;&gt;""),SUBSTITUTE(SUBSTITUTE(SUBSTITUTE(SUBSTITUTE(SUBSTITUTE(SUBSTITUTE(SUBSTITUTE(SUBSTITUTE(SUBSTITUTE(SUBSTITUTE(SUBSTITUTE(SUBSTITUTE(LOWER(TRIM(I981)),"á","a"),"é","e"),"í","i"),"ó","o"),"ú","u"),"ü","u"),"ñ","n"),"à","a"),"è","e"),"ì","i"),"ò","o"),"ù","u"),"")</f>
        <v/>
      </c>
      <c r="X981" s="25">
        <f>IF(U981="","",IF(OR(U981="si, en la proxima tarea",U981="si, con cambios"),1,0))</f>
        <v/>
      </c>
      <c r="Y981" s="25">
        <f>IF(AND(Q981=1,A981&lt;&gt;""),IF(IFERROR(COUNTIFS(A$3:A981,"="&amp;SUBSTITUTE(SUBSTITUTE(SUBSTITUTE(A981,"~","~~"),"*","~*"),"?","~?"),Q$3:Q981,1),0)=1,MAX(Y$2:Y980)+1,""),"")</f>
        <v/>
      </c>
      <c r="Z981" s="25">
        <f>IF(Y981="","",COUNTIFS($A$3:$A$1002,"="&amp;SUBSTITUTE(SUBSTITUTE(SUBSTITUTE(A981,"~","~~"),"*","~*"),"?","~?"),$Q$3:$Q$1002,1)*10000-Y981)</f>
        <v/>
      </c>
    </row>
    <row r="982">
      <c r="A982">
        <f>IF(A$2=0,"",IFERROR(TRIM(INDEX('Pegar docentes'!$A$1:$BZ$1001,981,A$2)&amp;""),""))</f>
        <v/>
      </c>
      <c r="B982">
        <f>IF(B$2=0,"",IFERROR(TRIM(INDEX('Pegar docentes'!$A$1:$BZ$1001,981,B$2)&amp;""),""))</f>
        <v/>
      </c>
      <c r="C982">
        <f>IF(C$2=0,"",IFERROR(TRIM(INDEX('Pegar docentes'!$A$1:$BZ$1001,981,C$2)&amp;""),""))</f>
        <v/>
      </c>
      <c r="D982">
        <f>IF(D$2=0,"",IFERROR(TRIM(INDEX('Pegar docentes'!$A$1:$BZ$1001,981,D$2)&amp;""),""))</f>
        <v/>
      </c>
      <c r="E982">
        <f>IF(E$2=0,"",IFERROR(TRIM(INDEX('Pegar docentes'!$A$1:$BZ$1001,981,E$2)&amp;""),""))</f>
        <v/>
      </c>
      <c r="F982">
        <f>IF(F$2=0,"",IFERROR(TRIM(INDEX('Pegar docentes'!$A$1:$BZ$1001,981,F$2)&amp;""),""))</f>
        <v/>
      </c>
      <c r="G982">
        <f>IF(G$2=0,"",IFERROR(TRIM(INDEX('Pegar docentes'!$A$1:$BZ$1001,981,G$2)&amp;""),""))</f>
        <v/>
      </c>
      <c r="H982">
        <f>IF(H$2=0,"",IFERROR(TRIM(INDEX('Pegar docentes'!$A$1:$BZ$1001,981,H$2)&amp;""),""))</f>
        <v/>
      </c>
      <c r="I982">
        <f>IF(I$2=0,"",IFERROR(TRIM(INDEX('Pegar docentes'!$A$1:$BZ$1001,981,I$2)&amp;""),""))</f>
        <v/>
      </c>
      <c r="J982">
        <f>IF(J$2=0,"",IFERROR(TRIM(INDEX('Pegar docentes'!$A$1:$BZ$1001,981,J$2)&amp;""),""))</f>
        <v/>
      </c>
      <c r="K982">
        <f>IF(K$2=0,"",IFERROR(TRIM(INDEX('Pegar docentes'!$A$1:$BZ$1001,981,K$2)&amp;""),""))</f>
        <v/>
      </c>
      <c r="L982">
        <f>IF(L$2=0,"",IFERROR(TRIM(INDEX('Pegar docentes'!$A$1:$BZ$1001,981,L$2)&amp;""),""))</f>
        <v/>
      </c>
      <c r="M982">
        <f>IF(M$2=0,"",IFERROR(TRIM(INDEX('Pegar docentes'!$A$1:$BZ$1001,981,M$2)&amp;""),""))</f>
        <v/>
      </c>
      <c r="N982">
        <f>IF(N$2=0,"",IFERROR(TRIM(INDEX('Pegar docentes'!$A$1:$BZ$1001,981,N$2)&amp;""),""))</f>
        <v/>
      </c>
      <c r="O982">
        <f>IF(O$2=0,"",IFERROR(TRIM(INDEX('Pegar docentes'!$A$1:$BZ$1001,981,O$2)&amp;""),""))</f>
        <v/>
      </c>
      <c r="P982">
        <f>IF(P$2=0,"",IFERROR(TRIM(INDEX('Pegar docentes'!$A$1:$BZ$1001,981,P$2)&amp;""),""))</f>
        <v/>
      </c>
      <c r="Q982" s="25">
        <f>IF(OR(D982&lt;&gt;"",H982&lt;&gt;""),1,"")</f>
        <v/>
      </c>
      <c r="R982" s="25">
        <f>IF(Q982=1,IF(ISNUMBER(FIND("#"&amp;MID(D982,1,1)&amp;"#","#0#1#2#3#4#5#6#7#8#9#")),IF(ISNUMBER(FIND("#"&amp;MID(D982,2,1)&amp;"#","#0#1#2#3#4#5#6#7#8#9#")),IF(AND(VALUE(LEFT(D982,2))&gt;=1,VALUE(LEFT(D982,2))&lt;=5),VALUE(LEFT(D982,2)),""),IF(AND(VALUE(LEFT(D982,1))&gt;=1,VALUE(LEFT(D982,1))&lt;=5),VALUE(LEFT(D982,1)),"")),""),"")</f>
        <v/>
      </c>
      <c r="S982" s="25">
        <f>IF(AND(Q982=1,E982&lt;&gt;""),SUBSTITUTE(SUBSTITUTE(SUBSTITUTE(SUBSTITUTE(SUBSTITUTE(SUBSTITUTE(SUBSTITUTE(SUBSTITUTE(SUBSTITUTE(SUBSTITUTE(SUBSTITUTE(SUBSTITUTE(LOWER(TRIM(E982)),"á","a"),"é","e"),"í","i"),"ó","o"),"ú","u"),"ü","u"),"ñ","n"),"à","a"),"è","e"),"ì","i"),"ò","o"),"ù","u"),"")</f>
        <v/>
      </c>
      <c r="T982" s="25">
        <f>IF(AND(Q982=1,G982&lt;&gt;""),SUBSTITUTE(SUBSTITUTE(SUBSTITUTE(SUBSTITUTE(SUBSTITUTE(SUBSTITUTE(SUBSTITUTE(SUBSTITUTE(SUBSTITUTE(SUBSTITUTE(SUBSTITUTE(SUBSTITUTE(LOWER(TRIM(G982)),"á","a"),"é","e"),"í","i"),"ó","o"),"ú","u"),"ü","u"),"ñ","n"),"à","a"),"è","e"),"ì","i"),"ò","o"),"ù","u"),"")</f>
        <v/>
      </c>
      <c r="U982" s="25">
        <f>IF(AND(Q982=1,H982&lt;&gt;""),SUBSTITUTE(SUBSTITUTE(SUBSTITUTE(SUBSTITUTE(SUBSTITUTE(SUBSTITUTE(SUBSTITUTE(SUBSTITUTE(SUBSTITUTE(SUBSTITUTE(SUBSTITUTE(SUBSTITUTE(LOWER(TRIM(H982)),"á","a"),"é","e"),"í","i"),"ó","o"),"ú","u"),"ü","u"),"ñ","n"),"à","a"),"è","e"),"ì","i"),"ò","o"),"ù","u"),"")</f>
        <v/>
      </c>
      <c r="V982" s="25">
        <f>IF(AND(Q982=1,L982&lt;&gt;""),SUBSTITUTE(SUBSTITUTE(SUBSTITUTE(SUBSTITUTE(SUBSTITUTE(SUBSTITUTE(SUBSTITUTE(SUBSTITUTE(SUBSTITUTE(SUBSTITUTE(SUBSTITUTE(SUBSTITUTE(LOWER(TRIM(L982)),"á","a"),"é","e"),"í","i"),"ó","o"),"ú","u"),"ü","u"),"ñ","n"),"à","a"),"è","e"),"ì","i"),"ò","o"),"ù","u"),"")</f>
        <v/>
      </c>
      <c r="W982" s="25">
        <f>IF(AND(Q982=1,I982&lt;&gt;""),SUBSTITUTE(SUBSTITUTE(SUBSTITUTE(SUBSTITUTE(SUBSTITUTE(SUBSTITUTE(SUBSTITUTE(SUBSTITUTE(SUBSTITUTE(SUBSTITUTE(SUBSTITUTE(SUBSTITUTE(LOWER(TRIM(I982)),"á","a"),"é","e"),"í","i"),"ó","o"),"ú","u"),"ü","u"),"ñ","n"),"à","a"),"è","e"),"ì","i"),"ò","o"),"ù","u"),"")</f>
        <v/>
      </c>
      <c r="X982" s="25">
        <f>IF(U982="","",IF(OR(U982="si, en la proxima tarea",U982="si, con cambios"),1,0))</f>
        <v/>
      </c>
      <c r="Y982" s="25">
        <f>IF(AND(Q982=1,A982&lt;&gt;""),IF(IFERROR(COUNTIFS(A$3:A982,"="&amp;SUBSTITUTE(SUBSTITUTE(SUBSTITUTE(A982,"~","~~"),"*","~*"),"?","~?"),Q$3:Q982,1),0)=1,MAX(Y$2:Y981)+1,""),"")</f>
        <v/>
      </c>
      <c r="Z982" s="25">
        <f>IF(Y982="","",COUNTIFS($A$3:$A$1002,"="&amp;SUBSTITUTE(SUBSTITUTE(SUBSTITUTE(A982,"~","~~"),"*","~*"),"?","~?"),$Q$3:$Q$1002,1)*10000-Y982)</f>
        <v/>
      </c>
    </row>
    <row r="983">
      <c r="A983">
        <f>IF(A$2=0,"",IFERROR(TRIM(INDEX('Pegar docentes'!$A$1:$BZ$1001,982,A$2)&amp;""),""))</f>
        <v/>
      </c>
      <c r="B983">
        <f>IF(B$2=0,"",IFERROR(TRIM(INDEX('Pegar docentes'!$A$1:$BZ$1001,982,B$2)&amp;""),""))</f>
        <v/>
      </c>
      <c r="C983">
        <f>IF(C$2=0,"",IFERROR(TRIM(INDEX('Pegar docentes'!$A$1:$BZ$1001,982,C$2)&amp;""),""))</f>
        <v/>
      </c>
      <c r="D983">
        <f>IF(D$2=0,"",IFERROR(TRIM(INDEX('Pegar docentes'!$A$1:$BZ$1001,982,D$2)&amp;""),""))</f>
        <v/>
      </c>
      <c r="E983">
        <f>IF(E$2=0,"",IFERROR(TRIM(INDEX('Pegar docentes'!$A$1:$BZ$1001,982,E$2)&amp;""),""))</f>
        <v/>
      </c>
      <c r="F983">
        <f>IF(F$2=0,"",IFERROR(TRIM(INDEX('Pegar docentes'!$A$1:$BZ$1001,982,F$2)&amp;""),""))</f>
        <v/>
      </c>
      <c r="G983">
        <f>IF(G$2=0,"",IFERROR(TRIM(INDEX('Pegar docentes'!$A$1:$BZ$1001,982,G$2)&amp;""),""))</f>
        <v/>
      </c>
      <c r="H983">
        <f>IF(H$2=0,"",IFERROR(TRIM(INDEX('Pegar docentes'!$A$1:$BZ$1001,982,H$2)&amp;""),""))</f>
        <v/>
      </c>
      <c r="I983">
        <f>IF(I$2=0,"",IFERROR(TRIM(INDEX('Pegar docentes'!$A$1:$BZ$1001,982,I$2)&amp;""),""))</f>
        <v/>
      </c>
      <c r="J983">
        <f>IF(J$2=0,"",IFERROR(TRIM(INDEX('Pegar docentes'!$A$1:$BZ$1001,982,J$2)&amp;""),""))</f>
        <v/>
      </c>
      <c r="K983">
        <f>IF(K$2=0,"",IFERROR(TRIM(INDEX('Pegar docentes'!$A$1:$BZ$1001,982,K$2)&amp;""),""))</f>
        <v/>
      </c>
      <c r="L983">
        <f>IF(L$2=0,"",IFERROR(TRIM(INDEX('Pegar docentes'!$A$1:$BZ$1001,982,L$2)&amp;""),""))</f>
        <v/>
      </c>
      <c r="M983">
        <f>IF(M$2=0,"",IFERROR(TRIM(INDEX('Pegar docentes'!$A$1:$BZ$1001,982,M$2)&amp;""),""))</f>
        <v/>
      </c>
      <c r="N983">
        <f>IF(N$2=0,"",IFERROR(TRIM(INDEX('Pegar docentes'!$A$1:$BZ$1001,982,N$2)&amp;""),""))</f>
        <v/>
      </c>
      <c r="O983">
        <f>IF(O$2=0,"",IFERROR(TRIM(INDEX('Pegar docentes'!$A$1:$BZ$1001,982,O$2)&amp;""),""))</f>
        <v/>
      </c>
      <c r="P983">
        <f>IF(P$2=0,"",IFERROR(TRIM(INDEX('Pegar docentes'!$A$1:$BZ$1001,982,P$2)&amp;""),""))</f>
        <v/>
      </c>
      <c r="Q983" s="25">
        <f>IF(OR(D983&lt;&gt;"",H983&lt;&gt;""),1,"")</f>
        <v/>
      </c>
      <c r="R983" s="25">
        <f>IF(Q983=1,IF(ISNUMBER(FIND("#"&amp;MID(D983,1,1)&amp;"#","#0#1#2#3#4#5#6#7#8#9#")),IF(ISNUMBER(FIND("#"&amp;MID(D983,2,1)&amp;"#","#0#1#2#3#4#5#6#7#8#9#")),IF(AND(VALUE(LEFT(D983,2))&gt;=1,VALUE(LEFT(D983,2))&lt;=5),VALUE(LEFT(D983,2)),""),IF(AND(VALUE(LEFT(D983,1))&gt;=1,VALUE(LEFT(D983,1))&lt;=5),VALUE(LEFT(D983,1)),"")),""),"")</f>
        <v/>
      </c>
      <c r="S983" s="25">
        <f>IF(AND(Q983=1,E983&lt;&gt;""),SUBSTITUTE(SUBSTITUTE(SUBSTITUTE(SUBSTITUTE(SUBSTITUTE(SUBSTITUTE(SUBSTITUTE(SUBSTITUTE(SUBSTITUTE(SUBSTITUTE(SUBSTITUTE(SUBSTITUTE(LOWER(TRIM(E983)),"á","a"),"é","e"),"í","i"),"ó","o"),"ú","u"),"ü","u"),"ñ","n"),"à","a"),"è","e"),"ì","i"),"ò","o"),"ù","u"),"")</f>
        <v/>
      </c>
      <c r="T983" s="25">
        <f>IF(AND(Q983=1,G983&lt;&gt;""),SUBSTITUTE(SUBSTITUTE(SUBSTITUTE(SUBSTITUTE(SUBSTITUTE(SUBSTITUTE(SUBSTITUTE(SUBSTITUTE(SUBSTITUTE(SUBSTITUTE(SUBSTITUTE(SUBSTITUTE(LOWER(TRIM(G983)),"á","a"),"é","e"),"í","i"),"ó","o"),"ú","u"),"ü","u"),"ñ","n"),"à","a"),"è","e"),"ì","i"),"ò","o"),"ù","u"),"")</f>
        <v/>
      </c>
      <c r="U983" s="25">
        <f>IF(AND(Q983=1,H983&lt;&gt;""),SUBSTITUTE(SUBSTITUTE(SUBSTITUTE(SUBSTITUTE(SUBSTITUTE(SUBSTITUTE(SUBSTITUTE(SUBSTITUTE(SUBSTITUTE(SUBSTITUTE(SUBSTITUTE(SUBSTITUTE(LOWER(TRIM(H983)),"á","a"),"é","e"),"í","i"),"ó","o"),"ú","u"),"ü","u"),"ñ","n"),"à","a"),"è","e"),"ì","i"),"ò","o"),"ù","u"),"")</f>
        <v/>
      </c>
      <c r="V983" s="25">
        <f>IF(AND(Q983=1,L983&lt;&gt;""),SUBSTITUTE(SUBSTITUTE(SUBSTITUTE(SUBSTITUTE(SUBSTITUTE(SUBSTITUTE(SUBSTITUTE(SUBSTITUTE(SUBSTITUTE(SUBSTITUTE(SUBSTITUTE(SUBSTITUTE(LOWER(TRIM(L983)),"á","a"),"é","e"),"í","i"),"ó","o"),"ú","u"),"ü","u"),"ñ","n"),"à","a"),"è","e"),"ì","i"),"ò","o"),"ù","u"),"")</f>
        <v/>
      </c>
      <c r="W983" s="25">
        <f>IF(AND(Q983=1,I983&lt;&gt;""),SUBSTITUTE(SUBSTITUTE(SUBSTITUTE(SUBSTITUTE(SUBSTITUTE(SUBSTITUTE(SUBSTITUTE(SUBSTITUTE(SUBSTITUTE(SUBSTITUTE(SUBSTITUTE(SUBSTITUTE(LOWER(TRIM(I983)),"á","a"),"é","e"),"í","i"),"ó","o"),"ú","u"),"ü","u"),"ñ","n"),"à","a"),"è","e"),"ì","i"),"ò","o"),"ù","u"),"")</f>
        <v/>
      </c>
      <c r="X983" s="25">
        <f>IF(U983="","",IF(OR(U983="si, en la proxima tarea",U983="si, con cambios"),1,0))</f>
        <v/>
      </c>
      <c r="Y983" s="25">
        <f>IF(AND(Q983=1,A983&lt;&gt;""),IF(IFERROR(COUNTIFS(A$3:A983,"="&amp;SUBSTITUTE(SUBSTITUTE(SUBSTITUTE(A983,"~","~~"),"*","~*"),"?","~?"),Q$3:Q983,1),0)=1,MAX(Y$2:Y982)+1,""),"")</f>
        <v/>
      </c>
      <c r="Z983" s="25">
        <f>IF(Y983="","",COUNTIFS($A$3:$A$1002,"="&amp;SUBSTITUTE(SUBSTITUTE(SUBSTITUTE(A983,"~","~~"),"*","~*"),"?","~?"),$Q$3:$Q$1002,1)*10000-Y983)</f>
        <v/>
      </c>
    </row>
    <row r="984">
      <c r="A984">
        <f>IF(A$2=0,"",IFERROR(TRIM(INDEX('Pegar docentes'!$A$1:$BZ$1001,983,A$2)&amp;""),""))</f>
        <v/>
      </c>
      <c r="B984">
        <f>IF(B$2=0,"",IFERROR(TRIM(INDEX('Pegar docentes'!$A$1:$BZ$1001,983,B$2)&amp;""),""))</f>
        <v/>
      </c>
      <c r="C984">
        <f>IF(C$2=0,"",IFERROR(TRIM(INDEX('Pegar docentes'!$A$1:$BZ$1001,983,C$2)&amp;""),""))</f>
        <v/>
      </c>
      <c r="D984">
        <f>IF(D$2=0,"",IFERROR(TRIM(INDEX('Pegar docentes'!$A$1:$BZ$1001,983,D$2)&amp;""),""))</f>
        <v/>
      </c>
      <c r="E984">
        <f>IF(E$2=0,"",IFERROR(TRIM(INDEX('Pegar docentes'!$A$1:$BZ$1001,983,E$2)&amp;""),""))</f>
        <v/>
      </c>
      <c r="F984">
        <f>IF(F$2=0,"",IFERROR(TRIM(INDEX('Pegar docentes'!$A$1:$BZ$1001,983,F$2)&amp;""),""))</f>
        <v/>
      </c>
      <c r="G984">
        <f>IF(G$2=0,"",IFERROR(TRIM(INDEX('Pegar docentes'!$A$1:$BZ$1001,983,G$2)&amp;""),""))</f>
        <v/>
      </c>
      <c r="H984">
        <f>IF(H$2=0,"",IFERROR(TRIM(INDEX('Pegar docentes'!$A$1:$BZ$1001,983,H$2)&amp;""),""))</f>
        <v/>
      </c>
      <c r="I984">
        <f>IF(I$2=0,"",IFERROR(TRIM(INDEX('Pegar docentes'!$A$1:$BZ$1001,983,I$2)&amp;""),""))</f>
        <v/>
      </c>
      <c r="J984">
        <f>IF(J$2=0,"",IFERROR(TRIM(INDEX('Pegar docentes'!$A$1:$BZ$1001,983,J$2)&amp;""),""))</f>
        <v/>
      </c>
      <c r="K984">
        <f>IF(K$2=0,"",IFERROR(TRIM(INDEX('Pegar docentes'!$A$1:$BZ$1001,983,K$2)&amp;""),""))</f>
        <v/>
      </c>
      <c r="L984">
        <f>IF(L$2=0,"",IFERROR(TRIM(INDEX('Pegar docentes'!$A$1:$BZ$1001,983,L$2)&amp;""),""))</f>
        <v/>
      </c>
      <c r="M984">
        <f>IF(M$2=0,"",IFERROR(TRIM(INDEX('Pegar docentes'!$A$1:$BZ$1001,983,M$2)&amp;""),""))</f>
        <v/>
      </c>
      <c r="N984">
        <f>IF(N$2=0,"",IFERROR(TRIM(INDEX('Pegar docentes'!$A$1:$BZ$1001,983,N$2)&amp;""),""))</f>
        <v/>
      </c>
      <c r="O984">
        <f>IF(O$2=0,"",IFERROR(TRIM(INDEX('Pegar docentes'!$A$1:$BZ$1001,983,O$2)&amp;""),""))</f>
        <v/>
      </c>
      <c r="P984">
        <f>IF(P$2=0,"",IFERROR(TRIM(INDEX('Pegar docentes'!$A$1:$BZ$1001,983,P$2)&amp;""),""))</f>
        <v/>
      </c>
      <c r="Q984" s="25">
        <f>IF(OR(D984&lt;&gt;"",H984&lt;&gt;""),1,"")</f>
        <v/>
      </c>
      <c r="R984" s="25">
        <f>IF(Q984=1,IF(ISNUMBER(FIND("#"&amp;MID(D984,1,1)&amp;"#","#0#1#2#3#4#5#6#7#8#9#")),IF(ISNUMBER(FIND("#"&amp;MID(D984,2,1)&amp;"#","#0#1#2#3#4#5#6#7#8#9#")),IF(AND(VALUE(LEFT(D984,2))&gt;=1,VALUE(LEFT(D984,2))&lt;=5),VALUE(LEFT(D984,2)),""),IF(AND(VALUE(LEFT(D984,1))&gt;=1,VALUE(LEFT(D984,1))&lt;=5),VALUE(LEFT(D984,1)),"")),""),"")</f>
        <v/>
      </c>
      <c r="S984" s="25">
        <f>IF(AND(Q984=1,E984&lt;&gt;""),SUBSTITUTE(SUBSTITUTE(SUBSTITUTE(SUBSTITUTE(SUBSTITUTE(SUBSTITUTE(SUBSTITUTE(SUBSTITUTE(SUBSTITUTE(SUBSTITUTE(SUBSTITUTE(SUBSTITUTE(LOWER(TRIM(E984)),"á","a"),"é","e"),"í","i"),"ó","o"),"ú","u"),"ü","u"),"ñ","n"),"à","a"),"è","e"),"ì","i"),"ò","o"),"ù","u"),"")</f>
        <v/>
      </c>
      <c r="T984" s="25">
        <f>IF(AND(Q984=1,G984&lt;&gt;""),SUBSTITUTE(SUBSTITUTE(SUBSTITUTE(SUBSTITUTE(SUBSTITUTE(SUBSTITUTE(SUBSTITUTE(SUBSTITUTE(SUBSTITUTE(SUBSTITUTE(SUBSTITUTE(SUBSTITUTE(LOWER(TRIM(G984)),"á","a"),"é","e"),"í","i"),"ó","o"),"ú","u"),"ü","u"),"ñ","n"),"à","a"),"è","e"),"ì","i"),"ò","o"),"ù","u"),"")</f>
        <v/>
      </c>
      <c r="U984" s="25">
        <f>IF(AND(Q984=1,H984&lt;&gt;""),SUBSTITUTE(SUBSTITUTE(SUBSTITUTE(SUBSTITUTE(SUBSTITUTE(SUBSTITUTE(SUBSTITUTE(SUBSTITUTE(SUBSTITUTE(SUBSTITUTE(SUBSTITUTE(SUBSTITUTE(LOWER(TRIM(H984)),"á","a"),"é","e"),"í","i"),"ó","o"),"ú","u"),"ü","u"),"ñ","n"),"à","a"),"è","e"),"ì","i"),"ò","o"),"ù","u"),"")</f>
        <v/>
      </c>
      <c r="V984" s="25">
        <f>IF(AND(Q984=1,L984&lt;&gt;""),SUBSTITUTE(SUBSTITUTE(SUBSTITUTE(SUBSTITUTE(SUBSTITUTE(SUBSTITUTE(SUBSTITUTE(SUBSTITUTE(SUBSTITUTE(SUBSTITUTE(SUBSTITUTE(SUBSTITUTE(LOWER(TRIM(L984)),"á","a"),"é","e"),"í","i"),"ó","o"),"ú","u"),"ü","u"),"ñ","n"),"à","a"),"è","e"),"ì","i"),"ò","o"),"ù","u"),"")</f>
        <v/>
      </c>
      <c r="W984" s="25">
        <f>IF(AND(Q984=1,I984&lt;&gt;""),SUBSTITUTE(SUBSTITUTE(SUBSTITUTE(SUBSTITUTE(SUBSTITUTE(SUBSTITUTE(SUBSTITUTE(SUBSTITUTE(SUBSTITUTE(SUBSTITUTE(SUBSTITUTE(SUBSTITUTE(LOWER(TRIM(I984)),"á","a"),"é","e"),"í","i"),"ó","o"),"ú","u"),"ü","u"),"ñ","n"),"à","a"),"è","e"),"ì","i"),"ò","o"),"ù","u"),"")</f>
        <v/>
      </c>
      <c r="X984" s="25">
        <f>IF(U984="","",IF(OR(U984="si, en la proxima tarea",U984="si, con cambios"),1,0))</f>
        <v/>
      </c>
      <c r="Y984" s="25">
        <f>IF(AND(Q984=1,A984&lt;&gt;""),IF(IFERROR(COUNTIFS(A$3:A984,"="&amp;SUBSTITUTE(SUBSTITUTE(SUBSTITUTE(A984,"~","~~"),"*","~*"),"?","~?"),Q$3:Q984,1),0)=1,MAX(Y$2:Y983)+1,""),"")</f>
        <v/>
      </c>
      <c r="Z984" s="25">
        <f>IF(Y984="","",COUNTIFS($A$3:$A$1002,"="&amp;SUBSTITUTE(SUBSTITUTE(SUBSTITUTE(A984,"~","~~"),"*","~*"),"?","~?"),$Q$3:$Q$1002,1)*10000-Y984)</f>
        <v/>
      </c>
    </row>
    <row r="985">
      <c r="A985">
        <f>IF(A$2=0,"",IFERROR(TRIM(INDEX('Pegar docentes'!$A$1:$BZ$1001,984,A$2)&amp;""),""))</f>
        <v/>
      </c>
      <c r="B985">
        <f>IF(B$2=0,"",IFERROR(TRIM(INDEX('Pegar docentes'!$A$1:$BZ$1001,984,B$2)&amp;""),""))</f>
        <v/>
      </c>
      <c r="C985">
        <f>IF(C$2=0,"",IFERROR(TRIM(INDEX('Pegar docentes'!$A$1:$BZ$1001,984,C$2)&amp;""),""))</f>
        <v/>
      </c>
      <c r="D985">
        <f>IF(D$2=0,"",IFERROR(TRIM(INDEX('Pegar docentes'!$A$1:$BZ$1001,984,D$2)&amp;""),""))</f>
        <v/>
      </c>
      <c r="E985">
        <f>IF(E$2=0,"",IFERROR(TRIM(INDEX('Pegar docentes'!$A$1:$BZ$1001,984,E$2)&amp;""),""))</f>
        <v/>
      </c>
      <c r="F985">
        <f>IF(F$2=0,"",IFERROR(TRIM(INDEX('Pegar docentes'!$A$1:$BZ$1001,984,F$2)&amp;""),""))</f>
        <v/>
      </c>
      <c r="G985">
        <f>IF(G$2=0,"",IFERROR(TRIM(INDEX('Pegar docentes'!$A$1:$BZ$1001,984,G$2)&amp;""),""))</f>
        <v/>
      </c>
      <c r="H985">
        <f>IF(H$2=0,"",IFERROR(TRIM(INDEX('Pegar docentes'!$A$1:$BZ$1001,984,H$2)&amp;""),""))</f>
        <v/>
      </c>
      <c r="I985">
        <f>IF(I$2=0,"",IFERROR(TRIM(INDEX('Pegar docentes'!$A$1:$BZ$1001,984,I$2)&amp;""),""))</f>
        <v/>
      </c>
      <c r="J985">
        <f>IF(J$2=0,"",IFERROR(TRIM(INDEX('Pegar docentes'!$A$1:$BZ$1001,984,J$2)&amp;""),""))</f>
        <v/>
      </c>
      <c r="K985">
        <f>IF(K$2=0,"",IFERROR(TRIM(INDEX('Pegar docentes'!$A$1:$BZ$1001,984,K$2)&amp;""),""))</f>
        <v/>
      </c>
      <c r="L985">
        <f>IF(L$2=0,"",IFERROR(TRIM(INDEX('Pegar docentes'!$A$1:$BZ$1001,984,L$2)&amp;""),""))</f>
        <v/>
      </c>
      <c r="M985">
        <f>IF(M$2=0,"",IFERROR(TRIM(INDEX('Pegar docentes'!$A$1:$BZ$1001,984,M$2)&amp;""),""))</f>
        <v/>
      </c>
      <c r="N985">
        <f>IF(N$2=0,"",IFERROR(TRIM(INDEX('Pegar docentes'!$A$1:$BZ$1001,984,N$2)&amp;""),""))</f>
        <v/>
      </c>
      <c r="O985">
        <f>IF(O$2=0,"",IFERROR(TRIM(INDEX('Pegar docentes'!$A$1:$BZ$1001,984,O$2)&amp;""),""))</f>
        <v/>
      </c>
      <c r="P985">
        <f>IF(P$2=0,"",IFERROR(TRIM(INDEX('Pegar docentes'!$A$1:$BZ$1001,984,P$2)&amp;""),""))</f>
        <v/>
      </c>
      <c r="Q985" s="25">
        <f>IF(OR(D985&lt;&gt;"",H985&lt;&gt;""),1,"")</f>
        <v/>
      </c>
      <c r="R985" s="25">
        <f>IF(Q985=1,IF(ISNUMBER(FIND("#"&amp;MID(D985,1,1)&amp;"#","#0#1#2#3#4#5#6#7#8#9#")),IF(ISNUMBER(FIND("#"&amp;MID(D985,2,1)&amp;"#","#0#1#2#3#4#5#6#7#8#9#")),IF(AND(VALUE(LEFT(D985,2))&gt;=1,VALUE(LEFT(D985,2))&lt;=5),VALUE(LEFT(D985,2)),""),IF(AND(VALUE(LEFT(D985,1))&gt;=1,VALUE(LEFT(D985,1))&lt;=5),VALUE(LEFT(D985,1)),"")),""),"")</f>
        <v/>
      </c>
      <c r="S985" s="25">
        <f>IF(AND(Q985=1,E985&lt;&gt;""),SUBSTITUTE(SUBSTITUTE(SUBSTITUTE(SUBSTITUTE(SUBSTITUTE(SUBSTITUTE(SUBSTITUTE(SUBSTITUTE(SUBSTITUTE(SUBSTITUTE(SUBSTITUTE(SUBSTITUTE(LOWER(TRIM(E985)),"á","a"),"é","e"),"í","i"),"ó","o"),"ú","u"),"ü","u"),"ñ","n"),"à","a"),"è","e"),"ì","i"),"ò","o"),"ù","u"),"")</f>
        <v/>
      </c>
      <c r="T985" s="25">
        <f>IF(AND(Q985=1,G985&lt;&gt;""),SUBSTITUTE(SUBSTITUTE(SUBSTITUTE(SUBSTITUTE(SUBSTITUTE(SUBSTITUTE(SUBSTITUTE(SUBSTITUTE(SUBSTITUTE(SUBSTITUTE(SUBSTITUTE(SUBSTITUTE(LOWER(TRIM(G985)),"á","a"),"é","e"),"í","i"),"ó","o"),"ú","u"),"ü","u"),"ñ","n"),"à","a"),"è","e"),"ì","i"),"ò","o"),"ù","u"),"")</f>
        <v/>
      </c>
      <c r="U985" s="25">
        <f>IF(AND(Q985=1,H985&lt;&gt;""),SUBSTITUTE(SUBSTITUTE(SUBSTITUTE(SUBSTITUTE(SUBSTITUTE(SUBSTITUTE(SUBSTITUTE(SUBSTITUTE(SUBSTITUTE(SUBSTITUTE(SUBSTITUTE(SUBSTITUTE(LOWER(TRIM(H985)),"á","a"),"é","e"),"í","i"),"ó","o"),"ú","u"),"ü","u"),"ñ","n"),"à","a"),"è","e"),"ì","i"),"ò","o"),"ù","u"),"")</f>
        <v/>
      </c>
      <c r="V985" s="25">
        <f>IF(AND(Q985=1,L985&lt;&gt;""),SUBSTITUTE(SUBSTITUTE(SUBSTITUTE(SUBSTITUTE(SUBSTITUTE(SUBSTITUTE(SUBSTITUTE(SUBSTITUTE(SUBSTITUTE(SUBSTITUTE(SUBSTITUTE(SUBSTITUTE(LOWER(TRIM(L985)),"á","a"),"é","e"),"í","i"),"ó","o"),"ú","u"),"ü","u"),"ñ","n"),"à","a"),"è","e"),"ì","i"),"ò","o"),"ù","u"),"")</f>
        <v/>
      </c>
      <c r="W985" s="25">
        <f>IF(AND(Q985=1,I985&lt;&gt;""),SUBSTITUTE(SUBSTITUTE(SUBSTITUTE(SUBSTITUTE(SUBSTITUTE(SUBSTITUTE(SUBSTITUTE(SUBSTITUTE(SUBSTITUTE(SUBSTITUTE(SUBSTITUTE(SUBSTITUTE(LOWER(TRIM(I985)),"á","a"),"é","e"),"í","i"),"ó","o"),"ú","u"),"ü","u"),"ñ","n"),"à","a"),"è","e"),"ì","i"),"ò","o"),"ù","u"),"")</f>
        <v/>
      </c>
      <c r="X985" s="25">
        <f>IF(U985="","",IF(OR(U985="si, en la proxima tarea",U985="si, con cambios"),1,0))</f>
        <v/>
      </c>
      <c r="Y985" s="25">
        <f>IF(AND(Q985=1,A985&lt;&gt;""),IF(IFERROR(COUNTIFS(A$3:A985,"="&amp;SUBSTITUTE(SUBSTITUTE(SUBSTITUTE(A985,"~","~~"),"*","~*"),"?","~?"),Q$3:Q985,1),0)=1,MAX(Y$2:Y984)+1,""),"")</f>
        <v/>
      </c>
      <c r="Z985" s="25">
        <f>IF(Y985="","",COUNTIFS($A$3:$A$1002,"="&amp;SUBSTITUTE(SUBSTITUTE(SUBSTITUTE(A985,"~","~~"),"*","~*"),"?","~?"),$Q$3:$Q$1002,1)*10000-Y985)</f>
        <v/>
      </c>
    </row>
    <row r="986">
      <c r="A986">
        <f>IF(A$2=0,"",IFERROR(TRIM(INDEX('Pegar docentes'!$A$1:$BZ$1001,985,A$2)&amp;""),""))</f>
        <v/>
      </c>
      <c r="B986">
        <f>IF(B$2=0,"",IFERROR(TRIM(INDEX('Pegar docentes'!$A$1:$BZ$1001,985,B$2)&amp;""),""))</f>
        <v/>
      </c>
      <c r="C986">
        <f>IF(C$2=0,"",IFERROR(TRIM(INDEX('Pegar docentes'!$A$1:$BZ$1001,985,C$2)&amp;""),""))</f>
        <v/>
      </c>
      <c r="D986">
        <f>IF(D$2=0,"",IFERROR(TRIM(INDEX('Pegar docentes'!$A$1:$BZ$1001,985,D$2)&amp;""),""))</f>
        <v/>
      </c>
      <c r="E986">
        <f>IF(E$2=0,"",IFERROR(TRIM(INDEX('Pegar docentes'!$A$1:$BZ$1001,985,E$2)&amp;""),""))</f>
        <v/>
      </c>
      <c r="F986">
        <f>IF(F$2=0,"",IFERROR(TRIM(INDEX('Pegar docentes'!$A$1:$BZ$1001,985,F$2)&amp;""),""))</f>
        <v/>
      </c>
      <c r="G986">
        <f>IF(G$2=0,"",IFERROR(TRIM(INDEX('Pegar docentes'!$A$1:$BZ$1001,985,G$2)&amp;""),""))</f>
        <v/>
      </c>
      <c r="H986">
        <f>IF(H$2=0,"",IFERROR(TRIM(INDEX('Pegar docentes'!$A$1:$BZ$1001,985,H$2)&amp;""),""))</f>
        <v/>
      </c>
      <c r="I986">
        <f>IF(I$2=0,"",IFERROR(TRIM(INDEX('Pegar docentes'!$A$1:$BZ$1001,985,I$2)&amp;""),""))</f>
        <v/>
      </c>
      <c r="J986">
        <f>IF(J$2=0,"",IFERROR(TRIM(INDEX('Pegar docentes'!$A$1:$BZ$1001,985,J$2)&amp;""),""))</f>
        <v/>
      </c>
      <c r="K986">
        <f>IF(K$2=0,"",IFERROR(TRIM(INDEX('Pegar docentes'!$A$1:$BZ$1001,985,K$2)&amp;""),""))</f>
        <v/>
      </c>
      <c r="L986">
        <f>IF(L$2=0,"",IFERROR(TRIM(INDEX('Pegar docentes'!$A$1:$BZ$1001,985,L$2)&amp;""),""))</f>
        <v/>
      </c>
      <c r="M986">
        <f>IF(M$2=0,"",IFERROR(TRIM(INDEX('Pegar docentes'!$A$1:$BZ$1001,985,M$2)&amp;""),""))</f>
        <v/>
      </c>
      <c r="N986">
        <f>IF(N$2=0,"",IFERROR(TRIM(INDEX('Pegar docentes'!$A$1:$BZ$1001,985,N$2)&amp;""),""))</f>
        <v/>
      </c>
      <c r="O986">
        <f>IF(O$2=0,"",IFERROR(TRIM(INDEX('Pegar docentes'!$A$1:$BZ$1001,985,O$2)&amp;""),""))</f>
        <v/>
      </c>
      <c r="P986">
        <f>IF(P$2=0,"",IFERROR(TRIM(INDEX('Pegar docentes'!$A$1:$BZ$1001,985,P$2)&amp;""),""))</f>
        <v/>
      </c>
      <c r="Q986" s="25">
        <f>IF(OR(D986&lt;&gt;"",H986&lt;&gt;""),1,"")</f>
        <v/>
      </c>
      <c r="R986" s="25">
        <f>IF(Q986=1,IF(ISNUMBER(FIND("#"&amp;MID(D986,1,1)&amp;"#","#0#1#2#3#4#5#6#7#8#9#")),IF(ISNUMBER(FIND("#"&amp;MID(D986,2,1)&amp;"#","#0#1#2#3#4#5#6#7#8#9#")),IF(AND(VALUE(LEFT(D986,2))&gt;=1,VALUE(LEFT(D986,2))&lt;=5),VALUE(LEFT(D986,2)),""),IF(AND(VALUE(LEFT(D986,1))&gt;=1,VALUE(LEFT(D986,1))&lt;=5),VALUE(LEFT(D986,1)),"")),""),"")</f>
        <v/>
      </c>
      <c r="S986" s="25">
        <f>IF(AND(Q986=1,E986&lt;&gt;""),SUBSTITUTE(SUBSTITUTE(SUBSTITUTE(SUBSTITUTE(SUBSTITUTE(SUBSTITUTE(SUBSTITUTE(SUBSTITUTE(SUBSTITUTE(SUBSTITUTE(SUBSTITUTE(SUBSTITUTE(LOWER(TRIM(E986)),"á","a"),"é","e"),"í","i"),"ó","o"),"ú","u"),"ü","u"),"ñ","n"),"à","a"),"è","e"),"ì","i"),"ò","o"),"ù","u"),"")</f>
        <v/>
      </c>
      <c r="T986" s="25">
        <f>IF(AND(Q986=1,G986&lt;&gt;""),SUBSTITUTE(SUBSTITUTE(SUBSTITUTE(SUBSTITUTE(SUBSTITUTE(SUBSTITUTE(SUBSTITUTE(SUBSTITUTE(SUBSTITUTE(SUBSTITUTE(SUBSTITUTE(SUBSTITUTE(LOWER(TRIM(G986)),"á","a"),"é","e"),"í","i"),"ó","o"),"ú","u"),"ü","u"),"ñ","n"),"à","a"),"è","e"),"ì","i"),"ò","o"),"ù","u"),"")</f>
        <v/>
      </c>
      <c r="U986" s="25">
        <f>IF(AND(Q986=1,H986&lt;&gt;""),SUBSTITUTE(SUBSTITUTE(SUBSTITUTE(SUBSTITUTE(SUBSTITUTE(SUBSTITUTE(SUBSTITUTE(SUBSTITUTE(SUBSTITUTE(SUBSTITUTE(SUBSTITUTE(SUBSTITUTE(LOWER(TRIM(H986)),"á","a"),"é","e"),"í","i"),"ó","o"),"ú","u"),"ü","u"),"ñ","n"),"à","a"),"è","e"),"ì","i"),"ò","o"),"ù","u"),"")</f>
        <v/>
      </c>
      <c r="V986" s="25">
        <f>IF(AND(Q986=1,L986&lt;&gt;""),SUBSTITUTE(SUBSTITUTE(SUBSTITUTE(SUBSTITUTE(SUBSTITUTE(SUBSTITUTE(SUBSTITUTE(SUBSTITUTE(SUBSTITUTE(SUBSTITUTE(SUBSTITUTE(SUBSTITUTE(LOWER(TRIM(L986)),"á","a"),"é","e"),"í","i"),"ó","o"),"ú","u"),"ü","u"),"ñ","n"),"à","a"),"è","e"),"ì","i"),"ò","o"),"ù","u"),"")</f>
        <v/>
      </c>
      <c r="W986" s="25">
        <f>IF(AND(Q986=1,I986&lt;&gt;""),SUBSTITUTE(SUBSTITUTE(SUBSTITUTE(SUBSTITUTE(SUBSTITUTE(SUBSTITUTE(SUBSTITUTE(SUBSTITUTE(SUBSTITUTE(SUBSTITUTE(SUBSTITUTE(SUBSTITUTE(LOWER(TRIM(I986)),"á","a"),"é","e"),"í","i"),"ó","o"),"ú","u"),"ü","u"),"ñ","n"),"à","a"),"è","e"),"ì","i"),"ò","o"),"ù","u"),"")</f>
        <v/>
      </c>
      <c r="X986" s="25">
        <f>IF(U986="","",IF(OR(U986="si, en la proxima tarea",U986="si, con cambios"),1,0))</f>
        <v/>
      </c>
      <c r="Y986" s="25">
        <f>IF(AND(Q986=1,A986&lt;&gt;""),IF(IFERROR(COUNTIFS(A$3:A986,"="&amp;SUBSTITUTE(SUBSTITUTE(SUBSTITUTE(A986,"~","~~"),"*","~*"),"?","~?"),Q$3:Q986,1),0)=1,MAX(Y$2:Y985)+1,""),"")</f>
        <v/>
      </c>
      <c r="Z986" s="25">
        <f>IF(Y986="","",COUNTIFS($A$3:$A$1002,"="&amp;SUBSTITUTE(SUBSTITUTE(SUBSTITUTE(A986,"~","~~"),"*","~*"),"?","~?"),$Q$3:$Q$1002,1)*10000-Y986)</f>
        <v/>
      </c>
    </row>
    <row r="987">
      <c r="A987">
        <f>IF(A$2=0,"",IFERROR(TRIM(INDEX('Pegar docentes'!$A$1:$BZ$1001,986,A$2)&amp;""),""))</f>
        <v/>
      </c>
      <c r="B987">
        <f>IF(B$2=0,"",IFERROR(TRIM(INDEX('Pegar docentes'!$A$1:$BZ$1001,986,B$2)&amp;""),""))</f>
        <v/>
      </c>
      <c r="C987">
        <f>IF(C$2=0,"",IFERROR(TRIM(INDEX('Pegar docentes'!$A$1:$BZ$1001,986,C$2)&amp;""),""))</f>
        <v/>
      </c>
      <c r="D987">
        <f>IF(D$2=0,"",IFERROR(TRIM(INDEX('Pegar docentes'!$A$1:$BZ$1001,986,D$2)&amp;""),""))</f>
        <v/>
      </c>
      <c r="E987">
        <f>IF(E$2=0,"",IFERROR(TRIM(INDEX('Pegar docentes'!$A$1:$BZ$1001,986,E$2)&amp;""),""))</f>
        <v/>
      </c>
      <c r="F987">
        <f>IF(F$2=0,"",IFERROR(TRIM(INDEX('Pegar docentes'!$A$1:$BZ$1001,986,F$2)&amp;""),""))</f>
        <v/>
      </c>
      <c r="G987">
        <f>IF(G$2=0,"",IFERROR(TRIM(INDEX('Pegar docentes'!$A$1:$BZ$1001,986,G$2)&amp;""),""))</f>
        <v/>
      </c>
      <c r="H987">
        <f>IF(H$2=0,"",IFERROR(TRIM(INDEX('Pegar docentes'!$A$1:$BZ$1001,986,H$2)&amp;""),""))</f>
        <v/>
      </c>
      <c r="I987">
        <f>IF(I$2=0,"",IFERROR(TRIM(INDEX('Pegar docentes'!$A$1:$BZ$1001,986,I$2)&amp;""),""))</f>
        <v/>
      </c>
      <c r="J987">
        <f>IF(J$2=0,"",IFERROR(TRIM(INDEX('Pegar docentes'!$A$1:$BZ$1001,986,J$2)&amp;""),""))</f>
        <v/>
      </c>
      <c r="K987">
        <f>IF(K$2=0,"",IFERROR(TRIM(INDEX('Pegar docentes'!$A$1:$BZ$1001,986,K$2)&amp;""),""))</f>
        <v/>
      </c>
      <c r="L987">
        <f>IF(L$2=0,"",IFERROR(TRIM(INDEX('Pegar docentes'!$A$1:$BZ$1001,986,L$2)&amp;""),""))</f>
        <v/>
      </c>
      <c r="M987">
        <f>IF(M$2=0,"",IFERROR(TRIM(INDEX('Pegar docentes'!$A$1:$BZ$1001,986,M$2)&amp;""),""))</f>
        <v/>
      </c>
      <c r="N987">
        <f>IF(N$2=0,"",IFERROR(TRIM(INDEX('Pegar docentes'!$A$1:$BZ$1001,986,N$2)&amp;""),""))</f>
        <v/>
      </c>
      <c r="O987">
        <f>IF(O$2=0,"",IFERROR(TRIM(INDEX('Pegar docentes'!$A$1:$BZ$1001,986,O$2)&amp;""),""))</f>
        <v/>
      </c>
      <c r="P987">
        <f>IF(P$2=0,"",IFERROR(TRIM(INDEX('Pegar docentes'!$A$1:$BZ$1001,986,P$2)&amp;""),""))</f>
        <v/>
      </c>
      <c r="Q987" s="25">
        <f>IF(OR(D987&lt;&gt;"",H987&lt;&gt;""),1,"")</f>
        <v/>
      </c>
      <c r="R987" s="25">
        <f>IF(Q987=1,IF(ISNUMBER(FIND("#"&amp;MID(D987,1,1)&amp;"#","#0#1#2#3#4#5#6#7#8#9#")),IF(ISNUMBER(FIND("#"&amp;MID(D987,2,1)&amp;"#","#0#1#2#3#4#5#6#7#8#9#")),IF(AND(VALUE(LEFT(D987,2))&gt;=1,VALUE(LEFT(D987,2))&lt;=5),VALUE(LEFT(D987,2)),""),IF(AND(VALUE(LEFT(D987,1))&gt;=1,VALUE(LEFT(D987,1))&lt;=5),VALUE(LEFT(D987,1)),"")),""),"")</f>
        <v/>
      </c>
      <c r="S987" s="25">
        <f>IF(AND(Q987=1,E987&lt;&gt;""),SUBSTITUTE(SUBSTITUTE(SUBSTITUTE(SUBSTITUTE(SUBSTITUTE(SUBSTITUTE(SUBSTITUTE(SUBSTITUTE(SUBSTITUTE(SUBSTITUTE(SUBSTITUTE(SUBSTITUTE(LOWER(TRIM(E987)),"á","a"),"é","e"),"í","i"),"ó","o"),"ú","u"),"ü","u"),"ñ","n"),"à","a"),"è","e"),"ì","i"),"ò","o"),"ù","u"),"")</f>
        <v/>
      </c>
      <c r="T987" s="25">
        <f>IF(AND(Q987=1,G987&lt;&gt;""),SUBSTITUTE(SUBSTITUTE(SUBSTITUTE(SUBSTITUTE(SUBSTITUTE(SUBSTITUTE(SUBSTITUTE(SUBSTITUTE(SUBSTITUTE(SUBSTITUTE(SUBSTITUTE(SUBSTITUTE(LOWER(TRIM(G987)),"á","a"),"é","e"),"í","i"),"ó","o"),"ú","u"),"ü","u"),"ñ","n"),"à","a"),"è","e"),"ì","i"),"ò","o"),"ù","u"),"")</f>
        <v/>
      </c>
      <c r="U987" s="25">
        <f>IF(AND(Q987=1,H987&lt;&gt;""),SUBSTITUTE(SUBSTITUTE(SUBSTITUTE(SUBSTITUTE(SUBSTITUTE(SUBSTITUTE(SUBSTITUTE(SUBSTITUTE(SUBSTITUTE(SUBSTITUTE(SUBSTITUTE(SUBSTITUTE(LOWER(TRIM(H987)),"á","a"),"é","e"),"í","i"),"ó","o"),"ú","u"),"ü","u"),"ñ","n"),"à","a"),"è","e"),"ì","i"),"ò","o"),"ù","u"),"")</f>
        <v/>
      </c>
      <c r="V987" s="25">
        <f>IF(AND(Q987=1,L987&lt;&gt;""),SUBSTITUTE(SUBSTITUTE(SUBSTITUTE(SUBSTITUTE(SUBSTITUTE(SUBSTITUTE(SUBSTITUTE(SUBSTITUTE(SUBSTITUTE(SUBSTITUTE(SUBSTITUTE(SUBSTITUTE(LOWER(TRIM(L987)),"á","a"),"é","e"),"í","i"),"ó","o"),"ú","u"),"ü","u"),"ñ","n"),"à","a"),"è","e"),"ì","i"),"ò","o"),"ù","u"),"")</f>
        <v/>
      </c>
      <c r="W987" s="25">
        <f>IF(AND(Q987=1,I987&lt;&gt;""),SUBSTITUTE(SUBSTITUTE(SUBSTITUTE(SUBSTITUTE(SUBSTITUTE(SUBSTITUTE(SUBSTITUTE(SUBSTITUTE(SUBSTITUTE(SUBSTITUTE(SUBSTITUTE(SUBSTITUTE(LOWER(TRIM(I987)),"á","a"),"é","e"),"í","i"),"ó","o"),"ú","u"),"ü","u"),"ñ","n"),"à","a"),"è","e"),"ì","i"),"ò","o"),"ù","u"),"")</f>
        <v/>
      </c>
      <c r="X987" s="25">
        <f>IF(U987="","",IF(OR(U987="si, en la proxima tarea",U987="si, con cambios"),1,0))</f>
        <v/>
      </c>
      <c r="Y987" s="25">
        <f>IF(AND(Q987=1,A987&lt;&gt;""),IF(IFERROR(COUNTIFS(A$3:A987,"="&amp;SUBSTITUTE(SUBSTITUTE(SUBSTITUTE(A987,"~","~~"),"*","~*"),"?","~?"),Q$3:Q987,1),0)=1,MAX(Y$2:Y986)+1,""),"")</f>
        <v/>
      </c>
      <c r="Z987" s="25">
        <f>IF(Y987="","",COUNTIFS($A$3:$A$1002,"="&amp;SUBSTITUTE(SUBSTITUTE(SUBSTITUTE(A987,"~","~~"),"*","~*"),"?","~?"),$Q$3:$Q$1002,1)*10000-Y987)</f>
        <v/>
      </c>
    </row>
    <row r="988">
      <c r="A988">
        <f>IF(A$2=0,"",IFERROR(TRIM(INDEX('Pegar docentes'!$A$1:$BZ$1001,987,A$2)&amp;""),""))</f>
        <v/>
      </c>
      <c r="B988">
        <f>IF(B$2=0,"",IFERROR(TRIM(INDEX('Pegar docentes'!$A$1:$BZ$1001,987,B$2)&amp;""),""))</f>
        <v/>
      </c>
      <c r="C988">
        <f>IF(C$2=0,"",IFERROR(TRIM(INDEX('Pegar docentes'!$A$1:$BZ$1001,987,C$2)&amp;""),""))</f>
        <v/>
      </c>
      <c r="D988">
        <f>IF(D$2=0,"",IFERROR(TRIM(INDEX('Pegar docentes'!$A$1:$BZ$1001,987,D$2)&amp;""),""))</f>
        <v/>
      </c>
      <c r="E988">
        <f>IF(E$2=0,"",IFERROR(TRIM(INDEX('Pegar docentes'!$A$1:$BZ$1001,987,E$2)&amp;""),""))</f>
        <v/>
      </c>
      <c r="F988">
        <f>IF(F$2=0,"",IFERROR(TRIM(INDEX('Pegar docentes'!$A$1:$BZ$1001,987,F$2)&amp;""),""))</f>
        <v/>
      </c>
      <c r="G988">
        <f>IF(G$2=0,"",IFERROR(TRIM(INDEX('Pegar docentes'!$A$1:$BZ$1001,987,G$2)&amp;""),""))</f>
        <v/>
      </c>
      <c r="H988">
        <f>IF(H$2=0,"",IFERROR(TRIM(INDEX('Pegar docentes'!$A$1:$BZ$1001,987,H$2)&amp;""),""))</f>
        <v/>
      </c>
      <c r="I988">
        <f>IF(I$2=0,"",IFERROR(TRIM(INDEX('Pegar docentes'!$A$1:$BZ$1001,987,I$2)&amp;""),""))</f>
        <v/>
      </c>
      <c r="J988">
        <f>IF(J$2=0,"",IFERROR(TRIM(INDEX('Pegar docentes'!$A$1:$BZ$1001,987,J$2)&amp;""),""))</f>
        <v/>
      </c>
      <c r="K988">
        <f>IF(K$2=0,"",IFERROR(TRIM(INDEX('Pegar docentes'!$A$1:$BZ$1001,987,K$2)&amp;""),""))</f>
        <v/>
      </c>
      <c r="L988">
        <f>IF(L$2=0,"",IFERROR(TRIM(INDEX('Pegar docentes'!$A$1:$BZ$1001,987,L$2)&amp;""),""))</f>
        <v/>
      </c>
      <c r="M988">
        <f>IF(M$2=0,"",IFERROR(TRIM(INDEX('Pegar docentes'!$A$1:$BZ$1001,987,M$2)&amp;""),""))</f>
        <v/>
      </c>
      <c r="N988">
        <f>IF(N$2=0,"",IFERROR(TRIM(INDEX('Pegar docentes'!$A$1:$BZ$1001,987,N$2)&amp;""),""))</f>
        <v/>
      </c>
      <c r="O988">
        <f>IF(O$2=0,"",IFERROR(TRIM(INDEX('Pegar docentes'!$A$1:$BZ$1001,987,O$2)&amp;""),""))</f>
        <v/>
      </c>
      <c r="P988">
        <f>IF(P$2=0,"",IFERROR(TRIM(INDEX('Pegar docentes'!$A$1:$BZ$1001,987,P$2)&amp;""),""))</f>
        <v/>
      </c>
      <c r="Q988" s="25">
        <f>IF(OR(D988&lt;&gt;"",H988&lt;&gt;""),1,"")</f>
        <v/>
      </c>
      <c r="R988" s="25">
        <f>IF(Q988=1,IF(ISNUMBER(FIND("#"&amp;MID(D988,1,1)&amp;"#","#0#1#2#3#4#5#6#7#8#9#")),IF(ISNUMBER(FIND("#"&amp;MID(D988,2,1)&amp;"#","#0#1#2#3#4#5#6#7#8#9#")),IF(AND(VALUE(LEFT(D988,2))&gt;=1,VALUE(LEFT(D988,2))&lt;=5),VALUE(LEFT(D988,2)),""),IF(AND(VALUE(LEFT(D988,1))&gt;=1,VALUE(LEFT(D988,1))&lt;=5),VALUE(LEFT(D988,1)),"")),""),"")</f>
        <v/>
      </c>
      <c r="S988" s="25">
        <f>IF(AND(Q988=1,E988&lt;&gt;""),SUBSTITUTE(SUBSTITUTE(SUBSTITUTE(SUBSTITUTE(SUBSTITUTE(SUBSTITUTE(SUBSTITUTE(SUBSTITUTE(SUBSTITUTE(SUBSTITUTE(SUBSTITUTE(SUBSTITUTE(LOWER(TRIM(E988)),"á","a"),"é","e"),"í","i"),"ó","o"),"ú","u"),"ü","u"),"ñ","n"),"à","a"),"è","e"),"ì","i"),"ò","o"),"ù","u"),"")</f>
        <v/>
      </c>
      <c r="T988" s="25">
        <f>IF(AND(Q988=1,G988&lt;&gt;""),SUBSTITUTE(SUBSTITUTE(SUBSTITUTE(SUBSTITUTE(SUBSTITUTE(SUBSTITUTE(SUBSTITUTE(SUBSTITUTE(SUBSTITUTE(SUBSTITUTE(SUBSTITUTE(SUBSTITUTE(LOWER(TRIM(G988)),"á","a"),"é","e"),"í","i"),"ó","o"),"ú","u"),"ü","u"),"ñ","n"),"à","a"),"è","e"),"ì","i"),"ò","o"),"ù","u"),"")</f>
        <v/>
      </c>
      <c r="U988" s="25">
        <f>IF(AND(Q988=1,H988&lt;&gt;""),SUBSTITUTE(SUBSTITUTE(SUBSTITUTE(SUBSTITUTE(SUBSTITUTE(SUBSTITUTE(SUBSTITUTE(SUBSTITUTE(SUBSTITUTE(SUBSTITUTE(SUBSTITUTE(SUBSTITUTE(LOWER(TRIM(H988)),"á","a"),"é","e"),"í","i"),"ó","o"),"ú","u"),"ü","u"),"ñ","n"),"à","a"),"è","e"),"ì","i"),"ò","o"),"ù","u"),"")</f>
        <v/>
      </c>
      <c r="V988" s="25">
        <f>IF(AND(Q988=1,L988&lt;&gt;""),SUBSTITUTE(SUBSTITUTE(SUBSTITUTE(SUBSTITUTE(SUBSTITUTE(SUBSTITUTE(SUBSTITUTE(SUBSTITUTE(SUBSTITUTE(SUBSTITUTE(SUBSTITUTE(SUBSTITUTE(LOWER(TRIM(L988)),"á","a"),"é","e"),"í","i"),"ó","o"),"ú","u"),"ü","u"),"ñ","n"),"à","a"),"è","e"),"ì","i"),"ò","o"),"ù","u"),"")</f>
        <v/>
      </c>
      <c r="W988" s="25">
        <f>IF(AND(Q988=1,I988&lt;&gt;""),SUBSTITUTE(SUBSTITUTE(SUBSTITUTE(SUBSTITUTE(SUBSTITUTE(SUBSTITUTE(SUBSTITUTE(SUBSTITUTE(SUBSTITUTE(SUBSTITUTE(SUBSTITUTE(SUBSTITUTE(LOWER(TRIM(I988)),"á","a"),"é","e"),"í","i"),"ó","o"),"ú","u"),"ü","u"),"ñ","n"),"à","a"),"è","e"),"ì","i"),"ò","o"),"ù","u"),"")</f>
        <v/>
      </c>
      <c r="X988" s="25">
        <f>IF(U988="","",IF(OR(U988="si, en la proxima tarea",U988="si, con cambios"),1,0))</f>
        <v/>
      </c>
      <c r="Y988" s="25">
        <f>IF(AND(Q988=1,A988&lt;&gt;""),IF(IFERROR(COUNTIFS(A$3:A988,"="&amp;SUBSTITUTE(SUBSTITUTE(SUBSTITUTE(A988,"~","~~"),"*","~*"),"?","~?"),Q$3:Q988,1),0)=1,MAX(Y$2:Y987)+1,""),"")</f>
        <v/>
      </c>
      <c r="Z988" s="25">
        <f>IF(Y988="","",COUNTIFS($A$3:$A$1002,"="&amp;SUBSTITUTE(SUBSTITUTE(SUBSTITUTE(A988,"~","~~"),"*","~*"),"?","~?"),$Q$3:$Q$1002,1)*10000-Y988)</f>
        <v/>
      </c>
    </row>
    <row r="989">
      <c r="A989">
        <f>IF(A$2=0,"",IFERROR(TRIM(INDEX('Pegar docentes'!$A$1:$BZ$1001,988,A$2)&amp;""),""))</f>
        <v/>
      </c>
      <c r="B989">
        <f>IF(B$2=0,"",IFERROR(TRIM(INDEX('Pegar docentes'!$A$1:$BZ$1001,988,B$2)&amp;""),""))</f>
        <v/>
      </c>
      <c r="C989">
        <f>IF(C$2=0,"",IFERROR(TRIM(INDEX('Pegar docentes'!$A$1:$BZ$1001,988,C$2)&amp;""),""))</f>
        <v/>
      </c>
      <c r="D989">
        <f>IF(D$2=0,"",IFERROR(TRIM(INDEX('Pegar docentes'!$A$1:$BZ$1001,988,D$2)&amp;""),""))</f>
        <v/>
      </c>
      <c r="E989">
        <f>IF(E$2=0,"",IFERROR(TRIM(INDEX('Pegar docentes'!$A$1:$BZ$1001,988,E$2)&amp;""),""))</f>
        <v/>
      </c>
      <c r="F989">
        <f>IF(F$2=0,"",IFERROR(TRIM(INDEX('Pegar docentes'!$A$1:$BZ$1001,988,F$2)&amp;""),""))</f>
        <v/>
      </c>
      <c r="G989">
        <f>IF(G$2=0,"",IFERROR(TRIM(INDEX('Pegar docentes'!$A$1:$BZ$1001,988,G$2)&amp;""),""))</f>
        <v/>
      </c>
      <c r="H989">
        <f>IF(H$2=0,"",IFERROR(TRIM(INDEX('Pegar docentes'!$A$1:$BZ$1001,988,H$2)&amp;""),""))</f>
        <v/>
      </c>
      <c r="I989">
        <f>IF(I$2=0,"",IFERROR(TRIM(INDEX('Pegar docentes'!$A$1:$BZ$1001,988,I$2)&amp;""),""))</f>
        <v/>
      </c>
      <c r="J989">
        <f>IF(J$2=0,"",IFERROR(TRIM(INDEX('Pegar docentes'!$A$1:$BZ$1001,988,J$2)&amp;""),""))</f>
        <v/>
      </c>
      <c r="K989">
        <f>IF(K$2=0,"",IFERROR(TRIM(INDEX('Pegar docentes'!$A$1:$BZ$1001,988,K$2)&amp;""),""))</f>
        <v/>
      </c>
      <c r="L989">
        <f>IF(L$2=0,"",IFERROR(TRIM(INDEX('Pegar docentes'!$A$1:$BZ$1001,988,L$2)&amp;""),""))</f>
        <v/>
      </c>
      <c r="M989">
        <f>IF(M$2=0,"",IFERROR(TRIM(INDEX('Pegar docentes'!$A$1:$BZ$1001,988,M$2)&amp;""),""))</f>
        <v/>
      </c>
      <c r="N989">
        <f>IF(N$2=0,"",IFERROR(TRIM(INDEX('Pegar docentes'!$A$1:$BZ$1001,988,N$2)&amp;""),""))</f>
        <v/>
      </c>
      <c r="O989">
        <f>IF(O$2=0,"",IFERROR(TRIM(INDEX('Pegar docentes'!$A$1:$BZ$1001,988,O$2)&amp;""),""))</f>
        <v/>
      </c>
      <c r="P989">
        <f>IF(P$2=0,"",IFERROR(TRIM(INDEX('Pegar docentes'!$A$1:$BZ$1001,988,P$2)&amp;""),""))</f>
        <v/>
      </c>
      <c r="Q989" s="25">
        <f>IF(OR(D989&lt;&gt;"",H989&lt;&gt;""),1,"")</f>
        <v/>
      </c>
      <c r="R989" s="25">
        <f>IF(Q989=1,IF(ISNUMBER(FIND("#"&amp;MID(D989,1,1)&amp;"#","#0#1#2#3#4#5#6#7#8#9#")),IF(ISNUMBER(FIND("#"&amp;MID(D989,2,1)&amp;"#","#0#1#2#3#4#5#6#7#8#9#")),IF(AND(VALUE(LEFT(D989,2))&gt;=1,VALUE(LEFT(D989,2))&lt;=5),VALUE(LEFT(D989,2)),""),IF(AND(VALUE(LEFT(D989,1))&gt;=1,VALUE(LEFT(D989,1))&lt;=5),VALUE(LEFT(D989,1)),"")),""),"")</f>
        <v/>
      </c>
      <c r="S989" s="25">
        <f>IF(AND(Q989=1,E989&lt;&gt;""),SUBSTITUTE(SUBSTITUTE(SUBSTITUTE(SUBSTITUTE(SUBSTITUTE(SUBSTITUTE(SUBSTITUTE(SUBSTITUTE(SUBSTITUTE(SUBSTITUTE(SUBSTITUTE(SUBSTITUTE(LOWER(TRIM(E989)),"á","a"),"é","e"),"í","i"),"ó","o"),"ú","u"),"ü","u"),"ñ","n"),"à","a"),"è","e"),"ì","i"),"ò","o"),"ù","u"),"")</f>
        <v/>
      </c>
      <c r="T989" s="25">
        <f>IF(AND(Q989=1,G989&lt;&gt;""),SUBSTITUTE(SUBSTITUTE(SUBSTITUTE(SUBSTITUTE(SUBSTITUTE(SUBSTITUTE(SUBSTITUTE(SUBSTITUTE(SUBSTITUTE(SUBSTITUTE(SUBSTITUTE(SUBSTITUTE(LOWER(TRIM(G989)),"á","a"),"é","e"),"í","i"),"ó","o"),"ú","u"),"ü","u"),"ñ","n"),"à","a"),"è","e"),"ì","i"),"ò","o"),"ù","u"),"")</f>
        <v/>
      </c>
      <c r="U989" s="25">
        <f>IF(AND(Q989=1,H989&lt;&gt;""),SUBSTITUTE(SUBSTITUTE(SUBSTITUTE(SUBSTITUTE(SUBSTITUTE(SUBSTITUTE(SUBSTITUTE(SUBSTITUTE(SUBSTITUTE(SUBSTITUTE(SUBSTITUTE(SUBSTITUTE(LOWER(TRIM(H989)),"á","a"),"é","e"),"í","i"),"ó","o"),"ú","u"),"ü","u"),"ñ","n"),"à","a"),"è","e"),"ì","i"),"ò","o"),"ù","u"),"")</f>
        <v/>
      </c>
      <c r="V989" s="25">
        <f>IF(AND(Q989=1,L989&lt;&gt;""),SUBSTITUTE(SUBSTITUTE(SUBSTITUTE(SUBSTITUTE(SUBSTITUTE(SUBSTITUTE(SUBSTITUTE(SUBSTITUTE(SUBSTITUTE(SUBSTITUTE(SUBSTITUTE(SUBSTITUTE(LOWER(TRIM(L989)),"á","a"),"é","e"),"í","i"),"ó","o"),"ú","u"),"ü","u"),"ñ","n"),"à","a"),"è","e"),"ì","i"),"ò","o"),"ù","u"),"")</f>
        <v/>
      </c>
      <c r="W989" s="25">
        <f>IF(AND(Q989=1,I989&lt;&gt;""),SUBSTITUTE(SUBSTITUTE(SUBSTITUTE(SUBSTITUTE(SUBSTITUTE(SUBSTITUTE(SUBSTITUTE(SUBSTITUTE(SUBSTITUTE(SUBSTITUTE(SUBSTITUTE(SUBSTITUTE(LOWER(TRIM(I989)),"á","a"),"é","e"),"í","i"),"ó","o"),"ú","u"),"ü","u"),"ñ","n"),"à","a"),"è","e"),"ì","i"),"ò","o"),"ù","u"),"")</f>
        <v/>
      </c>
      <c r="X989" s="25">
        <f>IF(U989="","",IF(OR(U989="si, en la proxima tarea",U989="si, con cambios"),1,0))</f>
        <v/>
      </c>
      <c r="Y989" s="25">
        <f>IF(AND(Q989=1,A989&lt;&gt;""),IF(IFERROR(COUNTIFS(A$3:A989,"="&amp;SUBSTITUTE(SUBSTITUTE(SUBSTITUTE(A989,"~","~~"),"*","~*"),"?","~?"),Q$3:Q989,1),0)=1,MAX(Y$2:Y988)+1,""),"")</f>
        <v/>
      </c>
      <c r="Z989" s="25">
        <f>IF(Y989="","",COUNTIFS($A$3:$A$1002,"="&amp;SUBSTITUTE(SUBSTITUTE(SUBSTITUTE(A989,"~","~~"),"*","~*"),"?","~?"),$Q$3:$Q$1002,1)*10000-Y989)</f>
        <v/>
      </c>
    </row>
    <row r="990">
      <c r="A990">
        <f>IF(A$2=0,"",IFERROR(TRIM(INDEX('Pegar docentes'!$A$1:$BZ$1001,989,A$2)&amp;""),""))</f>
        <v/>
      </c>
      <c r="B990">
        <f>IF(B$2=0,"",IFERROR(TRIM(INDEX('Pegar docentes'!$A$1:$BZ$1001,989,B$2)&amp;""),""))</f>
        <v/>
      </c>
      <c r="C990">
        <f>IF(C$2=0,"",IFERROR(TRIM(INDEX('Pegar docentes'!$A$1:$BZ$1001,989,C$2)&amp;""),""))</f>
        <v/>
      </c>
      <c r="D990">
        <f>IF(D$2=0,"",IFERROR(TRIM(INDEX('Pegar docentes'!$A$1:$BZ$1001,989,D$2)&amp;""),""))</f>
        <v/>
      </c>
      <c r="E990">
        <f>IF(E$2=0,"",IFERROR(TRIM(INDEX('Pegar docentes'!$A$1:$BZ$1001,989,E$2)&amp;""),""))</f>
        <v/>
      </c>
      <c r="F990">
        <f>IF(F$2=0,"",IFERROR(TRIM(INDEX('Pegar docentes'!$A$1:$BZ$1001,989,F$2)&amp;""),""))</f>
        <v/>
      </c>
      <c r="G990">
        <f>IF(G$2=0,"",IFERROR(TRIM(INDEX('Pegar docentes'!$A$1:$BZ$1001,989,G$2)&amp;""),""))</f>
        <v/>
      </c>
      <c r="H990">
        <f>IF(H$2=0,"",IFERROR(TRIM(INDEX('Pegar docentes'!$A$1:$BZ$1001,989,H$2)&amp;""),""))</f>
        <v/>
      </c>
      <c r="I990">
        <f>IF(I$2=0,"",IFERROR(TRIM(INDEX('Pegar docentes'!$A$1:$BZ$1001,989,I$2)&amp;""),""))</f>
        <v/>
      </c>
      <c r="J990">
        <f>IF(J$2=0,"",IFERROR(TRIM(INDEX('Pegar docentes'!$A$1:$BZ$1001,989,J$2)&amp;""),""))</f>
        <v/>
      </c>
      <c r="K990">
        <f>IF(K$2=0,"",IFERROR(TRIM(INDEX('Pegar docentes'!$A$1:$BZ$1001,989,K$2)&amp;""),""))</f>
        <v/>
      </c>
      <c r="L990">
        <f>IF(L$2=0,"",IFERROR(TRIM(INDEX('Pegar docentes'!$A$1:$BZ$1001,989,L$2)&amp;""),""))</f>
        <v/>
      </c>
      <c r="M990">
        <f>IF(M$2=0,"",IFERROR(TRIM(INDEX('Pegar docentes'!$A$1:$BZ$1001,989,M$2)&amp;""),""))</f>
        <v/>
      </c>
      <c r="N990">
        <f>IF(N$2=0,"",IFERROR(TRIM(INDEX('Pegar docentes'!$A$1:$BZ$1001,989,N$2)&amp;""),""))</f>
        <v/>
      </c>
      <c r="O990">
        <f>IF(O$2=0,"",IFERROR(TRIM(INDEX('Pegar docentes'!$A$1:$BZ$1001,989,O$2)&amp;""),""))</f>
        <v/>
      </c>
      <c r="P990">
        <f>IF(P$2=0,"",IFERROR(TRIM(INDEX('Pegar docentes'!$A$1:$BZ$1001,989,P$2)&amp;""),""))</f>
        <v/>
      </c>
      <c r="Q990" s="25">
        <f>IF(OR(D990&lt;&gt;"",H990&lt;&gt;""),1,"")</f>
        <v/>
      </c>
      <c r="R990" s="25">
        <f>IF(Q990=1,IF(ISNUMBER(FIND("#"&amp;MID(D990,1,1)&amp;"#","#0#1#2#3#4#5#6#7#8#9#")),IF(ISNUMBER(FIND("#"&amp;MID(D990,2,1)&amp;"#","#0#1#2#3#4#5#6#7#8#9#")),IF(AND(VALUE(LEFT(D990,2))&gt;=1,VALUE(LEFT(D990,2))&lt;=5),VALUE(LEFT(D990,2)),""),IF(AND(VALUE(LEFT(D990,1))&gt;=1,VALUE(LEFT(D990,1))&lt;=5),VALUE(LEFT(D990,1)),"")),""),"")</f>
        <v/>
      </c>
      <c r="S990" s="25">
        <f>IF(AND(Q990=1,E990&lt;&gt;""),SUBSTITUTE(SUBSTITUTE(SUBSTITUTE(SUBSTITUTE(SUBSTITUTE(SUBSTITUTE(SUBSTITUTE(SUBSTITUTE(SUBSTITUTE(SUBSTITUTE(SUBSTITUTE(SUBSTITUTE(LOWER(TRIM(E990)),"á","a"),"é","e"),"í","i"),"ó","o"),"ú","u"),"ü","u"),"ñ","n"),"à","a"),"è","e"),"ì","i"),"ò","o"),"ù","u"),"")</f>
        <v/>
      </c>
      <c r="T990" s="25">
        <f>IF(AND(Q990=1,G990&lt;&gt;""),SUBSTITUTE(SUBSTITUTE(SUBSTITUTE(SUBSTITUTE(SUBSTITUTE(SUBSTITUTE(SUBSTITUTE(SUBSTITUTE(SUBSTITUTE(SUBSTITUTE(SUBSTITUTE(SUBSTITUTE(LOWER(TRIM(G990)),"á","a"),"é","e"),"í","i"),"ó","o"),"ú","u"),"ü","u"),"ñ","n"),"à","a"),"è","e"),"ì","i"),"ò","o"),"ù","u"),"")</f>
        <v/>
      </c>
      <c r="U990" s="25">
        <f>IF(AND(Q990=1,H990&lt;&gt;""),SUBSTITUTE(SUBSTITUTE(SUBSTITUTE(SUBSTITUTE(SUBSTITUTE(SUBSTITUTE(SUBSTITUTE(SUBSTITUTE(SUBSTITUTE(SUBSTITUTE(SUBSTITUTE(SUBSTITUTE(LOWER(TRIM(H990)),"á","a"),"é","e"),"í","i"),"ó","o"),"ú","u"),"ü","u"),"ñ","n"),"à","a"),"è","e"),"ì","i"),"ò","o"),"ù","u"),"")</f>
        <v/>
      </c>
      <c r="V990" s="25">
        <f>IF(AND(Q990=1,L990&lt;&gt;""),SUBSTITUTE(SUBSTITUTE(SUBSTITUTE(SUBSTITUTE(SUBSTITUTE(SUBSTITUTE(SUBSTITUTE(SUBSTITUTE(SUBSTITUTE(SUBSTITUTE(SUBSTITUTE(SUBSTITUTE(LOWER(TRIM(L990)),"á","a"),"é","e"),"í","i"),"ó","o"),"ú","u"),"ü","u"),"ñ","n"),"à","a"),"è","e"),"ì","i"),"ò","o"),"ù","u"),"")</f>
        <v/>
      </c>
      <c r="W990" s="25">
        <f>IF(AND(Q990=1,I990&lt;&gt;""),SUBSTITUTE(SUBSTITUTE(SUBSTITUTE(SUBSTITUTE(SUBSTITUTE(SUBSTITUTE(SUBSTITUTE(SUBSTITUTE(SUBSTITUTE(SUBSTITUTE(SUBSTITUTE(SUBSTITUTE(LOWER(TRIM(I990)),"á","a"),"é","e"),"í","i"),"ó","o"),"ú","u"),"ü","u"),"ñ","n"),"à","a"),"è","e"),"ì","i"),"ò","o"),"ù","u"),"")</f>
        <v/>
      </c>
      <c r="X990" s="25">
        <f>IF(U990="","",IF(OR(U990="si, en la proxima tarea",U990="si, con cambios"),1,0))</f>
        <v/>
      </c>
      <c r="Y990" s="25">
        <f>IF(AND(Q990=1,A990&lt;&gt;""),IF(IFERROR(COUNTIFS(A$3:A990,"="&amp;SUBSTITUTE(SUBSTITUTE(SUBSTITUTE(A990,"~","~~"),"*","~*"),"?","~?"),Q$3:Q990,1),0)=1,MAX(Y$2:Y989)+1,""),"")</f>
        <v/>
      </c>
      <c r="Z990" s="25">
        <f>IF(Y990="","",COUNTIFS($A$3:$A$1002,"="&amp;SUBSTITUTE(SUBSTITUTE(SUBSTITUTE(A990,"~","~~"),"*","~*"),"?","~?"),$Q$3:$Q$1002,1)*10000-Y990)</f>
        <v/>
      </c>
    </row>
    <row r="991">
      <c r="A991">
        <f>IF(A$2=0,"",IFERROR(TRIM(INDEX('Pegar docentes'!$A$1:$BZ$1001,990,A$2)&amp;""),""))</f>
        <v/>
      </c>
      <c r="B991">
        <f>IF(B$2=0,"",IFERROR(TRIM(INDEX('Pegar docentes'!$A$1:$BZ$1001,990,B$2)&amp;""),""))</f>
        <v/>
      </c>
      <c r="C991">
        <f>IF(C$2=0,"",IFERROR(TRIM(INDEX('Pegar docentes'!$A$1:$BZ$1001,990,C$2)&amp;""),""))</f>
        <v/>
      </c>
      <c r="D991">
        <f>IF(D$2=0,"",IFERROR(TRIM(INDEX('Pegar docentes'!$A$1:$BZ$1001,990,D$2)&amp;""),""))</f>
        <v/>
      </c>
      <c r="E991">
        <f>IF(E$2=0,"",IFERROR(TRIM(INDEX('Pegar docentes'!$A$1:$BZ$1001,990,E$2)&amp;""),""))</f>
        <v/>
      </c>
      <c r="F991">
        <f>IF(F$2=0,"",IFERROR(TRIM(INDEX('Pegar docentes'!$A$1:$BZ$1001,990,F$2)&amp;""),""))</f>
        <v/>
      </c>
      <c r="G991">
        <f>IF(G$2=0,"",IFERROR(TRIM(INDEX('Pegar docentes'!$A$1:$BZ$1001,990,G$2)&amp;""),""))</f>
        <v/>
      </c>
      <c r="H991">
        <f>IF(H$2=0,"",IFERROR(TRIM(INDEX('Pegar docentes'!$A$1:$BZ$1001,990,H$2)&amp;""),""))</f>
        <v/>
      </c>
      <c r="I991">
        <f>IF(I$2=0,"",IFERROR(TRIM(INDEX('Pegar docentes'!$A$1:$BZ$1001,990,I$2)&amp;""),""))</f>
        <v/>
      </c>
      <c r="J991">
        <f>IF(J$2=0,"",IFERROR(TRIM(INDEX('Pegar docentes'!$A$1:$BZ$1001,990,J$2)&amp;""),""))</f>
        <v/>
      </c>
      <c r="K991">
        <f>IF(K$2=0,"",IFERROR(TRIM(INDEX('Pegar docentes'!$A$1:$BZ$1001,990,K$2)&amp;""),""))</f>
        <v/>
      </c>
      <c r="L991">
        <f>IF(L$2=0,"",IFERROR(TRIM(INDEX('Pegar docentes'!$A$1:$BZ$1001,990,L$2)&amp;""),""))</f>
        <v/>
      </c>
      <c r="M991">
        <f>IF(M$2=0,"",IFERROR(TRIM(INDEX('Pegar docentes'!$A$1:$BZ$1001,990,M$2)&amp;""),""))</f>
        <v/>
      </c>
      <c r="N991">
        <f>IF(N$2=0,"",IFERROR(TRIM(INDEX('Pegar docentes'!$A$1:$BZ$1001,990,N$2)&amp;""),""))</f>
        <v/>
      </c>
      <c r="O991">
        <f>IF(O$2=0,"",IFERROR(TRIM(INDEX('Pegar docentes'!$A$1:$BZ$1001,990,O$2)&amp;""),""))</f>
        <v/>
      </c>
      <c r="P991">
        <f>IF(P$2=0,"",IFERROR(TRIM(INDEX('Pegar docentes'!$A$1:$BZ$1001,990,P$2)&amp;""),""))</f>
        <v/>
      </c>
      <c r="Q991" s="25">
        <f>IF(OR(D991&lt;&gt;"",H991&lt;&gt;""),1,"")</f>
        <v/>
      </c>
      <c r="R991" s="25">
        <f>IF(Q991=1,IF(ISNUMBER(FIND("#"&amp;MID(D991,1,1)&amp;"#","#0#1#2#3#4#5#6#7#8#9#")),IF(ISNUMBER(FIND("#"&amp;MID(D991,2,1)&amp;"#","#0#1#2#3#4#5#6#7#8#9#")),IF(AND(VALUE(LEFT(D991,2))&gt;=1,VALUE(LEFT(D991,2))&lt;=5),VALUE(LEFT(D991,2)),""),IF(AND(VALUE(LEFT(D991,1))&gt;=1,VALUE(LEFT(D991,1))&lt;=5),VALUE(LEFT(D991,1)),"")),""),"")</f>
        <v/>
      </c>
      <c r="S991" s="25">
        <f>IF(AND(Q991=1,E991&lt;&gt;""),SUBSTITUTE(SUBSTITUTE(SUBSTITUTE(SUBSTITUTE(SUBSTITUTE(SUBSTITUTE(SUBSTITUTE(SUBSTITUTE(SUBSTITUTE(SUBSTITUTE(SUBSTITUTE(SUBSTITUTE(LOWER(TRIM(E991)),"á","a"),"é","e"),"í","i"),"ó","o"),"ú","u"),"ü","u"),"ñ","n"),"à","a"),"è","e"),"ì","i"),"ò","o"),"ù","u"),"")</f>
        <v/>
      </c>
      <c r="T991" s="25">
        <f>IF(AND(Q991=1,G991&lt;&gt;""),SUBSTITUTE(SUBSTITUTE(SUBSTITUTE(SUBSTITUTE(SUBSTITUTE(SUBSTITUTE(SUBSTITUTE(SUBSTITUTE(SUBSTITUTE(SUBSTITUTE(SUBSTITUTE(SUBSTITUTE(LOWER(TRIM(G991)),"á","a"),"é","e"),"í","i"),"ó","o"),"ú","u"),"ü","u"),"ñ","n"),"à","a"),"è","e"),"ì","i"),"ò","o"),"ù","u"),"")</f>
        <v/>
      </c>
      <c r="U991" s="25">
        <f>IF(AND(Q991=1,H991&lt;&gt;""),SUBSTITUTE(SUBSTITUTE(SUBSTITUTE(SUBSTITUTE(SUBSTITUTE(SUBSTITUTE(SUBSTITUTE(SUBSTITUTE(SUBSTITUTE(SUBSTITUTE(SUBSTITUTE(SUBSTITUTE(LOWER(TRIM(H991)),"á","a"),"é","e"),"í","i"),"ó","o"),"ú","u"),"ü","u"),"ñ","n"),"à","a"),"è","e"),"ì","i"),"ò","o"),"ù","u"),"")</f>
        <v/>
      </c>
      <c r="V991" s="25">
        <f>IF(AND(Q991=1,L991&lt;&gt;""),SUBSTITUTE(SUBSTITUTE(SUBSTITUTE(SUBSTITUTE(SUBSTITUTE(SUBSTITUTE(SUBSTITUTE(SUBSTITUTE(SUBSTITUTE(SUBSTITUTE(SUBSTITUTE(SUBSTITUTE(LOWER(TRIM(L991)),"á","a"),"é","e"),"í","i"),"ó","o"),"ú","u"),"ü","u"),"ñ","n"),"à","a"),"è","e"),"ì","i"),"ò","o"),"ù","u"),"")</f>
        <v/>
      </c>
      <c r="W991" s="25">
        <f>IF(AND(Q991=1,I991&lt;&gt;""),SUBSTITUTE(SUBSTITUTE(SUBSTITUTE(SUBSTITUTE(SUBSTITUTE(SUBSTITUTE(SUBSTITUTE(SUBSTITUTE(SUBSTITUTE(SUBSTITUTE(SUBSTITUTE(SUBSTITUTE(LOWER(TRIM(I991)),"á","a"),"é","e"),"í","i"),"ó","o"),"ú","u"),"ü","u"),"ñ","n"),"à","a"),"è","e"),"ì","i"),"ò","o"),"ù","u"),"")</f>
        <v/>
      </c>
      <c r="X991" s="25">
        <f>IF(U991="","",IF(OR(U991="si, en la proxima tarea",U991="si, con cambios"),1,0))</f>
        <v/>
      </c>
      <c r="Y991" s="25">
        <f>IF(AND(Q991=1,A991&lt;&gt;""),IF(IFERROR(COUNTIFS(A$3:A991,"="&amp;SUBSTITUTE(SUBSTITUTE(SUBSTITUTE(A991,"~","~~"),"*","~*"),"?","~?"),Q$3:Q991,1),0)=1,MAX(Y$2:Y990)+1,""),"")</f>
        <v/>
      </c>
      <c r="Z991" s="25">
        <f>IF(Y991="","",COUNTIFS($A$3:$A$1002,"="&amp;SUBSTITUTE(SUBSTITUTE(SUBSTITUTE(A991,"~","~~"),"*","~*"),"?","~?"),$Q$3:$Q$1002,1)*10000-Y991)</f>
        <v/>
      </c>
    </row>
    <row r="992">
      <c r="A992">
        <f>IF(A$2=0,"",IFERROR(TRIM(INDEX('Pegar docentes'!$A$1:$BZ$1001,991,A$2)&amp;""),""))</f>
        <v/>
      </c>
      <c r="B992">
        <f>IF(B$2=0,"",IFERROR(TRIM(INDEX('Pegar docentes'!$A$1:$BZ$1001,991,B$2)&amp;""),""))</f>
        <v/>
      </c>
      <c r="C992">
        <f>IF(C$2=0,"",IFERROR(TRIM(INDEX('Pegar docentes'!$A$1:$BZ$1001,991,C$2)&amp;""),""))</f>
        <v/>
      </c>
      <c r="D992">
        <f>IF(D$2=0,"",IFERROR(TRIM(INDEX('Pegar docentes'!$A$1:$BZ$1001,991,D$2)&amp;""),""))</f>
        <v/>
      </c>
      <c r="E992">
        <f>IF(E$2=0,"",IFERROR(TRIM(INDEX('Pegar docentes'!$A$1:$BZ$1001,991,E$2)&amp;""),""))</f>
        <v/>
      </c>
      <c r="F992">
        <f>IF(F$2=0,"",IFERROR(TRIM(INDEX('Pegar docentes'!$A$1:$BZ$1001,991,F$2)&amp;""),""))</f>
        <v/>
      </c>
      <c r="G992">
        <f>IF(G$2=0,"",IFERROR(TRIM(INDEX('Pegar docentes'!$A$1:$BZ$1001,991,G$2)&amp;""),""))</f>
        <v/>
      </c>
      <c r="H992">
        <f>IF(H$2=0,"",IFERROR(TRIM(INDEX('Pegar docentes'!$A$1:$BZ$1001,991,H$2)&amp;""),""))</f>
        <v/>
      </c>
      <c r="I992">
        <f>IF(I$2=0,"",IFERROR(TRIM(INDEX('Pegar docentes'!$A$1:$BZ$1001,991,I$2)&amp;""),""))</f>
        <v/>
      </c>
      <c r="J992">
        <f>IF(J$2=0,"",IFERROR(TRIM(INDEX('Pegar docentes'!$A$1:$BZ$1001,991,J$2)&amp;""),""))</f>
        <v/>
      </c>
      <c r="K992">
        <f>IF(K$2=0,"",IFERROR(TRIM(INDEX('Pegar docentes'!$A$1:$BZ$1001,991,K$2)&amp;""),""))</f>
        <v/>
      </c>
      <c r="L992">
        <f>IF(L$2=0,"",IFERROR(TRIM(INDEX('Pegar docentes'!$A$1:$BZ$1001,991,L$2)&amp;""),""))</f>
        <v/>
      </c>
      <c r="M992">
        <f>IF(M$2=0,"",IFERROR(TRIM(INDEX('Pegar docentes'!$A$1:$BZ$1001,991,M$2)&amp;""),""))</f>
        <v/>
      </c>
      <c r="N992">
        <f>IF(N$2=0,"",IFERROR(TRIM(INDEX('Pegar docentes'!$A$1:$BZ$1001,991,N$2)&amp;""),""))</f>
        <v/>
      </c>
      <c r="O992">
        <f>IF(O$2=0,"",IFERROR(TRIM(INDEX('Pegar docentes'!$A$1:$BZ$1001,991,O$2)&amp;""),""))</f>
        <v/>
      </c>
      <c r="P992">
        <f>IF(P$2=0,"",IFERROR(TRIM(INDEX('Pegar docentes'!$A$1:$BZ$1001,991,P$2)&amp;""),""))</f>
        <v/>
      </c>
      <c r="Q992" s="25">
        <f>IF(OR(D992&lt;&gt;"",H992&lt;&gt;""),1,"")</f>
        <v/>
      </c>
      <c r="R992" s="25">
        <f>IF(Q992=1,IF(ISNUMBER(FIND("#"&amp;MID(D992,1,1)&amp;"#","#0#1#2#3#4#5#6#7#8#9#")),IF(ISNUMBER(FIND("#"&amp;MID(D992,2,1)&amp;"#","#0#1#2#3#4#5#6#7#8#9#")),IF(AND(VALUE(LEFT(D992,2))&gt;=1,VALUE(LEFT(D992,2))&lt;=5),VALUE(LEFT(D992,2)),""),IF(AND(VALUE(LEFT(D992,1))&gt;=1,VALUE(LEFT(D992,1))&lt;=5),VALUE(LEFT(D992,1)),"")),""),"")</f>
        <v/>
      </c>
      <c r="S992" s="25">
        <f>IF(AND(Q992=1,E992&lt;&gt;""),SUBSTITUTE(SUBSTITUTE(SUBSTITUTE(SUBSTITUTE(SUBSTITUTE(SUBSTITUTE(SUBSTITUTE(SUBSTITUTE(SUBSTITUTE(SUBSTITUTE(SUBSTITUTE(SUBSTITUTE(LOWER(TRIM(E992)),"á","a"),"é","e"),"í","i"),"ó","o"),"ú","u"),"ü","u"),"ñ","n"),"à","a"),"è","e"),"ì","i"),"ò","o"),"ù","u"),"")</f>
        <v/>
      </c>
      <c r="T992" s="25">
        <f>IF(AND(Q992=1,G992&lt;&gt;""),SUBSTITUTE(SUBSTITUTE(SUBSTITUTE(SUBSTITUTE(SUBSTITUTE(SUBSTITUTE(SUBSTITUTE(SUBSTITUTE(SUBSTITUTE(SUBSTITUTE(SUBSTITUTE(SUBSTITUTE(LOWER(TRIM(G992)),"á","a"),"é","e"),"í","i"),"ó","o"),"ú","u"),"ü","u"),"ñ","n"),"à","a"),"è","e"),"ì","i"),"ò","o"),"ù","u"),"")</f>
        <v/>
      </c>
      <c r="U992" s="25">
        <f>IF(AND(Q992=1,H992&lt;&gt;""),SUBSTITUTE(SUBSTITUTE(SUBSTITUTE(SUBSTITUTE(SUBSTITUTE(SUBSTITUTE(SUBSTITUTE(SUBSTITUTE(SUBSTITUTE(SUBSTITUTE(SUBSTITUTE(SUBSTITUTE(LOWER(TRIM(H992)),"á","a"),"é","e"),"í","i"),"ó","o"),"ú","u"),"ü","u"),"ñ","n"),"à","a"),"è","e"),"ì","i"),"ò","o"),"ù","u"),"")</f>
        <v/>
      </c>
      <c r="V992" s="25">
        <f>IF(AND(Q992=1,L992&lt;&gt;""),SUBSTITUTE(SUBSTITUTE(SUBSTITUTE(SUBSTITUTE(SUBSTITUTE(SUBSTITUTE(SUBSTITUTE(SUBSTITUTE(SUBSTITUTE(SUBSTITUTE(SUBSTITUTE(SUBSTITUTE(LOWER(TRIM(L992)),"á","a"),"é","e"),"í","i"),"ó","o"),"ú","u"),"ü","u"),"ñ","n"),"à","a"),"è","e"),"ì","i"),"ò","o"),"ù","u"),"")</f>
        <v/>
      </c>
      <c r="W992" s="25">
        <f>IF(AND(Q992=1,I992&lt;&gt;""),SUBSTITUTE(SUBSTITUTE(SUBSTITUTE(SUBSTITUTE(SUBSTITUTE(SUBSTITUTE(SUBSTITUTE(SUBSTITUTE(SUBSTITUTE(SUBSTITUTE(SUBSTITUTE(SUBSTITUTE(LOWER(TRIM(I992)),"á","a"),"é","e"),"í","i"),"ó","o"),"ú","u"),"ü","u"),"ñ","n"),"à","a"),"è","e"),"ì","i"),"ò","o"),"ù","u"),"")</f>
        <v/>
      </c>
      <c r="X992" s="25">
        <f>IF(U992="","",IF(OR(U992="si, en la proxima tarea",U992="si, con cambios"),1,0))</f>
        <v/>
      </c>
      <c r="Y992" s="25">
        <f>IF(AND(Q992=1,A992&lt;&gt;""),IF(IFERROR(COUNTIFS(A$3:A992,"="&amp;SUBSTITUTE(SUBSTITUTE(SUBSTITUTE(A992,"~","~~"),"*","~*"),"?","~?"),Q$3:Q992,1),0)=1,MAX(Y$2:Y991)+1,""),"")</f>
        <v/>
      </c>
      <c r="Z992" s="25">
        <f>IF(Y992="","",COUNTIFS($A$3:$A$1002,"="&amp;SUBSTITUTE(SUBSTITUTE(SUBSTITUTE(A992,"~","~~"),"*","~*"),"?","~?"),$Q$3:$Q$1002,1)*10000-Y992)</f>
        <v/>
      </c>
    </row>
    <row r="993">
      <c r="A993">
        <f>IF(A$2=0,"",IFERROR(TRIM(INDEX('Pegar docentes'!$A$1:$BZ$1001,992,A$2)&amp;""),""))</f>
        <v/>
      </c>
      <c r="B993">
        <f>IF(B$2=0,"",IFERROR(TRIM(INDEX('Pegar docentes'!$A$1:$BZ$1001,992,B$2)&amp;""),""))</f>
        <v/>
      </c>
      <c r="C993">
        <f>IF(C$2=0,"",IFERROR(TRIM(INDEX('Pegar docentes'!$A$1:$BZ$1001,992,C$2)&amp;""),""))</f>
        <v/>
      </c>
      <c r="D993">
        <f>IF(D$2=0,"",IFERROR(TRIM(INDEX('Pegar docentes'!$A$1:$BZ$1001,992,D$2)&amp;""),""))</f>
        <v/>
      </c>
      <c r="E993">
        <f>IF(E$2=0,"",IFERROR(TRIM(INDEX('Pegar docentes'!$A$1:$BZ$1001,992,E$2)&amp;""),""))</f>
        <v/>
      </c>
      <c r="F993">
        <f>IF(F$2=0,"",IFERROR(TRIM(INDEX('Pegar docentes'!$A$1:$BZ$1001,992,F$2)&amp;""),""))</f>
        <v/>
      </c>
      <c r="G993">
        <f>IF(G$2=0,"",IFERROR(TRIM(INDEX('Pegar docentes'!$A$1:$BZ$1001,992,G$2)&amp;""),""))</f>
        <v/>
      </c>
      <c r="H993">
        <f>IF(H$2=0,"",IFERROR(TRIM(INDEX('Pegar docentes'!$A$1:$BZ$1001,992,H$2)&amp;""),""))</f>
        <v/>
      </c>
      <c r="I993">
        <f>IF(I$2=0,"",IFERROR(TRIM(INDEX('Pegar docentes'!$A$1:$BZ$1001,992,I$2)&amp;""),""))</f>
        <v/>
      </c>
      <c r="J993">
        <f>IF(J$2=0,"",IFERROR(TRIM(INDEX('Pegar docentes'!$A$1:$BZ$1001,992,J$2)&amp;""),""))</f>
        <v/>
      </c>
      <c r="K993">
        <f>IF(K$2=0,"",IFERROR(TRIM(INDEX('Pegar docentes'!$A$1:$BZ$1001,992,K$2)&amp;""),""))</f>
        <v/>
      </c>
      <c r="L993">
        <f>IF(L$2=0,"",IFERROR(TRIM(INDEX('Pegar docentes'!$A$1:$BZ$1001,992,L$2)&amp;""),""))</f>
        <v/>
      </c>
      <c r="M993">
        <f>IF(M$2=0,"",IFERROR(TRIM(INDEX('Pegar docentes'!$A$1:$BZ$1001,992,M$2)&amp;""),""))</f>
        <v/>
      </c>
      <c r="N993">
        <f>IF(N$2=0,"",IFERROR(TRIM(INDEX('Pegar docentes'!$A$1:$BZ$1001,992,N$2)&amp;""),""))</f>
        <v/>
      </c>
      <c r="O993">
        <f>IF(O$2=0,"",IFERROR(TRIM(INDEX('Pegar docentes'!$A$1:$BZ$1001,992,O$2)&amp;""),""))</f>
        <v/>
      </c>
      <c r="P993">
        <f>IF(P$2=0,"",IFERROR(TRIM(INDEX('Pegar docentes'!$A$1:$BZ$1001,992,P$2)&amp;""),""))</f>
        <v/>
      </c>
      <c r="Q993" s="25">
        <f>IF(OR(D993&lt;&gt;"",H993&lt;&gt;""),1,"")</f>
        <v/>
      </c>
      <c r="R993" s="25">
        <f>IF(Q993=1,IF(ISNUMBER(FIND("#"&amp;MID(D993,1,1)&amp;"#","#0#1#2#3#4#5#6#7#8#9#")),IF(ISNUMBER(FIND("#"&amp;MID(D993,2,1)&amp;"#","#0#1#2#3#4#5#6#7#8#9#")),IF(AND(VALUE(LEFT(D993,2))&gt;=1,VALUE(LEFT(D993,2))&lt;=5),VALUE(LEFT(D993,2)),""),IF(AND(VALUE(LEFT(D993,1))&gt;=1,VALUE(LEFT(D993,1))&lt;=5),VALUE(LEFT(D993,1)),"")),""),"")</f>
        <v/>
      </c>
      <c r="S993" s="25">
        <f>IF(AND(Q993=1,E993&lt;&gt;""),SUBSTITUTE(SUBSTITUTE(SUBSTITUTE(SUBSTITUTE(SUBSTITUTE(SUBSTITUTE(SUBSTITUTE(SUBSTITUTE(SUBSTITUTE(SUBSTITUTE(SUBSTITUTE(SUBSTITUTE(LOWER(TRIM(E993)),"á","a"),"é","e"),"í","i"),"ó","o"),"ú","u"),"ü","u"),"ñ","n"),"à","a"),"è","e"),"ì","i"),"ò","o"),"ù","u"),"")</f>
        <v/>
      </c>
      <c r="T993" s="25">
        <f>IF(AND(Q993=1,G993&lt;&gt;""),SUBSTITUTE(SUBSTITUTE(SUBSTITUTE(SUBSTITUTE(SUBSTITUTE(SUBSTITUTE(SUBSTITUTE(SUBSTITUTE(SUBSTITUTE(SUBSTITUTE(SUBSTITUTE(SUBSTITUTE(LOWER(TRIM(G993)),"á","a"),"é","e"),"í","i"),"ó","o"),"ú","u"),"ü","u"),"ñ","n"),"à","a"),"è","e"),"ì","i"),"ò","o"),"ù","u"),"")</f>
        <v/>
      </c>
      <c r="U993" s="25">
        <f>IF(AND(Q993=1,H993&lt;&gt;""),SUBSTITUTE(SUBSTITUTE(SUBSTITUTE(SUBSTITUTE(SUBSTITUTE(SUBSTITUTE(SUBSTITUTE(SUBSTITUTE(SUBSTITUTE(SUBSTITUTE(SUBSTITUTE(SUBSTITUTE(LOWER(TRIM(H993)),"á","a"),"é","e"),"í","i"),"ó","o"),"ú","u"),"ü","u"),"ñ","n"),"à","a"),"è","e"),"ì","i"),"ò","o"),"ù","u"),"")</f>
        <v/>
      </c>
      <c r="V993" s="25">
        <f>IF(AND(Q993=1,L993&lt;&gt;""),SUBSTITUTE(SUBSTITUTE(SUBSTITUTE(SUBSTITUTE(SUBSTITUTE(SUBSTITUTE(SUBSTITUTE(SUBSTITUTE(SUBSTITUTE(SUBSTITUTE(SUBSTITUTE(SUBSTITUTE(LOWER(TRIM(L993)),"á","a"),"é","e"),"í","i"),"ó","o"),"ú","u"),"ü","u"),"ñ","n"),"à","a"),"è","e"),"ì","i"),"ò","o"),"ù","u"),"")</f>
        <v/>
      </c>
      <c r="W993" s="25">
        <f>IF(AND(Q993=1,I993&lt;&gt;""),SUBSTITUTE(SUBSTITUTE(SUBSTITUTE(SUBSTITUTE(SUBSTITUTE(SUBSTITUTE(SUBSTITUTE(SUBSTITUTE(SUBSTITUTE(SUBSTITUTE(SUBSTITUTE(SUBSTITUTE(LOWER(TRIM(I993)),"á","a"),"é","e"),"í","i"),"ó","o"),"ú","u"),"ü","u"),"ñ","n"),"à","a"),"è","e"),"ì","i"),"ò","o"),"ù","u"),"")</f>
        <v/>
      </c>
      <c r="X993" s="25">
        <f>IF(U993="","",IF(OR(U993="si, en la proxima tarea",U993="si, con cambios"),1,0))</f>
        <v/>
      </c>
      <c r="Y993" s="25">
        <f>IF(AND(Q993=1,A993&lt;&gt;""),IF(IFERROR(COUNTIFS(A$3:A993,"="&amp;SUBSTITUTE(SUBSTITUTE(SUBSTITUTE(A993,"~","~~"),"*","~*"),"?","~?"),Q$3:Q993,1),0)=1,MAX(Y$2:Y992)+1,""),"")</f>
        <v/>
      </c>
      <c r="Z993" s="25">
        <f>IF(Y993="","",COUNTIFS($A$3:$A$1002,"="&amp;SUBSTITUTE(SUBSTITUTE(SUBSTITUTE(A993,"~","~~"),"*","~*"),"?","~?"),$Q$3:$Q$1002,1)*10000-Y993)</f>
        <v/>
      </c>
    </row>
    <row r="994">
      <c r="A994">
        <f>IF(A$2=0,"",IFERROR(TRIM(INDEX('Pegar docentes'!$A$1:$BZ$1001,993,A$2)&amp;""),""))</f>
        <v/>
      </c>
      <c r="B994">
        <f>IF(B$2=0,"",IFERROR(TRIM(INDEX('Pegar docentes'!$A$1:$BZ$1001,993,B$2)&amp;""),""))</f>
        <v/>
      </c>
      <c r="C994">
        <f>IF(C$2=0,"",IFERROR(TRIM(INDEX('Pegar docentes'!$A$1:$BZ$1001,993,C$2)&amp;""),""))</f>
        <v/>
      </c>
      <c r="D994">
        <f>IF(D$2=0,"",IFERROR(TRIM(INDEX('Pegar docentes'!$A$1:$BZ$1001,993,D$2)&amp;""),""))</f>
        <v/>
      </c>
      <c r="E994">
        <f>IF(E$2=0,"",IFERROR(TRIM(INDEX('Pegar docentes'!$A$1:$BZ$1001,993,E$2)&amp;""),""))</f>
        <v/>
      </c>
      <c r="F994">
        <f>IF(F$2=0,"",IFERROR(TRIM(INDEX('Pegar docentes'!$A$1:$BZ$1001,993,F$2)&amp;""),""))</f>
        <v/>
      </c>
      <c r="G994">
        <f>IF(G$2=0,"",IFERROR(TRIM(INDEX('Pegar docentes'!$A$1:$BZ$1001,993,G$2)&amp;""),""))</f>
        <v/>
      </c>
      <c r="H994">
        <f>IF(H$2=0,"",IFERROR(TRIM(INDEX('Pegar docentes'!$A$1:$BZ$1001,993,H$2)&amp;""),""))</f>
        <v/>
      </c>
      <c r="I994">
        <f>IF(I$2=0,"",IFERROR(TRIM(INDEX('Pegar docentes'!$A$1:$BZ$1001,993,I$2)&amp;""),""))</f>
        <v/>
      </c>
      <c r="J994">
        <f>IF(J$2=0,"",IFERROR(TRIM(INDEX('Pegar docentes'!$A$1:$BZ$1001,993,J$2)&amp;""),""))</f>
        <v/>
      </c>
      <c r="K994">
        <f>IF(K$2=0,"",IFERROR(TRIM(INDEX('Pegar docentes'!$A$1:$BZ$1001,993,K$2)&amp;""),""))</f>
        <v/>
      </c>
      <c r="L994">
        <f>IF(L$2=0,"",IFERROR(TRIM(INDEX('Pegar docentes'!$A$1:$BZ$1001,993,L$2)&amp;""),""))</f>
        <v/>
      </c>
      <c r="M994">
        <f>IF(M$2=0,"",IFERROR(TRIM(INDEX('Pegar docentes'!$A$1:$BZ$1001,993,M$2)&amp;""),""))</f>
        <v/>
      </c>
      <c r="N994">
        <f>IF(N$2=0,"",IFERROR(TRIM(INDEX('Pegar docentes'!$A$1:$BZ$1001,993,N$2)&amp;""),""))</f>
        <v/>
      </c>
      <c r="O994">
        <f>IF(O$2=0,"",IFERROR(TRIM(INDEX('Pegar docentes'!$A$1:$BZ$1001,993,O$2)&amp;""),""))</f>
        <v/>
      </c>
      <c r="P994">
        <f>IF(P$2=0,"",IFERROR(TRIM(INDEX('Pegar docentes'!$A$1:$BZ$1001,993,P$2)&amp;""),""))</f>
        <v/>
      </c>
      <c r="Q994" s="25">
        <f>IF(OR(D994&lt;&gt;"",H994&lt;&gt;""),1,"")</f>
        <v/>
      </c>
      <c r="R994" s="25">
        <f>IF(Q994=1,IF(ISNUMBER(FIND("#"&amp;MID(D994,1,1)&amp;"#","#0#1#2#3#4#5#6#7#8#9#")),IF(ISNUMBER(FIND("#"&amp;MID(D994,2,1)&amp;"#","#0#1#2#3#4#5#6#7#8#9#")),IF(AND(VALUE(LEFT(D994,2))&gt;=1,VALUE(LEFT(D994,2))&lt;=5),VALUE(LEFT(D994,2)),""),IF(AND(VALUE(LEFT(D994,1))&gt;=1,VALUE(LEFT(D994,1))&lt;=5),VALUE(LEFT(D994,1)),"")),""),"")</f>
        <v/>
      </c>
      <c r="S994" s="25">
        <f>IF(AND(Q994=1,E994&lt;&gt;""),SUBSTITUTE(SUBSTITUTE(SUBSTITUTE(SUBSTITUTE(SUBSTITUTE(SUBSTITUTE(SUBSTITUTE(SUBSTITUTE(SUBSTITUTE(SUBSTITUTE(SUBSTITUTE(SUBSTITUTE(LOWER(TRIM(E994)),"á","a"),"é","e"),"í","i"),"ó","o"),"ú","u"),"ü","u"),"ñ","n"),"à","a"),"è","e"),"ì","i"),"ò","o"),"ù","u"),"")</f>
        <v/>
      </c>
      <c r="T994" s="25">
        <f>IF(AND(Q994=1,G994&lt;&gt;""),SUBSTITUTE(SUBSTITUTE(SUBSTITUTE(SUBSTITUTE(SUBSTITUTE(SUBSTITUTE(SUBSTITUTE(SUBSTITUTE(SUBSTITUTE(SUBSTITUTE(SUBSTITUTE(SUBSTITUTE(LOWER(TRIM(G994)),"á","a"),"é","e"),"í","i"),"ó","o"),"ú","u"),"ü","u"),"ñ","n"),"à","a"),"è","e"),"ì","i"),"ò","o"),"ù","u"),"")</f>
        <v/>
      </c>
      <c r="U994" s="25">
        <f>IF(AND(Q994=1,H994&lt;&gt;""),SUBSTITUTE(SUBSTITUTE(SUBSTITUTE(SUBSTITUTE(SUBSTITUTE(SUBSTITUTE(SUBSTITUTE(SUBSTITUTE(SUBSTITUTE(SUBSTITUTE(SUBSTITUTE(SUBSTITUTE(LOWER(TRIM(H994)),"á","a"),"é","e"),"í","i"),"ó","o"),"ú","u"),"ü","u"),"ñ","n"),"à","a"),"è","e"),"ì","i"),"ò","o"),"ù","u"),"")</f>
        <v/>
      </c>
      <c r="V994" s="25">
        <f>IF(AND(Q994=1,L994&lt;&gt;""),SUBSTITUTE(SUBSTITUTE(SUBSTITUTE(SUBSTITUTE(SUBSTITUTE(SUBSTITUTE(SUBSTITUTE(SUBSTITUTE(SUBSTITUTE(SUBSTITUTE(SUBSTITUTE(SUBSTITUTE(LOWER(TRIM(L994)),"á","a"),"é","e"),"í","i"),"ó","o"),"ú","u"),"ü","u"),"ñ","n"),"à","a"),"è","e"),"ì","i"),"ò","o"),"ù","u"),"")</f>
        <v/>
      </c>
      <c r="W994" s="25">
        <f>IF(AND(Q994=1,I994&lt;&gt;""),SUBSTITUTE(SUBSTITUTE(SUBSTITUTE(SUBSTITUTE(SUBSTITUTE(SUBSTITUTE(SUBSTITUTE(SUBSTITUTE(SUBSTITUTE(SUBSTITUTE(SUBSTITUTE(SUBSTITUTE(LOWER(TRIM(I994)),"á","a"),"é","e"),"í","i"),"ó","o"),"ú","u"),"ü","u"),"ñ","n"),"à","a"),"è","e"),"ì","i"),"ò","o"),"ù","u"),"")</f>
        <v/>
      </c>
      <c r="X994" s="25">
        <f>IF(U994="","",IF(OR(U994="si, en la proxima tarea",U994="si, con cambios"),1,0))</f>
        <v/>
      </c>
      <c r="Y994" s="25">
        <f>IF(AND(Q994=1,A994&lt;&gt;""),IF(IFERROR(COUNTIFS(A$3:A994,"="&amp;SUBSTITUTE(SUBSTITUTE(SUBSTITUTE(A994,"~","~~"),"*","~*"),"?","~?"),Q$3:Q994,1),0)=1,MAX(Y$2:Y993)+1,""),"")</f>
        <v/>
      </c>
      <c r="Z994" s="25">
        <f>IF(Y994="","",COUNTIFS($A$3:$A$1002,"="&amp;SUBSTITUTE(SUBSTITUTE(SUBSTITUTE(A994,"~","~~"),"*","~*"),"?","~?"),$Q$3:$Q$1002,1)*10000-Y994)</f>
        <v/>
      </c>
    </row>
    <row r="995">
      <c r="A995">
        <f>IF(A$2=0,"",IFERROR(TRIM(INDEX('Pegar docentes'!$A$1:$BZ$1001,994,A$2)&amp;""),""))</f>
        <v/>
      </c>
      <c r="B995">
        <f>IF(B$2=0,"",IFERROR(TRIM(INDEX('Pegar docentes'!$A$1:$BZ$1001,994,B$2)&amp;""),""))</f>
        <v/>
      </c>
      <c r="C995">
        <f>IF(C$2=0,"",IFERROR(TRIM(INDEX('Pegar docentes'!$A$1:$BZ$1001,994,C$2)&amp;""),""))</f>
        <v/>
      </c>
      <c r="D995">
        <f>IF(D$2=0,"",IFERROR(TRIM(INDEX('Pegar docentes'!$A$1:$BZ$1001,994,D$2)&amp;""),""))</f>
        <v/>
      </c>
      <c r="E995">
        <f>IF(E$2=0,"",IFERROR(TRIM(INDEX('Pegar docentes'!$A$1:$BZ$1001,994,E$2)&amp;""),""))</f>
        <v/>
      </c>
      <c r="F995">
        <f>IF(F$2=0,"",IFERROR(TRIM(INDEX('Pegar docentes'!$A$1:$BZ$1001,994,F$2)&amp;""),""))</f>
        <v/>
      </c>
      <c r="G995">
        <f>IF(G$2=0,"",IFERROR(TRIM(INDEX('Pegar docentes'!$A$1:$BZ$1001,994,G$2)&amp;""),""))</f>
        <v/>
      </c>
      <c r="H995">
        <f>IF(H$2=0,"",IFERROR(TRIM(INDEX('Pegar docentes'!$A$1:$BZ$1001,994,H$2)&amp;""),""))</f>
        <v/>
      </c>
      <c r="I995">
        <f>IF(I$2=0,"",IFERROR(TRIM(INDEX('Pegar docentes'!$A$1:$BZ$1001,994,I$2)&amp;""),""))</f>
        <v/>
      </c>
      <c r="J995">
        <f>IF(J$2=0,"",IFERROR(TRIM(INDEX('Pegar docentes'!$A$1:$BZ$1001,994,J$2)&amp;""),""))</f>
        <v/>
      </c>
      <c r="K995">
        <f>IF(K$2=0,"",IFERROR(TRIM(INDEX('Pegar docentes'!$A$1:$BZ$1001,994,K$2)&amp;""),""))</f>
        <v/>
      </c>
      <c r="L995">
        <f>IF(L$2=0,"",IFERROR(TRIM(INDEX('Pegar docentes'!$A$1:$BZ$1001,994,L$2)&amp;""),""))</f>
        <v/>
      </c>
      <c r="M995">
        <f>IF(M$2=0,"",IFERROR(TRIM(INDEX('Pegar docentes'!$A$1:$BZ$1001,994,M$2)&amp;""),""))</f>
        <v/>
      </c>
      <c r="N995">
        <f>IF(N$2=0,"",IFERROR(TRIM(INDEX('Pegar docentes'!$A$1:$BZ$1001,994,N$2)&amp;""),""))</f>
        <v/>
      </c>
      <c r="O995">
        <f>IF(O$2=0,"",IFERROR(TRIM(INDEX('Pegar docentes'!$A$1:$BZ$1001,994,O$2)&amp;""),""))</f>
        <v/>
      </c>
      <c r="P995">
        <f>IF(P$2=0,"",IFERROR(TRIM(INDEX('Pegar docentes'!$A$1:$BZ$1001,994,P$2)&amp;""),""))</f>
        <v/>
      </c>
      <c r="Q995" s="25">
        <f>IF(OR(D995&lt;&gt;"",H995&lt;&gt;""),1,"")</f>
        <v/>
      </c>
      <c r="R995" s="25">
        <f>IF(Q995=1,IF(ISNUMBER(FIND("#"&amp;MID(D995,1,1)&amp;"#","#0#1#2#3#4#5#6#7#8#9#")),IF(ISNUMBER(FIND("#"&amp;MID(D995,2,1)&amp;"#","#0#1#2#3#4#5#6#7#8#9#")),IF(AND(VALUE(LEFT(D995,2))&gt;=1,VALUE(LEFT(D995,2))&lt;=5),VALUE(LEFT(D995,2)),""),IF(AND(VALUE(LEFT(D995,1))&gt;=1,VALUE(LEFT(D995,1))&lt;=5),VALUE(LEFT(D995,1)),"")),""),"")</f>
        <v/>
      </c>
      <c r="S995" s="25">
        <f>IF(AND(Q995=1,E995&lt;&gt;""),SUBSTITUTE(SUBSTITUTE(SUBSTITUTE(SUBSTITUTE(SUBSTITUTE(SUBSTITUTE(SUBSTITUTE(SUBSTITUTE(SUBSTITUTE(SUBSTITUTE(SUBSTITUTE(SUBSTITUTE(LOWER(TRIM(E995)),"á","a"),"é","e"),"í","i"),"ó","o"),"ú","u"),"ü","u"),"ñ","n"),"à","a"),"è","e"),"ì","i"),"ò","o"),"ù","u"),"")</f>
        <v/>
      </c>
      <c r="T995" s="25">
        <f>IF(AND(Q995=1,G995&lt;&gt;""),SUBSTITUTE(SUBSTITUTE(SUBSTITUTE(SUBSTITUTE(SUBSTITUTE(SUBSTITUTE(SUBSTITUTE(SUBSTITUTE(SUBSTITUTE(SUBSTITUTE(SUBSTITUTE(SUBSTITUTE(LOWER(TRIM(G995)),"á","a"),"é","e"),"í","i"),"ó","o"),"ú","u"),"ü","u"),"ñ","n"),"à","a"),"è","e"),"ì","i"),"ò","o"),"ù","u"),"")</f>
        <v/>
      </c>
      <c r="U995" s="25">
        <f>IF(AND(Q995=1,H995&lt;&gt;""),SUBSTITUTE(SUBSTITUTE(SUBSTITUTE(SUBSTITUTE(SUBSTITUTE(SUBSTITUTE(SUBSTITUTE(SUBSTITUTE(SUBSTITUTE(SUBSTITUTE(SUBSTITUTE(SUBSTITUTE(LOWER(TRIM(H995)),"á","a"),"é","e"),"í","i"),"ó","o"),"ú","u"),"ü","u"),"ñ","n"),"à","a"),"è","e"),"ì","i"),"ò","o"),"ù","u"),"")</f>
        <v/>
      </c>
      <c r="V995" s="25">
        <f>IF(AND(Q995=1,L995&lt;&gt;""),SUBSTITUTE(SUBSTITUTE(SUBSTITUTE(SUBSTITUTE(SUBSTITUTE(SUBSTITUTE(SUBSTITUTE(SUBSTITUTE(SUBSTITUTE(SUBSTITUTE(SUBSTITUTE(SUBSTITUTE(LOWER(TRIM(L995)),"á","a"),"é","e"),"í","i"),"ó","o"),"ú","u"),"ü","u"),"ñ","n"),"à","a"),"è","e"),"ì","i"),"ò","o"),"ù","u"),"")</f>
        <v/>
      </c>
      <c r="W995" s="25">
        <f>IF(AND(Q995=1,I995&lt;&gt;""),SUBSTITUTE(SUBSTITUTE(SUBSTITUTE(SUBSTITUTE(SUBSTITUTE(SUBSTITUTE(SUBSTITUTE(SUBSTITUTE(SUBSTITUTE(SUBSTITUTE(SUBSTITUTE(SUBSTITUTE(LOWER(TRIM(I995)),"á","a"),"é","e"),"í","i"),"ó","o"),"ú","u"),"ü","u"),"ñ","n"),"à","a"),"è","e"),"ì","i"),"ò","o"),"ù","u"),"")</f>
        <v/>
      </c>
      <c r="X995" s="25">
        <f>IF(U995="","",IF(OR(U995="si, en la proxima tarea",U995="si, con cambios"),1,0))</f>
        <v/>
      </c>
      <c r="Y995" s="25">
        <f>IF(AND(Q995=1,A995&lt;&gt;""),IF(IFERROR(COUNTIFS(A$3:A995,"="&amp;SUBSTITUTE(SUBSTITUTE(SUBSTITUTE(A995,"~","~~"),"*","~*"),"?","~?"),Q$3:Q995,1),0)=1,MAX(Y$2:Y994)+1,""),"")</f>
        <v/>
      </c>
      <c r="Z995" s="25">
        <f>IF(Y995="","",COUNTIFS($A$3:$A$1002,"="&amp;SUBSTITUTE(SUBSTITUTE(SUBSTITUTE(A995,"~","~~"),"*","~*"),"?","~?"),$Q$3:$Q$1002,1)*10000-Y995)</f>
        <v/>
      </c>
    </row>
    <row r="996">
      <c r="A996">
        <f>IF(A$2=0,"",IFERROR(TRIM(INDEX('Pegar docentes'!$A$1:$BZ$1001,995,A$2)&amp;""),""))</f>
        <v/>
      </c>
      <c r="B996">
        <f>IF(B$2=0,"",IFERROR(TRIM(INDEX('Pegar docentes'!$A$1:$BZ$1001,995,B$2)&amp;""),""))</f>
        <v/>
      </c>
      <c r="C996">
        <f>IF(C$2=0,"",IFERROR(TRIM(INDEX('Pegar docentes'!$A$1:$BZ$1001,995,C$2)&amp;""),""))</f>
        <v/>
      </c>
      <c r="D996">
        <f>IF(D$2=0,"",IFERROR(TRIM(INDEX('Pegar docentes'!$A$1:$BZ$1001,995,D$2)&amp;""),""))</f>
        <v/>
      </c>
      <c r="E996">
        <f>IF(E$2=0,"",IFERROR(TRIM(INDEX('Pegar docentes'!$A$1:$BZ$1001,995,E$2)&amp;""),""))</f>
        <v/>
      </c>
      <c r="F996">
        <f>IF(F$2=0,"",IFERROR(TRIM(INDEX('Pegar docentes'!$A$1:$BZ$1001,995,F$2)&amp;""),""))</f>
        <v/>
      </c>
      <c r="G996">
        <f>IF(G$2=0,"",IFERROR(TRIM(INDEX('Pegar docentes'!$A$1:$BZ$1001,995,G$2)&amp;""),""))</f>
        <v/>
      </c>
      <c r="H996">
        <f>IF(H$2=0,"",IFERROR(TRIM(INDEX('Pegar docentes'!$A$1:$BZ$1001,995,H$2)&amp;""),""))</f>
        <v/>
      </c>
      <c r="I996">
        <f>IF(I$2=0,"",IFERROR(TRIM(INDEX('Pegar docentes'!$A$1:$BZ$1001,995,I$2)&amp;""),""))</f>
        <v/>
      </c>
      <c r="J996">
        <f>IF(J$2=0,"",IFERROR(TRIM(INDEX('Pegar docentes'!$A$1:$BZ$1001,995,J$2)&amp;""),""))</f>
        <v/>
      </c>
      <c r="K996">
        <f>IF(K$2=0,"",IFERROR(TRIM(INDEX('Pegar docentes'!$A$1:$BZ$1001,995,K$2)&amp;""),""))</f>
        <v/>
      </c>
      <c r="L996">
        <f>IF(L$2=0,"",IFERROR(TRIM(INDEX('Pegar docentes'!$A$1:$BZ$1001,995,L$2)&amp;""),""))</f>
        <v/>
      </c>
      <c r="M996">
        <f>IF(M$2=0,"",IFERROR(TRIM(INDEX('Pegar docentes'!$A$1:$BZ$1001,995,M$2)&amp;""),""))</f>
        <v/>
      </c>
      <c r="N996">
        <f>IF(N$2=0,"",IFERROR(TRIM(INDEX('Pegar docentes'!$A$1:$BZ$1001,995,N$2)&amp;""),""))</f>
        <v/>
      </c>
      <c r="O996">
        <f>IF(O$2=0,"",IFERROR(TRIM(INDEX('Pegar docentes'!$A$1:$BZ$1001,995,O$2)&amp;""),""))</f>
        <v/>
      </c>
      <c r="P996">
        <f>IF(P$2=0,"",IFERROR(TRIM(INDEX('Pegar docentes'!$A$1:$BZ$1001,995,P$2)&amp;""),""))</f>
        <v/>
      </c>
      <c r="Q996" s="25">
        <f>IF(OR(D996&lt;&gt;"",H996&lt;&gt;""),1,"")</f>
        <v/>
      </c>
      <c r="R996" s="25">
        <f>IF(Q996=1,IF(ISNUMBER(FIND("#"&amp;MID(D996,1,1)&amp;"#","#0#1#2#3#4#5#6#7#8#9#")),IF(ISNUMBER(FIND("#"&amp;MID(D996,2,1)&amp;"#","#0#1#2#3#4#5#6#7#8#9#")),IF(AND(VALUE(LEFT(D996,2))&gt;=1,VALUE(LEFT(D996,2))&lt;=5),VALUE(LEFT(D996,2)),""),IF(AND(VALUE(LEFT(D996,1))&gt;=1,VALUE(LEFT(D996,1))&lt;=5),VALUE(LEFT(D996,1)),"")),""),"")</f>
        <v/>
      </c>
      <c r="S996" s="25">
        <f>IF(AND(Q996=1,E996&lt;&gt;""),SUBSTITUTE(SUBSTITUTE(SUBSTITUTE(SUBSTITUTE(SUBSTITUTE(SUBSTITUTE(SUBSTITUTE(SUBSTITUTE(SUBSTITUTE(SUBSTITUTE(SUBSTITUTE(SUBSTITUTE(LOWER(TRIM(E996)),"á","a"),"é","e"),"í","i"),"ó","o"),"ú","u"),"ü","u"),"ñ","n"),"à","a"),"è","e"),"ì","i"),"ò","o"),"ù","u"),"")</f>
        <v/>
      </c>
      <c r="T996" s="25">
        <f>IF(AND(Q996=1,G996&lt;&gt;""),SUBSTITUTE(SUBSTITUTE(SUBSTITUTE(SUBSTITUTE(SUBSTITUTE(SUBSTITUTE(SUBSTITUTE(SUBSTITUTE(SUBSTITUTE(SUBSTITUTE(SUBSTITUTE(SUBSTITUTE(LOWER(TRIM(G996)),"á","a"),"é","e"),"í","i"),"ó","o"),"ú","u"),"ü","u"),"ñ","n"),"à","a"),"è","e"),"ì","i"),"ò","o"),"ù","u"),"")</f>
        <v/>
      </c>
      <c r="U996" s="25">
        <f>IF(AND(Q996=1,H996&lt;&gt;""),SUBSTITUTE(SUBSTITUTE(SUBSTITUTE(SUBSTITUTE(SUBSTITUTE(SUBSTITUTE(SUBSTITUTE(SUBSTITUTE(SUBSTITUTE(SUBSTITUTE(SUBSTITUTE(SUBSTITUTE(LOWER(TRIM(H996)),"á","a"),"é","e"),"í","i"),"ó","o"),"ú","u"),"ü","u"),"ñ","n"),"à","a"),"è","e"),"ì","i"),"ò","o"),"ù","u"),"")</f>
        <v/>
      </c>
      <c r="V996" s="25">
        <f>IF(AND(Q996=1,L996&lt;&gt;""),SUBSTITUTE(SUBSTITUTE(SUBSTITUTE(SUBSTITUTE(SUBSTITUTE(SUBSTITUTE(SUBSTITUTE(SUBSTITUTE(SUBSTITUTE(SUBSTITUTE(SUBSTITUTE(SUBSTITUTE(LOWER(TRIM(L996)),"á","a"),"é","e"),"í","i"),"ó","o"),"ú","u"),"ü","u"),"ñ","n"),"à","a"),"è","e"),"ì","i"),"ò","o"),"ù","u"),"")</f>
        <v/>
      </c>
      <c r="W996" s="25">
        <f>IF(AND(Q996=1,I996&lt;&gt;""),SUBSTITUTE(SUBSTITUTE(SUBSTITUTE(SUBSTITUTE(SUBSTITUTE(SUBSTITUTE(SUBSTITUTE(SUBSTITUTE(SUBSTITUTE(SUBSTITUTE(SUBSTITUTE(SUBSTITUTE(LOWER(TRIM(I996)),"á","a"),"é","e"),"í","i"),"ó","o"),"ú","u"),"ü","u"),"ñ","n"),"à","a"),"è","e"),"ì","i"),"ò","o"),"ù","u"),"")</f>
        <v/>
      </c>
      <c r="X996" s="25">
        <f>IF(U996="","",IF(OR(U996="si, en la proxima tarea",U996="si, con cambios"),1,0))</f>
        <v/>
      </c>
      <c r="Y996" s="25">
        <f>IF(AND(Q996=1,A996&lt;&gt;""),IF(IFERROR(COUNTIFS(A$3:A996,"="&amp;SUBSTITUTE(SUBSTITUTE(SUBSTITUTE(A996,"~","~~"),"*","~*"),"?","~?"),Q$3:Q996,1),0)=1,MAX(Y$2:Y995)+1,""),"")</f>
        <v/>
      </c>
      <c r="Z996" s="25">
        <f>IF(Y996="","",COUNTIFS($A$3:$A$1002,"="&amp;SUBSTITUTE(SUBSTITUTE(SUBSTITUTE(A996,"~","~~"),"*","~*"),"?","~?"),$Q$3:$Q$1002,1)*10000-Y996)</f>
        <v/>
      </c>
    </row>
    <row r="997">
      <c r="A997">
        <f>IF(A$2=0,"",IFERROR(TRIM(INDEX('Pegar docentes'!$A$1:$BZ$1001,996,A$2)&amp;""),""))</f>
        <v/>
      </c>
      <c r="B997">
        <f>IF(B$2=0,"",IFERROR(TRIM(INDEX('Pegar docentes'!$A$1:$BZ$1001,996,B$2)&amp;""),""))</f>
        <v/>
      </c>
      <c r="C997">
        <f>IF(C$2=0,"",IFERROR(TRIM(INDEX('Pegar docentes'!$A$1:$BZ$1001,996,C$2)&amp;""),""))</f>
        <v/>
      </c>
      <c r="D997">
        <f>IF(D$2=0,"",IFERROR(TRIM(INDEX('Pegar docentes'!$A$1:$BZ$1001,996,D$2)&amp;""),""))</f>
        <v/>
      </c>
      <c r="E997">
        <f>IF(E$2=0,"",IFERROR(TRIM(INDEX('Pegar docentes'!$A$1:$BZ$1001,996,E$2)&amp;""),""))</f>
        <v/>
      </c>
      <c r="F997">
        <f>IF(F$2=0,"",IFERROR(TRIM(INDEX('Pegar docentes'!$A$1:$BZ$1001,996,F$2)&amp;""),""))</f>
        <v/>
      </c>
      <c r="G997">
        <f>IF(G$2=0,"",IFERROR(TRIM(INDEX('Pegar docentes'!$A$1:$BZ$1001,996,G$2)&amp;""),""))</f>
        <v/>
      </c>
      <c r="H997">
        <f>IF(H$2=0,"",IFERROR(TRIM(INDEX('Pegar docentes'!$A$1:$BZ$1001,996,H$2)&amp;""),""))</f>
        <v/>
      </c>
      <c r="I997">
        <f>IF(I$2=0,"",IFERROR(TRIM(INDEX('Pegar docentes'!$A$1:$BZ$1001,996,I$2)&amp;""),""))</f>
        <v/>
      </c>
      <c r="J997">
        <f>IF(J$2=0,"",IFERROR(TRIM(INDEX('Pegar docentes'!$A$1:$BZ$1001,996,J$2)&amp;""),""))</f>
        <v/>
      </c>
      <c r="K997">
        <f>IF(K$2=0,"",IFERROR(TRIM(INDEX('Pegar docentes'!$A$1:$BZ$1001,996,K$2)&amp;""),""))</f>
        <v/>
      </c>
      <c r="L997">
        <f>IF(L$2=0,"",IFERROR(TRIM(INDEX('Pegar docentes'!$A$1:$BZ$1001,996,L$2)&amp;""),""))</f>
        <v/>
      </c>
      <c r="M997">
        <f>IF(M$2=0,"",IFERROR(TRIM(INDEX('Pegar docentes'!$A$1:$BZ$1001,996,M$2)&amp;""),""))</f>
        <v/>
      </c>
      <c r="N997">
        <f>IF(N$2=0,"",IFERROR(TRIM(INDEX('Pegar docentes'!$A$1:$BZ$1001,996,N$2)&amp;""),""))</f>
        <v/>
      </c>
      <c r="O997">
        <f>IF(O$2=0,"",IFERROR(TRIM(INDEX('Pegar docentes'!$A$1:$BZ$1001,996,O$2)&amp;""),""))</f>
        <v/>
      </c>
      <c r="P997">
        <f>IF(P$2=0,"",IFERROR(TRIM(INDEX('Pegar docentes'!$A$1:$BZ$1001,996,P$2)&amp;""),""))</f>
        <v/>
      </c>
      <c r="Q997" s="25">
        <f>IF(OR(D997&lt;&gt;"",H997&lt;&gt;""),1,"")</f>
        <v/>
      </c>
      <c r="R997" s="25">
        <f>IF(Q997=1,IF(ISNUMBER(FIND("#"&amp;MID(D997,1,1)&amp;"#","#0#1#2#3#4#5#6#7#8#9#")),IF(ISNUMBER(FIND("#"&amp;MID(D997,2,1)&amp;"#","#0#1#2#3#4#5#6#7#8#9#")),IF(AND(VALUE(LEFT(D997,2))&gt;=1,VALUE(LEFT(D997,2))&lt;=5),VALUE(LEFT(D997,2)),""),IF(AND(VALUE(LEFT(D997,1))&gt;=1,VALUE(LEFT(D997,1))&lt;=5),VALUE(LEFT(D997,1)),"")),""),"")</f>
        <v/>
      </c>
      <c r="S997" s="25">
        <f>IF(AND(Q997=1,E997&lt;&gt;""),SUBSTITUTE(SUBSTITUTE(SUBSTITUTE(SUBSTITUTE(SUBSTITUTE(SUBSTITUTE(SUBSTITUTE(SUBSTITUTE(SUBSTITUTE(SUBSTITUTE(SUBSTITUTE(SUBSTITUTE(LOWER(TRIM(E997)),"á","a"),"é","e"),"í","i"),"ó","o"),"ú","u"),"ü","u"),"ñ","n"),"à","a"),"è","e"),"ì","i"),"ò","o"),"ù","u"),"")</f>
        <v/>
      </c>
      <c r="T997" s="25">
        <f>IF(AND(Q997=1,G997&lt;&gt;""),SUBSTITUTE(SUBSTITUTE(SUBSTITUTE(SUBSTITUTE(SUBSTITUTE(SUBSTITUTE(SUBSTITUTE(SUBSTITUTE(SUBSTITUTE(SUBSTITUTE(SUBSTITUTE(SUBSTITUTE(LOWER(TRIM(G997)),"á","a"),"é","e"),"í","i"),"ó","o"),"ú","u"),"ü","u"),"ñ","n"),"à","a"),"è","e"),"ì","i"),"ò","o"),"ù","u"),"")</f>
        <v/>
      </c>
      <c r="U997" s="25">
        <f>IF(AND(Q997=1,H997&lt;&gt;""),SUBSTITUTE(SUBSTITUTE(SUBSTITUTE(SUBSTITUTE(SUBSTITUTE(SUBSTITUTE(SUBSTITUTE(SUBSTITUTE(SUBSTITUTE(SUBSTITUTE(SUBSTITUTE(SUBSTITUTE(LOWER(TRIM(H997)),"á","a"),"é","e"),"í","i"),"ó","o"),"ú","u"),"ü","u"),"ñ","n"),"à","a"),"è","e"),"ì","i"),"ò","o"),"ù","u"),"")</f>
        <v/>
      </c>
      <c r="V997" s="25">
        <f>IF(AND(Q997=1,L997&lt;&gt;""),SUBSTITUTE(SUBSTITUTE(SUBSTITUTE(SUBSTITUTE(SUBSTITUTE(SUBSTITUTE(SUBSTITUTE(SUBSTITUTE(SUBSTITUTE(SUBSTITUTE(SUBSTITUTE(SUBSTITUTE(LOWER(TRIM(L997)),"á","a"),"é","e"),"í","i"),"ó","o"),"ú","u"),"ü","u"),"ñ","n"),"à","a"),"è","e"),"ì","i"),"ò","o"),"ù","u"),"")</f>
        <v/>
      </c>
      <c r="W997" s="25">
        <f>IF(AND(Q997=1,I997&lt;&gt;""),SUBSTITUTE(SUBSTITUTE(SUBSTITUTE(SUBSTITUTE(SUBSTITUTE(SUBSTITUTE(SUBSTITUTE(SUBSTITUTE(SUBSTITUTE(SUBSTITUTE(SUBSTITUTE(SUBSTITUTE(LOWER(TRIM(I997)),"á","a"),"é","e"),"í","i"),"ó","o"),"ú","u"),"ü","u"),"ñ","n"),"à","a"),"è","e"),"ì","i"),"ò","o"),"ù","u"),"")</f>
        <v/>
      </c>
      <c r="X997" s="25">
        <f>IF(U997="","",IF(OR(U997="si, en la proxima tarea",U997="si, con cambios"),1,0))</f>
        <v/>
      </c>
      <c r="Y997" s="25">
        <f>IF(AND(Q997=1,A997&lt;&gt;""),IF(IFERROR(COUNTIFS(A$3:A997,"="&amp;SUBSTITUTE(SUBSTITUTE(SUBSTITUTE(A997,"~","~~"),"*","~*"),"?","~?"),Q$3:Q997,1),0)=1,MAX(Y$2:Y996)+1,""),"")</f>
        <v/>
      </c>
      <c r="Z997" s="25">
        <f>IF(Y997="","",COUNTIFS($A$3:$A$1002,"="&amp;SUBSTITUTE(SUBSTITUTE(SUBSTITUTE(A997,"~","~~"),"*","~*"),"?","~?"),$Q$3:$Q$1002,1)*10000-Y997)</f>
        <v/>
      </c>
    </row>
    <row r="998">
      <c r="A998">
        <f>IF(A$2=0,"",IFERROR(TRIM(INDEX('Pegar docentes'!$A$1:$BZ$1001,997,A$2)&amp;""),""))</f>
        <v/>
      </c>
      <c r="B998">
        <f>IF(B$2=0,"",IFERROR(TRIM(INDEX('Pegar docentes'!$A$1:$BZ$1001,997,B$2)&amp;""),""))</f>
        <v/>
      </c>
      <c r="C998">
        <f>IF(C$2=0,"",IFERROR(TRIM(INDEX('Pegar docentes'!$A$1:$BZ$1001,997,C$2)&amp;""),""))</f>
        <v/>
      </c>
      <c r="D998">
        <f>IF(D$2=0,"",IFERROR(TRIM(INDEX('Pegar docentes'!$A$1:$BZ$1001,997,D$2)&amp;""),""))</f>
        <v/>
      </c>
      <c r="E998">
        <f>IF(E$2=0,"",IFERROR(TRIM(INDEX('Pegar docentes'!$A$1:$BZ$1001,997,E$2)&amp;""),""))</f>
        <v/>
      </c>
      <c r="F998">
        <f>IF(F$2=0,"",IFERROR(TRIM(INDEX('Pegar docentes'!$A$1:$BZ$1001,997,F$2)&amp;""),""))</f>
        <v/>
      </c>
      <c r="G998">
        <f>IF(G$2=0,"",IFERROR(TRIM(INDEX('Pegar docentes'!$A$1:$BZ$1001,997,G$2)&amp;""),""))</f>
        <v/>
      </c>
      <c r="H998">
        <f>IF(H$2=0,"",IFERROR(TRIM(INDEX('Pegar docentes'!$A$1:$BZ$1001,997,H$2)&amp;""),""))</f>
        <v/>
      </c>
      <c r="I998">
        <f>IF(I$2=0,"",IFERROR(TRIM(INDEX('Pegar docentes'!$A$1:$BZ$1001,997,I$2)&amp;""),""))</f>
        <v/>
      </c>
      <c r="J998">
        <f>IF(J$2=0,"",IFERROR(TRIM(INDEX('Pegar docentes'!$A$1:$BZ$1001,997,J$2)&amp;""),""))</f>
        <v/>
      </c>
      <c r="K998">
        <f>IF(K$2=0,"",IFERROR(TRIM(INDEX('Pegar docentes'!$A$1:$BZ$1001,997,K$2)&amp;""),""))</f>
        <v/>
      </c>
      <c r="L998">
        <f>IF(L$2=0,"",IFERROR(TRIM(INDEX('Pegar docentes'!$A$1:$BZ$1001,997,L$2)&amp;""),""))</f>
        <v/>
      </c>
      <c r="M998">
        <f>IF(M$2=0,"",IFERROR(TRIM(INDEX('Pegar docentes'!$A$1:$BZ$1001,997,M$2)&amp;""),""))</f>
        <v/>
      </c>
      <c r="N998">
        <f>IF(N$2=0,"",IFERROR(TRIM(INDEX('Pegar docentes'!$A$1:$BZ$1001,997,N$2)&amp;""),""))</f>
        <v/>
      </c>
      <c r="O998">
        <f>IF(O$2=0,"",IFERROR(TRIM(INDEX('Pegar docentes'!$A$1:$BZ$1001,997,O$2)&amp;""),""))</f>
        <v/>
      </c>
      <c r="P998">
        <f>IF(P$2=0,"",IFERROR(TRIM(INDEX('Pegar docentes'!$A$1:$BZ$1001,997,P$2)&amp;""),""))</f>
        <v/>
      </c>
      <c r="Q998" s="25">
        <f>IF(OR(D998&lt;&gt;"",H998&lt;&gt;""),1,"")</f>
        <v/>
      </c>
      <c r="R998" s="25">
        <f>IF(Q998=1,IF(ISNUMBER(FIND("#"&amp;MID(D998,1,1)&amp;"#","#0#1#2#3#4#5#6#7#8#9#")),IF(ISNUMBER(FIND("#"&amp;MID(D998,2,1)&amp;"#","#0#1#2#3#4#5#6#7#8#9#")),IF(AND(VALUE(LEFT(D998,2))&gt;=1,VALUE(LEFT(D998,2))&lt;=5),VALUE(LEFT(D998,2)),""),IF(AND(VALUE(LEFT(D998,1))&gt;=1,VALUE(LEFT(D998,1))&lt;=5),VALUE(LEFT(D998,1)),"")),""),"")</f>
        <v/>
      </c>
      <c r="S998" s="25">
        <f>IF(AND(Q998=1,E998&lt;&gt;""),SUBSTITUTE(SUBSTITUTE(SUBSTITUTE(SUBSTITUTE(SUBSTITUTE(SUBSTITUTE(SUBSTITUTE(SUBSTITUTE(SUBSTITUTE(SUBSTITUTE(SUBSTITUTE(SUBSTITUTE(LOWER(TRIM(E998)),"á","a"),"é","e"),"í","i"),"ó","o"),"ú","u"),"ü","u"),"ñ","n"),"à","a"),"è","e"),"ì","i"),"ò","o"),"ù","u"),"")</f>
        <v/>
      </c>
      <c r="T998" s="25">
        <f>IF(AND(Q998=1,G998&lt;&gt;""),SUBSTITUTE(SUBSTITUTE(SUBSTITUTE(SUBSTITUTE(SUBSTITUTE(SUBSTITUTE(SUBSTITUTE(SUBSTITUTE(SUBSTITUTE(SUBSTITUTE(SUBSTITUTE(SUBSTITUTE(LOWER(TRIM(G998)),"á","a"),"é","e"),"í","i"),"ó","o"),"ú","u"),"ü","u"),"ñ","n"),"à","a"),"è","e"),"ì","i"),"ò","o"),"ù","u"),"")</f>
        <v/>
      </c>
      <c r="U998" s="25">
        <f>IF(AND(Q998=1,H998&lt;&gt;""),SUBSTITUTE(SUBSTITUTE(SUBSTITUTE(SUBSTITUTE(SUBSTITUTE(SUBSTITUTE(SUBSTITUTE(SUBSTITUTE(SUBSTITUTE(SUBSTITUTE(SUBSTITUTE(SUBSTITUTE(LOWER(TRIM(H998)),"á","a"),"é","e"),"í","i"),"ó","o"),"ú","u"),"ü","u"),"ñ","n"),"à","a"),"è","e"),"ì","i"),"ò","o"),"ù","u"),"")</f>
        <v/>
      </c>
      <c r="V998" s="25">
        <f>IF(AND(Q998=1,L998&lt;&gt;""),SUBSTITUTE(SUBSTITUTE(SUBSTITUTE(SUBSTITUTE(SUBSTITUTE(SUBSTITUTE(SUBSTITUTE(SUBSTITUTE(SUBSTITUTE(SUBSTITUTE(SUBSTITUTE(SUBSTITUTE(LOWER(TRIM(L998)),"á","a"),"é","e"),"í","i"),"ó","o"),"ú","u"),"ü","u"),"ñ","n"),"à","a"),"è","e"),"ì","i"),"ò","o"),"ù","u"),"")</f>
        <v/>
      </c>
      <c r="W998" s="25">
        <f>IF(AND(Q998=1,I998&lt;&gt;""),SUBSTITUTE(SUBSTITUTE(SUBSTITUTE(SUBSTITUTE(SUBSTITUTE(SUBSTITUTE(SUBSTITUTE(SUBSTITUTE(SUBSTITUTE(SUBSTITUTE(SUBSTITUTE(SUBSTITUTE(LOWER(TRIM(I998)),"á","a"),"é","e"),"í","i"),"ó","o"),"ú","u"),"ü","u"),"ñ","n"),"à","a"),"è","e"),"ì","i"),"ò","o"),"ù","u"),"")</f>
        <v/>
      </c>
      <c r="X998" s="25">
        <f>IF(U998="","",IF(OR(U998="si, en la proxima tarea",U998="si, con cambios"),1,0))</f>
        <v/>
      </c>
      <c r="Y998" s="25">
        <f>IF(AND(Q998=1,A998&lt;&gt;""),IF(IFERROR(COUNTIFS(A$3:A998,"="&amp;SUBSTITUTE(SUBSTITUTE(SUBSTITUTE(A998,"~","~~"),"*","~*"),"?","~?"),Q$3:Q998,1),0)=1,MAX(Y$2:Y997)+1,""),"")</f>
        <v/>
      </c>
      <c r="Z998" s="25">
        <f>IF(Y998="","",COUNTIFS($A$3:$A$1002,"="&amp;SUBSTITUTE(SUBSTITUTE(SUBSTITUTE(A998,"~","~~"),"*","~*"),"?","~?"),$Q$3:$Q$1002,1)*10000-Y998)</f>
        <v/>
      </c>
    </row>
    <row r="999">
      <c r="A999">
        <f>IF(A$2=0,"",IFERROR(TRIM(INDEX('Pegar docentes'!$A$1:$BZ$1001,998,A$2)&amp;""),""))</f>
        <v/>
      </c>
      <c r="B999">
        <f>IF(B$2=0,"",IFERROR(TRIM(INDEX('Pegar docentes'!$A$1:$BZ$1001,998,B$2)&amp;""),""))</f>
        <v/>
      </c>
      <c r="C999">
        <f>IF(C$2=0,"",IFERROR(TRIM(INDEX('Pegar docentes'!$A$1:$BZ$1001,998,C$2)&amp;""),""))</f>
        <v/>
      </c>
      <c r="D999">
        <f>IF(D$2=0,"",IFERROR(TRIM(INDEX('Pegar docentes'!$A$1:$BZ$1001,998,D$2)&amp;""),""))</f>
        <v/>
      </c>
      <c r="E999">
        <f>IF(E$2=0,"",IFERROR(TRIM(INDEX('Pegar docentes'!$A$1:$BZ$1001,998,E$2)&amp;""),""))</f>
        <v/>
      </c>
      <c r="F999">
        <f>IF(F$2=0,"",IFERROR(TRIM(INDEX('Pegar docentes'!$A$1:$BZ$1001,998,F$2)&amp;""),""))</f>
        <v/>
      </c>
      <c r="G999">
        <f>IF(G$2=0,"",IFERROR(TRIM(INDEX('Pegar docentes'!$A$1:$BZ$1001,998,G$2)&amp;""),""))</f>
        <v/>
      </c>
      <c r="H999">
        <f>IF(H$2=0,"",IFERROR(TRIM(INDEX('Pegar docentes'!$A$1:$BZ$1001,998,H$2)&amp;""),""))</f>
        <v/>
      </c>
      <c r="I999">
        <f>IF(I$2=0,"",IFERROR(TRIM(INDEX('Pegar docentes'!$A$1:$BZ$1001,998,I$2)&amp;""),""))</f>
        <v/>
      </c>
      <c r="J999">
        <f>IF(J$2=0,"",IFERROR(TRIM(INDEX('Pegar docentes'!$A$1:$BZ$1001,998,J$2)&amp;""),""))</f>
        <v/>
      </c>
      <c r="K999">
        <f>IF(K$2=0,"",IFERROR(TRIM(INDEX('Pegar docentes'!$A$1:$BZ$1001,998,K$2)&amp;""),""))</f>
        <v/>
      </c>
      <c r="L999">
        <f>IF(L$2=0,"",IFERROR(TRIM(INDEX('Pegar docentes'!$A$1:$BZ$1001,998,L$2)&amp;""),""))</f>
        <v/>
      </c>
      <c r="M999">
        <f>IF(M$2=0,"",IFERROR(TRIM(INDEX('Pegar docentes'!$A$1:$BZ$1001,998,M$2)&amp;""),""))</f>
        <v/>
      </c>
      <c r="N999">
        <f>IF(N$2=0,"",IFERROR(TRIM(INDEX('Pegar docentes'!$A$1:$BZ$1001,998,N$2)&amp;""),""))</f>
        <v/>
      </c>
      <c r="O999">
        <f>IF(O$2=0,"",IFERROR(TRIM(INDEX('Pegar docentes'!$A$1:$BZ$1001,998,O$2)&amp;""),""))</f>
        <v/>
      </c>
      <c r="P999">
        <f>IF(P$2=0,"",IFERROR(TRIM(INDEX('Pegar docentes'!$A$1:$BZ$1001,998,P$2)&amp;""),""))</f>
        <v/>
      </c>
      <c r="Q999" s="25">
        <f>IF(OR(D999&lt;&gt;"",H999&lt;&gt;""),1,"")</f>
        <v/>
      </c>
      <c r="R999" s="25">
        <f>IF(Q999=1,IF(ISNUMBER(FIND("#"&amp;MID(D999,1,1)&amp;"#","#0#1#2#3#4#5#6#7#8#9#")),IF(ISNUMBER(FIND("#"&amp;MID(D999,2,1)&amp;"#","#0#1#2#3#4#5#6#7#8#9#")),IF(AND(VALUE(LEFT(D999,2))&gt;=1,VALUE(LEFT(D999,2))&lt;=5),VALUE(LEFT(D999,2)),""),IF(AND(VALUE(LEFT(D999,1))&gt;=1,VALUE(LEFT(D999,1))&lt;=5),VALUE(LEFT(D999,1)),"")),""),"")</f>
        <v/>
      </c>
      <c r="S999" s="25">
        <f>IF(AND(Q999=1,E999&lt;&gt;""),SUBSTITUTE(SUBSTITUTE(SUBSTITUTE(SUBSTITUTE(SUBSTITUTE(SUBSTITUTE(SUBSTITUTE(SUBSTITUTE(SUBSTITUTE(SUBSTITUTE(SUBSTITUTE(SUBSTITUTE(LOWER(TRIM(E999)),"á","a"),"é","e"),"í","i"),"ó","o"),"ú","u"),"ü","u"),"ñ","n"),"à","a"),"è","e"),"ì","i"),"ò","o"),"ù","u"),"")</f>
        <v/>
      </c>
      <c r="T999" s="25">
        <f>IF(AND(Q999=1,G999&lt;&gt;""),SUBSTITUTE(SUBSTITUTE(SUBSTITUTE(SUBSTITUTE(SUBSTITUTE(SUBSTITUTE(SUBSTITUTE(SUBSTITUTE(SUBSTITUTE(SUBSTITUTE(SUBSTITUTE(SUBSTITUTE(LOWER(TRIM(G999)),"á","a"),"é","e"),"í","i"),"ó","o"),"ú","u"),"ü","u"),"ñ","n"),"à","a"),"è","e"),"ì","i"),"ò","o"),"ù","u"),"")</f>
        <v/>
      </c>
      <c r="U999" s="25">
        <f>IF(AND(Q999=1,H999&lt;&gt;""),SUBSTITUTE(SUBSTITUTE(SUBSTITUTE(SUBSTITUTE(SUBSTITUTE(SUBSTITUTE(SUBSTITUTE(SUBSTITUTE(SUBSTITUTE(SUBSTITUTE(SUBSTITUTE(SUBSTITUTE(LOWER(TRIM(H999)),"á","a"),"é","e"),"í","i"),"ó","o"),"ú","u"),"ü","u"),"ñ","n"),"à","a"),"è","e"),"ì","i"),"ò","o"),"ù","u"),"")</f>
        <v/>
      </c>
      <c r="V999" s="25">
        <f>IF(AND(Q999=1,L999&lt;&gt;""),SUBSTITUTE(SUBSTITUTE(SUBSTITUTE(SUBSTITUTE(SUBSTITUTE(SUBSTITUTE(SUBSTITUTE(SUBSTITUTE(SUBSTITUTE(SUBSTITUTE(SUBSTITUTE(SUBSTITUTE(LOWER(TRIM(L999)),"á","a"),"é","e"),"í","i"),"ó","o"),"ú","u"),"ü","u"),"ñ","n"),"à","a"),"è","e"),"ì","i"),"ò","o"),"ù","u"),"")</f>
        <v/>
      </c>
      <c r="W999" s="25">
        <f>IF(AND(Q999=1,I999&lt;&gt;""),SUBSTITUTE(SUBSTITUTE(SUBSTITUTE(SUBSTITUTE(SUBSTITUTE(SUBSTITUTE(SUBSTITUTE(SUBSTITUTE(SUBSTITUTE(SUBSTITUTE(SUBSTITUTE(SUBSTITUTE(LOWER(TRIM(I999)),"á","a"),"é","e"),"í","i"),"ó","o"),"ú","u"),"ü","u"),"ñ","n"),"à","a"),"è","e"),"ì","i"),"ò","o"),"ù","u"),"")</f>
        <v/>
      </c>
      <c r="X999" s="25">
        <f>IF(U999="","",IF(OR(U999="si, en la proxima tarea",U999="si, con cambios"),1,0))</f>
        <v/>
      </c>
      <c r="Y999" s="25">
        <f>IF(AND(Q999=1,A999&lt;&gt;""),IF(IFERROR(COUNTIFS(A$3:A999,"="&amp;SUBSTITUTE(SUBSTITUTE(SUBSTITUTE(A999,"~","~~"),"*","~*"),"?","~?"),Q$3:Q999,1),0)=1,MAX(Y$2:Y998)+1,""),"")</f>
        <v/>
      </c>
      <c r="Z999" s="25">
        <f>IF(Y999="","",COUNTIFS($A$3:$A$1002,"="&amp;SUBSTITUTE(SUBSTITUTE(SUBSTITUTE(A999,"~","~~"),"*","~*"),"?","~?"),$Q$3:$Q$1002,1)*10000-Y999)</f>
        <v/>
      </c>
    </row>
    <row r="1000">
      <c r="A1000">
        <f>IF(A$2=0,"",IFERROR(TRIM(INDEX('Pegar docentes'!$A$1:$BZ$1001,999,A$2)&amp;""),""))</f>
        <v/>
      </c>
      <c r="B1000">
        <f>IF(B$2=0,"",IFERROR(TRIM(INDEX('Pegar docentes'!$A$1:$BZ$1001,999,B$2)&amp;""),""))</f>
        <v/>
      </c>
      <c r="C1000">
        <f>IF(C$2=0,"",IFERROR(TRIM(INDEX('Pegar docentes'!$A$1:$BZ$1001,999,C$2)&amp;""),""))</f>
        <v/>
      </c>
      <c r="D1000">
        <f>IF(D$2=0,"",IFERROR(TRIM(INDEX('Pegar docentes'!$A$1:$BZ$1001,999,D$2)&amp;""),""))</f>
        <v/>
      </c>
      <c r="E1000">
        <f>IF(E$2=0,"",IFERROR(TRIM(INDEX('Pegar docentes'!$A$1:$BZ$1001,999,E$2)&amp;""),""))</f>
        <v/>
      </c>
      <c r="F1000">
        <f>IF(F$2=0,"",IFERROR(TRIM(INDEX('Pegar docentes'!$A$1:$BZ$1001,999,F$2)&amp;""),""))</f>
        <v/>
      </c>
      <c r="G1000">
        <f>IF(G$2=0,"",IFERROR(TRIM(INDEX('Pegar docentes'!$A$1:$BZ$1001,999,G$2)&amp;""),""))</f>
        <v/>
      </c>
      <c r="H1000">
        <f>IF(H$2=0,"",IFERROR(TRIM(INDEX('Pegar docentes'!$A$1:$BZ$1001,999,H$2)&amp;""),""))</f>
        <v/>
      </c>
      <c r="I1000">
        <f>IF(I$2=0,"",IFERROR(TRIM(INDEX('Pegar docentes'!$A$1:$BZ$1001,999,I$2)&amp;""),""))</f>
        <v/>
      </c>
      <c r="J1000">
        <f>IF(J$2=0,"",IFERROR(TRIM(INDEX('Pegar docentes'!$A$1:$BZ$1001,999,J$2)&amp;""),""))</f>
        <v/>
      </c>
      <c r="K1000">
        <f>IF(K$2=0,"",IFERROR(TRIM(INDEX('Pegar docentes'!$A$1:$BZ$1001,999,K$2)&amp;""),""))</f>
        <v/>
      </c>
      <c r="L1000">
        <f>IF(L$2=0,"",IFERROR(TRIM(INDEX('Pegar docentes'!$A$1:$BZ$1001,999,L$2)&amp;""),""))</f>
        <v/>
      </c>
      <c r="M1000">
        <f>IF(M$2=0,"",IFERROR(TRIM(INDEX('Pegar docentes'!$A$1:$BZ$1001,999,M$2)&amp;""),""))</f>
        <v/>
      </c>
      <c r="N1000">
        <f>IF(N$2=0,"",IFERROR(TRIM(INDEX('Pegar docentes'!$A$1:$BZ$1001,999,N$2)&amp;""),""))</f>
        <v/>
      </c>
      <c r="O1000">
        <f>IF(O$2=0,"",IFERROR(TRIM(INDEX('Pegar docentes'!$A$1:$BZ$1001,999,O$2)&amp;""),""))</f>
        <v/>
      </c>
      <c r="P1000">
        <f>IF(P$2=0,"",IFERROR(TRIM(INDEX('Pegar docentes'!$A$1:$BZ$1001,999,P$2)&amp;""),""))</f>
        <v/>
      </c>
      <c r="Q1000" s="25">
        <f>IF(OR(D1000&lt;&gt;"",H1000&lt;&gt;""),1,"")</f>
        <v/>
      </c>
      <c r="R1000" s="25">
        <f>IF(Q1000=1,IF(ISNUMBER(FIND("#"&amp;MID(D1000,1,1)&amp;"#","#0#1#2#3#4#5#6#7#8#9#")),IF(ISNUMBER(FIND("#"&amp;MID(D1000,2,1)&amp;"#","#0#1#2#3#4#5#6#7#8#9#")),IF(AND(VALUE(LEFT(D1000,2))&gt;=1,VALUE(LEFT(D1000,2))&lt;=5),VALUE(LEFT(D1000,2)),""),IF(AND(VALUE(LEFT(D1000,1))&gt;=1,VALUE(LEFT(D1000,1))&lt;=5),VALUE(LEFT(D1000,1)),"")),""),"")</f>
        <v/>
      </c>
      <c r="S1000" s="25">
        <f>IF(AND(Q1000=1,E1000&lt;&gt;""),SUBSTITUTE(SUBSTITUTE(SUBSTITUTE(SUBSTITUTE(SUBSTITUTE(SUBSTITUTE(SUBSTITUTE(SUBSTITUTE(SUBSTITUTE(SUBSTITUTE(SUBSTITUTE(SUBSTITUTE(LOWER(TRIM(E1000)),"á","a"),"é","e"),"í","i"),"ó","o"),"ú","u"),"ü","u"),"ñ","n"),"à","a"),"è","e"),"ì","i"),"ò","o"),"ù","u"),"")</f>
        <v/>
      </c>
      <c r="T1000" s="25">
        <f>IF(AND(Q1000=1,G1000&lt;&gt;""),SUBSTITUTE(SUBSTITUTE(SUBSTITUTE(SUBSTITUTE(SUBSTITUTE(SUBSTITUTE(SUBSTITUTE(SUBSTITUTE(SUBSTITUTE(SUBSTITUTE(SUBSTITUTE(SUBSTITUTE(LOWER(TRIM(G1000)),"á","a"),"é","e"),"í","i"),"ó","o"),"ú","u"),"ü","u"),"ñ","n"),"à","a"),"è","e"),"ì","i"),"ò","o"),"ù","u"),"")</f>
        <v/>
      </c>
      <c r="U1000" s="25">
        <f>IF(AND(Q1000=1,H1000&lt;&gt;""),SUBSTITUTE(SUBSTITUTE(SUBSTITUTE(SUBSTITUTE(SUBSTITUTE(SUBSTITUTE(SUBSTITUTE(SUBSTITUTE(SUBSTITUTE(SUBSTITUTE(SUBSTITUTE(SUBSTITUTE(LOWER(TRIM(H1000)),"á","a"),"é","e"),"í","i"),"ó","o"),"ú","u"),"ü","u"),"ñ","n"),"à","a"),"è","e"),"ì","i"),"ò","o"),"ù","u"),"")</f>
        <v/>
      </c>
      <c r="V1000" s="25">
        <f>IF(AND(Q1000=1,L1000&lt;&gt;""),SUBSTITUTE(SUBSTITUTE(SUBSTITUTE(SUBSTITUTE(SUBSTITUTE(SUBSTITUTE(SUBSTITUTE(SUBSTITUTE(SUBSTITUTE(SUBSTITUTE(SUBSTITUTE(SUBSTITUTE(LOWER(TRIM(L1000)),"á","a"),"é","e"),"í","i"),"ó","o"),"ú","u"),"ü","u"),"ñ","n"),"à","a"),"è","e"),"ì","i"),"ò","o"),"ù","u"),"")</f>
        <v/>
      </c>
      <c r="W1000" s="25">
        <f>IF(AND(Q1000=1,I1000&lt;&gt;""),SUBSTITUTE(SUBSTITUTE(SUBSTITUTE(SUBSTITUTE(SUBSTITUTE(SUBSTITUTE(SUBSTITUTE(SUBSTITUTE(SUBSTITUTE(SUBSTITUTE(SUBSTITUTE(SUBSTITUTE(LOWER(TRIM(I1000)),"á","a"),"é","e"),"í","i"),"ó","o"),"ú","u"),"ü","u"),"ñ","n"),"à","a"),"è","e"),"ì","i"),"ò","o"),"ù","u"),"")</f>
        <v/>
      </c>
      <c r="X1000" s="25">
        <f>IF(U1000="","",IF(OR(U1000="si, en la proxima tarea",U1000="si, con cambios"),1,0))</f>
        <v/>
      </c>
      <c r="Y1000" s="25">
        <f>IF(AND(Q1000=1,A1000&lt;&gt;""),IF(IFERROR(COUNTIFS(A$3:A1000,"="&amp;SUBSTITUTE(SUBSTITUTE(SUBSTITUTE(A1000,"~","~~"),"*","~*"),"?","~?"),Q$3:Q1000,1),0)=1,MAX(Y$2:Y999)+1,""),"")</f>
        <v/>
      </c>
      <c r="Z1000" s="25">
        <f>IF(Y1000="","",COUNTIFS($A$3:$A$1002,"="&amp;SUBSTITUTE(SUBSTITUTE(SUBSTITUTE(A1000,"~","~~"),"*","~*"),"?","~?"),$Q$3:$Q$1002,1)*10000-Y1000)</f>
        <v/>
      </c>
    </row>
    <row r="1001">
      <c r="A1001">
        <f>IF(A$2=0,"",IFERROR(TRIM(INDEX('Pegar docentes'!$A$1:$BZ$1001,1000,A$2)&amp;""),""))</f>
        <v/>
      </c>
      <c r="B1001">
        <f>IF(B$2=0,"",IFERROR(TRIM(INDEX('Pegar docentes'!$A$1:$BZ$1001,1000,B$2)&amp;""),""))</f>
        <v/>
      </c>
      <c r="C1001">
        <f>IF(C$2=0,"",IFERROR(TRIM(INDEX('Pegar docentes'!$A$1:$BZ$1001,1000,C$2)&amp;""),""))</f>
        <v/>
      </c>
      <c r="D1001">
        <f>IF(D$2=0,"",IFERROR(TRIM(INDEX('Pegar docentes'!$A$1:$BZ$1001,1000,D$2)&amp;""),""))</f>
        <v/>
      </c>
      <c r="E1001">
        <f>IF(E$2=0,"",IFERROR(TRIM(INDEX('Pegar docentes'!$A$1:$BZ$1001,1000,E$2)&amp;""),""))</f>
        <v/>
      </c>
      <c r="F1001">
        <f>IF(F$2=0,"",IFERROR(TRIM(INDEX('Pegar docentes'!$A$1:$BZ$1001,1000,F$2)&amp;""),""))</f>
        <v/>
      </c>
      <c r="G1001">
        <f>IF(G$2=0,"",IFERROR(TRIM(INDEX('Pegar docentes'!$A$1:$BZ$1001,1000,G$2)&amp;""),""))</f>
        <v/>
      </c>
      <c r="H1001">
        <f>IF(H$2=0,"",IFERROR(TRIM(INDEX('Pegar docentes'!$A$1:$BZ$1001,1000,H$2)&amp;""),""))</f>
        <v/>
      </c>
      <c r="I1001">
        <f>IF(I$2=0,"",IFERROR(TRIM(INDEX('Pegar docentes'!$A$1:$BZ$1001,1000,I$2)&amp;""),""))</f>
        <v/>
      </c>
      <c r="J1001">
        <f>IF(J$2=0,"",IFERROR(TRIM(INDEX('Pegar docentes'!$A$1:$BZ$1001,1000,J$2)&amp;""),""))</f>
        <v/>
      </c>
      <c r="K1001">
        <f>IF(K$2=0,"",IFERROR(TRIM(INDEX('Pegar docentes'!$A$1:$BZ$1001,1000,K$2)&amp;""),""))</f>
        <v/>
      </c>
      <c r="L1001">
        <f>IF(L$2=0,"",IFERROR(TRIM(INDEX('Pegar docentes'!$A$1:$BZ$1001,1000,L$2)&amp;""),""))</f>
        <v/>
      </c>
      <c r="M1001">
        <f>IF(M$2=0,"",IFERROR(TRIM(INDEX('Pegar docentes'!$A$1:$BZ$1001,1000,M$2)&amp;""),""))</f>
        <v/>
      </c>
      <c r="N1001">
        <f>IF(N$2=0,"",IFERROR(TRIM(INDEX('Pegar docentes'!$A$1:$BZ$1001,1000,N$2)&amp;""),""))</f>
        <v/>
      </c>
      <c r="O1001">
        <f>IF(O$2=0,"",IFERROR(TRIM(INDEX('Pegar docentes'!$A$1:$BZ$1001,1000,O$2)&amp;""),""))</f>
        <v/>
      </c>
      <c r="P1001">
        <f>IF(P$2=0,"",IFERROR(TRIM(INDEX('Pegar docentes'!$A$1:$BZ$1001,1000,P$2)&amp;""),""))</f>
        <v/>
      </c>
      <c r="Q1001" s="25">
        <f>IF(OR(D1001&lt;&gt;"",H1001&lt;&gt;""),1,"")</f>
        <v/>
      </c>
      <c r="R1001" s="25">
        <f>IF(Q1001=1,IF(ISNUMBER(FIND("#"&amp;MID(D1001,1,1)&amp;"#","#0#1#2#3#4#5#6#7#8#9#")),IF(ISNUMBER(FIND("#"&amp;MID(D1001,2,1)&amp;"#","#0#1#2#3#4#5#6#7#8#9#")),IF(AND(VALUE(LEFT(D1001,2))&gt;=1,VALUE(LEFT(D1001,2))&lt;=5),VALUE(LEFT(D1001,2)),""),IF(AND(VALUE(LEFT(D1001,1))&gt;=1,VALUE(LEFT(D1001,1))&lt;=5),VALUE(LEFT(D1001,1)),"")),""),"")</f>
        <v/>
      </c>
      <c r="S1001" s="25">
        <f>IF(AND(Q1001=1,E1001&lt;&gt;""),SUBSTITUTE(SUBSTITUTE(SUBSTITUTE(SUBSTITUTE(SUBSTITUTE(SUBSTITUTE(SUBSTITUTE(SUBSTITUTE(SUBSTITUTE(SUBSTITUTE(SUBSTITUTE(SUBSTITUTE(LOWER(TRIM(E1001)),"á","a"),"é","e"),"í","i"),"ó","o"),"ú","u"),"ü","u"),"ñ","n"),"à","a"),"è","e"),"ì","i"),"ò","o"),"ù","u"),"")</f>
        <v/>
      </c>
      <c r="T1001" s="25">
        <f>IF(AND(Q1001=1,G1001&lt;&gt;""),SUBSTITUTE(SUBSTITUTE(SUBSTITUTE(SUBSTITUTE(SUBSTITUTE(SUBSTITUTE(SUBSTITUTE(SUBSTITUTE(SUBSTITUTE(SUBSTITUTE(SUBSTITUTE(SUBSTITUTE(LOWER(TRIM(G1001)),"á","a"),"é","e"),"í","i"),"ó","o"),"ú","u"),"ü","u"),"ñ","n"),"à","a"),"è","e"),"ì","i"),"ò","o"),"ù","u"),"")</f>
        <v/>
      </c>
      <c r="U1001" s="25">
        <f>IF(AND(Q1001=1,H1001&lt;&gt;""),SUBSTITUTE(SUBSTITUTE(SUBSTITUTE(SUBSTITUTE(SUBSTITUTE(SUBSTITUTE(SUBSTITUTE(SUBSTITUTE(SUBSTITUTE(SUBSTITUTE(SUBSTITUTE(SUBSTITUTE(LOWER(TRIM(H1001)),"á","a"),"é","e"),"í","i"),"ó","o"),"ú","u"),"ü","u"),"ñ","n"),"à","a"),"è","e"),"ì","i"),"ò","o"),"ù","u"),"")</f>
        <v/>
      </c>
      <c r="V1001" s="25">
        <f>IF(AND(Q1001=1,L1001&lt;&gt;""),SUBSTITUTE(SUBSTITUTE(SUBSTITUTE(SUBSTITUTE(SUBSTITUTE(SUBSTITUTE(SUBSTITUTE(SUBSTITUTE(SUBSTITUTE(SUBSTITUTE(SUBSTITUTE(SUBSTITUTE(LOWER(TRIM(L1001)),"á","a"),"é","e"),"í","i"),"ó","o"),"ú","u"),"ü","u"),"ñ","n"),"à","a"),"è","e"),"ì","i"),"ò","o"),"ù","u"),"")</f>
        <v/>
      </c>
      <c r="W1001" s="25">
        <f>IF(AND(Q1001=1,I1001&lt;&gt;""),SUBSTITUTE(SUBSTITUTE(SUBSTITUTE(SUBSTITUTE(SUBSTITUTE(SUBSTITUTE(SUBSTITUTE(SUBSTITUTE(SUBSTITUTE(SUBSTITUTE(SUBSTITUTE(SUBSTITUTE(LOWER(TRIM(I1001)),"á","a"),"é","e"),"í","i"),"ó","o"),"ú","u"),"ü","u"),"ñ","n"),"à","a"),"è","e"),"ì","i"),"ò","o"),"ù","u"),"")</f>
        <v/>
      </c>
      <c r="X1001" s="25">
        <f>IF(U1001="","",IF(OR(U1001="si, en la proxima tarea",U1001="si, con cambios"),1,0))</f>
        <v/>
      </c>
      <c r="Y1001" s="25">
        <f>IF(AND(Q1001=1,A1001&lt;&gt;""),IF(IFERROR(COUNTIFS(A$3:A1001,"="&amp;SUBSTITUTE(SUBSTITUTE(SUBSTITUTE(A1001,"~","~~"),"*","~*"),"?","~?"),Q$3:Q1001,1),0)=1,MAX(Y$2:Y1000)+1,""),"")</f>
        <v/>
      </c>
      <c r="Z1001" s="25">
        <f>IF(Y1001="","",COUNTIFS($A$3:$A$1002,"="&amp;SUBSTITUTE(SUBSTITUTE(SUBSTITUTE(A1001,"~","~~"),"*","~*"),"?","~?"),$Q$3:$Q$1002,1)*10000-Y1001)</f>
        <v/>
      </c>
    </row>
    <row r="1002">
      <c r="A1002">
        <f>IF(A$2=0,"",IFERROR(TRIM(INDEX('Pegar docentes'!$A$1:$BZ$1001,1001,A$2)&amp;""),""))</f>
        <v/>
      </c>
      <c r="B1002">
        <f>IF(B$2=0,"",IFERROR(TRIM(INDEX('Pegar docentes'!$A$1:$BZ$1001,1001,B$2)&amp;""),""))</f>
        <v/>
      </c>
      <c r="C1002">
        <f>IF(C$2=0,"",IFERROR(TRIM(INDEX('Pegar docentes'!$A$1:$BZ$1001,1001,C$2)&amp;""),""))</f>
        <v/>
      </c>
      <c r="D1002">
        <f>IF(D$2=0,"",IFERROR(TRIM(INDEX('Pegar docentes'!$A$1:$BZ$1001,1001,D$2)&amp;""),""))</f>
        <v/>
      </c>
      <c r="E1002">
        <f>IF(E$2=0,"",IFERROR(TRIM(INDEX('Pegar docentes'!$A$1:$BZ$1001,1001,E$2)&amp;""),""))</f>
        <v/>
      </c>
      <c r="F1002">
        <f>IF(F$2=0,"",IFERROR(TRIM(INDEX('Pegar docentes'!$A$1:$BZ$1001,1001,F$2)&amp;""),""))</f>
        <v/>
      </c>
      <c r="G1002">
        <f>IF(G$2=0,"",IFERROR(TRIM(INDEX('Pegar docentes'!$A$1:$BZ$1001,1001,G$2)&amp;""),""))</f>
        <v/>
      </c>
      <c r="H1002">
        <f>IF(H$2=0,"",IFERROR(TRIM(INDEX('Pegar docentes'!$A$1:$BZ$1001,1001,H$2)&amp;""),""))</f>
        <v/>
      </c>
      <c r="I1002">
        <f>IF(I$2=0,"",IFERROR(TRIM(INDEX('Pegar docentes'!$A$1:$BZ$1001,1001,I$2)&amp;""),""))</f>
        <v/>
      </c>
      <c r="J1002">
        <f>IF(J$2=0,"",IFERROR(TRIM(INDEX('Pegar docentes'!$A$1:$BZ$1001,1001,J$2)&amp;""),""))</f>
        <v/>
      </c>
      <c r="K1002">
        <f>IF(K$2=0,"",IFERROR(TRIM(INDEX('Pegar docentes'!$A$1:$BZ$1001,1001,K$2)&amp;""),""))</f>
        <v/>
      </c>
      <c r="L1002">
        <f>IF(L$2=0,"",IFERROR(TRIM(INDEX('Pegar docentes'!$A$1:$BZ$1001,1001,L$2)&amp;""),""))</f>
        <v/>
      </c>
      <c r="M1002">
        <f>IF(M$2=0,"",IFERROR(TRIM(INDEX('Pegar docentes'!$A$1:$BZ$1001,1001,M$2)&amp;""),""))</f>
        <v/>
      </c>
      <c r="N1002">
        <f>IF(N$2=0,"",IFERROR(TRIM(INDEX('Pegar docentes'!$A$1:$BZ$1001,1001,N$2)&amp;""),""))</f>
        <v/>
      </c>
      <c r="O1002">
        <f>IF(O$2=0,"",IFERROR(TRIM(INDEX('Pegar docentes'!$A$1:$BZ$1001,1001,O$2)&amp;""),""))</f>
        <v/>
      </c>
      <c r="P1002">
        <f>IF(P$2=0,"",IFERROR(TRIM(INDEX('Pegar docentes'!$A$1:$BZ$1001,1001,P$2)&amp;""),""))</f>
        <v/>
      </c>
      <c r="Q1002" s="25">
        <f>IF(OR(D1002&lt;&gt;"",H1002&lt;&gt;""),1,"")</f>
        <v/>
      </c>
      <c r="R1002" s="25">
        <f>IF(Q1002=1,IF(ISNUMBER(FIND("#"&amp;MID(D1002,1,1)&amp;"#","#0#1#2#3#4#5#6#7#8#9#")),IF(ISNUMBER(FIND("#"&amp;MID(D1002,2,1)&amp;"#","#0#1#2#3#4#5#6#7#8#9#")),IF(AND(VALUE(LEFT(D1002,2))&gt;=1,VALUE(LEFT(D1002,2))&lt;=5),VALUE(LEFT(D1002,2)),""),IF(AND(VALUE(LEFT(D1002,1))&gt;=1,VALUE(LEFT(D1002,1))&lt;=5),VALUE(LEFT(D1002,1)),"")),""),"")</f>
        <v/>
      </c>
      <c r="S1002" s="25">
        <f>IF(AND(Q1002=1,E1002&lt;&gt;""),SUBSTITUTE(SUBSTITUTE(SUBSTITUTE(SUBSTITUTE(SUBSTITUTE(SUBSTITUTE(SUBSTITUTE(SUBSTITUTE(SUBSTITUTE(SUBSTITUTE(SUBSTITUTE(SUBSTITUTE(LOWER(TRIM(E1002)),"á","a"),"é","e"),"í","i"),"ó","o"),"ú","u"),"ü","u"),"ñ","n"),"à","a"),"è","e"),"ì","i"),"ò","o"),"ù","u"),"")</f>
        <v/>
      </c>
      <c r="T1002" s="25">
        <f>IF(AND(Q1002=1,G1002&lt;&gt;""),SUBSTITUTE(SUBSTITUTE(SUBSTITUTE(SUBSTITUTE(SUBSTITUTE(SUBSTITUTE(SUBSTITUTE(SUBSTITUTE(SUBSTITUTE(SUBSTITUTE(SUBSTITUTE(SUBSTITUTE(LOWER(TRIM(G1002)),"á","a"),"é","e"),"í","i"),"ó","o"),"ú","u"),"ü","u"),"ñ","n"),"à","a"),"è","e"),"ì","i"),"ò","o"),"ù","u"),"")</f>
        <v/>
      </c>
      <c r="U1002" s="25">
        <f>IF(AND(Q1002=1,H1002&lt;&gt;""),SUBSTITUTE(SUBSTITUTE(SUBSTITUTE(SUBSTITUTE(SUBSTITUTE(SUBSTITUTE(SUBSTITUTE(SUBSTITUTE(SUBSTITUTE(SUBSTITUTE(SUBSTITUTE(SUBSTITUTE(LOWER(TRIM(H1002)),"á","a"),"é","e"),"í","i"),"ó","o"),"ú","u"),"ü","u"),"ñ","n"),"à","a"),"è","e"),"ì","i"),"ò","o"),"ù","u"),"")</f>
        <v/>
      </c>
      <c r="V1002" s="25">
        <f>IF(AND(Q1002=1,L1002&lt;&gt;""),SUBSTITUTE(SUBSTITUTE(SUBSTITUTE(SUBSTITUTE(SUBSTITUTE(SUBSTITUTE(SUBSTITUTE(SUBSTITUTE(SUBSTITUTE(SUBSTITUTE(SUBSTITUTE(SUBSTITUTE(LOWER(TRIM(L1002)),"á","a"),"é","e"),"í","i"),"ó","o"),"ú","u"),"ü","u"),"ñ","n"),"à","a"),"è","e"),"ì","i"),"ò","o"),"ù","u"),"")</f>
        <v/>
      </c>
      <c r="W1002" s="25">
        <f>IF(AND(Q1002=1,I1002&lt;&gt;""),SUBSTITUTE(SUBSTITUTE(SUBSTITUTE(SUBSTITUTE(SUBSTITUTE(SUBSTITUTE(SUBSTITUTE(SUBSTITUTE(SUBSTITUTE(SUBSTITUTE(SUBSTITUTE(SUBSTITUTE(LOWER(TRIM(I1002)),"á","a"),"é","e"),"í","i"),"ó","o"),"ú","u"),"ü","u"),"ñ","n"),"à","a"),"è","e"),"ì","i"),"ò","o"),"ù","u"),"")</f>
        <v/>
      </c>
      <c r="X1002" s="25">
        <f>IF(U1002="","",IF(OR(U1002="si, en la proxima tarea",U1002="si, con cambios"),1,0))</f>
        <v/>
      </c>
      <c r="Y1002" s="25">
        <f>IF(AND(Q1002=1,A1002&lt;&gt;""),IF(IFERROR(COUNTIFS(A$3:A1002,"="&amp;SUBSTITUTE(SUBSTITUTE(SUBSTITUTE(A1002,"~","~~"),"*","~*"),"?","~?"),Q$3:Q1002,1),0)=1,MAX(Y$2:Y1001)+1,""),"")</f>
        <v/>
      </c>
      <c r="Z1002" s="25">
        <f>IF(Y1002="","",COUNTIFS($A$3:$A$1002,"="&amp;SUBSTITUTE(SUBSTITUTE(SUBSTITUTE(A1002,"~","~~"),"*","~*"),"?","~?"),$Q$3:$Q$1002,1)*10000-Y1002)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W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45" customHeight="1">
      <c r="A1" s="7" t="inlineStr">
        <is>
          <t>satisfaccion</t>
        </is>
      </c>
      <c r="B1" s="7" t="inlineStr">
        <is>
          <t>facilidad</t>
        </is>
      </c>
      <c r="C1" s="7" t="inlineStr">
        <is>
          <t>funcionamiento</t>
        </is>
      </c>
      <c r="D1" s="7" t="inlineStr">
        <is>
          <t>funcion_mas_util</t>
        </is>
      </c>
      <c r="E1" s="7" t="inlineStr">
        <is>
          <t>entendio_semaforo</t>
        </is>
      </c>
      <c r="F1" s="7" t="inlineStr">
        <is>
          <t>problemas</t>
        </is>
      </c>
      <c r="G1" s="7" t="inlineStr">
        <is>
          <t>mejora_prioritaria</t>
        </is>
      </c>
      <c r="H1" s="7" t="inlineStr">
        <is>
          <t>recomendacion</t>
        </is>
      </c>
      <c r="I1" s="7" t="inlineStr">
        <is>
          <t>usaria_en_tarea</t>
        </is>
      </c>
      <c r="J1" s="7" t="inlineStr">
        <is>
          <t>grado</t>
        </is>
      </c>
      <c r="K1" s="7" t="inlineStr">
        <is>
          <t>consentimiento</t>
        </is>
      </c>
      <c r="L1" s="23" t="inlineStr">
        <is>
          <t>Fila válida (1 = respondió satisfacción)</t>
        </is>
      </c>
      <c r="M1" s="23" t="inlineStr">
        <is>
          <t>Satisfacción (1 a 5)</t>
        </is>
      </c>
      <c r="N1" s="23" t="inlineStr">
        <is>
          <t>Recomendación (1 a 5)</t>
        </is>
      </c>
      <c r="O1" s="23" t="inlineStr">
        <is>
          <t>facilidad (normalizado)</t>
        </is>
      </c>
      <c r="P1" s="23" t="inlineStr">
        <is>
          <t>funcionamiento (normalizado)</t>
        </is>
      </c>
      <c r="Q1" s="23" t="inlineStr">
        <is>
          <t>entendio_semaforo (normalizado)</t>
        </is>
      </c>
      <c r="R1" s="23" t="inlineStr">
        <is>
          <t>usaria_en_tarea (normalizado)</t>
        </is>
      </c>
      <c r="S1" s="23" t="inlineStr">
        <is>
          <t>Usaría en su tarea (1 = «Si» o «Tal vez»)</t>
        </is>
      </c>
      <c r="T1" s="23" t="inlineStr">
        <is>
          <t>Función: n.º de aparición</t>
        </is>
      </c>
      <c r="U1" s="23" t="inlineStr">
        <is>
          <t>Función: orden</t>
        </is>
      </c>
      <c r="V1" s="23" t="inlineStr">
        <is>
          <t>Grado: n.º de aparición</t>
        </is>
      </c>
      <c r="W1" s="23" t="inlineStr">
        <is>
          <t>Grado: orden</t>
        </is>
      </c>
    </row>
    <row r="2">
      <c r="A2" s="24">
        <f>IFERROR(MATCH("satisfaccion",'Pegar estudiantes'!$A$1:$BZ$1,0),IFERROR(MATCH("satisfaccion[]",'Pegar estudiantes'!$A$1:$BZ$1,0),0))</f>
        <v/>
      </c>
      <c r="B2" s="24">
        <f>IFERROR(MATCH("facilidad",'Pegar estudiantes'!$A$1:$BZ$1,0),IFERROR(MATCH("facilidad[]",'Pegar estudiantes'!$A$1:$BZ$1,0),0))</f>
        <v/>
      </c>
      <c r="C2" s="24">
        <f>IFERROR(MATCH("funcionamiento",'Pegar estudiantes'!$A$1:$BZ$1,0),IFERROR(MATCH("funcionamiento[]",'Pegar estudiantes'!$A$1:$BZ$1,0),0))</f>
        <v/>
      </c>
      <c r="D2" s="24">
        <f>IFERROR(MATCH("funcion_mas_util",'Pegar estudiantes'!$A$1:$BZ$1,0),IFERROR(MATCH("funcion_mas_util[]",'Pegar estudiantes'!$A$1:$BZ$1,0),IFERROR(MATCH("funcion mas util",'Pegar estudiantes'!$A$1:$BZ$1,0),0)))</f>
        <v/>
      </c>
      <c r="E2" s="24">
        <f>IFERROR(MATCH("entendio_semaforo",'Pegar estudiantes'!$A$1:$BZ$1,0),IFERROR(MATCH("entendio_semaforo[]",'Pegar estudiantes'!$A$1:$BZ$1,0),IFERROR(MATCH("entendio semaforo",'Pegar estudiantes'!$A$1:$BZ$1,0),0)))</f>
        <v/>
      </c>
      <c r="F2" s="24">
        <f>IFERROR(MATCH("problemas",'Pegar estudiantes'!$A$1:$BZ$1,0),IFERROR(MATCH("problemas[]",'Pegar estudiantes'!$A$1:$BZ$1,0),0))</f>
        <v/>
      </c>
      <c r="G2" s="24">
        <f>IFERROR(MATCH("mejora_prioritaria",'Pegar estudiantes'!$A$1:$BZ$1,0),IFERROR(MATCH("mejora_prioritaria[]",'Pegar estudiantes'!$A$1:$BZ$1,0),IFERROR(MATCH("mejora prioritaria",'Pegar estudiantes'!$A$1:$BZ$1,0),0)))</f>
        <v/>
      </c>
      <c r="H2" s="24">
        <f>IFERROR(MATCH("recomendacion",'Pegar estudiantes'!$A$1:$BZ$1,0),IFERROR(MATCH("recomendacion[]",'Pegar estudiantes'!$A$1:$BZ$1,0),0))</f>
        <v/>
      </c>
      <c r="I2" s="24">
        <f>IFERROR(MATCH("usaria_en_tarea",'Pegar estudiantes'!$A$1:$BZ$1,0),IFERROR(MATCH("usaria_en_tarea[]",'Pegar estudiantes'!$A$1:$BZ$1,0),IFERROR(MATCH("usaria en tarea",'Pegar estudiantes'!$A$1:$BZ$1,0),0)))</f>
        <v/>
      </c>
      <c r="J2" s="24">
        <f>IFERROR(MATCH("grado",'Pegar estudiantes'!$A$1:$BZ$1,0),IFERROR(MATCH("grado[]",'Pegar estudiantes'!$A$1:$BZ$1,0),0))</f>
        <v/>
      </c>
      <c r="K2" s="24">
        <f>IFERROR(MATCH("consentimiento",'Pegar estudiantes'!$A$1:$BZ$1,0),IFERROR(MATCH("consentimiento[]",'Pegar estudiantes'!$A$1:$BZ$1,0),0))</f>
        <v/>
      </c>
      <c r="L2" s="6" t="inlineStr">
        <is>
          <t>calculada</t>
        </is>
      </c>
      <c r="M2" s="6" t="inlineStr">
        <is>
          <t>calculada</t>
        </is>
      </c>
      <c r="N2" s="6" t="inlineStr">
        <is>
          <t>calculada</t>
        </is>
      </c>
      <c r="O2" s="6" t="inlineStr">
        <is>
          <t>calculada</t>
        </is>
      </c>
      <c r="P2" s="6" t="inlineStr">
        <is>
          <t>calculada</t>
        </is>
      </c>
      <c r="Q2" s="6" t="inlineStr">
        <is>
          <t>calculada</t>
        </is>
      </c>
      <c r="R2" s="6" t="inlineStr">
        <is>
          <t>calculada</t>
        </is>
      </c>
      <c r="S2" s="6" t="inlineStr">
        <is>
          <t>calculada</t>
        </is>
      </c>
      <c r="T2" s="6" t="inlineStr">
        <is>
          <t>calculada</t>
        </is>
      </c>
      <c r="U2" s="6" t="inlineStr">
        <is>
          <t>calculada</t>
        </is>
      </c>
      <c r="V2" s="6" t="inlineStr">
        <is>
          <t>calculada</t>
        </is>
      </c>
      <c r="W2" s="6" t="inlineStr">
        <is>
          <t>calculada</t>
        </is>
      </c>
    </row>
    <row r="3">
      <c r="A3">
        <f>IF(A$2=0,"",IFERROR(TRIM(INDEX('Pegar estudiantes'!$A$1:$BZ$1001,2,A$2)&amp;""),""))</f>
        <v/>
      </c>
      <c r="B3">
        <f>IF(B$2=0,"",IFERROR(TRIM(INDEX('Pegar estudiantes'!$A$1:$BZ$1001,2,B$2)&amp;""),""))</f>
        <v/>
      </c>
      <c r="C3">
        <f>IF(C$2=0,"",IFERROR(TRIM(INDEX('Pegar estudiantes'!$A$1:$BZ$1001,2,C$2)&amp;""),""))</f>
        <v/>
      </c>
      <c r="D3">
        <f>IF(D$2=0,"",IFERROR(TRIM(INDEX('Pegar estudiantes'!$A$1:$BZ$1001,2,D$2)&amp;""),""))</f>
        <v/>
      </c>
      <c r="E3">
        <f>IF(E$2=0,"",IFERROR(TRIM(INDEX('Pegar estudiantes'!$A$1:$BZ$1001,2,E$2)&amp;""),""))</f>
        <v/>
      </c>
      <c r="F3">
        <f>IF(F$2=0,"",IFERROR(TRIM(INDEX('Pegar estudiantes'!$A$1:$BZ$1001,2,F$2)&amp;""),""))</f>
        <v/>
      </c>
      <c r="G3">
        <f>IF(G$2=0,"",IFERROR(TRIM(INDEX('Pegar estudiantes'!$A$1:$BZ$1001,2,G$2)&amp;""),""))</f>
        <v/>
      </c>
      <c r="H3">
        <f>IF(H$2=0,"",IFERROR(TRIM(INDEX('Pegar estudiantes'!$A$1:$BZ$1001,2,H$2)&amp;""),""))</f>
        <v/>
      </c>
      <c r="I3">
        <f>IF(I$2=0,"",IFERROR(TRIM(INDEX('Pegar estudiantes'!$A$1:$BZ$1001,2,I$2)&amp;""),""))</f>
        <v/>
      </c>
      <c r="J3">
        <f>IF(J$2=0,"",IFERROR(TRIM(INDEX('Pegar estudiantes'!$A$1:$BZ$1001,2,J$2)&amp;""),""))</f>
        <v/>
      </c>
      <c r="K3">
        <f>IF(K$2=0,"",IFERROR(TRIM(INDEX('Pegar estudiantes'!$A$1:$BZ$1001,2,K$2)&amp;""),""))</f>
        <v/>
      </c>
      <c r="L3" s="25">
        <f>IF(A3&lt;&gt;"",1,"")</f>
        <v/>
      </c>
      <c r="M3" s="25">
        <f>IF(L3=1,IF(ISNUMBER(FIND("#"&amp;MID(A3,1,1)&amp;"#","#0#1#2#3#4#5#6#7#8#9#")),IF(ISNUMBER(FIND("#"&amp;MID(A3,2,1)&amp;"#","#0#1#2#3#4#5#6#7#8#9#")),IF(AND(VALUE(LEFT(A3,2))&gt;=1,VALUE(LEFT(A3,2))&lt;=5),VALUE(LEFT(A3,2)),""),IF(AND(VALUE(LEFT(A3,1))&gt;=1,VALUE(LEFT(A3,1))&lt;=5),VALUE(LEFT(A3,1)),"")),""),"")</f>
        <v/>
      </c>
      <c r="N3" s="25">
        <f>IF(L3=1,IF(ISNUMBER(FIND("#"&amp;MID(H3,1,1)&amp;"#","#0#1#2#3#4#5#6#7#8#9#")),IF(ISNUMBER(FIND("#"&amp;MID(H3,2,1)&amp;"#","#0#1#2#3#4#5#6#7#8#9#")),IF(AND(VALUE(LEFT(H3,2))&gt;=1,VALUE(LEFT(H3,2))&lt;=5),VALUE(LEFT(H3,2)),""),IF(AND(VALUE(LEFT(H3,1))&gt;=1,VALUE(LEFT(H3,1))&lt;=5),VALUE(LEFT(H3,1)),"")),""),"")</f>
        <v/>
      </c>
      <c r="O3" s="25">
        <f>IF(AND(L3=1,B3&lt;&gt;""),SUBSTITUTE(SUBSTITUTE(SUBSTITUTE(SUBSTITUTE(SUBSTITUTE(SUBSTITUTE(SUBSTITUTE(SUBSTITUTE(SUBSTITUTE(SUBSTITUTE(SUBSTITUTE(SUBSTITUTE(LOWER(TRIM(B3)),"á","a"),"é","e"),"í","i"),"ó","o"),"ú","u"),"ü","u"),"ñ","n"),"à","a"),"è","e"),"ì","i"),"ò","o"),"ù","u"),"")</f>
        <v/>
      </c>
      <c r="P3" s="25">
        <f>IF(AND(L3=1,C3&lt;&gt;""),SUBSTITUTE(SUBSTITUTE(SUBSTITUTE(SUBSTITUTE(SUBSTITUTE(SUBSTITUTE(SUBSTITUTE(SUBSTITUTE(SUBSTITUTE(SUBSTITUTE(SUBSTITUTE(SUBSTITUTE(LOWER(TRIM(C3)),"á","a"),"é","e"),"í","i"),"ó","o"),"ú","u"),"ü","u"),"ñ","n"),"à","a"),"è","e"),"ì","i"),"ò","o"),"ù","u"),"")</f>
        <v/>
      </c>
      <c r="Q3" s="25">
        <f>IF(AND(L3=1,E3&lt;&gt;""),SUBSTITUTE(SUBSTITUTE(SUBSTITUTE(SUBSTITUTE(SUBSTITUTE(SUBSTITUTE(SUBSTITUTE(SUBSTITUTE(SUBSTITUTE(SUBSTITUTE(SUBSTITUTE(SUBSTITUTE(LOWER(TRIM(E3)),"á","a"),"é","e"),"í","i"),"ó","o"),"ú","u"),"ü","u"),"ñ","n"),"à","a"),"è","e"),"ì","i"),"ò","o"),"ù","u"),"")</f>
        <v/>
      </c>
      <c r="R3" s="25">
        <f>IF(AND(L3=1,I3&lt;&gt;""),SUBSTITUTE(SUBSTITUTE(SUBSTITUTE(SUBSTITUTE(SUBSTITUTE(SUBSTITUTE(SUBSTITUTE(SUBSTITUTE(SUBSTITUTE(SUBSTITUTE(SUBSTITUTE(SUBSTITUTE(LOWER(TRIM(I3)),"á","a"),"é","e"),"í","i"),"ó","o"),"ú","u"),"ü","u"),"ñ","n"),"à","a"),"è","e"),"ì","i"),"ò","o"),"ù","u"),"")</f>
        <v/>
      </c>
      <c r="S3" s="25">
        <f>IF(R3="","",IF(OR(R3="si",R3="tal vez"),1,0))</f>
        <v/>
      </c>
      <c r="T3" s="25">
        <f>IF(AND(L3=1,D3&lt;&gt;""),IF(IFERROR(COUNTIFS(D$3:D3,"="&amp;SUBSTITUTE(SUBSTITUTE(SUBSTITUTE(D3,"~","~~"),"*","~*"),"?","~?"),L$3:L3,1),0)=1,MAX(T$2:T2)+1,""),"")</f>
        <v/>
      </c>
      <c r="U3" s="25">
        <f>IF(T3="","",COUNTIFS($D$3:$D$1002,"="&amp;SUBSTITUTE(SUBSTITUTE(SUBSTITUTE(D3,"~","~~"),"*","~*"),"?","~?"),$L$3:$L$1002,1)*10000-T3)</f>
        <v/>
      </c>
      <c r="V3" s="25">
        <f>IF(AND(L3=1,J3&lt;&gt;""),IF(IFERROR(COUNTIFS(J$3:J3,"="&amp;SUBSTITUTE(SUBSTITUTE(SUBSTITUTE(J3,"~","~~"),"*","~*"),"?","~?"),L$3:L3,1),0)=1,MAX(V$2:V2)+1,""),"")</f>
        <v/>
      </c>
      <c r="W3" s="25">
        <f>IF(V3="","",COUNTIFS($J$3:$J$1002,"="&amp;SUBSTITUTE(SUBSTITUTE(SUBSTITUTE(J3,"~","~~"),"*","~*"),"?","~?"),$L$3:$L$1002,1)*10000-V3)</f>
        <v/>
      </c>
    </row>
    <row r="4">
      <c r="A4">
        <f>IF(A$2=0,"",IFERROR(TRIM(INDEX('Pegar estudiantes'!$A$1:$BZ$1001,3,A$2)&amp;""),""))</f>
        <v/>
      </c>
      <c r="B4">
        <f>IF(B$2=0,"",IFERROR(TRIM(INDEX('Pegar estudiantes'!$A$1:$BZ$1001,3,B$2)&amp;""),""))</f>
        <v/>
      </c>
      <c r="C4">
        <f>IF(C$2=0,"",IFERROR(TRIM(INDEX('Pegar estudiantes'!$A$1:$BZ$1001,3,C$2)&amp;""),""))</f>
        <v/>
      </c>
      <c r="D4">
        <f>IF(D$2=0,"",IFERROR(TRIM(INDEX('Pegar estudiantes'!$A$1:$BZ$1001,3,D$2)&amp;""),""))</f>
        <v/>
      </c>
      <c r="E4">
        <f>IF(E$2=0,"",IFERROR(TRIM(INDEX('Pegar estudiantes'!$A$1:$BZ$1001,3,E$2)&amp;""),""))</f>
        <v/>
      </c>
      <c r="F4">
        <f>IF(F$2=0,"",IFERROR(TRIM(INDEX('Pegar estudiantes'!$A$1:$BZ$1001,3,F$2)&amp;""),""))</f>
        <v/>
      </c>
      <c r="G4">
        <f>IF(G$2=0,"",IFERROR(TRIM(INDEX('Pegar estudiantes'!$A$1:$BZ$1001,3,G$2)&amp;""),""))</f>
        <v/>
      </c>
      <c r="H4">
        <f>IF(H$2=0,"",IFERROR(TRIM(INDEX('Pegar estudiantes'!$A$1:$BZ$1001,3,H$2)&amp;""),""))</f>
        <v/>
      </c>
      <c r="I4">
        <f>IF(I$2=0,"",IFERROR(TRIM(INDEX('Pegar estudiantes'!$A$1:$BZ$1001,3,I$2)&amp;""),""))</f>
        <v/>
      </c>
      <c r="J4">
        <f>IF(J$2=0,"",IFERROR(TRIM(INDEX('Pegar estudiantes'!$A$1:$BZ$1001,3,J$2)&amp;""),""))</f>
        <v/>
      </c>
      <c r="K4">
        <f>IF(K$2=0,"",IFERROR(TRIM(INDEX('Pegar estudiantes'!$A$1:$BZ$1001,3,K$2)&amp;""),""))</f>
        <v/>
      </c>
      <c r="L4" s="25">
        <f>IF(A4&lt;&gt;"",1,"")</f>
        <v/>
      </c>
      <c r="M4" s="25">
        <f>IF(L4=1,IF(ISNUMBER(FIND("#"&amp;MID(A4,1,1)&amp;"#","#0#1#2#3#4#5#6#7#8#9#")),IF(ISNUMBER(FIND("#"&amp;MID(A4,2,1)&amp;"#","#0#1#2#3#4#5#6#7#8#9#")),IF(AND(VALUE(LEFT(A4,2))&gt;=1,VALUE(LEFT(A4,2))&lt;=5),VALUE(LEFT(A4,2)),""),IF(AND(VALUE(LEFT(A4,1))&gt;=1,VALUE(LEFT(A4,1))&lt;=5),VALUE(LEFT(A4,1)),"")),""),"")</f>
        <v/>
      </c>
      <c r="N4" s="25">
        <f>IF(L4=1,IF(ISNUMBER(FIND("#"&amp;MID(H4,1,1)&amp;"#","#0#1#2#3#4#5#6#7#8#9#")),IF(ISNUMBER(FIND("#"&amp;MID(H4,2,1)&amp;"#","#0#1#2#3#4#5#6#7#8#9#")),IF(AND(VALUE(LEFT(H4,2))&gt;=1,VALUE(LEFT(H4,2))&lt;=5),VALUE(LEFT(H4,2)),""),IF(AND(VALUE(LEFT(H4,1))&gt;=1,VALUE(LEFT(H4,1))&lt;=5),VALUE(LEFT(H4,1)),"")),""),"")</f>
        <v/>
      </c>
      <c r="O4" s="25">
        <f>IF(AND(L4=1,B4&lt;&gt;""),SUBSTITUTE(SUBSTITUTE(SUBSTITUTE(SUBSTITUTE(SUBSTITUTE(SUBSTITUTE(SUBSTITUTE(SUBSTITUTE(SUBSTITUTE(SUBSTITUTE(SUBSTITUTE(SUBSTITUTE(LOWER(TRIM(B4)),"á","a"),"é","e"),"í","i"),"ó","o"),"ú","u"),"ü","u"),"ñ","n"),"à","a"),"è","e"),"ì","i"),"ò","o"),"ù","u"),"")</f>
        <v/>
      </c>
      <c r="P4" s="25">
        <f>IF(AND(L4=1,C4&lt;&gt;""),SUBSTITUTE(SUBSTITUTE(SUBSTITUTE(SUBSTITUTE(SUBSTITUTE(SUBSTITUTE(SUBSTITUTE(SUBSTITUTE(SUBSTITUTE(SUBSTITUTE(SUBSTITUTE(SUBSTITUTE(LOWER(TRIM(C4)),"á","a"),"é","e"),"í","i"),"ó","o"),"ú","u"),"ü","u"),"ñ","n"),"à","a"),"è","e"),"ì","i"),"ò","o"),"ù","u"),"")</f>
        <v/>
      </c>
      <c r="Q4" s="25">
        <f>IF(AND(L4=1,E4&lt;&gt;""),SUBSTITUTE(SUBSTITUTE(SUBSTITUTE(SUBSTITUTE(SUBSTITUTE(SUBSTITUTE(SUBSTITUTE(SUBSTITUTE(SUBSTITUTE(SUBSTITUTE(SUBSTITUTE(SUBSTITUTE(LOWER(TRIM(E4)),"á","a"),"é","e"),"í","i"),"ó","o"),"ú","u"),"ü","u"),"ñ","n"),"à","a"),"è","e"),"ì","i"),"ò","o"),"ù","u"),"")</f>
        <v/>
      </c>
      <c r="R4" s="25">
        <f>IF(AND(L4=1,I4&lt;&gt;""),SUBSTITUTE(SUBSTITUTE(SUBSTITUTE(SUBSTITUTE(SUBSTITUTE(SUBSTITUTE(SUBSTITUTE(SUBSTITUTE(SUBSTITUTE(SUBSTITUTE(SUBSTITUTE(SUBSTITUTE(LOWER(TRIM(I4)),"á","a"),"é","e"),"í","i"),"ó","o"),"ú","u"),"ü","u"),"ñ","n"),"à","a"),"è","e"),"ì","i"),"ò","o"),"ù","u"),"")</f>
        <v/>
      </c>
      <c r="S4" s="25">
        <f>IF(R4="","",IF(OR(R4="si",R4="tal vez"),1,0))</f>
        <v/>
      </c>
      <c r="T4" s="25">
        <f>IF(AND(L4=1,D4&lt;&gt;""),IF(IFERROR(COUNTIFS(D$3:D4,"="&amp;SUBSTITUTE(SUBSTITUTE(SUBSTITUTE(D4,"~","~~"),"*","~*"),"?","~?"),L$3:L4,1),0)=1,MAX(T$2:T3)+1,""),"")</f>
        <v/>
      </c>
      <c r="U4" s="25">
        <f>IF(T4="","",COUNTIFS($D$3:$D$1002,"="&amp;SUBSTITUTE(SUBSTITUTE(SUBSTITUTE(D4,"~","~~"),"*","~*"),"?","~?"),$L$3:$L$1002,1)*10000-T4)</f>
        <v/>
      </c>
      <c r="V4" s="25">
        <f>IF(AND(L4=1,J4&lt;&gt;""),IF(IFERROR(COUNTIFS(J$3:J4,"="&amp;SUBSTITUTE(SUBSTITUTE(SUBSTITUTE(J4,"~","~~"),"*","~*"),"?","~?"),L$3:L4,1),0)=1,MAX(V$2:V3)+1,""),"")</f>
        <v/>
      </c>
      <c r="W4" s="25">
        <f>IF(V4="","",COUNTIFS($J$3:$J$1002,"="&amp;SUBSTITUTE(SUBSTITUTE(SUBSTITUTE(J4,"~","~~"),"*","~*"),"?","~?"),$L$3:$L$1002,1)*10000-V4)</f>
        <v/>
      </c>
    </row>
    <row r="5">
      <c r="A5">
        <f>IF(A$2=0,"",IFERROR(TRIM(INDEX('Pegar estudiantes'!$A$1:$BZ$1001,4,A$2)&amp;""),""))</f>
        <v/>
      </c>
      <c r="B5">
        <f>IF(B$2=0,"",IFERROR(TRIM(INDEX('Pegar estudiantes'!$A$1:$BZ$1001,4,B$2)&amp;""),""))</f>
        <v/>
      </c>
      <c r="C5">
        <f>IF(C$2=0,"",IFERROR(TRIM(INDEX('Pegar estudiantes'!$A$1:$BZ$1001,4,C$2)&amp;""),""))</f>
        <v/>
      </c>
      <c r="D5">
        <f>IF(D$2=0,"",IFERROR(TRIM(INDEX('Pegar estudiantes'!$A$1:$BZ$1001,4,D$2)&amp;""),""))</f>
        <v/>
      </c>
      <c r="E5">
        <f>IF(E$2=0,"",IFERROR(TRIM(INDEX('Pegar estudiantes'!$A$1:$BZ$1001,4,E$2)&amp;""),""))</f>
        <v/>
      </c>
      <c r="F5">
        <f>IF(F$2=0,"",IFERROR(TRIM(INDEX('Pegar estudiantes'!$A$1:$BZ$1001,4,F$2)&amp;""),""))</f>
        <v/>
      </c>
      <c r="G5">
        <f>IF(G$2=0,"",IFERROR(TRIM(INDEX('Pegar estudiantes'!$A$1:$BZ$1001,4,G$2)&amp;""),""))</f>
        <v/>
      </c>
      <c r="H5">
        <f>IF(H$2=0,"",IFERROR(TRIM(INDEX('Pegar estudiantes'!$A$1:$BZ$1001,4,H$2)&amp;""),""))</f>
        <v/>
      </c>
      <c r="I5">
        <f>IF(I$2=0,"",IFERROR(TRIM(INDEX('Pegar estudiantes'!$A$1:$BZ$1001,4,I$2)&amp;""),""))</f>
        <v/>
      </c>
      <c r="J5">
        <f>IF(J$2=0,"",IFERROR(TRIM(INDEX('Pegar estudiantes'!$A$1:$BZ$1001,4,J$2)&amp;""),""))</f>
        <v/>
      </c>
      <c r="K5">
        <f>IF(K$2=0,"",IFERROR(TRIM(INDEX('Pegar estudiantes'!$A$1:$BZ$1001,4,K$2)&amp;""),""))</f>
        <v/>
      </c>
      <c r="L5" s="25">
        <f>IF(A5&lt;&gt;"",1,"")</f>
        <v/>
      </c>
      <c r="M5" s="25">
        <f>IF(L5=1,IF(ISNUMBER(FIND("#"&amp;MID(A5,1,1)&amp;"#","#0#1#2#3#4#5#6#7#8#9#")),IF(ISNUMBER(FIND("#"&amp;MID(A5,2,1)&amp;"#","#0#1#2#3#4#5#6#7#8#9#")),IF(AND(VALUE(LEFT(A5,2))&gt;=1,VALUE(LEFT(A5,2))&lt;=5),VALUE(LEFT(A5,2)),""),IF(AND(VALUE(LEFT(A5,1))&gt;=1,VALUE(LEFT(A5,1))&lt;=5),VALUE(LEFT(A5,1)),"")),""),"")</f>
        <v/>
      </c>
      <c r="N5" s="25">
        <f>IF(L5=1,IF(ISNUMBER(FIND("#"&amp;MID(H5,1,1)&amp;"#","#0#1#2#3#4#5#6#7#8#9#")),IF(ISNUMBER(FIND("#"&amp;MID(H5,2,1)&amp;"#","#0#1#2#3#4#5#6#7#8#9#")),IF(AND(VALUE(LEFT(H5,2))&gt;=1,VALUE(LEFT(H5,2))&lt;=5),VALUE(LEFT(H5,2)),""),IF(AND(VALUE(LEFT(H5,1))&gt;=1,VALUE(LEFT(H5,1))&lt;=5),VALUE(LEFT(H5,1)),"")),""),"")</f>
        <v/>
      </c>
      <c r="O5" s="25">
        <f>IF(AND(L5=1,B5&lt;&gt;""),SUBSTITUTE(SUBSTITUTE(SUBSTITUTE(SUBSTITUTE(SUBSTITUTE(SUBSTITUTE(SUBSTITUTE(SUBSTITUTE(SUBSTITUTE(SUBSTITUTE(SUBSTITUTE(SUBSTITUTE(LOWER(TRIM(B5)),"á","a"),"é","e"),"í","i"),"ó","o"),"ú","u"),"ü","u"),"ñ","n"),"à","a"),"è","e"),"ì","i"),"ò","o"),"ù","u"),"")</f>
        <v/>
      </c>
      <c r="P5" s="25">
        <f>IF(AND(L5=1,C5&lt;&gt;""),SUBSTITUTE(SUBSTITUTE(SUBSTITUTE(SUBSTITUTE(SUBSTITUTE(SUBSTITUTE(SUBSTITUTE(SUBSTITUTE(SUBSTITUTE(SUBSTITUTE(SUBSTITUTE(SUBSTITUTE(LOWER(TRIM(C5)),"á","a"),"é","e"),"í","i"),"ó","o"),"ú","u"),"ü","u"),"ñ","n"),"à","a"),"è","e"),"ì","i"),"ò","o"),"ù","u"),"")</f>
        <v/>
      </c>
      <c r="Q5" s="25">
        <f>IF(AND(L5=1,E5&lt;&gt;""),SUBSTITUTE(SUBSTITUTE(SUBSTITUTE(SUBSTITUTE(SUBSTITUTE(SUBSTITUTE(SUBSTITUTE(SUBSTITUTE(SUBSTITUTE(SUBSTITUTE(SUBSTITUTE(SUBSTITUTE(LOWER(TRIM(E5)),"á","a"),"é","e"),"í","i"),"ó","o"),"ú","u"),"ü","u"),"ñ","n"),"à","a"),"è","e"),"ì","i"),"ò","o"),"ù","u"),"")</f>
        <v/>
      </c>
      <c r="R5" s="25">
        <f>IF(AND(L5=1,I5&lt;&gt;""),SUBSTITUTE(SUBSTITUTE(SUBSTITUTE(SUBSTITUTE(SUBSTITUTE(SUBSTITUTE(SUBSTITUTE(SUBSTITUTE(SUBSTITUTE(SUBSTITUTE(SUBSTITUTE(SUBSTITUTE(LOWER(TRIM(I5)),"á","a"),"é","e"),"í","i"),"ó","o"),"ú","u"),"ü","u"),"ñ","n"),"à","a"),"è","e"),"ì","i"),"ò","o"),"ù","u"),"")</f>
        <v/>
      </c>
      <c r="S5" s="25">
        <f>IF(R5="","",IF(OR(R5="si",R5="tal vez"),1,0))</f>
        <v/>
      </c>
      <c r="T5" s="25">
        <f>IF(AND(L5=1,D5&lt;&gt;""),IF(IFERROR(COUNTIFS(D$3:D5,"="&amp;SUBSTITUTE(SUBSTITUTE(SUBSTITUTE(D5,"~","~~"),"*","~*"),"?","~?"),L$3:L5,1),0)=1,MAX(T$2:T4)+1,""),"")</f>
        <v/>
      </c>
      <c r="U5" s="25">
        <f>IF(T5="","",COUNTIFS($D$3:$D$1002,"="&amp;SUBSTITUTE(SUBSTITUTE(SUBSTITUTE(D5,"~","~~"),"*","~*"),"?","~?"),$L$3:$L$1002,1)*10000-T5)</f>
        <v/>
      </c>
      <c r="V5" s="25">
        <f>IF(AND(L5=1,J5&lt;&gt;""),IF(IFERROR(COUNTIFS(J$3:J5,"="&amp;SUBSTITUTE(SUBSTITUTE(SUBSTITUTE(J5,"~","~~"),"*","~*"),"?","~?"),L$3:L5,1),0)=1,MAX(V$2:V4)+1,""),"")</f>
        <v/>
      </c>
      <c r="W5" s="25">
        <f>IF(V5="","",COUNTIFS($J$3:$J$1002,"="&amp;SUBSTITUTE(SUBSTITUTE(SUBSTITUTE(J5,"~","~~"),"*","~*"),"?","~?"),$L$3:$L$1002,1)*10000-V5)</f>
        <v/>
      </c>
    </row>
    <row r="6">
      <c r="A6">
        <f>IF(A$2=0,"",IFERROR(TRIM(INDEX('Pegar estudiantes'!$A$1:$BZ$1001,5,A$2)&amp;""),""))</f>
        <v/>
      </c>
      <c r="B6">
        <f>IF(B$2=0,"",IFERROR(TRIM(INDEX('Pegar estudiantes'!$A$1:$BZ$1001,5,B$2)&amp;""),""))</f>
        <v/>
      </c>
      <c r="C6">
        <f>IF(C$2=0,"",IFERROR(TRIM(INDEX('Pegar estudiantes'!$A$1:$BZ$1001,5,C$2)&amp;""),""))</f>
        <v/>
      </c>
      <c r="D6">
        <f>IF(D$2=0,"",IFERROR(TRIM(INDEX('Pegar estudiantes'!$A$1:$BZ$1001,5,D$2)&amp;""),""))</f>
        <v/>
      </c>
      <c r="E6">
        <f>IF(E$2=0,"",IFERROR(TRIM(INDEX('Pegar estudiantes'!$A$1:$BZ$1001,5,E$2)&amp;""),""))</f>
        <v/>
      </c>
      <c r="F6">
        <f>IF(F$2=0,"",IFERROR(TRIM(INDEX('Pegar estudiantes'!$A$1:$BZ$1001,5,F$2)&amp;""),""))</f>
        <v/>
      </c>
      <c r="G6">
        <f>IF(G$2=0,"",IFERROR(TRIM(INDEX('Pegar estudiantes'!$A$1:$BZ$1001,5,G$2)&amp;""),""))</f>
        <v/>
      </c>
      <c r="H6">
        <f>IF(H$2=0,"",IFERROR(TRIM(INDEX('Pegar estudiantes'!$A$1:$BZ$1001,5,H$2)&amp;""),""))</f>
        <v/>
      </c>
      <c r="I6">
        <f>IF(I$2=0,"",IFERROR(TRIM(INDEX('Pegar estudiantes'!$A$1:$BZ$1001,5,I$2)&amp;""),""))</f>
        <v/>
      </c>
      <c r="J6">
        <f>IF(J$2=0,"",IFERROR(TRIM(INDEX('Pegar estudiantes'!$A$1:$BZ$1001,5,J$2)&amp;""),""))</f>
        <v/>
      </c>
      <c r="K6">
        <f>IF(K$2=0,"",IFERROR(TRIM(INDEX('Pegar estudiantes'!$A$1:$BZ$1001,5,K$2)&amp;""),""))</f>
        <v/>
      </c>
      <c r="L6" s="25">
        <f>IF(A6&lt;&gt;"",1,"")</f>
        <v/>
      </c>
      <c r="M6" s="25">
        <f>IF(L6=1,IF(ISNUMBER(FIND("#"&amp;MID(A6,1,1)&amp;"#","#0#1#2#3#4#5#6#7#8#9#")),IF(ISNUMBER(FIND("#"&amp;MID(A6,2,1)&amp;"#","#0#1#2#3#4#5#6#7#8#9#")),IF(AND(VALUE(LEFT(A6,2))&gt;=1,VALUE(LEFT(A6,2))&lt;=5),VALUE(LEFT(A6,2)),""),IF(AND(VALUE(LEFT(A6,1))&gt;=1,VALUE(LEFT(A6,1))&lt;=5),VALUE(LEFT(A6,1)),"")),""),"")</f>
        <v/>
      </c>
      <c r="N6" s="25">
        <f>IF(L6=1,IF(ISNUMBER(FIND("#"&amp;MID(H6,1,1)&amp;"#","#0#1#2#3#4#5#6#7#8#9#")),IF(ISNUMBER(FIND("#"&amp;MID(H6,2,1)&amp;"#","#0#1#2#3#4#5#6#7#8#9#")),IF(AND(VALUE(LEFT(H6,2))&gt;=1,VALUE(LEFT(H6,2))&lt;=5),VALUE(LEFT(H6,2)),""),IF(AND(VALUE(LEFT(H6,1))&gt;=1,VALUE(LEFT(H6,1))&lt;=5),VALUE(LEFT(H6,1)),"")),""),"")</f>
        <v/>
      </c>
      <c r="O6" s="25">
        <f>IF(AND(L6=1,B6&lt;&gt;""),SUBSTITUTE(SUBSTITUTE(SUBSTITUTE(SUBSTITUTE(SUBSTITUTE(SUBSTITUTE(SUBSTITUTE(SUBSTITUTE(SUBSTITUTE(SUBSTITUTE(SUBSTITUTE(SUBSTITUTE(LOWER(TRIM(B6)),"á","a"),"é","e"),"í","i"),"ó","o"),"ú","u"),"ü","u"),"ñ","n"),"à","a"),"è","e"),"ì","i"),"ò","o"),"ù","u"),"")</f>
        <v/>
      </c>
      <c r="P6" s="25">
        <f>IF(AND(L6=1,C6&lt;&gt;""),SUBSTITUTE(SUBSTITUTE(SUBSTITUTE(SUBSTITUTE(SUBSTITUTE(SUBSTITUTE(SUBSTITUTE(SUBSTITUTE(SUBSTITUTE(SUBSTITUTE(SUBSTITUTE(SUBSTITUTE(LOWER(TRIM(C6)),"á","a"),"é","e"),"í","i"),"ó","o"),"ú","u"),"ü","u"),"ñ","n"),"à","a"),"è","e"),"ì","i"),"ò","o"),"ù","u"),"")</f>
        <v/>
      </c>
      <c r="Q6" s="25">
        <f>IF(AND(L6=1,E6&lt;&gt;""),SUBSTITUTE(SUBSTITUTE(SUBSTITUTE(SUBSTITUTE(SUBSTITUTE(SUBSTITUTE(SUBSTITUTE(SUBSTITUTE(SUBSTITUTE(SUBSTITUTE(SUBSTITUTE(SUBSTITUTE(LOWER(TRIM(E6)),"á","a"),"é","e"),"í","i"),"ó","o"),"ú","u"),"ü","u"),"ñ","n"),"à","a"),"è","e"),"ì","i"),"ò","o"),"ù","u"),"")</f>
        <v/>
      </c>
      <c r="R6" s="25">
        <f>IF(AND(L6=1,I6&lt;&gt;""),SUBSTITUTE(SUBSTITUTE(SUBSTITUTE(SUBSTITUTE(SUBSTITUTE(SUBSTITUTE(SUBSTITUTE(SUBSTITUTE(SUBSTITUTE(SUBSTITUTE(SUBSTITUTE(SUBSTITUTE(LOWER(TRIM(I6)),"á","a"),"é","e"),"í","i"),"ó","o"),"ú","u"),"ü","u"),"ñ","n"),"à","a"),"è","e"),"ì","i"),"ò","o"),"ù","u"),"")</f>
        <v/>
      </c>
      <c r="S6" s="25">
        <f>IF(R6="","",IF(OR(R6="si",R6="tal vez"),1,0))</f>
        <v/>
      </c>
      <c r="T6" s="25">
        <f>IF(AND(L6=1,D6&lt;&gt;""),IF(IFERROR(COUNTIFS(D$3:D6,"="&amp;SUBSTITUTE(SUBSTITUTE(SUBSTITUTE(D6,"~","~~"),"*","~*"),"?","~?"),L$3:L6,1),0)=1,MAX(T$2:T5)+1,""),"")</f>
        <v/>
      </c>
      <c r="U6" s="25">
        <f>IF(T6="","",COUNTIFS($D$3:$D$1002,"="&amp;SUBSTITUTE(SUBSTITUTE(SUBSTITUTE(D6,"~","~~"),"*","~*"),"?","~?"),$L$3:$L$1002,1)*10000-T6)</f>
        <v/>
      </c>
      <c r="V6" s="25">
        <f>IF(AND(L6=1,J6&lt;&gt;""),IF(IFERROR(COUNTIFS(J$3:J6,"="&amp;SUBSTITUTE(SUBSTITUTE(SUBSTITUTE(J6,"~","~~"),"*","~*"),"?","~?"),L$3:L6,1),0)=1,MAX(V$2:V5)+1,""),"")</f>
        <v/>
      </c>
      <c r="W6" s="25">
        <f>IF(V6="","",COUNTIFS($J$3:$J$1002,"="&amp;SUBSTITUTE(SUBSTITUTE(SUBSTITUTE(J6,"~","~~"),"*","~*"),"?","~?"),$L$3:$L$1002,1)*10000-V6)</f>
        <v/>
      </c>
    </row>
    <row r="7">
      <c r="A7">
        <f>IF(A$2=0,"",IFERROR(TRIM(INDEX('Pegar estudiantes'!$A$1:$BZ$1001,6,A$2)&amp;""),""))</f>
        <v/>
      </c>
      <c r="B7">
        <f>IF(B$2=0,"",IFERROR(TRIM(INDEX('Pegar estudiantes'!$A$1:$BZ$1001,6,B$2)&amp;""),""))</f>
        <v/>
      </c>
      <c r="C7">
        <f>IF(C$2=0,"",IFERROR(TRIM(INDEX('Pegar estudiantes'!$A$1:$BZ$1001,6,C$2)&amp;""),""))</f>
        <v/>
      </c>
      <c r="D7">
        <f>IF(D$2=0,"",IFERROR(TRIM(INDEX('Pegar estudiantes'!$A$1:$BZ$1001,6,D$2)&amp;""),""))</f>
        <v/>
      </c>
      <c r="E7">
        <f>IF(E$2=0,"",IFERROR(TRIM(INDEX('Pegar estudiantes'!$A$1:$BZ$1001,6,E$2)&amp;""),""))</f>
        <v/>
      </c>
      <c r="F7">
        <f>IF(F$2=0,"",IFERROR(TRIM(INDEX('Pegar estudiantes'!$A$1:$BZ$1001,6,F$2)&amp;""),""))</f>
        <v/>
      </c>
      <c r="G7">
        <f>IF(G$2=0,"",IFERROR(TRIM(INDEX('Pegar estudiantes'!$A$1:$BZ$1001,6,G$2)&amp;""),""))</f>
        <v/>
      </c>
      <c r="H7">
        <f>IF(H$2=0,"",IFERROR(TRIM(INDEX('Pegar estudiantes'!$A$1:$BZ$1001,6,H$2)&amp;""),""))</f>
        <v/>
      </c>
      <c r="I7">
        <f>IF(I$2=0,"",IFERROR(TRIM(INDEX('Pegar estudiantes'!$A$1:$BZ$1001,6,I$2)&amp;""),""))</f>
        <v/>
      </c>
      <c r="J7">
        <f>IF(J$2=0,"",IFERROR(TRIM(INDEX('Pegar estudiantes'!$A$1:$BZ$1001,6,J$2)&amp;""),""))</f>
        <v/>
      </c>
      <c r="K7">
        <f>IF(K$2=0,"",IFERROR(TRIM(INDEX('Pegar estudiantes'!$A$1:$BZ$1001,6,K$2)&amp;""),""))</f>
        <v/>
      </c>
      <c r="L7" s="25">
        <f>IF(A7&lt;&gt;"",1,"")</f>
        <v/>
      </c>
      <c r="M7" s="25">
        <f>IF(L7=1,IF(ISNUMBER(FIND("#"&amp;MID(A7,1,1)&amp;"#","#0#1#2#3#4#5#6#7#8#9#")),IF(ISNUMBER(FIND("#"&amp;MID(A7,2,1)&amp;"#","#0#1#2#3#4#5#6#7#8#9#")),IF(AND(VALUE(LEFT(A7,2))&gt;=1,VALUE(LEFT(A7,2))&lt;=5),VALUE(LEFT(A7,2)),""),IF(AND(VALUE(LEFT(A7,1))&gt;=1,VALUE(LEFT(A7,1))&lt;=5),VALUE(LEFT(A7,1)),"")),""),"")</f>
        <v/>
      </c>
      <c r="N7" s="25">
        <f>IF(L7=1,IF(ISNUMBER(FIND("#"&amp;MID(H7,1,1)&amp;"#","#0#1#2#3#4#5#6#7#8#9#")),IF(ISNUMBER(FIND("#"&amp;MID(H7,2,1)&amp;"#","#0#1#2#3#4#5#6#7#8#9#")),IF(AND(VALUE(LEFT(H7,2))&gt;=1,VALUE(LEFT(H7,2))&lt;=5),VALUE(LEFT(H7,2)),""),IF(AND(VALUE(LEFT(H7,1))&gt;=1,VALUE(LEFT(H7,1))&lt;=5),VALUE(LEFT(H7,1)),"")),""),"")</f>
        <v/>
      </c>
      <c r="O7" s="25">
        <f>IF(AND(L7=1,B7&lt;&gt;""),SUBSTITUTE(SUBSTITUTE(SUBSTITUTE(SUBSTITUTE(SUBSTITUTE(SUBSTITUTE(SUBSTITUTE(SUBSTITUTE(SUBSTITUTE(SUBSTITUTE(SUBSTITUTE(SUBSTITUTE(LOWER(TRIM(B7)),"á","a"),"é","e"),"í","i"),"ó","o"),"ú","u"),"ü","u"),"ñ","n"),"à","a"),"è","e"),"ì","i"),"ò","o"),"ù","u"),"")</f>
        <v/>
      </c>
      <c r="P7" s="25">
        <f>IF(AND(L7=1,C7&lt;&gt;""),SUBSTITUTE(SUBSTITUTE(SUBSTITUTE(SUBSTITUTE(SUBSTITUTE(SUBSTITUTE(SUBSTITUTE(SUBSTITUTE(SUBSTITUTE(SUBSTITUTE(SUBSTITUTE(SUBSTITUTE(LOWER(TRIM(C7)),"á","a"),"é","e"),"í","i"),"ó","o"),"ú","u"),"ü","u"),"ñ","n"),"à","a"),"è","e"),"ì","i"),"ò","o"),"ù","u"),"")</f>
        <v/>
      </c>
      <c r="Q7" s="25">
        <f>IF(AND(L7=1,E7&lt;&gt;""),SUBSTITUTE(SUBSTITUTE(SUBSTITUTE(SUBSTITUTE(SUBSTITUTE(SUBSTITUTE(SUBSTITUTE(SUBSTITUTE(SUBSTITUTE(SUBSTITUTE(SUBSTITUTE(SUBSTITUTE(LOWER(TRIM(E7)),"á","a"),"é","e"),"í","i"),"ó","o"),"ú","u"),"ü","u"),"ñ","n"),"à","a"),"è","e"),"ì","i"),"ò","o"),"ù","u"),"")</f>
        <v/>
      </c>
      <c r="R7" s="25">
        <f>IF(AND(L7=1,I7&lt;&gt;""),SUBSTITUTE(SUBSTITUTE(SUBSTITUTE(SUBSTITUTE(SUBSTITUTE(SUBSTITUTE(SUBSTITUTE(SUBSTITUTE(SUBSTITUTE(SUBSTITUTE(SUBSTITUTE(SUBSTITUTE(LOWER(TRIM(I7)),"á","a"),"é","e"),"í","i"),"ó","o"),"ú","u"),"ü","u"),"ñ","n"),"à","a"),"è","e"),"ì","i"),"ò","o"),"ù","u"),"")</f>
        <v/>
      </c>
      <c r="S7" s="25">
        <f>IF(R7="","",IF(OR(R7="si",R7="tal vez"),1,0))</f>
        <v/>
      </c>
      <c r="T7" s="25">
        <f>IF(AND(L7=1,D7&lt;&gt;""),IF(IFERROR(COUNTIFS(D$3:D7,"="&amp;SUBSTITUTE(SUBSTITUTE(SUBSTITUTE(D7,"~","~~"),"*","~*"),"?","~?"),L$3:L7,1),0)=1,MAX(T$2:T6)+1,""),"")</f>
        <v/>
      </c>
      <c r="U7" s="25">
        <f>IF(T7="","",COUNTIFS($D$3:$D$1002,"="&amp;SUBSTITUTE(SUBSTITUTE(SUBSTITUTE(D7,"~","~~"),"*","~*"),"?","~?"),$L$3:$L$1002,1)*10000-T7)</f>
        <v/>
      </c>
      <c r="V7" s="25">
        <f>IF(AND(L7=1,J7&lt;&gt;""),IF(IFERROR(COUNTIFS(J$3:J7,"="&amp;SUBSTITUTE(SUBSTITUTE(SUBSTITUTE(J7,"~","~~"),"*","~*"),"?","~?"),L$3:L7,1),0)=1,MAX(V$2:V6)+1,""),"")</f>
        <v/>
      </c>
      <c r="W7" s="25">
        <f>IF(V7="","",COUNTIFS($J$3:$J$1002,"="&amp;SUBSTITUTE(SUBSTITUTE(SUBSTITUTE(J7,"~","~~"),"*","~*"),"?","~?"),$L$3:$L$1002,1)*10000-V7)</f>
        <v/>
      </c>
    </row>
    <row r="8">
      <c r="A8">
        <f>IF(A$2=0,"",IFERROR(TRIM(INDEX('Pegar estudiantes'!$A$1:$BZ$1001,7,A$2)&amp;""),""))</f>
        <v/>
      </c>
      <c r="B8">
        <f>IF(B$2=0,"",IFERROR(TRIM(INDEX('Pegar estudiantes'!$A$1:$BZ$1001,7,B$2)&amp;""),""))</f>
        <v/>
      </c>
      <c r="C8">
        <f>IF(C$2=0,"",IFERROR(TRIM(INDEX('Pegar estudiantes'!$A$1:$BZ$1001,7,C$2)&amp;""),""))</f>
        <v/>
      </c>
      <c r="D8">
        <f>IF(D$2=0,"",IFERROR(TRIM(INDEX('Pegar estudiantes'!$A$1:$BZ$1001,7,D$2)&amp;""),""))</f>
        <v/>
      </c>
      <c r="E8">
        <f>IF(E$2=0,"",IFERROR(TRIM(INDEX('Pegar estudiantes'!$A$1:$BZ$1001,7,E$2)&amp;""),""))</f>
        <v/>
      </c>
      <c r="F8">
        <f>IF(F$2=0,"",IFERROR(TRIM(INDEX('Pegar estudiantes'!$A$1:$BZ$1001,7,F$2)&amp;""),""))</f>
        <v/>
      </c>
      <c r="G8">
        <f>IF(G$2=0,"",IFERROR(TRIM(INDEX('Pegar estudiantes'!$A$1:$BZ$1001,7,G$2)&amp;""),""))</f>
        <v/>
      </c>
      <c r="H8">
        <f>IF(H$2=0,"",IFERROR(TRIM(INDEX('Pegar estudiantes'!$A$1:$BZ$1001,7,H$2)&amp;""),""))</f>
        <v/>
      </c>
      <c r="I8">
        <f>IF(I$2=0,"",IFERROR(TRIM(INDEX('Pegar estudiantes'!$A$1:$BZ$1001,7,I$2)&amp;""),""))</f>
        <v/>
      </c>
      <c r="J8">
        <f>IF(J$2=0,"",IFERROR(TRIM(INDEX('Pegar estudiantes'!$A$1:$BZ$1001,7,J$2)&amp;""),""))</f>
        <v/>
      </c>
      <c r="K8">
        <f>IF(K$2=0,"",IFERROR(TRIM(INDEX('Pegar estudiantes'!$A$1:$BZ$1001,7,K$2)&amp;""),""))</f>
        <v/>
      </c>
      <c r="L8" s="25">
        <f>IF(A8&lt;&gt;"",1,"")</f>
        <v/>
      </c>
      <c r="M8" s="25">
        <f>IF(L8=1,IF(ISNUMBER(FIND("#"&amp;MID(A8,1,1)&amp;"#","#0#1#2#3#4#5#6#7#8#9#")),IF(ISNUMBER(FIND("#"&amp;MID(A8,2,1)&amp;"#","#0#1#2#3#4#5#6#7#8#9#")),IF(AND(VALUE(LEFT(A8,2))&gt;=1,VALUE(LEFT(A8,2))&lt;=5),VALUE(LEFT(A8,2)),""),IF(AND(VALUE(LEFT(A8,1))&gt;=1,VALUE(LEFT(A8,1))&lt;=5),VALUE(LEFT(A8,1)),"")),""),"")</f>
        <v/>
      </c>
      <c r="N8" s="25">
        <f>IF(L8=1,IF(ISNUMBER(FIND("#"&amp;MID(H8,1,1)&amp;"#","#0#1#2#3#4#5#6#7#8#9#")),IF(ISNUMBER(FIND("#"&amp;MID(H8,2,1)&amp;"#","#0#1#2#3#4#5#6#7#8#9#")),IF(AND(VALUE(LEFT(H8,2))&gt;=1,VALUE(LEFT(H8,2))&lt;=5),VALUE(LEFT(H8,2)),""),IF(AND(VALUE(LEFT(H8,1))&gt;=1,VALUE(LEFT(H8,1))&lt;=5),VALUE(LEFT(H8,1)),"")),""),"")</f>
        <v/>
      </c>
      <c r="O8" s="25">
        <f>IF(AND(L8=1,B8&lt;&gt;""),SUBSTITUTE(SUBSTITUTE(SUBSTITUTE(SUBSTITUTE(SUBSTITUTE(SUBSTITUTE(SUBSTITUTE(SUBSTITUTE(SUBSTITUTE(SUBSTITUTE(SUBSTITUTE(SUBSTITUTE(LOWER(TRIM(B8)),"á","a"),"é","e"),"í","i"),"ó","o"),"ú","u"),"ü","u"),"ñ","n"),"à","a"),"è","e"),"ì","i"),"ò","o"),"ù","u"),"")</f>
        <v/>
      </c>
      <c r="P8" s="25">
        <f>IF(AND(L8=1,C8&lt;&gt;""),SUBSTITUTE(SUBSTITUTE(SUBSTITUTE(SUBSTITUTE(SUBSTITUTE(SUBSTITUTE(SUBSTITUTE(SUBSTITUTE(SUBSTITUTE(SUBSTITUTE(SUBSTITUTE(SUBSTITUTE(LOWER(TRIM(C8)),"á","a"),"é","e"),"í","i"),"ó","o"),"ú","u"),"ü","u"),"ñ","n"),"à","a"),"è","e"),"ì","i"),"ò","o"),"ù","u"),"")</f>
        <v/>
      </c>
      <c r="Q8" s="25">
        <f>IF(AND(L8=1,E8&lt;&gt;""),SUBSTITUTE(SUBSTITUTE(SUBSTITUTE(SUBSTITUTE(SUBSTITUTE(SUBSTITUTE(SUBSTITUTE(SUBSTITUTE(SUBSTITUTE(SUBSTITUTE(SUBSTITUTE(SUBSTITUTE(LOWER(TRIM(E8)),"á","a"),"é","e"),"í","i"),"ó","o"),"ú","u"),"ü","u"),"ñ","n"),"à","a"),"è","e"),"ì","i"),"ò","o"),"ù","u"),"")</f>
        <v/>
      </c>
      <c r="R8" s="25">
        <f>IF(AND(L8=1,I8&lt;&gt;""),SUBSTITUTE(SUBSTITUTE(SUBSTITUTE(SUBSTITUTE(SUBSTITUTE(SUBSTITUTE(SUBSTITUTE(SUBSTITUTE(SUBSTITUTE(SUBSTITUTE(SUBSTITUTE(SUBSTITUTE(LOWER(TRIM(I8)),"á","a"),"é","e"),"í","i"),"ó","o"),"ú","u"),"ü","u"),"ñ","n"),"à","a"),"è","e"),"ì","i"),"ò","o"),"ù","u"),"")</f>
        <v/>
      </c>
      <c r="S8" s="25">
        <f>IF(R8="","",IF(OR(R8="si",R8="tal vez"),1,0))</f>
        <v/>
      </c>
      <c r="T8" s="25">
        <f>IF(AND(L8=1,D8&lt;&gt;""),IF(IFERROR(COUNTIFS(D$3:D8,"="&amp;SUBSTITUTE(SUBSTITUTE(SUBSTITUTE(D8,"~","~~"),"*","~*"),"?","~?"),L$3:L8,1),0)=1,MAX(T$2:T7)+1,""),"")</f>
        <v/>
      </c>
      <c r="U8" s="25">
        <f>IF(T8="","",COUNTIFS($D$3:$D$1002,"="&amp;SUBSTITUTE(SUBSTITUTE(SUBSTITUTE(D8,"~","~~"),"*","~*"),"?","~?"),$L$3:$L$1002,1)*10000-T8)</f>
        <v/>
      </c>
      <c r="V8" s="25">
        <f>IF(AND(L8=1,J8&lt;&gt;""),IF(IFERROR(COUNTIFS(J$3:J8,"="&amp;SUBSTITUTE(SUBSTITUTE(SUBSTITUTE(J8,"~","~~"),"*","~*"),"?","~?"),L$3:L8,1),0)=1,MAX(V$2:V7)+1,""),"")</f>
        <v/>
      </c>
      <c r="W8" s="25">
        <f>IF(V8="","",COUNTIFS($J$3:$J$1002,"="&amp;SUBSTITUTE(SUBSTITUTE(SUBSTITUTE(J8,"~","~~"),"*","~*"),"?","~?"),$L$3:$L$1002,1)*10000-V8)</f>
        <v/>
      </c>
    </row>
    <row r="9">
      <c r="A9">
        <f>IF(A$2=0,"",IFERROR(TRIM(INDEX('Pegar estudiantes'!$A$1:$BZ$1001,8,A$2)&amp;""),""))</f>
        <v/>
      </c>
      <c r="B9">
        <f>IF(B$2=0,"",IFERROR(TRIM(INDEX('Pegar estudiantes'!$A$1:$BZ$1001,8,B$2)&amp;""),""))</f>
        <v/>
      </c>
      <c r="C9">
        <f>IF(C$2=0,"",IFERROR(TRIM(INDEX('Pegar estudiantes'!$A$1:$BZ$1001,8,C$2)&amp;""),""))</f>
        <v/>
      </c>
      <c r="D9">
        <f>IF(D$2=0,"",IFERROR(TRIM(INDEX('Pegar estudiantes'!$A$1:$BZ$1001,8,D$2)&amp;""),""))</f>
        <v/>
      </c>
      <c r="E9">
        <f>IF(E$2=0,"",IFERROR(TRIM(INDEX('Pegar estudiantes'!$A$1:$BZ$1001,8,E$2)&amp;""),""))</f>
        <v/>
      </c>
      <c r="F9">
        <f>IF(F$2=0,"",IFERROR(TRIM(INDEX('Pegar estudiantes'!$A$1:$BZ$1001,8,F$2)&amp;""),""))</f>
        <v/>
      </c>
      <c r="G9">
        <f>IF(G$2=0,"",IFERROR(TRIM(INDEX('Pegar estudiantes'!$A$1:$BZ$1001,8,G$2)&amp;""),""))</f>
        <v/>
      </c>
      <c r="H9">
        <f>IF(H$2=0,"",IFERROR(TRIM(INDEX('Pegar estudiantes'!$A$1:$BZ$1001,8,H$2)&amp;""),""))</f>
        <v/>
      </c>
      <c r="I9">
        <f>IF(I$2=0,"",IFERROR(TRIM(INDEX('Pegar estudiantes'!$A$1:$BZ$1001,8,I$2)&amp;""),""))</f>
        <v/>
      </c>
      <c r="J9">
        <f>IF(J$2=0,"",IFERROR(TRIM(INDEX('Pegar estudiantes'!$A$1:$BZ$1001,8,J$2)&amp;""),""))</f>
        <v/>
      </c>
      <c r="K9">
        <f>IF(K$2=0,"",IFERROR(TRIM(INDEX('Pegar estudiantes'!$A$1:$BZ$1001,8,K$2)&amp;""),""))</f>
        <v/>
      </c>
      <c r="L9" s="25">
        <f>IF(A9&lt;&gt;"",1,"")</f>
        <v/>
      </c>
      <c r="M9" s="25">
        <f>IF(L9=1,IF(ISNUMBER(FIND("#"&amp;MID(A9,1,1)&amp;"#","#0#1#2#3#4#5#6#7#8#9#")),IF(ISNUMBER(FIND("#"&amp;MID(A9,2,1)&amp;"#","#0#1#2#3#4#5#6#7#8#9#")),IF(AND(VALUE(LEFT(A9,2))&gt;=1,VALUE(LEFT(A9,2))&lt;=5),VALUE(LEFT(A9,2)),""),IF(AND(VALUE(LEFT(A9,1))&gt;=1,VALUE(LEFT(A9,1))&lt;=5),VALUE(LEFT(A9,1)),"")),""),"")</f>
        <v/>
      </c>
      <c r="N9" s="25">
        <f>IF(L9=1,IF(ISNUMBER(FIND("#"&amp;MID(H9,1,1)&amp;"#","#0#1#2#3#4#5#6#7#8#9#")),IF(ISNUMBER(FIND("#"&amp;MID(H9,2,1)&amp;"#","#0#1#2#3#4#5#6#7#8#9#")),IF(AND(VALUE(LEFT(H9,2))&gt;=1,VALUE(LEFT(H9,2))&lt;=5),VALUE(LEFT(H9,2)),""),IF(AND(VALUE(LEFT(H9,1))&gt;=1,VALUE(LEFT(H9,1))&lt;=5),VALUE(LEFT(H9,1)),"")),""),"")</f>
        <v/>
      </c>
      <c r="O9" s="25">
        <f>IF(AND(L9=1,B9&lt;&gt;""),SUBSTITUTE(SUBSTITUTE(SUBSTITUTE(SUBSTITUTE(SUBSTITUTE(SUBSTITUTE(SUBSTITUTE(SUBSTITUTE(SUBSTITUTE(SUBSTITUTE(SUBSTITUTE(SUBSTITUTE(LOWER(TRIM(B9)),"á","a"),"é","e"),"í","i"),"ó","o"),"ú","u"),"ü","u"),"ñ","n"),"à","a"),"è","e"),"ì","i"),"ò","o"),"ù","u"),"")</f>
        <v/>
      </c>
      <c r="P9" s="25">
        <f>IF(AND(L9=1,C9&lt;&gt;""),SUBSTITUTE(SUBSTITUTE(SUBSTITUTE(SUBSTITUTE(SUBSTITUTE(SUBSTITUTE(SUBSTITUTE(SUBSTITUTE(SUBSTITUTE(SUBSTITUTE(SUBSTITUTE(SUBSTITUTE(LOWER(TRIM(C9)),"á","a"),"é","e"),"í","i"),"ó","o"),"ú","u"),"ü","u"),"ñ","n"),"à","a"),"è","e"),"ì","i"),"ò","o"),"ù","u"),"")</f>
        <v/>
      </c>
      <c r="Q9" s="25">
        <f>IF(AND(L9=1,E9&lt;&gt;""),SUBSTITUTE(SUBSTITUTE(SUBSTITUTE(SUBSTITUTE(SUBSTITUTE(SUBSTITUTE(SUBSTITUTE(SUBSTITUTE(SUBSTITUTE(SUBSTITUTE(SUBSTITUTE(SUBSTITUTE(LOWER(TRIM(E9)),"á","a"),"é","e"),"í","i"),"ó","o"),"ú","u"),"ü","u"),"ñ","n"),"à","a"),"è","e"),"ì","i"),"ò","o"),"ù","u"),"")</f>
        <v/>
      </c>
      <c r="R9" s="25">
        <f>IF(AND(L9=1,I9&lt;&gt;""),SUBSTITUTE(SUBSTITUTE(SUBSTITUTE(SUBSTITUTE(SUBSTITUTE(SUBSTITUTE(SUBSTITUTE(SUBSTITUTE(SUBSTITUTE(SUBSTITUTE(SUBSTITUTE(SUBSTITUTE(LOWER(TRIM(I9)),"á","a"),"é","e"),"í","i"),"ó","o"),"ú","u"),"ü","u"),"ñ","n"),"à","a"),"è","e"),"ì","i"),"ò","o"),"ù","u"),"")</f>
        <v/>
      </c>
      <c r="S9" s="25">
        <f>IF(R9="","",IF(OR(R9="si",R9="tal vez"),1,0))</f>
        <v/>
      </c>
      <c r="T9" s="25">
        <f>IF(AND(L9=1,D9&lt;&gt;""),IF(IFERROR(COUNTIFS(D$3:D9,"="&amp;SUBSTITUTE(SUBSTITUTE(SUBSTITUTE(D9,"~","~~"),"*","~*"),"?","~?"),L$3:L9,1),0)=1,MAX(T$2:T8)+1,""),"")</f>
        <v/>
      </c>
      <c r="U9" s="25">
        <f>IF(T9="","",COUNTIFS($D$3:$D$1002,"="&amp;SUBSTITUTE(SUBSTITUTE(SUBSTITUTE(D9,"~","~~"),"*","~*"),"?","~?"),$L$3:$L$1002,1)*10000-T9)</f>
        <v/>
      </c>
      <c r="V9" s="25">
        <f>IF(AND(L9=1,J9&lt;&gt;""),IF(IFERROR(COUNTIFS(J$3:J9,"="&amp;SUBSTITUTE(SUBSTITUTE(SUBSTITUTE(J9,"~","~~"),"*","~*"),"?","~?"),L$3:L9,1),0)=1,MAX(V$2:V8)+1,""),"")</f>
        <v/>
      </c>
      <c r="W9" s="25">
        <f>IF(V9="","",COUNTIFS($J$3:$J$1002,"="&amp;SUBSTITUTE(SUBSTITUTE(SUBSTITUTE(J9,"~","~~"),"*","~*"),"?","~?"),$L$3:$L$1002,1)*10000-V9)</f>
        <v/>
      </c>
    </row>
    <row r="10">
      <c r="A10">
        <f>IF(A$2=0,"",IFERROR(TRIM(INDEX('Pegar estudiantes'!$A$1:$BZ$1001,9,A$2)&amp;""),""))</f>
        <v/>
      </c>
      <c r="B10">
        <f>IF(B$2=0,"",IFERROR(TRIM(INDEX('Pegar estudiantes'!$A$1:$BZ$1001,9,B$2)&amp;""),""))</f>
        <v/>
      </c>
      <c r="C10">
        <f>IF(C$2=0,"",IFERROR(TRIM(INDEX('Pegar estudiantes'!$A$1:$BZ$1001,9,C$2)&amp;""),""))</f>
        <v/>
      </c>
      <c r="D10">
        <f>IF(D$2=0,"",IFERROR(TRIM(INDEX('Pegar estudiantes'!$A$1:$BZ$1001,9,D$2)&amp;""),""))</f>
        <v/>
      </c>
      <c r="E10">
        <f>IF(E$2=0,"",IFERROR(TRIM(INDEX('Pegar estudiantes'!$A$1:$BZ$1001,9,E$2)&amp;""),""))</f>
        <v/>
      </c>
      <c r="F10">
        <f>IF(F$2=0,"",IFERROR(TRIM(INDEX('Pegar estudiantes'!$A$1:$BZ$1001,9,F$2)&amp;""),""))</f>
        <v/>
      </c>
      <c r="G10">
        <f>IF(G$2=0,"",IFERROR(TRIM(INDEX('Pegar estudiantes'!$A$1:$BZ$1001,9,G$2)&amp;""),""))</f>
        <v/>
      </c>
      <c r="H10">
        <f>IF(H$2=0,"",IFERROR(TRIM(INDEX('Pegar estudiantes'!$A$1:$BZ$1001,9,H$2)&amp;""),""))</f>
        <v/>
      </c>
      <c r="I10">
        <f>IF(I$2=0,"",IFERROR(TRIM(INDEX('Pegar estudiantes'!$A$1:$BZ$1001,9,I$2)&amp;""),""))</f>
        <v/>
      </c>
      <c r="J10">
        <f>IF(J$2=0,"",IFERROR(TRIM(INDEX('Pegar estudiantes'!$A$1:$BZ$1001,9,J$2)&amp;""),""))</f>
        <v/>
      </c>
      <c r="K10">
        <f>IF(K$2=0,"",IFERROR(TRIM(INDEX('Pegar estudiantes'!$A$1:$BZ$1001,9,K$2)&amp;""),""))</f>
        <v/>
      </c>
      <c r="L10" s="25">
        <f>IF(A10&lt;&gt;"",1,"")</f>
        <v/>
      </c>
      <c r="M10" s="25">
        <f>IF(L10=1,IF(ISNUMBER(FIND("#"&amp;MID(A10,1,1)&amp;"#","#0#1#2#3#4#5#6#7#8#9#")),IF(ISNUMBER(FIND("#"&amp;MID(A10,2,1)&amp;"#","#0#1#2#3#4#5#6#7#8#9#")),IF(AND(VALUE(LEFT(A10,2))&gt;=1,VALUE(LEFT(A10,2))&lt;=5),VALUE(LEFT(A10,2)),""),IF(AND(VALUE(LEFT(A10,1))&gt;=1,VALUE(LEFT(A10,1))&lt;=5),VALUE(LEFT(A10,1)),"")),""),"")</f>
        <v/>
      </c>
      <c r="N10" s="25">
        <f>IF(L10=1,IF(ISNUMBER(FIND("#"&amp;MID(H10,1,1)&amp;"#","#0#1#2#3#4#5#6#7#8#9#")),IF(ISNUMBER(FIND("#"&amp;MID(H10,2,1)&amp;"#","#0#1#2#3#4#5#6#7#8#9#")),IF(AND(VALUE(LEFT(H10,2))&gt;=1,VALUE(LEFT(H10,2))&lt;=5),VALUE(LEFT(H10,2)),""),IF(AND(VALUE(LEFT(H10,1))&gt;=1,VALUE(LEFT(H10,1))&lt;=5),VALUE(LEFT(H10,1)),"")),""),"")</f>
        <v/>
      </c>
      <c r="O10" s="25">
        <f>IF(AND(L10=1,B10&lt;&gt;""),SUBSTITUTE(SUBSTITUTE(SUBSTITUTE(SUBSTITUTE(SUBSTITUTE(SUBSTITUTE(SUBSTITUTE(SUBSTITUTE(SUBSTITUTE(SUBSTITUTE(SUBSTITUTE(SUBSTITUTE(LOWER(TRIM(B10)),"á","a"),"é","e"),"í","i"),"ó","o"),"ú","u"),"ü","u"),"ñ","n"),"à","a"),"è","e"),"ì","i"),"ò","o"),"ù","u"),"")</f>
        <v/>
      </c>
      <c r="P10" s="25">
        <f>IF(AND(L10=1,C10&lt;&gt;""),SUBSTITUTE(SUBSTITUTE(SUBSTITUTE(SUBSTITUTE(SUBSTITUTE(SUBSTITUTE(SUBSTITUTE(SUBSTITUTE(SUBSTITUTE(SUBSTITUTE(SUBSTITUTE(SUBSTITUTE(LOWER(TRIM(C10)),"á","a"),"é","e"),"í","i"),"ó","o"),"ú","u"),"ü","u"),"ñ","n"),"à","a"),"è","e"),"ì","i"),"ò","o"),"ù","u"),"")</f>
        <v/>
      </c>
      <c r="Q10" s="25">
        <f>IF(AND(L10=1,E10&lt;&gt;""),SUBSTITUTE(SUBSTITUTE(SUBSTITUTE(SUBSTITUTE(SUBSTITUTE(SUBSTITUTE(SUBSTITUTE(SUBSTITUTE(SUBSTITUTE(SUBSTITUTE(SUBSTITUTE(SUBSTITUTE(LOWER(TRIM(E10)),"á","a"),"é","e"),"í","i"),"ó","o"),"ú","u"),"ü","u"),"ñ","n"),"à","a"),"è","e"),"ì","i"),"ò","o"),"ù","u"),"")</f>
        <v/>
      </c>
      <c r="R10" s="25">
        <f>IF(AND(L10=1,I10&lt;&gt;""),SUBSTITUTE(SUBSTITUTE(SUBSTITUTE(SUBSTITUTE(SUBSTITUTE(SUBSTITUTE(SUBSTITUTE(SUBSTITUTE(SUBSTITUTE(SUBSTITUTE(SUBSTITUTE(SUBSTITUTE(LOWER(TRIM(I10)),"á","a"),"é","e"),"í","i"),"ó","o"),"ú","u"),"ü","u"),"ñ","n"),"à","a"),"è","e"),"ì","i"),"ò","o"),"ù","u"),"")</f>
        <v/>
      </c>
      <c r="S10" s="25">
        <f>IF(R10="","",IF(OR(R10="si",R10="tal vez"),1,0))</f>
        <v/>
      </c>
      <c r="T10" s="25">
        <f>IF(AND(L10=1,D10&lt;&gt;""),IF(IFERROR(COUNTIFS(D$3:D10,"="&amp;SUBSTITUTE(SUBSTITUTE(SUBSTITUTE(D10,"~","~~"),"*","~*"),"?","~?"),L$3:L10,1),0)=1,MAX(T$2:T9)+1,""),"")</f>
        <v/>
      </c>
      <c r="U10" s="25">
        <f>IF(T10="","",COUNTIFS($D$3:$D$1002,"="&amp;SUBSTITUTE(SUBSTITUTE(SUBSTITUTE(D10,"~","~~"),"*","~*"),"?","~?"),$L$3:$L$1002,1)*10000-T10)</f>
        <v/>
      </c>
      <c r="V10" s="25">
        <f>IF(AND(L10=1,J10&lt;&gt;""),IF(IFERROR(COUNTIFS(J$3:J10,"="&amp;SUBSTITUTE(SUBSTITUTE(SUBSTITUTE(J10,"~","~~"),"*","~*"),"?","~?"),L$3:L10,1),0)=1,MAX(V$2:V9)+1,""),"")</f>
        <v/>
      </c>
      <c r="W10" s="25">
        <f>IF(V10="","",COUNTIFS($J$3:$J$1002,"="&amp;SUBSTITUTE(SUBSTITUTE(SUBSTITUTE(J10,"~","~~"),"*","~*"),"?","~?"),$L$3:$L$1002,1)*10000-V10)</f>
        <v/>
      </c>
    </row>
    <row r="11">
      <c r="A11">
        <f>IF(A$2=0,"",IFERROR(TRIM(INDEX('Pegar estudiantes'!$A$1:$BZ$1001,10,A$2)&amp;""),""))</f>
        <v/>
      </c>
      <c r="B11">
        <f>IF(B$2=0,"",IFERROR(TRIM(INDEX('Pegar estudiantes'!$A$1:$BZ$1001,10,B$2)&amp;""),""))</f>
        <v/>
      </c>
      <c r="C11">
        <f>IF(C$2=0,"",IFERROR(TRIM(INDEX('Pegar estudiantes'!$A$1:$BZ$1001,10,C$2)&amp;""),""))</f>
        <v/>
      </c>
      <c r="D11">
        <f>IF(D$2=0,"",IFERROR(TRIM(INDEX('Pegar estudiantes'!$A$1:$BZ$1001,10,D$2)&amp;""),""))</f>
        <v/>
      </c>
      <c r="E11">
        <f>IF(E$2=0,"",IFERROR(TRIM(INDEX('Pegar estudiantes'!$A$1:$BZ$1001,10,E$2)&amp;""),""))</f>
        <v/>
      </c>
      <c r="F11">
        <f>IF(F$2=0,"",IFERROR(TRIM(INDEX('Pegar estudiantes'!$A$1:$BZ$1001,10,F$2)&amp;""),""))</f>
        <v/>
      </c>
      <c r="G11">
        <f>IF(G$2=0,"",IFERROR(TRIM(INDEX('Pegar estudiantes'!$A$1:$BZ$1001,10,G$2)&amp;""),""))</f>
        <v/>
      </c>
      <c r="H11">
        <f>IF(H$2=0,"",IFERROR(TRIM(INDEX('Pegar estudiantes'!$A$1:$BZ$1001,10,H$2)&amp;""),""))</f>
        <v/>
      </c>
      <c r="I11">
        <f>IF(I$2=0,"",IFERROR(TRIM(INDEX('Pegar estudiantes'!$A$1:$BZ$1001,10,I$2)&amp;""),""))</f>
        <v/>
      </c>
      <c r="J11">
        <f>IF(J$2=0,"",IFERROR(TRIM(INDEX('Pegar estudiantes'!$A$1:$BZ$1001,10,J$2)&amp;""),""))</f>
        <v/>
      </c>
      <c r="K11">
        <f>IF(K$2=0,"",IFERROR(TRIM(INDEX('Pegar estudiantes'!$A$1:$BZ$1001,10,K$2)&amp;""),""))</f>
        <v/>
      </c>
      <c r="L11" s="25">
        <f>IF(A11&lt;&gt;"",1,"")</f>
        <v/>
      </c>
      <c r="M11" s="25">
        <f>IF(L11=1,IF(ISNUMBER(FIND("#"&amp;MID(A11,1,1)&amp;"#","#0#1#2#3#4#5#6#7#8#9#")),IF(ISNUMBER(FIND("#"&amp;MID(A11,2,1)&amp;"#","#0#1#2#3#4#5#6#7#8#9#")),IF(AND(VALUE(LEFT(A11,2))&gt;=1,VALUE(LEFT(A11,2))&lt;=5),VALUE(LEFT(A11,2)),""),IF(AND(VALUE(LEFT(A11,1))&gt;=1,VALUE(LEFT(A11,1))&lt;=5),VALUE(LEFT(A11,1)),"")),""),"")</f>
        <v/>
      </c>
      <c r="N11" s="25">
        <f>IF(L11=1,IF(ISNUMBER(FIND("#"&amp;MID(H11,1,1)&amp;"#","#0#1#2#3#4#5#6#7#8#9#")),IF(ISNUMBER(FIND("#"&amp;MID(H11,2,1)&amp;"#","#0#1#2#3#4#5#6#7#8#9#")),IF(AND(VALUE(LEFT(H11,2))&gt;=1,VALUE(LEFT(H11,2))&lt;=5),VALUE(LEFT(H11,2)),""),IF(AND(VALUE(LEFT(H11,1))&gt;=1,VALUE(LEFT(H11,1))&lt;=5),VALUE(LEFT(H11,1)),"")),""),"")</f>
        <v/>
      </c>
      <c r="O11" s="25">
        <f>IF(AND(L11=1,B11&lt;&gt;""),SUBSTITUTE(SUBSTITUTE(SUBSTITUTE(SUBSTITUTE(SUBSTITUTE(SUBSTITUTE(SUBSTITUTE(SUBSTITUTE(SUBSTITUTE(SUBSTITUTE(SUBSTITUTE(SUBSTITUTE(LOWER(TRIM(B11)),"á","a"),"é","e"),"í","i"),"ó","o"),"ú","u"),"ü","u"),"ñ","n"),"à","a"),"è","e"),"ì","i"),"ò","o"),"ù","u"),"")</f>
        <v/>
      </c>
      <c r="P11" s="25">
        <f>IF(AND(L11=1,C11&lt;&gt;""),SUBSTITUTE(SUBSTITUTE(SUBSTITUTE(SUBSTITUTE(SUBSTITUTE(SUBSTITUTE(SUBSTITUTE(SUBSTITUTE(SUBSTITUTE(SUBSTITUTE(SUBSTITUTE(SUBSTITUTE(LOWER(TRIM(C11)),"á","a"),"é","e"),"í","i"),"ó","o"),"ú","u"),"ü","u"),"ñ","n"),"à","a"),"è","e"),"ì","i"),"ò","o"),"ù","u"),"")</f>
        <v/>
      </c>
      <c r="Q11" s="25">
        <f>IF(AND(L11=1,E11&lt;&gt;""),SUBSTITUTE(SUBSTITUTE(SUBSTITUTE(SUBSTITUTE(SUBSTITUTE(SUBSTITUTE(SUBSTITUTE(SUBSTITUTE(SUBSTITUTE(SUBSTITUTE(SUBSTITUTE(SUBSTITUTE(LOWER(TRIM(E11)),"á","a"),"é","e"),"í","i"),"ó","o"),"ú","u"),"ü","u"),"ñ","n"),"à","a"),"è","e"),"ì","i"),"ò","o"),"ù","u"),"")</f>
        <v/>
      </c>
      <c r="R11" s="25">
        <f>IF(AND(L11=1,I11&lt;&gt;""),SUBSTITUTE(SUBSTITUTE(SUBSTITUTE(SUBSTITUTE(SUBSTITUTE(SUBSTITUTE(SUBSTITUTE(SUBSTITUTE(SUBSTITUTE(SUBSTITUTE(SUBSTITUTE(SUBSTITUTE(LOWER(TRIM(I11)),"á","a"),"é","e"),"í","i"),"ó","o"),"ú","u"),"ü","u"),"ñ","n"),"à","a"),"è","e"),"ì","i"),"ò","o"),"ù","u"),"")</f>
        <v/>
      </c>
      <c r="S11" s="25">
        <f>IF(R11="","",IF(OR(R11="si",R11="tal vez"),1,0))</f>
        <v/>
      </c>
      <c r="T11" s="25">
        <f>IF(AND(L11=1,D11&lt;&gt;""),IF(IFERROR(COUNTIFS(D$3:D11,"="&amp;SUBSTITUTE(SUBSTITUTE(SUBSTITUTE(D11,"~","~~"),"*","~*"),"?","~?"),L$3:L11,1),0)=1,MAX(T$2:T10)+1,""),"")</f>
        <v/>
      </c>
      <c r="U11" s="25">
        <f>IF(T11="","",COUNTIFS($D$3:$D$1002,"="&amp;SUBSTITUTE(SUBSTITUTE(SUBSTITUTE(D11,"~","~~"),"*","~*"),"?","~?"),$L$3:$L$1002,1)*10000-T11)</f>
        <v/>
      </c>
      <c r="V11" s="25">
        <f>IF(AND(L11=1,J11&lt;&gt;""),IF(IFERROR(COUNTIFS(J$3:J11,"="&amp;SUBSTITUTE(SUBSTITUTE(SUBSTITUTE(J11,"~","~~"),"*","~*"),"?","~?"),L$3:L11,1),0)=1,MAX(V$2:V10)+1,""),"")</f>
        <v/>
      </c>
      <c r="W11" s="25">
        <f>IF(V11="","",COUNTIFS($J$3:$J$1002,"="&amp;SUBSTITUTE(SUBSTITUTE(SUBSTITUTE(J11,"~","~~"),"*","~*"),"?","~?"),$L$3:$L$1002,1)*10000-V11)</f>
        <v/>
      </c>
    </row>
    <row r="12">
      <c r="A12">
        <f>IF(A$2=0,"",IFERROR(TRIM(INDEX('Pegar estudiantes'!$A$1:$BZ$1001,11,A$2)&amp;""),""))</f>
        <v/>
      </c>
      <c r="B12">
        <f>IF(B$2=0,"",IFERROR(TRIM(INDEX('Pegar estudiantes'!$A$1:$BZ$1001,11,B$2)&amp;""),""))</f>
        <v/>
      </c>
      <c r="C12">
        <f>IF(C$2=0,"",IFERROR(TRIM(INDEX('Pegar estudiantes'!$A$1:$BZ$1001,11,C$2)&amp;""),""))</f>
        <v/>
      </c>
      <c r="D12">
        <f>IF(D$2=0,"",IFERROR(TRIM(INDEX('Pegar estudiantes'!$A$1:$BZ$1001,11,D$2)&amp;""),""))</f>
        <v/>
      </c>
      <c r="E12">
        <f>IF(E$2=0,"",IFERROR(TRIM(INDEX('Pegar estudiantes'!$A$1:$BZ$1001,11,E$2)&amp;""),""))</f>
        <v/>
      </c>
      <c r="F12">
        <f>IF(F$2=0,"",IFERROR(TRIM(INDEX('Pegar estudiantes'!$A$1:$BZ$1001,11,F$2)&amp;""),""))</f>
        <v/>
      </c>
      <c r="G12">
        <f>IF(G$2=0,"",IFERROR(TRIM(INDEX('Pegar estudiantes'!$A$1:$BZ$1001,11,G$2)&amp;""),""))</f>
        <v/>
      </c>
      <c r="H12">
        <f>IF(H$2=0,"",IFERROR(TRIM(INDEX('Pegar estudiantes'!$A$1:$BZ$1001,11,H$2)&amp;""),""))</f>
        <v/>
      </c>
      <c r="I12">
        <f>IF(I$2=0,"",IFERROR(TRIM(INDEX('Pegar estudiantes'!$A$1:$BZ$1001,11,I$2)&amp;""),""))</f>
        <v/>
      </c>
      <c r="J12">
        <f>IF(J$2=0,"",IFERROR(TRIM(INDEX('Pegar estudiantes'!$A$1:$BZ$1001,11,J$2)&amp;""),""))</f>
        <v/>
      </c>
      <c r="K12">
        <f>IF(K$2=0,"",IFERROR(TRIM(INDEX('Pegar estudiantes'!$A$1:$BZ$1001,11,K$2)&amp;""),""))</f>
        <v/>
      </c>
      <c r="L12" s="25">
        <f>IF(A12&lt;&gt;"",1,"")</f>
        <v/>
      </c>
      <c r="M12" s="25">
        <f>IF(L12=1,IF(ISNUMBER(FIND("#"&amp;MID(A12,1,1)&amp;"#","#0#1#2#3#4#5#6#7#8#9#")),IF(ISNUMBER(FIND("#"&amp;MID(A12,2,1)&amp;"#","#0#1#2#3#4#5#6#7#8#9#")),IF(AND(VALUE(LEFT(A12,2))&gt;=1,VALUE(LEFT(A12,2))&lt;=5),VALUE(LEFT(A12,2)),""),IF(AND(VALUE(LEFT(A12,1))&gt;=1,VALUE(LEFT(A12,1))&lt;=5),VALUE(LEFT(A12,1)),"")),""),"")</f>
        <v/>
      </c>
      <c r="N12" s="25">
        <f>IF(L12=1,IF(ISNUMBER(FIND("#"&amp;MID(H12,1,1)&amp;"#","#0#1#2#3#4#5#6#7#8#9#")),IF(ISNUMBER(FIND("#"&amp;MID(H12,2,1)&amp;"#","#0#1#2#3#4#5#6#7#8#9#")),IF(AND(VALUE(LEFT(H12,2))&gt;=1,VALUE(LEFT(H12,2))&lt;=5),VALUE(LEFT(H12,2)),""),IF(AND(VALUE(LEFT(H12,1))&gt;=1,VALUE(LEFT(H12,1))&lt;=5),VALUE(LEFT(H12,1)),"")),""),"")</f>
        <v/>
      </c>
      <c r="O12" s="25">
        <f>IF(AND(L12=1,B12&lt;&gt;""),SUBSTITUTE(SUBSTITUTE(SUBSTITUTE(SUBSTITUTE(SUBSTITUTE(SUBSTITUTE(SUBSTITUTE(SUBSTITUTE(SUBSTITUTE(SUBSTITUTE(SUBSTITUTE(SUBSTITUTE(LOWER(TRIM(B12)),"á","a"),"é","e"),"í","i"),"ó","o"),"ú","u"),"ü","u"),"ñ","n"),"à","a"),"è","e"),"ì","i"),"ò","o"),"ù","u"),"")</f>
        <v/>
      </c>
      <c r="P12" s="25">
        <f>IF(AND(L12=1,C12&lt;&gt;""),SUBSTITUTE(SUBSTITUTE(SUBSTITUTE(SUBSTITUTE(SUBSTITUTE(SUBSTITUTE(SUBSTITUTE(SUBSTITUTE(SUBSTITUTE(SUBSTITUTE(SUBSTITUTE(SUBSTITUTE(LOWER(TRIM(C12)),"á","a"),"é","e"),"í","i"),"ó","o"),"ú","u"),"ü","u"),"ñ","n"),"à","a"),"è","e"),"ì","i"),"ò","o"),"ù","u"),"")</f>
        <v/>
      </c>
      <c r="Q12" s="25">
        <f>IF(AND(L12=1,E12&lt;&gt;""),SUBSTITUTE(SUBSTITUTE(SUBSTITUTE(SUBSTITUTE(SUBSTITUTE(SUBSTITUTE(SUBSTITUTE(SUBSTITUTE(SUBSTITUTE(SUBSTITUTE(SUBSTITUTE(SUBSTITUTE(LOWER(TRIM(E12)),"á","a"),"é","e"),"í","i"),"ó","o"),"ú","u"),"ü","u"),"ñ","n"),"à","a"),"è","e"),"ì","i"),"ò","o"),"ù","u"),"")</f>
        <v/>
      </c>
      <c r="R12" s="25">
        <f>IF(AND(L12=1,I12&lt;&gt;""),SUBSTITUTE(SUBSTITUTE(SUBSTITUTE(SUBSTITUTE(SUBSTITUTE(SUBSTITUTE(SUBSTITUTE(SUBSTITUTE(SUBSTITUTE(SUBSTITUTE(SUBSTITUTE(SUBSTITUTE(LOWER(TRIM(I12)),"á","a"),"é","e"),"í","i"),"ó","o"),"ú","u"),"ü","u"),"ñ","n"),"à","a"),"è","e"),"ì","i"),"ò","o"),"ù","u"),"")</f>
        <v/>
      </c>
      <c r="S12" s="25">
        <f>IF(R12="","",IF(OR(R12="si",R12="tal vez"),1,0))</f>
        <v/>
      </c>
      <c r="T12" s="25">
        <f>IF(AND(L12=1,D12&lt;&gt;""),IF(IFERROR(COUNTIFS(D$3:D12,"="&amp;SUBSTITUTE(SUBSTITUTE(SUBSTITUTE(D12,"~","~~"),"*","~*"),"?","~?"),L$3:L12,1),0)=1,MAX(T$2:T11)+1,""),"")</f>
        <v/>
      </c>
      <c r="U12" s="25">
        <f>IF(T12="","",COUNTIFS($D$3:$D$1002,"="&amp;SUBSTITUTE(SUBSTITUTE(SUBSTITUTE(D12,"~","~~"),"*","~*"),"?","~?"),$L$3:$L$1002,1)*10000-T12)</f>
        <v/>
      </c>
      <c r="V12" s="25">
        <f>IF(AND(L12=1,J12&lt;&gt;""),IF(IFERROR(COUNTIFS(J$3:J12,"="&amp;SUBSTITUTE(SUBSTITUTE(SUBSTITUTE(J12,"~","~~"),"*","~*"),"?","~?"),L$3:L12,1),0)=1,MAX(V$2:V11)+1,""),"")</f>
        <v/>
      </c>
      <c r="W12" s="25">
        <f>IF(V12="","",COUNTIFS($J$3:$J$1002,"="&amp;SUBSTITUTE(SUBSTITUTE(SUBSTITUTE(J12,"~","~~"),"*","~*"),"?","~?"),$L$3:$L$1002,1)*10000-V12)</f>
        <v/>
      </c>
    </row>
    <row r="13">
      <c r="A13">
        <f>IF(A$2=0,"",IFERROR(TRIM(INDEX('Pegar estudiantes'!$A$1:$BZ$1001,12,A$2)&amp;""),""))</f>
        <v/>
      </c>
      <c r="B13">
        <f>IF(B$2=0,"",IFERROR(TRIM(INDEX('Pegar estudiantes'!$A$1:$BZ$1001,12,B$2)&amp;""),""))</f>
        <v/>
      </c>
      <c r="C13">
        <f>IF(C$2=0,"",IFERROR(TRIM(INDEX('Pegar estudiantes'!$A$1:$BZ$1001,12,C$2)&amp;""),""))</f>
        <v/>
      </c>
      <c r="D13">
        <f>IF(D$2=0,"",IFERROR(TRIM(INDEX('Pegar estudiantes'!$A$1:$BZ$1001,12,D$2)&amp;""),""))</f>
        <v/>
      </c>
      <c r="E13">
        <f>IF(E$2=0,"",IFERROR(TRIM(INDEX('Pegar estudiantes'!$A$1:$BZ$1001,12,E$2)&amp;""),""))</f>
        <v/>
      </c>
      <c r="F13">
        <f>IF(F$2=0,"",IFERROR(TRIM(INDEX('Pegar estudiantes'!$A$1:$BZ$1001,12,F$2)&amp;""),""))</f>
        <v/>
      </c>
      <c r="G13">
        <f>IF(G$2=0,"",IFERROR(TRIM(INDEX('Pegar estudiantes'!$A$1:$BZ$1001,12,G$2)&amp;""),""))</f>
        <v/>
      </c>
      <c r="H13">
        <f>IF(H$2=0,"",IFERROR(TRIM(INDEX('Pegar estudiantes'!$A$1:$BZ$1001,12,H$2)&amp;""),""))</f>
        <v/>
      </c>
      <c r="I13">
        <f>IF(I$2=0,"",IFERROR(TRIM(INDEX('Pegar estudiantes'!$A$1:$BZ$1001,12,I$2)&amp;""),""))</f>
        <v/>
      </c>
      <c r="J13">
        <f>IF(J$2=0,"",IFERROR(TRIM(INDEX('Pegar estudiantes'!$A$1:$BZ$1001,12,J$2)&amp;""),""))</f>
        <v/>
      </c>
      <c r="K13">
        <f>IF(K$2=0,"",IFERROR(TRIM(INDEX('Pegar estudiantes'!$A$1:$BZ$1001,12,K$2)&amp;""),""))</f>
        <v/>
      </c>
      <c r="L13" s="25">
        <f>IF(A13&lt;&gt;"",1,"")</f>
        <v/>
      </c>
      <c r="M13" s="25">
        <f>IF(L13=1,IF(ISNUMBER(FIND("#"&amp;MID(A13,1,1)&amp;"#","#0#1#2#3#4#5#6#7#8#9#")),IF(ISNUMBER(FIND("#"&amp;MID(A13,2,1)&amp;"#","#0#1#2#3#4#5#6#7#8#9#")),IF(AND(VALUE(LEFT(A13,2))&gt;=1,VALUE(LEFT(A13,2))&lt;=5),VALUE(LEFT(A13,2)),""),IF(AND(VALUE(LEFT(A13,1))&gt;=1,VALUE(LEFT(A13,1))&lt;=5),VALUE(LEFT(A13,1)),"")),""),"")</f>
        <v/>
      </c>
      <c r="N13" s="25">
        <f>IF(L13=1,IF(ISNUMBER(FIND("#"&amp;MID(H13,1,1)&amp;"#","#0#1#2#3#4#5#6#7#8#9#")),IF(ISNUMBER(FIND("#"&amp;MID(H13,2,1)&amp;"#","#0#1#2#3#4#5#6#7#8#9#")),IF(AND(VALUE(LEFT(H13,2))&gt;=1,VALUE(LEFT(H13,2))&lt;=5),VALUE(LEFT(H13,2)),""),IF(AND(VALUE(LEFT(H13,1))&gt;=1,VALUE(LEFT(H13,1))&lt;=5),VALUE(LEFT(H13,1)),"")),""),"")</f>
        <v/>
      </c>
      <c r="O13" s="25">
        <f>IF(AND(L13=1,B13&lt;&gt;""),SUBSTITUTE(SUBSTITUTE(SUBSTITUTE(SUBSTITUTE(SUBSTITUTE(SUBSTITUTE(SUBSTITUTE(SUBSTITUTE(SUBSTITUTE(SUBSTITUTE(SUBSTITUTE(SUBSTITUTE(LOWER(TRIM(B13)),"á","a"),"é","e"),"í","i"),"ó","o"),"ú","u"),"ü","u"),"ñ","n"),"à","a"),"è","e"),"ì","i"),"ò","o"),"ù","u"),"")</f>
        <v/>
      </c>
      <c r="P13" s="25">
        <f>IF(AND(L13=1,C13&lt;&gt;""),SUBSTITUTE(SUBSTITUTE(SUBSTITUTE(SUBSTITUTE(SUBSTITUTE(SUBSTITUTE(SUBSTITUTE(SUBSTITUTE(SUBSTITUTE(SUBSTITUTE(SUBSTITUTE(SUBSTITUTE(LOWER(TRIM(C13)),"á","a"),"é","e"),"í","i"),"ó","o"),"ú","u"),"ü","u"),"ñ","n"),"à","a"),"è","e"),"ì","i"),"ò","o"),"ù","u"),"")</f>
        <v/>
      </c>
      <c r="Q13" s="25">
        <f>IF(AND(L13=1,E13&lt;&gt;""),SUBSTITUTE(SUBSTITUTE(SUBSTITUTE(SUBSTITUTE(SUBSTITUTE(SUBSTITUTE(SUBSTITUTE(SUBSTITUTE(SUBSTITUTE(SUBSTITUTE(SUBSTITUTE(SUBSTITUTE(LOWER(TRIM(E13)),"á","a"),"é","e"),"í","i"),"ó","o"),"ú","u"),"ü","u"),"ñ","n"),"à","a"),"è","e"),"ì","i"),"ò","o"),"ù","u"),"")</f>
        <v/>
      </c>
      <c r="R13" s="25">
        <f>IF(AND(L13=1,I13&lt;&gt;""),SUBSTITUTE(SUBSTITUTE(SUBSTITUTE(SUBSTITUTE(SUBSTITUTE(SUBSTITUTE(SUBSTITUTE(SUBSTITUTE(SUBSTITUTE(SUBSTITUTE(SUBSTITUTE(SUBSTITUTE(LOWER(TRIM(I13)),"á","a"),"é","e"),"í","i"),"ó","o"),"ú","u"),"ü","u"),"ñ","n"),"à","a"),"è","e"),"ì","i"),"ò","o"),"ù","u"),"")</f>
        <v/>
      </c>
      <c r="S13" s="25">
        <f>IF(R13="","",IF(OR(R13="si",R13="tal vez"),1,0))</f>
        <v/>
      </c>
      <c r="T13" s="25">
        <f>IF(AND(L13=1,D13&lt;&gt;""),IF(IFERROR(COUNTIFS(D$3:D13,"="&amp;SUBSTITUTE(SUBSTITUTE(SUBSTITUTE(D13,"~","~~"),"*","~*"),"?","~?"),L$3:L13,1),0)=1,MAX(T$2:T12)+1,""),"")</f>
        <v/>
      </c>
      <c r="U13" s="25">
        <f>IF(T13="","",COUNTIFS($D$3:$D$1002,"="&amp;SUBSTITUTE(SUBSTITUTE(SUBSTITUTE(D13,"~","~~"),"*","~*"),"?","~?"),$L$3:$L$1002,1)*10000-T13)</f>
        <v/>
      </c>
      <c r="V13" s="25">
        <f>IF(AND(L13=1,J13&lt;&gt;""),IF(IFERROR(COUNTIFS(J$3:J13,"="&amp;SUBSTITUTE(SUBSTITUTE(SUBSTITUTE(J13,"~","~~"),"*","~*"),"?","~?"),L$3:L13,1),0)=1,MAX(V$2:V12)+1,""),"")</f>
        <v/>
      </c>
      <c r="W13" s="25">
        <f>IF(V13="","",COUNTIFS($J$3:$J$1002,"="&amp;SUBSTITUTE(SUBSTITUTE(SUBSTITUTE(J13,"~","~~"),"*","~*"),"?","~?"),$L$3:$L$1002,1)*10000-V13)</f>
        <v/>
      </c>
    </row>
    <row r="14">
      <c r="A14">
        <f>IF(A$2=0,"",IFERROR(TRIM(INDEX('Pegar estudiantes'!$A$1:$BZ$1001,13,A$2)&amp;""),""))</f>
        <v/>
      </c>
      <c r="B14">
        <f>IF(B$2=0,"",IFERROR(TRIM(INDEX('Pegar estudiantes'!$A$1:$BZ$1001,13,B$2)&amp;""),""))</f>
        <v/>
      </c>
      <c r="C14">
        <f>IF(C$2=0,"",IFERROR(TRIM(INDEX('Pegar estudiantes'!$A$1:$BZ$1001,13,C$2)&amp;""),""))</f>
        <v/>
      </c>
      <c r="D14">
        <f>IF(D$2=0,"",IFERROR(TRIM(INDEX('Pegar estudiantes'!$A$1:$BZ$1001,13,D$2)&amp;""),""))</f>
        <v/>
      </c>
      <c r="E14">
        <f>IF(E$2=0,"",IFERROR(TRIM(INDEX('Pegar estudiantes'!$A$1:$BZ$1001,13,E$2)&amp;""),""))</f>
        <v/>
      </c>
      <c r="F14">
        <f>IF(F$2=0,"",IFERROR(TRIM(INDEX('Pegar estudiantes'!$A$1:$BZ$1001,13,F$2)&amp;""),""))</f>
        <v/>
      </c>
      <c r="G14">
        <f>IF(G$2=0,"",IFERROR(TRIM(INDEX('Pegar estudiantes'!$A$1:$BZ$1001,13,G$2)&amp;""),""))</f>
        <v/>
      </c>
      <c r="H14">
        <f>IF(H$2=0,"",IFERROR(TRIM(INDEX('Pegar estudiantes'!$A$1:$BZ$1001,13,H$2)&amp;""),""))</f>
        <v/>
      </c>
      <c r="I14">
        <f>IF(I$2=0,"",IFERROR(TRIM(INDEX('Pegar estudiantes'!$A$1:$BZ$1001,13,I$2)&amp;""),""))</f>
        <v/>
      </c>
      <c r="J14">
        <f>IF(J$2=0,"",IFERROR(TRIM(INDEX('Pegar estudiantes'!$A$1:$BZ$1001,13,J$2)&amp;""),""))</f>
        <v/>
      </c>
      <c r="K14">
        <f>IF(K$2=0,"",IFERROR(TRIM(INDEX('Pegar estudiantes'!$A$1:$BZ$1001,13,K$2)&amp;""),""))</f>
        <v/>
      </c>
      <c r="L14" s="25">
        <f>IF(A14&lt;&gt;"",1,"")</f>
        <v/>
      </c>
      <c r="M14" s="25">
        <f>IF(L14=1,IF(ISNUMBER(FIND("#"&amp;MID(A14,1,1)&amp;"#","#0#1#2#3#4#5#6#7#8#9#")),IF(ISNUMBER(FIND("#"&amp;MID(A14,2,1)&amp;"#","#0#1#2#3#4#5#6#7#8#9#")),IF(AND(VALUE(LEFT(A14,2))&gt;=1,VALUE(LEFT(A14,2))&lt;=5),VALUE(LEFT(A14,2)),""),IF(AND(VALUE(LEFT(A14,1))&gt;=1,VALUE(LEFT(A14,1))&lt;=5),VALUE(LEFT(A14,1)),"")),""),"")</f>
        <v/>
      </c>
      <c r="N14" s="25">
        <f>IF(L14=1,IF(ISNUMBER(FIND("#"&amp;MID(H14,1,1)&amp;"#","#0#1#2#3#4#5#6#7#8#9#")),IF(ISNUMBER(FIND("#"&amp;MID(H14,2,1)&amp;"#","#0#1#2#3#4#5#6#7#8#9#")),IF(AND(VALUE(LEFT(H14,2))&gt;=1,VALUE(LEFT(H14,2))&lt;=5),VALUE(LEFT(H14,2)),""),IF(AND(VALUE(LEFT(H14,1))&gt;=1,VALUE(LEFT(H14,1))&lt;=5),VALUE(LEFT(H14,1)),"")),""),"")</f>
        <v/>
      </c>
      <c r="O14" s="25">
        <f>IF(AND(L14=1,B14&lt;&gt;""),SUBSTITUTE(SUBSTITUTE(SUBSTITUTE(SUBSTITUTE(SUBSTITUTE(SUBSTITUTE(SUBSTITUTE(SUBSTITUTE(SUBSTITUTE(SUBSTITUTE(SUBSTITUTE(SUBSTITUTE(LOWER(TRIM(B14)),"á","a"),"é","e"),"í","i"),"ó","o"),"ú","u"),"ü","u"),"ñ","n"),"à","a"),"è","e"),"ì","i"),"ò","o"),"ù","u"),"")</f>
        <v/>
      </c>
      <c r="P14" s="25">
        <f>IF(AND(L14=1,C14&lt;&gt;""),SUBSTITUTE(SUBSTITUTE(SUBSTITUTE(SUBSTITUTE(SUBSTITUTE(SUBSTITUTE(SUBSTITUTE(SUBSTITUTE(SUBSTITUTE(SUBSTITUTE(SUBSTITUTE(SUBSTITUTE(LOWER(TRIM(C14)),"á","a"),"é","e"),"í","i"),"ó","o"),"ú","u"),"ü","u"),"ñ","n"),"à","a"),"è","e"),"ì","i"),"ò","o"),"ù","u"),"")</f>
        <v/>
      </c>
      <c r="Q14" s="25">
        <f>IF(AND(L14=1,E14&lt;&gt;""),SUBSTITUTE(SUBSTITUTE(SUBSTITUTE(SUBSTITUTE(SUBSTITUTE(SUBSTITUTE(SUBSTITUTE(SUBSTITUTE(SUBSTITUTE(SUBSTITUTE(SUBSTITUTE(SUBSTITUTE(LOWER(TRIM(E14)),"á","a"),"é","e"),"í","i"),"ó","o"),"ú","u"),"ü","u"),"ñ","n"),"à","a"),"è","e"),"ì","i"),"ò","o"),"ù","u"),"")</f>
        <v/>
      </c>
      <c r="R14" s="25">
        <f>IF(AND(L14=1,I14&lt;&gt;""),SUBSTITUTE(SUBSTITUTE(SUBSTITUTE(SUBSTITUTE(SUBSTITUTE(SUBSTITUTE(SUBSTITUTE(SUBSTITUTE(SUBSTITUTE(SUBSTITUTE(SUBSTITUTE(SUBSTITUTE(LOWER(TRIM(I14)),"á","a"),"é","e"),"í","i"),"ó","o"),"ú","u"),"ü","u"),"ñ","n"),"à","a"),"è","e"),"ì","i"),"ò","o"),"ù","u"),"")</f>
        <v/>
      </c>
      <c r="S14" s="25">
        <f>IF(R14="","",IF(OR(R14="si",R14="tal vez"),1,0))</f>
        <v/>
      </c>
      <c r="T14" s="25">
        <f>IF(AND(L14=1,D14&lt;&gt;""),IF(IFERROR(COUNTIFS(D$3:D14,"="&amp;SUBSTITUTE(SUBSTITUTE(SUBSTITUTE(D14,"~","~~"),"*","~*"),"?","~?"),L$3:L14,1),0)=1,MAX(T$2:T13)+1,""),"")</f>
        <v/>
      </c>
      <c r="U14" s="25">
        <f>IF(T14="","",COUNTIFS($D$3:$D$1002,"="&amp;SUBSTITUTE(SUBSTITUTE(SUBSTITUTE(D14,"~","~~"),"*","~*"),"?","~?"),$L$3:$L$1002,1)*10000-T14)</f>
        <v/>
      </c>
      <c r="V14" s="25">
        <f>IF(AND(L14=1,J14&lt;&gt;""),IF(IFERROR(COUNTIFS(J$3:J14,"="&amp;SUBSTITUTE(SUBSTITUTE(SUBSTITUTE(J14,"~","~~"),"*","~*"),"?","~?"),L$3:L14,1),0)=1,MAX(V$2:V13)+1,""),"")</f>
        <v/>
      </c>
      <c r="W14" s="25">
        <f>IF(V14="","",COUNTIFS($J$3:$J$1002,"="&amp;SUBSTITUTE(SUBSTITUTE(SUBSTITUTE(J14,"~","~~"),"*","~*"),"?","~?"),$L$3:$L$1002,1)*10000-V14)</f>
        <v/>
      </c>
    </row>
    <row r="15">
      <c r="A15">
        <f>IF(A$2=0,"",IFERROR(TRIM(INDEX('Pegar estudiantes'!$A$1:$BZ$1001,14,A$2)&amp;""),""))</f>
        <v/>
      </c>
      <c r="B15">
        <f>IF(B$2=0,"",IFERROR(TRIM(INDEX('Pegar estudiantes'!$A$1:$BZ$1001,14,B$2)&amp;""),""))</f>
        <v/>
      </c>
      <c r="C15">
        <f>IF(C$2=0,"",IFERROR(TRIM(INDEX('Pegar estudiantes'!$A$1:$BZ$1001,14,C$2)&amp;""),""))</f>
        <v/>
      </c>
      <c r="D15">
        <f>IF(D$2=0,"",IFERROR(TRIM(INDEX('Pegar estudiantes'!$A$1:$BZ$1001,14,D$2)&amp;""),""))</f>
        <v/>
      </c>
      <c r="E15">
        <f>IF(E$2=0,"",IFERROR(TRIM(INDEX('Pegar estudiantes'!$A$1:$BZ$1001,14,E$2)&amp;""),""))</f>
        <v/>
      </c>
      <c r="F15">
        <f>IF(F$2=0,"",IFERROR(TRIM(INDEX('Pegar estudiantes'!$A$1:$BZ$1001,14,F$2)&amp;""),""))</f>
        <v/>
      </c>
      <c r="G15">
        <f>IF(G$2=0,"",IFERROR(TRIM(INDEX('Pegar estudiantes'!$A$1:$BZ$1001,14,G$2)&amp;""),""))</f>
        <v/>
      </c>
      <c r="H15">
        <f>IF(H$2=0,"",IFERROR(TRIM(INDEX('Pegar estudiantes'!$A$1:$BZ$1001,14,H$2)&amp;""),""))</f>
        <v/>
      </c>
      <c r="I15">
        <f>IF(I$2=0,"",IFERROR(TRIM(INDEX('Pegar estudiantes'!$A$1:$BZ$1001,14,I$2)&amp;""),""))</f>
        <v/>
      </c>
      <c r="J15">
        <f>IF(J$2=0,"",IFERROR(TRIM(INDEX('Pegar estudiantes'!$A$1:$BZ$1001,14,J$2)&amp;""),""))</f>
        <v/>
      </c>
      <c r="K15">
        <f>IF(K$2=0,"",IFERROR(TRIM(INDEX('Pegar estudiantes'!$A$1:$BZ$1001,14,K$2)&amp;""),""))</f>
        <v/>
      </c>
      <c r="L15" s="25">
        <f>IF(A15&lt;&gt;"",1,"")</f>
        <v/>
      </c>
      <c r="M15" s="25">
        <f>IF(L15=1,IF(ISNUMBER(FIND("#"&amp;MID(A15,1,1)&amp;"#","#0#1#2#3#4#5#6#7#8#9#")),IF(ISNUMBER(FIND("#"&amp;MID(A15,2,1)&amp;"#","#0#1#2#3#4#5#6#7#8#9#")),IF(AND(VALUE(LEFT(A15,2))&gt;=1,VALUE(LEFT(A15,2))&lt;=5),VALUE(LEFT(A15,2)),""),IF(AND(VALUE(LEFT(A15,1))&gt;=1,VALUE(LEFT(A15,1))&lt;=5),VALUE(LEFT(A15,1)),"")),""),"")</f>
        <v/>
      </c>
      <c r="N15" s="25">
        <f>IF(L15=1,IF(ISNUMBER(FIND("#"&amp;MID(H15,1,1)&amp;"#","#0#1#2#3#4#5#6#7#8#9#")),IF(ISNUMBER(FIND("#"&amp;MID(H15,2,1)&amp;"#","#0#1#2#3#4#5#6#7#8#9#")),IF(AND(VALUE(LEFT(H15,2))&gt;=1,VALUE(LEFT(H15,2))&lt;=5),VALUE(LEFT(H15,2)),""),IF(AND(VALUE(LEFT(H15,1))&gt;=1,VALUE(LEFT(H15,1))&lt;=5),VALUE(LEFT(H15,1)),"")),""),"")</f>
        <v/>
      </c>
      <c r="O15" s="25">
        <f>IF(AND(L15=1,B15&lt;&gt;""),SUBSTITUTE(SUBSTITUTE(SUBSTITUTE(SUBSTITUTE(SUBSTITUTE(SUBSTITUTE(SUBSTITUTE(SUBSTITUTE(SUBSTITUTE(SUBSTITUTE(SUBSTITUTE(SUBSTITUTE(LOWER(TRIM(B15)),"á","a"),"é","e"),"í","i"),"ó","o"),"ú","u"),"ü","u"),"ñ","n"),"à","a"),"è","e"),"ì","i"),"ò","o"),"ù","u"),"")</f>
        <v/>
      </c>
      <c r="P15" s="25">
        <f>IF(AND(L15=1,C15&lt;&gt;""),SUBSTITUTE(SUBSTITUTE(SUBSTITUTE(SUBSTITUTE(SUBSTITUTE(SUBSTITUTE(SUBSTITUTE(SUBSTITUTE(SUBSTITUTE(SUBSTITUTE(SUBSTITUTE(SUBSTITUTE(LOWER(TRIM(C15)),"á","a"),"é","e"),"í","i"),"ó","o"),"ú","u"),"ü","u"),"ñ","n"),"à","a"),"è","e"),"ì","i"),"ò","o"),"ù","u"),"")</f>
        <v/>
      </c>
      <c r="Q15" s="25">
        <f>IF(AND(L15=1,E15&lt;&gt;""),SUBSTITUTE(SUBSTITUTE(SUBSTITUTE(SUBSTITUTE(SUBSTITUTE(SUBSTITUTE(SUBSTITUTE(SUBSTITUTE(SUBSTITUTE(SUBSTITUTE(SUBSTITUTE(SUBSTITUTE(LOWER(TRIM(E15)),"á","a"),"é","e"),"í","i"),"ó","o"),"ú","u"),"ü","u"),"ñ","n"),"à","a"),"è","e"),"ì","i"),"ò","o"),"ù","u"),"")</f>
        <v/>
      </c>
      <c r="R15" s="25">
        <f>IF(AND(L15=1,I15&lt;&gt;""),SUBSTITUTE(SUBSTITUTE(SUBSTITUTE(SUBSTITUTE(SUBSTITUTE(SUBSTITUTE(SUBSTITUTE(SUBSTITUTE(SUBSTITUTE(SUBSTITUTE(SUBSTITUTE(SUBSTITUTE(LOWER(TRIM(I15)),"á","a"),"é","e"),"í","i"),"ó","o"),"ú","u"),"ü","u"),"ñ","n"),"à","a"),"è","e"),"ì","i"),"ò","o"),"ù","u"),"")</f>
        <v/>
      </c>
      <c r="S15" s="25">
        <f>IF(R15="","",IF(OR(R15="si",R15="tal vez"),1,0))</f>
        <v/>
      </c>
      <c r="T15" s="25">
        <f>IF(AND(L15=1,D15&lt;&gt;""),IF(IFERROR(COUNTIFS(D$3:D15,"="&amp;SUBSTITUTE(SUBSTITUTE(SUBSTITUTE(D15,"~","~~"),"*","~*"),"?","~?"),L$3:L15,1),0)=1,MAX(T$2:T14)+1,""),"")</f>
        <v/>
      </c>
      <c r="U15" s="25">
        <f>IF(T15="","",COUNTIFS($D$3:$D$1002,"="&amp;SUBSTITUTE(SUBSTITUTE(SUBSTITUTE(D15,"~","~~"),"*","~*"),"?","~?"),$L$3:$L$1002,1)*10000-T15)</f>
        <v/>
      </c>
      <c r="V15" s="25">
        <f>IF(AND(L15=1,J15&lt;&gt;""),IF(IFERROR(COUNTIFS(J$3:J15,"="&amp;SUBSTITUTE(SUBSTITUTE(SUBSTITUTE(J15,"~","~~"),"*","~*"),"?","~?"),L$3:L15,1),0)=1,MAX(V$2:V14)+1,""),"")</f>
        <v/>
      </c>
      <c r="W15" s="25">
        <f>IF(V15="","",COUNTIFS($J$3:$J$1002,"="&amp;SUBSTITUTE(SUBSTITUTE(SUBSTITUTE(J15,"~","~~"),"*","~*"),"?","~?"),$L$3:$L$1002,1)*10000-V15)</f>
        <v/>
      </c>
    </row>
    <row r="16">
      <c r="A16">
        <f>IF(A$2=0,"",IFERROR(TRIM(INDEX('Pegar estudiantes'!$A$1:$BZ$1001,15,A$2)&amp;""),""))</f>
        <v/>
      </c>
      <c r="B16">
        <f>IF(B$2=0,"",IFERROR(TRIM(INDEX('Pegar estudiantes'!$A$1:$BZ$1001,15,B$2)&amp;""),""))</f>
        <v/>
      </c>
      <c r="C16">
        <f>IF(C$2=0,"",IFERROR(TRIM(INDEX('Pegar estudiantes'!$A$1:$BZ$1001,15,C$2)&amp;""),""))</f>
        <v/>
      </c>
      <c r="D16">
        <f>IF(D$2=0,"",IFERROR(TRIM(INDEX('Pegar estudiantes'!$A$1:$BZ$1001,15,D$2)&amp;""),""))</f>
        <v/>
      </c>
      <c r="E16">
        <f>IF(E$2=0,"",IFERROR(TRIM(INDEX('Pegar estudiantes'!$A$1:$BZ$1001,15,E$2)&amp;""),""))</f>
        <v/>
      </c>
      <c r="F16">
        <f>IF(F$2=0,"",IFERROR(TRIM(INDEX('Pegar estudiantes'!$A$1:$BZ$1001,15,F$2)&amp;""),""))</f>
        <v/>
      </c>
      <c r="G16">
        <f>IF(G$2=0,"",IFERROR(TRIM(INDEX('Pegar estudiantes'!$A$1:$BZ$1001,15,G$2)&amp;""),""))</f>
        <v/>
      </c>
      <c r="H16">
        <f>IF(H$2=0,"",IFERROR(TRIM(INDEX('Pegar estudiantes'!$A$1:$BZ$1001,15,H$2)&amp;""),""))</f>
        <v/>
      </c>
      <c r="I16">
        <f>IF(I$2=0,"",IFERROR(TRIM(INDEX('Pegar estudiantes'!$A$1:$BZ$1001,15,I$2)&amp;""),""))</f>
        <v/>
      </c>
      <c r="J16">
        <f>IF(J$2=0,"",IFERROR(TRIM(INDEX('Pegar estudiantes'!$A$1:$BZ$1001,15,J$2)&amp;""),""))</f>
        <v/>
      </c>
      <c r="K16">
        <f>IF(K$2=0,"",IFERROR(TRIM(INDEX('Pegar estudiantes'!$A$1:$BZ$1001,15,K$2)&amp;""),""))</f>
        <v/>
      </c>
      <c r="L16" s="25">
        <f>IF(A16&lt;&gt;"",1,"")</f>
        <v/>
      </c>
      <c r="M16" s="25">
        <f>IF(L16=1,IF(ISNUMBER(FIND("#"&amp;MID(A16,1,1)&amp;"#","#0#1#2#3#4#5#6#7#8#9#")),IF(ISNUMBER(FIND("#"&amp;MID(A16,2,1)&amp;"#","#0#1#2#3#4#5#6#7#8#9#")),IF(AND(VALUE(LEFT(A16,2))&gt;=1,VALUE(LEFT(A16,2))&lt;=5),VALUE(LEFT(A16,2)),""),IF(AND(VALUE(LEFT(A16,1))&gt;=1,VALUE(LEFT(A16,1))&lt;=5),VALUE(LEFT(A16,1)),"")),""),"")</f>
        <v/>
      </c>
      <c r="N16" s="25">
        <f>IF(L16=1,IF(ISNUMBER(FIND("#"&amp;MID(H16,1,1)&amp;"#","#0#1#2#3#4#5#6#7#8#9#")),IF(ISNUMBER(FIND("#"&amp;MID(H16,2,1)&amp;"#","#0#1#2#3#4#5#6#7#8#9#")),IF(AND(VALUE(LEFT(H16,2))&gt;=1,VALUE(LEFT(H16,2))&lt;=5),VALUE(LEFT(H16,2)),""),IF(AND(VALUE(LEFT(H16,1))&gt;=1,VALUE(LEFT(H16,1))&lt;=5),VALUE(LEFT(H16,1)),"")),""),"")</f>
        <v/>
      </c>
      <c r="O16" s="25">
        <f>IF(AND(L16=1,B16&lt;&gt;""),SUBSTITUTE(SUBSTITUTE(SUBSTITUTE(SUBSTITUTE(SUBSTITUTE(SUBSTITUTE(SUBSTITUTE(SUBSTITUTE(SUBSTITUTE(SUBSTITUTE(SUBSTITUTE(SUBSTITUTE(LOWER(TRIM(B16)),"á","a"),"é","e"),"í","i"),"ó","o"),"ú","u"),"ü","u"),"ñ","n"),"à","a"),"è","e"),"ì","i"),"ò","o"),"ù","u"),"")</f>
        <v/>
      </c>
      <c r="P16" s="25">
        <f>IF(AND(L16=1,C16&lt;&gt;""),SUBSTITUTE(SUBSTITUTE(SUBSTITUTE(SUBSTITUTE(SUBSTITUTE(SUBSTITUTE(SUBSTITUTE(SUBSTITUTE(SUBSTITUTE(SUBSTITUTE(SUBSTITUTE(SUBSTITUTE(LOWER(TRIM(C16)),"á","a"),"é","e"),"í","i"),"ó","o"),"ú","u"),"ü","u"),"ñ","n"),"à","a"),"è","e"),"ì","i"),"ò","o"),"ù","u"),"")</f>
        <v/>
      </c>
      <c r="Q16" s="25">
        <f>IF(AND(L16=1,E16&lt;&gt;""),SUBSTITUTE(SUBSTITUTE(SUBSTITUTE(SUBSTITUTE(SUBSTITUTE(SUBSTITUTE(SUBSTITUTE(SUBSTITUTE(SUBSTITUTE(SUBSTITUTE(SUBSTITUTE(SUBSTITUTE(LOWER(TRIM(E16)),"á","a"),"é","e"),"í","i"),"ó","o"),"ú","u"),"ü","u"),"ñ","n"),"à","a"),"è","e"),"ì","i"),"ò","o"),"ù","u"),"")</f>
        <v/>
      </c>
      <c r="R16" s="25">
        <f>IF(AND(L16=1,I16&lt;&gt;""),SUBSTITUTE(SUBSTITUTE(SUBSTITUTE(SUBSTITUTE(SUBSTITUTE(SUBSTITUTE(SUBSTITUTE(SUBSTITUTE(SUBSTITUTE(SUBSTITUTE(SUBSTITUTE(SUBSTITUTE(LOWER(TRIM(I16)),"á","a"),"é","e"),"í","i"),"ó","o"),"ú","u"),"ü","u"),"ñ","n"),"à","a"),"è","e"),"ì","i"),"ò","o"),"ù","u"),"")</f>
        <v/>
      </c>
      <c r="S16" s="25">
        <f>IF(R16="","",IF(OR(R16="si",R16="tal vez"),1,0))</f>
        <v/>
      </c>
      <c r="T16" s="25">
        <f>IF(AND(L16=1,D16&lt;&gt;""),IF(IFERROR(COUNTIFS(D$3:D16,"="&amp;SUBSTITUTE(SUBSTITUTE(SUBSTITUTE(D16,"~","~~"),"*","~*"),"?","~?"),L$3:L16,1),0)=1,MAX(T$2:T15)+1,""),"")</f>
        <v/>
      </c>
      <c r="U16" s="25">
        <f>IF(T16="","",COUNTIFS($D$3:$D$1002,"="&amp;SUBSTITUTE(SUBSTITUTE(SUBSTITUTE(D16,"~","~~"),"*","~*"),"?","~?"),$L$3:$L$1002,1)*10000-T16)</f>
        <v/>
      </c>
      <c r="V16" s="25">
        <f>IF(AND(L16=1,J16&lt;&gt;""),IF(IFERROR(COUNTIFS(J$3:J16,"="&amp;SUBSTITUTE(SUBSTITUTE(SUBSTITUTE(J16,"~","~~"),"*","~*"),"?","~?"),L$3:L16,1),0)=1,MAX(V$2:V15)+1,""),"")</f>
        <v/>
      </c>
      <c r="W16" s="25">
        <f>IF(V16="","",COUNTIFS($J$3:$J$1002,"="&amp;SUBSTITUTE(SUBSTITUTE(SUBSTITUTE(J16,"~","~~"),"*","~*"),"?","~?"),$L$3:$L$1002,1)*10000-V16)</f>
        <v/>
      </c>
    </row>
    <row r="17">
      <c r="A17">
        <f>IF(A$2=0,"",IFERROR(TRIM(INDEX('Pegar estudiantes'!$A$1:$BZ$1001,16,A$2)&amp;""),""))</f>
        <v/>
      </c>
      <c r="B17">
        <f>IF(B$2=0,"",IFERROR(TRIM(INDEX('Pegar estudiantes'!$A$1:$BZ$1001,16,B$2)&amp;""),""))</f>
        <v/>
      </c>
      <c r="C17">
        <f>IF(C$2=0,"",IFERROR(TRIM(INDEX('Pegar estudiantes'!$A$1:$BZ$1001,16,C$2)&amp;""),""))</f>
        <v/>
      </c>
      <c r="D17">
        <f>IF(D$2=0,"",IFERROR(TRIM(INDEX('Pegar estudiantes'!$A$1:$BZ$1001,16,D$2)&amp;""),""))</f>
        <v/>
      </c>
      <c r="E17">
        <f>IF(E$2=0,"",IFERROR(TRIM(INDEX('Pegar estudiantes'!$A$1:$BZ$1001,16,E$2)&amp;""),""))</f>
        <v/>
      </c>
      <c r="F17">
        <f>IF(F$2=0,"",IFERROR(TRIM(INDEX('Pegar estudiantes'!$A$1:$BZ$1001,16,F$2)&amp;""),""))</f>
        <v/>
      </c>
      <c r="G17">
        <f>IF(G$2=0,"",IFERROR(TRIM(INDEX('Pegar estudiantes'!$A$1:$BZ$1001,16,G$2)&amp;""),""))</f>
        <v/>
      </c>
      <c r="H17">
        <f>IF(H$2=0,"",IFERROR(TRIM(INDEX('Pegar estudiantes'!$A$1:$BZ$1001,16,H$2)&amp;""),""))</f>
        <v/>
      </c>
      <c r="I17">
        <f>IF(I$2=0,"",IFERROR(TRIM(INDEX('Pegar estudiantes'!$A$1:$BZ$1001,16,I$2)&amp;""),""))</f>
        <v/>
      </c>
      <c r="J17">
        <f>IF(J$2=0,"",IFERROR(TRIM(INDEX('Pegar estudiantes'!$A$1:$BZ$1001,16,J$2)&amp;""),""))</f>
        <v/>
      </c>
      <c r="K17">
        <f>IF(K$2=0,"",IFERROR(TRIM(INDEX('Pegar estudiantes'!$A$1:$BZ$1001,16,K$2)&amp;""),""))</f>
        <v/>
      </c>
      <c r="L17" s="25">
        <f>IF(A17&lt;&gt;"",1,"")</f>
        <v/>
      </c>
      <c r="M17" s="25">
        <f>IF(L17=1,IF(ISNUMBER(FIND("#"&amp;MID(A17,1,1)&amp;"#","#0#1#2#3#4#5#6#7#8#9#")),IF(ISNUMBER(FIND("#"&amp;MID(A17,2,1)&amp;"#","#0#1#2#3#4#5#6#7#8#9#")),IF(AND(VALUE(LEFT(A17,2))&gt;=1,VALUE(LEFT(A17,2))&lt;=5),VALUE(LEFT(A17,2)),""),IF(AND(VALUE(LEFT(A17,1))&gt;=1,VALUE(LEFT(A17,1))&lt;=5),VALUE(LEFT(A17,1)),"")),""),"")</f>
        <v/>
      </c>
      <c r="N17" s="25">
        <f>IF(L17=1,IF(ISNUMBER(FIND("#"&amp;MID(H17,1,1)&amp;"#","#0#1#2#3#4#5#6#7#8#9#")),IF(ISNUMBER(FIND("#"&amp;MID(H17,2,1)&amp;"#","#0#1#2#3#4#5#6#7#8#9#")),IF(AND(VALUE(LEFT(H17,2))&gt;=1,VALUE(LEFT(H17,2))&lt;=5),VALUE(LEFT(H17,2)),""),IF(AND(VALUE(LEFT(H17,1))&gt;=1,VALUE(LEFT(H17,1))&lt;=5),VALUE(LEFT(H17,1)),"")),""),"")</f>
        <v/>
      </c>
      <c r="O17" s="25">
        <f>IF(AND(L17=1,B17&lt;&gt;""),SUBSTITUTE(SUBSTITUTE(SUBSTITUTE(SUBSTITUTE(SUBSTITUTE(SUBSTITUTE(SUBSTITUTE(SUBSTITUTE(SUBSTITUTE(SUBSTITUTE(SUBSTITUTE(SUBSTITUTE(LOWER(TRIM(B17)),"á","a"),"é","e"),"í","i"),"ó","o"),"ú","u"),"ü","u"),"ñ","n"),"à","a"),"è","e"),"ì","i"),"ò","o"),"ù","u"),"")</f>
        <v/>
      </c>
      <c r="P17" s="25">
        <f>IF(AND(L17=1,C17&lt;&gt;""),SUBSTITUTE(SUBSTITUTE(SUBSTITUTE(SUBSTITUTE(SUBSTITUTE(SUBSTITUTE(SUBSTITUTE(SUBSTITUTE(SUBSTITUTE(SUBSTITUTE(SUBSTITUTE(SUBSTITUTE(LOWER(TRIM(C17)),"á","a"),"é","e"),"í","i"),"ó","o"),"ú","u"),"ü","u"),"ñ","n"),"à","a"),"è","e"),"ì","i"),"ò","o"),"ù","u"),"")</f>
        <v/>
      </c>
      <c r="Q17" s="25">
        <f>IF(AND(L17=1,E17&lt;&gt;""),SUBSTITUTE(SUBSTITUTE(SUBSTITUTE(SUBSTITUTE(SUBSTITUTE(SUBSTITUTE(SUBSTITUTE(SUBSTITUTE(SUBSTITUTE(SUBSTITUTE(SUBSTITUTE(SUBSTITUTE(LOWER(TRIM(E17)),"á","a"),"é","e"),"í","i"),"ó","o"),"ú","u"),"ü","u"),"ñ","n"),"à","a"),"è","e"),"ì","i"),"ò","o"),"ù","u"),"")</f>
        <v/>
      </c>
      <c r="R17" s="25">
        <f>IF(AND(L17=1,I17&lt;&gt;""),SUBSTITUTE(SUBSTITUTE(SUBSTITUTE(SUBSTITUTE(SUBSTITUTE(SUBSTITUTE(SUBSTITUTE(SUBSTITUTE(SUBSTITUTE(SUBSTITUTE(SUBSTITUTE(SUBSTITUTE(LOWER(TRIM(I17)),"á","a"),"é","e"),"í","i"),"ó","o"),"ú","u"),"ü","u"),"ñ","n"),"à","a"),"è","e"),"ì","i"),"ò","o"),"ù","u"),"")</f>
        <v/>
      </c>
      <c r="S17" s="25">
        <f>IF(R17="","",IF(OR(R17="si",R17="tal vez"),1,0))</f>
        <v/>
      </c>
      <c r="T17" s="25">
        <f>IF(AND(L17=1,D17&lt;&gt;""),IF(IFERROR(COUNTIFS(D$3:D17,"="&amp;SUBSTITUTE(SUBSTITUTE(SUBSTITUTE(D17,"~","~~"),"*","~*"),"?","~?"),L$3:L17,1),0)=1,MAX(T$2:T16)+1,""),"")</f>
        <v/>
      </c>
      <c r="U17" s="25">
        <f>IF(T17="","",COUNTIFS($D$3:$D$1002,"="&amp;SUBSTITUTE(SUBSTITUTE(SUBSTITUTE(D17,"~","~~"),"*","~*"),"?","~?"),$L$3:$L$1002,1)*10000-T17)</f>
        <v/>
      </c>
      <c r="V17" s="25">
        <f>IF(AND(L17=1,J17&lt;&gt;""),IF(IFERROR(COUNTIFS(J$3:J17,"="&amp;SUBSTITUTE(SUBSTITUTE(SUBSTITUTE(J17,"~","~~"),"*","~*"),"?","~?"),L$3:L17,1),0)=1,MAX(V$2:V16)+1,""),"")</f>
        <v/>
      </c>
      <c r="W17" s="25">
        <f>IF(V17="","",COUNTIFS($J$3:$J$1002,"="&amp;SUBSTITUTE(SUBSTITUTE(SUBSTITUTE(J17,"~","~~"),"*","~*"),"?","~?"),$L$3:$L$1002,1)*10000-V17)</f>
        <v/>
      </c>
    </row>
    <row r="18">
      <c r="A18">
        <f>IF(A$2=0,"",IFERROR(TRIM(INDEX('Pegar estudiantes'!$A$1:$BZ$1001,17,A$2)&amp;""),""))</f>
        <v/>
      </c>
      <c r="B18">
        <f>IF(B$2=0,"",IFERROR(TRIM(INDEX('Pegar estudiantes'!$A$1:$BZ$1001,17,B$2)&amp;""),""))</f>
        <v/>
      </c>
      <c r="C18">
        <f>IF(C$2=0,"",IFERROR(TRIM(INDEX('Pegar estudiantes'!$A$1:$BZ$1001,17,C$2)&amp;""),""))</f>
        <v/>
      </c>
      <c r="D18">
        <f>IF(D$2=0,"",IFERROR(TRIM(INDEX('Pegar estudiantes'!$A$1:$BZ$1001,17,D$2)&amp;""),""))</f>
        <v/>
      </c>
      <c r="E18">
        <f>IF(E$2=0,"",IFERROR(TRIM(INDEX('Pegar estudiantes'!$A$1:$BZ$1001,17,E$2)&amp;""),""))</f>
        <v/>
      </c>
      <c r="F18">
        <f>IF(F$2=0,"",IFERROR(TRIM(INDEX('Pegar estudiantes'!$A$1:$BZ$1001,17,F$2)&amp;""),""))</f>
        <v/>
      </c>
      <c r="G18">
        <f>IF(G$2=0,"",IFERROR(TRIM(INDEX('Pegar estudiantes'!$A$1:$BZ$1001,17,G$2)&amp;""),""))</f>
        <v/>
      </c>
      <c r="H18">
        <f>IF(H$2=0,"",IFERROR(TRIM(INDEX('Pegar estudiantes'!$A$1:$BZ$1001,17,H$2)&amp;""),""))</f>
        <v/>
      </c>
      <c r="I18">
        <f>IF(I$2=0,"",IFERROR(TRIM(INDEX('Pegar estudiantes'!$A$1:$BZ$1001,17,I$2)&amp;""),""))</f>
        <v/>
      </c>
      <c r="J18">
        <f>IF(J$2=0,"",IFERROR(TRIM(INDEX('Pegar estudiantes'!$A$1:$BZ$1001,17,J$2)&amp;""),""))</f>
        <v/>
      </c>
      <c r="K18">
        <f>IF(K$2=0,"",IFERROR(TRIM(INDEX('Pegar estudiantes'!$A$1:$BZ$1001,17,K$2)&amp;""),""))</f>
        <v/>
      </c>
      <c r="L18" s="25">
        <f>IF(A18&lt;&gt;"",1,"")</f>
        <v/>
      </c>
      <c r="M18" s="25">
        <f>IF(L18=1,IF(ISNUMBER(FIND("#"&amp;MID(A18,1,1)&amp;"#","#0#1#2#3#4#5#6#7#8#9#")),IF(ISNUMBER(FIND("#"&amp;MID(A18,2,1)&amp;"#","#0#1#2#3#4#5#6#7#8#9#")),IF(AND(VALUE(LEFT(A18,2))&gt;=1,VALUE(LEFT(A18,2))&lt;=5),VALUE(LEFT(A18,2)),""),IF(AND(VALUE(LEFT(A18,1))&gt;=1,VALUE(LEFT(A18,1))&lt;=5),VALUE(LEFT(A18,1)),"")),""),"")</f>
        <v/>
      </c>
      <c r="N18" s="25">
        <f>IF(L18=1,IF(ISNUMBER(FIND("#"&amp;MID(H18,1,1)&amp;"#","#0#1#2#3#4#5#6#7#8#9#")),IF(ISNUMBER(FIND("#"&amp;MID(H18,2,1)&amp;"#","#0#1#2#3#4#5#6#7#8#9#")),IF(AND(VALUE(LEFT(H18,2))&gt;=1,VALUE(LEFT(H18,2))&lt;=5),VALUE(LEFT(H18,2)),""),IF(AND(VALUE(LEFT(H18,1))&gt;=1,VALUE(LEFT(H18,1))&lt;=5),VALUE(LEFT(H18,1)),"")),""),"")</f>
        <v/>
      </c>
      <c r="O18" s="25">
        <f>IF(AND(L18=1,B18&lt;&gt;""),SUBSTITUTE(SUBSTITUTE(SUBSTITUTE(SUBSTITUTE(SUBSTITUTE(SUBSTITUTE(SUBSTITUTE(SUBSTITUTE(SUBSTITUTE(SUBSTITUTE(SUBSTITUTE(SUBSTITUTE(LOWER(TRIM(B18)),"á","a"),"é","e"),"í","i"),"ó","o"),"ú","u"),"ü","u"),"ñ","n"),"à","a"),"è","e"),"ì","i"),"ò","o"),"ù","u"),"")</f>
        <v/>
      </c>
      <c r="P18" s="25">
        <f>IF(AND(L18=1,C18&lt;&gt;""),SUBSTITUTE(SUBSTITUTE(SUBSTITUTE(SUBSTITUTE(SUBSTITUTE(SUBSTITUTE(SUBSTITUTE(SUBSTITUTE(SUBSTITUTE(SUBSTITUTE(SUBSTITUTE(SUBSTITUTE(LOWER(TRIM(C18)),"á","a"),"é","e"),"í","i"),"ó","o"),"ú","u"),"ü","u"),"ñ","n"),"à","a"),"è","e"),"ì","i"),"ò","o"),"ù","u"),"")</f>
        <v/>
      </c>
      <c r="Q18" s="25">
        <f>IF(AND(L18=1,E18&lt;&gt;""),SUBSTITUTE(SUBSTITUTE(SUBSTITUTE(SUBSTITUTE(SUBSTITUTE(SUBSTITUTE(SUBSTITUTE(SUBSTITUTE(SUBSTITUTE(SUBSTITUTE(SUBSTITUTE(SUBSTITUTE(LOWER(TRIM(E18)),"á","a"),"é","e"),"í","i"),"ó","o"),"ú","u"),"ü","u"),"ñ","n"),"à","a"),"è","e"),"ì","i"),"ò","o"),"ù","u"),"")</f>
        <v/>
      </c>
      <c r="R18" s="25">
        <f>IF(AND(L18=1,I18&lt;&gt;""),SUBSTITUTE(SUBSTITUTE(SUBSTITUTE(SUBSTITUTE(SUBSTITUTE(SUBSTITUTE(SUBSTITUTE(SUBSTITUTE(SUBSTITUTE(SUBSTITUTE(SUBSTITUTE(SUBSTITUTE(LOWER(TRIM(I18)),"á","a"),"é","e"),"í","i"),"ó","o"),"ú","u"),"ü","u"),"ñ","n"),"à","a"),"è","e"),"ì","i"),"ò","o"),"ù","u"),"")</f>
        <v/>
      </c>
      <c r="S18" s="25">
        <f>IF(R18="","",IF(OR(R18="si",R18="tal vez"),1,0))</f>
        <v/>
      </c>
      <c r="T18" s="25">
        <f>IF(AND(L18=1,D18&lt;&gt;""),IF(IFERROR(COUNTIFS(D$3:D18,"="&amp;SUBSTITUTE(SUBSTITUTE(SUBSTITUTE(D18,"~","~~"),"*","~*"),"?","~?"),L$3:L18,1),0)=1,MAX(T$2:T17)+1,""),"")</f>
        <v/>
      </c>
      <c r="U18" s="25">
        <f>IF(T18="","",COUNTIFS($D$3:$D$1002,"="&amp;SUBSTITUTE(SUBSTITUTE(SUBSTITUTE(D18,"~","~~"),"*","~*"),"?","~?"),$L$3:$L$1002,1)*10000-T18)</f>
        <v/>
      </c>
      <c r="V18" s="25">
        <f>IF(AND(L18=1,J18&lt;&gt;""),IF(IFERROR(COUNTIFS(J$3:J18,"="&amp;SUBSTITUTE(SUBSTITUTE(SUBSTITUTE(J18,"~","~~"),"*","~*"),"?","~?"),L$3:L18,1),0)=1,MAX(V$2:V17)+1,""),"")</f>
        <v/>
      </c>
      <c r="W18" s="25">
        <f>IF(V18="","",COUNTIFS($J$3:$J$1002,"="&amp;SUBSTITUTE(SUBSTITUTE(SUBSTITUTE(J18,"~","~~"),"*","~*"),"?","~?"),$L$3:$L$1002,1)*10000-V18)</f>
        <v/>
      </c>
    </row>
    <row r="19">
      <c r="A19">
        <f>IF(A$2=0,"",IFERROR(TRIM(INDEX('Pegar estudiantes'!$A$1:$BZ$1001,18,A$2)&amp;""),""))</f>
        <v/>
      </c>
      <c r="B19">
        <f>IF(B$2=0,"",IFERROR(TRIM(INDEX('Pegar estudiantes'!$A$1:$BZ$1001,18,B$2)&amp;""),""))</f>
        <v/>
      </c>
      <c r="C19">
        <f>IF(C$2=0,"",IFERROR(TRIM(INDEX('Pegar estudiantes'!$A$1:$BZ$1001,18,C$2)&amp;""),""))</f>
        <v/>
      </c>
      <c r="D19">
        <f>IF(D$2=0,"",IFERROR(TRIM(INDEX('Pegar estudiantes'!$A$1:$BZ$1001,18,D$2)&amp;""),""))</f>
        <v/>
      </c>
      <c r="E19">
        <f>IF(E$2=0,"",IFERROR(TRIM(INDEX('Pegar estudiantes'!$A$1:$BZ$1001,18,E$2)&amp;""),""))</f>
        <v/>
      </c>
      <c r="F19">
        <f>IF(F$2=0,"",IFERROR(TRIM(INDEX('Pegar estudiantes'!$A$1:$BZ$1001,18,F$2)&amp;""),""))</f>
        <v/>
      </c>
      <c r="G19">
        <f>IF(G$2=0,"",IFERROR(TRIM(INDEX('Pegar estudiantes'!$A$1:$BZ$1001,18,G$2)&amp;""),""))</f>
        <v/>
      </c>
      <c r="H19">
        <f>IF(H$2=0,"",IFERROR(TRIM(INDEX('Pegar estudiantes'!$A$1:$BZ$1001,18,H$2)&amp;""),""))</f>
        <v/>
      </c>
      <c r="I19">
        <f>IF(I$2=0,"",IFERROR(TRIM(INDEX('Pegar estudiantes'!$A$1:$BZ$1001,18,I$2)&amp;""),""))</f>
        <v/>
      </c>
      <c r="J19">
        <f>IF(J$2=0,"",IFERROR(TRIM(INDEX('Pegar estudiantes'!$A$1:$BZ$1001,18,J$2)&amp;""),""))</f>
        <v/>
      </c>
      <c r="K19">
        <f>IF(K$2=0,"",IFERROR(TRIM(INDEX('Pegar estudiantes'!$A$1:$BZ$1001,18,K$2)&amp;""),""))</f>
        <v/>
      </c>
      <c r="L19" s="25">
        <f>IF(A19&lt;&gt;"",1,"")</f>
        <v/>
      </c>
      <c r="M19" s="25">
        <f>IF(L19=1,IF(ISNUMBER(FIND("#"&amp;MID(A19,1,1)&amp;"#","#0#1#2#3#4#5#6#7#8#9#")),IF(ISNUMBER(FIND("#"&amp;MID(A19,2,1)&amp;"#","#0#1#2#3#4#5#6#7#8#9#")),IF(AND(VALUE(LEFT(A19,2))&gt;=1,VALUE(LEFT(A19,2))&lt;=5),VALUE(LEFT(A19,2)),""),IF(AND(VALUE(LEFT(A19,1))&gt;=1,VALUE(LEFT(A19,1))&lt;=5),VALUE(LEFT(A19,1)),"")),""),"")</f>
        <v/>
      </c>
      <c r="N19" s="25">
        <f>IF(L19=1,IF(ISNUMBER(FIND("#"&amp;MID(H19,1,1)&amp;"#","#0#1#2#3#4#5#6#7#8#9#")),IF(ISNUMBER(FIND("#"&amp;MID(H19,2,1)&amp;"#","#0#1#2#3#4#5#6#7#8#9#")),IF(AND(VALUE(LEFT(H19,2))&gt;=1,VALUE(LEFT(H19,2))&lt;=5),VALUE(LEFT(H19,2)),""),IF(AND(VALUE(LEFT(H19,1))&gt;=1,VALUE(LEFT(H19,1))&lt;=5),VALUE(LEFT(H19,1)),"")),""),"")</f>
        <v/>
      </c>
      <c r="O19" s="25">
        <f>IF(AND(L19=1,B19&lt;&gt;""),SUBSTITUTE(SUBSTITUTE(SUBSTITUTE(SUBSTITUTE(SUBSTITUTE(SUBSTITUTE(SUBSTITUTE(SUBSTITUTE(SUBSTITUTE(SUBSTITUTE(SUBSTITUTE(SUBSTITUTE(LOWER(TRIM(B19)),"á","a"),"é","e"),"í","i"),"ó","o"),"ú","u"),"ü","u"),"ñ","n"),"à","a"),"è","e"),"ì","i"),"ò","o"),"ù","u"),"")</f>
        <v/>
      </c>
      <c r="P19" s="25">
        <f>IF(AND(L19=1,C19&lt;&gt;""),SUBSTITUTE(SUBSTITUTE(SUBSTITUTE(SUBSTITUTE(SUBSTITUTE(SUBSTITUTE(SUBSTITUTE(SUBSTITUTE(SUBSTITUTE(SUBSTITUTE(SUBSTITUTE(SUBSTITUTE(LOWER(TRIM(C19)),"á","a"),"é","e"),"í","i"),"ó","o"),"ú","u"),"ü","u"),"ñ","n"),"à","a"),"è","e"),"ì","i"),"ò","o"),"ù","u"),"")</f>
        <v/>
      </c>
      <c r="Q19" s="25">
        <f>IF(AND(L19=1,E19&lt;&gt;""),SUBSTITUTE(SUBSTITUTE(SUBSTITUTE(SUBSTITUTE(SUBSTITUTE(SUBSTITUTE(SUBSTITUTE(SUBSTITUTE(SUBSTITUTE(SUBSTITUTE(SUBSTITUTE(SUBSTITUTE(LOWER(TRIM(E19)),"á","a"),"é","e"),"í","i"),"ó","o"),"ú","u"),"ü","u"),"ñ","n"),"à","a"),"è","e"),"ì","i"),"ò","o"),"ù","u"),"")</f>
        <v/>
      </c>
      <c r="R19" s="25">
        <f>IF(AND(L19=1,I19&lt;&gt;""),SUBSTITUTE(SUBSTITUTE(SUBSTITUTE(SUBSTITUTE(SUBSTITUTE(SUBSTITUTE(SUBSTITUTE(SUBSTITUTE(SUBSTITUTE(SUBSTITUTE(SUBSTITUTE(SUBSTITUTE(LOWER(TRIM(I19)),"á","a"),"é","e"),"í","i"),"ó","o"),"ú","u"),"ü","u"),"ñ","n"),"à","a"),"è","e"),"ì","i"),"ò","o"),"ù","u"),"")</f>
        <v/>
      </c>
      <c r="S19" s="25">
        <f>IF(R19="","",IF(OR(R19="si",R19="tal vez"),1,0))</f>
        <v/>
      </c>
      <c r="T19" s="25">
        <f>IF(AND(L19=1,D19&lt;&gt;""),IF(IFERROR(COUNTIFS(D$3:D19,"="&amp;SUBSTITUTE(SUBSTITUTE(SUBSTITUTE(D19,"~","~~"),"*","~*"),"?","~?"),L$3:L19,1),0)=1,MAX(T$2:T18)+1,""),"")</f>
        <v/>
      </c>
      <c r="U19" s="25">
        <f>IF(T19="","",COUNTIFS($D$3:$D$1002,"="&amp;SUBSTITUTE(SUBSTITUTE(SUBSTITUTE(D19,"~","~~"),"*","~*"),"?","~?"),$L$3:$L$1002,1)*10000-T19)</f>
        <v/>
      </c>
      <c r="V19" s="25">
        <f>IF(AND(L19=1,J19&lt;&gt;""),IF(IFERROR(COUNTIFS(J$3:J19,"="&amp;SUBSTITUTE(SUBSTITUTE(SUBSTITUTE(J19,"~","~~"),"*","~*"),"?","~?"),L$3:L19,1),0)=1,MAX(V$2:V18)+1,""),"")</f>
        <v/>
      </c>
      <c r="W19" s="25">
        <f>IF(V19="","",COUNTIFS($J$3:$J$1002,"="&amp;SUBSTITUTE(SUBSTITUTE(SUBSTITUTE(J19,"~","~~"),"*","~*"),"?","~?"),$L$3:$L$1002,1)*10000-V19)</f>
        <v/>
      </c>
    </row>
    <row r="20">
      <c r="A20">
        <f>IF(A$2=0,"",IFERROR(TRIM(INDEX('Pegar estudiantes'!$A$1:$BZ$1001,19,A$2)&amp;""),""))</f>
        <v/>
      </c>
      <c r="B20">
        <f>IF(B$2=0,"",IFERROR(TRIM(INDEX('Pegar estudiantes'!$A$1:$BZ$1001,19,B$2)&amp;""),""))</f>
        <v/>
      </c>
      <c r="C20">
        <f>IF(C$2=0,"",IFERROR(TRIM(INDEX('Pegar estudiantes'!$A$1:$BZ$1001,19,C$2)&amp;""),""))</f>
        <v/>
      </c>
      <c r="D20">
        <f>IF(D$2=0,"",IFERROR(TRIM(INDEX('Pegar estudiantes'!$A$1:$BZ$1001,19,D$2)&amp;""),""))</f>
        <v/>
      </c>
      <c r="E20">
        <f>IF(E$2=0,"",IFERROR(TRIM(INDEX('Pegar estudiantes'!$A$1:$BZ$1001,19,E$2)&amp;""),""))</f>
        <v/>
      </c>
      <c r="F20">
        <f>IF(F$2=0,"",IFERROR(TRIM(INDEX('Pegar estudiantes'!$A$1:$BZ$1001,19,F$2)&amp;""),""))</f>
        <v/>
      </c>
      <c r="G20">
        <f>IF(G$2=0,"",IFERROR(TRIM(INDEX('Pegar estudiantes'!$A$1:$BZ$1001,19,G$2)&amp;""),""))</f>
        <v/>
      </c>
      <c r="H20">
        <f>IF(H$2=0,"",IFERROR(TRIM(INDEX('Pegar estudiantes'!$A$1:$BZ$1001,19,H$2)&amp;""),""))</f>
        <v/>
      </c>
      <c r="I20">
        <f>IF(I$2=0,"",IFERROR(TRIM(INDEX('Pegar estudiantes'!$A$1:$BZ$1001,19,I$2)&amp;""),""))</f>
        <v/>
      </c>
      <c r="J20">
        <f>IF(J$2=0,"",IFERROR(TRIM(INDEX('Pegar estudiantes'!$A$1:$BZ$1001,19,J$2)&amp;""),""))</f>
        <v/>
      </c>
      <c r="K20">
        <f>IF(K$2=0,"",IFERROR(TRIM(INDEX('Pegar estudiantes'!$A$1:$BZ$1001,19,K$2)&amp;""),""))</f>
        <v/>
      </c>
      <c r="L20" s="25">
        <f>IF(A20&lt;&gt;"",1,"")</f>
        <v/>
      </c>
      <c r="M20" s="25">
        <f>IF(L20=1,IF(ISNUMBER(FIND("#"&amp;MID(A20,1,1)&amp;"#","#0#1#2#3#4#5#6#7#8#9#")),IF(ISNUMBER(FIND("#"&amp;MID(A20,2,1)&amp;"#","#0#1#2#3#4#5#6#7#8#9#")),IF(AND(VALUE(LEFT(A20,2))&gt;=1,VALUE(LEFT(A20,2))&lt;=5),VALUE(LEFT(A20,2)),""),IF(AND(VALUE(LEFT(A20,1))&gt;=1,VALUE(LEFT(A20,1))&lt;=5),VALUE(LEFT(A20,1)),"")),""),"")</f>
        <v/>
      </c>
      <c r="N20" s="25">
        <f>IF(L20=1,IF(ISNUMBER(FIND("#"&amp;MID(H20,1,1)&amp;"#","#0#1#2#3#4#5#6#7#8#9#")),IF(ISNUMBER(FIND("#"&amp;MID(H20,2,1)&amp;"#","#0#1#2#3#4#5#6#7#8#9#")),IF(AND(VALUE(LEFT(H20,2))&gt;=1,VALUE(LEFT(H20,2))&lt;=5),VALUE(LEFT(H20,2)),""),IF(AND(VALUE(LEFT(H20,1))&gt;=1,VALUE(LEFT(H20,1))&lt;=5),VALUE(LEFT(H20,1)),"")),""),"")</f>
        <v/>
      </c>
      <c r="O20" s="25">
        <f>IF(AND(L20=1,B20&lt;&gt;""),SUBSTITUTE(SUBSTITUTE(SUBSTITUTE(SUBSTITUTE(SUBSTITUTE(SUBSTITUTE(SUBSTITUTE(SUBSTITUTE(SUBSTITUTE(SUBSTITUTE(SUBSTITUTE(SUBSTITUTE(LOWER(TRIM(B20)),"á","a"),"é","e"),"í","i"),"ó","o"),"ú","u"),"ü","u"),"ñ","n"),"à","a"),"è","e"),"ì","i"),"ò","o"),"ù","u"),"")</f>
        <v/>
      </c>
      <c r="P20" s="25">
        <f>IF(AND(L20=1,C20&lt;&gt;""),SUBSTITUTE(SUBSTITUTE(SUBSTITUTE(SUBSTITUTE(SUBSTITUTE(SUBSTITUTE(SUBSTITUTE(SUBSTITUTE(SUBSTITUTE(SUBSTITUTE(SUBSTITUTE(SUBSTITUTE(LOWER(TRIM(C20)),"á","a"),"é","e"),"í","i"),"ó","o"),"ú","u"),"ü","u"),"ñ","n"),"à","a"),"è","e"),"ì","i"),"ò","o"),"ù","u"),"")</f>
        <v/>
      </c>
      <c r="Q20" s="25">
        <f>IF(AND(L20=1,E20&lt;&gt;""),SUBSTITUTE(SUBSTITUTE(SUBSTITUTE(SUBSTITUTE(SUBSTITUTE(SUBSTITUTE(SUBSTITUTE(SUBSTITUTE(SUBSTITUTE(SUBSTITUTE(SUBSTITUTE(SUBSTITUTE(LOWER(TRIM(E20)),"á","a"),"é","e"),"í","i"),"ó","o"),"ú","u"),"ü","u"),"ñ","n"),"à","a"),"è","e"),"ì","i"),"ò","o"),"ù","u"),"")</f>
        <v/>
      </c>
      <c r="R20" s="25">
        <f>IF(AND(L20=1,I20&lt;&gt;""),SUBSTITUTE(SUBSTITUTE(SUBSTITUTE(SUBSTITUTE(SUBSTITUTE(SUBSTITUTE(SUBSTITUTE(SUBSTITUTE(SUBSTITUTE(SUBSTITUTE(SUBSTITUTE(SUBSTITUTE(LOWER(TRIM(I20)),"á","a"),"é","e"),"í","i"),"ó","o"),"ú","u"),"ü","u"),"ñ","n"),"à","a"),"è","e"),"ì","i"),"ò","o"),"ù","u"),"")</f>
        <v/>
      </c>
      <c r="S20" s="25">
        <f>IF(R20="","",IF(OR(R20="si",R20="tal vez"),1,0))</f>
        <v/>
      </c>
      <c r="T20" s="25">
        <f>IF(AND(L20=1,D20&lt;&gt;""),IF(IFERROR(COUNTIFS(D$3:D20,"="&amp;SUBSTITUTE(SUBSTITUTE(SUBSTITUTE(D20,"~","~~"),"*","~*"),"?","~?"),L$3:L20,1),0)=1,MAX(T$2:T19)+1,""),"")</f>
        <v/>
      </c>
      <c r="U20" s="25">
        <f>IF(T20="","",COUNTIFS($D$3:$D$1002,"="&amp;SUBSTITUTE(SUBSTITUTE(SUBSTITUTE(D20,"~","~~"),"*","~*"),"?","~?"),$L$3:$L$1002,1)*10000-T20)</f>
        <v/>
      </c>
      <c r="V20" s="25">
        <f>IF(AND(L20=1,J20&lt;&gt;""),IF(IFERROR(COUNTIFS(J$3:J20,"="&amp;SUBSTITUTE(SUBSTITUTE(SUBSTITUTE(J20,"~","~~"),"*","~*"),"?","~?"),L$3:L20,1),0)=1,MAX(V$2:V19)+1,""),"")</f>
        <v/>
      </c>
      <c r="W20" s="25">
        <f>IF(V20="","",COUNTIFS($J$3:$J$1002,"="&amp;SUBSTITUTE(SUBSTITUTE(SUBSTITUTE(J20,"~","~~"),"*","~*"),"?","~?"),$L$3:$L$1002,1)*10000-V20)</f>
        <v/>
      </c>
    </row>
    <row r="21">
      <c r="A21">
        <f>IF(A$2=0,"",IFERROR(TRIM(INDEX('Pegar estudiantes'!$A$1:$BZ$1001,20,A$2)&amp;""),""))</f>
        <v/>
      </c>
      <c r="B21">
        <f>IF(B$2=0,"",IFERROR(TRIM(INDEX('Pegar estudiantes'!$A$1:$BZ$1001,20,B$2)&amp;""),""))</f>
        <v/>
      </c>
      <c r="C21">
        <f>IF(C$2=0,"",IFERROR(TRIM(INDEX('Pegar estudiantes'!$A$1:$BZ$1001,20,C$2)&amp;""),""))</f>
        <v/>
      </c>
      <c r="D21">
        <f>IF(D$2=0,"",IFERROR(TRIM(INDEX('Pegar estudiantes'!$A$1:$BZ$1001,20,D$2)&amp;""),""))</f>
        <v/>
      </c>
      <c r="E21">
        <f>IF(E$2=0,"",IFERROR(TRIM(INDEX('Pegar estudiantes'!$A$1:$BZ$1001,20,E$2)&amp;""),""))</f>
        <v/>
      </c>
      <c r="F21">
        <f>IF(F$2=0,"",IFERROR(TRIM(INDEX('Pegar estudiantes'!$A$1:$BZ$1001,20,F$2)&amp;""),""))</f>
        <v/>
      </c>
      <c r="G21">
        <f>IF(G$2=0,"",IFERROR(TRIM(INDEX('Pegar estudiantes'!$A$1:$BZ$1001,20,G$2)&amp;""),""))</f>
        <v/>
      </c>
      <c r="H21">
        <f>IF(H$2=0,"",IFERROR(TRIM(INDEX('Pegar estudiantes'!$A$1:$BZ$1001,20,H$2)&amp;""),""))</f>
        <v/>
      </c>
      <c r="I21">
        <f>IF(I$2=0,"",IFERROR(TRIM(INDEX('Pegar estudiantes'!$A$1:$BZ$1001,20,I$2)&amp;""),""))</f>
        <v/>
      </c>
      <c r="J21">
        <f>IF(J$2=0,"",IFERROR(TRIM(INDEX('Pegar estudiantes'!$A$1:$BZ$1001,20,J$2)&amp;""),""))</f>
        <v/>
      </c>
      <c r="K21">
        <f>IF(K$2=0,"",IFERROR(TRIM(INDEX('Pegar estudiantes'!$A$1:$BZ$1001,20,K$2)&amp;""),""))</f>
        <v/>
      </c>
      <c r="L21" s="25">
        <f>IF(A21&lt;&gt;"",1,"")</f>
        <v/>
      </c>
      <c r="M21" s="25">
        <f>IF(L21=1,IF(ISNUMBER(FIND("#"&amp;MID(A21,1,1)&amp;"#","#0#1#2#3#4#5#6#7#8#9#")),IF(ISNUMBER(FIND("#"&amp;MID(A21,2,1)&amp;"#","#0#1#2#3#4#5#6#7#8#9#")),IF(AND(VALUE(LEFT(A21,2))&gt;=1,VALUE(LEFT(A21,2))&lt;=5),VALUE(LEFT(A21,2)),""),IF(AND(VALUE(LEFT(A21,1))&gt;=1,VALUE(LEFT(A21,1))&lt;=5),VALUE(LEFT(A21,1)),"")),""),"")</f>
        <v/>
      </c>
      <c r="N21" s="25">
        <f>IF(L21=1,IF(ISNUMBER(FIND("#"&amp;MID(H21,1,1)&amp;"#","#0#1#2#3#4#5#6#7#8#9#")),IF(ISNUMBER(FIND("#"&amp;MID(H21,2,1)&amp;"#","#0#1#2#3#4#5#6#7#8#9#")),IF(AND(VALUE(LEFT(H21,2))&gt;=1,VALUE(LEFT(H21,2))&lt;=5),VALUE(LEFT(H21,2)),""),IF(AND(VALUE(LEFT(H21,1))&gt;=1,VALUE(LEFT(H21,1))&lt;=5),VALUE(LEFT(H21,1)),"")),""),"")</f>
        <v/>
      </c>
      <c r="O21" s="25">
        <f>IF(AND(L21=1,B21&lt;&gt;""),SUBSTITUTE(SUBSTITUTE(SUBSTITUTE(SUBSTITUTE(SUBSTITUTE(SUBSTITUTE(SUBSTITUTE(SUBSTITUTE(SUBSTITUTE(SUBSTITUTE(SUBSTITUTE(SUBSTITUTE(LOWER(TRIM(B21)),"á","a"),"é","e"),"í","i"),"ó","o"),"ú","u"),"ü","u"),"ñ","n"),"à","a"),"è","e"),"ì","i"),"ò","o"),"ù","u"),"")</f>
        <v/>
      </c>
      <c r="P21" s="25">
        <f>IF(AND(L21=1,C21&lt;&gt;""),SUBSTITUTE(SUBSTITUTE(SUBSTITUTE(SUBSTITUTE(SUBSTITUTE(SUBSTITUTE(SUBSTITUTE(SUBSTITUTE(SUBSTITUTE(SUBSTITUTE(SUBSTITUTE(SUBSTITUTE(LOWER(TRIM(C21)),"á","a"),"é","e"),"í","i"),"ó","o"),"ú","u"),"ü","u"),"ñ","n"),"à","a"),"è","e"),"ì","i"),"ò","o"),"ù","u"),"")</f>
        <v/>
      </c>
      <c r="Q21" s="25">
        <f>IF(AND(L21=1,E21&lt;&gt;""),SUBSTITUTE(SUBSTITUTE(SUBSTITUTE(SUBSTITUTE(SUBSTITUTE(SUBSTITUTE(SUBSTITUTE(SUBSTITUTE(SUBSTITUTE(SUBSTITUTE(SUBSTITUTE(SUBSTITUTE(LOWER(TRIM(E21)),"á","a"),"é","e"),"í","i"),"ó","o"),"ú","u"),"ü","u"),"ñ","n"),"à","a"),"è","e"),"ì","i"),"ò","o"),"ù","u"),"")</f>
        <v/>
      </c>
      <c r="R21" s="25">
        <f>IF(AND(L21=1,I21&lt;&gt;""),SUBSTITUTE(SUBSTITUTE(SUBSTITUTE(SUBSTITUTE(SUBSTITUTE(SUBSTITUTE(SUBSTITUTE(SUBSTITUTE(SUBSTITUTE(SUBSTITUTE(SUBSTITUTE(SUBSTITUTE(LOWER(TRIM(I21)),"á","a"),"é","e"),"í","i"),"ó","o"),"ú","u"),"ü","u"),"ñ","n"),"à","a"),"è","e"),"ì","i"),"ò","o"),"ù","u"),"")</f>
        <v/>
      </c>
      <c r="S21" s="25">
        <f>IF(R21="","",IF(OR(R21="si",R21="tal vez"),1,0))</f>
        <v/>
      </c>
      <c r="T21" s="25">
        <f>IF(AND(L21=1,D21&lt;&gt;""),IF(IFERROR(COUNTIFS(D$3:D21,"="&amp;SUBSTITUTE(SUBSTITUTE(SUBSTITUTE(D21,"~","~~"),"*","~*"),"?","~?"),L$3:L21,1),0)=1,MAX(T$2:T20)+1,""),"")</f>
        <v/>
      </c>
      <c r="U21" s="25">
        <f>IF(T21="","",COUNTIFS($D$3:$D$1002,"="&amp;SUBSTITUTE(SUBSTITUTE(SUBSTITUTE(D21,"~","~~"),"*","~*"),"?","~?"),$L$3:$L$1002,1)*10000-T21)</f>
        <v/>
      </c>
      <c r="V21" s="25">
        <f>IF(AND(L21=1,J21&lt;&gt;""),IF(IFERROR(COUNTIFS(J$3:J21,"="&amp;SUBSTITUTE(SUBSTITUTE(SUBSTITUTE(J21,"~","~~"),"*","~*"),"?","~?"),L$3:L21,1),0)=1,MAX(V$2:V20)+1,""),"")</f>
        <v/>
      </c>
      <c r="W21" s="25">
        <f>IF(V21="","",COUNTIFS($J$3:$J$1002,"="&amp;SUBSTITUTE(SUBSTITUTE(SUBSTITUTE(J21,"~","~~"),"*","~*"),"?","~?"),$L$3:$L$1002,1)*10000-V21)</f>
        <v/>
      </c>
    </row>
    <row r="22">
      <c r="A22">
        <f>IF(A$2=0,"",IFERROR(TRIM(INDEX('Pegar estudiantes'!$A$1:$BZ$1001,21,A$2)&amp;""),""))</f>
        <v/>
      </c>
      <c r="B22">
        <f>IF(B$2=0,"",IFERROR(TRIM(INDEX('Pegar estudiantes'!$A$1:$BZ$1001,21,B$2)&amp;""),""))</f>
        <v/>
      </c>
      <c r="C22">
        <f>IF(C$2=0,"",IFERROR(TRIM(INDEX('Pegar estudiantes'!$A$1:$BZ$1001,21,C$2)&amp;""),""))</f>
        <v/>
      </c>
      <c r="D22">
        <f>IF(D$2=0,"",IFERROR(TRIM(INDEX('Pegar estudiantes'!$A$1:$BZ$1001,21,D$2)&amp;""),""))</f>
        <v/>
      </c>
      <c r="E22">
        <f>IF(E$2=0,"",IFERROR(TRIM(INDEX('Pegar estudiantes'!$A$1:$BZ$1001,21,E$2)&amp;""),""))</f>
        <v/>
      </c>
      <c r="F22">
        <f>IF(F$2=0,"",IFERROR(TRIM(INDEX('Pegar estudiantes'!$A$1:$BZ$1001,21,F$2)&amp;""),""))</f>
        <v/>
      </c>
      <c r="G22">
        <f>IF(G$2=0,"",IFERROR(TRIM(INDEX('Pegar estudiantes'!$A$1:$BZ$1001,21,G$2)&amp;""),""))</f>
        <v/>
      </c>
      <c r="H22">
        <f>IF(H$2=0,"",IFERROR(TRIM(INDEX('Pegar estudiantes'!$A$1:$BZ$1001,21,H$2)&amp;""),""))</f>
        <v/>
      </c>
      <c r="I22">
        <f>IF(I$2=0,"",IFERROR(TRIM(INDEX('Pegar estudiantes'!$A$1:$BZ$1001,21,I$2)&amp;""),""))</f>
        <v/>
      </c>
      <c r="J22">
        <f>IF(J$2=0,"",IFERROR(TRIM(INDEX('Pegar estudiantes'!$A$1:$BZ$1001,21,J$2)&amp;""),""))</f>
        <v/>
      </c>
      <c r="K22">
        <f>IF(K$2=0,"",IFERROR(TRIM(INDEX('Pegar estudiantes'!$A$1:$BZ$1001,21,K$2)&amp;""),""))</f>
        <v/>
      </c>
      <c r="L22" s="25">
        <f>IF(A22&lt;&gt;"",1,"")</f>
        <v/>
      </c>
      <c r="M22" s="25">
        <f>IF(L22=1,IF(ISNUMBER(FIND("#"&amp;MID(A22,1,1)&amp;"#","#0#1#2#3#4#5#6#7#8#9#")),IF(ISNUMBER(FIND("#"&amp;MID(A22,2,1)&amp;"#","#0#1#2#3#4#5#6#7#8#9#")),IF(AND(VALUE(LEFT(A22,2))&gt;=1,VALUE(LEFT(A22,2))&lt;=5),VALUE(LEFT(A22,2)),""),IF(AND(VALUE(LEFT(A22,1))&gt;=1,VALUE(LEFT(A22,1))&lt;=5),VALUE(LEFT(A22,1)),"")),""),"")</f>
        <v/>
      </c>
      <c r="N22" s="25">
        <f>IF(L22=1,IF(ISNUMBER(FIND("#"&amp;MID(H22,1,1)&amp;"#","#0#1#2#3#4#5#6#7#8#9#")),IF(ISNUMBER(FIND("#"&amp;MID(H22,2,1)&amp;"#","#0#1#2#3#4#5#6#7#8#9#")),IF(AND(VALUE(LEFT(H22,2))&gt;=1,VALUE(LEFT(H22,2))&lt;=5),VALUE(LEFT(H22,2)),""),IF(AND(VALUE(LEFT(H22,1))&gt;=1,VALUE(LEFT(H22,1))&lt;=5),VALUE(LEFT(H22,1)),"")),""),"")</f>
        <v/>
      </c>
      <c r="O22" s="25">
        <f>IF(AND(L22=1,B22&lt;&gt;""),SUBSTITUTE(SUBSTITUTE(SUBSTITUTE(SUBSTITUTE(SUBSTITUTE(SUBSTITUTE(SUBSTITUTE(SUBSTITUTE(SUBSTITUTE(SUBSTITUTE(SUBSTITUTE(SUBSTITUTE(LOWER(TRIM(B22)),"á","a"),"é","e"),"í","i"),"ó","o"),"ú","u"),"ü","u"),"ñ","n"),"à","a"),"è","e"),"ì","i"),"ò","o"),"ù","u"),"")</f>
        <v/>
      </c>
      <c r="P22" s="25">
        <f>IF(AND(L22=1,C22&lt;&gt;""),SUBSTITUTE(SUBSTITUTE(SUBSTITUTE(SUBSTITUTE(SUBSTITUTE(SUBSTITUTE(SUBSTITUTE(SUBSTITUTE(SUBSTITUTE(SUBSTITUTE(SUBSTITUTE(SUBSTITUTE(LOWER(TRIM(C22)),"á","a"),"é","e"),"í","i"),"ó","o"),"ú","u"),"ü","u"),"ñ","n"),"à","a"),"è","e"),"ì","i"),"ò","o"),"ù","u"),"")</f>
        <v/>
      </c>
      <c r="Q22" s="25">
        <f>IF(AND(L22=1,E22&lt;&gt;""),SUBSTITUTE(SUBSTITUTE(SUBSTITUTE(SUBSTITUTE(SUBSTITUTE(SUBSTITUTE(SUBSTITUTE(SUBSTITUTE(SUBSTITUTE(SUBSTITUTE(SUBSTITUTE(SUBSTITUTE(LOWER(TRIM(E22)),"á","a"),"é","e"),"í","i"),"ó","o"),"ú","u"),"ü","u"),"ñ","n"),"à","a"),"è","e"),"ì","i"),"ò","o"),"ù","u"),"")</f>
        <v/>
      </c>
      <c r="R22" s="25">
        <f>IF(AND(L22=1,I22&lt;&gt;""),SUBSTITUTE(SUBSTITUTE(SUBSTITUTE(SUBSTITUTE(SUBSTITUTE(SUBSTITUTE(SUBSTITUTE(SUBSTITUTE(SUBSTITUTE(SUBSTITUTE(SUBSTITUTE(SUBSTITUTE(LOWER(TRIM(I22)),"á","a"),"é","e"),"í","i"),"ó","o"),"ú","u"),"ü","u"),"ñ","n"),"à","a"),"è","e"),"ì","i"),"ò","o"),"ù","u"),"")</f>
        <v/>
      </c>
      <c r="S22" s="25">
        <f>IF(R22="","",IF(OR(R22="si",R22="tal vez"),1,0))</f>
        <v/>
      </c>
      <c r="T22" s="25">
        <f>IF(AND(L22=1,D22&lt;&gt;""),IF(IFERROR(COUNTIFS(D$3:D22,"="&amp;SUBSTITUTE(SUBSTITUTE(SUBSTITUTE(D22,"~","~~"),"*","~*"),"?","~?"),L$3:L22,1),0)=1,MAX(T$2:T21)+1,""),"")</f>
        <v/>
      </c>
      <c r="U22" s="25">
        <f>IF(T22="","",COUNTIFS($D$3:$D$1002,"="&amp;SUBSTITUTE(SUBSTITUTE(SUBSTITUTE(D22,"~","~~"),"*","~*"),"?","~?"),$L$3:$L$1002,1)*10000-T22)</f>
        <v/>
      </c>
      <c r="V22" s="25">
        <f>IF(AND(L22=1,J22&lt;&gt;""),IF(IFERROR(COUNTIFS(J$3:J22,"="&amp;SUBSTITUTE(SUBSTITUTE(SUBSTITUTE(J22,"~","~~"),"*","~*"),"?","~?"),L$3:L22,1),0)=1,MAX(V$2:V21)+1,""),"")</f>
        <v/>
      </c>
      <c r="W22" s="25">
        <f>IF(V22="","",COUNTIFS($J$3:$J$1002,"="&amp;SUBSTITUTE(SUBSTITUTE(SUBSTITUTE(J22,"~","~~"),"*","~*"),"?","~?"),$L$3:$L$1002,1)*10000-V22)</f>
        <v/>
      </c>
    </row>
    <row r="23">
      <c r="A23">
        <f>IF(A$2=0,"",IFERROR(TRIM(INDEX('Pegar estudiantes'!$A$1:$BZ$1001,22,A$2)&amp;""),""))</f>
        <v/>
      </c>
      <c r="B23">
        <f>IF(B$2=0,"",IFERROR(TRIM(INDEX('Pegar estudiantes'!$A$1:$BZ$1001,22,B$2)&amp;""),""))</f>
        <v/>
      </c>
      <c r="C23">
        <f>IF(C$2=0,"",IFERROR(TRIM(INDEX('Pegar estudiantes'!$A$1:$BZ$1001,22,C$2)&amp;""),""))</f>
        <v/>
      </c>
      <c r="D23">
        <f>IF(D$2=0,"",IFERROR(TRIM(INDEX('Pegar estudiantes'!$A$1:$BZ$1001,22,D$2)&amp;""),""))</f>
        <v/>
      </c>
      <c r="E23">
        <f>IF(E$2=0,"",IFERROR(TRIM(INDEX('Pegar estudiantes'!$A$1:$BZ$1001,22,E$2)&amp;""),""))</f>
        <v/>
      </c>
      <c r="F23">
        <f>IF(F$2=0,"",IFERROR(TRIM(INDEX('Pegar estudiantes'!$A$1:$BZ$1001,22,F$2)&amp;""),""))</f>
        <v/>
      </c>
      <c r="G23">
        <f>IF(G$2=0,"",IFERROR(TRIM(INDEX('Pegar estudiantes'!$A$1:$BZ$1001,22,G$2)&amp;""),""))</f>
        <v/>
      </c>
      <c r="H23">
        <f>IF(H$2=0,"",IFERROR(TRIM(INDEX('Pegar estudiantes'!$A$1:$BZ$1001,22,H$2)&amp;""),""))</f>
        <v/>
      </c>
      <c r="I23">
        <f>IF(I$2=0,"",IFERROR(TRIM(INDEX('Pegar estudiantes'!$A$1:$BZ$1001,22,I$2)&amp;""),""))</f>
        <v/>
      </c>
      <c r="J23">
        <f>IF(J$2=0,"",IFERROR(TRIM(INDEX('Pegar estudiantes'!$A$1:$BZ$1001,22,J$2)&amp;""),""))</f>
        <v/>
      </c>
      <c r="K23">
        <f>IF(K$2=0,"",IFERROR(TRIM(INDEX('Pegar estudiantes'!$A$1:$BZ$1001,22,K$2)&amp;""),""))</f>
        <v/>
      </c>
      <c r="L23" s="25">
        <f>IF(A23&lt;&gt;"",1,"")</f>
        <v/>
      </c>
      <c r="M23" s="25">
        <f>IF(L23=1,IF(ISNUMBER(FIND("#"&amp;MID(A23,1,1)&amp;"#","#0#1#2#3#4#5#6#7#8#9#")),IF(ISNUMBER(FIND("#"&amp;MID(A23,2,1)&amp;"#","#0#1#2#3#4#5#6#7#8#9#")),IF(AND(VALUE(LEFT(A23,2))&gt;=1,VALUE(LEFT(A23,2))&lt;=5),VALUE(LEFT(A23,2)),""),IF(AND(VALUE(LEFT(A23,1))&gt;=1,VALUE(LEFT(A23,1))&lt;=5),VALUE(LEFT(A23,1)),"")),""),"")</f>
        <v/>
      </c>
      <c r="N23" s="25">
        <f>IF(L23=1,IF(ISNUMBER(FIND("#"&amp;MID(H23,1,1)&amp;"#","#0#1#2#3#4#5#6#7#8#9#")),IF(ISNUMBER(FIND("#"&amp;MID(H23,2,1)&amp;"#","#0#1#2#3#4#5#6#7#8#9#")),IF(AND(VALUE(LEFT(H23,2))&gt;=1,VALUE(LEFT(H23,2))&lt;=5),VALUE(LEFT(H23,2)),""),IF(AND(VALUE(LEFT(H23,1))&gt;=1,VALUE(LEFT(H23,1))&lt;=5),VALUE(LEFT(H23,1)),"")),""),"")</f>
        <v/>
      </c>
      <c r="O23" s="25">
        <f>IF(AND(L23=1,B23&lt;&gt;""),SUBSTITUTE(SUBSTITUTE(SUBSTITUTE(SUBSTITUTE(SUBSTITUTE(SUBSTITUTE(SUBSTITUTE(SUBSTITUTE(SUBSTITUTE(SUBSTITUTE(SUBSTITUTE(SUBSTITUTE(LOWER(TRIM(B23)),"á","a"),"é","e"),"í","i"),"ó","o"),"ú","u"),"ü","u"),"ñ","n"),"à","a"),"è","e"),"ì","i"),"ò","o"),"ù","u"),"")</f>
        <v/>
      </c>
      <c r="P23" s="25">
        <f>IF(AND(L23=1,C23&lt;&gt;""),SUBSTITUTE(SUBSTITUTE(SUBSTITUTE(SUBSTITUTE(SUBSTITUTE(SUBSTITUTE(SUBSTITUTE(SUBSTITUTE(SUBSTITUTE(SUBSTITUTE(SUBSTITUTE(SUBSTITUTE(LOWER(TRIM(C23)),"á","a"),"é","e"),"í","i"),"ó","o"),"ú","u"),"ü","u"),"ñ","n"),"à","a"),"è","e"),"ì","i"),"ò","o"),"ù","u"),"")</f>
        <v/>
      </c>
      <c r="Q23" s="25">
        <f>IF(AND(L23=1,E23&lt;&gt;""),SUBSTITUTE(SUBSTITUTE(SUBSTITUTE(SUBSTITUTE(SUBSTITUTE(SUBSTITUTE(SUBSTITUTE(SUBSTITUTE(SUBSTITUTE(SUBSTITUTE(SUBSTITUTE(SUBSTITUTE(LOWER(TRIM(E23)),"á","a"),"é","e"),"í","i"),"ó","o"),"ú","u"),"ü","u"),"ñ","n"),"à","a"),"è","e"),"ì","i"),"ò","o"),"ù","u"),"")</f>
        <v/>
      </c>
      <c r="R23" s="25">
        <f>IF(AND(L23=1,I23&lt;&gt;""),SUBSTITUTE(SUBSTITUTE(SUBSTITUTE(SUBSTITUTE(SUBSTITUTE(SUBSTITUTE(SUBSTITUTE(SUBSTITUTE(SUBSTITUTE(SUBSTITUTE(SUBSTITUTE(SUBSTITUTE(LOWER(TRIM(I23)),"á","a"),"é","e"),"í","i"),"ó","o"),"ú","u"),"ü","u"),"ñ","n"),"à","a"),"è","e"),"ì","i"),"ò","o"),"ù","u"),"")</f>
        <v/>
      </c>
      <c r="S23" s="25">
        <f>IF(R23="","",IF(OR(R23="si",R23="tal vez"),1,0))</f>
        <v/>
      </c>
      <c r="T23" s="25">
        <f>IF(AND(L23=1,D23&lt;&gt;""),IF(IFERROR(COUNTIFS(D$3:D23,"="&amp;SUBSTITUTE(SUBSTITUTE(SUBSTITUTE(D23,"~","~~"),"*","~*"),"?","~?"),L$3:L23,1),0)=1,MAX(T$2:T22)+1,""),"")</f>
        <v/>
      </c>
      <c r="U23" s="25">
        <f>IF(T23="","",COUNTIFS($D$3:$D$1002,"="&amp;SUBSTITUTE(SUBSTITUTE(SUBSTITUTE(D23,"~","~~"),"*","~*"),"?","~?"),$L$3:$L$1002,1)*10000-T23)</f>
        <v/>
      </c>
      <c r="V23" s="25">
        <f>IF(AND(L23=1,J23&lt;&gt;""),IF(IFERROR(COUNTIFS(J$3:J23,"="&amp;SUBSTITUTE(SUBSTITUTE(SUBSTITUTE(J23,"~","~~"),"*","~*"),"?","~?"),L$3:L23,1),0)=1,MAX(V$2:V22)+1,""),"")</f>
        <v/>
      </c>
      <c r="W23" s="25">
        <f>IF(V23="","",COUNTIFS($J$3:$J$1002,"="&amp;SUBSTITUTE(SUBSTITUTE(SUBSTITUTE(J23,"~","~~"),"*","~*"),"?","~?"),$L$3:$L$1002,1)*10000-V23)</f>
        <v/>
      </c>
    </row>
    <row r="24">
      <c r="A24">
        <f>IF(A$2=0,"",IFERROR(TRIM(INDEX('Pegar estudiantes'!$A$1:$BZ$1001,23,A$2)&amp;""),""))</f>
        <v/>
      </c>
      <c r="B24">
        <f>IF(B$2=0,"",IFERROR(TRIM(INDEX('Pegar estudiantes'!$A$1:$BZ$1001,23,B$2)&amp;""),""))</f>
        <v/>
      </c>
      <c r="C24">
        <f>IF(C$2=0,"",IFERROR(TRIM(INDEX('Pegar estudiantes'!$A$1:$BZ$1001,23,C$2)&amp;""),""))</f>
        <v/>
      </c>
      <c r="D24">
        <f>IF(D$2=0,"",IFERROR(TRIM(INDEX('Pegar estudiantes'!$A$1:$BZ$1001,23,D$2)&amp;""),""))</f>
        <v/>
      </c>
      <c r="E24">
        <f>IF(E$2=0,"",IFERROR(TRIM(INDEX('Pegar estudiantes'!$A$1:$BZ$1001,23,E$2)&amp;""),""))</f>
        <v/>
      </c>
      <c r="F24">
        <f>IF(F$2=0,"",IFERROR(TRIM(INDEX('Pegar estudiantes'!$A$1:$BZ$1001,23,F$2)&amp;""),""))</f>
        <v/>
      </c>
      <c r="G24">
        <f>IF(G$2=0,"",IFERROR(TRIM(INDEX('Pegar estudiantes'!$A$1:$BZ$1001,23,G$2)&amp;""),""))</f>
        <v/>
      </c>
      <c r="H24">
        <f>IF(H$2=0,"",IFERROR(TRIM(INDEX('Pegar estudiantes'!$A$1:$BZ$1001,23,H$2)&amp;""),""))</f>
        <v/>
      </c>
      <c r="I24">
        <f>IF(I$2=0,"",IFERROR(TRIM(INDEX('Pegar estudiantes'!$A$1:$BZ$1001,23,I$2)&amp;""),""))</f>
        <v/>
      </c>
      <c r="J24">
        <f>IF(J$2=0,"",IFERROR(TRIM(INDEX('Pegar estudiantes'!$A$1:$BZ$1001,23,J$2)&amp;""),""))</f>
        <v/>
      </c>
      <c r="K24">
        <f>IF(K$2=0,"",IFERROR(TRIM(INDEX('Pegar estudiantes'!$A$1:$BZ$1001,23,K$2)&amp;""),""))</f>
        <v/>
      </c>
      <c r="L24" s="25">
        <f>IF(A24&lt;&gt;"",1,"")</f>
        <v/>
      </c>
      <c r="M24" s="25">
        <f>IF(L24=1,IF(ISNUMBER(FIND("#"&amp;MID(A24,1,1)&amp;"#","#0#1#2#3#4#5#6#7#8#9#")),IF(ISNUMBER(FIND("#"&amp;MID(A24,2,1)&amp;"#","#0#1#2#3#4#5#6#7#8#9#")),IF(AND(VALUE(LEFT(A24,2))&gt;=1,VALUE(LEFT(A24,2))&lt;=5),VALUE(LEFT(A24,2)),""),IF(AND(VALUE(LEFT(A24,1))&gt;=1,VALUE(LEFT(A24,1))&lt;=5),VALUE(LEFT(A24,1)),"")),""),"")</f>
        <v/>
      </c>
      <c r="N24" s="25">
        <f>IF(L24=1,IF(ISNUMBER(FIND("#"&amp;MID(H24,1,1)&amp;"#","#0#1#2#3#4#5#6#7#8#9#")),IF(ISNUMBER(FIND("#"&amp;MID(H24,2,1)&amp;"#","#0#1#2#3#4#5#6#7#8#9#")),IF(AND(VALUE(LEFT(H24,2))&gt;=1,VALUE(LEFT(H24,2))&lt;=5),VALUE(LEFT(H24,2)),""),IF(AND(VALUE(LEFT(H24,1))&gt;=1,VALUE(LEFT(H24,1))&lt;=5),VALUE(LEFT(H24,1)),"")),""),"")</f>
        <v/>
      </c>
      <c r="O24" s="25">
        <f>IF(AND(L24=1,B24&lt;&gt;""),SUBSTITUTE(SUBSTITUTE(SUBSTITUTE(SUBSTITUTE(SUBSTITUTE(SUBSTITUTE(SUBSTITUTE(SUBSTITUTE(SUBSTITUTE(SUBSTITUTE(SUBSTITUTE(SUBSTITUTE(LOWER(TRIM(B24)),"á","a"),"é","e"),"í","i"),"ó","o"),"ú","u"),"ü","u"),"ñ","n"),"à","a"),"è","e"),"ì","i"),"ò","o"),"ù","u"),"")</f>
        <v/>
      </c>
      <c r="P24" s="25">
        <f>IF(AND(L24=1,C24&lt;&gt;""),SUBSTITUTE(SUBSTITUTE(SUBSTITUTE(SUBSTITUTE(SUBSTITUTE(SUBSTITUTE(SUBSTITUTE(SUBSTITUTE(SUBSTITUTE(SUBSTITUTE(SUBSTITUTE(SUBSTITUTE(LOWER(TRIM(C24)),"á","a"),"é","e"),"í","i"),"ó","o"),"ú","u"),"ü","u"),"ñ","n"),"à","a"),"è","e"),"ì","i"),"ò","o"),"ù","u"),"")</f>
        <v/>
      </c>
      <c r="Q24" s="25">
        <f>IF(AND(L24=1,E24&lt;&gt;""),SUBSTITUTE(SUBSTITUTE(SUBSTITUTE(SUBSTITUTE(SUBSTITUTE(SUBSTITUTE(SUBSTITUTE(SUBSTITUTE(SUBSTITUTE(SUBSTITUTE(SUBSTITUTE(SUBSTITUTE(LOWER(TRIM(E24)),"á","a"),"é","e"),"í","i"),"ó","o"),"ú","u"),"ü","u"),"ñ","n"),"à","a"),"è","e"),"ì","i"),"ò","o"),"ù","u"),"")</f>
        <v/>
      </c>
      <c r="R24" s="25">
        <f>IF(AND(L24=1,I24&lt;&gt;""),SUBSTITUTE(SUBSTITUTE(SUBSTITUTE(SUBSTITUTE(SUBSTITUTE(SUBSTITUTE(SUBSTITUTE(SUBSTITUTE(SUBSTITUTE(SUBSTITUTE(SUBSTITUTE(SUBSTITUTE(LOWER(TRIM(I24)),"á","a"),"é","e"),"í","i"),"ó","o"),"ú","u"),"ü","u"),"ñ","n"),"à","a"),"è","e"),"ì","i"),"ò","o"),"ù","u"),"")</f>
        <v/>
      </c>
      <c r="S24" s="25">
        <f>IF(R24="","",IF(OR(R24="si",R24="tal vez"),1,0))</f>
        <v/>
      </c>
      <c r="T24" s="25">
        <f>IF(AND(L24=1,D24&lt;&gt;""),IF(IFERROR(COUNTIFS(D$3:D24,"="&amp;SUBSTITUTE(SUBSTITUTE(SUBSTITUTE(D24,"~","~~"),"*","~*"),"?","~?"),L$3:L24,1),0)=1,MAX(T$2:T23)+1,""),"")</f>
        <v/>
      </c>
      <c r="U24" s="25">
        <f>IF(T24="","",COUNTIFS($D$3:$D$1002,"="&amp;SUBSTITUTE(SUBSTITUTE(SUBSTITUTE(D24,"~","~~"),"*","~*"),"?","~?"),$L$3:$L$1002,1)*10000-T24)</f>
        <v/>
      </c>
      <c r="V24" s="25">
        <f>IF(AND(L24=1,J24&lt;&gt;""),IF(IFERROR(COUNTIFS(J$3:J24,"="&amp;SUBSTITUTE(SUBSTITUTE(SUBSTITUTE(J24,"~","~~"),"*","~*"),"?","~?"),L$3:L24,1),0)=1,MAX(V$2:V23)+1,""),"")</f>
        <v/>
      </c>
      <c r="W24" s="25">
        <f>IF(V24="","",COUNTIFS($J$3:$J$1002,"="&amp;SUBSTITUTE(SUBSTITUTE(SUBSTITUTE(J24,"~","~~"),"*","~*"),"?","~?"),$L$3:$L$1002,1)*10000-V24)</f>
        <v/>
      </c>
    </row>
    <row r="25">
      <c r="A25">
        <f>IF(A$2=0,"",IFERROR(TRIM(INDEX('Pegar estudiantes'!$A$1:$BZ$1001,24,A$2)&amp;""),""))</f>
        <v/>
      </c>
      <c r="B25">
        <f>IF(B$2=0,"",IFERROR(TRIM(INDEX('Pegar estudiantes'!$A$1:$BZ$1001,24,B$2)&amp;""),""))</f>
        <v/>
      </c>
      <c r="C25">
        <f>IF(C$2=0,"",IFERROR(TRIM(INDEX('Pegar estudiantes'!$A$1:$BZ$1001,24,C$2)&amp;""),""))</f>
        <v/>
      </c>
      <c r="D25">
        <f>IF(D$2=0,"",IFERROR(TRIM(INDEX('Pegar estudiantes'!$A$1:$BZ$1001,24,D$2)&amp;""),""))</f>
        <v/>
      </c>
      <c r="E25">
        <f>IF(E$2=0,"",IFERROR(TRIM(INDEX('Pegar estudiantes'!$A$1:$BZ$1001,24,E$2)&amp;""),""))</f>
        <v/>
      </c>
      <c r="F25">
        <f>IF(F$2=0,"",IFERROR(TRIM(INDEX('Pegar estudiantes'!$A$1:$BZ$1001,24,F$2)&amp;""),""))</f>
        <v/>
      </c>
      <c r="G25">
        <f>IF(G$2=0,"",IFERROR(TRIM(INDEX('Pegar estudiantes'!$A$1:$BZ$1001,24,G$2)&amp;""),""))</f>
        <v/>
      </c>
      <c r="H25">
        <f>IF(H$2=0,"",IFERROR(TRIM(INDEX('Pegar estudiantes'!$A$1:$BZ$1001,24,H$2)&amp;""),""))</f>
        <v/>
      </c>
      <c r="I25">
        <f>IF(I$2=0,"",IFERROR(TRIM(INDEX('Pegar estudiantes'!$A$1:$BZ$1001,24,I$2)&amp;""),""))</f>
        <v/>
      </c>
      <c r="J25">
        <f>IF(J$2=0,"",IFERROR(TRIM(INDEX('Pegar estudiantes'!$A$1:$BZ$1001,24,J$2)&amp;""),""))</f>
        <v/>
      </c>
      <c r="K25">
        <f>IF(K$2=0,"",IFERROR(TRIM(INDEX('Pegar estudiantes'!$A$1:$BZ$1001,24,K$2)&amp;""),""))</f>
        <v/>
      </c>
      <c r="L25" s="25">
        <f>IF(A25&lt;&gt;"",1,"")</f>
        <v/>
      </c>
      <c r="M25" s="25">
        <f>IF(L25=1,IF(ISNUMBER(FIND("#"&amp;MID(A25,1,1)&amp;"#","#0#1#2#3#4#5#6#7#8#9#")),IF(ISNUMBER(FIND("#"&amp;MID(A25,2,1)&amp;"#","#0#1#2#3#4#5#6#7#8#9#")),IF(AND(VALUE(LEFT(A25,2))&gt;=1,VALUE(LEFT(A25,2))&lt;=5),VALUE(LEFT(A25,2)),""),IF(AND(VALUE(LEFT(A25,1))&gt;=1,VALUE(LEFT(A25,1))&lt;=5),VALUE(LEFT(A25,1)),"")),""),"")</f>
        <v/>
      </c>
      <c r="N25" s="25">
        <f>IF(L25=1,IF(ISNUMBER(FIND("#"&amp;MID(H25,1,1)&amp;"#","#0#1#2#3#4#5#6#7#8#9#")),IF(ISNUMBER(FIND("#"&amp;MID(H25,2,1)&amp;"#","#0#1#2#3#4#5#6#7#8#9#")),IF(AND(VALUE(LEFT(H25,2))&gt;=1,VALUE(LEFT(H25,2))&lt;=5),VALUE(LEFT(H25,2)),""),IF(AND(VALUE(LEFT(H25,1))&gt;=1,VALUE(LEFT(H25,1))&lt;=5),VALUE(LEFT(H25,1)),"")),""),"")</f>
        <v/>
      </c>
      <c r="O25" s="25">
        <f>IF(AND(L25=1,B25&lt;&gt;""),SUBSTITUTE(SUBSTITUTE(SUBSTITUTE(SUBSTITUTE(SUBSTITUTE(SUBSTITUTE(SUBSTITUTE(SUBSTITUTE(SUBSTITUTE(SUBSTITUTE(SUBSTITUTE(SUBSTITUTE(LOWER(TRIM(B25)),"á","a"),"é","e"),"í","i"),"ó","o"),"ú","u"),"ü","u"),"ñ","n"),"à","a"),"è","e"),"ì","i"),"ò","o"),"ù","u"),"")</f>
        <v/>
      </c>
      <c r="P25" s="25">
        <f>IF(AND(L25=1,C25&lt;&gt;""),SUBSTITUTE(SUBSTITUTE(SUBSTITUTE(SUBSTITUTE(SUBSTITUTE(SUBSTITUTE(SUBSTITUTE(SUBSTITUTE(SUBSTITUTE(SUBSTITUTE(SUBSTITUTE(SUBSTITUTE(LOWER(TRIM(C25)),"á","a"),"é","e"),"í","i"),"ó","o"),"ú","u"),"ü","u"),"ñ","n"),"à","a"),"è","e"),"ì","i"),"ò","o"),"ù","u"),"")</f>
        <v/>
      </c>
      <c r="Q25" s="25">
        <f>IF(AND(L25=1,E25&lt;&gt;""),SUBSTITUTE(SUBSTITUTE(SUBSTITUTE(SUBSTITUTE(SUBSTITUTE(SUBSTITUTE(SUBSTITUTE(SUBSTITUTE(SUBSTITUTE(SUBSTITUTE(SUBSTITUTE(SUBSTITUTE(LOWER(TRIM(E25)),"á","a"),"é","e"),"í","i"),"ó","o"),"ú","u"),"ü","u"),"ñ","n"),"à","a"),"è","e"),"ì","i"),"ò","o"),"ù","u"),"")</f>
        <v/>
      </c>
      <c r="R25" s="25">
        <f>IF(AND(L25=1,I25&lt;&gt;""),SUBSTITUTE(SUBSTITUTE(SUBSTITUTE(SUBSTITUTE(SUBSTITUTE(SUBSTITUTE(SUBSTITUTE(SUBSTITUTE(SUBSTITUTE(SUBSTITUTE(SUBSTITUTE(SUBSTITUTE(LOWER(TRIM(I25)),"á","a"),"é","e"),"í","i"),"ó","o"),"ú","u"),"ü","u"),"ñ","n"),"à","a"),"è","e"),"ì","i"),"ò","o"),"ù","u"),"")</f>
        <v/>
      </c>
      <c r="S25" s="25">
        <f>IF(R25="","",IF(OR(R25="si",R25="tal vez"),1,0))</f>
        <v/>
      </c>
      <c r="T25" s="25">
        <f>IF(AND(L25=1,D25&lt;&gt;""),IF(IFERROR(COUNTIFS(D$3:D25,"="&amp;SUBSTITUTE(SUBSTITUTE(SUBSTITUTE(D25,"~","~~"),"*","~*"),"?","~?"),L$3:L25,1),0)=1,MAX(T$2:T24)+1,""),"")</f>
        <v/>
      </c>
      <c r="U25" s="25">
        <f>IF(T25="","",COUNTIFS($D$3:$D$1002,"="&amp;SUBSTITUTE(SUBSTITUTE(SUBSTITUTE(D25,"~","~~"),"*","~*"),"?","~?"),$L$3:$L$1002,1)*10000-T25)</f>
        <v/>
      </c>
      <c r="V25" s="25">
        <f>IF(AND(L25=1,J25&lt;&gt;""),IF(IFERROR(COUNTIFS(J$3:J25,"="&amp;SUBSTITUTE(SUBSTITUTE(SUBSTITUTE(J25,"~","~~"),"*","~*"),"?","~?"),L$3:L25,1),0)=1,MAX(V$2:V24)+1,""),"")</f>
        <v/>
      </c>
      <c r="W25" s="25">
        <f>IF(V25="","",COUNTIFS($J$3:$J$1002,"="&amp;SUBSTITUTE(SUBSTITUTE(SUBSTITUTE(J25,"~","~~"),"*","~*"),"?","~?"),$L$3:$L$1002,1)*10000-V25)</f>
        <v/>
      </c>
    </row>
    <row r="26">
      <c r="A26">
        <f>IF(A$2=0,"",IFERROR(TRIM(INDEX('Pegar estudiantes'!$A$1:$BZ$1001,25,A$2)&amp;""),""))</f>
        <v/>
      </c>
      <c r="B26">
        <f>IF(B$2=0,"",IFERROR(TRIM(INDEX('Pegar estudiantes'!$A$1:$BZ$1001,25,B$2)&amp;""),""))</f>
        <v/>
      </c>
      <c r="C26">
        <f>IF(C$2=0,"",IFERROR(TRIM(INDEX('Pegar estudiantes'!$A$1:$BZ$1001,25,C$2)&amp;""),""))</f>
        <v/>
      </c>
      <c r="D26">
        <f>IF(D$2=0,"",IFERROR(TRIM(INDEX('Pegar estudiantes'!$A$1:$BZ$1001,25,D$2)&amp;""),""))</f>
        <v/>
      </c>
      <c r="E26">
        <f>IF(E$2=0,"",IFERROR(TRIM(INDEX('Pegar estudiantes'!$A$1:$BZ$1001,25,E$2)&amp;""),""))</f>
        <v/>
      </c>
      <c r="F26">
        <f>IF(F$2=0,"",IFERROR(TRIM(INDEX('Pegar estudiantes'!$A$1:$BZ$1001,25,F$2)&amp;""),""))</f>
        <v/>
      </c>
      <c r="G26">
        <f>IF(G$2=0,"",IFERROR(TRIM(INDEX('Pegar estudiantes'!$A$1:$BZ$1001,25,G$2)&amp;""),""))</f>
        <v/>
      </c>
      <c r="H26">
        <f>IF(H$2=0,"",IFERROR(TRIM(INDEX('Pegar estudiantes'!$A$1:$BZ$1001,25,H$2)&amp;""),""))</f>
        <v/>
      </c>
      <c r="I26">
        <f>IF(I$2=0,"",IFERROR(TRIM(INDEX('Pegar estudiantes'!$A$1:$BZ$1001,25,I$2)&amp;""),""))</f>
        <v/>
      </c>
      <c r="J26">
        <f>IF(J$2=0,"",IFERROR(TRIM(INDEX('Pegar estudiantes'!$A$1:$BZ$1001,25,J$2)&amp;""),""))</f>
        <v/>
      </c>
      <c r="K26">
        <f>IF(K$2=0,"",IFERROR(TRIM(INDEX('Pegar estudiantes'!$A$1:$BZ$1001,25,K$2)&amp;""),""))</f>
        <v/>
      </c>
      <c r="L26" s="25">
        <f>IF(A26&lt;&gt;"",1,"")</f>
        <v/>
      </c>
      <c r="M26" s="25">
        <f>IF(L26=1,IF(ISNUMBER(FIND("#"&amp;MID(A26,1,1)&amp;"#","#0#1#2#3#4#5#6#7#8#9#")),IF(ISNUMBER(FIND("#"&amp;MID(A26,2,1)&amp;"#","#0#1#2#3#4#5#6#7#8#9#")),IF(AND(VALUE(LEFT(A26,2))&gt;=1,VALUE(LEFT(A26,2))&lt;=5),VALUE(LEFT(A26,2)),""),IF(AND(VALUE(LEFT(A26,1))&gt;=1,VALUE(LEFT(A26,1))&lt;=5),VALUE(LEFT(A26,1)),"")),""),"")</f>
        <v/>
      </c>
      <c r="N26" s="25">
        <f>IF(L26=1,IF(ISNUMBER(FIND("#"&amp;MID(H26,1,1)&amp;"#","#0#1#2#3#4#5#6#7#8#9#")),IF(ISNUMBER(FIND("#"&amp;MID(H26,2,1)&amp;"#","#0#1#2#3#4#5#6#7#8#9#")),IF(AND(VALUE(LEFT(H26,2))&gt;=1,VALUE(LEFT(H26,2))&lt;=5),VALUE(LEFT(H26,2)),""),IF(AND(VALUE(LEFT(H26,1))&gt;=1,VALUE(LEFT(H26,1))&lt;=5),VALUE(LEFT(H26,1)),"")),""),"")</f>
        <v/>
      </c>
      <c r="O26" s="25">
        <f>IF(AND(L26=1,B26&lt;&gt;""),SUBSTITUTE(SUBSTITUTE(SUBSTITUTE(SUBSTITUTE(SUBSTITUTE(SUBSTITUTE(SUBSTITUTE(SUBSTITUTE(SUBSTITUTE(SUBSTITUTE(SUBSTITUTE(SUBSTITUTE(LOWER(TRIM(B26)),"á","a"),"é","e"),"í","i"),"ó","o"),"ú","u"),"ü","u"),"ñ","n"),"à","a"),"è","e"),"ì","i"),"ò","o"),"ù","u"),"")</f>
        <v/>
      </c>
      <c r="P26" s="25">
        <f>IF(AND(L26=1,C26&lt;&gt;""),SUBSTITUTE(SUBSTITUTE(SUBSTITUTE(SUBSTITUTE(SUBSTITUTE(SUBSTITUTE(SUBSTITUTE(SUBSTITUTE(SUBSTITUTE(SUBSTITUTE(SUBSTITUTE(SUBSTITUTE(LOWER(TRIM(C26)),"á","a"),"é","e"),"í","i"),"ó","o"),"ú","u"),"ü","u"),"ñ","n"),"à","a"),"è","e"),"ì","i"),"ò","o"),"ù","u"),"")</f>
        <v/>
      </c>
      <c r="Q26" s="25">
        <f>IF(AND(L26=1,E26&lt;&gt;""),SUBSTITUTE(SUBSTITUTE(SUBSTITUTE(SUBSTITUTE(SUBSTITUTE(SUBSTITUTE(SUBSTITUTE(SUBSTITUTE(SUBSTITUTE(SUBSTITUTE(SUBSTITUTE(SUBSTITUTE(LOWER(TRIM(E26)),"á","a"),"é","e"),"í","i"),"ó","o"),"ú","u"),"ü","u"),"ñ","n"),"à","a"),"è","e"),"ì","i"),"ò","o"),"ù","u"),"")</f>
        <v/>
      </c>
      <c r="R26" s="25">
        <f>IF(AND(L26=1,I26&lt;&gt;""),SUBSTITUTE(SUBSTITUTE(SUBSTITUTE(SUBSTITUTE(SUBSTITUTE(SUBSTITUTE(SUBSTITUTE(SUBSTITUTE(SUBSTITUTE(SUBSTITUTE(SUBSTITUTE(SUBSTITUTE(LOWER(TRIM(I26)),"á","a"),"é","e"),"í","i"),"ó","o"),"ú","u"),"ü","u"),"ñ","n"),"à","a"),"è","e"),"ì","i"),"ò","o"),"ù","u"),"")</f>
        <v/>
      </c>
      <c r="S26" s="25">
        <f>IF(R26="","",IF(OR(R26="si",R26="tal vez"),1,0))</f>
        <v/>
      </c>
      <c r="T26" s="25">
        <f>IF(AND(L26=1,D26&lt;&gt;""),IF(IFERROR(COUNTIFS(D$3:D26,"="&amp;SUBSTITUTE(SUBSTITUTE(SUBSTITUTE(D26,"~","~~"),"*","~*"),"?","~?"),L$3:L26,1),0)=1,MAX(T$2:T25)+1,""),"")</f>
        <v/>
      </c>
      <c r="U26" s="25">
        <f>IF(T26="","",COUNTIFS($D$3:$D$1002,"="&amp;SUBSTITUTE(SUBSTITUTE(SUBSTITUTE(D26,"~","~~"),"*","~*"),"?","~?"),$L$3:$L$1002,1)*10000-T26)</f>
        <v/>
      </c>
      <c r="V26" s="25">
        <f>IF(AND(L26=1,J26&lt;&gt;""),IF(IFERROR(COUNTIFS(J$3:J26,"="&amp;SUBSTITUTE(SUBSTITUTE(SUBSTITUTE(J26,"~","~~"),"*","~*"),"?","~?"),L$3:L26,1),0)=1,MAX(V$2:V25)+1,""),"")</f>
        <v/>
      </c>
      <c r="W26" s="25">
        <f>IF(V26="","",COUNTIFS($J$3:$J$1002,"="&amp;SUBSTITUTE(SUBSTITUTE(SUBSTITUTE(J26,"~","~~"),"*","~*"),"?","~?"),$L$3:$L$1002,1)*10000-V26)</f>
        <v/>
      </c>
    </row>
    <row r="27">
      <c r="A27">
        <f>IF(A$2=0,"",IFERROR(TRIM(INDEX('Pegar estudiantes'!$A$1:$BZ$1001,26,A$2)&amp;""),""))</f>
        <v/>
      </c>
      <c r="B27">
        <f>IF(B$2=0,"",IFERROR(TRIM(INDEX('Pegar estudiantes'!$A$1:$BZ$1001,26,B$2)&amp;""),""))</f>
        <v/>
      </c>
      <c r="C27">
        <f>IF(C$2=0,"",IFERROR(TRIM(INDEX('Pegar estudiantes'!$A$1:$BZ$1001,26,C$2)&amp;""),""))</f>
        <v/>
      </c>
      <c r="D27">
        <f>IF(D$2=0,"",IFERROR(TRIM(INDEX('Pegar estudiantes'!$A$1:$BZ$1001,26,D$2)&amp;""),""))</f>
        <v/>
      </c>
      <c r="E27">
        <f>IF(E$2=0,"",IFERROR(TRIM(INDEX('Pegar estudiantes'!$A$1:$BZ$1001,26,E$2)&amp;""),""))</f>
        <v/>
      </c>
      <c r="F27">
        <f>IF(F$2=0,"",IFERROR(TRIM(INDEX('Pegar estudiantes'!$A$1:$BZ$1001,26,F$2)&amp;""),""))</f>
        <v/>
      </c>
      <c r="G27">
        <f>IF(G$2=0,"",IFERROR(TRIM(INDEX('Pegar estudiantes'!$A$1:$BZ$1001,26,G$2)&amp;""),""))</f>
        <v/>
      </c>
      <c r="H27">
        <f>IF(H$2=0,"",IFERROR(TRIM(INDEX('Pegar estudiantes'!$A$1:$BZ$1001,26,H$2)&amp;""),""))</f>
        <v/>
      </c>
      <c r="I27">
        <f>IF(I$2=0,"",IFERROR(TRIM(INDEX('Pegar estudiantes'!$A$1:$BZ$1001,26,I$2)&amp;""),""))</f>
        <v/>
      </c>
      <c r="J27">
        <f>IF(J$2=0,"",IFERROR(TRIM(INDEX('Pegar estudiantes'!$A$1:$BZ$1001,26,J$2)&amp;""),""))</f>
        <v/>
      </c>
      <c r="K27">
        <f>IF(K$2=0,"",IFERROR(TRIM(INDEX('Pegar estudiantes'!$A$1:$BZ$1001,26,K$2)&amp;""),""))</f>
        <v/>
      </c>
      <c r="L27" s="25">
        <f>IF(A27&lt;&gt;"",1,"")</f>
        <v/>
      </c>
      <c r="M27" s="25">
        <f>IF(L27=1,IF(ISNUMBER(FIND("#"&amp;MID(A27,1,1)&amp;"#","#0#1#2#3#4#5#6#7#8#9#")),IF(ISNUMBER(FIND("#"&amp;MID(A27,2,1)&amp;"#","#0#1#2#3#4#5#6#7#8#9#")),IF(AND(VALUE(LEFT(A27,2))&gt;=1,VALUE(LEFT(A27,2))&lt;=5),VALUE(LEFT(A27,2)),""),IF(AND(VALUE(LEFT(A27,1))&gt;=1,VALUE(LEFT(A27,1))&lt;=5),VALUE(LEFT(A27,1)),"")),""),"")</f>
        <v/>
      </c>
      <c r="N27" s="25">
        <f>IF(L27=1,IF(ISNUMBER(FIND("#"&amp;MID(H27,1,1)&amp;"#","#0#1#2#3#4#5#6#7#8#9#")),IF(ISNUMBER(FIND("#"&amp;MID(H27,2,1)&amp;"#","#0#1#2#3#4#5#6#7#8#9#")),IF(AND(VALUE(LEFT(H27,2))&gt;=1,VALUE(LEFT(H27,2))&lt;=5),VALUE(LEFT(H27,2)),""),IF(AND(VALUE(LEFT(H27,1))&gt;=1,VALUE(LEFT(H27,1))&lt;=5),VALUE(LEFT(H27,1)),"")),""),"")</f>
        <v/>
      </c>
      <c r="O27" s="25">
        <f>IF(AND(L27=1,B27&lt;&gt;""),SUBSTITUTE(SUBSTITUTE(SUBSTITUTE(SUBSTITUTE(SUBSTITUTE(SUBSTITUTE(SUBSTITUTE(SUBSTITUTE(SUBSTITUTE(SUBSTITUTE(SUBSTITUTE(SUBSTITUTE(LOWER(TRIM(B27)),"á","a"),"é","e"),"í","i"),"ó","o"),"ú","u"),"ü","u"),"ñ","n"),"à","a"),"è","e"),"ì","i"),"ò","o"),"ù","u"),"")</f>
        <v/>
      </c>
      <c r="P27" s="25">
        <f>IF(AND(L27=1,C27&lt;&gt;""),SUBSTITUTE(SUBSTITUTE(SUBSTITUTE(SUBSTITUTE(SUBSTITUTE(SUBSTITUTE(SUBSTITUTE(SUBSTITUTE(SUBSTITUTE(SUBSTITUTE(SUBSTITUTE(SUBSTITUTE(LOWER(TRIM(C27)),"á","a"),"é","e"),"í","i"),"ó","o"),"ú","u"),"ü","u"),"ñ","n"),"à","a"),"è","e"),"ì","i"),"ò","o"),"ù","u"),"")</f>
        <v/>
      </c>
      <c r="Q27" s="25">
        <f>IF(AND(L27=1,E27&lt;&gt;""),SUBSTITUTE(SUBSTITUTE(SUBSTITUTE(SUBSTITUTE(SUBSTITUTE(SUBSTITUTE(SUBSTITUTE(SUBSTITUTE(SUBSTITUTE(SUBSTITUTE(SUBSTITUTE(SUBSTITUTE(LOWER(TRIM(E27)),"á","a"),"é","e"),"í","i"),"ó","o"),"ú","u"),"ü","u"),"ñ","n"),"à","a"),"è","e"),"ì","i"),"ò","o"),"ù","u"),"")</f>
        <v/>
      </c>
      <c r="R27" s="25">
        <f>IF(AND(L27=1,I27&lt;&gt;""),SUBSTITUTE(SUBSTITUTE(SUBSTITUTE(SUBSTITUTE(SUBSTITUTE(SUBSTITUTE(SUBSTITUTE(SUBSTITUTE(SUBSTITUTE(SUBSTITUTE(SUBSTITUTE(SUBSTITUTE(LOWER(TRIM(I27)),"á","a"),"é","e"),"í","i"),"ó","o"),"ú","u"),"ü","u"),"ñ","n"),"à","a"),"è","e"),"ì","i"),"ò","o"),"ù","u"),"")</f>
        <v/>
      </c>
      <c r="S27" s="25">
        <f>IF(R27="","",IF(OR(R27="si",R27="tal vez"),1,0))</f>
        <v/>
      </c>
      <c r="T27" s="25">
        <f>IF(AND(L27=1,D27&lt;&gt;""),IF(IFERROR(COUNTIFS(D$3:D27,"="&amp;SUBSTITUTE(SUBSTITUTE(SUBSTITUTE(D27,"~","~~"),"*","~*"),"?","~?"),L$3:L27,1),0)=1,MAX(T$2:T26)+1,""),"")</f>
        <v/>
      </c>
      <c r="U27" s="25">
        <f>IF(T27="","",COUNTIFS($D$3:$D$1002,"="&amp;SUBSTITUTE(SUBSTITUTE(SUBSTITUTE(D27,"~","~~"),"*","~*"),"?","~?"),$L$3:$L$1002,1)*10000-T27)</f>
        <v/>
      </c>
      <c r="V27" s="25">
        <f>IF(AND(L27=1,J27&lt;&gt;""),IF(IFERROR(COUNTIFS(J$3:J27,"="&amp;SUBSTITUTE(SUBSTITUTE(SUBSTITUTE(J27,"~","~~"),"*","~*"),"?","~?"),L$3:L27,1),0)=1,MAX(V$2:V26)+1,""),"")</f>
        <v/>
      </c>
      <c r="W27" s="25">
        <f>IF(V27="","",COUNTIFS($J$3:$J$1002,"="&amp;SUBSTITUTE(SUBSTITUTE(SUBSTITUTE(J27,"~","~~"),"*","~*"),"?","~?"),$L$3:$L$1002,1)*10000-V27)</f>
        <v/>
      </c>
    </row>
    <row r="28">
      <c r="A28">
        <f>IF(A$2=0,"",IFERROR(TRIM(INDEX('Pegar estudiantes'!$A$1:$BZ$1001,27,A$2)&amp;""),""))</f>
        <v/>
      </c>
      <c r="B28">
        <f>IF(B$2=0,"",IFERROR(TRIM(INDEX('Pegar estudiantes'!$A$1:$BZ$1001,27,B$2)&amp;""),""))</f>
        <v/>
      </c>
      <c r="C28">
        <f>IF(C$2=0,"",IFERROR(TRIM(INDEX('Pegar estudiantes'!$A$1:$BZ$1001,27,C$2)&amp;""),""))</f>
        <v/>
      </c>
      <c r="D28">
        <f>IF(D$2=0,"",IFERROR(TRIM(INDEX('Pegar estudiantes'!$A$1:$BZ$1001,27,D$2)&amp;""),""))</f>
        <v/>
      </c>
      <c r="E28">
        <f>IF(E$2=0,"",IFERROR(TRIM(INDEX('Pegar estudiantes'!$A$1:$BZ$1001,27,E$2)&amp;""),""))</f>
        <v/>
      </c>
      <c r="F28">
        <f>IF(F$2=0,"",IFERROR(TRIM(INDEX('Pegar estudiantes'!$A$1:$BZ$1001,27,F$2)&amp;""),""))</f>
        <v/>
      </c>
      <c r="G28">
        <f>IF(G$2=0,"",IFERROR(TRIM(INDEX('Pegar estudiantes'!$A$1:$BZ$1001,27,G$2)&amp;""),""))</f>
        <v/>
      </c>
      <c r="H28">
        <f>IF(H$2=0,"",IFERROR(TRIM(INDEX('Pegar estudiantes'!$A$1:$BZ$1001,27,H$2)&amp;""),""))</f>
        <v/>
      </c>
      <c r="I28">
        <f>IF(I$2=0,"",IFERROR(TRIM(INDEX('Pegar estudiantes'!$A$1:$BZ$1001,27,I$2)&amp;""),""))</f>
        <v/>
      </c>
      <c r="J28">
        <f>IF(J$2=0,"",IFERROR(TRIM(INDEX('Pegar estudiantes'!$A$1:$BZ$1001,27,J$2)&amp;""),""))</f>
        <v/>
      </c>
      <c r="K28">
        <f>IF(K$2=0,"",IFERROR(TRIM(INDEX('Pegar estudiantes'!$A$1:$BZ$1001,27,K$2)&amp;""),""))</f>
        <v/>
      </c>
      <c r="L28" s="25">
        <f>IF(A28&lt;&gt;"",1,"")</f>
        <v/>
      </c>
      <c r="M28" s="25">
        <f>IF(L28=1,IF(ISNUMBER(FIND("#"&amp;MID(A28,1,1)&amp;"#","#0#1#2#3#4#5#6#7#8#9#")),IF(ISNUMBER(FIND("#"&amp;MID(A28,2,1)&amp;"#","#0#1#2#3#4#5#6#7#8#9#")),IF(AND(VALUE(LEFT(A28,2))&gt;=1,VALUE(LEFT(A28,2))&lt;=5),VALUE(LEFT(A28,2)),""),IF(AND(VALUE(LEFT(A28,1))&gt;=1,VALUE(LEFT(A28,1))&lt;=5),VALUE(LEFT(A28,1)),"")),""),"")</f>
        <v/>
      </c>
      <c r="N28" s="25">
        <f>IF(L28=1,IF(ISNUMBER(FIND("#"&amp;MID(H28,1,1)&amp;"#","#0#1#2#3#4#5#6#7#8#9#")),IF(ISNUMBER(FIND("#"&amp;MID(H28,2,1)&amp;"#","#0#1#2#3#4#5#6#7#8#9#")),IF(AND(VALUE(LEFT(H28,2))&gt;=1,VALUE(LEFT(H28,2))&lt;=5),VALUE(LEFT(H28,2)),""),IF(AND(VALUE(LEFT(H28,1))&gt;=1,VALUE(LEFT(H28,1))&lt;=5),VALUE(LEFT(H28,1)),"")),""),"")</f>
        <v/>
      </c>
      <c r="O28" s="25">
        <f>IF(AND(L28=1,B28&lt;&gt;""),SUBSTITUTE(SUBSTITUTE(SUBSTITUTE(SUBSTITUTE(SUBSTITUTE(SUBSTITUTE(SUBSTITUTE(SUBSTITUTE(SUBSTITUTE(SUBSTITUTE(SUBSTITUTE(SUBSTITUTE(LOWER(TRIM(B28)),"á","a"),"é","e"),"í","i"),"ó","o"),"ú","u"),"ü","u"),"ñ","n"),"à","a"),"è","e"),"ì","i"),"ò","o"),"ù","u"),"")</f>
        <v/>
      </c>
      <c r="P28" s="25">
        <f>IF(AND(L28=1,C28&lt;&gt;""),SUBSTITUTE(SUBSTITUTE(SUBSTITUTE(SUBSTITUTE(SUBSTITUTE(SUBSTITUTE(SUBSTITUTE(SUBSTITUTE(SUBSTITUTE(SUBSTITUTE(SUBSTITUTE(SUBSTITUTE(LOWER(TRIM(C28)),"á","a"),"é","e"),"í","i"),"ó","o"),"ú","u"),"ü","u"),"ñ","n"),"à","a"),"è","e"),"ì","i"),"ò","o"),"ù","u"),"")</f>
        <v/>
      </c>
      <c r="Q28" s="25">
        <f>IF(AND(L28=1,E28&lt;&gt;""),SUBSTITUTE(SUBSTITUTE(SUBSTITUTE(SUBSTITUTE(SUBSTITUTE(SUBSTITUTE(SUBSTITUTE(SUBSTITUTE(SUBSTITUTE(SUBSTITUTE(SUBSTITUTE(SUBSTITUTE(LOWER(TRIM(E28)),"á","a"),"é","e"),"í","i"),"ó","o"),"ú","u"),"ü","u"),"ñ","n"),"à","a"),"è","e"),"ì","i"),"ò","o"),"ù","u"),"")</f>
        <v/>
      </c>
      <c r="R28" s="25">
        <f>IF(AND(L28=1,I28&lt;&gt;""),SUBSTITUTE(SUBSTITUTE(SUBSTITUTE(SUBSTITUTE(SUBSTITUTE(SUBSTITUTE(SUBSTITUTE(SUBSTITUTE(SUBSTITUTE(SUBSTITUTE(SUBSTITUTE(SUBSTITUTE(LOWER(TRIM(I28)),"á","a"),"é","e"),"í","i"),"ó","o"),"ú","u"),"ü","u"),"ñ","n"),"à","a"),"è","e"),"ì","i"),"ò","o"),"ù","u"),"")</f>
        <v/>
      </c>
      <c r="S28" s="25">
        <f>IF(R28="","",IF(OR(R28="si",R28="tal vez"),1,0))</f>
        <v/>
      </c>
      <c r="T28" s="25">
        <f>IF(AND(L28=1,D28&lt;&gt;""),IF(IFERROR(COUNTIFS(D$3:D28,"="&amp;SUBSTITUTE(SUBSTITUTE(SUBSTITUTE(D28,"~","~~"),"*","~*"),"?","~?"),L$3:L28,1),0)=1,MAX(T$2:T27)+1,""),"")</f>
        <v/>
      </c>
      <c r="U28" s="25">
        <f>IF(T28="","",COUNTIFS($D$3:$D$1002,"="&amp;SUBSTITUTE(SUBSTITUTE(SUBSTITUTE(D28,"~","~~"),"*","~*"),"?","~?"),$L$3:$L$1002,1)*10000-T28)</f>
        <v/>
      </c>
      <c r="V28" s="25">
        <f>IF(AND(L28=1,J28&lt;&gt;""),IF(IFERROR(COUNTIFS(J$3:J28,"="&amp;SUBSTITUTE(SUBSTITUTE(SUBSTITUTE(J28,"~","~~"),"*","~*"),"?","~?"),L$3:L28,1),0)=1,MAX(V$2:V27)+1,""),"")</f>
        <v/>
      </c>
      <c r="W28" s="25">
        <f>IF(V28="","",COUNTIFS($J$3:$J$1002,"="&amp;SUBSTITUTE(SUBSTITUTE(SUBSTITUTE(J28,"~","~~"),"*","~*"),"?","~?"),$L$3:$L$1002,1)*10000-V28)</f>
        <v/>
      </c>
    </row>
    <row r="29">
      <c r="A29">
        <f>IF(A$2=0,"",IFERROR(TRIM(INDEX('Pegar estudiantes'!$A$1:$BZ$1001,28,A$2)&amp;""),""))</f>
        <v/>
      </c>
      <c r="B29">
        <f>IF(B$2=0,"",IFERROR(TRIM(INDEX('Pegar estudiantes'!$A$1:$BZ$1001,28,B$2)&amp;""),""))</f>
        <v/>
      </c>
      <c r="C29">
        <f>IF(C$2=0,"",IFERROR(TRIM(INDEX('Pegar estudiantes'!$A$1:$BZ$1001,28,C$2)&amp;""),""))</f>
        <v/>
      </c>
      <c r="D29">
        <f>IF(D$2=0,"",IFERROR(TRIM(INDEX('Pegar estudiantes'!$A$1:$BZ$1001,28,D$2)&amp;""),""))</f>
        <v/>
      </c>
      <c r="E29">
        <f>IF(E$2=0,"",IFERROR(TRIM(INDEX('Pegar estudiantes'!$A$1:$BZ$1001,28,E$2)&amp;""),""))</f>
        <v/>
      </c>
      <c r="F29">
        <f>IF(F$2=0,"",IFERROR(TRIM(INDEX('Pegar estudiantes'!$A$1:$BZ$1001,28,F$2)&amp;""),""))</f>
        <v/>
      </c>
      <c r="G29">
        <f>IF(G$2=0,"",IFERROR(TRIM(INDEX('Pegar estudiantes'!$A$1:$BZ$1001,28,G$2)&amp;""),""))</f>
        <v/>
      </c>
      <c r="H29">
        <f>IF(H$2=0,"",IFERROR(TRIM(INDEX('Pegar estudiantes'!$A$1:$BZ$1001,28,H$2)&amp;""),""))</f>
        <v/>
      </c>
      <c r="I29">
        <f>IF(I$2=0,"",IFERROR(TRIM(INDEX('Pegar estudiantes'!$A$1:$BZ$1001,28,I$2)&amp;""),""))</f>
        <v/>
      </c>
      <c r="J29">
        <f>IF(J$2=0,"",IFERROR(TRIM(INDEX('Pegar estudiantes'!$A$1:$BZ$1001,28,J$2)&amp;""),""))</f>
        <v/>
      </c>
      <c r="K29">
        <f>IF(K$2=0,"",IFERROR(TRIM(INDEX('Pegar estudiantes'!$A$1:$BZ$1001,28,K$2)&amp;""),""))</f>
        <v/>
      </c>
      <c r="L29" s="25">
        <f>IF(A29&lt;&gt;"",1,"")</f>
        <v/>
      </c>
      <c r="M29" s="25">
        <f>IF(L29=1,IF(ISNUMBER(FIND("#"&amp;MID(A29,1,1)&amp;"#","#0#1#2#3#4#5#6#7#8#9#")),IF(ISNUMBER(FIND("#"&amp;MID(A29,2,1)&amp;"#","#0#1#2#3#4#5#6#7#8#9#")),IF(AND(VALUE(LEFT(A29,2))&gt;=1,VALUE(LEFT(A29,2))&lt;=5),VALUE(LEFT(A29,2)),""),IF(AND(VALUE(LEFT(A29,1))&gt;=1,VALUE(LEFT(A29,1))&lt;=5),VALUE(LEFT(A29,1)),"")),""),"")</f>
        <v/>
      </c>
      <c r="N29" s="25">
        <f>IF(L29=1,IF(ISNUMBER(FIND("#"&amp;MID(H29,1,1)&amp;"#","#0#1#2#3#4#5#6#7#8#9#")),IF(ISNUMBER(FIND("#"&amp;MID(H29,2,1)&amp;"#","#0#1#2#3#4#5#6#7#8#9#")),IF(AND(VALUE(LEFT(H29,2))&gt;=1,VALUE(LEFT(H29,2))&lt;=5),VALUE(LEFT(H29,2)),""),IF(AND(VALUE(LEFT(H29,1))&gt;=1,VALUE(LEFT(H29,1))&lt;=5),VALUE(LEFT(H29,1)),"")),""),"")</f>
        <v/>
      </c>
      <c r="O29" s="25">
        <f>IF(AND(L29=1,B29&lt;&gt;""),SUBSTITUTE(SUBSTITUTE(SUBSTITUTE(SUBSTITUTE(SUBSTITUTE(SUBSTITUTE(SUBSTITUTE(SUBSTITUTE(SUBSTITUTE(SUBSTITUTE(SUBSTITUTE(SUBSTITUTE(LOWER(TRIM(B29)),"á","a"),"é","e"),"í","i"),"ó","o"),"ú","u"),"ü","u"),"ñ","n"),"à","a"),"è","e"),"ì","i"),"ò","o"),"ù","u"),"")</f>
        <v/>
      </c>
      <c r="P29" s="25">
        <f>IF(AND(L29=1,C29&lt;&gt;""),SUBSTITUTE(SUBSTITUTE(SUBSTITUTE(SUBSTITUTE(SUBSTITUTE(SUBSTITUTE(SUBSTITUTE(SUBSTITUTE(SUBSTITUTE(SUBSTITUTE(SUBSTITUTE(SUBSTITUTE(LOWER(TRIM(C29)),"á","a"),"é","e"),"í","i"),"ó","o"),"ú","u"),"ü","u"),"ñ","n"),"à","a"),"è","e"),"ì","i"),"ò","o"),"ù","u"),"")</f>
        <v/>
      </c>
      <c r="Q29" s="25">
        <f>IF(AND(L29=1,E29&lt;&gt;""),SUBSTITUTE(SUBSTITUTE(SUBSTITUTE(SUBSTITUTE(SUBSTITUTE(SUBSTITUTE(SUBSTITUTE(SUBSTITUTE(SUBSTITUTE(SUBSTITUTE(SUBSTITUTE(SUBSTITUTE(LOWER(TRIM(E29)),"á","a"),"é","e"),"í","i"),"ó","o"),"ú","u"),"ü","u"),"ñ","n"),"à","a"),"è","e"),"ì","i"),"ò","o"),"ù","u"),"")</f>
        <v/>
      </c>
      <c r="R29" s="25">
        <f>IF(AND(L29=1,I29&lt;&gt;""),SUBSTITUTE(SUBSTITUTE(SUBSTITUTE(SUBSTITUTE(SUBSTITUTE(SUBSTITUTE(SUBSTITUTE(SUBSTITUTE(SUBSTITUTE(SUBSTITUTE(SUBSTITUTE(SUBSTITUTE(LOWER(TRIM(I29)),"á","a"),"é","e"),"í","i"),"ó","o"),"ú","u"),"ü","u"),"ñ","n"),"à","a"),"è","e"),"ì","i"),"ò","o"),"ù","u"),"")</f>
        <v/>
      </c>
      <c r="S29" s="25">
        <f>IF(R29="","",IF(OR(R29="si",R29="tal vez"),1,0))</f>
        <v/>
      </c>
      <c r="T29" s="25">
        <f>IF(AND(L29=1,D29&lt;&gt;""),IF(IFERROR(COUNTIFS(D$3:D29,"="&amp;SUBSTITUTE(SUBSTITUTE(SUBSTITUTE(D29,"~","~~"),"*","~*"),"?","~?"),L$3:L29,1),0)=1,MAX(T$2:T28)+1,""),"")</f>
        <v/>
      </c>
      <c r="U29" s="25">
        <f>IF(T29="","",COUNTIFS($D$3:$D$1002,"="&amp;SUBSTITUTE(SUBSTITUTE(SUBSTITUTE(D29,"~","~~"),"*","~*"),"?","~?"),$L$3:$L$1002,1)*10000-T29)</f>
        <v/>
      </c>
      <c r="V29" s="25">
        <f>IF(AND(L29=1,J29&lt;&gt;""),IF(IFERROR(COUNTIFS(J$3:J29,"="&amp;SUBSTITUTE(SUBSTITUTE(SUBSTITUTE(J29,"~","~~"),"*","~*"),"?","~?"),L$3:L29,1),0)=1,MAX(V$2:V28)+1,""),"")</f>
        <v/>
      </c>
      <c r="W29" s="25">
        <f>IF(V29="","",COUNTIFS($J$3:$J$1002,"="&amp;SUBSTITUTE(SUBSTITUTE(SUBSTITUTE(J29,"~","~~"),"*","~*"),"?","~?"),$L$3:$L$1002,1)*10000-V29)</f>
        <v/>
      </c>
    </row>
    <row r="30">
      <c r="A30">
        <f>IF(A$2=0,"",IFERROR(TRIM(INDEX('Pegar estudiantes'!$A$1:$BZ$1001,29,A$2)&amp;""),""))</f>
        <v/>
      </c>
      <c r="B30">
        <f>IF(B$2=0,"",IFERROR(TRIM(INDEX('Pegar estudiantes'!$A$1:$BZ$1001,29,B$2)&amp;""),""))</f>
        <v/>
      </c>
      <c r="C30">
        <f>IF(C$2=0,"",IFERROR(TRIM(INDEX('Pegar estudiantes'!$A$1:$BZ$1001,29,C$2)&amp;""),""))</f>
        <v/>
      </c>
      <c r="D30">
        <f>IF(D$2=0,"",IFERROR(TRIM(INDEX('Pegar estudiantes'!$A$1:$BZ$1001,29,D$2)&amp;""),""))</f>
        <v/>
      </c>
      <c r="E30">
        <f>IF(E$2=0,"",IFERROR(TRIM(INDEX('Pegar estudiantes'!$A$1:$BZ$1001,29,E$2)&amp;""),""))</f>
        <v/>
      </c>
      <c r="F30">
        <f>IF(F$2=0,"",IFERROR(TRIM(INDEX('Pegar estudiantes'!$A$1:$BZ$1001,29,F$2)&amp;""),""))</f>
        <v/>
      </c>
      <c r="G30">
        <f>IF(G$2=0,"",IFERROR(TRIM(INDEX('Pegar estudiantes'!$A$1:$BZ$1001,29,G$2)&amp;""),""))</f>
        <v/>
      </c>
      <c r="H30">
        <f>IF(H$2=0,"",IFERROR(TRIM(INDEX('Pegar estudiantes'!$A$1:$BZ$1001,29,H$2)&amp;""),""))</f>
        <v/>
      </c>
      <c r="I30">
        <f>IF(I$2=0,"",IFERROR(TRIM(INDEX('Pegar estudiantes'!$A$1:$BZ$1001,29,I$2)&amp;""),""))</f>
        <v/>
      </c>
      <c r="J30">
        <f>IF(J$2=0,"",IFERROR(TRIM(INDEX('Pegar estudiantes'!$A$1:$BZ$1001,29,J$2)&amp;""),""))</f>
        <v/>
      </c>
      <c r="K30">
        <f>IF(K$2=0,"",IFERROR(TRIM(INDEX('Pegar estudiantes'!$A$1:$BZ$1001,29,K$2)&amp;""),""))</f>
        <v/>
      </c>
      <c r="L30" s="25">
        <f>IF(A30&lt;&gt;"",1,"")</f>
        <v/>
      </c>
      <c r="M30" s="25">
        <f>IF(L30=1,IF(ISNUMBER(FIND("#"&amp;MID(A30,1,1)&amp;"#","#0#1#2#3#4#5#6#7#8#9#")),IF(ISNUMBER(FIND("#"&amp;MID(A30,2,1)&amp;"#","#0#1#2#3#4#5#6#7#8#9#")),IF(AND(VALUE(LEFT(A30,2))&gt;=1,VALUE(LEFT(A30,2))&lt;=5),VALUE(LEFT(A30,2)),""),IF(AND(VALUE(LEFT(A30,1))&gt;=1,VALUE(LEFT(A30,1))&lt;=5),VALUE(LEFT(A30,1)),"")),""),"")</f>
        <v/>
      </c>
      <c r="N30" s="25">
        <f>IF(L30=1,IF(ISNUMBER(FIND("#"&amp;MID(H30,1,1)&amp;"#","#0#1#2#3#4#5#6#7#8#9#")),IF(ISNUMBER(FIND("#"&amp;MID(H30,2,1)&amp;"#","#0#1#2#3#4#5#6#7#8#9#")),IF(AND(VALUE(LEFT(H30,2))&gt;=1,VALUE(LEFT(H30,2))&lt;=5),VALUE(LEFT(H30,2)),""),IF(AND(VALUE(LEFT(H30,1))&gt;=1,VALUE(LEFT(H30,1))&lt;=5),VALUE(LEFT(H30,1)),"")),""),"")</f>
        <v/>
      </c>
      <c r="O30" s="25">
        <f>IF(AND(L30=1,B30&lt;&gt;""),SUBSTITUTE(SUBSTITUTE(SUBSTITUTE(SUBSTITUTE(SUBSTITUTE(SUBSTITUTE(SUBSTITUTE(SUBSTITUTE(SUBSTITUTE(SUBSTITUTE(SUBSTITUTE(SUBSTITUTE(LOWER(TRIM(B30)),"á","a"),"é","e"),"í","i"),"ó","o"),"ú","u"),"ü","u"),"ñ","n"),"à","a"),"è","e"),"ì","i"),"ò","o"),"ù","u"),"")</f>
        <v/>
      </c>
      <c r="P30" s="25">
        <f>IF(AND(L30=1,C30&lt;&gt;""),SUBSTITUTE(SUBSTITUTE(SUBSTITUTE(SUBSTITUTE(SUBSTITUTE(SUBSTITUTE(SUBSTITUTE(SUBSTITUTE(SUBSTITUTE(SUBSTITUTE(SUBSTITUTE(SUBSTITUTE(LOWER(TRIM(C30)),"á","a"),"é","e"),"í","i"),"ó","o"),"ú","u"),"ü","u"),"ñ","n"),"à","a"),"è","e"),"ì","i"),"ò","o"),"ù","u"),"")</f>
        <v/>
      </c>
      <c r="Q30" s="25">
        <f>IF(AND(L30=1,E30&lt;&gt;""),SUBSTITUTE(SUBSTITUTE(SUBSTITUTE(SUBSTITUTE(SUBSTITUTE(SUBSTITUTE(SUBSTITUTE(SUBSTITUTE(SUBSTITUTE(SUBSTITUTE(SUBSTITUTE(SUBSTITUTE(LOWER(TRIM(E30)),"á","a"),"é","e"),"í","i"),"ó","o"),"ú","u"),"ü","u"),"ñ","n"),"à","a"),"è","e"),"ì","i"),"ò","o"),"ù","u"),"")</f>
        <v/>
      </c>
      <c r="R30" s="25">
        <f>IF(AND(L30=1,I30&lt;&gt;""),SUBSTITUTE(SUBSTITUTE(SUBSTITUTE(SUBSTITUTE(SUBSTITUTE(SUBSTITUTE(SUBSTITUTE(SUBSTITUTE(SUBSTITUTE(SUBSTITUTE(SUBSTITUTE(SUBSTITUTE(LOWER(TRIM(I30)),"á","a"),"é","e"),"í","i"),"ó","o"),"ú","u"),"ü","u"),"ñ","n"),"à","a"),"è","e"),"ì","i"),"ò","o"),"ù","u"),"")</f>
        <v/>
      </c>
      <c r="S30" s="25">
        <f>IF(R30="","",IF(OR(R30="si",R30="tal vez"),1,0))</f>
        <v/>
      </c>
      <c r="T30" s="25">
        <f>IF(AND(L30=1,D30&lt;&gt;""),IF(IFERROR(COUNTIFS(D$3:D30,"="&amp;SUBSTITUTE(SUBSTITUTE(SUBSTITUTE(D30,"~","~~"),"*","~*"),"?","~?"),L$3:L30,1),0)=1,MAX(T$2:T29)+1,""),"")</f>
        <v/>
      </c>
      <c r="U30" s="25">
        <f>IF(T30="","",COUNTIFS($D$3:$D$1002,"="&amp;SUBSTITUTE(SUBSTITUTE(SUBSTITUTE(D30,"~","~~"),"*","~*"),"?","~?"),$L$3:$L$1002,1)*10000-T30)</f>
        <v/>
      </c>
      <c r="V30" s="25">
        <f>IF(AND(L30=1,J30&lt;&gt;""),IF(IFERROR(COUNTIFS(J$3:J30,"="&amp;SUBSTITUTE(SUBSTITUTE(SUBSTITUTE(J30,"~","~~"),"*","~*"),"?","~?"),L$3:L30,1),0)=1,MAX(V$2:V29)+1,""),"")</f>
        <v/>
      </c>
      <c r="W30" s="25">
        <f>IF(V30="","",COUNTIFS($J$3:$J$1002,"="&amp;SUBSTITUTE(SUBSTITUTE(SUBSTITUTE(J30,"~","~~"),"*","~*"),"?","~?"),$L$3:$L$1002,1)*10000-V30)</f>
        <v/>
      </c>
    </row>
    <row r="31">
      <c r="A31">
        <f>IF(A$2=0,"",IFERROR(TRIM(INDEX('Pegar estudiantes'!$A$1:$BZ$1001,30,A$2)&amp;""),""))</f>
        <v/>
      </c>
      <c r="B31">
        <f>IF(B$2=0,"",IFERROR(TRIM(INDEX('Pegar estudiantes'!$A$1:$BZ$1001,30,B$2)&amp;""),""))</f>
        <v/>
      </c>
      <c r="C31">
        <f>IF(C$2=0,"",IFERROR(TRIM(INDEX('Pegar estudiantes'!$A$1:$BZ$1001,30,C$2)&amp;""),""))</f>
        <v/>
      </c>
      <c r="D31">
        <f>IF(D$2=0,"",IFERROR(TRIM(INDEX('Pegar estudiantes'!$A$1:$BZ$1001,30,D$2)&amp;""),""))</f>
        <v/>
      </c>
      <c r="E31">
        <f>IF(E$2=0,"",IFERROR(TRIM(INDEX('Pegar estudiantes'!$A$1:$BZ$1001,30,E$2)&amp;""),""))</f>
        <v/>
      </c>
      <c r="F31">
        <f>IF(F$2=0,"",IFERROR(TRIM(INDEX('Pegar estudiantes'!$A$1:$BZ$1001,30,F$2)&amp;""),""))</f>
        <v/>
      </c>
      <c r="G31">
        <f>IF(G$2=0,"",IFERROR(TRIM(INDEX('Pegar estudiantes'!$A$1:$BZ$1001,30,G$2)&amp;""),""))</f>
        <v/>
      </c>
      <c r="H31">
        <f>IF(H$2=0,"",IFERROR(TRIM(INDEX('Pegar estudiantes'!$A$1:$BZ$1001,30,H$2)&amp;""),""))</f>
        <v/>
      </c>
      <c r="I31">
        <f>IF(I$2=0,"",IFERROR(TRIM(INDEX('Pegar estudiantes'!$A$1:$BZ$1001,30,I$2)&amp;""),""))</f>
        <v/>
      </c>
      <c r="J31">
        <f>IF(J$2=0,"",IFERROR(TRIM(INDEX('Pegar estudiantes'!$A$1:$BZ$1001,30,J$2)&amp;""),""))</f>
        <v/>
      </c>
      <c r="K31">
        <f>IF(K$2=0,"",IFERROR(TRIM(INDEX('Pegar estudiantes'!$A$1:$BZ$1001,30,K$2)&amp;""),""))</f>
        <v/>
      </c>
      <c r="L31" s="25">
        <f>IF(A31&lt;&gt;"",1,"")</f>
        <v/>
      </c>
      <c r="M31" s="25">
        <f>IF(L31=1,IF(ISNUMBER(FIND("#"&amp;MID(A31,1,1)&amp;"#","#0#1#2#3#4#5#6#7#8#9#")),IF(ISNUMBER(FIND("#"&amp;MID(A31,2,1)&amp;"#","#0#1#2#3#4#5#6#7#8#9#")),IF(AND(VALUE(LEFT(A31,2))&gt;=1,VALUE(LEFT(A31,2))&lt;=5),VALUE(LEFT(A31,2)),""),IF(AND(VALUE(LEFT(A31,1))&gt;=1,VALUE(LEFT(A31,1))&lt;=5),VALUE(LEFT(A31,1)),"")),""),"")</f>
        <v/>
      </c>
      <c r="N31" s="25">
        <f>IF(L31=1,IF(ISNUMBER(FIND("#"&amp;MID(H31,1,1)&amp;"#","#0#1#2#3#4#5#6#7#8#9#")),IF(ISNUMBER(FIND("#"&amp;MID(H31,2,1)&amp;"#","#0#1#2#3#4#5#6#7#8#9#")),IF(AND(VALUE(LEFT(H31,2))&gt;=1,VALUE(LEFT(H31,2))&lt;=5),VALUE(LEFT(H31,2)),""),IF(AND(VALUE(LEFT(H31,1))&gt;=1,VALUE(LEFT(H31,1))&lt;=5),VALUE(LEFT(H31,1)),"")),""),"")</f>
        <v/>
      </c>
      <c r="O31" s="25">
        <f>IF(AND(L31=1,B31&lt;&gt;""),SUBSTITUTE(SUBSTITUTE(SUBSTITUTE(SUBSTITUTE(SUBSTITUTE(SUBSTITUTE(SUBSTITUTE(SUBSTITUTE(SUBSTITUTE(SUBSTITUTE(SUBSTITUTE(SUBSTITUTE(LOWER(TRIM(B31)),"á","a"),"é","e"),"í","i"),"ó","o"),"ú","u"),"ü","u"),"ñ","n"),"à","a"),"è","e"),"ì","i"),"ò","o"),"ù","u"),"")</f>
        <v/>
      </c>
      <c r="P31" s="25">
        <f>IF(AND(L31=1,C31&lt;&gt;""),SUBSTITUTE(SUBSTITUTE(SUBSTITUTE(SUBSTITUTE(SUBSTITUTE(SUBSTITUTE(SUBSTITUTE(SUBSTITUTE(SUBSTITUTE(SUBSTITUTE(SUBSTITUTE(SUBSTITUTE(LOWER(TRIM(C31)),"á","a"),"é","e"),"í","i"),"ó","o"),"ú","u"),"ü","u"),"ñ","n"),"à","a"),"è","e"),"ì","i"),"ò","o"),"ù","u"),"")</f>
        <v/>
      </c>
      <c r="Q31" s="25">
        <f>IF(AND(L31=1,E31&lt;&gt;""),SUBSTITUTE(SUBSTITUTE(SUBSTITUTE(SUBSTITUTE(SUBSTITUTE(SUBSTITUTE(SUBSTITUTE(SUBSTITUTE(SUBSTITUTE(SUBSTITUTE(SUBSTITUTE(SUBSTITUTE(LOWER(TRIM(E31)),"á","a"),"é","e"),"í","i"),"ó","o"),"ú","u"),"ü","u"),"ñ","n"),"à","a"),"è","e"),"ì","i"),"ò","o"),"ù","u"),"")</f>
        <v/>
      </c>
      <c r="R31" s="25">
        <f>IF(AND(L31=1,I31&lt;&gt;""),SUBSTITUTE(SUBSTITUTE(SUBSTITUTE(SUBSTITUTE(SUBSTITUTE(SUBSTITUTE(SUBSTITUTE(SUBSTITUTE(SUBSTITUTE(SUBSTITUTE(SUBSTITUTE(SUBSTITUTE(LOWER(TRIM(I31)),"á","a"),"é","e"),"í","i"),"ó","o"),"ú","u"),"ü","u"),"ñ","n"),"à","a"),"è","e"),"ì","i"),"ò","o"),"ù","u"),"")</f>
        <v/>
      </c>
      <c r="S31" s="25">
        <f>IF(R31="","",IF(OR(R31="si",R31="tal vez"),1,0))</f>
        <v/>
      </c>
      <c r="T31" s="25">
        <f>IF(AND(L31=1,D31&lt;&gt;""),IF(IFERROR(COUNTIFS(D$3:D31,"="&amp;SUBSTITUTE(SUBSTITUTE(SUBSTITUTE(D31,"~","~~"),"*","~*"),"?","~?"),L$3:L31,1),0)=1,MAX(T$2:T30)+1,""),"")</f>
        <v/>
      </c>
      <c r="U31" s="25">
        <f>IF(T31="","",COUNTIFS($D$3:$D$1002,"="&amp;SUBSTITUTE(SUBSTITUTE(SUBSTITUTE(D31,"~","~~"),"*","~*"),"?","~?"),$L$3:$L$1002,1)*10000-T31)</f>
        <v/>
      </c>
      <c r="V31" s="25">
        <f>IF(AND(L31=1,J31&lt;&gt;""),IF(IFERROR(COUNTIFS(J$3:J31,"="&amp;SUBSTITUTE(SUBSTITUTE(SUBSTITUTE(J31,"~","~~"),"*","~*"),"?","~?"),L$3:L31,1),0)=1,MAX(V$2:V30)+1,""),"")</f>
        <v/>
      </c>
      <c r="W31" s="25">
        <f>IF(V31="","",COUNTIFS($J$3:$J$1002,"="&amp;SUBSTITUTE(SUBSTITUTE(SUBSTITUTE(J31,"~","~~"),"*","~*"),"?","~?"),$L$3:$L$1002,1)*10000-V31)</f>
        <v/>
      </c>
    </row>
    <row r="32">
      <c r="A32">
        <f>IF(A$2=0,"",IFERROR(TRIM(INDEX('Pegar estudiantes'!$A$1:$BZ$1001,31,A$2)&amp;""),""))</f>
        <v/>
      </c>
      <c r="B32">
        <f>IF(B$2=0,"",IFERROR(TRIM(INDEX('Pegar estudiantes'!$A$1:$BZ$1001,31,B$2)&amp;""),""))</f>
        <v/>
      </c>
      <c r="C32">
        <f>IF(C$2=0,"",IFERROR(TRIM(INDEX('Pegar estudiantes'!$A$1:$BZ$1001,31,C$2)&amp;""),""))</f>
        <v/>
      </c>
      <c r="D32">
        <f>IF(D$2=0,"",IFERROR(TRIM(INDEX('Pegar estudiantes'!$A$1:$BZ$1001,31,D$2)&amp;""),""))</f>
        <v/>
      </c>
      <c r="E32">
        <f>IF(E$2=0,"",IFERROR(TRIM(INDEX('Pegar estudiantes'!$A$1:$BZ$1001,31,E$2)&amp;""),""))</f>
        <v/>
      </c>
      <c r="F32">
        <f>IF(F$2=0,"",IFERROR(TRIM(INDEX('Pegar estudiantes'!$A$1:$BZ$1001,31,F$2)&amp;""),""))</f>
        <v/>
      </c>
      <c r="G32">
        <f>IF(G$2=0,"",IFERROR(TRIM(INDEX('Pegar estudiantes'!$A$1:$BZ$1001,31,G$2)&amp;""),""))</f>
        <v/>
      </c>
      <c r="H32">
        <f>IF(H$2=0,"",IFERROR(TRIM(INDEX('Pegar estudiantes'!$A$1:$BZ$1001,31,H$2)&amp;""),""))</f>
        <v/>
      </c>
      <c r="I32">
        <f>IF(I$2=0,"",IFERROR(TRIM(INDEX('Pegar estudiantes'!$A$1:$BZ$1001,31,I$2)&amp;""),""))</f>
        <v/>
      </c>
      <c r="J32">
        <f>IF(J$2=0,"",IFERROR(TRIM(INDEX('Pegar estudiantes'!$A$1:$BZ$1001,31,J$2)&amp;""),""))</f>
        <v/>
      </c>
      <c r="K32">
        <f>IF(K$2=0,"",IFERROR(TRIM(INDEX('Pegar estudiantes'!$A$1:$BZ$1001,31,K$2)&amp;""),""))</f>
        <v/>
      </c>
      <c r="L32" s="25">
        <f>IF(A32&lt;&gt;"",1,"")</f>
        <v/>
      </c>
      <c r="M32" s="25">
        <f>IF(L32=1,IF(ISNUMBER(FIND("#"&amp;MID(A32,1,1)&amp;"#","#0#1#2#3#4#5#6#7#8#9#")),IF(ISNUMBER(FIND("#"&amp;MID(A32,2,1)&amp;"#","#0#1#2#3#4#5#6#7#8#9#")),IF(AND(VALUE(LEFT(A32,2))&gt;=1,VALUE(LEFT(A32,2))&lt;=5),VALUE(LEFT(A32,2)),""),IF(AND(VALUE(LEFT(A32,1))&gt;=1,VALUE(LEFT(A32,1))&lt;=5),VALUE(LEFT(A32,1)),"")),""),"")</f>
        <v/>
      </c>
      <c r="N32" s="25">
        <f>IF(L32=1,IF(ISNUMBER(FIND("#"&amp;MID(H32,1,1)&amp;"#","#0#1#2#3#4#5#6#7#8#9#")),IF(ISNUMBER(FIND("#"&amp;MID(H32,2,1)&amp;"#","#0#1#2#3#4#5#6#7#8#9#")),IF(AND(VALUE(LEFT(H32,2))&gt;=1,VALUE(LEFT(H32,2))&lt;=5),VALUE(LEFT(H32,2)),""),IF(AND(VALUE(LEFT(H32,1))&gt;=1,VALUE(LEFT(H32,1))&lt;=5),VALUE(LEFT(H32,1)),"")),""),"")</f>
        <v/>
      </c>
      <c r="O32" s="25">
        <f>IF(AND(L32=1,B32&lt;&gt;""),SUBSTITUTE(SUBSTITUTE(SUBSTITUTE(SUBSTITUTE(SUBSTITUTE(SUBSTITUTE(SUBSTITUTE(SUBSTITUTE(SUBSTITUTE(SUBSTITUTE(SUBSTITUTE(SUBSTITUTE(LOWER(TRIM(B32)),"á","a"),"é","e"),"í","i"),"ó","o"),"ú","u"),"ü","u"),"ñ","n"),"à","a"),"è","e"),"ì","i"),"ò","o"),"ù","u"),"")</f>
        <v/>
      </c>
      <c r="P32" s="25">
        <f>IF(AND(L32=1,C32&lt;&gt;""),SUBSTITUTE(SUBSTITUTE(SUBSTITUTE(SUBSTITUTE(SUBSTITUTE(SUBSTITUTE(SUBSTITUTE(SUBSTITUTE(SUBSTITUTE(SUBSTITUTE(SUBSTITUTE(SUBSTITUTE(LOWER(TRIM(C32)),"á","a"),"é","e"),"í","i"),"ó","o"),"ú","u"),"ü","u"),"ñ","n"),"à","a"),"è","e"),"ì","i"),"ò","o"),"ù","u"),"")</f>
        <v/>
      </c>
      <c r="Q32" s="25">
        <f>IF(AND(L32=1,E32&lt;&gt;""),SUBSTITUTE(SUBSTITUTE(SUBSTITUTE(SUBSTITUTE(SUBSTITUTE(SUBSTITUTE(SUBSTITUTE(SUBSTITUTE(SUBSTITUTE(SUBSTITUTE(SUBSTITUTE(SUBSTITUTE(LOWER(TRIM(E32)),"á","a"),"é","e"),"í","i"),"ó","o"),"ú","u"),"ü","u"),"ñ","n"),"à","a"),"è","e"),"ì","i"),"ò","o"),"ù","u"),"")</f>
        <v/>
      </c>
      <c r="R32" s="25">
        <f>IF(AND(L32=1,I32&lt;&gt;""),SUBSTITUTE(SUBSTITUTE(SUBSTITUTE(SUBSTITUTE(SUBSTITUTE(SUBSTITUTE(SUBSTITUTE(SUBSTITUTE(SUBSTITUTE(SUBSTITUTE(SUBSTITUTE(SUBSTITUTE(LOWER(TRIM(I32)),"á","a"),"é","e"),"í","i"),"ó","o"),"ú","u"),"ü","u"),"ñ","n"),"à","a"),"è","e"),"ì","i"),"ò","o"),"ù","u"),"")</f>
        <v/>
      </c>
      <c r="S32" s="25">
        <f>IF(R32="","",IF(OR(R32="si",R32="tal vez"),1,0))</f>
        <v/>
      </c>
      <c r="T32" s="25">
        <f>IF(AND(L32=1,D32&lt;&gt;""),IF(IFERROR(COUNTIFS(D$3:D32,"="&amp;SUBSTITUTE(SUBSTITUTE(SUBSTITUTE(D32,"~","~~"),"*","~*"),"?","~?"),L$3:L32,1),0)=1,MAX(T$2:T31)+1,""),"")</f>
        <v/>
      </c>
      <c r="U32" s="25">
        <f>IF(T32="","",COUNTIFS($D$3:$D$1002,"="&amp;SUBSTITUTE(SUBSTITUTE(SUBSTITUTE(D32,"~","~~"),"*","~*"),"?","~?"),$L$3:$L$1002,1)*10000-T32)</f>
        <v/>
      </c>
      <c r="V32" s="25">
        <f>IF(AND(L32=1,J32&lt;&gt;""),IF(IFERROR(COUNTIFS(J$3:J32,"="&amp;SUBSTITUTE(SUBSTITUTE(SUBSTITUTE(J32,"~","~~"),"*","~*"),"?","~?"),L$3:L32,1),0)=1,MAX(V$2:V31)+1,""),"")</f>
        <v/>
      </c>
      <c r="W32" s="25">
        <f>IF(V32="","",COUNTIFS($J$3:$J$1002,"="&amp;SUBSTITUTE(SUBSTITUTE(SUBSTITUTE(J32,"~","~~"),"*","~*"),"?","~?"),$L$3:$L$1002,1)*10000-V32)</f>
        <v/>
      </c>
    </row>
    <row r="33">
      <c r="A33">
        <f>IF(A$2=0,"",IFERROR(TRIM(INDEX('Pegar estudiantes'!$A$1:$BZ$1001,32,A$2)&amp;""),""))</f>
        <v/>
      </c>
      <c r="B33">
        <f>IF(B$2=0,"",IFERROR(TRIM(INDEX('Pegar estudiantes'!$A$1:$BZ$1001,32,B$2)&amp;""),""))</f>
        <v/>
      </c>
      <c r="C33">
        <f>IF(C$2=0,"",IFERROR(TRIM(INDEX('Pegar estudiantes'!$A$1:$BZ$1001,32,C$2)&amp;""),""))</f>
        <v/>
      </c>
      <c r="D33">
        <f>IF(D$2=0,"",IFERROR(TRIM(INDEX('Pegar estudiantes'!$A$1:$BZ$1001,32,D$2)&amp;""),""))</f>
        <v/>
      </c>
      <c r="E33">
        <f>IF(E$2=0,"",IFERROR(TRIM(INDEX('Pegar estudiantes'!$A$1:$BZ$1001,32,E$2)&amp;""),""))</f>
        <v/>
      </c>
      <c r="F33">
        <f>IF(F$2=0,"",IFERROR(TRIM(INDEX('Pegar estudiantes'!$A$1:$BZ$1001,32,F$2)&amp;""),""))</f>
        <v/>
      </c>
      <c r="G33">
        <f>IF(G$2=0,"",IFERROR(TRIM(INDEX('Pegar estudiantes'!$A$1:$BZ$1001,32,G$2)&amp;""),""))</f>
        <v/>
      </c>
      <c r="H33">
        <f>IF(H$2=0,"",IFERROR(TRIM(INDEX('Pegar estudiantes'!$A$1:$BZ$1001,32,H$2)&amp;""),""))</f>
        <v/>
      </c>
      <c r="I33">
        <f>IF(I$2=0,"",IFERROR(TRIM(INDEX('Pegar estudiantes'!$A$1:$BZ$1001,32,I$2)&amp;""),""))</f>
        <v/>
      </c>
      <c r="J33">
        <f>IF(J$2=0,"",IFERROR(TRIM(INDEX('Pegar estudiantes'!$A$1:$BZ$1001,32,J$2)&amp;""),""))</f>
        <v/>
      </c>
      <c r="K33">
        <f>IF(K$2=0,"",IFERROR(TRIM(INDEX('Pegar estudiantes'!$A$1:$BZ$1001,32,K$2)&amp;""),""))</f>
        <v/>
      </c>
      <c r="L33" s="25">
        <f>IF(A33&lt;&gt;"",1,"")</f>
        <v/>
      </c>
      <c r="M33" s="25">
        <f>IF(L33=1,IF(ISNUMBER(FIND("#"&amp;MID(A33,1,1)&amp;"#","#0#1#2#3#4#5#6#7#8#9#")),IF(ISNUMBER(FIND("#"&amp;MID(A33,2,1)&amp;"#","#0#1#2#3#4#5#6#7#8#9#")),IF(AND(VALUE(LEFT(A33,2))&gt;=1,VALUE(LEFT(A33,2))&lt;=5),VALUE(LEFT(A33,2)),""),IF(AND(VALUE(LEFT(A33,1))&gt;=1,VALUE(LEFT(A33,1))&lt;=5),VALUE(LEFT(A33,1)),"")),""),"")</f>
        <v/>
      </c>
      <c r="N33" s="25">
        <f>IF(L33=1,IF(ISNUMBER(FIND("#"&amp;MID(H33,1,1)&amp;"#","#0#1#2#3#4#5#6#7#8#9#")),IF(ISNUMBER(FIND("#"&amp;MID(H33,2,1)&amp;"#","#0#1#2#3#4#5#6#7#8#9#")),IF(AND(VALUE(LEFT(H33,2))&gt;=1,VALUE(LEFT(H33,2))&lt;=5),VALUE(LEFT(H33,2)),""),IF(AND(VALUE(LEFT(H33,1))&gt;=1,VALUE(LEFT(H33,1))&lt;=5),VALUE(LEFT(H33,1)),"")),""),"")</f>
        <v/>
      </c>
      <c r="O33" s="25">
        <f>IF(AND(L33=1,B33&lt;&gt;""),SUBSTITUTE(SUBSTITUTE(SUBSTITUTE(SUBSTITUTE(SUBSTITUTE(SUBSTITUTE(SUBSTITUTE(SUBSTITUTE(SUBSTITUTE(SUBSTITUTE(SUBSTITUTE(SUBSTITUTE(LOWER(TRIM(B33)),"á","a"),"é","e"),"í","i"),"ó","o"),"ú","u"),"ü","u"),"ñ","n"),"à","a"),"è","e"),"ì","i"),"ò","o"),"ù","u"),"")</f>
        <v/>
      </c>
      <c r="P33" s="25">
        <f>IF(AND(L33=1,C33&lt;&gt;""),SUBSTITUTE(SUBSTITUTE(SUBSTITUTE(SUBSTITUTE(SUBSTITUTE(SUBSTITUTE(SUBSTITUTE(SUBSTITUTE(SUBSTITUTE(SUBSTITUTE(SUBSTITUTE(SUBSTITUTE(LOWER(TRIM(C33)),"á","a"),"é","e"),"í","i"),"ó","o"),"ú","u"),"ü","u"),"ñ","n"),"à","a"),"è","e"),"ì","i"),"ò","o"),"ù","u"),"")</f>
        <v/>
      </c>
      <c r="Q33" s="25">
        <f>IF(AND(L33=1,E33&lt;&gt;""),SUBSTITUTE(SUBSTITUTE(SUBSTITUTE(SUBSTITUTE(SUBSTITUTE(SUBSTITUTE(SUBSTITUTE(SUBSTITUTE(SUBSTITUTE(SUBSTITUTE(SUBSTITUTE(SUBSTITUTE(LOWER(TRIM(E33)),"á","a"),"é","e"),"í","i"),"ó","o"),"ú","u"),"ü","u"),"ñ","n"),"à","a"),"è","e"),"ì","i"),"ò","o"),"ù","u"),"")</f>
        <v/>
      </c>
      <c r="R33" s="25">
        <f>IF(AND(L33=1,I33&lt;&gt;""),SUBSTITUTE(SUBSTITUTE(SUBSTITUTE(SUBSTITUTE(SUBSTITUTE(SUBSTITUTE(SUBSTITUTE(SUBSTITUTE(SUBSTITUTE(SUBSTITUTE(SUBSTITUTE(SUBSTITUTE(LOWER(TRIM(I33)),"á","a"),"é","e"),"í","i"),"ó","o"),"ú","u"),"ü","u"),"ñ","n"),"à","a"),"è","e"),"ì","i"),"ò","o"),"ù","u"),"")</f>
        <v/>
      </c>
      <c r="S33" s="25">
        <f>IF(R33="","",IF(OR(R33="si",R33="tal vez"),1,0))</f>
        <v/>
      </c>
      <c r="T33" s="25">
        <f>IF(AND(L33=1,D33&lt;&gt;""),IF(IFERROR(COUNTIFS(D$3:D33,"="&amp;SUBSTITUTE(SUBSTITUTE(SUBSTITUTE(D33,"~","~~"),"*","~*"),"?","~?"),L$3:L33,1),0)=1,MAX(T$2:T32)+1,""),"")</f>
        <v/>
      </c>
      <c r="U33" s="25">
        <f>IF(T33="","",COUNTIFS($D$3:$D$1002,"="&amp;SUBSTITUTE(SUBSTITUTE(SUBSTITUTE(D33,"~","~~"),"*","~*"),"?","~?"),$L$3:$L$1002,1)*10000-T33)</f>
        <v/>
      </c>
      <c r="V33" s="25">
        <f>IF(AND(L33=1,J33&lt;&gt;""),IF(IFERROR(COUNTIFS(J$3:J33,"="&amp;SUBSTITUTE(SUBSTITUTE(SUBSTITUTE(J33,"~","~~"),"*","~*"),"?","~?"),L$3:L33,1),0)=1,MAX(V$2:V32)+1,""),"")</f>
        <v/>
      </c>
      <c r="W33" s="25">
        <f>IF(V33="","",COUNTIFS($J$3:$J$1002,"="&amp;SUBSTITUTE(SUBSTITUTE(SUBSTITUTE(J33,"~","~~"),"*","~*"),"?","~?"),$L$3:$L$1002,1)*10000-V33)</f>
        <v/>
      </c>
    </row>
    <row r="34">
      <c r="A34">
        <f>IF(A$2=0,"",IFERROR(TRIM(INDEX('Pegar estudiantes'!$A$1:$BZ$1001,33,A$2)&amp;""),""))</f>
        <v/>
      </c>
      <c r="B34">
        <f>IF(B$2=0,"",IFERROR(TRIM(INDEX('Pegar estudiantes'!$A$1:$BZ$1001,33,B$2)&amp;""),""))</f>
        <v/>
      </c>
      <c r="C34">
        <f>IF(C$2=0,"",IFERROR(TRIM(INDEX('Pegar estudiantes'!$A$1:$BZ$1001,33,C$2)&amp;""),""))</f>
        <v/>
      </c>
      <c r="D34">
        <f>IF(D$2=0,"",IFERROR(TRIM(INDEX('Pegar estudiantes'!$A$1:$BZ$1001,33,D$2)&amp;""),""))</f>
        <v/>
      </c>
      <c r="E34">
        <f>IF(E$2=0,"",IFERROR(TRIM(INDEX('Pegar estudiantes'!$A$1:$BZ$1001,33,E$2)&amp;""),""))</f>
        <v/>
      </c>
      <c r="F34">
        <f>IF(F$2=0,"",IFERROR(TRIM(INDEX('Pegar estudiantes'!$A$1:$BZ$1001,33,F$2)&amp;""),""))</f>
        <v/>
      </c>
      <c r="G34">
        <f>IF(G$2=0,"",IFERROR(TRIM(INDEX('Pegar estudiantes'!$A$1:$BZ$1001,33,G$2)&amp;""),""))</f>
        <v/>
      </c>
      <c r="H34">
        <f>IF(H$2=0,"",IFERROR(TRIM(INDEX('Pegar estudiantes'!$A$1:$BZ$1001,33,H$2)&amp;""),""))</f>
        <v/>
      </c>
      <c r="I34">
        <f>IF(I$2=0,"",IFERROR(TRIM(INDEX('Pegar estudiantes'!$A$1:$BZ$1001,33,I$2)&amp;""),""))</f>
        <v/>
      </c>
      <c r="J34">
        <f>IF(J$2=0,"",IFERROR(TRIM(INDEX('Pegar estudiantes'!$A$1:$BZ$1001,33,J$2)&amp;""),""))</f>
        <v/>
      </c>
      <c r="K34">
        <f>IF(K$2=0,"",IFERROR(TRIM(INDEX('Pegar estudiantes'!$A$1:$BZ$1001,33,K$2)&amp;""),""))</f>
        <v/>
      </c>
      <c r="L34" s="25">
        <f>IF(A34&lt;&gt;"",1,"")</f>
        <v/>
      </c>
      <c r="M34" s="25">
        <f>IF(L34=1,IF(ISNUMBER(FIND("#"&amp;MID(A34,1,1)&amp;"#","#0#1#2#3#4#5#6#7#8#9#")),IF(ISNUMBER(FIND("#"&amp;MID(A34,2,1)&amp;"#","#0#1#2#3#4#5#6#7#8#9#")),IF(AND(VALUE(LEFT(A34,2))&gt;=1,VALUE(LEFT(A34,2))&lt;=5),VALUE(LEFT(A34,2)),""),IF(AND(VALUE(LEFT(A34,1))&gt;=1,VALUE(LEFT(A34,1))&lt;=5),VALUE(LEFT(A34,1)),"")),""),"")</f>
        <v/>
      </c>
      <c r="N34" s="25">
        <f>IF(L34=1,IF(ISNUMBER(FIND("#"&amp;MID(H34,1,1)&amp;"#","#0#1#2#3#4#5#6#7#8#9#")),IF(ISNUMBER(FIND("#"&amp;MID(H34,2,1)&amp;"#","#0#1#2#3#4#5#6#7#8#9#")),IF(AND(VALUE(LEFT(H34,2))&gt;=1,VALUE(LEFT(H34,2))&lt;=5),VALUE(LEFT(H34,2)),""),IF(AND(VALUE(LEFT(H34,1))&gt;=1,VALUE(LEFT(H34,1))&lt;=5),VALUE(LEFT(H34,1)),"")),""),"")</f>
        <v/>
      </c>
      <c r="O34" s="25">
        <f>IF(AND(L34=1,B34&lt;&gt;""),SUBSTITUTE(SUBSTITUTE(SUBSTITUTE(SUBSTITUTE(SUBSTITUTE(SUBSTITUTE(SUBSTITUTE(SUBSTITUTE(SUBSTITUTE(SUBSTITUTE(SUBSTITUTE(SUBSTITUTE(LOWER(TRIM(B34)),"á","a"),"é","e"),"í","i"),"ó","o"),"ú","u"),"ü","u"),"ñ","n"),"à","a"),"è","e"),"ì","i"),"ò","o"),"ù","u"),"")</f>
        <v/>
      </c>
      <c r="P34" s="25">
        <f>IF(AND(L34=1,C34&lt;&gt;""),SUBSTITUTE(SUBSTITUTE(SUBSTITUTE(SUBSTITUTE(SUBSTITUTE(SUBSTITUTE(SUBSTITUTE(SUBSTITUTE(SUBSTITUTE(SUBSTITUTE(SUBSTITUTE(SUBSTITUTE(LOWER(TRIM(C34)),"á","a"),"é","e"),"í","i"),"ó","o"),"ú","u"),"ü","u"),"ñ","n"),"à","a"),"è","e"),"ì","i"),"ò","o"),"ù","u"),"")</f>
        <v/>
      </c>
      <c r="Q34" s="25">
        <f>IF(AND(L34=1,E34&lt;&gt;""),SUBSTITUTE(SUBSTITUTE(SUBSTITUTE(SUBSTITUTE(SUBSTITUTE(SUBSTITUTE(SUBSTITUTE(SUBSTITUTE(SUBSTITUTE(SUBSTITUTE(SUBSTITUTE(SUBSTITUTE(LOWER(TRIM(E34)),"á","a"),"é","e"),"í","i"),"ó","o"),"ú","u"),"ü","u"),"ñ","n"),"à","a"),"è","e"),"ì","i"),"ò","o"),"ù","u"),"")</f>
        <v/>
      </c>
      <c r="R34" s="25">
        <f>IF(AND(L34=1,I34&lt;&gt;""),SUBSTITUTE(SUBSTITUTE(SUBSTITUTE(SUBSTITUTE(SUBSTITUTE(SUBSTITUTE(SUBSTITUTE(SUBSTITUTE(SUBSTITUTE(SUBSTITUTE(SUBSTITUTE(SUBSTITUTE(LOWER(TRIM(I34)),"á","a"),"é","e"),"í","i"),"ó","o"),"ú","u"),"ü","u"),"ñ","n"),"à","a"),"è","e"),"ì","i"),"ò","o"),"ù","u"),"")</f>
        <v/>
      </c>
      <c r="S34" s="25">
        <f>IF(R34="","",IF(OR(R34="si",R34="tal vez"),1,0))</f>
        <v/>
      </c>
      <c r="T34" s="25">
        <f>IF(AND(L34=1,D34&lt;&gt;""),IF(IFERROR(COUNTIFS(D$3:D34,"="&amp;SUBSTITUTE(SUBSTITUTE(SUBSTITUTE(D34,"~","~~"),"*","~*"),"?","~?"),L$3:L34,1),0)=1,MAX(T$2:T33)+1,""),"")</f>
        <v/>
      </c>
      <c r="U34" s="25">
        <f>IF(T34="","",COUNTIFS($D$3:$D$1002,"="&amp;SUBSTITUTE(SUBSTITUTE(SUBSTITUTE(D34,"~","~~"),"*","~*"),"?","~?"),$L$3:$L$1002,1)*10000-T34)</f>
        <v/>
      </c>
      <c r="V34" s="25">
        <f>IF(AND(L34=1,J34&lt;&gt;""),IF(IFERROR(COUNTIFS(J$3:J34,"="&amp;SUBSTITUTE(SUBSTITUTE(SUBSTITUTE(J34,"~","~~"),"*","~*"),"?","~?"),L$3:L34,1),0)=1,MAX(V$2:V33)+1,""),"")</f>
        <v/>
      </c>
      <c r="W34" s="25">
        <f>IF(V34="","",COUNTIFS($J$3:$J$1002,"="&amp;SUBSTITUTE(SUBSTITUTE(SUBSTITUTE(J34,"~","~~"),"*","~*"),"?","~?"),$L$3:$L$1002,1)*10000-V34)</f>
        <v/>
      </c>
    </row>
    <row r="35">
      <c r="A35">
        <f>IF(A$2=0,"",IFERROR(TRIM(INDEX('Pegar estudiantes'!$A$1:$BZ$1001,34,A$2)&amp;""),""))</f>
        <v/>
      </c>
      <c r="B35">
        <f>IF(B$2=0,"",IFERROR(TRIM(INDEX('Pegar estudiantes'!$A$1:$BZ$1001,34,B$2)&amp;""),""))</f>
        <v/>
      </c>
      <c r="C35">
        <f>IF(C$2=0,"",IFERROR(TRIM(INDEX('Pegar estudiantes'!$A$1:$BZ$1001,34,C$2)&amp;""),""))</f>
        <v/>
      </c>
      <c r="D35">
        <f>IF(D$2=0,"",IFERROR(TRIM(INDEX('Pegar estudiantes'!$A$1:$BZ$1001,34,D$2)&amp;""),""))</f>
        <v/>
      </c>
      <c r="E35">
        <f>IF(E$2=0,"",IFERROR(TRIM(INDEX('Pegar estudiantes'!$A$1:$BZ$1001,34,E$2)&amp;""),""))</f>
        <v/>
      </c>
      <c r="F35">
        <f>IF(F$2=0,"",IFERROR(TRIM(INDEX('Pegar estudiantes'!$A$1:$BZ$1001,34,F$2)&amp;""),""))</f>
        <v/>
      </c>
      <c r="G35">
        <f>IF(G$2=0,"",IFERROR(TRIM(INDEX('Pegar estudiantes'!$A$1:$BZ$1001,34,G$2)&amp;""),""))</f>
        <v/>
      </c>
      <c r="H35">
        <f>IF(H$2=0,"",IFERROR(TRIM(INDEX('Pegar estudiantes'!$A$1:$BZ$1001,34,H$2)&amp;""),""))</f>
        <v/>
      </c>
      <c r="I35">
        <f>IF(I$2=0,"",IFERROR(TRIM(INDEX('Pegar estudiantes'!$A$1:$BZ$1001,34,I$2)&amp;""),""))</f>
        <v/>
      </c>
      <c r="J35">
        <f>IF(J$2=0,"",IFERROR(TRIM(INDEX('Pegar estudiantes'!$A$1:$BZ$1001,34,J$2)&amp;""),""))</f>
        <v/>
      </c>
      <c r="K35">
        <f>IF(K$2=0,"",IFERROR(TRIM(INDEX('Pegar estudiantes'!$A$1:$BZ$1001,34,K$2)&amp;""),""))</f>
        <v/>
      </c>
      <c r="L35" s="25">
        <f>IF(A35&lt;&gt;"",1,"")</f>
        <v/>
      </c>
      <c r="M35" s="25">
        <f>IF(L35=1,IF(ISNUMBER(FIND("#"&amp;MID(A35,1,1)&amp;"#","#0#1#2#3#4#5#6#7#8#9#")),IF(ISNUMBER(FIND("#"&amp;MID(A35,2,1)&amp;"#","#0#1#2#3#4#5#6#7#8#9#")),IF(AND(VALUE(LEFT(A35,2))&gt;=1,VALUE(LEFT(A35,2))&lt;=5),VALUE(LEFT(A35,2)),""),IF(AND(VALUE(LEFT(A35,1))&gt;=1,VALUE(LEFT(A35,1))&lt;=5),VALUE(LEFT(A35,1)),"")),""),"")</f>
        <v/>
      </c>
      <c r="N35" s="25">
        <f>IF(L35=1,IF(ISNUMBER(FIND("#"&amp;MID(H35,1,1)&amp;"#","#0#1#2#3#4#5#6#7#8#9#")),IF(ISNUMBER(FIND("#"&amp;MID(H35,2,1)&amp;"#","#0#1#2#3#4#5#6#7#8#9#")),IF(AND(VALUE(LEFT(H35,2))&gt;=1,VALUE(LEFT(H35,2))&lt;=5),VALUE(LEFT(H35,2)),""),IF(AND(VALUE(LEFT(H35,1))&gt;=1,VALUE(LEFT(H35,1))&lt;=5),VALUE(LEFT(H35,1)),"")),""),"")</f>
        <v/>
      </c>
      <c r="O35" s="25">
        <f>IF(AND(L35=1,B35&lt;&gt;""),SUBSTITUTE(SUBSTITUTE(SUBSTITUTE(SUBSTITUTE(SUBSTITUTE(SUBSTITUTE(SUBSTITUTE(SUBSTITUTE(SUBSTITUTE(SUBSTITUTE(SUBSTITUTE(SUBSTITUTE(LOWER(TRIM(B35)),"á","a"),"é","e"),"í","i"),"ó","o"),"ú","u"),"ü","u"),"ñ","n"),"à","a"),"è","e"),"ì","i"),"ò","o"),"ù","u"),"")</f>
        <v/>
      </c>
      <c r="P35" s="25">
        <f>IF(AND(L35=1,C35&lt;&gt;""),SUBSTITUTE(SUBSTITUTE(SUBSTITUTE(SUBSTITUTE(SUBSTITUTE(SUBSTITUTE(SUBSTITUTE(SUBSTITUTE(SUBSTITUTE(SUBSTITUTE(SUBSTITUTE(SUBSTITUTE(LOWER(TRIM(C35)),"á","a"),"é","e"),"í","i"),"ó","o"),"ú","u"),"ü","u"),"ñ","n"),"à","a"),"è","e"),"ì","i"),"ò","o"),"ù","u"),"")</f>
        <v/>
      </c>
      <c r="Q35" s="25">
        <f>IF(AND(L35=1,E35&lt;&gt;""),SUBSTITUTE(SUBSTITUTE(SUBSTITUTE(SUBSTITUTE(SUBSTITUTE(SUBSTITUTE(SUBSTITUTE(SUBSTITUTE(SUBSTITUTE(SUBSTITUTE(SUBSTITUTE(SUBSTITUTE(LOWER(TRIM(E35)),"á","a"),"é","e"),"í","i"),"ó","o"),"ú","u"),"ü","u"),"ñ","n"),"à","a"),"è","e"),"ì","i"),"ò","o"),"ù","u"),"")</f>
        <v/>
      </c>
      <c r="R35" s="25">
        <f>IF(AND(L35=1,I35&lt;&gt;""),SUBSTITUTE(SUBSTITUTE(SUBSTITUTE(SUBSTITUTE(SUBSTITUTE(SUBSTITUTE(SUBSTITUTE(SUBSTITUTE(SUBSTITUTE(SUBSTITUTE(SUBSTITUTE(SUBSTITUTE(LOWER(TRIM(I35)),"á","a"),"é","e"),"í","i"),"ó","o"),"ú","u"),"ü","u"),"ñ","n"),"à","a"),"è","e"),"ì","i"),"ò","o"),"ù","u"),"")</f>
        <v/>
      </c>
      <c r="S35" s="25">
        <f>IF(R35="","",IF(OR(R35="si",R35="tal vez"),1,0))</f>
        <v/>
      </c>
      <c r="T35" s="25">
        <f>IF(AND(L35=1,D35&lt;&gt;""),IF(IFERROR(COUNTIFS(D$3:D35,"="&amp;SUBSTITUTE(SUBSTITUTE(SUBSTITUTE(D35,"~","~~"),"*","~*"),"?","~?"),L$3:L35,1),0)=1,MAX(T$2:T34)+1,""),"")</f>
        <v/>
      </c>
      <c r="U35" s="25">
        <f>IF(T35="","",COUNTIFS($D$3:$D$1002,"="&amp;SUBSTITUTE(SUBSTITUTE(SUBSTITUTE(D35,"~","~~"),"*","~*"),"?","~?"),$L$3:$L$1002,1)*10000-T35)</f>
        <v/>
      </c>
      <c r="V35" s="25">
        <f>IF(AND(L35=1,J35&lt;&gt;""),IF(IFERROR(COUNTIFS(J$3:J35,"="&amp;SUBSTITUTE(SUBSTITUTE(SUBSTITUTE(J35,"~","~~"),"*","~*"),"?","~?"),L$3:L35,1),0)=1,MAX(V$2:V34)+1,""),"")</f>
        <v/>
      </c>
      <c r="W35" s="25">
        <f>IF(V35="","",COUNTIFS($J$3:$J$1002,"="&amp;SUBSTITUTE(SUBSTITUTE(SUBSTITUTE(J35,"~","~~"),"*","~*"),"?","~?"),$L$3:$L$1002,1)*10000-V35)</f>
        <v/>
      </c>
    </row>
    <row r="36">
      <c r="A36">
        <f>IF(A$2=0,"",IFERROR(TRIM(INDEX('Pegar estudiantes'!$A$1:$BZ$1001,35,A$2)&amp;""),""))</f>
        <v/>
      </c>
      <c r="B36">
        <f>IF(B$2=0,"",IFERROR(TRIM(INDEX('Pegar estudiantes'!$A$1:$BZ$1001,35,B$2)&amp;""),""))</f>
        <v/>
      </c>
      <c r="C36">
        <f>IF(C$2=0,"",IFERROR(TRIM(INDEX('Pegar estudiantes'!$A$1:$BZ$1001,35,C$2)&amp;""),""))</f>
        <v/>
      </c>
      <c r="D36">
        <f>IF(D$2=0,"",IFERROR(TRIM(INDEX('Pegar estudiantes'!$A$1:$BZ$1001,35,D$2)&amp;""),""))</f>
        <v/>
      </c>
      <c r="E36">
        <f>IF(E$2=0,"",IFERROR(TRIM(INDEX('Pegar estudiantes'!$A$1:$BZ$1001,35,E$2)&amp;""),""))</f>
        <v/>
      </c>
      <c r="F36">
        <f>IF(F$2=0,"",IFERROR(TRIM(INDEX('Pegar estudiantes'!$A$1:$BZ$1001,35,F$2)&amp;""),""))</f>
        <v/>
      </c>
      <c r="G36">
        <f>IF(G$2=0,"",IFERROR(TRIM(INDEX('Pegar estudiantes'!$A$1:$BZ$1001,35,G$2)&amp;""),""))</f>
        <v/>
      </c>
      <c r="H36">
        <f>IF(H$2=0,"",IFERROR(TRIM(INDEX('Pegar estudiantes'!$A$1:$BZ$1001,35,H$2)&amp;""),""))</f>
        <v/>
      </c>
      <c r="I36">
        <f>IF(I$2=0,"",IFERROR(TRIM(INDEX('Pegar estudiantes'!$A$1:$BZ$1001,35,I$2)&amp;""),""))</f>
        <v/>
      </c>
      <c r="J36">
        <f>IF(J$2=0,"",IFERROR(TRIM(INDEX('Pegar estudiantes'!$A$1:$BZ$1001,35,J$2)&amp;""),""))</f>
        <v/>
      </c>
      <c r="K36">
        <f>IF(K$2=0,"",IFERROR(TRIM(INDEX('Pegar estudiantes'!$A$1:$BZ$1001,35,K$2)&amp;""),""))</f>
        <v/>
      </c>
      <c r="L36" s="25">
        <f>IF(A36&lt;&gt;"",1,"")</f>
        <v/>
      </c>
      <c r="M36" s="25">
        <f>IF(L36=1,IF(ISNUMBER(FIND("#"&amp;MID(A36,1,1)&amp;"#","#0#1#2#3#4#5#6#7#8#9#")),IF(ISNUMBER(FIND("#"&amp;MID(A36,2,1)&amp;"#","#0#1#2#3#4#5#6#7#8#9#")),IF(AND(VALUE(LEFT(A36,2))&gt;=1,VALUE(LEFT(A36,2))&lt;=5),VALUE(LEFT(A36,2)),""),IF(AND(VALUE(LEFT(A36,1))&gt;=1,VALUE(LEFT(A36,1))&lt;=5),VALUE(LEFT(A36,1)),"")),""),"")</f>
        <v/>
      </c>
      <c r="N36" s="25">
        <f>IF(L36=1,IF(ISNUMBER(FIND("#"&amp;MID(H36,1,1)&amp;"#","#0#1#2#3#4#5#6#7#8#9#")),IF(ISNUMBER(FIND("#"&amp;MID(H36,2,1)&amp;"#","#0#1#2#3#4#5#6#7#8#9#")),IF(AND(VALUE(LEFT(H36,2))&gt;=1,VALUE(LEFT(H36,2))&lt;=5),VALUE(LEFT(H36,2)),""),IF(AND(VALUE(LEFT(H36,1))&gt;=1,VALUE(LEFT(H36,1))&lt;=5),VALUE(LEFT(H36,1)),"")),""),"")</f>
        <v/>
      </c>
      <c r="O36" s="25">
        <f>IF(AND(L36=1,B36&lt;&gt;""),SUBSTITUTE(SUBSTITUTE(SUBSTITUTE(SUBSTITUTE(SUBSTITUTE(SUBSTITUTE(SUBSTITUTE(SUBSTITUTE(SUBSTITUTE(SUBSTITUTE(SUBSTITUTE(SUBSTITUTE(LOWER(TRIM(B36)),"á","a"),"é","e"),"í","i"),"ó","o"),"ú","u"),"ü","u"),"ñ","n"),"à","a"),"è","e"),"ì","i"),"ò","o"),"ù","u"),"")</f>
        <v/>
      </c>
      <c r="P36" s="25">
        <f>IF(AND(L36=1,C36&lt;&gt;""),SUBSTITUTE(SUBSTITUTE(SUBSTITUTE(SUBSTITUTE(SUBSTITUTE(SUBSTITUTE(SUBSTITUTE(SUBSTITUTE(SUBSTITUTE(SUBSTITUTE(SUBSTITUTE(SUBSTITUTE(LOWER(TRIM(C36)),"á","a"),"é","e"),"í","i"),"ó","o"),"ú","u"),"ü","u"),"ñ","n"),"à","a"),"è","e"),"ì","i"),"ò","o"),"ù","u"),"")</f>
        <v/>
      </c>
      <c r="Q36" s="25">
        <f>IF(AND(L36=1,E36&lt;&gt;""),SUBSTITUTE(SUBSTITUTE(SUBSTITUTE(SUBSTITUTE(SUBSTITUTE(SUBSTITUTE(SUBSTITUTE(SUBSTITUTE(SUBSTITUTE(SUBSTITUTE(SUBSTITUTE(SUBSTITUTE(LOWER(TRIM(E36)),"á","a"),"é","e"),"í","i"),"ó","o"),"ú","u"),"ü","u"),"ñ","n"),"à","a"),"è","e"),"ì","i"),"ò","o"),"ù","u"),"")</f>
        <v/>
      </c>
      <c r="R36" s="25">
        <f>IF(AND(L36=1,I36&lt;&gt;""),SUBSTITUTE(SUBSTITUTE(SUBSTITUTE(SUBSTITUTE(SUBSTITUTE(SUBSTITUTE(SUBSTITUTE(SUBSTITUTE(SUBSTITUTE(SUBSTITUTE(SUBSTITUTE(SUBSTITUTE(LOWER(TRIM(I36)),"á","a"),"é","e"),"í","i"),"ó","o"),"ú","u"),"ü","u"),"ñ","n"),"à","a"),"è","e"),"ì","i"),"ò","o"),"ù","u"),"")</f>
        <v/>
      </c>
      <c r="S36" s="25">
        <f>IF(R36="","",IF(OR(R36="si",R36="tal vez"),1,0))</f>
        <v/>
      </c>
      <c r="T36" s="25">
        <f>IF(AND(L36=1,D36&lt;&gt;""),IF(IFERROR(COUNTIFS(D$3:D36,"="&amp;SUBSTITUTE(SUBSTITUTE(SUBSTITUTE(D36,"~","~~"),"*","~*"),"?","~?"),L$3:L36,1),0)=1,MAX(T$2:T35)+1,""),"")</f>
        <v/>
      </c>
      <c r="U36" s="25">
        <f>IF(T36="","",COUNTIFS($D$3:$D$1002,"="&amp;SUBSTITUTE(SUBSTITUTE(SUBSTITUTE(D36,"~","~~"),"*","~*"),"?","~?"),$L$3:$L$1002,1)*10000-T36)</f>
        <v/>
      </c>
      <c r="V36" s="25">
        <f>IF(AND(L36=1,J36&lt;&gt;""),IF(IFERROR(COUNTIFS(J$3:J36,"="&amp;SUBSTITUTE(SUBSTITUTE(SUBSTITUTE(J36,"~","~~"),"*","~*"),"?","~?"),L$3:L36,1),0)=1,MAX(V$2:V35)+1,""),"")</f>
        <v/>
      </c>
      <c r="W36" s="25">
        <f>IF(V36="","",COUNTIFS($J$3:$J$1002,"="&amp;SUBSTITUTE(SUBSTITUTE(SUBSTITUTE(J36,"~","~~"),"*","~*"),"?","~?"),$L$3:$L$1002,1)*10000-V36)</f>
        <v/>
      </c>
    </row>
    <row r="37">
      <c r="A37">
        <f>IF(A$2=0,"",IFERROR(TRIM(INDEX('Pegar estudiantes'!$A$1:$BZ$1001,36,A$2)&amp;""),""))</f>
        <v/>
      </c>
      <c r="B37">
        <f>IF(B$2=0,"",IFERROR(TRIM(INDEX('Pegar estudiantes'!$A$1:$BZ$1001,36,B$2)&amp;""),""))</f>
        <v/>
      </c>
      <c r="C37">
        <f>IF(C$2=0,"",IFERROR(TRIM(INDEX('Pegar estudiantes'!$A$1:$BZ$1001,36,C$2)&amp;""),""))</f>
        <v/>
      </c>
      <c r="D37">
        <f>IF(D$2=0,"",IFERROR(TRIM(INDEX('Pegar estudiantes'!$A$1:$BZ$1001,36,D$2)&amp;""),""))</f>
        <v/>
      </c>
      <c r="E37">
        <f>IF(E$2=0,"",IFERROR(TRIM(INDEX('Pegar estudiantes'!$A$1:$BZ$1001,36,E$2)&amp;""),""))</f>
        <v/>
      </c>
      <c r="F37">
        <f>IF(F$2=0,"",IFERROR(TRIM(INDEX('Pegar estudiantes'!$A$1:$BZ$1001,36,F$2)&amp;""),""))</f>
        <v/>
      </c>
      <c r="G37">
        <f>IF(G$2=0,"",IFERROR(TRIM(INDEX('Pegar estudiantes'!$A$1:$BZ$1001,36,G$2)&amp;""),""))</f>
        <v/>
      </c>
      <c r="H37">
        <f>IF(H$2=0,"",IFERROR(TRIM(INDEX('Pegar estudiantes'!$A$1:$BZ$1001,36,H$2)&amp;""),""))</f>
        <v/>
      </c>
      <c r="I37">
        <f>IF(I$2=0,"",IFERROR(TRIM(INDEX('Pegar estudiantes'!$A$1:$BZ$1001,36,I$2)&amp;""),""))</f>
        <v/>
      </c>
      <c r="J37">
        <f>IF(J$2=0,"",IFERROR(TRIM(INDEX('Pegar estudiantes'!$A$1:$BZ$1001,36,J$2)&amp;""),""))</f>
        <v/>
      </c>
      <c r="K37">
        <f>IF(K$2=0,"",IFERROR(TRIM(INDEX('Pegar estudiantes'!$A$1:$BZ$1001,36,K$2)&amp;""),""))</f>
        <v/>
      </c>
      <c r="L37" s="25">
        <f>IF(A37&lt;&gt;"",1,"")</f>
        <v/>
      </c>
      <c r="M37" s="25">
        <f>IF(L37=1,IF(ISNUMBER(FIND("#"&amp;MID(A37,1,1)&amp;"#","#0#1#2#3#4#5#6#7#8#9#")),IF(ISNUMBER(FIND("#"&amp;MID(A37,2,1)&amp;"#","#0#1#2#3#4#5#6#7#8#9#")),IF(AND(VALUE(LEFT(A37,2))&gt;=1,VALUE(LEFT(A37,2))&lt;=5),VALUE(LEFT(A37,2)),""),IF(AND(VALUE(LEFT(A37,1))&gt;=1,VALUE(LEFT(A37,1))&lt;=5),VALUE(LEFT(A37,1)),"")),""),"")</f>
        <v/>
      </c>
      <c r="N37" s="25">
        <f>IF(L37=1,IF(ISNUMBER(FIND("#"&amp;MID(H37,1,1)&amp;"#","#0#1#2#3#4#5#6#7#8#9#")),IF(ISNUMBER(FIND("#"&amp;MID(H37,2,1)&amp;"#","#0#1#2#3#4#5#6#7#8#9#")),IF(AND(VALUE(LEFT(H37,2))&gt;=1,VALUE(LEFT(H37,2))&lt;=5),VALUE(LEFT(H37,2)),""),IF(AND(VALUE(LEFT(H37,1))&gt;=1,VALUE(LEFT(H37,1))&lt;=5),VALUE(LEFT(H37,1)),"")),""),"")</f>
        <v/>
      </c>
      <c r="O37" s="25">
        <f>IF(AND(L37=1,B37&lt;&gt;""),SUBSTITUTE(SUBSTITUTE(SUBSTITUTE(SUBSTITUTE(SUBSTITUTE(SUBSTITUTE(SUBSTITUTE(SUBSTITUTE(SUBSTITUTE(SUBSTITUTE(SUBSTITUTE(SUBSTITUTE(LOWER(TRIM(B37)),"á","a"),"é","e"),"í","i"),"ó","o"),"ú","u"),"ü","u"),"ñ","n"),"à","a"),"è","e"),"ì","i"),"ò","o"),"ù","u"),"")</f>
        <v/>
      </c>
      <c r="P37" s="25">
        <f>IF(AND(L37=1,C37&lt;&gt;""),SUBSTITUTE(SUBSTITUTE(SUBSTITUTE(SUBSTITUTE(SUBSTITUTE(SUBSTITUTE(SUBSTITUTE(SUBSTITUTE(SUBSTITUTE(SUBSTITUTE(SUBSTITUTE(SUBSTITUTE(LOWER(TRIM(C37)),"á","a"),"é","e"),"í","i"),"ó","o"),"ú","u"),"ü","u"),"ñ","n"),"à","a"),"è","e"),"ì","i"),"ò","o"),"ù","u"),"")</f>
        <v/>
      </c>
      <c r="Q37" s="25">
        <f>IF(AND(L37=1,E37&lt;&gt;""),SUBSTITUTE(SUBSTITUTE(SUBSTITUTE(SUBSTITUTE(SUBSTITUTE(SUBSTITUTE(SUBSTITUTE(SUBSTITUTE(SUBSTITUTE(SUBSTITUTE(SUBSTITUTE(SUBSTITUTE(LOWER(TRIM(E37)),"á","a"),"é","e"),"í","i"),"ó","o"),"ú","u"),"ü","u"),"ñ","n"),"à","a"),"è","e"),"ì","i"),"ò","o"),"ù","u"),"")</f>
        <v/>
      </c>
      <c r="R37" s="25">
        <f>IF(AND(L37=1,I37&lt;&gt;""),SUBSTITUTE(SUBSTITUTE(SUBSTITUTE(SUBSTITUTE(SUBSTITUTE(SUBSTITUTE(SUBSTITUTE(SUBSTITUTE(SUBSTITUTE(SUBSTITUTE(SUBSTITUTE(SUBSTITUTE(LOWER(TRIM(I37)),"á","a"),"é","e"),"í","i"),"ó","o"),"ú","u"),"ü","u"),"ñ","n"),"à","a"),"è","e"),"ì","i"),"ò","o"),"ù","u"),"")</f>
        <v/>
      </c>
      <c r="S37" s="25">
        <f>IF(R37="","",IF(OR(R37="si",R37="tal vez"),1,0))</f>
        <v/>
      </c>
      <c r="T37" s="25">
        <f>IF(AND(L37=1,D37&lt;&gt;""),IF(IFERROR(COUNTIFS(D$3:D37,"="&amp;SUBSTITUTE(SUBSTITUTE(SUBSTITUTE(D37,"~","~~"),"*","~*"),"?","~?"),L$3:L37,1),0)=1,MAX(T$2:T36)+1,""),"")</f>
        <v/>
      </c>
      <c r="U37" s="25">
        <f>IF(T37="","",COUNTIFS($D$3:$D$1002,"="&amp;SUBSTITUTE(SUBSTITUTE(SUBSTITUTE(D37,"~","~~"),"*","~*"),"?","~?"),$L$3:$L$1002,1)*10000-T37)</f>
        <v/>
      </c>
      <c r="V37" s="25">
        <f>IF(AND(L37=1,J37&lt;&gt;""),IF(IFERROR(COUNTIFS(J$3:J37,"="&amp;SUBSTITUTE(SUBSTITUTE(SUBSTITUTE(J37,"~","~~"),"*","~*"),"?","~?"),L$3:L37,1),0)=1,MAX(V$2:V36)+1,""),"")</f>
        <v/>
      </c>
      <c r="W37" s="25">
        <f>IF(V37="","",COUNTIFS($J$3:$J$1002,"="&amp;SUBSTITUTE(SUBSTITUTE(SUBSTITUTE(J37,"~","~~"),"*","~*"),"?","~?"),$L$3:$L$1002,1)*10000-V37)</f>
        <v/>
      </c>
    </row>
    <row r="38">
      <c r="A38">
        <f>IF(A$2=0,"",IFERROR(TRIM(INDEX('Pegar estudiantes'!$A$1:$BZ$1001,37,A$2)&amp;""),""))</f>
        <v/>
      </c>
      <c r="B38">
        <f>IF(B$2=0,"",IFERROR(TRIM(INDEX('Pegar estudiantes'!$A$1:$BZ$1001,37,B$2)&amp;""),""))</f>
        <v/>
      </c>
      <c r="C38">
        <f>IF(C$2=0,"",IFERROR(TRIM(INDEX('Pegar estudiantes'!$A$1:$BZ$1001,37,C$2)&amp;""),""))</f>
        <v/>
      </c>
      <c r="D38">
        <f>IF(D$2=0,"",IFERROR(TRIM(INDEX('Pegar estudiantes'!$A$1:$BZ$1001,37,D$2)&amp;""),""))</f>
        <v/>
      </c>
      <c r="E38">
        <f>IF(E$2=0,"",IFERROR(TRIM(INDEX('Pegar estudiantes'!$A$1:$BZ$1001,37,E$2)&amp;""),""))</f>
        <v/>
      </c>
      <c r="F38">
        <f>IF(F$2=0,"",IFERROR(TRIM(INDEX('Pegar estudiantes'!$A$1:$BZ$1001,37,F$2)&amp;""),""))</f>
        <v/>
      </c>
      <c r="G38">
        <f>IF(G$2=0,"",IFERROR(TRIM(INDEX('Pegar estudiantes'!$A$1:$BZ$1001,37,G$2)&amp;""),""))</f>
        <v/>
      </c>
      <c r="H38">
        <f>IF(H$2=0,"",IFERROR(TRIM(INDEX('Pegar estudiantes'!$A$1:$BZ$1001,37,H$2)&amp;""),""))</f>
        <v/>
      </c>
      <c r="I38">
        <f>IF(I$2=0,"",IFERROR(TRIM(INDEX('Pegar estudiantes'!$A$1:$BZ$1001,37,I$2)&amp;""),""))</f>
        <v/>
      </c>
      <c r="J38">
        <f>IF(J$2=0,"",IFERROR(TRIM(INDEX('Pegar estudiantes'!$A$1:$BZ$1001,37,J$2)&amp;""),""))</f>
        <v/>
      </c>
      <c r="K38">
        <f>IF(K$2=0,"",IFERROR(TRIM(INDEX('Pegar estudiantes'!$A$1:$BZ$1001,37,K$2)&amp;""),""))</f>
        <v/>
      </c>
      <c r="L38" s="25">
        <f>IF(A38&lt;&gt;"",1,"")</f>
        <v/>
      </c>
      <c r="M38" s="25">
        <f>IF(L38=1,IF(ISNUMBER(FIND("#"&amp;MID(A38,1,1)&amp;"#","#0#1#2#3#4#5#6#7#8#9#")),IF(ISNUMBER(FIND("#"&amp;MID(A38,2,1)&amp;"#","#0#1#2#3#4#5#6#7#8#9#")),IF(AND(VALUE(LEFT(A38,2))&gt;=1,VALUE(LEFT(A38,2))&lt;=5),VALUE(LEFT(A38,2)),""),IF(AND(VALUE(LEFT(A38,1))&gt;=1,VALUE(LEFT(A38,1))&lt;=5),VALUE(LEFT(A38,1)),"")),""),"")</f>
        <v/>
      </c>
      <c r="N38" s="25">
        <f>IF(L38=1,IF(ISNUMBER(FIND("#"&amp;MID(H38,1,1)&amp;"#","#0#1#2#3#4#5#6#7#8#9#")),IF(ISNUMBER(FIND("#"&amp;MID(H38,2,1)&amp;"#","#0#1#2#3#4#5#6#7#8#9#")),IF(AND(VALUE(LEFT(H38,2))&gt;=1,VALUE(LEFT(H38,2))&lt;=5),VALUE(LEFT(H38,2)),""),IF(AND(VALUE(LEFT(H38,1))&gt;=1,VALUE(LEFT(H38,1))&lt;=5),VALUE(LEFT(H38,1)),"")),""),"")</f>
        <v/>
      </c>
      <c r="O38" s="25">
        <f>IF(AND(L38=1,B38&lt;&gt;""),SUBSTITUTE(SUBSTITUTE(SUBSTITUTE(SUBSTITUTE(SUBSTITUTE(SUBSTITUTE(SUBSTITUTE(SUBSTITUTE(SUBSTITUTE(SUBSTITUTE(SUBSTITUTE(SUBSTITUTE(LOWER(TRIM(B38)),"á","a"),"é","e"),"í","i"),"ó","o"),"ú","u"),"ü","u"),"ñ","n"),"à","a"),"è","e"),"ì","i"),"ò","o"),"ù","u"),"")</f>
        <v/>
      </c>
      <c r="P38" s="25">
        <f>IF(AND(L38=1,C38&lt;&gt;""),SUBSTITUTE(SUBSTITUTE(SUBSTITUTE(SUBSTITUTE(SUBSTITUTE(SUBSTITUTE(SUBSTITUTE(SUBSTITUTE(SUBSTITUTE(SUBSTITUTE(SUBSTITUTE(SUBSTITUTE(LOWER(TRIM(C38)),"á","a"),"é","e"),"í","i"),"ó","o"),"ú","u"),"ü","u"),"ñ","n"),"à","a"),"è","e"),"ì","i"),"ò","o"),"ù","u"),"")</f>
        <v/>
      </c>
      <c r="Q38" s="25">
        <f>IF(AND(L38=1,E38&lt;&gt;""),SUBSTITUTE(SUBSTITUTE(SUBSTITUTE(SUBSTITUTE(SUBSTITUTE(SUBSTITUTE(SUBSTITUTE(SUBSTITUTE(SUBSTITUTE(SUBSTITUTE(SUBSTITUTE(SUBSTITUTE(LOWER(TRIM(E38)),"á","a"),"é","e"),"í","i"),"ó","o"),"ú","u"),"ü","u"),"ñ","n"),"à","a"),"è","e"),"ì","i"),"ò","o"),"ù","u"),"")</f>
        <v/>
      </c>
      <c r="R38" s="25">
        <f>IF(AND(L38=1,I38&lt;&gt;""),SUBSTITUTE(SUBSTITUTE(SUBSTITUTE(SUBSTITUTE(SUBSTITUTE(SUBSTITUTE(SUBSTITUTE(SUBSTITUTE(SUBSTITUTE(SUBSTITUTE(SUBSTITUTE(SUBSTITUTE(LOWER(TRIM(I38)),"á","a"),"é","e"),"í","i"),"ó","o"),"ú","u"),"ü","u"),"ñ","n"),"à","a"),"è","e"),"ì","i"),"ò","o"),"ù","u"),"")</f>
        <v/>
      </c>
      <c r="S38" s="25">
        <f>IF(R38="","",IF(OR(R38="si",R38="tal vez"),1,0))</f>
        <v/>
      </c>
      <c r="T38" s="25">
        <f>IF(AND(L38=1,D38&lt;&gt;""),IF(IFERROR(COUNTIFS(D$3:D38,"="&amp;SUBSTITUTE(SUBSTITUTE(SUBSTITUTE(D38,"~","~~"),"*","~*"),"?","~?"),L$3:L38,1),0)=1,MAX(T$2:T37)+1,""),"")</f>
        <v/>
      </c>
      <c r="U38" s="25">
        <f>IF(T38="","",COUNTIFS($D$3:$D$1002,"="&amp;SUBSTITUTE(SUBSTITUTE(SUBSTITUTE(D38,"~","~~"),"*","~*"),"?","~?"),$L$3:$L$1002,1)*10000-T38)</f>
        <v/>
      </c>
      <c r="V38" s="25">
        <f>IF(AND(L38=1,J38&lt;&gt;""),IF(IFERROR(COUNTIFS(J$3:J38,"="&amp;SUBSTITUTE(SUBSTITUTE(SUBSTITUTE(J38,"~","~~"),"*","~*"),"?","~?"),L$3:L38,1),0)=1,MAX(V$2:V37)+1,""),"")</f>
        <v/>
      </c>
      <c r="W38" s="25">
        <f>IF(V38="","",COUNTIFS($J$3:$J$1002,"="&amp;SUBSTITUTE(SUBSTITUTE(SUBSTITUTE(J38,"~","~~"),"*","~*"),"?","~?"),$L$3:$L$1002,1)*10000-V38)</f>
        <v/>
      </c>
    </row>
    <row r="39">
      <c r="A39">
        <f>IF(A$2=0,"",IFERROR(TRIM(INDEX('Pegar estudiantes'!$A$1:$BZ$1001,38,A$2)&amp;""),""))</f>
        <v/>
      </c>
      <c r="B39">
        <f>IF(B$2=0,"",IFERROR(TRIM(INDEX('Pegar estudiantes'!$A$1:$BZ$1001,38,B$2)&amp;""),""))</f>
        <v/>
      </c>
      <c r="C39">
        <f>IF(C$2=0,"",IFERROR(TRIM(INDEX('Pegar estudiantes'!$A$1:$BZ$1001,38,C$2)&amp;""),""))</f>
        <v/>
      </c>
      <c r="D39">
        <f>IF(D$2=0,"",IFERROR(TRIM(INDEX('Pegar estudiantes'!$A$1:$BZ$1001,38,D$2)&amp;""),""))</f>
        <v/>
      </c>
      <c r="E39">
        <f>IF(E$2=0,"",IFERROR(TRIM(INDEX('Pegar estudiantes'!$A$1:$BZ$1001,38,E$2)&amp;""),""))</f>
        <v/>
      </c>
      <c r="F39">
        <f>IF(F$2=0,"",IFERROR(TRIM(INDEX('Pegar estudiantes'!$A$1:$BZ$1001,38,F$2)&amp;""),""))</f>
        <v/>
      </c>
      <c r="G39">
        <f>IF(G$2=0,"",IFERROR(TRIM(INDEX('Pegar estudiantes'!$A$1:$BZ$1001,38,G$2)&amp;""),""))</f>
        <v/>
      </c>
      <c r="H39">
        <f>IF(H$2=0,"",IFERROR(TRIM(INDEX('Pegar estudiantes'!$A$1:$BZ$1001,38,H$2)&amp;""),""))</f>
        <v/>
      </c>
      <c r="I39">
        <f>IF(I$2=0,"",IFERROR(TRIM(INDEX('Pegar estudiantes'!$A$1:$BZ$1001,38,I$2)&amp;""),""))</f>
        <v/>
      </c>
      <c r="J39">
        <f>IF(J$2=0,"",IFERROR(TRIM(INDEX('Pegar estudiantes'!$A$1:$BZ$1001,38,J$2)&amp;""),""))</f>
        <v/>
      </c>
      <c r="K39">
        <f>IF(K$2=0,"",IFERROR(TRIM(INDEX('Pegar estudiantes'!$A$1:$BZ$1001,38,K$2)&amp;""),""))</f>
        <v/>
      </c>
      <c r="L39" s="25">
        <f>IF(A39&lt;&gt;"",1,"")</f>
        <v/>
      </c>
      <c r="M39" s="25">
        <f>IF(L39=1,IF(ISNUMBER(FIND("#"&amp;MID(A39,1,1)&amp;"#","#0#1#2#3#4#5#6#7#8#9#")),IF(ISNUMBER(FIND("#"&amp;MID(A39,2,1)&amp;"#","#0#1#2#3#4#5#6#7#8#9#")),IF(AND(VALUE(LEFT(A39,2))&gt;=1,VALUE(LEFT(A39,2))&lt;=5),VALUE(LEFT(A39,2)),""),IF(AND(VALUE(LEFT(A39,1))&gt;=1,VALUE(LEFT(A39,1))&lt;=5),VALUE(LEFT(A39,1)),"")),""),"")</f>
        <v/>
      </c>
      <c r="N39" s="25">
        <f>IF(L39=1,IF(ISNUMBER(FIND("#"&amp;MID(H39,1,1)&amp;"#","#0#1#2#3#4#5#6#7#8#9#")),IF(ISNUMBER(FIND("#"&amp;MID(H39,2,1)&amp;"#","#0#1#2#3#4#5#6#7#8#9#")),IF(AND(VALUE(LEFT(H39,2))&gt;=1,VALUE(LEFT(H39,2))&lt;=5),VALUE(LEFT(H39,2)),""),IF(AND(VALUE(LEFT(H39,1))&gt;=1,VALUE(LEFT(H39,1))&lt;=5),VALUE(LEFT(H39,1)),"")),""),"")</f>
        <v/>
      </c>
      <c r="O39" s="25">
        <f>IF(AND(L39=1,B39&lt;&gt;""),SUBSTITUTE(SUBSTITUTE(SUBSTITUTE(SUBSTITUTE(SUBSTITUTE(SUBSTITUTE(SUBSTITUTE(SUBSTITUTE(SUBSTITUTE(SUBSTITUTE(SUBSTITUTE(SUBSTITUTE(LOWER(TRIM(B39)),"á","a"),"é","e"),"í","i"),"ó","o"),"ú","u"),"ü","u"),"ñ","n"),"à","a"),"è","e"),"ì","i"),"ò","o"),"ù","u"),"")</f>
        <v/>
      </c>
      <c r="P39" s="25">
        <f>IF(AND(L39=1,C39&lt;&gt;""),SUBSTITUTE(SUBSTITUTE(SUBSTITUTE(SUBSTITUTE(SUBSTITUTE(SUBSTITUTE(SUBSTITUTE(SUBSTITUTE(SUBSTITUTE(SUBSTITUTE(SUBSTITUTE(SUBSTITUTE(LOWER(TRIM(C39)),"á","a"),"é","e"),"í","i"),"ó","o"),"ú","u"),"ü","u"),"ñ","n"),"à","a"),"è","e"),"ì","i"),"ò","o"),"ù","u"),"")</f>
        <v/>
      </c>
      <c r="Q39" s="25">
        <f>IF(AND(L39=1,E39&lt;&gt;""),SUBSTITUTE(SUBSTITUTE(SUBSTITUTE(SUBSTITUTE(SUBSTITUTE(SUBSTITUTE(SUBSTITUTE(SUBSTITUTE(SUBSTITUTE(SUBSTITUTE(SUBSTITUTE(SUBSTITUTE(LOWER(TRIM(E39)),"á","a"),"é","e"),"í","i"),"ó","o"),"ú","u"),"ü","u"),"ñ","n"),"à","a"),"è","e"),"ì","i"),"ò","o"),"ù","u"),"")</f>
        <v/>
      </c>
      <c r="R39" s="25">
        <f>IF(AND(L39=1,I39&lt;&gt;""),SUBSTITUTE(SUBSTITUTE(SUBSTITUTE(SUBSTITUTE(SUBSTITUTE(SUBSTITUTE(SUBSTITUTE(SUBSTITUTE(SUBSTITUTE(SUBSTITUTE(SUBSTITUTE(SUBSTITUTE(LOWER(TRIM(I39)),"á","a"),"é","e"),"í","i"),"ó","o"),"ú","u"),"ü","u"),"ñ","n"),"à","a"),"è","e"),"ì","i"),"ò","o"),"ù","u"),"")</f>
        <v/>
      </c>
      <c r="S39" s="25">
        <f>IF(R39="","",IF(OR(R39="si",R39="tal vez"),1,0))</f>
        <v/>
      </c>
      <c r="T39" s="25">
        <f>IF(AND(L39=1,D39&lt;&gt;""),IF(IFERROR(COUNTIFS(D$3:D39,"="&amp;SUBSTITUTE(SUBSTITUTE(SUBSTITUTE(D39,"~","~~"),"*","~*"),"?","~?"),L$3:L39,1),0)=1,MAX(T$2:T38)+1,""),"")</f>
        <v/>
      </c>
      <c r="U39" s="25">
        <f>IF(T39="","",COUNTIFS($D$3:$D$1002,"="&amp;SUBSTITUTE(SUBSTITUTE(SUBSTITUTE(D39,"~","~~"),"*","~*"),"?","~?"),$L$3:$L$1002,1)*10000-T39)</f>
        <v/>
      </c>
      <c r="V39" s="25">
        <f>IF(AND(L39=1,J39&lt;&gt;""),IF(IFERROR(COUNTIFS(J$3:J39,"="&amp;SUBSTITUTE(SUBSTITUTE(SUBSTITUTE(J39,"~","~~"),"*","~*"),"?","~?"),L$3:L39,1),0)=1,MAX(V$2:V38)+1,""),"")</f>
        <v/>
      </c>
      <c r="W39" s="25">
        <f>IF(V39="","",COUNTIFS($J$3:$J$1002,"="&amp;SUBSTITUTE(SUBSTITUTE(SUBSTITUTE(J39,"~","~~"),"*","~*"),"?","~?"),$L$3:$L$1002,1)*10000-V39)</f>
        <v/>
      </c>
    </row>
    <row r="40">
      <c r="A40">
        <f>IF(A$2=0,"",IFERROR(TRIM(INDEX('Pegar estudiantes'!$A$1:$BZ$1001,39,A$2)&amp;""),""))</f>
        <v/>
      </c>
      <c r="B40">
        <f>IF(B$2=0,"",IFERROR(TRIM(INDEX('Pegar estudiantes'!$A$1:$BZ$1001,39,B$2)&amp;""),""))</f>
        <v/>
      </c>
      <c r="C40">
        <f>IF(C$2=0,"",IFERROR(TRIM(INDEX('Pegar estudiantes'!$A$1:$BZ$1001,39,C$2)&amp;""),""))</f>
        <v/>
      </c>
      <c r="D40">
        <f>IF(D$2=0,"",IFERROR(TRIM(INDEX('Pegar estudiantes'!$A$1:$BZ$1001,39,D$2)&amp;""),""))</f>
        <v/>
      </c>
      <c r="E40">
        <f>IF(E$2=0,"",IFERROR(TRIM(INDEX('Pegar estudiantes'!$A$1:$BZ$1001,39,E$2)&amp;""),""))</f>
        <v/>
      </c>
      <c r="F40">
        <f>IF(F$2=0,"",IFERROR(TRIM(INDEX('Pegar estudiantes'!$A$1:$BZ$1001,39,F$2)&amp;""),""))</f>
        <v/>
      </c>
      <c r="G40">
        <f>IF(G$2=0,"",IFERROR(TRIM(INDEX('Pegar estudiantes'!$A$1:$BZ$1001,39,G$2)&amp;""),""))</f>
        <v/>
      </c>
      <c r="H40">
        <f>IF(H$2=0,"",IFERROR(TRIM(INDEX('Pegar estudiantes'!$A$1:$BZ$1001,39,H$2)&amp;""),""))</f>
        <v/>
      </c>
      <c r="I40">
        <f>IF(I$2=0,"",IFERROR(TRIM(INDEX('Pegar estudiantes'!$A$1:$BZ$1001,39,I$2)&amp;""),""))</f>
        <v/>
      </c>
      <c r="J40">
        <f>IF(J$2=0,"",IFERROR(TRIM(INDEX('Pegar estudiantes'!$A$1:$BZ$1001,39,J$2)&amp;""),""))</f>
        <v/>
      </c>
      <c r="K40">
        <f>IF(K$2=0,"",IFERROR(TRIM(INDEX('Pegar estudiantes'!$A$1:$BZ$1001,39,K$2)&amp;""),""))</f>
        <v/>
      </c>
      <c r="L40" s="25">
        <f>IF(A40&lt;&gt;"",1,"")</f>
        <v/>
      </c>
      <c r="M40" s="25">
        <f>IF(L40=1,IF(ISNUMBER(FIND("#"&amp;MID(A40,1,1)&amp;"#","#0#1#2#3#4#5#6#7#8#9#")),IF(ISNUMBER(FIND("#"&amp;MID(A40,2,1)&amp;"#","#0#1#2#3#4#5#6#7#8#9#")),IF(AND(VALUE(LEFT(A40,2))&gt;=1,VALUE(LEFT(A40,2))&lt;=5),VALUE(LEFT(A40,2)),""),IF(AND(VALUE(LEFT(A40,1))&gt;=1,VALUE(LEFT(A40,1))&lt;=5),VALUE(LEFT(A40,1)),"")),""),"")</f>
        <v/>
      </c>
      <c r="N40" s="25">
        <f>IF(L40=1,IF(ISNUMBER(FIND("#"&amp;MID(H40,1,1)&amp;"#","#0#1#2#3#4#5#6#7#8#9#")),IF(ISNUMBER(FIND("#"&amp;MID(H40,2,1)&amp;"#","#0#1#2#3#4#5#6#7#8#9#")),IF(AND(VALUE(LEFT(H40,2))&gt;=1,VALUE(LEFT(H40,2))&lt;=5),VALUE(LEFT(H40,2)),""),IF(AND(VALUE(LEFT(H40,1))&gt;=1,VALUE(LEFT(H40,1))&lt;=5),VALUE(LEFT(H40,1)),"")),""),"")</f>
        <v/>
      </c>
      <c r="O40" s="25">
        <f>IF(AND(L40=1,B40&lt;&gt;""),SUBSTITUTE(SUBSTITUTE(SUBSTITUTE(SUBSTITUTE(SUBSTITUTE(SUBSTITUTE(SUBSTITUTE(SUBSTITUTE(SUBSTITUTE(SUBSTITUTE(SUBSTITUTE(SUBSTITUTE(LOWER(TRIM(B40)),"á","a"),"é","e"),"í","i"),"ó","o"),"ú","u"),"ü","u"),"ñ","n"),"à","a"),"è","e"),"ì","i"),"ò","o"),"ù","u"),"")</f>
        <v/>
      </c>
      <c r="P40" s="25">
        <f>IF(AND(L40=1,C40&lt;&gt;""),SUBSTITUTE(SUBSTITUTE(SUBSTITUTE(SUBSTITUTE(SUBSTITUTE(SUBSTITUTE(SUBSTITUTE(SUBSTITUTE(SUBSTITUTE(SUBSTITUTE(SUBSTITUTE(SUBSTITUTE(LOWER(TRIM(C40)),"á","a"),"é","e"),"í","i"),"ó","o"),"ú","u"),"ü","u"),"ñ","n"),"à","a"),"è","e"),"ì","i"),"ò","o"),"ù","u"),"")</f>
        <v/>
      </c>
      <c r="Q40" s="25">
        <f>IF(AND(L40=1,E40&lt;&gt;""),SUBSTITUTE(SUBSTITUTE(SUBSTITUTE(SUBSTITUTE(SUBSTITUTE(SUBSTITUTE(SUBSTITUTE(SUBSTITUTE(SUBSTITUTE(SUBSTITUTE(SUBSTITUTE(SUBSTITUTE(LOWER(TRIM(E40)),"á","a"),"é","e"),"í","i"),"ó","o"),"ú","u"),"ü","u"),"ñ","n"),"à","a"),"è","e"),"ì","i"),"ò","o"),"ù","u"),"")</f>
        <v/>
      </c>
      <c r="R40" s="25">
        <f>IF(AND(L40=1,I40&lt;&gt;""),SUBSTITUTE(SUBSTITUTE(SUBSTITUTE(SUBSTITUTE(SUBSTITUTE(SUBSTITUTE(SUBSTITUTE(SUBSTITUTE(SUBSTITUTE(SUBSTITUTE(SUBSTITUTE(SUBSTITUTE(LOWER(TRIM(I40)),"á","a"),"é","e"),"í","i"),"ó","o"),"ú","u"),"ü","u"),"ñ","n"),"à","a"),"è","e"),"ì","i"),"ò","o"),"ù","u"),"")</f>
        <v/>
      </c>
      <c r="S40" s="25">
        <f>IF(R40="","",IF(OR(R40="si",R40="tal vez"),1,0))</f>
        <v/>
      </c>
      <c r="T40" s="25">
        <f>IF(AND(L40=1,D40&lt;&gt;""),IF(IFERROR(COUNTIFS(D$3:D40,"="&amp;SUBSTITUTE(SUBSTITUTE(SUBSTITUTE(D40,"~","~~"),"*","~*"),"?","~?"),L$3:L40,1),0)=1,MAX(T$2:T39)+1,""),"")</f>
        <v/>
      </c>
      <c r="U40" s="25">
        <f>IF(T40="","",COUNTIFS($D$3:$D$1002,"="&amp;SUBSTITUTE(SUBSTITUTE(SUBSTITUTE(D40,"~","~~"),"*","~*"),"?","~?"),$L$3:$L$1002,1)*10000-T40)</f>
        <v/>
      </c>
      <c r="V40" s="25">
        <f>IF(AND(L40=1,J40&lt;&gt;""),IF(IFERROR(COUNTIFS(J$3:J40,"="&amp;SUBSTITUTE(SUBSTITUTE(SUBSTITUTE(J40,"~","~~"),"*","~*"),"?","~?"),L$3:L40,1),0)=1,MAX(V$2:V39)+1,""),"")</f>
        <v/>
      </c>
      <c r="W40" s="25">
        <f>IF(V40="","",COUNTIFS($J$3:$J$1002,"="&amp;SUBSTITUTE(SUBSTITUTE(SUBSTITUTE(J40,"~","~~"),"*","~*"),"?","~?"),$L$3:$L$1002,1)*10000-V40)</f>
        <v/>
      </c>
    </row>
    <row r="41">
      <c r="A41">
        <f>IF(A$2=0,"",IFERROR(TRIM(INDEX('Pegar estudiantes'!$A$1:$BZ$1001,40,A$2)&amp;""),""))</f>
        <v/>
      </c>
      <c r="B41">
        <f>IF(B$2=0,"",IFERROR(TRIM(INDEX('Pegar estudiantes'!$A$1:$BZ$1001,40,B$2)&amp;""),""))</f>
        <v/>
      </c>
      <c r="C41">
        <f>IF(C$2=0,"",IFERROR(TRIM(INDEX('Pegar estudiantes'!$A$1:$BZ$1001,40,C$2)&amp;""),""))</f>
        <v/>
      </c>
      <c r="D41">
        <f>IF(D$2=0,"",IFERROR(TRIM(INDEX('Pegar estudiantes'!$A$1:$BZ$1001,40,D$2)&amp;""),""))</f>
        <v/>
      </c>
      <c r="E41">
        <f>IF(E$2=0,"",IFERROR(TRIM(INDEX('Pegar estudiantes'!$A$1:$BZ$1001,40,E$2)&amp;""),""))</f>
        <v/>
      </c>
      <c r="F41">
        <f>IF(F$2=0,"",IFERROR(TRIM(INDEX('Pegar estudiantes'!$A$1:$BZ$1001,40,F$2)&amp;""),""))</f>
        <v/>
      </c>
      <c r="G41">
        <f>IF(G$2=0,"",IFERROR(TRIM(INDEX('Pegar estudiantes'!$A$1:$BZ$1001,40,G$2)&amp;""),""))</f>
        <v/>
      </c>
      <c r="H41">
        <f>IF(H$2=0,"",IFERROR(TRIM(INDEX('Pegar estudiantes'!$A$1:$BZ$1001,40,H$2)&amp;""),""))</f>
        <v/>
      </c>
      <c r="I41">
        <f>IF(I$2=0,"",IFERROR(TRIM(INDEX('Pegar estudiantes'!$A$1:$BZ$1001,40,I$2)&amp;""),""))</f>
        <v/>
      </c>
      <c r="J41">
        <f>IF(J$2=0,"",IFERROR(TRIM(INDEX('Pegar estudiantes'!$A$1:$BZ$1001,40,J$2)&amp;""),""))</f>
        <v/>
      </c>
      <c r="K41">
        <f>IF(K$2=0,"",IFERROR(TRIM(INDEX('Pegar estudiantes'!$A$1:$BZ$1001,40,K$2)&amp;""),""))</f>
        <v/>
      </c>
      <c r="L41" s="25">
        <f>IF(A41&lt;&gt;"",1,"")</f>
        <v/>
      </c>
      <c r="M41" s="25">
        <f>IF(L41=1,IF(ISNUMBER(FIND("#"&amp;MID(A41,1,1)&amp;"#","#0#1#2#3#4#5#6#7#8#9#")),IF(ISNUMBER(FIND("#"&amp;MID(A41,2,1)&amp;"#","#0#1#2#3#4#5#6#7#8#9#")),IF(AND(VALUE(LEFT(A41,2))&gt;=1,VALUE(LEFT(A41,2))&lt;=5),VALUE(LEFT(A41,2)),""),IF(AND(VALUE(LEFT(A41,1))&gt;=1,VALUE(LEFT(A41,1))&lt;=5),VALUE(LEFT(A41,1)),"")),""),"")</f>
        <v/>
      </c>
      <c r="N41" s="25">
        <f>IF(L41=1,IF(ISNUMBER(FIND("#"&amp;MID(H41,1,1)&amp;"#","#0#1#2#3#4#5#6#7#8#9#")),IF(ISNUMBER(FIND("#"&amp;MID(H41,2,1)&amp;"#","#0#1#2#3#4#5#6#7#8#9#")),IF(AND(VALUE(LEFT(H41,2))&gt;=1,VALUE(LEFT(H41,2))&lt;=5),VALUE(LEFT(H41,2)),""),IF(AND(VALUE(LEFT(H41,1))&gt;=1,VALUE(LEFT(H41,1))&lt;=5),VALUE(LEFT(H41,1)),"")),""),"")</f>
        <v/>
      </c>
      <c r="O41" s="25">
        <f>IF(AND(L41=1,B41&lt;&gt;""),SUBSTITUTE(SUBSTITUTE(SUBSTITUTE(SUBSTITUTE(SUBSTITUTE(SUBSTITUTE(SUBSTITUTE(SUBSTITUTE(SUBSTITUTE(SUBSTITUTE(SUBSTITUTE(SUBSTITUTE(LOWER(TRIM(B41)),"á","a"),"é","e"),"í","i"),"ó","o"),"ú","u"),"ü","u"),"ñ","n"),"à","a"),"è","e"),"ì","i"),"ò","o"),"ù","u"),"")</f>
        <v/>
      </c>
      <c r="P41" s="25">
        <f>IF(AND(L41=1,C41&lt;&gt;""),SUBSTITUTE(SUBSTITUTE(SUBSTITUTE(SUBSTITUTE(SUBSTITUTE(SUBSTITUTE(SUBSTITUTE(SUBSTITUTE(SUBSTITUTE(SUBSTITUTE(SUBSTITUTE(SUBSTITUTE(LOWER(TRIM(C41)),"á","a"),"é","e"),"í","i"),"ó","o"),"ú","u"),"ü","u"),"ñ","n"),"à","a"),"è","e"),"ì","i"),"ò","o"),"ù","u"),"")</f>
        <v/>
      </c>
      <c r="Q41" s="25">
        <f>IF(AND(L41=1,E41&lt;&gt;""),SUBSTITUTE(SUBSTITUTE(SUBSTITUTE(SUBSTITUTE(SUBSTITUTE(SUBSTITUTE(SUBSTITUTE(SUBSTITUTE(SUBSTITUTE(SUBSTITUTE(SUBSTITUTE(SUBSTITUTE(LOWER(TRIM(E41)),"á","a"),"é","e"),"í","i"),"ó","o"),"ú","u"),"ü","u"),"ñ","n"),"à","a"),"è","e"),"ì","i"),"ò","o"),"ù","u"),"")</f>
        <v/>
      </c>
      <c r="R41" s="25">
        <f>IF(AND(L41=1,I41&lt;&gt;""),SUBSTITUTE(SUBSTITUTE(SUBSTITUTE(SUBSTITUTE(SUBSTITUTE(SUBSTITUTE(SUBSTITUTE(SUBSTITUTE(SUBSTITUTE(SUBSTITUTE(SUBSTITUTE(SUBSTITUTE(LOWER(TRIM(I41)),"á","a"),"é","e"),"í","i"),"ó","o"),"ú","u"),"ü","u"),"ñ","n"),"à","a"),"è","e"),"ì","i"),"ò","o"),"ù","u"),"")</f>
        <v/>
      </c>
      <c r="S41" s="25">
        <f>IF(R41="","",IF(OR(R41="si",R41="tal vez"),1,0))</f>
        <v/>
      </c>
      <c r="T41" s="25">
        <f>IF(AND(L41=1,D41&lt;&gt;""),IF(IFERROR(COUNTIFS(D$3:D41,"="&amp;SUBSTITUTE(SUBSTITUTE(SUBSTITUTE(D41,"~","~~"),"*","~*"),"?","~?"),L$3:L41,1),0)=1,MAX(T$2:T40)+1,""),"")</f>
        <v/>
      </c>
      <c r="U41" s="25">
        <f>IF(T41="","",COUNTIFS($D$3:$D$1002,"="&amp;SUBSTITUTE(SUBSTITUTE(SUBSTITUTE(D41,"~","~~"),"*","~*"),"?","~?"),$L$3:$L$1002,1)*10000-T41)</f>
        <v/>
      </c>
      <c r="V41" s="25">
        <f>IF(AND(L41=1,J41&lt;&gt;""),IF(IFERROR(COUNTIFS(J$3:J41,"="&amp;SUBSTITUTE(SUBSTITUTE(SUBSTITUTE(J41,"~","~~"),"*","~*"),"?","~?"),L$3:L41,1),0)=1,MAX(V$2:V40)+1,""),"")</f>
        <v/>
      </c>
      <c r="W41" s="25">
        <f>IF(V41="","",COUNTIFS($J$3:$J$1002,"="&amp;SUBSTITUTE(SUBSTITUTE(SUBSTITUTE(J41,"~","~~"),"*","~*"),"?","~?"),$L$3:$L$1002,1)*10000-V41)</f>
        <v/>
      </c>
    </row>
    <row r="42">
      <c r="A42">
        <f>IF(A$2=0,"",IFERROR(TRIM(INDEX('Pegar estudiantes'!$A$1:$BZ$1001,41,A$2)&amp;""),""))</f>
        <v/>
      </c>
      <c r="B42">
        <f>IF(B$2=0,"",IFERROR(TRIM(INDEX('Pegar estudiantes'!$A$1:$BZ$1001,41,B$2)&amp;""),""))</f>
        <v/>
      </c>
      <c r="C42">
        <f>IF(C$2=0,"",IFERROR(TRIM(INDEX('Pegar estudiantes'!$A$1:$BZ$1001,41,C$2)&amp;""),""))</f>
        <v/>
      </c>
      <c r="D42">
        <f>IF(D$2=0,"",IFERROR(TRIM(INDEX('Pegar estudiantes'!$A$1:$BZ$1001,41,D$2)&amp;""),""))</f>
        <v/>
      </c>
      <c r="E42">
        <f>IF(E$2=0,"",IFERROR(TRIM(INDEX('Pegar estudiantes'!$A$1:$BZ$1001,41,E$2)&amp;""),""))</f>
        <v/>
      </c>
      <c r="F42">
        <f>IF(F$2=0,"",IFERROR(TRIM(INDEX('Pegar estudiantes'!$A$1:$BZ$1001,41,F$2)&amp;""),""))</f>
        <v/>
      </c>
      <c r="G42">
        <f>IF(G$2=0,"",IFERROR(TRIM(INDEX('Pegar estudiantes'!$A$1:$BZ$1001,41,G$2)&amp;""),""))</f>
        <v/>
      </c>
      <c r="H42">
        <f>IF(H$2=0,"",IFERROR(TRIM(INDEX('Pegar estudiantes'!$A$1:$BZ$1001,41,H$2)&amp;""),""))</f>
        <v/>
      </c>
      <c r="I42">
        <f>IF(I$2=0,"",IFERROR(TRIM(INDEX('Pegar estudiantes'!$A$1:$BZ$1001,41,I$2)&amp;""),""))</f>
        <v/>
      </c>
      <c r="J42">
        <f>IF(J$2=0,"",IFERROR(TRIM(INDEX('Pegar estudiantes'!$A$1:$BZ$1001,41,J$2)&amp;""),""))</f>
        <v/>
      </c>
      <c r="K42">
        <f>IF(K$2=0,"",IFERROR(TRIM(INDEX('Pegar estudiantes'!$A$1:$BZ$1001,41,K$2)&amp;""),""))</f>
        <v/>
      </c>
      <c r="L42" s="25">
        <f>IF(A42&lt;&gt;"",1,"")</f>
        <v/>
      </c>
      <c r="M42" s="25">
        <f>IF(L42=1,IF(ISNUMBER(FIND("#"&amp;MID(A42,1,1)&amp;"#","#0#1#2#3#4#5#6#7#8#9#")),IF(ISNUMBER(FIND("#"&amp;MID(A42,2,1)&amp;"#","#0#1#2#3#4#5#6#7#8#9#")),IF(AND(VALUE(LEFT(A42,2))&gt;=1,VALUE(LEFT(A42,2))&lt;=5),VALUE(LEFT(A42,2)),""),IF(AND(VALUE(LEFT(A42,1))&gt;=1,VALUE(LEFT(A42,1))&lt;=5),VALUE(LEFT(A42,1)),"")),""),"")</f>
        <v/>
      </c>
      <c r="N42" s="25">
        <f>IF(L42=1,IF(ISNUMBER(FIND("#"&amp;MID(H42,1,1)&amp;"#","#0#1#2#3#4#5#6#7#8#9#")),IF(ISNUMBER(FIND("#"&amp;MID(H42,2,1)&amp;"#","#0#1#2#3#4#5#6#7#8#9#")),IF(AND(VALUE(LEFT(H42,2))&gt;=1,VALUE(LEFT(H42,2))&lt;=5),VALUE(LEFT(H42,2)),""),IF(AND(VALUE(LEFT(H42,1))&gt;=1,VALUE(LEFT(H42,1))&lt;=5),VALUE(LEFT(H42,1)),"")),""),"")</f>
        <v/>
      </c>
      <c r="O42" s="25">
        <f>IF(AND(L42=1,B42&lt;&gt;""),SUBSTITUTE(SUBSTITUTE(SUBSTITUTE(SUBSTITUTE(SUBSTITUTE(SUBSTITUTE(SUBSTITUTE(SUBSTITUTE(SUBSTITUTE(SUBSTITUTE(SUBSTITUTE(SUBSTITUTE(LOWER(TRIM(B42)),"á","a"),"é","e"),"í","i"),"ó","o"),"ú","u"),"ü","u"),"ñ","n"),"à","a"),"è","e"),"ì","i"),"ò","o"),"ù","u"),"")</f>
        <v/>
      </c>
      <c r="P42" s="25">
        <f>IF(AND(L42=1,C42&lt;&gt;""),SUBSTITUTE(SUBSTITUTE(SUBSTITUTE(SUBSTITUTE(SUBSTITUTE(SUBSTITUTE(SUBSTITUTE(SUBSTITUTE(SUBSTITUTE(SUBSTITUTE(SUBSTITUTE(SUBSTITUTE(LOWER(TRIM(C42)),"á","a"),"é","e"),"í","i"),"ó","o"),"ú","u"),"ü","u"),"ñ","n"),"à","a"),"è","e"),"ì","i"),"ò","o"),"ù","u"),"")</f>
        <v/>
      </c>
      <c r="Q42" s="25">
        <f>IF(AND(L42=1,E42&lt;&gt;""),SUBSTITUTE(SUBSTITUTE(SUBSTITUTE(SUBSTITUTE(SUBSTITUTE(SUBSTITUTE(SUBSTITUTE(SUBSTITUTE(SUBSTITUTE(SUBSTITUTE(SUBSTITUTE(SUBSTITUTE(LOWER(TRIM(E42)),"á","a"),"é","e"),"í","i"),"ó","o"),"ú","u"),"ü","u"),"ñ","n"),"à","a"),"è","e"),"ì","i"),"ò","o"),"ù","u"),"")</f>
        <v/>
      </c>
      <c r="R42" s="25">
        <f>IF(AND(L42=1,I42&lt;&gt;""),SUBSTITUTE(SUBSTITUTE(SUBSTITUTE(SUBSTITUTE(SUBSTITUTE(SUBSTITUTE(SUBSTITUTE(SUBSTITUTE(SUBSTITUTE(SUBSTITUTE(SUBSTITUTE(SUBSTITUTE(LOWER(TRIM(I42)),"á","a"),"é","e"),"í","i"),"ó","o"),"ú","u"),"ü","u"),"ñ","n"),"à","a"),"è","e"),"ì","i"),"ò","o"),"ù","u"),"")</f>
        <v/>
      </c>
      <c r="S42" s="25">
        <f>IF(R42="","",IF(OR(R42="si",R42="tal vez"),1,0))</f>
        <v/>
      </c>
      <c r="T42" s="25">
        <f>IF(AND(L42=1,D42&lt;&gt;""),IF(IFERROR(COUNTIFS(D$3:D42,"="&amp;SUBSTITUTE(SUBSTITUTE(SUBSTITUTE(D42,"~","~~"),"*","~*"),"?","~?"),L$3:L42,1),0)=1,MAX(T$2:T41)+1,""),"")</f>
        <v/>
      </c>
      <c r="U42" s="25">
        <f>IF(T42="","",COUNTIFS($D$3:$D$1002,"="&amp;SUBSTITUTE(SUBSTITUTE(SUBSTITUTE(D42,"~","~~"),"*","~*"),"?","~?"),$L$3:$L$1002,1)*10000-T42)</f>
        <v/>
      </c>
      <c r="V42" s="25">
        <f>IF(AND(L42=1,J42&lt;&gt;""),IF(IFERROR(COUNTIFS(J$3:J42,"="&amp;SUBSTITUTE(SUBSTITUTE(SUBSTITUTE(J42,"~","~~"),"*","~*"),"?","~?"),L$3:L42,1),0)=1,MAX(V$2:V41)+1,""),"")</f>
        <v/>
      </c>
      <c r="W42" s="25">
        <f>IF(V42="","",COUNTIFS($J$3:$J$1002,"="&amp;SUBSTITUTE(SUBSTITUTE(SUBSTITUTE(J42,"~","~~"),"*","~*"),"?","~?"),$L$3:$L$1002,1)*10000-V42)</f>
        <v/>
      </c>
    </row>
    <row r="43">
      <c r="A43">
        <f>IF(A$2=0,"",IFERROR(TRIM(INDEX('Pegar estudiantes'!$A$1:$BZ$1001,42,A$2)&amp;""),""))</f>
        <v/>
      </c>
      <c r="B43">
        <f>IF(B$2=0,"",IFERROR(TRIM(INDEX('Pegar estudiantes'!$A$1:$BZ$1001,42,B$2)&amp;""),""))</f>
        <v/>
      </c>
      <c r="C43">
        <f>IF(C$2=0,"",IFERROR(TRIM(INDEX('Pegar estudiantes'!$A$1:$BZ$1001,42,C$2)&amp;""),""))</f>
        <v/>
      </c>
      <c r="D43">
        <f>IF(D$2=0,"",IFERROR(TRIM(INDEX('Pegar estudiantes'!$A$1:$BZ$1001,42,D$2)&amp;""),""))</f>
        <v/>
      </c>
      <c r="E43">
        <f>IF(E$2=0,"",IFERROR(TRIM(INDEX('Pegar estudiantes'!$A$1:$BZ$1001,42,E$2)&amp;""),""))</f>
        <v/>
      </c>
      <c r="F43">
        <f>IF(F$2=0,"",IFERROR(TRIM(INDEX('Pegar estudiantes'!$A$1:$BZ$1001,42,F$2)&amp;""),""))</f>
        <v/>
      </c>
      <c r="G43">
        <f>IF(G$2=0,"",IFERROR(TRIM(INDEX('Pegar estudiantes'!$A$1:$BZ$1001,42,G$2)&amp;""),""))</f>
        <v/>
      </c>
      <c r="H43">
        <f>IF(H$2=0,"",IFERROR(TRIM(INDEX('Pegar estudiantes'!$A$1:$BZ$1001,42,H$2)&amp;""),""))</f>
        <v/>
      </c>
      <c r="I43">
        <f>IF(I$2=0,"",IFERROR(TRIM(INDEX('Pegar estudiantes'!$A$1:$BZ$1001,42,I$2)&amp;""),""))</f>
        <v/>
      </c>
      <c r="J43">
        <f>IF(J$2=0,"",IFERROR(TRIM(INDEX('Pegar estudiantes'!$A$1:$BZ$1001,42,J$2)&amp;""),""))</f>
        <v/>
      </c>
      <c r="K43">
        <f>IF(K$2=0,"",IFERROR(TRIM(INDEX('Pegar estudiantes'!$A$1:$BZ$1001,42,K$2)&amp;""),""))</f>
        <v/>
      </c>
      <c r="L43" s="25">
        <f>IF(A43&lt;&gt;"",1,"")</f>
        <v/>
      </c>
      <c r="M43" s="25">
        <f>IF(L43=1,IF(ISNUMBER(FIND("#"&amp;MID(A43,1,1)&amp;"#","#0#1#2#3#4#5#6#7#8#9#")),IF(ISNUMBER(FIND("#"&amp;MID(A43,2,1)&amp;"#","#0#1#2#3#4#5#6#7#8#9#")),IF(AND(VALUE(LEFT(A43,2))&gt;=1,VALUE(LEFT(A43,2))&lt;=5),VALUE(LEFT(A43,2)),""),IF(AND(VALUE(LEFT(A43,1))&gt;=1,VALUE(LEFT(A43,1))&lt;=5),VALUE(LEFT(A43,1)),"")),""),"")</f>
        <v/>
      </c>
      <c r="N43" s="25">
        <f>IF(L43=1,IF(ISNUMBER(FIND("#"&amp;MID(H43,1,1)&amp;"#","#0#1#2#3#4#5#6#7#8#9#")),IF(ISNUMBER(FIND("#"&amp;MID(H43,2,1)&amp;"#","#0#1#2#3#4#5#6#7#8#9#")),IF(AND(VALUE(LEFT(H43,2))&gt;=1,VALUE(LEFT(H43,2))&lt;=5),VALUE(LEFT(H43,2)),""),IF(AND(VALUE(LEFT(H43,1))&gt;=1,VALUE(LEFT(H43,1))&lt;=5),VALUE(LEFT(H43,1)),"")),""),"")</f>
        <v/>
      </c>
      <c r="O43" s="25">
        <f>IF(AND(L43=1,B43&lt;&gt;""),SUBSTITUTE(SUBSTITUTE(SUBSTITUTE(SUBSTITUTE(SUBSTITUTE(SUBSTITUTE(SUBSTITUTE(SUBSTITUTE(SUBSTITUTE(SUBSTITUTE(SUBSTITUTE(SUBSTITUTE(LOWER(TRIM(B43)),"á","a"),"é","e"),"í","i"),"ó","o"),"ú","u"),"ü","u"),"ñ","n"),"à","a"),"è","e"),"ì","i"),"ò","o"),"ù","u"),"")</f>
        <v/>
      </c>
      <c r="P43" s="25">
        <f>IF(AND(L43=1,C43&lt;&gt;""),SUBSTITUTE(SUBSTITUTE(SUBSTITUTE(SUBSTITUTE(SUBSTITUTE(SUBSTITUTE(SUBSTITUTE(SUBSTITUTE(SUBSTITUTE(SUBSTITUTE(SUBSTITUTE(SUBSTITUTE(LOWER(TRIM(C43)),"á","a"),"é","e"),"í","i"),"ó","o"),"ú","u"),"ü","u"),"ñ","n"),"à","a"),"è","e"),"ì","i"),"ò","o"),"ù","u"),"")</f>
        <v/>
      </c>
      <c r="Q43" s="25">
        <f>IF(AND(L43=1,E43&lt;&gt;""),SUBSTITUTE(SUBSTITUTE(SUBSTITUTE(SUBSTITUTE(SUBSTITUTE(SUBSTITUTE(SUBSTITUTE(SUBSTITUTE(SUBSTITUTE(SUBSTITUTE(SUBSTITUTE(SUBSTITUTE(LOWER(TRIM(E43)),"á","a"),"é","e"),"í","i"),"ó","o"),"ú","u"),"ü","u"),"ñ","n"),"à","a"),"è","e"),"ì","i"),"ò","o"),"ù","u"),"")</f>
        <v/>
      </c>
      <c r="R43" s="25">
        <f>IF(AND(L43=1,I43&lt;&gt;""),SUBSTITUTE(SUBSTITUTE(SUBSTITUTE(SUBSTITUTE(SUBSTITUTE(SUBSTITUTE(SUBSTITUTE(SUBSTITUTE(SUBSTITUTE(SUBSTITUTE(SUBSTITUTE(SUBSTITUTE(LOWER(TRIM(I43)),"á","a"),"é","e"),"í","i"),"ó","o"),"ú","u"),"ü","u"),"ñ","n"),"à","a"),"è","e"),"ì","i"),"ò","o"),"ù","u"),"")</f>
        <v/>
      </c>
      <c r="S43" s="25">
        <f>IF(R43="","",IF(OR(R43="si",R43="tal vez"),1,0))</f>
        <v/>
      </c>
      <c r="T43" s="25">
        <f>IF(AND(L43=1,D43&lt;&gt;""),IF(IFERROR(COUNTIFS(D$3:D43,"="&amp;SUBSTITUTE(SUBSTITUTE(SUBSTITUTE(D43,"~","~~"),"*","~*"),"?","~?"),L$3:L43,1),0)=1,MAX(T$2:T42)+1,""),"")</f>
        <v/>
      </c>
      <c r="U43" s="25">
        <f>IF(T43="","",COUNTIFS($D$3:$D$1002,"="&amp;SUBSTITUTE(SUBSTITUTE(SUBSTITUTE(D43,"~","~~"),"*","~*"),"?","~?"),$L$3:$L$1002,1)*10000-T43)</f>
        <v/>
      </c>
      <c r="V43" s="25">
        <f>IF(AND(L43=1,J43&lt;&gt;""),IF(IFERROR(COUNTIFS(J$3:J43,"="&amp;SUBSTITUTE(SUBSTITUTE(SUBSTITUTE(J43,"~","~~"),"*","~*"),"?","~?"),L$3:L43,1),0)=1,MAX(V$2:V42)+1,""),"")</f>
        <v/>
      </c>
      <c r="W43" s="25">
        <f>IF(V43="","",COUNTIFS($J$3:$J$1002,"="&amp;SUBSTITUTE(SUBSTITUTE(SUBSTITUTE(J43,"~","~~"),"*","~*"),"?","~?"),$L$3:$L$1002,1)*10000-V43)</f>
        <v/>
      </c>
    </row>
    <row r="44">
      <c r="A44">
        <f>IF(A$2=0,"",IFERROR(TRIM(INDEX('Pegar estudiantes'!$A$1:$BZ$1001,43,A$2)&amp;""),""))</f>
        <v/>
      </c>
      <c r="B44">
        <f>IF(B$2=0,"",IFERROR(TRIM(INDEX('Pegar estudiantes'!$A$1:$BZ$1001,43,B$2)&amp;""),""))</f>
        <v/>
      </c>
      <c r="C44">
        <f>IF(C$2=0,"",IFERROR(TRIM(INDEX('Pegar estudiantes'!$A$1:$BZ$1001,43,C$2)&amp;""),""))</f>
        <v/>
      </c>
      <c r="D44">
        <f>IF(D$2=0,"",IFERROR(TRIM(INDEX('Pegar estudiantes'!$A$1:$BZ$1001,43,D$2)&amp;""),""))</f>
        <v/>
      </c>
      <c r="E44">
        <f>IF(E$2=0,"",IFERROR(TRIM(INDEX('Pegar estudiantes'!$A$1:$BZ$1001,43,E$2)&amp;""),""))</f>
        <v/>
      </c>
      <c r="F44">
        <f>IF(F$2=0,"",IFERROR(TRIM(INDEX('Pegar estudiantes'!$A$1:$BZ$1001,43,F$2)&amp;""),""))</f>
        <v/>
      </c>
      <c r="G44">
        <f>IF(G$2=0,"",IFERROR(TRIM(INDEX('Pegar estudiantes'!$A$1:$BZ$1001,43,G$2)&amp;""),""))</f>
        <v/>
      </c>
      <c r="H44">
        <f>IF(H$2=0,"",IFERROR(TRIM(INDEX('Pegar estudiantes'!$A$1:$BZ$1001,43,H$2)&amp;""),""))</f>
        <v/>
      </c>
      <c r="I44">
        <f>IF(I$2=0,"",IFERROR(TRIM(INDEX('Pegar estudiantes'!$A$1:$BZ$1001,43,I$2)&amp;""),""))</f>
        <v/>
      </c>
      <c r="J44">
        <f>IF(J$2=0,"",IFERROR(TRIM(INDEX('Pegar estudiantes'!$A$1:$BZ$1001,43,J$2)&amp;""),""))</f>
        <v/>
      </c>
      <c r="K44">
        <f>IF(K$2=0,"",IFERROR(TRIM(INDEX('Pegar estudiantes'!$A$1:$BZ$1001,43,K$2)&amp;""),""))</f>
        <v/>
      </c>
      <c r="L44" s="25">
        <f>IF(A44&lt;&gt;"",1,"")</f>
        <v/>
      </c>
      <c r="M44" s="25">
        <f>IF(L44=1,IF(ISNUMBER(FIND("#"&amp;MID(A44,1,1)&amp;"#","#0#1#2#3#4#5#6#7#8#9#")),IF(ISNUMBER(FIND("#"&amp;MID(A44,2,1)&amp;"#","#0#1#2#3#4#5#6#7#8#9#")),IF(AND(VALUE(LEFT(A44,2))&gt;=1,VALUE(LEFT(A44,2))&lt;=5),VALUE(LEFT(A44,2)),""),IF(AND(VALUE(LEFT(A44,1))&gt;=1,VALUE(LEFT(A44,1))&lt;=5),VALUE(LEFT(A44,1)),"")),""),"")</f>
        <v/>
      </c>
      <c r="N44" s="25">
        <f>IF(L44=1,IF(ISNUMBER(FIND("#"&amp;MID(H44,1,1)&amp;"#","#0#1#2#3#4#5#6#7#8#9#")),IF(ISNUMBER(FIND("#"&amp;MID(H44,2,1)&amp;"#","#0#1#2#3#4#5#6#7#8#9#")),IF(AND(VALUE(LEFT(H44,2))&gt;=1,VALUE(LEFT(H44,2))&lt;=5),VALUE(LEFT(H44,2)),""),IF(AND(VALUE(LEFT(H44,1))&gt;=1,VALUE(LEFT(H44,1))&lt;=5),VALUE(LEFT(H44,1)),"")),""),"")</f>
        <v/>
      </c>
      <c r="O44" s="25">
        <f>IF(AND(L44=1,B44&lt;&gt;""),SUBSTITUTE(SUBSTITUTE(SUBSTITUTE(SUBSTITUTE(SUBSTITUTE(SUBSTITUTE(SUBSTITUTE(SUBSTITUTE(SUBSTITUTE(SUBSTITUTE(SUBSTITUTE(SUBSTITUTE(LOWER(TRIM(B44)),"á","a"),"é","e"),"í","i"),"ó","o"),"ú","u"),"ü","u"),"ñ","n"),"à","a"),"è","e"),"ì","i"),"ò","o"),"ù","u"),"")</f>
        <v/>
      </c>
      <c r="P44" s="25">
        <f>IF(AND(L44=1,C44&lt;&gt;""),SUBSTITUTE(SUBSTITUTE(SUBSTITUTE(SUBSTITUTE(SUBSTITUTE(SUBSTITUTE(SUBSTITUTE(SUBSTITUTE(SUBSTITUTE(SUBSTITUTE(SUBSTITUTE(SUBSTITUTE(LOWER(TRIM(C44)),"á","a"),"é","e"),"í","i"),"ó","o"),"ú","u"),"ü","u"),"ñ","n"),"à","a"),"è","e"),"ì","i"),"ò","o"),"ù","u"),"")</f>
        <v/>
      </c>
      <c r="Q44" s="25">
        <f>IF(AND(L44=1,E44&lt;&gt;""),SUBSTITUTE(SUBSTITUTE(SUBSTITUTE(SUBSTITUTE(SUBSTITUTE(SUBSTITUTE(SUBSTITUTE(SUBSTITUTE(SUBSTITUTE(SUBSTITUTE(SUBSTITUTE(SUBSTITUTE(LOWER(TRIM(E44)),"á","a"),"é","e"),"í","i"),"ó","o"),"ú","u"),"ü","u"),"ñ","n"),"à","a"),"è","e"),"ì","i"),"ò","o"),"ù","u"),"")</f>
        <v/>
      </c>
      <c r="R44" s="25">
        <f>IF(AND(L44=1,I44&lt;&gt;""),SUBSTITUTE(SUBSTITUTE(SUBSTITUTE(SUBSTITUTE(SUBSTITUTE(SUBSTITUTE(SUBSTITUTE(SUBSTITUTE(SUBSTITUTE(SUBSTITUTE(SUBSTITUTE(SUBSTITUTE(LOWER(TRIM(I44)),"á","a"),"é","e"),"í","i"),"ó","o"),"ú","u"),"ü","u"),"ñ","n"),"à","a"),"è","e"),"ì","i"),"ò","o"),"ù","u"),"")</f>
        <v/>
      </c>
      <c r="S44" s="25">
        <f>IF(R44="","",IF(OR(R44="si",R44="tal vez"),1,0))</f>
        <v/>
      </c>
      <c r="T44" s="25">
        <f>IF(AND(L44=1,D44&lt;&gt;""),IF(IFERROR(COUNTIFS(D$3:D44,"="&amp;SUBSTITUTE(SUBSTITUTE(SUBSTITUTE(D44,"~","~~"),"*","~*"),"?","~?"),L$3:L44,1),0)=1,MAX(T$2:T43)+1,""),"")</f>
        <v/>
      </c>
      <c r="U44" s="25">
        <f>IF(T44="","",COUNTIFS($D$3:$D$1002,"="&amp;SUBSTITUTE(SUBSTITUTE(SUBSTITUTE(D44,"~","~~"),"*","~*"),"?","~?"),$L$3:$L$1002,1)*10000-T44)</f>
        <v/>
      </c>
      <c r="V44" s="25">
        <f>IF(AND(L44=1,J44&lt;&gt;""),IF(IFERROR(COUNTIFS(J$3:J44,"="&amp;SUBSTITUTE(SUBSTITUTE(SUBSTITUTE(J44,"~","~~"),"*","~*"),"?","~?"),L$3:L44,1),0)=1,MAX(V$2:V43)+1,""),"")</f>
        <v/>
      </c>
      <c r="W44" s="25">
        <f>IF(V44="","",COUNTIFS($J$3:$J$1002,"="&amp;SUBSTITUTE(SUBSTITUTE(SUBSTITUTE(J44,"~","~~"),"*","~*"),"?","~?"),$L$3:$L$1002,1)*10000-V44)</f>
        <v/>
      </c>
    </row>
    <row r="45">
      <c r="A45">
        <f>IF(A$2=0,"",IFERROR(TRIM(INDEX('Pegar estudiantes'!$A$1:$BZ$1001,44,A$2)&amp;""),""))</f>
        <v/>
      </c>
      <c r="B45">
        <f>IF(B$2=0,"",IFERROR(TRIM(INDEX('Pegar estudiantes'!$A$1:$BZ$1001,44,B$2)&amp;""),""))</f>
        <v/>
      </c>
      <c r="C45">
        <f>IF(C$2=0,"",IFERROR(TRIM(INDEX('Pegar estudiantes'!$A$1:$BZ$1001,44,C$2)&amp;""),""))</f>
        <v/>
      </c>
      <c r="D45">
        <f>IF(D$2=0,"",IFERROR(TRIM(INDEX('Pegar estudiantes'!$A$1:$BZ$1001,44,D$2)&amp;""),""))</f>
        <v/>
      </c>
      <c r="E45">
        <f>IF(E$2=0,"",IFERROR(TRIM(INDEX('Pegar estudiantes'!$A$1:$BZ$1001,44,E$2)&amp;""),""))</f>
        <v/>
      </c>
      <c r="F45">
        <f>IF(F$2=0,"",IFERROR(TRIM(INDEX('Pegar estudiantes'!$A$1:$BZ$1001,44,F$2)&amp;""),""))</f>
        <v/>
      </c>
      <c r="G45">
        <f>IF(G$2=0,"",IFERROR(TRIM(INDEX('Pegar estudiantes'!$A$1:$BZ$1001,44,G$2)&amp;""),""))</f>
        <v/>
      </c>
      <c r="H45">
        <f>IF(H$2=0,"",IFERROR(TRIM(INDEX('Pegar estudiantes'!$A$1:$BZ$1001,44,H$2)&amp;""),""))</f>
        <v/>
      </c>
      <c r="I45">
        <f>IF(I$2=0,"",IFERROR(TRIM(INDEX('Pegar estudiantes'!$A$1:$BZ$1001,44,I$2)&amp;""),""))</f>
        <v/>
      </c>
      <c r="J45">
        <f>IF(J$2=0,"",IFERROR(TRIM(INDEX('Pegar estudiantes'!$A$1:$BZ$1001,44,J$2)&amp;""),""))</f>
        <v/>
      </c>
      <c r="K45">
        <f>IF(K$2=0,"",IFERROR(TRIM(INDEX('Pegar estudiantes'!$A$1:$BZ$1001,44,K$2)&amp;""),""))</f>
        <v/>
      </c>
      <c r="L45" s="25">
        <f>IF(A45&lt;&gt;"",1,"")</f>
        <v/>
      </c>
      <c r="M45" s="25">
        <f>IF(L45=1,IF(ISNUMBER(FIND("#"&amp;MID(A45,1,1)&amp;"#","#0#1#2#3#4#5#6#7#8#9#")),IF(ISNUMBER(FIND("#"&amp;MID(A45,2,1)&amp;"#","#0#1#2#3#4#5#6#7#8#9#")),IF(AND(VALUE(LEFT(A45,2))&gt;=1,VALUE(LEFT(A45,2))&lt;=5),VALUE(LEFT(A45,2)),""),IF(AND(VALUE(LEFT(A45,1))&gt;=1,VALUE(LEFT(A45,1))&lt;=5),VALUE(LEFT(A45,1)),"")),""),"")</f>
        <v/>
      </c>
      <c r="N45" s="25">
        <f>IF(L45=1,IF(ISNUMBER(FIND("#"&amp;MID(H45,1,1)&amp;"#","#0#1#2#3#4#5#6#7#8#9#")),IF(ISNUMBER(FIND("#"&amp;MID(H45,2,1)&amp;"#","#0#1#2#3#4#5#6#7#8#9#")),IF(AND(VALUE(LEFT(H45,2))&gt;=1,VALUE(LEFT(H45,2))&lt;=5),VALUE(LEFT(H45,2)),""),IF(AND(VALUE(LEFT(H45,1))&gt;=1,VALUE(LEFT(H45,1))&lt;=5),VALUE(LEFT(H45,1)),"")),""),"")</f>
        <v/>
      </c>
      <c r="O45" s="25">
        <f>IF(AND(L45=1,B45&lt;&gt;""),SUBSTITUTE(SUBSTITUTE(SUBSTITUTE(SUBSTITUTE(SUBSTITUTE(SUBSTITUTE(SUBSTITUTE(SUBSTITUTE(SUBSTITUTE(SUBSTITUTE(SUBSTITUTE(SUBSTITUTE(LOWER(TRIM(B45)),"á","a"),"é","e"),"í","i"),"ó","o"),"ú","u"),"ü","u"),"ñ","n"),"à","a"),"è","e"),"ì","i"),"ò","o"),"ù","u"),"")</f>
        <v/>
      </c>
      <c r="P45" s="25">
        <f>IF(AND(L45=1,C45&lt;&gt;""),SUBSTITUTE(SUBSTITUTE(SUBSTITUTE(SUBSTITUTE(SUBSTITUTE(SUBSTITUTE(SUBSTITUTE(SUBSTITUTE(SUBSTITUTE(SUBSTITUTE(SUBSTITUTE(SUBSTITUTE(LOWER(TRIM(C45)),"á","a"),"é","e"),"í","i"),"ó","o"),"ú","u"),"ü","u"),"ñ","n"),"à","a"),"è","e"),"ì","i"),"ò","o"),"ù","u"),"")</f>
        <v/>
      </c>
      <c r="Q45" s="25">
        <f>IF(AND(L45=1,E45&lt;&gt;""),SUBSTITUTE(SUBSTITUTE(SUBSTITUTE(SUBSTITUTE(SUBSTITUTE(SUBSTITUTE(SUBSTITUTE(SUBSTITUTE(SUBSTITUTE(SUBSTITUTE(SUBSTITUTE(SUBSTITUTE(LOWER(TRIM(E45)),"á","a"),"é","e"),"í","i"),"ó","o"),"ú","u"),"ü","u"),"ñ","n"),"à","a"),"è","e"),"ì","i"),"ò","o"),"ù","u"),"")</f>
        <v/>
      </c>
      <c r="R45" s="25">
        <f>IF(AND(L45=1,I45&lt;&gt;""),SUBSTITUTE(SUBSTITUTE(SUBSTITUTE(SUBSTITUTE(SUBSTITUTE(SUBSTITUTE(SUBSTITUTE(SUBSTITUTE(SUBSTITUTE(SUBSTITUTE(SUBSTITUTE(SUBSTITUTE(LOWER(TRIM(I45)),"á","a"),"é","e"),"í","i"),"ó","o"),"ú","u"),"ü","u"),"ñ","n"),"à","a"),"è","e"),"ì","i"),"ò","o"),"ù","u"),"")</f>
        <v/>
      </c>
      <c r="S45" s="25">
        <f>IF(R45="","",IF(OR(R45="si",R45="tal vez"),1,0))</f>
        <v/>
      </c>
      <c r="T45" s="25">
        <f>IF(AND(L45=1,D45&lt;&gt;""),IF(IFERROR(COUNTIFS(D$3:D45,"="&amp;SUBSTITUTE(SUBSTITUTE(SUBSTITUTE(D45,"~","~~"),"*","~*"),"?","~?"),L$3:L45,1),0)=1,MAX(T$2:T44)+1,""),"")</f>
        <v/>
      </c>
      <c r="U45" s="25">
        <f>IF(T45="","",COUNTIFS($D$3:$D$1002,"="&amp;SUBSTITUTE(SUBSTITUTE(SUBSTITUTE(D45,"~","~~"),"*","~*"),"?","~?"),$L$3:$L$1002,1)*10000-T45)</f>
        <v/>
      </c>
      <c r="V45" s="25">
        <f>IF(AND(L45=1,J45&lt;&gt;""),IF(IFERROR(COUNTIFS(J$3:J45,"="&amp;SUBSTITUTE(SUBSTITUTE(SUBSTITUTE(J45,"~","~~"),"*","~*"),"?","~?"),L$3:L45,1),0)=1,MAX(V$2:V44)+1,""),"")</f>
        <v/>
      </c>
      <c r="W45" s="25">
        <f>IF(V45="","",COUNTIFS($J$3:$J$1002,"="&amp;SUBSTITUTE(SUBSTITUTE(SUBSTITUTE(J45,"~","~~"),"*","~*"),"?","~?"),$L$3:$L$1002,1)*10000-V45)</f>
        <v/>
      </c>
    </row>
    <row r="46">
      <c r="A46">
        <f>IF(A$2=0,"",IFERROR(TRIM(INDEX('Pegar estudiantes'!$A$1:$BZ$1001,45,A$2)&amp;""),""))</f>
        <v/>
      </c>
      <c r="B46">
        <f>IF(B$2=0,"",IFERROR(TRIM(INDEX('Pegar estudiantes'!$A$1:$BZ$1001,45,B$2)&amp;""),""))</f>
        <v/>
      </c>
      <c r="C46">
        <f>IF(C$2=0,"",IFERROR(TRIM(INDEX('Pegar estudiantes'!$A$1:$BZ$1001,45,C$2)&amp;""),""))</f>
        <v/>
      </c>
      <c r="D46">
        <f>IF(D$2=0,"",IFERROR(TRIM(INDEX('Pegar estudiantes'!$A$1:$BZ$1001,45,D$2)&amp;""),""))</f>
        <v/>
      </c>
      <c r="E46">
        <f>IF(E$2=0,"",IFERROR(TRIM(INDEX('Pegar estudiantes'!$A$1:$BZ$1001,45,E$2)&amp;""),""))</f>
        <v/>
      </c>
      <c r="F46">
        <f>IF(F$2=0,"",IFERROR(TRIM(INDEX('Pegar estudiantes'!$A$1:$BZ$1001,45,F$2)&amp;""),""))</f>
        <v/>
      </c>
      <c r="G46">
        <f>IF(G$2=0,"",IFERROR(TRIM(INDEX('Pegar estudiantes'!$A$1:$BZ$1001,45,G$2)&amp;""),""))</f>
        <v/>
      </c>
      <c r="H46">
        <f>IF(H$2=0,"",IFERROR(TRIM(INDEX('Pegar estudiantes'!$A$1:$BZ$1001,45,H$2)&amp;""),""))</f>
        <v/>
      </c>
      <c r="I46">
        <f>IF(I$2=0,"",IFERROR(TRIM(INDEX('Pegar estudiantes'!$A$1:$BZ$1001,45,I$2)&amp;""),""))</f>
        <v/>
      </c>
      <c r="J46">
        <f>IF(J$2=0,"",IFERROR(TRIM(INDEX('Pegar estudiantes'!$A$1:$BZ$1001,45,J$2)&amp;""),""))</f>
        <v/>
      </c>
      <c r="K46">
        <f>IF(K$2=0,"",IFERROR(TRIM(INDEX('Pegar estudiantes'!$A$1:$BZ$1001,45,K$2)&amp;""),""))</f>
        <v/>
      </c>
      <c r="L46" s="25">
        <f>IF(A46&lt;&gt;"",1,"")</f>
        <v/>
      </c>
      <c r="M46" s="25">
        <f>IF(L46=1,IF(ISNUMBER(FIND("#"&amp;MID(A46,1,1)&amp;"#","#0#1#2#3#4#5#6#7#8#9#")),IF(ISNUMBER(FIND("#"&amp;MID(A46,2,1)&amp;"#","#0#1#2#3#4#5#6#7#8#9#")),IF(AND(VALUE(LEFT(A46,2))&gt;=1,VALUE(LEFT(A46,2))&lt;=5),VALUE(LEFT(A46,2)),""),IF(AND(VALUE(LEFT(A46,1))&gt;=1,VALUE(LEFT(A46,1))&lt;=5),VALUE(LEFT(A46,1)),"")),""),"")</f>
        <v/>
      </c>
      <c r="N46" s="25">
        <f>IF(L46=1,IF(ISNUMBER(FIND("#"&amp;MID(H46,1,1)&amp;"#","#0#1#2#3#4#5#6#7#8#9#")),IF(ISNUMBER(FIND("#"&amp;MID(H46,2,1)&amp;"#","#0#1#2#3#4#5#6#7#8#9#")),IF(AND(VALUE(LEFT(H46,2))&gt;=1,VALUE(LEFT(H46,2))&lt;=5),VALUE(LEFT(H46,2)),""),IF(AND(VALUE(LEFT(H46,1))&gt;=1,VALUE(LEFT(H46,1))&lt;=5),VALUE(LEFT(H46,1)),"")),""),"")</f>
        <v/>
      </c>
      <c r="O46" s="25">
        <f>IF(AND(L46=1,B46&lt;&gt;""),SUBSTITUTE(SUBSTITUTE(SUBSTITUTE(SUBSTITUTE(SUBSTITUTE(SUBSTITUTE(SUBSTITUTE(SUBSTITUTE(SUBSTITUTE(SUBSTITUTE(SUBSTITUTE(SUBSTITUTE(LOWER(TRIM(B46)),"á","a"),"é","e"),"í","i"),"ó","o"),"ú","u"),"ü","u"),"ñ","n"),"à","a"),"è","e"),"ì","i"),"ò","o"),"ù","u"),"")</f>
        <v/>
      </c>
      <c r="P46" s="25">
        <f>IF(AND(L46=1,C46&lt;&gt;""),SUBSTITUTE(SUBSTITUTE(SUBSTITUTE(SUBSTITUTE(SUBSTITUTE(SUBSTITUTE(SUBSTITUTE(SUBSTITUTE(SUBSTITUTE(SUBSTITUTE(SUBSTITUTE(SUBSTITUTE(LOWER(TRIM(C46)),"á","a"),"é","e"),"í","i"),"ó","o"),"ú","u"),"ü","u"),"ñ","n"),"à","a"),"è","e"),"ì","i"),"ò","o"),"ù","u"),"")</f>
        <v/>
      </c>
      <c r="Q46" s="25">
        <f>IF(AND(L46=1,E46&lt;&gt;""),SUBSTITUTE(SUBSTITUTE(SUBSTITUTE(SUBSTITUTE(SUBSTITUTE(SUBSTITUTE(SUBSTITUTE(SUBSTITUTE(SUBSTITUTE(SUBSTITUTE(SUBSTITUTE(SUBSTITUTE(LOWER(TRIM(E46)),"á","a"),"é","e"),"í","i"),"ó","o"),"ú","u"),"ü","u"),"ñ","n"),"à","a"),"è","e"),"ì","i"),"ò","o"),"ù","u"),"")</f>
        <v/>
      </c>
      <c r="R46" s="25">
        <f>IF(AND(L46=1,I46&lt;&gt;""),SUBSTITUTE(SUBSTITUTE(SUBSTITUTE(SUBSTITUTE(SUBSTITUTE(SUBSTITUTE(SUBSTITUTE(SUBSTITUTE(SUBSTITUTE(SUBSTITUTE(SUBSTITUTE(SUBSTITUTE(LOWER(TRIM(I46)),"á","a"),"é","e"),"í","i"),"ó","o"),"ú","u"),"ü","u"),"ñ","n"),"à","a"),"è","e"),"ì","i"),"ò","o"),"ù","u"),"")</f>
        <v/>
      </c>
      <c r="S46" s="25">
        <f>IF(R46="","",IF(OR(R46="si",R46="tal vez"),1,0))</f>
        <v/>
      </c>
      <c r="T46" s="25">
        <f>IF(AND(L46=1,D46&lt;&gt;""),IF(IFERROR(COUNTIFS(D$3:D46,"="&amp;SUBSTITUTE(SUBSTITUTE(SUBSTITUTE(D46,"~","~~"),"*","~*"),"?","~?"),L$3:L46,1),0)=1,MAX(T$2:T45)+1,""),"")</f>
        <v/>
      </c>
      <c r="U46" s="25">
        <f>IF(T46="","",COUNTIFS($D$3:$D$1002,"="&amp;SUBSTITUTE(SUBSTITUTE(SUBSTITUTE(D46,"~","~~"),"*","~*"),"?","~?"),$L$3:$L$1002,1)*10000-T46)</f>
        <v/>
      </c>
      <c r="V46" s="25">
        <f>IF(AND(L46=1,J46&lt;&gt;""),IF(IFERROR(COUNTIFS(J$3:J46,"="&amp;SUBSTITUTE(SUBSTITUTE(SUBSTITUTE(J46,"~","~~"),"*","~*"),"?","~?"),L$3:L46,1),0)=1,MAX(V$2:V45)+1,""),"")</f>
        <v/>
      </c>
      <c r="W46" s="25">
        <f>IF(V46="","",COUNTIFS($J$3:$J$1002,"="&amp;SUBSTITUTE(SUBSTITUTE(SUBSTITUTE(J46,"~","~~"),"*","~*"),"?","~?"),$L$3:$L$1002,1)*10000-V46)</f>
        <v/>
      </c>
    </row>
    <row r="47">
      <c r="A47">
        <f>IF(A$2=0,"",IFERROR(TRIM(INDEX('Pegar estudiantes'!$A$1:$BZ$1001,46,A$2)&amp;""),""))</f>
        <v/>
      </c>
      <c r="B47">
        <f>IF(B$2=0,"",IFERROR(TRIM(INDEX('Pegar estudiantes'!$A$1:$BZ$1001,46,B$2)&amp;""),""))</f>
        <v/>
      </c>
      <c r="C47">
        <f>IF(C$2=0,"",IFERROR(TRIM(INDEX('Pegar estudiantes'!$A$1:$BZ$1001,46,C$2)&amp;""),""))</f>
        <v/>
      </c>
      <c r="D47">
        <f>IF(D$2=0,"",IFERROR(TRIM(INDEX('Pegar estudiantes'!$A$1:$BZ$1001,46,D$2)&amp;""),""))</f>
        <v/>
      </c>
      <c r="E47">
        <f>IF(E$2=0,"",IFERROR(TRIM(INDEX('Pegar estudiantes'!$A$1:$BZ$1001,46,E$2)&amp;""),""))</f>
        <v/>
      </c>
      <c r="F47">
        <f>IF(F$2=0,"",IFERROR(TRIM(INDEX('Pegar estudiantes'!$A$1:$BZ$1001,46,F$2)&amp;""),""))</f>
        <v/>
      </c>
      <c r="G47">
        <f>IF(G$2=0,"",IFERROR(TRIM(INDEX('Pegar estudiantes'!$A$1:$BZ$1001,46,G$2)&amp;""),""))</f>
        <v/>
      </c>
      <c r="H47">
        <f>IF(H$2=0,"",IFERROR(TRIM(INDEX('Pegar estudiantes'!$A$1:$BZ$1001,46,H$2)&amp;""),""))</f>
        <v/>
      </c>
      <c r="I47">
        <f>IF(I$2=0,"",IFERROR(TRIM(INDEX('Pegar estudiantes'!$A$1:$BZ$1001,46,I$2)&amp;""),""))</f>
        <v/>
      </c>
      <c r="J47">
        <f>IF(J$2=0,"",IFERROR(TRIM(INDEX('Pegar estudiantes'!$A$1:$BZ$1001,46,J$2)&amp;""),""))</f>
        <v/>
      </c>
      <c r="K47">
        <f>IF(K$2=0,"",IFERROR(TRIM(INDEX('Pegar estudiantes'!$A$1:$BZ$1001,46,K$2)&amp;""),""))</f>
        <v/>
      </c>
      <c r="L47" s="25">
        <f>IF(A47&lt;&gt;"",1,"")</f>
        <v/>
      </c>
      <c r="M47" s="25">
        <f>IF(L47=1,IF(ISNUMBER(FIND("#"&amp;MID(A47,1,1)&amp;"#","#0#1#2#3#4#5#6#7#8#9#")),IF(ISNUMBER(FIND("#"&amp;MID(A47,2,1)&amp;"#","#0#1#2#3#4#5#6#7#8#9#")),IF(AND(VALUE(LEFT(A47,2))&gt;=1,VALUE(LEFT(A47,2))&lt;=5),VALUE(LEFT(A47,2)),""),IF(AND(VALUE(LEFT(A47,1))&gt;=1,VALUE(LEFT(A47,1))&lt;=5),VALUE(LEFT(A47,1)),"")),""),"")</f>
        <v/>
      </c>
      <c r="N47" s="25">
        <f>IF(L47=1,IF(ISNUMBER(FIND("#"&amp;MID(H47,1,1)&amp;"#","#0#1#2#3#4#5#6#7#8#9#")),IF(ISNUMBER(FIND("#"&amp;MID(H47,2,1)&amp;"#","#0#1#2#3#4#5#6#7#8#9#")),IF(AND(VALUE(LEFT(H47,2))&gt;=1,VALUE(LEFT(H47,2))&lt;=5),VALUE(LEFT(H47,2)),""),IF(AND(VALUE(LEFT(H47,1))&gt;=1,VALUE(LEFT(H47,1))&lt;=5),VALUE(LEFT(H47,1)),"")),""),"")</f>
        <v/>
      </c>
      <c r="O47" s="25">
        <f>IF(AND(L47=1,B47&lt;&gt;""),SUBSTITUTE(SUBSTITUTE(SUBSTITUTE(SUBSTITUTE(SUBSTITUTE(SUBSTITUTE(SUBSTITUTE(SUBSTITUTE(SUBSTITUTE(SUBSTITUTE(SUBSTITUTE(SUBSTITUTE(LOWER(TRIM(B47)),"á","a"),"é","e"),"í","i"),"ó","o"),"ú","u"),"ü","u"),"ñ","n"),"à","a"),"è","e"),"ì","i"),"ò","o"),"ù","u"),"")</f>
        <v/>
      </c>
      <c r="P47" s="25">
        <f>IF(AND(L47=1,C47&lt;&gt;""),SUBSTITUTE(SUBSTITUTE(SUBSTITUTE(SUBSTITUTE(SUBSTITUTE(SUBSTITUTE(SUBSTITUTE(SUBSTITUTE(SUBSTITUTE(SUBSTITUTE(SUBSTITUTE(SUBSTITUTE(LOWER(TRIM(C47)),"á","a"),"é","e"),"í","i"),"ó","o"),"ú","u"),"ü","u"),"ñ","n"),"à","a"),"è","e"),"ì","i"),"ò","o"),"ù","u"),"")</f>
        <v/>
      </c>
      <c r="Q47" s="25">
        <f>IF(AND(L47=1,E47&lt;&gt;""),SUBSTITUTE(SUBSTITUTE(SUBSTITUTE(SUBSTITUTE(SUBSTITUTE(SUBSTITUTE(SUBSTITUTE(SUBSTITUTE(SUBSTITUTE(SUBSTITUTE(SUBSTITUTE(SUBSTITUTE(LOWER(TRIM(E47)),"á","a"),"é","e"),"í","i"),"ó","o"),"ú","u"),"ü","u"),"ñ","n"),"à","a"),"è","e"),"ì","i"),"ò","o"),"ù","u"),"")</f>
        <v/>
      </c>
      <c r="R47" s="25">
        <f>IF(AND(L47=1,I47&lt;&gt;""),SUBSTITUTE(SUBSTITUTE(SUBSTITUTE(SUBSTITUTE(SUBSTITUTE(SUBSTITUTE(SUBSTITUTE(SUBSTITUTE(SUBSTITUTE(SUBSTITUTE(SUBSTITUTE(SUBSTITUTE(LOWER(TRIM(I47)),"á","a"),"é","e"),"í","i"),"ó","o"),"ú","u"),"ü","u"),"ñ","n"),"à","a"),"è","e"),"ì","i"),"ò","o"),"ù","u"),"")</f>
        <v/>
      </c>
      <c r="S47" s="25">
        <f>IF(R47="","",IF(OR(R47="si",R47="tal vez"),1,0))</f>
        <v/>
      </c>
      <c r="T47" s="25">
        <f>IF(AND(L47=1,D47&lt;&gt;""),IF(IFERROR(COUNTIFS(D$3:D47,"="&amp;SUBSTITUTE(SUBSTITUTE(SUBSTITUTE(D47,"~","~~"),"*","~*"),"?","~?"),L$3:L47,1),0)=1,MAX(T$2:T46)+1,""),"")</f>
        <v/>
      </c>
      <c r="U47" s="25">
        <f>IF(T47="","",COUNTIFS($D$3:$D$1002,"="&amp;SUBSTITUTE(SUBSTITUTE(SUBSTITUTE(D47,"~","~~"),"*","~*"),"?","~?"),$L$3:$L$1002,1)*10000-T47)</f>
        <v/>
      </c>
      <c r="V47" s="25">
        <f>IF(AND(L47=1,J47&lt;&gt;""),IF(IFERROR(COUNTIFS(J$3:J47,"="&amp;SUBSTITUTE(SUBSTITUTE(SUBSTITUTE(J47,"~","~~"),"*","~*"),"?","~?"),L$3:L47,1),0)=1,MAX(V$2:V46)+1,""),"")</f>
        <v/>
      </c>
      <c r="W47" s="25">
        <f>IF(V47="","",COUNTIFS($J$3:$J$1002,"="&amp;SUBSTITUTE(SUBSTITUTE(SUBSTITUTE(J47,"~","~~"),"*","~*"),"?","~?"),$L$3:$L$1002,1)*10000-V47)</f>
        <v/>
      </c>
    </row>
    <row r="48">
      <c r="A48">
        <f>IF(A$2=0,"",IFERROR(TRIM(INDEX('Pegar estudiantes'!$A$1:$BZ$1001,47,A$2)&amp;""),""))</f>
        <v/>
      </c>
      <c r="B48">
        <f>IF(B$2=0,"",IFERROR(TRIM(INDEX('Pegar estudiantes'!$A$1:$BZ$1001,47,B$2)&amp;""),""))</f>
        <v/>
      </c>
      <c r="C48">
        <f>IF(C$2=0,"",IFERROR(TRIM(INDEX('Pegar estudiantes'!$A$1:$BZ$1001,47,C$2)&amp;""),""))</f>
        <v/>
      </c>
      <c r="D48">
        <f>IF(D$2=0,"",IFERROR(TRIM(INDEX('Pegar estudiantes'!$A$1:$BZ$1001,47,D$2)&amp;""),""))</f>
        <v/>
      </c>
      <c r="E48">
        <f>IF(E$2=0,"",IFERROR(TRIM(INDEX('Pegar estudiantes'!$A$1:$BZ$1001,47,E$2)&amp;""),""))</f>
        <v/>
      </c>
      <c r="F48">
        <f>IF(F$2=0,"",IFERROR(TRIM(INDEX('Pegar estudiantes'!$A$1:$BZ$1001,47,F$2)&amp;""),""))</f>
        <v/>
      </c>
      <c r="G48">
        <f>IF(G$2=0,"",IFERROR(TRIM(INDEX('Pegar estudiantes'!$A$1:$BZ$1001,47,G$2)&amp;""),""))</f>
        <v/>
      </c>
      <c r="H48">
        <f>IF(H$2=0,"",IFERROR(TRIM(INDEX('Pegar estudiantes'!$A$1:$BZ$1001,47,H$2)&amp;""),""))</f>
        <v/>
      </c>
      <c r="I48">
        <f>IF(I$2=0,"",IFERROR(TRIM(INDEX('Pegar estudiantes'!$A$1:$BZ$1001,47,I$2)&amp;""),""))</f>
        <v/>
      </c>
      <c r="J48">
        <f>IF(J$2=0,"",IFERROR(TRIM(INDEX('Pegar estudiantes'!$A$1:$BZ$1001,47,J$2)&amp;""),""))</f>
        <v/>
      </c>
      <c r="K48">
        <f>IF(K$2=0,"",IFERROR(TRIM(INDEX('Pegar estudiantes'!$A$1:$BZ$1001,47,K$2)&amp;""),""))</f>
        <v/>
      </c>
      <c r="L48" s="25">
        <f>IF(A48&lt;&gt;"",1,"")</f>
        <v/>
      </c>
      <c r="M48" s="25">
        <f>IF(L48=1,IF(ISNUMBER(FIND("#"&amp;MID(A48,1,1)&amp;"#","#0#1#2#3#4#5#6#7#8#9#")),IF(ISNUMBER(FIND("#"&amp;MID(A48,2,1)&amp;"#","#0#1#2#3#4#5#6#7#8#9#")),IF(AND(VALUE(LEFT(A48,2))&gt;=1,VALUE(LEFT(A48,2))&lt;=5),VALUE(LEFT(A48,2)),""),IF(AND(VALUE(LEFT(A48,1))&gt;=1,VALUE(LEFT(A48,1))&lt;=5),VALUE(LEFT(A48,1)),"")),""),"")</f>
        <v/>
      </c>
      <c r="N48" s="25">
        <f>IF(L48=1,IF(ISNUMBER(FIND("#"&amp;MID(H48,1,1)&amp;"#","#0#1#2#3#4#5#6#7#8#9#")),IF(ISNUMBER(FIND("#"&amp;MID(H48,2,1)&amp;"#","#0#1#2#3#4#5#6#7#8#9#")),IF(AND(VALUE(LEFT(H48,2))&gt;=1,VALUE(LEFT(H48,2))&lt;=5),VALUE(LEFT(H48,2)),""),IF(AND(VALUE(LEFT(H48,1))&gt;=1,VALUE(LEFT(H48,1))&lt;=5),VALUE(LEFT(H48,1)),"")),""),"")</f>
        <v/>
      </c>
      <c r="O48" s="25">
        <f>IF(AND(L48=1,B48&lt;&gt;""),SUBSTITUTE(SUBSTITUTE(SUBSTITUTE(SUBSTITUTE(SUBSTITUTE(SUBSTITUTE(SUBSTITUTE(SUBSTITUTE(SUBSTITUTE(SUBSTITUTE(SUBSTITUTE(SUBSTITUTE(LOWER(TRIM(B48)),"á","a"),"é","e"),"í","i"),"ó","o"),"ú","u"),"ü","u"),"ñ","n"),"à","a"),"è","e"),"ì","i"),"ò","o"),"ù","u"),"")</f>
        <v/>
      </c>
      <c r="P48" s="25">
        <f>IF(AND(L48=1,C48&lt;&gt;""),SUBSTITUTE(SUBSTITUTE(SUBSTITUTE(SUBSTITUTE(SUBSTITUTE(SUBSTITUTE(SUBSTITUTE(SUBSTITUTE(SUBSTITUTE(SUBSTITUTE(SUBSTITUTE(SUBSTITUTE(LOWER(TRIM(C48)),"á","a"),"é","e"),"í","i"),"ó","o"),"ú","u"),"ü","u"),"ñ","n"),"à","a"),"è","e"),"ì","i"),"ò","o"),"ù","u"),"")</f>
        <v/>
      </c>
      <c r="Q48" s="25">
        <f>IF(AND(L48=1,E48&lt;&gt;""),SUBSTITUTE(SUBSTITUTE(SUBSTITUTE(SUBSTITUTE(SUBSTITUTE(SUBSTITUTE(SUBSTITUTE(SUBSTITUTE(SUBSTITUTE(SUBSTITUTE(SUBSTITUTE(SUBSTITUTE(LOWER(TRIM(E48)),"á","a"),"é","e"),"í","i"),"ó","o"),"ú","u"),"ü","u"),"ñ","n"),"à","a"),"è","e"),"ì","i"),"ò","o"),"ù","u"),"")</f>
        <v/>
      </c>
      <c r="R48" s="25">
        <f>IF(AND(L48=1,I48&lt;&gt;""),SUBSTITUTE(SUBSTITUTE(SUBSTITUTE(SUBSTITUTE(SUBSTITUTE(SUBSTITUTE(SUBSTITUTE(SUBSTITUTE(SUBSTITUTE(SUBSTITUTE(SUBSTITUTE(SUBSTITUTE(LOWER(TRIM(I48)),"á","a"),"é","e"),"í","i"),"ó","o"),"ú","u"),"ü","u"),"ñ","n"),"à","a"),"è","e"),"ì","i"),"ò","o"),"ù","u"),"")</f>
        <v/>
      </c>
      <c r="S48" s="25">
        <f>IF(R48="","",IF(OR(R48="si",R48="tal vez"),1,0))</f>
        <v/>
      </c>
      <c r="T48" s="25">
        <f>IF(AND(L48=1,D48&lt;&gt;""),IF(IFERROR(COUNTIFS(D$3:D48,"="&amp;SUBSTITUTE(SUBSTITUTE(SUBSTITUTE(D48,"~","~~"),"*","~*"),"?","~?"),L$3:L48,1),0)=1,MAX(T$2:T47)+1,""),"")</f>
        <v/>
      </c>
      <c r="U48" s="25">
        <f>IF(T48="","",COUNTIFS($D$3:$D$1002,"="&amp;SUBSTITUTE(SUBSTITUTE(SUBSTITUTE(D48,"~","~~"),"*","~*"),"?","~?"),$L$3:$L$1002,1)*10000-T48)</f>
        <v/>
      </c>
      <c r="V48" s="25">
        <f>IF(AND(L48=1,J48&lt;&gt;""),IF(IFERROR(COUNTIFS(J$3:J48,"="&amp;SUBSTITUTE(SUBSTITUTE(SUBSTITUTE(J48,"~","~~"),"*","~*"),"?","~?"),L$3:L48,1),0)=1,MAX(V$2:V47)+1,""),"")</f>
        <v/>
      </c>
      <c r="W48" s="25">
        <f>IF(V48="","",COUNTIFS($J$3:$J$1002,"="&amp;SUBSTITUTE(SUBSTITUTE(SUBSTITUTE(J48,"~","~~"),"*","~*"),"?","~?"),$L$3:$L$1002,1)*10000-V48)</f>
        <v/>
      </c>
    </row>
    <row r="49">
      <c r="A49">
        <f>IF(A$2=0,"",IFERROR(TRIM(INDEX('Pegar estudiantes'!$A$1:$BZ$1001,48,A$2)&amp;""),""))</f>
        <v/>
      </c>
      <c r="B49">
        <f>IF(B$2=0,"",IFERROR(TRIM(INDEX('Pegar estudiantes'!$A$1:$BZ$1001,48,B$2)&amp;""),""))</f>
        <v/>
      </c>
      <c r="C49">
        <f>IF(C$2=0,"",IFERROR(TRIM(INDEX('Pegar estudiantes'!$A$1:$BZ$1001,48,C$2)&amp;""),""))</f>
        <v/>
      </c>
      <c r="D49">
        <f>IF(D$2=0,"",IFERROR(TRIM(INDEX('Pegar estudiantes'!$A$1:$BZ$1001,48,D$2)&amp;""),""))</f>
        <v/>
      </c>
      <c r="E49">
        <f>IF(E$2=0,"",IFERROR(TRIM(INDEX('Pegar estudiantes'!$A$1:$BZ$1001,48,E$2)&amp;""),""))</f>
        <v/>
      </c>
      <c r="F49">
        <f>IF(F$2=0,"",IFERROR(TRIM(INDEX('Pegar estudiantes'!$A$1:$BZ$1001,48,F$2)&amp;""),""))</f>
        <v/>
      </c>
      <c r="G49">
        <f>IF(G$2=0,"",IFERROR(TRIM(INDEX('Pegar estudiantes'!$A$1:$BZ$1001,48,G$2)&amp;""),""))</f>
        <v/>
      </c>
      <c r="H49">
        <f>IF(H$2=0,"",IFERROR(TRIM(INDEX('Pegar estudiantes'!$A$1:$BZ$1001,48,H$2)&amp;""),""))</f>
        <v/>
      </c>
      <c r="I49">
        <f>IF(I$2=0,"",IFERROR(TRIM(INDEX('Pegar estudiantes'!$A$1:$BZ$1001,48,I$2)&amp;""),""))</f>
        <v/>
      </c>
      <c r="J49">
        <f>IF(J$2=0,"",IFERROR(TRIM(INDEX('Pegar estudiantes'!$A$1:$BZ$1001,48,J$2)&amp;""),""))</f>
        <v/>
      </c>
      <c r="K49">
        <f>IF(K$2=0,"",IFERROR(TRIM(INDEX('Pegar estudiantes'!$A$1:$BZ$1001,48,K$2)&amp;""),""))</f>
        <v/>
      </c>
      <c r="L49" s="25">
        <f>IF(A49&lt;&gt;"",1,"")</f>
        <v/>
      </c>
      <c r="M49" s="25">
        <f>IF(L49=1,IF(ISNUMBER(FIND("#"&amp;MID(A49,1,1)&amp;"#","#0#1#2#3#4#5#6#7#8#9#")),IF(ISNUMBER(FIND("#"&amp;MID(A49,2,1)&amp;"#","#0#1#2#3#4#5#6#7#8#9#")),IF(AND(VALUE(LEFT(A49,2))&gt;=1,VALUE(LEFT(A49,2))&lt;=5),VALUE(LEFT(A49,2)),""),IF(AND(VALUE(LEFT(A49,1))&gt;=1,VALUE(LEFT(A49,1))&lt;=5),VALUE(LEFT(A49,1)),"")),""),"")</f>
        <v/>
      </c>
      <c r="N49" s="25">
        <f>IF(L49=1,IF(ISNUMBER(FIND("#"&amp;MID(H49,1,1)&amp;"#","#0#1#2#3#4#5#6#7#8#9#")),IF(ISNUMBER(FIND("#"&amp;MID(H49,2,1)&amp;"#","#0#1#2#3#4#5#6#7#8#9#")),IF(AND(VALUE(LEFT(H49,2))&gt;=1,VALUE(LEFT(H49,2))&lt;=5),VALUE(LEFT(H49,2)),""),IF(AND(VALUE(LEFT(H49,1))&gt;=1,VALUE(LEFT(H49,1))&lt;=5),VALUE(LEFT(H49,1)),"")),""),"")</f>
        <v/>
      </c>
      <c r="O49" s="25">
        <f>IF(AND(L49=1,B49&lt;&gt;""),SUBSTITUTE(SUBSTITUTE(SUBSTITUTE(SUBSTITUTE(SUBSTITUTE(SUBSTITUTE(SUBSTITUTE(SUBSTITUTE(SUBSTITUTE(SUBSTITUTE(SUBSTITUTE(SUBSTITUTE(LOWER(TRIM(B49)),"á","a"),"é","e"),"í","i"),"ó","o"),"ú","u"),"ü","u"),"ñ","n"),"à","a"),"è","e"),"ì","i"),"ò","o"),"ù","u"),"")</f>
        <v/>
      </c>
      <c r="P49" s="25">
        <f>IF(AND(L49=1,C49&lt;&gt;""),SUBSTITUTE(SUBSTITUTE(SUBSTITUTE(SUBSTITUTE(SUBSTITUTE(SUBSTITUTE(SUBSTITUTE(SUBSTITUTE(SUBSTITUTE(SUBSTITUTE(SUBSTITUTE(SUBSTITUTE(LOWER(TRIM(C49)),"á","a"),"é","e"),"í","i"),"ó","o"),"ú","u"),"ü","u"),"ñ","n"),"à","a"),"è","e"),"ì","i"),"ò","o"),"ù","u"),"")</f>
        <v/>
      </c>
      <c r="Q49" s="25">
        <f>IF(AND(L49=1,E49&lt;&gt;""),SUBSTITUTE(SUBSTITUTE(SUBSTITUTE(SUBSTITUTE(SUBSTITUTE(SUBSTITUTE(SUBSTITUTE(SUBSTITUTE(SUBSTITUTE(SUBSTITUTE(SUBSTITUTE(SUBSTITUTE(LOWER(TRIM(E49)),"á","a"),"é","e"),"í","i"),"ó","o"),"ú","u"),"ü","u"),"ñ","n"),"à","a"),"è","e"),"ì","i"),"ò","o"),"ù","u"),"")</f>
        <v/>
      </c>
      <c r="R49" s="25">
        <f>IF(AND(L49=1,I49&lt;&gt;""),SUBSTITUTE(SUBSTITUTE(SUBSTITUTE(SUBSTITUTE(SUBSTITUTE(SUBSTITUTE(SUBSTITUTE(SUBSTITUTE(SUBSTITUTE(SUBSTITUTE(SUBSTITUTE(SUBSTITUTE(LOWER(TRIM(I49)),"á","a"),"é","e"),"í","i"),"ó","o"),"ú","u"),"ü","u"),"ñ","n"),"à","a"),"è","e"),"ì","i"),"ò","o"),"ù","u"),"")</f>
        <v/>
      </c>
      <c r="S49" s="25">
        <f>IF(R49="","",IF(OR(R49="si",R49="tal vez"),1,0))</f>
        <v/>
      </c>
      <c r="T49" s="25">
        <f>IF(AND(L49=1,D49&lt;&gt;""),IF(IFERROR(COUNTIFS(D$3:D49,"="&amp;SUBSTITUTE(SUBSTITUTE(SUBSTITUTE(D49,"~","~~"),"*","~*"),"?","~?"),L$3:L49,1),0)=1,MAX(T$2:T48)+1,""),"")</f>
        <v/>
      </c>
      <c r="U49" s="25">
        <f>IF(T49="","",COUNTIFS($D$3:$D$1002,"="&amp;SUBSTITUTE(SUBSTITUTE(SUBSTITUTE(D49,"~","~~"),"*","~*"),"?","~?"),$L$3:$L$1002,1)*10000-T49)</f>
        <v/>
      </c>
      <c r="V49" s="25">
        <f>IF(AND(L49=1,J49&lt;&gt;""),IF(IFERROR(COUNTIFS(J$3:J49,"="&amp;SUBSTITUTE(SUBSTITUTE(SUBSTITUTE(J49,"~","~~"),"*","~*"),"?","~?"),L$3:L49,1),0)=1,MAX(V$2:V48)+1,""),"")</f>
        <v/>
      </c>
      <c r="W49" s="25">
        <f>IF(V49="","",COUNTIFS($J$3:$J$1002,"="&amp;SUBSTITUTE(SUBSTITUTE(SUBSTITUTE(J49,"~","~~"),"*","~*"),"?","~?"),$L$3:$L$1002,1)*10000-V49)</f>
        <v/>
      </c>
    </row>
    <row r="50">
      <c r="A50">
        <f>IF(A$2=0,"",IFERROR(TRIM(INDEX('Pegar estudiantes'!$A$1:$BZ$1001,49,A$2)&amp;""),""))</f>
        <v/>
      </c>
      <c r="B50">
        <f>IF(B$2=0,"",IFERROR(TRIM(INDEX('Pegar estudiantes'!$A$1:$BZ$1001,49,B$2)&amp;""),""))</f>
        <v/>
      </c>
      <c r="C50">
        <f>IF(C$2=0,"",IFERROR(TRIM(INDEX('Pegar estudiantes'!$A$1:$BZ$1001,49,C$2)&amp;""),""))</f>
        <v/>
      </c>
      <c r="D50">
        <f>IF(D$2=0,"",IFERROR(TRIM(INDEX('Pegar estudiantes'!$A$1:$BZ$1001,49,D$2)&amp;""),""))</f>
        <v/>
      </c>
      <c r="E50">
        <f>IF(E$2=0,"",IFERROR(TRIM(INDEX('Pegar estudiantes'!$A$1:$BZ$1001,49,E$2)&amp;""),""))</f>
        <v/>
      </c>
      <c r="F50">
        <f>IF(F$2=0,"",IFERROR(TRIM(INDEX('Pegar estudiantes'!$A$1:$BZ$1001,49,F$2)&amp;""),""))</f>
        <v/>
      </c>
      <c r="G50">
        <f>IF(G$2=0,"",IFERROR(TRIM(INDEX('Pegar estudiantes'!$A$1:$BZ$1001,49,G$2)&amp;""),""))</f>
        <v/>
      </c>
      <c r="H50">
        <f>IF(H$2=0,"",IFERROR(TRIM(INDEX('Pegar estudiantes'!$A$1:$BZ$1001,49,H$2)&amp;""),""))</f>
        <v/>
      </c>
      <c r="I50">
        <f>IF(I$2=0,"",IFERROR(TRIM(INDEX('Pegar estudiantes'!$A$1:$BZ$1001,49,I$2)&amp;""),""))</f>
        <v/>
      </c>
      <c r="J50">
        <f>IF(J$2=0,"",IFERROR(TRIM(INDEX('Pegar estudiantes'!$A$1:$BZ$1001,49,J$2)&amp;""),""))</f>
        <v/>
      </c>
      <c r="K50">
        <f>IF(K$2=0,"",IFERROR(TRIM(INDEX('Pegar estudiantes'!$A$1:$BZ$1001,49,K$2)&amp;""),""))</f>
        <v/>
      </c>
      <c r="L50" s="25">
        <f>IF(A50&lt;&gt;"",1,"")</f>
        <v/>
      </c>
      <c r="M50" s="25">
        <f>IF(L50=1,IF(ISNUMBER(FIND("#"&amp;MID(A50,1,1)&amp;"#","#0#1#2#3#4#5#6#7#8#9#")),IF(ISNUMBER(FIND("#"&amp;MID(A50,2,1)&amp;"#","#0#1#2#3#4#5#6#7#8#9#")),IF(AND(VALUE(LEFT(A50,2))&gt;=1,VALUE(LEFT(A50,2))&lt;=5),VALUE(LEFT(A50,2)),""),IF(AND(VALUE(LEFT(A50,1))&gt;=1,VALUE(LEFT(A50,1))&lt;=5),VALUE(LEFT(A50,1)),"")),""),"")</f>
        <v/>
      </c>
      <c r="N50" s="25">
        <f>IF(L50=1,IF(ISNUMBER(FIND("#"&amp;MID(H50,1,1)&amp;"#","#0#1#2#3#4#5#6#7#8#9#")),IF(ISNUMBER(FIND("#"&amp;MID(H50,2,1)&amp;"#","#0#1#2#3#4#5#6#7#8#9#")),IF(AND(VALUE(LEFT(H50,2))&gt;=1,VALUE(LEFT(H50,2))&lt;=5),VALUE(LEFT(H50,2)),""),IF(AND(VALUE(LEFT(H50,1))&gt;=1,VALUE(LEFT(H50,1))&lt;=5),VALUE(LEFT(H50,1)),"")),""),"")</f>
        <v/>
      </c>
      <c r="O50" s="25">
        <f>IF(AND(L50=1,B50&lt;&gt;""),SUBSTITUTE(SUBSTITUTE(SUBSTITUTE(SUBSTITUTE(SUBSTITUTE(SUBSTITUTE(SUBSTITUTE(SUBSTITUTE(SUBSTITUTE(SUBSTITUTE(SUBSTITUTE(SUBSTITUTE(LOWER(TRIM(B50)),"á","a"),"é","e"),"í","i"),"ó","o"),"ú","u"),"ü","u"),"ñ","n"),"à","a"),"è","e"),"ì","i"),"ò","o"),"ù","u"),"")</f>
        <v/>
      </c>
      <c r="P50" s="25">
        <f>IF(AND(L50=1,C50&lt;&gt;""),SUBSTITUTE(SUBSTITUTE(SUBSTITUTE(SUBSTITUTE(SUBSTITUTE(SUBSTITUTE(SUBSTITUTE(SUBSTITUTE(SUBSTITUTE(SUBSTITUTE(SUBSTITUTE(SUBSTITUTE(LOWER(TRIM(C50)),"á","a"),"é","e"),"í","i"),"ó","o"),"ú","u"),"ü","u"),"ñ","n"),"à","a"),"è","e"),"ì","i"),"ò","o"),"ù","u"),"")</f>
        <v/>
      </c>
      <c r="Q50" s="25">
        <f>IF(AND(L50=1,E50&lt;&gt;""),SUBSTITUTE(SUBSTITUTE(SUBSTITUTE(SUBSTITUTE(SUBSTITUTE(SUBSTITUTE(SUBSTITUTE(SUBSTITUTE(SUBSTITUTE(SUBSTITUTE(SUBSTITUTE(SUBSTITUTE(LOWER(TRIM(E50)),"á","a"),"é","e"),"í","i"),"ó","o"),"ú","u"),"ü","u"),"ñ","n"),"à","a"),"è","e"),"ì","i"),"ò","o"),"ù","u"),"")</f>
        <v/>
      </c>
      <c r="R50" s="25">
        <f>IF(AND(L50=1,I50&lt;&gt;""),SUBSTITUTE(SUBSTITUTE(SUBSTITUTE(SUBSTITUTE(SUBSTITUTE(SUBSTITUTE(SUBSTITUTE(SUBSTITUTE(SUBSTITUTE(SUBSTITUTE(SUBSTITUTE(SUBSTITUTE(LOWER(TRIM(I50)),"á","a"),"é","e"),"í","i"),"ó","o"),"ú","u"),"ü","u"),"ñ","n"),"à","a"),"è","e"),"ì","i"),"ò","o"),"ù","u"),"")</f>
        <v/>
      </c>
      <c r="S50" s="25">
        <f>IF(R50="","",IF(OR(R50="si",R50="tal vez"),1,0))</f>
        <v/>
      </c>
      <c r="T50" s="25">
        <f>IF(AND(L50=1,D50&lt;&gt;""),IF(IFERROR(COUNTIFS(D$3:D50,"="&amp;SUBSTITUTE(SUBSTITUTE(SUBSTITUTE(D50,"~","~~"),"*","~*"),"?","~?"),L$3:L50,1),0)=1,MAX(T$2:T49)+1,""),"")</f>
        <v/>
      </c>
      <c r="U50" s="25">
        <f>IF(T50="","",COUNTIFS($D$3:$D$1002,"="&amp;SUBSTITUTE(SUBSTITUTE(SUBSTITUTE(D50,"~","~~"),"*","~*"),"?","~?"),$L$3:$L$1002,1)*10000-T50)</f>
        <v/>
      </c>
      <c r="V50" s="25">
        <f>IF(AND(L50=1,J50&lt;&gt;""),IF(IFERROR(COUNTIFS(J$3:J50,"="&amp;SUBSTITUTE(SUBSTITUTE(SUBSTITUTE(J50,"~","~~"),"*","~*"),"?","~?"),L$3:L50,1),0)=1,MAX(V$2:V49)+1,""),"")</f>
        <v/>
      </c>
      <c r="W50" s="25">
        <f>IF(V50="","",COUNTIFS($J$3:$J$1002,"="&amp;SUBSTITUTE(SUBSTITUTE(SUBSTITUTE(J50,"~","~~"),"*","~*"),"?","~?"),$L$3:$L$1002,1)*10000-V50)</f>
        <v/>
      </c>
    </row>
    <row r="51">
      <c r="A51">
        <f>IF(A$2=0,"",IFERROR(TRIM(INDEX('Pegar estudiantes'!$A$1:$BZ$1001,50,A$2)&amp;""),""))</f>
        <v/>
      </c>
      <c r="B51">
        <f>IF(B$2=0,"",IFERROR(TRIM(INDEX('Pegar estudiantes'!$A$1:$BZ$1001,50,B$2)&amp;""),""))</f>
        <v/>
      </c>
      <c r="C51">
        <f>IF(C$2=0,"",IFERROR(TRIM(INDEX('Pegar estudiantes'!$A$1:$BZ$1001,50,C$2)&amp;""),""))</f>
        <v/>
      </c>
      <c r="D51">
        <f>IF(D$2=0,"",IFERROR(TRIM(INDEX('Pegar estudiantes'!$A$1:$BZ$1001,50,D$2)&amp;""),""))</f>
        <v/>
      </c>
      <c r="E51">
        <f>IF(E$2=0,"",IFERROR(TRIM(INDEX('Pegar estudiantes'!$A$1:$BZ$1001,50,E$2)&amp;""),""))</f>
        <v/>
      </c>
      <c r="F51">
        <f>IF(F$2=0,"",IFERROR(TRIM(INDEX('Pegar estudiantes'!$A$1:$BZ$1001,50,F$2)&amp;""),""))</f>
        <v/>
      </c>
      <c r="G51">
        <f>IF(G$2=0,"",IFERROR(TRIM(INDEX('Pegar estudiantes'!$A$1:$BZ$1001,50,G$2)&amp;""),""))</f>
        <v/>
      </c>
      <c r="H51">
        <f>IF(H$2=0,"",IFERROR(TRIM(INDEX('Pegar estudiantes'!$A$1:$BZ$1001,50,H$2)&amp;""),""))</f>
        <v/>
      </c>
      <c r="I51">
        <f>IF(I$2=0,"",IFERROR(TRIM(INDEX('Pegar estudiantes'!$A$1:$BZ$1001,50,I$2)&amp;""),""))</f>
        <v/>
      </c>
      <c r="J51">
        <f>IF(J$2=0,"",IFERROR(TRIM(INDEX('Pegar estudiantes'!$A$1:$BZ$1001,50,J$2)&amp;""),""))</f>
        <v/>
      </c>
      <c r="K51">
        <f>IF(K$2=0,"",IFERROR(TRIM(INDEX('Pegar estudiantes'!$A$1:$BZ$1001,50,K$2)&amp;""),""))</f>
        <v/>
      </c>
      <c r="L51" s="25">
        <f>IF(A51&lt;&gt;"",1,"")</f>
        <v/>
      </c>
      <c r="M51" s="25">
        <f>IF(L51=1,IF(ISNUMBER(FIND("#"&amp;MID(A51,1,1)&amp;"#","#0#1#2#3#4#5#6#7#8#9#")),IF(ISNUMBER(FIND("#"&amp;MID(A51,2,1)&amp;"#","#0#1#2#3#4#5#6#7#8#9#")),IF(AND(VALUE(LEFT(A51,2))&gt;=1,VALUE(LEFT(A51,2))&lt;=5),VALUE(LEFT(A51,2)),""),IF(AND(VALUE(LEFT(A51,1))&gt;=1,VALUE(LEFT(A51,1))&lt;=5),VALUE(LEFT(A51,1)),"")),""),"")</f>
        <v/>
      </c>
      <c r="N51" s="25">
        <f>IF(L51=1,IF(ISNUMBER(FIND("#"&amp;MID(H51,1,1)&amp;"#","#0#1#2#3#4#5#6#7#8#9#")),IF(ISNUMBER(FIND("#"&amp;MID(H51,2,1)&amp;"#","#0#1#2#3#4#5#6#7#8#9#")),IF(AND(VALUE(LEFT(H51,2))&gt;=1,VALUE(LEFT(H51,2))&lt;=5),VALUE(LEFT(H51,2)),""),IF(AND(VALUE(LEFT(H51,1))&gt;=1,VALUE(LEFT(H51,1))&lt;=5),VALUE(LEFT(H51,1)),"")),""),"")</f>
        <v/>
      </c>
      <c r="O51" s="25">
        <f>IF(AND(L51=1,B51&lt;&gt;""),SUBSTITUTE(SUBSTITUTE(SUBSTITUTE(SUBSTITUTE(SUBSTITUTE(SUBSTITUTE(SUBSTITUTE(SUBSTITUTE(SUBSTITUTE(SUBSTITUTE(SUBSTITUTE(SUBSTITUTE(LOWER(TRIM(B51)),"á","a"),"é","e"),"í","i"),"ó","o"),"ú","u"),"ü","u"),"ñ","n"),"à","a"),"è","e"),"ì","i"),"ò","o"),"ù","u"),"")</f>
        <v/>
      </c>
      <c r="P51" s="25">
        <f>IF(AND(L51=1,C51&lt;&gt;""),SUBSTITUTE(SUBSTITUTE(SUBSTITUTE(SUBSTITUTE(SUBSTITUTE(SUBSTITUTE(SUBSTITUTE(SUBSTITUTE(SUBSTITUTE(SUBSTITUTE(SUBSTITUTE(SUBSTITUTE(LOWER(TRIM(C51)),"á","a"),"é","e"),"í","i"),"ó","o"),"ú","u"),"ü","u"),"ñ","n"),"à","a"),"è","e"),"ì","i"),"ò","o"),"ù","u"),"")</f>
        <v/>
      </c>
      <c r="Q51" s="25">
        <f>IF(AND(L51=1,E51&lt;&gt;""),SUBSTITUTE(SUBSTITUTE(SUBSTITUTE(SUBSTITUTE(SUBSTITUTE(SUBSTITUTE(SUBSTITUTE(SUBSTITUTE(SUBSTITUTE(SUBSTITUTE(SUBSTITUTE(SUBSTITUTE(LOWER(TRIM(E51)),"á","a"),"é","e"),"í","i"),"ó","o"),"ú","u"),"ü","u"),"ñ","n"),"à","a"),"è","e"),"ì","i"),"ò","o"),"ù","u"),"")</f>
        <v/>
      </c>
      <c r="R51" s="25">
        <f>IF(AND(L51=1,I51&lt;&gt;""),SUBSTITUTE(SUBSTITUTE(SUBSTITUTE(SUBSTITUTE(SUBSTITUTE(SUBSTITUTE(SUBSTITUTE(SUBSTITUTE(SUBSTITUTE(SUBSTITUTE(SUBSTITUTE(SUBSTITUTE(LOWER(TRIM(I51)),"á","a"),"é","e"),"í","i"),"ó","o"),"ú","u"),"ü","u"),"ñ","n"),"à","a"),"è","e"),"ì","i"),"ò","o"),"ù","u"),"")</f>
        <v/>
      </c>
      <c r="S51" s="25">
        <f>IF(R51="","",IF(OR(R51="si",R51="tal vez"),1,0))</f>
        <v/>
      </c>
      <c r="T51" s="25">
        <f>IF(AND(L51=1,D51&lt;&gt;""),IF(IFERROR(COUNTIFS(D$3:D51,"="&amp;SUBSTITUTE(SUBSTITUTE(SUBSTITUTE(D51,"~","~~"),"*","~*"),"?","~?"),L$3:L51,1),0)=1,MAX(T$2:T50)+1,""),"")</f>
        <v/>
      </c>
      <c r="U51" s="25">
        <f>IF(T51="","",COUNTIFS($D$3:$D$1002,"="&amp;SUBSTITUTE(SUBSTITUTE(SUBSTITUTE(D51,"~","~~"),"*","~*"),"?","~?"),$L$3:$L$1002,1)*10000-T51)</f>
        <v/>
      </c>
      <c r="V51" s="25">
        <f>IF(AND(L51=1,J51&lt;&gt;""),IF(IFERROR(COUNTIFS(J$3:J51,"="&amp;SUBSTITUTE(SUBSTITUTE(SUBSTITUTE(J51,"~","~~"),"*","~*"),"?","~?"),L$3:L51,1),0)=1,MAX(V$2:V50)+1,""),"")</f>
        <v/>
      </c>
      <c r="W51" s="25">
        <f>IF(V51="","",COUNTIFS($J$3:$J$1002,"="&amp;SUBSTITUTE(SUBSTITUTE(SUBSTITUTE(J51,"~","~~"),"*","~*"),"?","~?"),$L$3:$L$1002,1)*10000-V51)</f>
        <v/>
      </c>
    </row>
    <row r="52">
      <c r="A52">
        <f>IF(A$2=0,"",IFERROR(TRIM(INDEX('Pegar estudiantes'!$A$1:$BZ$1001,51,A$2)&amp;""),""))</f>
        <v/>
      </c>
      <c r="B52">
        <f>IF(B$2=0,"",IFERROR(TRIM(INDEX('Pegar estudiantes'!$A$1:$BZ$1001,51,B$2)&amp;""),""))</f>
        <v/>
      </c>
      <c r="C52">
        <f>IF(C$2=0,"",IFERROR(TRIM(INDEX('Pegar estudiantes'!$A$1:$BZ$1001,51,C$2)&amp;""),""))</f>
        <v/>
      </c>
      <c r="D52">
        <f>IF(D$2=0,"",IFERROR(TRIM(INDEX('Pegar estudiantes'!$A$1:$BZ$1001,51,D$2)&amp;""),""))</f>
        <v/>
      </c>
      <c r="E52">
        <f>IF(E$2=0,"",IFERROR(TRIM(INDEX('Pegar estudiantes'!$A$1:$BZ$1001,51,E$2)&amp;""),""))</f>
        <v/>
      </c>
      <c r="F52">
        <f>IF(F$2=0,"",IFERROR(TRIM(INDEX('Pegar estudiantes'!$A$1:$BZ$1001,51,F$2)&amp;""),""))</f>
        <v/>
      </c>
      <c r="G52">
        <f>IF(G$2=0,"",IFERROR(TRIM(INDEX('Pegar estudiantes'!$A$1:$BZ$1001,51,G$2)&amp;""),""))</f>
        <v/>
      </c>
      <c r="H52">
        <f>IF(H$2=0,"",IFERROR(TRIM(INDEX('Pegar estudiantes'!$A$1:$BZ$1001,51,H$2)&amp;""),""))</f>
        <v/>
      </c>
      <c r="I52">
        <f>IF(I$2=0,"",IFERROR(TRIM(INDEX('Pegar estudiantes'!$A$1:$BZ$1001,51,I$2)&amp;""),""))</f>
        <v/>
      </c>
      <c r="J52">
        <f>IF(J$2=0,"",IFERROR(TRIM(INDEX('Pegar estudiantes'!$A$1:$BZ$1001,51,J$2)&amp;""),""))</f>
        <v/>
      </c>
      <c r="K52">
        <f>IF(K$2=0,"",IFERROR(TRIM(INDEX('Pegar estudiantes'!$A$1:$BZ$1001,51,K$2)&amp;""),""))</f>
        <v/>
      </c>
      <c r="L52" s="25">
        <f>IF(A52&lt;&gt;"",1,"")</f>
        <v/>
      </c>
      <c r="M52" s="25">
        <f>IF(L52=1,IF(ISNUMBER(FIND("#"&amp;MID(A52,1,1)&amp;"#","#0#1#2#3#4#5#6#7#8#9#")),IF(ISNUMBER(FIND("#"&amp;MID(A52,2,1)&amp;"#","#0#1#2#3#4#5#6#7#8#9#")),IF(AND(VALUE(LEFT(A52,2))&gt;=1,VALUE(LEFT(A52,2))&lt;=5),VALUE(LEFT(A52,2)),""),IF(AND(VALUE(LEFT(A52,1))&gt;=1,VALUE(LEFT(A52,1))&lt;=5),VALUE(LEFT(A52,1)),"")),""),"")</f>
        <v/>
      </c>
      <c r="N52" s="25">
        <f>IF(L52=1,IF(ISNUMBER(FIND("#"&amp;MID(H52,1,1)&amp;"#","#0#1#2#3#4#5#6#7#8#9#")),IF(ISNUMBER(FIND("#"&amp;MID(H52,2,1)&amp;"#","#0#1#2#3#4#5#6#7#8#9#")),IF(AND(VALUE(LEFT(H52,2))&gt;=1,VALUE(LEFT(H52,2))&lt;=5),VALUE(LEFT(H52,2)),""),IF(AND(VALUE(LEFT(H52,1))&gt;=1,VALUE(LEFT(H52,1))&lt;=5),VALUE(LEFT(H52,1)),"")),""),"")</f>
        <v/>
      </c>
      <c r="O52" s="25">
        <f>IF(AND(L52=1,B52&lt;&gt;""),SUBSTITUTE(SUBSTITUTE(SUBSTITUTE(SUBSTITUTE(SUBSTITUTE(SUBSTITUTE(SUBSTITUTE(SUBSTITUTE(SUBSTITUTE(SUBSTITUTE(SUBSTITUTE(SUBSTITUTE(LOWER(TRIM(B52)),"á","a"),"é","e"),"í","i"),"ó","o"),"ú","u"),"ü","u"),"ñ","n"),"à","a"),"è","e"),"ì","i"),"ò","o"),"ù","u"),"")</f>
        <v/>
      </c>
      <c r="P52" s="25">
        <f>IF(AND(L52=1,C52&lt;&gt;""),SUBSTITUTE(SUBSTITUTE(SUBSTITUTE(SUBSTITUTE(SUBSTITUTE(SUBSTITUTE(SUBSTITUTE(SUBSTITUTE(SUBSTITUTE(SUBSTITUTE(SUBSTITUTE(SUBSTITUTE(LOWER(TRIM(C52)),"á","a"),"é","e"),"í","i"),"ó","o"),"ú","u"),"ü","u"),"ñ","n"),"à","a"),"è","e"),"ì","i"),"ò","o"),"ù","u"),"")</f>
        <v/>
      </c>
      <c r="Q52" s="25">
        <f>IF(AND(L52=1,E52&lt;&gt;""),SUBSTITUTE(SUBSTITUTE(SUBSTITUTE(SUBSTITUTE(SUBSTITUTE(SUBSTITUTE(SUBSTITUTE(SUBSTITUTE(SUBSTITUTE(SUBSTITUTE(SUBSTITUTE(SUBSTITUTE(LOWER(TRIM(E52)),"á","a"),"é","e"),"í","i"),"ó","o"),"ú","u"),"ü","u"),"ñ","n"),"à","a"),"è","e"),"ì","i"),"ò","o"),"ù","u"),"")</f>
        <v/>
      </c>
      <c r="R52" s="25">
        <f>IF(AND(L52=1,I52&lt;&gt;""),SUBSTITUTE(SUBSTITUTE(SUBSTITUTE(SUBSTITUTE(SUBSTITUTE(SUBSTITUTE(SUBSTITUTE(SUBSTITUTE(SUBSTITUTE(SUBSTITUTE(SUBSTITUTE(SUBSTITUTE(LOWER(TRIM(I52)),"á","a"),"é","e"),"í","i"),"ó","o"),"ú","u"),"ü","u"),"ñ","n"),"à","a"),"è","e"),"ì","i"),"ò","o"),"ù","u"),"")</f>
        <v/>
      </c>
      <c r="S52" s="25">
        <f>IF(R52="","",IF(OR(R52="si",R52="tal vez"),1,0))</f>
        <v/>
      </c>
      <c r="T52" s="25">
        <f>IF(AND(L52=1,D52&lt;&gt;""),IF(IFERROR(COUNTIFS(D$3:D52,"="&amp;SUBSTITUTE(SUBSTITUTE(SUBSTITUTE(D52,"~","~~"),"*","~*"),"?","~?"),L$3:L52,1),0)=1,MAX(T$2:T51)+1,""),"")</f>
        <v/>
      </c>
      <c r="U52" s="25">
        <f>IF(T52="","",COUNTIFS($D$3:$D$1002,"="&amp;SUBSTITUTE(SUBSTITUTE(SUBSTITUTE(D52,"~","~~"),"*","~*"),"?","~?"),$L$3:$L$1002,1)*10000-T52)</f>
        <v/>
      </c>
      <c r="V52" s="25">
        <f>IF(AND(L52=1,J52&lt;&gt;""),IF(IFERROR(COUNTIFS(J$3:J52,"="&amp;SUBSTITUTE(SUBSTITUTE(SUBSTITUTE(J52,"~","~~"),"*","~*"),"?","~?"),L$3:L52,1),0)=1,MAX(V$2:V51)+1,""),"")</f>
        <v/>
      </c>
      <c r="W52" s="25">
        <f>IF(V52="","",COUNTIFS($J$3:$J$1002,"="&amp;SUBSTITUTE(SUBSTITUTE(SUBSTITUTE(J52,"~","~~"),"*","~*"),"?","~?"),$L$3:$L$1002,1)*10000-V52)</f>
        <v/>
      </c>
    </row>
    <row r="53">
      <c r="A53">
        <f>IF(A$2=0,"",IFERROR(TRIM(INDEX('Pegar estudiantes'!$A$1:$BZ$1001,52,A$2)&amp;""),""))</f>
        <v/>
      </c>
      <c r="B53">
        <f>IF(B$2=0,"",IFERROR(TRIM(INDEX('Pegar estudiantes'!$A$1:$BZ$1001,52,B$2)&amp;""),""))</f>
        <v/>
      </c>
      <c r="C53">
        <f>IF(C$2=0,"",IFERROR(TRIM(INDEX('Pegar estudiantes'!$A$1:$BZ$1001,52,C$2)&amp;""),""))</f>
        <v/>
      </c>
      <c r="D53">
        <f>IF(D$2=0,"",IFERROR(TRIM(INDEX('Pegar estudiantes'!$A$1:$BZ$1001,52,D$2)&amp;""),""))</f>
        <v/>
      </c>
      <c r="E53">
        <f>IF(E$2=0,"",IFERROR(TRIM(INDEX('Pegar estudiantes'!$A$1:$BZ$1001,52,E$2)&amp;""),""))</f>
        <v/>
      </c>
      <c r="F53">
        <f>IF(F$2=0,"",IFERROR(TRIM(INDEX('Pegar estudiantes'!$A$1:$BZ$1001,52,F$2)&amp;""),""))</f>
        <v/>
      </c>
      <c r="G53">
        <f>IF(G$2=0,"",IFERROR(TRIM(INDEX('Pegar estudiantes'!$A$1:$BZ$1001,52,G$2)&amp;""),""))</f>
        <v/>
      </c>
      <c r="H53">
        <f>IF(H$2=0,"",IFERROR(TRIM(INDEX('Pegar estudiantes'!$A$1:$BZ$1001,52,H$2)&amp;""),""))</f>
        <v/>
      </c>
      <c r="I53">
        <f>IF(I$2=0,"",IFERROR(TRIM(INDEX('Pegar estudiantes'!$A$1:$BZ$1001,52,I$2)&amp;""),""))</f>
        <v/>
      </c>
      <c r="J53">
        <f>IF(J$2=0,"",IFERROR(TRIM(INDEX('Pegar estudiantes'!$A$1:$BZ$1001,52,J$2)&amp;""),""))</f>
        <v/>
      </c>
      <c r="K53">
        <f>IF(K$2=0,"",IFERROR(TRIM(INDEX('Pegar estudiantes'!$A$1:$BZ$1001,52,K$2)&amp;""),""))</f>
        <v/>
      </c>
      <c r="L53" s="25">
        <f>IF(A53&lt;&gt;"",1,"")</f>
        <v/>
      </c>
      <c r="M53" s="25">
        <f>IF(L53=1,IF(ISNUMBER(FIND("#"&amp;MID(A53,1,1)&amp;"#","#0#1#2#3#4#5#6#7#8#9#")),IF(ISNUMBER(FIND("#"&amp;MID(A53,2,1)&amp;"#","#0#1#2#3#4#5#6#7#8#9#")),IF(AND(VALUE(LEFT(A53,2))&gt;=1,VALUE(LEFT(A53,2))&lt;=5),VALUE(LEFT(A53,2)),""),IF(AND(VALUE(LEFT(A53,1))&gt;=1,VALUE(LEFT(A53,1))&lt;=5),VALUE(LEFT(A53,1)),"")),""),"")</f>
        <v/>
      </c>
      <c r="N53" s="25">
        <f>IF(L53=1,IF(ISNUMBER(FIND("#"&amp;MID(H53,1,1)&amp;"#","#0#1#2#3#4#5#6#7#8#9#")),IF(ISNUMBER(FIND("#"&amp;MID(H53,2,1)&amp;"#","#0#1#2#3#4#5#6#7#8#9#")),IF(AND(VALUE(LEFT(H53,2))&gt;=1,VALUE(LEFT(H53,2))&lt;=5),VALUE(LEFT(H53,2)),""),IF(AND(VALUE(LEFT(H53,1))&gt;=1,VALUE(LEFT(H53,1))&lt;=5),VALUE(LEFT(H53,1)),"")),""),"")</f>
        <v/>
      </c>
      <c r="O53" s="25">
        <f>IF(AND(L53=1,B53&lt;&gt;""),SUBSTITUTE(SUBSTITUTE(SUBSTITUTE(SUBSTITUTE(SUBSTITUTE(SUBSTITUTE(SUBSTITUTE(SUBSTITUTE(SUBSTITUTE(SUBSTITUTE(SUBSTITUTE(SUBSTITUTE(LOWER(TRIM(B53)),"á","a"),"é","e"),"í","i"),"ó","o"),"ú","u"),"ü","u"),"ñ","n"),"à","a"),"è","e"),"ì","i"),"ò","o"),"ù","u"),"")</f>
        <v/>
      </c>
      <c r="P53" s="25">
        <f>IF(AND(L53=1,C53&lt;&gt;""),SUBSTITUTE(SUBSTITUTE(SUBSTITUTE(SUBSTITUTE(SUBSTITUTE(SUBSTITUTE(SUBSTITUTE(SUBSTITUTE(SUBSTITUTE(SUBSTITUTE(SUBSTITUTE(SUBSTITUTE(LOWER(TRIM(C53)),"á","a"),"é","e"),"í","i"),"ó","o"),"ú","u"),"ü","u"),"ñ","n"),"à","a"),"è","e"),"ì","i"),"ò","o"),"ù","u"),"")</f>
        <v/>
      </c>
      <c r="Q53" s="25">
        <f>IF(AND(L53=1,E53&lt;&gt;""),SUBSTITUTE(SUBSTITUTE(SUBSTITUTE(SUBSTITUTE(SUBSTITUTE(SUBSTITUTE(SUBSTITUTE(SUBSTITUTE(SUBSTITUTE(SUBSTITUTE(SUBSTITUTE(SUBSTITUTE(LOWER(TRIM(E53)),"á","a"),"é","e"),"í","i"),"ó","o"),"ú","u"),"ü","u"),"ñ","n"),"à","a"),"è","e"),"ì","i"),"ò","o"),"ù","u"),"")</f>
        <v/>
      </c>
      <c r="R53" s="25">
        <f>IF(AND(L53=1,I53&lt;&gt;""),SUBSTITUTE(SUBSTITUTE(SUBSTITUTE(SUBSTITUTE(SUBSTITUTE(SUBSTITUTE(SUBSTITUTE(SUBSTITUTE(SUBSTITUTE(SUBSTITUTE(SUBSTITUTE(SUBSTITUTE(LOWER(TRIM(I53)),"á","a"),"é","e"),"í","i"),"ó","o"),"ú","u"),"ü","u"),"ñ","n"),"à","a"),"è","e"),"ì","i"),"ò","o"),"ù","u"),"")</f>
        <v/>
      </c>
      <c r="S53" s="25">
        <f>IF(R53="","",IF(OR(R53="si",R53="tal vez"),1,0))</f>
        <v/>
      </c>
      <c r="T53" s="25">
        <f>IF(AND(L53=1,D53&lt;&gt;""),IF(IFERROR(COUNTIFS(D$3:D53,"="&amp;SUBSTITUTE(SUBSTITUTE(SUBSTITUTE(D53,"~","~~"),"*","~*"),"?","~?"),L$3:L53,1),0)=1,MAX(T$2:T52)+1,""),"")</f>
        <v/>
      </c>
      <c r="U53" s="25">
        <f>IF(T53="","",COUNTIFS($D$3:$D$1002,"="&amp;SUBSTITUTE(SUBSTITUTE(SUBSTITUTE(D53,"~","~~"),"*","~*"),"?","~?"),$L$3:$L$1002,1)*10000-T53)</f>
        <v/>
      </c>
      <c r="V53" s="25">
        <f>IF(AND(L53=1,J53&lt;&gt;""),IF(IFERROR(COUNTIFS(J$3:J53,"="&amp;SUBSTITUTE(SUBSTITUTE(SUBSTITUTE(J53,"~","~~"),"*","~*"),"?","~?"),L$3:L53,1),0)=1,MAX(V$2:V52)+1,""),"")</f>
        <v/>
      </c>
      <c r="W53" s="25">
        <f>IF(V53="","",COUNTIFS($J$3:$J$1002,"="&amp;SUBSTITUTE(SUBSTITUTE(SUBSTITUTE(J53,"~","~~"),"*","~*"),"?","~?"),$L$3:$L$1002,1)*10000-V53)</f>
        <v/>
      </c>
    </row>
    <row r="54">
      <c r="A54">
        <f>IF(A$2=0,"",IFERROR(TRIM(INDEX('Pegar estudiantes'!$A$1:$BZ$1001,53,A$2)&amp;""),""))</f>
        <v/>
      </c>
      <c r="B54">
        <f>IF(B$2=0,"",IFERROR(TRIM(INDEX('Pegar estudiantes'!$A$1:$BZ$1001,53,B$2)&amp;""),""))</f>
        <v/>
      </c>
      <c r="C54">
        <f>IF(C$2=0,"",IFERROR(TRIM(INDEX('Pegar estudiantes'!$A$1:$BZ$1001,53,C$2)&amp;""),""))</f>
        <v/>
      </c>
      <c r="D54">
        <f>IF(D$2=0,"",IFERROR(TRIM(INDEX('Pegar estudiantes'!$A$1:$BZ$1001,53,D$2)&amp;""),""))</f>
        <v/>
      </c>
      <c r="E54">
        <f>IF(E$2=0,"",IFERROR(TRIM(INDEX('Pegar estudiantes'!$A$1:$BZ$1001,53,E$2)&amp;""),""))</f>
        <v/>
      </c>
      <c r="F54">
        <f>IF(F$2=0,"",IFERROR(TRIM(INDEX('Pegar estudiantes'!$A$1:$BZ$1001,53,F$2)&amp;""),""))</f>
        <v/>
      </c>
      <c r="G54">
        <f>IF(G$2=0,"",IFERROR(TRIM(INDEX('Pegar estudiantes'!$A$1:$BZ$1001,53,G$2)&amp;""),""))</f>
        <v/>
      </c>
      <c r="H54">
        <f>IF(H$2=0,"",IFERROR(TRIM(INDEX('Pegar estudiantes'!$A$1:$BZ$1001,53,H$2)&amp;""),""))</f>
        <v/>
      </c>
      <c r="I54">
        <f>IF(I$2=0,"",IFERROR(TRIM(INDEX('Pegar estudiantes'!$A$1:$BZ$1001,53,I$2)&amp;""),""))</f>
        <v/>
      </c>
      <c r="J54">
        <f>IF(J$2=0,"",IFERROR(TRIM(INDEX('Pegar estudiantes'!$A$1:$BZ$1001,53,J$2)&amp;""),""))</f>
        <v/>
      </c>
      <c r="K54">
        <f>IF(K$2=0,"",IFERROR(TRIM(INDEX('Pegar estudiantes'!$A$1:$BZ$1001,53,K$2)&amp;""),""))</f>
        <v/>
      </c>
      <c r="L54" s="25">
        <f>IF(A54&lt;&gt;"",1,"")</f>
        <v/>
      </c>
      <c r="M54" s="25">
        <f>IF(L54=1,IF(ISNUMBER(FIND("#"&amp;MID(A54,1,1)&amp;"#","#0#1#2#3#4#5#6#7#8#9#")),IF(ISNUMBER(FIND("#"&amp;MID(A54,2,1)&amp;"#","#0#1#2#3#4#5#6#7#8#9#")),IF(AND(VALUE(LEFT(A54,2))&gt;=1,VALUE(LEFT(A54,2))&lt;=5),VALUE(LEFT(A54,2)),""),IF(AND(VALUE(LEFT(A54,1))&gt;=1,VALUE(LEFT(A54,1))&lt;=5),VALUE(LEFT(A54,1)),"")),""),"")</f>
        <v/>
      </c>
      <c r="N54" s="25">
        <f>IF(L54=1,IF(ISNUMBER(FIND("#"&amp;MID(H54,1,1)&amp;"#","#0#1#2#3#4#5#6#7#8#9#")),IF(ISNUMBER(FIND("#"&amp;MID(H54,2,1)&amp;"#","#0#1#2#3#4#5#6#7#8#9#")),IF(AND(VALUE(LEFT(H54,2))&gt;=1,VALUE(LEFT(H54,2))&lt;=5),VALUE(LEFT(H54,2)),""),IF(AND(VALUE(LEFT(H54,1))&gt;=1,VALUE(LEFT(H54,1))&lt;=5),VALUE(LEFT(H54,1)),"")),""),"")</f>
        <v/>
      </c>
      <c r="O54" s="25">
        <f>IF(AND(L54=1,B54&lt;&gt;""),SUBSTITUTE(SUBSTITUTE(SUBSTITUTE(SUBSTITUTE(SUBSTITUTE(SUBSTITUTE(SUBSTITUTE(SUBSTITUTE(SUBSTITUTE(SUBSTITUTE(SUBSTITUTE(SUBSTITUTE(LOWER(TRIM(B54)),"á","a"),"é","e"),"í","i"),"ó","o"),"ú","u"),"ü","u"),"ñ","n"),"à","a"),"è","e"),"ì","i"),"ò","o"),"ù","u"),"")</f>
        <v/>
      </c>
      <c r="P54" s="25">
        <f>IF(AND(L54=1,C54&lt;&gt;""),SUBSTITUTE(SUBSTITUTE(SUBSTITUTE(SUBSTITUTE(SUBSTITUTE(SUBSTITUTE(SUBSTITUTE(SUBSTITUTE(SUBSTITUTE(SUBSTITUTE(SUBSTITUTE(SUBSTITUTE(LOWER(TRIM(C54)),"á","a"),"é","e"),"í","i"),"ó","o"),"ú","u"),"ü","u"),"ñ","n"),"à","a"),"è","e"),"ì","i"),"ò","o"),"ù","u"),"")</f>
        <v/>
      </c>
      <c r="Q54" s="25">
        <f>IF(AND(L54=1,E54&lt;&gt;""),SUBSTITUTE(SUBSTITUTE(SUBSTITUTE(SUBSTITUTE(SUBSTITUTE(SUBSTITUTE(SUBSTITUTE(SUBSTITUTE(SUBSTITUTE(SUBSTITUTE(SUBSTITUTE(SUBSTITUTE(LOWER(TRIM(E54)),"á","a"),"é","e"),"í","i"),"ó","o"),"ú","u"),"ü","u"),"ñ","n"),"à","a"),"è","e"),"ì","i"),"ò","o"),"ù","u"),"")</f>
        <v/>
      </c>
      <c r="R54" s="25">
        <f>IF(AND(L54=1,I54&lt;&gt;""),SUBSTITUTE(SUBSTITUTE(SUBSTITUTE(SUBSTITUTE(SUBSTITUTE(SUBSTITUTE(SUBSTITUTE(SUBSTITUTE(SUBSTITUTE(SUBSTITUTE(SUBSTITUTE(SUBSTITUTE(LOWER(TRIM(I54)),"á","a"),"é","e"),"í","i"),"ó","o"),"ú","u"),"ü","u"),"ñ","n"),"à","a"),"è","e"),"ì","i"),"ò","o"),"ù","u"),"")</f>
        <v/>
      </c>
      <c r="S54" s="25">
        <f>IF(R54="","",IF(OR(R54="si",R54="tal vez"),1,0))</f>
        <v/>
      </c>
      <c r="T54" s="25">
        <f>IF(AND(L54=1,D54&lt;&gt;""),IF(IFERROR(COUNTIFS(D$3:D54,"="&amp;SUBSTITUTE(SUBSTITUTE(SUBSTITUTE(D54,"~","~~"),"*","~*"),"?","~?"),L$3:L54,1),0)=1,MAX(T$2:T53)+1,""),"")</f>
        <v/>
      </c>
      <c r="U54" s="25">
        <f>IF(T54="","",COUNTIFS($D$3:$D$1002,"="&amp;SUBSTITUTE(SUBSTITUTE(SUBSTITUTE(D54,"~","~~"),"*","~*"),"?","~?"),$L$3:$L$1002,1)*10000-T54)</f>
        <v/>
      </c>
      <c r="V54" s="25">
        <f>IF(AND(L54=1,J54&lt;&gt;""),IF(IFERROR(COUNTIFS(J$3:J54,"="&amp;SUBSTITUTE(SUBSTITUTE(SUBSTITUTE(J54,"~","~~"),"*","~*"),"?","~?"),L$3:L54,1),0)=1,MAX(V$2:V53)+1,""),"")</f>
        <v/>
      </c>
      <c r="W54" s="25">
        <f>IF(V54="","",COUNTIFS($J$3:$J$1002,"="&amp;SUBSTITUTE(SUBSTITUTE(SUBSTITUTE(J54,"~","~~"),"*","~*"),"?","~?"),$L$3:$L$1002,1)*10000-V54)</f>
        <v/>
      </c>
    </row>
    <row r="55">
      <c r="A55">
        <f>IF(A$2=0,"",IFERROR(TRIM(INDEX('Pegar estudiantes'!$A$1:$BZ$1001,54,A$2)&amp;""),""))</f>
        <v/>
      </c>
      <c r="B55">
        <f>IF(B$2=0,"",IFERROR(TRIM(INDEX('Pegar estudiantes'!$A$1:$BZ$1001,54,B$2)&amp;""),""))</f>
        <v/>
      </c>
      <c r="C55">
        <f>IF(C$2=0,"",IFERROR(TRIM(INDEX('Pegar estudiantes'!$A$1:$BZ$1001,54,C$2)&amp;""),""))</f>
        <v/>
      </c>
      <c r="D55">
        <f>IF(D$2=0,"",IFERROR(TRIM(INDEX('Pegar estudiantes'!$A$1:$BZ$1001,54,D$2)&amp;""),""))</f>
        <v/>
      </c>
      <c r="E55">
        <f>IF(E$2=0,"",IFERROR(TRIM(INDEX('Pegar estudiantes'!$A$1:$BZ$1001,54,E$2)&amp;""),""))</f>
        <v/>
      </c>
      <c r="F55">
        <f>IF(F$2=0,"",IFERROR(TRIM(INDEX('Pegar estudiantes'!$A$1:$BZ$1001,54,F$2)&amp;""),""))</f>
        <v/>
      </c>
      <c r="G55">
        <f>IF(G$2=0,"",IFERROR(TRIM(INDEX('Pegar estudiantes'!$A$1:$BZ$1001,54,G$2)&amp;""),""))</f>
        <v/>
      </c>
      <c r="H55">
        <f>IF(H$2=0,"",IFERROR(TRIM(INDEX('Pegar estudiantes'!$A$1:$BZ$1001,54,H$2)&amp;""),""))</f>
        <v/>
      </c>
      <c r="I55">
        <f>IF(I$2=0,"",IFERROR(TRIM(INDEX('Pegar estudiantes'!$A$1:$BZ$1001,54,I$2)&amp;""),""))</f>
        <v/>
      </c>
      <c r="J55">
        <f>IF(J$2=0,"",IFERROR(TRIM(INDEX('Pegar estudiantes'!$A$1:$BZ$1001,54,J$2)&amp;""),""))</f>
        <v/>
      </c>
      <c r="K55">
        <f>IF(K$2=0,"",IFERROR(TRIM(INDEX('Pegar estudiantes'!$A$1:$BZ$1001,54,K$2)&amp;""),""))</f>
        <v/>
      </c>
      <c r="L55" s="25">
        <f>IF(A55&lt;&gt;"",1,"")</f>
        <v/>
      </c>
      <c r="M55" s="25">
        <f>IF(L55=1,IF(ISNUMBER(FIND("#"&amp;MID(A55,1,1)&amp;"#","#0#1#2#3#4#5#6#7#8#9#")),IF(ISNUMBER(FIND("#"&amp;MID(A55,2,1)&amp;"#","#0#1#2#3#4#5#6#7#8#9#")),IF(AND(VALUE(LEFT(A55,2))&gt;=1,VALUE(LEFT(A55,2))&lt;=5),VALUE(LEFT(A55,2)),""),IF(AND(VALUE(LEFT(A55,1))&gt;=1,VALUE(LEFT(A55,1))&lt;=5),VALUE(LEFT(A55,1)),"")),""),"")</f>
        <v/>
      </c>
      <c r="N55" s="25">
        <f>IF(L55=1,IF(ISNUMBER(FIND("#"&amp;MID(H55,1,1)&amp;"#","#0#1#2#3#4#5#6#7#8#9#")),IF(ISNUMBER(FIND("#"&amp;MID(H55,2,1)&amp;"#","#0#1#2#3#4#5#6#7#8#9#")),IF(AND(VALUE(LEFT(H55,2))&gt;=1,VALUE(LEFT(H55,2))&lt;=5),VALUE(LEFT(H55,2)),""),IF(AND(VALUE(LEFT(H55,1))&gt;=1,VALUE(LEFT(H55,1))&lt;=5),VALUE(LEFT(H55,1)),"")),""),"")</f>
        <v/>
      </c>
      <c r="O55" s="25">
        <f>IF(AND(L55=1,B55&lt;&gt;""),SUBSTITUTE(SUBSTITUTE(SUBSTITUTE(SUBSTITUTE(SUBSTITUTE(SUBSTITUTE(SUBSTITUTE(SUBSTITUTE(SUBSTITUTE(SUBSTITUTE(SUBSTITUTE(SUBSTITUTE(LOWER(TRIM(B55)),"á","a"),"é","e"),"í","i"),"ó","o"),"ú","u"),"ü","u"),"ñ","n"),"à","a"),"è","e"),"ì","i"),"ò","o"),"ù","u"),"")</f>
        <v/>
      </c>
      <c r="P55" s="25">
        <f>IF(AND(L55=1,C55&lt;&gt;""),SUBSTITUTE(SUBSTITUTE(SUBSTITUTE(SUBSTITUTE(SUBSTITUTE(SUBSTITUTE(SUBSTITUTE(SUBSTITUTE(SUBSTITUTE(SUBSTITUTE(SUBSTITUTE(SUBSTITUTE(LOWER(TRIM(C55)),"á","a"),"é","e"),"í","i"),"ó","o"),"ú","u"),"ü","u"),"ñ","n"),"à","a"),"è","e"),"ì","i"),"ò","o"),"ù","u"),"")</f>
        <v/>
      </c>
      <c r="Q55" s="25">
        <f>IF(AND(L55=1,E55&lt;&gt;""),SUBSTITUTE(SUBSTITUTE(SUBSTITUTE(SUBSTITUTE(SUBSTITUTE(SUBSTITUTE(SUBSTITUTE(SUBSTITUTE(SUBSTITUTE(SUBSTITUTE(SUBSTITUTE(SUBSTITUTE(LOWER(TRIM(E55)),"á","a"),"é","e"),"í","i"),"ó","o"),"ú","u"),"ü","u"),"ñ","n"),"à","a"),"è","e"),"ì","i"),"ò","o"),"ù","u"),"")</f>
        <v/>
      </c>
      <c r="R55" s="25">
        <f>IF(AND(L55=1,I55&lt;&gt;""),SUBSTITUTE(SUBSTITUTE(SUBSTITUTE(SUBSTITUTE(SUBSTITUTE(SUBSTITUTE(SUBSTITUTE(SUBSTITUTE(SUBSTITUTE(SUBSTITUTE(SUBSTITUTE(SUBSTITUTE(LOWER(TRIM(I55)),"á","a"),"é","e"),"í","i"),"ó","o"),"ú","u"),"ü","u"),"ñ","n"),"à","a"),"è","e"),"ì","i"),"ò","o"),"ù","u"),"")</f>
        <v/>
      </c>
      <c r="S55" s="25">
        <f>IF(R55="","",IF(OR(R55="si",R55="tal vez"),1,0))</f>
        <v/>
      </c>
      <c r="T55" s="25">
        <f>IF(AND(L55=1,D55&lt;&gt;""),IF(IFERROR(COUNTIFS(D$3:D55,"="&amp;SUBSTITUTE(SUBSTITUTE(SUBSTITUTE(D55,"~","~~"),"*","~*"),"?","~?"),L$3:L55,1),0)=1,MAX(T$2:T54)+1,""),"")</f>
        <v/>
      </c>
      <c r="U55" s="25">
        <f>IF(T55="","",COUNTIFS($D$3:$D$1002,"="&amp;SUBSTITUTE(SUBSTITUTE(SUBSTITUTE(D55,"~","~~"),"*","~*"),"?","~?"),$L$3:$L$1002,1)*10000-T55)</f>
        <v/>
      </c>
      <c r="V55" s="25">
        <f>IF(AND(L55=1,J55&lt;&gt;""),IF(IFERROR(COUNTIFS(J$3:J55,"="&amp;SUBSTITUTE(SUBSTITUTE(SUBSTITUTE(J55,"~","~~"),"*","~*"),"?","~?"),L$3:L55,1),0)=1,MAX(V$2:V54)+1,""),"")</f>
        <v/>
      </c>
      <c r="W55" s="25">
        <f>IF(V55="","",COUNTIFS($J$3:$J$1002,"="&amp;SUBSTITUTE(SUBSTITUTE(SUBSTITUTE(J55,"~","~~"),"*","~*"),"?","~?"),$L$3:$L$1002,1)*10000-V55)</f>
        <v/>
      </c>
    </row>
    <row r="56">
      <c r="A56">
        <f>IF(A$2=0,"",IFERROR(TRIM(INDEX('Pegar estudiantes'!$A$1:$BZ$1001,55,A$2)&amp;""),""))</f>
        <v/>
      </c>
      <c r="B56">
        <f>IF(B$2=0,"",IFERROR(TRIM(INDEX('Pegar estudiantes'!$A$1:$BZ$1001,55,B$2)&amp;""),""))</f>
        <v/>
      </c>
      <c r="C56">
        <f>IF(C$2=0,"",IFERROR(TRIM(INDEX('Pegar estudiantes'!$A$1:$BZ$1001,55,C$2)&amp;""),""))</f>
        <v/>
      </c>
      <c r="D56">
        <f>IF(D$2=0,"",IFERROR(TRIM(INDEX('Pegar estudiantes'!$A$1:$BZ$1001,55,D$2)&amp;""),""))</f>
        <v/>
      </c>
      <c r="E56">
        <f>IF(E$2=0,"",IFERROR(TRIM(INDEX('Pegar estudiantes'!$A$1:$BZ$1001,55,E$2)&amp;""),""))</f>
        <v/>
      </c>
      <c r="F56">
        <f>IF(F$2=0,"",IFERROR(TRIM(INDEX('Pegar estudiantes'!$A$1:$BZ$1001,55,F$2)&amp;""),""))</f>
        <v/>
      </c>
      <c r="G56">
        <f>IF(G$2=0,"",IFERROR(TRIM(INDEX('Pegar estudiantes'!$A$1:$BZ$1001,55,G$2)&amp;""),""))</f>
        <v/>
      </c>
      <c r="H56">
        <f>IF(H$2=0,"",IFERROR(TRIM(INDEX('Pegar estudiantes'!$A$1:$BZ$1001,55,H$2)&amp;""),""))</f>
        <v/>
      </c>
      <c r="I56">
        <f>IF(I$2=0,"",IFERROR(TRIM(INDEX('Pegar estudiantes'!$A$1:$BZ$1001,55,I$2)&amp;""),""))</f>
        <v/>
      </c>
      <c r="J56">
        <f>IF(J$2=0,"",IFERROR(TRIM(INDEX('Pegar estudiantes'!$A$1:$BZ$1001,55,J$2)&amp;""),""))</f>
        <v/>
      </c>
      <c r="K56">
        <f>IF(K$2=0,"",IFERROR(TRIM(INDEX('Pegar estudiantes'!$A$1:$BZ$1001,55,K$2)&amp;""),""))</f>
        <v/>
      </c>
      <c r="L56" s="25">
        <f>IF(A56&lt;&gt;"",1,"")</f>
        <v/>
      </c>
      <c r="M56" s="25">
        <f>IF(L56=1,IF(ISNUMBER(FIND("#"&amp;MID(A56,1,1)&amp;"#","#0#1#2#3#4#5#6#7#8#9#")),IF(ISNUMBER(FIND("#"&amp;MID(A56,2,1)&amp;"#","#0#1#2#3#4#5#6#7#8#9#")),IF(AND(VALUE(LEFT(A56,2))&gt;=1,VALUE(LEFT(A56,2))&lt;=5),VALUE(LEFT(A56,2)),""),IF(AND(VALUE(LEFT(A56,1))&gt;=1,VALUE(LEFT(A56,1))&lt;=5),VALUE(LEFT(A56,1)),"")),""),"")</f>
        <v/>
      </c>
      <c r="N56" s="25">
        <f>IF(L56=1,IF(ISNUMBER(FIND("#"&amp;MID(H56,1,1)&amp;"#","#0#1#2#3#4#5#6#7#8#9#")),IF(ISNUMBER(FIND("#"&amp;MID(H56,2,1)&amp;"#","#0#1#2#3#4#5#6#7#8#9#")),IF(AND(VALUE(LEFT(H56,2))&gt;=1,VALUE(LEFT(H56,2))&lt;=5),VALUE(LEFT(H56,2)),""),IF(AND(VALUE(LEFT(H56,1))&gt;=1,VALUE(LEFT(H56,1))&lt;=5),VALUE(LEFT(H56,1)),"")),""),"")</f>
        <v/>
      </c>
      <c r="O56" s="25">
        <f>IF(AND(L56=1,B56&lt;&gt;""),SUBSTITUTE(SUBSTITUTE(SUBSTITUTE(SUBSTITUTE(SUBSTITUTE(SUBSTITUTE(SUBSTITUTE(SUBSTITUTE(SUBSTITUTE(SUBSTITUTE(SUBSTITUTE(SUBSTITUTE(LOWER(TRIM(B56)),"á","a"),"é","e"),"í","i"),"ó","o"),"ú","u"),"ü","u"),"ñ","n"),"à","a"),"è","e"),"ì","i"),"ò","o"),"ù","u"),"")</f>
        <v/>
      </c>
      <c r="P56" s="25">
        <f>IF(AND(L56=1,C56&lt;&gt;""),SUBSTITUTE(SUBSTITUTE(SUBSTITUTE(SUBSTITUTE(SUBSTITUTE(SUBSTITUTE(SUBSTITUTE(SUBSTITUTE(SUBSTITUTE(SUBSTITUTE(SUBSTITUTE(SUBSTITUTE(LOWER(TRIM(C56)),"á","a"),"é","e"),"í","i"),"ó","o"),"ú","u"),"ü","u"),"ñ","n"),"à","a"),"è","e"),"ì","i"),"ò","o"),"ù","u"),"")</f>
        <v/>
      </c>
      <c r="Q56" s="25">
        <f>IF(AND(L56=1,E56&lt;&gt;""),SUBSTITUTE(SUBSTITUTE(SUBSTITUTE(SUBSTITUTE(SUBSTITUTE(SUBSTITUTE(SUBSTITUTE(SUBSTITUTE(SUBSTITUTE(SUBSTITUTE(SUBSTITUTE(SUBSTITUTE(LOWER(TRIM(E56)),"á","a"),"é","e"),"í","i"),"ó","o"),"ú","u"),"ü","u"),"ñ","n"),"à","a"),"è","e"),"ì","i"),"ò","o"),"ù","u"),"")</f>
        <v/>
      </c>
      <c r="R56" s="25">
        <f>IF(AND(L56=1,I56&lt;&gt;""),SUBSTITUTE(SUBSTITUTE(SUBSTITUTE(SUBSTITUTE(SUBSTITUTE(SUBSTITUTE(SUBSTITUTE(SUBSTITUTE(SUBSTITUTE(SUBSTITUTE(SUBSTITUTE(SUBSTITUTE(LOWER(TRIM(I56)),"á","a"),"é","e"),"í","i"),"ó","o"),"ú","u"),"ü","u"),"ñ","n"),"à","a"),"è","e"),"ì","i"),"ò","o"),"ù","u"),"")</f>
        <v/>
      </c>
      <c r="S56" s="25">
        <f>IF(R56="","",IF(OR(R56="si",R56="tal vez"),1,0))</f>
        <v/>
      </c>
      <c r="T56" s="25">
        <f>IF(AND(L56=1,D56&lt;&gt;""),IF(IFERROR(COUNTIFS(D$3:D56,"="&amp;SUBSTITUTE(SUBSTITUTE(SUBSTITUTE(D56,"~","~~"),"*","~*"),"?","~?"),L$3:L56,1),0)=1,MAX(T$2:T55)+1,""),"")</f>
        <v/>
      </c>
      <c r="U56" s="25">
        <f>IF(T56="","",COUNTIFS($D$3:$D$1002,"="&amp;SUBSTITUTE(SUBSTITUTE(SUBSTITUTE(D56,"~","~~"),"*","~*"),"?","~?"),$L$3:$L$1002,1)*10000-T56)</f>
        <v/>
      </c>
      <c r="V56" s="25">
        <f>IF(AND(L56=1,J56&lt;&gt;""),IF(IFERROR(COUNTIFS(J$3:J56,"="&amp;SUBSTITUTE(SUBSTITUTE(SUBSTITUTE(J56,"~","~~"),"*","~*"),"?","~?"),L$3:L56,1),0)=1,MAX(V$2:V55)+1,""),"")</f>
        <v/>
      </c>
      <c r="W56" s="25">
        <f>IF(V56="","",COUNTIFS($J$3:$J$1002,"="&amp;SUBSTITUTE(SUBSTITUTE(SUBSTITUTE(J56,"~","~~"),"*","~*"),"?","~?"),$L$3:$L$1002,1)*10000-V56)</f>
        <v/>
      </c>
    </row>
    <row r="57">
      <c r="A57">
        <f>IF(A$2=0,"",IFERROR(TRIM(INDEX('Pegar estudiantes'!$A$1:$BZ$1001,56,A$2)&amp;""),""))</f>
        <v/>
      </c>
      <c r="B57">
        <f>IF(B$2=0,"",IFERROR(TRIM(INDEX('Pegar estudiantes'!$A$1:$BZ$1001,56,B$2)&amp;""),""))</f>
        <v/>
      </c>
      <c r="C57">
        <f>IF(C$2=0,"",IFERROR(TRIM(INDEX('Pegar estudiantes'!$A$1:$BZ$1001,56,C$2)&amp;""),""))</f>
        <v/>
      </c>
      <c r="D57">
        <f>IF(D$2=0,"",IFERROR(TRIM(INDEX('Pegar estudiantes'!$A$1:$BZ$1001,56,D$2)&amp;""),""))</f>
        <v/>
      </c>
      <c r="E57">
        <f>IF(E$2=0,"",IFERROR(TRIM(INDEX('Pegar estudiantes'!$A$1:$BZ$1001,56,E$2)&amp;""),""))</f>
        <v/>
      </c>
      <c r="F57">
        <f>IF(F$2=0,"",IFERROR(TRIM(INDEX('Pegar estudiantes'!$A$1:$BZ$1001,56,F$2)&amp;""),""))</f>
        <v/>
      </c>
      <c r="G57">
        <f>IF(G$2=0,"",IFERROR(TRIM(INDEX('Pegar estudiantes'!$A$1:$BZ$1001,56,G$2)&amp;""),""))</f>
        <v/>
      </c>
      <c r="H57">
        <f>IF(H$2=0,"",IFERROR(TRIM(INDEX('Pegar estudiantes'!$A$1:$BZ$1001,56,H$2)&amp;""),""))</f>
        <v/>
      </c>
      <c r="I57">
        <f>IF(I$2=0,"",IFERROR(TRIM(INDEX('Pegar estudiantes'!$A$1:$BZ$1001,56,I$2)&amp;""),""))</f>
        <v/>
      </c>
      <c r="J57">
        <f>IF(J$2=0,"",IFERROR(TRIM(INDEX('Pegar estudiantes'!$A$1:$BZ$1001,56,J$2)&amp;""),""))</f>
        <v/>
      </c>
      <c r="K57">
        <f>IF(K$2=0,"",IFERROR(TRIM(INDEX('Pegar estudiantes'!$A$1:$BZ$1001,56,K$2)&amp;""),""))</f>
        <v/>
      </c>
      <c r="L57" s="25">
        <f>IF(A57&lt;&gt;"",1,"")</f>
        <v/>
      </c>
      <c r="M57" s="25">
        <f>IF(L57=1,IF(ISNUMBER(FIND("#"&amp;MID(A57,1,1)&amp;"#","#0#1#2#3#4#5#6#7#8#9#")),IF(ISNUMBER(FIND("#"&amp;MID(A57,2,1)&amp;"#","#0#1#2#3#4#5#6#7#8#9#")),IF(AND(VALUE(LEFT(A57,2))&gt;=1,VALUE(LEFT(A57,2))&lt;=5),VALUE(LEFT(A57,2)),""),IF(AND(VALUE(LEFT(A57,1))&gt;=1,VALUE(LEFT(A57,1))&lt;=5),VALUE(LEFT(A57,1)),"")),""),"")</f>
        <v/>
      </c>
      <c r="N57" s="25">
        <f>IF(L57=1,IF(ISNUMBER(FIND("#"&amp;MID(H57,1,1)&amp;"#","#0#1#2#3#4#5#6#7#8#9#")),IF(ISNUMBER(FIND("#"&amp;MID(H57,2,1)&amp;"#","#0#1#2#3#4#5#6#7#8#9#")),IF(AND(VALUE(LEFT(H57,2))&gt;=1,VALUE(LEFT(H57,2))&lt;=5),VALUE(LEFT(H57,2)),""),IF(AND(VALUE(LEFT(H57,1))&gt;=1,VALUE(LEFT(H57,1))&lt;=5),VALUE(LEFT(H57,1)),"")),""),"")</f>
        <v/>
      </c>
      <c r="O57" s="25">
        <f>IF(AND(L57=1,B57&lt;&gt;""),SUBSTITUTE(SUBSTITUTE(SUBSTITUTE(SUBSTITUTE(SUBSTITUTE(SUBSTITUTE(SUBSTITUTE(SUBSTITUTE(SUBSTITUTE(SUBSTITUTE(SUBSTITUTE(SUBSTITUTE(LOWER(TRIM(B57)),"á","a"),"é","e"),"í","i"),"ó","o"),"ú","u"),"ü","u"),"ñ","n"),"à","a"),"è","e"),"ì","i"),"ò","o"),"ù","u"),"")</f>
        <v/>
      </c>
      <c r="P57" s="25">
        <f>IF(AND(L57=1,C57&lt;&gt;""),SUBSTITUTE(SUBSTITUTE(SUBSTITUTE(SUBSTITUTE(SUBSTITUTE(SUBSTITUTE(SUBSTITUTE(SUBSTITUTE(SUBSTITUTE(SUBSTITUTE(SUBSTITUTE(SUBSTITUTE(LOWER(TRIM(C57)),"á","a"),"é","e"),"í","i"),"ó","o"),"ú","u"),"ü","u"),"ñ","n"),"à","a"),"è","e"),"ì","i"),"ò","o"),"ù","u"),"")</f>
        <v/>
      </c>
      <c r="Q57" s="25">
        <f>IF(AND(L57=1,E57&lt;&gt;""),SUBSTITUTE(SUBSTITUTE(SUBSTITUTE(SUBSTITUTE(SUBSTITUTE(SUBSTITUTE(SUBSTITUTE(SUBSTITUTE(SUBSTITUTE(SUBSTITUTE(SUBSTITUTE(SUBSTITUTE(LOWER(TRIM(E57)),"á","a"),"é","e"),"í","i"),"ó","o"),"ú","u"),"ü","u"),"ñ","n"),"à","a"),"è","e"),"ì","i"),"ò","o"),"ù","u"),"")</f>
        <v/>
      </c>
      <c r="R57" s="25">
        <f>IF(AND(L57=1,I57&lt;&gt;""),SUBSTITUTE(SUBSTITUTE(SUBSTITUTE(SUBSTITUTE(SUBSTITUTE(SUBSTITUTE(SUBSTITUTE(SUBSTITUTE(SUBSTITUTE(SUBSTITUTE(SUBSTITUTE(SUBSTITUTE(LOWER(TRIM(I57)),"á","a"),"é","e"),"í","i"),"ó","o"),"ú","u"),"ü","u"),"ñ","n"),"à","a"),"è","e"),"ì","i"),"ò","o"),"ù","u"),"")</f>
        <v/>
      </c>
      <c r="S57" s="25">
        <f>IF(R57="","",IF(OR(R57="si",R57="tal vez"),1,0))</f>
        <v/>
      </c>
      <c r="T57" s="25">
        <f>IF(AND(L57=1,D57&lt;&gt;""),IF(IFERROR(COUNTIFS(D$3:D57,"="&amp;SUBSTITUTE(SUBSTITUTE(SUBSTITUTE(D57,"~","~~"),"*","~*"),"?","~?"),L$3:L57,1),0)=1,MAX(T$2:T56)+1,""),"")</f>
        <v/>
      </c>
      <c r="U57" s="25">
        <f>IF(T57="","",COUNTIFS($D$3:$D$1002,"="&amp;SUBSTITUTE(SUBSTITUTE(SUBSTITUTE(D57,"~","~~"),"*","~*"),"?","~?"),$L$3:$L$1002,1)*10000-T57)</f>
        <v/>
      </c>
      <c r="V57" s="25">
        <f>IF(AND(L57=1,J57&lt;&gt;""),IF(IFERROR(COUNTIFS(J$3:J57,"="&amp;SUBSTITUTE(SUBSTITUTE(SUBSTITUTE(J57,"~","~~"),"*","~*"),"?","~?"),L$3:L57,1),0)=1,MAX(V$2:V56)+1,""),"")</f>
        <v/>
      </c>
      <c r="W57" s="25">
        <f>IF(V57="","",COUNTIFS($J$3:$J$1002,"="&amp;SUBSTITUTE(SUBSTITUTE(SUBSTITUTE(J57,"~","~~"),"*","~*"),"?","~?"),$L$3:$L$1002,1)*10000-V57)</f>
        <v/>
      </c>
    </row>
    <row r="58">
      <c r="A58">
        <f>IF(A$2=0,"",IFERROR(TRIM(INDEX('Pegar estudiantes'!$A$1:$BZ$1001,57,A$2)&amp;""),""))</f>
        <v/>
      </c>
      <c r="B58">
        <f>IF(B$2=0,"",IFERROR(TRIM(INDEX('Pegar estudiantes'!$A$1:$BZ$1001,57,B$2)&amp;""),""))</f>
        <v/>
      </c>
      <c r="C58">
        <f>IF(C$2=0,"",IFERROR(TRIM(INDEX('Pegar estudiantes'!$A$1:$BZ$1001,57,C$2)&amp;""),""))</f>
        <v/>
      </c>
      <c r="D58">
        <f>IF(D$2=0,"",IFERROR(TRIM(INDEX('Pegar estudiantes'!$A$1:$BZ$1001,57,D$2)&amp;""),""))</f>
        <v/>
      </c>
      <c r="E58">
        <f>IF(E$2=0,"",IFERROR(TRIM(INDEX('Pegar estudiantes'!$A$1:$BZ$1001,57,E$2)&amp;""),""))</f>
        <v/>
      </c>
      <c r="F58">
        <f>IF(F$2=0,"",IFERROR(TRIM(INDEX('Pegar estudiantes'!$A$1:$BZ$1001,57,F$2)&amp;""),""))</f>
        <v/>
      </c>
      <c r="G58">
        <f>IF(G$2=0,"",IFERROR(TRIM(INDEX('Pegar estudiantes'!$A$1:$BZ$1001,57,G$2)&amp;""),""))</f>
        <v/>
      </c>
      <c r="H58">
        <f>IF(H$2=0,"",IFERROR(TRIM(INDEX('Pegar estudiantes'!$A$1:$BZ$1001,57,H$2)&amp;""),""))</f>
        <v/>
      </c>
      <c r="I58">
        <f>IF(I$2=0,"",IFERROR(TRIM(INDEX('Pegar estudiantes'!$A$1:$BZ$1001,57,I$2)&amp;""),""))</f>
        <v/>
      </c>
      <c r="J58">
        <f>IF(J$2=0,"",IFERROR(TRIM(INDEX('Pegar estudiantes'!$A$1:$BZ$1001,57,J$2)&amp;""),""))</f>
        <v/>
      </c>
      <c r="K58">
        <f>IF(K$2=0,"",IFERROR(TRIM(INDEX('Pegar estudiantes'!$A$1:$BZ$1001,57,K$2)&amp;""),""))</f>
        <v/>
      </c>
      <c r="L58" s="25">
        <f>IF(A58&lt;&gt;"",1,"")</f>
        <v/>
      </c>
      <c r="M58" s="25">
        <f>IF(L58=1,IF(ISNUMBER(FIND("#"&amp;MID(A58,1,1)&amp;"#","#0#1#2#3#4#5#6#7#8#9#")),IF(ISNUMBER(FIND("#"&amp;MID(A58,2,1)&amp;"#","#0#1#2#3#4#5#6#7#8#9#")),IF(AND(VALUE(LEFT(A58,2))&gt;=1,VALUE(LEFT(A58,2))&lt;=5),VALUE(LEFT(A58,2)),""),IF(AND(VALUE(LEFT(A58,1))&gt;=1,VALUE(LEFT(A58,1))&lt;=5),VALUE(LEFT(A58,1)),"")),""),"")</f>
        <v/>
      </c>
      <c r="N58" s="25">
        <f>IF(L58=1,IF(ISNUMBER(FIND("#"&amp;MID(H58,1,1)&amp;"#","#0#1#2#3#4#5#6#7#8#9#")),IF(ISNUMBER(FIND("#"&amp;MID(H58,2,1)&amp;"#","#0#1#2#3#4#5#6#7#8#9#")),IF(AND(VALUE(LEFT(H58,2))&gt;=1,VALUE(LEFT(H58,2))&lt;=5),VALUE(LEFT(H58,2)),""),IF(AND(VALUE(LEFT(H58,1))&gt;=1,VALUE(LEFT(H58,1))&lt;=5),VALUE(LEFT(H58,1)),"")),""),"")</f>
        <v/>
      </c>
      <c r="O58" s="25">
        <f>IF(AND(L58=1,B58&lt;&gt;""),SUBSTITUTE(SUBSTITUTE(SUBSTITUTE(SUBSTITUTE(SUBSTITUTE(SUBSTITUTE(SUBSTITUTE(SUBSTITUTE(SUBSTITUTE(SUBSTITUTE(SUBSTITUTE(SUBSTITUTE(LOWER(TRIM(B58)),"á","a"),"é","e"),"í","i"),"ó","o"),"ú","u"),"ü","u"),"ñ","n"),"à","a"),"è","e"),"ì","i"),"ò","o"),"ù","u"),"")</f>
        <v/>
      </c>
      <c r="P58" s="25">
        <f>IF(AND(L58=1,C58&lt;&gt;""),SUBSTITUTE(SUBSTITUTE(SUBSTITUTE(SUBSTITUTE(SUBSTITUTE(SUBSTITUTE(SUBSTITUTE(SUBSTITUTE(SUBSTITUTE(SUBSTITUTE(SUBSTITUTE(SUBSTITUTE(LOWER(TRIM(C58)),"á","a"),"é","e"),"í","i"),"ó","o"),"ú","u"),"ü","u"),"ñ","n"),"à","a"),"è","e"),"ì","i"),"ò","o"),"ù","u"),"")</f>
        <v/>
      </c>
      <c r="Q58" s="25">
        <f>IF(AND(L58=1,E58&lt;&gt;""),SUBSTITUTE(SUBSTITUTE(SUBSTITUTE(SUBSTITUTE(SUBSTITUTE(SUBSTITUTE(SUBSTITUTE(SUBSTITUTE(SUBSTITUTE(SUBSTITUTE(SUBSTITUTE(SUBSTITUTE(LOWER(TRIM(E58)),"á","a"),"é","e"),"í","i"),"ó","o"),"ú","u"),"ü","u"),"ñ","n"),"à","a"),"è","e"),"ì","i"),"ò","o"),"ù","u"),"")</f>
        <v/>
      </c>
      <c r="R58" s="25">
        <f>IF(AND(L58=1,I58&lt;&gt;""),SUBSTITUTE(SUBSTITUTE(SUBSTITUTE(SUBSTITUTE(SUBSTITUTE(SUBSTITUTE(SUBSTITUTE(SUBSTITUTE(SUBSTITUTE(SUBSTITUTE(SUBSTITUTE(SUBSTITUTE(LOWER(TRIM(I58)),"á","a"),"é","e"),"í","i"),"ó","o"),"ú","u"),"ü","u"),"ñ","n"),"à","a"),"è","e"),"ì","i"),"ò","o"),"ù","u"),"")</f>
        <v/>
      </c>
      <c r="S58" s="25">
        <f>IF(R58="","",IF(OR(R58="si",R58="tal vez"),1,0))</f>
        <v/>
      </c>
      <c r="T58" s="25">
        <f>IF(AND(L58=1,D58&lt;&gt;""),IF(IFERROR(COUNTIFS(D$3:D58,"="&amp;SUBSTITUTE(SUBSTITUTE(SUBSTITUTE(D58,"~","~~"),"*","~*"),"?","~?"),L$3:L58,1),0)=1,MAX(T$2:T57)+1,""),"")</f>
        <v/>
      </c>
      <c r="U58" s="25">
        <f>IF(T58="","",COUNTIFS($D$3:$D$1002,"="&amp;SUBSTITUTE(SUBSTITUTE(SUBSTITUTE(D58,"~","~~"),"*","~*"),"?","~?"),$L$3:$L$1002,1)*10000-T58)</f>
        <v/>
      </c>
      <c r="V58" s="25">
        <f>IF(AND(L58=1,J58&lt;&gt;""),IF(IFERROR(COUNTIFS(J$3:J58,"="&amp;SUBSTITUTE(SUBSTITUTE(SUBSTITUTE(J58,"~","~~"),"*","~*"),"?","~?"),L$3:L58,1),0)=1,MAX(V$2:V57)+1,""),"")</f>
        <v/>
      </c>
      <c r="W58" s="25">
        <f>IF(V58="","",COUNTIFS($J$3:$J$1002,"="&amp;SUBSTITUTE(SUBSTITUTE(SUBSTITUTE(J58,"~","~~"),"*","~*"),"?","~?"),$L$3:$L$1002,1)*10000-V58)</f>
        <v/>
      </c>
    </row>
    <row r="59">
      <c r="A59">
        <f>IF(A$2=0,"",IFERROR(TRIM(INDEX('Pegar estudiantes'!$A$1:$BZ$1001,58,A$2)&amp;""),""))</f>
        <v/>
      </c>
      <c r="B59">
        <f>IF(B$2=0,"",IFERROR(TRIM(INDEX('Pegar estudiantes'!$A$1:$BZ$1001,58,B$2)&amp;""),""))</f>
        <v/>
      </c>
      <c r="C59">
        <f>IF(C$2=0,"",IFERROR(TRIM(INDEX('Pegar estudiantes'!$A$1:$BZ$1001,58,C$2)&amp;""),""))</f>
        <v/>
      </c>
      <c r="D59">
        <f>IF(D$2=0,"",IFERROR(TRIM(INDEX('Pegar estudiantes'!$A$1:$BZ$1001,58,D$2)&amp;""),""))</f>
        <v/>
      </c>
      <c r="E59">
        <f>IF(E$2=0,"",IFERROR(TRIM(INDEX('Pegar estudiantes'!$A$1:$BZ$1001,58,E$2)&amp;""),""))</f>
        <v/>
      </c>
      <c r="F59">
        <f>IF(F$2=0,"",IFERROR(TRIM(INDEX('Pegar estudiantes'!$A$1:$BZ$1001,58,F$2)&amp;""),""))</f>
        <v/>
      </c>
      <c r="G59">
        <f>IF(G$2=0,"",IFERROR(TRIM(INDEX('Pegar estudiantes'!$A$1:$BZ$1001,58,G$2)&amp;""),""))</f>
        <v/>
      </c>
      <c r="H59">
        <f>IF(H$2=0,"",IFERROR(TRIM(INDEX('Pegar estudiantes'!$A$1:$BZ$1001,58,H$2)&amp;""),""))</f>
        <v/>
      </c>
      <c r="I59">
        <f>IF(I$2=0,"",IFERROR(TRIM(INDEX('Pegar estudiantes'!$A$1:$BZ$1001,58,I$2)&amp;""),""))</f>
        <v/>
      </c>
      <c r="J59">
        <f>IF(J$2=0,"",IFERROR(TRIM(INDEX('Pegar estudiantes'!$A$1:$BZ$1001,58,J$2)&amp;""),""))</f>
        <v/>
      </c>
      <c r="K59">
        <f>IF(K$2=0,"",IFERROR(TRIM(INDEX('Pegar estudiantes'!$A$1:$BZ$1001,58,K$2)&amp;""),""))</f>
        <v/>
      </c>
      <c r="L59" s="25">
        <f>IF(A59&lt;&gt;"",1,"")</f>
        <v/>
      </c>
      <c r="M59" s="25">
        <f>IF(L59=1,IF(ISNUMBER(FIND("#"&amp;MID(A59,1,1)&amp;"#","#0#1#2#3#4#5#6#7#8#9#")),IF(ISNUMBER(FIND("#"&amp;MID(A59,2,1)&amp;"#","#0#1#2#3#4#5#6#7#8#9#")),IF(AND(VALUE(LEFT(A59,2))&gt;=1,VALUE(LEFT(A59,2))&lt;=5),VALUE(LEFT(A59,2)),""),IF(AND(VALUE(LEFT(A59,1))&gt;=1,VALUE(LEFT(A59,1))&lt;=5),VALUE(LEFT(A59,1)),"")),""),"")</f>
        <v/>
      </c>
      <c r="N59" s="25">
        <f>IF(L59=1,IF(ISNUMBER(FIND("#"&amp;MID(H59,1,1)&amp;"#","#0#1#2#3#4#5#6#7#8#9#")),IF(ISNUMBER(FIND("#"&amp;MID(H59,2,1)&amp;"#","#0#1#2#3#4#5#6#7#8#9#")),IF(AND(VALUE(LEFT(H59,2))&gt;=1,VALUE(LEFT(H59,2))&lt;=5),VALUE(LEFT(H59,2)),""),IF(AND(VALUE(LEFT(H59,1))&gt;=1,VALUE(LEFT(H59,1))&lt;=5),VALUE(LEFT(H59,1)),"")),""),"")</f>
        <v/>
      </c>
      <c r="O59" s="25">
        <f>IF(AND(L59=1,B59&lt;&gt;""),SUBSTITUTE(SUBSTITUTE(SUBSTITUTE(SUBSTITUTE(SUBSTITUTE(SUBSTITUTE(SUBSTITUTE(SUBSTITUTE(SUBSTITUTE(SUBSTITUTE(SUBSTITUTE(SUBSTITUTE(LOWER(TRIM(B59)),"á","a"),"é","e"),"í","i"),"ó","o"),"ú","u"),"ü","u"),"ñ","n"),"à","a"),"è","e"),"ì","i"),"ò","o"),"ù","u"),"")</f>
        <v/>
      </c>
      <c r="P59" s="25">
        <f>IF(AND(L59=1,C59&lt;&gt;""),SUBSTITUTE(SUBSTITUTE(SUBSTITUTE(SUBSTITUTE(SUBSTITUTE(SUBSTITUTE(SUBSTITUTE(SUBSTITUTE(SUBSTITUTE(SUBSTITUTE(SUBSTITUTE(SUBSTITUTE(LOWER(TRIM(C59)),"á","a"),"é","e"),"í","i"),"ó","o"),"ú","u"),"ü","u"),"ñ","n"),"à","a"),"è","e"),"ì","i"),"ò","o"),"ù","u"),"")</f>
        <v/>
      </c>
      <c r="Q59" s="25">
        <f>IF(AND(L59=1,E59&lt;&gt;""),SUBSTITUTE(SUBSTITUTE(SUBSTITUTE(SUBSTITUTE(SUBSTITUTE(SUBSTITUTE(SUBSTITUTE(SUBSTITUTE(SUBSTITUTE(SUBSTITUTE(SUBSTITUTE(SUBSTITUTE(LOWER(TRIM(E59)),"á","a"),"é","e"),"í","i"),"ó","o"),"ú","u"),"ü","u"),"ñ","n"),"à","a"),"è","e"),"ì","i"),"ò","o"),"ù","u"),"")</f>
        <v/>
      </c>
      <c r="R59" s="25">
        <f>IF(AND(L59=1,I59&lt;&gt;""),SUBSTITUTE(SUBSTITUTE(SUBSTITUTE(SUBSTITUTE(SUBSTITUTE(SUBSTITUTE(SUBSTITUTE(SUBSTITUTE(SUBSTITUTE(SUBSTITUTE(SUBSTITUTE(SUBSTITUTE(LOWER(TRIM(I59)),"á","a"),"é","e"),"í","i"),"ó","o"),"ú","u"),"ü","u"),"ñ","n"),"à","a"),"è","e"),"ì","i"),"ò","o"),"ù","u"),"")</f>
        <v/>
      </c>
      <c r="S59" s="25">
        <f>IF(R59="","",IF(OR(R59="si",R59="tal vez"),1,0))</f>
        <v/>
      </c>
      <c r="T59" s="25">
        <f>IF(AND(L59=1,D59&lt;&gt;""),IF(IFERROR(COUNTIFS(D$3:D59,"="&amp;SUBSTITUTE(SUBSTITUTE(SUBSTITUTE(D59,"~","~~"),"*","~*"),"?","~?"),L$3:L59,1),0)=1,MAX(T$2:T58)+1,""),"")</f>
        <v/>
      </c>
      <c r="U59" s="25">
        <f>IF(T59="","",COUNTIFS($D$3:$D$1002,"="&amp;SUBSTITUTE(SUBSTITUTE(SUBSTITUTE(D59,"~","~~"),"*","~*"),"?","~?"),$L$3:$L$1002,1)*10000-T59)</f>
        <v/>
      </c>
      <c r="V59" s="25">
        <f>IF(AND(L59=1,J59&lt;&gt;""),IF(IFERROR(COUNTIFS(J$3:J59,"="&amp;SUBSTITUTE(SUBSTITUTE(SUBSTITUTE(J59,"~","~~"),"*","~*"),"?","~?"),L$3:L59,1),0)=1,MAX(V$2:V58)+1,""),"")</f>
        <v/>
      </c>
      <c r="W59" s="25">
        <f>IF(V59="","",COUNTIFS($J$3:$J$1002,"="&amp;SUBSTITUTE(SUBSTITUTE(SUBSTITUTE(J59,"~","~~"),"*","~*"),"?","~?"),$L$3:$L$1002,1)*10000-V59)</f>
        <v/>
      </c>
    </row>
    <row r="60">
      <c r="A60">
        <f>IF(A$2=0,"",IFERROR(TRIM(INDEX('Pegar estudiantes'!$A$1:$BZ$1001,59,A$2)&amp;""),""))</f>
        <v/>
      </c>
      <c r="B60">
        <f>IF(B$2=0,"",IFERROR(TRIM(INDEX('Pegar estudiantes'!$A$1:$BZ$1001,59,B$2)&amp;""),""))</f>
        <v/>
      </c>
      <c r="C60">
        <f>IF(C$2=0,"",IFERROR(TRIM(INDEX('Pegar estudiantes'!$A$1:$BZ$1001,59,C$2)&amp;""),""))</f>
        <v/>
      </c>
      <c r="D60">
        <f>IF(D$2=0,"",IFERROR(TRIM(INDEX('Pegar estudiantes'!$A$1:$BZ$1001,59,D$2)&amp;""),""))</f>
        <v/>
      </c>
      <c r="E60">
        <f>IF(E$2=0,"",IFERROR(TRIM(INDEX('Pegar estudiantes'!$A$1:$BZ$1001,59,E$2)&amp;""),""))</f>
        <v/>
      </c>
      <c r="F60">
        <f>IF(F$2=0,"",IFERROR(TRIM(INDEX('Pegar estudiantes'!$A$1:$BZ$1001,59,F$2)&amp;""),""))</f>
        <v/>
      </c>
      <c r="G60">
        <f>IF(G$2=0,"",IFERROR(TRIM(INDEX('Pegar estudiantes'!$A$1:$BZ$1001,59,G$2)&amp;""),""))</f>
        <v/>
      </c>
      <c r="H60">
        <f>IF(H$2=0,"",IFERROR(TRIM(INDEX('Pegar estudiantes'!$A$1:$BZ$1001,59,H$2)&amp;""),""))</f>
        <v/>
      </c>
      <c r="I60">
        <f>IF(I$2=0,"",IFERROR(TRIM(INDEX('Pegar estudiantes'!$A$1:$BZ$1001,59,I$2)&amp;""),""))</f>
        <v/>
      </c>
      <c r="J60">
        <f>IF(J$2=0,"",IFERROR(TRIM(INDEX('Pegar estudiantes'!$A$1:$BZ$1001,59,J$2)&amp;""),""))</f>
        <v/>
      </c>
      <c r="K60">
        <f>IF(K$2=0,"",IFERROR(TRIM(INDEX('Pegar estudiantes'!$A$1:$BZ$1001,59,K$2)&amp;""),""))</f>
        <v/>
      </c>
      <c r="L60" s="25">
        <f>IF(A60&lt;&gt;"",1,"")</f>
        <v/>
      </c>
      <c r="M60" s="25">
        <f>IF(L60=1,IF(ISNUMBER(FIND("#"&amp;MID(A60,1,1)&amp;"#","#0#1#2#3#4#5#6#7#8#9#")),IF(ISNUMBER(FIND("#"&amp;MID(A60,2,1)&amp;"#","#0#1#2#3#4#5#6#7#8#9#")),IF(AND(VALUE(LEFT(A60,2))&gt;=1,VALUE(LEFT(A60,2))&lt;=5),VALUE(LEFT(A60,2)),""),IF(AND(VALUE(LEFT(A60,1))&gt;=1,VALUE(LEFT(A60,1))&lt;=5),VALUE(LEFT(A60,1)),"")),""),"")</f>
        <v/>
      </c>
      <c r="N60" s="25">
        <f>IF(L60=1,IF(ISNUMBER(FIND("#"&amp;MID(H60,1,1)&amp;"#","#0#1#2#3#4#5#6#7#8#9#")),IF(ISNUMBER(FIND("#"&amp;MID(H60,2,1)&amp;"#","#0#1#2#3#4#5#6#7#8#9#")),IF(AND(VALUE(LEFT(H60,2))&gt;=1,VALUE(LEFT(H60,2))&lt;=5),VALUE(LEFT(H60,2)),""),IF(AND(VALUE(LEFT(H60,1))&gt;=1,VALUE(LEFT(H60,1))&lt;=5),VALUE(LEFT(H60,1)),"")),""),"")</f>
        <v/>
      </c>
      <c r="O60" s="25">
        <f>IF(AND(L60=1,B60&lt;&gt;""),SUBSTITUTE(SUBSTITUTE(SUBSTITUTE(SUBSTITUTE(SUBSTITUTE(SUBSTITUTE(SUBSTITUTE(SUBSTITUTE(SUBSTITUTE(SUBSTITUTE(SUBSTITUTE(SUBSTITUTE(LOWER(TRIM(B60)),"á","a"),"é","e"),"í","i"),"ó","o"),"ú","u"),"ü","u"),"ñ","n"),"à","a"),"è","e"),"ì","i"),"ò","o"),"ù","u"),"")</f>
        <v/>
      </c>
      <c r="P60" s="25">
        <f>IF(AND(L60=1,C60&lt;&gt;""),SUBSTITUTE(SUBSTITUTE(SUBSTITUTE(SUBSTITUTE(SUBSTITUTE(SUBSTITUTE(SUBSTITUTE(SUBSTITUTE(SUBSTITUTE(SUBSTITUTE(SUBSTITUTE(SUBSTITUTE(LOWER(TRIM(C60)),"á","a"),"é","e"),"í","i"),"ó","o"),"ú","u"),"ü","u"),"ñ","n"),"à","a"),"è","e"),"ì","i"),"ò","o"),"ù","u"),"")</f>
        <v/>
      </c>
      <c r="Q60" s="25">
        <f>IF(AND(L60=1,E60&lt;&gt;""),SUBSTITUTE(SUBSTITUTE(SUBSTITUTE(SUBSTITUTE(SUBSTITUTE(SUBSTITUTE(SUBSTITUTE(SUBSTITUTE(SUBSTITUTE(SUBSTITUTE(SUBSTITUTE(SUBSTITUTE(LOWER(TRIM(E60)),"á","a"),"é","e"),"í","i"),"ó","o"),"ú","u"),"ü","u"),"ñ","n"),"à","a"),"è","e"),"ì","i"),"ò","o"),"ù","u"),"")</f>
        <v/>
      </c>
      <c r="R60" s="25">
        <f>IF(AND(L60=1,I60&lt;&gt;""),SUBSTITUTE(SUBSTITUTE(SUBSTITUTE(SUBSTITUTE(SUBSTITUTE(SUBSTITUTE(SUBSTITUTE(SUBSTITUTE(SUBSTITUTE(SUBSTITUTE(SUBSTITUTE(SUBSTITUTE(LOWER(TRIM(I60)),"á","a"),"é","e"),"í","i"),"ó","o"),"ú","u"),"ü","u"),"ñ","n"),"à","a"),"è","e"),"ì","i"),"ò","o"),"ù","u"),"")</f>
        <v/>
      </c>
      <c r="S60" s="25">
        <f>IF(R60="","",IF(OR(R60="si",R60="tal vez"),1,0))</f>
        <v/>
      </c>
      <c r="T60" s="25">
        <f>IF(AND(L60=1,D60&lt;&gt;""),IF(IFERROR(COUNTIFS(D$3:D60,"="&amp;SUBSTITUTE(SUBSTITUTE(SUBSTITUTE(D60,"~","~~"),"*","~*"),"?","~?"),L$3:L60,1),0)=1,MAX(T$2:T59)+1,""),"")</f>
        <v/>
      </c>
      <c r="U60" s="25">
        <f>IF(T60="","",COUNTIFS($D$3:$D$1002,"="&amp;SUBSTITUTE(SUBSTITUTE(SUBSTITUTE(D60,"~","~~"),"*","~*"),"?","~?"),$L$3:$L$1002,1)*10000-T60)</f>
        <v/>
      </c>
      <c r="V60" s="25">
        <f>IF(AND(L60=1,J60&lt;&gt;""),IF(IFERROR(COUNTIFS(J$3:J60,"="&amp;SUBSTITUTE(SUBSTITUTE(SUBSTITUTE(J60,"~","~~"),"*","~*"),"?","~?"),L$3:L60,1),0)=1,MAX(V$2:V59)+1,""),"")</f>
        <v/>
      </c>
      <c r="W60" s="25">
        <f>IF(V60="","",COUNTIFS($J$3:$J$1002,"="&amp;SUBSTITUTE(SUBSTITUTE(SUBSTITUTE(J60,"~","~~"),"*","~*"),"?","~?"),$L$3:$L$1002,1)*10000-V60)</f>
        <v/>
      </c>
    </row>
    <row r="61">
      <c r="A61">
        <f>IF(A$2=0,"",IFERROR(TRIM(INDEX('Pegar estudiantes'!$A$1:$BZ$1001,60,A$2)&amp;""),""))</f>
        <v/>
      </c>
      <c r="B61">
        <f>IF(B$2=0,"",IFERROR(TRIM(INDEX('Pegar estudiantes'!$A$1:$BZ$1001,60,B$2)&amp;""),""))</f>
        <v/>
      </c>
      <c r="C61">
        <f>IF(C$2=0,"",IFERROR(TRIM(INDEX('Pegar estudiantes'!$A$1:$BZ$1001,60,C$2)&amp;""),""))</f>
        <v/>
      </c>
      <c r="D61">
        <f>IF(D$2=0,"",IFERROR(TRIM(INDEX('Pegar estudiantes'!$A$1:$BZ$1001,60,D$2)&amp;""),""))</f>
        <v/>
      </c>
      <c r="E61">
        <f>IF(E$2=0,"",IFERROR(TRIM(INDEX('Pegar estudiantes'!$A$1:$BZ$1001,60,E$2)&amp;""),""))</f>
        <v/>
      </c>
      <c r="F61">
        <f>IF(F$2=0,"",IFERROR(TRIM(INDEX('Pegar estudiantes'!$A$1:$BZ$1001,60,F$2)&amp;""),""))</f>
        <v/>
      </c>
      <c r="G61">
        <f>IF(G$2=0,"",IFERROR(TRIM(INDEX('Pegar estudiantes'!$A$1:$BZ$1001,60,G$2)&amp;""),""))</f>
        <v/>
      </c>
      <c r="H61">
        <f>IF(H$2=0,"",IFERROR(TRIM(INDEX('Pegar estudiantes'!$A$1:$BZ$1001,60,H$2)&amp;""),""))</f>
        <v/>
      </c>
      <c r="I61">
        <f>IF(I$2=0,"",IFERROR(TRIM(INDEX('Pegar estudiantes'!$A$1:$BZ$1001,60,I$2)&amp;""),""))</f>
        <v/>
      </c>
      <c r="J61">
        <f>IF(J$2=0,"",IFERROR(TRIM(INDEX('Pegar estudiantes'!$A$1:$BZ$1001,60,J$2)&amp;""),""))</f>
        <v/>
      </c>
      <c r="K61">
        <f>IF(K$2=0,"",IFERROR(TRIM(INDEX('Pegar estudiantes'!$A$1:$BZ$1001,60,K$2)&amp;""),""))</f>
        <v/>
      </c>
      <c r="L61" s="25">
        <f>IF(A61&lt;&gt;"",1,"")</f>
        <v/>
      </c>
      <c r="M61" s="25">
        <f>IF(L61=1,IF(ISNUMBER(FIND("#"&amp;MID(A61,1,1)&amp;"#","#0#1#2#3#4#5#6#7#8#9#")),IF(ISNUMBER(FIND("#"&amp;MID(A61,2,1)&amp;"#","#0#1#2#3#4#5#6#7#8#9#")),IF(AND(VALUE(LEFT(A61,2))&gt;=1,VALUE(LEFT(A61,2))&lt;=5),VALUE(LEFT(A61,2)),""),IF(AND(VALUE(LEFT(A61,1))&gt;=1,VALUE(LEFT(A61,1))&lt;=5),VALUE(LEFT(A61,1)),"")),""),"")</f>
        <v/>
      </c>
      <c r="N61" s="25">
        <f>IF(L61=1,IF(ISNUMBER(FIND("#"&amp;MID(H61,1,1)&amp;"#","#0#1#2#3#4#5#6#7#8#9#")),IF(ISNUMBER(FIND("#"&amp;MID(H61,2,1)&amp;"#","#0#1#2#3#4#5#6#7#8#9#")),IF(AND(VALUE(LEFT(H61,2))&gt;=1,VALUE(LEFT(H61,2))&lt;=5),VALUE(LEFT(H61,2)),""),IF(AND(VALUE(LEFT(H61,1))&gt;=1,VALUE(LEFT(H61,1))&lt;=5),VALUE(LEFT(H61,1)),"")),""),"")</f>
        <v/>
      </c>
      <c r="O61" s="25">
        <f>IF(AND(L61=1,B61&lt;&gt;""),SUBSTITUTE(SUBSTITUTE(SUBSTITUTE(SUBSTITUTE(SUBSTITUTE(SUBSTITUTE(SUBSTITUTE(SUBSTITUTE(SUBSTITUTE(SUBSTITUTE(SUBSTITUTE(SUBSTITUTE(LOWER(TRIM(B61)),"á","a"),"é","e"),"í","i"),"ó","o"),"ú","u"),"ü","u"),"ñ","n"),"à","a"),"è","e"),"ì","i"),"ò","o"),"ù","u"),"")</f>
        <v/>
      </c>
      <c r="P61" s="25">
        <f>IF(AND(L61=1,C61&lt;&gt;""),SUBSTITUTE(SUBSTITUTE(SUBSTITUTE(SUBSTITUTE(SUBSTITUTE(SUBSTITUTE(SUBSTITUTE(SUBSTITUTE(SUBSTITUTE(SUBSTITUTE(SUBSTITUTE(SUBSTITUTE(LOWER(TRIM(C61)),"á","a"),"é","e"),"í","i"),"ó","o"),"ú","u"),"ü","u"),"ñ","n"),"à","a"),"è","e"),"ì","i"),"ò","o"),"ù","u"),"")</f>
        <v/>
      </c>
      <c r="Q61" s="25">
        <f>IF(AND(L61=1,E61&lt;&gt;""),SUBSTITUTE(SUBSTITUTE(SUBSTITUTE(SUBSTITUTE(SUBSTITUTE(SUBSTITUTE(SUBSTITUTE(SUBSTITUTE(SUBSTITUTE(SUBSTITUTE(SUBSTITUTE(SUBSTITUTE(LOWER(TRIM(E61)),"á","a"),"é","e"),"í","i"),"ó","o"),"ú","u"),"ü","u"),"ñ","n"),"à","a"),"è","e"),"ì","i"),"ò","o"),"ù","u"),"")</f>
        <v/>
      </c>
      <c r="R61" s="25">
        <f>IF(AND(L61=1,I61&lt;&gt;""),SUBSTITUTE(SUBSTITUTE(SUBSTITUTE(SUBSTITUTE(SUBSTITUTE(SUBSTITUTE(SUBSTITUTE(SUBSTITUTE(SUBSTITUTE(SUBSTITUTE(SUBSTITUTE(SUBSTITUTE(LOWER(TRIM(I61)),"á","a"),"é","e"),"í","i"),"ó","o"),"ú","u"),"ü","u"),"ñ","n"),"à","a"),"è","e"),"ì","i"),"ò","o"),"ù","u"),"")</f>
        <v/>
      </c>
      <c r="S61" s="25">
        <f>IF(R61="","",IF(OR(R61="si",R61="tal vez"),1,0))</f>
        <v/>
      </c>
      <c r="T61" s="25">
        <f>IF(AND(L61=1,D61&lt;&gt;""),IF(IFERROR(COUNTIFS(D$3:D61,"="&amp;SUBSTITUTE(SUBSTITUTE(SUBSTITUTE(D61,"~","~~"),"*","~*"),"?","~?"),L$3:L61,1),0)=1,MAX(T$2:T60)+1,""),"")</f>
        <v/>
      </c>
      <c r="U61" s="25">
        <f>IF(T61="","",COUNTIFS($D$3:$D$1002,"="&amp;SUBSTITUTE(SUBSTITUTE(SUBSTITUTE(D61,"~","~~"),"*","~*"),"?","~?"),$L$3:$L$1002,1)*10000-T61)</f>
        <v/>
      </c>
      <c r="V61" s="25">
        <f>IF(AND(L61=1,J61&lt;&gt;""),IF(IFERROR(COUNTIFS(J$3:J61,"="&amp;SUBSTITUTE(SUBSTITUTE(SUBSTITUTE(J61,"~","~~"),"*","~*"),"?","~?"),L$3:L61,1),0)=1,MAX(V$2:V60)+1,""),"")</f>
        <v/>
      </c>
      <c r="W61" s="25">
        <f>IF(V61="","",COUNTIFS($J$3:$J$1002,"="&amp;SUBSTITUTE(SUBSTITUTE(SUBSTITUTE(J61,"~","~~"),"*","~*"),"?","~?"),$L$3:$L$1002,1)*10000-V61)</f>
        <v/>
      </c>
    </row>
    <row r="62">
      <c r="A62">
        <f>IF(A$2=0,"",IFERROR(TRIM(INDEX('Pegar estudiantes'!$A$1:$BZ$1001,61,A$2)&amp;""),""))</f>
        <v/>
      </c>
      <c r="B62">
        <f>IF(B$2=0,"",IFERROR(TRIM(INDEX('Pegar estudiantes'!$A$1:$BZ$1001,61,B$2)&amp;""),""))</f>
        <v/>
      </c>
      <c r="C62">
        <f>IF(C$2=0,"",IFERROR(TRIM(INDEX('Pegar estudiantes'!$A$1:$BZ$1001,61,C$2)&amp;""),""))</f>
        <v/>
      </c>
      <c r="D62">
        <f>IF(D$2=0,"",IFERROR(TRIM(INDEX('Pegar estudiantes'!$A$1:$BZ$1001,61,D$2)&amp;""),""))</f>
        <v/>
      </c>
      <c r="E62">
        <f>IF(E$2=0,"",IFERROR(TRIM(INDEX('Pegar estudiantes'!$A$1:$BZ$1001,61,E$2)&amp;""),""))</f>
        <v/>
      </c>
      <c r="F62">
        <f>IF(F$2=0,"",IFERROR(TRIM(INDEX('Pegar estudiantes'!$A$1:$BZ$1001,61,F$2)&amp;""),""))</f>
        <v/>
      </c>
      <c r="G62">
        <f>IF(G$2=0,"",IFERROR(TRIM(INDEX('Pegar estudiantes'!$A$1:$BZ$1001,61,G$2)&amp;""),""))</f>
        <v/>
      </c>
      <c r="H62">
        <f>IF(H$2=0,"",IFERROR(TRIM(INDEX('Pegar estudiantes'!$A$1:$BZ$1001,61,H$2)&amp;""),""))</f>
        <v/>
      </c>
      <c r="I62">
        <f>IF(I$2=0,"",IFERROR(TRIM(INDEX('Pegar estudiantes'!$A$1:$BZ$1001,61,I$2)&amp;""),""))</f>
        <v/>
      </c>
      <c r="J62">
        <f>IF(J$2=0,"",IFERROR(TRIM(INDEX('Pegar estudiantes'!$A$1:$BZ$1001,61,J$2)&amp;""),""))</f>
        <v/>
      </c>
      <c r="K62">
        <f>IF(K$2=0,"",IFERROR(TRIM(INDEX('Pegar estudiantes'!$A$1:$BZ$1001,61,K$2)&amp;""),""))</f>
        <v/>
      </c>
      <c r="L62" s="25">
        <f>IF(A62&lt;&gt;"",1,"")</f>
        <v/>
      </c>
      <c r="M62" s="25">
        <f>IF(L62=1,IF(ISNUMBER(FIND("#"&amp;MID(A62,1,1)&amp;"#","#0#1#2#3#4#5#6#7#8#9#")),IF(ISNUMBER(FIND("#"&amp;MID(A62,2,1)&amp;"#","#0#1#2#3#4#5#6#7#8#9#")),IF(AND(VALUE(LEFT(A62,2))&gt;=1,VALUE(LEFT(A62,2))&lt;=5),VALUE(LEFT(A62,2)),""),IF(AND(VALUE(LEFT(A62,1))&gt;=1,VALUE(LEFT(A62,1))&lt;=5),VALUE(LEFT(A62,1)),"")),""),"")</f>
        <v/>
      </c>
      <c r="N62" s="25">
        <f>IF(L62=1,IF(ISNUMBER(FIND("#"&amp;MID(H62,1,1)&amp;"#","#0#1#2#3#4#5#6#7#8#9#")),IF(ISNUMBER(FIND("#"&amp;MID(H62,2,1)&amp;"#","#0#1#2#3#4#5#6#7#8#9#")),IF(AND(VALUE(LEFT(H62,2))&gt;=1,VALUE(LEFT(H62,2))&lt;=5),VALUE(LEFT(H62,2)),""),IF(AND(VALUE(LEFT(H62,1))&gt;=1,VALUE(LEFT(H62,1))&lt;=5),VALUE(LEFT(H62,1)),"")),""),"")</f>
        <v/>
      </c>
      <c r="O62" s="25">
        <f>IF(AND(L62=1,B62&lt;&gt;""),SUBSTITUTE(SUBSTITUTE(SUBSTITUTE(SUBSTITUTE(SUBSTITUTE(SUBSTITUTE(SUBSTITUTE(SUBSTITUTE(SUBSTITUTE(SUBSTITUTE(SUBSTITUTE(SUBSTITUTE(LOWER(TRIM(B62)),"á","a"),"é","e"),"í","i"),"ó","o"),"ú","u"),"ü","u"),"ñ","n"),"à","a"),"è","e"),"ì","i"),"ò","o"),"ù","u"),"")</f>
        <v/>
      </c>
      <c r="P62" s="25">
        <f>IF(AND(L62=1,C62&lt;&gt;""),SUBSTITUTE(SUBSTITUTE(SUBSTITUTE(SUBSTITUTE(SUBSTITUTE(SUBSTITUTE(SUBSTITUTE(SUBSTITUTE(SUBSTITUTE(SUBSTITUTE(SUBSTITUTE(SUBSTITUTE(LOWER(TRIM(C62)),"á","a"),"é","e"),"í","i"),"ó","o"),"ú","u"),"ü","u"),"ñ","n"),"à","a"),"è","e"),"ì","i"),"ò","o"),"ù","u"),"")</f>
        <v/>
      </c>
      <c r="Q62" s="25">
        <f>IF(AND(L62=1,E62&lt;&gt;""),SUBSTITUTE(SUBSTITUTE(SUBSTITUTE(SUBSTITUTE(SUBSTITUTE(SUBSTITUTE(SUBSTITUTE(SUBSTITUTE(SUBSTITUTE(SUBSTITUTE(SUBSTITUTE(SUBSTITUTE(LOWER(TRIM(E62)),"á","a"),"é","e"),"í","i"),"ó","o"),"ú","u"),"ü","u"),"ñ","n"),"à","a"),"è","e"),"ì","i"),"ò","o"),"ù","u"),"")</f>
        <v/>
      </c>
      <c r="R62" s="25">
        <f>IF(AND(L62=1,I62&lt;&gt;""),SUBSTITUTE(SUBSTITUTE(SUBSTITUTE(SUBSTITUTE(SUBSTITUTE(SUBSTITUTE(SUBSTITUTE(SUBSTITUTE(SUBSTITUTE(SUBSTITUTE(SUBSTITUTE(SUBSTITUTE(LOWER(TRIM(I62)),"á","a"),"é","e"),"í","i"),"ó","o"),"ú","u"),"ü","u"),"ñ","n"),"à","a"),"è","e"),"ì","i"),"ò","o"),"ù","u"),"")</f>
        <v/>
      </c>
      <c r="S62" s="25">
        <f>IF(R62="","",IF(OR(R62="si",R62="tal vez"),1,0))</f>
        <v/>
      </c>
      <c r="T62" s="25">
        <f>IF(AND(L62=1,D62&lt;&gt;""),IF(IFERROR(COUNTIFS(D$3:D62,"="&amp;SUBSTITUTE(SUBSTITUTE(SUBSTITUTE(D62,"~","~~"),"*","~*"),"?","~?"),L$3:L62,1),0)=1,MAX(T$2:T61)+1,""),"")</f>
        <v/>
      </c>
      <c r="U62" s="25">
        <f>IF(T62="","",COUNTIFS($D$3:$D$1002,"="&amp;SUBSTITUTE(SUBSTITUTE(SUBSTITUTE(D62,"~","~~"),"*","~*"),"?","~?"),$L$3:$L$1002,1)*10000-T62)</f>
        <v/>
      </c>
      <c r="V62" s="25">
        <f>IF(AND(L62=1,J62&lt;&gt;""),IF(IFERROR(COUNTIFS(J$3:J62,"="&amp;SUBSTITUTE(SUBSTITUTE(SUBSTITUTE(J62,"~","~~"),"*","~*"),"?","~?"),L$3:L62,1),0)=1,MAX(V$2:V61)+1,""),"")</f>
        <v/>
      </c>
      <c r="W62" s="25">
        <f>IF(V62="","",COUNTIFS($J$3:$J$1002,"="&amp;SUBSTITUTE(SUBSTITUTE(SUBSTITUTE(J62,"~","~~"),"*","~*"),"?","~?"),$L$3:$L$1002,1)*10000-V62)</f>
        <v/>
      </c>
    </row>
    <row r="63">
      <c r="A63">
        <f>IF(A$2=0,"",IFERROR(TRIM(INDEX('Pegar estudiantes'!$A$1:$BZ$1001,62,A$2)&amp;""),""))</f>
        <v/>
      </c>
      <c r="B63">
        <f>IF(B$2=0,"",IFERROR(TRIM(INDEX('Pegar estudiantes'!$A$1:$BZ$1001,62,B$2)&amp;""),""))</f>
        <v/>
      </c>
      <c r="C63">
        <f>IF(C$2=0,"",IFERROR(TRIM(INDEX('Pegar estudiantes'!$A$1:$BZ$1001,62,C$2)&amp;""),""))</f>
        <v/>
      </c>
      <c r="D63">
        <f>IF(D$2=0,"",IFERROR(TRIM(INDEX('Pegar estudiantes'!$A$1:$BZ$1001,62,D$2)&amp;""),""))</f>
        <v/>
      </c>
      <c r="E63">
        <f>IF(E$2=0,"",IFERROR(TRIM(INDEX('Pegar estudiantes'!$A$1:$BZ$1001,62,E$2)&amp;""),""))</f>
        <v/>
      </c>
      <c r="F63">
        <f>IF(F$2=0,"",IFERROR(TRIM(INDEX('Pegar estudiantes'!$A$1:$BZ$1001,62,F$2)&amp;""),""))</f>
        <v/>
      </c>
      <c r="G63">
        <f>IF(G$2=0,"",IFERROR(TRIM(INDEX('Pegar estudiantes'!$A$1:$BZ$1001,62,G$2)&amp;""),""))</f>
        <v/>
      </c>
      <c r="H63">
        <f>IF(H$2=0,"",IFERROR(TRIM(INDEX('Pegar estudiantes'!$A$1:$BZ$1001,62,H$2)&amp;""),""))</f>
        <v/>
      </c>
      <c r="I63">
        <f>IF(I$2=0,"",IFERROR(TRIM(INDEX('Pegar estudiantes'!$A$1:$BZ$1001,62,I$2)&amp;""),""))</f>
        <v/>
      </c>
      <c r="J63">
        <f>IF(J$2=0,"",IFERROR(TRIM(INDEX('Pegar estudiantes'!$A$1:$BZ$1001,62,J$2)&amp;""),""))</f>
        <v/>
      </c>
      <c r="K63">
        <f>IF(K$2=0,"",IFERROR(TRIM(INDEX('Pegar estudiantes'!$A$1:$BZ$1001,62,K$2)&amp;""),""))</f>
        <v/>
      </c>
      <c r="L63" s="25">
        <f>IF(A63&lt;&gt;"",1,"")</f>
        <v/>
      </c>
      <c r="M63" s="25">
        <f>IF(L63=1,IF(ISNUMBER(FIND("#"&amp;MID(A63,1,1)&amp;"#","#0#1#2#3#4#5#6#7#8#9#")),IF(ISNUMBER(FIND("#"&amp;MID(A63,2,1)&amp;"#","#0#1#2#3#4#5#6#7#8#9#")),IF(AND(VALUE(LEFT(A63,2))&gt;=1,VALUE(LEFT(A63,2))&lt;=5),VALUE(LEFT(A63,2)),""),IF(AND(VALUE(LEFT(A63,1))&gt;=1,VALUE(LEFT(A63,1))&lt;=5),VALUE(LEFT(A63,1)),"")),""),"")</f>
        <v/>
      </c>
      <c r="N63" s="25">
        <f>IF(L63=1,IF(ISNUMBER(FIND("#"&amp;MID(H63,1,1)&amp;"#","#0#1#2#3#4#5#6#7#8#9#")),IF(ISNUMBER(FIND("#"&amp;MID(H63,2,1)&amp;"#","#0#1#2#3#4#5#6#7#8#9#")),IF(AND(VALUE(LEFT(H63,2))&gt;=1,VALUE(LEFT(H63,2))&lt;=5),VALUE(LEFT(H63,2)),""),IF(AND(VALUE(LEFT(H63,1))&gt;=1,VALUE(LEFT(H63,1))&lt;=5),VALUE(LEFT(H63,1)),"")),""),"")</f>
        <v/>
      </c>
      <c r="O63" s="25">
        <f>IF(AND(L63=1,B63&lt;&gt;""),SUBSTITUTE(SUBSTITUTE(SUBSTITUTE(SUBSTITUTE(SUBSTITUTE(SUBSTITUTE(SUBSTITUTE(SUBSTITUTE(SUBSTITUTE(SUBSTITUTE(SUBSTITUTE(SUBSTITUTE(LOWER(TRIM(B63)),"á","a"),"é","e"),"í","i"),"ó","o"),"ú","u"),"ü","u"),"ñ","n"),"à","a"),"è","e"),"ì","i"),"ò","o"),"ù","u"),"")</f>
        <v/>
      </c>
      <c r="P63" s="25">
        <f>IF(AND(L63=1,C63&lt;&gt;""),SUBSTITUTE(SUBSTITUTE(SUBSTITUTE(SUBSTITUTE(SUBSTITUTE(SUBSTITUTE(SUBSTITUTE(SUBSTITUTE(SUBSTITUTE(SUBSTITUTE(SUBSTITUTE(SUBSTITUTE(LOWER(TRIM(C63)),"á","a"),"é","e"),"í","i"),"ó","o"),"ú","u"),"ü","u"),"ñ","n"),"à","a"),"è","e"),"ì","i"),"ò","o"),"ù","u"),"")</f>
        <v/>
      </c>
      <c r="Q63" s="25">
        <f>IF(AND(L63=1,E63&lt;&gt;""),SUBSTITUTE(SUBSTITUTE(SUBSTITUTE(SUBSTITUTE(SUBSTITUTE(SUBSTITUTE(SUBSTITUTE(SUBSTITUTE(SUBSTITUTE(SUBSTITUTE(SUBSTITUTE(SUBSTITUTE(LOWER(TRIM(E63)),"á","a"),"é","e"),"í","i"),"ó","o"),"ú","u"),"ü","u"),"ñ","n"),"à","a"),"è","e"),"ì","i"),"ò","o"),"ù","u"),"")</f>
        <v/>
      </c>
      <c r="R63" s="25">
        <f>IF(AND(L63=1,I63&lt;&gt;""),SUBSTITUTE(SUBSTITUTE(SUBSTITUTE(SUBSTITUTE(SUBSTITUTE(SUBSTITUTE(SUBSTITUTE(SUBSTITUTE(SUBSTITUTE(SUBSTITUTE(SUBSTITUTE(SUBSTITUTE(LOWER(TRIM(I63)),"á","a"),"é","e"),"í","i"),"ó","o"),"ú","u"),"ü","u"),"ñ","n"),"à","a"),"è","e"),"ì","i"),"ò","o"),"ù","u"),"")</f>
        <v/>
      </c>
      <c r="S63" s="25">
        <f>IF(R63="","",IF(OR(R63="si",R63="tal vez"),1,0))</f>
        <v/>
      </c>
      <c r="T63" s="25">
        <f>IF(AND(L63=1,D63&lt;&gt;""),IF(IFERROR(COUNTIFS(D$3:D63,"="&amp;SUBSTITUTE(SUBSTITUTE(SUBSTITUTE(D63,"~","~~"),"*","~*"),"?","~?"),L$3:L63,1),0)=1,MAX(T$2:T62)+1,""),"")</f>
        <v/>
      </c>
      <c r="U63" s="25">
        <f>IF(T63="","",COUNTIFS($D$3:$D$1002,"="&amp;SUBSTITUTE(SUBSTITUTE(SUBSTITUTE(D63,"~","~~"),"*","~*"),"?","~?"),$L$3:$L$1002,1)*10000-T63)</f>
        <v/>
      </c>
      <c r="V63" s="25">
        <f>IF(AND(L63=1,J63&lt;&gt;""),IF(IFERROR(COUNTIFS(J$3:J63,"="&amp;SUBSTITUTE(SUBSTITUTE(SUBSTITUTE(J63,"~","~~"),"*","~*"),"?","~?"),L$3:L63,1),0)=1,MAX(V$2:V62)+1,""),"")</f>
        <v/>
      </c>
      <c r="W63" s="25">
        <f>IF(V63="","",COUNTIFS($J$3:$J$1002,"="&amp;SUBSTITUTE(SUBSTITUTE(SUBSTITUTE(J63,"~","~~"),"*","~*"),"?","~?"),$L$3:$L$1002,1)*10000-V63)</f>
        <v/>
      </c>
    </row>
    <row r="64">
      <c r="A64">
        <f>IF(A$2=0,"",IFERROR(TRIM(INDEX('Pegar estudiantes'!$A$1:$BZ$1001,63,A$2)&amp;""),""))</f>
        <v/>
      </c>
      <c r="B64">
        <f>IF(B$2=0,"",IFERROR(TRIM(INDEX('Pegar estudiantes'!$A$1:$BZ$1001,63,B$2)&amp;""),""))</f>
        <v/>
      </c>
      <c r="C64">
        <f>IF(C$2=0,"",IFERROR(TRIM(INDEX('Pegar estudiantes'!$A$1:$BZ$1001,63,C$2)&amp;""),""))</f>
        <v/>
      </c>
      <c r="D64">
        <f>IF(D$2=0,"",IFERROR(TRIM(INDEX('Pegar estudiantes'!$A$1:$BZ$1001,63,D$2)&amp;""),""))</f>
        <v/>
      </c>
      <c r="E64">
        <f>IF(E$2=0,"",IFERROR(TRIM(INDEX('Pegar estudiantes'!$A$1:$BZ$1001,63,E$2)&amp;""),""))</f>
        <v/>
      </c>
      <c r="F64">
        <f>IF(F$2=0,"",IFERROR(TRIM(INDEX('Pegar estudiantes'!$A$1:$BZ$1001,63,F$2)&amp;""),""))</f>
        <v/>
      </c>
      <c r="G64">
        <f>IF(G$2=0,"",IFERROR(TRIM(INDEX('Pegar estudiantes'!$A$1:$BZ$1001,63,G$2)&amp;""),""))</f>
        <v/>
      </c>
      <c r="H64">
        <f>IF(H$2=0,"",IFERROR(TRIM(INDEX('Pegar estudiantes'!$A$1:$BZ$1001,63,H$2)&amp;""),""))</f>
        <v/>
      </c>
      <c r="I64">
        <f>IF(I$2=0,"",IFERROR(TRIM(INDEX('Pegar estudiantes'!$A$1:$BZ$1001,63,I$2)&amp;""),""))</f>
        <v/>
      </c>
      <c r="J64">
        <f>IF(J$2=0,"",IFERROR(TRIM(INDEX('Pegar estudiantes'!$A$1:$BZ$1001,63,J$2)&amp;""),""))</f>
        <v/>
      </c>
      <c r="K64">
        <f>IF(K$2=0,"",IFERROR(TRIM(INDEX('Pegar estudiantes'!$A$1:$BZ$1001,63,K$2)&amp;""),""))</f>
        <v/>
      </c>
      <c r="L64" s="25">
        <f>IF(A64&lt;&gt;"",1,"")</f>
        <v/>
      </c>
      <c r="M64" s="25">
        <f>IF(L64=1,IF(ISNUMBER(FIND("#"&amp;MID(A64,1,1)&amp;"#","#0#1#2#3#4#5#6#7#8#9#")),IF(ISNUMBER(FIND("#"&amp;MID(A64,2,1)&amp;"#","#0#1#2#3#4#5#6#7#8#9#")),IF(AND(VALUE(LEFT(A64,2))&gt;=1,VALUE(LEFT(A64,2))&lt;=5),VALUE(LEFT(A64,2)),""),IF(AND(VALUE(LEFT(A64,1))&gt;=1,VALUE(LEFT(A64,1))&lt;=5),VALUE(LEFT(A64,1)),"")),""),"")</f>
        <v/>
      </c>
      <c r="N64" s="25">
        <f>IF(L64=1,IF(ISNUMBER(FIND("#"&amp;MID(H64,1,1)&amp;"#","#0#1#2#3#4#5#6#7#8#9#")),IF(ISNUMBER(FIND("#"&amp;MID(H64,2,1)&amp;"#","#0#1#2#3#4#5#6#7#8#9#")),IF(AND(VALUE(LEFT(H64,2))&gt;=1,VALUE(LEFT(H64,2))&lt;=5),VALUE(LEFT(H64,2)),""),IF(AND(VALUE(LEFT(H64,1))&gt;=1,VALUE(LEFT(H64,1))&lt;=5),VALUE(LEFT(H64,1)),"")),""),"")</f>
        <v/>
      </c>
      <c r="O64" s="25">
        <f>IF(AND(L64=1,B64&lt;&gt;""),SUBSTITUTE(SUBSTITUTE(SUBSTITUTE(SUBSTITUTE(SUBSTITUTE(SUBSTITUTE(SUBSTITUTE(SUBSTITUTE(SUBSTITUTE(SUBSTITUTE(SUBSTITUTE(SUBSTITUTE(LOWER(TRIM(B64)),"á","a"),"é","e"),"í","i"),"ó","o"),"ú","u"),"ü","u"),"ñ","n"),"à","a"),"è","e"),"ì","i"),"ò","o"),"ù","u"),"")</f>
        <v/>
      </c>
      <c r="P64" s="25">
        <f>IF(AND(L64=1,C64&lt;&gt;""),SUBSTITUTE(SUBSTITUTE(SUBSTITUTE(SUBSTITUTE(SUBSTITUTE(SUBSTITUTE(SUBSTITUTE(SUBSTITUTE(SUBSTITUTE(SUBSTITUTE(SUBSTITUTE(SUBSTITUTE(LOWER(TRIM(C64)),"á","a"),"é","e"),"í","i"),"ó","o"),"ú","u"),"ü","u"),"ñ","n"),"à","a"),"è","e"),"ì","i"),"ò","o"),"ù","u"),"")</f>
        <v/>
      </c>
      <c r="Q64" s="25">
        <f>IF(AND(L64=1,E64&lt;&gt;""),SUBSTITUTE(SUBSTITUTE(SUBSTITUTE(SUBSTITUTE(SUBSTITUTE(SUBSTITUTE(SUBSTITUTE(SUBSTITUTE(SUBSTITUTE(SUBSTITUTE(SUBSTITUTE(SUBSTITUTE(LOWER(TRIM(E64)),"á","a"),"é","e"),"í","i"),"ó","o"),"ú","u"),"ü","u"),"ñ","n"),"à","a"),"è","e"),"ì","i"),"ò","o"),"ù","u"),"")</f>
        <v/>
      </c>
      <c r="R64" s="25">
        <f>IF(AND(L64=1,I64&lt;&gt;""),SUBSTITUTE(SUBSTITUTE(SUBSTITUTE(SUBSTITUTE(SUBSTITUTE(SUBSTITUTE(SUBSTITUTE(SUBSTITUTE(SUBSTITUTE(SUBSTITUTE(SUBSTITUTE(SUBSTITUTE(LOWER(TRIM(I64)),"á","a"),"é","e"),"í","i"),"ó","o"),"ú","u"),"ü","u"),"ñ","n"),"à","a"),"è","e"),"ì","i"),"ò","o"),"ù","u"),"")</f>
        <v/>
      </c>
      <c r="S64" s="25">
        <f>IF(R64="","",IF(OR(R64="si",R64="tal vez"),1,0))</f>
        <v/>
      </c>
      <c r="T64" s="25">
        <f>IF(AND(L64=1,D64&lt;&gt;""),IF(IFERROR(COUNTIFS(D$3:D64,"="&amp;SUBSTITUTE(SUBSTITUTE(SUBSTITUTE(D64,"~","~~"),"*","~*"),"?","~?"),L$3:L64,1),0)=1,MAX(T$2:T63)+1,""),"")</f>
        <v/>
      </c>
      <c r="U64" s="25">
        <f>IF(T64="","",COUNTIFS($D$3:$D$1002,"="&amp;SUBSTITUTE(SUBSTITUTE(SUBSTITUTE(D64,"~","~~"),"*","~*"),"?","~?"),$L$3:$L$1002,1)*10000-T64)</f>
        <v/>
      </c>
      <c r="V64" s="25">
        <f>IF(AND(L64=1,J64&lt;&gt;""),IF(IFERROR(COUNTIFS(J$3:J64,"="&amp;SUBSTITUTE(SUBSTITUTE(SUBSTITUTE(J64,"~","~~"),"*","~*"),"?","~?"),L$3:L64,1),0)=1,MAX(V$2:V63)+1,""),"")</f>
        <v/>
      </c>
      <c r="W64" s="25">
        <f>IF(V64="","",COUNTIFS($J$3:$J$1002,"="&amp;SUBSTITUTE(SUBSTITUTE(SUBSTITUTE(J64,"~","~~"),"*","~*"),"?","~?"),$L$3:$L$1002,1)*10000-V64)</f>
        <v/>
      </c>
    </row>
    <row r="65">
      <c r="A65">
        <f>IF(A$2=0,"",IFERROR(TRIM(INDEX('Pegar estudiantes'!$A$1:$BZ$1001,64,A$2)&amp;""),""))</f>
        <v/>
      </c>
      <c r="B65">
        <f>IF(B$2=0,"",IFERROR(TRIM(INDEX('Pegar estudiantes'!$A$1:$BZ$1001,64,B$2)&amp;""),""))</f>
        <v/>
      </c>
      <c r="C65">
        <f>IF(C$2=0,"",IFERROR(TRIM(INDEX('Pegar estudiantes'!$A$1:$BZ$1001,64,C$2)&amp;""),""))</f>
        <v/>
      </c>
      <c r="D65">
        <f>IF(D$2=0,"",IFERROR(TRIM(INDEX('Pegar estudiantes'!$A$1:$BZ$1001,64,D$2)&amp;""),""))</f>
        <v/>
      </c>
      <c r="E65">
        <f>IF(E$2=0,"",IFERROR(TRIM(INDEX('Pegar estudiantes'!$A$1:$BZ$1001,64,E$2)&amp;""),""))</f>
        <v/>
      </c>
      <c r="F65">
        <f>IF(F$2=0,"",IFERROR(TRIM(INDEX('Pegar estudiantes'!$A$1:$BZ$1001,64,F$2)&amp;""),""))</f>
        <v/>
      </c>
      <c r="G65">
        <f>IF(G$2=0,"",IFERROR(TRIM(INDEX('Pegar estudiantes'!$A$1:$BZ$1001,64,G$2)&amp;""),""))</f>
        <v/>
      </c>
      <c r="H65">
        <f>IF(H$2=0,"",IFERROR(TRIM(INDEX('Pegar estudiantes'!$A$1:$BZ$1001,64,H$2)&amp;""),""))</f>
        <v/>
      </c>
      <c r="I65">
        <f>IF(I$2=0,"",IFERROR(TRIM(INDEX('Pegar estudiantes'!$A$1:$BZ$1001,64,I$2)&amp;""),""))</f>
        <v/>
      </c>
      <c r="J65">
        <f>IF(J$2=0,"",IFERROR(TRIM(INDEX('Pegar estudiantes'!$A$1:$BZ$1001,64,J$2)&amp;""),""))</f>
        <v/>
      </c>
      <c r="K65">
        <f>IF(K$2=0,"",IFERROR(TRIM(INDEX('Pegar estudiantes'!$A$1:$BZ$1001,64,K$2)&amp;""),""))</f>
        <v/>
      </c>
      <c r="L65" s="25">
        <f>IF(A65&lt;&gt;"",1,"")</f>
        <v/>
      </c>
      <c r="M65" s="25">
        <f>IF(L65=1,IF(ISNUMBER(FIND("#"&amp;MID(A65,1,1)&amp;"#","#0#1#2#3#4#5#6#7#8#9#")),IF(ISNUMBER(FIND("#"&amp;MID(A65,2,1)&amp;"#","#0#1#2#3#4#5#6#7#8#9#")),IF(AND(VALUE(LEFT(A65,2))&gt;=1,VALUE(LEFT(A65,2))&lt;=5),VALUE(LEFT(A65,2)),""),IF(AND(VALUE(LEFT(A65,1))&gt;=1,VALUE(LEFT(A65,1))&lt;=5),VALUE(LEFT(A65,1)),"")),""),"")</f>
        <v/>
      </c>
      <c r="N65" s="25">
        <f>IF(L65=1,IF(ISNUMBER(FIND("#"&amp;MID(H65,1,1)&amp;"#","#0#1#2#3#4#5#6#7#8#9#")),IF(ISNUMBER(FIND("#"&amp;MID(H65,2,1)&amp;"#","#0#1#2#3#4#5#6#7#8#9#")),IF(AND(VALUE(LEFT(H65,2))&gt;=1,VALUE(LEFT(H65,2))&lt;=5),VALUE(LEFT(H65,2)),""),IF(AND(VALUE(LEFT(H65,1))&gt;=1,VALUE(LEFT(H65,1))&lt;=5),VALUE(LEFT(H65,1)),"")),""),"")</f>
        <v/>
      </c>
      <c r="O65" s="25">
        <f>IF(AND(L65=1,B65&lt;&gt;""),SUBSTITUTE(SUBSTITUTE(SUBSTITUTE(SUBSTITUTE(SUBSTITUTE(SUBSTITUTE(SUBSTITUTE(SUBSTITUTE(SUBSTITUTE(SUBSTITUTE(SUBSTITUTE(SUBSTITUTE(LOWER(TRIM(B65)),"á","a"),"é","e"),"í","i"),"ó","o"),"ú","u"),"ü","u"),"ñ","n"),"à","a"),"è","e"),"ì","i"),"ò","o"),"ù","u"),"")</f>
        <v/>
      </c>
      <c r="P65" s="25">
        <f>IF(AND(L65=1,C65&lt;&gt;""),SUBSTITUTE(SUBSTITUTE(SUBSTITUTE(SUBSTITUTE(SUBSTITUTE(SUBSTITUTE(SUBSTITUTE(SUBSTITUTE(SUBSTITUTE(SUBSTITUTE(SUBSTITUTE(SUBSTITUTE(LOWER(TRIM(C65)),"á","a"),"é","e"),"í","i"),"ó","o"),"ú","u"),"ü","u"),"ñ","n"),"à","a"),"è","e"),"ì","i"),"ò","o"),"ù","u"),"")</f>
        <v/>
      </c>
      <c r="Q65" s="25">
        <f>IF(AND(L65=1,E65&lt;&gt;""),SUBSTITUTE(SUBSTITUTE(SUBSTITUTE(SUBSTITUTE(SUBSTITUTE(SUBSTITUTE(SUBSTITUTE(SUBSTITUTE(SUBSTITUTE(SUBSTITUTE(SUBSTITUTE(SUBSTITUTE(LOWER(TRIM(E65)),"á","a"),"é","e"),"í","i"),"ó","o"),"ú","u"),"ü","u"),"ñ","n"),"à","a"),"è","e"),"ì","i"),"ò","o"),"ù","u"),"")</f>
        <v/>
      </c>
      <c r="R65" s="25">
        <f>IF(AND(L65=1,I65&lt;&gt;""),SUBSTITUTE(SUBSTITUTE(SUBSTITUTE(SUBSTITUTE(SUBSTITUTE(SUBSTITUTE(SUBSTITUTE(SUBSTITUTE(SUBSTITUTE(SUBSTITUTE(SUBSTITUTE(SUBSTITUTE(LOWER(TRIM(I65)),"á","a"),"é","e"),"í","i"),"ó","o"),"ú","u"),"ü","u"),"ñ","n"),"à","a"),"è","e"),"ì","i"),"ò","o"),"ù","u"),"")</f>
        <v/>
      </c>
      <c r="S65" s="25">
        <f>IF(R65="","",IF(OR(R65="si",R65="tal vez"),1,0))</f>
        <v/>
      </c>
      <c r="T65" s="25">
        <f>IF(AND(L65=1,D65&lt;&gt;""),IF(IFERROR(COUNTIFS(D$3:D65,"="&amp;SUBSTITUTE(SUBSTITUTE(SUBSTITUTE(D65,"~","~~"),"*","~*"),"?","~?"),L$3:L65,1),0)=1,MAX(T$2:T64)+1,""),"")</f>
        <v/>
      </c>
      <c r="U65" s="25">
        <f>IF(T65="","",COUNTIFS($D$3:$D$1002,"="&amp;SUBSTITUTE(SUBSTITUTE(SUBSTITUTE(D65,"~","~~"),"*","~*"),"?","~?"),$L$3:$L$1002,1)*10000-T65)</f>
        <v/>
      </c>
      <c r="V65" s="25">
        <f>IF(AND(L65=1,J65&lt;&gt;""),IF(IFERROR(COUNTIFS(J$3:J65,"="&amp;SUBSTITUTE(SUBSTITUTE(SUBSTITUTE(J65,"~","~~"),"*","~*"),"?","~?"),L$3:L65,1),0)=1,MAX(V$2:V64)+1,""),"")</f>
        <v/>
      </c>
      <c r="W65" s="25">
        <f>IF(V65="","",COUNTIFS($J$3:$J$1002,"="&amp;SUBSTITUTE(SUBSTITUTE(SUBSTITUTE(J65,"~","~~"),"*","~*"),"?","~?"),$L$3:$L$1002,1)*10000-V65)</f>
        <v/>
      </c>
    </row>
    <row r="66">
      <c r="A66">
        <f>IF(A$2=0,"",IFERROR(TRIM(INDEX('Pegar estudiantes'!$A$1:$BZ$1001,65,A$2)&amp;""),""))</f>
        <v/>
      </c>
      <c r="B66">
        <f>IF(B$2=0,"",IFERROR(TRIM(INDEX('Pegar estudiantes'!$A$1:$BZ$1001,65,B$2)&amp;""),""))</f>
        <v/>
      </c>
      <c r="C66">
        <f>IF(C$2=0,"",IFERROR(TRIM(INDEX('Pegar estudiantes'!$A$1:$BZ$1001,65,C$2)&amp;""),""))</f>
        <v/>
      </c>
      <c r="D66">
        <f>IF(D$2=0,"",IFERROR(TRIM(INDEX('Pegar estudiantes'!$A$1:$BZ$1001,65,D$2)&amp;""),""))</f>
        <v/>
      </c>
      <c r="E66">
        <f>IF(E$2=0,"",IFERROR(TRIM(INDEX('Pegar estudiantes'!$A$1:$BZ$1001,65,E$2)&amp;""),""))</f>
        <v/>
      </c>
      <c r="F66">
        <f>IF(F$2=0,"",IFERROR(TRIM(INDEX('Pegar estudiantes'!$A$1:$BZ$1001,65,F$2)&amp;""),""))</f>
        <v/>
      </c>
      <c r="G66">
        <f>IF(G$2=0,"",IFERROR(TRIM(INDEX('Pegar estudiantes'!$A$1:$BZ$1001,65,G$2)&amp;""),""))</f>
        <v/>
      </c>
      <c r="H66">
        <f>IF(H$2=0,"",IFERROR(TRIM(INDEX('Pegar estudiantes'!$A$1:$BZ$1001,65,H$2)&amp;""),""))</f>
        <v/>
      </c>
      <c r="I66">
        <f>IF(I$2=0,"",IFERROR(TRIM(INDEX('Pegar estudiantes'!$A$1:$BZ$1001,65,I$2)&amp;""),""))</f>
        <v/>
      </c>
      <c r="J66">
        <f>IF(J$2=0,"",IFERROR(TRIM(INDEX('Pegar estudiantes'!$A$1:$BZ$1001,65,J$2)&amp;""),""))</f>
        <v/>
      </c>
      <c r="K66">
        <f>IF(K$2=0,"",IFERROR(TRIM(INDEX('Pegar estudiantes'!$A$1:$BZ$1001,65,K$2)&amp;""),""))</f>
        <v/>
      </c>
      <c r="L66" s="25">
        <f>IF(A66&lt;&gt;"",1,"")</f>
        <v/>
      </c>
      <c r="M66" s="25">
        <f>IF(L66=1,IF(ISNUMBER(FIND("#"&amp;MID(A66,1,1)&amp;"#","#0#1#2#3#4#5#6#7#8#9#")),IF(ISNUMBER(FIND("#"&amp;MID(A66,2,1)&amp;"#","#0#1#2#3#4#5#6#7#8#9#")),IF(AND(VALUE(LEFT(A66,2))&gt;=1,VALUE(LEFT(A66,2))&lt;=5),VALUE(LEFT(A66,2)),""),IF(AND(VALUE(LEFT(A66,1))&gt;=1,VALUE(LEFT(A66,1))&lt;=5),VALUE(LEFT(A66,1)),"")),""),"")</f>
        <v/>
      </c>
      <c r="N66" s="25">
        <f>IF(L66=1,IF(ISNUMBER(FIND("#"&amp;MID(H66,1,1)&amp;"#","#0#1#2#3#4#5#6#7#8#9#")),IF(ISNUMBER(FIND("#"&amp;MID(H66,2,1)&amp;"#","#0#1#2#3#4#5#6#7#8#9#")),IF(AND(VALUE(LEFT(H66,2))&gt;=1,VALUE(LEFT(H66,2))&lt;=5),VALUE(LEFT(H66,2)),""),IF(AND(VALUE(LEFT(H66,1))&gt;=1,VALUE(LEFT(H66,1))&lt;=5),VALUE(LEFT(H66,1)),"")),""),"")</f>
        <v/>
      </c>
      <c r="O66" s="25">
        <f>IF(AND(L66=1,B66&lt;&gt;""),SUBSTITUTE(SUBSTITUTE(SUBSTITUTE(SUBSTITUTE(SUBSTITUTE(SUBSTITUTE(SUBSTITUTE(SUBSTITUTE(SUBSTITUTE(SUBSTITUTE(SUBSTITUTE(SUBSTITUTE(LOWER(TRIM(B66)),"á","a"),"é","e"),"í","i"),"ó","o"),"ú","u"),"ü","u"),"ñ","n"),"à","a"),"è","e"),"ì","i"),"ò","o"),"ù","u"),"")</f>
        <v/>
      </c>
      <c r="P66" s="25">
        <f>IF(AND(L66=1,C66&lt;&gt;""),SUBSTITUTE(SUBSTITUTE(SUBSTITUTE(SUBSTITUTE(SUBSTITUTE(SUBSTITUTE(SUBSTITUTE(SUBSTITUTE(SUBSTITUTE(SUBSTITUTE(SUBSTITUTE(SUBSTITUTE(LOWER(TRIM(C66)),"á","a"),"é","e"),"í","i"),"ó","o"),"ú","u"),"ü","u"),"ñ","n"),"à","a"),"è","e"),"ì","i"),"ò","o"),"ù","u"),"")</f>
        <v/>
      </c>
      <c r="Q66" s="25">
        <f>IF(AND(L66=1,E66&lt;&gt;""),SUBSTITUTE(SUBSTITUTE(SUBSTITUTE(SUBSTITUTE(SUBSTITUTE(SUBSTITUTE(SUBSTITUTE(SUBSTITUTE(SUBSTITUTE(SUBSTITUTE(SUBSTITUTE(SUBSTITUTE(LOWER(TRIM(E66)),"á","a"),"é","e"),"í","i"),"ó","o"),"ú","u"),"ü","u"),"ñ","n"),"à","a"),"è","e"),"ì","i"),"ò","o"),"ù","u"),"")</f>
        <v/>
      </c>
      <c r="R66" s="25">
        <f>IF(AND(L66=1,I66&lt;&gt;""),SUBSTITUTE(SUBSTITUTE(SUBSTITUTE(SUBSTITUTE(SUBSTITUTE(SUBSTITUTE(SUBSTITUTE(SUBSTITUTE(SUBSTITUTE(SUBSTITUTE(SUBSTITUTE(SUBSTITUTE(LOWER(TRIM(I66)),"á","a"),"é","e"),"í","i"),"ó","o"),"ú","u"),"ü","u"),"ñ","n"),"à","a"),"è","e"),"ì","i"),"ò","o"),"ù","u"),"")</f>
        <v/>
      </c>
      <c r="S66" s="25">
        <f>IF(R66="","",IF(OR(R66="si",R66="tal vez"),1,0))</f>
        <v/>
      </c>
      <c r="T66" s="25">
        <f>IF(AND(L66=1,D66&lt;&gt;""),IF(IFERROR(COUNTIFS(D$3:D66,"="&amp;SUBSTITUTE(SUBSTITUTE(SUBSTITUTE(D66,"~","~~"),"*","~*"),"?","~?"),L$3:L66,1),0)=1,MAX(T$2:T65)+1,""),"")</f>
        <v/>
      </c>
      <c r="U66" s="25">
        <f>IF(T66="","",COUNTIFS($D$3:$D$1002,"="&amp;SUBSTITUTE(SUBSTITUTE(SUBSTITUTE(D66,"~","~~"),"*","~*"),"?","~?"),$L$3:$L$1002,1)*10000-T66)</f>
        <v/>
      </c>
      <c r="V66" s="25">
        <f>IF(AND(L66=1,J66&lt;&gt;""),IF(IFERROR(COUNTIFS(J$3:J66,"="&amp;SUBSTITUTE(SUBSTITUTE(SUBSTITUTE(J66,"~","~~"),"*","~*"),"?","~?"),L$3:L66,1),0)=1,MAX(V$2:V65)+1,""),"")</f>
        <v/>
      </c>
      <c r="W66" s="25">
        <f>IF(V66="","",COUNTIFS($J$3:$J$1002,"="&amp;SUBSTITUTE(SUBSTITUTE(SUBSTITUTE(J66,"~","~~"),"*","~*"),"?","~?"),$L$3:$L$1002,1)*10000-V66)</f>
        <v/>
      </c>
    </row>
    <row r="67">
      <c r="A67">
        <f>IF(A$2=0,"",IFERROR(TRIM(INDEX('Pegar estudiantes'!$A$1:$BZ$1001,66,A$2)&amp;""),""))</f>
        <v/>
      </c>
      <c r="B67">
        <f>IF(B$2=0,"",IFERROR(TRIM(INDEX('Pegar estudiantes'!$A$1:$BZ$1001,66,B$2)&amp;""),""))</f>
        <v/>
      </c>
      <c r="C67">
        <f>IF(C$2=0,"",IFERROR(TRIM(INDEX('Pegar estudiantes'!$A$1:$BZ$1001,66,C$2)&amp;""),""))</f>
        <v/>
      </c>
      <c r="D67">
        <f>IF(D$2=0,"",IFERROR(TRIM(INDEX('Pegar estudiantes'!$A$1:$BZ$1001,66,D$2)&amp;""),""))</f>
        <v/>
      </c>
      <c r="E67">
        <f>IF(E$2=0,"",IFERROR(TRIM(INDEX('Pegar estudiantes'!$A$1:$BZ$1001,66,E$2)&amp;""),""))</f>
        <v/>
      </c>
      <c r="F67">
        <f>IF(F$2=0,"",IFERROR(TRIM(INDEX('Pegar estudiantes'!$A$1:$BZ$1001,66,F$2)&amp;""),""))</f>
        <v/>
      </c>
      <c r="G67">
        <f>IF(G$2=0,"",IFERROR(TRIM(INDEX('Pegar estudiantes'!$A$1:$BZ$1001,66,G$2)&amp;""),""))</f>
        <v/>
      </c>
      <c r="H67">
        <f>IF(H$2=0,"",IFERROR(TRIM(INDEX('Pegar estudiantes'!$A$1:$BZ$1001,66,H$2)&amp;""),""))</f>
        <v/>
      </c>
      <c r="I67">
        <f>IF(I$2=0,"",IFERROR(TRIM(INDEX('Pegar estudiantes'!$A$1:$BZ$1001,66,I$2)&amp;""),""))</f>
        <v/>
      </c>
      <c r="J67">
        <f>IF(J$2=0,"",IFERROR(TRIM(INDEX('Pegar estudiantes'!$A$1:$BZ$1001,66,J$2)&amp;""),""))</f>
        <v/>
      </c>
      <c r="K67">
        <f>IF(K$2=0,"",IFERROR(TRIM(INDEX('Pegar estudiantes'!$A$1:$BZ$1001,66,K$2)&amp;""),""))</f>
        <v/>
      </c>
      <c r="L67" s="25">
        <f>IF(A67&lt;&gt;"",1,"")</f>
        <v/>
      </c>
      <c r="M67" s="25">
        <f>IF(L67=1,IF(ISNUMBER(FIND("#"&amp;MID(A67,1,1)&amp;"#","#0#1#2#3#4#5#6#7#8#9#")),IF(ISNUMBER(FIND("#"&amp;MID(A67,2,1)&amp;"#","#0#1#2#3#4#5#6#7#8#9#")),IF(AND(VALUE(LEFT(A67,2))&gt;=1,VALUE(LEFT(A67,2))&lt;=5),VALUE(LEFT(A67,2)),""),IF(AND(VALUE(LEFT(A67,1))&gt;=1,VALUE(LEFT(A67,1))&lt;=5),VALUE(LEFT(A67,1)),"")),""),"")</f>
        <v/>
      </c>
      <c r="N67" s="25">
        <f>IF(L67=1,IF(ISNUMBER(FIND("#"&amp;MID(H67,1,1)&amp;"#","#0#1#2#3#4#5#6#7#8#9#")),IF(ISNUMBER(FIND("#"&amp;MID(H67,2,1)&amp;"#","#0#1#2#3#4#5#6#7#8#9#")),IF(AND(VALUE(LEFT(H67,2))&gt;=1,VALUE(LEFT(H67,2))&lt;=5),VALUE(LEFT(H67,2)),""),IF(AND(VALUE(LEFT(H67,1))&gt;=1,VALUE(LEFT(H67,1))&lt;=5),VALUE(LEFT(H67,1)),"")),""),"")</f>
        <v/>
      </c>
      <c r="O67" s="25">
        <f>IF(AND(L67=1,B67&lt;&gt;""),SUBSTITUTE(SUBSTITUTE(SUBSTITUTE(SUBSTITUTE(SUBSTITUTE(SUBSTITUTE(SUBSTITUTE(SUBSTITUTE(SUBSTITUTE(SUBSTITUTE(SUBSTITUTE(SUBSTITUTE(LOWER(TRIM(B67)),"á","a"),"é","e"),"í","i"),"ó","o"),"ú","u"),"ü","u"),"ñ","n"),"à","a"),"è","e"),"ì","i"),"ò","o"),"ù","u"),"")</f>
        <v/>
      </c>
      <c r="P67" s="25">
        <f>IF(AND(L67=1,C67&lt;&gt;""),SUBSTITUTE(SUBSTITUTE(SUBSTITUTE(SUBSTITUTE(SUBSTITUTE(SUBSTITUTE(SUBSTITUTE(SUBSTITUTE(SUBSTITUTE(SUBSTITUTE(SUBSTITUTE(SUBSTITUTE(LOWER(TRIM(C67)),"á","a"),"é","e"),"í","i"),"ó","o"),"ú","u"),"ü","u"),"ñ","n"),"à","a"),"è","e"),"ì","i"),"ò","o"),"ù","u"),"")</f>
        <v/>
      </c>
      <c r="Q67" s="25">
        <f>IF(AND(L67=1,E67&lt;&gt;""),SUBSTITUTE(SUBSTITUTE(SUBSTITUTE(SUBSTITUTE(SUBSTITUTE(SUBSTITUTE(SUBSTITUTE(SUBSTITUTE(SUBSTITUTE(SUBSTITUTE(SUBSTITUTE(SUBSTITUTE(LOWER(TRIM(E67)),"á","a"),"é","e"),"í","i"),"ó","o"),"ú","u"),"ü","u"),"ñ","n"),"à","a"),"è","e"),"ì","i"),"ò","o"),"ù","u"),"")</f>
        <v/>
      </c>
      <c r="R67" s="25">
        <f>IF(AND(L67=1,I67&lt;&gt;""),SUBSTITUTE(SUBSTITUTE(SUBSTITUTE(SUBSTITUTE(SUBSTITUTE(SUBSTITUTE(SUBSTITUTE(SUBSTITUTE(SUBSTITUTE(SUBSTITUTE(SUBSTITUTE(SUBSTITUTE(LOWER(TRIM(I67)),"á","a"),"é","e"),"í","i"),"ó","o"),"ú","u"),"ü","u"),"ñ","n"),"à","a"),"è","e"),"ì","i"),"ò","o"),"ù","u"),"")</f>
        <v/>
      </c>
      <c r="S67" s="25">
        <f>IF(R67="","",IF(OR(R67="si",R67="tal vez"),1,0))</f>
        <v/>
      </c>
      <c r="T67" s="25">
        <f>IF(AND(L67=1,D67&lt;&gt;""),IF(IFERROR(COUNTIFS(D$3:D67,"="&amp;SUBSTITUTE(SUBSTITUTE(SUBSTITUTE(D67,"~","~~"),"*","~*"),"?","~?"),L$3:L67,1),0)=1,MAX(T$2:T66)+1,""),"")</f>
        <v/>
      </c>
      <c r="U67" s="25">
        <f>IF(T67="","",COUNTIFS($D$3:$D$1002,"="&amp;SUBSTITUTE(SUBSTITUTE(SUBSTITUTE(D67,"~","~~"),"*","~*"),"?","~?"),$L$3:$L$1002,1)*10000-T67)</f>
        <v/>
      </c>
      <c r="V67" s="25">
        <f>IF(AND(L67=1,J67&lt;&gt;""),IF(IFERROR(COUNTIFS(J$3:J67,"="&amp;SUBSTITUTE(SUBSTITUTE(SUBSTITUTE(J67,"~","~~"),"*","~*"),"?","~?"),L$3:L67,1),0)=1,MAX(V$2:V66)+1,""),"")</f>
        <v/>
      </c>
      <c r="W67" s="25">
        <f>IF(V67="","",COUNTIFS($J$3:$J$1002,"="&amp;SUBSTITUTE(SUBSTITUTE(SUBSTITUTE(J67,"~","~~"),"*","~*"),"?","~?"),$L$3:$L$1002,1)*10000-V67)</f>
        <v/>
      </c>
    </row>
    <row r="68">
      <c r="A68">
        <f>IF(A$2=0,"",IFERROR(TRIM(INDEX('Pegar estudiantes'!$A$1:$BZ$1001,67,A$2)&amp;""),""))</f>
        <v/>
      </c>
      <c r="B68">
        <f>IF(B$2=0,"",IFERROR(TRIM(INDEX('Pegar estudiantes'!$A$1:$BZ$1001,67,B$2)&amp;""),""))</f>
        <v/>
      </c>
      <c r="C68">
        <f>IF(C$2=0,"",IFERROR(TRIM(INDEX('Pegar estudiantes'!$A$1:$BZ$1001,67,C$2)&amp;""),""))</f>
        <v/>
      </c>
      <c r="D68">
        <f>IF(D$2=0,"",IFERROR(TRIM(INDEX('Pegar estudiantes'!$A$1:$BZ$1001,67,D$2)&amp;""),""))</f>
        <v/>
      </c>
      <c r="E68">
        <f>IF(E$2=0,"",IFERROR(TRIM(INDEX('Pegar estudiantes'!$A$1:$BZ$1001,67,E$2)&amp;""),""))</f>
        <v/>
      </c>
      <c r="F68">
        <f>IF(F$2=0,"",IFERROR(TRIM(INDEX('Pegar estudiantes'!$A$1:$BZ$1001,67,F$2)&amp;""),""))</f>
        <v/>
      </c>
      <c r="G68">
        <f>IF(G$2=0,"",IFERROR(TRIM(INDEX('Pegar estudiantes'!$A$1:$BZ$1001,67,G$2)&amp;""),""))</f>
        <v/>
      </c>
      <c r="H68">
        <f>IF(H$2=0,"",IFERROR(TRIM(INDEX('Pegar estudiantes'!$A$1:$BZ$1001,67,H$2)&amp;""),""))</f>
        <v/>
      </c>
      <c r="I68">
        <f>IF(I$2=0,"",IFERROR(TRIM(INDEX('Pegar estudiantes'!$A$1:$BZ$1001,67,I$2)&amp;""),""))</f>
        <v/>
      </c>
      <c r="J68">
        <f>IF(J$2=0,"",IFERROR(TRIM(INDEX('Pegar estudiantes'!$A$1:$BZ$1001,67,J$2)&amp;""),""))</f>
        <v/>
      </c>
      <c r="K68">
        <f>IF(K$2=0,"",IFERROR(TRIM(INDEX('Pegar estudiantes'!$A$1:$BZ$1001,67,K$2)&amp;""),""))</f>
        <v/>
      </c>
      <c r="L68" s="25">
        <f>IF(A68&lt;&gt;"",1,"")</f>
        <v/>
      </c>
      <c r="M68" s="25">
        <f>IF(L68=1,IF(ISNUMBER(FIND("#"&amp;MID(A68,1,1)&amp;"#","#0#1#2#3#4#5#6#7#8#9#")),IF(ISNUMBER(FIND("#"&amp;MID(A68,2,1)&amp;"#","#0#1#2#3#4#5#6#7#8#9#")),IF(AND(VALUE(LEFT(A68,2))&gt;=1,VALUE(LEFT(A68,2))&lt;=5),VALUE(LEFT(A68,2)),""),IF(AND(VALUE(LEFT(A68,1))&gt;=1,VALUE(LEFT(A68,1))&lt;=5),VALUE(LEFT(A68,1)),"")),""),"")</f>
        <v/>
      </c>
      <c r="N68" s="25">
        <f>IF(L68=1,IF(ISNUMBER(FIND("#"&amp;MID(H68,1,1)&amp;"#","#0#1#2#3#4#5#6#7#8#9#")),IF(ISNUMBER(FIND("#"&amp;MID(H68,2,1)&amp;"#","#0#1#2#3#4#5#6#7#8#9#")),IF(AND(VALUE(LEFT(H68,2))&gt;=1,VALUE(LEFT(H68,2))&lt;=5),VALUE(LEFT(H68,2)),""),IF(AND(VALUE(LEFT(H68,1))&gt;=1,VALUE(LEFT(H68,1))&lt;=5),VALUE(LEFT(H68,1)),"")),""),"")</f>
        <v/>
      </c>
      <c r="O68" s="25">
        <f>IF(AND(L68=1,B68&lt;&gt;""),SUBSTITUTE(SUBSTITUTE(SUBSTITUTE(SUBSTITUTE(SUBSTITUTE(SUBSTITUTE(SUBSTITUTE(SUBSTITUTE(SUBSTITUTE(SUBSTITUTE(SUBSTITUTE(SUBSTITUTE(LOWER(TRIM(B68)),"á","a"),"é","e"),"í","i"),"ó","o"),"ú","u"),"ü","u"),"ñ","n"),"à","a"),"è","e"),"ì","i"),"ò","o"),"ù","u"),"")</f>
        <v/>
      </c>
      <c r="P68" s="25">
        <f>IF(AND(L68=1,C68&lt;&gt;""),SUBSTITUTE(SUBSTITUTE(SUBSTITUTE(SUBSTITUTE(SUBSTITUTE(SUBSTITUTE(SUBSTITUTE(SUBSTITUTE(SUBSTITUTE(SUBSTITUTE(SUBSTITUTE(SUBSTITUTE(LOWER(TRIM(C68)),"á","a"),"é","e"),"í","i"),"ó","o"),"ú","u"),"ü","u"),"ñ","n"),"à","a"),"è","e"),"ì","i"),"ò","o"),"ù","u"),"")</f>
        <v/>
      </c>
      <c r="Q68" s="25">
        <f>IF(AND(L68=1,E68&lt;&gt;""),SUBSTITUTE(SUBSTITUTE(SUBSTITUTE(SUBSTITUTE(SUBSTITUTE(SUBSTITUTE(SUBSTITUTE(SUBSTITUTE(SUBSTITUTE(SUBSTITUTE(SUBSTITUTE(SUBSTITUTE(LOWER(TRIM(E68)),"á","a"),"é","e"),"í","i"),"ó","o"),"ú","u"),"ü","u"),"ñ","n"),"à","a"),"è","e"),"ì","i"),"ò","o"),"ù","u"),"")</f>
        <v/>
      </c>
      <c r="R68" s="25">
        <f>IF(AND(L68=1,I68&lt;&gt;""),SUBSTITUTE(SUBSTITUTE(SUBSTITUTE(SUBSTITUTE(SUBSTITUTE(SUBSTITUTE(SUBSTITUTE(SUBSTITUTE(SUBSTITUTE(SUBSTITUTE(SUBSTITUTE(SUBSTITUTE(LOWER(TRIM(I68)),"á","a"),"é","e"),"í","i"),"ó","o"),"ú","u"),"ü","u"),"ñ","n"),"à","a"),"è","e"),"ì","i"),"ò","o"),"ù","u"),"")</f>
        <v/>
      </c>
      <c r="S68" s="25">
        <f>IF(R68="","",IF(OR(R68="si",R68="tal vez"),1,0))</f>
        <v/>
      </c>
      <c r="T68" s="25">
        <f>IF(AND(L68=1,D68&lt;&gt;""),IF(IFERROR(COUNTIFS(D$3:D68,"="&amp;SUBSTITUTE(SUBSTITUTE(SUBSTITUTE(D68,"~","~~"),"*","~*"),"?","~?"),L$3:L68,1),0)=1,MAX(T$2:T67)+1,""),"")</f>
        <v/>
      </c>
      <c r="U68" s="25">
        <f>IF(T68="","",COUNTIFS($D$3:$D$1002,"="&amp;SUBSTITUTE(SUBSTITUTE(SUBSTITUTE(D68,"~","~~"),"*","~*"),"?","~?"),$L$3:$L$1002,1)*10000-T68)</f>
        <v/>
      </c>
      <c r="V68" s="25">
        <f>IF(AND(L68=1,J68&lt;&gt;""),IF(IFERROR(COUNTIFS(J$3:J68,"="&amp;SUBSTITUTE(SUBSTITUTE(SUBSTITUTE(J68,"~","~~"),"*","~*"),"?","~?"),L$3:L68,1),0)=1,MAX(V$2:V67)+1,""),"")</f>
        <v/>
      </c>
      <c r="W68" s="25">
        <f>IF(V68="","",COUNTIFS($J$3:$J$1002,"="&amp;SUBSTITUTE(SUBSTITUTE(SUBSTITUTE(J68,"~","~~"),"*","~*"),"?","~?"),$L$3:$L$1002,1)*10000-V68)</f>
        <v/>
      </c>
    </row>
    <row r="69">
      <c r="A69">
        <f>IF(A$2=0,"",IFERROR(TRIM(INDEX('Pegar estudiantes'!$A$1:$BZ$1001,68,A$2)&amp;""),""))</f>
        <v/>
      </c>
      <c r="B69">
        <f>IF(B$2=0,"",IFERROR(TRIM(INDEX('Pegar estudiantes'!$A$1:$BZ$1001,68,B$2)&amp;""),""))</f>
        <v/>
      </c>
      <c r="C69">
        <f>IF(C$2=0,"",IFERROR(TRIM(INDEX('Pegar estudiantes'!$A$1:$BZ$1001,68,C$2)&amp;""),""))</f>
        <v/>
      </c>
      <c r="D69">
        <f>IF(D$2=0,"",IFERROR(TRIM(INDEX('Pegar estudiantes'!$A$1:$BZ$1001,68,D$2)&amp;""),""))</f>
        <v/>
      </c>
      <c r="E69">
        <f>IF(E$2=0,"",IFERROR(TRIM(INDEX('Pegar estudiantes'!$A$1:$BZ$1001,68,E$2)&amp;""),""))</f>
        <v/>
      </c>
      <c r="F69">
        <f>IF(F$2=0,"",IFERROR(TRIM(INDEX('Pegar estudiantes'!$A$1:$BZ$1001,68,F$2)&amp;""),""))</f>
        <v/>
      </c>
      <c r="G69">
        <f>IF(G$2=0,"",IFERROR(TRIM(INDEX('Pegar estudiantes'!$A$1:$BZ$1001,68,G$2)&amp;""),""))</f>
        <v/>
      </c>
      <c r="H69">
        <f>IF(H$2=0,"",IFERROR(TRIM(INDEX('Pegar estudiantes'!$A$1:$BZ$1001,68,H$2)&amp;""),""))</f>
        <v/>
      </c>
      <c r="I69">
        <f>IF(I$2=0,"",IFERROR(TRIM(INDEX('Pegar estudiantes'!$A$1:$BZ$1001,68,I$2)&amp;""),""))</f>
        <v/>
      </c>
      <c r="J69">
        <f>IF(J$2=0,"",IFERROR(TRIM(INDEX('Pegar estudiantes'!$A$1:$BZ$1001,68,J$2)&amp;""),""))</f>
        <v/>
      </c>
      <c r="K69">
        <f>IF(K$2=0,"",IFERROR(TRIM(INDEX('Pegar estudiantes'!$A$1:$BZ$1001,68,K$2)&amp;""),""))</f>
        <v/>
      </c>
      <c r="L69" s="25">
        <f>IF(A69&lt;&gt;"",1,"")</f>
        <v/>
      </c>
      <c r="M69" s="25">
        <f>IF(L69=1,IF(ISNUMBER(FIND("#"&amp;MID(A69,1,1)&amp;"#","#0#1#2#3#4#5#6#7#8#9#")),IF(ISNUMBER(FIND("#"&amp;MID(A69,2,1)&amp;"#","#0#1#2#3#4#5#6#7#8#9#")),IF(AND(VALUE(LEFT(A69,2))&gt;=1,VALUE(LEFT(A69,2))&lt;=5),VALUE(LEFT(A69,2)),""),IF(AND(VALUE(LEFT(A69,1))&gt;=1,VALUE(LEFT(A69,1))&lt;=5),VALUE(LEFT(A69,1)),"")),""),"")</f>
        <v/>
      </c>
      <c r="N69" s="25">
        <f>IF(L69=1,IF(ISNUMBER(FIND("#"&amp;MID(H69,1,1)&amp;"#","#0#1#2#3#4#5#6#7#8#9#")),IF(ISNUMBER(FIND("#"&amp;MID(H69,2,1)&amp;"#","#0#1#2#3#4#5#6#7#8#9#")),IF(AND(VALUE(LEFT(H69,2))&gt;=1,VALUE(LEFT(H69,2))&lt;=5),VALUE(LEFT(H69,2)),""),IF(AND(VALUE(LEFT(H69,1))&gt;=1,VALUE(LEFT(H69,1))&lt;=5),VALUE(LEFT(H69,1)),"")),""),"")</f>
        <v/>
      </c>
      <c r="O69" s="25">
        <f>IF(AND(L69=1,B69&lt;&gt;""),SUBSTITUTE(SUBSTITUTE(SUBSTITUTE(SUBSTITUTE(SUBSTITUTE(SUBSTITUTE(SUBSTITUTE(SUBSTITUTE(SUBSTITUTE(SUBSTITUTE(SUBSTITUTE(SUBSTITUTE(LOWER(TRIM(B69)),"á","a"),"é","e"),"í","i"),"ó","o"),"ú","u"),"ü","u"),"ñ","n"),"à","a"),"è","e"),"ì","i"),"ò","o"),"ù","u"),"")</f>
        <v/>
      </c>
      <c r="P69" s="25">
        <f>IF(AND(L69=1,C69&lt;&gt;""),SUBSTITUTE(SUBSTITUTE(SUBSTITUTE(SUBSTITUTE(SUBSTITUTE(SUBSTITUTE(SUBSTITUTE(SUBSTITUTE(SUBSTITUTE(SUBSTITUTE(SUBSTITUTE(SUBSTITUTE(LOWER(TRIM(C69)),"á","a"),"é","e"),"í","i"),"ó","o"),"ú","u"),"ü","u"),"ñ","n"),"à","a"),"è","e"),"ì","i"),"ò","o"),"ù","u"),"")</f>
        <v/>
      </c>
      <c r="Q69" s="25">
        <f>IF(AND(L69=1,E69&lt;&gt;""),SUBSTITUTE(SUBSTITUTE(SUBSTITUTE(SUBSTITUTE(SUBSTITUTE(SUBSTITUTE(SUBSTITUTE(SUBSTITUTE(SUBSTITUTE(SUBSTITUTE(SUBSTITUTE(SUBSTITUTE(LOWER(TRIM(E69)),"á","a"),"é","e"),"í","i"),"ó","o"),"ú","u"),"ü","u"),"ñ","n"),"à","a"),"è","e"),"ì","i"),"ò","o"),"ù","u"),"")</f>
        <v/>
      </c>
      <c r="R69" s="25">
        <f>IF(AND(L69=1,I69&lt;&gt;""),SUBSTITUTE(SUBSTITUTE(SUBSTITUTE(SUBSTITUTE(SUBSTITUTE(SUBSTITUTE(SUBSTITUTE(SUBSTITUTE(SUBSTITUTE(SUBSTITUTE(SUBSTITUTE(SUBSTITUTE(LOWER(TRIM(I69)),"á","a"),"é","e"),"í","i"),"ó","o"),"ú","u"),"ü","u"),"ñ","n"),"à","a"),"è","e"),"ì","i"),"ò","o"),"ù","u"),"")</f>
        <v/>
      </c>
      <c r="S69" s="25">
        <f>IF(R69="","",IF(OR(R69="si",R69="tal vez"),1,0))</f>
        <v/>
      </c>
      <c r="T69" s="25">
        <f>IF(AND(L69=1,D69&lt;&gt;""),IF(IFERROR(COUNTIFS(D$3:D69,"="&amp;SUBSTITUTE(SUBSTITUTE(SUBSTITUTE(D69,"~","~~"),"*","~*"),"?","~?"),L$3:L69,1),0)=1,MAX(T$2:T68)+1,""),"")</f>
        <v/>
      </c>
      <c r="U69" s="25">
        <f>IF(T69="","",COUNTIFS($D$3:$D$1002,"="&amp;SUBSTITUTE(SUBSTITUTE(SUBSTITUTE(D69,"~","~~"),"*","~*"),"?","~?"),$L$3:$L$1002,1)*10000-T69)</f>
        <v/>
      </c>
      <c r="V69" s="25">
        <f>IF(AND(L69=1,J69&lt;&gt;""),IF(IFERROR(COUNTIFS(J$3:J69,"="&amp;SUBSTITUTE(SUBSTITUTE(SUBSTITUTE(J69,"~","~~"),"*","~*"),"?","~?"),L$3:L69,1),0)=1,MAX(V$2:V68)+1,""),"")</f>
        <v/>
      </c>
      <c r="W69" s="25">
        <f>IF(V69="","",COUNTIFS($J$3:$J$1002,"="&amp;SUBSTITUTE(SUBSTITUTE(SUBSTITUTE(J69,"~","~~"),"*","~*"),"?","~?"),$L$3:$L$1002,1)*10000-V69)</f>
        <v/>
      </c>
    </row>
    <row r="70">
      <c r="A70">
        <f>IF(A$2=0,"",IFERROR(TRIM(INDEX('Pegar estudiantes'!$A$1:$BZ$1001,69,A$2)&amp;""),""))</f>
        <v/>
      </c>
      <c r="B70">
        <f>IF(B$2=0,"",IFERROR(TRIM(INDEX('Pegar estudiantes'!$A$1:$BZ$1001,69,B$2)&amp;""),""))</f>
        <v/>
      </c>
      <c r="C70">
        <f>IF(C$2=0,"",IFERROR(TRIM(INDEX('Pegar estudiantes'!$A$1:$BZ$1001,69,C$2)&amp;""),""))</f>
        <v/>
      </c>
      <c r="D70">
        <f>IF(D$2=0,"",IFERROR(TRIM(INDEX('Pegar estudiantes'!$A$1:$BZ$1001,69,D$2)&amp;""),""))</f>
        <v/>
      </c>
      <c r="E70">
        <f>IF(E$2=0,"",IFERROR(TRIM(INDEX('Pegar estudiantes'!$A$1:$BZ$1001,69,E$2)&amp;""),""))</f>
        <v/>
      </c>
      <c r="F70">
        <f>IF(F$2=0,"",IFERROR(TRIM(INDEX('Pegar estudiantes'!$A$1:$BZ$1001,69,F$2)&amp;""),""))</f>
        <v/>
      </c>
      <c r="G70">
        <f>IF(G$2=0,"",IFERROR(TRIM(INDEX('Pegar estudiantes'!$A$1:$BZ$1001,69,G$2)&amp;""),""))</f>
        <v/>
      </c>
      <c r="H70">
        <f>IF(H$2=0,"",IFERROR(TRIM(INDEX('Pegar estudiantes'!$A$1:$BZ$1001,69,H$2)&amp;""),""))</f>
        <v/>
      </c>
      <c r="I70">
        <f>IF(I$2=0,"",IFERROR(TRIM(INDEX('Pegar estudiantes'!$A$1:$BZ$1001,69,I$2)&amp;""),""))</f>
        <v/>
      </c>
      <c r="J70">
        <f>IF(J$2=0,"",IFERROR(TRIM(INDEX('Pegar estudiantes'!$A$1:$BZ$1001,69,J$2)&amp;""),""))</f>
        <v/>
      </c>
      <c r="K70">
        <f>IF(K$2=0,"",IFERROR(TRIM(INDEX('Pegar estudiantes'!$A$1:$BZ$1001,69,K$2)&amp;""),""))</f>
        <v/>
      </c>
      <c r="L70" s="25">
        <f>IF(A70&lt;&gt;"",1,"")</f>
        <v/>
      </c>
      <c r="M70" s="25">
        <f>IF(L70=1,IF(ISNUMBER(FIND("#"&amp;MID(A70,1,1)&amp;"#","#0#1#2#3#4#5#6#7#8#9#")),IF(ISNUMBER(FIND("#"&amp;MID(A70,2,1)&amp;"#","#0#1#2#3#4#5#6#7#8#9#")),IF(AND(VALUE(LEFT(A70,2))&gt;=1,VALUE(LEFT(A70,2))&lt;=5),VALUE(LEFT(A70,2)),""),IF(AND(VALUE(LEFT(A70,1))&gt;=1,VALUE(LEFT(A70,1))&lt;=5),VALUE(LEFT(A70,1)),"")),""),"")</f>
        <v/>
      </c>
      <c r="N70" s="25">
        <f>IF(L70=1,IF(ISNUMBER(FIND("#"&amp;MID(H70,1,1)&amp;"#","#0#1#2#3#4#5#6#7#8#9#")),IF(ISNUMBER(FIND("#"&amp;MID(H70,2,1)&amp;"#","#0#1#2#3#4#5#6#7#8#9#")),IF(AND(VALUE(LEFT(H70,2))&gt;=1,VALUE(LEFT(H70,2))&lt;=5),VALUE(LEFT(H70,2)),""),IF(AND(VALUE(LEFT(H70,1))&gt;=1,VALUE(LEFT(H70,1))&lt;=5),VALUE(LEFT(H70,1)),"")),""),"")</f>
        <v/>
      </c>
      <c r="O70" s="25">
        <f>IF(AND(L70=1,B70&lt;&gt;""),SUBSTITUTE(SUBSTITUTE(SUBSTITUTE(SUBSTITUTE(SUBSTITUTE(SUBSTITUTE(SUBSTITUTE(SUBSTITUTE(SUBSTITUTE(SUBSTITUTE(SUBSTITUTE(SUBSTITUTE(LOWER(TRIM(B70)),"á","a"),"é","e"),"í","i"),"ó","o"),"ú","u"),"ü","u"),"ñ","n"),"à","a"),"è","e"),"ì","i"),"ò","o"),"ù","u"),"")</f>
        <v/>
      </c>
      <c r="P70" s="25">
        <f>IF(AND(L70=1,C70&lt;&gt;""),SUBSTITUTE(SUBSTITUTE(SUBSTITUTE(SUBSTITUTE(SUBSTITUTE(SUBSTITUTE(SUBSTITUTE(SUBSTITUTE(SUBSTITUTE(SUBSTITUTE(SUBSTITUTE(SUBSTITUTE(LOWER(TRIM(C70)),"á","a"),"é","e"),"í","i"),"ó","o"),"ú","u"),"ü","u"),"ñ","n"),"à","a"),"è","e"),"ì","i"),"ò","o"),"ù","u"),"")</f>
        <v/>
      </c>
      <c r="Q70" s="25">
        <f>IF(AND(L70=1,E70&lt;&gt;""),SUBSTITUTE(SUBSTITUTE(SUBSTITUTE(SUBSTITUTE(SUBSTITUTE(SUBSTITUTE(SUBSTITUTE(SUBSTITUTE(SUBSTITUTE(SUBSTITUTE(SUBSTITUTE(SUBSTITUTE(LOWER(TRIM(E70)),"á","a"),"é","e"),"í","i"),"ó","o"),"ú","u"),"ü","u"),"ñ","n"),"à","a"),"è","e"),"ì","i"),"ò","o"),"ù","u"),"")</f>
        <v/>
      </c>
      <c r="R70" s="25">
        <f>IF(AND(L70=1,I70&lt;&gt;""),SUBSTITUTE(SUBSTITUTE(SUBSTITUTE(SUBSTITUTE(SUBSTITUTE(SUBSTITUTE(SUBSTITUTE(SUBSTITUTE(SUBSTITUTE(SUBSTITUTE(SUBSTITUTE(SUBSTITUTE(LOWER(TRIM(I70)),"á","a"),"é","e"),"í","i"),"ó","o"),"ú","u"),"ü","u"),"ñ","n"),"à","a"),"è","e"),"ì","i"),"ò","o"),"ù","u"),"")</f>
        <v/>
      </c>
      <c r="S70" s="25">
        <f>IF(R70="","",IF(OR(R70="si",R70="tal vez"),1,0))</f>
        <v/>
      </c>
      <c r="T70" s="25">
        <f>IF(AND(L70=1,D70&lt;&gt;""),IF(IFERROR(COUNTIFS(D$3:D70,"="&amp;SUBSTITUTE(SUBSTITUTE(SUBSTITUTE(D70,"~","~~"),"*","~*"),"?","~?"),L$3:L70,1),0)=1,MAX(T$2:T69)+1,""),"")</f>
        <v/>
      </c>
      <c r="U70" s="25">
        <f>IF(T70="","",COUNTIFS($D$3:$D$1002,"="&amp;SUBSTITUTE(SUBSTITUTE(SUBSTITUTE(D70,"~","~~"),"*","~*"),"?","~?"),$L$3:$L$1002,1)*10000-T70)</f>
        <v/>
      </c>
      <c r="V70" s="25">
        <f>IF(AND(L70=1,J70&lt;&gt;""),IF(IFERROR(COUNTIFS(J$3:J70,"="&amp;SUBSTITUTE(SUBSTITUTE(SUBSTITUTE(J70,"~","~~"),"*","~*"),"?","~?"),L$3:L70,1),0)=1,MAX(V$2:V69)+1,""),"")</f>
        <v/>
      </c>
      <c r="W70" s="25">
        <f>IF(V70="","",COUNTIFS($J$3:$J$1002,"="&amp;SUBSTITUTE(SUBSTITUTE(SUBSTITUTE(J70,"~","~~"),"*","~*"),"?","~?"),$L$3:$L$1002,1)*10000-V70)</f>
        <v/>
      </c>
    </row>
    <row r="71">
      <c r="A71">
        <f>IF(A$2=0,"",IFERROR(TRIM(INDEX('Pegar estudiantes'!$A$1:$BZ$1001,70,A$2)&amp;""),""))</f>
        <v/>
      </c>
      <c r="B71">
        <f>IF(B$2=0,"",IFERROR(TRIM(INDEX('Pegar estudiantes'!$A$1:$BZ$1001,70,B$2)&amp;""),""))</f>
        <v/>
      </c>
      <c r="C71">
        <f>IF(C$2=0,"",IFERROR(TRIM(INDEX('Pegar estudiantes'!$A$1:$BZ$1001,70,C$2)&amp;""),""))</f>
        <v/>
      </c>
      <c r="D71">
        <f>IF(D$2=0,"",IFERROR(TRIM(INDEX('Pegar estudiantes'!$A$1:$BZ$1001,70,D$2)&amp;""),""))</f>
        <v/>
      </c>
      <c r="E71">
        <f>IF(E$2=0,"",IFERROR(TRIM(INDEX('Pegar estudiantes'!$A$1:$BZ$1001,70,E$2)&amp;""),""))</f>
        <v/>
      </c>
      <c r="F71">
        <f>IF(F$2=0,"",IFERROR(TRIM(INDEX('Pegar estudiantes'!$A$1:$BZ$1001,70,F$2)&amp;""),""))</f>
        <v/>
      </c>
      <c r="G71">
        <f>IF(G$2=0,"",IFERROR(TRIM(INDEX('Pegar estudiantes'!$A$1:$BZ$1001,70,G$2)&amp;""),""))</f>
        <v/>
      </c>
      <c r="H71">
        <f>IF(H$2=0,"",IFERROR(TRIM(INDEX('Pegar estudiantes'!$A$1:$BZ$1001,70,H$2)&amp;""),""))</f>
        <v/>
      </c>
      <c r="I71">
        <f>IF(I$2=0,"",IFERROR(TRIM(INDEX('Pegar estudiantes'!$A$1:$BZ$1001,70,I$2)&amp;""),""))</f>
        <v/>
      </c>
      <c r="J71">
        <f>IF(J$2=0,"",IFERROR(TRIM(INDEX('Pegar estudiantes'!$A$1:$BZ$1001,70,J$2)&amp;""),""))</f>
        <v/>
      </c>
      <c r="K71">
        <f>IF(K$2=0,"",IFERROR(TRIM(INDEX('Pegar estudiantes'!$A$1:$BZ$1001,70,K$2)&amp;""),""))</f>
        <v/>
      </c>
      <c r="L71" s="25">
        <f>IF(A71&lt;&gt;"",1,"")</f>
        <v/>
      </c>
      <c r="M71" s="25">
        <f>IF(L71=1,IF(ISNUMBER(FIND("#"&amp;MID(A71,1,1)&amp;"#","#0#1#2#3#4#5#6#7#8#9#")),IF(ISNUMBER(FIND("#"&amp;MID(A71,2,1)&amp;"#","#0#1#2#3#4#5#6#7#8#9#")),IF(AND(VALUE(LEFT(A71,2))&gt;=1,VALUE(LEFT(A71,2))&lt;=5),VALUE(LEFT(A71,2)),""),IF(AND(VALUE(LEFT(A71,1))&gt;=1,VALUE(LEFT(A71,1))&lt;=5),VALUE(LEFT(A71,1)),"")),""),"")</f>
        <v/>
      </c>
      <c r="N71" s="25">
        <f>IF(L71=1,IF(ISNUMBER(FIND("#"&amp;MID(H71,1,1)&amp;"#","#0#1#2#3#4#5#6#7#8#9#")),IF(ISNUMBER(FIND("#"&amp;MID(H71,2,1)&amp;"#","#0#1#2#3#4#5#6#7#8#9#")),IF(AND(VALUE(LEFT(H71,2))&gt;=1,VALUE(LEFT(H71,2))&lt;=5),VALUE(LEFT(H71,2)),""),IF(AND(VALUE(LEFT(H71,1))&gt;=1,VALUE(LEFT(H71,1))&lt;=5),VALUE(LEFT(H71,1)),"")),""),"")</f>
        <v/>
      </c>
      <c r="O71" s="25">
        <f>IF(AND(L71=1,B71&lt;&gt;""),SUBSTITUTE(SUBSTITUTE(SUBSTITUTE(SUBSTITUTE(SUBSTITUTE(SUBSTITUTE(SUBSTITUTE(SUBSTITUTE(SUBSTITUTE(SUBSTITUTE(SUBSTITUTE(SUBSTITUTE(LOWER(TRIM(B71)),"á","a"),"é","e"),"í","i"),"ó","o"),"ú","u"),"ü","u"),"ñ","n"),"à","a"),"è","e"),"ì","i"),"ò","o"),"ù","u"),"")</f>
        <v/>
      </c>
      <c r="P71" s="25">
        <f>IF(AND(L71=1,C71&lt;&gt;""),SUBSTITUTE(SUBSTITUTE(SUBSTITUTE(SUBSTITUTE(SUBSTITUTE(SUBSTITUTE(SUBSTITUTE(SUBSTITUTE(SUBSTITUTE(SUBSTITUTE(SUBSTITUTE(SUBSTITUTE(LOWER(TRIM(C71)),"á","a"),"é","e"),"í","i"),"ó","o"),"ú","u"),"ü","u"),"ñ","n"),"à","a"),"è","e"),"ì","i"),"ò","o"),"ù","u"),"")</f>
        <v/>
      </c>
      <c r="Q71" s="25">
        <f>IF(AND(L71=1,E71&lt;&gt;""),SUBSTITUTE(SUBSTITUTE(SUBSTITUTE(SUBSTITUTE(SUBSTITUTE(SUBSTITUTE(SUBSTITUTE(SUBSTITUTE(SUBSTITUTE(SUBSTITUTE(SUBSTITUTE(SUBSTITUTE(LOWER(TRIM(E71)),"á","a"),"é","e"),"í","i"),"ó","o"),"ú","u"),"ü","u"),"ñ","n"),"à","a"),"è","e"),"ì","i"),"ò","o"),"ù","u"),"")</f>
        <v/>
      </c>
      <c r="R71" s="25">
        <f>IF(AND(L71=1,I71&lt;&gt;""),SUBSTITUTE(SUBSTITUTE(SUBSTITUTE(SUBSTITUTE(SUBSTITUTE(SUBSTITUTE(SUBSTITUTE(SUBSTITUTE(SUBSTITUTE(SUBSTITUTE(SUBSTITUTE(SUBSTITUTE(LOWER(TRIM(I71)),"á","a"),"é","e"),"í","i"),"ó","o"),"ú","u"),"ü","u"),"ñ","n"),"à","a"),"è","e"),"ì","i"),"ò","o"),"ù","u"),"")</f>
        <v/>
      </c>
      <c r="S71" s="25">
        <f>IF(R71="","",IF(OR(R71="si",R71="tal vez"),1,0))</f>
        <v/>
      </c>
      <c r="T71" s="25">
        <f>IF(AND(L71=1,D71&lt;&gt;""),IF(IFERROR(COUNTIFS(D$3:D71,"="&amp;SUBSTITUTE(SUBSTITUTE(SUBSTITUTE(D71,"~","~~"),"*","~*"),"?","~?"),L$3:L71,1),0)=1,MAX(T$2:T70)+1,""),"")</f>
        <v/>
      </c>
      <c r="U71" s="25">
        <f>IF(T71="","",COUNTIFS($D$3:$D$1002,"="&amp;SUBSTITUTE(SUBSTITUTE(SUBSTITUTE(D71,"~","~~"),"*","~*"),"?","~?"),$L$3:$L$1002,1)*10000-T71)</f>
        <v/>
      </c>
      <c r="V71" s="25">
        <f>IF(AND(L71=1,J71&lt;&gt;""),IF(IFERROR(COUNTIFS(J$3:J71,"="&amp;SUBSTITUTE(SUBSTITUTE(SUBSTITUTE(J71,"~","~~"),"*","~*"),"?","~?"),L$3:L71,1),0)=1,MAX(V$2:V70)+1,""),"")</f>
        <v/>
      </c>
      <c r="W71" s="25">
        <f>IF(V71="","",COUNTIFS($J$3:$J$1002,"="&amp;SUBSTITUTE(SUBSTITUTE(SUBSTITUTE(J71,"~","~~"),"*","~*"),"?","~?"),$L$3:$L$1002,1)*10000-V71)</f>
        <v/>
      </c>
    </row>
    <row r="72">
      <c r="A72">
        <f>IF(A$2=0,"",IFERROR(TRIM(INDEX('Pegar estudiantes'!$A$1:$BZ$1001,71,A$2)&amp;""),""))</f>
        <v/>
      </c>
      <c r="B72">
        <f>IF(B$2=0,"",IFERROR(TRIM(INDEX('Pegar estudiantes'!$A$1:$BZ$1001,71,B$2)&amp;""),""))</f>
        <v/>
      </c>
      <c r="C72">
        <f>IF(C$2=0,"",IFERROR(TRIM(INDEX('Pegar estudiantes'!$A$1:$BZ$1001,71,C$2)&amp;""),""))</f>
        <v/>
      </c>
      <c r="D72">
        <f>IF(D$2=0,"",IFERROR(TRIM(INDEX('Pegar estudiantes'!$A$1:$BZ$1001,71,D$2)&amp;""),""))</f>
        <v/>
      </c>
      <c r="E72">
        <f>IF(E$2=0,"",IFERROR(TRIM(INDEX('Pegar estudiantes'!$A$1:$BZ$1001,71,E$2)&amp;""),""))</f>
        <v/>
      </c>
      <c r="F72">
        <f>IF(F$2=0,"",IFERROR(TRIM(INDEX('Pegar estudiantes'!$A$1:$BZ$1001,71,F$2)&amp;""),""))</f>
        <v/>
      </c>
      <c r="G72">
        <f>IF(G$2=0,"",IFERROR(TRIM(INDEX('Pegar estudiantes'!$A$1:$BZ$1001,71,G$2)&amp;""),""))</f>
        <v/>
      </c>
      <c r="H72">
        <f>IF(H$2=0,"",IFERROR(TRIM(INDEX('Pegar estudiantes'!$A$1:$BZ$1001,71,H$2)&amp;""),""))</f>
        <v/>
      </c>
      <c r="I72">
        <f>IF(I$2=0,"",IFERROR(TRIM(INDEX('Pegar estudiantes'!$A$1:$BZ$1001,71,I$2)&amp;""),""))</f>
        <v/>
      </c>
      <c r="J72">
        <f>IF(J$2=0,"",IFERROR(TRIM(INDEX('Pegar estudiantes'!$A$1:$BZ$1001,71,J$2)&amp;""),""))</f>
        <v/>
      </c>
      <c r="K72">
        <f>IF(K$2=0,"",IFERROR(TRIM(INDEX('Pegar estudiantes'!$A$1:$BZ$1001,71,K$2)&amp;""),""))</f>
        <v/>
      </c>
      <c r="L72" s="25">
        <f>IF(A72&lt;&gt;"",1,"")</f>
        <v/>
      </c>
      <c r="M72" s="25">
        <f>IF(L72=1,IF(ISNUMBER(FIND("#"&amp;MID(A72,1,1)&amp;"#","#0#1#2#3#4#5#6#7#8#9#")),IF(ISNUMBER(FIND("#"&amp;MID(A72,2,1)&amp;"#","#0#1#2#3#4#5#6#7#8#9#")),IF(AND(VALUE(LEFT(A72,2))&gt;=1,VALUE(LEFT(A72,2))&lt;=5),VALUE(LEFT(A72,2)),""),IF(AND(VALUE(LEFT(A72,1))&gt;=1,VALUE(LEFT(A72,1))&lt;=5),VALUE(LEFT(A72,1)),"")),""),"")</f>
        <v/>
      </c>
      <c r="N72" s="25">
        <f>IF(L72=1,IF(ISNUMBER(FIND("#"&amp;MID(H72,1,1)&amp;"#","#0#1#2#3#4#5#6#7#8#9#")),IF(ISNUMBER(FIND("#"&amp;MID(H72,2,1)&amp;"#","#0#1#2#3#4#5#6#7#8#9#")),IF(AND(VALUE(LEFT(H72,2))&gt;=1,VALUE(LEFT(H72,2))&lt;=5),VALUE(LEFT(H72,2)),""),IF(AND(VALUE(LEFT(H72,1))&gt;=1,VALUE(LEFT(H72,1))&lt;=5),VALUE(LEFT(H72,1)),"")),""),"")</f>
        <v/>
      </c>
      <c r="O72" s="25">
        <f>IF(AND(L72=1,B72&lt;&gt;""),SUBSTITUTE(SUBSTITUTE(SUBSTITUTE(SUBSTITUTE(SUBSTITUTE(SUBSTITUTE(SUBSTITUTE(SUBSTITUTE(SUBSTITUTE(SUBSTITUTE(SUBSTITUTE(SUBSTITUTE(LOWER(TRIM(B72)),"á","a"),"é","e"),"í","i"),"ó","o"),"ú","u"),"ü","u"),"ñ","n"),"à","a"),"è","e"),"ì","i"),"ò","o"),"ù","u"),"")</f>
        <v/>
      </c>
      <c r="P72" s="25">
        <f>IF(AND(L72=1,C72&lt;&gt;""),SUBSTITUTE(SUBSTITUTE(SUBSTITUTE(SUBSTITUTE(SUBSTITUTE(SUBSTITUTE(SUBSTITUTE(SUBSTITUTE(SUBSTITUTE(SUBSTITUTE(SUBSTITUTE(SUBSTITUTE(LOWER(TRIM(C72)),"á","a"),"é","e"),"í","i"),"ó","o"),"ú","u"),"ü","u"),"ñ","n"),"à","a"),"è","e"),"ì","i"),"ò","o"),"ù","u"),"")</f>
        <v/>
      </c>
      <c r="Q72" s="25">
        <f>IF(AND(L72=1,E72&lt;&gt;""),SUBSTITUTE(SUBSTITUTE(SUBSTITUTE(SUBSTITUTE(SUBSTITUTE(SUBSTITUTE(SUBSTITUTE(SUBSTITUTE(SUBSTITUTE(SUBSTITUTE(SUBSTITUTE(SUBSTITUTE(LOWER(TRIM(E72)),"á","a"),"é","e"),"í","i"),"ó","o"),"ú","u"),"ü","u"),"ñ","n"),"à","a"),"è","e"),"ì","i"),"ò","o"),"ù","u"),"")</f>
        <v/>
      </c>
      <c r="R72" s="25">
        <f>IF(AND(L72=1,I72&lt;&gt;""),SUBSTITUTE(SUBSTITUTE(SUBSTITUTE(SUBSTITUTE(SUBSTITUTE(SUBSTITUTE(SUBSTITUTE(SUBSTITUTE(SUBSTITUTE(SUBSTITUTE(SUBSTITUTE(SUBSTITUTE(LOWER(TRIM(I72)),"á","a"),"é","e"),"í","i"),"ó","o"),"ú","u"),"ü","u"),"ñ","n"),"à","a"),"è","e"),"ì","i"),"ò","o"),"ù","u"),"")</f>
        <v/>
      </c>
      <c r="S72" s="25">
        <f>IF(R72="","",IF(OR(R72="si",R72="tal vez"),1,0))</f>
        <v/>
      </c>
      <c r="T72" s="25">
        <f>IF(AND(L72=1,D72&lt;&gt;""),IF(IFERROR(COUNTIFS(D$3:D72,"="&amp;SUBSTITUTE(SUBSTITUTE(SUBSTITUTE(D72,"~","~~"),"*","~*"),"?","~?"),L$3:L72,1),0)=1,MAX(T$2:T71)+1,""),"")</f>
        <v/>
      </c>
      <c r="U72" s="25">
        <f>IF(T72="","",COUNTIFS($D$3:$D$1002,"="&amp;SUBSTITUTE(SUBSTITUTE(SUBSTITUTE(D72,"~","~~"),"*","~*"),"?","~?"),$L$3:$L$1002,1)*10000-T72)</f>
        <v/>
      </c>
      <c r="V72" s="25">
        <f>IF(AND(L72=1,J72&lt;&gt;""),IF(IFERROR(COUNTIFS(J$3:J72,"="&amp;SUBSTITUTE(SUBSTITUTE(SUBSTITUTE(J72,"~","~~"),"*","~*"),"?","~?"),L$3:L72,1),0)=1,MAX(V$2:V71)+1,""),"")</f>
        <v/>
      </c>
      <c r="W72" s="25">
        <f>IF(V72="","",COUNTIFS($J$3:$J$1002,"="&amp;SUBSTITUTE(SUBSTITUTE(SUBSTITUTE(J72,"~","~~"),"*","~*"),"?","~?"),$L$3:$L$1002,1)*10000-V72)</f>
        <v/>
      </c>
    </row>
    <row r="73">
      <c r="A73">
        <f>IF(A$2=0,"",IFERROR(TRIM(INDEX('Pegar estudiantes'!$A$1:$BZ$1001,72,A$2)&amp;""),""))</f>
        <v/>
      </c>
      <c r="B73">
        <f>IF(B$2=0,"",IFERROR(TRIM(INDEX('Pegar estudiantes'!$A$1:$BZ$1001,72,B$2)&amp;""),""))</f>
        <v/>
      </c>
      <c r="C73">
        <f>IF(C$2=0,"",IFERROR(TRIM(INDEX('Pegar estudiantes'!$A$1:$BZ$1001,72,C$2)&amp;""),""))</f>
        <v/>
      </c>
      <c r="D73">
        <f>IF(D$2=0,"",IFERROR(TRIM(INDEX('Pegar estudiantes'!$A$1:$BZ$1001,72,D$2)&amp;""),""))</f>
        <v/>
      </c>
      <c r="E73">
        <f>IF(E$2=0,"",IFERROR(TRIM(INDEX('Pegar estudiantes'!$A$1:$BZ$1001,72,E$2)&amp;""),""))</f>
        <v/>
      </c>
      <c r="F73">
        <f>IF(F$2=0,"",IFERROR(TRIM(INDEX('Pegar estudiantes'!$A$1:$BZ$1001,72,F$2)&amp;""),""))</f>
        <v/>
      </c>
      <c r="G73">
        <f>IF(G$2=0,"",IFERROR(TRIM(INDEX('Pegar estudiantes'!$A$1:$BZ$1001,72,G$2)&amp;""),""))</f>
        <v/>
      </c>
      <c r="H73">
        <f>IF(H$2=0,"",IFERROR(TRIM(INDEX('Pegar estudiantes'!$A$1:$BZ$1001,72,H$2)&amp;""),""))</f>
        <v/>
      </c>
      <c r="I73">
        <f>IF(I$2=0,"",IFERROR(TRIM(INDEX('Pegar estudiantes'!$A$1:$BZ$1001,72,I$2)&amp;""),""))</f>
        <v/>
      </c>
      <c r="J73">
        <f>IF(J$2=0,"",IFERROR(TRIM(INDEX('Pegar estudiantes'!$A$1:$BZ$1001,72,J$2)&amp;""),""))</f>
        <v/>
      </c>
      <c r="K73">
        <f>IF(K$2=0,"",IFERROR(TRIM(INDEX('Pegar estudiantes'!$A$1:$BZ$1001,72,K$2)&amp;""),""))</f>
        <v/>
      </c>
      <c r="L73" s="25">
        <f>IF(A73&lt;&gt;"",1,"")</f>
        <v/>
      </c>
      <c r="M73" s="25">
        <f>IF(L73=1,IF(ISNUMBER(FIND("#"&amp;MID(A73,1,1)&amp;"#","#0#1#2#3#4#5#6#7#8#9#")),IF(ISNUMBER(FIND("#"&amp;MID(A73,2,1)&amp;"#","#0#1#2#3#4#5#6#7#8#9#")),IF(AND(VALUE(LEFT(A73,2))&gt;=1,VALUE(LEFT(A73,2))&lt;=5),VALUE(LEFT(A73,2)),""),IF(AND(VALUE(LEFT(A73,1))&gt;=1,VALUE(LEFT(A73,1))&lt;=5),VALUE(LEFT(A73,1)),"")),""),"")</f>
        <v/>
      </c>
      <c r="N73" s="25">
        <f>IF(L73=1,IF(ISNUMBER(FIND("#"&amp;MID(H73,1,1)&amp;"#","#0#1#2#3#4#5#6#7#8#9#")),IF(ISNUMBER(FIND("#"&amp;MID(H73,2,1)&amp;"#","#0#1#2#3#4#5#6#7#8#9#")),IF(AND(VALUE(LEFT(H73,2))&gt;=1,VALUE(LEFT(H73,2))&lt;=5),VALUE(LEFT(H73,2)),""),IF(AND(VALUE(LEFT(H73,1))&gt;=1,VALUE(LEFT(H73,1))&lt;=5),VALUE(LEFT(H73,1)),"")),""),"")</f>
        <v/>
      </c>
      <c r="O73" s="25">
        <f>IF(AND(L73=1,B73&lt;&gt;""),SUBSTITUTE(SUBSTITUTE(SUBSTITUTE(SUBSTITUTE(SUBSTITUTE(SUBSTITUTE(SUBSTITUTE(SUBSTITUTE(SUBSTITUTE(SUBSTITUTE(SUBSTITUTE(SUBSTITUTE(LOWER(TRIM(B73)),"á","a"),"é","e"),"í","i"),"ó","o"),"ú","u"),"ü","u"),"ñ","n"),"à","a"),"è","e"),"ì","i"),"ò","o"),"ù","u"),"")</f>
        <v/>
      </c>
      <c r="P73" s="25">
        <f>IF(AND(L73=1,C73&lt;&gt;""),SUBSTITUTE(SUBSTITUTE(SUBSTITUTE(SUBSTITUTE(SUBSTITUTE(SUBSTITUTE(SUBSTITUTE(SUBSTITUTE(SUBSTITUTE(SUBSTITUTE(SUBSTITUTE(SUBSTITUTE(LOWER(TRIM(C73)),"á","a"),"é","e"),"í","i"),"ó","o"),"ú","u"),"ü","u"),"ñ","n"),"à","a"),"è","e"),"ì","i"),"ò","o"),"ù","u"),"")</f>
        <v/>
      </c>
      <c r="Q73" s="25">
        <f>IF(AND(L73=1,E73&lt;&gt;""),SUBSTITUTE(SUBSTITUTE(SUBSTITUTE(SUBSTITUTE(SUBSTITUTE(SUBSTITUTE(SUBSTITUTE(SUBSTITUTE(SUBSTITUTE(SUBSTITUTE(SUBSTITUTE(SUBSTITUTE(LOWER(TRIM(E73)),"á","a"),"é","e"),"í","i"),"ó","o"),"ú","u"),"ü","u"),"ñ","n"),"à","a"),"è","e"),"ì","i"),"ò","o"),"ù","u"),"")</f>
        <v/>
      </c>
      <c r="R73" s="25">
        <f>IF(AND(L73=1,I73&lt;&gt;""),SUBSTITUTE(SUBSTITUTE(SUBSTITUTE(SUBSTITUTE(SUBSTITUTE(SUBSTITUTE(SUBSTITUTE(SUBSTITUTE(SUBSTITUTE(SUBSTITUTE(SUBSTITUTE(SUBSTITUTE(LOWER(TRIM(I73)),"á","a"),"é","e"),"í","i"),"ó","o"),"ú","u"),"ü","u"),"ñ","n"),"à","a"),"è","e"),"ì","i"),"ò","o"),"ù","u"),"")</f>
        <v/>
      </c>
      <c r="S73" s="25">
        <f>IF(R73="","",IF(OR(R73="si",R73="tal vez"),1,0))</f>
        <v/>
      </c>
      <c r="T73" s="25">
        <f>IF(AND(L73=1,D73&lt;&gt;""),IF(IFERROR(COUNTIFS(D$3:D73,"="&amp;SUBSTITUTE(SUBSTITUTE(SUBSTITUTE(D73,"~","~~"),"*","~*"),"?","~?"),L$3:L73,1),0)=1,MAX(T$2:T72)+1,""),"")</f>
        <v/>
      </c>
      <c r="U73" s="25">
        <f>IF(T73="","",COUNTIFS($D$3:$D$1002,"="&amp;SUBSTITUTE(SUBSTITUTE(SUBSTITUTE(D73,"~","~~"),"*","~*"),"?","~?"),$L$3:$L$1002,1)*10000-T73)</f>
        <v/>
      </c>
      <c r="V73" s="25">
        <f>IF(AND(L73=1,J73&lt;&gt;""),IF(IFERROR(COUNTIFS(J$3:J73,"="&amp;SUBSTITUTE(SUBSTITUTE(SUBSTITUTE(J73,"~","~~"),"*","~*"),"?","~?"),L$3:L73,1),0)=1,MAX(V$2:V72)+1,""),"")</f>
        <v/>
      </c>
      <c r="W73" s="25">
        <f>IF(V73="","",COUNTIFS($J$3:$J$1002,"="&amp;SUBSTITUTE(SUBSTITUTE(SUBSTITUTE(J73,"~","~~"),"*","~*"),"?","~?"),$L$3:$L$1002,1)*10000-V73)</f>
        <v/>
      </c>
    </row>
    <row r="74">
      <c r="A74">
        <f>IF(A$2=0,"",IFERROR(TRIM(INDEX('Pegar estudiantes'!$A$1:$BZ$1001,73,A$2)&amp;""),""))</f>
        <v/>
      </c>
      <c r="B74">
        <f>IF(B$2=0,"",IFERROR(TRIM(INDEX('Pegar estudiantes'!$A$1:$BZ$1001,73,B$2)&amp;""),""))</f>
        <v/>
      </c>
      <c r="C74">
        <f>IF(C$2=0,"",IFERROR(TRIM(INDEX('Pegar estudiantes'!$A$1:$BZ$1001,73,C$2)&amp;""),""))</f>
        <v/>
      </c>
      <c r="D74">
        <f>IF(D$2=0,"",IFERROR(TRIM(INDEX('Pegar estudiantes'!$A$1:$BZ$1001,73,D$2)&amp;""),""))</f>
        <v/>
      </c>
      <c r="E74">
        <f>IF(E$2=0,"",IFERROR(TRIM(INDEX('Pegar estudiantes'!$A$1:$BZ$1001,73,E$2)&amp;""),""))</f>
        <v/>
      </c>
      <c r="F74">
        <f>IF(F$2=0,"",IFERROR(TRIM(INDEX('Pegar estudiantes'!$A$1:$BZ$1001,73,F$2)&amp;""),""))</f>
        <v/>
      </c>
      <c r="G74">
        <f>IF(G$2=0,"",IFERROR(TRIM(INDEX('Pegar estudiantes'!$A$1:$BZ$1001,73,G$2)&amp;""),""))</f>
        <v/>
      </c>
      <c r="H74">
        <f>IF(H$2=0,"",IFERROR(TRIM(INDEX('Pegar estudiantes'!$A$1:$BZ$1001,73,H$2)&amp;""),""))</f>
        <v/>
      </c>
      <c r="I74">
        <f>IF(I$2=0,"",IFERROR(TRIM(INDEX('Pegar estudiantes'!$A$1:$BZ$1001,73,I$2)&amp;""),""))</f>
        <v/>
      </c>
      <c r="J74">
        <f>IF(J$2=0,"",IFERROR(TRIM(INDEX('Pegar estudiantes'!$A$1:$BZ$1001,73,J$2)&amp;""),""))</f>
        <v/>
      </c>
      <c r="K74">
        <f>IF(K$2=0,"",IFERROR(TRIM(INDEX('Pegar estudiantes'!$A$1:$BZ$1001,73,K$2)&amp;""),""))</f>
        <v/>
      </c>
      <c r="L74" s="25">
        <f>IF(A74&lt;&gt;"",1,"")</f>
        <v/>
      </c>
      <c r="M74" s="25">
        <f>IF(L74=1,IF(ISNUMBER(FIND("#"&amp;MID(A74,1,1)&amp;"#","#0#1#2#3#4#5#6#7#8#9#")),IF(ISNUMBER(FIND("#"&amp;MID(A74,2,1)&amp;"#","#0#1#2#3#4#5#6#7#8#9#")),IF(AND(VALUE(LEFT(A74,2))&gt;=1,VALUE(LEFT(A74,2))&lt;=5),VALUE(LEFT(A74,2)),""),IF(AND(VALUE(LEFT(A74,1))&gt;=1,VALUE(LEFT(A74,1))&lt;=5),VALUE(LEFT(A74,1)),"")),""),"")</f>
        <v/>
      </c>
      <c r="N74" s="25">
        <f>IF(L74=1,IF(ISNUMBER(FIND("#"&amp;MID(H74,1,1)&amp;"#","#0#1#2#3#4#5#6#7#8#9#")),IF(ISNUMBER(FIND("#"&amp;MID(H74,2,1)&amp;"#","#0#1#2#3#4#5#6#7#8#9#")),IF(AND(VALUE(LEFT(H74,2))&gt;=1,VALUE(LEFT(H74,2))&lt;=5),VALUE(LEFT(H74,2)),""),IF(AND(VALUE(LEFT(H74,1))&gt;=1,VALUE(LEFT(H74,1))&lt;=5),VALUE(LEFT(H74,1)),"")),""),"")</f>
        <v/>
      </c>
      <c r="O74" s="25">
        <f>IF(AND(L74=1,B74&lt;&gt;""),SUBSTITUTE(SUBSTITUTE(SUBSTITUTE(SUBSTITUTE(SUBSTITUTE(SUBSTITUTE(SUBSTITUTE(SUBSTITUTE(SUBSTITUTE(SUBSTITUTE(SUBSTITUTE(SUBSTITUTE(LOWER(TRIM(B74)),"á","a"),"é","e"),"í","i"),"ó","o"),"ú","u"),"ü","u"),"ñ","n"),"à","a"),"è","e"),"ì","i"),"ò","o"),"ù","u"),"")</f>
        <v/>
      </c>
      <c r="P74" s="25">
        <f>IF(AND(L74=1,C74&lt;&gt;""),SUBSTITUTE(SUBSTITUTE(SUBSTITUTE(SUBSTITUTE(SUBSTITUTE(SUBSTITUTE(SUBSTITUTE(SUBSTITUTE(SUBSTITUTE(SUBSTITUTE(SUBSTITUTE(SUBSTITUTE(LOWER(TRIM(C74)),"á","a"),"é","e"),"í","i"),"ó","o"),"ú","u"),"ü","u"),"ñ","n"),"à","a"),"è","e"),"ì","i"),"ò","o"),"ù","u"),"")</f>
        <v/>
      </c>
      <c r="Q74" s="25">
        <f>IF(AND(L74=1,E74&lt;&gt;""),SUBSTITUTE(SUBSTITUTE(SUBSTITUTE(SUBSTITUTE(SUBSTITUTE(SUBSTITUTE(SUBSTITUTE(SUBSTITUTE(SUBSTITUTE(SUBSTITUTE(SUBSTITUTE(SUBSTITUTE(LOWER(TRIM(E74)),"á","a"),"é","e"),"í","i"),"ó","o"),"ú","u"),"ü","u"),"ñ","n"),"à","a"),"è","e"),"ì","i"),"ò","o"),"ù","u"),"")</f>
        <v/>
      </c>
      <c r="R74" s="25">
        <f>IF(AND(L74=1,I74&lt;&gt;""),SUBSTITUTE(SUBSTITUTE(SUBSTITUTE(SUBSTITUTE(SUBSTITUTE(SUBSTITUTE(SUBSTITUTE(SUBSTITUTE(SUBSTITUTE(SUBSTITUTE(SUBSTITUTE(SUBSTITUTE(LOWER(TRIM(I74)),"á","a"),"é","e"),"í","i"),"ó","o"),"ú","u"),"ü","u"),"ñ","n"),"à","a"),"è","e"),"ì","i"),"ò","o"),"ù","u"),"")</f>
        <v/>
      </c>
      <c r="S74" s="25">
        <f>IF(R74="","",IF(OR(R74="si",R74="tal vez"),1,0))</f>
        <v/>
      </c>
      <c r="T74" s="25">
        <f>IF(AND(L74=1,D74&lt;&gt;""),IF(IFERROR(COUNTIFS(D$3:D74,"="&amp;SUBSTITUTE(SUBSTITUTE(SUBSTITUTE(D74,"~","~~"),"*","~*"),"?","~?"),L$3:L74,1),0)=1,MAX(T$2:T73)+1,""),"")</f>
        <v/>
      </c>
      <c r="U74" s="25">
        <f>IF(T74="","",COUNTIFS($D$3:$D$1002,"="&amp;SUBSTITUTE(SUBSTITUTE(SUBSTITUTE(D74,"~","~~"),"*","~*"),"?","~?"),$L$3:$L$1002,1)*10000-T74)</f>
        <v/>
      </c>
      <c r="V74" s="25">
        <f>IF(AND(L74=1,J74&lt;&gt;""),IF(IFERROR(COUNTIFS(J$3:J74,"="&amp;SUBSTITUTE(SUBSTITUTE(SUBSTITUTE(J74,"~","~~"),"*","~*"),"?","~?"),L$3:L74,1),0)=1,MAX(V$2:V73)+1,""),"")</f>
        <v/>
      </c>
      <c r="W74" s="25">
        <f>IF(V74="","",COUNTIFS($J$3:$J$1002,"="&amp;SUBSTITUTE(SUBSTITUTE(SUBSTITUTE(J74,"~","~~"),"*","~*"),"?","~?"),$L$3:$L$1002,1)*10000-V74)</f>
        <v/>
      </c>
    </row>
    <row r="75">
      <c r="A75">
        <f>IF(A$2=0,"",IFERROR(TRIM(INDEX('Pegar estudiantes'!$A$1:$BZ$1001,74,A$2)&amp;""),""))</f>
        <v/>
      </c>
      <c r="B75">
        <f>IF(B$2=0,"",IFERROR(TRIM(INDEX('Pegar estudiantes'!$A$1:$BZ$1001,74,B$2)&amp;""),""))</f>
        <v/>
      </c>
      <c r="C75">
        <f>IF(C$2=0,"",IFERROR(TRIM(INDEX('Pegar estudiantes'!$A$1:$BZ$1001,74,C$2)&amp;""),""))</f>
        <v/>
      </c>
      <c r="D75">
        <f>IF(D$2=0,"",IFERROR(TRIM(INDEX('Pegar estudiantes'!$A$1:$BZ$1001,74,D$2)&amp;""),""))</f>
        <v/>
      </c>
      <c r="E75">
        <f>IF(E$2=0,"",IFERROR(TRIM(INDEX('Pegar estudiantes'!$A$1:$BZ$1001,74,E$2)&amp;""),""))</f>
        <v/>
      </c>
      <c r="F75">
        <f>IF(F$2=0,"",IFERROR(TRIM(INDEX('Pegar estudiantes'!$A$1:$BZ$1001,74,F$2)&amp;""),""))</f>
        <v/>
      </c>
      <c r="G75">
        <f>IF(G$2=0,"",IFERROR(TRIM(INDEX('Pegar estudiantes'!$A$1:$BZ$1001,74,G$2)&amp;""),""))</f>
        <v/>
      </c>
      <c r="H75">
        <f>IF(H$2=0,"",IFERROR(TRIM(INDEX('Pegar estudiantes'!$A$1:$BZ$1001,74,H$2)&amp;""),""))</f>
        <v/>
      </c>
      <c r="I75">
        <f>IF(I$2=0,"",IFERROR(TRIM(INDEX('Pegar estudiantes'!$A$1:$BZ$1001,74,I$2)&amp;""),""))</f>
        <v/>
      </c>
      <c r="J75">
        <f>IF(J$2=0,"",IFERROR(TRIM(INDEX('Pegar estudiantes'!$A$1:$BZ$1001,74,J$2)&amp;""),""))</f>
        <v/>
      </c>
      <c r="K75">
        <f>IF(K$2=0,"",IFERROR(TRIM(INDEX('Pegar estudiantes'!$A$1:$BZ$1001,74,K$2)&amp;""),""))</f>
        <v/>
      </c>
      <c r="L75" s="25">
        <f>IF(A75&lt;&gt;"",1,"")</f>
        <v/>
      </c>
      <c r="M75" s="25">
        <f>IF(L75=1,IF(ISNUMBER(FIND("#"&amp;MID(A75,1,1)&amp;"#","#0#1#2#3#4#5#6#7#8#9#")),IF(ISNUMBER(FIND("#"&amp;MID(A75,2,1)&amp;"#","#0#1#2#3#4#5#6#7#8#9#")),IF(AND(VALUE(LEFT(A75,2))&gt;=1,VALUE(LEFT(A75,2))&lt;=5),VALUE(LEFT(A75,2)),""),IF(AND(VALUE(LEFT(A75,1))&gt;=1,VALUE(LEFT(A75,1))&lt;=5),VALUE(LEFT(A75,1)),"")),""),"")</f>
        <v/>
      </c>
      <c r="N75" s="25">
        <f>IF(L75=1,IF(ISNUMBER(FIND("#"&amp;MID(H75,1,1)&amp;"#","#0#1#2#3#4#5#6#7#8#9#")),IF(ISNUMBER(FIND("#"&amp;MID(H75,2,1)&amp;"#","#0#1#2#3#4#5#6#7#8#9#")),IF(AND(VALUE(LEFT(H75,2))&gt;=1,VALUE(LEFT(H75,2))&lt;=5),VALUE(LEFT(H75,2)),""),IF(AND(VALUE(LEFT(H75,1))&gt;=1,VALUE(LEFT(H75,1))&lt;=5),VALUE(LEFT(H75,1)),"")),""),"")</f>
        <v/>
      </c>
      <c r="O75" s="25">
        <f>IF(AND(L75=1,B75&lt;&gt;""),SUBSTITUTE(SUBSTITUTE(SUBSTITUTE(SUBSTITUTE(SUBSTITUTE(SUBSTITUTE(SUBSTITUTE(SUBSTITUTE(SUBSTITUTE(SUBSTITUTE(SUBSTITUTE(SUBSTITUTE(LOWER(TRIM(B75)),"á","a"),"é","e"),"í","i"),"ó","o"),"ú","u"),"ü","u"),"ñ","n"),"à","a"),"è","e"),"ì","i"),"ò","o"),"ù","u"),"")</f>
        <v/>
      </c>
      <c r="P75" s="25">
        <f>IF(AND(L75=1,C75&lt;&gt;""),SUBSTITUTE(SUBSTITUTE(SUBSTITUTE(SUBSTITUTE(SUBSTITUTE(SUBSTITUTE(SUBSTITUTE(SUBSTITUTE(SUBSTITUTE(SUBSTITUTE(SUBSTITUTE(SUBSTITUTE(LOWER(TRIM(C75)),"á","a"),"é","e"),"í","i"),"ó","o"),"ú","u"),"ü","u"),"ñ","n"),"à","a"),"è","e"),"ì","i"),"ò","o"),"ù","u"),"")</f>
        <v/>
      </c>
      <c r="Q75" s="25">
        <f>IF(AND(L75=1,E75&lt;&gt;""),SUBSTITUTE(SUBSTITUTE(SUBSTITUTE(SUBSTITUTE(SUBSTITUTE(SUBSTITUTE(SUBSTITUTE(SUBSTITUTE(SUBSTITUTE(SUBSTITUTE(SUBSTITUTE(SUBSTITUTE(LOWER(TRIM(E75)),"á","a"),"é","e"),"í","i"),"ó","o"),"ú","u"),"ü","u"),"ñ","n"),"à","a"),"è","e"),"ì","i"),"ò","o"),"ù","u"),"")</f>
        <v/>
      </c>
      <c r="R75" s="25">
        <f>IF(AND(L75=1,I75&lt;&gt;""),SUBSTITUTE(SUBSTITUTE(SUBSTITUTE(SUBSTITUTE(SUBSTITUTE(SUBSTITUTE(SUBSTITUTE(SUBSTITUTE(SUBSTITUTE(SUBSTITUTE(SUBSTITUTE(SUBSTITUTE(LOWER(TRIM(I75)),"á","a"),"é","e"),"í","i"),"ó","o"),"ú","u"),"ü","u"),"ñ","n"),"à","a"),"è","e"),"ì","i"),"ò","o"),"ù","u"),"")</f>
        <v/>
      </c>
      <c r="S75" s="25">
        <f>IF(R75="","",IF(OR(R75="si",R75="tal vez"),1,0))</f>
        <v/>
      </c>
      <c r="T75" s="25">
        <f>IF(AND(L75=1,D75&lt;&gt;""),IF(IFERROR(COUNTIFS(D$3:D75,"="&amp;SUBSTITUTE(SUBSTITUTE(SUBSTITUTE(D75,"~","~~"),"*","~*"),"?","~?"),L$3:L75,1),0)=1,MAX(T$2:T74)+1,""),"")</f>
        <v/>
      </c>
      <c r="U75" s="25">
        <f>IF(T75="","",COUNTIFS($D$3:$D$1002,"="&amp;SUBSTITUTE(SUBSTITUTE(SUBSTITUTE(D75,"~","~~"),"*","~*"),"?","~?"),$L$3:$L$1002,1)*10000-T75)</f>
        <v/>
      </c>
      <c r="V75" s="25">
        <f>IF(AND(L75=1,J75&lt;&gt;""),IF(IFERROR(COUNTIFS(J$3:J75,"="&amp;SUBSTITUTE(SUBSTITUTE(SUBSTITUTE(J75,"~","~~"),"*","~*"),"?","~?"),L$3:L75,1),0)=1,MAX(V$2:V74)+1,""),"")</f>
        <v/>
      </c>
      <c r="W75" s="25">
        <f>IF(V75="","",COUNTIFS($J$3:$J$1002,"="&amp;SUBSTITUTE(SUBSTITUTE(SUBSTITUTE(J75,"~","~~"),"*","~*"),"?","~?"),$L$3:$L$1002,1)*10000-V75)</f>
        <v/>
      </c>
    </row>
    <row r="76">
      <c r="A76">
        <f>IF(A$2=0,"",IFERROR(TRIM(INDEX('Pegar estudiantes'!$A$1:$BZ$1001,75,A$2)&amp;""),""))</f>
        <v/>
      </c>
      <c r="B76">
        <f>IF(B$2=0,"",IFERROR(TRIM(INDEX('Pegar estudiantes'!$A$1:$BZ$1001,75,B$2)&amp;""),""))</f>
        <v/>
      </c>
      <c r="C76">
        <f>IF(C$2=0,"",IFERROR(TRIM(INDEX('Pegar estudiantes'!$A$1:$BZ$1001,75,C$2)&amp;""),""))</f>
        <v/>
      </c>
      <c r="D76">
        <f>IF(D$2=0,"",IFERROR(TRIM(INDEX('Pegar estudiantes'!$A$1:$BZ$1001,75,D$2)&amp;""),""))</f>
        <v/>
      </c>
      <c r="E76">
        <f>IF(E$2=0,"",IFERROR(TRIM(INDEX('Pegar estudiantes'!$A$1:$BZ$1001,75,E$2)&amp;""),""))</f>
        <v/>
      </c>
      <c r="F76">
        <f>IF(F$2=0,"",IFERROR(TRIM(INDEX('Pegar estudiantes'!$A$1:$BZ$1001,75,F$2)&amp;""),""))</f>
        <v/>
      </c>
      <c r="G76">
        <f>IF(G$2=0,"",IFERROR(TRIM(INDEX('Pegar estudiantes'!$A$1:$BZ$1001,75,G$2)&amp;""),""))</f>
        <v/>
      </c>
      <c r="H76">
        <f>IF(H$2=0,"",IFERROR(TRIM(INDEX('Pegar estudiantes'!$A$1:$BZ$1001,75,H$2)&amp;""),""))</f>
        <v/>
      </c>
      <c r="I76">
        <f>IF(I$2=0,"",IFERROR(TRIM(INDEX('Pegar estudiantes'!$A$1:$BZ$1001,75,I$2)&amp;""),""))</f>
        <v/>
      </c>
      <c r="J76">
        <f>IF(J$2=0,"",IFERROR(TRIM(INDEX('Pegar estudiantes'!$A$1:$BZ$1001,75,J$2)&amp;""),""))</f>
        <v/>
      </c>
      <c r="K76">
        <f>IF(K$2=0,"",IFERROR(TRIM(INDEX('Pegar estudiantes'!$A$1:$BZ$1001,75,K$2)&amp;""),""))</f>
        <v/>
      </c>
      <c r="L76" s="25">
        <f>IF(A76&lt;&gt;"",1,"")</f>
        <v/>
      </c>
      <c r="M76" s="25">
        <f>IF(L76=1,IF(ISNUMBER(FIND("#"&amp;MID(A76,1,1)&amp;"#","#0#1#2#3#4#5#6#7#8#9#")),IF(ISNUMBER(FIND("#"&amp;MID(A76,2,1)&amp;"#","#0#1#2#3#4#5#6#7#8#9#")),IF(AND(VALUE(LEFT(A76,2))&gt;=1,VALUE(LEFT(A76,2))&lt;=5),VALUE(LEFT(A76,2)),""),IF(AND(VALUE(LEFT(A76,1))&gt;=1,VALUE(LEFT(A76,1))&lt;=5),VALUE(LEFT(A76,1)),"")),""),"")</f>
        <v/>
      </c>
      <c r="N76" s="25">
        <f>IF(L76=1,IF(ISNUMBER(FIND("#"&amp;MID(H76,1,1)&amp;"#","#0#1#2#3#4#5#6#7#8#9#")),IF(ISNUMBER(FIND("#"&amp;MID(H76,2,1)&amp;"#","#0#1#2#3#4#5#6#7#8#9#")),IF(AND(VALUE(LEFT(H76,2))&gt;=1,VALUE(LEFT(H76,2))&lt;=5),VALUE(LEFT(H76,2)),""),IF(AND(VALUE(LEFT(H76,1))&gt;=1,VALUE(LEFT(H76,1))&lt;=5),VALUE(LEFT(H76,1)),"")),""),"")</f>
        <v/>
      </c>
      <c r="O76" s="25">
        <f>IF(AND(L76=1,B76&lt;&gt;""),SUBSTITUTE(SUBSTITUTE(SUBSTITUTE(SUBSTITUTE(SUBSTITUTE(SUBSTITUTE(SUBSTITUTE(SUBSTITUTE(SUBSTITUTE(SUBSTITUTE(SUBSTITUTE(SUBSTITUTE(LOWER(TRIM(B76)),"á","a"),"é","e"),"í","i"),"ó","o"),"ú","u"),"ü","u"),"ñ","n"),"à","a"),"è","e"),"ì","i"),"ò","o"),"ù","u"),"")</f>
        <v/>
      </c>
      <c r="P76" s="25">
        <f>IF(AND(L76=1,C76&lt;&gt;""),SUBSTITUTE(SUBSTITUTE(SUBSTITUTE(SUBSTITUTE(SUBSTITUTE(SUBSTITUTE(SUBSTITUTE(SUBSTITUTE(SUBSTITUTE(SUBSTITUTE(SUBSTITUTE(SUBSTITUTE(LOWER(TRIM(C76)),"á","a"),"é","e"),"í","i"),"ó","o"),"ú","u"),"ü","u"),"ñ","n"),"à","a"),"è","e"),"ì","i"),"ò","o"),"ù","u"),"")</f>
        <v/>
      </c>
      <c r="Q76" s="25">
        <f>IF(AND(L76=1,E76&lt;&gt;""),SUBSTITUTE(SUBSTITUTE(SUBSTITUTE(SUBSTITUTE(SUBSTITUTE(SUBSTITUTE(SUBSTITUTE(SUBSTITUTE(SUBSTITUTE(SUBSTITUTE(SUBSTITUTE(SUBSTITUTE(LOWER(TRIM(E76)),"á","a"),"é","e"),"í","i"),"ó","o"),"ú","u"),"ü","u"),"ñ","n"),"à","a"),"è","e"),"ì","i"),"ò","o"),"ù","u"),"")</f>
        <v/>
      </c>
      <c r="R76" s="25">
        <f>IF(AND(L76=1,I76&lt;&gt;""),SUBSTITUTE(SUBSTITUTE(SUBSTITUTE(SUBSTITUTE(SUBSTITUTE(SUBSTITUTE(SUBSTITUTE(SUBSTITUTE(SUBSTITUTE(SUBSTITUTE(SUBSTITUTE(SUBSTITUTE(LOWER(TRIM(I76)),"á","a"),"é","e"),"í","i"),"ó","o"),"ú","u"),"ü","u"),"ñ","n"),"à","a"),"è","e"),"ì","i"),"ò","o"),"ù","u"),"")</f>
        <v/>
      </c>
      <c r="S76" s="25">
        <f>IF(R76="","",IF(OR(R76="si",R76="tal vez"),1,0))</f>
        <v/>
      </c>
      <c r="T76" s="25">
        <f>IF(AND(L76=1,D76&lt;&gt;""),IF(IFERROR(COUNTIFS(D$3:D76,"="&amp;SUBSTITUTE(SUBSTITUTE(SUBSTITUTE(D76,"~","~~"),"*","~*"),"?","~?"),L$3:L76,1),0)=1,MAX(T$2:T75)+1,""),"")</f>
        <v/>
      </c>
      <c r="U76" s="25">
        <f>IF(T76="","",COUNTIFS($D$3:$D$1002,"="&amp;SUBSTITUTE(SUBSTITUTE(SUBSTITUTE(D76,"~","~~"),"*","~*"),"?","~?"),$L$3:$L$1002,1)*10000-T76)</f>
        <v/>
      </c>
      <c r="V76" s="25">
        <f>IF(AND(L76=1,J76&lt;&gt;""),IF(IFERROR(COUNTIFS(J$3:J76,"="&amp;SUBSTITUTE(SUBSTITUTE(SUBSTITUTE(J76,"~","~~"),"*","~*"),"?","~?"),L$3:L76,1),0)=1,MAX(V$2:V75)+1,""),"")</f>
        <v/>
      </c>
      <c r="W76" s="25">
        <f>IF(V76="","",COUNTIFS($J$3:$J$1002,"="&amp;SUBSTITUTE(SUBSTITUTE(SUBSTITUTE(J76,"~","~~"),"*","~*"),"?","~?"),$L$3:$L$1002,1)*10000-V76)</f>
        <v/>
      </c>
    </row>
    <row r="77">
      <c r="A77">
        <f>IF(A$2=0,"",IFERROR(TRIM(INDEX('Pegar estudiantes'!$A$1:$BZ$1001,76,A$2)&amp;""),""))</f>
        <v/>
      </c>
      <c r="B77">
        <f>IF(B$2=0,"",IFERROR(TRIM(INDEX('Pegar estudiantes'!$A$1:$BZ$1001,76,B$2)&amp;""),""))</f>
        <v/>
      </c>
      <c r="C77">
        <f>IF(C$2=0,"",IFERROR(TRIM(INDEX('Pegar estudiantes'!$A$1:$BZ$1001,76,C$2)&amp;""),""))</f>
        <v/>
      </c>
      <c r="D77">
        <f>IF(D$2=0,"",IFERROR(TRIM(INDEX('Pegar estudiantes'!$A$1:$BZ$1001,76,D$2)&amp;""),""))</f>
        <v/>
      </c>
      <c r="E77">
        <f>IF(E$2=0,"",IFERROR(TRIM(INDEX('Pegar estudiantes'!$A$1:$BZ$1001,76,E$2)&amp;""),""))</f>
        <v/>
      </c>
      <c r="F77">
        <f>IF(F$2=0,"",IFERROR(TRIM(INDEX('Pegar estudiantes'!$A$1:$BZ$1001,76,F$2)&amp;""),""))</f>
        <v/>
      </c>
      <c r="G77">
        <f>IF(G$2=0,"",IFERROR(TRIM(INDEX('Pegar estudiantes'!$A$1:$BZ$1001,76,G$2)&amp;""),""))</f>
        <v/>
      </c>
      <c r="H77">
        <f>IF(H$2=0,"",IFERROR(TRIM(INDEX('Pegar estudiantes'!$A$1:$BZ$1001,76,H$2)&amp;""),""))</f>
        <v/>
      </c>
      <c r="I77">
        <f>IF(I$2=0,"",IFERROR(TRIM(INDEX('Pegar estudiantes'!$A$1:$BZ$1001,76,I$2)&amp;""),""))</f>
        <v/>
      </c>
      <c r="J77">
        <f>IF(J$2=0,"",IFERROR(TRIM(INDEX('Pegar estudiantes'!$A$1:$BZ$1001,76,J$2)&amp;""),""))</f>
        <v/>
      </c>
      <c r="K77">
        <f>IF(K$2=0,"",IFERROR(TRIM(INDEX('Pegar estudiantes'!$A$1:$BZ$1001,76,K$2)&amp;""),""))</f>
        <v/>
      </c>
      <c r="L77" s="25">
        <f>IF(A77&lt;&gt;"",1,"")</f>
        <v/>
      </c>
      <c r="M77" s="25">
        <f>IF(L77=1,IF(ISNUMBER(FIND("#"&amp;MID(A77,1,1)&amp;"#","#0#1#2#3#4#5#6#7#8#9#")),IF(ISNUMBER(FIND("#"&amp;MID(A77,2,1)&amp;"#","#0#1#2#3#4#5#6#7#8#9#")),IF(AND(VALUE(LEFT(A77,2))&gt;=1,VALUE(LEFT(A77,2))&lt;=5),VALUE(LEFT(A77,2)),""),IF(AND(VALUE(LEFT(A77,1))&gt;=1,VALUE(LEFT(A77,1))&lt;=5),VALUE(LEFT(A77,1)),"")),""),"")</f>
        <v/>
      </c>
      <c r="N77" s="25">
        <f>IF(L77=1,IF(ISNUMBER(FIND("#"&amp;MID(H77,1,1)&amp;"#","#0#1#2#3#4#5#6#7#8#9#")),IF(ISNUMBER(FIND("#"&amp;MID(H77,2,1)&amp;"#","#0#1#2#3#4#5#6#7#8#9#")),IF(AND(VALUE(LEFT(H77,2))&gt;=1,VALUE(LEFT(H77,2))&lt;=5),VALUE(LEFT(H77,2)),""),IF(AND(VALUE(LEFT(H77,1))&gt;=1,VALUE(LEFT(H77,1))&lt;=5),VALUE(LEFT(H77,1)),"")),""),"")</f>
        <v/>
      </c>
      <c r="O77" s="25">
        <f>IF(AND(L77=1,B77&lt;&gt;""),SUBSTITUTE(SUBSTITUTE(SUBSTITUTE(SUBSTITUTE(SUBSTITUTE(SUBSTITUTE(SUBSTITUTE(SUBSTITUTE(SUBSTITUTE(SUBSTITUTE(SUBSTITUTE(SUBSTITUTE(LOWER(TRIM(B77)),"á","a"),"é","e"),"í","i"),"ó","o"),"ú","u"),"ü","u"),"ñ","n"),"à","a"),"è","e"),"ì","i"),"ò","o"),"ù","u"),"")</f>
        <v/>
      </c>
      <c r="P77" s="25">
        <f>IF(AND(L77=1,C77&lt;&gt;""),SUBSTITUTE(SUBSTITUTE(SUBSTITUTE(SUBSTITUTE(SUBSTITUTE(SUBSTITUTE(SUBSTITUTE(SUBSTITUTE(SUBSTITUTE(SUBSTITUTE(SUBSTITUTE(SUBSTITUTE(LOWER(TRIM(C77)),"á","a"),"é","e"),"í","i"),"ó","o"),"ú","u"),"ü","u"),"ñ","n"),"à","a"),"è","e"),"ì","i"),"ò","o"),"ù","u"),"")</f>
        <v/>
      </c>
      <c r="Q77" s="25">
        <f>IF(AND(L77=1,E77&lt;&gt;""),SUBSTITUTE(SUBSTITUTE(SUBSTITUTE(SUBSTITUTE(SUBSTITUTE(SUBSTITUTE(SUBSTITUTE(SUBSTITUTE(SUBSTITUTE(SUBSTITUTE(SUBSTITUTE(SUBSTITUTE(LOWER(TRIM(E77)),"á","a"),"é","e"),"í","i"),"ó","o"),"ú","u"),"ü","u"),"ñ","n"),"à","a"),"è","e"),"ì","i"),"ò","o"),"ù","u"),"")</f>
        <v/>
      </c>
      <c r="R77" s="25">
        <f>IF(AND(L77=1,I77&lt;&gt;""),SUBSTITUTE(SUBSTITUTE(SUBSTITUTE(SUBSTITUTE(SUBSTITUTE(SUBSTITUTE(SUBSTITUTE(SUBSTITUTE(SUBSTITUTE(SUBSTITUTE(SUBSTITUTE(SUBSTITUTE(LOWER(TRIM(I77)),"á","a"),"é","e"),"í","i"),"ó","o"),"ú","u"),"ü","u"),"ñ","n"),"à","a"),"è","e"),"ì","i"),"ò","o"),"ù","u"),"")</f>
        <v/>
      </c>
      <c r="S77" s="25">
        <f>IF(R77="","",IF(OR(R77="si",R77="tal vez"),1,0))</f>
        <v/>
      </c>
      <c r="T77" s="25">
        <f>IF(AND(L77=1,D77&lt;&gt;""),IF(IFERROR(COUNTIFS(D$3:D77,"="&amp;SUBSTITUTE(SUBSTITUTE(SUBSTITUTE(D77,"~","~~"),"*","~*"),"?","~?"),L$3:L77,1),0)=1,MAX(T$2:T76)+1,""),"")</f>
        <v/>
      </c>
      <c r="U77" s="25">
        <f>IF(T77="","",COUNTIFS($D$3:$D$1002,"="&amp;SUBSTITUTE(SUBSTITUTE(SUBSTITUTE(D77,"~","~~"),"*","~*"),"?","~?"),$L$3:$L$1002,1)*10000-T77)</f>
        <v/>
      </c>
      <c r="V77" s="25">
        <f>IF(AND(L77=1,J77&lt;&gt;""),IF(IFERROR(COUNTIFS(J$3:J77,"="&amp;SUBSTITUTE(SUBSTITUTE(SUBSTITUTE(J77,"~","~~"),"*","~*"),"?","~?"),L$3:L77,1),0)=1,MAX(V$2:V76)+1,""),"")</f>
        <v/>
      </c>
      <c r="W77" s="25">
        <f>IF(V77="","",COUNTIFS($J$3:$J$1002,"="&amp;SUBSTITUTE(SUBSTITUTE(SUBSTITUTE(J77,"~","~~"),"*","~*"),"?","~?"),$L$3:$L$1002,1)*10000-V77)</f>
        <v/>
      </c>
    </row>
    <row r="78">
      <c r="A78">
        <f>IF(A$2=0,"",IFERROR(TRIM(INDEX('Pegar estudiantes'!$A$1:$BZ$1001,77,A$2)&amp;""),""))</f>
        <v/>
      </c>
      <c r="B78">
        <f>IF(B$2=0,"",IFERROR(TRIM(INDEX('Pegar estudiantes'!$A$1:$BZ$1001,77,B$2)&amp;""),""))</f>
        <v/>
      </c>
      <c r="C78">
        <f>IF(C$2=0,"",IFERROR(TRIM(INDEX('Pegar estudiantes'!$A$1:$BZ$1001,77,C$2)&amp;""),""))</f>
        <v/>
      </c>
      <c r="D78">
        <f>IF(D$2=0,"",IFERROR(TRIM(INDEX('Pegar estudiantes'!$A$1:$BZ$1001,77,D$2)&amp;""),""))</f>
        <v/>
      </c>
      <c r="E78">
        <f>IF(E$2=0,"",IFERROR(TRIM(INDEX('Pegar estudiantes'!$A$1:$BZ$1001,77,E$2)&amp;""),""))</f>
        <v/>
      </c>
      <c r="F78">
        <f>IF(F$2=0,"",IFERROR(TRIM(INDEX('Pegar estudiantes'!$A$1:$BZ$1001,77,F$2)&amp;""),""))</f>
        <v/>
      </c>
      <c r="G78">
        <f>IF(G$2=0,"",IFERROR(TRIM(INDEX('Pegar estudiantes'!$A$1:$BZ$1001,77,G$2)&amp;""),""))</f>
        <v/>
      </c>
      <c r="H78">
        <f>IF(H$2=0,"",IFERROR(TRIM(INDEX('Pegar estudiantes'!$A$1:$BZ$1001,77,H$2)&amp;""),""))</f>
        <v/>
      </c>
      <c r="I78">
        <f>IF(I$2=0,"",IFERROR(TRIM(INDEX('Pegar estudiantes'!$A$1:$BZ$1001,77,I$2)&amp;""),""))</f>
        <v/>
      </c>
      <c r="J78">
        <f>IF(J$2=0,"",IFERROR(TRIM(INDEX('Pegar estudiantes'!$A$1:$BZ$1001,77,J$2)&amp;""),""))</f>
        <v/>
      </c>
      <c r="K78">
        <f>IF(K$2=0,"",IFERROR(TRIM(INDEX('Pegar estudiantes'!$A$1:$BZ$1001,77,K$2)&amp;""),""))</f>
        <v/>
      </c>
      <c r="L78" s="25">
        <f>IF(A78&lt;&gt;"",1,"")</f>
        <v/>
      </c>
      <c r="M78" s="25">
        <f>IF(L78=1,IF(ISNUMBER(FIND("#"&amp;MID(A78,1,1)&amp;"#","#0#1#2#3#4#5#6#7#8#9#")),IF(ISNUMBER(FIND("#"&amp;MID(A78,2,1)&amp;"#","#0#1#2#3#4#5#6#7#8#9#")),IF(AND(VALUE(LEFT(A78,2))&gt;=1,VALUE(LEFT(A78,2))&lt;=5),VALUE(LEFT(A78,2)),""),IF(AND(VALUE(LEFT(A78,1))&gt;=1,VALUE(LEFT(A78,1))&lt;=5),VALUE(LEFT(A78,1)),"")),""),"")</f>
        <v/>
      </c>
      <c r="N78" s="25">
        <f>IF(L78=1,IF(ISNUMBER(FIND("#"&amp;MID(H78,1,1)&amp;"#","#0#1#2#3#4#5#6#7#8#9#")),IF(ISNUMBER(FIND("#"&amp;MID(H78,2,1)&amp;"#","#0#1#2#3#4#5#6#7#8#9#")),IF(AND(VALUE(LEFT(H78,2))&gt;=1,VALUE(LEFT(H78,2))&lt;=5),VALUE(LEFT(H78,2)),""),IF(AND(VALUE(LEFT(H78,1))&gt;=1,VALUE(LEFT(H78,1))&lt;=5),VALUE(LEFT(H78,1)),"")),""),"")</f>
        <v/>
      </c>
      <c r="O78" s="25">
        <f>IF(AND(L78=1,B78&lt;&gt;""),SUBSTITUTE(SUBSTITUTE(SUBSTITUTE(SUBSTITUTE(SUBSTITUTE(SUBSTITUTE(SUBSTITUTE(SUBSTITUTE(SUBSTITUTE(SUBSTITUTE(SUBSTITUTE(SUBSTITUTE(LOWER(TRIM(B78)),"á","a"),"é","e"),"í","i"),"ó","o"),"ú","u"),"ü","u"),"ñ","n"),"à","a"),"è","e"),"ì","i"),"ò","o"),"ù","u"),"")</f>
        <v/>
      </c>
      <c r="P78" s="25">
        <f>IF(AND(L78=1,C78&lt;&gt;""),SUBSTITUTE(SUBSTITUTE(SUBSTITUTE(SUBSTITUTE(SUBSTITUTE(SUBSTITUTE(SUBSTITUTE(SUBSTITUTE(SUBSTITUTE(SUBSTITUTE(SUBSTITUTE(SUBSTITUTE(LOWER(TRIM(C78)),"á","a"),"é","e"),"í","i"),"ó","o"),"ú","u"),"ü","u"),"ñ","n"),"à","a"),"è","e"),"ì","i"),"ò","o"),"ù","u"),"")</f>
        <v/>
      </c>
      <c r="Q78" s="25">
        <f>IF(AND(L78=1,E78&lt;&gt;""),SUBSTITUTE(SUBSTITUTE(SUBSTITUTE(SUBSTITUTE(SUBSTITUTE(SUBSTITUTE(SUBSTITUTE(SUBSTITUTE(SUBSTITUTE(SUBSTITUTE(SUBSTITUTE(SUBSTITUTE(LOWER(TRIM(E78)),"á","a"),"é","e"),"í","i"),"ó","o"),"ú","u"),"ü","u"),"ñ","n"),"à","a"),"è","e"),"ì","i"),"ò","o"),"ù","u"),"")</f>
        <v/>
      </c>
      <c r="R78" s="25">
        <f>IF(AND(L78=1,I78&lt;&gt;""),SUBSTITUTE(SUBSTITUTE(SUBSTITUTE(SUBSTITUTE(SUBSTITUTE(SUBSTITUTE(SUBSTITUTE(SUBSTITUTE(SUBSTITUTE(SUBSTITUTE(SUBSTITUTE(SUBSTITUTE(LOWER(TRIM(I78)),"á","a"),"é","e"),"í","i"),"ó","o"),"ú","u"),"ü","u"),"ñ","n"),"à","a"),"è","e"),"ì","i"),"ò","o"),"ù","u"),"")</f>
        <v/>
      </c>
      <c r="S78" s="25">
        <f>IF(R78="","",IF(OR(R78="si",R78="tal vez"),1,0))</f>
        <v/>
      </c>
      <c r="T78" s="25">
        <f>IF(AND(L78=1,D78&lt;&gt;""),IF(IFERROR(COUNTIFS(D$3:D78,"="&amp;SUBSTITUTE(SUBSTITUTE(SUBSTITUTE(D78,"~","~~"),"*","~*"),"?","~?"),L$3:L78,1),0)=1,MAX(T$2:T77)+1,""),"")</f>
        <v/>
      </c>
      <c r="U78" s="25">
        <f>IF(T78="","",COUNTIFS($D$3:$D$1002,"="&amp;SUBSTITUTE(SUBSTITUTE(SUBSTITUTE(D78,"~","~~"),"*","~*"),"?","~?"),$L$3:$L$1002,1)*10000-T78)</f>
        <v/>
      </c>
      <c r="V78" s="25">
        <f>IF(AND(L78=1,J78&lt;&gt;""),IF(IFERROR(COUNTIFS(J$3:J78,"="&amp;SUBSTITUTE(SUBSTITUTE(SUBSTITUTE(J78,"~","~~"),"*","~*"),"?","~?"),L$3:L78,1),0)=1,MAX(V$2:V77)+1,""),"")</f>
        <v/>
      </c>
      <c r="W78" s="25">
        <f>IF(V78="","",COUNTIFS($J$3:$J$1002,"="&amp;SUBSTITUTE(SUBSTITUTE(SUBSTITUTE(J78,"~","~~"),"*","~*"),"?","~?"),$L$3:$L$1002,1)*10000-V78)</f>
        <v/>
      </c>
    </row>
    <row r="79">
      <c r="A79">
        <f>IF(A$2=0,"",IFERROR(TRIM(INDEX('Pegar estudiantes'!$A$1:$BZ$1001,78,A$2)&amp;""),""))</f>
        <v/>
      </c>
      <c r="B79">
        <f>IF(B$2=0,"",IFERROR(TRIM(INDEX('Pegar estudiantes'!$A$1:$BZ$1001,78,B$2)&amp;""),""))</f>
        <v/>
      </c>
      <c r="C79">
        <f>IF(C$2=0,"",IFERROR(TRIM(INDEX('Pegar estudiantes'!$A$1:$BZ$1001,78,C$2)&amp;""),""))</f>
        <v/>
      </c>
      <c r="D79">
        <f>IF(D$2=0,"",IFERROR(TRIM(INDEX('Pegar estudiantes'!$A$1:$BZ$1001,78,D$2)&amp;""),""))</f>
        <v/>
      </c>
      <c r="E79">
        <f>IF(E$2=0,"",IFERROR(TRIM(INDEX('Pegar estudiantes'!$A$1:$BZ$1001,78,E$2)&amp;""),""))</f>
        <v/>
      </c>
      <c r="F79">
        <f>IF(F$2=0,"",IFERROR(TRIM(INDEX('Pegar estudiantes'!$A$1:$BZ$1001,78,F$2)&amp;""),""))</f>
        <v/>
      </c>
      <c r="G79">
        <f>IF(G$2=0,"",IFERROR(TRIM(INDEX('Pegar estudiantes'!$A$1:$BZ$1001,78,G$2)&amp;""),""))</f>
        <v/>
      </c>
      <c r="H79">
        <f>IF(H$2=0,"",IFERROR(TRIM(INDEX('Pegar estudiantes'!$A$1:$BZ$1001,78,H$2)&amp;""),""))</f>
        <v/>
      </c>
      <c r="I79">
        <f>IF(I$2=0,"",IFERROR(TRIM(INDEX('Pegar estudiantes'!$A$1:$BZ$1001,78,I$2)&amp;""),""))</f>
        <v/>
      </c>
      <c r="J79">
        <f>IF(J$2=0,"",IFERROR(TRIM(INDEX('Pegar estudiantes'!$A$1:$BZ$1001,78,J$2)&amp;""),""))</f>
        <v/>
      </c>
      <c r="K79">
        <f>IF(K$2=0,"",IFERROR(TRIM(INDEX('Pegar estudiantes'!$A$1:$BZ$1001,78,K$2)&amp;""),""))</f>
        <v/>
      </c>
      <c r="L79" s="25">
        <f>IF(A79&lt;&gt;"",1,"")</f>
        <v/>
      </c>
      <c r="M79" s="25">
        <f>IF(L79=1,IF(ISNUMBER(FIND("#"&amp;MID(A79,1,1)&amp;"#","#0#1#2#3#4#5#6#7#8#9#")),IF(ISNUMBER(FIND("#"&amp;MID(A79,2,1)&amp;"#","#0#1#2#3#4#5#6#7#8#9#")),IF(AND(VALUE(LEFT(A79,2))&gt;=1,VALUE(LEFT(A79,2))&lt;=5),VALUE(LEFT(A79,2)),""),IF(AND(VALUE(LEFT(A79,1))&gt;=1,VALUE(LEFT(A79,1))&lt;=5),VALUE(LEFT(A79,1)),"")),""),"")</f>
        <v/>
      </c>
      <c r="N79" s="25">
        <f>IF(L79=1,IF(ISNUMBER(FIND("#"&amp;MID(H79,1,1)&amp;"#","#0#1#2#3#4#5#6#7#8#9#")),IF(ISNUMBER(FIND("#"&amp;MID(H79,2,1)&amp;"#","#0#1#2#3#4#5#6#7#8#9#")),IF(AND(VALUE(LEFT(H79,2))&gt;=1,VALUE(LEFT(H79,2))&lt;=5),VALUE(LEFT(H79,2)),""),IF(AND(VALUE(LEFT(H79,1))&gt;=1,VALUE(LEFT(H79,1))&lt;=5),VALUE(LEFT(H79,1)),"")),""),"")</f>
        <v/>
      </c>
      <c r="O79" s="25">
        <f>IF(AND(L79=1,B79&lt;&gt;""),SUBSTITUTE(SUBSTITUTE(SUBSTITUTE(SUBSTITUTE(SUBSTITUTE(SUBSTITUTE(SUBSTITUTE(SUBSTITUTE(SUBSTITUTE(SUBSTITUTE(SUBSTITUTE(SUBSTITUTE(LOWER(TRIM(B79)),"á","a"),"é","e"),"í","i"),"ó","o"),"ú","u"),"ü","u"),"ñ","n"),"à","a"),"è","e"),"ì","i"),"ò","o"),"ù","u"),"")</f>
        <v/>
      </c>
      <c r="P79" s="25">
        <f>IF(AND(L79=1,C79&lt;&gt;""),SUBSTITUTE(SUBSTITUTE(SUBSTITUTE(SUBSTITUTE(SUBSTITUTE(SUBSTITUTE(SUBSTITUTE(SUBSTITUTE(SUBSTITUTE(SUBSTITUTE(SUBSTITUTE(SUBSTITUTE(LOWER(TRIM(C79)),"á","a"),"é","e"),"í","i"),"ó","o"),"ú","u"),"ü","u"),"ñ","n"),"à","a"),"è","e"),"ì","i"),"ò","o"),"ù","u"),"")</f>
        <v/>
      </c>
      <c r="Q79" s="25">
        <f>IF(AND(L79=1,E79&lt;&gt;""),SUBSTITUTE(SUBSTITUTE(SUBSTITUTE(SUBSTITUTE(SUBSTITUTE(SUBSTITUTE(SUBSTITUTE(SUBSTITUTE(SUBSTITUTE(SUBSTITUTE(SUBSTITUTE(SUBSTITUTE(LOWER(TRIM(E79)),"á","a"),"é","e"),"í","i"),"ó","o"),"ú","u"),"ü","u"),"ñ","n"),"à","a"),"è","e"),"ì","i"),"ò","o"),"ù","u"),"")</f>
        <v/>
      </c>
      <c r="R79" s="25">
        <f>IF(AND(L79=1,I79&lt;&gt;""),SUBSTITUTE(SUBSTITUTE(SUBSTITUTE(SUBSTITUTE(SUBSTITUTE(SUBSTITUTE(SUBSTITUTE(SUBSTITUTE(SUBSTITUTE(SUBSTITUTE(SUBSTITUTE(SUBSTITUTE(LOWER(TRIM(I79)),"á","a"),"é","e"),"í","i"),"ó","o"),"ú","u"),"ü","u"),"ñ","n"),"à","a"),"è","e"),"ì","i"),"ò","o"),"ù","u"),"")</f>
        <v/>
      </c>
      <c r="S79" s="25">
        <f>IF(R79="","",IF(OR(R79="si",R79="tal vez"),1,0))</f>
        <v/>
      </c>
      <c r="T79" s="25">
        <f>IF(AND(L79=1,D79&lt;&gt;""),IF(IFERROR(COUNTIFS(D$3:D79,"="&amp;SUBSTITUTE(SUBSTITUTE(SUBSTITUTE(D79,"~","~~"),"*","~*"),"?","~?"),L$3:L79,1),0)=1,MAX(T$2:T78)+1,""),"")</f>
        <v/>
      </c>
      <c r="U79" s="25">
        <f>IF(T79="","",COUNTIFS($D$3:$D$1002,"="&amp;SUBSTITUTE(SUBSTITUTE(SUBSTITUTE(D79,"~","~~"),"*","~*"),"?","~?"),$L$3:$L$1002,1)*10000-T79)</f>
        <v/>
      </c>
      <c r="V79" s="25">
        <f>IF(AND(L79=1,J79&lt;&gt;""),IF(IFERROR(COUNTIFS(J$3:J79,"="&amp;SUBSTITUTE(SUBSTITUTE(SUBSTITUTE(J79,"~","~~"),"*","~*"),"?","~?"),L$3:L79,1),0)=1,MAX(V$2:V78)+1,""),"")</f>
        <v/>
      </c>
      <c r="W79" s="25">
        <f>IF(V79="","",COUNTIFS($J$3:$J$1002,"="&amp;SUBSTITUTE(SUBSTITUTE(SUBSTITUTE(J79,"~","~~"),"*","~*"),"?","~?"),$L$3:$L$1002,1)*10000-V79)</f>
        <v/>
      </c>
    </row>
    <row r="80">
      <c r="A80">
        <f>IF(A$2=0,"",IFERROR(TRIM(INDEX('Pegar estudiantes'!$A$1:$BZ$1001,79,A$2)&amp;""),""))</f>
        <v/>
      </c>
      <c r="B80">
        <f>IF(B$2=0,"",IFERROR(TRIM(INDEX('Pegar estudiantes'!$A$1:$BZ$1001,79,B$2)&amp;""),""))</f>
        <v/>
      </c>
      <c r="C80">
        <f>IF(C$2=0,"",IFERROR(TRIM(INDEX('Pegar estudiantes'!$A$1:$BZ$1001,79,C$2)&amp;""),""))</f>
        <v/>
      </c>
      <c r="D80">
        <f>IF(D$2=0,"",IFERROR(TRIM(INDEX('Pegar estudiantes'!$A$1:$BZ$1001,79,D$2)&amp;""),""))</f>
        <v/>
      </c>
      <c r="E80">
        <f>IF(E$2=0,"",IFERROR(TRIM(INDEX('Pegar estudiantes'!$A$1:$BZ$1001,79,E$2)&amp;""),""))</f>
        <v/>
      </c>
      <c r="F80">
        <f>IF(F$2=0,"",IFERROR(TRIM(INDEX('Pegar estudiantes'!$A$1:$BZ$1001,79,F$2)&amp;""),""))</f>
        <v/>
      </c>
      <c r="G80">
        <f>IF(G$2=0,"",IFERROR(TRIM(INDEX('Pegar estudiantes'!$A$1:$BZ$1001,79,G$2)&amp;""),""))</f>
        <v/>
      </c>
      <c r="H80">
        <f>IF(H$2=0,"",IFERROR(TRIM(INDEX('Pegar estudiantes'!$A$1:$BZ$1001,79,H$2)&amp;""),""))</f>
        <v/>
      </c>
      <c r="I80">
        <f>IF(I$2=0,"",IFERROR(TRIM(INDEX('Pegar estudiantes'!$A$1:$BZ$1001,79,I$2)&amp;""),""))</f>
        <v/>
      </c>
      <c r="J80">
        <f>IF(J$2=0,"",IFERROR(TRIM(INDEX('Pegar estudiantes'!$A$1:$BZ$1001,79,J$2)&amp;""),""))</f>
        <v/>
      </c>
      <c r="K80">
        <f>IF(K$2=0,"",IFERROR(TRIM(INDEX('Pegar estudiantes'!$A$1:$BZ$1001,79,K$2)&amp;""),""))</f>
        <v/>
      </c>
      <c r="L80" s="25">
        <f>IF(A80&lt;&gt;"",1,"")</f>
        <v/>
      </c>
      <c r="M80" s="25">
        <f>IF(L80=1,IF(ISNUMBER(FIND("#"&amp;MID(A80,1,1)&amp;"#","#0#1#2#3#4#5#6#7#8#9#")),IF(ISNUMBER(FIND("#"&amp;MID(A80,2,1)&amp;"#","#0#1#2#3#4#5#6#7#8#9#")),IF(AND(VALUE(LEFT(A80,2))&gt;=1,VALUE(LEFT(A80,2))&lt;=5),VALUE(LEFT(A80,2)),""),IF(AND(VALUE(LEFT(A80,1))&gt;=1,VALUE(LEFT(A80,1))&lt;=5),VALUE(LEFT(A80,1)),"")),""),"")</f>
        <v/>
      </c>
      <c r="N80" s="25">
        <f>IF(L80=1,IF(ISNUMBER(FIND("#"&amp;MID(H80,1,1)&amp;"#","#0#1#2#3#4#5#6#7#8#9#")),IF(ISNUMBER(FIND("#"&amp;MID(H80,2,1)&amp;"#","#0#1#2#3#4#5#6#7#8#9#")),IF(AND(VALUE(LEFT(H80,2))&gt;=1,VALUE(LEFT(H80,2))&lt;=5),VALUE(LEFT(H80,2)),""),IF(AND(VALUE(LEFT(H80,1))&gt;=1,VALUE(LEFT(H80,1))&lt;=5),VALUE(LEFT(H80,1)),"")),""),"")</f>
        <v/>
      </c>
      <c r="O80" s="25">
        <f>IF(AND(L80=1,B80&lt;&gt;""),SUBSTITUTE(SUBSTITUTE(SUBSTITUTE(SUBSTITUTE(SUBSTITUTE(SUBSTITUTE(SUBSTITUTE(SUBSTITUTE(SUBSTITUTE(SUBSTITUTE(SUBSTITUTE(SUBSTITUTE(LOWER(TRIM(B80)),"á","a"),"é","e"),"í","i"),"ó","o"),"ú","u"),"ü","u"),"ñ","n"),"à","a"),"è","e"),"ì","i"),"ò","o"),"ù","u"),"")</f>
        <v/>
      </c>
      <c r="P80" s="25">
        <f>IF(AND(L80=1,C80&lt;&gt;""),SUBSTITUTE(SUBSTITUTE(SUBSTITUTE(SUBSTITUTE(SUBSTITUTE(SUBSTITUTE(SUBSTITUTE(SUBSTITUTE(SUBSTITUTE(SUBSTITUTE(SUBSTITUTE(SUBSTITUTE(LOWER(TRIM(C80)),"á","a"),"é","e"),"í","i"),"ó","o"),"ú","u"),"ü","u"),"ñ","n"),"à","a"),"è","e"),"ì","i"),"ò","o"),"ù","u"),"")</f>
        <v/>
      </c>
      <c r="Q80" s="25">
        <f>IF(AND(L80=1,E80&lt;&gt;""),SUBSTITUTE(SUBSTITUTE(SUBSTITUTE(SUBSTITUTE(SUBSTITUTE(SUBSTITUTE(SUBSTITUTE(SUBSTITUTE(SUBSTITUTE(SUBSTITUTE(SUBSTITUTE(SUBSTITUTE(LOWER(TRIM(E80)),"á","a"),"é","e"),"í","i"),"ó","o"),"ú","u"),"ü","u"),"ñ","n"),"à","a"),"è","e"),"ì","i"),"ò","o"),"ù","u"),"")</f>
        <v/>
      </c>
      <c r="R80" s="25">
        <f>IF(AND(L80=1,I80&lt;&gt;""),SUBSTITUTE(SUBSTITUTE(SUBSTITUTE(SUBSTITUTE(SUBSTITUTE(SUBSTITUTE(SUBSTITUTE(SUBSTITUTE(SUBSTITUTE(SUBSTITUTE(SUBSTITUTE(SUBSTITUTE(LOWER(TRIM(I80)),"á","a"),"é","e"),"í","i"),"ó","o"),"ú","u"),"ü","u"),"ñ","n"),"à","a"),"è","e"),"ì","i"),"ò","o"),"ù","u"),"")</f>
        <v/>
      </c>
      <c r="S80" s="25">
        <f>IF(R80="","",IF(OR(R80="si",R80="tal vez"),1,0))</f>
        <v/>
      </c>
      <c r="T80" s="25">
        <f>IF(AND(L80=1,D80&lt;&gt;""),IF(IFERROR(COUNTIFS(D$3:D80,"="&amp;SUBSTITUTE(SUBSTITUTE(SUBSTITUTE(D80,"~","~~"),"*","~*"),"?","~?"),L$3:L80,1),0)=1,MAX(T$2:T79)+1,""),"")</f>
        <v/>
      </c>
      <c r="U80" s="25">
        <f>IF(T80="","",COUNTIFS($D$3:$D$1002,"="&amp;SUBSTITUTE(SUBSTITUTE(SUBSTITUTE(D80,"~","~~"),"*","~*"),"?","~?"),$L$3:$L$1002,1)*10000-T80)</f>
        <v/>
      </c>
      <c r="V80" s="25">
        <f>IF(AND(L80=1,J80&lt;&gt;""),IF(IFERROR(COUNTIFS(J$3:J80,"="&amp;SUBSTITUTE(SUBSTITUTE(SUBSTITUTE(J80,"~","~~"),"*","~*"),"?","~?"),L$3:L80,1),0)=1,MAX(V$2:V79)+1,""),"")</f>
        <v/>
      </c>
      <c r="W80" s="25">
        <f>IF(V80="","",COUNTIFS($J$3:$J$1002,"="&amp;SUBSTITUTE(SUBSTITUTE(SUBSTITUTE(J80,"~","~~"),"*","~*"),"?","~?"),$L$3:$L$1002,1)*10000-V80)</f>
        <v/>
      </c>
    </row>
    <row r="81">
      <c r="A81">
        <f>IF(A$2=0,"",IFERROR(TRIM(INDEX('Pegar estudiantes'!$A$1:$BZ$1001,80,A$2)&amp;""),""))</f>
        <v/>
      </c>
      <c r="B81">
        <f>IF(B$2=0,"",IFERROR(TRIM(INDEX('Pegar estudiantes'!$A$1:$BZ$1001,80,B$2)&amp;""),""))</f>
        <v/>
      </c>
      <c r="C81">
        <f>IF(C$2=0,"",IFERROR(TRIM(INDEX('Pegar estudiantes'!$A$1:$BZ$1001,80,C$2)&amp;""),""))</f>
        <v/>
      </c>
      <c r="D81">
        <f>IF(D$2=0,"",IFERROR(TRIM(INDEX('Pegar estudiantes'!$A$1:$BZ$1001,80,D$2)&amp;""),""))</f>
        <v/>
      </c>
      <c r="E81">
        <f>IF(E$2=0,"",IFERROR(TRIM(INDEX('Pegar estudiantes'!$A$1:$BZ$1001,80,E$2)&amp;""),""))</f>
        <v/>
      </c>
      <c r="F81">
        <f>IF(F$2=0,"",IFERROR(TRIM(INDEX('Pegar estudiantes'!$A$1:$BZ$1001,80,F$2)&amp;""),""))</f>
        <v/>
      </c>
      <c r="G81">
        <f>IF(G$2=0,"",IFERROR(TRIM(INDEX('Pegar estudiantes'!$A$1:$BZ$1001,80,G$2)&amp;""),""))</f>
        <v/>
      </c>
      <c r="H81">
        <f>IF(H$2=0,"",IFERROR(TRIM(INDEX('Pegar estudiantes'!$A$1:$BZ$1001,80,H$2)&amp;""),""))</f>
        <v/>
      </c>
      <c r="I81">
        <f>IF(I$2=0,"",IFERROR(TRIM(INDEX('Pegar estudiantes'!$A$1:$BZ$1001,80,I$2)&amp;""),""))</f>
        <v/>
      </c>
      <c r="J81">
        <f>IF(J$2=0,"",IFERROR(TRIM(INDEX('Pegar estudiantes'!$A$1:$BZ$1001,80,J$2)&amp;""),""))</f>
        <v/>
      </c>
      <c r="K81">
        <f>IF(K$2=0,"",IFERROR(TRIM(INDEX('Pegar estudiantes'!$A$1:$BZ$1001,80,K$2)&amp;""),""))</f>
        <v/>
      </c>
      <c r="L81" s="25">
        <f>IF(A81&lt;&gt;"",1,"")</f>
        <v/>
      </c>
      <c r="M81" s="25">
        <f>IF(L81=1,IF(ISNUMBER(FIND("#"&amp;MID(A81,1,1)&amp;"#","#0#1#2#3#4#5#6#7#8#9#")),IF(ISNUMBER(FIND("#"&amp;MID(A81,2,1)&amp;"#","#0#1#2#3#4#5#6#7#8#9#")),IF(AND(VALUE(LEFT(A81,2))&gt;=1,VALUE(LEFT(A81,2))&lt;=5),VALUE(LEFT(A81,2)),""),IF(AND(VALUE(LEFT(A81,1))&gt;=1,VALUE(LEFT(A81,1))&lt;=5),VALUE(LEFT(A81,1)),"")),""),"")</f>
        <v/>
      </c>
      <c r="N81" s="25">
        <f>IF(L81=1,IF(ISNUMBER(FIND("#"&amp;MID(H81,1,1)&amp;"#","#0#1#2#3#4#5#6#7#8#9#")),IF(ISNUMBER(FIND("#"&amp;MID(H81,2,1)&amp;"#","#0#1#2#3#4#5#6#7#8#9#")),IF(AND(VALUE(LEFT(H81,2))&gt;=1,VALUE(LEFT(H81,2))&lt;=5),VALUE(LEFT(H81,2)),""),IF(AND(VALUE(LEFT(H81,1))&gt;=1,VALUE(LEFT(H81,1))&lt;=5),VALUE(LEFT(H81,1)),"")),""),"")</f>
        <v/>
      </c>
      <c r="O81" s="25">
        <f>IF(AND(L81=1,B81&lt;&gt;""),SUBSTITUTE(SUBSTITUTE(SUBSTITUTE(SUBSTITUTE(SUBSTITUTE(SUBSTITUTE(SUBSTITUTE(SUBSTITUTE(SUBSTITUTE(SUBSTITUTE(SUBSTITUTE(SUBSTITUTE(LOWER(TRIM(B81)),"á","a"),"é","e"),"í","i"),"ó","o"),"ú","u"),"ü","u"),"ñ","n"),"à","a"),"è","e"),"ì","i"),"ò","o"),"ù","u"),"")</f>
        <v/>
      </c>
      <c r="P81" s="25">
        <f>IF(AND(L81=1,C81&lt;&gt;""),SUBSTITUTE(SUBSTITUTE(SUBSTITUTE(SUBSTITUTE(SUBSTITUTE(SUBSTITUTE(SUBSTITUTE(SUBSTITUTE(SUBSTITUTE(SUBSTITUTE(SUBSTITUTE(SUBSTITUTE(LOWER(TRIM(C81)),"á","a"),"é","e"),"í","i"),"ó","o"),"ú","u"),"ü","u"),"ñ","n"),"à","a"),"è","e"),"ì","i"),"ò","o"),"ù","u"),"")</f>
        <v/>
      </c>
      <c r="Q81" s="25">
        <f>IF(AND(L81=1,E81&lt;&gt;""),SUBSTITUTE(SUBSTITUTE(SUBSTITUTE(SUBSTITUTE(SUBSTITUTE(SUBSTITUTE(SUBSTITUTE(SUBSTITUTE(SUBSTITUTE(SUBSTITUTE(SUBSTITUTE(SUBSTITUTE(LOWER(TRIM(E81)),"á","a"),"é","e"),"í","i"),"ó","o"),"ú","u"),"ü","u"),"ñ","n"),"à","a"),"è","e"),"ì","i"),"ò","o"),"ù","u"),"")</f>
        <v/>
      </c>
      <c r="R81" s="25">
        <f>IF(AND(L81=1,I81&lt;&gt;""),SUBSTITUTE(SUBSTITUTE(SUBSTITUTE(SUBSTITUTE(SUBSTITUTE(SUBSTITUTE(SUBSTITUTE(SUBSTITUTE(SUBSTITUTE(SUBSTITUTE(SUBSTITUTE(SUBSTITUTE(LOWER(TRIM(I81)),"á","a"),"é","e"),"í","i"),"ó","o"),"ú","u"),"ü","u"),"ñ","n"),"à","a"),"è","e"),"ì","i"),"ò","o"),"ù","u"),"")</f>
        <v/>
      </c>
      <c r="S81" s="25">
        <f>IF(R81="","",IF(OR(R81="si",R81="tal vez"),1,0))</f>
        <v/>
      </c>
      <c r="T81" s="25">
        <f>IF(AND(L81=1,D81&lt;&gt;""),IF(IFERROR(COUNTIFS(D$3:D81,"="&amp;SUBSTITUTE(SUBSTITUTE(SUBSTITUTE(D81,"~","~~"),"*","~*"),"?","~?"),L$3:L81,1),0)=1,MAX(T$2:T80)+1,""),"")</f>
        <v/>
      </c>
      <c r="U81" s="25">
        <f>IF(T81="","",COUNTIFS($D$3:$D$1002,"="&amp;SUBSTITUTE(SUBSTITUTE(SUBSTITUTE(D81,"~","~~"),"*","~*"),"?","~?"),$L$3:$L$1002,1)*10000-T81)</f>
        <v/>
      </c>
      <c r="V81" s="25">
        <f>IF(AND(L81=1,J81&lt;&gt;""),IF(IFERROR(COUNTIFS(J$3:J81,"="&amp;SUBSTITUTE(SUBSTITUTE(SUBSTITUTE(J81,"~","~~"),"*","~*"),"?","~?"),L$3:L81,1),0)=1,MAX(V$2:V80)+1,""),"")</f>
        <v/>
      </c>
      <c r="W81" s="25">
        <f>IF(V81="","",COUNTIFS($J$3:$J$1002,"="&amp;SUBSTITUTE(SUBSTITUTE(SUBSTITUTE(J81,"~","~~"),"*","~*"),"?","~?"),$L$3:$L$1002,1)*10000-V81)</f>
        <v/>
      </c>
    </row>
    <row r="82">
      <c r="A82">
        <f>IF(A$2=0,"",IFERROR(TRIM(INDEX('Pegar estudiantes'!$A$1:$BZ$1001,81,A$2)&amp;""),""))</f>
        <v/>
      </c>
      <c r="B82">
        <f>IF(B$2=0,"",IFERROR(TRIM(INDEX('Pegar estudiantes'!$A$1:$BZ$1001,81,B$2)&amp;""),""))</f>
        <v/>
      </c>
      <c r="C82">
        <f>IF(C$2=0,"",IFERROR(TRIM(INDEX('Pegar estudiantes'!$A$1:$BZ$1001,81,C$2)&amp;""),""))</f>
        <v/>
      </c>
      <c r="D82">
        <f>IF(D$2=0,"",IFERROR(TRIM(INDEX('Pegar estudiantes'!$A$1:$BZ$1001,81,D$2)&amp;""),""))</f>
        <v/>
      </c>
      <c r="E82">
        <f>IF(E$2=0,"",IFERROR(TRIM(INDEX('Pegar estudiantes'!$A$1:$BZ$1001,81,E$2)&amp;""),""))</f>
        <v/>
      </c>
      <c r="F82">
        <f>IF(F$2=0,"",IFERROR(TRIM(INDEX('Pegar estudiantes'!$A$1:$BZ$1001,81,F$2)&amp;""),""))</f>
        <v/>
      </c>
      <c r="G82">
        <f>IF(G$2=0,"",IFERROR(TRIM(INDEX('Pegar estudiantes'!$A$1:$BZ$1001,81,G$2)&amp;""),""))</f>
        <v/>
      </c>
      <c r="H82">
        <f>IF(H$2=0,"",IFERROR(TRIM(INDEX('Pegar estudiantes'!$A$1:$BZ$1001,81,H$2)&amp;""),""))</f>
        <v/>
      </c>
      <c r="I82">
        <f>IF(I$2=0,"",IFERROR(TRIM(INDEX('Pegar estudiantes'!$A$1:$BZ$1001,81,I$2)&amp;""),""))</f>
        <v/>
      </c>
      <c r="J82">
        <f>IF(J$2=0,"",IFERROR(TRIM(INDEX('Pegar estudiantes'!$A$1:$BZ$1001,81,J$2)&amp;""),""))</f>
        <v/>
      </c>
      <c r="K82">
        <f>IF(K$2=0,"",IFERROR(TRIM(INDEX('Pegar estudiantes'!$A$1:$BZ$1001,81,K$2)&amp;""),""))</f>
        <v/>
      </c>
      <c r="L82" s="25">
        <f>IF(A82&lt;&gt;"",1,"")</f>
        <v/>
      </c>
      <c r="M82" s="25">
        <f>IF(L82=1,IF(ISNUMBER(FIND("#"&amp;MID(A82,1,1)&amp;"#","#0#1#2#3#4#5#6#7#8#9#")),IF(ISNUMBER(FIND("#"&amp;MID(A82,2,1)&amp;"#","#0#1#2#3#4#5#6#7#8#9#")),IF(AND(VALUE(LEFT(A82,2))&gt;=1,VALUE(LEFT(A82,2))&lt;=5),VALUE(LEFT(A82,2)),""),IF(AND(VALUE(LEFT(A82,1))&gt;=1,VALUE(LEFT(A82,1))&lt;=5),VALUE(LEFT(A82,1)),"")),""),"")</f>
        <v/>
      </c>
      <c r="N82" s="25">
        <f>IF(L82=1,IF(ISNUMBER(FIND("#"&amp;MID(H82,1,1)&amp;"#","#0#1#2#3#4#5#6#7#8#9#")),IF(ISNUMBER(FIND("#"&amp;MID(H82,2,1)&amp;"#","#0#1#2#3#4#5#6#7#8#9#")),IF(AND(VALUE(LEFT(H82,2))&gt;=1,VALUE(LEFT(H82,2))&lt;=5),VALUE(LEFT(H82,2)),""),IF(AND(VALUE(LEFT(H82,1))&gt;=1,VALUE(LEFT(H82,1))&lt;=5),VALUE(LEFT(H82,1)),"")),""),"")</f>
        <v/>
      </c>
      <c r="O82" s="25">
        <f>IF(AND(L82=1,B82&lt;&gt;""),SUBSTITUTE(SUBSTITUTE(SUBSTITUTE(SUBSTITUTE(SUBSTITUTE(SUBSTITUTE(SUBSTITUTE(SUBSTITUTE(SUBSTITUTE(SUBSTITUTE(SUBSTITUTE(SUBSTITUTE(LOWER(TRIM(B82)),"á","a"),"é","e"),"í","i"),"ó","o"),"ú","u"),"ü","u"),"ñ","n"),"à","a"),"è","e"),"ì","i"),"ò","o"),"ù","u"),"")</f>
        <v/>
      </c>
      <c r="P82" s="25">
        <f>IF(AND(L82=1,C82&lt;&gt;""),SUBSTITUTE(SUBSTITUTE(SUBSTITUTE(SUBSTITUTE(SUBSTITUTE(SUBSTITUTE(SUBSTITUTE(SUBSTITUTE(SUBSTITUTE(SUBSTITUTE(SUBSTITUTE(SUBSTITUTE(LOWER(TRIM(C82)),"á","a"),"é","e"),"í","i"),"ó","o"),"ú","u"),"ü","u"),"ñ","n"),"à","a"),"è","e"),"ì","i"),"ò","o"),"ù","u"),"")</f>
        <v/>
      </c>
      <c r="Q82" s="25">
        <f>IF(AND(L82=1,E82&lt;&gt;""),SUBSTITUTE(SUBSTITUTE(SUBSTITUTE(SUBSTITUTE(SUBSTITUTE(SUBSTITUTE(SUBSTITUTE(SUBSTITUTE(SUBSTITUTE(SUBSTITUTE(SUBSTITUTE(SUBSTITUTE(LOWER(TRIM(E82)),"á","a"),"é","e"),"í","i"),"ó","o"),"ú","u"),"ü","u"),"ñ","n"),"à","a"),"è","e"),"ì","i"),"ò","o"),"ù","u"),"")</f>
        <v/>
      </c>
      <c r="R82" s="25">
        <f>IF(AND(L82=1,I82&lt;&gt;""),SUBSTITUTE(SUBSTITUTE(SUBSTITUTE(SUBSTITUTE(SUBSTITUTE(SUBSTITUTE(SUBSTITUTE(SUBSTITUTE(SUBSTITUTE(SUBSTITUTE(SUBSTITUTE(SUBSTITUTE(LOWER(TRIM(I82)),"á","a"),"é","e"),"í","i"),"ó","o"),"ú","u"),"ü","u"),"ñ","n"),"à","a"),"è","e"),"ì","i"),"ò","o"),"ù","u"),"")</f>
        <v/>
      </c>
      <c r="S82" s="25">
        <f>IF(R82="","",IF(OR(R82="si",R82="tal vez"),1,0))</f>
        <v/>
      </c>
      <c r="T82" s="25">
        <f>IF(AND(L82=1,D82&lt;&gt;""),IF(IFERROR(COUNTIFS(D$3:D82,"="&amp;SUBSTITUTE(SUBSTITUTE(SUBSTITUTE(D82,"~","~~"),"*","~*"),"?","~?"),L$3:L82,1),0)=1,MAX(T$2:T81)+1,""),"")</f>
        <v/>
      </c>
      <c r="U82" s="25">
        <f>IF(T82="","",COUNTIFS($D$3:$D$1002,"="&amp;SUBSTITUTE(SUBSTITUTE(SUBSTITUTE(D82,"~","~~"),"*","~*"),"?","~?"),$L$3:$L$1002,1)*10000-T82)</f>
        <v/>
      </c>
      <c r="V82" s="25">
        <f>IF(AND(L82=1,J82&lt;&gt;""),IF(IFERROR(COUNTIFS(J$3:J82,"="&amp;SUBSTITUTE(SUBSTITUTE(SUBSTITUTE(J82,"~","~~"),"*","~*"),"?","~?"),L$3:L82,1),0)=1,MAX(V$2:V81)+1,""),"")</f>
        <v/>
      </c>
      <c r="W82" s="25">
        <f>IF(V82="","",COUNTIFS($J$3:$J$1002,"="&amp;SUBSTITUTE(SUBSTITUTE(SUBSTITUTE(J82,"~","~~"),"*","~*"),"?","~?"),$L$3:$L$1002,1)*10000-V82)</f>
        <v/>
      </c>
    </row>
    <row r="83">
      <c r="A83">
        <f>IF(A$2=0,"",IFERROR(TRIM(INDEX('Pegar estudiantes'!$A$1:$BZ$1001,82,A$2)&amp;""),""))</f>
        <v/>
      </c>
      <c r="B83">
        <f>IF(B$2=0,"",IFERROR(TRIM(INDEX('Pegar estudiantes'!$A$1:$BZ$1001,82,B$2)&amp;""),""))</f>
        <v/>
      </c>
      <c r="C83">
        <f>IF(C$2=0,"",IFERROR(TRIM(INDEX('Pegar estudiantes'!$A$1:$BZ$1001,82,C$2)&amp;""),""))</f>
        <v/>
      </c>
      <c r="D83">
        <f>IF(D$2=0,"",IFERROR(TRIM(INDEX('Pegar estudiantes'!$A$1:$BZ$1001,82,D$2)&amp;""),""))</f>
        <v/>
      </c>
      <c r="E83">
        <f>IF(E$2=0,"",IFERROR(TRIM(INDEX('Pegar estudiantes'!$A$1:$BZ$1001,82,E$2)&amp;""),""))</f>
        <v/>
      </c>
      <c r="F83">
        <f>IF(F$2=0,"",IFERROR(TRIM(INDEX('Pegar estudiantes'!$A$1:$BZ$1001,82,F$2)&amp;""),""))</f>
        <v/>
      </c>
      <c r="G83">
        <f>IF(G$2=0,"",IFERROR(TRIM(INDEX('Pegar estudiantes'!$A$1:$BZ$1001,82,G$2)&amp;""),""))</f>
        <v/>
      </c>
      <c r="H83">
        <f>IF(H$2=0,"",IFERROR(TRIM(INDEX('Pegar estudiantes'!$A$1:$BZ$1001,82,H$2)&amp;""),""))</f>
        <v/>
      </c>
      <c r="I83">
        <f>IF(I$2=0,"",IFERROR(TRIM(INDEX('Pegar estudiantes'!$A$1:$BZ$1001,82,I$2)&amp;""),""))</f>
        <v/>
      </c>
      <c r="J83">
        <f>IF(J$2=0,"",IFERROR(TRIM(INDEX('Pegar estudiantes'!$A$1:$BZ$1001,82,J$2)&amp;""),""))</f>
        <v/>
      </c>
      <c r="K83">
        <f>IF(K$2=0,"",IFERROR(TRIM(INDEX('Pegar estudiantes'!$A$1:$BZ$1001,82,K$2)&amp;""),""))</f>
        <v/>
      </c>
      <c r="L83" s="25">
        <f>IF(A83&lt;&gt;"",1,"")</f>
        <v/>
      </c>
      <c r="M83" s="25">
        <f>IF(L83=1,IF(ISNUMBER(FIND("#"&amp;MID(A83,1,1)&amp;"#","#0#1#2#3#4#5#6#7#8#9#")),IF(ISNUMBER(FIND("#"&amp;MID(A83,2,1)&amp;"#","#0#1#2#3#4#5#6#7#8#9#")),IF(AND(VALUE(LEFT(A83,2))&gt;=1,VALUE(LEFT(A83,2))&lt;=5),VALUE(LEFT(A83,2)),""),IF(AND(VALUE(LEFT(A83,1))&gt;=1,VALUE(LEFT(A83,1))&lt;=5),VALUE(LEFT(A83,1)),"")),""),"")</f>
        <v/>
      </c>
      <c r="N83" s="25">
        <f>IF(L83=1,IF(ISNUMBER(FIND("#"&amp;MID(H83,1,1)&amp;"#","#0#1#2#3#4#5#6#7#8#9#")),IF(ISNUMBER(FIND("#"&amp;MID(H83,2,1)&amp;"#","#0#1#2#3#4#5#6#7#8#9#")),IF(AND(VALUE(LEFT(H83,2))&gt;=1,VALUE(LEFT(H83,2))&lt;=5),VALUE(LEFT(H83,2)),""),IF(AND(VALUE(LEFT(H83,1))&gt;=1,VALUE(LEFT(H83,1))&lt;=5),VALUE(LEFT(H83,1)),"")),""),"")</f>
        <v/>
      </c>
      <c r="O83" s="25">
        <f>IF(AND(L83=1,B83&lt;&gt;""),SUBSTITUTE(SUBSTITUTE(SUBSTITUTE(SUBSTITUTE(SUBSTITUTE(SUBSTITUTE(SUBSTITUTE(SUBSTITUTE(SUBSTITUTE(SUBSTITUTE(SUBSTITUTE(SUBSTITUTE(LOWER(TRIM(B83)),"á","a"),"é","e"),"í","i"),"ó","o"),"ú","u"),"ü","u"),"ñ","n"),"à","a"),"è","e"),"ì","i"),"ò","o"),"ù","u"),"")</f>
        <v/>
      </c>
      <c r="P83" s="25">
        <f>IF(AND(L83=1,C83&lt;&gt;""),SUBSTITUTE(SUBSTITUTE(SUBSTITUTE(SUBSTITUTE(SUBSTITUTE(SUBSTITUTE(SUBSTITUTE(SUBSTITUTE(SUBSTITUTE(SUBSTITUTE(SUBSTITUTE(SUBSTITUTE(LOWER(TRIM(C83)),"á","a"),"é","e"),"í","i"),"ó","o"),"ú","u"),"ü","u"),"ñ","n"),"à","a"),"è","e"),"ì","i"),"ò","o"),"ù","u"),"")</f>
        <v/>
      </c>
      <c r="Q83" s="25">
        <f>IF(AND(L83=1,E83&lt;&gt;""),SUBSTITUTE(SUBSTITUTE(SUBSTITUTE(SUBSTITUTE(SUBSTITUTE(SUBSTITUTE(SUBSTITUTE(SUBSTITUTE(SUBSTITUTE(SUBSTITUTE(SUBSTITUTE(SUBSTITUTE(LOWER(TRIM(E83)),"á","a"),"é","e"),"í","i"),"ó","o"),"ú","u"),"ü","u"),"ñ","n"),"à","a"),"è","e"),"ì","i"),"ò","o"),"ù","u"),"")</f>
        <v/>
      </c>
      <c r="R83" s="25">
        <f>IF(AND(L83=1,I83&lt;&gt;""),SUBSTITUTE(SUBSTITUTE(SUBSTITUTE(SUBSTITUTE(SUBSTITUTE(SUBSTITUTE(SUBSTITUTE(SUBSTITUTE(SUBSTITUTE(SUBSTITUTE(SUBSTITUTE(SUBSTITUTE(LOWER(TRIM(I83)),"á","a"),"é","e"),"í","i"),"ó","o"),"ú","u"),"ü","u"),"ñ","n"),"à","a"),"è","e"),"ì","i"),"ò","o"),"ù","u"),"")</f>
        <v/>
      </c>
      <c r="S83" s="25">
        <f>IF(R83="","",IF(OR(R83="si",R83="tal vez"),1,0))</f>
        <v/>
      </c>
      <c r="T83" s="25">
        <f>IF(AND(L83=1,D83&lt;&gt;""),IF(IFERROR(COUNTIFS(D$3:D83,"="&amp;SUBSTITUTE(SUBSTITUTE(SUBSTITUTE(D83,"~","~~"),"*","~*"),"?","~?"),L$3:L83,1),0)=1,MAX(T$2:T82)+1,""),"")</f>
        <v/>
      </c>
      <c r="U83" s="25">
        <f>IF(T83="","",COUNTIFS($D$3:$D$1002,"="&amp;SUBSTITUTE(SUBSTITUTE(SUBSTITUTE(D83,"~","~~"),"*","~*"),"?","~?"),$L$3:$L$1002,1)*10000-T83)</f>
        <v/>
      </c>
      <c r="V83" s="25">
        <f>IF(AND(L83=1,J83&lt;&gt;""),IF(IFERROR(COUNTIFS(J$3:J83,"="&amp;SUBSTITUTE(SUBSTITUTE(SUBSTITUTE(J83,"~","~~"),"*","~*"),"?","~?"),L$3:L83,1),0)=1,MAX(V$2:V82)+1,""),"")</f>
        <v/>
      </c>
      <c r="W83" s="25">
        <f>IF(V83="","",COUNTIFS($J$3:$J$1002,"="&amp;SUBSTITUTE(SUBSTITUTE(SUBSTITUTE(J83,"~","~~"),"*","~*"),"?","~?"),$L$3:$L$1002,1)*10000-V83)</f>
        <v/>
      </c>
    </row>
    <row r="84">
      <c r="A84">
        <f>IF(A$2=0,"",IFERROR(TRIM(INDEX('Pegar estudiantes'!$A$1:$BZ$1001,83,A$2)&amp;""),""))</f>
        <v/>
      </c>
      <c r="B84">
        <f>IF(B$2=0,"",IFERROR(TRIM(INDEX('Pegar estudiantes'!$A$1:$BZ$1001,83,B$2)&amp;""),""))</f>
        <v/>
      </c>
      <c r="C84">
        <f>IF(C$2=0,"",IFERROR(TRIM(INDEX('Pegar estudiantes'!$A$1:$BZ$1001,83,C$2)&amp;""),""))</f>
        <v/>
      </c>
      <c r="D84">
        <f>IF(D$2=0,"",IFERROR(TRIM(INDEX('Pegar estudiantes'!$A$1:$BZ$1001,83,D$2)&amp;""),""))</f>
        <v/>
      </c>
      <c r="E84">
        <f>IF(E$2=0,"",IFERROR(TRIM(INDEX('Pegar estudiantes'!$A$1:$BZ$1001,83,E$2)&amp;""),""))</f>
        <v/>
      </c>
      <c r="F84">
        <f>IF(F$2=0,"",IFERROR(TRIM(INDEX('Pegar estudiantes'!$A$1:$BZ$1001,83,F$2)&amp;""),""))</f>
        <v/>
      </c>
      <c r="G84">
        <f>IF(G$2=0,"",IFERROR(TRIM(INDEX('Pegar estudiantes'!$A$1:$BZ$1001,83,G$2)&amp;""),""))</f>
        <v/>
      </c>
      <c r="H84">
        <f>IF(H$2=0,"",IFERROR(TRIM(INDEX('Pegar estudiantes'!$A$1:$BZ$1001,83,H$2)&amp;""),""))</f>
        <v/>
      </c>
      <c r="I84">
        <f>IF(I$2=0,"",IFERROR(TRIM(INDEX('Pegar estudiantes'!$A$1:$BZ$1001,83,I$2)&amp;""),""))</f>
        <v/>
      </c>
      <c r="J84">
        <f>IF(J$2=0,"",IFERROR(TRIM(INDEX('Pegar estudiantes'!$A$1:$BZ$1001,83,J$2)&amp;""),""))</f>
        <v/>
      </c>
      <c r="K84">
        <f>IF(K$2=0,"",IFERROR(TRIM(INDEX('Pegar estudiantes'!$A$1:$BZ$1001,83,K$2)&amp;""),""))</f>
        <v/>
      </c>
      <c r="L84" s="25">
        <f>IF(A84&lt;&gt;"",1,"")</f>
        <v/>
      </c>
      <c r="M84" s="25">
        <f>IF(L84=1,IF(ISNUMBER(FIND("#"&amp;MID(A84,1,1)&amp;"#","#0#1#2#3#4#5#6#7#8#9#")),IF(ISNUMBER(FIND("#"&amp;MID(A84,2,1)&amp;"#","#0#1#2#3#4#5#6#7#8#9#")),IF(AND(VALUE(LEFT(A84,2))&gt;=1,VALUE(LEFT(A84,2))&lt;=5),VALUE(LEFT(A84,2)),""),IF(AND(VALUE(LEFT(A84,1))&gt;=1,VALUE(LEFT(A84,1))&lt;=5),VALUE(LEFT(A84,1)),"")),""),"")</f>
        <v/>
      </c>
      <c r="N84" s="25">
        <f>IF(L84=1,IF(ISNUMBER(FIND("#"&amp;MID(H84,1,1)&amp;"#","#0#1#2#3#4#5#6#7#8#9#")),IF(ISNUMBER(FIND("#"&amp;MID(H84,2,1)&amp;"#","#0#1#2#3#4#5#6#7#8#9#")),IF(AND(VALUE(LEFT(H84,2))&gt;=1,VALUE(LEFT(H84,2))&lt;=5),VALUE(LEFT(H84,2)),""),IF(AND(VALUE(LEFT(H84,1))&gt;=1,VALUE(LEFT(H84,1))&lt;=5),VALUE(LEFT(H84,1)),"")),""),"")</f>
        <v/>
      </c>
      <c r="O84" s="25">
        <f>IF(AND(L84=1,B84&lt;&gt;""),SUBSTITUTE(SUBSTITUTE(SUBSTITUTE(SUBSTITUTE(SUBSTITUTE(SUBSTITUTE(SUBSTITUTE(SUBSTITUTE(SUBSTITUTE(SUBSTITUTE(SUBSTITUTE(SUBSTITUTE(LOWER(TRIM(B84)),"á","a"),"é","e"),"í","i"),"ó","o"),"ú","u"),"ü","u"),"ñ","n"),"à","a"),"è","e"),"ì","i"),"ò","o"),"ù","u"),"")</f>
        <v/>
      </c>
      <c r="P84" s="25">
        <f>IF(AND(L84=1,C84&lt;&gt;""),SUBSTITUTE(SUBSTITUTE(SUBSTITUTE(SUBSTITUTE(SUBSTITUTE(SUBSTITUTE(SUBSTITUTE(SUBSTITUTE(SUBSTITUTE(SUBSTITUTE(SUBSTITUTE(SUBSTITUTE(LOWER(TRIM(C84)),"á","a"),"é","e"),"í","i"),"ó","o"),"ú","u"),"ü","u"),"ñ","n"),"à","a"),"è","e"),"ì","i"),"ò","o"),"ù","u"),"")</f>
        <v/>
      </c>
      <c r="Q84" s="25">
        <f>IF(AND(L84=1,E84&lt;&gt;""),SUBSTITUTE(SUBSTITUTE(SUBSTITUTE(SUBSTITUTE(SUBSTITUTE(SUBSTITUTE(SUBSTITUTE(SUBSTITUTE(SUBSTITUTE(SUBSTITUTE(SUBSTITUTE(SUBSTITUTE(LOWER(TRIM(E84)),"á","a"),"é","e"),"í","i"),"ó","o"),"ú","u"),"ü","u"),"ñ","n"),"à","a"),"è","e"),"ì","i"),"ò","o"),"ù","u"),"")</f>
        <v/>
      </c>
      <c r="R84" s="25">
        <f>IF(AND(L84=1,I84&lt;&gt;""),SUBSTITUTE(SUBSTITUTE(SUBSTITUTE(SUBSTITUTE(SUBSTITUTE(SUBSTITUTE(SUBSTITUTE(SUBSTITUTE(SUBSTITUTE(SUBSTITUTE(SUBSTITUTE(SUBSTITUTE(LOWER(TRIM(I84)),"á","a"),"é","e"),"í","i"),"ó","o"),"ú","u"),"ü","u"),"ñ","n"),"à","a"),"è","e"),"ì","i"),"ò","o"),"ù","u"),"")</f>
        <v/>
      </c>
      <c r="S84" s="25">
        <f>IF(R84="","",IF(OR(R84="si",R84="tal vez"),1,0))</f>
        <v/>
      </c>
      <c r="T84" s="25">
        <f>IF(AND(L84=1,D84&lt;&gt;""),IF(IFERROR(COUNTIFS(D$3:D84,"="&amp;SUBSTITUTE(SUBSTITUTE(SUBSTITUTE(D84,"~","~~"),"*","~*"),"?","~?"),L$3:L84,1),0)=1,MAX(T$2:T83)+1,""),"")</f>
        <v/>
      </c>
      <c r="U84" s="25">
        <f>IF(T84="","",COUNTIFS($D$3:$D$1002,"="&amp;SUBSTITUTE(SUBSTITUTE(SUBSTITUTE(D84,"~","~~"),"*","~*"),"?","~?"),$L$3:$L$1002,1)*10000-T84)</f>
        <v/>
      </c>
      <c r="V84" s="25">
        <f>IF(AND(L84=1,J84&lt;&gt;""),IF(IFERROR(COUNTIFS(J$3:J84,"="&amp;SUBSTITUTE(SUBSTITUTE(SUBSTITUTE(J84,"~","~~"),"*","~*"),"?","~?"),L$3:L84,1),0)=1,MAX(V$2:V83)+1,""),"")</f>
        <v/>
      </c>
      <c r="W84" s="25">
        <f>IF(V84="","",COUNTIFS($J$3:$J$1002,"="&amp;SUBSTITUTE(SUBSTITUTE(SUBSTITUTE(J84,"~","~~"),"*","~*"),"?","~?"),$L$3:$L$1002,1)*10000-V84)</f>
        <v/>
      </c>
    </row>
    <row r="85">
      <c r="A85">
        <f>IF(A$2=0,"",IFERROR(TRIM(INDEX('Pegar estudiantes'!$A$1:$BZ$1001,84,A$2)&amp;""),""))</f>
        <v/>
      </c>
      <c r="B85">
        <f>IF(B$2=0,"",IFERROR(TRIM(INDEX('Pegar estudiantes'!$A$1:$BZ$1001,84,B$2)&amp;""),""))</f>
        <v/>
      </c>
      <c r="C85">
        <f>IF(C$2=0,"",IFERROR(TRIM(INDEX('Pegar estudiantes'!$A$1:$BZ$1001,84,C$2)&amp;""),""))</f>
        <v/>
      </c>
      <c r="D85">
        <f>IF(D$2=0,"",IFERROR(TRIM(INDEX('Pegar estudiantes'!$A$1:$BZ$1001,84,D$2)&amp;""),""))</f>
        <v/>
      </c>
      <c r="E85">
        <f>IF(E$2=0,"",IFERROR(TRIM(INDEX('Pegar estudiantes'!$A$1:$BZ$1001,84,E$2)&amp;""),""))</f>
        <v/>
      </c>
      <c r="F85">
        <f>IF(F$2=0,"",IFERROR(TRIM(INDEX('Pegar estudiantes'!$A$1:$BZ$1001,84,F$2)&amp;""),""))</f>
        <v/>
      </c>
      <c r="G85">
        <f>IF(G$2=0,"",IFERROR(TRIM(INDEX('Pegar estudiantes'!$A$1:$BZ$1001,84,G$2)&amp;""),""))</f>
        <v/>
      </c>
      <c r="H85">
        <f>IF(H$2=0,"",IFERROR(TRIM(INDEX('Pegar estudiantes'!$A$1:$BZ$1001,84,H$2)&amp;""),""))</f>
        <v/>
      </c>
      <c r="I85">
        <f>IF(I$2=0,"",IFERROR(TRIM(INDEX('Pegar estudiantes'!$A$1:$BZ$1001,84,I$2)&amp;""),""))</f>
        <v/>
      </c>
      <c r="J85">
        <f>IF(J$2=0,"",IFERROR(TRIM(INDEX('Pegar estudiantes'!$A$1:$BZ$1001,84,J$2)&amp;""),""))</f>
        <v/>
      </c>
      <c r="K85">
        <f>IF(K$2=0,"",IFERROR(TRIM(INDEX('Pegar estudiantes'!$A$1:$BZ$1001,84,K$2)&amp;""),""))</f>
        <v/>
      </c>
      <c r="L85" s="25">
        <f>IF(A85&lt;&gt;"",1,"")</f>
        <v/>
      </c>
      <c r="M85" s="25">
        <f>IF(L85=1,IF(ISNUMBER(FIND("#"&amp;MID(A85,1,1)&amp;"#","#0#1#2#3#4#5#6#7#8#9#")),IF(ISNUMBER(FIND("#"&amp;MID(A85,2,1)&amp;"#","#0#1#2#3#4#5#6#7#8#9#")),IF(AND(VALUE(LEFT(A85,2))&gt;=1,VALUE(LEFT(A85,2))&lt;=5),VALUE(LEFT(A85,2)),""),IF(AND(VALUE(LEFT(A85,1))&gt;=1,VALUE(LEFT(A85,1))&lt;=5),VALUE(LEFT(A85,1)),"")),""),"")</f>
        <v/>
      </c>
      <c r="N85" s="25">
        <f>IF(L85=1,IF(ISNUMBER(FIND("#"&amp;MID(H85,1,1)&amp;"#","#0#1#2#3#4#5#6#7#8#9#")),IF(ISNUMBER(FIND("#"&amp;MID(H85,2,1)&amp;"#","#0#1#2#3#4#5#6#7#8#9#")),IF(AND(VALUE(LEFT(H85,2))&gt;=1,VALUE(LEFT(H85,2))&lt;=5),VALUE(LEFT(H85,2)),""),IF(AND(VALUE(LEFT(H85,1))&gt;=1,VALUE(LEFT(H85,1))&lt;=5),VALUE(LEFT(H85,1)),"")),""),"")</f>
        <v/>
      </c>
      <c r="O85" s="25">
        <f>IF(AND(L85=1,B85&lt;&gt;""),SUBSTITUTE(SUBSTITUTE(SUBSTITUTE(SUBSTITUTE(SUBSTITUTE(SUBSTITUTE(SUBSTITUTE(SUBSTITUTE(SUBSTITUTE(SUBSTITUTE(SUBSTITUTE(SUBSTITUTE(LOWER(TRIM(B85)),"á","a"),"é","e"),"í","i"),"ó","o"),"ú","u"),"ü","u"),"ñ","n"),"à","a"),"è","e"),"ì","i"),"ò","o"),"ù","u"),"")</f>
        <v/>
      </c>
      <c r="P85" s="25">
        <f>IF(AND(L85=1,C85&lt;&gt;""),SUBSTITUTE(SUBSTITUTE(SUBSTITUTE(SUBSTITUTE(SUBSTITUTE(SUBSTITUTE(SUBSTITUTE(SUBSTITUTE(SUBSTITUTE(SUBSTITUTE(SUBSTITUTE(SUBSTITUTE(LOWER(TRIM(C85)),"á","a"),"é","e"),"í","i"),"ó","o"),"ú","u"),"ü","u"),"ñ","n"),"à","a"),"è","e"),"ì","i"),"ò","o"),"ù","u"),"")</f>
        <v/>
      </c>
      <c r="Q85" s="25">
        <f>IF(AND(L85=1,E85&lt;&gt;""),SUBSTITUTE(SUBSTITUTE(SUBSTITUTE(SUBSTITUTE(SUBSTITUTE(SUBSTITUTE(SUBSTITUTE(SUBSTITUTE(SUBSTITUTE(SUBSTITUTE(SUBSTITUTE(SUBSTITUTE(LOWER(TRIM(E85)),"á","a"),"é","e"),"í","i"),"ó","o"),"ú","u"),"ü","u"),"ñ","n"),"à","a"),"è","e"),"ì","i"),"ò","o"),"ù","u"),"")</f>
        <v/>
      </c>
      <c r="R85" s="25">
        <f>IF(AND(L85=1,I85&lt;&gt;""),SUBSTITUTE(SUBSTITUTE(SUBSTITUTE(SUBSTITUTE(SUBSTITUTE(SUBSTITUTE(SUBSTITUTE(SUBSTITUTE(SUBSTITUTE(SUBSTITUTE(SUBSTITUTE(SUBSTITUTE(LOWER(TRIM(I85)),"á","a"),"é","e"),"í","i"),"ó","o"),"ú","u"),"ü","u"),"ñ","n"),"à","a"),"è","e"),"ì","i"),"ò","o"),"ù","u"),"")</f>
        <v/>
      </c>
      <c r="S85" s="25">
        <f>IF(R85="","",IF(OR(R85="si",R85="tal vez"),1,0))</f>
        <v/>
      </c>
      <c r="T85" s="25">
        <f>IF(AND(L85=1,D85&lt;&gt;""),IF(IFERROR(COUNTIFS(D$3:D85,"="&amp;SUBSTITUTE(SUBSTITUTE(SUBSTITUTE(D85,"~","~~"),"*","~*"),"?","~?"),L$3:L85,1),0)=1,MAX(T$2:T84)+1,""),"")</f>
        <v/>
      </c>
      <c r="U85" s="25">
        <f>IF(T85="","",COUNTIFS($D$3:$D$1002,"="&amp;SUBSTITUTE(SUBSTITUTE(SUBSTITUTE(D85,"~","~~"),"*","~*"),"?","~?"),$L$3:$L$1002,1)*10000-T85)</f>
        <v/>
      </c>
      <c r="V85" s="25">
        <f>IF(AND(L85=1,J85&lt;&gt;""),IF(IFERROR(COUNTIFS(J$3:J85,"="&amp;SUBSTITUTE(SUBSTITUTE(SUBSTITUTE(J85,"~","~~"),"*","~*"),"?","~?"),L$3:L85,1),0)=1,MAX(V$2:V84)+1,""),"")</f>
        <v/>
      </c>
      <c r="W85" s="25">
        <f>IF(V85="","",COUNTIFS($J$3:$J$1002,"="&amp;SUBSTITUTE(SUBSTITUTE(SUBSTITUTE(J85,"~","~~"),"*","~*"),"?","~?"),$L$3:$L$1002,1)*10000-V85)</f>
        <v/>
      </c>
    </row>
    <row r="86">
      <c r="A86">
        <f>IF(A$2=0,"",IFERROR(TRIM(INDEX('Pegar estudiantes'!$A$1:$BZ$1001,85,A$2)&amp;""),""))</f>
        <v/>
      </c>
      <c r="B86">
        <f>IF(B$2=0,"",IFERROR(TRIM(INDEX('Pegar estudiantes'!$A$1:$BZ$1001,85,B$2)&amp;""),""))</f>
        <v/>
      </c>
      <c r="C86">
        <f>IF(C$2=0,"",IFERROR(TRIM(INDEX('Pegar estudiantes'!$A$1:$BZ$1001,85,C$2)&amp;""),""))</f>
        <v/>
      </c>
      <c r="D86">
        <f>IF(D$2=0,"",IFERROR(TRIM(INDEX('Pegar estudiantes'!$A$1:$BZ$1001,85,D$2)&amp;""),""))</f>
        <v/>
      </c>
      <c r="E86">
        <f>IF(E$2=0,"",IFERROR(TRIM(INDEX('Pegar estudiantes'!$A$1:$BZ$1001,85,E$2)&amp;""),""))</f>
        <v/>
      </c>
      <c r="F86">
        <f>IF(F$2=0,"",IFERROR(TRIM(INDEX('Pegar estudiantes'!$A$1:$BZ$1001,85,F$2)&amp;""),""))</f>
        <v/>
      </c>
      <c r="G86">
        <f>IF(G$2=0,"",IFERROR(TRIM(INDEX('Pegar estudiantes'!$A$1:$BZ$1001,85,G$2)&amp;""),""))</f>
        <v/>
      </c>
      <c r="H86">
        <f>IF(H$2=0,"",IFERROR(TRIM(INDEX('Pegar estudiantes'!$A$1:$BZ$1001,85,H$2)&amp;""),""))</f>
        <v/>
      </c>
      <c r="I86">
        <f>IF(I$2=0,"",IFERROR(TRIM(INDEX('Pegar estudiantes'!$A$1:$BZ$1001,85,I$2)&amp;""),""))</f>
        <v/>
      </c>
      <c r="J86">
        <f>IF(J$2=0,"",IFERROR(TRIM(INDEX('Pegar estudiantes'!$A$1:$BZ$1001,85,J$2)&amp;""),""))</f>
        <v/>
      </c>
      <c r="K86">
        <f>IF(K$2=0,"",IFERROR(TRIM(INDEX('Pegar estudiantes'!$A$1:$BZ$1001,85,K$2)&amp;""),""))</f>
        <v/>
      </c>
      <c r="L86" s="25">
        <f>IF(A86&lt;&gt;"",1,"")</f>
        <v/>
      </c>
      <c r="M86" s="25">
        <f>IF(L86=1,IF(ISNUMBER(FIND("#"&amp;MID(A86,1,1)&amp;"#","#0#1#2#3#4#5#6#7#8#9#")),IF(ISNUMBER(FIND("#"&amp;MID(A86,2,1)&amp;"#","#0#1#2#3#4#5#6#7#8#9#")),IF(AND(VALUE(LEFT(A86,2))&gt;=1,VALUE(LEFT(A86,2))&lt;=5),VALUE(LEFT(A86,2)),""),IF(AND(VALUE(LEFT(A86,1))&gt;=1,VALUE(LEFT(A86,1))&lt;=5),VALUE(LEFT(A86,1)),"")),""),"")</f>
        <v/>
      </c>
      <c r="N86" s="25">
        <f>IF(L86=1,IF(ISNUMBER(FIND("#"&amp;MID(H86,1,1)&amp;"#","#0#1#2#3#4#5#6#7#8#9#")),IF(ISNUMBER(FIND("#"&amp;MID(H86,2,1)&amp;"#","#0#1#2#3#4#5#6#7#8#9#")),IF(AND(VALUE(LEFT(H86,2))&gt;=1,VALUE(LEFT(H86,2))&lt;=5),VALUE(LEFT(H86,2)),""),IF(AND(VALUE(LEFT(H86,1))&gt;=1,VALUE(LEFT(H86,1))&lt;=5),VALUE(LEFT(H86,1)),"")),""),"")</f>
        <v/>
      </c>
      <c r="O86" s="25">
        <f>IF(AND(L86=1,B86&lt;&gt;""),SUBSTITUTE(SUBSTITUTE(SUBSTITUTE(SUBSTITUTE(SUBSTITUTE(SUBSTITUTE(SUBSTITUTE(SUBSTITUTE(SUBSTITUTE(SUBSTITUTE(SUBSTITUTE(SUBSTITUTE(LOWER(TRIM(B86)),"á","a"),"é","e"),"í","i"),"ó","o"),"ú","u"),"ü","u"),"ñ","n"),"à","a"),"è","e"),"ì","i"),"ò","o"),"ù","u"),"")</f>
        <v/>
      </c>
      <c r="P86" s="25">
        <f>IF(AND(L86=1,C86&lt;&gt;""),SUBSTITUTE(SUBSTITUTE(SUBSTITUTE(SUBSTITUTE(SUBSTITUTE(SUBSTITUTE(SUBSTITUTE(SUBSTITUTE(SUBSTITUTE(SUBSTITUTE(SUBSTITUTE(SUBSTITUTE(LOWER(TRIM(C86)),"á","a"),"é","e"),"í","i"),"ó","o"),"ú","u"),"ü","u"),"ñ","n"),"à","a"),"è","e"),"ì","i"),"ò","o"),"ù","u"),"")</f>
        <v/>
      </c>
      <c r="Q86" s="25">
        <f>IF(AND(L86=1,E86&lt;&gt;""),SUBSTITUTE(SUBSTITUTE(SUBSTITUTE(SUBSTITUTE(SUBSTITUTE(SUBSTITUTE(SUBSTITUTE(SUBSTITUTE(SUBSTITUTE(SUBSTITUTE(SUBSTITUTE(SUBSTITUTE(LOWER(TRIM(E86)),"á","a"),"é","e"),"í","i"),"ó","o"),"ú","u"),"ü","u"),"ñ","n"),"à","a"),"è","e"),"ì","i"),"ò","o"),"ù","u"),"")</f>
        <v/>
      </c>
      <c r="R86" s="25">
        <f>IF(AND(L86=1,I86&lt;&gt;""),SUBSTITUTE(SUBSTITUTE(SUBSTITUTE(SUBSTITUTE(SUBSTITUTE(SUBSTITUTE(SUBSTITUTE(SUBSTITUTE(SUBSTITUTE(SUBSTITUTE(SUBSTITUTE(SUBSTITUTE(LOWER(TRIM(I86)),"á","a"),"é","e"),"í","i"),"ó","o"),"ú","u"),"ü","u"),"ñ","n"),"à","a"),"è","e"),"ì","i"),"ò","o"),"ù","u"),"")</f>
        <v/>
      </c>
      <c r="S86" s="25">
        <f>IF(R86="","",IF(OR(R86="si",R86="tal vez"),1,0))</f>
        <v/>
      </c>
      <c r="T86" s="25">
        <f>IF(AND(L86=1,D86&lt;&gt;""),IF(IFERROR(COUNTIFS(D$3:D86,"="&amp;SUBSTITUTE(SUBSTITUTE(SUBSTITUTE(D86,"~","~~"),"*","~*"),"?","~?"),L$3:L86,1),0)=1,MAX(T$2:T85)+1,""),"")</f>
        <v/>
      </c>
      <c r="U86" s="25">
        <f>IF(T86="","",COUNTIFS($D$3:$D$1002,"="&amp;SUBSTITUTE(SUBSTITUTE(SUBSTITUTE(D86,"~","~~"),"*","~*"),"?","~?"),$L$3:$L$1002,1)*10000-T86)</f>
        <v/>
      </c>
      <c r="V86" s="25">
        <f>IF(AND(L86=1,J86&lt;&gt;""),IF(IFERROR(COUNTIFS(J$3:J86,"="&amp;SUBSTITUTE(SUBSTITUTE(SUBSTITUTE(J86,"~","~~"),"*","~*"),"?","~?"),L$3:L86,1),0)=1,MAX(V$2:V85)+1,""),"")</f>
        <v/>
      </c>
      <c r="W86" s="25">
        <f>IF(V86="","",COUNTIFS($J$3:$J$1002,"="&amp;SUBSTITUTE(SUBSTITUTE(SUBSTITUTE(J86,"~","~~"),"*","~*"),"?","~?"),$L$3:$L$1002,1)*10000-V86)</f>
        <v/>
      </c>
    </row>
    <row r="87">
      <c r="A87">
        <f>IF(A$2=0,"",IFERROR(TRIM(INDEX('Pegar estudiantes'!$A$1:$BZ$1001,86,A$2)&amp;""),""))</f>
        <v/>
      </c>
      <c r="B87">
        <f>IF(B$2=0,"",IFERROR(TRIM(INDEX('Pegar estudiantes'!$A$1:$BZ$1001,86,B$2)&amp;""),""))</f>
        <v/>
      </c>
      <c r="C87">
        <f>IF(C$2=0,"",IFERROR(TRIM(INDEX('Pegar estudiantes'!$A$1:$BZ$1001,86,C$2)&amp;""),""))</f>
        <v/>
      </c>
      <c r="D87">
        <f>IF(D$2=0,"",IFERROR(TRIM(INDEX('Pegar estudiantes'!$A$1:$BZ$1001,86,D$2)&amp;""),""))</f>
        <v/>
      </c>
      <c r="E87">
        <f>IF(E$2=0,"",IFERROR(TRIM(INDEX('Pegar estudiantes'!$A$1:$BZ$1001,86,E$2)&amp;""),""))</f>
        <v/>
      </c>
      <c r="F87">
        <f>IF(F$2=0,"",IFERROR(TRIM(INDEX('Pegar estudiantes'!$A$1:$BZ$1001,86,F$2)&amp;""),""))</f>
        <v/>
      </c>
      <c r="G87">
        <f>IF(G$2=0,"",IFERROR(TRIM(INDEX('Pegar estudiantes'!$A$1:$BZ$1001,86,G$2)&amp;""),""))</f>
        <v/>
      </c>
      <c r="H87">
        <f>IF(H$2=0,"",IFERROR(TRIM(INDEX('Pegar estudiantes'!$A$1:$BZ$1001,86,H$2)&amp;""),""))</f>
        <v/>
      </c>
      <c r="I87">
        <f>IF(I$2=0,"",IFERROR(TRIM(INDEX('Pegar estudiantes'!$A$1:$BZ$1001,86,I$2)&amp;""),""))</f>
        <v/>
      </c>
      <c r="J87">
        <f>IF(J$2=0,"",IFERROR(TRIM(INDEX('Pegar estudiantes'!$A$1:$BZ$1001,86,J$2)&amp;""),""))</f>
        <v/>
      </c>
      <c r="K87">
        <f>IF(K$2=0,"",IFERROR(TRIM(INDEX('Pegar estudiantes'!$A$1:$BZ$1001,86,K$2)&amp;""),""))</f>
        <v/>
      </c>
      <c r="L87" s="25">
        <f>IF(A87&lt;&gt;"",1,"")</f>
        <v/>
      </c>
      <c r="M87" s="25">
        <f>IF(L87=1,IF(ISNUMBER(FIND("#"&amp;MID(A87,1,1)&amp;"#","#0#1#2#3#4#5#6#7#8#9#")),IF(ISNUMBER(FIND("#"&amp;MID(A87,2,1)&amp;"#","#0#1#2#3#4#5#6#7#8#9#")),IF(AND(VALUE(LEFT(A87,2))&gt;=1,VALUE(LEFT(A87,2))&lt;=5),VALUE(LEFT(A87,2)),""),IF(AND(VALUE(LEFT(A87,1))&gt;=1,VALUE(LEFT(A87,1))&lt;=5),VALUE(LEFT(A87,1)),"")),""),"")</f>
        <v/>
      </c>
      <c r="N87" s="25">
        <f>IF(L87=1,IF(ISNUMBER(FIND("#"&amp;MID(H87,1,1)&amp;"#","#0#1#2#3#4#5#6#7#8#9#")),IF(ISNUMBER(FIND("#"&amp;MID(H87,2,1)&amp;"#","#0#1#2#3#4#5#6#7#8#9#")),IF(AND(VALUE(LEFT(H87,2))&gt;=1,VALUE(LEFT(H87,2))&lt;=5),VALUE(LEFT(H87,2)),""),IF(AND(VALUE(LEFT(H87,1))&gt;=1,VALUE(LEFT(H87,1))&lt;=5),VALUE(LEFT(H87,1)),"")),""),"")</f>
        <v/>
      </c>
      <c r="O87" s="25">
        <f>IF(AND(L87=1,B87&lt;&gt;""),SUBSTITUTE(SUBSTITUTE(SUBSTITUTE(SUBSTITUTE(SUBSTITUTE(SUBSTITUTE(SUBSTITUTE(SUBSTITUTE(SUBSTITUTE(SUBSTITUTE(SUBSTITUTE(SUBSTITUTE(LOWER(TRIM(B87)),"á","a"),"é","e"),"í","i"),"ó","o"),"ú","u"),"ü","u"),"ñ","n"),"à","a"),"è","e"),"ì","i"),"ò","o"),"ù","u"),"")</f>
        <v/>
      </c>
      <c r="P87" s="25">
        <f>IF(AND(L87=1,C87&lt;&gt;""),SUBSTITUTE(SUBSTITUTE(SUBSTITUTE(SUBSTITUTE(SUBSTITUTE(SUBSTITUTE(SUBSTITUTE(SUBSTITUTE(SUBSTITUTE(SUBSTITUTE(SUBSTITUTE(SUBSTITUTE(LOWER(TRIM(C87)),"á","a"),"é","e"),"í","i"),"ó","o"),"ú","u"),"ü","u"),"ñ","n"),"à","a"),"è","e"),"ì","i"),"ò","o"),"ù","u"),"")</f>
        <v/>
      </c>
      <c r="Q87" s="25">
        <f>IF(AND(L87=1,E87&lt;&gt;""),SUBSTITUTE(SUBSTITUTE(SUBSTITUTE(SUBSTITUTE(SUBSTITUTE(SUBSTITUTE(SUBSTITUTE(SUBSTITUTE(SUBSTITUTE(SUBSTITUTE(SUBSTITUTE(SUBSTITUTE(LOWER(TRIM(E87)),"á","a"),"é","e"),"í","i"),"ó","o"),"ú","u"),"ü","u"),"ñ","n"),"à","a"),"è","e"),"ì","i"),"ò","o"),"ù","u"),"")</f>
        <v/>
      </c>
      <c r="R87" s="25">
        <f>IF(AND(L87=1,I87&lt;&gt;""),SUBSTITUTE(SUBSTITUTE(SUBSTITUTE(SUBSTITUTE(SUBSTITUTE(SUBSTITUTE(SUBSTITUTE(SUBSTITUTE(SUBSTITUTE(SUBSTITUTE(SUBSTITUTE(SUBSTITUTE(LOWER(TRIM(I87)),"á","a"),"é","e"),"í","i"),"ó","o"),"ú","u"),"ü","u"),"ñ","n"),"à","a"),"è","e"),"ì","i"),"ò","o"),"ù","u"),"")</f>
        <v/>
      </c>
      <c r="S87" s="25">
        <f>IF(R87="","",IF(OR(R87="si",R87="tal vez"),1,0))</f>
        <v/>
      </c>
      <c r="T87" s="25">
        <f>IF(AND(L87=1,D87&lt;&gt;""),IF(IFERROR(COUNTIFS(D$3:D87,"="&amp;SUBSTITUTE(SUBSTITUTE(SUBSTITUTE(D87,"~","~~"),"*","~*"),"?","~?"),L$3:L87,1),0)=1,MAX(T$2:T86)+1,""),"")</f>
        <v/>
      </c>
      <c r="U87" s="25">
        <f>IF(T87="","",COUNTIFS($D$3:$D$1002,"="&amp;SUBSTITUTE(SUBSTITUTE(SUBSTITUTE(D87,"~","~~"),"*","~*"),"?","~?"),$L$3:$L$1002,1)*10000-T87)</f>
        <v/>
      </c>
      <c r="V87" s="25">
        <f>IF(AND(L87=1,J87&lt;&gt;""),IF(IFERROR(COUNTIFS(J$3:J87,"="&amp;SUBSTITUTE(SUBSTITUTE(SUBSTITUTE(J87,"~","~~"),"*","~*"),"?","~?"),L$3:L87,1),0)=1,MAX(V$2:V86)+1,""),"")</f>
        <v/>
      </c>
      <c r="W87" s="25">
        <f>IF(V87="","",COUNTIFS($J$3:$J$1002,"="&amp;SUBSTITUTE(SUBSTITUTE(SUBSTITUTE(J87,"~","~~"),"*","~*"),"?","~?"),$L$3:$L$1002,1)*10000-V87)</f>
        <v/>
      </c>
    </row>
    <row r="88">
      <c r="A88">
        <f>IF(A$2=0,"",IFERROR(TRIM(INDEX('Pegar estudiantes'!$A$1:$BZ$1001,87,A$2)&amp;""),""))</f>
        <v/>
      </c>
      <c r="B88">
        <f>IF(B$2=0,"",IFERROR(TRIM(INDEX('Pegar estudiantes'!$A$1:$BZ$1001,87,B$2)&amp;""),""))</f>
        <v/>
      </c>
      <c r="C88">
        <f>IF(C$2=0,"",IFERROR(TRIM(INDEX('Pegar estudiantes'!$A$1:$BZ$1001,87,C$2)&amp;""),""))</f>
        <v/>
      </c>
      <c r="D88">
        <f>IF(D$2=0,"",IFERROR(TRIM(INDEX('Pegar estudiantes'!$A$1:$BZ$1001,87,D$2)&amp;""),""))</f>
        <v/>
      </c>
      <c r="E88">
        <f>IF(E$2=0,"",IFERROR(TRIM(INDEX('Pegar estudiantes'!$A$1:$BZ$1001,87,E$2)&amp;""),""))</f>
        <v/>
      </c>
      <c r="F88">
        <f>IF(F$2=0,"",IFERROR(TRIM(INDEX('Pegar estudiantes'!$A$1:$BZ$1001,87,F$2)&amp;""),""))</f>
        <v/>
      </c>
      <c r="G88">
        <f>IF(G$2=0,"",IFERROR(TRIM(INDEX('Pegar estudiantes'!$A$1:$BZ$1001,87,G$2)&amp;""),""))</f>
        <v/>
      </c>
      <c r="H88">
        <f>IF(H$2=0,"",IFERROR(TRIM(INDEX('Pegar estudiantes'!$A$1:$BZ$1001,87,H$2)&amp;""),""))</f>
        <v/>
      </c>
      <c r="I88">
        <f>IF(I$2=0,"",IFERROR(TRIM(INDEX('Pegar estudiantes'!$A$1:$BZ$1001,87,I$2)&amp;""),""))</f>
        <v/>
      </c>
      <c r="J88">
        <f>IF(J$2=0,"",IFERROR(TRIM(INDEX('Pegar estudiantes'!$A$1:$BZ$1001,87,J$2)&amp;""),""))</f>
        <v/>
      </c>
      <c r="K88">
        <f>IF(K$2=0,"",IFERROR(TRIM(INDEX('Pegar estudiantes'!$A$1:$BZ$1001,87,K$2)&amp;""),""))</f>
        <v/>
      </c>
      <c r="L88" s="25">
        <f>IF(A88&lt;&gt;"",1,"")</f>
        <v/>
      </c>
      <c r="M88" s="25">
        <f>IF(L88=1,IF(ISNUMBER(FIND("#"&amp;MID(A88,1,1)&amp;"#","#0#1#2#3#4#5#6#7#8#9#")),IF(ISNUMBER(FIND("#"&amp;MID(A88,2,1)&amp;"#","#0#1#2#3#4#5#6#7#8#9#")),IF(AND(VALUE(LEFT(A88,2))&gt;=1,VALUE(LEFT(A88,2))&lt;=5),VALUE(LEFT(A88,2)),""),IF(AND(VALUE(LEFT(A88,1))&gt;=1,VALUE(LEFT(A88,1))&lt;=5),VALUE(LEFT(A88,1)),"")),""),"")</f>
        <v/>
      </c>
      <c r="N88" s="25">
        <f>IF(L88=1,IF(ISNUMBER(FIND("#"&amp;MID(H88,1,1)&amp;"#","#0#1#2#3#4#5#6#7#8#9#")),IF(ISNUMBER(FIND("#"&amp;MID(H88,2,1)&amp;"#","#0#1#2#3#4#5#6#7#8#9#")),IF(AND(VALUE(LEFT(H88,2))&gt;=1,VALUE(LEFT(H88,2))&lt;=5),VALUE(LEFT(H88,2)),""),IF(AND(VALUE(LEFT(H88,1))&gt;=1,VALUE(LEFT(H88,1))&lt;=5),VALUE(LEFT(H88,1)),"")),""),"")</f>
        <v/>
      </c>
      <c r="O88" s="25">
        <f>IF(AND(L88=1,B88&lt;&gt;""),SUBSTITUTE(SUBSTITUTE(SUBSTITUTE(SUBSTITUTE(SUBSTITUTE(SUBSTITUTE(SUBSTITUTE(SUBSTITUTE(SUBSTITUTE(SUBSTITUTE(SUBSTITUTE(SUBSTITUTE(LOWER(TRIM(B88)),"á","a"),"é","e"),"í","i"),"ó","o"),"ú","u"),"ü","u"),"ñ","n"),"à","a"),"è","e"),"ì","i"),"ò","o"),"ù","u"),"")</f>
        <v/>
      </c>
      <c r="P88" s="25">
        <f>IF(AND(L88=1,C88&lt;&gt;""),SUBSTITUTE(SUBSTITUTE(SUBSTITUTE(SUBSTITUTE(SUBSTITUTE(SUBSTITUTE(SUBSTITUTE(SUBSTITUTE(SUBSTITUTE(SUBSTITUTE(SUBSTITUTE(SUBSTITUTE(LOWER(TRIM(C88)),"á","a"),"é","e"),"í","i"),"ó","o"),"ú","u"),"ü","u"),"ñ","n"),"à","a"),"è","e"),"ì","i"),"ò","o"),"ù","u"),"")</f>
        <v/>
      </c>
      <c r="Q88" s="25">
        <f>IF(AND(L88=1,E88&lt;&gt;""),SUBSTITUTE(SUBSTITUTE(SUBSTITUTE(SUBSTITUTE(SUBSTITUTE(SUBSTITUTE(SUBSTITUTE(SUBSTITUTE(SUBSTITUTE(SUBSTITUTE(SUBSTITUTE(SUBSTITUTE(LOWER(TRIM(E88)),"á","a"),"é","e"),"í","i"),"ó","o"),"ú","u"),"ü","u"),"ñ","n"),"à","a"),"è","e"),"ì","i"),"ò","o"),"ù","u"),"")</f>
        <v/>
      </c>
      <c r="R88" s="25">
        <f>IF(AND(L88=1,I88&lt;&gt;""),SUBSTITUTE(SUBSTITUTE(SUBSTITUTE(SUBSTITUTE(SUBSTITUTE(SUBSTITUTE(SUBSTITUTE(SUBSTITUTE(SUBSTITUTE(SUBSTITUTE(SUBSTITUTE(SUBSTITUTE(LOWER(TRIM(I88)),"á","a"),"é","e"),"í","i"),"ó","o"),"ú","u"),"ü","u"),"ñ","n"),"à","a"),"è","e"),"ì","i"),"ò","o"),"ù","u"),"")</f>
        <v/>
      </c>
      <c r="S88" s="25">
        <f>IF(R88="","",IF(OR(R88="si",R88="tal vez"),1,0))</f>
        <v/>
      </c>
      <c r="T88" s="25">
        <f>IF(AND(L88=1,D88&lt;&gt;""),IF(IFERROR(COUNTIFS(D$3:D88,"="&amp;SUBSTITUTE(SUBSTITUTE(SUBSTITUTE(D88,"~","~~"),"*","~*"),"?","~?"),L$3:L88,1),0)=1,MAX(T$2:T87)+1,""),"")</f>
        <v/>
      </c>
      <c r="U88" s="25">
        <f>IF(T88="","",COUNTIFS($D$3:$D$1002,"="&amp;SUBSTITUTE(SUBSTITUTE(SUBSTITUTE(D88,"~","~~"),"*","~*"),"?","~?"),$L$3:$L$1002,1)*10000-T88)</f>
        <v/>
      </c>
      <c r="V88" s="25">
        <f>IF(AND(L88=1,J88&lt;&gt;""),IF(IFERROR(COUNTIFS(J$3:J88,"="&amp;SUBSTITUTE(SUBSTITUTE(SUBSTITUTE(J88,"~","~~"),"*","~*"),"?","~?"),L$3:L88,1),0)=1,MAX(V$2:V87)+1,""),"")</f>
        <v/>
      </c>
      <c r="W88" s="25">
        <f>IF(V88="","",COUNTIFS($J$3:$J$1002,"="&amp;SUBSTITUTE(SUBSTITUTE(SUBSTITUTE(J88,"~","~~"),"*","~*"),"?","~?"),$L$3:$L$1002,1)*10000-V88)</f>
        <v/>
      </c>
    </row>
    <row r="89">
      <c r="A89">
        <f>IF(A$2=0,"",IFERROR(TRIM(INDEX('Pegar estudiantes'!$A$1:$BZ$1001,88,A$2)&amp;""),""))</f>
        <v/>
      </c>
      <c r="B89">
        <f>IF(B$2=0,"",IFERROR(TRIM(INDEX('Pegar estudiantes'!$A$1:$BZ$1001,88,B$2)&amp;""),""))</f>
        <v/>
      </c>
      <c r="C89">
        <f>IF(C$2=0,"",IFERROR(TRIM(INDEX('Pegar estudiantes'!$A$1:$BZ$1001,88,C$2)&amp;""),""))</f>
        <v/>
      </c>
      <c r="D89">
        <f>IF(D$2=0,"",IFERROR(TRIM(INDEX('Pegar estudiantes'!$A$1:$BZ$1001,88,D$2)&amp;""),""))</f>
        <v/>
      </c>
      <c r="E89">
        <f>IF(E$2=0,"",IFERROR(TRIM(INDEX('Pegar estudiantes'!$A$1:$BZ$1001,88,E$2)&amp;""),""))</f>
        <v/>
      </c>
      <c r="F89">
        <f>IF(F$2=0,"",IFERROR(TRIM(INDEX('Pegar estudiantes'!$A$1:$BZ$1001,88,F$2)&amp;""),""))</f>
        <v/>
      </c>
      <c r="G89">
        <f>IF(G$2=0,"",IFERROR(TRIM(INDEX('Pegar estudiantes'!$A$1:$BZ$1001,88,G$2)&amp;""),""))</f>
        <v/>
      </c>
      <c r="H89">
        <f>IF(H$2=0,"",IFERROR(TRIM(INDEX('Pegar estudiantes'!$A$1:$BZ$1001,88,H$2)&amp;""),""))</f>
        <v/>
      </c>
      <c r="I89">
        <f>IF(I$2=0,"",IFERROR(TRIM(INDEX('Pegar estudiantes'!$A$1:$BZ$1001,88,I$2)&amp;""),""))</f>
        <v/>
      </c>
      <c r="J89">
        <f>IF(J$2=0,"",IFERROR(TRIM(INDEX('Pegar estudiantes'!$A$1:$BZ$1001,88,J$2)&amp;""),""))</f>
        <v/>
      </c>
      <c r="K89">
        <f>IF(K$2=0,"",IFERROR(TRIM(INDEX('Pegar estudiantes'!$A$1:$BZ$1001,88,K$2)&amp;""),""))</f>
        <v/>
      </c>
      <c r="L89" s="25">
        <f>IF(A89&lt;&gt;"",1,"")</f>
        <v/>
      </c>
      <c r="M89" s="25">
        <f>IF(L89=1,IF(ISNUMBER(FIND("#"&amp;MID(A89,1,1)&amp;"#","#0#1#2#3#4#5#6#7#8#9#")),IF(ISNUMBER(FIND("#"&amp;MID(A89,2,1)&amp;"#","#0#1#2#3#4#5#6#7#8#9#")),IF(AND(VALUE(LEFT(A89,2))&gt;=1,VALUE(LEFT(A89,2))&lt;=5),VALUE(LEFT(A89,2)),""),IF(AND(VALUE(LEFT(A89,1))&gt;=1,VALUE(LEFT(A89,1))&lt;=5),VALUE(LEFT(A89,1)),"")),""),"")</f>
        <v/>
      </c>
      <c r="N89" s="25">
        <f>IF(L89=1,IF(ISNUMBER(FIND("#"&amp;MID(H89,1,1)&amp;"#","#0#1#2#3#4#5#6#7#8#9#")),IF(ISNUMBER(FIND("#"&amp;MID(H89,2,1)&amp;"#","#0#1#2#3#4#5#6#7#8#9#")),IF(AND(VALUE(LEFT(H89,2))&gt;=1,VALUE(LEFT(H89,2))&lt;=5),VALUE(LEFT(H89,2)),""),IF(AND(VALUE(LEFT(H89,1))&gt;=1,VALUE(LEFT(H89,1))&lt;=5),VALUE(LEFT(H89,1)),"")),""),"")</f>
        <v/>
      </c>
      <c r="O89" s="25">
        <f>IF(AND(L89=1,B89&lt;&gt;""),SUBSTITUTE(SUBSTITUTE(SUBSTITUTE(SUBSTITUTE(SUBSTITUTE(SUBSTITUTE(SUBSTITUTE(SUBSTITUTE(SUBSTITUTE(SUBSTITUTE(SUBSTITUTE(SUBSTITUTE(LOWER(TRIM(B89)),"á","a"),"é","e"),"í","i"),"ó","o"),"ú","u"),"ü","u"),"ñ","n"),"à","a"),"è","e"),"ì","i"),"ò","o"),"ù","u"),"")</f>
        <v/>
      </c>
      <c r="P89" s="25">
        <f>IF(AND(L89=1,C89&lt;&gt;""),SUBSTITUTE(SUBSTITUTE(SUBSTITUTE(SUBSTITUTE(SUBSTITUTE(SUBSTITUTE(SUBSTITUTE(SUBSTITUTE(SUBSTITUTE(SUBSTITUTE(SUBSTITUTE(SUBSTITUTE(LOWER(TRIM(C89)),"á","a"),"é","e"),"í","i"),"ó","o"),"ú","u"),"ü","u"),"ñ","n"),"à","a"),"è","e"),"ì","i"),"ò","o"),"ù","u"),"")</f>
        <v/>
      </c>
      <c r="Q89" s="25">
        <f>IF(AND(L89=1,E89&lt;&gt;""),SUBSTITUTE(SUBSTITUTE(SUBSTITUTE(SUBSTITUTE(SUBSTITUTE(SUBSTITUTE(SUBSTITUTE(SUBSTITUTE(SUBSTITUTE(SUBSTITUTE(SUBSTITUTE(SUBSTITUTE(LOWER(TRIM(E89)),"á","a"),"é","e"),"í","i"),"ó","o"),"ú","u"),"ü","u"),"ñ","n"),"à","a"),"è","e"),"ì","i"),"ò","o"),"ù","u"),"")</f>
        <v/>
      </c>
      <c r="R89" s="25">
        <f>IF(AND(L89=1,I89&lt;&gt;""),SUBSTITUTE(SUBSTITUTE(SUBSTITUTE(SUBSTITUTE(SUBSTITUTE(SUBSTITUTE(SUBSTITUTE(SUBSTITUTE(SUBSTITUTE(SUBSTITUTE(SUBSTITUTE(SUBSTITUTE(LOWER(TRIM(I89)),"á","a"),"é","e"),"í","i"),"ó","o"),"ú","u"),"ü","u"),"ñ","n"),"à","a"),"è","e"),"ì","i"),"ò","o"),"ù","u"),"")</f>
        <v/>
      </c>
      <c r="S89" s="25">
        <f>IF(R89="","",IF(OR(R89="si",R89="tal vez"),1,0))</f>
        <v/>
      </c>
      <c r="T89" s="25">
        <f>IF(AND(L89=1,D89&lt;&gt;""),IF(IFERROR(COUNTIFS(D$3:D89,"="&amp;SUBSTITUTE(SUBSTITUTE(SUBSTITUTE(D89,"~","~~"),"*","~*"),"?","~?"),L$3:L89,1),0)=1,MAX(T$2:T88)+1,""),"")</f>
        <v/>
      </c>
      <c r="U89" s="25">
        <f>IF(T89="","",COUNTIFS($D$3:$D$1002,"="&amp;SUBSTITUTE(SUBSTITUTE(SUBSTITUTE(D89,"~","~~"),"*","~*"),"?","~?"),$L$3:$L$1002,1)*10000-T89)</f>
        <v/>
      </c>
      <c r="V89" s="25">
        <f>IF(AND(L89=1,J89&lt;&gt;""),IF(IFERROR(COUNTIFS(J$3:J89,"="&amp;SUBSTITUTE(SUBSTITUTE(SUBSTITUTE(J89,"~","~~"),"*","~*"),"?","~?"),L$3:L89,1),0)=1,MAX(V$2:V88)+1,""),"")</f>
        <v/>
      </c>
      <c r="W89" s="25">
        <f>IF(V89="","",COUNTIFS($J$3:$J$1002,"="&amp;SUBSTITUTE(SUBSTITUTE(SUBSTITUTE(J89,"~","~~"),"*","~*"),"?","~?"),$L$3:$L$1002,1)*10000-V89)</f>
        <v/>
      </c>
    </row>
    <row r="90">
      <c r="A90">
        <f>IF(A$2=0,"",IFERROR(TRIM(INDEX('Pegar estudiantes'!$A$1:$BZ$1001,89,A$2)&amp;""),""))</f>
        <v/>
      </c>
      <c r="B90">
        <f>IF(B$2=0,"",IFERROR(TRIM(INDEX('Pegar estudiantes'!$A$1:$BZ$1001,89,B$2)&amp;""),""))</f>
        <v/>
      </c>
      <c r="C90">
        <f>IF(C$2=0,"",IFERROR(TRIM(INDEX('Pegar estudiantes'!$A$1:$BZ$1001,89,C$2)&amp;""),""))</f>
        <v/>
      </c>
      <c r="D90">
        <f>IF(D$2=0,"",IFERROR(TRIM(INDEX('Pegar estudiantes'!$A$1:$BZ$1001,89,D$2)&amp;""),""))</f>
        <v/>
      </c>
      <c r="E90">
        <f>IF(E$2=0,"",IFERROR(TRIM(INDEX('Pegar estudiantes'!$A$1:$BZ$1001,89,E$2)&amp;""),""))</f>
        <v/>
      </c>
      <c r="F90">
        <f>IF(F$2=0,"",IFERROR(TRIM(INDEX('Pegar estudiantes'!$A$1:$BZ$1001,89,F$2)&amp;""),""))</f>
        <v/>
      </c>
      <c r="G90">
        <f>IF(G$2=0,"",IFERROR(TRIM(INDEX('Pegar estudiantes'!$A$1:$BZ$1001,89,G$2)&amp;""),""))</f>
        <v/>
      </c>
      <c r="H90">
        <f>IF(H$2=0,"",IFERROR(TRIM(INDEX('Pegar estudiantes'!$A$1:$BZ$1001,89,H$2)&amp;""),""))</f>
        <v/>
      </c>
      <c r="I90">
        <f>IF(I$2=0,"",IFERROR(TRIM(INDEX('Pegar estudiantes'!$A$1:$BZ$1001,89,I$2)&amp;""),""))</f>
        <v/>
      </c>
      <c r="J90">
        <f>IF(J$2=0,"",IFERROR(TRIM(INDEX('Pegar estudiantes'!$A$1:$BZ$1001,89,J$2)&amp;""),""))</f>
        <v/>
      </c>
      <c r="K90">
        <f>IF(K$2=0,"",IFERROR(TRIM(INDEX('Pegar estudiantes'!$A$1:$BZ$1001,89,K$2)&amp;""),""))</f>
        <v/>
      </c>
      <c r="L90" s="25">
        <f>IF(A90&lt;&gt;"",1,"")</f>
        <v/>
      </c>
      <c r="M90" s="25">
        <f>IF(L90=1,IF(ISNUMBER(FIND("#"&amp;MID(A90,1,1)&amp;"#","#0#1#2#3#4#5#6#7#8#9#")),IF(ISNUMBER(FIND("#"&amp;MID(A90,2,1)&amp;"#","#0#1#2#3#4#5#6#7#8#9#")),IF(AND(VALUE(LEFT(A90,2))&gt;=1,VALUE(LEFT(A90,2))&lt;=5),VALUE(LEFT(A90,2)),""),IF(AND(VALUE(LEFT(A90,1))&gt;=1,VALUE(LEFT(A90,1))&lt;=5),VALUE(LEFT(A90,1)),"")),""),"")</f>
        <v/>
      </c>
      <c r="N90" s="25">
        <f>IF(L90=1,IF(ISNUMBER(FIND("#"&amp;MID(H90,1,1)&amp;"#","#0#1#2#3#4#5#6#7#8#9#")),IF(ISNUMBER(FIND("#"&amp;MID(H90,2,1)&amp;"#","#0#1#2#3#4#5#6#7#8#9#")),IF(AND(VALUE(LEFT(H90,2))&gt;=1,VALUE(LEFT(H90,2))&lt;=5),VALUE(LEFT(H90,2)),""),IF(AND(VALUE(LEFT(H90,1))&gt;=1,VALUE(LEFT(H90,1))&lt;=5),VALUE(LEFT(H90,1)),"")),""),"")</f>
        <v/>
      </c>
      <c r="O90" s="25">
        <f>IF(AND(L90=1,B90&lt;&gt;""),SUBSTITUTE(SUBSTITUTE(SUBSTITUTE(SUBSTITUTE(SUBSTITUTE(SUBSTITUTE(SUBSTITUTE(SUBSTITUTE(SUBSTITUTE(SUBSTITUTE(SUBSTITUTE(SUBSTITUTE(LOWER(TRIM(B90)),"á","a"),"é","e"),"í","i"),"ó","o"),"ú","u"),"ü","u"),"ñ","n"),"à","a"),"è","e"),"ì","i"),"ò","o"),"ù","u"),"")</f>
        <v/>
      </c>
      <c r="P90" s="25">
        <f>IF(AND(L90=1,C90&lt;&gt;""),SUBSTITUTE(SUBSTITUTE(SUBSTITUTE(SUBSTITUTE(SUBSTITUTE(SUBSTITUTE(SUBSTITUTE(SUBSTITUTE(SUBSTITUTE(SUBSTITUTE(SUBSTITUTE(SUBSTITUTE(LOWER(TRIM(C90)),"á","a"),"é","e"),"í","i"),"ó","o"),"ú","u"),"ü","u"),"ñ","n"),"à","a"),"è","e"),"ì","i"),"ò","o"),"ù","u"),"")</f>
        <v/>
      </c>
      <c r="Q90" s="25">
        <f>IF(AND(L90=1,E90&lt;&gt;""),SUBSTITUTE(SUBSTITUTE(SUBSTITUTE(SUBSTITUTE(SUBSTITUTE(SUBSTITUTE(SUBSTITUTE(SUBSTITUTE(SUBSTITUTE(SUBSTITUTE(SUBSTITUTE(SUBSTITUTE(LOWER(TRIM(E90)),"á","a"),"é","e"),"í","i"),"ó","o"),"ú","u"),"ü","u"),"ñ","n"),"à","a"),"è","e"),"ì","i"),"ò","o"),"ù","u"),"")</f>
        <v/>
      </c>
      <c r="R90" s="25">
        <f>IF(AND(L90=1,I90&lt;&gt;""),SUBSTITUTE(SUBSTITUTE(SUBSTITUTE(SUBSTITUTE(SUBSTITUTE(SUBSTITUTE(SUBSTITUTE(SUBSTITUTE(SUBSTITUTE(SUBSTITUTE(SUBSTITUTE(SUBSTITUTE(LOWER(TRIM(I90)),"á","a"),"é","e"),"í","i"),"ó","o"),"ú","u"),"ü","u"),"ñ","n"),"à","a"),"è","e"),"ì","i"),"ò","o"),"ù","u"),"")</f>
        <v/>
      </c>
      <c r="S90" s="25">
        <f>IF(R90="","",IF(OR(R90="si",R90="tal vez"),1,0))</f>
        <v/>
      </c>
      <c r="T90" s="25">
        <f>IF(AND(L90=1,D90&lt;&gt;""),IF(IFERROR(COUNTIFS(D$3:D90,"="&amp;SUBSTITUTE(SUBSTITUTE(SUBSTITUTE(D90,"~","~~"),"*","~*"),"?","~?"),L$3:L90,1),0)=1,MAX(T$2:T89)+1,""),"")</f>
        <v/>
      </c>
      <c r="U90" s="25">
        <f>IF(T90="","",COUNTIFS($D$3:$D$1002,"="&amp;SUBSTITUTE(SUBSTITUTE(SUBSTITUTE(D90,"~","~~"),"*","~*"),"?","~?"),$L$3:$L$1002,1)*10000-T90)</f>
        <v/>
      </c>
      <c r="V90" s="25">
        <f>IF(AND(L90=1,J90&lt;&gt;""),IF(IFERROR(COUNTIFS(J$3:J90,"="&amp;SUBSTITUTE(SUBSTITUTE(SUBSTITUTE(J90,"~","~~"),"*","~*"),"?","~?"),L$3:L90,1),0)=1,MAX(V$2:V89)+1,""),"")</f>
        <v/>
      </c>
      <c r="W90" s="25">
        <f>IF(V90="","",COUNTIFS($J$3:$J$1002,"="&amp;SUBSTITUTE(SUBSTITUTE(SUBSTITUTE(J90,"~","~~"),"*","~*"),"?","~?"),$L$3:$L$1002,1)*10000-V90)</f>
        <v/>
      </c>
    </row>
    <row r="91">
      <c r="A91">
        <f>IF(A$2=0,"",IFERROR(TRIM(INDEX('Pegar estudiantes'!$A$1:$BZ$1001,90,A$2)&amp;""),""))</f>
        <v/>
      </c>
      <c r="B91">
        <f>IF(B$2=0,"",IFERROR(TRIM(INDEX('Pegar estudiantes'!$A$1:$BZ$1001,90,B$2)&amp;""),""))</f>
        <v/>
      </c>
      <c r="C91">
        <f>IF(C$2=0,"",IFERROR(TRIM(INDEX('Pegar estudiantes'!$A$1:$BZ$1001,90,C$2)&amp;""),""))</f>
        <v/>
      </c>
      <c r="D91">
        <f>IF(D$2=0,"",IFERROR(TRIM(INDEX('Pegar estudiantes'!$A$1:$BZ$1001,90,D$2)&amp;""),""))</f>
        <v/>
      </c>
      <c r="E91">
        <f>IF(E$2=0,"",IFERROR(TRIM(INDEX('Pegar estudiantes'!$A$1:$BZ$1001,90,E$2)&amp;""),""))</f>
        <v/>
      </c>
      <c r="F91">
        <f>IF(F$2=0,"",IFERROR(TRIM(INDEX('Pegar estudiantes'!$A$1:$BZ$1001,90,F$2)&amp;""),""))</f>
        <v/>
      </c>
      <c r="G91">
        <f>IF(G$2=0,"",IFERROR(TRIM(INDEX('Pegar estudiantes'!$A$1:$BZ$1001,90,G$2)&amp;""),""))</f>
        <v/>
      </c>
      <c r="H91">
        <f>IF(H$2=0,"",IFERROR(TRIM(INDEX('Pegar estudiantes'!$A$1:$BZ$1001,90,H$2)&amp;""),""))</f>
        <v/>
      </c>
      <c r="I91">
        <f>IF(I$2=0,"",IFERROR(TRIM(INDEX('Pegar estudiantes'!$A$1:$BZ$1001,90,I$2)&amp;""),""))</f>
        <v/>
      </c>
      <c r="J91">
        <f>IF(J$2=0,"",IFERROR(TRIM(INDEX('Pegar estudiantes'!$A$1:$BZ$1001,90,J$2)&amp;""),""))</f>
        <v/>
      </c>
      <c r="K91">
        <f>IF(K$2=0,"",IFERROR(TRIM(INDEX('Pegar estudiantes'!$A$1:$BZ$1001,90,K$2)&amp;""),""))</f>
        <v/>
      </c>
      <c r="L91" s="25">
        <f>IF(A91&lt;&gt;"",1,"")</f>
        <v/>
      </c>
      <c r="M91" s="25">
        <f>IF(L91=1,IF(ISNUMBER(FIND("#"&amp;MID(A91,1,1)&amp;"#","#0#1#2#3#4#5#6#7#8#9#")),IF(ISNUMBER(FIND("#"&amp;MID(A91,2,1)&amp;"#","#0#1#2#3#4#5#6#7#8#9#")),IF(AND(VALUE(LEFT(A91,2))&gt;=1,VALUE(LEFT(A91,2))&lt;=5),VALUE(LEFT(A91,2)),""),IF(AND(VALUE(LEFT(A91,1))&gt;=1,VALUE(LEFT(A91,1))&lt;=5),VALUE(LEFT(A91,1)),"")),""),"")</f>
        <v/>
      </c>
      <c r="N91" s="25">
        <f>IF(L91=1,IF(ISNUMBER(FIND("#"&amp;MID(H91,1,1)&amp;"#","#0#1#2#3#4#5#6#7#8#9#")),IF(ISNUMBER(FIND("#"&amp;MID(H91,2,1)&amp;"#","#0#1#2#3#4#5#6#7#8#9#")),IF(AND(VALUE(LEFT(H91,2))&gt;=1,VALUE(LEFT(H91,2))&lt;=5),VALUE(LEFT(H91,2)),""),IF(AND(VALUE(LEFT(H91,1))&gt;=1,VALUE(LEFT(H91,1))&lt;=5),VALUE(LEFT(H91,1)),"")),""),"")</f>
        <v/>
      </c>
      <c r="O91" s="25">
        <f>IF(AND(L91=1,B91&lt;&gt;""),SUBSTITUTE(SUBSTITUTE(SUBSTITUTE(SUBSTITUTE(SUBSTITUTE(SUBSTITUTE(SUBSTITUTE(SUBSTITUTE(SUBSTITUTE(SUBSTITUTE(SUBSTITUTE(SUBSTITUTE(LOWER(TRIM(B91)),"á","a"),"é","e"),"í","i"),"ó","o"),"ú","u"),"ü","u"),"ñ","n"),"à","a"),"è","e"),"ì","i"),"ò","o"),"ù","u"),"")</f>
        <v/>
      </c>
      <c r="P91" s="25">
        <f>IF(AND(L91=1,C91&lt;&gt;""),SUBSTITUTE(SUBSTITUTE(SUBSTITUTE(SUBSTITUTE(SUBSTITUTE(SUBSTITUTE(SUBSTITUTE(SUBSTITUTE(SUBSTITUTE(SUBSTITUTE(SUBSTITUTE(SUBSTITUTE(LOWER(TRIM(C91)),"á","a"),"é","e"),"í","i"),"ó","o"),"ú","u"),"ü","u"),"ñ","n"),"à","a"),"è","e"),"ì","i"),"ò","o"),"ù","u"),"")</f>
        <v/>
      </c>
      <c r="Q91" s="25">
        <f>IF(AND(L91=1,E91&lt;&gt;""),SUBSTITUTE(SUBSTITUTE(SUBSTITUTE(SUBSTITUTE(SUBSTITUTE(SUBSTITUTE(SUBSTITUTE(SUBSTITUTE(SUBSTITUTE(SUBSTITUTE(SUBSTITUTE(SUBSTITUTE(LOWER(TRIM(E91)),"á","a"),"é","e"),"í","i"),"ó","o"),"ú","u"),"ü","u"),"ñ","n"),"à","a"),"è","e"),"ì","i"),"ò","o"),"ù","u"),"")</f>
        <v/>
      </c>
      <c r="R91" s="25">
        <f>IF(AND(L91=1,I91&lt;&gt;""),SUBSTITUTE(SUBSTITUTE(SUBSTITUTE(SUBSTITUTE(SUBSTITUTE(SUBSTITUTE(SUBSTITUTE(SUBSTITUTE(SUBSTITUTE(SUBSTITUTE(SUBSTITUTE(SUBSTITUTE(LOWER(TRIM(I91)),"á","a"),"é","e"),"í","i"),"ó","o"),"ú","u"),"ü","u"),"ñ","n"),"à","a"),"è","e"),"ì","i"),"ò","o"),"ù","u"),"")</f>
        <v/>
      </c>
      <c r="S91" s="25">
        <f>IF(R91="","",IF(OR(R91="si",R91="tal vez"),1,0))</f>
        <v/>
      </c>
      <c r="T91" s="25">
        <f>IF(AND(L91=1,D91&lt;&gt;""),IF(IFERROR(COUNTIFS(D$3:D91,"="&amp;SUBSTITUTE(SUBSTITUTE(SUBSTITUTE(D91,"~","~~"),"*","~*"),"?","~?"),L$3:L91,1),0)=1,MAX(T$2:T90)+1,""),"")</f>
        <v/>
      </c>
      <c r="U91" s="25">
        <f>IF(T91="","",COUNTIFS($D$3:$D$1002,"="&amp;SUBSTITUTE(SUBSTITUTE(SUBSTITUTE(D91,"~","~~"),"*","~*"),"?","~?"),$L$3:$L$1002,1)*10000-T91)</f>
        <v/>
      </c>
      <c r="V91" s="25">
        <f>IF(AND(L91=1,J91&lt;&gt;""),IF(IFERROR(COUNTIFS(J$3:J91,"="&amp;SUBSTITUTE(SUBSTITUTE(SUBSTITUTE(J91,"~","~~"),"*","~*"),"?","~?"),L$3:L91,1),0)=1,MAX(V$2:V90)+1,""),"")</f>
        <v/>
      </c>
      <c r="W91" s="25">
        <f>IF(V91="","",COUNTIFS($J$3:$J$1002,"="&amp;SUBSTITUTE(SUBSTITUTE(SUBSTITUTE(J91,"~","~~"),"*","~*"),"?","~?"),$L$3:$L$1002,1)*10000-V91)</f>
        <v/>
      </c>
    </row>
    <row r="92">
      <c r="A92">
        <f>IF(A$2=0,"",IFERROR(TRIM(INDEX('Pegar estudiantes'!$A$1:$BZ$1001,91,A$2)&amp;""),""))</f>
        <v/>
      </c>
      <c r="B92">
        <f>IF(B$2=0,"",IFERROR(TRIM(INDEX('Pegar estudiantes'!$A$1:$BZ$1001,91,B$2)&amp;""),""))</f>
        <v/>
      </c>
      <c r="C92">
        <f>IF(C$2=0,"",IFERROR(TRIM(INDEX('Pegar estudiantes'!$A$1:$BZ$1001,91,C$2)&amp;""),""))</f>
        <v/>
      </c>
      <c r="D92">
        <f>IF(D$2=0,"",IFERROR(TRIM(INDEX('Pegar estudiantes'!$A$1:$BZ$1001,91,D$2)&amp;""),""))</f>
        <v/>
      </c>
      <c r="E92">
        <f>IF(E$2=0,"",IFERROR(TRIM(INDEX('Pegar estudiantes'!$A$1:$BZ$1001,91,E$2)&amp;""),""))</f>
        <v/>
      </c>
      <c r="F92">
        <f>IF(F$2=0,"",IFERROR(TRIM(INDEX('Pegar estudiantes'!$A$1:$BZ$1001,91,F$2)&amp;""),""))</f>
        <v/>
      </c>
      <c r="G92">
        <f>IF(G$2=0,"",IFERROR(TRIM(INDEX('Pegar estudiantes'!$A$1:$BZ$1001,91,G$2)&amp;""),""))</f>
        <v/>
      </c>
      <c r="H92">
        <f>IF(H$2=0,"",IFERROR(TRIM(INDEX('Pegar estudiantes'!$A$1:$BZ$1001,91,H$2)&amp;""),""))</f>
        <v/>
      </c>
      <c r="I92">
        <f>IF(I$2=0,"",IFERROR(TRIM(INDEX('Pegar estudiantes'!$A$1:$BZ$1001,91,I$2)&amp;""),""))</f>
        <v/>
      </c>
      <c r="J92">
        <f>IF(J$2=0,"",IFERROR(TRIM(INDEX('Pegar estudiantes'!$A$1:$BZ$1001,91,J$2)&amp;""),""))</f>
        <v/>
      </c>
      <c r="K92">
        <f>IF(K$2=0,"",IFERROR(TRIM(INDEX('Pegar estudiantes'!$A$1:$BZ$1001,91,K$2)&amp;""),""))</f>
        <v/>
      </c>
      <c r="L92" s="25">
        <f>IF(A92&lt;&gt;"",1,"")</f>
        <v/>
      </c>
      <c r="M92" s="25">
        <f>IF(L92=1,IF(ISNUMBER(FIND("#"&amp;MID(A92,1,1)&amp;"#","#0#1#2#3#4#5#6#7#8#9#")),IF(ISNUMBER(FIND("#"&amp;MID(A92,2,1)&amp;"#","#0#1#2#3#4#5#6#7#8#9#")),IF(AND(VALUE(LEFT(A92,2))&gt;=1,VALUE(LEFT(A92,2))&lt;=5),VALUE(LEFT(A92,2)),""),IF(AND(VALUE(LEFT(A92,1))&gt;=1,VALUE(LEFT(A92,1))&lt;=5),VALUE(LEFT(A92,1)),"")),""),"")</f>
        <v/>
      </c>
      <c r="N92" s="25">
        <f>IF(L92=1,IF(ISNUMBER(FIND("#"&amp;MID(H92,1,1)&amp;"#","#0#1#2#3#4#5#6#7#8#9#")),IF(ISNUMBER(FIND("#"&amp;MID(H92,2,1)&amp;"#","#0#1#2#3#4#5#6#7#8#9#")),IF(AND(VALUE(LEFT(H92,2))&gt;=1,VALUE(LEFT(H92,2))&lt;=5),VALUE(LEFT(H92,2)),""),IF(AND(VALUE(LEFT(H92,1))&gt;=1,VALUE(LEFT(H92,1))&lt;=5),VALUE(LEFT(H92,1)),"")),""),"")</f>
        <v/>
      </c>
      <c r="O92" s="25">
        <f>IF(AND(L92=1,B92&lt;&gt;""),SUBSTITUTE(SUBSTITUTE(SUBSTITUTE(SUBSTITUTE(SUBSTITUTE(SUBSTITUTE(SUBSTITUTE(SUBSTITUTE(SUBSTITUTE(SUBSTITUTE(SUBSTITUTE(SUBSTITUTE(LOWER(TRIM(B92)),"á","a"),"é","e"),"í","i"),"ó","o"),"ú","u"),"ü","u"),"ñ","n"),"à","a"),"è","e"),"ì","i"),"ò","o"),"ù","u"),"")</f>
        <v/>
      </c>
      <c r="P92" s="25">
        <f>IF(AND(L92=1,C92&lt;&gt;""),SUBSTITUTE(SUBSTITUTE(SUBSTITUTE(SUBSTITUTE(SUBSTITUTE(SUBSTITUTE(SUBSTITUTE(SUBSTITUTE(SUBSTITUTE(SUBSTITUTE(SUBSTITUTE(SUBSTITUTE(LOWER(TRIM(C92)),"á","a"),"é","e"),"í","i"),"ó","o"),"ú","u"),"ü","u"),"ñ","n"),"à","a"),"è","e"),"ì","i"),"ò","o"),"ù","u"),"")</f>
        <v/>
      </c>
      <c r="Q92" s="25">
        <f>IF(AND(L92=1,E92&lt;&gt;""),SUBSTITUTE(SUBSTITUTE(SUBSTITUTE(SUBSTITUTE(SUBSTITUTE(SUBSTITUTE(SUBSTITUTE(SUBSTITUTE(SUBSTITUTE(SUBSTITUTE(SUBSTITUTE(SUBSTITUTE(LOWER(TRIM(E92)),"á","a"),"é","e"),"í","i"),"ó","o"),"ú","u"),"ü","u"),"ñ","n"),"à","a"),"è","e"),"ì","i"),"ò","o"),"ù","u"),"")</f>
        <v/>
      </c>
      <c r="R92" s="25">
        <f>IF(AND(L92=1,I92&lt;&gt;""),SUBSTITUTE(SUBSTITUTE(SUBSTITUTE(SUBSTITUTE(SUBSTITUTE(SUBSTITUTE(SUBSTITUTE(SUBSTITUTE(SUBSTITUTE(SUBSTITUTE(SUBSTITUTE(SUBSTITUTE(LOWER(TRIM(I92)),"á","a"),"é","e"),"í","i"),"ó","o"),"ú","u"),"ü","u"),"ñ","n"),"à","a"),"è","e"),"ì","i"),"ò","o"),"ù","u"),"")</f>
        <v/>
      </c>
      <c r="S92" s="25">
        <f>IF(R92="","",IF(OR(R92="si",R92="tal vez"),1,0))</f>
        <v/>
      </c>
      <c r="T92" s="25">
        <f>IF(AND(L92=1,D92&lt;&gt;""),IF(IFERROR(COUNTIFS(D$3:D92,"="&amp;SUBSTITUTE(SUBSTITUTE(SUBSTITUTE(D92,"~","~~"),"*","~*"),"?","~?"),L$3:L92,1),0)=1,MAX(T$2:T91)+1,""),"")</f>
        <v/>
      </c>
      <c r="U92" s="25">
        <f>IF(T92="","",COUNTIFS($D$3:$D$1002,"="&amp;SUBSTITUTE(SUBSTITUTE(SUBSTITUTE(D92,"~","~~"),"*","~*"),"?","~?"),$L$3:$L$1002,1)*10000-T92)</f>
        <v/>
      </c>
      <c r="V92" s="25">
        <f>IF(AND(L92=1,J92&lt;&gt;""),IF(IFERROR(COUNTIFS(J$3:J92,"="&amp;SUBSTITUTE(SUBSTITUTE(SUBSTITUTE(J92,"~","~~"),"*","~*"),"?","~?"),L$3:L92,1),0)=1,MAX(V$2:V91)+1,""),"")</f>
        <v/>
      </c>
      <c r="W92" s="25">
        <f>IF(V92="","",COUNTIFS($J$3:$J$1002,"="&amp;SUBSTITUTE(SUBSTITUTE(SUBSTITUTE(J92,"~","~~"),"*","~*"),"?","~?"),$L$3:$L$1002,1)*10000-V92)</f>
        <v/>
      </c>
    </row>
    <row r="93">
      <c r="A93">
        <f>IF(A$2=0,"",IFERROR(TRIM(INDEX('Pegar estudiantes'!$A$1:$BZ$1001,92,A$2)&amp;""),""))</f>
        <v/>
      </c>
      <c r="B93">
        <f>IF(B$2=0,"",IFERROR(TRIM(INDEX('Pegar estudiantes'!$A$1:$BZ$1001,92,B$2)&amp;""),""))</f>
        <v/>
      </c>
      <c r="C93">
        <f>IF(C$2=0,"",IFERROR(TRIM(INDEX('Pegar estudiantes'!$A$1:$BZ$1001,92,C$2)&amp;""),""))</f>
        <v/>
      </c>
      <c r="D93">
        <f>IF(D$2=0,"",IFERROR(TRIM(INDEX('Pegar estudiantes'!$A$1:$BZ$1001,92,D$2)&amp;""),""))</f>
        <v/>
      </c>
      <c r="E93">
        <f>IF(E$2=0,"",IFERROR(TRIM(INDEX('Pegar estudiantes'!$A$1:$BZ$1001,92,E$2)&amp;""),""))</f>
        <v/>
      </c>
      <c r="F93">
        <f>IF(F$2=0,"",IFERROR(TRIM(INDEX('Pegar estudiantes'!$A$1:$BZ$1001,92,F$2)&amp;""),""))</f>
        <v/>
      </c>
      <c r="G93">
        <f>IF(G$2=0,"",IFERROR(TRIM(INDEX('Pegar estudiantes'!$A$1:$BZ$1001,92,G$2)&amp;""),""))</f>
        <v/>
      </c>
      <c r="H93">
        <f>IF(H$2=0,"",IFERROR(TRIM(INDEX('Pegar estudiantes'!$A$1:$BZ$1001,92,H$2)&amp;""),""))</f>
        <v/>
      </c>
      <c r="I93">
        <f>IF(I$2=0,"",IFERROR(TRIM(INDEX('Pegar estudiantes'!$A$1:$BZ$1001,92,I$2)&amp;""),""))</f>
        <v/>
      </c>
      <c r="J93">
        <f>IF(J$2=0,"",IFERROR(TRIM(INDEX('Pegar estudiantes'!$A$1:$BZ$1001,92,J$2)&amp;""),""))</f>
        <v/>
      </c>
      <c r="K93">
        <f>IF(K$2=0,"",IFERROR(TRIM(INDEX('Pegar estudiantes'!$A$1:$BZ$1001,92,K$2)&amp;""),""))</f>
        <v/>
      </c>
      <c r="L93" s="25">
        <f>IF(A93&lt;&gt;"",1,"")</f>
        <v/>
      </c>
      <c r="M93" s="25">
        <f>IF(L93=1,IF(ISNUMBER(FIND("#"&amp;MID(A93,1,1)&amp;"#","#0#1#2#3#4#5#6#7#8#9#")),IF(ISNUMBER(FIND("#"&amp;MID(A93,2,1)&amp;"#","#0#1#2#3#4#5#6#7#8#9#")),IF(AND(VALUE(LEFT(A93,2))&gt;=1,VALUE(LEFT(A93,2))&lt;=5),VALUE(LEFT(A93,2)),""),IF(AND(VALUE(LEFT(A93,1))&gt;=1,VALUE(LEFT(A93,1))&lt;=5),VALUE(LEFT(A93,1)),"")),""),"")</f>
        <v/>
      </c>
      <c r="N93" s="25">
        <f>IF(L93=1,IF(ISNUMBER(FIND("#"&amp;MID(H93,1,1)&amp;"#","#0#1#2#3#4#5#6#7#8#9#")),IF(ISNUMBER(FIND("#"&amp;MID(H93,2,1)&amp;"#","#0#1#2#3#4#5#6#7#8#9#")),IF(AND(VALUE(LEFT(H93,2))&gt;=1,VALUE(LEFT(H93,2))&lt;=5),VALUE(LEFT(H93,2)),""),IF(AND(VALUE(LEFT(H93,1))&gt;=1,VALUE(LEFT(H93,1))&lt;=5),VALUE(LEFT(H93,1)),"")),""),"")</f>
        <v/>
      </c>
      <c r="O93" s="25">
        <f>IF(AND(L93=1,B93&lt;&gt;""),SUBSTITUTE(SUBSTITUTE(SUBSTITUTE(SUBSTITUTE(SUBSTITUTE(SUBSTITUTE(SUBSTITUTE(SUBSTITUTE(SUBSTITUTE(SUBSTITUTE(SUBSTITUTE(SUBSTITUTE(LOWER(TRIM(B93)),"á","a"),"é","e"),"í","i"),"ó","o"),"ú","u"),"ü","u"),"ñ","n"),"à","a"),"è","e"),"ì","i"),"ò","o"),"ù","u"),"")</f>
        <v/>
      </c>
      <c r="P93" s="25">
        <f>IF(AND(L93=1,C93&lt;&gt;""),SUBSTITUTE(SUBSTITUTE(SUBSTITUTE(SUBSTITUTE(SUBSTITUTE(SUBSTITUTE(SUBSTITUTE(SUBSTITUTE(SUBSTITUTE(SUBSTITUTE(SUBSTITUTE(SUBSTITUTE(LOWER(TRIM(C93)),"á","a"),"é","e"),"í","i"),"ó","o"),"ú","u"),"ü","u"),"ñ","n"),"à","a"),"è","e"),"ì","i"),"ò","o"),"ù","u"),"")</f>
        <v/>
      </c>
      <c r="Q93" s="25">
        <f>IF(AND(L93=1,E93&lt;&gt;""),SUBSTITUTE(SUBSTITUTE(SUBSTITUTE(SUBSTITUTE(SUBSTITUTE(SUBSTITUTE(SUBSTITUTE(SUBSTITUTE(SUBSTITUTE(SUBSTITUTE(SUBSTITUTE(SUBSTITUTE(LOWER(TRIM(E93)),"á","a"),"é","e"),"í","i"),"ó","o"),"ú","u"),"ü","u"),"ñ","n"),"à","a"),"è","e"),"ì","i"),"ò","o"),"ù","u"),"")</f>
        <v/>
      </c>
      <c r="R93" s="25">
        <f>IF(AND(L93=1,I93&lt;&gt;""),SUBSTITUTE(SUBSTITUTE(SUBSTITUTE(SUBSTITUTE(SUBSTITUTE(SUBSTITUTE(SUBSTITUTE(SUBSTITUTE(SUBSTITUTE(SUBSTITUTE(SUBSTITUTE(SUBSTITUTE(LOWER(TRIM(I93)),"á","a"),"é","e"),"í","i"),"ó","o"),"ú","u"),"ü","u"),"ñ","n"),"à","a"),"è","e"),"ì","i"),"ò","o"),"ù","u"),"")</f>
        <v/>
      </c>
      <c r="S93" s="25">
        <f>IF(R93="","",IF(OR(R93="si",R93="tal vez"),1,0))</f>
        <v/>
      </c>
      <c r="T93" s="25">
        <f>IF(AND(L93=1,D93&lt;&gt;""),IF(IFERROR(COUNTIFS(D$3:D93,"="&amp;SUBSTITUTE(SUBSTITUTE(SUBSTITUTE(D93,"~","~~"),"*","~*"),"?","~?"),L$3:L93,1),0)=1,MAX(T$2:T92)+1,""),"")</f>
        <v/>
      </c>
      <c r="U93" s="25">
        <f>IF(T93="","",COUNTIFS($D$3:$D$1002,"="&amp;SUBSTITUTE(SUBSTITUTE(SUBSTITUTE(D93,"~","~~"),"*","~*"),"?","~?"),$L$3:$L$1002,1)*10000-T93)</f>
        <v/>
      </c>
      <c r="V93" s="25">
        <f>IF(AND(L93=1,J93&lt;&gt;""),IF(IFERROR(COUNTIFS(J$3:J93,"="&amp;SUBSTITUTE(SUBSTITUTE(SUBSTITUTE(J93,"~","~~"),"*","~*"),"?","~?"),L$3:L93,1),0)=1,MAX(V$2:V92)+1,""),"")</f>
        <v/>
      </c>
      <c r="W93" s="25">
        <f>IF(V93="","",COUNTIFS($J$3:$J$1002,"="&amp;SUBSTITUTE(SUBSTITUTE(SUBSTITUTE(J93,"~","~~"),"*","~*"),"?","~?"),$L$3:$L$1002,1)*10000-V93)</f>
        <v/>
      </c>
    </row>
    <row r="94">
      <c r="A94">
        <f>IF(A$2=0,"",IFERROR(TRIM(INDEX('Pegar estudiantes'!$A$1:$BZ$1001,93,A$2)&amp;""),""))</f>
        <v/>
      </c>
      <c r="B94">
        <f>IF(B$2=0,"",IFERROR(TRIM(INDEX('Pegar estudiantes'!$A$1:$BZ$1001,93,B$2)&amp;""),""))</f>
        <v/>
      </c>
      <c r="C94">
        <f>IF(C$2=0,"",IFERROR(TRIM(INDEX('Pegar estudiantes'!$A$1:$BZ$1001,93,C$2)&amp;""),""))</f>
        <v/>
      </c>
      <c r="D94">
        <f>IF(D$2=0,"",IFERROR(TRIM(INDEX('Pegar estudiantes'!$A$1:$BZ$1001,93,D$2)&amp;""),""))</f>
        <v/>
      </c>
      <c r="E94">
        <f>IF(E$2=0,"",IFERROR(TRIM(INDEX('Pegar estudiantes'!$A$1:$BZ$1001,93,E$2)&amp;""),""))</f>
        <v/>
      </c>
      <c r="F94">
        <f>IF(F$2=0,"",IFERROR(TRIM(INDEX('Pegar estudiantes'!$A$1:$BZ$1001,93,F$2)&amp;""),""))</f>
        <v/>
      </c>
      <c r="G94">
        <f>IF(G$2=0,"",IFERROR(TRIM(INDEX('Pegar estudiantes'!$A$1:$BZ$1001,93,G$2)&amp;""),""))</f>
        <v/>
      </c>
      <c r="H94">
        <f>IF(H$2=0,"",IFERROR(TRIM(INDEX('Pegar estudiantes'!$A$1:$BZ$1001,93,H$2)&amp;""),""))</f>
        <v/>
      </c>
      <c r="I94">
        <f>IF(I$2=0,"",IFERROR(TRIM(INDEX('Pegar estudiantes'!$A$1:$BZ$1001,93,I$2)&amp;""),""))</f>
        <v/>
      </c>
      <c r="J94">
        <f>IF(J$2=0,"",IFERROR(TRIM(INDEX('Pegar estudiantes'!$A$1:$BZ$1001,93,J$2)&amp;""),""))</f>
        <v/>
      </c>
      <c r="K94">
        <f>IF(K$2=0,"",IFERROR(TRIM(INDEX('Pegar estudiantes'!$A$1:$BZ$1001,93,K$2)&amp;""),""))</f>
        <v/>
      </c>
      <c r="L94" s="25">
        <f>IF(A94&lt;&gt;"",1,"")</f>
        <v/>
      </c>
      <c r="M94" s="25">
        <f>IF(L94=1,IF(ISNUMBER(FIND("#"&amp;MID(A94,1,1)&amp;"#","#0#1#2#3#4#5#6#7#8#9#")),IF(ISNUMBER(FIND("#"&amp;MID(A94,2,1)&amp;"#","#0#1#2#3#4#5#6#7#8#9#")),IF(AND(VALUE(LEFT(A94,2))&gt;=1,VALUE(LEFT(A94,2))&lt;=5),VALUE(LEFT(A94,2)),""),IF(AND(VALUE(LEFT(A94,1))&gt;=1,VALUE(LEFT(A94,1))&lt;=5),VALUE(LEFT(A94,1)),"")),""),"")</f>
        <v/>
      </c>
      <c r="N94" s="25">
        <f>IF(L94=1,IF(ISNUMBER(FIND("#"&amp;MID(H94,1,1)&amp;"#","#0#1#2#3#4#5#6#7#8#9#")),IF(ISNUMBER(FIND("#"&amp;MID(H94,2,1)&amp;"#","#0#1#2#3#4#5#6#7#8#9#")),IF(AND(VALUE(LEFT(H94,2))&gt;=1,VALUE(LEFT(H94,2))&lt;=5),VALUE(LEFT(H94,2)),""),IF(AND(VALUE(LEFT(H94,1))&gt;=1,VALUE(LEFT(H94,1))&lt;=5),VALUE(LEFT(H94,1)),"")),""),"")</f>
        <v/>
      </c>
      <c r="O94" s="25">
        <f>IF(AND(L94=1,B94&lt;&gt;""),SUBSTITUTE(SUBSTITUTE(SUBSTITUTE(SUBSTITUTE(SUBSTITUTE(SUBSTITUTE(SUBSTITUTE(SUBSTITUTE(SUBSTITUTE(SUBSTITUTE(SUBSTITUTE(SUBSTITUTE(LOWER(TRIM(B94)),"á","a"),"é","e"),"í","i"),"ó","o"),"ú","u"),"ü","u"),"ñ","n"),"à","a"),"è","e"),"ì","i"),"ò","o"),"ù","u"),"")</f>
        <v/>
      </c>
      <c r="P94" s="25">
        <f>IF(AND(L94=1,C94&lt;&gt;""),SUBSTITUTE(SUBSTITUTE(SUBSTITUTE(SUBSTITUTE(SUBSTITUTE(SUBSTITUTE(SUBSTITUTE(SUBSTITUTE(SUBSTITUTE(SUBSTITUTE(SUBSTITUTE(SUBSTITUTE(LOWER(TRIM(C94)),"á","a"),"é","e"),"í","i"),"ó","o"),"ú","u"),"ü","u"),"ñ","n"),"à","a"),"è","e"),"ì","i"),"ò","o"),"ù","u"),"")</f>
        <v/>
      </c>
      <c r="Q94" s="25">
        <f>IF(AND(L94=1,E94&lt;&gt;""),SUBSTITUTE(SUBSTITUTE(SUBSTITUTE(SUBSTITUTE(SUBSTITUTE(SUBSTITUTE(SUBSTITUTE(SUBSTITUTE(SUBSTITUTE(SUBSTITUTE(SUBSTITUTE(SUBSTITUTE(LOWER(TRIM(E94)),"á","a"),"é","e"),"í","i"),"ó","o"),"ú","u"),"ü","u"),"ñ","n"),"à","a"),"è","e"),"ì","i"),"ò","o"),"ù","u"),"")</f>
        <v/>
      </c>
      <c r="R94" s="25">
        <f>IF(AND(L94=1,I94&lt;&gt;""),SUBSTITUTE(SUBSTITUTE(SUBSTITUTE(SUBSTITUTE(SUBSTITUTE(SUBSTITUTE(SUBSTITUTE(SUBSTITUTE(SUBSTITUTE(SUBSTITUTE(SUBSTITUTE(SUBSTITUTE(LOWER(TRIM(I94)),"á","a"),"é","e"),"í","i"),"ó","o"),"ú","u"),"ü","u"),"ñ","n"),"à","a"),"è","e"),"ì","i"),"ò","o"),"ù","u"),"")</f>
        <v/>
      </c>
      <c r="S94" s="25">
        <f>IF(R94="","",IF(OR(R94="si",R94="tal vez"),1,0))</f>
        <v/>
      </c>
      <c r="T94" s="25">
        <f>IF(AND(L94=1,D94&lt;&gt;""),IF(IFERROR(COUNTIFS(D$3:D94,"="&amp;SUBSTITUTE(SUBSTITUTE(SUBSTITUTE(D94,"~","~~"),"*","~*"),"?","~?"),L$3:L94,1),0)=1,MAX(T$2:T93)+1,""),"")</f>
        <v/>
      </c>
      <c r="U94" s="25">
        <f>IF(T94="","",COUNTIFS($D$3:$D$1002,"="&amp;SUBSTITUTE(SUBSTITUTE(SUBSTITUTE(D94,"~","~~"),"*","~*"),"?","~?"),$L$3:$L$1002,1)*10000-T94)</f>
        <v/>
      </c>
      <c r="V94" s="25">
        <f>IF(AND(L94=1,J94&lt;&gt;""),IF(IFERROR(COUNTIFS(J$3:J94,"="&amp;SUBSTITUTE(SUBSTITUTE(SUBSTITUTE(J94,"~","~~"),"*","~*"),"?","~?"),L$3:L94,1),0)=1,MAX(V$2:V93)+1,""),"")</f>
        <v/>
      </c>
      <c r="W94" s="25">
        <f>IF(V94="","",COUNTIFS($J$3:$J$1002,"="&amp;SUBSTITUTE(SUBSTITUTE(SUBSTITUTE(J94,"~","~~"),"*","~*"),"?","~?"),$L$3:$L$1002,1)*10000-V94)</f>
        <v/>
      </c>
    </row>
    <row r="95">
      <c r="A95">
        <f>IF(A$2=0,"",IFERROR(TRIM(INDEX('Pegar estudiantes'!$A$1:$BZ$1001,94,A$2)&amp;""),""))</f>
        <v/>
      </c>
      <c r="B95">
        <f>IF(B$2=0,"",IFERROR(TRIM(INDEX('Pegar estudiantes'!$A$1:$BZ$1001,94,B$2)&amp;""),""))</f>
        <v/>
      </c>
      <c r="C95">
        <f>IF(C$2=0,"",IFERROR(TRIM(INDEX('Pegar estudiantes'!$A$1:$BZ$1001,94,C$2)&amp;""),""))</f>
        <v/>
      </c>
      <c r="D95">
        <f>IF(D$2=0,"",IFERROR(TRIM(INDEX('Pegar estudiantes'!$A$1:$BZ$1001,94,D$2)&amp;""),""))</f>
        <v/>
      </c>
      <c r="E95">
        <f>IF(E$2=0,"",IFERROR(TRIM(INDEX('Pegar estudiantes'!$A$1:$BZ$1001,94,E$2)&amp;""),""))</f>
        <v/>
      </c>
      <c r="F95">
        <f>IF(F$2=0,"",IFERROR(TRIM(INDEX('Pegar estudiantes'!$A$1:$BZ$1001,94,F$2)&amp;""),""))</f>
        <v/>
      </c>
      <c r="G95">
        <f>IF(G$2=0,"",IFERROR(TRIM(INDEX('Pegar estudiantes'!$A$1:$BZ$1001,94,G$2)&amp;""),""))</f>
        <v/>
      </c>
      <c r="H95">
        <f>IF(H$2=0,"",IFERROR(TRIM(INDEX('Pegar estudiantes'!$A$1:$BZ$1001,94,H$2)&amp;""),""))</f>
        <v/>
      </c>
      <c r="I95">
        <f>IF(I$2=0,"",IFERROR(TRIM(INDEX('Pegar estudiantes'!$A$1:$BZ$1001,94,I$2)&amp;""),""))</f>
        <v/>
      </c>
      <c r="J95">
        <f>IF(J$2=0,"",IFERROR(TRIM(INDEX('Pegar estudiantes'!$A$1:$BZ$1001,94,J$2)&amp;""),""))</f>
        <v/>
      </c>
      <c r="K95">
        <f>IF(K$2=0,"",IFERROR(TRIM(INDEX('Pegar estudiantes'!$A$1:$BZ$1001,94,K$2)&amp;""),""))</f>
        <v/>
      </c>
      <c r="L95" s="25">
        <f>IF(A95&lt;&gt;"",1,"")</f>
        <v/>
      </c>
      <c r="M95" s="25">
        <f>IF(L95=1,IF(ISNUMBER(FIND("#"&amp;MID(A95,1,1)&amp;"#","#0#1#2#3#4#5#6#7#8#9#")),IF(ISNUMBER(FIND("#"&amp;MID(A95,2,1)&amp;"#","#0#1#2#3#4#5#6#7#8#9#")),IF(AND(VALUE(LEFT(A95,2))&gt;=1,VALUE(LEFT(A95,2))&lt;=5),VALUE(LEFT(A95,2)),""),IF(AND(VALUE(LEFT(A95,1))&gt;=1,VALUE(LEFT(A95,1))&lt;=5),VALUE(LEFT(A95,1)),"")),""),"")</f>
        <v/>
      </c>
      <c r="N95" s="25">
        <f>IF(L95=1,IF(ISNUMBER(FIND("#"&amp;MID(H95,1,1)&amp;"#","#0#1#2#3#4#5#6#7#8#9#")),IF(ISNUMBER(FIND("#"&amp;MID(H95,2,1)&amp;"#","#0#1#2#3#4#5#6#7#8#9#")),IF(AND(VALUE(LEFT(H95,2))&gt;=1,VALUE(LEFT(H95,2))&lt;=5),VALUE(LEFT(H95,2)),""),IF(AND(VALUE(LEFT(H95,1))&gt;=1,VALUE(LEFT(H95,1))&lt;=5),VALUE(LEFT(H95,1)),"")),""),"")</f>
        <v/>
      </c>
      <c r="O95" s="25">
        <f>IF(AND(L95=1,B95&lt;&gt;""),SUBSTITUTE(SUBSTITUTE(SUBSTITUTE(SUBSTITUTE(SUBSTITUTE(SUBSTITUTE(SUBSTITUTE(SUBSTITUTE(SUBSTITUTE(SUBSTITUTE(SUBSTITUTE(SUBSTITUTE(LOWER(TRIM(B95)),"á","a"),"é","e"),"í","i"),"ó","o"),"ú","u"),"ü","u"),"ñ","n"),"à","a"),"è","e"),"ì","i"),"ò","o"),"ù","u"),"")</f>
        <v/>
      </c>
      <c r="P95" s="25">
        <f>IF(AND(L95=1,C95&lt;&gt;""),SUBSTITUTE(SUBSTITUTE(SUBSTITUTE(SUBSTITUTE(SUBSTITUTE(SUBSTITUTE(SUBSTITUTE(SUBSTITUTE(SUBSTITUTE(SUBSTITUTE(SUBSTITUTE(SUBSTITUTE(LOWER(TRIM(C95)),"á","a"),"é","e"),"í","i"),"ó","o"),"ú","u"),"ü","u"),"ñ","n"),"à","a"),"è","e"),"ì","i"),"ò","o"),"ù","u"),"")</f>
        <v/>
      </c>
      <c r="Q95" s="25">
        <f>IF(AND(L95=1,E95&lt;&gt;""),SUBSTITUTE(SUBSTITUTE(SUBSTITUTE(SUBSTITUTE(SUBSTITUTE(SUBSTITUTE(SUBSTITUTE(SUBSTITUTE(SUBSTITUTE(SUBSTITUTE(SUBSTITUTE(SUBSTITUTE(LOWER(TRIM(E95)),"á","a"),"é","e"),"í","i"),"ó","o"),"ú","u"),"ü","u"),"ñ","n"),"à","a"),"è","e"),"ì","i"),"ò","o"),"ù","u"),"")</f>
        <v/>
      </c>
      <c r="R95" s="25">
        <f>IF(AND(L95=1,I95&lt;&gt;""),SUBSTITUTE(SUBSTITUTE(SUBSTITUTE(SUBSTITUTE(SUBSTITUTE(SUBSTITUTE(SUBSTITUTE(SUBSTITUTE(SUBSTITUTE(SUBSTITUTE(SUBSTITUTE(SUBSTITUTE(LOWER(TRIM(I95)),"á","a"),"é","e"),"í","i"),"ó","o"),"ú","u"),"ü","u"),"ñ","n"),"à","a"),"è","e"),"ì","i"),"ò","o"),"ù","u"),"")</f>
        <v/>
      </c>
      <c r="S95" s="25">
        <f>IF(R95="","",IF(OR(R95="si",R95="tal vez"),1,0))</f>
        <v/>
      </c>
      <c r="T95" s="25">
        <f>IF(AND(L95=1,D95&lt;&gt;""),IF(IFERROR(COUNTIFS(D$3:D95,"="&amp;SUBSTITUTE(SUBSTITUTE(SUBSTITUTE(D95,"~","~~"),"*","~*"),"?","~?"),L$3:L95,1),0)=1,MAX(T$2:T94)+1,""),"")</f>
        <v/>
      </c>
      <c r="U95" s="25">
        <f>IF(T95="","",COUNTIFS($D$3:$D$1002,"="&amp;SUBSTITUTE(SUBSTITUTE(SUBSTITUTE(D95,"~","~~"),"*","~*"),"?","~?"),$L$3:$L$1002,1)*10000-T95)</f>
        <v/>
      </c>
      <c r="V95" s="25">
        <f>IF(AND(L95=1,J95&lt;&gt;""),IF(IFERROR(COUNTIFS(J$3:J95,"="&amp;SUBSTITUTE(SUBSTITUTE(SUBSTITUTE(J95,"~","~~"),"*","~*"),"?","~?"),L$3:L95,1),0)=1,MAX(V$2:V94)+1,""),"")</f>
        <v/>
      </c>
      <c r="W95" s="25">
        <f>IF(V95="","",COUNTIFS($J$3:$J$1002,"="&amp;SUBSTITUTE(SUBSTITUTE(SUBSTITUTE(J95,"~","~~"),"*","~*"),"?","~?"),$L$3:$L$1002,1)*10000-V95)</f>
        <v/>
      </c>
    </row>
    <row r="96">
      <c r="A96">
        <f>IF(A$2=0,"",IFERROR(TRIM(INDEX('Pegar estudiantes'!$A$1:$BZ$1001,95,A$2)&amp;""),""))</f>
        <v/>
      </c>
      <c r="B96">
        <f>IF(B$2=0,"",IFERROR(TRIM(INDEX('Pegar estudiantes'!$A$1:$BZ$1001,95,B$2)&amp;""),""))</f>
        <v/>
      </c>
      <c r="C96">
        <f>IF(C$2=0,"",IFERROR(TRIM(INDEX('Pegar estudiantes'!$A$1:$BZ$1001,95,C$2)&amp;""),""))</f>
        <v/>
      </c>
      <c r="D96">
        <f>IF(D$2=0,"",IFERROR(TRIM(INDEX('Pegar estudiantes'!$A$1:$BZ$1001,95,D$2)&amp;""),""))</f>
        <v/>
      </c>
      <c r="E96">
        <f>IF(E$2=0,"",IFERROR(TRIM(INDEX('Pegar estudiantes'!$A$1:$BZ$1001,95,E$2)&amp;""),""))</f>
        <v/>
      </c>
      <c r="F96">
        <f>IF(F$2=0,"",IFERROR(TRIM(INDEX('Pegar estudiantes'!$A$1:$BZ$1001,95,F$2)&amp;""),""))</f>
        <v/>
      </c>
      <c r="G96">
        <f>IF(G$2=0,"",IFERROR(TRIM(INDEX('Pegar estudiantes'!$A$1:$BZ$1001,95,G$2)&amp;""),""))</f>
        <v/>
      </c>
      <c r="H96">
        <f>IF(H$2=0,"",IFERROR(TRIM(INDEX('Pegar estudiantes'!$A$1:$BZ$1001,95,H$2)&amp;""),""))</f>
        <v/>
      </c>
      <c r="I96">
        <f>IF(I$2=0,"",IFERROR(TRIM(INDEX('Pegar estudiantes'!$A$1:$BZ$1001,95,I$2)&amp;""),""))</f>
        <v/>
      </c>
      <c r="J96">
        <f>IF(J$2=0,"",IFERROR(TRIM(INDEX('Pegar estudiantes'!$A$1:$BZ$1001,95,J$2)&amp;""),""))</f>
        <v/>
      </c>
      <c r="K96">
        <f>IF(K$2=0,"",IFERROR(TRIM(INDEX('Pegar estudiantes'!$A$1:$BZ$1001,95,K$2)&amp;""),""))</f>
        <v/>
      </c>
      <c r="L96" s="25">
        <f>IF(A96&lt;&gt;"",1,"")</f>
        <v/>
      </c>
      <c r="M96" s="25">
        <f>IF(L96=1,IF(ISNUMBER(FIND("#"&amp;MID(A96,1,1)&amp;"#","#0#1#2#3#4#5#6#7#8#9#")),IF(ISNUMBER(FIND("#"&amp;MID(A96,2,1)&amp;"#","#0#1#2#3#4#5#6#7#8#9#")),IF(AND(VALUE(LEFT(A96,2))&gt;=1,VALUE(LEFT(A96,2))&lt;=5),VALUE(LEFT(A96,2)),""),IF(AND(VALUE(LEFT(A96,1))&gt;=1,VALUE(LEFT(A96,1))&lt;=5),VALUE(LEFT(A96,1)),"")),""),"")</f>
        <v/>
      </c>
      <c r="N96" s="25">
        <f>IF(L96=1,IF(ISNUMBER(FIND("#"&amp;MID(H96,1,1)&amp;"#","#0#1#2#3#4#5#6#7#8#9#")),IF(ISNUMBER(FIND("#"&amp;MID(H96,2,1)&amp;"#","#0#1#2#3#4#5#6#7#8#9#")),IF(AND(VALUE(LEFT(H96,2))&gt;=1,VALUE(LEFT(H96,2))&lt;=5),VALUE(LEFT(H96,2)),""),IF(AND(VALUE(LEFT(H96,1))&gt;=1,VALUE(LEFT(H96,1))&lt;=5),VALUE(LEFT(H96,1)),"")),""),"")</f>
        <v/>
      </c>
      <c r="O96" s="25">
        <f>IF(AND(L96=1,B96&lt;&gt;""),SUBSTITUTE(SUBSTITUTE(SUBSTITUTE(SUBSTITUTE(SUBSTITUTE(SUBSTITUTE(SUBSTITUTE(SUBSTITUTE(SUBSTITUTE(SUBSTITUTE(SUBSTITUTE(SUBSTITUTE(LOWER(TRIM(B96)),"á","a"),"é","e"),"í","i"),"ó","o"),"ú","u"),"ü","u"),"ñ","n"),"à","a"),"è","e"),"ì","i"),"ò","o"),"ù","u"),"")</f>
        <v/>
      </c>
      <c r="P96" s="25">
        <f>IF(AND(L96=1,C96&lt;&gt;""),SUBSTITUTE(SUBSTITUTE(SUBSTITUTE(SUBSTITUTE(SUBSTITUTE(SUBSTITUTE(SUBSTITUTE(SUBSTITUTE(SUBSTITUTE(SUBSTITUTE(SUBSTITUTE(SUBSTITUTE(LOWER(TRIM(C96)),"á","a"),"é","e"),"í","i"),"ó","o"),"ú","u"),"ü","u"),"ñ","n"),"à","a"),"è","e"),"ì","i"),"ò","o"),"ù","u"),"")</f>
        <v/>
      </c>
      <c r="Q96" s="25">
        <f>IF(AND(L96=1,E96&lt;&gt;""),SUBSTITUTE(SUBSTITUTE(SUBSTITUTE(SUBSTITUTE(SUBSTITUTE(SUBSTITUTE(SUBSTITUTE(SUBSTITUTE(SUBSTITUTE(SUBSTITUTE(SUBSTITUTE(SUBSTITUTE(LOWER(TRIM(E96)),"á","a"),"é","e"),"í","i"),"ó","o"),"ú","u"),"ü","u"),"ñ","n"),"à","a"),"è","e"),"ì","i"),"ò","o"),"ù","u"),"")</f>
        <v/>
      </c>
      <c r="R96" s="25">
        <f>IF(AND(L96=1,I96&lt;&gt;""),SUBSTITUTE(SUBSTITUTE(SUBSTITUTE(SUBSTITUTE(SUBSTITUTE(SUBSTITUTE(SUBSTITUTE(SUBSTITUTE(SUBSTITUTE(SUBSTITUTE(SUBSTITUTE(SUBSTITUTE(LOWER(TRIM(I96)),"á","a"),"é","e"),"í","i"),"ó","o"),"ú","u"),"ü","u"),"ñ","n"),"à","a"),"è","e"),"ì","i"),"ò","o"),"ù","u"),"")</f>
        <v/>
      </c>
      <c r="S96" s="25">
        <f>IF(R96="","",IF(OR(R96="si",R96="tal vez"),1,0))</f>
        <v/>
      </c>
      <c r="T96" s="25">
        <f>IF(AND(L96=1,D96&lt;&gt;""),IF(IFERROR(COUNTIFS(D$3:D96,"="&amp;SUBSTITUTE(SUBSTITUTE(SUBSTITUTE(D96,"~","~~"),"*","~*"),"?","~?"),L$3:L96,1),0)=1,MAX(T$2:T95)+1,""),"")</f>
        <v/>
      </c>
      <c r="U96" s="25">
        <f>IF(T96="","",COUNTIFS($D$3:$D$1002,"="&amp;SUBSTITUTE(SUBSTITUTE(SUBSTITUTE(D96,"~","~~"),"*","~*"),"?","~?"),$L$3:$L$1002,1)*10000-T96)</f>
        <v/>
      </c>
      <c r="V96" s="25">
        <f>IF(AND(L96=1,J96&lt;&gt;""),IF(IFERROR(COUNTIFS(J$3:J96,"="&amp;SUBSTITUTE(SUBSTITUTE(SUBSTITUTE(J96,"~","~~"),"*","~*"),"?","~?"),L$3:L96,1),0)=1,MAX(V$2:V95)+1,""),"")</f>
        <v/>
      </c>
      <c r="W96" s="25">
        <f>IF(V96="","",COUNTIFS($J$3:$J$1002,"="&amp;SUBSTITUTE(SUBSTITUTE(SUBSTITUTE(J96,"~","~~"),"*","~*"),"?","~?"),$L$3:$L$1002,1)*10000-V96)</f>
        <v/>
      </c>
    </row>
    <row r="97">
      <c r="A97">
        <f>IF(A$2=0,"",IFERROR(TRIM(INDEX('Pegar estudiantes'!$A$1:$BZ$1001,96,A$2)&amp;""),""))</f>
        <v/>
      </c>
      <c r="B97">
        <f>IF(B$2=0,"",IFERROR(TRIM(INDEX('Pegar estudiantes'!$A$1:$BZ$1001,96,B$2)&amp;""),""))</f>
        <v/>
      </c>
      <c r="C97">
        <f>IF(C$2=0,"",IFERROR(TRIM(INDEX('Pegar estudiantes'!$A$1:$BZ$1001,96,C$2)&amp;""),""))</f>
        <v/>
      </c>
      <c r="D97">
        <f>IF(D$2=0,"",IFERROR(TRIM(INDEX('Pegar estudiantes'!$A$1:$BZ$1001,96,D$2)&amp;""),""))</f>
        <v/>
      </c>
      <c r="E97">
        <f>IF(E$2=0,"",IFERROR(TRIM(INDEX('Pegar estudiantes'!$A$1:$BZ$1001,96,E$2)&amp;""),""))</f>
        <v/>
      </c>
      <c r="F97">
        <f>IF(F$2=0,"",IFERROR(TRIM(INDEX('Pegar estudiantes'!$A$1:$BZ$1001,96,F$2)&amp;""),""))</f>
        <v/>
      </c>
      <c r="G97">
        <f>IF(G$2=0,"",IFERROR(TRIM(INDEX('Pegar estudiantes'!$A$1:$BZ$1001,96,G$2)&amp;""),""))</f>
        <v/>
      </c>
      <c r="H97">
        <f>IF(H$2=0,"",IFERROR(TRIM(INDEX('Pegar estudiantes'!$A$1:$BZ$1001,96,H$2)&amp;""),""))</f>
        <v/>
      </c>
      <c r="I97">
        <f>IF(I$2=0,"",IFERROR(TRIM(INDEX('Pegar estudiantes'!$A$1:$BZ$1001,96,I$2)&amp;""),""))</f>
        <v/>
      </c>
      <c r="J97">
        <f>IF(J$2=0,"",IFERROR(TRIM(INDEX('Pegar estudiantes'!$A$1:$BZ$1001,96,J$2)&amp;""),""))</f>
        <v/>
      </c>
      <c r="K97">
        <f>IF(K$2=0,"",IFERROR(TRIM(INDEX('Pegar estudiantes'!$A$1:$BZ$1001,96,K$2)&amp;""),""))</f>
        <v/>
      </c>
      <c r="L97" s="25">
        <f>IF(A97&lt;&gt;"",1,"")</f>
        <v/>
      </c>
      <c r="M97" s="25">
        <f>IF(L97=1,IF(ISNUMBER(FIND("#"&amp;MID(A97,1,1)&amp;"#","#0#1#2#3#4#5#6#7#8#9#")),IF(ISNUMBER(FIND("#"&amp;MID(A97,2,1)&amp;"#","#0#1#2#3#4#5#6#7#8#9#")),IF(AND(VALUE(LEFT(A97,2))&gt;=1,VALUE(LEFT(A97,2))&lt;=5),VALUE(LEFT(A97,2)),""),IF(AND(VALUE(LEFT(A97,1))&gt;=1,VALUE(LEFT(A97,1))&lt;=5),VALUE(LEFT(A97,1)),"")),""),"")</f>
        <v/>
      </c>
      <c r="N97" s="25">
        <f>IF(L97=1,IF(ISNUMBER(FIND("#"&amp;MID(H97,1,1)&amp;"#","#0#1#2#3#4#5#6#7#8#9#")),IF(ISNUMBER(FIND("#"&amp;MID(H97,2,1)&amp;"#","#0#1#2#3#4#5#6#7#8#9#")),IF(AND(VALUE(LEFT(H97,2))&gt;=1,VALUE(LEFT(H97,2))&lt;=5),VALUE(LEFT(H97,2)),""),IF(AND(VALUE(LEFT(H97,1))&gt;=1,VALUE(LEFT(H97,1))&lt;=5),VALUE(LEFT(H97,1)),"")),""),"")</f>
        <v/>
      </c>
      <c r="O97" s="25">
        <f>IF(AND(L97=1,B97&lt;&gt;""),SUBSTITUTE(SUBSTITUTE(SUBSTITUTE(SUBSTITUTE(SUBSTITUTE(SUBSTITUTE(SUBSTITUTE(SUBSTITUTE(SUBSTITUTE(SUBSTITUTE(SUBSTITUTE(SUBSTITUTE(LOWER(TRIM(B97)),"á","a"),"é","e"),"í","i"),"ó","o"),"ú","u"),"ü","u"),"ñ","n"),"à","a"),"è","e"),"ì","i"),"ò","o"),"ù","u"),"")</f>
        <v/>
      </c>
      <c r="P97" s="25">
        <f>IF(AND(L97=1,C97&lt;&gt;""),SUBSTITUTE(SUBSTITUTE(SUBSTITUTE(SUBSTITUTE(SUBSTITUTE(SUBSTITUTE(SUBSTITUTE(SUBSTITUTE(SUBSTITUTE(SUBSTITUTE(SUBSTITUTE(SUBSTITUTE(LOWER(TRIM(C97)),"á","a"),"é","e"),"í","i"),"ó","o"),"ú","u"),"ü","u"),"ñ","n"),"à","a"),"è","e"),"ì","i"),"ò","o"),"ù","u"),"")</f>
        <v/>
      </c>
      <c r="Q97" s="25">
        <f>IF(AND(L97=1,E97&lt;&gt;""),SUBSTITUTE(SUBSTITUTE(SUBSTITUTE(SUBSTITUTE(SUBSTITUTE(SUBSTITUTE(SUBSTITUTE(SUBSTITUTE(SUBSTITUTE(SUBSTITUTE(SUBSTITUTE(SUBSTITUTE(LOWER(TRIM(E97)),"á","a"),"é","e"),"í","i"),"ó","o"),"ú","u"),"ü","u"),"ñ","n"),"à","a"),"è","e"),"ì","i"),"ò","o"),"ù","u"),"")</f>
        <v/>
      </c>
      <c r="R97" s="25">
        <f>IF(AND(L97=1,I97&lt;&gt;""),SUBSTITUTE(SUBSTITUTE(SUBSTITUTE(SUBSTITUTE(SUBSTITUTE(SUBSTITUTE(SUBSTITUTE(SUBSTITUTE(SUBSTITUTE(SUBSTITUTE(SUBSTITUTE(SUBSTITUTE(LOWER(TRIM(I97)),"á","a"),"é","e"),"í","i"),"ó","o"),"ú","u"),"ü","u"),"ñ","n"),"à","a"),"è","e"),"ì","i"),"ò","o"),"ù","u"),"")</f>
        <v/>
      </c>
      <c r="S97" s="25">
        <f>IF(R97="","",IF(OR(R97="si",R97="tal vez"),1,0))</f>
        <v/>
      </c>
      <c r="T97" s="25">
        <f>IF(AND(L97=1,D97&lt;&gt;""),IF(IFERROR(COUNTIFS(D$3:D97,"="&amp;SUBSTITUTE(SUBSTITUTE(SUBSTITUTE(D97,"~","~~"),"*","~*"),"?","~?"),L$3:L97,1),0)=1,MAX(T$2:T96)+1,""),"")</f>
        <v/>
      </c>
      <c r="U97" s="25">
        <f>IF(T97="","",COUNTIFS($D$3:$D$1002,"="&amp;SUBSTITUTE(SUBSTITUTE(SUBSTITUTE(D97,"~","~~"),"*","~*"),"?","~?"),$L$3:$L$1002,1)*10000-T97)</f>
        <v/>
      </c>
      <c r="V97" s="25">
        <f>IF(AND(L97=1,J97&lt;&gt;""),IF(IFERROR(COUNTIFS(J$3:J97,"="&amp;SUBSTITUTE(SUBSTITUTE(SUBSTITUTE(J97,"~","~~"),"*","~*"),"?","~?"),L$3:L97,1),0)=1,MAX(V$2:V96)+1,""),"")</f>
        <v/>
      </c>
      <c r="W97" s="25">
        <f>IF(V97="","",COUNTIFS($J$3:$J$1002,"="&amp;SUBSTITUTE(SUBSTITUTE(SUBSTITUTE(J97,"~","~~"),"*","~*"),"?","~?"),$L$3:$L$1002,1)*10000-V97)</f>
        <v/>
      </c>
    </row>
    <row r="98">
      <c r="A98">
        <f>IF(A$2=0,"",IFERROR(TRIM(INDEX('Pegar estudiantes'!$A$1:$BZ$1001,97,A$2)&amp;""),""))</f>
        <v/>
      </c>
      <c r="B98">
        <f>IF(B$2=0,"",IFERROR(TRIM(INDEX('Pegar estudiantes'!$A$1:$BZ$1001,97,B$2)&amp;""),""))</f>
        <v/>
      </c>
      <c r="C98">
        <f>IF(C$2=0,"",IFERROR(TRIM(INDEX('Pegar estudiantes'!$A$1:$BZ$1001,97,C$2)&amp;""),""))</f>
        <v/>
      </c>
      <c r="D98">
        <f>IF(D$2=0,"",IFERROR(TRIM(INDEX('Pegar estudiantes'!$A$1:$BZ$1001,97,D$2)&amp;""),""))</f>
        <v/>
      </c>
      <c r="E98">
        <f>IF(E$2=0,"",IFERROR(TRIM(INDEX('Pegar estudiantes'!$A$1:$BZ$1001,97,E$2)&amp;""),""))</f>
        <v/>
      </c>
      <c r="F98">
        <f>IF(F$2=0,"",IFERROR(TRIM(INDEX('Pegar estudiantes'!$A$1:$BZ$1001,97,F$2)&amp;""),""))</f>
        <v/>
      </c>
      <c r="G98">
        <f>IF(G$2=0,"",IFERROR(TRIM(INDEX('Pegar estudiantes'!$A$1:$BZ$1001,97,G$2)&amp;""),""))</f>
        <v/>
      </c>
      <c r="H98">
        <f>IF(H$2=0,"",IFERROR(TRIM(INDEX('Pegar estudiantes'!$A$1:$BZ$1001,97,H$2)&amp;""),""))</f>
        <v/>
      </c>
      <c r="I98">
        <f>IF(I$2=0,"",IFERROR(TRIM(INDEX('Pegar estudiantes'!$A$1:$BZ$1001,97,I$2)&amp;""),""))</f>
        <v/>
      </c>
      <c r="J98">
        <f>IF(J$2=0,"",IFERROR(TRIM(INDEX('Pegar estudiantes'!$A$1:$BZ$1001,97,J$2)&amp;""),""))</f>
        <v/>
      </c>
      <c r="K98">
        <f>IF(K$2=0,"",IFERROR(TRIM(INDEX('Pegar estudiantes'!$A$1:$BZ$1001,97,K$2)&amp;""),""))</f>
        <v/>
      </c>
      <c r="L98" s="25">
        <f>IF(A98&lt;&gt;"",1,"")</f>
        <v/>
      </c>
      <c r="M98" s="25">
        <f>IF(L98=1,IF(ISNUMBER(FIND("#"&amp;MID(A98,1,1)&amp;"#","#0#1#2#3#4#5#6#7#8#9#")),IF(ISNUMBER(FIND("#"&amp;MID(A98,2,1)&amp;"#","#0#1#2#3#4#5#6#7#8#9#")),IF(AND(VALUE(LEFT(A98,2))&gt;=1,VALUE(LEFT(A98,2))&lt;=5),VALUE(LEFT(A98,2)),""),IF(AND(VALUE(LEFT(A98,1))&gt;=1,VALUE(LEFT(A98,1))&lt;=5),VALUE(LEFT(A98,1)),"")),""),"")</f>
        <v/>
      </c>
      <c r="N98" s="25">
        <f>IF(L98=1,IF(ISNUMBER(FIND("#"&amp;MID(H98,1,1)&amp;"#","#0#1#2#3#4#5#6#7#8#9#")),IF(ISNUMBER(FIND("#"&amp;MID(H98,2,1)&amp;"#","#0#1#2#3#4#5#6#7#8#9#")),IF(AND(VALUE(LEFT(H98,2))&gt;=1,VALUE(LEFT(H98,2))&lt;=5),VALUE(LEFT(H98,2)),""),IF(AND(VALUE(LEFT(H98,1))&gt;=1,VALUE(LEFT(H98,1))&lt;=5),VALUE(LEFT(H98,1)),"")),""),"")</f>
        <v/>
      </c>
      <c r="O98" s="25">
        <f>IF(AND(L98=1,B98&lt;&gt;""),SUBSTITUTE(SUBSTITUTE(SUBSTITUTE(SUBSTITUTE(SUBSTITUTE(SUBSTITUTE(SUBSTITUTE(SUBSTITUTE(SUBSTITUTE(SUBSTITUTE(SUBSTITUTE(SUBSTITUTE(LOWER(TRIM(B98)),"á","a"),"é","e"),"í","i"),"ó","o"),"ú","u"),"ü","u"),"ñ","n"),"à","a"),"è","e"),"ì","i"),"ò","o"),"ù","u"),"")</f>
        <v/>
      </c>
      <c r="P98" s="25">
        <f>IF(AND(L98=1,C98&lt;&gt;""),SUBSTITUTE(SUBSTITUTE(SUBSTITUTE(SUBSTITUTE(SUBSTITUTE(SUBSTITUTE(SUBSTITUTE(SUBSTITUTE(SUBSTITUTE(SUBSTITUTE(SUBSTITUTE(SUBSTITUTE(LOWER(TRIM(C98)),"á","a"),"é","e"),"í","i"),"ó","o"),"ú","u"),"ü","u"),"ñ","n"),"à","a"),"è","e"),"ì","i"),"ò","o"),"ù","u"),"")</f>
        <v/>
      </c>
      <c r="Q98" s="25">
        <f>IF(AND(L98=1,E98&lt;&gt;""),SUBSTITUTE(SUBSTITUTE(SUBSTITUTE(SUBSTITUTE(SUBSTITUTE(SUBSTITUTE(SUBSTITUTE(SUBSTITUTE(SUBSTITUTE(SUBSTITUTE(SUBSTITUTE(SUBSTITUTE(LOWER(TRIM(E98)),"á","a"),"é","e"),"í","i"),"ó","o"),"ú","u"),"ü","u"),"ñ","n"),"à","a"),"è","e"),"ì","i"),"ò","o"),"ù","u"),"")</f>
        <v/>
      </c>
      <c r="R98" s="25">
        <f>IF(AND(L98=1,I98&lt;&gt;""),SUBSTITUTE(SUBSTITUTE(SUBSTITUTE(SUBSTITUTE(SUBSTITUTE(SUBSTITUTE(SUBSTITUTE(SUBSTITUTE(SUBSTITUTE(SUBSTITUTE(SUBSTITUTE(SUBSTITUTE(LOWER(TRIM(I98)),"á","a"),"é","e"),"í","i"),"ó","o"),"ú","u"),"ü","u"),"ñ","n"),"à","a"),"è","e"),"ì","i"),"ò","o"),"ù","u"),"")</f>
        <v/>
      </c>
      <c r="S98" s="25">
        <f>IF(R98="","",IF(OR(R98="si",R98="tal vez"),1,0))</f>
        <v/>
      </c>
      <c r="T98" s="25">
        <f>IF(AND(L98=1,D98&lt;&gt;""),IF(IFERROR(COUNTIFS(D$3:D98,"="&amp;SUBSTITUTE(SUBSTITUTE(SUBSTITUTE(D98,"~","~~"),"*","~*"),"?","~?"),L$3:L98,1),0)=1,MAX(T$2:T97)+1,""),"")</f>
        <v/>
      </c>
      <c r="U98" s="25">
        <f>IF(T98="","",COUNTIFS($D$3:$D$1002,"="&amp;SUBSTITUTE(SUBSTITUTE(SUBSTITUTE(D98,"~","~~"),"*","~*"),"?","~?"),$L$3:$L$1002,1)*10000-T98)</f>
        <v/>
      </c>
      <c r="V98" s="25">
        <f>IF(AND(L98=1,J98&lt;&gt;""),IF(IFERROR(COUNTIFS(J$3:J98,"="&amp;SUBSTITUTE(SUBSTITUTE(SUBSTITUTE(J98,"~","~~"),"*","~*"),"?","~?"),L$3:L98,1),0)=1,MAX(V$2:V97)+1,""),"")</f>
        <v/>
      </c>
      <c r="W98" s="25">
        <f>IF(V98="","",COUNTIFS($J$3:$J$1002,"="&amp;SUBSTITUTE(SUBSTITUTE(SUBSTITUTE(J98,"~","~~"),"*","~*"),"?","~?"),$L$3:$L$1002,1)*10000-V98)</f>
        <v/>
      </c>
    </row>
    <row r="99">
      <c r="A99">
        <f>IF(A$2=0,"",IFERROR(TRIM(INDEX('Pegar estudiantes'!$A$1:$BZ$1001,98,A$2)&amp;""),""))</f>
        <v/>
      </c>
      <c r="B99">
        <f>IF(B$2=0,"",IFERROR(TRIM(INDEX('Pegar estudiantes'!$A$1:$BZ$1001,98,B$2)&amp;""),""))</f>
        <v/>
      </c>
      <c r="C99">
        <f>IF(C$2=0,"",IFERROR(TRIM(INDEX('Pegar estudiantes'!$A$1:$BZ$1001,98,C$2)&amp;""),""))</f>
        <v/>
      </c>
      <c r="D99">
        <f>IF(D$2=0,"",IFERROR(TRIM(INDEX('Pegar estudiantes'!$A$1:$BZ$1001,98,D$2)&amp;""),""))</f>
        <v/>
      </c>
      <c r="E99">
        <f>IF(E$2=0,"",IFERROR(TRIM(INDEX('Pegar estudiantes'!$A$1:$BZ$1001,98,E$2)&amp;""),""))</f>
        <v/>
      </c>
      <c r="F99">
        <f>IF(F$2=0,"",IFERROR(TRIM(INDEX('Pegar estudiantes'!$A$1:$BZ$1001,98,F$2)&amp;""),""))</f>
        <v/>
      </c>
      <c r="G99">
        <f>IF(G$2=0,"",IFERROR(TRIM(INDEX('Pegar estudiantes'!$A$1:$BZ$1001,98,G$2)&amp;""),""))</f>
        <v/>
      </c>
      <c r="H99">
        <f>IF(H$2=0,"",IFERROR(TRIM(INDEX('Pegar estudiantes'!$A$1:$BZ$1001,98,H$2)&amp;""),""))</f>
        <v/>
      </c>
      <c r="I99">
        <f>IF(I$2=0,"",IFERROR(TRIM(INDEX('Pegar estudiantes'!$A$1:$BZ$1001,98,I$2)&amp;""),""))</f>
        <v/>
      </c>
      <c r="J99">
        <f>IF(J$2=0,"",IFERROR(TRIM(INDEX('Pegar estudiantes'!$A$1:$BZ$1001,98,J$2)&amp;""),""))</f>
        <v/>
      </c>
      <c r="K99">
        <f>IF(K$2=0,"",IFERROR(TRIM(INDEX('Pegar estudiantes'!$A$1:$BZ$1001,98,K$2)&amp;""),""))</f>
        <v/>
      </c>
      <c r="L99" s="25">
        <f>IF(A99&lt;&gt;"",1,"")</f>
        <v/>
      </c>
      <c r="M99" s="25">
        <f>IF(L99=1,IF(ISNUMBER(FIND("#"&amp;MID(A99,1,1)&amp;"#","#0#1#2#3#4#5#6#7#8#9#")),IF(ISNUMBER(FIND("#"&amp;MID(A99,2,1)&amp;"#","#0#1#2#3#4#5#6#7#8#9#")),IF(AND(VALUE(LEFT(A99,2))&gt;=1,VALUE(LEFT(A99,2))&lt;=5),VALUE(LEFT(A99,2)),""),IF(AND(VALUE(LEFT(A99,1))&gt;=1,VALUE(LEFT(A99,1))&lt;=5),VALUE(LEFT(A99,1)),"")),""),"")</f>
        <v/>
      </c>
      <c r="N99" s="25">
        <f>IF(L99=1,IF(ISNUMBER(FIND("#"&amp;MID(H99,1,1)&amp;"#","#0#1#2#3#4#5#6#7#8#9#")),IF(ISNUMBER(FIND("#"&amp;MID(H99,2,1)&amp;"#","#0#1#2#3#4#5#6#7#8#9#")),IF(AND(VALUE(LEFT(H99,2))&gt;=1,VALUE(LEFT(H99,2))&lt;=5),VALUE(LEFT(H99,2)),""),IF(AND(VALUE(LEFT(H99,1))&gt;=1,VALUE(LEFT(H99,1))&lt;=5),VALUE(LEFT(H99,1)),"")),""),"")</f>
        <v/>
      </c>
      <c r="O99" s="25">
        <f>IF(AND(L99=1,B99&lt;&gt;""),SUBSTITUTE(SUBSTITUTE(SUBSTITUTE(SUBSTITUTE(SUBSTITUTE(SUBSTITUTE(SUBSTITUTE(SUBSTITUTE(SUBSTITUTE(SUBSTITUTE(SUBSTITUTE(SUBSTITUTE(LOWER(TRIM(B99)),"á","a"),"é","e"),"í","i"),"ó","o"),"ú","u"),"ü","u"),"ñ","n"),"à","a"),"è","e"),"ì","i"),"ò","o"),"ù","u"),"")</f>
        <v/>
      </c>
      <c r="P99" s="25">
        <f>IF(AND(L99=1,C99&lt;&gt;""),SUBSTITUTE(SUBSTITUTE(SUBSTITUTE(SUBSTITUTE(SUBSTITUTE(SUBSTITUTE(SUBSTITUTE(SUBSTITUTE(SUBSTITUTE(SUBSTITUTE(SUBSTITUTE(SUBSTITUTE(LOWER(TRIM(C99)),"á","a"),"é","e"),"í","i"),"ó","o"),"ú","u"),"ü","u"),"ñ","n"),"à","a"),"è","e"),"ì","i"),"ò","o"),"ù","u"),"")</f>
        <v/>
      </c>
      <c r="Q99" s="25">
        <f>IF(AND(L99=1,E99&lt;&gt;""),SUBSTITUTE(SUBSTITUTE(SUBSTITUTE(SUBSTITUTE(SUBSTITUTE(SUBSTITUTE(SUBSTITUTE(SUBSTITUTE(SUBSTITUTE(SUBSTITUTE(SUBSTITUTE(SUBSTITUTE(LOWER(TRIM(E99)),"á","a"),"é","e"),"í","i"),"ó","o"),"ú","u"),"ü","u"),"ñ","n"),"à","a"),"è","e"),"ì","i"),"ò","o"),"ù","u"),"")</f>
        <v/>
      </c>
      <c r="R99" s="25">
        <f>IF(AND(L99=1,I99&lt;&gt;""),SUBSTITUTE(SUBSTITUTE(SUBSTITUTE(SUBSTITUTE(SUBSTITUTE(SUBSTITUTE(SUBSTITUTE(SUBSTITUTE(SUBSTITUTE(SUBSTITUTE(SUBSTITUTE(SUBSTITUTE(LOWER(TRIM(I99)),"á","a"),"é","e"),"í","i"),"ó","o"),"ú","u"),"ü","u"),"ñ","n"),"à","a"),"è","e"),"ì","i"),"ò","o"),"ù","u"),"")</f>
        <v/>
      </c>
      <c r="S99" s="25">
        <f>IF(R99="","",IF(OR(R99="si",R99="tal vez"),1,0))</f>
        <v/>
      </c>
      <c r="T99" s="25">
        <f>IF(AND(L99=1,D99&lt;&gt;""),IF(IFERROR(COUNTIFS(D$3:D99,"="&amp;SUBSTITUTE(SUBSTITUTE(SUBSTITUTE(D99,"~","~~"),"*","~*"),"?","~?"),L$3:L99,1),0)=1,MAX(T$2:T98)+1,""),"")</f>
        <v/>
      </c>
      <c r="U99" s="25">
        <f>IF(T99="","",COUNTIFS($D$3:$D$1002,"="&amp;SUBSTITUTE(SUBSTITUTE(SUBSTITUTE(D99,"~","~~"),"*","~*"),"?","~?"),$L$3:$L$1002,1)*10000-T99)</f>
        <v/>
      </c>
      <c r="V99" s="25">
        <f>IF(AND(L99=1,J99&lt;&gt;""),IF(IFERROR(COUNTIFS(J$3:J99,"="&amp;SUBSTITUTE(SUBSTITUTE(SUBSTITUTE(J99,"~","~~"),"*","~*"),"?","~?"),L$3:L99,1),0)=1,MAX(V$2:V98)+1,""),"")</f>
        <v/>
      </c>
      <c r="W99" s="25">
        <f>IF(V99="","",COUNTIFS($J$3:$J$1002,"="&amp;SUBSTITUTE(SUBSTITUTE(SUBSTITUTE(J99,"~","~~"),"*","~*"),"?","~?"),$L$3:$L$1002,1)*10000-V99)</f>
        <v/>
      </c>
    </row>
    <row r="100">
      <c r="A100">
        <f>IF(A$2=0,"",IFERROR(TRIM(INDEX('Pegar estudiantes'!$A$1:$BZ$1001,99,A$2)&amp;""),""))</f>
        <v/>
      </c>
      <c r="B100">
        <f>IF(B$2=0,"",IFERROR(TRIM(INDEX('Pegar estudiantes'!$A$1:$BZ$1001,99,B$2)&amp;""),""))</f>
        <v/>
      </c>
      <c r="C100">
        <f>IF(C$2=0,"",IFERROR(TRIM(INDEX('Pegar estudiantes'!$A$1:$BZ$1001,99,C$2)&amp;""),""))</f>
        <v/>
      </c>
      <c r="D100">
        <f>IF(D$2=0,"",IFERROR(TRIM(INDEX('Pegar estudiantes'!$A$1:$BZ$1001,99,D$2)&amp;""),""))</f>
        <v/>
      </c>
      <c r="E100">
        <f>IF(E$2=0,"",IFERROR(TRIM(INDEX('Pegar estudiantes'!$A$1:$BZ$1001,99,E$2)&amp;""),""))</f>
        <v/>
      </c>
      <c r="F100">
        <f>IF(F$2=0,"",IFERROR(TRIM(INDEX('Pegar estudiantes'!$A$1:$BZ$1001,99,F$2)&amp;""),""))</f>
        <v/>
      </c>
      <c r="G100">
        <f>IF(G$2=0,"",IFERROR(TRIM(INDEX('Pegar estudiantes'!$A$1:$BZ$1001,99,G$2)&amp;""),""))</f>
        <v/>
      </c>
      <c r="H100">
        <f>IF(H$2=0,"",IFERROR(TRIM(INDEX('Pegar estudiantes'!$A$1:$BZ$1001,99,H$2)&amp;""),""))</f>
        <v/>
      </c>
      <c r="I100">
        <f>IF(I$2=0,"",IFERROR(TRIM(INDEX('Pegar estudiantes'!$A$1:$BZ$1001,99,I$2)&amp;""),""))</f>
        <v/>
      </c>
      <c r="J100">
        <f>IF(J$2=0,"",IFERROR(TRIM(INDEX('Pegar estudiantes'!$A$1:$BZ$1001,99,J$2)&amp;""),""))</f>
        <v/>
      </c>
      <c r="K100">
        <f>IF(K$2=0,"",IFERROR(TRIM(INDEX('Pegar estudiantes'!$A$1:$BZ$1001,99,K$2)&amp;""),""))</f>
        <v/>
      </c>
      <c r="L100" s="25">
        <f>IF(A100&lt;&gt;"",1,"")</f>
        <v/>
      </c>
      <c r="M100" s="25">
        <f>IF(L100=1,IF(ISNUMBER(FIND("#"&amp;MID(A100,1,1)&amp;"#","#0#1#2#3#4#5#6#7#8#9#")),IF(ISNUMBER(FIND("#"&amp;MID(A100,2,1)&amp;"#","#0#1#2#3#4#5#6#7#8#9#")),IF(AND(VALUE(LEFT(A100,2))&gt;=1,VALUE(LEFT(A100,2))&lt;=5),VALUE(LEFT(A100,2)),""),IF(AND(VALUE(LEFT(A100,1))&gt;=1,VALUE(LEFT(A100,1))&lt;=5),VALUE(LEFT(A100,1)),"")),""),"")</f>
        <v/>
      </c>
      <c r="N100" s="25">
        <f>IF(L100=1,IF(ISNUMBER(FIND("#"&amp;MID(H100,1,1)&amp;"#","#0#1#2#3#4#5#6#7#8#9#")),IF(ISNUMBER(FIND("#"&amp;MID(H100,2,1)&amp;"#","#0#1#2#3#4#5#6#7#8#9#")),IF(AND(VALUE(LEFT(H100,2))&gt;=1,VALUE(LEFT(H100,2))&lt;=5),VALUE(LEFT(H100,2)),""),IF(AND(VALUE(LEFT(H100,1))&gt;=1,VALUE(LEFT(H100,1))&lt;=5),VALUE(LEFT(H100,1)),"")),""),"")</f>
        <v/>
      </c>
      <c r="O100" s="25">
        <f>IF(AND(L100=1,B100&lt;&gt;""),SUBSTITUTE(SUBSTITUTE(SUBSTITUTE(SUBSTITUTE(SUBSTITUTE(SUBSTITUTE(SUBSTITUTE(SUBSTITUTE(SUBSTITUTE(SUBSTITUTE(SUBSTITUTE(SUBSTITUTE(LOWER(TRIM(B100)),"á","a"),"é","e"),"í","i"),"ó","o"),"ú","u"),"ü","u"),"ñ","n"),"à","a"),"è","e"),"ì","i"),"ò","o"),"ù","u"),"")</f>
        <v/>
      </c>
      <c r="P100" s="25">
        <f>IF(AND(L100=1,C100&lt;&gt;""),SUBSTITUTE(SUBSTITUTE(SUBSTITUTE(SUBSTITUTE(SUBSTITUTE(SUBSTITUTE(SUBSTITUTE(SUBSTITUTE(SUBSTITUTE(SUBSTITUTE(SUBSTITUTE(SUBSTITUTE(LOWER(TRIM(C100)),"á","a"),"é","e"),"í","i"),"ó","o"),"ú","u"),"ü","u"),"ñ","n"),"à","a"),"è","e"),"ì","i"),"ò","o"),"ù","u"),"")</f>
        <v/>
      </c>
      <c r="Q100" s="25">
        <f>IF(AND(L100=1,E100&lt;&gt;""),SUBSTITUTE(SUBSTITUTE(SUBSTITUTE(SUBSTITUTE(SUBSTITUTE(SUBSTITUTE(SUBSTITUTE(SUBSTITUTE(SUBSTITUTE(SUBSTITUTE(SUBSTITUTE(SUBSTITUTE(LOWER(TRIM(E100)),"á","a"),"é","e"),"í","i"),"ó","o"),"ú","u"),"ü","u"),"ñ","n"),"à","a"),"è","e"),"ì","i"),"ò","o"),"ù","u"),"")</f>
        <v/>
      </c>
      <c r="R100" s="25">
        <f>IF(AND(L100=1,I100&lt;&gt;""),SUBSTITUTE(SUBSTITUTE(SUBSTITUTE(SUBSTITUTE(SUBSTITUTE(SUBSTITUTE(SUBSTITUTE(SUBSTITUTE(SUBSTITUTE(SUBSTITUTE(SUBSTITUTE(SUBSTITUTE(LOWER(TRIM(I100)),"á","a"),"é","e"),"í","i"),"ó","o"),"ú","u"),"ü","u"),"ñ","n"),"à","a"),"è","e"),"ì","i"),"ò","o"),"ù","u"),"")</f>
        <v/>
      </c>
      <c r="S100" s="25">
        <f>IF(R100="","",IF(OR(R100="si",R100="tal vez"),1,0))</f>
        <v/>
      </c>
      <c r="T100" s="25">
        <f>IF(AND(L100=1,D100&lt;&gt;""),IF(IFERROR(COUNTIFS(D$3:D100,"="&amp;SUBSTITUTE(SUBSTITUTE(SUBSTITUTE(D100,"~","~~"),"*","~*"),"?","~?"),L$3:L100,1),0)=1,MAX(T$2:T99)+1,""),"")</f>
        <v/>
      </c>
      <c r="U100" s="25">
        <f>IF(T100="","",COUNTIFS($D$3:$D$1002,"="&amp;SUBSTITUTE(SUBSTITUTE(SUBSTITUTE(D100,"~","~~"),"*","~*"),"?","~?"),$L$3:$L$1002,1)*10000-T100)</f>
        <v/>
      </c>
      <c r="V100" s="25">
        <f>IF(AND(L100=1,J100&lt;&gt;""),IF(IFERROR(COUNTIFS(J$3:J100,"="&amp;SUBSTITUTE(SUBSTITUTE(SUBSTITUTE(J100,"~","~~"),"*","~*"),"?","~?"),L$3:L100,1),0)=1,MAX(V$2:V99)+1,""),"")</f>
        <v/>
      </c>
      <c r="W100" s="25">
        <f>IF(V100="","",COUNTIFS($J$3:$J$1002,"="&amp;SUBSTITUTE(SUBSTITUTE(SUBSTITUTE(J100,"~","~~"),"*","~*"),"?","~?"),$L$3:$L$1002,1)*10000-V100)</f>
        <v/>
      </c>
    </row>
    <row r="101">
      <c r="A101">
        <f>IF(A$2=0,"",IFERROR(TRIM(INDEX('Pegar estudiantes'!$A$1:$BZ$1001,100,A$2)&amp;""),""))</f>
        <v/>
      </c>
      <c r="B101">
        <f>IF(B$2=0,"",IFERROR(TRIM(INDEX('Pegar estudiantes'!$A$1:$BZ$1001,100,B$2)&amp;""),""))</f>
        <v/>
      </c>
      <c r="C101">
        <f>IF(C$2=0,"",IFERROR(TRIM(INDEX('Pegar estudiantes'!$A$1:$BZ$1001,100,C$2)&amp;""),""))</f>
        <v/>
      </c>
      <c r="D101">
        <f>IF(D$2=0,"",IFERROR(TRIM(INDEX('Pegar estudiantes'!$A$1:$BZ$1001,100,D$2)&amp;""),""))</f>
        <v/>
      </c>
      <c r="E101">
        <f>IF(E$2=0,"",IFERROR(TRIM(INDEX('Pegar estudiantes'!$A$1:$BZ$1001,100,E$2)&amp;""),""))</f>
        <v/>
      </c>
      <c r="F101">
        <f>IF(F$2=0,"",IFERROR(TRIM(INDEX('Pegar estudiantes'!$A$1:$BZ$1001,100,F$2)&amp;""),""))</f>
        <v/>
      </c>
      <c r="G101">
        <f>IF(G$2=0,"",IFERROR(TRIM(INDEX('Pegar estudiantes'!$A$1:$BZ$1001,100,G$2)&amp;""),""))</f>
        <v/>
      </c>
      <c r="H101">
        <f>IF(H$2=0,"",IFERROR(TRIM(INDEX('Pegar estudiantes'!$A$1:$BZ$1001,100,H$2)&amp;""),""))</f>
        <v/>
      </c>
      <c r="I101">
        <f>IF(I$2=0,"",IFERROR(TRIM(INDEX('Pegar estudiantes'!$A$1:$BZ$1001,100,I$2)&amp;""),""))</f>
        <v/>
      </c>
      <c r="J101">
        <f>IF(J$2=0,"",IFERROR(TRIM(INDEX('Pegar estudiantes'!$A$1:$BZ$1001,100,J$2)&amp;""),""))</f>
        <v/>
      </c>
      <c r="K101">
        <f>IF(K$2=0,"",IFERROR(TRIM(INDEX('Pegar estudiantes'!$A$1:$BZ$1001,100,K$2)&amp;""),""))</f>
        <v/>
      </c>
      <c r="L101" s="25">
        <f>IF(A101&lt;&gt;"",1,"")</f>
        <v/>
      </c>
      <c r="M101" s="25">
        <f>IF(L101=1,IF(ISNUMBER(FIND("#"&amp;MID(A101,1,1)&amp;"#","#0#1#2#3#4#5#6#7#8#9#")),IF(ISNUMBER(FIND("#"&amp;MID(A101,2,1)&amp;"#","#0#1#2#3#4#5#6#7#8#9#")),IF(AND(VALUE(LEFT(A101,2))&gt;=1,VALUE(LEFT(A101,2))&lt;=5),VALUE(LEFT(A101,2)),""),IF(AND(VALUE(LEFT(A101,1))&gt;=1,VALUE(LEFT(A101,1))&lt;=5),VALUE(LEFT(A101,1)),"")),""),"")</f>
        <v/>
      </c>
      <c r="N101" s="25">
        <f>IF(L101=1,IF(ISNUMBER(FIND("#"&amp;MID(H101,1,1)&amp;"#","#0#1#2#3#4#5#6#7#8#9#")),IF(ISNUMBER(FIND("#"&amp;MID(H101,2,1)&amp;"#","#0#1#2#3#4#5#6#7#8#9#")),IF(AND(VALUE(LEFT(H101,2))&gt;=1,VALUE(LEFT(H101,2))&lt;=5),VALUE(LEFT(H101,2)),""),IF(AND(VALUE(LEFT(H101,1))&gt;=1,VALUE(LEFT(H101,1))&lt;=5),VALUE(LEFT(H101,1)),"")),""),"")</f>
        <v/>
      </c>
      <c r="O101" s="25">
        <f>IF(AND(L101=1,B101&lt;&gt;""),SUBSTITUTE(SUBSTITUTE(SUBSTITUTE(SUBSTITUTE(SUBSTITUTE(SUBSTITUTE(SUBSTITUTE(SUBSTITUTE(SUBSTITUTE(SUBSTITUTE(SUBSTITUTE(SUBSTITUTE(LOWER(TRIM(B101)),"á","a"),"é","e"),"í","i"),"ó","o"),"ú","u"),"ü","u"),"ñ","n"),"à","a"),"è","e"),"ì","i"),"ò","o"),"ù","u"),"")</f>
        <v/>
      </c>
      <c r="P101" s="25">
        <f>IF(AND(L101=1,C101&lt;&gt;""),SUBSTITUTE(SUBSTITUTE(SUBSTITUTE(SUBSTITUTE(SUBSTITUTE(SUBSTITUTE(SUBSTITUTE(SUBSTITUTE(SUBSTITUTE(SUBSTITUTE(SUBSTITUTE(SUBSTITUTE(LOWER(TRIM(C101)),"á","a"),"é","e"),"í","i"),"ó","o"),"ú","u"),"ü","u"),"ñ","n"),"à","a"),"è","e"),"ì","i"),"ò","o"),"ù","u"),"")</f>
        <v/>
      </c>
      <c r="Q101" s="25">
        <f>IF(AND(L101=1,E101&lt;&gt;""),SUBSTITUTE(SUBSTITUTE(SUBSTITUTE(SUBSTITUTE(SUBSTITUTE(SUBSTITUTE(SUBSTITUTE(SUBSTITUTE(SUBSTITUTE(SUBSTITUTE(SUBSTITUTE(SUBSTITUTE(LOWER(TRIM(E101)),"á","a"),"é","e"),"í","i"),"ó","o"),"ú","u"),"ü","u"),"ñ","n"),"à","a"),"è","e"),"ì","i"),"ò","o"),"ù","u"),"")</f>
        <v/>
      </c>
      <c r="R101" s="25">
        <f>IF(AND(L101=1,I101&lt;&gt;""),SUBSTITUTE(SUBSTITUTE(SUBSTITUTE(SUBSTITUTE(SUBSTITUTE(SUBSTITUTE(SUBSTITUTE(SUBSTITUTE(SUBSTITUTE(SUBSTITUTE(SUBSTITUTE(SUBSTITUTE(LOWER(TRIM(I101)),"á","a"),"é","e"),"í","i"),"ó","o"),"ú","u"),"ü","u"),"ñ","n"),"à","a"),"è","e"),"ì","i"),"ò","o"),"ù","u"),"")</f>
        <v/>
      </c>
      <c r="S101" s="25">
        <f>IF(R101="","",IF(OR(R101="si",R101="tal vez"),1,0))</f>
        <v/>
      </c>
      <c r="T101" s="25">
        <f>IF(AND(L101=1,D101&lt;&gt;""),IF(IFERROR(COUNTIFS(D$3:D101,"="&amp;SUBSTITUTE(SUBSTITUTE(SUBSTITUTE(D101,"~","~~"),"*","~*"),"?","~?"),L$3:L101,1),0)=1,MAX(T$2:T100)+1,""),"")</f>
        <v/>
      </c>
      <c r="U101" s="25">
        <f>IF(T101="","",COUNTIFS($D$3:$D$1002,"="&amp;SUBSTITUTE(SUBSTITUTE(SUBSTITUTE(D101,"~","~~"),"*","~*"),"?","~?"),$L$3:$L$1002,1)*10000-T101)</f>
        <v/>
      </c>
      <c r="V101" s="25">
        <f>IF(AND(L101=1,J101&lt;&gt;""),IF(IFERROR(COUNTIFS(J$3:J101,"="&amp;SUBSTITUTE(SUBSTITUTE(SUBSTITUTE(J101,"~","~~"),"*","~*"),"?","~?"),L$3:L101,1),0)=1,MAX(V$2:V100)+1,""),"")</f>
        <v/>
      </c>
      <c r="W101" s="25">
        <f>IF(V101="","",COUNTIFS($J$3:$J$1002,"="&amp;SUBSTITUTE(SUBSTITUTE(SUBSTITUTE(J101,"~","~~"),"*","~*"),"?","~?"),$L$3:$L$1002,1)*10000-V101)</f>
        <v/>
      </c>
    </row>
    <row r="102">
      <c r="A102">
        <f>IF(A$2=0,"",IFERROR(TRIM(INDEX('Pegar estudiantes'!$A$1:$BZ$1001,101,A$2)&amp;""),""))</f>
        <v/>
      </c>
      <c r="B102">
        <f>IF(B$2=0,"",IFERROR(TRIM(INDEX('Pegar estudiantes'!$A$1:$BZ$1001,101,B$2)&amp;""),""))</f>
        <v/>
      </c>
      <c r="C102">
        <f>IF(C$2=0,"",IFERROR(TRIM(INDEX('Pegar estudiantes'!$A$1:$BZ$1001,101,C$2)&amp;""),""))</f>
        <v/>
      </c>
      <c r="D102">
        <f>IF(D$2=0,"",IFERROR(TRIM(INDEX('Pegar estudiantes'!$A$1:$BZ$1001,101,D$2)&amp;""),""))</f>
        <v/>
      </c>
      <c r="E102">
        <f>IF(E$2=0,"",IFERROR(TRIM(INDEX('Pegar estudiantes'!$A$1:$BZ$1001,101,E$2)&amp;""),""))</f>
        <v/>
      </c>
      <c r="F102">
        <f>IF(F$2=0,"",IFERROR(TRIM(INDEX('Pegar estudiantes'!$A$1:$BZ$1001,101,F$2)&amp;""),""))</f>
        <v/>
      </c>
      <c r="G102">
        <f>IF(G$2=0,"",IFERROR(TRIM(INDEX('Pegar estudiantes'!$A$1:$BZ$1001,101,G$2)&amp;""),""))</f>
        <v/>
      </c>
      <c r="H102">
        <f>IF(H$2=0,"",IFERROR(TRIM(INDEX('Pegar estudiantes'!$A$1:$BZ$1001,101,H$2)&amp;""),""))</f>
        <v/>
      </c>
      <c r="I102">
        <f>IF(I$2=0,"",IFERROR(TRIM(INDEX('Pegar estudiantes'!$A$1:$BZ$1001,101,I$2)&amp;""),""))</f>
        <v/>
      </c>
      <c r="J102">
        <f>IF(J$2=0,"",IFERROR(TRIM(INDEX('Pegar estudiantes'!$A$1:$BZ$1001,101,J$2)&amp;""),""))</f>
        <v/>
      </c>
      <c r="K102">
        <f>IF(K$2=0,"",IFERROR(TRIM(INDEX('Pegar estudiantes'!$A$1:$BZ$1001,101,K$2)&amp;""),""))</f>
        <v/>
      </c>
      <c r="L102" s="25">
        <f>IF(A102&lt;&gt;"",1,"")</f>
        <v/>
      </c>
      <c r="M102" s="25">
        <f>IF(L102=1,IF(ISNUMBER(FIND("#"&amp;MID(A102,1,1)&amp;"#","#0#1#2#3#4#5#6#7#8#9#")),IF(ISNUMBER(FIND("#"&amp;MID(A102,2,1)&amp;"#","#0#1#2#3#4#5#6#7#8#9#")),IF(AND(VALUE(LEFT(A102,2))&gt;=1,VALUE(LEFT(A102,2))&lt;=5),VALUE(LEFT(A102,2)),""),IF(AND(VALUE(LEFT(A102,1))&gt;=1,VALUE(LEFT(A102,1))&lt;=5),VALUE(LEFT(A102,1)),"")),""),"")</f>
        <v/>
      </c>
      <c r="N102" s="25">
        <f>IF(L102=1,IF(ISNUMBER(FIND("#"&amp;MID(H102,1,1)&amp;"#","#0#1#2#3#4#5#6#7#8#9#")),IF(ISNUMBER(FIND("#"&amp;MID(H102,2,1)&amp;"#","#0#1#2#3#4#5#6#7#8#9#")),IF(AND(VALUE(LEFT(H102,2))&gt;=1,VALUE(LEFT(H102,2))&lt;=5),VALUE(LEFT(H102,2)),""),IF(AND(VALUE(LEFT(H102,1))&gt;=1,VALUE(LEFT(H102,1))&lt;=5),VALUE(LEFT(H102,1)),"")),""),"")</f>
        <v/>
      </c>
      <c r="O102" s="25">
        <f>IF(AND(L102=1,B102&lt;&gt;""),SUBSTITUTE(SUBSTITUTE(SUBSTITUTE(SUBSTITUTE(SUBSTITUTE(SUBSTITUTE(SUBSTITUTE(SUBSTITUTE(SUBSTITUTE(SUBSTITUTE(SUBSTITUTE(SUBSTITUTE(LOWER(TRIM(B102)),"á","a"),"é","e"),"í","i"),"ó","o"),"ú","u"),"ü","u"),"ñ","n"),"à","a"),"è","e"),"ì","i"),"ò","o"),"ù","u"),"")</f>
        <v/>
      </c>
      <c r="P102" s="25">
        <f>IF(AND(L102=1,C102&lt;&gt;""),SUBSTITUTE(SUBSTITUTE(SUBSTITUTE(SUBSTITUTE(SUBSTITUTE(SUBSTITUTE(SUBSTITUTE(SUBSTITUTE(SUBSTITUTE(SUBSTITUTE(SUBSTITUTE(SUBSTITUTE(LOWER(TRIM(C102)),"á","a"),"é","e"),"í","i"),"ó","o"),"ú","u"),"ü","u"),"ñ","n"),"à","a"),"è","e"),"ì","i"),"ò","o"),"ù","u"),"")</f>
        <v/>
      </c>
      <c r="Q102" s="25">
        <f>IF(AND(L102=1,E102&lt;&gt;""),SUBSTITUTE(SUBSTITUTE(SUBSTITUTE(SUBSTITUTE(SUBSTITUTE(SUBSTITUTE(SUBSTITUTE(SUBSTITUTE(SUBSTITUTE(SUBSTITUTE(SUBSTITUTE(SUBSTITUTE(LOWER(TRIM(E102)),"á","a"),"é","e"),"í","i"),"ó","o"),"ú","u"),"ü","u"),"ñ","n"),"à","a"),"è","e"),"ì","i"),"ò","o"),"ù","u"),"")</f>
        <v/>
      </c>
      <c r="R102" s="25">
        <f>IF(AND(L102=1,I102&lt;&gt;""),SUBSTITUTE(SUBSTITUTE(SUBSTITUTE(SUBSTITUTE(SUBSTITUTE(SUBSTITUTE(SUBSTITUTE(SUBSTITUTE(SUBSTITUTE(SUBSTITUTE(SUBSTITUTE(SUBSTITUTE(LOWER(TRIM(I102)),"á","a"),"é","e"),"í","i"),"ó","o"),"ú","u"),"ü","u"),"ñ","n"),"à","a"),"è","e"),"ì","i"),"ò","o"),"ù","u"),"")</f>
        <v/>
      </c>
      <c r="S102" s="25">
        <f>IF(R102="","",IF(OR(R102="si",R102="tal vez"),1,0))</f>
        <v/>
      </c>
      <c r="T102" s="25">
        <f>IF(AND(L102=1,D102&lt;&gt;""),IF(IFERROR(COUNTIFS(D$3:D102,"="&amp;SUBSTITUTE(SUBSTITUTE(SUBSTITUTE(D102,"~","~~"),"*","~*"),"?","~?"),L$3:L102,1),0)=1,MAX(T$2:T101)+1,""),"")</f>
        <v/>
      </c>
      <c r="U102" s="25">
        <f>IF(T102="","",COUNTIFS($D$3:$D$1002,"="&amp;SUBSTITUTE(SUBSTITUTE(SUBSTITUTE(D102,"~","~~"),"*","~*"),"?","~?"),$L$3:$L$1002,1)*10000-T102)</f>
        <v/>
      </c>
      <c r="V102" s="25">
        <f>IF(AND(L102=1,J102&lt;&gt;""),IF(IFERROR(COUNTIFS(J$3:J102,"="&amp;SUBSTITUTE(SUBSTITUTE(SUBSTITUTE(J102,"~","~~"),"*","~*"),"?","~?"),L$3:L102,1),0)=1,MAX(V$2:V101)+1,""),"")</f>
        <v/>
      </c>
      <c r="W102" s="25">
        <f>IF(V102="","",COUNTIFS($J$3:$J$1002,"="&amp;SUBSTITUTE(SUBSTITUTE(SUBSTITUTE(J102,"~","~~"),"*","~*"),"?","~?"),$L$3:$L$1002,1)*10000-V102)</f>
        <v/>
      </c>
    </row>
    <row r="103">
      <c r="A103">
        <f>IF(A$2=0,"",IFERROR(TRIM(INDEX('Pegar estudiantes'!$A$1:$BZ$1001,102,A$2)&amp;""),""))</f>
        <v/>
      </c>
      <c r="B103">
        <f>IF(B$2=0,"",IFERROR(TRIM(INDEX('Pegar estudiantes'!$A$1:$BZ$1001,102,B$2)&amp;""),""))</f>
        <v/>
      </c>
      <c r="C103">
        <f>IF(C$2=0,"",IFERROR(TRIM(INDEX('Pegar estudiantes'!$A$1:$BZ$1001,102,C$2)&amp;""),""))</f>
        <v/>
      </c>
      <c r="D103">
        <f>IF(D$2=0,"",IFERROR(TRIM(INDEX('Pegar estudiantes'!$A$1:$BZ$1001,102,D$2)&amp;""),""))</f>
        <v/>
      </c>
      <c r="E103">
        <f>IF(E$2=0,"",IFERROR(TRIM(INDEX('Pegar estudiantes'!$A$1:$BZ$1001,102,E$2)&amp;""),""))</f>
        <v/>
      </c>
      <c r="F103">
        <f>IF(F$2=0,"",IFERROR(TRIM(INDEX('Pegar estudiantes'!$A$1:$BZ$1001,102,F$2)&amp;""),""))</f>
        <v/>
      </c>
      <c r="G103">
        <f>IF(G$2=0,"",IFERROR(TRIM(INDEX('Pegar estudiantes'!$A$1:$BZ$1001,102,G$2)&amp;""),""))</f>
        <v/>
      </c>
      <c r="H103">
        <f>IF(H$2=0,"",IFERROR(TRIM(INDEX('Pegar estudiantes'!$A$1:$BZ$1001,102,H$2)&amp;""),""))</f>
        <v/>
      </c>
      <c r="I103">
        <f>IF(I$2=0,"",IFERROR(TRIM(INDEX('Pegar estudiantes'!$A$1:$BZ$1001,102,I$2)&amp;""),""))</f>
        <v/>
      </c>
      <c r="J103">
        <f>IF(J$2=0,"",IFERROR(TRIM(INDEX('Pegar estudiantes'!$A$1:$BZ$1001,102,J$2)&amp;""),""))</f>
        <v/>
      </c>
      <c r="K103">
        <f>IF(K$2=0,"",IFERROR(TRIM(INDEX('Pegar estudiantes'!$A$1:$BZ$1001,102,K$2)&amp;""),""))</f>
        <v/>
      </c>
      <c r="L103" s="25">
        <f>IF(A103&lt;&gt;"",1,"")</f>
        <v/>
      </c>
      <c r="M103" s="25">
        <f>IF(L103=1,IF(ISNUMBER(FIND("#"&amp;MID(A103,1,1)&amp;"#","#0#1#2#3#4#5#6#7#8#9#")),IF(ISNUMBER(FIND("#"&amp;MID(A103,2,1)&amp;"#","#0#1#2#3#4#5#6#7#8#9#")),IF(AND(VALUE(LEFT(A103,2))&gt;=1,VALUE(LEFT(A103,2))&lt;=5),VALUE(LEFT(A103,2)),""),IF(AND(VALUE(LEFT(A103,1))&gt;=1,VALUE(LEFT(A103,1))&lt;=5),VALUE(LEFT(A103,1)),"")),""),"")</f>
        <v/>
      </c>
      <c r="N103" s="25">
        <f>IF(L103=1,IF(ISNUMBER(FIND("#"&amp;MID(H103,1,1)&amp;"#","#0#1#2#3#4#5#6#7#8#9#")),IF(ISNUMBER(FIND("#"&amp;MID(H103,2,1)&amp;"#","#0#1#2#3#4#5#6#7#8#9#")),IF(AND(VALUE(LEFT(H103,2))&gt;=1,VALUE(LEFT(H103,2))&lt;=5),VALUE(LEFT(H103,2)),""),IF(AND(VALUE(LEFT(H103,1))&gt;=1,VALUE(LEFT(H103,1))&lt;=5),VALUE(LEFT(H103,1)),"")),""),"")</f>
        <v/>
      </c>
      <c r="O103" s="25">
        <f>IF(AND(L103=1,B103&lt;&gt;""),SUBSTITUTE(SUBSTITUTE(SUBSTITUTE(SUBSTITUTE(SUBSTITUTE(SUBSTITUTE(SUBSTITUTE(SUBSTITUTE(SUBSTITUTE(SUBSTITUTE(SUBSTITUTE(SUBSTITUTE(LOWER(TRIM(B103)),"á","a"),"é","e"),"í","i"),"ó","o"),"ú","u"),"ü","u"),"ñ","n"),"à","a"),"è","e"),"ì","i"),"ò","o"),"ù","u"),"")</f>
        <v/>
      </c>
      <c r="P103" s="25">
        <f>IF(AND(L103=1,C103&lt;&gt;""),SUBSTITUTE(SUBSTITUTE(SUBSTITUTE(SUBSTITUTE(SUBSTITUTE(SUBSTITUTE(SUBSTITUTE(SUBSTITUTE(SUBSTITUTE(SUBSTITUTE(SUBSTITUTE(SUBSTITUTE(LOWER(TRIM(C103)),"á","a"),"é","e"),"í","i"),"ó","o"),"ú","u"),"ü","u"),"ñ","n"),"à","a"),"è","e"),"ì","i"),"ò","o"),"ù","u"),"")</f>
        <v/>
      </c>
      <c r="Q103" s="25">
        <f>IF(AND(L103=1,E103&lt;&gt;""),SUBSTITUTE(SUBSTITUTE(SUBSTITUTE(SUBSTITUTE(SUBSTITUTE(SUBSTITUTE(SUBSTITUTE(SUBSTITUTE(SUBSTITUTE(SUBSTITUTE(SUBSTITUTE(SUBSTITUTE(LOWER(TRIM(E103)),"á","a"),"é","e"),"í","i"),"ó","o"),"ú","u"),"ü","u"),"ñ","n"),"à","a"),"è","e"),"ì","i"),"ò","o"),"ù","u"),"")</f>
        <v/>
      </c>
      <c r="R103" s="25">
        <f>IF(AND(L103=1,I103&lt;&gt;""),SUBSTITUTE(SUBSTITUTE(SUBSTITUTE(SUBSTITUTE(SUBSTITUTE(SUBSTITUTE(SUBSTITUTE(SUBSTITUTE(SUBSTITUTE(SUBSTITUTE(SUBSTITUTE(SUBSTITUTE(LOWER(TRIM(I103)),"á","a"),"é","e"),"í","i"),"ó","o"),"ú","u"),"ü","u"),"ñ","n"),"à","a"),"è","e"),"ì","i"),"ò","o"),"ù","u"),"")</f>
        <v/>
      </c>
      <c r="S103" s="25">
        <f>IF(R103="","",IF(OR(R103="si",R103="tal vez"),1,0))</f>
        <v/>
      </c>
      <c r="T103" s="25">
        <f>IF(AND(L103=1,D103&lt;&gt;""),IF(IFERROR(COUNTIFS(D$3:D103,"="&amp;SUBSTITUTE(SUBSTITUTE(SUBSTITUTE(D103,"~","~~"),"*","~*"),"?","~?"),L$3:L103,1),0)=1,MAX(T$2:T102)+1,""),"")</f>
        <v/>
      </c>
      <c r="U103" s="25">
        <f>IF(T103="","",COUNTIFS($D$3:$D$1002,"="&amp;SUBSTITUTE(SUBSTITUTE(SUBSTITUTE(D103,"~","~~"),"*","~*"),"?","~?"),$L$3:$L$1002,1)*10000-T103)</f>
        <v/>
      </c>
      <c r="V103" s="25">
        <f>IF(AND(L103=1,J103&lt;&gt;""),IF(IFERROR(COUNTIFS(J$3:J103,"="&amp;SUBSTITUTE(SUBSTITUTE(SUBSTITUTE(J103,"~","~~"),"*","~*"),"?","~?"),L$3:L103,1),0)=1,MAX(V$2:V102)+1,""),"")</f>
        <v/>
      </c>
      <c r="W103" s="25">
        <f>IF(V103="","",COUNTIFS($J$3:$J$1002,"="&amp;SUBSTITUTE(SUBSTITUTE(SUBSTITUTE(J103,"~","~~"),"*","~*"),"?","~?"),$L$3:$L$1002,1)*10000-V103)</f>
        <v/>
      </c>
    </row>
    <row r="104">
      <c r="A104">
        <f>IF(A$2=0,"",IFERROR(TRIM(INDEX('Pegar estudiantes'!$A$1:$BZ$1001,103,A$2)&amp;""),""))</f>
        <v/>
      </c>
      <c r="B104">
        <f>IF(B$2=0,"",IFERROR(TRIM(INDEX('Pegar estudiantes'!$A$1:$BZ$1001,103,B$2)&amp;""),""))</f>
        <v/>
      </c>
      <c r="C104">
        <f>IF(C$2=0,"",IFERROR(TRIM(INDEX('Pegar estudiantes'!$A$1:$BZ$1001,103,C$2)&amp;""),""))</f>
        <v/>
      </c>
      <c r="D104">
        <f>IF(D$2=0,"",IFERROR(TRIM(INDEX('Pegar estudiantes'!$A$1:$BZ$1001,103,D$2)&amp;""),""))</f>
        <v/>
      </c>
      <c r="E104">
        <f>IF(E$2=0,"",IFERROR(TRIM(INDEX('Pegar estudiantes'!$A$1:$BZ$1001,103,E$2)&amp;""),""))</f>
        <v/>
      </c>
      <c r="F104">
        <f>IF(F$2=0,"",IFERROR(TRIM(INDEX('Pegar estudiantes'!$A$1:$BZ$1001,103,F$2)&amp;""),""))</f>
        <v/>
      </c>
      <c r="G104">
        <f>IF(G$2=0,"",IFERROR(TRIM(INDEX('Pegar estudiantes'!$A$1:$BZ$1001,103,G$2)&amp;""),""))</f>
        <v/>
      </c>
      <c r="H104">
        <f>IF(H$2=0,"",IFERROR(TRIM(INDEX('Pegar estudiantes'!$A$1:$BZ$1001,103,H$2)&amp;""),""))</f>
        <v/>
      </c>
      <c r="I104">
        <f>IF(I$2=0,"",IFERROR(TRIM(INDEX('Pegar estudiantes'!$A$1:$BZ$1001,103,I$2)&amp;""),""))</f>
        <v/>
      </c>
      <c r="J104">
        <f>IF(J$2=0,"",IFERROR(TRIM(INDEX('Pegar estudiantes'!$A$1:$BZ$1001,103,J$2)&amp;""),""))</f>
        <v/>
      </c>
      <c r="K104">
        <f>IF(K$2=0,"",IFERROR(TRIM(INDEX('Pegar estudiantes'!$A$1:$BZ$1001,103,K$2)&amp;""),""))</f>
        <v/>
      </c>
      <c r="L104" s="25">
        <f>IF(A104&lt;&gt;"",1,"")</f>
        <v/>
      </c>
      <c r="M104" s="25">
        <f>IF(L104=1,IF(ISNUMBER(FIND("#"&amp;MID(A104,1,1)&amp;"#","#0#1#2#3#4#5#6#7#8#9#")),IF(ISNUMBER(FIND("#"&amp;MID(A104,2,1)&amp;"#","#0#1#2#3#4#5#6#7#8#9#")),IF(AND(VALUE(LEFT(A104,2))&gt;=1,VALUE(LEFT(A104,2))&lt;=5),VALUE(LEFT(A104,2)),""),IF(AND(VALUE(LEFT(A104,1))&gt;=1,VALUE(LEFT(A104,1))&lt;=5),VALUE(LEFT(A104,1)),"")),""),"")</f>
        <v/>
      </c>
      <c r="N104" s="25">
        <f>IF(L104=1,IF(ISNUMBER(FIND("#"&amp;MID(H104,1,1)&amp;"#","#0#1#2#3#4#5#6#7#8#9#")),IF(ISNUMBER(FIND("#"&amp;MID(H104,2,1)&amp;"#","#0#1#2#3#4#5#6#7#8#9#")),IF(AND(VALUE(LEFT(H104,2))&gt;=1,VALUE(LEFT(H104,2))&lt;=5),VALUE(LEFT(H104,2)),""),IF(AND(VALUE(LEFT(H104,1))&gt;=1,VALUE(LEFT(H104,1))&lt;=5),VALUE(LEFT(H104,1)),"")),""),"")</f>
        <v/>
      </c>
      <c r="O104" s="25">
        <f>IF(AND(L104=1,B104&lt;&gt;""),SUBSTITUTE(SUBSTITUTE(SUBSTITUTE(SUBSTITUTE(SUBSTITUTE(SUBSTITUTE(SUBSTITUTE(SUBSTITUTE(SUBSTITUTE(SUBSTITUTE(SUBSTITUTE(SUBSTITUTE(LOWER(TRIM(B104)),"á","a"),"é","e"),"í","i"),"ó","o"),"ú","u"),"ü","u"),"ñ","n"),"à","a"),"è","e"),"ì","i"),"ò","o"),"ù","u"),"")</f>
        <v/>
      </c>
      <c r="P104" s="25">
        <f>IF(AND(L104=1,C104&lt;&gt;""),SUBSTITUTE(SUBSTITUTE(SUBSTITUTE(SUBSTITUTE(SUBSTITUTE(SUBSTITUTE(SUBSTITUTE(SUBSTITUTE(SUBSTITUTE(SUBSTITUTE(SUBSTITUTE(SUBSTITUTE(LOWER(TRIM(C104)),"á","a"),"é","e"),"í","i"),"ó","o"),"ú","u"),"ü","u"),"ñ","n"),"à","a"),"è","e"),"ì","i"),"ò","o"),"ù","u"),"")</f>
        <v/>
      </c>
      <c r="Q104" s="25">
        <f>IF(AND(L104=1,E104&lt;&gt;""),SUBSTITUTE(SUBSTITUTE(SUBSTITUTE(SUBSTITUTE(SUBSTITUTE(SUBSTITUTE(SUBSTITUTE(SUBSTITUTE(SUBSTITUTE(SUBSTITUTE(SUBSTITUTE(SUBSTITUTE(LOWER(TRIM(E104)),"á","a"),"é","e"),"í","i"),"ó","o"),"ú","u"),"ü","u"),"ñ","n"),"à","a"),"è","e"),"ì","i"),"ò","o"),"ù","u"),"")</f>
        <v/>
      </c>
      <c r="R104" s="25">
        <f>IF(AND(L104=1,I104&lt;&gt;""),SUBSTITUTE(SUBSTITUTE(SUBSTITUTE(SUBSTITUTE(SUBSTITUTE(SUBSTITUTE(SUBSTITUTE(SUBSTITUTE(SUBSTITUTE(SUBSTITUTE(SUBSTITUTE(SUBSTITUTE(LOWER(TRIM(I104)),"á","a"),"é","e"),"í","i"),"ó","o"),"ú","u"),"ü","u"),"ñ","n"),"à","a"),"è","e"),"ì","i"),"ò","o"),"ù","u"),"")</f>
        <v/>
      </c>
      <c r="S104" s="25">
        <f>IF(R104="","",IF(OR(R104="si",R104="tal vez"),1,0))</f>
        <v/>
      </c>
      <c r="T104" s="25">
        <f>IF(AND(L104=1,D104&lt;&gt;""),IF(IFERROR(COUNTIFS(D$3:D104,"="&amp;SUBSTITUTE(SUBSTITUTE(SUBSTITUTE(D104,"~","~~"),"*","~*"),"?","~?"),L$3:L104,1),0)=1,MAX(T$2:T103)+1,""),"")</f>
        <v/>
      </c>
      <c r="U104" s="25">
        <f>IF(T104="","",COUNTIFS($D$3:$D$1002,"="&amp;SUBSTITUTE(SUBSTITUTE(SUBSTITUTE(D104,"~","~~"),"*","~*"),"?","~?"),$L$3:$L$1002,1)*10000-T104)</f>
        <v/>
      </c>
      <c r="V104" s="25">
        <f>IF(AND(L104=1,J104&lt;&gt;""),IF(IFERROR(COUNTIFS(J$3:J104,"="&amp;SUBSTITUTE(SUBSTITUTE(SUBSTITUTE(J104,"~","~~"),"*","~*"),"?","~?"),L$3:L104,1),0)=1,MAX(V$2:V103)+1,""),"")</f>
        <v/>
      </c>
      <c r="W104" s="25">
        <f>IF(V104="","",COUNTIFS($J$3:$J$1002,"="&amp;SUBSTITUTE(SUBSTITUTE(SUBSTITUTE(J104,"~","~~"),"*","~*"),"?","~?"),$L$3:$L$1002,1)*10000-V104)</f>
        <v/>
      </c>
    </row>
    <row r="105">
      <c r="A105">
        <f>IF(A$2=0,"",IFERROR(TRIM(INDEX('Pegar estudiantes'!$A$1:$BZ$1001,104,A$2)&amp;""),""))</f>
        <v/>
      </c>
      <c r="B105">
        <f>IF(B$2=0,"",IFERROR(TRIM(INDEX('Pegar estudiantes'!$A$1:$BZ$1001,104,B$2)&amp;""),""))</f>
        <v/>
      </c>
      <c r="C105">
        <f>IF(C$2=0,"",IFERROR(TRIM(INDEX('Pegar estudiantes'!$A$1:$BZ$1001,104,C$2)&amp;""),""))</f>
        <v/>
      </c>
      <c r="D105">
        <f>IF(D$2=0,"",IFERROR(TRIM(INDEX('Pegar estudiantes'!$A$1:$BZ$1001,104,D$2)&amp;""),""))</f>
        <v/>
      </c>
      <c r="E105">
        <f>IF(E$2=0,"",IFERROR(TRIM(INDEX('Pegar estudiantes'!$A$1:$BZ$1001,104,E$2)&amp;""),""))</f>
        <v/>
      </c>
      <c r="F105">
        <f>IF(F$2=0,"",IFERROR(TRIM(INDEX('Pegar estudiantes'!$A$1:$BZ$1001,104,F$2)&amp;""),""))</f>
        <v/>
      </c>
      <c r="G105">
        <f>IF(G$2=0,"",IFERROR(TRIM(INDEX('Pegar estudiantes'!$A$1:$BZ$1001,104,G$2)&amp;""),""))</f>
        <v/>
      </c>
      <c r="H105">
        <f>IF(H$2=0,"",IFERROR(TRIM(INDEX('Pegar estudiantes'!$A$1:$BZ$1001,104,H$2)&amp;""),""))</f>
        <v/>
      </c>
      <c r="I105">
        <f>IF(I$2=0,"",IFERROR(TRIM(INDEX('Pegar estudiantes'!$A$1:$BZ$1001,104,I$2)&amp;""),""))</f>
        <v/>
      </c>
      <c r="J105">
        <f>IF(J$2=0,"",IFERROR(TRIM(INDEX('Pegar estudiantes'!$A$1:$BZ$1001,104,J$2)&amp;""),""))</f>
        <v/>
      </c>
      <c r="K105">
        <f>IF(K$2=0,"",IFERROR(TRIM(INDEX('Pegar estudiantes'!$A$1:$BZ$1001,104,K$2)&amp;""),""))</f>
        <v/>
      </c>
      <c r="L105" s="25">
        <f>IF(A105&lt;&gt;"",1,"")</f>
        <v/>
      </c>
      <c r="M105" s="25">
        <f>IF(L105=1,IF(ISNUMBER(FIND("#"&amp;MID(A105,1,1)&amp;"#","#0#1#2#3#4#5#6#7#8#9#")),IF(ISNUMBER(FIND("#"&amp;MID(A105,2,1)&amp;"#","#0#1#2#3#4#5#6#7#8#9#")),IF(AND(VALUE(LEFT(A105,2))&gt;=1,VALUE(LEFT(A105,2))&lt;=5),VALUE(LEFT(A105,2)),""),IF(AND(VALUE(LEFT(A105,1))&gt;=1,VALUE(LEFT(A105,1))&lt;=5),VALUE(LEFT(A105,1)),"")),""),"")</f>
        <v/>
      </c>
      <c r="N105" s="25">
        <f>IF(L105=1,IF(ISNUMBER(FIND("#"&amp;MID(H105,1,1)&amp;"#","#0#1#2#3#4#5#6#7#8#9#")),IF(ISNUMBER(FIND("#"&amp;MID(H105,2,1)&amp;"#","#0#1#2#3#4#5#6#7#8#9#")),IF(AND(VALUE(LEFT(H105,2))&gt;=1,VALUE(LEFT(H105,2))&lt;=5),VALUE(LEFT(H105,2)),""),IF(AND(VALUE(LEFT(H105,1))&gt;=1,VALUE(LEFT(H105,1))&lt;=5),VALUE(LEFT(H105,1)),"")),""),"")</f>
        <v/>
      </c>
      <c r="O105" s="25">
        <f>IF(AND(L105=1,B105&lt;&gt;""),SUBSTITUTE(SUBSTITUTE(SUBSTITUTE(SUBSTITUTE(SUBSTITUTE(SUBSTITUTE(SUBSTITUTE(SUBSTITUTE(SUBSTITUTE(SUBSTITUTE(SUBSTITUTE(SUBSTITUTE(LOWER(TRIM(B105)),"á","a"),"é","e"),"í","i"),"ó","o"),"ú","u"),"ü","u"),"ñ","n"),"à","a"),"è","e"),"ì","i"),"ò","o"),"ù","u"),"")</f>
        <v/>
      </c>
      <c r="P105" s="25">
        <f>IF(AND(L105=1,C105&lt;&gt;""),SUBSTITUTE(SUBSTITUTE(SUBSTITUTE(SUBSTITUTE(SUBSTITUTE(SUBSTITUTE(SUBSTITUTE(SUBSTITUTE(SUBSTITUTE(SUBSTITUTE(SUBSTITUTE(SUBSTITUTE(LOWER(TRIM(C105)),"á","a"),"é","e"),"í","i"),"ó","o"),"ú","u"),"ü","u"),"ñ","n"),"à","a"),"è","e"),"ì","i"),"ò","o"),"ù","u"),"")</f>
        <v/>
      </c>
      <c r="Q105" s="25">
        <f>IF(AND(L105=1,E105&lt;&gt;""),SUBSTITUTE(SUBSTITUTE(SUBSTITUTE(SUBSTITUTE(SUBSTITUTE(SUBSTITUTE(SUBSTITUTE(SUBSTITUTE(SUBSTITUTE(SUBSTITUTE(SUBSTITUTE(SUBSTITUTE(LOWER(TRIM(E105)),"á","a"),"é","e"),"í","i"),"ó","o"),"ú","u"),"ü","u"),"ñ","n"),"à","a"),"è","e"),"ì","i"),"ò","o"),"ù","u"),"")</f>
        <v/>
      </c>
      <c r="R105" s="25">
        <f>IF(AND(L105=1,I105&lt;&gt;""),SUBSTITUTE(SUBSTITUTE(SUBSTITUTE(SUBSTITUTE(SUBSTITUTE(SUBSTITUTE(SUBSTITUTE(SUBSTITUTE(SUBSTITUTE(SUBSTITUTE(SUBSTITUTE(SUBSTITUTE(LOWER(TRIM(I105)),"á","a"),"é","e"),"í","i"),"ó","o"),"ú","u"),"ü","u"),"ñ","n"),"à","a"),"è","e"),"ì","i"),"ò","o"),"ù","u"),"")</f>
        <v/>
      </c>
      <c r="S105" s="25">
        <f>IF(R105="","",IF(OR(R105="si",R105="tal vez"),1,0))</f>
        <v/>
      </c>
      <c r="T105" s="25">
        <f>IF(AND(L105=1,D105&lt;&gt;""),IF(IFERROR(COUNTIFS(D$3:D105,"="&amp;SUBSTITUTE(SUBSTITUTE(SUBSTITUTE(D105,"~","~~"),"*","~*"),"?","~?"),L$3:L105,1),0)=1,MAX(T$2:T104)+1,""),"")</f>
        <v/>
      </c>
      <c r="U105" s="25">
        <f>IF(T105="","",COUNTIFS($D$3:$D$1002,"="&amp;SUBSTITUTE(SUBSTITUTE(SUBSTITUTE(D105,"~","~~"),"*","~*"),"?","~?"),$L$3:$L$1002,1)*10000-T105)</f>
        <v/>
      </c>
      <c r="V105" s="25">
        <f>IF(AND(L105=1,J105&lt;&gt;""),IF(IFERROR(COUNTIFS(J$3:J105,"="&amp;SUBSTITUTE(SUBSTITUTE(SUBSTITUTE(J105,"~","~~"),"*","~*"),"?","~?"),L$3:L105,1),0)=1,MAX(V$2:V104)+1,""),"")</f>
        <v/>
      </c>
      <c r="W105" s="25">
        <f>IF(V105="","",COUNTIFS($J$3:$J$1002,"="&amp;SUBSTITUTE(SUBSTITUTE(SUBSTITUTE(J105,"~","~~"),"*","~*"),"?","~?"),$L$3:$L$1002,1)*10000-V105)</f>
        <v/>
      </c>
    </row>
    <row r="106">
      <c r="A106">
        <f>IF(A$2=0,"",IFERROR(TRIM(INDEX('Pegar estudiantes'!$A$1:$BZ$1001,105,A$2)&amp;""),""))</f>
        <v/>
      </c>
      <c r="B106">
        <f>IF(B$2=0,"",IFERROR(TRIM(INDEX('Pegar estudiantes'!$A$1:$BZ$1001,105,B$2)&amp;""),""))</f>
        <v/>
      </c>
      <c r="C106">
        <f>IF(C$2=0,"",IFERROR(TRIM(INDEX('Pegar estudiantes'!$A$1:$BZ$1001,105,C$2)&amp;""),""))</f>
        <v/>
      </c>
      <c r="D106">
        <f>IF(D$2=0,"",IFERROR(TRIM(INDEX('Pegar estudiantes'!$A$1:$BZ$1001,105,D$2)&amp;""),""))</f>
        <v/>
      </c>
      <c r="E106">
        <f>IF(E$2=0,"",IFERROR(TRIM(INDEX('Pegar estudiantes'!$A$1:$BZ$1001,105,E$2)&amp;""),""))</f>
        <v/>
      </c>
      <c r="F106">
        <f>IF(F$2=0,"",IFERROR(TRIM(INDEX('Pegar estudiantes'!$A$1:$BZ$1001,105,F$2)&amp;""),""))</f>
        <v/>
      </c>
      <c r="G106">
        <f>IF(G$2=0,"",IFERROR(TRIM(INDEX('Pegar estudiantes'!$A$1:$BZ$1001,105,G$2)&amp;""),""))</f>
        <v/>
      </c>
      <c r="H106">
        <f>IF(H$2=0,"",IFERROR(TRIM(INDEX('Pegar estudiantes'!$A$1:$BZ$1001,105,H$2)&amp;""),""))</f>
        <v/>
      </c>
      <c r="I106">
        <f>IF(I$2=0,"",IFERROR(TRIM(INDEX('Pegar estudiantes'!$A$1:$BZ$1001,105,I$2)&amp;""),""))</f>
        <v/>
      </c>
      <c r="J106">
        <f>IF(J$2=0,"",IFERROR(TRIM(INDEX('Pegar estudiantes'!$A$1:$BZ$1001,105,J$2)&amp;""),""))</f>
        <v/>
      </c>
      <c r="K106">
        <f>IF(K$2=0,"",IFERROR(TRIM(INDEX('Pegar estudiantes'!$A$1:$BZ$1001,105,K$2)&amp;""),""))</f>
        <v/>
      </c>
      <c r="L106" s="25">
        <f>IF(A106&lt;&gt;"",1,"")</f>
        <v/>
      </c>
      <c r="M106" s="25">
        <f>IF(L106=1,IF(ISNUMBER(FIND("#"&amp;MID(A106,1,1)&amp;"#","#0#1#2#3#4#5#6#7#8#9#")),IF(ISNUMBER(FIND("#"&amp;MID(A106,2,1)&amp;"#","#0#1#2#3#4#5#6#7#8#9#")),IF(AND(VALUE(LEFT(A106,2))&gt;=1,VALUE(LEFT(A106,2))&lt;=5),VALUE(LEFT(A106,2)),""),IF(AND(VALUE(LEFT(A106,1))&gt;=1,VALUE(LEFT(A106,1))&lt;=5),VALUE(LEFT(A106,1)),"")),""),"")</f>
        <v/>
      </c>
      <c r="N106" s="25">
        <f>IF(L106=1,IF(ISNUMBER(FIND("#"&amp;MID(H106,1,1)&amp;"#","#0#1#2#3#4#5#6#7#8#9#")),IF(ISNUMBER(FIND("#"&amp;MID(H106,2,1)&amp;"#","#0#1#2#3#4#5#6#7#8#9#")),IF(AND(VALUE(LEFT(H106,2))&gt;=1,VALUE(LEFT(H106,2))&lt;=5),VALUE(LEFT(H106,2)),""),IF(AND(VALUE(LEFT(H106,1))&gt;=1,VALUE(LEFT(H106,1))&lt;=5),VALUE(LEFT(H106,1)),"")),""),"")</f>
        <v/>
      </c>
      <c r="O106" s="25">
        <f>IF(AND(L106=1,B106&lt;&gt;""),SUBSTITUTE(SUBSTITUTE(SUBSTITUTE(SUBSTITUTE(SUBSTITUTE(SUBSTITUTE(SUBSTITUTE(SUBSTITUTE(SUBSTITUTE(SUBSTITUTE(SUBSTITUTE(SUBSTITUTE(LOWER(TRIM(B106)),"á","a"),"é","e"),"í","i"),"ó","o"),"ú","u"),"ü","u"),"ñ","n"),"à","a"),"è","e"),"ì","i"),"ò","o"),"ù","u"),"")</f>
        <v/>
      </c>
      <c r="P106" s="25">
        <f>IF(AND(L106=1,C106&lt;&gt;""),SUBSTITUTE(SUBSTITUTE(SUBSTITUTE(SUBSTITUTE(SUBSTITUTE(SUBSTITUTE(SUBSTITUTE(SUBSTITUTE(SUBSTITUTE(SUBSTITUTE(SUBSTITUTE(SUBSTITUTE(LOWER(TRIM(C106)),"á","a"),"é","e"),"í","i"),"ó","o"),"ú","u"),"ü","u"),"ñ","n"),"à","a"),"è","e"),"ì","i"),"ò","o"),"ù","u"),"")</f>
        <v/>
      </c>
      <c r="Q106" s="25">
        <f>IF(AND(L106=1,E106&lt;&gt;""),SUBSTITUTE(SUBSTITUTE(SUBSTITUTE(SUBSTITUTE(SUBSTITUTE(SUBSTITUTE(SUBSTITUTE(SUBSTITUTE(SUBSTITUTE(SUBSTITUTE(SUBSTITUTE(SUBSTITUTE(LOWER(TRIM(E106)),"á","a"),"é","e"),"í","i"),"ó","o"),"ú","u"),"ü","u"),"ñ","n"),"à","a"),"è","e"),"ì","i"),"ò","o"),"ù","u"),"")</f>
        <v/>
      </c>
      <c r="R106" s="25">
        <f>IF(AND(L106=1,I106&lt;&gt;""),SUBSTITUTE(SUBSTITUTE(SUBSTITUTE(SUBSTITUTE(SUBSTITUTE(SUBSTITUTE(SUBSTITUTE(SUBSTITUTE(SUBSTITUTE(SUBSTITUTE(SUBSTITUTE(SUBSTITUTE(LOWER(TRIM(I106)),"á","a"),"é","e"),"í","i"),"ó","o"),"ú","u"),"ü","u"),"ñ","n"),"à","a"),"è","e"),"ì","i"),"ò","o"),"ù","u"),"")</f>
        <v/>
      </c>
      <c r="S106" s="25">
        <f>IF(R106="","",IF(OR(R106="si",R106="tal vez"),1,0))</f>
        <v/>
      </c>
      <c r="T106" s="25">
        <f>IF(AND(L106=1,D106&lt;&gt;""),IF(IFERROR(COUNTIFS(D$3:D106,"="&amp;SUBSTITUTE(SUBSTITUTE(SUBSTITUTE(D106,"~","~~"),"*","~*"),"?","~?"),L$3:L106,1),0)=1,MAX(T$2:T105)+1,""),"")</f>
        <v/>
      </c>
      <c r="U106" s="25">
        <f>IF(T106="","",COUNTIFS($D$3:$D$1002,"="&amp;SUBSTITUTE(SUBSTITUTE(SUBSTITUTE(D106,"~","~~"),"*","~*"),"?","~?"),$L$3:$L$1002,1)*10000-T106)</f>
        <v/>
      </c>
      <c r="V106" s="25">
        <f>IF(AND(L106=1,J106&lt;&gt;""),IF(IFERROR(COUNTIFS(J$3:J106,"="&amp;SUBSTITUTE(SUBSTITUTE(SUBSTITUTE(J106,"~","~~"),"*","~*"),"?","~?"),L$3:L106,1),0)=1,MAX(V$2:V105)+1,""),"")</f>
        <v/>
      </c>
      <c r="W106" s="25">
        <f>IF(V106="","",COUNTIFS($J$3:$J$1002,"="&amp;SUBSTITUTE(SUBSTITUTE(SUBSTITUTE(J106,"~","~~"),"*","~*"),"?","~?"),$L$3:$L$1002,1)*10000-V106)</f>
        <v/>
      </c>
    </row>
    <row r="107">
      <c r="A107">
        <f>IF(A$2=0,"",IFERROR(TRIM(INDEX('Pegar estudiantes'!$A$1:$BZ$1001,106,A$2)&amp;""),""))</f>
        <v/>
      </c>
      <c r="B107">
        <f>IF(B$2=0,"",IFERROR(TRIM(INDEX('Pegar estudiantes'!$A$1:$BZ$1001,106,B$2)&amp;""),""))</f>
        <v/>
      </c>
      <c r="C107">
        <f>IF(C$2=0,"",IFERROR(TRIM(INDEX('Pegar estudiantes'!$A$1:$BZ$1001,106,C$2)&amp;""),""))</f>
        <v/>
      </c>
      <c r="D107">
        <f>IF(D$2=0,"",IFERROR(TRIM(INDEX('Pegar estudiantes'!$A$1:$BZ$1001,106,D$2)&amp;""),""))</f>
        <v/>
      </c>
      <c r="E107">
        <f>IF(E$2=0,"",IFERROR(TRIM(INDEX('Pegar estudiantes'!$A$1:$BZ$1001,106,E$2)&amp;""),""))</f>
        <v/>
      </c>
      <c r="F107">
        <f>IF(F$2=0,"",IFERROR(TRIM(INDEX('Pegar estudiantes'!$A$1:$BZ$1001,106,F$2)&amp;""),""))</f>
        <v/>
      </c>
      <c r="G107">
        <f>IF(G$2=0,"",IFERROR(TRIM(INDEX('Pegar estudiantes'!$A$1:$BZ$1001,106,G$2)&amp;""),""))</f>
        <v/>
      </c>
      <c r="H107">
        <f>IF(H$2=0,"",IFERROR(TRIM(INDEX('Pegar estudiantes'!$A$1:$BZ$1001,106,H$2)&amp;""),""))</f>
        <v/>
      </c>
      <c r="I107">
        <f>IF(I$2=0,"",IFERROR(TRIM(INDEX('Pegar estudiantes'!$A$1:$BZ$1001,106,I$2)&amp;""),""))</f>
        <v/>
      </c>
      <c r="J107">
        <f>IF(J$2=0,"",IFERROR(TRIM(INDEX('Pegar estudiantes'!$A$1:$BZ$1001,106,J$2)&amp;""),""))</f>
        <v/>
      </c>
      <c r="K107">
        <f>IF(K$2=0,"",IFERROR(TRIM(INDEX('Pegar estudiantes'!$A$1:$BZ$1001,106,K$2)&amp;""),""))</f>
        <v/>
      </c>
      <c r="L107" s="25">
        <f>IF(A107&lt;&gt;"",1,"")</f>
        <v/>
      </c>
      <c r="M107" s="25">
        <f>IF(L107=1,IF(ISNUMBER(FIND("#"&amp;MID(A107,1,1)&amp;"#","#0#1#2#3#4#5#6#7#8#9#")),IF(ISNUMBER(FIND("#"&amp;MID(A107,2,1)&amp;"#","#0#1#2#3#4#5#6#7#8#9#")),IF(AND(VALUE(LEFT(A107,2))&gt;=1,VALUE(LEFT(A107,2))&lt;=5),VALUE(LEFT(A107,2)),""),IF(AND(VALUE(LEFT(A107,1))&gt;=1,VALUE(LEFT(A107,1))&lt;=5),VALUE(LEFT(A107,1)),"")),""),"")</f>
        <v/>
      </c>
      <c r="N107" s="25">
        <f>IF(L107=1,IF(ISNUMBER(FIND("#"&amp;MID(H107,1,1)&amp;"#","#0#1#2#3#4#5#6#7#8#9#")),IF(ISNUMBER(FIND("#"&amp;MID(H107,2,1)&amp;"#","#0#1#2#3#4#5#6#7#8#9#")),IF(AND(VALUE(LEFT(H107,2))&gt;=1,VALUE(LEFT(H107,2))&lt;=5),VALUE(LEFT(H107,2)),""),IF(AND(VALUE(LEFT(H107,1))&gt;=1,VALUE(LEFT(H107,1))&lt;=5),VALUE(LEFT(H107,1)),"")),""),"")</f>
        <v/>
      </c>
      <c r="O107" s="25">
        <f>IF(AND(L107=1,B107&lt;&gt;""),SUBSTITUTE(SUBSTITUTE(SUBSTITUTE(SUBSTITUTE(SUBSTITUTE(SUBSTITUTE(SUBSTITUTE(SUBSTITUTE(SUBSTITUTE(SUBSTITUTE(SUBSTITUTE(SUBSTITUTE(LOWER(TRIM(B107)),"á","a"),"é","e"),"í","i"),"ó","o"),"ú","u"),"ü","u"),"ñ","n"),"à","a"),"è","e"),"ì","i"),"ò","o"),"ù","u"),"")</f>
        <v/>
      </c>
      <c r="P107" s="25">
        <f>IF(AND(L107=1,C107&lt;&gt;""),SUBSTITUTE(SUBSTITUTE(SUBSTITUTE(SUBSTITUTE(SUBSTITUTE(SUBSTITUTE(SUBSTITUTE(SUBSTITUTE(SUBSTITUTE(SUBSTITUTE(SUBSTITUTE(SUBSTITUTE(LOWER(TRIM(C107)),"á","a"),"é","e"),"í","i"),"ó","o"),"ú","u"),"ü","u"),"ñ","n"),"à","a"),"è","e"),"ì","i"),"ò","o"),"ù","u"),"")</f>
        <v/>
      </c>
      <c r="Q107" s="25">
        <f>IF(AND(L107=1,E107&lt;&gt;""),SUBSTITUTE(SUBSTITUTE(SUBSTITUTE(SUBSTITUTE(SUBSTITUTE(SUBSTITUTE(SUBSTITUTE(SUBSTITUTE(SUBSTITUTE(SUBSTITUTE(SUBSTITUTE(SUBSTITUTE(LOWER(TRIM(E107)),"á","a"),"é","e"),"í","i"),"ó","o"),"ú","u"),"ü","u"),"ñ","n"),"à","a"),"è","e"),"ì","i"),"ò","o"),"ù","u"),"")</f>
        <v/>
      </c>
      <c r="R107" s="25">
        <f>IF(AND(L107=1,I107&lt;&gt;""),SUBSTITUTE(SUBSTITUTE(SUBSTITUTE(SUBSTITUTE(SUBSTITUTE(SUBSTITUTE(SUBSTITUTE(SUBSTITUTE(SUBSTITUTE(SUBSTITUTE(SUBSTITUTE(SUBSTITUTE(LOWER(TRIM(I107)),"á","a"),"é","e"),"í","i"),"ó","o"),"ú","u"),"ü","u"),"ñ","n"),"à","a"),"è","e"),"ì","i"),"ò","o"),"ù","u"),"")</f>
        <v/>
      </c>
      <c r="S107" s="25">
        <f>IF(R107="","",IF(OR(R107="si",R107="tal vez"),1,0))</f>
        <v/>
      </c>
      <c r="T107" s="25">
        <f>IF(AND(L107=1,D107&lt;&gt;""),IF(IFERROR(COUNTIFS(D$3:D107,"="&amp;SUBSTITUTE(SUBSTITUTE(SUBSTITUTE(D107,"~","~~"),"*","~*"),"?","~?"),L$3:L107,1),0)=1,MAX(T$2:T106)+1,""),"")</f>
        <v/>
      </c>
      <c r="U107" s="25">
        <f>IF(T107="","",COUNTIFS($D$3:$D$1002,"="&amp;SUBSTITUTE(SUBSTITUTE(SUBSTITUTE(D107,"~","~~"),"*","~*"),"?","~?"),$L$3:$L$1002,1)*10000-T107)</f>
        <v/>
      </c>
      <c r="V107" s="25">
        <f>IF(AND(L107=1,J107&lt;&gt;""),IF(IFERROR(COUNTIFS(J$3:J107,"="&amp;SUBSTITUTE(SUBSTITUTE(SUBSTITUTE(J107,"~","~~"),"*","~*"),"?","~?"),L$3:L107,1),0)=1,MAX(V$2:V106)+1,""),"")</f>
        <v/>
      </c>
      <c r="W107" s="25">
        <f>IF(V107="","",COUNTIFS($J$3:$J$1002,"="&amp;SUBSTITUTE(SUBSTITUTE(SUBSTITUTE(J107,"~","~~"),"*","~*"),"?","~?"),$L$3:$L$1002,1)*10000-V107)</f>
        <v/>
      </c>
    </row>
    <row r="108">
      <c r="A108">
        <f>IF(A$2=0,"",IFERROR(TRIM(INDEX('Pegar estudiantes'!$A$1:$BZ$1001,107,A$2)&amp;""),""))</f>
        <v/>
      </c>
      <c r="B108">
        <f>IF(B$2=0,"",IFERROR(TRIM(INDEX('Pegar estudiantes'!$A$1:$BZ$1001,107,B$2)&amp;""),""))</f>
        <v/>
      </c>
      <c r="C108">
        <f>IF(C$2=0,"",IFERROR(TRIM(INDEX('Pegar estudiantes'!$A$1:$BZ$1001,107,C$2)&amp;""),""))</f>
        <v/>
      </c>
      <c r="D108">
        <f>IF(D$2=0,"",IFERROR(TRIM(INDEX('Pegar estudiantes'!$A$1:$BZ$1001,107,D$2)&amp;""),""))</f>
        <v/>
      </c>
      <c r="E108">
        <f>IF(E$2=0,"",IFERROR(TRIM(INDEX('Pegar estudiantes'!$A$1:$BZ$1001,107,E$2)&amp;""),""))</f>
        <v/>
      </c>
      <c r="F108">
        <f>IF(F$2=0,"",IFERROR(TRIM(INDEX('Pegar estudiantes'!$A$1:$BZ$1001,107,F$2)&amp;""),""))</f>
        <v/>
      </c>
      <c r="G108">
        <f>IF(G$2=0,"",IFERROR(TRIM(INDEX('Pegar estudiantes'!$A$1:$BZ$1001,107,G$2)&amp;""),""))</f>
        <v/>
      </c>
      <c r="H108">
        <f>IF(H$2=0,"",IFERROR(TRIM(INDEX('Pegar estudiantes'!$A$1:$BZ$1001,107,H$2)&amp;""),""))</f>
        <v/>
      </c>
      <c r="I108">
        <f>IF(I$2=0,"",IFERROR(TRIM(INDEX('Pegar estudiantes'!$A$1:$BZ$1001,107,I$2)&amp;""),""))</f>
        <v/>
      </c>
      <c r="J108">
        <f>IF(J$2=0,"",IFERROR(TRIM(INDEX('Pegar estudiantes'!$A$1:$BZ$1001,107,J$2)&amp;""),""))</f>
        <v/>
      </c>
      <c r="K108">
        <f>IF(K$2=0,"",IFERROR(TRIM(INDEX('Pegar estudiantes'!$A$1:$BZ$1001,107,K$2)&amp;""),""))</f>
        <v/>
      </c>
      <c r="L108" s="25">
        <f>IF(A108&lt;&gt;"",1,"")</f>
        <v/>
      </c>
      <c r="M108" s="25">
        <f>IF(L108=1,IF(ISNUMBER(FIND("#"&amp;MID(A108,1,1)&amp;"#","#0#1#2#3#4#5#6#7#8#9#")),IF(ISNUMBER(FIND("#"&amp;MID(A108,2,1)&amp;"#","#0#1#2#3#4#5#6#7#8#9#")),IF(AND(VALUE(LEFT(A108,2))&gt;=1,VALUE(LEFT(A108,2))&lt;=5),VALUE(LEFT(A108,2)),""),IF(AND(VALUE(LEFT(A108,1))&gt;=1,VALUE(LEFT(A108,1))&lt;=5),VALUE(LEFT(A108,1)),"")),""),"")</f>
        <v/>
      </c>
      <c r="N108" s="25">
        <f>IF(L108=1,IF(ISNUMBER(FIND("#"&amp;MID(H108,1,1)&amp;"#","#0#1#2#3#4#5#6#7#8#9#")),IF(ISNUMBER(FIND("#"&amp;MID(H108,2,1)&amp;"#","#0#1#2#3#4#5#6#7#8#9#")),IF(AND(VALUE(LEFT(H108,2))&gt;=1,VALUE(LEFT(H108,2))&lt;=5),VALUE(LEFT(H108,2)),""),IF(AND(VALUE(LEFT(H108,1))&gt;=1,VALUE(LEFT(H108,1))&lt;=5),VALUE(LEFT(H108,1)),"")),""),"")</f>
        <v/>
      </c>
      <c r="O108" s="25">
        <f>IF(AND(L108=1,B108&lt;&gt;""),SUBSTITUTE(SUBSTITUTE(SUBSTITUTE(SUBSTITUTE(SUBSTITUTE(SUBSTITUTE(SUBSTITUTE(SUBSTITUTE(SUBSTITUTE(SUBSTITUTE(SUBSTITUTE(SUBSTITUTE(LOWER(TRIM(B108)),"á","a"),"é","e"),"í","i"),"ó","o"),"ú","u"),"ü","u"),"ñ","n"),"à","a"),"è","e"),"ì","i"),"ò","o"),"ù","u"),"")</f>
        <v/>
      </c>
      <c r="P108" s="25">
        <f>IF(AND(L108=1,C108&lt;&gt;""),SUBSTITUTE(SUBSTITUTE(SUBSTITUTE(SUBSTITUTE(SUBSTITUTE(SUBSTITUTE(SUBSTITUTE(SUBSTITUTE(SUBSTITUTE(SUBSTITUTE(SUBSTITUTE(SUBSTITUTE(LOWER(TRIM(C108)),"á","a"),"é","e"),"í","i"),"ó","o"),"ú","u"),"ü","u"),"ñ","n"),"à","a"),"è","e"),"ì","i"),"ò","o"),"ù","u"),"")</f>
        <v/>
      </c>
      <c r="Q108" s="25">
        <f>IF(AND(L108=1,E108&lt;&gt;""),SUBSTITUTE(SUBSTITUTE(SUBSTITUTE(SUBSTITUTE(SUBSTITUTE(SUBSTITUTE(SUBSTITUTE(SUBSTITUTE(SUBSTITUTE(SUBSTITUTE(SUBSTITUTE(SUBSTITUTE(LOWER(TRIM(E108)),"á","a"),"é","e"),"í","i"),"ó","o"),"ú","u"),"ü","u"),"ñ","n"),"à","a"),"è","e"),"ì","i"),"ò","o"),"ù","u"),"")</f>
        <v/>
      </c>
      <c r="R108" s="25">
        <f>IF(AND(L108=1,I108&lt;&gt;""),SUBSTITUTE(SUBSTITUTE(SUBSTITUTE(SUBSTITUTE(SUBSTITUTE(SUBSTITUTE(SUBSTITUTE(SUBSTITUTE(SUBSTITUTE(SUBSTITUTE(SUBSTITUTE(SUBSTITUTE(LOWER(TRIM(I108)),"á","a"),"é","e"),"í","i"),"ó","o"),"ú","u"),"ü","u"),"ñ","n"),"à","a"),"è","e"),"ì","i"),"ò","o"),"ù","u"),"")</f>
        <v/>
      </c>
      <c r="S108" s="25">
        <f>IF(R108="","",IF(OR(R108="si",R108="tal vez"),1,0))</f>
        <v/>
      </c>
      <c r="T108" s="25">
        <f>IF(AND(L108=1,D108&lt;&gt;""),IF(IFERROR(COUNTIFS(D$3:D108,"="&amp;SUBSTITUTE(SUBSTITUTE(SUBSTITUTE(D108,"~","~~"),"*","~*"),"?","~?"),L$3:L108,1),0)=1,MAX(T$2:T107)+1,""),"")</f>
        <v/>
      </c>
      <c r="U108" s="25">
        <f>IF(T108="","",COUNTIFS($D$3:$D$1002,"="&amp;SUBSTITUTE(SUBSTITUTE(SUBSTITUTE(D108,"~","~~"),"*","~*"),"?","~?"),$L$3:$L$1002,1)*10000-T108)</f>
        <v/>
      </c>
      <c r="V108" s="25">
        <f>IF(AND(L108=1,J108&lt;&gt;""),IF(IFERROR(COUNTIFS(J$3:J108,"="&amp;SUBSTITUTE(SUBSTITUTE(SUBSTITUTE(J108,"~","~~"),"*","~*"),"?","~?"),L$3:L108,1),0)=1,MAX(V$2:V107)+1,""),"")</f>
        <v/>
      </c>
      <c r="W108" s="25">
        <f>IF(V108="","",COUNTIFS($J$3:$J$1002,"="&amp;SUBSTITUTE(SUBSTITUTE(SUBSTITUTE(J108,"~","~~"),"*","~*"),"?","~?"),$L$3:$L$1002,1)*10000-V108)</f>
        <v/>
      </c>
    </row>
    <row r="109">
      <c r="A109">
        <f>IF(A$2=0,"",IFERROR(TRIM(INDEX('Pegar estudiantes'!$A$1:$BZ$1001,108,A$2)&amp;""),""))</f>
        <v/>
      </c>
      <c r="B109">
        <f>IF(B$2=0,"",IFERROR(TRIM(INDEX('Pegar estudiantes'!$A$1:$BZ$1001,108,B$2)&amp;""),""))</f>
        <v/>
      </c>
      <c r="C109">
        <f>IF(C$2=0,"",IFERROR(TRIM(INDEX('Pegar estudiantes'!$A$1:$BZ$1001,108,C$2)&amp;""),""))</f>
        <v/>
      </c>
      <c r="D109">
        <f>IF(D$2=0,"",IFERROR(TRIM(INDEX('Pegar estudiantes'!$A$1:$BZ$1001,108,D$2)&amp;""),""))</f>
        <v/>
      </c>
      <c r="E109">
        <f>IF(E$2=0,"",IFERROR(TRIM(INDEX('Pegar estudiantes'!$A$1:$BZ$1001,108,E$2)&amp;""),""))</f>
        <v/>
      </c>
      <c r="F109">
        <f>IF(F$2=0,"",IFERROR(TRIM(INDEX('Pegar estudiantes'!$A$1:$BZ$1001,108,F$2)&amp;""),""))</f>
        <v/>
      </c>
      <c r="G109">
        <f>IF(G$2=0,"",IFERROR(TRIM(INDEX('Pegar estudiantes'!$A$1:$BZ$1001,108,G$2)&amp;""),""))</f>
        <v/>
      </c>
      <c r="H109">
        <f>IF(H$2=0,"",IFERROR(TRIM(INDEX('Pegar estudiantes'!$A$1:$BZ$1001,108,H$2)&amp;""),""))</f>
        <v/>
      </c>
      <c r="I109">
        <f>IF(I$2=0,"",IFERROR(TRIM(INDEX('Pegar estudiantes'!$A$1:$BZ$1001,108,I$2)&amp;""),""))</f>
        <v/>
      </c>
      <c r="J109">
        <f>IF(J$2=0,"",IFERROR(TRIM(INDEX('Pegar estudiantes'!$A$1:$BZ$1001,108,J$2)&amp;""),""))</f>
        <v/>
      </c>
      <c r="K109">
        <f>IF(K$2=0,"",IFERROR(TRIM(INDEX('Pegar estudiantes'!$A$1:$BZ$1001,108,K$2)&amp;""),""))</f>
        <v/>
      </c>
      <c r="L109" s="25">
        <f>IF(A109&lt;&gt;"",1,"")</f>
        <v/>
      </c>
      <c r="M109" s="25">
        <f>IF(L109=1,IF(ISNUMBER(FIND("#"&amp;MID(A109,1,1)&amp;"#","#0#1#2#3#4#5#6#7#8#9#")),IF(ISNUMBER(FIND("#"&amp;MID(A109,2,1)&amp;"#","#0#1#2#3#4#5#6#7#8#9#")),IF(AND(VALUE(LEFT(A109,2))&gt;=1,VALUE(LEFT(A109,2))&lt;=5),VALUE(LEFT(A109,2)),""),IF(AND(VALUE(LEFT(A109,1))&gt;=1,VALUE(LEFT(A109,1))&lt;=5),VALUE(LEFT(A109,1)),"")),""),"")</f>
        <v/>
      </c>
      <c r="N109" s="25">
        <f>IF(L109=1,IF(ISNUMBER(FIND("#"&amp;MID(H109,1,1)&amp;"#","#0#1#2#3#4#5#6#7#8#9#")),IF(ISNUMBER(FIND("#"&amp;MID(H109,2,1)&amp;"#","#0#1#2#3#4#5#6#7#8#9#")),IF(AND(VALUE(LEFT(H109,2))&gt;=1,VALUE(LEFT(H109,2))&lt;=5),VALUE(LEFT(H109,2)),""),IF(AND(VALUE(LEFT(H109,1))&gt;=1,VALUE(LEFT(H109,1))&lt;=5),VALUE(LEFT(H109,1)),"")),""),"")</f>
        <v/>
      </c>
      <c r="O109" s="25">
        <f>IF(AND(L109=1,B109&lt;&gt;""),SUBSTITUTE(SUBSTITUTE(SUBSTITUTE(SUBSTITUTE(SUBSTITUTE(SUBSTITUTE(SUBSTITUTE(SUBSTITUTE(SUBSTITUTE(SUBSTITUTE(SUBSTITUTE(SUBSTITUTE(LOWER(TRIM(B109)),"á","a"),"é","e"),"í","i"),"ó","o"),"ú","u"),"ü","u"),"ñ","n"),"à","a"),"è","e"),"ì","i"),"ò","o"),"ù","u"),"")</f>
        <v/>
      </c>
      <c r="P109" s="25">
        <f>IF(AND(L109=1,C109&lt;&gt;""),SUBSTITUTE(SUBSTITUTE(SUBSTITUTE(SUBSTITUTE(SUBSTITUTE(SUBSTITUTE(SUBSTITUTE(SUBSTITUTE(SUBSTITUTE(SUBSTITUTE(SUBSTITUTE(SUBSTITUTE(LOWER(TRIM(C109)),"á","a"),"é","e"),"í","i"),"ó","o"),"ú","u"),"ü","u"),"ñ","n"),"à","a"),"è","e"),"ì","i"),"ò","o"),"ù","u"),"")</f>
        <v/>
      </c>
      <c r="Q109" s="25">
        <f>IF(AND(L109=1,E109&lt;&gt;""),SUBSTITUTE(SUBSTITUTE(SUBSTITUTE(SUBSTITUTE(SUBSTITUTE(SUBSTITUTE(SUBSTITUTE(SUBSTITUTE(SUBSTITUTE(SUBSTITUTE(SUBSTITUTE(SUBSTITUTE(LOWER(TRIM(E109)),"á","a"),"é","e"),"í","i"),"ó","o"),"ú","u"),"ü","u"),"ñ","n"),"à","a"),"è","e"),"ì","i"),"ò","o"),"ù","u"),"")</f>
        <v/>
      </c>
      <c r="R109" s="25">
        <f>IF(AND(L109=1,I109&lt;&gt;""),SUBSTITUTE(SUBSTITUTE(SUBSTITUTE(SUBSTITUTE(SUBSTITUTE(SUBSTITUTE(SUBSTITUTE(SUBSTITUTE(SUBSTITUTE(SUBSTITUTE(SUBSTITUTE(SUBSTITUTE(LOWER(TRIM(I109)),"á","a"),"é","e"),"í","i"),"ó","o"),"ú","u"),"ü","u"),"ñ","n"),"à","a"),"è","e"),"ì","i"),"ò","o"),"ù","u"),"")</f>
        <v/>
      </c>
      <c r="S109" s="25">
        <f>IF(R109="","",IF(OR(R109="si",R109="tal vez"),1,0))</f>
        <v/>
      </c>
      <c r="T109" s="25">
        <f>IF(AND(L109=1,D109&lt;&gt;""),IF(IFERROR(COUNTIFS(D$3:D109,"="&amp;SUBSTITUTE(SUBSTITUTE(SUBSTITUTE(D109,"~","~~"),"*","~*"),"?","~?"),L$3:L109,1),0)=1,MAX(T$2:T108)+1,""),"")</f>
        <v/>
      </c>
      <c r="U109" s="25">
        <f>IF(T109="","",COUNTIFS($D$3:$D$1002,"="&amp;SUBSTITUTE(SUBSTITUTE(SUBSTITUTE(D109,"~","~~"),"*","~*"),"?","~?"),$L$3:$L$1002,1)*10000-T109)</f>
        <v/>
      </c>
      <c r="V109" s="25">
        <f>IF(AND(L109=1,J109&lt;&gt;""),IF(IFERROR(COUNTIFS(J$3:J109,"="&amp;SUBSTITUTE(SUBSTITUTE(SUBSTITUTE(J109,"~","~~"),"*","~*"),"?","~?"),L$3:L109,1),0)=1,MAX(V$2:V108)+1,""),"")</f>
        <v/>
      </c>
      <c r="W109" s="25">
        <f>IF(V109="","",COUNTIFS($J$3:$J$1002,"="&amp;SUBSTITUTE(SUBSTITUTE(SUBSTITUTE(J109,"~","~~"),"*","~*"),"?","~?"),$L$3:$L$1002,1)*10000-V109)</f>
        <v/>
      </c>
    </row>
    <row r="110">
      <c r="A110">
        <f>IF(A$2=0,"",IFERROR(TRIM(INDEX('Pegar estudiantes'!$A$1:$BZ$1001,109,A$2)&amp;""),""))</f>
        <v/>
      </c>
      <c r="B110">
        <f>IF(B$2=0,"",IFERROR(TRIM(INDEX('Pegar estudiantes'!$A$1:$BZ$1001,109,B$2)&amp;""),""))</f>
        <v/>
      </c>
      <c r="C110">
        <f>IF(C$2=0,"",IFERROR(TRIM(INDEX('Pegar estudiantes'!$A$1:$BZ$1001,109,C$2)&amp;""),""))</f>
        <v/>
      </c>
      <c r="D110">
        <f>IF(D$2=0,"",IFERROR(TRIM(INDEX('Pegar estudiantes'!$A$1:$BZ$1001,109,D$2)&amp;""),""))</f>
        <v/>
      </c>
      <c r="E110">
        <f>IF(E$2=0,"",IFERROR(TRIM(INDEX('Pegar estudiantes'!$A$1:$BZ$1001,109,E$2)&amp;""),""))</f>
        <v/>
      </c>
      <c r="F110">
        <f>IF(F$2=0,"",IFERROR(TRIM(INDEX('Pegar estudiantes'!$A$1:$BZ$1001,109,F$2)&amp;""),""))</f>
        <v/>
      </c>
      <c r="G110">
        <f>IF(G$2=0,"",IFERROR(TRIM(INDEX('Pegar estudiantes'!$A$1:$BZ$1001,109,G$2)&amp;""),""))</f>
        <v/>
      </c>
      <c r="H110">
        <f>IF(H$2=0,"",IFERROR(TRIM(INDEX('Pegar estudiantes'!$A$1:$BZ$1001,109,H$2)&amp;""),""))</f>
        <v/>
      </c>
      <c r="I110">
        <f>IF(I$2=0,"",IFERROR(TRIM(INDEX('Pegar estudiantes'!$A$1:$BZ$1001,109,I$2)&amp;""),""))</f>
        <v/>
      </c>
      <c r="J110">
        <f>IF(J$2=0,"",IFERROR(TRIM(INDEX('Pegar estudiantes'!$A$1:$BZ$1001,109,J$2)&amp;""),""))</f>
        <v/>
      </c>
      <c r="K110">
        <f>IF(K$2=0,"",IFERROR(TRIM(INDEX('Pegar estudiantes'!$A$1:$BZ$1001,109,K$2)&amp;""),""))</f>
        <v/>
      </c>
      <c r="L110" s="25">
        <f>IF(A110&lt;&gt;"",1,"")</f>
        <v/>
      </c>
      <c r="M110" s="25">
        <f>IF(L110=1,IF(ISNUMBER(FIND("#"&amp;MID(A110,1,1)&amp;"#","#0#1#2#3#4#5#6#7#8#9#")),IF(ISNUMBER(FIND("#"&amp;MID(A110,2,1)&amp;"#","#0#1#2#3#4#5#6#7#8#9#")),IF(AND(VALUE(LEFT(A110,2))&gt;=1,VALUE(LEFT(A110,2))&lt;=5),VALUE(LEFT(A110,2)),""),IF(AND(VALUE(LEFT(A110,1))&gt;=1,VALUE(LEFT(A110,1))&lt;=5),VALUE(LEFT(A110,1)),"")),""),"")</f>
        <v/>
      </c>
      <c r="N110" s="25">
        <f>IF(L110=1,IF(ISNUMBER(FIND("#"&amp;MID(H110,1,1)&amp;"#","#0#1#2#3#4#5#6#7#8#9#")),IF(ISNUMBER(FIND("#"&amp;MID(H110,2,1)&amp;"#","#0#1#2#3#4#5#6#7#8#9#")),IF(AND(VALUE(LEFT(H110,2))&gt;=1,VALUE(LEFT(H110,2))&lt;=5),VALUE(LEFT(H110,2)),""),IF(AND(VALUE(LEFT(H110,1))&gt;=1,VALUE(LEFT(H110,1))&lt;=5),VALUE(LEFT(H110,1)),"")),""),"")</f>
        <v/>
      </c>
      <c r="O110" s="25">
        <f>IF(AND(L110=1,B110&lt;&gt;""),SUBSTITUTE(SUBSTITUTE(SUBSTITUTE(SUBSTITUTE(SUBSTITUTE(SUBSTITUTE(SUBSTITUTE(SUBSTITUTE(SUBSTITUTE(SUBSTITUTE(SUBSTITUTE(SUBSTITUTE(LOWER(TRIM(B110)),"á","a"),"é","e"),"í","i"),"ó","o"),"ú","u"),"ü","u"),"ñ","n"),"à","a"),"è","e"),"ì","i"),"ò","o"),"ù","u"),"")</f>
        <v/>
      </c>
      <c r="P110" s="25">
        <f>IF(AND(L110=1,C110&lt;&gt;""),SUBSTITUTE(SUBSTITUTE(SUBSTITUTE(SUBSTITUTE(SUBSTITUTE(SUBSTITUTE(SUBSTITUTE(SUBSTITUTE(SUBSTITUTE(SUBSTITUTE(SUBSTITUTE(SUBSTITUTE(LOWER(TRIM(C110)),"á","a"),"é","e"),"í","i"),"ó","o"),"ú","u"),"ü","u"),"ñ","n"),"à","a"),"è","e"),"ì","i"),"ò","o"),"ù","u"),"")</f>
        <v/>
      </c>
      <c r="Q110" s="25">
        <f>IF(AND(L110=1,E110&lt;&gt;""),SUBSTITUTE(SUBSTITUTE(SUBSTITUTE(SUBSTITUTE(SUBSTITUTE(SUBSTITUTE(SUBSTITUTE(SUBSTITUTE(SUBSTITUTE(SUBSTITUTE(SUBSTITUTE(SUBSTITUTE(LOWER(TRIM(E110)),"á","a"),"é","e"),"í","i"),"ó","o"),"ú","u"),"ü","u"),"ñ","n"),"à","a"),"è","e"),"ì","i"),"ò","o"),"ù","u"),"")</f>
        <v/>
      </c>
      <c r="R110" s="25">
        <f>IF(AND(L110=1,I110&lt;&gt;""),SUBSTITUTE(SUBSTITUTE(SUBSTITUTE(SUBSTITUTE(SUBSTITUTE(SUBSTITUTE(SUBSTITUTE(SUBSTITUTE(SUBSTITUTE(SUBSTITUTE(SUBSTITUTE(SUBSTITUTE(LOWER(TRIM(I110)),"á","a"),"é","e"),"í","i"),"ó","o"),"ú","u"),"ü","u"),"ñ","n"),"à","a"),"è","e"),"ì","i"),"ò","o"),"ù","u"),"")</f>
        <v/>
      </c>
      <c r="S110" s="25">
        <f>IF(R110="","",IF(OR(R110="si",R110="tal vez"),1,0))</f>
        <v/>
      </c>
      <c r="T110" s="25">
        <f>IF(AND(L110=1,D110&lt;&gt;""),IF(IFERROR(COUNTIFS(D$3:D110,"="&amp;SUBSTITUTE(SUBSTITUTE(SUBSTITUTE(D110,"~","~~"),"*","~*"),"?","~?"),L$3:L110,1),0)=1,MAX(T$2:T109)+1,""),"")</f>
        <v/>
      </c>
      <c r="U110" s="25">
        <f>IF(T110="","",COUNTIFS($D$3:$D$1002,"="&amp;SUBSTITUTE(SUBSTITUTE(SUBSTITUTE(D110,"~","~~"),"*","~*"),"?","~?"),$L$3:$L$1002,1)*10000-T110)</f>
        <v/>
      </c>
      <c r="V110" s="25">
        <f>IF(AND(L110=1,J110&lt;&gt;""),IF(IFERROR(COUNTIFS(J$3:J110,"="&amp;SUBSTITUTE(SUBSTITUTE(SUBSTITUTE(J110,"~","~~"),"*","~*"),"?","~?"),L$3:L110,1),0)=1,MAX(V$2:V109)+1,""),"")</f>
        <v/>
      </c>
      <c r="W110" s="25">
        <f>IF(V110="","",COUNTIFS($J$3:$J$1002,"="&amp;SUBSTITUTE(SUBSTITUTE(SUBSTITUTE(J110,"~","~~"),"*","~*"),"?","~?"),$L$3:$L$1002,1)*10000-V110)</f>
        <v/>
      </c>
    </row>
    <row r="111">
      <c r="A111">
        <f>IF(A$2=0,"",IFERROR(TRIM(INDEX('Pegar estudiantes'!$A$1:$BZ$1001,110,A$2)&amp;""),""))</f>
        <v/>
      </c>
      <c r="B111">
        <f>IF(B$2=0,"",IFERROR(TRIM(INDEX('Pegar estudiantes'!$A$1:$BZ$1001,110,B$2)&amp;""),""))</f>
        <v/>
      </c>
      <c r="C111">
        <f>IF(C$2=0,"",IFERROR(TRIM(INDEX('Pegar estudiantes'!$A$1:$BZ$1001,110,C$2)&amp;""),""))</f>
        <v/>
      </c>
      <c r="D111">
        <f>IF(D$2=0,"",IFERROR(TRIM(INDEX('Pegar estudiantes'!$A$1:$BZ$1001,110,D$2)&amp;""),""))</f>
        <v/>
      </c>
      <c r="E111">
        <f>IF(E$2=0,"",IFERROR(TRIM(INDEX('Pegar estudiantes'!$A$1:$BZ$1001,110,E$2)&amp;""),""))</f>
        <v/>
      </c>
      <c r="F111">
        <f>IF(F$2=0,"",IFERROR(TRIM(INDEX('Pegar estudiantes'!$A$1:$BZ$1001,110,F$2)&amp;""),""))</f>
        <v/>
      </c>
      <c r="G111">
        <f>IF(G$2=0,"",IFERROR(TRIM(INDEX('Pegar estudiantes'!$A$1:$BZ$1001,110,G$2)&amp;""),""))</f>
        <v/>
      </c>
      <c r="H111">
        <f>IF(H$2=0,"",IFERROR(TRIM(INDEX('Pegar estudiantes'!$A$1:$BZ$1001,110,H$2)&amp;""),""))</f>
        <v/>
      </c>
      <c r="I111">
        <f>IF(I$2=0,"",IFERROR(TRIM(INDEX('Pegar estudiantes'!$A$1:$BZ$1001,110,I$2)&amp;""),""))</f>
        <v/>
      </c>
      <c r="J111">
        <f>IF(J$2=0,"",IFERROR(TRIM(INDEX('Pegar estudiantes'!$A$1:$BZ$1001,110,J$2)&amp;""),""))</f>
        <v/>
      </c>
      <c r="K111">
        <f>IF(K$2=0,"",IFERROR(TRIM(INDEX('Pegar estudiantes'!$A$1:$BZ$1001,110,K$2)&amp;""),""))</f>
        <v/>
      </c>
      <c r="L111" s="25">
        <f>IF(A111&lt;&gt;"",1,"")</f>
        <v/>
      </c>
      <c r="M111" s="25">
        <f>IF(L111=1,IF(ISNUMBER(FIND("#"&amp;MID(A111,1,1)&amp;"#","#0#1#2#3#4#5#6#7#8#9#")),IF(ISNUMBER(FIND("#"&amp;MID(A111,2,1)&amp;"#","#0#1#2#3#4#5#6#7#8#9#")),IF(AND(VALUE(LEFT(A111,2))&gt;=1,VALUE(LEFT(A111,2))&lt;=5),VALUE(LEFT(A111,2)),""),IF(AND(VALUE(LEFT(A111,1))&gt;=1,VALUE(LEFT(A111,1))&lt;=5),VALUE(LEFT(A111,1)),"")),""),"")</f>
        <v/>
      </c>
      <c r="N111" s="25">
        <f>IF(L111=1,IF(ISNUMBER(FIND("#"&amp;MID(H111,1,1)&amp;"#","#0#1#2#3#4#5#6#7#8#9#")),IF(ISNUMBER(FIND("#"&amp;MID(H111,2,1)&amp;"#","#0#1#2#3#4#5#6#7#8#9#")),IF(AND(VALUE(LEFT(H111,2))&gt;=1,VALUE(LEFT(H111,2))&lt;=5),VALUE(LEFT(H111,2)),""),IF(AND(VALUE(LEFT(H111,1))&gt;=1,VALUE(LEFT(H111,1))&lt;=5),VALUE(LEFT(H111,1)),"")),""),"")</f>
        <v/>
      </c>
      <c r="O111" s="25">
        <f>IF(AND(L111=1,B111&lt;&gt;""),SUBSTITUTE(SUBSTITUTE(SUBSTITUTE(SUBSTITUTE(SUBSTITUTE(SUBSTITUTE(SUBSTITUTE(SUBSTITUTE(SUBSTITUTE(SUBSTITUTE(SUBSTITUTE(SUBSTITUTE(LOWER(TRIM(B111)),"á","a"),"é","e"),"í","i"),"ó","o"),"ú","u"),"ü","u"),"ñ","n"),"à","a"),"è","e"),"ì","i"),"ò","o"),"ù","u"),"")</f>
        <v/>
      </c>
      <c r="P111" s="25">
        <f>IF(AND(L111=1,C111&lt;&gt;""),SUBSTITUTE(SUBSTITUTE(SUBSTITUTE(SUBSTITUTE(SUBSTITUTE(SUBSTITUTE(SUBSTITUTE(SUBSTITUTE(SUBSTITUTE(SUBSTITUTE(SUBSTITUTE(SUBSTITUTE(LOWER(TRIM(C111)),"á","a"),"é","e"),"í","i"),"ó","o"),"ú","u"),"ü","u"),"ñ","n"),"à","a"),"è","e"),"ì","i"),"ò","o"),"ù","u"),"")</f>
        <v/>
      </c>
      <c r="Q111" s="25">
        <f>IF(AND(L111=1,E111&lt;&gt;""),SUBSTITUTE(SUBSTITUTE(SUBSTITUTE(SUBSTITUTE(SUBSTITUTE(SUBSTITUTE(SUBSTITUTE(SUBSTITUTE(SUBSTITUTE(SUBSTITUTE(SUBSTITUTE(SUBSTITUTE(LOWER(TRIM(E111)),"á","a"),"é","e"),"í","i"),"ó","o"),"ú","u"),"ü","u"),"ñ","n"),"à","a"),"è","e"),"ì","i"),"ò","o"),"ù","u"),"")</f>
        <v/>
      </c>
      <c r="R111" s="25">
        <f>IF(AND(L111=1,I111&lt;&gt;""),SUBSTITUTE(SUBSTITUTE(SUBSTITUTE(SUBSTITUTE(SUBSTITUTE(SUBSTITUTE(SUBSTITUTE(SUBSTITUTE(SUBSTITUTE(SUBSTITUTE(SUBSTITUTE(SUBSTITUTE(LOWER(TRIM(I111)),"á","a"),"é","e"),"í","i"),"ó","o"),"ú","u"),"ü","u"),"ñ","n"),"à","a"),"è","e"),"ì","i"),"ò","o"),"ù","u"),"")</f>
        <v/>
      </c>
      <c r="S111" s="25">
        <f>IF(R111="","",IF(OR(R111="si",R111="tal vez"),1,0))</f>
        <v/>
      </c>
      <c r="T111" s="25">
        <f>IF(AND(L111=1,D111&lt;&gt;""),IF(IFERROR(COUNTIFS(D$3:D111,"="&amp;SUBSTITUTE(SUBSTITUTE(SUBSTITUTE(D111,"~","~~"),"*","~*"),"?","~?"),L$3:L111,1),0)=1,MAX(T$2:T110)+1,""),"")</f>
        <v/>
      </c>
      <c r="U111" s="25">
        <f>IF(T111="","",COUNTIFS($D$3:$D$1002,"="&amp;SUBSTITUTE(SUBSTITUTE(SUBSTITUTE(D111,"~","~~"),"*","~*"),"?","~?"),$L$3:$L$1002,1)*10000-T111)</f>
        <v/>
      </c>
      <c r="V111" s="25">
        <f>IF(AND(L111=1,J111&lt;&gt;""),IF(IFERROR(COUNTIFS(J$3:J111,"="&amp;SUBSTITUTE(SUBSTITUTE(SUBSTITUTE(J111,"~","~~"),"*","~*"),"?","~?"),L$3:L111,1),0)=1,MAX(V$2:V110)+1,""),"")</f>
        <v/>
      </c>
      <c r="W111" s="25">
        <f>IF(V111="","",COUNTIFS($J$3:$J$1002,"="&amp;SUBSTITUTE(SUBSTITUTE(SUBSTITUTE(J111,"~","~~"),"*","~*"),"?","~?"),$L$3:$L$1002,1)*10000-V111)</f>
        <v/>
      </c>
    </row>
    <row r="112">
      <c r="A112">
        <f>IF(A$2=0,"",IFERROR(TRIM(INDEX('Pegar estudiantes'!$A$1:$BZ$1001,111,A$2)&amp;""),""))</f>
        <v/>
      </c>
      <c r="B112">
        <f>IF(B$2=0,"",IFERROR(TRIM(INDEX('Pegar estudiantes'!$A$1:$BZ$1001,111,B$2)&amp;""),""))</f>
        <v/>
      </c>
      <c r="C112">
        <f>IF(C$2=0,"",IFERROR(TRIM(INDEX('Pegar estudiantes'!$A$1:$BZ$1001,111,C$2)&amp;""),""))</f>
        <v/>
      </c>
      <c r="D112">
        <f>IF(D$2=0,"",IFERROR(TRIM(INDEX('Pegar estudiantes'!$A$1:$BZ$1001,111,D$2)&amp;""),""))</f>
        <v/>
      </c>
      <c r="E112">
        <f>IF(E$2=0,"",IFERROR(TRIM(INDEX('Pegar estudiantes'!$A$1:$BZ$1001,111,E$2)&amp;""),""))</f>
        <v/>
      </c>
      <c r="F112">
        <f>IF(F$2=0,"",IFERROR(TRIM(INDEX('Pegar estudiantes'!$A$1:$BZ$1001,111,F$2)&amp;""),""))</f>
        <v/>
      </c>
      <c r="G112">
        <f>IF(G$2=0,"",IFERROR(TRIM(INDEX('Pegar estudiantes'!$A$1:$BZ$1001,111,G$2)&amp;""),""))</f>
        <v/>
      </c>
      <c r="H112">
        <f>IF(H$2=0,"",IFERROR(TRIM(INDEX('Pegar estudiantes'!$A$1:$BZ$1001,111,H$2)&amp;""),""))</f>
        <v/>
      </c>
      <c r="I112">
        <f>IF(I$2=0,"",IFERROR(TRIM(INDEX('Pegar estudiantes'!$A$1:$BZ$1001,111,I$2)&amp;""),""))</f>
        <v/>
      </c>
      <c r="J112">
        <f>IF(J$2=0,"",IFERROR(TRIM(INDEX('Pegar estudiantes'!$A$1:$BZ$1001,111,J$2)&amp;""),""))</f>
        <v/>
      </c>
      <c r="K112">
        <f>IF(K$2=0,"",IFERROR(TRIM(INDEX('Pegar estudiantes'!$A$1:$BZ$1001,111,K$2)&amp;""),""))</f>
        <v/>
      </c>
      <c r="L112" s="25">
        <f>IF(A112&lt;&gt;"",1,"")</f>
        <v/>
      </c>
      <c r="M112" s="25">
        <f>IF(L112=1,IF(ISNUMBER(FIND("#"&amp;MID(A112,1,1)&amp;"#","#0#1#2#3#4#5#6#7#8#9#")),IF(ISNUMBER(FIND("#"&amp;MID(A112,2,1)&amp;"#","#0#1#2#3#4#5#6#7#8#9#")),IF(AND(VALUE(LEFT(A112,2))&gt;=1,VALUE(LEFT(A112,2))&lt;=5),VALUE(LEFT(A112,2)),""),IF(AND(VALUE(LEFT(A112,1))&gt;=1,VALUE(LEFT(A112,1))&lt;=5),VALUE(LEFT(A112,1)),"")),""),"")</f>
        <v/>
      </c>
      <c r="N112" s="25">
        <f>IF(L112=1,IF(ISNUMBER(FIND("#"&amp;MID(H112,1,1)&amp;"#","#0#1#2#3#4#5#6#7#8#9#")),IF(ISNUMBER(FIND("#"&amp;MID(H112,2,1)&amp;"#","#0#1#2#3#4#5#6#7#8#9#")),IF(AND(VALUE(LEFT(H112,2))&gt;=1,VALUE(LEFT(H112,2))&lt;=5),VALUE(LEFT(H112,2)),""),IF(AND(VALUE(LEFT(H112,1))&gt;=1,VALUE(LEFT(H112,1))&lt;=5),VALUE(LEFT(H112,1)),"")),""),"")</f>
        <v/>
      </c>
      <c r="O112" s="25">
        <f>IF(AND(L112=1,B112&lt;&gt;""),SUBSTITUTE(SUBSTITUTE(SUBSTITUTE(SUBSTITUTE(SUBSTITUTE(SUBSTITUTE(SUBSTITUTE(SUBSTITUTE(SUBSTITUTE(SUBSTITUTE(SUBSTITUTE(SUBSTITUTE(LOWER(TRIM(B112)),"á","a"),"é","e"),"í","i"),"ó","o"),"ú","u"),"ü","u"),"ñ","n"),"à","a"),"è","e"),"ì","i"),"ò","o"),"ù","u"),"")</f>
        <v/>
      </c>
      <c r="P112" s="25">
        <f>IF(AND(L112=1,C112&lt;&gt;""),SUBSTITUTE(SUBSTITUTE(SUBSTITUTE(SUBSTITUTE(SUBSTITUTE(SUBSTITUTE(SUBSTITUTE(SUBSTITUTE(SUBSTITUTE(SUBSTITUTE(SUBSTITUTE(SUBSTITUTE(LOWER(TRIM(C112)),"á","a"),"é","e"),"í","i"),"ó","o"),"ú","u"),"ü","u"),"ñ","n"),"à","a"),"è","e"),"ì","i"),"ò","o"),"ù","u"),"")</f>
        <v/>
      </c>
      <c r="Q112" s="25">
        <f>IF(AND(L112=1,E112&lt;&gt;""),SUBSTITUTE(SUBSTITUTE(SUBSTITUTE(SUBSTITUTE(SUBSTITUTE(SUBSTITUTE(SUBSTITUTE(SUBSTITUTE(SUBSTITUTE(SUBSTITUTE(SUBSTITUTE(SUBSTITUTE(LOWER(TRIM(E112)),"á","a"),"é","e"),"í","i"),"ó","o"),"ú","u"),"ü","u"),"ñ","n"),"à","a"),"è","e"),"ì","i"),"ò","o"),"ù","u"),"")</f>
        <v/>
      </c>
      <c r="R112" s="25">
        <f>IF(AND(L112=1,I112&lt;&gt;""),SUBSTITUTE(SUBSTITUTE(SUBSTITUTE(SUBSTITUTE(SUBSTITUTE(SUBSTITUTE(SUBSTITUTE(SUBSTITUTE(SUBSTITUTE(SUBSTITUTE(SUBSTITUTE(SUBSTITUTE(LOWER(TRIM(I112)),"á","a"),"é","e"),"í","i"),"ó","o"),"ú","u"),"ü","u"),"ñ","n"),"à","a"),"è","e"),"ì","i"),"ò","o"),"ù","u"),"")</f>
        <v/>
      </c>
      <c r="S112" s="25">
        <f>IF(R112="","",IF(OR(R112="si",R112="tal vez"),1,0))</f>
        <v/>
      </c>
      <c r="T112" s="25">
        <f>IF(AND(L112=1,D112&lt;&gt;""),IF(IFERROR(COUNTIFS(D$3:D112,"="&amp;SUBSTITUTE(SUBSTITUTE(SUBSTITUTE(D112,"~","~~"),"*","~*"),"?","~?"),L$3:L112,1),0)=1,MAX(T$2:T111)+1,""),"")</f>
        <v/>
      </c>
      <c r="U112" s="25">
        <f>IF(T112="","",COUNTIFS($D$3:$D$1002,"="&amp;SUBSTITUTE(SUBSTITUTE(SUBSTITUTE(D112,"~","~~"),"*","~*"),"?","~?"),$L$3:$L$1002,1)*10000-T112)</f>
        <v/>
      </c>
      <c r="V112" s="25">
        <f>IF(AND(L112=1,J112&lt;&gt;""),IF(IFERROR(COUNTIFS(J$3:J112,"="&amp;SUBSTITUTE(SUBSTITUTE(SUBSTITUTE(J112,"~","~~"),"*","~*"),"?","~?"),L$3:L112,1),0)=1,MAX(V$2:V111)+1,""),"")</f>
        <v/>
      </c>
      <c r="W112" s="25">
        <f>IF(V112="","",COUNTIFS($J$3:$J$1002,"="&amp;SUBSTITUTE(SUBSTITUTE(SUBSTITUTE(J112,"~","~~"),"*","~*"),"?","~?"),$L$3:$L$1002,1)*10000-V112)</f>
        <v/>
      </c>
    </row>
    <row r="113">
      <c r="A113">
        <f>IF(A$2=0,"",IFERROR(TRIM(INDEX('Pegar estudiantes'!$A$1:$BZ$1001,112,A$2)&amp;""),""))</f>
        <v/>
      </c>
      <c r="B113">
        <f>IF(B$2=0,"",IFERROR(TRIM(INDEX('Pegar estudiantes'!$A$1:$BZ$1001,112,B$2)&amp;""),""))</f>
        <v/>
      </c>
      <c r="C113">
        <f>IF(C$2=0,"",IFERROR(TRIM(INDEX('Pegar estudiantes'!$A$1:$BZ$1001,112,C$2)&amp;""),""))</f>
        <v/>
      </c>
      <c r="D113">
        <f>IF(D$2=0,"",IFERROR(TRIM(INDEX('Pegar estudiantes'!$A$1:$BZ$1001,112,D$2)&amp;""),""))</f>
        <v/>
      </c>
      <c r="E113">
        <f>IF(E$2=0,"",IFERROR(TRIM(INDEX('Pegar estudiantes'!$A$1:$BZ$1001,112,E$2)&amp;""),""))</f>
        <v/>
      </c>
      <c r="F113">
        <f>IF(F$2=0,"",IFERROR(TRIM(INDEX('Pegar estudiantes'!$A$1:$BZ$1001,112,F$2)&amp;""),""))</f>
        <v/>
      </c>
      <c r="G113">
        <f>IF(G$2=0,"",IFERROR(TRIM(INDEX('Pegar estudiantes'!$A$1:$BZ$1001,112,G$2)&amp;""),""))</f>
        <v/>
      </c>
      <c r="H113">
        <f>IF(H$2=0,"",IFERROR(TRIM(INDEX('Pegar estudiantes'!$A$1:$BZ$1001,112,H$2)&amp;""),""))</f>
        <v/>
      </c>
      <c r="I113">
        <f>IF(I$2=0,"",IFERROR(TRIM(INDEX('Pegar estudiantes'!$A$1:$BZ$1001,112,I$2)&amp;""),""))</f>
        <v/>
      </c>
      <c r="J113">
        <f>IF(J$2=0,"",IFERROR(TRIM(INDEX('Pegar estudiantes'!$A$1:$BZ$1001,112,J$2)&amp;""),""))</f>
        <v/>
      </c>
      <c r="K113">
        <f>IF(K$2=0,"",IFERROR(TRIM(INDEX('Pegar estudiantes'!$A$1:$BZ$1001,112,K$2)&amp;""),""))</f>
        <v/>
      </c>
      <c r="L113" s="25">
        <f>IF(A113&lt;&gt;"",1,"")</f>
        <v/>
      </c>
      <c r="M113" s="25">
        <f>IF(L113=1,IF(ISNUMBER(FIND("#"&amp;MID(A113,1,1)&amp;"#","#0#1#2#3#4#5#6#7#8#9#")),IF(ISNUMBER(FIND("#"&amp;MID(A113,2,1)&amp;"#","#0#1#2#3#4#5#6#7#8#9#")),IF(AND(VALUE(LEFT(A113,2))&gt;=1,VALUE(LEFT(A113,2))&lt;=5),VALUE(LEFT(A113,2)),""),IF(AND(VALUE(LEFT(A113,1))&gt;=1,VALUE(LEFT(A113,1))&lt;=5),VALUE(LEFT(A113,1)),"")),""),"")</f>
        <v/>
      </c>
      <c r="N113" s="25">
        <f>IF(L113=1,IF(ISNUMBER(FIND("#"&amp;MID(H113,1,1)&amp;"#","#0#1#2#3#4#5#6#7#8#9#")),IF(ISNUMBER(FIND("#"&amp;MID(H113,2,1)&amp;"#","#0#1#2#3#4#5#6#7#8#9#")),IF(AND(VALUE(LEFT(H113,2))&gt;=1,VALUE(LEFT(H113,2))&lt;=5),VALUE(LEFT(H113,2)),""),IF(AND(VALUE(LEFT(H113,1))&gt;=1,VALUE(LEFT(H113,1))&lt;=5),VALUE(LEFT(H113,1)),"")),""),"")</f>
        <v/>
      </c>
      <c r="O113" s="25">
        <f>IF(AND(L113=1,B113&lt;&gt;""),SUBSTITUTE(SUBSTITUTE(SUBSTITUTE(SUBSTITUTE(SUBSTITUTE(SUBSTITUTE(SUBSTITUTE(SUBSTITUTE(SUBSTITUTE(SUBSTITUTE(SUBSTITUTE(SUBSTITUTE(LOWER(TRIM(B113)),"á","a"),"é","e"),"í","i"),"ó","o"),"ú","u"),"ü","u"),"ñ","n"),"à","a"),"è","e"),"ì","i"),"ò","o"),"ù","u"),"")</f>
        <v/>
      </c>
      <c r="P113" s="25">
        <f>IF(AND(L113=1,C113&lt;&gt;""),SUBSTITUTE(SUBSTITUTE(SUBSTITUTE(SUBSTITUTE(SUBSTITUTE(SUBSTITUTE(SUBSTITUTE(SUBSTITUTE(SUBSTITUTE(SUBSTITUTE(SUBSTITUTE(SUBSTITUTE(LOWER(TRIM(C113)),"á","a"),"é","e"),"í","i"),"ó","o"),"ú","u"),"ü","u"),"ñ","n"),"à","a"),"è","e"),"ì","i"),"ò","o"),"ù","u"),"")</f>
        <v/>
      </c>
      <c r="Q113" s="25">
        <f>IF(AND(L113=1,E113&lt;&gt;""),SUBSTITUTE(SUBSTITUTE(SUBSTITUTE(SUBSTITUTE(SUBSTITUTE(SUBSTITUTE(SUBSTITUTE(SUBSTITUTE(SUBSTITUTE(SUBSTITUTE(SUBSTITUTE(SUBSTITUTE(LOWER(TRIM(E113)),"á","a"),"é","e"),"í","i"),"ó","o"),"ú","u"),"ü","u"),"ñ","n"),"à","a"),"è","e"),"ì","i"),"ò","o"),"ù","u"),"")</f>
        <v/>
      </c>
      <c r="R113" s="25">
        <f>IF(AND(L113=1,I113&lt;&gt;""),SUBSTITUTE(SUBSTITUTE(SUBSTITUTE(SUBSTITUTE(SUBSTITUTE(SUBSTITUTE(SUBSTITUTE(SUBSTITUTE(SUBSTITUTE(SUBSTITUTE(SUBSTITUTE(SUBSTITUTE(LOWER(TRIM(I113)),"á","a"),"é","e"),"í","i"),"ó","o"),"ú","u"),"ü","u"),"ñ","n"),"à","a"),"è","e"),"ì","i"),"ò","o"),"ù","u"),"")</f>
        <v/>
      </c>
      <c r="S113" s="25">
        <f>IF(R113="","",IF(OR(R113="si",R113="tal vez"),1,0))</f>
        <v/>
      </c>
      <c r="T113" s="25">
        <f>IF(AND(L113=1,D113&lt;&gt;""),IF(IFERROR(COUNTIFS(D$3:D113,"="&amp;SUBSTITUTE(SUBSTITUTE(SUBSTITUTE(D113,"~","~~"),"*","~*"),"?","~?"),L$3:L113,1),0)=1,MAX(T$2:T112)+1,""),"")</f>
        <v/>
      </c>
      <c r="U113" s="25">
        <f>IF(T113="","",COUNTIFS($D$3:$D$1002,"="&amp;SUBSTITUTE(SUBSTITUTE(SUBSTITUTE(D113,"~","~~"),"*","~*"),"?","~?"),$L$3:$L$1002,1)*10000-T113)</f>
        <v/>
      </c>
      <c r="V113" s="25">
        <f>IF(AND(L113=1,J113&lt;&gt;""),IF(IFERROR(COUNTIFS(J$3:J113,"="&amp;SUBSTITUTE(SUBSTITUTE(SUBSTITUTE(J113,"~","~~"),"*","~*"),"?","~?"),L$3:L113,1),0)=1,MAX(V$2:V112)+1,""),"")</f>
        <v/>
      </c>
      <c r="W113" s="25">
        <f>IF(V113="","",COUNTIFS($J$3:$J$1002,"="&amp;SUBSTITUTE(SUBSTITUTE(SUBSTITUTE(J113,"~","~~"),"*","~*"),"?","~?"),$L$3:$L$1002,1)*10000-V113)</f>
        <v/>
      </c>
    </row>
    <row r="114">
      <c r="A114">
        <f>IF(A$2=0,"",IFERROR(TRIM(INDEX('Pegar estudiantes'!$A$1:$BZ$1001,113,A$2)&amp;""),""))</f>
        <v/>
      </c>
      <c r="B114">
        <f>IF(B$2=0,"",IFERROR(TRIM(INDEX('Pegar estudiantes'!$A$1:$BZ$1001,113,B$2)&amp;""),""))</f>
        <v/>
      </c>
      <c r="C114">
        <f>IF(C$2=0,"",IFERROR(TRIM(INDEX('Pegar estudiantes'!$A$1:$BZ$1001,113,C$2)&amp;""),""))</f>
        <v/>
      </c>
      <c r="D114">
        <f>IF(D$2=0,"",IFERROR(TRIM(INDEX('Pegar estudiantes'!$A$1:$BZ$1001,113,D$2)&amp;""),""))</f>
        <v/>
      </c>
      <c r="E114">
        <f>IF(E$2=0,"",IFERROR(TRIM(INDEX('Pegar estudiantes'!$A$1:$BZ$1001,113,E$2)&amp;""),""))</f>
        <v/>
      </c>
      <c r="F114">
        <f>IF(F$2=0,"",IFERROR(TRIM(INDEX('Pegar estudiantes'!$A$1:$BZ$1001,113,F$2)&amp;""),""))</f>
        <v/>
      </c>
      <c r="G114">
        <f>IF(G$2=0,"",IFERROR(TRIM(INDEX('Pegar estudiantes'!$A$1:$BZ$1001,113,G$2)&amp;""),""))</f>
        <v/>
      </c>
      <c r="H114">
        <f>IF(H$2=0,"",IFERROR(TRIM(INDEX('Pegar estudiantes'!$A$1:$BZ$1001,113,H$2)&amp;""),""))</f>
        <v/>
      </c>
      <c r="I114">
        <f>IF(I$2=0,"",IFERROR(TRIM(INDEX('Pegar estudiantes'!$A$1:$BZ$1001,113,I$2)&amp;""),""))</f>
        <v/>
      </c>
      <c r="J114">
        <f>IF(J$2=0,"",IFERROR(TRIM(INDEX('Pegar estudiantes'!$A$1:$BZ$1001,113,J$2)&amp;""),""))</f>
        <v/>
      </c>
      <c r="K114">
        <f>IF(K$2=0,"",IFERROR(TRIM(INDEX('Pegar estudiantes'!$A$1:$BZ$1001,113,K$2)&amp;""),""))</f>
        <v/>
      </c>
      <c r="L114" s="25">
        <f>IF(A114&lt;&gt;"",1,"")</f>
        <v/>
      </c>
      <c r="M114" s="25">
        <f>IF(L114=1,IF(ISNUMBER(FIND("#"&amp;MID(A114,1,1)&amp;"#","#0#1#2#3#4#5#6#7#8#9#")),IF(ISNUMBER(FIND("#"&amp;MID(A114,2,1)&amp;"#","#0#1#2#3#4#5#6#7#8#9#")),IF(AND(VALUE(LEFT(A114,2))&gt;=1,VALUE(LEFT(A114,2))&lt;=5),VALUE(LEFT(A114,2)),""),IF(AND(VALUE(LEFT(A114,1))&gt;=1,VALUE(LEFT(A114,1))&lt;=5),VALUE(LEFT(A114,1)),"")),""),"")</f>
        <v/>
      </c>
      <c r="N114" s="25">
        <f>IF(L114=1,IF(ISNUMBER(FIND("#"&amp;MID(H114,1,1)&amp;"#","#0#1#2#3#4#5#6#7#8#9#")),IF(ISNUMBER(FIND("#"&amp;MID(H114,2,1)&amp;"#","#0#1#2#3#4#5#6#7#8#9#")),IF(AND(VALUE(LEFT(H114,2))&gt;=1,VALUE(LEFT(H114,2))&lt;=5),VALUE(LEFT(H114,2)),""),IF(AND(VALUE(LEFT(H114,1))&gt;=1,VALUE(LEFT(H114,1))&lt;=5),VALUE(LEFT(H114,1)),"")),""),"")</f>
        <v/>
      </c>
      <c r="O114" s="25">
        <f>IF(AND(L114=1,B114&lt;&gt;""),SUBSTITUTE(SUBSTITUTE(SUBSTITUTE(SUBSTITUTE(SUBSTITUTE(SUBSTITUTE(SUBSTITUTE(SUBSTITUTE(SUBSTITUTE(SUBSTITUTE(SUBSTITUTE(SUBSTITUTE(LOWER(TRIM(B114)),"á","a"),"é","e"),"í","i"),"ó","o"),"ú","u"),"ü","u"),"ñ","n"),"à","a"),"è","e"),"ì","i"),"ò","o"),"ù","u"),"")</f>
        <v/>
      </c>
      <c r="P114" s="25">
        <f>IF(AND(L114=1,C114&lt;&gt;""),SUBSTITUTE(SUBSTITUTE(SUBSTITUTE(SUBSTITUTE(SUBSTITUTE(SUBSTITUTE(SUBSTITUTE(SUBSTITUTE(SUBSTITUTE(SUBSTITUTE(SUBSTITUTE(SUBSTITUTE(LOWER(TRIM(C114)),"á","a"),"é","e"),"í","i"),"ó","o"),"ú","u"),"ü","u"),"ñ","n"),"à","a"),"è","e"),"ì","i"),"ò","o"),"ù","u"),"")</f>
        <v/>
      </c>
      <c r="Q114" s="25">
        <f>IF(AND(L114=1,E114&lt;&gt;""),SUBSTITUTE(SUBSTITUTE(SUBSTITUTE(SUBSTITUTE(SUBSTITUTE(SUBSTITUTE(SUBSTITUTE(SUBSTITUTE(SUBSTITUTE(SUBSTITUTE(SUBSTITUTE(SUBSTITUTE(LOWER(TRIM(E114)),"á","a"),"é","e"),"í","i"),"ó","o"),"ú","u"),"ü","u"),"ñ","n"),"à","a"),"è","e"),"ì","i"),"ò","o"),"ù","u"),"")</f>
        <v/>
      </c>
      <c r="R114" s="25">
        <f>IF(AND(L114=1,I114&lt;&gt;""),SUBSTITUTE(SUBSTITUTE(SUBSTITUTE(SUBSTITUTE(SUBSTITUTE(SUBSTITUTE(SUBSTITUTE(SUBSTITUTE(SUBSTITUTE(SUBSTITUTE(SUBSTITUTE(SUBSTITUTE(LOWER(TRIM(I114)),"á","a"),"é","e"),"í","i"),"ó","o"),"ú","u"),"ü","u"),"ñ","n"),"à","a"),"è","e"),"ì","i"),"ò","o"),"ù","u"),"")</f>
        <v/>
      </c>
      <c r="S114" s="25">
        <f>IF(R114="","",IF(OR(R114="si",R114="tal vez"),1,0))</f>
        <v/>
      </c>
      <c r="T114" s="25">
        <f>IF(AND(L114=1,D114&lt;&gt;""),IF(IFERROR(COUNTIFS(D$3:D114,"="&amp;SUBSTITUTE(SUBSTITUTE(SUBSTITUTE(D114,"~","~~"),"*","~*"),"?","~?"),L$3:L114,1),0)=1,MAX(T$2:T113)+1,""),"")</f>
        <v/>
      </c>
      <c r="U114" s="25">
        <f>IF(T114="","",COUNTIFS($D$3:$D$1002,"="&amp;SUBSTITUTE(SUBSTITUTE(SUBSTITUTE(D114,"~","~~"),"*","~*"),"?","~?"),$L$3:$L$1002,1)*10000-T114)</f>
        <v/>
      </c>
      <c r="V114" s="25">
        <f>IF(AND(L114=1,J114&lt;&gt;""),IF(IFERROR(COUNTIFS(J$3:J114,"="&amp;SUBSTITUTE(SUBSTITUTE(SUBSTITUTE(J114,"~","~~"),"*","~*"),"?","~?"),L$3:L114,1),0)=1,MAX(V$2:V113)+1,""),"")</f>
        <v/>
      </c>
      <c r="W114" s="25">
        <f>IF(V114="","",COUNTIFS($J$3:$J$1002,"="&amp;SUBSTITUTE(SUBSTITUTE(SUBSTITUTE(J114,"~","~~"),"*","~*"),"?","~?"),$L$3:$L$1002,1)*10000-V114)</f>
        <v/>
      </c>
    </row>
    <row r="115">
      <c r="A115">
        <f>IF(A$2=0,"",IFERROR(TRIM(INDEX('Pegar estudiantes'!$A$1:$BZ$1001,114,A$2)&amp;""),""))</f>
        <v/>
      </c>
      <c r="B115">
        <f>IF(B$2=0,"",IFERROR(TRIM(INDEX('Pegar estudiantes'!$A$1:$BZ$1001,114,B$2)&amp;""),""))</f>
        <v/>
      </c>
      <c r="C115">
        <f>IF(C$2=0,"",IFERROR(TRIM(INDEX('Pegar estudiantes'!$A$1:$BZ$1001,114,C$2)&amp;""),""))</f>
        <v/>
      </c>
      <c r="D115">
        <f>IF(D$2=0,"",IFERROR(TRIM(INDEX('Pegar estudiantes'!$A$1:$BZ$1001,114,D$2)&amp;""),""))</f>
        <v/>
      </c>
      <c r="E115">
        <f>IF(E$2=0,"",IFERROR(TRIM(INDEX('Pegar estudiantes'!$A$1:$BZ$1001,114,E$2)&amp;""),""))</f>
        <v/>
      </c>
      <c r="F115">
        <f>IF(F$2=0,"",IFERROR(TRIM(INDEX('Pegar estudiantes'!$A$1:$BZ$1001,114,F$2)&amp;""),""))</f>
        <v/>
      </c>
      <c r="G115">
        <f>IF(G$2=0,"",IFERROR(TRIM(INDEX('Pegar estudiantes'!$A$1:$BZ$1001,114,G$2)&amp;""),""))</f>
        <v/>
      </c>
      <c r="H115">
        <f>IF(H$2=0,"",IFERROR(TRIM(INDEX('Pegar estudiantes'!$A$1:$BZ$1001,114,H$2)&amp;""),""))</f>
        <v/>
      </c>
      <c r="I115">
        <f>IF(I$2=0,"",IFERROR(TRIM(INDEX('Pegar estudiantes'!$A$1:$BZ$1001,114,I$2)&amp;""),""))</f>
        <v/>
      </c>
      <c r="J115">
        <f>IF(J$2=0,"",IFERROR(TRIM(INDEX('Pegar estudiantes'!$A$1:$BZ$1001,114,J$2)&amp;""),""))</f>
        <v/>
      </c>
      <c r="K115">
        <f>IF(K$2=0,"",IFERROR(TRIM(INDEX('Pegar estudiantes'!$A$1:$BZ$1001,114,K$2)&amp;""),""))</f>
        <v/>
      </c>
      <c r="L115" s="25">
        <f>IF(A115&lt;&gt;"",1,"")</f>
        <v/>
      </c>
      <c r="M115" s="25">
        <f>IF(L115=1,IF(ISNUMBER(FIND("#"&amp;MID(A115,1,1)&amp;"#","#0#1#2#3#4#5#6#7#8#9#")),IF(ISNUMBER(FIND("#"&amp;MID(A115,2,1)&amp;"#","#0#1#2#3#4#5#6#7#8#9#")),IF(AND(VALUE(LEFT(A115,2))&gt;=1,VALUE(LEFT(A115,2))&lt;=5),VALUE(LEFT(A115,2)),""),IF(AND(VALUE(LEFT(A115,1))&gt;=1,VALUE(LEFT(A115,1))&lt;=5),VALUE(LEFT(A115,1)),"")),""),"")</f>
        <v/>
      </c>
      <c r="N115" s="25">
        <f>IF(L115=1,IF(ISNUMBER(FIND("#"&amp;MID(H115,1,1)&amp;"#","#0#1#2#3#4#5#6#7#8#9#")),IF(ISNUMBER(FIND("#"&amp;MID(H115,2,1)&amp;"#","#0#1#2#3#4#5#6#7#8#9#")),IF(AND(VALUE(LEFT(H115,2))&gt;=1,VALUE(LEFT(H115,2))&lt;=5),VALUE(LEFT(H115,2)),""),IF(AND(VALUE(LEFT(H115,1))&gt;=1,VALUE(LEFT(H115,1))&lt;=5),VALUE(LEFT(H115,1)),"")),""),"")</f>
        <v/>
      </c>
      <c r="O115" s="25">
        <f>IF(AND(L115=1,B115&lt;&gt;""),SUBSTITUTE(SUBSTITUTE(SUBSTITUTE(SUBSTITUTE(SUBSTITUTE(SUBSTITUTE(SUBSTITUTE(SUBSTITUTE(SUBSTITUTE(SUBSTITUTE(SUBSTITUTE(SUBSTITUTE(LOWER(TRIM(B115)),"á","a"),"é","e"),"í","i"),"ó","o"),"ú","u"),"ü","u"),"ñ","n"),"à","a"),"è","e"),"ì","i"),"ò","o"),"ù","u"),"")</f>
        <v/>
      </c>
      <c r="P115" s="25">
        <f>IF(AND(L115=1,C115&lt;&gt;""),SUBSTITUTE(SUBSTITUTE(SUBSTITUTE(SUBSTITUTE(SUBSTITUTE(SUBSTITUTE(SUBSTITUTE(SUBSTITUTE(SUBSTITUTE(SUBSTITUTE(SUBSTITUTE(SUBSTITUTE(LOWER(TRIM(C115)),"á","a"),"é","e"),"í","i"),"ó","o"),"ú","u"),"ü","u"),"ñ","n"),"à","a"),"è","e"),"ì","i"),"ò","o"),"ù","u"),"")</f>
        <v/>
      </c>
      <c r="Q115" s="25">
        <f>IF(AND(L115=1,E115&lt;&gt;""),SUBSTITUTE(SUBSTITUTE(SUBSTITUTE(SUBSTITUTE(SUBSTITUTE(SUBSTITUTE(SUBSTITUTE(SUBSTITUTE(SUBSTITUTE(SUBSTITUTE(SUBSTITUTE(SUBSTITUTE(LOWER(TRIM(E115)),"á","a"),"é","e"),"í","i"),"ó","o"),"ú","u"),"ü","u"),"ñ","n"),"à","a"),"è","e"),"ì","i"),"ò","o"),"ù","u"),"")</f>
        <v/>
      </c>
      <c r="R115" s="25">
        <f>IF(AND(L115=1,I115&lt;&gt;""),SUBSTITUTE(SUBSTITUTE(SUBSTITUTE(SUBSTITUTE(SUBSTITUTE(SUBSTITUTE(SUBSTITUTE(SUBSTITUTE(SUBSTITUTE(SUBSTITUTE(SUBSTITUTE(SUBSTITUTE(LOWER(TRIM(I115)),"á","a"),"é","e"),"í","i"),"ó","o"),"ú","u"),"ü","u"),"ñ","n"),"à","a"),"è","e"),"ì","i"),"ò","o"),"ù","u"),"")</f>
        <v/>
      </c>
      <c r="S115" s="25">
        <f>IF(R115="","",IF(OR(R115="si",R115="tal vez"),1,0))</f>
        <v/>
      </c>
      <c r="T115" s="25">
        <f>IF(AND(L115=1,D115&lt;&gt;""),IF(IFERROR(COUNTIFS(D$3:D115,"="&amp;SUBSTITUTE(SUBSTITUTE(SUBSTITUTE(D115,"~","~~"),"*","~*"),"?","~?"),L$3:L115,1),0)=1,MAX(T$2:T114)+1,""),"")</f>
        <v/>
      </c>
      <c r="U115" s="25">
        <f>IF(T115="","",COUNTIFS($D$3:$D$1002,"="&amp;SUBSTITUTE(SUBSTITUTE(SUBSTITUTE(D115,"~","~~"),"*","~*"),"?","~?"),$L$3:$L$1002,1)*10000-T115)</f>
        <v/>
      </c>
      <c r="V115" s="25">
        <f>IF(AND(L115=1,J115&lt;&gt;""),IF(IFERROR(COUNTIFS(J$3:J115,"="&amp;SUBSTITUTE(SUBSTITUTE(SUBSTITUTE(J115,"~","~~"),"*","~*"),"?","~?"),L$3:L115,1),0)=1,MAX(V$2:V114)+1,""),"")</f>
        <v/>
      </c>
      <c r="W115" s="25">
        <f>IF(V115="","",COUNTIFS($J$3:$J$1002,"="&amp;SUBSTITUTE(SUBSTITUTE(SUBSTITUTE(J115,"~","~~"),"*","~*"),"?","~?"),$L$3:$L$1002,1)*10000-V115)</f>
        <v/>
      </c>
    </row>
    <row r="116">
      <c r="A116">
        <f>IF(A$2=0,"",IFERROR(TRIM(INDEX('Pegar estudiantes'!$A$1:$BZ$1001,115,A$2)&amp;""),""))</f>
        <v/>
      </c>
      <c r="B116">
        <f>IF(B$2=0,"",IFERROR(TRIM(INDEX('Pegar estudiantes'!$A$1:$BZ$1001,115,B$2)&amp;""),""))</f>
        <v/>
      </c>
      <c r="C116">
        <f>IF(C$2=0,"",IFERROR(TRIM(INDEX('Pegar estudiantes'!$A$1:$BZ$1001,115,C$2)&amp;""),""))</f>
        <v/>
      </c>
      <c r="D116">
        <f>IF(D$2=0,"",IFERROR(TRIM(INDEX('Pegar estudiantes'!$A$1:$BZ$1001,115,D$2)&amp;""),""))</f>
        <v/>
      </c>
      <c r="E116">
        <f>IF(E$2=0,"",IFERROR(TRIM(INDEX('Pegar estudiantes'!$A$1:$BZ$1001,115,E$2)&amp;""),""))</f>
        <v/>
      </c>
      <c r="F116">
        <f>IF(F$2=0,"",IFERROR(TRIM(INDEX('Pegar estudiantes'!$A$1:$BZ$1001,115,F$2)&amp;""),""))</f>
        <v/>
      </c>
      <c r="G116">
        <f>IF(G$2=0,"",IFERROR(TRIM(INDEX('Pegar estudiantes'!$A$1:$BZ$1001,115,G$2)&amp;""),""))</f>
        <v/>
      </c>
      <c r="H116">
        <f>IF(H$2=0,"",IFERROR(TRIM(INDEX('Pegar estudiantes'!$A$1:$BZ$1001,115,H$2)&amp;""),""))</f>
        <v/>
      </c>
      <c r="I116">
        <f>IF(I$2=0,"",IFERROR(TRIM(INDEX('Pegar estudiantes'!$A$1:$BZ$1001,115,I$2)&amp;""),""))</f>
        <v/>
      </c>
      <c r="J116">
        <f>IF(J$2=0,"",IFERROR(TRIM(INDEX('Pegar estudiantes'!$A$1:$BZ$1001,115,J$2)&amp;""),""))</f>
        <v/>
      </c>
      <c r="K116">
        <f>IF(K$2=0,"",IFERROR(TRIM(INDEX('Pegar estudiantes'!$A$1:$BZ$1001,115,K$2)&amp;""),""))</f>
        <v/>
      </c>
      <c r="L116" s="25">
        <f>IF(A116&lt;&gt;"",1,"")</f>
        <v/>
      </c>
      <c r="M116" s="25">
        <f>IF(L116=1,IF(ISNUMBER(FIND("#"&amp;MID(A116,1,1)&amp;"#","#0#1#2#3#4#5#6#7#8#9#")),IF(ISNUMBER(FIND("#"&amp;MID(A116,2,1)&amp;"#","#0#1#2#3#4#5#6#7#8#9#")),IF(AND(VALUE(LEFT(A116,2))&gt;=1,VALUE(LEFT(A116,2))&lt;=5),VALUE(LEFT(A116,2)),""),IF(AND(VALUE(LEFT(A116,1))&gt;=1,VALUE(LEFT(A116,1))&lt;=5),VALUE(LEFT(A116,1)),"")),""),"")</f>
        <v/>
      </c>
      <c r="N116" s="25">
        <f>IF(L116=1,IF(ISNUMBER(FIND("#"&amp;MID(H116,1,1)&amp;"#","#0#1#2#3#4#5#6#7#8#9#")),IF(ISNUMBER(FIND("#"&amp;MID(H116,2,1)&amp;"#","#0#1#2#3#4#5#6#7#8#9#")),IF(AND(VALUE(LEFT(H116,2))&gt;=1,VALUE(LEFT(H116,2))&lt;=5),VALUE(LEFT(H116,2)),""),IF(AND(VALUE(LEFT(H116,1))&gt;=1,VALUE(LEFT(H116,1))&lt;=5),VALUE(LEFT(H116,1)),"")),""),"")</f>
        <v/>
      </c>
      <c r="O116" s="25">
        <f>IF(AND(L116=1,B116&lt;&gt;""),SUBSTITUTE(SUBSTITUTE(SUBSTITUTE(SUBSTITUTE(SUBSTITUTE(SUBSTITUTE(SUBSTITUTE(SUBSTITUTE(SUBSTITUTE(SUBSTITUTE(SUBSTITUTE(SUBSTITUTE(LOWER(TRIM(B116)),"á","a"),"é","e"),"í","i"),"ó","o"),"ú","u"),"ü","u"),"ñ","n"),"à","a"),"è","e"),"ì","i"),"ò","o"),"ù","u"),"")</f>
        <v/>
      </c>
      <c r="P116" s="25">
        <f>IF(AND(L116=1,C116&lt;&gt;""),SUBSTITUTE(SUBSTITUTE(SUBSTITUTE(SUBSTITUTE(SUBSTITUTE(SUBSTITUTE(SUBSTITUTE(SUBSTITUTE(SUBSTITUTE(SUBSTITUTE(SUBSTITUTE(SUBSTITUTE(LOWER(TRIM(C116)),"á","a"),"é","e"),"í","i"),"ó","o"),"ú","u"),"ü","u"),"ñ","n"),"à","a"),"è","e"),"ì","i"),"ò","o"),"ù","u"),"")</f>
        <v/>
      </c>
      <c r="Q116" s="25">
        <f>IF(AND(L116=1,E116&lt;&gt;""),SUBSTITUTE(SUBSTITUTE(SUBSTITUTE(SUBSTITUTE(SUBSTITUTE(SUBSTITUTE(SUBSTITUTE(SUBSTITUTE(SUBSTITUTE(SUBSTITUTE(SUBSTITUTE(SUBSTITUTE(LOWER(TRIM(E116)),"á","a"),"é","e"),"í","i"),"ó","o"),"ú","u"),"ü","u"),"ñ","n"),"à","a"),"è","e"),"ì","i"),"ò","o"),"ù","u"),"")</f>
        <v/>
      </c>
      <c r="R116" s="25">
        <f>IF(AND(L116=1,I116&lt;&gt;""),SUBSTITUTE(SUBSTITUTE(SUBSTITUTE(SUBSTITUTE(SUBSTITUTE(SUBSTITUTE(SUBSTITUTE(SUBSTITUTE(SUBSTITUTE(SUBSTITUTE(SUBSTITUTE(SUBSTITUTE(LOWER(TRIM(I116)),"á","a"),"é","e"),"í","i"),"ó","o"),"ú","u"),"ü","u"),"ñ","n"),"à","a"),"è","e"),"ì","i"),"ò","o"),"ù","u"),"")</f>
        <v/>
      </c>
      <c r="S116" s="25">
        <f>IF(R116="","",IF(OR(R116="si",R116="tal vez"),1,0))</f>
        <v/>
      </c>
      <c r="T116" s="25">
        <f>IF(AND(L116=1,D116&lt;&gt;""),IF(IFERROR(COUNTIFS(D$3:D116,"="&amp;SUBSTITUTE(SUBSTITUTE(SUBSTITUTE(D116,"~","~~"),"*","~*"),"?","~?"),L$3:L116,1),0)=1,MAX(T$2:T115)+1,""),"")</f>
        <v/>
      </c>
      <c r="U116" s="25">
        <f>IF(T116="","",COUNTIFS($D$3:$D$1002,"="&amp;SUBSTITUTE(SUBSTITUTE(SUBSTITUTE(D116,"~","~~"),"*","~*"),"?","~?"),$L$3:$L$1002,1)*10000-T116)</f>
        <v/>
      </c>
      <c r="V116" s="25">
        <f>IF(AND(L116=1,J116&lt;&gt;""),IF(IFERROR(COUNTIFS(J$3:J116,"="&amp;SUBSTITUTE(SUBSTITUTE(SUBSTITUTE(J116,"~","~~"),"*","~*"),"?","~?"),L$3:L116,1),0)=1,MAX(V$2:V115)+1,""),"")</f>
        <v/>
      </c>
      <c r="W116" s="25">
        <f>IF(V116="","",COUNTIFS($J$3:$J$1002,"="&amp;SUBSTITUTE(SUBSTITUTE(SUBSTITUTE(J116,"~","~~"),"*","~*"),"?","~?"),$L$3:$L$1002,1)*10000-V116)</f>
        <v/>
      </c>
    </row>
    <row r="117">
      <c r="A117">
        <f>IF(A$2=0,"",IFERROR(TRIM(INDEX('Pegar estudiantes'!$A$1:$BZ$1001,116,A$2)&amp;""),""))</f>
        <v/>
      </c>
      <c r="B117">
        <f>IF(B$2=0,"",IFERROR(TRIM(INDEX('Pegar estudiantes'!$A$1:$BZ$1001,116,B$2)&amp;""),""))</f>
        <v/>
      </c>
      <c r="C117">
        <f>IF(C$2=0,"",IFERROR(TRIM(INDEX('Pegar estudiantes'!$A$1:$BZ$1001,116,C$2)&amp;""),""))</f>
        <v/>
      </c>
      <c r="D117">
        <f>IF(D$2=0,"",IFERROR(TRIM(INDEX('Pegar estudiantes'!$A$1:$BZ$1001,116,D$2)&amp;""),""))</f>
        <v/>
      </c>
      <c r="E117">
        <f>IF(E$2=0,"",IFERROR(TRIM(INDEX('Pegar estudiantes'!$A$1:$BZ$1001,116,E$2)&amp;""),""))</f>
        <v/>
      </c>
      <c r="F117">
        <f>IF(F$2=0,"",IFERROR(TRIM(INDEX('Pegar estudiantes'!$A$1:$BZ$1001,116,F$2)&amp;""),""))</f>
        <v/>
      </c>
      <c r="G117">
        <f>IF(G$2=0,"",IFERROR(TRIM(INDEX('Pegar estudiantes'!$A$1:$BZ$1001,116,G$2)&amp;""),""))</f>
        <v/>
      </c>
      <c r="H117">
        <f>IF(H$2=0,"",IFERROR(TRIM(INDEX('Pegar estudiantes'!$A$1:$BZ$1001,116,H$2)&amp;""),""))</f>
        <v/>
      </c>
      <c r="I117">
        <f>IF(I$2=0,"",IFERROR(TRIM(INDEX('Pegar estudiantes'!$A$1:$BZ$1001,116,I$2)&amp;""),""))</f>
        <v/>
      </c>
      <c r="J117">
        <f>IF(J$2=0,"",IFERROR(TRIM(INDEX('Pegar estudiantes'!$A$1:$BZ$1001,116,J$2)&amp;""),""))</f>
        <v/>
      </c>
      <c r="K117">
        <f>IF(K$2=0,"",IFERROR(TRIM(INDEX('Pegar estudiantes'!$A$1:$BZ$1001,116,K$2)&amp;""),""))</f>
        <v/>
      </c>
      <c r="L117" s="25">
        <f>IF(A117&lt;&gt;"",1,"")</f>
        <v/>
      </c>
      <c r="M117" s="25">
        <f>IF(L117=1,IF(ISNUMBER(FIND("#"&amp;MID(A117,1,1)&amp;"#","#0#1#2#3#4#5#6#7#8#9#")),IF(ISNUMBER(FIND("#"&amp;MID(A117,2,1)&amp;"#","#0#1#2#3#4#5#6#7#8#9#")),IF(AND(VALUE(LEFT(A117,2))&gt;=1,VALUE(LEFT(A117,2))&lt;=5),VALUE(LEFT(A117,2)),""),IF(AND(VALUE(LEFT(A117,1))&gt;=1,VALUE(LEFT(A117,1))&lt;=5),VALUE(LEFT(A117,1)),"")),""),"")</f>
        <v/>
      </c>
      <c r="N117" s="25">
        <f>IF(L117=1,IF(ISNUMBER(FIND("#"&amp;MID(H117,1,1)&amp;"#","#0#1#2#3#4#5#6#7#8#9#")),IF(ISNUMBER(FIND("#"&amp;MID(H117,2,1)&amp;"#","#0#1#2#3#4#5#6#7#8#9#")),IF(AND(VALUE(LEFT(H117,2))&gt;=1,VALUE(LEFT(H117,2))&lt;=5),VALUE(LEFT(H117,2)),""),IF(AND(VALUE(LEFT(H117,1))&gt;=1,VALUE(LEFT(H117,1))&lt;=5),VALUE(LEFT(H117,1)),"")),""),"")</f>
        <v/>
      </c>
      <c r="O117" s="25">
        <f>IF(AND(L117=1,B117&lt;&gt;""),SUBSTITUTE(SUBSTITUTE(SUBSTITUTE(SUBSTITUTE(SUBSTITUTE(SUBSTITUTE(SUBSTITUTE(SUBSTITUTE(SUBSTITUTE(SUBSTITUTE(SUBSTITUTE(SUBSTITUTE(LOWER(TRIM(B117)),"á","a"),"é","e"),"í","i"),"ó","o"),"ú","u"),"ü","u"),"ñ","n"),"à","a"),"è","e"),"ì","i"),"ò","o"),"ù","u"),"")</f>
        <v/>
      </c>
      <c r="P117" s="25">
        <f>IF(AND(L117=1,C117&lt;&gt;""),SUBSTITUTE(SUBSTITUTE(SUBSTITUTE(SUBSTITUTE(SUBSTITUTE(SUBSTITUTE(SUBSTITUTE(SUBSTITUTE(SUBSTITUTE(SUBSTITUTE(SUBSTITUTE(SUBSTITUTE(LOWER(TRIM(C117)),"á","a"),"é","e"),"í","i"),"ó","o"),"ú","u"),"ü","u"),"ñ","n"),"à","a"),"è","e"),"ì","i"),"ò","o"),"ù","u"),"")</f>
        <v/>
      </c>
      <c r="Q117" s="25">
        <f>IF(AND(L117=1,E117&lt;&gt;""),SUBSTITUTE(SUBSTITUTE(SUBSTITUTE(SUBSTITUTE(SUBSTITUTE(SUBSTITUTE(SUBSTITUTE(SUBSTITUTE(SUBSTITUTE(SUBSTITUTE(SUBSTITUTE(SUBSTITUTE(LOWER(TRIM(E117)),"á","a"),"é","e"),"í","i"),"ó","o"),"ú","u"),"ü","u"),"ñ","n"),"à","a"),"è","e"),"ì","i"),"ò","o"),"ù","u"),"")</f>
        <v/>
      </c>
      <c r="R117" s="25">
        <f>IF(AND(L117=1,I117&lt;&gt;""),SUBSTITUTE(SUBSTITUTE(SUBSTITUTE(SUBSTITUTE(SUBSTITUTE(SUBSTITUTE(SUBSTITUTE(SUBSTITUTE(SUBSTITUTE(SUBSTITUTE(SUBSTITUTE(SUBSTITUTE(LOWER(TRIM(I117)),"á","a"),"é","e"),"í","i"),"ó","o"),"ú","u"),"ü","u"),"ñ","n"),"à","a"),"è","e"),"ì","i"),"ò","o"),"ù","u"),"")</f>
        <v/>
      </c>
      <c r="S117" s="25">
        <f>IF(R117="","",IF(OR(R117="si",R117="tal vez"),1,0))</f>
        <v/>
      </c>
      <c r="T117" s="25">
        <f>IF(AND(L117=1,D117&lt;&gt;""),IF(IFERROR(COUNTIFS(D$3:D117,"="&amp;SUBSTITUTE(SUBSTITUTE(SUBSTITUTE(D117,"~","~~"),"*","~*"),"?","~?"),L$3:L117,1),0)=1,MAX(T$2:T116)+1,""),"")</f>
        <v/>
      </c>
      <c r="U117" s="25">
        <f>IF(T117="","",COUNTIFS($D$3:$D$1002,"="&amp;SUBSTITUTE(SUBSTITUTE(SUBSTITUTE(D117,"~","~~"),"*","~*"),"?","~?"),$L$3:$L$1002,1)*10000-T117)</f>
        <v/>
      </c>
      <c r="V117" s="25">
        <f>IF(AND(L117=1,J117&lt;&gt;""),IF(IFERROR(COUNTIFS(J$3:J117,"="&amp;SUBSTITUTE(SUBSTITUTE(SUBSTITUTE(J117,"~","~~"),"*","~*"),"?","~?"),L$3:L117,1),0)=1,MAX(V$2:V116)+1,""),"")</f>
        <v/>
      </c>
      <c r="W117" s="25">
        <f>IF(V117="","",COUNTIFS($J$3:$J$1002,"="&amp;SUBSTITUTE(SUBSTITUTE(SUBSTITUTE(J117,"~","~~"),"*","~*"),"?","~?"),$L$3:$L$1002,1)*10000-V117)</f>
        <v/>
      </c>
    </row>
    <row r="118">
      <c r="A118">
        <f>IF(A$2=0,"",IFERROR(TRIM(INDEX('Pegar estudiantes'!$A$1:$BZ$1001,117,A$2)&amp;""),""))</f>
        <v/>
      </c>
      <c r="B118">
        <f>IF(B$2=0,"",IFERROR(TRIM(INDEX('Pegar estudiantes'!$A$1:$BZ$1001,117,B$2)&amp;""),""))</f>
        <v/>
      </c>
      <c r="C118">
        <f>IF(C$2=0,"",IFERROR(TRIM(INDEX('Pegar estudiantes'!$A$1:$BZ$1001,117,C$2)&amp;""),""))</f>
        <v/>
      </c>
      <c r="D118">
        <f>IF(D$2=0,"",IFERROR(TRIM(INDEX('Pegar estudiantes'!$A$1:$BZ$1001,117,D$2)&amp;""),""))</f>
        <v/>
      </c>
      <c r="E118">
        <f>IF(E$2=0,"",IFERROR(TRIM(INDEX('Pegar estudiantes'!$A$1:$BZ$1001,117,E$2)&amp;""),""))</f>
        <v/>
      </c>
      <c r="F118">
        <f>IF(F$2=0,"",IFERROR(TRIM(INDEX('Pegar estudiantes'!$A$1:$BZ$1001,117,F$2)&amp;""),""))</f>
        <v/>
      </c>
      <c r="G118">
        <f>IF(G$2=0,"",IFERROR(TRIM(INDEX('Pegar estudiantes'!$A$1:$BZ$1001,117,G$2)&amp;""),""))</f>
        <v/>
      </c>
      <c r="H118">
        <f>IF(H$2=0,"",IFERROR(TRIM(INDEX('Pegar estudiantes'!$A$1:$BZ$1001,117,H$2)&amp;""),""))</f>
        <v/>
      </c>
      <c r="I118">
        <f>IF(I$2=0,"",IFERROR(TRIM(INDEX('Pegar estudiantes'!$A$1:$BZ$1001,117,I$2)&amp;""),""))</f>
        <v/>
      </c>
      <c r="J118">
        <f>IF(J$2=0,"",IFERROR(TRIM(INDEX('Pegar estudiantes'!$A$1:$BZ$1001,117,J$2)&amp;""),""))</f>
        <v/>
      </c>
      <c r="K118">
        <f>IF(K$2=0,"",IFERROR(TRIM(INDEX('Pegar estudiantes'!$A$1:$BZ$1001,117,K$2)&amp;""),""))</f>
        <v/>
      </c>
      <c r="L118" s="25">
        <f>IF(A118&lt;&gt;"",1,"")</f>
        <v/>
      </c>
      <c r="M118" s="25">
        <f>IF(L118=1,IF(ISNUMBER(FIND("#"&amp;MID(A118,1,1)&amp;"#","#0#1#2#3#4#5#6#7#8#9#")),IF(ISNUMBER(FIND("#"&amp;MID(A118,2,1)&amp;"#","#0#1#2#3#4#5#6#7#8#9#")),IF(AND(VALUE(LEFT(A118,2))&gt;=1,VALUE(LEFT(A118,2))&lt;=5),VALUE(LEFT(A118,2)),""),IF(AND(VALUE(LEFT(A118,1))&gt;=1,VALUE(LEFT(A118,1))&lt;=5),VALUE(LEFT(A118,1)),"")),""),"")</f>
        <v/>
      </c>
      <c r="N118" s="25">
        <f>IF(L118=1,IF(ISNUMBER(FIND("#"&amp;MID(H118,1,1)&amp;"#","#0#1#2#3#4#5#6#7#8#9#")),IF(ISNUMBER(FIND("#"&amp;MID(H118,2,1)&amp;"#","#0#1#2#3#4#5#6#7#8#9#")),IF(AND(VALUE(LEFT(H118,2))&gt;=1,VALUE(LEFT(H118,2))&lt;=5),VALUE(LEFT(H118,2)),""),IF(AND(VALUE(LEFT(H118,1))&gt;=1,VALUE(LEFT(H118,1))&lt;=5),VALUE(LEFT(H118,1)),"")),""),"")</f>
        <v/>
      </c>
      <c r="O118" s="25">
        <f>IF(AND(L118=1,B118&lt;&gt;""),SUBSTITUTE(SUBSTITUTE(SUBSTITUTE(SUBSTITUTE(SUBSTITUTE(SUBSTITUTE(SUBSTITUTE(SUBSTITUTE(SUBSTITUTE(SUBSTITUTE(SUBSTITUTE(SUBSTITUTE(LOWER(TRIM(B118)),"á","a"),"é","e"),"í","i"),"ó","o"),"ú","u"),"ü","u"),"ñ","n"),"à","a"),"è","e"),"ì","i"),"ò","o"),"ù","u"),"")</f>
        <v/>
      </c>
      <c r="P118" s="25">
        <f>IF(AND(L118=1,C118&lt;&gt;""),SUBSTITUTE(SUBSTITUTE(SUBSTITUTE(SUBSTITUTE(SUBSTITUTE(SUBSTITUTE(SUBSTITUTE(SUBSTITUTE(SUBSTITUTE(SUBSTITUTE(SUBSTITUTE(SUBSTITUTE(LOWER(TRIM(C118)),"á","a"),"é","e"),"í","i"),"ó","o"),"ú","u"),"ü","u"),"ñ","n"),"à","a"),"è","e"),"ì","i"),"ò","o"),"ù","u"),"")</f>
        <v/>
      </c>
      <c r="Q118" s="25">
        <f>IF(AND(L118=1,E118&lt;&gt;""),SUBSTITUTE(SUBSTITUTE(SUBSTITUTE(SUBSTITUTE(SUBSTITUTE(SUBSTITUTE(SUBSTITUTE(SUBSTITUTE(SUBSTITUTE(SUBSTITUTE(SUBSTITUTE(SUBSTITUTE(LOWER(TRIM(E118)),"á","a"),"é","e"),"í","i"),"ó","o"),"ú","u"),"ü","u"),"ñ","n"),"à","a"),"è","e"),"ì","i"),"ò","o"),"ù","u"),"")</f>
        <v/>
      </c>
      <c r="R118" s="25">
        <f>IF(AND(L118=1,I118&lt;&gt;""),SUBSTITUTE(SUBSTITUTE(SUBSTITUTE(SUBSTITUTE(SUBSTITUTE(SUBSTITUTE(SUBSTITUTE(SUBSTITUTE(SUBSTITUTE(SUBSTITUTE(SUBSTITUTE(SUBSTITUTE(LOWER(TRIM(I118)),"á","a"),"é","e"),"í","i"),"ó","o"),"ú","u"),"ü","u"),"ñ","n"),"à","a"),"è","e"),"ì","i"),"ò","o"),"ù","u"),"")</f>
        <v/>
      </c>
      <c r="S118" s="25">
        <f>IF(R118="","",IF(OR(R118="si",R118="tal vez"),1,0))</f>
        <v/>
      </c>
      <c r="T118" s="25">
        <f>IF(AND(L118=1,D118&lt;&gt;""),IF(IFERROR(COUNTIFS(D$3:D118,"="&amp;SUBSTITUTE(SUBSTITUTE(SUBSTITUTE(D118,"~","~~"),"*","~*"),"?","~?"),L$3:L118,1),0)=1,MAX(T$2:T117)+1,""),"")</f>
        <v/>
      </c>
      <c r="U118" s="25">
        <f>IF(T118="","",COUNTIFS($D$3:$D$1002,"="&amp;SUBSTITUTE(SUBSTITUTE(SUBSTITUTE(D118,"~","~~"),"*","~*"),"?","~?"),$L$3:$L$1002,1)*10000-T118)</f>
        <v/>
      </c>
      <c r="V118" s="25">
        <f>IF(AND(L118=1,J118&lt;&gt;""),IF(IFERROR(COUNTIFS(J$3:J118,"="&amp;SUBSTITUTE(SUBSTITUTE(SUBSTITUTE(J118,"~","~~"),"*","~*"),"?","~?"),L$3:L118,1),0)=1,MAX(V$2:V117)+1,""),"")</f>
        <v/>
      </c>
      <c r="W118" s="25">
        <f>IF(V118="","",COUNTIFS($J$3:$J$1002,"="&amp;SUBSTITUTE(SUBSTITUTE(SUBSTITUTE(J118,"~","~~"),"*","~*"),"?","~?"),$L$3:$L$1002,1)*10000-V118)</f>
        <v/>
      </c>
    </row>
    <row r="119">
      <c r="A119">
        <f>IF(A$2=0,"",IFERROR(TRIM(INDEX('Pegar estudiantes'!$A$1:$BZ$1001,118,A$2)&amp;""),""))</f>
        <v/>
      </c>
      <c r="B119">
        <f>IF(B$2=0,"",IFERROR(TRIM(INDEX('Pegar estudiantes'!$A$1:$BZ$1001,118,B$2)&amp;""),""))</f>
        <v/>
      </c>
      <c r="C119">
        <f>IF(C$2=0,"",IFERROR(TRIM(INDEX('Pegar estudiantes'!$A$1:$BZ$1001,118,C$2)&amp;""),""))</f>
        <v/>
      </c>
      <c r="D119">
        <f>IF(D$2=0,"",IFERROR(TRIM(INDEX('Pegar estudiantes'!$A$1:$BZ$1001,118,D$2)&amp;""),""))</f>
        <v/>
      </c>
      <c r="E119">
        <f>IF(E$2=0,"",IFERROR(TRIM(INDEX('Pegar estudiantes'!$A$1:$BZ$1001,118,E$2)&amp;""),""))</f>
        <v/>
      </c>
      <c r="F119">
        <f>IF(F$2=0,"",IFERROR(TRIM(INDEX('Pegar estudiantes'!$A$1:$BZ$1001,118,F$2)&amp;""),""))</f>
        <v/>
      </c>
      <c r="G119">
        <f>IF(G$2=0,"",IFERROR(TRIM(INDEX('Pegar estudiantes'!$A$1:$BZ$1001,118,G$2)&amp;""),""))</f>
        <v/>
      </c>
      <c r="H119">
        <f>IF(H$2=0,"",IFERROR(TRIM(INDEX('Pegar estudiantes'!$A$1:$BZ$1001,118,H$2)&amp;""),""))</f>
        <v/>
      </c>
      <c r="I119">
        <f>IF(I$2=0,"",IFERROR(TRIM(INDEX('Pegar estudiantes'!$A$1:$BZ$1001,118,I$2)&amp;""),""))</f>
        <v/>
      </c>
      <c r="J119">
        <f>IF(J$2=0,"",IFERROR(TRIM(INDEX('Pegar estudiantes'!$A$1:$BZ$1001,118,J$2)&amp;""),""))</f>
        <v/>
      </c>
      <c r="K119">
        <f>IF(K$2=0,"",IFERROR(TRIM(INDEX('Pegar estudiantes'!$A$1:$BZ$1001,118,K$2)&amp;""),""))</f>
        <v/>
      </c>
      <c r="L119" s="25">
        <f>IF(A119&lt;&gt;"",1,"")</f>
        <v/>
      </c>
      <c r="M119" s="25">
        <f>IF(L119=1,IF(ISNUMBER(FIND("#"&amp;MID(A119,1,1)&amp;"#","#0#1#2#3#4#5#6#7#8#9#")),IF(ISNUMBER(FIND("#"&amp;MID(A119,2,1)&amp;"#","#0#1#2#3#4#5#6#7#8#9#")),IF(AND(VALUE(LEFT(A119,2))&gt;=1,VALUE(LEFT(A119,2))&lt;=5),VALUE(LEFT(A119,2)),""),IF(AND(VALUE(LEFT(A119,1))&gt;=1,VALUE(LEFT(A119,1))&lt;=5),VALUE(LEFT(A119,1)),"")),""),"")</f>
        <v/>
      </c>
      <c r="N119" s="25">
        <f>IF(L119=1,IF(ISNUMBER(FIND("#"&amp;MID(H119,1,1)&amp;"#","#0#1#2#3#4#5#6#7#8#9#")),IF(ISNUMBER(FIND("#"&amp;MID(H119,2,1)&amp;"#","#0#1#2#3#4#5#6#7#8#9#")),IF(AND(VALUE(LEFT(H119,2))&gt;=1,VALUE(LEFT(H119,2))&lt;=5),VALUE(LEFT(H119,2)),""),IF(AND(VALUE(LEFT(H119,1))&gt;=1,VALUE(LEFT(H119,1))&lt;=5),VALUE(LEFT(H119,1)),"")),""),"")</f>
        <v/>
      </c>
      <c r="O119" s="25">
        <f>IF(AND(L119=1,B119&lt;&gt;""),SUBSTITUTE(SUBSTITUTE(SUBSTITUTE(SUBSTITUTE(SUBSTITUTE(SUBSTITUTE(SUBSTITUTE(SUBSTITUTE(SUBSTITUTE(SUBSTITUTE(SUBSTITUTE(SUBSTITUTE(LOWER(TRIM(B119)),"á","a"),"é","e"),"í","i"),"ó","o"),"ú","u"),"ü","u"),"ñ","n"),"à","a"),"è","e"),"ì","i"),"ò","o"),"ù","u"),"")</f>
        <v/>
      </c>
      <c r="P119" s="25">
        <f>IF(AND(L119=1,C119&lt;&gt;""),SUBSTITUTE(SUBSTITUTE(SUBSTITUTE(SUBSTITUTE(SUBSTITUTE(SUBSTITUTE(SUBSTITUTE(SUBSTITUTE(SUBSTITUTE(SUBSTITUTE(SUBSTITUTE(SUBSTITUTE(LOWER(TRIM(C119)),"á","a"),"é","e"),"í","i"),"ó","o"),"ú","u"),"ü","u"),"ñ","n"),"à","a"),"è","e"),"ì","i"),"ò","o"),"ù","u"),"")</f>
        <v/>
      </c>
      <c r="Q119" s="25">
        <f>IF(AND(L119=1,E119&lt;&gt;""),SUBSTITUTE(SUBSTITUTE(SUBSTITUTE(SUBSTITUTE(SUBSTITUTE(SUBSTITUTE(SUBSTITUTE(SUBSTITUTE(SUBSTITUTE(SUBSTITUTE(SUBSTITUTE(SUBSTITUTE(LOWER(TRIM(E119)),"á","a"),"é","e"),"í","i"),"ó","o"),"ú","u"),"ü","u"),"ñ","n"),"à","a"),"è","e"),"ì","i"),"ò","o"),"ù","u"),"")</f>
        <v/>
      </c>
      <c r="R119" s="25">
        <f>IF(AND(L119=1,I119&lt;&gt;""),SUBSTITUTE(SUBSTITUTE(SUBSTITUTE(SUBSTITUTE(SUBSTITUTE(SUBSTITUTE(SUBSTITUTE(SUBSTITUTE(SUBSTITUTE(SUBSTITUTE(SUBSTITUTE(SUBSTITUTE(LOWER(TRIM(I119)),"á","a"),"é","e"),"í","i"),"ó","o"),"ú","u"),"ü","u"),"ñ","n"),"à","a"),"è","e"),"ì","i"),"ò","o"),"ù","u"),"")</f>
        <v/>
      </c>
      <c r="S119" s="25">
        <f>IF(R119="","",IF(OR(R119="si",R119="tal vez"),1,0))</f>
        <v/>
      </c>
      <c r="T119" s="25">
        <f>IF(AND(L119=1,D119&lt;&gt;""),IF(IFERROR(COUNTIFS(D$3:D119,"="&amp;SUBSTITUTE(SUBSTITUTE(SUBSTITUTE(D119,"~","~~"),"*","~*"),"?","~?"),L$3:L119,1),0)=1,MAX(T$2:T118)+1,""),"")</f>
        <v/>
      </c>
      <c r="U119" s="25">
        <f>IF(T119="","",COUNTIFS($D$3:$D$1002,"="&amp;SUBSTITUTE(SUBSTITUTE(SUBSTITUTE(D119,"~","~~"),"*","~*"),"?","~?"),$L$3:$L$1002,1)*10000-T119)</f>
        <v/>
      </c>
      <c r="V119" s="25">
        <f>IF(AND(L119=1,J119&lt;&gt;""),IF(IFERROR(COUNTIFS(J$3:J119,"="&amp;SUBSTITUTE(SUBSTITUTE(SUBSTITUTE(J119,"~","~~"),"*","~*"),"?","~?"),L$3:L119,1),0)=1,MAX(V$2:V118)+1,""),"")</f>
        <v/>
      </c>
      <c r="W119" s="25">
        <f>IF(V119="","",COUNTIFS($J$3:$J$1002,"="&amp;SUBSTITUTE(SUBSTITUTE(SUBSTITUTE(J119,"~","~~"),"*","~*"),"?","~?"),$L$3:$L$1002,1)*10000-V119)</f>
        <v/>
      </c>
    </row>
    <row r="120">
      <c r="A120">
        <f>IF(A$2=0,"",IFERROR(TRIM(INDEX('Pegar estudiantes'!$A$1:$BZ$1001,119,A$2)&amp;""),""))</f>
        <v/>
      </c>
      <c r="B120">
        <f>IF(B$2=0,"",IFERROR(TRIM(INDEX('Pegar estudiantes'!$A$1:$BZ$1001,119,B$2)&amp;""),""))</f>
        <v/>
      </c>
      <c r="C120">
        <f>IF(C$2=0,"",IFERROR(TRIM(INDEX('Pegar estudiantes'!$A$1:$BZ$1001,119,C$2)&amp;""),""))</f>
        <v/>
      </c>
      <c r="D120">
        <f>IF(D$2=0,"",IFERROR(TRIM(INDEX('Pegar estudiantes'!$A$1:$BZ$1001,119,D$2)&amp;""),""))</f>
        <v/>
      </c>
      <c r="E120">
        <f>IF(E$2=0,"",IFERROR(TRIM(INDEX('Pegar estudiantes'!$A$1:$BZ$1001,119,E$2)&amp;""),""))</f>
        <v/>
      </c>
      <c r="F120">
        <f>IF(F$2=0,"",IFERROR(TRIM(INDEX('Pegar estudiantes'!$A$1:$BZ$1001,119,F$2)&amp;""),""))</f>
        <v/>
      </c>
      <c r="G120">
        <f>IF(G$2=0,"",IFERROR(TRIM(INDEX('Pegar estudiantes'!$A$1:$BZ$1001,119,G$2)&amp;""),""))</f>
        <v/>
      </c>
      <c r="H120">
        <f>IF(H$2=0,"",IFERROR(TRIM(INDEX('Pegar estudiantes'!$A$1:$BZ$1001,119,H$2)&amp;""),""))</f>
        <v/>
      </c>
      <c r="I120">
        <f>IF(I$2=0,"",IFERROR(TRIM(INDEX('Pegar estudiantes'!$A$1:$BZ$1001,119,I$2)&amp;""),""))</f>
        <v/>
      </c>
      <c r="J120">
        <f>IF(J$2=0,"",IFERROR(TRIM(INDEX('Pegar estudiantes'!$A$1:$BZ$1001,119,J$2)&amp;""),""))</f>
        <v/>
      </c>
      <c r="K120">
        <f>IF(K$2=0,"",IFERROR(TRIM(INDEX('Pegar estudiantes'!$A$1:$BZ$1001,119,K$2)&amp;""),""))</f>
        <v/>
      </c>
      <c r="L120" s="25">
        <f>IF(A120&lt;&gt;"",1,"")</f>
        <v/>
      </c>
      <c r="M120" s="25">
        <f>IF(L120=1,IF(ISNUMBER(FIND("#"&amp;MID(A120,1,1)&amp;"#","#0#1#2#3#4#5#6#7#8#9#")),IF(ISNUMBER(FIND("#"&amp;MID(A120,2,1)&amp;"#","#0#1#2#3#4#5#6#7#8#9#")),IF(AND(VALUE(LEFT(A120,2))&gt;=1,VALUE(LEFT(A120,2))&lt;=5),VALUE(LEFT(A120,2)),""),IF(AND(VALUE(LEFT(A120,1))&gt;=1,VALUE(LEFT(A120,1))&lt;=5),VALUE(LEFT(A120,1)),"")),""),"")</f>
        <v/>
      </c>
      <c r="N120" s="25">
        <f>IF(L120=1,IF(ISNUMBER(FIND("#"&amp;MID(H120,1,1)&amp;"#","#0#1#2#3#4#5#6#7#8#9#")),IF(ISNUMBER(FIND("#"&amp;MID(H120,2,1)&amp;"#","#0#1#2#3#4#5#6#7#8#9#")),IF(AND(VALUE(LEFT(H120,2))&gt;=1,VALUE(LEFT(H120,2))&lt;=5),VALUE(LEFT(H120,2)),""),IF(AND(VALUE(LEFT(H120,1))&gt;=1,VALUE(LEFT(H120,1))&lt;=5),VALUE(LEFT(H120,1)),"")),""),"")</f>
        <v/>
      </c>
      <c r="O120" s="25">
        <f>IF(AND(L120=1,B120&lt;&gt;""),SUBSTITUTE(SUBSTITUTE(SUBSTITUTE(SUBSTITUTE(SUBSTITUTE(SUBSTITUTE(SUBSTITUTE(SUBSTITUTE(SUBSTITUTE(SUBSTITUTE(SUBSTITUTE(SUBSTITUTE(LOWER(TRIM(B120)),"á","a"),"é","e"),"í","i"),"ó","o"),"ú","u"),"ü","u"),"ñ","n"),"à","a"),"è","e"),"ì","i"),"ò","o"),"ù","u"),"")</f>
        <v/>
      </c>
      <c r="P120" s="25">
        <f>IF(AND(L120=1,C120&lt;&gt;""),SUBSTITUTE(SUBSTITUTE(SUBSTITUTE(SUBSTITUTE(SUBSTITUTE(SUBSTITUTE(SUBSTITUTE(SUBSTITUTE(SUBSTITUTE(SUBSTITUTE(SUBSTITUTE(SUBSTITUTE(LOWER(TRIM(C120)),"á","a"),"é","e"),"í","i"),"ó","o"),"ú","u"),"ü","u"),"ñ","n"),"à","a"),"è","e"),"ì","i"),"ò","o"),"ù","u"),"")</f>
        <v/>
      </c>
      <c r="Q120" s="25">
        <f>IF(AND(L120=1,E120&lt;&gt;""),SUBSTITUTE(SUBSTITUTE(SUBSTITUTE(SUBSTITUTE(SUBSTITUTE(SUBSTITUTE(SUBSTITUTE(SUBSTITUTE(SUBSTITUTE(SUBSTITUTE(SUBSTITUTE(SUBSTITUTE(LOWER(TRIM(E120)),"á","a"),"é","e"),"í","i"),"ó","o"),"ú","u"),"ü","u"),"ñ","n"),"à","a"),"è","e"),"ì","i"),"ò","o"),"ù","u"),"")</f>
        <v/>
      </c>
      <c r="R120" s="25">
        <f>IF(AND(L120=1,I120&lt;&gt;""),SUBSTITUTE(SUBSTITUTE(SUBSTITUTE(SUBSTITUTE(SUBSTITUTE(SUBSTITUTE(SUBSTITUTE(SUBSTITUTE(SUBSTITUTE(SUBSTITUTE(SUBSTITUTE(SUBSTITUTE(LOWER(TRIM(I120)),"á","a"),"é","e"),"í","i"),"ó","o"),"ú","u"),"ü","u"),"ñ","n"),"à","a"),"è","e"),"ì","i"),"ò","o"),"ù","u"),"")</f>
        <v/>
      </c>
      <c r="S120" s="25">
        <f>IF(R120="","",IF(OR(R120="si",R120="tal vez"),1,0))</f>
        <v/>
      </c>
      <c r="T120" s="25">
        <f>IF(AND(L120=1,D120&lt;&gt;""),IF(IFERROR(COUNTIFS(D$3:D120,"="&amp;SUBSTITUTE(SUBSTITUTE(SUBSTITUTE(D120,"~","~~"),"*","~*"),"?","~?"),L$3:L120,1),0)=1,MAX(T$2:T119)+1,""),"")</f>
        <v/>
      </c>
      <c r="U120" s="25">
        <f>IF(T120="","",COUNTIFS($D$3:$D$1002,"="&amp;SUBSTITUTE(SUBSTITUTE(SUBSTITUTE(D120,"~","~~"),"*","~*"),"?","~?"),$L$3:$L$1002,1)*10000-T120)</f>
        <v/>
      </c>
      <c r="V120" s="25">
        <f>IF(AND(L120=1,J120&lt;&gt;""),IF(IFERROR(COUNTIFS(J$3:J120,"="&amp;SUBSTITUTE(SUBSTITUTE(SUBSTITUTE(J120,"~","~~"),"*","~*"),"?","~?"),L$3:L120,1),0)=1,MAX(V$2:V119)+1,""),"")</f>
        <v/>
      </c>
      <c r="W120" s="25">
        <f>IF(V120="","",COUNTIFS($J$3:$J$1002,"="&amp;SUBSTITUTE(SUBSTITUTE(SUBSTITUTE(J120,"~","~~"),"*","~*"),"?","~?"),$L$3:$L$1002,1)*10000-V120)</f>
        <v/>
      </c>
    </row>
    <row r="121">
      <c r="A121">
        <f>IF(A$2=0,"",IFERROR(TRIM(INDEX('Pegar estudiantes'!$A$1:$BZ$1001,120,A$2)&amp;""),""))</f>
        <v/>
      </c>
      <c r="B121">
        <f>IF(B$2=0,"",IFERROR(TRIM(INDEX('Pegar estudiantes'!$A$1:$BZ$1001,120,B$2)&amp;""),""))</f>
        <v/>
      </c>
      <c r="C121">
        <f>IF(C$2=0,"",IFERROR(TRIM(INDEX('Pegar estudiantes'!$A$1:$BZ$1001,120,C$2)&amp;""),""))</f>
        <v/>
      </c>
      <c r="D121">
        <f>IF(D$2=0,"",IFERROR(TRIM(INDEX('Pegar estudiantes'!$A$1:$BZ$1001,120,D$2)&amp;""),""))</f>
        <v/>
      </c>
      <c r="E121">
        <f>IF(E$2=0,"",IFERROR(TRIM(INDEX('Pegar estudiantes'!$A$1:$BZ$1001,120,E$2)&amp;""),""))</f>
        <v/>
      </c>
      <c r="F121">
        <f>IF(F$2=0,"",IFERROR(TRIM(INDEX('Pegar estudiantes'!$A$1:$BZ$1001,120,F$2)&amp;""),""))</f>
        <v/>
      </c>
      <c r="G121">
        <f>IF(G$2=0,"",IFERROR(TRIM(INDEX('Pegar estudiantes'!$A$1:$BZ$1001,120,G$2)&amp;""),""))</f>
        <v/>
      </c>
      <c r="H121">
        <f>IF(H$2=0,"",IFERROR(TRIM(INDEX('Pegar estudiantes'!$A$1:$BZ$1001,120,H$2)&amp;""),""))</f>
        <v/>
      </c>
      <c r="I121">
        <f>IF(I$2=0,"",IFERROR(TRIM(INDEX('Pegar estudiantes'!$A$1:$BZ$1001,120,I$2)&amp;""),""))</f>
        <v/>
      </c>
      <c r="J121">
        <f>IF(J$2=0,"",IFERROR(TRIM(INDEX('Pegar estudiantes'!$A$1:$BZ$1001,120,J$2)&amp;""),""))</f>
        <v/>
      </c>
      <c r="K121">
        <f>IF(K$2=0,"",IFERROR(TRIM(INDEX('Pegar estudiantes'!$A$1:$BZ$1001,120,K$2)&amp;""),""))</f>
        <v/>
      </c>
      <c r="L121" s="25">
        <f>IF(A121&lt;&gt;"",1,"")</f>
        <v/>
      </c>
      <c r="M121" s="25">
        <f>IF(L121=1,IF(ISNUMBER(FIND("#"&amp;MID(A121,1,1)&amp;"#","#0#1#2#3#4#5#6#7#8#9#")),IF(ISNUMBER(FIND("#"&amp;MID(A121,2,1)&amp;"#","#0#1#2#3#4#5#6#7#8#9#")),IF(AND(VALUE(LEFT(A121,2))&gt;=1,VALUE(LEFT(A121,2))&lt;=5),VALUE(LEFT(A121,2)),""),IF(AND(VALUE(LEFT(A121,1))&gt;=1,VALUE(LEFT(A121,1))&lt;=5),VALUE(LEFT(A121,1)),"")),""),"")</f>
        <v/>
      </c>
      <c r="N121" s="25">
        <f>IF(L121=1,IF(ISNUMBER(FIND("#"&amp;MID(H121,1,1)&amp;"#","#0#1#2#3#4#5#6#7#8#9#")),IF(ISNUMBER(FIND("#"&amp;MID(H121,2,1)&amp;"#","#0#1#2#3#4#5#6#7#8#9#")),IF(AND(VALUE(LEFT(H121,2))&gt;=1,VALUE(LEFT(H121,2))&lt;=5),VALUE(LEFT(H121,2)),""),IF(AND(VALUE(LEFT(H121,1))&gt;=1,VALUE(LEFT(H121,1))&lt;=5),VALUE(LEFT(H121,1)),"")),""),"")</f>
        <v/>
      </c>
      <c r="O121" s="25">
        <f>IF(AND(L121=1,B121&lt;&gt;""),SUBSTITUTE(SUBSTITUTE(SUBSTITUTE(SUBSTITUTE(SUBSTITUTE(SUBSTITUTE(SUBSTITUTE(SUBSTITUTE(SUBSTITUTE(SUBSTITUTE(SUBSTITUTE(SUBSTITUTE(LOWER(TRIM(B121)),"á","a"),"é","e"),"í","i"),"ó","o"),"ú","u"),"ü","u"),"ñ","n"),"à","a"),"è","e"),"ì","i"),"ò","o"),"ù","u"),"")</f>
        <v/>
      </c>
      <c r="P121" s="25">
        <f>IF(AND(L121=1,C121&lt;&gt;""),SUBSTITUTE(SUBSTITUTE(SUBSTITUTE(SUBSTITUTE(SUBSTITUTE(SUBSTITUTE(SUBSTITUTE(SUBSTITUTE(SUBSTITUTE(SUBSTITUTE(SUBSTITUTE(SUBSTITUTE(LOWER(TRIM(C121)),"á","a"),"é","e"),"í","i"),"ó","o"),"ú","u"),"ü","u"),"ñ","n"),"à","a"),"è","e"),"ì","i"),"ò","o"),"ù","u"),"")</f>
        <v/>
      </c>
      <c r="Q121" s="25">
        <f>IF(AND(L121=1,E121&lt;&gt;""),SUBSTITUTE(SUBSTITUTE(SUBSTITUTE(SUBSTITUTE(SUBSTITUTE(SUBSTITUTE(SUBSTITUTE(SUBSTITUTE(SUBSTITUTE(SUBSTITUTE(SUBSTITUTE(SUBSTITUTE(LOWER(TRIM(E121)),"á","a"),"é","e"),"í","i"),"ó","o"),"ú","u"),"ü","u"),"ñ","n"),"à","a"),"è","e"),"ì","i"),"ò","o"),"ù","u"),"")</f>
        <v/>
      </c>
      <c r="R121" s="25">
        <f>IF(AND(L121=1,I121&lt;&gt;""),SUBSTITUTE(SUBSTITUTE(SUBSTITUTE(SUBSTITUTE(SUBSTITUTE(SUBSTITUTE(SUBSTITUTE(SUBSTITUTE(SUBSTITUTE(SUBSTITUTE(SUBSTITUTE(SUBSTITUTE(LOWER(TRIM(I121)),"á","a"),"é","e"),"í","i"),"ó","o"),"ú","u"),"ü","u"),"ñ","n"),"à","a"),"è","e"),"ì","i"),"ò","o"),"ù","u"),"")</f>
        <v/>
      </c>
      <c r="S121" s="25">
        <f>IF(R121="","",IF(OR(R121="si",R121="tal vez"),1,0))</f>
        <v/>
      </c>
      <c r="T121" s="25">
        <f>IF(AND(L121=1,D121&lt;&gt;""),IF(IFERROR(COUNTIFS(D$3:D121,"="&amp;SUBSTITUTE(SUBSTITUTE(SUBSTITUTE(D121,"~","~~"),"*","~*"),"?","~?"),L$3:L121,1),0)=1,MAX(T$2:T120)+1,""),"")</f>
        <v/>
      </c>
      <c r="U121" s="25">
        <f>IF(T121="","",COUNTIFS($D$3:$D$1002,"="&amp;SUBSTITUTE(SUBSTITUTE(SUBSTITUTE(D121,"~","~~"),"*","~*"),"?","~?"),$L$3:$L$1002,1)*10000-T121)</f>
        <v/>
      </c>
      <c r="V121" s="25">
        <f>IF(AND(L121=1,J121&lt;&gt;""),IF(IFERROR(COUNTIFS(J$3:J121,"="&amp;SUBSTITUTE(SUBSTITUTE(SUBSTITUTE(J121,"~","~~"),"*","~*"),"?","~?"),L$3:L121,1),0)=1,MAX(V$2:V120)+1,""),"")</f>
        <v/>
      </c>
      <c r="W121" s="25">
        <f>IF(V121="","",COUNTIFS($J$3:$J$1002,"="&amp;SUBSTITUTE(SUBSTITUTE(SUBSTITUTE(J121,"~","~~"),"*","~*"),"?","~?"),$L$3:$L$1002,1)*10000-V121)</f>
        <v/>
      </c>
    </row>
    <row r="122">
      <c r="A122">
        <f>IF(A$2=0,"",IFERROR(TRIM(INDEX('Pegar estudiantes'!$A$1:$BZ$1001,121,A$2)&amp;""),""))</f>
        <v/>
      </c>
      <c r="B122">
        <f>IF(B$2=0,"",IFERROR(TRIM(INDEX('Pegar estudiantes'!$A$1:$BZ$1001,121,B$2)&amp;""),""))</f>
        <v/>
      </c>
      <c r="C122">
        <f>IF(C$2=0,"",IFERROR(TRIM(INDEX('Pegar estudiantes'!$A$1:$BZ$1001,121,C$2)&amp;""),""))</f>
        <v/>
      </c>
      <c r="D122">
        <f>IF(D$2=0,"",IFERROR(TRIM(INDEX('Pegar estudiantes'!$A$1:$BZ$1001,121,D$2)&amp;""),""))</f>
        <v/>
      </c>
      <c r="E122">
        <f>IF(E$2=0,"",IFERROR(TRIM(INDEX('Pegar estudiantes'!$A$1:$BZ$1001,121,E$2)&amp;""),""))</f>
        <v/>
      </c>
      <c r="F122">
        <f>IF(F$2=0,"",IFERROR(TRIM(INDEX('Pegar estudiantes'!$A$1:$BZ$1001,121,F$2)&amp;""),""))</f>
        <v/>
      </c>
      <c r="G122">
        <f>IF(G$2=0,"",IFERROR(TRIM(INDEX('Pegar estudiantes'!$A$1:$BZ$1001,121,G$2)&amp;""),""))</f>
        <v/>
      </c>
      <c r="H122">
        <f>IF(H$2=0,"",IFERROR(TRIM(INDEX('Pegar estudiantes'!$A$1:$BZ$1001,121,H$2)&amp;""),""))</f>
        <v/>
      </c>
      <c r="I122">
        <f>IF(I$2=0,"",IFERROR(TRIM(INDEX('Pegar estudiantes'!$A$1:$BZ$1001,121,I$2)&amp;""),""))</f>
        <v/>
      </c>
      <c r="J122">
        <f>IF(J$2=0,"",IFERROR(TRIM(INDEX('Pegar estudiantes'!$A$1:$BZ$1001,121,J$2)&amp;""),""))</f>
        <v/>
      </c>
      <c r="K122">
        <f>IF(K$2=0,"",IFERROR(TRIM(INDEX('Pegar estudiantes'!$A$1:$BZ$1001,121,K$2)&amp;""),""))</f>
        <v/>
      </c>
      <c r="L122" s="25">
        <f>IF(A122&lt;&gt;"",1,"")</f>
        <v/>
      </c>
      <c r="M122" s="25">
        <f>IF(L122=1,IF(ISNUMBER(FIND("#"&amp;MID(A122,1,1)&amp;"#","#0#1#2#3#4#5#6#7#8#9#")),IF(ISNUMBER(FIND("#"&amp;MID(A122,2,1)&amp;"#","#0#1#2#3#4#5#6#7#8#9#")),IF(AND(VALUE(LEFT(A122,2))&gt;=1,VALUE(LEFT(A122,2))&lt;=5),VALUE(LEFT(A122,2)),""),IF(AND(VALUE(LEFT(A122,1))&gt;=1,VALUE(LEFT(A122,1))&lt;=5),VALUE(LEFT(A122,1)),"")),""),"")</f>
        <v/>
      </c>
      <c r="N122" s="25">
        <f>IF(L122=1,IF(ISNUMBER(FIND("#"&amp;MID(H122,1,1)&amp;"#","#0#1#2#3#4#5#6#7#8#9#")),IF(ISNUMBER(FIND("#"&amp;MID(H122,2,1)&amp;"#","#0#1#2#3#4#5#6#7#8#9#")),IF(AND(VALUE(LEFT(H122,2))&gt;=1,VALUE(LEFT(H122,2))&lt;=5),VALUE(LEFT(H122,2)),""),IF(AND(VALUE(LEFT(H122,1))&gt;=1,VALUE(LEFT(H122,1))&lt;=5),VALUE(LEFT(H122,1)),"")),""),"")</f>
        <v/>
      </c>
      <c r="O122" s="25">
        <f>IF(AND(L122=1,B122&lt;&gt;""),SUBSTITUTE(SUBSTITUTE(SUBSTITUTE(SUBSTITUTE(SUBSTITUTE(SUBSTITUTE(SUBSTITUTE(SUBSTITUTE(SUBSTITUTE(SUBSTITUTE(SUBSTITUTE(SUBSTITUTE(LOWER(TRIM(B122)),"á","a"),"é","e"),"í","i"),"ó","o"),"ú","u"),"ü","u"),"ñ","n"),"à","a"),"è","e"),"ì","i"),"ò","o"),"ù","u"),"")</f>
        <v/>
      </c>
      <c r="P122" s="25">
        <f>IF(AND(L122=1,C122&lt;&gt;""),SUBSTITUTE(SUBSTITUTE(SUBSTITUTE(SUBSTITUTE(SUBSTITUTE(SUBSTITUTE(SUBSTITUTE(SUBSTITUTE(SUBSTITUTE(SUBSTITUTE(SUBSTITUTE(SUBSTITUTE(LOWER(TRIM(C122)),"á","a"),"é","e"),"í","i"),"ó","o"),"ú","u"),"ü","u"),"ñ","n"),"à","a"),"è","e"),"ì","i"),"ò","o"),"ù","u"),"")</f>
        <v/>
      </c>
      <c r="Q122" s="25">
        <f>IF(AND(L122=1,E122&lt;&gt;""),SUBSTITUTE(SUBSTITUTE(SUBSTITUTE(SUBSTITUTE(SUBSTITUTE(SUBSTITUTE(SUBSTITUTE(SUBSTITUTE(SUBSTITUTE(SUBSTITUTE(SUBSTITUTE(SUBSTITUTE(LOWER(TRIM(E122)),"á","a"),"é","e"),"í","i"),"ó","o"),"ú","u"),"ü","u"),"ñ","n"),"à","a"),"è","e"),"ì","i"),"ò","o"),"ù","u"),"")</f>
        <v/>
      </c>
      <c r="R122" s="25">
        <f>IF(AND(L122=1,I122&lt;&gt;""),SUBSTITUTE(SUBSTITUTE(SUBSTITUTE(SUBSTITUTE(SUBSTITUTE(SUBSTITUTE(SUBSTITUTE(SUBSTITUTE(SUBSTITUTE(SUBSTITUTE(SUBSTITUTE(SUBSTITUTE(LOWER(TRIM(I122)),"á","a"),"é","e"),"í","i"),"ó","o"),"ú","u"),"ü","u"),"ñ","n"),"à","a"),"è","e"),"ì","i"),"ò","o"),"ù","u"),"")</f>
        <v/>
      </c>
      <c r="S122" s="25">
        <f>IF(R122="","",IF(OR(R122="si",R122="tal vez"),1,0))</f>
        <v/>
      </c>
      <c r="T122" s="25">
        <f>IF(AND(L122=1,D122&lt;&gt;""),IF(IFERROR(COUNTIFS(D$3:D122,"="&amp;SUBSTITUTE(SUBSTITUTE(SUBSTITUTE(D122,"~","~~"),"*","~*"),"?","~?"),L$3:L122,1),0)=1,MAX(T$2:T121)+1,""),"")</f>
        <v/>
      </c>
      <c r="U122" s="25">
        <f>IF(T122="","",COUNTIFS($D$3:$D$1002,"="&amp;SUBSTITUTE(SUBSTITUTE(SUBSTITUTE(D122,"~","~~"),"*","~*"),"?","~?"),$L$3:$L$1002,1)*10000-T122)</f>
        <v/>
      </c>
      <c r="V122" s="25">
        <f>IF(AND(L122=1,J122&lt;&gt;""),IF(IFERROR(COUNTIFS(J$3:J122,"="&amp;SUBSTITUTE(SUBSTITUTE(SUBSTITUTE(J122,"~","~~"),"*","~*"),"?","~?"),L$3:L122,1),0)=1,MAX(V$2:V121)+1,""),"")</f>
        <v/>
      </c>
      <c r="W122" s="25">
        <f>IF(V122="","",COUNTIFS($J$3:$J$1002,"="&amp;SUBSTITUTE(SUBSTITUTE(SUBSTITUTE(J122,"~","~~"),"*","~*"),"?","~?"),$L$3:$L$1002,1)*10000-V122)</f>
        <v/>
      </c>
    </row>
    <row r="123">
      <c r="A123">
        <f>IF(A$2=0,"",IFERROR(TRIM(INDEX('Pegar estudiantes'!$A$1:$BZ$1001,122,A$2)&amp;""),""))</f>
        <v/>
      </c>
      <c r="B123">
        <f>IF(B$2=0,"",IFERROR(TRIM(INDEX('Pegar estudiantes'!$A$1:$BZ$1001,122,B$2)&amp;""),""))</f>
        <v/>
      </c>
      <c r="C123">
        <f>IF(C$2=0,"",IFERROR(TRIM(INDEX('Pegar estudiantes'!$A$1:$BZ$1001,122,C$2)&amp;""),""))</f>
        <v/>
      </c>
      <c r="D123">
        <f>IF(D$2=0,"",IFERROR(TRIM(INDEX('Pegar estudiantes'!$A$1:$BZ$1001,122,D$2)&amp;""),""))</f>
        <v/>
      </c>
      <c r="E123">
        <f>IF(E$2=0,"",IFERROR(TRIM(INDEX('Pegar estudiantes'!$A$1:$BZ$1001,122,E$2)&amp;""),""))</f>
        <v/>
      </c>
      <c r="F123">
        <f>IF(F$2=0,"",IFERROR(TRIM(INDEX('Pegar estudiantes'!$A$1:$BZ$1001,122,F$2)&amp;""),""))</f>
        <v/>
      </c>
      <c r="G123">
        <f>IF(G$2=0,"",IFERROR(TRIM(INDEX('Pegar estudiantes'!$A$1:$BZ$1001,122,G$2)&amp;""),""))</f>
        <v/>
      </c>
      <c r="H123">
        <f>IF(H$2=0,"",IFERROR(TRIM(INDEX('Pegar estudiantes'!$A$1:$BZ$1001,122,H$2)&amp;""),""))</f>
        <v/>
      </c>
      <c r="I123">
        <f>IF(I$2=0,"",IFERROR(TRIM(INDEX('Pegar estudiantes'!$A$1:$BZ$1001,122,I$2)&amp;""),""))</f>
        <v/>
      </c>
      <c r="J123">
        <f>IF(J$2=0,"",IFERROR(TRIM(INDEX('Pegar estudiantes'!$A$1:$BZ$1001,122,J$2)&amp;""),""))</f>
        <v/>
      </c>
      <c r="K123">
        <f>IF(K$2=0,"",IFERROR(TRIM(INDEX('Pegar estudiantes'!$A$1:$BZ$1001,122,K$2)&amp;""),""))</f>
        <v/>
      </c>
      <c r="L123" s="25">
        <f>IF(A123&lt;&gt;"",1,"")</f>
        <v/>
      </c>
      <c r="M123" s="25">
        <f>IF(L123=1,IF(ISNUMBER(FIND("#"&amp;MID(A123,1,1)&amp;"#","#0#1#2#3#4#5#6#7#8#9#")),IF(ISNUMBER(FIND("#"&amp;MID(A123,2,1)&amp;"#","#0#1#2#3#4#5#6#7#8#9#")),IF(AND(VALUE(LEFT(A123,2))&gt;=1,VALUE(LEFT(A123,2))&lt;=5),VALUE(LEFT(A123,2)),""),IF(AND(VALUE(LEFT(A123,1))&gt;=1,VALUE(LEFT(A123,1))&lt;=5),VALUE(LEFT(A123,1)),"")),""),"")</f>
        <v/>
      </c>
      <c r="N123" s="25">
        <f>IF(L123=1,IF(ISNUMBER(FIND("#"&amp;MID(H123,1,1)&amp;"#","#0#1#2#3#4#5#6#7#8#9#")),IF(ISNUMBER(FIND("#"&amp;MID(H123,2,1)&amp;"#","#0#1#2#3#4#5#6#7#8#9#")),IF(AND(VALUE(LEFT(H123,2))&gt;=1,VALUE(LEFT(H123,2))&lt;=5),VALUE(LEFT(H123,2)),""),IF(AND(VALUE(LEFT(H123,1))&gt;=1,VALUE(LEFT(H123,1))&lt;=5),VALUE(LEFT(H123,1)),"")),""),"")</f>
        <v/>
      </c>
      <c r="O123" s="25">
        <f>IF(AND(L123=1,B123&lt;&gt;""),SUBSTITUTE(SUBSTITUTE(SUBSTITUTE(SUBSTITUTE(SUBSTITUTE(SUBSTITUTE(SUBSTITUTE(SUBSTITUTE(SUBSTITUTE(SUBSTITUTE(SUBSTITUTE(SUBSTITUTE(LOWER(TRIM(B123)),"á","a"),"é","e"),"í","i"),"ó","o"),"ú","u"),"ü","u"),"ñ","n"),"à","a"),"è","e"),"ì","i"),"ò","o"),"ù","u"),"")</f>
        <v/>
      </c>
      <c r="P123" s="25">
        <f>IF(AND(L123=1,C123&lt;&gt;""),SUBSTITUTE(SUBSTITUTE(SUBSTITUTE(SUBSTITUTE(SUBSTITUTE(SUBSTITUTE(SUBSTITUTE(SUBSTITUTE(SUBSTITUTE(SUBSTITUTE(SUBSTITUTE(SUBSTITUTE(LOWER(TRIM(C123)),"á","a"),"é","e"),"í","i"),"ó","o"),"ú","u"),"ü","u"),"ñ","n"),"à","a"),"è","e"),"ì","i"),"ò","o"),"ù","u"),"")</f>
        <v/>
      </c>
      <c r="Q123" s="25">
        <f>IF(AND(L123=1,E123&lt;&gt;""),SUBSTITUTE(SUBSTITUTE(SUBSTITUTE(SUBSTITUTE(SUBSTITUTE(SUBSTITUTE(SUBSTITUTE(SUBSTITUTE(SUBSTITUTE(SUBSTITUTE(SUBSTITUTE(SUBSTITUTE(LOWER(TRIM(E123)),"á","a"),"é","e"),"í","i"),"ó","o"),"ú","u"),"ü","u"),"ñ","n"),"à","a"),"è","e"),"ì","i"),"ò","o"),"ù","u"),"")</f>
        <v/>
      </c>
      <c r="R123" s="25">
        <f>IF(AND(L123=1,I123&lt;&gt;""),SUBSTITUTE(SUBSTITUTE(SUBSTITUTE(SUBSTITUTE(SUBSTITUTE(SUBSTITUTE(SUBSTITUTE(SUBSTITUTE(SUBSTITUTE(SUBSTITUTE(SUBSTITUTE(SUBSTITUTE(LOWER(TRIM(I123)),"á","a"),"é","e"),"í","i"),"ó","o"),"ú","u"),"ü","u"),"ñ","n"),"à","a"),"è","e"),"ì","i"),"ò","o"),"ù","u"),"")</f>
        <v/>
      </c>
      <c r="S123" s="25">
        <f>IF(R123="","",IF(OR(R123="si",R123="tal vez"),1,0))</f>
        <v/>
      </c>
      <c r="T123" s="25">
        <f>IF(AND(L123=1,D123&lt;&gt;""),IF(IFERROR(COUNTIFS(D$3:D123,"="&amp;SUBSTITUTE(SUBSTITUTE(SUBSTITUTE(D123,"~","~~"),"*","~*"),"?","~?"),L$3:L123,1),0)=1,MAX(T$2:T122)+1,""),"")</f>
        <v/>
      </c>
      <c r="U123" s="25">
        <f>IF(T123="","",COUNTIFS($D$3:$D$1002,"="&amp;SUBSTITUTE(SUBSTITUTE(SUBSTITUTE(D123,"~","~~"),"*","~*"),"?","~?"),$L$3:$L$1002,1)*10000-T123)</f>
        <v/>
      </c>
      <c r="V123" s="25">
        <f>IF(AND(L123=1,J123&lt;&gt;""),IF(IFERROR(COUNTIFS(J$3:J123,"="&amp;SUBSTITUTE(SUBSTITUTE(SUBSTITUTE(J123,"~","~~"),"*","~*"),"?","~?"),L$3:L123,1),0)=1,MAX(V$2:V122)+1,""),"")</f>
        <v/>
      </c>
      <c r="W123" s="25">
        <f>IF(V123="","",COUNTIFS($J$3:$J$1002,"="&amp;SUBSTITUTE(SUBSTITUTE(SUBSTITUTE(J123,"~","~~"),"*","~*"),"?","~?"),$L$3:$L$1002,1)*10000-V123)</f>
        <v/>
      </c>
    </row>
    <row r="124">
      <c r="A124">
        <f>IF(A$2=0,"",IFERROR(TRIM(INDEX('Pegar estudiantes'!$A$1:$BZ$1001,123,A$2)&amp;""),""))</f>
        <v/>
      </c>
      <c r="B124">
        <f>IF(B$2=0,"",IFERROR(TRIM(INDEX('Pegar estudiantes'!$A$1:$BZ$1001,123,B$2)&amp;""),""))</f>
        <v/>
      </c>
      <c r="C124">
        <f>IF(C$2=0,"",IFERROR(TRIM(INDEX('Pegar estudiantes'!$A$1:$BZ$1001,123,C$2)&amp;""),""))</f>
        <v/>
      </c>
      <c r="D124">
        <f>IF(D$2=0,"",IFERROR(TRIM(INDEX('Pegar estudiantes'!$A$1:$BZ$1001,123,D$2)&amp;""),""))</f>
        <v/>
      </c>
      <c r="E124">
        <f>IF(E$2=0,"",IFERROR(TRIM(INDEX('Pegar estudiantes'!$A$1:$BZ$1001,123,E$2)&amp;""),""))</f>
        <v/>
      </c>
      <c r="F124">
        <f>IF(F$2=0,"",IFERROR(TRIM(INDEX('Pegar estudiantes'!$A$1:$BZ$1001,123,F$2)&amp;""),""))</f>
        <v/>
      </c>
      <c r="G124">
        <f>IF(G$2=0,"",IFERROR(TRIM(INDEX('Pegar estudiantes'!$A$1:$BZ$1001,123,G$2)&amp;""),""))</f>
        <v/>
      </c>
      <c r="H124">
        <f>IF(H$2=0,"",IFERROR(TRIM(INDEX('Pegar estudiantes'!$A$1:$BZ$1001,123,H$2)&amp;""),""))</f>
        <v/>
      </c>
      <c r="I124">
        <f>IF(I$2=0,"",IFERROR(TRIM(INDEX('Pegar estudiantes'!$A$1:$BZ$1001,123,I$2)&amp;""),""))</f>
        <v/>
      </c>
      <c r="J124">
        <f>IF(J$2=0,"",IFERROR(TRIM(INDEX('Pegar estudiantes'!$A$1:$BZ$1001,123,J$2)&amp;""),""))</f>
        <v/>
      </c>
      <c r="K124">
        <f>IF(K$2=0,"",IFERROR(TRIM(INDEX('Pegar estudiantes'!$A$1:$BZ$1001,123,K$2)&amp;""),""))</f>
        <v/>
      </c>
      <c r="L124" s="25">
        <f>IF(A124&lt;&gt;"",1,"")</f>
        <v/>
      </c>
      <c r="M124" s="25">
        <f>IF(L124=1,IF(ISNUMBER(FIND("#"&amp;MID(A124,1,1)&amp;"#","#0#1#2#3#4#5#6#7#8#9#")),IF(ISNUMBER(FIND("#"&amp;MID(A124,2,1)&amp;"#","#0#1#2#3#4#5#6#7#8#9#")),IF(AND(VALUE(LEFT(A124,2))&gt;=1,VALUE(LEFT(A124,2))&lt;=5),VALUE(LEFT(A124,2)),""),IF(AND(VALUE(LEFT(A124,1))&gt;=1,VALUE(LEFT(A124,1))&lt;=5),VALUE(LEFT(A124,1)),"")),""),"")</f>
        <v/>
      </c>
      <c r="N124" s="25">
        <f>IF(L124=1,IF(ISNUMBER(FIND("#"&amp;MID(H124,1,1)&amp;"#","#0#1#2#3#4#5#6#7#8#9#")),IF(ISNUMBER(FIND("#"&amp;MID(H124,2,1)&amp;"#","#0#1#2#3#4#5#6#7#8#9#")),IF(AND(VALUE(LEFT(H124,2))&gt;=1,VALUE(LEFT(H124,2))&lt;=5),VALUE(LEFT(H124,2)),""),IF(AND(VALUE(LEFT(H124,1))&gt;=1,VALUE(LEFT(H124,1))&lt;=5),VALUE(LEFT(H124,1)),"")),""),"")</f>
        <v/>
      </c>
      <c r="O124" s="25">
        <f>IF(AND(L124=1,B124&lt;&gt;""),SUBSTITUTE(SUBSTITUTE(SUBSTITUTE(SUBSTITUTE(SUBSTITUTE(SUBSTITUTE(SUBSTITUTE(SUBSTITUTE(SUBSTITUTE(SUBSTITUTE(SUBSTITUTE(SUBSTITUTE(LOWER(TRIM(B124)),"á","a"),"é","e"),"í","i"),"ó","o"),"ú","u"),"ü","u"),"ñ","n"),"à","a"),"è","e"),"ì","i"),"ò","o"),"ù","u"),"")</f>
        <v/>
      </c>
      <c r="P124" s="25">
        <f>IF(AND(L124=1,C124&lt;&gt;""),SUBSTITUTE(SUBSTITUTE(SUBSTITUTE(SUBSTITUTE(SUBSTITUTE(SUBSTITUTE(SUBSTITUTE(SUBSTITUTE(SUBSTITUTE(SUBSTITUTE(SUBSTITUTE(SUBSTITUTE(LOWER(TRIM(C124)),"á","a"),"é","e"),"í","i"),"ó","o"),"ú","u"),"ü","u"),"ñ","n"),"à","a"),"è","e"),"ì","i"),"ò","o"),"ù","u"),"")</f>
        <v/>
      </c>
      <c r="Q124" s="25">
        <f>IF(AND(L124=1,E124&lt;&gt;""),SUBSTITUTE(SUBSTITUTE(SUBSTITUTE(SUBSTITUTE(SUBSTITUTE(SUBSTITUTE(SUBSTITUTE(SUBSTITUTE(SUBSTITUTE(SUBSTITUTE(SUBSTITUTE(SUBSTITUTE(LOWER(TRIM(E124)),"á","a"),"é","e"),"í","i"),"ó","o"),"ú","u"),"ü","u"),"ñ","n"),"à","a"),"è","e"),"ì","i"),"ò","o"),"ù","u"),"")</f>
        <v/>
      </c>
      <c r="R124" s="25">
        <f>IF(AND(L124=1,I124&lt;&gt;""),SUBSTITUTE(SUBSTITUTE(SUBSTITUTE(SUBSTITUTE(SUBSTITUTE(SUBSTITUTE(SUBSTITUTE(SUBSTITUTE(SUBSTITUTE(SUBSTITUTE(SUBSTITUTE(SUBSTITUTE(LOWER(TRIM(I124)),"á","a"),"é","e"),"í","i"),"ó","o"),"ú","u"),"ü","u"),"ñ","n"),"à","a"),"è","e"),"ì","i"),"ò","o"),"ù","u"),"")</f>
        <v/>
      </c>
      <c r="S124" s="25">
        <f>IF(R124="","",IF(OR(R124="si",R124="tal vez"),1,0))</f>
        <v/>
      </c>
      <c r="T124" s="25">
        <f>IF(AND(L124=1,D124&lt;&gt;""),IF(IFERROR(COUNTIFS(D$3:D124,"="&amp;SUBSTITUTE(SUBSTITUTE(SUBSTITUTE(D124,"~","~~"),"*","~*"),"?","~?"),L$3:L124,1),0)=1,MAX(T$2:T123)+1,""),"")</f>
        <v/>
      </c>
      <c r="U124" s="25">
        <f>IF(T124="","",COUNTIFS($D$3:$D$1002,"="&amp;SUBSTITUTE(SUBSTITUTE(SUBSTITUTE(D124,"~","~~"),"*","~*"),"?","~?"),$L$3:$L$1002,1)*10000-T124)</f>
        <v/>
      </c>
      <c r="V124" s="25">
        <f>IF(AND(L124=1,J124&lt;&gt;""),IF(IFERROR(COUNTIFS(J$3:J124,"="&amp;SUBSTITUTE(SUBSTITUTE(SUBSTITUTE(J124,"~","~~"),"*","~*"),"?","~?"),L$3:L124,1),0)=1,MAX(V$2:V123)+1,""),"")</f>
        <v/>
      </c>
      <c r="W124" s="25">
        <f>IF(V124="","",COUNTIFS($J$3:$J$1002,"="&amp;SUBSTITUTE(SUBSTITUTE(SUBSTITUTE(J124,"~","~~"),"*","~*"),"?","~?"),$L$3:$L$1002,1)*10000-V124)</f>
        <v/>
      </c>
    </row>
    <row r="125">
      <c r="A125">
        <f>IF(A$2=0,"",IFERROR(TRIM(INDEX('Pegar estudiantes'!$A$1:$BZ$1001,124,A$2)&amp;""),""))</f>
        <v/>
      </c>
      <c r="B125">
        <f>IF(B$2=0,"",IFERROR(TRIM(INDEX('Pegar estudiantes'!$A$1:$BZ$1001,124,B$2)&amp;""),""))</f>
        <v/>
      </c>
      <c r="C125">
        <f>IF(C$2=0,"",IFERROR(TRIM(INDEX('Pegar estudiantes'!$A$1:$BZ$1001,124,C$2)&amp;""),""))</f>
        <v/>
      </c>
      <c r="D125">
        <f>IF(D$2=0,"",IFERROR(TRIM(INDEX('Pegar estudiantes'!$A$1:$BZ$1001,124,D$2)&amp;""),""))</f>
        <v/>
      </c>
      <c r="E125">
        <f>IF(E$2=0,"",IFERROR(TRIM(INDEX('Pegar estudiantes'!$A$1:$BZ$1001,124,E$2)&amp;""),""))</f>
        <v/>
      </c>
      <c r="F125">
        <f>IF(F$2=0,"",IFERROR(TRIM(INDEX('Pegar estudiantes'!$A$1:$BZ$1001,124,F$2)&amp;""),""))</f>
        <v/>
      </c>
      <c r="G125">
        <f>IF(G$2=0,"",IFERROR(TRIM(INDEX('Pegar estudiantes'!$A$1:$BZ$1001,124,G$2)&amp;""),""))</f>
        <v/>
      </c>
      <c r="H125">
        <f>IF(H$2=0,"",IFERROR(TRIM(INDEX('Pegar estudiantes'!$A$1:$BZ$1001,124,H$2)&amp;""),""))</f>
        <v/>
      </c>
      <c r="I125">
        <f>IF(I$2=0,"",IFERROR(TRIM(INDEX('Pegar estudiantes'!$A$1:$BZ$1001,124,I$2)&amp;""),""))</f>
        <v/>
      </c>
      <c r="J125">
        <f>IF(J$2=0,"",IFERROR(TRIM(INDEX('Pegar estudiantes'!$A$1:$BZ$1001,124,J$2)&amp;""),""))</f>
        <v/>
      </c>
      <c r="K125">
        <f>IF(K$2=0,"",IFERROR(TRIM(INDEX('Pegar estudiantes'!$A$1:$BZ$1001,124,K$2)&amp;""),""))</f>
        <v/>
      </c>
      <c r="L125" s="25">
        <f>IF(A125&lt;&gt;"",1,"")</f>
        <v/>
      </c>
      <c r="M125" s="25">
        <f>IF(L125=1,IF(ISNUMBER(FIND("#"&amp;MID(A125,1,1)&amp;"#","#0#1#2#3#4#5#6#7#8#9#")),IF(ISNUMBER(FIND("#"&amp;MID(A125,2,1)&amp;"#","#0#1#2#3#4#5#6#7#8#9#")),IF(AND(VALUE(LEFT(A125,2))&gt;=1,VALUE(LEFT(A125,2))&lt;=5),VALUE(LEFT(A125,2)),""),IF(AND(VALUE(LEFT(A125,1))&gt;=1,VALUE(LEFT(A125,1))&lt;=5),VALUE(LEFT(A125,1)),"")),""),"")</f>
        <v/>
      </c>
      <c r="N125" s="25">
        <f>IF(L125=1,IF(ISNUMBER(FIND("#"&amp;MID(H125,1,1)&amp;"#","#0#1#2#3#4#5#6#7#8#9#")),IF(ISNUMBER(FIND("#"&amp;MID(H125,2,1)&amp;"#","#0#1#2#3#4#5#6#7#8#9#")),IF(AND(VALUE(LEFT(H125,2))&gt;=1,VALUE(LEFT(H125,2))&lt;=5),VALUE(LEFT(H125,2)),""),IF(AND(VALUE(LEFT(H125,1))&gt;=1,VALUE(LEFT(H125,1))&lt;=5),VALUE(LEFT(H125,1)),"")),""),"")</f>
        <v/>
      </c>
      <c r="O125" s="25">
        <f>IF(AND(L125=1,B125&lt;&gt;""),SUBSTITUTE(SUBSTITUTE(SUBSTITUTE(SUBSTITUTE(SUBSTITUTE(SUBSTITUTE(SUBSTITUTE(SUBSTITUTE(SUBSTITUTE(SUBSTITUTE(SUBSTITUTE(SUBSTITUTE(LOWER(TRIM(B125)),"á","a"),"é","e"),"í","i"),"ó","o"),"ú","u"),"ü","u"),"ñ","n"),"à","a"),"è","e"),"ì","i"),"ò","o"),"ù","u"),"")</f>
        <v/>
      </c>
      <c r="P125" s="25">
        <f>IF(AND(L125=1,C125&lt;&gt;""),SUBSTITUTE(SUBSTITUTE(SUBSTITUTE(SUBSTITUTE(SUBSTITUTE(SUBSTITUTE(SUBSTITUTE(SUBSTITUTE(SUBSTITUTE(SUBSTITUTE(SUBSTITUTE(SUBSTITUTE(LOWER(TRIM(C125)),"á","a"),"é","e"),"í","i"),"ó","o"),"ú","u"),"ü","u"),"ñ","n"),"à","a"),"è","e"),"ì","i"),"ò","o"),"ù","u"),"")</f>
        <v/>
      </c>
      <c r="Q125" s="25">
        <f>IF(AND(L125=1,E125&lt;&gt;""),SUBSTITUTE(SUBSTITUTE(SUBSTITUTE(SUBSTITUTE(SUBSTITUTE(SUBSTITUTE(SUBSTITUTE(SUBSTITUTE(SUBSTITUTE(SUBSTITUTE(SUBSTITUTE(SUBSTITUTE(LOWER(TRIM(E125)),"á","a"),"é","e"),"í","i"),"ó","o"),"ú","u"),"ü","u"),"ñ","n"),"à","a"),"è","e"),"ì","i"),"ò","o"),"ù","u"),"")</f>
        <v/>
      </c>
      <c r="R125" s="25">
        <f>IF(AND(L125=1,I125&lt;&gt;""),SUBSTITUTE(SUBSTITUTE(SUBSTITUTE(SUBSTITUTE(SUBSTITUTE(SUBSTITUTE(SUBSTITUTE(SUBSTITUTE(SUBSTITUTE(SUBSTITUTE(SUBSTITUTE(SUBSTITUTE(LOWER(TRIM(I125)),"á","a"),"é","e"),"í","i"),"ó","o"),"ú","u"),"ü","u"),"ñ","n"),"à","a"),"è","e"),"ì","i"),"ò","o"),"ù","u"),"")</f>
        <v/>
      </c>
      <c r="S125" s="25">
        <f>IF(R125="","",IF(OR(R125="si",R125="tal vez"),1,0))</f>
        <v/>
      </c>
      <c r="T125" s="25">
        <f>IF(AND(L125=1,D125&lt;&gt;""),IF(IFERROR(COUNTIFS(D$3:D125,"="&amp;SUBSTITUTE(SUBSTITUTE(SUBSTITUTE(D125,"~","~~"),"*","~*"),"?","~?"),L$3:L125,1),0)=1,MAX(T$2:T124)+1,""),"")</f>
        <v/>
      </c>
      <c r="U125" s="25">
        <f>IF(T125="","",COUNTIFS($D$3:$D$1002,"="&amp;SUBSTITUTE(SUBSTITUTE(SUBSTITUTE(D125,"~","~~"),"*","~*"),"?","~?"),$L$3:$L$1002,1)*10000-T125)</f>
        <v/>
      </c>
      <c r="V125" s="25">
        <f>IF(AND(L125=1,J125&lt;&gt;""),IF(IFERROR(COUNTIFS(J$3:J125,"="&amp;SUBSTITUTE(SUBSTITUTE(SUBSTITUTE(J125,"~","~~"),"*","~*"),"?","~?"),L$3:L125,1),0)=1,MAX(V$2:V124)+1,""),"")</f>
        <v/>
      </c>
      <c r="W125" s="25">
        <f>IF(V125="","",COUNTIFS($J$3:$J$1002,"="&amp;SUBSTITUTE(SUBSTITUTE(SUBSTITUTE(J125,"~","~~"),"*","~*"),"?","~?"),$L$3:$L$1002,1)*10000-V125)</f>
        <v/>
      </c>
    </row>
    <row r="126">
      <c r="A126">
        <f>IF(A$2=0,"",IFERROR(TRIM(INDEX('Pegar estudiantes'!$A$1:$BZ$1001,125,A$2)&amp;""),""))</f>
        <v/>
      </c>
      <c r="B126">
        <f>IF(B$2=0,"",IFERROR(TRIM(INDEX('Pegar estudiantes'!$A$1:$BZ$1001,125,B$2)&amp;""),""))</f>
        <v/>
      </c>
      <c r="C126">
        <f>IF(C$2=0,"",IFERROR(TRIM(INDEX('Pegar estudiantes'!$A$1:$BZ$1001,125,C$2)&amp;""),""))</f>
        <v/>
      </c>
      <c r="D126">
        <f>IF(D$2=0,"",IFERROR(TRIM(INDEX('Pegar estudiantes'!$A$1:$BZ$1001,125,D$2)&amp;""),""))</f>
        <v/>
      </c>
      <c r="E126">
        <f>IF(E$2=0,"",IFERROR(TRIM(INDEX('Pegar estudiantes'!$A$1:$BZ$1001,125,E$2)&amp;""),""))</f>
        <v/>
      </c>
      <c r="F126">
        <f>IF(F$2=0,"",IFERROR(TRIM(INDEX('Pegar estudiantes'!$A$1:$BZ$1001,125,F$2)&amp;""),""))</f>
        <v/>
      </c>
      <c r="G126">
        <f>IF(G$2=0,"",IFERROR(TRIM(INDEX('Pegar estudiantes'!$A$1:$BZ$1001,125,G$2)&amp;""),""))</f>
        <v/>
      </c>
      <c r="H126">
        <f>IF(H$2=0,"",IFERROR(TRIM(INDEX('Pegar estudiantes'!$A$1:$BZ$1001,125,H$2)&amp;""),""))</f>
        <v/>
      </c>
      <c r="I126">
        <f>IF(I$2=0,"",IFERROR(TRIM(INDEX('Pegar estudiantes'!$A$1:$BZ$1001,125,I$2)&amp;""),""))</f>
        <v/>
      </c>
      <c r="J126">
        <f>IF(J$2=0,"",IFERROR(TRIM(INDEX('Pegar estudiantes'!$A$1:$BZ$1001,125,J$2)&amp;""),""))</f>
        <v/>
      </c>
      <c r="K126">
        <f>IF(K$2=0,"",IFERROR(TRIM(INDEX('Pegar estudiantes'!$A$1:$BZ$1001,125,K$2)&amp;""),""))</f>
        <v/>
      </c>
      <c r="L126" s="25">
        <f>IF(A126&lt;&gt;"",1,"")</f>
        <v/>
      </c>
      <c r="M126" s="25">
        <f>IF(L126=1,IF(ISNUMBER(FIND("#"&amp;MID(A126,1,1)&amp;"#","#0#1#2#3#4#5#6#7#8#9#")),IF(ISNUMBER(FIND("#"&amp;MID(A126,2,1)&amp;"#","#0#1#2#3#4#5#6#7#8#9#")),IF(AND(VALUE(LEFT(A126,2))&gt;=1,VALUE(LEFT(A126,2))&lt;=5),VALUE(LEFT(A126,2)),""),IF(AND(VALUE(LEFT(A126,1))&gt;=1,VALUE(LEFT(A126,1))&lt;=5),VALUE(LEFT(A126,1)),"")),""),"")</f>
        <v/>
      </c>
      <c r="N126" s="25">
        <f>IF(L126=1,IF(ISNUMBER(FIND("#"&amp;MID(H126,1,1)&amp;"#","#0#1#2#3#4#5#6#7#8#9#")),IF(ISNUMBER(FIND("#"&amp;MID(H126,2,1)&amp;"#","#0#1#2#3#4#5#6#7#8#9#")),IF(AND(VALUE(LEFT(H126,2))&gt;=1,VALUE(LEFT(H126,2))&lt;=5),VALUE(LEFT(H126,2)),""),IF(AND(VALUE(LEFT(H126,1))&gt;=1,VALUE(LEFT(H126,1))&lt;=5),VALUE(LEFT(H126,1)),"")),""),"")</f>
        <v/>
      </c>
      <c r="O126" s="25">
        <f>IF(AND(L126=1,B126&lt;&gt;""),SUBSTITUTE(SUBSTITUTE(SUBSTITUTE(SUBSTITUTE(SUBSTITUTE(SUBSTITUTE(SUBSTITUTE(SUBSTITUTE(SUBSTITUTE(SUBSTITUTE(SUBSTITUTE(SUBSTITUTE(LOWER(TRIM(B126)),"á","a"),"é","e"),"í","i"),"ó","o"),"ú","u"),"ü","u"),"ñ","n"),"à","a"),"è","e"),"ì","i"),"ò","o"),"ù","u"),"")</f>
        <v/>
      </c>
      <c r="P126" s="25">
        <f>IF(AND(L126=1,C126&lt;&gt;""),SUBSTITUTE(SUBSTITUTE(SUBSTITUTE(SUBSTITUTE(SUBSTITUTE(SUBSTITUTE(SUBSTITUTE(SUBSTITUTE(SUBSTITUTE(SUBSTITUTE(SUBSTITUTE(SUBSTITUTE(LOWER(TRIM(C126)),"á","a"),"é","e"),"í","i"),"ó","o"),"ú","u"),"ü","u"),"ñ","n"),"à","a"),"è","e"),"ì","i"),"ò","o"),"ù","u"),"")</f>
        <v/>
      </c>
      <c r="Q126" s="25">
        <f>IF(AND(L126=1,E126&lt;&gt;""),SUBSTITUTE(SUBSTITUTE(SUBSTITUTE(SUBSTITUTE(SUBSTITUTE(SUBSTITUTE(SUBSTITUTE(SUBSTITUTE(SUBSTITUTE(SUBSTITUTE(SUBSTITUTE(SUBSTITUTE(LOWER(TRIM(E126)),"á","a"),"é","e"),"í","i"),"ó","o"),"ú","u"),"ü","u"),"ñ","n"),"à","a"),"è","e"),"ì","i"),"ò","o"),"ù","u"),"")</f>
        <v/>
      </c>
      <c r="R126" s="25">
        <f>IF(AND(L126=1,I126&lt;&gt;""),SUBSTITUTE(SUBSTITUTE(SUBSTITUTE(SUBSTITUTE(SUBSTITUTE(SUBSTITUTE(SUBSTITUTE(SUBSTITUTE(SUBSTITUTE(SUBSTITUTE(SUBSTITUTE(SUBSTITUTE(LOWER(TRIM(I126)),"á","a"),"é","e"),"í","i"),"ó","o"),"ú","u"),"ü","u"),"ñ","n"),"à","a"),"è","e"),"ì","i"),"ò","o"),"ù","u"),"")</f>
        <v/>
      </c>
      <c r="S126" s="25">
        <f>IF(R126="","",IF(OR(R126="si",R126="tal vez"),1,0))</f>
        <v/>
      </c>
      <c r="T126" s="25">
        <f>IF(AND(L126=1,D126&lt;&gt;""),IF(IFERROR(COUNTIFS(D$3:D126,"="&amp;SUBSTITUTE(SUBSTITUTE(SUBSTITUTE(D126,"~","~~"),"*","~*"),"?","~?"),L$3:L126,1),0)=1,MAX(T$2:T125)+1,""),"")</f>
        <v/>
      </c>
      <c r="U126" s="25">
        <f>IF(T126="","",COUNTIFS($D$3:$D$1002,"="&amp;SUBSTITUTE(SUBSTITUTE(SUBSTITUTE(D126,"~","~~"),"*","~*"),"?","~?"),$L$3:$L$1002,1)*10000-T126)</f>
        <v/>
      </c>
      <c r="V126" s="25">
        <f>IF(AND(L126=1,J126&lt;&gt;""),IF(IFERROR(COUNTIFS(J$3:J126,"="&amp;SUBSTITUTE(SUBSTITUTE(SUBSTITUTE(J126,"~","~~"),"*","~*"),"?","~?"),L$3:L126,1),0)=1,MAX(V$2:V125)+1,""),"")</f>
        <v/>
      </c>
      <c r="W126" s="25">
        <f>IF(V126="","",COUNTIFS($J$3:$J$1002,"="&amp;SUBSTITUTE(SUBSTITUTE(SUBSTITUTE(J126,"~","~~"),"*","~*"),"?","~?"),$L$3:$L$1002,1)*10000-V126)</f>
        <v/>
      </c>
    </row>
    <row r="127">
      <c r="A127">
        <f>IF(A$2=0,"",IFERROR(TRIM(INDEX('Pegar estudiantes'!$A$1:$BZ$1001,126,A$2)&amp;""),""))</f>
        <v/>
      </c>
      <c r="B127">
        <f>IF(B$2=0,"",IFERROR(TRIM(INDEX('Pegar estudiantes'!$A$1:$BZ$1001,126,B$2)&amp;""),""))</f>
        <v/>
      </c>
      <c r="C127">
        <f>IF(C$2=0,"",IFERROR(TRIM(INDEX('Pegar estudiantes'!$A$1:$BZ$1001,126,C$2)&amp;""),""))</f>
        <v/>
      </c>
      <c r="D127">
        <f>IF(D$2=0,"",IFERROR(TRIM(INDEX('Pegar estudiantes'!$A$1:$BZ$1001,126,D$2)&amp;""),""))</f>
        <v/>
      </c>
      <c r="E127">
        <f>IF(E$2=0,"",IFERROR(TRIM(INDEX('Pegar estudiantes'!$A$1:$BZ$1001,126,E$2)&amp;""),""))</f>
        <v/>
      </c>
      <c r="F127">
        <f>IF(F$2=0,"",IFERROR(TRIM(INDEX('Pegar estudiantes'!$A$1:$BZ$1001,126,F$2)&amp;""),""))</f>
        <v/>
      </c>
      <c r="G127">
        <f>IF(G$2=0,"",IFERROR(TRIM(INDEX('Pegar estudiantes'!$A$1:$BZ$1001,126,G$2)&amp;""),""))</f>
        <v/>
      </c>
      <c r="H127">
        <f>IF(H$2=0,"",IFERROR(TRIM(INDEX('Pegar estudiantes'!$A$1:$BZ$1001,126,H$2)&amp;""),""))</f>
        <v/>
      </c>
      <c r="I127">
        <f>IF(I$2=0,"",IFERROR(TRIM(INDEX('Pegar estudiantes'!$A$1:$BZ$1001,126,I$2)&amp;""),""))</f>
        <v/>
      </c>
      <c r="J127">
        <f>IF(J$2=0,"",IFERROR(TRIM(INDEX('Pegar estudiantes'!$A$1:$BZ$1001,126,J$2)&amp;""),""))</f>
        <v/>
      </c>
      <c r="K127">
        <f>IF(K$2=0,"",IFERROR(TRIM(INDEX('Pegar estudiantes'!$A$1:$BZ$1001,126,K$2)&amp;""),""))</f>
        <v/>
      </c>
      <c r="L127" s="25">
        <f>IF(A127&lt;&gt;"",1,"")</f>
        <v/>
      </c>
      <c r="M127" s="25">
        <f>IF(L127=1,IF(ISNUMBER(FIND("#"&amp;MID(A127,1,1)&amp;"#","#0#1#2#3#4#5#6#7#8#9#")),IF(ISNUMBER(FIND("#"&amp;MID(A127,2,1)&amp;"#","#0#1#2#3#4#5#6#7#8#9#")),IF(AND(VALUE(LEFT(A127,2))&gt;=1,VALUE(LEFT(A127,2))&lt;=5),VALUE(LEFT(A127,2)),""),IF(AND(VALUE(LEFT(A127,1))&gt;=1,VALUE(LEFT(A127,1))&lt;=5),VALUE(LEFT(A127,1)),"")),""),"")</f>
        <v/>
      </c>
      <c r="N127" s="25">
        <f>IF(L127=1,IF(ISNUMBER(FIND("#"&amp;MID(H127,1,1)&amp;"#","#0#1#2#3#4#5#6#7#8#9#")),IF(ISNUMBER(FIND("#"&amp;MID(H127,2,1)&amp;"#","#0#1#2#3#4#5#6#7#8#9#")),IF(AND(VALUE(LEFT(H127,2))&gt;=1,VALUE(LEFT(H127,2))&lt;=5),VALUE(LEFT(H127,2)),""),IF(AND(VALUE(LEFT(H127,1))&gt;=1,VALUE(LEFT(H127,1))&lt;=5),VALUE(LEFT(H127,1)),"")),""),"")</f>
        <v/>
      </c>
      <c r="O127" s="25">
        <f>IF(AND(L127=1,B127&lt;&gt;""),SUBSTITUTE(SUBSTITUTE(SUBSTITUTE(SUBSTITUTE(SUBSTITUTE(SUBSTITUTE(SUBSTITUTE(SUBSTITUTE(SUBSTITUTE(SUBSTITUTE(SUBSTITUTE(SUBSTITUTE(LOWER(TRIM(B127)),"á","a"),"é","e"),"í","i"),"ó","o"),"ú","u"),"ü","u"),"ñ","n"),"à","a"),"è","e"),"ì","i"),"ò","o"),"ù","u"),"")</f>
        <v/>
      </c>
      <c r="P127" s="25">
        <f>IF(AND(L127=1,C127&lt;&gt;""),SUBSTITUTE(SUBSTITUTE(SUBSTITUTE(SUBSTITUTE(SUBSTITUTE(SUBSTITUTE(SUBSTITUTE(SUBSTITUTE(SUBSTITUTE(SUBSTITUTE(SUBSTITUTE(SUBSTITUTE(LOWER(TRIM(C127)),"á","a"),"é","e"),"í","i"),"ó","o"),"ú","u"),"ü","u"),"ñ","n"),"à","a"),"è","e"),"ì","i"),"ò","o"),"ù","u"),"")</f>
        <v/>
      </c>
      <c r="Q127" s="25">
        <f>IF(AND(L127=1,E127&lt;&gt;""),SUBSTITUTE(SUBSTITUTE(SUBSTITUTE(SUBSTITUTE(SUBSTITUTE(SUBSTITUTE(SUBSTITUTE(SUBSTITUTE(SUBSTITUTE(SUBSTITUTE(SUBSTITUTE(SUBSTITUTE(LOWER(TRIM(E127)),"á","a"),"é","e"),"í","i"),"ó","o"),"ú","u"),"ü","u"),"ñ","n"),"à","a"),"è","e"),"ì","i"),"ò","o"),"ù","u"),"")</f>
        <v/>
      </c>
      <c r="R127" s="25">
        <f>IF(AND(L127=1,I127&lt;&gt;""),SUBSTITUTE(SUBSTITUTE(SUBSTITUTE(SUBSTITUTE(SUBSTITUTE(SUBSTITUTE(SUBSTITUTE(SUBSTITUTE(SUBSTITUTE(SUBSTITUTE(SUBSTITUTE(SUBSTITUTE(LOWER(TRIM(I127)),"á","a"),"é","e"),"í","i"),"ó","o"),"ú","u"),"ü","u"),"ñ","n"),"à","a"),"è","e"),"ì","i"),"ò","o"),"ù","u"),"")</f>
        <v/>
      </c>
      <c r="S127" s="25">
        <f>IF(R127="","",IF(OR(R127="si",R127="tal vez"),1,0))</f>
        <v/>
      </c>
      <c r="T127" s="25">
        <f>IF(AND(L127=1,D127&lt;&gt;""),IF(IFERROR(COUNTIFS(D$3:D127,"="&amp;SUBSTITUTE(SUBSTITUTE(SUBSTITUTE(D127,"~","~~"),"*","~*"),"?","~?"),L$3:L127,1),0)=1,MAX(T$2:T126)+1,""),"")</f>
        <v/>
      </c>
      <c r="U127" s="25">
        <f>IF(T127="","",COUNTIFS($D$3:$D$1002,"="&amp;SUBSTITUTE(SUBSTITUTE(SUBSTITUTE(D127,"~","~~"),"*","~*"),"?","~?"),$L$3:$L$1002,1)*10000-T127)</f>
        <v/>
      </c>
      <c r="V127" s="25">
        <f>IF(AND(L127=1,J127&lt;&gt;""),IF(IFERROR(COUNTIFS(J$3:J127,"="&amp;SUBSTITUTE(SUBSTITUTE(SUBSTITUTE(J127,"~","~~"),"*","~*"),"?","~?"),L$3:L127,1),0)=1,MAX(V$2:V126)+1,""),"")</f>
        <v/>
      </c>
      <c r="W127" s="25">
        <f>IF(V127="","",COUNTIFS($J$3:$J$1002,"="&amp;SUBSTITUTE(SUBSTITUTE(SUBSTITUTE(J127,"~","~~"),"*","~*"),"?","~?"),$L$3:$L$1002,1)*10000-V127)</f>
        <v/>
      </c>
    </row>
    <row r="128">
      <c r="A128">
        <f>IF(A$2=0,"",IFERROR(TRIM(INDEX('Pegar estudiantes'!$A$1:$BZ$1001,127,A$2)&amp;""),""))</f>
        <v/>
      </c>
      <c r="B128">
        <f>IF(B$2=0,"",IFERROR(TRIM(INDEX('Pegar estudiantes'!$A$1:$BZ$1001,127,B$2)&amp;""),""))</f>
        <v/>
      </c>
      <c r="C128">
        <f>IF(C$2=0,"",IFERROR(TRIM(INDEX('Pegar estudiantes'!$A$1:$BZ$1001,127,C$2)&amp;""),""))</f>
        <v/>
      </c>
      <c r="D128">
        <f>IF(D$2=0,"",IFERROR(TRIM(INDEX('Pegar estudiantes'!$A$1:$BZ$1001,127,D$2)&amp;""),""))</f>
        <v/>
      </c>
      <c r="E128">
        <f>IF(E$2=0,"",IFERROR(TRIM(INDEX('Pegar estudiantes'!$A$1:$BZ$1001,127,E$2)&amp;""),""))</f>
        <v/>
      </c>
      <c r="F128">
        <f>IF(F$2=0,"",IFERROR(TRIM(INDEX('Pegar estudiantes'!$A$1:$BZ$1001,127,F$2)&amp;""),""))</f>
        <v/>
      </c>
      <c r="G128">
        <f>IF(G$2=0,"",IFERROR(TRIM(INDEX('Pegar estudiantes'!$A$1:$BZ$1001,127,G$2)&amp;""),""))</f>
        <v/>
      </c>
      <c r="H128">
        <f>IF(H$2=0,"",IFERROR(TRIM(INDEX('Pegar estudiantes'!$A$1:$BZ$1001,127,H$2)&amp;""),""))</f>
        <v/>
      </c>
      <c r="I128">
        <f>IF(I$2=0,"",IFERROR(TRIM(INDEX('Pegar estudiantes'!$A$1:$BZ$1001,127,I$2)&amp;""),""))</f>
        <v/>
      </c>
      <c r="J128">
        <f>IF(J$2=0,"",IFERROR(TRIM(INDEX('Pegar estudiantes'!$A$1:$BZ$1001,127,J$2)&amp;""),""))</f>
        <v/>
      </c>
      <c r="K128">
        <f>IF(K$2=0,"",IFERROR(TRIM(INDEX('Pegar estudiantes'!$A$1:$BZ$1001,127,K$2)&amp;""),""))</f>
        <v/>
      </c>
      <c r="L128" s="25">
        <f>IF(A128&lt;&gt;"",1,"")</f>
        <v/>
      </c>
      <c r="M128" s="25">
        <f>IF(L128=1,IF(ISNUMBER(FIND("#"&amp;MID(A128,1,1)&amp;"#","#0#1#2#3#4#5#6#7#8#9#")),IF(ISNUMBER(FIND("#"&amp;MID(A128,2,1)&amp;"#","#0#1#2#3#4#5#6#7#8#9#")),IF(AND(VALUE(LEFT(A128,2))&gt;=1,VALUE(LEFT(A128,2))&lt;=5),VALUE(LEFT(A128,2)),""),IF(AND(VALUE(LEFT(A128,1))&gt;=1,VALUE(LEFT(A128,1))&lt;=5),VALUE(LEFT(A128,1)),"")),""),"")</f>
        <v/>
      </c>
      <c r="N128" s="25">
        <f>IF(L128=1,IF(ISNUMBER(FIND("#"&amp;MID(H128,1,1)&amp;"#","#0#1#2#3#4#5#6#7#8#9#")),IF(ISNUMBER(FIND("#"&amp;MID(H128,2,1)&amp;"#","#0#1#2#3#4#5#6#7#8#9#")),IF(AND(VALUE(LEFT(H128,2))&gt;=1,VALUE(LEFT(H128,2))&lt;=5),VALUE(LEFT(H128,2)),""),IF(AND(VALUE(LEFT(H128,1))&gt;=1,VALUE(LEFT(H128,1))&lt;=5),VALUE(LEFT(H128,1)),"")),""),"")</f>
        <v/>
      </c>
      <c r="O128" s="25">
        <f>IF(AND(L128=1,B128&lt;&gt;""),SUBSTITUTE(SUBSTITUTE(SUBSTITUTE(SUBSTITUTE(SUBSTITUTE(SUBSTITUTE(SUBSTITUTE(SUBSTITUTE(SUBSTITUTE(SUBSTITUTE(SUBSTITUTE(SUBSTITUTE(LOWER(TRIM(B128)),"á","a"),"é","e"),"í","i"),"ó","o"),"ú","u"),"ü","u"),"ñ","n"),"à","a"),"è","e"),"ì","i"),"ò","o"),"ù","u"),"")</f>
        <v/>
      </c>
      <c r="P128" s="25">
        <f>IF(AND(L128=1,C128&lt;&gt;""),SUBSTITUTE(SUBSTITUTE(SUBSTITUTE(SUBSTITUTE(SUBSTITUTE(SUBSTITUTE(SUBSTITUTE(SUBSTITUTE(SUBSTITUTE(SUBSTITUTE(SUBSTITUTE(SUBSTITUTE(LOWER(TRIM(C128)),"á","a"),"é","e"),"í","i"),"ó","o"),"ú","u"),"ü","u"),"ñ","n"),"à","a"),"è","e"),"ì","i"),"ò","o"),"ù","u"),"")</f>
        <v/>
      </c>
      <c r="Q128" s="25">
        <f>IF(AND(L128=1,E128&lt;&gt;""),SUBSTITUTE(SUBSTITUTE(SUBSTITUTE(SUBSTITUTE(SUBSTITUTE(SUBSTITUTE(SUBSTITUTE(SUBSTITUTE(SUBSTITUTE(SUBSTITUTE(SUBSTITUTE(SUBSTITUTE(LOWER(TRIM(E128)),"á","a"),"é","e"),"í","i"),"ó","o"),"ú","u"),"ü","u"),"ñ","n"),"à","a"),"è","e"),"ì","i"),"ò","o"),"ù","u"),"")</f>
        <v/>
      </c>
      <c r="R128" s="25">
        <f>IF(AND(L128=1,I128&lt;&gt;""),SUBSTITUTE(SUBSTITUTE(SUBSTITUTE(SUBSTITUTE(SUBSTITUTE(SUBSTITUTE(SUBSTITUTE(SUBSTITUTE(SUBSTITUTE(SUBSTITUTE(SUBSTITUTE(SUBSTITUTE(LOWER(TRIM(I128)),"á","a"),"é","e"),"í","i"),"ó","o"),"ú","u"),"ü","u"),"ñ","n"),"à","a"),"è","e"),"ì","i"),"ò","o"),"ù","u"),"")</f>
        <v/>
      </c>
      <c r="S128" s="25">
        <f>IF(R128="","",IF(OR(R128="si",R128="tal vez"),1,0))</f>
        <v/>
      </c>
      <c r="T128" s="25">
        <f>IF(AND(L128=1,D128&lt;&gt;""),IF(IFERROR(COUNTIFS(D$3:D128,"="&amp;SUBSTITUTE(SUBSTITUTE(SUBSTITUTE(D128,"~","~~"),"*","~*"),"?","~?"),L$3:L128,1),0)=1,MAX(T$2:T127)+1,""),"")</f>
        <v/>
      </c>
      <c r="U128" s="25">
        <f>IF(T128="","",COUNTIFS($D$3:$D$1002,"="&amp;SUBSTITUTE(SUBSTITUTE(SUBSTITUTE(D128,"~","~~"),"*","~*"),"?","~?"),$L$3:$L$1002,1)*10000-T128)</f>
        <v/>
      </c>
      <c r="V128" s="25">
        <f>IF(AND(L128=1,J128&lt;&gt;""),IF(IFERROR(COUNTIFS(J$3:J128,"="&amp;SUBSTITUTE(SUBSTITUTE(SUBSTITUTE(J128,"~","~~"),"*","~*"),"?","~?"),L$3:L128,1),0)=1,MAX(V$2:V127)+1,""),"")</f>
        <v/>
      </c>
      <c r="W128" s="25">
        <f>IF(V128="","",COUNTIFS($J$3:$J$1002,"="&amp;SUBSTITUTE(SUBSTITUTE(SUBSTITUTE(J128,"~","~~"),"*","~*"),"?","~?"),$L$3:$L$1002,1)*10000-V128)</f>
        <v/>
      </c>
    </row>
    <row r="129">
      <c r="A129">
        <f>IF(A$2=0,"",IFERROR(TRIM(INDEX('Pegar estudiantes'!$A$1:$BZ$1001,128,A$2)&amp;""),""))</f>
        <v/>
      </c>
      <c r="B129">
        <f>IF(B$2=0,"",IFERROR(TRIM(INDEX('Pegar estudiantes'!$A$1:$BZ$1001,128,B$2)&amp;""),""))</f>
        <v/>
      </c>
      <c r="C129">
        <f>IF(C$2=0,"",IFERROR(TRIM(INDEX('Pegar estudiantes'!$A$1:$BZ$1001,128,C$2)&amp;""),""))</f>
        <v/>
      </c>
      <c r="D129">
        <f>IF(D$2=0,"",IFERROR(TRIM(INDEX('Pegar estudiantes'!$A$1:$BZ$1001,128,D$2)&amp;""),""))</f>
        <v/>
      </c>
      <c r="E129">
        <f>IF(E$2=0,"",IFERROR(TRIM(INDEX('Pegar estudiantes'!$A$1:$BZ$1001,128,E$2)&amp;""),""))</f>
        <v/>
      </c>
      <c r="F129">
        <f>IF(F$2=0,"",IFERROR(TRIM(INDEX('Pegar estudiantes'!$A$1:$BZ$1001,128,F$2)&amp;""),""))</f>
        <v/>
      </c>
      <c r="G129">
        <f>IF(G$2=0,"",IFERROR(TRIM(INDEX('Pegar estudiantes'!$A$1:$BZ$1001,128,G$2)&amp;""),""))</f>
        <v/>
      </c>
      <c r="H129">
        <f>IF(H$2=0,"",IFERROR(TRIM(INDEX('Pegar estudiantes'!$A$1:$BZ$1001,128,H$2)&amp;""),""))</f>
        <v/>
      </c>
      <c r="I129">
        <f>IF(I$2=0,"",IFERROR(TRIM(INDEX('Pegar estudiantes'!$A$1:$BZ$1001,128,I$2)&amp;""),""))</f>
        <v/>
      </c>
      <c r="J129">
        <f>IF(J$2=0,"",IFERROR(TRIM(INDEX('Pegar estudiantes'!$A$1:$BZ$1001,128,J$2)&amp;""),""))</f>
        <v/>
      </c>
      <c r="K129">
        <f>IF(K$2=0,"",IFERROR(TRIM(INDEX('Pegar estudiantes'!$A$1:$BZ$1001,128,K$2)&amp;""),""))</f>
        <v/>
      </c>
      <c r="L129" s="25">
        <f>IF(A129&lt;&gt;"",1,"")</f>
        <v/>
      </c>
      <c r="M129" s="25">
        <f>IF(L129=1,IF(ISNUMBER(FIND("#"&amp;MID(A129,1,1)&amp;"#","#0#1#2#3#4#5#6#7#8#9#")),IF(ISNUMBER(FIND("#"&amp;MID(A129,2,1)&amp;"#","#0#1#2#3#4#5#6#7#8#9#")),IF(AND(VALUE(LEFT(A129,2))&gt;=1,VALUE(LEFT(A129,2))&lt;=5),VALUE(LEFT(A129,2)),""),IF(AND(VALUE(LEFT(A129,1))&gt;=1,VALUE(LEFT(A129,1))&lt;=5),VALUE(LEFT(A129,1)),"")),""),"")</f>
        <v/>
      </c>
      <c r="N129" s="25">
        <f>IF(L129=1,IF(ISNUMBER(FIND("#"&amp;MID(H129,1,1)&amp;"#","#0#1#2#3#4#5#6#7#8#9#")),IF(ISNUMBER(FIND("#"&amp;MID(H129,2,1)&amp;"#","#0#1#2#3#4#5#6#7#8#9#")),IF(AND(VALUE(LEFT(H129,2))&gt;=1,VALUE(LEFT(H129,2))&lt;=5),VALUE(LEFT(H129,2)),""),IF(AND(VALUE(LEFT(H129,1))&gt;=1,VALUE(LEFT(H129,1))&lt;=5),VALUE(LEFT(H129,1)),"")),""),"")</f>
        <v/>
      </c>
      <c r="O129" s="25">
        <f>IF(AND(L129=1,B129&lt;&gt;""),SUBSTITUTE(SUBSTITUTE(SUBSTITUTE(SUBSTITUTE(SUBSTITUTE(SUBSTITUTE(SUBSTITUTE(SUBSTITUTE(SUBSTITUTE(SUBSTITUTE(SUBSTITUTE(SUBSTITUTE(LOWER(TRIM(B129)),"á","a"),"é","e"),"í","i"),"ó","o"),"ú","u"),"ü","u"),"ñ","n"),"à","a"),"è","e"),"ì","i"),"ò","o"),"ù","u"),"")</f>
        <v/>
      </c>
      <c r="P129" s="25">
        <f>IF(AND(L129=1,C129&lt;&gt;""),SUBSTITUTE(SUBSTITUTE(SUBSTITUTE(SUBSTITUTE(SUBSTITUTE(SUBSTITUTE(SUBSTITUTE(SUBSTITUTE(SUBSTITUTE(SUBSTITUTE(SUBSTITUTE(SUBSTITUTE(LOWER(TRIM(C129)),"á","a"),"é","e"),"í","i"),"ó","o"),"ú","u"),"ü","u"),"ñ","n"),"à","a"),"è","e"),"ì","i"),"ò","o"),"ù","u"),"")</f>
        <v/>
      </c>
      <c r="Q129" s="25">
        <f>IF(AND(L129=1,E129&lt;&gt;""),SUBSTITUTE(SUBSTITUTE(SUBSTITUTE(SUBSTITUTE(SUBSTITUTE(SUBSTITUTE(SUBSTITUTE(SUBSTITUTE(SUBSTITUTE(SUBSTITUTE(SUBSTITUTE(SUBSTITUTE(LOWER(TRIM(E129)),"á","a"),"é","e"),"í","i"),"ó","o"),"ú","u"),"ü","u"),"ñ","n"),"à","a"),"è","e"),"ì","i"),"ò","o"),"ù","u"),"")</f>
        <v/>
      </c>
      <c r="R129" s="25">
        <f>IF(AND(L129=1,I129&lt;&gt;""),SUBSTITUTE(SUBSTITUTE(SUBSTITUTE(SUBSTITUTE(SUBSTITUTE(SUBSTITUTE(SUBSTITUTE(SUBSTITUTE(SUBSTITUTE(SUBSTITUTE(SUBSTITUTE(SUBSTITUTE(LOWER(TRIM(I129)),"á","a"),"é","e"),"í","i"),"ó","o"),"ú","u"),"ü","u"),"ñ","n"),"à","a"),"è","e"),"ì","i"),"ò","o"),"ù","u"),"")</f>
        <v/>
      </c>
      <c r="S129" s="25">
        <f>IF(R129="","",IF(OR(R129="si",R129="tal vez"),1,0))</f>
        <v/>
      </c>
      <c r="T129" s="25">
        <f>IF(AND(L129=1,D129&lt;&gt;""),IF(IFERROR(COUNTIFS(D$3:D129,"="&amp;SUBSTITUTE(SUBSTITUTE(SUBSTITUTE(D129,"~","~~"),"*","~*"),"?","~?"),L$3:L129,1),0)=1,MAX(T$2:T128)+1,""),"")</f>
        <v/>
      </c>
      <c r="U129" s="25">
        <f>IF(T129="","",COUNTIFS($D$3:$D$1002,"="&amp;SUBSTITUTE(SUBSTITUTE(SUBSTITUTE(D129,"~","~~"),"*","~*"),"?","~?"),$L$3:$L$1002,1)*10000-T129)</f>
        <v/>
      </c>
      <c r="V129" s="25">
        <f>IF(AND(L129=1,J129&lt;&gt;""),IF(IFERROR(COUNTIFS(J$3:J129,"="&amp;SUBSTITUTE(SUBSTITUTE(SUBSTITUTE(J129,"~","~~"),"*","~*"),"?","~?"),L$3:L129,1),0)=1,MAX(V$2:V128)+1,""),"")</f>
        <v/>
      </c>
      <c r="W129" s="25">
        <f>IF(V129="","",COUNTIFS($J$3:$J$1002,"="&amp;SUBSTITUTE(SUBSTITUTE(SUBSTITUTE(J129,"~","~~"),"*","~*"),"?","~?"),$L$3:$L$1002,1)*10000-V129)</f>
        <v/>
      </c>
    </row>
    <row r="130">
      <c r="A130">
        <f>IF(A$2=0,"",IFERROR(TRIM(INDEX('Pegar estudiantes'!$A$1:$BZ$1001,129,A$2)&amp;""),""))</f>
        <v/>
      </c>
      <c r="B130">
        <f>IF(B$2=0,"",IFERROR(TRIM(INDEX('Pegar estudiantes'!$A$1:$BZ$1001,129,B$2)&amp;""),""))</f>
        <v/>
      </c>
      <c r="C130">
        <f>IF(C$2=0,"",IFERROR(TRIM(INDEX('Pegar estudiantes'!$A$1:$BZ$1001,129,C$2)&amp;""),""))</f>
        <v/>
      </c>
      <c r="D130">
        <f>IF(D$2=0,"",IFERROR(TRIM(INDEX('Pegar estudiantes'!$A$1:$BZ$1001,129,D$2)&amp;""),""))</f>
        <v/>
      </c>
      <c r="E130">
        <f>IF(E$2=0,"",IFERROR(TRIM(INDEX('Pegar estudiantes'!$A$1:$BZ$1001,129,E$2)&amp;""),""))</f>
        <v/>
      </c>
      <c r="F130">
        <f>IF(F$2=0,"",IFERROR(TRIM(INDEX('Pegar estudiantes'!$A$1:$BZ$1001,129,F$2)&amp;""),""))</f>
        <v/>
      </c>
      <c r="G130">
        <f>IF(G$2=0,"",IFERROR(TRIM(INDEX('Pegar estudiantes'!$A$1:$BZ$1001,129,G$2)&amp;""),""))</f>
        <v/>
      </c>
      <c r="H130">
        <f>IF(H$2=0,"",IFERROR(TRIM(INDEX('Pegar estudiantes'!$A$1:$BZ$1001,129,H$2)&amp;""),""))</f>
        <v/>
      </c>
      <c r="I130">
        <f>IF(I$2=0,"",IFERROR(TRIM(INDEX('Pegar estudiantes'!$A$1:$BZ$1001,129,I$2)&amp;""),""))</f>
        <v/>
      </c>
      <c r="J130">
        <f>IF(J$2=0,"",IFERROR(TRIM(INDEX('Pegar estudiantes'!$A$1:$BZ$1001,129,J$2)&amp;""),""))</f>
        <v/>
      </c>
      <c r="K130">
        <f>IF(K$2=0,"",IFERROR(TRIM(INDEX('Pegar estudiantes'!$A$1:$BZ$1001,129,K$2)&amp;""),""))</f>
        <v/>
      </c>
      <c r="L130" s="25">
        <f>IF(A130&lt;&gt;"",1,"")</f>
        <v/>
      </c>
      <c r="M130" s="25">
        <f>IF(L130=1,IF(ISNUMBER(FIND("#"&amp;MID(A130,1,1)&amp;"#","#0#1#2#3#4#5#6#7#8#9#")),IF(ISNUMBER(FIND("#"&amp;MID(A130,2,1)&amp;"#","#0#1#2#3#4#5#6#7#8#9#")),IF(AND(VALUE(LEFT(A130,2))&gt;=1,VALUE(LEFT(A130,2))&lt;=5),VALUE(LEFT(A130,2)),""),IF(AND(VALUE(LEFT(A130,1))&gt;=1,VALUE(LEFT(A130,1))&lt;=5),VALUE(LEFT(A130,1)),"")),""),"")</f>
        <v/>
      </c>
      <c r="N130" s="25">
        <f>IF(L130=1,IF(ISNUMBER(FIND("#"&amp;MID(H130,1,1)&amp;"#","#0#1#2#3#4#5#6#7#8#9#")),IF(ISNUMBER(FIND("#"&amp;MID(H130,2,1)&amp;"#","#0#1#2#3#4#5#6#7#8#9#")),IF(AND(VALUE(LEFT(H130,2))&gt;=1,VALUE(LEFT(H130,2))&lt;=5),VALUE(LEFT(H130,2)),""),IF(AND(VALUE(LEFT(H130,1))&gt;=1,VALUE(LEFT(H130,1))&lt;=5),VALUE(LEFT(H130,1)),"")),""),"")</f>
        <v/>
      </c>
      <c r="O130" s="25">
        <f>IF(AND(L130=1,B130&lt;&gt;""),SUBSTITUTE(SUBSTITUTE(SUBSTITUTE(SUBSTITUTE(SUBSTITUTE(SUBSTITUTE(SUBSTITUTE(SUBSTITUTE(SUBSTITUTE(SUBSTITUTE(SUBSTITUTE(SUBSTITUTE(LOWER(TRIM(B130)),"á","a"),"é","e"),"í","i"),"ó","o"),"ú","u"),"ü","u"),"ñ","n"),"à","a"),"è","e"),"ì","i"),"ò","o"),"ù","u"),"")</f>
        <v/>
      </c>
      <c r="P130" s="25">
        <f>IF(AND(L130=1,C130&lt;&gt;""),SUBSTITUTE(SUBSTITUTE(SUBSTITUTE(SUBSTITUTE(SUBSTITUTE(SUBSTITUTE(SUBSTITUTE(SUBSTITUTE(SUBSTITUTE(SUBSTITUTE(SUBSTITUTE(SUBSTITUTE(LOWER(TRIM(C130)),"á","a"),"é","e"),"í","i"),"ó","o"),"ú","u"),"ü","u"),"ñ","n"),"à","a"),"è","e"),"ì","i"),"ò","o"),"ù","u"),"")</f>
        <v/>
      </c>
      <c r="Q130" s="25">
        <f>IF(AND(L130=1,E130&lt;&gt;""),SUBSTITUTE(SUBSTITUTE(SUBSTITUTE(SUBSTITUTE(SUBSTITUTE(SUBSTITUTE(SUBSTITUTE(SUBSTITUTE(SUBSTITUTE(SUBSTITUTE(SUBSTITUTE(SUBSTITUTE(LOWER(TRIM(E130)),"á","a"),"é","e"),"í","i"),"ó","o"),"ú","u"),"ü","u"),"ñ","n"),"à","a"),"è","e"),"ì","i"),"ò","o"),"ù","u"),"")</f>
        <v/>
      </c>
      <c r="R130" s="25">
        <f>IF(AND(L130=1,I130&lt;&gt;""),SUBSTITUTE(SUBSTITUTE(SUBSTITUTE(SUBSTITUTE(SUBSTITUTE(SUBSTITUTE(SUBSTITUTE(SUBSTITUTE(SUBSTITUTE(SUBSTITUTE(SUBSTITUTE(SUBSTITUTE(LOWER(TRIM(I130)),"á","a"),"é","e"),"í","i"),"ó","o"),"ú","u"),"ü","u"),"ñ","n"),"à","a"),"è","e"),"ì","i"),"ò","o"),"ù","u"),"")</f>
        <v/>
      </c>
      <c r="S130" s="25">
        <f>IF(R130="","",IF(OR(R130="si",R130="tal vez"),1,0))</f>
        <v/>
      </c>
      <c r="T130" s="25">
        <f>IF(AND(L130=1,D130&lt;&gt;""),IF(IFERROR(COUNTIFS(D$3:D130,"="&amp;SUBSTITUTE(SUBSTITUTE(SUBSTITUTE(D130,"~","~~"),"*","~*"),"?","~?"),L$3:L130,1),0)=1,MAX(T$2:T129)+1,""),"")</f>
        <v/>
      </c>
      <c r="U130" s="25">
        <f>IF(T130="","",COUNTIFS($D$3:$D$1002,"="&amp;SUBSTITUTE(SUBSTITUTE(SUBSTITUTE(D130,"~","~~"),"*","~*"),"?","~?"),$L$3:$L$1002,1)*10000-T130)</f>
        <v/>
      </c>
      <c r="V130" s="25">
        <f>IF(AND(L130=1,J130&lt;&gt;""),IF(IFERROR(COUNTIFS(J$3:J130,"="&amp;SUBSTITUTE(SUBSTITUTE(SUBSTITUTE(J130,"~","~~"),"*","~*"),"?","~?"),L$3:L130,1),0)=1,MAX(V$2:V129)+1,""),"")</f>
        <v/>
      </c>
      <c r="W130" s="25">
        <f>IF(V130="","",COUNTIFS($J$3:$J$1002,"="&amp;SUBSTITUTE(SUBSTITUTE(SUBSTITUTE(J130,"~","~~"),"*","~*"),"?","~?"),$L$3:$L$1002,1)*10000-V130)</f>
        <v/>
      </c>
    </row>
    <row r="131">
      <c r="A131">
        <f>IF(A$2=0,"",IFERROR(TRIM(INDEX('Pegar estudiantes'!$A$1:$BZ$1001,130,A$2)&amp;""),""))</f>
        <v/>
      </c>
      <c r="B131">
        <f>IF(B$2=0,"",IFERROR(TRIM(INDEX('Pegar estudiantes'!$A$1:$BZ$1001,130,B$2)&amp;""),""))</f>
        <v/>
      </c>
      <c r="C131">
        <f>IF(C$2=0,"",IFERROR(TRIM(INDEX('Pegar estudiantes'!$A$1:$BZ$1001,130,C$2)&amp;""),""))</f>
        <v/>
      </c>
      <c r="D131">
        <f>IF(D$2=0,"",IFERROR(TRIM(INDEX('Pegar estudiantes'!$A$1:$BZ$1001,130,D$2)&amp;""),""))</f>
        <v/>
      </c>
      <c r="E131">
        <f>IF(E$2=0,"",IFERROR(TRIM(INDEX('Pegar estudiantes'!$A$1:$BZ$1001,130,E$2)&amp;""),""))</f>
        <v/>
      </c>
      <c r="F131">
        <f>IF(F$2=0,"",IFERROR(TRIM(INDEX('Pegar estudiantes'!$A$1:$BZ$1001,130,F$2)&amp;""),""))</f>
        <v/>
      </c>
      <c r="G131">
        <f>IF(G$2=0,"",IFERROR(TRIM(INDEX('Pegar estudiantes'!$A$1:$BZ$1001,130,G$2)&amp;""),""))</f>
        <v/>
      </c>
      <c r="H131">
        <f>IF(H$2=0,"",IFERROR(TRIM(INDEX('Pegar estudiantes'!$A$1:$BZ$1001,130,H$2)&amp;""),""))</f>
        <v/>
      </c>
      <c r="I131">
        <f>IF(I$2=0,"",IFERROR(TRIM(INDEX('Pegar estudiantes'!$A$1:$BZ$1001,130,I$2)&amp;""),""))</f>
        <v/>
      </c>
      <c r="J131">
        <f>IF(J$2=0,"",IFERROR(TRIM(INDEX('Pegar estudiantes'!$A$1:$BZ$1001,130,J$2)&amp;""),""))</f>
        <v/>
      </c>
      <c r="K131">
        <f>IF(K$2=0,"",IFERROR(TRIM(INDEX('Pegar estudiantes'!$A$1:$BZ$1001,130,K$2)&amp;""),""))</f>
        <v/>
      </c>
      <c r="L131" s="25">
        <f>IF(A131&lt;&gt;"",1,"")</f>
        <v/>
      </c>
      <c r="M131" s="25">
        <f>IF(L131=1,IF(ISNUMBER(FIND("#"&amp;MID(A131,1,1)&amp;"#","#0#1#2#3#4#5#6#7#8#9#")),IF(ISNUMBER(FIND("#"&amp;MID(A131,2,1)&amp;"#","#0#1#2#3#4#5#6#7#8#9#")),IF(AND(VALUE(LEFT(A131,2))&gt;=1,VALUE(LEFT(A131,2))&lt;=5),VALUE(LEFT(A131,2)),""),IF(AND(VALUE(LEFT(A131,1))&gt;=1,VALUE(LEFT(A131,1))&lt;=5),VALUE(LEFT(A131,1)),"")),""),"")</f>
        <v/>
      </c>
      <c r="N131" s="25">
        <f>IF(L131=1,IF(ISNUMBER(FIND("#"&amp;MID(H131,1,1)&amp;"#","#0#1#2#3#4#5#6#7#8#9#")),IF(ISNUMBER(FIND("#"&amp;MID(H131,2,1)&amp;"#","#0#1#2#3#4#5#6#7#8#9#")),IF(AND(VALUE(LEFT(H131,2))&gt;=1,VALUE(LEFT(H131,2))&lt;=5),VALUE(LEFT(H131,2)),""),IF(AND(VALUE(LEFT(H131,1))&gt;=1,VALUE(LEFT(H131,1))&lt;=5),VALUE(LEFT(H131,1)),"")),""),"")</f>
        <v/>
      </c>
      <c r="O131" s="25">
        <f>IF(AND(L131=1,B131&lt;&gt;""),SUBSTITUTE(SUBSTITUTE(SUBSTITUTE(SUBSTITUTE(SUBSTITUTE(SUBSTITUTE(SUBSTITUTE(SUBSTITUTE(SUBSTITUTE(SUBSTITUTE(SUBSTITUTE(SUBSTITUTE(LOWER(TRIM(B131)),"á","a"),"é","e"),"í","i"),"ó","o"),"ú","u"),"ü","u"),"ñ","n"),"à","a"),"è","e"),"ì","i"),"ò","o"),"ù","u"),"")</f>
        <v/>
      </c>
      <c r="P131" s="25">
        <f>IF(AND(L131=1,C131&lt;&gt;""),SUBSTITUTE(SUBSTITUTE(SUBSTITUTE(SUBSTITUTE(SUBSTITUTE(SUBSTITUTE(SUBSTITUTE(SUBSTITUTE(SUBSTITUTE(SUBSTITUTE(SUBSTITUTE(SUBSTITUTE(LOWER(TRIM(C131)),"á","a"),"é","e"),"í","i"),"ó","o"),"ú","u"),"ü","u"),"ñ","n"),"à","a"),"è","e"),"ì","i"),"ò","o"),"ù","u"),"")</f>
        <v/>
      </c>
      <c r="Q131" s="25">
        <f>IF(AND(L131=1,E131&lt;&gt;""),SUBSTITUTE(SUBSTITUTE(SUBSTITUTE(SUBSTITUTE(SUBSTITUTE(SUBSTITUTE(SUBSTITUTE(SUBSTITUTE(SUBSTITUTE(SUBSTITUTE(SUBSTITUTE(SUBSTITUTE(LOWER(TRIM(E131)),"á","a"),"é","e"),"í","i"),"ó","o"),"ú","u"),"ü","u"),"ñ","n"),"à","a"),"è","e"),"ì","i"),"ò","o"),"ù","u"),"")</f>
        <v/>
      </c>
      <c r="R131" s="25">
        <f>IF(AND(L131=1,I131&lt;&gt;""),SUBSTITUTE(SUBSTITUTE(SUBSTITUTE(SUBSTITUTE(SUBSTITUTE(SUBSTITUTE(SUBSTITUTE(SUBSTITUTE(SUBSTITUTE(SUBSTITUTE(SUBSTITUTE(SUBSTITUTE(LOWER(TRIM(I131)),"á","a"),"é","e"),"í","i"),"ó","o"),"ú","u"),"ü","u"),"ñ","n"),"à","a"),"è","e"),"ì","i"),"ò","o"),"ù","u"),"")</f>
        <v/>
      </c>
      <c r="S131" s="25">
        <f>IF(R131="","",IF(OR(R131="si",R131="tal vez"),1,0))</f>
        <v/>
      </c>
      <c r="T131" s="25">
        <f>IF(AND(L131=1,D131&lt;&gt;""),IF(IFERROR(COUNTIFS(D$3:D131,"="&amp;SUBSTITUTE(SUBSTITUTE(SUBSTITUTE(D131,"~","~~"),"*","~*"),"?","~?"),L$3:L131,1),0)=1,MAX(T$2:T130)+1,""),"")</f>
        <v/>
      </c>
      <c r="U131" s="25">
        <f>IF(T131="","",COUNTIFS($D$3:$D$1002,"="&amp;SUBSTITUTE(SUBSTITUTE(SUBSTITUTE(D131,"~","~~"),"*","~*"),"?","~?"),$L$3:$L$1002,1)*10000-T131)</f>
        <v/>
      </c>
      <c r="V131" s="25">
        <f>IF(AND(L131=1,J131&lt;&gt;""),IF(IFERROR(COUNTIFS(J$3:J131,"="&amp;SUBSTITUTE(SUBSTITUTE(SUBSTITUTE(J131,"~","~~"),"*","~*"),"?","~?"),L$3:L131,1),0)=1,MAX(V$2:V130)+1,""),"")</f>
        <v/>
      </c>
      <c r="W131" s="25">
        <f>IF(V131="","",COUNTIFS($J$3:$J$1002,"="&amp;SUBSTITUTE(SUBSTITUTE(SUBSTITUTE(J131,"~","~~"),"*","~*"),"?","~?"),$L$3:$L$1002,1)*10000-V131)</f>
        <v/>
      </c>
    </row>
    <row r="132">
      <c r="A132">
        <f>IF(A$2=0,"",IFERROR(TRIM(INDEX('Pegar estudiantes'!$A$1:$BZ$1001,131,A$2)&amp;""),""))</f>
        <v/>
      </c>
      <c r="B132">
        <f>IF(B$2=0,"",IFERROR(TRIM(INDEX('Pegar estudiantes'!$A$1:$BZ$1001,131,B$2)&amp;""),""))</f>
        <v/>
      </c>
      <c r="C132">
        <f>IF(C$2=0,"",IFERROR(TRIM(INDEX('Pegar estudiantes'!$A$1:$BZ$1001,131,C$2)&amp;""),""))</f>
        <v/>
      </c>
      <c r="D132">
        <f>IF(D$2=0,"",IFERROR(TRIM(INDEX('Pegar estudiantes'!$A$1:$BZ$1001,131,D$2)&amp;""),""))</f>
        <v/>
      </c>
      <c r="E132">
        <f>IF(E$2=0,"",IFERROR(TRIM(INDEX('Pegar estudiantes'!$A$1:$BZ$1001,131,E$2)&amp;""),""))</f>
        <v/>
      </c>
      <c r="F132">
        <f>IF(F$2=0,"",IFERROR(TRIM(INDEX('Pegar estudiantes'!$A$1:$BZ$1001,131,F$2)&amp;""),""))</f>
        <v/>
      </c>
      <c r="G132">
        <f>IF(G$2=0,"",IFERROR(TRIM(INDEX('Pegar estudiantes'!$A$1:$BZ$1001,131,G$2)&amp;""),""))</f>
        <v/>
      </c>
      <c r="H132">
        <f>IF(H$2=0,"",IFERROR(TRIM(INDEX('Pegar estudiantes'!$A$1:$BZ$1001,131,H$2)&amp;""),""))</f>
        <v/>
      </c>
      <c r="I132">
        <f>IF(I$2=0,"",IFERROR(TRIM(INDEX('Pegar estudiantes'!$A$1:$BZ$1001,131,I$2)&amp;""),""))</f>
        <v/>
      </c>
      <c r="J132">
        <f>IF(J$2=0,"",IFERROR(TRIM(INDEX('Pegar estudiantes'!$A$1:$BZ$1001,131,J$2)&amp;""),""))</f>
        <v/>
      </c>
      <c r="K132">
        <f>IF(K$2=0,"",IFERROR(TRIM(INDEX('Pegar estudiantes'!$A$1:$BZ$1001,131,K$2)&amp;""),""))</f>
        <v/>
      </c>
      <c r="L132" s="25">
        <f>IF(A132&lt;&gt;"",1,"")</f>
        <v/>
      </c>
      <c r="M132" s="25">
        <f>IF(L132=1,IF(ISNUMBER(FIND("#"&amp;MID(A132,1,1)&amp;"#","#0#1#2#3#4#5#6#7#8#9#")),IF(ISNUMBER(FIND("#"&amp;MID(A132,2,1)&amp;"#","#0#1#2#3#4#5#6#7#8#9#")),IF(AND(VALUE(LEFT(A132,2))&gt;=1,VALUE(LEFT(A132,2))&lt;=5),VALUE(LEFT(A132,2)),""),IF(AND(VALUE(LEFT(A132,1))&gt;=1,VALUE(LEFT(A132,1))&lt;=5),VALUE(LEFT(A132,1)),"")),""),"")</f>
        <v/>
      </c>
      <c r="N132" s="25">
        <f>IF(L132=1,IF(ISNUMBER(FIND("#"&amp;MID(H132,1,1)&amp;"#","#0#1#2#3#4#5#6#7#8#9#")),IF(ISNUMBER(FIND("#"&amp;MID(H132,2,1)&amp;"#","#0#1#2#3#4#5#6#7#8#9#")),IF(AND(VALUE(LEFT(H132,2))&gt;=1,VALUE(LEFT(H132,2))&lt;=5),VALUE(LEFT(H132,2)),""),IF(AND(VALUE(LEFT(H132,1))&gt;=1,VALUE(LEFT(H132,1))&lt;=5),VALUE(LEFT(H132,1)),"")),""),"")</f>
        <v/>
      </c>
      <c r="O132" s="25">
        <f>IF(AND(L132=1,B132&lt;&gt;""),SUBSTITUTE(SUBSTITUTE(SUBSTITUTE(SUBSTITUTE(SUBSTITUTE(SUBSTITUTE(SUBSTITUTE(SUBSTITUTE(SUBSTITUTE(SUBSTITUTE(SUBSTITUTE(SUBSTITUTE(LOWER(TRIM(B132)),"á","a"),"é","e"),"í","i"),"ó","o"),"ú","u"),"ü","u"),"ñ","n"),"à","a"),"è","e"),"ì","i"),"ò","o"),"ù","u"),"")</f>
        <v/>
      </c>
      <c r="P132" s="25">
        <f>IF(AND(L132=1,C132&lt;&gt;""),SUBSTITUTE(SUBSTITUTE(SUBSTITUTE(SUBSTITUTE(SUBSTITUTE(SUBSTITUTE(SUBSTITUTE(SUBSTITUTE(SUBSTITUTE(SUBSTITUTE(SUBSTITUTE(SUBSTITUTE(LOWER(TRIM(C132)),"á","a"),"é","e"),"í","i"),"ó","o"),"ú","u"),"ü","u"),"ñ","n"),"à","a"),"è","e"),"ì","i"),"ò","o"),"ù","u"),"")</f>
        <v/>
      </c>
      <c r="Q132" s="25">
        <f>IF(AND(L132=1,E132&lt;&gt;""),SUBSTITUTE(SUBSTITUTE(SUBSTITUTE(SUBSTITUTE(SUBSTITUTE(SUBSTITUTE(SUBSTITUTE(SUBSTITUTE(SUBSTITUTE(SUBSTITUTE(SUBSTITUTE(SUBSTITUTE(LOWER(TRIM(E132)),"á","a"),"é","e"),"í","i"),"ó","o"),"ú","u"),"ü","u"),"ñ","n"),"à","a"),"è","e"),"ì","i"),"ò","o"),"ù","u"),"")</f>
        <v/>
      </c>
      <c r="R132" s="25">
        <f>IF(AND(L132=1,I132&lt;&gt;""),SUBSTITUTE(SUBSTITUTE(SUBSTITUTE(SUBSTITUTE(SUBSTITUTE(SUBSTITUTE(SUBSTITUTE(SUBSTITUTE(SUBSTITUTE(SUBSTITUTE(SUBSTITUTE(SUBSTITUTE(LOWER(TRIM(I132)),"á","a"),"é","e"),"í","i"),"ó","o"),"ú","u"),"ü","u"),"ñ","n"),"à","a"),"è","e"),"ì","i"),"ò","o"),"ù","u"),"")</f>
        <v/>
      </c>
      <c r="S132" s="25">
        <f>IF(R132="","",IF(OR(R132="si",R132="tal vez"),1,0))</f>
        <v/>
      </c>
      <c r="T132" s="25">
        <f>IF(AND(L132=1,D132&lt;&gt;""),IF(IFERROR(COUNTIFS(D$3:D132,"="&amp;SUBSTITUTE(SUBSTITUTE(SUBSTITUTE(D132,"~","~~"),"*","~*"),"?","~?"),L$3:L132,1),0)=1,MAX(T$2:T131)+1,""),"")</f>
        <v/>
      </c>
      <c r="U132" s="25">
        <f>IF(T132="","",COUNTIFS($D$3:$D$1002,"="&amp;SUBSTITUTE(SUBSTITUTE(SUBSTITUTE(D132,"~","~~"),"*","~*"),"?","~?"),$L$3:$L$1002,1)*10000-T132)</f>
        <v/>
      </c>
      <c r="V132" s="25">
        <f>IF(AND(L132=1,J132&lt;&gt;""),IF(IFERROR(COUNTIFS(J$3:J132,"="&amp;SUBSTITUTE(SUBSTITUTE(SUBSTITUTE(J132,"~","~~"),"*","~*"),"?","~?"),L$3:L132,1),0)=1,MAX(V$2:V131)+1,""),"")</f>
        <v/>
      </c>
      <c r="W132" s="25">
        <f>IF(V132="","",COUNTIFS($J$3:$J$1002,"="&amp;SUBSTITUTE(SUBSTITUTE(SUBSTITUTE(J132,"~","~~"),"*","~*"),"?","~?"),$L$3:$L$1002,1)*10000-V132)</f>
        <v/>
      </c>
    </row>
    <row r="133">
      <c r="A133">
        <f>IF(A$2=0,"",IFERROR(TRIM(INDEX('Pegar estudiantes'!$A$1:$BZ$1001,132,A$2)&amp;""),""))</f>
        <v/>
      </c>
      <c r="B133">
        <f>IF(B$2=0,"",IFERROR(TRIM(INDEX('Pegar estudiantes'!$A$1:$BZ$1001,132,B$2)&amp;""),""))</f>
        <v/>
      </c>
      <c r="C133">
        <f>IF(C$2=0,"",IFERROR(TRIM(INDEX('Pegar estudiantes'!$A$1:$BZ$1001,132,C$2)&amp;""),""))</f>
        <v/>
      </c>
      <c r="D133">
        <f>IF(D$2=0,"",IFERROR(TRIM(INDEX('Pegar estudiantes'!$A$1:$BZ$1001,132,D$2)&amp;""),""))</f>
        <v/>
      </c>
      <c r="E133">
        <f>IF(E$2=0,"",IFERROR(TRIM(INDEX('Pegar estudiantes'!$A$1:$BZ$1001,132,E$2)&amp;""),""))</f>
        <v/>
      </c>
      <c r="F133">
        <f>IF(F$2=0,"",IFERROR(TRIM(INDEX('Pegar estudiantes'!$A$1:$BZ$1001,132,F$2)&amp;""),""))</f>
        <v/>
      </c>
      <c r="G133">
        <f>IF(G$2=0,"",IFERROR(TRIM(INDEX('Pegar estudiantes'!$A$1:$BZ$1001,132,G$2)&amp;""),""))</f>
        <v/>
      </c>
      <c r="H133">
        <f>IF(H$2=0,"",IFERROR(TRIM(INDEX('Pegar estudiantes'!$A$1:$BZ$1001,132,H$2)&amp;""),""))</f>
        <v/>
      </c>
      <c r="I133">
        <f>IF(I$2=0,"",IFERROR(TRIM(INDEX('Pegar estudiantes'!$A$1:$BZ$1001,132,I$2)&amp;""),""))</f>
        <v/>
      </c>
      <c r="J133">
        <f>IF(J$2=0,"",IFERROR(TRIM(INDEX('Pegar estudiantes'!$A$1:$BZ$1001,132,J$2)&amp;""),""))</f>
        <v/>
      </c>
      <c r="K133">
        <f>IF(K$2=0,"",IFERROR(TRIM(INDEX('Pegar estudiantes'!$A$1:$BZ$1001,132,K$2)&amp;""),""))</f>
        <v/>
      </c>
      <c r="L133" s="25">
        <f>IF(A133&lt;&gt;"",1,"")</f>
        <v/>
      </c>
      <c r="M133" s="25">
        <f>IF(L133=1,IF(ISNUMBER(FIND("#"&amp;MID(A133,1,1)&amp;"#","#0#1#2#3#4#5#6#7#8#9#")),IF(ISNUMBER(FIND("#"&amp;MID(A133,2,1)&amp;"#","#0#1#2#3#4#5#6#7#8#9#")),IF(AND(VALUE(LEFT(A133,2))&gt;=1,VALUE(LEFT(A133,2))&lt;=5),VALUE(LEFT(A133,2)),""),IF(AND(VALUE(LEFT(A133,1))&gt;=1,VALUE(LEFT(A133,1))&lt;=5),VALUE(LEFT(A133,1)),"")),""),"")</f>
        <v/>
      </c>
      <c r="N133" s="25">
        <f>IF(L133=1,IF(ISNUMBER(FIND("#"&amp;MID(H133,1,1)&amp;"#","#0#1#2#3#4#5#6#7#8#9#")),IF(ISNUMBER(FIND("#"&amp;MID(H133,2,1)&amp;"#","#0#1#2#3#4#5#6#7#8#9#")),IF(AND(VALUE(LEFT(H133,2))&gt;=1,VALUE(LEFT(H133,2))&lt;=5),VALUE(LEFT(H133,2)),""),IF(AND(VALUE(LEFT(H133,1))&gt;=1,VALUE(LEFT(H133,1))&lt;=5),VALUE(LEFT(H133,1)),"")),""),"")</f>
        <v/>
      </c>
      <c r="O133" s="25">
        <f>IF(AND(L133=1,B133&lt;&gt;""),SUBSTITUTE(SUBSTITUTE(SUBSTITUTE(SUBSTITUTE(SUBSTITUTE(SUBSTITUTE(SUBSTITUTE(SUBSTITUTE(SUBSTITUTE(SUBSTITUTE(SUBSTITUTE(SUBSTITUTE(LOWER(TRIM(B133)),"á","a"),"é","e"),"í","i"),"ó","o"),"ú","u"),"ü","u"),"ñ","n"),"à","a"),"è","e"),"ì","i"),"ò","o"),"ù","u"),"")</f>
        <v/>
      </c>
      <c r="P133" s="25">
        <f>IF(AND(L133=1,C133&lt;&gt;""),SUBSTITUTE(SUBSTITUTE(SUBSTITUTE(SUBSTITUTE(SUBSTITUTE(SUBSTITUTE(SUBSTITUTE(SUBSTITUTE(SUBSTITUTE(SUBSTITUTE(SUBSTITUTE(SUBSTITUTE(LOWER(TRIM(C133)),"á","a"),"é","e"),"í","i"),"ó","o"),"ú","u"),"ü","u"),"ñ","n"),"à","a"),"è","e"),"ì","i"),"ò","o"),"ù","u"),"")</f>
        <v/>
      </c>
      <c r="Q133" s="25">
        <f>IF(AND(L133=1,E133&lt;&gt;""),SUBSTITUTE(SUBSTITUTE(SUBSTITUTE(SUBSTITUTE(SUBSTITUTE(SUBSTITUTE(SUBSTITUTE(SUBSTITUTE(SUBSTITUTE(SUBSTITUTE(SUBSTITUTE(SUBSTITUTE(LOWER(TRIM(E133)),"á","a"),"é","e"),"í","i"),"ó","o"),"ú","u"),"ü","u"),"ñ","n"),"à","a"),"è","e"),"ì","i"),"ò","o"),"ù","u"),"")</f>
        <v/>
      </c>
      <c r="R133" s="25">
        <f>IF(AND(L133=1,I133&lt;&gt;""),SUBSTITUTE(SUBSTITUTE(SUBSTITUTE(SUBSTITUTE(SUBSTITUTE(SUBSTITUTE(SUBSTITUTE(SUBSTITUTE(SUBSTITUTE(SUBSTITUTE(SUBSTITUTE(SUBSTITUTE(LOWER(TRIM(I133)),"á","a"),"é","e"),"í","i"),"ó","o"),"ú","u"),"ü","u"),"ñ","n"),"à","a"),"è","e"),"ì","i"),"ò","o"),"ù","u"),"")</f>
        <v/>
      </c>
      <c r="S133" s="25">
        <f>IF(R133="","",IF(OR(R133="si",R133="tal vez"),1,0))</f>
        <v/>
      </c>
      <c r="T133" s="25">
        <f>IF(AND(L133=1,D133&lt;&gt;""),IF(IFERROR(COUNTIFS(D$3:D133,"="&amp;SUBSTITUTE(SUBSTITUTE(SUBSTITUTE(D133,"~","~~"),"*","~*"),"?","~?"),L$3:L133,1),0)=1,MAX(T$2:T132)+1,""),"")</f>
        <v/>
      </c>
      <c r="U133" s="25">
        <f>IF(T133="","",COUNTIFS($D$3:$D$1002,"="&amp;SUBSTITUTE(SUBSTITUTE(SUBSTITUTE(D133,"~","~~"),"*","~*"),"?","~?"),$L$3:$L$1002,1)*10000-T133)</f>
        <v/>
      </c>
      <c r="V133" s="25">
        <f>IF(AND(L133=1,J133&lt;&gt;""),IF(IFERROR(COUNTIFS(J$3:J133,"="&amp;SUBSTITUTE(SUBSTITUTE(SUBSTITUTE(J133,"~","~~"),"*","~*"),"?","~?"),L$3:L133,1),0)=1,MAX(V$2:V132)+1,""),"")</f>
        <v/>
      </c>
      <c r="W133" s="25">
        <f>IF(V133="","",COUNTIFS($J$3:$J$1002,"="&amp;SUBSTITUTE(SUBSTITUTE(SUBSTITUTE(J133,"~","~~"),"*","~*"),"?","~?"),$L$3:$L$1002,1)*10000-V133)</f>
        <v/>
      </c>
    </row>
    <row r="134">
      <c r="A134">
        <f>IF(A$2=0,"",IFERROR(TRIM(INDEX('Pegar estudiantes'!$A$1:$BZ$1001,133,A$2)&amp;""),""))</f>
        <v/>
      </c>
      <c r="B134">
        <f>IF(B$2=0,"",IFERROR(TRIM(INDEX('Pegar estudiantes'!$A$1:$BZ$1001,133,B$2)&amp;""),""))</f>
        <v/>
      </c>
      <c r="C134">
        <f>IF(C$2=0,"",IFERROR(TRIM(INDEX('Pegar estudiantes'!$A$1:$BZ$1001,133,C$2)&amp;""),""))</f>
        <v/>
      </c>
      <c r="D134">
        <f>IF(D$2=0,"",IFERROR(TRIM(INDEX('Pegar estudiantes'!$A$1:$BZ$1001,133,D$2)&amp;""),""))</f>
        <v/>
      </c>
      <c r="E134">
        <f>IF(E$2=0,"",IFERROR(TRIM(INDEX('Pegar estudiantes'!$A$1:$BZ$1001,133,E$2)&amp;""),""))</f>
        <v/>
      </c>
      <c r="F134">
        <f>IF(F$2=0,"",IFERROR(TRIM(INDEX('Pegar estudiantes'!$A$1:$BZ$1001,133,F$2)&amp;""),""))</f>
        <v/>
      </c>
      <c r="G134">
        <f>IF(G$2=0,"",IFERROR(TRIM(INDEX('Pegar estudiantes'!$A$1:$BZ$1001,133,G$2)&amp;""),""))</f>
        <v/>
      </c>
      <c r="H134">
        <f>IF(H$2=0,"",IFERROR(TRIM(INDEX('Pegar estudiantes'!$A$1:$BZ$1001,133,H$2)&amp;""),""))</f>
        <v/>
      </c>
      <c r="I134">
        <f>IF(I$2=0,"",IFERROR(TRIM(INDEX('Pegar estudiantes'!$A$1:$BZ$1001,133,I$2)&amp;""),""))</f>
        <v/>
      </c>
      <c r="J134">
        <f>IF(J$2=0,"",IFERROR(TRIM(INDEX('Pegar estudiantes'!$A$1:$BZ$1001,133,J$2)&amp;""),""))</f>
        <v/>
      </c>
      <c r="K134">
        <f>IF(K$2=0,"",IFERROR(TRIM(INDEX('Pegar estudiantes'!$A$1:$BZ$1001,133,K$2)&amp;""),""))</f>
        <v/>
      </c>
      <c r="L134" s="25">
        <f>IF(A134&lt;&gt;"",1,"")</f>
        <v/>
      </c>
      <c r="M134" s="25">
        <f>IF(L134=1,IF(ISNUMBER(FIND("#"&amp;MID(A134,1,1)&amp;"#","#0#1#2#3#4#5#6#7#8#9#")),IF(ISNUMBER(FIND("#"&amp;MID(A134,2,1)&amp;"#","#0#1#2#3#4#5#6#7#8#9#")),IF(AND(VALUE(LEFT(A134,2))&gt;=1,VALUE(LEFT(A134,2))&lt;=5),VALUE(LEFT(A134,2)),""),IF(AND(VALUE(LEFT(A134,1))&gt;=1,VALUE(LEFT(A134,1))&lt;=5),VALUE(LEFT(A134,1)),"")),""),"")</f>
        <v/>
      </c>
      <c r="N134" s="25">
        <f>IF(L134=1,IF(ISNUMBER(FIND("#"&amp;MID(H134,1,1)&amp;"#","#0#1#2#3#4#5#6#7#8#9#")),IF(ISNUMBER(FIND("#"&amp;MID(H134,2,1)&amp;"#","#0#1#2#3#4#5#6#7#8#9#")),IF(AND(VALUE(LEFT(H134,2))&gt;=1,VALUE(LEFT(H134,2))&lt;=5),VALUE(LEFT(H134,2)),""),IF(AND(VALUE(LEFT(H134,1))&gt;=1,VALUE(LEFT(H134,1))&lt;=5),VALUE(LEFT(H134,1)),"")),""),"")</f>
        <v/>
      </c>
      <c r="O134" s="25">
        <f>IF(AND(L134=1,B134&lt;&gt;""),SUBSTITUTE(SUBSTITUTE(SUBSTITUTE(SUBSTITUTE(SUBSTITUTE(SUBSTITUTE(SUBSTITUTE(SUBSTITUTE(SUBSTITUTE(SUBSTITUTE(SUBSTITUTE(SUBSTITUTE(LOWER(TRIM(B134)),"á","a"),"é","e"),"í","i"),"ó","o"),"ú","u"),"ü","u"),"ñ","n"),"à","a"),"è","e"),"ì","i"),"ò","o"),"ù","u"),"")</f>
        <v/>
      </c>
      <c r="P134" s="25">
        <f>IF(AND(L134=1,C134&lt;&gt;""),SUBSTITUTE(SUBSTITUTE(SUBSTITUTE(SUBSTITUTE(SUBSTITUTE(SUBSTITUTE(SUBSTITUTE(SUBSTITUTE(SUBSTITUTE(SUBSTITUTE(SUBSTITUTE(SUBSTITUTE(LOWER(TRIM(C134)),"á","a"),"é","e"),"í","i"),"ó","o"),"ú","u"),"ü","u"),"ñ","n"),"à","a"),"è","e"),"ì","i"),"ò","o"),"ù","u"),"")</f>
        <v/>
      </c>
      <c r="Q134" s="25">
        <f>IF(AND(L134=1,E134&lt;&gt;""),SUBSTITUTE(SUBSTITUTE(SUBSTITUTE(SUBSTITUTE(SUBSTITUTE(SUBSTITUTE(SUBSTITUTE(SUBSTITUTE(SUBSTITUTE(SUBSTITUTE(SUBSTITUTE(SUBSTITUTE(LOWER(TRIM(E134)),"á","a"),"é","e"),"í","i"),"ó","o"),"ú","u"),"ü","u"),"ñ","n"),"à","a"),"è","e"),"ì","i"),"ò","o"),"ù","u"),"")</f>
        <v/>
      </c>
      <c r="R134" s="25">
        <f>IF(AND(L134=1,I134&lt;&gt;""),SUBSTITUTE(SUBSTITUTE(SUBSTITUTE(SUBSTITUTE(SUBSTITUTE(SUBSTITUTE(SUBSTITUTE(SUBSTITUTE(SUBSTITUTE(SUBSTITUTE(SUBSTITUTE(SUBSTITUTE(LOWER(TRIM(I134)),"á","a"),"é","e"),"í","i"),"ó","o"),"ú","u"),"ü","u"),"ñ","n"),"à","a"),"è","e"),"ì","i"),"ò","o"),"ù","u"),"")</f>
        <v/>
      </c>
      <c r="S134" s="25">
        <f>IF(R134="","",IF(OR(R134="si",R134="tal vez"),1,0))</f>
        <v/>
      </c>
      <c r="T134" s="25">
        <f>IF(AND(L134=1,D134&lt;&gt;""),IF(IFERROR(COUNTIFS(D$3:D134,"="&amp;SUBSTITUTE(SUBSTITUTE(SUBSTITUTE(D134,"~","~~"),"*","~*"),"?","~?"),L$3:L134,1),0)=1,MAX(T$2:T133)+1,""),"")</f>
        <v/>
      </c>
      <c r="U134" s="25">
        <f>IF(T134="","",COUNTIFS($D$3:$D$1002,"="&amp;SUBSTITUTE(SUBSTITUTE(SUBSTITUTE(D134,"~","~~"),"*","~*"),"?","~?"),$L$3:$L$1002,1)*10000-T134)</f>
        <v/>
      </c>
      <c r="V134" s="25">
        <f>IF(AND(L134=1,J134&lt;&gt;""),IF(IFERROR(COUNTIFS(J$3:J134,"="&amp;SUBSTITUTE(SUBSTITUTE(SUBSTITUTE(J134,"~","~~"),"*","~*"),"?","~?"),L$3:L134,1),0)=1,MAX(V$2:V133)+1,""),"")</f>
        <v/>
      </c>
      <c r="W134" s="25">
        <f>IF(V134="","",COUNTIFS($J$3:$J$1002,"="&amp;SUBSTITUTE(SUBSTITUTE(SUBSTITUTE(J134,"~","~~"),"*","~*"),"?","~?"),$L$3:$L$1002,1)*10000-V134)</f>
        <v/>
      </c>
    </row>
    <row r="135">
      <c r="A135">
        <f>IF(A$2=0,"",IFERROR(TRIM(INDEX('Pegar estudiantes'!$A$1:$BZ$1001,134,A$2)&amp;""),""))</f>
        <v/>
      </c>
      <c r="B135">
        <f>IF(B$2=0,"",IFERROR(TRIM(INDEX('Pegar estudiantes'!$A$1:$BZ$1001,134,B$2)&amp;""),""))</f>
        <v/>
      </c>
      <c r="C135">
        <f>IF(C$2=0,"",IFERROR(TRIM(INDEX('Pegar estudiantes'!$A$1:$BZ$1001,134,C$2)&amp;""),""))</f>
        <v/>
      </c>
      <c r="D135">
        <f>IF(D$2=0,"",IFERROR(TRIM(INDEX('Pegar estudiantes'!$A$1:$BZ$1001,134,D$2)&amp;""),""))</f>
        <v/>
      </c>
      <c r="E135">
        <f>IF(E$2=0,"",IFERROR(TRIM(INDEX('Pegar estudiantes'!$A$1:$BZ$1001,134,E$2)&amp;""),""))</f>
        <v/>
      </c>
      <c r="F135">
        <f>IF(F$2=0,"",IFERROR(TRIM(INDEX('Pegar estudiantes'!$A$1:$BZ$1001,134,F$2)&amp;""),""))</f>
        <v/>
      </c>
      <c r="G135">
        <f>IF(G$2=0,"",IFERROR(TRIM(INDEX('Pegar estudiantes'!$A$1:$BZ$1001,134,G$2)&amp;""),""))</f>
        <v/>
      </c>
      <c r="H135">
        <f>IF(H$2=0,"",IFERROR(TRIM(INDEX('Pegar estudiantes'!$A$1:$BZ$1001,134,H$2)&amp;""),""))</f>
        <v/>
      </c>
      <c r="I135">
        <f>IF(I$2=0,"",IFERROR(TRIM(INDEX('Pegar estudiantes'!$A$1:$BZ$1001,134,I$2)&amp;""),""))</f>
        <v/>
      </c>
      <c r="J135">
        <f>IF(J$2=0,"",IFERROR(TRIM(INDEX('Pegar estudiantes'!$A$1:$BZ$1001,134,J$2)&amp;""),""))</f>
        <v/>
      </c>
      <c r="K135">
        <f>IF(K$2=0,"",IFERROR(TRIM(INDEX('Pegar estudiantes'!$A$1:$BZ$1001,134,K$2)&amp;""),""))</f>
        <v/>
      </c>
      <c r="L135" s="25">
        <f>IF(A135&lt;&gt;"",1,"")</f>
        <v/>
      </c>
      <c r="M135" s="25">
        <f>IF(L135=1,IF(ISNUMBER(FIND("#"&amp;MID(A135,1,1)&amp;"#","#0#1#2#3#4#5#6#7#8#9#")),IF(ISNUMBER(FIND("#"&amp;MID(A135,2,1)&amp;"#","#0#1#2#3#4#5#6#7#8#9#")),IF(AND(VALUE(LEFT(A135,2))&gt;=1,VALUE(LEFT(A135,2))&lt;=5),VALUE(LEFT(A135,2)),""),IF(AND(VALUE(LEFT(A135,1))&gt;=1,VALUE(LEFT(A135,1))&lt;=5),VALUE(LEFT(A135,1)),"")),""),"")</f>
        <v/>
      </c>
      <c r="N135" s="25">
        <f>IF(L135=1,IF(ISNUMBER(FIND("#"&amp;MID(H135,1,1)&amp;"#","#0#1#2#3#4#5#6#7#8#9#")),IF(ISNUMBER(FIND("#"&amp;MID(H135,2,1)&amp;"#","#0#1#2#3#4#5#6#7#8#9#")),IF(AND(VALUE(LEFT(H135,2))&gt;=1,VALUE(LEFT(H135,2))&lt;=5),VALUE(LEFT(H135,2)),""),IF(AND(VALUE(LEFT(H135,1))&gt;=1,VALUE(LEFT(H135,1))&lt;=5),VALUE(LEFT(H135,1)),"")),""),"")</f>
        <v/>
      </c>
      <c r="O135" s="25">
        <f>IF(AND(L135=1,B135&lt;&gt;""),SUBSTITUTE(SUBSTITUTE(SUBSTITUTE(SUBSTITUTE(SUBSTITUTE(SUBSTITUTE(SUBSTITUTE(SUBSTITUTE(SUBSTITUTE(SUBSTITUTE(SUBSTITUTE(SUBSTITUTE(LOWER(TRIM(B135)),"á","a"),"é","e"),"í","i"),"ó","o"),"ú","u"),"ü","u"),"ñ","n"),"à","a"),"è","e"),"ì","i"),"ò","o"),"ù","u"),"")</f>
        <v/>
      </c>
      <c r="P135" s="25">
        <f>IF(AND(L135=1,C135&lt;&gt;""),SUBSTITUTE(SUBSTITUTE(SUBSTITUTE(SUBSTITUTE(SUBSTITUTE(SUBSTITUTE(SUBSTITUTE(SUBSTITUTE(SUBSTITUTE(SUBSTITUTE(SUBSTITUTE(SUBSTITUTE(LOWER(TRIM(C135)),"á","a"),"é","e"),"í","i"),"ó","o"),"ú","u"),"ü","u"),"ñ","n"),"à","a"),"è","e"),"ì","i"),"ò","o"),"ù","u"),"")</f>
        <v/>
      </c>
      <c r="Q135" s="25">
        <f>IF(AND(L135=1,E135&lt;&gt;""),SUBSTITUTE(SUBSTITUTE(SUBSTITUTE(SUBSTITUTE(SUBSTITUTE(SUBSTITUTE(SUBSTITUTE(SUBSTITUTE(SUBSTITUTE(SUBSTITUTE(SUBSTITUTE(SUBSTITUTE(LOWER(TRIM(E135)),"á","a"),"é","e"),"í","i"),"ó","o"),"ú","u"),"ü","u"),"ñ","n"),"à","a"),"è","e"),"ì","i"),"ò","o"),"ù","u"),"")</f>
        <v/>
      </c>
      <c r="R135" s="25">
        <f>IF(AND(L135=1,I135&lt;&gt;""),SUBSTITUTE(SUBSTITUTE(SUBSTITUTE(SUBSTITUTE(SUBSTITUTE(SUBSTITUTE(SUBSTITUTE(SUBSTITUTE(SUBSTITUTE(SUBSTITUTE(SUBSTITUTE(SUBSTITUTE(LOWER(TRIM(I135)),"á","a"),"é","e"),"í","i"),"ó","o"),"ú","u"),"ü","u"),"ñ","n"),"à","a"),"è","e"),"ì","i"),"ò","o"),"ù","u"),"")</f>
        <v/>
      </c>
      <c r="S135" s="25">
        <f>IF(R135="","",IF(OR(R135="si",R135="tal vez"),1,0))</f>
        <v/>
      </c>
      <c r="T135" s="25">
        <f>IF(AND(L135=1,D135&lt;&gt;""),IF(IFERROR(COUNTIFS(D$3:D135,"="&amp;SUBSTITUTE(SUBSTITUTE(SUBSTITUTE(D135,"~","~~"),"*","~*"),"?","~?"),L$3:L135,1),0)=1,MAX(T$2:T134)+1,""),"")</f>
        <v/>
      </c>
      <c r="U135" s="25">
        <f>IF(T135="","",COUNTIFS($D$3:$D$1002,"="&amp;SUBSTITUTE(SUBSTITUTE(SUBSTITUTE(D135,"~","~~"),"*","~*"),"?","~?"),$L$3:$L$1002,1)*10000-T135)</f>
        <v/>
      </c>
      <c r="V135" s="25">
        <f>IF(AND(L135=1,J135&lt;&gt;""),IF(IFERROR(COUNTIFS(J$3:J135,"="&amp;SUBSTITUTE(SUBSTITUTE(SUBSTITUTE(J135,"~","~~"),"*","~*"),"?","~?"),L$3:L135,1),0)=1,MAX(V$2:V134)+1,""),"")</f>
        <v/>
      </c>
      <c r="W135" s="25">
        <f>IF(V135="","",COUNTIFS($J$3:$J$1002,"="&amp;SUBSTITUTE(SUBSTITUTE(SUBSTITUTE(J135,"~","~~"),"*","~*"),"?","~?"),$L$3:$L$1002,1)*10000-V135)</f>
        <v/>
      </c>
    </row>
    <row r="136">
      <c r="A136">
        <f>IF(A$2=0,"",IFERROR(TRIM(INDEX('Pegar estudiantes'!$A$1:$BZ$1001,135,A$2)&amp;""),""))</f>
        <v/>
      </c>
      <c r="B136">
        <f>IF(B$2=0,"",IFERROR(TRIM(INDEX('Pegar estudiantes'!$A$1:$BZ$1001,135,B$2)&amp;""),""))</f>
        <v/>
      </c>
      <c r="C136">
        <f>IF(C$2=0,"",IFERROR(TRIM(INDEX('Pegar estudiantes'!$A$1:$BZ$1001,135,C$2)&amp;""),""))</f>
        <v/>
      </c>
      <c r="D136">
        <f>IF(D$2=0,"",IFERROR(TRIM(INDEX('Pegar estudiantes'!$A$1:$BZ$1001,135,D$2)&amp;""),""))</f>
        <v/>
      </c>
      <c r="E136">
        <f>IF(E$2=0,"",IFERROR(TRIM(INDEX('Pegar estudiantes'!$A$1:$BZ$1001,135,E$2)&amp;""),""))</f>
        <v/>
      </c>
      <c r="F136">
        <f>IF(F$2=0,"",IFERROR(TRIM(INDEX('Pegar estudiantes'!$A$1:$BZ$1001,135,F$2)&amp;""),""))</f>
        <v/>
      </c>
      <c r="G136">
        <f>IF(G$2=0,"",IFERROR(TRIM(INDEX('Pegar estudiantes'!$A$1:$BZ$1001,135,G$2)&amp;""),""))</f>
        <v/>
      </c>
      <c r="H136">
        <f>IF(H$2=0,"",IFERROR(TRIM(INDEX('Pegar estudiantes'!$A$1:$BZ$1001,135,H$2)&amp;""),""))</f>
        <v/>
      </c>
      <c r="I136">
        <f>IF(I$2=0,"",IFERROR(TRIM(INDEX('Pegar estudiantes'!$A$1:$BZ$1001,135,I$2)&amp;""),""))</f>
        <v/>
      </c>
      <c r="J136">
        <f>IF(J$2=0,"",IFERROR(TRIM(INDEX('Pegar estudiantes'!$A$1:$BZ$1001,135,J$2)&amp;""),""))</f>
        <v/>
      </c>
      <c r="K136">
        <f>IF(K$2=0,"",IFERROR(TRIM(INDEX('Pegar estudiantes'!$A$1:$BZ$1001,135,K$2)&amp;""),""))</f>
        <v/>
      </c>
      <c r="L136" s="25">
        <f>IF(A136&lt;&gt;"",1,"")</f>
        <v/>
      </c>
      <c r="M136" s="25">
        <f>IF(L136=1,IF(ISNUMBER(FIND("#"&amp;MID(A136,1,1)&amp;"#","#0#1#2#3#4#5#6#7#8#9#")),IF(ISNUMBER(FIND("#"&amp;MID(A136,2,1)&amp;"#","#0#1#2#3#4#5#6#7#8#9#")),IF(AND(VALUE(LEFT(A136,2))&gt;=1,VALUE(LEFT(A136,2))&lt;=5),VALUE(LEFT(A136,2)),""),IF(AND(VALUE(LEFT(A136,1))&gt;=1,VALUE(LEFT(A136,1))&lt;=5),VALUE(LEFT(A136,1)),"")),""),"")</f>
        <v/>
      </c>
      <c r="N136" s="25">
        <f>IF(L136=1,IF(ISNUMBER(FIND("#"&amp;MID(H136,1,1)&amp;"#","#0#1#2#3#4#5#6#7#8#9#")),IF(ISNUMBER(FIND("#"&amp;MID(H136,2,1)&amp;"#","#0#1#2#3#4#5#6#7#8#9#")),IF(AND(VALUE(LEFT(H136,2))&gt;=1,VALUE(LEFT(H136,2))&lt;=5),VALUE(LEFT(H136,2)),""),IF(AND(VALUE(LEFT(H136,1))&gt;=1,VALUE(LEFT(H136,1))&lt;=5),VALUE(LEFT(H136,1)),"")),""),"")</f>
        <v/>
      </c>
      <c r="O136" s="25">
        <f>IF(AND(L136=1,B136&lt;&gt;""),SUBSTITUTE(SUBSTITUTE(SUBSTITUTE(SUBSTITUTE(SUBSTITUTE(SUBSTITUTE(SUBSTITUTE(SUBSTITUTE(SUBSTITUTE(SUBSTITUTE(SUBSTITUTE(SUBSTITUTE(LOWER(TRIM(B136)),"á","a"),"é","e"),"í","i"),"ó","o"),"ú","u"),"ü","u"),"ñ","n"),"à","a"),"è","e"),"ì","i"),"ò","o"),"ù","u"),"")</f>
        <v/>
      </c>
      <c r="P136" s="25">
        <f>IF(AND(L136=1,C136&lt;&gt;""),SUBSTITUTE(SUBSTITUTE(SUBSTITUTE(SUBSTITUTE(SUBSTITUTE(SUBSTITUTE(SUBSTITUTE(SUBSTITUTE(SUBSTITUTE(SUBSTITUTE(SUBSTITUTE(SUBSTITUTE(LOWER(TRIM(C136)),"á","a"),"é","e"),"í","i"),"ó","o"),"ú","u"),"ü","u"),"ñ","n"),"à","a"),"è","e"),"ì","i"),"ò","o"),"ù","u"),"")</f>
        <v/>
      </c>
      <c r="Q136" s="25">
        <f>IF(AND(L136=1,E136&lt;&gt;""),SUBSTITUTE(SUBSTITUTE(SUBSTITUTE(SUBSTITUTE(SUBSTITUTE(SUBSTITUTE(SUBSTITUTE(SUBSTITUTE(SUBSTITUTE(SUBSTITUTE(SUBSTITUTE(SUBSTITUTE(LOWER(TRIM(E136)),"á","a"),"é","e"),"í","i"),"ó","o"),"ú","u"),"ü","u"),"ñ","n"),"à","a"),"è","e"),"ì","i"),"ò","o"),"ù","u"),"")</f>
        <v/>
      </c>
      <c r="R136" s="25">
        <f>IF(AND(L136=1,I136&lt;&gt;""),SUBSTITUTE(SUBSTITUTE(SUBSTITUTE(SUBSTITUTE(SUBSTITUTE(SUBSTITUTE(SUBSTITUTE(SUBSTITUTE(SUBSTITUTE(SUBSTITUTE(SUBSTITUTE(SUBSTITUTE(LOWER(TRIM(I136)),"á","a"),"é","e"),"í","i"),"ó","o"),"ú","u"),"ü","u"),"ñ","n"),"à","a"),"è","e"),"ì","i"),"ò","o"),"ù","u"),"")</f>
        <v/>
      </c>
      <c r="S136" s="25">
        <f>IF(R136="","",IF(OR(R136="si",R136="tal vez"),1,0))</f>
        <v/>
      </c>
      <c r="T136" s="25">
        <f>IF(AND(L136=1,D136&lt;&gt;""),IF(IFERROR(COUNTIFS(D$3:D136,"="&amp;SUBSTITUTE(SUBSTITUTE(SUBSTITUTE(D136,"~","~~"),"*","~*"),"?","~?"),L$3:L136,1),0)=1,MAX(T$2:T135)+1,""),"")</f>
        <v/>
      </c>
      <c r="U136" s="25">
        <f>IF(T136="","",COUNTIFS($D$3:$D$1002,"="&amp;SUBSTITUTE(SUBSTITUTE(SUBSTITUTE(D136,"~","~~"),"*","~*"),"?","~?"),$L$3:$L$1002,1)*10000-T136)</f>
        <v/>
      </c>
      <c r="V136" s="25">
        <f>IF(AND(L136=1,J136&lt;&gt;""),IF(IFERROR(COUNTIFS(J$3:J136,"="&amp;SUBSTITUTE(SUBSTITUTE(SUBSTITUTE(J136,"~","~~"),"*","~*"),"?","~?"),L$3:L136,1),0)=1,MAX(V$2:V135)+1,""),"")</f>
        <v/>
      </c>
      <c r="W136" s="25">
        <f>IF(V136="","",COUNTIFS($J$3:$J$1002,"="&amp;SUBSTITUTE(SUBSTITUTE(SUBSTITUTE(J136,"~","~~"),"*","~*"),"?","~?"),$L$3:$L$1002,1)*10000-V136)</f>
        <v/>
      </c>
    </row>
    <row r="137">
      <c r="A137">
        <f>IF(A$2=0,"",IFERROR(TRIM(INDEX('Pegar estudiantes'!$A$1:$BZ$1001,136,A$2)&amp;""),""))</f>
        <v/>
      </c>
      <c r="B137">
        <f>IF(B$2=0,"",IFERROR(TRIM(INDEX('Pegar estudiantes'!$A$1:$BZ$1001,136,B$2)&amp;""),""))</f>
        <v/>
      </c>
      <c r="C137">
        <f>IF(C$2=0,"",IFERROR(TRIM(INDEX('Pegar estudiantes'!$A$1:$BZ$1001,136,C$2)&amp;""),""))</f>
        <v/>
      </c>
      <c r="D137">
        <f>IF(D$2=0,"",IFERROR(TRIM(INDEX('Pegar estudiantes'!$A$1:$BZ$1001,136,D$2)&amp;""),""))</f>
        <v/>
      </c>
      <c r="E137">
        <f>IF(E$2=0,"",IFERROR(TRIM(INDEX('Pegar estudiantes'!$A$1:$BZ$1001,136,E$2)&amp;""),""))</f>
        <v/>
      </c>
      <c r="F137">
        <f>IF(F$2=0,"",IFERROR(TRIM(INDEX('Pegar estudiantes'!$A$1:$BZ$1001,136,F$2)&amp;""),""))</f>
        <v/>
      </c>
      <c r="G137">
        <f>IF(G$2=0,"",IFERROR(TRIM(INDEX('Pegar estudiantes'!$A$1:$BZ$1001,136,G$2)&amp;""),""))</f>
        <v/>
      </c>
      <c r="H137">
        <f>IF(H$2=0,"",IFERROR(TRIM(INDEX('Pegar estudiantes'!$A$1:$BZ$1001,136,H$2)&amp;""),""))</f>
        <v/>
      </c>
      <c r="I137">
        <f>IF(I$2=0,"",IFERROR(TRIM(INDEX('Pegar estudiantes'!$A$1:$BZ$1001,136,I$2)&amp;""),""))</f>
        <v/>
      </c>
      <c r="J137">
        <f>IF(J$2=0,"",IFERROR(TRIM(INDEX('Pegar estudiantes'!$A$1:$BZ$1001,136,J$2)&amp;""),""))</f>
        <v/>
      </c>
      <c r="K137">
        <f>IF(K$2=0,"",IFERROR(TRIM(INDEX('Pegar estudiantes'!$A$1:$BZ$1001,136,K$2)&amp;""),""))</f>
        <v/>
      </c>
      <c r="L137" s="25">
        <f>IF(A137&lt;&gt;"",1,"")</f>
        <v/>
      </c>
      <c r="M137" s="25">
        <f>IF(L137=1,IF(ISNUMBER(FIND("#"&amp;MID(A137,1,1)&amp;"#","#0#1#2#3#4#5#6#7#8#9#")),IF(ISNUMBER(FIND("#"&amp;MID(A137,2,1)&amp;"#","#0#1#2#3#4#5#6#7#8#9#")),IF(AND(VALUE(LEFT(A137,2))&gt;=1,VALUE(LEFT(A137,2))&lt;=5),VALUE(LEFT(A137,2)),""),IF(AND(VALUE(LEFT(A137,1))&gt;=1,VALUE(LEFT(A137,1))&lt;=5),VALUE(LEFT(A137,1)),"")),""),"")</f>
        <v/>
      </c>
      <c r="N137" s="25">
        <f>IF(L137=1,IF(ISNUMBER(FIND("#"&amp;MID(H137,1,1)&amp;"#","#0#1#2#3#4#5#6#7#8#9#")),IF(ISNUMBER(FIND("#"&amp;MID(H137,2,1)&amp;"#","#0#1#2#3#4#5#6#7#8#9#")),IF(AND(VALUE(LEFT(H137,2))&gt;=1,VALUE(LEFT(H137,2))&lt;=5),VALUE(LEFT(H137,2)),""),IF(AND(VALUE(LEFT(H137,1))&gt;=1,VALUE(LEFT(H137,1))&lt;=5),VALUE(LEFT(H137,1)),"")),""),"")</f>
        <v/>
      </c>
      <c r="O137" s="25">
        <f>IF(AND(L137=1,B137&lt;&gt;""),SUBSTITUTE(SUBSTITUTE(SUBSTITUTE(SUBSTITUTE(SUBSTITUTE(SUBSTITUTE(SUBSTITUTE(SUBSTITUTE(SUBSTITUTE(SUBSTITUTE(SUBSTITUTE(SUBSTITUTE(LOWER(TRIM(B137)),"á","a"),"é","e"),"í","i"),"ó","o"),"ú","u"),"ü","u"),"ñ","n"),"à","a"),"è","e"),"ì","i"),"ò","o"),"ù","u"),"")</f>
        <v/>
      </c>
      <c r="P137" s="25">
        <f>IF(AND(L137=1,C137&lt;&gt;""),SUBSTITUTE(SUBSTITUTE(SUBSTITUTE(SUBSTITUTE(SUBSTITUTE(SUBSTITUTE(SUBSTITUTE(SUBSTITUTE(SUBSTITUTE(SUBSTITUTE(SUBSTITUTE(SUBSTITUTE(LOWER(TRIM(C137)),"á","a"),"é","e"),"í","i"),"ó","o"),"ú","u"),"ü","u"),"ñ","n"),"à","a"),"è","e"),"ì","i"),"ò","o"),"ù","u"),"")</f>
        <v/>
      </c>
      <c r="Q137" s="25">
        <f>IF(AND(L137=1,E137&lt;&gt;""),SUBSTITUTE(SUBSTITUTE(SUBSTITUTE(SUBSTITUTE(SUBSTITUTE(SUBSTITUTE(SUBSTITUTE(SUBSTITUTE(SUBSTITUTE(SUBSTITUTE(SUBSTITUTE(SUBSTITUTE(LOWER(TRIM(E137)),"á","a"),"é","e"),"í","i"),"ó","o"),"ú","u"),"ü","u"),"ñ","n"),"à","a"),"è","e"),"ì","i"),"ò","o"),"ù","u"),"")</f>
        <v/>
      </c>
      <c r="R137" s="25">
        <f>IF(AND(L137=1,I137&lt;&gt;""),SUBSTITUTE(SUBSTITUTE(SUBSTITUTE(SUBSTITUTE(SUBSTITUTE(SUBSTITUTE(SUBSTITUTE(SUBSTITUTE(SUBSTITUTE(SUBSTITUTE(SUBSTITUTE(SUBSTITUTE(LOWER(TRIM(I137)),"á","a"),"é","e"),"í","i"),"ó","o"),"ú","u"),"ü","u"),"ñ","n"),"à","a"),"è","e"),"ì","i"),"ò","o"),"ù","u"),"")</f>
        <v/>
      </c>
      <c r="S137" s="25">
        <f>IF(R137="","",IF(OR(R137="si",R137="tal vez"),1,0))</f>
        <v/>
      </c>
      <c r="T137" s="25">
        <f>IF(AND(L137=1,D137&lt;&gt;""),IF(IFERROR(COUNTIFS(D$3:D137,"="&amp;SUBSTITUTE(SUBSTITUTE(SUBSTITUTE(D137,"~","~~"),"*","~*"),"?","~?"),L$3:L137,1),0)=1,MAX(T$2:T136)+1,""),"")</f>
        <v/>
      </c>
      <c r="U137" s="25">
        <f>IF(T137="","",COUNTIFS($D$3:$D$1002,"="&amp;SUBSTITUTE(SUBSTITUTE(SUBSTITUTE(D137,"~","~~"),"*","~*"),"?","~?"),$L$3:$L$1002,1)*10000-T137)</f>
        <v/>
      </c>
      <c r="V137" s="25">
        <f>IF(AND(L137=1,J137&lt;&gt;""),IF(IFERROR(COUNTIFS(J$3:J137,"="&amp;SUBSTITUTE(SUBSTITUTE(SUBSTITUTE(J137,"~","~~"),"*","~*"),"?","~?"),L$3:L137,1),0)=1,MAX(V$2:V136)+1,""),"")</f>
        <v/>
      </c>
      <c r="W137" s="25">
        <f>IF(V137="","",COUNTIFS($J$3:$J$1002,"="&amp;SUBSTITUTE(SUBSTITUTE(SUBSTITUTE(J137,"~","~~"),"*","~*"),"?","~?"),$L$3:$L$1002,1)*10000-V137)</f>
        <v/>
      </c>
    </row>
    <row r="138">
      <c r="A138">
        <f>IF(A$2=0,"",IFERROR(TRIM(INDEX('Pegar estudiantes'!$A$1:$BZ$1001,137,A$2)&amp;""),""))</f>
        <v/>
      </c>
      <c r="B138">
        <f>IF(B$2=0,"",IFERROR(TRIM(INDEX('Pegar estudiantes'!$A$1:$BZ$1001,137,B$2)&amp;""),""))</f>
        <v/>
      </c>
      <c r="C138">
        <f>IF(C$2=0,"",IFERROR(TRIM(INDEX('Pegar estudiantes'!$A$1:$BZ$1001,137,C$2)&amp;""),""))</f>
        <v/>
      </c>
      <c r="D138">
        <f>IF(D$2=0,"",IFERROR(TRIM(INDEX('Pegar estudiantes'!$A$1:$BZ$1001,137,D$2)&amp;""),""))</f>
        <v/>
      </c>
      <c r="E138">
        <f>IF(E$2=0,"",IFERROR(TRIM(INDEX('Pegar estudiantes'!$A$1:$BZ$1001,137,E$2)&amp;""),""))</f>
        <v/>
      </c>
      <c r="F138">
        <f>IF(F$2=0,"",IFERROR(TRIM(INDEX('Pegar estudiantes'!$A$1:$BZ$1001,137,F$2)&amp;""),""))</f>
        <v/>
      </c>
      <c r="G138">
        <f>IF(G$2=0,"",IFERROR(TRIM(INDEX('Pegar estudiantes'!$A$1:$BZ$1001,137,G$2)&amp;""),""))</f>
        <v/>
      </c>
      <c r="H138">
        <f>IF(H$2=0,"",IFERROR(TRIM(INDEX('Pegar estudiantes'!$A$1:$BZ$1001,137,H$2)&amp;""),""))</f>
        <v/>
      </c>
      <c r="I138">
        <f>IF(I$2=0,"",IFERROR(TRIM(INDEX('Pegar estudiantes'!$A$1:$BZ$1001,137,I$2)&amp;""),""))</f>
        <v/>
      </c>
      <c r="J138">
        <f>IF(J$2=0,"",IFERROR(TRIM(INDEX('Pegar estudiantes'!$A$1:$BZ$1001,137,J$2)&amp;""),""))</f>
        <v/>
      </c>
      <c r="K138">
        <f>IF(K$2=0,"",IFERROR(TRIM(INDEX('Pegar estudiantes'!$A$1:$BZ$1001,137,K$2)&amp;""),""))</f>
        <v/>
      </c>
      <c r="L138" s="25">
        <f>IF(A138&lt;&gt;"",1,"")</f>
        <v/>
      </c>
      <c r="M138" s="25">
        <f>IF(L138=1,IF(ISNUMBER(FIND("#"&amp;MID(A138,1,1)&amp;"#","#0#1#2#3#4#5#6#7#8#9#")),IF(ISNUMBER(FIND("#"&amp;MID(A138,2,1)&amp;"#","#0#1#2#3#4#5#6#7#8#9#")),IF(AND(VALUE(LEFT(A138,2))&gt;=1,VALUE(LEFT(A138,2))&lt;=5),VALUE(LEFT(A138,2)),""),IF(AND(VALUE(LEFT(A138,1))&gt;=1,VALUE(LEFT(A138,1))&lt;=5),VALUE(LEFT(A138,1)),"")),""),"")</f>
        <v/>
      </c>
      <c r="N138" s="25">
        <f>IF(L138=1,IF(ISNUMBER(FIND("#"&amp;MID(H138,1,1)&amp;"#","#0#1#2#3#4#5#6#7#8#9#")),IF(ISNUMBER(FIND("#"&amp;MID(H138,2,1)&amp;"#","#0#1#2#3#4#5#6#7#8#9#")),IF(AND(VALUE(LEFT(H138,2))&gt;=1,VALUE(LEFT(H138,2))&lt;=5),VALUE(LEFT(H138,2)),""),IF(AND(VALUE(LEFT(H138,1))&gt;=1,VALUE(LEFT(H138,1))&lt;=5),VALUE(LEFT(H138,1)),"")),""),"")</f>
        <v/>
      </c>
      <c r="O138" s="25">
        <f>IF(AND(L138=1,B138&lt;&gt;""),SUBSTITUTE(SUBSTITUTE(SUBSTITUTE(SUBSTITUTE(SUBSTITUTE(SUBSTITUTE(SUBSTITUTE(SUBSTITUTE(SUBSTITUTE(SUBSTITUTE(SUBSTITUTE(SUBSTITUTE(LOWER(TRIM(B138)),"á","a"),"é","e"),"í","i"),"ó","o"),"ú","u"),"ü","u"),"ñ","n"),"à","a"),"è","e"),"ì","i"),"ò","o"),"ù","u"),"")</f>
        <v/>
      </c>
      <c r="P138" s="25">
        <f>IF(AND(L138=1,C138&lt;&gt;""),SUBSTITUTE(SUBSTITUTE(SUBSTITUTE(SUBSTITUTE(SUBSTITUTE(SUBSTITUTE(SUBSTITUTE(SUBSTITUTE(SUBSTITUTE(SUBSTITUTE(SUBSTITUTE(SUBSTITUTE(LOWER(TRIM(C138)),"á","a"),"é","e"),"í","i"),"ó","o"),"ú","u"),"ü","u"),"ñ","n"),"à","a"),"è","e"),"ì","i"),"ò","o"),"ù","u"),"")</f>
        <v/>
      </c>
      <c r="Q138" s="25">
        <f>IF(AND(L138=1,E138&lt;&gt;""),SUBSTITUTE(SUBSTITUTE(SUBSTITUTE(SUBSTITUTE(SUBSTITUTE(SUBSTITUTE(SUBSTITUTE(SUBSTITUTE(SUBSTITUTE(SUBSTITUTE(SUBSTITUTE(SUBSTITUTE(LOWER(TRIM(E138)),"á","a"),"é","e"),"í","i"),"ó","o"),"ú","u"),"ü","u"),"ñ","n"),"à","a"),"è","e"),"ì","i"),"ò","o"),"ù","u"),"")</f>
        <v/>
      </c>
      <c r="R138" s="25">
        <f>IF(AND(L138=1,I138&lt;&gt;""),SUBSTITUTE(SUBSTITUTE(SUBSTITUTE(SUBSTITUTE(SUBSTITUTE(SUBSTITUTE(SUBSTITUTE(SUBSTITUTE(SUBSTITUTE(SUBSTITUTE(SUBSTITUTE(SUBSTITUTE(LOWER(TRIM(I138)),"á","a"),"é","e"),"í","i"),"ó","o"),"ú","u"),"ü","u"),"ñ","n"),"à","a"),"è","e"),"ì","i"),"ò","o"),"ù","u"),"")</f>
        <v/>
      </c>
      <c r="S138" s="25">
        <f>IF(R138="","",IF(OR(R138="si",R138="tal vez"),1,0))</f>
        <v/>
      </c>
      <c r="T138" s="25">
        <f>IF(AND(L138=1,D138&lt;&gt;""),IF(IFERROR(COUNTIFS(D$3:D138,"="&amp;SUBSTITUTE(SUBSTITUTE(SUBSTITUTE(D138,"~","~~"),"*","~*"),"?","~?"),L$3:L138,1),0)=1,MAX(T$2:T137)+1,""),"")</f>
        <v/>
      </c>
      <c r="U138" s="25">
        <f>IF(T138="","",COUNTIFS($D$3:$D$1002,"="&amp;SUBSTITUTE(SUBSTITUTE(SUBSTITUTE(D138,"~","~~"),"*","~*"),"?","~?"),$L$3:$L$1002,1)*10000-T138)</f>
        <v/>
      </c>
      <c r="V138" s="25">
        <f>IF(AND(L138=1,J138&lt;&gt;""),IF(IFERROR(COUNTIFS(J$3:J138,"="&amp;SUBSTITUTE(SUBSTITUTE(SUBSTITUTE(J138,"~","~~"),"*","~*"),"?","~?"),L$3:L138,1),0)=1,MAX(V$2:V137)+1,""),"")</f>
        <v/>
      </c>
      <c r="W138" s="25">
        <f>IF(V138="","",COUNTIFS($J$3:$J$1002,"="&amp;SUBSTITUTE(SUBSTITUTE(SUBSTITUTE(J138,"~","~~"),"*","~*"),"?","~?"),$L$3:$L$1002,1)*10000-V138)</f>
        <v/>
      </c>
    </row>
    <row r="139">
      <c r="A139">
        <f>IF(A$2=0,"",IFERROR(TRIM(INDEX('Pegar estudiantes'!$A$1:$BZ$1001,138,A$2)&amp;""),""))</f>
        <v/>
      </c>
      <c r="B139">
        <f>IF(B$2=0,"",IFERROR(TRIM(INDEX('Pegar estudiantes'!$A$1:$BZ$1001,138,B$2)&amp;""),""))</f>
        <v/>
      </c>
      <c r="C139">
        <f>IF(C$2=0,"",IFERROR(TRIM(INDEX('Pegar estudiantes'!$A$1:$BZ$1001,138,C$2)&amp;""),""))</f>
        <v/>
      </c>
      <c r="D139">
        <f>IF(D$2=0,"",IFERROR(TRIM(INDEX('Pegar estudiantes'!$A$1:$BZ$1001,138,D$2)&amp;""),""))</f>
        <v/>
      </c>
      <c r="E139">
        <f>IF(E$2=0,"",IFERROR(TRIM(INDEX('Pegar estudiantes'!$A$1:$BZ$1001,138,E$2)&amp;""),""))</f>
        <v/>
      </c>
      <c r="F139">
        <f>IF(F$2=0,"",IFERROR(TRIM(INDEX('Pegar estudiantes'!$A$1:$BZ$1001,138,F$2)&amp;""),""))</f>
        <v/>
      </c>
      <c r="G139">
        <f>IF(G$2=0,"",IFERROR(TRIM(INDEX('Pegar estudiantes'!$A$1:$BZ$1001,138,G$2)&amp;""),""))</f>
        <v/>
      </c>
      <c r="H139">
        <f>IF(H$2=0,"",IFERROR(TRIM(INDEX('Pegar estudiantes'!$A$1:$BZ$1001,138,H$2)&amp;""),""))</f>
        <v/>
      </c>
      <c r="I139">
        <f>IF(I$2=0,"",IFERROR(TRIM(INDEX('Pegar estudiantes'!$A$1:$BZ$1001,138,I$2)&amp;""),""))</f>
        <v/>
      </c>
      <c r="J139">
        <f>IF(J$2=0,"",IFERROR(TRIM(INDEX('Pegar estudiantes'!$A$1:$BZ$1001,138,J$2)&amp;""),""))</f>
        <v/>
      </c>
      <c r="K139">
        <f>IF(K$2=0,"",IFERROR(TRIM(INDEX('Pegar estudiantes'!$A$1:$BZ$1001,138,K$2)&amp;""),""))</f>
        <v/>
      </c>
      <c r="L139" s="25">
        <f>IF(A139&lt;&gt;"",1,"")</f>
        <v/>
      </c>
      <c r="M139" s="25">
        <f>IF(L139=1,IF(ISNUMBER(FIND("#"&amp;MID(A139,1,1)&amp;"#","#0#1#2#3#4#5#6#7#8#9#")),IF(ISNUMBER(FIND("#"&amp;MID(A139,2,1)&amp;"#","#0#1#2#3#4#5#6#7#8#9#")),IF(AND(VALUE(LEFT(A139,2))&gt;=1,VALUE(LEFT(A139,2))&lt;=5),VALUE(LEFT(A139,2)),""),IF(AND(VALUE(LEFT(A139,1))&gt;=1,VALUE(LEFT(A139,1))&lt;=5),VALUE(LEFT(A139,1)),"")),""),"")</f>
        <v/>
      </c>
      <c r="N139" s="25">
        <f>IF(L139=1,IF(ISNUMBER(FIND("#"&amp;MID(H139,1,1)&amp;"#","#0#1#2#3#4#5#6#7#8#9#")),IF(ISNUMBER(FIND("#"&amp;MID(H139,2,1)&amp;"#","#0#1#2#3#4#5#6#7#8#9#")),IF(AND(VALUE(LEFT(H139,2))&gt;=1,VALUE(LEFT(H139,2))&lt;=5),VALUE(LEFT(H139,2)),""),IF(AND(VALUE(LEFT(H139,1))&gt;=1,VALUE(LEFT(H139,1))&lt;=5),VALUE(LEFT(H139,1)),"")),""),"")</f>
        <v/>
      </c>
      <c r="O139" s="25">
        <f>IF(AND(L139=1,B139&lt;&gt;""),SUBSTITUTE(SUBSTITUTE(SUBSTITUTE(SUBSTITUTE(SUBSTITUTE(SUBSTITUTE(SUBSTITUTE(SUBSTITUTE(SUBSTITUTE(SUBSTITUTE(SUBSTITUTE(SUBSTITUTE(LOWER(TRIM(B139)),"á","a"),"é","e"),"í","i"),"ó","o"),"ú","u"),"ü","u"),"ñ","n"),"à","a"),"è","e"),"ì","i"),"ò","o"),"ù","u"),"")</f>
        <v/>
      </c>
      <c r="P139" s="25">
        <f>IF(AND(L139=1,C139&lt;&gt;""),SUBSTITUTE(SUBSTITUTE(SUBSTITUTE(SUBSTITUTE(SUBSTITUTE(SUBSTITUTE(SUBSTITUTE(SUBSTITUTE(SUBSTITUTE(SUBSTITUTE(SUBSTITUTE(SUBSTITUTE(LOWER(TRIM(C139)),"á","a"),"é","e"),"í","i"),"ó","o"),"ú","u"),"ü","u"),"ñ","n"),"à","a"),"è","e"),"ì","i"),"ò","o"),"ù","u"),"")</f>
        <v/>
      </c>
      <c r="Q139" s="25">
        <f>IF(AND(L139=1,E139&lt;&gt;""),SUBSTITUTE(SUBSTITUTE(SUBSTITUTE(SUBSTITUTE(SUBSTITUTE(SUBSTITUTE(SUBSTITUTE(SUBSTITUTE(SUBSTITUTE(SUBSTITUTE(SUBSTITUTE(SUBSTITUTE(LOWER(TRIM(E139)),"á","a"),"é","e"),"í","i"),"ó","o"),"ú","u"),"ü","u"),"ñ","n"),"à","a"),"è","e"),"ì","i"),"ò","o"),"ù","u"),"")</f>
        <v/>
      </c>
      <c r="R139" s="25">
        <f>IF(AND(L139=1,I139&lt;&gt;""),SUBSTITUTE(SUBSTITUTE(SUBSTITUTE(SUBSTITUTE(SUBSTITUTE(SUBSTITUTE(SUBSTITUTE(SUBSTITUTE(SUBSTITUTE(SUBSTITUTE(SUBSTITUTE(SUBSTITUTE(LOWER(TRIM(I139)),"á","a"),"é","e"),"í","i"),"ó","o"),"ú","u"),"ü","u"),"ñ","n"),"à","a"),"è","e"),"ì","i"),"ò","o"),"ù","u"),"")</f>
        <v/>
      </c>
      <c r="S139" s="25">
        <f>IF(R139="","",IF(OR(R139="si",R139="tal vez"),1,0))</f>
        <v/>
      </c>
      <c r="T139" s="25">
        <f>IF(AND(L139=1,D139&lt;&gt;""),IF(IFERROR(COUNTIFS(D$3:D139,"="&amp;SUBSTITUTE(SUBSTITUTE(SUBSTITUTE(D139,"~","~~"),"*","~*"),"?","~?"),L$3:L139,1),0)=1,MAX(T$2:T138)+1,""),"")</f>
        <v/>
      </c>
      <c r="U139" s="25">
        <f>IF(T139="","",COUNTIFS($D$3:$D$1002,"="&amp;SUBSTITUTE(SUBSTITUTE(SUBSTITUTE(D139,"~","~~"),"*","~*"),"?","~?"),$L$3:$L$1002,1)*10000-T139)</f>
        <v/>
      </c>
      <c r="V139" s="25">
        <f>IF(AND(L139=1,J139&lt;&gt;""),IF(IFERROR(COUNTIFS(J$3:J139,"="&amp;SUBSTITUTE(SUBSTITUTE(SUBSTITUTE(J139,"~","~~"),"*","~*"),"?","~?"),L$3:L139,1),0)=1,MAX(V$2:V138)+1,""),"")</f>
        <v/>
      </c>
      <c r="W139" s="25">
        <f>IF(V139="","",COUNTIFS($J$3:$J$1002,"="&amp;SUBSTITUTE(SUBSTITUTE(SUBSTITUTE(J139,"~","~~"),"*","~*"),"?","~?"),$L$3:$L$1002,1)*10000-V139)</f>
        <v/>
      </c>
    </row>
    <row r="140">
      <c r="A140">
        <f>IF(A$2=0,"",IFERROR(TRIM(INDEX('Pegar estudiantes'!$A$1:$BZ$1001,139,A$2)&amp;""),""))</f>
        <v/>
      </c>
      <c r="B140">
        <f>IF(B$2=0,"",IFERROR(TRIM(INDEX('Pegar estudiantes'!$A$1:$BZ$1001,139,B$2)&amp;""),""))</f>
        <v/>
      </c>
      <c r="C140">
        <f>IF(C$2=0,"",IFERROR(TRIM(INDEX('Pegar estudiantes'!$A$1:$BZ$1001,139,C$2)&amp;""),""))</f>
        <v/>
      </c>
      <c r="D140">
        <f>IF(D$2=0,"",IFERROR(TRIM(INDEX('Pegar estudiantes'!$A$1:$BZ$1001,139,D$2)&amp;""),""))</f>
        <v/>
      </c>
      <c r="E140">
        <f>IF(E$2=0,"",IFERROR(TRIM(INDEX('Pegar estudiantes'!$A$1:$BZ$1001,139,E$2)&amp;""),""))</f>
        <v/>
      </c>
      <c r="F140">
        <f>IF(F$2=0,"",IFERROR(TRIM(INDEX('Pegar estudiantes'!$A$1:$BZ$1001,139,F$2)&amp;""),""))</f>
        <v/>
      </c>
      <c r="G140">
        <f>IF(G$2=0,"",IFERROR(TRIM(INDEX('Pegar estudiantes'!$A$1:$BZ$1001,139,G$2)&amp;""),""))</f>
        <v/>
      </c>
      <c r="H140">
        <f>IF(H$2=0,"",IFERROR(TRIM(INDEX('Pegar estudiantes'!$A$1:$BZ$1001,139,H$2)&amp;""),""))</f>
        <v/>
      </c>
      <c r="I140">
        <f>IF(I$2=0,"",IFERROR(TRIM(INDEX('Pegar estudiantes'!$A$1:$BZ$1001,139,I$2)&amp;""),""))</f>
        <v/>
      </c>
      <c r="J140">
        <f>IF(J$2=0,"",IFERROR(TRIM(INDEX('Pegar estudiantes'!$A$1:$BZ$1001,139,J$2)&amp;""),""))</f>
        <v/>
      </c>
      <c r="K140">
        <f>IF(K$2=0,"",IFERROR(TRIM(INDEX('Pegar estudiantes'!$A$1:$BZ$1001,139,K$2)&amp;""),""))</f>
        <v/>
      </c>
      <c r="L140" s="25">
        <f>IF(A140&lt;&gt;"",1,"")</f>
        <v/>
      </c>
      <c r="M140" s="25">
        <f>IF(L140=1,IF(ISNUMBER(FIND("#"&amp;MID(A140,1,1)&amp;"#","#0#1#2#3#4#5#6#7#8#9#")),IF(ISNUMBER(FIND("#"&amp;MID(A140,2,1)&amp;"#","#0#1#2#3#4#5#6#7#8#9#")),IF(AND(VALUE(LEFT(A140,2))&gt;=1,VALUE(LEFT(A140,2))&lt;=5),VALUE(LEFT(A140,2)),""),IF(AND(VALUE(LEFT(A140,1))&gt;=1,VALUE(LEFT(A140,1))&lt;=5),VALUE(LEFT(A140,1)),"")),""),"")</f>
        <v/>
      </c>
      <c r="N140" s="25">
        <f>IF(L140=1,IF(ISNUMBER(FIND("#"&amp;MID(H140,1,1)&amp;"#","#0#1#2#3#4#5#6#7#8#9#")),IF(ISNUMBER(FIND("#"&amp;MID(H140,2,1)&amp;"#","#0#1#2#3#4#5#6#7#8#9#")),IF(AND(VALUE(LEFT(H140,2))&gt;=1,VALUE(LEFT(H140,2))&lt;=5),VALUE(LEFT(H140,2)),""),IF(AND(VALUE(LEFT(H140,1))&gt;=1,VALUE(LEFT(H140,1))&lt;=5),VALUE(LEFT(H140,1)),"")),""),"")</f>
        <v/>
      </c>
      <c r="O140" s="25">
        <f>IF(AND(L140=1,B140&lt;&gt;""),SUBSTITUTE(SUBSTITUTE(SUBSTITUTE(SUBSTITUTE(SUBSTITUTE(SUBSTITUTE(SUBSTITUTE(SUBSTITUTE(SUBSTITUTE(SUBSTITUTE(SUBSTITUTE(SUBSTITUTE(LOWER(TRIM(B140)),"á","a"),"é","e"),"í","i"),"ó","o"),"ú","u"),"ü","u"),"ñ","n"),"à","a"),"è","e"),"ì","i"),"ò","o"),"ù","u"),"")</f>
        <v/>
      </c>
      <c r="P140" s="25">
        <f>IF(AND(L140=1,C140&lt;&gt;""),SUBSTITUTE(SUBSTITUTE(SUBSTITUTE(SUBSTITUTE(SUBSTITUTE(SUBSTITUTE(SUBSTITUTE(SUBSTITUTE(SUBSTITUTE(SUBSTITUTE(SUBSTITUTE(SUBSTITUTE(LOWER(TRIM(C140)),"á","a"),"é","e"),"í","i"),"ó","o"),"ú","u"),"ü","u"),"ñ","n"),"à","a"),"è","e"),"ì","i"),"ò","o"),"ù","u"),"")</f>
        <v/>
      </c>
      <c r="Q140" s="25">
        <f>IF(AND(L140=1,E140&lt;&gt;""),SUBSTITUTE(SUBSTITUTE(SUBSTITUTE(SUBSTITUTE(SUBSTITUTE(SUBSTITUTE(SUBSTITUTE(SUBSTITUTE(SUBSTITUTE(SUBSTITUTE(SUBSTITUTE(SUBSTITUTE(LOWER(TRIM(E140)),"á","a"),"é","e"),"í","i"),"ó","o"),"ú","u"),"ü","u"),"ñ","n"),"à","a"),"è","e"),"ì","i"),"ò","o"),"ù","u"),"")</f>
        <v/>
      </c>
      <c r="R140" s="25">
        <f>IF(AND(L140=1,I140&lt;&gt;""),SUBSTITUTE(SUBSTITUTE(SUBSTITUTE(SUBSTITUTE(SUBSTITUTE(SUBSTITUTE(SUBSTITUTE(SUBSTITUTE(SUBSTITUTE(SUBSTITUTE(SUBSTITUTE(SUBSTITUTE(LOWER(TRIM(I140)),"á","a"),"é","e"),"í","i"),"ó","o"),"ú","u"),"ü","u"),"ñ","n"),"à","a"),"è","e"),"ì","i"),"ò","o"),"ù","u"),"")</f>
        <v/>
      </c>
      <c r="S140" s="25">
        <f>IF(R140="","",IF(OR(R140="si",R140="tal vez"),1,0))</f>
        <v/>
      </c>
      <c r="T140" s="25">
        <f>IF(AND(L140=1,D140&lt;&gt;""),IF(IFERROR(COUNTIFS(D$3:D140,"="&amp;SUBSTITUTE(SUBSTITUTE(SUBSTITUTE(D140,"~","~~"),"*","~*"),"?","~?"),L$3:L140,1),0)=1,MAX(T$2:T139)+1,""),"")</f>
        <v/>
      </c>
      <c r="U140" s="25">
        <f>IF(T140="","",COUNTIFS($D$3:$D$1002,"="&amp;SUBSTITUTE(SUBSTITUTE(SUBSTITUTE(D140,"~","~~"),"*","~*"),"?","~?"),$L$3:$L$1002,1)*10000-T140)</f>
        <v/>
      </c>
      <c r="V140" s="25">
        <f>IF(AND(L140=1,J140&lt;&gt;""),IF(IFERROR(COUNTIFS(J$3:J140,"="&amp;SUBSTITUTE(SUBSTITUTE(SUBSTITUTE(J140,"~","~~"),"*","~*"),"?","~?"),L$3:L140,1),0)=1,MAX(V$2:V139)+1,""),"")</f>
        <v/>
      </c>
      <c r="W140" s="25">
        <f>IF(V140="","",COUNTIFS($J$3:$J$1002,"="&amp;SUBSTITUTE(SUBSTITUTE(SUBSTITUTE(J140,"~","~~"),"*","~*"),"?","~?"),$L$3:$L$1002,1)*10000-V140)</f>
        <v/>
      </c>
    </row>
    <row r="141">
      <c r="A141">
        <f>IF(A$2=0,"",IFERROR(TRIM(INDEX('Pegar estudiantes'!$A$1:$BZ$1001,140,A$2)&amp;""),""))</f>
        <v/>
      </c>
      <c r="B141">
        <f>IF(B$2=0,"",IFERROR(TRIM(INDEX('Pegar estudiantes'!$A$1:$BZ$1001,140,B$2)&amp;""),""))</f>
        <v/>
      </c>
      <c r="C141">
        <f>IF(C$2=0,"",IFERROR(TRIM(INDEX('Pegar estudiantes'!$A$1:$BZ$1001,140,C$2)&amp;""),""))</f>
        <v/>
      </c>
      <c r="D141">
        <f>IF(D$2=0,"",IFERROR(TRIM(INDEX('Pegar estudiantes'!$A$1:$BZ$1001,140,D$2)&amp;""),""))</f>
        <v/>
      </c>
      <c r="E141">
        <f>IF(E$2=0,"",IFERROR(TRIM(INDEX('Pegar estudiantes'!$A$1:$BZ$1001,140,E$2)&amp;""),""))</f>
        <v/>
      </c>
      <c r="F141">
        <f>IF(F$2=0,"",IFERROR(TRIM(INDEX('Pegar estudiantes'!$A$1:$BZ$1001,140,F$2)&amp;""),""))</f>
        <v/>
      </c>
      <c r="G141">
        <f>IF(G$2=0,"",IFERROR(TRIM(INDEX('Pegar estudiantes'!$A$1:$BZ$1001,140,G$2)&amp;""),""))</f>
        <v/>
      </c>
      <c r="H141">
        <f>IF(H$2=0,"",IFERROR(TRIM(INDEX('Pegar estudiantes'!$A$1:$BZ$1001,140,H$2)&amp;""),""))</f>
        <v/>
      </c>
      <c r="I141">
        <f>IF(I$2=0,"",IFERROR(TRIM(INDEX('Pegar estudiantes'!$A$1:$BZ$1001,140,I$2)&amp;""),""))</f>
        <v/>
      </c>
      <c r="J141">
        <f>IF(J$2=0,"",IFERROR(TRIM(INDEX('Pegar estudiantes'!$A$1:$BZ$1001,140,J$2)&amp;""),""))</f>
        <v/>
      </c>
      <c r="K141">
        <f>IF(K$2=0,"",IFERROR(TRIM(INDEX('Pegar estudiantes'!$A$1:$BZ$1001,140,K$2)&amp;""),""))</f>
        <v/>
      </c>
      <c r="L141" s="25">
        <f>IF(A141&lt;&gt;"",1,"")</f>
        <v/>
      </c>
      <c r="M141" s="25">
        <f>IF(L141=1,IF(ISNUMBER(FIND("#"&amp;MID(A141,1,1)&amp;"#","#0#1#2#3#4#5#6#7#8#9#")),IF(ISNUMBER(FIND("#"&amp;MID(A141,2,1)&amp;"#","#0#1#2#3#4#5#6#7#8#9#")),IF(AND(VALUE(LEFT(A141,2))&gt;=1,VALUE(LEFT(A141,2))&lt;=5),VALUE(LEFT(A141,2)),""),IF(AND(VALUE(LEFT(A141,1))&gt;=1,VALUE(LEFT(A141,1))&lt;=5),VALUE(LEFT(A141,1)),"")),""),"")</f>
        <v/>
      </c>
      <c r="N141" s="25">
        <f>IF(L141=1,IF(ISNUMBER(FIND("#"&amp;MID(H141,1,1)&amp;"#","#0#1#2#3#4#5#6#7#8#9#")),IF(ISNUMBER(FIND("#"&amp;MID(H141,2,1)&amp;"#","#0#1#2#3#4#5#6#7#8#9#")),IF(AND(VALUE(LEFT(H141,2))&gt;=1,VALUE(LEFT(H141,2))&lt;=5),VALUE(LEFT(H141,2)),""),IF(AND(VALUE(LEFT(H141,1))&gt;=1,VALUE(LEFT(H141,1))&lt;=5),VALUE(LEFT(H141,1)),"")),""),"")</f>
        <v/>
      </c>
      <c r="O141" s="25">
        <f>IF(AND(L141=1,B141&lt;&gt;""),SUBSTITUTE(SUBSTITUTE(SUBSTITUTE(SUBSTITUTE(SUBSTITUTE(SUBSTITUTE(SUBSTITUTE(SUBSTITUTE(SUBSTITUTE(SUBSTITUTE(SUBSTITUTE(SUBSTITUTE(LOWER(TRIM(B141)),"á","a"),"é","e"),"í","i"),"ó","o"),"ú","u"),"ü","u"),"ñ","n"),"à","a"),"è","e"),"ì","i"),"ò","o"),"ù","u"),"")</f>
        <v/>
      </c>
      <c r="P141" s="25">
        <f>IF(AND(L141=1,C141&lt;&gt;""),SUBSTITUTE(SUBSTITUTE(SUBSTITUTE(SUBSTITUTE(SUBSTITUTE(SUBSTITUTE(SUBSTITUTE(SUBSTITUTE(SUBSTITUTE(SUBSTITUTE(SUBSTITUTE(SUBSTITUTE(LOWER(TRIM(C141)),"á","a"),"é","e"),"í","i"),"ó","o"),"ú","u"),"ü","u"),"ñ","n"),"à","a"),"è","e"),"ì","i"),"ò","o"),"ù","u"),"")</f>
        <v/>
      </c>
      <c r="Q141" s="25">
        <f>IF(AND(L141=1,E141&lt;&gt;""),SUBSTITUTE(SUBSTITUTE(SUBSTITUTE(SUBSTITUTE(SUBSTITUTE(SUBSTITUTE(SUBSTITUTE(SUBSTITUTE(SUBSTITUTE(SUBSTITUTE(SUBSTITUTE(SUBSTITUTE(LOWER(TRIM(E141)),"á","a"),"é","e"),"í","i"),"ó","o"),"ú","u"),"ü","u"),"ñ","n"),"à","a"),"è","e"),"ì","i"),"ò","o"),"ù","u"),"")</f>
        <v/>
      </c>
      <c r="R141" s="25">
        <f>IF(AND(L141=1,I141&lt;&gt;""),SUBSTITUTE(SUBSTITUTE(SUBSTITUTE(SUBSTITUTE(SUBSTITUTE(SUBSTITUTE(SUBSTITUTE(SUBSTITUTE(SUBSTITUTE(SUBSTITUTE(SUBSTITUTE(SUBSTITUTE(LOWER(TRIM(I141)),"á","a"),"é","e"),"í","i"),"ó","o"),"ú","u"),"ü","u"),"ñ","n"),"à","a"),"è","e"),"ì","i"),"ò","o"),"ù","u"),"")</f>
        <v/>
      </c>
      <c r="S141" s="25">
        <f>IF(R141="","",IF(OR(R141="si",R141="tal vez"),1,0))</f>
        <v/>
      </c>
      <c r="T141" s="25">
        <f>IF(AND(L141=1,D141&lt;&gt;""),IF(IFERROR(COUNTIFS(D$3:D141,"="&amp;SUBSTITUTE(SUBSTITUTE(SUBSTITUTE(D141,"~","~~"),"*","~*"),"?","~?"),L$3:L141,1),0)=1,MAX(T$2:T140)+1,""),"")</f>
        <v/>
      </c>
      <c r="U141" s="25">
        <f>IF(T141="","",COUNTIFS($D$3:$D$1002,"="&amp;SUBSTITUTE(SUBSTITUTE(SUBSTITUTE(D141,"~","~~"),"*","~*"),"?","~?"),$L$3:$L$1002,1)*10000-T141)</f>
        <v/>
      </c>
      <c r="V141" s="25">
        <f>IF(AND(L141=1,J141&lt;&gt;""),IF(IFERROR(COUNTIFS(J$3:J141,"="&amp;SUBSTITUTE(SUBSTITUTE(SUBSTITUTE(J141,"~","~~"),"*","~*"),"?","~?"),L$3:L141,1),0)=1,MAX(V$2:V140)+1,""),"")</f>
        <v/>
      </c>
      <c r="W141" s="25">
        <f>IF(V141="","",COUNTIFS($J$3:$J$1002,"="&amp;SUBSTITUTE(SUBSTITUTE(SUBSTITUTE(J141,"~","~~"),"*","~*"),"?","~?"),$L$3:$L$1002,1)*10000-V141)</f>
        <v/>
      </c>
    </row>
    <row r="142">
      <c r="A142">
        <f>IF(A$2=0,"",IFERROR(TRIM(INDEX('Pegar estudiantes'!$A$1:$BZ$1001,141,A$2)&amp;""),""))</f>
        <v/>
      </c>
      <c r="B142">
        <f>IF(B$2=0,"",IFERROR(TRIM(INDEX('Pegar estudiantes'!$A$1:$BZ$1001,141,B$2)&amp;""),""))</f>
        <v/>
      </c>
      <c r="C142">
        <f>IF(C$2=0,"",IFERROR(TRIM(INDEX('Pegar estudiantes'!$A$1:$BZ$1001,141,C$2)&amp;""),""))</f>
        <v/>
      </c>
      <c r="D142">
        <f>IF(D$2=0,"",IFERROR(TRIM(INDEX('Pegar estudiantes'!$A$1:$BZ$1001,141,D$2)&amp;""),""))</f>
        <v/>
      </c>
      <c r="E142">
        <f>IF(E$2=0,"",IFERROR(TRIM(INDEX('Pegar estudiantes'!$A$1:$BZ$1001,141,E$2)&amp;""),""))</f>
        <v/>
      </c>
      <c r="F142">
        <f>IF(F$2=0,"",IFERROR(TRIM(INDEX('Pegar estudiantes'!$A$1:$BZ$1001,141,F$2)&amp;""),""))</f>
        <v/>
      </c>
      <c r="G142">
        <f>IF(G$2=0,"",IFERROR(TRIM(INDEX('Pegar estudiantes'!$A$1:$BZ$1001,141,G$2)&amp;""),""))</f>
        <v/>
      </c>
      <c r="H142">
        <f>IF(H$2=0,"",IFERROR(TRIM(INDEX('Pegar estudiantes'!$A$1:$BZ$1001,141,H$2)&amp;""),""))</f>
        <v/>
      </c>
      <c r="I142">
        <f>IF(I$2=0,"",IFERROR(TRIM(INDEX('Pegar estudiantes'!$A$1:$BZ$1001,141,I$2)&amp;""),""))</f>
        <v/>
      </c>
      <c r="J142">
        <f>IF(J$2=0,"",IFERROR(TRIM(INDEX('Pegar estudiantes'!$A$1:$BZ$1001,141,J$2)&amp;""),""))</f>
        <v/>
      </c>
      <c r="K142">
        <f>IF(K$2=0,"",IFERROR(TRIM(INDEX('Pegar estudiantes'!$A$1:$BZ$1001,141,K$2)&amp;""),""))</f>
        <v/>
      </c>
      <c r="L142" s="25">
        <f>IF(A142&lt;&gt;"",1,"")</f>
        <v/>
      </c>
      <c r="M142" s="25">
        <f>IF(L142=1,IF(ISNUMBER(FIND("#"&amp;MID(A142,1,1)&amp;"#","#0#1#2#3#4#5#6#7#8#9#")),IF(ISNUMBER(FIND("#"&amp;MID(A142,2,1)&amp;"#","#0#1#2#3#4#5#6#7#8#9#")),IF(AND(VALUE(LEFT(A142,2))&gt;=1,VALUE(LEFT(A142,2))&lt;=5),VALUE(LEFT(A142,2)),""),IF(AND(VALUE(LEFT(A142,1))&gt;=1,VALUE(LEFT(A142,1))&lt;=5),VALUE(LEFT(A142,1)),"")),""),"")</f>
        <v/>
      </c>
      <c r="N142" s="25">
        <f>IF(L142=1,IF(ISNUMBER(FIND("#"&amp;MID(H142,1,1)&amp;"#","#0#1#2#3#4#5#6#7#8#9#")),IF(ISNUMBER(FIND("#"&amp;MID(H142,2,1)&amp;"#","#0#1#2#3#4#5#6#7#8#9#")),IF(AND(VALUE(LEFT(H142,2))&gt;=1,VALUE(LEFT(H142,2))&lt;=5),VALUE(LEFT(H142,2)),""),IF(AND(VALUE(LEFT(H142,1))&gt;=1,VALUE(LEFT(H142,1))&lt;=5),VALUE(LEFT(H142,1)),"")),""),"")</f>
        <v/>
      </c>
      <c r="O142" s="25">
        <f>IF(AND(L142=1,B142&lt;&gt;""),SUBSTITUTE(SUBSTITUTE(SUBSTITUTE(SUBSTITUTE(SUBSTITUTE(SUBSTITUTE(SUBSTITUTE(SUBSTITUTE(SUBSTITUTE(SUBSTITUTE(SUBSTITUTE(SUBSTITUTE(LOWER(TRIM(B142)),"á","a"),"é","e"),"í","i"),"ó","o"),"ú","u"),"ü","u"),"ñ","n"),"à","a"),"è","e"),"ì","i"),"ò","o"),"ù","u"),"")</f>
        <v/>
      </c>
      <c r="P142" s="25">
        <f>IF(AND(L142=1,C142&lt;&gt;""),SUBSTITUTE(SUBSTITUTE(SUBSTITUTE(SUBSTITUTE(SUBSTITUTE(SUBSTITUTE(SUBSTITUTE(SUBSTITUTE(SUBSTITUTE(SUBSTITUTE(SUBSTITUTE(SUBSTITUTE(LOWER(TRIM(C142)),"á","a"),"é","e"),"í","i"),"ó","o"),"ú","u"),"ü","u"),"ñ","n"),"à","a"),"è","e"),"ì","i"),"ò","o"),"ù","u"),"")</f>
        <v/>
      </c>
      <c r="Q142" s="25">
        <f>IF(AND(L142=1,E142&lt;&gt;""),SUBSTITUTE(SUBSTITUTE(SUBSTITUTE(SUBSTITUTE(SUBSTITUTE(SUBSTITUTE(SUBSTITUTE(SUBSTITUTE(SUBSTITUTE(SUBSTITUTE(SUBSTITUTE(SUBSTITUTE(LOWER(TRIM(E142)),"á","a"),"é","e"),"í","i"),"ó","o"),"ú","u"),"ü","u"),"ñ","n"),"à","a"),"è","e"),"ì","i"),"ò","o"),"ù","u"),"")</f>
        <v/>
      </c>
      <c r="R142" s="25">
        <f>IF(AND(L142=1,I142&lt;&gt;""),SUBSTITUTE(SUBSTITUTE(SUBSTITUTE(SUBSTITUTE(SUBSTITUTE(SUBSTITUTE(SUBSTITUTE(SUBSTITUTE(SUBSTITUTE(SUBSTITUTE(SUBSTITUTE(SUBSTITUTE(LOWER(TRIM(I142)),"á","a"),"é","e"),"í","i"),"ó","o"),"ú","u"),"ü","u"),"ñ","n"),"à","a"),"è","e"),"ì","i"),"ò","o"),"ù","u"),"")</f>
        <v/>
      </c>
      <c r="S142" s="25">
        <f>IF(R142="","",IF(OR(R142="si",R142="tal vez"),1,0))</f>
        <v/>
      </c>
      <c r="T142" s="25">
        <f>IF(AND(L142=1,D142&lt;&gt;""),IF(IFERROR(COUNTIFS(D$3:D142,"="&amp;SUBSTITUTE(SUBSTITUTE(SUBSTITUTE(D142,"~","~~"),"*","~*"),"?","~?"),L$3:L142,1),0)=1,MAX(T$2:T141)+1,""),"")</f>
        <v/>
      </c>
      <c r="U142" s="25">
        <f>IF(T142="","",COUNTIFS($D$3:$D$1002,"="&amp;SUBSTITUTE(SUBSTITUTE(SUBSTITUTE(D142,"~","~~"),"*","~*"),"?","~?"),$L$3:$L$1002,1)*10000-T142)</f>
        <v/>
      </c>
      <c r="V142" s="25">
        <f>IF(AND(L142=1,J142&lt;&gt;""),IF(IFERROR(COUNTIFS(J$3:J142,"="&amp;SUBSTITUTE(SUBSTITUTE(SUBSTITUTE(J142,"~","~~"),"*","~*"),"?","~?"),L$3:L142,1),0)=1,MAX(V$2:V141)+1,""),"")</f>
        <v/>
      </c>
      <c r="W142" s="25">
        <f>IF(V142="","",COUNTIFS($J$3:$J$1002,"="&amp;SUBSTITUTE(SUBSTITUTE(SUBSTITUTE(J142,"~","~~"),"*","~*"),"?","~?"),$L$3:$L$1002,1)*10000-V142)</f>
        <v/>
      </c>
    </row>
    <row r="143">
      <c r="A143">
        <f>IF(A$2=0,"",IFERROR(TRIM(INDEX('Pegar estudiantes'!$A$1:$BZ$1001,142,A$2)&amp;""),""))</f>
        <v/>
      </c>
      <c r="B143">
        <f>IF(B$2=0,"",IFERROR(TRIM(INDEX('Pegar estudiantes'!$A$1:$BZ$1001,142,B$2)&amp;""),""))</f>
        <v/>
      </c>
      <c r="C143">
        <f>IF(C$2=0,"",IFERROR(TRIM(INDEX('Pegar estudiantes'!$A$1:$BZ$1001,142,C$2)&amp;""),""))</f>
        <v/>
      </c>
      <c r="D143">
        <f>IF(D$2=0,"",IFERROR(TRIM(INDEX('Pegar estudiantes'!$A$1:$BZ$1001,142,D$2)&amp;""),""))</f>
        <v/>
      </c>
      <c r="E143">
        <f>IF(E$2=0,"",IFERROR(TRIM(INDEX('Pegar estudiantes'!$A$1:$BZ$1001,142,E$2)&amp;""),""))</f>
        <v/>
      </c>
      <c r="F143">
        <f>IF(F$2=0,"",IFERROR(TRIM(INDEX('Pegar estudiantes'!$A$1:$BZ$1001,142,F$2)&amp;""),""))</f>
        <v/>
      </c>
      <c r="G143">
        <f>IF(G$2=0,"",IFERROR(TRIM(INDEX('Pegar estudiantes'!$A$1:$BZ$1001,142,G$2)&amp;""),""))</f>
        <v/>
      </c>
      <c r="H143">
        <f>IF(H$2=0,"",IFERROR(TRIM(INDEX('Pegar estudiantes'!$A$1:$BZ$1001,142,H$2)&amp;""),""))</f>
        <v/>
      </c>
      <c r="I143">
        <f>IF(I$2=0,"",IFERROR(TRIM(INDEX('Pegar estudiantes'!$A$1:$BZ$1001,142,I$2)&amp;""),""))</f>
        <v/>
      </c>
      <c r="J143">
        <f>IF(J$2=0,"",IFERROR(TRIM(INDEX('Pegar estudiantes'!$A$1:$BZ$1001,142,J$2)&amp;""),""))</f>
        <v/>
      </c>
      <c r="K143">
        <f>IF(K$2=0,"",IFERROR(TRIM(INDEX('Pegar estudiantes'!$A$1:$BZ$1001,142,K$2)&amp;""),""))</f>
        <v/>
      </c>
      <c r="L143" s="25">
        <f>IF(A143&lt;&gt;"",1,"")</f>
        <v/>
      </c>
      <c r="M143" s="25">
        <f>IF(L143=1,IF(ISNUMBER(FIND("#"&amp;MID(A143,1,1)&amp;"#","#0#1#2#3#4#5#6#7#8#9#")),IF(ISNUMBER(FIND("#"&amp;MID(A143,2,1)&amp;"#","#0#1#2#3#4#5#6#7#8#9#")),IF(AND(VALUE(LEFT(A143,2))&gt;=1,VALUE(LEFT(A143,2))&lt;=5),VALUE(LEFT(A143,2)),""),IF(AND(VALUE(LEFT(A143,1))&gt;=1,VALUE(LEFT(A143,1))&lt;=5),VALUE(LEFT(A143,1)),"")),""),"")</f>
        <v/>
      </c>
      <c r="N143" s="25">
        <f>IF(L143=1,IF(ISNUMBER(FIND("#"&amp;MID(H143,1,1)&amp;"#","#0#1#2#3#4#5#6#7#8#9#")),IF(ISNUMBER(FIND("#"&amp;MID(H143,2,1)&amp;"#","#0#1#2#3#4#5#6#7#8#9#")),IF(AND(VALUE(LEFT(H143,2))&gt;=1,VALUE(LEFT(H143,2))&lt;=5),VALUE(LEFT(H143,2)),""),IF(AND(VALUE(LEFT(H143,1))&gt;=1,VALUE(LEFT(H143,1))&lt;=5),VALUE(LEFT(H143,1)),"")),""),"")</f>
        <v/>
      </c>
      <c r="O143" s="25">
        <f>IF(AND(L143=1,B143&lt;&gt;""),SUBSTITUTE(SUBSTITUTE(SUBSTITUTE(SUBSTITUTE(SUBSTITUTE(SUBSTITUTE(SUBSTITUTE(SUBSTITUTE(SUBSTITUTE(SUBSTITUTE(SUBSTITUTE(SUBSTITUTE(LOWER(TRIM(B143)),"á","a"),"é","e"),"í","i"),"ó","o"),"ú","u"),"ü","u"),"ñ","n"),"à","a"),"è","e"),"ì","i"),"ò","o"),"ù","u"),"")</f>
        <v/>
      </c>
      <c r="P143" s="25">
        <f>IF(AND(L143=1,C143&lt;&gt;""),SUBSTITUTE(SUBSTITUTE(SUBSTITUTE(SUBSTITUTE(SUBSTITUTE(SUBSTITUTE(SUBSTITUTE(SUBSTITUTE(SUBSTITUTE(SUBSTITUTE(SUBSTITUTE(SUBSTITUTE(LOWER(TRIM(C143)),"á","a"),"é","e"),"í","i"),"ó","o"),"ú","u"),"ü","u"),"ñ","n"),"à","a"),"è","e"),"ì","i"),"ò","o"),"ù","u"),"")</f>
        <v/>
      </c>
      <c r="Q143" s="25">
        <f>IF(AND(L143=1,E143&lt;&gt;""),SUBSTITUTE(SUBSTITUTE(SUBSTITUTE(SUBSTITUTE(SUBSTITUTE(SUBSTITUTE(SUBSTITUTE(SUBSTITUTE(SUBSTITUTE(SUBSTITUTE(SUBSTITUTE(SUBSTITUTE(LOWER(TRIM(E143)),"á","a"),"é","e"),"í","i"),"ó","o"),"ú","u"),"ü","u"),"ñ","n"),"à","a"),"è","e"),"ì","i"),"ò","o"),"ù","u"),"")</f>
        <v/>
      </c>
      <c r="R143" s="25">
        <f>IF(AND(L143=1,I143&lt;&gt;""),SUBSTITUTE(SUBSTITUTE(SUBSTITUTE(SUBSTITUTE(SUBSTITUTE(SUBSTITUTE(SUBSTITUTE(SUBSTITUTE(SUBSTITUTE(SUBSTITUTE(SUBSTITUTE(SUBSTITUTE(LOWER(TRIM(I143)),"á","a"),"é","e"),"í","i"),"ó","o"),"ú","u"),"ü","u"),"ñ","n"),"à","a"),"è","e"),"ì","i"),"ò","o"),"ù","u"),"")</f>
        <v/>
      </c>
      <c r="S143" s="25">
        <f>IF(R143="","",IF(OR(R143="si",R143="tal vez"),1,0))</f>
        <v/>
      </c>
      <c r="T143" s="25">
        <f>IF(AND(L143=1,D143&lt;&gt;""),IF(IFERROR(COUNTIFS(D$3:D143,"="&amp;SUBSTITUTE(SUBSTITUTE(SUBSTITUTE(D143,"~","~~"),"*","~*"),"?","~?"),L$3:L143,1),0)=1,MAX(T$2:T142)+1,""),"")</f>
        <v/>
      </c>
      <c r="U143" s="25">
        <f>IF(T143="","",COUNTIFS($D$3:$D$1002,"="&amp;SUBSTITUTE(SUBSTITUTE(SUBSTITUTE(D143,"~","~~"),"*","~*"),"?","~?"),$L$3:$L$1002,1)*10000-T143)</f>
        <v/>
      </c>
      <c r="V143" s="25">
        <f>IF(AND(L143=1,J143&lt;&gt;""),IF(IFERROR(COUNTIFS(J$3:J143,"="&amp;SUBSTITUTE(SUBSTITUTE(SUBSTITUTE(J143,"~","~~"),"*","~*"),"?","~?"),L$3:L143,1),0)=1,MAX(V$2:V142)+1,""),"")</f>
        <v/>
      </c>
      <c r="W143" s="25">
        <f>IF(V143="","",COUNTIFS($J$3:$J$1002,"="&amp;SUBSTITUTE(SUBSTITUTE(SUBSTITUTE(J143,"~","~~"),"*","~*"),"?","~?"),$L$3:$L$1002,1)*10000-V143)</f>
        <v/>
      </c>
    </row>
    <row r="144">
      <c r="A144">
        <f>IF(A$2=0,"",IFERROR(TRIM(INDEX('Pegar estudiantes'!$A$1:$BZ$1001,143,A$2)&amp;""),""))</f>
        <v/>
      </c>
      <c r="B144">
        <f>IF(B$2=0,"",IFERROR(TRIM(INDEX('Pegar estudiantes'!$A$1:$BZ$1001,143,B$2)&amp;""),""))</f>
        <v/>
      </c>
      <c r="C144">
        <f>IF(C$2=0,"",IFERROR(TRIM(INDEX('Pegar estudiantes'!$A$1:$BZ$1001,143,C$2)&amp;""),""))</f>
        <v/>
      </c>
      <c r="D144">
        <f>IF(D$2=0,"",IFERROR(TRIM(INDEX('Pegar estudiantes'!$A$1:$BZ$1001,143,D$2)&amp;""),""))</f>
        <v/>
      </c>
      <c r="E144">
        <f>IF(E$2=0,"",IFERROR(TRIM(INDEX('Pegar estudiantes'!$A$1:$BZ$1001,143,E$2)&amp;""),""))</f>
        <v/>
      </c>
      <c r="F144">
        <f>IF(F$2=0,"",IFERROR(TRIM(INDEX('Pegar estudiantes'!$A$1:$BZ$1001,143,F$2)&amp;""),""))</f>
        <v/>
      </c>
      <c r="G144">
        <f>IF(G$2=0,"",IFERROR(TRIM(INDEX('Pegar estudiantes'!$A$1:$BZ$1001,143,G$2)&amp;""),""))</f>
        <v/>
      </c>
      <c r="H144">
        <f>IF(H$2=0,"",IFERROR(TRIM(INDEX('Pegar estudiantes'!$A$1:$BZ$1001,143,H$2)&amp;""),""))</f>
        <v/>
      </c>
      <c r="I144">
        <f>IF(I$2=0,"",IFERROR(TRIM(INDEX('Pegar estudiantes'!$A$1:$BZ$1001,143,I$2)&amp;""),""))</f>
        <v/>
      </c>
      <c r="J144">
        <f>IF(J$2=0,"",IFERROR(TRIM(INDEX('Pegar estudiantes'!$A$1:$BZ$1001,143,J$2)&amp;""),""))</f>
        <v/>
      </c>
      <c r="K144">
        <f>IF(K$2=0,"",IFERROR(TRIM(INDEX('Pegar estudiantes'!$A$1:$BZ$1001,143,K$2)&amp;""),""))</f>
        <v/>
      </c>
      <c r="L144" s="25">
        <f>IF(A144&lt;&gt;"",1,"")</f>
        <v/>
      </c>
      <c r="M144" s="25">
        <f>IF(L144=1,IF(ISNUMBER(FIND("#"&amp;MID(A144,1,1)&amp;"#","#0#1#2#3#4#5#6#7#8#9#")),IF(ISNUMBER(FIND("#"&amp;MID(A144,2,1)&amp;"#","#0#1#2#3#4#5#6#7#8#9#")),IF(AND(VALUE(LEFT(A144,2))&gt;=1,VALUE(LEFT(A144,2))&lt;=5),VALUE(LEFT(A144,2)),""),IF(AND(VALUE(LEFT(A144,1))&gt;=1,VALUE(LEFT(A144,1))&lt;=5),VALUE(LEFT(A144,1)),"")),""),"")</f>
        <v/>
      </c>
      <c r="N144" s="25">
        <f>IF(L144=1,IF(ISNUMBER(FIND("#"&amp;MID(H144,1,1)&amp;"#","#0#1#2#3#4#5#6#7#8#9#")),IF(ISNUMBER(FIND("#"&amp;MID(H144,2,1)&amp;"#","#0#1#2#3#4#5#6#7#8#9#")),IF(AND(VALUE(LEFT(H144,2))&gt;=1,VALUE(LEFT(H144,2))&lt;=5),VALUE(LEFT(H144,2)),""),IF(AND(VALUE(LEFT(H144,1))&gt;=1,VALUE(LEFT(H144,1))&lt;=5),VALUE(LEFT(H144,1)),"")),""),"")</f>
        <v/>
      </c>
      <c r="O144" s="25">
        <f>IF(AND(L144=1,B144&lt;&gt;""),SUBSTITUTE(SUBSTITUTE(SUBSTITUTE(SUBSTITUTE(SUBSTITUTE(SUBSTITUTE(SUBSTITUTE(SUBSTITUTE(SUBSTITUTE(SUBSTITUTE(SUBSTITUTE(SUBSTITUTE(LOWER(TRIM(B144)),"á","a"),"é","e"),"í","i"),"ó","o"),"ú","u"),"ü","u"),"ñ","n"),"à","a"),"è","e"),"ì","i"),"ò","o"),"ù","u"),"")</f>
        <v/>
      </c>
      <c r="P144" s="25">
        <f>IF(AND(L144=1,C144&lt;&gt;""),SUBSTITUTE(SUBSTITUTE(SUBSTITUTE(SUBSTITUTE(SUBSTITUTE(SUBSTITUTE(SUBSTITUTE(SUBSTITUTE(SUBSTITUTE(SUBSTITUTE(SUBSTITUTE(SUBSTITUTE(LOWER(TRIM(C144)),"á","a"),"é","e"),"í","i"),"ó","o"),"ú","u"),"ü","u"),"ñ","n"),"à","a"),"è","e"),"ì","i"),"ò","o"),"ù","u"),"")</f>
        <v/>
      </c>
      <c r="Q144" s="25">
        <f>IF(AND(L144=1,E144&lt;&gt;""),SUBSTITUTE(SUBSTITUTE(SUBSTITUTE(SUBSTITUTE(SUBSTITUTE(SUBSTITUTE(SUBSTITUTE(SUBSTITUTE(SUBSTITUTE(SUBSTITUTE(SUBSTITUTE(SUBSTITUTE(LOWER(TRIM(E144)),"á","a"),"é","e"),"í","i"),"ó","o"),"ú","u"),"ü","u"),"ñ","n"),"à","a"),"è","e"),"ì","i"),"ò","o"),"ù","u"),"")</f>
        <v/>
      </c>
      <c r="R144" s="25">
        <f>IF(AND(L144=1,I144&lt;&gt;""),SUBSTITUTE(SUBSTITUTE(SUBSTITUTE(SUBSTITUTE(SUBSTITUTE(SUBSTITUTE(SUBSTITUTE(SUBSTITUTE(SUBSTITUTE(SUBSTITUTE(SUBSTITUTE(SUBSTITUTE(LOWER(TRIM(I144)),"á","a"),"é","e"),"í","i"),"ó","o"),"ú","u"),"ü","u"),"ñ","n"),"à","a"),"è","e"),"ì","i"),"ò","o"),"ù","u"),"")</f>
        <v/>
      </c>
      <c r="S144" s="25">
        <f>IF(R144="","",IF(OR(R144="si",R144="tal vez"),1,0))</f>
        <v/>
      </c>
      <c r="T144" s="25">
        <f>IF(AND(L144=1,D144&lt;&gt;""),IF(IFERROR(COUNTIFS(D$3:D144,"="&amp;SUBSTITUTE(SUBSTITUTE(SUBSTITUTE(D144,"~","~~"),"*","~*"),"?","~?"),L$3:L144,1),0)=1,MAX(T$2:T143)+1,""),"")</f>
        <v/>
      </c>
      <c r="U144" s="25">
        <f>IF(T144="","",COUNTIFS($D$3:$D$1002,"="&amp;SUBSTITUTE(SUBSTITUTE(SUBSTITUTE(D144,"~","~~"),"*","~*"),"?","~?"),$L$3:$L$1002,1)*10000-T144)</f>
        <v/>
      </c>
      <c r="V144" s="25">
        <f>IF(AND(L144=1,J144&lt;&gt;""),IF(IFERROR(COUNTIFS(J$3:J144,"="&amp;SUBSTITUTE(SUBSTITUTE(SUBSTITUTE(J144,"~","~~"),"*","~*"),"?","~?"),L$3:L144,1),0)=1,MAX(V$2:V143)+1,""),"")</f>
        <v/>
      </c>
      <c r="W144" s="25">
        <f>IF(V144="","",COUNTIFS($J$3:$J$1002,"="&amp;SUBSTITUTE(SUBSTITUTE(SUBSTITUTE(J144,"~","~~"),"*","~*"),"?","~?"),$L$3:$L$1002,1)*10000-V144)</f>
        <v/>
      </c>
    </row>
    <row r="145">
      <c r="A145">
        <f>IF(A$2=0,"",IFERROR(TRIM(INDEX('Pegar estudiantes'!$A$1:$BZ$1001,144,A$2)&amp;""),""))</f>
        <v/>
      </c>
      <c r="B145">
        <f>IF(B$2=0,"",IFERROR(TRIM(INDEX('Pegar estudiantes'!$A$1:$BZ$1001,144,B$2)&amp;""),""))</f>
        <v/>
      </c>
      <c r="C145">
        <f>IF(C$2=0,"",IFERROR(TRIM(INDEX('Pegar estudiantes'!$A$1:$BZ$1001,144,C$2)&amp;""),""))</f>
        <v/>
      </c>
      <c r="D145">
        <f>IF(D$2=0,"",IFERROR(TRIM(INDEX('Pegar estudiantes'!$A$1:$BZ$1001,144,D$2)&amp;""),""))</f>
        <v/>
      </c>
      <c r="E145">
        <f>IF(E$2=0,"",IFERROR(TRIM(INDEX('Pegar estudiantes'!$A$1:$BZ$1001,144,E$2)&amp;""),""))</f>
        <v/>
      </c>
      <c r="F145">
        <f>IF(F$2=0,"",IFERROR(TRIM(INDEX('Pegar estudiantes'!$A$1:$BZ$1001,144,F$2)&amp;""),""))</f>
        <v/>
      </c>
      <c r="G145">
        <f>IF(G$2=0,"",IFERROR(TRIM(INDEX('Pegar estudiantes'!$A$1:$BZ$1001,144,G$2)&amp;""),""))</f>
        <v/>
      </c>
      <c r="H145">
        <f>IF(H$2=0,"",IFERROR(TRIM(INDEX('Pegar estudiantes'!$A$1:$BZ$1001,144,H$2)&amp;""),""))</f>
        <v/>
      </c>
      <c r="I145">
        <f>IF(I$2=0,"",IFERROR(TRIM(INDEX('Pegar estudiantes'!$A$1:$BZ$1001,144,I$2)&amp;""),""))</f>
        <v/>
      </c>
      <c r="J145">
        <f>IF(J$2=0,"",IFERROR(TRIM(INDEX('Pegar estudiantes'!$A$1:$BZ$1001,144,J$2)&amp;""),""))</f>
        <v/>
      </c>
      <c r="K145">
        <f>IF(K$2=0,"",IFERROR(TRIM(INDEX('Pegar estudiantes'!$A$1:$BZ$1001,144,K$2)&amp;""),""))</f>
        <v/>
      </c>
      <c r="L145" s="25">
        <f>IF(A145&lt;&gt;"",1,"")</f>
        <v/>
      </c>
      <c r="M145" s="25">
        <f>IF(L145=1,IF(ISNUMBER(FIND("#"&amp;MID(A145,1,1)&amp;"#","#0#1#2#3#4#5#6#7#8#9#")),IF(ISNUMBER(FIND("#"&amp;MID(A145,2,1)&amp;"#","#0#1#2#3#4#5#6#7#8#9#")),IF(AND(VALUE(LEFT(A145,2))&gt;=1,VALUE(LEFT(A145,2))&lt;=5),VALUE(LEFT(A145,2)),""),IF(AND(VALUE(LEFT(A145,1))&gt;=1,VALUE(LEFT(A145,1))&lt;=5),VALUE(LEFT(A145,1)),"")),""),"")</f>
        <v/>
      </c>
      <c r="N145" s="25">
        <f>IF(L145=1,IF(ISNUMBER(FIND("#"&amp;MID(H145,1,1)&amp;"#","#0#1#2#3#4#5#6#7#8#9#")),IF(ISNUMBER(FIND("#"&amp;MID(H145,2,1)&amp;"#","#0#1#2#3#4#5#6#7#8#9#")),IF(AND(VALUE(LEFT(H145,2))&gt;=1,VALUE(LEFT(H145,2))&lt;=5),VALUE(LEFT(H145,2)),""),IF(AND(VALUE(LEFT(H145,1))&gt;=1,VALUE(LEFT(H145,1))&lt;=5),VALUE(LEFT(H145,1)),"")),""),"")</f>
        <v/>
      </c>
      <c r="O145" s="25">
        <f>IF(AND(L145=1,B145&lt;&gt;""),SUBSTITUTE(SUBSTITUTE(SUBSTITUTE(SUBSTITUTE(SUBSTITUTE(SUBSTITUTE(SUBSTITUTE(SUBSTITUTE(SUBSTITUTE(SUBSTITUTE(SUBSTITUTE(SUBSTITUTE(LOWER(TRIM(B145)),"á","a"),"é","e"),"í","i"),"ó","o"),"ú","u"),"ü","u"),"ñ","n"),"à","a"),"è","e"),"ì","i"),"ò","o"),"ù","u"),"")</f>
        <v/>
      </c>
      <c r="P145" s="25">
        <f>IF(AND(L145=1,C145&lt;&gt;""),SUBSTITUTE(SUBSTITUTE(SUBSTITUTE(SUBSTITUTE(SUBSTITUTE(SUBSTITUTE(SUBSTITUTE(SUBSTITUTE(SUBSTITUTE(SUBSTITUTE(SUBSTITUTE(SUBSTITUTE(LOWER(TRIM(C145)),"á","a"),"é","e"),"í","i"),"ó","o"),"ú","u"),"ü","u"),"ñ","n"),"à","a"),"è","e"),"ì","i"),"ò","o"),"ù","u"),"")</f>
        <v/>
      </c>
      <c r="Q145" s="25">
        <f>IF(AND(L145=1,E145&lt;&gt;""),SUBSTITUTE(SUBSTITUTE(SUBSTITUTE(SUBSTITUTE(SUBSTITUTE(SUBSTITUTE(SUBSTITUTE(SUBSTITUTE(SUBSTITUTE(SUBSTITUTE(SUBSTITUTE(SUBSTITUTE(LOWER(TRIM(E145)),"á","a"),"é","e"),"í","i"),"ó","o"),"ú","u"),"ü","u"),"ñ","n"),"à","a"),"è","e"),"ì","i"),"ò","o"),"ù","u"),"")</f>
        <v/>
      </c>
      <c r="R145" s="25">
        <f>IF(AND(L145=1,I145&lt;&gt;""),SUBSTITUTE(SUBSTITUTE(SUBSTITUTE(SUBSTITUTE(SUBSTITUTE(SUBSTITUTE(SUBSTITUTE(SUBSTITUTE(SUBSTITUTE(SUBSTITUTE(SUBSTITUTE(SUBSTITUTE(LOWER(TRIM(I145)),"á","a"),"é","e"),"í","i"),"ó","o"),"ú","u"),"ü","u"),"ñ","n"),"à","a"),"è","e"),"ì","i"),"ò","o"),"ù","u"),"")</f>
        <v/>
      </c>
      <c r="S145" s="25">
        <f>IF(R145="","",IF(OR(R145="si",R145="tal vez"),1,0))</f>
        <v/>
      </c>
      <c r="T145" s="25">
        <f>IF(AND(L145=1,D145&lt;&gt;""),IF(IFERROR(COUNTIFS(D$3:D145,"="&amp;SUBSTITUTE(SUBSTITUTE(SUBSTITUTE(D145,"~","~~"),"*","~*"),"?","~?"),L$3:L145,1),0)=1,MAX(T$2:T144)+1,""),"")</f>
        <v/>
      </c>
      <c r="U145" s="25">
        <f>IF(T145="","",COUNTIFS($D$3:$D$1002,"="&amp;SUBSTITUTE(SUBSTITUTE(SUBSTITUTE(D145,"~","~~"),"*","~*"),"?","~?"),$L$3:$L$1002,1)*10000-T145)</f>
        <v/>
      </c>
      <c r="V145" s="25">
        <f>IF(AND(L145=1,J145&lt;&gt;""),IF(IFERROR(COUNTIFS(J$3:J145,"="&amp;SUBSTITUTE(SUBSTITUTE(SUBSTITUTE(J145,"~","~~"),"*","~*"),"?","~?"),L$3:L145,1),0)=1,MAX(V$2:V144)+1,""),"")</f>
        <v/>
      </c>
      <c r="W145" s="25">
        <f>IF(V145="","",COUNTIFS($J$3:$J$1002,"="&amp;SUBSTITUTE(SUBSTITUTE(SUBSTITUTE(J145,"~","~~"),"*","~*"),"?","~?"),$L$3:$L$1002,1)*10000-V145)</f>
        <v/>
      </c>
    </row>
    <row r="146">
      <c r="A146">
        <f>IF(A$2=0,"",IFERROR(TRIM(INDEX('Pegar estudiantes'!$A$1:$BZ$1001,145,A$2)&amp;""),""))</f>
        <v/>
      </c>
      <c r="B146">
        <f>IF(B$2=0,"",IFERROR(TRIM(INDEX('Pegar estudiantes'!$A$1:$BZ$1001,145,B$2)&amp;""),""))</f>
        <v/>
      </c>
      <c r="C146">
        <f>IF(C$2=0,"",IFERROR(TRIM(INDEX('Pegar estudiantes'!$A$1:$BZ$1001,145,C$2)&amp;""),""))</f>
        <v/>
      </c>
      <c r="D146">
        <f>IF(D$2=0,"",IFERROR(TRIM(INDEX('Pegar estudiantes'!$A$1:$BZ$1001,145,D$2)&amp;""),""))</f>
        <v/>
      </c>
      <c r="E146">
        <f>IF(E$2=0,"",IFERROR(TRIM(INDEX('Pegar estudiantes'!$A$1:$BZ$1001,145,E$2)&amp;""),""))</f>
        <v/>
      </c>
      <c r="F146">
        <f>IF(F$2=0,"",IFERROR(TRIM(INDEX('Pegar estudiantes'!$A$1:$BZ$1001,145,F$2)&amp;""),""))</f>
        <v/>
      </c>
      <c r="G146">
        <f>IF(G$2=0,"",IFERROR(TRIM(INDEX('Pegar estudiantes'!$A$1:$BZ$1001,145,G$2)&amp;""),""))</f>
        <v/>
      </c>
      <c r="H146">
        <f>IF(H$2=0,"",IFERROR(TRIM(INDEX('Pegar estudiantes'!$A$1:$BZ$1001,145,H$2)&amp;""),""))</f>
        <v/>
      </c>
      <c r="I146">
        <f>IF(I$2=0,"",IFERROR(TRIM(INDEX('Pegar estudiantes'!$A$1:$BZ$1001,145,I$2)&amp;""),""))</f>
        <v/>
      </c>
      <c r="J146">
        <f>IF(J$2=0,"",IFERROR(TRIM(INDEX('Pegar estudiantes'!$A$1:$BZ$1001,145,J$2)&amp;""),""))</f>
        <v/>
      </c>
      <c r="K146">
        <f>IF(K$2=0,"",IFERROR(TRIM(INDEX('Pegar estudiantes'!$A$1:$BZ$1001,145,K$2)&amp;""),""))</f>
        <v/>
      </c>
      <c r="L146" s="25">
        <f>IF(A146&lt;&gt;"",1,"")</f>
        <v/>
      </c>
      <c r="M146" s="25">
        <f>IF(L146=1,IF(ISNUMBER(FIND("#"&amp;MID(A146,1,1)&amp;"#","#0#1#2#3#4#5#6#7#8#9#")),IF(ISNUMBER(FIND("#"&amp;MID(A146,2,1)&amp;"#","#0#1#2#3#4#5#6#7#8#9#")),IF(AND(VALUE(LEFT(A146,2))&gt;=1,VALUE(LEFT(A146,2))&lt;=5),VALUE(LEFT(A146,2)),""),IF(AND(VALUE(LEFT(A146,1))&gt;=1,VALUE(LEFT(A146,1))&lt;=5),VALUE(LEFT(A146,1)),"")),""),"")</f>
        <v/>
      </c>
      <c r="N146" s="25">
        <f>IF(L146=1,IF(ISNUMBER(FIND("#"&amp;MID(H146,1,1)&amp;"#","#0#1#2#3#4#5#6#7#8#9#")),IF(ISNUMBER(FIND("#"&amp;MID(H146,2,1)&amp;"#","#0#1#2#3#4#5#6#7#8#9#")),IF(AND(VALUE(LEFT(H146,2))&gt;=1,VALUE(LEFT(H146,2))&lt;=5),VALUE(LEFT(H146,2)),""),IF(AND(VALUE(LEFT(H146,1))&gt;=1,VALUE(LEFT(H146,1))&lt;=5),VALUE(LEFT(H146,1)),"")),""),"")</f>
        <v/>
      </c>
      <c r="O146" s="25">
        <f>IF(AND(L146=1,B146&lt;&gt;""),SUBSTITUTE(SUBSTITUTE(SUBSTITUTE(SUBSTITUTE(SUBSTITUTE(SUBSTITUTE(SUBSTITUTE(SUBSTITUTE(SUBSTITUTE(SUBSTITUTE(SUBSTITUTE(SUBSTITUTE(LOWER(TRIM(B146)),"á","a"),"é","e"),"í","i"),"ó","o"),"ú","u"),"ü","u"),"ñ","n"),"à","a"),"è","e"),"ì","i"),"ò","o"),"ù","u"),"")</f>
        <v/>
      </c>
      <c r="P146" s="25">
        <f>IF(AND(L146=1,C146&lt;&gt;""),SUBSTITUTE(SUBSTITUTE(SUBSTITUTE(SUBSTITUTE(SUBSTITUTE(SUBSTITUTE(SUBSTITUTE(SUBSTITUTE(SUBSTITUTE(SUBSTITUTE(SUBSTITUTE(SUBSTITUTE(LOWER(TRIM(C146)),"á","a"),"é","e"),"í","i"),"ó","o"),"ú","u"),"ü","u"),"ñ","n"),"à","a"),"è","e"),"ì","i"),"ò","o"),"ù","u"),"")</f>
        <v/>
      </c>
      <c r="Q146" s="25">
        <f>IF(AND(L146=1,E146&lt;&gt;""),SUBSTITUTE(SUBSTITUTE(SUBSTITUTE(SUBSTITUTE(SUBSTITUTE(SUBSTITUTE(SUBSTITUTE(SUBSTITUTE(SUBSTITUTE(SUBSTITUTE(SUBSTITUTE(SUBSTITUTE(LOWER(TRIM(E146)),"á","a"),"é","e"),"í","i"),"ó","o"),"ú","u"),"ü","u"),"ñ","n"),"à","a"),"è","e"),"ì","i"),"ò","o"),"ù","u"),"")</f>
        <v/>
      </c>
      <c r="R146" s="25">
        <f>IF(AND(L146=1,I146&lt;&gt;""),SUBSTITUTE(SUBSTITUTE(SUBSTITUTE(SUBSTITUTE(SUBSTITUTE(SUBSTITUTE(SUBSTITUTE(SUBSTITUTE(SUBSTITUTE(SUBSTITUTE(SUBSTITUTE(SUBSTITUTE(LOWER(TRIM(I146)),"á","a"),"é","e"),"í","i"),"ó","o"),"ú","u"),"ü","u"),"ñ","n"),"à","a"),"è","e"),"ì","i"),"ò","o"),"ù","u"),"")</f>
        <v/>
      </c>
      <c r="S146" s="25">
        <f>IF(R146="","",IF(OR(R146="si",R146="tal vez"),1,0))</f>
        <v/>
      </c>
      <c r="T146" s="25">
        <f>IF(AND(L146=1,D146&lt;&gt;""),IF(IFERROR(COUNTIFS(D$3:D146,"="&amp;SUBSTITUTE(SUBSTITUTE(SUBSTITUTE(D146,"~","~~"),"*","~*"),"?","~?"),L$3:L146,1),0)=1,MAX(T$2:T145)+1,""),"")</f>
        <v/>
      </c>
      <c r="U146" s="25">
        <f>IF(T146="","",COUNTIFS($D$3:$D$1002,"="&amp;SUBSTITUTE(SUBSTITUTE(SUBSTITUTE(D146,"~","~~"),"*","~*"),"?","~?"),$L$3:$L$1002,1)*10000-T146)</f>
        <v/>
      </c>
      <c r="V146" s="25">
        <f>IF(AND(L146=1,J146&lt;&gt;""),IF(IFERROR(COUNTIFS(J$3:J146,"="&amp;SUBSTITUTE(SUBSTITUTE(SUBSTITUTE(J146,"~","~~"),"*","~*"),"?","~?"),L$3:L146,1),0)=1,MAX(V$2:V145)+1,""),"")</f>
        <v/>
      </c>
      <c r="W146" s="25">
        <f>IF(V146="","",COUNTIFS($J$3:$J$1002,"="&amp;SUBSTITUTE(SUBSTITUTE(SUBSTITUTE(J146,"~","~~"),"*","~*"),"?","~?"),$L$3:$L$1002,1)*10000-V146)</f>
        <v/>
      </c>
    </row>
    <row r="147">
      <c r="A147">
        <f>IF(A$2=0,"",IFERROR(TRIM(INDEX('Pegar estudiantes'!$A$1:$BZ$1001,146,A$2)&amp;""),""))</f>
        <v/>
      </c>
      <c r="B147">
        <f>IF(B$2=0,"",IFERROR(TRIM(INDEX('Pegar estudiantes'!$A$1:$BZ$1001,146,B$2)&amp;""),""))</f>
        <v/>
      </c>
      <c r="C147">
        <f>IF(C$2=0,"",IFERROR(TRIM(INDEX('Pegar estudiantes'!$A$1:$BZ$1001,146,C$2)&amp;""),""))</f>
        <v/>
      </c>
      <c r="D147">
        <f>IF(D$2=0,"",IFERROR(TRIM(INDEX('Pegar estudiantes'!$A$1:$BZ$1001,146,D$2)&amp;""),""))</f>
        <v/>
      </c>
      <c r="E147">
        <f>IF(E$2=0,"",IFERROR(TRIM(INDEX('Pegar estudiantes'!$A$1:$BZ$1001,146,E$2)&amp;""),""))</f>
        <v/>
      </c>
      <c r="F147">
        <f>IF(F$2=0,"",IFERROR(TRIM(INDEX('Pegar estudiantes'!$A$1:$BZ$1001,146,F$2)&amp;""),""))</f>
        <v/>
      </c>
      <c r="G147">
        <f>IF(G$2=0,"",IFERROR(TRIM(INDEX('Pegar estudiantes'!$A$1:$BZ$1001,146,G$2)&amp;""),""))</f>
        <v/>
      </c>
      <c r="H147">
        <f>IF(H$2=0,"",IFERROR(TRIM(INDEX('Pegar estudiantes'!$A$1:$BZ$1001,146,H$2)&amp;""),""))</f>
        <v/>
      </c>
      <c r="I147">
        <f>IF(I$2=0,"",IFERROR(TRIM(INDEX('Pegar estudiantes'!$A$1:$BZ$1001,146,I$2)&amp;""),""))</f>
        <v/>
      </c>
      <c r="J147">
        <f>IF(J$2=0,"",IFERROR(TRIM(INDEX('Pegar estudiantes'!$A$1:$BZ$1001,146,J$2)&amp;""),""))</f>
        <v/>
      </c>
      <c r="K147">
        <f>IF(K$2=0,"",IFERROR(TRIM(INDEX('Pegar estudiantes'!$A$1:$BZ$1001,146,K$2)&amp;""),""))</f>
        <v/>
      </c>
      <c r="L147" s="25">
        <f>IF(A147&lt;&gt;"",1,"")</f>
        <v/>
      </c>
      <c r="M147" s="25">
        <f>IF(L147=1,IF(ISNUMBER(FIND("#"&amp;MID(A147,1,1)&amp;"#","#0#1#2#3#4#5#6#7#8#9#")),IF(ISNUMBER(FIND("#"&amp;MID(A147,2,1)&amp;"#","#0#1#2#3#4#5#6#7#8#9#")),IF(AND(VALUE(LEFT(A147,2))&gt;=1,VALUE(LEFT(A147,2))&lt;=5),VALUE(LEFT(A147,2)),""),IF(AND(VALUE(LEFT(A147,1))&gt;=1,VALUE(LEFT(A147,1))&lt;=5),VALUE(LEFT(A147,1)),"")),""),"")</f>
        <v/>
      </c>
      <c r="N147" s="25">
        <f>IF(L147=1,IF(ISNUMBER(FIND("#"&amp;MID(H147,1,1)&amp;"#","#0#1#2#3#4#5#6#7#8#9#")),IF(ISNUMBER(FIND("#"&amp;MID(H147,2,1)&amp;"#","#0#1#2#3#4#5#6#7#8#9#")),IF(AND(VALUE(LEFT(H147,2))&gt;=1,VALUE(LEFT(H147,2))&lt;=5),VALUE(LEFT(H147,2)),""),IF(AND(VALUE(LEFT(H147,1))&gt;=1,VALUE(LEFT(H147,1))&lt;=5),VALUE(LEFT(H147,1)),"")),""),"")</f>
        <v/>
      </c>
      <c r="O147" s="25">
        <f>IF(AND(L147=1,B147&lt;&gt;""),SUBSTITUTE(SUBSTITUTE(SUBSTITUTE(SUBSTITUTE(SUBSTITUTE(SUBSTITUTE(SUBSTITUTE(SUBSTITUTE(SUBSTITUTE(SUBSTITUTE(SUBSTITUTE(SUBSTITUTE(LOWER(TRIM(B147)),"á","a"),"é","e"),"í","i"),"ó","o"),"ú","u"),"ü","u"),"ñ","n"),"à","a"),"è","e"),"ì","i"),"ò","o"),"ù","u"),"")</f>
        <v/>
      </c>
      <c r="P147" s="25">
        <f>IF(AND(L147=1,C147&lt;&gt;""),SUBSTITUTE(SUBSTITUTE(SUBSTITUTE(SUBSTITUTE(SUBSTITUTE(SUBSTITUTE(SUBSTITUTE(SUBSTITUTE(SUBSTITUTE(SUBSTITUTE(SUBSTITUTE(SUBSTITUTE(LOWER(TRIM(C147)),"á","a"),"é","e"),"í","i"),"ó","o"),"ú","u"),"ü","u"),"ñ","n"),"à","a"),"è","e"),"ì","i"),"ò","o"),"ù","u"),"")</f>
        <v/>
      </c>
      <c r="Q147" s="25">
        <f>IF(AND(L147=1,E147&lt;&gt;""),SUBSTITUTE(SUBSTITUTE(SUBSTITUTE(SUBSTITUTE(SUBSTITUTE(SUBSTITUTE(SUBSTITUTE(SUBSTITUTE(SUBSTITUTE(SUBSTITUTE(SUBSTITUTE(SUBSTITUTE(LOWER(TRIM(E147)),"á","a"),"é","e"),"í","i"),"ó","o"),"ú","u"),"ü","u"),"ñ","n"),"à","a"),"è","e"),"ì","i"),"ò","o"),"ù","u"),"")</f>
        <v/>
      </c>
      <c r="R147" s="25">
        <f>IF(AND(L147=1,I147&lt;&gt;""),SUBSTITUTE(SUBSTITUTE(SUBSTITUTE(SUBSTITUTE(SUBSTITUTE(SUBSTITUTE(SUBSTITUTE(SUBSTITUTE(SUBSTITUTE(SUBSTITUTE(SUBSTITUTE(SUBSTITUTE(LOWER(TRIM(I147)),"á","a"),"é","e"),"í","i"),"ó","o"),"ú","u"),"ü","u"),"ñ","n"),"à","a"),"è","e"),"ì","i"),"ò","o"),"ù","u"),"")</f>
        <v/>
      </c>
      <c r="S147" s="25">
        <f>IF(R147="","",IF(OR(R147="si",R147="tal vez"),1,0))</f>
        <v/>
      </c>
      <c r="T147" s="25">
        <f>IF(AND(L147=1,D147&lt;&gt;""),IF(IFERROR(COUNTIFS(D$3:D147,"="&amp;SUBSTITUTE(SUBSTITUTE(SUBSTITUTE(D147,"~","~~"),"*","~*"),"?","~?"),L$3:L147,1),0)=1,MAX(T$2:T146)+1,""),"")</f>
        <v/>
      </c>
      <c r="U147" s="25">
        <f>IF(T147="","",COUNTIFS($D$3:$D$1002,"="&amp;SUBSTITUTE(SUBSTITUTE(SUBSTITUTE(D147,"~","~~"),"*","~*"),"?","~?"),$L$3:$L$1002,1)*10000-T147)</f>
        <v/>
      </c>
      <c r="V147" s="25">
        <f>IF(AND(L147=1,J147&lt;&gt;""),IF(IFERROR(COUNTIFS(J$3:J147,"="&amp;SUBSTITUTE(SUBSTITUTE(SUBSTITUTE(J147,"~","~~"),"*","~*"),"?","~?"),L$3:L147,1),0)=1,MAX(V$2:V146)+1,""),"")</f>
        <v/>
      </c>
      <c r="W147" s="25">
        <f>IF(V147="","",COUNTIFS($J$3:$J$1002,"="&amp;SUBSTITUTE(SUBSTITUTE(SUBSTITUTE(J147,"~","~~"),"*","~*"),"?","~?"),$L$3:$L$1002,1)*10000-V147)</f>
        <v/>
      </c>
    </row>
    <row r="148">
      <c r="A148">
        <f>IF(A$2=0,"",IFERROR(TRIM(INDEX('Pegar estudiantes'!$A$1:$BZ$1001,147,A$2)&amp;""),""))</f>
        <v/>
      </c>
      <c r="B148">
        <f>IF(B$2=0,"",IFERROR(TRIM(INDEX('Pegar estudiantes'!$A$1:$BZ$1001,147,B$2)&amp;""),""))</f>
        <v/>
      </c>
      <c r="C148">
        <f>IF(C$2=0,"",IFERROR(TRIM(INDEX('Pegar estudiantes'!$A$1:$BZ$1001,147,C$2)&amp;""),""))</f>
        <v/>
      </c>
      <c r="D148">
        <f>IF(D$2=0,"",IFERROR(TRIM(INDEX('Pegar estudiantes'!$A$1:$BZ$1001,147,D$2)&amp;""),""))</f>
        <v/>
      </c>
      <c r="E148">
        <f>IF(E$2=0,"",IFERROR(TRIM(INDEX('Pegar estudiantes'!$A$1:$BZ$1001,147,E$2)&amp;""),""))</f>
        <v/>
      </c>
      <c r="F148">
        <f>IF(F$2=0,"",IFERROR(TRIM(INDEX('Pegar estudiantes'!$A$1:$BZ$1001,147,F$2)&amp;""),""))</f>
        <v/>
      </c>
      <c r="G148">
        <f>IF(G$2=0,"",IFERROR(TRIM(INDEX('Pegar estudiantes'!$A$1:$BZ$1001,147,G$2)&amp;""),""))</f>
        <v/>
      </c>
      <c r="H148">
        <f>IF(H$2=0,"",IFERROR(TRIM(INDEX('Pegar estudiantes'!$A$1:$BZ$1001,147,H$2)&amp;""),""))</f>
        <v/>
      </c>
      <c r="I148">
        <f>IF(I$2=0,"",IFERROR(TRIM(INDEX('Pegar estudiantes'!$A$1:$BZ$1001,147,I$2)&amp;""),""))</f>
        <v/>
      </c>
      <c r="J148">
        <f>IF(J$2=0,"",IFERROR(TRIM(INDEX('Pegar estudiantes'!$A$1:$BZ$1001,147,J$2)&amp;""),""))</f>
        <v/>
      </c>
      <c r="K148">
        <f>IF(K$2=0,"",IFERROR(TRIM(INDEX('Pegar estudiantes'!$A$1:$BZ$1001,147,K$2)&amp;""),""))</f>
        <v/>
      </c>
      <c r="L148" s="25">
        <f>IF(A148&lt;&gt;"",1,"")</f>
        <v/>
      </c>
      <c r="M148" s="25">
        <f>IF(L148=1,IF(ISNUMBER(FIND("#"&amp;MID(A148,1,1)&amp;"#","#0#1#2#3#4#5#6#7#8#9#")),IF(ISNUMBER(FIND("#"&amp;MID(A148,2,1)&amp;"#","#0#1#2#3#4#5#6#7#8#9#")),IF(AND(VALUE(LEFT(A148,2))&gt;=1,VALUE(LEFT(A148,2))&lt;=5),VALUE(LEFT(A148,2)),""),IF(AND(VALUE(LEFT(A148,1))&gt;=1,VALUE(LEFT(A148,1))&lt;=5),VALUE(LEFT(A148,1)),"")),""),"")</f>
        <v/>
      </c>
      <c r="N148" s="25">
        <f>IF(L148=1,IF(ISNUMBER(FIND("#"&amp;MID(H148,1,1)&amp;"#","#0#1#2#3#4#5#6#7#8#9#")),IF(ISNUMBER(FIND("#"&amp;MID(H148,2,1)&amp;"#","#0#1#2#3#4#5#6#7#8#9#")),IF(AND(VALUE(LEFT(H148,2))&gt;=1,VALUE(LEFT(H148,2))&lt;=5),VALUE(LEFT(H148,2)),""),IF(AND(VALUE(LEFT(H148,1))&gt;=1,VALUE(LEFT(H148,1))&lt;=5),VALUE(LEFT(H148,1)),"")),""),"")</f>
        <v/>
      </c>
      <c r="O148" s="25">
        <f>IF(AND(L148=1,B148&lt;&gt;""),SUBSTITUTE(SUBSTITUTE(SUBSTITUTE(SUBSTITUTE(SUBSTITUTE(SUBSTITUTE(SUBSTITUTE(SUBSTITUTE(SUBSTITUTE(SUBSTITUTE(SUBSTITUTE(SUBSTITUTE(LOWER(TRIM(B148)),"á","a"),"é","e"),"í","i"),"ó","o"),"ú","u"),"ü","u"),"ñ","n"),"à","a"),"è","e"),"ì","i"),"ò","o"),"ù","u"),"")</f>
        <v/>
      </c>
      <c r="P148" s="25">
        <f>IF(AND(L148=1,C148&lt;&gt;""),SUBSTITUTE(SUBSTITUTE(SUBSTITUTE(SUBSTITUTE(SUBSTITUTE(SUBSTITUTE(SUBSTITUTE(SUBSTITUTE(SUBSTITUTE(SUBSTITUTE(SUBSTITUTE(SUBSTITUTE(LOWER(TRIM(C148)),"á","a"),"é","e"),"í","i"),"ó","o"),"ú","u"),"ü","u"),"ñ","n"),"à","a"),"è","e"),"ì","i"),"ò","o"),"ù","u"),"")</f>
        <v/>
      </c>
      <c r="Q148" s="25">
        <f>IF(AND(L148=1,E148&lt;&gt;""),SUBSTITUTE(SUBSTITUTE(SUBSTITUTE(SUBSTITUTE(SUBSTITUTE(SUBSTITUTE(SUBSTITUTE(SUBSTITUTE(SUBSTITUTE(SUBSTITUTE(SUBSTITUTE(SUBSTITUTE(LOWER(TRIM(E148)),"á","a"),"é","e"),"í","i"),"ó","o"),"ú","u"),"ü","u"),"ñ","n"),"à","a"),"è","e"),"ì","i"),"ò","o"),"ù","u"),"")</f>
        <v/>
      </c>
      <c r="R148" s="25">
        <f>IF(AND(L148=1,I148&lt;&gt;""),SUBSTITUTE(SUBSTITUTE(SUBSTITUTE(SUBSTITUTE(SUBSTITUTE(SUBSTITUTE(SUBSTITUTE(SUBSTITUTE(SUBSTITUTE(SUBSTITUTE(SUBSTITUTE(SUBSTITUTE(LOWER(TRIM(I148)),"á","a"),"é","e"),"í","i"),"ó","o"),"ú","u"),"ü","u"),"ñ","n"),"à","a"),"è","e"),"ì","i"),"ò","o"),"ù","u"),"")</f>
        <v/>
      </c>
      <c r="S148" s="25">
        <f>IF(R148="","",IF(OR(R148="si",R148="tal vez"),1,0))</f>
        <v/>
      </c>
      <c r="T148" s="25">
        <f>IF(AND(L148=1,D148&lt;&gt;""),IF(IFERROR(COUNTIFS(D$3:D148,"="&amp;SUBSTITUTE(SUBSTITUTE(SUBSTITUTE(D148,"~","~~"),"*","~*"),"?","~?"),L$3:L148,1),0)=1,MAX(T$2:T147)+1,""),"")</f>
        <v/>
      </c>
      <c r="U148" s="25">
        <f>IF(T148="","",COUNTIFS($D$3:$D$1002,"="&amp;SUBSTITUTE(SUBSTITUTE(SUBSTITUTE(D148,"~","~~"),"*","~*"),"?","~?"),$L$3:$L$1002,1)*10000-T148)</f>
        <v/>
      </c>
      <c r="V148" s="25">
        <f>IF(AND(L148=1,J148&lt;&gt;""),IF(IFERROR(COUNTIFS(J$3:J148,"="&amp;SUBSTITUTE(SUBSTITUTE(SUBSTITUTE(J148,"~","~~"),"*","~*"),"?","~?"),L$3:L148,1),0)=1,MAX(V$2:V147)+1,""),"")</f>
        <v/>
      </c>
      <c r="W148" s="25">
        <f>IF(V148="","",COUNTIFS($J$3:$J$1002,"="&amp;SUBSTITUTE(SUBSTITUTE(SUBSTITUTE(J148,"~","~~"),"*","~*"),"?","~?"),$L$3:$L$1002,1)*10000-V148)</f>
        <v/>
      </c>
    </row>
    <row r="149">
      <c r="A149">
        <f>IF(A$2=0,"",IFERROR(TRIM(INDEX('Pegar estudiantes'!$A$1:$BZ$1001,148,A$2)&amp;""),""))</f>
        <v/>
      </c>
      <c r="B149">
        <f>IF(B$2=0,"",IFERROR(TRIM(INDEX('Pegar estudiantes'!$A$1:$BZ$1001,148,B$2)&amp;""),""))</f>
        <v/>
      </c>
      <c r="C149">
        <f>IF(C$2=0,"",IFERROR(TRIM(INDEX('Pegar estudiantes'!$A$1:$BZ$1001,148,C$2)&amp;""),""))</f>
        <v/>
      </c>
      <c r="D149">
        <f>IF(D$2=0,"",IFERROR(TRIM(INDEX('Pegar estudiantes'!$A$1:$BZ$1001,148,D$2)&amp;""),""))</f>
        <v/>
      </c>
      <c r="E149">
        <f>IF(E$2=0,"",IFERROR(TRIM(INDEX('Pegar estudiantes'!$A$1:$BZ$1001,148,E$2)&amp;""),""))</f>
        <v/>
      </c>
      <c r="F149">
        <f>IF(F$2=0,"",IFERROR(TRIM(INDEX('Pegar estudiantes'!$A$1:$BZ$1001,148,F$2)&amp;""),""))</f>
        <v/>
      </c>
      <c r="G149">
        <f>IF(G$2=0,"",IFERROR(TRIM(INDEX('Pegar estudiantes'!$A$1:$BZ$1001,148,G$2)&amp;""),""))</f>
        <v/>
      </c>
      <c r="H149">
        <f>IF(H$2=0,"",IFERROR(TRIM(INDEX('Pegar estudiantes'!$A$1:$BZ$1001,148,H$2)&amp;""),""))</f>
        <v/>
      </c>
      <c r="I149">
        <f>IF(I$2=0,"",IFERROR(TRIM(INDEX('Pegar estudiantes'!$A$1:$BZ$1001,148,I$2)&amp;""),""))</f>
        <v/>
      </c>
      <c r="J149">
        <f>IF(J$2=0,"",IFERROR(TRIM(INDEX('Pegar estudiantes'!$A$1:$BZ$1001,148,J$2)&amp;""),""))</f>
        <v/>
      </c>
      <c r="K149">
        <f>IF(K$2=0,"",IFERROR(TRIM(INDEX('Pegar estudiantes'!$A$1:$BZ$1001,148,K$2)&amp;""),""))</f>
        <v/>
      </c>
      <c r="L149" s="25">
        <f>IF(A149&lt;&gt;"",1,"")</f>
        <v/>
      </c>
      <c r="M149" s="25">
        <f>IF(L149=1,IF(ISNUMBER(FIND("#"&amp;MID(A149,1,1)&amp;"#","#0#1#2#3#4#5#6#7#8#9#")),IF(ISNUMBER(FIND("#"&amp;MID(A149,2,1)&amp;"#","#0#1#2#3#4#5#6#7#8#9#")),IF(AND(VALUE(LEFT(A149,2))&gt;=1,VALUE(LEFT(A149,2))&lt;=5),VALUE(LEFT(A149,2)),""),IF(AND(VALUE(LEFT(A149,1))&gt;=1,VALUE(LEFT(A149,1))&lt;=5),VALUE(LEFT(A149,1)),"")),""),"")</f>
        <v/>
      </c>
      <c r="N149" s="25">
        <f>IF(L149=1,IF(ISNUMBER(FIND("#"&amp;MID(H149,1,1)&amp;"#","#0#1#2#3#4#5#6#7#8#9#")),IF(ISNUMBER(FIND("#"&amp;MID(H149,2,1)&amp;"#","#0#1#2#3#4#5#6#7#8#9#")),IF(AND(VALUE(LEFT(H149,2))&gt;=1,VALUE(LEFT(H149,2))&lt;=5),VALUE(LEFT(H149,2)),""),IF(AND(VALUE(LEFT(H149,1))&gt;=1,VALUE(LEFT(H149,1))&lt;=5),VALUE(LEFT(H149,1)),"")),""),"")</f>
        <v/>
      </c>
      <c r="O149" s="25">
        <f>IF(AND(L149=1,B149&lt;&gt;""),SUBSTITUTE(SUBSTITUTE(SUBSTITUTE(SUBSTITUTE(SUBSTITUTE(SUBSTITUTE(SUBSTITUTE(SUBSTITUTE(SUBSTITUTE(SUBSTITUTE(SUBSTITUTE(SUBSTITUTE(LOWER(TRIM(B149)),"á","a"),"é","e"),"í","i"),"ó","o"),"ú","u"),"ü","u"),"ñ","n"),"à","a"),"è","e"),"ì","i"),"ò","o"),"ù","u"),"")</f>
        <v/>
      </c>
      <c r="P149" s="25">
        <f>IF(AND(L149=1,C149&lt;&gt;""),SUBSTITUTE(SUBSTITUTE(SUBSTITUTE(SUBSTITUTE(SUBSTITUTE(SUBSTITUTE(SUBSTITUTE(SUBSTITUTE(SUBSTITUTE(SUBSTITUTE(SUBSTITUTE(SUBSTITUTE(LOWER(TRIM(C149)),"á","a"),"é","e"),"í","i"),"ó","o"),"ú","u"),"ü","u"),"ñ","n"),"à","a"),"è","e"),"ì","i"),"ò","o"),"ù","u"),"")</f>
        <v/>
      </c>
      <c r="Q149" s="25">
        <f>IF(AND(L149=1,E149&lt;&gt;""),SUBSTITUTE(SUBSTITUTE(SUBSTITUTE(SUBSTITUTE(SUBSTITUTE(SUBSTITUTE(SUBSTITUTE(SUBSTITUTE(SUBSTITUTE(SUBSTITUTE(SUBSTITUTE(SUBSTITUTE(LOWER(TRIM(E149)),"á","a"),"é","e"),"í","i"),"ó","o"),"ú","u"),"ü","u"),"ñ","n"),"à","a"),"è","e"),"ì","i"),"ò","o"),"ù","u"),"")</f>
        <v/>
      </c>
      <c r="R149" s="25">
        <f>IF(AND(L149=1,I149&lt;&gt;""),SUBSTITUTE(SUBSTITUTE(SUBSTITUTE(SUBSTITUTE(SUBSTITUTE(SUBSTITUTE(SUBSTITUTE(SUBSTITUTE(SUBSTITUTE(SUBSTITUTE(SUBSTITUTE(SUBSTITUTE(LOWER(TRIM(I149)),"á","a"),"é","e"),"í","i"),"ó","o"),"ú","u"),"ü","u"),"ñ","n"),"à","a"),"è","e"),"ì","i"),"ò","o"),"ù","u"),"")</f>
        <v/>
      </c>
      <c r="S149" s="25">
        <f>IF(R149="","",IF(OR(R149="si",R149="tal vez"),1,0))</f>
        <v/>
      </c>
      <c r="T149" s="25">
        <f>IF(AND(L149=1,D149&lt;&gt;""),IF(IFERROR(COUNTIFS(D$3:D149,"="&amp;SUBSTITUTE(SUBSTITUTE(SUBSTITUTE(D149,"~","~~"),"*","~*"),"?","~?"),L$3:L149,1),0)=1,MAX(T$2:T148)+1,""),"")</f>
        <v/>
      </c>
      <c r="U149" s="25">
        <f>IF(T149="","",COUNTIFS($D$3:$D$1002,"="&amp;SUBSTITUTE(SUBSTITUTE(SUBSTITUTE(D149,"~","~~"),"*","~*"),"?","~?"),$L$3:$L$1002,1)*10000-T149)</f>
        <v/>
      </c>
      <c r="V149" s="25">
        <f>IF(AND(L149=1,J149&lt;&gt;""),IF(IFERROR(COUNTIFS(J$3:J149,"="&amp;SUBSTITUTE(SUBSTITUTE(SUBSTITUTE(J149,"~","~~"),"*","~*"),"?","~?"),L$3:L149,1),0)=1,MAX(V$2:V148)+1,""),"")</f>
        <v/>
      </c>
      <c r="W149" s="25">
        <f>IF(V149="","",COUNTIFS($J$3:$J$1002,"="&amp;SUBSTITUTE(SUBSTITUTE(SUBSTITUTE(J149,"~","~~"),"*","~*"),"?","~?"),$L$3:$L$1002,1)*10000-V149)</f>
        <v/>
      </c>
    </row>
    <row r="150">
      <c r="A150">
        <f>IF(A$2=0,"",IFERROR(TRIM(INDEX('Pegar estudiantes'!$A$1:$BZ$1001,149,A$2)&amp;""),""))</f>
        <v/>
      </c>
      <c r="B150">
        <f>IF(B$2=0,"",IFERROR(TRIM(INDEX('Pegar estudiantes'!$A$1:$BZ$1001,149,B$2)&amp;""),""))</f>
        <v/>
      </c>
      <c r="C150">
        <f>IF(C$2=0,"",IFERROR(TRIM(INDEX('Pegar estudiantes'!$A$1:$BZ$1001,149,C$2)&amp;""),""))</f>
        <v/>
      </c>
      <c r="D150">
        <f>IF(D$2=0,"",IFERROR(TRIM(INDEX('Pegar estudiantes'!$A$1:$BZ$1001,149,D$2)&amp;""),""))</f>
        <v/>
      </c>
      <c r="E150">
        <f>IF(E$2=0,"",IFERROR(TRIM(INDEX('Pegar estudiantes'!$A$1:$BZ$1001,149,E$2)&amp;""),""))</f>
        <v/>
      </c>
      <c r="F150">
        <f>IF(F$2=0,"",IFERROR(TRIM(INDEX('Pegar estudiantes'!$A$1:$BZ$1001,149,F$2)&amp;""),""))</f>
        <v/>
      </c>
      <c r="G150">
        <f>IF(G$2=0,"",IFERROR(TRIM(INDEX('Pegar estudiantes'!$A$1:$BZ$1001,149,G$2)&amp;""),""))</f>
        <v/>
      </c>
      <c r="H150">
        <f>IF(H$2=0,"",IFERROR(TRIM(INDEX('Pegar estudiantes'!$A$1:$BZ$1001,149,H$2)&amp;""),""))</f>
        <v/>
      </c>
      <c r="I150">
        <f>IF(I$2=0,"",IFERROR(TRIM(INDEX('Pegar estudiantes'!$A$1:$BZ$1001,149,I$2)&amp;""),""))</f>
        <v/>
      </c>
      <c r="J150">
        <f>IF(J$2=0,"",IFERROR(TRIM(INDEX('Pegar estudiantes'!$A$1:$BZ$1001,149,J$2)&amp;""),""))</f>
        <v/>
      </c>
      <c r="K150">
        <f>IF(K$2=0,"",IFERROR(TRIM(INDEX('Pegar estudiantes'!$A$1:$BZ$1001,149,K$2)&amp;""),""))</f>
        <v/>
      </c>
      <c r="L150" s="25">
        <f>IF(A150&lt;&gt;"",1,"")</f>
        <v/>
      </c>
      <c r="M150" s="25">
        <f>IF(L150=1,IF(ISNUMBER(FIND("#"&amp;MID(A150,1,1)&amp;"#","#0#1#2#3#4#5#6#7#8#9#")),IF(ISNUMBER(FIND("#"&amp;MID(A150,2,1)&amp;"#","#0#1#2#3#4#5#6#7#8#9#")),IF(AND(VALUE(LEFT(A150,2))&gt;=1,VALUE(LEFT(A150,2))&lt;=5),VALUE(LEFT(A150,2)),""),IF(AND(VALUE(LEFT(A150,1))&gt;=1,VALUE(LEFT(A150,1))&lt;=5),VALUE(LEFT(A150,1)),"")),""),"")</f>
        <v/>
      </c>
      <c r="N150" s="25">
        <f>IF(L150=1,IF(ISNUMBER(FIND("#"&amp;MID(H150,1,1)&amp;"#","#0#1#2#3#4#5#6#7#8#9#")),IF(ISNUMBER(FIND("#"&amp;MID(H150,2,1)&amp;"#","#0#1#2#3#4#5#6#7#8#9#")),IF(AND(VALUE(LEFT(H150,2))&gt;=1,VALUE(LEFT(H150,2))&lt;=5),VALUE(LEFT(H150,2)),""),IF(AND(VALUE(LEFT(H150,1))&gt;=1,VALUE(LEFT(H150,1))&lt;=5),VALUE(LEFT(H150,1)),"")),""),"")</f>
        <v/>
      </c>
      <c r="O150" s="25">
        <f>IF(AND(L150=1,B150&lt;&gt;""),SUBSTITUTE(SUBSTITUTE(SUBSTITUTE(SUBSTITUTE(SUBSTITUTE(SUBSTITUTE(SUBSTITUTE(SUBSTITUTE(SUBSTITUTE(SUBSTITUTE(SUBSTITUTE(SUBSTITUTE(LOWER(TRIM(B150)),"á","a"),"é","e"),"í","i"),"ó","o"),"ú","u"),"ü","u"),"ñ","n"),"à","a"),"è","e"),"ì","i"),"ò","o"),"ù","u"),"")</f>
        <v/>
      </c>
      <c r="P150" s="25">
        <f>IF(AND(L150=1,C150&lt;&gt;""),SUBSTITUTE(SUBSTITUTE(SUBSTITUTE(SUBSTITUTE(SUBSTITUTE(SUBSTITUTE(SUBSTITUTE(SUBSTITUTE(SUBSTITUTE(SUBSTITUTE(SUBSTITUTE(SUBSTITUTE(LOWER(TRIM(C150)),"á","a"),"é","e"),"í","i"),"ó","o"),"ú","u"),"ü","u"),"ñ","n"),"à","a"),"è","e"),"ì","i"),"ò","o"),"ù","u"),"")</f>
        <v/>
      </c>
      <c r="Q150" s="25">
        <f>IF(AND(L150=1,E150&lt;&gt;""),SUBSTITUTE(SUBSTITUTE(SUBSTITUTE(SUBSTITUTE(SUBSTITUTE(SUBSTITUTE(SUBSTITUTE(SUBSTITUTE(SUBSTITUTE(SUBSTITUTE(SUBSTITUTE(SUBSTITUTE(LOWER(TRIM(E150)),"á","a"),"é","e"),"í","i"),"ó","o"),"ú","u"),"ü","u"),"ñ","n"),"à","a"),"è","e"),"ì","i"),"ò","o"),"ù","u"),"")</f>
        <v/>
      </c>
      <c r="R150" s="25">
        <f>IF(AND(L150=1,I150&lt;&gt;""),SUBSTITUTE(SUBSTITUTE(SUBSTITUTE(SUBSTITUTE(SUBSTITUTE(SUBSTITUTE(SUBSTITUTE(SUBSTITUTE(SUBSTITUTE(SUBSTITUTE(SUBSTITUTE(SUBSTITUTE(LOWER(TRIM(I150)),"á","a"),"é","e"),"í","i"),"ó","o"),"ú","u"),"ü","u"),"ñ","n"),"à","a"),"è","e"),"ì","i"),"ò","o"),"ù","u"),"")</f>
        <v/>
      </c>
      <c r="S150" s="25">
        <f>IF(R150="","",IF(OR(R150="si",R150="tal vez"),1,0))</f>
        <v/>
      </c>
      <c r="T150" s="25">
        <f>IF(AND(L150=1,D150&lt;&gt;""),IF(IFERROR(COUNTIFS(D$3:D150,"="&amp;SUBSTITUTE(SUBSTITUTE(SUBSTITUTE(D150,"~","~~"),"*","~*"),"?","~?"),L$3:L150,1),0)=1,MAX(T$2:T149)+1,""),"")</f>
        <v/>
      </c>
      <c r="U150" s="25">
        <f>IF(T150="","",COUNTIFS($D$3:$D$1002,"="&amp;SUBSTITUTE(SUBSTITUTE(SUBSTITUTE(D150,"~","~~"),"*","~*"),"?","~?"),$L$3:$L$1002,1)*10000-T150)</f>
        <v/>
      </c>
      <c r="V150" s="25">
        <f>IF(AND(L150=1,J150&lt;&gt;""),IF(IFERROR(COUNTIFS(J$3:J150,"="&amp;SUBSTITUTE(SUBSTITUTE(SUBSTITUTE(J150,"~","~~"),"*","~*"),"?","~?"),L$3:L150,1),0)=1,MAX(V$2:V149)+1,""),"")</f>
        <v/>
      </c>
      <c r="W150" s="25">
        <f>IF(V150="","",COUNTIFS($J$3:$J$1002,"="&amp;SUBSTITUTE(SUBSTITUTE(SUBSTITUTE(J150,"~","~~"),"*","~*"),"?","~?"),$L$3:$L$1002,1)*10000-V150)</f>
        <v/>
      </c>
    </row>
    <row r="151">
      <c r="A151">
        <f>IF(A$2=0,"",IFERROR(TRIM(INDEX('Pegar estudiantes'!$A$1:$BZ$1001,150,A$2)&amp;""),""))</f>
        <v/>
      </c>
      <c r="B151">
        <f>IF(B$2=0,"",IFERROR(TRIM(INDEX('Pegar estudiantes'!$A$1:$BZ$1001,150,B$2)&amp;""),""))</f>
        <v/>
      </c>
      <c r="C151">
        <f>IF(C$2=0,"",IFERROR(TRIM(INDEX('Pegar estudiantes'!$A$1:$BZ$1001,150,C$2)&amp;""),""))</f>
        <v/>
      </c>
      <c r="D151">
        <f>IF(D$2=0,"",IFERROR(TRIM(INDEX('Pegar estudiantes'!$A$1:$BZ$1001,150,D$2)&amp;""),""))</f>
        <v/>
      </c>
      <c r="E151">
        <f>IF(E$2=0,"",IFERROR(TRIM(INDEX('Pegar estudiantes'!$A$1:$BZ$1001,150,E$2)&amp;""),""))</f>
        <v/>
      </c>
      <c r="F151">
        <f>IF(F$2=0,"",IFERROR(TRIM(INDEX('Pegar estudiantes'!$A$1:$BZ$1001,150,F$2)&amp;""),""))</f>
        <v/>
      </c>
      <c r="G151">
        <f>IF(G$2=0,"",IFERROR(TRIM(INDEX('Pegar estudiantes'!$A$1:$BZ$1001,150,G$2)&amp;""),""))</f>
        <v/>
      </c>
      <c r="H151">
        <f>IF(H$2=0,"",IFERROR(TRIM(INDEX('Pegar estudiantes'!$A$1:$BZ$1001,150,H$2)&amp;""),""))</f>
        <v/>
      </c>
      <c r="I151">
        <f>IF(I$2=0,"",IFERROR(TRIM(INDEX('Pegar estudiantes'!$A$1:$BZ$1001,150,I$2)&amp;""),""))</f>
        <v/>
      </c>
      <c r="J151">
        <f>IF(J$2=0,"",IFERROR(TRIM(INDEX('Pegar estudiantes'!$A$1:$BZ$1001,150,J$2)&amp;""),""))</f>
        <v/>
      </c>
      <c r="K151">
        <f>IF(K$2=0,"",IFERROR(TRIM(INDEX('Pegar estudiantes'!$A$1:$BZ$1001,150,K$2)&amp;""),""))</f>
        <v/>
      </c>
      <c r="L151" s="25">
        <f>IF(A151&lt;&gt;"",1,"")</f>
        <v/>
      </c>
      <c r="M151" s="25">
        <f>IF(L151=1,IF(ISNUMBER(FIND("#"&amp;MID(A151,1,1)&amp;"#","#0#1#2#3#4#5#6#7#8#9#")),IF(ISNUMBER(FIND("#"&amp;MID(A151,2,1)&amp;"#","#0#1#2#3#4#5#6#7#8#9#")),IF(AND(VALUE(LEFT(A151,2))&gt;=1,VALUE(LEFT(A151,2))&lt;=5),VALUE(LEFT(A151,2)),""),IF(AND(VALUE(LEFT(A151,1))&gt;=1,VALUE(LEFT(A151,1))&lt;=5),VALUE(LEFT(A151,1)),"")),""),"")</f>
        <v/>
      </c>
      <c r="N151" s="25">
        <f>IF(L151=1,IF(ISNUMBER(FIND("#"&amp;MID(H151,1,1)&amp;"#","#0#1#2#3#4#5#6#7#8#9#")),IF(ISNUMBER(FIND("#"&amp;MID(H151,2,1)&amp;"#","#0#1#2#3#4#5#6#7#8#9#")),IF(AND(VALUE(LEFT(H151,2))&gt;=1,VALUE(LEFT(H151,2))&lt;=5),VALUE(LEFT(H151,2)),""),IF(AND(VALUE(LEFT(H151,1))&gt;=1,VALUE(LEFT(H151,1))&lt;=5),VALUE(LEFT(H151,1)),"")),""),"")</f>
        <v/>
      </c>
      <c r="O151" s="25">
        <f>IF(AND(L151=1,B151&lt;&gt;""),SUBSTITUTE(SUBSTITUTE(SUBSTITUTE(SUBSTITUTE(SUBSTITUTE(SUBSTITUTE(SUBSTITUTE(SUBSTITUTE(SUBSTITUTE(SUBSTITUTE(SUBSTITUTE(SUBSTITUTE(LOWER(TRIM(B151)),"á","a"),"é","e"),"í","i"),"ó","o"),"ú","u"),"ü","u"),"ñ","n"),"à","a"),"è","e"),"ì","i"),"ò","o"),"ù","u"),"")</f>
        <v/>
      </c>
      <c r="P151" s="25">
        <f>IF(AND(L151=1,C151&lt;&gt;""),SUBSTITUTE(SUBSTITUTE(SUBSTITUTE(SUBSTITUTE(SUBSTITUTE(SUBSTITUTE(SUBSTITUTE(SUBSTITUTE(SUBSTITUTE(SUBSTITUTE(SUBSTITUTE(SUBSTITUTE(LOWER(TRIM(C151)),"á","a"),"é","e"),"í","i"),"ó","o"),"ú","u"),"ü","u"),"ñ","n"),"à","a"),"è","e"),"ì","i"),"ò","o"),"ù","u"),"")</f>
        <v/>
      </c>
      <c r="Q151" s="25">
        <f>IF(AND(L151=1,E151&lt;&gt;""),SUBSTITUTE(SUBSTITUTE(SUBSTITUTE(SUBSTITUTE(SUBSTITUTE(SUBSTITUTE(SUBSTITUTE(SUBSTITUTE(SUBSTITUTE(SUBSTITUTE(SUBSTITUTE(SUBSTITUTE(LOWER(TRIM(E151)),"á","a"),"é","e"),"í","i"),"ó","o"),"ú","u"),"ü","u"),"ñ","n"),"à","a"),"è","e"),"ì","i"),"ò","o"),"ù","u"),"")</f>
        <v/>
      </c>
      <c r="R151" s="25">
        <f>IF(AND(L151=1,I151&lt;&gt;""),SUBSTITUTE(SUBSTITUTE(SUBSTITUTE(SUBSTITUTE(SUBSTITUTE(SUBSTITUTE(SUBSTITUTE(SUBSTITUTE(SUBSTITUTE(SUBSTITUTE(SUBSTITUTE(SUBSTITUTE(LOWER(TRIM(I151)),"á","a"),"é","e"),"í","i"),"ó","o"),"ú","u"),"ü","u"),"ñ","n"),"à","a"),"è","e"),"ì","i"),"ò","o"),"ù","u"),"")</f>
        <v/>
      </c>
      <c r="S151" s="25">
        <f>IF(R151="","",IF(OR(R151="si",R151="tal vez"),1,0))</f>
        <v/>
      </c>
      <c r="T151" s="25">
        <f>IF(AND(L151=1,D151&lt;&gt;""),IF(IFERROR(COUNTIFS(D$3:D151,"="&amp;SUBSTITUTE(SUBSTITUTE(SUBSTITUTE(D151,"~","~~"),"*","~*"),"?","~?"),L$3:L151,1),0)=1,MAX(T$2:T150)+1,""),"")</f>
        <v/>
      </c>
      <c r="U151" s="25">
        <f>IF(T151="","",COUNTIFS($D$3:$D$1002,"="&amp;SUBSTITUTE(SUBSTITUTE(SUBSTITUTE(D151,"~","~~"),"*","~*"),"?","~?"),$L$3:$L$1002,1)*10000-T151)</f>
        <v/>
      </c>
      <c r="V151" s="25">
        <f>IF(AND(L151=1,J151&lt;&gt;""),IF(IFERROR(COUNTIFS(J$3:J151,"="&amp;SUBSTITUTE(SUBSTITUTE(SUBSTITUTE(J151,"~","~~"),"*","~*"),"?","~?"),L$3:L151,1),0)=1,MAX(V$2:V150)+1,""),"")</f>
        <v/>
      </c>
      <c r="W151" s="25">
        <f>IF(V151="","",COUNTIFS($J$3:$J$1002,"="&amp;SUBSTITUTE(SUBSTITUTE(SUBSTITUTE(J151,"~","~~"),"*","~*"),"?","~?"),$L$3:$L$1002,1)*10000-V151)</f>
        <v/>
      </c>
    </row>
    <row r="152">
      <c r="A152">
        <f>IF(A$2=0,"",IFERROR(TRIM(INDEX('Pegar estudiantes'!$A$1:$BZ$1001,151,A$2)&amp;""),""))</f>
        <v/>
      </c>
      <c r="B152">
        <f>IF(B$2=0,"",IFERROR(TRIM(INDEX('Pegar estudiantes'!$A$1:$BZ$1001,151,B$2)&amp;""),""))</f>
        <v/>
      </c>
      <c r="C152">
        <f>IF(C$2=0,"",IFERROR(TRIM(INDEX('Pegar estudiantes'!$A$1:$BZ$1001,151,C$2)&amp;""),""))</f>
        <v/>
      </c>
      <c r="D152">
        <f>IF(D$2=0,"",IFERROR(TRIM(INDEX('Pegar estudiantes'!$A$1:$BZ$1001,151,D$2)&amp;""),""))</f>
        <v/>
      </c>
      <c r="E152">
        <f>IF(E$2=0,"",IFERROR(TRIM(INDEX('Pegar estudiantes'!$A$1:$BZ$1001,151,E$2)&amp;""),""))</f>
        <v/>
      </c>
      <c r="F152">
        <f>IF(F$2=0,"",IFERROR(TRIM(INDEX('Pegar estudiantes'!$A$1:$BZ$1001,151,F$2)&amp;""),""))</f>
        <v/>
      </c>
      <c r="G152">
        <f>IF(G$2=0,"",IFERROR(TRIM(INDEX('Pegar estudiantes'!$A$1:$BZ$1001,151,G$2)&amp;""),""))</f>
        <v/>
      </c>
      <c r="H152">
        <f>IF(H$2=0,"",IFERROR(TRIM(INDEX('Pegar estudiantes'!$A$1:$BZ$1001,151,H$2)&amp;""),""))</f>
        <v/>
      </c>
      <c r="I152">
        <f>IF(I$2=0,"",IFERROR(TRIM(INDEX('Pegar estudiantes'!$A$1:$BZ$1001,151,I$2)&amp;""),""))</f>
        <v/>
      </c>
      <c r="J152">
        <f>IF(J$2=0,"",IFERROR(TRIM(INDEX('Pegar estudiantes'!$A$1:$BZ$1001,151,J$2)&amp;""),""))</f>
        <v/>
      </c>
      <c r="K152">
        <f>IF(K$2=0,"",IFERROR(TRIM(INDEX('Pegar estudiantes'!$A$1:$BZ$1001,151,K$2)&amp;""),""))</f>
        <v/>
      </c>
      <c r="L152" s="25">
        <f>IF(A152&lt;&gt;"",1,"")</f>
        <v/>
      </c>
      <c r="M152" s="25">
        <f>IF(L152=1,IF(ISNUMBER(FIND("#"&amp;MID(A152,1,1)&amp;"#","#0#1#2#3#4#5#6#7#8#9#")),IF(ISNUMBER(FIND("#"&amp;MID(A152,2,1)&amp;"#","#0#1#2#3#4#5#6#7#8#9#")),IF(AND(VALUE(LEFT(A152,2))&gt;=1,VALUE(LEFT(A152,2))&lt;=5),VALUE(LEFT(A152,2)),""),IF(AND(VALUE(LEFT(A152,1))&gt;=1,VALUE(LEFT(A152,1))&lt;=5),VALUE(LEFT(A152,1)),"")),""),"")</f>
        <v/>
      </c>
      <c r="N152" s="25">
        <f>IF(L152=1,IF(ISNUMBER(FIND("#"&amp;MID(H152,1,1)&amp;"#","#0#1#2#3#4#5#6#7#8#9#")),IF(ISNUMBER(FIND("#"&amp;MID(H152,2,1)&amp;"#","#0#1#2#3#4#5#6#7#8#9#")),IF(AND(VALUE(LEFT(H152,2))&gt;=1,VALUE(LEFT(H152,2))&lt;=5),VALUE(LEFT(H152,2)),""),IF(AND(VALUE(LEFT(H152,1))&gt;=1,VALUE(LEFT(H152,1))&lt;=5),VALUE(LEFT(H152,1)),"")),""),"")</f>
        <v/>
      </c>
      <c r="O152" s="25">
        <f>IF(AND(L152=1,B152&lt;&gt;""),SUBSTITUTE(SUBSTITUTE(SUBSTITUTE(SUBSTITUTE(SUBSTITUTE(SUBSTITUTE(SUBSTITUTE(SUBSTITUTE(SUBSTITUTE(SUBSTITUTE(SUBSTITUTE(SUBSTITUTE(LOWER(TRIM(B152)),"á","a"),"é","e"),"í","i"),"ó","o"),"ú","u"),"ü","u"),"ñ","n"),"à","a"),"è","e"),"ì","i"),"ò","o"),"ù","u"),"")</f>
        <v/>
      </c>
      <c r="P152" s="25">
        <f>IF(AND(L152=1,C152&lt;&gt;""),SUBSTITUTE(SUBSTITUTE(SUBSTITUTE(SUBSTITUTE(SUBSTITUTE(SUBSTITUTE(SUBSTITUTE(SUBSTITUTE(SUBSTITUTE(SUBSTITUTE(SUBSTITUTE(SUBSTITUTE(LOWER(TRIM(C152)),"á","a"),"é","e"),"í","i"),"ó","o"),"ú","u"),"ü","u"),"ñ","n"),"à","a"),"è","e"),"ì","i"),"ò","o"),"ù","u"),"")</f>
        <v/>
      </c>
      <c r="Q152" s="25">
        <f>IF(AND(L152=1,E152&lt;&gt;""),SUBSTITUTE(SUBSTITUTE(SUBSTITUTE(SUBSTITUTE(SUBSTITUTE(SUBSTITUTE(SUBSTITUTE(SUBSTITUTE(SUBSTITUTE(SUBSTITUTE(SUBSTITUTE(SUBSTITUTE(LOWER(TRIM(E152)),"á","a"),"é","e"),"í","i"),"ó","o"),"ú","u"),"ü","u"),"ñ","n"),"à","a"),"è","e"),"ì","i"),"ò","o"),"ù","u"),"")</f>
        <v/>
      </c>
      <c r="R152" s="25">
        <f>IF(AND(L152=1,I152&lt;&gt;""),SUBSTITUTE(SUBSTITUTE(SUBSTITUTE(SUBSTITUTE(SUBSTITUTE(SUBSTITUTE(SUBSTITUTE(SUBSTITUTE(SUBSTITUTE(SUBSTITUTE(SUBSTITUTE(SUBSTITUTE(LOWER(TRIM(I152)),"á","a"),"é","e"),"í","i"),"ó","o"),"ú","u"),"ü","u"),"ñ","n"),"à","a"),"è","e"),"ì","i"),"ò","o"),"ù","u"),"")</f>
        <v/>
      </c>
      <c r="S152" s="25">
        <f>IF(R152="","",IF(OR(R152="si",R152="tal vez"),1,0))</f>
        <v/>
      </c>
      <c r="T152" s="25">
        <f>IF(AND(L152=1,D152&lt;&gt;""),IF(IFERROR(COUNTIFS(D$3:D152,"="&amp;SUBSTITUTE(SUBSTITUTE(SUBSTITUTE(D152,"~","~~"),"*","~*"),"?","~?"),L$3:L152,1),0)=1,MAX(T$2:T151)+1,""),"")</f>
        <v/>
      </c>
      <c r="U152" s="25">
        <f>IF(T152="","",COUNTIFS($D$3:$D$1002,"="&amp;SUBSTITUTE(SUBSTITUTE(SUBSTITUTE(D152,"~","~~"),"*","~*"),"?","~?"),$L$3:$L$1002,1)*10000-T152)</f>
        <v/>
      </c>
      <c r="V152" s="25">
        <f>IF(AND(L152=1,J152&lt;&gt;""),IF(IFERROR(COUNTIFS(J$3:J152,"="&amp;SUBSTITUTE(SUBSTITUTE(SUBSTITUTE(J152,"~","~~"),"*","~*"),"?","~?"),L$3:L152,1),0)=1,MAX(V$2:V151)+1,""),"")</f>
        <v/>
      </c>
      <c r="W152" s="25">
        <f>IF(V152="","",COUNTIFS($J$3:$J$1002,"="&amp;SUBSTITUTE(SUBSTITUTE(SUBSTITUTE(J152,"~","~~"),"*","~*"),"?","~?"),$L$3:$L$1002,1)*10000-V152)</f>
        <v/>
      </c>
    </row>
    <row r="153">
      <c r="A153">
        <f>IF(A$2=0,"",IFERROR(TRIM(INDEX('Pegar estudiantes'!$A$1:$BZ$1001,152,A$2)&amp;""),""))</f>
        <v/>
      </c>
      <c r="B153">
        <f>IF(B$2=0,"",IFERROR(TRIM(INDEX('Pegar estudiantes'!$A$1:$BZ$1001,152,B$2)&amp;""),""))</f>
        <v/>
      </c>
      <c r="C153">
        <f>IF(C$2=0,"",IFERROR(TRIM(INDEX('Pegar estudiantes'!$A$1:$BZ$1001,152,C$2)&amp;""),""))</f>
        <v/>
      </c>
      <c r="D153">
        <f>IF(D$2=0,"",IFERROR(TRIM(INDEX('Pegar estudiantes'!$A$1:$BZ$1001,152,D$2)&amp;""),""))</f>
        <v/>
      </c>
      <c r="E153">
        <f>IF(E$2=0,"",IFERROR(TRIM(INDEX('Pegar estudiantes'!$A$1:$BZ$1001,152,E$2)&amp;""),""))</f>
        <v/>
      </c>
      <c r="F153">
        <f>IF(F$2=0,"",IFERROR(TRIM(INDEX('Pegar estudiantes'!$A$1:$BZ$1001,152,F$2)&amp;""),""))</f>
        <v/>
      </c>
      <c r="G153">
        <f>IF(G$2=0,"",IFERROR(TRIM(INDEX('Pegar estudiantes'!$A$1:$BZ$1001,152,G$2)&amp;""),""))</f>
        <v/>
      </c>
      <c r="H153">
        <f>IF(H$2=0,"",IFERROR(TRIM(INDEX('Pegar estudiantes'!$A$1:$BZ$1001,152,H$2)&amp;""),""))</f>
        <v/>
      </c>
      <c r="I153">
        <f>IF(I$2=0,"",IFERROR(TRIM(INDEX('Pegar estudiantes'!$A$1:$BZ$1001,152,I$2)&amp;""),""))</f>
        <v/>
      </c>
      <c r="J153">
        <f>IF(J$2=0,"",IFERROR(TRIM(INDEX('Pegar estudiantes'!$A$1:$BZ$1001,152,J$2)&amp;""),""))</f>
        <v/>
      </c>
      <c r="K153">
        <f>IF(K$2=0,"",IFERROR(TRIM(INDEX('Pegar estudiantes'!$A$1:$BZ$1001,152,K$2)&amp;""),""))</f>
        <v/>
      </c>
      <c r="L153" s="25">
        <f>IF(A153&lt;&gt;"",1,"")</f>
        <v/>
      </c>
      <c r="M153" s="25">
        <f>IF(L153=1,IF(ISNUMBER(FIND("#"&amp;MID(A153,1,1)&amp;"#","#0#1#2#3#4#5#6#7#8#9#")),IF(ISNUMBER(FIND("#"&amp;MID(A153,2,1)&amp;"#","#0#1#2#3#4#5#6#7#8#9#")),IF(AND(VALUE(LEFT(A153,2))&gt;=1,VALUE(LEFT(A153,2))&lt;=5),VALUE(LEFT(A153,2)),""),IF(AND(VALUE(LEFT(A153,1))&gt;=1,VALUE(LEFT(A153,1))&lt;=5),VALUE(LEFT(A153,1)),"")),""),"")</f>
        <v/>
      </c>
      <c r="N153" s="25">
        <f>IF(L153=1,IF(ISNUMBER(FIND("#"&amp;MID(H153,1,1)&amp;"#","#0#1#2#3#4#5#6#7#8#9#")),IF(ISNUMBER(FIND("#"&amp;MID(H153,2,1)&amp;"#","#0#1#2#3#4#5#6#7#8#9#")),IF(AND(VALUE(LEFT(H153,2))&gt;=1,VALUE(LEFT(H153,2))&lt;=5),VALUE(LEFT(H153,2)),""),IF(AND(VALUE(LEFT(H153,1))&gt;=1,VALUE(LEFT(H153,1))&lt;=5),VALUE(LEFT(H153,1)),"")),""),"")</f>
        <v/>
      </c>
      <c r="O153" s="25">
        <f>IF(AND(L153=1,B153&lt;&gt;""),SUBSTITUTE(SUBSTITUTE(SUBSTITUTE(SUBSTITUTE(SUBSTITUTE(SUBSTITUTE(SUBSTITUTE(SUBSTITUTE(SUBSTITUTE(SUBSTITUTE(SUBSTITUTE(SUBSTITUTE(LOWER(TRIM(B153)),"á","a"),"é","e"),"í","i"),"ó","o"),"ú","u"),"ü","u"),"ñ","n"),"à","a"),"è","e"),"ì","i"),"ò","o"),"ù","u"),"")</f>
        <v/>
      </c>
      <c r="P153" s="25">
        <f>IF(AND(L153=1,C153&lt;&gt;""),SUBSTITUTE(SUBSTITUTE(SUBSTITUTE(SUBSTITUTE(SUBSTITUTE(SUBSTITUTE(SUBSTITUTE(SUBSTITUTE(SUBSTITUTE(SUBSTITUTE(SUBSTITUTE(SUBSTITUTE(LOWER(TRIM(C153)),"á","a"),"é","e"),"í","i"),"ó","o"),"ú","u"),"ü","u"),"ñ","n"),"à","a"),"è","e"),"ì","i"),"ò","o"),"ù","u"),"")</f>
        <v/>
      </c>
      <c r="Q153" s="25">
        <f>IF(AND(L153=1,E153&lt;&gt;""),SUBSTITUTE(SUBSTITUTE(SUBSTITUTE(SUBSTITUTE(SUBSTITUTE(SUBSTITUTE(SUBSTITUTE(SUBSTITUTE(SUBSTITUTE(SUBSTITUTE(SUBSTITUTE(SUBSTITUTE(LOWER(TRIM(E153)),"á","a"),"é","e"),"í","i"),"ó","o"),"ú","u"),"ü","u"),"ñ","n"),"à","a"),"è","e"),"ì","i"),"ò","o"),"ù","u"),"")</f>
        <v/>
      </c>
      <c r="R153" s="25">
        <f>IF(AND(L153=1,I153&lt;&gt;""),SUBSTITUTE(SUBSTITUTE(SUBSTITUTE(SUBSTITUTE(SUBSTITUTE(SUBSTITUTE(SUBSTITUTE(SUBSTITUTE(SUBSTITUTE(SUBSTITUTE(SUBSTITUTE(SUBSTITUTE(LOWER(TRIM(I153)),"á","a"),"é","e"),"í","i"),"ó","o"),"ú","u"),"ü","u"),"ñ","n"),"à","a"),"è","e"),"ì","i"),"ò","o"),"ù","u"),"")</f>
        <v/>
      </c>
      <c r="S153" s="25">
        <f>IF(R153="","",IF(OR(R153="si",R153="tal vez"),1,0))</f>
        <v/>
      </c>
      <c r="T153" s="25">
        <f>IF(AND(L153=1,D153&lt;&gt;""),IF(IFERROR(COUNTIFS(D$3:D153,"="&amp;SUBSTITUTE(SUBSTITUTE(SUBSTITUTE(D153,"~","~~"),"*","~*"),"?","~?"),L$3:L153,1),0)=1,MAX(T$2:T152)+1,""),"")</f>
        <v/>
      </c>
      <c r="U153" s="25">
        <f>IF(T153="","",COUNTIFS($D$3:$D$1002,"="&amp;SUBSTITUTE(SUBSTITUTE(SUBSTITUTE(D153,"~","~~"),"*","~*"),"?","~?"),$L$3:$L$1002,1)*10000-T153)</f>
        <v/>
      </c>
      <c r="V153" s="25">
        <f>IF(AND(L153=1,J153&lt;&gt;""),IF(IFERROR(COUNTIFS(J$3:J153,"="&amp;SUBSTITUTE(SUBSTITUTE(SUBSTITUTE(J153,"~","~~"),"*","~*"),"?","~?"),L$3:L153,1),0)=1,MAX(V$2:V152)+1,""),"")</f>
        <v/>
      </c>
      <c r="W153" s="25">
        <f>IF(V153="","",COUNTIFS($J$3:$J$1002,"="&amp;SUBSTITUTE(SUBSTITUTE(SUBSTITUTE(J153,"~","~~"),"*","~*"),"?","~?"),$L$3:$L$1002,1)*10000-V153)</f>
        <v/>
      </c>
    </row>
    <row r="154">
      <c r="A154">
        <f>IF(A$2=0,"",IFERROR(TRIM(INDEX('Pegar estudiantes'!$A$1:$BZ$1001,153,A$2)&amp;""),""))</f>
        <v/>
      </c>
      <c r="B154">
        <f>IF(B$2=0,"",IFERROR(TRIM(INDEX('Pegar estudiantes'!$A$1:$BZ$1001,153,B$2)&amp;""),""))</f>
        <v/>
      </c>
      <c r="C154">
        <f>IF(C$2=0,"",IFERROR(TRIM(INDEX('Pegar estudiantes'!$A$1:$BZ$1001,153,C$2)&amp;""),""))</f>
        <v/>
      </c>
      <c r="D154">
        <f>IF(D$2=0,"",IFERROR(TRIM(INDEX('Pegar estudiantes'!$A$1:$BZ$1001,153,D$2)&amp;""),""))</f>
        <v/>
      </c>
      <c r="E154">
        <f>IF(E$2=0,"",IFERROR(TRIM(INDEX('Pegar estudiantes'!$A$1:$BZ$1001,153,E$2)&amp;""),""))</f>
        <v/>
      </c>
      <c r="F154">
        <f>IF(F$2=0,"",IFERROR(TRIM(INDEX('Pegar estudiantes'!$A$1:$BZ$1001,153,F$2)&amp;""),""))</f>
        <v/>
      </c>
      <c r="G154">
        <f>IF(G$2=0,"",IFERROR(TRIM(INDEX('Pegar estudiantes'!$A$1:$BZ$1001,153,G$2)&amp;""),""))</f>
        <v/>
      </c>
      <c r="H154">
        <f>IF(H$2=0,"",IFERROR(TRIM(INDEX('Pegar estudiantes'!$A$1:$BZ$1001,153,H$2)&amp;""),""))</f>
        <v/>
      </c>
      <c r="I154">
        <f>IF(I$2=0,"",IFERROR(TRIM(INDEX('Pegar estudiantes'!$A$1:$BZ$1001,153,I$2)&amp;""),""))</f>
        <v/>
      </c>
      <c r="J154">
        <f>IF(J$2=0,"",IFERROR(TRIM(INDEX('Pegar estudiantes'!$A$1:$BZ$1001,153,J$2)&amp;""),""))</f>
        <v/>
      </c>
      <c r="K154">
        <f>IF(K$2=0,"",IFERROR(TRIM(INDEX('Pegar estudiantes'!$A$1:$BZ$1001,153,K$2)&amp;""),""))</f>
        <v/>
      </c>
      <c r="L154" s="25">
        <f>IF(A154&lt;&gt;"",1,"")</f>
        <v/>
      </c>
      <c r="M154" s="25">
        <f>IF(L154=1,IF(ISNUMBER(FIND("#"&amp;MID(A154,1,1)&amp;"#","#0#1#2#3#4#5#6#7#8#9#")),IF(ISNUMBER(FIND("#"&amp;MID(A154,2,1)&amp;"#","#0#1#2#3#4#5#6#7#8#9#")),IF(AND(VALUE(LEFT(A154,2))&gt;=1,VALUE(LEFT(A154,2))&lt;=5),VALUE(LEFT(A154,2)),""),IF(AND(VALUE(LEFT(A154,1))&gt;=1,VALUE(LEFT(A154,1))&lt;=5),VALUE(LEFT(A154,1)),"")),""),"")</f>
        <v/>
      </c>
      <c r="N154" s="25">
        <f>IF(L154=1,IF(ISNUMBER(FIND("#"&amp;MID(H154,1,1)&amp;"#","#0#1#2#3#4#5#6#7#8#9#")),IF(ISNUMBER(FIND("#"&amp;MID(H154,2,1)&amp;"#","#0#1#2#3#4#5#6#7#8#9#")),IF(AND(VALUE(LEFT(H154,2))&gt;=1,VALUE(LEFT(H154,2))&lt;=5),VALUE(LEFT(H154,2)),""),IF(AND(VALUE(LEFT(H154,1))&gt;=1,VALUE(LEFT(H154,1))&lt;=5),VALUE(LEFT(H154,1)),"")),""),"")</f>
        <v/>
      </c>
      <c r="O154" s="25">
        <f>IF(AND(L154=1,B154&lt;&gt;""),SUBSTITUTE(SUBSTITUTE(SUBSTITUTE(SUBSTITUTE(SUBSTITUTE(SUBSTITUTE(SUBSTITUTE(SUBSTITUTE(SUBSTITUTE(SUBSTITUTE(SUBSTITUTE(SUBSTITUTE(LOWER(TRIM(B154)),"á","a"),"é","e"),"í","i"),"ó","o"),"ú","u"),"ü","u"),"ñ","n"),"à","a"),"è","e"),"ì","i"),"ò","o"),"ù","u"),"")</f>
        <v/>
      </c>
      <c r="P154" s="25">
        <f>IF(AND(L154=1,C154&lt;&gt;""),SUBSTITUTE(SUBSTITUTE(SUBSTITUTE(SUBSTITUTE(SUBSTITUTE(SUBSTITUTE(SUBSTITUTE(SUBSTITUTE(SUBSTITUTE(SUBSTITUTE(SUBSTITUTE(SUBSTITUTE(LOWER(TRIM(C154)),"á","a"),"é","e"),"í","i"),"ó","o"),"ú","u"),"ü","u"),"ñ","n"),"à","a"),"è","e"),"ì","i"),"ò","o"),"ù","u"),"")</f>
        <v/>
      </c>
      <c r="Q154" s="25">
        <f>IF(AND(L154=1,E154&lt;&gt;""),SUBSTITUTE(SUBSTITUTE(SUBSTITUTE(SUBSTITUTE(SUBSTITUTE(SUBSTITUTE(SUBSTITUTE(SUBSTITUTE(SUBSTITUTE(SUBSTITUTE(SUBSTITUTE(SUBSTITUTE(LOWER(TRIM(E154)),"á","a"),"é","e"),"í","i"),"ó","o"),"ú","u"),"ü","u"),"ñ","n"),"à","a"),"è","e"),"ì","i"),"ò","o"),"ù","u"),"")</f>
        <v/>
      </c>
      <c r="R154" s="25">
        <f>IF(AND(L154=1,I154&lt;&gt;""),SUBSTITUTE(SUBSTITUTE(SUBSTITUTE(SUBSTITUTE(SUBSTITUTE(SUBSTITUTE(SUBSTITUTE(SUBSTITUTE(SUBSTITUTE(SUBSTITUTE(SUBSTITUTE(SUBSTITUTE(LOWER(TRIM(I154)),"á","a"),"é","e"),"í","i"),"ó","o"),"ú","u"),"ü","u"),"ñ","n"),"à","a"),"è","e"),"ì","i"),"ò","o"),"ù","u"),"")</f>
        <v/>
      </c>
      <c r="S154" s="25">
        <f>IF(R154="","",IF(OR(R154="si",R154="tal vez"),1,0))</f>
        <v/>
      </c>
      <c r="T154" s="25">
        <f>IF(AND(L154=1,D154&lt;&gt;""),IF(IFERROR(COUNTIFS(D$3:D154,"="&amp;SUBSTITUTE(SUBSTITUTE(SUBSTITUTE(D154,"~","~~"),"*","~*"),"?","~?"),L$3:L154,1),0)=1,MAX(T$2:T153)+1,""),"")</f>
        <v/>
      </c>
      <c r="U154" s="25">
        <f>IF(T154="","",COUNTIFS($D$3:$D$1002,"="&amp;SUBSTITUTE(SUBSTITUTE(SUBSTITUTE(D154,"~","~~"),"*","~*"),"?","~?"),$L$3:$L$1002,1)*10000-T154)</f>
        <v/>
      </c>
      <c r="V154" s="25">
        <f>IF(AND(L154=1,J154&lt;&gt;""),IF(IFERROR(COUNTIFS(J$3:J154,"="&amp;SUBSTITUTE(SUBSTITUTE(SUBSTITUTE(J154,"~","~~"),"*","~*"),"?","~?"),L$3:L154,1),0)=1,MAX(V$2:V153)+1,""),"")</f>
        <v/>
      </c>
      <c r="W154" s="25">
        <f>IF(V154="","",COUNTIFS($J$3:$J$1002,"="&amp;SUBSTITUTE(SUBSTITUTE(SUBSTITUTE(J154,"~","~~"),"*","~*"),"?","~?"),$L$3:$L$1002,1)*10000-V154)</f>
        <v/>
      </c>
    </row>
    <row r="155">
      <c r="A155">
        <f>IF(A$2=0,"",IFERROR(TRIM(INDEX('Pegar estudiantes'!$A$1:$BZ$1001,154,A$2)&amp;""),""))</f>
        <v/>
      </c>
      <c r="B155">
        <f>IF(B$2=0,"",IFERROR(TRIM(INDEX('Pegar estudiantes'!$A$1:$BZ$1001,154,B$2)&amp;""),""))</f>
        <v/>
      </c>
      <c r="C155">
        <f>IF(C$2=0,"",IFERROR(TRIM(INDEX('Pegar estudiantes'!$A$1:$BZ$1001,154,C$2)&amp;""),""))</f>
        <v/>
      </c>
      <c r="D155">
        <f>IF(D$2=0,"",IFERROR(TRIM(INDEX('Pegar estudiantes'!$A$1:$BZ$1001,154,D$2)&amp;""),""))</f>
        <v/>
      </c>
      <c r="E155">
        <f>IF(E$2=0,"",IFERROR(TRIM(INDEX('Pegar estudiantes'!$A$1:$BZ$1001,154,E$2)&amp;""),""))</f>
        <v/>
      </c>
      <c r="F155">
        <f>IF(F$2=0,"",IFERROR(TRIM(INDEX('Pegar estudiantes'!$A$1:$BZ$1001,154,F$2)&amp;""),""))</f>
        <v/>
      </c>
      <c r="G155">
        <f>IF(G$2=0,"",IFERROR(TRIM(INDEX('Pegar estudiantes'!$A$1:$BZ$1001,154,G$2)&amp;""),""))</f>
        <v/>
      </c>
      <c r="H155">
        <f>IF(H$2=0,"",IFERROR(TRIM(INDEX('Pegar estudiantes'!$A$1:$BZ$1001,154,H$2)&amp;""),""))</f>
        <v/>
      </c>
      <c r="I155">
        <f>IF(I$2=0,"",IFERROR(TRIM(INDEX('Pegar estudiantes'!$A$1:$BZ$1001,154,I$2)&amp;""),""))</f>
        <v/>
      </c>
      <c r="J155">
        <f>IF(J$2=0,"",IFERROR(TRIM(INDEX('Pegar estudiantes'!$A$1:$BZ$1001,154,J$2)&amp;""),""))</f>
        <v/>
      </c>
      <c r="K155">
        <f>IF(K$2=0,"",IFERROR(TRIM(INDEX('Pegar estudiantes'!$A$1:$BZ$1001,154,K$2)&amp;""),""))</f>
        <v/>
      </c>
      <c r="L155" s="25">
        <f>IF(A155&lt;&gt;"",1,"")</f>
        <v/>
      </c>
      <c r="M155" s="25">
        <f>IF(L155=1,IF(ISNUMBER(FIND("#"&amp;MID(A155,1,1)&amp;"#","#0#1#2#3#4#5#6#7#8#9#")),IF(ISNUMBER(FIND("#"&amp;MID(A155,2,1)&amp;"#","#0#1#2#3#4#5#6#7#8#9#")),IF(AND(VALUE(LEFT(A155,2))&gt;=1,VALUE(LEFT(A155,2))&lt;=5),VALUE(LEFT(A155,2)),""),IF(AND(VALUE(LEFT(A155,1))&gt;=1,VALUE(LEFT(A155,1))&lt;=5),VALUE(LEFT(A155,1)),"")),""),"")</f>
        <v/>
      </c>
      <c r="N155" s="25">
        <f>IF(L155=1,IF(ISNUMBER(FIND("#"&amp;MID(H155,1,1)&amp;"#","#0#1#2#3#4#5#6#7#8#9#")),IF(ISNUMBER(FIND("#"&amp;MID(H155,2,1)&amp;"#","#0#1#2#3#4#5#6#7#8#9#")),IF(AND(VALUE(LEFT(H155,2))&gt;=1,VALUE(LEFT(H155,2))&lt;=5),VALUE(LEFT(H155,2)),""),IF(AND(VALUE(LEFT(H155,1))&gt;=1,VALUE(LEFT(H155,1))&lt;=5),VALUE(LEFT(H155,1)),"")),""),"")</f>
        <v/>
      </c>
      <c r="O155" s="25">
        <f>IF(AND(L155=1,B155&lt;&gt;""),SUBSTITUTE(SUBSTITUTE(SUBSTITUTE(SUBSTITUTE(SUBSTITUTE(SUBSTITUTE(SUBSTITUTE(SUBSTITUTE(SUBSTITUTE(SUBSTITUTE(SUBSTITUTE(SUBSTITUTE(LOWER(TRIM(B155)),"á","a"),"é","e"),"í","i"),"ó","o"),"ú","u"),"ü","u"),"ñ","n"),"à","a"),"è","e"),"ì","i"),"ò","o"),"ù","u"),"")</f>
        <v/>
      </c>
      <c r="P155" s="25">
        <f>IF(AND(L155=1,C155&lt;&gt;""),SUBSTITUTE(SUBSTITUTE(SUBSTITUTE(SUBSTITUTE(SUBSTITUTE(SUBSTITUTE(SUBSTITUTE(SUBSTITUTE(SUBSTITUTE(SUBSTITUTE(SUBSTITUTE(SUBSTITUTE(LOWER(TRIM(C155)),"á","a"),"é","e"),"í","i"),"ó","o"),"ú","u"),"ü","u"),"ñ","n"),"à","a"),"è","e"),"ì","i"),"ò","o"),"ù","u"),"")</f>
        <v/>
      </c>
      <c r="Q155" s="25">
        <f>IF(AND(L155=1,E155&lt;&gt;""),SUBSTITUTE(SUBSTITUTE(SUBSTITUTE(SUBSTITUTE(SUBSTITUTE(SUBSTITUTE(SUBSTITUTE(SUBSTITUTE(SUBSTITUTE(SUBSTITUTE(SUBSTITUTE(SUBSTITUTE(LOWER(TRIM(E155)),"á","a"),"é","e"),"í","i"),"ó","o"),"ú","u"),"ü","u"),"ñ","n"),"à","a"),"è","e"),"ì","i"),"ò","o"),"ù","u"),"")</f>
        <v/>
      </c>
      <c r="R155" s="25">
        <f>IF(AND(L155=1,I155&lt;&gt;""),SUBSTITUTE(SUBSTITUTE(SUBSTITUTE(SUBSTITUTE(SUBSTITUTE(SUBSTITUTE(SUBSTITUTE(SUBSTITUTE(SUBSTITUTE(SUBSTITUTE(SUBSTITUTE(SUBSTITUTE(LOWER(TRIM(I155)),"á","a"),"é","e"),"í","i"),"ó","o"),"ú","u"),"ü","u"),"ñ","n"),"à","a"),"è","e"),"ì","i"),"ò","o"),"ù","u"),"")</f>
        <v/>
      </c>
      <c r="S155" s="25">
        <f>IF(R155="","",IF(OR(R155="si",R155="tal vez"),1,0))</f>
        <v/>
      </c>
      <c r="T155" s="25">
        <f>IF(AND(L155=1,D155&lt;&gt;""),IF(IFERROR(COUNTIFS(D$3:D155,"="&amp;SUBSTITUTE(SUBSTITUTE(SUBSTITUTE(D155,"~","~~"),"*","~*"),"?","~?"),L$3:L155,1),0)=1,MAX(T$2:T154)+1,""),"")</f>
        <v/>
      </c>
      <c r="U155" s="25">
        <f>IF(T155="","",COUNTIFS($D$3:$D$1002,"="&amp;SUBSTITUTE(SUBSTITUTE(SUBSTITUTE(D155,"~","~~"),"*","~*"),"?","~?"),$L$3:$L$1002,1)*10000-T155)</f>
        <v/>
      </c>
      <c r="V155" s="25">
        <f>IF(AND(L155=1,J155&lt;&gt;""),IF(IFERROR(COUNTIFS(J$3:J155,"="&amp;SUBSTITUTE(SUBSTITUTE(SUBSTITUTE(J155,"~","~~"),"*","~*"),"?","~?"),L$3:L155,1),0)=1,MAX(V$2:V154)+1,""),"")</f>
        <v/>
      </c>
      <c r="W155" s="25">
        <f>IF(V155="","",COUNTIFS($J$3:$J$1002,"="&amp;SUBSTITUTE(SUBSTITUTE(SUBSTITUTE(J155,"~","~~"),"*","~*"),"?","~?"),$L$3:$L$1002,1)*10000-V155)</f>
        <v/>
      </c>
    </row>
    <row r="156">
      <c r="A156">
        <f>IF(A$2=0,"",IFERROR(TRIM(INDEX('Pegar estudiantes'!$A$1:$BZ$1001,155,A$2)&amp;""),""))</f>
        <v/>
      </c>
      <c r="B156">
        <f>IF(B$2=0,"",IFERROR(TRIM(INDEX('Pegar estudiantes'!$A$1:$BZ$1001,155,B$2)&amp;""),""))</f>
        <v/>
      </c>
      <c r="C156">
        <f>IF(C$2=0,"",IFERROR(TRIM(INDEX('Pegar estudiantes'!$A$1:$BZ$1001,155,C$2)&amp;""),""))</f>
        <v/>
      </c>
      <c r="D156">
        <f>IF(D$2=0,"",IFERROR(TRIM(INDEX('Pegar estudiantes'!$A$1:$BZ$1001,155,D$2)&amp;""),""))</f>
        <v/>
      </c>
      <c r="E156">
        <f>IF(E$2=0,"",IFERROR(TRIM(INDEX('Pegar estudiantes'!$A$1:$BZ$1001,155,E$2)&amp;""),""))</f>
        <v/>
      </c>
      <c r="F156">
        <f>IF(F$2=0,"",IFERROR(TRIM(INDEX('Pegar estudiantes'!$A$1:$BZ$1001,155,F$2)&amp;""),""))</f>
        <v/>
      </c>
      <c r="G156">
        <f>IF(G$2=0,"",IFERROR(TRIM(INDEX('Pegar estudiantes'!$A$1:$BZ$1001,155,G$2)&amp;""),""))</f>
        <v/>
      </c>
      <c r="H156">
        <f>IF(H$2=0,"",IFERROR(TRIM(INDEX('Pegar estudiantes'!$A$1:$BZ$1001,155,H$2)&amp;""),""))</f>
        <v/>
      </c>
      <c r="I156">
        <f>IF(I$2=0,"",IFERROR(TRIM(INDEX('Pegar estudiantes'!$A$1:$BZ$1001,155,I$2)&amp;""),""))</f>
        <v/>
      </c>
      <c r="J156">
        <f>IF(J$2=0,"",IFERROR(TRIM(INDEX('Pegar estudiantes'!$A$1:$BZ$1001,155,J$2)&amp;""),""))</f>
        <v/>
      </c>
      <c r="K156">
        <f>IF(K$2=0,"",IFERROR(TRIM(INDEX('Pegar estudiantes'!$A$1:$BZ$1001,155,K$2)&amp;""),""))</f>
        <v/>
      </c>
      <c r="L156" s="25">
        <f>IF(A156&lt;&gt;"",1,"")</f>
        <v/>
      </c>
      <c r="M156" s="25">
        <f>IF(L156=1,IF(ISNUMBER(FIND("#"&amp;MID(A156,1,1)&amp;"#","#0#1#2#3#4#5#6#7#8#9#")),IF(ISNUMBER(FIND("#"&amp;MID(A156,2,1)&amp;"#","#0#1#2#3#4#5#6#7#8#9#")),IF(AND(VALUE(LEFT(A156,2))&gt;=1,VALUE(LEFT(A156,2))&lt;=5),VALUE(LEFT(A156,2)),""),IF(AND(VALUE(LEFT(A156,1))&gt;=1,VALUE(LEFT(A156,1))&lt;=5),VALUE(LEFT(A156,1)),"")),""),"")</f>
        <v/>
      </c>
      <c r="N156" s="25">
        <f>IF(L156=1,IF(ISNUMBER(FIND("#"&amp;MID(H156,1,1)&amp;"#","#0#1#2#3#4#5#6#7#8#9#")),IF(ISNUMBER(FIND("#"&amp;MID(H156,2,1)&amp;"#","#0#1#2#3#4#5#6#7#8#9#")),IF(AND(VALUE(LEFT(H156,2))&gt;=1,VALUE(LEFT(H156,2))&lt;=5),VALUE(LEFT(H156,2)),""),IF(AND(VALUE(LEFT(H156,1))&gt;=1,VALUE(LEFT(H156,1))&lt;=5),VALUE(LEFT(H156,1)),"")),""),"")</f>
        <v/>
      </c>
      <c r="O156" s="25">
        <f>IF(AND(L156=1,B156&lt;&gt;""),SUBSTITUTE(SUBSTITUTE(SUBSTITUTE(SUBSTITUTE(SUBSTITUTE(SUBSTITUTE(SUBSTITUTE(SUBSTITUTE(SUBSTITUTE(SUBSTITUTE(SUBSTITUTE(SUBSTITUTE(LOWER(TRIM(B156)),"á","a"),"é","e"),"í","i"),"ó","o"),"ú","u"),"ü","u"),"ñ","n"),"à","a"),"è","e"),"ì","i"),"ò","o"),"ù","u"),"")</f>
        <v/>
      </c>
      <c r="P156" s="25">
        <f>IF(AND(L156=1,C156&lt;&gt;""),SUBSTITUTE(SUBSTITUTE(SUBSTITUTE(SUBSTITUTE(SUBSTITUTE(SUBSTITUTE(SUBSTITUTE(SUBSTITUTE(SUBSTITUTE(SUBSTITUTE(SUBSTITUTE(SUBSTITUTE(LOWER(TRIM(C156)),"á","a"),"é","e"),"í","i"),"ó","o"),"ú","u"),"ü","u"),"ñ","n"),"à","a"),"è","e"),"ì","i"),"ò","o"),"ù","u"),"")</f>
        <v/>
      </c>
      <c r="Q156" s="25">
        <f>IF(AND(L156=1,E156&lt;&gt;""),SUBSTITUTE(SUBSTITUTE(SUBSTITUTE(SUBSTITUTE(SUBSTITUTE(SUBSTITUTE(SUBSTITUTE(SUBSTITUTE(SUBSTITUTE(SUBSTITUTE(SUBSTITUTE(SUBSTITUTE(LOWER(TRIM(E156)),"á","a"),"é","e"),"í","i"),"ó","o"),"ú","u"),"ü","u"),"ñ","n"),"à","a"),"è","e"),"ì","i"),"ò","o"),"ù","u"),"")</f>
        <v/>
      </c>
      <c r="R156" s="25">
        <f>IF(AND(L156=1,I156&lt;&gt;""),SUBSTITUTE(SUBSTITUTE(SUBSTITUTE(SUBSTITUTE(SUBSTITUTE(SUBSTITUTE(SUBSTITUTE(SUBSTITUTE(SUBSTITUTE(SUBSTITUTE(SUBSTITUTE(SUBSTITUTE(LOWER(TRIM(I156)),"á","a"),"é","e"),"í","i"),"ó","o"),"ú","u"),"ü","u"),"ñ","n"),"à","a"),"è","e"),"ì","i"),"ò","o"),"ù","u"),"")</f>
        <v/>
      </c>
      <c r="S156" s="25">
        <f>IF(R156="","",IF(OR(R156="si",R156="tal vez"),1,0))</f>
        <v/>
      </c>
      <c r="T156" s="25">
        <f>IF(AND(L156=1,D156&lt;&gt;""),IF(IFERROR(COUNTIFS(D$3:D156,"="&amp;SUBSTITUTE(SUBSTITUTE(SUBSTITUTE(D156,"~","~~"),"*","~*"),"?","~?"),L$3:L156,1),0)=1,MAX(T$2:T155)+1,""),"")</f>
        <v/>
      </c>
      <c r="U156" s="25">
        <f>IF(T156="","",COUNTIFS($D$3:$D$1002,"="&amp;SUBSTITUTE(SUBSTITUTE(SUBSTITUTE(D156,"~","~~"),"*","~*"),"?","~?"),$L$3:$L$1002,1)*10000-T156)</f>
        <v/>
      </c>
      <c r="V156" s="25">
        <f>IF(AND(L156=1,J156&lt;&gt;""),IF(IFERROR(COUNTIFS(J$3:J156,"="&amp;SUBSTITUTE(SUBSTITUTE(SUBSTITUTE(J156,"~","~~"),"*","~*"),"?","~?"),L$3:L156,1),0)=1,MAX(V$2:V155)+1,""),"")</f>
        <v/>
      </c>
      <c r="W156" s="25">
        <f>IF(V156="","",COUNTIFS($J$3:$J$1002,"="&amp;SUBSTITUTE(SUBSTITUTE(SUBSTITUTE(J156,"~","~~"),"*","~*"),"?","~?"),$L$3:$L$1002,1)*10000-V156)</f>
        <v/>
      </c>
    </row>
    <row r="157">
      <c r="A157">
        <f>IF(A$2=0,"",IFERROR(TRIM(INDEX('Pegar estudiantes'!$A$1:$BZ$1001,156,A$2)&amp;""),""))</f>
        <v/>
      </c>
      <c r="B157">
        <f>IF(B$2=0,"",IFERROR(TRIM(INDEX('Pegar estudiantes'!$A$1:$BZ$1001,156,B$2)&amp;""),""))</f>
        <v/>
      </c>
      <c r="C157">
        <f>IF(C$2=0,"",IFERROR(TRIM(INDEX('Pegar estudiantes'!$A$1:$BZ$1001,156,C$2)&amp;""),""))</f>
        <v/>
      </c>
      <c r="D157">
        <f>IF(D$2=0,"",IFERROR(TRIM(INDEX('Pegar estudiantes'!$A$1:$BZ$1001,156,D$2)&amp;""),""))</f>
        <v/>
      </c>
      <c r="E157">
        <f>IF(E$2=0,"",IFERROR(TRIM(INDEX('Pegar estudiantes'!$A$1:$BZ$1001,156,E$2)&amp;""),""))</f>
        <v/>
      </c>
      <c r="F157">
        <f>IF(F$2=0,"",IFERROR(TRIM(INDEX('Pegar estudiantes'!$A$1:$BZ$1001,156,F$2)&amp;""),""))</f>
        <v/>
      </c>
      <c r="G157">
        <f>IF(G$2=0,"",IFERROR(TRIM(INDEX('Pegar estudiantes'!$A$1:$BZ$1001,156,G$2)&amp;""),""))</f>
        <v/>
      </c>
      <c r="H157">
        <f>IF(H$2=0,"",IFERROR(TRIM(INDEX('Pegar estudiantes'!$A$1:$BZ$1001,156,H$2)&amp;""),""))</f>
        <v/>
      </c>
      <c r="I157">
        <f>IF(I$2=0,"",IFERROR(TRIM(INDEX('Pegar estudiantes'!$A$1:$BZ$1001,156,I$2)&amp;""),""))</f>
        <v/>
      </c>
      <c r="J157">
        <f>IF(J$2=0,"",IFERROR(TRIM(INDEX('Pegar estudiantes'!$A$1:$BZ$1001,156,J$2)&amp;""),""))</f>
        <v/>
      </c>
      <c r="K157">
        <f>IF(K$2=0,"",IFERROR(TRIM(INDEX('Pegar estudiantes'!$A$1:$BZ$1001,156,K$2)&amp;""),""))</f>
        <v/>
      </c>
      <c r="L157" s="25">
        <f>IF(A157&lt;&gt;"",1,"")</f>
        <v/>
      </c>
      <c r="M157" s="25">
        <f>IF(L157=1,IF(ISNUMBER(FIND("#"&amp;MID(A157,1,1)&amp;"#","#0#1#2#3#4#5#6#7#8#9#")),IF(ISNUMBER(FIND("#"&amp;MID(A157,2,1)&amp;"#","#0#1#2#3#4#5#6#7#8#9#")),IF(AND(VALUE(LEFT(A157,2))&gt;=1,VALUE(LEFT(A157,2))&lt;=5),VALUE(LEFT(A157,2)),""),IF(AND(VALUE(LEFT(A157,1))&gt;=1,VALUE(LEFT(A157,1))&lt;=5),VALUE(LEFT(A157,1)),"")),""),"")</f>
        <v/>
      </c>
      <c r="N157" s="25">
        <f>IF(L157=1,IF(ISNUMBER(FIND("#"&amp;MID(H157,1,1)&amp;"#","#0#1#2#3#4#5#6#7#8#9#")),IF(ISNUMBER(FIND("#"&amp;MID(H157,2,1)&amp;"#","#0#1#2#3#4#5#6#7#8#9#")),IF(AND(VALUE(LEFT(H157,2))&gt;=1,VALUE(LEFT(H157,2))&lt;=5),VALUE(LEFT(H157,2)),""),IF(AND(VALUE(LEFT(H157,1))&gt;=1,VALUE(LEFT(H157,1))&lt;=5),VALUE(LEFT(H157,1)),"")),""),"")</f>
        <v/>
      </c>
      <c r="O157" s="25">
        <f>IF(AND(L157=1,B157&lt;&gt;""),SUBSTITUTE(SUBSTITUTE(SUBSTITUTE(SUBSTITUTE(SUBSTITUTE(SUBSTITUTE(SUBSTITUTE(SUBSTITUTE(SUBSTITUTE(SUBSTITUTE(SUBSTITUTE(SUBSTITUTE(LOWER(TRIM(B157)),"á","a"),"é","e"),"í","i"),"ó","o"),"ú","u"),"ü","u"),"ñ","n"),"à","a"),"è","e"),"ì","i"),"ò","o"),"ù","u"),"")</f>
        <v/>
      </c>
      <c r="P157" s="25">
        <f>IF(AND(L157=1,C157&lt;&gt;""),SUBSTITUTE(SUBSTITUTE(SUBSTITUTE(SUBSTITUTE(SUBSTITUTE(SUBSTITUTE(SUBSTITUTE(SUBSTITUTE(SUBSTITUTE(SUBSTITUTE(SUBSTITUTE(SUBSTITUTE(LOWER(TRIM(C157)),"á","a"),"é","e"),"í","i"),"ó","o"),"ú","u"),"ü","u"),"ñ","n"),"à","a"),"è","e"),"ì","i"),"ò","o"),"ù","u"),"")</f>
        <v/>
      </c>
      <c r="Q157" s="25">
        <f>IF(AND(L157=1,E157&lt;&gt;""),SUBSTITUTE(SUBSTITUTE(SUBSTITUTE(SUBSTITUTE(SUBSTITUTE(SUBSTITUTE(SUBSTITUTE(SUBSTITUTE(SUBSTITUTE(SUBSTITUTE(SUBSTITUTE(SUBSTITUTE(LOWER(TRIM(E157)),"á","a"),"é","e"),"í","i"),"ó","o"),"ú","u"),"ü","u"),"ñ","n"),"à","a"),"è","e"),"ì","i"),"ò","o"),"ù","u"),"")</f>
        <v/>
      </c>
      <c r="R157" s="25">
        <f>IF(AND(L157=1,I157&lt;&gt;""),SUBSTITUTE(SUBSTITUTE(SUBSTITUTE(SUBSTITUTE(SUBSTITUTE(SUBSTITUTE(SUBSTITUTE(SUBSTITUTE(SUBSTITUTE(SUBSTITUTE(SUBSTITUTE(SUBSTITUTE(LOWER(TRIM(I157)),"á","a"),"é","e"),"í","i"),"ó","o"),"ú","u"),"ü","u"),"ñ","n"),"à","a"),"è","e"),"ì","i"),"ò","o"),"ù","u"),"")</f>
        <v/>
      </c>
      <c r="S157" s="25">
        <f>IF(R157="","",IF(OR(R157="si",R157="tal vez"),1,0))</f>
        <v/>
      </c>
      <c r="T157" s="25">
        <f>IF(AND(L157=1,D157&lt;&gt;""),IF(IFERROR(COUNTIFS(D$3:D157,"="&amp;SUBSTITUTE(SUBSTITUTE(SUBSTITUTE(D157,"~","~~"),"*","~*"),"?","~?"),L$3:L157,1),0)=1,MAX(T$2:T156)+1,""),"")</f>
        <v/>
      </c>
      <c r="U157" s="25">
        <f>IF(T157="","",COUNTIFS($D$3:$D$1002,"="&amp;SUBSTITUTE(SUBSTITUTE(SUBSTITUTE(D157,"~","~~"),"*","~*"),"?","~?"),$L$3:$L$1002,1)*10000-T157)</f>
        <v/>
      </c>
      <c r="V157" s="25">
        <f>IF(AND(L157=1,J157&lt;&gt;""),IF(IFERROR(COUNTIFS(J$3:J157,"="&amp;SUBSTITUTE(SUBSTITUTE(SUBSTITUTE(J157,"~","~~"),"*","~*"),"?","~?"),L$3:L157,1),0)=1,MAX(V$2:V156)+1,""),"")</f>
        <v/>
      </c>
      <c r="W157" s="25">
        <f>IF(V157="","",COUNTIFS($J$3:$J$1002,"="&amp;SUBSTITUTE(SUBSTITUTE(SUBSTITUTE(J157,"~","~~"),"*","~*"),"?","~?"),$L$3:$L$1002,1)*10000-V157)</f>
        <v/>
      </c>
    </row>
    <row r="158">
      <c r="A158">
        <f>IF(A$2=0,"",IFERROR(TRIM(INDEX('Pegar estudiantes'!$A$1:$BZ$1001,157,A$2)&amp;""),""))</f>
        <v/>
      </c>
      <c r="B158">
        <f>IF(B$2=0,"",IFERROR(TRIM(INDEX('Pegar estudiantes'!$A$1:$BZ$1001,157,B$2)&amp;""),""))</f>
        <v/>
      </c>
      <c r="C158">
        <f>IF(C$2=0,"",IFERROR(TRIM(INDEX('Pegar estudiantes'!$A$1:$BZ$1001,157,C$2)&amp;""),""))</f>
        <v/>
      </c>
      <c r="D158">
        <f>IF(D$2=0,"",IFERROR(TRIM(INDEX('Pegar estudiantes'!$A$1:$BZ$1001,157,D$2)&amp;""),""))</f>
        <v/>
      </c>
      <c r="E158">
        <f>IF(E$2=0,"",IFERROR(TRIM(INDEX('Pegar estudiantes'!$A$1:$BZ$1001,157,E$2)&amp;""),""))</f>
        <v/>
      </c>
      <c r="F158">
        <f>IF(F$2=0,"",IFERROR(TRIM(INDEX('Pegar estudiantes'!$A$1:$BZ$1001,157,F$2)&amp;""),""))</f>
        <v/>
      </c>
      <c r="G158">
        <f>IF(G$2=0,"",IFERROR(TRIM(INDEX('Pegar estudiantes'!$A$1:$BZ$1001,157,G$2)&amp;""),""))</f>
        <v/>
      </c>
      <c r="H158">
        <f>IF(H$2=0,"",IFERROR(TRIM(INDEX('Pegar estudiantes'!$A$1:$BZ$1001,157,H$2)&amp;""),""))</f>
        <v/>
      </c>
      <c r="I158">
        <f>IF(I$2=0,"",IFERROR(TRIM(INDEX('Pegar estudiantes'!$A$1:$BZ$1001,157,I$2)&amp;""),""))</f>
        <v/>
      </c>
      <c r="J158">
        <f>IF(J$2=0,"",IFERROR(TRIM(INDEX('Pegar estudiantes'!$A$1:$BZ$1001,157,J$2)&amp;""),""))</f>
        <v/>
      </c>
      <c r="K158">
        <f>IF(K$2=0,"",IFERROR(TRIM(INDEX('Pegar estudiantes'!$A$1:$BZ$1001,157,K$2)&amp;""),""))</f>
        <v/>
      </c>
      <c r="L158" s="25">
        <f>IF(A158&lt;&gt;"",1,"")</f>
        <v/>
      </c>
      <c r="M158" s="25">
        <f>IF(L158=1,IF(ISNUMBER(FIND("#"&amp;MID(A158,1,1)&amp;"#","#0#1#2#3#4#5#6#7#8#9#")),IF(ISNUMBER(FIND("#"&amp;MID(A158,2,1)&amp;"#","#0#1#2#3#4#5#6#7#8#9#")),IF(AND(VALUE(LEFT(A158,2))&gt;=1,VALUE(LEFT(A158,2))&lt;=5),VALUE(LEFT(A158,2)),""),IF(AND(VALUE(LEFT(A158,1))&gt;=1,VALUE(LEFT(A158,1))&lt;=5),VALUE(LEFT(A158,1)),"")),""),"")</f>
        <v/>
      </c>
      <c r="N158" s="25">
        <f>IF(L158=1,IF(ISNUMBER(FIND("#"&amp;MID(H158,1,1)&amp;"#","#0#1#2#3#4#5#6#7#8#9#")),IF(ISNUMBER(FIND("#"&amp;MID(H158,2,1)&amp;"#","#0#1#2#3#4#5#6#7#8#9#")),IF(AND(VALUE(LEFT(H158,2))&gt;=1,VALUE(LEFT(H158,2))&lt;=5),VALUE(LEFT(H158,2)),""),IF(AND(VALUE(LEFT(H158,1))&gt;=1,VALUE(LEFT(H158,1))&lt;=5),VALUE(LEFT(H158,1)),"")),""),"")</f>
        <v/>
      </c>
      <c r="O158" s="25">
        <f>IF(AND(L158=1,B158&lt;&gt;""),SUBSTITUTE(SUBSTITUTE(SUBSTITUTE(SUBSTITUTE(SUBSTITUTE(SUBSTITUTE(SUBSTITUTE(SUBSTITUTE(SUBSTITUTE(SUBSTITUTE(SUBSTITUTE(SUBSTITUTE(LOWER(TRIM(B158)),"á","a"),"é","e"),"í","i"),"ó","o"),"ú","u"),"ü","u"),"ñ","n"),"à","a"),"è","e"),"ì","i"),"ò","o"),"ù","u"),"")</f>
        <v/>
      </c>
      <c r="P158" s="25">
        <f>IF(AND(L158=1,C158&lt;&gt;""),SUBSTITUTE(SUBSTITUTE(SUBSTITUTE(SUBSTITUTE(SUBSTITUTE(SUBSTITUTE(SUBSTITUTE(SUBSTITUTE(SUBSTITUTE(SUBSTITUTE(SUBSTITUTE(SUBSTITUTE(LOWER(TRIM(C158)),"á","a"),"é","e"),"í","i"),"ó","o"),"ú","u"),"ü","u"),"ñ","n"),"à","a"),"è","e"),"ì","i"),"ò","o"),"ù","u"),"")</f>
        <v/>
      </c>
      <c r="Q158" s="25">
        <f>IF(AND(L158=1,E158&lt;&gt;""),SUBSTITUTE(SUBSTITUTE(SUBSTITUTE(SUBSTITUTE(SUBSTITUTE(SUBSTITUTE(SUBSTITUTE(SUBSTITUTE(SUBSTITUTE(SUBSTITUTE(SUBSTITUTE(SUBSTITUTE(LOWER(TRIM(E158)),"á","a"),"é","e"),"í","i"),"ó","o"),"ú","u"),"ü","u"),"ñ","n"),"à","a"),"è","e"),"ì","i"),"ò","o"),"ù","u"),"")</f>
        <v/>
      </c>
      <c r="R158" s="25">
        <f>IF(AND(L158=1,I158&lt;&gt;""),SUBSTITUTE(SUBSTITUTE(SUBSTITUTE(SUBSTITUTE(SUBSTITUTE(SUBSTITUTE(SUBSTITUTE(SUBSTITUTE(SUBSTITUTE(SUBSTITUTE(SUBSTITUTE(SUBSTITUTE(LOWER(TRIM(I158)),"á","a"),"é","e"),"í","i"),"ó","o"),"ú","u"),"ü","u"),"ñ","n"),"à","a"),"è","e"),"ì","i"),"ò","o"),"ù","u"),"")</f>
        <v/>
      </c>
      <c r="S158" s="25">
        <f>IF(R158="","",IF(OR(R158="si",R158="tal vez"),1,0))</f>
        <v/>
      </c>
      <c r="T158" s="25">
        <f>IF(AND(L158=1,D158&lt;&gt;""),IF(IFERROR(COUNTIFS(D$3:D158,"="&amp;SUBSTITUTE(SUBSTITUTE(SUBSTITUTE(D158,"~","~~"),"*","~*"),"?","~?"),L$3:L158,1),0)=1,MAX(T$2:T157)+1,""),"")</f>
        <v/>
      </c>
      <c r="U158" s="25">
        <f>IF(T158="","",COUNTIFS($D$3:$D$1002,"="&amp;SUBSTITUTE(SUBSTITUTE(SUBSTITUTE(D158,"~","~~"),"*","~*"),"?","~?"),$L$3:$L$1002,1)*10000-T158)</f>
        <v/>
      </c>
      <c r="V158" s="25">
        <f>IF(AND(L158=1,J158&lt;&gt;""),IF(IFERROR(COUNTIFS(J$3:J158,"="&amp;SUBSTITUTE(SUBSTITUTE(SUBSTITUTE(J158,"~","~~"),"*","~*"),"?","~?"),L$3:L158,1),0)=1,MAX(V$2:V157)+1,""),"")</f>
        <v/>
      </c>
      <c r="W158" s="25">
        <f>IF(V158="","",COUNTIFS($J$3:$J$1002,"="&amp;SUBSTITUTE(SUBSTITUTE(SUBSTITUTE(J158,"~","~~"),"*","~*"),"?","~?"),$L$3:$L$1002,1)*10000-V158)</f>
        <v/>
      </c>
    </row>
    <row r="159">
      <c r="A159">
        <f>IF(A$2=0,"",IFERROR(TRIM(INDEX('Pegar estudiantes'!$A$1:$BZ$1001,158,A$2)&amp;""),""))</f>
        <v/>
      </c>
      <c r="B159">
        <f>IF(B$2=0,"",IFERROR(TRIM(INDEX('Pegar estudiantes'!$A$1:$BZ$1001,158,B$2)&amp;""),""))</f>
        <v/>
      </c>
      <c r="C159">
        <f>IF(C$2=0,"",IFERROR(TRIM(INDEX('Pegar estudiantes'!$A$1:$BZ$1001,158,C$2)&amp;""),""))</f>
        <v/>
      </c>
      <c r="D159">
        <f>IF(D$2=0,"",IFERROR(TRIM(INDEX('Pegar estudiantes'!$A$1:$BZ$1001,158,D$2)&amp;""),""))</f>
        <v/>
      </c>
      <c r="E159">
        <f>IF(E$2=0,"",IFERROR(TRIM(INDEX('Pegar estudiantes'!$A$1:$BZ$1001,158,E$2)&amp;""),""))</f>
        <v/>
      </c>
      <c r="F159">
        <f>IF(F$2=0,"",IFERROR(TRIM(INDEX('Pegar estudiantes'!$A$1:$BZ$1001,158,F$2)&amp;""),""))</f>
        <v/>
      </c>
      <c r="G159">
        <f>IF(G$2=0,"",IFERROR(TRIM(INDEX('Pegar estudiantes'!$A$1:$BZ$1001,158,G$2)&amp;""),""))</f>
        <v/>
      </c>
      <c r="H159">
        <f>IF(H$2=0,"",IFERROR(TRIM(INDEX('Pegar estudiantes'!$A$1:$BZ$1001,158,H$2)&amp;""),""))</f>
        <v/>
      </c>
      <c r="I159">
        <f>IF(I$2=0,"",IFERROR(TRIM(INDEX('Pegar estudiantes'!$A$1:$BZ$1001,158,I$2)&amp;""),""))</f>
        <v/>
      </c>
      <c r="J159">
        <f>IF(J$2=0,"",IFERROR(TRIM(INDEX('Pegar estudiantes'!$A$1:$BZ$1001,158,J$2)&amp;""),""))</f>
        <v/>
      </c>
      <c r="K159">
        <f>IF(K$2=0,"",IFERROR(TRIM(INDEX('Pegar estudiantes'!$A$1:$BZ$1001,158,K$2)&amp;""),""))</f>
        <v/>
      </c>
      <c r="L159" s="25">
        <f>IF(A159&lt;&gt;"",1,"")</f>
        <v/>
      </c>
      <c r="M159" s="25">
        <f>IF(L159=1,IF(ISNUMBER(FIND("#"&amp;MID(A159,1,1)&amp;"#","#0#1#2#3#4#5#6#7#8#9#")),IF(ISNUMBER(FIND("#"&amp;MID(A159,2,1)&amp;"#","#0#1#2#3#4#5#6#7#8#9#")),IF(AND(VALUE(LEFT(A159,2))&gt;=1,VALUE(LEFT(A159,2))&lt;=5),VALUE(LEFT(A159,2)),""),IF(AND(VALUE(LEFT(A159,1))&gt;=1,VALUE(LEFT(A159,1))&lt;=5),VALUE(LEFT(A159,1)),"")),""),"")</f>
        <v/>
      </c>
      <c r="N159" s="25">
        <f>IF(L159=1,IF(ISNUMBER(FIND("#"&amp;MID(H159,1,1)&amp;"#","#0#1#2#3#4#5#6#7#8#9#")),IF(ISNUMBER(FIND("#"&amp;MID(H159,2,1)&amp;"#","#0#1#2#3#4#5#6#7#8#9#")),IF(AND(VALUE(LEFT(H159,2))&gt;=1,VALUE(LEFT(H159,2))&lt;=5),VALUE(LEFT(H159,2)),""),IF(AND(VALUE(LEFT(H159,1))&gt;=1,VALUE(LEFT(H159,1))&lt;=5),VALUE(LEFT(H159,1)),"")),""),"")</f>
        <v/>
      </c>
      <c r="O159" s="25">
        <f>IF(AND(L159=1,B159&lt;&gt;""),SUBSTITUTE(SUBSTITUTE(SUBSTITUTE(SUBSTITUTE(SUBSTITUTE(SUBSTITUTE(SUBSTITUTE(SUBSTITUTE(SUBSTITUTE(SUBSTITUTE(SUBSTITUTE(SUBSTITUTE(LOWER(TRIM(B159)),"á","a"),"é","e"),"í","i"),"ó","o"),"ú","u"),"ü","u"),"ñ","n"),"à","a"),"è","e"),"ì","i"),"ò","o"),"ù","u"),"")</f>
        <v/>
      </c>
      <c r="P159" s="25">
        <f>IF(AND(L159=1,C159&lt;&gt;""),SUBSTITUTE(SUBSTITUTE(SUBSTITUTE(SUBSTITUTE(SUBSTITUTE(SUBSTITUTE(SUBSTITUTE(SUBSTITUTE(SUBSTITUTE(SUBSTITUTE(SUBSTITUTE(SUBSTITUTE(LOWER(TRIM(C159)),"á","a"),"é","e"),"í","i"),"ó","o"),"ú","u"),"ü","u"),"ñ","n"),"à","a"),"è","e"),"ì","i"),"ò","o"),"ù","u"),"")</f>
        <v/>
      </c>
      <c r="Q159" s="25">
        <f>IF(AND(L159=1,E159&lt;&gt;""),SUBSTITUTE(SUBSTITUTE(SUBSTITUTE(SUBSTITUTE(SUBSTITUTE(SUBSTITUTE(SUBSTITUTE(SUBSTITUTE(SUBSTITUTE(SUBSTITUTE(SUBSTITUTE(SUBSTITUTE(LOWER(TRIM(E159)),"á","a"),"é","e"),"í","i"),"ó","o"),"ú","u"),"ü","u"),"ñ","n"),"à","a"),"è","e"),"ì","i"),"ò","o"),"ù","u"),"")</f>
        <v/>
      </c>
      <c r="R159" s="25">
        <f>IF(AND(L159=1,I159&lt;&gt;""),SUBSTITUTE(SUBSTITUTE(SUBSTITUTE(SUBSTITUTE(SUBSTITUTE(SUBSTITUTE(SUBSTITUTE(SUBSTITUTE(SUBSTITUTE(SUBSTITUTE(SUBSTITUTE(SUBSTITUTE(LOWER(TRIM(I159)),"á","a"),"é","e"),"í","i"),"ó","o"),"ú","u"),"ü","u"),"ñ","n"),"à","a"),"è","e"),"ì","i"),"ò","o"),"ù","u"),"")</f>
        <v/>
      </c>
      <c r="S159" s="25">
        <f>IF(R159="","",IF(OR(R159="si",R159="tal vez"),1,0))</f>
        <v/>
      </c>
      <c r="T159" s="25">
        <f>IF(AND(L159=1,D159&lt;&gt;""),IF(IFERROR(COUNTIFS(D$3:D159,"="&amp;SUBSTITUTE(SUBSTITUTE(SUBSTITUTE(D159,"~","~~"),"*","~*"),"?","~?"),L$3:L159,1),0)=1,MAX(T$2:T158)+1,""),"")</f>
        <v/>
      </c>
      <c r="U159" s="25">
        <f>IF(T159="","",COUNTIFS($D$3:$D$1002,"="&amp;SUBSTITUTE(SUBSTITUTE(SUBSTITUTE(D159,"~","~~"),"*","~*"),"?","~?"),$L$3:$L$1002,1)*10000-T159)</f>
        <v/>
      </c>
      <c r="V159" s="25">
        <f>IF(AND(L159=1,J159&lt;&gt;""),IF(IFERROR(COUNTIFS(J$3:J159,"="&amp;SUBSTITUTE(SUBSTITUTE(SUBSTITUTE(J159,"~","~~"),"*","~*"),"?","~?"),L$3:L159,1),0)=1,MAX(V$2:V158)+1,""),"")</f>
        <v/>
      </c>
      <c r="W159" s="25">
        <f>IF(V159="","",COUNTIFS($J$3:$J$1002,"="&amp;SUBSTITUTE(SUBSTITUTE(SUBSTITUTE(J159,"~","~~"),"*","~*"),"?","~?"),$L$3:$L$1002,1)*10000-V159)</f>
        <v/>
      </c>
    </row>
    <row r="160">
      <c r="A160">
        <f>IF(A$2=0,"",IFERROR(TRIM(INDEX('Pegar estudiantes'!$A$1:$BZ$1001,159,A$2)&amp;""),""))</f>
        <v/>
      </c>
      <c r="B160">
        <f>IF(B$2=0,"",IFERROR(TRIM(INDEX('Pegar estudiantes'!$A$1:$BZ$1001,159,B$2)&amp;""),""))</f>
        <v/>
      </c>
      <c r="C160">
        <f>IF(C$2=0,"",IFERROR(TRIM(INDEX('Pegar estudiantes'!$A$1:$BZ$1001,159,C$2)&amp;""),""))</f>
        <v/>
      </c>
      <c r="D160">
        <f>IF(D$2=0,"",IFERROR(TRIM(INDEX('Pegar estudiantes'!$A$1:$BZ$1001,159,D$2)&amp;""),""))</f>
        <v/>
      </c>
      <c r="E160">
        <f>IF(E$2=0,"",IFERROR(TRIM(INDEX('Pegar estudiantes'!$A$1:$BZ$1001,159,E$2)&amp;""),""))</f>
        <v/>
      </c>
      <c r="F160">
        <f>IF(F$2=0,"",IFERROR(TRIM(INDEX('Pegar estudiantes'!$A$1:$BZ$1001,159,F$2)&amp;""),""))</f>
        <v/>
      </c>
      <c r="G160">
        <f>IF(G$2=0,"",IFERROR(TRIM(INDEX('Pegar estudiantes'!$A$1:$BZ$1001,159,G$2)&amp;""),""))</f>
        <v/>
      </c>
      <c r="H160">
        <f>IF(H$2=0,"",IFERROR(TRIM(INDEX('Pegar estudiantes'!$A$1:$BZ$1001,159,H$2)&amp;""),""))</f>
        <v/>
      </c>
      <c r="I160">
        <f>IF(I$2=0,"",IFERROR(TRIM(INDEX('Pegar estudiantes'!$A$1:$BZ$1001,159,I$2)&amp;""),""))</f>
        <v/>
      </c>
      <c r="J160">
        <f>IF(J$2=0,"",IFERROR(TRIM(INDEX('Pegar estudiantes'!$A$1:$BZ$1001,159,J$2)&amp;""),""))</f>
        <v/>
      </c>
      <c r="K160">
        <f>IF(K$2=0,"",IFERROR(TRIM(INDEX('Pegar estudiantes'!$A$1:$BZ$1001,159,K$2)&amp;""),""))</f>
        <v/>
      </c>
      <c r="L160" s="25">
        <f>IF(A160&lt;&gt;"",1,"")</f>
        <v/>
      </c>
      <c r="M160" s="25">
        <f>IF(L160=1,IF(ISNUMBER(FIND("#"&amp;MID(A160,1,1)&amp;"#","#0#1#2#3#4#5#6#7#8#9#")),IF(ISNUMBER(FIND("#"&amp;MID(A160,2,1)&amp;"#","#0#1#2#3#4#5#6#7#8#9#")),IF(AND(VALUE(LEFT(A160,2))&gt;=1,VALUE(LEFT(A160,2))&lt;=5),VALUE(LEFT(A160,2)),""),IF(AND(VALUE(LEFT(A160,1))&gt;=1,VALUE(LEFT(A160,1))&lt;=5),VALUE(LEFT(A160,1)),"")),""),"")</f>
        <v/>
      </c>
      <c r="N160" s="25">
        <f>IF(L160=1,IF(ISNUMBER(FIND("#"&amp;MID(H160,1,1)&amp;"#","#0#1#2#3#4#5#6#7#8#9#")),IF(ISNUMBER(FIND("#"&amp;MID(H160,2,1)&amp;"#","#0#1#2#3#4#5#6#7#8#9#")),IF(AND(VALUE(LEFT(H160,2))&gt;=1,VALUE(LEFT(H160,2))&lt;=5),VALUE(LEFT(H160,2)),""),IF(AND(VALUE(LEFT(H160,1))&gt;=1,VALUE(LEFT(H160,1))&lt;=5),VALUE(LEFT(H160,1)),"")),""),"")</f>
        <v/>
      </c>
      <c r="O160" s="25">
        <f>IF(AND(L160=1,B160&lt;&gt;""),SUBSTITUTE(SUBSTITUTE(SUBSTITUTE(SUBSTITUTE(SUBSTITUTE(SUBSTITUTE(SUBSTITUTE(SUBSTITUTE(SUBSTITUTE(SUBSTITUTE(SUBSTITUTE(SUBSTITUTE(LOWER(TRIM(B160)),"á","a"),"é","e"),"í","i"),"ó","o"),"ú","u"),"ü","u"),"ñ","n"),"à","a"),"è","e"),"ì","i"),"ò","o"),"ù","u"),"")</f>
        <v/>
      </c>
      <c r="P160" s="25">
        <f>IF(AND(L160=1,C160&lt;&gt;""),SUBSTITUTE(SUBSTITUTE(SUBSTITUTE(SUBSTITUTE(SUBSTITUTE(SUBSTITUTE(SUBSTITUTE(SUBSTITUTE(SUBSTITUTE(SUBSTITUTE(SUBSTITUTE(SUBSTITUTE(LOWER(TRIM(C160)),"á","a"),"é","e"),"í","i"),"ó","o"),"ú","u"),"ü","u"),"ñ","n"),"à","a"),"è","e"),"ì","i"),"ò","o"),"ù","u"),"")</f>
        <v/>
      </c>
      <c r="Q160" s="25">
        <f>IF(AND(L160=1,E160&lt;&gt;""),SUBSTITUTE(SUBSTITUTE(SUBSTITUTE(SUBSTITUTE(SUBSTITUTE(SUBSTITUTE(SUBSTITUTE(SUBSTITUTE(SUBSTITUTE(SUBSTITUTE(SUBSTITUTE(SUBSTITUTE(LOWER(TRIM(E160)),"á","a"),"é","e"),"í","i"),"ó","o"),"ú","u"),"ü","u"),"ñ","n"),"à","a"),"è","e"),"ì","i"),"ò","o"),"ù","u"),"")</f>
        <v/>
      </c>
      <c r="R160" s="25">
        <f>IF(AND(L160=1,I160&lt;&gt;""),SUBSTITUTE(SUBSTITUTE(SUBSTITUTE(SUBSTITUTE(SUBSTITUTE(SUBSTITUTE(SUBSTITUTE(SUBSTITUTE(SUBSTITUTE(SUBSTITUTE(SUBSTITUTE(SUBSTITUTE(LOWER(TRIM(I160)),"á","a"),"é","e"),"í","i"),"ó","o"),"ú","u"),"ü","u"),"ñ","n"),"à","a"),"è","e"),"ì","i"),"ò","o"),"ù","u"),"")</f>
        <v/>
      </c>
      <c r="S160" s="25">
        <f>IF(R160="","",IF(OR(R160="si",R160="tal vez"),1,0))</f>
        <v/>
      </c>
      <c r="T160" s="25">
        <f>IF(AND(L160=1,D160&lt;&gt;""),IF(IFERROR(COUNTIFS(D$3:D160,"="&amp;SUBSTITUTE(SUBSTITUTE(SUBSTITUTE(D160,"~","~~"),"*","~*"),"?","~?"),L$3:L160,1),0)=1,MAX(T$2:T159)+1,""),"")</f>
        <v/>
      </c>
      <c r="U160" s="25">
        <f>IF(T160="","",COUNTIFS($D$3:$D$1002,"="&amp;SUBSTITUTE(SUBSTITUTE(SUBSTITUTE(D160,"~","~~"),"*","~*"),"?","~?"),$L$3:$L$1002,1)*10000-T160)</f>
        <v/>
      </c>
      <c r="V160" s="25">
        <f>IF(AND(L160=1,J160&lt;&gt;""),IF(IFERROR(COUNTIFS(J$3:J160,"="&amp;SUBSTITUTE(SUBSTITUTE(SUBSTITUTE(J160,"~","~~"),"*","~*"),"?","~?"),L$3:L160,1),0)=1,MAX(V$2:V159)+1,""),"")</f>
        <v/>
      </c>
      <c r="W160" s="25">
        <f>IF(V160="","",COUNTIFS($J$3:$J$1002,"="&amp;SUBSTITUTE(SUBSTITUTE(SUBSTITUTE(J160,"~","~~"),"*","~*"),"?","~?"),$L$3:$L$1002,1)*10000-V160)</f>
        <v/>
      </c>
    </row>
    <row r="161">
      <c r="A161">
        <f>IF(A$2=0,"",IFERROR(TRIM(INDEX('Pegar estudiantes'!$A$1:$BZ$1001,160,A$2)&amp;""),""))</f>
        <v/>
      </c>
      <c r="B161">
        <f>IF(B$2=0,"",IFERROR(TRIM(INDEX('Pegar estudiantes'!$A$1:$BZ$1001,160,B$2)&amp;""),""))</f>
        <v/>
      </c>
      <c r="C161">
        <f>IF(C$2=0,"",IFERROR(TRIM(INDEX('Pegar estudiantes'!$A$1:$BZ$1001,160,C$2)&amp;""),""))</f>
        <v/>
      </c>
      <c r="D161">
        <f>IF(D$2=0,"",IFERROR(TRIM(INDEX('Pegar estudiantes'!$A$1:$BZ$1001,160,D$2)&amp;""),""))</f>
        <v/>
      </c>
      <c r="E161">
        <f>IF(E$2=0,"",IFERROR(TRIM(INDEX('Pegar estudiantes'!$A$1:$BZ$1001,160,E$2)&amp;""),""))</f>
        <v/>
      </c>
      <c r="F161">
        <f>IF(F$2=0,"",IFERROR(TRIM(INDEX('Pegar estudiantes'!$A$1:$BZ$1001,160,F$2)&amp;""),""))</f>
        <v/>
      </c>
      <c r="G161">
        <f>IF(G$2=0,"",IFERROR(TRIM(INDEX('Pegar estudiantes'!$A$1:$BZ$1001,160,G$2)&amp;""),""))</f>
        <v/>
      </c>
      <c r="H161">
        <f>IF(H$2=0,"",IFERROR(TRIM(INDEX('Pegar estudiantes'!$A$1:$BZ$1001,160,H$2)&amp;""),""))</f>
        <v/>
      </c>
      <c r="I161">
        <f>IF(I$2=0,"",IFERROR(TRIM(INDEX('Pegar estudiantes'!$A$1:$BZ$1001,160,I$2)&amp;""),""))</f>
        <v/>
      </c>
      <c r="J161">
        <f>IF(J$2=0,"",IFERROR(TRIM(INDEX('Pegar estudiantes'!$A$1:$BZ$1001,160,J$2)&amp;""),""))</f>
        <v/>
      </c>
      <c r="K161">
        <f>IF(K$2=0,"",IFERROR(TRIM(INDEX('Pegar estudiantes'!$A$1:$BZ$1001,160,K$2)&amp;""),""))</f>
        <v/>
      </c>
      <c r="L161" s="25">
        <f>IF(A161&lt;&gt;"",1,"")</f>
        <v/>
      </c>
      <c r="M161" s="25">
        <f>IF(L161=1,IF(ISNUMBER(FIND("#"&amp;MID(A161,1,1)&amp;"#","#0#1#2#3#4#5#6#7#8#9#")),IF(ISNUMBER(FIND("#"&amp;MID(A161,2,1)&amp;"#","#0#1#2#3#4#5#6#7#8#9#")),IF(AND(VALUE(LEFT(A161,2))&gt;=1,VALUE(LEFT(A161,2))&lt;=5),VALUE(LEFT(A161,2)),""),IF(AND(VALUE(LEFT(A161,1))&gt;=1,VALUE(LEFT(A161,1))&lt;=5),VALUE(LEFT(A161,1)),"")),""),"")</f>
        <v/>
      </c>
      <c r="N161" s="25">
        <f>IF(L161=1,IF(ISNUMBER(FIND("#"&amp;MID(H161,1,1)&amp;"#","#0#1#2#3#4#5#6#7#8#9#")),IF(ISNUMBER(FIND("#"&amp;MID(H161,2,1)&amp;"#","#0#1#2#3#4#5#6#7#8#9#")),IF(AND(VALUE(LEFT(H161,2))&gt;=1,VALUE(LEFT(H161,2))&lt;=5),VALUE(LEFT(H161,2)),""),IF(AND(VALUE(LEFT(H161,1))&gt;=1,VALUE(LEFT(H161,1))&lt;=5),VALUE(LEFT(H161,1)),"")),""),"")</f>
        <v/>
      </c>
      <c r="O161" s="25">
        <f>IF(AND(L161=1,B161&lt;&gt;""),SUBSTITUTE(SUBSTITUTE(SUBSTITUTE(SUBSTITUTE(SUBSTITUTE(SUBSTITUTE(SUBSTITUTE(SUBSTITUTE(SUBSTITUTE(SUBSTITUTE(SUBSTITUTE(SUBSTITUTE(LOWER(TRIM(B161)),"á","a"),"é","e"),"í","i"),"ó","o"),"ú","u"),"ü","u"),"ñ","n"),"à","a"),"è","e"),"ì","i"),"ò","o"),"ù","u"),"")</f>
        <v/>
      </c>
      <c r="P161" s="25">
        <f>IF(AND(L161=1,C161&lt;&gt;""),SUBSTITUTE(SUBSTITUTE(SUBSTITUTE(SUBSTITUTE(SUBSTITUTE(SUBSTITUTE(SUBSTITUTE(SUBSTITUTE(SUBSTITUTE(SUBSTITUTE(SUBSTITUTE(SUBSTITUTE(LOWER(TRIM(C161)),"á","a"),"é","e"),"í","i"),"ó","o"),"ú","u"),"ü","u"),"ñ","n"),"à","a"),"è","e"),"ì","i"),"ò","o"),"ù","u"),"")</f>
        <v/>
      </c>
      <c r="Q161" s="25">
        <f>IF(AND(L161=1,E161&lt;&gt;""),SUBSTITUTE(SUBSTITUTE(SUBSTITUTE(SUBSTITUTE(SUBSTITUTE(SUBSTITUTE(SUBSTITUTE(SUBSTITUTE(SUBSTITUTE(SUBSTITUTE(SUBSTITUTE(SUBSTITUTE(LOWER(TRIM(E161)),"á","a"),"é","e"),"í","i"),"ó","o"),"ú","u"),"ü","u"),"ñ","n"),"à","a"),"è","e"),"ì","i"),"ò","o"),"ù","u"),"")</f>
        <v/>
      </c>
      <c r="R161" s="25">
        <f>IF(AND(L161=1,I161&lt;&gt;""),SUBSTITUTE(SUBSTITUTE(SUBSTITUTE(SUBSTITUTE(SUBSTITUTE(SUBSTITUTE(SUBSTITUTE(SUBSTITUTE(SUBSTITUTE(SUBSTITUTE(SUBSTITUTE(SUBSTITUTE(LOWER(TRIM(I161)),"á","a"),"é","e"),"í","i"),"ó","o"),"ú","u"),"ü","u"),"ñ","n"),"à","a"),"è","e"),"ì","i"),"ò","o"),"ù","u"),"")</f>
        <v/>
      </c>
      <c r="S161" s="25">
        <f>IF(R161="","",IF(OR(R161="si",R161="tal vez"),1,0))</f>
        <v/>
      </c>
      <c r="T161" s="25">
        <f>IF(AND(L161=1,D161&lt;&gt;""),IF(IFERROR(COUNTIFS(D$3:D161,"="&amp;SUBSTITUTE(SUBSTITUTE(SUBSTITUTE(D161,"~","~~"),"*","~*"),"?","~?"),L$3:L161,1),0)=1,MAX(T$2:T160)+1,""),"")</f>
        <v/>
      </c>
      <c r="U161" s="25">
        <f>IF(T161="","",COUNTIFS($D$3:$D$1002,"="&amp;SUBSTITUTE(SUBSTITUTE(SUBSTITUTE(D161,"~","~~"),"*","~*"),"?","~?"),$L$3:$L$1002,1)*10000-T161)</f>
        <v/>
      </c>
      <c r="V161" s="25">
        <f>IF(AND(L161=1,J161&lt;&gt;""),IF(IFERROR(COUNTIFS(J$3:J161,"="&amp;SUBSTITUTE(SUBSTITUTE(SUBSTITUTE(J161,"~","~~"),"*","~*"),"?","~?"),L$3:L161,1),0)=1,MAX(V$2:V160)+1,""),"")</f>
        <v/>
      </c>
      <c r="W161" s="25">
        <f>IF(V161="","",COUNTIFS($J$3:$J$1002,"="&amp;SUBSTITUTE(SUBSTITUTE(SUBSTITUTE(J161,"~","~~"),"*","~*"),"?","~?"),$L$3:$L$1002,1)*10000-V161)</f>
        <v/>
      </c>
    </row>
    <row r="162">
      <c r="A162">
        <f>IF(A$2=0,"",IFERROR(TRIM(INDEX('Pegar estudiantes'!$A$1:$BZ$1001,161,A$2)&amp;""),""))</f>
        <v/>
      </c>
      <c r="B162">
        <f>IF(B$2=0,"",IFERROR(TRIM(INDEX('Pegar estudiantes'!$A$1:$BZ$1001,161,B$2)&amp;""),""))</f>
        <v/>
      </c>
      <c r="C162">
        <f>IF(C$2=0,"",IFERROR(TRIM(INDEX('Pegar estudiantes'!$A$1:$BZ$1001,161,C$2)&amp;""),""))</f>
        <v/>
      </c>
      <c r="D162">
        <f>IF(D$2=0,"",IFERROR(TRIM(INDEX('Pegar estudiantes'!$A$1:$BZ$1001,161,D$2)&amp;""),""))</f>
        <v/>
      </c>
      <c r="E162">
        <f>IF(E$2=0,"",IFERROR(TRIM(INDEX('Pegar estudiantes'!$A$1:$BZ$1001,161,E$2)&amp;""),""))</f>
        <v/>
      </c>
      <c r="F162">
        <f>IF(F$2=0,"",IFERROR(TRIM(INDEX('Pegar estudiantes'!$A$1:$BZ$1001,161,F$2)&amp;""),""))</f>
        <v/>
      </c>
      <c r="G162">
        <f>IF(G$2=0,"",IFERROR(TRIM(INDEX('Pegar estudiantes'!$A$1:$BZ$1001,161,G$2)&amp;""),""))</f>
        <v/>
      </c>
      <c r="H162">
        <f>IF(H$2=0,"",IFERROR(TRIM(INDEX('Pegar estudiantes'!$A$1:$BZ$1001,161,H$2)&amp;""),""))</f>
        <v/>
      </c>
      <c r="I162">
        <f>IF(I$2=0,"",IFERROR(TRIM(INDEX('Pegar estudiantes'!$A$1:$BZ$1001,161,I$2)&amp;""),""))</f>
        <v/>
      </c>
      <c r="J162">
        <f>IF(J$2=0,"",IFERROR(TRIM(INDEX('Pegar estudiantes'!$A$1:$BZ$1001,161,J$2)&amp;""),""))</f>
        <v/>
      </c>
      <c r="K162">
        <f>IF(K$2=0,"",IFERROR(TRIM(INDEX('Pegar estudiantes'!$A$1:$BZ$1001,161,K$2)&amp;""),""))</f>
        <v/>
      </c>
      <c r="L162" s="25">
        <f>IF(A162&lt;&gt;"",1,"")</f>
        <v/>
      </c>
      <c r="M162" s="25">
        <f>IF(L162=1,IF(ISNUMBER(FIND("#"&amp;MID(A162,1,1)&amp;"#","#0#1#2#3#4#5#6#7#8#9#")),IF(ISNUMBER(FIND("#"&amp;MID(A162,2,1)&amp;"#","#0#1#2#3#4#5#6#7#8#9#")),IF(AND(VALUE(LEFT(A162,2))&gt;=1,VALUE(LEFT(A162,2))&lt;=5),VALUE(LEFT(A162,2)),""),IF(AND(VALUE(LEFT(A162,1))&gt;=1,VALUE(LEFT(A162,1))&lt;=5),VALUE(LEFT(A162,1)),"")),""),"")</f>
        <v/>
      </c>
      <c r="N162" s="25">
        <f>IF(L162=1,IF(ISNUMBER(FIND("#"&amp;MID(H162,1,1)&amp;"#","#0#1#2#3#4#5#6#7#8#9#")),IF(ISNUMBER(FIND("#"&amp;MID(H162,2,1)&amp;"#","#0#1#2#3#4#5#6#7#8#9#")),IF(AND(VALUE(LEFT(H162,2))&gt;=1,VALUE(LEFT(H162,2))&lt;=5),VALUE(LEFT(H162,2)),""),IF(AND(VALUE(LEFT(H162,1))&gt;=1,VALUE(LEFT(H162,1))&lt;=5),VALUE(LEFT(H162,1)),"")),""),"")</f>
        <v/>
      </c>
      <c r="O162" s="25">
        <f>IF(AND(L162=1,B162&lt;&gt;""),SUBSTITUTE(SUBSTITUTE(SUBSTITUTE(SUBSTITUTE(SUBSTITUTE(SUBSTITUTE(SUBSTITUTE(SUBSTITUTE(SUBSTITUTE(SUBSTITUTE(SUBSTITUTE(SUBSTITUTE(LOWER(TRIM(B162)),"á","a"),"é","e"),"í","i"),"ó","o"),"ú","u"),"ü","u"),"ñ","n"),"à","a"),"è","e"),"ì","i"),"ò","o"),"ù","u"),"")</f>
        <v/>
      </c>
      <c r="P162" s="25">
        <f>IF(AND(L162=1,C162&lt;&gt;""),SUBSTITUTE(SUBSTITUTE(SUBSTITUTE(SUBSTITUTE(SUBSTITUTE(SUBSTITUTE(SUBSTITUTE(SUBSTITUTE(SUBSTITUTE(SUBSTITUTE(SUBSTITUTE(SUBSTITUTE(LOWER(TRIM(C162)),"á","a"),"é","e"),"í","i"),"ó","o"),"ú","u"),"ü","u"),"ñ","n"),"à","a"),"è","e"),"ì","i"),"ò","o"),"ù","u"),"")</f>
        <v/>
      </c>
      <c r="Q162" s="25">
        <f>IF(AND(L162=1,E162&lt;&gt;""),SUBSTITUTE(SUBSTITUTE(SUBSTITUTE(SUBSTITUTE(SUBSTITUTE(SUBSTITUTE(SUBSTITUTE(SUBSTITUTE(SUBSTITUTE(SUBSTITUTE(SUBSTITUTE(SUBSTITUTE(LOWER(TRIM(E162)),"á","a"),"é","e"),"í","i"),"ó","o"),"ú","u"),"ü","u"),"ñ","n"),"à","a"),"è","e"),"ì","i"),"ò","o"),"ù","u"),"")</f>
        <v/>
      </c>
      <c r="R162" s="25">
        <f>IF(AND(L162=1,I162&lt;&gt;""),SUBSTITUTE(SUBSTITUTE(SUBSTITUTE(SUBSTITUTE(SUBSTITUTE(SUBSTITUTE(SUBSTITUTE(SUBSTITUTE(SUBSTITUTE(SUBSTITUTE(SUBSTITUTE(SUBSTITUTE(LOWER(TRIM(I162)),"á","a"),"é","e"),"í","i"),"ó","o"),"ú","u"),"ü","u"),"ñ","n"),"à","a"),"è","e"),"ì","i"),"ò","o"),"ù","u"),"")</f>
        <v/>
      </c>
      <c r="S162" s="25">
        <f>IF(R162="","",IF(OR(R162="si",R162="tal vez"),1,0))</f>
        <v/>
      </c>
      <c r="T162" s="25">
        <f>IF(AND(L162=1,D162&lt;&gt;""),IF(IFERROR(COUNTIFS(D$3:D162,"="&amp;SUBSTITUTE(SUBSTITUTE(SUBSTITUTE(D162,"~","~~"),"*","~*"),"?","~?"),L$3:L162,1),0)=1,MAX(T$2:T161)+1,""),"")</f>
        <v/>
      </c>
      <c r="U162" s="25">
        <f>IF(T162="","",COUNTIFS($D$3:$D$1002,"="&amp;SUBSTITUTE(SUBSTITUTE(SUBSTITUTE(D162,"~","~~"),"*","~*"),"?","~?"),$L$3:$L$1002,1)*10000-T162)</f>
        <v/>
      </c>
      <c r="V162" s="25">
        <f>IF(AND(L162=1,J162&lt;&gt;""),IF(IFERROR(COUNTIFS(J$3:J162,"="&amp;SUBSTITUTE(SUBSTITUTE(SUBSTITUTE(J162,"~","~~"),"*","~*"),"?","~?"),L$3:L162,1),0)=1,MAX(V$2:V161)+1,""),"")</f>
        <v/>
      </c>
      <c r="W162" s="25">
        <f>IF(V162="","",COUNTIFS($J$3:$J$1002,"="&amp;SUBSTITUTE(SUBSTITUTE(SUBSTITUTE(J162,"~","~~"),"*","~*"),"?","~?"),$L$3:$L$1002,1)*10000-V162)</f>
        <v/>
      </c>
    </row>
    <row r="163">
      <c r="A163">
        <f>IF(A$2=0,"",IFERROR(TRIM(INDEX('Pegar estudiantes'!$A$1:$BZ$1001,162,A$2)&amp;""),""))</f>
        <v/>
      </c>
      <c r="B163">
        <f>IF(B$2=0,"",IFERROR(TRIM(INDEX('Pegar estudiantes'!$A$1:$BZ$1001,162,B$2)&amp;""),""))</f>
        <v/>
      </c>
      <c r="C163">
        <f>IF(C$2=0,"",IFERROR(TRIM(INDEX('Pegar estudiantes'!$A$1:$BZ$1001,162,C$2)&amp;""),""))</f>
        <v/>
      </c>
      <c r="D163">
        <f>IF(D$2=0,"",IFERROR(TRIM(INDEX('Pegar estudiantes'!$A$1:$BZ$1001,162,D$2)&amp;""),""))</f>
        <v/>
      </c>
      <c r="E163">
        <f>IF(E$2=0,"",IFERROR(TRIM(INDEX('Pegar estudiantes'!$A$1:$BZ$1001,162,E$2)&amp;""),""))</f>
        <v/>
      </c>
      <c r="F163">
        <f>IF(F$2=0,"",IFERROR(TRIM(INDEX('Pegar estudiantes'!$A$1:$BZ$1001,162,F$2)&amp;""),""))</f>
        <v/>
      </c>
      <c r="G163">
        <f>IF(G$2=0,"",IFERROR(TRIM(INDEX('Pegar estudiantes'!$A$1:$BZ$1001,162,G$2)&amp;""),""))</f>
        <v/>
      </c>
      <c r="H163">
        <f>IF(H$2=0,"",IFERROR(TRIM(INDEX('Pegar estudiantes'!$A$1:$BZ$1001,162,H$2)&amp;""),""))</f>
        <v/>
      </c>
      <c r="I163">
        <f>IF(I$2=0,"",IFERROR(TRIM(INDEX('Pegar estudiantes'!$A$1:$BZ$1001,162,I$2)&amp;""),""))</f>
        <v/>
      </c>
      <c r="J163">
        <f>IF(J$2=0,"",IFERROR(TRIM(INDEX('Pegar estudiantes'!$A$1:$BZ$1001,162,J$2)&amp;""),""))</f>
        <v/>
      </c>
      <c r="K163">
        <f>IF(K$2=0,"",IFERROR(TRIM(INDEX('Pegar estudiantes'!$A$1:$BZ$1001,162,K$2)&amp;""),""))</f>
        <v/>
      </c>
      <c r="L163" s="25">
        <f>IF(A163&lt;&gt;"",1,"")</f>
        <v/>
      </c>
      <c r="M163" s="25">
        <f>IF(L163=1,IF(ISNUMBER(FIND("#"&amp;MID(A163,1,1)&amp;"#","#0#1#2#3#4#5#6#7#8#9#")),IF(ISNUMBER(FIND("#"&amp;MID(A163,2,1)&amp;"#","#0#1#2#3#4#5#6#7#8#9#")),IF(AND(VALUE(LEFT(A163,2))&gt;=1,VALUE(LEFT(A163,2))&lt;=5),VALUE(LEFT(A163,2)),""),IF(AND(VALUE(LEFT(A163,1))&gt;=1,VALUE(LEFT(A163,1))&lt;=5),VALUE(LEFT(A163,1)),"")),""),"")</f>
        <v/>
      </c>
      <c r="N163" s="25">
        <f>IF(L163=1,IF(ISNUMBER(FIND("#"&amp;MID(H163,1,1)&amp;"#","#0#1#2#3#4#5#6#7#8#9#")),IF(ISNUMBER(FIND("#"&amp;MID(H163,2,1)&amp;"#","#0#1#2#3#4#5#6#7#8#9#")),IF(AND(VALUE(LEFT(H163,2))&gt;=1,VALUE(LEFT(H163,2))&lt;=5),VALUE(LEFT(H163,2)),""),IF(AND(VALUE(LEFT(H163,1))&gt;=1,VALUE(LEFT(H163,1))&lt;=5),VALUE(LEFT(H163,1)),"")),""),"")</f>
        <v/>
      </c>
      <c r="O163" s="25">
        <f>IF(AND(L163=1,B163&lt;&gt;""),SUBSTITUTE(SUBSTITUTE(SUBSTITUTE(SUBSTITUTE(SUBSTITUTE(SUBSTITUTE(SUBSTITUTE(SUBSTITUTE(SUBSTITUTE(SUBSTITUTE(SUBSTITUTE(SUBSTITUTE(LOWER(TRIM(B163)),"á","a"),"é","e"),"í","i"),"ó","o"),"ú","u"),"ü","u"),"ñ","n"),"à","a"),"è","e"),"ì","i"),"ò","o"),"ù","u"),"")</f>
        <v/>
      </c>
      <c r="P163" s="25">
        <f>IF(AND(L163=1,C163&lt;&gt;""),SUBSTITUTE(SUBSTITUTE(SUBSTITUTE(SUBSTITUTE(SUBSTITUTE(SUBSTITUTE(SUBSTITUTE(SUBSTITUTE(SUBSTITUTE(SUBSTITUTE(SUBSTITUTE(SUBSTITUTE(LOWER(TRIM(C163)),"á","a"),"é","e"),"í","i"),"ó","o"),"ú","u"),"ü","u"),"ñ","n"),"à","a"),"è","e"),"ì","i"),"ò","o"),"ù","u"),"")</f>
        <v/>
      </c>
      <c r="Q163" s="25">
        <f>IF(AND(L163=1,E163&lt;&gt;""),SUBSTITUTE(SUBSTITUTE(SUBSTITUTE(SUBSTITUTE(SUBSTITUTE(SUBSTITUTE(SUBSTITUTE(SUBSTITUTE(SUBSTITUTE(SUBSTITUTE(SUBSTITUTE(SUBSTITUTE(LOWER(TRIM(E163)),"á","a"),"é","e"),"í","i"),"ó","o"),"ú","u"),"ü","u"),"ñ","n"),"à","a"),"è","e"),"ì","i"),"ò","o"),"ù","u"),"")</f>
        <v/>
      </c>
      <c r="R163" s="25">
        <f>IF(AND(L163=1,I163&lt;&gt;""),SUBSTITUTE(SUBSTITUTE(SUBSTITUTE(SUBSTITUTE(SUBSTITUTE(SUBSTITUTE(SUBSTITUTE(SUBSTITUTE(SUBSTITUTE(SUBSTITUTE(SUBSTITUTE(SUBSTITUTE(LOWER(TRIM(I163)),"á","a"),"é","e"),"í","i"),"ó","o"),"ú","u"),"ü","u"),"ñ","n"),"à","a"),"è","e"),"ì","i"),"ò","o"),"ù","u"),"")</f>
        <v/>
      </c>
      <c r="S163" s="25">
        <f>IF(R163="","",IF(OR(R163="si",R163="tal vez"),1,0))</f>
        <v/>
      </c>
      <c r="T163" s="25">
        <f>IF(AND(L163=1,D163&lt;&gt;""),IF(IFERROR(COUNTIFS(D$3:D163,"="&amp;SUBSTITUTE(SUBSTITUTE(SUBSTITUTE(D163,"~","~~"),"*","~*"),"?","~?"),L$3:L163,1),0)=1,MAX(T$2:T162)+1,""),"")</f>
        <v/>
      </c>
      <c r="U163" s="25">
        <f>IF(T163="","",COUNTIFS($D$3:$D$1002,"="&amp;SUBSTITUTE(SUBSTITUTE(SUBSTITUTE(D163,"~","~~"),"*","~*"),"?","~?"),$L$3:$L$1002,1)*10000-T163)</f>
        <v/>
      </c>
      <c r="V163" s="25">
        <f>IF(AND(L163=1,J163&lt;&gt;""),IF(IFERROR(COUNTIFS(J$3:J163,"="&amp;SUBSTITUTE(SUBSTITUTE(SUBSTITUTE(J163,"~","~~"),"*","~*"),"?","~?"),L$3:L163,1),0)=1,MAX(V$2:V162)+1,""),"")</f>
        <v/>
      </c>
      <c r="W163" s="25">
        <f>IF(V163="","",COUNTIFS($J$3:$J$1002,"="&amp;SUBSTITUTE(SUBSTITUTE(SUBSTITUTE(J163,"~","~~"),"*","~*"),"?","~?"),$L$3:$L$1002,1)*10000-V163)</f>
        <v/>
      </c>
    </row>
    <row r="164">
      <c r="A164">
        <f>IF(A$2=0,"",IFERROR(TRIM(INDEX('Pegar estudiantes'!$A$1:$BZ$1001,163,A$2)&amp;""),""))</f>
        <v/>
      </c>
      <c r="B164">
        <f>IF(B$2=0,"",IFERROR(TRIM(INDEX('Pegar estudiantes'!$A$1:$BZ$1001,163,B$2)&amp;""),""))</f>
        <v/>
      </c>
      <c r="C164">
        <f>IF(C$2=0,"",IFERROR(TRIM(INDEX('Pegar estudiantes'!$A$1:$BZ$1001,163,C$2)&amp;""),""))</f>
        <v/>
      </c>
      <c r="D164">
        <f>IF(D$2=0,"",IFERROR(TRIM(INDEX('Pegar estudiantes'!$A$1:$BZ$1001,163,D$2)&amp;""),""))</f>
        <v/>
      </c>
      <c r="E164">
        <f>IF(E$2=0,"",IFERROR(TRIM(INDEX('Pegar estudiantes'!$A$1:$BZ$1001,163,E$2)&amp;""),""))</f>
        <v/>
      </c>
      <c r="F164">
        <f>IF(F$2=0,"",IFERROR(TRIM(INDEX('Pegar estudiantes'!$A$1:$BZ$1001,163,F$2)&amp;""),""))</f>
        <v/>
      </c>
      <c r="G164">
        <f>IF(G$2=0,"",IFERROR(TRIM(INDEX('Pegar estudiantes'!$A$1:$BZ$1001,163,G$2)&amp;""),""))</f>
        <v/>
      </c>
      <c r="H164">
        <f>IF(H$2=0,"",IFERROR(TRIM(INDEX('Pegar estudiantes'!$A$1:$BZ$1001,163,H$2)&amp;""),""))</f>
        <v/>
      </c>
      <c r="I164">
        <f>IF(I$2=0,"",IFERROR(TRIM(INDEX('Pegar estudiantes'!$A$1:$BZ$1001,163,I$2)&amp;""),""))</f>
        <v/>
      </c>
      <c r="J164">
        <f>IF(J$2=0,"",IFERROR(TRIM(INDEX('Pegar estudiantes'!$A$1:$BZ$1001,163,J$2)&amp;""),""))</f>
        <v/>
      </c>
      <c r="K164">
        <f>IF(K$2=0,"",IFERROR(TRIM(INDEX('Pegar estudiantes'!$A$1:$BZ$1001,163,K$2)&amp;""),""))</f>
        <v/>
      </c>
      <c r="L164" s="25">
        <f>IF(A164&lt;&gt;"",1,"")</f>
        <v/>
      </c>
      <c r="M164" s="25">
        <f>IF(L164=1,IF(ISNUMBER(FIND("#"&amp;MID(A164,1,1)&amp;"#","#0#1#2#3#4#5#6#7#8#9#")),IF(ISNUMBER(FIND("#"&amp;MID(A164,2,1)&amp;"#","#0#1#2#3#4#5#6#7#8#9#")),IF(AND(VALUE(LEFT(A164,2))&gt;=1,VALUE(LEFT(A164,2))&lt;=5),VALUE(LEFT(A164,2)),""),IF(AND(VALUE(LEFT(A164,1))&gt;=1,VALUE(LEFT(A164,1))&lt;=5),VALUE(LEFT(A164,1)),"")),""),"")</f>
        <v/>
      </c>
      <c r="N164" s="25">
        <f>IF(L164=1,IF(ISNUMBER(FIND("#"&amp;MID(H164,1,1)&amp;"#","#0#1#2#3#4#5#6#7#8#9#")),IF(ISNUMBER(FIND("#"&amp;MID(H164,2,1)&amp;"#","#0#1#2#3#4#5#6#7#8#9#")),IF(AND(VALUE(LEFT(H164,2))&gt;=1,VALUE(LEFT(H164,2))&lt;=5),VALUE(LEFT(H164,2)),""),IF(AND(VALUE(LEFT(H164,1))&gt;=1,VALUE(LEFT(H164,1))&lt;=5),VALUE(LEFT(H164,1)),"")),""),"")</f>
        <v/>
      </c>
      <c r="O164" s="25">
        <f>IF(AND(L164=1,B164&lt;&gt;""),SUBSTITUTE(SUBSTITUTE(SUBSTITUTE(SUBSTITUTE(SUBSTITUTE(SUBSTITUTE(SUBSTITUTE(SUBSTITUTE(SUBSTITUTE(SUBSTITUTE(SUBSTITUTE(SUBSTITUTE(LOWER(TRIM(B164)),"á","a"),"é","e"),"í","i"),"ó","o"),"ú","u"),"ü","u"),"ñ","n"),"à","a"),"è","e"),"ì","i"),"ò","o"),"ù","u"),"")</f>
        <v/>
      </c>
      <c r="P164" s="25">
        <f>IF(AND(L164=1,C164&lt;&gt;""),SUBSTITUTE(SUBSTITUTE(SUBSTITUTE(SUBSTITUTE(SUBSTITUTE(SUBSTITUTE(SUBSTITUTE(SUBSTITUTE(SUBSTITUTE(SUBSTITUTE(SUBSTITUTE(SUBSTITUTE(LOWER(TRIM(C164)),"á","a"),"é","e"),"í","i"),"ó","o"),"ú","u"),"ü","u"),"ñ","n"),"à","a"),"è","e"),"ì","i"),"ò","o"),"ù","u"),"")</f>
        <v/>
      </c>
      <c r="Q164" s="25">
        <f>IF(AND(L164=1,E164&lt;&gt;""),SUBSTITUTE(SUBSTITUTE(SUBSTITUTE(SUBSTITUTE(SUBSTITUTE(SUBSTITUTE(SUBSTITUTE(SUBSTITUTE(SUBSTITUTE(SUBSTITUTE(SUBSTITUTE(SUBSTITUTE(LOWER(TRIM(E164)),"á","a"),"é","e"),"í","i"),"ó","o"),"ú","u"),"ü","u"),"ñ","n"),"à","a"),"è","e"),"ì","i"),"ò","o"),"ù","u"),"")</f>
        <v/>
      </c>
      <c r="R164" s="25">
        <f>IF(AND(L164=1,I164&lt;&gt;""),SUBSTITUTE(SUBSTITUTE(SUBSTITUTE(SUBSTITUTE(SUBSTITUTE(SUBSTITUTE(SUBSTITUTE(SUBSTITUTE(SUBSTITUTE(SUBSTITUTE(SUBSTITUTE(SUBSTITUTE(LOWER(TRIM(I164)),"á","a"),"é","e"),"í","i"),"ó","o"),"ú","u"),"ü","u"),"ñ","n"),"à","a"),"è","e"),"ì","i"),"ò","o"),"ù","u"),"")</f>
        <v/>
      </c>
      <c r="S164" s="25">
        <f>IF(R164="","",IF(OR(R164="si",R164="tal vez"),1,0))</f>
        <v/>
      </c>
      <c r="T164" s="25">
        <f>IF(AND(L164=1,D164&lt;&gt;""),IF(IFERROR(COUNTIFS(D$3:D164,"="&amp;SUBSTITUTE(SUBSTITUTE(SUBSTITUTE(D164,"~","~~"),"*","~*"),"?","~?"),L$3:L164,1),0)=1,MAX(T$2:T163)+1,""),"")</f>
        <v/>
      </c>
      <c r="U164" s="25">
        <f>IF(T164="","",COUNTIFS($D$3:$D$1002,"="&amp;SUBSTITUTE(SUBSTITUTE(SUBSTITUTE(D164,"~","~~"),"*","~*"),"?","~?"),$L$3:$L$1002,1)*10000-T164)</f>
        <v/>
      </c>
      <c r="V164" s="25">
        <f>IF(AND(L164=1,J164&lt;&gt;""),IF(IFERROR(COUNTIFS(J$3:J164,"="&amp;SUBSTITUTE(SUBSTITUTE(SUBSTITUTE(J164,"~","~~"),"*","~*"),"?","~?"),L$3:L164,1),0)=1,MAX(V$2:V163)+1,""),"")</f>
        <v/>
      </c>
      <c r="W164" s="25">
        <f>IF(V164="","",COUNTIFS($J$3:$J$1002,"="&amp;SUBSTITUTE(SUBSTITUTE(SUBSTITUTE(J164,"~","~~"),"*","~*"),"?","~?"),$L$3:$L$1002,1)*10000-V164)</f>
        <v/>
      </c>
    </row>
    <row r="165">
      <c r="A165">
        <f>IF(A$2=0,"",IFERROR(TRIM(INDEX('Pegar estudiantes'!$A$1:$BZ$1001,164,A$2)&amp;""),""))</f>
        <v/>
      </c>
      <c r="B165">
        <f>IF(B$2=0,"",IFERROR(TRIM(INDEX('Pegar estudiantes'!$A$1:$BZ$1001,164,B$2)&amp;""),""))</f>
        <v/>
      </c>
      <c r="C165">
        <f>IF(C$2=0,"",IFERROR(TRIM(INDEX('Pegar estudiantes'!$A$1:$BZ$1001,164,C$2)&amp;""),""))</f>
        <v/>
      </c>
      <c r="D165">
        <f>IF(D$2=0,"",IFERROR(TRIM(INDEX('Pegar estudiantes'!$A$1:$BZ$1001,164,D$2)&amp;""),""))</f>
        <v/>
      </c>
      <c r="E165">
        <f>IF(E$2=0,"",IFERROR(TRIM(INDEX('Pegar estudiantes'!$A$1:$BZ$1001,164,E$2)&amp;""),""))</f>
        <v/>
      </c>
      <c r="F165">
        <f>IF(F$2=0,"",IFERROR(TRIM(INDEX('Pegar estudiantes'!$A$1:$BZ$1001,164,F$2)&amp;""),""))</f>
        <v/>
      </c>
      <c r="G165">
        <f>IF(G$2=0,"",IFERROR(TRIM(INDEX('Pegar estudiantes'!$A$1:$BZ$1001,164,G$2)&amp;""),""))</f>
        <v/>
      </c>
      <c r="H165">
        <f>IF(H$2=0,"",IFERROR(TRIM(INDEX('Pegar estudiantes'!$A$1:$BZ$1001,164,H$2)&amp;""),""))</f>
        <v/>
      </c>
      <c r="I165">
        <f>IF(I$2=0,"",IFERROR(TRIM(INDEX('Pegar estudiantes'!$A$1:$BZ$1001,164,I$2)&amp;""),""))</f>
        <v/>
      </c>
      <c r="J165">
        <f>IF(J$2=0,"",IFERROR(TRIM(INDEX('Pegar estudiantes'!$A$1:$BZ$1001,164,J$2)&amp;""),""))</f>
        <v/>
      </c>
      <c r="K165">
        <f>IF(K$2=0,"",IFERROR(TRIM(INDEX('Pegar estudiantes'!$A$1:$BZ$1001,164,K$2)&amp;""),""))</f>
        <v/>
      </c>
      <c r="L165" s="25">
        <f>IF(A165&lt;&gt;"",1,"")</f>
        <v/>
      </c>
      <c r="M165" s="25">
        <f>IF(L165=1,IF(ISNUMBER(FIND("#"&amp;MID(A165,1,1)&amp;"#","#0#1#2#3#4#5#6#7#8#9#")),IF(ISNUMBER(FIND("#"&amp;MID(A165,2,1)&amp;"#","#0#1#2#3#4#5#6#7#8#9#")),IF(AND(VALUE(LEFT(A165,2))&gt;=1,VALUE(LEFT(A165,2))&lt;=5),VALUE(LEFT(A165,2)),""),IF(AND(VALUE(LEFT(A165,1))&gt;=1,VALUE(LEFT(A165,1))&lt;=5),VALUE(LEFT(A165,1)),"")),""),"")</f>
        <v/>
      </c>
      <c r="N165" s="25">
        <f>IF(L165=1,IF(ISNUMBER(FIND("#"&amp;MID(H165,1,1)&amp;"#","#0#1#2#3#4#5#6#7#8#9#")),IF(ISNUMBER(FIND("#"&amp;MID(H165,2,1)&amp;"#","#0#1#2#3#4#5#6#7#8#9#")),IF(AND(VALUE(LEFT(H165,2))&gt;=1,VALUE(LEFT(H165,2))&lt;=5),VALUE(LEFT(H165,2)),""),IF(AND(VALUE(LEFT(H165,1))&gt;=1,VALUE(LEFT(H165,1))&lt;=5),VALUE(LEFT(H165,1)),"")),""),"")</f>
        <v/>
      </c>
      <c r="O165" s="25">
        <f>IF(AND(L165=1,B165&lt;&gt;""),SUBSTITUTE(SUBSTITUTE(SUBSTITUTE(SUBSTITUTE(SUBSTITUTE(SUBSTITUTE(SUBSTITUTE(SUBSTITUTE(SUBSTITUTE(SUBSTITUTE(SUBSTITUTE(SUBSTITUTE(LOWER(TRIM(B165)),"á","a"),"é","e"),"í","i"),"ó","o"),"ú","u"),"ü","u"),"ñ","n"),"à","a"),"è","e"),"ì","i"),"ò","o"),"ù","u"),"")</f>
        <v/>
      </c>
      <c r="P165" s="25">
        <f>IF(AND(L165=1,C165&lt;&gt;""),SUBSTITUTE(SUBSTITUTE(SUBSTITUTE(SUBSTITUTE(SUBSTITUTE(SUBSTITUTE(SUBSTITUTE(SUBSTITUTE(SUBSTITUTE(SUBSTITUTE(SUBSTITUTE(SUBSTITUTE(LOWER(TRIM(C165)),"á","a"),"é","e"),"í","i"),"ó","o"),"ú","u"),"ü","u"),"ñ","n"),"à","a"),"è","e"),"ì","i"),"ò","o"),"ù","u"),"")</f>
        <v/>
      </c>
      <c r="Q165" s="25">
        <f>IF(AND(L165=1,E165&lt;&gt;""),SUBSTITUTE(SUBSTITUTE(SUBSTITUTE(SUBSTITUTE(SUBSTITUTE(SUBSTITUTE(SUBSTITUTE(SUBSTITUTE(SUBSTITUTE(SUBSTITUTE(SUBSTITUTE(SUBSTITUTE(LOWER(TRIM(E165)),"á","a"),"é","e"),"í","i"),"ó","o"),"ú","u"),"ü","u"),"ñ","n"),"à","a"),"è","e"),"ì","i"),"ò","o"),"ù","u"),"")</f>
        <v/>
      </c>
      <c r="R165" s="25">
        <f>IF(AND(L165=1,I165&lt;&gt;""),SUBSTITUTE(SUBSTITUTE(SUBSTITUTE(SUBSTITUTE(SUBSTITUTE(SUBSTITUTE(SUBSTITUTE(SUBSTITUTE(SUBSTITUTE(SUBSTITUTE(SUBSTITUTE(SUBSTITUTE(LOWER(TRIM(I165)),"á","a"),"é","e"),"í","i"),"ó","o"),"ú","u"),"ü","u"),"ñ","n"),"à","a"),"è","e"),"ì","i"),"ò","o"),"ù","u"),"")</f>
        <v/>
      </c>
      <c r="S165" s="25">
        <f>IF(R165="","",IF(OR(R165="si",R165="tal vez"),1,0))</f>
        <v/>
      </c>
      <c r="T165" s="25">
        <f>IF(AND(L165=1,D165&lt;&gt;""),IF(IFERROR(COUNTIFS(D$3:D165,"="&amp;SUBSTITUTE(SUBSTITUTE(SUBSTITUTE(D165,"~","~~"),"*","~*"),"?","~?"),L$3:L165,1),0)=1,MAX(T$2:T164)+1,""),"")</f>
        <v/>
      </c>
      <c r="U165" s="25">
        <f>IF(T165="","",COUNTIFS($D$3:$D$1002,"="&amp;SUBSTITUTE(SUBSTITUTE(SUBSTITUTE(D165,"~","~~"),"*","~*"),"?","~?"),$L$3:$L$1002,1)*10000-T165)</f>
        <v/>
      </c>
      <c r="V165" s="25">
        <f>IF(AND(L165=1,J165&lt;&gt;""),IF(IFERROR(COUNTIFS(J$3:J165,"="&amp;SUBSTITUTE(SUBSTITUTE(SUBSTITUTE(J165,"~","~~"),"*","~*"),"?","~?"),L$3:L165,1),0)=1,MAX(V$2:V164)+1,""),"")</f>
        <v/>
      </c>
      <c r="W165" s="25">
        <f>IF(V165="","",COUNTIFS($J$3:$J$1002,"="&amp;SUBSTITUTE(SUBSTITUTE(SUBSTITUTE(J165,"~","~~"),"*","~*"),"?","~?"),$L$3:$L$1002,1)*10000-V165)</f>
        <v/>
      </c>
    </row>
    <row r="166">
      <c r="A166">
        <f>IF(A$2=0,"",IFERROR(TRIM(INDEX('Pegar estudiantes'!$A$1:$BZ$1001,165,A$2)&amp;""),""))</f>
        <v/>
      </c>
      <c r="B166">
        <f>IF(B$2=0,"",IFERROR(TRIM(INDEX('Pegar estudiantes'!$A$1:$BZ$1001,165,B$2)&amp;""),""))</f>
        <v/>
      </c>
      <c r="C166">
        <f>IF(C$2=0,"",IFERROR(TRIM(INDEX('Pegar estudiantes'!$A$1:$BZ$1001,165,C$2)&amp;""),""))</f>
        <v/>
      </c>
      <c r="D166">
        <f>IF(D$2=0,"",IFERROR(TRIM(INDEX('Pegar estudiantes'!$A$1:$BZ$1001,165,D$2)&amp;""),""))</f>
        <v/>
      </c>
      <c r="E166">
        <f>IF(E$2=0,"",IFERROR(TRIM(INDEX('Pegar estudiantes'!$A$1:$BZ$1001,165,E$2)&amp;""),""))</f>
        <v/>
      </c>
      <c r="F166">
        <f>IF(F$2=0,"",IFERROR(TRIM(INDEX('Pegar estudiantes'!$A$1:$BZ$1001,165,F$2)&amp;""),""))</f>
        <v/>
      </c>
      <c r="G166">
        <f>IF(G$2=0,"",IFERROR(TRIM(INDEX('Pegar estudiantes'!$A$1:$BZ$1001,165,G$2)&amp;""),""))</f>
        <v/>
      </c>
      <c r="H166">
        <f>IF(H$2=0,"",IFERROR(TRIM(INDEX('Pegar estudiantes'!$A$1:$BZ$1001,165,H$2)&amp;""),""))</f>
        <v/>
      </c>
      <c r="I166">
        <f>IF(I$2=0,"",IFERROR(TRIM(INDEX('Pegar estudiantes'!$A$1:$BZ$1001,165,I$2)&amp;""),""))</f>
        <v/>
      </c>
      <c r="J166">
        <f>IF(J$2=0,"",IFERROR(TRIM(INDEX('Pegar estudiantes'!$A$1:$BZ$1001,165,J$2)&amp;""),""))</f>
        <v/>
      </c>
      <c r="K166">
        <f>IF(K$2=0,"",IFERROR(TRIM(INDEX('Pegar estudiantes'!$A$1:$BZ$1001,165,K$2)&amp;""),""))</f>
        <v/>
      </c>
      <c r="L166" s="25">
        <f>IF(A166&lt;&gt;"",1,"")</f>
        <v/>
      </c>
      <c r="M166" s="25">
        <f>IF(L166=1,IF(ISNUMBER(FIND("#"&amp;MID(A166,1,1)&amp;"#","#0#1#2#3#4#5#6#7#8#9#")),IF(ISNUMBER(FIND("#"&amp;MID(A166,2,1)&amp;"#","#0#1#2#3#4#5#6#7#8#9#")),IF(AND(VALUE(LEFT(A166,2))&gt;=1,VALUE(LEFT(A166,2))&lt;=5),VALUE(LEFT(A166,2)),""),IF(AND(VALUE(LEFT(A166,1))&gt;=1,VALUE(LEFT(A166,1))&lt;=5),VALUE(LEFT(A166,1)),"")),""),"")</f>
        <v/>
      </c>
      <c r="N166" s="25">
        <f>IF(L166=1,IF(ISNUMBER(FIND("#"&amp;MID(H166,1,1)&amp;"#","#0#1#2#3#4#5#6#7#8#9#")),IF(ISNUMBER(FIND("#"&amp;MID(H166,2,1)&amp;"#","#0#1#2#3#4#5#6#7#8#9#")),IF(AND(VALUE(LEFT(H166,2))&gt;=1,VALUE(LEFT(H166,2))&lt;=5),VALUE(LEFT(H166,2)),""),IF(AND(VALUE(LEFT(H166,1))&gt;=1,VALUE(LEFT(H166,1))&lt;=5),VALUE(LEFT(H166,1)),"")),""),"")</f>
        <v/>
      </c>
      <c r="O166" s="25">
        <f>IF(AND(L166=1,B166&lt;&gt;""),SUBSTITUTE(SUBSTITUTE(SUBSTITUTE(SUBSTITUTE(SUBSTITUTE(SUBSTITUTE(SUBSTITUTE(SUBSTITUTE(SUBSTITUTE(SUBSTITUTE(SUBSTITUTE(SUBSTITUTE(LOWER(TRIM(B166)),"á","a"),"é","e"),"í","i"),"ó","o"),"ú","u"),"ü","u"),"ñ","n"),"à","a"),"è","e"),"ì","i"),"ò","o"),"ù","u"),"")</f>
        <v/>
      </c>
      <c r="P166" s="25">
        <f>IF(AND(L166=1,C166&lt;&gt;""),SUBSTITUTE(SUBSTITUTE(SUBSTITUTE(SUBSTITUTE(SUBSTITUTE(SUBSTITUTE(SUBSTITUTE(SUBSTITUTE(SUBSTITUTE(SUBSTITUTE(SUBSTITUTE(SUBSTITUTE(LOWER(TRIM(C166)),"á","a"),"é","e"),"í","i"),"ó","o"),"ú","u"),"ü","u"),"ñ","n"),"à","a"),"è","e"),"ì","i"),"ò","o"),"ù","u"),"")</f>
        <v/>
      </c>
      <c r="Q166" s="25">
        <f>IF(AND(L166=1,E166&lt;&gt;""),SUBSTITUTE(SUBSTITUTE(SUBSTITUTE(SUBSTITUTE(SUBSTITUTE(SUBSTITUTE(SUBSTITUTE(SUBSTITUTE(SUBSTITUTE(SUBSTITUTE(SUBSTITUTE(SUBSTITUTE(LOWER(TRIM(E166)),"á","a"),"é","e"),"í","i"),"ó","o"),"ú","u"),"ü","u"),"ñ","n"),"à","a"),"è","e"),"ì","i"),"ò","o"),"ù","u"),"")</f>
        <v/>
      </c>
      <c r="R166" s="25">
        <f>IF(AND(L166=1,I166&lt;&gt;""),SUBSTITUTE(SUBSTITUTE(SUBSTITUTE(SUBSTITUTE(SUBSTITUTE(SUBSTITUTE(SUBSTITUTE(SUBSTITUTE(SUBSTITUTE(SUBSTITUTE(SUBSTITUTE(SUBSTITUTE(LOWER(TRIM(I166)),"á","a"),"é","e"),"í","i"),"ó","o"),"ú","u"),"ü","u"),"ñ","n"),"à","a"),"è","e"),"ì","i"),"ò","o"),"ù","u"),"")</f>
        <v/>
      </c>
      <c r="S166" s="25">
        <f>IF(R166="","",IF(OR(R166="si",R166="tal vez"),1,0))</f>
        <v/>
      </c>
      <c r="T166" s="25">
        <f>IF(AND(L166=1,D166&lt;&gt;""),IF(IFERROR(COUNTIFS(D$3:D166,"="&amp;SUBSTITUTE(SUBSTITUTE(SUBSTITUTE(D166,"~","~~"),"*","~*"),"?","~?"),L$3:L166,1),0)=1,MAX(T$2:T165)+1,""),"")</f>
        <v/>
      </c>
      <c r="U166" s="25">
        <f>IF(T166="","",COUNTIFS($D$3:$D$1002,"="&amp;SUBSTITUTE(SUBSTITUTE(SUBSTITUTE(D166,"~","~~"),"*","~*"),"?","~?"),$L$3:$L$1002,1)*10000-T166)</f>
        <v/>
      </c>
      <c r="V166" s="25">
        <f>IF(AND(L166=1,J166&lt;&gt;""),IF(IFERROR(COUNTIFS(J$3:J166,"="&amp;SUBSTITUTE(SUBSTITUTE(SUBSTITUTE(J166,"~","~~"),"*","~*"),"?","~?"),L$3:L166,1),0)=1,MAX(V$2:V165)+1,""),"")</f>
        <v/>
      </c>
      <c r="W166" s="25">
        <f>IF(V166="","",COUNTIFS($J$3:$J$1002,"="&amp;SUBSTITUTE(SUBSTITUTE(SUBSTITUTE(J166,"~","~~"),"*","~*"),"?","~?"),$L$3:$L$1002,1)*10000-V166)</f>
        <v/>
      </c>
    </row>
    <row r="167">
      <c r="A167">
        <f>IF(A$2=0,"",IFERROR(TRIM(INDEX('Pegar estudiantes'!$A$1:$BZ$1001,166,A$2)&amp;""),""))</f>
        <v/>
      </c>
      <c r="B167">
        <f>IF(B$2=0,"",IFERROR(TRIM(INDEX('Pegar estudiantes'!$A$1:$BZ$1001,166,B$2)&amp;""),""))</f>
        <v/>
      </c>
      <c r="C167">
        <f>IF(C$2=0,"",IFERROR(TRIM(INDEX('Pegar estudiantes'!$A$1:$BZ$1001,166,C$2)&amp;""),""))</f>
        <v/>
      </c>
      <c r="D167">
        <f>IF(D$2=0,"",IFERROR(TRIM(INDEX('Pegar estudiantes'!$A$1:$BZ$1001,166,D$2)&amp;""),""))</f>
        <v/>
      </c>
      <c r="E167">
        <f>IF(E$2=0,"",IFERROR(TRIM(INDEX('Pegar estudiantes'!$A$1:$BZ$1001,166,E$2)&amp;""),""))</f>
        <v/>
      </c>
      <c r="F167">
        <f>IF(F$2=0,"",IFERROR(TRIM(INDEX('Pegar estudiantes'!$A$1:$BZ$1001,166,F$2)&amp;""),""))</f>
        <v/>
      </c>
      <c r="G167">
        <f>IF(G$2=0,"",IFERROR(TRIM(INDEX('Pegar estudiantes'!$A$1:$BZ$1001,166,G$2)&amp;""),""))</f>
        <v/>
      </c>
      <c r="H167">
        <f>IF(H$2=0,"",IFERROR(TRIM(INDEX('Pegar estudiantes'!$A$1:$BZ$1001,166,H$2)&amp;""),""))</f>
        <v/>
      </c>
      <c r="I167">
        <f>IF(I$2=0,"",IFERROR(TRIM(INDEX('Pegar estudiantes'!$A$1:$BZ$1001,166,I$2)&amp;""),""))</f>
        <v/>
      </c>
      <c r="J167">
        <f>IF(J$2=0,"",IFERROR(TRIM(INDEX('Pegar estudiantes'!$A$1:$BZ$1001,166,J$2)&amp;""),""))</f>
        <v/>
      </c>
      <c r="K167">
        <f>IF(K$2=0,"",IFERROR(TRIM(INDEX('Pegar estudiantes'!$A$1:$BZ$1001,166,K$2)&amp;""),""))</f>
        <v/>
      </c>
      <c r="L167" s="25">
        <f>IF(A167&lt;&gt;"",1,"")</f>
        <v/>
      </c>
      <c r="M167" s="25">
        <f>IF(L167=1,IF(ISNUMBER(FIND("#"&amp;MID(A167,1,1)&amp;"#","#0#1#2#3#4#5#6#7#8#9#")),IF(ISNUMBER(FIND("#"&amp;MID(A167,2,1)&amp;"#","#0#1#2#3#4#5#6#7#8#9#")),IF(AND(VALUE(LEFT(A167,2))&gt;=1,VALUE(LEFT(A167,2))&lt;=5),VALUE(LEFT(A167,2)),""),IF(AND(VALUE(LEFT(A167,1))&gt;=1,VALUE(LEFT(A167,1))&lt;=5),VALUE(LEFT(A167,1)),"")),""),"")</f>
        <v/>
      </c>
      <c r="N167" s="25">
        <f>IF(L167=1,IF(ISNUMBER(FIND("#"&amp;MID(H167,1,1)&amp;"#","#0#1#2#3#4#5#6#7#8#9#")),IF(ISNUMBER(FIND("#"&amp;MID(H167,2,1)&amp;"#","#0#1#2#3#4#5#6#7#8#9#")),IF(AND(VALUE(LEFT(H167,2))&gt;=1,VALUE(LEFT(H167,2))&lt;=5),VALUE(LEFT(H167,2)),""),IF(AND(VALUE(LEFT(H167,1))&gt;=1,VALUE(LEFT(H167,1))&lt;=5),VALUE(LEFT(H167,1)),"")),""),"")</f>
        <v/>
      </c>
      <c r="O167" s="25">
        <f>IF(AND(L167=1,B167&lt;&gt;""),SUBSTITUTE(SUBSTITUTE(SUBSTITUTE(SUBSTITUTE(SUBSTITUTE(SUBSTITUTE(SUBSTITUTE(SUBSTITUTE(SUBSTITUTE(SUBSTITUTE(SUBSTITUTE(SUBSTITUTE(LOWER(TRIM(B167)),"á","a"),"é","e"),"í","i"),"ó","o"),"ú","u"),"ü","u"),"ñ","n"),"à","a"),"è","e"),"ì","i"),"ò","o"),"ù","u"),"")</f>
        <v/>
      </c>
      <c r="P167" s="25">
        <f>IF(AND(L167=1,C167&lt;&gt;""),SUBSTITUTE(SUBSTITUTE(SUBSTITUTE(SUBSTITUTE(SUBSTITUTE(SUBSTITUTE(SUBSTITUTE(SUBSTITUTE(SUBSTITUTE(SUBSTITUTE(SUBSTITUTE(SUBSTITUTE(LOWER(TRIM(C167)),"á","a"),"é","e"),"í","i"),"ó","o"),"ú","u"),"ü","u"),"ñ","n"),"à","a"),"è","e"),"ì","i"),"ò","o"),"ù","u"),"")</f>
        <v/>
      </c>
      <c r="Q167" s="25">
        <f>IF(AND(L167=1,E167&lt;&gt;""),SUBSTITUTE(SUBSTITUTE(SUBSTITUTE(SUBSTITUTE(SUBSTITUTE(SUBSTITUTE(SUBSTITUTE(SUBSTITUTE(SUBSTITUTE(SUBSTITUTE(SUBSTITUTE(SUBSTITUTE(LOWER(TRIM(E167)),"á","a"),"é","e"),"í","i"),"ó","o"),"ú","u"),"ü","u"),"ñ","n"),"à","a"),"è","e"),"ì","i"),"ò","o"),"ù","u"),"")</f>
        <v/>
      </c>
      <c r="R167" s="25">
        <f>IF(AND(L167=1,I167&lt;&gt;""),SUBSTITUTE(SUBSTITUTE(SUBSTITUTE(SUBSTITUTE(SUBSTITUTE(SUBSTITUTE(SUBSTITUTE(SUBSTITUTE(SUBSTITUTE(SUBSTITUTE(SUBSTITUTE(SUBSTITUTE(LOWER(TRIM(I167)),"á","a"),"é","e"),"í","i"),"ó","o"),"ú","u"),"ü","u"),"ñ","n"),"à","a"),"è","e"),"ì","i"),"ò","o"),"ù","u"),"")</f>
        <v/>
      </c>
      <c r="S167" s="25">
        <f>IF(R167="","",IF(OR(R167="si",R167="tal vez"),1,0))</f>
        <v/>
      </c>
      <c r="T167" s="25">
        <f>IF(AND(L167=1,D167&lt;&gt;""),IF(IFERROR(COUNTIFS(D$3:D167,"="&amp;SUBSTITUTE(SUBSTITUTE(SUBSTITUTE(D167,"~","~~"),"*","~*"),"?","~?"),L$3:L167,1),0)=1,MAX(T$2:T166)+1,""),"")</f>
        <v/>
      </c>
      <c r="U167" s="25">
        <f>IF(T167="","",COUNTIFS($D$3:$D$1002,"="&amp;SUBSTITUTE(SUBSTITUTE(SUBSTITUTE(D167,"~","~~"),"*","~*"),"?","~?"),$L$3:$L$1002,1)*10000-T167)</f>
        <v/>
      </c>
      <c r="V167" s="25">
        <f>IF(AND(L167=1,J167&lt;&gt;""),IF(IFERROR(COUNTIFS(J$3:J167,"="&amp;SUBSTITUTE(SUBSTITUTE(SUBSTITUTE(J167,"~","~~"),"*","~*"),"?","~?"),L$3:L167,1),0)=1,MAX(V$2:V166)+1,""),"")</f>
        <v/>
      </c>
      <c r="W167" s="25">
        <f>IF(V167="","",COUNTIFS($J$3:$J$1002,"="&amp;SUBSTITUTE(SUBSTITUTE(SUBSTITUTE(J167,"~","~~"),"*","~*"),"?","~?"),$L$3:$L$1002,1)*10000-V167)</f>
        <v/>
      </c>
    </row>
    <row r="168">
      <c r="A168">
        <f>IF(A$2=0,"",IFERROR(TRIM(INDEX('Pegar estudiantes'!$A$1:$BZ$1001,167,A$2)&amp;""),""))</f>
        <v/>
      </c>
      <c r="B168">
        <f>IF(B$2=0,"",IFERROR(TRIM(INDEX('Pegar estudiantes'!$A$1:$BZ$1001,167,B$2)&amp;""),""))</f>
        <v/>
      </c>
      <c r="C168">
        <f>IF(C$2=0,"",IFERROR(TRIM(INDEX('Pegar estudiantes'!$A$1:$BZ$1001,167,C$2)&amp;""),""))</f>
        <v/>
      </c>
      <c r="D168">
        <f>IF(D$2=0,"",IFERROR(TRIM(INDEX('Pegar estudiantes'!$A$1:$BZ$1001,167,D$2)&amp;""),""))</f>
        <v/>
      </c>
      <c r="E168">
        <f>IF(E$2=0,"",IFERROR(TRIM(INDEX('Pegar estudiantes'!$A$1:$BZ$1001,167,E$2)&amp;""),""))</f>
        <v/>
      </c>
      <c r="F168">
        <f>IF(F$2=0,"",IFERROR(TRIM(INDEX('Pegar estudiantes'!$A$1:$BZ$1001,167,F$2)&amp;""),""))</f>
        <v/>
      </c>
      <c r="G168">
        <f>IF(G$2=0,"",IFERROR(TRIM(INDEX('Pegar estudiantes'!$A$1:$BZ$1001,167,G$2)&amp;""),""))</f>
        <v/>
      </c>
      <c r="H168">
        <f>IF(H$2=0,"",IFERROR(TRIM(INDEX('Pegar estudiantes'!$A$1:$BZ$1001,167,H$2)&amp;""),""))</f>
        <v/>
      </c>
      <c r="I168">
        <f>IF(I$2=0,"",IFERROR(TRIM(INDEX('Pegar estudiantes'!$A$1:$BZ$1001,167,I$2)&amp;""),""))</f>
        <v/>
      </c>
      <c r="J168">
        <f>IF(J$2=0,"",IFERROR(TRIM(INDEX('Pegar estudiantes'!$A$1:$BZ$1001,167,J$2)&amp;""),""))</f>
        <v/>
      </c>
      <c r="K168">
        <f>IF(K$2=0,"",IFERROR(TRIM(INDEX('Pegar estudiantes'!$A$1:$BZ$1001,167,K$2)&amp;""),""))</f>
        <v/>
      </c>
      <c r="L168" s="25">
        <f>IF(A168&lt;&gt;"",1,"")</f>
        <v/>
      </c>
      <c r="M168" s="25">
        <f>IF(L168=1,IF(ISNUMBER(FIND("#"&amp;MID(A168,1,1)&amp;"#","#0#1#2#3#4#5#6#7#8#9#")),IF(ISNUMBER(FIND("#"&amp;MID(A168,2,1)&amp;"#","#0#1#2#3#4#5#6#7#8#9#")),IF(AND(VALUE(LEFT(A168,2))&gt;=1,VALUE(LEFT(A168,2))&lt;=5),VALUE(LEFT(A168,2)),""),IF(AND(VALUE(LEFT(A168,1))&gt;=1,VALUE(LEFT(A168,1))&lt;=5),VALUE(LEFT(A168,1)),"")),""),"")</f>
        <v/>
      </c>
      <c r="N168" s="25">
        <f>IF(L168=1,IF(ISNUMBER(FIND("#"&amp;MID(H168,1,1)&amp;"#","#0#1#2#3#4#5#6#7#8#9#")),IF(ISNUMBER(FIND("#"&amp;MID(H168,2,1)&amp;"#","#0#1#2#3#4#5#6#7#8#9#")),IF(AND(VALUE(LEFT(H168,2))&gt;=1,VALUE(LEFT(H168,2))&lt;=5),VALUE(LEFT(H168,2)),""),IF(AND(VALUE(LEFT(H168,1))&gt;=1,VALUE(LEFT(H168,1))&lt;=5),VALUE(LEFT(H168,1)),"")),""),"")</f>
        <v/>
      </c>
      <c r="O168" s="25">
        <f>IF(AND(L168=1,B168&lt;&gt;""),SUBSTITUTE(SUBSTITUTE(SUBSTITUTE(SUBSTITUTE(SUBSTITUTE(SUBSTITUTE(SUBSTITUTE(SUBSTITUTE(SUBSTITUTE(SUBSTITUTE(SUBSTITUTE(SUBSTITUTE(LOWER(TRIM(B168)),"á","a"),"é","e"),"í","i"),"ó","o"),"ú","u"),"ü","u"),"ñ","n"),"à","a"),"è","e"),"ì","i"),"ò","o"),"ù","u"),"")</f>
        <v/>
      </c>
      <c r="P168" s="25">
        <f>IF(AND(L168=1,C168&lt;&gt;""),SUBSTITUTE(SUBSTITUTE(SUBSTITUTE(SUBSTITUTE(SUBSTITUTE(SUBSTITUTE(SUBSTITUTE(SUBSTITUTE(SUBSTITUTE(SUBSTITUTE(SUBSTITUTE(SUBSTITUTE(LOWER(TRIM(C168)),"á","a"),"é","e"),"í","i"),"ó","o"),"ú","u"),"ü","u"),"ñ","n"),"à","a"),"è","e"),"ì","i"),"ò","o"),"ù","u"),"")</f>
        <v/>
      </c>
      <c r="Q168" s="25">
        <f>IF(AND(L168=1,E168&lt;&gt;""),SUBSTITUTE(SUBSTITUTE(SUBSTITUTE(SUBSTITUTE(SUBSTITUTE(SUBSTITUTE(SUBSTITUTE(SUBSTITUTE(SUBSTITUTE(SUBSTITUTE(SUBSTITUTE(SUBSTITUTE(LOWER(TRIM(E168)),"á","a"),"é","e"),"í","i"),"ó","o"),"ú","u"),"ü","u"),"ñ","n"),"à","a"),"è","e"),"ì","i"),"ò","o"),"ù","u"),"")</f>
        <v/>
      </c>
      <c r="R168" s="25">
        <f>IF(AND(L168=1,I168&lt;&gt;""),SUBSTITUTE(SUBSTITUTE(SUBSTITUTE(SUBSTITUTE(SUBSTITUTE(SUBSTITUTE(SUBSTITUTE(SUBSTITUTE(SUBSTITUTE(SUBSTITUTE(SUBSTITUTE(SUBSTITUTE(LOWER(TRIM(I168)),"á","a"),"é","e"),"í","i"),"ó","o"),"ú","u"),"ü","u"),"ñ","n"),"à","a"),"è","e"),"ì","i"),"ò","o"),"ù","u"),"")</f>
        <v/>
      </c>
      <c r="S168" s="25">
        <f>IF(R168="","",IF(OR(R168="si",R168="tal vez"),1,0))</f>
        <v/>
      </c>
      <c r="T168" s="25">
        <f>IF(AND(L168=1,D168&lt;&gt;""),IF(IFERROR(COUNTIFS(D$3:D168,"="&amp;SUBSTITUTE(SUBSTITUTE(SUBSTITUTE(D168,"~","~~"),"*","~*"),"?","~?"),L$3:L168,1),0)=1,MAX(T$2:T167)+1,""),"")</f>
        <v/>
      </c>
      <c r="U168" s="25">
        <f>IF(T168="","",COUNTIFS($D$3:$D$1002,"="&amp;SUBSTITUTE(SUBSTITUTE(SUBSTITUTE(D168,"~","~~"),"*","~*"),"?","~?"),$L$3:$L$1002,1)*10000-T168)</f>
        <v/>
      </c>
      <c r="V168" s="25">
        <f>IF(AND(L168=1,J168&lt;&gt;""),IF(IFERROR(COUNTIFS(J$3:J168,"="&amp;SUBSTITUTE(SUBSTITUTE(SUBSTITUTE(J168,"~","~~"),"*","~*"),"?","~?"),L$3:L168,1),0)=1,MAX(V$2:V167)+1,""),"")</f>
        <v/>
      </c>
      <c r="W168" s="25">
        <f>IF(V168="","",COUNTIFS($J$3:$J$1002,"="&amp;SUBSTITUTE(SUBSTITUTE(SUBSTITUTE(J168,"~","~~"),"*","~*"),"?","~?"),$L$3:$L$1002,1)*10000-V168)</f>
        <v/>
      </c>
    </row>
    <row r="169">
      <c r="A169">
        <f>IF(A$2=0,"",IFERROR(TRIM(INDEX('Pegar estudiantes'!$A$1:$BZ$1001,168,A$2)&amp;""),""))</f>
        <v/>
      </c>
      <c r="B169">
        <f>IF(B$2=0,"",IFERROR(TRIM(INDEX('Pegar estudiantes'!$A$1:$BZ$1001,168,B$2)&amp;""),""))</f>
        <v/>
      </c>
      <c r="C169">
        <f>IF(C$2=0,"",IFERROR(TRIM(INDEX('Pegar estudiantes'!$A$1:$BZ$1001,168,C$2)&amp;""),""))</f>
        <v/>
      </c>
      <c r="D169">
        <f>IF(D$2=0,"",IFERROR(TRIM(INDEX('Pegar estudiantes'!$A$1:$BZ$1001,168,D$2)&amp;""),""))</f>
        <v/>
      </c>
      <c r="E169">
        <f>IF(E$2=0,"",IFERROR(TRIM(INDEX('Pegar estudiantes'!$A$1:$BZ$1001,168,E$2)&amp;""),""))</f>
        <v/>
      </c>
      <c r="F169">
        <f>IF(F$2=0,"",IFERROR(TRIM(INDEX('Pegar estudiantes'!$A$1:$BZ$1001,168,F$2)&amp;""),""))</f>
        <v/>
      </c>
      <c r="G169">
        <f>IF(G$2=0,"",IFERROR(TRIM(INDEX('Pegar estudiantes'!$A$1:$BZ$1001,168,G$2)&amp;""),""))</f>
        <v/>
      </c>
      <c r="H169">
        <f>IF(H$2=0,"",IFERROR(TRIM(INDEX('Pegar estudiantes'!$A$1:$BZ$1001,168,H$2)&amp;""),""))</f>
        <v/>
      </c>
      <c r="I169">
        <f>IF(I$2=0,"",IFERROR(TRIM(INDEX('Pegar estudiantes'!$A$1:$BZ$1001,168,I$2)&amp;""),""))</f>
        <v/>
      </c>
      <c r="J169">
        <f>IF(J$2=0,"",IFERROR(TRIM(INDEX('Pegar estudiantes'!$A$1:$BZ$1001,168,J$2)&amp;""),""))</f>
        <v/>
      </c>
      <c r="K169">
        <f>IF(K$2=0,"",IFERROR(TRIM(INDEX('Pegar estudiantes'!$A$1:$BZ$1001,168,K$2)&amp;""),""))</f>
        <v/>
      </c>
      <c r="L169" s="25">
        <f>IF(A169&lt;&gt;"",1,"")</f>
        <v/>
      </c>
      <c r="M169" s="25">
        <f>IF(L169=1,IF(ISNUMBER(FIND("#"&amp;MID(A169,1,1)&amp;"#","#0#1#2#3#4#5#6#7#8#9#")),IF(ISNUMBER(FIND("#"&amp;MID(A169,2,1)&amp;"#","#0#1#2#3#4#5#6#7#8#9#")),IF(AND(VALUE(LEFT(A169,2))&gt;=1,VALUE(LEFT(A169,2))&lt;=5),VALUE(LEFT(A169,2)),""),IF(AND(VALUE(LEFT(A169,1))&gt;=1,VALUE(LEFT(A169,1))&lt;=5),VALUE(LEFT(A169,1)),"")),""),"")</f>
        <v/>
      </c>
      <c r="N169" s="25">
        <f>IF(L169=1,IF(ISNUMBER(FIND("#"&amp;MID(H169,1,1)&amp;"#","#0#1#2#3#4#5#6#7#8#9#")),IF(ISNUMBER(FIND("#"&amp;MID(H169,2,1)&amp;"#","#0#1#2#3#4#5#6#7#8#9#")),IF(AND(VALUE(LEFT(H169,2))&gt;=1,VALUE(LEFT(H169,2))&lt;=5),VALUE(LEFT(H169,2)),""),IF(AND(VALUE(LEFT(H169,1))&gt;=1,VALUE(LEFT(H169,1))&lt;=5),VALUE(LEFT(H169,1)),"")),""),"")</f>
        <v/>
      </c>
      <c r="O169" s="25">
        <f>IF(AND(L169=1,B169&lt;&gt;""),SUBSTITUTE(SUBSTITUTE(SUBSTITUTE(SUBSTITUTE(SUBSTITUTE(SUBSTITUTE(SUBSTITUTE(SUBSTITUTE(SUBSTITUTE(SUBSTITUTE(SUBSTITUTE(SUBSTITUTE(LOWER(TRIM(B169)),"á","a"),"é","e"),"í","i"),"ó","o"),"ú","u"),"ü","u"),"ñ","n"),"à","a"),"è","e"),"ì","i"),"ò","o"),"ù","u"),"")</f>
        <v/>
      </c>
      <c r="P169" s="25">
        <f>IF(AND(L169=1,C169&lt;&gt;""),SUBSTITUTE(SUBSTITUTE(SUBSTITUTE(SUBSTITUTE(SUBSTITUTE(SUBSTITUTE(SUBSTITUTE(SUBSTITUTE(SUBSTITUTE(SUBSTITUTE(SUBSTITUTE(SUBSTITUTE(LOWER(TRIM(C169)),"á","a"),"é","e"),"í","i"),"ó","o"),"ú","u"),"ü","u"),"ñ","n"),"à","a"),"è","e"),"ì","i"),"ò","o"),"ù","u"),"")</f>
        <v/>
      </c>
      <c r="Q169" s="25">
        <f>IF(AND(L169=1,E169&lt;&gt;""),SUBSTITUTE(SUBSTITUTE(SUBSTITUTE(SUBSTITUTE(SUBSTITUTE(SUBSTITUTE(SUBSTITUTE(SUBSTITUTE(SUBSTITUTE(SUBSTITUTE(SUBSTITUTE(SUBSTITUTE(LOWER(TRIM(E169)),"á","a"),"é","e"),"í","i"),"ó","o"),"ú","u"),"ü","u"),"ñ","n"),"à","a"),"è","e"),"ì","i"),"ò","o"),"ù","u"),"")</f>
        <v/>
      </c>
      <c r="R169" s="25">
        <f>IF(AND(L169=1,I169&lt;&gt;""),SUBSTITUTE(SUBSTITUTE(SUBSTITUTE(SUBSTITUTE(SUBSTITUTE(SUBSTITUTE(SUBSTITUTE(SUBSTITUTE(SUBSTITUTE(SUBSTITUTE(SUBSTITUTE(SUBSTITUTE(LOWER(TRIM(I169)),"á","a"),"é","e"),"í","i"),"ó","o"),"ú","u"),"ü","u"),"ñ","n"),"à","a"),"è","e"),"ì","i"),"ò","o"),"ù","u"),"")</f>
        <v/>
      </c>
      <c r="S169" s="25">
        <f>IF(R169="","",IF(OR(R169="si",R169="tal vez"),1,0))</f>
        <v/>
      </c>
      <c r="T169" s="25">
        <f>IF(AND(L169=1,D169&lt;&gt;""),IF(IFERROR(COUNTIFS(D$3:D169,"="&amp;SUBSTITUTE(SUBSTITUTE(SUBSTITUTE(D169,"~","~~"),"*","~*"),"?","~?"),L$3:L169,1),0)=1,MAX(T$2:T168)+1,""),"")</f>
        <v/>
      </c>
      <c r="U169" s="25">
        <f>IF(T169="","",COUNTIFS($D$3:$D$1002,"="&amp;SUBSTITUTE(SUBSTITUTE(SUBSTITUTE(D169,"~","~~"),"*","~*"),"?","~?"),$L$3:$L$1002,1)*10000-T169)</f>
        <v/>
      </c>
      <c r="V169" s="25">
        <f>IF(AND(L169=1,J169&lt;&gt;""),IF(IFERROR(COUNTIFS(J$3:J169,"="&amp;SUBSTITUTE(SUBSTITUTE(SUBSTITUTE(J169,"~","~~"),"*","~*"),"?","~?"),L$3:L169,1),0)=1,MAX(V$2:V168)+1,""),"")</f>
        <v/>
      </c>
      <c r="W169" s="25">
        <f>IF(V169="","",COUNTIFS($J$3:$J$1002,"="&amp;SUBSTITUTE(SUBSTITUTE(SUBSTITUTE(J169,"~","~~"),"*","~*"),"?","~?"),$L$3:$L$1002,1)*10000-V169)</f>
        <v/>
      </c>
    </row>
    <row r="170">
      <c r="A170">
        <f>IF(A$2=0,"",IFERROR(TRIM(INDEX('Pegar estudiantes'!$A$1:$BZ$1001,169,A$2)&amp;""),""))</f>
        <v/>
      </c>
      <c r="B170">
        <f>IF(B$2=0,"",IFERROR(TRIM(INDEX('Pegar estudiantes'!$A$1:$BZ$1001,169,B$2)&amp;""),""))</f>
        <v/>
      </c>
      <c r="C170">
        <f>IF(C$2=0,"",IFERROR(TRIM(INDEX('Pegar estudiantes'!$A$1:$BZ$1001,169,C$2)&amp;""),""))</f>
        <v/>
      </c>
      <c r="D170">
        <f>IF(D$2=0,"",IFERROR(TRIM(INDEX('Pegar estudiantes'!$A$1:$BZ$1001,169,D$2)&amp;""),""))</f>
        <v/>
      </c>
      <c r="E170">
        <f>IF(E$2=0,"",IFERROR(TRIM(INDEX('Pegar estudiantes'!$A$1:$BZ$1001,169,E$2)&amp;""),""))</f>
        <v/>
      </c>
      <c r="F170">
        <f>IF(F$2=0,"",IFERROR(TRIM(INDEX('Pegar estudiantes'!$A$1:$BZ$1001,169,F$2)&amp;""),""))</f>
        <v/>
      </c>
      <c r="G170">
        <f>IF(G$2=0,"",IFERROR(TRIM(INDEX('Pegar estudiantes'!$A$1:$BZ$1001,169,G$2)&amp;""),""))</f>
        <v/>
      </c>
      <c r="H170">
        <f>IF(H$2=0,"",IFERROR(TRIM(INDEX('Pegar estudiantes'!$A$1:$BZ$1001,169,H$2)&amp;""),""))</f>
        <v/>
      </c>
      <c r="I170">
        <f>IF(I$2=0,"",IFERROR(TRIM(INDEX('Pegar estudiantes'!$A$1:$BZ$1001,169,I$2)&amp;""),""))</f>
        <v/>
      </c>
      <c r="J170">
        <f>IF(J$2=0,"",IFERROR(TRIM(INDEX('Pegar estudiantes'!$A$1:$BZ$1001,169,J$2)&amp;""),""))</f>
        <v/>
      </c>
      <c r="K170">
        <f>IF(K$2=0,"",IFERROR(TRIM(INDEX('Pegar estudiantes'!$A$1:$BZ$1001,169,K$2)&amp;""),""))</f>
        <v/>
      </c>
      <c r="L170" s="25">
        <f>IF(A170&lt;&gt;"",1,"")</f>
        <v/>
      </c>
      <c r="M170" s="25">
        <f>IF(L170=1,IF(ISNUMBER(FIND("#"&amp;MID(A170,1,1)&amp;"#","#0#1#2#3#4#5#6#7#8#9#")),IF(ISNUMBER(FIND("#"&amp;MID(A170,2,1)&amp;"#","#0#1#2#3#4#5#6#7#8#9#")),IF(AND(VALUE(LEFT(A170,2))&gt;=1,VALUE(LEFT(A170,2))&lt;=5),VALUE(LEFT(A170,2)),""),IF(AND(VALUE(LEFT(A170,1))&gt;=1,VALUE(LEFT(A170,1))&lt;=5),VALUE(LEFT(A170,1)),"")),""),"")</f>
        <v/>
      </c>
      <c r="N170" s="25">
        <f>IF(L170=1,IF(ISNUMBER(FIND("#"&amp;MID(H170,1,1)&amp;"#","#0#1#2#3#4#5#6#7#8#9#")),IF(ISNUMBER(FIND("#"&amp;MID(H170,2,1)&amp;"#","#0#1#2#3#4#5#6#7#8#9#")),IF(AND(VALUE(LEFT(H170,2))&gt;=1,VALUE(LEFT(H170,2))&lt;=5),VALUE(LEFT(H170,2)),""),IF(AND(VALUE(LEFT(H170,1))&gt;=1,VALUE(LEFT(H170,1))&lt;=5),VALUE(LEFT(H170,1)),"")),""),"")</f>
        <v/>
      </c>
      <c r="O170" s="25">
        <f>IF(AND(L170=1,B170&lt;&gt;""),SUBSTITUTE(SUBSTITUTE(SUBSTITUTE(SUBSTITUTE(SUBSTITUTE(SUBSTITUTE(SUBSTITUTE(SUBSTITUTE(SUBSTITUTE(SUBSTITUTE(SUBSTITUTE(SUBSTITUTE(LOWER(TRIM(B170)),"á","a"),"é","e"),"í","i"),"ó","o"),"ú","u"),"ü","u"),"ñ","n"),"à","a"),"è","e"),"ì","i"),"ò","o"),"ù","u"),"")</f>
        <v/>
      </c>
      <c r="P170" s="25">
        <f>IF(AND(L170=1,C170&lt;&gt;""),SUBSTITUTE(SUBSTITUTE(SUBSTITUTE(SUBSTITUTE(SUBSTITUTE(SUBSTITUTE(SUBSTITUTE(SUBSTITUTE(SUBSTITUTE(SUBSTITUTE(SUBSTITUTE(SUBSTITUTE(LOWER(TRIM(C170)),"á","a"),"é","e"),"í","i"),"ó","o"),"ú","u"),"ü","u"),"ñ","n"),"à","a"),"è","e"),"ì","i"),"ò","o"),"ù","u"),"")</f>
        <v/>
      </c>
      <c r="Q170" s="25">
        <f>IF(AND(L170=1,E170&lt;&gt;""),SUBSTITUTE(SUBSTITUTE(SUBSTITUTE(SUBSTITUTE(SUBSTITUTE(SUBSTITUTE(SUBSTITUTE(SUBSTITUTE(SUBSTITUTE(SUBSTITUTE(SUBSTITUTE(SUBSTITUTE(LOWER(TRIM(E170)),"á","a"),"é","e"),"í","i"),"ó","o"),"ú","u"),"ü","u"),"ñ","n"),"à","a"),"è","e"),"ì","i"),"ò","o"),"ù","u"),"")</f>
        <v/>
      </c>
      <c r="R170" s="25">
        <f>IF(AND(L170=1,I170&lt;&gt;""),SUBSTITUTE(SUBSTITUTE(SUBSTITUTE(SUBSTITUTE(SUBSTITUTE(SUBSTITUTE(SUBSTITUTE(SUBSTITUTE(SUBSTITUTE(SUBSTITUTE(SUBSTITUTE(SUBSTITUTE(LOWER(TRIM(I170)),"á","a"),"é","e"),"í","i"),"ó","o"),"ú","u"),"ü","u"),"ñ","n"),"à","a"),"è","e"),"ì","i"),"ò","o"),"ù","u"),"")</f>
        <v/>
      </c>
      <c r="S170" s="25">
        <f>IF(R170="","",IF(OR(R170="si",R170="tal vez"),1,0))</f>
        <v/>
      </c>
      <c r="T170" s="25">
        <f>IF(AND(L170=1,D170&lt;&gt;""),IF(IFERROR(COUNTIFS(D$3:D170,"="&amp;SUBSTITUTE(SUBSTITUTE(SUBSTITUTE(D170,"~","~~"),"*","~*"),"?","~?"),L$3:L170,1),0)=1,MAX(T$2:T169)+1,""),"")</f>
        <v/>
      </c>
      <c r="U170" s="25">
        <f>IF(T170="","",COUNTIFS($D$3:$D$1002,"="&amp;SUBSTITUTE(SUBSTITUTE(SUBSTITUTE(D170,"~","~~"),"*","~*"),"?","~?"),$L$3:$L$1002,1)*10000-T170)</f>
        <v/>
      </c>
      <c r="V170" s="25">
        <f>IF(AND(L170=1,J170&lt;&gt;""),IF(IFERROR(COUNTIFS(J$3:J170,"="&amp;SUBSTITUTE(SUBSTITUTE(SUBSTITUTE(J170,"~","~~"),"*","~*"),"?","~?"),L$3:L170,1),0)=1,MAX(V$2:V169)+1,""),"")</f>
        <v/>
      </c>
      <c r="W170" s="25">
        <f>IF(V170="","",COUNTIFS($J$3:$J$1002,"="&amp;SUBSTITUTE(SUBSTITUTE(SUBSTITUTE(J170,"~","~~"),"*","~*"),"?","~?"),$L$3:$L$1002,1)*10000-V170)</f>
        <v/>
      </c>
    </row>
    <row r="171">
      <c r="A171">
        <f>IF(A$2=0,"",IFERROR(TRIM(INDEX('Pegar estudiantes'!$A$1:$BZ$1001,170,A$2)&amp;""),""))</f>
        <v/>
      </c>
      <c r="B171">
        <f>IF(B$2=0,"",IFERROR(TRIM(INDEX('Pegar estudiantes'!$A$1:$BZ$1001,170,B$2)&amp;""),""))</f>
        <v/>
      </c>
      <c r="C171">
        <f>IF(C$2=0,"",IFERROR(TRIM(INDEX('Pegar estudiantes'!$A$1:$BZ$1001,170,C$2)&amp;""),""))</f>
        <v/>
      </c>
      <c r="D171">
        <f>IF(D$2=0,"",IFERROR(TRIM(INDEX('Pegar estudiantes'!$A$1:$BZ$1001,170,D$2)&amp;""),""))</f>
        <v/>
      </c>
      <c r="E171">
        <f>IF(E$2=0,"",IFERROR(TRIM(INDEX('Pegar estudiantes'!$A$1:$BZ$1001,170,E$2)&amp;""),""))</f>
        <v/>
      </c>
      <c r="F171">
        <f>IF(F$2=0,"",IFERROR(TRIM(INDEX('Pegar estudiantes'!$A$1:$BZ$1001,170,F$2)&amp;""),""))</f>
        <v/>
      </c>
      <c r="G171">
        <f>IF(G$2=0,"",IFERROR(TRIM(INDEX('Pegar estudiantes'!$A$1:$BZ$1001,170,G$2)&amp;""),""))</f>
        <v/>
      </c>
      <c r="H171">
        <f>IF(H$2=0,"",IFERROR(TRIM(INDEX('Pegar estudiantes'!$A$1:$BZ$1001,170,H$2)&amp;""),""))</f>
        <v/>
      </c>
      <c r="I171">
        <f>IF(I$2=0,"",IFERROR(TRIM(INDEX('Pegar estudiantes'!$A$1:$BZ$1001,170,I$2)&amp;""),""))</f>
        <v/>
      </c>
      <c r="J171">
        <f>IF(J$2=0,"",IFERROR(TRIM(INDEX('Pegar estudiantes'!$A$1:$BZ$1001,170,J$2)&amp;""),""))</f>
        <v/>
      </c>
      <c r="K171">
        <f>IF(K$2=0,"",IFERROR(TRIM(INDEX('Pegar estudiantes'!$A$1:$BZ$1001,170,K$2)&amp;""),""))</f>
        <v/>
      </c>
      <c r="L171" s="25">
        <f>IF(A171&lt;&gt;"",1,"")</f>
        <v/>
      </c>
      <c r="M171" s="25">
        <f>IF(L171=1,IF(ISNUMBER(FIND("#"&amp;MID(A171,1,1)&amp;"#","#0#1#2#3#4#5#6#7#8#9#")),IF(ISNUMBER(FIND("#"&amp;MID(A171,2,1)&amp;"#","#0#1#2#3#4#5#6#7#8#9#")),IF(AND(VALUE(LEFT(A171,2))&gt;=1,VALUE(LEFT(A171,2))&lt;=5),VALUE(LEFT(A171,2)),""),IF(AND(VALUE(LEFT(A171,1))&gt;=1,VALUE(LEFT(A171,1))&lt;=5),VALUE(LEFT(A171,1)),"")),""),"")</f>
        <v/>
      </c>
      <c r="N171" s="25">
        <f>IF(L171=1,IF(ISNUMBER(FIND("#"&amp;MID(H171,1,1)&amp;"#","#0#1#2#3#4#5#6#7#8#9#")),IF(ISNUMBER(FIND("#"&amp;MID(H171,2,1)&amp;"#","#0#1#2#3#4#5#6#7#8#9#")),IF(AND(VALUE(LEFT(H171,2))&gt;=1,VALUE(LEFT(H171,2))&lt;=5),VALUE(LEFT(H171,2)),""),IF(AND(VALUE(LEFT(H171,1))&gt;=1,VALUE(LEFT(H171,1))&lt;=5),VALUE(LEFT(H171,1)),"")),""),"")</f>
        <v/>
      </c>
      <c r="O171" s="25">
        <f>IF(AND(L171=1,B171&lt;&gt;""),SUBSTITUTE(SUBSTITUTE(SUBSTITUTE(SUBSTITUTE(SUBSTITUTE(SUBSTITUTE(SUBSTITUTE(SUBSTITUTE(SUBSTITUTE(SUBSTITUTE(SUBSTITUTE(SUBSTITUTE(LOWER(TRIM(B171)),"á","a"),"é","e"),"í","i"),"ó","o"),"ú","u"),"ü","u"),"ñ","n"),"à","a"),"è","e"),"ì","i"),"ò","o"),"ù","u"),"")</f>
        <v/>
      </c>
      <c r="P171" s="25">
        <f>IF(AND(L171=1,C171&lt;&gt;""),SUBSTITUTE(SUBSTITUTE(SUBSTITUTE(SUBSTITUTE(SUBSTITUTE(SUBSTITUTE(SUBSTITUTE(SUBSTITUTE(SUBSTITUTE(SUBSTITUTE(SUBSTITUTE(SUBSTITUTE(LOWER(TRIM(C171)),"á","a"),"é","e"),"í","i"),"ó","o"),"ú","u"),"ü","u"),"ñ","n"),"à","a"),"è","e"),"ì","i"),"ò","o"),"ù","u"),"")</f>
        <v/>
      </c>
      <c r="Q171" s="25">
        <f>IF(AND(L171=1,E171&lt;&gt;""),SUBSTITUTE(SUBSTITUTE(SUBSTITUTE(SUBSTITUTE(SUBSTITUTE(SUBSTITUTE(SUBSTITUTE(SUBSTITUTE(SUBSTITUTE(SUBSTITUTE(SUBSTITUTE(SUBSTITUTE(LOWER(TRIM(E171)),"á","a"),"é","e"),"í","i"),"ó","o"),"ú","u"),"ü","u"),"ñ","n"),"à","a"),"è","e"),"ì","i"),"ò","o"),"ù","u"),"")</f>
        <v/>
      </c>
      <c r="R171" s="25">
        <f>IF(AND(L171=1,I171&lt;&gt;""),SUBSTITUTE(SUBSTITUTE(SUBSTITUTE(SUBSTITUTE(SUBSTITUTE(SUBSTITUTE(SUBSTITUTE(SUBSTITUTE(SUBSTITUTE(SUBSTITUTE(SUBSTITUTE(SUBSTITUTE(LOWER(TRIM(I171)),"á","a"),"é","e"),"í","i"),"ó","o"),"ú","u"),"ü","u"),"ñ","n"),"à","a"),"è","e"),"ì","i"),"ò","o"),"ù","u"),"")</f>
        <v/>
      </c>
      <c r="S171" s="25">
        <f>IF(R171="","",IF(OR(R171="si",R171="tal vez"),1,0))</f>
        <v/>
      </c>
      <c r="T171" s="25">
        <f>IF(AND(L171=1,D171&lt;&gt;""),IF(IFERROR(COUNTIFS(D$3:D171,"="&amp;SUBSTITUTE(SUBSTITUTE(SUBSTITUTE(D171,"~","~~"),"*","~*"),"?","~?"),L$3:L171,1),0)=1,MAX(T$2:T170)+1,""),"")</f>
        <v/>
      </c>
      <c r="U171" s="25">
        <f>IF(T171="","",COUNTIFS($D$3:$D$1002,"="&amp;SUBSTITUTE(SUBSTITUTE(SUBSTITUTE(D171,"~","~~"),"*","~*"),"?","~?"),$L$3:$L$1002,1)*10000-T171)</f>
        <v/>
      </c>
      <c r="V171" s="25">
        <f>IF(AND(L171=1,J171&lt;&gt;""),IF(IFERROR(COUNTIFS(J$3:J171,"="&amp;SUBSTITUTE(SUBSTITUTE(SUBSTITUTE(J171,"~","~~"),"*","~*"),"?","~?"),L$3:L171,1),0)=1,MAX(V$2:V170)+1,""),"")</f>
        <v/>
      </c>
      <c r="W171" s="25">
        <f>IF(V171="","",COUNTIFS($J$3:$J$1002,"="&amp;SUBSTITUTE(SUBSTITUTE(SUBSTITUTE(J171,"~","~~"),"*","~*"),"?","~?"),$L$3:$L$1002,1)*10000-V171)</f>
        <v/>
      </c>
    </row>
    <row r="172">
      <c r="A172">
        <f>IF(A$2=0,"",IFERROR(TRIM(INDEX('Pegar estudiantes'!$A$1:$BZ$1001,171,A$2)&amp;""),""))</f>
        <v/>
      </c>
      <c r="B172">
        <f>IF(B$2=0,"",IFERROR(TRIM(INDEX('Pegar estudiantes'!$A$1:$BZ$1001,171,B$2)&amp;""),""))</f>
        <v/>
      </c>
      <c r="C172">
        <f>IF(C$2=0,"",IFERROR(TRIM(INDEX('Pegar estudiantes'!$A$1:$BZ$1001,171,C$2)&amp;""),""))</f>
        <v/>
      </c>
      <c r="D172">
        <f>IF(D$2=0,"",IFERROR(TRIM(INDEX('Pegar estudiantes'!$A$1:$BZ$1001,171,D$2)&amp;""),""))</f>
        <v/>
      </c>
      <c r="E172">
        <f>IF(E$2=0,"",IFERROR(TRIM(INDEX('Pegar estudiantes'!$A$1:$BZ$1001,171,E$2)&amp;""),""))</f>
        <v/>
      </c>
      <c r="F172">
        <f>IF(F$2=0,"",IFERROR(TRIM(INDEX('Pegar estudiantes'!$A$1:$BZ$1001,171,F$2)&amp;""),""))</f>
        <v/>
      </c>
      <c r="G172">
        <f>IF(G$2=0,"",IFERROR(TRIM(INDEX('Pegar estudiantes'!$A$1:$BZ$1001,171,G$2)&amp;""),""))</f>
        <v/>
      </c>
      <c r="H172">
        <f>IF(H$2=0,"",IFERROR(TRIM(INDEX('Pegar estudiantes'!$A$1:$BZ$1001,171,H$2)&amp;""),""))</f>
        <v/>
      </c>
      <c r="I172">
        <f>IF(I$2=0,"",IFERROR(TRIM(INDEX('Pegar estudiantes'!$A$1:$BZ$1001,171,I$2)&amp;""),""))</f>
        <v/>
      </c>
      <c r="J172">
        <f>IF(J$2=0,"",IFERROR(TRIM(INDEX('Pegar estudiantes'!$A$1:$BZ$1001,171,J$2)&amp;""),""))</f>
        <v/>
      </c>
      <c r="K172">
        <f>IF(K$2=0,"",IFERROR(TRIM(INDEX('Pegar estudiantes'!$A$1:$BZ$1001,171,K$2)&amp;""),""))</f>
        <v/>
      </c>
      <c r="L172" s="25">
        <f>IF(A172&lt;&gt;"",1,"")</f>
        <v/>
      </c>
      <c r="M172" s="25">
        <f>IF(L172=1,IF(ISNUMBER(FIND("#"&amp;MID(A172,1,1)&amp;"#","#0#1#2#3#4#5#6#7#8#9#")),IF(ISNUMBER(FIND("#"&amp;MID(A172,2,1)&amp;"#","#0#1#2#3#4#5#6#7#8#9#")),IF(AND(VALUE(LEFT(A172,2))&gt;=1,VALUE(LEFT(A172,2))&lt;=5),VALUE(LEFT(A172,2)),""),IF(AND(VALUE(LEFT(A172,1))&gt;=1,VALUE(LEFT(A172,1))&lt;=5),VALUE(LEFT(A172,1)),"")),""),"")</f>
        <v/>
      </c>
      <c r="N172" s="25">
        <f>IF(L172=1,IF(ISNUMBER(FIND("#"&amp;MID(H172,1,1)&amp;"#","#0#1#2#3#4#5#6#7#8#9#")),IF(ISNUMBER(FIND("#"&amp;MID(H172,2,1)&amp;"#","#0#1#2#3#4#5#6#7#8#9#")),IF(AND(VALUE(LEFT(H172,2))&gt;=1,VALUE(LEFT(H172,2))&lt;=5),VALUE(LEFT(H172,2)),""),IF(AND(VALUE(LEFT(H172,1))&gt;=1,VALUE(LEFT(H172,1))&lt;=5),VALUE(LEFT(H172,1)),"")),""),"")</f>
        <v/>
      </c>
      <c r="O172" s="25">
        <f>IF(AND(L172=1,B172&lt;&gt;""),SUBSTITUTE(SUBSTITUTE(SUBSTITUTE(SUBSTITUTE(SUBSTITUTE(SUBSTITUTE(SUBSTITUTE(SUBSTITUTE(SUBSTITUTE(SUBSTITUTE(SUBSTITUTE(SUBSTITUTE(LOWER(TRIM(B172)),"á","a"),"é","e"),"í","i"),"ó","o"),"ú","u"),"ü","u"),"ñ","n"),"à","a"),"è","e"),"ì","i"),"ò","o"),"ù","u"),"")</f>
        <v/>
      </c>
      <c r="P172" s="25">
        <f>IF(AND(L172=1,C172&lt;&gt;""),SUBSTITUTE(SUBSTITUTE(SUBSTITUTE(SUBSTITUTE(SUBSTITUTE(SUBSTITUTE(SUBSTITUTE(SUBSTITUTE(SUBSTITUTE(SUBSTITUTE(SUBSTITUTE(SUBSTITUTE(LOWER(TRIM(C172)),"á","a"),"é","e"),"í","i"),"ó","o"),"ú","u"),"ü","u"),"ñ","n"),"à","a"),"è","e"),"ì","i"),"ò","o"),"ù","u"),"")</f>
        <v/>
      </c>
      <c r="Q172" s="25">
        <f>IF(AND(L172=1,E172&lt;&gt;""),SUBSTITUTE(SUBSTITUTE(SUBSTITUTE(SUBSTITUTE(SUBSTITUTE(SUBSTITUTE(SUBSTITUTE(SUBSTITUTE(SUBSTITUTE(SUBSTITUTE(SUBSTITUTE(SUBSTITUTE(LOWER(TRIM(E172)),"á","a"),"é","e"),"í","i"),"ó","o"),"ú","u"),"ü","u"),"ñ","n"),"à","a"),"è","e"),"ì","i"),"ò","o"),"ù","u"),"")</f>
        <v/>
      </c>
      <c r="R172" s="25">
        <f>IF(AND(L172=1,I172&lt;&gt;""),SUBSTITUTE(SUBSTITUTE(SUBSTITUTE(SUBSTITUTE(SUBSTITUTE(SUBSTITUTE(SUBSTITUTE(SUBSTITUTE(SUBSTITUTE(SUBSTITUTE(SUBSTITUTE(SUBSTITUTE(LOWER(TRIM(I172)),"á","a"),"é","e"),"í","i"),"ó","o"),"ú","u"),"ü","u"),"ñ","n"),"à","a"),"è","e"),"ì","i"),"ò","o"),"ù","u"),"")</f>
        <v/>
      </c>
      <c r="S172" s="25">
        <f>IF(R172="","",IF(OR(R172="si",R172="tal vez"),1,0))</f>
        <v/>
      </c>
      <c r="T172" s="25">
        <f>IF(AND(L172=1,D172&lt;&gt;""),IF(IFERROR(COUNTIFS(D$3:D172,"="&amp;SUBSTITUTE(SUBSTITUTE(SUBSTITUTE(D172,"~","~~"),"*","~*"),"?","~?"),L$3:L172,1),0)=1,MAX(T$2:T171)+1,""),"")</f>
        <v/>
      </c>
      <c r="U172" s="25">
        <f>IF(T172="","",COUNTIFS($D$3:$D$1002,"="&amp;SUBSTITUTE(SUBSTITUTE(SUBSTITUTE(D172,"~","~~"),"*","~*"),"?","~?"),$L$3:$L$1002,1)*10000-T172)</f>
        <v/>
      </c>
      <c r="V172" s="25">
        <f>IF(AND(L172=1,J172&lt;&gt;""),IF(IFERROR(COUNTIFS(J$3:J172,"="&amp;SUBSTITUTE(SUBSTITUTE(SUBSTITUTE(J172,"~","~~"),"*","~*"),"?","~?"),L$3:L172,1),0)=1,MAX(V$2:V171)+1,""),"")</f>
        <v/>
      </c>
      <c r="W172" s="25">
        <f>IF(V172="","",COUNTIFS($J$3:$J$1002,"="&amp;SUBSTITUTE(SUBSTITUTE(SUBSTITUTE(J172,"~","~~"),"*","~*"),"?","~?"),$L$3:$L$1002,1)*10000-V172)</f>
        <v/>
      </c>
    </row>
    <row r="173">
      <c r="A173">
        <f>IF(A$2=0,"",IFERROR(TRIM(INDEX('Pegar estudiantes'!$A$1:$BZ$1001,172,A$2)&amp;""),""))</f>
        <v/>
      </c>
      <c r="B173">
        <f>IF(B$2=0,"",IFERROR(TRIM(INDEX('Pegar estudiantes'!$A$1:$BZ$1001,172,B$2)&amp;""),""))</f>
        <v/>
      </c>
      <c r="C173">
        <f>IF(C$2=0,"",IFERROR(TRIM(INDEX('Pegar estudiantes'!$A$1:$BZ$1001,172,C$2)&amp;""),""))</f>
        <v/>
      </c>
      <c r="D173">
        <f>IF(D$2=0,"",IFERROR(TRIM(INDEX('Pegar estudiantes'!$A$1:$BZ$1001,172,D$2)&amp;""),""))</f>
        <v/>
      </c>
      <c r="E173">
        <f>IF(E$2=0,"",IFERROR(TRIM(INDEX('Pegar estudiantes'!$A$1:$BZ$1001,172,E$2)&amp;""),""))</f>
        <v/>
      </c>
      <c r="F173">
        <f>IF(F$2=0,"",IFERROR(TRIM(INDEX('Pegar estudiantes'!$A$1:$BZ$1001,172,F$2)&amp;""),""))</f>
        <v/>
      </c>
      <c r="G173">
        <f>IF(G$2=0,"",IFERROR(TRIM(INDEX('Pegar estudiantes'!$A$1:$BZ$1001,172,G$2)&amp;""),""))</f>
        <v/>
      </c>
      <c r="H173">
        <f>IF(H$2=0,"",IFERROR(TRIM(INDEX('Pegar estudiantes'!$A$1:$BZ$1001,172,H$2)&amp;""),""))</f>
        <v/>
      </c>
      <c r="I173">
        <f>IF(I$2=0,"",IFERROR(TRIM(INDEX('Pegar estudiantes'!$A$1:$BZ$1001,172,I$2)&amp;""),""))</f>
        <v/>
      </c>
      <c r="J173">
        <f>IF(J$2=0,"",IFERROR(TRIM(INDEX('Pegar estudiantes'!$A$1:$BZ$1001,172,J$2)&amp;""),""))</f>
        <v/>
      </c>
      <c r="K173">
        <f>IF(K$2=0,"",IFERROR(TRIM(INDEX('Pegar estudiantes'!$A$1:$BZ$1001,172,K$2)&amp;""),""))</f>
        <v/>
      </c>
      <c r="L173" s="25">
        <f>IF(A173&lt;&gt;"",1,"")</f>
        <v/>
      </c>
      <c r="M173" s="25">
        <f>IF(L173=1,IF(ISNUMBER(FIND("#"&amp;MID(A173,1,1)&amp;"#","#0#1#2#3#4#5#6#7#8#9#")),IF(ISNUMBER(FIND("#"&amp;MID(A173,2,1)&amp;"#","#0#1#2#3#4#5#6#7#8#9#")),IF(AND(VALUE(LEFT(A173,2))&gt;=1,VALUE(LEFT(A173,2))&lt;=5),VALUE(LEFT(A173,2)),""),IF(AND(VALUE(LEFT(A173,1))&gt;=1,VALUE(LEFT(A173,1))&lt;=5),VALUE(LEFT(A173,1)),"")),""),"")</f>
        <v/>
      </c>
      <c r="N173" s="25">
        <f>IF(L173=1,IF(ISNUMBER(FIND("#"&amp;MID(H173,1,1)&amp;"#","#0#1#2#3#4#5#6#7#8#9#")),IF(ISNUMBER(FIND("#"&amp;MID(H173,2,1)&amp;"#","#0#1#2#3#4#5#6#7#8#9#")),IF(AND(VALUE(LEFT(H173,2))&gt;=1,VALUE(LEFT(H173,2))&lt;=5),VALUE(LEFT(H173,2)),""),IF(AND(VALUE(LEFT(H173,1))&gt;=1,VALUE(LEFT(H173,1))&lt;=5),VALUE(LEFT(H173,1)),"")),""),"")</f>
        <v/>
      </c>
      <c r="O173" s="25">
        <f>IF(AND(L173=1,B173&lt;&gt;""),SUBSTITUTE(SUBSTITUTE(SUBSTITUTE(SUBSTITUTE(SUBSTITUTE(SUBSTITUTE(SUBSTITUTE(SUBSTITUTE(SUBSTITUTE(SUBSTITUTE(SUBSTITUTE(SUBSTITUTE(LOWER(TRIM(B173)),"á","a"),"é","e"),"í","i"),"ó","o"),"ú","u"),"ü","u"),"ñ","n"),"à","a"),"è","e"),"ì","i"),"ò","o"),"ù","u"),"")</f>
        <v/>
      </c>
      <c r="P173" s="25">
        <f>IF(AND(L173=1,C173&lt;&gt;""),SUBSTITUTE(SUBSTITUTE(SUBSTITUTE(SUBSTITUTE(SUBSTITUTE(SUBSTITUTE(SUBSTITUTE(SUBSTITUTE(SUBSTITUTE(SUBSTITUTE(SUBSTITUTE(SUBSTITUTE(LOWER(TRIM(C173)),"á","a"),"é","e"),"í","i"),"ó","o"),"ú","u"),"ü","u"),"ñ","n"),"à","a"),"è","e"),"ì","i"),"ò","o"),"ù","u"),"")</f>
        <v/>
      </c>
      <c r="Q173" s="25">
        <f>IF(AND(L173=1,E173&lt;&gt;""),SUBSTITUTE(SUBSTITUTE(SUBSTITUTE(SUBSTITUTE(SUBSTITUTE(SUBSTITUTE(SUBSTITUTE(SUBSTITUTE(SUBSTITUTE(SUBSTITUTE(SUBSTITUTE(SUBSTITUTE(LOWER(TRIM(E173)),"á","a"),"é","e"),"í","i"),"ó","o"),"ú","u"),"ü","u"),"ñ","n"),"à","a"),"è","e"),"ì","i"),"ò","o"),"ù","u"),"")</f>
        <v/>
      </c>
      <c r="R173" s="25">
        <f>IF(AND(L173=1,I173&lt;&gt;""),SUBSTITUTE(SUBSTITUTE(SUBSTITUTE(SUBSTITUTE(SUBSTITUTE(SUBSTITUTE(SUBSTITUTE(SUBSTITUTE(SUBSTITUTE(SUBSTITUTE(SUBSTITUTE(SUBSTITUTE(LOWER(TRIM(I173)),"á","a"),"é","e"),"í","i"),"ó","o"),"ú","u"),"ü","u"),"ñ","n"),"à","a"),"è","e"),"ì","i"),"ò","o"),"ù","u"),"")</f>
        <v/>
      </c>
      <c r="S173" s="25">
        <f>IF(R173="","",IF(OR(R173="si",R173="tal vez"),1,0))</f>
        <v/>
      </c>
      <c r="T173" s="25">
        <f>IF(AND(L173=1,D173&lt;&gt;""),IF(IFERROR(COUNTIFS(D$3:D173,"="&amp;SUBSTITUTE(SUBSTITUTE(SUBSTITUTE(D173,"~","~~"),"*","~*"),"?","~?"),L$3:L173,1),0)=1,MAX(T$2:T172)+1,""),"")</f>
        <v/>
      </c>
      <c r="U173" s="25">
        <f>IF(T173="","",COUNTIFS($D$3:$D$1002,"="&amp;SUBSTITUTE(SUBSTITUTE(SUBSTITUTE(D173,"~","~~"),"*","~*"),"?","~?"),$L$3:$L$1002,1)*10000-T173)</f>
        <v/>
      </c>
      <c r="V173" s="25">
        <f>IF(AND(L173=1,J173&lt;&gt;""),IF(IFERROR(COUNTIFS(J$3:J173,"="&amp;SUBSTITUTE(SUBSTITUTE(SUBSTITUTE(J173,"~","~~"),"*","~*"),"?","~?"),L$3:L173,1),0)=1,MAX(V$2:V172)+1,""),"")</f>
        <v/>
      </c>
      <c r="W173" s="25">
        <f>IF(V173="","",COUNTIFS($J$3:$J$1002,"="&amp;SUBSTITUTE(SUBSTITUTE(SUBSTITUTE(J173,"~","~~"),"*","~*"),"?","~?"),$L$3:$L$1002,1)*10000-V173)</f>
        <v/>
      </c>
    </row>
    <row r="174">
      <c r="A174">
        <f>IF(A$2=0,"",IFERROR(TRIM(INDEX('Pegar estudiantes'!$A$1:$BZ$1001,173,A$2)&amp;""),""))</f>
        <v/>
      </c>
      <c r="B174">
        <f>IF(B$2=0,"",IFERROR(TRIM(INDEX('Pegar estudiantes'!$A$1:$BZ$1001,173,B$2)&amp;""),""))</f>
        <v/>
      </c>
      <c r="C174">
        <f>IF(C$2=0,"",IFERROR(TRIM(INDEX('Pegar estudiantes'!$A$1:$BZ$1001,173,C$2)&amp;""),""))</f>
        <v/>
      </c>
      <c r="D174">
        <f>IF(D$2=0,"",IFERROR(TRIM(INDEX('Pegar estudiantes'!$A$1:$BZ$1001,173,D$2)&amp;""),""))</f>
        <v/>
      </c>
      <c r="E174">
        <f>IF(E$2=0,"",IFERROR(TRIM(INDEX('Pegar estudiantes'!$A$1:$BZ$1001,173,E$2)&amp;""),""))</f>
        <v/>
      </c>
      <c r="F174">
        <f>IF(F$2=0,"",IFERROR(TRIM(INDEX('Pegar estudiantes'!$A$1:$BZ$1001,173,F$2)&amp;""),""))</f>
        <v/>
      </c>
      <c r="G174">
        <f>IF(G$2=0,"",IFERROR(TRIM(INDEX('Pegar estudiantes'!$A$1:$BZ$1001,173,G$2)&amp;""),""))</f>
        <v/>
      </c>
      <c r="H174">
        <f>IF(H$2=0,"",IFERROR(TRIM(INDEX('Pegar estudiantes'!$A$1:$BZ$1001,173,H$2)&amp;""),""))</f>
        <v/>
      </c>
      <c r="I174">
        <f>IF(I$2=0,"",IFERROR(TRIM(INDEX('Pegar estudiantes'!$A$1:$BZ$1001,173,I$2)&amp;""),""))</f>
        <v/>
      </c>
      <c r="J174">
        <f>IF(J$2=0,"",IFERROR(TRIM(INDEX('Pegar estudiantes'!$A$1:$BZ$1001,173,J$2)&amp;""),""))</f>
        <v/>
      </c>
      <c r="K174">
        <f>IF(K$2=0,"",IFERROR(TRIM(INDEX('Pegar estudiantes'!$A$1:$BZ$1001,173,K$2)&amp;""),""))</f>
        <v/>
      </c>
      <c r="L174" s="25">
        <f>IF(A174&lt;&gt;"",1,"")</f>
        <v/>
      </c>
      <c r="M174" s="25">
        <f>IF(L174=1,IF(ISNUMBER(FIND("#"&amp;MID(A174,1,1)&amp;"#","#0#1#2#3#4#5#6#7#8#9#")),IF(ISNUMBER(FIND("#"&amp;MID(A174,2,1)&amp;"#","#0#1#2#3#4#5#6#7#8#9#")),IF(AND(VALUE(LEFT(A174,2))&gt;=1,VALUE(LEFT(A174,2))&lt;=5),VALUE(LEFT(A174,2)),""),IF(AND(VALUE(LEFT(A174,1))&gt;=1,VALUE(LEFT(A174,1))&lt;=5),VALUE(LEFT(A174,1)),"")),""),"")</f>
        <v/>
      </c>
      <c r="N174" s="25">
        <f>IF(L174=1,IF(ISNUMBER(FIND("#"&amp;MID(H174,1,1)&amp;"#","#0#1#2#3#4#5#6#7#8#9#")),IF(ISNUMBER(FIND("#"&amp;MID(H174,2,1)&amp;"#","#0#1#2#3#4#5#6#7#8#9#")),IF(AND(VALUE(LEFT(H174,2))&gt;=1,VALUE(LEFT(H174,2))&lt;=5),VALUE(LEFT(H174,2)),""),IF(AND(VALUE(LEFT(H174,1))&gt;=1,VALUE(LEFT(H174,1))&lt;=5),VALUE(LEFT(H174,1)),"")),""),"")</f>
        <v/>
      </c>
      <c r="O174" s="25">
        <f>IF(AND(L174=1,B174&lt;&gt;""),SUBSTITUTE(SUBSTITUTE(SUBSTITUTE(SUBSTITUTE(SUBSTITUTE(SUBSTITUTE(SUBSTITUTE(SUBSTITUTE(SUBSTITUTE(SUBSTITUTE(SUBSTITUTE(SUBSTITUTE(LOWER(TRIM(B174)),"á","a"),"é","e"),"í","i"),"ó","o"),"ú","u"),"ü","u"),"ñ","n"),"à","a"),"è","e"),"ì","i"),"ò","o"),"ù","u"),"")</f>
        <v/>
      </c>
      <c r="P174" s="25">
        <f>IF(AND(L174=1,C174&lt;&gt;""),SUBSTITUTE(SUBSTITUTE(SUBSTITUTE(SUBSTITUTE(SUBSTITUTE(SUBSTITUTE(SUBSTITUTE(SUBSTITUTE(SUBSTITUTE(SUBSTITUTE(SUBSTITUTE(SUBSTITUTE(LOWER(TRIM(C174)),"á","a"),"é","e"),"í","i"),"ó","o"),"ú","u"),"ü","u"),"ñ","n"),"à","a"),"è","e"),"ì","i"),"ò","o"),"ù","u"),"")</f>
        <v/>
      </c>
      <c r="Q174" s="25">
        <f>IF(AND(L174=1,E174&lt;&gt;""),SUBSTITUTE(SUBSTITUTE(SUBSTITUTE(SUBSTITUTE(SUBSTITUTE(SUBSTITUTE(SUBSTITUTE(SUBSTITUTE(SUBSTITUTE(SUBSTITUTE(SUBSTITUTE(SUBSTITUTE(LOWER(TRIM(E174)),"á","a"),"é","e"),"í","i"),"ó","o"),"ú","u"),"ü","u"),"ñ","n"),"à","a"),"è","e"),"ì","i"),"ò","o"),"ù","u"),"")</f>
        <v/>
      </c>
      <c r="R174" s="25">
        <f>IF(AND(L174=1,I174&lt;&gt;""),SUBSTITUTE(SUBSTITUTE(SUBSTITUTE(SUBSTITUTE(SUBSTITUTE(SUBSTITUTE(SUBSTITUTE(SUBSTITUTE(SUBSTITUTE(SUBSTITUTE(SUBSTITUTE(SUBSTITUTE(LOWER(TRIM(I174)),"á","a"),"é","e"),"í","i"),"ó","o"),"ú","u"),"ü","u"),"ñ","n"),"à","a"),"è","e"),"ì","i"),"ò","o"),"ù","u"),"")</f>
        <v/>
      </c>
      <c r="S174" s="25">
        <f>IF(R174="","",IF(OR(R174="si",R174="tal vez"),1,0))</f>
        <v/>
      </c>
      <c r="T174" s="25">
        <f>IF(AND(L174=1,D174&lt;&gt;""),IF(IFERROR(COUNTIFS(D$3:D174,"="&amp;SUBSTITUTE(SUBSTITUTE(SUBSTITUTE(D174,"~","~~"),"*","~*"),"?","~?"),L$3:L174,1),0)=1,MAX(T$2:T173)+1,""),"")</f>
        <v/>
      </c>
      <c r="U174" s="25">
        <f>IF(T174="","",COUNTIFS($D$3:$D$1002,"="&amp;SUBSTITUTE(SUBSTITUTE(SUBSTITUTE(D174,"~","~~"),"*","~*"),"?","~?"),$L$3:$L$1002,1)*10000-T174)</f>
        <v/>
      </c>
      <c r="V174" s="25">
        <f>IF(AND(L174=1,J174&lt;&gt;""),IF(IFERROR(COUNTIFS(J$3:J174,"="&amp;SUBSTITUTE(SUBSTITUTE(SUBSTITUTE(J174,"~","~~"),"*","~*"),"?","~?"),L$3:L174,1),0)=1,MAX(V$2:V173)+1,""),"")</f>
        <v/>
      </c>
      <c r="W174" s="25">
        <f>IF(V174="","",COUNTIFS($J$3:$J$1002,"="&amp;SUBSTITUTE(SUBSTITUTE(SUBSTITUTE(J174,"~","~~"),"*","~*"),"?","~?"),$L$3:$L$1002,1)*10000-V174)</f>
        <v/>
      </c>
    </row>
    <row r="175">
      <c r="A175">
        <f>IF(A$2=0,"",IFERROR(TRIM(INDEX('Pegar estudiantes'!$A$1:$BZ$1001,174,A$2)&amp;""),""))</f>
        <v/>
      </c>
      <c r="B175">
        <f>IF(B$2=0,"",IFERROR(TRIM(INDEX('Pegar estudiantes'!$A$1:$BZ$1001,174,B$2)&amp;""),""))</f>
        <v/>
      </c>
      <c r="C175">
        <f>IF(C$2=0,"",IFERROR(TRIM(INDEX('Pegar estudiantes'!$A$1:$BZ$1001,174,C$2)&amp;""),""))</f>
        <v/>
      </c>
      <c r="D175">
        <f>IF(D$2=0,"",IFERROR(TRIM(INDEX('Pegar estudiantes'!$A$1:$BZ$1001,174,D$2)&amp;""),""))</f>
        <v/>
      </c>
      <c r="E175">
        <f>IF(E$2=0,"",IFERROR(TRIM(INDEX('Pegar estudiantes'!$A$1:$BZ$1001,174,E$2)&amp;""),""))</f>
        <v/>
      </c>
      <c r="F175">
        <f>IF(F$2=0,"",IFERROR(TRIM(INDEX('Pegar estudiantes'!$A$1:$BZ$1001,174,F$2)&amp;""),""))</f>
        <v/>
      </c>
      <c r="G175">
        <f>IF(G$2=0,"",IFERROR(TRIM(INDEX('Pegar estudiantes'!$A$1:$BZ$1001,174,G$2)&amp;""),""))</f>
        <v/>
      </c>
      <c r="H175">
        <f>IF(H$2=0,"",IFERROR(TRIM(INDEX('Pegar estudiantes'!$A$1:$BZ$1001,174,H$2)&amp;""),""))</f>
        <v/>
      </c>
      <c r="I175">
        <f>IF(I$2=0,"",IFERROR(TRIM(INDEX('Pegar estudiantes'!$A$1:$BZ$1001,174,I$2)&amp;""),""))</f>
        <v/>
      </c>
      <c r="J175">
        <f>IF(J$2=0,"",IFERROR(TRIM(INDEX('Pegar estudiantes'!$A$1:$BZ$1001,174,J$2)&amp;""),""))</f>
        <v/>
      </c>
      <c r="K175">
        <f>IF(K$2=0,"",IFERROR(TRIM(INDEX('Pegar estudiantes'!$A$1:$BZ$1001,174,K$2)&amp;""),""))</f>
        <v/>
      </c>
      <c r="L175" s="25">
        <f>IF(A175&lt;&gt;"",1,"")</f>
        <v/>
      </c>
      <c r="M175" s="25">
        <f>IF(L175=1,IF(ISNUMBER(FIND("#"&amp;MID(A175,1,1)&amp;"#","#0#1#2#3#4#5#6#7#8#9#")),IF(ISNUMBER(FIND("#"&amp;MID(A175,2,1)&amp;"#","#0#1#2#3#4#5#6#7#8#9#")),IF(AND(VALUE(LEFT(A175,2))&gt;=1,VALUE(LEFT(A175,2))&lt;=5),VALUE(LEFT(A175,2)),""),IF(AND(VALUE(LEFT(A175,1))&gt;=1,VALUE(LEFT(A175,1))&lt;=5),VALUE(LEFT(A175,1)),"")),""),"")</f>
        <v/>
      </c>
      <c r="N175" s="25">
        <f>IF(L175=1,IF(ISNUMBER(FIND("#"&amp;MID(H175,1,1)&amp;"#","#0#1#2#3#4#5#6#7#8#9#")),IF(ISNUMBER(FIND("#"&amp;MID(H175,2,1)&amp;"#","#0#1#2#3#4#5#6#7#8#9#")),IF(AND(VALUE(LEFT(H175,2))&gt;=1,VALUE(LEFT(H175,2))&lt;=5),VALUE(LEFT(H175,2)),""),IF(AND(VALUE(LEFT(H175,1))&gt;=1,VALUE(LEFT(H175,1))&lt;=5),VALUE(LEFT(H175,1)),"")),""),"")</f>
        <v/>
      </c>
      <c r="O175" s="25">
        <f>IF(AND(L175=1,B175&lt;&gt;""),SUBSTITUTE(SUBSTITUTE(SUBSTITUTE(SUBSTITUTE(SUBSTITUTE(SUBSTITUTE(SUBSTITUTE(SUBSTITUTE(SUBSTITUTE(SUBSTITUTE(SUBSTITUTE(SUBSTITUTE(LOWER(TRIM(B175)),"á","a"),"é","e"),"í","i"),"ó","o"),"ú","u"),"ü","u"),"ñ","n"),"à","a"),"è","e"),"ì","i"),"ò","o"),"ù","u"),"")</f>
        <v/>
      </c>
      <c r="P175" s="25">
        <f>IF(AND(L175=1,C175&lt;&gt;""),SUBSTITUTE(SUBSTITUTE(SUBSTITUTE(SUBSTITUTE(SUBSTITUTE(SUBSTITUTE(SUBSTITUTE(SUBSTITUTE(SUBSTITUTE(SUBSTITUTE(SUBSTITUTE(SUBSTITUTE(LOWER(TRIM(C175)),"á","a"),"é","e"),"í","i"),"ó","o"),"ú","u"),"ü","u"),"ñ","n"),"à","a"),"è","e"),"ì","i"),"ò","o"),"ù","u"),"")</f>
        <v/>
      </c>
      <c r="Q175" s="25">
        <f>IF(AND(L175=1,E175&lt;&gt;""),SUBSTITUTE(SUBSTITUTE(SUBSTITUTE(SUBSTITUTE(SUBSTITUTE(SUBSTITUTE(SUBSTITUTE(SUBSTITUTE(SUBSTITUTE(SUBSTITUTE(SUBSTITUTE(SUBSTITUTE(LOWER(TRIM(E175)),"á","a"),"é","e"),"í","i"),"ó","o"),"ú","u"),"ü","u"),"ñ","n"),"à","a"),"è","e"),"ì","i"),"ò","o"),"ù","u"),"")</f>
        <v/>
      </c>
      <c r="R175" s="25">
        <f>IF(AND(L175=1,I175&lt;&gt;""),SUBSTITUTE(SUBSTITUTE(SUBSTITUTE(SUBSTITUTE(SUBSTITUTE(SUBSTITUTE(SUBSTITUTE(SUBSTITUTE(SUBSTITUTE(SUBSTITUTE(SUBSTITUTE(SUBSTITUTE(LOWER(TRIM(I175)),"á","a"),"é","e"),"í","i"),"ó","o"),"ú","u"),"ü","u"),"ñ","n"),"à","a"),"è","e"),"ì","i"),"ò","o"),"ù","u"),"")</f>
        <v/>
      </c>
      <c r="S175" s="25">
        <f>IF(R175="","",IF(OR(R175="si",R175="tal vez"),1,0))</f>
        <v/>
      </c>
      <c r="T175" s="25">
        <f>IF(AND(L175=1,D175&lt;&gt;""),IF(IFERROR(COUNTIFS(D$3:D175,"="&amp;SUBSTITUTE(SUBSTITUTE(SUBSTITUTE(D175,"~","~~"),"*","~*"),"?","~?"),L$3:L175,1),0)=1,MAX(T$2:T174)+1,""),"")</f>
        <v/>
      </c>
      <c r="U175" s="25">
        <f>IF(T175="","",COUNTIFS($D$3:$D$1002,"="&amp;SUBSTITUTE(SUBSTITUTE(SUBSTITUTE(D175,"~","~~"),"*","~*"),"?","~?"),$L$3:$L$1002,1)*10000-T175)</f>
        <v/>
      </c>
      <c r="V175" s="25">
        <f>IF(AND(L175=1,J175&lt;&gt;""),IF(IFERROR(COUNTIFS(J$3:J175,"="&amp;SUBSTITUTE(SUBSTITUTE(SUBSTITUTE(J175,"~","~~"),"*","~*"),"?","~?"),L$3:L175,1),0)=1,MAX(V$2:V174)+1,""),"")</f>
        <v/>
      </c>
      <c r="W175" s="25">
        <f>IF(V175="","",COUNTIFS($J$3:$J$1002,"="&amp;SUBSTITUTE(SUBSTITUTE(SUBSTITUTE(J175,"~","~~"),"*","~*"),"?","~?"),$L$3:$L$1002,1)*10000-V175)</f>
        <v/>
      </c>
    </row>
    <row r="176">
      <c r="A176">
        <f>IF(A$2=0,"",IFERROR(TRIM(INDEX('Pegar estudiantes'!$A$1:$BZ$1001,175,A$2)&amp;""),""))</f>
        <v/>
      </c>
      <c r="B176">
        <f>IF(B$2=0,"",IFERROR(TRIM(INDEX('Pegar estudiantes'!$A$1:$BZ$1001,175,B$2)&amp;""),""))</f>
        <v/>
      </c>
      <c r="C176">
        <f>IF(C$2=0,"",IFERROR(TRIM(INDEX('Pegar estudiantes'!$A$1:$BZ$1001,175,C$2)&amp;""),""))</f>
        <v/>
      </c>
      <c r="D176">
        <f>IF(D$2=0,"",IFERROR(TRIM(INDEX('Pegar estudiantes'!$A$1:$BZ$1001,175,D$2)&amp;""),""))</f>
        <v/>
      </c>
      <c r="E176">
        <f>IF(E$2=0,"",IFERROR(TRIM(INDEX('Pegar estudiantes'!$A$1:$BZ$1001,175,E$2)&amp;""),""))</f>
        <v/>
      </c>
      <c r="F176">
        <f>IF(F$2=0,"",IFERROR(TRIM(INDEX('Pegar estudiantes'!$A$1:$BZ$1001,175,F$2)&amp;""),""))</f>
        <v/>
      </c>
      <c r="G176">
        <f>IF(G$2=0,"",IFERROR(TRIM(INDEX('Pegar estudiantes'!$A$1:$BZ$1001,175,G$2)&amp;""),""))</f>
        <v/>
      </c>
      <c r="H176">
        <f>IF(H$2=0,"",IFERROR(TRIM(INDEX('Pegar estudiantes'!$A$1:$BZ$1001,175,H$2)&amp;""),""))</f>
        <v/>
      </c>
      <c r="I176">
        <f>IF(I$2=0,"",IFERROR(TRIM(INDEX('Pegar estudiantes'!$A$1:$BZ$1001,175,I$2)&amp;""),""))</f>
        <v/>
      </c>
      <c r="J176">
        <f>IF(J$2=0,"",IFERROR(TRIM(INDEX('Pegar estudiantes'!$A$1:$BZ$1001,175,J$2)&amp;""),""))</f>
        <v/>
      </c>
      <c r="K176">
        <f>IF(K$2=0,"",IFERROR(TRIM(INDEX('Pegar estudiantes'!$A$1:$BZ$1001,175,K$2)&amp;""),""))</f>
        <v/>
      </c>
      <c r="L176" s="25">
        <f>IF(A176&lt;&gt;"",1,"")</f>
        <v/>
      </c>
      <c r="M176" s="25">
        <f>IF(L176=1,IF(ISNUMBER(FIND("#"&amp;MID(A176,1,1)&amp;"#","#0#1#2#3#4#5#6#7#8#9#")),IF(ISNUMBER(FIND("#"&amp;MID(A176,2,1)&amp;"#","#0#1#2#3#4#5#6#7#8#9#")),IF(AND(VALUE(LEFT(A176,2))&gt;=1,VALUE(LEFT(A176,2))&lt;=5),VALUE(LEFT(A176,2)),""),IF(AND(VALUE(LEFT(A176,1))&gt;=1,VALUE(LEFT(A176,1))&lt;=5),VALUE(LEFT(A176,1)),"")),""),"")</f>
        <v/>
      </c>
      <c r="N176" s="25">
        <f>IF(L176=1,IF(ISNUMBER(FIND("#"&amp;MID(H176,1,1)&amp;"#","#0#1#2#3#4#5#6#7#8#9#")),IF(ISNUMBER(FIND("#"&amp;MID(H176,2,1)&amp;"#","#0#1#2#3#4#5#6#7#8#9#")),IF(AND(VALUE(LEFT(H176,2))&gt;=1,VALUE(LEFT(H176,2))&lt;=5),VALUE(LEFT(H176,2)),""),IF(AND(VALUE(LEFT(H176,1))&gt;=1,VALUE(LEFT(H176,1))&lt;=5),VALUE(LEFT(H176,1)),"")),""),"")</f>
        <v/>
      </c>
      <c r="O176" s="25">
        <f>IF(AND(L176=1,B176&lt;&gt;""),SUBSTITUTE(SUBSTITUTE(SUBSTITUTE(SUBSTITUTE(SUBSTITUTE(SUBSTITUTE(SUBSTITUTE(SUBSTITUTE(SUBSTITUTE(SUBSTITUTE(SUBSTITUTE(SUBSTITUTE(LOWER(TRIM(B176)),"á","a"),"é","e"),"í","i"),"ó","o"),"ú","u"),"ü","u"),"ñ","n"),"à","a"),"è","e"),"ì","i"),"ò","o"),"ù","u"),"")</f>
        <v/>
      </c>
      <c r="P176" s="25">
        <f>IF(AND(L176=1,C176&lt;&gt;""),SUBSTITUTE(SUBSTITUTE(SUBSTITUTE(SUBSTITUTE(SUBSTITUTE(SUBSTITUTE(SUBSTITUTE(SUBSTITUTE(SUBSTITUTE(SUBSTITUTE(SUBSTITUTE(SUBSTITUTE(LOWER(TRIM(C176)),"á","a"),"é","e"),"í","i"),"ó","o"),"ú","u"),"ü","u"),"ñ","n"),"à","a"),"è","e"),"ì","i"),"ò","o"),"ù","u"),"")</f>
        <v/>
      </c>
      <c r="Q176" s="25">
        <f>IF(AND(L176=1,E176&lt;&gt;""),SUBSTITUTE(SUBSTITUTE(SUBSTITUTE(SUBSTITUTE(SUBSTITUTE(SUBSTITUTE(SUBSTITUTE(SUBSTITUTE(SUBSTITUTE(SUBSTITUTE(SUBSTITUTE(SUBSTITUTE(LOWER(TRIM(E176)),"á","a"),"é","e"),"í","i"),"ó","o"),"ú","u"),"ü","u"),"ñ","n"),"à","a"),"è","e"),"ì","i"),"ò","o"),"ù","u"),"")</f>
        <v/>
      </c>
      <c r="R176" s="25">
        <f>IF(AND(L176=1,I176&lt;&gt;""),SUBSTITUTE(SUBSTITUTE(SUBSTITUTE(SUBSTITUTE(SUBSTITUTE(SUBSTITUTE(SUBSTITUTE(SUBSTITUTE(SUBSTITUTE(SUBSTITUTE(SUBSTITUTE(SUBSTITUTE(LOWER(TRIM(I176)),"á","a"),"é","e"),"í","i"),"ó","o"),"ú","u"),"ü","u"),"ñ","n"),"à","a"),"è","e"),"ì","i"),"ò","o"),"ù","u"),"")</f>
        <v/>
      </c>
      <c r="S176" s="25">
        <f>IF(R176="","",IF(OR(R176="si",R176="tal vez"),1,0))</f>
        <v/>
      </c>
      <c r="T176" s="25">
        <f>IF(AND(L176=1,D176&lt;&gt;""),IF(IFERROR(COUNTIFS(D$3:D176,"="&amp;SUBSTITUTE(SUBSTITUTE(SUBSTITUTE(D176,"~","~~"),"*","~*"),"?","~?"),L$3:L176,1),0)=1,MAX(T$2:T175)+1,""),"")</f>
        <v/>
      </c>
      <c r="U176" s="25">
        <f>IF(T176="","",COUNTIFS($D$3:$D$1002,"="&amp;SUBSTITUTE(SUBSTITUTE(SUBSTITUTE(D176,"~","~~"),"*","~*"),"?","~?"),$L$3:$L$1002,1)*10000-T176)</f>
        <v/>
      </c>
      <c r="V176" s="25">
        <f>IF(AND(L176=1,J176&lt;&gt;""),IF(IFERROR(COUNTIFS(J$3:J176,"="&amp;SUBSTITUTE(SUBSTITUTE(SUBSTITUTE(J176,"~","~~"),"*","~*"),"?","~?"),L$3:L176,1),0)=1,MAX(V$2:V175)+1,""),"")</f>
        <v/>
      </c>
      <c r="W176" s="25">
        <f>IF(V176="","",COUNTIFS($J$3:$J$1002,"="&amp;SUBSTITUTE(SUBSTITUTE(SUBSTITUTE(J176,"~","~~"),"*","~*"),"?","~?"),$L$3:$L$1002,1)*10000-V176)</f>
        <v/>
      </c>
    </row>
    <row r="177">
      <c r="A177">
        <f>IF(A$2=0,"",IFERROR(TRIM(INDEX('Pegar estudiantes'!$A$1:$BZ$1001,176,A$2)&amp;""),""))</f>
        <v/>
      </c>
      <c r="B177">
        <f>IF(B$2=0,"",IFERROR(TRIM(INDEX('Pegar estudiantes'!$A$1:$BZ$1001,176,B$2)&amp;""),""))</f>
        <v/>
      </c>
      <c r="C177">
        <f>IF(C$2=0,"",IFERROR(TRIM(INDEX('Pegar estudiantes'!$A$1:$BZ$1001,176,C$2)&amp;""),""))</f>
        <v/>
      </c>
      <c r="D177">
        <f>IF(D$2=0,"",IFERROR(TRIM(INDEX('Pegar estudiantes'!$A$1:$BZ$1001,176,D$2)&amp;""),""))</f>
        <v/>
      </c>
      <c r="E177">
        <f>IF(E$2=0,"",IFERROR(TRIM(INDEX('Pegar estudiantes'!$A$1:$BZ$1001,176,E$2)&amp;""),""))</f>
        <v/>
      </c>
      <c r="F177">
        <f>IF(F$2=0,"",IFERROR(TRIM(INDEX('Pegar estudiantes'!$A$1:$BZ$1001,176,F$2)&amp;""),""))</f>
        <v/>
      </c>
      <c r="G177">
        <f>IF(G$2=0,"",IFERROR(TRIM(INDEX('Pegar estudiantes'!$A$1:$BZ$1001,176,G$2)&amp;""),""))</f>
        <v/>
      </c>
      <c r="H177">
        <f>IF(H$2=0,"",IFERROR(TRIM(INDEX('Pegar estudiantes'!$A$1:$BZ$1001,176,H$2)&amp;""),""))</f>
        <v/>
      </c>
      <c r="I177">
        <f>IF(I$2=0,"",IFERROR(TRIM(INDEX('Pegar estudiantes'!$A$1:$BZ$1001,176,I$2)&amp;""),""))</f>
        <v/>
      </c>
      <c r="J177">
        <f>IF(J$2=0,"",IFERROR(TRIM(INDEX('Pegar estudiantes'!$A$1:$BZ$1001,176,J$2)&amp;""),""))</f>
        <v/>
      </c>
      <c r="K177">
        <f>IF(K$2=0,"",IFERROR(TRIM(INDEX('Pegar estudiantes'!$A$1:$BZ$1001,176,K$2)&amp;""),""))</f>
        <v/>
      </c>
      <c r="L177" s="25">
        <f>IF(A177&lt;&gt;"",1,"")</f>
        <v/>
      </c>
      <c r="M177" s="25">
        <f>IF(L177=1,IF(ISNUMBER(FIND("#"&amp;MID(A177,1,1)&amp;"#","#0#1#2#3#4#5#6#7#8#9#")),IF(ISNUMBER(FIND("#"&amp;MID(A177,2,1)&amp;"#","#0#1#2#3#4#5#6#7#8#9#")),IF(AND(VALUE(LEFT(A177,2))&gt;=1,VALUE(LEFT(A177,2))&lt;=5),VALUE(LEFT(A177,2)),""),IF(AND(VALUE(LEFT(A177,1))&gt;=1,VALUE(LEFT(A177,1))&lt;=5),VALUE(LEFT(A177,1)),"")),""),"")</f>
        <v/>
      </c>
      <c r="N177" s="25">
        <f>IF(L177=1,IF(ISNUMBER(FIND("#"&amp;MID(H177,1,1)&amp;"#","#0#1#2#3#4#5#6#7#8#9#")),IF(ISNUMBER(FIND("#"&amp;MID(H177,2,1)&amp;"#","#0#1#2#3#4#5#6#7#8#9#")),IF(AND(VALUE(LEFT(H177,2))&gt;=1,VALUE(LEFT(H177,2))&lt;=5),VALUE(LEFT(H177,2)),""),IF(AND(VALUE(LEFT(H177,1))&gt;=1,VALUE(LEFT(H177,1))&lt;=5),VALUE(LEFT(H177,1)),"")),""),"")</f>
        <v/>
      </c>
      <c r="O177" s="25">
        <f>IF(AND(L177=1,B177&lt;&gt;""),SUBSTITUTE(SUBSTITUTE(SUBSTITUTE(SUBSTITUTE(SUBSTITUTE(SUBSTITUTE(SUBSTITUTE(SUBSTITUTE(SUBSTITUTE(SUBSTITUTE(SUBSTITUTE(SUBSTITUTE(LOWER(TRIM(B177)),"á","a"),"é","e"),"í","i"),"ó","o"),"ú","u"),"ü","u"),"ñ","n"),"à","a"),"è","e"),"ì","i"),"ò","o"),"ù","u"),"")</f>
        <v/>
      </c>
      <c r="P177" s="25">
        <f>IF(AND(L177=1,C177&lt;&gt;""),SUBSTITUTE(SUBSTITUTE(SUBSTITUTE(SUBSTITUTE(SUBSTITUTE(SUBSTITUTE(SUBSTITUTE(SUBSTITUTE(SUBSTITUTE(SUBSTITUTE(SUBSTITUTE(SUBSTITUTE(LOWER(TRIM(C177)),"á","a"),"é","e"),"í","i"),"ó","o"),"ú","u"),"ü","u"),"ñ","n"),"à","a"),"è","e"),"ì","i"),"ò","o"),"ù","u"),"")</f>
        <v/>
      </c>
      <c r="Q177" s="25">
        <f>IF(AND(L177=1,E177&lt;&gt;""),SUBSTITUTE(SUBSTITUTE(SUBSTITUTE(SUBSTITUTE(SUBSTITUTE(SUBSTITUTE(SUBSTITUTE(SUBSTITUTE(SUBSTITUTE(SUBSTITUTE(SUBSTITUTE(SUBSTITUTE(LOWER(TRIM(E177)),"á","a"),"é","e"),"í","i"),"ó","o"),"ú","u"),"ü","u"),"ñ","n"),"à","a"),"è","e"),"ì","i"),"ò","o"),"ù","u"),"")</f>
        <v/>
      </c>
      <c r="R177" s="25">
        <f>IF(AND(L177=1,I177&lt;&gt;""),SUBSTITUTE(SUBSTITUTE(SUBSTITUTE(SUBSTITUTE(SUBSTITUTE(SUBSTITUTE(SUBSTITUTE(SUBSTITUTE(SUBSTITUTE(SUBSTITUTE(SUBSTITUTE(SUBSTITUTE(LOWER(TRIM(I177)),"á","a"),"é","e"),"í","i"),"ó","o"),"ú","u"),"ü","u"),"ñ","n"),"à","a"),"è","e"),"ì","i"),"ò","o"),"ù","u"),"")</f>
        <v/>
      </c>
      <c r="S177" s="25">
        <f>IF(R177="","",IF(OR(R177="si",R177="tal vez"),1,0))</f>
        <v/>
      </c>
      <c r="T177" s="25">
        <f>IF(AND(L177=1,D177&lt;&gt;""),IF(IFERROR(COUNTIFS(D$3:D177,"="&amp;SUBSTITUTE(SUBSTITUTE(SUBSTITUTE(D177,"~","~~"),"*","~*"),"?","~?"),L$3:L177,1),0)=1,MAX(T$2:T176)+1,""),"")</f>
        <v/>
      </c>
      <c r="U177" s="25">
        <f>IF(T177="","",COUNTIFS($D$3:$D$1002,"="&amp;SUBSTITUTE(SUBSTITUTE(SUBSTITUTE(D177,"~","~~"),"*","~*"),"?","~?"),$L$3:$L$1002,1)*10000-T177)</f>
        <v/>
      </c>
      <c r="V177" s="25">
        <f>IF(AND(L177=1,J177&lt;&gt;""),IF(IFERROR(COUNTIFS(J$3:J177,"="&amp;SUBSTITUTE(SUBSTITUTE(SUBSTITUTE(J177,"~","~~"),"*","~*"),"?","~?"),L$3:L177,1),0)=1,MAX(V$2:V176)+1,""),"")</f>
        <v/>
      </c>
      <c r="W177" s="25">
        <f>IF(V177="","",COUNTIFS($J$3:$J$1002,"="&amp;SUBSTITUTE(SUBSTITUTE(SUBSTITUTE(J177,"~","~~"),"*","~*"),"?","~?"),$L$3:$L$1002,1)*10000-V177)</f>
        <v/>
      </c>
    </row>
    <row r="178">
      <c r="A178">
        <f>IF(A$2=0,"",IFERROR(TRIM(INDEX('Pegar estudiantes'!$A$1:$BZ$1001,177,A$2)&amp;""),""))</f>
        <v/>
      </c>
      <c r="B178">
        <f>IF(B$2=0,"",IFERROR(TRIM(INDEX('Pegar estudiantes'!$A$1:$BZ$1001,177,B$2)&amp;""),""))</f>
        <v/>
      </c>
      <c r="C178">
        <f>IF(C$2=0,"",IFERROR(TRIM(INDEX('Pegar estudiantes'!$A$1:$BZ$1001,177,C$2)&amp;""),""))</f>
        <v/>
      </c>
      <c r="D178">
        <f>IF(D$2=0,"",IFERROR(TRIM(INDEX('Pegar estudiantes'!$A$1:$BZ$1001,177,D$2)&amp;""),""))</f>
        <v/>
      </c>
      <c r="E178">
        <f>IF(E$2=0,"",IFERROR(TRIM(INDEX('Pegar estudiantes'!$A$1:$BZ$1001,177,E$2)&amp;""),""))</f>
        <v/>
      </c>
      <c r="F178">
        <f>IF(F$2=0,"",IFERROR(TRIM(INDEX('Pegar estudiantes'!$A$1:$BZ$1001,177,F$2)&amp;""),""))</f>
        <v/>
      </c>
      <c r="G178">
        <f>IF(G$2=0,"",IFERROR(TRIM(INDEX('Pegar estudiantes'!$A$1:$BZ$1001,177,G$2)&amp;""),""))</f>
        <v/>
      </c>
      <c r="H178">
        <f>IF(H$2=0,"",IFERROR(TRIM(INDEX('Pegar estudiantes'!$A$1:$BZ$1001,177,H$2)&amp;""),""))</f>
        <v/>
      </c>
      <c r="I178">
        <f>IF(I$2=0,"",IFERROR(TRIM(INDEX('Pegar estudiantes'!$A$1:$BZ$1001,177,I$2)&amp;""),""))</f>
        <v/>
      </c>
      <c r="J178">
        <f>IF(J$2=0,"",IFERROR(TRIM(INDEX('Pegar estudiantes'!$A$1:$BZ$1001,177,J$2)&amp;""),""))</f>
        <v/>
      </c>
      <c r="K178">
        <f>IF(K$2=0,"",IFERROR(TRIM(INDEX('Pegar estudiantes'!$A$1:$BZ$1001,177,K$2)&amp;""),""))</f>
        <v/>
      </c>
      <c r="L178" s="25">
        <f>IF(A178&lt;&gt;"",1,"")</f>
        <v/>
      </c>
      <c r="M178" s="25">
        <f>IF(L178=1,IF(ISNUMBER(FIND("#"&amp;MID(A178,1,1)&amp;"#","#0#1#2#3#4#5#6#7#8#9#")),IF(ISNUMBER(FIND("#"&amp;MID(A178,2,1)&amp;"#","#0#1#2#3#4#5#6#7#8#9#")),IF(AND(VALUE(LEFT(A178,2))&gt;=1,VALUE(LEFT(A178,2))&lt;=5),VALUE(LEFT(A178,2)),""),IF(AND(VALUE(LEFT(A178,1))&gt;=1,VALUE(LEFT(A178,1))&lt;=5),VALUE(LEFT(A178,1)),"")),""),"")</f>
        <v/>
      </c>
      <c r="N178" s="25">
        <f>IF(L178=1,IF(ISNUMBER(FIND("#"&amp;MID(H178,1,1)&amp;"#","#0#1#2#3#4#5#6#7#8#9#")),IF(ISNUMBER(FIND("#"&amp;MID(H178,2,1)&amp;"#","#0#1#2#3#4#5#6#7#8#9#")),IF(AND(VALUE(LEFT(H178,2))&gt;=1,VALUE(LEFT(H178,2))&lt;=5),VALUE(LEFT(H178,2)),""),IF(AND(VALUE(LEFT(H178,1))&gt;=1,VALUE(LEFT(H178,1))&lt;=5),VALUE(LEFT(H178,1)),"")),""),"")</f>
        <v/>
      </c>
      <c r="O178" s="25">
        <f>IF(AND(L178=1,B178&lt;&gt;""),SUBSTITUTE(SUBSTITUTE(SUBSTITUTE(SUBSTITUTE(SUBSTITUTE(SUBSTITUTE(SUBSTITUTE(SUBSTITUTE(SUBSTITUTE(SUBSTITUTE(SUBSTITUTE(SUBSTITUTE(LOWER(TRIM(B178)),"á","a"),"é","e"),"í","i"),"ó","o"),"ú","u"),"ü","u"),"ñ","n"),"à","a"),"è","e"),"ì","i"),"ò","o"),"ù","u"),"")</f>
        <v/>
      </c>
      <c r="P178" s="25">
        <f>IF(AND(L178=1,C178&lt;&gt;""),SUBSTITUTE(SUBSTITUTE(SUBSTITUTE(SUBSTITUTE(SUBSTITUTE(SUBSTITUTE(SUBSTITUTE(SUBSTITUTE(SUBSTITUTE(SUBSTITUTE(SUBSTITUTE(SUBSTITUTE(LOWER(TRIM(C178)),"á","a"),"é","e"),"í","i"),"ó","o"),"ú","u"),"ü","u"),"ñ","n"),"à","a"),"è","e"),"ì","i"),"ò","o"),"ù","u"),"")</f>
        <v/>
      </c>
      <c r="Q178" s="25">
        <f>IF(AND(L178=1,E178&lt;&gt;""),SUBSTITUTE(SUBSTITUTE(SUBSTITUTE(SUBSTITUTE(SUBSTITUTE(SUBSTITUTE(SUBSTITUTE(SUBSTITUTE(SUBSTITUTE(SUBSTITUTE(SUBSTITUTE(SUBSTITUTE(LOWER(TRIM(E178)),"á","a"),"é","e"),"í","i"),"ó","o"),"ú","u"),"ü","u"),"ñ","n"),"à","a"),"è","e"),"ì","i"),"ò","o"),"ù","u"),"")</f>
        <v/>
      </c>
      <c r="R178" s="25">
        <f>IF(AND(L178=1,I178&lt;&gt;""),SUBSTITUTE(SUBSTITUTE(SUBSTITUTE(SUBSTITUTE(SUBSTITUTE(SUBSTITUTE(SUBSTITUTE(SUBSTITUTE(SUBSTITUTE(SUBSTITUTE(SUBSTITUTE(SUBSTITUTE(LOWER(TRIM(I178)),"á","a"),"é","e"),"í","i"),"ó","o"),"ú","u"),"ü","u"),"ñ","n"),"à","a"),"è","e"),"ì","i"),"ò","o"),"ù","u"),"")</f>
        <v/>
      </c>
      <c r="S178" s="25">
        <f>IF(R178="","",IF(OR(R178="si",R178="tal vez"),1,0))</f>
        <v/>
      </c>
      <c r="T178" s="25">
        <f>IF(AND(L178=1,D178&lt;&gt;""),IF(IFERROR(COUNTIFS(D$3:D178,"="&amp;SUBSTITUTE(SUBSTITUTE(SUBSTITUTE(D178,"~","~~"),"*","~*"),"?","~?"),L$3:L178,1),0)=1,MAX(T$2:T177)+1,""),"")</f>
        <v/>
      </c>
      <c r="U178" s="25">
        <f>IF(T178="","",COUNTIFS($D$3:$D$1002,"="&amp;SUBSTITUTE(SUBSTITUTE(SUBSTITUTE(D178,"~","~~"),"*","~*"),"?","~?"),$L$3:$L$1002,1)*10000-T178)</f>
        <v/>
      </c>
      <c r="V178" s="25">
        <f>IF(AND(L178=1,J178&lt;&gt;""),IF(IFERROR(COUNTIFS(J$3:J178,"="&amp;SUBSTITUTE(SUBSTITUTE(SUBSTITUTE(J178,"~","~~"),"*","~*"),"?","~?"),L$3:L178,1),0)=1,MAX(V$2:V177)+1,""),"")</f>
        <v/>
      </c>
      <c r="W178" s="25">
        <f>IF(V178="","",COUNTIFS($J$3:$J$1002,"="&amp;SUBSTITUTE(SUBSTITUTE(SUBSTITUTE(J178,"~","~~"),"*","~*"),"?","~?"),$L$3:$L$1002,1)*10000-V178)</f>
        <v/>
      </c>
    </row>
    <row r="179">
      <c r="A179">
        <f>IF(A$2=0,"",IFERROR(TRIM(INDEX('Pegar estudiantes'!$A$1:$BZ$1001,178,A$2)&amp;""),""))</f>
        <v/>
      </c>
      <c r="B179">
        <f>IF(B$2=0,"",IFERROR(TRIM(INDEX('Pegar estudiantes'!$A$1:$BZ$1001,178,B$2)&amp;""),""))</f>
        <v/>
      </c>
      <c r="C179">
        <f>IF(C$2=0,"",IFERROR(TRIM(INDEX('Pegar estudiantes'!$A$1:$BZ$1001,178,C$2)&amp;""),""))</f>
        <v/>
      </c>
      <c r="D179">
        <f>IF(D$2=0,"",IFERROR(TRIM(INDEX('Pegar estudiantes'!$A$1:$BZ$1001,178,D$2)&amp;""),""))</f>
        <v/>
      </c>
      <c r="E179">
        <f>IF(E$2=0,"",IFERROR(TRIM(INDEX('Pegar estudiantes'!$A$1:$BZ$1001,178,E$2)&amp;""),""))</f>
        <v/>
      </c>
      <c r="F179">
        <f>IF(F$2=0,"",IFERROR(TRIM(INDEX('Pegar estudiantes'!$A$1:$BZ$1001,178,F$2)&amp;""),""))</f>
        <v/>
      </c>
      <c r="G179">
        <f>IF(G$2=0,"",IFERROR(TRIM(INDEX('Pegar estudiantes'!$A$1:$BZ$1001,178,G$2)&amp;""),""))</f>
        <v/>
      </c>
      <c r="H179">
        <f>IF(H$2=0,"",IFERROR(TRIM(INDEX('Pegar estudiantes'!$A$1:$BZ$1001,178,H$2)&amp;""),""))</f>
        <v/>
      </c>
      <c r="I179">
        <f>IF(I$2=0,"",IFERROR(TRIM(INDEX('Pegar estudiantes'!$A$1:$BZ$1001,178,I$2)&amp;""),""))</f>
        <v/>
      </c>
      <c r="J179">
        <f>IF(J$2=0,"",IFERROR(TRIM(INDEX('Pegar estudiantes'!$A$1:$BZ$1001,178,J$2)&amp;""),""))</f>
        <v/>
      </c>
      <c r="K179">
        <f>IF(K$2=0,"",IFERROR(TRIM(INDEX('Pegar estudiantes'!$A$1:$BZ$1001,178,K$2)&amp;""),""))</f>
        <v/>
      </c>
      <c r="L179" s="25">
        <f>IF(A179&lt;&gt;"",1,"")</f>
        <v/>
      </c>
      <c r="M179" s="25">
        <f>IF(L179=1,IF(ISNUMBER(FIND("#"&amp;MID(A179,1,1)&amp;"#","#0#1#2#3#4#5#6#7#8#9#")),IF(ISNUMBER(FIND("#"&amp;MID(A179,2,1)&amp;"#","#0#1#2#3#4#5#6#7#8#9#")),IF(AND(VALUE(LEFT(A179,2))&gt;=1,VALUE(LEFT(A179,2))&lt;=5),VALUE(LEFT(A179,2)),""),IF(AND(VALUE(LEFT(A179,1))&gt;=1,VALUE(LEFT(A179,1))&lt;=5),VALUE(LEFT(A179,1)),"")),""),"")</f>
        <v/>
      </c>
      <c r="N179" s="25">
        <f>IF(L179=1,IF(ISNUMBER(FIND("#"&amp;MID(H179,1,1)&amp;"#","#0#1#2#3#4#5#6#7#8#9#")),IF(ISNUMBER(FIND("#"&amp;MID(H179,2,1)&amp;"#","#0#1#2#3#4#5#6#7#8#9#")),IF(AND(VALUE(LEFT(H179,2))&gt;=1,VALUE(LEFT(H179,2))&lt;=5),VALUE(LEFT(H179,2)),""),IF(AND(VALUE(LEFT(H179,1))&gt;=1,VALUE(LEFT(H179,1))&lt;=5),VALUE(LEFT(H179,1)),"")),""),"")</f>
        <v/>
      </c>
      <c r="O179" s="25">
        <f>IF(AND(L179=1,B179&lt;&gt;""),SUBSTITUTE(SUBSTITUTE(SUBSTITUTE(SUBSTITUTE(SUBSTITUTE(SUBSTITUTE(SUBSTITUTE(SUBSTITUTE(SUBSTITUTE(SUBSTITUTE(SUBSTITUTE(SUBSTITUTE(LOWER(TRIM(B179)),"á","a"),"é","e"),"í","i"),"ó","o"),"ú","u"),"ü","u"),"ñ","n"),"à","a"),"è","e"),"ì","i"),"ò","o"),"ù","u"),"")</f>
        <v/>
      </c>
      <c r="P179" s="25">
        <f>IF(AND(L179=1,C179&lt;&gt;""),SUBSTITUTE(SUBSTITUTE(SUBSTITUTE(SUBSTITUTE(SUBSTITUTE(SUBSTITUTE(SUBSTITUTE(SUBSTITUTE(SUBSTITUTE(SUBSTITUTE(SUBSTITUTE(SUBSTITUTE(LOWER(TRIM(C179)),"á","a"),"é","e"),"í","i"),"ó","o"),"ú","u"),"ü","u"),"ñ","n"),"à","a"),"è","e"),"ì","i"),"ò","o"),"ù","u"),"")</f>
        <v/>
      </c>
      <c r="Q179" s="25">
        <f>IF(AND(L179=1,E179&lt;&gt;""),SUBSTITUTE(SUBSTITUTE(SUBSTITUTE(SUBSTITUTE(SUBSTITUTE(SUBSTITUTE(SUBSTITUTE(SUBSTITUTE(SUBSTITUTE(SUBSTITUTE(SUBSTITUTE(SUBSTITUTE(LOWER(TRIM(E179)),"á","a"),"é","e"),"í","i"),"ó","o"),"ú","u"),"ü","u"),"ñ","n"),"à","a"),"è","e"),"ì","i"),"ò","o"),"ù","u"),"")</f>
        <v/>
      </c>
      <c r="R179" s="25">
        <f>IF(AND(L179=1,I179&lt;&gt;""),SUBSTITUTE(SUBSTITUTE(SUBSTITUTE(SUBSTITUTE(SUBSTITUTE(SUBSTITUTE(SUBSTITUTE(SUBSTITUTE(SUBSTITUTE(SUBSTITUTE(SUBSTITUTE(SUBSTITUTE(LOWER(TRIM(I179)),"á","a"),"é","e"),"í","i"),"ó","o"),"ú","u"),"ü","u"),"ñ","n"),"à","a"),"è","e"),"ì","i"),"ò","o"),"ù","u"),"")</f>
        <v/>
      </c>
      <c r="S179" s="25">
        <f>IF(R179="","",IF(OR(R179="si",R179="tal vez"),1,0))</f>
        <v/>
      </c>
      <c r="T179" s="25">
        <f>IF(AND(L179=1,D179&lt;&gt;""),IF(IFERROR(COUNTIFS(D$3:D179,"="&amp;SUBSTITUTE(SUBSTITUTE(SUBSTITUTE(D179,"~","~~"),"*","~*"),"?","~?"),L$3:L179,1),0)=1,MAX(T$2:T178)+1,""),"")</f>
        <v/>
      </c>
      <c r="U179" s="25">
        <f>IF(T179="","",COUNTIFS($D$3:$D$1002,"="&amp;SUBSTITUTE(SUBSTITUTE(SUBSTITUTE(D179,"~","~~"),"*","~*"),"?","~?"),$L$3:$L$1002,1)*10000-T179)</f>
        <v/>
      </c>
      <c r="V179" s="25">
        <f>IF(AND(L179=1,J179&lt;&gt;""),IF(IFERROR(COUNTIFS(J$3:J179,"="&amp;SUBSTITUTE(SUBSTITUTE(SUBSTITUTE(J179,"~","~~"),"*","~*"),"?","~?"),L$3:L179,1),0)=1,MAX(V$2:V178)+1,""),"")</f>
        <v/>
      </c>
      <c r="W179" s="25">
        <f>IF(V179="","",COUNTIFS($J$3:$J$1002,"="&amp;SUBSTITUTE(SUBSTITUTE(SUBSTITUTE(J179,"~","~~"),"*","~*"),"?","~?"),$L$3:$L$1002,1)*10000-V179)</f>
        <v/>
      </c>
    </row>
    <row r="180">
      <c r="A180">
        <f>IF(A$2=0,"",IFERROR(TRIM(INDEX('Pegar estudiantes'!$A$1:$BZ$1001,179,A$2)&amp;""),""))</f>
        <v/>
      </c>
      <c r="B180">
        <f>IF(B$2=0,"",IFERROR(TRIM(INDEX('Pegar estudiantes'!$A$1:$BZ$1001,179,B$2)&amp;""),""))</f>
        <v/>
      </c>
      <c r="C180">
        <f>IF(C$2=0,"",IFERROR(TRIM(INDEX('Pegar estudiantes'!$A$1:$BZ$1001,179,C$2)&amp;""),""))</f>
        <v/>
      </c>
      <c r="D180">
        <f>IF(D$2=0,"",IFERROR(TRIM(INDEX('Pegar estudiantes'!$A$1:$BZ$1001,179,D$2)&amp;""),""))</f>
        <v/>
      </c>
      <c r="E180">
        <f>IF(E$2=0,"",IFERROR(TRIM(INDEX('Pegar estudiantes'!$A$1:$BZ$1001,179,E$2)&amp;""),""))</f>
        <v/>
      </c>
      <c r="F180">
        <f>IF(F$2=0,"",IFERROR(TRIM(INDEX('Pegar estudiantes'!$A$1:$BZ$1001,179,F$2)&amp;""),""))</f>
        <v/>
      </c>
      <c r="G180">
        <f>IF(G$2=0,"",IFERROR(TRIM(INDEX('Pegar estudiantes'!$A$1:$BZ$1001,179,G$2)&amp;""),""))</f>
        <v/>
      </c>
      <c r="H180">
        <f>IF(H$2=0,"",IFERROR(TRIM(INDEX('Pegar estudiantes'!$A$1:$BZ$1001,179,H$2)&amp;""),""))</f>
        <v/>
      </c>
      <c r="I180">
        <f>IF(I$2=0,"",IFERROR(TRIM(INDEX('Pegar estudiantes'!$A$1:$BZ$1001,179,I$2)&amp;""),""))</f>
        <v/>
      </c>
      <c r="J180">
        <f>IF(J$2=0,"",IFERROR(TRIM(INDEX('Pegar estudiantes'!$A$1:$BZ$1001,179,J$2)&amp;""),""))</f>
        <v/>
      </c>
      <c r="K180">
        <f>IF(K$2=0,"",IFERROR(TRIM(INDEX('Pegar estudiantes'!$A$1:$BZ$1001,179,K$2)&amp;""),""))</f>
        <v/>
      </c>
      <c r="L180" s="25">
        <f>IF(A180&lt;&gt;"",1,"")</f>
        <v/>
      </c>
      <c r="M180" s="25">
        <f>IF(L180=1,IF(ISNUMBER(FIND("#"&amp;MID(A180,1,1)&amp;"#","#0#1#2#3#4#5#6#7#8#9#")),IF(ISNUMBER(FIND("#"&amp;MID(A180,2,1)&amp;"#","#0#1#2#3#4#5#6#7#8#9#")),IF(AND(VALUE(LEFT(A180,2))&gt;=1,VALUE(LEFT(A180,2))&lt;=5),VALUE(LEFT(A180,2)),""),IF(AND(VALUE(LEFT(A180,1))&gt;=1,VALUE(LEFT(A180,1))&lt;=5),VALUE(LEFT(A180,1)),"")),""),"")</f>
        <v/>
      </c>
      <c r="N180" s="25">
        <f>IF(L180=1,IF(ISNUMBER(FIND("#"&amp;MID(H180,1,1)&amp;"#","#0#1#2#3#4#5#6#7#8#9#")),IF(ISNUMBER(FIND("#"&amp;MID(H180,2,1)&amp;"#","#0#1#2#3#4#5#6#7#8#9#")),IF(AND(VALUE(LEFT(H180,2))&gt;=1,VALUE(LEFT(H180,2))&lt;=5),VALUE(LEFT(H180,2)),""),IF(AND(VALUE(LEFT(H180,1))&gt;=1,VALUE(LEFT(H180,1))&lt;=5),VALUE(LEFT(H180,1)),"")),""),"")</f>
        <v/>
      </c>
      <c r="O180" s="25">
        <f>IF(AND(L180=1,B180&lt;&gt;""),SUBSTITUTE(SUBSTITUTE(SUBSTITUTE(SUBSTITUTE(SUBSTITUTE(SUBSTITUTE(SUBSTITUTE(SUBSTITUTE(SUBSTITUTE(SUBSTITUTE(SUBSTITUTE(SUBSTITUTE(LOWER(TRIM(B180)),"á","a"),"é","e"),"í","i"),"ó","o"),"ú","u"),"ü","u"),"ñ","n"),"à","a"),"è","e"),"ì","i"),"ò","o"),"ù","u"),"")</f>
        <v/>
      </c>
      <c r="P180" s="25">
        <f>IF(AND(L180=1,C180&lt;&gt;""),SUBSTITUTE(SUBSTITUTE(SUBSTITUTE(SUBSTITUTE(SUBSTITUTE(SUBSTITUTE(SUBSTITUTE(SUBSTITUTE(SUBSTITUTE(SUBSTITUTE(SUBSTITUTE(SUBSTITUTE(LOWER(TRIM(C180)),"á","a"),"é","e"),"í","i"),"ó","o"),"ú","u"),"ü","u"),"ñ","n"),"à","a"),"è","e"),"ì","i"),"ò","o"),"ù","u"),"")</f>
        <v/>
      </c>
      <c r="Q180" s="25">
        <f>IF(AND(L180=1,E180&lt;&gt;""),SUBSTITUTE(SUBSTITUTE(SUBSTITUTE(SUBSTITUTE(SUBSTITUTE(SUBSTITUTE(SUBSTITUTE(SUBSTITUTE(SUBSTITUTE(SUBSTITUTE(SUBSTITUTE(SUBSTITUTE(LOWER(TRIM(E180)),"á","a"),"é","e"),"í","i"),"ó","o"),"ú","u"),"ü","u"),"ñ","n"),"à","a"),"è","e"),"ì","i"),"ò","o"),"ù","u"),"")</f>
        <v/>
      </c>
      <c r="R180" s="25">
        <f>IF(AND(L180=1,I180&lt;&gt;""),SUBSTITUTE(SUBSTITUTE(SUBSTITUTE(SUBSTITUTE(SUBSTITUTE(SUBSTITUTE(SUBSTITUTE(SUBSTITUTE(SUBSTITUTE(SUBSTITUTE(SUBSTITUTE(SUBSTITUTE(LOWER(TRIM(I180)),"á","a"),"é","e"),"í","i"),"ó","o"),"ú","u"),"ü","u"),"ñ","n"),"à","a"),"è","e"),"ì","i"),"ò","o"),"ù","u"),"")</f>
        <v/>
      </c>
      <c r="S180" s="25">
        <f>IF(R180="","",IF(OR(R180="si",R180="tal vez"),1,0))</f>
        <v/>
      </c>
      <c r="T180" s="25">
        <f>IF(AND(L180=1,D180&lt;&gt;""),IF(IFERROR(COUNTIFS(D$3:D180,"="&amp;SUBSTITUTE(SUBSTITUTE(SUBSTITUTE(D180,"~","~~"),"*","~*"),"?","~?"),L$3:L180,1),0)=1,MAX(T$2:T179)+1,""),"")</f>
        <v/>
      </c>
      <c r="U180" s="25">
        <f>IF(T180="","",COUNTIFS($D$3:$D$1002,"="&amp;SUBSTITUTE(SUBSTITUTE(SUBSTITUTE(D180,"~","~~"),"*","~*"),"?","~?"),$L$3:$L$1002,1)*10000-T180)</f>
        <v/>
      </c>
      <c r="V180" s="25">
        <f>IF(AND(L180=1,J180&lt;&gt;""),IF(IFERROR(COUNTIFS(J$3:J180,"="&amp;SUBSTITUTE(SUBSTITUTE(SUBSTITUTE(J180,"~","~~"),"*","~*"),"?","~?"),L$3:L180,1),0)=1,MAX(V$2:V179)+1,""),"")</f>
        <v/>
      </c>
      <c r="W180" s="25">
        <f>IF(V180="","",COUNTIFS($J$3:$J$1002,"="&amp;SUBSTITUTE(SUBSTITUTE(SUBSTITUTE(J180,"~","~~"),"*","~*"),"?","~?"),$L$3:$L$1002,1)*10000-V180)</f>
        <v/>
      </c>
    </row>
    <row r="181">
      <c r="A181">
        <f>IF(A$2=0,"",IFERROR(TRIM(INDEX('Pegar estudiantes'!$A$1:$BZ$1001,180,A$2)&amp;""),""))</f>
        <v/>
      </c>
      <c r="B181">
        <f>IF(B$2=0,"",IFERROR(TRIM(INDEX('Pegar estudiantes'!$A$1:$BZ$1001,180,B$2)&amp;""),""))</f>
        <v/>
      </c>
      <c r="C181">
        <f>IF(C$2=0,"",IFERROR(TRIM(INDEX('Pegar estudiantes'!$A$1:$BZ$1001,180,C$2)&amp;""),""))</f>
        <v/>
      </c>
      <c r="D181">
        <f>IF(D$2=0,"",IFERROR(TRIM(INDEX('Pegar estudiantes'!$A$1:$BZ$1001,180,D$2)&amp;""),""))</f>
        <v/>
      </c>
      <c r="E181">
        <f>IF(E$2=0,"",IFERROR(TRIM(INDEX('Pegar estudiantes'!$A$1:$BZ$1001,180,E$2)&amp;""),""))</f>
        <v/>
      </c>
      <c r="F181">
        <f>IF(F$2=0,"",IFERROR(TRIM(INDEX('Pegar estudiantes'!$A$1:$BZ$1001,180,F$2)&amp;""),""))</f>
        <v/>
      </c>
      <c r="G181">
        <f>IF(G$2=0,"",IFERROR(TRIM(INDEX('Pegar estudiantes'!$A$1:$BZ$1001,180,G$2)&amp;""),""))</f>
        <v/>
      </c>
      <c r="H181">
        <f>IF(H$2=0,"",IFERROR(TRIM(INDEX('Pegar estudiantes'!$A$1:$BZ$1001,180,H$2)&amp;""),""))</f>
        <v/>
      </c>
      <c r="I181">
        <f>IF(I$2=0,"",IFERROR(TRIM(INDEX('Pegar estudiantes'!$A$1:$BZ$1001,180,I$2)&amp;""),""))</f>
        <v/>
      </c>
      <c r="J181">
        <f>IF(J$2=0,"",IFERROR(TRIM(INDEX('Pegar estudiantes'!$A$1:$BZ$1001,180,J$2)&amp;""),""))</f>
        <v/>
      </c>
      <c r="K181">
        <f>IF(K$2=0,"",IFERROR(TRIM(INDEX('Pegar estudiantes'!$A$1:$BZ$1001,180,K$2)&amp;""),""))</f>
        <v/>
      </c>
      <c r="L181" s="25">
        <f>IF(A181&lt;&gt;"",1,"")</f>
        <v/>
      </c>
      <c r="M181" s="25">
        <f>IF(L181=1,IF(ISNUMBER(FIND("#"&amp;MID(A181,1,1)&amp;"#","#0#1#2#3#4#5#6#7#8#9#")),IF(ISNUMBER(FIND("#"&amp;MID(A181,2,1)&amp;"#","#0#1#2#3#4#5#6#7#8#9#")),IF(AND(VALUE(LEFT(A181,2))&gt;=1,VALUE(LEFT(A181,2))&lt;=5),VALUE(LEFT(A181,2)),""),IF(AND(VALUE(LEFT(A181,1))&gt;=1,VALUE(LEFT(A181,1))&lt;=5),VALUE(LEFT(A181,1)),"")),""),"")</f>
        <v/>
      </c>
      <c r="N181" s="25">
        <f>IF(L181=1,IF(ISNUMBER(FIND("#"&amp;MID(H181,1,1)&amp;"#","#0#1#2#3#4#5#6#7#8#9#")),IF(ISNUMBER(FIND("#"&amp;MID(H181,2,1)&amp;"#","#0#1#2#3#4#5#6#7#8#9#")),IF(AND(VALUE(LEFT(H181,2))&gt;=1,VALUE(LEFT(H181,2))&lt;=5),VALUE(LEFT(H181,2)),""),IF(AND(VALUE(LEFT(H181,1))&gt;=1,VALUE(LEFT(H181,1))&lt;=5),VALUE(LEFT(H181,1)),"")),""),"")</f>
        <v/>
      </c>
      <c r="O181" s="25">
        <f>IF(AND(L181=1,B181&lt;&gt;""),SUBSTITUTE(SUBSTITUTE(SUBSTITUTE(SUBSTITUTE(SUBSTITUTE(SUBSTITUTE(SUBSTITUTE(SUBSTITUTE(SUBSTITUTE(SUBSTITUTE(SUBSTITUTE(SUBSTITUTE(LOWER(TRIM(B181)),"á","a"),"é","e"),"í","i"),"ó","o"),"ú","u"),"ü","u"),"ñ","n"),"à","a"),"è","e"),"ì","i"),"ò","o"),"ù","u"),"")</f>
        <v/>
      </c>
      <c r="P181" s="25">
        <f>IF(AND(L181=1,C181&lt;&gt;""),SUBSTITUTE(SUBSTITUTE(SUBSTITUTE(SUBSTITUTE(SUBSTITUTE(SUBSTITUTE(SUBSTITUTE(SUBSTITUTE(SUBSTITUTE(SUBSTITUTE(SUBSTITUTE(SUBSTITUTE(LOWER(TRIM(C181)),"á","a"),"é","e"),"í","i"),"ó","o"),"ú","u"),"ü","u"),"ñ","n"),"à","a"),"è","e"),"ì","i"),"ò","o"),"ù","u"),"")</f>
        <v/>
      </c>
      <c r="Q181" s="25">
        <f>IF(AND(L181=1,E181&lt;&gt;""),SUBSTITUTE(SUBSTITUTE(SUBSTITUTE(SUBSTITUTE(SUBSTITUTE(SUBSTITUTE(SUBSTITUTE(SUBSTITUTE(SUBSTITUTE(SUBSTITUTE(SUBSTITUTE(SUBSTITUTE(LOWER(TRIM(E181)),"á","a"),"é","e"),"í","i"),"ó","o"),"ú","u"),"ü","u"),"ñ","n"),"à","a"),"è","e"),"ì","i"),"ò","o"),"ù","u"),"")</f>
        <v/>
      </c>
      <c r="R181" s="25">
        <f>IF(AND(L181=1,I181&lt;&gt;""),SUBSTITUTE(SUBSTITUTE(SUBSTITUTE(SUBSTITUTE(SUBSTITUTE(SUBSTITUTE(SUBSTITUTE(SUBSTITUTE(SUBSTITUTE(SUBSTITUTE(SUBSTITUTE(SUBSTITUTE(LOWER(TRIM(I181)),"á","a"),"é","e"),"í","i"),"ó","o"),"ú","u"),"ü","u"),"ñ","n"),"à","a"),"è","e"),"ì","i"),"ò","o"),"ù","u"),"")</f>
        <v/>
      </c>
      <c r="S181" s="25">
        <f>IF(R181="","",IF(OR(R181="si",R181="tal vez"),1,0))</f>
        <v/>
      </c>
      <c r="T181" s="25">
        <f>IF(AND(L181=1,D181&lt;&gt;""),IF(IFERROR(COUNTIFS(D$3:D181,"="&amp;SUBSTITUTE(SUBSTITUTE(SUBSTITUTE(D181,"~","~~"),"*","~*"),"?","~?"),L$3:L181,1),0)=1,MAX(T$2:T180)+1,""),"")</f>
        <v/>
      </c>
      <c r="U181" s="25">
        <f>IF(T181="","",COUNTIFS($D$3:$D$1002,"="&amp;SUBSTITUTE(SUBSTITUTE(SUBSTITUTE(D181,"~","~~"),"*","~*"),"?","~?"),$L$3:$L$1002,1)*10000-T181)</f>
        <v/>
      </c>
      <c r="V181" s="25">
        <f>IF(AND(L181=1,J181&lt;&gt;""),IF(IFERROR(COUNTIFS(J$3:J181,"="&amp;SUBSTITUTE(SUBSTITUTE(SUBSTITUTE(J181,"~","~~"),"*","~*"),"?","~?"),L$3:L181,1),0)=1,MAX(V$2:V180)+1,""),"")</f>
        <v/>
      </c>
      <c r="W181" s="25">
        <f>IF(V181="","",COUNTIFS($J$3:$J$1002,"="&amp;SUBSTITUTE(SUBSTITUTE(SUBSTITUTE(J181,"~","~~"),"*","~*"),"?","~?"),$L$3:$L$1002,1)*10000-V181)</f>
        <v/>
      </c>
    </row>
    <row r="182">
      <c r="A182">
        <f>IF(A$2=0,"",IFERROR(TRIM(INDEX('Pegar estudiantes'!$A$1:$BZ$1001,181,A$2)&amp;""),""))</f>
        <v/>
      </c>
      <c r="B182">
        <f>IF(B$2=0,"",IFERROR(TRIM(INDEX('Pegar estudiantes'!$A$1:$BZ$1001,181,B$2)&amp;""),""))</f>
        <v/>
      </c>
      <c r="C182">
        <f>IF(C$2=0,"",IFERROR(TRIM(INDEX('Pegar estudiantes'!$A$1:$BZ$1001,181,C$2)&amp;""),""))</f>
        <v/>
      </c>
      <c r="D182">
        <f>IF(D$2=0,"",IFERROR(TRIM(INDEX('Pegar estudiantes'!$A$1:$BZ$1001,181,D$2)&amp;""),""))</f>
        <v/>
      </c>
      <c r="E182">
        <f>IF(E$2=0,"",IFERROR(TRIM(INDEX('Pegar estudiantes'!$A$1:$BZ$1001,181,E$2)&amp;""),""))</f>
        <v/>
      </c>
      <c r="F182">
        <f>IF(F$2=0,"",IFERROR(TRIM(INDEX('Pegar estudiantes'!$A$1:$BZ$1001,181,F$2)&amp;""),""))</f>
        <v/>
      </c>
      <c r="G182">
        <f>IF(G$2=0,"",IFERROR(TRIM(INDEX('Pegar estudiantes'!$A$1:$BZ$1001,181,G$2)&amp;""),""))</f>
        <v/>
      </c>
      <c r="H182">
        <f>IF(H$2=0,"",IFERROR(TRIM(INDEX('Pegar estudiantes'!$A$1:$BZ$1001,181,H$2)&amp;""),""))</f>
        <v/>
      </c>
      <c r="I182">
        <f>IF(I$2=0,"",IFERROR(TRIM(INDEX('Pegar estudiantes'!$A$1:$BZ$1001,181,I$2)&amp;""),""))</f>
        <v/>
      </c>
      <c r="J182">
        <f>IF(J$2=0,"",IFERROR(TRIM(INDEX('Pegar estudiantes'!$A$1:$BZ$1001,181,J$2)&amp;""),""))</f>
        <v/>
      </c>
      <c r="K182">
        <f>IF(K$2=0,"",IFERROR(TRIM(INDEX('Pegar estudiantes'!$A$1:$BZ$1001,181,K$2)&amp;""),""))</f>
        <v/>
      </c>
      <c r="L182" s="25">
        <f>IF(A182&lt;&gt;"",1,"")</f>
        <v/>
      </c>
      <c r="M182" s="25">
        <f>IF(L182=1,IF(ISNUMBER(FIND("#"&amp;MID(A182,1,1)&amp;"#","#0#1#2#3#4#5#6#7#8#9#")),IF(ISNUMBER(FIND("#"&amp;MID(A182,2,1)&amp;"#","#0#1#2#3#4#5#6#7#8#9#")),IF(AND(VALUE(LEFT(A182,2))&gt;=1,VALUE(LEFT(A182,2))&lt;=5),VALUE(LEFT(A182,2)),""),IF(AND(VALUE(LEFT(A182,1))&gt;=1,VALUE(LEFT(A182,1))&lt;=5),VALUE(LEFT(A182,1)),"")),""),"")</f>
        <v/>
      </c>
      <c r="N182" s="25">
        <f>IF(L182=1,IF(ISNUMBER(FIND("#"&amp;MID(H182,1,1)&amp;"#","#0#1#2#3#4#5#6#7#8#9#")),IF(ISNUMBER(FIND("#"&amp;MID(H182,2,1)&amp;"#","#0#1#2#3#4#5#6#7#8#9#")),IF(AND(VALUE(LEFT(H182,2))&gt;=1,VALUE(LEFT(H182,2))&lt;=5),VALUE(LEFT(H182,2)),""),IF(AND(VALUE(LEFT(H182,1))&gt;=1,VALUE(LEFT(H182,1))&lt;=5),VALUE(LEFT(H182,1)),"")),""),"")</f>
        <v/>
      </c>
      <c r="O182" s="25">
        <f>IF(AND(L182=1,B182&lt;&gt;""),SUBSTITUTE(SUBSTITUTE(SUBSTITUTE(SUBSTITUTE(SUBSTITUTE(SUBSTITUTE(SUBSTITUTE(SUBSTITUTE(SUBSTITUTE(SUBSTITUTE(SUBSTITUTE(SUBSTITUTE(LOWER(TRIM(B182)),"á","a"),"é","e"),"í","i"),"ó","o"),"ú","u"),"ü","u"),"ñ","n"),"à","a"),"è","e"),"ì","i"),"ò","o"),"ù","u"),"")</f>
        <v/>
      </c>
      <c r="P182" s="25">
        <f>IF(AND(L182=1,C182&lt;&gt;""),SUBSTITUTE(SUBSTITUTE(SUBSTITUTE(SUBSTITUTE(SUBSTITUTE(SUBSTITUTE(SUBSTITUTE(SUBSTITUTE(SUBSTITUTE(SUBSTITUTE(SUBSTITUTE(SUBSTITUTE(LOWER(TRIM(C182)),"á","a"),"é","e"),"í","i"),"ó","o"),"ú","u"),"ü","u"),"ñ","n"),"à","a"),"è","e"),"ì","i"),"ò","o"),"ù","u"),"")</f>
        <v/>
      </c>
      <c r="Q182" s="25">
        <f>IF(AND(L182=1,E182&lt;&gt;""),SUBSTITUTE(SUBSTITUTE(SUBSTITUTE(SUBSTITUTE(SUBSTITUTE(SUBSTITUTE(SUBSTITUTE(SUBSTITUTE(SUBSTITUTE(SUBSTITUTE(SUBSTITUTE(SUBSTITUTE(LOWER(TRIM(E182)),"á","a"),"é","e"),"í","i"),"ó","o"),"ú","u"),"ü","u"),"ñ","n"),"à","a"),"è","e"),"ì","i"),"ò","o"),"ù","u"),"")</f>
        <v/>
      </c>
      <c r="R182" s="25">
        <f>IF(AND(L182=1,I182&lt;&gt;""),SUBSTITUTE(SUBSTITUTE(SUBSTITUTE(SUBSTITUTE(SUBSTITUTE(SUBSTITUTE(SUBSTITUTE(SUBSTITUTE(SUBSTITUTE(SUBSTITUTE(SUBSTITUTE(SUBSTITUTE(LOWER(TRIM(I182)),"á","a"),"é","e"),"í","i"),"ó","o"),"ú","u"),"ü","u"),"ñ","n"),"à","a"),"è","e"),"ì","i"),"ò","o"),"ù","u"),"")</f>
        <v/>
      </c>
      <c r="S182" s="25">
        <f>IF(R182="","",IF(OR(R182="si",R182="tal vez"),1,0))</f>
        <v/>
      </c>
      <c r="T182" s="25">
        <f>IF(AND(L182=1,D182&lt;&gt;""),IF(IFERROR(COUNTIFS(D$3:D182,"="&amp;SUBSTITUTE(SUBSTITUTE(SUBSTITUTE(D182,"~","~~"),"*","~*"),"?","~?"),L$3:L182,1),0)=1,MAX(T$2:T181)+1,""),"")</f>
        <v/>
      </c>
      <c r="U182" s="25">
        <f>IF(T182="","",COUNTIFS($D$3:$D$1002,"="&amp;SUBSTITUTE(SUBSTITUTE(SUBSTITUTE(D182,"~","~~"),"*","~*"),"?","~?"),$L$3:$L$1002,1)*10000-T182)</f>
        <v/>
      </c>
      <c r="V182" s="25">
        <f>IF(AND(L182=1,J182&lt;&gt;""),IF(IFERROR(COUNTIFS(J$3:J182,"="&amp;SUBSTITUTE(SUBSTITUTE(SUBSTITUTE(J182,"~","~~"),"*","~*"),"?","~?"),L$3:L182,1),0)=1,MAX(V$2:V181)+1,""),"")</f>
        <v/>
      </c>
      <c r="W182" s="25">
        <f>IF(V182="","",COUNTIFS($J$3:$J$1002,"="&amp;SUBSTITUTE(SUBSTITUTE(SUBSTITUTE(J182,"~","~~"),"*","~*"),"?","~?"),$L$3:$L$1002,1)*10000-V182)</f>
        <v/>
      </c>
    </row>
    <row r="183">
      <c r="A183">
        <f>IF(A$2=0,"",IFERROR(TRIM(INDEX('Pegar estudiantes'!$A$1:$BZ$1001,182,A$2)&amp;""),""))</f>
        <v/>
      </c>
      <c r="B183">
        <f>IF(B$2=0,"",IFERROR(TRIM(INDEX('Pegar estudiantes'!$A$1:$BZ$1001,182,B$2)&amp;""),""))</f>
        <v/>
      </c>
      <c r="C183">
        <f>IF(C$2=0,"",IFERROR(TRIM(INDEX('Pegar estudiantes'!$A$1:$BZ$1001,182,C$2)&amp;""),""))</f>
        <v/>
      </c>
      <c r="D183">
        <f>IF(D$2=0,"",IFERROR(TRIM(INDEX('Pegar estudiantes'!$A$1:$BZ$1001,182,D$2)&amp;""),""))</f>
        <v/>
      </c>
      <c r="E183">
        <f>IF(E$2=0,"",IFERROR(TRIM(INDEX('Pegar estudiantes'!$A$1:$BZ$1001,182,E$2)&amp;""),""))</f>
        <v/>
      </c>
      <c r="F183">
        <f>IF(F$2=0,"",IFERROR(TRIM(INDEX('Pegar estudiantes'!$A$1:$BZ$1001,182,F$2)&amp;""),""))</f>
        <v/>
      </c>
      <c r="G183">
        <f>IF(G$2=0,"",IFERROR(TRIM(INDEX('Pegar estudiantes'!$A$1:$BZ$1001,182,G$2)&amp;""),""))</f>
        <v/>
      </c>
      <c r="H183">
        <f>IF(H$2=0,"",IFERROR(TRIM(INDEX('Pegar estudiantes'!$A$1:$BZ$1001,182,H$2)&amp;""),""))</f>
        <v/>
      </c>
      <c r="I183">
        <f>IF(I$2=0,"",IFERROR(TRIM(INDEX('Pegar estudiantes'!$A$1:$BZ$1001,182,I$2)&amp;""),""))</f>
        <v/>
      </c>
      <c r="J183">
        <f>IF(J$2=0,"",IFERROR(TRIM(INDEX('Pegar estudiantes'!$A$1:$BZ$1001,182,J$2)&amp;""),""))</f>
        <v/>
      </c>
      <c r="K183">
        <f>IF(K$2=0,"",IFERROR(TRIM(INDEX('Pegar estudiantes'!$A$1:$BZ$1001,182,K$2)&amp;""),""))</f>
        <v/>
      </c>
      <c r="L183" s="25">
        <f>IF(A183&lt;&gt;"",1,"")</f>
        <v/>
      </c>
      <c r="M183" s="25">
        <f>IF(L183=1,IF(ISNUMBER(FIND("#"&amp;MID(A183,1,1)&amp;"#","#0#1#2#3#4#5#6#7#8#9#")),IF(ISNUMBER(FIND("#"&amp;MID(A183,2,1)&amp;"#","#0#1#2#3#4#5#6#7#8#9#")),IF(AND(VALUE(LEFT(A183,2))&gt;=1,VALUE(LEFT(A183,2))&lt;=5),VALUE(LEFT(A183,2)),""),IF(AND(VALUE(LEFT(A183,1))&gt;=1,VALUE(LEFT(A183,1))&lt;=5),VALUE(LEFT(A183,1)),"")),""),"")</f>
        <v/>
      </c>
      <c r="N183" s="25">
        <f>IF(L183=1,IF(ISNUMBER(FIND("#"&amp;MID(H183,1,1)&amp;"#","#0#1#2#3#4#5#6#7#8#9#")),IF(ISNUMBER(FIND("#"&amp;MID(H183,2,1)&amp;"#","#0#1#2#3#4#5#6#7#8#9#")),IF(AND(VALUE(LEFT(H183,2))&gt;=1,VALUE(LEFT(H183,2))&lt;=5),VALUE(LEFT(H183,2)),""),IF(AND(VALUE(LEFT(H183,1))&gt;=1,VALUE(LEFT(H183,1))&lt;=5),VALUE(LEFT(H183,1)),"")),""),"")</f>
        <v/>
      </c>
      <c r="O183" s="25">
        <f>IF(AND(L183=1,B183&lt;&gt;""),SUBSTITUTE(SUBSTITUTE(SUBSTITUTE(SUBSTITUTE(SUBSTITUTE(SUBSTITUTE(SUBSTITUTE(SUBSTITUTE(SUBSTITUTE(SUBSTITUTE(SUBSTITUTE(SUBSTITUTE(LOWER(TRIM(B183)),"á","a"),"é","e"),"í","i"),"ó","o"),"ú","u"),"ü","u"),"ñ","n"),"à","a"),"è","e"),"ì","i"),"ò","o"),"ù","u"),"")</f>
        <v/>
      </c>
      <c r="P183" s="25">
        <f>IF(AND(L183=1,C183&lt;&gt;""),SUBSTITUTE(SUBSTITUTE(SUBSTITUTE(SUBSTITUTE(SUBSTITUTE(SUBSTITUTE(SUBSTITUTE(SUBSTITUTE(SUBSTITUTE(SUBSTITUTE(SUBSTITUTE(SUBSTITUTE(LOWER(TRIM(C183)),"á","a"),"é","e"),"í","i"),"ó","o"),"ú","u"),"ü","u"),"ñ","n"),"à","a"),"è","e"),"ì","i"),"ò","o"),"ù","u"),"")</f>
        <v/>
      </c>
      <c r="Q183" s="25">
        <f>IF(AND(L183=1,E183&lt;&gt;""),SUBSTITUTE(SUBSTITUTE(SUBSTITUTE(SUBSTITUTE(SUBSTITUTE(SUBSTITUTE(SUBSTITUTE(SUBSTITUTE(SUBSTITUTE(SUBSTITUTE(SUBSTITUTE(SUBSTITUTE(LOWER(TRIM(E183)),"á","a"),"é","e"),"í","i"),"ó","o"),"ú","u"),"ü","u"),"ñ","n"),"à","a"),"è","e"),"ì","i"),"ò","o"),"ù","u"),"")</f>
        <v/>
      </c>
      <c r="R183" s="25">
        <f>IF(AND(L183=1,I183&lt;&gt;""),SUBSTITUTE(SUBSTITUTE(SUBSTITUTE(SUBSTITUTE(SUBSTITUTE(SUBSTITUTE(SUBSTITUTE(SUBSTITUTE(SUBSTITUTE(SUBSTITUTE(SUBSTITUTE(SUBSTITUTE(LOWER(TRIM(I183)),"á","a"),"é","e"),"í","i"),"ó","o"),"ú","u"),"ü","u"),"ñ","n"),"à","a"),"è","e"),"ì","i"),"ò","o"),"ù","u"),"")</f>
        <v/>
      </c>
      <c r="S183" s="25">
        <f>IF(R183="","",IF(OR(R183="si",R183="tal vez"),1,0))</f>
        <v/>
      </c>
      <c r="T183" s="25">
        <f>IF(AND(L183=1,D183&lt;&gt;""),IF(IFERROR(COUNTIFS(D$3:D183,"="&amp;SUBSTITUTE(SUBSTITUTE(SUBSTITUTE(D183,"~","~~"),"*","~*"),"?","~?"),L$3:L183,1),0)=1,MAX(T$2:T182)+1,""),"")</f>
        <v/>
      </c>
      <c r="U183" s="25">
        <f>IF(T183="","",COUNTIFS($D$3:$D$1002,"="&amp;SUBSTITUTE(SUBSTITUTE(SUBSTITUTE(D183,"~","~~"),"*","~*"),"?","~?"),$L$3:$L$1002,1)*10000-T183)</f>
        <v/>
      </c>
      <c r="V183" s="25">
        <f>IF(AND(L183=1,J183&lt;&gt;""),IF(IFERROR(COUNTIFS(J$3:J183,"="&amp;SUBSTITUTE(SUBSTITUTE(SUBSTITUTE(J183,"~","~~"),"*","~*"),"?","~?"),L$3:L183,1),0)=1,MAX(V$2:V182)+1,""),"")</f>
        <v/>
      </c>
      <c r="W183" s="25">
        <f>IF(V183="","",COUNTIFS($J$3:$J$1002,"="&amp;SUBSTITUTE(SUBSTITUTE(SUBSTITUTE(J183,"~","~~"),"*","~*"),"?","~?"),$L$3:$L$1002,1)*10000-V183)</f>
        <v/>
      </c>
    </row>
    <row r="184">
      <c r="A184">
        <f>IF(A$2=0,"",IFERROR(TRIM(INDEX('Pegar estudiantes'!$A$1:$BZ$1001,183,A$2)&amp;""),""))</f>
        <v/>
      </c>
      <c r="B184">
        <f>IF(B$2=0,"",IFERROR(TRIM(INDEX('Pegar estudiantes'!$A$1:$BZ$1001,183,B$2)&amp;""),""))</f>
        <v/>
      </c>
      <c r="C184">
        <f>IF(C$2=0,"",IFERROR(TRIM(INDEX('Pegar estudiantes'!$A$1:$BZ$1001,183,C$2)&amp;""),""))</f>
        <v/>
      </c>
      <c r="D184">
        <f>IF(D$2=0,"",IFERROR(TRIM(INDEX('Pegar estudiantes'!$A$1:$BZ$1001,183,D$2)&amp;""),""))</f>
        <v/>
      </c>
      <c r="E184">
        <f>IF(E$2=0,"",IFERROR(TRIM(INDEX('Pegar estudiantes'!$A$1:$BZ$1001,183,E$2)&amp;""),""))</f>
        <v/>
      </c>
      <c r="F184">
        <f>IF(F$2=0,"",IFERROR(TRIM(INDEX('Pegar estudiantes'!$A$1:$BZ$1001,183,F$2)&amp;""),""))</f>
        <v/>
      </c>
      <c r="G184">
        <f>IF(G$2=0,"",IFERROR(TRIM(INDEX('Pegar estudiantes'!$A$1:$BZ$1001,183,G$2)&amp;""),""))</f>
        <v/>
      </c>
      <c r="H184">
        <f>IF(H$2=0,"",IFERROR(TRIM(INDEX('Pegar estudiantes'!$A$1:$BZ$1001,183,H$2)&amp;""),""))</f>
        <v/>
      </c>
      <c r="I184">
        <f>IF(I$2=0,"",IFERROR(TRIM(INDEX('Pegar estudiantes'!$A$1:$BZ$1001,183,I$2)&amp;""),""))</f>
        <v/>
      </c>
      <c r="J184">
        <f>IF(J$2=0,"",IFERROR(TRIM(INDEX('Pegar estudiantes'!$A$1:$BZ$1001,183,J$2)&amp;""),""))</f>
        <v/>
      </c>
      <c r="K184">
        <f>IF(K$2=0,"",IFERROR(TRIM(INDEX('Pegar estudiantes'!$A$1:$BZ$1001,183,K$2)&amp;""),""))</f>
        <v/>
      </c>
      <c r="L184" s="25">
        <f>IF(A184&lt;&gt;"",1,"")</f>
        <v/>
      </c>
      <c r="M184" s="25">
        <f>IF(L184=1,IF(ISNUMBER(FIND("#"&amp;MID(A184,1,1)&amp;"#","#0#1#2#3#4#5#6#7#8#9#")),IF(ISNUMBER(FIND("#"&amp;MID(A184,2,1)&amp;"#","#0#1#2#3#4#5#6#7#8#9#")),IF(AND(VALUE(LEFT(A184,2))&gt;=1,VALUE(LEFT(A184,2))&lt;=5),VALUE(LEFT(A184,2)),""),IF(AND(VALUE(LEFT(A184,1))&gt;=1,VALUE(LEFT(A184,1))&lt;=5),VALUE(LEFT(A184,1)),"")),""),"")</f>
        <v/>
      </c>
      <c r="N184" s="25">
        <f>IF(L184=1,IF(ISNUMBER(FIND("#"&amp;MID(H184,1,1)&amp;"#","#0#1#2#3#4#5#6#7#8#9#")),IF(ISNUMBER(FIND("#"&amp;MID(H184,2,1)&amp;"#","#0#1#2#3#4#5#6#7#8#9#")),IF(AND(VALUE(LEFT(H184,2))&gt;=1,VALUE(LEFT(H184,2))&lt;=5),VALUE(LEFT(H184,2)),""),IF(AND(VALUE(LEFT(H184,1))&gt;=1,VALUE(LEFT(H184,1))&lt;=5),VALUE(LEFT(H184,1)),"")),""),"")</f>
        <v/>
      </c>
      <c r="O184" s="25">
        <f>IF(AND(L184=1,B184&lt;&gt;""),SUBSTITUTE(SUBSTITUTE(SUBSTITUTE(SUBSTITUTE(SUBSTITUTE(SUBSTITUTE(SUBSTITUTE(SUBSTITUTE(SUBSTITUTE(SUBSTITUTE(SUBSTITUTE(SUBSTITUTE(LOWER(TRIM(B184)),"á","a"),"é","e"),"í","i"),"ó","o"),"ú","u"),"ü","u"),"ñ","n"),"à","a"),"è","e"),"ì","i"),"ò","o"),"ù","u"),"")</f>
        <v/>
      </c>
      <c r="P184" s="25">
        <f>IF(AND(L184=1,C184&lt;&gt;""),SUBSTITUTE(SUBSTITUTE(SUBSTITUTE(SUBSTITUTE(SUBSTITUTE(SUBSTITUTE(SUBSTITUTE(SUBSTITUTE(SUBSTITUTE(SUBSTITUTE(SUBSTITUTE(SUBSTITUTE(LOWER(TRIM(C184)),"á","a"),"é","e"),"í","i"),"ó","o"),"ú","u"),"ü","u"),"ñ","n"),"à","a"),"è","e"),"ì","i"),"ò","o"),"ù","u"),"")</f>
        <v/>
      </c>
      <c r="Q184" s="25">
        <f>IF(AND(L184=1,E184&lt;&gt;""),SUBSTITUTE(SUBSTITUTE(SUBSTITUTE(SUBSTITUTE(SUBSTITUTE(SUBSTITUTE(SUBSTITUTE(SUBSTITUTE(SUBSTITUTE(SUBSTITUTE(SUBSTITUTE(SUBSTITUTE(LOWER(TRIM(E184)),"á","a"),"é","e"),"í","i"),"ó","o"),"ú","u"),"ü","u"),"ñ","n"),"à","a"),"è","e"),"ì","i"),"ò","o"),"ù","u"),"")</f>
        <v/>
      </c>
      <c r="R184" s="25">
        <f>IF(AND(L184=1,I184&lt;&gt;""),SUBSTITUTE(SUBSTITUTE(SUBSTITUTE(SUBSTITUTE(SUBSTITUTE(SUBSTITUTE(SUBSTITUTE(SUBSTITUTE(SUBSTITUTE(SUBSTITUTE(SUBSTITUTE(SUBSTITUTE(LOWER(TRIM(I184)),"á","a"),"é","e"),"í","i"),"ó","o"),"ú","u"),"ü","u"),"ñ","n"),"à","a"),"è","e"),"ì","i"),"ò","o"),"ù","u"),"")</f>
        <v/>
      </c>
      <c r="S184" s="25">
        <f>IF(R184="","",IF(OR(R184="si",R184="tal vez"),1,0))</f>
        <v/>
      </c>
      <c r="T184" s="25">
        <f>IF(AND(L184=1,D184&lt;&gt;""),IF(IFERROR(COUNTIFS(D$3:D184,"="&amp;SUBSTITUTE(SUBSTITUTE(SUBSTITUTE(D184,"~","~~"),"*","~*"),"?","~?"),L$3:L184,1),0)=1,MAX(T$2:T183)+1,""),"")</f>
        <v/>
      </c>
      <c r="U184" s="25">
        <f>IF(T184="","",COUNTIFS($D$3:$D$1002,"="&amp;SUBSTITUTE(SUBSTITUTE(SUBSTITUTE(D184,"~","~~"),"*","~*"),"?","~?"),$L$3:$L$1002,1)*10000-T184)</f>
        <v/>
      </c>
      <c r="V184" s="25">
        <f>IF(AND(L184=1,J184&lt;&gt;""),IF(IFERROR(COUNTIFS(J$3:J184,"="&amp;SUBSTITUTE(SUBSTITUTE(SUBSTITUTE(J184,"~","~~"),"*","~*"),"?","~?"),L$3:L184,1),0)=1,MAX(V$2:V183)+1,""),"")</f>
        <v/>
      </c>
      <c r="W184" s="25">
        <f>IF(V184="","",COUNTIFS($J$3:$J$1002,"="&amp;SUBSTITUTE(SUBSTITUTE(SUBSTITUTE(J184,"~","~~"),"*","~*"),"?","~?"),$L$3:$L$1002,1)*10000-V184)</f>
        <v/>
      </c>
    </row>
    <row r="185">
      <c r="A185">
        <f>IF(A$2=0,"",IFERROR(TRIM(INDEX('Pegar estudiantes'!$A$1:$BZ$1001,184,A$2)&amp;""),""))</f>
        <v/>
      </c>
      <c r="B185">
        <f>IF(B$2=0,"",IFERROR(TRIM(INDEX('Pegar estudiantes'!$A$1:$BZ$1001,184,B$2)&amp;""),""))</f>
        <v/>
      </c>
      <c r="C185">
        <f>IF(C$2=0,"",IFERROR(TRIM(INDEX('Pegar estudiantes'!$A$1:$BZ$1001,184,C$2)&amp;""),""))</f>
        <v/>
      </c>
      <c r="D185">
        <f>IF(D$2=0,"",IFERROR(TRIM(INDEX('Pegar estudiantes'!$A$1:$BZ$1001,184,D$2)&amp;""),""))</f>
        <v/>
      </c>
      <c r="E185">
        <f>IF(E$2=0,"",IFERROR(TRIM(INDEX('Pegar estudiantes'!$A$1:$BZ$1001,184,E$2)&amp;""),""))</f>
        <v/>
      </c>
      <c r="F185">
        <f>IF(F$2=0,"",IFERROR(TRIM(INDEX('Pegar estudiantes'!$A$1:$BZ$1001,184,F$2)&amp;""),""))</f>
        <v/>
      </c>
      <c r="G185">
        <f>IF(G$2=0,"",IFERROR(TRIM(INDEX('Pegar estudiantes'!$A$1:$BZ$1001,184,G$2)&amp;""),""))</f>
        <v/>
      </c>
      <c r="H185">
        <f>IF(H$2=0,"",IFERROR(TRIM(INDEX('Pegar estudiantes'!$A$1:$BZ$1001,184,H$2)&amp;""),""))</f>
        <v/>
      </c>
      <c r="I185">
        <f>IF(I$2=0,"",IFERROR(TRIM(INDEX('Pegar estudiantes'!$A$1:$BZ$1001,184,I$2)&amp;""),""))</f>
        <v/>
      </c>
      <c r="J185">
        <f>IF(J$2=0,"",IFERROR(TRIM(INDEX('Pegar estudiantes'!$A$1:$BZ$1001,184,J$2)&amp;""),""))</f>
        <v/>
      </c>
      <c r="K185">
        <f>IF(K$2=0,"",IFERROR(TRIM(INDEX('Pegar estudiantes'!$A$1:$BZ$1001,184,K$2)&amp;""),""))</f>
        <v/>
      </c>
      <c r="L185" s="25">
        <f>IF(A185&lt;&gt;"",1,"")</f>
        <v/>
      </c>
      <c r="M185" s="25">
        <f>IF(L185=1,IF(ISNUMBER(FIND("#"&amp;MID(A185,1,1)&amp;"#","#0#1#2#3#4#5#6#7#8#9#")),IF(ISNUMBER(FIND("#"&amp;MID(A185,2,1)&amp;"#","#0#1#2#3#4#5#6#7#8#9#")),IF(AND(VALUE(LEFT(A185,2))&gt;=1,VALUE(LEFT(A185,2))&lt;=5),VALUE(LEFT(A185,2)),""),IF(AND(VALUE(LEFT(A185,1))&gt;=1,VALUE(LEFT(A185,1))&lt;=5),VALUE(LEFT(A185,1)),"")),""),"")</f>
        <v/>
      </c>
      <c r="N185" s="25">
        <f>IF(L185=1,IF(ISNUMBER(FIND("#"&amp;MID(H185,1,1)&amp;"#","#0#1#2#3#4#5#6#7#8#9#")),IF(ISNUMBER(FIND("#"&amp;MID(H185,2,1)&amp;"#","#0#1#2#3#4#5#6#7#8#9#")),IF(AND(VALUE(LEFT(H185,2))&gt;=1,VALUE(LEFT(H185,2))&lt;=5),VALUE(LEFT(H185,2)),""),IF(AND(VALUE(LEFT(H185,1))&gt;=1,VALUE(LEFT(H185,1))&lt;=5),VALUE(LEFT(H185,1)),"")),""),"")</f>
        <v/>
      </c>
      <c r="O185" s="25">
        <f>IF(AND(L185=1,B185&lt;&gt;""),SUBSTITUTE(SUBSTITUTE(SUBSTITUTE(SUBSTITUTE(SUBSTITUTE(SUBSTITUTE(SUBSTITUTE(SUBSTITUTE(SUBSTITUTE(SUBSTITUTE(SUBSTITUTE(SUBSTITUTE(LOWER(TRIM(B185)),"á","a"),"é","e"),"í","i"),"ó","o"),"ú","u"),"ü","u"),"ñ","n"),"à","a"),"è","e"),"ì","i"),"ò","o"),"ù","u"),"")</f>
        <v/>
      </c>
      <c r="P185" s="25">
        <f>IF(AND(L185=1,C185&lt;&gt;""),SUBSTITUTE(SUBSTITUTE(SUBSTITUTE(SUBSTITUTE(SUBSTITUTE(SUBSTITUTE(SUBSTITUTE(SUBSTITUTE(SUBSTITUTE(SUBSTITUTE(SUBSTITUTE(SUBSTITUTE(LOWER(TRIM(C185)),"á","a"),"é","e"),"í","i"),"ó","o"),"ú","u"),"ü","u"),"ñ","n"),"à","a"),"è","e"),"ì","i"),"ò","o"),"ù","u"),"")</f>
        <v/>
      </c>
      <c r="Q185" s="25">
        <f>IF(AND(L185=1,E185&lt;&gt;""),SUBSTITUTE(SUBSTITUTE(SUBSTITUTE(SUBSTITUTE(SUBSTITUTE(SUBSTITUTE(SUBSTITUTE(SUBSTITUTE(SUBSTITUTE(SUBSTITUTE(SUBSTITUTE(SUBSTITUTE(LOWER(TRIM(E185)),"á","a"),"é","e"),"í","i"),"ó","o"),"ú","u"),"ü","u"),"ñ","n"),"à","a"),"è","e"),"ì","i"),"ò","o"),"ù","u"),"")</f>
        <v/>
      </c>
      <c r="R185" s="25">
        <f>IF(AND(L185=1,I185&lt;&gt;""),SUBSTITUTE(SUBSTITUTE(SUBSTITUTE(SUBSTITUTE(SUBSTITUTE(SUBSTITUTE(SUBSTITUTE(SUBSTITUTE(SUBSTITUTE(SUBSTITUTE(SUBSTITUTE(SUBSTITUTE(LOWER(TRIM(I185)),"á","a"),"é","e"),"í","i"),"ó","o"),"ú","u"),"ü","u"),"ñ","n"),"à","a"),"è","e"),"ì","i"),"ò","o"),"ù","u"),"")</f>
        <v/>
      </c>
      <c r="S185" s="25">
        <f>IF(R185="","",IF(OR(R185="si",R185="tal vez"),1,0))</f>
        <v/>
      </c>
      <c r="T185" s="25">
        <f>IF(AND(L185=1,D185&lt;&gt;""),IF(IFERROR(COUNTIFS(D$3:D185,"="&amp;SUBSTITUTE(SUBSTITUTE(SUBSTITUTE(D185,"~","~~"),"*","~*"),"?","~?"),L$3:L185,1),0)=1,MAX(T$2:T184)+1,""),"")</f>
        <v/>
      </c>
      <c r="U185" s="25">
        <f>IF(T185="","",COUNTIFS($D$3:$D$1002,"="&amp;SUBSTITUTE(SUBSTITUTE(SUBSTITUTE(D185,"~","~~"),"*","~*"),"?","~?"),$L$3:$L$1002,1)*10000-T185)</f>
        <v/>
      </c>
      <c r="V185" s="25">
        <f>IF(AND(L185=1,J185&lt;&gt;""),IF(IFERROR(COUNTIFS(J$3:J185,"="&amp;SUBSTITUTE(SUBSTITUTE(SUBSTITUTE(J185,"~","~~"),"*","~*"),"?","~?"),L$3:L185,1),0)=1,MAX(V$2:V184)+1,""),"")</f>
        <v/>
      </c>
      <c r="W185" s="25">
        <f>IF(V185="","",COUNTIFS($J$3:$J$1002,"="&amp;SUBSTITUTE(SUBSTITUTE(SUBSTITUTE(J185,"~","~~"),"*","~*"),"?","~?"),$L$3:$L$1002,1)*10000-V185)</f>
        <v/>
      </c>
    </row>
    <row r="186">
      <c r="A186">
        <f>IF(A$2=0,"",IFERROR(TRIM(INDEX('Pegar estudiantes'!$A$1:$BZ$1001,185,A$2)&amp;""),""))</f>
        <v/>
      </c>
      <c r="B186">
        <f>IF(B$2=0,"",IFERROR(TRIM(INDEX('Pegar estudiantes'!$A$1:$BZ$1001,185,B$2)&amp;""),""))</f>
        <v/>
      </c>
      <c r="C186">
        <f>IF(C$2=0,"",IFERROR(TRIM(INDEX('Pegar estudiantes'!$A$1:$BZ$1001,185,C$2)&amp;""),""))</f>
        <v/>
      </c>
      <c r="D186">
        <f>IF(D$2=0,"",IFERROR(TRIM(INDEX('Pegar estudiantes'!$A$1:$BZ$1001,185,D$2)&amp;""),""))</f>
        <v/>
      </c>
      <c r="E186">
        <f>IF(E$2=0,"",IFERROR(TRIM(INDEX('Pegar estudiantes'!$A$1:$BZ$1001,185,E$2)&amp;""),""))</f>
        <v/>
      </c>
      <c r="F186">
        <f>IF(F$2=0,"",IFERROR(TRIM(INDEX('Pegar estudiantes'!$A$1:$BZ$1001,185,F$2)&amp;""),""))</f>
        <v/>
      </c>
      <c r="G186">
        <f>IF(G$2=0,"",IFERROR(TRIM(INDEX('Pegar estudiantes'!$A$1:$BZ$1001,185,G$2)&amp;""),""))</f>
        <v/>
      </c>
      <c r="H186">
        <f>IF(H$2=0,"",IFERROR(TRIM(INDEX('Pegar estudiantes'!$A$1:$BZ$1001,185,H$2)&amp;""),""))</f>
        <v/>
      </c>
      <c r="I186">
        <f>IF(I$2=0,"",IFERROR(TRIM(INDEX('Pegar estudiantes'!$A$1:$BZ$1001,185,I$2)&amp;""),""))</f>
        <v/>
      </c>
      <c r="J186">
        <f>IF(J$2=0,"",IFERROR(TRIM(INDEX('Pegar estudiantes'!$A$1:$BZ$1001,185,J$2)&amp;""),""))</f>
        <v/>
      </c>
      <c r="K186">
        <f>IF(K$2=0,"",IFERROR(TRIM(INDEX('Pegar estudiantes'!$A$1:$BZ$1001,185,K$2)&amp;""),""))</f>
        <v/>
      </c>
      <c r="L186" s="25">
        <f>IF(A186&lt;&gt;"",1,"")</f>
        <v/>
      </c>
      <c r="M186" s="25">
        <f>IF(L186=1,IF(ISNUMBER(FIND("#"&amp;MID(A186,1,1)&amp;"#","#0#1#2#3#4#5#6#7#8#9#")),IF(ISNUMBER(FIND("#"&amp;MID(A186,2,1)&amp;"#","#0#1#2#3#4#5#6#7#8#9#")),IF(AND(VALUE(LEFT(A186,2))&gt;=1,VALUE(LEFT(A186,2))&lt;=5),VALUE(LEFT(A186,2)),""),IF(AND(VALUE(LEFT(A186,1))&gt;=1,VALUE(LEFT(A186,1))&lt;=5),VALUE(LEFT(A186,1)),"")),""),"")</f>
        <v/>
      </c>
      <c r="N186" s="25">
        <f>IF(L186=1,IF(ISNUMBER(FIND("#"&amp;MID(H186,1,1)&amp;"#","#0#1#2#3#4#5#6#7#8#9#")),IF(ISNUMBER(FIND("#"&amp;MID(H186,2,1)&amp;"#","#0#1#2#3#4#5#6#7#8#9#")),IF(AND(VALUE(LEFT(H186,2))&gt;=1,VALUE(LEFT(H186,2))&lt;=5),VALUE(LEFT(H186,2)),""),IF(AND(VALUE(LEFT(H186,1))&gt;=1,VALUE(LEFT(H186,1))&lt;=5),VALUE(LEFT(H186,1)),"")),""),"")</f>
        <v/>
      </c>
      <c r="O186" s="25">
        <f>IF(AND(L186=1,B186&lt;&gt;""),SUBSTITUTE(SUBSTITUTE(SUBSTITUTE(SUBSTITUTE(SUBSTITUTE(SUBSTITUTE(SUBSTITUTE(SUBSTITUTE(SUBSTITUTE(SUBSTITUTE(SUBSTITUTE(SUBSTITUTE(LOWER(TRIM(B186)),"á","a"),"é","e"),"í","i"),"ó","o"),"ú","u"),"ü","u"),"ñ","n"),"à","a"),"è","e"),"ì","i"),"ò","o"),"ù","u"),"")</f>
        <v/>
      </c>
      <c r="P186" s="25">
        <f>IF(AND(L186=1,C186&lt;&gt;""),SUBSTITUTE(SUBSTITUTE(SUBSTITUTE(SUBSTITUTE(SUBSTITUTE(SUBSTITUTE(SUBSTITUTE(SUBSTITUTE(SUBSTITUTE(SUBSTITUTE(SUBSTITUTE(SUBSTITUTE(LOWER(TRIM(C186)),"á","a"),"é","e"),"í","i"),"ó","o"),"ú","u"),"ü","u"),"ñ","n"),"à","a"),"è","e"),"ì","i"),"ò","o"),"ù","u"),"")</f>
        <v/>
      </c>
      <c r="Q186" s="25">
        <f>IF(AND(L186=1,E186&lt;&gt;""),SUBSTITUTE(SUBSTITUTE(SUBSTITUTE(SUBSTITUTE(SUBSTITUTE(SUBSTITUTE(SUBSTITUTE(SUBSTITUTE(SUBSTITUTE(SUBSTITUTE(SUBSTITUTE(SUBSTITUTE(LOWER(TRIM(E186)),"á","a"),"é","e"),"í","i"),"ó","o"),"ú","u"),"ü","u"),"ñ","n"),"à","a"),"è","e"),"ì","i"),"ò","o"),"ù","u"),"")</f>
        <v/>
      </c>
      <c r="R186" s="25">
        <f>IF(AND(L186=1,I186&lt;&gt;""),SUBSTITUTE(SUBSTITUTE(SUBSTITUTE(SUBSTITUTE(SUBSTITUTE(SUBSTITUTE(SUBSTITUTE(SUBSTITUTE(SUBSTITUTE(SUBSTITUTE(SUBSTITUTE(SUBSTITUTE(LOWER(TRIM(I186)),"á","a"),"é","e"),"í","i"),"ó","o"),"ú","u"),"ü","u"),"ñ","n"),"à","a"),"è","e"),"ì","i"),"ò","o"),"ù","u"),"")</f>
        <v/>
      </c>
      <c r="S186" s="25">
        <f>IF(R186="","",IF(OR(R186="si",R186="tal vez"),1,0))</f>
        <v/>
      </c>
      <c r="T186" s="25">
        <f>IF(AND(L186=1,D186&lt;&gt;""),IF(IFERROR(COUNTIFS(D$3:D186,"="&amp;SUBSTITUTE(SUBSTITUTE(SUBSTITUTE(D186,"~","~~"),"*","~*"),"?","~?"),L$3:L186,1),0)=1,MAX(T$2:T185)+1,""),"")</f>
        <v/>
      </c>
      <c r="U186" s="25">
        <f>IF(T186="","",COUNTIFS($D$3:$D$1002,"="&amp;SUBSTITUTE(SUBSTITUTE(SUBSTITUTE(D186,"~","~~"),"*","~*"),"?","~?"),$L$3:$L$1002,1)*10000-T186)</f>
        <v/>
      </c>
      <c r="V186" s="25">
        <f>IF(AND(L186=1,J186&lt;&gt;""),IF(IFERROR(COUNTIFS(J$3:J186,"="&amp;SUBSTITUTE(SUBSTITUTE(SUBSTITUTE(J186,"~","~~"),"*","~*"),"?","~?"),L$3:L186,1),0)=1,MAX(V$2:V185)+1,""),"")</f>
        <v/>
      </c>
      <c r="W186" s="25">
        <f>IF(V186="","",COUNTIFS($J$3:$J$1002,"="&amp;SUBSTITUTE(SUBSTITUTE(SUBSTITUTE(J186,"~","~~"),"*","~*"),"?","~?"),$L$3:$L$1002,1)*10000-V186)</f>
        <v/>
      </c>
    </row>
    <row r="187">
      <c r="A187">
        <f>IF(A$2=0,"",IFERROR(TRIM(INDEX('Pegar estudiantes'!$A$1:$BZ$1001,186,A$2)&amp;""),""))</f>
        <v/>
      </c>
      <c r="B187">
        <f>IF(B$2=0,"",IFERROR(TRIM(INDEX('Pegar estudiantes'!$A$1:$BZ$1001,186,B$2)&amp;""),""))</f>
        <v/>
      </c>
      <c r="C187">
        <f>IF(C$2=0,"",IFERROR(TRIM(INDEX('Pegar estudiantes'!$A$1:$BZ$1001,186,C$2)&amp;""),""))</f>
        <v/>
      </c>
      <c r="D187">
        <f>IF(D$2=0,"",IFERROR(TRIM(INDEX('Pegar estudiantes'!$A$1:$BZ$1001,186,D$2)&amp;""),""))</f>
        <v/>
      </c>
      <c r="E187">
        <f>IF(E$2=0,"",IFERROR(TRIM(INDEX('Pegar estudiantes'!$A$1:$BZ$1001,186,E$2)&amp;""),""))</f>
        <v/>
      </c>
      <c r="F187">
        <f>IF(F$2=0,"",IFERROR(TRIM(INDEX('Pegar estudiantes'!$A$1:$BZ$1001,186,F$2)&amp;""),""))</f>
        <v/>
      </c>
      <c r="G187">
        <f>IF(G$2=0,"",IFERROR(TRIM(INDEX('Pegar estudiantes'!$A$1:$BZ$1001,186,G$2)&amp;""),""))</f>
        <v/>
      </c>
      <c r="H187">
        <f>IF(H$2=0,"",IFERROR(TRIM(INDEX('Pegar estudiantes'!$A$1:$BZ$1001,186,H$2)&amp;""),""))</f>
        <v/>
      </c>
      <c r="I187">
        <f>IF(I$2=0,"",IFERROR(TRIM(INDEX('Pegar estudiantes'!$A$1:$BZ$1001,186,I$2)&amp;""),""))</f>
        <v/>
      </c>
      <c r="J187">
        <f>IF(J$2=0,"",IFERROR(TRIM(INDEX('Pegar estudiantes'!$A$1:$BZ$1001,186,J$2)&amp;""),""))</f>
        <v/>
      </c>
      <c r="K187">
        <f>IF(K$2=0,"",IFERROR(TRIM(INDEX('Pegar estudiantes'!$A$1:$BZ$1001,186,K$2)&amp;""),""))</f>
        <v/>
      </c>
      <c r="L187" s="25">
        <f>IF(A187&lt;&gt;"",1,"")</f>
        <v/>
      </c>
      <c r="M187" s="25">
        <f>IF(L187=1,IF(ISNUMBER(FIND("#"&amp;MID(A187,1,1)&amp;"#","#0#1#2#3#4#5#6#7#8#9#")),IF(ISNUMBER(FIND("#"&amp;MID(A187,2,1)&amp;"#","#0#1#2#3#4#5#6#7#8#9#")),IF(AND(VALUE(LEFT(A187,2))&gt;=1,VALUE(LEFT(A187,2))&lt;=5),VALUE(LEFT(A187,2)),""),IF(AND(VALUE(LEFT(A187,1))&gt;=1,VALUE(LEFT(A187,1))&lt;=5),VALUE(LEFT(A187,1)),"")),""),"")</f>
        <v/>
      </c>
      <c r="N187" s="25">
        <f>IF(L187=1,IF(ISNUMBER(FIND("#"&amp;MID(H187,1,1)&amp;"#","#0#1#2#3#4#5#6#7#8#9#")),IF(ISNUMBER(FIND("#"&amp;MID(H187,2,1)&amp;"#","#0#1#2#3#4#5#6#7#8#9#")),IF(AND(VALUE(LEFT(H187,2))&gt;=1,VALUE(LEFT(H187,2))&lt;=5),VALUE(LEFT(H187,2)),""),IF(AND(VALUE(LEFT(H187,1))&gt;=1,VALUE(LEFT(H187,1))&lt;=5),VALUE(LEFT(H187,1)),"")),""),"")</f>
        <v/>
      </c>
      <c r="O187" s="25">
        <f>IF(AND(L187=1,B187&lt;&gt;""),SUBSTITUTE(SUBSTITUTE(SUBSTITUTE(SUBSTITUTE(SUBSTITUTE(SUBSTITUTE(SUBSTITUTE(SUBSTITUTE(SUBSTITUTE(SUBSTITUTE(SUBSTITUTE(SUBSTITUTE(LOWER(TRIM(B187)),"á","a"),"é","e"),"í","i"),"ó","o"),"ú","u"),"ü","u"),"ñ","n"),"à","a"),"è","e"),"ì","i"),"ò","o"),"ù","u"),"")</f>
        <v/>
      </c>
      <c r="P187" s="25">
        <f>IF(AND(L187=1,C187&lt;&gt;""),SUBSTITUTE(SUBSTITUTE(SUBSTITUTE(SUBSTITUTE(SUBSTITUTE(SUBSTITUTE(SUBSTITUTE(SUBSTITUTE(SUBSTITUTE(SUBSTITUTE(SUBSTITUTE(SUBSTITUTE(LOWER(TRIM(C187)),"á","a"),"é","e"),"í","i"),"ó","o"),"ú","u"),"ü","u"),"ñ","n"),"à","a"),"è","e"),"ì","i"),"ò","o"),"ù","u"),"")</f>
        <v/>
      </c>
      <c r="Q187" s="25">
        <f>IF(AND(L187=1,E187&lt;&gt;""),SUBSTITUTE(SUBSTITUTE(SUBSTITUTE(SUBSTITUTE(SUBSTITUTE(SUBSTITUTE(SUBSTITUTE(SUBSTITUTE(SUBSTITUTE(SUBSTITUTE(SUBSTITUTE(SUBSTITUTE(LOWER(TRIM(E187)),"á","a"),"é","e"),"í","i"),"ó","o"),"ú","u"),"ü","u"),"ñ","n"),"à","a"),"è","e"),"ì","i"),"ò","o"),"ù","u"),"")</f>
        <v/>
      </c>
      <c r="R187" s="25">
        <f>IF(AND(L187=1,I187&lt;&gt;""),SUBSTITUTE(SUBSTITUTE(SUBSTITUTE(SUBSTITUTE(SUBSTITUTE(SUBSTITUTE(SUBSTITUTE(SUBSTITUTE(SUBSTITUTE(SUBSTITUTE(SUBSTITUTE(SUBSTITUTE(LOWER(TRIM(I187)),"á","a"),"é","e"),"í","i"),"ó","o"),"ú","u"),"ü","u"),"ñ","n"),"à","a"),"è","e"),"ì","i"),"ò","o"),"ù","u"),"")</f>
        <v/>
      </c>
      <c r="S187" s="25">
        <f>IF(R187="","",IF(OR(R187="si",R187="tal vez"),1,0))</f>
        <v/>
      </c>
      <c r="T187" s="25">
        <f>IF(AND(L187=1,D187&lt;&gt;""),IF(IFERROR(COUNTIFS(D$3:D187,"="&amp;SUBSTITUTE(SUBSTITUTE(SUBSTITUTE(D187,"~","~~"),"*","~*"),"?","~?"),L$3:L187,1),0)=1,MAX(T$2:T186)+1,""),"")</f>
        <v/>
      </c>
      <c r="U187" s="25">
        <f>IF(T187="","",COUNTIFS($D$3:$D$1002,"="&amp;SUBSTITUTE(SUBSTITUTE(SUBSTITUTE(D187,"~","~~"),"*","~*"),"?","~?"),$L$3:$L$1002,1)*10000-T187)</f>
        <v/>
      </c>
      <c r="V187" s="25">
        <f>IF(AND(L187=1,J187&lt;&gt;""),IF(IFERROR(COUNTIFS(J$3:J187,"="&amp;SUBSTITUTE(SUBSTITUTE(SUBSTITUTE(J187,"~","~~"),"*","~*"),"?","~?"),L$3:L187,1),0)=1,MAX(V$2:V186)+1,""),"")</f>
        <v/>
      </c>
      <c r="W187" s="25">
        <f>IF(V187="","",COUNTIFS($J$3:$J$1002,"="&amp;SUBSTITUTE(SUBSTITUTE(SUBSTITUTE(J187,"~","~~"),"*","~*"),"?","~?"),$L$3:$L$1002,1)*10000-V187)</f>
        <v/>
      </c>
    </row>
    <row r="188">
      <c r="A188">
        <f>IF(A$2=0,"",IFERROR(TRIM(INDEX('Pegar estudiantes'!$A$1:$BZ$1001,187,A$2)&amp;""),""))</f>
        <v/>
      </c>
      <c r="B188">
        <f>IF(B$2=0,"",IFERROR(TRIM(INDEX('Pegar estudiantes'!$A$1:$BZ$1001,187,B$2)&amp;""),""))</f>
        <v/>
      </c>
      <c r="C188">
        <f>IF(C$2=0,"",IFERROR(TRIM(INDEX('Pegar estudiantes'!$A$1:$BZ$1001,187,C$2)&amp;""),""))</f>
        <v/>
      </c>
      <c r="D188">
        <f>IF(D$2=0,"",IFERROR(TRIM(INDEX('Pegar estudiantes'!$A$1:$BZ$1001,187,D$2)&amp;""),""))</f>
        <v/>
      </c>
      <c r="E188">
        <f>IF(E$2=0,"",IFERROR(TRIM(INDEX('Pegar estudiantes'!$A$1:$BZ$1001,187,E$2)&amp;""),""))</f>
        <v/>
      </c>
      <c r="F188">
        <f>IF(F$2=0,"",IFERROR(TRIM(INDEX('Pegar estudiantes'!$A$1:$BZ$1001,187,F$2)&amp;""),""))</f>
        <v/>
      </c>
      <c r="G188">
        <f>IF(G$2=0,"",IFERROR(TRIM(INDEX('Pegar estudiantes'!$A$1:$BZ$1001,187,G$2)&amp;""),""))</f>
        <v/>
      </c>
      <c r="H188">
        <f>IF(H$2=0,"",IFERROR(TRIM(INDEX('Pegar estudiantes'!$A$1:$BZ$1001,187,H$2)&amp;""),""))</f>
        <v/>
      </c>
      <c r="I188">
        <f>IF(I$2=0,"",IFERROR(TRIM(INDEX('Pegar estudiantes'!$A$1:$BZ$1001,187,I$2)&amp;""),""))</f>
        <v/>
      </c>
      <c r="J188">
        <f>IF(J$2=0,"",IFERROR(TRIM(INDEX('Pegar estudiantes'!$A$1:$BZ$1001,187,J$2)&amp;""),""))</f>
        <v/>
      </c>
      <c r="K188">
        <f>IF(K$2=0,"",IFERROR(TRIM(INDEX('Pegar estudiantes'!$A$1:$BZ$1001,187,K$2)&amp;""),""))</f>
        <v/>
      </c>
      <c r="L188" s="25">
        <f>IF(A188&lt;&gt;"",1,"")</f>
        <v/>
      </c>
      <c r="M188" s="25">
        <f>IF(L188=1,IF(ISNUMBER(FIND("#"&amp;MID(A188,1,1)&amp;"#","#0#1#2#3#4#5#6#7#8#9#")),IF(ISNUMBER(FIND("#"&amp;MID(A188,2,1)&amp;"#","#0#1#2#3#4#5#6#7#8#9#")),IF(AND(VALUE(LEFT(A188,2))&gt;=1,VALUE(LEFT(A188,2))&lt;=5),VALUE(LEFT(A188,2)),""),IF(AND(VALUE(LEFT(A188,1))&gt;=1,VALUE(LEFT(A188,1))&lt;=5),VALUE(LEFT(A188,1)),"")),""),"")</f>
        <v/>
      </c>
      <c r="N188" s="25">
        <f>IF(L188=1,IF(ISNUMBER(FIND("#"&amp;MID(H188,1,1)&amp;"#","#0#1#2#3#4#5#6#7#8#9#")),IF(ISNUMBER(FIND("#"&amp;MID(H188,2,1)&amp;"#","#0#1#2#3#4#5#6#7#8#9#")),IF(AND(VALUE(LEFT(H188,2))&gt;=1,VALUE(LEFT(H188,2))&lt;=5),VALUE(LEFT(H188,2)),""),IF(AND(VALUE(LEFT(H188,1))&gt;=1,VALUE(LEFT(H188,1))&lt;=5),VALUE(LEFT(H188,1)),"")),""),"")</f>
        <v/>
      </c>
      <c r="O188" s="25">
        <f>IF(AND(L188=1,B188&lt;&gt;""),SUBSTITUTE(SUBSTITUTE(SUBSTITUTE(SUBSTITUTE(SUBSTITUTE(SUBSTITUTE(SUBSTITUTE(SUBSTITUTE(SUBSTITUTE(SUBSTITUTE(SUBSTITUTE(SUBSTITUTE(LOWER(TRIM(B188)),"á","a"),"é","e"),"í","i"),"ó","o"),"ú","u"),"ü","u"),"ñ","n"),"à","a"),"è","e"),"ì","i"),"ò","o"),"ù","u"),"")</f>
        <v/>
      </c>
      <c r="P188" s="25">
        <f>IF(AND(L188=1,C188&lt;&gt;""),SUBSTITUTE(SUBSTITUTE(SUBSTITUTE(SUBSTITUTE(SUBSTITUTE(SUBSTITUTE(SUBSTITUTE(SUBSTITUTE(SUBSTITUTE(SUBSTITUTE(SUBSTITUTE(SUBSTITUTE(LOWER(TRIM(C188)),"á","a"),"é","e"),"í","i"),"ó","o"),"ú","u"),"ü","u"),"ñ","n"),"à","a"),"è","e"),"ì","i"),"ò","o"),"ù","u"),"")</f>
        <v/>
      </c>
      <c r="Q188" s="25">
        <f>IF(AND(L188=1,E188&lt;&gt;""),SUBSTITUTE(SUBSTITUTE(SUBSTITUTE(SUBSTITUTE(SUBSTITUTE(SUBSTITUTE(SUBSTITUTE(SUBSTITUTE(SUBSTITUTE(SUBSTITUTE(SUBSTITUTE(SUBSTITUTE(LOWER(TRIM(E188)),"á","a"),"é","e"),"í","i"),"ó","o"),"ú","u"),"ü","u"),"ñ","n"),"à","a"),"è","e"),"ì","i"),"ò","o"),"ù","u"),"")</f>
        <v/>
      </c>
      <c r="R188" s="25">
        <f>IF(AND(L188=1,I188&lt;&gt;""),SUBSTITUTE(SUBSTITUTE(SUBSTITUTE(SUBSTITUTE(SUBSTITUTE(SUBSTITUTE(SUBSTITUTE(SUBSTITUTE(SUBSTITUTE(SUBSTITUTE(SUBSTITUTE(SUBSTITUTE(LOWER(TRIM(I188)),"á","a"),"é","e"),"í","i"),"ó","o"),"ú","u"),"ü","u"),"ñ","n"),"à","a"),"è","e"),"ì","i"),"ò","o"),"ù","u"),"")</f>
        <v/>
      </c>
      <c r="S188" s="25">
        <f>IF(R188="","",IF(OR(R188="si",R188="tal vez"),1,0))</f>
        <v/>
      </c>
      <c r="T188" s="25">
        <f>IF(AND(L188=1,D188&lt;&gt;""),IF(IFERROR(COUNTIFS(D$3:D188,"="&amp;SUBSTITUTE(SUBSTITUTE(SUBSTITUTE(D188,"~","~~"),"*","~*"),"?","~?"),L$3:L188,1),0)=1,MAX(T$2:T187)+1,""),"")</f>
        <v/>
      </c>
      <c r="U188" s="25">
        <f>IF(T188="","",COUNTIFS($D$3:$D$1002,"="&amp;SUBSTITUTE(SUBSTITUTE(SUBSTITUTE(D188,"~","~~"),"*","~*"),"?","~?"),$L$3:$L$1002,1)*10000-T188)</f>
        <v/>
      </c>
      <c r="V188" s="25">
        <f>IF(AND(L188=1,J188&lt;&gt;""),IF(IFERROR(COUNTIFS(J$3:J188,"="&amp;SUBSTITUTE(SUBSTITUTE(SUBSTITUTE(J188,"~","~~"),"*","~*"),"?","~?"),L$3:L188,1),0)=1,MAX(V$2:V187)+1,""),"")</f>
        <v/>
      </c>
      <c r="W188" s="25">
        <f>IF(V188="","",COUNTIFS($J$3:$J$1002,"="&amp;SUBSTITUTE(SUBSTITUTE(SUBSTITUTE(J188,"~","~~"),"*","~*"),"?","~?"),$L$3:$L$1002,1)*10000-V188)</f>
        <v/>
      </c>
    </row>
    <row r="189">
      <c r="A189">
        <f>IF(A$2=0,"",IFERROR(TRIM(INDEX('Pegar estudiantes'!$A$1:$BZ$1001,188,A$2)&amp;""),""))</f>
        <v/>
      </c>
      <c r="B189">
        <f>IF(B$2=0,"",IFERROR(TRIM(INDEX('Pegar estudiantes'!$A$1:$BZ$1001,188,B$2)&amp;""),""))</f>
        <v/>
      </c>
      <c r="C189">
        <f>IF(C$2=0,"",IFERROR(TRIM(INDEX('Pegar estudiantes'!$A$1:$BZ$1001,188,C$2)&amp;""),""))</f>
        <v/>
      </c>
      <c r="D189">
        <f>IF(D$2=0,"",IFERROR(TRIM(INDEX('Pegar estudiantes'!$A$1:$BZ$1001,188,D$2)&amp;""),""))</f>
        <v/>
      </c>
      <c r="E189">
        <f>IF(E$2=0,"",IFERROR(TRIM(INDEX('Pegar estudiantes'!$A$1:$BZ$1001,188,E$2)&amp;""),""))</f>
        <v/>
      </c>
      <c r="F189">
        <f>IF(F$2=0,"",IFERROR(TRIM(INDEX('Pegar estudiantes'!$A$1:$BZ$1001,188,F$2)&amp;""),""))</f>
        <v/>
      </c>
      <c r="G189">
        <f>IF(G$2=0,"",IFERROR(TRIM(INDEX('Pegar estudiantes'!$A$1:$BZ$1001,188,G$2)&amp;""),""))</f>
        <v/>
      </c>
      <c r="H189">
        <f>IF(H$2=0,"",IFERROR(TRIM(INDEX('Pegar estudiantes'!$A$1:$BZ$1001,188,H$2)&amp;""),""))</f>
        <v/>
      </c>
      <c r="I189">
        <f>IF(I$2=0,"",IFERROR(TRIM(INDEX('Pegar estudiantes'!$A$1:$BZ$1001,188,I$2)&amp;""),""))</f>
        <v/>
      </c>
      <c r="J189">
        <f>IF(J$2=0,"",IFERROR(TRIM(INDEX('Pegar estudiantes'!$A$1:$BZ$1001,188,J$2)&amp;""),""))</f>
        <v/>
      </c>
      <c r="K189">
        <f>IF(K$2=0,"",IFERROR(TRIM(INDEX('Pegar estudiantes'!$A$1:$BZ$1001,188,K$2)&amp;""),""))</f>
        <v/>
      </c>
      <c r="L189" s="25">
        <f>IF(A189&lt;&gt;"",1,"")</f>
        <v/>
      </c>
      <c r="M189" s="25">
        <f>IF(L189=1,IF(ISNUMBER(FIND("#"&amp;MID(A189,1,1)&amp;"#","#0#1#2#3#4#5#6#7#8#9#")),IF(ISNUMBER(FIND("#"&amp;MID(A189,2,1)&amp;"#","#0#1#2#3#4#5#6#7#8#9#")),IF(AND(VALUE(LEFT(A189,2))&gt;=1,VALUE(LEFT(A189,2))&lt;=5),VALUE(LEFT(A189,2)),""),IF(AND(VALUE(LEFT(A189,1))&gt;=1,VALUE(LEFT(A189,1))&lt;=5),VALUE(LEFT(A189,1)),"")),""),"")</f>
        <v/>
      </c>
      <c r="N189" s="25">
        <f>IF(L189=1,IF(ISNUMBER(FIND("#"&amp;MID(H189,1,1)&amp;"#","#0#1#2#3#4#5#6#7#8#9#")),IF(ISNUMBER(FIND("#"&amp;MID(H189,2,1)&amp;"#","#0#1#2#3#4#5#6#7#8#9#")),IF(AND(VALUE(LEFT(H189,2))&gt;=1,VALUE(LEFT(H189,2))&lt;=5),VALUE(LEFT(H189,2)),""),IF(AND(VALUE(LEFT(H189,1))&gt;=1,VALUE(LEFT(H189,1))&lt;=5),VALUE(LEFT(H189,1)),"")),""),"")</f>
        <v/>
      </c>
      <c r="O189" s="25">
        <f>IF(AND(L189=1,B189&lt;&gt;""),SUBSTITUTE(SUBSTITUTE(SUBSTITUTE(SUBSTITUTE(SUBSTITUTE(SUBSTITUTE(SUBSTITUTE(SUBSTITUTE(SUBSTITUTE(SUBSTITUTE(SUBSTITUTE(SUBSTITUTE(LOWER(TRIM(B189)),"á","a"),"é","e"),"í","i"),"ó","o"),"ú","u"),"ü","u"),"ñ","n"),"à","a"),"è","e"),"ì","i"),"ò","o"),"ù","u"),"")</f>
        <v/>
      </c>
      <c r="P189" s="25">
        <f>IF(AND(L189=1,C189&lt;&gt;""),SUBSTITUTE(SUBSTITUTE(SUBSTITUTE(SUBSTITUTE(SUBSTITUTE(SUBSTITUTE(SUBSTITUTE(SUBSTITUTE(SUBSTITUTE(SUBSTITUTE(SUBSTITUTE(SUBSTITUTE(LOWER(TRIM(C189)),"á","a"),"é","e"),"í","i"),"ó","o"),"ú","u"),"ü","u"),"ñ","n"),"à","a"),"è","e"),"ì","i"),"ò","o"),"ù","u"),"")</f>
        <v/>
      </c>
      <c r="Q189" s="25">
        <f>IF(AND(L189=1,E189&lt;&gt;""),SUBSTITUTE(SUBSTITUTE(SUBSTITUTE(SUBSTITUTE(SUBSTITUTE(SUBSTITUTE(SUBSTITUTE(SUBSTITUTE(SUBSTITUTE(SUBSTITUTE(SUBSTITUTE(SUBSTITUTE(LOWER(TRIM(E189)),"á","a"),"é","e"),"í","i"),"ó","o"),"ú","u"),"ü","u"),"ñ","n"),"à","a"),"è","e"),"ì","i"),"ò","o"),"ù","u"),"")</f>
        <v/>
      </c>
      <c r="R189" s="25">
        <f>IF(AND(L189=1,I189&lt;&gt;""),SUBSTITUTE(SUBSTITUTE(SUBSTITUTE(SUBSTITUTE(SUBSTITUTE(SUBSTITUTE(SUBSTITUTE(SUBSTITUTE(SUBSTITUTE(SUBSTITUTE(SUBSTITUTE(SUBSTITUTE(LOWER(TRIM(I189)),"á","a"),"é","e"),"í","i"),"ó","o"),"ú","u"),"ü","u"),"ñ","n"),"à","a"),"è","e"),"ì","i"),"ò","o"),"ù","u"),"")</f>
        <v/>
      </c>
      <c r="S189" s="25">
        <f>IF(R189="","",IF(OR(R189="si",R189="tal vez"),1,0))</f>
        <v/>
      </c>
      <c r="T189" s="25">
        <f>IF(AND(L189=1,D189&lt;&gt;""),IF(IFERROR(COUNTIFS(D$3:D189,"="&amp;SUBSTITUTE(SUBSTITUTE(SUBSTITUTE(D189,"~","~~"),"*","~*"),"?","~?"),L$3:L189,1),0)=1,MAX(T$2:T188)+1,""),"")</f>
        <v/>
      </c>
      <c r="U189" s="25">
        <f>IF(T189="","",COUNTIFS($D$3:$D$1002,"="&amp;SUBSTITUTE(SUBSTITUTE(SUBSTITUTE(D189,"~","~~"),"*","~*"),"?","~?"),$L$3:$L$1002,1)*10000-T189)</f>
        <v/>
      </c>
      <c r="V189" s="25">
        <f>IF(AND(L189=1,J189&lt;&gt;""),IF(IFERROR(COUNTIFS(J$3:J189,"="&amp;SUBSTITUTE(SUBSTITUTE(SUBSTITUTE(J189,"~","~~"),"*","~*"),"?","~?"),L$3:L189,1),0)=1,MAX(V$2:V188)+1,""),"")</f>
        <v/>
      </c>
      <c r="W189" s="25">
        <f>IF(V189="","",COUNTIFS($J$3:$J$1002,"="&amp;SUBSTITUTE(SUBSTITUTE(SUBSTITUTE(J189,"~","~~"),"*","~*"),"?","~?"),$L$3:$L$1002,1)*10000-V189)</f>
        <v/>
      </c>
    </row>
    <row r="190">
      <c r="A190">
        <f>IF(A$2=0,"",IFERROR(TRIM(INDEX('Pegar estudiantes'!$A$1:$BZ$1001,189,A$2)&amp;""),""))</f>
        <v/>
      </c>
      <c r="B190">
        <f>IF(B$2=0,"",IFERROR(TRIM(INDEX('Pegar estudiantes'!$A$1:$BZ$1001,189,B$2)&amp;""),""))</f>
        <v/>
      </c>
      <c r="C190">
        <f>IF(C$2=0,"",IFERROR(TRIM(INDEX('Pegar estudiantes'!$A$1:$BZ$1001,189,C$2)&amp;""),""))</f>
        <v/>
      </c>
      <c r="D190">
        <f>IF(D$2=0,"",IFERROR(TRIM(INDEX('Pegar estudiantes'!$A$1:$BZ$1001,189,D$2)&amp;""),""))</f>
        <v/>
      </c>
      <c r="E190">
        <f>IF(E$2=0,"",IFERROR(TRIM(INDEX('Pegar estudiantes'!$A$1:$BZ$1001,189,E$2)&amp;""),""))</f>
        <v/>
      </c>
      <c r="F190">
        <f>IF(F$2=0,"",IFERROR(TRIM(INDEX('Pegar estudiantes'!$A$1:$BZ$1001,189,F$2)&amp;""),""))</f>
        <v/>
      </c>
      <c r="G190">
        <f>IF(G$2=0,"",IFERROR(TRIM(INDEX('Pegar estudiantes'!$A$1:$BZ$1001,189,G$2)&amp;""),""))</f>
        <v/>
      </c>
      <c r="H190">
        <f>IF(H$2=0,"",IFERROR(TRIM(INDEX('Pegar estudiantes'!$A$1:$BZ$1001,189,H$2)&amp;""),""))</f>
        <v/>
      </c>
      <c r="I190">
        <f>IF(I$2=0,"",IFERROR(TRIM(INDEX('Pegar estudiantes'!$A$1:$BZ$1001,189,I$2)&amp;""),""))</f>
        <v/>
      </c>
      <c r="J190">
        <f>IF(J$2=0,"",IFERROR(TRIM(INDEX('Pegar estudiantes'!$A$1:$BZ$1001,189,J$2)&amp;""),""))</f>
        <v/>
      </c>
      <c r="K190">
        <f>IF(K$2=0,"",IFERROR(TRIM(INDEX('Pegar estudiantes'!$A$1:$BZ$1001,189,K$2)&amp;""),""))</f>
        <v/>
      </c>
      <c r="L190" s="25">
        <f>IF(A190&lt;&gt;"",1,"")</f>
        <v/>
      </c>
      <c r="M190" s="25">
        <f>IF(L190=1,IF(ISNUMBER(FIND("#"&amp;MID(A190,1,1)&amp;"#","#0#1#2#3#4#5#6#7#8#9#")),IF(ISNUMBER(FIND("#"&amp;MID(A190,2,1)&amp;"#","#0#1#2#3#4#5#6#7#8#9#")),IF(AND(VALUE(LEFT(A190,2))&gt;=1,VALUE(LEFT(A190,2))&lt;=5),VALUE(LEFT(A190,2)),""),IF(AND(VALUE(LEFT(A190,1))&gt;=1,VALUE(LEFT(A190,1))&lt;=5),VALUE(LEFT(A190,1)),"")),""),"")</f>
        <v/>
      </c>
      <c r="N190" s="25">
        <f>IF(L190=1,IF(ISNUMBER(FIND("#"&amp;MID(H190,1,1)&amp;"#","#0#1#2#3#4#5#6#7#8#9#")),IF(ISNUMBER(FIND("#"&amp;MID(H190,2,1)&amp;"#","#0#1#2#3#4#5#6#7#8#9#")),IF(AND(VALUE(LEFT(H190,2))&gt;=1,VALUE(LEFT(H190,2))&lt;=5),VALUE(LEFT(H190,2)),""),IF(AND(VALUE(LEFT(H190,1))&gt;=1,VALUE(LEFT(H190,1))&lt;=5),VALUE(LEFT(H190,1)),"")),""),"")</f>
        <v/>
      </c>
      <c r="O190" s="25">
        <f>IF(AND(L190=1,B190&lt;&gt;""),SUBSTITUTE(SUBSTITUTE(SUBSTITUTE(SUBSTITUTE(SUBSTITUTE(SUBSTITUTE(SUBSTITUTE(SUBSTITUTE(SUBSTITUTE(SUBSTITUTE(SUBSTITUTE(SUBSTITUTE(LOWER(TRIM(B190)),"á","a"),"é","e"),"í","i"),"ó","o"),"ú","u"),"ü","u"),"ñ","n"),"à","a"),"è","e"),"ì","i"),"ò","o"),"ù","u"),"")</f>
        <v/>
      </c>
      <c r="P190" s="25">
        <f>IF(AND(L190=1,C190&lt;&gt;""),SUBSTITUTE(SUBSTITUTE(SUBSTITUTE(SUBSTITUTE(SUBSTITUTE(SUBSTITUTE(SUBSTITUTE(SUBSTITUTE(SUBSTITUTE(SUBSTITUTE(SUBSTITUTE(SUBSTITUTE(LOWER(TRIM(C190)),"á","a"),"é","e"),"í","i"),"ó","o"),"ú","u"),"ü","u"),"ñ","n"),"à","a"),"è","e"),"ì","i"),"ò","o"),"ù","u"),"")</f>
        <v/>
      </c>
      <c r="Q190" s="25">
        <f>IF(AND(L190=1,E190&lt;&gt;""),SUBSTITUTE(SUBSTITUTE(SUBSTITUTE(SUBSTITUTE(SUBSTITUTE(SUBSTITUTE(SUBSTITUTE(SUBSTITUTE(SUBSTITUTE(SUBSTITUTE(SUBSTITUTE(SUBSTITUTE(LOWER(TRIM(E190)),"á","a"),"é","e"),"í","i"),"ó","o"),"ú","u"),"ü","u"),"ñ","n"),"à","a"),"è","e"),"ì","i"),"ò","o"),"ù","u"),"")</f>
        <v/>
      </c>
      <c r="R190" s="25">
        <f>IF(AND(L190=1,I190&lt;&gt;""),SUBSTITUTE(SUBSTITUTE(SUBSTITUTE(SUBSTITUTE(SUBSTITUTE(SUBSTITUTE(SUBSTITUTE(SUBSTITUTE(SUBSTITUTE(SUBSTITUTE(SUBSTITUTE(SUBSTITUTE(LOWER(TRIM(I190)),"á","a"),"é","e"),"í","i"),"ó","o"),"ú","u"),"ü","u"),"ñ","n"),"à","a"),"è","e"),"ì","i"),"ò","o"),"ù","u"),"")</f>
        <v/>
      </c>
      <c r="S190" s="25">
        <f>IF(R190="","",IF(OR(R190="si",R190="tal vez"),1,0))</f>
        <v/>
      </c>
      <c r="T190" s="25">
        <f>IF(AND(L190=1,D190&lt;&gt;""),IF(IFERROR(COUNTIFS(D$3:D190,"="&amp;SUBSTITUTE(SUBSTITUTE(SUBSTITUTE(D190,"~","~~"),"*","~*"),"?","~?"),L$3:L190,1),0)=1,MAX(T$2:T189)+1,""),"")</f>
        <v/>
      </c>
      <c r="U190" s="25">
        <f>IF(T190="","",COUNTIFS($D$3:$D$1002,"="&amp;SUBSTITUTE(SUBSTITUTE(SUBSTITUTE(D190,"~","~~"),"*","~*"),"?","~?"),$L$3:$L$1002,1)*10000-T190)</f>
        <v/>
      </c>
      <c r="V190" s="25">
        <f>IF(AND(L190=1,J190&lt;&gt;""),IF(IFERROR(COUNTIFS(J$3:J190,"="&amp;SUBSTITUTE(SUBSTITUTE(SUBSTITUTE(J190,"~","~~"),"*","~*"),"?","~?"),L$3:L190,1),0)=1,MAX(V$2:V189)+1,""),"")</f>
        <v/>
      </c>
      <c r="W190" s="25">
        <f>IF(V190="","",COUNTIFS($J$3:$J$1002,"="&amp;SUBSTITUTE(SUBSTITUTE(SUBSTITUTE(J190,"~","~~"),"*","~*"),"?","~?"),$L$3:$L$1002,1)*10000-V190)</f>
        <v/>
      </c>
    </row>
    <row r="191">
      <c r="A191">
        <f>IF(A$2=0,"",IFERROR(TRIM(INDEX('Pegar estudiantes'!$A$1:$BZ$1001,190,A$2)&amp;""),""))</f>
        <v/>
      </c>
      <c r="B191">
        <f>IF(B$2=0,"",IFERROR(TRIM(INDEX('Pegar estudiantes'!$A$1:$BZ$1001,190,B$2)&amp;""),""))</f>
        <v/>
      </c>
      <c r="C191">
        <f>IF(C$2=0,"",IFERROR(TRIM(INDEX('Pegar estudiantes'!$A$1:$BZ$1001,190,C$2)&amp;""),""))</f>
        <v/>
      </c>
      <c r="D191">
        <f>IF(D$2=0,"",IFERROR(TRIM(INDEX('Pegar estudiantes'!$A$1:$BZ$1001,190,D$2)&amp;""),""))</f>
        <v/>
      </c>
      <c r="E191">
        <f>IF(E$2=0,"",IFERROR(TRIM(INDEX('Pegar estudiantes'!$A$1:$BZ$1001,190,E$2)&amp;""),""))</f>
        <v/>
      </c>
      <c r="F191">
        <f>IF(F$2=0,"",IFERROR(TRIM(INDEX('Pegar estudiantes'!$A$1:$BZ$1001,190,F$2)&amp;""),""))</f>
        <v/>
      </c>
      <c r="G191">
        <f>IF(G$2=0,"",IFERROR(TRIM(INDEX('Pegar estudiantes'!$A$1:$BZ$1001,190,G$2)&amp;""),""))</f>
        <v/>
      </c>
      <c r="H191">
        <f>IF(H$2=0,"",IFERROR(TRIM(INDEX('Pegar estudiantes'!$A$1:$BZ$1001,190,H$2)&amp;""),""))</f>
        <v/>
      </c>
      <c r="I191">
        <f>IF(I$2=0,"",IFERROR(TRIM(INDEX('Pegar estudiantes'!$A$1:$BZ$1001,190,I$2)&amp;""),""))</f>
        <v/>
      </c>
      <c r="J191">
        <f>IF(J$2=0,"",IFERROR(TRIM(INDEX('Pegar estudiantes'!$A$1:$BZ$1001,190,J$2)&amp;""),""))</f>
        <v/>
      </c>
      <c r="K191">
        <f>IF(K$2=0,"",IFERROR(TRIM(INDEX('Pegar estudiantes'!$A$1:$BZ$1001,190,K$2)&amp;""),""))</f>
        <v/>
      </c>
      <c r="L191" s="25">
        <f>IF(A191&lt;&gt;"",1,"")</f>
        <v/>
      </c>
      <c r="M191" s="25">
        <f>IF(L191=1,IF(ISNUMBER(FIND("#"&amp;MID(A191,1,1)&amp;"#","#0#1#2#3#4#5#6#7#8#9#")),IF(ISNUMBER(FIND("#"&amp;MID(A191,2,1)&amp;"#","#0#1#2#3#4#5#6#7#8#9#")),IF(AND(VALUE(LEFT(A191,2))&gt;=1,VALUE(LEFT(A191,2))&lt;=5),VALUE(LEFT(A191,2)),""),IF(AND(VALUE(LEFT(A191,1))&gt;=1,VALUE(LEFT(A191,1))&lt;=5),VALUE(LEFT(A191,1)),"")),""),"")</f>
        <v/>
      </c>
      <c r="N191" s="25">
        <f>IF(L191=1,IF(ISNUMBER(FIND("#"&amp;MID(H191,1,1)&amp;"#","#0#1#2#3#4#5#6#7#8#9#")),IF(ISNUMBER(FIND("#"&amp;MID(H191,2,1)&amp;"#","#0#1#2#3#4#5#6#7#8#9#")),IF(AND(VALUE(LEFT(H191,2))&gt;=1,VALUE(LEFT(H191,2))&lt;=5),VALUE(LEFT(H191,2)),""),IF(AND(VALUE(LEFT(H191,1))&gt;=1,VALUE(LEFT(H191,1))&lt;=5),VALUE(LEFT(H191,1)),"")),""),"")</f>
        <v/>
      </c>
      <c r="O191" s="25">
        <f>IF(AND(L191=1,B191&lt;&gt;""),SUBSTITUTE(SUBSTITUTE(SUBSTITUTE(SUBSTITUTE(SUBSTITUTE(SUBSTITUTE(SUBSTITUTE(SUBSTITUTE(SUBSTITUTE(SUBSTITUTE(SUBSTITUTE(SUBSTITUTE(LOWER(TRIM(B191)),"á","a"),"é","e"),"í","i"),"ó","o"),"ú","u"),"ü","u"),"ñ","n"),"à","a"),"è","e"),"ì","i"),"ò","o"),"ù","u"),"")</f>
        <v/>
      </c>
      <c r="P191" s="25">
        <f>IF(AND(L191=1,C191&lt;&gt;""),SUBSTITUTE(SUBSTITUTE(SUBSTITUTE(SUBSTITUTE(SUBSTITUTE(SUBSTITUTE(SUBSTITUTE(SUBSTITUTE(SUBSTITUTE(SUBSTITUTE(SUBSTITUTE(SUBSTITUTE(LOWER(TRIM(C191)),"á","a"),"é","e"),"í","i"),"ó","o"),"ú","u"),"ü","u"),"ñ","n"),"à","a"),"è","e"),"ì","i"),"ò","o"),"ù","u"),"")</f>
        <v/>
      </c>
      <c r="Q191" s="25">
        <f>IF(AND(L191=1,E191&lt;&gt;""),SUBSTITUTE(SUBSTITUTE(SUBSTITUTE(SUBSTITUTE(SUBSTITUTE(SUBSTITUTE(SUBSTITUTE(SUBSTITUTE(SUBSTITUTE(SUBSTITUTE(SUBSTITUTE(SUBSTITUTE(LOWER(TRIM(E191)),"á","a"),"é","e"),"í","i"),"ó","o"),"ú","u"),"ü","u"),"ñ","n"),"à","a"),"è","e"),"ì","i"),"ò","o"),"ù","u"),"")</f>
        <v/>
      </c>
      <c r="R191" s="25">
        <f>IF(AND(L191=1,I191&lt;&gt;""),SUBSTITUTE(SUBSTITUTE(SUBSTITUTE(SUBSTITUTE(SUBSTITUTE(SUBSTITUTE(SUBSTITUTE(SUBSTITUTE(SUBSTITUTE(SUBSTITUTE(SUBSTITUTE(SUBSTITUTE(LOWER(TRIM(I191)),"á","a"),"é","e"),"í","i"),"ó","o"),"ú","u"),"ü","u"),"ñ","n"),"à","a"),"è","e"),"ì","i"),"ò","o"),"ù","u"),"")</f>
        <v/>
      </c>
      <c r="S191" s="25">
        <f>IF(R191="","",IF(OR(R191="si",R191="tal vez"),1,0))</f>
        <v/>
      </c>
      <c r="T191" s="25">
        <f>IF(AND(L191=1,D191&lt;&gt;""),IF(IFERROR(COUNTIFS(D$3:D191,"="&amp;SUBSTITUTE(SUBSTITUTE(SUBSTITUTE(D191,"~","~~"),"*","~*"),"?","~?"),L$3:L191,1),0)=1,MAX(T$2:T190)+1,""),"")</f>
        <v/>
      </c>
      <c r="U191" s="25">
        <f>IF(T191="","",COUNTIFS($D$3:$D$1002,"="&amp;SUBSTITUTE(SUBSTITUTE(SUBSTITUTE(D191,"~","~~"),"*","~*"),"?","~?"),$L$3:$L$1002,1)*10000-T191)</f>
        <v/>
      </c>
      <c r="V191" s="25">
        <f>IF(AND(L191=1,J191&lt;&gt;""),IF(IFERROR(COUNTIFS(J$3:J191,"="&amp;SUBSTITUTE(SUBSTITUTE(SUBSTITUTE(J191,"~","~~"),"*","~*"),"?","~?"),L$3:L191,1),0)=1,MAX(V$2:V190)+1,""),"")</f>
        <v/>
      </c>
      <c r="W191" s="25">
        <f>IF(V191="","",COUNTIFS($J$3:$J$1002,"="&amp;SUBSTITUTE(SUBSTITUTE(SUBSTITUTE(J191,"~","~~"),"*","~*"),"?","~?"),$L$3:$L$1002,1)*10000-V191)</f>
        <v/>
      </c>
    </row>
    <row r="192">
      <c r="A192">
        <f>IF(A$2=0,"",IFERROR(TRIM(INDEX('Pegar estudiantes'!$A$1:$BZ$1001,191,A$2)&amp;""),""))</f>
        <v/>
      </c>
      <c r="B192">
        <f>IF(B$2=0,"",IFERROR(TRIM(INDEX('Pegar estudiantes'!$A$1:$BZ$1001,191,B$2)&amp;""),""))</f>
        <v/>
      </c>
      <c r="C192">
        <f>IF(C$2=0,"",IFERROR(TRIM(INDEX('Pegar estudiantes'!$A$1:$BZ$1001,191,C$2)&amp;""),""))</f>
        <v/>
      </c>
      <c r="D192">
        <f>IF(D$2=0,"",IFERROR(TRIM(INDEX('Pegar estudiantes'!$A$1:$BZ$1001,191,D$2)&amp;""),""))</f>
        <v/>
      </c>
      <c r="E192">
        <f>IF(E$2=0,"",IFERROR(TRIM(INDEX('Pegar estudiantes'!$A$1:$BZ$1001,191,E$2)&amp;""),""))</f>
        <v/>
      </c>
      <c r="F192">
        <f>IF(F$2=0,"",IFERROR(TRIM(INDEX('Pegar estudiantes'!$A$1:$BZ$1001,191,F$2)&amp;""),""))</f>
        <v/>
      </c>
      <c r="G192">
        <f>IF(G$2=0,"",IFERROR(TRIM(INDEX('Pegar estudiantes'!$A$1:$BZ$1001,191,G$2)&amp;""),""))</f>
        <v/>
      </c>
      <c r="H192">
        <f>IF(H$2=0,"",IFERROR(TRIM(INDEX('Pegar estudiantes'!$A$1:$BZ$1001,191,H$2)&amp;""),""))</f>
        <v/>
      </c>
      <c r="I192">
        <f>IF(I$2=0,"",IFERROR(TRIM(INDEX('Pegar estudiantes'!$A$1:$BZ$1001,191,I$2)&amp;""),""))</f>
        <v/>
      </c>
      <c r="J192">
        <f>IF(J$2=0,"",IFERROR(TRIM(INDEX('Pegar estudiantes'!$A$1:$BZ$1001,191,J$2)&amp;""),""))</f>
        <v/>
      </c>
      <c r="K192">
        <f>IF(K$2=0,"",IFERROR(TRIM(INDEX('Pegar estudiantes'!$A$1:$BZ$1001,191,K$2)&amp;""),""))</f>
        <v/>
      </c>
      <c r="L192" s="25">
        <f>IF(A192&lt;&gt;"",1,"")</f>
        <v/>
      </c>
      <c r="M192" s="25">
        <f>IF(L192=1,IF(ISNUMBER(FIND("#"&amp;MID(A192,1,1)&amp;"#","#0#1#2#3#4#5#6#7#8#9#")),IF(ISNUMBER(FIND("#"&amp;MID(A192,2,1)&amp;"#","#0#1#2#3#4#5#6#7#8#9#")),IF(AND(VALUE(LEFT(A192,2))&gt;=1,VALUE(LEFT(A192,2))&lt;=5),VALUE(LEFT(A192,2)),""),IF(AND(VALUE(LEFT(A192,1))&gt;=1,VALUE(LEFT(A192,1))&lt;=5),VALUE(LEFT(A192,1)),"")),""),"")</f>
        <v/>
      </c>
      <c r="N192" s="25">
        <f>IF(L192=1,IF(ISNUMBER(FIND("#"&amp;MID(H192,1,1)&amp;"#","#0#1#2#3#4#5#6#7#8#9#")),IF(ISNUMBER(FIND("#"&amp;MID(H192,2,1)&amp;"#","#0#1#2#3#4#5#6#7#8#9#")),IF(AND(VALUE(LEFT(H192,2))&gt;=1,VALUE(LEFT(H192,2))&lt;=5),VALUE(LEFT(H192,2)),""),IF(AND(VALUE(LEFT(H192,1))&gt;=1,VALUE(LEFT(H192,1))&lt;=5),VALUE(LEFT(H192,1)),"")),""),"")</f>
        <v/>
      </c>
      <c r="O192" s="25">
        <f>IF(AND(L192=1,B192&lt;&gt;""),SUBSTITUTE(SUBSTITUTE(SUBSTITUTE(SUBSTITUTE(SUBSTITUTE(SUBSTITUTE(SUBSTITUTE(SUBSTITUTE(SUBSTITUTE(SUBSTITUTE(SUBSTITUTE(SUBSTITUTE(LOWER(TRIM(B192)),"á","a"),"é","e"),"í","i"),"ó","o"),"ú","u"),"ü","u"),"ñ","n"),"à","a"),"è","e"),"ì","i"),"ò","o"),"ù","u"),"")</f>
        <v/>
      </c>
      <c r="P192" s="25">
        <f>IF(AND(L192=1,C192&lt;&gt;""),SUBSTITUTE(SUBSTITUTE(SUBSTITUTE(SUBSTITUTE(SUBSTITUTE(SUBSTITUTE(SUBSTITUTE(SUBSTITUTE(SUBSTITUTE(SUBSTITUTE(SUBSTITUTE(SUBSTITUTE(LOWER(TRIM(C192)),"á","a"),"é","e"),"í","i"),"ó","o"),"ú","u"),"ü","u"),"ñ","n"),"à","a"),"è","e"),"ì","i"),"ò","o"),"ù","u"),"")</f>
        <v/>
      </c>
      <c r="Q192" s="25">
        <f>IF(AND(L192=1,E192&lt;&gt;""),SUBSTITUTE(SUBSTITUTE(SUBSTITUTE(SUBSTITUTE(SUBSTITUTE(SUBSTITUTE(SUBSTITUTE(SUBSTITUTE(SUBSTITUTE(SUBSTITUTE(SUBSTITUTE(SUBSTITUTE(LOWER(TRIM(E192)),"á","a"),"é","e"),"í","i"),"ó","o"),"ú","u"),"ü","u"),"ñ","n"),"à","a"),"è","e"),"ì","i"),"ò","o"),"ù","u"),"")</f>
        <v/>
      </c>
      <c r="R192" s="25">
        <f>IF(AND(L192=1,I192&lt;&gt;""),SUBSTITUTE(SUBSTITUTE(SUBSTITUTE(SUBSTITUTE(SUBSTITUTE(SUBSTITUTE(SUBSTITUTE(SUBSTITUTE(SUBSTITUTE(SUBSTITUTE(SUBSTITUTE(SUBSTITUTE(LOWER(TRIM(I192)),"á","a"),"é","e"),"í","i"),"ó","o"),"ú","u"),"ü","u"),"ñ","n"),"à","a"),"è","e"),"ì","i"),"ò","o"),"ù","u"),"")</f>
        <v/>
      </c>
      <c r="S192" s="25">
        <f>IF(R192="","",IF(OR(R192="si",R192="tal vez"),1,0))</f>
        <v/>
      </c>
      <c r="T192" s="25">
        <f>IF(AND(L192=1,D192&lt;&gt;""),IF(IFERROR(COUNTIFS(D$3:D192,"="&amp;SUBSTITUTE(SUBSTITUTE(SUBSTITUTE(D192,"~","~~"),"*","~*"),"?","~?"),L$3:L192,1),0)=1,MAX(T$2:T191)+1,""),"")</f>
        <v/>
      </c>
      <c r="U192" s="25">
        <f>IF(T192="","",COUNTIFS($D$3:$D$1002,"="&amp;SUBSTITUTE(SUBSTITUTE(SUBSTITUTE(D192,"~","~~"),"*","~*"),"?","~?"),$L$3:$L$1002,1)*10000-T192)</f>
        <v/>
      </c>
      <c r="V192" s="25">
        <f>IF(AND(L192=1,J192&lt;&gt;""),IF(IFERROR(COUNTIFS(J$3:J192,"="&amp;SUBSTITUTE(SUBSTITUTE(SUBSTITUTE(J192,"~","~~"),"*","~*"),"?","~?"),L$3:L192,1),0)=1,MAX(V$2:V191)+1,""),"")</f>
        <v/>
      </c>
      <c r="W192" s="25">
        <f>IF(V192="","",COUNTIFS($J$3:$J$1002,"="&amp;SUBSTITUTE(SUBSTITUTE(SUBSTITUTE(J192,"~","~~"),"*","~*"),"?","~?"),$L$3:$L$1002,1)*10000-V192)</f>
        <v/>
      </c>
    </row>
    <row r="193">
      <c r="A193">
        <f>IF(A$2=0,"",IFERROR(TRIM(INDEX('Pegar estudiantes'!$A$1:$BZ$1001,192,A$2)&amp;""),""))</f>
        <v/>
      </c>
      <c r="B193">
        <f>IF(B$2=0,"",IFERROR(TRIM(INDEX('Pegar estudiantes'!$A$1:$BZ$1001,192,B$2)&amp;""),""))</f>
        <v/>
      </c>
      <c r="C193">
        <f>IF(C$2=0,"",IFERROR(TRIM(INDEX('Pegar estudiantes'!$A$1:$BZ$1001,192,C$2)&amp;""),""))</f>
        <v/>
      </c>
      <c r="D193">
        <f>IF(D$2=0,"",IFERROR(TRIM(INDEX('Pegar estudiantes'!$A$1:$BZ$1001,192,D$2)&amp;""),""))</f>
        <v/>
      </c>
      <c r="E193">
        <f>IF(E$2=0,"",IFERROR(TRIM(INDEX('Pegar estudiantes'!$A$1:$BZ$1001,192,E$2)&amp;""),""))</f>
        <v/>
      </c>
      <c r="F193">
        <f>IF(F$2=0,"",IFERROR(TRIM(INDEX('Pegar estudiantes'!$A$1:$BZ$1001,192,F$2)&amp;""),""))</f>
        <v/>
      </c>
      <c r="G193">
        <f>IF(G$2=0,"",IFERROR(TRIM(INDEX('Pegar estudiantes'!$A$1:$BZ$1001,192,G$2)&amp;""),""))</f>
        <v/>
      </c>
      <c r="H193">
        <f>IF(H$2=0,"",IFERROR(TRIM(INDEX('Pegar estudiantes'!$A$1:$BZ$1001,192,H$2)&amp;""),""))</f>
        <v/>
      </c>
      <c r="I193">
        <f>IF(I$2=0,"",IFERROR(TRIM(INDEX('Pegar estudiantes'!$A$1:$BZ$1001,192,I$2)&amp;""),""))</f>
        <v/>
      </c>
      <c r="J193">
        <f>IF(J$2=0,"",IFERROR(TRIM(INDEX('Pegar estudiantes'!$A$1:$BZ$1001,192,J$2)&amp;""),""))</f>
        <v/>
      </c>
      <c r="K193">
        <f>IF(K$2=0,"",IFERROR(TRIM(INDEX('Pegar estudiantes'!$A$1:$BZ$1001,192,K$2)&amp;""),""))</f>
        <v/>
      </c>
      <c r="L193" s="25">
        <f>IF(A193&lt;&gt;"",1,"")</f>
        <v/>
      </c>
      <c r="M193" s="25">
        <f>IF(L193=1,IF(ISNUMBER(FIND("#"&amp;MID(A193,1,1)&amp;"#","#0#1#2#3#4#5#6#7#8#9#")),IF(ISNUMBER(FIND("#"&amp;MID(A193,2,1)&amp;"#","#0#1#2#3#4#5#6#7#8#9#")),IF(AND(VALUE(LEFT(A193,2))&gt;=1,VALUE(LEFT(A193,2))&lt;=5),VALUE(LEFT(A193,2)),""),IF(AND(VALUE(LEFT(A193,1))&gt;=1,VALUE(LEFT(A193,1))&lt;=5),VALUE(LEFT(A193,1)),"")),""),"")</f>
        <v/>
      </c>
      <c r="N193" s="25">
        <f>IF(L193=1,IF(ISNUMBER(FIND("#"&amp;MID(H193,1,1)&amp;"#","#0#1#2#3#4#5#6#7#8#9#")),IF(ISNUMBER(FIND("#"&amp;MID(H193,2,1)&amp;"#","#0#1#2#3#4#5#6#7#8#9#")),IF(AND(VALUE(LEFT(H193,2))&gt;=1,VALUE(LEFT(H193,2))&lt;=5),VALUE(LEFT(H193,2)),""),IF(AND(VALUE(LEFT(H193,1))&gt;=1,VALUE(LEFT(H193,1))&lt;=5),VALUE(LEFT(H193,1)),"")),""),"")</f>
        <v/>
      </c>
      <c r="O193" s="25">
        <f>IF(AND(L193=1,B193&lt;&gt;""),SUBSTITUTE(SUBSTITUTE(SUBSTITUTE(SUBSTITUTE(SUBSTITUTE(SUBSTITUTE(SUBSTITUTE(SUBSTITUTE(SUBSTITUTE(SUBSTITUTE(SUBSTITUTE(SUBSTITUTE(LOWER(TRIM(B193)),"á","a"),"é","e"),"í","i"),"ó","o"),"ú","u"),"ü","u"),"ñ","n"),"à","a"),"è","e"),"ì","i"),"ò","o"),"ù","u"),"")</f>
        <v/>
      </c>
      <c r="P193" s="25">
        <f>IF(AND(L193=1,C193&lt;&gt;""),SUBSTITUTE(SUBSTITUTE(SUBSTITUTE(SUBSTITUTE(SUBSTITUTE(SUBSTITUTE(SUBSTITUTE(SUBSTITUTE(SUBSTITUTE(SUBSTITUTE(SUBSTITUTE(SUBSTITUTE(LOWER(TRIM(C193)),"á","a"),"é","e"),"í","i"),"ó","o"),"ú","u"),"ü","u"),"ñ","n"),"à","a"),"è","e"),"ì","i"),"ò","o"),"ù","u"),"")</f>
        <v/>
      </c>
      <c r="Q193" s="25">
        <f>IF(AND(L193=1,E193&lt;&gt;""),SUBSTITUTE(SUBSTITUTE(SUBSTITUTE(SUBSTITUTE(SUBSTITUTE(SUBSTITUTE(SUBSTITUTE(SUBSTITUTE(SUBSTITUTE(SUBSTITUTE(SUBSTITUTE(SUBSTITUTE(LOWER(TRIM(E193)),"á","a"),"é","e"),"í","i"),"ó","o"),"ú","u"),"ü","u"),"ñ","n"),"à","a"),"è","e"),"ì","i"),"ò","o"),"ù","u"),"")</f>
        <v/>
      </c>
      <c r="R193" s="25">
        <f>IF(AND(L193=1,I193&lt;&gt;""),SUBSTITUTE(SUBSTITUTE(SUBSTITUTE(SUBSTITUTE(SUBSTITUTE(SUBSTITUTE(SUBSTITUTE(SUBSTITUTE(SUBSTITUTE(SUBSTITUTE(SUBSTITUTE(SUBSTITUTE(LOWER(TRIM(I193)),"á","a"),"é","e"),"í","i"),"ó","o"),"ú","u"),"ü","u"),"ñ","n"),"à","a"),"è","e"),"ì","i"),"ò","o"),"ù","u"),"")</f>
        <v/>
      </c>
      <c r="S193" s="25">
        <f>IF(R193="","",IF(OR(R193="si",R193="tal vez"),1,0))</f>
        <v/>
      </c>
      <c r="T193" s="25">
        <f>IF(AND(L193=1,D193&lt;&gt;""),IF(IFERROR(COUNTIFS(D$3:D193,"="&amp;SUBSTITUTE(SUBSTITUTE(SUBSTITUTE(D193,"~","~~"),"*","~*"),"?","~?"),L$3:L193,1),0)=1,MAX(T$2:T192)+1,""),"")</f>
        <v/>
      </c>
      <c r="U193" s="25">
        <f>IF(T193="","",COUNTIFS($D$3:$D$1002,"="&amp;SUBSTITUTE(SUBSTITUTE(SUBSTITUTE(D193,"~","~~"),"*","~*"),"?","~?"),$L$3:$L$1002,1)*10000-T193)</f>
        <v/>
      </c>
      <c r="V193" s="25">
        <f>IF(AND(L193=1,J193&lt;&gt;""),IF(IFERROR(COUNTIFS(J$3:J193,"="&amp;SUBSTITUTE(SUBSTITUTE(SUBSTITUTE(J193,"~","~~"),"*","~*"),"?","~?"),L$3:L193,1),0)=1,MAX(V$2:V192)+1,""),"")</f>
        <v/>
      </c>
      <c r="W193" s="25">
        <f>IF(V193="","",COUNTIFS($J$3:$J$1002,"="&amp;SUBSTITUTE(SUBSTITUTE(SUBSTITUTE(J193,"~","~~"),"*","~*"),"?","~?"),$L$3:$L$1002,1)*10000-V193)</f>
        <v/>
      </c>
    </row>
    <row r="194">
      <c r="A194">
        <f>IF(A$2=0,"",IFERROR(TRIM(INDEX('Pegar estudiantes'!$A$1:$BZ$1001,193,A$2)&amp;""),""))</f>
        <v/>
      </c>
      <c r="B194">
        <f>IF(B$2=0,"",IFERROR(TRIM(INDEX('Pegar estudiantes'!$A$1:$BZ$1001,193,B$2)&amp;""),""))</f>
        <v/>
      </c>
      <c r="C194">
        <f>IF(C$2=0,"",IFERROR(TRIM(INDEX('Pegar estudiantes'!$A$1:$BZ$1001,193,C$2)&amp;""),""))</f>
        <v/>
      </c>
      <c r="D194">
        <f>IF(D$2=0,"",IFERROR(TRIM(INDEX('Pegar estudiantes'!$A$1:$BZ$1001,193,D$2)&amp;""),""))</f>
        <v/>
      </c>
      <c r="E194">
        <f>IF(E$2=0,"",IFERROR(TRIM(INDEX('Pegar estudiantes'!$A$1:$BZ$1001,193,E$2)&amp;""),""))</f>
        <v/>
      </c>
      <c r="F194">
        <f>IF(F$2=0,"",IFERROR(TRIM(INDEX('Pegar estudiantes'!$A$1:$BZ$1001,193,F$2)&amp;""),""))</f>
        <v/>
      </c>
      <c r="G194">
        <f>IF(G$2=0,"",IFERROR(TRIM(INDEX('Pegar estudiantes'!$A$1:$BZ$1001,193,G$2)&amp;""),""))</f>
        <v/>
      </c>
      <c r="H194">
        <f>IF(H$2=0,"",IFERROR(TRIM(INDEX('Pegar estudiantes'!$A$1:$BZ$1001,193,H$2)&amp;""),""))</f>
        <v/>
      </c>
      <c r="I194">
        <f>IF(I$2=0,"",IFERROR(TRIM(INDEX('Pegar estudiantes'!$A$1:$BZ$1001,193,I$2)&amp;""),""))</f>
        <v/>
      </c>
      <c r="J194">
        <f>IF(J$2=0,"",IFERROR(TRIM(INDEX('Pegar estudiantes'!$A$1:$BZ$1001,193,J$2)&amp;""),""))</f>
        <v/>
      </c>
      <c r="K194">
        <f>IF(K$2=0,"",IFERROR(TRIM(INDEX('Pegar estudiantes'!$A$1:$BZ$1001,193,K$2)&amp;""),""))</f>
        <v/>
      </c>
      <c r="L194" s="25">
        <f>IF(A194&lt;&gt;"",1,"")</f>
        <v/>
      </c>
      <c r="M194" s="25">
        <f>IF(L194=1,IF(ISNUMBER(FIND("#"&amp;MID(A194,1,1)&amp;"#","#0#1#2#3#4#5#6#7#8#9#")),IF(ISNUMBER(FIND("#"&amp;MID(A194,2,1)&amp;"#","#0#1#2#3#4#5#6#7#8#9#")),IF(AND(VALUE(LEFT(A194,2))&gt;=1,VALUE(LEFT(A194,2))&lt;=5),VALUE(LEFT(A194,2)),""),IF(AND(VALUE(LEFT(A194,1))&gt;=1,VALUE(LEFT(A194,1))&lt;=5),VALUE(LEFT(A194,1)),"")),""),"")</f>
        <v/>
      </c>
      <c r="N194" s="25">
        <f>IF(L194=1,IF(ISNUMBER(FIND("#"&amp;MID(H194,1,1)&amp;"#","#0#1#2#3#4#5#6#7#8#9#")),IF(ISNUMBER(FIND("#"&amp;MID(H194,2,1)&amp;"#","#0#1#2#3#4#5#6#7#8#9#")),IF(AND(VALUE(LEFT(H194,2))&gt;=1,VALUE(LEFT(H194,2))&lt;=5),VALUE(LEFT(H194,2)),""),IF(AND(VALUE(LEFT(H194,1))&gt;=1,VALUE(LEFT(H194,1))&lt;=5),VALUE(LEFT(H194,1)),"")),""),"")</f>
        <v/>
      </c>
      <c r="O194" s="25">
        <f>IF(AND(L194=1,B194&lt;&gt;""),SUBSTITUTE(SUBSTITUTE(SUBSTITUTE(SUBSTITUTE(SUBSTITUTE(SUBSTITUTE(SUBSTITUTE(SUBSTITUTE(SUBSTITUTE(SUBSTITUTE(SUBSTITUTE(SUBSTITUTE(LOWER(TRIM(B194)),"á","a"),"é","e"),"í","i"),"ó","o"),"ú","u"),"ü","u"),"ñ","n"),"à","a"),"è","e"),"ì","i"),"ò","o"),"ù","u"),"")</f>
        <v/>
      </c>
      <c r="P194" s="25">
        <f>IF(AND(L194=1,C194&lt;&gt;""),SUBSTITUTE(SUBSTITUTE(SUBSTITUTE(SUBSTITUTE(SUBSTITUTE(SUBSTITUTE(SUBSTITUTE(SUBSTITUTE(SUBSTITUTE(SUBSTITUTE(SUBSTITUTE(SUBSTITUTE(LOWER(TRIM(C194)),"á","a"),"é","e"),"í","i"),"ó","o"),"ú","u"),"ü","u"),"ñ","n"),"à","a"),"è","e"),"ì","i"),"ò","o"),"ù","u"),"")</f>
        <v/>
      </c>
      <c r="Q194" s="25">
        <f>IF(AND(L194=1,E194&lt;&gt;""),SUBSTITUTE(SUBSTITUTE(SUBSTITUTE(SUBSTITUTE(SUBSTITUTE(SUBSTITUTE(SUBSTITUTE(SUBSTITUTE(SUBSTITUTE(SUBSTITUTE(SUBSTITUTE(SUBSTITUTE(LOWER(TRIM(E194)),"á","a"),"é","e"),"í","i"),"ó","o"),"ú","u"),"ü","u"),"ñ","n"),"à","a"),"è","e"),"ì","i"),"ò","o"),"ù","u"),"")</f>
        <v/>
      </c>
      <c r="R194" s="25">
        <f>IF(AND(L194=1,I194&lt;&gt;""),SUBSTITUTE(SUBSTITUTE(SUBSTITUTE(SUBSTITUTE(SUBSTITUTE(SUBSTITUTE(SUBSTITUTE(SUBSTITUTE(SUBSTITUTE(SUBSTITUTE(SUBSTITUTE(SUBSTITUTE(LOWER(TRIM(I194)),"á","a"),"é","e"),"í","i"),"ó","o"),"ú","u"),"ü","u"),"ñ","n"),"à","a"),"è","e"),"ì","i"),"ò","o"),"ù","u"),"")</f>
        <v/>
      </c>
      <c r="S194" s="25">
        <f>IF(R194="","",IF(OR(R194="si",R194="tal vez"),1,0))</f>
        <v/>
      </c>
      <c r="T194" s="25">
        <f>IF(AND(L194=1,D194&lt;&gt;""),IF(IFERROR(COUNTIFS(D$3:D194,"="&amp;SUBSTITUTE(SUBSTITUTE(SUBSTITUTE(D194,"~","~~"),"*","~*"),"?","~?"),L$3:L194,1),0)=1,MAX(T$2:T193)+1,""),"")</f>
        <v/>
      </c>
      <c r="U194" s="25">
        <f>IF(T194="","",COUNTIFS($D$3:$D$1002,"="&amp;SUBSTITUTE(SUBSTITUTE(SUBSTITUTE(D194,"~","~~"),"*","~*"),"?","~?"),$L$3:$L$1002,1)*10000-T194)</f>
        <v/>
      </c>
      <c r="V194" s="25">
        <f>IF(AND(L194=1,J194&lt;&gt;""),IF(IFERROR(COUNTIFS(J$3:J194,"="&amp;SUBSTITUTE(SUBSTITUTE(SUBSTITUTE(J194,"~","~~"),"*","~*"),"?","~?"),L$3:L194,1),0)=1,MAX(V$2:V193)+1,""),"")</f>
        <v/>
      </c>
      <c r="W194" s="25">
        <f>IF(V194="","",COUNTIFS($J$3:$J$1002,"="&amp;SUBSTITUTE(SUBSTITUTE(SUBSTITUTE(J194,"~","~~"),"*","~*"),"?","~?"),$L$3:$L$1002,1)*10000-V194)</f>
        <v/>
      </c>
    </row>
    <row r="195">
      <c r="A195">
        <f>IF(A$2=0,"",IFERROR(TRIM(INDEX('Pegar estudiantes'!$A$1:$BZ$1001,194,A$2)&amp;""),""))</f>
        <v/>
      </c>
      <c r="B195">
        <f>IF(B$2=0,"",IFERROR(TRIM(INDEX('Pegar estudiantes'!$A$1:$BZ$1001,194,B$2)&amp;""),""))</f>
        <v/>
      </c>
      <c r="C195">
        <f>IF(C$2=0,"",IFERROR(TRIM(INDEX('Pegar estudiantes'!$A$1:$BZ$1001,194,C$2)&amp;""),""))</f>
        <v/>
      </c>
      <c r="D195">
        <f>IF(D$2=0,"",IFERROR(TRIM(INDEX('Pegar estudiantes'!$A$1:$BZ$1001,194,D$2)&amp;""),""))</f>
        <v/>
      </c>
      <c r="E195">
        <f>IF(E$2=0,"",IFERROR(TRIM(INDEX('Pegar estudiantes'!$A$1:$BZ$1001,194,E$2)&amp;""),""))</f>
        <v/>
      </c>
      <c r="F195">
        <f>IF(F$2=0,"",IFERROR(TRIM(INDEX('Pegar estudiantes'!$A$1:$BZ$1001,194,F$2)&amp;""),""))</f>
        <v/>
      </c>
      <c r="G195">
        <f>IF(G$2=0,"",IFERROR(TRIM(INDEX('Pegar estudiantes'!$A$1:$BZ$1001,194,G$2)&amp;""),""))</f>
        <v/>
      </c>
      <c r="H195">
        <f>IF(H$2=0,"",IFERROR(TRIM(INDEX('Pegar estudiantes'!$A$1:$BZ$1001,194,H$2)&amp;""),""))</f>
        <v/>
      </c>
      <c r="I195">
        <f>IF(I$2=0,"",IFERROR(TRIM(INDEX('Pegar estudiantes'!$A$1:$BZ$1001,194,I$2)&amp;""),""))</f>
        <v/>
      </c>
      <c r="J195">
        <f>IF(J$2=0,"",IFERROR(TRIM(INDEX('Pegar estudiantes'!$A$1:$BZ$1001,194,J$2)&amp;""),""))</f>
        <v/>
      </c>
      <c r="K195">
        <f>IF(K$2=0,"",IFERROR(TRIM(INDEX('Pegar estudiantes'!$A$1:$BZ$1001,194,K$2)&amp;""),""))</f>
        <v/>
      </c>
      <c r="L195" s="25">
        <f>IF(A195&lt;&gt;"",1,"")</f>
        <v/>
      </c>
      <c r="M195" s="25">
        <f>IF(L195=1,IF(ISNUMBER(FIND("#"&amp;MID(A195,1,1)&amp;"#","#0#1#2#3#4#5#6#7#8#9#")),IF(ISNUMBER(FIND("#"&amp;MID(A195,2,1)&amp;"#","#0#1#2#3#4#5#6#7#8#9#")),IF(AND(VALUE(LEFT(A195,2))&gt;=1,VALUE(LEFT(A195,2))&lt;=5),VALUE(LEFT(A195,2)),""),IF(AND(VALUE(LEFT(A195,1))&gt;=1,VALUE(LEFT(A195,1))&lt;=5),VALUE(LEFT(A195,1)),"")),""),"")</f>
        <v/>
      </c>
      <c r="N195" s="25">
        <f>IF(L195=1,IF(ISNUMBER(FIND("#"&amp;MID(H195,1,1)&amp;"#","#0#1#2#3#4#5#6#7#8#9#")),IF(ISNUMBER(FIND("#"&amp;MID(H195,2,1)&amp;"#","#0#1#2#3#4#5#6#7#8#9#")),IF(AND(VALUE(LEFT(H195,2))&gt;=1,VALUE(LEFT(H195,2))&lt;=5),VALUE(LEFT(H195,2)),""),IF(AND(VALUE(LEFT(H195,1))&gt;=1,VALUE(LEFT(H195,1))&lt;=5),VALUE(LEFT(H195,1)),"")),""),"")</f>
        <v/>
      </c>
      <c r="O195" s="25">
        <f>IF(AND(L195=1,B195&lt;&gt;""),SUBSTITUTE(SUBSTITUTE(SUBSTITUTE(SUBSTITUTE(SUBSTITUTE(SUBSTITUTE(SUBSTITUTE(SUBSTITUTE(SUBSTITUTE(SUBSTITUTE(SUBSTITUTE(SUBSTITUTE(LOWER(TRIM(B195)),"á","a"),"é","e"),"í","i"),"ó","o"),"ú","u"),"ü","u"),"ñ","n"),"à","a"),"è","e"),"ì","i"),"ò","o"),"ù","u"),"")</f>
        <v/>
      </c>
      <c r="P195" s="25">
        <f>IF(AND(L195=1,C195&lt;&gt;""),SUBSTITUTE(SUBSTITUTE(SUBSTITUTE(SUBSTITUTE(SUBSTITUTE(SUBSTITUTE(SUBSTITUTE(SUBSTITUTE(SUBSTITUTE(SUBSTITUTE(SUBSTITUTE(SUBSTITUTE(LOWER(TRIM(C195)),"á","a"),"é","e"),"í","i"),"ó","o"),"ú","u"),"ü","u"),"ñ","n"),"à","a"),"è","e"),"ì","i"),"ò","o"),"ù","u"),"")</f>
        <v/>
      </c>
      <c r="Q195" s="25">
        <f>IF(AND(L195=1,E195&lt;&gt;""),SUBSTITUTE(SUBSTITUTE(SUBSTITUTE(SUBSTITUTE(SUBSTITUTE(SUBSTITUTE(SUBSTITUTE(SUBSTITUTE(SUBSTITUTE(SUBSTITUTE(SUBSTITUTE(SUBSTITUTE(LOWER(TRIM(E195)),"á","a"),"é","e"),"í","i"),"ó","o"),"ú","u"),"ü","u"),"ñ","n"),"à","a"),"è","e"),"ì","i"),"ò","o"),"ù","u"),"")</f>
        <v/>
      </c>
      <c r="R195" s="25">
        <f>IF(AND(L195=1,I195&lt;&gt;""),SUBSTITUTE(SUBSTITUTE(SUBSTITUTE(SUBSTITUTE(SUBSTITUTE(SUBSTITUTE(SUBSTITUTE(SUBSTITUTE(SUBSTITUTE(SUBSTITUTE(SUBSTITUTE(SUBSTITUTE(LOWER(TRIM(I195)),"á","a"),"é","e"),"í","i"),"ó","o"),"ú","u"),"ü","u"),"ñ","n"),"à","a"),"è","e"),"ì","i"),"ò","o"),"ù","u"),"")</f>
        <v/>
      </c>
      <c r="S195" s="25">
        <f>IF(R195="","",IF(OR(R195="si",R195="tal vez"),1,0))</f>
        <v/>
      </c>
      <c r="T195" s="25">
        <f>IF(AND(L195=1,D195&lt;&gt;""),IF(IFERROR(COUNTIFS(D$3:D195,"="&amp;SUBSTITUTE(SUBSTITUTE(SUBSTITUTE(D195,"~","~~"),"*","~*"),"?","~?"),L$3:L195,1),0)=1,MAX(T$2:T194)+1,""),"")</f>
        <v/>
      </c>
      <c r="U195" s="25">
        <f>IF(T195="","",COUNTIFS($D$3:$D$1002,"="&amp;SUBSTITUTE(SUBSTITUTE(SUBSTITUTE(D195,"~","~~"),"*","~*"),"?","~?"),$L$3:$L$1002,1)*10000-T195)</f>
        <v/>
      </c>
      <c r="V195" s="25">
        <f>IF(AND(L195=1,J195&lt;&gt;""),IF(IFERROR(COUNTIFS(J$3:J195,"="&amp;SUBSTITUTE(SUBSTITUTE(SUBSTITUTE(J195,"~","~~"),"*","~*"),"?","~?"),L$3:L195,1),0)=1,MAX(V$2:V194)+1,""),"")</f>
        <v/>
      </c>
      <c r="W195" s="25">
        <f>IF(V195="","",COUNTIFS($J$3:$J$1002,"="&amp;SUBSTITUTE(SUBSTITUTE(SUBSTITUTE(J195,"~","~~"),"*","~*"),"?","~?"),$L$3:$L$1002,1)*10000-V195)</f>
        <v/>
      </c>
    </row>
    <row r="196">
      <c r="A196">
        <f>IF(A$2=0,"",IFERROR(TRIM(INDEX('Pegar estudiantes'!$A$1:$BZ$1001,195,A$2)&amp;""),""))</f>
        <v/>
      </c>
      <c r="B196">
        <f>IF(B$2=0,"",IFERROR(TRIM(INDEX('Pegar estudiantes'!$A$1:$BZ$1001,195,B$2)&amp;""),""))</f>
        <v/>
      </c>
      <c r="C196">
        <f>IF(C$2=0,"",IFERROR(TRIM(INDEX('Pegar estudiantes'!$A$1:$BZ$1001,195,C$2)&amp;""),""))</f>
        <v/>
      </c>
      <c r="D196">
        <f>IF(D$2=0,"",IFERROR(TRIM(INDEX('Pegar estudiantes'!$A$1:$BZ$1001,195,D$2)&amp;""),""))</f>
        <v/>
      </c>
      <c r="E196">
        <f>IF(E$2=0,"",IFERROR(TRIM(INDEX('Pegar estudiantes'!$A$1:$BZ$1001,195,E$2)&amp;""),""))</f>
        <v/>
      </c>
      <c r="F196">
        <f>IF(F$2=0,"",IFERROR(TRIM(INDEX('Pegar estudiantes'!$A$1:$BZ$1001,195,F$2)&amp;""),""))</f>
        <v/>
      </c>
      <c r="G196">
        <f>IF(G$2=0,"",IFERROR(TRIM(INDEX('Pegar estudiantes'!$A$1:$BZ$1001,195,G$2)&amp;""),""))</f>
        <v/>
      </c>
      <c r="H196">
        <f>IF(H$2=0,"",IFERROR(TRIM(INDEX('Pegar estudiantes'!$A$1:$BZ$1001,195,H$2)&amp;""),""))</f>
        <v/>
      </c>
      <c r="I196">
        <f>IF(I$2=0,"",IFERROR(TRIM(INDEX('Pegar estudiantes'!$A$1:$BZ$1001,195,I$2)&amp;""),""))</f>
        <v/>
      </c>
      <c r="J196">
        <f>IF(J$2=0,"",IFERROR(TRIM(INDEX('Pegar estudiantes'!$A$1:$BZ$1001,195,J$2)&amp;""),""))</f>
        <v/>
      </c>
      <c r="K196">
        <f>IF(K$2=0,"",IFERROR(TRIM(INDEX('Pegar estudiantes'!$A$1:$BZ$1001,195,K$2)&amp;""),""))</f>
        <v/>
      </c>
      <c r="L196" s="25">
        <f>IF(A196&lt;&gt;"",1,"")</f>
        <v/>
      </c>
      <c r="M196" s="25">
        <f>IF(L196=1,IF(ISNUMBER(FIND("#"&amp;MID(A196,1,1)&amp;"#","#0#1#2#3#4#5#6#7#8#9#")),IF(ISNUMBER(FIND("#"&amp;MID(A196,2,1)&amp;"#","#0#1#2#3#4#5#6#7#8#9#")),IF(AND(VALUE(LEFT(A196,2))&gt;=1,VALUE(LEFT(A196,2))&lt;=5),VALUE(LEFT(A196,2)),""),IF(AND(VALUE(LEFT(A196,1))&gt;=1,VALUE(LEFT(A196,1))&lt;=5),VALUE(LEFT(A196,1)),"")),""),"")</f>
        <v/>
      </c>
      <c r="N196" s="25">
        <f>IF(L196=1,IF(ISNUMBER(FIND("#"&amp;MID(H196,1,1)&amp;"#","#0#1#2#3#4#5#6#7#8#9#")),IF(ISNUMBER(FIND("#"&amp;MID(H196,2,1)&amp;"#","#0#1#2#3#4#5#6#7#8#9#")),IF(AND(VALUE(LEFT(H196,2))&gt;=1,VALUE(LEFT(H196,2))&lt;=5),VALUE(LEFT(H196,2)),""),IF(AND(VALUE(LEFT(H196,1))&gt;=1,VALUE(LEFT(H196,1))&lt;=5),VALUE(LEFT(H196,1)),"")),""),"")</f>
        <v/>
      </c>
      <c r="O196" s="25">
        <f>IF(AND(L196=1,B196&lt;&gt;""),SUBSTITUTE(SUBSTITUTE(SUBSTITUTE(SUBSTITUTE(SUBSTITUTE(SUBSTITUTE(SUBSTITUTE(SUBSTITUTE(SUBSTITUTE(SUBSTITUTE(SUBSTITUTE(SUBSTITUTE(LOWER(TRIM(B196)),"á","a"),"é","e"),"í","i"),"ó","o"),"ú","u"),"ü","u"),"ñ","n"),"à","a"),"è","e"),"ì","i"),"ò","o"),"ù","u"),"")</f>
        <v/>
      </c>
      <c r="P196" s="25">
        <f>IF(AND(L196=1,C196&lt;&gt;""),SUBSTITUTE(SUBSTITUTE(SUBSTITUTE(SUBSTITUTE(SUBSTITUTE(SUBSTITUTE(SUBSTITUTE(SUBSTITUTE(SUBSTITUTE(SUBSTITUTE(SUBSTITUTE(SUBSTITUTE(LOWER(TRIM(C196)),"á","a"),"é","e"),"í","i"),"ó","o"),"ú","u"),"ü","u"),"ñ","n"),"à","a"),"è","e"),"ì","i"),"ò","o"),"ù","u"),"")</f>
        <v/>
      </c>
      <c r="Q196" s="25">
        <f>IF(AND(L196=1,E196&lt;&gt;""),SUBSTITUTE(SUBSTITUTE(SUBSTITUTE(SUBSTITUTE(SUBSTITUTE(SUBSTITUTE(SUBSTITUTE(SUBSTITUTE(SUBSTITUTE(SUBSTITUTE(SUBSTITUTE(SUBSTITUTE(LOWER(TRIM(E196)),"á","a"),"é","e"),"í","i"),"ó","o"),"ú","u"),"ü","u"),"ñ","n"),"à","a"),"è","e"),"ì","i"),"ò","o"),"ù","u"),"")</f>
        <v/>
      </c>
      <c r="R196" s="25">
        <f>IF(AND(L196=1,I196&lt;&gt;""),SUBSTITUTE(SUBSTITUTE(SUBSTITUTE(SUBSTITUTE(SUBSTITUTE(SUBSTITUTE(SUBSTITUTE(SUBSTITUTE(SUBSTITUTE(SUBSTITUTE(SUBSTITUTE(SUBSTITUTE(LOWER(TRIM(I196)),"á","a"),"é","e"),"í","i"),"ó","o"),"ú","u"),"ü","u"),"ñ","n"),"à","a"),"è","e"),"ì","i"),"ò","o"),"ù","u"),"")</f>
        <v/>
      </c>
      <c r="S196" s="25">
        <f>IF(R196="","",IF(OR(R196="si",R196="tal vez"),1,0))</f>
        <v/>
      </c>
      <c r="T196" s="25">
        <f>IF(AND(L196=1,D196&lt;&gt;""),IF(IFERROR(COUNTIFS(D$3:D196,"="&amp;SUBSTITUTE(SUBSTITUTE(SUBSTITUTE(D196,"~","~~"),"*","~*"),"?","~?"),L$3:L196,1),0)=1,MAX(T$2:T195)+1,""),"")</f>
        <v/>
      </c>
      <c r="U196" s="25">
        <f>IF(T196="","",COUNTIFS($D$3:$D$1002,"="&amp;SUBSTITUTE(SUBSTITUTE(SUBSTITUTE(D196,"~","~~"),"*","~*"),"?","~?"),$L$3:$L$1002,1)*10000-T196)</f>
        <v/>
      </c>
      <c r="V196" s="25">
        <f>IF(AND(L196=1,J196&lt;&gt;""),IF(IFERROR(COUNTIFS(J$3:J196,"="&amp;SUBSTITUTE(SUBSTITUTE(SUBSTITUTE(J196,"~","~~"),"*","~*"),"?","~?"),L$3:L196,1),0)=1,MAX(V$2:V195)+1,""),"")</f>
        <v/>
      </c>
      <c r="W196" s="25">
        <f>IF(V196="","",COUNTIFS($J$3:$J$1002,"="&amp;SUBSTITUTE(SUBSTITUTE(SUBSTITUTE(J196,"~","~~"),"*","~*"),"?","~?"),$L$3:$L$1002,1)*10000-V196)</f>
        <v/>
      </c>
    </row>
    <row r="197">
      <c r="A197">
        <f>IF(A$2=0,"",IFERROR(TRIM(INDEX('Pegar estudiantes'!$A$1:$BZ$1001,196,A$2)&amp;""),""))</f>
        <v/>
      </c>
      <c r="B197">
        <f>IF(B$2=0,"",IFERROR(TRIM(INDEX('Pegar estudiantes'!$A$1:$BZ$1001,196,B$2)&amp;""),""))</f>
        <v/>
      </c>
      <c r="C197">
        <f>IF(C$2=0,"",IFERROR(TRIM(INDEX('Pegar estudiantes'!$A$1:$BZ$1001,196,C$2)&amp;""),""))</f>
        <v/>
      </c>
      <c r="D197">
        <f>IF(D$2=0,"",IFERROR(TRIM(INDEX('Pegar estudiantes'!$A$1:$BZ$1001,196,D$2)&amp;""),""))</f>
        <v/>
      </c>
      <c r="E197">
        <f>IF(E$2=0,"",IFERROR(TRIM(INDEX('Pegar estudiantes'!$A$1:$BZ$1001,196,E$2)&amp;""),""))</f>
        <v/>
      </c>
      <c r="F197">
        <f>IF(F$2=0,"",IFERROR(TRIM(INDEX('Pegar estudiantes'!$A$1:$BZ$1001,196,F$2)&amp;""),""))</f>
        <v/>
      </c>
      <c r="G197">
        <f>IF(G$2=0,"",IFERROR(TRIM(INDEX('Pegar estudiantes'!$A$1:$BZ$1001,196,G$2)&amp;""),""))</f>
        <v/>
      </c>
      <c r="H197">
        <f>IF(H$2=0,"",IFERROR(TRIM(INDEX('Pegar estudiantes'!$A$1:$BZ$1001,196,H$2)&amp;""),""))</f>
        <v/>
      </c>
      <c r="I197">
        <f>IF(I$2=0,"",IFERROR(TRIM(INDEX('Pegar estudiantes'!$A$1:$BZ$1001,196,I$2)&amp;""),""))</f>
        <v/>
      </c>
      <c r="J197">
        <f>IF(J$2=0,"",IFERROR(TRIM(INDEX('Pegar estudiantes'!$A$1:$BZ$1001,196,J$2)&amp;""),""))</f>
        <v/>
      </c>
      <c r="K197">
        <f>IF(K$2=0,"",IFERROR(TRIM(INDEX('Pegar estudiantes'!$A$1:$BZ$1001,196,K$2)&amp;""),""))</f>
        <v/>
      </c>
      <c r="L197" s="25">
        <f>IF(A197&lt;&gt;"",1,"")</f>
        <v/>
      </c>
      <c r="M197" s="25">
        <f>IF(L197=1,IF(ISNUMBER(FIND("#"&amp;MID(A197,1,1)&amp;"#","#0#1#2#3#4#5#6#7#8#9#")),IF(ISNUMBER(FIND("#"&amp;MID(A197,2,1)&amp;"#","#0#1#2#3#4#5#6#7#8#9#")),IF(AND(VALUE(LEFT(A197,2))&gt;=1,VALUE(LEFT(A197,2))&lt;=5),VALUE(LEFT(A197,2)),""),IF(AND(VALUE(LEFT(A197,1))&gt;=1,VALUE(LEFT(A197,1))&lt;=5),VALUE(LEFT(A197,1)),"")),""),"")</f>
        <v/>
      </c>
      <c r="N197" s="25">
        <f>IF(L197=1,IF(ISNUMBER(FIND("#"&amp;MID(H197,1,1)&amp;"#","#0#1#2#3#4#5#6#7#8#9#")),IF(ISNUMBER(FIND("#"&amp;MID(H197,2,1)&amp;"#","#0#1#2#3#4#5#6#7#8#9#")),IF(AND(VALUE(LEFT(H197,2))&gt;=1,VALUE(LEFT(H197,2))&lt;=5),VALUE(LEFT(H197,2)),""),IF(AND(VALUE(LEFT(H197,1))&gt;=1,VALUE(LEFT(H197,1))&lt;=5),VALUE(LEFT(H197,1)),"")),""),"")</f>
        <v/>
      </c>
      <c r="O197" s="25">
        <f>IF(AND(L197=1,B197&lt;&gt;""),SUBSTITUTE(SUBSTITUTE(SUBSTITUTE(SUBSTITUTE(SUBSTITUTE(SUBSTITUTE(SUBSTITUTE(SUBSTITUTE(SUBSTITUTE(SUBSTITUTE(SUBSTITUTE(SUBSTITUTE(LOWER(TRIM(B197)),"á","a"),"é","e"),"í","i"),"ó","o"),"ú","u"),"ü","u"),"ñ","n"),"à","a"),"è","e"),"ì","i"),"ò","o"),"ù","u"),"")</f>
        <v/>
      </c>
      <c r="P197" s="25">
        <f>IF(AND(L197=1,C197&lt;&gt;""),SUBSTITUTE(SUBSTITUTE(SUBSTITUTE(SUBSTITUTE(SUBSTITUTE(SUBSTITUTE(SUBSTITUTE(SUBSTITUTE(SUBSTITUTE(SUBSTITUTE(SUBSTITUTE(SUBSTITUTE(LOWER(TRIM(C197)),"á","a"),"é","e"),"í","i"),"ó","o"),"ú","u"),"ü","u"),"ñ","n"),"à","a"),"è","e"),"ì","i"),"ò","o"),"ù","u"),"")</f>
        <v/>
      </c>
      <c r="Q197" s="25">
        <f>IF(AND(L197=1,E197&lt;&gt;""),SUBSTITUTE(SUBSTITUTE(SUBSTITUTE(SUBSTITUTE(SUBSTITUTE(SUBSTITUTE(SUBSTITUTE(SUBSTITUTE(SUBSTITUTE(SUBSTITUTE(SUBSTITUTE(SUBSTITUTE(LOWER(TRIM(E197)),"á","a"),"é","e"),"í","i"),"ó","o"),"ú","u"),"ü","u"),"ñ","n"),"à","a"),"è","e"),"ì","i"),"ò","o"),"ù","u"),"")</f>
        <v/>
      </c>
      <c r="R197" s="25">
        <f>IF(AND(L197=1,I197&lt;&gt;""),SUBSTITUTE(SUBSTITUTE(SUBSTITUTE(SUBSTITUTE(SUBSTITUTE(SUBSTITUTE(SUBSTITUTE(SUBSTITUTE(SUBSTITUTE(SUBSTITUTE(SUBSTITUTE(SUBSTITUTE(LOWER(TRIM(I197)),"á","a"),"é","e"),"í","i"),"ó","o"),"ú","u"),"ü","u"),"ñ","n"),"à","a"),"è","e"),"ì","i"),"ò","o"),"ù","u"),"")</f>
        <v/>
      </c>
      <c r="S197" s="25">
        <f>IF(R197="","",IF(OR(R197="si",R197="tal vez"),1,0))</f>
        <v/>
      </c>
      <c r="T197" s="25">
        <f>IF(AND(L197=1,D197&lt;&gt;""),IF(IFERROR(COUNTIFS(D$3:D197,"="&amp;SUBSTITUTE(SUBSTITUTE(SUBSTITUTE(D197,"~","~~"),"*","~*"),"?","~?"),L$3:L197,1),0)=1,MAX(T$2:T196)+1,""),"")</f>
        <v/>
      </c>
      <c r="U197" s="25">
        <f>IF(T197="","",COUNTIFS($D$3:$D$1002,"="&amp;SUBSTITUTE(SUBSTITUTE(SUBSTITUTE(D197,"~","~~"),"*","~*"),"?","~?"),$L$3:$L$1002,1)*10000-T197)</f>
        <v/>
      </c>
      <c r="V197" s="25">
        <f>IF(AND(L197=1,J197&lt;&gt;""),IF(IFERROR(COUNTIFS(J$3:J197,"="&amp;SUBSTITUTE(SUBSTITUTE(SUBSTITUTE(J197,"~","~~"),"*","~*"),"?","~?"),L$3:L197,1),0)=1,MAX(V$2:V196)+1,""),"")</f>
        <v/>
      </c>
      <c r="W197" s="25">
        <f>IF(V197="","",COUNTIFS($J$3:$J$1002,"="&amp;SUBSTITUTE(SUBSTITUTE(SUBSTITUTE(J197,"~","~~"),"*","~*"),"?","~?"),$L$3:$L$1002,1)*10000-V197)</f>
        <v/>
      </c>
    </row>
    <row r="198">
      <c r="A198">
        <f>IF(A$2=0,"",IFERROR(TRIM(INDEX('Pegar estudiantes'!$A$1:$BZ$1001,197,A$2)&amp;""),""))</f>
        <v/>
      </c>
      <c r="B198">
        <f>IF(B$2=0,"",IFERROR(TRIM(INDEX('Pegar estudiantes'!$A$1:$BZ$1001,197,B$2)&amp;""),""))</f>
        <v/>
      </c>
      <c r="C198">
        <f>IF(C$2=0,"",IFERROR(TRIM(INDEX('Pegar estudiantes'!$A$1:$BZ$1001,197,C$2)&amp;""),""))</f>
        <v/>
      </c>
      <c r="D198">
        <f>IF(D$2=0,"",IFERROR(TRIM(INDEX('Pegar estudiantes'!$A$1:$BZ$1001,197,D$2)&amp;""),""))</f>
        <v/>
      </c>
      <c r="E198">
        <f>IF(E$2=0,"",IFERROR(TRIM(INDEX('Pegar estudiantes'!$A$1:$BZ$1001,197,E$2)&amp;""),""))</f>
        <v/>
      </c>
      <c r="F198">
        <f>IF(F$2=0,"",IFERROR(TRIM(INDEX('Pegar estudiantes'!$A$1:$BZ$1001,197,F$2)&amp;""),""))</f>
        <v/>
      </c>
      <c r="G198">
        <f>IF(G$2=0,"",IFERROR(TRIM(INDEX('Pegar estudiantes'!$A$1:$BZ$1001,197,G$2)&amp;""),""))</f>
        <v/>
      </c>
      <c r="H198">
        <f>IF(H$2=0,"",IFERROR(TRIM(INDEX('Pegar estudiantes'!$A$1:$BZ$1001,197,H$2)&amp;""),""))</f>
        <v/>
      </c>
      <c r="I198">
        <f>IF(I$2=0,"",IFERROR(TRIM(INDEX('Pegar estudiantes'!$A$1:$BZ$1001,197,I$2)&amp;""),""))</f>
        <v/>
      </c>
      <c r="J198">
        <f>IF(J$2=0,"",IFERROR(TRIM(INDEX('Pegar estudiantes'!$A$1:$BZ$1001,197,J$2)&amp;""),""))</f>
        <v/>
      </c>
      <c r="K198">
        <f>IF(K$2=0,"",IFERROR(TRIM(INDEX('Pegar estudiantes'!$A$1:$BZ$1001,197,K$2)&amp;""),""))</f>
        <v/>
      </c>
      <c r="L198" s="25">
        <f>IF(A198&lt;&gt;"",1,"")</f>
        <v/>
      </c>
      <c r="M198" s="25">
        <f>IF(L198=1,IF(ISNUMBER(FIND("#"&amp;MID(A198,1,1)&amp;"#","#0#1#2#3#4#5#6#7#8#9#")),IF(ISNUMBER(FIND("#"&amp;MID(A198,2,1)&amp;"#","#0#1#2#3#4#5#6#7#8#9#")),IF(AND(VALUE(LEFT(A198,2))&gt;=1,VALUE(LEFT(A198,2))&lt;=5),VALUE(LEFT(A198,2)),""),IF(AND(VALUE(LEFT(A198,1))&gt;=1,VALUE(LEFT(A198,1))&lt;=5),VALUE(LEFT(A198,1)),"")),""),"")</f>
        <v/>
      </c>
      <c r="N198" s="25">
        <f>IF(L198=1,IF(ISNUMBER(FIND("#"&amp;MID(H198,1,1)&amp;"#","#0#1#2#3#4#5#6#7#8#9#")),IF(ISNUMBER(FIND("#"&amp;MID(H198,2,1)&amp;"#","#0#1#2#3#4#5#6#7#8#9#")),IF(AND(VALUE(LEFT(H198,2))&gt;=1,VALUE(LEFT(H198,2))&lt;=5),VALUE(LEFT(H198,2)),""),IF(AND(VALUE(LEFT(H198,1))&gt;=1,VALUE(LEFT(H198,1))&lt;=5),VALUE(LEFT(H198,1)),"")),""),"")</f>
        <v/>
      </c>
      <c r="O198" s="25">
        <f>IF(AND(L198=1,B198&lt;&gt;""),SUBSTITUTE(SUBSTITUTE(SUBSTITUTE(SUBSTITUTE(SUBSTITUTE(SUBSTITUTE(SUBSTITUTE(SUBSTITUTE(SUBSTITUTE(SUBSTITUTE(SUBSTITUTE(SUBSTITUTE(LOWER(TRIM(B198)),"á","a"),"é","e"),"í","i"),"ó","o"),"ú","u"),"ü","u"),"ñ","n"),"à","a"),"è","e"),"ì","i"),"ò","o"),"ù","u"),"")</f>
        <v/>
      </c>
      <c r="P198" s="25">
        <f>IF(AND(L198=1,C198&lt;&gt;""),SUBSTITUTE(SUBSTITUTE(SUBSTITUTE(SUBSTITUTE(SUBSTITUTE(SUBSTITUTE(SUBSTITUTE(SUBSTITUTE(SUBSTITUTE(SUBSTITUTE(SUBSTITUTE(SUBSTITUTE(LOWER(TRIM(C198)),"á","a"),"é","e"),"í","i"),"ó","o"),"ú","u"),"ü","u"),"ñ","n"),"à","a"),"è","e"),"ì","i"),"ò","o"),"ù","u"),"")</f>
        <v/>
      </c>
      <c r="Q198" s="25">
        <f>IF(AND(L198=1,E198&lt;&gt;""),SUBSTITUTE(SUBSTITUTE(SUBSTITUTE(SUBSTITUTE(SUBSTITUTE(SUBSTITUTE(SUBSTITUTE(SUBSTITUTE(SUBSTITUTE(SUBSTITUTE(SUBSTITUTE(SUBSTITUTE(LOWER(TRIM(E198)),"á","a"),"é","e"),"í","i"),"ó","o"),"ú","u"),"ü","u"),"ñ","n"),"à","a"),"è","e"),"ì","i"),"ò","o"),"ù","u"),"")</f>
        <v/>
      </c>
      <c r="R198" s="25">
        <f>IF(AND(L198=1,I198&lt;&gt;""),SUBSTITUTE(SUBSTITUTE(SUBSTITUTE(SUBSTITUTE(SUBSTITUTE(SUBSTITUTE(SUBSTITUTE(SUBSTITUTE(SUBSTITUTE(SUBSTITUTE(SUBSTITUTE(SUBSTITUTE(LOWER(TRIM(I198)),"á","a"),"é","e"),"í","i"),"ó","o"),"ú","u"),"ü","u"),"ñ","n"),"à","a"),"è","e"),"ì","i"),"ò","o"),"ù","u"),"")</f>
        <v/>
      </c>
      <c r="S198" s="25">
        <f>IF(R198="","",IF(OR(R198="si",R198="tal vez"),1,0))</f>
        <v/>
      </c>
      <c r="T198" s="25">
        <f>IF(AND(L198=1,D198&lt;&gt;""),IF(IFERROR(COUNTIFS(D$3:D198,"="&amp;SUBSTITUTE(SUBSTITUTE(SUBSTITUTE(D198,"~","~~"),"*","~*"),"?","~?"),L$3:L198,1),0)=1,MAX(T$2:T197)+1,""),"")</f>
        <v/>
      </c>
      <c r="U198" s="25">
        <f>IF(T198="","",COUNTIFS($D$3:$D$1002,"="&amp;SUBSTITUTE(SUBSTITUTE(SUBSTITUTE(D198,"~","~~"),"*","~*"),"?","~?"),$L$3:$L$1002,1)*10000-T198)</f>
        <v/>
      </c>
      <c r="V198" s="25">
        <f>IF(AND(L198=1,J198&lt;&gt;""),IF(IFERROR(COUNTIFS(J$3:J198,"="&amp;SUBSTITUTE(SUBSTITUTE(SUBSTITUTE(J198,"~","~~"),"*","~*"),"?","~?"),L$3:L198,1),0)=1,MAX(V$2:V197)+1,""),"")</f>
        <v/>
      </c>
      <c r="W198" s="25">
        <f>IF(V198="","",COUNTIFS($J$3:$J$1002,"="&amp;SUBSTITUTE(SUBSTITUTE(SUBSTITUTE(J198,"~","~~"),"*","~*"),"?","~?"),$L$3:$L$1002,1)*10000-V198)</f>
        <v/>
      </c>
    </row>
    <row r="199">
      <c r="A199">
        <f>IF(A$2=0,"",IFERROR(TRIM(INDEX('Pegar estudiantes'!$A$1:$BZ$1001,198,A$2)&amp;""),""))</f>
        <v/>
      </c>
      <c r="B199">
        <f>IF(B$2=0,"",IFERROR(TRIM(INDEX('Pegar estudiantes'!$A$1:$BZ$1001,198,B$2)&amp;""),""))</f>
        <v/>
      </c>
      <c r="C199">
        <f>IF(C$2=0,"",IFERROR(TRIM(INDEX('Pegar estudiantes'!$A$1:$BZ$1001,198,C$2)&amp;""),""))</f>
        <v/>
      </c>
      <c r="D199">
        <f>IF(D$2=0,"",IFERROR(TRIM(INDEX('Pegar estudiantes'!$A$1:$BZ$1001,198,D$2)&amp;""),""))</f>
        <v/>
      </c>
      <c r="E199">
        <f>IF(E$2=0,"",IFERROR(TRIM(INDEX('Pegar estudiantes'!$A$1:$BZ$1001,198,E$2)&amp;""),""))</f>
        <v/>
      </c>
      <c r="F199">
        <f>IF(F$2=0,"",IFERROR(TRIM(INDEX('Pegar estudiantes'!$A$1:$BZ$1001,198,F$2)&amp;""),""))</f>
        <v/>
      </c>
      <c r="G199">
        <f>IF(G$2=0,"",IFERROR(TRIM(INDEX('Pegar estudiantes'!$A$1:$BZ$1001,198,G$2)&amp;""),""))</f>
        <v/>
      </c>
      <c r="H199">
        <f>IF(H$2=0,"",IFERROR(TRIM(INDEX('Pegar estudiantes'!$A$1:$BZ$1001,198,H$2)&amp;""),""))</f>
        <v/>
      </c>
      <c r="I199">
        <f>IF(I$2=0,"",IFERROR(TRIM(INDEX('Pegar estudiantes'!$A$1:$BZ$1001,198,I$2)&amp;""),""))</f>
        <v/>
      </c>
      <c r="J199">
        <f>IF(J$2=0,"",IFERROR(TRIM(INDEX('Pegar estudiantes'!$A$1:$BZ$1001,198,J$2)&amp;""),""))</f>
        <v/>
      </c>
      <c r="K199">
        <f>IF(K$2=0,"",IFERROR(TRIM(INDEX('Pegar estudiantes'!$A$1:$BZ$1001,198,K$2)&amp;""),""))</f>
        <v/>
      </c>
      <c r="L199" s="25">
        <f>IF(A199&lt;&gt;"",1,"")</f>
        <v/>
      </c>
      <c r="M199" s="25">
        <f>IF(L199=1,IF(ISNUMBER(FIND("#"&amp;MID(A199,1,1)&amp;"#","#0#1#2#3#4#5#6#7#8#9#")),IF(ISNUMBER(FIND("#"&amp;MID(A199,2,1)&amp;"#","#0#1#2#3#4#5#6#7#8#9#")),IF(AND(VALUE(LEFT(A199,2))&gt;=1,VALUE(LEFT(A199,2))&lt;=5),VALUE(LEFT(A199,2)),""),IF(AND(VALUE(LEFT(A199,1))&gt;=1,VALUE(LEFT(A199,1))&lt;=5),VALUE(LEFT(A199,1)),"")),""),"")</f>
        <v/>
      </c>
      <c r="N199" s="25">
        <f>IF(L199=1,IF(ISNUMBER(FIND("#"&amp;MID(H199,1,1)&amp;"#","#0#1#2#3#4#5#6#7#8#9#")),IF(ISNUMBER(FIND("#"&amp;MID(H199,2,1)&amp;"#","#0#1#2#3#4#5#6#7#8#9#")),IF(AND(VALUE(LEFT(H199,2))&gt;=1,VALUE(LEFT(H199,2))&lt;=5),VALUE(LEFT(H199,2)),""),IF(AND(VALUE(LEFT(H199,1))&gt;=1,VALUE(LEFT(H199,1))&lt;=5),VALUE(LEFT(H199,1)),"")),""),"")</f>
        <v/>
      </c>
      <c r="O199" s="25">
        <f>IF(AND(L199=1,B199&lt;&gt;""),SUBSTITUTE(SUBSTITUTE(SUBSTITUTE(SUBSTITUTE(SUBSTITUTE(SUBSTITUTE(SUBSTITUTE(SUBSTITUTE(SUBSTITUTE(SUBSTITUTE(SUBSTITUTE(SUBSTITUTE(LOWER(TRIM(B199)),"á","a"),"é","e"),"í","i"),"ó","o"),"ú","u"),"ü","u"),"ñ","n"),"à","a"),"è","e"),"ì","i"),"ò","o"),"ù","u"),"")</f>
        <v/>
      </c>
      <c r="P199" s="25">
        <f>IF(AND(L199=1,C199&lt;&gt;""),SUBSTITUTE(SUBSTITUTE(SUBSTITUTE(SUBSTITUTE(SUBSTITUTE(SUBSTITUTE(SUBSTITUTE(SUBSTITUTE(SUBSTITUTE(SUBSTITUTE(SUBSTITUTE(SUBSTITUTE(LOWER(TRIM(C199)),"á","a"),"é","e"),"í","i"),"ó","o"),"ú","u"),"ü","u"),"ñ","n"),"à","a"),"è","e"),"ì","i"),"ò","o"),"ù","u"),"")</f>
        <v/>
      </c>
      <c r="Q199" s="25">
        <f>IF(AND(L199=1,E199&lt;&gt;""),SUBSTITUTE(SUBSTITUTE(SUBSTITUTE(SUBSTITUTE(SUBSTITUTE(SUBSTITUTE(SUBSTITUTE(SUBSTITUTE(SUBSTITUTE(SUBSTITUTE(SUBSTITUTE(SUBSTITUTE(LOWER(TRIM(E199)),"á","a"),"é","e"),"í","i"),"ó","o"),"ú","u"),"ü","u"),"ñ","n"),"à","a"),"è","e"),"ì","i"),"ò","o"),"ù","u"),"")</f>
        <v/>
      </c>
      <c r="R199" s="25">
        <f>IF(AND(L199=1,I199&lt;&gt;""),SUBSTITUTE(SUBSTITUTE(SUBSTITUTE(SUBSTITUTE(SUBSTITUTE(SUBSTITUTE(SUBSTITUTE(SUBSTITUTE(SUBSTITUTE(SUBSTITUTE(SUBSTITUTE(SUBSTITUTE(LOWER(TRIM(I199)),"á","a"),"é","e"),"í","i"),"ó","o"),"ú","u"),"ü","u"),"ñ","n"),"à","a"),"è","e"),"ì","i"),"ò","o"),"ù","u"),"")</f>
        <v/>
      </c>
      <c r="S199" s="25">
        <f>IF(R199="","",IF(OR(R199="si",R199="tal vez"),1,0))</f>
        <v/>
      </c>
      <c r="T199" s="25">
        <f>IF(AND(L199=1,D199&lt;&gt;""),IF(IFERROR(COUNTIFS(D$3:D199,"="&amp;SUBSTITUTE(SUBSTITUTE(SUBSTITUTE(D199,"~","~~"),"*","~*"),"?","~?"),L$3:L199,1),0)=1,MAX(T$2:T198)+1,""),"")</f>
        <v/>
      </c>
      <c r="U199" s="25">
        <f>IF(T199="","",COUNTIFS($D$3:$D$1002,"="&amp;SUBSTITUTE(SUBSTITUTE(SUBSTITUTE(D199,"~","~~"),"*","~*"),"?","~?"),$L$3:$L$1002,1)*10000-T199)</f>
        <v/>
      </c>
      <c r="V199" s="25">
        <f>IF(AND(L199=1,J199&lt;&gt;""),IF(IFERROR(COUNTIFS(J$3:J199,"="&amp;SUBSTITUTE(SUBSTITUTE(SUBSTITUTE(J199,"~","~~"),"*","~*"),"?","~?"),L$3:L199,1),0)=1,MAX(V$2:V198)+1,""),"")</f>
        <v/>
      </c>
      <c r="W199" s="25">
        <f>IF(V199="","",COUNTIFS($J$3:$J$1002,"="&amp;SUBSTITUTE(SUBSTITUTE(SUBSTITUTE(J199,"~","~~"),"*","~*"),"?","~?"),$L$3:$L$1002,1)*10000-V199)</f>
        <v/>
      </c>
    </row>
    <row r="200">
      <c r="A200">
        <f>IF(A$2=0,"",IFERROR(TRIM(INDEX('Pegar estudiantes'!$A$1:$BZ$1001,199,A$2)&amp;""),""))</f>
        <v/>
      </c>
      <c r="B200">
        <f>IF(B$2=0,"",IFERROR(TRIM(INDEX('Pegar estudiantes'!$A$1:$BZ$1001,199,B$2)&amp;""),""))</f>
        <v/>
      </c>
      <c r="C200">
        <f>IF(C$2=0,"",IFERROR(TRIM(INDEX('Pegar estudiantes'!$A$1:$BZ$1001,199,C$2)&amp;""),""))</f>
        <v/>
      </c>
      <c r="D200">
        <f>IF(D$2=0,"",IFERROR(TRIM(INDEX('Pegar estudiantes'!$A$1:$BZ$1001,199,D$2)&amp;""),""))</f>
        <v/>
      </c>
      <c r="E200">
        <f>IF(E$2=0,"",IFERROR(TRIM(INDEX('Pegar estudiantes'!$A$1:$BZ$1001,199,E$2)&amp;""),""))</f>
        <v/>
      </c>
      <c r="F200">
        <f>IF(F$2=0,"",IFERROR(TRIM(INDEX('Pegar estudiantes'!$A$1:$BZ$1001,199,F$2)&amp;""),""))</f>
        <v/>
      </c>
      <c r="G200">
        <f>IF(G$2=0,"",IFERROR(TRIM(INDEX('Pegar estudiantes'!$A$1:$BZ$1001,199,G$2)&amp;""),""))</f>
        <v/>
      </c>
      <c r="H200">
        <f>IF(H$2=0,"",IFERROR(TRIM(INDEX('Pegar estudiantes'!$A$1:$BZ$1001,199,H$2)&amp;""),""))</f>
        <v/>
      </c>
      <c r="I200">
        <f>IF(I$2=0,"",IFERROR(TRIM(INDEX('Pegar estudiantes'!$A$1:$BZ$1001,199,I$2)&amp;""),""))</f>
        <v/>
      </c>
      <c r="J200">
        <f>IF(J$2=0,"",IFERROR(TRIM(INDEX('Pegar estudiantes'!$A$1:$BZ$1001,199,J$2)&amp;""),""))</f>
        <v/>
      </c>
      <c r="K200">
        <f>IF(K$2=0,"",IFERROR(TRIM(INDEX('Pegar estudiantes'!$A$1:$BZ$1001,199,K$2)&amp;""),""))</f>
        <v/>
      </c>
      <c r="L200" s="25">
        <f>IF(A200&lt;&gt;"",1,"")</f>
        <v/>
      </c>
      <c r="M200" s="25">
        <f>IF(L200=1,IF(ISNUMBER(FIND("#"&amp;MID(A200,1,1)&amp;"#","#0#1#2#3#4#5#6#7#8#9#")),IF(ISNUMBER(FIND("#"&amp;MID(A200,2,1)&amp;"#","#0#1#2#3#4#5#6#7#8#9#")),IF(AND(VALUE(LEFT(A200,2))&gt;=1,VALUE(LEFT(A200,2))&lt;=5),VALUE(LEFT(A200,2)),""),IF(AND(VALUE(LEFT(A200,1))&gt;=1,VALUE(LEFT(A200,1))&lt;=5),VALUE(LEFT(A200,1)),"")),""),"")</f>
        <v/>
      </c>
      <c r="N200" s="25">
        <f>IF(L200=1,IF(ISNUMBER(FIND("#"&amp;MID(H200,1,1)&amp;"#","#0#1#2#3#4#5#6#7#8#9#")),IF(ISNUMBER(FIND("#"&amp;MID(H200,2,1)&amp;"#","#0#1#2#3#4#5#6#7#8#9#")),IF(AND(VALUE(LEFT(H200,2))&gt;=1,VALUE(LEFT(H200,2))&lt;=5),VALUE(LEFT(H200,2)),""),IF(AND(VALUE(LEFT(H200,1))&gt;=1,VALUE(LEFT(H200,1))&lt;=5),VALUE(LEFT(H200,1)),"")),""),"")</f>
        <v/>
      </c>
      <c r="O200" s="25">
        <f>IF(AND(L200=1,B200&lt;&gt;""),SUBSTITUTE(SUBSTITUTE(SUBSTITUTE(SUBSTITUTE(SUBSTITUTE(SUBSTITUTE(SUBSTITUTE(SUBSTITUTE(SUBSTITUTE(SUBSTITUTE(SUBSTITUTE(SUBSTITUTE(LOWER(TRIM(B200)),"á","a"),"é","e"),"í","i"),"ó","o"),"ú","u"),"ü","u"),"ñ","n"),"à","a"),"è","e"),"ì","i"),"ò","o"),"ù","u"),"")</f>
        <v/>
      </c>
      <c r="P200" s="25">
        <f>IF(AND(L200=1,C200&lt;&gt;""),SUBSTITUTE(SUBSTITUTE(SUBSTITUTE(SUBSTITUTE(SUBSTITUTE(SUBSTITUTE(SUBSTITUTE(SUBSTITUTE(SUBSTITUTE(SUBSTITUTE(SUBSTITUTE(SUBSTITUTE(LOWER(TRIM(C200)),"á","a"),"é","e"),"í","i"),"ó","o"),"ú","u"),"ü","u"),"ñ","n"),"à","a"),"è","e"),"ì","i"),"ò","o"),"ù","u"),"")</f>
        <v/>
      </c>
      <c r="Q200" s="25">
        <f>IF(AND(L200=1,E200&lt;&gt;""),SUBSTITUTE(SUBSTITUTE(SUBSTITUTE(SUBSTITUTE(SUBSTITUTE(SUBSTITUTE(SUBSTITUTE(SUBSTITUTE(SUBSTITUTE(SUBSTITUTE(SUBSTITUTE(SUBSTITUTE(LOWER(TRIM(E200)),"á","a"),"é","e"),"í","i"),"ó","o"),"ú","u"),"ü","u"),"ñ","n"),"à","a"),"è","e"),"ì","i"),"ò","o"),"ù","u"),"")</f>
        <v/>
      </c>
      <c r="R200" s="25">
        <f>IF(AND(L200=1,I200&lt;&gt;""),SUBSTITUTE(SUBSTITUTE(SUBSTITUTE(SUBSTITUTE(SUBSTITUTE(SUBSTITUTE(SUBSTITUTE(SUBSTITUTE(SUBSTITUTE(SUBSTITUTE(SUBSTITUTE(SUBSTITUTE(LOWER(TRIM(I200)),"á","a"),"é","e"),"í","i"),"ó","o"),"ú","u"),"ü","u"),"ñ","n"),"à","a"),"è","e"),"ì","i"),"ò","o"),"ù","u"),"")</f>
        <v/>
      </c>
      <c r="S200" s="25">
        <f>IF(R200="","",IF(OR(R200="si",R200="tal vez"),1,0))</f>
        <v/>
      </c>
      <c r="T200" s="25">
        <f>IF(AND(L200=1,D200&lt;&gt;""),IF(IFERROR(COUNTIFS(D$3:D200,"="&amp;SUBSTITUTE(SUBSTITUTE(SUBSTITUTE(D200,"~","~~"),"*","~*"),"?","~?"),L$3:L200,1),0)=1,MAX(T$2:T199)+1,""),"")</f>
        <v/>
      </c>
      <c r="U200" s="25">
        <f>IF(T200="","",COUNTIFS($D$3:$D$1002,"="&amp;SUBSTITUTE(SUBSTITUTE(SUBSTITUTE(D200,"~","~~"),"*","~*"),"?","~?"),$L$3:$L$1002,1)*10000-T200)</f>
        <v/>
      </c>
      <c r="V200" s="25">
        <f>IF(AND(L200=1,J200&lt;&gt;""),IF(IFERROR(COUNTIFS(J$3:J200,"="&amp;SUBSTITUTE(SUBSTITUTE(SUBSTITUTE(J200,"~","~~"),"*","~*"),"?","~?"),L$3:L200,1),0)=1,MAX(V$2:V199)+1,""),"")</f>
        <v/>
      </c>
      <c r="W200" s="25">
        <f>IF(V200="","",COUNTIFS($J$3:$J$1002,"="&amp;SUBSTITUTE(SUBSTITUTE(SUBSTITUTE(J200,"~","~~"),"*","~*"),"?","~?"),$L$3:$L$1002,1)*10000-V200)</f>
        <v/>
      </c>
    </row>
    <row r="201">
      <c r="A201">
        <f>IF(A$2=0,"",IFERROR(TRIM(INDEX('Pegar estudiantes'!$A$1:$BZ$1001,200,A$2)&amp;""),""))</f>
        <v/>
      </c>
      <c r="B201">
        <f>IF(B$2=0,"",IFERROR(TRIM(INDEX('Pegar estudiantes'!$A$1:$BZ$1001,200,B$2)&amp;""),""))</f>
        <v/>
      </c>
      <c r="C201">
        <f>IF(C$2=0,"",IFERROR(TRIM(INDEX('Pegar estudiantes'!$A$1:$BZ$1001,200,C$2)&amp;""),""))</f>
        <v/>
      </c>
      <c r="D201">
        <f>IF(D$2=0,"",IFERROR(TRIM(INDEX('Pegar estudiantes'!$A$1:$BZ$1001,200,D$2)&amp;""),""))</f>
        <v/>
      </c>
      <c r="E201">
        <f>IF(E$2=0,"",IFERROR(TRIM(INDEX('Pegar estudiantes'!$A$1:$BZ$1001,200,E$2)&amp;""),""))</f>
        <v/>
      </c>
      <c r="F201">
        <f>IF(F$2=0,"",IFERROR(TRIM(INDEX('Pegar estudiantes'!$A$1:$BZ$1001,200,F$2)&amp;""),""))</f>
        <v/>
      </c>
      <c r="G201">
        <f>IF(G$2=0,"",IFERROR(TRIM(INDEX('Pegar estudiantes'!$A$1:$BZ$1001,200,G$2)&amp;""),""))</f>
        <v/>
      </c>
      <c r="H201">
        <f>IF(H$2=0,"",IFERROR(TRIM(INDEX('Pegar estudiantes'!$A$1:$BZ$1001,200,H$2)&amp;""),""))</f>
        <v/>
      </c>
      <c r="I201">
        <f>IF(I$2=0,"",IFERROR(TRIM(INDEX('Pegar estudiantes'!$A$1:$BZ$1001,200,I$2)&amp;""),""))</f>
        <v/>
      </c>
      <c r="J201">
        <f>IF(J$2=0,"",IFERROR(TRIM(INDEX('Pegar estudiantes'!$A$1:$BZ$1001,200,J$2)&amp;""),""))</f>
        <v/>
      </c>
      <c r="K201">
        <f>IF(K$2=0,"",IFERROR(TRIM(INDEX('Pegar estudiantes'!$A$1:$BZ$1001,200,K$2)&amp;""),""))</f>
        <v/>
      </c>
      <c r="L201" s="25">
        <f>IF(A201&lt;&gt;"",1,"")</f>
        <v/>
      </c>
      <c r="M201" s="25">
        <f>IF(L201=1,IF(ISNUMBER(FIND("#"&amp;MID(A201,1,1)&amp;"#","#0#1#2#3#4#5#6#7#8#9#")),IF(ISNUMBER(FIND("#"&amp;MID(A201,2,1)&amp;"#","#0#1#2#3#4#5#6#7#8#9#")),IF(AND(VALUE(LEFT(A201,2))&gt;=1,VALUE(LEFT(A201,2))&lt;=5),VALUE(LEFT(A201,2)),""),IF(AND(VALUE(LEFT(A201,1))&gt;=1,VALUE(LEFT(A201,1))&lt;=5),VALUE(LEFT(A201,1)),"")),""),"")</f>
        <v/>
      </c>
      <c r="N201" s="25">
        <f>IF(L201=1,IF(ISNUMBER(FIND("#"&amp;MID(H201,1,1)&amp;"#","#0#1#2#3#4#5#6#7#8#9#")),IF(ISNUMBER(FIND("#"&amp;MID(H201,2,1)&amp;"#","#0#1#2#3#4#5#6#7#8#9#")),IF(AND(VALUE(LEFT(H201,2))&gt;=1,VALUE(LEFT(H201,2))&lt;=5),VALUE(LEFT(H201,2)),""),IF(AND(VALUE(LEFT(H201,1))&gt;=1,VALUE(LEFT(H201,1))&lt;=5),VALUE(LEFT(H201,1)),"")),""),"")</f>
        <v/>
      </c>
      <c r="O201" s="25">
        <f>IF(AND(L201=1,B201&lt;&gt;""),SUBSTITUTE(SUBSTITUTE(SUBSTITUTE(SUBSTITUTE(SUBSTITUTE(SUBSTITUTE(SUBSTITUTE(SUBSTITUTE(SUBSTITUTE(SUBSTITUTE(SUBSTITUTE(SUBSTITUTE(LOWER(TRIM(B201)),"á","a"),"é","e"),"í","i"),"ó","o"),"ú","u"),"ü","u"),"ñ","n"),"à","a"),"è","e"),"ì","i"),"ò","o"),"ù","u"),"")</f>
        <v/>
      </c>
      <c r="P201" s="25">
        <f>IF(AND(L201=1,C201&lt;&gt;""),SUBSTITUTE(SUBSTITUTE(SUBSTITUTE(SUBSTITUTE(SUBSTITUTE(SUBSTITUTE(SUBSTITUTE(SUBSTITUTE(SUBSTITUTE(SUBSTITUTE(SUBSTITUTE(SUBSTITUTE(LOWER(TRIM(C201)),"á","a"),"é","e"),"í","i"),"ó","o"),"ú","u"),"ü","u"),"ñ","n"),"à","a"),"è","e"),"ì","i"),"ò","o"),"ù","u"),"")</f>
        <v/>
      </c>
      <c r="Q201" s="25">
        <f>IF(AND(L201=1,E201&lt;&gt;""),SUBSTITUTE(SUBSTITUTE(SUBSTITUTE(SUBSTITUTE(SUBSTITUTE(SUBSTITUTE(SUBSTITUTE(SUBSTITUTE(SUBSTITUTE(SUBSTITUTE(SUBSTITUTE(SUBSTITUTE(LOWER(TRIM(E201)),"á","a"),"é","e"),"í","i"),"ó","o"),"ú","u"),"ü","u"),"ñ","n"),"à","a"),"è","e"),"ì","i"),"ò","o"),"ù","u"),"")</f>
        <v/>
      </c>
      <c r="R201" s="25">
        <f>IF(AND(L201=1,I201&lt;&gt;""),SUBSTITUTE(SUBSTITUTE(SUBSTITUTE(SUBSTITUTE(SUBSTITUTE(SUBSTITUTE(SUBSTITUTE(SUBSTITUTE(SUBSTITUTE(SUBSTITUTE(SUBSTITUTE(SUBSTITUTE(LOWER(TRIM(I201)),"á","a"),"é","e"),"í","i"),"ó","o"),"ú","u"),"ü","u"),"ñ","n"),"à","a"),"è","e"),"ì","i"),"ò","o"),"ù","u"),"")</f>
        <v/>
      </c>
      <c r="S201" s="25">
        <f>IF(R201="","",IF(OR(R201="si",R201="tal vez"),1,0))</f>
        <v/>
      </c>
      <c r="T201" s="25">
        <f>IF(AND(L201=1,D201&lt;&gt;""),IF(IFERROR(COUNTIFS(D$3:D201,"="&amp;SUBSTITUTE(SUBSTITUTE(SUBSTITUTE(D201,"~","~~"),"*","~*"),"?","~?"),L$3:L201,1),0)=1,MAX(T$2:T200)+1,""),"")</f>
        <v/>
      </c>
      <c r="U201" s="25">
        <f>IF(T201="","",COUNTIFS($D$3:$D$1002,"="&amp;SUBSTITUTE(SUBSTITUTE(SUBSTITUTE(D201,"~","~~"),"*","~*"),"?","~?"),$L$3:$L$1002,1)*10000-T201)</f>
        <v/>
      </c>
      <c r="V201" s="25">
        <f>IF(AND(L201=1,J201&lt;&gt;""),IF(IFERROR(COUNTIFS(J$3:J201,"="&amp;SUBSTITUTE(SUBSTITUTE(SUBSTITUTE(J201,"~","~~"),"*","~*"),"?","~?"),L$3:L201,1),0)=1,MAX(V$2:V200)+1,""),"")</f>
        <v/>
      </c>
      <c r="W201" s="25">
        <f>IF(V201="","",COUNTIFS($J$3:$J$1002,"="&amp;SUBSTITUTE(SUBSTITUTE(SUBSTITUTE(J201,"~","~~"),"*","~*"),"?","~?"),$L$3:$L$1002,1)*10000-V201)</f>
        <v/>
      </c>
    </row>
    <row r="202">
      <c r="A202">
        <f>IF(A$2=0,"",IFERROR(TRIM(INDEX('Pegar estudiantes'!$A$1:$BZ$1001,201,A$2)&amp;""),""))</f>
        <v/>
      </c>
      <c r="B202">
        <f>IF(B$2=0,"",IFERROR(TRIM(INDEX('Pegar estudiantes'!$A$1:$BZ$1001,201,B$2)&amp;""),""))</f>
        <v/>
      </c>
      <c r="C202">
        <f>IF(C$2=0,"",IFERROR(TRIM(INDEX('Pegar estudiantes'!$A$1:$BZ$1001,201,C$2)&amp;""),""))</f>
        <v/>
      </c>
      <c r="D202">
        <f>IF(D$2=0,"",IFERROR(TRIM(INDEX('Pegar estudiantes'!$A$1:$BZ$1001,201,D$2)&amp;""),""))</f>
        <v/>
      </c>
      <c r="E202">
        <f>IF(E$2=0,"",IFERROR(TRIM(INDEX('Pegar estudiantes'!$A$1:$BZ$1001,201,E$2)&amp;""),""))</f>
        <v/>
      </c>
      <c r="F202">
        <f>IF(F$2=0,"",IFERROR(TRIM(INDEX('Pegar estudiantes'!$A$1:$BZ$1001,201,F$2)&amp;""),""))</f>
        <v/>
      </c>
      <c r="G202">
        <f>IF(G$2=0,"",IFERROR(TRIM(INDEX('Pegar estudiantes'!$A$1:$BZ$1001,201,G$2)&amp;""),""))</f>
        <v/>
      </c>
      <c r="H202">
        <f>IF(H$2=0,"",IFERROR(TRIM(INDEX('Pegar estudiantes'!$A$1:$BZ$1001,201,H$2)&amp;""),""))</f>
        <v/>
      </c>
      <c r="I202">
        <f>IF(I$2=0,"",IFERROR(TRIM(INDEX('Pegar estudiantes'!$A$1:$BZ$1001,201,I$2)&amp;""),""))</f>
        <v/>
      </c>
      <c r="J202">
        <f>IF(J$2=0,"",IFERROR(TRIM(INDEX('Pegar estudiantes'!$A$1:$BZ$1001,201,J$2)&amp;""),""))</f>
        <v/>
      </c>
      <c r="K202">
        <f>IF(K$2=0,"",IFERROR(TRIM(INDEX('Pegar estudiantes'!$A$1:$BZ$1001,201,K$2)&amp;""),""))</f>
        <v/>
      </c>
      <c r="L202" s="25">
        <f>IF(A202&lt;&gt;"",1,"")</f>
        <v/>
      </c>
      <c r="M202" s="25">
        <f>IF(L202=1,IF(ISNUMBER(FIND("#"&amp;MID(A202,1,1)&amp;"#","#0#1#2#3#4#5#6#7#8#9#")),IF(ISNUMBER(FIND("#"&amp;MID(A202,2,1)&amp;"#","#0#1#2#3#4#5#6#7#8#9#")),IF(AND(VALUE(LEFT(A202,2))&gt;=1,VALUE(LEFT(A202,2))&lt;=5),VALUE(LEFT(A202,2)),""),IF(AND(VALUE(LEFT(A202,1))&gt;=1,VALUE(LEFT(A202,1))&lt;=5),VALUE(LEFT(A202,1)),"")),""),"")</f>
        <v/>
      </c>
      <c r="N202" s="25">
        <f>IF(L202=1,IF(ISNUMBER(FIND("#"&amp;MID(H202,1,1)&amp;"#","#0#1#2#3#4#5#6#7#8#9#")),IF(ISNUMBER(FIND("#"&amp;MID(H202,2,1)&amp;"#","#0#1#2#3#4#5#6#7#8#9#")),IF(AND(VALUE(LEFT(H202,2))&gt;=1,VALUE(LEFT(H202,2))&lt;=5),VALUE(LEFT(H202,2)),""),IF(AND(VALUE(LEFT(H202,1))&gt;=1,VALUE(LEFT(H202,1))&lt;=5),VALUE(LEFT(H202,1)),"")),""),"")</f>
        <v/>
      </c>
      <c r="O202" s="25">
        <f>IF(AND(L202=1,B202&lt;&gt;""),SUBSTITUTE(SUBSTITUTE(SUBSTITUTE(SUBSTITUTE(SUBSTITUTE(SUBSTITUTE(SUBSTITUTE(SUBSTITUTE(SUBSTITUTE(SUBSTITUTE(SUBSTITUTE(SUBSTITUTE(LOWER(TRIM(B202)),"á","a"),"é","e"),"í","i"),"ó","o"),"ú","u"),"ü","u"),"ñ","n"),"à","a"),"è","e"),"ì","i"),"ò","o"),"ù","u"),"")</f>
        <v/>
      </c>
      <c r="P202" s="25">
        <f>IF(AND(L202=1,C202&lt;&gt;""),SUBSTITUTE(SUBSTITUTE(SUBSTITUTE(SUBSTITUTE(SUBSTITUTE(SUBSTITUTE(SUBSTITUTE(SUBSTITUTE(SUBSTITUTE(SUBSTITUTE(SUBSTITUTE(SUBSTITUTE(LOWER(TRIM(C202)),"á","a"),"é","e"),"í","i"),"ó","o"),"ú","u"),"ü","u"),"ñ","n"),"à","a"),"è","e"),"ì","i"),"ò","o"),"ù","u"),"")</f>
        <v/>
      </c>
      <c r="Q202" s="25">
        <f>IF(AND(L202=1,E202&lt;&gt;""),SUBSTITUTE(SUBSTITUTE(SUBSTITUTE(SUBSTITUTE(SUBSTITUTE(SUBSTITUTE(SUBSTITUTE(SUBSTITUTE(SUBSTITUTE(SUBSTITUTE(SUBSTITUTE(SUBSTITUTE(LOWER(TRIM(E202)),"á","a"),"é","e"),"í","i"),"ó","o"),"ú","u"),"ü","u"),"ñ","n"),"à","a"),"è","e"),"ì","i"),"ò","o"),"ù","u"),"")</f>
        <v/>
      </c>
      <c r="R202" s="25">
        <f>IF(AND(L202=1,I202&lt;&gt;""),SUBSTITUTE(SUBSTITUTE(SUBSTITUTE(SUBSTITUTE(SUBSTITUTE(SUBSTITUTE(SUBSTITUTE(SUBSTITUTE(SUBSTITUTE(SUBSTITUTE(SUBSTITUTE(SUBSTITUTE(LOWER(TRIM(I202)),"á","a"),"é","e"),"í","i"),"ó","o"),"ú","u"),"ü","u"),"ñ","n"),"à","a"),"è","e"),"ì","i"),"ò","o"),"ù","u"),"")</f>
        <v/>
      </c>
      <c r="S202" s="25">
        <f>IF(R202="","",IF(OR(R202="si",R202="tal vez"),1,0))</f>
        <v/>
      </c>
      <c r="T202" s="25">
        <f>IF(AND(L202=1,D202&lt;&gt;""),IF(IFERROR(COUNTIFS(D$3:D202,"="&amp;SUBSTITUTE(SUBSTITUTE(SUBSTITUTE(D202,"~","~~"),"*","~*"),"?","~?"),L$3:L202,1),0)=1,MAX(T$2:T201)+1,""),"")</f>
        <v/>
      </c>
      <c r="U202" s="25">
        <f>IF(T202="","",COUNTIFS($D$3:$D$1002,"="&amp;SUBSTITUTE(SUBSTITUTE(SUBSTITUTE(D202,"~","~~"),"*","~*"),"?","~?"),$L$3:$L$1002,1)*10000-T202)</f>
        <v/>
      </c>
      <c r="V202" s="25">
        <f>IF(AND(L202=1,J202&lt;&gt;""),IF(IFERROR(COUNTIFS(J$3:J202,"="&amp;SUBSTITUTE(SUBSTITUTE(SUBSTITUTE(J202,"~","~~"),"*","~*"),"?","~?"),L$3:L202,1),0)=1,MAX(V$2:V201)+1,""),"")</f>
        <v/>
      </c>
      <c r="W202" s="25">
        <f>IF(V202="","",COUNTIFS($J$3:$J$1002,"="&amp;SUBSTITUTE(SUBSTITUTE(SUBSTITUTE(J202,"~","~~"),"*","~*"),"?","~?"),$L$3:$L$1002,1)*10000-V202)</f>
        <v/>
      </c>
    </row>
    <row r="203">
      <c r="A203">
        <f>IF(A$2=0,"",IFERROR(TRIM(INDEX('Pegar estudiantes'!$A$1:$BZ$1001,202,A$2)&amp;""),""))</f>
        <v/>
      </c>
      <c r="B203">
        <f>IF(B$2=0,"",IFERROR(TRIM(INDEX('Pegar estudiantes'!$A$1:$BZ$1001,202,B$2)&amp;""),""))</f>
        <v/>
      </c>
      <c r="C203">
        <f>IF(C$2=0,"",IFERROR(TRIM(INDEX('Pegar estudiantes'!$A$1:$BZ$1001,202,C$2)&amp;""),""))</f>
        <v/>
      </c>
      <c r="D203">
        <f>IF(D$2=0,"",IFERROR(TRIM(INDEX('Pegar estudiantes'!$A$1:$BZ$1001,202,D$2)&amp;""),""))</f>
        <v/>
      </c>
      <c r="E203">
        <f>IF(E$2=0,"",IFERROR(TRIM(INDEX('Pegar estudiantes'!$A$1:$BZ$1001,202,E$2)&amp;""),""))</f>
        <v/>
      </c>
      <c r="F203">
        <f>IF(F$2=0,"",IFERROR(TRIM(INDEX('Pegar estudiantes'!$A$1:$BZ$1001,202,F$2)&amp;""),""))</f>
        <v/>
      </c>
      <c r="G203">
        <f>IF(G$2=0,"",IFERROR(TRIM(INDEX('Pegar estudiantes'!$A$1:$BZ$1001,202,G$2)&amp;""),""))</f>
        <v/>
      </c>
      <c r="H203">
        <f>IF(H$2=0,"",IFERROR(TRIM(INDEX('Pegar estudiantes'!$A$1:$BZ$1001,202,H$2)&amp;""),""))</f>
        <v/>
      </c>
      <c r="I203">
        <f>IF(I$2=0,"",IFERROR(TRIM(INDEX('Pegar estudiantes'!$A$1:$BZ$1001,202,I$2)&amp;""),""))</f>
        <v/>
      </c>
      <c r="J203">
        <f>IF(J$2=0,"",IFERROR(TRIM(INDEX('Pegar estudiantes'!$A$1:$BZ$1001,202,J$2)&amp;""),""))</f>
        <v/>
      </c>
      <c r="K203">
        <f>IF(K$2=0,"",IFERROR(TRIM(INDEX('Pegar estudiantes'!$A$1:$BZ$1001,202,K$2)&amp;""),""))</f>
        <v/>
      </c>
      <c r="L203" s="25">
        <f>IF(A203&lt;&gt;"",1,"")</f>
        <v/>
      </c>
      <c r="M203" s="25">
        <f>IF(L203=1,IF(ISNUMBER(FIND("#"&amp;MID(A203,1,1)&amp;"#","#0#1#2#3#4#5#6#7#8#9#")),IF(ISNUMBER(FIND("#"&amp;MID(A203,2,1)&amp;"#","#0#1#2#3#4#5#6#7#8#9#")),IF(AND(VALUE(LEFT(A203,2))&gt;=1,VALUE(LEFT(A203,2))&lt;=5),VALUE(LEFT(A203,2)),""),IF(AND(VALUE(LEFT(A203,1))&gt;=1,VALUE(LEFT(A203,1))&lt;=5),VALUE(LEFT(A203,1)),"")),""),"")</f>
        <v/>
      </c>
      <c r="N203" s="25">
        <f>IF(L203=1,IF(ISNUMBER(FIND("#"&amp;MID(H203,1,1)&amp;"#","#0#1#2#3#4#5#6#7#8#9#")),IF(ISNUMBER(FIND("#"&amp;MID(H203,2,1)&amp;"#","#0#1#2#3#4#5#6#7#8#9#")),IF(AND(VALUE(LEFT(H203,2))&gt;=1,VALUE(LEFT(H203,2))&lt;=5),VALUE(LEFT(H203,2)),""),IF(AND(VALUE(LEFT(H203,1))&gt;=1,VALUE(LEFT(H203,1))&lt;=5),VALUE(LEFT(H203,1)),"")),""),"")</f>
        <v/>
      </c>
      <c r="O203" s="25">
        <f>IF(AND(L203=1,B203&lt;&gt;""),SUBSTITUTE(SUBSTITUTE(SUBSTITUTE(SUBSTITUTE(SUBSTITUTE(SUBSTITUTE(SUBSTITUTE(SUBSTITUTE(SUBSTITUTE(SUBSTITUTE(SUBSTITUTE(SUBSTITUTE(LOWER(TRIM(B203)),"á","a"),"é","e"),"í","i"),"ó","o"),"ú","u"),"ü","u"),"ñ","n"),"à","a"),"è","e"),"ì","i"),"ò","o"),"ù","u"),"")</f>
        <v/>
      </c>
      <c r="P203" s="25">
        <f>IF(AND(L203=1,C203&lt;&gt;""),SUBSTITUTE(SUBSTITUTE(SUBSTITUTE(SUBSTITUTE(SUBSTITUTE(SUBSTITUTE(SUBSTITUTE(SUBSTITUTE(SUBSTITUTE(SUBSTITUTE(SUBSTITUTE(SUBSTITUTE(LOWER(TRIM(C203)),"á","a"),"é","e"),"í","i"),"ó","o"),"ú","u"),"ü","u"),"ñ","n"),"à","a"),"è","e"),"ì","i"),"ò","o"),"ù","u"),"")</f>
        <v/>
      </c>
      <c r="Q203" s="25">
        <f>IF(AND(L203=1,E203&lt;&gt;""),SUBSTITUTE(SUBSTITUTE(SUBSTITUTE(SUBSTITUTE(SUBSTITUTE(SUBSTITUTE(SUBSTITUTE(SUBSTITUTE(SUBSTITUTE(SUBSTITUTE(SUBSTITUTE(SUBSTITUTE(LOWER(TRIM(E203)),"á","a"),"é","e"),"í","i"),"ó","o"),"ú","u"),"ü","u"),"ñ","n"),"à","a"),"è","e"),"ì","i"),"ò","o"),"ù","u"),"")</f>
        <v/>
      </c>
      <c r="R203" s="25">
        <f>IF(AND(L203=1,I203&lt;&gt;""),SUBSTITUTE(SUBSTITUTE(SUBSTITUTE(SUBSTITUTE(SUBSTITUTE(SUBSTITUTE(SUBSTITUTE(SUBSTITUTE(SUBSTITUTE(SUBSTITUTE(SUBSTITUTE(SUBSTITUTE(LOWER(TRIM(I203)),"á","a"),"é","e"),"í","i"),"ó","o"),"ú","u"),"ü","u"),"ñ","n"),"à","a"),"è","e"),"ì","i"),"ò","o"),"ù","u"),"")</f>
        <v/>
      </c>
      <c r="S203" s="25">
        <f>IF(R203="","",IF(OR(R203="si",R203="tal vez"),1,0))</f>
        <v/>
      </c>
      <c r="T203" s="25">
        <f>IF(AND(L203=1,D203&lt;&gt;""),IF(IFERROR(COUNTIFS(D$3:D203,"="&amp;SUBSTITUTE(SUBSTITUTE(SUBSTITUTE(D203,"~","~~"),"*","~*"),"?","~?"),L$3:L203,1),0)=1,MAX(T$2:T202)+1,""),"")</f>
        <v/>
      </c>
      <c r="U203" s="25">
        <f>IF(T203="","",COUNTIFS($D$3:$D$1002,"="&amp;SUBSTITUTE(SUBSTITUTE(SUBSTITUTE(D203,"~","~~"),"*","~*"),"?","~?"),$L$3:$L$1002,1)*10000-T203)</f>
        <v/>
      </c>
      <c r="V203" s="25">
        <f>IF(AND(L203=1,J203&lt;&gt;""),IF(IFERROR(COUNTIFS(J$3:J203,"="&amp;SUBSTITUTE(SUBSTITUTE(SUBSTITUTE(J203,"~","~~"),"*","~*"),"?","~?"),L$3:L203,1),0)=1,MAX(V$2:V202)+1,""),"")</f>
        <v/>
      </c>
      <c r="W203" s="25">
        <f>IF(V203="","",COUNTIFS($J$3:$J$1002,"="&amp;SUBSTITUTE(SUBSTITUTE(SUBSTITUTE(J203,"~","~~"),"*","~*"),"?","~?"),$L$3:$L$1002,1)*10000-V203)</f>
        <v/>
      </c>
    </row>
    <row r="204">
      <c r="A204">
        <f>IF(A$2=0,"",IFERROR(TRIM(INDEX('Pegar estudiantes'!$A$1:$BZ$1001,203,A$2)&amp;""),""))</f>
        <v/>
      </c>
      <c r="B204">
        <f>IF(B$2=0,"",IFERROR(TRIM(INDEX('Pegar estudiantes'!$A$1:$BZ$1001,203,B$2)&amp;""),""))</f>
        <v/>
      </c>
      <c r="C204">
        <f>IF(C$2=0,"",IFERROR(TRIM(INDEX('Pegar estudiantes'!$A$1:$BZ$1001,203,C$2)&amp;""),""))</f>
        <v/>
      </c>
      <c r="D204">
        <f>IF(D$2=0,"",IFERROR(TRIM(INDEX('Pegar estudiantes'!$A$1:$BZ$1001,203,D$2)&amp;""),""))</f>
        <v/>
      </c>
      <c r="E204">
        <f>IF(E$2=0,"",IFERROR(TRIM(INDEX('Pegar estudiantes'!$A$1:$BZ$1001,203,E$2)&amp;""),""))</f>
        <v/>
      </c>
      <c r="F204">
        <f>IF(F$2=0,"",IFERROR(TRIM(INDEX('Pegar estudiantes'!$A$1:$BZ$1001,203,F$2)&amp;""),""))</f>
        <v/>
      </c>
      <c r="G204">
        <f>IF(G$2=0,"",IFERROR(TRIM(INDEX('Pegar estudiantes'!$A$1:$BZ$1001,203,G$2)&amp;""),""))</f>
        <v/>
      </c>
      <c r="H204">
        <f>IF(H$2=0,"",IFERROR(TRIM(INDEX('Pegar estudiantes'!$A$1:$BZ$1001,203,H$2)&amp;""),""))</f>
        <v/>
      </c>
      <c r="I204">
        <f>IF(I$2=0,"",IFERROR(TRIM(INDEX('Pegar estudiantes'!$A$1:$BZ$1001,203,I$2)&amp;""),""))</f>
        <v/>
      </c>
      <c r="J204">
        <f>IF(J$2=0,"",IFERROR(TRIM(INDEX('Pegar estudiantes'!$A$1:$BZ$1001,203,J$2)&amp;""),""))</f>
        <v/>
      </c>
      <c r="K204">
        <f>IF(K$2=0,"",IFERROR(TRIM(INDEX('Pegar estudiantes'!$A$1:$BZ$1001,203,K$2)&amp;""),""))</f>
        <v/>
      </c>
      <c r="L204" s="25">
        <f>IF(A204&lt;&gt;"",1,"")</f>
        <v/>
      </c>
      <c r="M204" s="25">
        <f>IF(L204=1,IF(ISNUMBER(FIND("#"&amp;MID(A204,1,1)&amp;"#","#0#1#2#3#4#5#6#7#8#9#")),IF(ISNUMBER(FIND("#"&amp;MID(A204,2,1)&amp;"#","#0#1#2#3#4#5#6#7#8#9#")),IF(AND(VALUE(LEFT(A204,2))&gt;=1,VALUE(LEFT(A204,2))&lt;=5),VALUE(LEFT(A204,2)),""),IF(AND(VALUE(LEFT(A204,1))&gt;=1,VALUE(LEFT(A204,1))&lt;=5),VALUE(LEFT(A204,1)),"")),""),"")</f>
        <v/>
      </c>
      <c r="N204" s="25">
        <f>IF(L204=1,IF(ISNUMBER(FIND("#"&amp;MID(H204,1,1)&amp;"#","#0#1#2#3#4#5#6#7#8#9#")),IF(ISNUMBER(FIND("#"&amp;MID(H204,2,1)&amp;"#","#0#1#2#3#4#5#6#7#8#9#")),IF(AND(VALUE(LEFT(H204,2))&gt;=1,VALUE(LEFT(H204,2))&lt;=5),VALUE(LEFT(H204,2)),""),IF(AND(VALUE(LEFT(H204,1))&gt;=1,VALUE(LEFT(H204,1))&lt;=5),VALUE(LEFT(H204,1)),"")),""),"")</f>
        <v/>
      </c>
      <c r="O204" s="25">
        <f>IF(AND(L204=1,B204&lt;&gt;""),SUBSTITUTE(SUBSTITUTE(SUBSTITUTE(SUBSTITUTE(SUBSTITUTE(SUBSTITUTE(SUBSTITUTE(SUBSTITUTE(SUBSTITUTE(SUBSTITUTE(SUBSTITUTE(SUBSTITUTE(LOWER(TRIM(B204)),"á","a"),"é","e"),"í","i"),"ó","o"),"ú","u"),"ü","u"),"ñ","n"),"à","a"),"è","e"),"ì","i"),"ò","o"),"ù","u"),"")</f>
        <v/>
      </c>
      <c r="P204" s="25">
        <f>IF(AND(L204=1,C204&lt;&gt;""),SUBSTITUTE(SUBSTITUTE(SUBSTITUTE(SUBSTITUTE(SUBSTITUTE(SUBSTITUTE(SUBSTITUTE(SUBSTITUTE(SUBSTITUTE(SUBSTITUTE(SUBSTITUTE(SUBSTITUTE(LOWER(TRIM(C204)),"á","a"),"é","e"),"í","i"),"ó","o"),"ú","u"),"ü","u"),"ñ","n"),"à","a"),"è","e"),"ì","i"),"ò","o"),"ù","u"),"")</f>
        <v/>
      </c>
      <c r="Q204" s="25">
        <f>IF(AND(L204=1,E204&lt;&gt;""),SUBSTITUTE(SUBSTITUTE(SUBSTITUTE(SUBSTITUTE(SUBSTITUTE(SUBSTITUTE(SUBSTITUTE(SUBSTITUTE(SUBSTITUTE(SUBSTITUTE(SUBSTITUTE(SUBSTITUTE(LOWER(TRIM(E204)),"á","a"),"é","e"),"í","i"),"ó","o"),"ú","u"),"ü","u"),"ñ","n"),"à","a"),"è","e"),"ì","i"),"ò","o"),"ù","u"),"")</f>
        <v/>
      </c>
      <c r="R204" s="25">
        <f>IF(AND(L204=1,I204&lt;&gt;""),SUBSTITUTE(SUBSTITUTE(SUBSTITUTE(SUBSTITUTE(SUBSTITUTE(SUBSTITUTE(SUBSTITUTE(SUBSTITUTE(SUBSTITUTE(SUBSTITUTE(SUBSTITUTE(SUBSTITUTE(LOWER(TRIM(I204)),"á","a"),"é","e"),"í","i"),"ó","o"),"ú","u"),"ü","u"),"ñ","n"),"à","a"),"è","e"),"ì","i"),"ò","o"),"ù","u"),"")</f>
        <v/>
      </c>
      <c r="S204" s="25">
        <f>IF(R204="","",IF(OR(R204="si",R204="tal vez"),1,0))</f>
        <v/>
      </c>
      <c r="T204" s="25">
        <f>IF(AND(L204=1,D204&lt;&gt;""),IF(IFERROR(COUNTIFS(D$3:D204,"="&amp;SUBSTITUTE(SUBSTITUTE(SUBSTITUTE(D204,"~","~~"),"*","~*"),"?","~?"),L$3:L204,1),0)=1,MAX(T$2:T203)+1,""),"")</f>
        <v/>
      </c>
      <c r="U204" s="25">
        <f>IF(T204="","",COUNTIFS($D$3:$D$1002,"="&amp;SUBSTITUTE(SUBSTITUTE(SUBSTITUTE(D204,"~","~~"),"*","~*"),"?","~?"),$L$3:$L$1002,1)*10000-T204)</f>
        <v/>
      </c>
      <c r="V204" s="25">
        <f>IF(AND(L204=1,J204&lt;&gt;""),IF(IFERROR(COUNTIFS(J$3:J204,"="&amp;SUBSTITUTE(SUBSTITUTE(SUBSTITUTE(J204,"~","~~"),"*","~*"),"?","~?"),L$3:L204,1),0)=1,MAX(V$2:V203)+1,""),"")</f>
        <v/>
      </c>
      <c r="W204" s="25">
        <f>IF(V204="","",COUNTIFS($J$3:$J$1002,"="&amp;SUBSTITUTE(SUBSTITUTE(SUBSTITUTE(J204,"~","~~"),"*","~*"),"?","~?"),$L$3:$L$1002,1)*10000-V204)</f>
        <v/>
      </c>
    </row>
    <row r="205">
      <c r="A205">
        <f>IF(A$2=0,"",IFERROR(TRIM(INDEX('Pegar estudiantes'!$A$1:$BZ$1001,204,A$2)&amp;""),""))</f>
        <v/>
      </c>
      <c r="B205">
        <f>IF(B$2=0,"",IFERROR(TRIM(INDEX('Pegar estudiantes'!$A$1:$BZ$1001,204,B$2)&amp;""),""))</f>
        <v/>
      </c>
      <c r="C205">
        <f>IF(C$2=0,"",IFERROR(TRIM(INDEX('Pegar estudiantes'!$A$1:$BZ$1001,204,C$2)&amp;""),""))</f>
        <v/>
      </c>
      <c r="D205">
        <f>IF(D$2=0,"",IFERROR(TRIM(INDEX('Pegar estudiantes'!$A$1:$BZ$1001,204,D$2)&amp;""),""))</f>
        <v/>
      </c>
      <c r="E205">
        <f>IF(E$2=0,"",IFERROR(TRIM(INDEX('Pegar estudiantes'!$A$1:$BZ$1001,204,E$2)&amp;""),""))</f>
        <v/>
      </c>
      <c r="F205">
        <f>IF(F$2=0,"",IFERROR(TRIM(INDEX('Pegar estudiantes'!$A$1:$BZ$1001,204,F$2)&amp;""),""))</f>
        <v/>
      </c>
      <c r="G205">
        <f>IF(G$2=0,"",IFERROR(TRIM(INDEX('Pegar estudiantes'!$A$1:$BZ$1001,204,G$2)&amp;""),""))</f>
        <v/>
      </c>
      <c r="H205">
        <f>IF(H$2=0,"",IFERROR(TRIM(INDEX('Pegar estudiantes'!$A$1:$BZ$1001,204,H$2)&amp;""),""))</f>
        <v/>
      </c>
      <c r="I205">
        <f>IF(I$2=0,"",IFERROR(TRIM(INDEX('Pegar estudiantes'!$A$1:$BZ$1001,204,I$2)&amp;""),""))</f>
        <v/>
      </c>
      <c r="J205">
        <f>IF(J$2=0,"",IFERROR(TRIM(INDEX('Pegar estudiantes'!$A$1:$BZ$1001,204,J$2)&amp;""),""))</f>
        <v/>
      </c>
      <c r="K205">
        <f>IF(K$2=0,"",IFERROR(TRIM(INDEX('Pegar estudiantes'!$A$1:$BZ$1001,204,K$2)&amp;""),""))</f>
        <v/>
      </c>
      <c r="L205" s="25">
        <f>IF(A205&lt;&gt;"",1,"")</f>
        <v/>
      </c>
      <c r="M205" s="25">
        <f>IF(L205=1,IF(ISNUMBER(FIND("#"&amp;MID(A205,1,1)&amp;"#","#0#1#2#3#4#5#6#7#8#9#")),IF(ISNUMBER(FIND("#"&amp;MID(A205,2,1)&amp;"#","#0#1#2#3#4#5#6#7#8#9#")),IF(AND(VALUE(LEFT(A205,2))&gt;=1,VALUE(LEFT(A205,2))&lt;=5),VALUE(LEFT(A205,2)),""),IF(AND(VALUE(LEFT(A205,1))&gt;=1,VALUE(LEFT(A205,1))&lt;=5),VALUE(LEFT(A205,1)),"")),""),"")</f>
        <v/>
      </c>
      <c r="N205" s="25">
        <f>IF(L205=1,IF(ISNUMBER(FIND("#"&amp;MID(H205,1,1)&amp;"#","#0#1#2#3#4#5#6#7#8#9#")),IF(ISNUMBER(FIND("#"&amp;MID(H205,2,1)&amp;"#","#0#1#2#3#4#5#6#7#8#9#")),IF(AND(VALUE(LEFT(H205,2))&gt;=1,VALUE(LEFT(H205,2))&lt;=5),VALUE(LEFT(H205,2)),""),IF(AND(VALUE(LEFT(H205,1))&gt;=1,VALUE(LEFT(H205,1))&lt;=5),VALUE(LEFT(H205,1)),"")),""),"")</f>
        <v/>
      </c>
      <c r="O205" s="25">
        <f>IF(AND(L205=1,B205&lt;&gt;""),SUBSTITUTE(SUBSTITUTE(SUBSTITUTE(SUBSTITUTE(SUBSTITUTE(SUBSTITUTE(SUBSTITUTE(SUBSTITUTE(SUBSTITUTE(SUBSTITUTE(SUBSTITUTE(SUBSTITUTE(LOWER(TRIM(B205)),"á","a"),"é","e"),"í","i"),"ó","o"),"ú","u"),"ü","u"),"ñ","n"),"à","a"),"è","e"),"ì","i"),"ò","o"),"ù","u"),"")</f>
        <v/>
      </c>
      <c r="P205" s="25">
        <f>IF(AND(L205=1,C205&lt;&gt;""),SUBSTITUTE(SUBSTITUTE(SUBSTITUTE(SUBSTITUTE(SUBSTITUTE(SUBSTITUTE(SUBSTITUTE(SUBSTITUTE(SUBSTITUTE(SUBSTITUTE(SUBSTITUTE(SUBSTITUTE(LOWER(TRIM(C205)),"á","a"),"é","e"),"í","i"),"ó","o"),"ú","u"),"ü","u"),"ñ","n"),"à","a"),"è","e"),"ì","i"),"ò","o"),"ù","u"),"")</f>
        <v/>
      </c>
      <c r="Q205" s="25">
        <f>IF(AND(L205=1,E205&lt;&gt;""),SUBSTITUTE(SUBSTITUTE(SUBSTITUTE(SUBSTITUTE(SUBSTITUTE(SUBSTITUTE(SUBSTITUTE(SUBSTITUTE(SUBSTITUTE(SUBSTITUTE(SUBSTITUTE(SUBSTITUTE(LOWER(TRIM(E205)),"á","a"),"é","e"),"í","i"),"ó","o"),"ú","u"),"ü","u"),"ñ","n"),"à","a"),"è","e"),"ì","i"),"ò","o"),"ù","u"),"")</f>
        <v/>
      </c>
      <c r="R205" s="25">
        <f>IF(AND(L205=1,I205&lt;&gt;""),SUBSTITUTE(SUBSTITUTE(SUBSTITUTE(SUBSTITUTE(SUBSTITUTE(SUBSTITUTE(SUBSTITUTE(SUBSTITUTE(SUBSTITUTE(SUBSTITUTE(SUBSTITUTE(SUBSTITUTE(LOWER(TRIM(I205)),"á","a"),"é","e"),"í","i"),"ó","o"),"ú","u"),"ü","u"),"ñ","n"),"à","a"),"è","e"),"ì","i"),"ò","o"),"ù","u"),"")</f>
        <v/>
      </c>
      <c r="S205" s="25">
        <f>IF(R205="","",IF(OR(R205="si",R205="tal vez"),1,0))</f>
        <v/>
      </c>
      <c r="T205" s="25">
        <f>IF(AND(L205=1,D205&lt;&gt;""),IF(IFERROR(COUNTIFS(D$3:D205,"="&amp;SUBSTITUTE(SUBSTITUTE(SUBSTITUTE(D205,"~","~~"),"*","~*"),"?","~?"),L$3:L205,1),0)=1,MAX(T$2:T204)+1,""),"")</f>
        <v/>
      </c>
      <c r="U205" s="25">
        <f>IF(T205="","",COUNTIFS($D$3:$D$1002,"="&amp;SUBSTITUTE(SUBSTITUTE(SUBSTITUTE(D205,"~","~~"),"*","~*"),"?","~?"),$L$3:$L$1002,1)*10000-T205)</f>
        <v/>
      </c>
      <c r="V205" s="25">
        <f>IF(AND(L205=1,J205&lt;&gt;""),IF(IFERROR(COUNTIFS(J$3:J205,"="&amp;SUBSTITUTE(SUBSTITUTE(SUBSTITUTE(J205,"~","~~"),"*","~*"),"?","~?"),L$3:L205,1),0)=1,MAX(V$2:V204)+1,""),"")</f>
        <v/>
      </c>
      <c r="W205" s="25">
        <f>IF(V205="","",COUNTIFS($J$3:$J$1002,"="&amp;SUBSTITUTE(SUBSTITUTE(SUBSTITUTE(J205,"~","~~"),"*","~*"),"?","~?"),$L$3:$L$1002,1)*10000-V205)</f>
        <v/>
      </c>
    </row>
    <row r="206">
      <c r="A206">
        <f>IF(A$2=0,"",IFERROR(TRIM(INDEX('Pegar estudiantes'!$A$1:$BZ$1001,205,A$2)&amp;""),""))</f>
        <v/>
      </c>
      <c r="B206">
        <f>IF(B$2=0,"",IFERROR(TRIM(INDEX('Pegar estudiantes'!$A$1:$BZ$1001,205,B$2)&amp;""),""))</f>
        <v/>
      </c>
      <c r="C206">
        <f>IF(C$2=0,"",IFERROR(TRIM(INDEX('Pegar estudiantes'!$A$1:$BZ$1001,205,C$2)&amp;""),""))</f>
        <v/>
      </c>
      <c r="D206">
        <f>IF(D$2=0,"",IFERROR(TRIM(INDEX('Pegar estudiantes'!$A$1:$BZ$1001,205,D$2)&amp;""),""))</f>
        <v/>
      </c>
      <c r="E206">
        <f>IF(E$2=0,"",IFERROR(TRIM(INDEX('Pegar estudiantes'!$A$1:$BZ$1001,205,E$2)&amp;""),""))</f>
        <v/>
      </c>
      <c r="F206">
        <f>IF(F$2=0,"",IFERROR(TRIM(INDEX('Pegar estudiantes'!$A$1:$BZ$1001,205,F$2)&amp;""),""))</f>
        <v/>
      </c>
      <c r="G206">
        <f>IF(G$2=0,"",IFERROR(TRIM(INDEX('Pegar estudiantes'!$A$1:$BZ$1001,205,G$2)&amp;""),""))</f>
        <v/>
      </c>
      <c r="H206">
        <f>IF(H$2=0,"",IFERROR(TRIM(INDEX('Pegar estudiantes'!$A$1:$BZ$1001,205,H$2)&amp;""),""))</f>
        <v/>
      </c>
      <c r="I206">
        <f>IF(I$2=0,"",IFERROR(TRIM(INDEX('Pegar estudiantes'!$A$1:$BZ$1001,205,I$2)&amp;""),""))</f>
        <v/>
      </c>
      <c r="J206">
        <f>IF(J$2=0,"",IFERROR(TRIM(INDEX('Pegar estudiantes'!$A$1:$BZ$1001,205,J$2)&amp;""),""))</f>
        <v/>
      </c>
      <c r="K206">
        <f>IF(K$2=0,"",IFERROR(TRIM(INDEX('Pegar estudiantes'!$A$1:$BZ$1001,205,K$2)&amp;""),""))</f>
        <v/>
      </c>
      <c r="L206" s="25">
        <f>IF(A206&lt;&gt;"",1,"")</f>
        <v/>
      </c>
      <c r="M206" s="25">
        <f>IF(L206=1,IF(ISNUMBER(FIND("#"&amp;MID(A206,1,1)&amp;"#","#0#1#2#3#4#5#6#7#8#9#")),IF(ISNUMBER(FIND("#"&amp;MID(A206,2,1)&amp;"#","#0#1#2#3#4#5#6#7#8#9#")),IF(AND(VALUE(LEFT(A206,2))&gt;=1,VALUE(LEFT(A206,2))&lt;=5),VALUE(LEFT(A206,2)),""),IF(AND(VALUE(LEFT(A206,1))&gt;=1,VALUE(LEFT(A206,1))&lt;=5),VALUE(LEFT(A206,1)),"")),""),"")</f>
        <v/>
      </c>
      <c r="N206" s="25">
        <f>IF(L206=1,IF(ISNUMBER(FIND("#"&amp;MID(H206,1,1)&amp;"#","#0#1#2#3#4#5#6#7#8#9#")),IF(ISNUMBER(FIND("#"&amp;MID(H206,2,1)&amp;"#","#0#1#2#3#4#5#6#7#8#9#")),IF(AND(VALUE(LEFT(H206,2))&gt;=1,VALUE(LEFT(H206,2))&lt;=5),VALUE(LEFT(H206,2)),""),IF(AND(VALUE(LEFT(H206,1))&gt;=1,VALUE(LEFT(H206,1))&lt;=5),VALUE(LEFT(H206,1)),"")),""),"")</f>
        <v/>
      </c>
      <c r="O206" s="25">
        <f>IF(AND(L206=1,B206&lt;&gt;""),SUBSTITUTE(SUBSTITUTE(SUBSTITUTE(SUBSTITUTE(SUBSTITUTE(SUBSTITUTE(SUBSTITUTE(SUBSTITUTE(SUBSTITUTE(SUBSTITUTE(SUBSTITUTE(SUBSTITUTE(LOWER(TRIM(B206)),"á","a"),"é","e"),"í","i"),"ó","o"),"ú","u"),"ü","u"),"ñ","n"),"à","a"),"è","e"),"ì","i"),"ò","o"),"ù","u"),"")</f>
        <v/>
      </c>
      <c r="P206" s="25">
        <f>IF(AND(L206=1,C206&lt;&gt;""),SUBSTITUTE(SUBSTITUTE(SUBSTITUTE(SUBSTITUTE(SUBSTITUTE(SUBSTITUTE(SUBSTITUTE(SUBSTITUTE(SUBSTITUTE(SUBSTITUTE(SUBSTITUTE(SUBSTITUTE(LOWER(TRIM(C206)),"á","a"),"é","e"),"í","i"),"ó","o"),"ú","u"),"ü","u"),"ñ","n"),"à","a"),"è","e"),"ì","i"),"ò","o"),"ù","u"),"")</f>
        <v/>
      </c>
      <c r="Q206" s="25">
        <f>IF(AND(L206=1,E206&lt;&gt;""),SUBSTITUTE(SUBSTITUTE(SUBSTITUTE(SUBSTITUTE(SUBSTITUTE(SUBSTITUTE(SUBSTITUTE(SUBSTITUTE(SUBSTITUTE(SUBSTITUTE(SUBSTITUTE(SUBSTITUTE(LOWER(TRIM(E206)),"á","a"),"é","e"),"í","i"),"ó","o"),"ú","u"),"ü","u"),"ñ","n"),"à","a"),"è","e"),"ì","i"),"ò","o"),"ù","u"),"")</f>
        <v/>
      </c>
      <c r="R206" s="25">
        <f>IF(AND(L206=1,I206&lt;&gt;""),SUBSTITUTE(SUBSTITUTE(SUBSTITUTE(SUBSTITUTE(SUBSTITUTE(SUBSTITUTE(SUBSTITUTE(SUBSTITUTE(SUBSTITUTE(SUBSTITUTE(SUBSTITUTE(SUBSTITUTE(LOWER(TRIM(I206)),"á","a"),"é","e"),"í","i"),"ó","o"),"ú","u"),"ü","u"),"ñ","n"),"à","a"),"è","e"),"ì","i"),"ò","o"),"ù","u"),"")</f>
        <v/>
      </c>
      <c r="S206" s="25">
        <f>IF(R206="","",IF(OR(R206="si",R206="tal vez"),1,0))</f>
        <v/>
      </c>
      <c r="T206" s="25">
        <f>IF(AND(L206=1,D206&lt;&gt;""),IF(IFERROR(COUNTIFS(D$3:D206,"="&amp;SUBSTITUTE(SUBSTITUTE(SUBSTITUTE(D206,"~","~~"),"*","~*"),"?","~?"),L$3:L206,1),0)=1,MAX(T$2:T205)+1,""),"")</f>
        <v/>
      </c>
      <c r="U206" s="25">
        <f>IF(T206="","",COUNTIFS($D$3:$D$1002,"="&amp;SUBSTITUTE(SUBSTITUTE(SUBSTITUTE(D206,"~","~~"),"*","~*"),"?","~?"),$L$3:$L$1002,1)*10000-T206)</f>
        <v/>
      </c>
      <c r="V206" s="25">
        <f>IF(AND(L206=1,J206&lt;&gt;""),IF(IFERROR(COUNTIFS(J$3:J206,"="&amp;SUBSTITUTE(SUBSTITUTE(SUBSTITUTE(J206,"~","~~"),"*","~*"),"?","~?"),L$3:L206,1),0)=1,MAX(V$2:V205)+1,""),"")</f>
        <v/>
      </c>
      <c r="W206" s="25">
        <f>IF(V206="","",COUNTIFS($J$3:$J$1002,"="&amp;SUBSTITUTE(SUBSTITUTE(SUBSTITUTE(J206,"~","~~"),"*","~*"),"?","~?"),$L$3:$L$1002,1)*10000-V206)</f>
        <v/>
      </c>
    </row>
    <row r="207">
      <c r="A207">
        <f>IF(A$2=0,"",IFERROR(TRIM(INDEX('Pegar estudiantes'!$A$1:$BZ$1001,206,A$2)&amp;""),""))</f>
        <v/>
      </c>
      <c r="B207">
        <f>IF(B$2=0,"",IFERROR(TRIM(INDEX('Pegar estudiantes'!$A$1:$BZ$1001,206,B$2)&amp;""),""))</f>
        <v/>
      </c>
      <c r="C207">
        <f>IF(C$2=0,"",IFERROR(TRIM(INDEX('Pegar estudiantes'!$A$1:$BZ$1001,206,C$2)&amp;""),""))</f>
        <v/>
      </c>
      <c r="D207">
        <f>IF(D$2=0,"",IFERROR(TRIM(INDEX('Pegar estudiantes'!$A$1:$BZ$1001,206,D$2)&amp;""),""))</f>
        <v/>
      </c>
      <c r="E207">
        <f>IF(E$2=0,"",IFERROR(TRIM(INDEX('Pegar estudiantes'!$A$1:$BZ$1001,206,E$2)&amp;""),""))</f>
        <v/>
      </c>
      <c r="F207">
        <f>IF(F$2=0,"",IFERROR(TRIM(INDEX('Pegar estudiantes'!$A$1:$BZ$1001,206,F$2)&amp;""),""))</f>
        <v/>
      </c>
      <c r="G207">
        <f>IF(G$2=0,"",IFERROR(TRIM(INDEX('Pegar estudiantes'!$A$1:$BZ$1001,206,G$2)&amp;""),""))</f>
        <v/>
      </c>
      <c r="H207">
        <f>IF(H$2=0,"",IFERROR(TRIM(INDEX('Pegar estudiantes'!$A$1:$BZ$1001,206,H$2)&amp;""),""))</f>
        <v/>
      </c>
      <c r="I207">
        <f>IF(I$2=0,"",IFERROR(TRIM(INDEX('Pegar estudiantes'!$A$1:$BZ$1001,206,I$2)&amp;""),""))</f>
        <v/>
      </c>
      <c r="J207">
        <f>IF(J$2=0,"",IFERROR(TRIM(INDEX('Pegar estudiantes'!$A$1:$BZ$1001,206,J$2)&amp;""),""))</f>
        <v/>
      </c>
      <c r="K207">
        <f>IF(K$2=0,"",IFERROR(TRIM(INDEX('Pegar estudiantes'!$A$1:$BZ$1001,206,K$2)&amp;""),""))</f>
        <v/>
      </c>
      <c r="L207" s="25">
        <f>IF(A207&lt;&gt;"",1,"")</f>
        <v/>
      </c>
      <c r="M207" s="25">
        <f>IF(L207=1,IF(ISNUMBER(FIND("#"&amp;MID(A207,1,1)&amp;"#","#0#1#2#3#4#5#6#7#8#9#")),IF(ISNUMBER(FIND("#"&amp;MID(A207,2,1)&amp;"#","#0#1#2#3#4#5#6#7#8#9#")),IF(AND(VALUE(LEFT(A207,2))&gt;=1,VALUE(LEFT(A207,2))&lt;=5),VALUE(LEFT(A207,2)),""),IF(AND(VALUE(LEFT(A207,1))&gt;=1,VALUE(LEFT(A207,1))&lt;=5),VALUE(LEFT(A207,1)),"")),""),"")</f>
        <v/>
      </c>
      <c r="N207" s="25">
        <f>IF(L207=1,IF(ISNUMBER(FIND("#"&amp;MID(H207,1,1)&amp;"#","#0#1#2#3#4#5#6#7#8#9#")),IF(ISNUMBER(FIND("#"&amp;MID(H207,2,1)&amp;"#","#0#1#2#3#4#5#6#7#8#9#")),IF(AND(VALUE(LEFT(H207,2))&gt;=1,VALUE(LEFT(H207,2))&lt;=5),VALUE(LEFT(H207,2)),""),IF(AND(VALUE(LEFT(H207,1))&gt;=1,VALUE(LEFT(H207,1))&lt;=5),VALUE(LEFT(H207,1)),"")),""),"")</f>
        <v/>
      </c>
      <c r="O207" s="25">
        <f>IF(AND(L207=1,B207&lt;&gt;""),SUBSTITUTE(SUBSTITUTE(SUBSTITUTE(SUBSTITUTE(SUBSTITUTE(SUBSTITUTE(SUBSTITUTE(SUBSTITUTE(SUBSTITUTE(SUBSTITUTE(SUBSTITUTE(SUBSTITUTE(LOWER(TRIM(B207)),"á","a"),"é","e"),"í","i"),"ó","o"),"ú","u"),"ü","u"),"ñ","n"),"à","a"),"è","e"),"ì","i"),"ò","o"),"ù","u"),"")</f>
        <v/>
      </c>
      <c r="P207" s="25">
        <f>IF(AND(L207=1,C207&lt;&gt;""),SUBSTITUTE(SUBSTITUTE(SUBSTITUTE(SUBSTITUTE(SUBSTITUTE(SUBSTITUTE(SUBSTITUTE(SUBSTITUTE(SUBSTITUTE(SUBSTITUTE(SUBSTITUTE(SUBSTITUTE(LOWER(TRIM(C207)),"á","a"),"é","e"),"í","i"),"ó","o"),"ú","u"),"ü","u"),"ñ","n"),"à","a"),"è","e"),"ì","i"),"ò","o"),"ù","u"),"")</f>
        <v/>
      </c>
      <c r="Q207" s="25">
        <f>IF(AND(L207=1,E207&lt;&gt;""),SUBSTITUTE(SUBSTITUTE(SUBSTITUTE(SUBSTITUTE(SUBSTITUTE(SUBSTITUTE(SUBSTITUTE(SUBSTITUTE(SUBSTITUTE(SUBSTITUTE(SUBSTITUTE(SUBSTITUTE(LOWER(TRIM(E207)),"á","a"),"é","e"),"í","i"),"ó","o"),"ú","u"),"ü","u"),"ñ","n"),"à","a"),"è","e"),"ì","i"),"ò","o"),"ù","u"),"")</f>
        <v/>
      </c>
      <c r="R207" s="25">
        <f>IF(AND(L207=1,I207&lt;&gt;""),SUBSTITUTE(SUBSTITUTE(SUBSTITUTE(SUBSTITUTE(SUBSTITUTE(SUBSTITUTE(SUBSTITUTE(SUBSTITUTE(SUBSTITUTE(SUBSTITUTE(SUBSTITUTE(SUBSTITUTE(LOWER(TRIM(I207)),"á","a"),"é","e"),"í","i"),"ó","o"),"ú","u"),"ü","u"),"ñ","n"),"à","a"),"è","e"),"ì","i"),"ò","o"),"ù","u"),"")</f>
        <v/>
      </c>
      <c r="S207" s="25">
        <f>IF(R207="","",IF(OR(R207="si",R207="tal vez"),1,0))</f>
        <v/>
      </c>
      <c r="T207" s="25">
        <f>IF(AND(L207=1,D207&lt;&gt;""),IF(IFERROR(COUNTIFS(D$3:D207,"="&amp;SUBSTITUTE(SUBSTITUTE(SUBSTITUTE(D207,"~","~~"),"*","~*"),"?","~?"),L$3:L207,1),0)=1,MAX(T$2:T206)+1,""),"")</f>
        <v/>
      </c>
      <c r="U207" s="25">
        <f>IF(T207="","",COUNTIFS($D$3:$D$1002,"="&amp;SUBSTITUTE(SUBSTITUTE(SUBSTITUTE(D207,"~","~~"),"*","~*"),"?","~?"),$L$3:$L$1002,1)*10000-T207)</f>
        <v/>
      </c>
      <c r="V207" s="25">
        <f>IF(AND(L207=1,J207&lt;&gt;""),IF(IFERROR(COUNTIFS(J$3:J207,"="&amp;SUBSTITUTE(SUBSTITUTE(SUBSTITUTE(J207,"~","~~"),"*","~*"),"?","~?"),L$3:L207,1),0)=1,MAX(V$2:V206)+1,""),"")</f>
        <v/>
      </c>
      <c r="W207" s="25">
        <f>IF(V207="","",COUNTIFS($J$3:$J$1002,"="&amp;SUBSTITUTE(SUBSTITUTE(SUBSTITUTE(J207,"~","~~"),"*","~*"),"?","~?"),$L$3:$L$1002,1)*10000-V207)</f>
        <v/>
      </c>
    </row>
    <row r="208">
      <c r="A208">
        <f>IF(A$2=0,"",IFERROR(TRIM(INDEX('Pegar estudiantes'!$A$1:$BZ$1001,207,A$2)&amp;""),""))</f>
        <v/>
      </c>
      <c r="B208">
        <f>IF(B$2=0,"",IFERROR(TRIM(INDEX('Pegar estudiantes'!$A$1:$BZ$1001,207,B$2)&amp;""),""))</f>
        <v/>
      </c>
      <c r="C208">
        <f>IF(C$2=0,"",IFERROR(TRIM(INDEX('Pegar estudiantes'!$A$1:$BZ$1001,207,C$2)&amp;""),""))</f>
        <v/>
      </c>
      <c r="D208">
        <f>IF(D$2=0,"",IFERROR(TRIM(INDEX('Pegar estudiantes'!$A$1:$BZ$1001,207,D$2)&amp;""),""))</f>
        <v/>
      </c>
      <c r="E208">
        <f>IF(E$2=0,"",IFERROR(TRIM(INDEX('Pegar estudiantes'!$A$1:$BZ$1001,207,E$2)&amp;""),""))</f>
        <v/>
      </c>
      <c r="F208">
        <f>IF(F$2=0,"",IFERROR(TRIM(INDEX('Pegar estudiantes'!$A$1:$BZ$1001,207,F$2)&amp;""),""))</f>
        <v/>
      </c>
      <c r="G208">
        <f>IF(G$2=0,"",IFERROR(TRIM(INDEX('Pegar estudiantes'!$A$1:$BZ$1001,207,G$2)&amp;""),""))</f>
        <v/>
      </c>
      <c r="H208">
        <f>IF(H$2=0,"",IFERROR(TRIM(INDEX('Pegar estudiantes'!$A$1:$BZ$1001,207,H$2)&amp;""),""))</f>
        <v/>
      </c>
      <c r="I208">
        <f>IF(I$2=0,"",IFERROR(TRIM(INDEX('Pegar estudiantes'!$A$1:$BZ$1001,207,I$2)&amp;""),""))</f>
        <v/>
      </c>
      <c r="J208">
        <f>IF(J$2=0,"",IFERROR(TRIM(INDEX('Pegar estudiantes'!$A$1:$BZ$1001,207,J$2)&amp;""),""))</f>
        <v/>
      </c>
      <c r="K208">
        <f>IF(K$2=0,"",IFERROR(TRIM(INDEX('Pegar estudiantes'!$A$1:$BZ$1001,207,K$2)&amp;""),""))</f>
        <v/>
      </c>
      <c r="L208" s="25">
        <f>IF(A208&lt;&gt;"",1,"")</f>
        <v/>
      </c>
      <c r="M208" s="25">
        <f>IF(L208=1,IF(ISNUMBER(FIND("#"&amp;MID(A208,1,1)&amp;"#","#0#1#2#3#4#5#6#7#8#9#")),IF(ISNUMBER(FIND("#"&amp;MID(A208,2,1)&amp;"#","#0#1#2#3#4#5#6#7#8#9#")),IF(AND(VALUE(LEFT(A208,2))&gt;=1,VALUE(LEFT(A208,2))&lt;=5),VALUE(LEFT(A208,2)),""),IF(AND(VALUE(LEFT(A208,1))&gt;=1,VALUE(LEFT(A208,1))&lt;=5),VALUE(LEFT(A208,1)),"")),""),"")</f>
        <v/>
      </c>
      <c r="N208" s="25">
        <f>IF(L208=1,IF(ISNUMBER(FIND("#"&amp;MID(H208,1,1)&amp;"#","#0#1#2#3#4#5#6#7#8#9#")),IF(ISNUMBER(FIND("#"&amp;MID(H208,2,1)&amp;"#","#0#1#2#3#4#5#6#7#8#9#")),IF(AND(VALUE(LEFT(H208,2))&gt;=1,VALUE(LEFT(H208,2))&lt;=5),VALUE(LEFT(H208,2)),""),IF(AND(VALUE(LEFT(H208,1))&gt;=1,VALUE(LEFT(H208,1))&lt;=5),VALUE(LEFT(H208,1)),"")),""),"")</f>
        <v/>
      </c>
      <c r="O208" s="25">
        <f>IF(AND(L208=1,B208&lt;&gt;""),SUBSTITUTE(SUBSTITUTE(SUBSTITUTE(SUBSTITUTE(SUBSTITUTE(SUBSTITUTE(SUBSTITUTE(SUBSTITUTE(SUBSTITUTE(SUBSTITUTE(SUBSTITUTE(SUBSTITUTE(LOWER(TRIM(B208)),"á","a"),"é","e"),"í","i"),"ó","o"),"ú","u"),"ü","u"),"ñ","n"),"à","a"),"è","e"),"ì","i"),"ò","o"),"ù","u"),"")</f>
        <v/>
      </c>
      <c r="P208" s="25">
        <f>IF(AND(L208=1,C208&lt;&gt;""),SUBSTITUTE(SUBSTITUTE(SUBSTITUTE(SUBSTITUTE(SUBSTITUTE(SUBSTITUTE(SUBSTITUTE(SUBSTITUTE(SUBSTITUTE(SUBSTITUTE(SUBSTITUTE(SUBSTITUTE(LOWER(TRIM(C208)),"á","a"),"é","e"),"í","i"),"ó","o"),"ú","u"),"ü","u"),"ñ","n"),"à","a"),"è","e"),"ì","i"),"ò","o"),"ù","u"),"")</f>
        <v/>
      </c>
      <c r="Q208" s="25">
        <f>IF(AND(L208=1,E208&lt;&gt;""),SUBSTITUTE(SUBSTITUTE(SUBSTITUTE(SUBSTITUTE(SUBSTITUTE(SUBSTITUTE(SUBSTITUTE(SUBSTITUTE(SUBSTITUTE(SUBSTITUTE(SUBSTITUTE(SUBSTITUTE(LOWER(TRIM(E208)),"á","a"),"é","e"),"í","i"),"ó","o"),"ú","u"),"ü","u"),"ñ","n"),"à","a"),"è","e"),"ì","i"),"ò","o"),"ù","u"),"")</f>
        <v/>
      </c>
      <c r="R208" s="25">
        <f>IF(AND(L208=1,I208&lt;&gt;""),SUBSTITUTE(SUBSTITUTE(SUBSTITUTE(SUBSTITUTE(SUBSTITUTE(SUBSTITUTE(SUBSTITUTE(SUBSTITUTE(SUBSTITUTE(SUBSTITUTE(SUBSTITUTE(SUBSTITUTE(LOWER(TRIM(I208)),"á","a"),"é","e"),"í","i"),"ó","o"),"ú","u"),"ü","u"),"ñ","n"),"à","a"),"è","e"),"ì","i"),"ò","o"),"ù","u"),"")</f>
        <v/>
      </c>
      <c r="S208" s="25">
        <f>IF(R208="","",IF(OR(R208="si",R208="tal vez"),1,0))</f>
        <v/>
      </c>
      <c r="T208" s="25">
        <f>IF(AND(L208=1,D208&lt;&gt;""),IF(IFERROR(COUNTIFS(D$3:D208,"="&amp;SUBSTITUTE(SUBSTITUTE(SUBSTITUTE(D208,"~","~~"),"*","~*"),"?","~?"),L$3:L208,1),0)=1,MAX(T$2:T207)+1,""),"")</f>
        <v/>
      </c>
      <c r="U208" s="25">
        <f>IF(T208="","",COUNTIFS($D$3:$D$1002,"="&amp;SUBSTITUTE(SUBSTITUTE(SUBSTITUTE(D208,"~","~~"),"*","~*"),"?","~?"),$L$3:$L$1002,1)*10000-T208)</f>
        <v/>
      </c>
      <c r="V208" s="25">
        <f>IF(AND(L208=1,J208&lt;&gt;""),IF(IFERROR(COUNTIFS(J$3:J208,"="&amp;SUBSTITUTE(SUBSTITUTE(SUBSTITUTE(J208,"~","~~"),"*","~*"),"?","~?"),L$3:L208,1),0)=1,MAX(V$2:V207)+1,""),"")</f>
        <v/>
      </c>
      <c r="W208" s="25">
        <f>IF(V208="","",COUNTIFS($J$3:$J$1002,"="&amp;SUBSTITUTE(SUBSTITUTE(SUBSTITUTE(J208,"~","~~"),"*","~*"),"?","~?"),$L$3:$L$1002,1)*10000-V208)</f>
        <v/>
      </c>
    </row>
    <row r="209">
      <c r="A209">
        <f>IF(A$2=0,"",IFERROR(TRIM(INDEX('Pegar estudiantes'!$A$1:$BZ$1001,208,A$2)&amp;""),""))</f>
        <v/>
      </c>
      <c r="B209">
        <f>IF(B$2=0,"",IFERROR(TRIM(INDEX('Pegar estudiantes'!$A$1:$BZ$1001,208,B$2)&amp;""),""))</f>
        <v/>
      </c>
      <c r="C209">
        <f>IF(C$2=0,"",IFERROR(TRIM(INDEX('Pegar estudiantes'!$A$1:$BZ$1001,208,C$2)&amp;""),""))</f>
        <v/>
      </c>
      <c r="D209">
        <f>IF(D$2=0,"",IFERROR(TRIM(INDEX('Pegar estudiantes'!$A$1:$BZ$1001,208,D$2)&amp;""),""))</f>
        <v/>
      </c>
      <c r="E209">
        <f>IF(E$2=0,"",IFERROR(TRIM(INDEX('Pegar estudiantes'!$A$1:$BZ$1001,208,E$2)&amp;""),""))</f>
        <v/>
      </c>
      <c r="F209">
        <f>IF(F$2=0,"",IFERROR(TRIM(INDEX('Pegar estudiantes'!$A$1:$BZ$1001,208,F$2)&amp;""),""))</f>
        <v/>
      </c>
      <c r="G209">
        <f>IF(G$2=0,"",IFERROR(TRIM(INDEX('Pegar estudiantes'!$A$1:$BZ$1001,208,G$2)&amp;""),""))</f>
        <v/>
      </c>
      <c r="H209">
        <f>IF(H$2=0,"",IFERROR(TRIM(INDEX('Pegar estudiantes'!$A$1:$BZ$1001,208,H$2)&amp;""),""))</f>
        <v/>
      </c>
      <c r="I209">
        <f>IF(I$2=0,"",IFERROR(TRIM(INDEX('Pegar estudiantes'!$A$1:$BZ$1001,208,I$2)&amp;""),""))</f>
        <v/>
      </c>
      <c r="J209">
        <f>IF(J$2=0,"",IFERROR(TRIM(INDEX('Pegar estudiantes'!$A$1:$BZ$1001,208,J$2)&amp;""),""))</f>
        <v/>
      </c>
      <c r="K209">
        <f>IF(K$2=0,"",IFERROR(TRIM(INDEX('Pegar estudiantes'!$A$1:$BZ$1001,208,K$2)&amp;""),""))</f>
        <v/>
      </c>
      <c r="L209" s="25">
        <f>IF(A209&lt;&gt;"",1,"")</f>
        <v/>
      </c>
      <c r="M209" s="25">
        <f>IF(L209=1,IF(ISNUMBER(FIND("#"&amp;MID(A209,1,1)&amp;"#","#0#1#2#3#4#5#6#7#8#9#")),IF(ISNUMBER(FIND("#"&amp;MID(A209,2,1)&amp;"#","#0#1#2#3#4#5#6#7#8#9#")),IF(AND(VALUE(LEFT(A209,2))&gt;=1,VALUE(LEFT(A209,2))&lt;=5),VALUE(LEFT(A209,2)),""),IF(AND(VALUE(LEFT(A209,1))&gt;=1,VALUE(LEFT(A209,1))&lt;=5),VALUE(LEFT(A209,1)),"")),""),"")</f>
        <v/>
      </c>
      <c r="N209" s="25">
        <f>IF(L209=1,IF(ISNUMBER(FIND("#"&amp;MID(H209,1,1)&amp;"#","#0#1#2#3#4#5#6#7#8#9#")),IF(ISNUMBER(FIND("#"&amp;MID(H209,2,1)&amp;"#","#0#1#2#3#4#5#6#7#8#9#")),IF(AND(VALUE(LEFT(H209,2))&gt;=1,VALUE(LEFT(H209,2))&lt;=5),VALUE(LEFT(H209,2)),""),IF(AND(VALUE(LEFT(H209,1))&gt;=1,VALUE(LEFT(H209,1))&lt;=5),VALUE(LEFT(H209,1)),"")),""),"")</f>
        <v/>
      </c>
      <c r="O209" s="25">
        <f>IF(AND(L209=1,B209&lt;&gt;""),SUBSTITUTE(SUBSTITUTE(SUBSTITUTE(SUBSTITUTE(SUBSTITUTE(SUBSTITUTE(SUBSTITUTE(SUBSTITUTE(SUBSTITUTE(SUBSTITUTE(SUBSTITUTE(SUBSTITUTE(LOWER(TRIM(B209)),"á","a"),"é","e"),"í","i"),"ó","o"),"ú","u"),"ü","u"),"ñ","n"),"à","a"),"è","e"),"ì","i"),"ò","o"),"ù","u"),"")</f>
        <v/>
      </c>
      <c r="P209" s="25">
        <f>IF(AND(L209=1,C209&lt;&gt;""),SUBSTITUTE(SUBSTITUTE(SUBSTITUTE(SUBSTITUTE(SUBSTITUTE(SUBSTITUTE(SUBSTITUTE(SUBSTITUTE(SUBSTITUTE(SUBSTITUTE(SUBSTITUTE(SUBSTITUTE(LOWER(TRIM(C209)),"á","a"),"é","e"),"í","i"),"ó","o"),"ú","u"),"ü","u"),"ñ","n"),"à","a"),"è","e"),"ì","i"),"ò","o"),"ù","u"),"")</f>
        <v/>
      </c>
      <c r="Q209" s="25">
        <f>IF(AND(L209=1,E209&lt;&gt;""),SUBSTITUTE(SUBSTITUTE(SUBSTITUTE(SUBSTITUTE(SUBSTITUTE(SUBSTITUTE(SUBSTITUTE(SUBSTITUTE(SUBSTITUTE(SUBSTITUTE(SUBSTITUTE(SUBSTITUTE(LOWER(TRIM(E209)),"á","a"),"é","e"),"í","i"),"ó","o"),"ú","u"),"ü","u"),"ñ","n"),"à","a"),"è","e"),"ì","i"),"ò","o"),"ù","u"),"")</f>
        <v/>
      </c>
      <c r="R209" s="25">
        <f>IF(AND(L209=1,I209&lt;&gt;""),SUBSTITUTE(SUBSTITUTE(SUBSTITUTE(SUBSTITUTE(SUBSTITUTE(SUBSTITUTE(SUBSTITUTE(SUBSTITUTE(SUBSTITUTE(SUBSTITUTE(SUBSTITUTE(SUBSTITUTE(LOWER(TRIM(I209)),"á","a"),"é","e"),"í","i"),"ó","o"),"ú","u"),"ü","u"),"ñ","n"),"à","a"),"è","e"),"ì","i"),"ò","o"),"ù","u"),"")</f>
        <v/>
      </c>
      <c r="S209" s="25">
        <f>IF(R209="","",IF(OR(R209="si",R209="tal vez"),1,0))</f>
        <v/>
      </c>
      <c r="T209" s="25">
        <f>IF(AND(L209=1,D209&lt;&gt;""),IF(IFERROR(COUNTIFS(D$3:D209,"="&amp;SUBSTITUTE(SUBSTITUTE(SUBSTITUTE(D209,"~","~~"),"*","~*"),"?","~?"),L$3:L209,1),0)=1,MAX(T$2:T208)+1,""),"")</f>
        <v/>
      </c>
      <c r="U209" s="25">
        <f>IF(T209="","",COUNTIFS($D$3:$D$1002,"="&amp;SUBSTITUTE(SUBSTITUTE(SUBSTITUTE(D209,"~","~~"),"*","~*"),"?","~?"),$L$3:$L$1002,1)*10000-T209)</f>
        <v/>
      </c>
      <c r="V209" s="25">
        <f>IF(AND(L209=1,J209&lt;&gt;""),IF(IFERROR(COUNTIFS(J$3:J209,"="&amp;SUBSTITUTE(SUBSTITUTE(SUBSTITUTE(J209,"~","~~"),"*","~*"),"?","~?"),L$3:L209,1),0)=1,MAX(V$2:V208)+1,""),"")</f>
        <v/>
      </c>
      <c r="W209" s="25">
        <f>IF(V209="","",COUNTIFS($J$3:$J$1002,"="&amp;SUBSTITUTE(SUBSTITUTE(SUBSTITUTE(J209,"~","~~"),"*","~*"),"?","~?"),$L$3:$L$1002,1)*10000-V209)</f>
        <v/>
      </c>
    </row>
    <row r="210">
      <c r="A210">
        <f>IF(A$2=0,"",IFERROR(TRIM(INDEX('Pegar estudiantes'!$A$1:$BZ$1001,209,A$2)&amp;""),""))</f>
        <v/>
      </c>
      <c r="B210">
        <f>IF(B$2=0,"",IFERROR(TRIM(INDEX('Pegar estudiantes'!$A$1:$BZ$1001,209,B$2)&amp;""),""))</f>
        <v/>
      </c>
      <c r="C210">
        <f>IF(C$2=0,"",IFERROR(TRIM(INDEX('Pegar estudiantes'!$A$1:$BZ$1001,209,C$2)&amp;""),""))</f>
        <v/>
      </c>
      <c r="D210">
        <f>IF(D$2=0,"",IFERROR(TRIM(INDEX('Pegar estudiantes'!$A$1:$BZ$1001,209,D$2)&amp;""),""))</f>
        <v/>
      </c>
      <c r="E210">
        <f>IF(E$2=0,"",IFERROR(TRIM(INDEX('Pegar estudiantes'!$A$1:$BZ$1001,209,E$2)&amp;""),""))</f>
        <v/>
      </c>
      <c r="F210">
        <f>IF(F$2=0,"",IFERROR(TRIM(INDEX('Pegar estudiantes'!$A$1:$BZ$1001,209,F$2)&amp;""),""))</f>
        <v/>
      </c>
      <c r="G210">
        <f>IF(G$2=0,"",IFERROR(TRIM(INDEX('Pegar estudiantes'!$A$1:$BZ$1001,209,G$2)&amp;""),""))</f>
        <v/>
      </c>
      <c r="H210">
        <f>IF(H$2=0,"",IFERROR(TRIM(INDEX('Pegar estudiantes'!$A$1:$BZ$1001,209,H$2)&amp;""),""))</f>
        <v/>
      </c>
      <c r="I210">
        <f>IF(I$2=0,"",IFERROR(TRIM(INDEX('Pegar estudiantes'!$A$1:$BZ$1001,209,I$2)&amp;""),""))</f>
        <v/>
      </c>
      <c r="J210">
        <f>IF(J$2=0,"",IFERROR(TRIM(INDEX('Pegar estudiantes'!$A$1:$BZ$1001,209,J$2)&amp;""),""))</f>
        <v/>
      </c>
      <c r="K210">
        <f>IF(K$2=0,"",IFERROR(TRIM(INDEX('Pegar estudiantes'!$A$1:$BZ$1001,209,K$2)&amp;""),""))</f>
        <v/>
      </c>
      <c r="L210" s="25">
        <f>IF(A210&lt;&gt;"",1,"")</f>
        <v/>
      </c>
      <c r="M210" s="25">
        <f>IF(L210=1,IF(ISNUMBER(FIND("#"&amp;MID(A210,1,1)&amp;"#","#0#1#2#3#4#5#6#7#8#9#")),IF(ISNUMBER(FIND("#"&amp;MID(A210,2,1)&amp;"#","#0#1#2#3#4#5#6#7#8#9#")),IF(AND(VALUE(LEFT(A210,2))&gt;=1,VALUE(LEFT(A210,2))&lt;=5),VALUE(LEFT(A210,2)),""),IF(AND(VALUE(LEFT(A210,1))&gt;=1,VALUE(LEFT(A210,1))&lt;=5),VALUE(LEFT(A210,1)),"")),""),"")</f>
        <v/>
      </c>
      <c r="N210" s="25">
        <f>IF(L210=1,IF(ISNUMBER(FIND("#"&amp;MID(H210,1,1)&amp;"#","#0#1#2#3#4#5#6#7#8#9#")),IF(ISNUMBER(FIND("#"&amp;MID(H210,2,1)&amp;"#","#0#1#2#3#4#5#6#7#8#9#")),IF(AND(VALUE(LEFT(H210,2))&gt;=1,VALUE(LEFT(H210,2))&lt;=5),VALUE(LEFT(H210,2)),""),IF(AND(VALUE(LEFT(H210,1))&gt;=1,VALUE(LEFT(H210,1))&lt;=5),VALUE(LEFT(H210,1)),"")),""),"")</f>
        <v/>
      </c>
      <c r="O210" s="25">
        <f>IF(AND(L210=1,B210&lt;&gt;""),SUBSTITUTE(SUBSTITUTE(SUBSTITUTE(SUBSTITUTE(SUBSTITUTE(SUBSTITUTE(SUBSTITUTE(SUBSTITUTE(SUBSTITUTE(SUBSTITUTE(SUBSTITUTE(SUBSTITUTE(LOWER(TRIM(B210)),"á","a"),"é","e"),"í","i"),"ó","o"),"ú","u"),"ü","u"),"ñ","n"),"à","a"),"è","e"),"ì","i"),"ò","o"),"ù","u"),"")</f>
        <v/>
      </c>
      <c r="P210" s="25">
        <f>IF(AND(L210=1,C210&lt;&gt;""),SUBSTITUTE(SUBSTITUTE(SUBSTITUTE(SUBSTITUTE(SUBSTITUTE(SUBSTITUTE(SUBSTITUTE(SUBSTITUTE(SUBSTITUTE(SUBSTITUTE(SUBSTITUTE(SUBSTITUTE(LOWER(TRIM(C210)),"á","a"),"é","e"),"í","i"),"ó","o"),"ú","u"),"ü","u"),"ñ","n"),"à","a"),"è","e"),"ì","i"),"ò","o"),"ù","u"),"")</f>
        <v/>
      </c>
      <c r="Q210" s="25">
        <f>IF(AND(L210=1,E210&lt;&gt;""),SUBSTITUTE(SUBSTITUTE(SUBSTITUTE(SUBSTITUTE(SUBSTITUTE(SUBSTITUTE(SUBSTITUTE(SUBSTITUTE(SUBSTITUTE(SUBSTITUTE(SUBSTITUTE(SUBSTITUTE(LOWER(TRIM(E210)),"á","a"),"é","e"),"í","i"),"ó","o"),"ú","u"),"ü","u"),"ñ","n"),"à","a"),"è","e"),"ì","i"),"ò","o"),"ù","u"),"")</f>
        <v/>
      </c>
      <c r="R210" s="25">
        <f>IF(AND(L210=1,I210&lt;&gt;""),SUBSTITUTE(SUBSTITUTE(SUBSTITUTE(SUBSTITUTE(SUBSTITUTE(SUBSTITUTE(SUBSTITUTE(SUBSTITUTE(SUBSTITUTE(SUBSTITUTE(SUBSTITUTE(SUBSTITUTE(LOWER(TRIM(I210)),"á","a"),"é","e"),"í","i"),"ó","o"),"ú","u"),"ü","u"),"ñ","n"),"à","a"),"è","e"),"ì","i"),"ò","o"),"ù","u"),"")</f>
        <v/>
      </c>
      <c r="S210" s="25">
        <f>IF(R210="","",IF(OR(R210="si",R210="tal vez"),1,0))</f>
        <v/>
      </c>
      <c r="T210" s="25">
        <f>IF(AND(L210=1,D210&lt;&gt;""),IF(IFERROR(COUNTIFS(D$3:D210,"="&amp;SUBSTITUTE(SUBSTITUTE(SUBSTITUTE(D210,"~","~~"),"*","~*"),"?","~?"),L$3:L210,1),0)=1,MAX(T$2:T209)+1,""),"")</f>
        <v/>
      </c>
      <c r="U210" s="25">
        <f>IF(T210="","",COUNTIFS($D$3:$D$1002,"="&amp;SUBSTITUTE(SUBSTITUTE(SUBSTITUTE(D210,"~","~~"),"*","~*"),"?","~?"),$L$3:$L$1002,1)*10000-T210)</f>
        <v/>
      </c>
      <c r="V210" s="25">
        <f>IF(AND(L210=1,J210&lt;&gt;""),IF(IFERROR(COUNTIFS(J$3:J210,"="&amp;SUBSTITUTE(SUBSTITUTE(SUBSTITUTE(J210,"~","~~"),"*","~*"),"?","~?"),L$3:L210,1),0)=1,MAX(V$2:V209)+1,""),"")</f>
        <v/>
      </c>
      <c r="W210" s="25">
        <f>IF(V210="","",COUNTIFS($J$3:$J$1002,"="&amp;SUBSTITUTE(SUBSTITUTE(SUBSTITUTE(J210,"~","~~"),"*","~*"),"?","~?"),$L$3:$L$1002,1)*10000-V210)</f>
        <v/>
      </c>
    </row>
    <row r="211">
      <c r="A211">
        <f>IF(A$2=0,"",IFERROR(TRIM(INDEX('Pegar estudiantes'!$A$1:$BZ$1001,210,A$2)&amp;""),""))</f>
        <v/>
      </c>
      <c r="B211">
        <f>IF(B$2=0,"",IFERROR(TRIM(INDEX('Pegar estudiantes'!$A$1:$BZ$1001,210,B$2)&amp;""),""))</f>
        <v/>
      </c>
      <c r="C211">
        <f>IF(C$2=0,"",IFERROR(TRIM(INDEX('Pegar estudiantes'!$A$1:$BZ$1001,210,C$2)&amp;""),""))</f>
        <v/>
      </c>
      <c r="D211">
        <f>IF(D$2=0,"",IFERROR(TRIM(INDEX('Pegar estudiantes'!$A$1:$BZ$1001,210,D$2)&amp;""),""))</f>
        <v/>
      </c>
      <c r="E211">
        <f>IF(E$2=0,"",IFERROR(TRIM(INDEX('Pegar estudiantes'!$A$1:$BZ$1001,210,E$2)&amp;""),""))</f>
        <v/>
      </c>
      <c r="F211">
        <f>IF(F$2=0,"",IFERROR(TRIM(INDEX('Pegar estudiantes'!$A$1:$BZ$1001,210,F$2)&amp;""),""))</f>
        <v/>
      </c>
      <c r="G211">
        <f>IF(G$2=0,"",IFERROR(TRIM(INDEX('Pegar estudiantes'!$A$1:$BZ$1001,210,G$2)&amp;""),""))</f>
        <v/>
      </c>
      <c r="H211">
        <f>IF(H$2=0,"",IFERROR(TRIM(INDEX('Pegar estudiantes'!$A$1:$BZ$1001,210,H$2)&amp;""),""))</f>
        <v/>
      </c>
      <c r="I211">
        <f>IF(I$2=0,"",IFERROR(TRIM(INDEX('Pegar estudiantes'!$A$1:$BZ$1001,210,I$2)&amp;""),""))</f>
        <v/>
      </c>
      <c r="J211">
        <f>IF(J$2=0,"",IFERROR(TRIM(INDEX('Pegar estudiantes'!$A$1:$BZ$1001,210,J$2)&amp;""),""))</f>
        <v/>
      </c>
      <c r="K211">
        <f>IF(K$2=0,"",IFERROR(TRIM(INDEX('Pegar estudiantes'!$A$1:$BZ$1001,210,K$2)&amp;""),""))</f>
        <v/>
      </c>
      <c r="L211" s="25">
        <f>IF(A211&lt;&gt;"",1,"")</f>
        <v/>
      </c>
      <c r="M211" s="25">
        <f>IF(L211=1,IF(ISNUMBER(FIND("#"&amp;MID(A211,1,1)&amp;"#","#0#1#2#3#4#5#6#7#8#9#")),IF(ISNUMBER(FIND("#"&amp;MID(A211,2,1)&amp;"#","#0#1#2#3#4#5#6#7#8#9#")),IF(AND(VALUE(LEFT(A211,2))&gt;=1,VALUE(LEFT(A211,2))&lt;=5),VALUE(LEFT(A211,2)),""),IF(AND(VALUE(LEFT(A211,1))&gt;=1,VALUE(LEFT(A211,1))&lt;=5),VALUE(LEFT(A211,1)),"")),""),"")</f>
        <v/>
      </c>
      <c r="N211" s="25">
        <f>IF(L211=1,IF(ISNUMBER(FIND("#"&amp;MID(H211,1,1)&amp;"#","#0#1#2#3#4#5#6#7#8#9#")),IF(ISNUMBER(FIND("#"&amp;MID(H211,2,1)&amp;"#","#0#1#2#3#4#5#6#7#8#9#")),IF(AND(VALUE(LEFT(H211,2))&gt;=1,VALUE(LEFT(H211,2))&lt;=5),VALUE(LEFT(H211,2)),""),IF(AND(VALUE(LEFT(H211,1))&gt;=1,VALUE(LEFT(H211,1))&lt;=5),VALUE(LEFT(H211,1)),"")),""),"")</f>
        <v/>
      </c>
      <c r="O211" s="25">
        <f>IF(AND(L211=1,B211&lt;&gt;""),SUBSTITUTE(SUBSTITUTE(SUBSTITUTE(SUBSTITUTE(SUBSTITUTE(SUBSTITUTE(SUBSTITUTE(SUBSTITUTE(SUBSTITUTE(SUBSTITUTE(SUBSTITUTE(SUBSTITUTE(LOWER(TRIM(B211)),"á","a"),"é","e"),"í","i"),"ó","o"),"ú","u"),"ü","u"),"ñ","n"),"à","a"),"è","e"),"ì","i"),"ò","o"),"ù","u"),"")</f>
        <v/>
      </c>
      <c r="P211" s="25">
        <f>IF(AND(L211=1,C211&lt;&gt;""),SUBSTITUTE(SUBSTITUTE(SUBSTITUTE(SUBSTITUTE(SUBSTITUTE(SUBSTITUTE(SUBSTITUTE(SUBSTITUTE(SUBSTITUTE(SUBSTITUTE(SUBSTITUTE(SUBSTITUTE(LOWER(TRIM(C211)),"á","a"),"é","e"),"í","i"),"ó","o"),"ú","u"),"ü","u"),"ñ","n"),"à","a"),"è","e"),"ì","i"),"ò","o"),"ù","u"),"")</f>
        <v/>
      </c>
      <c r="Q211" s="25">
        <f>IF(AND(L211=1,E211&lt;&gt;""),SUBSTITUTE(SUBSTITUTE(SUBSTITUTE(SUBSTITUTE(SUBSTITUTE(SUBSTITUTE(SUBSTITUTE(SUBSTITUTE(SUBSTITUTE(SUBSTITUTE(SUBSTITUTE(SUBSTITUTE(LOWER(TRIM(E211)),"á","a"),"é","e"),"í","i"),"ó","o"),"ú","u"),"ü","u"),"ñ","n"),"à","a"),"è","e"),"ì","i"),"ò","o"),"ù","u"),"")</f>
        <v/>
      </c>
      <c r="R211" s="25">
        <f>IF(AND(L211=1,I211&lt;&gt;""),SUBSTITUTE(SUBSTITUTE(SUBSTITUTE(SUBSTITUTE(SUBSTITUTE(SUBSTITUTE(SUBSTITUTE(SUBSTITUTE(SUBSTITUTE(SUBSTITUTE(SUBSTITUTE(SUBSTITUTE(LOWER(TRIM(I211)),"á","a"),"é","e"),"í","i"),"ó","o"),"ú","u"),"ü","u"),"ñ","n"),"à","a"),"è","e"),"ì","i"),"ò","o"),"ù","u"),"")</f>
        <v/>
      </c>
      <c r="S211" s="25">
        <f>IF(R211="","",IF(OR(R211="si",R211="tal vez"),1,0))</f>
        <v/>
      </c>
      <c r="T211" s="25">
        <f>IF(AND(L211=1,D211&lt;&gt;""),IF(IFERROR(COUNTIFS(D$3:D211,"="&amp;SUBSTITUTE(SUBSTITUTE(SUBSTITUTE(D211,"~","~~"),"*","~*"),"?","~?"),L$3:L211,1),0)=1,MAX(T$2:T210)+1,""),"")</f>
        <v/>
      </c>
      <c r="U211" s="25">
        <f>IF(T211="","",COUNTIFS($D$3:$D$1002,"="&amp;SUBSTITUTE(SUBSTITUTE(SUBSTITUTE(D211,"~","~~"),"*","~*"),"?","~?"),$L$3:$L$1002,1)*10000-T211)</f>
        <v/>
      </c>
      <c r="V211" s="25">
        <f>IF(AND(L211=1,J211&lt;&gt;""),IF(IFERROR(COUNTIFS(J$3:J211,"="&amp;SUBSTITUTE(SUBSTITUTE(SUBSTITUTE(J211,"~","~~"),"*","~*"),"?","~?"),L$3:L211,1),0)=1,MAX(V$2:V210)+1,""),"")</f>
        <v/>
      </c>
      <c r="W211" s="25">
        <f>IF(V211="","",COUNTIFS($J$3:$J$1002,"="&amp;SUBSTITUTE(SUBSTITUTE(SUBSTITUTE(J211,"~","~~"),"*","~*"),"?","~?"),$L$3:$L$1002,1)*10000-V211)</f>
        <v/>
      </c>
    </row>
    <row r="212">
      <c r="A212">
        <f>IF(A$2=0,"",IFERROR(TRIM(INDEX('Pegar estudiantes'!$A$1:$BZ$1001,211,A$2)&amp;""),""))</f>
        <v/>
      </c>
      <c r="B212">
        <f>IF(B$2=0,"",IFERROR(TRIM(INDEX('Pegar estudiantes'!$A$1:$BZ$1001,211,B$2)&amp;""),""))</f>
        <v/>
      </c>
      <c r="C212">
        <f>IF(C$2=0,"",IFERROR(TRIM(INDEX('Pegar estudiantes'!$A$1:$BZ$1001,211,C$2)&amp;""),""))</f>
        <v/>
      </c>
      <c r="D212">
        <f>IF(D$2=0,"",IFERROR(TRIM(INDEX('Pegar estudiantes'!$A$1:$BZ$1001,211,D$2)&amp;""),""))</f>
        <v/>
      </c>
      <c r="E212">
        <f>IF(E$2=0,"",IFERROR(TRIM(INDEX('Pegar estudiantes'!$A$1:$BZ$1001,211,E$2)&amp;""),""))</f>
        <v/>
      </c>
      <c r="F212">
        <f>IF(F$2=0,"",IFERROR(TRIM(INDEX('Pegar estudiantes'!$A$1:$BZ$1001,211,F$2)&amp;""),""))</f>
        <v/>
      </c>
      <c r="G212">
        <f>IF(G$2=0,"",IFERROR(TRIM(INDEX('Pegar estudiantes'!$A$1:$BZ$1001,211,G$2)&amp;""),""))</f>
        <v/>
      </c>
      <c r="H212">
        <f>IF(H$2=0,"",IFERROR(TRIM(INDEX('Pegar estudiantes'!$A$1:$BZ$1001,211,H$2)&amp;""),""))</f>
        <v/>
      </c>
      <c r="I212">
        <f>IF(I$2=0,"",IFERROR(TRIM(INDEX('Pegar estudiantes'!$A$1:$BZ$1001,211,I$2)&amp;""),""))</f>
        <v/>
      </c>
      <c r="J212">
        <f>IF(J$2=0,"",IFERROR(TRIM(INDEX('Pegar estudiantes'!$A$1:$BZ$1001,211,J$2)&amp;""),""))</f>
        <v/>
      </c>
      <c r="K212">
        <f>IF(K$2=0,"",IFERROR(TRIM(INDEX('Pegar estudiantes'!$A$1:$BZ$1001,211,K$2)&amp;""),""))</f>
        <v/>
      </c>
      <c r="L212" s="25">
        <f>IF(A212&lt;&gt;"",1,"")</f>
        <v/>
      </c>
      <c r="M212" s="25">
        <f>IF(L212=1,IF(ISNUMBER(FIND("#"&amp;MID(A212,1,1)&amp;"#","#0#1#2#3#4#5#6#7#8#9#")),IF(ISNUMBER(FIND("#"&amp;MID(A212,2,1)&amp;"#","#0#1#2#3#4#5#6#7#8#9#")),IF(AND(VALUE(LEFT(A212,2))&gt;=1,VALUE(LEFT(A212,2))&lt;=5),VALUE(LEFT(A212,2)),""),IF(AND(VALUE(LEFT(A212,1))&gt;=1,VALUE(LEFT(A212,1))&lt;=5),VALUE(LEFT(A212,1)),"")),""),"")</f>
        <v/>
      </c>
      <c r="N212" s="25">
        <f>IF(L212=1,IF(ISNUMBER(FIND("#"&amp;MID(H212,1,1)&amp;"#","#0#1#2#3#4#5#6#7#8#9#")),IF(ISNUMBER(FIND("#"&amp;MID(H212,2,1)&amp;"#","#0#1#2#3#4#5#6#7#8#9#")),IF(AND(VALUE(LEFT(H212,2))&gt;=1,VALUE(LEFT(H212,2))&lt;=5),VALUE(LEFT(H212,2)),""),IF(AND(VALUE(LEFT(H212,1))&gt;=1,VALUE(LEFT(H212,1))&lt;=5),VALUE(LEFT(H212,1)),"")),""),"")</f>
        <v/>
      </c>
      <c r="O212" s="25">
        <f>IF(AND(L212=1,B212&lt;&gt;""),SUBSTITUTE(SUBSTITUTE(SUBSTITUTE(SUBSTITUTE(SUBSTITUTE(SUBSTITUTE(SUBSTITUTE(SUBSTITUTE(SUBSTITUTE(SUBSTITUTE(SUBSTITUTE(SUBSTITUTE(LOWER(TRIM(B212)),"á","a"),"é","e"),"í","i"),"ó","o"),"ú","u"),"ü","u"),"ñ","n"),"à","a"),"è","e"),"ì","i"),"ò","o"),"ù","u"),"")</f>
        <v/>
      </c>
      <c r="P212" s="25">
        <f>IF(AND(L212=1,C212&lt;&gt;""),SUBSTITUTE(SUBSTITUTE(SUBSTITUTE(SUBSTITUTE(SUBSTITUTE(SUBSTITUTE(SUBSTITUTE(SUBSTITUTE(SUBSTITUTE(SUBSTITUTE(SUBSTITUTE(SUBSTITUTE(LOWER(TRIM(C212)),"á","a"),"é","e"),"í","i"),"ó","o"),"ú","u"),"ü","u"),"ñ","n"),"à","a"),"è","e"),"ì","i"),"ò","o"),"ù","u"),"")</f>
        <v/>
      </c>
      <c r="Q212" s="25">
        <f>IF(AND(L212=1,E212&lt;&gt;""),SUBSTITUTE(SUBSTITUTE(SUBSTITUTE(SUBSTITUTE(SUBSTITUTE(SUBSTITUTE(SUBSTITUTE(SUBSTITUTE(SUBSTITUTE(SUBSTITUTE(SUBSTITUTE(SUBSTITUTE(LOWER(TRIM(E212)),"á","a"),"é","e"),"í","i"),"ó","o"),"ú","u"),"ü","u"),"ñ","n"),"à","a"),"è","e"),"ì","i"),"ò","o"),"ù","u"),"")</f>
        <v/>
      </c>
      <c r="R212" s="25">
        <f>IF(AND(L212=1,I212&lt;&gt;""),SUBSTITUTE(SUBSTITUTE(SUBSTITUTE(SUBSTITUTE(SUBSTITUTE(SUBSTITUTE(SUBSTITUTE(SUBSTITUTE(SUBSTITUTE(SUBSTITUTE(SUBSTITUTE(SUBSTITUTE(LOWER(TRIM(I212)),"á","a"),"é","e"),"í","i"),"ó","o"),"ú","u"),"ü","u"),"ñ","n"),"à","a"),"è","e"),"ì","i"),"ò","o"),"ù","u"),"")</f>
        <v/>
      </c>
      <c r="S212" s="25">
        <f>IF(R212="","",IF(OR(R212="si",R212="tal vez"),1,0))</f>
        <v/>
      </c>
      <c r="T212" s="25">
        <f>IF(AND(L212=1,D212&lt;&gt;""),IF(IFERROR(COUNTIFS(D$3:D212,"="&amp;SUBSTITUTE(SUBSTITUTE(SUBSTITUTE(D212,"~","~~"),"*","~*"),"?","~?"),L$3:L212,1),0)=1,MAX(T$2:T211)+1,""),"")</f>
        <v/>
      </c>
      <c r="U212" s="25">
        <f>IF(T212="","",COUNTIFS($D$3:$D$1002,"="&amp;SUBSTITUTE(SUBSTITUTE(SUBSTITUTE(D212,"~","~~"),"*","~*"),"?","~?"),$L$3:$L$1002,1)*10000-T212)</f>
        <v/>
      </c>
      <c r="V212" s="25">
        <f>IF(AND(L212=1,J212&lt;&gt;""),IF(IFERROR(COUNTIFS(J$3:J212,"="&amp;SUBSTITUTE(SUBSTITUTE(SUBSTITUTE(J212,"~","~~"),"*","~*"),"?","~?"),L$3:L212,1),0)=1,MAX(V$2:V211)+1,""),"")</f>
        <v/>
      </c>
      <c r="W212" s="25">
        <f>IF(V212="","",COUNTIFS($J$3:$J$1002,"="&amp;SUBSTITUTE(SUBSTITUTE(SUBSTITUTE(J212,"~","~~"),"*","~*"),"?","~?"),$L$3:$L$1002,1)*10000-V212)</f>
        <v/>
      </c>
    </row>
    <row r="213">
      <c r="A213">
        <f>IF(A$2=0,"",IFERROR(TRIM(INDEX('Pegar estudiantes'!$A$1:$BZ$1001,212,A$2)&amp;""),""))</f>
        <v/>
      </c>
      <c r="B213">
        <f>IF(B$2=0,"",IFERROR(TRIM(INDEX('Pegar estudiantes'!$A$1:$BZ$1001,212,B$2)&amp;""),""))</f>
        <v/>
      </c>
      <c r="C213">
        <f>IF(C$2=0,"",IFERROR(TRIM(INDEX('Pegar estudiantes'!$A$1:$BZ$1001,212,C$2)&amp;""),""))</f>
        <v/>
      </c>
      <c r="D213">
        <f>IF(D$2=0,"",IFERROR(TRIM(INDEX('Pegar estudiantes'!$A$1:$BZ$1001,212,D$2)&amp;""),""))</f>
        <v/>
      </c>
      <c r="E213">
        <f>IF(E$2=0,"",IFERROR(TRIM(INDEX('Pegar estudiantes'!$A$1:$BZ$1001,212,E$2)&amp;""),""))</f>
        <v/>
      </c>
      <c r="F213">
        <f>IF(F$2=0,"",IFERROR(TRIM(INDEX('Pegar estudiantes'!$A$1:$BZ$1001,212,F$2)&amp;""),""))</f>
        <v/>
      </c>
      <c r="G213">
        <f>IF(G$2=0,"",IFERROR(TRIM(INDEX('Pegar estudiantes'!$A$1:$BZ$1001,212,G$2)&amp;""),""))</f>
        <v/>
      </c>
      <c r="H213">
        <f>IF(H$2=0,"",IFERROR(TRIM(INDEX('Pegar estudiantes'!$A$1:$BZ$1001,212,H$2)&amp;""),""))</f>
        <v/>
      </c>
      <c r="I213">
        <f>IF(I$2=0,"",IFERROR(TRIM(INDEX('Pegar estudiantes'!$A$1:$BZ$1001,212,I$2)&amp;""),""))</f>
        <v/>
      </c>
      <c r="J213">
        <f>IF(J$2=0,"",IFERROR(TRIM(INDEX('Pegar estudiantes'!$A$1:$BZ$1001,212,J$2)&amp;""),""))</f>
        <v/>
      </c>
      <c r="K213">
        <f>IF(K$2=0,"",IFERROR(TRIM(INDEX('Pegar estudiantes'!$A$1:$BZ$1001,212,K$2)&amp;""),""))</f>
        <v/>
      </c>
      <c r="L213" s="25">
        <f>IF(A213&lt;&gt;"",1,"")</f>
        <v/>
      </c>
      <c r="M213" s="25">
        <f>IF(L213=1,IF(ISNUMBER(FIND("#"&amp;MID(A213,1,1)&amp;"#","#0#1#2#3#4#5#6#7#8#9#")),IF(ISNUMBER(FIND("#"&amp;MID(A213,2,1)&amp;"#","#0#1#2#3#4#5#6#7#8#9#")),IF(AND(VALUE(LEFT(A213,2))&gt;=1,VALUE(LEFT(A213,2))&lt;=5),VALUE(LEFT(A213,2)),""),IF(AND(VALUE(LEFT(A213,1))&gt;=1,VALUE(LEFT(A213,1))&lt;=5),VALUE(LEFT(A213,1)),"")),""),"")</f>
        <v/>
      </c>
      <c r="N213" s="25">
        <f>IF(L213=1,IF(ISNUMBER(FIND("#"&amp;MID(H213,1,1)&amp;"#","#0#1#2#3#4#5#6#7#8#9#")),IF(ISNUMBER(FIND("#"&amp;MID(H213,2,1)&amp;"#","#0#1#2#3#4#5#6#7#8#9#")),IF(AND(VALUE(LEFT(H213,2))&gt;=1,VALUE(LEFT(H213,2))&lt;=5),VALUE(LEFT(H213,2)),""),IF(AND(VALUE(LEFT(H213,1))&gt;=1,VALUE(LEFT(H213,1))&lt;=5),VALUE(LEFT(H213,1)),"")),""),"")</f>
        <v/>
      </c>
      <c r="O213" s="25">
        <f>IF(AND(L213=1,B213&lt;&gt;""),SUBSTITUTE(SUBSTITUTE(SUBSTITUTE(SUBSTITUTE(SUBSTITUTE(SUBSTITUTE(SUBSTITUTE(SUBSTITUTE(SUBSTITUTE(SUBSTITUTE(SUBSTITUTE(SUBSTITUTE(LOWER(TRIM(B213)),"á","a"),"é","e"),"í","i"),"ó","o"),"ú","u"),"ü","u"),"ñ","n"),"à","a"),"è","e"),"ì","i"),"ò","o"),"ù","u"),"")</f>
        <v/>
      </c>
      <c r="P213" s="25">
        <f>IF(AND(L213=1,C213&lt;&gt;""),SUBSTITUTE(SUBSTITUTE(SUBSTITUTE(SUBSTITUTE(SUBSTITUTE(SUBSTITUTE(SUBSTITUTE(SUBSTITUTE(SUBSTITUTE(SUBSTITUTE(SUBSTITUTE(SUBSTITUTE(LOWER(TRIM(C213)),"á","a"),"é","e"),"í","i"),"ó","o"),"ú","u"),"ü","u"),"ñ","n"),"à","a"),"è","e"),"ì","i"),"ò","o"),"ù","u"),"")</f>
        <v/>
      </c>
      <c r="Q213" s="25">
        <f>IF(AND(L213=1,E213&lt;&gt;""),SUBSTITUTE(SUBSTITUTE(SUBSTITUTE(SUBSTITUTE(SUBSTITUTE(SUBSTITUTE(SUBSTITUTE(SUBSTITUTE(SUBSTITUTE(SUBSTITUTE(SUBSTITUTE(SUBSTITUTE(LOWER(TRIM(E213)),"á","a"),"é","e"),"í","i"),"ó","o"),"ú","u"),"ü","u"),"ñ","n"),"à","a"),"è","e"),"ì","i"),"ò","o"),"ù","u"),"")</f>
        <v/>
      </c>
      <c r="R213" s="25">
        <f>IF(AND(L213=1,I213&lt;&gt;""),SUBSTITUTE(SUBSTITUTE(SUBSTITUTE(SUBSTITUTE(SUBSTITUTE(SUBSTITUTE(SUBSTITUTE(SUBSTITUTE(SUBSTITUTE(SUBSTITUTE(SUBSTITUTE(SUBSTITUTE(LOWER(TRIM(I213)),"á","a"),"é","e"),"í","i"),"ó","o"),"ú","u"),"ü","u"),"ñ","n"),"à","a"),"è","e"),"ì","i"),"ò","o"),"ù","u"),"")</f>
        <v/>
      </c>
      <c r="S213" s="25">
        <f>IF(R213="","",IF(OR(R213="si",R213="tal vez"),1,0))</f>
        <v/>
      </c>
      <c r="T213" s="25">
        <f>IF(AND(L213=1,D213&lt;&gt;""),IF(IFERROR(COUNTIFS(D$3:D213,"="&amp;SUBSTITUTE(SUBSTITUTE(SUBSTITUTE(D213,"~","~~"),"*","~*"),"?","~?"),L$3:L213,1),0)=1,MAX(T$2:T212)+1,""),"")</f>
        <v/>
      </c>
      <c r="U213" s="25">
        <f>IF(T213="","",COUNTIFS($D$3:$D$1002,"="&amp;SUBSTITUTE(SUBSTITUTE(SUBSTITUTE(D213,"~","~~"),"*","~*"),"?","~?"),$L$3:$L$1002,1)*10000-T213)</f>
        <v/>
      </c>
      <c r="V213" s="25">
        <f>IF(AND(L213=1,J213&lt;&gt;""),IF(IFERROR(COUNTIFS(J$3:J213,"="&amp;SUBSTITUTE(SUBSTITUTE(SUBSTITUTE(J213,"~","~~"),"*","~*"),"?","~?"),L$3:L213,1),0)=1,MAX(V$2:V212)+1,""),"")</f>
        <v/>
      </c>
      <c r="W213" s="25">
        <f>IF(V213="","",COUNTIFS($J$3:$J$1002,"="&amp;SUBSTITUTE(SUBSTITUTE(SUBSTITUTE(J213,"~","~~"),"*","~*"),"?","~?"),$L$3:$L$1002,1)*10000-V213)</f>
        <v/>
      </c>
    </row>
    <row r="214">
      <c r="A214">
        <f>IF(A$2=0,"",IFERROR(TRIM(INDEX('Pegar estudiantes'!$A$1:$BZ$1001,213,A$2)&amp;""),""))</f>
        <v/>
      </c>
      <c r="B214">
        <f>IF(B$2=0,"",IFERROR(TRIM(INDEX('Pegar estudiantes'!$A$1:$BZ$1001,213,B$2)&amp;""),""))</f>
        <v/>
      </c>
      <c r="C214">
        <f>IF(C$2=0,"",IFERROR(TRIM(INDEX('Pegar estudiantes'!$A$1:$BZ$1001,213,C$2)&amp;""),""))</f>
        <v/>
      </c>
      <c r="D214">
        <f>IF(D$2=0,"",IFERROR(TRIM(INDEX('Pegar estudiantes'!$A$1:$BZ$1001,213,D$2)&amp;""),""))</f>
        <v/>
      </c>
      <c r="E214">
        <f>IF(E$2=0,"",IFERROR(TRIM(INDEX('Pegar estudiantes'!$A$1:$BZ$1001,213,E$2)&amp;""),""))</f>
        <v/>
      </c>
      <c r="F214">
        <f>IF(F$2=0,"",IFERROR(TRIM(INDEX('Pegar estudiantes'!$A$1:$BZ$1001,213,F$2)&amp;""),""))</f>
        <v/>
      </c>
      <c r="G214">
        <f>IF(G$2=0,"",IFERROR(TRIM(INDEX('Pegar estudiantes'!$A$1:$BZ$1001,213,G$2)&amp;""),""))</f>
        <v/>
      </c>
      <c r="H214">
        <f>IF(H$2=0,"",IFERROR(TRIM(INDEX('Pegar estudiantes'!$A$1:$BZ$1001,213,H$2)&amp;""),""))</f>
        <v/>
      </c>
      <c r="I214">
        <f>IF(I$2=0,"",IFERROR(TRIM(INDEX('Pegar estudiantes'!$A$1:$BZ$1001,213,I$2)&amp;""),""))</f>
        <v/>
      </c>
      <c r="J214">
        <f>IF(J$2=0,"",IFERROR(TRIM(INDEX('Pegar estudiantes'!$A$1:$BZ$1001,213,J$2)&amp;""),""))</f>
        <v/>
      </c>
      <c r="K214">
        <f>IF(K$2=0,"",IFERROR(TRIM(INDEX('Pegar estudiantes'!$A$1:$BZ$1001,213,K$2)&amp;""),""))</f>
        <v/>
      </c>
      <c r="L214" s="25">
        <f>IF(A214&lt;&gt;"",1,"")</f>
        <v/>
      </c>
      <c r="M214" s="25">
        <f>IF(L214=1,IF(ISNUMBER(FIND("#"&amp;MID(A214,1,1)&amp;"#","#0#1#2#3#4#5#6#7#8#9#")),IF(ISNUMBER(FIND("#"&amp;MID(A214,2,1)&amp;"#","#0#1#2#3#4#5#6#7#8#9#")),IF(AND(VALUE(LEFT(A214,2))&gt;=1,VALUE(LEFT(A214,2))&lt;=5),VALUE(LEFT(A214,2)),""),IF(AND(VALUE(LEFT(A214,1))&gt;=1,VALUE(LEFT(A214,1))&lt;=5),VALUE(LEFT(A214,1)),"")),""),"")</f>
        <v/>
      </c>
      <c r="N214" s="25">
        <f>IF(L214=1,IF(ISNUMBER(FIND("#"&amp;MID(H214,1,1)&amp;"#","#0#1#2#3#4#5#6#7#8#9#")),IF(ISNUMBER(FIND("#"&amp;MID(H214,2,1)&amp;"#","#0#1#2#3#4#5#6#7#8#9#")),IF(AND(VALUE(LEFT(H214,2))&gt;=1,VALUE(LEFT(H214,2))&lt;=5),VALUE(LEFT(H214,2)),""),IF(AND(VALUE(LEFT(H214,1))&gt;=1,VALUE(LEFT(H214,1))&lt;=5),VALUE(LEFT(H214,1)),"")),""),"")</f>
        <v/>
      </c>
      <c r="O214" s="25">
        <f>IF(AND(L214=1,B214&lt;&gt;""),SUBSTITUTE(SUBSTITUTE(SUBSTITUTE(SUBSTITUTE(SUBSTITUTE(SUBSTITUTE(SUBSTITUTE(SUBSTITUTE(SUBSTITUTE(SUBSTITUTE(SUBSTITUTE(SUBSTITUTE(LOWER(TRIM(B214)),"á","a"),"é","e"),"í","i"),"ó","o"),"ú","u"),"ü","u"),"ñ","n"),"à","a"),"è","e"),"ì","i"),"ò","o"),"ù","u"),"")</f>
        <v/>
      </c>
      <c r="P214" s="25">
        <f>IF(AND(L214=1,C214&lt;&gt;""),SUBSTITUTE(SUBSTITUTE(SUBSTITUTE(SUBSTITUTE(SUBSTITUTE(SUBSTITUTE(SUBSTITUTE(SUBSTITUTE(SUBSTITUTE(SUBSTITUTE(SUBSTITUTE(SUBSTITUTE(LOWER(TRIM(C214)),"á","a"),"é","e"),"í","i"),"ó","o"),"ú","u"),"ü","u"),"ñ","n"),"à","a"),"è","e"),"ì","i"),"ò","o"),"ù","u"),"")</f>
        <v/>
      </c>
      <c r="Q214" s="25">
        <f>IF(AND(L214=1,E214&lt;&gt;""),SUBSTITUTE(SUBSTITUTE(SUBSTITUTE(SUBSTITUTE(SUBSTITUTE(SUBSTITUTE(SUBSTITUTE(SUBSTITUTE(SUBSTITUTE(SUBSTITUTE(SUBSTITUTE(SUBSTITUTE(LOWER(TRIM(E214)),"á","a"),"é","e"),"í","i"),"ó","o"),"ú","u"),"ü","u"),"ñ","n"),"à","a"),"è","e"),"ì","i"),"ò","o"),"ù","u"),"")</f>
        <v/>
      </c>
      <c r="R214" s="25">
        <f>IF(AND(L214=1,I214&lt;&gt;""),SUBSTITUTE(SUBSTITUTE(SUBSTITUTE(SUBSTITUTE(SUBSTITUTE(SUBSTITUTE(SUBSTITUTE(SUBSTITUTE(SUBSTITUTE(SUBSTITUTE(SUBSTITUTE(SUBSTITUTE(LOWER(TRIM(I214)),"á","a"),"é","e"),"í","i"),"ó","o"),"ú","u"),"ü","u"),"ñ","n"),"à","a"),"è","e"),"ì","i"),"ò","o"),"ù","u"),"")</f>
        <v/>
      </c>
      <c r="S214" s="25">
        <f>IF(R214="","",IF(OR(R214="si",R214="tal vez"),1,0))</f>
        <v/>
      </c>
      <c r="T214" s="25">
        <f>IF(AND(L214=1,D214&lt;&gt;""),IF(IFERROR(COUNTIFS(D$3:D214,"="&amp;SUBSTITUTE(SUBSTITUTE(SUBSTITUTE(D214,"~","~~"),"*","~*"),"?","~?"),L$3:L214,1),0)=1,MAX(T$2:T213)+1,""),"")</f>
        <v/>
      </c>
      <c r="U214" s="25">
        <f>IF(T214="","",COUNTIFS($D$3:$D$1002,"="&amp;SUBSTITUTE(SUBSTITUTE(SUBSTITUTE(D214,"~","~~"),"*","~*"),"?","~?"),$L$3:$L$1002,1)*10000-T214)</f>
        <v/>
      </c>
      <c r="V214" s="25">
        <f>IF(AND(L214=1,J214&lt;&gt;""),IF(IFERROR(COUNTIFS(J$3:J214,"="&amp;SUBSTITUTE(SUBSTITUTE(SUBSTITUTE(J214,"~","~~"),"*","~*"),"?","~?"),L$3:L214,1),0)=1,MAX(V$2:V213)+1,""),"")</f>
        <v/>
      </c>
      <c r="W214" s="25">
        <f>IF(V214="","",COUNTIFS($J$3:$J$1002,"="&amp;SUBSTITUTE(SUBSTITUTE(SUBSTITUTE(J214,"~","~~"),"*","~*"),"?","~?"),$L$3:$L$1002,1)*10000-V214)</f>
        <v/>
      </c>
    </row>
    <row r="215">
      <c r="A215">
        <f>IF(A$2=0,"",IFERROR(TRIM(INDEX('Pegar estudiantes'!$A$1:$BZ$1001,214,A$2)&amp;""),""))</f>
        <v/>
      </c>
      <c r="B215">
        <f>IF(B$2=0,"",IFERROR(TRIM(INDEX('Pegar estudiantes'!$A$1:$BZ$1001,214,B$2)&amp;""),""))</f>
        <v/>
      </c>
      <c r="C215">
        <f>IF(C$2=0,"",IFERROR(TRIM(INDEX('Pegar estudiantes'!$A$1:$BZ$1001,214,C$2)&amp;""),""))</f>
        <v/>
      </c>
      <c r="D215">
        <f>IF(D$2=0,"",IFERROR(TRIM(INDEX('Pegar estudiantes'!$A$1:$BZ$1001,214,D$2)&amp;""),""))</f>
        <v/>
      </c>
      <c r="E215">
        <f>IF(E$2=0,"",IFERROR(TRIM(INDEX('Pegar estudiantes'!$A$1:$BZ$1001,214,E$2)&amp;""),""))</f>
        <v/>
      </c>
      <c r="F215">
        <f>IF(F$2=0,"",IFERROR(TRIM(INDEX('Pegar estudiantes'!$A$1:$BZ$1001,214,F$2)&amp;""),""))</f>
        <v/>
      </c>
      <c r="G215">
        <f>IF(G$2=0,"",IFERROR(TRIM(INDEX('Pegar estudiantes'!$A$1:$BZ$1001,214,G$2)&amp;""),""))</f>
        <v/>
      </c>
      <c r="H215">
        <f>IF(H$2=0,"",IFERROR(TRIM(INDEX('Pegar estudiantes'!$A$1:$BZ$1001,214,H$2)&amp;""),""))</f>
        <v/>
      </c>
      <c r="I215">
        <f>IF(I$2=0,"",IFERROR(TRIM(INDEX('Pegar estudiantes'!$A$1:$BZ$1001,214,I$2)&amp;""),""))</f>
        <v/>
      </c>
      <c r="J215">
        <f>IF(J$2=0,"",IFERROR(TRIM(INDEX('Pegar estudiantes'!$A$1:$BZ$1001,214,J$2)&amp;""),""))</f>
        <v/>
      </c>
      <c r="K215">
        <f>IF(K$2=0,"",IFERROR(TRIM(INDEX('Pegar estudiantes'!$A$1:$BZ$1001,214,K$2)&amp;""),""))</f>
        <v/>
      </c>
      <c r="L215" s="25">
        <f>IF(A215&lt;&gt;"",1,"")</f>
        <v/>
      </c>
      <c r="M215" s="25">
        <f>IF(L215=1,IF(ISNUMBER(FIND("#"&amp;MID(A215,1,1)&amp;"#","#0#1#2#3#4#5#6#7#8#9#")),IF(ISNUMBER(FIND("#"&amp;MID(A215,2,1)&amp;"#","#0#1#2#3#4#5#6#7#8#9#")),IF(AND(VALUE(LEFT(A215,2))&gt;=1,VALUE(LEFT(A215,2))&lt;=5),VALUE(LEFT(A215,2)),""),IF(AND(VALUE(LEFT(A215,1))&gt;=1,VALUE(LEFT(A215,1))&lt;=5),VALUE(LEFT(A215,1)),"")),""),"")</f>
        <v/>
      </c>
      <c r="N215" s="25">
        <f>IF(L215=1,IF(ISNUMBER(FIND("#"&amp;MID(H215,1,1)&amp;"#","#0#1#2#3#4#5#6#7#8#9#")),IF(ISNUMBER(FIND("#"&amp;MID(H215,2,1)&amp;"#","#0#1#2#3#4#5#6#7#8#9#")),IF(AND(VALUE(LEFT(H215,2))&gt;=1,VALUE(LEFT(H215,2))&lt;=5),VALUE(LEFT(H215,2)),""),IF(AND(VALUE(LEFT(H215,1))&gt;=1,VALUE(LEFT(H215,1))&lt;=5),VALUE(LEFT(H215,1)),"")),""),"")</f>
        <v/>
      </c>
      <c r="O215" s="25">
        <f>IF(AND(L215=1,B215&lt;&gt;""),SUBSTITUTE(SUBSTITUTE(SUBSTITUTE(SUBSTITUTE(SUBSTITUTE(SUBSTITUTE(SUBSTITUTE(SUBSTITUTE(SUBSTITUTE(SUBSTITUTE(SUBSTITUTE(SUBSTITUTE(LOWER(TRIM(B215)),"á","a"),"é","e"),"í","i"),"ó","o"),"ú","u"),"ü","u"),"ñ","n"),"à","a"),"è","e"),"ì","i"),"ò","o"),"ù","u"),"")</f>
        <v/>
      </c>
      <c r="P215" s="25">
        <f>IF(AND(L215=1,C215&lt;&gt;""),SUBSTITUTE(SUBSTITUTE(SUBSTITUTE(SUBSTITUTE(SUBSTITUTE(SUBSTITUTE(SUBSTITUTE(SUBSTITUTE(SUBSTITUTE(SUBSTITUTE(SUBSTITUTE(SUBSTITUTE(LOWER(TRIM(C215)),"á","a"),"é","e"),"í","i"),"ó","o"),"ú","u"),"ü","u"),"ñ","n"),"à","a"),"è","e"),"ì","i"),"ò","o"),"ù","u"),"")</f>
        <v/>
      </c>
      <c r="Q215" s="25">
        <f>IF(AND(L215=1,E215&lt;&gt;""),SUBSTITUTE(SUBSTITUTE(SUBSTITUTE(SUBSTITUTE(SUBSTITUTE(SUBSTITUTE(SUBSTITUTE(SUBSTITUTE(SUBSTITUTE(SUBSTITUTE(SUBSTITUTE(SUBSTITUTE(LOWER(TRIM(E215)),"á","a"),"é","e"),"í","i"),"ó","o"),"ú","u"),"ü","u"),"ñ","n"),"à","a"),"è","e"),"ì","i"),"ò","o"),"ù","u"),"")</f>
        <v/>
      </c>
      <c r="R215" s="25">
        <f>IF(AND(L215=1,I215&lt;&gt;""),SUBSTITUTE(SUBSTITUTE(SUBSTITUTE(SUBSTITUTE(SUBSTITUTE(SUBSTITUTE(SUBSTITUTE(SUBSTITUTE(SUBSTITUTE(SUBSTITUTE(SUBSTITUTE(SUBSTITUTE(LOWER(TRIM(I215)),"á","a"),"é","e"),"í","i"),"ó","o"),"ú","u"),"ü","u"),"ñ","n"),"à","a"),"è","e"),"ì","i"),"ò","o"),"ù","u"),"")</f>
        <v/>
      </c>
      <c r="S215" s="25">
        <f>IF(R215="","",IF(OR(R215="si",R215="tal vez"),1,0))</f>
        <v/>
      </c>
      <c r="T215" s="25">
        <f>IF(AND(L215=1,D215&lt;&gt;""),IF(IFERROR(COUNTIFS(D$3:D215,"="&amp;SUBSTITUTE(SUBSTITUTE(SUBSTITUTE(D215,"~","~~"),"*","~*"),"?","~?"),L$3:L215,1),0)=1,MAX(T$2:T214)+1,""),"")</f>
        <v/>
      </c>
      <c r="U215" s="25">
        <f>IF(T215="","",COUNTIFS($D$3:$D$1002,"="&amp;SUBSTITUTE(SUBSTITUTE(SUBSTITUTE(D215,"~","~~"),"*","~*"),"?","~?"),$L$3:$L$1002,1)*10000-T215)</f>
        <v/>
      </c>
      <c r="V215" s="25">
        <f>IF(AND(L215=1,J215&lt;&gt;""),IF(IFERROR(COUNTIFS(J$3:J215,"="&amp;SUBSTITUTE(SUBSTITUTE(SUBSTITUTE(J215,"~","~~"),"*","~*"),"?","~?"),L$3:L215,1),0)=1,MAX(V$2:V214)+1,""),"")</f>
        <v/>
      </c>
      <c r="W215" s="25">
        <f>IF(V215="","",COUNTIFS($J$3:$J$1002,"="&amp;SUBSTITUTE(SUBSTITUTE(SUBSTITUTE(J215,"~","~~"),"*","~*"),"?","~?"),$L$3:$L$1002,1)*10000-V215)</f>
        <v/>
      </c>
    </row>
    <row r="216">
      <c r="A216">
        <f>IF(A$2=0,"",IFERROR(TRIM(INDEX('Pegar estudiantes'!$A$1:$BZ$1001,215,A$2)&amp;""),""))</f>
        <v/>
      </c>
      <c r="B216">
        <f>IF(B$2=0,"",IFERROR(TRIM(INDEX('Pegar estudiantes'!$A$1:$BZ$1001,215,B$2)&amp;""),""))</f>
        <v/>
      </c>
      <c r="C216">
        <f>IF(C$2=0,"",IFERROR(TRIM(INDEX('Pegar estudiantes'!$A$1:$BZ$1001,215,C$2)&amp;""),""))</f>
        <v/>
      </c>
      <c r="D216">
        <f>IF(D$2=0,"",IFERROR(TRIM(INDEX('Pegar estudiantes'!$A$1:$BZ$1001,215,D$2)&amp;""),""))</f>
        <v/>
      </c>
      <c r="E216">
        <f>IF(E$2=0,"",IFERROR(TRIM(INDEX('Pegar estudiantes'!$A$1:$BZ$1001,215,E$2)&amp;""),""))</f>
        <v/>
      </c>
      <c r="F216">
        <f>IF(F$2=0,"",IFERROR(TRIM(INDEX('Pegar estudiantes'!$A$1:$BZ$1001,215,F$2)&amp;""),""))</f>
        <v/>
      </c>
      <c r="G216">
        <f>IF(G$2=0,"",IFERROR(TRIM(INDEX('Pegar estudiantes'!$A$1:$BZ$1001,215,G$2)&amp;""),""))</f>
        <v/>
      </c>
      <c r="H216">
        <f>IF(H$2=0,"",IFERROR(TRIM(INDEX('Pegar estudiantes'!$A$1:$BZ$1001,215,H$2)&amp;""),""))</f>
        <v/>
      </c>
      <c r="I216">
        <f>IF(I$2=0,"",IFERROR(TRIM(INDEX('Pegar estudiantes'!$A$1:$BZ$1001,215,I$2)&amp;""),""))</f>
        <v/>
      </c>
      <c r="J216">
        <f>IF(J$2=0,"",IFERROR(TRIM(INDEX('Pegar estudiantes'!$A$1:$BZ$1001,215,J$2)&amp;""),""))</f>
        <v/>
      </c>
      <c r="K216">
        <f>IF(K$2=0,"",IFERROR(TRIM(INDEX('Pegar estudiantes'!$A$1:$BZ$1001,215,K$2)&amp;""),""))</f>
        <v/>
      </c>
      <c r="L216" s="25">
        <f>IF(A216&lt;&gt;"",1,"")</f>
        <v/>
      </c>
      <c r="M216" s="25">
        <f>IF(L216=1,IF(ISNUMBER(FIND("#"&amp;MID(A216,1,1)&amp;"#","#0#1#2#3#4#5#6#7#8#9#")),IF(ISNUMBER(FIND("#"&amp;MID(A216,2,1)&amp;"#","#0#1#2#3#4#5#6#7#8#9#")),IF(AND(VALUE(LEFT(A216,2))&gt;=1,VALUE(LEFT(A216,2))&lt;=5),VALUE(LEFT(A216,2)),""),IF(AND(VALUE(LEFT(A216,1))&gt;=1,VALUE(LEFT(A216,1))&lt;=5),VALUE(LEFT(A216,1)),"")),""),"")</f>
        <v/>
      </c>
      <c r="N216" s="25">
        <f>IF(L216=1,IF(ISNUMBER(FIND("#"&amp;MID(H216,1,1)&amp;"#","#0#1#2#3#4#5#6#7#8#9#")),IF(ISNUMBER(FIND("#"&amp;MID(H216,2,1)&amp;"#","#0#1#2#3#4#5#6#7#8#9#")),IF(AND(VALUE(LEFT(H216,2))&gt;=1,VALUE(LEFT(H216,2))&lt;=5),VALUE(LEFT(H216,2)),""),IF(AND(VALUE(LEFT(H216,1))&gt;=1,VALUE(LEFT(H216,1))&lt;=5),VALUE(LEFT(H216,1)),"")),""),"")</f>
        <v/>
      </c>
      <c r="O216" s="25">
        <f>IF(AND(L216=1,B216&lt;&gt;""),SUBSTITUTE(SUBSTITUTE(SUBSTITUTE(SUBSTITUTE(SUBSTITUTE(SUBSTITUTE(SUBSTITUTE(SUBSTITUTE(SUBSTITUTE(SUBSTITUTE(SUBSTITUTE(SUBSTITUTE(LOWER(TRIM(B216)),"á","a"),"é","e"),"í","i"),"ó","o"),"ú","u"),"ü","u"),"ñ","n"),"à","a"),"è","e"),"ì","i"),"ò","o"),"ù","u"),"")</f>
        <v/>
      </c>
      <c r="P216" s="25">
        <f>IF(AND(L216=1,C216&lt;&gt;""),SUBSTITUTE(SUBSTITUTE(SUBSTITUTE(SUBSTITUTE(SUBSTITUTE(SUBSTITUTE(SUBSTITUTE(SUBSTITUTE(SUBSTITUTE(SUBSTITUTE(SUBSTITUTE(SUBSTITUTE(LOWER(TRIM(C216)),"á","a"),"é","e"),"í","i"),"ó","o"),"ú","u"),"ü","u"),"ñ","n"),"à","a"),"è","e"),"ì","i"),"ò","o"),"ù","u"),"")</f>
        <v/>
      </c>
      <c r="Q216" s="25">
        <f>IF(AND(L216=1,E216&lt;&gt;""),SUBSTITUTE(SUBSTITUTE(SUBSTITUTE(SUBSTITUTE(SUBSTITUTE(SUBSTITUTE(SUBSTITUTE(SUBSTITUTE(SUBSTITUTE(SUBSTITUTE(SUBSTITUTE(SUBSTITUTE(LOWER(TRIM(E216)),"á","a"),"é","e"),"í","i"),"ó","o"),"ú","u"),"ü","u"),"ñ","n"),"à","a"),"è","e"),"ì","i"),"ò","o"),"ù","u"),"")</f>
        <v/>
      </c>
      <c r="R216" s="25">
        <f>IF(AND(L216=1,I216&lt;&gt;""),SUBSTITUTE(SUBSTITUTE(SUBSTITUTE(SUBSTITUTE(SUBSTITUTE(SUBSTITUTE(SUBSTITUTE(SUBSTITUTE(SUBSTITUTE(SUBSTITUTE(SUBSTITUTE(SUBSTITUTE(LOWER(TRIM(I216)),"á","a"),"é","e"),"í","i"),"ó","o"),"ú","u"),"ü","u"),"ñ","n"),"à","a"),"è","e"),"ì","i"),"ò","o"),"ù","u"),"")</f>
        <v/>
      </c>
      <c r="S216" s="25">
        <f>IF(R216="","",IF(OR(R216="si",R216="tal vez"),1,0))</f>
        <v/>
      </c>
      <c r="T216" s="25">
        <f>IF(AND(L216=1,D216&lt;&gt;""),IF(IFERROR(COUNTIFS(D$3:D216,"="&amp;SUBSTITUTE(SUBSTITUTE(SUBSTITUTE(D216,"~","~~"),"*","~*"),"?","~?"),L$3:L216,1),0)=1,MAX(T$2:T215)+1,""),"")</f>
        <v/>
      </c>
      <c r="U216" s="25">
        <f>IF(T216="","",COUNTIFS($D$3:$D$1002,"="&amp;SUBSTITUTE(SUBSTITUTE(SUBSTITUTE(D216,"~","~~"),"*","~*"),"?","~?"),$L$3:$L$1002,1)*10000-T216)</f>
        <v/>
      </c>
      <c r="V216" s="25">
        <f>IF(AND(L216=1,J216&lt;&gt;""),IF(IFERROR(COUNTIFS(J$3:J216,"="&amp;SUBSTITUTE(SUBSTITUTE(SUBSTITUTE(J216,"~","~~"),"*","~*"),"?","~?"),L$3:L216,1),0)=1,MAX(V$2:V215)+1,""),"")</f>
        <v/>
      </c>
      <c r="W216" s="25">
        <f>IF(V216="","",COUNTIFS($J$3:$J$1002,"="&amp;SUBSTITUTE(SUBSTITUTE(SUBSTITUTE(J216,"~","~~"),"*","~*"),"?","~?"),$L$3:$L$1002,1)*10000-V216)</f>
        <v/>
      </c>
    </row>
    <row r="217">
      <c r="A217">
        <f>IF(A$2=0,"",IFERROR(TRIM(INDEX('Pegar estudiantes'!$A$1:$BZ$1001,216,A$2)&amp;""),""))</f>
        <v/>
      </c>
      <c r="B217">
        <f>IF(B$2=0,"",IFERROR(TRIM(INDEX('Pegar estudiantes'!$A$1:$BZ$1001,216,B$2)&amp;""),""))</f>
        <v/>
      </c>
      <c r="C217">
        <f>IF(C$2=0,"",IFERROR(TRIM(INDEX('Pegar estudiantes'!$A$1:$BZ$1001,216,C$2)&amp;""),""))</f>
        <v/>
      </c>
      <c r="D217">
        <f>IF(D$2=0,"",IFERROR(TRIM(INDEX('Pegar estudiantes'!$A$1:$BZ$1001,216,D$2)&amp;""),""))</f>
        <v/>
      </c>
      <c r="E217">
        <f>IF(E$2=0,"",IFERROR(TRIM(INDEX('Pegar estudiantes'!$A$1:$BZ$1001,216,E$2)&amp;""),""))</f>
        <v/>
      </c>
      <c r="F217">
        <f>IF(F$2=0,"",IFERROR(TRIM(INDEX('Pegar estudiantes'!$A$1:$BZ$1001,216,F$2)&amp;""),""))</f>
        <v/>
      </c>
      <c r="G217">
        <f>IF(G$2=0,"",IFERROR(TRIM(INDEX('Pegar estudiantes'!$A$1:$BZ$1001,216,G$2)&amp;""),""))</f>
        <v/>
      </c>
      <c r="H217">
        <f>IF(H$2=0,"",IFERROR(TRIM(INDEX('Pegar estudiantes'!$A$1:$BZ$1001,216,H$2)&amp;""),""))</f>
        <v/>
      </c>
      <c r="I217">
        <f>IF(I$2=0,"",IFERROR(TRIM(INDEX('Pegar estudiantes'!$A$1:$BZ$1001,216,I$2)&amp;""),""))</f>
        <v/>
      </c>
      <c r="J217">
        <f>IF(J$2=0,"",IFERROR(TRIM(INDEX('Pegar estudiantes'!$A$1:$BZ$1001,216,J$2)&amp;""),""))</f>
        <v/>
      </c>
      <c r="K217">
        <f>IF(K$2=0,"",IFERROR(TRIM(INDEX('Pegar estudiantes'!$A$1:$BZ$1001,216,K$2)&amp;""),""))</f>
        <v/>
      </c>
      <c r="L217" s="25">
        <f>IF(A217&lt;&gt;"",1,"")</f>
        <v/>
      </c>
      <c r="M217" s="25">
        <f>IF(L217=1,IF(ISNUMBER(FIND("#"&amp;MID(A217,1,1)&amp;"#","#0#1#2#3#4#5#6#7#8#9#")),IF(ISNUMBER(FIND("#"&amp;MID(A217,2,1)&amp;"#","#0#1#2#3#4#5#6#7#8#9#")),IF(AND(VALUE(LEFT(A217,2))&gt;=1,VALUE(LEFT(A217,2))&lt;=5),VALUE(LEFT(A217,2)),""),IF(AND(VALUE(LEFT(A217,1))&gt;=1,VALUE(LEFT(A217,1))&lt;=5),VALUE(LEFT(A217,1)),"")),""),"")</f>
        <v/>
      </c>
      <c r="N217" s="25">
        <f>IF(L217=1,IF(ISNUMBER(FIND("#"&amp;MID(H217,1,1)&amp;"#","#0#1#2#3#4#5#6#7#8#9#")),IF(ISNUMBER(FIND("#"&amp;MID(H217,2,1)&amp;"#","#0#1#2#3#4#5#6#7#8#9#")),IF(AND(VALUE(LEFT(H217,2))&gt;=1,VALUE(LEFT(H217,2))&lt;=5),VALUE(LEFT(H217,2)),""),IF(AND(VALUE(LEFT(H217,1))&gt;=1,VALUE(LEFT(H217,1))&lt;=5),VALUE(LEFT(H217,1)),"")),""),"")</f>
        <v/>
      </c>
      <c r="O217" s="25">
        <f>IF(AND(L217=1,B217&lt;&gt;""),SUBSTITUTE(SUBSTITUTE(SUBSTITUTE(SUBSTITUTE(SUBSTITUTE(SUBSTITUTE(SUBSTITUTE(SUBSTITUTE(SUBSTITUTE(SUBSTITUTE(SUBSTITUTE(SUBSTITUTE(LOWER(TRIM(B217)),"á","a"),"é","e"),"í","i"),"ó","o"),"ú","u"),"ü","u"),"ñ","n"),"à","a"),"è","e"),"ì","i"),"ò","o"),"ù","u"),"")</f>
        <v/>
      </c>
      <c r="P217" s="25">
        <f>IF(AND(L217=1,C217&lt;&gt;""),SUBSTITUTE(SUBSTITUTE(SUBSTITUTE(SUBSTITUTE(SUBSTITUTE(SUBSTITUTE(SUBSTITUTE(SUBSTITUTE(SUBSTITUTE(SUBSTITUTE(SUBSTITUTE(SUBSTITUTE(LOWER(TRIM(C217)),"á","a"),"é","e"),"í","i"),"ó","o"),"ú","u"),"ü","u"),"ñ","n"),"à","a"),"è","e"),"ì","i"),"ò","o"),"ù","u"),"")</f>
        <v/>
      </c>
      <c r="Q217" s="25">
        <f>IF(AND(L217=1,E217&lt;&gt;""),SUBSTITUTE(SUBSTITUTE(SUBSTITUTE(SUBSTITUTE(SUBSTITUTE(SUBSTITUTE(SUBSTITUTE(SUBSTITUTE(SUBSTITUTE(SUBSTITUTE(SUBSTITUTE(SUBSTITUTE(LOWER(TRIM(E217)),"á","a"),"é","e"),"í","i"),"ó","o"),"ú","u"),"ü","u"),"ñ","n"),"à","a"),"è","e"),"ì","i"),"ò","o"),"ù","u"),"")</f>
        <v/>
      </c>
      <c r="R217" s="25">
        <f>IF(AND(L217=1,I217&lt;&gt;""),SUBSTITUTE(SUBSTITUTE(SUBSTITUTE(SUBSTITUTE(SUBSTITUTE(SUBSTITUTE(SUBSTITUTE(SUBSTITUTE(SUBSTITUTE(SUBSTITUTE(SUBSTITUTE(SUBSTITUTE(LOWER(TRIM(I217)),"á","a"),"é","e"),"í","i"),"ó","o"),"ú","u"),"ü","u"),"ñ","n"),"à","a"),"è","e"),"ì","i"),"ò","o"),"ù","u"),"")</f>
        <v/>
      </c>
      <c r="S217" s="25">
        <f>IF(R217="","",IF(OR(R217="si",R217="tal vez"),1,0))</f>
        <v/>
      </c>
      <c r="T217" s="25">
        <f>IF(AND(L217=1,D217&lt;&gt;""),IF(IFERROR(COUNTIFS(D$3:D217,"="&amp;SUBSTITUTE(SUBSTITUTE(SUBSTITUTE(D217,"~","~~"),"*","~*"),"?","~?"),L$3:L217,1),0)=1,MAX(T$2:T216)+1,""),"")</f>
        <v/>
      </c>
      <c r="U217" s="25">
        <f>IF(T217="","",COUNTIFS($D$3:$D$1002,"="&amp;SUBSTITUTE(SUBSTITUTE(SUBSTITUTE(D217,"~","~~"),"*","~*"),"?","~?"),$L$3:$L$1002,1)*10000-T217)</f>
        <v/>
      </c>
      <c r="V217" s="25">
        <f>IF(AND(L217=1,J217&lt;&gt;""),IF(IFERROR(COUNTIFS(J$3:J217,"="&amp;SUBSTITUTE(SUBSTITUTE(SUBSTITUTE(J217,"~","~~"),"*","~*"),"?","~?"),L$3:L217,1),0)=1,MAX(V$2:V216)+1,""),"")</f>
        <v/>
      </c>
      <c r="W217" s="25">
        <f>IF(V217="","",COUNTIFS($J$3:$J$1002,"="&amp;SUBSTITUTE(SUBSTITUTE(SUBSTITUTE(J217,"~","~~"),"*","~*"),"?","~?"),$L$3:$L$1002,1)*10000-V217)</f>
        <v/>
      </c>
    </row>
    <row r="218">
      <c r="A218">
        <f>IF(A$2=0,"",IFERROR(TRIM(INDEX('Pegar estudiantes'!$A$1:$BZ$1001,217,A$2)&amp;""),""))</f>
        <v/>
      </c>
      <c r="B218">
        <f>IF(B$2=0,"",IFERROR(TRIM(INDEX('Pegar estudiantes'!$A$1:$BZ$1001,217,B$2)&amp;""),""))</f>
        <v/>
      </c>
      <c r="C218">
        <f>IF(C$2=0,"",IFERROR(TRIM(INDEX('Pegar estudiantes'!$A$1:$BZ$1001,217,C$2)&amp;""),""))</f>
        <v/>
      </c>
      <c r="D218">
        <f>IF(D$2=0,"",IFERROR(TRIM(INDEX('Pegar estudiantes'!$A$1:$BZ$1001,217,D$2)&amp;""),""))</f>
        <v/>
      </c>
      <c r="E218">
        <f>IF(E$2=0,"",IFERROR(TRIM(INDEX('Pegar estudiantes'!$A$1:$BZ$1001,217,E$2)&amp;""),""))</f>
        <v/>
      </c>
      <c r="F218">
        <f>IF(F$2=0,"",IFERROR(TRIM(INDEX('Pegar estudiantes'!$A$1:$BZ$1001,217,F$2)&amp;""),""))</f>
        <v/>
      </c>
      <c r="G218">
        <f>IF(G$2=0,"",IFERROR(TRIM(INDEX('Pegar estudiantes'!$A$1:$BZ$1001,217,G$2)&amp;""),""))</f>
        <v/>
      </c>
      <c r="H218">
        <f>IF(H$2=0,"",IFERROR(TRIM(INDEX('Pegar estudiantes'!$A$1:$BZ$1001,217,H$2)&amp;""),""))</f>
        <v/>
      </c>
      <c r="I218">
        <f>IF(I$2=0,"",IFERROR(TRIM(INDEX('Pegar estudiantes'!$A$1:$BZ$1001,217,I$2)&amp;""),""))</f>
        <v/>
      </c>
      <c r="J218">
        <f>IF(J$2=0,"",IFERROR(TRIM(INDEX('Pegar estudiantes'!$A$1:$BZ$1001,217,J$2)&amp;""),""))</f>
        <v/>
      </c>
      <c r="K218">
        <f>IF(K$2=0,"",IFERROR(TRIM(INDEX('Pegar estudiantes'!$A$1:$BZ$1001,217,K$2)&amp;""),""))</f>
        <v/>
      </c>
      <c r="L218" s="25">
        <f>IF(A218&lt;&gt;"",1,"")</f>
        <v/>
      </c>
      <c r="M218" s="25">
        <f>IF(L218=1,IF(ISNUMBER(FIND("#"&amp;MID(A218,1,1)&amp;"#","#0#1#2#3#4#5#6#7#8#9#")),IF(ISNUMBER(FIND("#"&amp;MID(A218,2,1)&amp;"#","#0#1#2#3#4#5#6#7#8#9#")),IF(AND(VALUE(LEFT(A218,2))&gt;=1,VALUE(LEFT(A218,2))&lt;=5),VALUE(LEFT(A218,2)),""),IF(AND(VALUE(LEFT(A218,1))&gt;=1,VALUE(LEFT(A218,1))&lt;=5),VALUE(LEFT(A218,1)),"")),""),"")</f>
        <v/>
      </c>
      <c r="N218" s="25">
        <f>IF(L218=1,IF(ISNUMBER(FIND("#"&amp;MID(H218,1,1)&amp;"#","#0#1#2#3#4#5#6#7#8#9#")),IF(ISNUMBER(FIND("#"&amp;MID(H218,2,1)&amp;"#","#0#1#2#3#4#5#6#7#8#9#")),IF(AND(VALUE(LEFT(H218,2))&gt;=1,VALUE(LEFT(H218,2))&lt;=5),VALUE(LEFT(H218,2)),""),IF(AND(VALUE(LEFT(H218,1))&gt;=1,VALUE(LEFT(H218,1))&lt;=5),VALUE(LEFT(H218,1)),"")),""),"")</f>
        <v/>
      </c>
      <c r="O218" s="25">
        <f>IF(AND(L218=1,B218&lt;&gt;""),SUBSTITUTE(SUBSTITUTE(SUBSTITUTE(SUBSTITUTE(SUBSTITUTE(SUBSTITUTE(SUBSTITUTE(SUBSTITUTE(SUBSTITUTE(SUBSTITUTE(SUBSTITUTE(SUBSTITUTE(LOWER(TRIM(B218)),"á","a"),"é","e"),"í","i"),"ó","o"),"ú","u"),"ü","u"),"ñ","n"),"à","a"),"è","e"),"ì","i"),"ò","o"),"ù","u"),"")</f>
        <v/>
      </c>
      <c r="P218" s="25">
        <f>IF(AND(L218=1,C218&lt;&gt;""),SUBSTITUTE(SUBSTITUTE(SUBSTITUTE(SUBSTITUTE(SUBSTITUTE(SUBSTITUTE(SUBSTITUTE(SUBSTITUTE(SUBSTITUTE(SUBSTITUTE(SUBSTITUTE(SUBSTITUTE(LOWER(TRIM(C218)),"á","a"),"é","e"),"í","i"),"ó","o"),"ú","u"),"ü","u"),"ñ","n"),"à","a"),"è","e"),"ì","i"),"ò","o"),"ù","u"),"")</f>
        <v/>
      </c>
      <c r="Q218" s="25">
        <f>IF(AND(L218=1,E218&lt;&gt;""),SUBSTITUTE(SUBSTITUTE(SUBSTITUTE(SUBSTITUTE(SUBSTITUTE(SUBSTITUTE(SUBSTITUTE(SUBSTITUTE(SUBSTITUTE(SUBSTITUTE(SUBSTITUTE(SUBSTITUTE(LOWER(TRIM(E218)),"á","a"),"é","e"),"í","i"),"ó","o"),"ú","u"),"ü","u"),"ñ","n"),"à","a"),"è","e"),"ì","i"),"ò","o"),"ù","u"),"")</f>
        <v/>
      </c>
      <c r="R218" s="25">
        <f>IF(AND(L218=1,I218&lt;&gt;""),SUBSTITUTE(SUBSTITUTE(SUBSTITUTE(SUBSTITUTE(SUBSTITUTE(SUBSTITUTE(SUBSTITUTE(SUBSTITUTE(SUBSTITUTE(SUBSTITUTE(SUBSTITUTE(SUBSTITUTE(LOWER(TRIM(I218)),"á","a"),"é","e"),"í","i"),"ó","o"),"ú","u"),"ü","u"),"ñ","n"),"à","a"),"è","e"),"ì","i"),"ò","o"),"ù","u"),"")</f>
        <v/>
      </c>
      <c r="S218" s="25">
        <f>IF(R218="","",IF(OR(R218="si",R218="tal vez"),1,0))</f>
        <v/>
      </c>
      <c r="T218" s="25">
        <f>IF(AND(L218=1,D218&lt;&gt;""),IF(IFERROR(COUNTIFS(D$3:D218,"="&amp;SUBSTITUTE(SUBSTITUTE(SUBSTITUTE(D218,"~","~~"),"*","~*"),"?","~?"),L$3:L218,1),0)=1,MAX(T$2:T217)+1,""),"")</f>
        <v/>
      </c>
      <c r="U218" s="25">
        <f>IF(T218="","",COUNTIFS($D$3:$D$1002,"="&amp;SUBSTITUTE(SUBSTITUTE(SUBSTITUTE(D218,"~","~~"),"*","~*"),"?","~?"),$L$3:$L$1002,1)*10000-T218)</f>
        <v/>
      </c>
      <c r="V218" s="25">
        <f>IF(AND(L218=1,J218&lt;&gt;""),IF(IFERROR(COUNTIFS(J$3:J218,"="&amp;SUBSTITUTE(SUBSTITUTE(SUBSTITUTE(J218,"~","~~"),"*","~*"),"?","~?"),L$3:L218,1),0)=1,MAX(V$2:V217)+1,""),"")</f>
        <v/>
      </c>
      <c r="W218" s="25">
        <f>IF(V218="","",COUNTIFS($J$3:$J$1002,"="&amp;SUBSTITUTE(SUBSTITUTE(SUBSTITUTE(J218,"~","~~"),"*","~*"),"?","~?"),$L$3:$L$1002,1)*10000-V218)</f>
        <v/>
      </c>
    </row>
    <row r="219">
      <c r="A219">
        <f>IF(A$2=0,"",IFERROR(TRIM(INDEX('Pegar estudiantes'!$A$1:$BZ$1001,218,A$2)&amp;""),""))</f>
        <v/>
      </c>
      <c r="B219">
        <f>IF(B$2=0,"",IFERROR(TRIM(INDEX('Pegar estudiantes'!$A$1:$BZ$1001,218,B$2)&amp;""),""))</f>
        <v/>
      </c>
      <c r="C219">
        <f>IF(C$2=0,"",IFERROR(TRIM(INDEX('Pegar estudiantes'!$A$1:$BZ$1001,218,C$2)&amp;""),""))</f>
        <v/>
      </c>
      <c r="D219">
        <f>IF(D$2=0,"",IFERROR(TRIM(INDEX('Pegar estudiantes'!$A$1:$BZ$1001,218,D$2)&amp;""),""))</f>
        <v/>
      </c>
      <c r="E219">
        <f>IF(E$2=0,"",IFERROR(TRIM(INDEX('Pegar estudiantes'!$A$1:$BZ$1001,218,E$2)&amp;""),""))</f>
        <v/>
      </c>
      <c r="F219">
        <f>IF(F$2=0,"",IFERROR(TRIM(INDEX('Pegar estudiantes'!$A$1:$BZ$1001,218,F$2)&amp;""),""))</f>
        <v/>
      </c>
      <c r="G219">
        <f>IF(G$2=0,"",IFERROR(TRIM(INDEX('Pegar estudiantes'!$A$1:$BZ$1001,218,G$2)&amp;""),""))</f>
        <v/>
      </c>
      <c r="H219">
        <f>IF(H$2=0,"",IFERROR(TRIM(INDEX('Pegar estudiantes'!$A$1:$BZ$1001,218,H$2)&amp;""),""))</f>
        <v/>
      </c>
      <c r="I219">
        <f>IF(I$2=0,"",IFERROR(TRIM(INDEX('Pegar estudiantes'!$A$1:$BZ$1001,218,I$2)&amp;""),""))</f>
        <v/>
      </c>
      <c r="J219">
        <f>IF(J$2=0,"",IFERROR(TRIM(INDEX('Pegar estudiantes'!$A$1:$BZ$1001,218,J$2)&amp;""),""))</f>
        <v/>
      </c>
      <c r="K219">
        <f>IF(K$2=0,"",IFERROR(TRIM(INDEX('Pegar estudiantes'!$A$1:$BZ$1001,218,K$2)&amp;""),""))</f>
        <v/>
      </c>
      <c r="L219" s="25">
        <f>IF(A219&lt;&gt;"",1,"")</f>
        <v/>
      </c>
      <c r="M219" s="25">
        <f>IF(L219=1,IF(ISNUMBER(FIND("#"&amp;MID(A219,1,1)&amp;"#","#0#1#2#3#4#5#6#7#8#9#")),IF(ISNUMBER(FIND("#"&amp;MID(A219,2,1)&amp;"#","#0#1#2#3#4#5#6#7#8#9#")),IF(AND(VALUE(LEFT(A219,2))&gt;=1,VALUE(LEFT(A219,2))&lt;=5),VALUE(LEFT(A219,2)),""),IF(AND(VALUE(LEFT(A219,1))&gt;=1,VALUE(LEFT(A219,1))&lt;=5),VALUE(LEFT(A219,1)),"")),""),"")</f>
        <v/>
      </c>
      <c r="N219" s="25">
        <f>IF(L219=1,IF(ISNUMBER(FIND("#"&amp;MID(H219,1,1)&amp;"#","#0#1#2#3#4#5#6#7#8#9#")),IF(ISNUMBER(FIND("#"&amp;MID(H219,2,1)&amp;"#","#0#1#2#3#4#5#6#7#8#9#")),IF(AND(VALUE(LEFT(H219,2))&gt;=1,VALUE(LEFT(H219,2))&lt;=5),VALUE(LEFT(H219,2)),""),IF(AND(VALUE(LEFT(H219,1))&gt;=1,VALUE(LEFT(H219,1))&lt;=5),VALUE(LEFT(H219,1)),"")),""),"")</f>
        <v/>
      </c>
      <c r="O219" s="25">
        <f>IF(AND(L219=1,B219&lt;&gt;""),SUBSTITUTE(SUBSTITUTE(SUBSTITUTE(SUBSTITUTE(SUBSTITUTE(SUBSTITUTE(SUBSTITUTE(SUBSTITUTE(SUBSTITUTE(SUBSTITUTE(SUBSTITUTE(SUBSTITUTE(LOWER(TRIM(B219)),"á","a"),"é","e"),"í","i"),"ó","o"),"ú","u"),"ü","u"),"ñ","n"),"à","a"),"è","e"),"ì","i"),"ò","o"),"ù","u"),"")</f>
        <v/>
      </c>
      <c r="P219" s="25">
        <f>IF(AND(L219=1,C219&lt;&gt;""),SUBSTITUTE(SUBSTITUTE(SUBSTITUTE(SUBSTITUTE(SUBSTITUTE(SUBSTITUTE(SUBSTITUTE(SUBSTITUTE(SUBSTITUTE(SUBSTITUTE(SUBSTITUTE(SUBSTITUTE(LOWER(TRIM(C219)),"á","a"),"é","e"),"í","i"),"ó","o"),"ú","u"),"ü","u"),"ñ","n"),"à","a"),"è","e"),"ì","i"),"ò","o"),"ù","u"),"")</f>
        <v/>
      </c>
      <c r="Q219" s="25">
        <f>IF(AND(L219=1,E219&lt;&gt;""),SUBSTITUTE(SUBSTITUTE(SUBSTITUTE(SUBSTITUTE(SUBSTITUTE(SUBSTITUTE(SUBSTITUTE(SUBSTITUTE(SUBSTITUTE(SUBSTITUTE(SUBSTITUTE(SUBSTITUTE(LOWER(TRIM(E219)),"á","a"),"é","e"),"í","i"),"ó","o"),"ú","u"),"ü","u"),"ñ","n"),"à","a"),"è","e"),"ì","i"),"ò","o"),"ù","u"),"")</f>
        <v/>
      </c>
      <c r="R219" s="25">
        <f>IF(AND(L219=1,I219&lt;&gt;""),SUBSTITUTE(SUBSTITUTE(SUBSTITUTE(SUBSTITUTE(SUBSTITUTE(SUBSTITUTE(SUBSTITUTE(SUBSTITUTE(SUBSTITUTE(SUBSTITUTE(SUBSTITUTE(SUBSTITUTE(LOWER(TRIM(I219)),"á","a"),"é","e"),"í","i"),"ó","o"),"ú","u"),"ü","u"),"ñ","n"),"à","a"),"è","e"),"ì","i"),"ò","o"),"ù","u"),"")</f>
        <v/>
      </c>
      <c r="S219" s="25">
        <f>IF(R219="","",IF(OR(R219="si",R219="tal vez"),1,0))</f>
        <v/>
      </c>
      <c r="T219" s="25">
        <f>IF(AND(L219=1,D219&lt;&gt;""),IF(IFERROR(COUNTIFS(D$3:D219,"="&amp;SUBSTITUTE(SUBSTITUTE(SUBSTITUTE(D219,"~","~~"),"*","~*"),"?","~?"),L$3:L219,1),0)=1,MAX(T$2:T218)+1,""),"")</f>
        <v/>
      </c>
      <c r="U219" s="25">
        <f>IF(T219="","",COUNTIFS($D$3:$D$1002,"="&amp;SUBSTITUTE(SUBSTITUTE(SUBSTITUTE(D219,"~","~~"),"*","~*"),"?","~?"),$L$3:$L$1002,1)*10000-T219)</f>
        <v/>
      </c>
      <c r="V219" s="25">
        <f>IF(AND(L219=1,J219&lt;&gt;""),IF(IFERROR(COUNTIFS(J$3:J219,"="&amp;SUBSTITUTE(SUBSTITUTE(SUBSTITUTE(J219,"~","~~"),"*","~*"),"?","~?"),L$3:L219,1),0)=1,MAX(V$2:V218)+1,""),"")</f>
        <v/>
      </c>
      <c r="W219" s="25">
        <f>IF(V219="","",COUNTIFS($J$3:$J$1002,"="&amp;SUBSTITUTE(SUBSTITUTE(SUBSTITUTE(J219,"~","~~"),"*","~*"),"?","~?"),$L$3:$L$1002,1)*10000-V219)</f>
        <v/>
      </c>
    </row>
    <row r="220">
      <c r="A220">
        <f>IF(A$2=0,"",IFERROR(TRIM(INDEX('Pegar estudiantes'!$A$1:$BZ$1001,219,A$2)&amp;""),""))</f>
        <v/>
      </c>
      <c r="B220">
        <f>IF(B$2=0,"",IFERROR(TRIM(INDEX('Pegar estudiantes'!$A$1:$BZ$1001,219,B$2)&amp;""),""))</f>
        <v/>
      </c>
      <c r="C220">
        <f>IF(C$2=0,"",IFERROR(TRIM(INDEX('Pegar estudiantes'!$A$1:$BZ$1001,219,C$2)&amp;""),""))</f>
        <v/>
      </c>
      <c r="D220">
        <f>IF(D$2=0,"",IFERROR(TRIM(INDEX('Pegar estudiantes'!$A$1:$BZ$1001,219,D$2)&amp;""),""))</f>
        <v/>
      </c>
      <c r="E220">
        <f>IF(E$2=0,"",IFERROR(TRIM(INDEX('Pegar estudiantes'!$A$1:$BZ$1001,219,E$2)&amp;""),""))</f>
        <v/>
      </c>
      <c r="F220">
        <f>IF(F$2=0,"",IFERROR(TRIM(INDEX('Pegar estudiantes'!$A$1:$BZ$1001,219,F$2)&amp;""),""))</f>
        <v/>
      </c>
      <c r="G220">
        <f>IF(G$2=0,"",IFERROR(TRIM(INDEX('Pegar estudiantes'!$A$1:$BZ$1001,219,G$2)&amp;""),""))</f>
        <v/>
      </c>
      <c r="H220">
        <f>IF(H$2=0,"",IFERROR(TRIM(INDEX('Pegar estudiantes'!$A$1:$BZ$1001,219,H$2)&amp;""),""))</f>
        <v/>
      </c>
      <c r="I220">
        <f>IF(I$2=0,"",IFERROR(TRIM(INDEX('Pegar estudiantes'!$A$1:$BZ$1001,219,I$2)&amp;""),""))</f>
        <v/>
      </c>
      <c r="J220">
        <f>IF(J$2=0,"",IFERROR(TRIM(INDEX('Pegar estudiantes'!$A$1:$BZ$1001,219,J$2)&amp;""),""))</f>
        <v/>
      </c>
      <c r="K220">
        <f>IF(K$2=0,"",IFERROR(TRIM(INDEX('Pegar estudiantes'!$A$1:$BZ$1001,219,K$2)&amp;""),""))</f>
        <v/>
      </c>
      <c r="L220" s="25">
        <f>IF(A220&lt;&gt;"",1,"")</f>
        <v/>
      </c>
      <c r="M220" s="25">
        <f>IF(L220=1,IF(ISNUMBER(FIND("#"&amp;MID(A220,1,1)&amp;"#","#0#1#2#3#4#5#6#7#8#9#")),IF(ISNUMBER(FIND("#"&amp;MID(A220,2,1)&amp;"#","#0#1#2#3#4#5#6#7#8#9#")),IF(AND(VALUE(LEFT(A220,2))&gt;=1,VALUE(LEFT(A220,2))&lt;=5),VALUE(LEFT(A220,2)),""),IF(AND(VALUE(LEFT(A220,1))&gt;=1,VALUE(LEFT(A220,1))&lt;=5),VALUE(LEFT(A220,1)),"")),""),"")</f>
        <v/>
      </c>
      <c r="N220" s="25">
        <f>IF(L220=1,IF(ISNUMBER(FIND("#"&amp;MID(H220,1,1)&amp;"#","#0#1#2#3#4#5#6#7#8#9#")),IF(ISNUMBER(FIND("#"&amp;MID(H220,2,1)&amp;"#","#0#1#2#3#4#5#6#7#8#9#")),IF(AND(VALUE(LEFT(H220,2))&gt;=1,VALUE(LEFT(H220,2))&lt;=5),VALUE(LEFT(H220,2)),""),IF(AND(VALUE(LEFT(H220,1))&gt;=1,VALUE(LEFT(H220,1))&lt;=5),VALUE(LEFT(H220,1)),"")),""),"")</f>
        <v/>
      </c>
      <c r="O220" s="25">
        <f>IF(AND(L220=1,B220&lt;&gt;""),SUBSTITUTE(SUBSTITUTE(SUBSTITUTE(SUBSTITUTE(SUBSTITUTE(SUBSTITUTE(SUBSTITUTE(SUBSTITUTE(SUBSTITUTE(SUBSTITUTE(SUBSTITUTE(SUBSTITUTE(LOWER(TRIM(B220)),"á","a"),"é","e"),"í","i"),"ó","o"),"ú","u"),"ü","u"),"ñ","n"),"à","a"),"è","e"),"ì","i"),"ò","o"),"ù","u"),"")</f>
        <v/>
      </c>
      <c r="P220" s="25">
        <f>IF(AND(L220=1,C220&lt;&gt;""),SUBSTITUTE(SUBSTITUTE(SUBSTITUTE(SUBSTITUTE(SUBSTITUTE(SUBSTITUTE(SUBSTITUTE(SUBSTITUTE(SUBSTITUTE(SUBSTITUTE(SUBSTITUTE(SUBSTITUTE(LOWER(TRIM(C220)),"á","a"),"é","e"),"í","i"),"ó","o"),"ú","u"),"ü","u"),"ñ","n"),"à","a"),"è","e"),"ì","i"),"ò","o"),"ù","u"),"")</f>
        <v/>
      </c>
      <c r="Q220" s="25">
        <f>IF(AND(L220=1,E220&lt;&gt;""),SUBSTITUTE(SUBSTITUTE(SUBSTITUTE(SUBSTITUTE(SUBSTITUTE(SUBSTITUTE(SUBSTITUTE(SUBSTITUTE(SUBSTITUTE(SUBSTITUTE(SUBSTITUTE(SUBSTITUTE(LOWER(TRIM(E220)),"á","a"),"é","e"),"í","i"),"ó","o"),"ú","u"),"ü","u"),"ñ","n"),"à","a"),"è","e"),"ì","i"),"ò","o"),"ù","u"),"")</f>
        <v/>
      </c>
      <c r="R220" s="25">
        <f>IF(AND(L220=1,I220&lt;&gt;""),SUBSTITUTE(SUBSTITUTE(SUBSTITUTE(SUBSTITUTE(SUBSTITUTE(SUBSTITUTE(SUBSTITUTE(SUBSTITUTE(SUBSTITUTE(SUBSTITUTE(SUBSTITUTE(SUBSTITUTE(LOWER(TRIM(I220)),"á","a"),"é","e"),"í","i"),"ó","o"),"ú","u"),"ü","u"),"ñ","n"),"à","a"),"è","e"),"ì","i"),"ò","o"),"ù","u"),"")</f>
        <v/>
      </c>
      <c r="S220" s="25">
        <f>IF(R220="","",IF(OR(R220="si",R220="tal vez"),1,0))</f>
        <v/>
      </c>
      <c r="T220" s="25">
        <f>IF(AND(L220=1,D220&lt;&gt;""),IF(IFERROR(COUNTIFS(D$3:D220,"="&amp;SUBSTITUTE(SUBSTITUTE(SUBSTITUTE(D220,"~","~~"),"*","~*"),"?","~?"),L$3:L220,1),0)=1,MAX(T$2:T219)+1,""),"")</f>
        <v/>
      </c>
      <c r="U220" s="25">
        <f>IF(T220="","",COUNTIFS($D$3:$D$1002,"="&amp;SUBSTITUTE(SUBSTITUTE(SUBSTITUTE(D220,"~","~~"),"*","~*"),"?","~?"),$L$3:$L$1002,1)*10000-T220)</f>
        <v/>
      </c>
      <c r="V220" s="25">
        <f>IF(AND(L220=1,J220&lt;&gt;""),IF(IFERROR(COUNTIFS(J$3:J220,"="&amp;SUBSTITUTE(SUBSTITUTE(SUBSTITUTE(J220,"~","~~"),"*","~*"),"?","~?"),L$3:L220,1),0)=1,MAX(V$2:V219)+1,""),"")</f>
        <v/>
      </c>
      <c r="W220" s="25">
        <f>IF(V220="","",COUNTIFS($J$3:$J$1002,"="&amp;SUBSTITUTE(SUBSTITUTE(SUBSTITUTE(J220,"~","~~"),"*","~*"),"?","~?"),$L$3:$L$1002,1)*10000-V220)</f>
        <v/>
      </c>
    </row>
    <row r="221">
      <c r="A221">
        <f>IF(A$2=0,"",IFERROR(TRIM(INDEX('Pegar estudiantes'!$A$1:$BZ$1001,220,A$2)&amp;""),""))</f>
        <v/>
      </c>
      <c r="B221">
        <f>IF(B$2=0,"",IFERROR(TRIM(INDEX('Pegar estudiantes'!$A$1:$BZ$1001,220,B$2)&amp;""),""))</f>
        <v/>
      </c>
      <c r="C221">
        <f>IF(C$2=0,"",IFERROR(TRIM(INDEX('Pegar estudiantes'!$A$1:$BZ$1001,220,C$2)&amp;""),""))</f>
        <v/>
      </c>
      <c r="D221">
        <f>IF(D$2=0,"",IFERROR(TRIM(INDEX('Pegar estudiantes'!$A$1:$BZ$1001,220,D$2)&amp;""),""))</f>
        <v/>
      </c>
      <c r="E221">
        <f>IF(E$2=0,"",IFERROR(TRIM(INDEX('Pegar estudiantes'!$A$1:$BZ$1001,220,E$2)&amp;""),""))</f>
        <v/>
      </c>
      <c r="F221">
        <f>IF(F$2=0,"",IFERROR(TRIM(INDEX('Pegar estudiantes'!$A$1:$BZ$1001,220,F$2)&amp;""),""))</f>
        <v/>
      </c>
      <c r="G221">
        <f>IF(G$2=0,"",IFERROR(TRIM(INDEX('Pegar estudiantes'!$A$1:$BZ$1001,220,G$2)&amp;""),""))</f>
        <v/>
      </c>
      <c r="H221">
        <f>IF(H$2=0,"",IFERROR(TRIM(INDEX('Pegar estudiantes'!$A$1:$BZ$1001,220,H$2)&amp;""),""))</f>
        <v/>
      </c>
      <c r="I221">
        <f>IF(I$2=0,"",IFERROR(TRIM(INDEX('Pegar estudiantes'!$A$1:$BZ$1001,220,I$2)&amp;""),""))</f>
        <v/>
      </c>
      <c r="J221">
        <f>IF(J$2=0,"",IFERROR(TRIM(INDEX('Pegar estudiantes'!$A$1:$BZ$1001,220,J$2)&amp;""),""))</f>
        <v/>
      </c>
      <c r="K221">
        <f>IF(K$2=0,"",IFERROR(TRIM(INDEX('Pegar estudiantes'!$A$1:$BZ$1001,220,K$2)&amp;""),""))</f>
        <v/>
      </c>
      <c r="L221" s="25">
        <f>IF(A221&lt;&gt;"",1,"")</f>
        <v/>
      </c>
      <c r="M221" s="25">
        <f>IF(L221=1,IF(ISNUMBER(FIND("#"&amp;MID(A221,1,1)&amp;"#","#0#1#2#3#4#5#6#7#8#9#")),IF(ISNUMBER(FIND("#"&amp;MID(A221,2,1)&amp;"#","#0#1#2#3#4#5#6#7#8#9#")),IF(AND(VALUE(LEFT(A221,2))&gt;=1,VALUE(LEFT(A221,2))&lt;=5),VALUE(LEFT(A221,2)),""),IF(AND(VALUE(LEFT(A221,1))&gt;=1,VALUE(LEFT(A221,1))&lt;=5),VALUE(LEFT(A221,1)),"")),""),"")</f>
        <v/>
      </c>
      <c r="N221" s="25">
        <f>IF(L221=1,IF(ISNUMBER(FIND("#"&amp;MID(H221,1,1)&amp;"#","#0#1#2#3#4#5#6#7#8#9#")),IF(ISNUMBER(FIND("#"&amp;MID(H221,2,1)&amp;"#","#0#1#2#3#4#5#6#7#8#9#")),IF(AND(VALUE(LEFT(H221,2))&gt;=1,VALUE(LEFT(H221,2))&lt;=5),VALUE(LEFT(H221,2)),""),IF(AND(VALUE(LEFT(H221,1))&gt;=1,VALUE(LEFT(H221,1))&lt;=5),VALUE(LEFT(H221,1)),"")),""),"")</f>
        <v/>
      </c>
      <c r="O221" s="25">
        <f>IF(AND(L221=1,B221&lt;&gt;""),SUBSTITUTE(SUBSTITUTE(SUBSTITUTE(SUBSTITUTE(SUBSTITUTE(SUBSTITUTE(SUBSTITUTE(SUBSTITUTE(SUBSTITUTE(SUBSTITUTE(SUBSTITUTE(SUBSTITUTE(LOWER(TRIM(B221)),"á","a"),"é","e"),"í","i"),"ó","o"),"ú","u"),"ü","u"),"ñ","n"),"à","a"),"è","e"),"ì","i"),"ò","o"),"ù","u"),"")</f>
        <v/>
      </c>
      <c r="P221" s="25">
        <f>IF(AND(L221=1,C221&lt;&gt;""),SUBSTITUTE(SUBSTITUTE(SUBSTITUTE(SUBSTITUTE(SUBSTITUTE(SUBSTITUTE(SUBSTITUTE(SUBSTITUTE(SUBSTITUTE(SUBSTITUTE(SUBSTITUTE(SUBSTITUTE(LOWER(TRIM(C221)),"á","a"),"é","e"),"í","i"),"ó","o"),"ú","u"),"ü","u"),"ñ","n"),"à","a"),"è","e"),"ì","i"),"ò","o"),"ù","u"),"")</f>
        <v/>
      </c>
      <c r="Q221" s="25">
        <f>IF(AND(L221=1,E221&lt;&gt;""),SUBSTITUTE(SUBSTITUTE(SUBSTITUTE(SUBSTITUTE(SUBSTITUTE(SUBSTITUTE(SUBSTITUTE(SUBSTITUTE(SUBSTITUTE(SUBSTITUTE(SUBSTITUTE(SUBSTITUTE(LOWER(TRIM(E221)),"á","a"),"é","e"),"í","i"),"ó","o"),"ú","u"),"ü","u"),"ñ","n"),"à","a"),"è","e"),"ì","i"),"ò","o"),"ù","u"),"")</f>
        <v/>
      </c>
      <c r="R221" s="25">
        <f>IF(AND(L221=1,I221&lt;&gt;""),SUBSTITUTE(SUBSTITUTE(SUBSTITUTE(SUBSTITUTE(SUBSTITUTE(SUBSTITUTE(SUBSTITUTE(SUBSTITUTE(SUBSTITUTE(SUBSTITUTE(SUBSTITUTE(SUBSTITUTE(LOWER(TRIM(I221)),"á","a"),"é","e"),"í","i"),"ó","o"),"ú","u"),"ü","u"),"ñ","n"),"à","a"),"è","e"),"ì","i"),"ò","o"),"ù","u"),"")</f>
        <v/>
      </c>
      <c r="S221" s="25">
        <f>IF(R221="","",IF(OR(R221="si",R221="tal vez"),1,0))</f>
        <v/>
      </c>
      <c r="T221" s="25">
        <f>IF(AND(L221=1,D221&lt;&gt;""),IF(IFERROR(COUNTIFS(D$3:D221,"="&amp;SUBSTITUTE(SUBSTITUTE(SUBSTITUTE(D221,"~","~~"),"*","~*"),"?","~?"),L$3:L221,1),0)=1,MAX(T$2:T220)+1,""),"")</f>
        <v/>
      </c>
      <c r="U221" s="25">
        <f>IF(T221="","",COUNTIFS($D$3:$D$1002,"="&amp;SUBSTITUTE(SUBSTITUTE(SUBSTITUTE(D221,"~","~~"),"*","~*"),"?","~?"),$L$3:$L$1002,1)*10000-T221)</f>
        <v/>
      </c>
      <c r="V221" s="25">
        <f>IF(AND(L221=1,J221&lt;&gt;""),IF(IFERROR(COUNTIFS(J$3:J221,"="&amp;SUBSTITUTE(SUBSTITUTE(SUBSTITUTE(J221,"~","~~"),"*","~*"),"?","~?"),L$3:L221,1),0)=1,MAX(V$2:V220)+1,""),"")</f>
        <v/>
      </c>
      <c r="W221" s="25">
        <f>IF(V221="","",COUNTIFS($J$3:$J$1002,"="&amp;SUBSTITUTE(SUBSTITUTE(SUBSTITUTE(J221,"~","~~"),"*","~*"),"?","~?"),$L$3:$L$1002,1)*10000-V221)</f>
        <v/>
      </c>
    </row>
    <row r="222">
      <c r="A222">
        <f>IF(A$2=0,"",IFERROR(TRIM(INDEX('Pegar estudiantes'!$A$1:$BZ$1001,221,A$2)&amp;""),""))</f>
        <v/>
      </c>
      <c r="B222">
        <f>IF(B$2=0,"",IFERROR(TRIM(INDEX('Pegar estudiantes'!$A$1:$BZ$1001,221,B$2)&amp;""),""))</f>
        <v/>
      </c>
      <c r="C222">
        <f>IF(C$2=0,"",IFERROR(TRIM(INDEX('Pegar estudiantes'!$A$1:$BZ$1001,221,C$2)&amp;""),""))</f>
        <v/>
      </c>
      <c r="D222">
        <f>IF(D$2=0,"",IFERROR(TRIM(INDEX('Pegar estudiantes'!$A$1:$BZ$1001,221,D$2)&amp;""),""))</f>
        <v/>
      </c>
      <c r="E222">
        <f>IF(E$2=0,"",IFERROR(TRIM(INDEX('Pegar estudiantes'!$A$1:$BZ$1001,221,E$2)&amp;""),""))</f>
        <v/>
      </c>
      <c r="F222">
        <f>IF(F$2=0,"",IFERROR(TRIM(INDEX('Pegar estudiantes'!$A$1:$BZ$1001,221,F$2)&amp;""),""))</f>
        <v/>
      </c>
      <c r="G222">
        <f>IF(G$2=0,"",IFERROR(TRIM(INDEX('Pegar estudiantes'!$A$1:$BZ$1001,221,G$2)&amp;""),""))</f>
        <v/>
      </c>
      <c r="H222">
        <f>IF(H$2=0,"",IFERROR(TRIM(INDEX('Pegar estudiantes'!$A$1:$BZ$1001,221,H$2)&amp;""),""))</f>
        <v/>
      </c>
      <c r="I222">
        <f>IF(I$2=0,"",IFERROR(TRIM(INDEX('Pegar estudiantes'!$A$1:$BZ$1001,221,I$2)&amp;""),""))</f>
        <v/>
      </c>
      <c r="J222">
        <f>IF(J$2=0,"",IFERROR(TRIM(INDEX('Pegar estudiantes'!$A$1:$BZ$1001,221,J$2)&amp;""),""))</f>
        <v/>
      </c>
      <c r="K222">
        <f>IF(K$2=0,"",IFERROR(TRIM(INDEX('Pegar estudiantes'!$A$1:$BZ$1001,221,K$2)&amp;""),""))</f>
        <v/>
      </c>
      <c r="L222" s="25">
        <f>IF(A222&lt;&gt;"",1,"")</f>
        <v/>
      </c>
      <c r="M222" s="25">
        <f>IF(L222=1,IF(ISNUMBER(FIND("#"&amp;MID(A222,1,1)&amp;"#","#0#1#2#3#4#5#6#7#8#9#")),IF(ISNUMBER(FIND("#"&amp;MID(A222,2,1)&amp;"#","#0#1#2#3#4#5#6#7#8#9#")),IF(AND(VALUE(LEFT(A222,2))&gt;=1,VALUE(LEFT(A222,2))&lt;=5),VALUE(LEFT(A222,2)),""),IF(AND(VALUE(LEFT(A222,1))&gt;=1,VALUE(LEFT(A222,1))&lt;=5),VALUE(LEFT(A222,1)),"")),""),"")</f>
        <v/>
      </c>
      <c r="N222" s="25">
        <f>IF(L222=1,IF(ISNUMBER(FIND("#"&amp;MID(H222,1,1)&amp;"#","#0#1#2#3#4#5#6#7#8#9#")),IF(ISNUMBER(FIND("#"&amp;MID(H222,2,1)&amp;"#","#0#1#2#3#4#5#6#7#8#9#")),IF(AND(VALUE(LEFT(H222,2))&gt;=1,VALUE(LEFT(H222,2))&lt;=5),VALUE(LEFT(H222,2)),""),IF(AND(VALUE(LEFT(H222,1))&gt;=1,VALUE(LEFT(H222,1))&lt;=5),VALUE(LEFT(H222,1)),"")),""),"")</f>
        <v/>
      </c>
      <c r="O222" s="25">
        <f>IF(AND(L222=1,B222&lt;&gt;""),SUBSTITUTE(SUBSTITUTE(SUBSTITUTE(SUBSTITUTE(SUBSTITUTE(SUBSTITUTE(SUBSTITUTE(SUBSTITUTE(SUBSTITUTE(SUBSTITUTE(SUBSTITUTE(SUBSTITUTE(LOWER(TRIM(B222)),"á","a"),"é","e"),"í","i"),"ó","o"),"ú","u"),"ü","u"),"ñ","n"),"à","a"),"è","e"),"ì","i"),"ò","o"),"ù","u"),"")</f>
        <v/>
      </c>
      <c r="P222" s="25">
        <f>IF(AND(L222=1,C222&lt;&gt;""),SUBSTITUTE(SUBSTITUTE(SUBSTITUTE(SUBSTITUTE(SUBSTITUTE(SUBSTITUTE(SUBSTITUTE(SUBSTITUTE(SUBSTITUTE(SUBSTITUTE(SUBSTITUTE(SUBSTITUTE(LOWER(TRIM(C222)),"á","a"),"é","e"),"í","i"),"ó","o"),"ú","u"),"ü","u"),"ñ","n"),"à","a"),"è","e"),"ì","i"),"ò","o"),"ù","u"),"")</f>
        <v/>
      </c>
      <c r="Q222" s="25">
        <f>IF(AND(L222=1,E222&lt;&gt;""),SUBSTITUTE(SUBSTITUTE(SUBSTITUTE(SUBSTITUTE(SUBSTITUTE(SUBSTITUTE(SUBSTITUTE(SUBSTITUTE(SUBSTITUTE(SUBSTITUTE(SUBSTITUTE(SUBSTITUTE(LOWER(TRIM(E222)),"á","a"),"é","e"),"í","i"),"ó","o"),"ú","u"),"ü","u"),"ñ","n"),"à","a"),"è","e"),"ì","i"),"ò","o"),"ù","u"),"")</f>
        <v/>
      </c>
      <c r="R222" s="25">
        <f>IF(AND(L222=1,I222&lt;&gt;""),SUBSTITUTE(SUBSTITUTE(SUBSTITUTE(SUBSTITUTE(SUBSTITUTE(SUBSTITUTE(SUBSTITUTE(SUBSTITUTE(SUBSTITUTE(SUBSTITUTE(SUBSTITUTE(SUBSTITUTE(LOWER(TRIM(I222)),"á","a"),"é","e"),"í","i"),"ó","o"),"ú","u"),"ü","u"),"ñ","n"),"à","a"),"è","e"),"ì","i"),"ò","o"),"ù","u"),"")</f>
        <v/>
      </c>
      <c r="S222" s="25">
        <f>IF(R222="","",IF(OR(R222="si",R222="tal vez"),1,0))</f>
        <v/>
      </c>
      <c r="T222" s="25">
        <f>IF(AND(L222=1,D222&lt;&gt;""),IF(IFERROR(COUNTIFS(D$3:D222,"="&amp;SUBSTITUTE(SUBSTITUTE(SUBSTITUTE(D222,"~","~~"),"*","~*"),"?","~?"),L$3:L222,1),0)=1,MAX(T$2:T221)+1,""),"")</f>
        <v/>
      </c>
      <c r="U222" s="25">
        <f>IF(T222="","",COUNTIFS($D$3:$D$1002,"="&amp;SUBSTITUTE(SUBSTITUTE(SUBSTITUTE(D222,"~","~~"),"*","~*"),"?","~?"),$L$3:$L$1002,1)*10000-T222)</f>
        <v/>
      </c>
      <c r="V222" s="25">
        <f>IF(AND(L222=1,J222&lt;&gt;""),IF(IFERROR(COUNTIFS(J$3:J222,"="&amp;SUBSTITUTE(SUBSTITUTE(SUBSTITUTE(J222,"~","~~"),"*","~*"),"?","~?"),L$3:L222,1),0)=1,MAX(V$2:V221)+1,""),"")</f>
        <v/>
      </c>
      <c r="W222" s="25">
        <f>IF(V222="","",COUNTIFS($J$3:$J$1002,"="&amp;SUBSTITUTE(SUBSTITUTE(SUBSTITUTE(J222,"~","~~"),"*","~*"),"?","~?"),$L$3:$L$1002,1)*10000-V222)</f>
        <v/>
      </c>
    </row>
    <row r="223">
      <c r="A223">
        <f>IF(A$2=0,"",IFERROR(TRIM(INDEX('Pegar estudiantes'!$A$1:$BZ$1001,222,A$2)&amp;""),""))</f>
        <v/>
      </c>
      <c r="B223">
        <f>IF(B$2=0,"",IFERROR(TRIM(INDEX('Pegar estudiantes'!$A$1:$BZ$1001,222,B$2)&amp;""),""))</f>
        <v/>
      </c>
      <c r="C223">
        <f>IF(C$2=0,"",IFERROR(TRIM(INDEX('Pegar estudiantes'!$A$1:$BZ$1001,222,C$2)&amp;""),""))</f>
        <v/>
      </c>
      <c r="D223">
        <f>IF(D$2=0,"",IFERROR(TRIM(INDEX('Pegar estudiantes'!$A$1:$BZ$1001,222,D$2)&amp;""),""))</f>
        <v/>
      </c>
      <c r="E223">
        <f>IF(E$2=0,"",IFERROR(TRIM(INDEX('Pegar estudiantes'!$A$1:$BZ$1001,222,E$2)&amp;""),""))</f>
        <v/>
      </c>
      <c r="F223">
        <f>IF(F$2=0,"",IFERROR(TRIM(INDEX('Pegar estudiantes'!$A$1:$BZ$1001,222,F$2)&amp;""),""))</f>
        <v/>
      </c>
      <c r="G223">
        <f>IF(G$2=0,"",IFERROR(TRIM(INDEX('Pegar estudiantes'!$A$1:$BZ$1001,222,G$2)&amp;""),""))</f>
        <v/>
      </c>
      <c r="H223">
        <f>IF(H$2=0,"",IFERROR(TRIM(INDEX('Pegar estudiantes'!$A$1:$BZ$1001,222,H$2)&amp;""),""))</f>
        <v/>
      </c>
      <c r="I223">
        <f>IF(I$2=0,"",IFERROR(TRIM(INDEX('Pegar estudiantes'!$A$1:$BZ$1001,222,I$2)&amp;""),""))</f>
        <v/>
      </c>
      <c r="J223">
        <f>IF(J$2=0,"",IFERROR(TRIM(INDEX('Pegar estudiantes'!$A$1:$BZ$1001,222,J$2)&amp;""),""))</f>
        <v/>
      </c>
      <c r="K223">
        <f>IF(K$2=0,"",IFERROR(TRIM(INDEX('Pegar estudiantes'!$A$1:$BZ$1001,222,K$2)&amp;""),""))</f>
        <v/>
      </c>
      <c r="L223" s="25">
        <f>IF(A223&lt;&gt;"",1,"")</f>
        <v/>
      </c>
      <c r="M223" s="25">
        <f>IF(L223=1,IF(ISNUMBER(FIND("#"&amp;MID(A223,1,1)&amp;"#","#0#1#2#3#4#5#6#7#8#9#")),IF(ISNUMBER(FIND("#"&amp;MID(A223,2,1)&amp;"#","#0#1#2#3#4#5#6#7#8#9#")),IF(AND(VALUE(LEFT(A223,2))&gt;=1,VALUE(LEFT(A223,2))&lt;=5),VALUE(LEFT(A223,2)),""),IF(AND(VALUE(LEFT(A223,1))&gt;=1,VALUE(LEFT(A223,1))&lt;=5),VALUE(LEFT(A223,1)),"")),""),"")</f>
        <v/>
      </c>
      <c r="N223" s="25">
        <f>IF(L223=1,IF(ISNUMBER(FIND("#"&amp;MID(H223,1,1)&amp;"#","#0#1#2#3#4#5#6#7#8#9#")),IF(ISNUMBER(FIND("#"&amp;MID(H223,2,1)&amp;"#","#0#1#2#3#4#5#6#7#8#9#")),IF(AND(VALUE(LEFT(H223,2))&gt;=1,VALUE(LEFT(H223,2))&lt;=5),VALUE(LEFT(H223,2)),""),IF(AND(VALUE(LEFT(H223,1))&gt;=1,VALUE(LEFT(H223,1))&lt;=5),VALUE(LEFT(H223,1)),"")),""),"")</f>
        <v/>
      </c>
      <c r="O223" s="25">
        <f>IF(AND(L223=1,B223&lt;&gt;""),SUBSTITUTE(SUBSTITUTE(SUBSTITUTE(SUBSTITUTE(SUBSTITUTE(SUBSTITUTE(SUBSTITUTE(SUBSTITUTE(SUBSTITUTE(SUBSTITUTE(SUBSTITUTE(SUBSTITUTE(LOWER(TRIM(B223)),"á","a"),"é","e"),"í","i"),"ó","o"),"ú","u"),"ü","u"),"ñ","n"),"à","a"),"è","e"),"ì","i"),"ò","o"),"ù","u"),"")</f>
        <v/>
      </c>
      <c r="P223" s="25">
        <f>IF(AND(L223=1,C223&lt;&gt;""),SUBSTITUTE(SUBSTITUTE(SUBSTITUTE(SUBSTITUTE(SUBSTITUTE(SUBSTITUTE(SUBSTITUTE(SUBSTITUTE(SUBSTITUTE(SUBSTITUTE(SUBSTITUTE(SUBSTITUTE(LOWER(TRIM(C223)),"á","a"),"é","e"),"í","i"),"ó","o"),"ú","u"),"ü","u"),"ñ","n"),"à","a"),"è","e"),"ì","i"),"ò","o"),"ù","u"),"")</f>
        <v/>
      </c>
      <c r="Q223" s="25">
        <f>IF(AND(L223=1,E223&lt;&gt;""),SUBSTITUTE(SUBSTITUTE(SUBSTITUTE(SUBSTITUTE(SUBSTITUTE(SUBSTITUTE(SUBSTITUTE(SUBSTITUTE(SUBSTITUTE(SUBSTITUTE(SUBSTITUTE(SUBSTITUTE(LOWER(TRIM(E223)),"á","a"),"é","e"),"í","i"),"ó","o"),"ú","u"),"ü","u"),"ñ","n"),"à","a"),"è","e"),"ì","i"),"ò","o"),"ù","u"),"")</f>
        <v/>
      </c>
      <c r="R223" s="25">
        <f>IF(AND(L223=1,I223&lt;&gt;""),SUBSTITUTE(SUBSTITUTE(SUBSTITUTE(SUBSTITUTE(SUBSTITUTE(SUBSTITUTE(SUBSTITUTE(SUBSTITUTE(SUBSTITUTE(SUBSTITUTE(SUBSTITUTE(SUBSTITUTE(LOWER(TRIM(I223)),"á","a"),"é","e"),"í","i"),"ó","o"),"ú","u"),"ü","u"),"ñ","n"),"à","a"),"è","e"),"ì","i"),"ò","o"),"ù","u"),"")</f>
        <v/>
      </c>
      <c r="S223" s="25">
        <f>IF(R223="","",IF(OR(R223="si",R223="tal vez"),1,0))</f>
        <v/>
      </c>
      <c r="T223" s="25">
        <f>IF(AND(L223=1,D223&lt;&gt;""),IF(IFERROR(COUNTIFS(D$3:D223,"="&amp;SUBSTITUTE(SUBSTITUTE(SUBSTITUTE(D223,"~","~~"),"*","~*"),"?","~?"),L$3:L223,1),0)=1,MAX(T$2:T222)+1,""),"")</f>
        <v/>
      </c>
      <c r="U223" s="25">
        <f>IF(T223="","",COUNTIFS($D$3:$D$1002,"="&amp;SUBSTITUTE(SUBSTITUTE(SUBSTITUTE(D223,"~","~~"),"*","~*"),"?","~?"),$L$3:$L$1002,1)*10000-T223)</f>
        <v/>
      </c>
      <c r="V223" s="25">
        <f>IF(AND(L223=1,J223&lt;&gt;""),IF(IFERROR(COUNTIFS(J$3:J223,"="&amp;SUBSTITUTE(SUBSTITUTE(SUBSTITUTE(J223,"~","~~"),"*","~*"),"?","~?"),L$3:L223,1),0)=1,MAX(V$2:V222)+1,""),"")</f>
        <v/>
      </c>
      <c r="W223" s="25">
        <f>IF(V223="","",COUNTIFS($J$3:$J$1002,"="&amp;SUBSTITUTE(SUBSTITUTE(SUBSTITUTE(J223,"~","~~"),"*","~*"),"?","~?"),$L$3:$L$1002,1)*10000-V223)</f>
        <v/>
      </c>
    </row>
    <row r="224">
      <c r="A224">
        <f>IF(A$2=0,"",IFERROR(TRIM(INDEX('Pegar estudiantes'!$A$1:$BZ$1001,223,A$2)&amp;""),""))</f>
        <v/>
      </c>
      <c r="B224">
        <f>IF(B$2=0,"",IFERROR(TRIM(INDEX('Pegar estudiantes'!$A$1:$BZ$1001,223,B$2)&amp;""),""))</f>
        <v/>
      </c>
      <c r="C224">
        <f>IF(C$2=0,"",IFERROR(TRIM(INDEX('Pegar estudiantes'!$A$1:$BZ$1001,223,C$2)&amp;""),""))</f>
        <v/>
      </c>
      <c r="D224">
        <f>IF(D$2=0,"",IFERROR(TRIM(INDEX('Pegar estudiantes'!$A$1:$BZ$1001,223,D$2)&amp;""),""))</f>
        <v/>
      </c>
      <c r="E224">
        <f>IF(E$2=0,"",IFERROR(TRIM(INDEX('Pegar estudiantes'!$A$1:$BZ$1001,223,E$2)&amp;""),""))</f>
        <v/>
      </c>
      <c r="F224">
        <f>IF(F$2=0,"",IFERROR(TRIM(INDEX('Pegar estudiantes'!$A$1:$BZ$1001,223,F$2)&amp;""),""))</f>
        <v/>
      </c>
      <c r="G224">
        <f>IF(G$2=0,"",IFERROR(TRIM(INDEX('Pegar estudiantes'!$A$1:$BZ$1001,223,G$2)&amp;""),""))</f>
        <v/>
      </c>
      <c r="H224">
        <f>IF(H$2=0,"",IFERROR(TRIM(INDEX('Pegar estudiantes'!$A$1:$BZ$1001,223,H$2)&amp;""),""))</f>
        <v/>
      </c>
      <c r="I224">
        <f>IF(I$2=0,"",IFERROR(TRIM(INDEX('Pegar estudiantes'!$A$1:$BZ$1001,223,I$2)&amp;""),""))</f>
        <v/>
      </c>
      <c r="J224">
        <f>IF(J$2=0,"",IFERROR(TRIM(INDEX('Pegar estudiantes'!$A$1:$BZ$1001,223,J$2)&amp;""),""))</f>
        <v/>
      </c>
      <c r="K224">
        <f>IF(K$2=0,"",IFERROR(TRIM(INDEX('Pegar estudiantes'!$A$1:$BZ$1001,223,K$2)&amp;""),""))</f>
        <v/>
      </c>
      <c r="L224" s="25">
        <f>IF(A224&lt;&gt;"",1,"")</f>
        <v/>
      </c>
      <c r="M224" s="25">
        <f>IF(L224=1,IF(ISNUMBER(FIND("#"&amp;MID(A224,1,1)&amp;"#","#0#1#2#3#4#5#6#7#8#9#")),IF(ISNUMBER(FIND("#"&amp;MID(A224,2,1)&amp;"#","#0#1#2#3#4#5#6#7#8#9#")),IF(AND(VALUE(LEFT(A224,2))&gt;=1,VALUE(LEFT(A224,2))&lt;=5),VALUE(LEFT(A224,2)),""),IF(AND(VALUE(LEFT(A224,1))&gt;=1,VALUE(LEFT(A224,1))&lt;=5),VALUE(LEFT(A224,1)),"")),""),"")</f>
        <v/>
      </c>
      <c r="N224" s="25">
        <f>IF(L224=1,IF(ISNUMBER(FIND("#"&amp;MID(H224,1,1)&amp;"#","#0#1#2#3#4#5#6#7#8#9#")),IF(ISNUMBER(FIND("#"&amp;MID(H224,2,1)&amp;"#","#0#1#2#3#4#5#6#7#8#9#")),IF(AND(VALUE(LEFT(H224,2))&gt;=1,VALUE(LEFT(H224,2))&lt;=5),VALUE(LEFT(H224,2)),""),IF(AND(VALUE(LEFT(H224,1))&gt;=1,VALUE(LEFT(H224,1))&lt;=5),VALUE(LEFT(H224,1)),"")),""),"")</f>
        <v/>
      </c>
      <c r="O224" s="25">
        <f>IF(AND(L224=1,B224&lt;&gt;""),SUBSTITUTE(SUBSTITUTE(SUBSTITUTE(SUBSTITUTE(SUBSTITUTE(SUBSTITUTE(SUBSTITUTE(SUBSTITUTE(SUBSTITUTE(SUBSTITUTE(SUBSTITUTE(SUBSTITUTE(LOWER(TRIM(B224)),"á","a"),"é","e"),"í","i"),"ó","o"),"ú","u"),"ü","u"),"ñ","n"),"à","a"),"è","e"),"ì","i"),"ò","o"),"ù","u"),"")</f>
        <v/>
      </c>
      <c r="P224" s="25">
        <f>IF(AND(L224=1,C224&lt;&gt;""),SUBSTITUTE(SUBSTITUTE(SUBSTITUTE(SUBSTITUTE(SUBSTITUTE(SUBSTITUTE(SUBSTITUTE(SUBSTITUTE(SUBSTITUTE(SUBSTITUTE(SUBSTITUTE(SUBSTITUTE(LOWER(TRIM(C224)),"á","a"),"é","e"),"í","i"),"ó","o"),"ú","u"),"ü","u"),"ñ","n"),"à","a"),"è","e"),"ì","i"),"ò","o"),"ù","u"),"")</f>
        <v/>
      </c>
      <c r="Q224" s="25">
        <f>IF(AND(L224=1,E224&lt;&gt;""),SUBSTITUTE(SUBSTITUTE(SUBSTITUTE(SUBSTITUTE(SUBSTITUTE(SUBSTITUTE(SUBSTITUTE(SUBSTITUTE(SUBSTITUTE(SUBSTITUTE(SUBSTITUTE(SUBSTITUTE(LOWER(TRIM(E224)),"á","a"),"é","e"),"í","i"),"ó","o"),"ú","u"),"ü","u"),"ñ","n"),"à","a"),"è","e"),"ì","i"),"ò","o"),"ù","u"),"")</f>
        <v/>
      </c>
      <c r="R224" s="25">
        <f>IF(AND(L224=1,I224&lt;&gt;""),SUBSTITUTE(SUBSTITUTE(SUBSTITUTE(SUBSTITUTE(SUBSTITUTE(SUBSTITUTE(SUBSTITUTE(SUBSTITUTE(SUBSTITUTE(SUBSTITUTE(SUBSTITUTE(SUBSTITUTE(LOWER(TRIM(I224)),"á","a"),"é","e"),"í","i"),"ó","o"),"ú","u"),"ü","u"),"ñ","n"),"à","a"),"è","e"),"ì","i"),"ò","o"),"ù","u"),"")</f>
        <v/>
      </c>
      <c r="S224" s="25">
        <f>IF(R224="","",IF(OR(R224="si",R224="tal vez"),1,0))</f>
        <v/>
      </c>
      <c r="T224" s="25">
        <f>IF(AND(L224=1,D224&lt;&gt;""),IF(IFERROR(COUNTIFS(D$3:D224,"="&amp;SUBSTITUTE(SUBSTITUTE(SUBSTITUTE(D224,"~","~~"),"*","~*"),"?","~?"),L$3:L224,1),0)=1,MAX(T$2:T223)+1,""),"")</f>
        <v/>
      </c>
      <c r="U224" s="25">
        <f>IF(T224="","",COUNTIFS($D$3:$D$1002,"="&amp;SUBSTITUTE(SUBSTITUTE(SUBSTITUTE(D224,"~","~~"),"*","~*"),"?","~?"),$L$3:$L$1002,1)*10000-T224)</f>
        <v/>
      </c>
      <c r="V224" s="25">
        <f>IF(AND(L224=1,J224&lt;&gt;""),IF(IFERROR(COUNTIFS(J$3:J224,"="&amp;SUBSTITUTE(SUBSTITUTE(SUBSTITUTE(J224,"~","~~"),"*","~*"),"?","~?"),L$3:L224,1),0)=1,MAX(V$2:V223)+1,""),"")</f>
        <v/>
      </c>
      <c r="W224" s="25">
        <f>IF(V224="","",COUNTIFS($J$3:$J$1002,"="&amp;SUBSTITUTE(SUBSTITUTE(SUBSTITUTE(J224,"~","~~"),"*","~*"),"?","~?"),$L$3:$L$1002,1)*10000-V224)</f>
        <v/>
      </c>
    </row>
    <row r="225">
      <c r="A225">
        <f>IF(A$2=0,"",IFERROR(TRIM(INDEX('Pegar estudiantes'!$A$1:$BZ$1001,224,A$2)&amp;""),""))</f>
        <v/>
      </c>
      <c r="B225">
        <f>IF(B$2=0,"",IFERROR(TRIM(INDEX('Pegar estudiantes'!$A$1:$BZ$1001,224,B$2)&amp;""),""))</f>
        <v/>
      </c>
      <c r="C225">
        <f>IF(C$2=0,"",IFERROR(TRIM(INDEX('Pegar estudiantes'!$A$1:$BZ$1001,224,C$2)&amp;""),""))</f>
        <v/>
      </c>
      <c r="D225">
        <f>IF(D$2=0,"",IFERROR(TRIM(INDEX('Pegar estudiantes'!$A$1:$BZ$1001,224,D$2)&amp;""),""))</f>
        <v/>
      </c>
      <c r="E225">
        <f>IF(E$2=0,"",IFERROR(TRIM(INDEX('Pegar estudiantes'!$A$1:$BZ$1001,224,E$2)&amp;""),""))</f>
        <v/>
      </c>
      <c r="F225">
        <f>IF(F$2=0,"",IFERROR(TRIM(INDEX('Pegar estudiantes'!$A$1:$BZ$1001,224,F$2)&amp;""),""))</f>
        <v/>
      </c>
      <c r="G225">
        <f>IF(G$2=0,"",IFERROR(TRIM(INDEX('Pegar estudiantes'!$A$1:$BZ$1001,224,G$2)&amp;""),""))</f>
        <v/>
      </c>
      <c r="H225">
        <f>IF(H$2=0,"",IFERROR(TRIM(INDEX('Pegar estudiantes'!$A$1:$BZ$1001,224,H$2)&amp;""),""))</f>
        <v/>
      </c>
      <c r="I225">
        <f>IF(I$2=0,"",IFERROR(TRIM(INDEX('Pegar estudiantes'!$A$1:$BZ$1001,224,I$2)&amp;""),""))</f>
        <v/>
      </c>
      <c r="J225">
        <f>IF(J$2=0,"",IFERROR(TRIM(INDEX('Pegar estudiantes'!$A$1:$BZ$1001,224,J$2)&amp;""),""))</f>
        <v/>
      </c>
      <c r="K225">
        <f>IF(K$2=0,"",IFERROR(TRIM(INDEX('Pegar estudiantes'!$A$1:$BZ$1001,224,K$2)&amp;""),""))</f>
        <v/>
      </c>
      <c r="L225" s="25">
        <f>IF(A225&lt;&gt;"",1,"")</f>
        <v/>
      </c>
      <c r="M225" s="25">
        <f>IF(L225=1,IF(ISNUMBER(FIND("#"&amp;MID(A225,1,1)&amp;"#","#0#1#2#3#4#5#6#7#8#9#")),IF(ISNUMBER(FIND("#"&amp;MID(A225,2,1)&amp;"#","#0#1#2#3#4#5#6#7#8#9#")),IF(AND(VALUE(LEFT(A225,2))&gt;=1,VALUE(LEFT(A225,2))&lt;=5),VALUE(LEFT(A225,2)),""),IF(AND(VALUE(LEFT(A225,1))&gt;=1,VALUE(LEFT(A225,1))&lt;=5),VALUE(LEFT(A225,1)),"")),""),"")</f>
        <v/>
      </c>
      <c r="N225" s="25">
        <f>IF(L225=1,IF(ISNUMBER(FIND("#"&amp;MID(H225,1,1)&amp;"#","#0#1#2#3#4#5#6#7#8#9#")),IF(ISNUMBER(FIND("#"&amp;MID(H225,2,1)&amp;"#","#0#1#2#3#4#5#6#7#8#9#")),IF(AND(VALUE(LEFT(H225,2))&gt;=1,VALUE(LEFT(H225,2))&lt;=5),VALUE(LEFT(H225,2)),""),IF(AND(VALUE(LEFT(H225,1))&gt;=1,VALUE(LEFT(H225,1))&lt;=5),VALUE(LEFT(H225,1)),"")),""),"")</f>
        <v/>
      </c>
      <c r="O225" s="25">
        <f>IF(AND(L225=1,B225&lt;&gt;""),SUBSTITUTE(SUBSTITUTE(SUBSTITUTE(SUBSTITUTE(SUBSTITUTE(SUBSTITUTE(SUBSTITUTE(SUBSTITUTE(SUBSTITUTE(SUBSTITUTE(SUBSTITUTE(SUBSTITUTE(LOWER(TRIM(B225)),"á","a"),"é","e"),"í","i"),"ó","o"),"ú","u"),"ü","u"),"ñ","n"),"à","a"),"è","e"),"ì","i"),"ò","o"),"ù","u"),"")</f>
        <v/>
      </c>
      <c r="P225" s="25">
        <f>IF(AND(L225=1,C225&lt;&gt;""),SUBSTITUTE(SUBSTITUTE(SUBSTITUTE(SUBSTITUTE(SUBSTITUTE(SUBSTITUTE(SUBSTITUTE(SUBSTITUTE(SUBSTITUTE(SUBSTITUTE(SUBSTITUTE(SUBSTITUTE(LOWER(TRIM(C225)),"á","a"),"é","e"),"í","i"),"ó","o"),"ú","u"),"ü","u"),"ñ","n"),"à","a"),"è","e"),"ì","i"),"ò","o"),"ù","u"),"")</f>
        <v/>
      </c>
      <c r="Q225" s="25">
        <f>IF(AND(L225=1,E225&lt;&gt;""),SUBSTITUTE(SUBSTITUTE(SUBSTITUTE(SUBSTITUTE(SUBSTITUTE(SUBSTITUTE(SUBSTITUTE(SUBSTITUTE(SUBSTITUTE(SUBSTITUTE(SUBSTITUTE(SUBSTITUTE(LOWER(TRIM(E225)),"á","a"),"é","e"),"í","i"),"ó","o"),"ú","u"),"ü","u"),"ñ","n"),"à","a"),"è","e"),"ì","i"),"ò","o"),"ù","u"),"")</f>
        <v/>
      </c>
      <c r="R225" s="25">
        <f>IF(AND(L225=1,I225&lt;&gt;""),SUBSTITUTE(SUBSTITUTE(SUBSTITUTE(SUBSTITUTE(SUBSTITUTE(SUBSTITUTE(SUBSTITUTE(SUBSTITUTE(SUBSTITUTE(SUBSTITUTE(SUBSTITUTE(SUBSTITUTE(LOWER(TRIM(I225)),"á","a"),"é","e"),"í","i"),"ó","o"),"ú","u"),"ü","u"),"ñ","n"),"à","a"),"è","e"),"ì","i"),"ò","o"),"ù","u"),"")</f>
        <v/>
      </c>
      <c r="S225" s="25">
        <f>IF(R225="","",IF(OR(R225="si",R225="tal vez"),1,0))</f>
        <v/>
      </c>
      <c r="T225" s="25">
        <f>IF(AND(L225=1,D225&lt;&gt;""),IF(IFERROR(COUNTIFS(D$3:D225,"="&amp;SUBSTITUTE(SUBSTITUTE(SUBSTITUTE(D225,"~","~~"),"*","~*"),"?","~?"),L$3:L225,1),0)=1,MAX(T$2:T224)+1,""),"")</f>
        <v/>
      </c>
      <c r="U225" s="25">
        <f>IF(T225="","",COUNTIFS($D$3:$D$1002,"="&amp;SUBSTITUTE(SUBSTITUTE(SUBSTITUTE(D225,"~","~~"),"*","~*"),"?","~?"),$L$3:$L$1002,1)*10000-T225)</f>
        <v/>
      </c>
      <c r="V225" s="25">
        <f>IF(AND(L225=1,J225&lt;&gt;""),IF(IFERROR(COUNTIFS(J$3:J225,"="&amp;SUBSTITUTE(SUBSTITUTE(SUBSTITUTE(J225,"~","~~"),"*","~*"),"?","~?"),L$3:L225,1),0)=1,MAX(V$2:V224)+1,""),"")</f>
        <v/>
      </c>
      <c r="W225" s="25">
        <f>IF(V225="","",COUNTIFS($J$3:$J$1002,"="&amp;SUBSTITUTE(SUBSTITUTE(SUBSTITUTE(J225,"~","~~"),"*","~*"),"?","~?"),$L$3:$L$1002,1)*10000-V225)</f>
        <v/>
      </c>
    </row>
    <row r="226">
      <c r="A226">
        <f>IF(A$2=0,"",IFERROR(TRIM(INDEX('Pegar estudiantes'!$A$1:$BZ$1001,225,A$2)&amp;""),""))</f>
        <v/>
      </c>
      <c r="B226">
        <f>IF(B$2=0,"",IFERROR(TRIM(INDEX('Pegar estudiantes'!$A$1:$BZ$1001,225,B$2)&amp;""),""))</f>
        <v/>
      </c>
      <c r="C226">
        <f>IF(C$2=0,"",IFERROR(TRIM(INDEX('Pegar estudiantes'!$A$1:$BZ$1001,225,C$2)&amp;""),""))</f>
        <v/>
      </c>
      <c r="D226">
        <f>IF(D$2=0,"",IFERROR(TRIM(INDEX('Pegar estudiantes'!$A$1:$BZ$1001,225,D$2)&amp;""),""))</f>
        <v/>
      </c>
      <c r="E226">
        <f>IF(E$2=0,"",IFERROR(TRIM(INDEX('Pegar estudiantes'!$A$1:$BZ$1001,225,E$2)&amp;""),""))</f>
        <v/>
      </c>
      <c r="F226">
        <f>IF(F$2=0,"",IFERROR(TRIM(INDEX('Pegar estudiantes'!$A$1:$BZ$1001,225,F$2)&amp;""),""))</f>
        <v/>
      </c>
      <c r="G226">
        <f>IF(G$2=0,"",IFERROR(TRIM(INDEX('Pegar estudiantes'!$A$1:$BZ$1001,225,G$2)&amp;""),""))</f>
        <v/>
      </c>
      <c r="H226">
        <f>IF(H$2=0,"",IFERROR(TRIM(INDEX('Pegar estudiantes'!$A$1:$BZ$1001,225,H$2)&amp;""),""))</f>
        <v/>
      </c>
      <c r="I226">
        <f>IF(I$2=0,"",IFERROR(TRIM(INDEX('Pegar estudiantes'!$A$1:$BZ$1001,225,I$2)&amp;""),""))</f>
        <v/>
      </c>
      <c r="J226">
        <f>IF(J$2=0,"",IFERROR(TRIM(INDEX('Pegar estudiantes'!$A$1:$BZ$1001,225,J$2)&amp;""),""))</f>
        <v/>
      </c>
      <c r="K226">
        <f>IF(K$2=0,"",IFERROR(TRIM(INDEX('Pegar estudiantes'!$A$1:$BZ$1001,225,K$2)&amp;""),""))</f>
        <v/>
      </c>
      <c r="L226" s="25">
        <f>IF(A226&lt;&gt;"",1,"")</f>
        <v/>
      </c>
      <c r="M226" s="25">
        <f>IF(L226=1,IF(ISNUMBER(FIND("#"&amp;MID(A226,1,1)&amp;"#","#0#1#2#3#4#5#6#7#8#9#")),IF(ISNUMBER(FIND("#"&amp;MID(A226,2,1)&amp;"#","#0#1#2#3#4#5#6#7#8#9#")),IF(AND(VALUE(LEFT(A226,2))&gt;=1,VALUE(LEFT(A226,2))&lt;=5),VALUE(LEFT(A226,2)),""),IF(AND(VALUE(LEFT(A226,1))&gt;=1,VALUE(LEFT(A226,1))&lt;=5),VALUE(LEFT(A226,1)),"")),""),"")</f>
        <v/>
      </c>
      <c r="N226" s="25">
        <f>IF(L226=1,IF(ISNUMBER(FIND("#"&amp;MID(H226,1,1)&amp;"#","#0#1#2#3#4#5#6#7#8#9#")),IF(ISNUMBER(FIND("#"&amp;MID(H226,2,1)&amp;"#","#0#1#2#3#4#5#6#7#8#9#")),IF(AND(VALUE(LEFT(H226,2))&gt;=1,VALUE(LEFT(H226,2))&lt;=5),VALUE(LEFT(H226,2)),""),IF(AND(VALUE(LEFT(H226,1))&gt;=1,VALUE(LEFT(H226,1))&lt;=5),VALUE(LEFT(H226,1)),"")),""),"")</f>
        <v/>
      </c>
      <c r="O226" s="25">
        <f>IF(AND(L226=1,B226&lt;&gt;""),SUBSTITUTE(SUBSTITUTE(SUBSTITUTE(SUBSTITUTE(SUBSTITUTE(SUBSTITUTE(SUBSTITUTE(SUBSTITUTE(SUBSTITUTE(SUBSTITUTE(SUBSTITUTE(SUBSTITUTE(LOWER(TRIM(B226)),"á","a"),"é","e"),"í","i"),"ó","o"),"ú","u"),"ü","u"),"ñ","n"),"à","a"),"è","e"),"ì","i"),"ò","o"),"ù","u"),"")</f>
        <v/>
      </c>
      <c r="P226" s="25">
        <f>IF(AND(L226=1,C226&lt;&gt;""),SUBSTITUTE(SUBSTITUTE(SUBSTITUTE(SUBSTITUTE(SUBSTITUTE(SUBSTITUTE(SUBSTITUTE(SUBSTITUTE(SUBSTITUTE(SUBSTITUTE(SUBSTITUTE(SUBSTITUTE(LOWER(TRIM(C226)),"á","a"),"é","e"),"í","i"),"ó","o"),"ú","u"),"ü","u"),"ñ","n"),"à","a"),"è","e"),"ì","i"),"ò","o"),"ù","u"),"")</f>
        <v/>
      </c>
      <c r="Q226" s="25">
        <f>IF(AND(L226=1,E226&lt;&gt;""),SUBSTITUTE(SUBSTITUTE(SUBSTITUTE(SUBSTITUTE(SUBSTITUTE(SUBSTITUTE(SUBSTITUTE(SUBSTITUTE(SUBSTITUTE(SUBSTITUTE(SUBSTITUTE(SUBSTITUTE(LOWER(TRIM(E226)),"á","a"),"é","e"),"í","i"),"ó","o"),"ú","u"),"ü","u"),"ñ","n"),"à","a"),"è","e"),"ì","i"),"ò","o"),"ù","u"),"")</f>
        <v/>
      </c>
      <c r="R226" s="25">
        <f>IF(AND(L226=1,I226&lt;&gt;""),SUBSTITUTE(SUBSTITUTE(SUBSTITUTE(SUBSTITUTE(SUBSTITUTE(SUBSTITUTE(SUBSTITUTE(SUBSTITUTE(SUBSTITUTE(SUBSTITUTE(SUBSTITUTE(SUBSTITUTE(LOWER(TRIM(I226)),"á","a"),"é","e"),"í","i"),"ó","o"),"ú","u"),"ü","u"),"ñ","n"),"à","a"),"è","e"),"ì","i"),"ò","o"),"ù","u"),"")</f>
        <v/>
      </c>
      <c r="S226" s="25">
        <f>IF(R226="","",IF(OR(R226="si",R226="tal vez"),1,0))</f>
        <v/>
      </c>
      <c r="T226" s="25">
        <f>IF(AND(L226=1,D226&lt;&gt;""),IF(IFERROR(COUNTIFS(D$3:D226,"="&amp;SUBSTITUTE(SUBSTITUTE(SUBSTITUTE(D226,"~","~~"),"*","~*"),"?","~?"),L$3:L226,1),0)=1,MAX(T$2:T225)+1,""),"")</f>
        <v/>
      </c>
      <c r="U226" s="25">
        <f>IF(T226="","",COUNTIFS($D$3:$D$1002,"="&amp;SUBSTITUTE(SUBSTITUTE(SUBSTITUTE(D226,"~","~~"),"*","~*"),"?","~?"),$L$3:$L$1002,1)*10000-T226)</f>
        <v/>
      </c>
      <c r="V226" s="25">
        <f>IF(AND(L226=1,J226&lt;&gt;""),IF(IFERROR(COUNTIFS(J$3:J226,"="&amp;SUBSTITUTE(SUBSTITUTE(SUBSTITUTE(J226,"~","~~"),"*","~*"),"?","~?"),L$3:L226,1),0)=1,MAX(V$2:V225)+1,""),"")</f>
        <v/>
      </c>
      <c r="W226" s="25">
        <f>IF(V226="","",COUNTIFS($J$3:$J$1002,"="&amp;SUBSTITUTE(SUBSTITUTE(SUBSTITUTE(J226,"~","~~"),"*","~*"),"?","~?"),$L$3:$L$1002,1)*10000-V226)</f>
        <v/>
      </c>
    </row>
    <row r="227">
      <c r="A227">
        <f>IF(A$2=0,"",IFERROR(TRIM(INDEX('Pegar estudiantes'!$A$1:$BZ$1001,226,A$2)&amp;""),""))</f>
        <v/>
      </c>
      <c r="B227">
        <f>IF(B$2=0,"",IFERROR(TRIM(INDEX('Pegar estudiantes'!$A$1:$BZ$1001,226,B$2)&amp;""),""))</f>
        <v/>
      </c>
      <c r="C227">
        <f>IF(C$2=0,"",IFERROR(TRIM(INDEX('Pegar estudiantes'!$A$1:$BZ$1001,226,C$2)&amp;""),""))</f>
        <v/>
      </c>
      <c r="D227">
        <f>IF(D$2=0,"",IFERROR(TRIM(INDEX('Pegar estudiantes'!$A$1:$BZ$1001,226,D$2)&amp;""),""))</f>
        <v/>
      </c>
      <c r="E227">
        <f>IF(E$2=0,"",IFERROR(TRIM(INDEX('Pegar estudiantes'!$A$1:$BZ$1001,226,E$2)&amp;""),""))</f>
        <v/>
      </c>
      <c r="F227">
        <f>IF(F$2=0,"",IFERROR(TRIM(INDEX('Pegar estudiantes'!$A$1:$BZ$1001,226,F$2)&amp;""),""))</f>
        <v/>
      </c>
      <c r="G227">
        <f>IF(G$2=0,"",IFERROR(TRIM(INDEX('Pegar estudiantes'!$A$1:$BZ$1001,226,G$2)&amp;""),""))</f>
        <v/>
      </c>
      <c r="H227">
        <f>IF(H$2=0,"",IFERROR(TRIM(INDEX('Pegar estudiantes'!$A$1:$BZ$1001,226,H$2)&amp;""),""))</f>
        <v/>
      </c>
      <c r="I227">
        <f>IF(I$2=0,"",IFERROR(TRIM(INDEX('Pegar estudiantes'!$A$1:$BZ$1001,226,I$2)&amp;""),""))</f>
        <v/>
      </c>
      <c r="J227">
        <f>IF(J$2=0,"",IFERROR(TRIM(INDEX('Pegar estudiantes'!$A$1:$BZ$1001,226,J$2)&amp;""),""))</f>
        <v/>
      </c>
      <c r="K227">
        <f>IF(K$2=0,"",IFERROR(TRIM(INDEX('Pegar estudiantes'!$A$1:$BZ$1001,226,K$2)&amp;""),""))</f>
        <v/>
      </c>
      <c r="L227" s="25">
        <f>IF(A227&lt;&gt;"",1,"")</f>
        <v/>
      </c>
      <c r="M227" s="25">
        <f>IF(L227=1,IF(ISNUMBER(FIND("#"&amp;MID(A227,1,1)&amp;"#","#0#1#2#3#4#5#6#7#8#9#")),IF(ISNUMBER(FIND("#"&amp;MID(A227,2,1)&amp;"#","#0#1#2#3#4#5#6#7#8#9#")),IF(AND(VALUE(LEFT(A227,2))&gt;=1,VALUE(LEFT(A227,2))&lt;=5),VALUE(LEFT(A227,2)),""),IF(AND(VALUE(LEFT(A227,1))&gt;=1,VALUE(LEFT(A227,1))&lt;=5),VALUE(LEFT(A227,1)),"")),""),"")</f>
        <v/>
      </c>
      <c r="N227" s="25">
        <f>IF(L227=1,IF(ISNUMBER(FIND("#"&amp;MID(H227,1,1)&amp;"#","#0#1#2#3#4#5#6#7#8#9#")),IF(ISNUMBER(FIND("#"&amp;MID(H227,2,1)&amp;"#","#0#1#2#3#4#5#6#7#8#9#")),IF(AND(VALUE(LEFT(H227,2))&gt;=1,VALUE(LEFT(H227,2))&lt;=5),VALUE(LEFT(H227,2)),""),IF(AND(VALUE(LEFT(H227,1))&gt;=1,VALUE(LEFT(H227,1))&lt;=5),VALUE(LEFT(H227,1)),"")),""),"")</f>
        <v/>
      </c>
      <c r="O227" s="25">
        <f>IF(AND(L227=1,B227&lt;&gt;""),SUBSTITUTE(SUBSTITUTE(SUBSTITUTE(SUBSTITUTE(SUBSTITUTE(SUBSTITUTE(SUBSTITUTE(SUBSTITUTE(SUBSTITUTE(SUBSTITUTE(SUBSTITUTE(SUBSTITUTE(LOWER(TRIM(B227)),"á","a"),"é","e"),"í","i"),"ó","o"),"ú","u"),"ü","u"),"ñ","n"),"à","a"),"è","e"),"ì","i"),"ò","o"),"ù","u"),"")</f>
        <v/>
      </c>
      <c r="P227" s="25">
        <f>IF(AND(L227=1,C227&lt;&gt;""),SUBSTITUTE(SUBSTITUTE(SUBSTITUTE(SUBSTITUTE(SUBSTITUTE(SUBSTITUTE(SUBSTITUTE(SUBSTITUTE(SUBSTITUTE(SUBSTITUTE(SUBSTITUTE(SUBSTITUTE(LOWER(TRIM(C227)),"á","a"),"é","e"),"í","i"),"ó","o"),"ú","u"),"ü","u"),"ñ","n"),"à","a"),"è","e"),"ì","i"),"ò","o"),"ù","u"),"")</f>
        <v/>
      </c>
      <c r="Q227" s="25">
        <f>IF(AND(L227=1,E227&lt;&gt;""),SUBSTITUTE(SUBSTITUTE(SUBSTITUTE(SUBSTITUTE(SUBSTITUTE(SUBSTITUTE(SUBSTITUTE(SUBSTITUTE(SUBSTITUTE(SUBSTITUTE(SUBSTITUTE(SUBSTITUTE(LOWER(TRIM(E227)),"á","a"),"é","e"),"í","i"),"ó","o"),"ú","u"),"ü","u"),"ñ","n"),"à","a"),"è","e"),"ì","i"),"ò","o"),"ù","u"),"")</f>
        <v/>
      </c>
      <c r="R227" s="25">
        <f>IF(AND(L227=1,I227&lt;&gt;""),SUBSTITUTE(SUBSTITUTE(SUBSTITUTE(SUBSTITUTE(SUBSTITUTE(SUBSTITUTE(SUBSTITUTE(SUBSTITUTE(SUBSTITUTE(SUBSTITUTE(SUBSTITUTE(SUBSTITUTE(LOWER(TRIM(I227)),"á","a"),"é","e"),"í","i"),"ó","o"),"ú","u"),"ü","u"),"ñ","n"),"à","a"),"è","e"),"ì","i"),"ò","o"),"ù","u"),"")</f>
        <v/>
      </c>
      <c r="S227" s="25">
        <f>IF(R227="","",IF(OR(R227="si",R227="tal vez"),1,0))</f>
        <v/>
      </c>
      <c r="T227" s="25">
        <f>IF(AND(L227=1,D227&lt;&gt;""),IF(IFERROR(COUNTIFS(D$3:D227,"="&amp;SUBSTITUTE(SUBSTITUTE(SUBSTITUTE(D227,"~","~~"),"*","~*"),"?","~?"),L$3:L227,1),0)=1,MAX(T$2:T226)+1,""),"")</f>
        <v/>
      </c>
      <c r="U227" s="25">
        <f>IF(T227="","",COUNTIFS($D$3:$D$1002,"="&amp;SUBSTITUTE(SUBSTITUTE(SUBSTITUTE(D227,"~","~~"),"*","~*"),"?","~?"),$L$3:$L$1002,1)*10000-T227)</f>
        <v/>
      </c>
      <c r="V227" s="25">
        <f>IF(AND(L227=1,J227&lt;&gt;""),IF(IFERROR(COUNTIFS(J$3:J227,"="&amp;SUBSTITUTE(SUBSTITUTE(SUBSTITUTE(J227,"~","~~"),"*","~*"),"?","~?"),L$3:L227,1),0)=1,MAX(V$2:V226)+1,""),"")</f>
        <v/>
      </c>
      <c r="W227" s="25">
        <f>IF(V227="","",COUNTIFS($J$3:$J$1002,"="&amp;SUBSTITUTE(SUBSTITUTE(SUBSTITUTE(J227,"~","~~"),"*","~*"),"?","~?"),$L$3:$L$1002,1)*10000-V227)</f>
        <v/>
      </c>
    </row>
    <row r="228">
      <c r="A228">
        <f>IF(A$2=0,"",IFERROR(TRIM(INDEX('Pegar estudiantes'!$A$1:$BZ$1001,227,A$2)&amp;""),""))</f>
        <v/>
      </c>
      <c r="B228">
        <f>IF(B$2=0,"",IFERROR(TRIM(INDEX('Pegar estudiantes'!$A$1:$BZ$1001,227,B$2)&amp;""),""))</f>
        <v/>
      </c>
      <c r="C228">
        <f>IF(C$2=0,"",IFERROR(TRIM(INDEX('Pegar estudiantes'!$A$1:$BZ$1001,227,C$2)&amp;""),""))</f>
        <v/>
      </c>
      <c r="D228">
        <f>IF(D$2=0,"",IFERROR(TRIM(INDEX('Pegar estudiantes'!$A$1:$BZ$1001,227,D$2)&amp;""),""))</f>
        <v/>
      </c>
      <c r="E228">
        <f>IF(E$2=0,"",IFERROR(TRIM(INDEX('Pegar estudiantes'!$A$1:$BZ$1001,227,E$2)&amp;""),""))</f>
        <v/>
      </c>
      <c r="F228">
        <f>IF(F$2=0,"",IFERROR(TRIM(INDEX('Pegar estudiantes'!$A$1:$BZ$1001,227,F$2)&amp;""),""))</f>
        <v/>
      </c>
      <c r="G228">
        <f>IF(G$2=0,"",IFERROR(TRIM(INDEX('Pegar estudiantes'!$A$1:$BZ$1001,227,G$2)&amp;""),""))</f>
        <v/>
      </c>
      <c r="H228">
        <f>IF(H$2=0,"",IFERROR(TRIM(INDEX('Pegar estudiantes'!$A$1:$BZ$1001,227,H$2)&amp;""),""))</f>
        <v/>
      </c>
      <c r="I228">
        <f>IF(I$2=0,"",IFERROR(TRIM(INDEX('Pegar estudiantes'!$A$1:$BZ$1001,227,I$2)&amp;""),""))</f>
        <v/>
      </c>
      <c r="J228">
        <f>IF(J$2=0,"",IFERROR(TRIM(INDEX('Pegar estudiantes'!$A$1:$BZ$1001,227,J$2)&amp;""),""))</f>
        <v/>
      </c>
      <c r="K228">
        <f>IF(K$2=0,"",IFERROR(TRIM(INDEX('Pegar estudiantes'!$A$1:$BZ$1001,227,K$2)&amp;""),""))</f>
        <v/>
      </c>
      <c r="L228" s="25">
        <f>IF(A228&lt;&gt;"",1,"")</f>
        <v/>
      </c>
      <c r="M228" s="25">
        <f>IF(L228=1,IF(ISNUMBER(FIND("#"&amp;MID(A228,1,1)&amp;"#","#0#1#2#3#4#5#6#7#8#9#")),IF(ISNUMBER(FIND("#"&amp;MID(A228,2,1)&amp;"#","#0#1#2#3#4#5#6#7#8#9#")),IF(AND(VALUE(LEFT(A228,2))&gt;=1,VALUE(LEFT(A228,2))&lt;=5),VALUE(LEFT(A228,2)),""),IF(AND(VALUE(LEFT(A228,1))&gt;=1,VALUE(LEFT(A228,1))&lt;=5),VALUE(LEFT(A228,1)),"")),""),"")</f>
        <v/>
      </c>
      <c r="N228" s="25">
        <f>IF(L228=1,IF(ISNUMBER(FIND("#"&amp;MID(H228,1,1)&amp;"#","#0#1#2#3#4#5#6#7#8#9#")),IF(ISNUMBER(FIND("#"&amp;MID(H228,2,1)&amp;"#","#0#1#2#3#4#5#6#7#8#9#")),IF(AND(VALUE(LEFT(H228,2))&gt;=1,VALUE(LEFT(H228,2))&lt;=5),VALUE(LEFT(H228,2)),""),IF(AND(VALUE(LEFT(H228,1))&gt;=1,VALUE(LEFT(H228,1))&lt;=5),VALUE(LEFT(H228,1)),"")),""),"")</f>
        <v/>
      </c>
      <c r="O228" s="25">
        <f>IF(AND(L228=1,B228&lt;&gt;""),SUBSTITUTE(SUBSTITUTE(SUBSTITUTE(SUBSTITUTE(SUBSTITUTE(SUBSTITUTE(SUBSTITUTE(SUBSTITUTE(SUBSTITUTE(SUBSTITUTE(SUBSTITUTE(SUBSTITUTE(LOWER(TRIM(B228)),"á","a"),"é","e"),"í","i"),"ó","o"),"ú","u"),"ü","u"),"ñ","n"),"à","a"),"è","e"),"ì","i"),"ò","o"),"ù","u"),"")</f>
        <v/>
      </c>
      <c r="P228" s="25">
        <f>IF(AND(L228=1,C228&lt;&gt;""),SUBSTITUTE(SUBSTITUTE(SUBSTITUTE(SUBSTITUTE(SUBSTITUTE(SUBSTITUTE(SUBSTITUTE(SUBSTITUTE(SUBSTITUTE(SUBSTITUTE(SUBSTITUTE(SUBSTITUTE(LOWER(TRIM(C228)),"á","a"),"é","e"),"í","i"),"ó","o"),"ú","u"),"ü","u"),"ñ","n"),"à","a"),"è","e"),"ì","i"),"ò","o"),"ù","u"),"")</f>
        <v/>
      </c>
      <c r="Q228" s="25">
        <f>IF(AND(L228=1,E228&lt;&gt;""),SUBSTITUTE(SUBSTITUTE(SUBSTITUTE(SUBSTITUTE(SUBSTITUTE(SUBSTITUTE(SUBSTITUTE(SUBSTITUTE(SUBSTITUTE(SUBSTITUTE(SUBSTITUTE(SUBSTITUTE(LOWER(TRIM(E228)),"á","a"),"é","e"),"í","i"),"ó","o"),"ú","u"),"ü","u"),"ñ","n"),"à","a"),"è","e"),"ì","i"),"ò","o"),"ù","u"),"")</f>
        <v/>
      </c>
      <c r="R228" s="25">
        <f>IF(AND(L228=1,I228&lt;&gt;""),SUBSTITUTE(SUBSTITUTE(SUBSTITUTE(SUBSTITUTE(SUBSTITUTE(SUBSTITUTE(SUBSTITUTE(SUBSTITUTE(SUBSTITUTE(SUBSTITUTE(SUBSTITUTE(SUBSTITUTE(LOWER(TRIM(I228)),"á","a"),"é","e"),"í","i"),"ó","o"),"ú","u"),"ü","u"),"ñ","n"),"à","a"),"è","e"),"ì","i"),"ò","o"),"ù","u"),"")</f>
        <v/>
      </c>
      <c r="S228" s="25">
        <f>IF(R228="","",IF(OR(R228="si",R228="tal vez"),1,0))</f>
        <v/>
      </c>
      <c r="T228" s="25">
        <f>IF(AND(L228=1,D228&lt;&gt;""),IF(IFERROR(COUNTIFS(D$3:D228,"="&amp;SUBSTITUTE(SUBSTITUTE(SUBSTITUTE(D228,"~","~~"),"*","~*"),"?","~?"),L$3:L228,1),0)=1,MAX(T$2:T227)+1,""),"")</f>
        <v/>
      </c>
      <c r="U228" s="25">
        <f>IF(T228="","",COUNTIFS($D$3:$D$1002,"="&amp;SUBSTITUTE(SUBSTITUTE(SUBSTITUTE(D228,"~","~~"),"*","~*"),"?","~?"),$L$3:$L$1002,1)*10000-T228)</f>
        <v/>
      </c>
      <c r="V228" s="25">
        <f>IF(AND(L228=1,J228&lt;&gt;""),IF(IFERROR(COUNTIFS(J$3:J228,"="&amp;SUBSTITUTE(SUBSTITUTE(SUBSTITUTE(J228,"~","~~"),"*","~*"),"?","~?"),L$3:L228,1),0)=1,MAX(V$2:V227)+1,""),"")</f>
        <v/>
      </c>
      <c r="W228" s="25">
        <f>IF(V228="","",COUNTIFS($J$3:$J$1002,"="&amp;SUBSTITUTE(SUBSTITUTE(SUBSTITUTE(J228,"~","~~"),"*","~*"),"?","~?"),$L$3:$L$1002,1)*10000-V228)</f>
        <v/>
      </c>
    </row>
    <row r="229">
      <c r="A229">
        <f>IF(A$2=0,"",IFERROR(TRIM(INDEX('Pegar estudiantes'!$A$1:$BZ$1001,228,A$2)&amp;""),""))</f>
        <v/>
      </c>
      <c r="B229">
        <f>IF(B$2=0,"",IFERROR(TRIM(INDEX('Pegar estudiantes'!$A$1:$BZ$1001,228,B$2)&amp;""),""))</f>
        <v/>
      </c>
      <c r="C229">
        <f>IF(C$2=0,"",IFERROR(TRIM(INDEX('Pegar estudiantes'!$A$1:$BZ$1001,228,C$2)&amp;""),""))</f>
        <v/>
      </c>
      <c r="D229">
        <f>IF(D$2=0,"",IFERROR(TRIM(INDEX('Pegar estudiantes'!$A$1:$BZ$1001,228,D$2)&amp;""),""))</f>
        <v/>
      </c>
      <c r="E229">
        <f>IF(E$2=0,"",IFERROR(TRIM(INDEX('Pegar estudiantes'!$A$1:$BZ$1001,228,E$2)&amp;""),""))</f>
        <v/>
      </c>
      <c r="F229">
        <f>IF(F$2=0,"",IFERROR(TRIM(INDEX('Pegar estudiantes'!$A$1:$BZ$1001,228,F$2)&amp;""),""))</f>
        <v/>
      </c>
      <c r="G229">
        <f>IF(G$2=0,"",IFERROR(TRIM(INDEX('Pegar estudiantes'!$A$1:$BZ$1001,228,G$2)&amp;""),""))</f>
        <v/>
      </c>
      <c r="H229">
        <f>IF(H$2=0,"",IFERROR(TRIM(INDEX('Pegar estudiantes'!$A$1:$BZ$1001,228,H$2)&amp;""),""))</f>
        <v/>
      </c>
      <c r="I229">
        <f>IF(I$2=0,"",IFERROR(TRIM(INDEX('Pegar estudiantes'!$A$1:$BZ$1001,228,I$2)&amp;""),""))</f>
        <v/>
      </c>
      <c r="J229">
        <f>IF(J$2=0,"",IFERROR(TRIM(INDEX('Pegar estudiantes'!$A$1:$BZ$1001,228,J$2)&amp;""),""))</f>
        <v/>
      </c>
      <c r="K229">
        <f>IF(K$2=0,"",IFERROR(TRIM(INDEX('Pegar estudiantes'!$A$1:$BZ$1001,228,K$2)&amp;""),""))</f>
        <v/>
      </c>
      <c r="L229" s="25">
        <f>IF(A229&lt;&gt;"",1,"")</f>
        <v/>
      </c>
      <c r="M229" s="25">
        <f>IF(L229=1,IF(ISNUMBER(FIND("#"&amp;MID(A229,1,1)&amp;"#","#0#1#2#3#4#5#6#7#8#9#")),IF(ISNUMBER(FIND("#"&amp;MID(A229,2,1)&amp;"#","#0#1#2#3#4#5#6#7#8#9#")),IF(AND(VALUE(LEFT(A229,2))&gt;=1,VALUE(LEFT(A229,2))&lt;=5),VALUE(LEFT(A229,2)),""),IF(AND(VALUE(LEFT(A229,1))&gt;=1,VALUE(LEFT(A229,1))&lt;=5),VALUE(LEFT(A229,1)),"")),""),"")</f>
        <v/>
      </c>
      <c r="N229" s="25">
        <f>IF(L229=1,IF(ISNUMBER(FIND("#"&amp;MID(H229,1,1)&amp;"#","#0#1#2#3#4#5#6#7#8#9#")),IF(ISNUMBER(FIND("#"&amp;MID(H229,2,1)&amp;"#","#0#1#2#3#4#5#6#7#8#9#")),IF(AND(VALUE(LEFT(H229,2))&gt;=1,VALUE(LEFT(H229,2))&lt;=5),VALUE(LEFT(H229,2)),""),IF(AND(VALUE(LEFT(H229,1))&gt;=1,VALUE(LEFT(H229,1))&lt;=5),VALUE(LEFT(H229,1)),"")),""),"")</f>
        <v/>
      </c>
      <c r="O229" s="25">
        <f>IF(AND(L229=1,B229&lt;&gt;""),SUBSTITUTE(SUBSTITUTE(SUBSTITUTE(SUBSTITUTE(SUBSTITUTE(SUBSTITUTE(SUBSTITUTE(SUBSTITUTE(SUBSTITUTE(SUBSTITUTE(SUBSTITUTE(SUBSTITUTE(LOWER(TRIM(B229)),"á","a"),"é","e"),"í","i"),"ó","o"),"ú","u"),"ü","u"),"ñ","n"),"à","a"),"è","e"),"ì","i"),"ò","o"),"ù","u"),"")</f>
        <v/>
      </c>
      <c r="P229" s="25">
        <f>IF(AND(L229=1,C229&lt;&gt;""),SUBSTITUTE(SUBSTITUTE(SUBSTITUTE(SUBSTITUTE(SUBSTITUTE(SUBSTITUTE(SUBSTITUTE(SUBSTITUTE(SUBSTITUTE(SUBSTITUTE(SUBSTITUTE(SUBSTITUTE(LOWER(TRIM(C229)),"á","a"),"é","e"),"í","i"),"ó","o"),"ú","u"),"ü","u"),"ñ","n"),"à","a"),"è","e"),"ì","i"),"ò","o"),"ù","u"),"")</f>
        <v/>
      </c>
      <c r="Q229" s="25">
        <f>IF(AND(L229=1,E229&lt;&gt;""),SUBSTITUTE(SUBSTITUTE(SUBSTITUTE(SUBSTITUTE(SUBSTITUTE(SUBSTITUTE(SUBSTITUTE(SUBSTITUTE(SUBSTITUTE(SUBSTITUTE(SUBSTITUTE(SUBSTITUTE(LOWER(TRIM(E229)),"á","a"),"é","e"),"í","i"),"ó","o"),"ú","u"),"ü","u"),"ñ","n"),"à","a"),"è","e"),"ì","i"),"ò","o"),"ù","u"),"")</f>
        <v/>
      </c>
      <c r="R229" s="25">
        <f>IF(AND(L229=1,I229&lt;&gt;""),SUBSTITUTE(SUBSTITUTE(SUBSTITUTE(SUBSTITUTE(SUBSTITUTE(SUBSTITUTE(SUBSTITUTE(SUBSTITUTE(SUBSTITUTE(SUBSTITUTE(SUBSTITUTE(SUBSTITUTE(LOWER(TRIM(I229)),"á","a"),"é","e"),"í","i"),"ó","o"),"ú","u"),"ü","u"),"ñ","n"),"à","a"),"è","e"),"ì","i"),"ò","o"),"ù","u"),"")</f>
        <v/>
      </c>
      <c r="S229" s="25">
        <f>IF(R229="","",IF(OR(R229="si",R229="tal vez"),1,0))</f>
        <v/>
      </c>
      <c r="T229" s="25">
        <f>IF(AND(L229=1,D229&lt;&gt;""),IF(IFERROR(COUNTIFS(D$3:D229,"="&amp;SUBSTITUTE(SUBSTITUTE(SUBSTITUTE(D229,"~","~~"),"*","~*"),"?","~?"),L$3:L229,1),0)=1,MAX(T$2:T228)+1,""),"")</f>
        <v/>
      </c>
      <c r="U229" s="25">
        <f>IF(T229="","",COUNTIFS($D$3:$D$1002,"="&amp;SUBSTITUTE(SUBSTITUTE(SUBSTITUTE(D229,"~","~~"),"*","~*"),"?","~?"),$L$3:$L$1002,1)*10000-T229)</f>
        <v/>
      </c>
      <c r="V229" s="25">
        <f>IF(AND(L229=1,J229&lt;&gt;""),IF(IFERROR(COUNTIFS(J$3:J229,"="&amp;SUBSTITUTE(SUBSTITUTE(SUBSTITUTE(J229,"~","~~"),"*","~*"),"?","~?"),L$3:L229,1),0)=1,MAX(V$2:V228)+1,""),"")</f>
        <v/>
      </c>
      <c r="W229" s="25">
        <f>IF(V229="","",COUNTIFS($J$3:$J$1002,"="&amp;SUBSTITUTE(SUBSTITUTE(SUBSTITUTE(J229,"~","~~"),"*","~*"),"?","~?"),$L$3:$L$1002,1)*10000-V229)</f>
        <v/>
      </c>
    </row>
    <row r="230">
      <c r="A230">
        <f>IF(A$2=0,"",IFERROR(TRIM(INDEX('Pegar estudiantes'!$A$1:$BZ$1001,229,A$2)&amp;""),""))</f>
        <v/>
      </c>
      <c r="B230">
        <f>IF(B$2=0,"",IFERROR(TRIM(INDEX('Pegar estudiantes'!$A$1:$BZ$1001,229,B$2)&amp;""),""))</f>
        <v/>
      </c>
      <c r="C230">
        <f>IF(C$2=0,"",IFERROR(TRIM(INDEX('Pegar estudiantes'!$A$1:$BZ$1001,229,C$2)&amp;""),""))</f>
        <v/>
      </c>
      <c r="D230">
        <f>IF(D$2=0,"",IFERROR(TRIM(INDEX('Pegar estudiantes'!$A$1:$BZ$1001,229,D$2)&amp;""),""))</f>
        <v/>
      </c>
      <c r="E230">
        <f>IF(E$2=0,"",IFERROR(TRIM(INDEX('Pegar estudiantes'!$A$1:$BZ$1001,229,E$2)&amp;""),""))</f>
        <v/>
      </c>
      <c r="F230">
        <f>IF(F$2=0,"",IFERROR(TRIM(INDEX('Pegar estudiantes'!$A$1:$BZ$1001,229,F$2)&amp;""),""))</f>
        <v/>
      </c>
      <c r="G230">
        <f>IF(G$2=0,"",IFERROR(TRIM(INDEX('Pegar estudiantes'!$A$1:$BZ$1001,229,G$2)&amp;""),""))</f>
        <v/>
      </c>
      <c r="H230">
        <f>IF(H$2=0,"",IFERROR(TRIM(INDEX('Pegar estudiantes'!$A$1:$BZ$1001,229,H$2)&amp;""),""))</f>
        <v/>
      </c>
      <c r="I230">
        <f>IF(I$2=0,"",IFERROR(TRIM(INDEX('Pegar estudiantes'!$A$1:$BZ$1001,229,I$2)&amp;""),""))</f>
        <v/>
      </c>
      <c r="J230">
        <f>IF(J$2=0,"",IFERROR(TRIM(INDEX('Pegar estudiantes'!$A$1:$BZ$1001,229,J$2)&amp;""),""))</f>
        <v/>
      </c>
      <c r="K230">
        <f>IF(K$2=0,"",IFERROR(TRIM(INDEX('Pegar estudiantes'!$A$1:$BZ$1001,229,K$2)&amp;""),""))</f>
        <v/>
      </c>
      <c r="L230" s="25">
        <f>IF(A230&lt;&gt;"",1,"")</f>
        <v/>
      </c>
      <c r="M230" s="25">
        <f>IF(L230=1,IF(ISNUMBER(FIND("#"&amp;MID(A230,1,1)&amp;"#","#0#1#2#3#4#5#6#7#8#9#")),IF(ISNUMBER(FIND("#"&amp;MID(A230,2,1)&amp;"#","#0#1#2#3#4#5#6#7#8#9#")),IF(AND(VALUE(LEFT(A230,2))&gt;=1,VALUE(LEFT(A230,2))&lt;=5),VALUE(LEFT(A230,2)),""),IF(AND(VALUE(LEFT(A230,1))&gt;=1,VALUE(LEFT(A230,1))&lt;=5),VALUE(LEFT(A230,1)),"")),""),"")</f>
        <v/>
      </c>
      <c r="N230" s="25">
        <f>IF(L230=1,IF(ISNUMBER(FIND("#"&amp;MID(H230,1,1)&amp;"#","#0#1#2#3#4#5#6#7#8#9#")),IF(ISNUMBER(FIND("#"&amp;MID(H230,2,1)&amp;"#","#0#1#2#3#4#5#6#7#8#9#")),IF(AND(VALUE(LEFT(H230,2))&gt;=1,VALUE(LEFT(H230,2))&lt;=5),VALUE(LEFT(H230,2)),""),IF(AND(VALUE(LEFT(H230,1))&gt;=1,VALUE(LEFT(H230,1))&lt;=5),VALUE(LEFT(H230,1)),"")),""),"")</f>
        <v/>
      </c>
      <c r="O230" s="25">
        <f>IF(AND(L230=1,B230&lt;&gt;""),SUBSTITUTE(SUBSTITUTE(SUBSTITUTE(SUBSTITUTE(SUBSTITUTE(SUBSTITUTE(SUBSTITUTE(SUBSTITUTE(SUBSTITUTE(SUBSTITUTE(SUBSTITUTE(SUBSTITUTE(LOWER(TRIM(B230)),"á","a"),"é","e"),"í","i"),"ó","o"),"ú","u"),"ü","u"),"ñ","n"),"à","a"),"è","e"),"ì","i"),"ò","o"),"ù","u"),"")</f>
        <v/>
      </c>
      <c r="P230" s="25">
        <f>IF(AND(L230=1,C230&lt;&gt;""),SUBSTITUTE(SUBSTITUTE(SUBSTITUTE(SUBSTITUTE(SUBSTITUTE(SUBSTITUTE(SUBSTITUTE(SUBSTITUTE(SUBSTITUTE(SUBSTITUTE(SUBSTITUTE(SUBSTITUTE(LOWER(TRIM(C230)),"á","a"),"é","e"),"í","i"),"ó","o"),"ú","u"),"ü","u"),"ñ","n"),"à","a"),"è","e"),"ì","i"),"ò","o"),"ù","u"),"")</f>
        <v/>
      </c>
      <c r="Q230" s="25">
        <f>IF(AND(L230=1,E230&lt;&gt;""),SUBSTITUTE(SUBSTITUTE(SUBSTITUTE(SUBSTITUTE(SUBSTITUTE(SUBSTITUTE(SUBSTITUTE(SUBSTITUTE(SUBSTITUTE(SUBSTITUTE(SUBSTITUTE(SUBSTITUTE(LOWER(TRIM(E230)),"á","a"),"é","e"),"í","i"),"ó","o"),"ú","u"),"ü","u"),"ñ","n"),"à","a"),"è","e"),"ì","i"),"ò","o"),"ù","u"),"")</f>
        <v/>
      </c>
      <c r="R230" s="25">
        <f>IF(AND(L230=1,I230&lt;&gt;""),SUBSTITUTE(SUBSTITUTE(SUBSTITUTE(SUBSTITUTE(SUBSTITUTE(SUBSTITUTE(SUBSTITUTE(SUBSTITUTE(SUBSTITUTE(SUBSTITUTE(SUBSTITUTE(SUBSTITUTE(LOWER(TRIM(I230)),"á","a"),"é","e"),"í","i"),"ó","o"),"ú","u"),"ü","u"),"ñ","n"),"à","a"),"è","e"),"ì","i"),"ò","o"),"ù","u"),"")</f>
        <v/>
      </c>
      <c r="S230" s="25">
        <f>IF(R230="","",IF(OR(R230="si",R230="tal vez"),1,0))</f>
        <v/>
      </c>
      <c r="T230" s="25">
        <f>IF(AND(L230=1,D230&lt;&gt;""),IF(IFERROR(COUNTIFS(D$3:D230,"="&amp;SUBSTITUTE(SUBSTITUTE(SUBSTITUTE(D230,"~","~~"),"*","~*"),"?","~?"),L$3:L230,1),0)=1,MAX(T$2:T229)+1,""),"")</f>
        <v/>
      </c>
      <c r="U230" s="25">
        <f>IF(T230="","",COUNTIFS($D$3:$D$1002,"="&amp;SUBSTITUTE(SUBSTITUTE(SUBSTITUTE(D230,"~","~~"),"*","~*"),"?","~?"),$L$3:$L$1002,1)*10000-T230)</f>
        <v/>
      </c>
      <c r="V230" s="25">
        <f>IF(AND(L230=1,J230&lt;&gt;""),IF(IFERROR(COUNTIFS(J$3:J230,"="&amp;SUBSTITUTE(SUBSTITUTE(SUBSTITUTE(J230,"~","~~"),"*","~*"),"?","~?"),L$3:L230,1),0)=1,MAX(V$2:V229)+1,""),"")</f>
        <v/>
      </c>
      <c r="W230" s="25">
        <f>IF(V230="","",COUNTIFS($J$3:$J$1002,"="&amp;SUBSTITUTE(SUBSTITUTE(SUBSTITUTE(J230,"~","~~"),"*","~*"),"?","~?"),$L$3:$L$1002,1)*10000-V230)</f>
        <v/>
      </c>
    </row>
    <row r="231">
      <c r="A231">
        <f>IF(A$2=0,"",IFERROR(TRIM(INDEX('Pegar estudiantes'!$A$1:$BZ$1001,230,A$2)&amp;""),""))</f>
        <v/>
      </c>
      <c r="B231">
        <f>IF(B$2=0,"",IFERROR(TRIM(INDEX('Pegar estudiantes'!$A$1:$BZ$1001,230,B$2)&amp;""),""))</f>
        <v/>
      </c>
      <c r="C231">
        <f>IF(C$2=0,"",IFERROR(TRIM(INDEX('Pegar estudiantes'!$A$1:$BZ$1001,230,C$2)&amp;""),""))</f>
        <v/>
      </c>
      <c r="D231">
        <f>IF(D$2=0,"",IFERROR(TRIM(INDEX('Pegar estudiantes'!$A$1:$BZ$1001,230,D$2)&amp;""),""))</f>
        <v/>
      </c>
      <c r="E231">
        <f>IF(E$2=0,"",IFERROR(TRIM(INDEX('Pegar estudiantes'!$A$1:$BZ$1001,230,E$2)&amp;""),""))</f>
        <v/>
      </c>
      <c r="F231">
        <f>IF(F$2=0,"",IFERROR(TRIM(INDEX('Pegar estudiantes'!$A$1:$BZ$1001,230,F$2)&amp;""),""))</f>
        <v/>
      </c>
      <c r="G231">
        <f>IF(G$2=0,"",IFERROR(TRIM(INDEX('Pegar estudiantes'!$A$1:$BZ$1001,230,G$2)&amp;""),""))</f>
        <v/>
      </c>
      <c r="H231">
        <f>IF(H$2=0,"",IFERROR(TRIM(INDEX('Pegar estudiantes'!$A$1:$BZ$1001,230,H$2)&amp;""),""))</f>
        <v/>
      </c>
      <c r="I231">
        <f>IF(I$2=0,"",IFERROR(TRIM(INDEX('Pegar estudiantes'!$A$1:$BZ$1001,230,I$2)&amp;""),""))</f>
        <v/>
      </c>
      <c r="J231">
        <f>IF(J$2=0,"",IFERROR(TRIM(INDEX('Pegar estudiantes'!$A$1:$BZ$1001,230,J$2)&amp;""),""))</f>
        <v/>
      </c>
      <c r="K231">
        <f>IF(K$2=0,"",IFERROR(TRIM(INDEX('Pegar estudiantes'!$A$1:$BZ$1001,230,K$2)&amp;""),""))</f>
        <v/>
      </c>
      <c r="L231" s="25">
        <f>IF(A231&lt;&gt;"",1,"")</f>
        <v/>
      </c>
      <c r="M231" s="25">
        <f>IF(L231=1,IF(ISNUMBER(FIND("#"&amp;MID(A231,1,1)&amp;"#","#0#1#2#3#4#5#6#7#8#9#")),IF(ISNUMBER(FIND("#"&amp;MID(A231,2,1)&amp;"#","#0#1#2#3#4#5#6#7#8#9#")),IF(AND(VALUE(LEFT(A231,2))&gt;=1,VALUE(LEFT(A231,2))&lt;=5),VALUE(LEFT(A231,2)),""),IF(AND(VALUE(LEFT(A231,1))&gt;=1,VALUE(LEFT(A231,1))&lt;=5),VALUE(LEFT(A231,1)),"")),""),"")</f>
        <v/>
      </c>
      <c r="N231" s="25">
        <f>IF(L231=1,IF(ISNUMBER(FIND("#"&amp;MID(H231,1,1)&amp;"#","#0#1#2#3#4#5#6#7#8#9#")),IF(ISNUMBER(FIND("#"&amp;MID(H231,2,1)&amp;"#","#0#1#2#3#4#5#6#7#8#9#")),IF(AND(VALUE(LEFT(H231,2))&gt;=1,VALUE(LEFT(H231,2))&lt;=5),VALUE(LEFT(H231,2)),""),IF(AND(VALUE(LEFT(H231,1))&gt;=1,VALUE(LEFT(H231,1))&lt;=5),VALUE(LEFT(H231,1)),"")),""),"")</f>
        <v/>
      </c>
      <c r="O231" s="25">
        <f>IF(AND(L231=1,B231&lt;&gt;""),SUBSTITUTE(SUBSTITUTE(SUBSTITUTE(SUBSTITUTE(SUBSTITUTE(SUBSTITUTE(SUBSTITUTE(SUBSTITUTE(SUBSTITUTE(SUBSTITUTE(SUBSTITUTE(SUBSTITUTE(LOWER(TRIM(B231)),"á","a"),"é","e"),"í","i"),"ó","o"),"ú","u"),"ü","u"),"ñ","n"),"à","a"),"è","e"),"ì","i"),"ò","o"),"ù","u"),"")</f>
        <v/>
      </c>
      <c r="P231" s="25">
        <f>IF(AND(L231=1,C231&lt;&gt;""),SUBSTITUTE(SUBSTITUTE(SUBSTITUTE(SUBSTITUTE(SUBSTITUTE(SUBSTITUTE(SUBSTITUTE(SUBSTITUTE(SUBSTITUTE(SUBSTITUTE(SUBSTITUTE(SUBSTITUTE(LOWER(TRIM(C231)),"á","a"),"é","e"),"í","i"),"ó","o"),"ú","u"),"ü","u"),"ñ","n"),"à","a"),"è","e"),"ì","i"),"ò","o"),"ù","u"),"")</f>
        <v/>
      </c>
      <c r="Q231" s="25">
        <f>IF(AND(L231=1,E231&lt;&gt;""),SUBSTITUTE(SUBSTITUTE(SUBSTITUTE(SUBSTITUTE(SUBSTITUTE(SUBSTITUTE(SUBSTITUTE(SUBSTITUTE(SUBSTITUTE(SUBSTITUTE(SUBSTITUTE(SUBSTITUTE(LOWER(TRIM(E231)),"á","a"),"é","e"),"í","i"),"ó","o"),"ú","u"),"ü","u"),"ñ","n"),"à","a"),"è","e"),"ì","i"),"ò","o"),"ù","u"),"")</f>
        <v/>
      </c>
      <c r="R231" s="25">
        <f>IF(AND(L231=1,I231&lt;&gt;""),SUBSTITUTE(SUBSTITUTE(SUBSTITUTE(SUBSTITUTE(SUBSTITUTE(SUBSTITUTE(SUBSTITUTE(SUBSTITUTE(SUBSTITUTE(SUBSTITUTE(SUBSTITUTE(SUBSTITUTE(LOWER(TRIM(I231)),"á","a"),"é","e"),"í","i"),"ó","o"),"ú","u"),"ü","u"),"ñ","n"),"à","a"),"è","e"),"ì","i"),"ò","o"),"ù","u"),"")</f>
        <v/>
      </c>
      <c r="S231" s="25">
        <f>IF(R231="","",IF(OR(R231="si",R231="tal vez"),1,0))</f>
        <v/>
      </c>
      <c r="T231" s="25">
        <f>IF(AND(L231=1,D231&lt;&gt;""),IF(IFERROR(COUNTIFS(D$3:D231,"="&amp;SUBSTITUTE(SUBSTITUTE(SUBSTITUTE(D231,"~","~~"),"*","~*"),"?","~?"),L$3:L231,1),0)=1,MAX(T$2:T230)+1,""),"")</f>
        <v/>
      </c>
      <c r="U231" s="25">
        <f>IF(T231="","",COUNTIFS($D$3:$D$1002,"="&amp;SUBSTITUTE(SUBSTITUTE(SUBSTITUTE(D231,"~","~~"),"*","~*"),"?","~?"),$L$3:$L$1002,1)*10000-T231)</f>
        <v/>
      </c>
      <c r="V231" s="25">
        <f>IF(AND(L231=1,J231&lt;&gt;""),IF(IFERROR(COUNTIFS(J$3:J231,"="&amp;SUBSTITUTE(SUBSTITUTE(SUBSTITUTE(J231,"~","~~"),"*","~*"),"?","~?"),L$3:L231,1),0)=1,MAX(V$2:V230)+1,""),"")</f>
        <v/>
      </c>
      <c r="W231" s="25">
        <f>IF(V231="","",COUNTIFS($J$3:$J$1002,"="&amp;SUBSTITUTE(SUBSTITUTE(SUBSTITUTE(J231,"~","~~"),"*","~*"),"?","~?"),$L$3:$L$1002,1)*10000-V231)</f>
        <v/>
      </c>
    </row>
    <row r="232">
      <c r="A232">
        <f>IF(A$2=0,"",IFERROR(TRIM(INDEX('Pegar estudiantes'!$A$1:$BZ$1001,231,A$2)&amp;""),""))</f>
        <v/>
      </c>
      <c r="B232">
        <f>IF(B$2=0,"",IFERROR(TRIM(INDEX('Pegar estudiantes'!$A$1:$BZ$1001,231,B$2)&amp;""),""))</f>
        <v/>
      </c>
      <c r="C232">
        <f>IF(C$2=0,"",IFERROR(TRIM(INDEX('Pegar estudiantes'!$A$1:$BZ$1001,231,C$2)&amp;""),""))</f>
        <v/>
      </c>
      <c r="D232">
        <f>IF(D$2=0,"",IFERROR(TRIM(INDEX('Pegar estudiantes'!$A$1:$BZ$1001,231,D$2)&amp;""),""))</f>
        <v/>
      </c>
      <c r="E232">
        <f>IF(E$2=0,"",IFERROR(TRIM(INDEX('Pegar estudiantes'!$A$1:$BZ$1001,231,E$2)&amp;""),""))</f>
        <v/>
      </c>
      <c r="F232">
        <f>IF(F$2=0,"",IFERROR(TRIM(INDEX('Pegar estudiantes'!$A$1:$BZ$1001,231,F$2)&amp;""),""))</f>
        <v/>
      </c>
      <c r="G232">
        <f>IF(G$2=0,"",IFERROR(TRIM(INDEX('Pegar estudiantes'!$A$1:$BZ$1001,231,G$2)&amp;""),""))</f>
        <v/>
      </c>
      <c r="H232">
        <f>IF(H$2=0,"",IFERROR(TRIM(INDEX('Pegar estudiantes'!$A$1:$BZ$1001,231,H$2)&amp;""),""))</f>
        <v/>
      </c>
      <c r="I232">
        <f>IF(I$2=0,"",IFERROR(TRIM(INDEX('Pegar estudiantes'!$A$1:$BZ$1001,231,I$2)&amp;""),""))</f>
        <v/>
      </c>
      <c r="J232">
        <f>IF(J$2=0,"",IFERROR(TRIM(INDEX('Pegar estudiantes'!$A$1:$BZ$1001,231,J$2)&amp;""),""))</f>
        <v/>
      </c>
      <c r="K232">
        <f>IF(K$2=0,"",IFERROR(TRIM(INDEX('Pegar estudiantes'!$A$1:$BZ$1001,231,K$2)&amp;""),""))</f>
        <v/>
      </c>
      <c r="L232" s="25">
        <f>IF(A232&lt;&gt;"",1,"")</f>
        <v/>
      </c>
      <c r="M232" s="25">
        <f>IF(L232=1,IF(ISNUMBER(FIND("#"&amp;MID(A232,1,1)&amp;"#","#0#1#2#3#4#5#6#7#8#9#")),IF(ISNUMBER(FIND("#"&amp;MID(A232,2,1)&amp;"#","#0#1#2#3#4#5#6#7#8#9#")),IF(AND(VALUE(LEFT(A232,2))&gt;=1,VALUE(LEFT(A232,2))&lt;=5),VALUE(LEFT(A232,2)),""),IF(AND(VALUE(LEFT(A232,1))&gt;=1,VALUE(LEFT(A232,1))&lt;=5),VALUE(LEFT(A232,1)),"")),""),"")</f>
        <v/>
      </c>
      <c r="N232" s="25">
        <f>IF(L232=1,IF(ISNUMBER(FIND("#"&amp;MID(H232,1,1)&amp;"#","#0#1#2#3#4#5#6#7#8#9#")),IF(ISNUMBER(FIND("#"&amp;MID(H232,2,1)&amp;"#","#0#1#2#3#4#5#6#7#8#9#")),IF(AND(VALUE(LEFT(H232,2))&gt;=1,VALUE(LEFT(H232,2))&lt;=5),VALUE(LEFT(H232,2)),""),IF(AND(VALUE(LEFT(H232,1))&gt;=1,VALUE(LEFT(H232,1))&lt;=5),VALUE(LEFT(H232,1)),"")),""),"")</f>
        <v/>
      </c>
      <c r="O232" s="25">
        <f>IF(AND(L232=1,B232&lt;&gt;""),SUBSTITUTE(SUBSTITUTE(SUBSTITUTE(SUBSTITUTE(SUBSTITUTE(SUBSTITUTE(SUBSTITUTE(SUBSTITUTE(SUBSTITUTE(SUBSTITUTE(SUBSTITUTE(SUBSTITUTE(LOWER(TRIM(B232)),"á","a"),"é","e"),"í","i"),"ó","o"),"ú","u"),"ü","u"),"ñ","n"),"à","a"),"è","e"),"ì","i"),"ò","o"),"ù","u"),"")</f>
        <v/>
      </c>
      <c r="P232" s="25">
        <f>IF(AND(L232=1,C232&lt;&gt;""),SUBSTITUTE(SUBSTITUTE(SUBSTITUTE(SUBSTITUTE(SUBSTITUTE(SUBSTITUTE(SUBSTITUTE(SUBSTITUTE(SUBSTITUTE(SUBSTITUTE(SUBSTITUTE(SUBSTITUTE(LOWER(TRIM(C232)),"á","a"),"é","e"),"í","i"),"ó","o"),"ú","u"),"ü","u"),"ñ","n"),"à","a"),"è","e"),"ì","i"),"ò","o"),"ù","u"),"")</f>
        <v/>
      </c>
      <c r="Q232" s="25">
        <f>IF(AND(L232=1,E232&lt;&gt;""),SUBSTITUTE(SUBSTITUTE(SUBSTITUTE(SUBSTITUTE(SUBSTITUTE(SUBSTITUTE(SUBSTITUTE(SUBSTITUTE(SUBSTITUTE(SUBSTITUTE(SUBSTITUTE(SUBSTITUTE(LOWER(TRIM(E232)),"á","a"),"é","e"),"í","i"),"ó","o"),"ú","u"),"ü","u"),"ñ","n"),"à","a"),"è","e"),"ì","i"),"ò","o"),"ù","u"),"")</f>
        <v/>
      </c>
      <c r="R232" s="25">
        <f>IF(AND(L232=1,I232&lt;&gt;""),SUBSTITUTE(SUBSTITUTE(SUBSTITUTE(SUBSTITUTE(SUBSTITUTE(SUBSTITUTE(SUBSTITUTE(SUBSTITUTE(SUBSTITUTE(SUBSTITUTE(SUBSTITUTE(SUBSTITUTE(LOWER(TRIM(I232)),"á","a"),"é","e"),"í","i"),"ó","o"),"ú","u"),"ü","u"),"ñ","n"),"à","a"),"è","e"),"ì","i"),"ò","o"),"ù","u"),"")</f>
        <v/>
      </c>
      <c r="S232" s="25">
        <f>IF(R232="","",IF(OR(R232="si",R232="tal vez"),1,0))</f>
        <v/>
      </c>
      <c r="T232" s="25">
        <f>IF(AND(L232=1,D232&lt;&gt;""),IF(IFERROR(COUNTIFS(D$3:D232,"="&amp;SUBSTITUTE(SUBSTITUTE(SUBSTITUTE(D232,"~","~~"),"*","~*"),"?","~?"),L$3:L232,1),0)=1,MAX(T$2:T231)+1,""),"")</f>
        <v/>
      </c>
      <c r="U232" s="25">
        <f>IF(T232="","",COUNTIFS($D$3:$D$1002,"="&amp;SUBSTITUTE(SUBSTITUTE(SUBSTITUTE(D232,"~","~~"),"*","~*"),"?","~?"),$L$3:$L$1002,1)*10000-T232)</f>
        <v/>
      </c>
      <c r="V232" s="25">
        <f>IF(AND(L232=1,J232&lt;&gt;""),IF(IFERROR(COUNTIFS(J$3:J232,"="&amp;SUBSTITUTE(SUBSTITUTE(SUBSTITUTE(J232,"~","~~"),"*","~*"),"?","~?"),L$3:L232,1),0)=1,MAX(V$2:V231)+1,""),"")</f>
        <v/>
      </c>
      <c r="W232" s="25">
        <f>IF(V232="","",COUNTIFS($J$3:$J$1002,"="&amp;SUBSTITUTE(SUBSTITUTE(SUBSTITUTE(J232,"~","~~"),"*","~*"),"?","~?"),$L$3:$L$1002,1)*10000-V232)</f>
        <v/>
      </c>
    </row>
    <row r="233">
      <c r="A233">
        <f>IF(A$2=0,"",IFERROR(TRIM(INDEX('Pegar estudiantes'!$A$1:$BZ$1001,232,A$2)&amp;""),""))</f>
        <v/>
      </c>
      <c r="B233">
        <f>IF(B$2=0,"",IFERROR(TRIM(INDEX('Pegar estudiantes'!$A$1:$BZ$1001,232,B$2)&amp;""),""))</f>
        <v/>
      </c>
      <c r="C233">
        <f>IF(C$2=0,"",IFERROR(TRIM(INDEX('Pegar estudiantes'!$A$1:$BZ$1001,232,C$2)&amp;""),""))</f>
        <v/>
      </c>
      <c r="D233">
        <f>IF(D$2=0,"",IFERROR(TRIM(INDEX('Pegar estudiantes'!$A$1:$BZ$1001,232,D$2)&amp;""),""))</f>
        <v/>
      </c>
      <c r="E233">
        <f>IF(E$2=0,"",IFERROR(TRIM(INDEX('Pegar estudiantes'!$A$1:$BZ$1001,232,E$2)&amp;""),""))</f>
        <v/>
      </c>
      <c r="F233">
        <f>IF(F$2=0,"",IFERROR(TRIM(INDEX('Pegar estudiantes'!$A$1:$BZ$1001,232,F$2)&amp;""),""))</f>
        <v/>
      </c>
      <c r="G233">
        <f>IF(G$2=0,"",IFERROR(TRIM(INDEX('Pegar estudiantes'!$A$1:$BZ$1001,232,G$2)&amp;""),""))</f>
        <v/>
      </c>
      <c r="H233">
        <f>IF(H$2=0,"",IFERROR(TRIM(INDEX('Pegar estudiantes'!$A$1:$BZ$1001,232,H$2)&amp;""),""))</f>
        <v/>
      </c>
      <c r="I233">
        <f>IF(I$2=0,"",IFERROR(TRIM(INDEX('Pegar estudiantes'!$A$1:$BZ$1001,232,I$2)&amp;""),""))</f>
        <v/>
      </c>
      <c r="J233">
        <f>IF(J$2=0,"",IFERROR(TRIM(INDEX('Pegar estudiantes'!$A$1:$BZ$1001,232,J$2)&amp;""),""))</f>
        <v/>
      </c>
      <c r="K233">
        <f>IF(K$2=0,"",IFERROR(TRIM(INDEX('Pegar estudiantes'!$A$1:$BZ$1001,232,K$2)&amp;""),""))</f>
        <v/>
      </c>
      <c r="L233" s="25">
        <f>IF(A233&lt;&gt;"",1,"")</f>
        <v/>
      </c>
      <c r="M233" s="25">
        <f>IF(L233=1,IF(ISNUMBER(FIND("#"&amp;MID(A233,1,1)&amp;"#","#0#1#2#3#4#5#6#7#8#9#")),IF(ISNUMBER(FIND("#"&amp;MID(A233,2,1)&amp;"#","#0#1#2#3#4#5#6#7#8#9#")),IF(AND(VALUE(LEFT(A233,2))&gt;=1,VALUE(LEFT(A233,2))&lt;=5),VALUE(LEFT(A233,2)),""),IF(AND(VALUE(LEFT(A233,1))&gt;=1,VALUE(LEFT(A233,1))&lt;=5),VALUE(LEFT(A233,1)),"")),""),"")</f>
        <v/>
      </c>
      <c r="N233" s="25">
        <f>IF(L233=1,IF(ISNUMBER(FIND("#"&amp;MID(H233,1,1)&amp;"#","#0#1#2#3#4#5#6#7#8#9#")),IF(ISNUMBER(FIND("#"&amp;MID(H233,2,1)&amp;"#","#0#1#2#3#4#5#6#7#8#9#")),IF(AND(VALUE(LEFT(H233,2))&gt;=1,VALUE(LEFT(H233,2))&lt;=5),VALUE(LEFT(H233,2)),""),IF(AND(VALUE(LEFT(H233,1))&gt;=1,VALUE(LEFT(H233,1))&lt;=5),VALUE(LEFT(H233,1)),"")),""),"")</f>
        <v/>
      </c>
      <c r="O233" s="25">
        <f>IF(AND(L233=1,B233&lt;&gt;""),SUBSTITUTE(SUBSTITUTE(SUBSTITUTE(SUBSTITUTE(SUBSTITUTE(SUBSTITUTE(SUBSTITUTE(SUBSTITUTE(SUBSTITUTE(SUBSTITUTE(SUBSTITUTE(SUBSTITUTE(LOWER(TRIM(B233)),"á","a"),"é","e"),"í","i"),"ó","o"),"ú","u"),"ü","u"),"ñ","n"),"à","a"),"è","e"),"ì","i"),"ò","o"),"ù","u"),"")</f>
        <v/>
      </c>
      <c r="P233" s="25">
        <f>IF(AND(L233=1,C233&lt;&gt;""),SUBSTITUTE(SUBSTITUTE(SUBSTITUTE(SUBSTITUTE(SUBSTITUTE(SUBSTITUTE(SUBSTITUTE(SUBSTITUTE(SUBSTITUTE(SUBSTITUTE(SUBSTITUTE(SUBSTITUTE(LOWER(TRIM(C233)),"á","a"),"é","e"),"í","i"),"ó","o"),"ú","u"),"ü","u"),"ñ","n"),"à","a"),"è","e"),"ì","i"),"ò","o"),"ù","u"),"")</f>
        <v/>
      </c>
      <c r="Q233" s="25">
        <f>IF(AND(L233=1,E233&lt;&gt;""),SUBSTITUTE(SUBSTITUTE(SUBSTITUTE(SUBSTITUTE(SUBSTITUTE(SUBSTITUTE(SUBSTITUTE(SUBSTITUTE(SUBSTITUTE(SUBSTITUTE(SUBSTITUTE(SUBSTITUTE(LOWER(TRIM(E233)),"á","a"),"é","e"),"í","i"),"ó","o"),"ú","u"),"ü","u"),"ñ","n"),"à","a"),"è","e"),"ì","i"),"ò","o"),"ù","u"),"")</f>
        <v/>
      </c>
      <c r="R233" s="25">
        <f>IF(AND(L233=1,I233&lt;&gt;""),SUBSTITUTE(SUBSTITUTE(SUBSTITUTE(SUBSTITUTE(SUBSTITUTE(SUBSTITUTE(SUBSTITUTE(SUBSTITUTE(SUBSTITUTE(SUBSTITUTE(SUBSTITUTE(SUBSTITUTE(LOWER(TRIM(I233)),"á","a"),"é","e"),"í","i"),"ó","o"),"ú","u"),"ü","u"),"ñ","n"),"à","a"),"è","e"),"ì","i"),"ò","o"),"ù","u"),"")</f>
        <v/>
      </c>
      <c r="S233" s="25">
        <f>IF(R233="","",IF(OR(R233="si",R233="tal vez"),1,0))</f>
        <v/>
      </c>
      <c r="T233" s="25">
        <f>IF(AND(L233=1,D233&lt;&gt;""),IF(IFERROR(COUNTIFS(D$3:D233,"="&amp;SUBSTITUTE(SUBSTITUTE(SUBSTITUTE(D233,"~","~~"),"*","~*"),"?","~?"),L$3:L233,1),0)=1,MAX(T$2:T232)+1,""),"")</f>
        <v/>
      </c>
      <c r="U233" s="25">
        <f>IF(T233="","",COUNTIFS($D$3:$D$1002,"="&amp;SUBSTITUTE(SUBSTITUTE(SUBSTITUTE(D233,"~","~~"),"*","~*"),"?","~?"),$L$3:$L$1002,1)*10000-T233)</f>
        <v/>
      </c>
      <c r="V233" s="25">
        <f>IF(AND(L233=1,J233&lt;&gt;""),IF(IFERROR(COUNTIFS(J$3:J233,"="&amp;SUBSTITUTE(SUBSTITUTE(SUBSTITUTE(J233,"~","~~"),"*","~*"),"?","~?"),L$3:L233,1),0)=1,MAX(V$2:V232)+1,""),"")</f>
        <v/>
      </c>
      <c r="W233" s="25">
        <f>IF(V233="","",COUNTIFS($J$3:$J$1002,"="&amp;SUBSTITUTE(SUBSTITUTE(SUBSTITUTE(J233,"~","~~"),"*","~*"),"?","~?"),$L$3:$L$1002,1)*10000-V233)</f>
        <v/>
      </c>
    </row>
    <row r="234">
      <c r="A234">
        <f>IF(A$2=0,"",IFERROR(TRIM(INDEX('Pegar estudiantes'!$A$1:$BZ$1001,233,A$2)&amp;""),""))</f>
        <v/>
      </c>
      <c r="B234">
        <f>IF(B$2=0,"",IFERROR(TRIM(INDEX('Pegar estudiantes'!$A$1:$BZ$1001,233,B$2)&amp;""),""))</f>
        <v/>
      </c>
      <c r="C234">
        <f>IF(C$2=0,"",IFERROR(TRIM(INDEX('Pegar estudiantes'!$A$1:$BZ$1001,233,C$2)&amp;""),""))</f>
        <v/>
      </c>
      <c r="D234">
        <f>IF(D$2=0,"",IFERROR(TRIM(INDEX('Pegar estudiantes'!$A$1:$BZ$1001,233,D$2)&amp;""),""))</f>
        <v/>
      </c>
      <c r="E234">
        <f>IF(E$2=0,"",IFERROR(TRIM(INDEX('Pegar estudiantes'!$A$1:$BZ$1001,233,E$2)&amp;""),""))</f>
        <v/>
      </c>
      <c r="F234">
        <f>IF(F$2=0,"",IFERROR(TRIM(INDEX('Pegar estudiantes'!$A$1:$BZ$1001,233,F$2)&amp;""),""))</f>
        <v/>
      </c>
      <c r="G234">
        <f>IF(G$2=0,"",IFERROR(TRIM(INDEX('Pegar estudiantes'!$A$1:$BZ$1001,233,G$2)&amp;""),""))</f>
        <v/>
      </c>
      <c r="H234">
        <f>IF(H$2=0,"",IFERROR(TRIM(INDEX('Pegar estudiantes'!$A$1:$BZ$1001,233,H$2)&amp;""),""))</f>
        <v/>
      </c>
      <c r="I234">
        <f>IF(I$2=0,"",IFERROR(TRIM(INDEX('Pegar estudiantes'!$A$1:$BZ$1001,233,I$2)&amp;""),""))</f>
        <v/>
      </c>
      <c r="J234">
        <f>IF(J$2=0,"",IFERROR(TRIM(INDEX('Pegar estudiantes'!$A$1:$BZ$1001,233,J$2)&amp;""),""))</f>
        <v/>
      </c>
      <c r="K234">
        <f>IF(K$2=0,"",IFERROR(TRIM(INDEX('Pegar estudiantes'!$A$1:$BZ$1001,233,K$2)&amp;""),""))</f>
        <v/>
      </c>
      <c r="L234" s="25">
        <f>IF(A234&lt;&gt;"",1,"")</f>
        <v/>
      </c>
      <c r="M234" s="25">
        <f>IF(L234=1,IF(ISNUMBER(FIND("#"&amp;MID(A234,1,1)&amp;"#","#0#1#2#3#4#5#6#7#8#9#")),IF(ISNUMBER(FIND("#"&amp;MID(A234,2,1)&amp;"#","#0#1#2#3#4#5#6#7#8#9#")),IF(AND(VALUE(LEFT(A234,2))&gt;=1,VALUE(LEFT(A234,2))&lt;=5),VALUE(LEFT(A234,2)),""),IF(AND(VALUE(LEFT(A234,1))&gt;=1,VALUE(LEFT(A234,1))&lt;=5),VALUE(LEFT(A234,1)),"")),""),"")</f>
        <v/>
      </c>
      <c r="N234" s="25">
        <f>IF(L234=1,IF(ISNUMBER(FIND("#"&amp;MID(H234,1,1)&amp;"#","#0#1#2#3#4#5#6#7#8#9#")),IF(ISNUMBER(FIND("#"&amp;MID(H234,2,1)&amp;"#","#0#1#2#3#4#5#6#7#8#9#")),IF(AND(VALUE(LEFT(H234,2))&gt;=1,VALUE(LEFT(H234,2))&lt;=5),VALUE(LEFT(H234,2)),""),IF(AND(VALUE(LEFT(H234,1))&gt;=1,VALUE(LEFT(H234,1))&lt;=5),VALUE(LEFT(H234,1)),"")),""),"")</f>
        <v/>
      </c>
      <c r="O234" s="25">
        <f>IF(AND(L234=1,B234&lt;&gt;""),SUBSTITUTE(SUBSTITUTE(SUBSTITUTE(SUBSTITUTE(SUBSTITUTE(SUBSTITUTE(SUBSTITUTE(SUBSTITUTE(SUBSTITUTE(SUBSTITUTE(SUBSTITUTE(SUBSTITUTE(LOWER(TRIM(B234)),"á","a"),"é","e"),"í","i"),"ó","o"),"ú","u"),"ü","u"),"ñ","n"),"à","a"),"è","e"),"ì","i"),"ò","o"),"ù","u"),"")</f>
        <v/>
      </c>
      <c r="P234" s="25">
        <f>IF(AND(L234=1,C234&lt;&gt;""),SUBSTITUTE(SUBSTITUTE(SUBSTITUTE(SUBSTITUTE(SUBSTITUTE(SUBSTITUTE(SUBSTITUTE(SUBSTITUTE(SUBSTITUTE(SUBSTITUTE(SUBSTITUTE(SUBSTITUTE(LOWER(TRIM(C234)),"á","a"),"é","e"),"í","i"),"ó","o"),"ú","u"),"ü","u"),"ñ","n"),"à","a"),"è","e"),"ì","i"),"ò","o"),"ù","u"),"")</f>
        <v/>
      </c>
      <c r="Q234" s="25">
        <f>IF(AND(L234=1,E234&lt;&gt;""),SUBSTITUTE(SUBSTITUTE(SUBSTITUTE(SUBSTITUTE(SUBSTITUTE(SUBSTITUTE(SUBSTITUTE(SUBSTITUTE(SUBSTITUTE(SUBSTITUTE(SUBSTITUTE(SUBSTITUTE(LOWER(TRIM(E234)),"á","a"),"é","e"),"í","i"),"ó","o"),"ú","u"),"ü","u"),"ñ","n"),"à","a"),"è","e"),"ì","i"),"ò","o"),"ù","u"),"")</f>
        <v/>
      </c>
      <c r="R234" s="25">
        <f>IF(AND(L234=1,I234&lt;&gt;""),SUBSTITUTE(SUBSTITUTE(SUBSTITUTE(SUBSTITUTE(SUBSTITUTE(SUBSTITUTE(SUBSTITUTE(SUBSTITUTE(SUBSTITUTE(SUBSTITUTE(SUBSTITUTE(SUBSTITUTE(LOWER(TRIM(I234)),"á","a"),"é","e"),"í","i"),"ó","o"),"ú","u"),"ü","u"),"ñ","n"),"à","a"),"è","e"),"ì","i"),"ò","o"),"ù","u"),"")</f>
        <v/>
      </c>
      <c r="S234" s="25">
        <f>IF(R234="","",IF(OR(R234="si",R234="tal vez"),1,0))</f>
        <v/>
      </c>
      <c r="T234" s="25">
        <f>IF(AND(L234=1,D234&lt;&gt;""),IF(IFERROR(COUNTIFS(D$3:D234,"="&amp;SUBSTITUTE(SUBSTITUTE(SUBSTITUTE(D234,"~","~~"),"*","~*"),"?","~?"),L$3:L234,1),0)=1,MAX(T$2:T233)+1,""),"")</f>
        <v/>
      </c>
      <c r="U234" s="25">
        <f>IF(T234="","",COUNTIFS($D$3:$D$1002,"="&amp;SUBSTITUTE(SUBSTITUTE(SUBSTITUTE(D234,"~","~~"),"*","~*"),"?","~?"),$L$3:$L$1002,1)*10000-T234)</f>
        <v/>
      </c>
      <c r="V234" s="25">
        <f>IF(AND(L234=1,J234&lt;&gt;""),IF(IFERROR(COUNTIFS(J$3:J234,"="&amp;SUBSTITUTE(SUBSTITUTE(SUBSTITUTE(J234,"~","~~"),"*","~*"),"?","~?"),L$3:L234,1),0)=1,MAX(V$2:V233)+1,""),"")</f>
        <v/>
      </c>
      <c r="W234" s="25">
        <f>IF(V234="","",COUNTIFS($J$3:$J$1002,"="&amp;SUBSTITUTE(SUBSTITUTE(SUBSTITUTE(J234,"~","~~"),"*","~*"),"?","~?"),$L$3:$L$1002,1)*10000-V234)</f>
        <v/>
      </c>
    </row>
    <row r="235">
      <c r="A235">
        <f>IF(A$2=0,"",IFERROR(TRIM(INDEX('Pegar estudiantes'!$A$1:$BZ$1001,234,A$2)&amp;""),""))</f>
        <v/>
      </c>
      <c r="B235">
        <f>IF(B$2=0,"",IFERROR(TRIM(INDEX('Pegar estudiantes'!$A$1:$BZ$1001,234,B$2)&amp;""),""))</f>
        <v/>
      </c>
      <c r="C235">
        <f>IF(C$2=0,"",IFERROR(TRIM(INDEX('Pegar estudiantes'!$A$1:$BZ$1001,234,C$2)&amp;""),""))</f>
        <v/>
      </c>
      <c r="D235">
        <f>IF(D$2=0,"",IFERROR(TRIM(INDEX('Pegar estudiantes'!$A$1:$BZ$1001,234,D$2)&amp;""),""))</f>
        <v/>
      </c>
      <c r="E235">
        <f>IF(E$2=0,"",IFERROR(TRIM(INDEX('Pegar estudiantes'!$A$1:$BZ$1001,234,E$2)&amp;""),""))</f>
        <v/>
      </c>
      <c r="F235">
        <f>IF(F$2=0,"",IFERROR(TRIM(INDEX('Pegar estudiantes'!$A$1:$BZ$1001,234,F$2)&amp;""),""))</f>
        <v/>
      </c>
      <c r="G235">
        <f>IF(G$2=0,"",IFERROR(TRIM(INDEX('Pegar estudiantes'!$A$1:$BZ$1001,234,G$2)&amp;""),""))</f>
        <v/>
      </c>
      <c r="H235">
        <f>IF(H$2=0,"",IFERROR(TRIM(INDEX('Pegar estudiantes'!$A$1:$BZ$1001,234,H$2)&amp;""),""))</f>
        <v/>
      </c>
      <c r="I235">
        <f>IF(I$2=0,"",IFERROR(TRIM(INDEX('Pegar estudiantes'!$A$1:$BZ$1001,234,I$2)&amp;""),""))</f>
        <v/>
      </c>
      <c r="J235">
        <f>IF(J$2=0,"",IFERROR(TRIM(INDEX('Pegar estudiantes'!$A$1:$BZ$1001,234,J$2)&amp;""),""))</f>
        <v/>
      </c>
      <c r="K235">
        <f>IF(K$2=0,"",IFERROR(TRIM(INDEX('Pegar estudiantes'!$A$1:$BZ$1001,234,K$2)&amp;""),""))</f>
        <v/>
      </c>
      <c r="L235" s="25">
        <f>IF(A235&lt;&gt;"",1,"")</f>
        <v/>
      </c>
      <c r="M235" s="25">
        <f>IF(L235=1,IF(ISNUMBER(FIND("#"&amp;MID(A235,1,1)&amp;"#","#0#1#2#3#4#5#6#7#8#9#")),IF(ISNUMBER(FIND("#"&amp;MID(A235,2,1)&amp;"#","#0#1#2#3#4#5#6#7#8#9#")),IF(AND(VALUE(LEFT(A235,2))&gt;=1,VALUE(LEFT(A235,2))&lt;=5),VALUE(LEFT(A235,2)),""),IF(AND(VALUE(LEFT(A235,1))&gt;=1,VALUE(LEFT(A235,1))&lt;=5),VALUE(LEFT(A235,1)),"")),""),"")</f>
        <v/>
      </c>
      <c r="N235" s="25">
        <f>IF(L235=1,IF(ISNUMBER(FIND("#"&amp;MID(H235,1,1)&amp;"#","#0#1#2#3#4#5#6#7#8#9#")),IF(ISNUMBER(FIND("#"&amp;MID(H235,2,1)&amp;"#","#0#1#2#3#4#5#6#7#8#9#")),IF(AND(VALUE(LEFT(H235,2))&gt;=1,VALUE(LEFT(H235,2))&lt;=5),VALUE(LEFT(H235,2)),""),IF(AND(VALUE(LEFT(H235,1))&gt;=1,VALUE(LEFT(H235,1))&lt;=5),VALUE(LEFT(H235,1)),"")),""),"")</f>
        <v/>
      </c>
      <c r="O235" s="25">
        <f>IF(AND(L235=1,B235&lt;&gt;""),SUBSTITUTE(SUBSTITUTE(SUBSTITUTE(SUBSTITUTE(SUBSTITUTE(SUBSTITUTE(SUBSTITUTE(SUBSTITUTE(SUBSTITUTE(SUBSTITUTE(SUBSTITUTE(SUBSTITUTE(LOWER(TRIM(B235)),"á","a"),"é","e"),"í","i"),"ó","o"),"ú","u"),"ü","u"),"ñ","n"),"à","a"),"è","e"),"ì","i"),"ò","o"),"ù","u"),"")</f>
        <v/>
      </c>
      <c r="P235" s="25">
        <f>IF(AND(L235=1,C235&lt;&gt;""),SUBSTITUTE(SUBSTITUTE(SUBSTITUTE(SUBSTITUTE(SUBSTITUTE(SUBSTITUTE(SUBSTITUTE(SUBSTITUTE(SUBSTITUTE(SUBSTITUTE(SUBSTITUTE(SUBSTITUTE(LOWER(TRIM(C235)),"á","a"),"é","e"),"í","i"),"ó","o"),"ú","u"),"ü","u"),"ñ","n"),"à","a"),"è","e"),"ì","i"),"ò","o"),"ù","u"),"")</f>
        <v/>
      </c>
      <c r="Q235" s="25">
        <f>IF(AND(L235=1,E235&lt;&gt;""),SUBSTITUTE(SUBSTITUTE(SUBSTITUTE(SUBSTITUTE(SUBSTITUTE(SUBSTITUTE(SUBSTITUTE(SUBSTITUTE(SUBSTITUTE(SUBSTITUTE(SUBSTITUTE(SUBSTITUTE(LOWER(TRIM(E235)),"á","a"),"é","e"),"í","i"),"ó","o"),"ú","u"),"ü","u"),"ñ","n"),"à","a"),"è","e"),"ì","i"),"ò","o"),"ù","u"),"")</f>
        <v/>
      </c>
      <c r="R235" s="25">
        <f>IF(AND(L235=1,I235&lt;&gt;""),SUBSTITUTE(SUBSTITUTE(SUBSTITUTE(SUBSTITUTE(SUBSTITUTE(SUBSTITUTE(SUBSTITUTE(SUBSTITUTE(SUBSTITUTE(SUBSTITUTE(SUBSTITUTE(SUBSTITUTE(LOWER(TRIM(I235)),"á","a"),"é","e"),"í","i"),"ó","o"),"ú","u"),"ü","u"),"ñ","n"),"à","a"),"è","e"),"ì","i"),"ò","o"),"ù","u"),"")</f>
        <v/>
      </c>
      <c r="S235" s="25">
        <f>IF(R235="","",IF(OR(R235="si",R235="tal vez"),1,0))</f>
        <v/>
      </c>
      <c r="T235" s="25">
        <f>IF(AND(L235=1,D235&lt;&gt;""),IF(IFERROR(COUNTIFS(D$3:D235,"="&amp;SUBSTITUTE(SUBSTITUTE(SUBSTITUTE(D235,"~","~~"),"*","~*"),"?","~?"),L$3:L235,1),0)=1,MAX(T$2:T234)+1,""),"")</f>
        <v/>
      </c>
      <c r="U235" s="25">
        <f>IF(T235="","",COUNTIFS($D$3:$D$1002,"="&amp;SUBSTITUTE(SUBSTITUTE(SUBSTITUTE(D235,"~","~~"),"*","~*"),"?","~?"),$L$3:$L$1002,1)*10000-T235)</f>
        <v/>
      </c>
      <c r="V235" s="25">
        <f>IF(AND(L235=1,J235&lt;&gt;""),IF(IFERROR(COUNTIFS(J$3:J235,"="&amp;SUBSTITUTE(SUBSTITUTE(SUBSTITUTE(J235,"~","~~"),"*","~*"),"?","~?"),L$3:L235,1),0)=1,MAX(V$2:V234)+1,""),"")</f>
        <v/>
      </c>
      <c r="W235" s="25">
        <f>IF(V235="","",COUNTIFS($J$3:$J$1002,"="&amp;SUBSTITUTE(SUBSTITUTE(SUBSTITUTE(J235,"~","~~"),"*","~*"),"?","~?"),$L$3:$L$1002,1)*10000-V235)</f>
        <v/>
      </c>
    </row>
    <row r="236">
      <c r="A236">
        <f>IF(A$2=0,"",IFERROR(TRIM(INDEX('Pegar estudiantes'!$A$1:$BZ$1001,235,A$2)&amp;""),""))</f>
        <v/>
      </c>
      <c r="B236">
        <f>IF(B$2=0,"",IFERROR(TRIM(INDEX('Pegar estudiantes'!$A$1:$BZ$1001,235,B$2)&amp;""),""))</f>
        <v/>
      </c>
      <c r="C236">
        <f>IF(C$2=0,"",IFERROR(TRIM(INDEX('Pegar estudiantes'!$A$1:$BZ$1001,235,C$2)&amp;""),""))</f>
        <v/>
      </c>
      <c r="D236">
        <f>IF(D$2=0,"",IFERROR(TRIM(INDEX('Pegar estudiantes'!$A$1:$BZ$1001,235,D$2)&amp;""),""))</f>
        <v/>
      </c>
      <c r="E236">
        <f>IF(E$2=0,"",IFERROR(TRIM(INDEX('Pegar estudiantes'!$A$1:$BZ$1001,235,E$2)&amp;""),""))</f>
        <v/>
      </c>
      <c r="F236">
        <f>IF(F$2=0,"",IFERROR(TRIM(INDEX('Pegar estudiantes'!$A$1:$BZ$1001,235,F$2)&amp;""),""))</f>
        <v/>
      </c>
      <c r="G236">
        <f>IF(G$2=0,"",IFERROR(TRIM(INDEX('Pegar estudiantes'!$A$1:$BZ$1001,235,G$2)&amp;""),""))</f>
        <v/>
      </c>
      <c r="H236">
        <f>IF(H$2=0,"",IFERROR(TRIM(INDEX('Pegar estudiantes'!$A$1:$BZ$1001,235,H$2)&amp;""),""))</f>
        <v/>
      </c>
      <c r="I236">
        <f>IF(I$2=0,"",IFERROR(TRIM(INDEX('Pegar estudiantes'!$A$1:$BZ$1001,235,I$2)&amp;""),""))</f>
        <v/>
      </c>
      <c r="J236">
        <f>IF(J$2=0,"",IFERROR(TRIM(INDEX('Pegar estudiantes'!$A$1:$BZ$1001,235,J$2)&amp;""),""))</f>
        <v/>
      </c>
      <c r="K236">
        <f>IF(K$2=0,"",IFERROR(TRIM(INDEX('Pegar estudiantes'!$A$1:$BZ$1001,235,K$2)&amp;""),""))</f>
        <v/>
      </c>
      <c r="L236" s="25">
        <f>IF(A236&lt;&gt;"",1,"")</f>
        <v/>
      </c>
      <c r="M236" s="25">
        <f>IF(L236=1,IF(ISNUMBER(FIND("#"&amp;MID(A236,1,1)&amp;"#","#0#1#2#3#4#5#6#7#8#9#")),IF(ISNUMBER(FIND("#"&amp;MID(A236,2,1)&amp;"#","#0#1#2#3#4#5#6#7#8#9#")),IF(AND(VALUE(LEFT(A236,2))&gt;=1,VALUE(LEFT(A236,2))&lt;=5),VALUE(LEFT(A236,2)),""),IF(AND(VALUE(LEFT(A236,1))&gt;=1,VALUE(LEFT(A236,1))&lt;=5),VALUE(LEFT(A236,1)),"")),""),"")</f>
        <v/>
      </c>
      <c r="N236" s="25">
        <f>IF(L236=1,IF(ISNUMBER(FIND("#"&amp;MID(H236,1,1)&amp;"#","#0#1#2#3#4#5#6#7#8#9#")),IF(ISNUMBER(FIND("#"&amp;MID(H236,2,1)&amp;"#","#0#1#2#3#4#5#6#7#8#9#")),IF(AND(VALUE(LEFT(H236,2))&gt;=1,VALUE(LEFT(H236,2))&lt;=5),VALUE(LEFT(H236,2)),""),IF(AND(VALUE(LEFT(H236,1))&gt;=1,VALUE(LEFT(H236,1))&lt;=5),VALUE(LEFT(H236,1)),"")),""),"")</f>
        <v/>
      </c>
      <c r="O236" s="25">
        <f>IF(AND(L236=1,B236&lt;&gt;""),SUBSTITUTE(SUBSTITUTE(SUBSTITUTE(SUBSTITUTE(SUBSTITUTE(SUBSTITUTE(SUBSTITUTE(SUBSTITUTE(SUBSTITUTE(SUBSTITUTE(SUBSTITUTE(SUBSTITUTE(LOWER(TRIM(B236)),"á","a"),"é","e"),"í","i"),"ó","o"),"ú","u"),"ü","u"),"ñ","n"),"à","a"),"è","e"),"ì","i"),"ò","o"),"ù","u"),"")</f>
        <v/>
      </c>
      <c r="P236" s="25">
        <f>IF(AND(L236=1,C236&lt;&gt;""),SUBSTITUTE(SUBSTITUTE(SUBSTITUTE(SUBSTITUTE(SUBSTITUTE(SUBSTITUTE(SUBSTITUTE(SUBSTITUTE(SUBSTITUTE(SUBSTITUTE(SUBSTITUTE(SUBSTITUTE(LOWER(TRIM(C236)),"á","a"),"é","e"),"í","i"),"ó","o"),"ú","u"),"ü","u"),"ñ","n"),"à","a"),"è","e"),"ì","i"),"ò","o"),"ù","u"),"")</f>
        <v/>
      </c>
      <c r="Q236" s="25">
        <f>IF(AND(L236=1,E236&lt;&gt;""),SUBSTITUTE(SUBSTITUTE(SUBSTITUTE(SUBSTITUTE(SUBSTITUTE(SUBSTITUTE(SUBSTITUTE(SUBSTITUTE(SUBSTITUTE(SUBSTITUTE(SUBSTITUTE(SUBSTITUTE(LOWER(TRIM(E236)),"á","a"),"é","e"),"í","i"),"ó","o"),"ú","u"),"ü","u"),"ñ","n"),"à","a"),"è","e"),"ì","i"),"ò","o"),"ù","u"),"")</f>
        <v/>
      </c>
      <c r="R236" s="25">
        <f>IF(AND(L236=1,I236&lt;&gt;""),SUBSTITUTE(SUBSTITUTE(SUBSTITUTE(SUBSTITUTE(SUBSTITUTE(SUBSTITUTE(SUBSTITUTE(SUBSTITUTE(SUBSTITUTE(SUBSTITUTE(SUBSTITUTE(SUBSTITUTE(LOWER(TRIM(I236)),"á","a"),"é","e"),"í","i"),"ó","o"),"ú","u"),"ü","u"),"ñ","n"),"à","a"),"è","e"),"ì","i"),"ò","o"),"ù","u"),"")</f>
        <v/>
      </c>
      <c r="S236" s="25">
        <f>IF(R236="","",IF(OR(R236="si",R236="tal vez"),1,0))</f>
        <v/>
      </c>
      <c r="T236" s="25">
        <f>IF(AND(L236=1,D236&lt;&gt;""),IF(IFERROR(COUNTIFS(D$3:D236,"="&amp;SUBSTITUTE(SUBSTITUTE(SUBSTITUTE(D236,"~","~~"),"*","~*"),"?","~?"),L$3:L236,1),0)=1,MAX(T$2:T235)+1,""),"")</f>
        <v/>
      </c>
      <c r="U236" s="25">
        <f>IF(T236="","",COUNTIFS($D$3:$D$1002,"="&amp;SUBSTITUTE(SUBSTITUTE(SUBSTITUTE(D236,"~","~~"),"*","~*"),"?","~?"),$L$3:$L$1002,1)*10000-T236)</f>
        <v/>
      </c>
      <c r="V236" s="25">
        <f>IF(AND(L236=1,J236&lt;&gt;""),IF(IFERROR(COUNTIFS(J$3:J236,"="&amp;SUBSTITUTE(SUBSTITUTE(SUBSTITUTE(J236,"~","~~"),"*","~*"),"?","~?"),L$3:L236,1),0)=1,MAX(V$2:V235)+1,""),"")</f>
        <v/>
      </c>
      <c r="W236" s="25">
        <f>IF(V236="","",COUNTIFS($J$3:$J$1002,"="&amp;SUBSTITUTE(SUBSTITUTE(SUBSTITUTE(J236,"~","~~"),"*","~*"),"?","~?"),$L$3:$L$1002,1)*10000-V236)</f>
        <v/>
      </c>
    </row>
    <row r="237">
      <c r="A237">
        <f>IF(A$2=0,"",IFERROR(TRIM(INDEX('Pegar estudiantes'!$A$1:$BZ$1001,236,A$2)&amp;""),""))</f>
        <v/>
      </c>
      <c r="B237">
        <f>IF(B$2=0,"",IFERROR(TRIM(INDEX('Pegar estudiantes'!$A$1:$BZ$1001,236,B$2)&amp;""),""))</f>
        <v/>
      </c>
      <c r="C237">
        <f>IF(C$2=0,"",IFERROR(TRIM(INDEX('Pegar estudiantes'!$A$1:$BZ$1001,236,C$2)&amp;""),""))</f>
        <v/>
      </c>
      <c r="D237">
        <f>IF(D$2=0,"",IFERROR(TRIM(INDEX('Pegar estudiantes'!$A$1:$BZ$1001,236,D$2)&amp;""),""))</f>
        <v/>
      </c>
      <c r="E237">
        <f>IF(E$2=0,"",IFERROR(TRIM(INDEX('Pegar estudiantes'!$A$1:$BZ$1001,236,E$2)&amp;""),""))</f>
        <v/>
      </c>
      <c r="F237">
        <f>IF(F$2=0,"",IFERROR(TRIM(INDEX('Pegar estudiantes'!$A$1:$BZ$1001,236,F$2)&amp;""),""))</f>
        <v/>
      </c>
      <c r="G237">
        <f>IF(G$2=0,"",IFERROR(TRIM(INDEX('Pegar estudiantes'!$A$1:$BZ$1001,236,G$2)&amp;""),""))</f>
        <v/>
      </c>
      <c r="H237">
        <f>IF(H$2=0,"",IFERROR(TRIM(INDEX('Pegar estudiantes'!$A$1:$BZ$1001,236,H$2)&amp;""),""))</f>
        <v/>
      </c>
      <c r="I237">
        <f>IF(I$2=0,"",IFERROR(TRIM(INDEX('Pegar estudiantes'!$A$1:$BZ$1001,236,I$2)&amp;""),""))</f>
        <v/>
      </c>
      <c r="J237">
        <f>IF(J$2=0,"",IFERROR(TRIM(INDEX('Pegar estudiantes'!$A$1:$BZ$1001,236,J$2)&amp;""),""))</f>
        <v/>
      </c>
      <c r="K237">
        <f>IF(K$2=0,"",IFERROR(TRIM(INDEX('Pegar estudiantes'!$A$1:$BZ$1001,236,K$2)&amp;""),""))</f>
        <v/>
      </c>
      <c r="L237" s="25">
        <f>IF(A237&lt;&gt;"",1,"")</f>
        <v/>
      </c>
      <c r="M237" s="25">
        <f>IF(L237=1,IF(ISNUMBER(FIND("#"&amp;MID(A237,1,1)&amp;"#","#0#1#2#3#4#5#6#7#8#9#")),IF(ISNUMBER(FIND("#"&amp;MID(A237,2,1)&amp;"#","#0#1#2#3#4#5#6#7#8#9#")),IF(AND(VALUE(LEFT(A237,2))&gt;=1,VALUE(LEFT(A237,2))&lt;=5),VALUE(LEFT(A237,2)),""),IF(AND(VALUE(LEFT(A237,1))&gt;=1,VALUE(LEFT(A237,1))&lt;=5),VALUE(LEFT(A237,1)),"")),""),"")</f>
        <v/>
      </c>
      <c r="N237" s="25">
        <f>IF(L237=1,IF(ISNUMBER(FIND("#"&amp;MID(H237,1,1)&amp;"#","#0#1#2#3#4#5#6#7#8#9#")),IF(ISNUMBER(FIND("#"&amp;MID(H237,2,1)&amp;"#","#0#1#2#3#4#5#6#7#8#9#")),IF(AND(VALUE(LEFT(H237,2))&gt;=1,VALUE(LEFT(H237,2))&lt;=5),VALUE(LEFT(H237,2)),""),IF(AND(VALUE(LEFT(H237,1))&gt;=1,VALUE(LEFT(H237,1))&lt;=5),VALUE(LEFT(H237,1)),"")),""),"")</f>
        <v/>
      </c>
      <c r="O237" s="25">
        <f>IF(AND(L237=1,B237&lt;&gt;""),SUBSTITUTE(SUBSTITUTE(SUBSTITUTE(SUBSTITUTE(SUBSTITUTE(SUBSTITUTE(SUBSTITUTE(SUBSTITUTE(SUBSTITUTE(SUBSTITUTE(SUBSTITUTE(SUBSTITUTE(LOWER(TRIM(B237)),"á","a"),"é","e"),"í","i"),"ó","o"),"ú","u"),"ü","u"),"ñ","n"),"à","a"),"è","e"),"ì","i"),"ò","o"),"ù","u"),"")</f>
        <v/>
      </c>
      <c r="P237" s="25">
        <f>IF(AND(L237=1,C237&lt;&gt;""),SUBSTITUTE(SUBSTITUTE(SUBSTITUTE(SUBSTITUTE(SUBSTITUTE(SUBSTITUTE(SUBSTITUTE(SUBSTITUTE(SUBSTITUTE(SUBSTITUTE(SUBSTITUTE(SUBSTITUTE(LOWER(TRIM(C237)),"á","a"),"é","e"),"í","i"),"ó","o"),"ú","u"),"ü","u"),"ñ","n"),"à","a"),"è","e"),"ì","i"),"ò","o"),"ù","u"),"")</f>
        <v/>
      </c>
      <c r="Q237" s="25">
        <f>IF(AND(L237=1,E237&lt;&gt;""),SUBSTITUTE(SUBSTITUTE(SUBSTITUTE(SUBSTITUTE(SUBSTITUTE(SUBSTITUTE(SUBSTITUTE(SUBSTITUTE(SUBSTITUTE(SUBSTITUTE(SUBSTITUTE(SUBSTITUTE(LOWER(TRIM(E237)),"á","a"),"é","e"),"í","i"),"ó","o"),"ú","u"),"ü","u"),"ñ","n"),"à","a"),"è","e"),"ì","i"),"ò","o"),"ù","u"),"")</f>
        <v/>
      </c>
      <c r="R237" s="25">
        <f>IF(AND(L237=1,I237&lt;&gt;""),SUBSTITUTE(SUBSTITUTE(SUBSTITUTE(SUBSTITUTE(SUBSTITUTE(SUBSTITUTE(SUBSTITUTE(SUBSTITUTE(SUBSTITUTE(SUBSTITUTE(SUBSTITUTE(SUBSTITUTE(LOWER(TRIM(I237)),"á","a"),"é","e"),"í","i"),"ó","o"),"ú","u"),"ü","u"),"ñ","n"),"à","a"),"è","e"),"ì","i"),"ò","o"),"ù","u"),"")</f>
        <v/>
      </c>
      <c r="S237" s="25">
        <f>IF(R237="","",IF(OR(R237="si",R237="tal vez"),1,0))</f>
        <v/>
      </c>
      <c r="T237" s="25">
        <f>IF(AND(L237=1,D237&lt;&gt;""),IF(IFERROR(COUNTIFS(D$3:D237,"="&amp;SUBSTITUTE(SUBSTITUTE(SUBSTITUTE(D237,"~","~~"),"*","~*"),"?","~?"),L$3:L237,1),0)=1,MAX(T$2:T236)+1,""),"")</f>
        <v/>
      </c>
      <c r="U237" s="25">
        <f>IF(T237="","",COUNTIFS($D$3:$D$1002,"="&amp;SUBSTITUTE(SUBSTITUTE(SUBSTITUTE(D237,"~","~~"),"*","~*"),"?","~?"),$L$3:$L$1002,1)*10000-T237)</f>
        <v/>
      </c>
      <c r="V237" s="25">
        <f>IF(AND(L237=1,J237&lt;&gt;""),IF(IFERROR(COUNTIFS(J$3:J237,"="&amp;SUBSTITUTE(SUBSTITUTE(SUBSTITUTE(J237,"~","~~"),"*","~*"),"?","~?"),L$3:L237,1),0)=1,MAX(V$2:V236)+1,""),"")</f>
        <v/>
      </c>
      <c r="W237" s="25">
        <f>IF(V237="","",COUNTIFS($J$3:$J$1002,"="&amp;SUBSTITUTE(SUBSTITUTE(SUBSTITUTE(J237,"~","~~"),"*","~*"),"?","~?"),$L$3:$L$1002,1)*10000-V237)</f>
        <v/>
      </c>
    </row>
    <row r="238">
      <c r="A238">
        <f>IF(A$2=0,"",IFERROR(TRIM(INDEX('Pegar estudiantes'!$A$1:$BZ$1001,237,A$2)&amp;""),""))</f>
        <v/>
      </c>
      <c r="B238">
        <f>IF(B$2=0,"",IFERROR(TRIM(INDEX('Pegar estudiantes'!$A$1:$BZ$1001,237,B$2)&amp;""),""))</f>
        <v/>
      </c>
      <c r="C238">
        <f>IF(C$2=0,"",IFERROR(TRIM(INDEX('Pegar estudiantes'!$A$1:$BZ$1001,237,C$2)&amp;""),""))</f>
        <v/>
      </c>
      <c r="D238">
        <f>IF(D$2=0,"",IFERROR(TRIM(INDEX('Pegar estudiantes'!$A$1:$BZ$1001,237,D$2)&amp;""),""))</f>
        <v/>
      </c>
      <c r="E238">
        <f>IF(E$2=0,"",IFERROR(TRIM(INDEX('Pegar estudiantes'!$A$1:$BZ$1001,237,E$2)&amp;""),""))</f>
        <v/>
      </c>
      <c r="F238">
        <f>IF(F$2=0,"",IFERROR(TRIM(INDEX('Pegar estudiantes'!$A$1:$BZ$1001,237,F$2)&amp;""),""))</f>
        <v/>
      </c>
      <c r="G238">
        <f>IF(G$2=0,"",IFERROR(TRIM(INDEX('Pegar estudiantes'!$A$1:$BZ$1001,237,G$2)&amp;""),""))</f>
        <v/>
      </c>
      <c r="H238">
        <f>IF(H$2=0,"",IFERROR(TRIM(INDEX('Pegar estudiantes'!$A$1:$BZ$1001,237,H$2)&amp;""),""))</f>
        <v/>
      </c>
      <c r="I238">
        <f>IF(I$2=0,"",IFERROR(TRIM(INDEX('Pegar estudiantes'!$A$1:$BZ$1001,237,I$2)&amp;""),""))</f>
        <v/>
      </c>
      <c r="J238">
        <f>IF(J$2=0,"",IFERROR(TRIM(INDEX('Pegar estudiantes'!$A$1:$BZ$1001,237,J$2)&amp;""),""))</f>
        <v/>
      </c>
      <c r="K238">
        <f>IF(K$2=0,"",IFERROR(TRIM(INDEX('Pegar estudiantes'!$A$1:$BZ$1001,237,K$2)&amp;""),""))</f>
        <v/>
      </c>
      <c r="L238" s="25">
        <f>IF(A238&lt;&gt;"",1,"")</f>
        <v/>
      </c>
      <c r="M238" s="25">
        <f>IF(L238=1,IF(ISNUMBER(FIND("#"&amp;MID(A238,1,1)&amp;"#","#0#1#2#3#4#5#6#7#8#9#")),IF(ISNUMBER(FIND("#"&amp;MID(A238,2,1)&amp;"#","#0#1#2#3#4#5#6#7#8#9#")),IF(AND(VALUE(LEFT(A238,2))&gt;=1,VALUE(LEFT(A238,2))&lt;=5),VALUE(LEFT(A238,2)),""),IF(AND(VALUE(LEFT(A238,1))&gt;=1,VALUE(LEFT(A238,1))&lt;=5),VALUE(LEFT(A238,1)),"")),""),"")</f>
        <v/>
      </c>
      <c r="N238" s="25">
        <f>IF(L238=1,IF(ISNUMBER(FIND("#"&amp;MID(H238,1,1)&amp;"#","#0#1#2#3#4#5#6#7#8#9#")),IF(ISNUMBER(FIND("#"&amp;MID(H238,2,1)&amp;"#","#0#1#2#3#4#5#6#7#8#9#")),IF(AND(VALUE(LEFT(H238,2))&gt;=1,VALUE(LEFT(H238,2))&lt;=5),VALUE(LEFT(H238,2)),""),IF(AND(VALUE(LEFT(H238,1))&gt;=1,VALUE(LEFT(H238,1))&lt;=5),VALUE(LEFT(H238,1)),"")),""),"")</f>
        <v/>
      </c>
      <c r="O238" s="25">
        <f>IF(AND(L238=1,B238&lt;&gt;""),SUBSTITUTE(SUBSTITUTE(SUBSTITUTE(SUBSTITUTE(SUBSTITUTE(SUBSTITUTE(SUBSTITUTE(SUBSTITUTE(SUBSTITUTE(SUBSTITUTE(SUBSTITUTE(SUBSTITUTE(LOWER(TRIM(B238)),"á","a"),"é","e"),"í","i"),"ó","o"),"ú","u"),"ü","u"),"ñ","n"),"à","a"),"è","e"),"ì","i"),"ò","o"),"ù","u"),"")</f>
        <v/>
      </c>
      <c r="P238" s="25">
        <f>IF(AND(L238=1,C238&lt;&gt;""),SUBSTITUTE(SUBSTITUTE(SUBSTITUTE(SUBSTITUTE(SUBSTITUTE(SUBSTITUTE(SUBSTITUTE(SUBSTITUTE(SUBSTITUTE(SUBSTITUTE(SUBSTITUTE(SUBSTITUTE(LOWER(TRIM(C238)),"á","a"),"é","e"),"í","i"),"ó","o"),"ú","u"),"ü","u"),"ñ","n"),"à","a"),"è","e"),"ì","i"),"ò","o"),"ù","u"),"")</f>
        <v/>
      </c>
      <c r="Q238" s="25">
        <f>IF(AND(L238=1,E238&lt;&gt;""),SUBSTITUTE(SUBSTITUTE(SUBSTITUTE(SUBSTITUTE(SUBSTITUTE(SUBSTITUTE(SUBSTITUTE(SUBSTITUTE(SUBSTITUTE(SUBSTITUTE(SUBSTITUTE(SUBSTITUTE(LOWER(TRIM(E238)),"á","a"),"é","e"),"í","i"),"ó","o"),"ú","u"),"ü","u"),"ñ","n"),"à","a"),"è","e"),"ì","i"),"ò","o"),"ù","u"),"")</f>
        <v/>
      </c>
      <c r="R238" s="25">
        <f>IF(AND(L238=1,I238&lt;&gt;""),SUBSTITUTE(SUBSTITUTE(SUBSTITUTE(SUBSTITUTE(SUBSTITUTE(SUBSTITUTE(SUBSTITUTE(SUBSTITUTE(SUBSTITUTE(SUBSTITUTE(SUBSTITUTE(SUBSTITUTE(LOWER(TRIM(I238)),"á","a"),"é","e"),"í","i"),"ó","o"),"ú","u"),"ü","u"),"ñ","n"),"à","a"),"è","e"),"ì","i"),"ò","o"),"ù","u"),"")</f>
        <v/>
      </c>
      <c r="S238" s="25">
        <f>IF(R238="","",IF(OR(R238="si",R238="tal vez"),1,0))</f>
        <v/>
      </c>
      <c r="T238" s="25">
        <f>IF(AND(L238=1,D238&lt;&gt;""),IF(IFERROR(COUNTIFS(D$3:D238,"="&amp;SUBSTITUTE(SUBSTITUTE(SUBSTITUTE(D238,"~","~~"),"*","~*"),"?","~?"),L$3:L238,1),0)=1,MAX(T$2:T237)+1,""),"")</f>
        <v/>
      </c>
      <c r="U238" s="25">
        <f>IF(T238="","",COUNTIFS($D$3:$D$1002,"="&amp;SUBSTITUTE(SUBSTITUTE(SUBSTITUTE(D238,"~","~~"),"*","~*"),"?","~?"),$L$3:$L$1002,1)*10000-T238)</f>
        <v/>
      </c>
      <c r="V238" s="25">
        <f>IF(AND(L238=1,J238&lt;&gt;""),IF(IFERROR(COUNTIFS(J$3:J238,"="&amp;SUBSTITUTE(SUBSTITUTE(SUBSTITUTE(J238,"~","~~"),"*","~*"),"?","~?"),L$3:L238,1),0)=1,MAX(V$2:V237)+1,""),"")</f>
        <v/>
      </c>
      <c r="W238" s="25">
        <f>IF(V238="","",COUNTIFS($J$3:$J$1002,"="&amp;SUBSTITUTE(SUBSTITUTE(SUBSTITUTE(J238,"~","~~"),"*","~*"),"?","~?"),$L$3:$L$1002,1)*10000-V238)</f>
        <v/>
      </c>
    </row>
    <row r="239">
      <c r="A239">
        <f>IF(A$2=0,"",IFERROR(TRIM(INDEX('Pegar estudiantes'!$A$1:$BZ$1001,238,A$2)&amp;""),""))</f>
        <v/>
      </c>
      <c r="B239">
        <f>IF(B$2=0,"",IFERROR(TRIM(INDEX('Pegar estudiantes'!$A$1:$BZ$1001,238,B$2)&amp;""),""))</f>
        <v/>
      </c>
      <c r="C239">
        <f>IF(C$2=0,"",IFERROR(TRIM(INDEX('Pegar estudiantes'!$A$1:$BZ$1001,238,C$2)&amp;""),""))</f>
        <v/>
      </c>
      <c r="D239">
        <f>IF(D$2=0,"",IFERROR(TRIM(INDEX('Pegar estudiantes'!$A$1:$BZ$1001,238,D$2)&amp;""),""))</f>
        <v/>
      </c>
      <c r="E239">
        <f>IF(E$2=0,"",IFERROR(TRIM(INDEX('Pegar estudiantes'!$A$1:$BZ$1001,238,E$2)&amp;""),""))</f>
        <v/>
      </c>
      <c r="F239">
        <f>IF(F$2=0,"",IFERROR(TRIM(INDEX('Pegar estudiantes'!$A$1:$BZ$1001,238,F$2)&amp;""),""))</f>
        <v/>
      </c>
      <c r="G239">
        <f>IF(G$2=0,"",IFERROR(TRIM(INDEX('Pegar estudiantes'!$A$1:$BZ$1001,238,G$2)&amp;""),""))</f>
        <v/>
      </c>
      <c r="H239">
        <f>IF(H$2=0,"",IFERROR(TRIM(INDEX('Pegar estudiantes'!$A$1:$BZ$1001,238,H$2)&amp;""),""))</f>
        <v/>
      </c>
      <c r="I239">
        <f>IF(I$2=0,"",IFERROR(TRIM(INDEX('Pegar estudiantes'!$A$1:$BZ$1001,238,I$2)&amp;""),""))</f>
        <v/>
      </c>
      <c r="J239">
        <f>IF(J$2=0,"",IFERROR(TRIM(INDEX('Pegar estudiantes'!$A$1:$BZ$1001,238,J$2)&amp;""),""))</f>
        <v/>
      </c>
      <c r="K239">
        <f>IF(K$2=0,"",IFERROR(TRIM(INDEX('Pegar estudiantes'!$A$1:$BZ$1001,238,K$2)&amp;""),""))</f>
        <v/>
      </c>
      <c r="L239" s="25">
        <f>IF(A239&lt;&gt;"",1,"")</f>
        <v/>
      </c>
      <c r="M239" s="25">
        <f>IF(L239=1,IF(ISNUMBER(FIND("#"&amp;MID(A239,1,1)&amp;"#","#0#1#2#3#4#5#6#7#8#9#")),IF(ISNUMBER(FIND("#"&amp;MID(A239,2,1)&amp;"#","#0#1#2#3#4#5#6#7#8#9#")),IF(AND(VALUE(LEFT(A239,2))&gt;=1,VALUE(LEFT(A239,2))&lt;=5),VALUE(LEFT(A239,2)),""),IF(AND(VALUE(LEFT(A239,1))&gt;=1,VALUE(LEFT(A239,1))&lt;=5),VALUE(LEFT(A239,1)),"")),""),"")</f>
        <v/>
      </c>
      <c r="N239" s="25">
        <f>IF(L239=1,IF(ISNUMBER(FIND("#"&amp;MID(H239,1,1)&amp;"#","#0#1#2#3#4#5#6#7#8#9#")),IF(ISNUMBER(FIND("#"&amp;MID(H239,2,1)&amp;"#","#0#1#2#3#4#5#6#7#8#9#")),IF(AND(VALUE(LEFT(H239,2))&gt;=1,VALUE(LEFT(H239,2))&lt;=5),VALUE(LEFT(H239,2)),""),IF(AND(VALUE(LEFT(H239,1))&gt;=1,VALUE(LEFT(H239,1))&lt;=5),VALUE(LEFT(H239,1)),"")),""),"")</f>
        <v/>
      </c>
      <c r="O239" s="25">
        <f>IF(AND(L239=1,B239&lt;&gt;""),SUBSTITUTE(SUBSTITUTE(SUBSTITUTE(SUBSTITUTE(SUBSTITUTE(SUBSTITUTE(SUBSTITUTE(SUBSTITUTE(SUBSTITUTE(SUBSTITUTE(SUBSTITUTE(SUBSTITUTE(LOWER(TRIM(B239)),"á","a"),"é","e"),"í","i"),"ó","o"),"ú","u"),"ü","u"),"ñ","n"),"à","a"),"è","e"),"ì","i"),"ò","o"),"ù","u"),"")</f>
        <v/>
      </c>
      <c r="P239" s="25">
        <f>IF(AND(L239=1,C239&lt;&gt;""),SUBSTITUTE(SUBSTITUTE(SUBSTITUTE(SUBSTITUTE(SUBSTITUTE(SUBSTITUTE(SUBSTITUTE(SUBSTITUTE(SUBSTITUTE(SUBSTITUTE(SUBSTITUTE(SUBSTITUTE(LOWER(TRIM(C239)),"á","a"),"é","e"),"í","i"),"ó","o"),"ú","u"),"ü","u"),"ñ","n"),"à","a"),"è","e"),"ì","i"),"ò","o"),"ù","u"),"")</f>
        <v/>
      </c>
      <c r="Q239" s="25">
        <f>IF(AND(L239=1,E239&lt;&gt;""),SUBSTITUTE(SUBSTITUTE(SUBSTITUTE(SUBSTITUTE(SUBSTITUTE(SUBSTITUTE(SUBSTITUTE(SUBSTITUTE(SUBSTITUTE(SUBSTITUTE(SUBSTITUTE(SUBSTITUTE(LOWER(TRIM(E239)),"á","a"),"é","e"),"í","i"),"ó","o"),"ú","u"),"ü","u"),"ñ","n"),"à","a"),"è","e"),"ì","i"),"ò","o"),"ù","u"),"")</f>
        <v/>
      </c>
      <c r="R239" s="25">
        <f>IF(AND(L239=1,I239&lt;&gt;""),SUBSTITUTE(SUBSTITUTE(SUBSTITUTE(SUBSTITUTE(SUBSTITUTE(SUBSTITUTE(SUBSTITUTE(SUBSTITUTE(SUBSTITUTE(SUBSTITUTE(SUBSTITUTE(SUBSTITUTE(LOWER(TRIM(I239)),"á","a"),"é","e"),"í","i"),"ó","o"),"ú","u"),"ü","u"),"ñ","n"),"à","a"),"è","e"),"ì","i"),"ò","o"),"ù","u"),"")</f>
        <v/>
      </c>
      <c r="S239" s="25">
        <f>IF(R239="","",IF(OR(R239="si",R239="tal vez"),1,0))</f>
        <v/>
      </c>
      <c r="T239" s="25">
        <f>IF(AND(L239=1,D239&lt;&gt;""),IF(IFERROR(COUNTIFS(D$3:D239,"="&amp;SUBSTITUTE(SUBSTITUTE(SUBSTITUTE(D239,"~","~~"),"*","~*"),"?","~?"),L$3:L239,1),0)=1,MAX(T$2:T238)+1,""),"")</f>
        <v/>
      </c>
      <c r="U239" s="25">
        <f>IF(T239="","",COUNTIFS($D$3:$D$1002,"="&amp;SUBSTITUTE(SUBSTITUTE(SUBSTITUTE(D239,"~","~~"),"*","~*"),"?","~?"),$L$3:$L$1002,1)*10000-T239)</f>
        <v/>
      </c>
      <c r="V239" s="25">
        <f>IF(AND(L239=1,J239&lt;&gt;""),IF(IFERROR(COUNTIFS(J$3:J239,"="&amp;SUBSTITUTE(SUBSTITUTE(SUBSTITUTE(J239,"~","~~"),"*","~*"),"?","~?"),L$3:L239,1),0)=1,MAX(V$2:V238)+1,""),"")</f>
        <v/>
      </c>
      <c r="W239" s="25">
        <f>IF(V239="","",COUNTIFS($J$3:$J$1002,"="&amp;SUBSTITUTE(SUBSTITUTE(SUBSTITUTE(J239,"~","~~"),"*","~*"),"?","~?"),$L$3:$L$1002,1)*10000-V239)</f>
        <v/>
      </c>
    </row>
    <row r="240">
      <c r="A240">
        <f>IF(A$2=0,"",IFERROR(TRIM(INDEX('Pegar estudiantes'!$A$1:$BZ$1001,239,A$2)&amp;""),""))</f>
        <v/>
      </c>
      <c r="B240">
        <f>IF(B$2=0,"",IFERROR(TRIM(INDEX('Pegar estudiantes'!$A$1:$BZ$1001,239,B$2)&amp;""),""))</f>
        <v/>
      </c>
      <c r="C240">
        <f>IF(C$2=0,"",IFERROR(TRIM(INDEX('Pegar estudiantes'!$A$1:$BZ$1001,239,C$2)&amp;""),""))</f>
        <v/>
      </c>
      <c r="D240">
        <f>IF(D$2=0,"",IFERROR(TRIM(INDEX('Pegar estudiantes'!$A$1:$BZ$1001,239,D$2)&amp;""),""))</f>
        <v/>
      </c>
      <c r="E240">
        <f>IF(E$2=0,"",IFERROR(TRIM(INDEX('Pegar estudiantes'!$A$1:$BZ$1001,239,E$2)&amp;""),""))</f>
        <v/>
      </c>
      <c r="F240">
        <f>IF(F$2=0,"",IFERROR(TRIM(INDEX('Pegar estudiantes'!$A$1:$BZ$1001,239,F$2)&amp;""),""))</f>
        <v/>
      </c>
      <c r="G240">
        <f>IF(G$2=0,"",IFERROR(TRIM(INDEX('Pegar estudiantes'!$A$1:$BZ$1001,239,G$2)&amp;""),""))</f>
        <v/>
      </c>
      <c r="H240">
        <f>IF(H$2=0,"",IFERROR(TRIM(INDEX('Pegar estudiantes'!$A$1:$BZ$1001,239,H$2)&amp;""),""))</f>
        <v/>
      </c>
      <c r="I240">
        <f>IF(I$2=0,"",IFERROR(TRIM(INDEX('Pegar estudiantes'!$A$1:$BZ$1001,239,I$2)&amp;""),""))</f>
        <v/>
      </c>
      <c r="J240">
        <f>IF(J$2=0,"",IFERROR(TRIM(INDEX('Pegar estudiantes'!$A$1:$BZ$1001,239,J$2)&amp;""),""))</f>
        <v/>
      </c>
      <c r="K240">
        <f>IF(K$2=0,"",IFERROR(TRIM(INDEX('Pegar estudiantes'!$A$1:$BZ$1001,239,K$2)&amp;""),""))</f>
        <v/>
      </c>
      <c r="L240" s="25">
        <f>IF(A240&lt;&gt;"",1,"")</f>
        <v/>
      </c>
      <c r="M240" s="25">
        <f>IF(L240=1,IF(ISNUMBER(FIND("#"&amp;MID(A240,1,1)&amp;"#","#0#1#2#3#4#5#6#7#8#9#")),IF(ISNUMBER(FIND("#"&amp;MID(A240,2,1)&amp;"#","#0#1#2#3#4#5#6#7#8#9#")),IF(AND(VALUE(LEFT(A240,2))&gt;=1,VALUE(LEFT(A240,2))&lt;=5),VALUE(LEFT(A240,2)),""),IF(AND(VALUE(LEFT(A240,1))&gt;=1,VALUE(LEFT(A240,1))&lt;=5),VALUE(LEFT(A240,1)),"")),""),"")</f>
        <v/>
      </c>
      <c r="N240" s="25">
        <f>IF(L240=1,IF(ISNUMBER(FIND("#"&amp;MID(H240,1,1)&amp;"#","#0#1#2#3#4#5#6#7#8#9#")),IF(ISNUMBER(FIND("#"&amp;MID(H240,2,1)&amp;"#","#0#1#2#3#4#5#6#7#8#9#")),IF(AND(VALUE(LEFT(H240,2))&gt;=1,VALUE(LEFT(H240,2))&lt;=5),VALUE(LEFT(H240,2)),""),IF(AND(VALUE(LEFT(H240,1))&gt;=1,VALUE(LEFT(H240,1))&lt;=5),VALUE(LEFT(H240,1)),"")),""),"")</f>
        <v/>
      </c>
      <c r="O240" s="25">
        <f>IF(AND(L240=1,B240&lt;&gt;""),SUBSTITUTE(SUBSTITUTE(SUBSTITUTE(SUBSTITUTE(SUBSTITUTE(SUBSTITUTE(SUBSTITUTE(SUBSTITUTE(SUBSTITUTE(SUBSTITUTE(SUBSTITUTE(SUBSTITUTE(LOWER(TRIM(B240)),"á","a"),"é","e"),"í","i"),"ó","o"),"ú","u"),"ü","u"),"ñ","n"),"à","a"),"è","e"),"ì","i"),"ò","o"),"ù","u"),"")</f>
        <v/>
      </c>
      <c r="P240" s="25">
        <f>IF(AND(L240=1,C240&lt;&gt;""),SUBSTITUTE(SUBSTITUTE(SUBSTITUTE(SUBSTITUTE(SUBSTITUTE(SUBSTITUTE(SUBSTITUTE(SUBSTITUTE(SUBSTITUTE(SUBSTITUTE(SUBSTITUTE(SUBSTITUTE(LOWER(TRIM(C240)),"á","a"),"é","e"),"í","i"),"ó","o"),"ú","u"),"ü","u"),"ñ","n"),"à","a"),"è","e"),"ì","i"),"ò","o"),"ù","u"),"")</f>
        <v/>
      </c>
      <c r="Q240" s="25">
        <f>IF(AND(L240=1,E240&lt;&gt;""),SUBSTITUTE(SUBSTITUTE(SUBSTITUTE(SUBSTITUTE(SUBSTITUTE(SUBSTITUTE(SUBSTITUTE(SUBSTITUTE(SUBSTITUTE(SUBSTITUTE(SUBSTITUTE(SUBSTITUTE(LOWER(TRIM(E240)),"á","a"),"é","e"),"í","i"),"ó","o"),"ú","u"),"ü","u"),"ñ","n"),"à","a"),"è","e"),"ì","i"),"ò","o"),"ù","u"),"")</f>
        <v/>
      </c>
      <c r="R240" s="25">
        <f>IF(AND(L240=1,I240&lt;&gt;""),SUBSTITUTE(SUBSTITUTE(SUBSTITUTE(SUBSTITUTE(SUBSTITUTE(SUBSTITUTE(SUBSTITUTE(SUBSTITUTE(SUBSTITUTE(SUBSTITUTE(SUBSTITUTE(SUBSTITUTE(LOWER(TRIM(I240)),"á","a"),"é","e"),"í","i"),"ó","o"),"ú","u"),"ü","u"),"ñ","n"),"à","a"),"è","e"),"ì","i"),"ò","o"),"ù","u"),"")</f>
        <v/>
      </c>
      <c r="S240" s="25">
        <f>IF(R240="","",IF(OR(R240="si",R240="tal vez"),1,0))</f>
        <v/>
      </c>
      <c r="T240" s="25">
        <f>IF(AND(L240=1,D240&lt;&gt;""),IF(IFERROR(COUNTIFS(D$3:D240,"="&amp;SUBSTITUTE(SUBSTITUTE(SUBSTITUTE(D240,"~","~~"),"*","~*"),"?","~?"),L$3:L240,1),0)=1,MAX(T$2:T239)+1,""),"")</f>
        <v/>
      </c>
      <c r="U240" s="25">
        <f>IF(T240="","",COUNTIFS($D$3:$D$1002,"="&amp;SUBSTITUTE(SUBSTITUTE(SUBSTITUTE(D240,"~","~~"),"*","~*"),"?","~?"),$L$3:$L$1002,1)*10000-T240)</f>
        <v/>
      </c>
      <c r="V240" s="25">
        <f>IF(AND(L240=1,J240&lt;&gt;""),IF(IFERROR(COUNTIFS(J$3:J240,"="&amp;SUBSTITUTE(SUBSTITUTE(SUBSTITUTE(J240,"~","~~"),"*","~*"),"?","~?"),L$3:L240,1),0)=1,MAX(V$2:V239)+1,""),"")</f>
        <v/>
      </c>
      <c r="W240" s="25">
        <f>IF(V240="","",COUNTIFS($J$3:$J$1002,"="&amp;SUBSTITUTE(SUBSTITUTE(SUBSTITUTE(J240,"~","~~"),"*","~*"),"?","~?"),$L$3:$L$1002,1)*10000-V240)</f>
        <v/>
      </c>
    </row>
    <row r="241">
      <c r="A241">
        <f>IF(A$2=0,"",IFERROR(TRIM(INDEX('Pegar estudiantes'!$A$1:$BZ$1001,240,A$2)&amp;""),""))</f>
        <v/>
      </c>
      <c r="B241">
        <f>IF(B$2=0,"",IFERROR(TRIM(INDEX('Pegar estudiantes'!$A$1:$BZ$1001,240,B$2)&amp;""),""))</f>
        <v/>
      </c>
      <c r="C241">
        <f>IF(C$2=0,"",IFERROR(TRIM(INDEX('Pegar estudiantes'!$A$1:$BZ$1001,240,C$2)&amp;""),""))</f>
        <v/>
      </c>
      <c r="D241">
        <f>IF(D$2=0,"",IFERROR(TRIM(INDEX('Pegar estudiantes'!$A$1:$BZ$1001,240,D$2)&amp;""),""))</f>
        <v/>
      </c>
      <c r="E241">
        <f>IF(E$2=0,"",IFERROR(TRIM(INDEX('Pegar estudiantes'!$A$1:$BZ$1001,240,E$2)&amp;""),""))</f>
        <v/>
      </c>
      <c r="F241">
        <f>IF(F$2=0,"",IFERROR(TRIM(INDEX('Pegar estudiantes'!$A$1:$BZ$1001,240,F$2)&amp;""),""))</f>
        <v/>
      </c>
      <c r="G241">
        <f>IF(G$2=0,"",IFERROR(TRIM(INDEX('Pegar estudiantes'!$A$1:$BZ$1001,240,G$2)&amp;""),""))</f>
        <v/>
      </c>
      <c r="H241">
        <f>IF(H$2=0,"",IFERROR(TRIM(INDEX('Pegar estudiantes'!$A$1:$BZ$1001,240,H$2)&amp;""),""))</f>
        <v/>
      </c>
      <c r="I241">
        <f>IF(I$2=0,"",IFERROR(TRIM(INDEX('Pegar estudiantes'!$A$1:$BZ$1001,240,I$2)&amp;""),""))</f>
        <v/>
      </c>
      <c r="J241">
        <f>IF(J$2=0,"",IFERROR(TRIM(INDEX('Pegar estudiantes'!$A$1:$BZ$1001,240,J$2)&amp;""),""))</f>
        <v/>
      </c>
      <c r="K241">
        <f>IF(K$2=0,"",IFERROR(TRIM(INDEX('Pegar estudiantes'!$A$1:$BZ$1001,240,K$2)&amp;""),""))</f>
        <v/>
      </c>
      <c r="L241" s="25">
        <f>IF(A241&lt;&gt;"",1,"")</f>
        <v/>
      </c>
      <c r="M241" s="25">
        <f>IF(L241=1,IF(ISNUMBER(FIND("#"&amp;MID(A241,1,1)&amp;"#","#0#1#2#3#4#5#6#7#8#9#")),IF(ISNUMBER(FIND("#"&amp;MID(A241,2,1)&amp;"#","#0#1#2#3#4#5#6#7#8#9#")),IF(AND(VALUE(LEFT(A241,2))&gt;=1,VALUE(LEFT(A241,2))&lt;=5),VALUE(LEFT(A241,2)),""),IF(AND(VALUE(LEFT(A241,1))&gt;=1,VALUE(LEFT(A241,1))&lt;=5),VALUE(LEFT(A241,1)),"")),""),"")</f>
        <v/>
      </c>
      <c r="N241" s="25">
        <f>IF(L241=1,IF(ISNUMBER(FIND("#"&amp;MID(H241,1,1)&amp;"#","#0#1#2#3#4#5#6#7#8#9#")),IF(ISNUMBER(FIND("#"&amp;MID(H241,2,1)&amp;"#","#0#1#2#3#4#5#6#7#8#9#")),IF(AND(VALUE(LEFT(H241,2))&gt;=1,VALUE(LEFT(H241,2))&lt;=5),VALUE(LEFT(H241,2)),""),IF(AND(VALUE(LEFT(H241,1))&gt;=1,VALUE(LEFT(H241,1))&lt;=5),VALUE(LEFT(H241,1)),"")),""),"")</f>
        <v/>
      </c>
      <c r="O241" s="25">
        <f>IF(AND(L241=1,B241&lt;&gt;""),SUBSTITUTE(SUBSTITUTE(SUBSTITUTE(SUBSTITUTE(SUBSTITUTE(SUBSTITUTE(SUBSTITUTE(SUBSTITUTE(SUBSTITUTE(SUBSTITUTE(SUBSTITUTE(SUBSTITUTE(LOWER(TRIM(B241)),"á","a"),"é","e"),"í","i"),"ó","o"),"ú","u"),"ü","u"),"ñ","n"),"à","a"),"è","e"),"ì","i"),"ò","o"),"ù","u"),"")</f>
        <v/>
      </c>
      <c r="P241" s="25">
        <f>IF(AND(L241=1,C241&lt;&gt;""),SUBSTITUTE(SUBSTITUTE(SUBSTITUTE(SUBSTITUTE(SUBSTITUTE(SUBSTITUTE(SUBSTITUTE(SUBSTITUTE(SUBSTITUTE(SUBSTITUTE(SUBSTITUTE(SUBSTITUTE(LOWER(TRIM(C241)),"á","a"),"é","e"),"í","i"),"ó","o"),"ú","u"),"ü","u"),"ñ","n"),"à","a"),"è","e"),"ì","i"),"ò","o"),"ù","u"),"")</f>
        <v/>
      </c>
      <c r="Q241" s="25">
        <f>IF(AND(L241=1,E241&lt;&gt;""),SUBSTITUTE(SUBSTITUTE(SUBSTITUTE(SUBSTITUTE(SUBSTITUTE(SUBSTITUTE(SUBSTITUTE(SUBSTITUTE(SUBSTITUTE(SUBSTITUTE(SUBSTITUTE(SUBSTITUTE(LOWER(TRIM(E241)),"á","a"),"é","e"),"í","i"),"ó","o"),"ú","u"),"ü","u"),"ñ","n"),"à","a"),"è","e"),"ì","i"),"ò","o"),"ù","u"),"")</f>
        <v/>
      </c>
      <c r="R241" s="25">
        <f>IF(AND(L241=1,I241&lt;&gt;""),SUBSTITUTE(SUBSTITUTE(SUBSTITUTE(SUBSTITUTE(SUBSTITUTE(SUBSTITUTE(SUBSTITUTE(SUBSTITUTE(SUBSTITUTE(SUBSTITUTE(SUBSTITUTE(SUBSTITUTE(LOWER(TRIM(I241)),"á","a"),"é","e"),"í","i"),"ó","o"),"ú","u"),"ü","u"),"ñ","n"),"à","a"),"è","e"),"ì","i"),"ò","o"),"ù","u"),"")</f>
        <v/>
      </c>
      <c r="S241" s="25">
        <f>IF(R241="","",IF(OR(R241="si",R241="tal vez"),1,0))</f>
        <v/>
      </c>
      <c r="T241" s="25">
        <f>IF(AND(L241=1,D241&lt;&gt;""),IF(IFERROR(COUNTIFS(D$3:D241,"="&amp;SUBSTITUTE(SUBSTITUTE(SUBSTITUTE(D241,"~","~~"),"*","~*"),"?","~?"),L$3:L241,1),0)=1,MAX(T$2:T240)+1,""),"")</f>
        <v/>
      </c>
      <c r="U241" s="25">
        <f>IF(T241="","",COUNTIFS($D$3:$D$1002,"="&amp;SUBSTITUTE(SUBSTITUTE(SUBSTITUTE(D241,"~","~~"),"*","~*"),"?","~?"),$L$3:$L$1002,1)*10000-T241)</f>
        <v/>
      </c>
      <c r="V241" s="25">
        <f>IF(AND(L241=1,J241&lt;&gt;""),IF(IFERROR(COUNTIFS(J$3:J241,"="&amp;SUBSTITUTE(SUBSTITUTE(SUBSTITUTE(J241,"~","~~"),"*","~*"),"?","~?"),L$3:L241,1),0)=1,MAX(V$2:V240)+1,""),"")</f>
        <v/>
      </c>
      <c r="W241" s="25">
        <f>IF(V241="","",COUNTIFS($J$3:$J$1002,"="&amp;SUBSTITUTE(SUBSTITUTE(SUBSTITUTE(J241,"~","~~"),"*","~*"),"?","~?"),$L$3:$L$1002,1)*10000-V241)</f>
        <v/>
      </c>
    </row>
    <row r="242">
      <c r="A242">
        <f>IF(A$2=0,"",IFERROR(TRIM(INDEX('Pegar estudiantes'!$A$1:$BZ$1001,241,A$2)&amp;""),""))</f>
        <v/>
      </c>
      <c r="B242">
        <f>IF(B$2=0,"",IFERROR(TRIM(INDEX('Pegar estudiantes'!$A$1:$BZ$1001,241,B$2)&amp;""),""))</f>
        <v/>
      </c>
      <c r="C242">
        <f>IF(C$2=0,"",IFERROR(TRIM(INDEX('Pegar estudiantes'!$A$1:$BZ$1001,241,C$2)&amp;""),""))</f>
        <v/>
      </c>
      <c r="D242">
        <f>IF(D$2=0,"",IFERROR(TRIM(INDEX('Pegar estudiantes'!$A$1:$BZ$1001,241,D$2)&amp;""),""))</f>
        <v/>
      </c>
      <c r="E242">
        <f>IF(E$2=0,"",IFERROR(TRIM(INDEX('Pegar estudiantes'!$A$1:$BZ$1001,241,E$2)&amp;""),""))</f>
        <v/>
      </c>
      <c r="F242">
        <f>IF(F$2=0,"",IFERROR(TRIM(INDEX('Pegar estudiantes'!$A$1:$BZ$1001,241,F$2)&amp;""),""))</f>
        <v/>
      </c>
      <c r="G242">
        <f>IF(G$2=0,"",IFERROR(TRIM(INDEX('Pegar estudiantes'!$A$1:$BZ$1001,241,G$2)&amp;""),""))</f>
        <v/>
      </c>
      <c r="H242">
        <f>IF(H$2=0,"",IFERROR(TRIM(INDEX('Pegar estudiantes'!$A$1:$BZ$1001,241,H$2)&amp;""),""))</f>
        <v/>
      </c>
      <c r="I242">
        <f>IF(I$2=0,"",IFERROR(TRIM(INDEX('Pegar estudiantes'!$A$1:$BZ$1001,241,I$2)&amp;""),""))</f>
        <v/>
      </c>
      <c r="J242">
        <f>IF(J$2=0,"",IFERROR(TRIM(INDEX('Pegar estudiantes'!$A$1:$BZ$1001,241,J$2)&amp;""),""))</f>
        <v/>
      </c>
      <c r="K242">
        <f>IF(K$2=0,"",IFERROR(TRIM(INDEX('Pegar estudiantes'!$A$1:$BZ$1001,241,K$2)&amp;""),""))</f>
        <v/>
      </c>
      <c r="L242" s="25">
        <f>IF(A242&lt;&gt;"",1,"")</f>
        <v/>
      </c>
      <c r="M242" s="25">
        <f>IF(L242=1,IF(ISNUMBER(FIND("#"&amp;MID(A242,1,1)&amp;"#","#0#1#2#3#4#5#6#7#8#9#")),IF(ISNUMBER(FIND("#"&amp;MID(A242,2,1)&amp;"#","#0#1#2#3#4#5#6#7#8#9#")),IF(AND(VALUE(LEFT(A242,2))&gt;=1,VALUE(LEFT(A242,2))&lt;=5),VALUE(LEFT(A242,2)),""),IF(AND(VALUE(LEFT(A242,1))&gt;=1,VALUE(LEFT(A242,1))&lt;=5),VALUE(LEFT(A242,1)),"")),""),"")</f>
        <v/>
      </c>
      <c r="N242" s="25">
        <f>IF(L242=1,IF(ISNUMBER(FIND("#"&amp;MID(H242,1,1)&amp;"#","#0#1#2#3#4#5#6#7#8#9#")),IF(ISNUMBER(FIND("#"&amp;MID(H242,2,1)&amp;"#","#0#1#2#3#4#5#6#7#8#9#")),IF(AND(VALUE(LEFT(H242,2))&gt;=1,VALUE(LEFT(H242,2))&lt;=5),VALUE(LEFT(H242,2)),""),IF(AND(VALUE(LEFT(H242,1))&gt;=1,VALUE(LEFT(H242,1))&lt;=5),VALUE(LEFT(H242,1)),"")),""),"")</f>
        <v/>
      </c>
      <c r="O242" s="25">
        <f>IF(AND(L242=1,B242&lt;&gt;""),SUBSTITUTE(SUBSTITUTE(SUBSTITUTE(SUBSTITUTE(SUBSTITUTE(SUBSTITUTE(SUBSTITUTE(SUBSTITUTE(SUBSTITUTE(SUBSTITUTE(SUBSTITUTE(SUBSTITUTE(LOWER(TRIM(B242)),"á","a"),"é","e"),"í","i"),"ó","o"),"ú","u"),"ü","u"),"ñ","n"),"à","a"),"è","e"),"ì","i"),"ò","o"),"ù","u"),"")</f>
        <v/>
      </c>
      <c r="P242" s="25">
        <f>IF(AND(L242=1,C242&lt;&gt;""),SUBSTITUTE(SUBSTITUTE(SUBSTITUTE(SUBSTITUTE(SUBSTITUTE(SUBSTITUTE(SUBSTITUTE(SUBSTITUTE(SUBSTITUTE(SUBSTITUTE(SUBSTITUTE(SUBSTITUTE(LOWER(TRIM(C242)),"á","a"),"é","e"),"í","i"),"ó","o"),"ú","u"),"ü","u"),"ñ","n"),"à","a"),"è","e"),"ì","i"),"ò","o"),"ù","u"),"")</f>
        <v/>
      </c>
      <c r="Q242" s="25">
        <f>IF(AND(L242=1,E242&lt;&gt;""),SUBSTITUTE(SUBSTITUTE(SUBSTITUTE(SUBSTITUTE(SUBSTITUTE(SUBSTITUTE(SUBSTITUTE(SUBSTITUTE(SUBSTITUTE(SUBSTITUTE(SUBSTITUTE(SUBSTITUTE(LOWER(TRIM(E242)),"á","a"),"é","e"),"í","i"),"ó","o"),"ú","u"),"ü","u"),"ñ","n"),"à","a"),"è","e"),"ì","i"),"ò","o"),"ù","u"),"")</f>
        <v/>
      </c>
      <c r="R242" s="25">
        <f>IF(AND(L242=1,I242&lt;&gt;""),SUBSTITUTE(SUBSTITUTE(SUBSTITUTE(SUBSTITUTE(SUBSTITUTE(SUBSTITUTE(SUBSTITUTE(SUBSTITUTE(SUBSTITUTE(SUBSTITUTE(SUBSTITUTE(SUBSTITUTE(LOWER(TRIM(I242)),"á","a"),"é","e"),"í","i"),"ó","o"),"ú","u"),"ü","u"),"ñ","n"),"à","a"),"è","e"),"ì","i"),"ò","o"),"ù","u"),"")</f>
        <v/>
      </c>
      <c r="S242" s="25">
        <f>IF(R242="","",IF(OR(R242="si",R242="tal vez"),1,0))</f>
        <v/>
      </c>
      <c r="T242" s="25">
        <f>IF(AND(L242=1,D242&lt;&gt;""),IF(IFERROR(COUNTIFS(D$3:D242,"="&amp;SUBSTITUTE(SUBSTITUTE(SUBSTITUTE(D242,"~","~~"),"*","~*"),"?","~?"),L$3:L242,1),0)=1,MAX(T$2:T241)+1,""),"")</f>
        <v/>
      </c>
      <c r="U242" s="25">
        <f>IF(T242="","",COUNTIFS($D$3:$D$1002,"="&amp;SUBSTITUTE(SUBSTITUTE(SUBSTITUTE(D242,"~","~~"),"*","~*"),"?","~?"),$L$3:$L$1002,1)*10000-T242)</f>
        <v/>
      </c>
      <c r="V242" s="25">
        <f>IF(AND(L242=1,J242&lt;&gt;""),IF(IFERROR(COUNTIFS(J$3:J242,"="&amp;SUBSTITUTE(SUBSTITUTE(SUBSTITUTE(J242,"~","~~"),"*","~*"),"?","~?"),L$3:L242,1),0)=1,MAX(V$2:V241)+1,""),"")</f>
        <v/>
      </c>
      <c r="W242" s="25">
        <f>IF(V242="","",COUNTIFS($J$3:$J$1002,"="&amp;SUBSTITUTE(SUBSTITUTE(SUBSTITUTE(J242,"~","~~"),"*","~*"),"?","~?"),$L$3:$L$1002,1)*10000-V242)</f>
        <v/>
      </c>
    </row>
    <row r="243">
      <c r="A243">
        <f>IF(A$2=0,"",IFERROR(TRIM(INDEX('Pegar estudiantes'!$A$1:$BZ$1001,242,A$2)&amp;""),""))</f>
        <v/>
      </c>
      <c r="B243">
        <f>IF(B$2=0,"",IFERROR(TRIM(INDEX('Pegar estudiantes'!$A$1:$BZ$1001,242,B$2)&amp;""),""))</f>
        <v/>
      </c>
      <c r="C243">
        <f>IF(C$2=0,"",IFERROR(TRIM(INDEX('Pegar estudiantes'!$A$1:$BZ$1001,242,C$2)&amp;""),""))</f>
        <v/>
      </c>
      <c r="D243">
        <f>IF(D$2=0,"",IFERROR(TRIM(INDEX('Pegar estudiantes'!$A$1:$BZ$1001,242,D$2)&amp;""),""))</f>
        <v/>
      </c>
      <c r="E243">
        <f>IF(E$2=0,"",IFERROR(TRIM(INDEX('Pegar estudiantes'!$A$1:$BZ$1001,242,E$2)&amp;""),""))</f>
        <v/>
      </c>
      <c r="F243">
        <f>IF(F$2=0,"",IFERROR(TRIM(INDEX('Pegar estudiantes'!$A$1:$BZ$1001,242,F$2)&amp;""),""))</f>
        <v/>
      </c>
      <c r="G243">
        <f>IF(G$2=0,"",IFERROR(TRIM(INDEX('Pegar estudiantes'!$A$1:$BZ$1001,242,G$2)&amp;""),""))</f>
        <v/>
      </c>
      <c r="H243">
        <f>IF(H$2=0,"",IFERROR(TRIM(INDEX('Pegar estudiantes'!$A$1:$BZ$1001,242,H$2)&amp;""),""))</f>
        <v/>
      </c>
      <c r="I243">
        <f>IF(I$2=0,"",IFERROR(TRIM(INDEX('Pegar estudiantes'!$A$1:$BZ$1001,242,I$2)&amp;""),""))</f>
        <v/>
      </c>
      <c r="J243">
        <f>IF(J$2=0,"",IFERROR(TRIM(INDEX('Pegar estudiantes'!$A$1:$BZ$1001,242,J$2)&amp;""),""))</f>
        <v/>
      </c>
      <c r="K243">
        <f>IF(K$2=0,"",IFERROR(TRIM(INDEX('Pegar estudiantes'!$A$1:$BZ$1001,242,K$2)&amp;""),""))</f>
        <v/>
      </c>
      <c r="L243" s="25">
        <f>IF(A243&lt;&gt;"",1,"")</f>
        <v/>
      </c>
      <c r="M243" s="25">
        <f>IF(L243=1,IF(ISNUMBER(FIND("#"&amp;MID(A243,1,1)&amp;"#","#0#1#2#3#4#5#6#7#8#9#")),IF(ISNUMBER(FIND("#"&amp;MID(A243,2,1)&amp;"#","#0#1#2#3#4#5#6#7#8#9#")),IF(AND(VALUE(LEFT(A243,2))&gt;=1,VALUE(LEFT(A243,2))&lt;=5),VALUE(LEFT(A243,2)),""),IF(AND(VALUE(LEFT(A243,1))&gt;=1,VALUE(LEFT(A243,1))&lt;=5),VALUE(LEFT(A243,1)),"")),""),"")</f>
        <v/>
      </c>
      <c r="N243" s="25">
        <f>IF(L243=1,IF(ISNUMBER(FIND("#"&amp;MID(H243,1,1)&amp;"#","#0#1#2#3#4#5#6#7#8#9#")),IF(ISNUMBER(FIND("#"&amp;MID(H243,2,1)&amp;"#","#0#1#2#3#4#5#6#7#8#9#")),IF(AND(VALUE(LEFT(H243,2))&gt;=1,VALUE(LEFT(H243,2))&lt;=5),VALUE(LEFT(H243,2)),""),IF(AND(VALUE(LEFT(H243,1))&gt;=1,VALUE(LEFT(H243,1))&lt;=5),VALUE(LEFT(H243,1)),"")),""),"")</f>
        <v/>
      </c>
      <c r="O243" s="25">
        <f>IF(AND(L243=1,B243&lt;&gt;""),SUBSTITUTE(SUBSTITUTE(SUBSTITUTE(SUBSTITUTE(SUBSTITUTE(SUBSTITUTE(SUBSTITUTE(SUBSTITUTE(SUBSTITUTE(SUBSTITUTE(SUBSTITUTE(SUBSTITUTE(LOWER(TRIM(B243)),"á","a"),"é","e"),"í","i"),"ó","o"),"ú","u"),"ü","u"),"ñ","n"),"à","a"),"è","e"),"ì","i"),"ò","o"),"ù","u"),"")</f>
        <v/>
      </c>
      <c r="P243" s="25">
        <f>IF(AND(L243=1,C243&lt;&gt;""),SUBSTITUTE(SUBSTITUTE(SUBSTITUTE(SUBSTITUTE(SUBSTITUTE(SUBSTITUTE(SUBSTITUTE(SUBSTITUTE(SUBSTITUTE(SUBSTITUTE(SUBSTITUTE(SUBSTITUTE(LOWER(TRIM(C243)),"á","a"),"é","e"),"í","i"),"ó","o"),"ú","u"),"ü","u"),"ñ","n"),"à","a"),"è","e"),"ì","i"),"ò","o"),"ù","u"),"")</f>
        <v/>
      </c>
      <c r="Q243" s="25">
        <f>IF(AND(L243=1,E243&lt;&gt;""),SUBSTITUTE(SUBSTITUTE(SUBSTITUTE(SUBSTITUTE(SUBSTITUTE(SUBSTITUTE(SUBSTITUTE(SUBSTITUTE(SUBSTITUTE(SUBSTITUTE(SUBSTITUTE(SUBSTITUTE(LOWER(TRIM(E243)),"á","a"),"é","e"),"í","i"),"ó","o"),"ú","u"),"ü","u"),"ñ","n"),"à","a"),"è","e"),"ì","i"),"ò","o"),"ù","u"),"")</f>
        <v/>
      </c>
      <c r="R243" s="25">
        <f>IF(AND(L243=1,I243&lt;&gt;""),SUBSTITUTE(SUBSTITUTE(SUBSTITUTE(SUBSTITUTE(SUBSTITUTE(SUBSTITUTE(SUBSTITUTE(SUBSTITUTE(SUBSTITUTE(SUBSTITUTE(SUBSTITUTE(SUBSTITUTE(LOWER(TRIM(I243)),"á","a"),"é","e"),"í","i"),"ó","o"),"ú","u"),"ü","u"),"ñ","n"),"à","a"),"è","e"),"ì","i"),"ò","o"),"ù","u"),"")</f>
        <v/>
      </c>
      <c r="S243" s="25">
        <f>IF(R243="","",IF(OR(R243="si",R243="tal vez"),1,0))</f>
        <v/>
      </c>
      <c r="T243" s="25">
        <f>IF(AND(L243=1,D243&lt;&gt;""),IF(IFERROR(COUNTIFS(D$3:D243,"="&amp;SUBSTITUTE(SUBSTITUTE(SUBSTITUTE(D243,"~","~~"),"*","~*"),"?","~?"),L$3:L243,1),0)=1,MAX(T$2:T242)+1,""),"")</f>
        <v/>
      </c>
      <c r="U243" s="25">
        <f>IF(T243="","",COUNTIFS($D$3:$D$1002,"="&amp;SUBSTITUTE(SUBSTITUTE(SUBSTITUTE(D243,"~","~~"),"*","~*"),"?","~?"),$L$3:$L$1002,1)*10000-T243)</f>
        <v/>
      </c>
      <c r="V243" s="25">
        <f>IF(AND(L243=1,J243&lt;&gt;""),IF(IFERROR(COUNTIFS(J$3:J243,"="&amp;SUBSTITUTE(SUBSTITUTE(SUBSTITUTE(J243,"~","~~"),"*","~*"),"?","~?"),L$3:L243,1),0)=1,MAX(V$2:V242)+1,""),"")</f>
        <v/>
      </c>
      <c r="W243" s="25">
        <f>IF(V243="","",COUNTIFS($J$3:$J$1002,"="&amp;SUBSTITUTE(SUBSTITUTE(SUBSTITUTE(J243,"~","~~"),"*","~*"),"?","~?"),$L$3:$L$1002,1)*10000-V243)</f>
        <v/>
      </c>
    </row>
    <row r="244">
      <c r="A244">
        <f>IF(A$2=0,"",IFERROR(TRIM(INDEX('Pegar estudiantes'!$A$1:$BZ$1001,243,A$2)&amp;""),""))</f>
        <v/>
      </c>
      <c r="B244">
        <f>IF(B$2=0,"",IFERROR(TRIM(INDEX('Pegar estudiantes'!$A$1:$BZ$1001,243,B$2)&amp;""),""))</f>
        <v/>
      </c>
      <c r="C244">
        <f>IF(C$2=0,"",IFERROR(TRIM(INDEX('Pegar estudiantes'!$A$1:$BZ$1001,243,C$2)&amp;""),""))</f>
        <v/>
      </c>
      <c r="D244">
        <f>IF(D$2=0,"",IFERROR(TRIM(INDEX('Pegar estudiantes'!$A$1:$BZ$1001,243,D$2)&amp;""),""))</f>
        <v/>
      </c>
      <c r="E244">
        <f>IF(E$2=0,"",IFERROR(TRIM(INDEX('Pegar estudiantes'!$A$1:$BZ$1001,243,E$2)&amp;""),""))</f>
        <v/>
      </c>
      <c r="F244">
        <f>IF(F$2=0,"",IFERROR(TRIM(INDEX('Pegar estudiantes'!$A$1:$BZ$1001,243,F$2)&amp;""),""))</f>
        <v/>
      </c>
      <c r="G244">
        <f>IF(G$2=0,"",IFERROR(TRIM(INDEX('Pegar estudiantes'!$A$1:$BZ$1001,243,G$2)&amp;""),""))</f>
        <v/>
      </c>
      <c r="H244">
        <f>IF(H$2=0,"",IFERROR(TRIM(INDEX('Pegar estudiantes'!$A$1:$BZ$1001,243,H$2)&amp;""),""))</f>
        <v/>
      </c>
      <c r="I244">
        <f>IF(I$2=0,"",IFERROR(TRIM(INDEX('Pegar estudiantes'!$A$1:$BZ$1001,243,I$2)&amp;""),""))</f>
        <v/>
      </c>
      <c r="J244">
        <f>IF(J$2=0,"",IFERROR(TRIM(INDEX('Pegar estudiantes'!$A$1:$BZ$1001,243,J$2)&amp;""),""))</f>
        <v/>
      </c>
      <c r="K244">
        <f>IF(K$2=0,"",IFERROR(TRIM(INDEX('Pegar estudiantes'!$A$1:$BZ$1001,243,K$2)&amp;""),""))</f>
        <v/>
      </c>
      <c r="L244" s="25">
        <f>IF(A244&lt;&gt;"",1,"")</f>
        <v/>
      </c>
      <c r="M244" s="25">
        <f>IF(L244=1,IF(ISNUMBER(FIND("#"&amp;MID(A244,1,1)&amp;"#","#0#1#2#3#4#5#6#7#8#9#")),IF(ISNUMBER(FIND("#"&amp;MID(A244,2,1)&amp;"#","#0#1#2#3#4#5#6#7#8#9#")),IF(AND(VALUE(LEFT(A244,2))&gt;=1,VALUE(LEFT(A244,2))&lt;=5),VALUE(LEFT(A244,2)),""),IF(AND(VALUE(LEFT(A244,1))&gt;=1,VALUE(LEFT(A244,1))&lt;=5),VALUE(LEFT(A244,1)),"")),""),"")</f>
        <v/>
      </c>
      <c r="N244" s="25">
        <f>IF(L244=1,IF(ISNUMBER(FIND("#"&amp;MID(H244,1,1)&amp;"#","#0#1#2#3#4#5#6#7#8#9#")),IF(ISNUMBER(FIND("#"&amp;MID(H244,2,1)&amp;"#","#0#1#2#3#4#5#6#7#8#9#")),IF(AND(VALUE(LEFT(H244,2))&gt;=1,VALUE(LEFT(H244,2))&lt;=5),VALUE(LEFT(H244,2)),""),IF(AND(VALUE(LEFT(H244,1))&gt;=1,VALUE(LEFT(H244,1))&lt;=5),VALUE(LEFT(H244,1)),"")),""),"")</f>
        <v/>
      </c>
      <c r="O244" s="25">
        <f>IF(AND(L244=1,B244&lt;&gt;""),SUBSTITUTE(SUBSTITUTE(SUBSTITUTE(SUBSTITUTE(SUBSTITUTE(SUBSTITUTE(SUBSTITUTE(SUBSTITUTE(SUBSTITUTE(SUBSTITUTE(SUBSTITUTE(SUBSTITUTE(LOWER(TRIM(B244)),"á","a"),"é","e"),"í","i"),"ó","o"),"ú","u"),"ü","u"),"ñ","n"),"à","a"),"è","e"),"ì","i"),"ò","o"),"ù","u"),"")</f>
        <v/>
      </c>
      <c r="P244" s="25">
        <f>IF(AND(L244=1,C244&lt;&gt;""),SUBSTITUTE(SUBSTITUTE(SUBSTITUTE(SUBSTITUTE(SUBSTITUTE(SUBSTITUTE(SUBSTITUTE(SUBSTITUTE(SUBSTITUTE(SUBSTITUTE(SUBSTITUTE(SUBSTITUTE(LOWER(TRIM(C244)),"á","a"),"é","e"),"í","i"),"ó","o"),"ú","u"),"ü","u"),"ñ","n"),"à","a"),"è","e"),"ì","i"),"ò","o"),"ù","u"),"")</f>
        <v/>
      </c>
      <c r="Q244" s="25">
        <f>IF(AND(L244=1,E244&lt;&gt;""),SUBSTITUTE(SUBSTITUTE(SUBSTITUTE(SUBSTITUTE(SUBSTITUTE(SUBSTITUTE(SUBSTITUTE(SUBSTITUTE(SUBSTITUTE(SUBSTITUTE(SUBSTITUTE(SUBSTITUTE(LOWER(TRIM(E244)),"á","a"),"é","e"),"í","i"),"ó","o"),"ú","u"),"ü","u"),"ñ","n"),"à","a"),"è","e"),"ì","i"),"ò","o"),"ù","u"),"")</f>
        <v/>
      </c>
      <c r="R244" s="25">
        <f>IF(AND(L244=1,I244&lt;&gt;""),SUBSTITUTE(SUBSTITUTE(SUBSTITUTE(SUBSTITUTE(SUBSTITUTE(SUBSTITUTE(SUBSTITUTE(SUBSTITUTE(SUBSTITUTE(SUBSTITUTE(SUBSTITUTE(SUBSTITUTE(LOWER(TRIM(I244)),"á","a"),"é","e"),"í","i"),"ó","o"),"ú","u"),"ü","u"),"ñ","n"),"à","a"),"è","e"),"ì","i"),"ò","o"),"ù","u"),"")</f>
        <v/>
      </c>
      <c r="S244" s="25">
        <f>IF(R244="","",IF(OR(R244="si",R244="tal vez"),1,0))</f>
        <v/>
      </c>
      <c r="T244" s="25">
        <f>IF(AND(L244=1,D244&lt;&gt;""),IF(IFERROR(COUNTIFS(D$3:D244,"="&amp;SUBSTITUTE(SUBSTITUTE(SUBSTITUTE(D244,"~","~~"),"*","~*"),"?","~?"),L$3:L244,1),0)=1,MAX(T$2:T243)+1,""),"")</f>
        <v/>
      </c>
      <c r="U244" s="25">
        <f>IF(T244="","",COUNTIFS($D$3:$D$1002,"="&amp;SUBSTITUTE(SUBSTITUTE(SUBSTITUTE(D244,"~","~~"),"*","~*"),"?","~?"),$L$3:$L$1002,1)*10000-T244)</f>
        <v/>
      </c>
      <c r="V244" s="25">
        <f>IF(AND(L244=1,J244&lt;&gt;""),IF(IFERROR(COUNTIFS(J$3:J244,"="&amp;SUBSTITUTE(SUBSTITUTE(SUBSTITUTE(J244,"~","~~"),"*","~*"),"?","~?"),L$3:L244,1),0)=1,MAX(V$2:V243)+1,""),"")</f>
        <v/>
      </c>
      <c r="W244" s="25">
        <f>IF(V244="","",COUNTIFS($J$3:$J$1002,"="&amp;SUBSTITUTE(SUBSTITUTE(SUBSTITUTE(J244,"~","~~"),"*","~*"),"?","~?"),$L$3:$L$1002,1)*10000-V244)</f>
        <v/>
      </c>
    </row>
    <row r="245">
      <c r="A245">
        <f>IF(A$2=0,"",IFERROR(TRIM(INDEX('Pegar estudiantes'!$A$1:$BZ$1001,244,A$2)&amp;""),""))</f>
        <v/>
      </c>
      <c r="B245">
        <f>IF(B$2=0,"",IFERROR(TRIM(INDEX('Pegar estudiantes'!$A$1:$BZ$1001,244,B$2)&amp;""),""))</f>
        <v/>
      </c>
      <c r="C245">
        <f>IF(C$2=0,"",IFERROR(TRIM(INDEX('Pegar estudiantes'!$A$1:$BZ$1001,244,C$2)&amp;""),""))</f>
        <v/>
      </c>
      <c r="D245">
        <f>IF(D$2=0,"",IFERROR(TRIM(INDEX('Pegar estudiantes'!$A$1:$BZ$1001,244,D$2)&amp;""),""))</f>
        <v/>
      </c>
      <c r="E245">
        <f>IF(E$2=0,"",IFERROR(TRIM(INDEX('Pegar estudiantes'!$A$1:$BZ$1001,244,E$2)&amp;""),""))</f>
        <v/>
      </c>
      <c r="F245">
        <f>IF(F$2=0,"",IFERROR(TRIM(INDEX('Pegar estudiantes'!$A$1:$BZ$1001,244,F$2)&amp;""),""))</f>
        <v/>
      </c>
      <c r="G245">
        <f>IF(G$2=0,"",IFERROR(TRIM(INDEX('Pegar estudiantes'!$A$1:$BZ$1001,244,G$2)&amp;""),""))</f>
        <v/>
      </c>
      <c r="H245">
        <f>IF(H$2=0,"",IFERROR(TRIM(INDEX('Pegar estudiantes'!$A$1:$BZ$1001,244,H$2)&amp;""),""))</f>
        <v/>
      </c>
      <c r="I245">
        <f>IF(I$2=0,"",IFERROR(TRIM(INDEX('Pegar estudiantes'!$A$1:$BZ$1001,244,I$2)&amp;""),""))</f>
        <v/>
      </c>
      <c r="J245">
        <f>IF(J$2=0,"",IFERROR(TRIM(INDEX('Pegar estudiantes'!$A$1:$BZ$1001,244,J$2)&amp;""),""))</f>
        <v/>
      </c>
      <c r="K245">
        <f>IF(K$2=0,"",IFERROR(TRIM(INDEX('Pegar estudiantes'!$A$1:$BZ$1001,244,K$2)&amp;""),""))</f>
        <v/>
      </c>
      <c r="L245" s="25">
        <f>IF(A245&lt;&gt;"",1,"")</f>
        <v/>
      </c>
      <c r="M245" s="25">
        <f>IF(L245=1,IF(ISNUMBER(FIND("#"&amp;MID(A245,1,1)&amp;"#","#0#1#2#3#4#5#6#7#8#9#")),IF(ISNUMBER(FIND("#"&amp;MID(A245,2,1)&amp;"#","#0#1#2#3#4#5#6#7#8#9#")),IF(AND(VALUE(LEFT(A245,2))&gt;=1,VALUE(LEFT(A245,2))&lt;=5),VALUE(LEFT(A245,2)),""),IF(AND(VALUE(LEFT(A245,1))&gt;=1,VALUE(LEFT(A245,1))&lt;=5),VALUE(LEFT(A245,1)),"")),""),"")</f>
        <v/>
      </c>
      <c r="N245" s="25">
        <f>IF(L245=1,IF(ISNUMBER(FIND("#"&amp;MID(H245,1,1)&amp;"#","#0#1#2#3#4#5#6#7#8#9#")),IF(ISNUMBER(FIND("#"&amp;MID(H245,2,1)&amp;"#","#0#1#2#3#4#5#6#7#8#9#")),IF(AND(VALUE(LEFT(H245,2))&gt;=1,VALUE(LEFT(H245,2))&lt;=5),VALUE(LEFT(H245,2)),""),IF(AND(VALUE(LEFT(H245,1))&gt;=1,VALUE(LEFT(H245,1))&lt;=5),VALUE(LEFT(H245,1)),"")),""),"")</f>
        <v/>
      </c>
      <c r="O245" s="25">
        <f>IF(AND(L245=1,B245&lt;&gt;""),SUBSTITUTE(SUBSTITUTE(SUBSTITUTE(SUBSTITUTE(SUBSTITUTE(SUBSTITUTE(SUBSTITUTE(SUBSTITUTE(SUBSTITUTE(SUBSTITUTE(SUBSTITUTE(SUBSTITUTE(LOWER(TRIM(B245)),"á","a"),"é","e"),"í","i"),"ó","o"),"ú","u"),"ü","u"),"ñ","n"),"à","a"),"è","e"),"ì","i"),"ò","o"),"ù","u"),"")</f>
        <v/>
      </c>
      <c r="P245" s="25">
        <f>IF(AND(L245=1,C245&lt;&gt;""),SUBSTITUTE(SUBSTITUTE(SUBSTITUTE(SUBSTITUTE(SUBSTITUTE(SUBSTITUTE(SUBSTITUTE(SUBSTITUTE(SUBSTITUTE(SUBSTITUTE(SUBSTITUTE(SUBSTITUTE(LOWER(TRIM(C245)),"á","a"),"é","e"),"í","i"),"ó","o"),"ú","u"),"ü","u"),"ñ","n"),"à","a"),"è","e"),"ì","i"),"ò","o"),"ù","u"),"")</f>
        <v/>
      </c>
      <c r="Q245" s="25">
        <f>IF(AND(L245=1,E245&lt;&gt;""),SUBSTITUTE(SUBSTITUTE(SUBSTITUTE(SUBSTITUTE(SUBSTITUTE(SUBSTITUTE(SUBSTITUTE(SUBSTITUTE(SUBSTITUTE(SUBSTITUTE(SUBSTITUTE(SUBSTITUTE(LOWER(TRIM(E245)),"á","a"),"é","e"),"í","i"),"ó","o"),"ú","u"),"ü","u"),"ñ","n"),"à","a"),"è","e"),"ì","i"),"ò","o"),"ù","u"),"")</f>
        <v/>
      </c>
      <c r="R245" s="25">
        <f>IF(AND(L245=1,I245&lt;&gt;""),SUBSTITUTE(SUBSTITUTE(SUBSTITUTE(SUBSTITUTE(SUBSTITUTE(SUBSTITUTE(SUBSTITUTE(SUBSTITUTE(SUBSTITUTE(SUBSTITUTE(SUBSTITUTE(SUBSTITUTE(LOWER(TRIM(I245)),"á","a"),"é","e"),"í","i"),"ó","o"),"ú","u"),"ü","u"),"ñ","n"),"à","a"),"è","e"),"ì","i"),"ò","o"),"ù","u"),"")</f>
        <v/>
      </c>
      <c r="S245" s="25">
        <f>IF(R245="","",IF(OR(R245="si",R245="tal vez"),1,0))</f>
        <v/>
      </c>
      <c r="T245" s="25">
        <f>IF(AND(L245=1,D245&lt;&gt;""),IF(IFERROR(COUNTIFS(D$3:D245,"="&amp;SUBSTITUTE(SUBSTITUTE(SUBSTITUTE(D245,"~","~~"),"*","~*"),"?","~?"),L$3:L245,1),0)=1,MAX(T$2:T244)+1,""),"")</f>
        <v/>
      </c>
      <c r="U245" s="25">
        <f>IF(T245="","",COUNTIFS($D$3:$D$1002,"="&amp;SUBSTITUTE(SUBSTITUTE(SUBSTITUTE(D245,"~","~~"),"*","~*"),"?","~?"),$L$3:$L$1002,1)*10000-T245)</f>
        <v/>
      </c>
      <c r="V245" s="25">
        <f>IF(AND(L245=1,J245&lt;&gt;""),IF(IFERROR(COUNTIFS(J$3:J245,"="&amp;SUBSTITUTE(SUBSTITUTE(SUBSTITUTE(J245,"~","~~"),"*","~*"),"?","~?"),L$3:L245,1),0)=1,MAX(V$2:V244)+1,""),"")</f>
        <v/>
      </c>
      <c r="W245" s="25">
        <f>IF(V245="","",COUNTIFS($J$3:$J$1002,"="&amp;SUBSTITUTE(SUBSTITUTE(SUBSTITUTE(J245,"~","~~"),"*","~*"),"?","~?"),$L$3:$L$1002,1)*10000-V245)</f>
        <v/>
      </c>
    </row>
    <row r="246">
      <c r="A246">
        <f>IF(A$2=0,"",IFERROR(TRIM(INDEX('Pegar estudiantes'!$A$1:$BZ$1001,245,A$2)&amp;""),""))</f>
        <v/>
      </c>
      <c r="B246">
        <f>IF(B$2=0,"",IFERROR(TRIM(INDEX('Pegar estudiantes'!$A$1:$BZ$1001,245,B$2)&amp;""),""))</f>
        <v/>
      </c>
      <c r="C246">
        <f>IF(C$2=0,"",IFERROR(TRIM(INDEX('Pegar estudiantes'!$A$1:$BZ$1001,245,C$2)&amp;""),""))</f>
        <v/>
      </c>
      <c r="D246">
        <f>IF(D$2=0,"",IFERROR(TRIM(INDEX('Pegar estudiantes'!$A$1:$BZ$1001,245,D$2)&amp;""),""))</f>
        <v/>
      </c>
      <c r="E246">
        <f>IF(E$2=0,"",IFERROR(TRIM(INDEX('Pegar estudiantes'!$A$1:$BZ$1001,245,E$2)&amp;""),""))</f>
        <v/>
      </c>
      <c r="F246">
        <f>IF(F$2=0,"",IFERROR(TRIM(INDEX('Pegar estudiantes'!$A$1:$BZ$1001,245,F$2)&amp;""),""))</f>
        <v/>
      </c>
      <c r="G246">
        <f>IF(G$2=0,"",IFERROR(TRIM(INDEX('Pegar estudiantes'!$A$1:$BZ$1001,245,G$2)&amp;""),""))</f>
        <v/>
      </c>
      <c r="H246">
        <f>IF(H$2=0,"",IFERROR(TRIM(INDEX('Pegar estudiantes'!$A$1:$BZ$1001,245,H$2)&amp;""),""))</f>
        <v/>
      </c>
      <c r="I246">
        <f>IF(I$2=0,"",IFERROR(TRIM(INDEX('Pegar estudiantes'!$A$1:$BZ$1001,245,I$2)&amp;""),""))</f>
        <v/>
      </c>
      <c r="J246">
        <f>IF(J$2=0,"",IFERROR(TRIM(INDEX('Pegar estudiantes'!$A$1:$BZ$1001,245,J$2)&amp;""),""))</f>
        <v/>
      </c>
      <c r="K246">
        <f>IF(K$2=0,"",IFERROR(TRIM(INDEX('Pegar estudiantes'!$A$1:$BZ$1001,245,K$2)&amp;""),""))</f>
        <v/>
      </c>
      <c r="L246" s="25">
        <f>IF(A246&lt;&gt;"",1,"")</f>
        <v/>
      </c>
      <c r="M246" s="25">
        <f>IF(L246=1,IF(ISNUMBER(FIND("#"&amp;MID(A246,1,1)&amp;"#","#0#1#2#3#4#5#6#7#8#9#")),IF(ISNUMBER(FIND("#"&amp;MID(A246,2,1)&amp;"#","#0#1#2#3#4#5#6#7#8#9#")),IF(AND(VALUE(LEFT(A246,2))&gt;=1,VALUE(LEFT(A246,2))&lt;=5),VALUE(LEFT(A246,2)),""),IF(AND(VALUE(LEFT(A246,1))&gt;=1,VALUE(LEFT(A246,1))&lt;=5),VALUE(LEFT(A246,1)),"")),""),"")</f>
        <v/>
      </c>
      <c r="N246" s="25">
        <f>IF(L246=1,IF(ISNUMBER(FIND("#"&amp;MID(H246,1,1)&amp;"#","#0#1#2#3#4#5#6#7#8#9#")),IF(ISNUMBER(FIND("#"&amp;MID(H246,2,1)&amp;"#","#0#1#2#3#4#5#6#7#8#9#")),IF(AND(VALUE(LEFT(H246,2))&gt;=1,VALUE(LEFT(H246,2))&lt;=5),VALUE(LEFT(H246,2)),""),IF(AND(VALUE(LEFT(H246,1))&gt;=1,VALUE(LEFT(H246,1))&lt;=5),VALUE(LEFT(H246,1)),"")),""),"")</f>
        <v/>
      </c>
      <c r="O246" s="25">
        <f>IF(AND(L246=1,B246&lt;&gt;""),SUBSTITUTE(SUBSTITUTE(SUBSTITUTE(SUBSTITUTE(SUBSTITUTE(SUBSTITUTE(SUBSTITUTE(SUBSTITUTE(SUBSTITUTE(SUBSTITUTE(SUBSTITUTE(SUBSTITUTE(LOWER(TRIM(B246)),"á","a"),"é","e"),"í","i"),"ó","o"),"ú","u"),"ü","u"),"ñ","n"),"à","a"),"è","e"),"ì","i"),"ò","o"),"ù","u"),"")</f>
        <v/>
      </c>
      <c r="P246" s="25">
        <f>IF(AND(L246=1,C246&lt;&gt;""),SUBSTITUTE(SUBSTITUTE(SUBSTITUTE(SUBSTITUTE(SUBSTITUTE(SUBSTITUTE(SUBSTITUTE(SUBSTITUTE(SUBSTITUTE(SUBSTITUTE(SUBSTITUTE(SUBSTITUTE(LOWER(TRIM(C246)),"á","a"),"é","e"),"í","i"),"ó","o"),"ú","u"),"ü","u"),"ñ","n"),"à","a"),"è","e"),"ì","i"),"ò","o"),"ù","u"),"")</f>
        <v/>
      </c>
      <c r="Q246" s="25">
        <f>IF(AND(L246=1,E246&lt;&gt;""),SUBSTITUTE(SUBSTITUTE(SUBSTITUTE(SUBSTITUTE(SUBSTITUTE(SUBSTITUTE(SUBSTITUTE(SUBSTITUTE(SUBSTITUTE(SUBSTITUTE(SUBSTITUTE(SUBSTITUTE(LOWER(TRIM(E246)),"á","a"),"é","e"),"í","i"),"ó","o"),"ú","u"),"ü","u"),"ñ","n"),"à","a"),"è","e"),"ì","i"),"ò","o"),"ù","u"),"")</f>
        <v/>
      </c>
      <c r="R246" s="25">
        <f>IF(AND(L246=1,I246&lt;&gt;""),SUBSTITUTE(SUBSTITUTE(SUBSTITUTE(SUBSTITUTE(SUBSTITUTE(SUBSTITUTE(SUBSTITUTE(SUBSTITUTE(SUBSTITUTE(SUBSTITUTE(SUBSTITUTE(SUBSTITUTE(LOWER(TRIM(I246)),"á","a"),"é","e"),"í","i"),"ó","o"),"ú","u"),"ü","u"),"ñ","n"),"à","a"),"è","e"),"ì","i"),"ò","o"),"ù","u"),"")</f>
        <v/>
      </c>
      <c r="S246" s="25">
        <f>IF(R246="","",IF(OR(R246="si",R246="tal vez"),1,0))</f>
        <v/>
      </c>
      <c r="T246" s="25">
        <f>IF(AND(L246=1,D246&lt;&gt;""),IF(IFERROR(COUNTIFS(D$3:D246,"="&amp;SUBSTITUTE(SUBSTITUTE(SUBSTITUTE(D246,"~","~~"),"*","~*"),"?","~?"),L$3:L246,1),0)=1,MAX(T$2:T245)+1,""),"")</f>
        <v/>
      </c>
      <c r="U246" s="25">
        <f>IF(T246="","",COUNTIFS($D$3:$D$1002,"="&amp;SUBSTITUTE(SUBSTITUTE(SUBSTITUTE(D246,"~","~~"),"*","~*"),"?","~?"),$L$3:$L$1002,1)*10000-T246)</f>
        <v/>
      </c>
      <c r="V246" s="25">
        <f>IF(AND(L246=1,J246&lt;&gt;""),IF(IFERROR(COUNTIFS(J$3:J246,"="&amp;SUBSTITUTE(SUBSTITUTE(SUBSTITUTE(J246,"~","~~"),"*","~*"),"?","~?"),L$3:L246,1),0)=1,MAX(V$2:V245)+1,""),"")</f>
        <v/>
      </c>
      <c r="W246" s="25">
        <f>IF(V246="","",COUNTIFS($J$3:$J$1002,"="&amp;SUBSTITUTE(SUBSTITUTE(SUBSTITUTE(J246,"~","~~"),"*","~*"),"?","~?"),$L$3:$L$1002,1)*10000-V246)</f>
        <v/>
      </c>
    </row>
    <row r="247">
      <c r="A247">
        <f>IF(A$2=0,"",IFERROR(TRIM(INDEX('Pegar estudiantes'!$A$1:$BZ$1001,246,A$2)&amp;""),""))</f>
        <v/>
      </c>
      <c r="B247">
        <f>IF(B$2=0,"",IFERROR(TRIM(INDEX('Pegar estudiantes'!$A$1:$BZ$1001,246,B$2)&amp;""),""))</f>
        <v/>
      </c>
      <c r="C247">
        <f>IF(C$2=0,"",IFERROR(TRIM(INDEX('Pegar estudiantes'!$A$1:$BZ$1001,246,C$2)&amp;""),""))</f>
        <v/>
      </c>
      <c r="D247">
        <f>IF(D$2=0,"",IFERROR(TRIM(INDEX('Pegar estudiantes'!$A$1:$BZ$1001,246,D$2)&amp;""),""))</f>
        <v/>
      </c>
      <c r="E247">
        <f>IF(E$2=0,"",IFERROR(TRIM(INDEX('Pegar estudiantes'!$A$1:$BZ$1001,246,E$2)&amp;""),""))</f>
        <v/>
      </c>
      <c r="F247">
        <f>IF(F$2=0,"",IFERROR(TRIM(INDEX('Pegar estudiantes'!$A$1:$BZ$1001,246,F$2)&amp;""),""))</f>
        <v/>
      </c>
      <c r="G247">
        <f>IF(G$2=0,"",IFERROR(TRIM(INDEX('Pegar estudiantes'!$A$1:$BZ$1001,246,G$2)&amp;""),""))</f>
        <v/>
      </c>
      <c r="H247">
        <f>IF(H$2=0,"",IFERROR(TRIM(INDEX('Pegar estudiantes'!$A$1:$BZ$1001,246,H$2)&amp;""),""))</f>
        <v/>
      </c>
      <c r="I247">
        <f>IF(I$2=0,"",IFERROR(TRIM(INDEX('Pegar estudiantes'!$A$1:$BZ$1001,246,I$2)&amp;""),""))</f>
        <v/>
      </c>
      <c r="J247">
        <f>IF(J$2=0,"",IFERROR(TRIM(INDEX('Pegar estudiantes'!$A$1:$BZ$1001,246,J$2)&amp;""),""))</f>
        <v/>
      </c>
      <c r="K247">
        <f>IF(K$2=0,"",IFERROR(TRIM(INDEX('Pegar estudiantes'!$A$1:$BZ$1001,246,K$2)&amp;""),""))</f>
        <v/>
      </c>
      <c r="L247" s="25">
        <f>IF(A247&lt;&gt;"",1,"")</f>
        <v/>
      </c>
      <c r="M247" s="25">
        <f>IF(L247=1,IF(ISNUMBER(FIND("#"&amp;MID(A247,1,1)&amp;"#","#0#1#2#3#4#5#6#7#8#9#")),IF(ISNUMBER(FIND("#"&amp;MID(A247,2,1)&amp;"#","#0#1#2#3#4#5#6#7#8#9#")),IF(AND(VALUE(LEFT(A247,2))&gt;=1,VALUE(LEFT(A247,2))&lt;=5),VALUE(LEFT(A247,2)),""),IF(AND(VALUE(LEFT(A247,1))&gt;=1,VALUE(LEFT(A247,1))&lt;=5),VALUE(LEFT(A247,1)),"")),""),"")</f>
        <v/>
      </c>
      <c r="N247" s="25">
        <f>IF(L247=1,IF(ISNUMBER(FIND("#"&amp;MID(H247,1,1)&amp;"#","#0#1#2#3#4#5#6#7#8#9#")),IF(ISNUMBER(FIND("#"&amp;MID(H247,2,1)&amp;"#","#0#1#2#3#4#5#6#7#8#9#")),IF(AND(VALUE(LEFT(H247,2))&gt;=1,VALUE(LEFT(H247,2))&lt;=5),VALUE(LEFT(H247,2)),""),IF(AND(VALUE(LEFT(H247,1))&gt;=1,VALUE(LEFT(H247,1))&lt;=5),VALUE(LEFT(H247,1)),"")),""),"")</f>
        <v/>
      </c>
      <c r="O247" s="25">
        <f>IF(AND(L247=1,B247&lt;&gt;""),SUBSTITUTE(SUBSTITUTE(SUBSTITUTE(SUBSTITUTE(SUBSTITUTE(SUBSTITUTE(SUBSTITUTE(SUBSTITUTE(SUBSTITUTE(SUBSTITUTE(SUBSTITUTE(SUBSTITUTE(LOWER(TRIM(B247)),"á","a"),"é","e"),"í","i"),"ó","o"),"ú","u"),"ü","u"),"ñ","n"),"à","a"),"è","e"),"ì","i"),"ò","o"),"ù","u"),"")</f>
        <v/>
      </c>
      <c r="P247" s="25">
        <f>IF(AND(L247=1,C247&lt;&gt;""),SUBSTITUTE(SUBSTITUTE(SUBSTITUTE(SUBSTITUTE(SUBSTITUTE(SUBSTITUTE(SUBSTITUTE(SUBSTITUTE(SUBSTITUTE(SUBSTITUTE(SUBSTITUTE(SUBSTITUTE(LOWER(TRIM(C247)),"á","a"),"é","e"),"í","i"),"ó","o"),"ú","u"),"ü","u"),"ñ","n"),"à","a"),"è","e"),"ì","i"),"ò","o"),"ù","u"),"")</f>
        <v/>
      </c>
      <c r="Q247" s="25">
        <f>IF(AND(L247=1,E247&lt;&gt;""),SUBSTITUTE(SUBSTITUTE(SUBSTITUTE(SUBSTITUTE(SUBSTITUTE(SUBSTITUTE(SUBSTITUTE(SUBSTITUTE(SUBSTITUTE(SUBSTITUTE(SUBSTITUTE(SUBSTITUTE(LOWER(TRIM(E247)),"á","a"),"é","e"),"í","i"),"ó","o"),"ú","u"),"ü","u"),"ñ","n"),"à","a"),"è","e"),"ì","i"),"ò","o"),"ù","u"),"")</f>
        <v/>
      </c>
      <c r="R247" s="25">
        <f>IF(AND(L247=1,I247&lt;&gt;""),SUBSTITUTE(SUBSTITUTE(SUBSTITUTE(SUBSTITUTE(SUBSTITUTE(SUBSTITUTE(SUBSTITUTE(SUBSTITUTE(SUBSTITUTE(SUBSTITUTE(SUBSTITUTE(SUBSTITUTE(LOWER(TRIM(I247)),"á","a"),"é","e"),"í","i"),"ó","o"),"ú","u"),"ü","u"),"ñ","n"),"à","a"),"è","e"),"ì","i"),"ò","o"),"ù","u"),"")</f>
        <v/>
      </c>
      <c r="S247" s="25">
        <f>IF(R247="","",IF(OR(R247="si",R247="tal vez"),1,0))</f>
        <v/>
      </c>
      <c r="T247" s="25">
        <f>IF(AND(L247=1,D247&lt;&gt;""),IF(IFERROR(COUNTIFS(D$3:D247,"="&amp;SUBSTITUTE(SUBSTITUTE(SUBSTITUTE(D247,"~","~~"),"*","~*"),"?","~?"),L$3:L247,1),0)=1,MAX(T$2:T246)+1,""),"")</f>
        <v/>
      </c>
      <c r="U247" s="25">
        <f>IF(T247="","",COUNTIFS($D$3:$D$1002,"="&amp;SUBSTITUTE(SUBSTITUTE(SUBSTITUTE(D247,"~","~~"),"*","~*"),"?","~?"),$L$3:$L$1002,1)*10000-T247)</f>
        <v/>
      </c>
      <c r="V247" s="25">
        <f>IF(AND(L247=1,J247&lt;&gt;""),IF(IFERROR(COUNTIFS(J$3:J247,"="&amp;SUBSTITUTE(SUBSTITUTE(SUBSTITUTE(J247,"~","~~"),"*","~*"),"?","~?"),L$3:L247,1),0)=1,MAX(V$2:V246)+1,""),"")</f>
        <v/>
      </c>
      <c r="W247" s="25">
        <f>IF(V247="","",COUNTIFS($J$3:$J$1002,"="&amp;SUBSTITUTE(SUBSTITUTE(SUBSTITUTE(J247,"~","~~"),"*","~*"),"?","~?"),$L$3:$L$1002,1)*10000-V247)</f>
        <v/>
      </c>
    </row>
    <row r="248">
      <c r="A248">
        <f>IF(A$2=0,"",IFERROR(TRIM(INDEX('Pegar estudiantes'!$A$1:$BZ$1001,247,A$2)&amp;""),""))</f>
        <v/>
      </c>
      <c r="B248">
        <f>IF(B$2=0,"",IFERROR(TRIM(INDEX('Pegar estudiantes'!$A$1:$BZ$1001,247,B$2)&amp;""),""))</f>
        <v/>
      </c>
      <c r="C248">
        <f>IF(C$2=0,"",IFERROR(TRIM(INDEX('Pegar estudiantes'!$A$1:$BZ$1001,247,C$2)&amp;""),""))</f>
        <v/>
      </c>
      <c r="D248">
        <f>IF(D$2=0,"",IFERROR(TRIM(INDEX('Pegar estudiantes'!$A$1:$BZ$1001,247,D$2)&amp;""),""))</f>
        <v/>
      </c>
      <c r="E248">
        <f>IF(E$2=0,"",IFERROR(TRIM(INDEX('Pegar estudiantes'!$A$1:$BZ$1001,247,E$2)&amp;""),""))</f>
        <v/>
      </c>
      <c r="F248">
        <f>IF(F$2=0,"",IFERROR(TRIM(INDEX('Pegar estudiantes'!$A$1:$BZ$1001,247,F$2)&amp;""),""))</f>
        <v/>
      </c>
      <c r="G248">
        <f>IF(G$2=0,"",IFERROR(TRIM(INDEX('Pegar estudiantes'!$A$1:$BZ$1001,247,G$2)&amp;""),""))</f>
        <v/>
      </c>
      <c r="H248">
        <f>IF(H$2=0,"",IFERROR(TRIM(INDEX('Pegar estudiantes'!$A$1:$BZ$1001,247,H$2)&amp;""),""))</f>
        <v/>
      </c>
      <c r="I248">
        <f>IF(I$2=0,"",IFERROR(TRIM(INDEX('Pegar estudiantes'!$A$1:$BZ$1001,247,I$2)&amp;""),""))</f>
        <v/>
      </c>
      <c r="J248">
        <f>IF(J$2=0,"",IFERROR(TRIM(INDEX('Pegar estudiantes'!$A$1:$BZ$1001,247,J$2)&amp;""),""))</f>
        <v/>
      </c>
      <c r="K248">
        <f>IF(K$2=0,"",IFERROR(TRIM(INDEX('Pegar estudiantes'!$A$1:$BZ$1001,247,K$2)&amp;""),""))</f>
        <v/>
      </c>
      <c r="L248" s="25">
        <f>IF(A248&lt;&gt;"",1,"")</f>
        <v/>
      </c>
      <c r="M248" s="25">
        <f>IF(L248=1,IF(ISNUMBER(FIND("#"&amp;MID(A248,1,1)&amp;"#","#0#1#2#3#4#5#6#7#8#9#")),IF(ISNUMBER(FIND("#"&amp;MID(A248,2,1)&amp;"#","#0#1#2#3#4#5#6#7#8#9#")),IF(AND(VALUE(LEFT(A248,2))&gt;=1,VALUE(LEFT(A248,2))&lt;=5),VALUE(LEFT(A248,2)),""),IF(AND(VALUE(LEFT(A248,1))&gt;=1,VALUE(LEFT(A248,1))&lt;=5),VALUE(LEFT(A248,1)),"")),""),"")</f>
        <v/>
      </c>
      <c r="N248" s="25">
        <f>IF(L248=1,IF(ISNUMBER(FIND("#"&amp;MID(H248,1,1)&amp;"#","#0#1#2#3#4#5#6#7#8#9#")),IF(ISNUMBER(FIND("#"&amp;MID(H248,2,1)&amp;"#","#0#1#2#3#4#5#6#7#8#9#")),IF(AND(VALUE(LEFT(H248,2))&gt;=1,VALUE(LEFT(H248,2))&lt;=5),VALUE(LEFT(H248,2)),""),IF(AND(VALUE(LEFT(H248,1))&gt;=1,VALUE(LEFT(H248,1))&lt;=5),VALUE(LEFT(H248,1)),"")),""),"")</f>
        <v/>
      </c>
      <c r="O248" s="25">
        <f>IF(AND(L248=1,B248&lt;&gt;""),SUBSTITUTE(SUBSTITUTE(SUBSTITUTE(SUBSTITUTE(SUBSTITUTE(SUBSTITUTE(SUBSTITUTE(SUBSTITUTE(SUBSTITUTE(SUBSTITUTE(SUBSTITUTE(SUBSTITUTE(LOWER(TRIM(B248)),"á","a"),"é","e"),"í","i"),"ó","o"),"ú","u"),"ü","u"),"ñ","n"),"à","a"),"è","e"),"ì","i"),"ò","o"),"ù","u"),"")</f>
        <v/>
      </c>
      <c r="P248" s="25">
        <f>IF(AND(L248=1,C248&lt;&gt;""),SUBSTITUTE(SUBSTITUTE(SUBSTITUTE(SUBSTITUTE(SUBSTITUTE(SUBSTITUTE(SUBSTITUTE(SUBSTITUTE(SUBSTITUTE(SUBSTITUTE(SUBSTITUTE(SUBSTITUTE(LOWER(TRIM(C248)),"á","a"),"é","e"),"í","i"),"ó","o"),"ú","u"),"ü","u"),"ñ","n"),"à","a"),"è","e"),"ì","i"),"ò","o"),"ù","u"),"")</f>
        <v/>
      </c>
      <c r="Q248" s="25">
        <f>IF(AND(L248=1,E248&lt;&gt;""),SUBSTITUTE(SUBSTITUTE(SUBSTITUTE(SUBSTITUTE(SUBSTITUTE(SUBSTITUTE(SUBSTITUTE(SUBSTITUTE(SUBSTITUTE(SUBSTITUTE(SUBSTITUTE(SUBSTITUTE(LOWER(TRIM(E248)),"á","a"),"é","e"),"í","i"),"ó","o"),"ú","u"),"ü","u"),"ñ","n"),"à","a"),"è","e"),"ì","i"),"ò","o"),"ù","u"),"")</f>
        <v/>
      </c>
      <c r="R248" s="25">
        <f>IF(AND(L248=1,I248&lt;&gt;""),SUBSTITUTE(SUBSTITUTE(SUBSTITUTE(SUBSTITUTE(SUBSTITUTE(SUBSTITUTE(SUBSTITUTE(SUBSTITUTE(SUBSTITUTE(SUBSTITUTE(SUBSTITUTE(SUBSTITUTE(LOWER(TRIM(I248)),"á","a"),"é","e"),"í","i"),"ó","o"),"ú","u"),"ü","u"),"ñ","n"),"à","a"),"è","e"),"ì","i"),"ò","o"),"ù","u"),"")</f>
        <v/>
      </c>
      <c r="S248" s="25">
        <f>IF(R248="","",IF(OR(R248="si",R248="tal vez"),1,0))</f>
        <v/>
      </c>
      <c r="T248" s="25">
        <f>IF(AND(L248=1,D248&lt;&gt;""),IF(IFERROR(COUNTIFS(D$3:D248,"="&amp;SUBSTITUTE(SUBSTITUTE(SUBSTITUTE(D248,"~","~~"),"*","~*"),"?","~?"),L$3:L248,1),0)=1,MAX(T$2:T247)+1,""),"")</f>
        <v/>
      </c>
      <c r="U248" s="25">
        <f>IF(T248="","",COUNTIFS($D$3:$D$1002,"="&amp;SUBSTITUTE(SUBSTITUTE(SUBSTITUTE(D248,"~","~~"),"*","~*"),"?","~?"),$L$3:$L$1002,1)*10000-T248)</f>
        <v/>
      </c>
      <c r="V248" s="25">
        <f>IF(AND(L248=1,J248&lt;&gt;""),IF(IFERROR(COUNTIFS(J$3:J248,"="&amp;SUBSTITUTE(SUBSTITUTE(SUBSTITUTE(J248,"~","~~"),"*","~*"),"?","~?"),L$3:L248,1),0)=1,MAX(V$2:V247)+1,""),"")</f>
        <v/>
      </c>
      <c r="W248" s="25">
        <f>IF(V248="","",COUNTIFS($J$3:$J$1002,"="&amp;SUBSTITUTE(SUBSTITUTE(SUBSTITUTE(J248,"~","~~"),"*","~*"),"?","~?"),$L$3:$L$1002,1)*10000-V248)</f>
        <v/>
      </c>
    </row>
    <row r="249">
      <c r="A249">
        <f>IF(A$2=0,"",IFERROR(TRIM(INDEX('Pegar estudiantes'!$A$1:$BZ$1001,248,A$2)&amp;""),""))</f>
        <v/>
      </c>
      <c r="B249">
        <f>IF(B$2=0,"",IFERROR(TRIM(INDEX('Pegar estudiantes'!$A$1:$BZ$1001,248,B$2)&amp;""),""))</f>
        <v/>
      </c>
      <c r="C249">
        <f>IF(C$2=0,"",IFERROR(TRIM(INDEX('Pegar estudiantes'!$A$1:$BZ$1001,248,C$2)&amp;""),""))</f>
        <v/>
      </c>
      <c r="D249">
        <f>IF(D$2=0,"",IFERROR(TRIM(INDEX('Pegar estudiantes'!$A$1:$BZ$1001,248,D$2)&amp;""),""))</f>
        <v/>
      </c>
      <c r="E249">
        <f>IF(E$2=0,"",IFERROR(TRIM(INDEX('Pegar estudiantes'!$A$1:$BZ$1001,248,E$2)&amp;""),""))</f>
        <v/>
      </c>
      <c r="F249">
        <f>IF(F$2=0,"",IFERROR(TRIM(INDEX('Pegar estudiantes'!$A$1:$BZ$1001,248,F$2)&amp;""),""))</f>
        <v/>
      </c>
      <c r="G249">
        <f>IF(G$2=0,"",IFERROR(TRIM(INDEX('Pegar estudiantes'!$A$1:$BZ$1001,248,G$2)&amp;""),""))</f>
        <v/>
      </c>
      <c r="H249">
        <f>IF(H$2=0,"",IFERROR(TRIM(INDEX('Pegar estudiantes'!$A$1:$BZ$1001,248,H$2)&amp;""),""))</f>
        <v/>
      </c>
      <c r="I249">
        <f>IF(I$2=0,"",IFERROR(TRIM(INDEX('Pegar estudiantes'!$A$1:$BZ$1001,248,I$2)&amp;""),""))</f>
        <v/>
      </c>
      <c r="J249">
        <f>IF(J$2=0,"",IFERROR(TRIM(INDEX('Pegar estudiantes'!$A$1:$BZ$1001,248,J$2)&amp;""),""))</f>
        <v/>
      </c>
      <c r="K249">
        <f>IF(K$2=0,"",IFERROR(TRIM(INDEX('Pegar estudiantes'!$A$1:$BZ$1001,248,K$2)&amp;""),""))</f>
        <v/>
      </c>
      <c r="L249" s="25">
        <f>IF(A249&lt;&gt;"",1,"")</f>
        <v/>
      </c>
      <c r="M249" s="25">
        <f>IF(L249=1,IF(ISNUMBER(FIND("#"&amp;MID(A249,1,1)&amp;"#","#0#1#2#3#4#5#6#7#8#9#")),IF(ISNUMBER(FIND("#"&amp;MID(A249,2,1)&amp;"#","#0#1#2#3#4#5#6#7#8#9#")),IF(AND(VALUE(LEFT(A249,2))&gt;=1,VALUE(LEFT(A249,2))&lt;=5),VALUE(LEFT(A249,2)),""),IF(AND(VALUE(LEFT(A249,1))&gt;=1,VALUE(LEFT(A249,1))&lt;=5),VALUE(LEFT(A249,1)),"")),""),"")</f>
        <v/>
      </c>
      <c r="N249" s="25">
        <f>IF(L249=1,IF(ISNUMBER(FIND("#"&amp;MID(H249,1,1)&amp;"#","#0#1#2#3#4#5#6#7#8#9#")),IF(ISNUMBER(FIND("#"&amp;MID(H249,2,1)&amp;"#","#0#1#2#3#4#5#6#7#8#9#")),IF(AND(VALUE(LEFT(H249,2))&gt;=1,VALUE(LEFT(H249,2))&lt;=5),VALUE(LEFT(H249,2)),""),IF(AND(VALUE(LEFT(H249,1))&gt;=1,VALUE(LEFT(H249,1))&lt;=5),VALUE(LEFT(H249,1)),"")),""),"")</f>
        <v/>
      </c>
      <c r="O249" s="25">
        <f>IF(AND(L249=1,B249&lt;&gt;""),SUBSTITUTE(SUBSTITUTE(SUBSTITUTE(SUBSTITUTE(SUBSTITUTE(SUBSTITUTE(SUBSTITUTE(SUBSTITUTE(SUBSTITUTE(SUBSTITUTE(SUBSTITUTE(SUBSTITUTE(LOWER(TRIM(B249)),"á","a"),"é","e"),"í","i"),"ó","o"),"ú","u"),"ü","u"),"ñ","n"),"à","a"),"è","e"),"ì","i"),"ò","o"),"ù","u"),"")</f>
        <v/>
      </c>
      <c r="P249" s="25">
        <f>IF(AND(L249=1,C249&lt;&gt;""),SUBSTITUTE(SUBSTITUTE(SUBSTITUTE(SUBSTITUTE(SUBSTITUTE(SUBSTITUTE(SUBSTITUTE(SUBSTITUTE(SUBSTITUTE(SUBSTITUTE(SUBSTITUTE(SUBSTITUTE(LOWER(TRIM(C249)),"á","a"),"é","e"),"í","i"),"ó","o"),"ú","u"),"ü","u"),"ñ","n"),"à","a"),"è","e"),"ì","i"),"ò","o"),"ù","u"),"")</f>
        <v/>
      </c>
      <c r="Q249" s="25">
        <f>IF(AND(L249=1,E249&lt;&gt;""),SUBSTITUTE(SUBSTITUTE(SUBSTITUTE(SUBSTITUTE(SUBSTITUTE(SUBSTITUTE(SUBSTITUTE(SUBSTITUTE(SUBSTITUTE(SUBSTITUTE(SUBSTITUTE(SUBSTITUTE(LOWER(TRIM(E249)),"á","a"),"é","e"),"í","i"),"ó","o"),"ú","u"),"ü","u"),"ñ","n"),"à","a"),"è","e"),"ì","i"),"ò","o"),"ù","u"),"")</f>
        <v/>
      </c>
      <c r="R249" s="25">
        <f>IF(AND(L249=1,I249&lt;&gt;""),SUBSTITUTE(SUBSTITUTE(SUBSTITUTE(SUBSTITUTE(SUBSTITUTE(SUBSTITUTE(SUBSTITUTE(SUBSTITUTE(SUBSTITUTE(SUBSTITUTE(SUBSTITUTE(SUBSTITUTE(LOWER(TRIM(I249)),"á","a"),"é","e"),"í","i"),"ó","o"),"ú","u"),"ü","u"),"ñ","n"),"à","a"),"è","e"),"ì","i"),"ò","o"),"ù","u"),"")</f>
        <v/>
      </c>
      <c r="S249" s="25">
        <f>IF(R249="","",IF(OR(R249="si",R249="tal vez"),1,0))</f>
        <v/>
      </c>
      <c r="T249" s="25">
        <f>IF(AND(L249=1,D249&lt;&gt;""),IF(IFERROR(COUNTIFS(D$3:D249,"="&amp;SUBSTITUTE(SUBSTITUTE(SUBSTITUTE(D249,"~","~~"),"*","~*"),"?","~?"),L$3:L249,1),0)=1,MAX(T$2:T248)+1,""),"")</f>
        <v/>
      </c>
      <c r="U249" s="25">
        <f>IF(T249="","",COUNTIFS($D$3:$D$1002,"="&amp;SUBSTITUTE(SUBSTITUTE(SUBSTITUTE(D249,"~","~~"),"*","~*"),"?","~?"),$L$3:$L$1002,1)*10000-T249)</f>
        <v/>
      </c>
      <c r="V249" s="25">
        <f>IF(AND(L249=1,J249&lt;&gt;""),IF(IFERROR(COUNTIFS(J$3:J249,"="&amp;SUBSTITUTE(SUBSTITUTE(SUBSTITUTE(J249,"~","~~"),"*","~*"),"?","~?"),L$3:L249,1),0)=1,MAX(V$2:V248)+1,""),"")</f>
        <v/>
      </c>
      <c r="W249" s="25">
        <f>IF(V249="","",COUNTIFS($J$3:$J$1002,"="&amp;SUBSTITUTE(SUBSTITUTE(SUBSTITUTE(J249,"~","~~"),"*","~*"),"?","~?"),$L$3:$L$1002,1)*10000-V249)</f>
        <v/>
      </c>
    </row>
    <row r="250">
      <c r="A250">
        <f>IF(A$2=0,"",IFERROR(TRIM(INDEX('Pegar estudiantes'!$A$1:$BZ$1001,249,A$2)&amp;""),""))</f>
        <v/>
      </c>
      <c r="B250">
        <f>IF(B$2=0,"",IFERROR(TRIM(INDEX('Pegar estudiantes'!$A$1:$BZ$1001,249,B$2)&amp;""),""))</f>
        <v/>
      </c>
      <c r="C250">
        <f>IF(C$2=0,"",IFERROR(TRIM(INDEX('Pegar estudiantes'!$A$1:$BZ$1001,249,C$2)&amp;""),""))</f>
        <v/>
      </c>
      <c r="D250">
        <f>IF(D$2=0,"",IFERROR(TRIM(INDEX('Pegar estudiantes'!$A$1:$BZ$1001,249,D$2)&amp;""),""))</f>
        <v/>
      </c>
      <c r="E250">
        <f>IF(E$2=0,"",IFERROR(TRIM(INDEX('Pegar estudiantes'!$A$1:$BZ$1001,249,E$2)&amp;""),""))</f>
        <v/>
      </c>
      <c r="F250">
        <f>IF(F$2=0,"",IFERROR(TRIM(INDEX('Pegar estudiantes'!$A$1:$BZ$1001,249,F$2)&amp;""),""))</f>
        <v/>
      </c>
      <c r="G250">
        <f>IF(G$2=0,"",IFERROR(TRIM(INDEX('Pegar estudiantes'!$A$1:$BZ$1001,249,G$2)&amp;""),""))</f>
        <v/>
      </c>
      <c r="H250">
        <f>IF(H$2=0,"",IFERROR(TRIM(INDEX('Pegar estudiantes'!$A$1:$BZ$1001,249,H$2)&amp;""),""))</f>
        <v/>
      </c>
      <c r="I250">
        <f>IF(I$2=0,"",IFERROR(TRIM(INDEX('Pegar estudiantes'!$A$1:$BZ$1001,249,I$2)&amp;""),""))</f>
        <v/>
      </c>
      <c r="J250">
        <f>IF(J$2=0,"",IFERROR(TRIM(INDEX('Pegar estudiantes'!$A$1:$BZ$1001,249,J$2)&amp;""),""))</f>
        <v/>
      </c>
      <c r="K250">
        <f>IF(K$2=0,"",IFERROR(TRIM(INDEX('Pegar estudiantes'!$A$1:$BZ$1001,249,K$2)&amp;""),""))</f>
        <v/>
      </c>
      <c r="L250" s="25">
        <f>IF(A250&lt;&gt;"",1,"")</f>
        <v/>
      </c>
      <c r="M250" s="25">
        <f>IF(L250=1,IF(ISNUMBER(FIND("#"&amp;MID(A250,1,1)&amp;"#","#0#1#2#3#4#5#6#7#8#9#")),IF(ISNUMBER(FIND("#"&amp;MID(A250,2,1)&amp;"#","#0#1#2#3#4#5#6#7#8#9#")),IF(AND(VALUE(LEFT(A250,2))&gt;=1,VALUE(LEFT(A250,2))&lt;=5),VALUE(LEFT(A250,2)),""),IF(AND(VALUE(LEFT(A250,1))&gt;=1,VALUE(LEFT(A250,1))&lt;=5),VALUE(LEFT(A250,1)),"")),""),"")</f>
        <v/>
      </c>
      <c r="N250" s="25">
        <f>IF(L250=1,IF(ISNUMBER(FIND("#"&amp;MID(H250,1,1)&amp;"#","#0#1#2#3#4#5#6#7#8#9#")),IF(ISNUMBER(FIND("#"&amp;MID(H250,2,1)&amp;"#","#0#1#2#3#4#5#6#7#8#9#")),IF(AND(VALUE(LEFT(H250,2))&gt;=1,VALUE(LEFT(H250,2))&lt;=5),VALUE(LEFT(H250,2)),""),IF(AND(VALUE(LEFT(H250,1))&gt;=1,VALUE(LEFT(H250,1))&lt;=5),VALUE(LEFT(H250,1)),"")),""),"")</f>
        <v/>
      </c>
      <c r="O250" s="25">
        <f>IF(AND(L250=1,B250&lt;&gt;""),SUBSTITUTE(SUBSTITUTE(SUBSTITUTE(SUBSTITUTE(SUBSTITUTE(SUBSTITUTE(SUBSTITUTE(SUBSTITUTE(SUBSTITUTE(SUBSTITUTE(SUBSTITUTE(SUBSTITUTE(LOWER(TRIM(B250)),"á","a"),"é","e"),"í","i"),"ó","o"),"ú","u"),"ü","u"),"ñ","n"),"à","a"),"è","e"),"ì","i"),"ò","o"),"ù","u"),"")</f>
        <v/>
      </c>
      <c r="P250" s="25">
        <f>IF(AND(L250=1,C250&lt;&gt;""),SUBSTITUTE(SUBSTITUTE(SUBSTITUTE(SUBSTITUTE(SUBSTITUTE(SUBSTITUTE(SUBSTITUTE(SUBSTITUTE(SUBSTITUTE(SUBSTITUTE(SUBSTITUTE(SUBSTITUTE(LOWER(TRIM(C250)),"á","a"),"é","e"),"í","i"),"ó","o"),"ú","u"),"ü","u"),"ñ","n"),"à","a"),"è","e"),"ì","i"),"ò","o"),"ù","u"),"")</f>
        <v/>
      </c>
      <c r="Q250" s="25">
        <f>IF(AND(L250=1,E250&lt;&gt;""),SUBSTITUTE(SUBSTITUTE(SUBSTITUTE(SUBSTITUTE(SUBSTITUTE(SUBSTITUTE(SUBSTITUTE(SUBSTITUTE(SUBSTITUTE(SUBSTITUTE(SUBSTITUTE(SUBSTITUTE(LOWER(TRIM(E250)),"á","a"),"é","e"),"í","i"),"ó","o"),"ú","u"),"ü","u"),"ñ","n"),"à","a"),"è","e"),"ì","i"),"ò","o"),"ù","u"),"")</f>
        <v/>
      </c>
      <c r="R250" s="25">
        <f>IF(AND(L250=1,I250&lt;&gt;""),SUBSTITUTE(SUBSTITUTE(SUBSTITUTE(SUBSTITUTE(SUBSTITUTE(SUBSTITUTE(SUBSTITUTE(SUBSTITUTE(SUBSTITUTE(SUBSTITUTE(SUBSTITUTE(SUBSTITUTE(LOWER(TRIM(I250)),"á","a"),"é","e"),"í","i"),"ó","o"),"ú","u"),"ü","u"),"ñ","n"),"à","a"),"è","e"),"ì","i"),"ò","o"),"ù","u"),"")</f>
        <v/>
      </c>
      <c r="S250" s="25">
        <f>IF(R250="","",IF(OR(R250="si",R250="tal vez"),1,0))</f>
        <v/>
      </c>
      <c r="T250" s="25">
        <f>IF(AND(L250=1,D250&lt;&gt;""),IF(IFERROR(COUNTIFS(D$3:D250,"="&amp;SUBSTITUTE(SUBSTITUTE(SUBSTITUTE(D250,"~","~~"),"*","~*"),"?","~?"),L$3:L250,1),0)=1,MAX(T$2:T249)+1,""),"")</f>
        <v/>
      </c>
      <c r="U250" s="25">
        <f>IF(T250="","",COUNTIFS($D$3:$D$1002,"="&amp;SUBSTITUTE(SUBSTITUTE(SUBSTITUTE(D250,"~","~~"),"*","~*"),"?","~?"),$L$3:$L$1002,1)*10000-T250)</f>
        <v/>
      </c>
      <c r="V250" s="25">
        <f>IF(AND(L250=1,J250&lt;&gt;""),IF(IFERROR(COUNTIFS(J$3:J250,"="&amp;SUBSTITUTE(SUBSTITUTE(SUBSTITUTE(J250,"~","~~"),"*","~*"),"?","~?"),L$3:L250,1),0)=1,MAX(V$2:V249)+1,""),"")</f>
        <v/>
      </c>
      <c r="W250" s="25">
        <f>IF(V250="","",COUNTIFS($J$3:$J$1002,"="&amp;SUBSTITUTE(SUBSTITUTE(SUBSTITUTE(J250,"~","~~"),"*","~*"),"?","~?"),$L$3:$L$1002,1)*10000-V250)</f>
        <v/>
      </c>
    </row>
    <row r="251">
      <c r="A251">
        <f>IF(A$2=0,"",IFERROR(TRIM(INDEX('Pegar estudiantes'!$A$1:$BZ$1001,250,A$2)&amp;""),""))</f>
        <v/>
      </c>
      <c r="B251">
        <f>IF(B$2=0,"",IFERROR(TRIM(INDEX('Pegar estudiantes'!$A$1:$BZ$1001,250,B$2)&amp;""),""))</f>
        <v/>
      </c>
      <c r="C251">
        <f>IF(C$2=0,"",IFERROR(TRIM(INDEX('Pegar estudiantes'!$A$1:$BZ$1001,250,C$2)&amp;""),""))</f>
        <v/>
      </c>
      <c r="D251">
        <f>IF(D$2=0,"",IFERROR(TRIM(INDEX('Pegar estudiantes'!$A$1:$BZ$1001,250,D$2)&amp;""),""))</f>
        <v/>
      </c>
      <c r="E251">
        <f>IF(E$2=0,"",IFERROR(TRIM(INDEX('Pegar estudiantes'!$A$1:$BZ$1001,250,E$2)&amp;""),""))</f>
        <v/>
      </c>
      <c r="F251">
        <f>IF(F$2=0,"",IFERROR(TRIM(INDEX('Pegar estudiantes'!$A$1:$BZ$1001,250,F$2)&amp;""),""))</f>
        <v/>
      </c>
      <c r="G251">
        <f>IF(G$2=0,"",IFERROR(TRIM(INDEX('Pegar estudiantes'!$A$1:$BZ$1001,250,G$2)&amp;""),""))</f>
        <v/>
      </c>
      <c r="H251">
        <f>IF(H$2=0,"",IFERROR(TRIM(INDEX('Pegar estudiantes'!$A$1:$BZ$1001,250,H$2)&amp;""),""))</f>
        <v/>
      </c>
      <c r="I251">
        <f>IF(I$2=0,"",IFERROR(TRIM(INDEX('Pegar estudiantes'!$A$1:$BZ$1001,250,I$2)&amp;""),""))</f>
        <v/>
      </c>
      <c r="J251">
        <f>IF(J$2=0,"",IFERROR(TRIM(INDEX('Pegar estudiantes'!$A$1:$BZ$1001,250,J$2)&amp;""),""))</f>
        <v/>
      </c>
      <c r="K251">
        <f>IF(K$2=0,"",IFERROR(TRIM(INDEX('Pegar estudiantes'!$A$1:$BZ$1001,250,K$2)&amp;""),""))</f>
        <v/>
      </c>
      <c r="L251" s="25">
        <f>IF(A251&lt;&gt;"",1,"")</f>
        <v/>
      </c>
      <c r="M251" s="25">
        <f>IF(L251=1,IF(ISNUMBER(FIND("#"&amp;MID(A251,1,1)&amp;"#","#0#1#2#3#4#5#6#7#8#9#")),IF(ISNUMBER(FIND("#"&amp;MID(A251,2,1)&amp;"#","#0#1#2#3#4#5#6#7#8#9#")),IF(AND(VALUE(LEFT(A251,2))&gt;=1,VALUE(LEFT(A251,2))&lt;=5),VALUE(LEFT(A251,2)),""),IF(AND(VALUE(LEFT(A251,1))&gt;=1,VALUE(LEFT(A251,1))&lt;=5),VALUE(LEFT(A251,1)),"")),""),"")</f>
        <v/>
      </c>
      <c r="N251" s="25">
        <f>IF(L251=1,IF(ISNUMBER(FIND("#"&amp;MID(H251,1,1)&amp;"#","#0#1#2#3#4#5#6#7#8#9#")),IF(ISNUMBER(FIND("#"&amp;MID(H251,2,1)&amp;"#","#0#1#2#3#4#5#6#7#8#9#")),IF(AND(VALUE(LEFT(H251,2))&gt;=1,VALUE(LEFT(H251,2))&lt;=5),VALUE(LEFT(H251,2)),""),IF(AND(VALUE(LEFT(H251,1))&gt;=1,VALUE(LEFT(H251,1))&lt;=5),VALUE(LEFT(H251,1)),"")),""),"")</f>
        <v/>
      </c>
      <c r="O251" s="25">
        <f>IF(AND(L251=1,B251&lt;&gt;""),SUBSTITUTE(SUBSTITUTE(SUBSTITUTE(SUBSTITUTE(SUBSTITUTE(SUBSTITUTE(SUBSTITUTE(SUBSTITUTE(SUBSTITUTE(SUBSTITUTE(SUBSTITUTE(SUBSTITUTE(LOWER(TRIM(B251)),"á","a"),"é","e"),"í","i"),"ó","o"),"ú","u"),"ü","u"),"ñ","n"),"à","a"),"è","e"),"ì","i"),"ò","o"),"ù","u"),"")</f>
        <v/>
      </c>
      <c r="P251" s="25">
        <f>IF(AND(L251=1,C251&lt;&gt;""),SUBSTITUTE(SUBSTITUTE(SUBSTITUTE(SUBSTITUTE(SUBSTITUTE(SUBSTITUTE(SUBSTITUTE(SUBSTITUTE(SUBSTITUTE(SUBSTITUTE(SUBSTITUTE(SUBSTITUTE(LOWER(TRIM(C251)),"á","a"),"é","e"),"í","i"),"ó","o"),"ú","u"),"ü","u"),"ñ","n"),"à","a"),"è","e"),"ì","i"),"ò","o"),"ù","u"),"")</f>
        <v/>
      </c>
      <c r="Q251" s="25">
        <f>IF(AND(L251=1,E251&lt;&gt;""),SUBSTITUTE(SUBSTITUTE(SUBSTITUTE(SUBSTITUTE(SUBSTITUTE(SUBSTITUTE(SUBSTITUTE(SUBSTITUTE(SUBSTITUTE(SUBSTITUTE(SUBSTITUTE(SUBSTITUTE(LOWER(TRIM(E251)),"á","a"),"é","e"),"í","i"),"ó","o"),"ú","u"),"ü","u"),"ñ","n"),"à","a"),"è","e"),"ì","i"),"ò","o"),"ù","u"),"")</f>
        <v/>
      </c>
      <c r="R251" s="25">
        <f>IF(AND(L251=1,I251&lt;&gt;""),SUBSTITUTE(SUBSTITUTE(SUBSTITUTE(SUBSTITUTE(SUBSTITUTE(SUBSTITUTE(SUBSTITUTE(SUBSTITUTE(SUBSTITUTE(SUBSTITUTE(SUBSTITUTE(SUBSTITUTE(LOWER(TRIM(I251)),"á","a"),"é","e"),"í","i"),"ó","o"),"ú","u"),"ü","u"),"ñ","n"),"à","a"),"è","e"),"ì","i"),"ò","o"),"ù","u"),"")</f>
        <v/>
      </c>
      <c r="S251" s="25">
        <f>IF(R251="","",IF(OR(R251="si",R251="tal vez"),1,0))</f>
        <v/>
      </c>
      <c r="T251" s="25">
        <f>IF(AND(L251=1,D251&lt;&gt;""),IF(IFERROR(COUNTIFS(D$3:D251,"="&amp;SUBSTITUTE(SUBSTITUTE(SUBSTITUTE(D251,"~","~~"),"*","~*"),"?","~?"),L$3:L251,1),0)=1,MAX(T$2:T250)+1,""),"")</f>
        <v/>
      </c>
      <c r="U251" s="25">
        <f>IF(T251="","",COUNTIFS($D$3:$D$1002,"="&amp;SUBSTITUTE(SUBSTITUTE(SUBSTITUTE(D251,"~","~~"),"*","~*"),"?","~?"),$L$3:$L$1002,1)*10000-T251)</f>
        <v/>
      </c>
      <c r="V251" s="25">
        <f>IF(AND(L251=1,J251&lt;&gt;""),IF(IFERROR(COUNTIFS(J$3:J251,"="&amp;SUBSTITUTE(SUBSTITUTE(SUBSTITUTE(J251,"~","~~"),"*","~*"),"?","~?"),L$3:L251,1),0)=1,MAX(V$2:V250)+1,""),"")</f>
        <v/>
      </c>
      <c r="W251" s="25">
        <f>IF(V251="","",COUNTIFS($J$3:$J$1002,"="&amp;SUBSTITUTE(SUBSTITUTE(SUBSTITUTE(J251,"~","~~"),"*","~*"),"?","~?"),$L$3:$L$1002,1)*10000-V251)</f>
        <v/>
      </c>
    </row>
    <row r="252">
      <c r="A252">
        <f>IF(A$2=0,"",IFERROR(TRIM(INDEX('Pegar estudiantes'!$A$1:$BZ$1001,251,A$2)&amp;""),""))</f>
        <v/>
      </c>
      <c r="B252">
        <f>IF(B$2=0,"",IFERROR(TRIM(INDEX('Pegar estudiantes'!$A$1:$BZ$1001,251,B$2)&amp;""),""))</f>
        <v/>
      </c>
      <c r="C252">
        <f>IF(C$2=0,"",IFERROR(TRIM(INDEX('Pegar estudiantes'!$A$1:$BZ$1001,251,C$2)&amp;""),""))</f>
        <v/>
      </c>
      <c r="D252">
        <f>IF(D$2=0,"",IFERROR(TRIM(INDEX('Pegar estudiantes'!$A$1:$BZ$1001,251,D$2)&amp;""),""))</f>
        <v/>
      </c>
      <c r="E252">
        <f>IF(E$2=0,"",IFERROR(TRIM(INDEX('Pegar estudiantes'!$A$1:$BZ$1001,251,E$2)&amp;""),""))</f>
        <v/>
      </c>
      <c r="F252">
        <f>IF(F$2=0,"",IFERROR(TRIM(INDEX('Pegar estudiantes'!$A$1:$BZ$1001,251,F$2)&amp;""),""))</f>
        <v/>
      </c>
      <c r="G252">
        <f>IF(G$2=0,"",IFERROR(TRIM(INDEX('Pegar estudiantes'!$A$1:$BZ$1001,251,G$2)&amp;""),""))</f>
        <v/>
      </c>
      <c r="H252">
        <f>IF(H$2=0,"",IFERROR(TRIM(INDEX('Pegar estudiantes'!$A$1:$BZ$1001,251,H$2)&amp;""),""))</f>
        <v/>
      </c>
      <c r="I252">
        <f>IF(I$2=0,"",IFERROR(TRIM(INDEX('Pegar estudiantes'!$A$1:$BZ$1001,251,I$2)&amp;""),""))</f>
        <v/>
      </c>
      <c r="J252">
        <f>IF(J$2=0,"",IFERROR(TRIM(INDEX('Pegar estudiantes'!$A$1:$BZ$1001,251,J$2)&amp;""),""))</f>
        <v/>
      </c>
      <c r="K252">
        <f>IF(K$2=0,"",IFERROR(TRIM(INDEX('Pegar estudiantes'!$A$1:$BZ$1001,251,K$2)&amp;""),""))</f>
        <v/>
      </c>
      <c r="L252" s="25">
        <f>IF(A252&lt;&gt;"",1,"")</f>
        <v/>
      </c>
      <c r="M252" s="25">
        <f>IF(L252=1,IF(ISNUMBER(FIND("#"&amp;MID(A252,1,1)&amp;"#","#0#1#2#3#4#5#6#7#8#9#")),IF(ISNUMBER(FIND("#"&amp;MID(A252,2,1)&amp;"#","#0#1#2#3#4#5#6#7#8#9#")),IF(AND(VALUE(LEFT(A252,2))&gt;=1,VALUE(LEFT(A252,2))&lt;=5),VALUE(LEFT(A252,2)),""),IF(AND(VALUE(LEFT(A252,1))&gt;=1,VALUE(LEFT(A252,1))&lt;=5),VALUE(LEFT(A252,1)),"")),""),"")</f>
        <v/>
      </c>
      <c r="N252" s="25">
        <f>IF(L252=1,IF(ISNUMBER(FIND("#"&amp;MID(H252,1,1)&amp;"#","#0#1#2#3#4#5#6#7#8#9#")),IF(ISNUMBER(FIND("#"&amp;MID(H252,2,1)&amp;"#","#0#1#2#3#4#5#6#7#8#9#")),IF(AND(VALUE(LEFT(H252,2))&gt;=1,VALUE(LEFT(H252,2))&lt;=5),VALUE(LEFT(H252,2)),""),IF(AND(VALUE(LEFT(H252,1))&gt;=1,VALUE(LEFT(H252,1))&lt;=5),VALUE(LEFT(H252,1)),"")),""),"")</f>
        <v/>
      </c>
      <c r="O252" s="25">
        <f>IF(AND(L252=1,B252&lt;&gt;""),SUBSTITUTE(SUBSTITUTE(SUBSTITUTE(SUBSTITUTE(SUBSTITUTE(SUBSTITUTE(SUBSTITUTE(SUBSTITUTE(SUBSTITUTE(SUBSTITUTE(SUBSTITUTE(SUBSTITUTE(LOWER(TRIM(B252)),"á","a"),"é","e"),"í","i"),"ó","o"),"ú","u"),"ü","u"),"ñ","n"),"à","a"),"è","e"),"ì","i"),"ò","o"),"ù","u"),"")</f>
        <v/>
      </c>
      <c r="P252" s="25">
        <f>IF(AND(L252=1,C252&lt;&gt;""),SUBSTITUTE(SUBSTITUTE(SUBSTITUTE(SUBSTITUTE(SUBSTITUTE(SUBSTITUTE(SUBSTITUTE(SUBSTITUTE(SUBSTITUTE(SUBSTITUTE(SUBSTITUTE(SUBSTITUTE(LOWER(TRIM(C252)),"á","a"),"é","e"),"í","i"),"ó","o"),"ú","u"),"ü","u"),"ñ","n"),"à","a"),"è","e"),"ì","i"),"ò","o"),"ù","u"),"")</f>
        <v/>
      </c>
      <c r="Q252" s="25">
        <f>IF(AND(L252=1,E252&lt;&gt;""),SUBSTITUTE(SUBSTITUTE(SUBSTITUTE(SUBSTITUTE(SUBSTITUTE(SUBSTITUTE(SUBSTITUTE(SUBSTITUTE(SUBSTITUTE(SUBSTITUTE(SUBSTITUTE(SUBSTITUTE(LOWER(TRIM(E252)),"á","a"),"é","e"),"í","i"),"ó","o"),"ú","u"),"ü","u"),"ñ","n"),"à","a"),"è","e"),"ì","i"),"ò","o"),"ù","u"),"")</f>
        <v/>
      </c>
      <c r="R252" s="25">
        <f>IF(AND(L252=1,I252&lt;&gt;""),SUBSTITUTE(SUBSTITUTE(SUBSTITUTE(SUBSTITUTE(SUBSTITUTE(SUBSTITUTE(SUBSTITUTE(SUBSTITUTE(SUBSTITUTE(SUBSTITUTE(SUBSTITUTE(SUBSTITUTE(LOWER(TRIM(I252)),"á","a"),"é","e"),"í","i"),"ó","o"),"ú","u"),"ü","u"),"ñ","n"),"à","a"),"è","e"),"ì","i"),"ò","o"),"ù","u"),"")</f>
        <v/>
      </c>
      <c r="S252" s="25">
        <f>IF(R252="","",IF(OR(R252="si",R252="tal vez"),1,0))</f>
        <v/>
      </c>
      <c r="T252" s="25">
        <f>IF(AND(L252=1,D252&lt;&gt;""),IF(IFERROR(COUNTIFS(D$3:D252,"="&amp;SUBSTITUTE(SUBSTITUTE(SUBSTITUTE(D252,"~","~~"),"*","~*"),"?","~?"),L$3:L252,1),0)=1,MAX(T$2:T251)+1,""),"")</f>
        <v/>
      </c>
      <c r="U252" s="25">
        <f>IF(T252="","",COUNTIFS($D$3:$D$1002,"="&amp;SUBSTITUTE(SUBSTITUTE(SUBSTITUTE(D252,"~","~~"),"*","~*"),"?","~?"),$L$3:$L$1002,1)*10000-T252)</f>
        <v/>
      </c>
      <c r="V252" s="25">
        <f>IF(AND(L252=1,J252&lt;&gt;""),IF(IFERROR(COUNTIFS(J$3:J252,"="&amp;SUBSTITUTE(SUBSTITUTE(SUBSTITUTE(J252,"~","~~"),"*","~*"),"?","~?"),L$3:L252,1),0)=1,MAX(V$2:V251)+1,""),"")</f>
        <v/>
      </c>
      <c r="W252" s="25">
        <f>IF(V252="","",COUNTIFS($J$3:$J$1002,"="&amp;SUBSTITUTE(SUBSTITUTE(SUBSTITUTE(J252,"~","~~"),"*","~*"),"?","~?"),$L$3:$L$1002,1)*10000-V252)</f>
        <v/>
      </c>
    </row>
    <row r="253">
      <c r="A253">
        <f>IF(A$2=0,"",IFERROR(TRIM(INDEX('Pegar estudiantes'!$A$1:$BZ$1001,252,A$2)&amp;""),""))</f>
        <v/>
      </c>
      <c r="B253">
        <f>IF(B$2=0,"",IFERROR(TRIM(INDEX('Pegar estudiantes'!$A$1:$BZ$1001,252,B$2)&amp;""),""))</f>
        <v/>
      </c>
      <c r="C253">
        <f>IF(C$2=0,"",IFERROR(TRIM(INDEX('Pegar estudiantes'!$A$1:$BZ$1001,252,C$2)&amp;""),""))</f>
        <v/>
      </c>
      <c r="D253">
        <f>IF(D$2=0,"",IFERROR(TRIM(INDEX('Pegar estudiantes'!$A$1:$BZ$1001,252,D$2)&amp;""),""))</f>
        <v/>
      </c>
      <c r="E253">
        <f>IF(E$2=0,"",IFERROR(TRIM(INDEX('Pegar estudiantes'!$A$1:$BZ$1001,252,E$2)&amp;""),""))</f>
        <v/>
      </c>
      <c r="F253">
        <f>IF(F$2=0,"",IFERROR(TRIM(INDEX('Pegar estudiantes'!$A$1:$BZ$1001,252,F$2)&amp;""),""))</f>
        <v/>
      </c>
      <c r="G253">
        <f>IF(G$2=0,"",IFERROR(TRIM(INDEX('Pegar estudiantes'!$A$1:$BZ$1001,252,G$2)&amp;""),""))</f>
        <v/>
      </c>
      <c r="H253">
        <f>IF(H$2=0,"",IFERROR(TRIM(INDEX('Pegar estudiantes'!$A$1:$BZ$1001,252,H$2)&amp;""),""))</f>
        <v/>
      </c>
      <c r="I253">
        <f>IF(I$2=0,"",IFERROR(TRIM(INDEX('Pegar estudiantes'!$A$1:$BZ$1001,252,I$2)&amp;""),""))</f>
        <v/>
      </c>
      <c r="J253">
        <f>IF(J$2=0,"",IFERROR(TRIM(INDEX('Pegar estudiantes'!$A$1:$BZ$1001,252,J$2)&amp;""),""))</f>
        <v/>
      </c>
      <c r="K253">
        <f>IF(K$2=0,"",IFERROR(TRIM(INDEX('Pegar estudiantes'!$A$1:$BZ$1001,252,K$2)&amp;""),""))</f>
        <v/>
      </c>
      <c r="L253" s="25">
        <f>IF(A253&lt;&gt;"",1,"")</f>
        <v/>
      </c>
      <c r="M253" s="25">
        <f>IF(L253=1,IF(ISNUMBER(FIND("#"&amp;MID(A253,1,1)&amp;"#","#0#1#2#3#4#5#6#7#8#9#")),IF(ISNUMBER(FIND("#"&amp;MID(A253,2,1)&amp;"#","#0#1#2#3#4#5#6#7#8#9#")),IF(AND(VALUE(LEFT(A253,2))&gt;=1,VALUE(LEFT(A253,2))&lt;=5),VALUE(LEFT(A253,2)),""),IF(AND(VALUE(LEFT(A253,1))&gt;=1,VALUE(LEFT(A253,1))&lt;=5),VALUE(LEFT(A253,1)),"")),""),"")</f>
        <v/>
      </c>
      <c r="N253" s="25">
        <f>IF(L253=1,IF(ISNUMBER(FIND("#"&amp;MID(H253,1,1)&amp;"#","#0#1#2#3#4#5#6#7#8#9#")),IF(ISNUMBER(FIND("#"&amp;MID(H253,2,1)&amp;"#","#0#1#2#3#4#5#6#7#8#9#")),IF(AND(VALUE(LEFT(H253,2))&gt;=1,VALUE(LEFT(H253,2))&lt;=5),VALUE(LEFT(H253,2)),""),IF(AND(VALUE(LEFT(H253,1))&gt;=1,VALUE(LEFT(H253,1))&lt;=5),VALUE(LEFT(H253,1)),"")),""),"")</f>
        <v/>
      </c>
      <c r="O253" s="25">
        <f>IF(AND(L253=1,B253&lt;&gt;""),SUBSTITUTE(SUBSTITUTE(SUBSTITUTE(SUBSTITUTE(SUBSTITUTE(SUBSTITUTE(SUBSTITUTE(SUBSTITUTE(SUBSTITUTE(SUBSTITUTE(SUBSTITUTE(SUBSTITUTE(LOWER(TRIM(B253)),"á","a"),"é","e"),"í","i"),"ó","o"),"ú","u"),"ü","u"),"ñ","n"),"à","a"),"è","e"),"ì","i"),"ò","o"),"ù","u"),"")</f>
        <v/>
      </c>
      <c r="P253" s="25">
        <f>IF(AND(L253=1,C253&lt;&gt;""),SUBSTITUTE(SUBSTITUTE(SUBSTITUTE(SUBSTITUTE(SUBSTITUTE(SUBSTITUTE(SUBSTITUTE(SUBSTITUTE(SUBSTITUTE(SUBSTITUTE(SUBSTITUTE(SUBSTITUTE(LOWER(TRIM(C253)),"á","a"),"é","e"),"í","i"),"ó","o"),"ú","u"),"ü","u"),"ñ","n"),"à","a"),"è","e"),"ì","i"),"ò","o"),"ù","u"),"")</f>
        <v/>
      </c>
      <c r="Q253" s="25">
        <f>IF(AND(L253=1,E253&lt;&gt;""),SUBSTITUTE(SUBSTITUTE(SUBSTITUTE(SUBSTITUTE(SUBSTITUTE(SUBSTITUTE(SUBSTITUTE(SUBSTITUTE(SUBSTITUTE(SUBSTITUTE(SUBSTITUTE(SUBSTITUTE(LOWER(TRIM(E253)),"á","a"),"é","e"),"í","i"),"ó","o"),"ú","u"),"ü","u"),"ñ","n"),"à","a"),"è","e"),"ì","i"),"ò","o"),"ù","u"),"")</f>
        <v/>
      </c>
      <c r="R253" s="25">
        <f>IF(AND(L253=1,I253&lt;&gt;""),SUBSTITUTE(SUBSTITUTE(SUBSTITUTE(SUBSTITUTE(SUBSTITUTE(SUBSTITUTE(SUBSTITUTE(SUBSTITUTE(SUBSTITUTE(SUBSTITUTE(SUBSTITUTE(SUBSTITUTE(LOWER(TRIM(I253)),"á","a"),"é","e"),"í","i"),"ó","o"),"ú","u"),"ü","u"),"ñ","n"),"à","a"),"è","e"),"ì","i"),"ò","o"),"ù","u"),"")</f>
        <v/>
      </c>
      <c r="S253" s="25">
        <f>IF(R253="","",IF(OR(R253="si",R253="tal vez"),1,0))</f>
        <v/>
      </c>
      <c r="T253" s="25">
        <f>IF(AND(L253=1,D253&lt;&gt;""),IF(IFERROR(COUNTIFS(D$3:D253,"="&amp;SUBSTITUTE(SUBSTITUTE(SUBSTITUTE(D253,"~","~~"),"*","~*"),"?","~?"),L$3:L253,1),0)=1,MAX(T$2:T252)+1,""),"")</f>
        <v/>
      </c>
      <c r="U253" s="25">
        <f>IF(T253="","",COUNTIFS($D$3:$D$1002,"="&amp;SUBSTITUTE(SUBSTITUTE(SUBSTITUTE(D253,"~","~~"),"*","~*"),"?","~?"),$L$3:$L$1002,1)*10000-T253)</f>
        <v/>
      </c>
      <c r="V253" s="25">
        <f>IF(AND(L253=1,J253&lt;&gt;""),IF(IFERROR(COUNTIFS(J$3:J253,"="&amp;SUBSTITUTE(SUBSTITUTE(SUBSTITUTE(J253,"~","~~"),"*","~*"),"?","~?"),L$3:L253,1),0)=1,MAX(V$2:V252)+1,""),"")</f>
        <v/>
      </c>
      <c r="W253" s="25">
        <f>IF(V253="","",COUNTIFS($J$3:$J$1002,"="&amp;SUBSTITUTE(SUBSTITUTE(SUBSTITUTE(J253,"~","~~"),"*","~*"),"?","~?"),$L$3:$L$1002,1)*10000-V253)</f>
        <v/>
      </c>
    </row>
    <row r="254">
      <c r="A254">
        <f>IF(A$2=0,"",IFERROR(TRIM(INDEX('Pegar estudiantes'!$A$1:$BZ$1001,253,A$2)&amp;""),""))</f>
        <v/>
      </c>
      <c r="B254">
        <f>IF(B$2=0,"",IFERROR(TRIM(INDEX('Pegar estudiantes'!$A$1:$BZ$1001,253,B$2)&amp;""),""))</f>
        <v/>
      </c>
      <c r="C254">
        <f>IF(C$2=0,"",IFERROR(TRIM(INDEX('Pegar estudiantes'!$A$1:$BZ$1001,253,C$2)&amp;""),""))</f>
        <v/>
      </c>
      <c r="D254">
        <f>IF(D$2=0,"",IFERROR(TRIM(INDEX('Pegar estudiantes'!$A$1:$BZ$1001,253,D$2)&amp;""),""))</f>
        <v/>
      </c>
      <c r="E254">
        <f>IF(E$2=0,"",IFERROR(TRIM(INDEX('Pegar estudiantes'!$A$1:$BZ$1001,253,E$2)&amp;""),""))</f>
        <v/>
      </c>
      <c r="F254">
        <f>IF(F$2=0,"",IFERROR(TRIM(INDEX('Pegar estudiantes'!$A$1:$BZ$1001,253,F$2)&amp;""),""))</f>
        <v/>
      </c>
      <c r="G254">
        <f>IF(G$2=0,"",IFERROR(TRIM(INDEX('Pegar estudiantes'!$A$1:$BZ$1001,253,G$2)&amp;""),""))</f>
        <v/>
      </c>
      <c r="H254">
        <f>IF(H$2=0,"",IFERROR(TRIM(INDEX('Pegar estudiantes'!$A$1:$BZ$1001,253,H$2)&amp;""),""))</f>
        <v/>
      </c>
      <c r="I254">
        <f>IF(I$2=0,"",IFERROR(TRIM(INDEX('Pegar estudiantes'!$A$1:$BZ$1001,253,I$2)&amp;""),""))</f>
        <v/>
      </c>
      <c r="J254">
        <f>IF(J$2=0,"",IFERROR(TRIM(INDEX('Pegar estudiantes'!$A$1:$BZ$1001,253,J$2)&amp;""),""))</f>
        <v/>
      </c>
      <c r="K254">
        <f>IF(K$2=0,"",IFERROR(TRIM(INDEX('Pegar estudiantes'!$A$1:$BZ$1001,253,K$2)&amp;""),""))</f>
        <v/>
      </c>
      <c r="L254" s="25">
        <f>IF(A254&lt;&gt;"",1,"")</f>
        <v/>
      </c>
      <c r="M254" s="25">
        <f>IF(L254=1,IF(ISNUMBER(FIND("#"&amp;MID(A254,1,1)&amp;"#","#0#1#2#3#4#5#6#7#8#9#")),IF(ISNUMBER(FIND("#"&amp;MID(A254,2,1)&amp;"#","#0#1#2#3#4#5#6#7#8#9#")),IF(AND(VALUE(LEFT(A254,2))&gt;=1,VALUE(LEFT(A254,2))&lt;=5),VALUE(LEFT(A254,2)),""),IF(AND(VALUE(LEFT(A254,1))&gt;=1,VALUE(LEFT(A254,1))&lt;=5),VALUE(LEFT(A254,1)),"")),""),"")</f>
        <v/>
      </c>
      <c r="N254" s="25">
        <f>IF(L254=1,IF(ISNUMBER(FIND("#"&amp;MID(H254,1,1)&amp;"#","#0#1#2#3#4#5#6#7#8#9#")),IF(ISNUMBER(FIND("#"&amp;MID(H254,2,1)&amp;"#","#0#1#2#3#4#5#6#7#8#9#")),IF(AND(VALUE(LEFT(H254,2))&gt;=1,VALUE(LEFT(H254,2))&lt;=5),VALUE(LEFT(H254,2)),""),IF(AND(VALUE(LEFT(H254,1))&gt;=1,VALUE(LEFT(H254,1))&lt;=5),VALUE(LEFT(H254,1)),"")),""),"")</f>
        <v/>
      </c>
      <c r="O254" s="25">
        <f>IF(AND(L254=1,B254&lt;&gt;""),SUBSTITUTE(SUBSTITUTE(SUBSTITUTE(SUBSTITUTE(SUBSTITUTE(SUBSTITUTE(SUBSTITUTE(SUBSTITUTE(SUBSTITUTE(SUBSTITUTE(SUBSTITUTE(SUBSTITUTE(LOWER(TRIM(B254)),"á","a"),"é","e"),"í","i"),"ó","o"),"ú","u"),"ü","u"),"ñ","n"),"à","a"),"è","e"),"ì","i"),"ò","o"),"ù","u"),"")</f>
        <v/>
      </c>
      <c r="P254" s="25">
        <f>IF(AND(L254=1,C254&lt;&gt;""),SUBSTITUTE(SUBSTITUTE(SUBSTITUTE(SUBSTITUTE(SUBSTITUTE(SUBSTITUTE(SUBSTITUTE(SUBSTITUTE(SUBSTITUTE(SUBSTITUTE(SUBSTITUTE(SUBSTITUTE(LOWER(TRIM(C254)),"á","a"),"é","e"),"í","i"),"ó","o"),"ú","u"),"ü","u"),"ñ","n"),"à","a"),"è","e"),"ì","i"),"ò","o"),"ù","u"),"")</f>
        <v/>
      </c>
      <c r="Q254" s="25">
        <f>IF(AND(L254=1,E254&lt;&gt;""),SUBSTITUTE(SUBSTITUTE(SUBSTITUTE(SUBSTITUTE(SUBSTITUTE(SUBSTITUTE(SUBSTITUTE(SUBSTITUTE(SUBSTITUTE(SUBSTITUTE(SUBSTITUTE(SUBSTITUTE(LOWER(TRIM(E254)),"á","a"),"é","e"),"í","i"),"ó","o"),"ú","u"),"ü","u"),"ñ","n"),"à","a"),"è","e"),"ì","i"),"ò","o"),"ù","u"),"")</f>
        <v/>
      </c>
      <c r="R254" s="25">
        <f>IF(AND(L254=1,I254&lt;&gt;""),SUBSTITUTE(SUBSTITUTE(SUBSTITUTE(SUBSTITUTE(SUBSTITUTE(SUBSTITUTE(SUBSTITUTE(SUBSTITUTE(SUBSTITUTE(SUBSTITUTE(SUBSTITUTE(SUBSTITUTE(LOWER(TRIM(I254)),"á","a"),"é","e"),"í","i"),"ó","o"),"ú","u"),"ü","u"),"ñ","n"),"à","a"),"è","e"),"ì","i"),"ò","o"),"ù","u"),"")</f>
        <v/>
      </c>
      <c r="S254" s="25">
        <f>IF(R254="","",IF(OR(R254="si",R254="tal vez"),1,0))</f>
        <v/>
      </c>
      <c r="T254" s="25">
        <f>IF(AND(L254=1,D254&lt;&gt;""),IF(IFERROR(COUNTIFS(D$3:D254,"="&amp;SUBSTITUTE(SUBSTITUTE(SUBSTITUTE(D254,"~","~~"),"*","~*"),"?","~?"),L$3:L254,1),0)=1,MAX(T$2:T253)+1,""),"")</f>
        <v/>
      </c>
      <c r="U254" s="25">
        <f>IF(T254="","",COUNTIFS($D$3:$D$1002,"="&amp;SUBSTITUTE(SUBSTITUTE(SUBSTITUTE(D254,"~","~~"),"*","~*"),"?","~?"),$L$3:$L$1002,1)*10000-T254)</f>
        <v/>
      </c>
      <c r="V254" s="25">
        <f>IF(AND(L254=1,J254&lt;&gt;""),IF(IFERROR(COUNTIFS(J$3:J254,"="&amp;SUBSTITUTE(SUBSTITUTE(SUBSTITUTE(J254,"~","~~"),"*","~*"),"?","~?"),L$3:L254,1),0)=1,MAX(V$2:V253)+1,""),"")</f>
        <v/>
      </c>
      <c r="W254" s="25">
        <f>IF(V254="","",COUNTIFS($J$3:$J$1002,"="&amp;SUBSTITUTE(SUBSTITUTE(SUBSTITUTE(J254,"~","~~"),"*","~*"),"?","~?"),$L$3:$L$1002,1)*10000-V254)</f>
        <v/>
      </c>
    </row>
    <row r="255">
      <c r="A255">
        <f>IF(A$2=0,"",IFERROR(TRIM(INDEX('Pegar estudiantes'!$A$1:$BZ$1001,254,A$2)&amp;""),""))</f>
        <v/>
      </c>
      <c r="B255">
        <f>IF(B$2=0,"",IFERROR(TRIM(INDEX('Pegar estudiantes'!$A$1:$BZ$1001,254,B$2)&amp;""),""))</f>
        <v/>
      </c>
      <c r="C255">
        <f>IF(C$2=0,"",IFERROR(TRIM(INDEX('Pegar estudiantes'!$A$1:$BZ$1001,254,C$2)&amp;""),""))</f>
        <v/>
      </c>
      <c r="D255">
        <f>IF(D$2=0,"",IFERROR(TRIM(INDEX('Pegar estudiantes'!$A$1:$BZ$1001,254,D$2)&amp;""),""))</f>
        <v/>
      </c>
      <c r="E255">
        <f>IF(E$2=0,"",IFERROR(TRIM(INDEX('Pegar estudiantes'!$A$1:$BZ$1001,254,E$2)&amp;""),""))</f>
        <v/>
      </c>
      <c r="F255">
        <f>IF(F$2=0,"",IFERROR(TRIM(INDEX('Pegar estudiantes'!$A$1:$BZ$1001,254,F$2)&amp;""),""))</f>
        <v/>
      </c>
      <c r="G255">
        <f>IF(G$2=0,"",IFERROR(TRIM(INDEX('Pegar estudiantes'!$A$1:$BZ$1001,254,G$2)&amp;""),""))</f>
        <v/>
      </c>
      <c r="H255">
        <f>IF(H$2=0,"",IFERROR(TRIM(INDEX('Pegar estudiantes'!$A$1:$BZ$1001,254,H$2)&amp;""),""))</f>
        <v/>
      </c>
      <c r="I255">
        <f>IF(I$2=0,"",IFERROR(TRIM(INDEX('Pegar estudiantes'!$A$1:$BZ$1001,254,I$2)&amp;""),""))</f>
        <v/>
      </c>
      <c r="J255">
        <f>IF(J$2=0,"",IFERROR(TRIM(INDEX('Pegar estudiantes'!$A$1:$BZ$1001,254,J$2)&amp;""),""))</f>
        <v/>
      </c>
      <c r="K255">
        <f>IF(K$2=0,"",IFERROR(TRIM(INDEX('Pegar estudiantes'!$A$1:$BZ$1001,254,K$2)&amp;""),""))</f>
        <v/>
      </c>
      <c r="L255" s="25">
        <f>IF(A255&lt;&gt;"",1,"")</f>
        <v/>
      </c>
      <c r="M255" s="25">
        <f>IF(L255=1,IF(ISNUMBER(FIND("#"&amp;MID(A255,1,1)&amp;"#","#0#1#2#3#4#5#6#7#8#9#")),IF(ISNUMBER(FIND("#"&amp;MID(A255,2,1)&amp;"#","#0#1#2#3#4#5#6#7#8#9#")),IF(AND(VALUE(LEFT(A255,2))&gt;=1,VALUE(LEFT(A255,2))&lt;=5),VALUE(LEFT(A255,2)),""),IF(AND(VALUE(LEFT(A255,1))&gt;=1,VALUE(LEFT(A255,1))&lt;=5),VALUE(LEFT(A255,1)),"")),""),"")</f>
        <v/>
      </c>
      <c r="N255" s="25">
        <f>IF(L255=1,IF(ISNUMBER(FIND("#"&amp;MID(H255,1,1)&amp;"#","#0#1#2#3#4#5#6#7#8#9#")),IF(ISNUMBER(FIND("#"&amp;MID(H255,2,1)&amp;"#","#0#1#2#3#4#5#6#7#8#9#")),IF(AND(VALUE(LEFT(H255,2))&gt;=1,VALUE(LEFT(H255,2))&lt;=5),VALUE(LEFT(H255,2)),""),IF(AND(VALUE(LEFT(H255,1))&gt;=1,VALUE(LEFT(H255,1))&lt;=5),VALUE(LEFT(H255,1)),"")),""),"")</f>
        <v/>
      </c>
      <c r="O255" s="25">
        <f>IF(AND(L255=1,B255&lt;&gt;""),SUBSTITUTE(SUBSTITUTE(SUBSTITUTE(SUBSTITUTE(SUBSTITUTE(SUBSTITUTE(SUBSTITUTE(SUBSTITUTE(SUBSTITUTE(SUBSTITUTE(SUBSTITUTE(SUBSTITUTE(LOWER(TRIM(B255)),"á","a"),"é","e"),"í","i"),"ó","o"),"ú","u"),"ü","u"),"ñ","n"),"à","a"),"è","e"),"ì","i"),"ò","o"),"ù","u"),"")</f>
        <v/>
      </c>
      <c r="P255" s="25">
        <f>IF(AND(L255=1,C255&lt;&gt;""),SUBSTITUTE(SUBSTITUTE(SUBSTITUTE(SUBSTITUTE(SUBSTITUTE(SUBSTITUTE(SUBSTITUTE(SUBSTITUTE(SUBSTITUTE(SUBSTITUTE(SUBSTITUTE(SUBSTITUTE(LOWER(TRIM(C255)),"á","a"),"é","e"),"í","i"),"ó","o"),"ú","u"),"ü","u"),"ñ","n"),"à","a"),"è","e"),"ì","i"),"ò","o"),"ù","u"),"")</f>
        <v/>
      </c>
      <c r="Q255" s="25">
        <f>IF(AND(L255=1,E255&lt;&gt;""),SUBSTITUTE(SUBSTITUTE(SUBSTITUTE(SUBSTITUTE(SUBSTITUTE(SUBSTITUTE(SUBSTITUTE(SUBSTITUTE(SUBSTITUTE(SUBSTITUTE(SUBSTITUTE(SUBSTITUTE(LOWER(TRIM(E255)),"á","a"),"é","e"),"í","i"),"ó","o"),"ú","u"),"ü","u"),"ñ","n"),"à","a"),"è","e"),"ì","i"),"ò","o"),"ù","u"),"")</f>
        <v/>
      </c>
      <c r="R255" s="25">
        <f>IF(AND(L255=1,I255&lt;&gt;""),SUBSTITUTE(SUBSTITUTE(SUBSTITUTE(SUBSTITUTE(SUBSTITUTE(SUBSTITUTE(SUBSTITUTE(SUBSTITUTE(SUBSTITUTE(SUBSTITUTE(SUBSTITUTE(SUBSTITUTE(LOWER(TRIM(I255)),"á","a"),"é","e"),"í","i"),"ó","o"),"ú","u"),"ü","u"),"ñ","n"),"à","a"),"è","e"),"ì","i"),"ò","o"),"ù","u"),"")</f>
        <v/>
      </c>
      <c r="S255" s="25">
        <f>IF(R255="","",IF(OR(R255="si",R255="tal vez"),1,0))</f>
        <v/>
      </c>
      <c r="T255" s="25">
        <f>IF(AND(L255=1,D255&lt;&gt;""),IF(IFERROR(COUNTIFS(D$3:D255,"="&amp;SUBSTITUTE(SUBSTITUTE(SUBSTITUTE(D255,"~","~~"),"*","~*"),"?","~?"),L$3:L255,1),0)=1,MAX(T$2:T254)+1,""),"")</f>
        <v/>
      </c>
      <c r="U255" s="25">
        <f>IF(T255="","",COUNTIFS($D$3:$D$1002,"="&amp;SUBSTITUTE(SUBSTITUTE(SUBSTITUTE(D255,"~","~~"),"*","~*"),"?","~?"),$L$3:$L$1002,1)*10000-T255)</f>
        <v/>
      </c>
      <c r="V255" s="25">
        <f>IF(AND(L255=1,J255&lt;&gt;""),IF(IFERROR(COUNTIFS(J$3:J255,"="&amp;SUBSTITUTE(SUBSTITUTE(SUBSTITUTE(J255,"~","~~"),"*","~*"),"?","~?"),L$3:L255,1),0)=1,MAX(V$2:V254)+1,""),"")</f>
        <v/>
      </c>
      <c r="W255" s="25">
        <f>IF(V255="","",COUNTIFS($J$3:$J$1002,"="&amp;SUBSTITUTE(SUBSTITUTE(SUBSTITUTE(J255,"~","~~"),"*","~*"),"?","~?"),$L$3:$L$1002,1)*10000-V255)</f>
        <v/>
      </c>
    </row>
    <row r="256">
      <c r="A256">
        <f>IF(A$2=0,"",IFERROR(TRIM(INDEX('Pegar estudiantes'!$A$1:$BZ$1001,255,A$2)&amp;""),""))</f>
        <v/>
      </c>
      <c r="B256">
        <f>IF(B$2=0,"",IFERROR(TRIM(INDEX('Pegar estudiantes'!$A$1:$BZ$1001,255,B$2)&amp;""),""))</f>
        <v/>
      </c>
      <c r="C256">
        <f>IF(C$2=0,"",IFERROR(TRIM(INDEX('Pegar estudiantes'!$A$1:$BZ$1001,255,C$2)&amp;""),""))</f>
        <v/>
      </c>
      <c r="D256">
        <f>IF(D$2=0,"",IFERROR(TRIM(INDEX('Pegar estudiantes'!$A$1:$BZ$1001,255,D$2)&amp;""),""))</f>
        <v/>
      </c>
      <c r="E256">
        <f>IF(E$2=0,"",IFERROR(TRIM(INDEX('Pegar estudiantes'!$A$1:$BZ$1001,255,E$2)&amp;""),""))</f>
        <v/>
      </c>
      <c r="F256">
        <f>IF(F$2=0,"",IFERROR(TRIM(INDEX('Pegar estudiantes'!$A$1:$BZ$1001,255,F$2)&amp;""),""))</f>
        <v/>
      </c>
      <c r="G256">
        <f>IF(G$2=0,"",IFERROR(TRIM(INDEX('Pegar estudiantes'!$A$1:$BZ$1001,255,G$2)&amp;""),""))</f>
        <v/>
      </c>
      <c r="H256">
        <f>IF(H$2=0,"",IFERROR(TRIM(INDEX('Pegar estudiantes'!$A$1:$BZ$1001,255,H$2)&amp;""),""))</f>
        <v/>
      </c>
      <c r="I256">
        <f>IF(I$2=0,"",IFERROR(TRIM(INDEX('Pegar estudiantes'!$A$1:$BZ$1001,255,I$2)&amp;""),""))</f>
        <v/>
      </c>
      <c r="J256">
        <f>IF(J$2=0,"",IFERROR(TRIM(INDEX('Pegar estudiantes'!$A$1:$BZ$1001,255,J$2)&amp;""),""))</f>
        <v/>
      </c>
      <c r="K256">
        <f>IF(K$2=0,"",IFERROR(TRIM(INDEX('Pegar estudiantes'!$A$1:$BZ$1001,255,K$2)&amp;""),""))</f>
        <v/>
      </c>
      <c r="L256" s="25">
        <f>IF(A256&lt;&gt;"",1,"")</f>
        <v/>
      </c>
      <c r="M256" s="25">
        <f>IF(L256=1,IF(ISNUMBER(FIND("#"&amp;MID(A256,1,1)&amp;"#","#0#1#2#3#4#5#6#7#8#9#")),IF(ISNUMBER(FIND("#"&amp;MID(A256,2,1)&amp;"#","#0#1#2#3#4#5#6#7#8#9#")),IF(AND(VALUE(LEFT(A256,2))&gt;=1,VALUE(LEFT(A256,2))&lt;=5),VALUE(LEFT(A256,2)),""),IF(AND(VALUE(LEFT(A256,1))&gt;=1,VALUE(LEFT(A256,1))&lt;=5),VALUE(LEFT(A256,1)),"")),""),"")</f>
        <v/>
      </c>
      <c r="N256" s="25">
        <f>IF(L256=1,IF(ISNUMBER(FIND("#"&amp;MID(H256,1,1)&amp;"#","#0#1#2#3#4#5#6#7#8#9#")),IF(ISNUMBER(FIND("#"&amp;MID(H256,2,1)&amp;"#","#0#1#2#3#4#5#6#7#8#9#")),IF(AND(VALUE(LEFT(H256,2))&gt;=1,VALUE(LEFT(H256,2))&lt;=5),VALUE(LEFT(H256,2)),""),IF(AND(VALUE(LEFT(H256,1))&gt;=1,VALUE(LEFT(H256,1))&lt;=5),VALUE(LEFT(H256,1)),"")),""),"")</f>
        <v/>
      </c>
      <c r="O256" s="25">
        <f>IF(AND(L256=1,B256&lt;&gt;""),SUBSTITUTE(SUBSTITUTE(SUBSTITUTE(SUBSTITUTE(SUBSTITUTE(SUBSTITUTE(SUBSTITUTE(SUBSTITUTE(SUBSTITUTE(SUBSTITUTE(SUBSTITUTE(SUBSTITUTE(LOWER(TRIM(B256)),"á","a"),"é","e"),"í","i"),"ó","o"),"ú","u"),"ü","u"),"ñ","n"),"à","a"),"è","e"),"ì","i"),"ò","o"),"ù","u"),"")</f>
        <v/>
      </c>
      <c r="P256" s="25">
        <f>IF(AND(L256=1,C256&lt;&gt;""),SUBSTITUTE(SUBSTITUTE(SUBSTITUTE(SUBSTITUTE(SUBSTITUTE(SUBSTITUTE(SUBSTITUTE(SUBSTITUTE(SUBSTITUTE(SUBSTITUTE(SUBSTITUTE(SUBSTITUTE(LOWER(TRIM(C256)),"á","a"),"é","e"),"í","i"),"ó","o"),"ú","u"),"ü","u"),"ñ","n"),"à","a"),"è","e"),"ì","i"),"ò","o"),"ù","u"),"")</f>
        <v/>
      </c>
      <c r="Q256" s="25">
        <f>IF(AND(L256=1,E256&lt;&gt;""),SUBSTITUTE(SUBSTITUTE(SUBSTITUTE(SUBSTITUTE(SUBSTITUTE(SUBSTITUTE(SUBSTITUTE(SUBSTITUTE(SUBSTITUTE(SUBSTITUTE(SUBSTITUTE(SUBSTITUTE(LOWER(TRIM(E256)),"á","a"),"é","e"),"í","i"),"ó","o"),"ú","u"),"ü","u"),"ñ","n"),"à","a"),"è","e"),"ì","i"),"ò","o"),"ù","u"),"")</f>
        <v/>
      </c>
      <c r="R256" s="25">
        <f>IF(AND(L256=1,I256&lt;&gt;""),SUBSTITUTE(SUBSTITUTE(SUBSTITUTE(SUBSTITUTE(SUBSTITUTE(SUBSTITUTE(SUBSTITUTE(SUBSTITUTE(SUBSTITUTE(SUBSTITUTE(SUBSTITUTE(SUBSTITUTE(LOWER(TRIM(I256)),"á","a"),"é","e"),"í","i"),"ó","o"),"ú","u"),"ü","u"),"ñ","n"),"à","a"),"è","e"),"ì","i"),"ò","o"),"ù","u"),"")</f>
        <v/>
      </c>
      <c r="S256" s="25">
        <f>IF(R256="","",IF(OR(R256="si",R256="tal vez"),1,0))</f>
        <v/>
      </c>
      <c r="T256" s="25">
        <f>IF(AND(L256=1,D256&lt;&gt;""),IF(IFERROR(COUNTIFS(D$3:D256,"="&amp;SUBSTITUTE(SUBSTITUTE(SUBSTITUTE(D256,"~","~~"),"*","~*"),"?","~?"),L$3:L256,1),0)=1,MAX(T$2:T255)+1,""),"")</f>
        <v/>
      </c>
      <c r="U256" s="25">
        <f>IF(T256="","",COUNTIFS($D$3:$D$1002,"="&amp;SUBSTITUTE(SUBSTITUTE(SUBSTITUTE(D256,"~","~~"),"*","~*"),"?","~?"),$L$3:$L$1002,1)*10000-T256)</f>
        <v/>
      </c>
      <c r="V256" s="25">
        <f>IF(AND(L256=1,J256&lt;&gt;""),IF(IFERROR(COUNTIFS(J$3:J256,"="&amp;SUBSTITUTE(SUBSTITUTE(SUBSTITUTE(J256,"~","~~"),"*","~*"),"?","~?"),L$3:L256,1),0)=1,MAX(V$2:V255)+1,""),"")</f>
        <v/>
      </c>
      <c r="W256" s="25">
        <f>IF(V256="","",COUNTIFS($J$3:$J$1002,"="&amp;SUBSTITUTE(SUBSTITUTE(SUBSTITUTE(J256,"~","~~"),"*","~*"),"?","~?"),$L$3:$L$1002,1)*10000-V256)</f>
        <v/>
      </c>
    </row>
    <row r="257">
      <c r="A257">
        <f>IF(A$2=0,"",IFERROR(TRIM(INDEX('Pegar estudiantes'!$A$1:$BZ$1001,256,A$2)&amp;""),""))</f>
        <v/>
      </c>
      <c r="B257">
        <f>IF(B$2=0,"",IFERROR(TRIM(INDEX('Pegar estudiantes'!$A$1:$BZ$1001,256,B$2)&amp;""),""))</f>
        <v/>
      </c>
      <c r="C257">
        <f>IF(C$2=0,"",IFERROR(TRIM(INDEX('Pegar estudiantes'!$A$1:$BZ$1001,256,C$2)&amp;""),""))</f>
        <v/>
      </c>
      <c r="D257">
        <f>IF(D$2=0,"",IFERROR(TRIM(INDEX('Pegar estudiantes'!$A$1:$BZ$1001,256,D$2)&amp;""),""))</f>
        <v/>
      </c>
      <c r="E257">
        <f>IF(E$2=0,"",IFERROR(TRIM(INDEX('Pegar estudiantes'!$A$1:$BZ$1001,256,E$2)&amp;""),""))</f>
        <v/>
      </c>
      <c r="F257">
        <f>IF(F$2=0,"",IFERROR(TRIM(INDEX('Pegar estudiantes'!$A$1:$BZ$1001,256,F$2)&amp;""),""))</f>
        <v/>
      </c>
      <c r="G257">
        <f>IF(G$2=0,"",IFERROR(TRIM(INDEX('Pegar estudiantes'!$A$1:$BZ$1001,256,G$2)&amp;""),""))</f>
        <v/>
      </c>
      <c r="H257">
        <f>IF(H$2=0,"",IFERROR(TRIM(INDEX('Pegar estudiantes'!$A$1:$BZ$1001,256,H$2)&amp;""),""))</f>
        <v/>
      </c>
      <c r="I257">
        <f>IF(I$2=0,"",IFERROR(TRIM(INDEX('Pegar estudiantes'!$A$1:$BZ$1001,256,I$2)&amp;""),""))</f>
        <v/>
      </c>
      <c r="J257">
        <f>IF(J$2=0,"",IFERROR(TRIM(INDEX('Pegar estudiantes'!$A$1:$BZ$1001,256,J$2)&amp;""),""))</f>
        <v/>
      </c>
      <c r="K257">
        <f>IF(K$2=0,"",IFERROR(TRIM(INDEX('Pegar estudiantes'!$A$1:$BZ$1001,256,K$2)&amp;""),""))</f>
        <v/>
      </c>
      <c r="L257" s="25">
        <f>IF(A257&lt;&gt;"",1,"")</f>
        <v/>
      </c>
      <c r="M257" s="25">
        <f>IF(L257=1,IF(ISNUMBER(FIND("#"&amp;MID(A257,1,1)&amp;"#","#0#1#2#3#4#5#6#7#8#9#")),IF(ISNUMBER(FIND("#"&amp;MID(A257,2,1)&amp;"#","#0#1#2#3#4#5#6#7#8#9#")),IF(AND(VALUE(LEFT(A257,2))&gt;=1,VALUE(LEFT(A257,2))&lt;=5),VALUE(LEFT(A257,2)),""),IF(AND(VALUE(LEFT(A257,1))&gt;=1,VALUE(LEFT(A257,1))&lt;=5),VALUE(LEFT(A257,1)),"")),""),"")</f>
        <v/>
      </c>
      <c r="N257" s="25">
        <f>IF(L257=1,IF(ISNUMBER(FIND("#"&amp;MID(H257,1,1)&amp;"#","#0#1#2#3#4#5#6#7#8#9#")),IF(ISNUMBER(FIND("#"&amp;MID(H257,2,1)&amp;"#","#0#1#2#3#4#5#6#7#8#9#")),IF(AND(VALUE(LEFT(H257,2))&gt;=1,VALUE(LEFT(H257,2))&lt;=5),VALUE(LEFT(H257,2)),""),IF(AND(VALUE(LEFT(H257,1))&gt;=1,VALUE(LEFT(H257,1))&lt;=5),VALUE(LEFT(H257,1)),"")),""),"")</f>
        <v/>
      </c>
      <c r="O257" s="25">
        <f>IF(AND(L257=1,B257&lt;&gt;""),SUBSTITUTE(SUBSTITUTE(SUBSTITUTE(SUBSTITUTE(SUBSTITUTE(SUBSTITUTE(SUBSTITUTE(SUBSTITUTE(SUBSTITUTE(SUBSTITUTE(SUBSTITUTE(SUBSTITUTE(LOWER(TRIM(B257)),"á","a"),"é","e"),"í","i"),"ó","o"),"ú","u"),"ü","u"),"ñ","n"),"à","a"),"è","e"),"ì","i"),"ò","o"),"ù","u"),"")</f>
        <v/>
      </c>
      <c r="P257" s="25">
        <f>IF(AND(L257=1,C257&lt;&gt;""),SUBSTITUTE(SUBSTITUTE(SUBSTITUTE(SUBSTITUTE(SUBSTITUTE(SUBSTITUTE(SUBSTITUTE(SUBSTITUTE(SUBSTITUTE(SUBSTITUTE(SUBSTITUTE(SUBSTITUTE(LOWER(TRIM(C257)),"á","a"),"é","e"),"í","i"),"ó","o"),"ú","u"),"ü","u"),"ñ","n"),"à","a"),"è","e"),"ì","i"),"ò","o"),"ù","u"),"")</f>
        <v/>
      </c>
      <c r="Q257" s="25">
        <f>IF(AND(L257=1,E257&lt;&gt;""),SUBSTITUTE(SUBSTITUTE(SUBSTITUTE(SUBSTITUTE(SUBSTITUTE(SUBSTITUTE(SUBSTITUTE(SUBSTITUTE(SUBSTITUTE(SUBSTITUTE(SUBSTITUTE(SUBSTITUTE(LOWER(TRIM(E257)),"á","a"),"é","e"),"í","i"),"ó","o"),"ú","u"),"ü","u"),"ñ","n"),"à","a"),"è","e"),"ì","i"),"ò","o"),"ù","u"),"")</f>
        <v/>
      </c>
      <c r="R257" s="25">
        <f>IF(AND(L257=1,I257&lt;&gt;""),SUBSTITUTE(SUBSTITUTE(SUBSTITUTE(SUBSTITUTE(SUBSTITUTE(SUBSTITUTE(SUBSTITUTE(SUBSTITUTE(SUBSTITUTE(SUBSTITUTE(SUBSTITUTE(SUBSTITUTE(LOWER(TRIM(I257)),"á","a"),"é","e"),"í","i"),"ó","o"),"ú","u"),"ü","u"),"ñ","n"),"à","a"),"è","e"),"ì","i"),"ò","o"),"ù","u"),"")</f>
        <v/>
      </c>
      <c r="S257" s="25">
        <f>IF(R257="","",IF(OR(R257="si",R257="tal vez"),1,0))</f>
        <v/>
      </c>
      <c r="T257" s="25">
        <f>IF(AND(L257=1,D257&lt;&gt;""),IF(IFERROR(COUNTIFS(D$3:D257,"="&amp;SUBSTITUTE(SUBSTITUTE(SUBSTITUTE(D257,"~","~~"),"*","~*"),"?","~?"),L$3:L257,1),0)=1,MAX(T$2:T256)+1,""),"")</f>
        <v/>
      </c>
      <c r="U257" s="25">
        <f>IF(T257="","",COUNTIFS($D$3:$D$1002,"="&amp;SUBSTITUTE(SUBSTITUTE(SUBSTITUTE(D257,"~","~~"),"*","~*"),"?","~?"),$L$3:$L$1002,1)*10000-T257)</f>
        <v/>
      </c>
      <c r="V257" s="25">
        <f>IF(AND(L257=1,J257&lt;&gt;""),IF(IFERROR(COUNTIFS(J$3:J257,"="&amp;SUBSTITUTE(SUBSTITUTE(SUBSTITUTE(J257,"~","~~"),"*","~*"),"?","~?"),L$3:L257,1),0)=1,MAX(V$2:V256)+1,""),"")</f>
        <v/>
      </c>
      <c r="W257" s="25">
        <f>IF(V257="","",COUNTIFS($J$3:$J$1002,"="&amp;SUBSTITUTE(SUBSTITUTE(SUBSTITUTE(J257,"~","~~"),"*","~*"),"?","~?"),$L$3:$L$1002,1)*10000-V257)</f>
        <v/>
      </c>
    </row>
    <row r="258">
      <c r="A258">
        <f>IF(A$2=0,"",IFERROR(TRIM(INDEX('Pegar estudiantes'!$A$1:$BZ$1001,257,A$2)&amp;""),""))</f>
        <v/>
      </c>
      <c r="B258">
        <f>IF(B$2=0,"",IFERROR(TRIM(INDEX('Pegar estudiantes'!$A$1:$BZ$1001,257,B$2)&amp;""),""))</f>
        <v/>
      </c>
      <c r="C258">
        <f>IF(C$2=0,"",IFERROR(TRIM(INDEX('Pegar estudiantes'!$A$1:$BZ$1001,257,C$2)&amp;""),""))</f>
        <v/>
      </c>
      <c r="D258">
        <f>IF(D$2=0,"",IFERROR(TRIM(INDEX('Pegar estudiantes'!$A$1:$BZ$1001,257,D$2)&amp;""),""))</f>
        <v/>
      </c>
      <c r="E258">
        <f>IF(E$2=0,"",IFERROR(TRIM(INDEX('Pegar estudiantes'!$A$1:$BZ$1001,257,E$2)&amp;""),""))</f>
        <v/>
      </c>
      <c r="F258">
        <f>IF(F$2=0,"",IFERROR(TRIM(INDEX('Pegar estudiantes'!$A$1:$BZ$1001,257,F$2)&amp;""),""))</f>
        <v/>
      </c>
      <c r="G258">
        <f>IF(G$2=0,"",IFERROR(TRIM(INDEX('Pegar estudiantes'!$A$1:$BZ$1001,257,G$2)&amp;""),""))</f>
        <v/>
      </c>
      <c r="H258">
        <f>IF(H$2=0,"",IFERROR(TRIM(INDEX('Pegar estudiantes'!$A$1:$BZ$1001,257,H$2)&amp;""),""))</f>
        <v/>
      </c>
      <c r="I258">
        <f>IF(I$2=0,"",IFERROR(TRIM(INDEX('Pegar estudiantes'!$A$1:$BZ$1001,257,I$2)&amp;""),""))</f>
        <v/>
      </c>
      <c r="J258">
        <f>IF(J$2=0,"",IFERROR(TRIM(INDEX('Pegar estudiantes'!$A$1:$BZ$1001,257,J$2)&amp;""),""))</f>
        <v/>
      </c>
      <c r="K258">
        <f>IF(K$2=0,"",IFERROR(TRIM(INDEX('Pegar estudiantes'!$A$1:$BZ$1001,257,K$2)&amp;""),""))</f>
        <v/>
      </c>
      <c r="L258" s="25">
        <f>IF(A258&lt;&gt;"",1,"")</f>
        <v/>
      </c>
      <c r="M258" s="25">
        <f>IF(L258=1,IF(ISNUMBER(FIND("#"&amp;MID(A258,1,1)&amp;"#","#0#1#2#3#4#5#6#7#8#9#")),IF(ISNUMBER(FIND("#"&amp;MID(A258,2,1)&amp;"#","#0#1#2#3#4#5#6#7#8#9#")),IF(AND(VALUE(LEFT(A258,2))&gt;=1,VALUE(LEFT(A258,2))&lt;=5),VALUE(LEFT(A258,2)),""),IF(AND(VALUE(LEFT(A258,1))&gt;=1,VALUE(LEFT(A258,1))&lt;=5),VALUE(LEFT(A258,1)),"")),""),"")</f>
        <v/>
      </c>
      <c r="N258" s="25">
        <f>IF(L258=1,IF(ISNUMBER(FIND("#"&amp;MID(H258,1,1)&amp;"#","#0#1#2#3#4#5#6#7#8#9#")),IF(ISNUMBER(FIND("#"&amp;MID(H258,2,1)&amp;"#","#0#1#2#3#4#5#6#7#8#9#")),IF(AND(VALUE(LEFT(H258,2))&gt;=1,VALUE(LEFT(H258,2))&lt;=5),VALUE(LEFT(H258,2)),""),IF(AND(VALUE(LEFT(H258,1))&gt;=1,VALUE(LEFT(H258,1))&lt;=5),VALUE(LEFT(H258,1)),"")),""),"")</f>
        <v/>
      </c>
      <c r="O258" s="25">
        <f>IF(AND(L258=1,B258&lt;&gt;""),SUBSTITUTE(SUBSTITUTE(SUBSTITUTE(SUBSTITUTE(SUBSTITUTE(SUBSTITUTE(SUBSTITUTE(SUBSTITUTE(SUBSTITUTE(SUBSTITUTE(SUBSTITUTE(SUBSTITUTE(LOWER(TRIM(B258)),"á","a"),"é","e"),"í","i"),"ó","o"),"ú","u"),"ü","u"),"ñ","n"),"à","a"),"è","e"),"ì","i"),"ò","o"),"ù","u"),"")</f>
        <v/>
      </c>
      <c r="P258" s="25">
        <f>IF(AND(L258=1,C258&lt;&gt;""),SUBSTITUTE(SUBSTITUTE(SUBSTITUTE(SUBSTITUTE(SUBSTITUTE(SUBSTITUTE(SUBSTITUTE(SUBSTITUTE(SUBSTITUTE(SUBSTITUTE(SUBSTITUTE(SUBSTITUTE(LOWER(TRIM(C258)),"á","a"),"é","e"),"í","i"),"ó","o"),"ú","u"),"ü","u"),"ñ","n"),"à","a"),"è","e"),"ì","i"),"ò","o"),"ù","u"),"")</f>
        <v/>
      </c>
      <c r="Q258" s="25">
        <f>IF(AND(L258=1,E258&lt;&gt;""),SUBSTITUTE(SUBSTITUTE(SUBSTITUTE(SUBSTITUTE(SUBSTITUTE(SUBSTITUTE(SUBSTITUTE(SUBSTITUTE(SUBSTITUTE(SUBSTITUTE(SUBSTITUTE(SUBSTITUTE(LOWER(TRIM(E258)),"á","a"),"é","e"),"í","i"),"ó","o"),"ú","u"),"ü","u"),"ñ","n"),"à","a"),"è","e"),"ì","i"),"ò","o"),"ù","u"),"")</f>
        <v/>
      </c>
      <c r="R258" s="25">
        <f>IF(AND(L258=1,I258&lt;&gt;""),SUBSTITUTE(SUBSTITUTE(SUBSTITUTE(SUBSTITUTE(SUBSTITUTE(SUBSTITUTE(SUBSTITUTE(SUBSTITUTE(SUBSTITUTE(SUBSTITUTE(SUBSTITUTE(SUBSTITUTE(LOWER(TRIM(I258)),"á","a"),"é","e"),"í","i"),"ó","o"),"ú","u"),"ü","u"),"ñ","n"),"à","a"),"è","e"),"ì","i"),"ò","o"),"ù","u"),"")</f>
        <v/>
      </c>
      <c r="S258" s="25">
        <f>IF(R258="","",IF(OR(R258="si",R258="tal vez"),1,0))</f>
        <v/>
      </c>
      <c r="T258" s="25">
        <f>IF(AND(L258=1,D258&lt;&gt;""),IF(IFERROR(COUNTIFS(D$3:D258,"="&amp;SUBSTITUTE(SUBSTITUTE(SUBSTITUTE(D258,"~","~~"),"*","~*"),"?","~?"),L$3:L258,1),0)=1,MAX(T$2:T257)+1,""),"")</f>
        <v/>
      </c>
      <c r="U258" s="25">
        <f>IF(T258="","",COUNTIFS($D$3:$D$1002,"="&amp;SUBSTITUTE(SUBSTITUTE(SUBSTITUTE(D258,"~","~~"),"*","~*"),"?","~?"),$L$3:$L$1002,1)*10000-T258)</f>
        <v/>
      </c>
      <c r="V258" s="25">
        <f>IF(AND(L258=1,J258&lt;&gt;""),IF(IFERROR(COUNTIFS(J$3:J258,"="&amp;SUBSTITUTE(SUBSTITUTE(SUBSTITUTE(J258,"~","~~"),"*","~*"),"?","~?"),L$3:L258,1),0)=1,MAX(V$2:V257)+1,""),"")</f>
        <v/>
      </c>
      <c r="W258" s="25">
        <f>IF(V258="","",COUNTIFS($J$3:$J$1002,"="&amp;SUBSTITUTE(SUBSTITUTE(SUBSTITUTE(J258,"~","~~"),"*","~*"),"?","~?"),$L$3:$L$1002,1)*10000-V258)</f>
        <v/>
      </c>
    </row>
    <row r="259">
      <c r="A259">
        <f>IF(A$2=0,"",IFERROR(TRIM(INDEX('Pegar estudiantes'!$A$1:$BZ$1001,258,A$2)&amp;""),""))</f>
        <v/>
      </c>
      <c r="B259">
        <f>IF(B$2=0,"",IFERROR(TRIM(INDEX('Pegar estudiantes'!$A$1:$BZ$1001,258,B$2)&amp;""),""))</f>
        <v/>
      </c>
      <c r="C259">
        <f>IF(C$2=0,"",IFERROR(TRIM(INDEX('Pegar estudiantes'!$A$1:$BZ$1001,258,C$2)&amp;""),""))</f>
        <v/>
      </c>
      <c r="D259">
        <f>IF(D$2=0,"",IFERROR(TRIM(INDEX('Pegar estudiantes'!$A$1:$BZ$1001,258,D$2)&amp;""),""))</f>
        <v/>
      </c>
      <c r="E259">
        <f>IF(E$2=0,"",IFERROR(TRIM(INDEX('Pegar estudiantes'!$A$1:$BZ$1001,258,E$2)&amp;""),""))</f>
        <v/>
      </c>
      <c r="F259">
        <f>IF(F$2=0,"",IFERROR(TRIM(INDEX('Pegar estudiantes'!$A$1:$BZ$1001,258,F$2)&amp;""),""))</f>
        <v/>
      </c>
      <c r="G259">
        <f>IF(G$2=0,"",IFERROR(TRIM(INDEX('Pegar estudiantes'!$A$1:$BZ$1001,258,G$2)&amp;""),""))</f>
        <v/>
      </c>
      <c r="H259">
        <f>IF(H$2=0,"",IFERROR(TRIM(INDEX('Pegar estudiantes'!$A$1:$BZ$1001,258,H$2)&amp;""),""))</f>
        <v/>
      </c>
      <c r="I259">
        <f>IF(I$2=0,"",IFERROR(TRIM(INDEX('Pegar estudiantes'!$A$1:$BZ$1001,258,I$2)&amp;""),""))</f>
        <v/>
      </c>
      <c r="J259">
        <f>IF(J$2=0,"",IFERROR(TRIM(INDEX('Pegar estudiantes'!$A$1:$BZ$1001,258,J$2)&amp;""),""))</f>
        <v/>
      </c>
      <c r="K259">
        <f>IF(K$2=0,"",IFERROR(TRIM(INDEX('Pegar estudiantes'!$A$1:$BZ$1001,258,K$2)&amp;""),""))</f>
        <v/>
      </c>
      <c r="L259" s="25">
        <f>IF(A259&lt;&gt;"",1,"")</f>
        <v/>
      </c>
      <c r="M259" s="25">
        <f>IF(L259=1,IF(ISNUMBER(FIND("#"&amp;MID(A259,1,1)&amp;"#","#0#1#2#3#4#5#6#7#8#9#")),IF(ISNUMBER(FIND("#"&amp;MID(A259,2,1)&amp;"#","#0#1#2#3#4#5#6#7#8#9#")),IF(AND(VALUE(LEFT(A259,2))&gt;=1,VALUE(LEFT(A259,2))&lt;=5),VALUE(LEFT(A259,2)),""),IF(AND(VALUE(LEFT(A259,1))&gt;=1,VALUE(LEFT(A259,1))&lt;=5),VALUE(LEFT(A259,1)),"")),""),"")</f>
        <v/>
      </c>
      <c r="N259" s="25">
        <f>IF(L259=1,IF(ISNUMBER(FIND("#"&amp;MID(H259,1,1)&amp;"#","#0#1#2#3#4#5#6#7#8#9#")),IF(ISNUMBER(FIND("#"&amp;MID(H259,2,1)&amp;"#","#0#1#2#3#4#5#6#7#8#9#")),IF(AND(VALUE(LEFT(H259,2))&gt;=1,VALUE(LEFT(H259,2))&lt;=5),VALUE(LEFT(H259,2)),""),IF(AND(VALUE(LEFT(H259,1))&gt;=1,VALUE(LEFT(H259,1))&lt;=5),VALUE(LEFT(H259,1)),"")),""),"")</f>
        <v/>
      </c>
      <c r="O259" s="25">
        <f>IF(AND(L259=1,B259&lt;&gt;""),SUBSTITUTE(SUBSTITUTE(SUBSTITUTE(SUBSTITUTE(SUBSTITUTE(SUBSTITUTE(SUBSTITUTE(SUBSTITUTE(SUBSTITUTE(SUBSTITUTE(SUBSTITUTE(SUBSTITUTE(LOWER(TRIM(B259)),"á","a"),"é","e"),"í","i"),"ó","o"),"ú","u"),"ü","u"),"ñ","n"),"à","a"),"è","e"),"ì","i"),"ò","o"),"ù","u"),"")</f>
        <v/>
      </c>
      <c r="P259" s="25">
        <f>IF(AND(L259=1,C259&lt;&gt;""),SUBSTITUTE(SUBSTITUTE(SUBSTITUTE(SUBSTITUTE(SUBSTITUTE(SUBSTITUTE(SUBSTITUTE(SUBSTITUTE(SUBSTITUTE(SUBSTITUTE(SUBSTITUTE(SUBSTITUTE(LOWER(TRIM(C259)),"á","a"),"é","e"),"í","i"),"ó","o"),"ú","u"),"ü","u"),"ñ","n"),"à","a"),"è","e"),"ì","i"),"ò","o"),"ù","u"),"")</f>
        <v/>
      </c>
      <c r="Q259" s="25">
        <f>IF(AND(L259=1,E259&lt;&gt;""),SUBSTITUTE(SUBSTITUTE(SUBSTITUTE(SUBSTITUTE(SUBSTITUTE(SUBSTITUTE(SUBSTITUTE(SUBSTITUTE(SUBSTITUTE(SUBSTITUTE(SUBSTITUTE(SUBSTITUTE(LOWER(TRIM(E259)),"á","a"),"é","e"),"í","i"),"ó","o"),"ú","u"),"ü","u"),"ñ","n"),"à","a"),"è","e"),"ì","i"),"ò","o"),"ù","u"),"")</f>
        <v/>
      </c>
      <c r="R259" s="25">
        <f>IF(AND(L259=1,I259&lt;&gt;""),SUBSTITUTE(SUBSTITUTE(SUBSTITUTE(SUBSTITUTE(SUBSTITUTE(SUBSTITUTE(SUBSTITUTE(SUBSTITUTE(SUBSTITUTE(SUBSTITUTE(SUBSTITUTE(SUBSTITUTE(LOWER(TRIM(I259)),"á","a"),"é","e"),"í","i"),"ó","o"),"ú","u"),"ü","u"),"ñ","n"),"à","a"),"è","e"),"ì","i"),"ò","o"),"ù","u"),"")</f>
        <v/>
      </c>
      <c r="S259" s="25">
        <f>IF(R259="","",IF(OR(R259="si",R259="tal vez"),1,0))</f>
        <v/>
      </c>
      <c r="T259" s="25">
        <f>IF(AND(L259=1,D259&lt;&gt;""),IF(IFERROR(COUNTIFS(D$3:D259,"="&amp;SUBSTITUTE(SUBSTITUTE(SUBSTITUTE(D259,"~","~~"),"*","~*"),"?","~?"),L$3:L259,1),0)=1,MAX(T$2:T258)+1,""),"")</f>
        <v/>
      </c>
      <c r="U259" s="25">
        <f>IF(T259="","",COUNTIFS($D$3:$D$1002,"="&amp;SUBSTITUTE(SUBSTITUTE(SUBSTITUTE(D259,"~","~~"),"*","~*"),"?","~?"),$L$3:$L$1002,1)*10000-T259)</f>
        <v/>
      </c>
      <c r="V259" s="25">
        <f>IF(AND(L259=1,J259&lt;&gt;""),IF(IFERROR(COUNTIFS(J$3:J259,"="&amp;SUBSTITUTE(SUBSTITUTE(SUBSTITUTE(J259,"~","~~"),"*","~*"),"?","~?"),L$3:L259,1),0)=1,MAX(V$2:V258)+1,""),"")</f>
        <v/>
      </c>
      <c r="W259" s="25">
        <f>IF(V259="","",COUNTIFS($J$3:$J$1002,"="&amp;SUBSTITUTE(SUBSTITUTE(SUBSTITUTE(J259,"~","~~"),"*","~*"),"?","~?"),$L$3:$L$1002,1)*10000-V259)</f>
        <v/>
      </c>
    </row>
    <row r="260">
      <c r="A260">
        <f>IF(A$2=0,"",IFERROR(TRIM(INDEX('Pegar estudiantes'!$A$1:$BZ$1001,259,A$2)&amp;""),""))</f>
        <v/>
      </c>
      <c r="B260">
        <f>IF(B$2=0,"",IFERROR(TRIM(INDEX('Pegar estudiantes'!$A$1:$BZ$1001,259,B$2)&amp;""),""))</f>
        <v/>
      </c>
      <c r="C260">
        <f>IF(C$2=0,"",IFERROR(TRIM(INDEX('Pegar estudiantes'!$A$1:$BZ$1001,259,C$2)&amp;""),""))</f>
        <v/>
      </c>
      <c r="D260">
        <f>IF(D$2=0,"",IFERROR(TRIM(INDEX('Pegar estudiantes'!$A$1:$BZ$1001,259,D$2)&amp;""),""))</f>
        <v/>
      </c>
      <c r="E260">
        <f>IF(E$2=0,"",IFERROR(TRIM(INDEX('Pegar estudiantes'!$A$1:$BZ$1001,259,E$2)&amp;""),""))</f>
        <v/>
      </c>
      <c r="F260">
        <f>IF(F$2=0,"",IFERROR(TRIM(INDEX('Pegar estudiantes'!$A$1:$BZ$1001,259,F$2)&amp;""),""))</f>
        <v/>
      </c>
      <c r="G260">
        <f>IF(G$2=0,"",IFERROR(TRIM(INDEX('Pegar estudiantes'!$A$1:$BZ$1001,259,G$2)&amp;""),""))</f>
        <v/>
      </c>
      <c r="H260">
        <f>IF(H$2=0,"",IFERROR(TRIM(INDEX('Pegar estudiantes'!$A$1:$BZ$1001,259,H$2)&amp;""),""))</f>
        <v/>
      </c>
      <c r="I260">
        <f>IF(I$2=0,"",IFERROR(TRIM(INDEX('Pegar estudiantes'!$A$1:$BZ$1001,259,I$2)&amp;""),""))</f>
        <v/>
      </c>
      <c r="J260">
        <f>IF(J$2=0,"",IFERROR(TRIM(INDEX('Pegar estudiantes'!$A$1:$BZ$1001,259,J$2)&amp;""),""))</f>
        <v/>
      </c>
      <c r="K260">
        <f>IF(K$2=0,"",IFERROR(TRIM(INDEX('Pegar estudiantes'!$A$1:$BZ$1001,259,K$2)&amp;""),""))</f>
        <v/>
      </c>
      <c r="L260" s="25">
        <f>IF(A260&lt;&gt;"",1,"")</f>
        <v/>
      </c>
      <c r="M260" s="25">
        <f>IF(L260=1,IF(ISNUMBER(FIND("#"&amp;MID(A260,1,1)&amp;"#","#0#1#2#3#4#5#6#7#8#9#")),IF(ISNUMBER(FIND("#"&amp;MID(A260,2,1)&amp;"#","#0#1#2#3#4#5#6#7#8#9#")),IF(AND(VALUE(LEFT(A260,2))&gt;=1,VALUE(LEFT(A260,2))&lt;=5),VALUE(LEFT(A260,2)),""),IF(AND(VALUE(LEFT(A260,1))&gt;=1,VALUE(LEFT(A260,1))&lt;=5),VALUE(LEFT(A260,1)),"")),""),"")</f>
        <v/>
      </c>
      <c r="N260" s="25">
        <f>IF(L260=1,IF(ISNUMBER(FIND("#"&amp;MID(H260,1,1)&amp;"#","#0#1#2#3#4#5#6#7#8#9#")),IF(ISNUMBER(FIND("#"&amp;MID(H260,2,1)&amp;"#","#0#1#2#3#4#5#6#7#8#9#")),IF(AND(VALUE(LEFT(H260,2))&gt;=1,VALUE(LEFT(H260,2))&lt;=5),VALUE(LEFT(H260,2)),""),IF(AND(VALUE(LEFT(H260,1))&gt;=1,VALUE(LEFT(H260,1))&lt;=5),VALUE(LEFT(H260,1)),"")),""),"")</f>
        <v/>
      </c>
      <c r="O260" s="25">
        <f>IF(AND(L260=1,B260&lt;&gt;""),SUBSTITUTE(SUBSTITUTE(SUBSTITUTE(SUBSTITUTE(SUBSTITUTE(SUBSTITUTE(SUBSTITUTE(SUBSTITUTE(SUBSTITUTE(SUBSTITUTE(SUBSTITUTE(SUBSTITUTE(LOWER(TRIM(B260)),"á","a"),"é","e"),"í","i"),"ó","o"),"ú","u"),"ü","u"),"ñ","n"),"à","a"),"è","e"),"ì","i"),"ò","o"),"ù","u"),"")</f>
        <v/>
      </c>
      <c r="P260" s="25">
        <f>IF(AND(L260=1,C260&lt;&gt;""),SUBSTITUTE(SUBSTITUTE(SUBSTITUTE(SUBSTITUTE(SUBSTITUTE(SUBSTITUTE(SUBSTITUTE(SUBSTITUTE(SUBSTITUTE(SUBSTITUTE(SUBSTITUTE(SUBSTITUTE(LOWER(TRIM(C260)),"á","a"),"é","e"),"í","i"),"ó","o"),"ú","u"),"ü","u"),"ñ","n"),"à","a"),"è","e"),"ì","i"),"ò","o"),"ù","u"),"")</f>
        <v/>
      </c>
      <c r="Q260" s="25">
        <f>IF(AND(L260=1,E260&lt;&gt;""),SUBSTITUTE(SUBSTITUTE(SUBSTITUTE(SUBSTITUTE(SUBSTITUTE(SUBSTITUTE(SUBSTITUTE(SUBSTITUTE(SUBSTITUTE(SUBSTITUTE(SUBSTITUTE(SUBSTITUTE(LOWER(TRIM(E260)),"á","a"),"é","e"),"í","i"),"ó","o"),"ú","u"),"ü","u"),"ñ","n"),"à","a"),"è","e"),"ì","i"),"ò","o"),"ù","u"),"")</f>
        <v/>
      </c>
      <c r="R260" s="25">
        <f>IF(AND(L260=1,I260&lt;&gt;""),SUBSTITUTE(SUBSTITUTE(SUBSTITUTE(SUBSTITUTE(SUBSTITUTE(SUBSTITUTE(SUBSTITUTE(SUBSTITUTE(SUBSTITUTE(SUBSTITUTE(SUBSTITUTE(SUBSTITUTE(LOWER(TRIM(I260)),"á","a"),"é","e"),"í","i"),"ó","o"),"ú","u"),"ü","u"),"ñ","n"),"à","a"),"è","e"),"ì","i"),"ò","o"),"ù","u"),"")</f>
        <v/>
      </c>
      <c r="S260" s="25">
        <f>IF(R260="","",IF(OR(R260="si",R260="tal vez"),1,0))</f>
        <v/>
      </c>
      <c r="T260" s="25">
        <f>IF(AND(L260=1,D260&lt;&gt;""),IF(IFERROR(COUNTIFS(D$3:D260,"="&amp;SUBSTITUTE(SUBSTITUTE(SUBSTITUTE(D260,"~","~~"),"*","~*"),"?","~?"),L$3:L260,1),0)=1,MAX(T$2:T259)+1,""),"")</f>
        <v/>
      </c>
      <c r="U260" s="25">
        <f>IF(T260="","",COUNTIFS($D$3:$D$1002,"="&amp;SUBSTITUTE(SUBSTITUTE(SUBSTITUTE(D260,"~","~~"),"*","~*"),"?","~?"),$L$3:$L$1002,1)*10000-T260)</f>
        <v/>
      </c>
      <c r="V260" s="25">
        <f>IF(AND(L260=1,J260&lt;&gt;""),IF(IFERROR(COUNTIFS(J$3:J260,"="&amp;SUBSTITUTE(SUBSTITUTE(SUBSTITUTE(J260,"~","~~"),"*","~*"),"?","~?"),L$3:L260,1),0)=1,MAX(V$2:V259)+1,""),"")</f>
        <v/>
      </c>
      <c r="W260" s="25">
        <f>IF(V260="","",COUNTIFS($J$3:$J$1002,"="&amp;SUBSTITUTE(SUBSTITUTE(SUBSTITUTE(J260,"~","~~"),"*","~*"),"?","~?"),$L$3:$L$1002,1)*10000-V260)</f>
        <v/>
      </c>
    </row>
    <row r="261">
      <c r="A261">
        <f>IF(A$2=0,"",IFERROR(TRIM(INDEX('Pegar estudiantes'!$A$1:$BZ$1001,260,A$2)&amp;""),""))</f>
        <v/>
      </c>
      <c r="B261">
        <f>IF(B$2=0,"",IFERROR(TRIM(INDEX('Pegar estudiantes'!$A$1:$BZ$1001,260,B$2)&amp;""),""))</f>
        <v/>
      </c>
      <c r="C261">
        <f>IF(C$2=0,"",IFERROR(TRIM(INDEX('Pegar estudiantes'!$A$1:$BZ$1001,260,C$2)&amp;""),""))</f>
        <v/>
      </c>
      <c r="D261">
        <f>IF(D$2=0,"",IFERROR(TRIM(INDEX('Pegar estudiantes'!$A$1:$BZ$1001,260,D$2)&amp;""),""))</f>
        <v/>
      </c>
      <c r="E261">
        <f>IF(E$2=0,"",IFERROR(TRIM(INDEX('Pegar estudiantes'!$A$1:$BZ$1001,260,E$2)&amp;""),""))</f>
        <v/>
      </c>
      <c r="F261">
        <f>IF(F$2=0,"",IFERROR(TRIM(INDEX('Pegar estudiantes'!$A$1:$BZ$1001,260,F$2)&amp;""),""))</f>
        <v/>
      </c>
      <c r="G261">
        <f>IF(G$2=0,"",IFERROR(TRIM(INDEX('Pegar estudiantes'!$A$1:$BZ$1001,260,G$2)&amp;""),""))</f>
        <v/>
      </c>
      <c r="H261">
        <f>IF(H$2=0,"",IFERROR(TRIM(INDEX('Pegar estudiantes'!$A$1:$BZ$1001,260,H$2)&amp;""),""))</f>
        <v/>
      </c>
      <c r="I261">
        <f>IF(I$2=0,"",IFERROR(TRIM(INDEX('Pegar estudiantes'!$A$1:$BZ$1001,260,I$2)&amp;""),""))</f>
        <v/>
      </c>
      <c r="J261">
        <f>IF(J$2=0,"",IFERROR(TRIM(INDEX('Pegar estudiantes'!$A$1:$BZ$1001,260,J$2)&amp;""),""))</f>
        <v/>
      </c>
      <c r="K261">
        <f>IF(K$2=0,"",IFERROR(TRIM(INDEX('Pegar estudiantes'!$A$1:$BZ$1001,260,K$2)&amp;""),""))</f>
        <v/>
      </c>
      <c r="L261" s="25">
        <f>IF(A261&lt;&gt;"",1,"")</f>
        <v/>
      </c>
      <c r="M261" s="25">
        <f>IF(L261=1,IF(ISNUMBER(FIND("#"&amp;MID(A261,1,1)&amp;"#","#0#1#2#3#4#5#6#7#8#9#")),IF(ISNUMBER(FIND("#"&amp;MID(A261,2,1)&amp;"#","#0#1#2#3#4#5#6#7#8#9#")),IF(AND(VALUE(LEFT(A261,2))&gt;=1,VALUE(LEFT(A261,2))&lt;=5),VALUE(LEFT(A261,2)),""),IF(AND(VALUE(LEFT(A261,1))&gt;=1,VALUE(LEFT(A261,1))&lt;=5),VALUE(LEFT(A261,1)),"")),""),"")</f>
        <v/>
      </c>
      <c r="N261" s="25">
        <f>IF(L261=1,IF(ISNUMBER(FIND("#"&amp;MID(H261,1,1)&amp;"#","#0#1#2#3#4#5#6#7#8#9#")),IF(ISNUMBER(FIND("#"&amp;MID(H261,2,1)&amp;"#","#0#1#2#3#4#5#6#7#8#9#")),IF(AND(VALUE(LEFT(H261,2))&gt;=1,VALUE(LEFT(H261,2))&lt;=5),VALUE(LEFT(H261,2)),""),IF(AND(VALUE(LEFT(H261,1))&gt;=1,VALUE(LEFT(H261,1))&lt;=5),VALUE(LEFT(H261,1)),"")),""),"")</f>
        <v/>
      </c>
      <c r="O261" s="25">
        <f>IF(AND(L261=1,B261&lt;&gt;""),SUBSTITUTE(SUBSTITUTE(SUBSTITUTE(SUBSTITUTE(SUBSTITUTE(SUBSTITUTE(SUBSTITUTE(SUBSTITUTE(SUBSTITUTE(SUBSTITUTE(SUBSTITUTE(SUBSTITUTE(LOWER(TRIM(B261)),"á","a"),"é","e"),"í","i"),"ó","o"),"ú","u"),"ü","u"),"ñ","n"),"à","a"),"è","e"),"ì","i"),"ò","o"),"ù","u"),"")</f>
        <v/>
      </c>
      <c r="P261" s="25">
        <f>IF(AND(L261=1,C261&lt;&gt;""),SUBSTITUTE(SUBSTITUTE(SUBSTITUTE(SUBSTITUTE(SUBSTITUTE(SUBSTITUTE(SUBSTITUTE(SUBSTITUTE(SUBSTITUTE(SUBSTITUTE(SUBSTITUTE(SUBSTITUTE(LOWER(TRIM(C261)),"á","a"),"é","e"),"í","i"),"ó","o"),"ú","u"),"ü","u"),"ñ","n"),"à","a"),"è","e"),"ì","i"),"ò","o"),"ù","u"),"")</f>
        <v/>
      </c>
      <c r="Q261" s="25">
        <f>IF(AND(L261=1,E261&lt;&gt;""),SUBSTITUTE(SUBSTITUTE(SUBSTITUTE(SUBSTITUTE(SUBSTITUTE(SUBSTITUTE(SUBSTITUTE(SUBSTITUTE(SUBSTITUTE(SUBSTITUTE(SUBSTITUTE(SUBSTITUTE(LOWER(TRIM(E261)),"á","a"),"é","e"),"í","i"),"ó","o"),"ú","u"),"ü","u"),"ñ","n"),"à","a"),"è","e"),"ì","i"),"ò","o"),"ù","u"),"")</f>
        <v/>
      </c>
      <c r="R261" s="25">
        <f>IF(AND(L261=1,I261&lt;&gt;""),SUBSTITUTE(SUBSTITUTE(SUBSTITUTE(SUBSTITUTE(SUBSTITUTE(SUBSTITUTE(SUBSTITUTE(SUBSTITUTE(SUBSTITUTE(SUBSTITUTE(SUBSTITUTE(SUBSTITUTE(LOWER(TRIM(I261)),"á","a"),"é","e"),"í","i"),"ó","o"),"ú","u"),"ü","u"),"ñ","n"),"à","a"),"è","e"),"ì","i"),"ò","o"),"ù","u"),"")</f>
        <v/>
      </c>
      <c r="S261" s="25">
        <f>IF(R261="","",IF(OR(R261="si",R261="tal vez"),1,0))</f>
        <v/>
      </c>
      <c r="T261" s="25">
        <f>IF(AND(L261=1,D261&lt;&gt;""),IF(IFERROR(COUNTIFS(D$3:D261,"="&amp;SUBSTITUTE(SUBSTITUTE(SUBSTITUTE(D261,"~","~~"),"*","~*"),"?","~?"),L$3:L261,1),0)=1,MAX(T$2:T260)+1,""),"")</f>
        <v/>
      </c>
      <c r="U261" s="25">
        <f>IF(T261="","",COUNTIFS($D$3:$D$1002,"="&amp;SUBSTITUTE(SUBSTITUTE(SUBSTITUTE(D261,"~","~~"),"*","~*"),"?","~?"),$L$3:$L$1002,1)*10000-T261)</f>
        <v/>
      </c>
      <c r="V261" s="25">
        <f>IF(AND(L261=1,J261&lt;&gt;""),IF(IFERROR(COUNTIFS(J$3:J261,"="&amp;SUBSTITUTE(SUBSTITUTE(SUBSTITUTE(J261,"~","~~"),"*","~*"),"?","~?"),L$3:L261,1),0)=1,MAX(V$2:V260)+1,""),"")</f>
        <v/>
      </c>
      <c r="W261" s="25">
        <f>IF(V261="","",COUNTIFS($J$3:$J$1002,"="&amp;SUBSTITUTE(SUBSTITUTE(SUBSTITUTE(J261,"~","~~"),"*","~*"),"?","~?"),$L$3:$L$1002,1)*10000-V261)</f>
        <v/>
      </c>
    </row>
    <row r="262">
      <c r="A262">
        <f>IF(A$2=0,"",IFERROR(TRIM(INDEX('Pegar estudiantes'!$A$1:$BZ$1001,261,A$2)&amp;""),""))</f>
        <v/>
      </c>
      <c r="B262">
        <f>IF(B$2=0,"",IFERROR(TRIM(INDEX('Pegar estudiantes'!$A$1:$BZ$1001,261,B$2)&amp;""),""))</f>
        <v/>
      </c>
      <c r="C262">
        <f>IF(C$2=0,"",IFERROR(TRIM(INDEX('Pegar estudiantes'!$A$1:$BZ$1001,261,C$2)&amp;""),""))</f>
        <v/>
      </c>
      <c r="D262">
        <f>IF(D$2=0,"",IFERROR(TRIM(INDEX('Pegar estudiantes'!$A$1:$BZ$1001,261,D$2)&amp;""),""))</f>
        <v/>
      </c>
      <c r="E262">
        <f>IF(E$2=0,"",IFERROR(TRIM(INDEX('Pegar estudiantes'!$A$1:$BZ$1001,261,E$2)&amp;""),""))</f>
        <v/>
      </c>
      <c r="F262">
        <f>IF(F$2=0,"",IFERROR(TRIM(INDEX('Pegar estudiantes'!$A$1:$BZ$1001,261,F$2)&amp;""),""))</f>
        <v/>
      </c>
      <c r="G262">
        <f>IF(G$2=0,"",IFERROR(TRIM(INDEX('Pegar estudiantes'!$A$1:$BZ$1001,261,G$2)&amp;""),""))</f>
        <v/>
      </c>
      <c r="H262">
        <f>IF(H$2=0,"",IFERROR(TRIM(INDEX('Pegar estudiantes'!$A$1:$BZ$1001,261,H$2)&amp;""),""))</f>
        <v/>
      </c>
      <c r="I262">
        <f>IF(I$2=0,"",IFERROR(TRIM(INDEX('Pegar estudiantes'!$A$1:$BZ$1001,261,I$2)&amp;""),""))</f>
        <v/>
      </c>
      <c r="J262">
        <f>IF(J$2=0,"",IFERROR(TRIM(INDEX('Pegar estudiantes'!$A$1:$BZ$1001,261,J$2)&amp;""),""))</f>
        <v/>
      </c>
      <c r="K262">
        <f>IF(K$2=0,"",IFERROR(TRIM(INDEX('Pegar estudiantes'!$A$1:$BZ$1001,261,K$2)&amp;""),""))</f>
        <v/>
      </c>
      <c r="L262" s="25">
        <f>IF(A262&lt;&gt;"",1,"")</f>
        <v/>
      </c>
      <c r="M262" s="25">
        <f>IF(L262=1,IF(ISNUMBER(FIND("#"&amp;MID(A262,1,1)&amp;"#","#0#1#2#3#4#5#6#7#8#9#")),IF(ISNUMBER(FIND("#"&amp;MID(A262,2,1)&amp;"#","#0#1#2#3#4#5#6#7#8#9#")),IF(AND(VALUE(LEFT(A262,2))&gt;=1,VALUE(LEFT(A262,2))&lt;=5),VALUE(LEFT(A262,2)),""),IF(AND(VALUE(LEFT(A262,1))&gt;=1,VALUE(LEFT(A262,1))&lt;=5),VALUE(LEFT(A262,1)),"")),""),"")</f>
        <v/>
      </c>
      <c r="N262" s="25">
        <f>IF(L262=1,IF(ISNUMBER(FIND("#"&amp;MID(H262,1,1)&amp;"#","#0#1#2#3#4#5#6#7#8#9#")),IF(ISNUMBER(FIND("#"&amp;MID(H262,2,1)&amp;"#","#0#1#2#3#4#5#6#7#8#9#")),IF(AND(VALUE(LEFT(H262,2))&gt;=1,VALUE(LEFT(H262,2))&lt;=5),VALUE(LEFT(H262,2)),""),IF(AND(VALUE(LEFT(H262,1))&gt;=1,VALUE(LEFT(H262,1))&lt;=5),VALUE(LEFT(H262,1)),"")),""),"")</f>
        <v/>
      </c>
      <c r="O262" s="25">
        <f>IF(AND(L262=1,B262&lt;&gt;""),SUBSTITUTE(SUBSTITUTE(SUBSTITUTE(SUBSTITUTE(SUBSTITUTE(SUBSTITUTE(SUBSTITUTE(SUBSTITUTE(SUBSTITUTE(SUBSTITUTE(SUBSTITUTE(SUBSTITUTE(LOWER(TRIM(B262)),"á","a"),"é","e"),"í","i"),"ó","o"),"ú","u"),"ü","u"),"ñ","n"),"à","a"),"è","e"),"ì","i"),"ò","o"),"ù","u"),"")</f>
        <v/>
      </c>
      <c r="P262" s="25">
        <f>IF(AND(L262=1,C262&lt;&gt;""),SUBSTITUTE(SUBSTITUTE(SUBSTITUTE(SUBSTITUTE(SUBSTITUTE(SUBSTITUTE(SUBSTITUTE(SUBSTITUTE(SUBSTITUTE(SUBSTITUTE(SUBSTITUTE(SUBSTITUTE(LOWER(TRIM(C262)),"á","a"),"é","e"),"í","i"),"ó","o"),"ú","u"),"ü","u"),"ñ","n"),"à","a"),"è","e"),"ì","i"),"ò","o"),"ù","u"),"")</f>
        <v/>
      </c>
      <c r="Q262" s="25">
        <f>IF(AND(L262=1,E262&lt;&gt;""),SUBSTITUTE(SUBSTITUTE(SUBSTITUTE(SUBSTITUTE(SUBSTITUTE(SUBSTITUTE(SUBSTITUTE(SUBSTITUTE(SUBSTITUTE(SUBSTITUTE(SUBSTITUTE(SUBSTITUTE(LOWER(TRIM(E262)),"á","a"),"é","e"),"í","i"),"ó","o"),"ú","u"),"ü","u"),"ñ","n"),"à","a"),"è","e"),"ì","i"),"ò","o"),"ù","u"),"")</f>
        <v/>
      </c>
      <c r="R262" s="25">
        <f>IF(AND(L262=1,I262&lt;&gt;""),SUBSTITUTE(SUBSTITUTE(SUBSTITUTE(SUBSTITUTE(SUBSTITUTE(SUBSTITUTE(SUBSTITUTE(SUBSTITUTE(SUBSTITUTE(SUBSTITUTE(SUBSTITUTE(SUBSTITUTE(LOWER(TRIM(I262)),"á","a"),"é","e"),"í","i"),"ó","o"),"ú","u"),"ü","u"),"ñ","n"),"à","a"),"è","e"),"ì","i"),"ò","o"),"ù","u"),"")</f>
        <v/>
      </c>
      <c r="S262" s="25">
        <f>IF(R262="","",IF(OR(R262="si",R262="tal vez"),1,0))</f>
        <v/>
      </c>
      <c r="T262" s="25">
        <f>IF(AND(L262=1,D262&lt;&gt;""),IF(IFERROR(COUNTIFS(D$3:D262,"="&amp;SUBSTITUTE(SUBSTITUTE(SUBSTITUTE(D262,"~","~~"),"*","~*"),"?","~?"),L$3:L262,1),0)=1,MAX(T$2:T261)+1,""),"")</f>
        <v/>
      </c>
      <c r="U262" s="25">
        <f>IF(T262="","",COUNTIFS($D$3:$D$1002,"="&amp;SUBSTITUTE(SUBSTITUTE(SUBSTITUTE(D262,"~","~~"),"*","~*"),"?","~?"),$L$3:$L$1002,1)*10000-T262)</f>
        <v/>
      </c>
      <c r="V262" s="25">
        <f>IF(AND(L262=1,J262&lt;&gt;""),IF(IFERROR(COUNTIFS(J$3:J262,"="&amp;SUBSTITUTE(SUBSTITUTE(SUBSTITUTE(J262,"~","~~"),"*","~*"),"?","~?"),L$3:L262,1),0)=1,MAX(V$2:V261)+1,""),"")</f>
        <v/>
      </c>
      <c r="W262" s="25">
        <f>IF(V262="","",COUNTIFS($J$3:$J$1002,"="&amp;SUBSTITUTE(SUBSTITUTE(SUBSTITUTE(J262,"~","~~"),"*","~*"),"?","~?"),$L$3:$L$1002,1)*10000-V262)</f>
        <v/>
      </c>
    </row>
    <row r="263">
      <c r="A263">
        <f>IF(A$2=0,"",IFERROR(TRIM(INDEX('Pegar estudiantes'!$A$1:$BZ$1001,262,A$2)&amp;""),""))</f>
        <v/>
      </c>
      <c r="B263">
        <f>IF(B$2=0,"",IFERROR(TRIM(INDEX('Pegar estudiantes'!$A$1:$BZ$1001,262,B$2)&amp;""),""))</f>
        <v/>
      </c>
      <c r="C263">
        <f>IF(C$2=0,"",IFERROR(TRIM(INDEX('Pegar estudiantes'!$A$1:$BZ$1001,262,C$2)&amp;""),""))</f>
        <v/>
      </c>
      <c r="D263">
        <f>IF(D$2=0,"",IFERROR(TRIM(INDEX('Pegar estudiantes'!$A$1:$BZ$1001,262,D$2)&amp;""),""))</f>
        <v/>
      </c>
      <c r="E263">
        <f>IF(E$2=0,"",IFERROR(TRIM(INDEX('Pegar estudiantes'!$A$1:$BZ$1001,262,E$2)&amp;""),""))</f>
        <v/>
      </c>
      <c r="F263">
        <f>IF(F$2=0,"",IFERROR(TRIM(INDEX('Pegar estudiantes'!$A$1:$BZ$1001,262,F$2)&amp;""),""))</f>
        <v/>
      </c>
      <c r="G263">
        <f>IF(G$2=0,"",IFERROR(TRIM(INDEX('Pegar estudiantes'!$A$1:$BZ$1001,262,G$2)&amp;""),""))</f>
        <v/>
      </c>
      <c r="H263">
        <f>IF(H$2=0,"",IFERROR(TRIM(INDEX('Pegar estudiantes'!$A$1:$BZ$1001,262,H$2)&amp;""),""))</f>
        <v/>
      </c>
      <c r="I263">
        <f>IF(I$2=0,"",IFERROR(TRIM(INDEX('Pegar estudiantes'!$A$1:$BZ$1001,262,I$2)&amp;""),""))</f>
        <v/>
      </c>
      <c r="J263">
        <f>IF(J$2=0,"",IFERROR(TRIM(INDEX('Pegar estudiantes'!$A$1:$BZ$1001,262,J$2)&amp;""),""))</f>
        <v/>
      </c>
      <c r="K263">
        <f>IF(K$2=0,"",IFERROR(TRIM(INDEX('Pegar estudiantes'!$A$1:$BZ$1001,262,K$2)&amp;""),""))</f>
        <v/>
      </c>
      <c r="L263" s="25">
        <f>IF(A263&lt;&gt;"",1,"")</f>
        <v/>
      </c>
      <c r="M263" s="25">
        <f>IF(L263=1,IF(ISNUMBER(FIND("#"&amp;MID(A263,1,1)&amp;"#","#0#1#2#3#4#5#6#7#8#9#")),IF(ISNUMBER(FIND("#"&amp;MID(A263,2,1)&amp;"#","#0#1#2#3#4#5#6#7#8#9#")),IF(AND(VALUE(LEFT(A263,2))&gt;=1,VALUE(LEFT(A263,2))&lt;=5),VALUE(LEFT(A263,2)),""),IF(AND(VALUE(LEFT(A263,1))&gt;=1,VALUE(LEFT(A263,1))&lt;=5),VALUE(LEFT(A263,1)),"")),""),"")</f>
        <v/>
      </c>
      <c r="N263" s="25">
        <f>IF(L263=1,IF(ISNUMBER(FIND("#"&amp;MID(H263,1,1)&amp;"#","#0#1#2#3#4#5#6#7#8#9#")),IF(ISNUMBER(FIND("#"&amp;MID(H263,2,1)&amp;"#","#0#1#2#3#4#5#6#7#8#9#")),IF(AND(VALUE(LEFT(H263,2))&gt;=1,VALUE(LEFT(H263,2))&lt;=5),VALUE(LEFT(H263,2)),""),IF(AND(VALUE(LEFT(H263,1))&gt;=1,VALUE(LEFT(H263,1))&lt;=5),VALUE(LEFT(H263,1)),"")),""),"")</f>
        <v/>
      </c>
      <c r="O263" s="25">
        <f>IF(AND(L263=1,B263&lt;&gt;""),SUBSTITUTE(SUBSTITUTE(SUBSTITUTE(SUBSTITUTE(SUBSTITUTE(SUBSTITUTE(SUBSTITUTE(SUBSTITUTE(SUBSTITUTE(SUBSTITUTE(SUBSTITUTE(SUBSTITUTE(LOWER(TRIM(B263)),"á","a"),"é","e"),"í","i"),"ó","o"),"ú","u"),"ü","u"),"ñ","n"),"à","a"),"è","e"),"ì","i"),"ò","o"),"ù","u"),"")</f>
        <v/>
      </c>
      <c r="P263" s="25">
        <f>IF(AND(L263=1,C263&lt;&gt;""),SUBSTITUTE(SUBSTITUTE(SUBSTITUTE(SUBSTITUTE(SUBSTITUTE(SUBSTITUTE(SUBSTITUTE(SUBSTITUTE(SUBSTITUTE(SUBSTITUTE(SUBSTITUTE(SUBSTITUTE(LOWER(TRIM(C263)),"á","a"),"é","e"),"í","i"),"ó","o"),"ú","u"),"ü","u"),"ñ","n"),"à","a"),"è","e"),"ì","i"),"ò","o"),"ù","u"),"")</f>
        <v/>
      </c>
      <c r="Q263" s="25">
        <f>IF(AND(L263=1,E263&lt;&gt;""),SUBSTITUTE(SUBSTITUTE(SUBSTITUTE(SUBSTITUTE(SUBSTITUTE(SUBSTITUTE(SUBSTITUTE(SUBSTITUTE(SUBSTITUTE(SUBSTITUTE(SUBSTITUTE(SUBSTITUTE(LOWER(TRIM(E263)),"á","a"),"é","e"),"í","i"),"ó","o"),"ú","u"),"ü","u"),"ñ","n"),"à","a"),"è","e"),"ì","i"),"ò","o"),"ù","u"),"")</f>
        <v/>
      </c>
      <c r="R263" s="25">
        <f>IF(AND(L263=1,I263&lt;&gt;""),SUBSTITUTE(SUBSTITUTE(SUBSTITUTE(SUBSTITUTE(SUBSTITUTE(SUBSTITUTE(SUBSTITUTE(SUBSTITUTE(SUBSTITUTE(SUBSTITUTE(SUBSTITUTE(SUBSTITUTE(LOWER(TRIM(I263)),"á","a"),"é","e"),"í","i"),"ó","o"),"ú","u"),"ü","u"),"ñ","n"),"à","a"),"è","e"),"ì","i"),"ò","o"),"ù","u"),"")</f>
        <v/>
      </c>
      <c r="S263" s="25">
        <f>IF(R263="","",IF(OR(R263="si",R263="tal vez"),1,0))</f>
        <v/>
      </c>
      <c r="T263" s="25">
        <f>IF(AND(L263=1,D263&lt;&gt;""),IF(IFERROR(COUNTIFS(D$3:D263,"="&amp;SUBSTITUTE(SUBSTITUTE(SUBSTITUTE(D263,"~","~~"),"*","~*"),"?","~?"),L$3:L263,1),0)=1,MAX(T$2:T262)+1,""),"")</f>
        <v/>
      </c>
      <c r="U263" s="25">
        <f>IF(T263="","",COUNTIFS($D$3:$D$1002,"="&amp;SUBSTITUTE(SUBSTITUTE(SUBSTITUTE(D263,"~","~~"),"*","~*"),"?","~?"),$L$3:$L$1002,1)*10000-T263)</f>
        <v/>
      </c>
      <c r="V263" s="25">
        <f>IF(AND(L263=1,J263&lt;&gt;""),IF(IFERROR(COUNTIFS(J$3:J263,"="&amp;SUBSTITUTE(SUBSTITUTE(SUBSTITUTE(J263,"~","~~"),"*","~*"),"?","~?"),L$3:L263,1),0)=1,MAX(V$2:V262)+1,""),"")</f>
        <v/>
      </c>
      <c r="W263" s="25">
        <f>IF(V263="","",COUNTIFS($J$3:$J$1002,"="&amp;SUBSTITUTE(SUBSTITUTE(SUBSTITUTE(J263,"~","~~"),"*","~*"),"?","~?"),$L$3:$L$1002,1)*10000-V263)</f>
        <v/>
      </c>
    </row>
    <row r="264">
      <c r="A264">
        <f>IF(A$2=0,"",IFERROR(TRIM(INDEX('Pegar estudiantes'!$A$1:$BZ$1001,263,A$2)&amp;""),""))</f>
        <v/>
      </c>
      <c r="B264">
        <f>IF(B$2=0,"",IFERROR(TRIM(INDEX('Pegar estudiantes'!$A$1:$BZ$1001,263,B$2)&amp;""),""))</f>
        <v/>
      </c>
      <c r="C264">
        <f>IF(C$2=0,"",IFERROR(TRIM(INDEX('Pegar estudiantes'!$A$1:$BZ$1001,263,C$2)&amp;""),""))</f>
        <v/>
      </c>
      <c r="D264">
        <f>IF(D$2=0,"",IFERROR(TRIM(INDEX('Pegar estudiantes'!$A$1:$BZ$1001,263,D$2)&amp;""),""))</f>
        <v/>
      </c>
      <c r="E264">
        <f>IF(E$2=0,"",IFERROR(TRIM(INDEX('Pegar estudiantes'!$A$1:$BZ$1001,263,E$2)&amp;""),""))</f>
        <v/>
      </c>
      <c r="F264">
        <f>IF(F$2=0,"",IFERROR(TRIM(INDEX('Pegar estudiantes'!$A$1:$BZ$1001,263,F$2)&amp;""),""))</f>
        <v/>
      </c>
      <c r="G264">
        <f>IF(G$2=0,"",IFERROR(TRIM(INDEX('Pegar estudiantes'!$A$1:$BZ$1001,263,G$2)&amp;""),""))</f>
        <v/>
      </c>
      <c r="H264">
        <f>IF(H$2=0,"",IFERROR(TRIM(INDEX('Pegar estudiantes'!$A$1:$BZ$1001,263,H$2)&amp;""),""))</f>
        <v/>
      </c>
      <c r="I264">
        <f>IF(I$2=0,"",IFERROR(TRIM(INDEX('Pegar estudiantes'!$A$1:$BZ$1001,263,I$2)&amp;""),""))</f>
        <v/>
      </c>
      <c r="J264">
        <f>IF(J$2=0,"",IFERROR(TRIM(INDEX('Pegar estudiantes'!$A$1:$BZ$1001,263,J$2)&amp;""),""))</f>
        <v/>
      </c>
      <c r="K264">
        <f>IF(K$2=0,"",IFERROR(TRIM(INDEX('Pegar estudiantes'!$A$1:$BZ$1001,263,K$2)&amp;""),""))</f>
        <v/>
      </c>
      <c r="L264" s="25">
        <f>IF(A264&lt;&gt;"",1,"")</f>
        <v/>
      </c>
      <c r="M264" s="25">
        <f>IF(L264=1,IF(ISNUMBER(FIND("#"&amp;MID(A264,1,1)&amp;"#","#0#1#2#3#4#5#6#7#8#9#")),IF(ISNUMBER(FIND("#"&amp;MID(A264,2,1)&amp;"#","#0#1#2#3#4#5#6#7#8#9#")),IF(AND(VALUE(LEFT(A264,2))&gt;=1,VALUE(LEFT(A264,2))&lt;=5),VALUE(LEFT(A264,2)),""),IF(AND(VALUE(LEFT(A264,1))&gt;=1,VALUE(LEFT(A264,1))&lt;=5),VALUE(LEFT(A264,1)),"")),""),"")</f>
        <v/>
      </c>
      <c r="N264" s="25">
        <f>IF(L264=1,IF(ISNUMBER(FIND("#"&amp;MID(H264,1,1)&amp;"#","#0#1#2#3#4#5#6#7#8#9#")),IF(ISNUMBER(FIND("#"&amp;MID(H264,2,1)&amp;"#","#0#1#2#3#4#5#6#7#8#9#")),IF(AND(VALUE(LEFT(H264,2))&gt;=1,VALUE(LEFT(H264,2))&lt;=5),VALUE(LEFT(H264,2)),""),IF(AND(VALUE(LEFT(H264,1))&gt;=1,VALUE(LEFT(H264,1))&lt;=5),VALUE(LEFT(H264,1)),"")),""),"")</f>
        <v/>
      </c>
      <c r="O264" s="25">
        <f>IF(AND(L264=1,B264&lt;&gt;""),SUBSTITUTE(SUBSTITUTE(SUBSTITUTE(SUBSTITUTE(SUBSTITUTE(SUBSTITUTE(SUBSTITUTE(SUBSTITUTE(SUBSTITUTE(SUBSTITUTE(SUBSTITUTE(SUBSTITUTE(LOWER(TRIM(B264)),"á","a"),"é","e"),"í","i"),"ó","o"),"ú","u"),"ü","u"),"ñ","n"),"à","a"),"è","e"),"ì","i"),"ò","o"),"ù","u"),"")</f>
        <v/>
      </c>
      <c r="P264" s="25">
        <f>IF(AND(L264=1,C264&lt;&gt;""),SUBSTITUTE(SUBSTITUTE(SUBSTITUTE(SUBSTITUTE(SUBSTITUTE(SUBSTITUTE(SUBSTITUTE(SUBSTITUTE(SUBSTITUTE(SUBSTITUTE(SUBSTITUTE(SUBSTITUTE(LOWER(TRIM(C264)),"á","a"),"é","e"),"í","i"),"ó","o"),"ú","u"),"ü","u"),"ñ","n"),"à","a"),"è","e"),"ì","i"),"ò","o"),"ù","u"),"")</f>
        <v/>
      </c>
      <c r="Q264" s="25">
        <f>IF(AND(L264=1,E264&lt;&gt;""),SUBSTITUTE(SUBSTITUTE(SUBSTITUTE(SUBSTITUTE(SUBSTITUTE(SUBSTITUTE(SUBSTITUTE(SUBSTITUTE(SUBSTITUTE(SUBSTITUTE(SUBSTITUTE(SUBSTITUTE(LOWER(TRIM(E264)),"á","a"),"é","e"),"í","i"),"ó","o"),"ú","u"),"ü","u"),"ñ","n"),"à","a"),"è","e"),"ì","i"),"ò","o"),"ù","u"),"")</f>
        <v/>
      </c>
      <c r="R264" s="25">
        <f>IF(AND(L264=1,I264&lt;&gt;""),SUBSTITUTE(SUBSTITUTE(SUBSTITUTE(SUBSTITUTE(SUBSTITUTE(SUBSTITUTE(SUBSTITUTE(SUBSTITUTE(SUBSTITUTE(SUBSTITUTE(SUBSTITUTE(SUBSTITUTE(LOWER(TRIM(I264)),"á","a"),"é","e"),"í","i"),"ó","o"),"ú","u"),"ü","u"),"ñ","n"),"à","a"),"è","e"),"ì","i"),"ò","o"),"ù","u"),"")</f>
        <v/>
      </c>
      <c r="S264" s="25">
        <f>IF(R264="","",IF(OR(R264="si",R264="tal vez"),1,0))</f>
        <v/>
      </c>
      <c r="T264" s="25">
        <f>IF(AND(L264=1,D264&lt;&gt;""),IF(IFERROR(COUNTIFS(D$3:D264,"="&amp;SUBSTITUTE(SUBSTITUTE(SUBSTITUTE(D264,"~","~~"),"*","~*"),"?","~?"),L$3:L264,1),0)=1,MAX(T$2:T263)+1,""),"")</f>
        <v/>
      </c>
      <c r="U264" s="25">
        <f>IF(T264="","",COUNTIFS($D$3:$D$1002,"="&amp;SUBSTITUTE(SUBSTITUTE(SUBSTITUTE(D264,"~","~~"),"*","~*"),"?","~?"),$L$3:$L$1002,1)*10000-T264)</f>
        <v/>
      </c>
      <c r="V264" s="25">
        <f>IF(AND(L264=1,J264&lt;&gt;""),IF(IFERROR(COUNTIFS(J$3:J264,"="&amp;SUBSTITUTE(SUBSTITUTE(SUBSTITUTE(J264,"~","~~"),"*","~*"),"?","~?"),L$3:L264,1),0)=1,MAX(V$2:V263)+1,""),"")</f>
        <v/>
      </c>
      <c r="W264" s="25">
        <f>IF(V264="","",COUNTIFS($J$3:$J$1002,"="&amp;SUBSTITUTE(SUBSTITUTE(SUBSTITUTE(J264,"~","~~"),"*","~*"),"?","~?"),$L$3:$L$1002,1)*10000-V264)</f>
        <v/>
      </c>
    </row>
    <row r="265">
      <c r="A265">
        <f>IF(A$2=0,"",IFERROR(TRIM(INDEX('Pegar estudiantes'!$A$1:$BZ$1001,264,A$2)&amp;""),""))</f>
        <v/>
      </c>
      <c r="B265">
        <f>IF(B$2=0,"",IFERROR(TRIM(INDEX('Pegar estudiantes'!$A$1:$BZ$1001,264,B$2)&amp;""),""))</f>
        <v/>
      </c>
      <c r="C265">
        <f>IF(C$2=0,"",IFERROR(TRIM(INDEX('Pegar estudiantes'!$A$1:$BZ$1001,264,C$2)&amp;""),""))</f>
        <v/>
      </c>
      <c r="D265">
        <f>IF(D$2=0,"",IFERROR(TRIM(INDEX('Pegar estudiantes'!$A$1:$BZ$1001,264,D$2)&amp;""),""))</f>
        <v/>
      </c>
      <c r="E265">
        <f>IF(E$2=0,"",IFERROR(TRIM(INDEX('Pegar estudiantes'!$A$1:$BZ$1001,264,E$2)&amp;""),""))</f>
        <v/>
      </c>
      <c r="F265">
        <f>IF(F$2=0,"",IFERROR(TRIM(INDEX('Pegar estudiantes'!$A$1:$BZ$1001,264,F$2)&amp;""),""))</f>
        <v/>
      </c>
      <c r="G265">
        <f>IF(G$2=0,"",IFERROR(TRIM(INDEX('Pegar estudiantes'!$A$1:$BZ$1001,264,G$2)&amp;""),""))</f>
        <v/>
      </c>
      <c r="H265">
        <f>IF(H$2=0,"",IFERROR(TRIM(INDEX('Pegar estudiantes'!$A$1:$BZ$1001,264,H$2)&amp;""),""))</f>
        <v/>
      </c>
      <c r="I265">
        <f>IF(I$2=0,"",IFERROR(TRIM(INDEX('Pegar estudiantes'!$A$1:$BZ$1001,264,I$2)&amp;""),""))</f>
        <v/>
      </c>
      <c r="J265">
        <f>IF(J$2=0,"",IFERROR(TRIM(INDEX('Pegar estudiantes'!$A$1:$BZ$1001,264,J$2)&amp;""),""))</f>
        <v/>
      </c>
      <c r="K265">
        <f>IF(K$2=0,"",IFERROR(TRIM(INDEX('Pegar estudiantes'!$A$1:$BZ$1001,264,K$2)&amp;""),""))</f>
        <v/>
      </c>
      <c r="L265" s="25">
        <f>IF(A265&lt;&gt;"",1,"")</f>
        <v/>
      </c>
      <c r="M265" s="25">
        <f>IF(L265=1,IF(ISNUMBER(FIND("#"&amp;MID(A265,1,1)&amp;"#","#0#1#2#3#4#5#6#7#8#9#")),IF(ISNUMBER(FIND("#"&amp;MID(A265,2,1)&amp;"#","#0#1#2#3#4#5#6#7#8#9#")),IF(AND(VALUE(LEFT(A265,2))&gt;=1,VALUE(LEFT(A265,2))&lt;=5),VALUE(LEFT(A265,2)),""),IF(AND(VALUE(LEFT(A265,1))&gt;=1,VALUE(LEFT(A265,1))&lt;=5),VALUE(LEFT(A265,1)),"")),""),"")</f>
        <v/>
      </c>
      <c r="N265" s="25">
        <f>IF(L265=1,IF(ISNUMBER(FIND("#"&amp;MID(H265,1,1)&amp;"#","#0#1#2#3#4#5#6#7#8#9#")),IF(ISNUMBER(FIND("#"&amp;MID(H265,2,1)&amp;"#","#0#1#2#3#4#5#6#7#8#9#")),IF(AND(VALUE(LEFT(H265,2))&gt;=1,VALUE(LEFT(H265,2))&lt;=5),VALUE(LEFT(H265,2)),""),IF(AND(VALUE(LEFT(H265,1))&gt;=1,VALUE(LEFT(H265,1))&lt;=5),VALUE(LEFT(H265,1)),"")),""),"")</f>
        <v/>
      </c>
      <c r="O265" s="25">
        <f>IF(AND(L265=1,B265&lt;&gt;""),SUBSTITUTE(SUBSTITUTE(SUBSTITUTE(SUBSTITUTE(SUBSTITUTE(SUBSTITUTE(SUBSTITUTE(SUBSTITUTE(SUBSTITUTE(SUBSTITUTE(SUBSTITUTE(SUBSTITUTE(LOWER(TRIM(B265)),"á","a"),"é","e"),"í","i"),"ó","o"),"ú","u"),"ü","u"),"ñ","n"),"à","a"),"è","e"),"ì","i"),"ò","o"),"ù","u"),"")</f>
        <v/>
      </c>
      <c r="P265" s="25">
        <f>IF(AND(L265=1,C265&lt;&gt;""),SUBSTITUTE(SUBSTITUTE(SUBSTITUTE(SUBSTITUTE(SUBSTITUTE(SUBSTITUTE(SUBSTITUTE(SUBSTITUTE(SUBSTITUTE(SUBSTITUTE(SUBSTITUTE(SUBSTITUTE(LOWER(TRIM(C265)),"á","a"),"é","e"),"í","i"),"ó","o"),"ú","u"),"ü","u"),"ñ","n"),"à","a"),"è","e"),"ì","i"),"ò","o"),"ù","u"),"")</f>
        <v/>
      </c>
      <c r="Q265" s="25">
        <f>IF(AND(L265=1,E265&lt;&gt;""),SUBSTITUTE(SUBSTITUTE(SUBSTITUTE(SUBSTITUTE(SUBSTITUTE(SUBSTITUTE(SUBSTITUTE(SUBSTITUTE(SUBSTITUTE(SUBSTITUTE(SUBSTITUTE(SUBSTITUTE(LOWER(TRIM(E265)),"á","a"),"é","e"),"í","i"),"ó","o"),"ú","u"),"ü","u"),"ñ","n"),"à","a"),"è","e"),"ì","i"),"ò","o"),"ù","u"),"")</f>
        <v/>
      </c>
      <c r="R265" s="25">
        <f>IF(AND(L265=1,I265&lt;&gt;""),SUBSTITUTE(SUBSTITUTE(SUBSTITUTE(SUBSTITUTE(SUBSTITUTE(SUBSTITUTE(SUBSTITUTE(SUBSTITUTE(SUBSTITUTE(SUBSTITUTE(SUBSTITUTE(SUBSTITUTE(LOWER(TRIM(I265)),"á","a"),"é","e"),"í","i"),"ó","o"),"ú","u"),"ü","u"),"ñ","n"),"à","a"),"è","e"),"ì","i"),"ò","o"),"ù","u"),"")</f>
        <v/>
      </c>
      <c r="S265" s="25">
        <f>IF(R265="","",IF(OR(R265="si",R265="tal vez"),1,0))</f>
        <v/>
      </c>
      <c r="T265" s="25">
        <f>IF(AND(L265=1,D265&lt;&gt;""),IF(IFERROR(COUNTIFS(D$3:D265,"="&amp;SUBSTITUTE(SUBSTITUTE(SUBSTITUTE(D265,"~","~~"),"*","~*"),"?","~?"),L$3:L265,1),0)=1,MAX(T$2:T264)+1,""),"")</f>
        <v/>
      </c>
      <c r="U265" s="25">
        <f>IF(T265="","",COUNTIFS($D$3:$D$1002,"="&amp;SUBSTITUTE(SUBSTITUTE(SUBSTITUTE(D265,"~","~~"),"*","~*"),"?","~?"),$L$3:$L$1002,1)*10000-T265)</f>
        <v/>
      </c>
      <c r="V265" s="25">
        <f>IF(AND(L265=1,J265&lt;&gt;""),IF(IFERROR(COUNTIFS(J$3:J265,"="&amp;SUBSTITUTE(SUBSTITUTE(SUBSTITUTE(J265,"~","~~"),"*","~*"),"?","~?"),L$3:L265,1),0)=1,MAX(V$2:V264)+1,""),"")</f>
        <v/>
      </c>
      <c r="W265" s="25">
        <f>IF(V265="","",COUNTIFS($J$3:$J$1002,"="&amp;SUBSTITUTE(SUBSTITUTE(SUBSTITUTE(J265,"~","~~"),"*","~*"),"?","~?"),$L$3:$L$1002,1)*10000-V265)</f>
        <v/>
      </c>
    </row>
    <row r="266">
      <c r="A266">
        <f>IF(A$2=0,"",IFERROR(TRIM(INDEX('Pegar estudiantes'!$A$1:$BZ$1001,265,A$2)&amp;""),""))</f>
        <v/>
      </c>
      <c r="B266">
        <f>IF(B$2=0,"",IFERROR(TRIM(INDEX('Pegar estudiantes'!$A$1:$BZ$1001,265,B$2)&amp;""),""))</f>
        <v/>
      </c>
      <c r="C266">
        <f>IF(C$2=0,"",IFERROR(TRIM(INDEX('Pegar estudiantes'!$A$1:$BZ$1001,265,C$2)&amp;""),""))</f>
        <v/>
      </c>
      <c r="D266">
        <f>IF(D$2=0,"",IFERROR(TRIM(INDEX('Pegar estudiantes'!$A$1:$BZ$1001,265,D$2)&amp;""),""))</f>
        <v/>
      </c>
      <c r="E266">
        <f>IF(E$2=0,"",IFERROR(TRIM(INDEX('Pegar estudiantes'!$A$1:$BZ$1001,265,E$2)&amp;""),""))</f>
        <v/>
      </c>
      <c r="F266">
        <f>IF(F$2=0,"",IFERROR(TRIM(INDEX('Pegar estudiantes'!$A$1:$BZ$1001,265,F$2)&amp;""),""))</f>
        <v/>
      </c>
      <c r="G266">
        <f>IF(G$2=0,"",IFERROR(TRIM(INDEX('Pegar estudiantes'!$A$1:$BZ$1001,265,G$2)&amp;""),""))</f>
        <v/>
      </c>
      <c r="H266">
        <f>IF(H$2=0,"",IFERROR(TRIM(INDEX('Pegar estudiantes'!$A$1:$BZ$1001,265,H$2)&amp;""),""))</f>
        <v/>
      </c>
      <c r="I266">
        <f>IF(I$2=0,"",IFERROR(TRIM(INDEX('Pegar estudiantes'!$A$1:$BZ$1001,265,I$2)&amp;""),""))</f>
        <v/>
      </c>
      <c r="J266">
        <f>IF(J$2=0,"",IFERROR(TRIM(INDEX('Pegar estudiantes'!$A$1:$BZ$1001,265,J$2)&amp;""),""))</f>
        <v/>
      </c>
      <c r="K266">
        <f>IF(K$2=0,"",IFERROR(TRIM(INDEX('Pegar estudiantes'!$A$1:$BZ$1001,265,K$2)&amp;""),""))</f>
        <v/>
      </c>
      <c r="L266" s="25">
        <f>IF(A266&lt;&gt;"",1,"")</f>
        <v/>
      </c>
      <c r="M266" s="25">
        <f>IF(L266=1,IF(ISNUMBER(FIND("#"&amp;MID(A266,1,1)&amp;"#","#0#1#2#3#4#5#6#7#8#9#")),IF(ISNUMBER(FIND("#"&amp;MID(A266,2,1)&amp;"#","#0#1#2#3#4#5#6#7#8#9#")),IF(AND(VALUE(LEFT(A266,2))&gt;=1,VALUE(LEFT(A266,2))&lt;=5),VALUE(LEFT(A266,2)),""),IF(AND(VALUE(LEFT(A266,1))&gt;=1,VALUE(LEFT(A266,1))&lt;=5),VALUE(LEFT(A266,1)),"")),""),"")</f>
        <v/>
      </c>
      <c r="N266" s="25">
        <f>IF(L266=1,IF(ISNUMBER(FIND("#"&amp;MID(H266,1,1)&amp;"#","#0#1#2#3#4#5#6#7#8#9#")),IF(ISNUMBER(FIND("#"&amp;MID(H266,2,1)&amp;"#","#0#1#2#3#4#5#6#7#8#9#")),IF(AND(VALUE(LEFT(H266,2))&gt;=1,VALUE(LEFT(H266,2))&lt;=5),VALUE(LEFT(H266,2)),""),IF(AND(VALUE(LEFT(H266,1))&gt;=1,VALUE(LEFT(H266,1))&lt;=5),VALUE(LEFT(H266,1)),"")),""),"")</f>
        <v/>
      </c>
      <c r="O266" s="25">
        <f>IF(AND(L266=1,B266&lt;&gt;""),SUBSTITUTE(SUBSTITUTE(SUBSTITUTE(SUBSTITUTE(SUBSTITUTE(SUBSTITUTE(SUBSTITUTE(SUBSTITUTE(SUBSTITUTE(SUBSTITUTE(SUBSTITUTE(SUBSTITUTE(LOWER(TRIM(B266)),"á","a"),"é","e"),"í","i"),"ó","o"),"ú","u"),"ü","u"),"ñ","n"),"à","a"),"è","e"),"ì","i"),"ò","o"),"ù","u"),"")</f>
        <v/>
      </c>
      <c r="P266" s="25">
        <f>IF(AND(L266=1,C266&lt;&gt;""),SUBSTITUTE(SUBSTITUTE(SUBSTITUTE(SUBSTITUTE(SUBSTITUTE(SUBSTITUTE(SUBSTITUTE(SUBSTITUTE(SUBSTITUTE(SUBSTITUTE(SUBSTITUTE(SUBSTITUTE(LOWER(TRIM(C266)),"á","a"),"é","e"),"í","i"),"ó","o"),"ú","u"),"ü","u"),"ñ","n"),"à","a"),"è","e"),"ì","i"),"ò","o"),"ù","u"),"")</f>
        <v/>
      </c>
      <c r="Q266" s="25">
        <f>IF(AND(L266=1,E266&lt;&gt;""),SUBSTITUTE(SUBSTITUTE(SUBSTITUTE(SUBSTITUTE(SUBSTITUTE(SUBSTITUTE(SUBSTITUTE(SUBSTITUTE(SUBSTITUTE(SUBSTITUTE(SUBSTITUTE(SUBSTITUTE(LOWER(TRIM(E266)),"á","a"),"é","e"),"í","i"),"ó","o"),"ú","u"),"ü","u"),"ñ","n"),"à","a"),"è","e"),"ì","i"),"ò","o"),"ù","u"),"")</f>
        <v/>
      </c>
      <c r="R266" s="25">
        <f>IF(AND(L266=1,I266&lt;&gt;""),SUBSTITUTE(SUBSTITUTE(SUBSTITUTE(SUBSTITUTE(SUBSTITUTE(SUBSTITUTE(SUBSTITUTE(SUBSTITUTE(SUBSTITUTE(SUBSTITUTE(SUBSTITUTE(SUBSTITUTE(LOWER(TRIM(I266)),"á","a"),"é","e"),"í","i"),"ó","o"),"ú","u"),"ü","u"),"ñ","n"),"à","a"),"è","e"),"ì","i"),"ò","o"),"ù","u"),"")</f>
        <v/>
      </c>
      <c r="S266" s="25">
        <f>IF(R266="","",IF(OR(R266="si",R266="tal vez"),1,0))</f>
        <v/>
      </c>
      <c r="T266" s="25">
        <f>IF(AND(L266=1,D266&lt;&gt;""),IF(IFERROR(COUNTIFS(D$3:D266,"="&amp;SUBSTITUTE(SUBSTITUTE(SUBSTITUTE(D266,"~","~~"),"*","~*"),"?","~?"),L$3:L266,1),0)=1,MAX(T$2:T265)+1,""),"")</f>
        <v/>
      </c>
      <c r="U266" s="25">
        <f>IF(T266="","",COUNTIFS($D$3:$D$1002,"="&amp;SUBSTITUTE(SUBSTITUTE(SUBSTITUTE(D266,"~","~~"),"*","~*"),"?","~?"),$L$3:$L$1002,1)*10000-T266)</f>
        <v/>
      </c>
      <c r="V266" s="25">
        <f>IF(AND(L266=1,J266&lt;&gt;""),IF(IFERROR(COUNTIFS(J$3:J266,"="&amp;SUBSTITUTE(SUBSTITUTE(SUBSTITUTE(J266,"~","~~"),"*","~*"),"?","~?"),L$3:L266,1),0)=1,MAX(V$2:V265)+1,""),"")</f>
        <v/>
      </c>
      <c r="W266" s="25">
        <f>IF(V266="","",COUNTIFS($J$3:$J$1002,"="&amp;SUBSTITUTE(SUBSTITUTE(SUBSTITUTE(J266,"~","~~"),"*","~*"),"?","~?"),$L$3:$L$1002,1)*10000-V266)</f>
        <v/>
      </c>
    </row>
    <row r="267">
      <c r="A267">
        <f>IF(A$2=0,"",IFERROR(TRIM(INDEX('Pegar estudiantes'!$A$1:$BZ$1001,266,A$2)&amp;""),""))</f>
        <v/>
      </c>
      <c r="B267">
        <f>IF(B$2=0,"",IFERROR(TRIM(INDEX('Pegar estudiantes'!$A$1:$BZ$1001,266,B$2)&amp;""),""))</f>
        <v/>
      </c>
      <c r="C267">
        <f>IF(C$2=0,"",IFERROR(TRIM(INDEX('Pegar estudiantes'!$A$1:$BZ$1001,266,C$2)&amp;""),""))</f>
        <v/>
      </c>
      <c r="D267">
        <f>IF(D$2=0,"",IFERROR(TRIM(INDEX('Pegar estudiantes'!$A$1:$BZ$1001,266,D$2)&amp;""),""))</f>
        <v/>
      </c>
      <c r="E267">
        <f>IF(E$2=0,"",IFERROR(TRIM(INDEX('Pegar estudiantes'!$A$1:$BZ$1001,266,E$2)&amp;""),""))</f>
        <v/>
      </c>
      <c r="F267">
        <f>IF(F$2=0,"",IFERROR(TRIM(INDEX('Pegar estudiantes'!$A$1:$BZ$1001,266,F$2)&amp;""),""))</f>
        <v/>
      </c>
      <c r="G267">
        <f>IF(G$2=0,"",IFERROR(TRIM(INDEX('Pegar estudiantes'!$A$1:$BZ$1001,266,G$2)&amp;""),""))</f>
        <v/>
      </c>
      <c r="H267">
        <f>IF(H$2=0,"",IFERROR(TRIM(INDEX('Pegar estudiantes'!$A$1:$BZ$1001,266,H$2)&amp;""),""))</f>
        <v/>
      </c>
      <c r="I267">
        <f>IF(I$2=0,"",IFERROR(TRIM(INDEX('Pegar estudiantes'!$A$1:$BZ$1001,266,I$2)&amp;""),""))</f>
        <v/>
      </c>
      <c r="J267">
        <f>IF(J$2=0,"",IFERROR(TRIM(INDEX('Pegar estudiantes'!$A$1:$BZ$1001,266,J$2)&amp;""),""))</f>
        <v/>
      </c>
      <c r="K267">
        <f>IF(K$2=0,"",IFERROR(TRIM(INDEX('Pegar estudiantes'!$A$1:$BZ$1001,266,K$2)&amp;""),""))</f>
        <v/>
      </c>
      <c r="L267" s="25">
        <f>IF(A267&lt;&gt;"",1,"")</f>
        <v/>
      </c>
      <c r="M267" s="25">
        <f>IF(L267=1,IF(ISNUMBER(FIND("#"&amp;MID(A267,1,1)&amp;"#","#0#1#2#3#4#5#6#7#8#9#")),IF(ISNUMBER(FIND("#"&amp;MID(A267,2,1)&amp;"#","#0#1#2#3#4#5#6#7#8#9#")),IF(AND(VALUE(LEFT(A267,2))&gt;=1,VALUE(LEFT(A267,2))&lt;=5),VALUE(LEFT(A267,2)),""),IF(AND(VALUE(LEFT(A267,1))&gt;=1,VALUE(LEFT(A267,1))&lt;=5),VALUE(LEFT(A267,1)),"")),""),"")</f>
        <v/>
      </c>
      <c r="N267" s="25">
        <f>IF(L267=1,IF(ISNUMBER(FIND("#"&amp;MID(H267,1,1)&amp;"#","#0#1#2#3#4#5#6#7#8#9#")),IF(ISNUMBER(FIND("#"&amp;MID(H267,2,1)&amp;"#","#0#1#2#3#4#5#6#7#8#9#")),IF(AND(VALUE(LEFT(H267,2))&gt;=1,VALUE(LEFT(H267,2))&lt;=5),VALUE(LEFT(H267,2)),""),IF(AND(VALUE(LEFT(H267,1))&gt;=1,VALUE(LEFT(H267,1))&lt;=5),VALUE(LEFT(H267,1)),"")),""),"")</f>
        <v/>
      </c>
      <c r="O267" s="25">
        <f>IF(AND(L267=1,B267&lt;&gt;""),SUBSTITUTE(SUBSTITUTE(SUBSTITUTE(SUBSTITUTE(SUBSTITUTE(SUBSTITUTE(SUBSTITUTE(SUBSTITUTE(SUBSTITUTE(SUBSTITUTE(SUBSTITUTE(SUBSTITUTE(LOWER(TRIM(B267)),"á","a"),"é","e"),"í","i"),"ó","o"),"ú","u"),"ü","u"),"ñ","n"),"à","a"),"è","e"),"ì","i"),"ò","o"),"ù","u"),"")</f>
        <v/>
      </c>
      <c r="P267" s="25">
        <f>IF(AND(L267=1,C267&lt;&gt;""),SUBSTITUTE(SUBSTITUTE(SUBSTITUTE(SUBSTITUTE(SUBSTITUTE(SUBSTITUTE(SUBSTITUTE(SUBSTITUTE(SUBSTITUTE(SUBSTITUTE(SUBSTITUTE(SUBSTITUTE(LOWER(TRIM(C267)),"á","a"),"é","e"),"í","i"),"ó","o"),"ú","u"),"ü","u"),"ñ","n"),"à","a"),"è","e"),"ì","i"),"ò","o"),"ù","u"),"")</f>
        <v/>
      </c>
      <c r="Q267" s="25">
        <f>IF(AND(L267=1,E267&lt;&gt;""),SUBSTITUTE(SUBSTITUTE(SUBSTITUTE(SUBSTITUTE(SUBSTITUTE(SUBSTITUTE(SUBSTITUTE(SUBSTITUTE(SUBSTITUTE(SUBSTITUTE(SUBSTITUTE(SUBSTITUTE(LOWER(TRIM(E267)),"á","a"),"é","e"),"í","i"),"ó","o"),"ú","u"),"ü","u"),"ñ","n"),"à","a"),"è","e"),"ì","i"),"ò","o"),"ù","u"),"")</f>
        <v/>
      </c>
      <c r="R267" s="25">
        <f>IF(AND(L267=1,I267&lt;&gt;""),SUBSTITUTE(SUBSTITUTE(SUBSTITUTE(SUBSTITUTE(SUBSTITUTE(SUBSTITUTE(SUBSTITUTE(SUBSTITUTE(SUBSTITUTE(SUBSTITUTE(SUBSTITUTE(SUBSTITUTE(LOWER(TRIM(I267)),"á","a"),"é","e"),"í","i"),"ó","o"),"ú","u"),"ü","u"),"ñ","n"),"à","a"),"è","e"),"ì","i"),"ò","o"),"ù","u"),"")</f>
        <v/>
      </c>
      <c r="S267" s="25">
        <f>IF(R267="","",IF(OR(R267="si",R267="tal vez"),1,0))</f>
        <v/>
      </c>
      <c r="T267" s="25">
        <f>IF(AND(L267=1,D267&lt;&gt;""),IF(IFERROR(COUNTIFS(D$3:D267,"="&amp;SUBSTITUTE(SUBSTITUTE(SUBSTITUTE(D267,"~","~~"),"*","~*"),"?","~?"),L$3:L267,1),0)=1,MAX(T$2:T266)+1,""),"")</f>
        <v/>
      </c>
      <c r="U267" s="25">
        <f>IF(T267="","",COUNTIFS($D$3:$D$1002,"="&amp;SUBSTITUTE(SUBSTITUTE(SUBSTITUTE(D267,"~","~~"),"*","~*"),"?","~?"),$L$3:$L$1002,1)*10000-T267)</f>
        <v/>
      </c>
      <c r="V267" s="25">
        <f>IF(AND(L267=1,J267&lt;&gt;""),IF(IFERROR(COUNTIFS(J$3:J267,"="&amp;SUBSTITUTE(SUBSTITUTE(SUBSTITUTE(J267,"~","~~"),"*","~*"),"?","~?"),L$3:L267,1),0)=1,MAX(V$2:V266)+1,""),"")</f>
        <v/>
      </c>
      <c r="W267" s="25">
        <f>IF(V267="","",COUNTIFS($J$3:$J$1002,"="&amp;SUBSTITUTE(SUBSTITUTE(SUBSTITUTE(J267,"~","~~"),"*","~*"),"?","~?"),$L$3:$L$1002,1)*10000-V267)</f>
        <v/>
      </c>
    </row>
    <row r="268">
      <c r="A268">
        <f>IF(A$2=0,"",IFERROR(TRIM(INDEX('Pegar estudiantes'!$A$1:$BZ$1001,267,A$2)&amp;""),""))</f>
        <v/>
      </c>
      <c r="B268">
        <f>IF(B$2=0,"",IFERROR(TRIM(INDEX('Pegar estudiantes'!$A$1:$BZ$1001,267,B$2)&amp;""),""))</f>
        <v/>
      </c>
      <c r="C268">
        <f>IF(C$2=0,"",IFERROR(TRIM(INDEX('Pegar estudiantes'!$A$1:$BZ$1001,267,C$2)&amp;""),""))</f>
        <v/>
      </c>
      <c r="D268">
        <f>IF(D$2=0,"",IFERROR(TRIM(INDEX('Pegar estudiantes'!$A$1:$BZ$1001,267,D$2)&amp;""),""))</f>
        <v/>
      </c>
      <c r="E268">
        <f>IF(E$2=0,"",IFERROR(TRIM(INDEX('Pegar estudiantes'!$A$1:$BZ$1001,267,E$2)&amp;""),""))</f>
        <v/>
      </c>
      <c r="F268">
        <f>IF(F$2=0,"",IFERROR(TRIM(INDEX('Pegar estudiantes'!$A$1:$BZ$1001,267,F$2)&amp;""),""))</f>
        <v/>
      </c>
      <c r="G268">
        <f>IF(G$2=0,"",IFERROR(TRIM(INDEX('Pegar estudiantes'!$A$1:$BZ$1001,267,G$2)&amp;""),""))</f>
        <v/>
      </c>
      <c r="H268">
        <f>IF(H$2=0,"",IFERROR(TRIM(INDEX('Pegar estudiantes'!$A$1:$BZ$1001,267,H$2)&amp;""),""))</f>
        <v/>
      </c>
      <c r="I268">
        <f>IF(I$2=0,"",IFERROR(TRIM(INDEX('Pegar estudiantes'!$A$1:$BZ$1001,267,I$2)&amp;""),""))</f>
        <v/>
      </c>
      <c r="J268">
        <f>IF(J$2=0,"",IFERROR(TRIM(INDEX('Pegar estudiantes'!$A$1:$BZ$1001,267,J$2)&amp;""),""))</f>
        <v/>
      </c>
      <c r="K268">
        <f>IF(K$2=0,"",IFERROR(TRIM(INDEX('Pegar estudiantes'!$A$1:$BZ$1001,267,K$2)&amp;""),""))</f>
        <v/>
      </c>
      <c r="L268" s="25">
        <f>IF(A268&lt;&gt;"",1,"")</f>
        <v/>
      </c>
      <c r="M268" s="25">
        <f>IF(L268=1,IF(ISNUMBER(FIND("#"&amp;MID(A268,1,1)&amp;"#","#0#1#2#3#4#5#6#7#8#9#")),IF(ISNUMBER(FIND("#"&amp;MID(A268,2,1)&amp;"#","#0#1#2#3#4#5#6#7#8#9#")),IF(AND(VALUE(LEFT(A268,2))&gt;=1,VALUE(LEFT(A268,2))&lt;=5),VALUE(LEFT(A268,2)),""),IF(AND(VALUE(LEFT(A268,1))&gt;=1,VALUE(LEFT(A268,1))&lt;=5),VALUE(LEFT(A268,1)),"")),""),"")</f>
        <v/>
      </c>
      <c r="N268" s="25">
        <f>IF(L268=1,IF(ISNUMBER(FIND("#"&amp;MID(H268,1,1)&amp;"#","#0#1#2#3#4#5#6#7#8#9#")),IF(ISNUMBER(FIND("#"&amp;MID(H268,2,1)&amp;"#","#0#1#2#3#4#5#6#7#8#9#")),IF(AND(VALUE(LEFT(H268,2))&gt;=1,VALUE(LEFT(H268,2))&lt;=5),VALUE(LEFT(H268,2)),""),IF(AND(VALUE(LEFT(H268,1))&gt;=1,VALUE(LEFT(H268,1))&lt;=5),VALUE(LEFT(H268,1)),"")),""),"")</f>
        <v/>
      </c>
      <c r="O268" s="25">
        <f>IF(AND(L268=1,B268&lt;&gt;""),SUBSTITUTE(SUBSTITUTE(SUBSTITUTE(SUBSTITUTE(SUBSTITUTE(SUBSTITUTE(SUBSTITUTE(SUBSTITUTE(SUBSTITUTE(SUBSTITUTE(SUBSTITUTE(SUBSTITUTE(LOWER(TRIM(B268)),"á","a"),"é","e"),"í","i"),"ó","o"),"ú","u"),"ü","u"),"ñ","n"),"à","a"),"è","e"),"ì","i"),"ò","o"),"ù","u"),"")</f>
        <v/>
      </c>
      <c r="P268" s="25">
        <f>IF(AND(L268=1,C268&lt;&gt;""),SUBSTITUTE(SUBSTITUTE(SUBSTITUTE(SUBSTITUTE(SUBSTITUTE(SUBSTITUTE(SUBSTITUTE(SUBSTITUTE(SUBSTITUTE(SUBSTITUTE(SUBSTITUTE(SUBSTITUTE(LOWER(TRIM(C268)),"á","a"),"é","e"),"í","i"),"ó","o"),"ú","u"),"ü","u"),"ñ","n"),"à","a"),"è","e"),"ì","i"),"ò","o"),"ù","u"),"")</f>
        <v/>
      </c>
      <c r="Q268" s="25">
        <f>IF(AND(L268=1,E268&lt;&gt;""),SUBSTITUTE(SUBSTITUTE(SUBSTITUTE(SUBSTITUTE(SUBSTITUTE(SUBSTITUTE(SUBSTITUTE(SUBSTITUTE(SUBSTITUTE(SUBSTITUTE(SUBSTITUTE(SUBSTITUTE(LOWER(TRIM(E268)),"á","a"),"é","e"),"í","i"),"ó","o"),"ú","u"),"ü","u"),"ñ","n"),"à","a"),"è","e"),"ì","i"),"ò","o"),"ù","u"),"")</f>
        <v/>
      </c>
      <c r="R268" s="25">
        <f>IF(AND(L268=1,I268&lt;&gt;""),SUBSTITUTE(SUBSTITUTE(SUBSTITUTE(SUBSTITUTE(SUBSTITUTE(SUBSTITUTE(SUBSTITUTE(SUBSTITUTE(SUBSTITUTE(SUBSTITUTE(SUBSTITUTE(SUBSTITUTE(LOWER(TRIM(I268)),"á","a"),"é","e"),"í","i"),"ó","o"),"ú","u"),"ü","u"),"ñ","n"),"à","a"),"è","e"),"ì","i"),"ò","o"),"ù","u"),"")</f>
        <v/>
      </c>
      <c r="S268" s="25">
        <f>IF(R268="","",IF(OR(R268="si",R268="tal vez"),1,0))</f>
        <v/>
      </c>
      <c r="T268" s="25">
        <f>IF(AND(L268=1,D268&lt;&gt;""),IF(IFERROR(COUNTIFS(D$3:D268,"="&amp;SUBSTITUTE(SUBSTITUTE(SUBSTITUTE(D268,"~","~~"),"*","~*"),"?","~?"),L$3:L268,1),0)=1,MAX(T$2:T267)+1,""),"")</f>
        <v/>
      </c>
      <c r="U268" s="25">
        <f>IF(T268="","",COUNTIFS($D$3:$D$1002,"="&amp;SUBSTITUTE(SUBSTITUTE(SUBSTITUTE(D268,"~","~~"),"*","~*"),"?","~?"),$L$3:$L$1002,1)*10000-T268)</f>
        <v/>
      </c>
      <c r="V268" s="25">
        <f>IF(AND(L268=1,J268&lt;&gt;""),IF(IFERROR(COUNTIFS(J$3:J268,"="&amp;SUBSTITUTE(SUBSTITUTE(SUBSTITUTE(J268,"~","~~"),"*","~*"),"?","~?"),L$3:L268,1),0)=1,MAX(V$2:V267)+1,""),"")</f>
        <v/>
      </c>
      <c r="W268" s="25">
        <f>IF(V268="","",COUNTIFS($J$3:$J$1002,"="&amp;SUBSTITUTE(SUBSTITUTE(SUBSTITUTE(J268,"~","~~"),"*","~*"),"?","~?"),$L$3:$L$1002,1)*10000-V268)</f>
        <v/>
      </c>
    </row>
    <row r="269">
      <c r="A269">
        <f>IF(A$2=0,"",IFERROR(TRIM(INDEX('Pegar estudiantes'!$A$1:$BZ$1001,268,A$2)&amp;""),""))</f>
        <v/>
      </c>
      <c r="B269">
        <f>IF(B$2=0,"",IFERROR(TRIM(INDEX('Pegar estudiantes'!$A$1:$BZ$1001,268,B$2)&amp;""),""))</f>
        <v/>
      </c>
      <c r="C269">
        <f>IF(C$2=0,"",IFERROR(TRIM(INDEX('Pegar estudiantes'!$A$1:$BZ$1001,268,C$2)&amp;""),""))</f>
        <v/>
      </c>
      <c r="D269">
        <f>IF(D$2=0,"",IFERROR(TRIM(INDEX('Pegar estudiantes'!$A$1:$BZ$1001,268,D$2)&amp;""),""))</f>
        <v/>
      </c>
      <c r="E269">
        <f>IF(E$2=0,"",IFERROR(TRIM(INDEX('Pegar estudiantes'!$A$1:$BZ$1001,268,E$2)&amp;""),""))</f>
        <v/>
      </c>
      <c r="F269">
        <f>IF(F$2=0,"",IFERROR(TRIM(INDEX('Pegar estudiantes'!$A$1:$BZ$1001,268,F$2)&amp;""),""))</f>
        <v/>
      </c>
      <c r="G269">
        <f>IF(G$2=0,"",IFERROR(TRIM(INDEX('Pegar estudiantes'!$A$1:$BZ$1001,268,G$2)&amp;""),""))</f>
        <v/>
      </c>
      <c r="H269">
        <f>IF(H$2=0,"",IFERROR(TRIM(INDEX('Pegar estudiantes'!$A$1:$BZ$1001,268,H$2)&amp;""),""))</f>
        <v/>
      </c>
      <c r="I269">
        <f>IF(I$2=0,"",IFERROR(TRIM(INDEX('Pegar estudiantes'!$A$1:$BZ$1001,268,I$2)&amp;""),""))</f>
        <v/>
      </c>
      <c r="J269">
        <f>IF(J$2=0,"",IFERROR(TRIM(INDEX('Pegar estudiantes'!$A$1:$BZ$1001,268,J$2)&amp;""),""))</f>
        <v/>
      </c>
      <c r="K269">
        <f>IF(K$2=0,"",IFERROR(TRIM(INDEX('Pegar estudiantes'!$A$1:$BZ$1001,268,K$2)&amp;""),""))</f>
        <v/>
      </c>
      <c r="L269" s="25">
        <f>IF(A269&lt;&gt;"",1,"")</f>
        <v/>
      </c>
      <c r="M269" s="25">
        <f>IF(L269=1,IF(ISNUMBER(FIND("#"&amp;MID(A269,1,1)&amp;"#","#0#1#2#3#4#5#6#7#8#9#")),IF(ISNUMBER(FIND("#"&amp;MID(A269,2,1)&amp;"#","#0#1#2#3#4#5#6#7#8#9#")),IF(AND(VALUE(LEFT(A269,2))&gt;=1,VALUE(LEFT(A269,2))&lt;=5),VALUE(LEFT(A269,2)),""),IF(AND(VALUE(LEFT(A269,1))&gt;=1,VALUE(LEFT(A269,1))&lt;=5),VALUE(LEFT(A269,1)),"")),""),"")</f>
        <v/>
      </c>
      <c r="N269" s="25">
        <f>IF(L269=1,IF(ISNUMBER(FIND("#"&amp;MID(H269,1,1)&amp;"#","#0#1#2#3#4#5#6#7#8#9#")),IF(ISNUMBER(FIND("#"&amp;MID(H269,2,1)&amp;"#","#0#1#2#3#4#5#6#7#8#9#")),IF(AND(VALUE(LEFT(H269,2))&gt;=1,VALUE(LEFT(H269,2))&lt;=5),VALUE(LEFT(H269,2)),""),IF(AND(VALUE(LEFT(H269,1))&gt;=1,VALUE(LEFT(H269,1))&lt;=5),VALUE(LEFT(H269,1)),"")),""),"")</f>
        <v/>
      </c>
      <c r="O269" s="25">
        <f>IF(AND(L269=1,B269&lt;&gt;""),SUBSTITUTE(SUBSTITUTE(SUBSTITUTE(SUBSTITUTE(SUBSTITUTE(SUBSTITUTE(SUBSTITUTE(SUBSTITUTE(SUBSTITUTE(SUBSTITUTE(SUBSTITUTE(SUBSTITUTE(LOWER(TRIM(B269)),"á","a"),"é","e"),"í","i"),"ó","o"),"ú","u"),"ü","u"),"ñ","n"),"à","a"),"è","e"),"ì","i"),"ò","o"),"ù","u"),"")</f>
        <v/>
      </c>
      <c r="P269" s="25">
        <f>IF(AND(L269=1,C269&lt;&gt;""),SUBSTITUTE(SUBSTITUTE(SUBSTITUTE(SUBSTITUTE(SUBSTITUTE(SUBSTITUTE(SUBSTITUTE(SUBSTITUTE(SUBSTITUTE(SUBSTITUTE(SUBSTITUTE(SUBSTITUTE(LOWER(TRIM(C269)),"á","a"),"é","e"),"í","i"),"ó","o"),"ú","u"),"ü","u"),"ñ","n"),"à","a"),"è","e"),"ì","i"),"ò","o"),"ù","u"),"")</f>
        <v/>
      </c>
      <c r="Q269" s="25">
        <f>IF(AND(L269=1,E269&lt;&gt;""),SUBSTITUTE(SUBSTITUTE(SUBSTITUTE(SUBSTITUTE(SUBSTITUTE(SUBSTITUTE(SUBSTITUTE(SUBSTITUTE(SUBSTITUTE(SUBSTITUTE(SUBSTITUTE(SUBSTITUTE(LOWER(TRIM(E269)),"á","a"),"é","e"),"í","i"),"ó","o"),"ú","u"),"ü","u"),"ñ","n"),"à","a"),"è","e"),"ì","i"),"ò","o"),"ù","u"),"")</f>
        <v/>
      </c>
      <c r="R269" s="25">
        <f>IF(AND(L269=1,I269&lt;&gt;""),SUBSTITUTE(SUBSTITUTE(SUBSTITUTE(SUBSTITUTE(SUBSTITUTE(SUBSTITUTE(SUBSTITUTE(SUBSTITUTE(SUBSTITUTE(SUBSTITUTE(SUBSTITUTE(SUBSTITUTE(LOWER(TRIM(I269)),"á","a"),"é","e"),"í","i"),"ó","o"),"ú","u"),"ü","u"),"ñ","n"),"à","a"),"è","e"),"ì","i"),"ò","o"),"ù","u"),"")</f>
        <v/>
      </c>
      <c r="S269" s="25">
        <f>IF(R269="","",IF(OR(R269="si",R269="tal vez"),1,0))</f>
        <v/>
      </c>
      <c r="T269" s="25">
        <f>IF(AND(L269=1,D269&lt;&gt;""),IF(IFERROR(COUNTIFS(D$3:D269,"="&amp;SUBSTITUTE(SUBSTITUTE(SUBSTITUTE(D269,"~","~~"),"*","~*"),"?","~?"),L$3:L269,1),0)=1,MAX(T$2:T268)+1,""),"")</f>
        <v/>
      </c>
      <c r="U269" s="25">
        <f>IF(T269="","",COUNTIFS($D$3:$D$1002,"="&amp;SUBSTITUTE(SUBSTITUTE(SUBSTITUTE(D269,"~","~~"),"*","~*"),"?","~?"),$L$3:$L$1002,1)*10000-T269)</f>
        <v/>
      </c>
      <c r="V269" s="25">
        <f>IF(AND(L269=1,J269&lt;&gt;""),IF(IFERROR(COUNTIFS(J$3:J269,"="&amp;SUBSTITUTE(SUBSTITUTE(SUBSTITUTE(J269,"~","~~"),"*","~*"),"?","~?"),L$3:L269,1),0)=1,MAX(V$2:V268)+1,""),"")</f>
        <v/>
      </c>
      <c r="W269" s="25">
        <f>IF(V269="","",COUNTIFS($J$3:$J$1002,"="&amp;SUBSTITUTE(SUBSTITUTE(SUBSTITUTE(J269,"~","~~"),"*","~*"),"?","~?"),$L$3:$L$1002,1)*10000-V269)</f>
        <v/>
      </c>
    </row>
    <row r="270">
      <c r="A270">
        <f>IF(A$2=0,"",IFERROR(TRIM(INDEX('Pegar estudiantes'!$A$1:$BZ$1001,269,A$2)&amp;""),""))</f>
        <v/>
      </c>
      <c r="B270">
        <f>IF(B$2=0,"",IFERROR(TRIM(INDEX('Pegar estudiantes'!$A$1:$BZ$1001,269,B$2)&amp;""),""))</f>
        <v/>
      </c>
      <c r="C270">
        <f>IF(C$2=0,"",IFERROR(TRIM(INDEX('Pegar estudiantes'!$A$1:$BZ$1001,269,C$2)&amp;""),""))</f>
        <v/>
      </c>
      <c r="D270">
        <f>IF(D$2=0,"",IFERROR(TRIM(INDEX('Pegar estudiantes'!$A$1:$BZ$1001,269,D$2)&amp;""),""))</f>
        <v/>
      </c>
      <c r="E270">
        <f>IF(E$2=0,"",IFERROR(TRIM(INDEX('Pegar estudiantes'!$A$1:$BZ$1001,269,E$2)&amp;""),""))</f>
        <v/>
      </c>
      <c r="F270">
        <f>IF(F$2=0,"",IFERROR(TRIM(INDEX('Pegar estudiantes'!$A$1:$BZ$1001,269,F$2)&amp;""),""))</f>
        <v/>
      </c>
      <c r="G270">
        <f>IF(G$2=0,"",IFERROR(TRIM(INDEX('Pegar estudiantes'!$A$1:$BZ$1001,269,G$2)&amp;""),""))</f>
        <v/>
      </c>
      <c r="H270">
        <f>IF(H$2=0,"",IFERROR(TRIM(INDEX('Pegar estudiantes'!$A$1:$BZ$1001,269,H$2)&amp;""),""))</f>
        <v/>
      </c>
      <c r="I270">
        <f>IF(I$2=0,"",IFERROR(TRIM(INDEX('Pegar estudiantes'!$A$1:$BZ$1001,269,I$2)&amp;""),""))</f>
        <v/>
      </c>
      <c r="J270">
        <f>IF(J$2=0,"",IFERROR(TRIM(INDEX('Pegar estudiantes'!$A$1:$BZ$1001,269,J$2)&amp;""),""))</f>
        <v/>
      </c>
      <c r="K270">
        <f>IF(K$2=0,"",IFERROR(TRIM(INDEX('Pegar estudiantes'!$A$1:$BZ$1001,269,K$2)&amp;""),""))</f>
        <v/>
      </c>
      <c r="L270" s="25">
        <f>IF(A270&lt;&gt;"",1,"")</f>
        <v/>
      </c>
      <c r="M270" s="25">
        <f>IF(L270=1,IF(ISNUMBER(FIND("#"&amp;MID(A270,1,1)&amp;"#","#0#1#2#3#4#5#6#7#8#9#")),IF(ISNUMBER(FIND("#"&amp;MID(A270,2,1)&amp;"#","#0#1#2#3#4#5#6#7#8#9#")),IF(AND(VALUE(LEFT(A270,2))&gt;=1,VALUE(LEFT(A270,2))&lt;=5),VALUE(LEFT(A270,2)),""),IF(AND(VALUE(LEFT(A270,1))&gt;=1,VALUE(LEFT(A270,1))&lt;=5),VALUE(LEFT(A270,1)),"")),""),"")</f>
        <v/>
      </c>
      <c r="N270" s="25">
        <f>IF(L270=1,IF(ISNUMBER(FIND("#"&amp;MID(H270,1,1)&amp;"#","#0#1#2#3#4#5#6#7#8#9#")),IF(ISNUMBER(FIND("#"&amp;MID(H270,2,1)&amp;"#","#0#1#2#3#4#5#6#7#8#9#")),IF(AND(VALUE(LEFT(H270,2))&gt;=1,VALUE(LEFT(H270,2))&lt;=5),VALUE(LEFT(H270,2)),""),IF(AND(VALUE(LEFT(H270,1))&gt;=1,VALUE(LEFT(H270,1))&lt;=5),VALUE(LEFT(H270,1)),"")),""),"")</f>
        <v/>
      </c>
      <c r="O270" s="25">
        <f>IF(AND(L270=1,B270&lt;&gt;""),SUBSTITUTE(SUBSTITUTE(SUBSTITUTE(SUBSTITUTE(SUBSTITUTE(SUBSTITUTE(SUBSTITUTE(SUBSTITUTE(SUBSTITUTE(SUBSTITUTE(SUBSTITUTE(SUBSTITUTE(LOWER(TRIM(B270)),"á","a"),"é","e"),"í","i"),"ó","o"),"ú","u"),"ü","u"),"ñ","n"),"à","a"),"è","e"),"ì","i"),"ò","o"),"ù","u"),"")</f>
        <v/>
      </c>
      <c r="P270" s="25">
        <f>IF(AND(L270=1,C270&lt;&gt;""),SUBSTITUTE(SUBSTITUTE(SUBSTITUTE(SUBSTITUTE(SUBSTITUTE(SUBSTITUTE(SUBSTITUTE(SUBSTITUTE(SUBSTITUTE(SUBSTITUTE(SUBSTITUTE(SUBSTITUTE(LOWER(TRIM(C270)),"á","a"),"é","e"),"í","i"),"ó","o"),"ú","u"),"ü","u"),"ñ","n"),"à","a"),"è","e"),"ì","i"),"ò","o"),"ù","u"),"")</f>
        <v/>
      </c>
      <c r="Q270" s="25">
        <f>IF(AND(L270=1,E270&lt;&gt;""),SUBSTITUTE(SUBSTITUTE(SUBSTITUTE(SUBSTITUTE(SUBSTITUTE(SUBSTITUTE(SUBSTITUTE(SUBSTITUTE(SUBSTITUTE(SUBSTITUTE(SUBSTITUTE(SUBSTITUTE(LOWER(TRIM(E270)),"á","a"),"é","e"),"í","i"),"ó","o"),"ú","u"),"ü","u"),"ñ","n"),"à","a"),"è","e"),"ì","i"),"ò","o"),"ù","u"),"")</f>
        <v/>
      </c>
      <c r="R270" s="25">
        <f>IF(AND(L270=1,I270&lt;&gt;""),SUBSTITUTE(SUBSTITUTE(SUBSTITUTE(SUBSTITUTE(SUBSTITUTE(SUBSTITUTE(SUBSTITUTE(SUBSTITUTE(SUBSTITUTE(SUBSTITUTE(SUBSTITUTE(SUBSTITUTE(LOWER(TRIM(I270)),"á","a"),"é","e"),"í","i"),"ó","o"),"ú","u"),"ü","u"),"ñ","n"),"à","a"),"è","e"),"ì","i"),"ò","o"),"ù","u"),"")</f>
        <v/>
      </c>
      <c r="S270" s="25">
        <f>IF(R270="","",IF(OR(R270="si",R270="tal vez"),1,0))</f>
        <v/>
      </c>
      <c r="T270" s="25">
        <f>IF(AND(L270=1,D270&lt;&gt;""),IF(IFERROR(COUNTIFS(D$3:D270,"="&amp;SUBSTITUTE(SUBSTITUTE(SUBSTITUTE(D270,"~","~~"),"*","~*"),"?","~?"),L$3:L270,1),0)=1,MAX(T$2:T269)+1,""),"")</f>
        <v/>
      </c>
      <c r="U270" s="25">
        <f>IF(T270="","",COUNTIFS($D$3:$D$1002,"="&amp;SUBSTITUTE(SUBSTITUTE(SUBSTITUTE(D270,"~","~~"),"*","~*"),"?","~?"),$L$3:$L$1002,1)*10000-T270)</f>
        <v/>
      </c>
      <c r="V270" s="25">
        <f>IF(AND(L270=1,J270&lt;&gt;""),IF(IFERROR(COUNTIFS(J$3:J270,"="&amp;SUBSTITUTE(SUBSTITUTE(SUBSTITUTE(J270,"~","~~"),"*","~*"),"?","~?"),L$3:L270,1),0)=1,MAX(V$2:V269)+1,""),"")</f>
        <v/>
      </c>
      <c r="W270" s="25">
        <f>IF(V270="","",COUNTIFS($J$3:$J$1002,"="&amp;SUBSTITUTE(SUBSTITUTE(SUBSTITUTE(J270,"~","~~"),"*","~*"),"?","~?"),$L$3:$L$1002,1)*10000-V270)</f>
        <v/>
      </c>
    </row>
    <row r="271">
      <c r="A271">
        <f>IF(A$2=0,"",IFERROR(TRIM(INDEX('Pegar estudiantes'!$A$1:$BZ$1001,270,A$2)&amp;""),""))</f>
        <v/>
      </c>
      <c r="B271">
        <f>IF(B$2=0,"",IFERROR(TRIM(INDEX('Pegar estudiantes'!$A$1:$BZ$1001,270,B$2)&amp;""),""))</f>
        <v/>
      </c>
      <c r="C271">
        <f>IF(C$2=0,"",IFERROR(TRIM(INDEX('Pegar estudiantes'!$A$1:$BZ$1001,270,C$2)&amp;""),""))</f>
        <v/>
      </c>
      <c r="D271">
        <f>IF(D$2=0,"",IFERROR(TRIM(INDEX('Pegar estudiantes'!$A$1:$BZ$1001,270,D$2)&amp;""),""))</f>
        <v/>
      </c>
      <c r="E271">
        <f>IF(E$2=0,"",IFERROR(TRIM(INDEX('Pegar estudiantes'!$A$1:$BZ$1001,270,E$2)&amp;""),""))</f>
        <v/>
      </c>
      <c r="F271">
        <f>IF(F$2=0,"",IFERROR(TRIM(INDEX('Pegar estudiantes'!$A$1:$BZ$1001,270,F$2)&amp;""),""))</f>
        <v/>
      </c>
      <c r="G271">
        <f>IF(G$2=0,"",IFERROR(TRIM(INDEX('Pegar estudiantes'!$A$1:$BZ$1001,270,G$2)&amp;""),""))</f>
        <v/>
      </c>
      <c r="H271">
        <f>IF(H$2=0,"",IFERROR(TRIM(INDEX('Pegar estudiantes'!$A$1:$BZ$1001,270,H$2)&amp;""),""))</f>
        <v/>
      </c>
      <c r="I271">
        <f>IF(I$2=0,"",IFERROR(TRIM(INDEX('Pegar estudiantes'!$A$1:$BZ$1001,270,I$2)&amp;""),""))</f>
        <v/>
      </c>
      <c r="J271">
        <f>IF(J$2=0,"",IFERROR(TRIM(INDEX('Pegar estudiantes'!$A$1:$BZ$1001,270,J$2)&amp;""),""))</f>
        <v/>
      </c>
      <c r="K271">
        <f>IF(K$2=0,"",IFERROR(TRIM(INDEX('Pegar estudiantes'!$A$1:$BZ$1001,270,K$2)&amp;""),""))</f>
        <v/>
      </c>
      <c r="L271" s="25">
        <f>IF(A271&lt;&gt;"",1,"")</f>
        <v/>
      </c>
      <c r="M271" s="25">
        <f>IF(L271=1,IF(ISNUMBER(FIND("#"&amp;MID(A271,1,1)&amp;"#","#0#1#2#3#4#5#6#7#8#9#")),IF(ISNUMBER(FIND("#"&amp;MID(A271,2,1)&amp;"#","#0#1#2#3#4#5#6#7#8#9#")),IF(AND(VALUE(LEFT(A271,2))&gt;=1,VALUE(LEFT(A271,2))&lt;=5),VALUE(LEFT(A271,2)),""),IF(AND(VALUE(LEFT(A271,1))&gt;=1,VALUE(LEFT(A271,1))&lt;=5),VALUE(LEFT(A271,1)),"")),""),"")</f>
        <v/>
      </c>
      <c r="N271" s="25">
        <f>IF(L271=1,IF(ISNUMBER(FIND("#"&amp;MID(H271,1,1)&amp;"#","#0#1#2#3#4#5#6#7#8#9#")),IF(ISNUMBER(FIND("#"&amp;MID(H271,2,1)&amp;"#","#0#1#2#3#4#5#6#7#8#9#")),IF(AND(VALUE(LEFT(H271,2))&gt;=1,VALUE(LEFT(H271,2))&lt;=5),VALUE(LEFT(H271,2)),""),IF(AND(VALUE(LEFT(H271,1))&gt;=1,VALUE(LEFT(H271,1))&lt;=5),VALUE(LEFT(H271,1)),"")),""),"")</f>
        <v/>
      </c>
      <c r="O271" s="25">
        <f>IF(AND(L271=1,B271&lt;&gt;""),SUBSTITUTE(SUBSTITUTE(SUBSTITUTE(SUBSTITUTE(SUBSTITUTE(SUBSTITUTE(SUBSTITUTE(SUBSTITUTE(SUBSTITUTE(SUBSTITUTE(SUBSTITUTE(SUBSTITUTE(LOWER(TRIM(B271)),"á","a"),"é","e"),"í","i"),"ó","o"),"ú","u"),"ü","u"),"ñ","n"),"à","a"),"è","e"),"ì","i"),"ò","o"),"ù","u"),"")</f>
        <v/>
      </c>
      <c r="P271" s="25">
        <f>IF(AND(L271=1,C271&lt;&gt;""),SUBSTITUTE(SUBSTITUTE(SUBSTITUTE(SUBSTITUTE(SUBSTITUTE(SUBSTITUTE(SUBSTITUTE(SUBSTITUTE(SUBSTITUTE(SUBSTITUTE(SUBSTITUTE(SUBSTITUTE(LOWER(TRIM(C271)),"á","a"),"é","e"),"í","i"),"ó","o"),"ú","u"),"ü","u"),"ñ","n"),"à","a"),"è","e"),"ì","i"),"ò","o"),"ù","u"),"")</f>
        <v/>
      </c>
      <c r="Q271" s="25">
        <f>IF(AND(L271=1,E271&lt;&gt;""),SUBSTITUTE(SUBSTITUTE(SUBSTITUTE(SUBSTITUTE(SUBSTITUTE(SUBSTITUTE(SUBSTITUTE(SUBSTITUTE(SUBSTITUTE(SUBSTITUTE(SUBSTITUTE(SUBSTITUTE(LOWER(TRIM(E271)),"á","a"),"é","e"),"í","i"),"ó","o"),"ú","u"),"ü","u"),"ñ","n"),"à","a"),"è","e"),"ì","i"),"ò","o"),"ù","u"),"")</f>
        <v/>
      </c>
      <c r="R271" s="25">
        <f>IF(AND(L271=1,I271&lt;&gt;""),SUBSTITUTE(SUBSTITUTE(SUBSTITUTE(SUBSTITUTE(SUBSTITUTE(SUBSTITUTE(SUBSTITUTE(SUBSTITUTE(SUBSTITUTE(SUBSTITUTE(SUBSTITUTE(SUBSTITUTE(LOWER(TRIM(I271)),"á","a"),"é","e"),"í","i"),"ó","o"),"ú","u"),"ü","u"),"ñ","n"),"à","a"),"è","e"),"ì","i"),"ò","o"),"ù","u"),"")</f>
        <v/>
      </c>
      <c r="S271" s="25">
        <f>IF(R271="","",IF(OR(R271="si",R271="tal vez"),1,0))</f>
        <v/>
      </c>
      <c r="T271" s="25">
        <f>IF(AND(L271=1,D271&lt;&gt;""),IF(IFERROR(COUNTIFS(D$3:D271,"="&amp;SUBSTITUTE(SUBSTITUTE(SUBSTITUTE(D271,"~","~~"),"*","~*"),"?","~?"),L$3:L271,1),0)=1,MAX(T$2:T270)+1,""),"")</f>
        <v/>
      </c>
      <c r="U271" s="25">
        <f>IF(T271="","",COUNTIFS($D$3:$D$1002,"="&amp;SUBSTITUTE(SUBSTITUTE(SUBSTITUTE(D271,"~","~~"),"*","~*"),"?","~?"),$L$3:$L$1002,1)*10000-T271)</f>
        <v/>
      </c>
      <c r="V271" s="25">
        <f>IF(AND(L271=1,J271&lt;&gt;""),IF(IFERROR(COUNTIFS(J$3:J271,"="&amp;SUBSTITUTE(SUBSTITUTE(SUBSTITUTE(J271,"~","~~"),"*","~*"),"?","~?"),L$3:L271,1),0)=1,MAX(V$2:V270)+1,""),"")</f>
        <v/>
      </c>
      <c r="W271" s="25">
        <f>IF(V271="","",COUNTIFS($J$3:$J$1002,"="&amp;SUBSTITUTE(SUBSTITUTE(SUBSTITUTE(J271,"~","~~"),"*","~*"),"?","~?"),$L$3:$L$1002,1)*10000-V271)</f>
        <v/>
      </c>
    </row>
    <row r="272">
      <c r="A272">
        <f>IF(A$2=0,"",IFERROR(TRIM(INDEX('Pegar estudiantes'!$A$1:$BZ$1001,271,A$2)&amp;""),""))</f>
        <v/>
      </c>
      <c r="B272">
        <f>IF(B$2=0,"",IFERROR(TRIM(INDEX('Pegar estudiantes'!$A$1:$BZ$1001,271,B$2)&amp;""),""))</f>
        <v/>
      </c>
      <c r="C272">
        <f>IF(C$2=0,"",IFERROR(TRIM(INDEX('Pegar estudiantes'!$A$1:$BZ$1001,271,C$2)&amp;""),""))</f>
        <v/>
      </c>
      <c r="D272">
        <f>IF(D$2=0,"",IFERROR(TRIM(INDEX('Pegar estudiantes'!$A$1:$BZ$1001,271,D$2)&amp;""),""))</f>
        <v/>
      </c>
      <c r="E272">
        <f>IF(E$2=0,"",IFERROR(TRIM(INDEX('Pegar estudiantes'!$A$1:$BZ$1001,271,E$2)&amp;""),""))</f>
        <v/>
      </c>
      <c r="F272">
        <f>IF(F$2=0,"",IFERROR(TRIM(INDEX('Pegar estudiantes'!$A$1:$BZ$1001,271,F$2)&amp;""),""))</f>
        <v/>
      </c>
      <c r="G272">
        <f>IF(G$2=0,"",IFERROR(TRIM(INDEX('Pegar estudiantes'!$A$1:$BZ$1001,271,G$2)&amp;""),""))</f>
        <v/>
      </c>
      <c r="H272">
        <f>IF(H$2=0,"",IFERROR(TRIM(INDEX('Pegar estudiantes'!$A$1:$BZ$1001,271,H$2)&amp;""),""))</f>
        <v/>
      </c>
      <c r="I272">
        <f>IF(I$2=0,"",IFERROR(TRIM(INDEX('Pegar estudiantes'!$A$1:$BZ$1001,271,I$2)&amp;""),""))</f>
        <v/>
      </c>
      <c r="J272">
        <f>IF(J$2=0,"",IFERROR(TRIM(INDEX('Pegar estudiantes'!$A$1:$BZ$1001,271,J$2)&amp;""),""))</f>
        <v/>
      </c>
      <c r="K272">
        <f>IF(K$2=0,"",IFERROR(TRIM(INDEX('Pegar estudiantes'!$A$1:$BZ$1001,271,K$2)&amp;""),""))</f>
        <v/>
      </c>
      <c r="L272" s="25">
        <f>IF(A272&lt;&gt;"",1,"")</f>
        <v/>
      </c>
      <c r="M272" s="25">
        <f>IF(L272=1,IF(ISNUMBER(FIND("#"&amp;MID(A272,1,1)&amp;"#","#0#1#2#3#4#5#6#7#8#9#")),IF(ISNUMBER(FIND("#"&amp;MID(A272,2,1)&amp;"#","#0#1#2#3#4#5#6#7#8#9#")),IF(AND(VALUE(LEFT(A272,2))&gt;=1,VALUE(LEFT(A272,2))&lt;=5),VALUE(LEFT(A272,2)),""),IF(AND(VALUE(LEFT(A272,1))&gt;=1,VALUE(LEFT(A272,1))&lt;=5),VALUE(LEFT(A272,1)),"")),""),"")</f>
        <v/>
      </c>
      <c r="N272" s="25">
        <f>IF(L272=1,IF(ISNUMBER(FIND("#"&amp;MID(H272,1,1)&amp;"#","#0#1#2#3#4#5#6#7#8#9#")),IF(ISNUMBER(FIND("#"&amp;MID(H272,2,1)&amp;"#","#0#1#2#3#4#5#6#7#8#9#")),IF(AND(VALUE(LEFT(H272,2))&gt;=1,VALUE(LEFT(H272,2))&lt;=5),VALUE(LEFT(H272,2)),""),IF(AND(VALUE(LEFT(H272,1))&gt;=1,VALUE(LEFT(H272,1))&lt;=5),VALUE(LEFT(H272,1)),"")),""),"")</f>
        <v/>
      </c>
      <c r="O272" s="25">
        <f>IF(AND(L272=1,B272&lt;&gt;""),SUBSTITUTE(SUBSTITUTE(SUBSTITUTE(SUBSTITUTE(SUBSTITUTE(SUBSTITUTE(SUBSTITUTE(SUBSTITUTE(SUBSTITUTE(SUBSTITUTE(SUBSTITUTE(SUBSTITUTE(LOWER(TRIM(B272)),"á","a"),"é","e"),"í","i"),"ó","o"),"ú","u"),"ü","u"),"ñ","n"),"à","a"),"è","e"),"ì","i"),"ò","o"),"ù","u"),"")</f>
        <v/>
      </c>
      <c r="P272" s="25">
        <f>IF(AND(L272=1,C272&lt;&gt;""),SUBSTITUTE(SUBSTITUTE(SUBSTITUTE(SUBSTITUTE(SUBSTITUTE(SUBSTITUTE(SUBSTITUTE(SUBSTITUTE(SUBSTITUTE(SUBSTITUTE(SUBSTITUTE(SUBSTITUTE(LOWER(TRIM(C272)),"á","a"),"é","e"),"í","i"),"ó","o"),"ú","u"),"ü","u"),"ñ","n"),"à","a"),"è","e"),"ì","i"),"ò","o"),"ù","u"),"")</f>
        <v/>
      </c>
      <c r="Q272" s="25">
        <f>IF(AND(L272=1,E272&lt;&gt;""),SUBSTITUTE(SUBSTITUTE(SUBSTITUTE(SUBSTITUTE(SUBSTITUTE(SUBSTITUTE(SUBSTITUTE(SUBSTITUTE(SUBSTITUTE(SUBSTITUTE(SUBSTITUTE(SUBSTITUTE(LOWER(TRIM(E272)),"á","a"),"é","e"),"í","i"),"ó","o"),"ú","u"),"ü","u"),"ñ","n"),"à","a"),"è","e"),"ì","i"),"ò","o"),"ù","u"),"")</f>
        <v/>
      </c>
      <c r="R272" s="25">
        <f>IF(AND(L272=1,I272&lt;&gt;""),SUBSTITUTE(SUBSTITUTE(SUBSTITUTE(SUBSTITUTE(SUBSTITUTE(SUBSTITUTE(SUBSTITUTE(SUBSTITUTE(SUBSTITUTE(SUBSTITUTE(SUBSTITUTE(SUBSTITUTE(LOWER(TRIM(I272)),"á","a"),"é","e"),"í","i"),"ó","o"),"ú","u"),"ü","u"),"ñ","n"),"à","a"),"è","e"),"ì","i"),"ò","o"),"ù","u"),"")</f>
        <v/>
      </c>
      <c r="S272" s="25">
        <f>IF(R272="","",IF(OR(R272="si",R272="tal vez"),1,0))</f>
        <v/>
      </c>
      <c r="T272" s="25">
        <f>IF(AND(L272=1,D272&lt;&gt;""),IF(IFERROR(COUNTIFS(D$3:D272,"="&amp;SUBSTITUTE(SUBSTITUTE(SUBSTITUTE(D272,"~","~~"),"*","~*"),"?","~?"),L$3:L272,1),0)=1,MAX(T$2:T271)+1,""),"")</f>
        <v/>
      </c>
      <c r="U272" s="25">
        <f>IF(T272="","",COUNTIFS($D$3:$D$1002,"="&amp;SUBSTITUTE(SUBSTITUTE(SUBSTITUTE(D272,"~","~~"),"*","~*"),"?","~?"),$L$3:$L$1002,1)*10000-T272)</f>
        <v/>
      </c>
      <c r="V272" s="25">
        <f>IF(AND(L272=1,J272&lt;&gt;""),IF(IFERROR(COUNTIFS(J$3:J272,"="&amp;SUBSTITUTE(SUBSTITUTE(SUBSTITUTE(J272,"~","~~"),"*","~*"),"?","~?"),L$3:L272,1),0)=1,MAX(V$2:V271)+1,""),"")</f>
        <v/>
      </c>
      <c r="W272" s="25">
        <f>IF(V272="","",COUNTIFS($J$3:$J$1002,"="&amp;SUBSTITUTE(SUBSTITUTE(SUBSTITUTE(J272,"~","~~"),"*","~*"),"?","~?"),$L$3:$L$1002,1)*10000-V272)</f>
        <v/>
      </c>
    </row>
    <row r="273">
      <c r="A273">
        <f>IF(A$2=0,"",IFERROR(TRIM(INDEX('Pegar estudiantes'!$A$1:$BZ$1001,272,A$2)&amp;""),""))</f>
        <v/>
      </c>
      <c r="B273">
        <f>IF(B$2=0,"",IFERROR(TRIM(INDEX('Pegar estudiantes'!$A$1:$BZ$1001,272,B$2)&amp;""),""))</f>
        <v/>
      </c>
      <c r="C273">
        <f>IF(C$2=0,"",IFERROR(TRIM(INDEX('Pegar estudiantes'!$A$1:$BZ$1001,272,C$2)&amp;""),""))</f>
        <v/>
      </c>
      <c r="D273">
        <f>IF(D$2=0,"",IFERROR(TRIM(INDEX('Pegar estudiantes'!$A$1:$BZ$1001,272,D$2)&amp;""),""))</f>
        <v/>
      </c>
      <c r="E273">
        <f>IF(E$2=0,"",IFERROR(TRIM(INDEX('Pegar estudiantes'!$A$1:$BZ$1001,272,E$2)&amp;""),""))</f>
        <v/>
      </c>
      <c r="F273">
        <f>IF(F$2=0,"",IFERROR(TRIM(INDEX('Pegar estudiantes'!$A$1:$BZ$1001,272,F$2)&amp;""),""))</f>
        <v/>
      </c>
      <c r="G273">
        <f>IF(G$2=0,"",IFERROR(TRIM(INDEX('Pegar estudiantes'!$A$1:$BZ$1001,272,G$2)&amp;""),""))</f>
        <v/>
      </c>
      <c r="H273">
        <f>IF(H$2=0,"",IFERROR(TRIM(INDEX('Pegar estudiantes'!$A$1:$BZ$1001,272,H$2)&amp;""),""))</f>
        <v/>
      </c>
      <c r="I273">
        <f>IF(I$2=0,"",IFERROR(TRIM(INDEX('Pegar estudiantes'!$A$1:$BZ$1001,272,I$2)&amp;""),""))</f>
        <v/>
      </c>
      <c r="J273">
        <f>IF(J$2=0,"",IFERROR(TRIM(INDEX('Pegar estudiantes'!$A$1:$BZ$1001,272,J$2)&amp;""),""))</f>
        <v/>
      </c>
      <c r="K273">
        <f>IF(K$2=0,"",IFERROR(TRIM(INDEX('Pegar estudiantes'!$A$1:$BZ$1001,272,K$2)&amp;""),""))</f>
        <v/>
      </c>
      <c r="L273" s="25">
        <f>IF(A273&lt;&gt;"",1,"")</f>
        <v/>
      </c>
      <c r="M273" s="25">
        <f>IF(L273=1,IF(ISNUMBER(FIND("#"&amp;MID(A273,1,1)&amp;"#","#0#1#2#3#4#5#6#7#8#9#")),IF(ISNUMBER(FIND("#"&amp;MID(A273,2,1)&amp;"#","#0#1#2#3#4#5#6#7#8#9#")),IF(AND(VALUE(LEFT(A273,2))&gt;=1,VALUE(LEFT(A273,2))&lt;=5),VALUE(LEFT(A273,2)),""),IF(AND(VALUE(LEFT(A273,1))&gt;=1,VALUE(LEFT(A273,1))&lt;=5),VALUE(LEFT(A273,1)),"")),""),"")</f>
        <v/>
      </c>
      <c r="N273" s="25">
        <f>IF(L273=1,IF(ISNUMBER(FIND("#"&amp;MID(H273,1,1)&amp;"#","#0#1#2#3#4#5#6#7#8#9#")),IF(ISNUMBER(FIND("#"&amp;MID(H273,2,1)&amp;"#","#0#1#2#3#4#5#6#7#8#9#")),IF(AND(VALUE(LEFT(H273,2))&gt;=1,VALUE(LEFT(H273,2))&lt;=5),VALUE(LEFT(H273,2)),""),IF(AND(VALUE(LEFT(H273,1))&gt;=1,VALUE(LEFT(H273,1))&lt;=5),VALUE(LEFT(H273,1)),"")),""),"")</f>
        <v/>
      </c>
      <c r="O273" s="25">
        <f>IF(AND(L273=1,B273&lt;&gt;""),SUBSTITUTE(SUBSTITUTE(SUBSTITUTE(SUBSTITUTE(SUBSTITUTE(SUBSTITUTE(SUBSTITUTE(SUBSTITUTE(SUBSTITUTE(SUBSTITUTE(SUBSTITUTE(SUBSTITUTE(LOWER(TRIM(B273)),"á","a"),"é","e"),"í","i"),"ó","o"),"ú","u"),"ü","u"),"ñ","n"),"à","a"),"è","e"),"ì","i"),"ò","o"),"ù","u"),"")</f>
        <v/>
      </c>
      <c r="P273" s="25">
        <f>IF(AND(L273=1,C273&lt;&gt;""),SUBSTITUTE(SUBSTITUTE(SUBSTITUTE(SUBSTITUTE(SUBSTITUTE(SUBSTITUTE(SUBSTITUTE(SUBSTITUTE(SUBSTITUTE(SUBSTITUTE(SUBSTITUTE(SUBSTITUTE(LOWER(TRIM(C273)),"á","a"),"é","e"),"í","i"),"ó","o"),"ú","u"),"ü","u"),"ñ","n"),"à","a"),"è","e"),"ì","i"),"ò","o"),"ù","u"),"")</f>
        <v/>
      </c>
      <c r="Q273" s="25">
        <f>IF(AND(L273=1,E273&lt;&gt;""),SUBSTITUTE(SUBSTITUTE(SUBSTITUTE(SUBSTITUTE(SUBSTITUTE(SUBSTITUTE(SUBSTITUTE(SUBSTITUTE(SUBSTITUTE(SUBSTITUTE(SUBSTITUTE(SUBSTITUTE(LOWER(TRIM(E273)),"á","a"),"é","e"),"í","i"),"ó","o"),"ú","u"),"ü","u"),"ñ","n"),"à","a"),"è","e"),"ì","i"),"ò","o"),"ù","u"),"")</f>
        <v/>
      </c>
      <c r="R273" s="25">
        <f>IF(AND(L273=1,I273&lt;&gt;""),SUBSTITUTE(SUBSTITUTE(SUBSTITUTE(SUBSTITUTE(SUBSTITUTE(SUBSTITUTE(SUBSTITUTE(SUBSTITUTE(SUBSTITUTE(SUBSTITUTE(SUBSTITUTE(SUBSTITUTE(LOWER(TRIM(I273)),"á","a"),"é","e"),"í","i"),"ó","o"),"ú","u"),"ü","u"),"ñ","n"),"à","a"),"è","e"),"ì","i"),"ò","o"),"ù","u"),"")</f>
        <v/>
      </c>
      <c r="S273" s="25">
        <f>IF(R273="","",IF(OR(R273="si",R273="tal vez"),1,0))</f>
        <v/>
      </c>
      <c r="T273" s="25">
        <f>IF(AND(L273=1,D273&lt;&gt;""),IF(IFERROR(COUNTIFS(D$3:D273,"="&amp;SUBSTITUTE(SUBSTITUTE(SUBSTITUTE(D273,"~","~~"),"*","~*"),"?","~?"),L$3:L273,1),0)=1,MAX(T$2:T272)+1,""),"")</f>
        <v/>
      </c>
      <c r="U273" s="25">
        <f>IF(T273="","",COUNTIFS($D$3:$D$1002,"="&amp;SUBSTITUTE(SUBSTITUTE(SUBSTITUTE(D273,"~","~~"),"*","~*"),"?","~?"),$L$3:$L$1002,1)*10000-T273)</f>
        <v/>
      </c>
      <c r="V273" s="25">
        <f>IF(AND(L273=1,J273&lt;&gt;""),IF(IFERROR(COUNTIFS(J$3:J273,"="&amp;SUBSTITUTE(SUBSTITUTE(SUBSTITUTE(J273,"~","~~"),"*","~*"),"?","~?"),L$3:L273,1),0)=1,MAX(V$2:V272)+1,""),"")</f>
        <v/>
      </c>
      <c r="W273" s="25">
        <f>IF(V273="","",COUNTIFS($J$3:$J$1002,"="&amp;SUBSTITUTE(SUBSTITUTE(SUBSTITUTE(J273,"~","~~"),"*","~*"),"?","~?"),$L$3:$L$1002,1)*10000-V273)</f>
        <v/>
      </c>
    </row>
    <row r="274">
      <c r="A274">
        <f>IF(A$2=0,"",IFERROR(TRIM(INDEX('Pegar estudiantes'!$A$1:$BZ$1001,273,A$2)&amp;""),""))</f>
        <v/>
      </c>
      <c r="B274">
        <f>IF(B$2=0,"",IFERROR(TRIM(INDEX('Pegar estudiantes'!$A$1:$BZ$1001,273,B$2)&amp;""),""))</f>
        <v/>
      </c>
      <c r="C274">
        <f>IF(C$2=0,"",IFERROR(TRIM(INDEX('Pegar estudiantes'!$A$1:$BZ$1001,273,C$2)&amp;""),""))</f>
        <v/>
      </c>
      <c r="D274">
        <f>IF(D$2=0,"",IFERROR(TRIM(INDEX('Pegar estudiantes'!$A$1:$BZ$1001,273,D$2)&amp;""),""))</f>
        <v/>
      </c>
      <c r="E274">
        <f>IF(E$2=0,"",IFERROR(TRIM(INDEX('Pegar estudiantes'!$A$1:$BZ$1001,273,E$2)&amp;""),""))</f>
        <v/>
      </c>
      <c r="F274">
        <f>IF(F$2=0,"",IFERROR(TRIM(INDEX('Pegar estudiantes'!$A$1:$BZ$1001,273,F$2)&amp;""),""))</f>
        <v/>
      </c>
      <c r="G274">
        <f>IF(G$2=0,"",IFERROR(TRIM(INDEX('Pegar estudiantes'!$A$1:$BZ$1001,273,G$2)&amp;""),""))</f>
        <v/>
      </c>
      <c r="H274">
        <f>IF(H$2=0,"",IFERROR(TRIM(INDEX('Pegar estudiantes'!$A$1:$BZ$1001,273,H$2)&amp;""),""))</f>
        <v/>
      </c>
      <c r="I274">
        <f>IF(I$2=0,"",IFERROR(TRIM(INDEX('Pegar estudiantes'!$A$1:$BZ$1001,273,I$2)&amp;""),""))</f>
        <v/>
      </c>
      <c r="J274">
        <f>IF(J$2=0,"",IFERROR(TRIM(INDEX('Pegar estudiantes'!$A$1:$BZ$1001,273,J$2)&amp;""),""))</f>
        <v/>
      </c>
      <c r="K274">
        <f>IF(K$2=0,"",IFERROR(TRIM(INDEX('Pegar estudiantes'!$A$1:$BZ$1001,273,K$2)&amp;""),""))</f>
        <v/>
      </c>
      <c r="L274" s="25">
        <f>IF(A274&lt;&gt;"",1,"")</f>
        <v/>
      </c>
      <c r="M274" s="25">
        <f>IF(L274=1,IF(ISNUMBER(FIND("#"&amp;MID(A274,1,1)&amp;"#","#0#1#2#3#4#5#6#7#8#9#")),IF(ISNUMBER(FIND("#"&amp;MID(A274,2,1)&amp;"#","#0#1#2#3#4#5#6#7#8#9#")),IF(AND(VALUE(LEFT(A274,2))&gt;=1,VALUE(LEFT(A274,2))&lt;=5),VALUE(LEFT(A274,2)),""),IF(AND(VALUE(LEFT(A274,1))&gt;=1,VALUE(LEFT(A274,1))&lt;=5),VALUE(LEFT(A274,1)),"")),""),"")</f>
        <v/>
      </c>
      <c r="N274" s="25">
        <f>IF(L274=1,IF(ISNUMBER(FIND("#"&amp;MID(H274,1,1)&amp;"#","#0#1#2#3#4#5#6#7#8#9#")),IF(ISNUMBER(FIND("#"&amp;MID(H274,2,1)&amp;"#","#0#1#2#3#4#5#6#7#8#9#")),IF(AND(VALUE(LEFT(H274,2))&gt;=1,VALUE(LEFT(H274,2))&lt;=5),VALUE(LEFT(H274,2)),""),IF(AND(VALUE(LEFT(H274,1))&gt;=1,VALUE(LEFT(H274,1))&lt;=5),VALUE(LEFT(H274,1)),"")),""),"")</f>
        <v/>
      </c>
      <c r="O274" s="25">
        <f>IF(AND(L274=1,B274&lt;&gt;""),SUBSTITUTE(SUBSTITUTE(SUBSTITUTE(SUBSTITUTE(SUBSTITUTE(SUBSTITUTE(SUBSTITUTE(SUBSTITUTE(SUBSTITUTE(SUBSTITUTE(SUBSTITUTE(SUBSTITUTE(LOWER(TRIM(B274)),"á","a"),"é","e"),"í","i"),"ó","o"),"ú","u"),"ü","u"),"ñ","n"),"à","a"),"è","e"),"ì","i"),"ò","o"),"ù","u"),"")</f>
        <v/>
      </c>
      <c r="P274" s="25">
        <f>IF(AND(L274=1,C274&lt;&gt;""),SUBSTITUTE(SUBSTITUTE(SUBSTITUTE(SUBSTITUTE(SUBSTITUTE(SUBSTITUTE(SUBSTITUTE(SUBSTITUTE(SUBSTITUTE(SUBSTITUTE(SUBSTITUTE(SUBSTITUTE(LOWER(TRIM(C274)),"á","a"),"é","e"),"í","i"),"ó","o"),"ú","u"),"ü","u"),"ñ","n"),"à","a"),"è","e"),"ì","i"),"ò","o"),"ù","u"),"")</f>
        <v/>
      </c>
      <c r="Q274" s="25">
        <f>IF(AND(L274=1,E274&lt;&gt;""),SUBSTITUTE(SUBSTITUTE(SUBSTITUTE(SUBSTITUTE(SUBSTITUTE(SUBSTITUTE(SUBSTITUTE(SUBSTITUTE(SUBSTITUTE(SUBSTITUTE(SUBSTITUTE(SUBSTITUTE(LOWER(TRIM(E274)),"á","a"),"é","e"),"í","i"),"ó","o"),"ú","u"),"ü","u"),"ñ","n"),"à","a"),"è","e"),"ì","i"),"ò","o"),"ù","u"),"")</f>
        <v/>
      </c>
      <c r="R274" s="25">
        <f>IF(AND(L274=1,I274&lt;&gt;""),SUBSTITUTE(SUBSTITUTE(SUBSTITUTE(SUBSTITUTE(SUBSTITUTE(SUBSTITUTE(SUBSTITUTE(SUBSTITUTE(SUBSTITUTE(SUBSTITUTE(SUBSTITUTE(SUBSTITUTE(LOWER(TRIM(I274)),"á","a"),"é","e"),"í","i"),"ó","o"),"ú","u"),"ü","u"),"ñ","n"),"à","a"),"è","e"),"ì","i"),"ò","o"),"ù","u"),"")</f>
        <v/>
      </c>
      <c r="S274" s="25">
        <f>IF(R274="","",IF(OR(R274="si",R274="tal vez"),1,0))</f>
        <v/>
      </c>
      <c r="T274" s="25">
        <f>IF(AND(L274=1,D274&lt;&gt;""),IF(IFERROR(COUNTIFS(D$3:D274,"="&amp;SUBSTITUTE(SUBSTITUTE(SUBSTITUTE(D274,"~","~~"),"*","~*"),"?","~?"),L$3:L274,1),0)=1,MAX(T$2:T273)+1,""),"")</f>
        <v/>
      </c>
      <c r="U274" s="25">
        <f>IF(T274="","",COUNTIFS($D$3:$D$1002,"="&amp;SUBSTITUTE(SUBSTITUTE(SUBSTITUTE(D274,"~","~~"),"*","~*"),"?","~?"),$L$3:$L$1002,1)*10000-T274)</f>
        <v/>
      </c>
      <c r="V274" s="25">
        <f>IF(AND(L274=1,J274&lt;&gt;""),IF(IFERROR(COUNTIFS(J$3:J274,"="&amp;SUBSTITUTE(SUBSTITUTE(SUBSTITUTE(J274,"~","~~"),"*","~*"),"?","~?"),L$3:L274,1),0)=1,MAX(V$2:V273)+1,""),"")</f>
        <v/>
      </c>
      <c r="W274" s="25">
        <f>IF(V274="","",COUNTIFS($J$3:$J$1002,"="&amp;SUBSTITUTE(SUBSTITUTE(SUBSTITUTE(J274,"~","~~"),"*","~*"),"?","~?"),$L$3:$L$1002,1)*10000-V274)</f>
        <v/>
      </c>
    </row>
    <row r="275">
      <c r="A275">
        <f>IF(A$2=0,"",IFERROR(TRIM(INDEX('Pegar estudiantes'!$A$1:$BZ$1001,274,A$2)&amp;""),""))</f>
        <v/>
      </c>
      <c r="B275">
        <f>IF(B$2=0,"",IFERROR(TRIM(INDEX('Pegar estudiantes'!$A$1:$BZ$1001,274,B$2)&amp;""),""))</f>
        <v/>
      </c>
      <c r="C275">
        <f>IF(C$2=0,"",IFERROR(TRIM(INDEX('Pegar estudiantes'!$A$1:$BZ$1001,274,C$2)&amp;""),""))</f>
        <v/>
      </c>
      <c r="D275">
        <f>IF(D$2=0,"",IFERROR(TRIM(INDEX('Pegar estudiantes'!$A$1:$BZ$1001,274,D$2)&amp;""),""))</f>
        <v/>
      </c>
      <c r="E275">
        <f>IF(E$2=0,"",IFERROR(TRIM(INDEX('Pegar estudiantes'!$A$1:$BZ$1001,274,E$2)&amp;""),""))</f>
        <v/>
      </c>
      <c r="F275">
        <f>IF(F$2=0,"",IFERROR(TRIM(INDEX('Pegar estudiantes'!$A$1:$BZ$1001,274,F$2)&amp;""),""))</f>
        <v/>
      </c>
      <c r="G275">
        <f>IF(G$2=0,"",IFERROR(TRIM(INDEX('Pegar estudiantes'!$A$1:$BZ$1001,274,G$2)&amp;""),""))</f>
        <v/>
      </c>
      <c r="H275">
        <f>IF(H$2=0,"",IFERROR(TRIM(INDEX('Pegar estudiantes'!$A$1:$BZ$1001,274,H$2)&amp;""),""))</f>
        <v/>
      </c>
      <c r="I275">
        <f>IF(I$2=0,"",IFERROR(TRIM(INDEX('Pegar estudiantes'!$A$1:$BZ$1001,274,I$2)&amp;""),""))</f>
        <v/>
      </c>
      <c r="J275">
        <f>IF(J$2=0,"",IFERROR(TRIM(INDEX('Pegar estudiantes'!$A$1:$BZ$1001,274,J$2)&amp;""),""))</f>
        <v/>
      </c>
      <c r="K275">
        <f>IF(K$2=0,"",IFERROR(TRIM(INDEX('Pegar estudiantes'!$A$1:$BZ$1001,274,K$2)&amp;""),""))</f>
        <v/>
      </c>
      <c r="L275" s="25">
        <f>IF(A275&lt;&gt;"",1,"")</f>
        <v/>
      </c>
      <c r="M275" s="25">
        <f>IF(L275=1,IF(ISNUMBER(FIND("#"&amp;MID(A275,1,1)&amp;"#","#0#1#2#3#4#5#6#7#8#9#")),IF(ISNUMBER(FIND("#"&amp;MID(A275,2,1)&amp;"#","#0#1#2#3#4#5#6#7#8#9#")),IF(AND(VALUE(LEFT(A275,2))&gt;=1,VALUE(LEFT(A275,2))&lt;=5),VALUE(LEFT(A275,2)),""),IF(AND(VALUE(LEFT(A275,1))&gt;=1,VALUE(LEFT(A275,1))&lt;=5),VALUE(LEFT(A275,1)),"")),""),"")</f>
        <v/>
      </c>
      <c r="N275" s="25">
        <f>IF(L275=1,IF(ISNUMBER(FIND("#"&amp;MID(H275,1,1)&amp;"#","#0#1#2#3#4#5#6#7#8#9#")),IF(ISNUMBER(FIND("#"&amp;MID(H275,2,1)&amp;"#","#0#1#2#3#4#5#6#7#8#9#")),IF(AND(VALUE(LEFT(H275,2))&gt;=1,VALUE(LEFT(H275,2))&lt;=5),VALUE(LEFT(H275,2)),""),IF(AND(VALUE(LEFT(H275,1))&gt;=1,VALUE(LEFT(H275,1))&lt;=5),VALUE(LEFT(H275,1)),"")),""),"")</f>
        <v/>
      </c>
      <c r="O275" s="25">
        <f>IF(AND(L275=1,B275&lt;&gt;""),SUBSTITUTE(SUBSTITUTE(SUBSTITUTE(SUBSTITUTE(SUBSTITUTE(SUBSTITUTE(SUBSTITUTE(SUBSTITUTE(SUBSTITUTE(SUBSTITUTE(SUBSTITUTE(SUBSTITUTE(LOWER(TRIM(B275)),"á","a"),"é","e"),"í","i"),"ó","o"),"ú","u"),"ü","u"),"ñ","n"),"à","a"),"è","e"),"ì","i"),"ò","o"),"ù","u"),"")</f>
        <v/>
      </c>
      <c r="P275" s="25">
        <f>IF(AND(L275=1,C275&lt;&gt;""),SUBSTITUTE(SUBSTITUTE(SUBSTITUTE(SUBSTITUTE(SUBSTITUTE(SUBSTITUTE(SUBSTITUTE(SUBSTITUTE(SUBSTITUTE(SUBSTITUTE(SUBSTITUTE(SUBSTITUTE(LOWER(TRIM(C275)),"á","a"),"é","e"),"í","i"),"ó","o"),"ú","u"),"ü","u"),"ñ","n"),"à","a"),"è","e"),"ì","i"),"ò","o"),"ù","u"),"")</f>
        <v/>
      </c>
      <c r="Q275" s="25">
        <f>IF(AND(L275=1,E275&lt;&gt;""),SUBSTITUTE(SUBSTITUTE(SUBSTITUTE(SUBSTITUTE(SUBSTITUTE(SUBSTITUTE(SUBSTITUTE(SUBSTITUTE(SUBSTITUTE(SUBSTITUTE(SUBSTITUTE(SUBSTITUTE(LOWER(TRIM(E275)),"á","a"),"é","e"),"í","i"),"ó","o"),"ú","u"),"ü","u"),"ñ","n"),"à","a"),"è","e"),"ì","i"),"ò","o"),"ù","u"),"")</f>
        <v/>
      </c>
      <c r="R275" s="25">
        <f>IF(AND(L275=1,I275&lt;&gt;""),SUBSTITUTE(SUBSTITUTE(SUBSTITUTE(SUBSTITUTE(SUBSTITUTE(SUBSTITUTE(SUBSTITUTE(SUBSTITUTE(SUBSTITUTE(SUBSTITUTE(SUBSTITUTE(SUBSTITUTE(LOWER(TRIM(I275)),"á","a"),"é","e"),"í","i"),"ó","o"),"ú","u"),"ü","u"),"ñ","n"),"à","a"),"è","e"),"ì","i"),"ò","o"),"ù","u"),"")</f>
        <v/>
      </c>
      <c r="S275" s="25">
        <f>IF(R275="","",IF(OR(R275="si",R275="tal vez"),1,0))</f>
        <v/>
      </c>
      <c r="T275" s="25">
        <f>IF(AND(L275=1,D275&lt;&gt;""),IF(IFERROR(COUNTIFS(D$3:D275,"="&amp;SUBSTITUTE(SUBSTITUTE(SUBSTITUTE(D275,"~","~~"),"*","~*"),"?","~?"),L$3:L275,1),0)=1,MAX(T$2:T274)+1,""),"")</f>
        <v/>
      </c>
      <c r="U275" s="25">
        <f>IF(T275="","",COUNTIFS($D$3:$D$1002,"="&amp;SUBSTITUTE(SUBSTITUTE(SUBSTITUTE(D275,"~","~~"),"*","~*"),"?","~?"),$L$3:$L$1002,1)*10000-T275)</f>
        <v/>
      </c>
      <c r="V275" s="25">
        <f>IF(AND(L275=1,J275&lt;&gt;""),IF(IFERROR(COUNTIFS(J$3:J275,"="&amp;SUBSTITUTE(SUBSTITUTE(SUBSTITUTE(J275,"~","~~"),"*","~*"),"?","~?"),L$3:L275,1),0)=1,MAX(V$2:V274)+1,""),"")</f>
        <v/>
      </c>
      <c r="W275" s="25">
        <f>IF(V275="","",COUNTIFS($J$3:$J$1002,"="&amp;SUBSTITUTE(SUBSTITUTE(SUBSTITUTE(J275,"~","~~"),"*","~*"),"?","~?"),$L$3:$L$1002,1)*10000-V275)</f>
        <v/>
      </c>
    </row>
    <row r="276">
      <c r="A276">
        <f>IF(A$2=0,"",IFERROR(TRIM(INDEX('Pegar estudiantes'!$A$1:$BZ$1001,275,A$2)&amp;""),""))</f>
        <v/>
      </c>
      <c r="B276">
        <f>IF(B$2=0,"",IFERROR(TRIM(INDEX('Pegar estudiantes'!$A$1:$BZ$1001,275,B$2)&amp;""),""))</f>
        <v/>
      </c>
      <c r="C276">
        <f>IF(C$2=0,"",IFERROR(TRIM(INDEX('Pegar estudiantes'!$A$1:$BZ$1001,275,C$2)&amp;""),""))</f>
        <v/>
      </c>
      <c r="D276">
        <f>IF(D$2=0,"",IFERROR(TRIM(INDEX('Pegar estudiantes'!$A$1:$BZ$1001,275,D$2)&amp;""),""))</f>
        <v/>
      </c>
      <c r="E276">
        <f>IF(E$2=0,"",IFERROR(TRIM(INDEX('Pegar estudiantes'!$A$1:$BZ$1001,275,E$2)&amp;""),""))</f>
        <v/>
      </c>
      <c r="F276">
        <f>IF(F$2=0,"",IFERROR(TRIM(INDEX('Pegar estudiantes'!$A$1:$BZ$1001,275,F$2)&amp;""),""))</f>
        <v/>
      </c>
      <c r="G276">
        <f>IF(G$2=0,"",IFERROR(TRIM(INDEX('Pegar estudiantes'!$A$1:$BZ$1001,275,G$2)&amp;""),""))</f>
        <v/>
      </c>
      <c r="H276">
        <f>IF(H$2=0,"",IFERROR(TRIM(INDEX('Pegar estudiantes'!$A$1:$BZ$1001,275,H$2)&amp;""),""))</f>
        <v/>
      </c>
      <c r="I276">
        <f>IF(I$2=0,"",IFERROR(TRIM(INDEX('Pegar estudiantes'!$A$1:$BZ$1001,275,I$2)&amp;""),""))</f>
        <v/>
      </c>
      <c r="J276">
        <f>IF(J$2=0,"",IFERROR(TRIM(INDEX('Pegar estudiantes'!$A$1:$BZ$1001,275,J$2)&amp;""),""))</f>
        <v/>
      </c>
      <c r="K276">
        <f>IF(K$2=0,"",IFERROR(TRIM(INDEX('Pegar estudiantes'!$A$1:$BZ$1001,275,K$2)&amp;""),""))</f>
        <v/>
      </c>
      <c r="L276" s="25">
        <f>IF(A276&lt;&gt;"",1,"")</f>
        <v/>
      </c>
      <c r="M276" s="25">
        <f>IF(L276=1,IF(ISNUMBER(FIND("#"&amp;MID(A276,1,1)&amp;"#","#0#1#2#3#4#5#6#7#8#9#")),IF(ISNUMBER(FIND("#"&amp;MID(A276,2,1)&amp;"#","#0#1#2#3#4#5#6#7#8#9#")),IF(AND(VALUE(LEFT(A276,2))&gt;=1,VALUE(LEFT(A276,2))&lt;=5),VALUE(LEFT(A276,2)),""),IF(AND(VALUE(LEFT(A276,1))&gt;=1,VALUE(LEFT(A276,1))&lt;=5),VALUE(LEFT(A276,1)),"")),""),"")</f>
        <v/>
      </c>
      <c r="N276" s="25">
        <f>IF(L276=1,IF(ISNUMBER(FIND("#"&amp;MID(H276,1,1)&amp;"#","#0#1#2#3#4#5#6#7#8#9#")),IF(ISNUMBER(FIND("#"&amp;MID(H276,2,1)&amp;"#","#0#1#2#3#4#5#6#7#8#9#")),IF(AND(VALUE(LEFT(H276,2))&gt;=1,VALUE(LEFT(H276,2))&lt;=5),VALUE(LEFT(H276,2)),""),IF(AND(VALUE(LEFT(H276,1))&gt;=1,VALUE(LEFT(H276,1))&lt;=5),VALUE(LEFT(H276,1)),"")),""),"")</f>
        <v/>
      </c>
      <c r="O276" s="25">
        <f>IF(AND(L276=1,B276&lt;&gt;""),SUBSTITUTE(SUBSTITUTE(SUBSTITUTE(SUBSTITUTE(SUBSTITUTE(SUBSTITUTE(SUBSTITUTE(SUBSTITUTE(SUBSTITUTE(SUBSTITUTE(SUBSTITUTE(SUBSTITUTE(LOWER(TRIM(B276)),"á","a"),"é","e"),"í","i"),"ó","o"),"ú","u"),"ü","u"),"ñ","n"),"à","a"),"è","e"),"ì","i"),"ò","o"),"ù","u"),"")</f>
        <v/>
      </c>
      <c r="P276" s="25">
        <f>IF(AND(L276=1,C276&lt;&gt;""),SUBSTITUTE(SUBSTITUTE(SUBSTITUTE(SUBSTITUTE(SUBSTITUTE(SUBSTITUTE(SUBSTITUTE(SUBSTITUTE(SUBSTITUTE(SUBSTITUTE(SUBSTITUTE(SUBSTITUTE(LOWER(TRIM(C276)),"á","a"),"é","e"),"í","i"),"ó","o"),"ú","u"),"ü","u"),"ñ","n"),"à","a"),"è","e"),"ì","i"),"ò","o"),"ù","u"),"")</f>
        <v/>
      </c>
      <c r="Q276" s="25">
        <f>IF(AND(L276=1,E276&lt;&gt;""),SUBSTITUTE(SUBSTITUTE(SUBSTITUTE(SUBSTITUTE(SUBSTITUTE(SUBSTITUTE(SUBSTITUTE(SUBSTITUTE(SUBSTITUTE(SUBSTITUTE(SUBSTITUTE(SUBSTITUTE(LOWER(TRIM(E276)),"á","a"),"é","e"),"í","i"),"ó","o"),"ú","u"),"ü","u"),"ñ","n"),"à","a"),"è","e"),"ì","i"),"ò","o"),"ù","u"),"")</f>
        <v/>
      </c>
      <c r="R276" s="25">
        <f>IF(AND(L276=1,I276&lt;&gt;""),SUBSTITUTE(SUBSTITUTE(SUBSTITUTE(SUBSTITUTE(SUBSTITUTE(SUBSTITUTE(SUBSTITUTE(SUBSTITUTE(SUBSTITUTE(SUBSTITUTE(SUBSTITUTE(SUBSTITUTE(LOWER(TRIM(I276)),"á","a"),"é","e"),"í","i"),"ó","o"),"ú","u"),"ü","u"),"ñ","n"),"à","a"),"è","e"),"ì","i"),"ò","o"),"ù","u"),"")</f>
        <v/>
      </c>
      <c r="S276" s="25">
        <f>IF(R276="","",IF(OR(R276="si",R276="tal vez"),1,0))</f>
        <v/>
      </c>
      <c r="T276" s="25">
        <f>IF(AND(L276=1,D276&lt;&gt;""),IF(IFERROR(COUNTIFS(D$3:D276,"="&amp;SUBSTITUTE(SUBSTITUTE(SUBSTITUTE(D276,"~","~~"),"*","~*"),"?","~?"),L$3:L276,1),0)=1,MAX(T$2:T275)+1,""),"")</f>
        <v/>
      </c>
      <c r="U276" s="25">
        <f>IF(T276="","",COUNTIFS($D$3:$D$1002,"="&amp;SUBSTITUTE(SUBSTITUTE(SUBSTITUTE(D276,"~","~~"),"*","~*"),"?","~?"),$L$3:$L$1002,1)*10000-T276)</f>
        <v/>
      </c>
      <c r="V276" s="25">
        <f>IF(AND(L276=1,J276&lt;&gt;""),IF(IFERROR(COUNTIFS(J$3:J276,"="&amp;SUBSTITUTE(SUBSTITUTE(SUBSTITUTE(J276,"~","~~"),"*","~*"),"?","~?"),L$3:L276,1),0)=1,MAX(V$2:V275)+1,""),"")</f>
        <v/>
      </c>
      <c r="W276" s="25">
        <f>IF(V276="","",COUNTIFS($J$3:$J$1002,"="&amp;SUBSTITUTE(SUBSTITUTE(SUBSTITUTE(J276,"~","~~"),"*","~*"),"?","~?"),$L$3:$L$1002,1)*10000-V276)</f>
        <v/>
      </c>
    </row>
    <row r="277">
      <c r="A277">
        <f>IF(A$2=0,"",IFERROR(TRIM(INDEX('Pegar estudiantes'!$A$1:$BZ$1001,276,A$2)&amp;""),""))</f>
        <v/>
      </c>
      <c r="B277">
        <f>IF(B$2=0,"",IFERROR(TRIM(INDEX('Pegar estudiantes'!$A$1:$BZ$1001,276,B$2)&amp;""),""))</f>
        <v/>
      </c>
      <c r="C277">
        <f>IF(C$2=0,"",IFERROR(TRIM(INDEX('Pegar estudiantes'!$A$1:$BZ$1001,276,C$2)&amp;""),""))</f>
        <v/>
      </c>
      <c r="D277">
        <f>IF(D$2=0,"",IFERROR(TRIM(INDEX('Pegar estudiantes'!$A$1:$BZ$1001,276,D$2)&amp;""),""))</f>
        <v/>
      </c>
      <c r="E277">
        <f>IF(E$2=0,"",IFERROR(TRIM(INDEX('Pegar estudiantes'!$A$1:$BZ$1001,276,E$2)&amp;""),""))</f>
        <v/>
      </c>
      <c r="F277">
        <f>IF(F$2=0,"",IFERROR(TRIM(INDEX('Pegar estudiantes'!$A$1:$BZ$1001,276,F$2)&amp;""),""))</f>
        <v/>
      </c>
      <c r="G277">
        <f>IF(G$2=0,"",IFERROR(TRIM(INDEX('Pegar estudiantes'!$A$1:$BZ$1001,276,G$2)&amp;""),""))</f>
        <v/>
      </c>
      <c r="H277">
        <f>IF(H$2=0,"",IFERROR(TRIM(INDEX('Pegar estudiantes'!$A$1:$BZ$1001,276,H$2)&amp;""),""))</f>
        <v/>
      </c>
      <c r="I277">
        <f>IF(I$2=0,"",IFERROR(TRIM(INDEX('Pegar estudiantes'!$A$1:$BZ$1001,276,I$2)&amp;""),""))</f>
        <v/>
      </c>
      <c r="J277">
        <f>IF(J$2=0,"",IFERROR(TRIM(INDEX('Pegar estudiantes'!$A$1:$BZ$1001,276,J$2)&amp;""),""))</f>
        <v/>
      </c>
      <c r="K277">
        <f>IF(K$2=0,"",IFERROR(TRIM(INDEX('Pegar estudiantes'!$A$1:$BZ$1001,276,K$2)&amp;""),""))</f>
        <v/>
      </c>
      <c r="L277" s="25">
        <f>IF(A277&lt;&gt;"",1,"")</f>
        <v/>
      </c>
      <c r="M277" s="25">
        <f>IF(L277=1,IF(ISNUMBER(FIND("#"&amp;MID(A277,1,1)&amp;"#","#0#1#2#3#4#5#6#7#8#9#")),IF(ISNUMBER(FIND("#"&amp;MID(A277,2,1)&amp;"#","#0#1#2#3#4#5#6#7#8#9#")),IF(AND(VALUE(LEFT(A277,2))&gt;=1,VALUE(LEFT(A277,2))&lt;=5),VALUE(LEFT(A277,2)),""),IF(AND(VALUE(LEFT(A277,1))&gt;=1,VALUE(LEFT(A277,1))&lt;=5),VALUE(LEFT(A277,1)),"")),""),"")</f>
        <v/>
      </c>
      <c r="N277" s="25">
        <f>IF(L277=1,IF(ISNUMBER(FIND("#"&amp;MID(H277,1,1)&amp;"#","#0#1#2#3#4#5#6#7#8#9#")),IF(ISNUMBER(FIND("#"&amp;MID(H277,2,1)&amp;"#","#0#1#2#3#4#5#6#7#8#9#")),IF(AND(VALUE(LEFT(H277,2))&gt;=1,VALUE(LEFT(H277,2))&lt;=5),VALUE(LEFT(H277,2)),""),IF(AND(VALUE(LEFT(H277,1))&gt;=1,VALUE(LEFT(H277,1))&lt;=5),VALUE(LEFT(H277,1)),"")),""),"")</f>
        <v/>
      </c>
      <c r="O277" s="25">
        <f>IF(AND(L277=1,B277&lt;&gt;""),SUBSTITUTE(SUBSTITUTE(SUBSTITUTE(SUBSTITUTE(SUBSTITUTE(SUBSTITUTE(SUBSTITUTE(SUBSTITUTE(SUBSTITUTE(SUBSTITUTE(SUBSTITUTE(SUBSTITUTE(LOWER(TRIM(B277)),"á","a"),"é","e"),"í","i"),"ó","o"),"ú","u"),"ü","u"),"ñ","n"),"à","a"),"è","e"),"ì","i"),"ò","o"),"ù","u"),"")</f>
        <v/>
      </c>
      <c r="P277" s="25">
        <f>IF(AND(L277=1,C277&lt;&gt;""),SUBSTITUTE(SUBSTITUTE(SUBSTITUTE(SUBSTITUTE(SUBSTITUTE(SUBSTITUTE(SUBSTITUTE(SUBSTITUTE(SUBSTITUTE(SUBSTITUTE(SUBSTITUTE(SUBSTITUTE(LOWER(TRIM(C277)),"á","a"),"é","e"),"í","i"),"ó","o"),"ú","u"),"ü","u"),"ñ","n"),"à","a"),"è","e"),"ì","i"),"ò","o"),"ù","u"),"")</f>
        <v/>
      </c>
      <c r="Q277" s="25">
        <f>IF(AND(L277=1,E277&lt;&gt;""),SUBSTITUTE(SUBSTITUTE(SUBSTITUTE(SUBSTITUTE(SUBSTITUTE(SUBSTITUTE(SUBSTITUTE(SUBSTITUTE(SUBSTITUTE(SUBSTITUTE(SUBSTITUTE(SUBSTITUTE(LOWER(TRIM(E277)),"á","a"),"é","e"),"í","i"),"ó","o"),"ú","u"),"ü","u"),"ñ","n"),"à","a"),"è","e"),"ì","i"),"ò","o"),"ù","u"),"")</f>
        <v/>
      </c>
      <c r="R277" s="25">
        <f>IF(AND(L277=1,I277&lt;&gt;""),SUBSTITUTE(SUBSTITUTE(SUBSTITUTE(SUBSTITUTE(SUBSTITUTE(SUBSTITUTE(SUBSTITUTE(SUBSTITUTE(SUBSTITUTE(SUBSTITUTE(SUBSTITUTE(SUBSTITUTE(LOWER(TRIM(I277)),"á","a"),"é","e"),"í","i"),"ó","o"),"ú","u"),"ü","u"),"ñ","n"),"à","a"),"è","e"),"ì","i"),"ò","o"),"ù","u"),"")</f>
        <v/>
      </c>
      <c r="S277" s="25">
        <f>IF(R277="","",IF(OR(R277="si",R277="tal vez"),1,0))</f>
        <v/>
      </c>
      <c r="T277" s="25">
        <f>IF(AND(L277=1,D277&lt;&gt;""),IF(IFERROR(COUNTIFS(D$3:D277,"="&amp;SUBSTITUTE(SUBSTITUTE(SUBSTITUTE(D277,"~","~~"),"*","~*"),"?","~?"),L$3:L277,1),0)=1,MAX(T$2:T276)+1,""),"")</f>
        <v/>
      </c>
      <c r="U277" s="25">
        <f>IF(T277="","",COUNTIFS($D$3:$D$1002,"="&amp;SUBSTITUTE(SUBSTITUTE(SUBSTITUTE(D277,"~","~~"),"*","~*"),"?","~?"),$L$3:$L$1002,1)*10000-T277)</f>
        <v/>
      </c>
      <c r="V277" s="25">
        <f>IF(AND(L277=1,J277&lt;&gt;""),IF(IFERROR(COUNTIFS(J$3:J277,"="&amp;SUBSTITUTE(SUBSTITUTE(SUBSTITUTE(J277,"~","~~"),"*","~*"),"?","~?"),L$3:L277,1),0)=1,MAX(V$2:V276)+1,""),"")</f>
        <v/>
      </c>
      <c r="W277" s="25">
        <f>IF(V277="","",COUNTIFS($J$3:$J$1002,"="&amp;SUBSTITUTE(SUBSTITUTE(SUBSTITUTE(J277,"~","~~"),"*","~*"),"?","~?"),$L$3:$L$1002,1)*10000-V277)</f>
        <v/>
      </c>
    </row>
    <row r="278">
      <c r="A278">
        <f>IF(A$2=0,"",IFERROR(TRIM(INDEX('Pegar estudiantes'!$A$1:$BZ$1001,277,A$2)&amp;""),""))</f>
        <v/>
      </c>
      <c r="B278">
        <f>IF(B$2=0,"",IFERROR(TRIM(INDEX('Pegar estudiantes'!$A$1:$BZ$1001,277,B$2)&amp;""),""))</f>
        <v/>
      </c>
      <c r="C278">
        <f>IF(C$2=0,"",IFERROR(TRIM(INDEX('Pegar estudiantes'!$A$1:$BZ$1001,277,C$2)&amp;""),""))</f>
        <v/>
      </c>
      <c r="D278">
        <f>IF(D$2=0,"",IFERROR(TRIM(INDEX('Pegar estudiantes'!$A$1:$BZ$1001,277,D$2)&amp;""),""))</f>
        <v/>
      </c>
      <c r="E278">
        <f>IF(E$2=0,"",IFERROR(TRIM(INDEX('Pegar estudiantes'!$A$1:$BZ$1001,277,E$2)&amp;""),""))</f>
        <v/>
      </c>
      <c r="F278">
        <f>IF(F$2=0,"",IFERROR(TRIM(INDEX('Pegar estudiantes'!$A$1:$BZ$1001,277,F$2)&amp;""),""))</f>
        <v/>
      </c>
      <c r="G278">
        <f>IF(G$2=0,"",IFERROR(TRIM(INDEX('Pegar estudiantes'!$A$1:$BZ$1001,277,G$2)&amp;""),""))</f>
        <v/>
      </c>
      <c r="H278">
        <f>IF(H$2=0,"",IFERROR(TRIM(INDEX('Pegar estudiantes'!$A$1:$BZ$1001,277,H$2)&amp;""),""))</f>
        <v/>
      </c>
      <c r="I278">
        <f>IF(I$2=0,"",IFERROR(TRIM(INDEX('Pegar estudiantes'!$A$1:$BZ$1001,277,I$2)&amp;""),""))</f>
        <v/>
      </c>
      <c r="J278">
        <f>IF(J$2=0,"",IFERROR(TRIM(INDEX('Pegar estudiantes'!$A$1:$BZ$1001,277,J$2)&amp;""),""))</f>
        <v/>
      </c>
      <c r="K278">
        <f>IF(K$2=0,"",IFERROR(TRIM(INDEX('Pegar estudiantes'!$A$1:$BZ$1001,277,K$2)&amp;""),""))</f>
        <v/>
      </c>
      <c r="L278" s="25">
        <f>IF(A278&lt;&gt;"",1,"")</f>
        <v/>
      </c>
      <c r="M278" s="25">
        <f>IF(L278=1,IF(ISNUMBER(FIND("#"&amp;MID(A278,1,1)&amp;"#","#0#1#2#3#4#5#6#7#8#9#")),IF(ISNUMBER(FIND("#"&amp;MID(A278,2,1)&amp;"#","#0#1#2#3#4#5#6#7#8#9#")),IF(AND(VALUE(LEFT(A278,2))&gt;=1,VALUE(LEFT(A278,2))&lt;=5),VALUE(LEFT(A278,2)),""),IF(AND(VALUE(LEFT(A278,1))&gt;=1,VALUE(LEFT(A278,1))&lt;=5),VALUE(LEFT(A278,1)),"")),""),"")</f>
        <v/>
      </c>
      <c r="N278" s="25">
        <f>IF(L278=1,IF(ISNUMBER(FIND("#"&amp;MID(H278,1,1)&amp;"#","#0#1#2#3#4#5#6#7#8#9#")),IF(ISNUMBER(FIND("#"&amp;MID(H278,2,1)&amp;"#","#0#1#2#3#4#5#6#7#8#9#")),IF(AND(VALUE(LEFT(H278,2))&gt;=1,VALUE(LEFT(H278,2))&lt;=5),VALUE(LEFT(H278,2)),""),IF(AND(VALUE(LEFT(H278,1))&gt;=1,VALUE(LEFT(H278,1))&lt;=5),VALUE(LEFT(H278,1)),"")),""),"")</f>
        <v/>
      </c>
      <c r="O278" s="25">
        <f>IF(AND(L278=1,B278&lt;&gt;""),SUBSTITUTE(SUBSTITUTE(SUBSTITUTE(SUBSTITUTE(SUBSTITUTE(SUBSTITUTE(SUBSTITUTE(SUBSTITUTE(SUBSTITUTE(SUBSTITUTE(SUBSTITUTE(SUBSTITUTE(LOWER(TRIM(B278)),"á","a"),"é","e"),"í","i"),"ó","o"),"ú","u"),"ü","u"),"ñ","n"),"à","a"),"è","e"),"ì","i"),"ò","o"),"ù","u"),"")</f>
        <v/>
      </c>
      <c r="P278" s="25">
        <f>IF(AND(L278=1,C278&lt;&gt;""),SUBSTITUTE(SUBSTITUTE(SUBSTITUTE(SUBSTITUTE(SUBSTITUTE(SUBSTITUTE(SUBSTITUTE(SUBSTITUTE(SUBSTITUTE(SUBSTITUTE(SUBSTITUTE(SUBSTITUTE(LOWER(TRIM(C278)),"á","a"),"é","e"),"í","i"),"ó","o"),"ú","u"),"ü","u"),"ñ","n"),"à","a"),"è","e"),"ì","i"),"ò","o"),"ù","u"),"")</f>
        <v/>
      </c>
      <c r="Q278" s="25">
        <f>IF(AND(L278=1,E278&lt;&gt;""),SUBSTITUTE(SUBSTITUTE(SUBSTITUTE(SUBSTITUTE(SUBSTITUTE(SUBSTITUTE(SUBSTITUTE(SUBSTITUTE(SUBSTITUTE(SUBSTITUTE(SUBSTITUTE(SUBSTITUTE(LOWER(TRIM(E278)),"á","a"),"é","e"),"í","i"),"ó","o"),"ú","u"),"ü","u"),"ñ","n"),"à","a"),"è","e"),"ì","i"),"ò","o"),"ù","u"),"")</f>
        <v/>
      </c>
      <c r="R278" s="25">
        <f>IF(AND(L278=1,I278&lt;&gt;""),SUBSTITUTE(SUBSTITUTE(SUBSTITUTE(SUBSTITUTE(SUBSTITUTE(SUBSTITUTE(SUBSTITUTE(SUBSTITUTE(SUBSTITUTE(SUBSTITUTE(SUBSTITUTE(SUBSTITUTE(LOWER(TRIM(I278)),"á","a"),"é","e"),"í","i"),"ó","o"),"ú","u"),"ü","u"),"ñ","n"),"à","a"),"è","e"),"ì","i"),"ò","o"),"ù","u"),"")</f>
        <v/>
      </c>
      <c r="S278" s="25">
        <f>IF(R278="","",IF(OR(R278="si",R278="tal vez"),1,0))</f>
        <v/>
      </c>
      <c r="T278" s="25">
        <f>IF(AND(L278=1,D278&lt;&gt;""),IF(IFERROR(COUNTIFS(D$3:D278,"="&amp;SUBSTITUTE(SUBSTITUTE(SUBSTITUTE(D278,"~","~~"),"*","~*"),"?","~?"),L$3:L278,1),0)=1,MAX(T$2:T277)+1,""),"")</f>
        <v/>
      </c>
      <c r="U278" s="25">
        <f>IF(T278="","",COUNTIFS($D$3:$D$1002,"="&amp;SUBSTITUTE(SUBSTITUTE(SUBSTITUTE(D278,"~","~~"),"*","~*"),"?","~?"),$L$3:$L$1002,1)*10000-T278)</f>
        <v/>
      </c>
      <c r="V278" s="25">
        <f>IF(AND(L278=1,J278&lt;&gt;""),IF(IFERROR(COUNTIFS(J$3:J278,"="&amp;SUBSTITUTE(SUBSTITUTE(SUBSTITUTE(J278,"~","~~"),"*","~*"),"?","~?"),L$3:L278,1),0)=1,MAX(V$2:V277)+1,""),"")</f>
        <v/>
      </c>
      <c r="W278" s="25">
        <f>IF(V278="","",COUNTIFS($J$3:$J$1002,"="&amp;SUBSTITUTE(SUBSTITUTE(SUBSTITUTE(J278,"~","~~"),"*","~*"),"?","~?"),$L$3:$L$1002,1)*10000-V278)</f>
        <v/>
      </c>
    </row>
    <row r="279">
      <c r="A279">
        <f>IF(A$2=0,"",IFERROR(TRIM(INDEX('Pegar estudiantes'!$A$1:$BZ$1001,278,A$2)&amp;""),""))</f>
        <v/>
      </c>
      <c r="B279">
        <f>IF(B$2=0,"",IFERROR(TRIM(INDEX('Pegar estudiantes'!$A$1:$BZ$1001,278,B$2)&amp;""),""))</f>
        <v/>
      </c>
      <c r="C279">
        <f>IF(C$2=0,"",IFERROR(TRIM(INDEX('Pegar estudiantes'!$A$1:$BZ$1001,278,C$2)&amp;""),""))</f>
        <v/>
      </c>
      <c r="D279">
        <f>IF(D$2=0,"",IFERROR(TRIM(INDEX('Pegar estudiantes'!$A$1:$BZ$1001,278,D$2)&amp;""),""))</f>
        <v/>
      </c>
      <c r="E279">
        <f>IF(E$2=0,"",IFERROR(TRIM(INDEX('Pegar estudiantes'!$A$1:$BZ$1001,278,E$2)&amp;""),""))</f>
        <v/>
      </c>
      <c r="F279">
        <f>IF(F$2=0,"",IFERROR(TRIM(INDEX('Pegar estudiantes'!$A$1:$BZ$1001,278,F$2)&amp;""),""))</f>
        <v/>
      </c>
      <c r="G279">
        <f>IF(G$2=0,"",IFERROR(TRIM(INDEX('Pegar estudiantes'!$A$1:$BZ$1001,278,G$2)&amp;""),""))</f>
        <v/>
      </c>
      <c r="H279">
        <f>IF(H$2=0,"",IFERROR(TRIM(INDEX('Pegar estudiantes'!$A$1:$BZ$1001,278,H$2)&amp;""),""))</f>
        <v/>
      </c>
      <c r="I279">
        <f>IF(I$2=0,"",IFERROR(TRIM(INDEX('Pegar estudiantes'!$A$1:$BZ$1001,278,I$2)&amp;""),""))</f>
        <v/>
      </c>
      <c r="J279">
        <f>IF(J$2=0,"",IFERROR(TRIM(INDEX('Pegar estudiantes'!$A$1:$BZ$1001,278,J$2)&amp;""),""))</f>
        <v/>
      </c>
      <c r="K279">
        <f>IF(K$2=0,"",IFERROR(TRIM(INDEX('Pegar estudiantes'!$A$1:$BZ$1001,278,K$2)&amp;""),""))</f>
        <v/>
      </c>
      <c r="L279" s="25">
        <f>IF(A279&lt;&gt;"",1,"")</f>
        <v/>
      </c>
      <c r="M279" s="25">
        <f>IF(L279=1,IF(ISNUMBER(FIND("#"&amp;MID(A279,1,1)&amp;"#","#0#1#2#3#4#5#6#7#8#9#")),IF(ISNUMBER(FIND("#"&amp;MID(A279,2,1)&amp;"#","#0#1#2#3#4#5#6#7#8#9#")),IF(AND(VALUE(LEFT(A279,2))&gt;=1,VALUE(LEFT(A279,2))&lt;=5),VALUE(LEFT(A279,2)),""),IF(AND(VALUE(LEFT(A279,1))&gt;=1,VALUE(LEFT(A279,1))&lt;=5),VALUE(LEFT(A279,1)),"")),""),"")</f>
        <v/>
      </c>
      <c r="N279" s="25">
        <f>IF(L279=1,IF(ISNUMBER(FIND("#"&amp;MID(H279,1,1)&amp;"#","#0#1#2#3#4#5#6#7#8#9#")),IF(ISNUMBER(FIND("#"&amp;MID(H279,2,1)&amp;"#","#0#1#2#3#4#5#6#7#8#9#")),IF(AND(VALUE(LEFT(H279,2))&gt;=1,VALUE(LEFT(H279,2))&lt;=5),VALUE(LEFT(H279,2)),""),IF(AND(VALUE(LEFT(H279,1))&gt;=1,VALUE(LEFT(H279,1))&lt;=5),VALUE(LEFT(H279,1)),"")),""),"")</f>
        <v/>
      </c>
      <c r="O279" s="25">
        <f>IF(AND(L279=1,B279&lt;&gt;""),SUBSTITUTE(SUBSTITUTE(SUBSTITUTE(SUBSTITUTE(SUBSTITUTE(SUBSTITUTE(SUBSTITUTE(SUBSTITUTE(SUBSTITUTE(SUBSTITUTE(SUBSTITUTE(SUBSTITUTE(LOWER(TRIM(B279)),"á","a"),"é","e"),"í","i"),"ó","o"),"ú","u"),"ü","u"),"ñ","n"),"à","a"),"è","e"),"ì","i"),"ò","o"),"ù","u"),"")</f>
        <v/>
      </c>
      <c r="P279" s="25">
        <f>IF(AND(L279=1,C279&lt;&gt;""),SUBSTITUTE(SUBSTITUTE(SUBSTITUTE(SUBSTITUTE(SUBSTITUTE(SUBSTITUTE(SUBSTITUTE(SUBSTITUTE(SUBSTITUTE(SUBSTITUTE(SUBSTITUTE(SUBSTITUTE(LOWER(TRIM(C279)),"á","a"),"é","e"),"í","i"),"ó","o"),"ú","u"),"ü","u"),"ñ","n"),"à","a"),"è","e"),"ì","i"),"ò","o"),"ù","u"),"")</f>
        <v/>
      </c>
      <c r="Q279" s="25">
        <f>IF(AND(L279=1,E279&lt;&gt;""),SUBSTITUTE(SUBSTITUTE(SUBSTITUTE(SUBSTITUTE(SUBSTITUTE(SUBSTITUTE(SUBSTITUTE(SUBSTITUTE(SUBSTITUTE(SUBSTITUTE(SUBSTITUTE(SUBSTITUTE(LOWER(TRIM(E279)),"á","a"),"é","e"),"í","i"),"ó","o"),"ú","u"),"ü","u"),"ñ","n"),"à","a"),"è","e"),"ì","i"),"ò","o"),"ù","u"),"")</f>
        <v/>
      </c>
      <c r="R279" s="25">
        <f>IF(AND(L279=1,I279&lt;&gt;""),SUBSTITUTE(SUBSTITUTE(SUBSTITUTE(SUBSTITUTE(SUBSTITUTE(SUBSTITUTE(SUBSTITUTE(SUBSTITUTE(SUBSTITUTE(SUBSTITUTE(SUBSTITUTE(SUBSTITUTE(LOWER(TRIM(I279)),"á","a"),"é","e"),"í","i"),"ó","o"),"ú","u"),"ü","u"),"ñ","n"),"à","a"),"è","e"),"ì","i"),"ò","o"),"ù","u"),"")</f>
        <v/>
      </c>
      <c r="S279" s="25">
        <f>IF(R279="","",IF(OR(R279="si",R279="tal vez"),1,0))</f>
        <v/>
      </c>
      <c r="T279" s="25">
        <f>IF(AND(L279=1,D279&lt;&gt;""),IF(IFERROR(COUNTIFS(D$3:D279,"="&amp;SUBSTITUTE(SUBSTITUTE(SUBSTITUTE(D279,"~","~~"),"*","~*"),"?","~?"),L$3:L279,1),0)=1,MAX(T$2:T278)+1,""),"")</f>
        <v/>
      </c>
      <c r="U279" s="25">
        <f>IF(T279="","",COUNTIFS($D$3:$D$1002,"="&amp;SUBSTITUTE(SUBSTITUTE(SUBSTITUTE(D279,"~","~~"),"*","~*"),"?","~?"),$L$3:$L$1002,1)*10000-T279)</f>
        <v/>
      </c>
      <c r="V279" s="25">
        <f>IF(AND(L279=1,J279&lt;&gt;""),IF(IFERROR(COUNTIFS(J$3:J279,"="&amp;SUBSTITUTE(SUBSTITUTE(SUBSTITUTE(J279,"~","~~"),"*","~*"),"?","~?"),L$3:L279,1),0)=1,MAX(V$2:V278)+1,""),"")</f>
        <v/>
      </c>
      <c r="W279" s="25">
        <f>IF(V279="","",COUNTIFS($J$3:$J$1002,"="&amp;SUBSTITUTE(SUBSTITUTE(SUBSTITUTE(J279,"~","~~"),"*","~*"),"?","~?"),$L$3:$L$1002,1)*10000-V279)</f>
        <v/>
      </c>
    </row>
    <row r="280">
      <c r="A280">
        <f>IF(A$2=0,"",IFERROR(TRIM(INDEX('Pegar estudiantes'!$A$1:$BZ$1001,279,A$2)&amp;""),""))</f>
        <v/>
      </c>
      <c r="B280">
        <f>IF(B$2=0,"",IFERROR(TRIM(INDEX('Pegar estudiantes'!$A$1:$BZ$1001,279,B$2)&amp;""),""))</f>
        <v/>
      </c>
      <c r="C280">
        <f>IF(C$2=0,"",IFERROR(TRIM(INDEX('Pegar estudiantes'!$A$1:$BZ$1001,279,C$2)&amp;""),""))</f>
        <v/>
      </c>
      <c r="D280">
        <f>IF(D$2=0,"",IFERROR(TRIM(INDEX('Pegar estudiantes'!$A$1:$BZ$1001,279,D$2)&amp;""),""))</f>
        <v/>
      </c>
      <c r="E280">
        <f>IF(E$2=0,"",IFERROR(TRIM(INDEX('Pegar estudiantes'!$A$1:$BZ$1001,279,E$2)&amp;""),""))</f>
        <v/>
      </c>
      <c r="F280">
        <f>IF(F$2=0,"",IFERROR(TRIM(INDEX('Pegar estudiantes'!$A$1:$BZ$1001,279,F$2)&amp;""),""))</f>
        <v/>
      </c>
      <c r="G280">
        <f>IF(G$2=0,"",IFERROR(TRIM(INDEX('Pegar estudiantes'!$A$1:$BZ$1001,279,G$2)&amp;""),""))</f>
        <v/>
      </c>
      <c r="H280">
        <f>IF(H$2=0,"",IFERROR(TRIM(INDEX('Pegar estudiantes'!$A$1:$BZ$1001,279,H$2)&amp;""),""))</f>
        <v/>
      </c>
      <c r="I280">
        <f>IF(I$2=0,"",IFERROR(TRIM(INDEX('Pegar estudiantes'!$A$1:$BZ$1001,279,I$2)&amp;""),""))</f>
        <v/>
      </c>
      <c r="J280">
        <f>IF(J$2=0,"",IFERROR(TRIM(INDEX('Pegar estudiantes'!$A$1:$BZ$1001,279,J$2)&amp;""),""))</f>
        <v/>
      </c>
      <c r="K280">
        <f>IF(K$2=0,"",IFERROR(TRIM(INDEX('Pegar estudiantes'!$A$1:$BZ$1001,279,K$2)&amp;""),""))</f>
        <v/>
      </c>
      <c r="L280" s="25">
        <f>IF(A280&lt;&gt;"",1,"")</f>
        <v/>
      </c>
      <c r="M280" s="25">
        <f>IF(L280=1,IF(ISNUMBER(FIND("#"&amp;MID(A280,1,1)&amp;"#","#0#1#2#3#4#5#6#7#8#9#")),IF(ISNUMBER(FIND("#"&amp;MID(A280,2,1)&amp;"#","#0#1#2#3#4#5#6#7#8#9#")),IF(AND(VALUE(LEFT(A280,2))&gt;=1,VALUE(LEFT(A280,2))&lt;=5),VALUE(LEFT(A280,2)),""),IF(AND(VALUE(LEFT(A280,1))&gt;=1,VALUE(LEFT(A280,1))&lt;=5),VALUE(LEFT(A280,1)),"")),""),"")</f>
        <v/>
      </c>
      <c r="N280" s="25">
        <f>IF(L280=1,IF(ISNUMBER(FIND("#"&amp;MID(H280,1,1)&amp;"#","#0#1#2#3#4#5#6#7#8#9#")),IF(ISNUMBER(FIND("#"&amp;MID(H280,2,1)&amp;"#","#0#1#2#3#4#5#6#7#8#9#")),IF(AND(VALUE(LEFT(H280,2))&gt;=1,VALUE(LEFT(H280,2))&lt;=5),VALUE(LEFT(H280,2)),""),IF(AND(VALUE(LEFT(H280,1))&gt;=1,VALUE(LEFT(H280,1))&lt;=5),VALUE(LEFT(H280,1)),"")),""),"")</f>
        <v/>
      </c>
      <c r="O280" s="25">
        <f>IF(AND(L280=1,B280&lt;&gt;""),SUBSTITUTE(SUBSTITUTE(SUBSTITUTE(SUBSTITUTE(SUBSTITUTE(SUBSTITUTE(SUBSTITUTE(SUBSTITUTE(SUBSTITUTE(SUBSTITUTE(SUBSTITUTE(SUBSTITUTE(LOWER(TRIM(B280)),"á","a"),"é","e"),"í","i"),"ó","o"),"ú","u"),"ü","u"),"ñ","n"),"à","a"),"è","e"),"ì","i"),"ò","o"),"ù","u"),"")</f>
        <v/>
      </c>
      <c r="P280" s="25">
        <f>IF(AND(L280=1,C280&lt;&gt;""),SUBSTITUTE(SUBSTITUTE(SUBSTITUTE(SUBSTITUTE(SUBSTITUTE(SUBSTITUTE(SUBSTITUTE(SUBSTITUTE(SUBSTITUTE(SUBSTITUTE(SUBSTITUTE(SUBSTITUTE(LOWER(TRIM(C280)),"á","a"),"é","e"),"í","i"),"ó","o"),"ú","u"),"ü","u"),"ñ","n"),"à","a"),"è","e"),"ì","i"),"ò","o"),"ù","u"),"")</f>
        <v/>
      </c>
      <c r="Q280" s="25">
        <f>IF(AND(L280=1,E280&lt;&gt;""),SUBSTITUTE(SUBSTITUTE(SUBSTITUTE(SUBSTITUTE(SUBSTITUTE(SUBSTITUTE(SUBSTITUTE(SUBSTITUTE(SUBSTITUTE(SUBSTITUTE(SUBSTITUTE(SUBSTITUTE(LOWER(TRIM(E280)),"á","a"),"é","e"),"í","i"),"ó","o"),"ú","u"),"ü","u"),"ñ","n"),"à","a"),"è","e"),"ì","i"),"ò","o"),"ù","u"),"")</f>
        <v/>
      </c>
      <c r="R280" s="25">
        <f>IF(AND(L280=1,I280&lt;&gt;""),SUBSTITUTE(SUBSTITUTE(SUBSTITUTE(SUBSTITUTE(SUBSTITUTE(SUBSTITUTE(SUBSTITUTE(SUBSTITUTE(SUBSTITUTE(SUBSTITUTE(SUBSTITUTE(SUBSTITUTE(LOWER(TRIM(I280)),"á","a"),"é","e"),"í","i"),"ó","o"),"ú","u"),"ü","u"),"ñ","n"),"à","a"),"è","e"),"ì","i"),"ò","o"),"ù","u"),"")</f>
        <v/>
      </c>
      <c r="S280" s="25">
        <f>IF(R280="","",IF(OR(R280="si",R280="tal vez"),1,0))</f>
        <v/>
      </c>
      <c r="T280" s="25">
        <f>IF(AND(L280=1,D280&lt;&gt;""),IF(IFERROR(COUNTIFS(D$3:D280,"="&amp;SUBSTITUTE(SUBSTITUTE(SUBSTITUTE(D280,"~","~~"),"*","~*"),"?","~?"),L$3:L280,1),0)=1,MAX(T$2:T279)+1,""),"")</f>
        <v/>
      </c>
      <c r="U280" s="25">
        <f>IF(T280="","",COUNTIFS($D$3:$D$1002,"="&amp;SUBSTITUTE(SUBSTITUTE(SUBSTITUTE(D280,"~","~~"),"*","~*"),"?","~?"),$L$3:$L$1002,1)*10000-T280)</f>
        <v/>
      </c>
      <c r="V280" s="25">
        <f>IF(AND(L280=1,J280&lt;&gt;""),IF(IFERROR(COUNTIFS(J$3:J280,"="&amp;SUBSTITUTE(SUBSTITUTE(SUBSTITUTE(J280,"~","~~"),"*","~*"),"?","~?"),L$3:L280,1),0)=1,MAX(V$2:V279)+1,""),"")</f>
        <v/>
      </c>
      <c r="W280" s="25">
        <f>IF(V280="","",COUNTIFS($J$3:$J$1002,"="&amp;SUBSTITUTE(SUBSTITUTE(SUBSTITUTE(J280,"~","~~"),"*","~*"),"?","~?"),$L$3:$L$1002,1)*10000-V280)</f>
        <v/>
      </c>
    </row>
    <row r="281">
      <c r="A281">
        <f>IF(A$2=0,"",IFERROR(TRIM(INDEX('Pegar estudiantes'!$A$1:$BZ$1001,280,A$2)&amp;""),""))</f>
        <v/>
      </c>
      <c r="B281">
        <f>IF(B$2=0,"",IFERROR(TRIM(INDEX('Pegar estudiantes'!$A$1:$BZ$1001,280,B$2)&amp;""),""))</f>
        <v/>
      </c>
      <c r="C281">
        <f>IF(C$2=0,"",IFERROR(TRIM(INDEX('Pegar estudiantes'!$A$1:$BZ$1001,280,C$2)&amp;""),""))</f>
        <v/>
      </c>
      <c r="D281">
        <f>IF(D$2=0,"",IFERROR(TRIM(INDEX('Pegar estudiantes'!$A$1:$BZ$1001,280,D$2)&amp;""),""))</f>
        <v/>
      </c>
      <c r="E281">
        <f>IF(E$2=0,"",IFERROR(TRIM(INDEX('Pegar estudiantes'!$A$1:$BZ$1001,280,E$2)&amp;""),""))</f>
        <v/>
      </c>
      <c r="F281">
        <f>IF(F$2=0,"",IFERROR(TRIM(INDEX('Pegar estudiantes'!$A$1:$BZ$1001,280,F$2)&amp;""),""))</f>
        <v/>
      </c>
      <c r="G281">
        <f>IF(G$2=0,"",IFERROR(TRIM(INDEX('Pegar estudiantes'!$A$1:$BZ$1001,280,G$2)&amp;""),""))</f>
        <v/>
      </c>
      <c r="H281">
        <f>IF(H$2=0,"",IFERROR(TRIM(INDEX('Pegar estudiantes'!$A$1:$BZ$1001,280,H$2)&amp;""),""))</f>
        <v/>
      </c>
      <c r="I281">
        <f>IF(I$2=0,"",IFERROR(TRIM(INDEX('Pegar estudiantes'!$A$1:$BZ$1001,280,I$2)&amp;""),""))</f>
        <v/>
      </c>
      <c r="J281">
        <f>IF(J$2=0,"",IFERROR(TRIM(INDEX('Pegar estudiantes'!$A$1:$BZ$1001,280,J$2)&amp;""),""))</f>
        <v/>
      </c>
      <c r="K281">
        <f>IF(K$2=0,"",IFERROR(TRIM(INDEX('Pegar estudiantes'!$A$1:$BZ$1001,280,K$2)&amp;""),""))</f>
        <v/>
      </c>
      <c r="L281" s="25">
        <f>IF(A281&lt;&gt;"",1,"")</f>
        <v/>
      </c>
      <c r="M281" s="25">
        <f>IF(L281=1,IF(ISNUMBER(FIND("#"&amp;MID(A281,1,1)&amp;"#","#0#1#2#3#4#5#6#7#8#9#")),IF(ISNUMBER(FIND("#"&amp;MID(A281,2,1)&amp;"#","#0#1#2#3#4#5#6#7#8#9#")),IF(AND(VALUE(LEFT(A281,2))&gt;=1,VALUE(LEFT(A281,2))&lt;=5),VALUE(LEFT(A281,2)),""),IF(AND(VALUE(LEFT(A281,1))&gt;=1,VALUE(LEFT(A281,1))&lt;=5),VALUE(LEFT(A281,1)),"")),""),"")</f>
        <v/>
      </c>
      <c r="N281" s="25">
        <f>IF(L281=1,IF(ISNUMBER(FIND("#"&amp;MID(H281,1,1)&amp;"#","#0#1#2#3#4#5#6#7#8#9#")),IF(ISNUMBER(FIND("#"&amp;MID(H281,2,1)&amp;"#","#0#1#2#3#4#5#6#7#8#9#")),IF(AND(VALUE(LEFT(H281,2))&gt;=1,VALUE(LEFT(H281,2))&lt;=5),VALUE(LEFT(H281,2)),""),IF(AND(VALUE(LEFT(H281,1))&gt;=1,VALUE(LEFT(H281,1))&lt;=5),VALUE(LEFT(H281,1)),"")),""),"")</f>
        <v/>
      </c>
      <c r="O281" s="25">
        <f>IF(AND(L281=1,B281&lt;&gt;""),SUBSTITUTE(SUBSTITUTE(SUBSTITUTE(SUBSTITUTE(SUBSTITUTE(SUBSTITUTE(SUBSTITUTE(SUBSTITUTE(SUBSTITUTE(SUBSTITUTE(SUBSTITUTE(SUBSTITUTE(LOWER(TRIM(B281)),"á","a"),"é","e"),"í","i"),"ó","o"),"ú","u"),"ü","u"),"ñ","n"),"à","a"),"è","e"),"ì","i"),"ò","o"),"ù","u"),"")</f>
        <v/>
      </c>
      <c r="P281" s="25">
        <f>IF(AND(L281=1,C281&lt;&gt;""),SUBSTITUTE(SUBSTITUTE(SUBSTITUTE(SUBSTITUTE(SUBSTITUTE(SUBSTITUTE(SUBSTITUTE(SUBSTITUTE(SUBSTITUTE(SUBSTITUTE(SUBSTITUTE(SUBSTITUTE(LOWER(TRIM(C281)),"á","a"),"é","e"),"í","i"),"ó","o"),"ú","u"),"ü","u"),"ñ","n"),"à","a"),"è","e"),"ì","i"),"ò","o"),"ù","u"),"")</f>
        <v/>
      </c>
      <c r="Q281" s="25">
        <f>IF(AND(L281=1,E281&lt;&gt;""),SUBSTITUTE(SUBSTITUTE(SUBSTITUTE(SUBSTITUTE(SUBSTITUTE(SUBSTITUTE(SUBSTITUTE(SUBSTITUTE(SUBSTITUTE(SUBSTITUTE(SUBSTITUTE(SUBSTITUTE(LOWER(TRIM(E281)),"á","a"),"é","e"),"í","i"),"ó","o"),"ú","u"),"ü","u"),"ñ","n"),"à","a"),"è","e"),"ì","i"),"ò","o"),"ù","u"),"")</f>
        <v/>
      </c>
      <c r="R281" s="25">
        <f>IF(AND(L281=1,I281&lt;&gt;""),SUBSTITUTE(SUBSTITUTE(SUBSTITUTE(SUBSTITUTE(SUBSTITUTE(SUBSTITUTE(SUBSTITUTE(SUBSTITUTE(SUBSTITUTE(SUBSTITUTE(SUBSTITUTE(SUBSTITUTE(LOWER(TRIM(I281)),"á","a"),"é","e"),"í","i"),"ó","o"),"ú","u"),"ü","u"),"ñ","n"),"à","a"),"è","e"),"ì","i"),"ò","o"),"ù","u"),"")</f>
        <v/>
      </c>
      <c r="S281" s="25">
        <f>IF(R281="","",IF(OR(R281="si",R281="tal vez"),1,0))</f>
        <v/>
      </c>
      <c r="T281" s="25">
        <f>IF(AND(L281=1,D281&lt;&gt;""),IF(IFERROR(COUNTIFS(D$3:D281,"="&amp;SUBSTITUTE(SUBSTITUTE(SUBSTITUTE(D281,"~","~~"),"*","~*"),"?","~?"),L$3:L281,1),0)=1,MAX(T$2:T280)+1,""),"")</f>
        <v/>
      </c>
      <c r="U281" s="25">
        <f>IF(T281="","",COUNTIFS($D$3:$D$1002,"="&amp;SUBSTITUTE(SUBSTITUTE(SUBSTITUTE(D281,"~","~~"),"*","~*"),"?","~?"),$L$3:$L$1002,1)*10000-T281)</f>
        <v/>
      </c>
      <c r="V281" s="25">
        <f>IF(AND(L281=1,J281&lt;&gt;""),IF(IFERROR(COUNTIFS(J$3:J281,"="&amp;SUBSTITUTE(SUBSTITUTE(SUBSTITUTE(J281,"~","~~"),"*","~*"),"?","~?"),L$3:L281,1),0)=1,MAX(V$2:V280)+1,""),"")</f>
        <v/>
      </c>
      <c r="W281" s="25">
        <f>IF(V281="","",COUNTIFS($J$3:$J$1002,"="&amp;SUBSTITUTE(SUBSTITUTE(SUBSTITUTE(J281,"~","~~"),"*","~*"),"?","~?"),$L$3:$L$1002,1)*10000-V281)</f>
        <v/>
      </c>
    </row>
    <row r="282">
      <c r="A282">
        <f>IF(A$2=0,"",IFERROR(TRIM(INDEX('Pegar estudiantes'!$A$1:$BZ$1001,281,A$2)&amp;""),""))</f>
        <v/>
      </c>
      <c r="B282">
        <f>IF(B$2=0,"",IFERROR(TRIM(INDEX('Pegar estudiantes'!$A$1:$BZ$1001,281,B$2)&amp;""),""))</f>
        <v/>
      </c>
      <c r="C282">
        <f>IF(C$2=0,"",IFERROR(TRIM(INDEX('Pegar estudiantes'!$A$1:$BZ$1001,281,C$2)&amp;""),""))</f>
        <v/>
      </c>
      <c r="D282">
        <f>IF(D$2=0,"",IFERROR(TRIM(INDEX('Pegar estudiantes'!$A$1:$BZ$1001,281,D$2)&amp;""),""))</f>
        <v/>
      </c>
      <c r="E282">
        <f>IF(E$2=0,"",IFERROR(TRIM(INDEX('Pegar estudiantes'!$A$1:$BZ$1001,281,E$2)&amp;""),""))</f>
        <v/>
      </c>
      <c r="F282">
        <f>IF(F$2=0,"",IFERROR(TRIM(INDEX('Pegar estudiantes'!$A$1:$BZ$1001,281,F$2)&amp;""),""))</f>
        <v/>
      </c>
      <c r="G282">
        <f>IF(G$2=0,"",IFERROR(TRIM(INDEX('Pegar estudiantes'!$A$1:$BZ$1001,281,G$2)&amp;""),""))</f>
        <v/>
      </c>
      <c r="H282">
        <f>IF(H$2=0,"",IFERROR(TRIM(INDEX('Pegar estudiantes'!$A$1:$BZ$1001,281,H$2)&amp;""),""))</f>
        <v/>
      </c>
      <c r="I282">
        <f>IF(I$2=0,"",IFERROR(TRIM(INDEX('Pegar estudiantes'!$A$1:$BZ$1001,281,I$2)&amp;""),""))</f>
        <v/>
      </c>
      <c r="J282">
        <f>IF(J$2=0,"",IFERROR(TRIM(INDEX('Pegar estudiantes'!$A$1:$BZ$1001,281,J$2)&amp;""),""))</f>
        <v/>
      </c>
      <c r="K282">
        <f>IF(K$2=0,"",IFERROR(TRIM(INDEX('Pegar estudiantes'!$A$1:$BZ$1001,281,K$2)&amp;""),""))</f>
        <v/>
      </c>
      <c r="L282" s="25">
        <f>IF(A282&lt;&gt;"",1,"")</f>
        <v/>
      </c>
      <c r="M282" s="25">
        <f>IF(L282=1,IF(ISNUMBER(FIND("#"&amp;MID(A282,1,1)&amp;"#","#0#1#2#3#4#5#6#7#8#9#")),IF(ISNUMBER(FIND("#"&amp;MID(A282,2,1)&amp;"#","#0#1#2#3#4#5#6#7#8#9#")),IF(AND(VALUE(LEFT(A282,2))&gt;=1,VALUE(LEFT(A282,2))&lt;=5),VALUE(LEFT(A282,2)),""),IF(AND(VALUE(LEFT(A282,1))&gt;=1,VALUE(LEFT(A282,1))&lt;=5),VALUE(LEFT(A282,1)),"")),""),"")</f>
        <v/>
      </c>
      <c r="N282" s="25">
        <f>IF(L282=1,IF(ISNUMBER(FIND("#"&amp;MID(H282,1,1)&amp;"#","#0#1#2#3#4#5#6#7#8#9#")),IF(ISNUMBER(FIND("#"&amp;MID(H282,2,1)&amp;"#","#0#1#2#3#4#5#6#7#8#9#")),IF(AND(VALUE(LEFT(H282,2))&gt;=1,VALUE(LEFT(H282,2))&lt;=5),VALUE(LEFT(H282,2)),""),IF(AND(VALUE(LEFT(H282,1))&gt;=1,VALUE(LEFT(H282,1))&lt;=5),VALUE(LEFT(H282,1)),"")),""),"")</f>
        <v/>
      </c>
      <c r="O282" s="25">
        <f>IF(AND(L282=1,B282&lt;&gt;""),SUBSTITUTE(SUBSTITUTE(SUBSTITUTE(SUBSTITUTE(SUBSTITUTE(SUBSTITUTE(SUBSTITUTE(SUBSTITUTE(SUBSTITUTE(SUBSTITUTE(SUBSTITUTE(SUBSTITUTE(LOWER(TRIM(B282)),"á","a"),"é","e"),"í","i"),"ó","o"),"ú","u"),"ü","u"),"ñ","n"),"à","a"),"è","e"),"ì","i"),"ò","o"),"ù","u"),"")</f>
        <v/>
      </c>
      <c r="P282" s="25">
        <f>IF(AND(L282=1,C282&lt;&gt;""),SUBSTITUTE(SUBSTITUTE(SUBSTITUTE(SUBSTITUTE(SUBSTITUTE(SUBSTITUTE(SUBSTITUTE(SUBSTITUTE(SUBSTITUTE(SUBSTITUTE(SUBSTITUTE(SUBSTITUTE(LOWER(TRIM(C282)),"á","a"),"é","e"),"í","i"),"ó","o"),"ú","u"),"ü","u"),"ñ","n"),"à","a"),"è","e"),"ì","i"),"ò","o"),"ù","u"),"")</f>
        <v/>
      </c>
      <c r="Q282" s="25">
        <f>IF(AND(L282=1,E282&lt;&gt;""),SUBSTITUTE(SUBSTITUTE(SUBSTITUTE(SUBSTITUTE(SUBSTITUTE(SUBSTITUTE(SUBSTITUTE(SUBSTITUTE(SUBSTITUTE(SUBSTITUTE(SUBSTITUTE(SUBSTITUTE(LOWER(TRIM(E282)),"á","a"),"é","e"),"í","i"),"ó","o"),"ú","u"),"ü","u"),"ñ","n"),"à","a"),"è","e"),"ì","i"),"ò","o"),"ù","u"),"")</f>
        <v/>
      </c>
      <c r="R282" s="25">
        <f>IF(AND(L282=1,I282&lt;&gt;""),SUBSTITUTE(SUBSTITUTE(SUBSTITUTE(SUBSTITUTE(SUBSTITUTE(SUBSTITUTE(SUBSTITUTE(SUBSTITUTE(SUBSTITUTE(SUBSTITUTE(SUBSTITUTE(SUBSTITUTE(LOWER(TRIM(I282)),"á","a"),"é","e"),"í","i"),"ó","o"),"ú","u"),"ü","u"),"ñ","n"),"à","a"),"è","e"),"ì","i"),"ò","o"),"ù","u"),"")</f>
        <v/>
      </c>
      <c r="S282" s="25">
        <f>IF(R282="","",IF(OR(R282="si",R282="tal vez"),1,0))</f>
        <v/>
      </c>
      <c r="T282" s="25">
        <f>IF(AND(L282=1,D282&lt;&gt;""),IF(IFERROR(COUNTIFS(D$3:D282,"="&amp;SUBSTITUTE(SUBSTITUTE(SUBSTITUTE(D282,"~","~~"),"*","~*"),"?","~?"),L$3:L282,1),0)=1,MAX(T$2:T281)+1,""),"")</f>
        <v/>
      </c>
      <c r="U282" s="25">
        <f>IF(T282="","",COUNTIFS($D$3:$D$1002,"="&amp;SUBSTITUTE(SUBSTITUTE(SUBSTITUTE(D282,"~","~~"),"*","~*"),"?","~?"),$L$3:$L$1002,1)*10000-T282)</f>
        <v/>
      </c>
      <c r="V282" s="25">
        <f>IF(AND(L282=1,J282&lt;&gt;""),IF(IFERROR(COUNTIFS(J$3:J282,"="&amp;SUBSTITUTE(SUBSTITUTE(SUBSTITUTE(J282,"~","~~"),"*","~*"),"?","~?"),L$3:L282,1),0)=1,MAX(V$2:V281)+1,""),"")</f>
        <v/>
      </c>
      <c r="W282" s="25">
        <f>IF(V282="","",COUNTIFS($J$3:$J$1002,"="&amp;SUBSTITUTE(SUBSTITUTE(SUBSTITUTE(J282,"~","~~"),"*","~*"),"?","~?"),$L$3:$L$1002,1)*10000-V282)</f>
        <v/>
      </c>
    </row>
    <row r="283">
      <c r="A283">
        <f>IF(A$2=0,"",IFERROR(TRIM(INDEX('Pegar estudiantes'!$A$1:$BZ$1001,282,A$2)&amp;""),""))</f>
        <v/>
      </c>
      <c r="B283">
        <f>IF(B$2=0,"",IFERROR(TRIM(INDEX('Pegar estudiantes'!$A$1:$BZ$1001,282,B$2)&amp;""),""))</f>
        <v/>
      </c>
      <c r="C283">
        <f>IF(C$2=0,"",IFERROR(TRIM(INDEX('Pegar estudiantes'!$A$1:$BZ$1001,282,C$2)&amp;""),""))</f>
        <v/>
      </c>
      <c r="D283">
        <f>IF(D$2=0,"",IFERROR(TRIM(INDEX('Pegar estudiantes'!$A$1:$BZ$1001,282,D$2)&amp;""),""))</f>
        <v/>
      </c>
      <c r="E283">
        <f>IF(E$2=0,"",IFERROR(TRIM(INDEX('Pegar estudiantes'!$A$1:$BZ$1001,282,E$2)&amp;""),""))</f>
        <v/>
      </c>
      <c r="F283">
        <f>IF(F$2=0,"",IFERROR(TRIM(INDEX('Pegar estudiantes'!$A$1:$BZ$1001,282,F$2)&amp;""),""))</f>
        <v/>
      </c>
      <c r="G283">
        <f>IF(G$2=0,"",IFERROR(TRIM(INDEX('Pegar estudiantes'!$A$1:$BZ$1001,282,G$2)&amp;""),""))</f>
        <v/>
      </c>
      <c r="H283">
        <f>IF(H$2=0,"",IFERROR(TRIM(INDEX('Pegar estudiantes'!$A$1:$BZ$1001,282,H$2)&amp;""),""))</f>
        <v/>
      </c>
      <c r="I283">
        <f>IF(I$2=0,"",IFERROR(TRIM(INDEX('Pegar estudiantes'!$A$1:$BZ$1001,282,I$2)&amp;""),""))</f>
        <v/>
      </c>
      <c r="J283">
        <f>IF(J$2=0,"",IFERROR(TRIM(INDEX('Pegar estudiantes'!$A$1:$BZ$1001,282,J$2)&amp;""),""))</f>
        <v/>
      </c>
      <c r="K283">
        <f>IF(K$2=0,"",IFERROR(TRIM(INDEX('Pegar estudiantes'!$A$1:$BZ$1001,282,K$2)&amp;""),""))</f>
        <v/>
      </c>
      <c r="L283" s="25">
        <f>IF(A283&lt;&gt;"",1,"")</f>
        <v/>
      </c>
      <c r="M283" s="25">
        <f>IF(L283=1,IF(ISNUMBER(FIND("#"&amp;MID(A283,1,1)&amp;"#","#0#1#2#3#4#5#6#7#8#9#")),IF(ISNUMBER(FIND("#"&amp;MID(A283,2,1)&amp;"#","#0#1#2#3#4#5#6#7#8#9#")),IF(AND(VALUE(LEFT(A283,2))&gt;=1,VALUE(LEFT(A283,2))&lt;=5),VALUE(LEFT(A283,2)),""),IF(AND(VALUE(LEFT(A283,1))&gt;=1,VALUE(LEFT(A283,1))&lt;=5),VALUE(LEFT(A283,1)),"")),""),"")</f>
        <v/>
      </c>
      <c r="N283" s="25">
        <f>IF(L283=1,IF(ISNUMBER(FIND("#"&amp;MID(H283,1,1)&amp;"#","#0#1#2#3#4#5#6#7#8#9#")),IF(ISNUMBER(FIND("#"&amp;MID(H283,2,1)&amp;"#","#0#1#2#3#4#5#6#7#8#9#")),IF(AND(VALUE(LEFT(H283,2))&gt;=1,VALUE(LEFT(H283,2))&lt;=5),VALUE(LEFT(H283,2)),""),IF(AND(VALUE(LEFT(H283,1))&gt;=1,VALUE(LEFT(H283,1))&lt;=5),VALUE(LEFT(H283,1)),"")),""),"")</f>
        <v/>
      </c>
      <c r="O283" s="25">
        <f>IF(AND(L283=1,B283&lt;&gt;""),SUBSTITUTE(SUBSTITUTE(SUBSTITUTE(SUBSTITUTE(SUBSTITUTE(SUBSTITUTE(SUBSTITUTE(SUBSTITUTE(SUBSTITUTE(SUBSTITUTE(SUBSTITUTE(SUBSTITUTE(LOWER(TRIM(B283)),"á","a"),"é","e"),"í","i"),"ó","o"),"ú","u"),"ü","u"),"ñ","n"),"à","a"),"è","e"),"ì","i"),"ò","o"),"ù","u"),"")</f>
        <v/>
      </c>
      <c r="P283" s="25">
        <f>IF(AND(L283=1,C283&lt;&gt;""),SUBSTITUTE(SUBSTITUTE(SUBSTITUTE(SUBSTITUTE(SUBSTITUTE(SUBSTITUTE(SUBSTITUTE(SUBSTITUTE(SUBSTITUTE(SUBSTITUTE(SUBSTITUTE(SUBSTITUTE(LOWER(TRIM(C283)),"á","a"),"é","e"),"í","i"),"ó","o"),"ú","u"),"ü","u"),"ñ","n"),"à","a"),"è","e"),"ì","i"),"ò","o"),"ù","u"),"")</f>
        <v/>
      </c>
      <c r="Q283" s="25">
        <f>IF(AND(L283=1,E283&lt;&gt;""),SUBSTITUTE(SUBSTITUTE(SUBSTITUTE(SUBSTITUTE(SUBSTITUTE(SUBSTITUTE(SUBSTITUTE(SUBSTITUTE(SUBSTITUTE(SUBSTITUTE(SUBSTITUTE(SUBSTITUTE(LOWER(TRIM(E283)),"á","a"),"é","e"),"í","i"),"ó","o"),"ú","u"),"ü","u"),"ñ","n"),"à","a"),"è","e"),"ì","i"),"ò","o"),"ù","u"),"")</f>
        <v/>
      </c>
      <c r="R283" s="25">
        <f>IF(AND(L283=1,I283&lt;&gt;""),SUBSTITUTE(SUBSTITUTE(SUBSTITUTE(SUBSTITUTE(SUBSTITUTE(SUBSTITUTE(SUBSTITUTE(SUBSTITUTE(SUBSTITUTE(SUBSTITUTE(SUBSTITUTE(SUBSTITUTE(LOWER(TRIM(I283)),"á","a"),"é","e"),"í","i"),"ó","o"),"ú","u"),"ü","u"),"ñ","n"),"à","a"),"è","e"),"ì","i"),"ò","o"),"ù","u"),"")</f>
        <v/>
      </c>
      <c r="S283" s="25">
        <f>IF(R283="","",IF(OR(R283="si",R283="tal vez"),1,0))</f>
        <v/>
      </c>
      <c r="T283" s="25">
        <f>IF(AND(L283=1,D283&lt;&gt;""),IF(IFERROR(COUNTIFS(D$3:D283,"="&amp;SUBSTITUTE(SUBSTITUTE(SUBSTITUTE(D283,"~","~~"),"*","~*"),"?","~?"),L$3:L283,1),0)=1,MAX(T$2:T282)+1,""),"")</f>
        <v/>
      </c>
      <c r="U283" s="25">
        <f>IF(T283="","",COUNTIFS($D$3:$D$1002,"="&amp;SUBSTITUTE(SUBSTITUTE(SUBSTITUTE(D283,"~","~~"),"*","~*"),"?","~?"),$L$3:$L$1002,1)*10000-T283)</f>
        <v/>
      </c>
      <c r="V283" s="25">
        <f>IF(AND(L283=1,J283&lt;&gt;""),IF(IFERROR(COUNTIFS(J$3:J283,"="&amp;SUBSTITUTE(SUBSTITUTE(SUBSTITUTE(J283,"~","~~"),"*","~*"),"?","~?"),L$3:L283,1),0)=1,MAX(V$2:V282)+1,""),"")</f>
        <v/>
      </c>
      <c r="W283" s="25">
        <f>IF(V283="","",COUNTIFS($J$3:$J$1002,"="&amp;SUBSTITUTE(SUBSTITUTE(SUBSTITUTE(J283,"~","~~"),"*","~*"),"?","~?"),$L$3:$L$1002,1)*10000-V283)</f>
        <v/>
      </c>
    </row>
    <row r="284">
      <c r="A284">
        <f>IF(A$2=0,"",IFERROR(TRIM(INDEX('Pegar estudiantes'!$A$1:$BZ$1001,283,A$2)&amp;""),""))</f>
        <v/>
      </c>
      <c r="B284">
        <f>IF(B$2=0,"",IFERROR(TRIM(INDEX('Pegar estudiantes'!$A$1:$BZ$1001,283,B$2)&amp;""),""))</f>
        <v/>
      </c>
      <c r="C284">
        <f>IF(C$2=0,"",IFERROR(TRIM(INDEX('Pegar estudiantes'!$A$1:$BZ$1001,283,C$2)&amp;""),""))</f>
        <v/>
      </c>
      <c r="D284">
        <f>IF(D$2=0,"",IFERROR(TRIM(INDEX('Pegar estudiantes'!$A$1:$BZ$1001,283,D$2)&amp;""),""))</f>
        <v/>
      </c>
      <c r="E284">
        <f>IF(E$2=0,"",IFERROR(TRIM(INDEX('Pegar estudiantes'!$A$1:$BZ$1001,283,E$2)&amp;""),""))</f>
        <v/>
      </c>
      <c r="F284">
        <f>IF(F$2=0,"",IFERROR(TRIM(INDEX('Pegar estudiantes'!$A$1:$BZ$1001,283,F$2)&amp;""),""))</f>
        <v/>
      </c>
      <c r="G284">
        <f>IF(G$2=0,"",IFERROR(TRIM(INDEX('Pegar estudiantes'!$A$1:$BZ$1001,283,G$2)&amp;""),""))</f>
        <v/>
      </c>
      <c r="H284">
        <f>IF(H$2=0,"",IFERROR(TRIM(INDEX('Pegar estudiantes'!$A$1:$BZ$1001,283,H$2)&amp;""),""))</f>
        <v/>
      </c>
      <c r="I284">
        <f>IF(I$2=0,"",IFERROR(TRIM(INDEX('Pegar estudiantes'!$A$1:$BZ$1001,283,I$2)&amp;""),""))</f>
        <v/>
      </c>
      <c r="J284">
        <f>IF(J$2=0,"",IFERROR(TRIM(INDEX('Pegar estudiantes'!$A$1:$BZ$1001,283,J$2)&amp;""),""))</f>
        <v/>
      </c>
      <c r="K284">
        <f>IF(K$2=0,"",IFERROR(TRIM(INDEX('Pegar estudiantes'!$A$1:$BZ$1001,283,K$2)&amp;""),""))</f>
        <v/>
      </c>
      <c r="L284" s="25">
        <f>IF(A284&lt;&gt;"",1,"")</f>
        <v/>
      </c>
      <c r="M284" s="25">
        <f>IF(L284=1,IF(ISNUMBER(FIND("#"&amp;MID(A284,1,1)&amp;"#","#0#1#2#3#4#5#6#7#8#9#")),IF(ISNUMBER(FIND("#"&amp;MID(A284,2,1)&amp;"#","#0#1#2#3#4#5#6#7#8#9#")),IF(AND(VALUE(LEFT(A284,2))&gt;=1,VALUE(LEFT(A284,2))&lt;=5),VALUE(LEFT(A284,2)),""),IF(AND(VALUE(LEFT(A284,1))&gt;=1,VALUE(LEFT(A284,1))&lt;=5),VALUE(LEFT(A284,1)),"")),""),"")</f>
        <v/>
      </c>
      <c r="N284" s="25">
        <f>IF(L284=1,IF(ISNUMBER(FIND("#"&amp;MID(H284,1,1)&amp;"#","#0#1#2#3#4#5#6#7#8#9#")),IF(ISNUMBER(FIND("#"&amp;MID(H284,2,1)&amp;"#","#0#1#2#3#4#5#6#7#8#9#")),IF(AND(VALUE(LEFT(H284,2))&gt;=1,VALUE(LEFT(H284,2))&lt;=5),VALUE(LEFT(H284,2)),""),IF(AND(VALUE(LEFT(H284,1))&gt;=1,VALUE(LEFT(H284,1))&lt;=5),VALUE(LEFT(H284,1)),"")),""),"")</f>
        <v/>
      </c>
      <c r="O284" s="25">
        <f>IF(AND(L284=1,B284&lt;&gt;""),SUBSTITUTE(SUBSTITUTE(SUBSTITUTE(SUBSTITUTE(SUBSTITUTE(SUBSTITUTE(SUBSTITUTE(SUBSTITUTE(SUBSTITUTE(SUBSTITUTE(SUBSTITUTE(SUBSTITUTE(LOWER(TRIM(B284)),"á","a"),"é","e"),"í","i"),"ó","o"),"ú","u"),"ü","u"),"ñ","n"),"à","a"),"è","e"),"ì","i"),"ò","o"),"ù","u"),"")</f>
        <v/>
      </c>
      <c r="P284" s="25">
        <f>IF(AND(L284=1,C284&lt;&gt;""),SUBSTITUTE(SUBSTITUTE(SUBSTITUTE(SUBSTITUTE(SUBSTITUTE(SUBSTITUTE(SUBSTITUTE(SUBSTITUTE(SUBSTITUTE(SUBSTITUTE(SUBSTITUTE(SUBSTITUTE(LOWER(TRIM(C284)),"á","a"),"é","e"),"í","i"),"ó","o"),"ú","u"),"ü","u"),"ñ","n"),"à","a"),"è","e"),"ì","i"),"ò","o"),"ù","u"),"")</f>
        <v/>
      </c>
      <c r="Q284" s="25">
        <f>IF(AND(L284=1,E284&lt;&gt;""),SUBSTITUTE(SUBSTITUTE(SUBSTITUTE(SUBSTITUTE(SUBSTITUTE(SUBSTITUTE(SUBSTITUTE(SUBSTITUTE(SUBSTITUTE(SUBSTITUTE(SUBSTITUTE(SUBSTITUTE(LOWER(TRIM(E284)),"á","a"),"é","e"),"í","i"),"ó","o"),"ú","u"),"ü","u"),"ñ","n"),"à","a"),"è","e"),"ì","i"),"ò","o"),"ù","u"),"")</f>
        <v/>
      </c>
      <c r="R284" s="25">
        <f>IF(AND(L284=1,I284&lt;&gt;""),SUBSTITUTE(SUBSTITUTE(SUBSTITUTE(SUBSTITUTE(SUBSTITUTE(SUBSTITUTE(SUBSTITUTE(SUBSTITUTE(SUBSTITUTE(SUBSTITUTE(SUBSTITUTE(SUBSTITUTE(LOWER(TRIM(I284)),"á","a"),"é","e"),"í","i"),"ó","o"),"ú","u"),"ü","u"),"ñ","n"),"à","a"),"è","e"),"ì","i"),"ò","o"),"ù","u"),"")</f>
        <v/>
      </c>
      <c r="S284" s="25">
        <f>IF(R284="","",IF(OR(R284="si",R284="tal vez"),1,0))</f>
        <v/>
      </c>
      <c r="T284" s="25">
        <f>IF(AND(L284=1,D284&lt;&gt;""),IF(IFERROR(COUNTIFS(D$3:D284,"="&amp;SUBSTITUTE(SUBSTITUTE(SUBSTITUTE(D284,"~","~~"),"*","~*"),"?","~?"),L$3:L284,1),0)=1,MAX(T$2:T283)+1,""),"")</f>
        <v/>
      </c>
      <c r="U284" s="25">
        <f>IF(T284="","",COUNTIFS($D$3:$D$1002,"="&amp;SUBSTITUTE(SUBSTITUTE(SUBSTITUTE(D284,"~","~~"),"*","~*"),"?","~?"),$L$3:$L$1002,1)*10000-T284)</f>
        <v/>
      </c>
      <c r="V284" s="25">
        <f>IF(AND(L284=1,J284&lt;&gt;""),IF(IFERROR(COUNTIFS(J$3:J284,"="&amp;SUBSTITUTE(SUBSTITUTE(SUBSTITUTE(J284,"~","~~"),"*","~*"),"?","~?"),L$3:L284,1),0)=1,MAX(V$2:V283)+1,""),"")</f>
        <v/>
      </c>
      <c r="W284" s="25">
        <f>IF(V284="","",COUNTIFS($J$3:$J$1002,"="&amp;SUBSTITUTE(SUBSTITUTE(SUBSTITUTE(J284,"~","~~"),"*","~*"),"?","~?"),$L$3:$L$1002,1)*10000-V284)</f>
        <v/>
      </c>
    </row>
    <row r="285">
      <c r="A285">
        <f>IF(A$2=0,"",IFERROR(TRIM(INDEX('Pegar estudiantes'!$A$1:$BZ$1001,284,A$2)&amp;""),""))</f>
        <v/>
      </c>
      <c r="B285">
        <f>IF(B$2=0,"",IFERROR(TRIM(INDEX('Pegar estudiantes'!$A$1:$BZ$1001,284,B$2)&amp;""),""))</f>
        <v/>
      </c>
      <c r="C285">
        <f>IF(C$2=0,"",IFERROR(TRIM(INDEX('Pegar estudiantes'!$A$1:$BZ$1001,284,C$2)&amp;""),""))</f>
        <v/>
      </c>
      <c r="D285">
        <f>IF(D$2=0,"",IFERROR(TRIM(INDEX('Pegar estudiantes'!$A$1:$BZ$1001,284,D$2)&amp;""),""))</f>
        <v/>
      </c>
      <c r="E285">
        <f>IF(E$2=0,"",IFERROR(TRIM(INDEX('Pegar estudiantes'!$A$1:$BZ$1001,284,E$2)&amp;""),""))</f>
        <v/>
      </c>
      <c r="F285">
        <f>IF(F$2=0,"",IFERROR(TRIM(INDEX('Pegar estudiantes'!$A$1:$BZ$1001,284,F$2)&amp;""),""))</f>
        <v/>
      </c>
      <c r="G285">
        <f>IF(G$2=0,"",IFERROR(TRIM(INDEX('Pegar estudiantes'!$A$1:$BZ$1001,284,G$2)&amp;""),""))</f>
        <v/>
      </c>
      <c r="H285">
        <f>IF(H$2=0,"",IFERROR(TRIM(INDEX('Pegar estudiantes'!$A$1:$BZ$1001,284,H$2)&amp;""),""))</f>
        <v/>
      </c>
      <c r="I285">
        <f>IF(I$2=0,"",IFERROR(TRIM(INDEX('Pegar estudiantes'!$A$1:$BZ$1001,284,I$2)&amp;""),""))</f>
        <v/>
      </c>
      <c r="J285">
        <f>IF(J$2=0,"",IFERROR(TRIM(INDEX('Pegar estudiantes'!$A$1:$BZ$1001,284,J$2)&amp;""),""))</f>
        <v/>
      </c>
      <c r="K285">
        <f>IF(K$2=0,"",IFERROR(TRIM(INDEX('Pegar estudiantes'!$A$1:$BZ$1001,284,K$2)&amp;""),""))</f>
        <v/>
      </c>
      <c r="L285" s="25">
        <f>IF(A285&lt;&gt;"",1,"")</f>
        <v/>
      </c>
      <c r="M285" s="25">
        <f>IF(L285=1,IF(ISNUMBER(FIND("#"&amp;MID(A285,1,1)&amp;"#","#0#1#2#3#4#5#6#7#8#9#")),IF(ISNUMBER(FIND("#"&amp;MID(A285,2,1)&amp;"#","#0#1#2#3#4#5#6#7#8#9#")),IF(AND(VALUE(LEFT(A285,2))&gt;=1,VALUE(LEFT(A285,2))&lt;=5),VALUE(LEFT(A285,2)),""),IF(AND(VALUE(LEFT(A285,1))&gt;=1,VALUE(LEFT(A285,1))&lt;=5),VALUE(LEFT(A285,1)),"")),""),"")</f>
        <v/>
      </c>
      <c r="N285" s="25">
        <f>IF(L285=1,IF(ISNUMBER(FIND("#"&amp;MID(H285,1,1)&amp;"#","#0#1#2#3#4#5#6#7#8#9#")),IF(ISNUMBER(FIND("#"&amp;MID(H285,2,1)&amp;"#","#0#1#2#3#4#5#6#7#8#9#")),IF(AND(VALUE(LEFT(H285,2))&gt;=1,VALUE(LEFT(H285,2))&lt;=5),VALUE(LEFT(H285,2)),""),IF(AND(VALUE(LEFT(H285,1))&gt;=1,VALUE(LEFT(H285,1))&lt;=5),VALUE(LEFT(H285,1)),"")),""),"")</f>
        <v/>
      </c>
      <c r="O285" s="25">
        <f>IF(AND(L285=1,B285&lt;&gt;""),SUBSTITUTE(SUBSTITUTE(SUBSTITUTE(SUBSTITUTE(SUBSTITUTE(SUBSTITUTE(SUBSTITUTE(SUBSTITUTE(SUBSTITUTE(SUBSTITUTE(SUBSTITUTE(SUBSTITUTE(LOWER(TRIM(B285)),"á","a"),"é","e"),"í","i"),"ó","o"),"ú","u"),"ü","u"),"ñ","n"),"à","a"),"è","e"),"ì","i"),"ò","o"),"ù","u"),"")</f>
        <v/>
      </c>
      <c r="P285" s="25">
        <f>IF(AND(L285=1,C285&lt;&gt;""),SUBSTITUTE(SUBSTITUTE(SUBSTITUTE(SUBSTITUTE(SUBSTITUTE(SUBSTITUTE(SUBSTITUTE(SUBSTITUTE(SUBSTITUTE(SUBSTITUTE(SUBSTITUTE(SUBSTITUTE(LOWER(TRIM(C285)),"á","a"),"é","e"),"í","i"),"ó","o"),"ú","u"),"ü","u"),"ñ","n"),"à","a"),"è","e"),"ì","i"),"ò","o"),"ù","u"),"")</f>
        <v/>
      </c>
      <c r="Q285" s="25">
        <f>IF(AND(L285=1,E285&lt;&gt;""),SUBSTITUTE(SUBSTITUTE(SUBSTITUTE(SUBSTITUTE(SUBSTITUTE(SUBSTITUTE(SUBSTITUTE(SUBSTITUTE(SUBSTITUTE(SUBSTITUTE(SUBSTITUTE(SUBSTITUTE(LOWER(TRIM(E285)),"á","a"),"é","e"),"í","i"),"ó","o"),"ú","u"),"ü","u"),"ñ","n"),"à","a"),"è","e"),"ì","i"),"ò","o"),"ù","u"),"")</f>
        <v/>
      </c>
      <c r="R285" s="25">
        <f>IF(AND(L285=1,I285&lt;&gt;""),SUBSTITUTE(SUBSTITUTE(SUBSTITUTE(SUBSTITUTE(SUBSTITUTE(SUBSTITUTE(SUBSTITUTE(SUBSTITUTE(SUBSTITUTE(SUBSTITUTE(SUBSTITUTE(SUBSTITUTE(LOWER(TRIM(I285)),"á","a"),"é","e"),"í","i"),"ó","o"),"ú","u"),"ü","u"),"ñ","n"),"à","a"),"è","e"),"ì","i"),"ò","o"),"ù","u"),"")</f>
        <v/>
      </c>
      <c r="S285" s="25">
        <f>IF(R285="","",IF(OR(R285="si",R285="tal vez"),1,0))</f>
        <v/>
      </c>
      <c r="T285" s="25">
        <f>IF(AND(L285=1,D285&lt;&gt;""),IF(IFERROR(COUNTIFS(D$3:D285,"="&amp;SUBSTITUTE(SUBSTITUTE(SUBSTITUTE(D285,"~","~~"),"*","~*"),"?","~?"),L$3:L285,1),0)=1,MAX(T$2:T284)+1,""),"")</f>
        <v/>
      </c>
      <c r="U285" s="25">
        <f>IF(T285="","",COUNTIFS($D$3:$D$1002,"="&amp;SUBSTITUTE(SUBSTITUTE(SUBSTITUTE(D285,"~","~~"),"*","~*"),"?","~?"),$L$3:$L$1002,1)*10000-T285)</f>
        <v/>
      </c>
      <c r="V285" s="25">
        <f>IF(AND(L285=1,J285&lt;&gt;""),IF(IFERROR(COUNTIFS(J$3:J285,"="&amp;SUBSTITUTE(SUBSTITUTE(SUBSTITUTE(J285,"~","~~"),"*","~*"),"?","~?"),L$3:L285,1),0)=1,MAX(V$2:V284)+1,""),"")</f>
        <v/>
      </c>
      <c r="W285" s="25">
        <f>IF(V285="","",COUNTIFS($J$3:$J$1002,"="&amp;SUBSTITUTE(SUBSTITUTE(SUBSTITUTE(J285,"~","~~"),"*","~*"),"?","~?"),$L$3:$L$1002,1)*10000-V285)</f>
        <v/>
      </c>
    </row>
    <row r="286">
      <c r="A286">
        <f>IF(A$2=0,"",IFERROR(TRIM(INDEX('Pegar estudiantes'!$A$1:$BZ$1001,285,A$2)&amp;""),""))</f>
        <v/>
      </c>
      <c r="B286">
        <f>IF(B$2=0,"",IFERROR(TRIM(INDEX('Pegar estudiantes'!$A$1:$BZ$1001,285,B$2)&amp;""),""))</f>
        <v/>
      </c>
      <c r="C286">
        <f>IF(C$2=0,"",IFERROR(TRIM(INDEX('Pegar estudiantes'!$A$1:$BZ$1001,285,C$2)&amp;""),""))</f>
        <v/>
      </c>
      <c r="D286">
        <f>IF(D$2=0,"",IFERROR(TRIM(INDEX('Pegar estudiantes'!$A$1:$BZ$1001,285,D$2)&amp;""),""))</f>
        <v/>
      </c>
      <c r="E286">
        <f>IF(E$2=0,"",IFERROR(TRIM(INDEX('Pegar estudiantes'!$A$1:$BZ$1001,285,E$2)&amp;""),""))</f>
        <v/>
      </c>
      <c r="F286">
        <f>IF(F$2=0,"",IFERROR(TRIM(INDEX('Pegar estudiantes'!$A$1:$BZ$1001,285,F$2)&amp;""),""))</f>
        <v/>
      </c>
      <c r="G286">
        <f>IF(G$2=0,"",IFERROR(TRIM(INDEX('Pegar estudiantes'!$A$1:$BZ$1001,285,G$2)&amp;""),""))</f>
        <v/>
      </c>
      <c r="H286">
        <f>IF(H$2=0,"",IFERROR(TRIM(INDEX('Pegar estudiantes'!$A$1:$BZ$1001,285,H$2)&amp;""),""))</f>
        <v/>
      </c>
      <c r="I286">
        <f>IF(I$2=0,"",IFERROR(TRIM(INDEX('Pegar estudiantes'!$A$1:$BZ$1001,285,I$2)&amp;""),""))</f>
        <v/>
      </c>
      <c r="J286">
        <f>IF(J$2=0,"",IFERROR(TRIM(INDEX('Pegar estudiantes'!$A$1:$BZ$1001,285,J$2)&amp;""),""))</f>
        <v/>
      </c>
      <c r="K286">
        <f>IF(K$2=0,"",IFERROR(TRIM(INDEX('Pegar estudiantes'!$A$1:$BZ$1001,285,K$2)&amp;""),""))</f>
        <v/>
      </c>
      <c r="L286" s="25">
        <f>IF(A286&lt;&gt;"",1,"")</f>
        <v/>
      </c>
      <c r="M286" s="25">
        <f>IF(L286=1,IF(ISNUMBER(FIND("#"&amp;MID(A286,1,1)&amp;"#","#0#1#2#3#4#5#6#7#8#9#")),IF(ISNUMBER(FIND("#"&amp;MID(A286,2,1)&amp;"#","#0#1#2#3#4#5#6#7#8#9#")),IF(AND(VALUE(LEFT(A286,2))&gt;=1,VALUE(LEFT(A286,2))&lt;=5),VALUE(LEFT(A286,2)),""),IF(AND(VALUE(LEFT(A286,1))&gt;=1,VALUE(LEFT(A286,1))&lt;=5),VALUE(LEFT(A286,1)),"")),""),"")</f>
        <v/>
      </c>
      <c r="N286" s="25">
        <f>IF(L286=1,IF(ISNUMBER(FIND("#"&amp;MID(H286,1,1)&amp;"#","#0#1#2#3#4#5#6#7#8#9#")),IF(ISNUMBER(FIND("#"&amp;MID(H286,2,1)&amp;"#","#0#1#2#3#4#5#6#7#8#9#")),IF(AND(VALUE(LEFT(H286,2))&gt;=1,VALUE(LEFT(H286,2))&lt;=5),VALUE(LEFT(H286,2)),""),IF(AND(VALUE(LEFT(H286,1))&gt;=1,VALUE(LEFT(H286,1))&lt;=5),VALUE(LEFT(H286,1)),"")),""),"")</f>
        <v/>
      </c>
      <c r="O286" s="25">
        <f>IF(AND(L286=1,B286&lt;&gt;""),SUBSTITUTE(SUBSTITUTE(SUBSTITUTE(SUBSTITUTE(SUBSTITUTE(SUBSTITUTE(SUBSTITUTE(SUBSTITUTE(SUBSTITUTE(SUBSTITUTE(SUBSTITUTE(SUBSTITUTE(LOWER(TRIM(B286)),"á","a"),"é","e"),"í","i"),"ó","o"),"ú","u"),"ü","u"),"ñ","n"),"à","a"),"è","e"),"ì","i"),"ò","o"),"ù","u"),"")</f>
        <v/>
      </c>
      <c r="P286" s="25">
        <f>IF(AND(L286=1,C286&lt;&gt;""),SUBSTITUTE(SUBSTITUTE(SUBSTITUTE(SUBSTITUTE(SUBSTITUTE(SUBSTITUTE(SUBSTITUTE(SUBSTITUTE(SUBSTITUTE(SUBSTITUTE(SUBSTITUTE(SUBSTITUTE(LOWER(TRIM(C286)),"á","a"),"é","e"),"í","i"),"ó","o"),"ú","u"),"ü","u"),"ñ","n"),"à","a"),"è","e"),"ì","i"),"ò","o"),"ù","u"),"")</f>
        <v/>
      </c>
      <c r="Q286" s="25">
        <f>IF(AND(L286=1,E286&lt;&gt;""),SUBSTITUTE(SUBSTITUTE(SUBSTITUTE(SUBSTITUTE(SUBSTITUTE(SUBSTITUTE(SUBSTITUTE(SUBSTITUTE(SUBSTITUTE(SUBSTITUTE(SUBSTITUTE(SUBSTITUTE(LOWER(TRIM(E286)),"á","a"),"é","e"),"í","i"),"ó","o"),"ú","u"),"ü","u"),"ñ","n"),"à","a"),"è","e"),"ì","i"),"ò","o"),"ù","u"),"")</f>
        <v/>
      </c>
      <c r="R286" s="25">
        <f>IF(AND(L286=1,I286&lt;&gt;""),SUBSTITUTE(SUBSTITUTE(SUBSTITUTE(SUBSTITUTE(SUBSTITUTE(SUBSTITUTE(SUBSTITUTE(SUBSTITUTE(SUBSTITUTE(SUBSTITUTE(SUBSTITUTE(SUBSTITUTE(LOWER(TRIM(I286)),"á","a"),"é","e"),"í","i"),"ó","o"),"ú","u"),"ü","u"),"ñ","n"),"à","a"),"è","e"),"ì","i"),"ò","o"),"ù","u"),"")</f>
        <v/>
      </c>
      <c r="S286" s="25">
        <f>IF(R286="","",IF(OR(R286="si",R286="tal vez"),1,0))</f>
        <v/>
      </c>
      <c r="T286" s="25">
        <f>IF(AND(L286=1,D286&lt;&gt;""),IF(IFERROR(COUNTIFS(D$3:D286,"="&amp;SUBSTITUTE(SUBSTITUTE(SUBSTITUTE(D286,"~","~~"),"*","~*"),"?","~?"),L$3:L286,1),0)=1,MAX(T$2:T285)+1,""),"")</f>
        <v/>
      </c>
      <c r="U286" s="25">
        <f>IF(T286="","",COUNTIFS($D$3:$D$1002,"="&amp;SUBSTITUTE(SUBSTITUTE(SUBSTITUTE(D286,"~","~~"),"*","~*"),"?","~?"),$L$3:$L$1002,1)*10000-T286)</f>
        <v/>
      </c>
      <c r="V286" s="25">
        <f>IF(AND(L286=1,J286&lt;&gt;""),IF(IFERROR(COUNTIFS(J$3:J286,"="&amp;SUBSTITUTE(SUBSTITUTE(SUBSTITUTE(J286,"~","~~"),"*","~*"),"?","~?"),L$3:L286,1),0)=1,MAX(V$2:V285)+1,""),"")</f>
        <v/>
      </c>
      <c r="W286" s="25">
        <f>IF(V286="","",COUNTIFS($J$3:$J$1002,"="&amp;SUBSTITUTE(SUBSTITUTE(SUBSTITUTE(J286,"~","~~"),"*","~*"),"?","~?"),$L$3:$L$1002,1)*10000-V286)</f>
        <v/>
      </c>
    </row>
    <row r="287">
      <c r="A287">
        <f>IF(A$2=0,"",IFERROR(TRIM(INDEX('Pegar estudiantes'!$A$1:$BZ$1001,286,A$2)&amp;""),""))</f>
        <v/>
      </c>
      <c r="B287">
        <f>IF(B$2=0,"",IFERROR(TRIM(INDEX('Pegar estudiantes'!$A$1:$BZ$1001,286,B$2)&amp;""),""))</f>
        <v/>
      </c>
      <c r="C287">
        <f>IF(C$2=0,"",IFERROR(TRIM(INDEX('Pegar estudiantes'!$A$1:$BZ$1001,286,C$2)&amp;""),""))</f>
        <v/>
      </c>
      <c r="D287">
        <f>IF(D$2=0,"",IFERROR(TRIM(INDEX('Pegar estudiantes'!$A$1:$BZ$1001,286,D$2)&amp;""),""))</f>
        <v/>
      </c>
      <c r="E287">
        <f>IF(E$2=0,"",IFERROR(TRIM(INDEX('Pegar estudiantes'!$A$1:$BZ$1001,286,E$2)&amp;""),""))</f>
        <v/>
      </c>
      <c r="F287">
        <f>IF(F$2=0,"",IFERROR(TRIM(INDEX('Pegar estudiantes'!$A$1:$BZ$1001,286,F$2)&amp;""),""))</f>
        <v/>
      </c>
      <c r="G287">
        <f>IF(G$2=0,"",IFERROR(TRIM(INDEX('Pegar estudiantes'!$A$1:$BZ$1001,286,G$2)&amp;""),""))</f>
        <v/>
      </c>
      <c r="H287">
        <f>IF(H$2=0,"",IFERROR(TRIM(INDEX('Pegar estudiantes'!$A$1:$BZ$1001,286,H$2)&amp;""),""))</f>
        <v/>
      </c>
      <c r="I287">
        <f>IF(I$2=0,"",IFERROR(TRIM(INDEX('Pegar estudiantes'!$A$1:$BZ$1001,286,I$2)&amp;""),""))</f>
        <v/>
      </c>
      <c r="J287">
        <f>IF(J$2=0,"",IFERROR(TRIM(INDEX('Pegar estudiantes'!$A$1:$BZ$1001,286,J$2)&amp;""),""))</f>
        <v/>
      </c>
      <c r="K287">
        <f>IF(K$2=0,"",IFERROR(TRIM(INDEX('Pegar estudiantes'!$A$1:$BZ$1001,286,K$2)&amp;""),""))</f>
        <v/>
      </c>
      <c r="L287" s="25">
        <f>IF(A287&lt;&gt;"",1,"")</f>
        <v/>
      </c>
      <c r="M287" s="25">
        <f>IF(L287=1,IF(ISNUMBER(FIND("#"&amp;MID(A287,1,1)&amp;"#","#0#1#2#3#4#5#6#7#8#9#")),IF(ISNUMBER(FIND("#"&amp;MID(A287,2,1)&amp;"#","#0#1#2#3#4#5#6#7#8#9#")),IF(AND(VALUE(LEFT(A287,2))&gt;=1,VALUE(LEFT(A287,2))&lt;=5),VALUE(LEFT(A287,2)),""),IF(AND(VALUE(LEFT(A287,1))&gt;=1,VALUE(LEFT(A287,1))&lt;=5),VALUE(LEFT(A287,1)),"")),""),"")</f>
        <v/>
      </c>
      <c r="N287" s="25">
        <f>IF(L287=1,IF(ISNUMBER(FIND("#"&amp;MID(H287,1,1)&amp;"#","#0#1#2#3#4#5#6#7#8#9#")),IF(ISNUMBER(FIND("#"&amp;MID(H287,2,1)&amp;"#","#0#1#2#3#4#5#6#7#8#9#")),IF(AND(VALUE(LEFT(H287,2))&gt;=1,VALUE(LEFT(H287,2))&lt;=5),VALUE(LEFT(H287,2)),""),IF(AND(VALUE(LEFT(H287,1))&gt;=1,VALUE(LEFT(H287,1))&lt;=5),VALUE(LEFT(H287,1)),"")),""),"")</f>
        <v/>
      </c>
      <c r="O287" s="25">
        <f>IF(AND(L287=1,B287&lt;&gt;""),SUBSTITUTE(SUBSTITUTE(SUBSTITUTE(SUBSTITUTE(SUBSTITUTE(SUBSTITUTE(SUBSTITUTE(SUBSTITUTE(SUBSTITUTE(SUBSTITUTE(SUBSTITUTE(SUBSTITUTE(LOWER(TRIM(B287)),"á","a"),"é","e"),"í","i"),"ó","o"),"ú","u"),"ü","u"),"ñ","n"),"à","a"),"è","e"),"ì","i"),"ò","o"),"ù","u"),"")</f>
        <v/>
      </c>
      <c r="P287" s="25">
        <f>IF(AND(L287=1,C287&lt;&gt;""),SUBSTITUTE(SUBSTITUTE(SUBSTITUTE(SUBSTITUTE(SUBSTITUTE(SUBSTITUTE(SUBSTITUTE(SUBSTITUTE(SUBSTITUTE(SUBSTITUTE(SUBSTITUTE(SUBSTITUTE(LOWER(TRIM(C287)),"á","a"),"é","e"),"í","i"),"ó","o"),"ú","u"),"ü","u"),"ñ","n"),"à","a"),"è","e"),"ì","i"),"ò","o"),"ù","u"),"")</f>
        <v/>
      </c>
      <c r="Q287" s="25">
        <f>IF(AND(L287=1,E287&lt;&gt;""),SUBSTITUTE(SUBSTITUTE(SUBSTITUTE(SUBSTITUTE(SUBSTITUTE(SUBSTITUTE(SUBSTITUTE(SUBSTITUTE(SUBSTITUTE(SUBSTITUTE(SUBSTITUTE(SUBSTITUTE(LOWER(TRIM(E287)),"á","a"),"é","e"),"í","i"),"ó","o"),"ú","u"),"ü","u"),"ñ","n"),"à","a"),"è","e"),"ì","i"),"ò","o"),"ù","u"),"")</f>
        <v/>
      </c>
      <c r="R287" s="25">
        <f>IF(AND(L287=1,I287&lt;&gt;""),SUBSTITUTE(SUBSTITUTE(SUBSTITUTE(SUBSTITUTE(SUBSTITUTE(SUBSTITUTE(SUBSTITUTE(SUBSTITUTE(SUBSTITUTE(SUBSTITUTE(SUBSTITUTE(SUBSTITUTE(LOWER(TRIM(I287)),"á","a"),"é","e"),"í","i"),"ó","o"),"ú","u"),"ü","u"),"ñ","n"),"à","a"),"è","e"),"ì","i"),"ò","o"),"ù","u"),"")</f>
        <v/>
      </c>
      <c r="S287" s="25">
        <f>IF(R287="","",IF(OR(R287="si",R287="tal vez"),1,0))</f>
        <v/>
      </c>
      <c r="T287" s="25">
        <f>IF(AND(L287=1,D287&lt;&gt;""),IF(IFERROR(COUNTIFS(D$3:D287,"="&amp;SUBSTITUTE(SUBSTITUTE(SUBSTITUTE(D287,"~","~~"),"*","~*"),"?","~?"),L$3:L287,1),0)=1,MAX(T$2:T286)+1,""),"")</f>
        <v/>
      </c>
      <c r="U287" s="25">
        <f>IF(T287="","",COUNTIFS($D$3:$D$1002,"="&amp;SUBSTITUTE(SUBSTITUTE(SUBSTITUTE(D287,"~","~~"),"*","~*"),"?","~?"),$L$3:$L$1002,1)*10000-T287)</f>
        <v/>
      </c>
      <c r="V287" s="25">
        <f>IF(AND(L287=1,J287&lt;&gt;""),IF(IFERROR(COUNTIFS(J$3:J287,"="&amp;SUBSTITUTE(SUBSTITUTE(SUBSTITUTE(J287,"~","~~"),"*","~*"),"?","~?"),L$3:L287,1),0)=1,MAX(V$2:V286)+1,""),"")</f>
        <v/>
      </c>
      <c r="W287" s="25">
        <f>IF(V287="","",COUNTIFS($J$3:$J$1002,"="&amp;SUBSTITUTE(SUBSTITUTE(SUBSTITUTE(J287,"~","~~"),"*","~*"),"?","~?"),$L$3:$L$1002,1)*10000-V287)</f>
        <v/>
      </c>
    </row>
    <row r="288">
      <c r="A288">
        <f>IF(A$2=0,"",IFERROR(TRIM(INDEX('Pegar estudiantes'!$A$1:$BZ$1001,287,A$2)&amp;""),""))</f>
        <v/>
      </c>
      <c r="B288">
        <f>IF(B$2=0,"",IFERROR(TRIM(INDEX('Pegar estudiantes'!$A$1:$BZ$1001,287,B$2)&amp;""),""))</f>
        <v/>
      </c>
      <c r="C288">
        <f>IF(C$2=0,"",IFERROR(TRIM(INDEX('Pegar estudiantes'!$A$1:$BZ$1001,287,C$2)&amp;""),""))</f>
        <v/>
      </c>
      <c r="D288">
        <f>IF(D$2=0,"",IFERROR(TRIM(INDEX('Pegar estudiantes'!$A$1:$BZ$1001,287,D$2)&amp;""),""))</f>
        <v/>
      </c>
      <c r="E288">
        <f>IF(E$2=0,"",IFERROR(TRIM(INDEX('Pegar estudiantes'!$A$1:$BZ$1001,287,E$2)&amp;""),""))</f>
        <v/>
      </c>
      <c r="F288">
        <f>IF(F$2=0,"",IFERROR(TRIM(INDEX('Pegar estudiantes'!$A$1:$BZ$1001,287,F$2)&amp;""),""))</f>
        <v/>
      </c>
      <c r="G288">
        <f>IF(G$2=0,"",IFERROR(TRIM(INDEX('Pegar estudiantes'!$A$1:$BZ$1001,287,G$2)&amp;""),""))</f>
        <v/>
      </c>
      <c r="H288">
        <f>IF(H$2=0,"",IFERROR(TRIM(INDEX('Pegar estudiantes'!$A$1:$BZ$1001,287,H$2)&amp;""),""))</f>
        <v/>
      </c>
      <c r="I288">
        <f>IF(I$2=0,"",IFERROR(TRIM(INDEX('Pegar estudiantes'!$A$1:$BZ$1001,287,I$2)&amp;""),""))</f>
        <v/>
      </c>
      <c r="J288">
        <f>IF(J$2=0,"",IFERROR(TRIM(INDEX('Pegar estudiantes'!$A$1:$BZ$1001,287,J$2)&amp;""),""))</f>
        <v/>
      </c>
      <c r="K288">
        <f>IF(K$2=0,"",IFERROR(TRIM(INDEX('Pegar estudiantes'!$A$1:$BZ$1001,287,K$2)&amp;""),""))</f>
        <v/>
      </c>
      <c r="L288" s="25">
        <f>IF(A288&lt;&gt;"",1,"")</f>
        <v/>
      </c>
      <c r="M288" s="25">
        <f>IF(L288=1,IF(ISNUMBER(FIND("#"&amp;MID(A288,1,1)&amp;"#","#0#1#2#3#4#5#6#7#8#9#")),IF(ISNUMBER(FIND("#"&amp;MID(A288,2,1)&amp;"#","#0#1#2#3#4#5#6#7#8#9#")),IF(AND(VALUE(LEFT(A288,2))&gt;=1,VALUE(LEFT(A288,2))&lt;=5),VALUE(LEFT(A288,2)),""),IF(AND(VALUE(LEFT(A288,1))&gt;=1,VALUE(LEFT(A288,1))&lt;=5),VALUE(LEFT(A288,1)),"")),""),"")</f>
        <v/>
      </c>
      <c r="N288" s="25">
        <f>IF(L288=1,IF(ISNUMBER(FIND("#"&amp;MID(H288,1,1)&amp;"#","#0#1#2#3#4#5#6#7#8#9#")),IF(ISNUMBER(FIND("#"&amp;MID(H288,2,1)&amp;"#","#0#1#2#3#4#5#6#7#8#9#")),IF(AND(VALUE(LEFT(H288,2))&gt;=1,VALUE(LEFT(H288,2))&lt;=5),VALUE(LEFT(H288,2)),""),IF(AND(VALUE(LEFT(H288,1))&gt;=1,VALUE(LEFT(H288,1))&lt;=5),VALUE(LEFT(H288,1)),"")),""),"")</f>
        <v/>
      </c>
      <c r="O288" s="25">
        <f>IF(AND(L288=1,B288&lt;&gt;""),SUBSTITUTE(SUBSTITUTE(SUBSTITUTE(SUBSTITUTE(SUBSTITUTE(SUBSTITUTE(SUBSTITUTE(SUBSTITUTE(SUBSTITUTE(SUBSTITUTE(SUBSTITUTE(SUBSTITUTE(LOWER(TRIM(B288)),"á","a"),"é","e"),"í","i"),"ó","o"),"ú","u"),"ü","u"),"ñ","n"),"à","a"),"è","e"),"ì","i"),"ò","o"),"ù","u"),"")</f>
        <v/>
      </c>
      <c r="P288" s="25">
        <f>IF(AND(L288=1,C288&lt;&gt;""),SUBSTITUTE(SUBSTITUTE(SUBSTITUTE(SUBSTITUTE(SUBSTITUTE(SUBSTITUTE(SUBSTITUTE(SUBSTITUTE(SUBSTITUTE(SUBSTITUTE(SUBSTITUTE(SUBSTITUTE(LOWER(TRIM(C288)),"á","a"),"é","e"),"í","i"),"ó","o"),"ú","u"),"ü","u"),"ñ","n"),"à","a"),"è","e"),"ì","i"),"ò","o"),"ù","u"),"")</f>
        <v/>
      </c>
      <c r="Q288" s="25">
        <f>IF(AND(L288=1,E288&lt;&gt;""),SUBSTITUTE(SUBSTITUTE(SUBSTITUTE(SUBSTITUTE(SUBSTITUTE(SUBSTITUTE(SUBSTITUTE(SUBSTITUTE(SUBSTITUTE(SUBSTITUTE(SUBSTITUTE(SUBSTITUTE(LOWER(TRIM(E288)),"á","a"),"é","e"),"í","i"),"ó","o"),"ú","u"),"ü","u"),"ñ","n"),"à","a"),"è","e"),"ì","i"),"ò","o"),"ù","u"),"")</f>
        <v/>
      </c>
      <c r="R288" s="25">
        <f>IF(AND(L288=1,I288&lt;&gt;""),SUBSTITUTE(SUBSTITUTE(SUBSTITUTE(SUBSTITUTE(SUBSTITUTE(SUBSTITUTE(SUBSTITUTE(SUBSTITUTE(SUBSTITUTE(SUBSTITUTE(SUBSTITUTE(SUBSTITUTE(LOWER(TRIM(I288)),"á","a"),"é","e"),"í","i"),"ó","o"),"ú","u"),"ü","u"),"ñ","n"),"à","a"),"è","e"),"ì","i"),"ò","o"),"ù","u"),"")</f>
        <v/>
      </c>
      <c r="S288" s="25">
        <f>IF(R288="","",IF(OR(R288="si",R288="tal vez"),1,0))</f>
        <v/>
      </c>
      <c r="T288" s="25">
        <f>IF(AND(L288=1,D288&lt;&gt;""),IF(IFERROR(COUNTIFS(D$3:D288,"="&amp;SUBSTITUTE(SUBSTITUTE(SUBSTITUTE(D288,"~","~~"),"*","~*"),"?","~?"),L$3:L288,1),0)=1,MAX(T$2:T287)+1,""),"")</f>
        <v/>
      </c>
      <c r="U288" s="25">
        <f>IF(T288="","",COUNTIFS($D$3:$D$1002,"="&amp;SUBSTITUTE(SUBSTITUTE(SUBSTITUTE(D288,"~","~~"),"*","~*"),"?","~?"),$L$3:$L$1002,1)*10000-T288)</f>
        <v/>
      </c>
      <c r="V288" s="25">
        <f>IF(AND(L288=1,J288&lt;&gt;""),IF(IFERROR(COUNTIFS(J$3:J288,"="&amp;SUBSTITUTE(SUBSTITUTE(SUBSTITUTE(J288,"~","~~"),"*","~*"),"?","~?"),L$3:L288,1),0)=1,MAX(V$2:V287)+1,""),"")</f>
        <v/>
      </c>
      <c r="W288" s="25">
        <f>IF(V288="","",COUNTIFS($J$3:$J$1002,"="&amp;SUBSTITUTE(SUBSTITUTE(SUBSTITUTE(J288,"~","~~"),"*","~*"),"?","~?"),$L$3:$L$1002,1)*10000-V288)</f>
        <v/>
      </c>
    </row>
    <row r="289">
      <c r="A289">
        <f>IF(A$2=0,"",IFERROR(TRIM(INDEX('Pegar estudiantes'!$A$1:$BZ$1001,288,A$2)&amp;""),""))</f>
        <v/>
      </c>
      <c r="B289">
        <f>IF(B$2=0,"",IFERROR(TRIM(INDEX('Pegar estudiantes'!$A$1:$BZ$1001,288,B$2)&amp;""),""))</f>
        <v/>
      </c>
      <c r="C289">
        <f>IF(C$2=0,"",IFERROR(TRIM(INDEX('Pegar estudiantes'!$A$1:$BZ$1001,288,C$2)&amp;""),""))</f>
        <v/>
      </c>
      <c r="D289">
        <f>IF(D$2=0,"",IFERROR(TRIM(INDEX('Pegar estudiantes'!$A$1:$BZ$1001,288,D$2)&amp;""),""))</f>
        <v/>
      </c>
      <c r="E289">
        <f>IF(E$2=0,"",IFERROR(TRIM(INDEX('Pegar estudiantes'!$A$1:$BZ$1001,288,E$2)&amp;""),""))</f>
        <v/>
      </c>
      <c r="F289">
        <f>IF(F$2=0,"",IFERROR(TRIM(INDEX('Pegar estudiantes'!$A$1:$BZ$1001,288,F$2)&amp;""),""))</f>
        <v/>
      </c>
      <c r="G289">
        <f>IF(G$2=0,"",IFERROR(TRIM(INDEX('Pegar estudiantes'!$A$1:$BZ$1001,288,G$2)&amp;""),""))</f>
        <v/>
      </c>
      <c r="H289">
        <f>IF(H$2=0,"",IFERROR(TRIM(INDEX('Pegar estudiantes'!$A$1:$BZ$1001,288,H$2)&amp;""),""))</f>
        <v/>
      </c>
      <c r="I289">
        <f>IF(I$2=0,"",IFERROR(TRIM(INDEX('Pegar estudiantes'!$A$1:$BZ$1001,288,I$2)&amp;""),""))</f>
        <v/>
      </c>
      <c r="J289">
        <f>IF(J$2=0,"",IFERROR(TRIM(INDEX('Pegar estudiantes'!$A$1:$BZ$1001,288,J$2)&amp;""),""))</f>
        <v/>
      </c>
      <c r="K289">
        <f>IF(K$2=0,"",IFERROR(TRIM(INDEX('Pegar estudiantes'!$A$1:$BZ$1001,288,K$2)&amp;""),""))</f>
        <v/>
      </c>
      <c r="L289" s="25">
        <f>IF(A289&lt;&gt;"",1,"")</f>
        <v/>
      </c>
      <c r="M289" s="25">
        <f>IF(L289=1,IF(ISNUMBER(FIND("#"&amp;MID(A289,1,1)&amp;"#","#0#1#2#3#4#5#6#7#8#9#")),IF(ISNUMBER(FIND("#"&amp;MID(A289,2,1)&amp;"#","#0#1#2#3#4#5#6#7#8#9#")),IF(AND(VALUE(LEFT(A289,2))&gt;=1,VALUE(LEFT(A289,2))&lt;=5),VALUE(LEFT(A289,2)),""),IF(AND(VALUE(LEFT(A289,1))&gt;=1,VALUE(LEFT(A289,1))&lt;=5),VALUE(LEFT(A289,1)),"")),""),"")</f>
        <v/>
      </c>
      <c r="N289" s="25">
        <f>IF(L289=1,IF(ISNUMBER(FIND("#"&amp;MID(H289,1,1)&amp;"#","#0#1#2#3#4#5#6#7#8#9#")),IF(ISNUMBER(FIND("#"&amp;MID(H289,2,1)&amp;"#","#0#1#2#3#4#5#6#7#8#9#")),IF(AND(VALUE(LEFT(H289,2))&gt;=1,VALUE(LEFT(H289,2))&lt;=5),VALUE(LEFT(H289,2)),""),IF(AND(VALUE(LEFT(H289,1))&gt;=1,VALUE(LEFT(H289,1))&lt;=5),VALUE(LEFT(H289,1)),"")),""),"")</f>
        <v/>
      </c>
      <c r="O289" s="25">
        <f>IF(AND(L289=1,B289&lt;&gt;""),SUBSTITUTE(SUBSTITUTE(SUBSTITUTE(SUBSTITUTE(SUBSTITUTE(SUBSTITUTE(SUBSTITUTE(SUBSTITUTE(SUBSTITUTE(SUBSTITUTE(SUBSTITUTE(SUBSTITUTE(LOWER(TRIM(B289)),"á","a"),"é","e"),"í","i"),"ó","o"),"ú","u"),"ü","u"),"ñ","n"),"à","a"),"è","e"),"ì","i"),"ò","o"),"ù","u"),"")</f>
        <v/>
      </c>
      <c r="P289" s="25">
        <f>IF(AND(L289=1,C289&lt;&gt;""),SUBSTITUTE(SUBSTITUTE(SUBSTITUTE(SUBSTITUTE(SUBSTITUTE(SUBSTITUTE(SUBSTITUTE(SUBSTITUTE(SUBSTITUTE(SUBSTITUTE(SUBSTITUTE(SUBSTITUTE(LOWER(TRIM(C289)),"á","a"),"é","e"),"í","i"),"ó","o"),"ú","u"),"ü","u"),"ñ","n"),"à","a"),"è","e"),"ì","i"),"ò","o"),"ù","u"),"")</f>
        <v/>
      </c>
      <c r="Q289" s="25">
        <f>IF(AND(L289=1,E289&lt;&gt;""),SUBSTITUTE(SUBSTITUTE(SUBSTITUTE(SUBSTITUTE(SUBSTITUTE(SUBSTITUTE(SUBSTITUTE(SUBSTITUTE(SUBSTITUTE(SUBSTITUTE(SUBSTITUTE(SUBSTITUTE(LOWER(TRIM(E289)),"á","a"),"é","e"),"í","i"),"ó","o"),"ú","u"),"ü","u"),"ñ","n"),"à","a"),"è","e"),"ì","i"),"ò","o"),"ù","u"),"")</f>
        <v/>
      </c>
      <c r="R289" s="25">
        <f>IF(AND(L289=1,I289&lt;&gt;""),SUBSTITUTE(SUBSTITUTE(SUBSTITUTE(SUBSTITUTE(SUBSTITUTE(SUBSTITUTE(SUBSTITUTE(SUBSTITUTE(SUBSTITUTE(SUBSTITUTE(SUBSTITUTE(SUBSTITUTE(LOWER(TRIM(I289)),"á","a"),"é","e"),"í","i"),"ó","o"),"ú","u"),"ü","u"),"ñ","n"),"à","a"),"è","e"),"ì","i"),"ò","o"),"ù","u"),"")</f>
        <v/>
      </c>
      <c r="S289" s="25">
        <f>IF(R289="","",IF(OR(R289="si",R289="tal vez"),1,0))</f>
        <v/>
      </c>
      <c r="T289" s="25">
        <f>IF(AND(L289=1,D289&lt;&gt;""),IF(IFERROR(COUNTIFS(D$3:D289,"="&amp;SUBSTITUTE(SUBSTITUTE(SUBSTITUTE(D289,"~","~~"),"*","~*"),"?","~?"),L$3:L289,1),0)=1,MAX(T$2:T288)+1,""),"")</f>
        <v/>
      </c>
      <c r="U289" s="25">
        <f>IF(T289="","",COUNTIFS($D$3:$D$1002,"="&amp;SUBSTITUTE(SUBSTITUTE(SUBSTITUTE(D289,"~","~~"),"*","~*"),"?","~?"),$L$3:$L$1002,1)*10000-T289)</f>
        <v/>
      </c>
      <c r="V289" s="25">
        <f>IF(AND(L289=1,J289&lt;&gt;""),IF(IFERROR(COUNTIFS(J$3:J289,"="&amp;SUBSTITUTE(SUBSTITUTE(SUBSTITUTE(J289,"~","~~"),"*","~*"),"?","~?"),L$3:L289,1),0)=1,MAX(V$2:V288)+1,""),"")</f>
        <v/>
      </c>
      <c r="W289" s="25">
        <f>IF(V289="","",COUNTIFS($J$3:$J$1002,"="&amp;SUBSTITUTE(SUBSTITUTE(SUBSTITUTE(J289,"~","~~"),"*","~*"),"?","~?"),$L$3:$L$1002,1)*10000-V289)</f>
        <v/>
      </c>
    </row>
    <row r="290">
      <c r="A290">
        <f>IF(A$2=0,"",IFERROR(TRIM(INDEX('Pegar estudiantes'!$A$1:$BZ$1001,289,A$2)&amp;""),""))</f>
        <v/>
      </c>
      <c r="B290">
        <f>IF(B$2=0,"",IFERROR(TRIM(INDEX('Pegar estudiantes'!$A$1:$BZ$1001,289,B$2)&amp;""),""))</f>
        <v/>
      </c>
      <c r="C290">
        <f>IF(C$2=0,"",IFERROR(TRIM(INDEX('Pegar estudiantes'!$A$1:$BZ$1001,289,C$2)&amp;""),""))</f>
        <v/>
      </c>
      <c r="D290">
        <f>IF(D$2=0,"",IFERROR(TRIM(INDEX('Pegar estudiantes'!$A$1:$BZ$1001,289,D$2)&amp;""),""))</f>
        <v/>
      </c>
      <c r="E290">
        <f>IF(E$2=0,"",IFERROR(TRIM(INDEX('Pegar estudiantes'!$A$1:$BZ$1001,289,E$2)&amp;""),""))</f>
        <v/>
      </c>
      <c r="F290">
        <f>IF(F$2=0,"",IFERROR(TRIM(INDEX('Pegar estudiantes'!$A$1:$BZ$1001,289,F$2)&amp;""),""))</f>
        <v/>
      </c>
      <c r="G290">
        <f>IF(G$2=0,"",IFERROR(TRIM(INDEX('Pegar estudiantes'!$A$1:$BZ$1001,289,G$2)&amp;""),""))</f>
        <v/>
      </c>
      <c r="H290">
        <f>IF(H$2=0,"",IFERROR(TRIM(INDEX('Pegar estudiantes'!$A$1:$BZ$1001,289,H$2)&amp;""),""))</f>
        <v/>
      </c>
      <c r="I290">
        <f>IF(I$2=0,"",IFERROR(TRIM(INDEX('Pegar estudiantes'!$A$1:$BZ$1001,289,I$2)&amp;""),""))</f>
        <v/>
      </c>
      <c r="J290">
        <f>IF(J$2=0,"",IFERROR(TRIM(INDEX('Pegar estudiantes'!$A$1:$BZ$1001,289,J$2)&amp;""),""))</f>
        <v/>
      </c>
      <c r="K290">
        <f>IF(K$2=0,"",IFERROR(TRIM(INDEX('Pegar estudiantes'!$A$1:$BZ$1001,289,K$2)&amp;""),""))</f>
        <v/>
      </c>
      <c r="L290" s="25">
        <f>IF(A290&lt;&gt;"",1,"")</f>
        <v/>
      </c>
      <c r="M290" s="25">
        <f>IF(L290=1,IF(ISNUMBER(FIND("#"&amp;MID(A290,1,1)&amp;"#","#0#1#2#3#4#5#6#7#8#9#")),IF(ISNUMBER(FIND("#"&amp;MID(A290,2,1)&amp;"#","#0#1#2#3#4#5#6#7#8#9#")),IF(AND(VALUE(LEFT(A290,2))&gt;=1,VALUE(LEFT(A290,2))&lt;=5),VALUE(LEFT(A290,2)),""),IF(AND(VALUE(LEFT(A290,1))&gt;=1,VALUE(LEFT(A290,1))&lt;=5),VALUE(LEFT(A290,1)),"")),""),"")</f>
        <v/>
      </c>
      <c r="N290" s="25">
        <f>IF(L290=1,IF(ISNUMBER(FIND("#"&amp;MID(H290,1,1)&amp;"#","#0#1#2#3#4#5#6#7#8#9#")),IF(ISNUMBER(FIND("#"&amp;MID(H290,2,1)&amp;"#","#0#1#2#3#4#5#6#7#8#9#")),IF(AND(VALUE(LEFT(H290,2))&gt;=1,VALUE(LEFT(H290,2))&lt;=5),VALUE(LEFT(H290,2)),""),IF(AND(VALUE(LEFT(H290,1))&gt;=1,VALUE(LEFT(H290,1))&lt;=5),VALUE(LEFT(H290,1)),"")),""),"")</f>
        <v/>
      </c>
      <c r="O290" s="25">
        <f>IF(AND(L290=1,B290&lt;&gt;""),SUBSTITUTE(SUBSTITUTE(SUBSTITUTE(SUBSTITUTE(SUBSTITUTE(SUBSTITUTE(SUBSTITUTE(SUBSTITUTE(SUBSTITUTE(SUBSTITUTE(SUBSTITUTE(SUBSTITUTE(LOWER(TRIM(B290)),"á","a"),"é","e"),"í","i"),"ó","o"),"ú","u"),"ü","u"),"ñ","n"),"à","a"),"è","e"),"ì","i"),"ò","o"),"ù","u"),"")</f>
        <v/>
      </c>
      <c r="P290" s="25">
        <f>IF(AND(L290=1,C290&lt;&gt;""),SUBSTITUTE(SUBSTITUTE(SUBSTITUTE(SUBSTITUTE(SUBSTITUTE(SUBSTITUTE(SUBSTITUTE(SUBSTITUTE(SUBSTITUTE(SUBSTITUTE(SUBSTITUTE(SUBSTITUTE(LOWER(TRIM(C290)),"á","a"),"é","e"),"í","i"),"ó","o"),"ú","u"),"ü","u"),"ñ","n"),"à","a"),"è","e"),"ì","i"),"ò","o"),"ù","u"),"")</f>
        <v/>
      </c>
      <c r="Q290" s="25">
        <f>IF(AND(L290=1,E290&lt;&gt;""),SUBSTITUTE(SUBSTITUTE(SUBSTITUTE(SUBSTITUTE(SUBSTITUTE(SUBSTITUTE(SUBSTITUTE(SUBSTITUTE(SUBSTITUTE(SUBSTITUTE(SUBSTITUTE(SUBSTITUTE(LOWER(TRIM(E290)),"á","a"),"é","e"),"í","i"),"ó","o"),"ú","u"),"ü","u"),"ñ","n"),"à","a"),"è","e"),"ì","i"),"ò","o"),"ù","u"),"")</f>
        <v/>
      </c>
      <c r="R290" s="25">
        <f>IF(AND(L290=1,I290&lt;&gt;""),SUBSTITUTE(SUBSTITUTE(SUBSTITUTE(SUBSTITUTE(SUBSTITUTE(SUBSTITUTE(SUBSTITUTE(SUBSTITUTE(SUBSTITUTE(SUBSTITUTE(SUBSTITUTE(SUBSTITUTE(LOWER(TRIM(I290)),"á","a"),"é","e"),"í","i"),"ó","o"),"ú","u"),"ü","u"),"ñ","n"),"à","a"),"è","e"),"ì","i"),"ò","o"),"ù","u"),"")</f>
        <v/>
      </c>
      <c r="S290" s="25">
        <f>IF(R290="","",IF(OR(R290="si",R290="tal vez"),1,0))</f>
        <v/>
      </c>
      <c r="T290" s="25">
        <f>IF(AND(L290=1,D290&lt;&gt;""),IF(IFERROR(COUNTIFS(D$3:D290,"="&amp;SUBSTITUTE(SUBSTITUTE(SUBSTITUTE(D290,"~","~~"),"*","~*"),"?","~?"),L$3:L290,1),0)=1,MAX(T$2:T289)+1,""),"")</f>
        <v/>
      </c>
      <c r="U290" s="25">
        <f>IF(T290="","",COUNTIFS($D$3:$D$1002,"="&amp;SUBSTITUTE(SUBSTITUTE(SUBSTITUTE(D290,"~","~~"),"*","~*"),"?","~?"),$L$3:$L$1002,1)*10000-T290)</f>
        <v/>
      </c>
      <c r="V290" s="25">
        <f>IF(AND(L290=1,J290&lt;&gt;""),IF(IFERROR(COUNTIFS(J$3:J290,"="&amp;SUBSTITUTE(SUBSTITUTE(SUBSTITUTE(J290,"~","~~"),"*","~*"),"?","~?"),L$3:L290,1),0)=1,MAX(V$2:V289)+1,""),"")</f>
        <v/>
      </c>
      <c r="W290" s="25">
        <f>IF(V290="","",COUNTIFS($J$3:$J$1002,"="&amp;SUBSTITUTE(SUBSTITUTE(SUBSTITUTE(J290,"~","~~"),"*","~*"),"?","~?"),$L$3:$L$1002,1)*10000-V290)</f>
        <v/>
      </c>
    </row>
    <row r="291">
      <c r="A291">
        <f>IF(A$2=0,"",IFERROR(TRIM(INDEX('Pegar estudiantes'!$A$1:$BZ$1001,290,A$2)&amp;""),""))</f>
        <v/>
      </c>
      <c r="B291">
        <f>IF(B$2=0,"",IFERROR(TRIM(INDEX('Pegar estudiantes'!$A$1:$BZ$1001,290,B$2)&amp;""),""))</f>
        <v/>
      </c>
      <c r="C291">
        <f>IF(C$2=0,"",IFERROR(TRIM(INDEX('Pegar estudiantes'!$A$1:$BZ$1001,290,C$2)&amp;""),""))</f>
        <v/>
      </c>
      <c r="D291">
        <f>IF(D$2=0,"",IFERROR(TRIM(INDEX('Pegar estudiantes'!$A$1:$BZ$1001,290,D$2)&amp;""),""))</f>
        <v/>
      </c>
      <c r="E291">
        <f>IF(E$2=0,"",IFERROR(TRIM(INDEX('Pegar estudiantes'!$A$1:$BZ$1001,290,E$2)&amp;""),""))</f>
        <v/>
      </c>
      <c r="F291">
        <f>IF(F$2=0,"",IFERROR(TRIM(INDEX('Pegar estudiantes'!$A$1:$BZ$1001,290,F$2)&amp;""),""))</f>
        <v/>
      </c>
      <c r="G291">
        <f>IF(G$2=0,"",IFERROR(TRIM(INDEX('Pegar estudiantes'!$A$1:$BZ$1001,290,G$2)&amp;""),""))</f>
        <v/>
      </c>
      <c r="H291">
        <f>IF(H$2=0,"",IFERROR(TRIM(INDEX('Pegar estudiantes'!$A$1:$BZ$1001,290,H$2)&amp;""),""))</f>
        <v/>
      </c>
      <c r="I291">
        <f>IF(I$2=0,"",IFERROR(TRIM(INDEX('Pegar estudiantes'!$A$1:$BZ$1001,290,I$2)&amp;""),""))</f>
        <v/>
      </c>
      <c r="J291">
        <f>IF(J$2=0,"",IFERROR(TRIM(INDEX('Pegar estudiantes'!$A$1:$BZ$1001,290,J$2)&amp;""),""))</f>
        <v/>
      </c>
      <c r="K291">
        <f>IF(K$2=0,"",IFERROR(TRIM(INDEX('Pegar estudiantes'!$A$1:$BZ$1001,290,K$2)&amp;""),""))</f>
        <v/>
      </c>
      <c r="L291" s="25">
        <f>IF(A291&lt;&gt;"",1,"")</f>
        <v/>
      </c>
      <c r="M291" s="25">
        <f>IF(L291=1,IF(ISNUMBER(FIND("#"&amp;MID(A291,1,1)&amp;"#","#0#1#2#3#4#5#6#7#8#9#")),IF(ISNUMBER(FIND("#"&amp;MID(A291,2,1)&amp;"#","#0#1#2#3#4#5#6#7#8#9#")),IF(AND(VALUE(LEFT(A291,2))&gt;=1,VALUE(LEFT(A291,2))&lt;=5),VALUE(LEFT(A291,2)),""),IF(AND(VALUE(LEFT(A291,1))&gt;=1,VALUE(LEFT(A291,1))&lt;=5),VALUE(LEFT(A291,1)),"")),""),"")</f>
        <v/>
      </c>
      <c r="N291" s="25">
        <f>IF(L291=1,IF(ISNUMBER(FIND("#"&amp;MID(H291,1,1)&amp;"#","#0#1#2#3#4#5#6#7#8#9#")),IF(ISNUMBER(FIND("#"&amp;MID(H291,2,1)&amp;"#","#0#1#2#3#4#5#6#7#8#9#")),IF(AND(VALUE(LEFT(H291,2))&gt;=1,VALUE(LEFT(H291,2))&lt;=5),VALUE(LEFT(H291,2)),""),IF(AND(VALUE(LEFT(H291,1))&gt;=1,VALUE(LEFT(H291,1))&lt;=5),VALUE(LEFT(H291,1)),"")),""),"")</f>
        <v/>
      </c>
      <c r="O291" s="25">
        <f>IF(AND(L291=1,B291&lt;&gt;""),SUBSTITUTE(SUBSTITUTE(SUBSTITUTE(SUBSTITUTE(SUBSTITUTE(SUBSTITUTE(SUBSTITUTE(SUBSTITUTE(SUBSTITUTE(SUBSTITUTE(SUBSTITUTE(SUBSTITUTE(LOWER(TRIM(B291)),"á","a"),"é","e"),"í","i"),"ó","o"),"ú","u"),"ü","u"),"ñ","n"),"à","a"),"è","e"),"ì","i"),"ò","o"),"ù","u"),"")</f>
        <v/>
      </c>
      <c r="P291" s="25">
        <f>IF(AND(L291=1,C291&lt;&gt;""),SUBSTITUTE(SUBSTITUTE(SUBSTITUTE(SUBSTITUTE(SUBSTITUTE(SUBSTITUTE(SUBSTITUTE(SUBSTITUTE(SUBSTITUTE(SUBSTITUTE(SUBSTITUTE(SUBSTITUTE(LOWER(TRIM(C291)),"á","a"),"é","e"),"í","i"),"ó","o"),"ú","u"),"ü","u"),"ñ","n"),"à","a"),"è","e"),"ì","i"),"ò","o"),"ù","u"),"")</f>
        <v/>
      </c>
      <c r="Q291" s="25">
        <f>IF(AND(L291=1,E291&lt;&gt;""),SUBSTITUTE(SUBSTITUTE(SUBSTITUTE(SUBSTITUTE(SUBSTITUTE(SUBSTITUTE(SUBSTITUTE(SUBSTITUTE(SUBSTITUTE(SUBSTITUTE(SUBSTITUTE(SUBSTITUTE(LOWER(TRIM(E291)),"á","a"),"é","e"),"í","i"),"ó","o"),"ú","u"),"ü","u"),"ñ","n"),"à","a"),"è","e"),"ì","i"),"ò","o"),"ù","u"),"")</f>
        <v/>
      </c>
      <c r="R291" s="25">
        <f>IF(AND(L291=1,I291&lt;&gt;""),SUBSTITUTE(SUBSTITUTE(SUBSTITUTE(SUBSTITUTE(SUBSTITUTE(SUBSTITUTE(SUBSTITUTE(SUBSTITUTE(SUBSTITUTE(SUBSTITUTE(SUBSTITUTE(SUBSTITUTE(LOWER(TRIM(I291)),"á","a"),"é","e"),"í","i"),"ó","o"),"ú","u"),"ü","u"),"ñ","n"),"à","a"),"è","e"),"ì","i"),"ò","o"),"ù","u"),"")</f>
        <v/>
      </c>
      <c r="S291" s="25">
        <f>IF(R291="","",IF(OR(R291="si",R291="tal vez"),1,0))</f>
        <v/>
      </c>
      <c r="T291" s="25">
        <f>IF(AND(L291=1,D291&lt;&gt;""),IF(IFERROR(COUNTIFS(D$3:D291,"="&amp;SUBSTITUTE(SUBSTITUTE(SUBSTITUTE(D291,"~","~~"),"*","~*"),"?","~?"),L$3:L291,1),0)=1,MAX(T$2:T290)+1,""),"")</f>
        <v/>
      </c>
      <c r="U291" s="25">
        <f>IF(T291="","",COUNTIFS($D$3:$D$1002,"="&amp;SUBSTITUTE(SUBSTITUTE(SUBSTITUTE(D291,"~","~~"),"*","~*"),"?","~?"),$L$3:$L$1002,1)*10000-T291)</f>
        <v/>
      </c>
      <c r="V291" s="25">
        <f>IF(AND(L291=1,J291&lt;&gt;""),IF(IFERROR(COUNTIFS(J$3:J291,"="&amp;SUBSTITUTE(SUBSTITUTE(SUBSTITUTE(J291,"~","~~"),"*","~*"),"?","~?"),L$3:L291,1),0)=1,MAX(V$2:V290)+1,""),"")</f>
        <v/>
      </c>
      <c r="W291" s="25">
        <f>IF(V291="","",COUNTIFS($J$3:$J$1002,"="&amp;SUBSTITUTE(SUBSTITUTE(SUBSTITUTE(J291,"~","~~"),"*","~*"),"?","~?"),$L$3:$L$1002,1)*10000-V291)</f>
        <v/>
      </c>
    </row>
    <row r="292">
      <c r="A292">
        <f>IF(A$2=0,"",IFERROR(TRIM(INDEX('Pegar estudiantes'!$A$1:$BZ$1001,291,A$2)&amp;""),""))</f>
        <v/>
      </c>
      <c r="B292">
        <f>IF(B$2=0,"",IFERROR(TRIM(INDEX('Pegar estudiantes'!$A$1:$BZ$1001,291,B$2)&amp;""),""))</f>
        <v/>
      </c>
      <c r="C292">
        <f>IF(C$2=0,"",IFERROR(TRIM(INDEX('Pegar estudiantes'!$A$1:$BZ$1001,291,C$2)&amp;""),""))</f>
        <v/>
      </c>
      <c r="D292">
        <f>IF(D$2=0,"",IFERROR(TRIM(INDEX('Pegar estudiantes'!$A$1:$BZ$1001,291,D$2)&amp;""),""))</f>
        <v/>
      </c>
      <c r="E292">
        <f>IF(E$2=0,"",IFERROR(TRIM(INDEX('Pegar estudiantes'!$A$1:$BZ$1001,291,E$2)&amp;""),""))</f>
        <v/>
      </c>
      <c r="F292">
        <f>IF(F$2=0,"",IFERROR(TRIM(INDEX('Pegar estudiantes'!$A$1:$BZ$1001,291,F$2)&amp;""),""))</f>
        <v/>
      </c>
      <c r="G292">
        <f>IF(G$2=0,"",IFERROR(TRIM(INDEX('Pegar estudiantes'!$A$1:$BZ$1001,291,G$2)&amp;""),""))</f>
        <v/>
      </c>
      <c r="H292">
        <f>IF(H$2=0,"",IFERROR(TRIM(INDEX('Pegar estudiantes'!$A$1:$BZ$1001,291,H$2)&amp;""),""))</f>
        <v/>
      </c>
      <c r="I292">
        <f>IF(I$2=0,"",IFERROR(TRIM(INDEX('Pegar estudiantes'!$A$1:$BZ$1001,291,I$2)&amp;""),""))</f>
        <v/>
      </c>
      <c r="J292">
        <f>IF(J$2=0,"",IFERROR(TRIM(INDEX('Pegar estudiantes'!$A$1:$BZ$1001,291,J$2)&amp;""),""))</f>
        <v/>
      </c>
      <c r="K292">
        <f>IF(K$2=0,"",IFERROR(TRIM(INDEX('Pegar estudiantes'!$A$1:$BZ$1001,291,K$2)&amp;""),""))</f>
        <v/>
      </c>
      <c r="L292" s="25">
        <f>IF(A292&lt;&gt;"",1,"")</f>
        <v/>
      </c>
      <c r="M292" s="25">
        <f>IF(L292=1,IF(ISNUMBER(FIND("#"&amp;MID(A292,1,1)&amp;"#","#0#1#2#3#4#5#6#7#8#9#")),IF(ISNUMBER(FIND("#"&amp;MID(A292,2,1)&amp;"#","#0#1#2#3#4#5#6#7#8#9#")),IF(AND(VALUE(LEFT(A292,2))&gt;=1,VALUE(LEFT(A292,2))&lt;=5),VALUE(LEFT(A292,2)),""),IF(AND(VALUE(LEFT(A292,1))&gt;=1,VALUE(LEFT(A292,1))&lt;=5),VALUE(LEFT(A292,1)),"")),""),"")</f>
        <v/>
      </c>
      <c r="N292" s="25">
        <f>IF(L292=1,IF(ISNUMBER(FIND("#"&amp;MID(H292,1,1)&amp;"#","#0#1#2#3#4#5#6#7#8#9#")),IF(ISNUMBER(FIND("#"&amp;MID(H292,2,1)&amp;"#","#0#1#2#3#4#5#6#7#8#9#")),IF(AND(VALUE(LEFT(H292,2))&gt;=1,VALUE(LEFT(H292,2))&lt;=5),VALUE(LEFT(H292,2)),""),IF(AND(VALUE(LEFT(H292,1))&gt;=1,VALUE(LEFT(H292,1))&lt;=5),VALUE(LEFT(H292,1)),"")),""),"")</f>
        <v/>
      </c>
      <c r="O292" s="25">
        <f>IF(AND(L292=1,B292&lt;&gt;""),SUBSTITUTE(SUBSTITUTE(SUBSTITUTE(SUBSTITUTE(SUBSTITUTE(SUBSTITUTE(SUBSTITUTE(SUBSTITUTE(SUBSTITUTE(SUBSTITUTE(SUBSTITUTE(SUBSTITUTE(LOWER(TRIM(B292)),"á","a"),"é","e"),"í","i"),"ó","o"),"ú","u"),"ü","u"),"ñ","n"),"à","a"),"è","e"),"ì","i"),"ò","o"),"ù","u"),"")</f>
        <v/>
      </c>
      <c r="P292" s="25">
        <f>IF(AND(L292=1,C292&lt;&gt;""),SUBSTITUTE(SUBSTITUTE(SUBSTITUTE(SUBSTITUTE(SUBSTITUTE(SUBSTITUTE(SUBSTITUTE(SUBSTITUTE(SUBSTITUTE(SUBSTITUTE(SUBSTITUTE(SUBSTITUTE(LOWER(TRIM(C292)),"á","a"),"é","e"),"í","i"),"ó","o"),"ú","u"),"ü","u"),"ñ","n"),"à","a"),"è","e"),"ì","i"),"ò","o"),"ù","u"),"")</f>
        <v/>
      </c>
      <c r="Q292" s="25">
        <f>IF(AND(L292=1,E292&lt;&gt;""),SUBSTITUTE(SUBSTITUTE(SUBSTITUTE(SUBSTITUTE(SUBSTITUTE(SUBSTITUTE(SUBSTITUTE(SUBSTITUTE(SUBSTITUTE(SUBSTITUTE(SUBSTITUTE(SUBSTITUTE(LOWER(TRIM(E292)),"á","a"),"é","e"),"í","i"),"ó","o"),"ú","u"),"ü","u"),"ñ","n"),"à","a"),"è","e"),"ì","i"),"ò","o"),"ù","u"),"")</f>
        <v/>
      </c>
      <c r="R292" s="25">
        <f>IF(AND(L292=1,I292&lt;&gt;""),SUBSTITUTE(SUBSTITUTE(SUBSTITUTE(SUBSTITUTE(SUBSTITUTE(SUBSTITUTE(SUBSTITUTE(SUBSTITUTE(SUBSTITUTE(SUBSTITUTE(SUBSTITUTE(SUBSTITUTE(LOWER(TRIM(I292)),"á","a"),"é","e"),"í","i"),"ó","o"),"ú","u"),"ü","u"),"ñ","n"),"à","a"),"è","e"),"ì","i"),"ò","o"),"ù","u"),"")</f>
        <v/>
      </c>
      <c r="S292" s="25">
        <f>IF(R292="","",IF(OR(R292="si",R292="tal vez"),1,0))</f>
        <v/>
      </c>
      <c r="T292" s="25">
        <f>IF(AND(L292=1,D292&lt;&gt;""),IF(IFERROR(COUNTIFS(D$3:D292,"="&amp;SUBSTITUTE(SUBSTITUTE(SUBSTITUTE(D292,"~","~~"),"*","~*"),"?","~?"),L$3:L292,1),0)=1,MAX(T$2:T291)+1,""),"")</f>
        <v/>
      </c>
      <c r="U292" s="25">
        <f>IF(T292="","",COUNTIFS($D$3:$D$1002,"="&amp;SUBSTITUTE(SUBSTITUTE(SUBSTITUTE(D292,"~","~~"),"*","~*"),"?","~?"),$L$3:$L$1002,1)*10000-T292)</f>
        <v/>
      </c>
      <c r="V292" s="25">
        <f>IF(AND(L292=1,J292&lt;&gt;""),IF(IFERROR(COUNTIFS(J$3:J292,"="&amp;SUBSTITUTE(SUBSTITUTE(SUBSTITUTE(J292,"~","~~"),"*","~*"),"?","~?"),L$3:L292,1),0)=1,MAX(V$2:V291)+1,""),"")</f>
        <v/>
      </c>
      <c r="W292" s="25">
        <f>IF(V292="","",COUNTIFS($J$3:$J$1002,"="&amp;SUBSTITUTE(SUBSTITUTE(SUBSTITUTE(J292,"~","~~"),"*","~*"),"?","~?"),$L$3:$L$1002,1)*10000-V292)</f>
        <v/>
      </c>
    </row>
    <row r="293">
      <c r="A293">
        <f>IF(A$2=0,"",IFERROR(TRIM(INDEX('Pegar estudiantes'!$A$1:$BZ$1001,292,A$2)&amp;""),""))</f>
        <v/>
      </c>
      <c r="B293">
        <f>IF(B$2=0,"",IFERROR(TRIM(INDEX('Pegar estudiantes'!$A$1:$BZ$1001,292,B$2)&amp;""),""))</f>
        <v/>
      </c>
      <c r="C293">
        <f>IF(C$2=0,"",IFERROR(TRIM(INDEX('Pegar estudiantes'!$A$1:$BZ$1001,292,C$2)&amp;""),""))</f>
        <v/>
      </c>
      <c r="D293">
        <f>IF(D$2=0,"",IFERROR(TRIM(INDEX('Pegar estudiantes'!$A$1:$BZ$1001,292,D$2)&amp;""),""))</f>
        <v/>
      </c>
      <c r="E293">
        <f>IF(E$2=0,"",IFERROR(TRIM(INDEX('Pegar estudiantes'!$A$1:$BZ$1001,292,E$2)&amp;""),""))</f>
        <v/>
      </c>
      <c r="F293">
        <f>IF(F$2=0,"",IFERROR(TRIM(INDEX('Pegar estudiantes'!$A$1:$BZ$1001,292,F$2)&amp;""),""))</f>
        <v/>
      </c>
      <c r="G293">
        <f>IF(G$2=0,"",IFERROR(TRIM(INDEX('Pegar estudiantes'!$A$1:$BZ$1001,292,G$2)&amp;""),""))</f>
        <v/>
      </c>
      <c r="H293">
        <f>IF(H$2=0,"",IFERROR(TRIM(INDEX('Pegar estudiantes'!$A$1:$BZ$1001,292,H$2)&amp;""),""))</f>
        <v/>
      </c>
      <c r="I293">
        <f>IF(I$2=0,"",IFERROR(TRIM(INDEX('Pegar estudiantes'!$A$1:$BZ$1001,292,I$2)&amp;""),""))</f>
        <v/>
      </c>
      <c r="J293">
        <f>IF(J$2=0,"",IFERROR(TRIM(INDEX('Pegar estudiantes'!$A$1:$BZ$1001,292,J$2)&amp;""),""))</f>
        <v/>
      </c>
      <c r="K293">
        <f>IF(K$2=0,"",IFERROR(TRIM(INDEX('Pegar estudiantes'!$A$1:$BZ$1001,292,K$2)&amp;""),""))</f>
        <v/>
      </c>
      <c r="L293" s="25">
        <f>IF(A293&lt;&gt;"",1,"")</f>
        <v/>
      </c>
      <c r="M293" s="25">
        <f>IF(L293=1,IF(ISNUMBER(FIND("#"&amp;MID(A293,1,1)&amp;"#","#0#1#2#3#4#5#6#7#8#9#")),IF(ISNUMBER(FIND("#"&amp;MID(A293,2,1)&amp;"#","#0#1#2#3#4#5#6#7#8#9#")),IF(AND(VALUE(LEFT(A293,2))&gt;=1,VALUE(LEFT(A293,2))&lt;=5),VALUE(LEFT(A293,2)),""),IF(AND(VALUE(LEFT(A293,1))&gt;=1,VALUE(LEFT(A293,1))&lt;=5),VALUE(LEFT(A293,1)),"")),""),"")</f>
        <v/>
      </c>
      <c r="N293" s="25">
        <f>IF(L293=1,IF(ISNUMBER(FIND("#"&amp;MID(H293,1,1)&amp;"#","#0#1#2#3#4#5#6#7#8#9#")),IF(ISNUMBER(FIND("#"&amp;MID(H293,2,1)&amp;"#","#0#1#2#3#4#5#6#7#8#9#")),IF(AND(VALUE(LEFT(H293,2))&gt;=1,VALUE(LEFT(H293,2))&lt;=5),VALUE(LEFT(H293,2)),""),IF(AND(VALUE(LEFT(H293,1))&gt;=1,VALUE(LEFT(H293,1))&lt;=5),VALUE(LEFT(H293,1)),"")),""),"")</f>
        <v/>
      </c>
      <c r="O293" s="25">
        <f>IF(AND(L293=1,B293&lt;&gt;""),SUBSTITUTE(SUBSTITUTE(SUBSTITUTE(SUBSTITUTE(SUBSTITUTE(SUBSTITUTE(SUBSTITUTE(SUBSTITUTE(SUBSTITUTE(SUBSTITUTE(SUBSTITUTE(SUBSTITUTE(LOWER(TRIM(B293)),"á","a"),"é","e"),"í","i"),"ó","o"),"ú","u"),"ü","u"),"ñ","n"),"à","a"),"è","e"),"ì","i"),"ò","o"),"ù","u"),"")</f>
        <v/>
      </c>
      <c r="P293" s="25">
        <f>IF(AND(L293=1,C293&lt;&gt;""),SUBSTITUTE(SUBSTITUTE(SUBSTITUTE(SUBSTITUTE(SUBSTITUTE(SUBSTITUTE(SUBSTITUTE(SUBSTITUTE(SUBSTITUTE(SUBSTITUTE(SUBSTITUTE(SUBSTITUTE(LOWER(TRIM(C293)),"á","a"),"é","e"),"í","i"),"ó","o"),"ú","u"),"ü","u"),"ñ","n"),"à","a"),"è","e"),"ì","i"),"ò","o"),"ù","u"),"")</f>
        <v/>
      </c>
      <c r="Q293" s="25">
        <f>IF(AND(L293=1,E293&lt;&gt;""),SUBSTITUTE(SUBSTITUTE(SUBSTITUTE(SUBSTITUTE(SUBSTITUTE(SUBSTITUTE(SUBSTITUTE(SUBSTITUTE(SUBSTITUTE(SUBSTITUTE(SUBSTITUTE(SUBSTITUTE(LOWER(TRIM(E293)),"á","a"),"é","e"),"í","i"),"ó","o"),"ú","u"),"ü","u"),"ñ","n"),"à","a"),"è","e"),"ì","i"),"ò","o"),"ù","u"),"")</f>
        <v/>
      </c>
      <c r="R293" s="25">
        <f>IF(AND(L293=1,I293&lt;&gt;""),SUBSTITUTE(SUBSTITUTE(SUBSTITUTE(SUBSTITUTE(SUBSTITUTE(SUBSTITUTE(SUBSTITUTE(SUBSTITUTE(SUBSTITUTE(SUBSTITUTE(SUBSTITUTE(SUBSTITUTE(LOWER(TRIM(I293)),"á","a"),"é","e"),"í","i"),"ó","o"),"ú","u"),"ü","u"),"ñ","n"),"à","a"),"è","e"),"ì","i"),"ò","o"),"ù","u"),"")</f>
        <v/>
      </c>
      <c r="S293" s="25">
        <f>IF(R293="","",IF(OR(R293="si",R293="tal vez"),1,0))</f>
        <v/>
      </c>
      <c r="T293" s="25">
        <f>IF(AND(L293=1,D293&lt;&gt;""),IF(IFERROR(COUNTIFS(D$3:D293,"="&amp;SUBSTITUTE(SUBSTITUTE(SUBSTITUTE(D293,"~","~~"),"*","~*"),"?","~?"),L$3:L293,1),0)=1,MAX(T$2:T292)+1,""),"")</f>
        <v/>
      </c>
      <c r="U293" s="25">
        <f>IF(T293="","",COUNTIFS($D$3:$D$1002,"="&amp;SUBSTITUTE(SUBSTITUTE(SUBSTITUTE(D293,"~","~~"),"*","~*"),"?","~?"),$L$3:$L$1002,1)*10000-T293)</f>
        <v/>
      </c>
      <c r="V293" s="25">
        <f>IF(AND(L293=1,J293&lt;&gt;""),IF(IFERROR(COUNTIFS(J$3:J293,"="&amp;SUBSTITUTE(SUBSTITUTE(SUBSTITUTE(J293,"~","~~"),"*","~*"),"?","~?"),L$3:L293,1),0)=1,MAX(V$2:V292)+1,""),"")</f>
        <v/>
      </c>
      <c r="W293" s="25">
        <f>IF(V293="","",COUNTIFS($J$3:$J$1002,"="&amp;SUBSTITUTE(SUBSTITUTE(SUBSTITUTE(J293,"~","~~"),"*","~*"),"?","~?"),$L$3:$L$1002,1)*10000-V293)</f>
        <v/>
      </c>
    </row>
    <row r="294">
      <c r="A294">
        <f>IF(A$2=0,"",IFERROR(TRIM(INDEX('Pegar estudiantes'!$A$1:$BZ$1001,293,A$2)&amp;""),""))</f>
        <v/>
      </c>
      <c r="B294">
        <f>IF(B$2=0,"",IFERROR(TRIM(INDEX('Pegar estudiantes'!$A$1:$BZ$1001,293,B$2)&amp;""),""))</f>
        <v/>
      </c>
      <c r="C294">
        <f>IF(C$2=0,"",IFERROR(TRIM(INDEX('Pegar estudiantes'!$A$1:$BZ$1001,293,C$2)&amp;""),""))</f>
        <v/>
      </c>
      <c r="D294">
        <f>IF(D$2=0,"",IFERROR(TRIM(INDEX('Pegar estudiantes'!$A$1:$BZ$1001,293,D$2)&amp;""),""))</f>
        <v/>
      </c>
      <c r="E294">
        <f>IF(E$2=0,"",IFERROR(TRIM(INDEX('Pegar estudiantes'!$A$1:$BZ$1001,293,E$2)&amp;""),""))</f>
        <v/>
      </c>
      <c r="F294">
        <f>IF(F$2=0,"",IFERROR(TRIM(INDEX('Pegar estudiantes'!$A$1:$BZ$1001,293,F$2)&amp;""),""))</f>
        <v/>
      </c>
      <c r="G294">
        <f>IF(G$2=0,"",IFERROR(TRIM(INDEX('Pegar estudiantes'!$A$1:$BZ$1001,293,G$2)&amp;""),""))</f>
        <v/>
      </c>
      <c r="H294">
        <f>IF(H$2=0,"",IFERROR(TRIM(INDEX('Pegar estudiantes'!$A$1:$BZ$1001,293,H$2)&amp;""),""))</f>
        <v/>
      </c>
      <c r="I294">
        <f>IF(I$2=0,"",IFERROR(TRIM(INDEX('Pegar estudiantes'!$A$1:$BZ$1001,293,I$2)&amp;""),""))</f>
        <v/>
      </c>
      <c r="J294">
        <f>IF(J$2=0,"",IFERROR(TRIM(INDEX('Pegar estudiantes'!$A$1:$BZ$1001,293,J$2)&amp;""),""))</f>
        <v/>
      </c>
      <c r="K294">
        <f>IF(K$2=0,"",IFERROR(TRIM(INDEX('Pegar estudiantes'!$A$1:$BZ$1001,293,K$2)&amp;""),""))</f>
        <v/>
      </c>
      <c r="L294" s="25">
        <f>IF(A294&lt;&gt;"",1,"")</f>
        <v/>
      </c>
      <c r="M294" s="25">
        <f>IF(L294=1,IF(ISNUMBER(FIND("#"&amp;MID(A294,1,1)&amp;"#","#0#1#2#3#4#5#6#7#8#9#")),IF(ISNUMBER(FIND("#"&amp;MID(A294,2,1)&amp;"#","#0#1#2#3#4#5#6#7#8#9#")),IF(AND(VALUE(LEFT(A294,2))&gt;=1,VALUE(LEFT(A294,2))&lt;=5),VALUE(LEFT(A294,2)),""),IF(AND(VALUE(LEFT(A294,1))&gt;=1,VALUE(LEFT(A294,1))&lt;=5),VALUE(LEFT(A294,1)),"")),""),"")</f>
        <v/>
      </c>
      <c r="N294" s="25">
        <f>IF(L294=1,IF(ISNUMBER(FIND("#"&amp;MID(H294,1,1)&amp;"#","#0#1#2#3#4#5#6#7#8#9#")),IF(ISNUMBER(FIND("#"&amp;MID(H294,2,1)&amp;"#","#0#1#2#3#4#5#6#7#8#9#")),IF(AND(VALUE(LEFT(H294,2))&gt;=1,VALUE(LEFT(H294,2))&lt;=5),VALUE(LEFT(H294,2)),""),IF(AND(VALUE(LEFT(H294,1))&gt;=1,VALUE(LEFT(H294,1))&lt;=5),VALUE(LEFT(H294,1)),"")),""),"")</f>
        <v/>
      </c>
      <c r="O294" s="25">
        <f>IF(AND(L294=1,B294&lt;&gt;""),SUBSTITUTE(SUBSTITUTE(SUBSTITUTE(SUBSTITUTE(SUBSTITUTE(SUBSTITUTE(SUBSTITUTE(SUBSTITUTE(SUBSTITUTE(SUBSTITUTE(SUBSTITUTE(SUBSTITUTE(LOWER(TRIM(B294)),"á","a"),"é","e"),"í","i"),"ó","o"),"ú","u"),"ü","u"),"ñ","n"),"à","a"),"è","e"),"ì","i"),"ò","o"),"ù","u"),"")</f>
        <v/>
      </c>
      <c r="P294" s="25">
        <f>IF(AND(L294=1,C294&lt;&gt;""),SUBSTITUTE(SUBSTITUTE(SUBSTITUTE(SUBSTITUTE(SUBSTITUTE(SUBSTITUTE(SUBSTITUTE(SUBSTITUTE(SUBSTITUTE(SUBSTITUTE(SUBSTITUTE(SUBSTITUTE(LOWER(TRIM(C294)),"á","a"),"é","e"),"í","i"),"ó","o"),"ú","u"),"ü","u"),"ñ","n"),"à","a"),"è","e"),"ì","i"),"ò","o"),"ù","u"),"")</f>
        <v/>
      </c>
      <c r="Q294" s="25">
        <f>IF(AND(L294=1,E294&lt;&gt;""),SUBSTITUTE(SUBSTITUTE(SUBSTITUTE(SUBSTITUTE(SUBSTITUTE(SUBSTITUTE(SUBSTITUTE(SUBSTITUTE(SUBSTITUTE(SUBSTITUTE(SUBSTITUTE(SUBSTITUTE(LOWER(TRIM(E294)),"á","a"),"é","e"),"í","i"),"ó","o"),"ú","u"),"ü","u"),"ñ","n"),"à","a"),"è","e"),"ì","i"),"ò","o"),"ù","u"),"")</f>
        <v/>
      </c>
      <c r="R294" s="25">
        <f>IF(AND(L294=1,I294&lt;&gt;""),SUBSTITUTE(SUBSTITUTE(SUBSTITUTE(SUBSTITUTE(SUBSTITUTE(SUBSTITUTE(SUBSTITUTE(SUBSTITUTE(SUBSTITUTE(SUBSTITUTE(SUBSTITUTE(SUBSTITUTE(LOWER(TRIM(I294)),"á","a"),"é","e"),"í","i"),"ó","o"),"ú","u"),"ü","u"),"ñ","n"),"à","a"),"è","e"),"ì","i"),"ò","o"),"ù","u"),"")</f>
        <v/>
      </c>
      <c r="S294" s="25">
        <f>IF(R294="","",IF(OR(R294="si",R294="tal vez"),1,0))</f>
        <v/>
      </c>
      <c r="T294" s="25">
        <f>IF(AND(L294=1,D294&lt;&gt;""),IF(IFERROR(COUNTIFS(D$3:D294,"="&amp;SUBSTITUTE(SUBSTITUTE(SUBSTITUTE(D294,"~","~~"),"*","~*"),"?","~?"),L$3:L294,1),0)=1,MAX(T$2:T293)+1,""),"")</f>
        <v/>
      </c>
      <c r="U294" s="25">
        <f>IF(T294="","",COUNTIFS($D$3:$D$1002,"="&amp;SUBSTITUTE(SUBSTITUTE(SUBSTITUTE(D294,"~","~~"),"*","~*"),"?","~?"),$L$3:$L$1002,1)*10000-T294)</f>
        <v/>
      </c>
      <c r="V294" s="25">
        <f>IF(AND(L294=1,J294&lt;&gt;""),IF(IFERROR(COUNTIFS(J$3:J294,"="&amp;SUBSTITUTE(SUBSTITUTE(SUBSTITUTE(J294,"~","~~"),"*","~*"),"?","~?"),L$3:L294,1),0)=1,MAX(V$2:V293)+1,""),"")</f>
        <v/>
      </c>
      <c r="W294" s="25">
        <f>IF(V294="","",COUNTIFS($J$3:$J$1002,"="&amp;SUBSTITUTE(SUBSTITUTE(SUBSTITUTE(J294,"~","~~"),"*","~*"),"?","~?"),$L$3:$L$1002,1)*10000-V294)</f>
        <v/>
      </c>
    </row>
    <row r="295">
      <c r="A295">
        <f>IF(A$2=0,"",IFERROR(TRIM(INDEX('Pegar estudiantes'!$A$1:$BZ$1001,294,A$2)&amp;""),""))</f>
        <v/>
      </c>
      <c r="B295">
        <f>IF(B$2=0,"",IFERROR(TRIM(INDEX('Pegar estudiantes'!$A$1:$BZ$1001,294,B$2)&amp;""),""))</f>
        <v/>
      </c>
      <c r="C295">
        <f>IF(C$2=0,"",IFERROR(TRIM(INDEX('Pegar estudiantes'!$A$1:$BZ$1001,294,C$2)&amp;""),""))</f>
        <v/>
      </c>
      <c r="D295">
        <f>IF(D$2=0,"",IFERROR(TRIM(INDEX('Pegar estudiantes'!$A$1:$BZ$1001,294,D$2)&amp;""),""))</f>
        <v/>
      </c>
      <c r="E295">
        <f>IF(E$2=0,"",IFERROR(TRIM(INDEX('Pegar estudiantes'!$A$1:$BZ$1001,294,E$2)&amp;""),""))</f>
        <v/>
      </c>
      <c r="F295">
        <f>IF(F$2=0,"",IFERROR(TRIM(INDEX('Pegar estudiantes'!$A$1:$BZ$1001,294,F$2)&amp;""),""))</f>
        <v/>
      </c>
      <c r="G295">
        <f>IF(G$2=0,"",IFERROR(TRIM(INDEX('Pegar estudiantes'!$A$1:$BZ$1001,294,G$2)&amp;""),""))</f>
        <v/>
      </c>
      <c r="H295">
        <f>IF(H$2=0,"",IFERROR(TRIM(INDEX('Pegar estudiantes'!$A$1:$BZ$1001,294,H$2)&amp;""),""))</f>
        <v/>
      </c>
      <c r="I295">
        <f>IF(I$2=0,"",IFERROR(TRIM(INDEX('Pegar estudiantes'!$A$1:$BZ$1001,294,I$2)&amp;""),""))</f>
        <v/>
      </c>
      <c r="J295">
        <f>IF(J$2=0,"",IFERROR(TRIM(INDEX('Pegar estudiantes'!$A$1:$BZ$1001,294,J$2)&amp;""),""))</f>
        <v/>
      </c>
      <c r="K295">
        <f>IF(K$2=0,"",IFERROR(TRIM(INDEX('Pegar estudiantes'!$A$1:$BZ$1001,294,K$2)&amp;""),""))</f>
        <v/>
      </c>
      <c r="L295" s="25">
        <f>IF(A295&lt;&gt;"",1,"")</f>
        <v/>
      </c>
      <c r="M295" s="25">
        <f>IF(L295=1,IF(ISNUMBER(FIND("#"&amp;MID(A295,1,1)&amp;"#","#0#1#2#3#4#5#6#7#8#9#")),IF(ISNUMBER(FIND("#"&amp;MID(A295,2,1)&amp;"#","#0#1#2#3#4#5#6#7#8#9#")),IF(AND(VALUE(LEFT(A295,2))&gt;=1,VALUE(LEFT(A295,2))&lt;=5),VALUE(LEFT(A295,2)),""),IF(AND(VALUE(LEFT(A295,1))&gt;=1,VALUE(LEFT(A295,1))&lt;=5),VALUE(LEFT(A295,1)),"")),""),"")</f>
        <v/>
      </c>
      <c r="N295" s="25">
        <f>IF(L295=1,IF(ISNUMBER(FIND("#"&amp;MID(H295,1,1)&amp;"#","#0#1#2#3#4#5#6#7#8#9#")),IF(ISNUMBER(FIND("#"&amp;MID(H295,2,1)&amp;"#","#0#1#2#3#4#5#6#7#8#9#")),IF(AND(VALUE(LEFT(H295,2))&gt;=1,VALUE(LEFT(H295,2))&lt;=5),VALUE(LEFT(H295,2)),""),IF(AND(VALUE(LEFT(H295,1))&gt;=1,VALUE(LEFT(H295,1))&lt;=5),VALUE(LEFT(H295,1)),"")),""),"")</f>
        <v/>
      </c>
      <c r="O295" s="25">
        <f>IF(AND(L295=1,B295&lt;&gt;""),SUBSTITUTE(SUBSTITUTE(SUBSTITUTE(SUBSTITUTE(SUBSTITUTE(SUBSTITUTE(SUBSTITUTE(SUBSTITUTE(SUBSTITUTE(SUBSTITUTE(SUBSTITUTE(SUBSTITUTE(LOWER(TRIM(B295)),"á","a"),"é","e"),"í","i"),"ó","o"),"ú","u"),"ü","u"),"ñ","n"),"à","a"),"è","e"),"ì","i"),"ò","o"),"ù","u"),"")</f>
        <v/>
      </c>
      <c r="P295" s="25">
        <f>IF(AND(L295=1,C295&lt;&gt;""),SUBSTITUTE(SUBSTITUTE(SUBSTITUTE(SUBSTITUTE(SUBSTITUTE(SUBSTITUTE(SUBSTITUTE(SUBSTITUTE(SUBSTITUTE(SUBSTITUTE(SUBSTITUTE(SUBSTITUTE(LOWER(TRIM(C295)),"á","a"),"é","e"),"í","i"),"ó","o"),"ú","u"),"ü","u"),"ñ","n"),"à","a"),"è","e"),"ì","i"),"ò","o"),"ù","u"),"")</f>
        <v/>
      </c>
      <c r="Q295" s="25">
        <f>IF(AND(L295=1,E295&lt;&gt;""),SUBSTITUTE(SUBSTITUTE(SUBSTITUTE(SUBSTITUTE(SUBSTITUTE(SUBSTITUTE(SUBSTITUTE(SUBSTITUTE(SUBSTITUTE(SUBSTITUTE(SUBSTITUTE(SUBSTITUTE(LOWER(TRIM(E295)),"á","a"),"é","e"),"í","i"),"ó","o"),"ú","u"),"ü","u"),"ñ","n"),"à","a"),"è","e"),"ì","i"),"ò","o"),"ù","u"),"")</f>
        <v/>
      </c>
      <c r="R295" s="25">
        <f>IF(AND(L295=1,I295&lt;&gt;""),SUBSTITUTE(SUBSTITUTE(SUBSTITUTE(SUBSTITUTE(SUBSTITUTE(SUBSTITUTE(SUBSTITUTE(SUBSTITUTE(SUBSTITUTE(SUBSTITUTE(SUBSTITUTE(SUBSTITUTE(LOWER(TRIM(I295)),"á","a"),"é","e"),"í","i"),"ó","o"),"ú","u"),"ü","u"),"ñ","n"),"à","a"),"è","e"),"ì","i"),"ò","o"),"ù","u"),"")</f>
        <v/>
      </c>
      <c r="S295" s="25">
        <f>IF(R295="","",IF(OR(R295="si",R295="tal vez"),1,0))</f>
        <v/>
      </c>
      <c r="T295" s="25">
        <f>IF(AND(L295=1,D295&lt;&gt;""),IF(IFERROR(COUNTIFS(D$3:D295,"="&amp;SUBSTITUTE(SUBSTITUTE(SUBSTITUTE(D295,"~","~~"),"*","~*"),"?","~?"),L$3:L295,1),0)=1,MAX(T$2:T294)+1,""),"")</f>
        <v/>
      </c>
      <c r="U295" s="25">
        <f>IF(T295="","",COUNTIFS($D$3:$D$1002,"="&amp;SUBSTITUTE(SUBSTITUTE(SUBSTITUTE(D295,"~","~~"),"*","~*"),"?","~?"),$L$3:$L$1002,1)*10000-T295)</f>
        <v/>
      </c>
      <c r="V295" s="25">
        <f>IF(AND(L295=1,J295&lt;&gt;""),IF(IFERROR(COUNTIFS(J$3:J295,"="&amp;SUBSTITUTE(SUBSTITUTE(SUBSTITUTE(J295,"~","~~"),"*","~*"),"?","~?"),L$3:L295,1),0)=1,MAX(V$2:V294)+1,""),"")</f>
        <v/>
      </c>
      <c r="W295" s="25">
        <f>IF(V295="","",COUNTIFS($J$3:$J$1002,"="&amp;SUBSTITUTE(SUBSTITUTE(SUBSTITUTE(J295,"~","~~"),"*","~*"),"?","~?"),$L$3:$L$1002,1)*10000-V295)</f>
        <v/>
      </c>
    </row>
    <row r="296">
      <c r="A296">
        <f>IF(A$2=0,"",IFERROR(TRIM(INDEX('Pegar estudiantes'!$A$1:$BZ$1001,295,A$2)&amp;""),""))</f>
        <v/>
      </c>
      <c r="B296">
        <f>IF(B$2=0,"",IFERROR(TRIM(INDEX('Pegar estudiantes'!$A$1:$BZ$1001,295,B$2)&amp;""),""))</f>
        <v/>
      </c>
      <c r="C296">
        <f>IF(C$2=0,"",IFERROR(TRIM(INDEX('Pegar estudiantes'!$A$1:$BZ$1001,295,C$2)&amp;""),""))</f>
        <v/>
      </c>
      <c r="D296">
        <f>IF(D$2=0,"",IFERROR(TRIM(INDEX('Pegar estudiantes'!$A$1:$BZ$1001,295,D$2)&amp;""),""))</f>
        <v/>
      </c>
      <c r="E296">
        <f>IF(E$2=0,"",IFERROR(TRIM(INDEX('Pegar estudiantes'!$A$1:$BZ$1001,295,E$2)&amp;""),""))</f>
        <v/>
      </c>
      <c r="F296">
        <f>IF(F$2=0,"",IFERROR(TRIM(INDEX('Pegar estudiantes'!$A$1:$BZ$1001,295,F$2)&amp;""),""))</f>
        <v/>
      </c>
      <c r="G296">
        <f>IF(G$2=0,"",IFERROR(TRIM(INDEX('Pegar estudiantes'!$A$1:$BZ$1001,295,G$2)&amp;""),""))</f>
        <v/>
      </c>
      <c r="H296">
        <f>IF(H$2=0,"",IFERROR(TRIM(INDEX('Pegar estudiantes'!$A$1:$BZ$1001,295,H$2)&amp;""),""))</f>
        <v/>
      </c>
      <c r="I296">
        <f>IF(I$2=0,"",IFERROR(TRIM(INDEX('Pegar estudiantes'!$A$1:$BZ$1001,295,I$2)&amp;""),""))</f>
        <v/>
      </c>
      <c r="J296">
        <f>IF(J$2=0,"",IFERROR(TRIM(INDEX('Pegar estudiantes'!$A$1:$BZ$1001,295,J$2)&amp;""),""))</f>
        <v/>
      </c>
      <c r="K296">
        <f>IF(K$2=0,"",IFERROR(TRIM(INDEX('Pegar estudiantes'!$A$1:$BZ$1001,295,K$2)&amp;""),""))</f>
        <v/>
      </c>
      <c r="L296" s="25">
        <f>IF(A296&lt;&gt;"",1,"")</f>
        <v/>
      </c>
      <c r="M296" s="25">
        <f>IF(L296=1,IF(ISNUMBER(FIND("#"&amp;MID(A296,1,1)&amp;"#","#0#1#2#3#4#5#6#7#8#9#")),IF(ISNUMBER(FIND("#"&amp;MID(A296,2,1)&amp;"#","#0#1#2#3#4#5#6#7#8#9#")),IF(AND(VALUE(LEFT(A296,2))&gt;=1,VALUE(LEFT(A296,2))&lt;=5),VALUE(LEFT(A296,2)),""),IF(AND(VALUE(LEFT(A296,1))&gt;=1,VALUE(LEFT(A296,1))&lt;=5),VALUE(LEFT(A296,1)),"")),""),"")</f>
        <v/>
      </c>
      <c r="N296" s="25">
        <f>IF(L296=1,IF(ISNUMBER(FIND("#"&amp;MID(H296,1,1)&amp;"#","#0#1#2#3#4#5#6#7#8#9#")),IF(ISNUMBER(FIND("#"&amp;MID(H296,2,1)&amp;"#","#0#1#2#3#4#5#6#7#8#9#")),IF(AND(VALUE(LEFT(H296,2))&gt;=1,VALUE(LEFT(H296,2))&lt;=5),VALUE(LEFT(H296,2)),""),IF(AND(VALUE(LEFT(H296,1))&gt;=1,VALUE(LEFT(H296,1))&lt;=5),VALUE(LEFT(H296,1)),"")),""),"")</f>
        <v/>
      </c>
      <c r="O296" s="25">
        <f>IF(AND(L296=1,B296&lt;&gt;""),SUBSTITUTE(SUBSTITUTE(SUBSTITUTE(SUBSTITUTE(SUBSTITUTE(SUBSTITUTE(SUBSTITUTE(SUBSTITUTE(SUBSTITUTE(SUBSTITUTE(SUBSTITUTE(SUBSTITUTE(LOWER(TRIM(B296)),"á","a"),"é","e"),"í","i"),"ó","o"),"ú","u"),"ü","u"),"ñ","n"),"à","a"),"è","e"),"ì","i"),"ò","o"),"ù","u"),"")</f>
        <v/>
      </c>
      <c r="P296" s="25">
        <f>IF(AND(L296=1,C296&lt;&gt;""),SUBSTITUTE(SUBSTITUTE(SUBSTITUTE(SUBSTITUTE(SUBSTITUTE(SUBSTITUTE(SUBSTITUTE(SUBSTITUTE(SUBSTITUTE(SUBSTITUTE(SUBSTITUTE(SUBSTITUTE(LOWER(TRIM(C296)),"á","a"),"é","e"),"í","i"),"ó","o"),"ú","u"),"ü","u"),"ñ","n"),"à","a"),"è","e"),"ì","i"),"ò","o"),"ù","u"),"")</f>
        <v/>
      </c>
      <c r="Q296" s="25">
        <f>IF(AND(L296=1,E296&lt;&gt;""),SUBSTITUTE(SUBSTITUTE(SUBSTITUTE(SUBSTITUTE(SUBSTITUTE(SUBSTITUTE(SUBSTITUTE(SUBSTITUTE(SUBSTITUTE(SUBSTITUTE(SUBSTITUTE(SUBSTITUTE(LOWER(TRIM(E296)),"á","a"),"é","e"),"í","i"),"ó","o"),"ú","u"),"ü","u"),"ñ","n"),"à","a"),"è","e"),"ì","i"),"ò","o"),"ù","u"),"")</f>
        <v/>
      </c>
      <c r="R296" s="25">
        <f>IF(AND(L296=1,I296&lt;&gt;""),SUBSTITUTE(SUBSTITUTE(SUBSTITUTE(SUBSTITUTE(SUBSTITUTE(SUBSTITUTE(SUBSTITUTE(SUBSTITUTE(SUBSTITUTE(SUBSTITUTE(SUBSTITUTE(SUBSTITUTE(LOWER(TRIM(I296)),"á","a"),"é","e"),"í","i"),"ó","o"),"ú","u"),"ü","u"),"ñ","n"),"à","a"),"è","e"),"ì","i"),"ò","o"),"ù","u"),"")</f>
        <v/>
      </c>
      <c r="S296" s="25">
        <f>IF(R296="","",IF(OR(R296="si",R296="tal vez"),1,0))</f>
        <v/>
      </c>
      <c r="T296" s="25">
        <f>IF(AND(L296=1,D296&lt;&gt;""),IF(IFERROR(COUNTIFS(D$3:D296,"="&amp;SUBSTITUTE(SUBSTITUTE(SUBSTITUTE(D296,"~","~~"),"*","~*"),"?","~?"),L$3:L296,1),0)=1,MAX(T$2:T295)+1,""),"")</f>
        <v/>
      </c>
      <c r="U296" s="25">
        <f>IF(T296="","",COUNTIFS($D$3:$D$1002,"="&amp;SUBSTITUTE(SUBSTITUTE(SUBSTITUTE(D296,"~","~~"),"*","~*"),"?","~?"),$L$3:$L$1002,1)*10000-T296)</f>
        <v/>
      </c>
      <c r="V296" s="25">
        <f>IF(AND(L296=1,J296&lt;&gt;""),IF(IFERROR(COUNTIFS(J$3:J296,"="&amp;SUBSTITUTE(SUBSTITUTE(SUBSTITUTE(J296,"~","~~"),"*","~*"),"?","~?"),L$3:L296,1),0)=1,MAX(V$2:V295)+1,""),"")</f>
        <v/>
      </c>
      <c r="W296" s="25">
        <f>IF(V296="","",COUNTIFS($J$3:$J$1002,"="&amp;SUBSTITUTE(SUBSTITUTE(SUBSTITUTE(J296,"~","~~"),"*","~*"),"?","~?"),$L$3:$L$1002,1)*10000-V296)</f>
        <v/>
      </c>
    </row>
    <row r="297">
      <c r="A297">
        <f>IF(A$2=0,"",IFERROR(TRIM(INDEX('Pegar estudiantes'!$A$1:$BZ$1001,296,A$2)&amp;""),""))</f>
        <v/>
      </c>
      <c r="B297">
        <f>IF(B$2=0,"",IFERROR(TRIM(INDEX('Pegar estudiantes'!$A$1:$BZ$1001,296,B$2)&amp;""),""))</f>
        <v/>
      </c>
      <c r="C297">
        <f>IF(C$2=0,"",IFERROR(TRIM(INDEX('Pegar estudiantes'!$A$1:$BZ$1001,296,C$2)&amp;""),""))</f>
        <v/>
      </c>
      <c r="D297">
        <f>IF(D$2=0,"",IFERROR(TRIM(INDEX('Pegar estudiantes'!$A$1:$BZ$1001,296,D$2)&amp;""),""))</f>
        <v/>
      </c>
      <c r="E297">
        <f>IF(E$2=0,"",IFERROR(TRIM(INDEX('Pegar estudiantes'!$A$1:$BZ$1001,296,E$2)&amp;""),""))</f>
        <v/>
      </c>
      <c r="F297">
        <f>IF(F$2=0,"",IFERROR(TRIM(INDEX('Pegar estudiantes'!$A$1:$BZ$1001,296,F$2)&amp;""),""))</f>
        <v/>
      </c>
      <c r="G297">
        <f>IF(G$2=0,"",IFERROR(TRIM(INDEX('Pegar estudiantes'!$A$1:$BZ$1001,296,G$2)&amp;""),""))</f>
        <v/>
      </c>
      <c r="H297">
        <f>IF(H$2=0,"",IFERROR(TRIM(INDEX('Pegar estudiantes'!$A$1:$BZ$1001,296,H$2)&amp;""),""))</f>
        <v/>
      </c>
      <c r="I297">
        <f>IF(I$2=0,"",IFERROR(TRIM(INDEX('Pegar estudiantes'!$A$1:$BZ$1001,296,I$2)&amp;""),""))</f>
        <v/>
      </c>
      <c r="J297">
        <f>IF(J$2=0,"",IFERROR(TRIM(INDEX('Pegar estudiantes'!$A$1:$BZ$1001,296,J$2)&amp;""),""))</f>
        <v/>
      </c>
      <c r="K297">
        <f>IF(K$2=0,"",IFERROR(TRIM(INDEX('Pegar estudiantes'!$A$1:$BZ$1001,296,K$2)&amp;""),""))</f>
        <v/>
      </c>
      <c r="L297" s="25">
        <f>IF(A297&lt;&gt;"",1,"")</f>
        <v/>
      </c>
      <c r="M297" s="25">
        <f>IF(L297=1,IF(ISNUMBER(FIND("#"&amp;MID(A297,1,1)&amp;"#","#0#1#2#3#4#5#6#7#8#9#")),IF(ISNUMBER(FIND("#"&amp;MID(A297,2,1)&amp;"#","#0#1#2#3#4#5#6#7#8#9#")),IF(AND(VALUE(LEFT(A297,2))&gt;=1,VALUE(LEFT(A297,2))&lt;=5),VALUE(LEFT(A297,2)),""),IF(AND(VALUE(LEFT(A297,1))&gt;=1,VALUE(LEFT(A297,1))&lt;=5),VALUE(LEFT(A297,1)),"")),""),"")</f>
        <v/>
      </c>
      <c r="N297" s="25">
        <f>IF(L297=1,IF(ISNUMBER(FIND("#"&amp;MID(H297,1,1)&amp;"#","#0#1#2#3#4#5#6#7#8#9#")),IF(ISNUMBER(FIND("#"&amp;MID(H297,2,1)&amp;"#","#0#1#2#3#4#5#6#7#8#9#")),IF(AND(VALUE(LEFT(H297,2))&gt;=1,VALUE(LEFT(H297,2))&lt;=5),VALUE(LEFT(H297,2)),""),IF(AND(VALUE(LEFT(H297,1))&gt;=1,VALUE(LEFT(H297,1))&lt;=5),VALUE(LEFT(H297,1)),"")),""),"")</f>
        <v/>
      </c>
      <c r="O297" s="25">
        <f>IF(AND(L297=1,B297&lt;&gt;""),SUBSTITUTE(SUBSTITUTE(SUBSTITUTE(SUBSTITUTE(SUBSTITUTE(SUBSTITUTE(SUBSTITUTE(SUBSTITUTE(SUBSTITUTE(SUBSTITUTE(SUBSTITUTE(SUBSTITUTE(LOWER(TRIM(B297)),"á","a"),"é","e"),"í","i"),"ó","o"),"ú","u"),"ü","u"),"ñ","n"),"à","a"),"è","e"),"ì","i"),"ò","o"),"ù","u"),"")</f>
        <v/>
      </c>
      <c r="P297" s="25">
        <f>IF(AND(L297=1,C297&lt;&gt;""),SUBSTITUTE(SUBSTITUTE(SUBSTITUTE(SUBSTITUTE(SUBSTITUTE(SUBSTITUTE(SUBSTITUTE(SUBSTITUTE(SUBSTITUTE(SUBSTITUTE(SUBSTITUTE(SUBSTITUTE(LOWER(TRIM(C297)),"á","a"),"é","e"),"í","i"),"ó","o"),"ú","u"),"ü","u"),"ñ","n"),"à","a"),"è","e"),"ì","i"),"ò","o"),"ù","u"),"")</f>
        <v/>
      </c>
      <c r="Q297" s="25">
        <f>IF(AND(L297=1,E297&lt;&gt;""),SUBSTITUTE(SUBSTITUTE(SUBSTITUTE(SUBSTITUTE(SUBSTITUTE(SUBSTITUTE(SUBSTITUTE(SUBSTITUTE(SUBSTITUTE(SUBSTITUTE(SUBSTITUTE(SUBSTITUTE(LOWER(TRIM(E297)),"á","a"),"é","e"),"í","i"),"ó","o"),"ú","u"),"ü","u"),"ñ","n"),"à","a"),"è","e"),"ì","i"),"ò","o"),"ù","u"),"")</f>
        <v/>
      </c>
      <c r="R297" s="25">
        <f>IF(AND(L297=1,I297&lt;&gt;""),SUBSTITUTE(SUBSTITUTE(SUBSTITUTE(SUBSTITUTE(SUBSTITUTE(SUBSTITUTE(SUBSTITUTE(SUBSTITUTE(SUBSTITUTE(SUBSTITUTE(SUBSTITUTE(SUBSTITUTE(LOWER(TRIM(I297)),"á","a"),"é","e"),"í","i"),"ó","o"),"ú","u"),"ü","u"),"ñ","n"),"à","a"),"è","e"),"ì","i"),"ò","o"),"ù","u"),"")</f>
        <v/>
      </c>
      <c r="S297" s="25">
        <f>IF(R297="","",IF(OR(R297="si",R297="tal vez"),1,0))</f>
        <v/>
      </c>
      <c r="T297" s="25">
        <f>IF(AND(L297=1,D297&lt;&gt;""),IF(IFERROR(COUNTIFS(D$3:D297,"="&amp;SUBSTITUTE(SUBSTITUTE(SUBSTITUTE(D297,"~","~~"),"*","~*"),"?","~?"),L$3:L297,1),0)=1,MAX(T$2:T296)+1,""),"")</f>
        <v/>
      </c>
      <c r="U297" s="25">
        <f>IF(T297="","",COUNTIFS($D$3:$D$1002,"="&amp;SUBSTITUTE(SUBSTITUTE(SUBSTITUTE(D297,"~","~~"),"*","~*"),"?","~?"),$L$3:$L$1002,1)*10000-T297)</f>
        <v/>
      </c>
      <c r="V297" s="25">
        <f>IF(AND(L297=1,J297&lt;&gt;""),IF(IFERROR(COUNTIFS(J$3:J297,"="&amp;SUBSTITUTE(SUBSTITUTE(SUBSTITUTE(J297,"~","~~"),"*","~*"),"?","~?"),L$3:L297,1),0)=1,MAX(V$2:V296)+1,""),"")</f>
        <v/>
      </c>
      <c r="W297" s="25">
        <f>IF(V297="","",COUNTIFS($J$3:$J$1002,"="&amp;SUBSTITUTE(SUBSTITUTE(SUBSTITUTE(J297,"~","~~"),"*","~*"),"?","~?"),$L$3:$L$1002,1)*10000-V297)</f>
        <v/>
      </c>
    </row>
    <row r="298">
      <c r="A298">
        <f>IF(A$2=0,"",IFERROR(TRIM(INDEX('Pegar estudiantes'!$A$1:$BZ$1001,297,A$2)&amp;""),""))</f>
        <v/>
      </c>
      <c r="B298">
        <f>IF(B$2=0,"",IFERROR(TRIM(INDEX('Pegar estudiantes'!$A$1:$BZ$1001,297,B$2)&amp;""),""))</f>
        <v/>
      </c>
      <c r="C298">
        <f>IF(C$2=0,"",IFERROR(TRIM(INDEX('Pegar estudiantes'!$A$1:$BZ$1001,297,C$2)&amp;""),""))</f>
        <v/>
      </c>
      <c r="D298">
        <f>IF(D$2=0,"",IFERROR(TRIM(INDEX('Pegar estudiantes'!$A$1:$BZ$1001,297,D$2)&amp;""),""))</f>
        <v/>
      </c>
      <c r="E298">
        <f>IF(E$2=0,"",IFERROR(TRIM(INDEX('Pegar estudiantes'!$A$1:$BZ$1001,297,E$2)&amp;""),""))</f>
        <v/>
      </c>
      <c r="F298">
        <f>IF(F$2=0,"",IFERROR(TRIM(INDEX('Pegar estudiantes'!$A$1:$BZ$1001,297,F$2)&amp;""),""))</f>
        <v/>
      </c>
      <c r="G298">
        <f>IF(G$2=0,"",IFERROR(TRIM(INDEX('Pegar estudiantes'!$A$1:$BZ$1001,297,G$2)&amp;""),""))</f>
        <v/>
      </c>
      <c r="H298">
        <f>IF(H$2=0,"",IFERROR(TRIM(INDEX('Pegar estudiantes'!$A$1:$BZ$1001,297,H$2)&amp;""),""))</f>
        <v/>
      </c>
      <c r="I298">
        <f>IF(I$2=0,"",IFERROR(TRIM(INDEX('Pegar estudiantes'!$A$1:$BZ$1001,297,I$2)&amp;""),""))</f>
        <v/>
      </c>
      <c r="J298">
        <f>IF(J$2=0,"",IFERROR(TRIM(INDEX('Pegar estudiantes'!$A$1:$BZ$1001,297,J$2)&amp;""),""))</f>
        <v/>
      </c>
      <c r="K298">
        <f>IF(K$2=0,"",IFERROR(TRIM(INDEX('Pegar estudiantes'!$A$1:$BZ$1001,297,K$2)&amp;""),""))</f>
        <v/>
      </c>
      <c r="L298" s="25">
        <f>IF(A298&lt;&gt;"",1,"")</f>
        <v/>
      </c>
      <c r="M298" s="25">
        <f>IF(L298=1,IF(ISNUMBER(FIND("#"&amp;MID(A298,1,1)&amp;"#","#0#1#2#3#4#5#6#7#8#9#")),IF(ISNUMBER(FIND("#"&amp;MID(A298,2,1)&amp;"#","#0#1#2#3#4#5#6#7#8#9#")),IF(AND(VALUE(LEFT(A298,2))&gt;=1,VALUE(LEFT(A298,2))&lt;=5),VALUE(LEFT(A298,2)),""),IF(AND(VALUE(LEFT(A298,1))&gt;=1,VALUE(LEFT(A298,1))&lt;=5),VALUE(LEFT(A298,1)),"")),""),"")</f>
        <v/>
      </c>
      <c r="N298" s="25">
        <f>IF(L298=1,IF(ISNUMBER(FIND("#"&amp;MID(H298,1,1)&amp;"#","#0#1#2#3#4#5#6#7#8#9#")),IF(ISNUMBER(FIND("#"&amp;MID(H298,2,1)&amp;"#","#0#1#2#3#4#5#6#7#8#9#")),IF(AND(VALUE(LEFT(H298,2))&gt;=1,VALUE(LEFT(H298,2))&lt;=5),VALUE(LEFT(H298,2)),""),IF(AND(VALUE(LEFT(H298,1))&gt;=1,VALUE(LEFT(H298,1))&lt;=5),VALUE(LEFT(H298,1)),"")),""),"")</f>
        <v/>
      </c>
      <c r="O298" s="25">
        <f>IF(AND(L298=1,B298&lt;&gt;""),SUBSTITUTE(SUBSTITUTE(SUBSTITUTE(SUBSTITUTE(SUBSTITUTE(SUBSTITUTE(SUBSTITUTE(SUBSTITUTE(SUBSTITUTE(SUBSTITUTE(SUBSTITUTE(SUBSTITUTE(LOWER(TRIM(B298)),"á","a"),"é","e"),"í","i"),"ó","o"),"ú","u"),"ü","u"),"ñ","n"),"à","a"),"è","e"),"ì","i"),"ò","o"),"ù","u"),"")</f>
        <v/>
      </c>
      <c r="P298" s="25">
        <f>IF(AND(L298=1,C298&lt;&gt;""),SUBSTITUTE(SUBSTITUTE(SUBSTITUTE(SUBSTITUTE(SUBSTITUTE(SUBSTITUTE(SUBSTITUTE(SUBSTITUTE(SUBSTITUTE(SUBSTITUTE(SUBSTITUTE(SUBSTITUTE(LOWER(TRIM(C298)),"á","a"),"é","e"),"í","i"),"ó","o"),"ú","u"),"ü","u"),"ñ","n"),"à","a"),"è","e"),"ì","i"),"ò","o"),"ù","u"),"")</f>
        <v/>
      </c>
      <c r="Q298" s="25">
        <f>IF(AND(L298=1,E298&lt;&gt;""),SUBSTITUTE(SUBSTITUTE(SUBSTITUTE(SUBSTITUTE(SUBSTITUTE(SUBSTITUTE(SUBSTITUTE(SUBSTITUTE(SUBSTITUTE(SUBSTITUTE(SUBSTITUTE(SUBSTITUTE(LOWER(TRIM(E298)),"á","a"),"é","e"),"í","i"),"ó","o"),"ú","u"),"ü","u"),"ñ","n"),"à","a"),"è","e"),"ì","i"),"ò","o"),"ù","u"),"")</f>
        <v/>
      </c>
      <c r="R298" s="25">
        <f>IF(AND(L298=1,I298&lt;&gt;""),SUBSTITUTE(SUBSTITUTE(SUBSTITUTE(SUBSTITUTE(SUBSTITUTE(SUBSTITUTE(SUBSTITUTE(SUBSTITUTE(SUBSTITUTE(SUBSTITUTE(SUBSTITUTE(SUBSTITUTE(LOWER(TRIM(I298)),"á","a"),"é","e"),"í","i"),"ó","o"),"ú","u"),"ü","u"),"ñ","n"),"à","a"),"è","e"),"ì","i"),"ò","o"),"ù","u"),"")</f>
        <v/>
      </c>
      <c r="S298" s="25">
        <f>IF(R298="","",IF(OR(R298="si",R298="tal vez"),1,0))</f>
        <v/>
      </c>
      <c r="T298" s="25">
        <f>IF(AND(L298=1,D298&lt;&gt;""),IF(IFERROR(COUNTIFS(D$3:D298,"="&amp;SUBSTITUTE(SUBSTITUTE(SUBSTITUTE(D298,"~","~~"),"*","~*"),"?","~?"),L$3:L298,1),0)=1,MAX(T$2:T297)+1,""),"")</f>
        <v/>
      </c>
      <c r="U298" s="25">
        <f>IF(T298="","",COUNTIFS($D$3:$D$1002,"="&amp;SUBSTITUTE(SUBSTITUTE(SUBSTITUTE(D298,"~","~~"),"*","~*"),"?","~?"),$L$3:$L$1002,1)*10000-T298)</f>
        <v/>
      </c>
      <c r="V298" s="25">
        <f>IF(AND(L298=1,J298&lt;&gt;""),IF(IFERROR(COUNTIFS(J$3:J298,"="&amp;SUBSTITUTE(SUBSTITUTE(SUBSTITUTE(J298,"~","~~"),"*","~*"),"?","~?"),L$3:L298,1),0)=1,MAX(V$2:V297)+1,""),"")</f>
        <v/>
      </c>
      <c r="W298" s="25">
        <f>IF(V298="","",COUNTIFS($J$3:$J$1002,"="&amp;SUBSTITUTE(SUBSTITUTE(SUBSTITUTE(J298,"~","~~"),"*","~*"),"?","~?"),$L$3:$L$1002,1)*10000-V298)</f>
        <v/>
      </c>
    </row>
    <row r="299">
      <c r="A299">
        <f>IF(A$2=0,"",IFERROR(TRIM(INDEX('Pegar estudiantes'!$A$1:$BZ$1001,298,A$2)&amp;""),""))</f>
        <v/>
      </c>
      <c r="B299">
        <f>IF(B$2=0,"",IFERROR(TRIM(INDEX('Pegar estudiantes'!$A$1:$BZ$1001,298,B$2)&amp;""),""))</f>
        <v/>
      </c>
      <c r="C299">
        <f>IF(C$2=0,"",IFERROR(TRIM(INDEX('Pegar estudiantes'!$A$1:$BZ$1001,298,C$2)&amp;""),""))</f>
        <v/>
      </c>
      <c r="D299">
        <f>IF(D$2=0,"",IFERROR(TRIM(INDEX('Pegar estudiantes'!$A$1:$BZ$1001,298,D$2)&amp;""),""))</f>
        <v/>
      </c>
      <c r="E299">
        <f>IF(E$2=0,"",IFERROR(TRIM(INDEX('Pegar estudiantes'!$A$1:$BZ$1001,298,E$2)&amp;""),""))</f>
        <v/>
      </c>
      <c r="F299">
        <f>IF(F$2=0,"",IFERROR(TRIM(INDEX('Pegar estudiantes'!$A$1:$BZ$1001,298,F$2)&amp;""),""))</f>
        <v/>
      </c>
      <c r="G299">
        <f>IF(G$2=0,"",IFERROR(TRIM(INDEX('Pegar estudiantes'!$A$1:$BZ$1001,298,G$2)&amp;""),""))</f>
        <v/>
      </c>
      <c r="H299">
        <f>IF(H$2=0,"",IFERROR(TRIM(INDEX('Pegar estudiantes'!$A$1:$BZ$1001,298,H$2)&amp;""),""))</f>
        <v/>
      </c>
      <c r="I299">
        <f>IF(I$2=0,"",IFERROR(TRIM(INDEX('Pegar estudiantes'!$A$1:$BZ$1001,298,I$2)&amp;""),""))</f>
        <v/>
      </c>
      <c r="J299">
        <f>IF(J$2=0,"",IFERROR(TRIM(INDEX('Pegar estudiantes'!$A$1:$BZ$1001,298,J$2)&amp;""),""))</f>
        <v/>
      </c>
      <c r="K299">
        <f>IF(K$2=0,"",IFERROR(TRIM(INDEX('Pegar estudiantes'!$A$1:$BZ$1001,298,K$2)&amp;""),""))</f>
        <v/>
      </c>
      <c r="L299" s="25">
        <f>IF(A299&lt;&gt;"",1,"")</f>
        <v/>
      </c>
      <c r="M299" s="25">
        <f>IF(L299=1,IF(ISNUMBER(FIND("#"&amp;MID(A299,1,1)&amp;"#","#0#1#2#3#4#5#6#7#8#9#")),IF(ISNUMBER(FIND("#"&amp;MID(A299,2,1)&amp;"#","#0#1#2#3#4#5#6#7#8#9#")),IF(AND(VALUE(LEFT(A299,2))&gt;=1,VALUE(LEFT(A299,2))&lt;=5),VALUE(LEFT(A299,2)),""),IF(AND(VALUE(LEFT(A299,1))&gt;=1,VALUE(LEFT(A299,1))&lt;=5),VALUE(LEFT(A299,1)),"")),""),"")</f>
        <v/>
      </c>
      <c r="N299" s="25">
        <f>IF(L299=1,IF(ISNUMBER(FIND("#"&amp;MID(H299,1,1)&amp;"#","#0#1#2#3#4#5#6#7#8#9#")),IF(ISNUMBER(FIND("#"&amp;MID(H299,2,1)&amp;"#","#0#1#2#3#4#5#6#7#8#9#")),IF(AND(VALUE(LEFT(H299,2))&gt;=1,VALUE(LEFT(H299,2))&lt;=5),VALUE(LEFT(H299,2)),""),IF(AND(VALUE(LEFT(H299,1))&gt;=1,VALUE(LEFT(H299,1))&lt;=5),VALUE(LEFT(H299,1)),"")),""),"")</f>
        <v/>
      </c>
      <c r="O299" s="25">
        <f>IF(AND(L299=1,B299&lt;&gt;""),SUBSTITUTE(SUBSTITUTE(SUBSTITUTE(SUBSTITUTE(SUBSTITUTE(SUBSTITUTE(SUBSTITUTE(SUBSTITUTE(SUBSTITUTE(SUBSTITUTE(SUBSTITUTE(SUBSTITUTE(LOWER(TRIM(B299)),"á","a"),"é","e"),"í","i"),"ó","o"),"ú","u"),"ü","u"),"ñ","n"),"à","a"),"è","e"),"ì","i"),"ò","o"),"ù","u"),"")</f>
        <v/>
      </c>
      <c r="P299" s="25">
        <f>IF(AND(L299=1,C299&lt;&gt;""),SUBSTITUTE(SUBSTITUTE(SUBSTITUTE(SUBSTITUTE(SUBSTITUTE(SUBSTITUTE(SUBSTITUTE(SUBSTITUTE(SUBSTITUTE(SUBSTITUTE(SUBSTITUTE(SUBSTITUTE(LOWER(TRIM(C299)),"á","a"),"é","e"),"í","i"),"ó","o"),"ú","u"),"ü","u"),"ñ","n"),"à","a"),"è","e"),"ì","i"),"ò","o"),"ù","u"),"")</f>
        <v/>
      </c>
      <c r="Q299" s="25">
        <f>IF(AND(L299=1,E299&lt;&gt;""),SUBSTITUTE(SUBSTITUTE(SUBSTITUTE(SUBSTITUTE(SUBSTITUTE(SUBSTITUTE(SUBSTITUTE(SUBSTITUTE(SUBSTITUTE(SUBSTITUTE(SUBSTITUTE(SUBSTITUTE(LOWER(TRIM(E299)),"á","a"),"é","e"),"í","i"),"ó","o"),"ú","u"),"ü","u"),"ñ","n"),"à","a"),"è","e"),"ì","i"),"ò","o"),"ù","u"),"")</f>
        <v/>
      </c>
      <c r="R299" s="25">
        <f>IF(AND(L299=1,I299&lt;&gt;""),SUBSTITUTE(SUBSTITUTE(SUBSTITUTE(SUBSTITUTE(SUBSTITUTE(SUBSTITUTE(SUBSTITUTE(SUBSTITUTE(SUBSTITUTE(SUBSTITUTE(SUBSTITUTE(SUBSTITUTE(LOWER(TRIM(I299)),"á","a"),"é","e"),"í","i"),"ó","o"),"ú","u"),"ü","u"),"ñ","n"),"à","a"),"è","e"),"ì","i"),"ò","o"),"ù","u"),"")</f>
        <v/>
      </c>
      <c r="S299" s="25">
        <f>IF(R299="","",IF(OR(R299="si",R299="tal vez"),1,0))</f>
        <v/>
      </c>
      <c r="T299" s="25">
        <f>IF(AND(L299=1,D299&lt;&gt;""),IF(IFERROR(COUNTIFS(D$3:D299,"="&amp;SUBSTITUTE(SUBSTITUTE(SUBSTITUTE(D299,"~","~~"),"*","~*"),"?","~?"),L$3:L299,1),0)=1,MAX(T$2:T298)+1,""),"")</f>
        <v/>
      </c>
      <c r="U299" s="25">
        <f>IF(T299="","",COUNTIFS($D$3:$D$1002,"="&amp;SUBSTITUTE(SUBSTITUTE(SUBSTITUTE(D299,"~","~~"),"*","~*"),"?","~?"),$L$3:$L$1002,1)*10000-T299)</f>
        <v/>
      </c>
      <c r="V299" s="25">
        <f>IF(AND(L299=1,J299&lt;&gt;""),IF(IFERROR(COUNTIFS(J$3:J299,"="&amp;SUBSTITUTE(SUBSTITUTE(SUBSTITUTE(J299,"~","~~"),"*","~*"),"?","~?"),L$3:L299,1),0)=1,MAX(V$2:V298)+1,""),"")</f>
        <v/>
      </c>
      <c r="W299" s="25">
        <f>IF(V299="","",COUNTIFS($J$3:$J$1002,"="&amp;SUBSTITUTE(SUBSTITUTE(SUBSTITUTE(J299,"~","~~"),"*","~*"),"?","~?"),$L$3:$L$1002,1)*10000-V299)</f>
        <v/>
      </c>
    </row>
    <row r="300">
      <c r="A300">
        <f>IF(A$2=0,"",IFERROR(TRIM(INDEX('Pegar estudiantes'!$A$1:$BZ$1001,299,A$2)&amp;""),""))</f>
        <v/>
      </c>
      <c r="B300">
        <f>IF(B$2=0,"",IFERROR(TRIM(INDEX('Pegar estudiantes'!$A$1:$BZ$1001,299,B$2)&amp;""),""))</f>
        <v/>
      </c>
      <c r="C300">
        <f>IF(C$2=0,"",IFERROR(TRIM(INDEX('Pegar estudiantes'!$A$1:$BZ$1001,299,C$2)&amp;""),""))</f>
        <v/>
      </c>
      <c r="D300">
        <f>IF(D$2=0,"",IFERROR(TRIM(INDEX('Pegar estudiantes'!$A$1:$BZ$1001,299,D$2)&amp;""),""))</f>
        <v/>
      </c>
      <c r="E300">
        <f>IF(E$2=0,"",IFERROR(TRIM(INDEX('Pegar estudiantes'!$A$1:$BZ$1001,299,E$2)&amp;""),""))</f>
        <v/>
      </c>
      <c r="F300">
        <f>IF(F$2=0,"",IFERROR(TRIM(INDEX('Pegar estudiantes'!$A$1:$BZ$1001,299,F$2)&amp;""),""))</f>
        <v/>
      </c>
      <c r="G300">
        <f>IF(G$2=0,"",IFERROR(TRIM(INDEX('Pegar estudiantes'!$A$1:$BZ$1001,299,G$2)&amp;""),""))</f>
        <v/>
      </c>
      <c r="H300">
        <f>IF(H$2=0,"",IFERROR(TRIM(INDEX('Pegar estudiantes'!$A$1:$BZ$1001,299,H$2)&amp;""),""))</f>
        <v/>
      </c>
      <c r="I300">
        <f>IF(I$2=0,"",IFERROR(TRIM(INDEX('Pegar estudiantes'!$A$1:$BZ$1001,299,I$2)&amp;""),""))</f>
        <v/>
      </c>
      <c r="J300">
        <f>IF(J$2=0,"",IFERROR(TRIM(INDEX('Pegar estudiantes'!$A$1:$BZ$1001,299,J$2)&amp;""),""))</f>
        <v/>
      </c>
      <c r="K300">
        <f>IF(K$2=0,"",IFERROR(TRIM(INDEX('Pegar estudiantes'!$A$1:$BZ$1001,299,K$2)&amp;""),""))</f>
        <v/>
      </c>
      <c r="L300" s="25">
        <f>IF(A300&lt;&gt;"",1,"")</f>
        <v/>
      </c>
      <c r="M300" s="25">
        <f>IF(L300=1,IF(ISNUMBER(FIND("#"&amp;MID(A300,1,1)&amp;"#","#0#1#2#3#4#5#6#7#8#9#")),IF(ISNUMBER(FIND("#"&amp;MID(A300,2,1)&amp;"#","#0#1#2#3#4#5#6#7#8#9#")),IF(AND(VALUE(LEFT(A300,2))&gt;=1,VALUE(LEFT(A300,2))&lt;=5),VALUE(LEFT(A300,2)),""),IF(AND(VALUE(LEFT(A300,1))&gt;=1,VALUE(LEFT(A300,1))&lt;=5),VALUE(LEFT(A300,1)),"")),""),"")</f>
        <v/>
      </c>
      <c r="N300" s="25">
        <f>IF(L300=1,IF(ISNUMBER(FIND("#"&amp;MID(H300,1,1)&amp;"#","#0#1#2#3#4#5#6#7#8#9#")),IF(ISNUMBER(FIND("#"&amp;MID(H300,2,1)&amp;"#","#0#1#2#3#4#5#6#7#8#9#")),IF(AND(VALUE(LEFT(H300,2))&gt;=1,VALUE(LEFT(H300,2))&lt;=5),VALUE(LEFT(H300,2)),""),IF(AND(VALUE(LEFT(H300,1))&gt;=1,VALUE(LEFT(H300,1))&lt;=5),VALUE(LEFT(H300,1)),"")),""),"")</f>
        <v/>
      </c>
      <c r="O300" s="25">
        <f>IF(AND(L300=1,B300&lt;&gt;""),SUBSTITUTE(SUBSTITUTE(SUBSTITUTE(SUBSTITUTE(SUBSTITUTE(SUBSTITUTE(SUBSTITUTE(SUBSTITUTE(SUBSTITUTE(SUBSTITUTE(SUBSTITUTE(SUBSTITUTE(LOWER(TRIM(B300)),"á","a"),"é","e"),"í","i"),"ó","o"),"ú","u"),"ü","u"),"ñ","n"),"à","a"),"è","e"),"ì","i"),"ò","o"),"ù","u"),"")</f>
        <v/>
      </c>
      <c r="P300" s="25">
        <f>IF(AND(L300=1,C300&lt;&gt;""),SUBSTITUTE(SUBSTITUTE(SUBSTITUTE(SUBSTITUTE(SUBSTITUTE(SUBSTITUTE(SUBSTITUTE(SUBSTITUTE(SUBSTITUTE(SUBSTITUTE(SUBSTITUTE(SUBSTITUTE(LOWER(TRIM(C300)),"á","a"),"é","e"),"í","i"),"ó","o"),"ú","u"),"ü","u"),"ñ","n"),"à","a"),"è","e"),"ì","i"),"ò","o"),"ù","u"),"")</f>
        <v/>
      </c>
      <c r="Q300" s="25">
        <f>IF(AND(L300=1,E300&lt;&gt;""),SUBSTITUTE(SUBSTITUTE(SUBSTITUTE(SUBSTITUTE(SUBSTITUTE(SUBSTITUTE(SUBSTITUTE(SUBSTITUTE(SUBSTITUTE(SUBSTITUTE(SUBSTITUTE(SUBSTITUTE(LOWER(TRIM(E300)),"á","a"),"é","e"),"í","i"),"ó","o"),"ú","u"),"ü","u"),"ñ","n"),"à","a"),"è","e"),"ì","i"),"ò","o"),"ù","u"),"")</f>
        <v/>
      </c>
      <c r="R300" s="25">
        <f>IF(AND(L300=1,I300&lt;&gt;""),SUBSTITUTE(SUBSTITUTE(SUBSTITUTE(SUBSTITUTE(SUBSTITUTE(SUBSTITUTE(SUBSTITUTE(SUBSTITUTE(SUBSTITUTE(SUBSTITUTE(SUBSTITUTE(SUBSTITUTE(LOWER(TRIM(I300)),"á","a"),"é","e"),"í","i"),"ó","o"),"ú","u"),"ü","u"),"ñ","n"),"à","a"),"è","e"),"ì","i"),"ò","o"),"ù","u"),"")</f>
        <v/>
      </c>
      <c r="S300" s="25">
        <f>IF(R300="","",IF(OR(R300="si",R300="tal vez"),1,0))</f>
        <v/>
      </c>
      <c r="T300" s="25">
        <f>IF(AND(L300=1,D300&lt;&gt;""),IF(IFERROR(COUNTIFS(D$3:D300,"="&amp;SUBSTITUTE(SUBSTITUTE(SUBSTITUTE(D300,"~","~~"),"*","~*"),"?","~?"),L$3:L300,1),0)=1,MAX(T$2:T299)+1,""),"")</f>
        <v/>
      </c>
      <c r="U300" s="25">
        <f>IF(T300="","",COUNTIFS($D$3:$D$1002,"="&amp;SUBSTITUTE(SUBSTITUTE(SUBSTITUTE(D300,"~","~~"),"*","~*"),"?","~?"),$L$3:$L$1002,1)*10000-T300)</f>
        <v/>
      </c>
      <c r="V300" s="25">
        <f>IF(AND(L300=1,J300&lt;&gt;""),IF(IFERROR(COUNTIFS(J$3:J300,"="&amp;SUBSTITUTE(SUBSTITUTE(SUBSTITUTE(J300,"~","~~"),"*","~*"),"?","~?"),L$3:L300,1),0)=1,MAX(V$2:V299)+1,""),"")</f>
        <v/>
      </c>
      <c r="W300" s="25">
        <f>IF(V300="","",COUNTIFS($J$3:$J$1002,"="&amp;SUBSTITUTE(SUBSTITUTE(SUBSTITUTE(J300,"~","~~"),"*","~*"),"?","~?"),$L$3:$L$1002,1)*10000-V300)</f>
        <v/>
      </c>
    </row>
    <row r="301">
      <c r="A301">
        <f>IF(A$2=0,"",IFERROR(TRIM(INDEX('Pegar estudiantes'!$A$1:$BZ$1001,300,A$2)&amp;""),""))</f>
        <v/>
      </c>
      <c r="B301">
        <f>IF(B$2=0,"",IFERROR(TRIM(INDEX('Pegar estudiantes'!$A$1:$BZ$1001,300,B$2)&amp;""),""))</f>
        <v/>
      </c>
      <c r="C301">
        <f>IF(C$2=0,"",IFERROR(TRIM(INDEX('Pegar estudiantes'!$A$1:$BZ$1001,300,C$2)&amp;""),""))</f>
        <v/>
      </c>
      <c r="D301">
        <f>IF(D$2=0,"",IFERROR(TRIM(INDEX('Pegar estudiantes'!$A$1:$BZ$1001,300,D$2)&amp;""),""))</f>
        <v/>
      </c>
      <c r="E301">
        <f>IF(E$2=0,"",IFERROR(TRIM(INDEX('Pegar estudiantes'!$A$1:$BZ$1001,300,E$2)&amp;""),""))</f>
        <v/>
      </c>
      <c r="F301">
        <f>IF(F$2=0,"",IFERROR(TRIM(INDEX('Pegar estudiantes'!$A$1:$BZ$1001,300,F$2)&amp;""),""))</f>
        <v/>
      </c>
      <c r="G301">
        <f>IF(G$2=0,"",IFERROR(TRIM(INDEX('Pegar estudiantes'!$A$1:$BZ$1001,300,G$2)&amp;""),""))</f>
        <v/>
      </c>
      <c r="H301">
        <f>IF(H$2=0,"",IFERROR(TRIM(INDEX('Pegar estudiantes'!$A$1:$BZ$1001,300,H$2)&amp;""),""))</f>
        <v/>
      </c>
      <c r="I301">
        <f>IF(I$2=0,"",IFERROR(TRIM(INDEX('Pegar estudiantes'!$A$1:$BZ$1001,300,I$2)&amp;""),""))</f>
        <v/>
      </c>
      <c r="J301">
        <f>IF(J$2=0,"",IFERROR(TRIM(INDEX('Pegar estudiantes'!$A$1:$BZ$1001,300,J$2)&amp;""),""))</f>
        <v/>
      </c>
      <c r="K301">
        <f>IF(K$2=0,"",IFERROR(TRIM(INDEX('Pegar estudiantes'!$A$1:$BZ$1001,300,K$2)&amp;""),""))</f>
        <v/>
      </c>
      <c r="L301" s="25">
        <f>IF(A301&lt;&gt;"",1,"")</f>
        <v/>
      </c>
      <c r="M301" s="25">
        <f>IF(L301=1,IF(ISNUMBER(FIND("#"&amp;MID(A301,1,1)&amp;"#","#0#1#2#3#4#5#6#7#8#9#")),IF(ISNUMBER(FIND("#"&amp;MID(A301,2,1)&amp;"#","#0#1#2#3#4#5#6#7#8#9#")),IF(AND(VALUE(LEFT(A301,2))&gt;=1,VALUE(LEFT(A301,2))&lt;=5),VALUE(LEFT(A301,2)),""),IF(AND(VALUE(LEFT(A301,1))&gt;=1,VALUE(LEFT(A301,1))&lt;=5),VALUE(LEFT(A301,1)),"")),""),"")</f>
        <v/>
      </c>
      <c r="N301" s="25">
        <f>IF(L301=1,IF(ISNUMBER(FIND("#"&amp;MID(H301,1,1)&amp;"#","#0#1#2#3#4#5#6#7#8#9#")),IF(ISNUMBER(FIND("#"&amp;MID(H301,2,1)&amp;"#","#0#1#2#3#4#5#6#7#8#9#")),IF(AND(VALUE(LEFT(H301,2))&gt;=1,VALUE(LEFT(H301,2))&lt;=5),VALUE(LEFT(H301,2)),""),IF(AND(VALUE(LEFT(H301,1))&gt;=1,VALUE(LEFT(H301,1))&lt;=5),VALUE(LEFT(H301,1)),"")),""),"")</f>
        <v/>
      </c>
      <c r="O301" s="25">
        <f>IF(AND(L301=1,B301&lt;&gt;""),SUBSTITUTE(SUBSTITUTE(SUBSTITUTE(SUBSTITUTE(SUBSTITUTE(SUBSTITUTE(SUBSTITUTE(SUBSTITUTE(SUBSTITUTE(SUBSTITUTE(SUBSTITUTE(SUBSTITUTE(LOWER(TRIM(B301)),"á","a"),"é","e"),"í","i"),"ó","o"),"ú","u"),"ü","u"),"ñ","n"),"à","a"),"è","e"),"ì","i"),"ò","o"),"ù","u"),"")</f>
        <v/>
      </c>
      <c r="P301" s="25">
        <f>IF(AND(L301=1,C301&lt;&gt;""),SUBSTITUTE(SUBSTITUTE(SUBSTITUTE(SUBSTITUTE(SUBSTITUTE(SUBSTITUTE(SUBSTITUTE(SUBSTITUTE(SUBSTITUTE(SUBSTITUTE(SUBSTITUTE(SUBSTITUTE(LOWER(TRIM(C301)),"á","a"),"é","e"),"í","i"),"ó","o"),"ú","u"),"ü","u"),"ñ","n"),"à","a"),"è","e"),"ì","i"),"ò","o"),"ù","u"),"")</f>
        <v/>
      </c>
      <c r="Q301" s="25">
        <f>IF(AND(L301=1,E301&lt;&gt;""),SUBSTITUTE(SUBSTITUTE(SUBSTITUTE(SUBSTITUTE(SUBSTITUTE(SUBSTITUTE(SUBSTITUTE(SUBSTITUTE(SUBSTITUTE(SUBSTITUTE(SUBSTITUTE(SUBSTITUTE(LOWER(TRIM(E301)),"á","a"),"é","e"),"í","i"),"ó","o"),"ú","u"),"ü","u"),"ñ","n"),"à","a"),"è","e"),"ì","i"),"ò","o"),"ù","u"),"")</f>
        <v/>
      </c>
      <c r="R301" s="25">
        <f>IF(AND(L301=1,I301&lt;&gt;""),SUBSTITUTE(SUBSTITUTE(SUBSTITUTE(SUBSTITUTE(SUBSTITUTE(SUBSTITUTE(SUBSTITUTE(SUBSTITUTE(SUBSTITUTE(SUBSTITUTE(SUBSTITUTE(SUBSTITUTE(LOWER(TRIM(I301)),"á","a"),"é","e"),"í","i"),"ó","o"),"ú","u"),"ü","u"),"ñ","n"),"à","a"),"è","e"),"ì","i"),"ò","o"),"ù","u"),"")</f>
        <v/>
      </c>
      <c r="S301" s="25">
        <f>IF(R301="","",IF(OR(R301="si",R301="tal vez"),1,0))</f>
        <v/>
      </c>
      <c r="T301" s="25">
        <f>IF(AND(L301=1,D301&lt;&gt;""),IF(IFERROR(COUNTIFS(D$3:D301,"="&amp;SUBSTITUTE(SUBSTITUTE(SUBSTITUTE(D301,"~","~~"),"*","~*"),"?","~?"),L$3:L301,1),0)=1,MAX(T$2:T300)+1,""),"")</f>
        <v/>
      </c>
      <c r="U301" s="25">
        <f>IF(T301="","",COUNTIFS($D$3:$D$1002,"="&amp;SUBSTITUTE(SUBSTITUTE(SUBSTITUTE(D301,"~","~~"),"*","~*"),"?","~?"),$L$3:$L$1002,1)*10000-T301)</f>
        <v/>
      </c>
      <c r="V301" s="25">
        <f>IF(AND(L301=1,J301&lt;&gt;""),IF(IFERROR(COUNTIFS(J$3:J301,"="&amp;SUBSTITUTE(SUBSTITUTE(SUBSTITUTE(J301,"~","~~"),"*","~*"),"?","~?"),L$3:L301,1),0)=1,MAX(V$2:V300)+1,""),"")</f>
        <v/>
      </c>
      <c r="W301" s="25">
        <f>IF(V301="","",COUNTIFS($J$3:$J$1002,"="&amp;SUBSTITUTE(SUBSTITUTE(SUBSTITUTE(J301,"~","~~"),"*","~*"),"?","~?"),$L$3:$L$1002,1)*10000-V301)</f>
        <v/>
      </c>
    </row>
    <row r="302">
      <c r="A302">
        <f>IF(A$2=0,"",IFERROR(TRIM(INDEX('Pegar estudiantes'!$A$1:$BZ$1001,301,A$2)&amp;""),""))</f>
        <v/>
      </c>
      <c r="B302">
        <f>IF(B$2=0,"",IFERROR(TRIM(INDEX('Pegar estudiantes'!$A$1:$BZ$1001,301,B$2)&amp;""),""))</f>
        <v/>
      </c>
      <c r="C302">
        <f>IF(C$2=0,"",IFERROR(TRIM(INDEX('Pegar estudiantes'!$A$1:$BZ$1001,301,C$2)&amp;""),""))</f>
        <v/>
      </c>
      <c r="D302">
        <f>IF(D$2=0,"",IFERROR(TRIM(INDEX('Pegar estudiantes'!$A$1:$BZ$1001,301,D$2)&amp;""),""))</f>
        <v/>
      </c>
      <c r="E302">
        <f>IF(E$2=0,"",IFERROR(TRIM(INDEX('Pegar estudiantes'!$A$1:$BZ$1001,301,E$2)&amp;""),""))</f>
        <v/>
      </c>
      <c r="F302">
        <f>IF(F$2=0,"",IFERROR(TRIM(INDEX('Pegar estudiantes'!$A$1:$BZ$1001,301,F$2)&amp;""),""))</f>
        <v/>
      </c>
      <c r="G302">
        <f>IF(G$2=0,"",IFERROR(TRIM(INDEX('Pegar estudiantes'!$A$1:$BZ$1001,301,G$2)&amp;""),""))</f>
        <v/>
      </c>
      <c r="H302">
        <f>IF(H$2=0,"",IFERROR(TRIM(INDEX('Pegar estudiantes'!$A$1:$BZ$1001,301,H$2)&amp;""),""))</f>
        <v/>
      </c>
      <c r="I302">
        <f>IF(I$2=0,"",IFERROR(TRIM(INDEX('Pegar estudiantes'!$A$1:$BZ$1001,301,I$2)&amp;""),""))</f>
        <v/>
      </c>
      <c r="J302">
        <f>IF(J$2=0,"",IFERROR(TRIM(INDEX('Pegar estudiantes'!$A$1:$BZ$1001,301,J$2)&amp;""),""))</f>
        <v/>
      </c>
      <c r="K302">
        <f>IF(K$2=0,"",IFERROR(TRIM(INDEX('Pegar estudiantes'!$A$1:$BZ$1001,301,K$2)&amp;""),""))</f>
        <v/>
      </c>
      <c r="L302" s="25">
        <f>IF(A302&lt;&gt;"",1,"")</f>
        <v/>
      </c>
      <c r="M302" s="25">
        <f>IF(L302=1,IF(ISNUMBER(FIND("#"&amp;MID(A302,1,1)&amp;"#","#0#1#2#3#4#5#6#7#8#9#")),IF(ISNUMBER(FIND("#"&amp;MID(A302,2,1)&amp;"#","#0#1#2#3#4#5#6#7#8#9#")),IF(AND(VALUE(LEFT(A302,2))&gt;=1,VALUE(LEFT(A302,2))&lt;=5),VALUE(LEFT(A302,2)),""),IF(AND(VALUE(LEFT(A302,1))&gt;=1,VALUE(LEFT(A302,1))&lt;=5),VALUE(LEFT(A302,1)),"")),""),"")</f>
        <v/>
      </c>
      <c r="N302" s="25">
        <f>IF(L302=1,IF(ISNUMBER(FIND("#"&amp;MID(H302,1,1)&amp;"#","#0#1#2#3#4#5#6#7#8#9#")),IF(ISNUMBER(FIND("#"&amp;MID(H302,2,1)&amp;"#","#0#1#2#3#4#5#6#7#8#9#")),IF(AND(VALUE(LEFT(H302,2))&gt;=1,VALUE(LEFT(H302,2))&lt;=5),VALUE(LEFT(H302,2)),""),IF(AND(VALUE(LEFT(H302,1))&gt;=1,VALUE(LEFT(H302,1))&lt;=5),VALUE(LEFT(H302,1)),"")),""),"")</f>
        <v/>
      </c>
      <c r="O302" s="25">
        <f>IF(AND(L302=1,B302&lt;&gt;""),SUBSTITUTE(SUBSTITUTE(SUBSTITUTE(SUBSTITUTE(SUBSTITUTE(SUBSTITUTE(SUBSTITUTE(SUBSTITUTE(SUBSTITUTE(SUBSTITUTE(SUBSTITUTE(SUBSTITUTE(LOWER(TRIM(B302)),"á","a"),"é","e"),"í","i"),"ó","o"),"ú","u"),"ü","u"),"ñ","n"),"à","a"),"è","e"),"ì","i"),"ò","o"),"ù","u"),"")</f>
        <v/>
      </c>
      <c r="P302" s="25">
        <f>IF(AND(L302=1,C302&lt;&gt;""),SUBSTITUTE(SUBSTITUTE(SUBSTITUTE(SUBSTITUTE(SUBSTITUTE(SUBSTITUTE(SUBSTITUTE(SUBSTITUTE(SUBSTITUTE(SUBSTITUTE(SUBSTITUTE(SUBSTITUTE(LOWER(TRIM(C302)),"á","a"),"é","e"),"í","i"),"ó","o"),"ú","u"),"ü","u"),"ñ","n"),"à","a"),"è","e"),"ì","i"),"ò","o"),"ù","u"),"")</f>
        <v/>
      </c>
      <c r="Q302" s="25">
        <f>IF(AND(L302=1,E302&lt;&gt;""),SUBSTITUTE(SUBSTITUTE(SUBSTITUTE(SUBSTITUTE(SUBSTITUTE(SUBSTITUTE(SUBSTITUTE(SUBSTITUTE(SUBSTITUTE(SUBSTITUTE(SUBSTITUTE(SUBSTITUTE(LOWER(TRIM(E302)),"á","a"),"é","e"),"í","i"),"ó","o"),"ú","u"),"ü","u"),"ñ","n"),"à","a"),"è","e"),"ì","i"),"ò","o"),"ù","u"),"")</f>
        <v/>
      </c>
      <c r="R302" s="25">
        <f>IF(AND(L302=1,I302&lt;&gt;""),SUBSTITUTE(SUBSTITUTE(SUBSTITUTE(SUBSTITUTE(SUBSTITUTE(SUBSTITUTE(SUBSTITUTE(SUBSTITUTE(SUBSTITUTE(SUBSTITUTE(SUBSTITUTE(SUBSTITUTE(LOWER(TRIM(I302)),"á","a"),"é","e"),"í","i"),"ó","o"),"ú","u"),"ü","u"),"ñ","n"),"à","a"),"è","e"),"ì","i"),"ò","o"),"ù","u"),"")</f>
        <v/>
      </c>
      <c r="S302" s="25">
        <f>IF(R302="","",IF(OR(R302="si",R302="tal vez"),1,0))</f>
        <v/>
      </c>
      <c r="T302" s="25">
        <f>IF(AND(L302=1,D302&lt;&gt;""),IF(IFERROR(COUNTIFS(D$3:D302,"="&amp;SUBSTITUTE(SUBSTITUTE(SUBSTITUTE(D302,"~","~~"),"*","~*"),"?","~?"),L$3:L302,1),0)=1,MAX(T$2:T301)+1,""),"")</f>
        <v/>
      </c>
      <c r="U302" s="25">
        <f>IF(T302="","",COUNTIFS($D$3:$D$1002,"="&amp;SUBSTITUTE(SUBSTITUTE(SUBSTITUTE(D302,"~","~~"),"*","~*"),"?","~?"),$L$3:$L$1002,1)*10000-T302)</f>
        <v/>
      </c>
      <c r="V302" s="25">
        <f>IF(AND(L302=1,J302&lt;&gt;""),IF(IFERROR(COUNTIFS(J$3:J302,"="&amp;SUBSTITUTE(SUBSTITUTE(SUBSTITUTE(J302,"~","~~"),"*","~*"),"?","~?"),L$3:L302,1),0)=1,MAX(V$2:V301)+1,""),"")</f>
        <v/>
      </c>
      <c r="W302" s="25">
        <f>IF(V302="","",COUNTIFS($J$3:$J$1002,"="&amp;SUBSTITUTE(SUBSTITUTE(SUBSTITUTE(J302,"~","~~"),"*","~*"),"?","~?"),$L$3:$L$1002,1)*10000-V302)</f>
        <v/>
      </c>
    </row>
    <row r="303">
      <c r="A303">
        <f>IF(A$2=0,"",IFERROR(TRIM(INDEX('Pegar estudiantes'!$A$1:$BZ$1001,302,A$2)&amp;""),""))</f>
        <v/>
      </c>
      <c r="B303">
        <f>IF(B$2=0,"",IFERROR(TRIM(INDEX('Pegar estudiantes'!$A$1:$BZ$1001,302,B$2)&amp;""),""))</f>
        <v/>
      </c>
      <c r="C303">
        <f>IF(C$2=0,"",IFERROR(TRIM(INDEX('Pegar estudiantes'!$A$1:$BZ$1001,302,C$2)&amp;""),""))</f>
        <v/>
      </c>
      <c r="D303">
        <f>IF(D$2=0,"",IFERROR(TRIM(INDEX('Pegar estudiantes'!$A$1:$BZ$1001,302,D$2)&amp;""),""))</f>
        <v/>
      </c>
      <c r="E303">
        <f>IF(E$2=0,"",IFERROR(TRIM(INDEX('Pegar estudiantes'!$A$1:$BZ$1001,302,E$2)&amp;""),""))</f>
        <v/>
      </c>
      <c r="F303">
        <f>IF(F$2=0,"",IFERROR(TRIM(INDEX('Pegar estudiantes'!$A$1:$BZ$1001,302,F$2)&amp;""),""))</f>
        <v/>
      </c>
      <c r="G303">
        <f>IF(G$2=0,"",IFERROR(TRIM(INDEX('Pegar estudiantes'!$A$1:$BZ$1001,302,G$2)&amp;""),""))</f>
        <v/>
      </c>
      <c r="H303">
        <f>IF(H$2=0,"",IFERROR(TRIM(INDEX('Pegar estudiantes'!$A$1:$BZ$1001,302,H$2)&amp;""),""))</f>
        <v/>
      </c>
      <c r="I303">
        <f>IF(I$2=0,"",IFERROR(TRIM(INDEX('Pegar estudiantes'!$A$1:$BZ$1001,302,I$2)&amp;""),""))</f>
        <v/>
      </c>
      <c r="J303">
        <f>IF(J$2=0,"",IFERROR(TRIM(INDEX('Pegar estudiantes'!$A$1:$BZ$1001,302,J$2)&amp;""),""))</f>
        <v/>
      </c>
      <c r="K303">
        <f>IF(K$2=0,"",IFERROR(TRIM(INDEX('Pegar estudiantes'!$A$1:$BZ$1001,302,K$2)&amp;""),""))</f>
        <v/>
      </c>
      <c r="L303" s="25">
        <f>IF(A303&lt;&gt;"",1,"")</f>
        <v/>
      </c>
      <c r="M303" s="25">
        <f>IF(L303=1,IF(ISNUMBER(FIND("#"&amp;MID(A303,1,1)&amp;"#","#0#1#2#3#4#5#6#7#8#9#")),IF(ISNUMBER(FIND("#"&amp;MID(A303,2,1)&amp;"#","#0#1#2#3#4#5#6#7#8#9#")),IF(AND(VALUE(LEFT(A303,2))&gt;=1,VALUE(LEFT(A303,2))&lt;=5),VALUE(LEFT(A303,2)),""),IF(AND(VALUE(LEFT(A303,1))&gt;=1,VALUE(LEFT(A303,1))&lt;=5),VALUE(LEFT(A303,1)),"")),""),"")</f>
        <v/>
      </c>
      <c r="N303" s="25">
        <f>IF(L303=1,IF(ISNUMBER(FIND("#"&amp;MID(H303,1,1)&amp;"#","#0#1#2#3#4#5#6#7#8#9#")),IF(ISNUMBER(FIND("#"&amp;MID(H303,2,1)&amp;"#","#0#1#2#3#4#5#6#7#8#9#")),IF(AND(VALUE(LEFT(H303,2))&gt;=1,VALUE(LEFT(H303,2))&lt;=5),VALUE(LEFT(H303,2)),""),IF(AND(VALUE(LEFT(H303,1))&gt;=1,VALUE(LEFT(H303,1))&lt;=5),VALUE(LEFT(H303,1)),"")),""),"")</f>
        <v/>
      </c>
      <c r="O303" s="25">
        <f>IF(AND(L303=1,B303&lt;&gt;""),SUBSTITUTE(SUBSTITUTE(SUBSTITUTE(SUBSTITUTE(SUBSTITUTE(SUBSTITUTE(SUBSTITUTE(SUBSTITUTE(SUBSTITUTE(SUBSTITUTE(SUBSTITUTE(SUBSTITUTE(LOWER(TRIM(B303)),"á","a"),"é","e"),"í","i"),"ó","o"),"ú","u"),"ü","u"),"ñ","n"),"à","a"),"è","e"),"ì","i"),"ò","o"),"ù","u"),"")</f>
        <v/>
      </c>
      <c r="P303" s="25">
        <f>IF(AND(L303=1,C303&lt;&gt;""),SUBSTITUTE(SUBSTITUTE(SUBSTITUTE(SUBSTITUTE(SUBSTITUTE(SUBSTITUTE(SUBSTITUTE(SUBSTITUTE(SUBSTITUTE(SUBSTITUTE(SUBSTITUTE(SUBSTITUTE(LOWER(TRIM(C303)),"á","a"),"é","e"),"í","i"),"ó","o"),"ú","u"),"ü","u"),"ñ","n"),"à","a"),"è","e"),"ì","i"),"ò","o"),"ù","u"),"")</f>
        <v/>
      </c>
      <c r="Q303" s="25">
        <f>IF(AND(L303=1,E303&lt;&gt;""),SUBSTITUTE(SUBSTITUTE(SUBSTITUTE(SUBSTITUTE(SUBSTITUTE(SUBSTITUTE(SUBSTITUTE(SUBSTITUTE(SUBSTITUTE(SUBSTITUTE(SUBSTITUTE(SUBSTITUTE(LOWER(TRIM(E303)),"á","a"),"é","e"),"í","i"),"ó","o"),"ú","u"),"ü","u"),"ñ","n"),"à","a"),"è","e"),"ì","i"),"ò","o"),"ù","u"),"")</f>
        <v/>
      </c>
      <c r="R303" s="25">
        <f>IF(AND(L303=1,I303&lt;&gt;""),SUBSTITUTE(SUBSTITUTE(SUBSTITUTE(SUBSTITUTE(SUBSTITUTE(SUBSTITUTE(SUBSTITUTE(SUBSTITUTE(SUBSTITUTE(SUBSTITUTE(SUBSTITUTE(SUBSTITUTE(LOWER(TRIM(I303)),"á","a"),"é","e"),"í","i"),"ó","o"),"ú","u"),"ü","u"),"ñ","n"),"à","a"),"è","e"),"ì","i"),"ò","o"),"ù","u"),"")</f>
        <v/>
      </c>
      <c r="S303" s="25">
        <f>IF(R303="","",IF(OR(R303="si",R303="tal vez"),1,0))</f>
        <v/>
      </c>
      <c r="T303" s="25">
        <f>IF(AND(L303=1,D303&lt;&gt;""),IF(IFERROR(COUNTIFS(D$3:D303,"="&amp;SUBSTITUTE(SUBSTITUTE(SUBSTITUTE(D303,"~","~~"),"*","~*"),"?","~?"),L$3:L303,1),0)=1,MAX(T$2:T302)+1,""),"")</f>
        <v/>
      </c>
      <c r="U303" s="25">
        <f>IF(T303="","",COUNTIFS($D$3:$D$1002,"="&amp;SUBSTITUTE(SUBSTITUTE(SUBSTITUTE(D303,"~","~~"),"*","~*"),"?","~?"),$L$3:$L$1002,1)*10000-T303)</f>
        <v/>
      </c>
      <c r="V303" s="25">
        <f>IF(AND(L303=1,J303&lt;&gt;""),IF(IFERROR(COUNTIFS(J$3:J303,"="&amp;SUBSTITUTE(SUBSTITUTE(SUBSTITUTE(J303,"~","~~"),"*","~*"),"?","~?"),L$3:L303,1),0)=1,MAX(V$2:V302)+1,""),"")</f>
        <v/>
      </c>
      <c r="W303" s="25">
        <f>IF(V303="","",COUNTIFS($J$3:$J$1002,"="&amp;SUBSTITUTE(SUBSTITUTE(SUBSTITUTE(J303,"~","~~"),"*","~*"),"?","~?"),$L$3:$L$1002,1)*10000-V303)</f>
        <v/>
      </c>
    </row>
    <row r="304">
      <c r="A304">
        <f>IF(A$2=0,"",IFERROR(TRIM(INDEX('Pegar estudiantes'!$A$1:$BZ$1001,303,A$2)&amp;""),""))</f>
        <v/>
      </c>
      <c r="B304">
        <f>IF(B$2=0,"",IFERROR(TRIM(INDEX('Pegar estudiantes'!$A$1:$BZ$1001,303,B$2)&amp;""),""))</f>
        <v/>
      </c>
      <c r="C304">
        <f>IF(C$2=0,"",IFERROR(TRIM(INDEX('Pegar estudiantes'!$A$1:$BZ$1001,303,C$2)&amp;""),""))</f>
        <v/>
      </c>
      <c r="D304">
        <f>IF(D$2=0,"",IFERROR(TRIM(INDEX('Pegar estudiantes'!$A$1:$BZ$1001,303,D$2)&amp;""),""))</f>
        <v/>
      </c>
      <c r="E304">
        <f>IF(E$2=0,"",IFERROR(TRIM(INDEX('Pegar estudiantes'!$A$1:$BZ$1001,303,E$2)&amp;""),""))</f>
        <v/>
      </c>
      <c r="F304">
        <f>IF(F$2=0,"",IFERROR(TRIM(INDEX('Pegar estudiantes'!$A$1:$BZ$1001,303,F$2)&amp;""),""))</f>
        <v/>
      </c>
      <c r="G304">
        <f>IF(G$2=0,"",IFERROR(TRIM(INDEX('Pegar estudiantes'!$A$1:$BZ$1001,303,G$2)&amp;""),""))</f>
        <v/>
      </c>
      <c r="H304">
        <f>IF(H$2=0,"",IFERROR(TRIM(INDEX('Pegar estudiantes'!$A$1:$BZ$1001,303,H$2)&amp;""),""))</f>
        <v/>
      </c>
      <c r="I304">
        <f>IF(I$2=0,"",IFERROR(TRIM(INDEX('Pegar estudiantes'!$A$1:$BZ$1001,303,I$2)&amp;""),""))</f>
        <v/>
      </c>
      <c r="J304">
        <f>IF(J$2=0,"",IFERROR(TRIM(INDEX('Pegar estudiantes'!$A$1:$BZ$1001,303,J$2)&amp;""),""))</f>
        <v/>
      </c>
      <c r="K304">
        <f>IF(K$2=0,"",IFERROR(TRIM(INDEX('Pegar estudiantes'!$A$1:$BZ$1001,303,K$2)&amp;""),""))</f>
        <v/>
      </c>
      <c r="L304" s="25">
        <f>IF(A304&lt;&gt;"",1,"")</f>
        <v/>
      </c>
      <c r="M304" s="25">
        <f>IF(L304=1,IF(ISNUMBER(FIND("#"&amp;MID(A304,1,1)&amp;"#","#0#1#2#3#4#5#6#7#8#9#")),IF(ISNUMBER(FIND("#"&amp;MID(A304,2,1)&amp;"#","#0#1#2#3#4#5#6#7#8#9#")),IF(AND(VALUE(LEFT(A304,2))&gt;=1,VALUE(LEFT(A304,2))&lt;=5),VALUE(LEFT(A304,2)),""),IF(AND(VALUE(LEFT(A304,1))&gt;=1,VALUE(LEFT(A304,1))&lt;=5),VALUE(LEFT(A304,1)),"")),""),"")</f>
        <v/>
      </c>
      <c r="N304" s="25">
        <f>IF(L304=1,IF(ISNUMBER(FIND("#"&amp;MID(H304,1,1)&amp;"#","#0#1#2#3#4#5#6#7#8#9#")),IF(ISNUMBER(FIND("#"&amp;MID(H304,2,1)&amp;"#","#0#1#2#3#4#5#6#7#8#9#")),IF(AND(VALUE(LEFT(H304,2))&gt;=1,VALUE(LEFT(H304,2))&lt;=5),VALUE(LEFT(H304,2)),""),IF(AND(VALUE(LEFT(H304,1))&gt;=1,VALUE(LEFT(H304,1))&lt;=5),VALUE(LEFT(H304,1)),"")),""),"")</f>
        <v/>
      </c>
      <c r="O304" s="25">
        <f>IF(AND(L304=1,B304&lt;&gt;""),SUBSTITUTE(SUBSTITUTE(SUBSTITUTE(SUBSTITUTE(SUBSTITUTE(SUBSTITUTE(SUBSTITUTE(SUBSTITUTE(SUBSTITUTE(SUBSTITUTE(SUBSTITUTE(SUBSTITUTE(LOWER(TRIM(B304)),"á","a"),"é","e"),"í","i"),"ó","o"),"ú","u"),"ü","u"),"ñ","n"),"à","a"),"è","e"),"ì","i"),"ò","o"),"ù","u"),"")</f>
        <v/>
      </c>
      <c r="P304" s="25">
        <f>IF(AND(L304=1,C304&lt;&gt;""),SUBSTITUTE(SUBSTITUTE(SUBSTITUTE(SUBSTITUTE(SUBSTITUTE(SUBSTITUTE(SUBSTITUTE(SUBSTITUTE(SUBSTITUTE(SUBSTITUTE(SUBSTITUTE(SUBSTITUTE(LOWER(TRIM(C304)),"á","a"),"é","e"),"í","i"),"ó","o"),"ú","u"),"ü","u"),"ñ","n"),"à","a"),"è","e"),"ì","i"),"ò","o"),"ù","u"),"")</f>
        <v/>
      </c>
      <c r="Q304" s="25">
        <f>IF(AND(L304=1,E304&lt;&gt;""),SUBSTITUTE(SUBSTITUTE(SUBSTITUTE(SUBSTITUTE(SUBSTITUTE(SUBSTITUTE(SUBSTITUTE(SUBSTITUTE(SUBSTITUTE(SUBSTITUTE(SUBSTITUTE(SUBSTITUTE(LOWER(TRIM(E304)),"á","a"),"é","e"),"í","i"),"ó","o"),"ú","u"),"ü","u"),"ñ","n"),"à","a"),"è","e"),"ì","i"),"ò","o"),"ù","u"),"")</f>
        <v/>
      </c>
      <c r="R304" s="25">
        <f>IF(AND(L304=1,I304&lt;&gt;""),SUBSTITUTE(SUBSTITUTE(SUBSTITUTE(SUBSTITUTE(SUBSTITUTE(SUBSTITUTE(SUBSTITUTE(SUBSTITUTE(SUBSTITUTE(SUBSTITUTE(SUBSTITUTE(SUBSTITUTE(LOWER(TRIM(I304)),"á","a"),"é","e"),"í","i"),"ó","o"),"ú","u"),"ü","u"),"ñ","n"),"à","a"),"è","e"),"ì","i"),"ò","o"),"ù","u"),"")</f>
        <v/>
      </c>
      <c r="S304" s="25">
        <f>IF(R304="","",IF(OR(R304="si",R304="tal vez"),1,0))</f>
        <v/>
      </c>
      <c r="T304" s="25">
        <f>IF(AND(L304=1,D304&lt;&gt;""),IF(IFERROR(COUNTIFS(D$3:D304,"="&amp;SUBSTITUTE(SUBSTITUTE(SUBSTITUTE(D304,"~","~~"),"*","~*"),"?","~?"),L$3:L304,1),0)=1,MAX(T$2:T303)+1,""),"")</f>
        <v/>
      </c>
      <c r="U304" s="25">
        <f>IF(T304="","",COUNTIFS($D$3:$D$1002,"="&amp;SUBSTITUTE(SUBSTITUTE(SUBSTITUTE(D304,"~","~~"),"*","~*"),"?","~?"),$L$3:$L$1002,1)*10000-T304)</f>
        <v/>
      </c>
      <c r="V304" s="25">
        <f>IF(AND(L304=1,J304&lt;&gt;""),IF(IFERROR(COUNTIFS(J$3:J304,"="&amp;SUBSTITUTE(SUBSTITUTE(SUBSTITUTE(J304,"~","~~"),"*","~*"),"?","~?"),L$3:L304,1),0)=1,MAX(V$2:V303)+1,""),"")</f>
        <v/>
      </c>
      <c r="W304" s="25">
        <f>IF(V304="","",COUNTIFS($J$3:$J$1002,"="&amp;SUBSTITUTE(SUBSTITUTE(SUBSTITUTE(J304,"~","~~"),"*","~*"),"?","~?"),$L$3:$L$1002,1)*10000-V304)</f>
        <v/>
      </c>
    </row>
    <row r="305">
      <c r="A305">
        <f>IF(A$2=0,"",IFERROR(TRIM(INDEX('Pegar estudiantes'!$A$1:$BZ$1001,304,A$2)&amp;""),""))</f>
        <v/>
      </c>
      <c r="B305">
        <f>IF(B$2=0,"",IFERROR(TRIM(INDEX('Pegar estudiantes'!$A$1:$BZ$1001,304,B$2)&amp;""),""))</f>
        <v/>
      </c>
      <c r="C305">
        <f>IF(C$2=0,"",IFERROR(TRIM(INDEX('Pegar estudiantes'!$A$1:$BZ$1001,304,C$2)&amp;""),""))</f>
        <v/>
      </c>
      <c r="D305">
        <f>IF(D$2=0,"",IFERROR(TRIM(INDEX('Pegar estudiantes'!$A$1:$BZ$1001,304,D$2)&amp;""),""))</f>
        <v/>
      </c>
      <c r="E305">
        <f>IF(E$2=0,"",IFERROR(TRIM(INDEX('Pegar estudiantes'!$A$1:$BZ$1001,304,E$2)&amp;""),""))</f>
        <v/>
      </c>
      <c r="F305">
        <f>IF(F$2=0,"",IFERROR(TRIM(INDEX('Pegar estudiantes'!$A$1:$BZ$1001,304,F$2)&amp;""),""))</f>
        <v/>
      </c>
      <c r="G305">
        <f>IF(G$2=0,"",IFERROR(TRIM(INDEX('Pegar estudiantes'!$A$1:$BZ$1001,304,G$2)&amp;""),""))</f>
        <v/>
      </c>
      <c r="H305">
        <f>IF(H$2=0,"",IFERROR(TRIM(INDEX('Pegar estudiantes'!$A$1:$BZ$1001,304,H$2)&amp;""),""))</f>
        <v/>
      </c>
      <c r="I305">
        <f>IF(I$2=0,"",IFERROR(TRIM(INDEX('Pegar estudiantes'!$A$1:$BZ$1001,304,I$2)&amp;""),""))</f>
        <v/>
      </c>
      <c r="J305">
        <f>IF(J$2=0,"",IFERROR(TRIM(INDEX('Pegar estudiantes'!$A$1:$BZ$1001,304,J$2)&amp;""),""))</f>
        <v/>
      </c>
      <c r="K305">
        <f>IF(K$2=0,"",IFERROR(TRIM(INDEX('Pegar estudiantes'!$A$1:$BZ$1001,304,K$2)&amp;""),""))</f>
        <v/>
      </c>
      <c r="L305" s="25">
        <f>IF(A305&lt;&gt;"",1,"")</f>
        <v/>
      </c>
      <c r="M305" s="25">
        <f>IF(L305=1,IF(ISNUMBER(FIND("#"&amp;MID(A305,1,1)&amp;"#","#0#1#2#3#4#5#6#7#8#9#")),IF(ISNUMBER(FIND("#"&amp;MID(A305,2,1)&amp;"#","#0#1#2#3#4#5#6#7#8#9#")),IF(AND(VALUE(LEFT(A305,2))&gt;=1,VALUE(LEFT(A305,2))&lt;=5),VALUE(LEFT(A305,2)),""),IF(AND(VALUE(LEFT(A305,1))&gt;=1,VALUE(LEFT(A305,1))&lt;=5),VALUE(LEFT(A305,1)),"")),""),"")</f>
        <v/>
      </c>
      <c r="N305" s="25">
        <f>IF(L305=1,IF(ISNUMBER(FIND("#"&amp;MID(H305,1,1)&amp;"#","#0#1#2#3#4#5#6#7#8#9#")),IF(ISNUMBER(FIND("#"&amp;MID(H305,2,1)&amp;"#","#0#1#2#3#4#5#6#7#8#9#")),IF(AND(VALUE(LEFT(H305,2))&gt;=1,VALUE(LEFT(H305,2))&lt;=5),VALUE(LEFT(H305,2)),""),IF(AND(VALUE(LEFT(H305,1))&gt;=1,VALUE(LEFT(H305,1))&lt;=5),VALUE(LEFT(H305,1)),"")),""),"")</f>
        <v/>
      </c>
      <c r="O305" s="25">
        <f>IF(AND(L305=1,B305&lt;&gt;""),SUBSTITUTE(SUBSTITUTE(SUBSTITUTE(SUBSTITUTE(SUBSTITUTE(SUBSTITUTE(SUBSTITUTE(SUBSTITUTE(SUBSTITUTE(SUBSTITUTE(SUBSTITUTE(SUBSTITUTE(LOWER(TRIM(B305)),"á","a"),"é","e"),"í","i"),"ó","o"),"ú","u"),"ü","u"),"ñ","n"),"à","a"),"è","e"),"ì","i"),"ò","o"),"ù","u"),"")</f>
        <v/>
      </c>
      <c r="P305" s="25">
        <f>IF(AND(L305=1,C305&lt;&gt;""),SUBSTITUTE(SUBSTITUTE(SUBSTITUTE(SUBSTITUTE(SUBSTITUTE(SUBSTITUTE(SUBSTITUTE(SUBSTITUTE(SUBSTITUTE(SUBSTITUTE(SUBSTITUTE(SUBSTITUTE(LOWER(TRIM(C305)),"á","a"),"é","e"),"í","i"),"ó","o"),"ú","u"),"ü","u"),"ñ","n"),"à","a"),"è","e"),"ì","i"),"ò","o"),"ù","u"),"")</f>
        <v/>
      </c>
      <c r="Q305" s="25">
        <f>IF(AND(L305=1,E305&lt;&gt;""),SUBSTITUTE(SUBSTITUTE(SUBSTITUTE(SUBSTITUTE(SUBSTITUTE(SUBSTITUTE(SUBSTITUTE(SUBSTITUTE(SUBSTITUTE(SUBSTITUTE(SUBSTITUTE(SUBSTITUTE(LOWER(TRIM(E305)),"á","a"),"é","e"),"í","i"),"ó","o"),"ú","u"),"ü","u"),"ñ","n"),"à","a"),"è","e"),"ì","i"),"ò","o"),"ù","u"),"")</f>
        <v/>
      </c>
      <c r="R305" s="25">
        <f>IF(AND(L305=1,I305&lt;&gt;""),SUBSTITUTE(SUBSTITUTE(SUBSTITUTE(SUBSTITUTE(SUBSTITUTE(SUBSTITUTE(SUBSTITUTE(SUBSTITUTE(SUBSTITUTE(SUBSTITUTE(SUBSTITUTE(SUBSTITUTE(LOWER(TRIM(I305)),"á","a"),"é","e"),"í","i"),"ó","o"),"ú","u"),"ü","u"),"ñ","n"),"à","a"),"è","e"),"ì","i"),"ò","o"),"ù","u"),"")</f>
        <v/>
      </c>
      <c r="S305" s="25">
        <f>IF(R305="","",IF(OR(R305="si",R305="tal vez"),1,0))</f>
        <v/>
      </c>
      <c r="T305" s="25">
        <f>IF(AND(L305=1,D305&lt;&gt;""),IF(IFERROR(COUNTIFS(D$3:D305,"="&amp;SUBSTITUTE(SUBSTITUTE(SUBSTITUTE(D305,"~","~~"),"*","~*"),"?","~?"),L$3:L305,1),0)=1,MAX(T$2:T304)+1,""),"")</f>
        <v/>
      </c>
      <c r="U305" s="25">
        <f>IF(T305="","",COUNTIFS($D$3:$D$1002,"="&amp;SUBSTITUTE(SUBSTITUTE(SUBSTITUTE(D305,"~","~~"),"*","~*"),"?","~?"),$L$3:$L$1002,1)*10000-T305)</f>
        <v/>
      </c>
      <c r="V305" s="25">
        <f>IF(AND(L305=1,J305&lt;&gt;""),IF(IFERROR(COUNTIFS(J$3:J305,"="&amp;SUBSTITUTE(SUBSTITUTE(SUBSTITUTE(J305,"~","~~"),"*","~*"),"?","~?"),L$3:L305,1),0)=1,MAX(V$2:V304)+1,""),"")</f>
        <v/>
      </c>
      <c r="W305" s="25">
        <f>IF(V305="","",COUNTIFS($J$3:$J$1002,"="&amp;SUBSTITUTE(SUBSTITUTE(SUBSTITUTE(J305,"~","~~"),"*","~*"),"?","~?"),$L$3:$L$1002,1)*10000-V305)</f>
        <v/>
      </c>
    </row>
    <row r="306">
      <c r="A306">
        <f>IF(A$2=0,"",IFERROR(TRIM(INDEX('Pegar estudiantes'!$A$1:$BZ$1001,305,A$2)&amp;""),""))</f>
        <v/>
      </c>
      <c r="B306">
        <f>IF(B$2=0,"",IFERROR(TRIM(INDEX('Pegar estudiantes'!$A$1:$BZ$1001,305,B$2)&amp;""),""))</f>
        <v/>
      </c>
      <c r="C306">
        <f>IF(C$2=0,"",IFERROR(TRIM(INDEX('Pegar estudiantes'!$A$1:$BZ$1001,305,C$2)&amp;""),""))</f>
        <v/>
      </c>
      <c r="D306">
        <f>IF(D$2=0,"",IFERROR(TRIM(INDEX('Pegar estudiantes'!$A$1:$BZ$1001,305,D$2)&amp;""),""))</f>
        <v/>
      </c>
      <c r="E306">
        <f>IF(E$2=0,"",IFERROR(TRIM(INDEX('Pegar estudiantes'!$A$1:$BZ$1001,305,E$2)&amp;""),""))</f>
        <v/>
      </c>
      <c r="F306">
        <f>IF(F$2=0,"",IFERROR(TRIM(INDEX('Pegar estudiantes'!$A$1:$BZ$1001,305,F$2)&amp;""),""))</f>
        <v/>
      </c>
      <c r="G306">
        <f>IF(G$2=0,"",IFERROR(TRIM(INDEX('Pegar estudiantes'!$A$1:$BZ$1001,305,G$2)&amp;""),""))</f>
        <v/>
      </c>
      <c r="H306">
        <f>IF(H$2=0,"",IFERROR(TRIM(INDEX('Pegar estudiantes'!$A$1:$BZ$1001,305,H$2)&amp;""),""))</f>
        <v/>
      </c>
      <c r="I306">
        <f>IF(I$2=0,"",IFERROR(TRIM(INDEX('Pegar estudiantes'!$A$1:$BZ$1001,305,I$2)&amp;""),""))</f>
        <v/>
      </c>
      <c r="J306">
        <f>IF(J$2=0,"",IFERROR(TRIM(INDEX('Pegar estudiantes'!$A$1:$BZ$1001,305,J$2)&amp;""),""))</f>
        <v/>
      </c>
      <c r="K306">
        <f>IF(K$2=0,"",IFERROR(TRIM(INDEX('Pegar estudiantes'!$A$1:$BZ$1001,305,K$2)&amp;""),""))</f>
        <v/>
      </c>
      <c r="L306" s="25">
        <f>IF(A306&lt;&gt;"",1,"")</f>
        <v/>
      </c>
      <c r="M306" s="25">
        <f>IF(L306=1,IF(ISNUMBER(FIND("#"&amp;MID(A306,1,1)&amp;"#","#0#1#2#3#4#5#6#7#8#9#")),IF(ISNUMBER(FIND("#"&amp;MID(A306,2,1)&amp;"#","#0#1#2#3#4#5#6#7#8#9#")),IF(AND(VALUE(LEFT(A306,2))&gt;=1,VALUE(LEFT(A306,2))&lt;=5),VALUE(LEFT(A306,2)),""),IF(AND(VALUE(LEFT(A306,1))&gt;=1,VALUE(LEFT(A306,1))&lt;=5),VALUE(LEFT(A306,1)),"")),""),"")</f>
        <v/>
      </c>
      <c r="N306" s="25">
        <f>IF(L306=1,IF(ISNUMBER(FIND("#"&amp;MID(H306,1,1)&amp;"#","#0#1#2#3#4#5#6#7#8#9#")),IF(ISNUMBER(FIND("#"&amp;MID(H306,2,1)&amp;"#","#0#1#2#3#4#5#6#7#8#9#")),IF(AND(VALUE(LEFT(H306,2))&gt;=1,VALUE(LEFT(H306,2))&lt;=5),VALUE(LEFT(H306,2)),""),IF(AND(VALUE(LEFT(H306,1))&gt;=1,VALUE(LEFT(H306,1))&lt;=5),VALUE(LEFT(H306,1)),"")),""),"")</f>
        <v/>
      </c>
      <c r="O306" s="25">
        <f>IF(AND(L306=1,B306&lt;&gt;""),SUBSTITUTE(SUBSTITUTE(SUBSTITUTE(SUBSTITUTE(SUBSTITUTE(SUBSTITUTE(SUBSTITUTE(SUBSTITUTE(SUBSTITUTE(SUBSTITUTE(SUBSTITUTE(SUBSTITUTE(LOWER(TRIM(B306)),"á","a"),"é","e"),"í","i"),"ó","o"),"ú","u"),"ü","u"),"ñ","n"),"à","a"),"è","e"),"ì","i"),"ò","o"),"ù","u"),"")</f>
        <v/>
      </c>
      <c r="P306" s="25">
        <f>IF(AND(L306=1,C306&lt;&gt;""),SUBSTITUTE(SUBSTITUTE(SUBSTITUTE(SUBSTITUTE(SUBSTITUTE(SUBSTITUTE(SUBSTITUTE(SUBSTITUTE(SUBSTITUTE(SUBSTITUTE(SUBSTITUTE(SUBSTITUTE(LOWER(TRIM(C306)),"á","a"),"é","e"),"í","i"),"ó","o"),"ú","u"),"ü","u"),"ñ","n"),"à","a"),"è","e"),"ì","i"),"ò","o"),"ù","u"),"")</f>
        <v/>
      </c>
      <c r="Q306" s="25">
        <f>IF(AND(L306=1,E306&lt;&gt;""),SUBSTITUTE(SUBSTITUTE(SUBSTITUTE(SUBSTITUTE(SUBSTITUTE(SUBSTITUTE(SUBSTITUTE(SUBSTITUTE(SUBSTITUTE(SUBSTITUTE(SUBSTITUTE(SUBSTITUTE(LOWER(TRIM(E306)),"á","a"),"é","e"),"í","i"),"ó","o"),"ú","u"),"ü","u"),"ñ","n"),"à","a"),"è","e"),"ì","i"),"ò","o"),"ù","u"),"")</f>
        <v/>
      </c>
      <c r="R306" s="25">
        <f>IF(AND(L306=1,I306&lt;&gt;""),SUBSTITUTE(SUBSTITUTE(SUBSTITUTE(SUBSTITUTE(SUBSTITUTE(SUBSTITUTE(SUBSTITUTE(SUBSTITUTE(SUBSTITUTE(SUBSTITUTE(SUBSTITUTE(SUBSTITUTE(LOWER(TRIM(I306)),"á","a"),"é","e"),"í","i"),"ó","o"),"ú","u"),"ü","u"),"ñ","n"),"à","a"),"è","e"),"ì","i"),"ò","o"),"ù","u"),"")</f>
        <v/>
      </c>
      <c r="S306" s="25">
        <f>IF(R306="","",IF(OR(R306="si",R306="tal vez"),1,0))</f>
        <v/>
      </c>
      <c r="T306" s="25">
        <f>IF(AND(L306=1,D306&lt;&gt;""),IF(IFERROR(COUNTIFS(D$3:D306,"="&amp;SUBSTITUTE(SUBSTITUTE(SUBSTITUTE(D306,"~","~~"),"*","~*"),"?","~?"),L$3:L306,1),0)=1,MAX(T$2:T305)+1,""),"")</f>
        <v/>
      </c>
      <c r="U306" s="25">
        <f>IF(T306="","",COUNTIFS($D$3:$D$1002,"="&amp;SUBSTITUTE(SUBSTITUTE(SUBSTITUTE(D306,"~","~~"),"*","~*"),"?","~?"),$L$3:$L$1002,1)*10000-T306)</f>
        <v/>
      </c>
      <c r="V306" s="25">
        <f>IF(AND(L306=1,J306&lt;&gt;""),IF(IFERROR(COUNTIFS(J$3:J306,"="&amp;SUBSTITUTE(SUBSTITUTE(SUBSTITUTE(J306,"~","~~"),"*","~*"),"?","~?"),L$3:L306,1),0)=1,MAX(V$2:V305)+1,""),"")</f>
        <v/>
      </c>
      <c r="W306" s="25">
        <f>IF(V306="","",COUNTIFS($J$3:$J$1002,"="&amp;SUBSTITUTE(SUBSTITUTE(SUBSTITUTE(J306,"~","~~"),"*","~*"),"?","~?"),$L$3:$L$1002,1)*10000-V306)</f>
        <v/>
      </c>
    </row>
    <row r="307">
      <c r="A307">
        <f>IF(A$2=0,"",IFERROR(TRIM(INDEX('Pegar estudiantes'!$A$1:$BZ$1001,306,A$2)&amp;""),""))</f>
        <v/>
      </c>
      <c r="B307">
        <f>IF(B$2=0,"",IFERROR(TRIM(INDEX('Pegar estudiantes'!$A$1:$BZ$1001,306,B$2)&amp;""),""))</f>
        <v/>
      </c>
      <c r="C307">
        <f>IF(C$2=0,"",IFERROR(TRIM(INDEX('Pegar estudiantes'!$A$1:$BZ$1001,306,C$2)&amp;""),""))</f>
        <v/>
      </c>
      <c r="D307">
        <f>IF(D$2=0,"",IFERROR(TRIM(INDEX('Pegar estudiantes'!$A$1:$BZ$1001,306,D$2)&amp;""),""))</f>
        <v/>
      </c>
      <c r="E307">
        <f>IF(E$2=0,"",IFERROR(TRIM(INDEX('Pegar estudiantes'!$A$1:$BZ$1001,306,E$2)&amp;""),""))</f>
        <v/>
      </c>
      <c r="F307">
        <f>IF(F$2=0,"",IFERROR(TRIM(INDEX('Pegar estudiantes'!$A$1:$BZ$1001,306,F$2)&amp;""),""))</f>
        <v/>
      </c>
      <c r="G307">
        <f>IF(G$2=0,"",IFERROR(TRIM(INDEX('Pegar estudiantes'!$A$1:$BZ$1001,306,G$2)&amp;""),""))</f>
        <v/>
      </c>
      <c r="H307">
        <f>IF(H$2=0,"",IFERROR(TRIM(INDEX('Pegar estudiantes'!$A$1:$BZ$1001,306,H$2)&amp;""),""))</f>
        <v/>
      </c>
      <c r="I307">
        <f>IF(I$2=0,"",IFERROR(TRIM(INDEX('Pegar estudiantes'!$A$1:$BZ$1001,306,I$2)&amp;""),""))</f>
        <v/>
      </c>
      <c r="J307">
        <f>IF(J$2=0,"",IFERROR(TRIM(INDEX('Pegar estudiantes'!$A$1:$BZ$1001,306,J$2)&amp;""),""))</f>
        <v/>
      </c>
      <c r="K307">
        <f>IF(K$2=0,"",IFERROR(TRIM(INDEX('Pegar estudiantes'!$A$1:$BZ$1001,306,K$2)&amp;""),""))</f>
        <v/>
      </c>
      <c r="L307" s="25">
        <f>IF(A307&lt;&gt;"",1,"")</f>
        <v/>
      </c>
      <c r="M307" s="25">
        <f>IF(L307=1,IF(ISNUMBER(FIND("#"&amp;MID(A307,1,1)&amp;"#","#0#1#2#3#4#5#6#7#8#9#")),IF(ISNUMBER(FIND("#"&amp;MID(A307,2,1)&amp;"#","#0#1#2#3#4#5#6#7#8#9#")),IF(AND(VALUE(LEFT(A307,2))&gt;=1,VALUE(LEFT(A307,2))&lt;=5),VALUE(LEFT(A307,2)),""),IF(AND(VALUE(LEFT(A307,1))&gt;=1,VALUE(LEFT(A307,1))&lt;=5),VALUE(LEFT(A307,1)),"")),""),"")</f>
        <v/>
      </c>
      <c r="N307" s="25">
        <f>IF(L307=1,IF(ISNUMBER(FIND("#"&amp;MID(H307,1,1)&amp;"#","#0#1#2#3#4#5#6#7#8#9#")),IF(ISNUMBER(FIND("#"&amp;MID(H307,2,1)&amp;"#","#0#1#2#3#4#5#6#7#8#9#")),IF(AND(VALUE(LEFT(H307,2))&gt;=1,VALUE(LEFT(H307,2))&lt;=5),VALUE(LEFT(H307,2)),""),IF(AND(VALUE(LEFT(H307,1))&gt;=1,VALUE(LEFT(H307,1))&lt;=5),VALUE(LEFT(H307,1)),"")),""),"")</f>
        <v/>
      </c>
      <c r="O307" s="25">
        <f>IF(AND(L307=1,B307&lt;&gt;""),SUBSTITUTE(SUBSTITUTE(SUBSTITUTE(SUBSTITUTE(SUBSTITUTE(SUBSTITUTE(SUBSTITUTE(SUBSTITUTE(SUBSTITUTE(SUBSTITUTE(SUBSTITUTE(SUBSTITUTE(LOWER(TRIM(B307)),"á","a"),"é","e"),"í","i"),"ó","o"),"ú","u"),"ü","u"),"ñ","n"),"à","a"),"è","e"),"ì","i"),"ò","o"),"ù","u"),"")</f>
        <v/>
      </c>
      <c r="P307" s="25">
        <f>IF(AND(L307=1,C307&lt;&gt;""),SUBSTITUTE(SUBSTITUTE(SUBSTITUTE(SUBSTITUTE(SUBSTITUTE(SUBSTITUTE(SUBSTITUTE(SUBSTITUTE(SUBSTITUTE(SUBSTITUTE(SUBSTITUTE(SUBSTITUTE(LOWER(TRIM(C307)),"á","a"),"é","e"),"í","i"),"ó","o"),"ú","u"),"ü","u"),"ñ","n"),"à","a"),"è","e"),"ì","i"),"ò","o"),"ù","u"),"")</f>
        <v/>
      </c>
      <c r="Q307" s="25">
        <f>IF(AND(L307=1,E307&lt;&gt;""),SUBSTITUTE(SUBSTITUTE(SUBSTITUTE(SUBSTITUTE(SUBSTITUTE(SUBSTITUTE(SUBSTITUTE(SUBSTITUTE(SUBSTITUTE(SUBSTITUTE(SUBSTITUTE(SUBSTITUTE(LOWER(TRIM(E307)),"á","a"),"é","e"),"í","i"),"ó","o"),"ú","u"),"ü","u"),"ñ","n"),"à","a"),"è","e"),"ì","i"),"ò","o"),"ù","u"),"")</f>
        <v/>
      </c>
      <c r="R307" s="25">
        <f>IF(AND(L307=1,I307&lt;&gt;""),SUBSTITUTE(SUBSTITUTE(SUBSTITUTE(SUBSTITUTE(SUBSTITUTE(SUBSTITUTE(SUBSTITUTE(SUBSTITUTE(SUBSTITUTE(SUBSTITUTE(SUBSTITUTE(SUBSTITUTE(LOWER(TRIM(I307)),"á","a"),"é","e"),"í","i"),"ó","o"),"ú","u"),"ü","u"),"ñ","n"),"à","a"),"è","e"),"ì","i"),"ò","o"),"ù","u"),"")</f>
        <v/>
      </c>
      <c r="S307" s="25">
        <f>IF(R307="","",IF(OR(R307="si",R307="tal vez"),1,0))</f>
        <v/>
      </c>
      <c r="T307" s="25">
        <f>IF(AND(L307=1,D307&lt;&gt;""),IF(IFERROR(COUNTIFS(D$3:D307,"="&amp;SUBSTITUTE(SUBSTITUTE(SUBSTITUTE(D307,"~","~~"),"*","~*"),"?","~?"),L$3:L307,1),0)=1,MAX(T$2:T306)+1,""),"")</f>
        <v/>
      </c>
      <c r="U307" s="25">
        <f>IF(T307="","",COUNTIFS($D$3:$D$1002,"="&amp;SUBSTITUTE(SUBSTITUTE(SUBSTITUTE(D307,"~","~~"),"*","~*"),"?","~?"),$L$3:$L$1002,1)*10000-T307)</f>
        <v/>
      </c>
      <c r="V307" s="25">
        <f>IF(AND(L307=1,J307&lt;&gt;""),IF(IFERROR(COUNTIFS(J$3:J307,"="&amp;SUBSTITUTE(SUBSTITUTE(SUBSTITUTE(J307,"~","~~"),"*","~*"),"?","~?"),L$3:L307,1),0)=1,MAX(V$2:V306)+1,""),"")</f>
        <v/>
      </c>
      <c r="W307" s="25">
        <f>IF(V307="","",COUNTIFS($J$3:$J$1002,"="&amp;SUBSTITUTE(SUBSTITUTE(SUBSTITUTE(J307,"~","~~"),"*","~*"),"?","~?"),$L$3:$L$1002,1)*10000-V307)</f>
        <v/>
      </c>
    </row>
    <row r="308">
      <c r="A308">
        <f>IF(A$2=0,"",IFERROR(TRIM(INDEX('Pegar estudiantes'!$A$1:$BZ$1001,307,A$2)&amp;""),""))</f>
        <v/>
      </c>
      <c r="B308">
        <f>IF(B$2=0,"",IFERROR(TRIM(INDEX('Pegar estudiantes'!$A$1:$BZ$1001,307,B$2)&amp;""),""))</f>
        <v/>
      </c>
      <c r="C308">
        <f>IF(C$2=0,"",IFERROR(TRIM(INDEX('Pegar estudiantes'!$A$1:$BZ$1001,307,C$2)&amp;""),""))</f>
        <v/>
      </c>
      <c r="D308">
        <f>IF(D$2=0,"",IFERROR(TRIM(INDEX('Pegar estudiantes'!$A$1:$BZ$1001,307,D$2)&amp;""),""))</f>
        <v/>
      </c>
      <c r="E308">
        <f>IF(E$2=0,"",IFERROR(TRIM(INDEX('Pegar estudiantes'!$A$1:$BZ$1001,307,E$2)&amp;""),""))</f>
        <v/>
      </c>
      <c r="F308">
        <f>IF(F$2=0,"",IFERROR(TRIM(INDEX('Pegar estudiantes'!$A$1:$BZ$1001,307,F$2)&amp;""),""))</f>
        <v/>
      </c>
      <c r="G308">
        <f>IF(G$2=0,"",IFERROR(TRIM(INDEX('Pegar estudiantes'!$A$1:$BZ$1001,307,G$2)&amp;""),""))</f>
        <v/>
      </c>
      <c r="H308">
        <f>IF(H$2=0,"",IFERROR(TRIM(INDEX('Pegar estudiantes'!$A$1:$BZ$1001,307,H$2)&amp;""),""))</f>
        <v/>
      </c>
      <c r="I308">
        <f>IF(I$2=0,"",IFERROR(TRIM(INDEX('Pegar estudiantes'!$A$1:$BZ$1001,307,I$2)&amp;""),""))</f>
        <v/>
      </c>
      <c r="J308">
        <f>IF(J$2=0,"",IFERROR(TRIM(INDEX('Pegar estudiantes'!$A$1:$BZ$1001,307,J$2)&amp;""),""))</f>
        <v/>
      </c>
      <c r="K308">
        <f>IF(K$2=0,"",IFERROR(TRIM(INDEX('Pegar estudiantes'!$A$1:$BZ$1001,307,K$2)&amp;""),""))</f>
        <v/>
      </c>
      <c r="L308" s="25">
        <f>IF(A308&lt;&gt;"",1,"")</f>
        <v/>
      </c>
      <c r="M308" s="25">
        <f>IF(L308=1,IF(ISNUMBER(FIND("#"&amp;MID(A308,1,1)&amp;"#","#0#1#2#3#4#5#6#7#8#9#")),IF(ISNUMBER(FIND("#"&amp;MID(A308,2,1)&amp;"#","#0#1#2#3#4#5#6#7#8#9#")),IF(AND(VALUE(LEFT(A308,2))&gt;=1,VALUE(LEFT(A308,2))&lt;=5),VALUE(LEFT(A308,2)),""),IF(AND(VALUE(LEFT(A308,1))&gt;=1,VALUE(LEFT(A308,1))&lt;=5),VALUE(LEFT(A308,1)),"")),""),"")</f>
        <v/>
      </c>
      <c r="N308" s="25">
        <f>IF(L308=1,IF(ISNUMBER(FIND("#"&amp;MID(H308,1,1)&amp;"#","#0#1#2#3#4#5#6#7#8#9#")),IF(ISNUMBER(FIND("#"&amp;MID(H308,2,1)&amp;"#","#0#1#2#3#4#5#6#7#8#9#")),IF(AND(VALUE(LEFT(H308,2))&gt;=1,VALUE(LEFT(H308,2))&lt;=5),VALUE(LEFT(H308,2)),""),IF(AND(VALUE(LEFT(H308,1))&gt;=1,VALUE(LEFT(H308,1))&lt;=5),VALUE(LEFT(H308,1)),"")),""),"")</f>
        <v/>
      </c>
      <c r="O308" s="25">
        <f>IF(AND(L308=1,B308&lt;&gt;""),SUBSTITUTE(SUBSTITUTE(SUBSTITUTE(SUBSTITUTE(SUBSTITUTE(SUBSTITUTE(SUBSTITUTE(SUBSTITUTE(SUBSTITUTE(SUBSTITUTE(SUBSTITUTE(SUBSTITUTE(LOWER(TRIM(B308)),"á","a"),"é","e"),"í","i"),"ó","o"),"ú","u"),"ü","u"),"ñ","n"),"à","a"),"è","e"),"ì","i"),"ò","o"),"ù","u"),"")</f>
        <v/>
      </c>
      <c r="P308" s="25">
        <f>IF(AND(L308=1,C308&lt;&gt;""),SUBSTITUTE(SUBSTITUTE(SUBSTITUTE(SUBSTITUTE(SUBSTITUTE(SUBSTITUTE(SUBSTITUTE(SUBSTITUTE(SUBSTITUTE(SUBSTITUTE(SUBSTITUTE(SUBSTITUTE(LOWER(TRIM(C308)),"á","a"),"é","e"),"í","i"),"ó","o"),"ú","u"),"ü","u"),"ñ","n"),"à","a"),"è","e"),"ì","i"),"ò","o"),"ù","u"),"")</f>
        <v/>
      </c>
      <c r="Q308" s="25">
        <f>IF(AND(L308=1,E308&lt;&gt;""),SUBSTITUTE(SUBSTITUTE(SUBSTITUTE(SUBSTITUTE(SUBSTITUTE(SUBSTITUTE(SUBSTITUTE(SUBSTITUTE(SUBSTITUTE(SUBSTITUTE(SUBSTITUTE(SUBSTITUTE(LOWER(TRIM(E308)),"á","a"),"é","e"),"í","i"),"ó","o"),"ú","u"),"ü","u"),"ñ","n"),"à","a"),"è","e"),"ì","i"),"ò","o"),"ù","u"),"")</f>
        <v/>
      </c>
      <c r="R308" s="25">
        <f>IF(AND(L308=1,I308&lt;&gt;""),SUBSTITUTE(SUBSTITUTE(SUBSTITUTE(SUBSTITUTE(SUBSTITUTE(SUBSTITUTE(SUBSTITUTE(SUBSTITUTE(SUBSTITUTE(SUBSTITUTE(SUBSTITUTE(SUBSTITUTE(LOWER(TRIM(I308)),"á","a"),"é","e"),"í","i"),"ó","o"),"ú","u"),"ü","u"),"ñ","n"),"à","a"),"è","e"),"ì","i"),"ò","o"),"ù","u"),"")</f>
        <v/>
      </c>
      <c r="S308" s="25">
        <f>IF(R308="","",IF(OR(R308="si",R308="tal vez"),1,0))</f>
        <v/>
      </c>
      <c r="T308" s="25">
        <f>IF(AND(L308=1,D308&lt;&gt;""),IF(IFERROR(COUNTIFS(D$3:D308,"="&amp;SUBSTITUTE(SUBSTITUTE(SUBSTITUTE(D308,"~","~~"),"*","~*"),"?","~?"),L$3:L308,1),0)=1,MAX(T$2:T307)+1,""),"")</f>
        <v/>
      </c>
      <c r="U308" s="25">
        <f>IF(T308="","",COUNTIFS($D$3:$D$1002,"="&amp;SUBSTITUTE(SUBSTITUTE(SUBSTITUTE(D308,"~","~~"),"*","~*"),"?","~?"),$L$3:$L$1002,1)*10000-T308)</f>
        <v/>
      </c>
      <c r="V308" s="25">
        <f>IF(AND(L308=1,J308&lt;&gt;""),IF(IFERROR(COUNTIFS(J$3:J308,"="&amp;SUBSTITUTE(SUBSTITUTE(SUBSTITUTE(J308,"~","~~"),"*","~*"),"?","~?"),L$3:L308,1),0)=1,MAX(V$2:V307)+1,""),"")</f>
        <v/>
      </c>
      <c r="W308" s="25">
        <f>IF(V308="","",COUNTIFS($J$3:$J$1002,"="&amp;SUBSTITUTE(SUBSTITUTE(SUBSTITUTE(J308,"~","~~"),"*","~*"),"?","~?"),$L$3:$L$1002,1)*10000-V308)</f>
        <v/>
      </c>
    </row>
    <row r="309">
      <c r="A309">
        <f>IF(A$2=0,"",IFERROR(TRIM(INDEX('Pegar estudiantes'!$A$1:$BZ$1001,308,A$2)&amp;""),""))</f>
        <v/>
      </c>
      <c r="B309">
        <f>IF(B$2=0,"",IFERROR(TRIM(INDEX('Pegar estudiantes'!$A$1:$BZ$1001,308,B$2)&amp;""),""))</f>
        <v/>
      </c>
      <c r="C309">
        <f>IF(C$2=0,"",IFERROR(TRIM(INDEX('Pegar estudiantes'!$A$1:$BZ$1001,308,C$2)&amp;""),""))</f>
        <v/>
      </c>
      <c r="D309">
        <f>IF(D$2=0,"",IFERROR(TRIM(INDEX('Pegar estudiantes'!$A$1:$BZ$1001,308,D$2)&amp;""),""))</f>
        <v/>
      </c>
      <c r="E309">
        <f>IF(E$2=0,"",IFERROR(TRIM(INDEX('Pegar estudiantes'!$A$1:$BZ$1001,308,E$2)&amp;""),""))</f>
        <v/>
      </c>
      <c r="F309">
        <f>IF(F$2=0,"",IFERROR(TRIM(INDEX('Pegar estudiantes'!$A$1:$BZ$1001,308,F$2)&amp;""),""))</f>
        <v/>
      </c>
      <c r="G309">
        <f>IF(G$2=0,"",IFERROR(TRIM(INDEX('Pegar estudiantes'!$A$1:$BZ$1001,308,G$2)&amp;""),""))</f>
        <v/>
      </c>
      <c r="H309">
        <f>IF(H$2=0,"",IFERROR(TRIM(INDEX('Pegar estudiantes'!$A$1:$BZ$1001,308,H$2)&amp;""),""))</f>
        <v/>
      </c>
      <c r="I309">
        <f>IF(I$2=0,"",IFERROR(TRIM(INDEX('Pegar estudiantes'!$A$1:$BZ$1001,308,I$2)&amp;""),""))</f>
        <v/>
      </c>
      <c r="J309">
        <f>IF(J$2=0,"",IFERROR(TRIM(INDEX('Pegar estudiantes'!$A$1:$BZ$1001,308,J$2)&amp;""),""))</f>
        <v/>
      </c>
      <c r="K309">
        <f>IF(K$2=0,"",IFERROR(TRIM(INDEX('Pegar estudiantes'!$A$1:$BZ$1001,308,K$2)&amp;""),""))</f>
        <v/>
      </c>
      <c r="L309" s="25">
        <f>IF(A309&lt;&gt;"",1,"")</f>
        <v/>
      </c>
      <c r="M309" s="25">
        <f>IF(L309=1,IF(ISNUMBER(FIND("#"&amp;MID(A309,1,1)&amp;"#","#0#1#2#3#4#5#6#7#8#9#")),IF(ISNUMBER(FIND("#"&amp;MID(A309,2,1)&amp;"#","#0#1#2#3#4#5#6#7#8#9#")),IF(AND(VALUE(LEFT(A309,2))&gt;=1,VALUE(LEFT(A309,2))&lt;=5),VALUE(LEFT(A309,2)),""),IF(AND(VALUE(LEFT(A309,1))&gt;=1,VALUE(LEFT(A309,1))&lt;=5),VALUE(LEFT(A309,1)),"")),""),"")</f>
        <v/>
      </c>
      <c r="N309" s="25">
        <f>IF(L309=1,IF(ISNUMBER(FIND("#"&amp;MID(H309,1,1)&amp;"#","#0#1#2#3#4#5#6#7#8#9#")),IF(ISNUMBER(FIND("#"&amp;MID(H309,2,1)&amp;"#","#0#1#2#3#4#5#6#7#8#9#")),IF(AND(VALUE(LEFT(H309,2))&gt;=1,VALUE(LEFT(H309,2))&lt;=5),VALUE(LEFT(H309,2)),""),IF(AND(VALUE(LEFT(H309,1))&gt;=1,VALUE(LEFT(H309,1))&lt;=5),VALUE(LEFT(H309,1)),"")),""),"")</f>
        <v/>
      </c>
      <c r="O309" s="25">
        <f>IF(AND(L309=1,B309&lt;&gt;""),SUBSTITUTE(SUBSTITUTE(SUBSTITUTE(SUBSTITUTE(SUBSTITUTE(SUBSTITUTE(SUBSTITUTE(SUBSTITUTE(SUBSTITUTE(SUBSTITUTE(SUBSTITUTE(SUBSTITUTE(LOWER(TRIM(B309)),"á","a"),"é","e"),"í","i"),"ó","o"),"ú","u"),"ü","u"),"ñ","n"),"à","a"),"è","e"),"ì","i"),"ò","o"),"ù","u"),"")</f>
        <v/>
      </c>
      <c r="P309" s="25">
        <f>IF(AND(L309=1,C309&lt;&gt;""),SUBSTITUTE(SUBSTITUTE(SUBSTITUTE(SUBSTITUTE(SUBSTITUTE(SUBSTITUTE(SUBSTITUTE(SUBSTITUTE(SUBSTITUTE(SUBSTITUTE(SUBSTITUTE(SUBSTITUTE(LOWER(TRIM(C309)),"á","a"),"é","e"),"í","i"),"ó","o"),"ú","u"),"ü","u"),"ñ","n"),"à","a"),"è","e"),"ì","i"),"ò","o"),"ù","u"),"")</f>
        <v/>
      </c>
      <c r="Q309" s="25">
        <f>IF(AND(L309=1,E309&lt;&gt;""),SUBSTITUTE(SUBSTITUTE(SUBSTITUTE(SUBSTITUTE(SUBSTITUTE(SUBSTITUTE(SUBSTITUTE(SUBSTITUTE(SUBSTITUTE(SUBSTITUTE(SUBSTITUTE(SUBSTITUTE(LOWER(TRIM(E309)),"á","a"),"é","e"),"í","i"),"ó","o"),"ú","u"),"ü","u"),"ñ","n"),"à","a"),"è","e"),"ì","i"),"ò","o"),"ù","u"),"")</f>
        <v/>
      </c>
      <c r="R309" s="25">
        <f>IF(AND(L309=1,I309&lt;&gt;""),SUBSTITUTE(SUBSTITUTE(SUBSTITUTE(SUBSTITUTE(SUBSTITUTE(SUBSTITUTE(SUBSTITUTE(SUBSTITUTE(SUBSTITUTE(SUBSTITUTE(SUBSTITUTE(SUBSTITUTE(LOWER(TRIM(I309)),"á","a"),"é","e"),"í","i"),"ó","o"),"ú","u"),"ü","u"),"ñ","n"),"à","a"),"è","e"),"ì","i"),"ò","o"),"ù","u"),"")</f>
        <v/>
      </c>
      <c r="S309" s="25">
        <f>IF(R309="","",IF(OR(R309="si",R309="tal vez"),1,0))</f>
        <v/>
      </c>
      <c r="T309" s="25">
        <f>IF(AND(L309=1,D309&lt;&gt;""),IF(IFERROR(COUNTIFS(D$3:D309,"="&amp;SUBSTITUTE(SUBSTITUTE(SUBSTITUTE(D309,"~","~~"),"*","~*"),"?","~?"),L$3:L309,1),0)=1,MAX(T$2:T308)+1,""),"")</f>
        <v/>
      </c>
      <c r="U309" s="25">
        <f>IF(T309="","",COUNTIFS($D$3:$D$1002,"="&amp;SUBSTITUTE(SUBSTITUTE(SUBSTITUTE(D309,"~","~~"),"*","~*"),"?","~?"),$L$3:$L$1002,1)*10000-T309)</f>
        <v/>
      </c>
      <c r="V309" s="25">
        <f>IF(AND(L309=1,J309&lt;&gt;""),IF(IFERROR(COUNTIFS(J$3:J309,"="&amp;SUBSTITUTE(SUBSTITUTE(SUBSTITUTE(J309,"~","~~"),"*","~*"),"?","~?"),L$3:L309,1),0)=1,MAX(V$2:V308)+1,""),"")</f>
        <v/>
      </c>
      <c r="W309" s="25">
        <f>IF(V309="","",COUNTIFS($J$3:$J$1002,"="&amp;SUBSTITUTE(SUBSTITUTE(SUBSTITUTE(J309,"~","~~"),"*","~*"),"?","~?"),$L$3:$L$1002,1)*10000-V309)</f>
        <v/>
      </c>
    </row>
    <row r="310">
      <c r="A310">
        <f>IF(A$2=0,"",IFERROR(TRIM(INDEX('Pegar estudiantes'!$A$1:$BZ$1001,309,A$2)&amp;""),""))</f>
        <v/>
      </c>
      <c r="B310">
        <f>IF(B$2=0,"",IFERROR(TRIM(INDEX('Pegar estudiantes'!$A$1:$BZ$1001,309,B$2)&amp;""),""))</f>
        <v/>
      </c>
      <c r="C310">
        <f>IF(C$2=0,"",IFERROR(TRIM(INDEX('Pegar estudiantes'!$A$1:$BZ$1001,309,C$2)&amp;""),""))</f>
        <v/>
      </c>
      <c r="D310">
        <f>IF(D$2=0,"",IFERROR(TRIM(INDEX('Pegar estudiantes'!$A$1:$BZ$1001,309,D$2)&amp;""),""))</f>
        <v/>
      </c>
      <c r="E310">
        <f>IF(E$2=0,"",IFERROR(TRIM(INDEX('Pegar estudiantes'!$A$1:$BZ$1001,309,E$2)&amp;""),""))</f>
        <v/>
      </c>
      <c r="F310">
        <f>IF(F$2=0,"",IFERROR(TRIM(INDEX('Pegar estudiantes'!$A$1:$BZ$1001,309,F$2)&amp;""),""))</f>
        <v/>
      </c>
      <c r="G310">
        <f>IF(G$2=0,"",IFERROR(TRIM(INDEX('Pegar estudiantes'!$A$1:$BZ$1001,309,G$2)&amp;""),""))</f>
        <v/>
      </c>
      <c r="H310">
        <f>IF(H$2=0,"",IFERROR(TRIM(INDEX('Pegar estudiantes'!$A$1:$BZ$1001,309,H$2)&amp;""),""))</f>
        <v/>
      </c>
      <c r="I310">
        <f>IF(I$2=0,"",IFERROR(TRIM(INDEX('Pegar estudiantes'!$A$1:$BZ$1001,309,I$2)&amp;""),""))</f>
        <v/>
      </c>
      <c r="J310">
        <f>IF(J$2=0,"",IFERROR(TRIM(INDEX('Pegar estudiantes'!$A$1:$BZ$1001,309,J$2)&amp;""),""))</f>
        <v/>
      </c>
      <c r="K310">
        <f>IF(K$2=0,"",IFERROR(TRIM(INDEX('Pegar estudiantes'!$A$1:$BZ$1001,309,K$2)&amp;""),""))</f>
        <v/>
      </c>
      <c r="L310" s="25">
        <f>IF(A310&lt;&gt;"",1,"")</f>
        <v/>
      </c>
      <c r="M310" s="25">
        <f>IF(L310=1,IF(ISNUMBER(FIND("#"&amp;MID(A310,1,1)&amp;"#","#0#1#2#3#4#5#6#7#8#9#")),IF(ISNUMBER(FIND("#"&amp;MID(A310,2,1)&amp;"#","#0#1#2#3#4#5#6#7#8#9#")),IF(AND(VALUE(LEFT(A310,2))&gt;=1,VALUE(LEFT(A310,2))&lt;=5),VALUE(LEFT(A310,2)),""),IF(AND(VALUE(LEFT(A310,1))&gt;=1,VALUE(LEFT(A310,1))&lt;=5),VALUE(LEFT(A310,1)),"")),""),"")</f>
        <v/>
      </c>
      <c r="N310" s="25">
        <f>IF(L310=1,IF(ISNUMBER(FIND("#"&amp;MID(H310,1,1)&amp;"#","#0#1#2#3#4#5#6#7#8#9#")),IF(ISNUMBER(FIND("#"&amp;MID(H310,2,1)&amp;"#","#0#1#2#3#4#5#6#7#8#9#")),IF(AND(VALUE(LEFT(H310,2))&gt;=1,VALUE(LEFT(H310,2))&lt;=5),VALUE(LEFT(H310,2)),""),IF(AND(VALUE(LEFT(H310,1))&gt;=1,VALUE(LEFT(H310,1))&lt;=5),VALUE(LEFT(H310,1)),"")),""),"")</f>
        <v/>
      </c>
      <c r="O310" s="25">
        <f>IF(AND(L310=1,B310&lt;&gt;""),SUBSTITUTE(SUBSTITUTE(SUBSTITUTE(SUBSTITUTE(SUBSTITUTE(SUBSTITUTE(SUBSTITUTE(SUBSTITUTE(SUBSTITUTE(SUBSTITUTE(SUBSTITUTE(SUBSTITUTE(LOWER(TRIM(B310)),"á","a"),"é","e"),"í","i"),"ó","o"),"ú","u"),"ü","u"),"ñ","n"),"à","a"),"è","e"),"ì","i"),"ò","o"),"ù","u"),"")</f>
        <v/>
      </c>
      <c r="P310" s="25">
        <f>IF(AND(L310=1,C310&lt;&gt;""),SUBSTITUTE(SUBSTITUTE(SUBSTITUTE(SUBSTITUTE(SUBSTITUTE(SUBSTITUTE(SUBSTITUTE(SUBSTITUTE(SUBSTITUTE(SUBSTITUTE(SUBSTITUTE(SUBSTITUTE(LOWER(TRIM(C310)),"á","a"),"é","e"),"í","i"),"ó","o"),"ú","u"),"ü","u"),"ñ","n"),"à","a"),"è","e"),"ì","i"),"ò","o"),"ù","u"),"")</f>
        <v/>
      </c>
      <c r="Q310" s="25">
        <f>IF(AND(L310=1,E310&lt;&gt;""),SUBSTITUTE(SUBSTITUTE(SUBSTITUTE(SUBSTITUTE(SUBSTITUTE(SUBSTITUTE(SUBSTITUTE(SUBSTITUTE(SUBSTITUTE(SUBSTITUTE(SUBSTITUTE(SUBSTITUTE(LOWER(TRIM(E310)),"á","a"),"é","e"),"í","i"),"ó","o"),"ú","u"),"ü","u"),"ñ","n"),"à","a"),"è","e"),"ì","i"),"ò","o"),"ù","u"),"")</f>
        <v/>
      </c>
      <c r="R310" s="25">
        <f>IF(AND(L310=1,I310&lt;&gt;""),SUBSTITUTE(SUBSTITUTE(SUBSTITUTE(SUBSTITUTE(SUBSTITUTE(SUBSTITUTE(SUBSTITUTE(SUBSTITUTE(SUBSTITUTE(SUBSTITUTE(SUBSTITUTE(SUBSTITUTE(LOWER(TRIM(I310)),"á","a"),"é","e"),"í","i"),"ó","o"),"ú","u"),"ü","u"),"ñ","n"),"à","a"),"è","e"),"ì","i"),"ò","o"),"ù","u"),"")</f>
        <v/>
      </c>
      <c r="S310" s="25">
        <f>IF(R310="","",IF(OR(R310="si",R310="tal vez"),1,0))</f>
        <v/>
      </c>
      <c r="T310" s="25">
        <f>IF(AND(L310=1,D310&lt;&gt;""),IF(IFERROR(COUNTIFS(D$3:D310,"="&amp;SUBSTITUTE(SUBSTITUTE(SUBSTITUTE(D310,"~","~~"),"*","~*"),"?","~?"),L$3:L310,1),0)=1,MAX(T$2:T309)+1,""),"")</f>
        <v/>
      </c>
      <c r="U310" s="25">
        <f>IF(T310="","",COUNTIFS($D$3:$D$1002,"="&amp;SUBSTITUTE(SUBSTITUTE(SUBSTITUTE(D310,"~","~~"),"*","~*"),"?","~?"),$L$3:$L$1002,1)*10000-T310)</f>
        <v/>
      </c>
      <c r="V310" s="25">
        <f>IF(AND(L310=1,J310&lt;&gt;""),IF(IFERROR(COUNTIFS(J$3:J310,"="&amp;SUBSTITUTE(SUBSTITUTE(SUBSTITUTE(J310,"~","~~"),"*","~*"),"?","~?"),L$3:L310,1),0)=1,MAX(V$2:V309)+1,""),"")</f>
        <v/>
      </c>
      <c r="W310" s="25">
        <f>IF(V310="","",COUNTIFS($J$3:$J$1002,"="&amp;SUBSTITUTE(SUBSTITUTE(SUBSTITUTE(J310,"~","~~"),"*","~*"),"?","~?"),$L$3:$L$1002,1)*10000-V310)</f>
        <v/>
      </c>
    </row>
    <row r="311">
      <c r="A311">
        <f>IF(A$2=0,"",IFERROR(TRIM(INDEX('Pegar estudiantes'!$A$1:$BZ$1001,310,A$2)&amp;""),""))</f>
        <v/>
      </c>
      <c r="B311">
        <f>IF(B$2=0,"",IFERROR(TRIM(INDEX('Pegar estudiantes'!$A$1:$BZ$1001,310,B$2)&amp;""),""))</f>
        <v/>
      </c>
      <c r="C311">
        <f>IF(C$2=0,"",IFERROR(TRIM(INDEX('Pegar estudiantes'!$A$1:$BZ$1001,310,C$2)&amp;""),""))</f>
        <v/>
      </c>
      <c r="D311">
        <f>IF(D$2=0,"",IFERROR(TRIM(INDEX('Pegar estudiantes'!$A$1:$BZ$1001,310,D$2)&amp;""),""))</f>
        <v/>
      </c>
      <c r="E311">
        <f>IF(E$2=0,"",IFERROR(TRIM(INDEX('Pegar estudiantes'!$A$1:$BZ$1001,310,E$2)&amp;""),""))</f>
        <v/>
      </c>
      <c r="F311">
        <f>IF(F$2=0,"",IFERROR(TRIM(INDEX('Pegar estudiantes'!$A$1:$BZ$1001,310,F$2)&amp;""),""))</f>
        <v/>
      </c>
      <c r="G311">
        <f>IF(G$2=0,"",IFERROR(TRIM(INDEX('Pegar estudiantes'!$A$1:$BZ$1001,310,G$2)&amp;""),""))</f>
        <v/>
      </c>
      <c r="H311">
        <f>IF(H$2=0,"",IFERROR(TRIM(INDEX('Pegar estudiantes'!$A$1:$BZ$1001,310,H$2)&amp;""),""))</f>
        <v/>
      </c>
      <c r="I311">
        <f>IF(I$2=0,"",IFERROR(TRIM(INDEX('Pegar estudiantes'!$A$1:$BZ$1001,310,I$2)&amp;""),""))</f>
        <v/>
      </c>
      <c r="J311">
        <f>IF(J$2=0,"",IFERROR(TRIM(INDEX('Pegar estudiantes'!$A$1:$BZ$1001,310,J$2)&amp;""),""))</f>
        <v/>
      </c>
      <c r="K311">
        <f>IF(K$2=0,"",IFERROR(TRIM(INDEX('Pegar estudiantes'!$A$1:$BZ$1001,310,K$2)&amp;""),""))</f>
        <v/>
      </c>
      <c r="L311" s="25">
        <f>IF(A311&lt;&gt;"",1,"")</f>
        <v/>
      </c>
      <c r="M311" s="25">
        <f>IF(L311=1,IF(ISNUMBER(FIND("#"&amp;MID(A311,1,1)&amp;"#","#0#1#2#3#4#5#6#7#8#9#")),IF(ISNUMBER(FIND("#"&amp;MID(A311,2,1)&amp;"#","#0#1#2#3#4#5#6#7#8#9#")),IF(AND(VALUE(LEFT(A311,2))&gt;=1,VALUE(LEFT(A311,2))&lt;=5),VALUE(LEFT(A311,2)),""),IF(AND(VALUE(LEFT(A311,1))&gt;=1,VALUE(LEFT(A311,1))&lt;=5),VALUE(LEFT(A311,1)),"")),""),"")</f>
        <v/>
      </c>
      <c r="N311" s="25">
        <f>IF(L311=1,IF(ISNUMBER(FIND("#"&amp;MID(H311,1,1)&amp;"#","#0#1#2#3#4#5#6#7#8#9#")),IF(ISNUMBER(FIND("#"&amp;MID(H311,2,1)&amp;"#","#0#1#2#3#4#5#6#7#8#9#")),IF(AND(VALUE(LEFT(H311,2))&gt;=1,VALUE(LEFT(H311,2))&lt;=5),VALUE(LEFT(H311,2)),""),IF(AND(VALUE(LEFT(H311,1))&gt;=1,VALUE(LEFT(H311,1))&lt;=5),VALUE(LEFT(H311,1)),"")),""),"")</f>
        <v/>
      </c>
      <c r="O311" s="25">
        <f>IF(AND(L311=1,B311&lt;&gt;""),SUBSTITUTE(SUBSTITUTE(SUBSTITUTE(SUBSTITUTE(SUBSTITUTE(SUBSTITUTE(SUBSTITUTE(SUBSTITUTE(SUBSTITUTE(SUBSTITUTE(SUBSTITUTE(SUBSTITUTE(LOWER(TRIM(B311)),"á","a"),"é","e"),"í","i"),"ó","o"),"ú","u"),"ü","u"),"ñ","n"),"à","a"),"è","e"),"ì","i"),"ò","o"),"ù","u"),"")</f>
        <v/>
      </c>
      <c r="P311" s="25">
        <f>IF(AND(L311=1,C311&lt;&gt;""),SUBSTITUTE(SUBSTITUTE(SUBSTITUTE(SUBSTITUTE(SUBSTITUTE(SUBSTITUTE(SUBSTITUTE(SUBSTITUTE(SUBSTITUTE(SUBSTITUTE(SUBSTITUTE(SUBSTITUTE(LOWER(TRIM(C311)),"á","a"),"é","e"),"í","i"),"ó","o"),"ú","u"),"ü","u"),"ñ","n"),"à","a"),"è","e"),"ì","i"),"ò","o"),"ù","u"),"")</f>
        <v/>
      </c>
      <c r="Q311" s="25">
        <f>IF(AND(L311=1,E311&lt;&gt;""),SUBSTITUTE(SUBSTITUTE(SUBSTITUTE(SUBSTITUTE(SUBSTITUTE(SUBSTITUTE(SUBSTITUTE(SUBSTITUTE(SUBSTITUTE(SUBSTITUTE(SUBSTITUTE(SUBSTITUTE(LOWER(TRIM(E311)),"á","a"),"é","e"),"í","i"),"ó","o"),"ú","u"),"ü","u"),"ñ","n"),"à","a"),"è","e"),"ì","i"),"ò","o"),"ù","u"),"")</f>
        <v/>
      </c>
      <c r="R311" s="25">
        <f>IF(AND(L311=1,I311&lt;&gt;""),SUBSTITUTE(SUBSTITUTE(SUBSTITUTE(SUBSTITUTE(SUBSTITUTE(SUBSTITUTE(SUBSTITUTE(SUBSTITUTE(SUBSTITUTE(SUBSTITUTE(SUBSTITUTE(SUBSTITUTE(LOWER(TRIM(I311)),"á","a"),"é","e"),"í","i"),"ó","o"),"ú","u"),"ü","u"),"ñ","n"),"à","a"),"è","e"),"ì","i"),"ò","o"),"ù","u"),"")</f>
        <v/>
      </c>
      <c r="S311" s="25">
        <f>IF(R311="","",IF(OR(R311="si",R311="tal vez"),1,0))</f>
        <v/>
      </c>
      <c r="T311" s="25">
        <f>IF(AND(L311=1,D311&lt;&gt;""),IF(IFERROR(COUNTIFS(D$3:D311,"="&amp;SUBSTITUTE(SUBSTITUTE(SUBSTITUTE(D311,"~","~~"),"*","~*"),"?","~?"),L$3:L311,1),0)=1,MAX(T$2:T310)+1,""),"")</f>
        <v/>
      </c>
      <c r="U311" s="25">
        <f>IF(T311="","",COUNTIFS($D$3:$D$1002,"="&amp;SUBSTITUTE(SUBSTITUTE(SUBSTITUTE(D311,"~","~~"),"*","~*"),"?","~?"),$L$3:$L$1002,1)*10000-T311)</f>
        <v/>
      </c>
      <c r="V311" s="25">
        <f>IF(AND(L311=1,J311&lt;&gt;""),IF(IFERROR(COUNTIFS(J$3:J311,"="&amp;SUBSTITUTE(SUBSTITUTE(SUBSTITUTE(J311,"~","~~"),"*","~*"),"?","~?"),L$3:L311,1),0)=1,MAX(V$2:V310)+1,""),"")</f>
        <v/>
      </c>
      <c r="W311" s="25">
        <f>IF(V311="","",COUNTIFS($J$3:$J$1002,"="&amp;SUBSTITUTE(SUBSTITUTE(SUBSTITUTE(J311,"~","~~"),"*","~*"),"?","~?"),$L$3:$L$1002,1)*10000-V311)</f>
        <v/>
      </c>
    </row>
    <row r="312">
      <c r="A312">
        <f>IF(A$2=0,"",IFERROR(TRIM(INDEX('Pegar estudiantes'!$A$1:$BZ$1001,311,A$2)&amp;""),""))</f>
        <v/>
      </c>
      <c r="B312">
        <f>IF(B$2=0,"",IFERROR(TRIM(INDEX('Pegar estudiantes'!$A$1:$BZ$1001,311,B$2)&amp;""),""))</f>
        <v/>
      </c>
      <c r="C312">
        <f>IF(C$2=0,"",IFERROR(TRIM(INDEX('Pegar estudiantes'!$A$1:$BZ$1001,311,C$2)&amp;""),""))</f>
        <v/>
      </c>
      <c r="D312">
        <f>IF(D$2=0,"",IFERROR(TRIM(INDEX('Pegar estudiantes'!$A$1:$BZ$1001,311,D$2)&amp;""),""))</f>
        <v/>
      </c>
      <c r="E312">
        <f>IF(E$2=0,"",IFERROR(TRIM(INDEX('Pegar estudiantes'!$A$1:$BZ$1001,311,E$2)&amp;""),""))</f>
        <v/>
      </c>
      <c r="F312">
        <f>IF(F$2=0,"",IFERROR(TRIM(INDEX('Pegar estudiantes'!$A$1:$BZ$1001,311,F$2)&amp;""),""))</f>
        <v/>
      </c>
      <c r="G312">
        <f>IF(G$2=0,"",IFERROR(TRIM(INDEX('Pegar estudiantes'!$A$1:$BZ$1001,311,G$2)&amp;""),""))</f>
        <v/>
      </c>
      <c r="H312">
        <f>IF(H$2=0,"",IFERROR(TRIM(INDEX('Pegar estudiantes'!$A$1:$BZ$1001,311,H$2)&amp;""),""))</f>
        <v/>
      </c>
      <c r="I312">
        <f>IF(I$2=0,"",IFERROR(TRIM(INDEX('Pegar estudiantes'!$A$1:$BZ$1001,311,I$2)&amp;""),""))</f>
        <v/>
      </c>
      <c r="J312">
        <f>IF(J$2=0,"",IFERROR(TRIM(INDEX('Pegar estudiantes'!$A$1:$BZ$1001,311,J$2)&amp;""),""))</f>
        <v/>
      </c>
      <c r="K312">
        <f>IF(K$2=0,"",IFERROR(TRIM(INDEX('Pegar estudiantes'!$A$1:$BZ$1001,311,K$2)&amp;""),""))</f>
        <v/>
      </c>
      <c r="L312" s="25">
        <f>IF(A312&lt;&gt;"",1,"")</f>
        <v/>
      </c>
      <c r="M312" s="25">
        <f>IF(L312=1,IF(ISNUMBER(FIND("#"&amp;MID(A312,1,1)&amp;"#","#0#1#2#3#4#5#6#7#8#9#")),IF(ISNUMBER(FIND("#"&amp;MID(A312,2,1)&amp;"#","#0#1#2#3#4#5#6#7#8#9#")),IF(AND(VALUE(LEFT(A312,2))&gt;=1,VALUE(LEFT(A312,2))&lt;=5),VALUE(LEFT(A312,2)),""),IF(AND(VALUE(LEFT(A312,1))&gt;=1,VALUE(LEFT(A312,1))&lt;=5),VALUE(LEFT(A312,1)),"")),""),"")</f>
        <v/>
      </c>
      <c r="N312" s="25">
        <f>IF(L312=1,IF(ISNUMBER(FIND("#"&amp;MID(H312,1,1)&amp;"#","#0#1#2#3#4#5#6#7#8#9#")),IF(ISNUMBER(FIND("#"&amp;MID(H312,2,1)&amp;"#","#0#1#2#3#4#5#6#7#8#9#")),IF(AND(VALUE(LEFT(H312,2))&gt;=1,VALUE(LEFT(H312,2))&lt;=5),VALUE(LEFT(H312,2)),""),IF(AND(VALUE(LEFT(H312,1))&gt;=1,VALUE(LEFT(H312,1))&lt;=5),VALUE(LEFT(H312,1)),"")),""),"")</f>
        <v/>
      </c>
      <c r="O312" s="25">
        <f>IF(AND(L312=1,B312&lt;&gt;""),SUBSTITUTE(SUBSTITUTE(SUBSTITUTE(SUBSTITUTE(SUBSTITUTE(SUBSTITUTE(SUBSTITUTE(SUBSTITUTE(SUBSTITUTE(SUBSTITUTE(SUBSTITUTE(SUBSTITUTE(LOWER(TRIM(B312)),"á","a"),"é","e"),"í","i"),"ó","o"),"ú","u"),"ü","u"),"ñ","n"),"à","a"),"è","e"),"ì","i"),"ò","o"),"ù","u"),"")</f>
        <v/>
      </c>
      <c r="P312" s="25">
        <f>IF(AND(L312=1,C312&lt;&gt;""),SUBSTITUTE(SUBSTITUTE(SUBSTITUTE(SUBSTITUTE(SUBSTITUTE(SUBSTITUTE(SUBSTITUTE(SUBSTITUTE(SUBSTITUTE(SUBSTITUTE(SUBSTITUTE(SUBSTITUTE(LOWER(TRIM(C312)),"á","a"),"é","e"),"í","i"),"ó","o"),"ú","u"),"ü","u"),"ñ","n"),"à","a"),"è","e"),"ì","i"),"ò","o"),"ù","u"),"")</f>
        <v/>
      </c>
      <c r="Q312" s="25">
        <f>IF(AND(L312=1,E312&lt;&gt;""),SUBSTITUTE(SUBSTITUTE(SUBSTITUTE(SUBSTITUTE(SUBSTITUTE(SUBSTITUTE(SUBSTITUTE(SUBSTITUTE(SUBSTITUTE(SUBSTITUTE(SUBSTITUTE(SUBSTITUTE(LOWER(TRIM(E312)),"á","a"),"é","e"),"í","i"),"ó","o"),"ú","u"),"ü","u"),"ñ","n"),"à","a"),"è","e"),"ì","i"),"ò","o"),"ù","u"),"")</f>
        <v/>
      </c>
      <c r="R312" s="25">
        <f>IF(AND(L312=1,I312&lt;&gt;""),SUBSTITUTE(SUBSTITUTE(SUBSTITUTE(SUBSTITUTE(SUBSTITUTE(SUBSTITUTE(SUBSTITUTE(SUBSTITUTE(SUBSTITUTE(SUBSTITUTE(SUBSTITUTE(SUBSTITUTE(LOWER(TRIM(I312)),"á","a"),"é","e"),"í","i"),"ó","o"),"ú","u"),"ü","u"),"ñ","n"),"à","a"),"è","e"),"ì","i"),"ò","o"),"ù","u"),"")</f>
        <v/>
      </c>
      <c r="S312" s="25">
        <f>IF(R312="","",IF(OR(R312="si",R312="tal vez"),1,0))</f>
        <v/>
      </c>
      <c r="T312" s="25">
        <f>IF(AND(L312=1,D312&lt;&gt;""),IF(IFERROR(COUNTIFS(D$3:D312,"="&amp;SUBSTITUTE(SUBSTITUTE(SUBSTITUTE(D312,"~","~~"),"*","~*"),"?","~?"),L$3:L312,1),0)=1,MAX(T$2:T311)+1,""),"")</f>
        <v/>
      </c>
      <c r="U312" s="25">
        <f>IF(T312="","",COUNTIFS($D$3:$D$1002,"="&amp;SUBSTITUTE(SUBSTITUTE(SUBSTITUTE(D312,"~","~~"),"*","~*"),"?","~?"),$L$3:$L$1002,1)*10000-T312)</f>
        <v/>
      </c>
      <c r="V312" s="25">
        <f>IF(AND(L312=1,J312&lt;&gt;""),IF(IFERROR(COUNTIFS(J$3:J312,"="&amp;SUBSTITUTE(SUBSTITUTE(SUBSTITUTE(J312,"~","~~"),"*","~*"),"?","~?"),L$3:L312,1),0)=1,MAX(V$2:V311)+1,""),"")</f>
        <v/>
      </c>
      <c r="W312" s="25">
        <f>IF(V312="","",COUNTIFS($J$3:$J$1002,"="&amp;SUBSTITUTE(SUBSTITUTE(SUBSTITUTE(J312,"~","~~"),"*","~*"),"?","~?"),$L$3:$L$1002,1)*10000-V312)</f>
        <v/>
      </c>
    </row>
    <row r="313">
      <c r="A313">
        <f>IF(A$2=0,"",IFERROR(TRIM(INDEX('Pegar estudiantes'!$A$1:$BZ$1001,312,A$2)&amp;""),""))</f>
        <v/>
      </c>
      <c r="B313">
        <f>IF(B$2=0,"",IFERROR(TRIM(INDEX('Pegar estudiantes'!$A$1:$BZ$1001,312,B$2)&amp;""),""))</f>
        <v/>
      </c>
      <c r="C313">
        <f>IF(C$2=0,"",IFERROR(TRIM(INDEX('Pegar estudiantes'!$A$1:$BZ$1001,312,C$2)&amp;""),""))</f>
        <v/>
      </c>
      <c r="D313">
        <f>IF(D$2=0,"",IFERROR(TRIM(INDEX('Pegar estudiantes'!$A$1:$BZ$1001,312,D$2)&amp;""),""))</f>
        <v/>
      </c>
      <c r="E313">
        <f>IF(E$2=0,"",IFERROR(TRIM(INDEX('Pegar estudiantes'!$A$1:$BZ$1001,312,E$2)&amp;""),""))</f>
        <v/>
      </c>
      <c r="F313">
        <f>IF(F$2=0,"",IFERROR(TRIM(INDEX('Pegar estudiantes'!$A$1:$BZ$1001,312,F$2)&amp;""),""))</f>
        <v/>
      </c>
      <c r="G313">
        <f>IF(G$2=0,"",IFERROR(TRIM(INDEX('Pegar estudiantes'!$A$1:$BZ$1001,312,G$2)&amp;""),""))</f>
        <v/>
      </c>
      <c r="H313">
        <f>IF(H$2=0,"",IFERROR(TRIM(INDEX('Pegar estudiantes'!$A$1:$BZ$1001,312,H$2)&amp;""),""))</f>
        <v/>
      </c>
      <c r="I313">
        <f>IF(I$2=0,"",IFERROR(TRIM(INDEX('Pegar estudiantes'!$A$1:$BZ$1001,312,I$2)&amp;""),""))</f>
        <v/>
      </c>
      <c r="J313">
        <f>IF(J$2=0,"",IFERROR(TRIM(INDEX('Pegar estudiantes'!$A$1:$BZ$1001,312,J$2)&amp;""),""))</f>
        <v/>
      </c>
      <c r="K313">
        <f>IF(K$2=0,"",IFERROR(TRIM(INDEX('Pegar estudiantes'!$A$1:$BZ$1001,312,K$2)&amp;""),""))</f>
        <v/>
      </c>
      <c r="L313" s="25">
        <f>IF(A313&lt;&gt;"",1,"")</f>
        <v/>
      </c>
      <c r="M313" s="25">
        <f>IF(L313=1,IF(ISNUMBER(FIND("#"&amp;MID(A313,1,1)&amp;"#","#0#1#2#3#4#5#6#7#8#9#")),IF(ISNUMBER(FIND("#"&amp;MID(A313,2,1)&amp;"#","#0#1#2#3#4#5#6#7#8#9#")),IF(AND(VALUE(LEFT(A313,2))&gt;=1,VALUE(LEFT(A313,2))&lt;=5),VALUE(LEFT(A313,2)),""),IF(AND(VALUE(LEFT(A313,1))&gt;=1,VALUE(LEFT(A313,1))&lt;=5),VALUE(LEFT(A313,1)),"")),""),"")</f>
        <v/>
      </c>
      <c r="N313" s="25">
        <f>IF(L313=1,IF(ISNUMBER(FIND("#"&amp;MID(H313,1,1)&amp;"#","#0#1#2#3#4#5#6#7#8#9#")),IF(ISNUMBER(FIND("#"&amp;MID(H313,2,1)&amp;"#","#0#1#2#3#4#5#6#7#8#9#")),IF(AND(VALUE(LEFT(H313,2))&gt;=1,VALUE(LEFT(H313,2))&lt;=5),VALUE(LEFT(H313,2)),""),IF(AND(VALUE(LEFT(H313,1))&gt;=1,VALUE(LEFT(H313,1))&lt;=5),VALUE(LEFT(H313,1)),"")),""),"")</f>
        <v/>
      </c>
      <c r="O313" s="25">
        <f>IF(AND(L313=1,B313&lt;&gt;""),SUBSTITUTE(SUBSTITUTE(SUBSTITUTE(SUBSTITUTE(SUBSTITUTE(SUBSTITUTE(SUBSTITUTE(SUBSTITUTE(SUBSTITUTE(SUBSTITUTE(SUBSTITUTE(SUBSTITUTE(LOWER(TRIM(B313)),"á","a"),"é","e"),"í","i"),"ó","o"),"ú","u"),"ü","u"),"ñ","n"),"à","a"),"è","e"),"ì","i"),"ò","o"),"ù","u"),"")</f>
        <v/>
      </c>
      <c r="P313" s="25">
        <f>IF(AND(L313=1,C313&lt;&gt;""),SUBSTITUTE(SUBSTITUTE(SUBSTITUTE(SUBSTITUTE(SUBSTITUTE(SUBSTITUTE(SUBSTITUTE(SUBSTITUTE(SUBSTITUTE(SUBSTITUTE(SUBSTITUTE(SUBSTITUTE(LOWER(TRIM(C313)),"á","a"),"é","e"),"í","i"),"ó","o"),"ú","u"),"ü","u"),"ñ","n"),"à","a"),"è","e"),"ì","i"),"ò","o"),"ù","u"),"")</f>
        <v/>
      </c>
      <c r="Q313" s="25">
        <f>IF(AND(L313=1,E313&lt;&gt;""),SUBSTITUTE(SUBSTITUTE(SUBSTITUTE(SUBSTITUTE(SUBSTITUTE(SUBSTITUTE(SUBSTITUTE(SUBSTITUTE(SUBSTITUTE(SUBSTITUTE(SUBSTITUTE(SUBSTITUTE(LOWER(TRIM(E313)),"á","a"),"é","e"),"í","i"),"ó","o"),"ú","u"),"ü","u"),"ñ","n"),"à","a"),"è","e"),"ì","i"),"ò","o"),"ù","u"),"")</f>
        <v/>
      </c>
      <c r="R313" s="25">
        <f>IF(AND(L313=1,I313&lt;&gt;""),SUBSTITUTE(SUBSTITUTE(SUBSTITUTE(SUBSTITUTE(SUBSTITUTE(SUBSTITUTE(SUBSTITUTE(SUBSTITUTE(SUBSTITUTE(SUBSTITUTE(SUBSTITUTE(SUBSTITUTE(LOWER(TRIM(I313)),"á","a"),"é","e"),"í","i"),"ó","o"),"ú","u"),"ü","u"),"ñ","n"),"à","a"),"è","e"),"ì","i"),"ò","o"),"ù","u"),"")</f>
        <v/>
      </c>
      <c r="S313" s="25">
        <f>IF(R313="","",IF(OR(R313="si",R313="tal vez"),1,0))</f>
        <v/>
      </c>
      <c r="T313" s="25">
        <f>IF(AND(L313=1,D313&lt;&gt;""),IF(IFERROR(COUNTIFS(D$3:D313,"="&amp;SUBSTITUTE(SUBSTITUTE(SUBSTITUTE(D313,"~","~~"),"*","~*"),"?","~?"),L$3:L313,1),0)=1,MAX(T$2:T312)+1,""),"")</f>
        <v/>
      </c>
      <c r="U313" s="25">
        <f>IF(T313="","",COUNTIFS($D$3:$D$1002,"="&amp;SUBSTITUTE(SUBSTITUTE(SUBSTITUTE(D313,"~","~~"),"*","~*"),"?","~?"),$L$3:$L$1002,1)*10000-T313)</f>
        <v/>
      </c>
      <c r="V313" s="25">
        <f>IF(AND(L313=1,J313&lt;&gt;""),IF(IFERROR(COUNTIFS(J$3:J313,"="&amp;SUBSTITUTE(SUBSTITUTE(SUBSTITUTE(J313,"~","~~"),"*","~*"),"?","~?"),L$3:L313,1),0)=1,MAX(V$2:V312)+1,""),"")</f>
        <v/>
      </c>
      <c r="W313" s="25">
        <f>IF(V313="","",COUNTIFS($J$3:$J$1002,"="&amp;SUBSTITUTE(SUBSTITUTE(SUBSTITUTE(J313,"~","~~"),"*","~*"),"?","~?"),$L$3:$L$1002,1)*10000-V313)</f>
        <v/>
      </c>
    </row>
    <row r="314">
      <c r="A314">
        <f>IF(A$2=0,"",IFERROR(TRIM(INDEX('Pegar estudiantes'!$A$1:$BZ$1001,313,A$2)&amp;""),""))</f>
        <v/>
      </c>
      <c r="B314">
        <f>IF(B$2=0,"",IFERROR(TRIM(INDEX('Pegar estudiantes'!$A$1:$BZ$1001,313,B$2)&amp;""),""))</f>
        <v/>
      </c>
      <c r="C314">
        <f>IF(C$2=0,"",IFERROR(TRIM(INDEX('Pegar estudiantes'!$A$1:$BZ$1001,313,C$2)&amp;""),""))</f>
        <v/>
      </c>
      <c r="D314">
        <f>IF(D$2=0,"",IFERROR(TRIM(INDEX('Pegar estudiantes'!$A$1:$BZ$1001,313,D$2)&amp;""),""))</f>
        <v/>
      </c>
      <c r="E314">
        <f>IF(E$2=0,"",IFERROR(TRIM(INDEX('Pegar estudiantes'!$A$1:$BZ$1001,313,E$2)&amp;""),""))</f>
        <v/>
      </c>
      <c r="F314">
        <f>IF(F$2=0,"",IFERROR(TRIM(INDEX('Pegar estudiantes'!$A$1:$BZ$1001,313,F$2)&amp;""),""))</f>
        <v/>
      </c>
      <c r="G314">
        <f>IF(G$2=0,"",IFERROR(TRIM(INDEX('Pegar estudiantes'!$A$1:$BZ$1001,313,G$2)&amp;""),""))</f>
        <v/>
      </c>
      <c r="H314">
        <f>IF(H$2=0,"",IFERROR(TRIM(INDEX('Pegar estudiantes'!$A$1:$BZ$1001,313,H$2)&amp;""),""))</f>
        <v/>
      </c>
      <c r="I314">
        <f>IF(I$2=0,"",IFERROR(TRIM(INDEX('Pegar estudiantes'!$A$1:$BZ$1001,313,I$2)&amp;""),""))</f>
        <v/>
      </c>
      <c r="J314">
        <f>IF(J$2=0,"",IFERROR(TRIM(INDEX('Pegar estudiantes'!$A$1:$BZ$1001,313,J$2)&amp;""),""))</f>
        <v/>
      </c>
      <c r="K314">
        <f>IF(K$2=0,"",IFERROR(TRIM(INDEX('Pegar estudiantes'!$A$1:$BZ$1001,313,K$2)&amp;""),""))</f>
        <v/>
      </c>
      <c r="L314" s="25">
        <f>IF(A314&lt;&gt;"",1,"")</f>
        <v/>
      </c>
      <c r="M314" s="25">
        <f>IF(L314=1,IF(ISNUMBER(FIND("#"&amp;MID(A314,1,1)&amp;"#","#0#1#2#3#4#5#6#7#8#9#")),IF(ISNUMBER(FIND("#"&amp;MID(A314,2,1)&amp;"#","#0#1#2#3#4#5#6#7#8#9#")),IF(AND(VALUE(LEFT(A314,2))&gt;=1,VALUE(LEFT(A314,2))&lt;=5),VALUE(LEFT(A314,2)),""),IF(AND(VALUE(LEFT(A314,1))&gt;=1,VALUE(LEFT(A314,1))&lt;=5),VALUE(LEFT(A314,1)),"")),""),"")</f>
        <v/>
      </c>
      <c r="N314" s="25">
        <f>IF(L314=1,IF(ISNUMBER(FIND("#"&amp;MID(H314,1,1)&amp;"#","#0#1#2#3#4#5#6#7#8#9#")),IF(ISNUMBER(FIND("#"&amp;MID(H314,2,1)&amp;"#","#0#1#2#3#4#5#6#7#8#9#")),IF(AND(VALUE(LEFT(H314,2))&gt;=1,VALUE(LEFT(H314,2))&lt;=5),VALUE(LEFT(H314,2)),""),IF(AND(VALUE(LEFT(H314,1))&gt;=1,VALUE(LEFT(H314,1))&lt;=5),VALUE(LEFT(H314,1)),"")),""),"")</f>
        <v/>
      </c>
      <c r="O314" s="25">
        <f>IF(AND(L314=1,B314&lt;&gt;""),SUBSTITUTE(SUBSTITUTE(SUBSTITUTE(SUBSTITUTE(SUBSTITUTE(SUBSTITUTE(SUBSTITUTE(SUBSTITUTE(SUBSTITUTE(SUBSTITUTE(SUBSTITUTE(SUBSTITUTE(LOWER(TRIM(B314)),"á","a"),"é","e"),"í","i"),"ó","o"),"ú","u"),"ü","u"),"ñ","n"),"à","a"),"è","e"),"ì","i"),"ò","o"),"ù","u"),"")</f>
        <v/>
      </c>
      <c r="P314" s="25">
        <f>IF(AND(L314=1,C314&lt;&gt;""),SUBSTITUTE(SUBSTITUTE(SUBSTITUTE(SUBSTITUTE(SUBSTITUTE(SUBSTITUTE(SUBSTITUTE(SUBSTITUTE(SUBSTITUTE(SUBSTITUTE(SUBSTITUTE(SUBSTITUTE(LOWER(TRIM(C314)),"á","a"),"é","e"),"í","i"),"ó","o"),"ú","u"),"ü","u"),"ñ","n"),"à","a"),"è","e"),"ì","i"),"ò","o"),"ù","u"),"")</f>
        <v/>
      </c>
      <c r="Q314" s="25">
        <f>IF(AND(L314=1,E314&lt;&gt;""),SUBSTITUTE(SUBSTITUTE(SUBSTITUTE(SUBSTITUTE(SUBSTITUTE(SUBSTITUTE(SUBSTITUTE(SUBSTITUTE(SUBSTITUTE(SUBSTITUTE(SUBSTITUTE(SUBSTITUTE(LOWER(TRIM(E314)),"á","a"),"é","e"),"í","i"),"ó","o"),"ú","u"),"ü","u"),"ñ","n"),"à","a"),"è","e"),"ì","i"),"ò","o"),"ù","u"),"")</f>
        <v/>
      </c>
      <c r="R314" s="25">
        <f>IF(AND(L314=1,I314&lt;&gt;""),SUBSTITUTE(SUBSTITUTE(SUBSTITUTE(SUBSTITUTE(SUBSTITUTE(SUBSTITUTE(SUBSTITUTE(SUBSTITUTE(SUBSTITUTE(SUBSTITUTE(SUBSTITUTE(SUBSTITUTE(LOWER(TRIM(I314)),"á","a"),"é","e"),"í","i"),"ó","o"),"ú","u"),"ü","u"),"ñ","n"),"à","a"),"è","e"),"ì","i"),"ò","o"),"ù","u"),"")</f>
        <v/>
      </c>
      <c r="S314" s="25">
        <f>IF(R314="","",IF(OR(R314="si",R314="tal vez"),1,0))</f>
        <v/>
      </c>
      <c r="T314" s="25">
        <f>IF(AND(L314=1,D314&lt;&gt;""),IF(IFERROR(COUNTIFS(D$3:D314,"="&amp;SUBSTITUTE(SUBSTITUTE(SUBSTITUTE(D314,"~","~~"),"*","~*"),"?","~?"),L$3:L314,1),0)=1,MAX(T$2:T313)+1,""),"")</f>
        <v/>
      </c>
      <c r="U314" s="25">
        <f>IF(T314="","",COUNTIFS($D$3:$D$1002,"="&amp;SUBSTITUTE(SUBSTITUTE(SUBSTITUTE(D314,"~","~~"),"*","~*"),"?","~?"),$L$3:$L$1002,1)*10000-T314)</f>
        <v/>
      </c>
      <c r="V314" s="25">
        <f>IF(AND(L314=1,J314&lt;&gt;""),IF(IFERROR(COUNTIFS(J$3:J314,"="&amp;SUBSTITUTE(SUBSTITUTE(SUBSTITUTE(J314,"~","~~"),"*","~*"),"?","~?"),L$3:L314,1),0)=1,MAX(V$2:V313)+1,""),"")</f>
        <v/>
      </c>
      <c r="W314" s="25">
        <f>IF(V314="","",COUNTIFS($J$3:$J$1002,"="&amp;SUBSTITUTE(SUBSTITUTE(SUBSTITUTE(J314,"~","~~"),"*","~*"),"?","~?"),$L$3:$L$1002,1)*10000-V314)</f>
        <v/>
      </c>
    </row>
    <row r="315">
      <c r="A315">
        <f>IF(A$2=0,"",IFERROR(TRIM(INDEX('Pegar estudiantes'!$A$1:$BZ$1001,314,A$2)&amp;""),""))</f>
        <v/>
      </c>
      <c r="B315">
        <f>IF(B$2=0,"",IFERROR(TRIM(INDEX('Pegar estudiantes'!$A$1:$BZ$1001,314,B$2)&amp;""),""))</f>
        <v/>
      </c>
      <c r="C315">
        <f>IF(C$2=0,"",IFERROR(TRIM(INDEX('Pegar estudiantes'!$A$1:$BZ$1001,314,C$2)&amp;""),""))</f>
        <v/>
      </c>
      <c r="D315">
        <f>IF(D$2=0,"",IFERROR(TRIM(INDEX('Pegar estudiantes'!$A$1:$BZ$1001,314,D$2)&amp;""),""))</f>
        <v/>
      </c>
      <c r="E315">
        <f>IF(E$2=0,"",IFERROR(TRIM(INDEX('Pegar estudiantes'!$A$1:$BZ$1001,314,E$2)&amp;""),""))</f>
        <v/>
      </c>
      <c r="F315">
        <f>IF(F$2=0,"",IFERROR(TRIM(INDEX('Pegar estudiantes'!$A$1:$BZ$1001,314,F$2)&amp;""),""))</f>
        <v/>
      </c>
      <c r="G315">
        <f>IF(G$2=0,"",IFERROR(TRIM(INDEX('Pegar estudiantes'!$A$1:$BZ$1001,314,G$2)&amp;""),""))</f>
        <v/>
      </c>
      <c r="H315">
        <f>IF(H$2=0,"",IFERROR(TRIM(INDEX('Pegar estudiantes'!$A$1:$BZ$1001,314,H$2)&amp;""),""))</f>
        <v/>
      </c>
      <c r="I315">
        <f>IF(I$2=0,"",IFERROR(TRIM(INDEX('Pegar estudiantes'!$A$1:$BZ$1001,314,I$2)&amp;""),""))</f>
        <v/>
      </c>
      <c r="J315">
        <f>IF(J$2=0,"",IFERROR(TRIM(INDEX('Pegar estudiantes'!$A$1:$BZ$1001,314,J$2)&amp;""),""))</f>
        <v/>
      </c>
      <c r="K315">
        <f>IF(K$2=0,"",IFERROR(TRIM(INDEX('Pegar estudiantes'!$A$1:$BZ$1001,314,K$2)&amp;""),""))</f>
        <v/>
      </c>
      <c r="L315" s="25">
        <f>IF(A315&lt;&gt;"",1,"")</f>
        <v/>
      </c>
      <c r="M315" s="25">
        <f>IF(L315=1,IF(ISNUMBER(FIND("#"&amp;MID(A315,1,1)&amp;"#","#0#1#2#3#4#5#6#7#8#9#")),IF(ISNUMBER(FIND("#"&amp;MID(A315,2,1)&amp;"#","#0#1#2#3#4#5#6#7#8#9#")),IF(AND(VALUE(LEFT(A315,2))&gt;=1,VALUE(LEFT(A315,2))&lt;=5),VALUE(LEFT(A315,2)),""),IF(AND(VALUE(LEFT(A315,1))&gt;=1,VALUE(LEFT(A315,1))&lt;=5),VALUE(LEFT(A315,1)),"")),""),"")</f>
        <v/>
      </c>
      <c r="N315" s="25">
        <f>IF(L315=1,IF(ISNUMBER(FIND("#"&amp;MID(H315,1,1)&amp;"#","#0#1#2#3#4#5#6#7#8#9#")),IF(ISNUMBER(FIND("#"&amp;MID(H315,2,1)&amp;"#","#0#1#2#3#4#5#6#7#8#9#")),IF(AND(VALUE(LEFT(H315,2))&gt;=1,VALUE(LEFT(H315,2))&lt;=5),VALUE(LEFT(H315,2)),""),IF(AND(VALUE(LEFT(H315,1))&gt;=1,VALUE(LEFT(H315,1))&lt;=5),VALUE(LEFT(H315,1)),"")),""),"")</f>
        <v/>
      </c>
      <c r="O315" s="25">
        <f>IF(AND(L315=1,B315&lt;&gt;""),SUBSTITUTE(SUBSTITUTE(SUBSTITUTE(SUBSTITUTE(SUBSTITUTE(SUBSTITUTE(SUBSTITUTE(SUBSTITUTE(SUBSTITUTE(SUBSTITUTE(SUBSTITUTE(SUBSTITUTE(LOWER(TRIM(B315)),"á","a"),"é","e"),"í","i"),"ó","o"),"ú","u"),"ü","u"),"ñ","n"),"à","a"),"è","e"),"ì","i"),"ò","o"),"ù","u"),"")</f>
        <v/>
      </c>
      <c r="P315" s="25">
        <f>IF(AND(L315=1,C315&lt;&gt;""),SUBSTITUTE(SUBSTITUTE(SUBSTITUTE(SUBSTITUTE(SUBSTITUTE(SUBSTITUTE(SUBSTITUTE(SUBSTITUTE(SUBSTITUTE(SUBSTITUTE(SUBSTITUTE(SUBSTITUTE(LOWER(TRIM(C315)),"á","a"),"é","e"),"í","i"),"ó","o"),"ú","u"),"ü","u"),"ñ","n"),"à","a"),"è","e"),"ì","i"),"ò","o"),"ù","u"),"")</f>
        <v/>
      </c>
      <c r="Q315" s="25">
        <f>IF(AND(L315=1,E315&lt;&gt;""),SUBSTITUTE(SUBSTITUTE(SUBSTITUTE(SUBSTITUTE(SUBSTITUTE(SUBSTITUTE(SUBSTITUTE(SUBSTITUTE(SUBSTITUTE(SUBSTITUTE(SUBSTITUTE(SUBSTITUTE(LOWER(TRIM(E315)),"á","a"),"é","e"),"í","i"),"ó","o"),"ú","u"),"ü","u"),"ñ","n"),"à","a"),"è","e"),"ì","i"),"ò","o"),"ù","u"),"")</f>
        <v/>
      </c>
      <c r="R315" s="25">
        <f>IF(AND(L315=1,I315&lt;&gt;""),SUBSTITUTE(SUBSTITUTE(SUBSTITUTE(SUBSTITUTE(SUBSTITUTE(SUBSTITUTE(SUBSTITUTE(SUBSTITUTE(SUBSTITUTE(SUBSTITUTE(SUBSTITUTE(SUBSTITUTE(LOWER(TRIM(I315)),"á","a"),"é","e"),"í","i"),"ó","o"),"ú","u"),"ü","u"),"ñ","n"),"à","a"),"è","e"),"ì","i"),"ò","o"),"ù","u"),"")</f>
        <v/>
      </c>
      <c r="S315" s="25">
        <f>IF(R315="","",IF(OR(R315="si",R315="tal vez"),1,0))</f>
        <v/>
      </c>
      <c r="T315" s="25">
        <f>IF(AND(L315=1,D315&lt;&gt;""),IF(IFERROR(COUNTIFS(D$3:D315,"="&amp;SUBSTITUTE(SUBSTITUTE(SUBSTITUTE(D315,"~","~~"),"*","~*"),"?","~?"),L$3:L315,1),0)=1,MAX(T$2:T314)+1,""),"")</f>
        <v/>
      </c>
      <c r="U315" s="25">
        <f>IF(T315="","",COUNTIFS($D$3:$D$1002,"="&amp;SUBSTITUTE(SUBSTITUTE(SUBSTITUTE(D315,"~","~~"),"*","~*"),"?","~?"),$L$3:$L$1002,1)*10000-T315)</f>
        <v/>
      </c>
      <c r="V315" s="25">
        <f>IF(AND(L315=1,J315&lt;&gt;""),IF(IFERROR(COUNTIFS(J$3:J315,"="&amp;SUBSTITUTE(SUBSTITUTE(SUBSTITUTE(J315,"~","~~"),"*","~*"),"?","~?"),L$3:L315,1),0)=1,MAX(V$2:V314)+1,""),"")</f>
        <v/>
      </c>
      <c r="W315" s="25">
        <f>IF(V315="","",COUNTIFS($J$3:$J$1002,"="&amp;SUBSTITUTE(SUBSTITUTE(SUBSTITUTE(J315,"~","~~"),"*","~*"),"?","~?"),$L$3:$L$1002,1)*10000-V315)</f>
        <v/>
      </c>
    </row>
    <row r="316">
      <c r="A316">
        <f>IF(A$2=0,"",IFERROR(TRIM(INDEX('Pegar estudiantes'!$A$1:$BZ$1001,315,A$2)&amp;""),""))</f>
        <v/>
      </c>
      <c r="B316">
        <f>IF(B$2=0,"",IFERROR(TRIM(INDEX('Pegar estudiantes'!$A$1:$BZ$1001,315,B$2)&amp;""),""))</f>
        <v/>
      </c>
      <c r="C316">
        <f>IF(C$2=0,"",IFERROR(TRIM(INDEX('Pegar estudiantes'!$A$1:$BZ$1001,315,C$2)&amp;""),""))</f>
        <v/>
      </c>
      <c r="D316">
        <f>IF(D$2=0,"",IFERROR(TRIM(INDEX('Pegar estudiantes'!$A$1:$BZ$1001,315,D$2)&amp;""),""))</f>
        <v/>
      </c>
      <c r="E316">
        <f>IF(E$2=0,"",IFERROR(TRIM(INDEX('Pegar estudiantes'!$A$1:$BZ$1001,315,E$2)&amp;""),""))</f>
        <v/>
      </c>
      <c r="F316">
        <f>IF(F$2=0,"",IFERROR(TRIM(INDEX('Pegar estudiantes'!$A$1:$BZ$1001,315,F$2)&amp;""),""))</f>
        <v/>
      </c>
      <c r="G316">
        <f>IF(G$2=0,"",IFERROR(TRIM(INDEX('Pegar estudiantes'!$A$1:$BZ$1001,315,G$2)&amp;""),""))</f>
        <v/>
      </c>
      <c r="H316">
        <f>IF(H$2=0,"",IFERROR(TRIM(INDEX('Pegar estudiantes'!$A$1:$BZ$1001,315,H$2)&amp;""),""))</f>
        <v/>
      </c>
      <c r="I316">
        <f>IF(I$2=0,"",IFERROR(TRIM(INDEX('Pegar estudiantes'!$A$1:$BZ$1001,315,I$2)&amp;""),""))</f>
        <v/>
      </c>
      <c r="J316">
        <f>IF(J$2=0,"",IFERROR(TRIM(INDEX('Pegar estudiantes'!$A$1:$BZ$1001,315,J$2)&amp;""),""))</f>
        <v/>
      </c>
      <c r="K316">
        <f>IF(K$2=0,"",IFERROR(TRIM(INDEX('Pegar estudiantes'!$A$1:$BZ$1001,315,K$2)&amp;""),""))</f>
        <v/>
      </c>
      <c r="L316" s="25">
        <f>IF(A316&lt;&gt;"",1,"")</f>
        <v/>
      </c>
      <c r="M316" s="25">
        <f>IF(L316=1,IF(ISNUMBER(FIND("#"&amp;MID(A316,1,1)&amp;"#","#0#1#2#3#4#5#6#7#8#9#")),IF(ISNUMBER(FIND("#"&amp;MID(A316,2,1)&amp;"#","#0#1#2#3#4#5#6#7#8#9#")),IF(AND(VALUE(LEFT(A316,2))&gt;=1,VALUE(LEFT(A316,2))&lt;=5),VALUE(LEFT(A316,2)),""),IF(AND(VALUE(LEFT(A316,1))&gt;=1,VALUE(LEFT(A316,1))&lt;=5),VALUE(LEFT(A316,1)),"")),""),"")</f>
        <v/>
      </c>
      <c r="N316" s="25">
        <f>IF(L316=1,IF(ISNUMBER(FIND("#"&amp;MID(H316,1,1)&amp;"#","#0#1#2#3#4#5#6#7#8#9#")),IF(ISNUMBER(FIND("#"&amp;MID(H316,2,1)&amp;"#","#0#1#2#3#4#5#6#7#8#9#")),IF(AND(VALUE(LEFT(H316,2))&gt;=1,VALUE(LEFT(H316,2))&lt;=5),VALUE(LEFT(H316,2)),""),IF(AND(VALUE(LEFT(H316,1))&gt;=1,VALUE(LEFT(H316,1))&lt;=5),VALUE(LEFT(H316,1)),"")),""),"")</f>
        <v/>
      </c>
      <c r="O316" s="25">
        <f>IF(AND(L316=1,B316&lt;&gt;""),SUBSTITUTE(SUBSTITUTE(SUBSTITUTE(SUBSTITUTE(SUBSTITUTE(SUBSTITUTE(SUBSTITUTE(SUBSTITUTE(SUBSTITUTE(SUBSTITUTE(SUBSTITUTE(SUBSTITUTE(LOWER(TRIM(B316)),"á","a"),"é","e"),"í","i"),"ó","o"),"ú","u"),"ü","u"),"ñ","n"),"à","a"),"è","e"),"ì","i"),"ò","o"),"ù","u"),"")</f>
        <v/>
      </c>
      <c r="P316" s="25">
        <f>IF(AND(L316=1,C316&lt;&gt;""),SUBSTITUTE(SUBSTITUTE(SUBSTITUTE(SUBSTITUTE(SUBSTITUTE(SUBSTITUTE(SUBSTITUTE(SUBSTITUTE(SUBSTITUTE(SUBSTITUTE(SUBSTITUTE(SUBSTITUTE(LOWER(TRIM(C316)),"á","a"),"é","e"),"í","i"),"ó","o"),"ú","u"),"ü","u"),"ñ","n"),"à","a"),"è","e"),"ì","i"),"ò","o"),"ù","u"),"")</f>
        <v/>
      </c>
      <c r="Q316" s="25">
        <f>IF(AND(L316=1,E316&lt;&gt;""),SUBSTITUTE(SUBSTITUTE(SUBSTITUTE(SUBSTITUTE(SUBSTITUTE(SUBSTITUTE(SUBSTITUTE(SUBSTITUTE(SUBSTITUTE(SUBSTITUTE(SUBSTITUTE(SUBSTITUTE(LOWER(TRIM(E316)),"á","a"),"é","e"),"í","i"),"ó","o"),"ú","u"),"ü","u"),"ñ","n"),"à","a"),"è","e"),"ì","i"),"ò","o"),"ù","u"),"")</f>
        <v/>
      </c>
      <c r="R316" s="25">
        <f>IF(AND(L316=1,I316&lt;&gt;""),SUBSTITUTE(SUBSTITUTE(SUBSTITUTE(SUBSTITUTE(SUBSTITUTE(SUBSTITUTE(SUBSTITUTE(SUBSTITUTE(SUBSTITUTE(SUBSTITUTE(SUBSTITUTE(SUBSTITUTE(LOWER(TRIM(I316)),"á","a"),"é","e"),"í","i"),"ó","o"),"ú","u"),"ü","u"),"ñ","n"),"à","a"),"è","e"),"ì","i"),"ò","o"),"ù","u"),"")</f>
        <v/>
      </c>
      <c r="S316" s="25">
        <f>IF(R316="","",IF(OR(R316="si",R316="tal vez"),1,0))</f>
        <v/>
      </c>
      <c r="T316" s="25">
        <f>IF(AND(L316=1,D316&lt;&gt;""),IF(IFERROR(COUNTIFS(D$3:D316,"="&amp;SUBSTITUTE(SUBSTITUTE(SUBSTITUTE(D316,"~","~~"),"*","~*"),"?","~?"),L$3:L316,1),0)=1,MAX(T$2:T315)+1,""),"")</f>
        <v/>
      </c>
      <c r="U316" s="25">
        <f>IF(T316="","",COUNTIFS($D$3:$D$1002,"="&amp;SUBSTITUTE(SUBSTITUTE(SUBSTITUTE(D316,"~","~~"),"*","~*"),"?","~?"),$L$3:$L$1002,1)*10000-T316)</f>
        <v/>
      </c>
      <c r="V316" s="25">
        <f>IF(AND(L316=1,J316&lt;&gt;""),IF(IFERROR(COUNTIFS(J$3:J316,"="&amp;SUBSTITUTE(SUBSTITUTE(SUBSTITUTE(J316,"~","~~"),"*","~*"),"?","~?"),L$3:L316,1),0)=1,MAX(V$2:V315)+1,""),"")</f>
        <v/>
      </c>
      <c r="W316" s="25">
        <f>IF(V316="","",COUNTIFS($J$3:$J$1002,"="&amp;SUBSTITUTE(SUBSTITUTE(SUBSTITUTE(J316,"~","~~"),"*","~*"),"?","~?"),$L$3:$L$1002,1)*10000-V316)</f>
        <v/>
      </c>
    </row>
    <row r="317">
      <c r="A317">
        <f>IF(A$2=0,"",IFERROR(TRIM(INDEX('Pegar estudiantes'!$A$1:$BZ$1001,316,A$2)&amp;""),""))</f>
        <v/>
      </c>
      <c r="B317">
        <f>IF(B$2=0,"",IFERROR(TRIM(INDEX('Pegar estudiantes'!$A$1:$BZ$1001,316,B$2)&amp;""),""))</f>
        <v/>
      </c>
      <c r="C317">
        <f>IF(C$2=0,"",IFERROR(TRIM(INDEX('Pegar estudiantes'!$A$1:$BZ$1001,316,C$2)&amp;""),""))</f>
        <v/>
      </c>
      <c r="D317">
        <f>IF(D$2=0,"",IFERROR(TRIM(INDEX('Pegar estudiantes'!$A$1:$BZ$1001,316,D$2)&amp;""),""))</f>
        <v/>
      </c>
      <c r="E317">
        <f>IF(E$2=0,"",IFERROR(TRIM(INDEX('Pegar estudiantes'!$A$1:$BZ$1001,316,E$2)&amp;""),""))</f>
        <v/>
      </c>
      <c r="F317">
        <f>IF(F$2=0,"",IFERROR(TRIM(INDEX('Pegar estudiantes'!$A$1:$BZ$1001,316,F$2)&amp;""),""))</f>
        <v/>
      </c>
      <c r="G317">
        <f>IF(G$2=0,"",IFERROR(TRIM(INDEX('Pegar estudiantes'!$A$1:$BZ$1001,316,G$2)&amp;""),""))</f>
        <v/>
      </c>
      <c r="H317">
        <f>IF(H$2=0,"",IFERROR(TRIM(INDEX('Pegar estudiantes'!$A$1:$BZ$1001,316,H$2)&amp;""),""))</f>
        <v/>
      </c>
      <c r="I317">
        <f>IF(I$2=0,"",IFERROR(TRIM(INDEX('Pegar estudiantes'!$A$1:$BZ$1001,316,I$2)&amp;""),""))</f>
        <v/>
      </c>
      <c r="J317">
        <f>IF(J$2=0,"",IFERROR(TRIM(INDEX('Pegar estudiantes'!$A$1:$BZ$1001,316,J$2)&amp;""),""))</f>
        <v/>
      </c>
      <c r="K317">
        <f>IF(K$2=0,"",IFERROR(TRIM(INDEX('Pegar estudiantes'!$A$1:$BZ$1001,316,K$2)&amp;""),""))</f>
        <v/>
      </c>
      <c r="L317" s="25">
        <f>IF(A317&lt;&gt;"",1,"")</f>
        <v/>
      </c>
      <c r="M317" s="25">
        <f>IF(L317=1,IF(ISNUMBER(FIND("#"&amp;MID(A317,1,1)&amp;"#","#0#1#2#3#4#5#6#7#8#9#")),IF(ISNUMBER(FIND("#"&amp;MID(A317,2,1)&amp;"#","#0#1#2#3#4#5#6#7#8#9#")),IF(AND(VALUE(LEFT(A317,2))&gt;=1,VALUE(LEFT(A317,2))&lt;=5),VALUE(LEFT(A317,2)),""),IF(AND(VALUE(LEFT(A317,1))&gt;=1,VALUE(LEFT(A317,1))&lt;=5),VALUE(LEFT(A317,1)),"")),""),"")</f>
        <v/>
      </c>
      <c r="N317" s="25">
        <f>IF(L317=1,IF(ISNUMBER(FIND("#"&amp;MID(H317,1,1)&amp;"#","#0#1#2#3#4#5#6#7#8#9#")),IF(ISNUMBER(FIND("#"&amp;MID(H317,2,1)&amp;"#","#0#1#2#3#4#5#6#7#8#9#")),IF(AND(VALUE(LEFT(H317,2))&gt;=1,VALUE(LEFT(H317,2))&lt;=5),VALUE(LEFT(H317,2)),""),IF(AND(VALUE(LEFT(H317,1))&gt;=1,VALUE(LEFT(H317,1))&lt;=5),VALUE(LEFT(H317,1)),"")),""),"")</f>
        <v/>
      </c>
      <c r="O317" s="25">
        <f>IF(AND(L317=1,B317&lt;&gt;""),SUBSTITUTE(SUBSTITUTE(SUBSTITUTE(SUBSTITUTE(SUBSTITUTE(SUBSTITUTE(SUBSTITUTE(SUBSTITUTE(SUBSTITUTE(SUBSTITUTE(SUBSTITUTE(SUBSTITUTE(LOWER(TRIM(B317)),"á","a"),"é","e"),"í","i"),"ó","o"),"ú","u"),"ü","u"),"ñ","n"),"à","a"),"è","e"),"ì","i"),"ò","o"),"ù","u"),"")</f>
        <v/>
      </c>
      <c r="P317" s="25">
        <f>IF(AND(L317=1,C317&lt;&gt;""),SUBSTITUTE(SUBSTITUTE(SUBSTITUTE(SUBSTITUTE(SUBSTITUTE(SUBSTITUTE(SUBSTITUTE(SUBSTITUTE(SUBSTITUTE(SUBSTITUTE(SUBSTITUTE(SUBSTITUTE(LOWER(TRIM(C317)),"á","a"),"é","e"),"í","i"),"ó","o"),"ú","u"),"ü","u"),"ñ","n"),"à","a"),"è","e"),"ì","i"),"ò","o"),"ù","u"),"")</f>
        <v/>
      </c>
      <c r="Q317" s="25">
        <f>IF(AND(L317=1,E317&lt;&gt;""),SUBSTITUTE(SUBSTITUTE(SUBSTITUTE(SUBSTITUTE(SUBSTITUTE(SUBSTITUTE(SUBSTITUTE(SUBSTITUTE(SUBSTITUTE(SUBSTITUTE(SUBSTITUTE(SUBSTITUTE(LOWER(TRIM(E317)),"á","a"),"é","e"),"í","i"),"ó","o"),"ú","u"),"ü","u"),"ñ","n"),"à","a"),"è","e"),"ì","i"),"ò","o"),"ù","u"),"")</f>
        <v/>
      </c>
      <c r="R317" s="25">
        <f>IF(AND(L317=1,I317&lt;&gt;""),SUBSTITUTE(SUBSTITUTE(SUBSTITUTE(SUBSTITUTE(SUBSTITUTE(SUBSTITUTE(SUBSTITUTE(SUBSTITUTE(SUBSTITUTE(SUBSTITUTE(SUBSTITUTE(SUBSTITUTE(LOWER(TRIM(I317)),"á","a"),"é","e"),"í","i"),"ó","o"),"ú","u"),"ü","u"),"ñ","n"),"à","a"),"è","e"),"ì","i"),"ò","o"),"ù","u"),"")</f>
        <v/>
      </c>
      <c r="S317" s="25">
        <f>IF(R317="","",IF(OR(R317="si",R317="tal vez"),1,0))</f>
        <v/>
      </c>
      <c r="T317" s="25">
        <f>IF(AND(L317=1,D317&lt;&gt;""),IF(IFERROR(COUNTIFS(D$3:D317,"="&amp;SUBSTITUTE(SUBSTITUTE(SUBSTITUTE(D317,"~","~~"),"*","~*"),"?","~?"),L$3:L317,1),0)=1,MAX(T$2:T316)+1,""),"")</f>
        <v/>
      </c>
      <c r="U317" s="25">
        <f>IF(T317="","",COUNTIFS($D$3:$D$1002,"="&amp;SUBSTITUTE(SUBSTITUTE(SUBSTITUTE(D317,"~","~~"),"*","~*"),"?","~?"),$L$3:$L$1002,1)*10000-T317)</f>
        <v/>
      </c>
      <c r="V317" s="25">
        <f>IF(AND(L317=1,J317&lt;&gt;""),IF(IFERROR(COUNTIFS(J$3:J317,"="&amp;SUBSTITUTE(SUBSTITUTE(SUBSTITUTE(J317,"~","~~"),"*","~*"),"?","~?"),L$3:L317,1),0)=1,MAX(V$2:V316)+1,""),"")</f>
        <v/>
      </c>
      <c r="W317" s="25">
        <f>IF(V317="","",COUNTIFS($J$3:$J$1002,"="&amp;SUBSTITUTE(SUBSTITUTE(SUBSTITUTE(J317,"~","~~"),"*","~*"),"?","~?"),$L$3:$L$1002,1)*10000-V317)</f>
        <v/>
      </c>
    </row>
    <row r="318">
      <c r="A318">
        <f>IF(A$2=0,"",IFERROR(TRIM(INDEX('Pegar estudiantes'!$A$1:$BZ$1001,317,A$2)&amp;""),""))</f>
        <v/>
      </c>
      <c r="B318">
        <f>IF(B$2=0,"",IFERROR(TRIM(INDEX('Pegar estudiantes'!$A$1:$BZ$1001,317,B$2)&amp;""),""))</f>
        <v/>
      </c>
      <c r="C318">
        <f>IF(C$2=0,"",IFERROR(TRIM(INDEX('Pegar estudiantes'!$A$1:$BZ$1001,317,C$2)&amp;""),""))</f>
        <v/>
      </c>
      <c r="D318">
        <f>IF(D$2=0,"",IFERROR(TRIM(INDEX('Pegar estudiantes'!$A$1:$BZ$1001,317,D$2)&amp;""),""))</f>
        <v/>
      </c>
      <c r="E318">
        <f>IF(E$2=0,"",IFERROR(TRIM(INDEX('Pegar estudiantes'!$A$1:$BZ$1001,317,E$2)&amp;""),""))</f>
        <v/>
      </c>
      <c r="F318">
        <f>IF(F$2=0,"",IFERROR(TRIM(INDEX('Pegar estudiantes'!$A$1:$BZ$1001,317,F$2)&amp;""),""))</f>
        <v/>
      </c>
      <c r="G318">
        <f>IF(G$2=0,"",IFERROR(TRIM(INDEX('Pegar estudiantes'!$A$1:$BZ$1001,317,G$2)&amp;""),""))</f>
        <v/>
      </c>
      <c r="H318">
        <f>IF(H$2=0,"",IFERROR(TRIM(INDEX('Pegar estudiantes'!$A$1:$BZ$1001,317,H$2)&amp;""),""))</f>
        <v/>
      </c>
      <c r="I318">
        <f>IF(I$2=0,"",IFERROR(TRIM(INDEX('Pegar estudiantes'!$A$1:$BZ$1001,317,I$2)&amp;""),""))</f>
        <v/>
      </c>
      <c r="J318">
        <f>IF(J$2=0,"",IFERROR(TRIM(INDEX('Pegar estudiantes'!$A$1:$BZ$1001,317,J$2)&amp;""),""))</f>
        <v/>
      </c>
      <c r="K318">
        <f>IF(K$2=0,"",IFERROR(TRIM(INDEX('Pegar estudiantes'!$A$1:$BZ$1001,317,K$2)&amp;""),""))</f>
        <v/>
      </c>
      <c r="L318" s="25">
        <f>IF(A318&lt;&gt;"",1,"")</f>
        <v/>
      </c>
      <c r="M318" s="25">
        <f>IF(L318=1,IF(ISNUMBER(FIND("#"&amp;MID(A318,1,1)&amp;"#","#0#1#2#3#4#5#6#7#8#9#")),IF(ISNUMBER(FIND("#"&amp;MID(A318,2,1)&amp;"#","#0#1#2#3#4#5#6#7#8#9#")),IF(AND(VALUE(LEFT(A318,2))&gt;=1,VALUE(LEFT(A318,2))&lt;=5),VALUE(LEFT(A318,2)),""),IF(AND(VALUE(LEFT(A318,1))&gt;=1,VALUE(LEFT(A318,1))&lt;=5),VALUE(LEFT(A318,1)),"")),""),"")</f>
        <v/>
      </c>
      <c r="N318" s="25">
        <f>IF(L318=1,IF(ISNUMBER(FIND("#"&amp;MID(H318,1,1)&amp;"#","#0#1#2#3#4#5#6#7#8#9#")),IF(ISNUMBER(FIND("#"&amp;MID(H318,2,1)&amp;"#","#0#1#2#3#4#5#6#7#8#9#")),IF(AND(VALUE(LEFT(H318,2))&gt;=1,VALUE(LEFT(H318,2))&lt;=5),VALUE(LEFT(H318,2)),""),IF(AND(VALUE(LEFT(H318,1))&gt;=1,VALUE(LEFT(H318,1))&lt;=5),VALUE(LEFT(H318,1)),"")),""),"")</f>
        <v/>
      </c>
      <c r="O318" s="25">
        <f>IF(AND(L318=1,B318&lt;&gt;""),SUBSTITUTE(SUBSTITUTE(SUBSTITUTE(SUBSTITUTE(SUBSTITUTE(SUBSTITUTE(SUBSTITUTE(SUBSTITUTE(SUBSTITUTE(SUBSTITUTE(SUBSTITUTE(SUBSTITUTE(LOWER(TRIM(B318)),"á","a"),"é","e"),"í","i"),"ó","o"),"ú","u"),"ü","u"),"ñ","n"),"à","a"),"è","e"),"ì","i"),"ò","o"),"ù","u"),"")</f>
        <v/>
      </c>
      <c r="P318" s="25">
        <f>IF(AND(L318=1,C318&lt;&gt;""),SUBSTITUTE(SUBSTITUTE(SUBSTITUTE(SUBSTITUTE(SUBSTITUTE(SUBSTITUTE(SUBSTITUTE(SUBSTITUTE(SUBSTITUTE(SUBSTITUTE(SUBSTITUTE(SUBSTITUTE(LOWER(TRIM(C318)),"á","a"),"é","e"),"í","i"),"ó","o"),"ú","u"),"ü","u"),"ñ","n"),"à","a"),"è","e"),"ì","i"),"ò","o"),"ù","u"),"")</f>
        <v/>
      </c>
      <c r="Q318" s="25">
        <f>IF(AND(L318=1,E318&lt;&gt;""),SUBSTITUTE(SUBSTITUTE(SUBSTITUTE(SUBSTITUTE(SUBSTITUTE(SUBSTITUTE(SUBSTITUTE(SUBSTITUTE(SUBSTITUTE(SUBSTITUTE(SUBSTITUTE(SUBSTITUTE(LOWER(TRIM(E318)),"á","a"),"é","e"),"í","i"),"ó","o"),"ú","u"),"ü","u"),"ñ","n"),"à","a"),"è","e"),"ì","i"),"ò","o"),"ù","u"),"")</f>
        <v/>
      </c>
      <c r="R318" s="25">
        <f>IF(AND(L318=1,I318&lt;&gt;""),SUBSTITUTE(SUBSTITUTE(SUBSTITUTE(SUBSTITUTE(SUBSTITUTE(SUBSTITUTE(SUBSTITUTE(SUBSTITUTE(SUBSTITUTE(SUBSTITUTE(SUBSTITUTE(SUBSTITUTE(LOWER(TRIM(I318)),"á","a"),"é","e"),"í","i"),"ó","o"),"ú","u"),"ü","u"),"ñ","n"),"à","a"),"è","e"),"ì","i"),"ò","o"),"ù","u"),"")</f>
        <v/>
      </c>
      <c r="S318" s="25">
        <f>IF(R318="","",IF(OR(R318="si",R318="tal vez"),1,0))</f>
        <v/>
      </c>
      <c r="T318" s="25">
        <f>IF(AND(L318=1,D318&lt;&gt;""),IF(IFERROR(COUNTIFS(D$3:D318,"="&amp;SUBSTITUTE(SUBSTITUTE(SUBSTITUTE(D318,"~","~~"),"*","~*"),"?","~?"),L$3:L318,1),0)=1,MAX(T$2:T317)+1,""),"")</f>
        <v/>
      </c>
      <c r="U318" s="25">
        <f>IF(T318="","",COUNTIFS($D$3:$D$1002,"="&amp;SUBSTITUTE(SUBSTITUTE(SUBSTITUTE(D318,"~","~~"),"*","~*"),"?","~?"),$L$3:$L$1002,1)*10000-T318)</f>
        <v/>
      </c>
      <c r="V318" s="25">
        <f>IF(AND(L318=1,J318&lt;&gt;""),IF(IFERROR(COUNTIFS(J$3:J318,"="&amp;SUBSTITUTE(SUBSTITUTE(SUBSTITUTE(J318,"~","~~"),"*","~*"),"?","~?"),L$3:L318,1),0)=1,MAX(V$2:V317)+1,""),"")</f>
        <v/>
      </c>
      <c r="W318" s="25">
        <f>IF(V318="","",COUNTIFS($J$3:$J$1002,"="&amp;SUBSTITUTE(SUBSTITUTE(SUBSTITUTE(J318,"~","~~"),"*","~*"),"?","~?"),$L$3:$L$1002,1)*10000-V318)</f>
        <v/>
      </c>
    </row>
    <row r="319">
      <c r="A319">
        <f>IF(A$2=0,"",IFERROR(TRIM(INDEX('Pegar estudiantes'!$A$1:$BZ$1001,318,A$2)&amp;""),""))</f>
        <v/>
      </c>
      <c r="B319">
        <f>IF(B$2=0,"",IFERROR(TRIM(INDEX('Pegar estudiantes'!$A$1:$BZ$1001,318,B$2)&amp;""),""))</f>
        <v/>
      </c>
      <c r="C319">
        <f>IF(C$2=0,"",IFERROR(TRIM(INDEX('Pegar estudiantes'!$A$1:$BZ$1001,318,C$2)&amp;""),""))</f>
        <v/>
      </c>
      <c r="D319">
        <f>IF(D$2=0,"",IFERROR(TRIM(INDEX('Pegar estudiantes'!$A$1:$BZ$1001,318,D$2)&amp;""),""))</f>
        <v/>
      </c>
      <c r="E319">
        <f>IF(E$2=0,"",IFERROR(TRIM(INDEX('Pegar estudiantes'!$A$1:$BZ$1001,318,E$2)&amp;""),""))</f>
        <v/>
      </c>
      <c r="F319">
        <f>IF(F$2=0,"",IFERROR(TRIM(INDEX('Pegar estudiantes'!$A$1:$BZ$1001,318,F$2)&amp;""),""))</f>
        <v/>
      </c>
      <c r="G319">
        <f>IF(G$2=0,"",IFERROR(TRIM(INDEX('Pegar estudiantes'!$A$1:$BZ$1001,318,G$2)&amp;""),""))</f>
        <v/>
      </c>
      <c r="H319">
        <f>IF(H$2=0,"",IFERROR(TRIM(INDEX('Pegar estudiantes'!$A$1:$BZ$1001,318,H$2)&amp;""),""))</f>
        <v/>
      </c>
      <c r="I319">
        <f>IF(I$2=0,"",IFERROR(TRIM(INDEX('Pegar estudiantes'!$A$1:$BZ$1001,318,I$2)&amp;""),""))</f>
        <v/>
      </c>
      <c r="J319">
        <f>IF(J$2=0,"",IFERROR(TRIM(INDEX('Pegar estudiantes'!$A$1:$BZ$1001,318,J$2)&amp;""),""))</f>
        <v/>
      </c>
      <c r="K319">
        <f>IF(K$2=0,"",IFERROR(TRIM(INDEX('Pegar estudiantes'!$A$1:$BZ$1001,318,K$2)&amp;""),""))</f>
        <v/>
      </c>
      <c r="L319" s="25">
        <f>IF(A319&lt;&gt;"",1,"")</f>
        <v/>
      </c>
      <c r="M319" s="25">
        <f>IF(L319=1,IF(ISNUMBER(FIND("#"&amp;MID(A319,1,1)&amp;"#","#0#1#2#3#4#5#6#7#8#9#")),IF(ISNUMBER(FIND("#"&amp;MID(A319,2,1)&amp;"#","#0#1#2#3#4#5#6#7#8#9#")),IF(AND(VALUE(LEFT(A319,2))&gt;=1,VALUE(LEFT(A319,2))&lt;=5),VALUE(LEFT(A319,2)),""),IF(AND(VALUE(LEFT(A319,1))&gt;=1,VALUE(LEFT(A319,1))&lt;=5),VALUE(LEFT(A319,1)),"")),""),"")</f>
        <v/>
      </c>
      <c r="N319" s="25">
        <f>IF(L319=1,IF(ISNUMBER(FIND("#"&amp;MID(H319,1,1)&amp;"#","#0#1#2#3#4#5#6#7#8#9#")),IF(ISNUMBER(FIND("#"&amp;MID(H319,2,1)&amp;"#","#0#1#2#3#4#5#6#7#8#9#")),IF(AND(VALUE(LEFT(H319,2))&gt;=1,VALUE(LEFT(H319,2))&lt;=5),VALUE(LEFT(H319,2)),""),IF(AND(VALUE(LEFT(H319,1))&gt;=1,VALUE(LEFT(H319,1))&lt;=5),VALUE(LEFT(H319,1)),"")),""),"")</f>
        <v/>
      </c>
      <c r="O319" s="25">
        <f>IF(AND(L319=1,B319&lt;&gt;""),SUBSTITUTE(SUBSTITUTE(SUBSTITUTE(SUBSTITUTE(SUBSTITUTE(SUBSTITUTE(SUBSTITUTE(SUBSTITUTE(SUBSTITUTE(SUBSTITUTE(SUBSTITUTE(SUBSTITUTE(LOWER(TRIM(B319)),"á","a"),"é","e"),"í","i"),"ó","o"),"ú","u"),"ü","u"),"ñ","n"),"à","a"),"è","e"),"ì","i"),"ò","o"),"ù","u"),"")</f>
        <v/>
      </c>
      <c r="P319" s="25">
        <f>IF(AND(L319=1,C319&lt;&gt;""),SUBSTITUTE(SUBSTITUTE(SUBSTITUTE(SUBSTITUTE(SUBSTITUTE(SUBSTITUTE(SUBSTITUTE(SUBSTITUTE(SUBSTITUTE(SUBSTITUTE(SUBSTITUTE(SUBSTITUTE(LOWER(TRIM(C319)),"á","a"),"é","e"),"í","i"),"ó","o"),"ú","u"),"ü","u"),"ñ","n"),"à","a"),"è","e"),"ì","i"),"ò","o"),"ù","u"),"")</f>
        <v/>
      </c>
      <c r="Q319" s="25">
        <f>IF(AND(L319=1,E319&lt;&gt;""),SUBSTITUTE(SUBSTITUTE(SUBSTITUTE(SUBSTITUTE(SUBSTITUTE(SUBSTITUTE(SUBSTITUTE(SUBSTITUTE(SUBSTITUTE(SUBSTITUTE(SUBSTITUTE(SUBSTITUTE(LOWER(TRIM(E319)),"á","a"),"é","e"),"í","i"),"ó","o"),"ú","u"),"ü","u"),"ñ","n"),"à","a"),"è","e"),"ì","i"),"ò","o"),"ù","u"),"")</f>
        <v/>
      </c>
      <c r="R319" s="25">
        <f>IF(AND(L319=1,I319&lt;&gt;""),SUBSTITUTE(SUBSTITUTE(SUBSTITUTE(SUBSTITUTE(SUBSTITUTE(SUBSTITUTE(SUBSTITUTE(SUBSTITUTE(SUBSTITUTE(SUBSTITUTE(SUBSTITUTE(SUBSTITUTE(LOWER(TRIM(I319)),"á","a"),"é","e"),"í","i"),"ó","o"),"ú","u"),"ü","u"),"ñ","n"),"à","a"),"è","e"),"ì","i"),"ò","o"),"ù","u"),"")</f>
        <v/>
      </c>
      <c r="S319" s="25">
        <f>IF(R319="","",IF(OR(R319="si",R319="tal vez"),1,0))</f>
        <v/>
      </c>
      <c r="T319" s="25">
        <f>IF(AND(L319=1,D319&lt;&gt;""),IF(IFERROR(COUNTIFS(D$3:D319,"="&amp;SUBSTITUTE(SUBSTITUTE(SUBSTITUTE(D319,"~","~~"),"*","~*"),"?","~?"),L$3:L319,1),0)=1,MAX(T$2:T318)+1,""),"")</f>
        <v/>
      </c>
      <c r="U319" s="25">
        <f>IF(T319="","",COUNTIFS($D$3:$D$1002,"="&amp;SUBSTITUTE(SUBSTITUTE(SUBSTITUTE(D319,"~","~~"),"*","~*"),"?","~?"),$L$3:$L$1002,1)*10000-T319)</f>
        <v/>
      </c>
      <c r="V319" s="25">
        <f>IF(AND(L319=1,J319&lt;&gt;""),IF(IFERROR(COUNTIFS(J$3:J319,"="&amp;SUBSTITUTE(SUBSTITUTE(SUBSTITUTE(J319,"~","~~"),"*","~*"),"?","~?"),L$3:L319,1),0)=1,MAX(V$2:V318)+1,""),"")</f>
        <v/>
      </c>
      <c r="W319" s="25">
        <f>IF(V319="","",COUNTIFS($J$3:$J$1002,"="&amp;SUBSTITUTE(SUBSTITUTE(SUBSTITUTE(J319,"~","~~"),"*","~*"),"?","~?"),$L$3:$L$1002,1)*10000-V319)</f>
        <v/>
      </c>
    </row>
    <row r="320">
      <c r="A320">
        <f>IF(A$2=0,"",IFERROR(TRIM(INDEX('Pegar estudiantes'!$A$1:$BZ$1001,319,A$2)&amp;""),""))</f>
        <v/>
      </c>
      <c r="B320">
        <f>IF(B$2=0,"",IFERROR(TRIM(INDEX('Pegar estudiantes'!$A$1:$BZ$1001,319,B$2)&amp;""),""))</f>
        <v/>
      </c>
      <c r="C320">
        <f>IF(C$2=0,"",IFERROR(TRIM(INDEX('Pegar estudiantes'!$A$1:$BZ$1001,319,C$2)&amp;""),""))</f>
        <v/>
      </c>
      <c r="D320">
        <f>IF(D$2=0,"",IFERROR(TRIM(INDEX('Pegar estudiantes'!$A$1:$BZ$1001,319,D$2)&amp;""),""))</f>
        <v/>
      </c>
      <c r="E320">
        <f>IF(E$2=0,"",IFERROR(TRIM(INDEX('Pegar estudiantes'!$A$1:$BZ$1001,319,E$2)&amp;""),""))</f>
        <v/>
      </c>
      <c r="F320">
        <f>IF(F$2=0,"",IFERROR(TRIM(INDEX('Pegar estudiantes'!$A$1:$BZ$1001,319,F$2)&amp;""),""))</f>
        <v/>
      </c>
      <c r="G320">
        <f>IF(G$2=0,"",IFERROR(TRIM(INDEX('Pegar estudiantes'!$A$1:$BZ$1001,319,G$2)&amp;""),""))</f>
        <v/>
      </c>
      <c r="H320">
        <f>IF(H$2=0,"",IFERROR(TRIM(INDEX('Pegar estudiantes'!$A$1:$BZ$1001,319,H$2)&amp;""),""))</f>
        <v/>
      </c>
      <c r="I320">
        <f>IF(I$2=0,"",IFERROR(TRIM(INDEX('Pegar estudiantes'!$A$1:$BZ$1001,319,I$2)&amp;""),""))</f>
        <v/>
      </c>
      <c r="J320">
        <f>IF(J$2=0,"",IFERROR(TRIM(INDEX('Pegar estudiantes'!$A$1:$BZ$1001,319,J$2)&amp;""),""))</f>
        <v/>
      </c>
      <c r="K320">
        <f>IF(K$2=0,"",IFERROR(TRIM(INDEX('Pegar estudiantes'!$A$1:$BZ$1001,319,K$2)&amp;""),""))</f>
        <v/>
      </c>
      <c r="L320" s="25">
        <f>IF(A320&lt;&gt;"",1,"")</f>
        <v/>
      </c>
      <c r="M320" s="25">
        <f>IF(L320=1,IF(ISNUMBER(FIND("#"&amp;MID(A320,1,1)&amp;"#","#0#1#2#3#4#5#6#7#8#9#")),IF(ISNUMBER(FIND("#"&amp;MID(A320,2,1)&amp;"#","#0#1#2#3#4#5#6#7#8#9#")),IF(AND(VALUE(LEFT(A320,2))&gt;=1,VALUE(LEFT(A320,2))&lt;=5),VALUE(LEFT(A320,2)),""),IF(AND(VALUE(LEFT(A320,1))&gt;=1,VALUE(LEFT(A320,1))&lt;=5),VALUE(LEFT(A320,1)),"")),""),"")</f>
        <v/>
      </c>
      <c r="N320" s="25">
        <f>IF(L320=1,IF(ISNUMBER(FIND("#"&amp;MID(H320,1,1)&amp;"#","#0#1#2#3#4#5#6#7#8#9#")),IF(ISNUMBER(FIND("#"&amp;MID(H320,2,1)&amp;"#","#0#1#2#3#4#5#6#7#8#9#")),IF(AND(VALUE(LEFT(H320,2))&gt;=1,VALUE(LEFT(H320,2))&lt;=5),VALUE(LEFT(H320,2)),""),IF(AND(VALUE(LEFT(H320,1))&gt;=1,VALUE(LEFT(H320,1))&lt;=5),VALUE(LEFT(H320,1)),"")),""),"")</f>
        <v/>
      </c>
      <c r="O320" s="25">
        <f>IF(AND(L320=1,B320&lt;&gt;""),SUBSTITUTE(SUBSTITUTE(SUBSTITUTE(SUBSTITUTE(SUBSTITUTE(SUBSTITUTE(SUBSTITUTE(SUBSTITUTE(SUBSTITUTE(SUBSTITUTE(SUBSTITUTE(SUBSTITUTE(LOWER(TRIM(B320)),"á","a"),"é","e"),"í","i"),"ó","o"),"ú","u"),"ü","u"),"ñ","n"),"à","a"),"è","e"),"ì","i"),"ò","o"),"ù","u"),"")</f>
        <v/>
      </c>
      <c r="P320" s="25">
        <f>IF(AND(L320=1,C320&lt;&gt;""),SUBSTITUTE(SUBSTITUTE(SUBSTITUTE(SUBSTITUTE(SUBSTITUTE(SUBSTITUTE(SUBSTITUTE(SUBSTITUTE(SUBSTITUTE(SUBSTITUTE(SUBSTITUTE(SUBSTITUTE(LOWER(TRIM(C320)),"á","a"),"é","e"),"í","i"),"ó","o"),"ú","u"),"ü","u"),"ñ","n"),"à","a"),"è","e"),"ì","i"),"ò","o"),"ù","u"),"")</f>
        <v/>
      </c>
      <c r="Q320" s="25">
        <f>IF(AND(L320=1,E320&lt;&gt;""),SUBSTITUTE(SUBSTITUTE(SUBSTITUTE(SUBSTITUTE(SUBSTITUTE(SUBSTITUTE(SUBSTITUTE(SUBSTITUTE(SUBSTITUTE(SUBSTITUTE(SUBSTITUTE(SUBSTITUTE(LOWER(TRIM(E320)),"á","a"),"é","e"),"í","i"),"ó","o"),"ú","u"),"ü","u"),"ñ","n"),"à","a"),"è","e"),"ì","i"),"ò","o"),"ù","u"),"")</f>
        <v/>
      </c>
      <c r="R320" s="25">
        <f>IF(AND(L320=1,I320&lt;&gt;""),SUBSTITUTE(SUBSTITUTE(SUBSTITUTE(SUBSTITUTE(SUBSTITUTE(SUBSTITUTE(SUBSTITUTE(SUBSTITUTE(SUBSTITUTE(SUBSTITUTE(SUBSTITUTE(SUBSTITUTE(LOWER(TRIM(I320)),"á","a"),"é","e"),"í","i"),"ó","o"),"ú","u"),"ü","u"),"ñ","n"),"à","a"),"è","e"),"ì","i"),"ò","o"),"ù","u"),"")</f>
        <v/>
      </c>
      <c r="S320" s="25">
        <f>IF(R320="","",IF(OR(R320="si",R320="tal vez"),1,0))</f>
        <v/>
      </c>
      <c r="T320" s="25">
        <f>IF(AND(L320=1,D320&lt;&gt;""),IF(IFERROR(COUNTIFS(D$3:D320,"="&amp;SUBSTITUTE(SUBSTITUTE(SUBSTITUTE(D320,"~","~~"),"*","~*"),"?","~?"),L$3:L320,1),0)=1,MAX(T$2:T319)+1,""),"")</f>
        <v/>
      </c>
      <c r="U320" s="25">
        <f>IF(T320="","",COUNTIFS($D$3:$D$1002,"="&amp;SUBSTITUTE(SUBSTITUTE(SUBSTITUTE(D320,"~","~~"),"*","~*"),"?","~?"),$L$3:$L$1002,1)*10000-T320)</f>
        <v/>
      </c>
      <c r="V320" s="25">
        <f>IF(AND(L320=1,J320&lt;&gt;""),IF(IFERROR(COUNTIFS(J$3:J320,"="&amp;SUBSTITUTE(SUBSTITUTE(SUBSTITUTE(J320,"~","~~"),"*","~*"),"?","~?"),L$3:L320,1),0)=1,MAX(V$2:V319)+1,""),"")</f>
        <v/>
      </c>
      <c r="W320" s="25">
        <f>IF(V320="","",COUNTIFS($J$3:$J$1002,"="&amp;SUBSTITUTE(SUBSTITUTE(SUBSTITUTE(J320,"~","~~"),"*","~*"),"?","~?"),$L$3:$L$1002,1)*10000-V320)</f>
        <v/>
      </c>
    </row>
    <row r="321">
      <c r="A321">
        <f>IF(A$2=0,"",IFERROR(TRIM(INDEX('Pegar estudiantes'!$A$1:$BZ$1001,320,A$2)&amp;""),""))</f>
        <v/>
      </c>
      <c r="B321">
        <f>IF(B$2=0,"",IFERROR(TRIM(INDEX('Pegar estudiantes'!$A$1:$BZ$1001,320,B$2)&amp;""),""))</f>
        <v/>
      </c>
      <c r="C321">
        <f>IF(C$2=0,"",IFERROR(TRIM(INDEX('Pegar estudiantes'!$A$1:$BZ$1001,320,C$2)&amp;""),""))</f>
        <v/>
      </c>
      <c r="D321">
        <f>IF(D$2=0,"",IFERROR(TRIM(INDEX('Pegar estudiantes'!$A$1:$BZ$1001,320,D$2)&amp;""),""))</f>
        <v/>
      </c>
      <c r="E321">
        <f>IF(E$2=0,"",IFERROR(TRIM(INDEX('Pegar estudiantes'!$A$1:$BZ$1001,320,E$2)&amp;""),""))</f>
        <v/>
      </c>
      <c r="F321">
        <f>IF(F$2=0,"",IFERROR(TRIM(INDEX('Pegar estudiantes'!$A$1:$BZ$1001,320,F$2)&amp;""),""))</f>
        <v/>
      </c>
      <c r="G321">
        <f>IF(G$2=0,"",IFERROR(TRIM(INDEX('Pegar estudiantes'!$A$1:$BZ$1001,320,G$2)&amp;""),""))</f>
        <v/>
      </c>
      <c r="H321">
        <f>IF(H$2=0,"",IFERROR(TRIM(INDEX('Pegar estudiantes'!$A$1:$BZ$1001,320,H$2)&amp;""),""))</f>
        <v/>
      </c>
      <c r="I321">
        <f>IF(I$2=0,"",IFERROR(TRIM(INDEX('Pegar estudiantes'!$A$1:$BZ$1001,320,I$2)&amp;""),""))</f>
        <v/>
      </c>
      <c r="J321">
        <f>IF(J$2=0,"",IFERROR(TRIM(INDEX('Pegar estudiantes'!$A$1:$BZ$1001,320,J$2)&amp;""),""))</f>
        <v/>
      </c>
      <c r="K321">
        <f>IF(K$2=0,"",IFERROR(TRIM(INDEX('Pegar estudiantes'!$A$1:$BZ$1001,320,K$2)&amp;""),""))</f>
        <v/>
      </c>
      <c r="L321" s="25">
        <f>IF(A321&lt;&gt;"",1,"")</f>
        <v/>
      </c>
      <c r="M321" s="25">
        <f>IF(L321=1,IF(ISNUMBER(FIND("#"&amp;MID(A321,1,1)&amp;"#","#0#1#2#3#4#5#6#7#8#9#")),IF(ISNUMBER(FIND("#"&amp;MID(A321,2,1)&amp;"#","#0#1#2#3#4#5#6#7#8#9#")),IF(AND(VALUE(LEFT(A321,2))&gt;=1,VALUE(LEFT(A321,2))&lt;=5),VALUE(LEFT(A321,2)),""),IF(AND(VALUE(LEFT(A321,1))&gt;=1,VALUE(LEFT(A321,1))&lt;=5),VALUE(LEFT(A321,1)),"")),""),"")</f>
        <v/>
      </c>
      <c r="N321" s="25">
        <f>IF(L321=1,IF(ISNUMBER(FIND("#"&amp;MID(H321,1,1)&amp;"#","#0#1#2#3#4#5#6#7#8#9#")),IF(ISNUMBER(FIND("#"&amp;MID(H321,2,1)&amp;"#","#0#1#2#3#4#5#6#7#8#9#")),IF(AND(VALUE(LEFT(H321,2))&gt;=1,VALUE(LEFT(H321,2))&lt;=5),VALUE(LEFT(H321,2)),""),IF(AND(VALUE(LEFT(H321,1))&gt;=1,VALUE(LEFT(H321,1))&lt;=5),VALUE(LEFT(H321,1)),"")),""),"")</f>
        <v/>
      </c>
      <c r="O321" s="25">
        <f>IF(AND(L321=1,B321&lt;&gt;""),SUBSTITUTE(SUBSTITUTE(SUBSTITUTE(SUBSTITUTE(SUBSTITUTE(SUBSTITUTE(SUBSTITUTE(SUBSTITUTE(SUBSTITUTE(SUBSTITUTE(SUBSTITUTE(SUBSTITUTE(LOWER(TRIM(B321)),"á","a"),"é","e"),"í","i"),"ó","o"),"ú","u"),"ü","u"),"ñ","n"),"à","a"),"è","e"),"ì","i"),"ò","o"),"ù","u"),"")</f>
        <v/>
      </c>
      <c r="P321" s="25">
        <f>IF(AND(L321=1,C321&lt;&gt;""),SUBSTITUTE(SUBSTITUTE(SUBSTITUTE(SUBSTITUTE(SUBSTITUTE(SUBSTITUTE(SUBSTITUTE(SUBSTITUTE(SUBSTITUTE(SUBSTITUTE(SUBSTITUTE(SUBSTITUTE(LOWER(TRIM(C321)),"á","a"),"é","e"),"í","i"),"ó","o"),"ú","u"),"ü","u"),"ñ","n"),"à","a"),"è","e"),"ì","i"),"ò","o"),"ù","u"),"")</f>
        <v/>
      </c>
      <c r="Q321" s="25">
        <f>IF(AND(L321=1,E321&lt;&gt;""),SUBSTITUTE(SUBSTITUTE(SUBSTITUTE(SUBSTITUTE(SUBSTITUTE(SUBSTITUTE(SUBSTITUTE(SUBSTITUTE(SUBSTITUTE(SUBSTITUTE(SUBSTITUTE(SUBSTITUTE(LOWER(TRIM(E321)),"á","a"),"é","e"),"í","i"),"ó","o"),"ú","u"),"ü","u"),"ñ","n"),"à","a"),"è","e"),"ì","i"),"ò","o"),"ù","u"),"")</f>
        <v/>
      </c>
      <c r="R321" s="25">
        <f>IF(AND(L321=1,I321&lt;&gt;""),SUBSTITUTE(SUBSTITUTE(SUBSTITUTE(SUBSTITUTE(SUBSTITUTE(SUBSTITUTE(SUBSTITUTE(SUBSTITUTE(SUBSTITUTE(SUBSTITUTE(SUBSTITUTE(SUBSTITUTE(LOWER(TRIM(I321)),"á","a"),"é","e"),"í","i"),"ó","o"),"ú","u"),"ü","u"),"ñ","n"),"à","a"),"è","e"),"ì","i"),"ò","o"),"ù","u"),"")</f>
        <v/>
      </c>
      <c r="S321" s="25">
        <f>IF(R321="","",IF(OR(R321="si",R321="tal vez"),1,0))</f>
        <v/>
      </c>
      <c r="T321" s="25">
        <f>IF(AND(L321=1,D321&lt;&gt;""),IF(IFERROR(COUNTIFS(D$3:D321,"="&amp;SUBSTITUTE(SUBSTITUTE(SUBSTITUTE(D321,"~","~~"),"*","~*"),"?","~?"),L$3:L321,1),0)=1,MAX(T$2:T320)+1,""),"")</f>
        <v/>
      </c>
      <c r="U321" s="25">
        <f>IF(T321="","",COUNTIFS($D$3:$D$1002,"="&amp;SUBSTITUTE(SUBSTITUTE(SUBSTITUTE(D321,"~","~~"),"*","~*"),"?","~?"),$L$3:$L$1002,1)*10000-T321)</f>
        <v/>
      </c>
      <c r="V321" s="25">
        <f>IF(AND(L321=1,J321&lt;&gt;""),IF(IFERROR(COUNTIFS(J$3:J321,"="&amp;SUBSTITUTE(SUBSTITUTE(SUBSTITUTE(J321,"~","~~"),"*","~*"),"?","~?"),L$3:L321,1),0)=1,MAX(V$2:V320)+1,""),"")</f>
        <v/>
      </c>
      <c r="W321" s="25">
        <f>IF(V321="","",COUNTIFS($J$3:$J$1002,"="&amp;SUBSTITUTE(SUBSTITUTE(SUBSTITUTE(J321,"~","~~"),"*","~*"),"?","~?"),$L$3:$L$1002,1)*10000-V321)</f>
        <v/>
      </c>
    </row>
    <row r="322">
      <c r="A322">
        <f>IF(A$2=0,"",IFERROR(TRIM(INDEX('Pegar estudiantes'!$A$1:$BZ$1001,321,A$2)&amp;""),""))</f>
        <v/>
      </c>
      <c r="B322">
        <f>IF(B$2=0,"",IFERROR(TRIM(INDEX('Pegar estudiantes'!$A$1:$BZ$1001,321,B$2)&amp;""),""))</f>
        <v/>
      </c>
      <c r="C322">
        <f>IF(C$2=0,"",IFERROR(TRIM(INDEX('Pegar estudiantes'!$A$1:$BZ$1001,321,C$2)&amp;""),""))</f>
        <v/>
      </c>
      <c r="D322">
        <f>IF(D$2=0,"",IFERROR(TRIM(INDEX('Pegar estudiantes'!$A$1:$BZ$1001,321,D$2)&amp;""),""))</f>
        <v/>
      </c>
      <c r="E322">
        <f>IF(E$2=0,"",IFERROR(TRIM(INDEX('Pegar estudiantes'!$A$1:$BZ$1001,321,E$2)&amp;""),""))</f>
        <v/>
      </c>
      <c r="F322">
        <f>IF(F$2=0,"",IFERROR(TRIM(INDEX('Pegar estudiantes'!$A$1:$BZ$1001,321,F$2)&amp;""),""))</f>
        <v/>
      </c>
      <c r="G322">
        <f>IF(G$2=0,"",IFERROR(TRIM(INDEX('Pegar estudiantes'!$A$1:$BZ$1001,321,G$2)&amp;""),""))</f>
        <v/>
      </c>
      <c r="H322">
        <f>IF(H$2=0,"",IFERROR(TRIM(INDEX('Pegar estudiantes'!$A$1:$BZ$1001,321,H$2)&amp;""),""))</f>
        <v/>
      </c>
      <c r="I322">
        <f>IF(I$2=0,"",IFERROR(TRIM(INDEX('Pegar estudiantes'!$A$1:$BZ$1001,321,I$2)&amp;""),""))</f>
        <v/>
      </c>
      <c r="J322">
        <f>IF(J$2=0,"",IFERROR(TRIM(INDEX('Pegar estudiantes'!$A$1:$BZ$1001,321,J$2)&amp;""),""))</f>
        <v/>
      </c>
      <c r="K322">
        <f>IF(K$2=0,"",IFERROR(TRIM(INDEX('Pegar estudiantes'!$A$1:$BZ$1001,321,K$2)&amp;""),""))</f>
        <v/>
      </c>
      <c r="L322" s="25">
        <f>IF(A322&lt;&gt;"",1,"")</f>
        <v/>
      </c>
      <c r="M322" s="25">
        <f>IF(L322=1,IF(ISNUMBER(FIND("#"&amp;MID(A322,1,1)&amp;"#","#0#1#2#3#4#5#6#7#8#9#")),IF(ISNUMBER(FIND("#"&amp;MID(A322,2,1)&amp;"#","#0#1#2#3#4#5#6#7#8#9#")),IF(AND(VALUE(LEFT(A322,2))&gt;=1,VALUE(LEFT(A322,2))&lt;=5),VALUE(LEFT(A322,2)),""),IF(AND(VALUE(LEFT(A322,1))&gt;=1,VALUE(LEFT(A322,1))&lt;=5),VALUE(LEFT(A322,1)),"")),""),"")</f>
        <v/>
      </c>
      <c r="N322" s="25">
        <f>IF(L322=1,IF(ISNUMBER(FIND("#"&amp;MID(H322,1,1)&amp;"#","#0#1#2#3#4#5#6#7#8#9#")),IF(ISNUMBER(FIND("#"&amp;MID(H322,2,1)&amp;"#","#0#1#2#3#4#5#6#7#8#9#")),IF(AND(VALUE(LEFT(H322,2))&gt;=1,VALUE(LEFT(H322,2))&lt;=5),VALUE(LEFT(H322,2)),""),IF(AND(VALUE(LEFT(H322,1))&gt;=1,VALUE(LEFT(H322,1))&lt;=5),VALUE(LEFT(H322,1)),"")),""),"")</f>
        <v/>
      </c>
      <c r="O322" s="25">
        <f>IF(AND(L322=1,B322&lt;&gt;""),SUBSTITUTE(SUBSTITUTE(SUBSTITUTE(SUBSTITUTE(SUBSTITUTE(SUBSTITUTE(SUBSTITUTE(SUBSTITUTE(SUBSTITUTE(SUBSTITUTE(SUBSTITUTE(SUBSTITUTE(LOWER(TRIM(B322)),"á","a"),"é","e"),"í","i"),"ó","o"),"ú","u"),"ü","u"),"ñ","n"),"à","a"),"è","e"),"ì","i"),"ò","o"),"ù","u"),"")</f>
        <v/>
      </c>
      <c r="P322" s="25">
        <f>IF(AND(L322=1,C322&lt;&gt;""),SUBSTITUTE(SUBSTITUTE(SUBSTITUTE(SUBSTITUTE(SUBSTITUTE(SUBSTITUTE(SUBSTITUTE(SUBSTITUTE(SUBSTITUTE(SUBSTITUTE(SUBSTITUTE(SUBSTITUTE(LOWER(TRIM(C322)),"á","a"),"é","e"),"í","i"),"ó","o"),"ú","u"),"ü","u"),"ñ","n"),"à","a"),"è","e"),"ì","i"),"ò","o"),"ù","u"),"")</f>
        <v/>
      </c>
      <c r="Q322" s="25">
        <f>IF(AND(L322=1,E322&lt;&gt;""),SUBSTITUTE(SUBSTITUTE(SUBSTITUTE(SUBSTITUTE(SUBSTITUTE(SUBSTITUTE(SUBSTITUTE(SUBSTITUTE(SUBSTITUTE(SUBSTITUTE(SUBSTITUTE(SUBSTITUTE(LOWER(TRIM(E322)),"á","a"),"é","e"),"í","i"),"ó","o"),"ú","u"),"ü","u"),"ñ","n"),"à","a"),"è","e"),"ì","i"),"ò","o"),"ù","u"),"")</f>
        <v/>
      </c>
      <c r="R322" s="25">
        <f>IF(AND(L322=1,I322&lt;&gt;""),SUBSTITUTE(SUBSTITUTE(SUBSTITUTE(SUBSTITUTE(SUBSTITUTE(SUBSTITUTE(SUBSTITUTE(SUBSTITUTE(SUBSTITUTE(SUBSTITUTE(SUBSTITUTE(SUBSTITUTE(LOWER(TRIM(I322)),"á","a"),"é","e"),"í","i"),"ó","o"),"ú","u"),"ü","u"),"ñ","n"),"à","a"),"è","e"),"ì","i"),"ò","o"),"ù","u"),"")</f>
        <v/>
      </c>
      <c r="S322" s="25">
        <f>IF(R322="","",IF(OR(R322="si",R322="tal vez"),1,0))</f>
        <v/>
      </c>
      <c r="T322" s="25">
        <f>IF(AND(L322=1,D322&lt;&gt;""),IF(IFERROR(COUNTIFS(D$3:D322,"="&amp;SUBSTITUTE(SUBSTITUTE(SUBSTITUTE(D322,"~","~~"),"*","~*"),"?","~?"),L$3:L322,1),0)=1,MAX(T$2:T321)+1,""),"")</f>
        <v/>
      </c>
      <c r="U322" s="25">
        <f>IF(T322="","",COUNTIFS($D$3:$D$1002,"="&amp;SUBSTITUTE(SUBSTITUTE(SUBSTITUTE(D322,"~","~~"),"*","~*"),"?","~?"),$L$3:$L$1002,1)*10000-T322)</f>
        <v/>
      </c>
      <c r="V322" s="25">
        <f>IF(AND(L322=1,J322&lt;&gt;""),IF(IFERROR(COUNTIFS(J$3:J322,"="&amp;SUBSTITUTE(SUBSTITUTE(SUBSTITUTE(J322,"~","~~"),"*","~*"),"?","~?"),L$3:L322,1),0)=1,MAX(V$2:V321)+1,""),"")</f>
        <v/>
      </c>
      <c r="W322" s="25">
        <f>IF(V322="","",COUNTIFS($J$3:$J$1002,"="&amp;SUBSTITUTE(SUBSTITUTE(SUBSTITUTE(J322,"~","~~"),"*","~*"),"?","~?"),$L$3:$L$1002,1)*10000-V322)</f>
        <v/>
      </c>
    </row>
    <row r="323">
      <c r="A323">
        <f>IF(A$2=0,"",IFERROR(TRIM(INDEX('Pegar estudiantes'!$A$1:$BZ$1001,322,A$2)&amp;""),""))</f>
        <v/>
      </c>
      <c r="B323">
        <f>IF(B$2=0,"",IFERROR(TRIM(INDEX('Pegar estudiantes'!$A$1:$BZ$1001,322,B$2)&amp;""),""))</f>
        <v/>
      </c>
      <c r="C323">
        <f>IF(C$2=0,"",IFERROR(TRIM(INDEX('Pegar estudiantes'!$A$1:$BZ$1001,322,C$2)&amp;""),""))</f>
        <v/>
      </c>
      <c r="D323">
        <f>IF(D$2=0,"",IFERROR(TRIM(INDEX('Pegar estudiantes'!$A$1:$BZ$1001,322,D$2)&amp;""),""))</f>
        <v/>
      </c>
      <c r="E323">
        <f>IF(E$2=0,"",IFERROR(TRIM(INDEX('Pegar estudiantes'!$A$1:$BZ$1001,322,E$2)&amp;""),""))</f>
        <v/>
      </c>
      <c r="F323">
        <f>IF(F$2=0,"",IFERROR(TRIM(INDEX('Pegar estudiantes'!$A$1:$BZ$1001,322,F$2)&amp;""),""))</f>
        <v/>
      </c>
      <c r="G323">
        <f>IF(G$2=0,"",IFERROR(TRIM(INDEX('Pegar estudiantes'!$A$1:$BZ$1001,322,G$2)&amp;""),""))</f>
        <v/>
      </c>
      <c r="H323">
        <f>IF(H$2=0,"",IFERROR(TRIM(INDEX('Pegar estudiantes'!$A$1:$BZ$1001,322,H$2)&amp;""),""))</f>
        <v/>
      </c>
      <c r="I323">
        <f>IF(I$2=0,"",IFERROR(TRIM(INDEX('Pegar estudiantes'!$A$1:$BZ$1001,322,I$2)&amp;""),""))</f>
        <v/>
      </c>
      <c r="J323">
        <f>IF(J$2=0,"",IFERROR(TRIM(INDEX('Pegar estudiantes'!$A$1:$BZ$1001,322,J$2)&amp;""),""))</f>
        <v/>
      </c>
      <c r="K323">
        <f>IF(K$2=0,"",IFERROR(TRIM(INDEX('Pegar estudiantes'!$A$1:$BZ$1001,322,K$2)&amp;""),""))</f>
        <v/>
      </c>
      <c r="L323" s="25">
        <f>IF(A323&lt;&gt;"",1,"")</f>
        <v/>
      </c>
      <c r="M323" s="25">
        <f>IF(L323=1,IF(ISNUMBER(FIND("#"&amp;MID(A323,1,1)&amp;"#","#0#1#2#3#4#5#6#7#8#9#")),IF(ISNUMBER(FIND("#"&amp;MID(A323,2,1)&amp;"#","#0#1#2#3#4#5#6#7#8#9#")),IF(AND(VALUE(LEFT(A323,2))&gt;=1,VALUE(LEFT(A323,2))&lt;=5),VALUE(LEFT(A323,2)),""),IF(AND(VALUE(LEFT(A323,1))&gt;=1,VALUE(LEFT(A323,1))&lt;=5),VALUE(LEFT(A323,1)),"")),""),"")</f>
        <v/>
      </c>
      <c r="N323" s="25">
        <f>IF(L323=1,IF(ISNUMBER(FIND("#"&amp;MID(H323,1,1)&amp;"#","#0#1#2#3#4#5#6#7#8#9#")),IF(ISNUMBER(FIND("#"&amp;MID(H323,2,1)&amp;"#","#0#1#2#3#4#5#6#7#8#9#")),IF(AND(VALUE(LEFT(H323,2))&gt;=1,VALUE(LEFT(H323,2))&lt;=5),VALUE(LEFT(H323,2)),""),IF(AND(VALUE(LEFT(H323,1))&gt;=1,VALUE(LEFT(H323,1))&lt;=5),VALUE(LEFT(H323,1)),"")),""),"")</f>
        <v/>
      </c>
      <c r="O323" s="25">
        <f>IF(AND(L323=1,B323&lt;&gt;""),SUBSTITUTE(SUBSTITUTE(SUBSTITUTE(SUBSTITUTE(SUBSTITUTE(SUBSTITUTE(SUBSTITUTE(SUBSTITUTE(SUBSTITUTE(SUBSTITUTE(SUBSTITUTE(SUBSTITUTE(LOWER(TRIM(B323)),"á","a"),"é","e"),"í","i"),"ó","o"),"ú","u"),"ü","u"),"ñ","n"),"à","a"),"è","e"),"ì","i"),"ò","o"),"ù","u"),"")</f>
        <v/>
      </c>
      <c r="P323" s="25">
        <f>IF(AND(L323=1,C323&lt;&gt;""),SUBSTITUTE(SUBSTITUTE(SUBSTITUTE(SUBSTITUTE(SUBSTITUTE(SUBSTITUTE(SUBSTITUTE(SUBSTITUTE(SUBSTITUTE(SUBSTITUTE(SUBSTITUTE(SUBSTITUTE(LOWER(TRIM(C323)),"á","a"),"é","e"),"í","i"),"ó","o"),"ú","u"),"ü","u"),"ñ","n"),"à","a"),"è","e"),"ì","i"),"ò","o"),"ù","u"),"")</f>
        <v/>
      </c>
      <c r="Q323" s="25">
        <f>IF(AND(L323=1,E323&lt;&gt;""),SUBSTITUTE(SUBSTITUTE(SUBSTITUTE(SUBSTITUTE(SUBSTITUTE(SUBSTITUTE(SUBSTITUTE(SUBSTITUTE(SUBSTITUTE(SUBSTITUTE(SUBSTITUTE(SUBSTITUTE(LOWER(TRIM(E323)),"á","a"),"é","e"),"í","i"),"ó","o"),"ú","u"),"ü","u"),"ñ","n"),"à","a"),"è","e"),"ì","i"),"ò","o"),"ù","u"),"")</f>
        <v/>
      </c>
      <c r="R323" s="25">
        <f>IF(AND(L323=1,I323&lt;&gt;""),SUBSTITUTE(SUBSTITUTE(SUBSTITUTE(SUBSTITUTE(SUBSTITUTE(SUBSTITUTE(SUBSTITUTE(SUBSTITUTE(SUBSTITUTE(SUBSTITUTE(SUBSTITUTE(SUBSTITUTE(LOWER(TRIM(I323)),"á","a"),"é","e"),"í","i"),"ó","o"),"ú","u"),"ü","u"),"ñ","n"),"à","a"),"è","e"),"ì","i"),"ò","o"),"ù","u"),"")</f>
        <v/>
      </c>
      <c r="S323" s="25">
        <f>IF(R323="","",IF(OR(R323="si",R323="tal vez"),1,0))</f>
        <v/>
      </c>
      <c r="T323" s="25">
        <f>IF(AND(L323=1,D323&lt;&gt;""),IF(IFERROR(COUNTIFS(D$3:D323,"="&amp;SUBSTITUTE(SUBSTITUTE(SUBSTITUTE(D323,"~","~~"),"*","~*"),"?","~?"),L$3:L323,1),0)=1,MAX(T$2:T322)+1,""),"")</f>
        <v/>
      </c>
      <c r="U323" s="25">
        <f>IF(T323="","",COUNTIFS($D$3:$D$1002,"="&amp;SUBSTITUTE(SUBSTITUTE(SUBSTITUTE(D323,"~","~~"),"*","~*"),"?","~?"),$L$3:$L$1002,1)*10000-T323)</f>
        <v/>
      </c>
      <c r="V323" s="25">
        <f>IF(AND(L323=1,J323&lt;&gt;""),IF(IFERROR(COUNTIFS(J$3:J323,"="&amp;SUBSTITUTE(SUBSTITUTE(SUBSTITUTE(J323,"~","~~"),"*","~*"),"?","~?"),L$3:L323,1),0)=1,MAX(V$2:V322)+1,""),"")</f>
        <v/>
      </c>
      <c r="W323" s="25">
        <f>IF(V323="","",COUNTIFS($J$3:$J$1002,"="&amp;SUBSTITUTE(SUBSTITUTE(SUBSTITUTE(J323,"~","~~"),"*","~*"),"?","~?"),$L$3:$L$1002,1)*10000-V323)</f>
        <v/>
      </c>
    </row>
    <row r="324">
      <c r="A324">
        <f>IF(A$2=0,"",IFERROR(TRIM(INDEX('Pegar estudiantes'!$A$1:$BZ$1001,323,A$2)&amp;""),""))</f>
        <v/>
      </c>
      <c r="B324">
        <f>IF(B$2=0,"",IFERROR(TRIM(INDEX('Pegar estudiantes'!$A$1:$BZ$1001,323,B$2)&amp;""),""))</f>
        <v/>
      </c>
      <c r="C324">
        <f>IF(C$2=0,"",IFERROR(TRIM(INDEX('Pegar estudiantes'!$A$1:$BZ$1001,323,C$2)&amp;""),""))</f>
        <v/>
      </c>
      <c r="D324">
        <f>IF(D$2=0,"",IFERROR(TRIM(INDEX('Pegar estudiantes'!$A$1:$BZ$1001,323,D$2)&amp;""),""))</f>
        <v/>
      </c>
      <c r="E324">
        <f>IF(E$2=0,"",IFERROR(TRIM(INDEX('Pegar estudiantes'!$A$1:$BZ$1001,323,E$2)&amp;""),""))</f>
        <v/>
      </c>
      <c r="F324">
        <f>IF(F$2=0,"",IFERROR(TRIM(INDEX('Pegar estudiantes'!$A$1:$BZ$1001,323,F$2)&amp;""),""))</f>
        <v/>
      </c>
      <c r="G324">
        <f>IF(G$2=0,"",IFERROR(TRIM(INDEX('Pegar estudiantes'!$A$1:$BZ$1001,323,G$2)&amp;""),""))</f>
        <v/>
      </c>
      <c r="H324">
        <f>IF(H$2=0,"",IFERROR(TRIM(INDEX('Pegar estudiantes'!$A$1:$BZ$1001,323,H$2)&amp;""),""))</f>
        <v/>
      </c>
      <c r="I324">
        <f>IF(I$2=0,"",IFERROR(TRIM(INDEX('Pegar estudiantes'!$A$1:$BZ$1001,323,I$2)&amp;""),""))</f>
        <v/>
      </c>
      <c r="J324">
        <f>IF(J$2=0,"",IFERROR(TRIM(INDEX('Pegar estudiantes'!$A$1:$BZ$1001,323,J$2)&amp;""),""))</f>
        <v/>
      </c>
      <c r="K324">
        <f>IF(K$2=0,"",IFERROR(TRIM(INDEX('Pegar estudiantes'!$A$1:$BZ$1001,323,K$2)&amp;""),""))</f>
        <v/>
      </c>
      <c r="L324" s="25">
        <f>IF(A324&lt;&gt;"",1,"")</f>
        <v/>
      </c>
      <c r="M324" s="25">
        <f>IF(L324=1,IF(ISNUMBER(FIND("#"&amp;MID(A324,1,1)&amp;"#","#0#1#2#3#4#5#6#7#8#9#")),IF(ISNUMBER(FIND("#"&amp;MID(A324,2,1)&amp;"#","#0#1#2#3#4#5#6#7#8#9#")),IF(AND(VALUE(LEFT(A324,2))&gt;=1,VALUE(LEFT(A324,2))&lt;=5),VALUE(LEFT(A324,2)),""),IF(AND(VALUE(LEFT(A324,1))&gt;=1,VALUE(LEFT(A324,1))&lt;=5),VALUE(LEFT(A324,1)),"")),""),"")</f>
        <v/>
      </c>
      <c r="N324" s="25">
        <f>IF(L324=1,IF(ISNUMBER(FIND("#"&amp;MID(H324,1,1)&amp;"#","#0#1#2#3#4#5#6#7#8#9#")),IF(ISNUMBER(FIND("#"&amp;MID(H324,2,1)&amp;"#","#0#1#2#3#4#5#6#7#8#9#")),IF(AND(VALUE(LEFT(H324,2))&gt;=1,VALUE(LEFT(H324,2))&lt;=5),VALUE(LEFT(H324,2)),""),IF(AND(VALUE(LEFT(H324,1))&gt;=1,VALUE(LEFT(H324,1))&lt;=5),VALUE(LEFT(H324,1)),"")),""),"")</f>
        <v/>
      </c>
      <c r="O324" s="25">
        <f>IF(AND(L324=1,B324&lt;&gt;""),SUBSTITUTE(SUBSTITUTE(SUBSTITUTE(SUBSTITUTE(SUBSTITUTE(SUBSTITUTE(SUBSTITUTE(SUBSTITUTE(SUBSTITUTE(SUBSTITUTE(SUBSTITUTE(SUBSTITUTE(LOWER(TRIM(B324)),"á","a"),"é","e"),"í","i"),"ó","o"),"ú","u"),"ü","u"),"ñ","n"),"à","a"),"è","e"),"ì","i"),"ò","o"),"ù","u"),"")</f>
        <v/>
      </c>
      <c r="P324" s="25">
        <f>IF(AND(L324=1,C324&lt;&gt;""),SUBSTITUTE(SUBSTITUTE(SUBSTITUTE(SUBSTITUTE(SUBSTITUTE(SUBSTITUTE(SUBSTITUTE(SUBSTITUTE(SUBSTITUTE(SUBSTITUTE(SUBSTITUTE(SUBSTITUTE(LOWER(TRIM(C324)),"á","a"),"é","e"),"í","i"),"ó","o"),"ú","u"),"ü","u"),"ñ","n"),"à","a"),"è","e"),"ì","i"),"ò","o"),"ù","u"),"")</f>
        <v/>
      </c>
      <c r="Q324" s="25">
        <f>IF(AND(L324=1,E324&lt;&gt;""),SUBSTITUTE(SUBSTITUTE(SUBSTITUTE(SUBSTITUTE(SUBSTITUTE(SUBSTITUTE(SUBSTITUTE(SUBSTITUTE(SUBSTITUTE(SUBSTITUTE(SUBSTITUTE(SUBSTITUTE(LOWER(TRIM(E324)),"á","a"),"é","e"),"í","i"),"ó","o"),"ú","u"),"ü","u"),"ñ","n"),"à","a"),"è","e"),"ì","i"),"ò","o"),"ù","u"),"")</f>
        <v/>
      </c>
      <c r="R324" s="25">
        <f>IF(AND(L324=1,I324&lt;&gt;""),SUBSTITUTE(SUBSTITUTE(SUBSTITUTE(SUBSTITUTE(SUBSTITUTE(SUBSTITUTE(SUBSTITUTE(SUBSTITUTE(SUBSTITUTE(SUBSTITUTE(SUBSTITUTE(SUBSTITUTE(LOWER(TRIM(I324)),"á","a"),"é","e"),"í","i"),"ó","o"),"ú","u"),"ü","u"),"ñ","n"),"à","a"),"è","e"),"ì","i"),"ò","o"),"ù","u"),"")</f>
        <v/>
      </c>
      <c r="S324" s="25">
        <f>IF(R324="","",IF(OR(R324="si",R324="tal vez"),1,0))</f>
        <v/>
      </c>
      <c r="T324" s="25">
        <f>IF(AND(L324=1,D324&lt;&gt;""),IF(IFERROR(COUNTIFS(D$3:D324,"="&amp;SUBSTITUTE(SUBSTITUTE(SUBSTITUTE(D324,"~","~~"),"*","~*"),"?","~?"),L$3:L324,1),0)=1,MAX(T$2:T323)+1,""),"")</f>
        <v/>
      </c>
      <c r="U324" s="25">
        <f>IF(T324="","",COUNTIFS($D$3:$D$1002,"="&amp;SUBSTITUTE(SUBSTITUTE(SUBSTITUTE(D324,"~","~~"),"*","~*"),"?","~?"),$L$3:$L$1002,1)*10000-T324)</f>
        <v/>
      </c>
      <c r="V324" s="25">
        <f>IF(AND(L324=1,J324&lt;&gt;""),IF(IFERROR(COUNTIFS(J$3:J324,"="&amp;SUBSTITUTE(SUBSTITUTE(SUBSTITUTE(J324,"~","~~"),"*","~*"),"?","~?"),L$3:L324,1),0)=1,MAX(V$2:V323)+1,""),"")</f>
        <v/>
      </c>
      <c r="W324" s="25">
        <f>IF(V324="","",COUNTIFS($J$3:$J$1002,"="&amp;SUBSTITUTE(SUBSTITUTE(SUBSTITUTE(J324,"~","~~"),"*","~*"),"?","~?"),$L$3:$L$1002,1)*10000-V324)</f>
        <v/>
      </c>
    </row>
    <row r="325">
      <c r="A325">
        <f>IF(A$2=0,"",IFERROR(TRIM(INDEX('Pegar estudiantes'!$A$1:$BZ$1001,324,A$2)&amp;""),""))</f>
        <v/>
      </c>
      <c r="B325">
        <f>IF(B$2=0,"",IFERROR(TRIM(INDEX('Pegar estudiantes'!$A$1:$BZ$1001,324,B$2)&amp;""),""))</f>
        <v/>
      </c>
      <c r="C325">
        <f>IF(C$2=0,"",IFERROR(TRIM(INDEX('Pegar estudiantes'!$A$1:$BZ$1001,324,C$2)&amp;""),""))</f>
        <v/>
      </c>
      <c r="D325">
        <f>IF(D$2=0,"",IFERROR(TRIM(INDEX('Pegar estudiantes'!$A$1:$BZ$1001,324,D$2)&amp;""),""))</f>
        <v/>
      </c>
      <c r="E325">
        <f>IF(E$2=0,"",IFERROR(TRIM(INDEX('Pegar estudiantes'!$A$1:$BZ$1001,324,E$2)&amp;""),""))</f>
        <v/>
      </c>
      <c r="F325">
        <f>IF(F$2=0,"",IFERROR(TRIM(INDEX('Pegar estudiantes'!$A$1:$BZ$1001,324,F$2)&amp;""),""))</f>
        <v/>
      </c>
      <c r="G325">
        <f>IF(G$2=0,"",IFERROR(TRIM(INDEX('Pegar estudiantes'!$A$1:$BZ$1001,324,G$2)&amp;""),""))</f>
        <v/>
      </c>
      <c r="H325">
        <f>IF(H$2=0,"",IFERROR(TRIM(INDEX('Pegar estudiantes'!$A$1:$BZ$1001,324,H$2)&amp;""),""))</f>
        <v/>
      </c>
      <c r="I325">
        <f>IF(I$2=0,"",IFERROR(TRIM(INDEX('Pegar estudiantes'!$A$1:$BZ$1001,324,I$2)&amp;""),""))</f>
        <v/>
      </c>
      <c r="J325">
        <f>IF(J$2=0,"",IFERROR(TRIM(INDEX('Pegar estudiantes'!$A$1:$BZ$1001,324,J$2)&amp;""),""))</f>
        <v/>
      </c>
      <c r="K325">
        <f>IF(K$2=0,"",IFERROR(TRIM(INDEX('Pegar estudiantes'!$A$1:$BZ$1001,324,K$2)&amp;""),""))</f>
        <v/>
      </c>
      <c r="L325" s="25">
        <f>IF(A325&lt;&gt;"",1,"")</f>
        <v/>
      </c>
      <c r="M325" s="25">
        <f>IF(L325=1,IF(ISNUMBER(FIND("#"&amp;MID(A325,1,1)&amp;"#","#0#1#2#3#4#5#6#7#8#9#")),IF(ISNUMBER(FIND("#"&amp;MID(A325,2,1)&amp;"#","#0#1#2#3#4#5#6#7#8#9#")),IF(AND(VALUE(LEFT(A325,2))&gt;=1,VALUE(LEFT(A325,2))&lt;=5),VALUE(LEFT(A325,2)),""),IF(AND(VALUE(LEFT(A325,1))&gt;=1,VALUE(LEFT(A325,1))&lt;=5),VALUE(LEFT(A325,1)),"")),""),"")</f>
        <v/>
      </c>
      <c r="N325" s="25">
        <f>IF(L325=1,IF(ISNUMBER(FIND("#"&amp;MID(H325,1,1)&amp;"#","#0#1#2#3#4#5#6#7#8#9#")),IF(ISNUMBER(FIND("#"&amp;MID(H325,2,1)&amp;"#","#0#1#2#3#4#5#6#7#8#9#")),IF(AND(VALUE(LEFT(H325,2))&gt;=1,VALUE(LEFT(H325,2))&lt;=5),VALUE(LEFT(H325,2)),""),IF(AND(VALUE(LEFT(H325,1))&gt;=1,VALUE(LEFT(H325,1))&lt;=5),VALUE(LEFT(H325,1)),"")),""),"")</f>
        <v/>
      </c>
      <c r="O325" s="25">
        <f>IF(AND(L325=1,B325&lt;&gt;""),SUBSTITUTE(SUBSTITUTE(SUBSTITUTE(SUBSTITUTE(SUBSTITUTE(SUBSTITUTE(SUBSTITUTE(SUBSTITUTE(SUBSTITUTE(SUBSTITUTE(SUBSTITUTE(SUBSTITUTE(LOWER(TRIM(B325)),"á","a"),"é","e"),"í","i"),"ó","o"),"ú","u"),"ü","u"),"ñ","n"),"à","a"),"è","e"),"ì","i"),"ò","o"),"ù","u"),"")</f>
        <v/>
      </c>
      <c r="P325" s="25">
        <f>IF(AND(L325=1,C325&lt;&gt;""),SUBSTITUTE(SUBSTITUTE(SUBSTITUTE(SUBSTITUTE(SUBSTITUTE(SUBSTITUTE(SUBSTITUTE(SUBSTITUTE(SUBSTITUTE(SUBSTITUTE(SUBSTITUTE(SUBSTITUTE(LOWER(TRIM(C325)),"á","a"),"é","e"),"í","i"),"ó","o"),"ú","u"),"ü","u"),"ñ","n"),"à","a"),"è","e"),"ì","i"),"ò","o"),"ù","u"),"")</f>
        <v/>
      </c>
      <c r="Q325" s="25">
        <f>IF(AND(L325=1,E325&lt;&gt;""),SUBSTITUTE(SUBSTITUTE(SUBSTITUTE(SUBSTITUTE(SUBSTITUTE(SUBSTITUTE(SUBSTITUTE(SUBSTITUTE(SUBSTITUTE(SUBSTITUTE(SUBSTITUTE(SUBSTITUTE(LOWER(TRIM(E325)),"á","a"),"é","e"),"í","i"),"ó","o"),"ú","u"),"ü","u"),"ñ","n"),"à","a"),"è","e"),"ì","i"),"ò","o"),"ù","u"),"")</f>
        <v/>
      </c>
      <c r="R325" s="25">
        <f>IF(AND(L325=1,I325&lt;&gt;""),SUBSTITUTE(SUBSTITUTE(SUBSTITUTE(SUBSTITUTE(SUBSTITUTE(SUBSTITUTE(SUBSTITUTE(SUBSTITUTE(SUBSTITUTE(SUBSTITUTE(SUBSTITUTE(SUBSTITUTE(LOWER(TRIM(I325)),"á","a"),"é","e"),"í","i"),"ó","o"),"ú","u"),"ü","u"),"ñ","n"),"à","a"),"è","e"),"ì","i"),"ò","o"),"ù","u"),"")</f>
        <v/>
      </c>
      <c r="S325" s="25">
        <f>IF(R325="","",IF(OR(R325="si",R325="tal vez"),1,0))</f>
        <v/>
      </c>
      <c r="T325" s="25">
        <f>IF(AND(L325=1,D325&lt;&gt;""),IF(IFERROR(COUNTIFS(D$3:D325,"="&amp;SUBSTITUTE(SUBSTITUTE(SUBSTITUTE(D325,"~","~~"),"*","~*"),"?","~?"),L$3:L325,1),0)=1,MAX(T$2:T324)+1,""),"")</f>
        <v/>
      </c>
      <c r="U325" s="25">
        <f>IF(T325="","",COUNTIFS($D$3:$D$1002,"="&amp;SUBSTITUTE(SUBSTITUTE(SUBSTITUTE(D325,"~","~~"),"*","~*"),"?","~?"),$L$3:$L$1002,1)*10000-T325)</f>
        <v/>
      </c>
      <c r="V325" s="25">
        <f>IF(AND(L325=1,J325&lt;&gt;""),IF(IFERROR(COUNTIFS(J$3:J325,"="&amp;SUBSTITUTE(SUBSTITUTE(SUBSTITUTE(J325,"~","~~"),"*","~*"),"?","~?"),L$3:L325,1),0)=1,MAX(V$2:V324)+1,""),"")</f>
        <v/>
      </c>
      <c r="W325" s="25">
        <f>IF(V325="","",COUNTIFS($J$3:$J$1002,"="&amp;SUBSTITUTE(SUBSTITUTE(SUBSTITUTE(J325,"~","~~"),"*","~*"),"?","~?"),$L$3:$L$1002,1)*10000-V325)</f>
        <v/>
      </c>
    </row>
    <row r="326">
      <c r="A326">
        <f>IF(A$2=0,"",IFERROR(TRIM(INDEX('Pegar estudiantes'!$A$1:$BZ$1001,325,A$2)&amp;""),""))</f>
        <v/>
      </c>
      <c r="B326">
        <f>IF(B$2=0,"",IFERROR(TRIM(INDEX('Pegar estudiantes'!$A$1:$BZ$1001,325,B$2)&amp;""),""))</f>
        <v/>
      </c>
      <c r="C326">
        <f>IF(C$2=0,"",IFERROR(TRIM(INDEX('Pegar estudiantes'!$A$1:$BZ$1001,325,C$2)&amp;""),""))</f>
        <v/>
      </c>
      <c r="D326">
        <f>IF(D$2=0,"",IFERROR(TRIM(INDEX('Pegar estudiantes'!$A$1:$BZ$1001,325,D$2)&amp;""),""))</f>
        <v/>
      </c>
      <c r="E326">
        <f>IF(E$2=0,"",IFERROR(TRIM(INDEX('Pegar estudiantes'!$A$1:$BZ$1001,325,E$2)&amp;""),""))</f>
        <v/>
      </c>
      <c r="F326">
        <f>IF(F$2=0,"",IFERROR(TRIM(INDEX('Pegar estudiantes'!$A$1:$BZ$1001,325,F$2)&amp;""),""))</f>
        <v/>
      </c>
      <c r="G326">
        <f>IF(G$2=0,"",IFERROR(TRIM(INDEX('Pegar estudiantes'!$A$1:$BZ$1001,325,G$2)&amp;""),""))</f>
        <v/>
      </c>
      <c r="H326">
        <f>IF(H$2=0,"",IFERROR(TRIM(INDEX('Pegar estudiantes'!$A$1:$BZ$1001,325,H$2)&amp;""),""))</f>
        <v/>
      </c>
      <c r="I326">
        <f>IF(I$2=0,"",IFERROR(TRIM(INDEX('Pegar estudiantes'!$A$1:$BZ$1001,325,I$2)&amp;""),""))</f>
        <v/>
      </c>
      <c r="J326">
        <f>IF(J$2=0,"",IFERROR(TRIM(INDEX('Pegar estudiantes'!$A$1:$BZ$1001,325,J$2)&amp;""),""))</f>
        <v/>
      </c>
      <c r="K326">
        <f>IF(K$2=0,"",IFERROR(TRIM(INDEX('Pegar estudiantes'!$A$1:$BZ$1001,325,K$2)&amp;""),""))</f>
        <v/>
      </c>
      <c r="L326" s="25">
        <f>IF(A326&lt;&gt;"",1,"")</f>
        <v/>
      </c>
      <c r="M326" s="25">
        <f>IF(L326=1,IF(ISNUMBER(FIND("#"&amp;MID(A326,1,1)&amp;"#","#0#1#2#3#4#5#6#7#8#9#")),IF(ISNUMBER(FIND("#"&amp;MID(A326,2,1)&amp;"#","#0#1#2#3#4#5#6#7#8#9#")),IF(AND(VALUE(LEFT(A326,2))&gt;=1,VALUE(LEFT(A326,2))&lt;=5),VALUE(LEFT(A326,2)),""),IF(AND(VALUE(LEFT(A326,1))&gt;=1,VALUE(LEFT(A326,1))&lt;=5),VALUE(LEFT(A326,1)),"")),""),"")</f>
        <v/>
      </c>
      <c r="N326" s="25">
        <f>IF(L326=1,IF(ISNUMBER(FIND("#"&amp;MID(H326,1,1)&amp;"#","#0#1#2#3#4#5#6#7#8#9#")),IF(ISNUMBER(FIND("#"&amp;MID(H326,2,1)&amp;"#","#0#1#2#3#4#5#6#7#8#9#")),IF(AND(VALUE(LEFT(H326,2))&gt;=1,VALUE(LEFT(H326,2))&lt;=5),VALUE(LEFT(H326,2)),""),IF(AND(VALUE(LEFT(H326,1))&gt;=1,VALUE(LEFT(H326,1))&lt;=5),VALUE(LEFT(H326,1)),"")),""),"")</f>
        <v/>
      </c>
      <c r="O326" s="25">
        <f>IF(AND(L326=1,B326&lt;&gt;""),SUBSTITUTE(SUBSTITUTE(SUBSTITUTE(SUBSTITUTE(SUBSTITUTE(SUBSTITUTE(SUBSTITUTE(SUBSTITUTE(SUBSTITUTE(SUBSTITUTE(SUBSTITUTE(SUBSTITUTE(LOWER(TRIM(B326)),"á","a"),"é","e"),"í","i"),"ó","o"),"ú","u"),"ü","u"),"ñ","n"),"à","a"),"è","e"),"ì","i"),"ò","o"),"ù","u"),"")</f>
        <v/>
      </c>
      <c r="P326" s="25">
        <f>IF(AND(L326=1,C326&lt;&gt;""),SUBSTITUTE(SUBSTITUTE(SUBSTITUTE(SUBSTITUTE(SUBSTITUTE(SUBSTITUTE(SUBSTITUTE(SUBSTITUTE(SUBSTITUTE(SUBSTITUTE(SUBSTITUTE(SUBSTITUTE(LOWER(TRIM(C326)),"á","a"),"é","e"),"í","i"),"ó","o"),"ú","u"),"ü","u"),"ñ","n"),"à","a"),"è","e"),"ì","i"),"ò","o"),"ù","u"),"")</f>
        <v/>
      </c>
      <c r="Q326" s="25">
        <f>IF(AND(L326=1,E326&lt;&gt;""),SUBSTITUTE(SUBSTITUTE(SUBSTITUTE(SUBSTITUTE(SUBSTITUTE(SUBSTITUTE(SUBSTITUTE(SUBSTITUTE(SUBSTITUTE(SUBSTITUTE(SUBSTITUTE(SUBSTITUTE(LOWER(TRIM(E326)),"á","a"),"é","e"),"í","i"),"ó","o"),"ú","u"),"ü","u"),"ñ","n"),"à","a"),"è","e"),"ì","i"),"ò","o"),"ù","u"),"")</f>
        <v/>
      </c>
      <c r="R326" s="25">
        <f>IF(AND(L326=1,I326&lt;&gt;""),SUBSTITUTE(SUBSTITUTE(SUBSTITUTE(SUBSTITUTE(SUBSTITUTE(SUBSTITUTE(SUBSTITUTE(SUBSTITUTE(SUBSTITUTE(SUBSTITUTE(SUBSTITUTE(SUBSTITUTE(LOWER(TRIM(I326)),"á","a"),"é","e"),"í","i"),"ó","o"),"ú","u"),"ü","u"),"ñ","n"),"à","a"),"è","e"),"ì","i"),"ò","o"),"ù","u"),"")</f>
        <v/>
      </c>
      <c r="S326" s="25">
        <f>IF(R326="","",IF(OR(R326="si",R326="tal vez"),1,0))</f>
        <v/>
      </c>
      <c r="T326" s="25">
        <f>IF(AND(L326=1,D326&lt;&gt;""),IF(IFERROR(COUNTIFS(D$3:D326,"="&amp;SUBSTITUTE(SUBSTITUTE(SUBSTITUTE(D326,"~","~~"),"*","~*"),"?","~?"),L$3:L326,1),0)=1,MAX(T$2:T325)+1,""),"")</f>
        <v/>
      </c>
      <c r="U326" s="25">
        <f>IF(T326="","",COUNTIFS($D$3:$D$1002,"="&amp;SUBSTITUTE(SUBSTITUTE(SUBSTITUTE(D326,"~","~~"),"*","~*"),"?","~?"),$L$3:$L$1002,1)*10000-T326)</f>
        <v/>
      </c>
      <c r="V326" s="25">
        <f>IF(AND(L326=1,J326&lt;&gt;""),IF(IFERROR(COUNTIFS(J$3:J326,"="&amp;SUBSTITUTE(SUBSTITUTE(SUBSTITUTE(J326,"~","~~"),"*","~*"),"?","~?"),L$3:L326,1),0)=1,MAX(V$2:V325)+1,""),"")</f>
        <v/>
      </c>
      <c r="W326" s="25">
        <f>IF(V326="","",COUNTIFS($J$3:$J$1002,"="&amp;SUBSTITUTE(SUBSTITUTE(SUBSTITUTE(J326,"~","~~"),"*","~*"),"?","~?"),$L$3:$L$1002,1)*10000-V326)</f>
        <v/>
      </c>
    </row>
    <row r="327">
      <c r="A327">
        <f>IF(A$2=0,"",IFERROR(TRIM(INDEX('Pegar estudiantes'!$A$1:$BZ$1001,326,A$2)&amp;""),""))</f>
        <v/>
      </c>
      <c r="B327">
        <f>IF(B$2=0,"",IFERROR(TRIM(INDEX('Pegar estudiantes'!$A$1:$BZ$1001,326,B$2)&amp;""),""))</f>
        <v/>
      </c>
      <c r="C327">
        <f>IF(C$2=0,"",IFERROR(TRIM(INDEX('Pegar estudiantes'!$A$1:$BZ$1001,326,C$2)&amp;""),""))</f>
        <v/>
      </c>
      <c r="D327">
        <f>IF(D$2=0,"",IFERROR(TRIM(INDEX('Pegar estudiantes'!$A$1:$BZ$1001,326,D$2)&amp;""),""))</f>
        <v/>
      </c>
      <c r="E327">
        <f>IF(E$2=0,"",IFERROR(TRIM(INDEX('Pegar estudiantes'!$A$1:$BZ$1001,326,E$2)&amp;""),""))</f>
        <v/>
      </c>
      <c r="F327">
        <f>IF(F$2=0,"",IFERROR(TRIM(INDEX('Pegar estudiantes'!$A$1:$BZ$1001,326,F$2)&amp;""),""))</f>
        <v/>
      </c>
      <c r="G327">
        <f>IF(G$2=0,"",IFERROR(TRIM(INDEX('Pegar estudiantes'!$A$1:$BZ$1001,326,G$2)&amp;""),""))</f>
        <v/>
      </c>
      <c r="H327">
        <f>IF(H$2=0,"",IFERROR(TRIM(INDEX('Pegar estudiantes'!$A$1:$BZ$1001,326,H$2)&amp;""),""))</f>
        <v/>
      </c>
      <c r="I327">
        <f>IF(I$2=0,"",IFERROR(TRIM(INDEX('Pegar estudiantes'!$A$1:$BZ$1001,326,I$2)&amp;""),""))</f>
        <v/>
      </c>
      <c r="J327">
        <f>IF(J$2=0,"",IFERROR(TRIM(INDEX('Pegar estudiantes'!$A$1:$BZ$1001,326,J$2)&amp;""),""))</f>
        <v/>
      </c>
      <c r="K327">
        <f>IF(K$2=0,"",IFERROR(TRIM(INDEX('Pegar estudiantes'!$A$1:$BZ$1001,326,K$2)&amp;""),""))</f>
        <v/>
      </c>
      <c r="L327" s="25">
        <f>IF(A327&lt;&gt;"",1,"")</f>
        <v/>
      </c>
      <c r="M327" s="25">
        <f>IF(L327=1,IF(ISNUMBER(FIND("#"&amp;MID(A327,1,1)&amp;"#","#0#1#2#3#4#5#6#7#8#9#")),IF(ISNUMBER(FIND("#"&amp;MID(A327,2,1)&amp;"#","#0#1#2#3#4#5#6#7#8#9#")),IF(AND(VALUE(LEFT(A327,2))&gt;=1,VALUE(LEFT(A327,2))&lt;=5),VALUE(LEFT(A327,2)),""),IF(AND(VALUE(LEFT(A327,1))&gt;=1,VALUE(LEFT(A327,1))&lt;=5),VALUE(LEFT(A327,1)),"")),""),"")</f>
        <v/>
      </c>
      <c r="N327" s="25">
        <f>IF(L327=1,IF(ISNUMBER(FIND("#"&amp;MID(H327,1,1)&amp;"#","#0#1#2#3#4#5#6#7#8#9#")),IF(ISNUMBER(FIND("#"&amp;MID(H327,2,1)&amp;"#","#0#1#2#3#4#5#6#7#8#9#")),IF(AND(VALUE(LEFT(H327,2))&gt;=1,VALUE(LEFT(H327,2))&lt;=5),VALUE(LEFT(H327,2)),""),IF(AND(VALUE(LEFT(H327,1))&gt;=1,VALUE(LEFT(H327,1))&lt;=5),VALUE(LEFT(H327,1)),"")),""),"")</f>
        <v/>
      </c>
      <c r="O327" s="25">
        <f>IF(AND(L327=1,B327&lt;&gt;""),SUBSTITUTE(SUBSTITUTE(SUBSTITUTE(SUBSTITUTE(SUBSTITUTE(SUBSTITUTE(SUBSTITUTE(SUBSTITUTE(SUBSTITUTE(SUBSTITUTE(SUBSTITUTE(SUBSTITUTE(LOWER(TRIM(B327)),"á","a"),"é","e"),"í","i"),"ó","o"),"ú","u"),"ü","u"),"ñ","n"),"à","a"),"è","e"),"ì","i"),"ò","o"),"ù","u"),"")</f>
        <v/>
      </c>
      <c r="P327" s="25">
        <f>IF(AND(L327=1,C327&lt;&gt;""),SUBSTITUTE(SUBSTITUTE(SUBSTITUTE(SUBSTITUTE(SUBSTITUTE(SUBSTITUTE(SUBSTITUTE(SUBSTITUTE(SUBSTITUTE(SUBSTITUTE(SUBSTITUTE(SUBSTITUTE(LOWER(TRIM(C327)),"á","a"),"é","e"),"í","i"),"ó","o"),"ú","u"),"ü","u"),"ñ","n"),"à","a"),"è","e"),"ì","i"),"ò","o"),"ù","u"),"")</f>
        <v/>
      </c>
      <c r="Q327" s="25">
        <f>IF(AND(L327=1,E327&lt;&gt;""),SUBSTITUTE(SUBSTITUTE(SUBSTITUTE(SUBSTITUTE(SUBSTITUTE(SUBSTITUTE(SUBSTITUTE(SUBSTITUTE(SUBSTITUTE(SUBSTITUTE(SUBSTITUTE(SUBSTITUTE(LOWER(TRIM(E327)),"á","a"),"é","e"),"í","i"),"ó","o"),"ú","u"),"ü","u"),"ñ","n"),"à","a"),"è","e"),"ì","i"),"ò","o"),"ù","u"),"")</f>
        <v/>
      </c>
      <c r="R327" s="25">
        <f>IF(AND(L327=1,I327&lt;&gt;""),SUBSTITUTE(SUBSTITUTE(SUBSTITUTE(SUBSTITUTE(SUBSTITUTE(SUBSTITUTE(SUBSTITUTE(SUBSTITUTE(SUBSTITUTE(SUBSTITUTE(SUBSTITUTE(SUBSTITUTE(LOWER(TRIM(I327)),"á","a"),"é","e"),"í","i"),"ó","o"),"ú","u"),"ü","u"),"ñ","n"),"à","a"),"è","e"),"ì","i"),"ò","o"),"ù","u"),"")</f>
        <v/>
      </c>
      <c r="S327" s="25">
        <f>IF(R327="","",IF(OR(R327="si",R327="tal vez"),1,0))</f>
        <v/>
      </c>
      <c r="T327" s="25">
        <f>IF(AND(L327=1,D327&lt;&gt;""),IF(IFERROR(COUNTIFS(D$3:D327,"="&amp;SUBSTITUTE(SUBSTITUTE(SUBSTITUTE(D327,"~","~~"),"*","~*"),"?","~?"),L$3:L327,1),0)=1,MAX(T$2:T326)+1,""),"")</f>
        <v/>
      </c>
      <c r="U327" s="25">
        <f>IF(T327="","",COUNTIFS($D$3:$D$1002,"="&amp;SUBSTITUTE(SUBSTITUTE(SUBSTITUTE(D327,"~","~~"),"*","~*"),"?","~?"),$L$3:$L$1002,1)*10000-T327)</f>
        <v/>
      </c>
      <c r="V327" s="25">
        <f>IF(AND(L327=1,J327&lt;&gt;""),IF(IFERROR(COUNTIFS(J$3:J327,"="&amp;SUBSTITUTE(SUBSTITUTE(SUBSTITUTE(J327,"~","~~"),"*","~*"),"?","~?"),L$3:L327,1),0)=1,MAX(V$2:V326)+1,""),"")</f>
        <v/>
      </c>
      <c r="W327" s="25">
        <f>IF(V327="","",COUNTIFS($J$3:$J$1002,"="&amp;SUBSTITUTE(SUBSTITUTE(SUBSTITUTE(J327,"~","~~"),"*","~*"),"?","~?"),$L$3:$L$1002,1)*10000-V327)</f>
        <v/>
      </c>
    </row>
    <row r="328">
      <c r="A328">
        <f>IF(A$2=0,"",IFERROR(TRIM(INDEX('Pegar estudiantes'!$A$1:$BZ$1001,327,A$2)&amp;""),""))</f>
        <v/>
      </c>
      <c r="B328">
        <f>IF(B$2=0,"",IFERROR(TRIM(INDEX('Pegar estudiantes'!$A$1:$BZ$1001,327,B$2)&amp;""),""))</f>
        <v/>
      </c>
      <c r="C328">
        <f>IF(C$2=0,"",IFERROR(TRIM(INDEX('Pegar estudiantes'!$A$1:$BZ$1001,327,C$2)&amp;""),""))</f>
        <v/>
      </c>
      <c r="D328">
        <f>IF(D$2=0,"",IFERROR(TRIM(INDEX('Pegar estudiantes'!$A$1:$BZ$1001,327,D$2)&amp;""),""))</f>
        <v/>
      </c>
      <c r="E328">
        <f>IF(E$2=0,"",IFERROR(TRIM(INDEX('Pegar estudiantes'!$A$1:$BZ$1001,327,E$2)&amp;""),""))</f>
        <v/>
      </c>
      <c r="F328">
        <f>IF(F$2=0,"",IFERROR(TRIM(INDEX('Pegar estudiantes'!$A$1:$BZ$1001,327,F$2)&amp;""),""))</f>
        <v/>
      </c>
      <c r="G328">
        <f>IF(G$2=0,"",IFERROR(TRIM(INDEX('Pegar estudiantes'!$A$1:$BZ$1001,327,G$2)&amp;""),""))</f>
        <v/>
      </c>
      <c r="H328">
        <f>IF(H$2=0,"",IFERROR(TRIM(INDEX('Pegar estudiantes'!$A$1:$BZ$1001,327,H$2)&amp;""),""))</f>
        <v/>
      </c>
      <c r="I328">
        <f>IF(I$2=0,"",IFERROR(TRIM(INDEX('Pegar estudiantes'!$A$1:$BZ$1001,327,I$2)&amp;""),""))</f>
        <v/>
      </c>
      <c r="J328">
        <f>IF(J$2=0,"",IFERROR(TRIM(INDEX('Pegar estudiantes'!$A$1:$BZ$1001,327,J$2)&amp;""),""))</f>
        <v/>
      </c>
      <c r="K328">
        <f>IF(K$2=0,"",IFERROR(TRIM(INDEX('Pegar estudiantes'!$A$1:$BZ$1001,327,K$2)&amp;""),""))</f>
        <v/>
      </c>
      <c r="L328" s="25">
        <f>IF(A328&lt;&gt;"",1,"")</f>
        <v/>
      </c>
      <c r="M328" s="25">
        <f>IF(L328=1,IF(ISNUMBER(FIND("#"&amp;MID(A328,1,1)&amp;"#","#0#1#2#3#4#5#6#7#8#9#")),IF(ISNUMBER(FIND("#"&amp;MID(A328,2,1)&amp;"#","#0#1#2#3#4#5#6#7#8#9#")),IF(AND(VALUE(LEFT(A328,2))&gt;=1,VALUE(LEFT(A328,2))&lt;=5),VALUE(LEFT(A328,2)),""),IF(AND(VALUE(LEFT(A328,1))&gt;=1,VALUE(LEFT(A328,1))&lt;=5),VALUE(LEFT(A328,1)),"")),""),"")</f>
        <v/>
      </c>
      <c r="N328" s="25">
        <f>IF(L328=1,IF(ISNUMBER(FIND("#"&amp;MID(H328,1,1)&amp;"#","#0#1#2#3#4#5#6#7#8#9#")),IF(ISNUMBER(FIND("#"&amp;MID(H328,2,1)&amp;"#","#0#1#2#3#4#5#6#7#8#9#")),IF(AND(VALUE(LEFT(H328,2))&gt;=1,VALUE(LEFT(H328,2))&lt;=5),VALUE(LEFT(H328,2)),""),IF(AND(VALUE(LEFT(H328,1))&gt;=1,VALUE(LEFT(H328,1))&lt;=5),VALUE(LEFT(H328,1)),"")),""),"")</f>
        <v/>
      </c>
      <c r="O328" s="25">
        <f>IF(AND(L328=1,B328&lt;&gt;""),SUBSTITUTE(SUBSTITUTE(SUBSTITUTE(SUBSTITUTE(SUBSTITUTE(SUBSTITUTE(SUBSTITUTE(SUBSTITUTE(SUBSTITUTE(SUBSTITUTE(SUBSTITUTE(SUBSTITUTE(LOWER(TRIM(B328)),"á","a"),"é","e"),"í","i"),"ó","o"),"ú","u"),"ü","u"),"ñ","n"),"à","a"),"è","e"),"ì","i"),"ò","o"),"ù","u"),"")</f>
        <v/>
      </c>
      <c r="P328" s="25">
        <f>IF(AND(L328=1,C328&lt;&gt;""),SUBSTITUTE(SUBSTITUTE(SUBSTITUTE(SUBSTITUTE(SUBSTITUTE(SUBSTITUTE(SUBSTITUTE(SUBSTITUTE(SUBSTITUTE(SUBSTITUTE(SUBSTITUTE(SUBSTITUTE(LOWER(TRIM(C328)),"á","a"),"é","e"),"í","i"),"ó","o"),"ú","u"),"ü","u"),"ñ","n"),"à","a"),"è","e"),"ì","i"),"ò","o"),"ù","u"),"")</f>
        <v/>
      </c>
      <c r="Q328" s="25">
        <f>IF(AND(L328=1,E328&lt;&gt;""),SUBSTITUTE(SUBSTITUTE(SUBSTITUTE(SUBSTITUTE(SUBSTITUTE(SUBSTITUTE(SUBSTITUTE(SUBSTITUTE(SUBSTITUTE(SUBSTITUTE(SUBSTITUTE(SUBSTITUTE(LOWER(TRIM(E328)),"á","a"),"é","e"),"í","i"),"ó","o"),"ú","u"),"ü","u"),"ñ","n"),"à","a"),"è","e"),"ì","i"),"ò","o"),"ù","u"),"")</f>
        <v/>
      </c>
      <c r="R328" s="25">
        <f>IF(AND(L328=1,I328&lt;&gt;""),SUBSTITUTE(SUBSTITUTE(SUBSTITUTE(SUBSTITUTE(SUBSTITUTE(SUBSTITUTE(SUBSTITUTE(SUBSTITUTE(SUBSTITUTE(SUBSTITUTE(SUBSTITUTE(SUBSTITUTE(LOWER(TRIM(I328)),"á","a"),"é","e"),"í","i"),"ó","o"),"ú","u"),"ü","u"),"ñ","n"),"à","a"),"è","e"),"ì","i"),"ò","o"),"ù","u"),"")</f>
        <v/>
      </c>
      <c r="S328" s="25">
        <f>IF(R328="","",IF(OR(R328="si",R328="tal vez"),1,0))</f>
        <v/>
      </c>
      <c r="T328" s="25">
        <f>IF(AND(L328=1,D328&lt;&gt;""),IF(IFERROR(COUNTIFS(D$3:D328,"="&amp;SUBSTITUTE(SUBSTITUTE(SUBSTITUTE(D328,"~","~~"),"*","~*"),"?","~?"),L$3:L328,1),0)=1,MAX(T$2:T327)+1,""),"")</f>
        <v/>
      </c>
      <c r="U328" s="25">
        <f>IF(T328="","",COUNTIFS($D$3:$D$1002,"="&amp;SUBSTITUTE(SUBSTITUTE(SUBSTITUTE(D328,"~","~~"),"*","~*"),"?","~?"),$L$3:$L$1002,1)*10000-T328)</f>
        <v/>
      </c>
      <c r="V328" s="25">
        <f>IF(AND(L328=1,J328&lt;&gt;""),IF(IFERROR(COUNTIFS(J$3:J328,"="&amp;SUBSTITUTE(SUBSTITUTE(SUBSTITUTE(J328,"~","~~"),"*","~*"),"?","~?"),L$3:L328,1),0)=1,MAX(V$2:V327)+1,""),"")</f>
        <v/>
      </c>
      <c r="W328" s="25">
        <f>IF(V328="","",COUNTIFS($J$3:$J$1002,"="&amp;SUBSTITUTE(SUBSTITUTE(SUBSTITUTE(J328,"~","~~"),"*","~*"),"?","~?"),$L$3:$L$1002,1)*10000-V328)</f>
        <v/>
      </c>
    </row>
    <row r="329">
      <c r="A329">
        <f>IF(A$2=0,"",IFERROR(TRIM(INDEX('Pegar estudiantes'!$A$1:$BZ$1001,328,A$2)&amp;""),""))</f>
        <v/>
      </c>
      <c r="B329">
        <f>IF(B$2=0,"",IFERROR(TRIM(INDEX('Pegar estudiantes'!$A$1:$BZ$1001,328,B$2)&amp;""),""))</f>
        <v/>
      </c>
      <c r="C329">
        <f>IF(C$2=0,"",IFERROR(TRIM(INDEX('Pegar estudiantes'!$A$1:$BZ$1001,328,C$2)&amp;""),""))</f>
        <v/>
      </c>
      <c r="D329">
        <f>IF(D$2=0,"",IFERROR(TRIM(INDEX('Pegar estudiantes'!$A$1:$BZ$1001,328,D$2)&amp;""),""))</f>
        <v/>
      </c>
      <c r="E329">
        <f>IF(E$2=0,"",IFERROR(TRIM(INDEX('Pegar estudiantes'!$A$1:$BZ$1001,328,E$2)&amp;""),""))</f>
        <v/>
      </c>
      <c r="F329">
        <f>IF(F$2=0,"",IFERROR(TRIM(INDEX('Pegar estudiantes'!$A$1:$BZ$1001,328,F$2)&amp;""),""))</f>
        <v/>
      </c>
      <c r="G329">
        <f>IF(G$2=0,"",IFERROR(TRIM(INDEX('Pegar estudiantes'!$A$1:$BZ$1001,328,G$2)&amp;""),""))</f>
        <v/>
      </c>
      <c r="H329">
        <f>IF(H$2=0,"",IFERROR(TRIM(INDEX('Pegar estudiantes'!$A$1:$BZ$1001,328,H$2)&amp;""),""))</f>
        <v/>
      </c>
      <c r="I329">
        <f>IF(I$2=0,"",IFERROR(TRIM(INDEX('Pegar estudiantes'!$A$1:$BZ$1001,328,I$2)&amp;""),""))</f>
        <v/>
      </c>
      <c r="J329">
        <f>IF(J$2=0,"",IFERROR(TRIM(INDEX('Pegar estudiantes'!$A$1:$BZ$1001,328,J$2)&amp;""),""))</f>
        <v/>
      </c>
      <c r="K329">
        <f>IF(K$2=0,"",IFERROR(TRIM(INDEX('Pegar estudiantes'!$A$1:$BZ$1001,328,K$2)&amp;""),""))</f>
        <v/>
      </c>
      <c r="L329" s="25">
        <f>IF(A329&lt;&gt;"",1,"")</f>
        <v/>
      </c>
      <c r="M329" s="25">
        <f>IF(L329=1,IF(ISNUMBER(FIND("#"&amp;MID(A329,1,1)&amp;"#","#0#1#2#3#4#5#6#7#8#9#")),IF(ISNUMBER(FIND("#"&amp;MID(A329,2,1)&amp;"#","#0#1#2#3#4#5#6#7#8#9#")),IF(AND(VALUE(LEFT(A329,2))&gt;=1,VALUE(LEFT(A329,2))&lt;=5),VALUE(LEFT(A329,2)),""),IF(AND(VALUE(LEFT(A329,1))&gt;=1,VALUE(LEFT(A329,1))&lt;=5),VALUE(LEFT(A329,1)),"")),""),"")</f>
        <v/>
      </c>
      <c r="N329" s="25">
        <f>IF(L329=1,IF(ISNUMBER(FIND("#"&amp;MID(H329,1,1)&amp;"#","#0#1#2#3#4#5#6#7#8#9#")),IF(ISNUMBER(FIND("#"&amp;MID(H329,2,1)&amp;"#","#0#1#2#3#4#5#6#7#8#9#")),IF(AND(VALUE(LEFT(H329,2))&gt;=1,VALUE(LEFT(H329,2))&lt;=5),VALUE(LEFT(H329,2)),""),IF(AND(VALUE(LEFT(H329,1))&gt;=1,VALUE(LEFT(H329,1))&lt;=5),VALUE(LEFT(H329,1)),"")),""),"")</f>
        <v/>
      </c>
      <c r="O329" s="25">
        <f>IF(AND(L329=1,B329&lt;&gt;""),SUBSTITUTE(SUBSTITUTE(SUBSTITUTE(SUBSTITUTE(SUBSTITUTE(SUBSTITUTE(SUBSTITUTE(SUBSTITUTE(SUBSTITUTE(SUBSTITUTE(SUBSTITUTE(SUBSTITUTE(LOWER(TRIM(B329)),"á","a"),"é","e"),"í","i"),"ó","o"),"ú","u"),"ü","u"),"ñ","n"),"à","a"),"è","e"),"ì","i"),"ò","o"),"ù","u"),"")</f>
        <v/>
      </c>
      <c r="P329" s="25">
        <f>IF(AND(L329=1,C329&lt;&gt;""),SUBSTITUTE(SUBSTITUTE(SUBSTITUTE(SUBSTITUTE(SUBSTITUTE(SUBSTITUTE(SUBSTITUTE(SUBSTITUTE(SUBSTITUTE(SUBSTITUTE(SUBSTITUTE(SUBSTITUTE(LOWER(TRIM(C329)),"á","a"),"é","e"),"í","i"),"ó","o"),"ú","u"),"ü","u"),"ñ","n"),"à","a"),"è","e"),"ì","i"),"ò","o"),"ù","u"),"")</f>
        <v/>
      </c>
      <c r="Q329" s="25">
        <f>IF(AND(L329=1,E329&lt;&gt;""),SUBSTITUTE(SUBSTITUTE(SUBSTITUTE(SUBSTITUTE(SUBSTITUTE(SUBSTITUTE(SUBSTITUTE(SUBSTITUTE(SUBSTITUTE(SUBSTITUTE(SUBSTITUTE(SUBSTITUTE(LOWER(TRIM(E329)),"á","a"),"é","e"),"í","i"),"ó","o"),"ú","u"),"ü","u"),"ñ","n"),"à","a"),"è","e"),"ì","i"),"ò","o"),"ù","u"),"")</f>
        <v/>
      </c>
      <c r="R329" s="25">
        <f>IF(AND(L329=1,I329&lt;&gt;""),SUBSTITUTE(SUBSTITUTE(SUBSTITUTE(SUBSTITUTE(SUBSTITUTE(SUBSTITUTE(SUBSTITUTE(SUBSTITUTE(SUBSTITUTE(SUBSTITUTE(SUBSTITUTE(SUBSTITUTE(LOWER(TRIM(I329)),"á","a"),"é","e"),"í","i"),"ó","o"),"ú","u"),"ü","u"),"ñ","n"),"à","a"),"è","e"),"ì","i"),"ò","o"),"ù","u"),"")</f>
        <v/>
      </c>
      <c r="S329" s="25">
        <f>IF(R329="","",IF(OR(R329="si",R329="tal vez"),1,0))</f>
        <v/>
      </c>
      <c r="T329" s="25">
        <f>IF(AND(L329=1,D329&lt;&gt;""),IF(IFERROR(COUNTIFS(D$3:D329,"="&amp;SUBSTITUTE(SUBSTITUTE(SUBSTITUTE(D329,"~","~~"),"*","~*"),"?","~?"),L$3:L329,1),0)=1,MAX(T$2:T328)+1,""),"")</f>
        <v/>
      </c>
      <c r="U329" s="25">
        <f>IF(T329="","",COUNTIFS($D$3:$D$1002,"="&amp;SUBSTITUTE(SUBSTITUTE(SUBSTITUTE(D329,"~","~~"),"*","~*"),"?","~?"),$L$3:$L$1002,1)*10000-T329)</f>
        <v/>
      </c>
      <c r="V329" s="25">
        <f>IF(AND(L329=1,J329&lt;&gt;""),IF(IFERROR(COUNTIFS(J$3:J329,"="&amp;SUBSTITUTE(SUBSTITUTE(SUBSTITUTE(J329,"~","~~"),"*","~*"),"?","~?"),L$3:L329,1),0)=1,MAX(V$2:V328)+1,""),"")</f>
        <v/>
      </c>
      <c r="W329" s="25">
        <f>IF(V329="","",COUNTIFS($J$3:$J$1002,"="&amp;SUBSTITUTE(SUBSTITUTE(SUBSTITUTE(J329,"~","~~"),"*","~*"),"?","~?"),$L$3:$L$1002,1)*10000-V329)</f>
        <v/>
      </c>
    </row>
    <row r="330">
      <c r="A330">
        <f>IF(A$2=0,"",IFERROR(TRIM(INDEX('Pegar estudiantes'!$A$1:$BZ$1001,329,A$2)&amp;""),""))</f>
        <v/>
      </c>
      <c r="B330">
        <f>IF(B$2=0,"",IFERROR(TRIM(INDEX('Pegar estudiantes'!$A$1:$BZ$1001,329,B$2)&amp;""),""))</f>
        <v/>
      </c>
      <c r="C330">
        <f>IF(C$2=0,"",IFERROR(TRIM(INDEX('Pegar estudiantes'!$A$1:$BZ$1001,329,C$2)&amp;""),""))</f>
        <v/>
      </c>
      <c r="D330">
        <f>IF(D$2=0,"",IFERROR(TRIM(INDEX('Pegar estudiantes'!$A$1:$BZ$1001,329,D$2)&amp;""),""))</f>
        <v/>
      </c>
      <c r="E330">
        <f>IF(E$2=0,"",IFERROR(TRIM(INDEX('Pegar estudiantes'!$A$1:$BZ$1001,329,E$2)&amp;""),""))</f>
        <v/>
      </c>
      <c r="F330">
        <f>IF(F$2=0,"",IFERROR(TRIM(INDEX('Pegar estudiantes'!$A$1:$BZ$1001,329,F$2)&amp;""),""))</f>
        <v/>
      </c>
      <c r="G330">
        <f>IF(G$2=0,"",IFERROR(TRIM(INDEX('Pegar estudiantes'!$A$1:$BZ$1001,329,G$2)&amp;""),""))</f>
        <v/>
      </c>
      <c r="H330">
        <f>IF(H$2=0,"",IFERROR(TRIM(INDEX('Pegar estudiantes'!$A$1:$BZ$1001,329,H$2)&amp;""),""))</f>
        <v/>
      </c>
      <c r="I330">
        <f>IF(I$2=0,"",IFERROR(TRIM(INDEX('Pegar estudiantes'!$A$1:$BZ$1001,329,I$2)&amp;""),""))</f>
        <v/>
      </c>
      <c r="J330">
        <f>IF(J$2=0,"",IFERROR(TRIM(INDEX('Pegar estudiantes'!$A$1:$BZ$1001,329,J$2)&amp;""),""))</f>
        <v/>
      </c>
      <c r="K330">
        <f>IF(K$2=0,"",IFERROR(TRIM(INDEX('Pegar estudiantes'!$A$1:$BZ$1001,329,K$2)&amp;""),""))</f>
        <v/>
      </c>
      <c r="L330" s="25">
        <f>IF(A330&lt;&gt;"",1,"")</f>
        <v/>
      </c>
      <c r="M330" s="25">
        <f>IF(L330=1,IF(ISNUMBER(FIND("#"&amp;MID(A330,1,1)&amp;"#","#0#1#2#3#4#5#6#7#8#9#")),IF(ISNUMBER(FIND("#"&amp;MID(A330,2,1)&amp;"#","#0#1#2#3#4#5#6#7#8#9#")),IF(AND(VALUE(LEFT(A330,2))&gt;=1,VALUE(LEFT(A330,2))&lt;=5),VALUE(LEFT(A330,2)),""),IF(AND(VALUE(LEFT(A330,1))&gt;=1,VALUE(LEFT(A330,1))&lt;=5),VALUE(LEFT(A330,1)),"")),""),"")</f>
        <v/>
      </c>
      <c r="N330" s="25">
        <f>IF(L330=1,IF(ISNUMBER(FIND("#"&amp;MID(H330,1,1)&amp;"#","#0#1#2#3#4#5#6#7#8#9#")),IF(ISNUMBER(FIND("#"&amp;MID(H330,2,1)&amp;"#","#0#1#2#3#4#5#6#7#8#9#")),IF(AND(VALUE(LEFT(H330,2))&gt;=1,VALUE(LEFT(H330,2))&lt;=5),VALUE(LEFT(H330,2)),""),IF(AND(VALUE(LEFT(H330,1))&gt;=1,VALUE(LEFT(H330,1))&lt;=5),VALUE(LEFT(H330,1)),"")),""),"")</f>
        <v/>
      </c>
      <c r="O330" s="25">
        <f>IF(AND(L330=1,B330&lt;&gt;""),SUBSTITUTE(SUBSTITUTE(SUBSTITUTE(SUBSTITUTE(SUBSTITUTE(SUBSTITUTE(SUBSTITUTE(SUBSTITUTE(SUBSTITUTE(SUBSTITUTE(SUBSTITUTE(SUBSTITUTE(LOWER(TRIM(B330)),"á","a"),"é","e"),"í","i"),"ó","o"),"ú","u"),"ü","u"),"ñ","n"),"à","a"),"è","e"),"ì","i"),"ò","o"),"ù","u"),"")</f>
        <v/>
      </c>
      <c r="P330" s="25">
        <f>IF(AND(L330=1,C330&lt;&gt;""),SUBSTITUTE(SUBSTITUTE(SUBSTITUTE(SUBSTITUTE(SUBSTITUTE(SUBSTITUTE(SUBSTITUTE(SUBSTITUTE(SUBSTITUTE(SUBSTITUTE(SUBSTITUTE(SUBSTITUTE(LOWER(TRIM(C330)),"á","a"),"é","e"),"í","i"),"ó","o"),"ú","u"),"ü","u"),"ñ","n"),"à","a"),"è","e"),"ì","i"),"ò","o"),"ù","u"),"")</f>
        <v/>
      </c>
      <c r="Q330" s="25">
        <f>IF(AND(L330=1,E330&lt;&gt;""),SUBSTITUTE(SUBSTITUTE(SUBSTITUTE(SUBSTITUTE(SUBSTITUTE(SUBSTITUTE(SUBSTITUTE(SUBSTITUTE(SUBSTITUTE(SUBSTITUTE(SUBSTITUTE(SUBSTITUTE(LOWER(TRIM(E330)),"á","a"),"é","e"),"í","i"),"ó","o"),"ú","u"),"ü","u"),"ñ","n"),"à","a"),"è","e"),"ì","i"),"ò","o"),"ù","u"),"")</f>
        <v/>
      </c>
      <c r="R330" s="25">
        <f>IF(AND(L330=1,I330&lt;&gt;""),SUBSTITUTE(SUBSTITUTE(SUBSTITUTE(SUBSTITUTE(SUBSTITUTE(SUBSTITUTE(SUBSTITUTE(SUBSTITUTE(SUBSTITUTE(SUBSTITUTE(SUBSTITUTE(SUBSTITUTE(LOWER(TRIM(I330)),"á","a"),"é","e"),"í","i"),"ó","o"),"ú","u"),"ü","u"),"ñ","n"),"à","a"),"è","e"),"ì","i"),"ò","o"),"ù","u"),"")</f>
        <v/>
      </c>
      <c r="S330" s="25">
        <f>IF(R330="","",IF(OR(R330="si",R330="tal vez"),1,0))</f>
        <v/>
      </c>
      <c r="T330" s="25">
        <f>IF(AND(L330=1,D330&lt;&gt;""),IF(IFERROR(COUNTIFS(D$3:D330,"="&amp;SUBSTITUTE(SUBSTITUTE(SUBSTITUTE(D330,"~","~~"),"*","~*"),"?","~?"),L$3:L330,1),0)=1,MAX(T$2:T329)+1,""),"")</f>
        <v/>
      </c>
      <c r="U330" s="25">
        <f>IF(T330="","",COUNTIFS($D$3:$D$1002,"="&amp;SUBSTITUTE(SUBSTITUTE(SUBSTITUTE(D330,"~","~~"),"*","~*"),"?","~?"),$L$3:$L$1002,1)*10000-T330)</f>
        <v/>
      </c>
      <c r="V330" s="25">
        <f>IF(AND(L330=1,J330&lt;&gt;""),IF(IFERROR(COUNTIFS(J$3:J330,"="&amp;SUBSTITUTE(SUBSTITUTE(SUBSTITUTE(J330,"~","~~"),"*","~*"),"?","~?"),L$3:L330,1),0)=1,MAX(V$2:V329)+1,""),"")</f>
        <v/>
      </c>
      <c r="W330" s="25">
        <f>IF(V330="","",COUNTIFS($J$3:$J$1002,"="&amp;SUBSTITUTE(SUBSTITUTE(SUBSTITUTE(J330,"~","~~"),"*","~*"),"?","~?"),$L$3:$L$1002,1)*10000-V330)</f>
        <v/>
      </c>
    </row>
    <row r="331">
      <c r="A331">
        <f>IF(A$2=0,"",IFERROR(TRIM(INDEX('Pegar estudiantes'!$A$1:$BZ$1001,330,A$2)&amp;""),""))</f>
        <v/>
      </c>
      <c r="B331">
        <f>IF(B$2=0,"",IFERROR(TRIM(INDEX('Pegar estudiantes'!$A$1:$BZ$1001,330,B$2)&amp;""),""))</f>
        <v/>
      </c>
      <c r="C331">
        <f>IF(C$2=0,"",IFERROR(TRIM(INDEX('Pegar estudiantes'!$A$1:$BZ$1001,330,C$2)&amp;""),""))</f>
        <v/>
      </c>
      <c r="D331">
        <f>IF(D$2=0,"",IFERROR(TRIM(INDEX('Pegar estudiantes'!$A$1:$BZ$1001,330,D$2)&amp;""),""))</f>
        <v/>
      </c>
      <c r="E331">
        <f>IF(E$2=0,"",IFERROR(TRIM(INDEX('Pegar estudiantes'!$A$1:$BZ$1001,330,E$2)&amp;""),""))</f>
        <v/>
      </c>
      <c r="F331">
        <f>IF(F$2=0,"",IFERROR(TRIM(INDEX('Pegar estudiantes'!$A$1:$BZ$1001,330,F$2)&amp;""),""))</f>
        <v/>
      </c>
      <c r="G331">
        <f>IF(G$2=0,"",IFERROR(TRIM(INDEX('Pegar estudiantes'!$A$1:$BZ$1001,330,G$2)&amp;""),""))</f>
        <v/>
      </c>
      <c r="H331">
        <f>IF(H$2=0,"",IFERROR(TRIM(INDEX('Pegar estudiantes'!$A$1:$BZ$1001,330,H$2)&amp;""),""))</f>
        <v/>
      </c>
      <c r="I331">
        <f>IF(I$2=0,"",IFERROR(TRIM(INDEX('Pegar estudiantes'!$A$1:$BZ$1001,330,I$2)&amp;""),""))</f>
        <v/>
      </c>
      <c r="J331">
        <f>IF(J$2=0,"",IFERROR(TRIM(INDEX('Pegar estudiantes'!$A$1:$BZ$1001,330,J$2)&amp;""),""))</f>
        <v/>
      </c>
      <c r="K331">
        <f>IF(K$2=0,"",IFERROR(TRIM(INDEX('Pegar estudiantes'!$A$1:$BZ$1001,330,K$2)&amp;""),""))</f>
        <v/>
      </c>
      <c r="L331" s="25">
        <f>IF(A331&lt;&gt;"",1,"")</f>
        <v/>
      </c>
      <c r="M331" s="25">
        <f>IF(L331=1,IF(ISNUMBER(FIND("#"&amp;MID(A331,1,1)&amp;"#","#0#1#2#3#4#5#6#7#8#9#")),IF(ISNUMBER(FIND("#"&amp;MID(A331,2,1)&amp;"#","#0#1#2#3#4#5#6#7#8#9#")),IF(AND(VALUE(LEFT(A331,2))&gt;=1,VALUE(LEFT(A331,2))&lt;=5),VALUE(LEFT(A331,2)),""),IF(AND(VALUE(LEFT(A331,1))&gt;=1,VALUE(LEFT(A331,1))&lt;=5),VALUE(LEFT(A331,1)),"")),""),"")</f>
        <v/>
      </c>
      <c r="N331" s="25">
        <f>IF(L331=1,IF(ISNUMBER(FIND("#"&amp;MID(H331,1,1)&amp;"#","#0#1#2#3#4#5#6#7#8#9#")),IF(ISNUMBER(FIND("#"&amp;MID(H331,2,1)&amp;"#","#0#1#2#3#4#5#6#7#8#9#")),IF(AND(VALUE(LEFT(H331,2))&gt;=1,VALUE(LEFT(H331,2))&lt;=5),VALUE(LEFT(H331,2)),""),IF(AND(VALUE(LEFT(H331,1))&gt;=1,VALUE(LEFT(H331,1))&lt;=5),VALUE(LEFT(H331,1)),"")),""),"")</f>
        <v/>
      </c>
      <c r="O331" s="25">
        <f>IF(AND(L331=1,B331&lt;&gt;""),SUBSTITUTE(SUBSTITUTE(SUBSTITUTE(SUBSTITUTE(SUBSTITUTE(SUBSTITUTE(SUBSTITUTE(SUBSTITUTE(SUBSTITUTE(SUBSTITUTE(SUBSTITUTE(SUBSTITUTE(LOWER(TRIM(B331)),"á","a"),"é","e"),"í","i"),"ó","o"),"ú","u"),"ü","u"),"ñ","n"),"à","a"),"è","e"),"ì","i"),"ò","o"),"ù","u"),"")</f>
        <v/>
      </c>
      <c r="P331" s="25">
        <f>IF(AND(L331=1,C331&lt;&gt;""),SUBSTITUTE(SUBSTITUTE(SUBSTITUTE(SUBSTITUTE(SUBSTITUTE(SUBSTITUTE(SUBSTITUTE(SUBSTITUTE(SUBSTITUTE(SUBSTITUTE(SUBSTITUTE(SUBSTITUTE(LOWER(TRIM(C331)),"á","a"),"é","e"),"í","i"),"ó","o"),"ú","u"),"ü","u"),"ñ","n"),"à","a"),"è","e"),"ì","i"),"ò","o"),"ù","u"),"")</f>
        <v/>
      </c>
      <c r="Q331" s="25">
        <f>IF(AND(L331=1,E331&lt;&gt;""),SUBSTITUTE(SUBSTITUTE(SUBSTITUTE(SUBSTITUTE(SUBSTITUTE(SUBSTITUTE(SUBSTITUTE(SUBSTITUTE(SUBSTITUTE(SUBSTITUTE(SUBSTITUTE(SUBSTITUTE(LOWER(TRIM(E331)),"á","a"),"é","e"),"í","i"),"ó","o"),"ú","u"),"ü","u"),"ñ","n"),"à","a"),"è","e"),"ì","i"),"ò","o"),"ù","u"),"")</f>
        <v/>
      </c>
      <c r="R331" s="25">
        <f>IF(AND(L331=1,I331&lt;&gt;""),SUBSTITUTE(SUBSTITUTE(SUBSTITUTE(SUBSTITUTE(SUBSTITUTE(SUBSTITUTE(SUBSTITUTE(SUBSTITUTE(SUBSTITUTE(SUBSTITUTE(SUBSTITUTE(SUBSTITUTE(LOWER(TRIM(I331)),"á","a"),"é","e"),"í","i"),"ó","o"),"ú","u"),"ü","u"),"ñ","n"),"à","a"),"è","e"),"ì","i"),"ò","o"),"ù","u"),"")</f>
        <v/>
      </c>
      <c r="S331" s="25">
        <f>IF(R331="","",IF(OR(R331="si",R331="tal vez"),1,0))</f>
        <v/>
      </c>
      <c r="T331" s="25">
        <f>IF(AND(L331=1,D331&lt;&gt;""),IF(IFERROR(COUNTIFS(D$3:D331,"="&amp;SUBSTITUTE(SUBSTITUTE(SUBSTITUTE(D331,"~","~~"),"*","~*"),"?","~?"),L$3:L331,1),0)=1,MAX(T$2:T330)+1,""),"")</f>
        <v/>
      </c>
      <c r="U331" s="25">
        <f>IF(T331="","",COUNTIFS($D$3:$D$1002,"="&amp;SUBSTITUTE(SUBSTITUTE(SUBSTITUTE(D331,"~","~~"),"*","~*"),"?","~?"),$L$3:$L$1002,1)*10000-T331)</f>
        <v/>
      </c>
      <c r="V331" s="25">
        <f>IF(AND(L331=1,J331&lt;&gt;""),IF(IFERROR(COUNTIFS(J$3:J331,"="&amp;SUBSTITUTE(SUBSTITUTE(SUBSTITUTE(J331,"~","~~"),"*","~*"),"?","~?"),L$3:L331,1),0)=1,MAX(V$2:V330)+1,""),"")</f>
        <v/>
      </c>
      <c r="W331" s="25">
        <f>IF(V331="","",COUNTIFS($J$3:$J$1002,"="&amp;SUBSTITUTE(SUBSTITUTE(SUBSTITUTE(J331,"~","~~"),"*","~*"),"?","~?"),$L$3:$L$1002,1)*10000-V331)</f>
        <v/>
      </c>
    </row>
    <row r="332">
      <c r="A332">
        <f>IF(A$2=0,"",IFERROR(TRIM(INDEX('Pegar estudiantes'!$A$1:$BZ$1001,331,A$2)&amp;""),""))</f>
        <v/>
      </c>
      <c r="B332">
        <f>IF(B$2=0,"",IFERROR(TRIM(INDEX('Pegar estudiantes'!$A$1:$BZ$1001,331,B$2)&amp;""),""))</f>
        <v/>
      </c>
      <c r="C332">
        <f>IF(C$2=0,"",IFERROR(TRIM(INDEX('Pegar estudiantes'!$A$1:$BZ$1001,331,C$2)&amp;""),""))</f>
        <v/>
      </c>
      <c r="D332">
        <f>IF(D$2=0,"",IFERROR(TRIM(INDEX('Pegar estudiantes'!$A$1:$BZ$1001,331,D$2)&amp;""),""))</f>
        <v/>
      </c>
      <c r="E332">
        <f>IF(E$2=0,"",IFERROR(TRIM(INDEX('Pegar estudiantes'!$A$1:$BZ$1001,331,E$2)&amp;""),""))</f>
        <v/>
      </c>
      <c r="F332">
        <f>IF(F$2=0,"",IFERROR(TRIM(INDEX('Pegar estudiantes'!$A$1:$BZ$1001,331,F$2)&amp;""),""))</f>
        <v/>
      </c>
      <c r="G332">
        <f>IF(G$2=0,"",IFERROR(TRIM(INDEX('Pegar estudiantes'!$A$1:$BZ$1001,331,G$2)&amp;""),""))</f>
        <v/>
      </c>
      <c r="H332">
        <f>IF(H$2=0,"",IFERROR(TRIM(INDEX('Pegar estudiantes'!$A$1:$BZ$1001,331,H$2)&amp;""),""))</f>
        <v/>
      </c>
      <c r="I332">
        <f>IF(I$2=0,"",IFERROR(TRIM(INDEX('Pegar estudiantes'!$A$1:$BZ$1001,331,I$2)&amp;""),""))</f>
        <v/>
      </c>
      <c r="J332">
        <f>IF(J$2=0,"",IFERROR(TRIM(INDEX('Pegar estudiantes'!$A$1:$BZ$1001,331,J$2)&amp;""),""))</f>
        <v/>
      </c>
      <c r="K332">
        <f>IF(K$2=0,"",IFERROR(TRIM(INDEX('Pegar estudiantes'!$A$1:$BZ$1001,331,K$2)&amp;""),""))</f>
        <v/>
      </c>
      <c r="L332" s="25">
        <f>IF(A332&lt;&gt;"",1,"")</f>
        <v/>
      </c>
      <c r="M332" s="25">
        <f>IF(L332=1,IF(ISNUMBER(FIND("#"&amp;MID(A332,1,1)&amp;"#","#0#1#2#3#4#5#6#7#8#9#")),IF(ISNUMBER(FIND("#"&amp;MID(A332,2,1)&amp;"#","#0#1#2#3#4#5#6#7#8#9#")),IF(AND(VALUE(LEFT(A332,2))&gt;=1,VALUE(LEFT(A332,2))&lt;=5),VALUE(LEFT(A332,2)),""),IF(AND(VALUE(LEFT(A332,1))&gt;=1,VALUE(LEFT(A332,1))&lt;=5),VALUE(LEFT(A332,1)),"")),""),"")</f>
        <v/>
      </c>
      <c r="N332" s="25">
        <f>IF(L332=1,IF(ISNUMBER(FIND("#"&amp;MID(H332,1,1)&amp;"#","#0#1#2#3#4#5#6#7#8#9#")),IF(ISNUMBER(FIND("#"&amp;MID(H332,2,1)&amp;"#","#0#1#2#3#4#5#6#7#8#9#")),IF(AND(VALUE(LEFT(H332,2))&gt;=1,VALUE(LEFT(H332,2))&lt;=5),VALUE(LEFT(H332,2)),""),IF(AND(VALUE(LEFT(H332,1))&gt;=1,VALUE(LEFT(H332,1))&lt;=5),VALUE(LEFT(H332,1)),"")),""),"")</f>
        <v/>
      </c>
      <c r="O332" s="25">
        <f>IF(AND(L332=1,B332&lt;&gt;""),SUBSTITUTE(SUBSTITUTE(SUBSTITUTE(SUBSTITUTE(SUBSTITUTE(SUBSTITUTE(SUBSTITUTE(SUBSTITUTE(SUBSTITUTE(SUBSTITUTE(SUBSTITUTE(SUBSTITUTE(LOWER(TRIM(B332)),"á","a"),"é","e"),"í","i"),"ó","o"),"ú","u"),"ü","u"),"ñ","n"),"à","a"),"è","e"),"ì","i"),"ò","o"),"ù","u"),"")</f>
        <v/>
      </c>
      <c r="P332" s="25">
        <f>IF(AND(L332=1,C332&lt;&gt;""),SUBSTITUTE(SUBSTITUTE(SUBSTITUTE(SUBSTITUTE(SUBSTITUTE(SUBSTITUTE(SUBSTITUTE(SUBSTITUTE(SUBSTITUTE(SUBSTITUTE(SUBSTITUTE(SUBSTITUTE(LOWER(TRIM(C332)),"á","a"),"é","e"),"í","i"),"ó","o"),"ú","u"),"ü","u"),"ñ","n"),"à","a"),"è","e"),"ì","i"),"ò","o"),"ù","u"),"")</f>
        <v/>
      </c>
      <c r="Q332" s="25">
        <f>IF(AND(L332=1,E332&lt;&gt;""),SUBSTITUTE(SUBSTITUTE(SUBSTITUTE(SUBSTITUTE(SUBSTITUTE(SUBSTITUTE(SUBSTITUTE(SUBSTITUTE(SUBSTITUTE(SUBSTITUTE(SUBSTITUTE(SUBSTITUTE(LOWER(TRIM(E332)),"á","a"),"é","e"),"í","i"),"ó","o"),"ú","u"),"ü","u"),"ñ","n"),"à","a"),"è","e"),"ì","i"),"ò","o"),"ù","u"),"")</f>
        <v/>
      </c>
      <c r="R332" s="25">
        <f>IF(AND(L332=1,I332&lt;&gt;""),SUBSTITUTE(SUBSTITUTE(SUBSTITUTE(SUBSTITUTE(SUBSTITUTE(SUBSTITUTE(SUBSTITUTE(SUBSTITUTE(SUBSTITUTE(SUBSTITUTE(SUBSTITUTE(SUBSTITUTE(LOWER(TRIM(I332)),"á","a"),"é","e"),"í","i"),"ó","o"),"ú","u"),"ü","u"),"ñ","n"),"à","a"),"è","e"),"ì","i"),"ò","o"),"ù","u"),"")</f>
        <v/>
      </c>
      <c r="S332" s="25">
        <f>IF(R332="","",IF(OR(R332="si",R332="tal vez"),1,0))</f>
        <v/>
      </c>
      <c r="T332" s="25">
        <f>IF(AND(L332=1,D332&lt;&gt;""),IF(IFERROR(COUNTIFS(D$3:D332,"="&amp;SUBSTITUTE(SUBSTITUTE(SUBSTITUTE(D332,"~","~~"),"*","~*"),"?","~?"),L$3:L332,1),0)=1,MAX(T$2:T331)+1,""),"")</f>
        <v/>
      </c>
      <c r="U332" s="25">
        <f>IF(T332="","",COUNTIFS($D$3:$D$1002,"="&amp;SUBSTITUTE(SUBSTITUTE(SUBSTITUTE(D332,"~","~~"),"*","~*"),"?","~?"),$L$3:$L$1002,1)*10000-T332)</f>
        <v/>
      </c>
      <c r="V332" s="25">
        <f>IF(AND(L332=1,J332&lt;&gt;""),IF(IFERROR(COUNTIFS(J$3:J332,"="&amp;SUBSTITUTE(SUBSTITUTE(SUBSTITUTE(J332,"~","~~"),"*","~*"),"?","~?"),L$3:L332,1),0)=1,MAX(V$2:V331)+1,""),"")</f>
        <v/>
      </c>
      <c r="W332" s="25">
        <f>IF(V332="","",COUNTIFS($J$3:$J$1002,"="&amp;SUBSTITUTE(SUBSTITUTE(SUBSTITUTE(J332,"~","~~"),"*","~*"),"?","~?"),$L$3:$L$1002,1)*10000-V332)</f>
        <v/>
      </c>
    </row>
    <row r="333">
      <c r="A333">
        <f>IF(A$2=0,"",IFERROR(TRIM(INDEX('Pegar estudiantes'!$A$1:$BZ$1001,332,A$2)&amp;""),""))</f>
        <v/>
      </c>
      <c r="B333">
        <f>IF(B$2=0,"",IFERROR(TRIM(INDEX('Pegar estudiantes'!$A$1:$BZ$1001,332,B$2)&amp;""),""))</f>
        <v/>
      </c>
      <c r="C333">
        <f>IF(C$2=0,"",IFERROR(TRIM(INDEX('Pegar estudiantes'!$A$1:$BZ$1001,332,C$2)&amp;""),""))</f>
        <v/>
      </c>
      <c r="D333">
        <f>IF(D$2=0,"",IFERROR(TRIM(INDEX('Pegar estudiantes'!$A$1:$BZ$1001,332,D$2)&amp;""),""))</f>
        <v/>
      </c>
      <c r="E333">
        <f>IF(E$2=0,"",IFERROR(TRIM(INDEX('Pegar estudiantes'!$A$1:$BZ$1001,332,E$2)&amp;""),""))</f>
        <v/>
      </c>
      <c r="F333">
        <f>IF(F$2=0,"",IFERROR(TRIM(INDEX('Pegar estudiantes'!$A$1:$BZ$1001,332,F$2)&amp;""),""))</f>
        <v/>
      </c>
      <c r="G333">
        <f>IF(G$2=0,"",IFERROR(TRIM(INDEX('Pegar estudiantes'!$A$1:$BZ$1001,332,G$2)&amp;""),""))</f>
        <v/>
      </c>
      <c r="H333">
        <f>IF(H$2=0,"",IFERROR(TRIM(INDEX('Pegar estudiantes'!$A$1:$BZ$1001,332,H$2)&amp;""),""))</f>
        <v/>
      </c>
      <c r="I333">
        <f>IF(I$2=0,"",IFERROR(TRIM(INDEX('Pegar estudiantes'!$A$1:$BZ$1001,332,I$2)&amp;""),""))</f>
        <v/>
      </c>
      <c r="J333">
        <f>IF(J$2=0,"",IFERROR(TRIM(INDEX('Pegar estudiantes'!$A$1:$BZ$1001,332,J$2)&amp;""),""))</f>
        <v/>
      </c>
      <c r="K333">
        <f>IF(K$2=0,"",IFERROR(TRIM(INDEX('Pegar estudiantes'!$A$1:$BZ$1001,332,K$2)&amp;""),""))</f>
        <v/>
      </c>
      <c r="L333" s="25">
        <f>IF(A333&lt;&gt;"",1,"")</f>
        <v/>
      </c>
      <c r="M333" s="25">
        <f>IF(L333=1,IF(ISNUMBER(FIND("#"&amp;MID(A333,1,1)&amp;"#","#0#1#2#3#4#5#6#7#8#9#")),IF(ISNUMBER(FIND("#"&amp;MID(A333,2,1)&amp;"#","#0#1#2#3#4#5#6#7#8#9#")),IF(AND(VALUE(LEFT(A333,2))&gt;=1,VALUE(LEFT(A333,2))&lt;=5),VALUE(LEFT(A333,2)),""),IF(AND(VALUE(LEFT(A333,1))&gt;=1,VALUE(LEFT(A333,1))&lt;=5),VALUE(LEFT(A333,1)),"")),""),"")</f>
        <v/>
      </c>
      <c r="N333" s="25">
        <f>IF(L333=1,IF(ISNUMBER(FIND("#"&amp;MID(H333,1,1)&amp;"#","#0#1#2#3#4#5#6#7#8#9#")),IF(ISNUMBER(FIND("#"&amp;MID(H333,2,1)&amp;"#","#0#1#2#3#4#5#6#7#8#9#")),IF(AND(VALUE(LEFT(H333,2))&gt;=1,VALUE(LEFT(H333,2))&lt;=5),VALUE(LEFT(H333,2)),""),IF(AND(VALUE(LEFT(H333,1))&gt;=1,VALUE(LEFT(H333,1))&lt;=5),VALUE(LEFT(H333,1)),"")),""),"")</f>
        <v/>
      </c>
      <c r="O333" s="25">
        <f>IF(AND(L333=1,B333&lt;&gt;""),SUBSTITUTE(SUBSTITUTE(SUBSTITUTE(SUBSTITUTE(SUBSTITUTE(SUBSTITUTE(SUBSTITUTE(SUBSTITUTE(SUBSTITUTE(SUBSTITUTE(SUBSTITUTE(SUBSTITUTE(LOWER(TRIM(B333)),"á","a"),"é","e"),"í","i"),"ó","o"),"ú","u"),"ü","u"),"ñ","n"),"à","a"),"è","e"),"ì","i"),"ò","o"),"ù","u"),"")</f>
        <v/>
      </c>
      <c r="P333" s="25">
        <f>IF(AND(L333=1,C333&lt;&gt;""),SUBSTITUTE(SUBSTITUTE(SUBSTITUTE(SUBSTITUTE(SUBSTITUTE(SUBSTITUTE(SUBSTITUTE(SUBSTITUTE(SUBSTITUTE(SUBSTITUTE(SUBSTITUTE(SUBSTITUTE(LOWER(TRIM(C333)),"á","a"),"é","e"),"í","i"),"ó","o"),"ú","u"),"ü","u"),"ñ","n"),"à","a"),"è","e"),"ì","i"),"ò","o"),"ù","u"),"")</f>
        <v/>
      </c>
      <c r="Q333" s="25">
        <f>IF(AND(L333=1,E333&lt;&gt;""),SUBSTITUTE(SUBSTITUTE(SUBSTITUTE(SUBSTITUTE(SUBSTITUTE(SUBSTITUTE(SUBSTITUTE(SUBSTITUTE(SUBSTITUTE(SUBSTITUTE(SUBSTITUTE(SUBSTITUTE(LOWER(TRIM(E333)),"á","a"),"é","e"),"í","i"),"ó","o"),"ú","u"),"ü","u"),"ñ","n"),"à","a"),"è","e"),"ì","i"),"ò","o"),"ù","u"),"")</f>
        <v/>
      </c>
      <c r="R333" s="25">
        <f>IF(AND(L333=1,I333&lt;&gt;""),SUBSTITUTE(SUBSTITUTE(SUBSTITUTE(SUBSTITUTE(SUBSTITUTE(SUBSTITUTE(SUBSTITUTE(SUBSTITUTE(SUBSTITUTE(SUBSTITUTE(SUBSTITUTE(SUBSTITUTE(LOWER(TRIM(I333)),"á","a"),"é","e"),"í","i"),"ó","o"),"ú","u"),"ü","u"),"ñ","n"),"à","a"),"è","e"),"ì","i"),"ò","o"),"ù","u"),"")</f>
        <v/>
      </c>
      <c r="S333" s="25">
        <f>IF(R333="","",IF(OR(R333="si",R333="tal vez"),1,0))</f>
        <v/>
      </c>
      <c r="T333" s="25">
        <f>IF(AND(L333=1,D333&lt;&gt;""),IF(IFERROR(COUNTIFS(D$3:D333,"="&amp;SUBSTITUTE(SUBSTITUTE(SUBSTITUTE(D333,"~","~~"),"*","~*"),"?","~?"),L$3:L333,1),0)=1,MAX(T$2:T332)+1,""),"")</f>
        <v/>
      </c>
      <c r="U333" s="25">
        <f>IF(T333="","",COUNTIFS($D$3:$D$1002,"="&amp;SUBSTITUTE(SUBSTITUTE(SUBSTITUTE(D333,"~","~~"),"*","~*"),"?","~?"),$L$3:$L$1002,1)*10000-T333)</f>
        <v/>
      </c>
      <c r="V333" s="25">
        <f>IF(AND(L333=1,J333&lt;&gt;""),IF(IFERROR(COUNTIFS(J$3:J333,"="&amp;SUBSTITUTE(SUBSTITUTE(SUBSTITUTE(J333,"~","~~"),"*","~*"),"?","~?"),L$3:L333,1),0)=1,MAX(V$2:V332)+1,""),"")</f>
        <v/>
      </c>
      <c r="W333" s="25">
        <f>IF(V333="","",COUNTIFS($J$3:$J$1002,"="&amp;SUBSTITUTE(SUBSTITUTE(SUBSTITUTE(J333,"~","~~"),"*","~*"),"?","~?"),$L$3:$L$1002,1)*10000-V333)</f>
        <v/>
      </c>
    </row>
    <row r="334">
      <c r="A334">
        <f>IF(A$2=0,"",IFERROR(TRIM(INDEX('Pegar estudiantes'!$A$1:$BZ$1001,333,A$2)&amp;""),""))</f>
        <v/>
      </c>
      <c r="B334">
        <f>IF(B$2=0,"",IFERROR(TRIM(INDEX('Pegar estudiantes'!$A$1:$BZ$1001,333,B$2)&amp;""),""))</f>
        <v/>
      </c>
      <c r="C334">
        <f>IF(C$2=0,"",IFERROR(TRIM(INDEX('Pegar estudiantes'!$A$1:$BZ$1001,333,C$2)&amp;""),""))</f>
        <v/>
      </c>
      <c r="D334">
        <f>IF(D$2=0,"",IFERROR(TRIM(INDEX('Pegar estudiantes'!$A$1:$BZ$1001,333,D$2)&amp;""),""))</f>
        <v/>
      </c>
      <c r="E334">
        <f>IF(E$2=0,"",IFERROR(TRIM(INDEX('Pegar estudiantes'!$A$1:$BZ$1001,333,E$2)&amp;""),""))</f>
        <v/>
      </c>
      <c r="F334">
        <f>IF(F$2=0,"",IFERROR(TRIM(INDEX('Pegar estudiantes'!$A$1:$BZ$1001,333,F$2)&amp;""),""))</f>
        <v/>
      </c>
      <c r="G334">
        <f>IF(G$2=0,"",IFERROR(TRIM(INDEX('Pegar estudiantes'!$A$1:$BZ$1001,333,G$2)&amp;""),""))</f>
        <v/>
      </c>
      <c r="H334">
        <f>IF(H$2=0,"",IFERROR(TRIM(INDEX('Pegar estudiantes'!$A$1:$BZ$1001,333,H$2)&amp;""),""))</f>
        <v/>
      </c>
      <c r="I334">
        <f>IF(I$2=0,"",IFERROR(TRIM(INDEX('Pegar estudiantes'!$A$1:$BZ$1001,333,I$2)&amp;""),""))</f>
        <v/>
      </c>
      <c r="J334">
        <f>IF(J$2=0,"",IFERROR(TRIM(INDEX('Pegar estudiantes'!$A$1:$BZ$1001,333,J$2)&amp;""),""))</f>
        <v/>
      </c>
      <c r="K334">
        <f>IF(K$2=0,"",IFERROR(TRIM(INDEX('Pegar estudiantes'!$A$1:$BZ$1001,333,K$2)&amp;""),""))</f>
        <v/>
      </c>
      <c r="L334" s="25">
        <f>IF(A334&lt;&gt;"",1,"")</f>
        <v/>
      </c>
      <c r="M334" s="25">
        <f>IF(L334=1,IF(ISNUMBER(FIND("#"&amp;MID(A334,1,1)&amp;"#","#0#1#2#3#4#5#6#7#8#9#")),IF(ISNUMBER(FIND("#"&amp;MID(A334,2,1)&amp;"#","#0#1#2#3#4#5#6#7#8#9#")),IF(AND(VALUE(LEFT(A334,2))&gt;=1,VALUE(LEFT(A334,2))&lt;=5),VALUE(LEFT(A334,2)),""),IF(AND(VALUE(LEFT(A334,1))&gt;=1,VALUE(LEFT(A334,1))&lt;=5),VALUE(LEFT(A334,1)),"")),""),"")</f>
        <v/>
      </c>
      <c r="N334" s="25">
        <f>IF(L334=1,IF(ISNUMBER(FIND("#"&amp;MID(H334,1,1)&amp;"#","#0#1#2#3#4#5#6#7#8#9#")),IF(ISNUMBER(FIND("#"&amp;MID(H334,2,1)&amp;"#","#0#1#2#3#4#5#6#7#8#9#")),IF(AND(VALUE(LEFT(H334,2))&gt;=1,VALUE(LEFT(H334,2))&lt;=5),VALUE(LEFT(H334,2)),""),IF(AND(VALUE(LEFT(H334,1))&gt;=1,VALUE(LEFT(H334,1))&lt;=5),VALUE(LEFT(H334,1)),"")),""),"")</f>
        <v/>
      </c>
      <c r="O334" s="25">
        <f>IF(AND(L334=1,B334&lt;&gt;""),SUBSTITUTE(SUBSTITUTE(SUBSTITUTE(SUBSTITUTE(SUBSTITUTE(SUBSTITUTE(SUBSTITUTE(SUBSTITUTE(SUBSTITUTE(SUBSTITUTE(SUBSTITUTE(SUBSTITUTE(LOWER(TRIM(B334)),"á","a"),"é","e"),"í","i"),"ó","o"),"ú","u"),"ü","u"),"ñ","n"),"à","a"),"è","e"),"ì","i"),"ò","o"),"ù","u"),"")</f>
        <v/>
      </c>
      <c r="P334" s="25">
        <f>IF(AND(L334=1,C334&lt;&gt;""),SUBSTITUTE(SUBSTITUTE(SUBSTITUTE(SUBSTITUTE(SUBSTITUTE(SUBSTITUTE(SUBSTITUTE(SUBSTITUTE(SUBSTITUTE(SUBSTITUTE(SUBSTITUTE(SUBSTITUTE(LOWER(TRIM(C334)),"á","a"),"é","e"),"í","i"),"ó","o"),"ú","u"),"ü","u"),"ñ","n"),"à","a"),"è","e"),"ì","i"),"ò","o"),"ù","u"),"")</f>
        <v/>
      </c>
      <c r="Q334" s="25">
        <f>IF(AND(L334=1,E334&lt;&gt;""),SUBSTITUTE(SUBSTITUTE(SUBSTITUTE(SUBSTITUTE(SUBSTITUTE(SUBSTITUTE(SUBSTITUTE(SUBSTITUTE(SUBSTITUTE(SUBSTITUTE(SUBSTITUTE(SUBSTITUTE(LOWER(TRIM(E334)),"á","a"),"é","e"),"í","i"),"ó","o"),"ú","u"),"ü","u"),"ñ","n"),"à","a"),"è","e"),"ì","i"),"ò","o"),"ù","u"),"")</f>
        <v/>
      </c>
      <c r="R334" s="25">
        <f>IF(AND(L334=1,I334&lt;&gt;""),SUBSTITUTE(SUBSTITUTE(SUBSTITUTE(SUBSTITUTE(SUBSTITUTE(SUBSTITUTE(SUBSTITUTE(SUBSTITUTE(SUBSTITUTE(SUBSTITUTE(SUBSTITUTE(SUBSTITUTE(LOWER(TRIM(I334)),"á","a"),"é","e"),"í","i"),"ó","o"),"ú","u"),"ü","u"),"ñ","n"),"à","a"),"è","e"),"ì","i"),"ò","o"),"ù","u"),"")</f>
        <v/>
      </c>
      <c r="S334" s="25">
        <f>IF(R334="","",IF(OR(R334="si",R334="tal vez"),1,0))</f>
        <v/>
      </c>
      <c r="T334" s="25">
        <f>IF(AND(L334=1,D334&lt;&gt;""),IF(IFERROR(COUNTIFS(D$3:D334,"="&amp;SUBSTITUTE(SUBSTITUTE(SUBSTITUTE(D334,"~","~~"),"*","~*"),"?","~?"),L$3:L334,1),0)=1,MAX(T$2:T333)+1,""),"")</f>
        <v/>
      </c>
      <c r="U334" s="25">
        <f>IF(T334="","",COUNTIFS($D$3:$D$1002,"="&amp;SUBSTITUTE(SUBSTITUTE(SUBSTITUTE(D334,"~","~~"),"*","~*"),"?","~?"),$L$3:$L$1002,1)*10000-T334)</f>
        <v/>
      </c>
      <c r="V334" s="25">
        <f>IF(AND(L334=1,J334&lt;&gt;""),IF(IFERROR(COUNTIFS(J$3:J334,"="&amp;SUBSTITUTE(SUBSTITUTE(SUBSTITUTE(J334,"~","~~"),"*","~*"),"?","~?"),L$3:L334,1),0)=1,MAX(V$2:V333)+1,""),"")</f>
        <v/>
      </c>
      <c r="W334" s="25">
        <f>IF(V334="","",COUNTIFS($J$3:$J$1002,"="&amp;SUBSTITUTE(SUBSTITUTE(SUBSTITUTE(J334,"~","~~"),"*","~*"),"?","~?"),$L$3:$L$1002,1)*10000-V334)</f>
        <v/>
      </c>
    </row>
    <row r="335">
      <c r="A335">
        <f>IF(A$2=0,"",IFERROR(TRIM(INDEX('Pegar estudiantes'!$A$1:$BZ$1001,334,A$2)&amp;""),""))</f>
        <v/>
      </c>
      <c r="B335">
        <f>IF(B$2=0,"",IFERROR(TRIM(INDEX('Pegar estudiantes'!$A$1:$BZ$1001,334,B$2)&amp;""),""))</f>
        <v/>
      </c>
      <c r="C335">
        <f>IF(C$2=0,"",IFERROR(TRIM(INDEX('Pegar estudiantes'!$A$1:$BZ$1001,334,C$2)&amp;""),""))</f>
        <v/>
      </c>
      <c r="D335">
        <f>IF(D$2=0,"",IFERROR(TRIM(INDEX('Pegar estudiantes'!$A$1:$BZ$1001,334,D$2)&amp;""),""))</f>
        <v/>
      </c>
      <c r="E335">
        <f>IF(E$2=0,"",IFERROR(TRIM(INDEX('Pegar estudiantes'!$A$1:$BZ$1001,334,E$2)&amp;""),""))</f>
        <v/>
      </c>
      <c r="F335">
        <f>IF(F$2=0,"",IFERROR(TRIM(INDEX('Pegar estudiantes'!$A$1:$BZ$1001,334,F$2)&amp;""),""))</f>
        <v/>
      </c>
      <c r="G335">
        <f>IF(G$2=0,"",IFERROR(TRIM(INDEX('Pegar estudiantes'!$A$1:$BZ$1001,334,G$2)&amp;""),""))</f>
        <v/>
      </c>
      <c r="H335">
        <f>IF(H$2=0,"",IFERROR(TRIM(INDEX('Pegar estudiantes'!$A$1:$BZ$1001,334,H$2)&amp;""),""))</f>
        <v/>
      </c>
      <c r="I335">
        <f>IF(I$2=0,"",IFERROR(TRIM(INDEX('Pegar estudiantes'!$A$1:$BZ$1001,334,I$2)&amp;""),""))</f>
        <v/>
      </c>
      <c r="J335">
        <f>IF(J$2=0,"",IFERROR(TRIM(INDEX('Pegar estudiantes'!$A$1:$BZ$1001,334,J$2)&amp;""),""))</f>
        <v/>
      </c>
      <c r="K335">
        <f>IF(K$2=0,"",IFERROR(TRIM(INDEX('Pegar estudiantes'!$A$1:$BZ$1001,334,K$2)&amp;""),""))</f>
        <v/>
      </c>
      <c r="L335" s="25">
        <f>IF(A335&lt;&gt;"",1,"")</f>
        <v/>
      </c>
      <c r="M335" s="25">
        <f>IF(L335=1,IF(ISNUMBER(FIND("#"&amp;MID(A335,1,1)&amp;"#","#0#1#2#3#4#5#6#7#8#9#")),IF(ISNUMBER(FIND("#"&amp;MID(A335,2,1)&amp;"#","#0#1#2#3#4#5#6#7#8#9#")),IF(AND(VALUE(LEFT(A335,2))&gt;=1,VALUE(LEFT(A335,2))&lt;=5),VALUE(LEFT(A335,2)),""),IF(AND(VALUE(LEFT(A335,1))&gt;=1,VALUE(LEFT(A335,1))&lt;=5),VALUE(LEFT(A335,1)),"")),""),"")</f>
        <v/>
      </c>
      <c r="N335" s="25">
        <f>IF(L335=1,IF(ISNUMBER(FIND("#"&amp;MID(H335,1,1)&amp;"#","#0#1#2#3#4#5#6#7#8#9#")),IF(ISNUMBER(FIND("#"&amp;MID(H335,2,1)&amp;"#","#0#1#2#3#4#5#6#7#8#9#")),IF(AND(VALUE(LEFT(H335,2))&gt;=1,VALUE(LEFT(H335,2))&lt;=5),VALUE(LEFT(H335,2)),""),IF(AND(VALUE(LEFT(H335,1))&gt;=1,VALUE(LEFT(H335,1))&lt;=5),VALUE(LEFT(H335,1)),"")),""),"")</f>
        <v/>
      </c>
      <c r="O335" s="25">
        <f>IF(AND(L335=1,B335&lt;&gt;""),SUBSTITUTE(SUBSTITUTE(SUBSTITUTE(SUBSTITUTE(SUBSTITUTE(SUBSTITUTE(SUBSTITUTE(SUBSTITUTE(SUBSTITUTE(SUBSTITUTE(SUBSTITUTE(SUBSTITUTE(LOWER(TRIM(B335)),"á","a"),"é","e"),"í","i"),"ó","o"),"ú","u"),"ü","u"),"ñ","n"),"à","a"),"è","e"),"ì","i"),"ò","o"),"ù","u"),"")</f>
        <v/>
      </c>
      <c r="P335" s="25">
        <f>IF(AND(L335=1,C335&lt;&gt;""),SUBSTITUTE(SUBSTITUTE(SUBSTITUTE(SUBSTITUTE(SUBSTITUTE(SUBSTITUTE(SUBSTITUTE(SUBSTITUTE(SUBSTITUTE(SUBSTITUTE(SUBSTITUTE(SUBSTITUTE(LOWER(TRIM(C335)),"á","a"),"é","e"),"í","i"),"ó","o"),"ú","u"),"ü","u"),"ñ","n"),"à","a"),"è","e"),"ì","i"),"ò","o"),"ù","u"),"")</f>
        <v/>
      </c>
      <c r="Q335" s="25">
        <f>IF(AND(L335=1,E335&lt;&gt;""),SUBSTITUTE(SUBSTITUTE(SUBSTITUTE(SUBSTITUTE(SUBSTITUTE(SUBSTITUTE(SUBSTITUTE(SUBSTITUTE(SUBSTITUTE(SUBSTITUTE(SUBSTITUTE(SUBSTITUTE(LOWER(TRIM(E335)),"á","a"),"é","e"),"í","i"),"ó","o"),"ú","u"),"ü","u"),"ñ","n"),"à","a"),"è","e"),"ì","i"),"ò","o"),"ù","u"),"")</f>
        <v/>
      </c>
      <c r="R335" s="25">
        <f>IF(AND(L335=1,I335&lt;&gt;""),SUBSTITUTE(SUBSTITUTE(SUBSTITUTE(SUBSTITUTE(SUBSTITUTE(SUBSTITUTE(SUBSTITUTE(SUBSTITUTE(SUBSTITUTE(SUBSTITUTE(SUBSTITUTE(SUBSTITUTE(LOWER(TRIM(I335)),"á","a"),"é","e"),"í","i"),"ó","o"),"ú","u"),"ü","u"),"ñ","n"),"à","a"),"è","e"),"ì","i"),"ò","o"),"ù","u"),"")</f>
        <v/>
      </c>
      <c r="S335" s="25">
        <f>IF(R335="","",IF(OR(R335="si",R335="tal vez"),1,0))</f>
        <v/>
      </c>
      <c r="T335" s="25">
        <f>IF(AND(L335=1,D335&lt;&gt;""),IF(IFERROR(COUNTIFS(D$3:D335,"="&amp;SUBSTITUTE(SUBSTITUTE(SUBSTITUTE(D335,"~","~~"),"*","~*"),"?","~?"),L$3:L335,1),0)=1,MAX(T$2:T334)+1,""),"")</f>
        <v/>
      </c>
      <c r="U335" s="25">
        <f>IF(T335="","",COUNTIFS($D$3:$D$1002,"="&amp;SUBSTITUTE(SUBSTITUTE(SUBSTITUTE(D335,"~","~~"),"*","~*"),"?","~?"),$L$3:$L$1002,1)*10000-T335)</f>
        <v/>
      </c>
      <c r="V335" s="25">
        <f>IF(AND(L335=1,J335&lt;&gt;""),IF(IFERROR(COUNTIFS(J$3:J335,"="&amp;SUBSTITUTE(SUBSTITUTE(SUBSTITUTE(J335,"~","~~"),"*","~*"),"?","~?"),L$3:L335,1),0)=1,MAX(V$2:V334)+1,""),"")</f>
        <v/>
      </c>
      <c r="W335" s="25">
        <f>IF(V335="","",COUNTIFS($J$3:$J$1002,"="&amp;SUBSTITUTE(SUBSTITUTE(SUBSTITUTE(J335,"~","~~"),"*","~*"),"?","~?"),$L$3:$L$1002,1)*10000-V335)</f>
        <v/>
      </c>
    </row>
    <row r="336">
      <c r="A336">
        <f>IF(A$2=0,"",IFERROR(TRIM(INDEX('Pegar estudiantes'!$A$1:$BZ$1001,335,A$2)&amp;""),""))</f>
        <v/>
      </c>
      <c r="B336">
        <f>IF(B$2=0,"",IFERROR(TRIM(INDEX('Pegar estudiantes'!$A$1:$BZ$1001,335,B$2)&amp;""),""))</f>
        <v/>
      </c>
      <c r="C336">
        <f>IF(C$2=0,"",IFERROR(TRIM(INDEX('Pegar estudiantes'!$A$1:$BZ$1001,335,C$2)&amp;""),""))</f>
        <v/>
      </c>
      <c r="D336">
        <f>IF(D$2=0,"",IFERROR(TRIM(INDEX('Pegar estudiantes'!$A$1:$BZ$1001,335,D$2)&amp;""),""))</f>
        <v/>
      </c>
      <c r="E336">
        <f>IF(E$2=0,"",IFERROR(TRIM(INDEX('Pegar estudiantes'!$A$1:$BZ$1001,335,E$2)&amp;""),""))</f>
        <v/>
      </c>
      <c r="F336">
        <f>IF(F$2=0,"",IFERROR(TRIM(INDEX('Pegar estudiantes'!$A$1:$BZ$1001,335,F$2)&amp;""),""))</f>
        <v/>
      </c>
      <c r="G336">
        <f>IF(G$2=0,"",IFERROR(TRIM(INDEX('Pegar estudiantes'!$A$1:$BZ$1001,335,G$2)&amp;""),""))</f>
        <v/>
      </c>
      <c r="H336">
        <f>IF(H$2=0,"",IFERROR(TRIM(INDEX('Pegar estudiantes'!$A$1:$BZ$1001,335,H$2)&amp;""),""))</f>
        <v/>
      </c>
      <c r="I336">
        <f>IF(I$2=0,"",IFERROR(TRIM(INDEX('Pegar estudiantes'!$A$1:$BZ$1001,335,I$2)&amp;""),""))</f>
        <v/>
      </c>
      <c r="J336">
        <f>IF(J$2=0,"",IFERROR(TRIM(INDEX('Pegar estudiantes'!$A$1:$BZ$1001,335,J$2)&amp;""),""))</f>
        <v/>
      </c>
      <c r="K336">
        <f>IF(K$2=0,"",IFERROR(TRIM(INDEX('Pegar estudiantes'!$A$1:$BZ$1001,335,K$2)&amp;""),""))</f>
        <v/>
      </c>
      <c r="L336" s="25">
        <f>IF(A336&lt;&gt;"",1,"")</f>
        <v/>
      </c>
      <c r="M336" s="25">
        <f>IF(L336=1,IF(ISNUMBER(FIND("#"&amp;MID(A336,1,1)&amp;"#","#0#1#2#3#4#5#6#7#8#9#")),IF(ISNUMBER(FIND("#"&amp;MID(A336,2,1)&amp;"#","#0#1#2#3#4#5#6#7#8#9#")),IF(AND(VALUE(LEFT(A336,2))&gt;=1,VALUE(LEFT(A336,2))&lt;=5),VALUE(LEFT(A336,2)),""),IF(AND(VALUE(LEFT(A336,1))&gt;=1,VALUE(LEFT(A336,1))&lt;=5),VALUE(LEFT(A336,1)),"")),""),"")</f>
        <v/>
      </c>
      <c r="N336" s="25">
        <f>IF(L336=1,IF(ISNUMBER(FIND("#"&amp;MID(H336,1,1)&amp;"#","#0#1#2#3#4#5#6#7#8#9#")),IF(ISNUMBER(FIND("#"&amp;MID(H336,2,1)&amp;"#","#0#1#2#3#4#5#6#7#8#9#")),IF(AND(VALUE(LEFT(H336,2))&gt;=1,VALUE(LEFT(H336,2))&lt;=5),VALUE(LEFT(H336,2)),""),IF(AND(VALUE(LEFT(H336,1))&gt;=1,VALUE(LEFT(H336,1))&lt;=5),VALUE(LEFT(H336,1)),"")),""),"")</f>
        <v/>
      </c>
      <c r="O336" s="25">
        <f>IF(AND(L336=1,B336&lt;&gt;""),SUBSTITUTE(SUBSTITUTE(SUBSTITUTE(SUBSTITUTE(SUBSTITUTE(SUBSTITUTE(SUBSTITUTE(SUBSTITUTE(SUBSTITUTE(SUBSTITUTE(SUBSTITUTE(SUBSTITUTE(LOWER(TRIM(B336)),"á","a"),"é","e"),"í","i"),"ó","o"),"ú","u"),"ü","u"),"ñ","n"),"à","a"),"è","e"),"ì","i"),"ò","o"),"ù","u"),"")</f>
        <v/>
      </c>
      <c r="P336" s="25">
        <f>IF(AND(L336=1,C336&lt;&gt;""),SUBSTITUTE(SUBSTITUTE(SUBSTITUTE(SUBSTITUTE(SUBSTITUTE(SUBSTITUTE(SUBSTITUTE(SUBSTITUTE(SUBSTITUTE(SUBSTITUTE(SUBSTITUTE(SUBSTITUTE(LOWER(TRIM(C336)),"á","a"),"é","e"),"í","i"),"ó","o"),"ú","u"),"ü","u"),"ñ","n"),"à","a"),"è","e"),"ì","i"),"ò","o"),"ù","u"),"")</f>
        <v/>
      </c>
      <c r="Q336" s="25">
        <f>IF(AND(L336=1,E336&lt;&gt;""),SUBSTITUTE(SUBSTITUTE(SUBSTITUTE(SUBSTITUTE(SUBSTITUTE(SUBSTITUTE(SUBSTITUTE(SUBSTITUTE(SUBSTITUTE(SUBSTITUTE(SUBSTITUTE(SUBSTITUTE(LOWER(TRIM(E336)),"á","a"),"é","e"),"í","i"),"ó","o"),"ú","u"),"ü","u"),"ñ","n"),"à","a"),"è","e"),"ì","i"),"ò","o"),"ù","u"),"")</f>
        <v/>
      </c>
      <c r="R336" s="25">
        <f>IF(AND(L336=1,I336&lt;&gt;""),SUBSTITUTE(SUBSTITUTE(SUBSTITUTE(SUBSTITUTE(SUBSTITUTE(SUBSTITUTE(SUBSTITUTE(SUBSTITUTE(SUBSTITUTE(SUBSTITUTE(SUBSTITUTE(SUBSTITUTE(LOWER(TRIM(I336)),"á","a"),"é","e"),"í","i"),"ó","o"),"ú","u"),"ü","u"),"ñ","n"),"à","a"),"è","e"),"ì","i"),"ò","o"),"ù","u"),"")</f>
        <v/>
      </c>
      <c r="S336" s="25">
        <f>IF(R336="","",IF(OR(R336="si",R336="tal vez"),1,0))</f>
        <v/>
      </c>
      <c r="T336" s="25">
        <f>IF(AND(L336=1,D336&lt;&gt;""),IF(IFERROR(COUNTIFS(D$3:D336,"="&amp;SUBSTITUTE(SUBSTITUTE(SUBSTITUTE(D336,"~","~~"),"*","~*"),"?","~?"),L$3:L336,1),0)=1,MAX(T$2:T335)+1,""),"")</f>
        <v/>
      </c>
      <c r="U336" s="25">
        <f>IF(T336="","",COUNTIFS($D$3:$D$1002,"="&amp;SUBSTITUTE(SUBSTITUTE(SUBSTITUTE(D336,"~","~~"),"*","~*"),"?","~?"),$L$3:$L$1002,1)*10000-T336)</f>
        <v/>
      </c>
      <c r="V336" s="25">
        <f>IF(AND(L336=1,J336&lt;&gt;""),IF(IFERROR(COUNTIFS(J$3:J336,"="&amp;SUBSTITUTE(SUBSTITUTE(SUBSTITUTE(J336,"~","~~"),"*","~*"),"?","~?"),L$3:L336,1),0)=1,MAX(V$2:V335)+1,""),"")</f>
        <v/>
      </c>
      <c r="W336" s="25">
        <f>IF(V336="","",COUNTIFS($J$3:$J$1002,"="&amp;SUBSTITUTE(SUBSTITUTE(SUBSTITUTE(J336,"~","~~"),"*","~*"),"?","~?"),$L$3:$L$1002,1)*10000-V336)</f>
        <v/>
      </c>
    </row>
    <row r="337">
      <c r="A337">
        <f>IF(A$2=0,"",IFERROR(TRIM(INDEX('Pegar estudiantes'!$A$1:$BZ$1001,336,A$2)&amp;""),""))</f>
        <v/>
      </c>
      <c r="B337">
        <f>IF(B$2=0,"",IFERROR(TRIM(INDEX('Pegar estudiantes'!$A$1:$BZ$1001,336,B$2)&amp;""),""))</f>
        <v/>
      </c>
      <c r="C337">
        <f>IF(C$2=0,"",IFERROR(TRIM(INDEX('Pegar estudiantes'!$A$1:$BZ$1001,336,C$2)&amp;""),""))</f>
        <v/>
      </c>
      <c r="D337">
        <f>IF(D$2=0,"",IFERROR(TRIM(INDEX('Pegar estudiantes'!$A$1:$BZ$1001,336,D$2)&amp;""),""))</f>
        <v/>
      </c>
      <c r="E337">
        <f>IF(E$2=0,"",IFERROR(TRIM(INDEX('Pegar estudiantes'!$A$1:$BZ$1001,336,E$2)&amp;""),""))</f>
        <v/>
      </c>
      <c r="F337">
        <f>IF(F$2=0,"",IFERROR(TRIM(INDEX('Pegar estudiantes'!$A$1:$BZ$1001,336,F$2)&amp;""),""))</f>
        <v/>
      </c>
      <c r="G337">
        <f>IF(G$2=0,"",IFERROR(TRIM(INDEX('Pegar estudiantes'!$A$1:$BZ$1001,336,G$2)&amp;""),""))</f>
        <v/>
      </c>
      <c r="H337">
        <f>IF(H$2=0,"",IFERROR(TRIM(INDEX('Pegar estudiantes'!$A$1:$BZ$1001,336,H$2)&amp;""),""))</f>
        <v/>
      </c>
      <c r="I337">
        <f>IF(I$2=0,"",IFERROR(TRIM(INDEX('Pegar estudiantes'!$A$1:$BZ$1001,336,I$2)&amp;""),""))</f>
        <v/>
      </c>
      <c r="J337">
        <f>IF(J$2=0,"",IFERROR(TRIM(INDEX('Pegar estudiantes'!$A$1:$BZ$1001,336,J$2)&amp;""),""))</f>
        <v/>
      </c>
      <c r="K337">
        <f>IF(K$2=0,"",IFERROR(TRIM(INDEX('Pegar estudiantes'!$A$1:$BZ$1001,336,K$2)&amp;""),""))</f>
        <v/>
      </c>
      <c r="L337" s="25">
        <f>IF(A337&lt;&gt;"",1,"")</f>
        <v/>
      </c>
      <c r="M337" s="25">
        <f>IF(L337=1,IF(ISNUMBER(FIND("#"&amp;MID(A337,1,1)&amp;"#","#0#1#2#3#4#5#6#7#8#9#")),IF(ISNUMBER(FIND("#"&amp;MID(A337,2,1)&amp;"#","#0#1#2#3#4#5#6#7#8#9#")),IF(AND(VALUE(LEFT(A337,2))&gt;=1,VALUE(LEFT(A337,2))&lt;=5),VALUE(LEFT(A337,2)),""),IF(AND(VALUE(LEFT(A337,1))&gt;=1,VALUE(LEFT(A337,1))&lt;=5),VALUE(LEFT(A337,1)),"")),""),"")</f>
        <v/>
      </c>
      <c r="N337" s="25">
        <f>IF(L337=1,IF(ISNUMBER(FIND("#"&amp;MID(H337,1,1)&amp;"#","#0#1#2#3#4#5#6#7#8#9#")),IF(ISNUMBER(FIND("#"&amp;MID(H337,2,1)&amp;"#","#0#1#2#3#4#5#6#7#8#9#")),IF(AND(VALUE(LEFT(H337,2))&gt;=1,VALUE(LEFT(H337,2))&lt;=5),VALUE(LEFT(H337,2)),""),IF(AND(VALUE(LEFT(H337,1))&gt;=1,VALUE(LEFT(H337,1))&lt;=5),VALUE(LEFT(H337,1)),"")),""),"")</f>
        <v/>
      </c>
      <c r="O337" s="25">
        <f>IF(AND(L337=1,B337&lt;&gt;""),SUBSTITUTE(SUBSTITUTE(SUBSTITUTE(SUBSTITUTE(SUBSTITUTE(SUBSTITUTE(SUBSTITUTE(SUBSTITUTE(SUBSTITUTE(SUBSTITUTE(SUBSTITUTE(SUBSTITUTE(LOWER(TRIM(B337)),"á","a"),"é","e"),"í","i"),"ó","o"),"ú","u"),"ü","u"),"ñ","n"),"à","a"),"è","e"),"ì","i"),"ò","o"),"ù","u"),"")</f>
        <v/>
      </c>
      <c r="P337" s="25">
        <f>IF(AND(L337=1,C337&lt;&gt;""),SUBSTITUTE(SUBSTITUTE(SUBSTITUTE(SUBSTITUTE(SUBSTITUTE(SUBSTITUTE(SUBSTITUTE(SUBSTITUTE(SUBSTITUTE(SUBSTITUTE(SUBSTITUTE(SUBSTITUTE(LOWER(TRIM(C337)),"á","a"),"é","e"),"í","i"),"ó","o"),"ú","u"),"ü","u"),"ñ","n"),"à","a"),"è","e"),"ì","i"),"ò","o"),"ù","u"),"")</f>
        <v/>
      </c>
      <c r="Q337" s="25">
        <f>IF(AND(L337=1,E337&lt;&gt;""),SUBSTITUTE(SUBSTITUTE(SUBSTITUTE(SUBSTITUTE(SUBSTITUTE(SUBSTITUTE(SUBSTITUTE(SUBSTITUTE(SUBSTITUTE(SUBSTITUTE(SUBSTITUTE(SUBSTITUTE(LOWER(TRIM(E337)),"á","a"),"é","e"),"í","i"),"ó","o"),"ú","u"),"ü","u"),"ñ","n"),"à","a"),"è","e"),"ì","i"),"ò","o"),"ù","u"),"")</f>
        <v/>
      </c>
      <c r="R337" s="25">
        <f>IF(AND(L337=1,I337&lt;&gt;""),SUBSTITUTE(SUBSTITUTE(SUBSTITUTE(SUBSTITUTE(SUBSTITUTE(SUBSTITUTE(SUBSTITUTE(SUBSTITUTE(SUBSTITUTE(SUBSTITUTE(SUBSTITUTE(SUBSTITUTE(LOWER(TRIM(I337)),"á","a"),"é","e"),"í","i"),"ó","o"),"ú","u"),"ü","u"),"ñ","n"),"à","a"),"è","e"),"ì","i"),"ò","o"),"ù","u"),"")</f>
        <v/>
      </c>
      <c r="S337" s="25">
        <f>IF(R337="","",IF(OR(R337="si",R337="tal vez"),1,0))</f>
        <v/>
      </c>
      <c r="T337" s="25">
        <f>IF(AND(L337=1,D337&lt;&gt;""),IF(IFERROR(COUNTIFS(D$3:D337,"="&amp;SUBSTITUTE(SUBSTITUTE(SUBSTITUTE(D337,"~","~~"),"*","~*"),"?","~?"),L$3:L337,1),0)=1,MAX(T$2:T336)+1,""),"")</f>
        <v/>
      </c>
      <c r="U337" s="25">
        <f>IF(T337="","",COUNTIFS($D$3:$D$1002,"="&amp;SUBSTITUTE(SUBSTITUTE(SUBSTITUTE(D337,"~","~~"),"*","~*"),"?","~?"),$L$3:$L$1002,1)*10000-T337)</f>
        <v/>
      </c>
      <c r="V337" s="25">
        <f>IF(AND(L337=1,J337&lt;&gt;""),IF(IFERROR(COUNTIFS(J$3:J337,"="&amp;SUBSTITUTE(SUBSTITUTE(SUBSTITUTE(J337,"~","~~"),"*","~*"),"?","~?"),L$3:L337,1),0)=1,MAX(V$2:V336)+1,""),"")</f>
        <v/>
      </c>
      <c r="W337" s="25">
        <f>IF(V337="","",COUNTIFS($J$3:$J$1002,"="&amp;SUBSTITUTE(SUBSTITUTE(SUBSTITUTE(J337,"~","~~"),"*","~*"),"?","~?"),$L$3:$L$1002,1)*10000-V337)</f>
        <v/>
      </c>
    </row>
    <row r="338">
      <c r="A338">
        <f>IF(A$2=0,"",IFERROR(TRIM(INDEX('Pegar estudiantes'!$A$1:$BZ$1001,337,A$2)&amp;""),""))</f>
        <v/>
      </c>
      <c r="B338">
        <f>IF(B$2=0,"",IFERROR(TRIM(INDEX('Pegar estudiantes'!$A$1:$BZ$1001,337,B$2)&amp;""),""))</f>
        <v/>
      </c>
      <c r="C338">
        <f>IF(C$2=0,"",IFERROR(TRIM(INDEX('Pegar estudiantes'!$A$1:$BZ$1001,337,C$2)&amp;""),""))</f>
        <v/>
      </c>
      <c r="D338">
        <f>IF(D$2=0,"",IFERROR(TRIM(INDEX('Pegar estudiantes'!$A$1:$BZ$1001,337,D$2)&amp;""),""))</f>
        <v/>
      </c>
      <c r="E338">
        <f>IF(E$2=0,"",IFERROR(TRIM(INDEX('Pegar estudiantes'!$A$1:$BZ$1001,337,E$2)&amp;""),""))</f>
        <v/>
      </c>
      <c r="F338">
        <f>IF(F$2=0,"",IFERROR(TRIM(INDEX('Pegar estudiantes'!$A$1:$BZ$1001,337,F$2)&amp;""),""))</f>
        <v/>
      </c>
      <c r="G338">
        <f>IF(G$2=0,"",IFERROR(TRIM(INDEX('Pegar estudiantes'!$A$1:$BZ$1001,337,G$2)&amp;""),""))</f>
        <v/>
      </c>
      <c r="H338">
        <f>IF(H$2=0,"",IFERROR(TRIM(INDEX('Pegar estudiantes'!$A$1:$BZ$1001,337,H$2)&amp;""),""))</f>
        <v/>
      </c>
      <c r="I338">
        <f>IF(I$2=0,"",IFERROR(TRIM(INDEX('Pegar estudiantes'!$A$1:$BZ$1001,337,I$2)&amp;""),""))</f>
        <v/>
      </c>
      <c r="J338">
        <f>IF(J$2=0,"",IFERROR(TRIM(INDEX('Pegar estudiantes'!$A$1:$BZ$1001,337,J$2)&amp;""),""))</f>
        <v/>
      </c>
      <c r="K338">
        <f>IF(K$2=0,"",IFERROR(TRIM(INDEX('Pegar estudiantes'!$A$1:$BZ$1001,337,K$2)&amp;""),""))</f>
        <v/>
      </c>
      <c r="L338" s="25">
        <f>IF(A338&lt;&gt;"",1,"")</f>
        <v/>
      </c>
      <c r="M338" s="25">
        <f>IF(L338=1,IF(ISNUMBER(FIND("#"&amp;MID(A338,1,1)&amp;"#","#0#1#2#3#4#5#6#7#8#9#")),IF(ISNUMBER(FIND("#"&amp;MID(A338,2,1)&amp;"#","#0#1#2#3#4#5#6#7#8#9#")),IF(AND(VALUE(LEFT(A338,2))&gt;=1,VALUE(LEFT(A338,2))&lt;=5),VALUE(LEFT(A338,2)),""),IF(AND(VALUE(LEFT(A338,1))&gt;=1,VALUE(LEFT(A338,1))&lt;=5),VALUE(LEFT(A338,1)),"")),""),"")</f>
        <v/>
      </c>
      <c r="N338" s="25">
        <f>IF(L338=1,IF(ISNUMBER(FIND("#"&amp;MID(H338,1,1)&amp;"#","#0#1#2#3#4#5#6#7#8#9#")),IF(ISNUMBER(FIND("#"&amp;MID(H338,2,1)&amp;"#","#0#1#2#3#4#5#6#7#8#9#")),IF(AND(VALUE(LEFT(H338,2))&gt;=1,VALUE(LEFT(H338,2))&lt;=5),VALUE(LEFT(H338,2)),""),IF(AND(VALUE(LEFT(H338,1))&gt;=1,VALUE(LEFT(H338,1))&lt;=5),VALUE(LEFT(H338,1)),"")),""),"")</f>
        <v/>
      </c>
      <c r="O338" s="25">
        <f>IF(AND(L338=1,B338&lt;&gt;""),SUBSTITUTE(SUBSTITUTE(SUBSTITUTE(SUBSTITUTE(SUBSTITUTE(SUBSTITUTE(SUBSTITUTE(SUBSTITUTE(SUBSTITUTE(SUBSTITUTE(SUBSTITUTE(SUBSTITUTE(LOWER(TRIM(B338)),"á","a"),"é","e"),"í","i"),"ó","o"),"ú","u"),"ü","u"),"ñ","n"),"à","a"),"è","e"),"ì","i"),"ò","o"),"ù","u"),"")</f>
        <v/>
      </c>
      <c r="P338" s="25">
        <f>IF(AND(L338=1,C338&lt;&gt;""),SUBSTITUTE(SUBSTITUTE(SUBSTITUTE(SUBSTITUTE(SUBSTITUTE(SUBSTITUTE(SUBSTITUTE(SUBSTITUTE(SUBSTITUTE(SUBSTITUTE(SUBSTITUTE(SUBSTITUTE(LOWER(TRIM(C338)),"á","a"),"é","e"),"í","i"),"ó","o"),"ú","u"),"ü","u"),"ñ","n"),"à","a"),"è","e"),"ì","i"),"ò","o"),"ù","u"),"")</f>
        <v/>
      </c>
      <c r="Q338" s="25">
        <f>IF(AND(L338=1,E338&lt;&gt;""),SUBSTITUTE(SUBSTITUTE(SUBSTITUTE(SUBSTITUTE(SUBSTITUTE(SUBSTITUTE(SUBSTITUTE(SUBSTITUTE(SUBSTITUTE(SUBSTITUTE(SUBSTITUTE(SUBSTITUTE(LOWER(TRIM(E338)),"á","a"),"é","e"),"í","i"),"ó","o"),"ú","u"),"ü","u"),"ñ","n"),"à","a"),"è","e"),"ì","i"),"ò","o"),"ù","u"),"")</f>
        <v/>
      </c>
      <c r="R338" s="25">
        <f>IF(AND(L338=1,I338&lt;&gt;""),SUBSTITUTE(SUBSTITUTE(SUBSTITUTE(SUBSTITUTE(SUBSTITUTE(SUBSTITUTE(SUBSTITUTE(SUBSTITUTE(SUBSTITUTE(SUBSTITUTE(SUBSTITUTE(SUBSTITUTE(LOWER(TRIM(I338)),"á","a"),"é","e"),"í","i"),"ó","o"),"ú","u"),"ü","u"),"ñ","n"),"à","a"),"è","e"),"ì","i"),"ò","o"),"ù","u"),"")</f>
        <v/>
      </c>
      <c r="S338" s="25">
        <f>IF(R338="","",IF(OR(R338="si",R338="tal vez"),1,0))</f>
        <v/>
      </c>
      <c r="T338" s="25">
        <f>IF(AND(L338=1,D338&lt;&gt;""),IF(IFERROR(COUNTIFS(D$3:D338,"="&amp;SUBSTITUTE(SUBSTITUTE(SUBSTITUTE(D338,"~","~~"),"*","~*"),"?","~?"),L$3:L338,1),0)=1,MAX(T$2:T337)+1,""),"")</f>
        <v/>
      </c>
      <c r="U338" s="25">
        <f>IF(T338="","",COUNTIFS($D$3:$D$1002,"="&amp;SUBSTITUTE(SUBSTITUTE(SUBSTITUTE(D338,"~","~~"),"*","~*"),"?","~?"),$L$3:$L$1002,1)*10000-T338)</f>
        <v/>
      </c>
      <c r="V338" s="25">
        <f>IF(AND(L338=1,J338&lt;&gt;""),IF(IFERROR(COUNTIFS(J$3:J338,"="&amp;SUBSTITUTE(SUBSTITUTE(SUBSTITUTE(J338,"~","~~"),"*","~*"),"?","~?"),L$3:L338,1),0)=1,MAX(V$2:V337)+1,""),"")</f>
        <v/>
      </c>
      <c r="W338" s="25">
        <f>IF(V338="","",COUNTIFS($J$3:$J$1002,"="&amp;SUBSTITUTE(SUBSTITUTE(SUBSTITUTE(J338,"~","~~"),"*","~*"),"?","~?"),$L$3:$L$1002,1)*10000-V338)</f>
        <v/>
      </c>
    </row>
    <row r="339">
      <c r="A339">
        <f>IF(A$2=0,"",IFERROR(TRIM(INDEX('Pegar estudiantes'!$A$1:$BZ$1001,338,A$2)&amp;""),""))</f>
        <v/>
      </c>
      <c r="B339">
        <f>IF(B$2=0,"",IFERROR(TRIM(INDEX('Pegar estudiantes'!$A$1:$BZ$1001,338,B$2)&amp;""),""))</f>
        <v/>
      </c>
      <c r="C339">
        <f>IF(C$2=0,"",IFERROR(TRIM(INDEX('Pegar estudiantes'!$A$1:$BZ$1001,338,C$2)&amp;""),""))</f>
        <v/>
      </c>
      <c r="D339">
        <f>IF(D$2=0,"",IFERROR(TRIM(INDEX('Pegar estudiantes'!$A$1:$BZ$1001,338,D$2)&amp;""),""))</f>
        <v/>
      </c>
      <c r="E339">
        <f>IF(E$2=0,"",IFERROR(TRIM(INDEX('Pegar estudiantes'!$A$1:$BZ$1001,338,E$2)&amp;""),""))</f>
        <v/>
      </c>
      <c r="F339">
        <f>IF(F$2=0,"",IFERROR(TRIM(INDEX('Pegar estudiantes'!$A$1:$BZ$1001,338,F$2)&amp;""),""))</f>
        <v/>
      </c>
      <c r="G339">
        <f>IF(G$2=0,"",IFERROR(TRIM(INDEX('Pegar estudiantes'!$A$1:$BZ$1001,338,G$2)&amp;""),""))</f>
        <v/>
      </c>
      <c r="H339">
        <f>IF(H$2=0,"",IFERROR(TRIM(INDEX('Pegar estudiantes'!$A$1:$BZ$1001,338,H$2)&amp;""),""))</f>
        <v/>
      </c>
      <c r="I339">
        <f>IF(I$2=0,"",IFERROR(TRIM(INDEX('Pegar estudiantes'!$A$1:$BZ$1001,338,I$2)&amp;""),""))</f>
        <v/>
      </c>
      <c r="J339">
        <f>IF(J$2=0,"",IFERROR(TRIM(INDEX('Pegar estudiantes'!$A$1:$BZ$1001,338,J$2)&amp;""),""))</f>
        <v/>
      </c>
      <c r="K339">
        <f>IF(K$2=0,"",IFERROR(TRIM(INDEX('Pegar estudiantes'!$A$1:$BZ$1001,338,K$2)&amp;""),""))</f>
        <v/>
      </c>
      <c r="L339" s="25">
        <f>IF(A339&lt;&gt;"",1,"")</f>
        <v/>
      </c>
      <c r="M339" s="25">
        <f>IF(L339=1,IF(ISNUMBER(FIND("#"&amp;MID(A339,1,1)&amp;"#","#0#1#2#3#4#5#6#7#8#9#")),IF(ISNUMBER(FIND("#"&amp;MID(A339,2,1)&amp;"#","#0#1#2#3#4#5#6#7#8#9#")),IF(AND(VALUE(LEFT(A339,2))&gt;=1,VALUE(LEFT(A339,2))&lt;=5),VALUE(LEFT(A339,2)),""),IF(AND(VALUE(LEFT(A339,1))&gt;=1,VALUE(LEFT(A339,1))&lt;=5),VALUE(LEFT(A339,1)),"")),""),"")</f>
        <v/>
      </c>
      <c r="N339" s="25">
        <f>IF(L339=1,IF(ISNUMBER(FIND("#"&amp;MID(H339,1,1)&amp;"#","#0#1#2#3#4#5#6#7#8#9#")),IF(ISNUMBER(FIND("#"&amp;MID(H339,2,1)&amp;"#","#0#1#2#3#4#5#6#7#8#9#")),IF(AND(VALUE(LEFT(H339,2))&gt;=1,VALUE(LEFT(H339,2))&lt;=5),VALUE(LEFT(H339,2)),""),IF(AND(VALUE(LEFT(H339,1))&gt;=1,VALUE(LEFT(H339,1))&lt;=5),VALUE(LEFT(H339,1)),"")),""),"")</f>
        <v/>
      </c>
      <c r="O339" s="25">
        <f>IF(AND(L339=1,B339&lt;&gt;""),SUBSTITUTE(SUBSTITUTE(SUBSTITUTE(SUBSTITUTE(SUBSTITUTE(SUBSTITUTE(SUBSTITUTE(SUBSTITUTE(SUBSTITUTE(SUBSTITUTE(SUBSTITUTE(SUBSTITUTE(LOWER(TRIM(B339)),"á","a"),"é","e"),"í","i"),"ó","o"),"ú","u"),"ü","u"),"ñ","n"),"à","a"),"è","e"),"ì","i"),"ò","o"),"ù","u"),"")</f>
        <v/>
      </c>
      <c r="P339" s="25">
        <f>IF(AND(L339=1,C339&lt;&gt;""),SUBSTITUTE(SUBSTITUTE(SUBSTITUTE(SUBSTITUTE(SUBSTITUTE(SUBSTITUTE(SUBSTITUTE(SUBSTITUTE(SUBSTITUTE(SUBSTITUTE(SUBSTITUTE(SUBSTITUTE(LOWER(TRIM(C339)),"á","a"),"é","e"),"í","i"),"ó","o"),"ú","u"),"ü","u"),"ñ","n"),"à","a"),"è","e"),"ì","i"),"ò","o"),"ù","u"),"")</f>
        <v/>
      </c>
      <c r="Q339" s="25">
        <f>IF(AND(L339=1,E339&lt;&gt;""),SUBSTITUTE(SUBSTITUTE(SUBSTITUTE(SUBSTITUTE(SUBSTITUTE(SUBSTITUTE(SUBSTITUTE(SUBSTITUTE(SUBSTITUTE(SUBSTITUTE(SUBSTITUTE(SUBSTITUTE(LOWER(TRIM(E339)),"á","a"),"é","e"),"í","i"),"ó","o"),"ú","u"),"ü","u"),"ñ","n"),"à","a"),"è","e"),"ì","i"),"ò","o"),"ù","u"),"")</f>
        <v/>
      </c>
      <c r="R339" s="25">
        <f>IF(AND(L339=1,I339&lt;&gt;""),SUBSTITUTE(SUBSTITUTE(SUBSTITUTE(SUBSTITUTE(SUBSTITUTE(SUBSTITUTE(SUBSTITUTE(SUBSTITUTE(SUBSTITUTE(SUBSTITUTE(SUBSTITUTE(SUBSTITUTE(LOWER(TRIM(I339)),"á","a"),"é","e"),"í","i"),"ó","o"),"ú","u"),"ü","u"),"ñ","n"),"à","a"),"è","e"),"ì","i"),"ò","o"),"ù","u"),"")</f>
        <v/>
      </c>
      <c r="S339" s="25">
        <f>IF(R339="","",IF(OR(R339="si",R339="tal vez"),1,0))</f>
        <v/>
      </c>
      <c r="T339" s="25">
        <f>IF(AND(L339=1,D339&lt;&gt;""),IF(IFERROR(COUNTIFS(D$3:D339,"="&amp;SUBSTITUTE(SUBSTITUTE(SUBSTITUTE(D339,"~","~~"),"*","~*"),"?","~?"),L$3:L339,1),0)=1,MAX(T$2:T338)+1,""),"")</f>
        <v/>
      </c>
      <c r="U339" s="25">
        <f>IF(T339="","",COUNTIFS($D$3:$D$1002,"="&amp;SUBSTITUTE(SUBSTITUTE(SUBSTITUTE(D339,"~","~~"),"*","~*"),"?","~?"),$L$3:$L$1002,1)*10000-T339)</f>
        <v/>
      </c>
      <c r="V339" s="25">
        <f>IF(AND(L339=1,J339&lt;&gt;""),IF(IFERROR(COUNTIFS(J$3:J339,"="&amp;SUBSTITUTE(SUBSTITUTE(SUBSTITUTE(J339,"~","~~"),"*","~*"),"?","~?"),L$3:L339,1),0)=1,MAX(V$2:V338)+1,""),"")</f>
        <v/>
      </c>
      <c r="W339" s="25">
        <f>IF(V339="","",COUNTIFS($J$3:$J$1002,"="&amp;SUBSTITUTE(SUBSTITUTE(SUBSTITUTE(J339,"~","~~"),"*","~*"),"?","~?"),$L$3:$L$1002,1)*10000-V339)</f>
        <v/>
      </c>
    </row>
    <row r="340">
      <c r="A340">
        <f>IF(A$2=0,"",IFERROR(TRIM(INDEX('Pegar estudiantes'!$A$1:$BZ$1001,339,A$2)&amp;""),""))</f>
        <v/>
      </c>
      <c r="B340">
        <f>IF(B$2=0,"",IFERROR(TRIM(INDEX('Pegar estudiantes'!$A$1:$BZ$1001,339,B$2)&amp;""),""))</f>
        <v/>
      </c>
      <c r="C340">
        <f>IF(C$2=0,"",IFERROR(TRIM(INDEX('Pegar estudiantes'!$A$1:$BZ$1001,339,C$2)&amp;""),""))</f>
        <v/>
      </c>
      <c r="D340">
        <f>IF(D$2=0,"",IFERROR(TRIM(INDEX('Pegar estudiantes'!$A$1:$BZ$1001,339,D$2)&amp;""),""))</f>
        <v/>
      </c>
      <c r="E340">
        <f>IF(E$2=0,"",IFERROR(TRIM(INDEX('Pegar estudiantes'!$A$1:$BZ$1001,339,E$2)&amp;""),""))</f>
        <v/>
      </c>
      <c r="F340">
        <f>IF(F$2=0,"",IFERROR(TRIM(INDEX('Pegar estudiantes'!$A$1:$BZ$1001,339,F$2)&amp;""),""))</f>
        <v/>
      </c>
      <c r="G340">
        <f>IF(G$2=0,"",IFERROR(TRIM(INDEX('Pegar estudiantes'!$A$1:$BZ$1001,339,G$2)&amp;""),""))</f>
        <v/>
      </c>
      <c r="H340">
        <f>IF(H$2=0,"",IFERROR(TRIM(INDEX('Pegar estudiantes'!$A$1:$BZ$1001,339,H$2)&amp;""),""))</f>
        <v/>
      </c>
      <c r="I340">
        <f>IF(I$2=0,"",IFERROR(TRIM(INDEX('Pegar estudiantes'!$A$1:$BZ$1001,339,I$2)&amp;""),""))</f>
        <v/>
      </c>
      <c r="J340">
        <f>IF(J$2=0,"",IFERROR(TRIM(INDEX('Pegar estudiantes'!$A$1:$BZ$1001,339,J$2)&amp;""),""))</f>
        <v/>
      </c>
      <c r="K340">
        <f>IF(K$2=0,"",IFERROR(TRIM(INDEX('Pegar estudiantes'!$A$1:$BZ$1001,339,K$2)&amp;""),""))</f>
        <v/>
      </c>
      <c r="L340" s="25">
        <f>IF(A340&lt;&gt;"",1,"")</f>
        <v/>
      </c>
      <c r="M340" s="25">
        <f>IF(L340=1,IF(ISNUMBER(FIND("#"&amp;MID(A340,1,1)&amp;"#","#0#1#2#3#4#5#6#7#8#9#")),IF(ISNUMBER(FIND("#"&amp;MID(A340,2,1)&amp;"#","#0#1#2#3#4#5#6#7#8#9#")),IF(AND(VALUE(LEFT(A340,2))&gt;=1,VALUE(LEFT(A340,2))&lt;=5),VALUE(LEFT(A340,2)),""),IF(AND(VALUE(LEFT(A340,1))&gt;=1,VALUE(LEFT(A340,1))&lt;=5),VALUE(LEFT(A340,1)),"")),""),"")</f>
        <v/>
      </c>
      <c r="N340" s="25">
        <f>IF(L340=1,IF(ISNUMBER(FIND("#"&amp;MID(H340,1,1)&amp;"#","#0#1#2#3#4#5#6#7#8#9#")),IF(ISNUMBER(FIND("#"&amp;MID(H340,2,1)&amp;"#","#0#1#2#3#4#5#6#7#8#9#")),IF(AND(VALUE(LEFT(H340,2))&gt;=1,VALUE(LEFT(H340,2))&lt;=5),VALUE(LEFT(H340,2)),""),IF(AND(VALUE(LEFT(H340,1))&gt;=1,VALUE(LEFT(H340,1))&lt;=5),VALUE(LEFT(H340,1)),"")),""),"")</f>
        <v/>
      </c>
      <c r="O340" s="25">
        <f>IF(AND(L340=1,B340&lt;&gt;""),SUBSTITUTE(SUBSTITUTE(SUBSTITUTE(SUBSTITUTE(SUBSTITUTE(SUBSTITUTE(SUBSTITUTE(SUBSTITUTE(SUBSTITUTE(SUBSTITUTE(SUBSTITUTE(SUBSTITUTE(LOWER(TRIM(B340)),"á","a"),"é","e"),"í","i"),"ó","o"),"ú","u"),"ü","u"),"ñ","n"),"à","a"),"è","e"),"ì","i"),"ò","o"),"ù","u"),"")</f>
        <v/>
      </c>
      <c r="P340" s="25">
        <f>IF(AND(L340=1,C340&lt;&gt;""),SUBSTITUTE(SUBSTITUTE(SUBSTITUTE(SUBSTITUTE(SUBSTITUTE(SUBSTITUTE(SUBSTITUTE(SUBSTITUTE(SUBSTITUTE(SUBSTITUTE(SUBSTITUTE(SUBSTITUTE(LOWER(TRIM(C340)),"á","a"),"é","e"),"í","i"),"ó","o"),"ú","u"),"ü","u"),"ñ","n"),"à","a"),"è","e"),"ì","i"),"ò","o"),"ù","u"),"")</f>
        <v/>
      </c>
      <c r="Q340" s="25">
        <f>IF(AND(L340=1,E340&lt;&gt;""),SUBSTITUTE(SUBSTITUTE(SUBSTITUTE(SUBSTITUTE(SUBSTITUTE(SUBSTITUTE(SUBSTITUTE(SUBSTITUTE(SUBSTITUTE(SUBSTITUTE(SUBSTITUTE(SUBSTITUTE(LOWER(TRIM(E340)),"á","a"),"é","e"),"í","i"),"ó","o"),"ú","u"),"ü","u"),"ñ","n"),"à","a"),"è","e"),"ì","i"),"ò","o"),"ù","u"),"")</f>
        <v/>
      </c>
      <c r="R340" s="25">
        <f>IF(AND(L340=1,I340&lt;&gt;""),SUBSTITUTE(SUBSTITUTE(SUBSTITUTE(SUBSTITUTE(SUBSTITUTE(SUBSTITUTE(SUBSTITUTE(SUBSTITUTE(SUBSTITUTE(SUBSTITUTE(SUBSTITUTE(SUBSTITUTE(LOWER(TRIM(I340)),"á","a"),"é","e"),"í","i"),"ó","o"),"ú","u"),"ü","u"),"ñ","n"),"à","a"),"è","e"),"ì","i"),"ò","o"),"ù","u"),"")</f>
        <v/>
      </c>
      <c r="S340" s="25">
        <f>IF(R340="","",IF(OR(R340="si",R340="tal vez"),1,0))</f>
        <v/>
      </c>
      <c r="T340" s="25">
        <f>IF(AND(L340=1,D340&lt;&gt;""),IF(IFERROR(COUNTIFS(D$3:D340,"="&amp;SUBSTITUTE(SUBSTITUTE(SUBSTITUTE(D340,"~","~~"),"*","~*"),"?","~?"),L$3:L340,1),0)=1,MAX(T$2:T339)+1,""),"")</f>
        <v/>
      </c>
      <c r="U340" s="25">
        <f>IF(T340="","",COUNTIFS($D$3:$D$1002,"="&amp;SUBSTITUTE(SUBSTITUTE(SUBSTITUTE(D340,"~","~~"),"*","~*"),"?","~?"),$L$3:$L$1002,1)*10000-T340)</f>
        <v/>
      </c>
      <c r="V340" s="25">
        <f>IF(AND(L340=1,J340&lt;&gt;""),IF(IFERROR(COUNTIFS(J$3:J340,"="&amp;SUBSTITUTE(SUBSTITUTE(SUBSTITUTE(J340,"~","~~"),"*","~*"),"?","~?"),L$3:L340,1),0)=1,MAX(V$2:V339)+1,""),"")</f>
        <v/>
      </c>
      <c r="W340" s="25">
        <f>IF(V340="","",COUNTIFS($J$3:$J$1002,"="&amp;SUBSTITUTE(SUBSTITUTE(SUBSTITUTE(J340,"~","~~"),"*","~*"),"?","~?"),$L$3:$L$1002,1)*10000-V340)</f>
        <v/>
      </c>
    </row>
    <row r="341">
      <c r="A341">
        <f>IF(A$2=0,"",IFERROR(TRIM(INDEX('Pegar estudiantes'!$A$1:$BZ$1001,340,A$2)&amp;""),""))</f>
        <v/>
      </c>
      <c r="B341">
        <f>IF(B$2=0,"",IFERROR(TRIM(INDEX('Pegar estudiantes'!$A$1:$BZ$1001,340,B$2)&amp;""),""))</f>
        <v/>
      </c>
      <c r="C341">
        <f>IF(C$2=0,"",IFERROR(TRIM(INDEX('Pegar estudiantes'!$A$1:$BZ$1001,340,C$2)&amp;""),""))</f>
        <v/>
      </c>
      <c r="D341">
        <f>IF(D$2=0,"",IFERROR(TRIM(INDEX('Pegar estudiantes'!$A$1:$BZ$1001,340,D$2)&amp;""),""))</f>
        <v/>
      </c>
      <c r="E341">
        <f>IF(E$2=0,"",IFERROR(TRIM(INDEX('Pegar estudiantes'!$A$1:$BZ$1001,340,E$2)&amp;""),""))</f>
        <v/>
      </c>
      <c r="F341">
        <f>IF(F$2=0,"",IFERROR(TRIM(INDEX('Pegar estudiantes'!$A$1:$BZ$1001,340,F$2)&amp;""),""))</f>
        <v/>
      </c>
      <c r="G341">
        <f>IF(G$2=0,"",IFERROR(TRIM(INDEX('Pegar estudiantes'!$A$1:$BZ$1001,340,G$2)&amp;""),""))</f>
        <v/>
      </c>
      <c r="H341">
        <f>IF(H$2=0,"",IFERROR(TRIM(INDEX('Pegar estudiantes'!$A$1:$BZ$1001,340,H$2)&amp;""),""))</f>
        <v/>
      </c>
      <c r="I341">
        <f>IF(I$2=0,"",IFERROR(TRIM(INDEX('Pegar estudiantes'!$A$1:$BZ$1001,340,I$2)&amp;""),""))</f>
        <v/>
      </c>
      <c r="J341">
        <f>IF(J$2=0,"",IFERROR(TRIM(INDEX('Pegar estudiantes'!$A$1:$BZ$1001,340,J$2)&amp;""),""))</f>
        <v/>
      </c>
      <c r="K341">
        <f>IF(K$2=0,"",IFERROR(TRIM(INDEX('Pegar estudiantes'!$A$1:$BZ$1001,340,K$2)&amp;""),""))</f>
        <v/>
      </c>
      <c r="L341" s="25">
        <f>IF(A341&lt;&gt;"",1,"")</f>
        <v/>
      </c>
      <c r="M341" s="25">
        <f>IF(L341=1,IF(ISNUMBER(FIND("#"&amp;MID(A341,1,1)&amp;"#","#0#1#2#3#4#5#6#7#8#9#")),IF(ISNUMBER(FIND("#"&amp;MID(A341,2,1)&amp;"#","#0#1#2#3#4#5#6#7#8#9#")),IF(AND(VALUE(LEFT(A341,2))&gt;=1,VALUE(LEFT(A341,2))&lt;=5),VALUE(LEFT(A341,2)),""),IF(AND(VALUE(LEFT(A341,1))&gt;=1,VALUE(LEFT(A341,1))&lt;=5),VALUE(LEFT(A341,1)),"")),""),"")</f>
        <v/>
      </c>
      <c r="N341" s="25">
        <f>IF(L341=1,IF(ISNUMBER(FIND("#"&amp;MID(H341,1,1)&amp;"#","#0#1#2#3#4#5#6#7#8#9#")),IF(ISNUMBER(FIND("#"&amp;MID(H341,2,1)&amp;"#","#0#1#2#3#4#5#6#7#8#9#")),IF(AND(VALUE(LEFT(H341,2))&gt;=1,VALUE(LEFT(H341,2))&lt;=5),VALUE(LEFT(H341,2)),""),IF(AND(VALUE(LEFT(H341,1))&gt;=1,VALUE(LEFT(H341,1))&lt;=5),VALUE(LEFT(H341,1)),"")),""),"")</f>
        <v/>
      </c>
      <c r="O341" s="25">
        <f>IF(AND(L341=1,B341&lt;&gt;""),SUBSTITUTE(SUBSTITUTE(SUBSTITUTE(SUBSTITUTE(SUBSTITUTE(SUBSTITUTE(SUBSTITUTE(SUBSTITUTE(SUBSTITUTE(SUBSTITUTE(SUBSTITUTE(SUBSTITUTE(LOWER(TRIM(B341)),"á","a"),"é","e"),"í","i"),"ó","o"),"ú","u"),"ü","u"),"ñ","n"),"à","a"),"è","e"),"ì","i"),"ò","o"),"ù","u"),"")</f>
        <v/>
      </c>
      <c r="P341" s="25">
        <f>IF(AND(L341=1,C341&lt;&gt;""),SUBSTITUTE(SUBSTITUTE(SUBSTITUTE(SUBSTITUTE(SUBSTITUTE(SUBSTITUTE(SUBSTITUTE(SUBSTITUTE(SUBSTITUTE(SUBSTITUTE(SUBSTITUTE(SUBSTITUTE(LOWER(TRIM(C341)),"á","a"),"é","e"),"í","i"),"ó","o"),"ú","u"),"ü","u"),"ñ","n"),"à","a"),"è","e"),"ì","i"),"ò","o"),"ù","u"),"")</f>
        <v/>
      </c>
      <c r="Q341" s="25">
        <f>IF(AND(L341=1,E341&lt;&gt;""),SUBSTITUTE(SUBSTITUTE(SUBSTITUTE(SUBSTITUTE(SUBSTITUTE(SUBSTITUTE(SUBSTITUTE(SUBSTITUTE(SUBSTITUTE(SUBSTITUTE(SUBSTITUTE(SUBSTITUTE(LOWER(TRIM(E341)),"á","a"),"é","e"),"í","i"),"ó","o"),"ú","u"),"ü","u"),"ñ","n"),"à","a"),"è","e"),"ì","i"),"ò","o"),"ù","u"),"")</f>
        <v/>
      </c>
      <c r="R341" s="25">
        <f>IF(AND(L341=1,I341&lt;&gt;""),SUBSTITUTE(SUBSTITUTE(SUBSTITUTE(SUBSTITUTE(SUBSTITUTE(SUBSTITUTE(SUBSTITUTE(SUBSTITUTE(SUBSTITUTE(SUBSTITUTE(SUBSTITUTE(SUBSTITUTE(LOWER(TRIM(I341)),"á","a"),"é","e"),"í","i"),"ó","o"),"ú","u"),"ü","u"),"ñ","n"),"à","a"),"è","e"),"ì","i"),"ò","o"),"ù","u"),"")</f>
        <v/>
      </c>
      <c r="S341" s="25">
        <f>IF(R341="","",IF(OR(R341="si",R341="tal vez"),1,0))</f>
        <v/>
      </c>
      <c r="T341" s="25">
        <f>IF(AND(L341=1,D341&lt;&gt;""),IF(IFERROR(COUNTIFS(D$3:D341,"="&amp;SUBSTITUTE(SUBSTITUTE(SUBSTITUTE(D341,"~","~~"),"*","~*"),"?","~?"),L$3:L341,1),0)=1,MAX(T$2:T340)+1,""),"")</f>
        <v/>
      </c>
      <c r="U341" s="25">
        <f>IF(T341="","",COUNTIFS($D$3:$D$1002,"="&amp;SUBSTITUTE(SUBSTITUTE(SUBSTITUTE(D341,"~","~~"),"*","~*"),"?","~?"),$L$3:$L$1002,1)*10000-T341)</f>
        <v/>
      </c>
      <c r="V341" s="25">
        <f>IF(AND(L341=1,J341&lt;&gt;""),IF(IFERROR(COUNTIFS(J$3:J341,"="&amp;SUBSTITUTE(SUBSTITUTE(SUBSTITUTE(J341,"~","~~"),"*","~*"),"?","~?"),L$3:L341,1),0)=1,MAX(V$2:V340)+1,""),"")</f>
        <v/>
      </c>
      <c r="W341" s="25">
        <f>IF(V341="","",COUNTIFS($J$3:$J$1002,"="&amp;SUBSTITUTE(SUBSTITUTE(SUBSTITUTE(J341,"~","~~"),"*","~*"),"?","~?"),$L$3:$L$1002,1)*10000-V341)</f>
        <v/>
      </c>
    </row>
    <row r="342">
      <c r="A342">
        <f>IF(A$2=0,"",IFERROR(TRIM(INDEX('Pegar estudiantes'!$A$1:$BZ$1001,341,A$2)&amp;""),""))</f>
        <v/>
      </c>
      <c r="B342">
        <f>IF(B$2=0,"",IFERROR(TRIM(INDEX('Pegar estudiantes'!$A$1:$BZ$1001,341,B$2)&amp;""),""))</f>
        <v/>
      </c>
      <c r="C342">
        <f>IF(C$2=0,"",IFERROR(TRIM(INDEX('Pegar estudiantes'!$A$1:$BZ$1001,341,C$2)&amp;""),""))</f>
        <v/>
      </c>
      <c r="D342">
        <f>IF(D$2=0,"",IFERROR(TRIM(INDEX('Pegar estudiantes'!$A$1:$BZ$1001,341,D$2)&amp;""),""))</f>
        <v/>
      </c>
      <c r="E342">
        <f>IF(E$2=0,"",IFERROR(TRIM(INDEX('Pegar estudiantes'!$A$1:$BZ$1001,341,E$2)&amp;""),""))</f>
        <v/>
      </c>
      <c r="F342">
        <f>IF(F$2=0,"",IFERROR(TRIM(INDEX('Pegar estudiantes'!$A$1:$BZ$1001,341,F$2)&amp;""),""))</f>
        <v/>
      </c>
      <c r="G342">
        <f>IF(G$2=0,"",IFERROR(TRIM(INDEX('Pegar estudiantes'!$A$1:$BZ$1001,341,G$2)&amp;""),""))</f>
        <v/>
      </c>
      <c r="H342">
        <f>IF(H$2=0,"",IFERROR(TRIM(INDEX('Pegar estudiantes'!$A$1:$BZ$1001,341,H$2)&amp;""),""))</f>
        <v/>
      </c>
      <c r="I342">
        <f>IF(I$2=0,"",IFERROR(TRIM(INDEX('Pegar estudiantes'!$A$1:$BZ$1001,341,I$2)&amp;""),""))</f>
        <v/>
      </c>
      <c r="J342">
        <f>IF(J$2=0,"",IFERROR(TRIM(INDEX('Pegar estudiantes'!$A$1:$BZ$1001,341,J$2)&amp;""),""))</f>
        <v/>
      </c>
      <c r="K342">
        <f>IF(K$2=0,"",IFERROR(TRIM(INDEX('Pegar estudiantes'!$A$1:$BZ$1001,341,K$2)&amp;""),""))</f>
        <v/>
      </c>
      <c r="L342" s="25">
        <f>IF(A342&lt;&gt;"",1,"")</f>
        <v/>
      </c>
      <c r="M342" s="25">
        <f>IF(L342=1,IF(ISNUMBER(FIND("#"&amp;MID(A342,1,1)&amp;"#","#0#1#2#3#4#5#6#7#8#9#")),IF(ISNUMBER(FIND("#"&amp;MID(A342,2,1)&amp;"#","#0#1#2#3#4#5#6#7#8#9#")),IF(AND(VALUE(LEFT(A342,2))&gt;=1,VALUE(LEFT(A342,2))&lt;=5),VALUE(LEFT(A342,2)),""),IF(AND(VALUE(LEFT(A342,1))&gt;=1,VALUE(LEFT(A342,1))&lt;=5),VALUE(LEFT(A342,1)),"")),""),"")</f>
        <v/>
      </c>
      <c r="N342" s="25">
        <f>IF(L342=1,IF(ISNUMBER(FIND("#"&amp;MID(H342,1,1)&amp;"#","#0#1#2#3#4#5#6#7#8#9#")),IF(ISNUMBER(FIND("#"&amp;MID(H342,2,1)&amp;"#","#0#1#2#3#4#5#6#7#8#9#")),IF(AND(VALUE(LEFT(H342,2))&gt;=1,VALUE(LEFT(H342,2))&lt;=5),VALUE(LEFT(H342,2)),""),IF(AND(VALUE(LEFT(H342,1))&gt;=1,VALUE(LEFT(H342,1))&lt;=5),VALUE(LEFT(H342,1)),"")),""),"")</f>
        <v/>
      </c>
      <c r="O342" s="25">
        <f>IF(AND(L342=1,B342&lt;&gt;""),SUBSTITUTE(SUBSTITUTE(SUBSTITUTE(SUBSTITUTE(SUBSTITUTE(SUBSTITUTE(SUBSTITUTE(SUBSTITUTE(SUBSTITUTE(SUBSTITUTE(SUBSTITUTE(SUBSTITUTE(LOWER(TRIM(B342)),"á","a"),"é","e"),"í","i"),"ó","o"),"ú","u"),"ü","u"),"ñ","n"),"à","a"),"è","e"),"ì","i"),"ò","o"),"ù","u"),"")</f>
        <v/>
      </c>
      <c r="P342" s="25">
        <f>IF(AND(L342=1,C342&lt;&gt;""),SUBSTITUTE(SUBSTITUTE(SUBSTITUTE(SUBSTITUTE(SUBSTITUTE(SUBSTITUTE(SUBSTITUTE(SUBSTITUTE(SUBSTITUTE(SUBSTITUTE(SUBSTITUTE(SUBSTITUTE(LOWER(TRIM(C342)),"á","a"),"é","e"),"í","i"),"ó","o"),"ú","u"),"ü","u"),"ñ","n"),"à","a"),"è","e"),"ì","i"),"ò","o"),"ù","u"),"")</f>
        <v/>
      </c>
      <c r="Q342" s="25">
        <f>IF(AND(L342=1,E342&lt;&gt;""),SUBSTITUTE(SUBSTITUTE(SUBSTITUTE(SUBSTITUTE(SUBSTITUTE(SUBSTITUTE(SUBSTITUTE(SUBSTITUTE(SUBSTITUTE(SUBSTITUTE(SUBSTITUTE(SUBSTITUTE(LOWER(TRIM(E342)),"á","a"),"é","e"),"í","i"),"ó","o"),"ú","u"),"ü","u"),"ñ","n"),"à","a"),"è","e"),"ì","i"),"ò","o"),"ù","u"),"")</f>
        <v/>
      </c>
      <c r="R342" s="25">
        <f>IF(AND(L342=1,I342&lt;&gt;""),SUBSTITUTE(SUBSTITUTE(SUBSTITUTE(SUBSTITUTE(SUBSTITUTE(SUBSTITUTE(SUBSTITUTE(SUBSTITUTE(SUBSTITUTE(SUBSTITUTE(SUBSTITUTE(SUBSTITUTE(LOWER(TRIM(I342)),"á","a"),"é","e"),"í","i"),"ó","o"),"ú","u"),"ü","u"),"ñ","n"),"à","a"),"è","e"),"ì","i"),"ò","o"),"ù","u"),"")</f>
        <v/>
      </c>
      <c r="S342" s="25">
        <f>IF(R342="","",IF(OR(R342="si",R342="tal vez"),1,0))</f>
        <v/>
      </c>
      <c r="T342" s="25">
        <f>IF(AND(L342=1,D342&lt;&gt;""),IF(IFERROR(COUNTIFS(D$3:D342,"="&amp;SUBSTITUTE(SUBSTITUTE(SUBSTITUTE(D342,"~","~~"),"*","~*"),"?","~?"),L$3:L342,1),0)=1,MAX(T$2:T341)+1,""),"")</f>
        <v/>
      </c>
      <c r="U342" s="25">
        <f>IF(T342="","",COUNTIFS($D$3:$D$1002,"="&amp;SUBSTITUTE(SUBSTITUTE(SUBSTITUTE(D342,"~","~~"),"*","~*"),"?","~?"),$L$3:$L$1002,1)*10000-T342)</f>
        <v/>
      </c>
      <c r="V342" s="25">
        <f>IF(AND(L342=1,J342&lt;&gt;""),IF(IFERROR(COUNTIFS(J$3:J342,"="&amp;SUBSTITUTE(SUBSTITUTE(SUBSTITUTE(J342,"~","~~"),"*","~*"),"?","~?"),L$3:L342,1),0)=1,MAX(V$2:V341)+1,""),"")</f>
        <v/>
      </c>
      <c r="W342" s="25">
        <f>IF(V342="","",COUNTIFS($J$3:$J$1002,"="&amp;SUBSTITUTE(SUBSTITUTE(SUBSTITUTE(J342,"~","~~"),"*","~*"),"?","~?"),$L$3:$L$1002,1)*10000-V342)</f>
        <v/>
      </c>
    </row>
    <row r="343">
      <c r="A343">
        <f>IF(A$2=0,"",IFERROR(TRIM(INDEX('Pegar estudiantes'!$A$1:$BZ$1001,342,A$2)&amp;""),""))</f>
        <v/>
      </c>
      <c r="B343">
        <f>IF(B$2=0,"",IFERROR(TRIM(INDEX('Pegar estudiantes'!$A$1:$BZ$1001,342,B$2)&amp;""),""))</f>
        <v/>
      </c>
      <c r="C343">
        <f>IF(C$2=0,"",IFERROR(TRIM(INDEX('Pegar estudiantes'!$A$1:$BZ$1001,342,C$2)&amp;""),""))</f>
        <v/>
      </c>
      <c r="D343">
        <f>IF(D$2=0,"",IFERROR(TRIM(INDEX('Pegar estudiantes'!$A$1:$BZ$1001,342,D$2)&amp;""),""))</f>
        <v/>
      </c>
      <c r="E343">
        <f>IF(E$2=0,"",IFERROR(TRIM(INDEX('Pegar estudiantes'!$A$1:$BZ$1001,342,E$2)&amp;""),""))</f>
        <v/>
      </c>
      <c r="F343">
        <f>IF(F$2=0,"",IFERROR(TRIM(INDEX('Pegar estudiantes'!$A$1:$BZ$1001,342,F$2)&amp;""),""))</f>
        <v/>
      </c>
      <c r="G343">
        <f>IF(G$2=0,"",IFERROR(TRIM(INDEX('Pegar estudiantes'!$A$1:$BZ$1001,342,G$2)&amp;""),""))</f>
        <v/>
      </c>
      <c r="H343">
        <f>IF(H$2=0,"",IFERROR(TRIM(INDEX('Pegar estudiantes'!$A$1:$BZ$1001,342,H$2)&amp;""),""))</f>
        <v/>
      </c>
      <c r="I343">
        <f>IF(I$2=0,"",IFERROR(TRIM(INDEX('Pegar estudiantes'!$A$1:$BZ$1001,342,I$2)&amp;""),""))</f>
        <v/>
      </c>
      <c r="J343">
        <f>IF(J$2=0,"",IFERROR(TRIM(INDEX('Pegar estudiantes'!$A$1:$BZ$1001,342,J$2)&amp;""),""))</f>
        <v/>
      </c>
      <c r="K343">
        <f>IF(K$2=0,"",IFERROR(TRIM(INDEX('Pegar estudiantes'!$A$1:$BZ$1001,342,K$2)&amp;""),""))</f>
        <v/>
      </c>
      <c r="L343" s="25">
        <f>IF(A343&lt;&gt;"",1,"")</f>
        <v/>
      </c>
      <c r="M343" s="25">
        <f>IF(L343=1,IF(ISNUMBER(FIND("#"&amp;MID(A343,1,1)&amp;"#","#0#1#2#3#4#5#6#7#8#9#")),IF(ISNUMBER(FIND("#"&amp;MID(A343,2,1)&amp;"#","#0#1#2#3#4#5#6#7#8#9#")),IF(AND(VALUE(LEFT(A343,2))&gt;=1,VALUE(LEFT(A343,2))&lt;=5),VALUE(LEFT(A343,2)),""),IF(AND(VALUE(LEFT(A343,1))&gt;=1,VALUE(LEFT(A343,1))&lt;=5),VALUE(LEFT(A343,1)),"")),""),"")</f>
        <v/>
      </c>
      <c r="N343" s="25">
        <f>IF(L343=1,IF(ISNUMBER(FIND("#"&amp;MID(H343,1,1)&amp;"#","#0#1#2#3#4#5#6#7#8#9#")),IF(ISNUMBER(FIND("#"&amp;MID(H343,2,1)&amp;"#","#0#1#2#3#4#5#6#7#8#9#")),IF(AND(VALUE(LEFT(H343,2))&gt;=1,VALUE(LEFT(H343,2))&lt;=5),VALUE(LEFT(H343,2)),""),IF(AND(VALUE(LEFT(H343,1))&gt;=1,VALUE(LEFT(H343,1))&lt;=5),VALUE(LEFT(H343,1)),"")),""),"")</f>
        <v/>
      </c>
      <c r="O343" s="25">
        <f>IF(AND(L343=1,B343&lt;&gt;""),SUBSTITUTE(SUBSTITUTE(SUBSTITUTE(SUBSTITUTE(SUBSTITUTE(SUBSTITUTE(SUBSTITUTE(SUBSTITUTE(SUBSTITUTE(SUBSTITUTE(SUBSTITUTE(SUBSTITUTE(LOWER(TRIM(B343)),"á","a"),"é","e"),"í","i"),"ó","o"),"ú","u"),"ü","u"),"ñ","n"),"à","a"),"è","e"),"ì","i"),"ò","o"),"ù","u"),"")</f>
        <v/>
      </c>
      <c r="P343" s="25">
        <f>IF(AND(L343=1,C343&lt;&gt;""),SUBSTITUTE(SUBSTITUTE(SUBSTITUTE(SUBSTITUTE(SUBSTITUTE(SUBSTITUTE(SUBSTITUTE(SUBSTITUTE(SUBSTITUTE(SUBSTITUTE(SUBSTITUTE(SUBSTITUTE(LOWER(TRIM(C343)),"á","a"),"é","e"),"í","i"),"ó","o"),"ú","u"),"ü","u"),"ñ","n"),"à","a"),"è","e"),"ì","i"),"ò","o"),"ù","u"),"")</f>
        <v/>
      </c>
      <c r="Q343" s="25">
        <f>IF(AND(L343=1,E343&lt;&gt;""),SUBSTITUTE(SUBSTITUTE(SUBSTITUTE(SUBSTITUTE(SUBSTITUTE(SUBSTITUTE(SUBSTITUTE(SUBSTITUTE(SUBSTITUTE(SUBSTITUTE(SUBSTITUTE(SUBSTITUTE(LOWER(TRIM(E343)),"á","a"),"é","e"),"í","i"),"ó","o"),"ú","u"),"ü","u"),"ñ","n"),"à","a"),"è","e"),"ì","i"),"ò","o"),"ù","u"),"")</f>
        <v/>
      </c>
      <c r="R343" s="25">
        <f>IF(AND(L343=1,I343&lt;&gt;""),SUBSTITUTE(SUBSTITUTE(SUBSTITUTE(SUBSTITUTE(SUBSTITUTE(SUBSTITUTE(SUBSTITUTE(SUBSTITUTE(SUBSTITUTE(SUBSTITUTE(SUBSTITUTE(SUBSTITUTE(LOWER(TRIM(I343)),"á","a"),"é","e"),"í","i"),"ó","o"),"ú","u"),"ü","u"),"ñ","n"),"à","a"),"è","e"),"ì","i"),"ò","o"),"ù","u"),"")</f>
        <v/>
      </c>
      <c r="S343" s="25">
        <f>IF(R343="","",IF(OR(R343="si",R343="tal vez"),1,0))</f>
        <v/>
      </c>
      <c r="T343" s="25">
        <f>IF(AND(L343=1,D343&lt;&gt;""),IF(IFERROR(COUNTIFS(D$3:D343,"="&amp;SUBSTITUTE(SUBSTITUTE(SUBSTITUTE(D343,"~","~~"),"*","~*"),"?","~?"),L$3:L343,1),0)=1,MAX(T$2:T342)+1,""),"")</f>
        <v/>
      </c>
      <c r="U343" s="25">
        <f>IF(T343="","",COUNTIFS($D$3:$D$1002,"="&amp;SUBSTITUTE(SUBSTITUTE(SUBSTITUTE(D343,"~","~~"),"*","~*"),"?","~?"),$L$3:$L$1002,1)*10000-T343)</f>
        <v/>
      </c>
      <c r="V343" s="25">
        <f>IF(AND(L343=1,J343&lt;&gt;""),IF(IFERROR(COUNTIFS(J$3:J343,"="&amp;SUBSTITUTE(SUBSTITUTE(SUBSTITUTE(J343,"~","~~"),"*","~*"),"?","~?"),L$3:L343,1),0)=1,MAX(V$2:V342)+1,""),"")</f>
        <v/>
      </c>
      <c r="W343" s="25">
        <f>IF(V343="","",COUNTIFS($J$3:$J$1002,"="&amp;SUBSTITUTE(SUBSTITUTE(SUBSTITUTE(J343,"~","~~"),"*","~*"),"?","~?"),$L$3:$L$1002,1)*10000-V343)</f>
        <v/>
      </c>
    </row>
    <row r="344">
      <c r="A344">
        <f>IF(A$2=0,"",IFERROR(TRIM(INDEX('Pegar estudiantes'!$A$1:$BZ$1001,343,A$2)&amp;""),""))</f>
        <v/>
      </c>
      <c r="B344">
        <f>IF(B$2=0,"",IFERROR(TRIM(INDEX('Pegar estudiantes'!$A$1:$BZ$1001,343,B$2)&amp;""),""))</f>
        <v/>
      </c>
      <c r="C344">
        <f>IF(C$2=0,"",IFERROR(TRIM(INDEX('Pegar estudiantes'!$A$1:$BZ$1001,343,C$2)&amp;""),""))</f>
        <v/>
      </c>
      <c r="D344">
        <f>IF(D$2=0,"",IFERROR(TRIM(INDEX('Pegar estudiantes'!$A$1:$BZ$1001,343,D$2)&amp;""),""))</f>
        <v/>
      </c>
      <c r="E344">
        <f>IF(E$2=0,"",IFERROR(TRIM(INDEX('Pegar estudiantes'!$A$1:$BZ$1001,343,E$2)&amp;""),""))</f>
        <v/>
      </c>
      <c r="F344">
        <f>IF(F$2=0,"",IFERROR(TRIM(INDEX('Pegar estudiantes'!$A$1:$BZ$1001,343,F$2)&amp;""),""))</f>
        <v/>
      </c>
      <c r="G344">
        <f>IF(G$2=0,"",IFERROR(TRIM(INDEX('Pegar estudiantes'!$A$1:$BZ$1001,343,G$2)&amp;""),""))</f>
        <v/>
      </c>
      <c r="H344">
        <f>IF(H$2=0,"",IFERROR(TRIM(INDEX('Pegar estudiantes'!$A$1:$BZ$1001,343,H$2)&amp;""),""))</f>
        <v/>
      </c>
      <c r="I344">
        <f>IF(I$2=0,"",IFERROR(TRIM(INDEX('Pegar estudiantes'!$A$1:$BZ$1001,343,I$2)&amp;""),""))</f>
        <v/>
      </c>
      <c r="J344">
        <f>IF(J$2=0,"",IFERROR(TRIM(INDEX('Pegar estudiantes'!$A$1:$BZ$1001,343,J$2)&amp;""),""))</f>
        <v/>
      </c>
      <c r="K344">
        <f>IF(K$2=0,"",IFERROR(TRIM(INDEX('Pegar estudiantes'!$A$1:$BZ$1001,343,K$2)&amp;""),""))</f>
        <v/>
      </c>
      <c r="L344" s="25">
        <f>IF(A344&lt;&gt;"",1,"")</f>
        <v/>
      </c>
      <c r="M344" s="25">
        <f>IF(L344=1,IF(ISNUMBER(FIND("#"&amp;MID(A344,1,1)&amp;"#","#0#1#2#3#4#5#6#7#8#9#")),IF(ISNUMBER(FIND("#"&amp;MID(A344,2,1)&amp;"#","#0#1#2#3#4#5#6#7#8#9#")),IF(AND(VALUE(LEFT(A344,2))&gt;=1,VALUE(LEFT(A344,2))&lt;=5),VALUE(LEFT(A344,2)),""),IF(AND(VALUE(LEFT(A344,1))&gt;=1,VALUE(LEFT(A344,1))&lt;=5),VALUE(LEFT(A344,1)),"")),""),"")</f>
        <v/>
      </c>
      <c r="N344" s="25">
        <f>IF(L344=1,IF(ISNUMBER(FIND("#"&amp;MID(H344,1,1)&amp;"#","#0#1#2#3#4#5#6#7#8#9#")),IF(ISNUMBER(FIND("#"&amp;MID(H344,2,1)&amp;"#","#0#1#2#3#4#5#6#7#8#9#")),IF(AND(VALUE(LEFT(H344,2))&gt;=1,VALUE(LEFT(H344,2))&lt;=5),VALUE(LEFT(H344,2)),""),IF(AND(VALUE(LEFT(H344,1))&gt;=1,VALUE(LEFT(H344,1))&lt;=5),VALUE(LEFT(H344,1)),"")),""),"")</f>
        <v/>
      </c>
      <c r="O344" s="25">
        <f>IF(AND(L344=1,B344&lt;&gt;""),SUBSTITUTE(SUBSTITUTE(SUBSTITUTE(SUBSTITUTE(SUBSTITUTE(SUBSTITUTE(SUBSTITUTE(SUBSTITUTE(SUBSTITUTE(SUBSTITUTE(SUBSTITUTE(SUBSTITUTE(LOWER(TRIM(B344)),"á","a"),"é","e"),"í","i"),"ó","o"),"ú","u"),"ü","u"),"ñ","n"),"à","a"),"è","e"),"ì","i"),"ò","o"),"ù","u"),"")</f>
        <v/>
      </c>
      <c r="P344" s="25">
        <f>IF(AND(L344=1,C344&lt;&gt;""),SUBSTITUTE(SUBSTITUTE(SUBSTITUTE(SUBSTITUTE(SUBSTITUTE(SUBSTITUTE(SUBSTITUTE(SUBSTITUTE(SUBSTITUTE(SUBSTITUTE(SUBSTITUTE(SUBSTITUTE(LOWER(TRIM(C344)),"á","a"),"é","e"),"í","i"),"ó","o"),"ú","u"),"ü","u"),"ñ","n"),"à","a"),"è","e"),"ì","i"),"ò","o"),"ù","u"),"")</f>
        <v/>
      </c>
      <c r="Q344" s="25">
        <f>IF(AND(L344=1,E344&lt;&gt;""),SUBSTITUTE(SUBSTITUTE(SUBSTITUTE(SUBSTITUTE(SUBSTITUTE(SUBSTITUTE(SUBSTITUTE(SUBSTITUTE(SUBSTITUTE(SUBSTITUTE(SUBSTITUTE(SUBSTITUTE(LOWER(TRIM(E344)),"á","a"),"é","e"),"í","i"),"ó","o"),"ú","u"),"ü","u"),"ñ","n"),"à","a"),"è","e"),"ì","i"),"ò","o"),"ù","u"),"")</f>
        <v/>
      </c>
      <c r="R344" s="25">
        <f>IF(AND(L344=1,I344&lt;&gt;""),SUBSTITUTE(SUBSTITUTE(SUBSTITUTE(SUBSTITUTE(SUBSTITUTE(SUBSTITUTE(SUBSTITUTE(SUBSTITUTE(SUBSTITUTE(SUBSTITUTE(SUBSTITUTE(SUBSTITUTE(LOWER(TRIM(I344)),"á","a"),"é","e"),"í","i"),"ó","o"),"ú","u"),"ü","u"),"ñ","n"),"à","a"),"è","e"),"ì","i"),"ò","o"),"ù","u"),"")</f>
        <v/>
      </c>
      <c r="S344" s="25">
        <f>IF(R344="","",IF(OR(R344="si",R344="tal vez"),1,0))</f>
        <v/>
      </c>
      <c r="T344" s="25">
        <f>IF(AND(L344=1,D344&lt;&gt;""),IF(IFERROR(COUNTIFS(D$3:D344,"="&amp;SUBSTITUTE(SUBSTITUTE(SUBSTITUTE(D344,"~","~~"),"*","~*"),"?","~?"),L$3:L344,1),0)=1,MAX(T$2:T343)+1,""),"")</f>
        <v/>
      </c>
      <c r="U344" s="25">
        <f>IF(T344="","",COUNTIFS($D$3:$D$1002,"="&amp;SUBSTITUTE(SUBSTITUTE(SUBSTITUTE(D344,"~","~~"),"*","~*"),"?","~?"),$L$3:$L$1002,1)*10000-T344)</f>
        <v/>
      </c>
      <c r="V344" s="25">
        <f>IF(AND(L344=1,J344&lt;&gt;""),IF(IFERROR(COUNTIFS(J$3:J344,"="&amp;SUBSTITUTE(SUBSTITUTE(SUBSTITUTE(J344,"~","~~"),"*","~*"),"?","~?"),L$3:L344,1),0)=1,MAX(V$2:V343)+1,""),"")</f>
        <v/>
      </c>
      <c r="W344" s="25">
        <f>IF(V344="","",COUNTIFS($J$3:$J$1002,"="&amp;SUBSTITUTE(SUBSTITUTE(SUBSTITUTE(J344,"~","~~"),"*","~*"),"?","~?"),$L$3:$L$1002,1)*10000-V344)</f>
        <v/>
      </c>
    </row>
    <row r="345">
      <c r="A345">
        <f>IF(A$2=0,"",IFERROR(TRIM(INDEX('Pegar estudiantes'!$A$1:$BZ$1001,344,A$2)&amp;""),""))</f>
        <v/>
      </c>
      <c r="B345">
        <f>IF(B$2=0,"",IFERROR(TRIM(INDEX('Pegar estudiantes'!$A$1:$BZ$1001,344,B$2)&amp;""),""))</f>
        <v/>
      </c>
      <c r="C345">
        <f>IF(C$2=0,"",IFERROR(TRIM(INDEX('Pegar estudiantes'!$A$1:$BZ$1001,344,C$2)&amp;""),""))</f>
        <v/>
      </c>
      <c r="D345">
        <f>IF(D$2=0,"",IFERROR(TRIM(INDEX('Pegar estudiantes'!$A$1:$BZ$1001,344,D$2)&amp;""),""))</f>
        <v/>
      </c>
      <c r="E345">
        <f>IF(E$2=0,"",IFERROR(TRIM(INDEX('Pegar estudiantes'!$A$1:$BZ$1001,344,E$2)&amp;""),""))</f>
        <v/>
      </c>
      <c r="F345">
        <f>IF(F$2=0,"",IFERROR(TRIM(INDEX('Pegar estudiantes'!$A$1:$BZ$1001,344,F$2)&amp;""),""))</f>
        <v/>
      </c>
      <c r="G345">
        <f>IF(G$2=0,"",IFERROR(TRIM(INDEX('Pegar estudiantes'!$A$1:$BZ$1001,344,G$2)&amp;""),""))</f>
        <v/>
      </c>
      <c r="H345">
        <f>IF(H$2=0,"",IFERROR(TRIM(INDEX('Pegar estudiantes'!$A$1:$BZ$1001,344,H$2)&amp;""),""))</f>
        <v/>
      </c>
      <c r="I345">
        <f>IF(I$2=0,"",IFERROR(TRIM(INDEX('Pegar estudiantes'!$A$1:$BZ$1001,344,I$2)&amp;""),""))</f>
        <v/>
      </c>
      <c r="J345">
        <f>IF(J$2=0,"",IFERROR(TRIM(INDEX('Pegar estudiantes'!$A$1:$BZ$1001,344,J$2)&amp;""),""))</f>
        <v/>
      </c>
      <c r="K345">
        <f>IF(K$2=0,"",IFERROR(TRIM(INDEX('Pegar estudiantes'!$A$1:$BZ$1001,344,K$2)&amp;""),""))</f>
        <v/>
      </c>
      <c r="L345" s="25">
        <f>IF(A345&lt;&gt;"",1,"")</f>
        <v/>
      </c>
      <c r="M345" s="25">
        <f>IF(L345=1,IF(ISNUMBER(FIND("#"&amp;MID(A345,1,1)&amp;"#","#0#1#2#3#4#5#6#7#8#9#")),IF(ISNUMBER(FIND("#"&amp;MID(A345,2,1)&amp;"#","#0#1#2#3#4#5#6#7#8#9#")),IF(AND(VALUE(LEFT(A345,2))&gt;=1,VALUE(LEFT(A345,2))&lt;=5),VALUE(LEFT(A345,2)),""),IF(AND(VALUE(LEFT(A345,1))&gt;=1,VALUE(LEFT(A345,1))&lt;=5),VALUE(LEFT(A345,1)),"")),""),"")</f>
        <v/>
      </c>
      <c r="N345" s="25">
        <f>IF(L345=1,IF(ISNUMBER(FIND("#"&amp;MID(H345,1,1)&amp;"#","#0#1#2#3#4#5#6#7#8#9#")),IF(ISNUMBER(FIND("#"&amp;MID(H345,2,1)&amp;"#","#0#1#2#3#4#5#6#7#8#9#")),IF(AND(VALUE(LEFT(H345,2))&gt;=1,VALUE(LEFT(H345,2))&lt;=5),VALUE(LEFT(H345,2)),""),IF(AND(VALUE(LEFT(H345,1))&gt;=1,VALUE(LEFT(H345,1))&lt;=5),VALUE(LEFT(H345,1)),"")),""),"")</f>
        <v/>
      </c>
      <c r="O345" s="25">
        <f>IF(AND(L345=1,B345&lt;&gt;""),SUBSTITUTE(SUBSTITUTE(SUBSTITUTE(SUBSTITUTE(SUBSTITUTE(SUBSTITUTE(SUBSTITUTE(SUBSTITUTE(SUBSTITUTE(SUBSTITUTE(SUBSTITUTE(SUBSTITUTE(LOWER(TRIM(B345)),"á","a"),"é","e"),"í","i"),"ó","o"),"ú","u"),"ü","u"),"ñ","n"),"à","a"),"è","e"),"ì","i"),"ò","o"),"ù","u"),"")</f>
        <v/>
      </c>
      <c r="P345" s="25">
        <f>IF(AND(L345=1,C345&lt;&gt;""),SUBSTITUTE(SUBSTITUTE(SUBSTITUTE(SUBSTITUTE(SUBSTITUTE(SUBSTITUTE(SUBSTITUTE(SUBSTITUTE(SUBSTITUTE(SUBSTITUTE(SUBSTITUTE(SUBSTITUTE(LOWER(TRIM(C345)),"á","a"),"é","e"),"í","i"),"ó","o"),"ú","u"),"ü","u"),"ñ","n"),"à","a"),"è","e"),"ì","i"),"ò","o"),"ù","u"),"")</f>
        <v/>
      </c>
      <c r="Q345" s="25">
        <f>IF(AND(L345=1,E345&lt;&gt;""),SUBSTITUTE(SUBSTITUTE(SUBSTITUTE(SUBSTITUTE(SUBSTITUTE(SUBSTITUTE(SUBSTITUTE(SUBSTITUTE(SUBSTITUTE(SUBSTITUTE(SUBSTITUTE(SUBSTITUTE(LOWER(TRIM(E345)),"á","a"),"é","e"),"í","i"),"ó","o"),"ú","u"),"ü","u"),"ñ","n"),"à","a"),"è","e"),"ì","i"),"ò","o"),"ù","u"),"")</f>
        <v/>
      </c>
      <c r="R345" s="25">
        <f>IF(AND(L345=1,I345&lt;&gt;""),SUBSTITUTE(SUBSTITUTE(SUBSTITUTE(SUBSTITUTE(SUBSTITUTE(SUBSTITUTE(SUBSTITUTE(SUBSTITUTE(SUBSTITUTE(SUBSTITUTE(SUBSTITUTE(SUBSTITUTE(LOWER(TRIM(I345)),"á","a"),"é","e"),"í","i"),"ó","o"),"ú","u"),"ü","u"),"ñ","n"),"à","a"),"è","e"),"ì","i"),"ò","o"),"ù","u"),"")</f>
        <v/>
      </c>
      <c r="S345" s="25">
        <f>IF(R345="","",IF(OR(R345="si",R345="tal vez"),1,0))</f>
        <v/>
      </c>
      <c r="T345" s="25">
        <f>IF(AND(L345=1,D345&lt;&gt;""),IF(IFERROR(COUNTIFS(D$3:D345,"="&amp;SUBSTITUTE(SUBSTITUTE(SUBSTITUTE(D345,"~","~~"),"*","~*"),"?","~?"),L$3:L345,1),0)=1,MAX(T$2:T344)+1,""),"")</f>
        <v/>
      </c>
      <c r="U345" s="25">
        <f>IF(T345="","",COUNTIFS($D$3:$D$1002,"="&amp;SUBSTITUTE(SUBSTITUTE(SUBSTITUTE(D345,"~","~~"),"*","~*"),"?","~?"),$L$3:$L$1002,1)*10000-T345)</f>
        <v/>
      </c>
      <c r="V345" s="25">
        <f>IF(AND(L345=1,J345&lt;&gt;""),IF(IFERROR(COUNTIFS(J$3:J345,"="&amp;SUBSTITUTE(SUBSTITUTE(SUBSTITUTE(J345,"~","~~"),"*","~*"),"?","~?"),L$3:L345,1),0)=1,MAX(V$2:V344)+1,""),"")</f>
        <v/>
      </c>
      <c r="W345" s="25">
        <f>IF(V345="","",COUNTIFS($J$3:$J$1002,"="&amp;SUBSTITUTE(SUBSTITUTE(SUBSTITUTE(J345,"~","~~"),"*","~*"),"?","~?"),$L$3:$L$1002,1)*10000-V345)</f>
        <v/>
      </c>
    </row>
    <row r="346">
      <c r="A346">
        <f>IF(A$2=0,"",IFERROR(TRIM(INDEX('Pegar estudiantes'!$A$1:$BZ$1001,345,A$2)&amp;""),""))</f>
        <v/>
      </c>
      <c r="B346">
        <f>IF(B$2=0,"",IFERROR(TRIM(INDEX('Pegar estudiantes'!$A$1:$BZ$1001,345,B$2)&amp;""),""))</f>
        <v/>
      </c>
      <c r="C346">
        <f>IF(C$2=0,"",IFERROR(TRIM(INDEX('Pegar estudiantes'!$A$1:$BZ$1001,345,C$2)&amp;""),""))</f>
        <v/>
      </c>
      <c r="D346">
        <f>IF(D$2=0,"",IFERROR(TRIM(INDEX('Pegar estudiantes'!$A$1:$BZ$1001,345,D$2)&amp;""),""))</f>
        <v/>
      </c>
      <c r="E346">
        <f>IF(E$2=0,"",IFERROR(TRIM(INDEX('Pegar estudiantes'!$A$1:$BZ$1001,345,E$2)&amp;""),""))</f>
        <v/>
      </c>
      <c r="F346">
        <f>IF(F$2=0,"",IFERROR(TRIM(INDEX('Pegar estudiantes'!$A$1:$BZ$1001,345,F$2)&amp;""),""))</f>
        <v/>
      </c>
      <c r="G346">
        <f>IF(G$2=0,"",IFERROR(TRIM(INDEX('Pegar estudiantes'!$A$1:$BZ$1001,345,G$2)&amp;""),""))</f>
        <v/>
      </c>
      <c r="H346">
        <f>IF(H$2=0,"",IFERROR(TRIM(INDEX('Pegar estudiantes'!$A$1:$BZ$1001,345,H$2)&amp;""),""))</f>
        <v/>
      </c>
      <c r="I346">
        <f>IF(I$2=0,"",IFERROR(TRIM(INDEX('Pegar estudiantes'!$A$1:$BZ$1001,345,I$2)&amp;""),""))</f>
        <v/>
      </c>
      <c r="J346">
        <f>IF(J$2=0,"",IFERROR(TRIM(INDEX('Pegar estudiantes'!$A$1:$BZ$1001,345,J$2)&amp;""),""))</f>
        <v/>
      </c>
      <c r="K346">
        <f>IF(K$2=0,"",IFERROR(TRIM(INDEX('Pegar estudiantes'!$A$1:$BZ$1001,345,K$2)&amp;""),""))</f>
        <v/>
      </c>
      <c r="L346" s="25">
        <f>IF(A346&lt;&gt;"",1,"")</f>
        <v/>
      </c>
      <c r="M346" s="25">
        <f>IF(L346=1,IF(ISNUMBER(FIND("#"&amp;MID(A346,1,1)&amp;"#","#0#1#2#3#4#5#6#7#8#9#")),IF(ISNUMBER(FIND("#"&amp;MID(A346,2,1)&amp;"#","#0#1#2#3#4#5#6#7#8#9#")),IF(AND(VALUE(LEFT(A346,2))&gt;=1,VALUE(LEFT(A346,2))&lt;=5),VALUE(LEFT(A346,2)),""),IF(AND(VALUE(LEFT(A346,1))&gt;=1,VALUE(LEFT(A346,1))&lt;=5),VALUE(LEFT(A346,1)),"")),""),"")</f>
        <v/>
      </c>
      <c r="N346" s="25">
        <f>IF(L346=1,IF(ISNUMBER(FIND("#"&amp;MID(H346,1,1)&amp;"#","#0#1#2#3#4#5#6#7#8#9#")),IF(ISNUMBER(FIND("#"&amp;MID(H346,2,1)&amp;"#","#0#1#2#3#4#5#6#7#8#9#")),IF(AND(VALUE(LEFT(H346,2))&gt;=1,VALUE(LEFT(H346,2))&lt;=5),VALUE(LEFT(H346,2)),""),IF(AND(VALUE(LEFT(H346,1))&gt;=1,VALUE(LEFT(H346,1))&lt;=5),VALUE(LEFT(H346,1)),"")),""),"")</f>
        <v/>
      </c>
      <c r="O346" s="25">
        <f>IF(AND(L346=1,B346&lt;&gt;""),SUBSTITUTE(SUBSTITUTE(SUBSTITUTE(SUBSTITUTE(SUBSTITUTE(SUBSTITUTE(SUBSTITUTE(SUBSTITUTE(SUBSTITUTE(SUBSTITUTE(SUBSTITUTE(SUBSTITUTE(LOWER(TRIM(B346)),"á","a"),"é","e"),"í","i"),"ó","o"),"ú","u"),"ü","u"),"ñ","n"),"à","a"),"è","e"),"ì","i"),"ò","o"),"ù","u"),"")</f>
        <v/>
      </c>
      <c r="P346" s="25">
        <f>IF(AND(L346=1,C346&lt;&gt;""),SUBSTITUTE(SUBSTITUTE(SUBSTITUTE(SUBSTITUTE(SUBSTITUTE(SUBSTITUTE(SUBSTITUTE(SUBSTITUTE(SUBSTITUTE(SUBSTITUTE(SUBSTITUTE(SUBSTITUTE(LOWER(TRIM(C346)),"á","a"),"é","e"),"í","i"),"ó","o"),"ú","u"),"ü","u"),"ñ","n"),"à","a"),"è","e"),"ì","i"),"ò","o"),"ù","u"),"")</f>
        <v/>
      </c>
      <c r="Q346" s="25">
        <f>IF(AND(L346=1,E346&lt;&gt;""),SUBSTITUTE(SUBSTITUTE(SUBSTITUTE(SUBSTITUTE(SUBSTITUTE(SUBSTITUTE(SUBSTITUTE(SUBSTITUTE(SUBSTITUTE(SUBSTITUTE(SUBSTITUTE(SUBSTITUTE(LOWER(TRIM(E346)),"á","a"),"é","e"),"í","i"),"ó","o"),"ú","u"),"ü","u"),"ñ","n"),"à","a"),"è","e"),"ì","i"),"ò","o"),"ù","u"),"")</f>
        <v/>
      </c>
      <c r="R346" s="25">
        <f>IF(AND(L346=1,I346&lt;&gt;""),SUBSTITUTE(SUBSTITUTE(SUBSTITUTE(SUBSTITUTE(SUBSTITUTE(SUBSTITUTE(SUBSTITUTE(SUBSTITUTE(SUBSTITUTE(SUBSTITUTE(SUBSTITUTE(SUBSTITUTE(LOWER(TRIM(I346)),"á","a"),"é","e"),"í","i"),"ó","o"),"ú","u"),"ü","u"),"ñ","n"),"à","a"),"è","e"),"ì","i"),"ò","o"),"ù","u"),"")</f>
        <v/>
      </c>
      <c r="S346" s="25">
        <f>IF(R346="","",IF(OR(R346="si",R346="tal vez"),1,0))</f>
        <v/>
      </c>
      <c r="T346" s="25">
        <f>IF(AND(L346=1,D346&lt;&gt;""),IF(IFERROR(COUNTIFS(D$3:D346,"="&amp;SUBSTITUTE(SUBSTITUTE(SUBSTITUTE(D346,"~","~~"),"*","~*"),"?","~?"),L$3:L346,1),0)=1,MAX(T$2:T345)+1,""),"")</f>
        <v/>
      </c>
      <c r="U346" s="25">
        <f>IF(T346="","",COUNTIFS($D$3:$D$1002,"="&amp;SUBSTITUTE(SUBSTITUTE(SUBSTITUTE(D346,"~","~~"),"*","~*"),"?","~?"),$L$3:$L$1002,1)*10000-T346)</f>
        <v/>
      </c>
      <c r="V346" s="25">
        <f>IF(AND(L346=1,J346&lt;&gt;""),IF(IFERROR(COUNTIFS(J$3:J346,"="&amp;SUBSTITUTE(SUBSTITUTE(SUBSTITUTE(J346,"~","~~"),"*","~*"),"?","~?"),L$3:L346,1),0)=1,MAX(V$2:V345)+1,""),"")</f>
        <v/>
      </c>
      <c r="W346" s="25">
        <f>IF(V346="","",COUNTIFS($J$3:$J$1002,"="&amp;SUBSTITUTE(SUBSTITUTE(SUBSTITUTE(J346,"~","~~"),"*","~*"),"?","~?"),$L$3:$L$1002,1)*10000-V346)</f>
        <v/>
      </c>
    </row>
    <row r="347">
      <c r="A347">
        <f>IF(A$2=0,"",IFERROR(TRIM(INDEX('Pegar estudiantes'!$A$1:$BZ$1001,346,A$2)&amp;""),""))</f>
        <v/>
      </c>
      <c r="B347">
        <f>IF(B$2=0,"",IFERROR(TRIM(INDEX('Pegar estudiantes'!$A$1:$BZ$1001,346,B$2)&amp;""),""))</f>
        <v/>
      </c>
      <c r="C347">
        <f>IF(C$2=0,"",IFERROR(TRIM(INDEX('Pegar estudiantes'!$A$1:$BZ$1001,346,C$2)&amp;""),""))</f>
        <v/>
      </c>
      <c r="D347">
        <f>IF(D$2=0,"",IFERROR(TRIM(INDEX('Pegar estudiantes'!$A$1:$BZ$1001,346,D$2)&amp;""),""))</f>
        <v/>
      </c>
      <c r="E347">
        <f>IF(E$2=0,"",IFERROR(TRIM(INDEX('Pegar estudiantes'!$A$1:$BZ$1001,346,E$2)&amp;""),""))</f>
        <v/>
      </c>
      <c r="F347">
        <f>IF(F$2=0,"",IFERROR(TRIM(INDEX('Pegar estudiantes'!$A$1:$BZ$1001,346,F$2)&amp;""),""))</f>
        <v/>
      </c>
      <c r="G347">
        <f>IF(G$2=0,"",IFERROR(TRIM(INDEX('Pegar estudiantes'!$A$1:$BZ$1001,346,G$2)&amp;""),""))</f>
        <v/>
      </c>
      <c r="H347">
        <f>IF(H$2=0,"",IFERROR(TRIM(INDEX('Pegar estudiantes'!$A$1:$BZ$1001,346,H$2)&amp;""),""))</f>
        <v/>
      </c>
      <c r="I347">
        <f>IF(I$2=0,"",IFERROR(TRIM(INDEX('Pegar estudiantes'!$A$1:$BZ$1001,346,I$2)&amp;""),""))</f>
        <v/>
      </c>
      <c r="J347">
        <f>IF(J$2=0,"",IFERROR(TRIM(INDEX('Pegar estudiantes'!$A$1:$BZ$1001,346,J$2)&amp;""),""))</f>
        <v/>
      </c>
      <c r="K347">
        <f>IF(K$2=0,"",IFERROR(TRIM(INDEX('Pegar estudiantes'!$A$1:$BZ$1001,346,K$2)&amp;""),""))</f>
        <v/>
      </c>
      <c r="L347" s="25">
        <f>IF(A347&lt;&gt;"",1,"")</f>
        <v/>
      </c>
      <c r="M347" s="25">
        <f>IF(L347=1,IF(ISNUMBER(FIND("#"&amp;MID(A347,1,1)&amp;"#","#0#1#2#3#4#5#6#7#8#9#")),IF(ISNUMBER(FIND("#"&amp;MID(A347,2,1)&amp;"#","#0#1#2#3#4#5#6#7#8#9#")),IF(AND(VALUE(LEFT(A347,2))&gt;=1,VALUE(LEFT(A347,2))&lt;=5),VALUE(LEFT(A347,2)),""),IF(AND(VALUE(LEFT(A347,1))&gt;=1,VALUE(LEFT(A347,1))&lt;=5),VALUE(LEFT(A347,1)),"")),""),"")</f>
        <v/>
      </c>
      <c r="N347" s="25">
        <f>IF(L347=1,IF(ISNUMBER(FIND("#"&amp;MID(H347,1,1)&amp;"#","#0#1#2#3#4#5#6#7#8#9#")),IF(ISNUMBER(FIND("#"&amp;MID(H347,2,1)&amp;"#","#0#1#2#3#4#5#6#7#8#9#")),IF(AND(VALUE(LEFT(H347,2))&gt;=1,VALUE(LEFT(H347,2))&lt;=5),VALUE(LEFT(H347,2)),""),IF(AND(VALUE(LEFT(H347,1))&gt;=1,VALUE(LEFT(H347,1))&lt;=5),VALUE(LEFT(H347,1)),"")),""),"")</f>
        <v/>
      </c>
      <c r="O347" s="25">
        <f>IF(AND(L347=1,B347&lt;&gt;""),SUBSTITUTE(SUBSTITUTE(SUBSTITUTE(SUBSTITUTE(SUBSTITUTE(SUBSTITUTE(SUBSTITUTE(SUBSTITUTE(SUBSTITUTE(SUBSTITUTE(SUBSTITUTE(SUBSTITUTE(LOWER(TRIM(B347)),"á","a"),"é","e"),"í","i"),"ó","o"),"ú","u"),"ü","u"),"ñ","n"),"à","a"),"è","e"),"ì","i"),"ò","o"),"ù","u"),"")</f>
        <v/>
      </c>
      <c r="P347" s="25">
        <f>IF(AND(L347=1,C347&lt;&gt;""),SUBSTITUTE(SUBSTITUTE(SUBSTITUTE(SUBSTITUTE(SUBSTITUTE(SUBSTITUTE(SUBSTITUTE(SUBSTITUTE(SUBSTITUTE(SUBSTITUTE(SUBSTITUTE(SUBSTITUTE(LOWER(TRIM(C347)),"á","a"),"é","e"),"í","i"),"ó","o"),"ú","u"),"ü","u"),"ñ","n"),"à","a"),"è","e"),"ì","i"),"ò","o"),"ù","u"),"")</f>
        <v/>
      </c>
      <c r="Q347" s="25">
        <f>IF(AND(L347=1,E347&lt;&gt;""),SUBSTITUTE(SUBSTITUTE(SUBSTITUTE(SUBSTITUTE(SUBSTITUTE(SUBSTITUTE(SUBSTITUTE(SUBSTITUTE(SUBSTITUTE(SUBSTITUTE(SUBSTITUTE(SUBSTITUTE(LOWER(TRIM(E347)),"á","a"),"é","e"),"í","i"),"ó","o"),"ú","u"),"ü","u"),"ñ","n"),"à","a"),"è","e"),"ì","i"),"ò","o"),"ù","u"),"")</f>
        <v/>
      </c>
      <c r="R347" s="25">
        <f>IF(AND(L347=1,I347&lt;&gt;""),SUBSTITUTE(SUBSTITUTE(SUBSTITUTE(SUBSTITUTE(SUBSTITUTE(SUBSTITUTE(SUBSTITUTE(SUBSTITUTE(SUBSTITUTE(SUBSTITUTE(SUBSTITUTE(SUBSTITUTE(LOWER(TRIM(I347)),"á","a"),"é","e"),"í","i"),"ó","o"),"ú","u"),"ü","u"),"ñ","n"),"à","a"),"è","e"),"ì","i"),"ò","o"),"ù","u"),"")</f>
        <v/>
      </c>
      <c r="S347" s="25">
        <f>IF(R347="","",IF(OR(R347="si",R347="tal vez"),1,0))</f>
        <v/>
      </c>
      <c r="T347" s="25">
        <f>IF(AND(L347=1,D347&lt;&gt;""),IF(IFERROR(COUNTIFS(D$3:D347,"="&amp;SUBSTITUTE(SUBSTITUTE(SUBSTITUTE(D347,"~","~~"),"*","~*"),"?","~?"),L$3:L347,1),0)=1,MAX(T$2:T346)+1,""),"")</f>
        <v/>
      </c>
      <c r="U347" s="25">
        <f>IF(T347="","",COUNTIFS($D$3:$D$1002,"="&amp;SUBSTITUTE(SUBSTITUTE(SUBSTITUTE(D347,"~","~~"),"*","~*"),"?","~?"),$L$3:$L$1002,1)*10000-T347)</f>
        <v/>
      </c>
      <c r="V347" s="25">
        <f>IF(AND(L347=1,J347&lt;&gt;""),IF(IFERROR(COUNTIFS(J$3:J347,"="&amp;SUBSTITUTE(SUBSTITUTE(SUBSTITUTE(J347,"~","~~"),"*","~*"),"?","~?"),L$3:L347,1),0)=1,MAX(V$2:V346)+1,""),"")</f>
        <v/>
      </c>
      <c r="W347" s="25">
        <f>IF(V347="","",COUNTIFS($J$3:$J$1002,"="&amp;SUBSTITUTE(SUBSTITUTE(SUBSTITUTE(J347,"~","~~"),"*","~*"),"?","~?"),$L$3:$L$1002,1)*10000-V347)</f>
        <v/>
      </c>
    </row>
    <row r="348">
      <c r="A348">
        <f>IF(A$2=0,"",IFERROR(TRIM(INDEX('Pegar estudiantes'!$A$1:$BZ$1001,347,A$2)&amp;""),""))</f>
        <v/>
      </c>
      <c r="B348">
        <f>IF(B$2=0,"",IFERROR(TRIM(INDEX('Pegar estudiantes'!$A$1:$BZ$1001,347,B$2)&amp;""),""))</f>
        <v/>
      </c>
      <c r="C348">
        <f>IF(C$2=0,"",IFERROR(TRIM(INDEX('Pegar estudiantes'!$A$1:$BZ$1001,347,C$2)&amp;""),""))</f>
        <v/>
      </c>
      <c r="D348">
        <f>IF(D$2=0,"",IFERROR(TRIM(INDEX('Pegar estudiantes'!$A$1:$BZ$1001,347,D$2)&amp;""),""))</f>
        <v/>
      </c>
      <c r="E348">
        <f>IF(E$2=0,"",IFERROR(TRIM(INDEX('Pegar estudiantes'!$A$1:$BZ$1001,347,E$2)&amp;""),""))</f>
        <v/>
      </c>
      <c r="F348">
        <f>IF(F$2=0,"",IFERROR(TRIM(INDEX('Pegar estudiantes'!$A$1:$BZ$1001,347,F$2)&amp;""),""))</f>
        <v/>
      </c>
      <c r="G348">
        <f>IF(G$2=0,"",IFERROR(TRIM(INDEX('Pegar estudiantes'!$A$1:$BZ$1001,347,G$2)&amp;""),""))</f>
        <v/>
      </c>
      <c r="H348">
        <f>IF(H$2=0,"",IFERROR(TRIM(INDEX('Pegar estudiantes'!$A$1:$BZ$1001,347,H$2)&amp;""),""))</f>
        <v/>
      </c>
      <c r="I348">
        <f>IF(I$2=0,"",IFERROR(TRIM(INDEX('Pegar estudiantes'!$A$1:$BZ$1001,347,I$2)&amp;""),""))</f>
        <v/>
      </c>
      <c r="J348">
        <f>IF(J$2=0,"",IFERROR(TRIM(INDEX('Pegar estudiantes'!$A$1:$BZ$1001,347,J$2)&amp;""),""))</f>
        <v/>
      </c>
      <c r="K348">
        <f>IF(K$2=0,"",IFERROR(TRIM(INDEX('Pegar estudiantes'!$A$1:$BZ$1001,347,K$2)&amp;""),""))</f>
        <v/>
      </c>
      <c r="L348" s="25">
        <f>IF(A348&lt;&gt;"",1,"")</f>
        <v/>
      </c>
      <c r="M348" s="25">
        <f>IF(L348=1,IF(ISNUMBER(FIND("#"&amp;MID(A348,1,1)&amp;"#","#0#1#2#3#4#5#6#7#8#9#")),IF(ISNUMBER(FIND("#"&amp;MID(A348,2,1)&amp;"#","#0#1#2#3#4#5#6#7#8#9#")),IF(AND(VALUE(LEFT(A348,2))&gt;=1,VALUE(LEFT(A348,2))&lt;=5),VALUE(LEFT(A348,2)),""),IF(AND(VALUE(LEFT(A348,1))&gt;=1,VALUE(LEFT(A348,1))&lt;=5),VALUE(LEFT(A348,1)),"")),""),"")</f>
        <v/>
      </c>
      <c r="N348" s="25">
        <f>IF(L348=1,IF(ISNUMBER(FIND("#"&amp;MID(H348,1,1)&amp;"#","#0#1#2#3#4#5#6#7#8#9#")),IF(ISNUMBER(FIND("#"&amp;MID(H348,2,1)&amp;"#","#0#1#2#3#4#5#6#7#8#9#")),IF(AND(VALUE(LEFT(H348,2))&gt;=1,VALUE(LEFT(H348,2))&lt;=5),VALUE(LEFT(H348,2)),""),IF(AND(VALUE(LEFT(H348,1))&gt;=1,VALUE(LEFT(H348,1))&lt;=5),VALUE(LEFT(H348,1)),"")),""),"")</f>
        <v/>
      </c>
      <c r="O348" s="25">
        <f>IF(AND(L348=1,B348&lt;&gt;""),SUBSTITUTE(SUBSTITUTE(SUBSTITUTE(SUBSTITUTE(SUBSTITUTE(SUBSTITUTE(SUBSTITUTE(SUBSTITUTE(SUBSTITUTE(SUBSTITUTE(SUBSTITUTE(SUBSTITUTE(LOWER(TRIM(B348)),"á","a"),"é","e"),"í","i"),"ó","o"),"ú","u"),"ü","u"),"ñ","n"),"à","a"),"è","e"),"ì","i"),"ò","o"),"ù","u"),"")</f>
        <v/>
      </c>
      <c r="P348" s="25">
        <f>IF(AND(L348=1,C348&lt;&gt;""),SUBSTITUTE(SUBSTITUTE(SUBSTITUTE(SUBSTITUTE(SUBSTITUTE(SUBSTITUTE(SUBSTITUTE(SUBSTITUTE(SUBSTITUTE(SUBSTITUTE(SUBSTITUTE(SUBSTITUTE(LOWER(TRIM(C348)),"á","a"),"é","e"),"í","i"),"ó","o"),"ú","u"),"ü","u"),"ñ","n"),"à","a"),"è","e"),"ì","i"),"ò","o"),"ù","u"),"")</f>
        <v/>
      </c>
      <c r="Q348" s="25">
        <f>IF(AND(L348=1,E348&lt;&gt;""),SUBSTITUTE(SUBSTITUTE(SUBSTITUTE(SUBSTITUTE(SUBSTITUTE(SUBSTITUTE(SUBSTITUTE(SUBSTITUTE(SUBSTITUTE(SUBSTITUTE(SUBSTITUTE(SUBSTITUTE(LOWER(TRIM(E348)),"á","a"),"é","e"),"í","i"),"ó","o"),"ú","u"),"ü","u"),"ñ","n"),"à","a"),"è","e"),"ì","i"),"ò","o"),"ù","u"),"")</f>
        <v/>
      </c>
      <c r="R348" s="25">
        <f>IF(AND(L348=1,I348&lt;&gt;""),SUBSTITUTE(SUBSTITUTE(SUBSTITUTE(SUBSTITUTE(SUBSTITUTE(SUBSTITUTE(SUBSTITUTE(SUBSTITUTE(SUBSTITUTE(SUBSTITUTE(SUBSTITUTE(SUBSTITUTE(LOWER(TRIM(I348)),"á","a"),"é","e"),"í","i"),"ó","o"),"ú","u"),"ü","u"),"ñ","n"),"à","a"),"è","e"),"ì","i"),"ò","o"),"ù","u"),"")</f>
        <v/>
      </c>
      <c r="S348" s="25">
        <f>IF(R348="","",IF(OR(R348="si",R348="tal vez"),1,0))</f>
        <v/>
      </c>
      <c r="T348" s="25">
        <f>IF(AND(L348=1,D348&lt;&gt;""),IF(IFERROR(COUNTIFS(D$3:D348,"="&amp;SUBSTITUTE(SUBSTITUTE(SUBSTITUTE(D348,"~","~~"),"*","~*"),"?","~?"),L$3:L348,1),0)=1,MAX(T$2:T347)+1,""),"")</f>
        <v/>
      </c>
      <c r="U348" s="25">
        <f>IF(T348="","",COUNTIFS($D$3:$D$1002,"="&amp;SUBSTITUTE(SUBSTITUTE(SUBSTITUTE(D348,"~","~~"),"*","~*"),"?","~?"),$L$3:$L$1002,1)*10000-T348)</f>
        <v/>
      </c>
      <c r="V348" s="25">
        <f>IF(AND(L348=1,J348&lt;&gt;""),IF(IFERROR(COUNTIFS(J$3:J348,"="&amp;SUBSTITUTE(SUBSTITUTE(SUBSTITUTE(J348,"~","~~"),"*","~*"),"?","~?"),L$3:L348,1),0)=1,MAX(V$2:V347)+1,""),"")</f>
        <v/>
      </c>
      <c r="W348" s="25">
        <f>IF(V348="","",COUNTIFS($J$3:$J$1002,"="&amp;SUBSTITUTE(SUBSTITUTE(SUBSTITUTE(J348,"~","~~"),"*","~*"),"?","~?"),$L$3:$L$1002,1)*10000-V348)</f>
        <v/>
      </c>
    </row>
    <row r="349">
      <c r="A349">
        <f>IF(A$2=0,"",IFERROR(TRIM(INDEX('Pegar estudiantes'!$A$1:$BZ$1001,348,A$2)&amp;""),""))</f>
        <v/>
      </c>
      <c r="B349">
        <f>IF(B$2=0,"",IFERROR(TRIM(INDEX('Pegar estudiantes'!$A$1:$BZ$1001,348,B$2)&amp;""),""))</f>
        <v/>
      </c>
      <c r="C349">
        <f>IF(C$2=0,"",IFERROR(TRIM(INDEX('Pegar estudiantes'!$A$1:$BZ$1001,348,C$2)&amp;""),""))</f>
        <v/>
      </c>
      <c r="D349">
        <f>IF(D$2=0,"",IFERROR(TRIM(INDEX('Pegar estudiantes'!$A$1:$BZ$1001,348,D$2)&amp;""),""))</f>
        <v/>
      </c>
      <c r="E349">
        <f>IF(E$2=0,"",IFERROR(TRIM(INDEX('Pegar estudiantes'!$A$1:$BZ$1001,348,E$2)&amp;""),""))</f>
        <v/>
      </c>
      <c r="F349">
        <f>IF(F$2=0,"",IFERROR(TRIM(INDEX('Pegar estudiantes'!$A$1:$BZ$1001,348,F$2)&amp;""),""))</f>
        <v/>
      </c>
      <c r="G349">
        <f>IF(G$2=0,"",IFERROR(TRIM(INDEX('Pegar estudiantes'!$A$1:$BZ$1001,348,G$2)&amp;""),""))</f>
        <v/>
      </c>
      <c r="H349">
        <f>IF(H$2=0,"",IFERROR(TRIM(INDEX('Pegar estudiantes'!$A$1:$BZ$1001,348,H$2)&amp;""),""))</f>
        <v/>
      </c>
      <c r="I349">
        <f>IF(I$2=0,"",IFERROR(TRIM(INDEX('Pegar estudiantes'!$A$1:$BZ$1001,348,I$2)&amp;""),""))</f>
        <v/>
      </c>
      <c r="J349">
        <f>IF(J$2=0,"",IFERROR(TRIM(INDEX('Pegar estudiantes'!$A$1:$BZ$1001,348,J$2)&amp;""),""))</f>
        <v/>
      </c>
      <c r="K349">
        <f>IF(K$2=0,"",IFERROR(TRIM(INDEX('Pegar estudiantes'!$A$1:$BZ$1001,348,K$2)&amp;""),""))</f>
        <v/>
      </c>
      <c r="L349" s="25">
        <f>IF(A349&lt;&gt;"",1,"")</f>
        <v/>
      </c>
      <c r="M349" s="25">
        <f>IF(L349=1,IF(ISNUMBER(FIND("#"&amp;MID(A349,1,1)&amp;"#","#0#1#2#3#4#5#6#7#8#9#")),IF(ISNUMBER(FIND("#"&amp;MID(A349,2,1)&amp;"#","#0#1#2#3#4#5#6#7#8#9#")),IF(AND(VALUE(LEFT(A349,2))&gt;=1,VALUE(LEFT(A349,2))&lt;=5),VALUE(LEFT(A349,2)),""),IF(AND(VALUE(LEFT(A349,1))&gt;=1,VALUE(LEFT(A349,1))&lt;=5),VALUE(LEFT(A349,1)),"")),""),"")</f>
        <v/>
      </c>
      <c r="N349" s="25">
        <f>IF(L349=1,IF(ISNUMBER(FIND("#"&amp;MID(H349,1,1)&amp;"#","#0#1#2#3#4#5#6#7#8#9#")),IF(ISNUMBER(FIND("#"&amp;MID(H349,2,1)&amp;"#","#0#1#2#3#4#5#6#7#8#9#")),IF(AND(VALUE(LEFT(H349,2))&gt;=1,VALUE(LEFT(H349,2))&lt;=5),VALUE(LEFT(H349,2)),""),IF(AND(VALUE(LEFT(H349,1))&gt;=1,VALUE(LEFT(H349,1))&lt;=5),VALUE(LEFT(H349,1)),"")),""),"")</f>
        <v/>
      </c>
      <c r="O349" s="25">
        <f>IF(AND(L349=1,B349&lt;&gt;""),SUBSTITUTE(SUBSTITUTE(SUBSTITUTE(SUBSTITUTE(SUBSTITUTE(SUBSTITUTE(SUBSTITUTE(SUBSTITUTE(SUBSTITUTE(SUBSTITUTE(SUBSTITUTE(SUBSTITUTE(LOWER(TRIM(B349)),"á","a"),"é","e"),"í","i"),"ó","o"),"ú","u"),"ü","u"),"ñ","n"),"à","a"),"è","e"),"ì","i"),"ò","o"),"ù","u"),"")</f>
        <v/>
      </c>
      <c r="P349" s="25">
        <f>IF(AND(L349=1,C349&lt;&gt;""),SUBSTITUTE(SUBSTITUTE(SUBSTITUTE(SUBSTITUTE(SUBSTITUTE(SUBSTITUTE(SUBSTITUTE(SUBSTITUTE(SUBSTITUTE(SUBSTITUTE(SUBSTITUTE(SUBSTITUTE(LOWER(TRIM(C349)),"á","a"),"é","e"),"í","i"),"ó","o"),"ú","u"),"ü","u"),"ñ","n"),"à","a"),"è","e"),"ì","i"),"ò","o"),"ù","u"),"")</f>
        <v/>
      </c>
      <c r="Q349" s="25">
        <f>IF(AND(L349=1,E349&lt;&gt;""),SUBSTITUTE(SUBSTITUTE(SUBSTITUTE(SUBSTITUTE(SUBSTITUTE(SUBSTITUTE(SUBSTITUTE(SUBSTITUTE(SUBSTITUTE(SUBSTITUTE(SUBSTITUTE(SUBSTITUTE(LOWER(TRIM(E349)),"á","a"),"é","e"),"í","i"),"ó","o"),"ú","u"),"ü","u"),"ñ","n"),"à","a"),"è","e"),"ì","i"),"ò","o"),"ù","u"),"")</f>
        <v/>
      </c>
      <c r="R349" s="25">
        <f>IF(AND(L349=1,I349&lt;&gt;""),SUBSTITUTE(SUBSTITUTE(SUBSTITUTE(SUBSTITUTE(SUBSTITUTE(SUBSTITUTE(SUBSTITUTE(SUBSTITUTE(SUBSTITUTE(SUBSTITUTE(SUBSTITUTE(SUBSTITUTE(LOWER(TRIM(I349)),"á","a"),"é","e"),"í","i"),"ó","o"),"ú","u"),"ü","u"),"ñ","n"),"à","a"),"è","e"),"ì","i"),"ò","o"),"ù","u"),"")</f>
        <v/>
      </c>
      <c r="S349" s="25">
        <f>IF(R349="","",IF(OR(R349="si",R349="tal vez"),1,0))</f>
        <v/>
      </c>
      <c r="T349" s="25">
        <f>IF(AND(L349=1,D349&lt;&gt;""),IF(IFERROR(COUNTIFS(D$3:D349,"="&amp;SUBSTITUTE(SUBSTITUTE(SUBSTITUTE(D349,"~","~~"),"*","~*"),"?","~?"),L$3:L349,1),0)=1,MAX(T$2:T348)+1,""),"")</f>
        <v/>
      </c>
      <c r="U349" s="25">
        <f>IF(T349="","",COUNTIFS($D$3:$D$1002,"="&amp;SUBSTITUTE(SUBSTITUTE(SUBSTITUTE(D349,"~","~~"),"*","~*"),"?","~?"),$L$3:$L$1002,1)*10000-T349)</f>
        <v/>
      </c>
      <c r="V349" s="25">
        <f>IF(AND(L349=1,J349&lt;&gt;""),IF(IFERROR(COUNTIFS(J$3:J349,"="&amp;SUBSTITUTE(SUBSTITUTE(SUBSTITUTE(J349,"~","~~"),"*","~*"),"?","~?"),L$3:L349,1),0)=1,MAX(V$2:V348)+1,""),"")</f>
        <v/>
      </c>
      <c r="W349" s="25">
        <f>IF(V349="","",COUNTIFS($J$3:$J$1002,"="&amp;SUBSTITUTE(SUBSTITUTE(SUBSTITUTE(J349,"~","~~"),"*","~*"),"?","~?"),$L$3:$L$1002,1)*10000-V349)</f>
        <v/>
      </c>
    </row>
    <row r="350">
      <c r="A350">
        <f>IF(A$2=0,"",IFERROR(TRIM(INDEX('Pegar estudiantes'!$A$1:$BZ$1001,349,A$2)&amp;""),""))</f>
        <v/>
      </c>
      <c r="B350">
        <f>IF(B$2=0,"",IFERROR(TRIM(INDEX('Pegar estudiantes'!$A$1:$BZ$1001,349,B$2)&amp;""),""))</f>
        <v/>
      </c>
      <c r="C350">
        <f>IF(C$2=0,"",IFERROR(TRIM(INDEX('Pegar estudiantes'!$A$1:$BZ$1001,349,C$2)&amp;""),""))</f>
        <v/>
      </c>
      <c r="D350">
        <f>IF(D$2=0,"",IFERROR(TRIM(INDEX('Pegar estudiantes'!$A$1:$BZ$1001,349,D$2)&amp;""),""))</f>
        <v/>
      </c>
      <c r="E350">
        <f>IF(E$2=0,"",IFERROR(TRIM(INDEX('Pegar estudiantes'!$A$1:$BZ$1001,349,E$2)&amp;""),""))</f>
        <v/>
      </c>
      <c r="F350">
        <f>IF(F$2=0,"",IFERROR(TRIM(INDEX('Pegar estudiantes'!$A$1:$BZ$1001,349,F$2)&amp;""),""))</f>
        <v/>
      </c>
      <c r="G350">
        <f>IF(G$2=0,"",IFERROR(TRIM(INDEX('Pegar estudiantes'!$A$1:$BZ$1001,349,G$2)&amp;""),""))</f>
        <v/>
      </c>
      <c r="H350">
        <f>IF(H$2=0,"",IFERROR(TRIM(INDEX('Pegar estudiantes'!$A$1:$BZ$1001,349,H$2)&amp;""),""))</f>
        <v/>
      </c>
      <c r="I350">
        <f>IF(I$2=0,"",IFERROR(TRIM(INDEX('Pegar estudiantes'!$A$1:$BZ$1001,349,I$2)&amp;""),""))</f>
        <v/>
      </c>
      <c r="J350">
        <f>IF(J$2=0,"",IFERROR(TRIM(INDEX('Pegar estudiantes'!$A$1:$BZ$1001,349,J$2)&amp;""),""))</f>
        <v/>
      </c>
      <c r="K350">
        <f>IF(K$2=0,"",IFERROR(TRIM(INDEX('Pegar estudiantes'!$A$1:$BZ$1001,349,K$2)&amp;""),""))</f>
        <v/>
      </c>
      <c r="L350" s="25">
        <f>IF(A350&lt;&gt;"",1,"")</f>
        <v/>
      </c>
      <c r="M350" s="25">
        <f>IF(L350=1,IF(ISNUMBER(FIND("#"&amp;MID(A350,1,1)&amp;"#","#0#1#2#3#4#5#6#7#8#9#")),IF(ISNUMBER(FIND("#"&amp;MID(A350,2,1)&amp;"#","#0#1#2#3#4#5#6#7#8#9#")),IF(AND(VALUE(LEFT(A350,2))&gt;=1,VALUE(LEFT(A350,2))&lt;=5),VALUE(LEFT(A350,2)),""),IF(AND(VALUE(LEFT(A350,1))&gt;=1,VALUE(LEFT(A350,1))&lt;=5),VALUE(LEFT(A350,1)),"")),""),"")</f>
        <v/>
      </c>
      <c r="N350" s="25">
        <f>IF(L350=1,IF(ISNUMBER(FIND("#"&amp;MID(H350,1,1)&amp;"#","#0#1#2#3#4#5#6#7#8#9#")),IF(ISNUMBER(FIND("#"&amp;MID(H350,2,1)&amp;"#","#0#1#2#3#4#5#6#7#8#9#")),IF(AND(VALUE(LEFT(H350,2))&gt;=1,VALUE(LEFT(H350,2))&lt;=5),VALUE(LEFT(H350,2)),""),IF(AND(VALUE(LEFT(H350,1))&gt;=1,VALUE(LEFT(H350,1))&lt;=5),VALUE(LEFT(H350,1)),"")),""),"")</f>
        <v/>
      </c>
      <c r="O350" s="25">
        <f>IF(AND(L350=1,B350&lt;&gt;""),SUBSTITUTE(SUBSTITUTE(SUBSTITUTE(SUBSTITUTE(SUBSTITUTE(SUBSTITUTE(SUBSTITUTE(SUBSTITUTE(SUBSTITUTE(SUBSTITUTE(SUBSTITUTE(SUBSTITUTE(LOWER(TRIM(B350)),"á","a"),"é","e"),"í","i"),"ó","o"),"ú","u"),"ü","u"),"ñ","n"),"à","a"),"è","e"),"ì","i"),"ò","o"),"ù","u"),"")</f>
        <v/>
      </c>
      <c r="P350" s="25">
        <f>IF(AND(L350=1,C350&lt;&gt;""),SUBSTITUTE(SUBSTITUTE(SUBSTITUTE(SUBSTITUTE(SUBSTITUTE(SUBSTITUTE(SUBSTITUTE(SUBSTITUTE(SUBSTITUTE(SUBSTITUTE(SUBSTITUTE(SUBSTITUTE(LOWER(TRIM(C350)),"á","a"),"é","e"),"í","i"),"ó","o"),"ú","u"),"ü","u"),"ñ","n"),"à","a"),"è","e"),"ì","i"),"ò","o"),"ù","u"),"")</f>
        <v/>
      </c>
      <c r="Q350" s="25">
        <f>IF(AND(L350=1,E350&lt;&gt;""),SUBSTITUTE(SUBSTITUTE(SUBSTITUTE(SUBSTITUTE(SUBSTITUTE(SUBSTITUTE(SUBSTITUTE(SUBSTITUTE(SUBSTITUTE(SUBSTITUTE(SUBSTITUTE(SUBSTITUTE(LOWER(TRIM(E350)),"á","a"),"é","e"),"í","i"),"ó","o"),"ú","u"),"ü","u"),"ñ","n"),"à","a"),"è","e"),"ì","i"),"ò","o"),"ù","u"),"")</f>
        <v/>
      </c>
      <c r="R350" s="25">
        <f>IF(AND(L350=1,I350&lt;&gt;""),SUBSTITUTE(SUBSTITUTE(SUBSTITUTE(SUBSTITUTE(SUBSTITUTE(SUBSTITUTE(SUBSTITUTE(SUBSTITUTE(SUBSTITUTE(SUBSTITUTE(SUBSTITUTE(SUBSTITUTE(LOWER(TRIM(I350)),"á","a"),"é","e"),"í","i"),"ó","o"),"ú","u"),"ü","u"),"ñ","n"),"à","a"),"è","e"),"ì","i"),"ò","o"),"ù","u"),"")</f>
        <v/>
      </c>
      <c r="S350" s="25">
        <f>IF(R350="","",IF(OR(R350="si",R350="tal vez"),1,0))</f>
        <v/>
      </c>
      <c r="T350" s="25">
        <f>IF(AND(L350=1,D350&lt;&gt;""),IF(IFERROR(COUNTIFS(D$3:D350,"="&amp;SUBSTITUTE(SUBSTITUTE(SUBSTITUTE(D350,"~","~~"),"*","~*"),"?","~?"),L$3:L350,1),0)=1,MAX(T$2:T349)+1,""),"")</f>
        <v/>
      </c>
      <c r="U350" s="25">
        <f>IF(T350="","",COUNTIFS($D$3:$D$1002,"="&amp;SUBSTITUTE(SUBSTITUTE(SUBSTITUTE(D350,"~","~~"),"*","~*"),"?","~?"),$L$3:$L$1002,1)*10000-T350)</f>
        <v/>
      </c>
      <c r="V350" s="25">
        <f>IF(AND(L350=1,J350&lt;&gt;""),IF(IFERROR(COUNTIFS(J$3:J350,"="&amp;SUBSTITUTE(SUBSTITUTE(SUBSTITUTE(J350,"~","~~"),"*","~*"),"?","~?"),L$3:L350,1),0)=1,MAX(V$2:V349)+1,""),"")</f>
        <v/>
      </c>
      <c r="W350" s="25">
        <f>IF(V350="","",COUNTIFS($J$3:$J$1002,"="&amp;SUBSTITUTE(SUBSTITUTE(SUBSTITUTE(J350,"~","~~"),"*","~*"),"?","~?"),$L$3:$L$1002,1)*10000-V350)</f>
        <v/>
      </c>
    </row>
    <row r="351">
      <c r="A351">
        <f>IF(A$2=0,"",IFERROR(TRIM(INDEX('Pegar estudiantes'!$A$1:$BZ$1001,350,A$2)&amp;""),""))</f>
        <v/>
      </c>
      <c r="B351">
        <f>IF(B$2=0,"",IFERROR(TRIM(INDEX('Pegar estudiantes'!$A$1:$BZ$1001,350,B$2)&amp;""),""))</f>
        <v/>
      </c>
      <c r="C351">
        <f>IF(C$2=0,"",IFERROR(TRIM(INDEX('Pegar estudiantes'!$A$1:$BZ$1001,350,C$2)&amp;""),""))</f>
        <v/>
      </c>
      <c r="D351">
        <f>IF(D$2=0,"",IFERROR(TRIM(INDEX('Pegar estudiantes'!$A$1:$BZ$1001,350,D$2)&amp;""),""))</f>
        <v/>
      </c>
      <c r="E351">
        <f>IF(E$2=0,"",IFERROR(TRIM(INDEX('Pegar estudiantes'!$A$1:$BZ$1001,350,E$2)&amp;""),""))</f>
        <v/>
      </c>
      <c r="F351">
        <f>IF(F$2=0,"",IFERROR(TRIM(INDEX('Pegar estudiantes'!$A$1:$BZ$1001,350,F$2)&amp;""),""))</f>
        <v/>
      </c>
      <c r="G351">
        <f>IF(G$2=0,"",IFERROR(TRIM(INDEX('Pegar estudiantes'!$A$1:$BZ$1001,350,G$2)&amp;""),""))</f>
        <v/>
      </c>
      <c r="H351">
        <f>IF(H$2=0,"",IFERROR(TRIM(INDEX('Pegar estudiantes'!$A$1:$BZ$1001,350,H$2)&amp;""),""))</f>
        <v/>
      </c>
      <c r="I351">
        <f>IF(I$2=0,"",IFERROR(TRIM(INDEX('Pegar estudiantes'!$A$1:$BZ$1001,350,I$2)&amp;""),""))</f>
        <v/>
      </c>
      <c r="J351">
        <f>IF(J$2=0,"",IFERROR(TRIM(INDEX('Pegar estudiantes'!$A$1:$BZ$1001,350,J$2)&amp;""),""))</f>
        <v/>
      </c>
      <c r="K351">
        <f>IF(K$2=0,"",IFERROR(TRIM(INDEX('Pegar estudiantes'!$A$1:$BZ$1001,350,K$2)&amp;""),""))</f>
        <v/>
      </c>
      <c r="L351" s="25">
        <f>IF(A351&lt;&gt;"",1,"")</f>
        <v/>
      </c>
      <c r="M351" s="25">
        <f>IF(L351=1,IF(ISNUMBER(FIND("#"&amp;MID(A351,1,1)&amp;"#","#0#1#2#3#4#5#6#7#8#9#")),IF(ISNUMBER(FIND("#"&amp;MID(A351,2,1)&amp;"#","#0#1#2#3#4#5#6#7#8#9#")),IF(AND(VALUE(LEFT(A351,2))&gt;=1,VALUE(LEFT(A351,2))&lt;=5),VALUE(LEFT(A351,2)),""),IF(AND(VALUE(LEFT(A351,1))&gt;=1,VALUE(LEFT(A351,1))&lt;=5),VALUE(LEFT(A351,1)),"")),""),"")</f>
        <v/>
      </c>
      <c r="N351" s="25">
        <f>IF(L351=1,IF(ISNUMBER(FIND("#"&amp;MID(H351,1,1)&amp;"#","#0#1#2#3#4#5#6#7#8#9#")),IF(ISNUMBER(FIND("#"&amp;MID(H351,2,1)&amp;"#","#0#1#2#3#4#5#6#7#8#9#")),IF(AND(VALUE(LEFT(H351,2))&gt;=1,VALUE(LEFT(H351,2))&lt;=5),VALUE(LEFT(H351,2)),""),IF(AND(VALUE(LEFT(H351,1))&gt;=1,VALUE(LEFT(H351,1))&lt;=5),VALUE(LEFT(H351,1)),"")),""),"")</f>
        <v/>
      </c>
      <c r="O351" s="25">
        <f>IF(AND(L351=1,B351&lt;&gt;""),SUBSTITUTE(SUBSTITUTE(SUBSTITUTE(SUBSTITUTE(SUBSTITUTE(SUBSTITUTE(SUBSTITUTE(SUBSTITUTE(SUBSTITUTE(SUBSTITUTE(SUBSTITUTE(SUBSTITUTE(LOWER(TRIM(B351)),"á","a"),"é","e"),"í","i"),"ó","o"),"ú","u"),"ü","u"),"ñ","n"),"à","a"),"è","e"),"ì","i"),"ò","o"),"ù","u"),"")</f>
        <v/>
      </c>
      <c r="P351" s="25">
        <f>IF(AND(L351=1,C351&lt;&gt;""),SUBSTITUTE(SUBSTITUTE(SUBSTITUTE(SUBSTITUTE(SUBSTITUTE(SUBSTITUTE(SUBSTITUTE(SUBSTITUTE(SUBSTITUTE(SUBSTITUTE(SUBSTITUTE(SUBSTITUTE(LOWER(TRIM(C351)),"á","a"),"é","e"),"í","i"),"ó","o"),"ú","u"),"ü","u"),"ñ","n"),"à","a"),"è","e"),"ì","i"),"ò","o"),"ù","u"),"")</f>
        <v/>
      </c>
      <c r="Q351" s="25">
        <f>IF(AND(L351=1,E351&lt;&gt;""),SUBSTITUTE(SUBSTITUTE(SUBSTITUTE(SUBSTITUTE(SUBSTITUTE(SUBSTITUTE(SUBSTITUTE(SUBSTITUTE(SUBSTITUTE(SUBSTITUTE(SUBSTITUTE(SUBSTITUTE(LOWER(TRIM(E351)),"á","a"),"é","e"),"í","i"),"ó","o"),"ú","u"),"ü","u"),"ñ","n"),"à","a"),"è","e"),"ì","i"),"ò","o"),"ù","u"),"")</f>
        <v/>
      </c>
      <c r="R351" s="25">
        <f>IF(AND(L351=1,I351&lt;&gt;""),SUBSTITUTE(SUBSTITUTE(SUBSTITUTE(SUBSTITUTE(SUBSTITUTE(SUBSTITUTE(SUBSTITUTE(SUBSTITUTE(SUBSTITUTE(SUBSTITUTE(SUBSTITUTE(SUBSTITUTE(LOWER(TRIM(I351)),"á","a"),"é","e"),"í","i"),"ó","o"),"ú","u"),"ü","u"),"ñ","n"),"à","a"),"è","e"),"ì","i"),"ò","o"),"ù","u"),"")</f>
        <v/>
      </c>
      <c r="S351" s="25">
        <f>IF(R351="","",IF(OR(R351="si",R351="tal vez"),1,0))</f>
        <v/>
      </c>
      <c r="T351" s="25">
        <f>IF(AND(L351=1,D351&lt;&gt;""),IF(IFERROR(COUNTIFS(D$3:D351,"="&amp;SUBSTITUTE(SUBSTITUTE(SUBSTITUTE(D351,"~","~~"),"*","~*"),"?","~?"),L$3:L351,1),0)=1,MAX(T$2:T350)+1,""),"")</f>
        <v/>
      </c>
      <c r="U351" s="25">
        <f>IF(T351="","",COUNTIFS($D$3:$D$1002,"="&amp;SUBSTITUTE(SUBSTITUTE(SUBSTITUTE(D351,"~","~~"),"*","~*"),"?","~?"),$L$3:$L$1002,1)*10000-T351)</f>
        <v/>
      </c>
      <c r="V351" s="25">
        <f>IF(AND(L351=1,J351&lt;&gt;""),IF(IFERROR(COUNTIFS(J$3:J351,"="&amp;SUBSTITUTE(SUBSTITUTE(SUBSTITUTE(J351,"~","~~"),"*","~*"),"?","~?"),L$3:L351,1),0)=1,MAX(V$2:V350)+1,""),"")</f>
        <v/>
      </c>
      <c r="W351" s="25">
        <f>IF(V351="","",COUNTIFS($J$3:$J$1002,"="&amp;SUBSTITUTE(SUBSTITUTE(SUBSTITUTE(J351,"~","~~"),"*","~*"),"?","~?"),$L$3:$L$1002,1)*10000-V351)</f>
        <v/>
      </c>
    </row>
    <row r="352">
      <c r="A352">
        <f>IF(A$2=0,"",IFERROR(TRIM(INDEX('Pegar estudiantes'!$A$1:$BZ$1001,351,A$2)&amp;""),""))</f>
        <v/>
      </c>
      <c r="B352">
        <f>IF(B$2=0,"",IFERROR(TRIM(INDEX('Pegar estudiantes'!$A$1:$BZ$1001,351,B$2)&amp;""),""))</f>
        <v/>
      </c>
      <c r="C352">
        <f>IF(C$2=0,"",IFERROR(TRIM(INDEX('Pegar estudiantes'!$A$1:$BZ$1001,351,C$2)&amp;""),""))</f>
        <v/>
      </c>
      <c r="D352">
        <f>IF(D$2=0,"",IFERROR(TRIM(INDEX('Pegar estudiantes'!$A$1:$BZ$1001,351,D$2)&amp;""),""))</f>
        <v/>
      </c>
      <c r="E352">
        <f>IF(E$2=0,"",IFERROR(TRIM(INDEX('Pegar estudiantes'!$A$1:$BZ$1001,351,E$2)&amp;""),""))</f>
        <v/>
      </c>
      <c r="F352">
        <f>IF(F$2=0,"",IFERROR(TRIM(INDEX('Pegar estudiantes'!$A$1:$BZ$1001,351,F$2)&amp;""),""))</f>
        <v/>
      </c>
      <c r="G352">
        <f>IF(G$2=0,"",IFERROR(TRIM(INDEX('Pegar estudiantes'!$A$1:$BZ$1001,351,G$2)&amp;""),""))</f>
        <v/>
      </c>
      <c r="H352">
        <f>IF(H$2=0,"",IFERROR(TRIM(INDEX('Pegar estudiantes'!$A$1:$BZ$1001,351,H$2)&amp;""),""))</f>
        <v/>
      </c>
      <c r="I352">
        <f>IF(I$2=0,"",IFERROR(TRIM(INDEX('Pegar estudiantes'!$A$1:$BZ$1001,351,I$2)&amp;""),""))</f>
        <v/>
      </c>
      <c r="J352">
        <f>IF(J$2=0,"",IFERROR(TRIM(INDEX('Pegar estudiantes'!$A$1:$BZ$1001,351,J$2)&amp;""),""))</f>
        <v/>
      </c>
      <c r="K352">
        <f>IF(K$2=0,"",IFERROR(TRIM(INDEX('Pegar estudiantes'!$A$1:$BZ$1001,351,K$2)&amp;""),""))</f>
        <v/>
      </c>
      <c r="L352" s="25">
        <f>IF(A352&lt;&gt;"",1,"")</f>
        <v/>
      </c>
      <c r="M352" s="25">
        <f>IF(L352=1,IF(ISNUMBER(FIND("#"&amp;MID(A352,1,1)&amp;"#","#0#1#2#3#4#5#6#7#8#9#")),IF(ISNUMBER(FIND("#"&amp;MID(A352,2,1)&amp;"#","#0#1#2#3#4#5#6#7#8#9#")),IF(AND(VALUE(LEFT(A352,2))&gt;=1,VALUE(LEFT(A352,2))&lt;=5),VALUE(LEFT(A352,2)),""),IF(AND(VALUE(LEFT(A352,1))&gt;=1,VALUE(LEFT(A352,1))&lt;=5),VALUE(LEFT(A352,1)),"")),""),"")</f>
        <v/>
      </c>
      <c r="N352" s="25">
        <f>IF(L352=1,IF(ISNUMBER(FIND("#"&amp;MID(H352,1,1)&amp;"#","#0#1#2#3#4#5#6#7#8#9#")),IF(ISNUMBER(FIND("#"&amp;MID(H352,2,1)&amp;"#","#0#1#2#3#4#5#6#7#8#9#")),IF(AND(VALUE(LEFT(H352,2))&gt;=1,VALUE(LEFT(H352,2))&lt;=5),VALUE(LEFT(H352,2)),""),IF(AND(VALUE(LEFT(H352,1))&gt;=1,VALUE(LEFT(H352,1))&lt;=5),VALUE(LEFT(H352,1)),"")),""),"")</f>
        <v/>
      </c>
      <c r="O352" s="25">
        <f>IF(AND(L352=1,B352&lt;&gt;""),SUBSTITUTE(SUBSTITUTE(SUBSTITUTE(SUBSTITUTE(SUBSTITUTE(SUBSTITUTE(SUBSTITUTE(SUBSTITUTE(SUBSTITUTE(SUBSTITUTE(SUBSTITUTE(SUBSTITUTE(LOWER(TRIM(B352)),"á","a"),"é","e"),"í","i"),"ó","o"),"ú","u"),"ü","u"),"ñ","n"),"à","a"),"è","e"),"ì","i"),"ò","o"),"ù","u"),"")</f>
        <v/>
      </c>
      <c r="P352" s="25">
        <f>IF(AND(L352=1,C352&lt;&gt;""),SUBSTITUTE(SUBSTITUTE(SUBSTITUTE(SUBSTITUTE(SUBSTITUTE(SUBSTITUTE(SUBSTITUTE(SUBSTITUTE(SUBSTITUTE(SUBSTITUTE(SUBSTITUTE(SUBSTITUTE(LOWER(TRIM(C352)),"á","a"),"é","e"),"í","i"),"ó","o"),"ú","u"),"ü","u"),"ñ","n"),"à","a"),"è","e"),"ì","i"),"ò","o"),"ù","u"),"")</f>
        <v/>
      </c>
      <c r="Q352" s="25">
        <f>IF(AND(L352=1,E352&lt;&gt;""),SUBSTITUTE(SUBSTITUTE(SUBSTITUTE(SUBSTITUTE(SUBSTITUTE(SUBSTITUTE(SUBSTITUTE(SUBSTITUTE(SUBSTITUTE(SUBSTITUTE(SUBSTITUTE(SUBSTITUTE(LOWER(TRIM(E352)),"á","a"),"é","e"),"í","i"),"ó","o"),"ú","u"),"ü","u"),"ñ","n"),"à","a"),"è","e"),"ì","i"),"ò","o"),"ù","u"),"")</f>
        <v/>
      </c>
      <c r="R352" s="25">
        <f>IF(AND(L352=1,I352&lt;&gt;""),SUBSTITUTE(SUBSTITUTE(SUBSTITUTE(SUBSTITUTE(SUBSTITUTE(SUBSTITUTE(SUBSTITUTE(SUBSTITUTE(SUBSTITUTE(SUBSTITUTE(SUBSTITUTE(SUBSTITUTE(LOWER(TRIM(I352)),"á","a"),"é","e"),"í","i"),"ó","o"),"ú","u"),"ü","u"),"ñ","n"),"à","a"),"è","e"),"ì","i"),"ò","o"),"ù","u"),"")</f>
        <v/>
      </c>
      <c r="S352" s="25">
        <f>IF(R352="","",IF(OR(R352="si",R352="tal vez"),1,0))</f>
        <v/>
      </c>
      <c r="T352" s="25">
        <f>IF(AND(L352=1,D352&lt;&gt;""),IF(IFERROR(COUNTIFS(D$3:D352,"="&amp;SUBSTITUTE(SUBSTITUTE(SUBSTITUTE(D352,"~","~~"),"*","~*"),"?","~?"),L$3:L352,1),0)=1,MAX(T$2:T351)+1,""),"")</f>
        <v/>
      </c>
      <c r="U352" s="25">
        <f>IF(T352="","",COUNTIFS($D$3:$D$1002,"="&amp;SUBSTITUTE(SUBSTITUTE(SUBSTITUTE(D352,"~","~~"),"*","~*"),"?","~?"),$L$3:$L$1002,1)*10000-T352)</f>
        <v/>
      </c>
      <c r="V352" s="25">
        <f>IF(AND(L352=1,J352&lt;&gt;""),IF(IFERROR(COUNTIFS(J$3:J352,"="&amp;SUBSTITUTE(SUBSTITUTE(SUBSTITUTE(J352,"~","~~"),"*","~*"),"?","~?"),L$3:L352,1),0)=1,MAX(V$2:V351)+1,""),"")</f>
        <v/>
      </c>
      <c r="W352" s="25">
        <f>IF(V352="","",COUNTIFS($J$3:$J$1002,"="&amp;SUBSTITUTE(SUBSTITUTE(SUBSTITUTE(J352,"~","~~"),"*","~*"),"?","~?"),$L$3:$L$1002,1)*10000-V352)</f>
        <v/>
      </c>
    </row>
    <row r="353">
      <c r="A353">
        <f>IF(A$2=0,"",IFERROR(TRIM(INDEX('Pegar estudiantes'!$A$1:$BZ$1001,352,A$2)&amp;""),""))</f>
        <v/>
      </c>
      <c r="B353">
        <f>IF(B$2=0,"",IFERROR(TRIM(INDEX('Pegar estudiantes'!$A$1:$BZ$1001,352,B$2)&amp;""),""))</f>
        <v/>
      </c>
      <c r="C353">
        <f>IF(C$2=0,"",IFERROR(TRIM(INDEX('Pegar estudiantes'!$A$1:$BZ$1001,352,C$2)&amp;""),""))</f>
        <v/>
      </c>
      <c r="D353">
        <f>IF(D$2=0,"",IFERROR(TRIM(INDEX('Pegar estudiantes'!$A$1:$BZ$1001,352,D$2)&amp;""),""))</f>
        <v/>
      </c>
      <c r="E353">
        <f>IF(E$2=0,"",IFERROR(TRIM(INDEX('Pegar estudiantes'!$A$1:$BZ$1001,352,E$2)&amp;""),""))</f>
        <v/>
      </c>
      <c r="F353">
        <f>IF(F$2=0,"",IFERROR(TRIM(INDEX('Pegar estudiantes'!$A$1:$BZ$1001,352,F$2)&amp;""),""))</f>
        <v/>
      </c>
      <c r="G353">
        <f>IF(G$2=0,"",IFERROR(TRIM(INDEX('Pegar estudiantes'!$A$1:$BZ$1001,352,G$2)&amp;""),""))</f>
        <v/>
      </c>
      <c r="H353">
        <f>IF(H$2=0,"",IFERROR(TRIM(INDEX('Pegar estudiantes'!$A$1:$BZ$1001,352,H$2)&amp;""),""))</f>
        <v/>
      </c>
      <c r="I353">
        <f>IF(I$2=0,"",IFERROR(TRIM(INDEX('Pegar estudiantes'!$A$1:$BZ$1001,352,I$2)&amp;""),""))</f>
        <v/>
      </c>
      <c r="J353">
        <f>IF(J$2=0,"",IFERROR(TRIM(INDEX('Pegar estudiantes'!$A$1:$BZ$1001,352,J$2)&amp;""),""))</f>
        <v/>
      </c>
      <c r="K353">
        <f>IF(K$2=0,"",IFERROR(TRIM(INDEX('Pegar estudiantes'!$A$1:$BZ$1001,352,K$2)&amp;""),""))</f>
        <v/>
      </c>
      <c r="L353" s="25">
        <f>IF(A353&lt;&gt;"",1,"")</f>
        <v/>
      </c>
      <c r="M353" s="25">
        <f>IF(L353=1,IF(ISNUMBER(FIND("#"&amp;MID(A353,1,1)&amp;"#","#0#1#2#3#4#5#6#7#8#9#")),IF(ISNUMBER(FIND("#"&amp;MID(A353,2,1)&amp;"#","#0#1#2#3#4#5#6#7#8#9#")),IF(AND(VALUE(LEFT(A353,2))&gt;=1,VALUE(LEFT(A353,2))&lt;=5),VALUE(LEFT(A353,2)),""),IF(AND(VALUE(LEFT(A353,1))&gt;=1,VALUE(LEFT(A353,1))&lt;=5),VALUE(LEFT(A353,1)),"")),""),"")</f>
        <v/>
      </c>
      <c r="N353" s="25">
        <f>IF(L353=1,IF(ISNUMBER(FIND("#"&amp;MID(H353,1,1)&amp;"#","#0#1#2#3#4#5#6#7#8#9#")),IF(ISNUMBER(FIND("#"&amp;MID(H353,2,1)&amp;"#","#0#1#2#3#4#5#6#7#8#9#")),IF(AND(VALUE(LEFT(H353,2))&gt;=1,VALUE(LEFT(H353,2))&lt;=5),VALUE(LEFT(H353,2)),""),IF(AND(VALUE(LEFT(H353,1))&gt;=1,VALUE(LEFT(H353,1))&lt;=5),VALUE(LEFT(H353,1)),"")),""),"")</f>
        <v/>
      </c>
      <c r="O353" s="25">
        <f>IF(AND(L353=1,B353&lt;&gt;""),SUBSTITUTE(SUBSTITUTE(SUBSTITUTE(SUBSTITUTE(SUBSTITUTE(SUBSTITUTE(SUBSTITUTE(SUBSTITUTE(SUBSTITUTE(SUBSTITUTE(SUBSTITUTE(SUBSTITUTE(LOWER(TRIM(B353)),"á","a"),"é","e"),"í","i"),"ó","o"),"ú","u"),"ü","u"),"ñ","n"),"à","a"),"è","e"),"ì","i"),"ò","o"),"ù","u"),"")</f>
        <v/>
      </c>
      <c r="P353" s="25">
        <f>IF(AND(L353=1,C353&lt;&gt;""),SUBSTITUTE(SUBSTITUTE(SUBSTITUTE(SUBSTITUTE(SUBSTITUTE(SUBSTITUTE(SUBSTITUTE(SUBSTITUTE(SUBSTITUTE(SUBSTITUTE(SUBSTITUTE(SUBSTITUTE(LOWER(TRIM(C353)),"á","a"),"é","e"),"í","i"),"ó","o"),"ú","u"),"ü","u"),"ñ","n"),"à","a"),"è","e"),"ì","i"),"ò","o"),"ù","u"),"")</f>
        <v/>
      </c>
      <c r="Q353" s="25">
        <f>IF(AND(L353=1,E353&lt;&gt;""),SUBSTITUTE(SUBSTITUTE(SUBSTITUTE(SUBSTITUTE(SUBSTITUTE(SUBSTITUTE(SUBSTITUTE(SUBSTITUTE(SUBSTITUTE(SUBSTITUTE(SUBSTITUTE(SUBSTITUTE(LOWER(TRIM(E353)),"á","a"),"é","e"),"í","i"),"ó","o"),"ú","u"),"ü","u"),"ñ","n"),"à","a"),"è","e"),"ì","i"),"ò","o"),"ù","u"),"")</f>
        <v/>
      </c>
      <c r="R353" s="25">
        <f>IF(AND(L353=1,I353&lt;&gt;""),SUBSTITUTE(SUBSTITUTE(SUBSTITUTE(SUBSTITUTE(SUBSTITUTE(SUBSTITUTE(SUBSTITUTE(SUBSTITUTE(SUBSTITUTE(SUBSTITUTE(SUBSTITUTE(SUBSTITUTE(LOWER(TRIM(I353)),"á","a"),"é","e"),"í","i"),"ó","o"),"ú","u"),"ü","u"),"ñ","n"),"à","a"),"è","e"),"ì","i"),"ò","o"),"ù","u"),"")</f>
        <v/>
      </c>
      <c r="S353" s="25">
        <f>IF(R353="","",IF(OR(R353="si",R353="tal vez"),1,0))</f>
        <v/>
      </c>
      <c r="T353" s="25">
        <f>IF(AND(L353=1,D353&lt;&gt;""),IF(IFERROR(COUNTIFS(D$3:D353,"="&amp;SUBSTITUTE(SUBSTITUTE(SUBSTITUTE(D353,"~","~~"),"*","~*"),"?","~?"),L$3:L353,1),0)=1,MAX(T$2:T352)+1,""),"")</f>
        <v/>
      </c>
      <c r="U353" s="25">
        <f>IF(T353="","",COUNTIFS($D$3:$D$1002,"="&amp;SUBSTITUTE(SUBSTITUTE(SUBSTITUTE(D353,"~","~~"),"*","~*"),"?","~?"),$L$3:$L$1002,1)*10000-T353)</f>
        <v/>
      </c>
      <c r="V353" s="25">
        <f>IF(AND(L353=1,J353&lt;&gt;""),IF(IFERROR(COUNTIFS(J$3:J353,"="&amp;SUBSTITUTE(SUBSTITUTE(SUBSTITUTE(J353,"~","~~"),"*","~*"),"?","~?"),L$3:L353,1),0)=1,MAX(V$2:V352)+1,""),"")</f>
        <v/>
      </c>
      <c r="W353" s="25">
        <f>IF(V353="","",COUNTIFS($J$3:$J$1002,"="&amp;SUBSTITUTE(SUBSTITUTE(SUBSTITUTE(J353,"~","~~"),"*","~*"),"?","~?"),$L$3:$L$1002,1)*10000-V353)</f>
        <v/>
      </c>
    </row>
    <row r="354">
      <c r="A354">
        <f>IF(A$2=0,"",IFERROR(TRIM(INDEX('Pegar estudiantes'!$A$1:$BZ$1001,353,A$2)&amp;""),""))</f>
        <v/>
      </c>
      <c r="B354">
        <f>IF(B$2=0,"",IFERROR(TRIM(INDEX('Pegar estudiantes'!$A$1:$BZ$1001,353,B$2)&amp;""),""))</f>
        <v/>
      </c>
      <c r="C354">
        <f>IF(C$2=0,"",IFERROR(TRIM(INDEX('Pegar estudiantes'!$A$1:$BZ$1001,353,C$2)&amp;""),""))</f>
        <v/>
      </c>
      <c r="D354">
        <f>IF(D$2=0,"",IFERROR(TRIM(INDEX('Pegar estudiantes'!$A$1:$BZ$1001,353,D$2)&amp;""),""))</f>
        <v/>
      </c>
      <c r="E354">
        <f>IF(E$2=0,"",IFERROR(TRIM(INDEX('Pegar estudiantes'!$A$1:$BZ$1001,353,E$2)&amp;""),""))</f>
        <v/>
      </c>
      <c r="F354">
        <f>IF(F$2=0,"",IFERROR(TRIM(INDEX('Pegar estudiantes'!$A$1:$BZ$1001,353,F$2)&amp;""),""))</f>
        <v/>
      </c>
      <c r="G354">
        <f>IF(G$2=0,"",IFERROR(TRIM(INDEX('Pegar estudiantes'!$A$1:$BZ$1001,353,G$2)&amp;""),""))</f>
        <v/>
      </c>
      <c r="H354">
        <f>IF(H$2=0,"",IFERROR(TRIM(INDEX('Pegar estudiantes'!$A$1:$BZ$1001,353,H$2)&amp;""),""))</f>
        <v/>
      </c>
      <c r="I354">
        <f>IF(I$2=0,"",IFERROR(TRIM(INDEX('Pegar estudiantes'!$A$1:$BZ$1001,353,I$2)&amp;""),""))</f>
        <v/>
      </c>
      <c r="J354">
        <f>IF(J$2=0,"",IFERROR(TRIM(INDEX('Pegar estudiantes'!$A$1:$BZ$1001,353,J$2)&amp;""),""))</f>
        <v/>
      </c>
      <c r="K354">
        <f>IF(K$2=0,"",IFERROR(TRIM(INDEX('Pegar estudiantes'!$A$1:$BZ$1001,353,K$2)&amp;""),""))</f>
        <v/>
      </c>
      <c r="L354" s="25">
        <f>IF(A354&lt;&gt;"",1,"")</f>
        <v/>
      </c>
      <c r="M354" s="25">
        <f>IF(L354=1,IF(ISNUMBER(FIND("#"&amp;MID(A354,1,1)&amp;"#","#0#1#2#3#4#5#6#7#8#9#")),IF(ISNUMBER(FIND("#"&amp;MID(A354,2,1)&amp;"#","#0#1#2#3#4#5#6#7#8#9#")),IF(AND(VALUE(LEFT(A354,2))&gt;=1,VALUE(LEFT(A354,2))&lt;=5),VALUE(LEFT(A354,2)),""),IF(AND(VALUE(LEFT(A354,1))&gt;=1,VALUE(LEFT(A354,1))&lt;=5),VALUE(LEFT(A354,1)),"")),""),"")</f>
        <v/>
      </c>
      <c r="N354" s="25">
        <f>IF(L354=1,IF(ISNUMBER(FIND("#"&amp;MID(H354,1,1)&amp;"#","#0#1#2#3#4#5#6#7#8#9#")),IF(ISNUMBER(FIND("#"&amp;MID(H354,2,1)&amp;"#","#0#1#2#3#4#5#6#7#8#9#")),IF(AND(VALUE(LEFT(H354,2))&gt;=1,VALUE(LEFT(H354,2))&lt;=5),VALUE(LEFT(H354,2)),""),IF(AND(VALUE(LEFT(H354,1))&gt;=1,VALUE(LEFT(H354,1))&lt;=5),VALUE(LEFT(H354,1)),"")),""),"")</f>
        <v/>
      </c>
      <c r="O354" s="25">
        <f>IF(AND(L354=1,B354&lt;&gt;""),SUBSTITUTE(SUBSTITUTE(SUBSTITUTE(SUBSTITUTE(SUBSTITUTE(SUBSTITUTE(SUBSTITUTE(SUBSTITUTE(SUBSTITUTE(SUBSTITUTE(SUBSTITUTE(SUBSTITUTE(LOWER(TRIM(B354)),"á","a"),"é","e"),"í","i"),"ó","o"),"ú","u"),"ü","u"),"ñ","n"),"à","a"),"è","e"),"ì","i"),"ò","o"),"ù","u"),"")</f>
        <v/>
      </c>
      <c r="P354" s="25">
        <f>IF(AND(L354=1,C354&lt;&gt;""),SUBSTITUTE(SUBSTITUTE(SUBSTITUTE(SUBSTITUTE(SUBSTITUTE(SUBSTITUTE(SUBSTITUTE(SUBSTITUTE(SUBSTITUTE(SUBSTITUTE(SUBSTITUTE(SUBSTITUTE(LOWER(TRIM(C354)),"á","a"),"é","e"),"í","i"),"ó","o"),"ú","u"),"ü","u"),"ñ","n"),"à","a"),"è","e"),"ì","i"),"ò","o"),"ù","u"),"")</f>
        <v/>
      </c>
      <c r="Q354" s="25">
        <f>IF(AND(L354=1,E354&lt;&gt;""),SUBSTITUTE(SUBSTITUTE(SUBSTITUTE(SUBSTITUTE(SUBSTITUTE(SUBSTITUTE(SUBSTITUTE(SUBSTITUTE(SUBSTITUTE(SUBSTITUTE(SUBSTITUTE(SUBSTITUTE(LOWER(TRIM(E354)),"á","a"),"é","e"),"í","i"),"ó","o"),"ú","u"),"ü","u"),"ñ","n"),"à","a"),"è","e"),"ì","i"),"ò","o"),"ù","u"),"")</f>
        <v/>
      </c>
      <c r="R354" s="25">
        <f>IF(AND(L354=1,I354&lt;&gt;""),SUBSTITUTE(SUBSTITUTE(SUBSTITUTE(SUBSTITUTE(SUBSTITUTE(SUBSTITUTE(SUBSTITUTE(SUBSTITUTE(SUBSTITUTE(SUBSTITUTE(SUBSTITUTE(SUBSTITUTE(LOWER(TRIM(I354)),"á","a"),"é","e"),"í","i"),"ó","o"),"ú","u"),"ü","u"),"ñ","n"),"à","a"),"è","e"),"ì","i"),"ò","o"),"ù","u"),"")</f>
        <v/>
      </c>
      <c r="S354" s="25">
        <f>IF(R354="","",IF(OR(R354="si",R354="tal vez"),1,0))</f>
        <v/>
      </c>
      <c r="T354" s="25">
        <f>IF(AND(L354=1,D354&lt;&gt;""),IF(IFERROR(COUNTIFS(D$3:D354,"="&amp;SUBSTITUTE(SUBSTITUTE(SUBSTITUTE(D354,"~","~~"),"*","~*"),"?","~?"),L$3:L354,1),0)=1,MAX(T$2:T353)+1,""),"")</f>
        <v/>
      </c>
      <c r="U354" s="25">
        <f>IF(T354="","",COUNTIFS($D$3:$D$1002,"="&amp;SUBSTITUTE(SUBSTITUTE(SUBSTITUTE(D354,"~","~~"),"*","~*"),"?","~?"),$L$3:$L$1002,1)*10000-T354)</f>
        <v/>
      </c>
      <c r="V354" s="25">
        <f>IF(AND(L354=1,J354&lt;&gt;""),IF(IFERROR(COUNTIFS(J$3:J354,"="&amp;SUBSTITUTE(SUBSTITUTE(SUBSTITUTE(J354,"~","~~"),"*","~*"),"?","~?"),L$3:L354,1),0)=1,MAX(V$2:V353)+1,""),"")</f>
        <v/>
      </c>
      <c r="W354" s="25">
        <f>IF(V354="","",COUNTIFS($J$3:$J$1002,"="&amp;SUBSTITUTE(SUBSTITUTE(SUBSTITUTE(J354,"~","~~"),"*","~*"),"?","~?"),$L$3:$L$1002,1)*10000-V354)</f>
        <v/>
      </c>
    </row>
    <row r="355">
      <c r="A355">
        <f>IF(A$2=0,"",IFERROR(TRIM(INDEX('Pegar estudiantes'!$A$1:$BZ$1001,354,A$2)&amp;""),""))</f>
        <v/>
      </c>
      <c r="B355">
        <f>IF(B$2=0,"",IFERROR(TRIM(INDEX('Pegar estudiantes'!$A$1:$BZ$1001,354,B$2)&amp;""),""))</f>
        <v/>
      </c>
      <c r="C355">
        <f>IF(C$2=0,"",IFERROR(TRIM(INDEX('Pegar estudiantes'!$A$1:$BZ$1001,354,C$2)&amp;""),""))</f>
        <v/>
      </c>
      <c r="D355">
        <f>IF(D$2=0,"",IFERROR(TRIM(INDEX('Pegar estudiantes'!$A$1:$BZ$1001,354,D$2)&amp;""),""))</f>
        <v/>
      </c>
      <c r="E355">
        <f>IF(E$2=0,"",IFERROR(TRIM(INDEX('Pegar estudiantes'!$A$1:$BZ$1001,354,E$2)&amp;""),""))</f>
        <v/>
      </c>
      <c r="F355">
        <f>IF(F$2=0,"",IFERROR(TRIM(INDEX('Pegar estudiantes'!$A$1:$BZ$1001,354,F$2)&amp;""),""))</f>
        <v/>
      </c>
      <c r="G355">
        <f>IF(G$2=0,"",IFERROR(TRIM(INDEX('Pegar estudiantes'!$A$1:$BZ$1001,354,G$2)&amp;""),""))</f>
        <v/>
      </c>
      <c r="H355">
        <f>IF(H$2=0,"",IFERROR(TRIM(INDEX('Pegar estudiantes'!$A$1:$BZ$1001,354,H$2)&amp;""),""))</f>
        <v/>
      </c>
      <c r="I355">
        <f>IF(I$2=0,"",IFERROR(TRIM(INDEX('Pegar estudiantes'!$A$1:$BZ$1001,354,I$2)&amp;""),""))</f>
        <v/>
      </c>
      <c r="J355">
        <f>IF(J$2=0,"",IFERROR(TRIM(INDEX('Pegar estudiantes'!$A$1:$BZ$1001,354,J$2)&amp;""),""))</f>
        <v/>
      </c>
      <c r="K355">
        <f>IF(K$2=0,"",IFERROR(TRIM(INDEX('Pegar estudiantes'!$A$1:$BZ$1001,354,K$2)&amp;""),""))</f>
        <v/>
      </c>
      <c r="L355" s="25">
        <f>IF(A355&lt;&gt;"",1,"")</f>
        <v/>
      </c>
      <c r="M355" s="25">
        <f>IF(L355=1,IF(ISNUMBER(FIND("#"&amp;MID(A355,1,1)&amp;"#","#0#1#2#3#4#5#6#7#8#9#")),IF(ISNUMBER(FIND("#"&amp;MID(A355,2,1)&amp;"#","#0#1#2#3#4#5#6#7#8#9#")),IF(AND(VALUE(LEFT(A355,2))&gt;=1,VALUE(LEFT(A355,2))&lt;=5),VALUE(LEFT(A355,2)),""),IF(AND(VALUE(LEFT(A355,1))&gt;=1,VALUE(LEFT(A355,1))&lt;=5),VALUE(LEFT(A355,1)),"")),""),"")</f>
        <v/>
      </c>
      <c r="N355" s="25">
        <f>IF(L355=1,IF(ISNUMBER(FIND("#"&amp;MID(H355,1,1)&amp;"#","#0#1#2#3#4#5#6#7#8#9#")),IF(ISNUMBER(FIND("#"&amp;MID(H355,2,1)&amp;"#","#0#1#2#3#4#5#6#7#8#9#")),IF(AND(VALUE(LEFT(H355,2))&gt;=1,VALUE(LEFT(H355,2))&lt;=5),VALUE(LEFT(H355,2)),""),IF(AND(VALUE(LEFT(H355,1))&gt;=1,VALUE(LEFT(H355,1))&lt;=5),VALUE(LEFT(H355,1)),"")),""),"")</f>
        <v/>
      </c>
      <c r="O355" s="25">
        <f>IF(AND(L355=1,B355&lt;&gt;""),SUBSTITUTE(SUBSTITUTE(SUBSTITUTE(SUBSTITUTE(SUBSTITUTE(SUBSTITUTE(SUBSTITUTE(SUBSTITUTE(SUBSTITUTE(SUBSTITUTE(SUBSTITUTE(SUBSTITUTE(LOWER(TRIM(B355)),"á","a"),"é","e"),"í","i"),"ó","o"),"ú","u"),"ü","u"),"ñ","n"),"à","a"),"è","e"),"ì","i"),"ò","o"),"ù","u"),"")</f>
        <v/>
      </c>
      <c r="P355" s="25">
        <f>IF(AND(L355=1,C355&lt;&gt;""),SUBSTITUTE(SUBSTITUTE(SUBSTITUTE(SUBSTITUTE(SUBSTITUTE(SUBSTITUTE(SUBSTITUTE(SUBSTITUTE(SUBSTITUTE(SUBSTITUTE(SUBSTITUTE(SUBSTITUTE(LOWER(TRIM(C355)),"á","a"),"é","e"),"í","i"),"ó","o"),"ú","u"),"ü","u"),"ñ","n"),"à","a"),"è","e"),"ì","i"),"ò","o"),"ù","u"),"")</f>
        <v/>
      </c>
      <c r="Q355" s="25">
        <f>IF(AND(L355=1,E355&lt;&gt;""),SUBSTITUTE(SUBSTITUTE(SUBSTITUTE(SUBSTITUTE(SUBSTITUTE(SUBSTITUTE(SUBSTITUTE(SUBSTITUTE(SUBSTITUTE(SUBSTITUTE(SUBSTITUTE(SUBSTITUTE(LOWER(TRIM(E355)),"á","a"),"é","e"),"í","i"),"ó","o"),"ú","u"),"ü","u"),"ñ","n"),"à","a"),"è","e"),"ì","i"),"ò","o"),"ù","u"),"")</f>
        <v/>
      </c>
      <c r="R355" s="25">
        <f>IF(AND(L355=1,I355&lt;&gt;""),SUBSTITUTE(SUBSTITUTE(SUBSTITUTE(SUBSTITUTE(SUBSTITUTE(SUBSTITUTE(SUBSTITUTE(SUBSTITUTE(SUBSTITUTE(SUBSTITUTE(SUBSTITUTE(SUBSTITUTE(LOWER(TRIM(I355)),"á","a"),"é","e"),"í","i"),"ó","o"),"ú","u"),"ü","u"),"ñ","n"),"à","a"),"è","e"),"ì","i"),"ò","o"),"ù","u"),"")</f>
        <v/>
      </c>
      <c r="S355" s="25">
        <f>IF(R355="","",IF(OR(R355="si",R355="tal vez"),1,0))</f>
        <v/>
      </c>
      <c r="T355" s="25">
        <f>IF(AND(L355=1,D355&lt;&gt;""),IF(IFERROR(COUNTIFS(D$3:D355,"="&amp;SUBSTITUTE(SUBSTITUTE(SUBSTITUTE(D355,"~","~~"),"*","~*"),"?","~?"),L$3:L355,1),0)=1,MAX(T$2:T354)+1,""),"")</f>
        <v/>
      </c>
      <c r="U355" s="25">
        <f>IF(T355="","",COUNTIFS($D$3:$D$1002,"="&amp;SUBSTITUTE(SUBSTITUTE(SUBSTITUTE(D355,"~","~~"),"*","~*"),"?","~?"),$L$3:$L$1002,1)*10000-T355)</f>
        <v/>
      </c>
      <c r="V355" s="25">
        <f>IF(AND(L355=1,J355&lt;&gt;""),IF(IFERROR(COUNTIFS(J$3:J355,"="&amp;SUBSTITUTE(SUBSTITUTE(SUBSTITUTE(J355,"~","~~"),"*","~*"),"?","~?"),L$3:L355,1),0)=1,MAX(V$2:V354)+1,""),"")</f>
        <v/>
      </c>
      <c r="W355" s="25">
        <f>IF(V355="","",COUNTIFS($J$3:$J$1002,"="&amp;SUBSTITUTE(SUBSTITUTE(SUBSTITUTE(J355,"~","~~"),"*","~*"),"?","~?"),$L$3:$L$1002,1)*10000-V355)</f>
        <v/>
      </c>
    </row>
    <row r="356">
      <c r="A356">
        <f>IF(A$2=0,"",IFERROR(TRIM(INDEX('Pegar estudiantes'!$A$1:$BZ$1001,355,A$2)&amp;""),""))</f>
        <v/>
      </c>
      <c r="B356">
        <f>IF(B$2=0,"",IFERROR(TRIM(INDEX('Pegar estudiantes'!$A$1:$BZ$1001,355,B$2)&amp;""),""))</f>
        <v/>
      </c>
      <c r="C356">
        <f>IF(C$2=0,"",IFERROR(TRIM(INDEX('Pegar estudiantes'!$A$1:$BZ$1001,355,C$2)&amp;""),""))</f>
        <v/>
      </c>
      <c r="D356">
        <f>IF(D$2=0,"",IFERROR(TRIM(INDEX('Pegar estudiantes'!$A$1:$BZ$1001,355,D$2)&amp;""),""))</f>
        <v/>
      </c>
      <c r="E356">
        <f>IF(E$2=0,"",IFERROR(TRIM(INDEX('Pegar estudiantes'!$A$1:$BZ$1001,355,E$2)&amp;""),""))</f>
        <v/>
      </c>
      <c r="F356">
        <f>IF(F$2=0,"",IFERROR(TRIM(INDEX('Pegar estudiantes'!$A$1:$BZ$1001,355,F$2)&amp;""),""))</f>
        <v/>
      </c>
      <c r="G356">
        <f>IF(G$2=0,"",IFERROR(TRIM(INDEX('Pegar estudiantes'!$A$1:$BZ$1001,355,G$2)&amp;""),""))</f>
        <v/>
      </c>
      <c r="H356">
        <f>IF(H$2=0,"",IFERROR(TRIM(INDEX('Pegar estudiantes'!$A$1:$BZ$1001,355,H$2)&amp;""),""))</f>
        <v/>
      </c>
      <c r="I356">
        <f>IF(I$2=0,"",IFERROR(TRIM(INDEX('Pegar estudiantes'!$A$1:$BZ$1001,355,I$2)&amp;""),""))</f>
        <v/>
      </c>
      <c r="J356">
        <f>IF(J$2=0,"",IFERROR(TRIM(INDEX('Pegar estudiantes'!$A$1:$BZ$1001,355,J$2)&amp;""),""))</f>
        <v/>
      </c>
      <c r="K356">
        <f>IF(K$2=0,"",IFERROR(TRIM(INDEX('Pegar estudiantes'!$A$1:$BZ$1001,355,K$2)&amp;""),""))</f>
        <v/>
      </c>
      <c r="L356" s="25">
        <f>IF(A356&lt;&gt;"",1,"")</f>
        <v/>
      </c>
      <c r="M356" s="25">
        <f>IF(L356=1,IF(ISNUMBER(FIND("#"&amp;MID(A356,1,1)&amp;"#","#0#1#2#3#4#5#6#7#8#9#")),IF(ISNUMBER(FIND("#"&amp;MID(A356,2,1)&amp;"#","#0#1#2#3#4#5#6#7#8#9#")),IF(AND(VALUE(LEFT(A356,2))&gt;=1,VALUE(LEFT(A356,2))&lt;=5),VALUE(LEFT(A356,2)),""),IF(AND(VALUE(LEFT(A356,1))&gt;=1,VALUE(LEFT(A356,1))&lt;=5),VALUE(LEFT(A356,1)),"")),""),"")</f>
        <v/>
      </c>
      <c r="N356" s="25">
        <f>IF(L356=1,IF(ISNUMBER(FIND("#"&amp;MID(H356,1,1)&amp;"#","#0#1#2#3#4#5#6#7#8#9#")),IF(ISNUMBER(FIND("#"&amp;MID(H356,2,1)&amp;"#","#0#1#2#3#4#5#6#7#8#9#")),IF(AND(VALUE(LEFT(H356,2))&gt;=1,VALUE(LEFT(H356,2))&lt;=5),VALUE(LEFT(H356,2)),""),IF(AND(VALUE(LEFT(H356,1))&gt;=1,VALUE(LEFT(H356,1))&lt;=5),VALUE(LEFT(H356,1)),"")),""),"")</f>
        <v/>
      </c>
      <c r="O356" s="25">
        <f>IF(AND(L356=1,B356&lt;&gt;""),SUBSTITUTE(SUBSTITUTE(SUBSTITUTE(SUBSTITUTE(SUBSTITUTE(SUBSTITUTE(SUBSTITUTE(SUBSTITUTE(SUBSTITUTE(SUBSTITUTE(SUBSTITUTE(SUBSTITUTE(LOWER(TRIM(B356)),"á","a"),"é","e"),"í","i"),"ó","o"),"ú","u"),"ü","u"),"ñ","n"),"à","a"),"è","e"),"ì","i"),"ò","o"),"ù","u"),"")</f>
        <v/>
      </c>
      <c r="P356" s="25">
        <f>IF(AND(L356=1,C356&lt;&gt;""),SUBSTITUTE(SUBSTITUTE(SUBSTITUTE(SUBSTITUTE(SUBSTITUTE(SUBSTITUTE(SUBSTITUTE(SUBSTITUTE(SUBSTITUTE(SUBSTITUTE(SUBSTITUTE(SUBSTITUTE(LOWER(TRIM(C356)),"á","a"),"é","e"),"í","i"),"ó","o"),"ú","u"),"ü","u"),"ñ","n"),"à","a"),"è","e"),"ì","i"),"ò","o"),"ù","u"),"")</f>
        <v/>
      </c>
      <c r="Q356" s="25">
        <f>IF(AND(L356=1,E356&lt;&gt;""),SUBSTITUTE(SUBSTITUTE(SUBSTITUTE(SUBSTITUTE(SUBSTITUTE(SUBSTITUTE(SUBSTITUTE(SUBSTITUTE(SUBSTITUTE(SUBSTITUTE(SUBSTITUTE(SUBSTITUTE(LOWER(TRIM(E356)),"á","a"),"é","e"),"í","i"),"ó","o"),"ú","u"),"ü","u"),"ñ","n"),"à","a"),"è","e"),"ì","i"),"ò","o"),"ù","u"),"")</f>
        <v/>
      </c>
      <c r="R356" s="25">
        <f>IF(AND(L356=1,I356&lt;&gt;""),SUBSTITUTE(SUBSTITUTE(SUBSTITUTE(SUBSTITUTE(SUBSTITUTE(SUBSTITUTE(SUBSTITUTE(SUBSTITUTE(SUBSTITUTE(SUBSTITUTE(SUBSTITUTE(SUBSTITUTE(LOWER(TRIM(I356)),"á","a"),"é","e"),"í","i"),"ó","o"),"ú","u"),"ü","u"),"ñ","n"),"à","a"),"è","e"),"ì","i"),"ò","o"),"ù","u"),"")</f>
        <v/>
      </c>
      <c r="S356" s="25">
        <f>IF(R356="","",IF(OR(R356="si",R356="tal vez"),1,0))</f>
        <v/>
      </c>
      <c r="T356" s="25">
        <f>IF(AND(L356=1,D356&lt;&gt;""),IF(IFERROR(COUNTIFS(D$3:D356,"="&amp;SUBSTITUTE(SUBSTITUTE(SUBSTITUTE(D356,"~","~~"),"*","~*"),"?","~?"),L$3:L356,1),0)=1,MAX(T$2:T355)+1,""),"")</f>
        <v/>
      </c>
      <c r="U356" s="25">
        <f>IF(T356="","",COUNTIFS($D$3:$D$1002,"="&amp;SUBSTITUTE(SUBSTITUTE(SUBSTITUTE(D356,"~","~~"),"*","~*"),"?","~?"),$L$3:$L$1002,1)*10000-T356)</f>
        <v/>
      </c>
      <c r="V356" s="25">
        <f>IF(AND(L356=1,J356&lt;&gt;""),IF(IFERROR(COUNTIFS(J$3:J356,"="&amp;SUBSTITUTE(SUBSTITUTE(SUBSTITUTE(J356,"~","~~"),"*","~*"),"?","~?"),L$3:L356,1),0)=1,MAX(V$2:V355)+1,""),"")</f>
        <v/>
      </c>
      <c r="W356" s="25">
        <f>IF(V356="","",COUNTIFS($J$3:$J$1002,"="&amp;SUBSTITUTE(SUBSTITUTE(SUBSTITUTE(J356,"~","~~"),"*","~*"),"?","~?"),$L$3:$L$1002,1)*10000-V356)</f>
        <v/>
      </c>
    </row>
    <row r="357">
      <c r="A357">
        <f>IF(A$2=0,"",IFERROR(TRIM(INDEX('Pegar estudiantes'!$A$1:$BZ$1001,356,A$2)&amp;""),""))</f>
        <v/>
      </c>
      <c r="B357">
        <f>IF(B$2=0,"",IFERROR(TRIM(INDEX('Pegar estudiantes'!$A$1:$BZ$1001,356,B$2)&amp;""),""))</f>
        <v/>
      </c>
      <c r="C357">
        <f>IF(C$2=0,"",IFERROR(TRIM(INDEX('Pegar estudiantes'!$A$1:$BZ$1001,356,C$2)&amp;""),""))</f>
        <v/>
      </c>
      <c r="D357">
        <f>IF(D$2=0,"",IFERROR(TRIM(INDEX('Pegar estudiantes'!$A$1:$BZ$1001,356,D$2)&amp;""),""))</f>
        <v/>
      </c>
      <c r="E357">
        <f>IF(E$2=0,"",IFERROR(TRIM(INDEX('Pegar estudiantes'!$A$1:$BZ$1001,356,E$2)&amp;""),""))</f>
        <v/>
      </c>
      <c r="F357">
        <f>IF(F$2=0,"",IFERROR(TRIM(INDEX('Pegar estudiantes'!$A$1:$BZ$1001,356,F$2)&amp;""),""))</f>
        <v/>
      </c>
      <c r="G357">
        <f>IF(G$2=0,"",IFERROR(TRIM(INDEX('Pegar estudiantes'!$A$1:$BZ$1001,356,G$2)&amp;""),""))</f>
        <v/>
      </c>
      <c r="H357">
        <f>IF(H$2=0,"",IFERROR(TRIM(INDEX('Pegar estudiantes'!$A$1:$BZ$1001,356,H$2)&amp;""),""))</f>
        <v/>
      </c>
      <c r="I357">
        <f>IF(I$2=0,"",IFERROR(TRIM(INDEX('Pegar estudiantes'!$A$1:$BZ$1001,356,I$2)&amp;""),""))</f>
        <v/>
      </c>
      <c r="J357">
        <f>IF(J$2=0,"",IFERROR(TRIM(INDEX('Pegar estudiantes'!$A$1:$BZ$1001,356,J$2)&amp;""),""))</f>
        <v/>
      </c>
      <c r="K357">
        <f>IF(K$2=0,"",IFERROR(TRIM(INDEX('Pegar estudiantes'!$A$1:$BZ$1001,356,K$2)&amp;""),""))</f>
        <v/>
      </c>
      <c r="L357" s="25">
        <f>IF(A357&lt;&gt;"",1,"")</f>
        <v/>
      </c>
      <c r="M357" s="25">
        <f>IF(L357=1,IF(ISNUMBER(FIND("#"&amp;MID(A357,1,1)&amp;"#","#0#1#2#3#4#5#6#7#8#9#")),IF(ISNUMBER(FIND("#"&amp;MID(A357,2,1)&amp;"#","#0#1#2#3#4#5#6#7#8#9#")),IF(AND(VALUE(LEFT(A357,2))&gt;=1,VALUE(LEFT(A357,2))&lt;=5),VALUE(LEFT(A357,2)),""),IF(AND(VALUE(LEFT(A357,1))&gt;=1,VALUE(LEFT(A357,1))&lt;=5),VALUE(LEFT(A357,1)),"")),""),"")</f>
        <v/>
      </c>
      <c r="N357" s="25">
        <f>IF(L357=1,IF(ISNUMBER(FIND("#"&amp;MID(H357,1,1)&amp;"#","#0#1#2#3#4#5#6#7#8#9#")),IF(ISNUMBER(FIND("#"&amp;MID(H357,2,1)&amp;"#","#0#1#2#3#4#5#6#7#8#9#")),IF(AND(VALUE(LEFT(H357,2))&gt;=1,VALUE(LEFT(H357,2))&lt;=5),VALUE(LEFT(H357,2)),""),IF(AND(VALUE(LEFT(H357,1))&gt;=1,VALUE(LEFT(H357,1))&lt;=5),VALUE(LEFT(H357,1)),"")),""),"")</f>
        <v/>
      </c>
      <c r="O357" s="25">
        <f>IF(AND(L357=1,B357&lt;&gt;""),SUBSTITUTE(SUBSTITUTE(SUBSTITUTE(SUBSTITUTE(SUBSTITUTE(SUBSTITUTE(SUBSTITUTE(SUBSTITUTE(SUBSTITUTE(SUBSTITUTE(SUBSTITUTE(SUBSTITUTE(LOWER(TRIM(B357)),"á","a"),"é","e"),"í","i"),"ó","o"),"ú","u"),"ü","u"),"ñ","n"),"à","a"),"è","e"),"ì","i"),"ò","o"),"ù","u"),"")</f>
        <v/>
      </c>
      <c r="P357" s="25">
        <f>IF(AND(L357=1,C357&lt;&gt;""),SUBSTITUTE(SUBSTITUTE(SUBSTITUTE(SUBSTITUTE(SUBSTITUTE(SUBSTITUTE(SUBSTITUTE(SUBSTITUTE(SUBSTITUTE(SUBSTITUTE(SUBSTITUTE(SUBSTITUTE(LOWER(TRIM(C357)),"á","a"),"é","e"),"í","i"),"ó","o"),"ú","u"),"ü","u"),"ñ","n"),"à","a"),"è","e"),"ì","i"),"ò","o"),"ù","u"),"")</f>
        <v/>
      </c>
      <c r="Q357" s="25">
        <f>IF(AND(L357=1,E357&lt;&gt;""),SUBSTITUTE(SUBSTITUTE(SUBSTITUTE(SUBSTITUTE(SUBSTITUTE(SUBSTITUTE(SUBSTITUTE(SUBSTITUTE(SUBSTITUTE(SUBSTITUTE(SUBSTITUTE(SUBSTITUTE(LOWER(TRIM(E357)),"á","a"),"é","e"),"í","i"),"ó","o"),"ú","u"),"ü","u"),"ñ","n"),"à","a"),"è","e"),"ì","i"),"ò","o"),"ù","u"),"")</f>
        <v/>
      </c>
      <c r="R357" s="25">
        <f>IF(AND(L357=1,I357&lt;&gt;""),SUBSTITUTE(SUBSTITUTE(SUBSTITUTE(SUBSTITUTE(SUBSTITUTE(SUBSTITUTE(SUBSTITUTE(SUBSTITUTE(SUBSTITUTE(SUBSTITUTE(SUBSTITUTE(SUBSTITUTE(LOWER(TRIM(I357)),"á","a"),"é","e"),"í","i"),"ó","o"),"ú","u"),"ü","u"),"ñ","n"),"à","a"),"è","e"),"ì","i"),"ò","o"),"ù","u"),"")</f>
        <v/>
      </c>
      <c r="S357" s="25">
        <f>IF(R357="","",IF(OR(R357="si",R357="tal vez"),1,0))</f>
        <v/>
      </c>
      <c r="T357" s="25">
        <f>IF(AND(L357=1,D357&lt;&gt;""),IF(IFERROR(COUNTIFS(D$3:D357,"="&amp;SUBSTITUTE(SUBSTITUTE(SUBSTITUTE(D357,"~","~~"),"*","~*"),"?","~?"),L$3:L357,1),0)=1,MAX(T$2:T356)+1,""),"")</f>
        <v/>
      </c>
      <c r="U357" s="25">
        <f>IF(T357="","",COUNTIFS($D$3:$D$1002,"="&amp;SUBSTITUTE(SUBSTITUTE(SUBSTITUTE(D357,"~","~~"),"*","~*"),"?","~?"),$L$3:$L$1002,1)*10000-T357)</f>
        <v/>
      </c>
      <c r="V357" s="25">
        <f>IF(AND(L357=1,J357&lt;&gt;""),IF(IFERROR(COUNTIFS(J$3:J357,"="&amp;SUBSTITUTE(SUBSTITUTE(SUBSTITUTE(J357,"~","~~"),"*","~*"),"?","~?"),L$3:L357,1),0)=1,MAX(V$2:V356)+1,""),"")</f>
        <v/>
      </c>
      <c r="W357" s="25">
        <f>IF(V357="","",COUNTIFS($J$3:$J$1002,"="&amp;SUBSTITUTE(SUBSTITUTE(SUBSTITUTE(J357,"~","~~"),"*","~*"),"?","~?"),$L$3:$L$1002,1)*10000-V357)</f>
        <v/>
      </c>
    </row>
    <row r="358">
      <c r="A358">
        <f>IF(A$2=0,"",IFERROR(TRIM(INDEX('Pegar estudiantes'!$A$1:$BZ$1001,357,A$2)&amp;""),""))</f>
        <v/>
      </c>
      <c r="B358">
        <f>IF(B$2=0,"",IFERROR(TRIM(INDEX('Pegar estudiantes'!$A$1:$BZ$1001,357,B$2)&amp;""),""))</f>
        <v/>
      </c>
      <c r="C358">
        <f>IF(C$2=0,"",IFERROR(TRIM(INDEX('Pegar estudiantes'!$A$1:$BZ$1001,357,C$2)&amp;""),""))</f>
        <v/>
      </c>
      <c r="D358">
        <f>IF(D$2=0,"",IFERROR(TRIM(INDEX('Pegar estudiantes'!$A$1:$BZ$1001,357,D$2)&amp;""),""))</f>
        <v/>
      </c>
      <c r="E358">
        <f>IF(E$2=0,"",IFERROR(TRIM(INDEX('Pegar estudiantes'!$A$1:$BZ$1001,357,E$2)&amp;""),""))</f>
        <v/>
      </c>
      <c r="F358">
        <f>IF(F$2=0,"",IFERROR(TRIM(INDEX('Pegar estudiantes'!$A$1:$BZ$1001,357,F$2)&amp;""),""))</f>
        <v/>
      </c>
      <c r="G358">
        <f>IF(G$2=0,"",IFERROR(TRIM(INDEX('Pegar estudiantes'!$A$1:$BZ$1001,357,G$2)&amp;""),""))</f>
        <v/>
      </c>
      <c r="H358">
        <f>IF(H$2=0,"",IFERROR(TRIM(INDEX('Pegar estudiantes'!$A$1:$BZ$1001,357,H$2)&amp;""),""))</f>
        <v/>
      </c>
      <c r="I358">
        <f>IF(I$2=0,"",IFERROR(TRIM(INDEX('Pegar estudiantes'!$A$1:$BZ$1001,357,I$2)&amp;""),""))</f>
        <v/>
      </c>
      <c r="J358">
        <f>IF(J$2=0,"",IFERROR(TRIM(INDEX('Pegar estudiantes'!$A$1:$BZ$1001,357,J$2)&amp;""),""))</f>
        <v/>
      </c>
      <c r="K358">
        <f>IF(K$2=0,"",IFERROR(TRIM(INDEX('Pegar estudiantes'!$A$1:$BZ$1001,357,K$2)&amp;""),""))</f>
        <v/>
      </c>
      <c r="L358" s="25">
        <f>IF(A358&lt;&gt;"",1,"")</f>
        <v/>
      </c>
      <c r="M358" s="25">
        <f>IF(L358=1,IF(ISNUMBER(FIND("#"&amp;MID(A358,1,1)&amp;"#","#0#1#2#3#4#5#6#7#8#9#")),IF(ISNUMBER(FIND("#"&amp;MID(A358,2,1)&amp;"#","#0#1#2#3#4#5#6#7#8#9#")),IF(AND(VALUE(LEFT(A358,2))&gt;=1,VALUE(LEFT(A358,2))&lt;=5),VALUE(LEFT(A358,2)),""),IF(AND(VALUE(LEFT(A358,1))&gt;=1,VALUE(LEFT(A358,1))&lt;=5),VALUE(LEFT(A358,1)),"")),""),"")</f>
        <v/>
      </c>
      <c r="N358" s="25">
        <f>IF(L358=1,IF(ISNUMBER(FIND("#"&amp;MID(H358,1,1)&amp;"#","#0#1#2#3#4#5#6#7#8#9#")),IF(ISNUMBER(FIND("#"&amp;MID(H358,2,1)&amp;"#","#0#1#2#3#4#5#6#7#8#9#")),IF(AND(VALUE(LEFT(H358,2))&gt;=1,VALUE(LEFT(H358,2))&lt;=5),VALUE(LEFT(H358,2)),""),IF(AND(VALUE(LEFT(H358,1))&gt;=1,VALUE(LEFT(H358,1))&lt;=5),VALUE(LEFT(H358,1)),"")),""),"")</f>
        <v/>
      </c>
      <c r="O358" s="25">
        <f>IF(AND(L358=1,B358&lt;&gt;""),SUBSTITUTE(SUBSTITUTE(SUBSTITUTE(SUBSTITUTE(SUBSTITUTE(SUBSTITUTE(SUBSTITUTE(SUBSTITUTE(SUBSTITUTE(SUBSTITUTE(SUBSTITUTE(SUBSTITUTE(LOWER(TRIM(B358)),"á","a"),"é","e"),"í","i"),"ó","o"),"ú","u"),"ü","u"),"ñ","n"),"à","a"),"è","e"),"ì","i"),"ò","o"),"ù","u"),"")</f>
        <v/>
      </c>
      <c r="P358" s="25">
        <f>IF(AND(L358=1,C358&lt;&gt;""),SUBSTITUTE(SUBSTITUTE(SUBSTITUTE(SUBSTITUTE(SUBSTITUTE(SUBSTITUTE(SUBSTITUTE(SUBSTITUTE(SUBSTITUTE(SUBSTITUTE(SUBSTITUTE(SUBSTITUTE(LOWER(TRIM(C358)),"á","a"),"é","e"),"í","i"),"ó","o"),"ú","u"),"ü","u"),"ñ","n"),"à","a"),"è","e"),"ì","i"),"ò","o"),"ù","u"),"")</f>
        <v/>
      </c>
      <c r="Q358" s="25">
        <f>IF(AND(L358=1,E358&lt;&gt;""),SUBSTITUTE(SUBSTITUTE(SUBSTITUTE(SUBSTITUTE(SUBSTITUTE(SUBSTITUTE(SUBSTITUTE(SUBSTITUTE(SUBSTITUTE(SUBSTITUTE(SUBSTITUTE(SUBSTITUTE(LOWER(TRIM(E358)),"á","a"),"é","e"),"í","i"),"ó","o"),"ú","u"),"ü","u"),"ñ","n"),"à","a"),"è","e"),"ì","i"),"ò","o"),"ù","u"),"")</f>
        <v/>
      </c>
      <c r="R358" s="25">
        <f>IF(AND(L358=1,I358&lt;&gt;""),SUBSTITUTE(SUBSTITUTE(SUBSTITUTE(SUBSTITUTE(SUBSTITUTE(SUBSTITUTE(SUBSTITUTE(SUBSTITUTE(SUBSTITUTE(SUBSTITUTE(SUBSTITUTE(SUBSTITUTE(LOWER(TRIM(I358)),"á","a"),"é","e"),"í","i"),"ó","o"),"ú","u"),"ü","u"),"ñ","n"),"à","a"),"è","e"),"ì","i"),"ò","o"),"ù","u"),"")</f>
        <v/>
      </c>
      <c r="S358" s="25">
        <f>IF(R358="","",IF(OR(R358="si",R358="tal vez"),1,0))</f>
        <v/>
      </c>
      <c r="T358" s="25">
        <f>IF(AND(L358=1,D358&lt;&gt;""),IF(IFERROR(COUNTIFS(D$3:D358,"="&amp;SUBSTITUTE(SUBSTITUTE(SUBSTITUTE(D358,"~","~~"),"*","~*"),"?","~?"),L$3:L358,1),0)=1,MAX(T$2:T357)+1,""),"")</f>
        <v/>
      </c>
      <c r="U358" s="25">
        <f>IF(T358="","",COUNTIFS($D$3:$D$1002,"="&amp;SUBSTITUTE(SUBSTITUTE(SUBSTITUTE(D358,"~","~~"),"*","~*"),"?","~?"),$L$3:$L$1002,1)*10000-T358)</f>
        <v/>
      </c>
      <c r="V358" s="25">
        <f>IF(AND(L358=1,J358&lt;&gt;""),IF(IFERROR(COUNTIFS(J$3:J358,"="&amp;SUBSTITUTE(SUBSTITUTE(SUBSTITUTE(J358,"~","~~"),"*","~*"),"?","~?"),L$3:L358,1),0)=1,MAX(V$2:V357)+1,""),"")</f>
        <v/>
      </c>
      <c r="W358" s="25">
        <f>IF(V358="","",COUNTIFS($J$3:$J$1002,"="&amp;SUBSTITUTE(SUBSTITUTE(SUBSTITUTE(J358,"~","~~"),"*","~*"),"?","~?"),$L$3:$L$1002,1)*10000-V358)</f>
        <v/>
      </c>
    </row>
    <row r="359">
      <c r="A359">
        <f>IF(A$2=0,"",IFERROR(TRIM(INDEX('Pegar estudiantes'!$A$1:$BZ$1001,358,A$2)&amp;""),""))</f>
        <v/>
      </c>
      <c r="B359">
        <f>IF(B$2=0,"",IFERROR(TRIM(INDEX('Pegar estudiantes'!$A$1:$BZ$1001,358,B$2)&amp;""),""))</f>
        <v/>
      </c>
      <c r="C359">
        <f>IF(C$2=0,"",IFERROR(TRIM(INDEX('Pegar estudiantes'!$A$1:$BZ$1001,358,C$2)&amp;""),""))</f>
        <v/>
      </c>
      <c r="D359">
        <f>IF(D$2=0,"",IFERROR(TRIM(INDEX('Pegar estudiantes'!$A$1:$BZ$1001,358,D$2)&amp;""),""))</f>
        <v/>
      </c>
      <c r="E359">
        <f>IF(E$2=0,"",IFERROR(TRIM(INDEX('Pegar estudiantes'!$A$1:$BZ$1001,358,E$2)&amp;""),""))</f>
        <v/>
      </c>
      <c r="F359">
        <f>IF(F$2=0,"",IFERROR(TRIM(INDEX('Pegar estudiantes'!$A$1:$BZ$1001,358,F$2)&amp;""),""))</f>
        <v/>
      </c>
      <c r="G359">
        <f>IF(G$2=0,"",IFERROR(TRIM(INDEX('Pegar estudiantes'!$A$1:$BZ$1001,358,G$2)&amp;""),""))</f>
        <v/>
      </c>
      <c r="H359">
        <f>IF(H$2=0,"",IFERROR(TRIM(INDEX('Pegar estudiantes'!$A$1:$BZ$1001,358,H$2)&amp;""),""))</f>
        <v/>
      </c>
      <c r="I359">
        <f>IF(I$2=0,"",IFERROR(TRIM(INDEX('Pegar estudiantes'!$A$1:$BZ$1001,358,I$2)&amp;""),""))</f>
        <v/>
      </c>
      <c r="J359">
        <f>IF(J$2=0,"",IFERROR(TRIM(INDEX('Pegar estudiantes'!$A$1:$BZ$1001,358,J$2)&amp;""),""))</f>
        <v/>
      </c>
      <c r="K359">
        <f>IF(K$2=0,"",IFERROR(TRIM(INDEX('Pegar estudiantes'!$A$1:$BZ$1001,358,K$2)&amp;""),""))</f>
        <v/>
      </c>
      <c r="L359" s="25">
        <f>IF(A359&lt;&gt;"",1,"")</f>
        <v/>
      </c>
      <c r="M359" s="25">
        <f>IF(L359=1,IF(ISNUMBER(FIND("#"&amp;MID(A359,1,1)&amp;"#","#0#1#2#3#4#5#6#7#8#9#")),IF(ISNUMBER(FIND("#"&amp;MID(A359,2,1)&amp;"#","#0#1#2#3#4#5#6#7#8#9#")),IF(AND(VALUE(LEFT(A359,2))&gt;=1,VALUE(LEFT(A359,2))&lt;=5),VALUE(LEFT(A359,2)),""),IF(AND(VALUE(LEFT(A359,1))&gt;=1,VALUE(LEFT(A359,1))&lt;=5),VALUE(LEFT(A359,1)),"")),""),"")</f>
        <v/>
      </c>
      <c r="N359" s="25">
        <f>IF(L359=1,IF(ISNUMBER(FIND("#"&amp;MID(H359,1,1)&amp;"#","#0#1#2#3#4#5#6#7#8#9#")),IF(ISNUMBER(FIND("#"&amp;MID(H359,2,1)&amp;"#","#0#1#2#3#4#5#6#7#8#9#")),IF(AND(VALUE(LEFT(H359,2))&gt;=1,VALUE(LEFT(H359,2))&lt;=5),VALUE(LEFT(H359,2)),""),IF(AND(VALUE(LEFT(H359,1))&gt;=1,VALUE(LEFT(H359,1))&lt;=5),VALUE(LEFT(H359,1)),"")),""),"")</f>
        <v/>
      </c>
      <c r="O359" s="25">
        <f>IF(AND(L359=1,B359&lt;&gt;""),SUBSTITUTE(SUBSTITUTE(SUBSTITUTE(SUBSTITUTE(SUBSTITUTE(SUBSTITUTE(SUBSTITUTE(SUBSTITUTE(SUBSTITUTE(SUBSTITUTE(SUBSTITUTE(SUBSTITUTE(LOWER(TRIM(B359)),"á","a"),"é","e"),"í","i"),"ó","o"),"ú","u"),"ü","u"),"ñ","n"),"à","a"),"è","e"),"ì","i"),"ò","o"),"ù","u"),"")</f>
        <v/>
      </c>
      <c r="P359" s="25">
        <f>IF(AND(L359=1,C359&lt;&gt;""),SUBSTITUTE(SUBSTITUTE(SUBSTITUTE(SUBSTITUTE(SUBSTITUTE(SUBSTITUTE(SUBSTITUTE(SUBSTITUTE(SUBSTITUTE(SUBSTITUTE(SUBSTITUTE(SUBSTITUTE(LOWER(TRIM(C359)),"á","a"),"é","e"),"í","i"),"ó","o"),"ú","u"),"ü","u"),"ñ","n"),"à","a"),"è","e"),"ì","i"),"ò","o"),"ù","u"),"")</f>
        <v/>
      </c>
      <c r="Q359" s="25">
        <f>IF(AND(L359=1,E359&lt;&gt;""),SUBSTITUTE(SUBSTITUTE(SUBSTITUTE(SUBSTITUTE(SUBSTITUTE(SUBSTITUTE(SUBSTITUTE(SUBSTITUTE(SUBSTITUTE(SUBSTITUTE(SUBSTITUTE(SUBSTITUTE(LOWER(TRIM(E359)),"á","a"),"é","e"),"í","i"),"ó","o"),"ú","u"),"ü","u"),"ñ","n"),"à","a"),"è","e"),"ì","i"),"ò","o"),"ù","u"),"")</f>
        <v/>
      </c>
      <c r="R359" s="25">
        <f>IF(AND(L359=1,I359&lt;&gt;""),SUBSTITUTE(SUBSTITUTE(SUBSTITUTE(SUBSTITUTE(SUBSTITUTE(SUBSTITUTE(SUBSTITUTE(SUBSTITUTE(SUBSTITUTE(SUBSTITUTE(SUBSTITUTE(SUBSTITUTE(LOWER(TRIM(I359)),"á","a"),"é","e"),"í","i"),"ó","o"),"ú","u"),"ü","u"),"ñ","n"),"à","a"),"è","e"),"ì","i"),"ò","o"),"ù","u"),"")</f>
        <v/>
      </c>
      <c r="S359" s="25">
        <f>IF(R359="","",IF(OR(R359="si",R359="tal vez"),1,0))</f>
        <v/>
      </c>
      <c r="T359" s="25">
        <f>IF(AND(L359=1,D359&lt;&gt;""),IF(IFERROR(COUNTIFS(D$3:D359,"="&amp;SUBSTITUTE(SUBSTITUTE(SUBSTITUTE(D359,"~","~~"),"*","~*"),"?","~?"),L$3:L359,1),0)=1,MAX(T$2:T358)+1,""),"")</f>
        <v/>
      </c>
      <c r="U359" s="25">
        <f>IF(T359="","",COUNTIFS($D$3:$D$1002,"="&amp;SUBSTITUTE(SUBSTITUTE(SUBSTITUTE(D359,"~","~~"),"*","~*"),"?","~?"),$L$3:$L$1002,1)*10000-T359)</f>
        <v/>
      </c>
      <c r="V359" s="25">
        <f>IF(AND(L359=1,J359&lt;&gt;""),IF(IFERROR(COUNTIFS(J$3:J359,"="&amp;SUBSTITUTE(SUBSTITUTE(SUBSTITUTE(J359,"~","~~"),"*","~*"),"?","~?"),L$3:L359,1),0)=1,MAX(V$2:V358)+1,""),"")</f>
        <v/>
      </c>
      <c r="W359" s="25">
        <f>IF(V359="","",COUNTIFS($J$3:$J$1002,"="&amp;SUBSTITUTE(SUBSTITUTE(SUBSTITUTE(J359,"~","~~"),"*","~*"),"?","~?"),$L$3:$L$1002,1)*10000-V359)</f>
        <v/>
      </c>
    </row>
    <row r="360">
      <c r="A360">
        <f>IF(A$2=0,"",IFERROR(TRIM(INDEX('Pegar estudiantes'!$A$1:$BZ$1001,359,A$2)&amp;""),""))</f>
        <v/>
      </c>
      <c r="B360">
        <f>IF(B$2=0,"",IFERROR(TRIM(INDEX('Pegar estudiantes'!$A$1:$BZ$1001,359,B$2)&amp;""),""))</f>
        <v/>
      </c>
      <c r="C360">
        <f>IF(C$2=0,"",IFERROR(TRIM(INDEX('Pegar estudiantes'!$A$1:$BZ$1001,359,C$2)&amp;""),""))</f>
        <v/>
      </c>
      <c r="D360">
        <f>IF(D$2=0,"",IFERROR(TRIM(INDEX('Pegar estudiantes'!$A$1:$BZ$1001,359,D$2)&amp;""),""))</f>
        <v/>
      </c>
      <c r="E360">
        <f>IF(E$2=0,"",IFERROR(TRIM(INDEX('Pegar estudiantes'!$A$1:$BZ$1001,359,E$2)&amp;""),""))</f>
        <v/>
      </c>
      <c r="F360">
        <f>IF(F$2=0,"",IFERROR(TRIM(INDEX('Pegar estudiantes'!$A$1:$BZ$1001,359,F$2)&amp;""),""))</f>
        <v/>
      </c>
      <c r="G360">
        <f>IF(G$2=0,"",IFERROR(TRIM(INDEX('Pegar estudiantes'!$A$1:$BZ$1001,359,G$2)&amp;""),""))</f>
        <v/>
      </c>
      <c r="H360">
        <f>IF(H$2=0,"",IFERROR(TRIM(INDEX('Pegar estudiantes'!$A$1:$BZ$1001,359,H$2)&amp;""),""))</f>
        <v/>
      </c>
      <c r="I360">
        <f>IF(I$2=0,"",IFERROR(TRIM(INDEX('Pegar estudiantes'!$A$1:$BZ$1001,359,I$2)&amp;""),""))</f>
        <v/>
      </c>
      <c r="J360">
        <f>IF(J$2=0,"",IFERROR(TRIM(INDEX('Pegar estudiantes'!$A$1:$BZ$1001,359,J$2)&amp;""),""))</f>
        <v/>
      </c>
      <c r="K360">
        <f>IF(K$2=0,"",IFERROR(TRIM(INDEX('Pegar estudiantes'!$A$1:$BZ$1001,359,K$2)&amp;""),""))</f>
        <v/>
      </c>
      <c r="L360" s="25">
        <f>IF(A360&lt;&gt;"",1,"")</f>
        <v/>
      </c>
      <c r="M360" s="25">
        <f>IF(L360=1,IF(ISNUMBER(FIND("#"&amp;MID(A360,1,1)&amp;"#","#0#1#2#3#4#5#6#7#8#9#")),IF(ISNUMBER(FIND("#"&amp;MID(A360,2,1)&amp;"#","#0#1#2#3#4#5#6#7#8#9#")),IF(AND(VALUE(LEFT(A360,2))&gt;=1,VALUE(LEFT(A360,2))&lt;=5),VALUE(LEFT(A360,2)),""),IF(AND(VALUE(LEFT(A360,1))&gt;=1,VALUE(LEFT(A360,1))&lt;=5),VALUE(LEFT(A360,1)),"")),""),"")</f>
        <v/>
      </c>
      <c r="N360" s="25">
        <f>IF(L360=1,IF(ISNUMBER(FIND("#"&amp;MID(H360,1,1)&amp;"#","#0#1#2#3#4#5#6#7#8#9#")),IF(ISNUMBER(FIND("#"&amp;MID(H360,2,1)&amp;"#","#0#1#2#3#4#5#6#7#8#9#")),IF(AND(VALUE(LEFT(H360,2))&gt;=1,VALUE(LEFT(H360,2))&lt;=5),VALUE(LEFT(H360,2)),""),IF(AND(VALUE(LEFT(H360,1))&gt;=1,VALUE(LEFT(H360,1))&lt;=5),VALUE(LEFT(H360,1)),"")),""),"")</f>
        <v/>
      </c>
      <c r="O360" s="25">
        <f>IF(AND(L360=1,B360&lt;&gt;""),SUBSTITUTE(SUBSTITUTE(SUBSTITUTE(SUBSTITUTE(SUBSTITUTE(SUBSTITUTE(SUBSTITUTE(SUBSTITUTE(SUBSTITUTE(SUBSTITUTE(SUBSTITUTE(SUBSTITUTE(LOWER(TRIM(B360)),"á","a"),"é","e"),"í","i"),"ó","o"),"ú","u"),"ü","u"),"ñ","n"),"à","a"),"è","e"),"ì","i"),"ò","o"),"ù","u"),"")</f>
        <v/>
      </c>
      <c r="P360" s="25">
        <f>IF(AND(L360=1,C360&lt;&gt;""),SUBSTITUTE(SUBSTITUTE(SUBSTITUTE(SUBSTITUTE(SUBSTITUTE(SUBSTITUTE(SUBSTITUTE(SUBSTITUTE(SUBSTITUTE(SUBSTITUTE(SUBSTITUTE(SUBSTITUTE(LOWER(TRIM(C360)),"á","a"),"é","e"),"í","i"),"ó","o"),"ú","u"),"ü","u"),"ñ","n"),"à","a"),"è","e"),"ì","i"),"ò","o"),"ù","u"),"")</f>
        <v/>
      </c>
      <c r="Q360" s="25">
        <f>IF(AND(L360=1,E360&lt;&gt;""),SUBSTITUTE(SUBSTITUTE(SUBSTITUTE(SUBSTITUTE(SUBSTITUTE(SUBSTITUTE(SUBSTITUTE(SUBSTITUTE(SUBSTITUTE(SUBSTITUTE(SUBSTITUTE(SUBSTITUTE(LOWER(TRIM(E360)),"á","a"),"é","e"),"í","i"),"ó","o"),"ú","u"),"ü","u"),"ñ","n"),"à","a"),"è","e"),"ì","i"),"ò","o"),"ù","u"),"")</f>
        <v/>
      </c>
      <c r="R360" s="25">
        <f>IF(AND(L360=1,I360&lt;&gt;""),SUBSTITUTE(SUBSTITUTE(SUBSTITUTE(SUBSTITUTE(SUBSTITUTE(SUBSTITUTE(SUBSTITUTE(SUBSTITUTE(SUBSTITUTE(SUBSTITUTE(SUBSTITUTE(SUBSTITUTE(LOWER(TRIM(I360)),"á","a"),"é","e"),"í","i"),"ó","o"),"ú","u"),"ü","u"),"ñ","n"),"à","a"),"è","e"),"ì","i"),"ò","o"),"ù","u"),"")</f>
        <v/>
      </c>
      <c r="S360" s="25">
        <f>IF(R360="","",IF(OR(R360="si",R360="tal vez"),1,0))</f>
        <v/>
      </c>
      <c r="T360" s="25">
        <f>IF(AND(L360=1,D360&lt;&gt;""),IF(IFERROR(COUNTIFS(D$3:D360,"="&amp;SUBSTITUTE(SUBSTITUTE(SUBSTITUTE(D360,"~","~~"),"*","~*"),"?","~?"),L$3:L360,1),0)=1,MAX(T$2:T359)+1,""),"")</f>
        <v/>
      </c>
      <c r="U360" s="25">
        <f>IF(T360="","",COUNTIFS($D$3:$D$1002,"="&amp;SUBSTITUTE(SUBSTITUTE(SUBSTITUTE(D360,"~","~~"),"*","~*"),"?","~?"),$L$3:$L$1002,1)*10000-T360)</f>
        <v/>
      </c>
      <c r="V360" s="25">
        <f>IF(AND(L360=1,J360&lt;&gt;""),IF(IFERROR(COUNTIFS(J$3:J360,"="&amp;SUBSTITUTE(SUBSTITUTE(SUBSTITUTE(J360,"~","~~"),"*","~*"),"?","~?"),L$3:L360,1),0)=1,MAX(V$2:V359)+1,""),"")</f>
        <v/>
      </c>
      <c r="W360" s="25">
        <f>IF(V360="","",COUNTIFS($J$3:$J$1002,"="&amp;SUBSTITUTE(SUBSTITUTE(SUBSTITUTE(J360,"~","~~"),"*","~*"),"?","~?"),$L$3:$L$1002,1)*10000-V360)</f>
        <v/>
      </c>
    </row>
    <row r="361">
      <c r="A361">
        <f>IF(A$2=0,"",IFERROR(TRIM(INDEX('Pegar estudiantes'!$A$1:$BZ$1001,360,A$2)&amp;""),""))</f>
        <v/>
      </c>
      <c r="B361">
        <f>IF(B$2=0,"",IFERROR(TRIM(INDEX('Pegar estudiantes'!$A$1:$BZ$1001,360,B$2)&amp;""),""))</f>
        <v/>
      </c>
      <c r="C361">
        <f>IF(C$2=0,"",IFERROR(TRIM(INDEX('Pegar estudiantes'!$A$1:$BZ$1001,360,C$2)&amp;""),""))</f>
        <v/>
      </c>
      <c r="D361">
        <f>IF(D$2=0,"",IFERROR(TRIM(INDEX('Pegar estudiantes'!$A$1:$BZ$1001,360,D$2)&amp;""),""))</f>
        <v/>
      </c>
      <c r="E361">
        <f>IF(E$2=0,"",IFERROR(TRIM(INDEX('Pegar estudiantes'!$A$1:$BZ$1001,360,E$2)&amp;""),""))</f>
        <v/>
      </c>
      <c r="F361">
        <f>IF(F$2=0,"",IFERROR(TRIM(INDEX('Pegar estudiantes'!$A$1:$BZ$1001,360,F$2)&amp;""),""))</f>
        <v/>
      </c>
      <c r="G361">
        <f>IF(G$2=0,"",IFERROR(TRIM(INDEX('Pegar estudiantes'!$A$1:$BZ$1001,360,G$2)&amp;""),""))</f>
        <v/>
      </c>
      <c r="H361">
        <f>IF(H$2=0,"",IFERROR(TRIM(INDEX('Pegar estudiantes'!$A$1:$BZ$1001,360,H$2)&amp;""),""))</f>
        <v/>
      </c>
      <c r="I361">
        <f>IF(I$2=0,"",IFERROR(TRIM(INDEX('Pegar estudiantes'!$A$1:$BZ$1001,360,I$2)&amp;""),""))</f>
        <v/>
      </c>
      <c r="J361">
        <f>IF(J$2=0,"",IFERROR(TRIM(INDEX('Pegar estudiantes'!$A$1:$BZ$1001,360,J$2)&amp;""),""))</f>
        <v/>
      </c>
      <c r="K361">
        <f>IF(K$2=0,"",IFERROR(TRIM(INDEX('Pegar estudiantes'!$A$1:$BZ$1001,360,K$2)&amp;""),""))</f>
        <v/>
      </c>
      <c r="L361" s="25">
        <f>IF(A361&lt;&gt;"",1,"")</f>
        <v/>
      </c>
      <c r="M361" s="25">
        <f>IF(L361=1,IF(ISNUMBER(FIND("#"&amp;MID(A361,1,1)&amp;"#","#0#1#2#3#4#5#6#7#8#9#")),IF(ISNUMBER(FIND("#"&amp;MID(A361,2,1)&amp;"#","#0#1#2#3#4#5#6#7#8#9#")),IF(AND(VALUE(LEFT(A361,2))&gt;=1,VALUE(LEFT(A361,2))&lt;=5),VALUE(LEFT(A361,2)),""),IF(AND(VALUE(LEFT(A361,1))&gt;=1,VALUE(LEFT(A361,1))&lt;=5),VALUE(LEFT(A361,1)),"")),""),"")</f>
        <v/>
      </c>
      <c r="N361" s="25">
        <f>IF(L361=1,IF(ISNUMBER(FIND("#"&amp;MID(H361,1,1)&amp;"#","#0#1#2#3#4#5#6#7#8#9#")),IF(ISNUMBER(FIND("#"&amp;MID(H361,2,1)&amp;"#","#0#1#2#3#4#5#6#7#8#9#")),IF(AND(VALUE(LEFT(H361,2))&gt;=1,VALUE(LEFT(H361,2))&lt;=5),VALUE(LEFT(H361,2)),""),IF(AND(VALUE(LEFT(H361,1))&gt;=1,VALUE(LEFT(H361,1))&lt;=5),VALUE(LEFT(H361,1)),"")),""),"")</f>
        <v/>
      </c>
      <c r="O361" s="25">
        <f>IF(AND(L361=1,B361&lt;&gt;""),SUBSTITUTE(SUBSTITUTE(SUBSTITUTE(SUBSTITUTE(SUBSTITUTE(SUBSTITUTE(SUBSTITUTE(SUBSTITUTE(SUBSTITUTE(SUBSTITUTE(SUBSTITUTE(SUBSTITUTE(LOWER(TRIM(B361)),"á","a"),"é","e"),"í","i"),"ó","o"),"ú","u"),"ü","u"),"ñ","n"),"à","a"),"è","e"),"ì","i"),"ò","o"),"ù","u"),"")</f>
        <v/>
      </c>
      <c r="P361" s="25">
        <f>IF(AND(L361=1,C361&lt;&gt;""),SUBSTITUTE(SUBSTITUTE(SUBSTITUTE(SUBSTITUTE(SUBSTITUTE(SUBSTITUTE(SUBSTITUTE(SUBSTITUTE(SUBSTITUTE(SUBSTITUTE(SUBSTITUTE(SUBSTITUTE(LOWER(TRIM(C361)),"á","a"),"é","e"),"í","i"),"ó","o"),"ú","u"),"ü","u"),"ñ","n"),"à","a"),"è","e"),"ì","i"),"ò","o"),"ù","u"),"")</f>
        <v/>
      </c>
      <c r="Q361" s="25">
        <f>IF(AND(L361=1,E361&lt;&gt;""),SUBSTITUTE(SUBSTITUTE(SUBSTITUTE(SUBSTITUTE(SUBSTITUTE(SUBSTITUTE(SUBSTITUTE(SUBSTITUTE(SUBSTITUTE(SUBSTITUTE(SUBSTITUTE(SUBSTITUTE(LOWER(TRIM(E361)),"á","a"),"é","e"),"í","i"),"ó","o"),"ú","u"),"ü","u"),"ñ","n"),"à","a"),"è","e"),"ì","i"),"ò","o"),"ù","u"),"")</f>
        <v/>
      </c>
      <c r="R361" s="25">
        <f>IF(AND(L361=1,I361&lt;&gt;""),SUBSTITUTE(SUBSTITUTE(SUBSTITUTE(SUBSTITUTE(SUBSTITUTE(SUBSTITUTE(SUBSTITUTE(SUBSTITUTE(SUBSTITUTE(SUBSTITUTE(SUBSTITUTE(SUBSTITUTE(LOWER(TRIM(I361)),"á","a"),"é","e"),"í","i"),"ó","o"),"ú","u"),"ü","u"),"ñ","n"),"à","a"),"è","e"),"ì","i"),"ò","o"),"ù","u"),"")</f>
        <v/>
      </c>
      <c r="S361" s="25">
        <f>IF(R361="","",IF(OR(R361="si",R361="tal vez"),1,0))</f>
        <v/>
      </c>
      <c r="T361" s="25">
        <f>IF(AND(L361=1,D361&lt;&gt;""),IF(IFERROR(COUNTIFS(D$3:D361,"="&amp;SUBSTITUTE(SUBSTITUTE(SUBSTITUTE(D361,"~","~~"),"*","~*"),"?","~?"),L$3:L361,1),0)=1,MAX(T$2:T360)+1,""),"")</f>
        <v/>
      </c>
      <c r="U361" s="25">
        <f>IF(T361="","",COUNTIFS($D$3:$D$1002,"="&amp;SUBSTITUTE(SUBSTITUTE(SUBSTITUTE(D361,"~","~~"),"*","~*"),"?","~?"),$L$3:$L$1002,1)*10000-T361)</f>
        <v/>
      </c>
      <c r="V361" s="25">
        <f>IF(AND(L361=1,J361&lt;&gt;""),IF(IFERROR(COUNTIFS(J$3:J361,"="&amp;SUBSTITUTE(SUBSTITUTE(SUBSTITUTE(J361,"~","~~"),"*","~*"),"?","~?"),L$3:L361,1),0)=1,MAX(V$2:V360)+1,""),"")</f>
        <v/>
      </c>
      <c r="W361" s="25">
        <f>IF(V361="","",COUNTIFS($J$3:$J$1002,"="&amp;SUBSTITUTE(SUBSTITUTE(SUBSTITUTE(J361,"~","~~"),"*","~*"),"?","~?"),$L$3:$L$1002,1)*10000-V361)</f>
        <v/>
      </c>
    </row>
    <row r="362">
      <c r="A362">
        <f>IF(A$2=0,"",IFERROR(TRIM(INDEX('Pegar estudiantes'!$A$1:$BZ$1001,361,A$2)&amp;""),""))</f>
        <v/>
      </c>
      <c r="B362">
        <f>IF(B$2=0,"",IFERROR(TRIM(INDEX('Pegar estudiantes'!$A$1:$BZ$1001,361,B$2)&amp;""),""))</f>
        <v/>
      </c>
      <c r="C362">
        <f>IF(C$2=0,"",IFERROR(TRIM(INDEX('Pegar estudiantes'!$A$1:$BZ$1001,361,C$2)&amp;""),""))</f>
        <v/>
      </c>
      <c r="D362">
        <f>IF(D$2=0,"",IFERROR(TRIM(INDEX('Pegar estudiantes'!$A$1:$BZ$1001,361,D$2)&amp;""),""))</f>
        <v/>
      </c>
      <c r="E362">
        <f>IF(E$2=0,"",IFERROR(TRIM(INDEX('Pegar estudiantes'!$A$1:$BZ$1001,361,E$2)&amp;""),""))</f>
        <v/>
      </c>
      <c r="F362">
        <f>IF(F$2=0,"",IFERROR(TRIM(INDEX('Pegar estudiantes'!$A$1:$BZ$1001,361,F$2)&amp;""),""))</f>
        <v/>
      </c>
      <c r="G362">
        <f>IF(G$2=0,"",IFERROR(TRIM(INDEX('Pegar estudiantes'!$A$1:$BZ$1001,361,G$2)&amp;""),""))</f>
        <v/>
      </c>
      <c r="H362">
        <f>IF(H$2=0,"",IFERROR(TRIM(INDEX('Pegar estudiantes'!$A$1:$BZ$1001,361,H$2)&amp;""),""))</f>
        <v/>
      </c>
      <c r="I362">
        <f>IF(I$2=0,"",IFERROR(TRIM(INDEX('Pegar estudiantes'!$A$1:$BZ$1001,361,I$2)&amp;""),""))</f>
        <v/>
      </c>
      <c r="J362">
        <f>IF(J$2=0,"",IFERROR(TRIM(INDEX('Pegar estudiantes'!$A$1:$BZ$1001,361,J$2)&amp;""),""))</f>
        <v/>
      </c>
      <c r="K362">
        <f>IF(K$2=0,"",IFERROR(TRIM(INDEX('Pegar estudiantes'!$A$1:$BZ$1001,361,K$2)&amp;""),""))</f>
        <v/>
      </c>
      <c r="L362" s="25">
        <f>IF(A362&lt;&gt;"",1,"")</f>
        <v/>
      </c>
      <c r="M362" s="25">
        <f>IF(L362=1,IF(ISNUMBER(FIND("#"&amp;MID(A362,1,1)&amp;"#","#0#1#2#3#4#5#6#7#8#9#")),IF(ISNUMBER(FIND("#"&amp;MID(A362,2,1)&amp;"#","#0#1#2#3#4#5#6#7#8#9#")),IF(AND(VALUE(LEFT(A362,2))&gt;=1,VALUE(LEFT(A362,2))&lt;=5),VALUE(LEFT(A362,2)),""),IF(AND(VALUE(LEFT(A362,1))&gt;=1,VALUE(LEFT(A362,1))&lt;=5),VALUE(LEFT(A362,1)),"")),""),"")</f>
        <v/>
      </c>
      <c r="N362" s="25">
        <f>IF(L362=1,IF(ISNUMBER(FIND("#"&amp;MID(H362,1,1)&amp;"#","#0#1#2#3#4#5#6#7#8#9#")),IF(ISNUMBER(FIND("#"&amp;MID(H362,2,1)&amp;"#","#0#1#2#3#4#5#6#7#8#9#")),IF(AND(VALUE(LEFT(H362,2))&gt;=1,VALUE(LEFT(H362,2))&lt;=5),VALUE(LEFT(H362,2)),""),IF(AND(VALUE(LEFT(H362,1))&gt;=1,VALUE(LEFT(H362,1))&lt;=5),VALUE(LEFT(H362,1)),"")),""),"")</f>
        <v/>
      </c>
      <c r="O362" s="25">
        <f>IF(AND(L362=1,B362&lt;&gt;""),SUBSTITUTE(SUBSTITUTE(SUBSTITUTE(SUBSTITUTE(SUBSTITUTE(SUBSTITUTE(SUBSTITUTE(SUBSTITUTE(SUBSTITUTE(SUBSTITUTE(SUBSTITUTE(SUBSTITUTE(LOWER(TRIM(B362)),"á","a"),"é","e"),"í","i"),"ó","o"),"ú","u"),"ü","u"),"ñ","n"),"à","a"),"è","e"),"ì","i"),"ò","o"),"ù","u"),"")</f>
        <v/>
      </c>
      <c r="P362" s="25">
        <f>IF(AND(L362=1,C362&lt;&gt;""),SUBSTITUTE(SUBSTITUTE(SUBSTITUTE(SUBSTITUTE(SUBSTITUTE(SUBSTITUTE(SUBSTITUTE(SUBSTITUTE(SUBSTITUTE(SUBSTITUTE(SUBSTITUTE(SUBSTITUTE(LOWER(TRIM(C362)),"á","a"),"é","e"),"í","i"),"ó","o"),"ú","u"),"ü","u"),"ñ","n"),"à","a"),"è","e"),"ì","i"),"ò","o"),"ù","u"),"")</f>
        <v/>
      </c>
      <c r="Q362" s="25">
        <f>IF(AND(L362=1,E362&lt;&gt;""),SUBSTITUTE(SUBSTITUTE(SUBSTITUTE(SUBSTITUTE(SUBSTITUTE(SUBSTITUTE(SUBSTITUTE(SUBSTITUTE(SUBSTITUTE(SUBSTITUTE(SUBSTITUTE(SUBSTITUTE(LOWER(TRIM(E362)),"á","a"),"é","e"),"í","i"),"ó","o"),"ú","u"),"ü","u"),"ñ","n"),"à","a"),"è","e"),"ì","i"),"ò","o"),"ù","u"),"")</f>
        <v/>
      </c>
      <c r="R362" s="25">
        <f>IF(AND(L362=1,I362&lt;&gt;""),SUBSTITUTE(SUBSTITUTE(SUBSTITUTE(SUBSTITUTE(SUBSTITUTE(SUBSTITUTE(SUBSTITUTE(SUBSTITUTE(SUBSTITUTE(SUBSTITUTE(SUBSTITUTE(SUBSTITUTE(LOWER(TRIM(I362)),"á","a"),"é","e"),"í","i"),"ó","o"),"ú","u"),"ü","u"),"ñ","n"),"à","a"),"è","e"),"ì","i"),"ò","o"),"ù","u"),"")</f>
        <v/>
      </c>
      <c r="S362" s="25">
        <f>IF(R362="","",IF(OR(R362="si",R362="tal vez"),1,0))</f>
        <v/>
      </c>
      <c r="T362" s="25">
        <f>IF(AND(L362=1,D362&lt;&gt;""),IF(IFERROR(COUNTIFS(D$3:D362,"="&amp;SUBSTITUTE(SUBSTITUTE(SUBSTITUTE(D362,"~","~~"),"*","~*"),"?","~?"),L$3:L362,1),0)=1,MAX(T$2:T361)+1,""),"")</f>
        <v/>
      </c>
      <c r="U362" s="25">
        <f>IF(T362="","",COUNTIFS($D$3:$D$1002,"="&amp;SUBSTITUTE(SUBSTITUTE(SUBSTITUTE(D362,"~","~~"),"*","~*"),"?","~?"),$L$3:$L$1002,1)*10000-T362)</f>
        <v/>
      </c>
      <c r="V362" s="25">
        <f>IF(AND(L362=1,J362&lt;&gt;""),IF(IFERROR(COUNTIFS(J$3:J362,"="&amp;SUBSTITUTE(SUBSTITUTE(SUBSTITUTE(J362,"~","~~"),"*","~*"),"?","~?"),L$3:L362,1),0)=1,MAX(V$2:V361)+1,""),"")</f>
        <v/>
      </c>
      <c r="W362" s="25">
        <f>IF(V362="","",COUNTIFS($J$3:$J$1002,"="&amp;SUBSTITUTE(SUBSTITUTE(SUBSTITUTE(J362,"~","~~"),"*","~*"),"?","~?"),$L$3:$L$1002,1)*10000-V362)</f>
        <v/>
      </c>
    </row>
    <row r="363">
      <c r="A363">
        <f>IF(A$2=0,"",IFERROR(TRIM(INDEX('Pegar estudiantes'!$A$1:$BZ$1001,362,A$2)&amp;""),""))</f>
        <v/>
      </c>
      <c r="B363">
        <f>IF(B$2=0,"",IFERROR(TRIM(INDEX('Pegar estudiantes'!$A$1:$BZ$1001,362,B$2)&amp;""),""))</f>
        <v/>
      </c>
      <c r="C363">
        <f>IF(C$2=0,"",IFERROR(TRIM(INDEX('Pegar estudiantes'!$A$1:$BZ$1001,362,C$2)&amp;""),""))</f>
        <v/>
      </c>
      <c r="D363">
        <f>IF(D$2=0,"",IFERROR(TRIM(INDEX('Pegar estudiantes'!$A$1:$BZ$1001,362,D$2)&amp;""),""))</f>
        <v/>
      </c>
      <c r="E363">
        <f>IF(E$2=0,"",IFERROR(TRIM(INDEX('Pegar estudiantes'!$A$1:$BZ$1001,362,E$2)&amp;""),""))</f>
        <v/>
      </c>
      <c r="F363">
        <f>IF(F$2=0,"",IFERROR(TRIM(INDEX('Pegar estudiantes'!$A$1:$BZ$1001,362,F$2)&amp;""),""))</f>
        <v/>
      </c>
      <c r="G363">
        <f>IF(G$2=0,"",IFERROR(TRIM(INDEX('Pegar estudiantes'!$A$1:$BZ$1001,362,G$2)&amp;""),""))</f>
        <v/>
      </c>
      <c r="H363">
        <f>IF(H$2=0,"",IFERROR(TRIM(INDEX('Pegar estudiantes'!$A$1:$BZ$1001,362,H$2)&amp;""),""))</f>
        <v/>
      </c>
      <c r="I363">
        <f>IF(I$2=0,"",IFERROR(TRIM(INDEX('Pegar estudiantes'!$A$1:$BZ$1001,362,I$2)&amp;""),""))</f>
        <v/>
      </c>
      <c r="J363">
        <f>IF(J$2=0,"",IFERROR(TRIM(INDEX('Pegar estudiantes'!$A$1:$BZ$1001,362,J$2)&amp;""),""))</f>
        <v/>
      </c>
      <c r="K363">
        <f>IF(K$2=0,"",IFERROR(TRIM(INDEX('Pegar estudiantes'!$A$1:$BZ$1001,362,K$2)&amp;""),""))</f>
        <v/>
      </c>
      <c r="L363" s="25">
        <f>IF(A363&lt;&gt;"",1,"")</f>
        <v/>
      </c>
      <c r="M363" s="25">
        <f>IF(L363=1,IF(ISNUMBER(FIND("#"&amp;MID(A363,1,1)&amp;"#","#0#1#2#3#4#5#6#7#8#9#")),IF(ISNUMBER(FIND("#"&amp;MID(A363,2,1)&amp;"#","#0#1#2#3#4#5#6#7#8#9#")),IF(AND(VALUE(LEFT(A363,2))&gt;=1,VALUE(LEFT(A363,2))&lt;=5),VALUE(LEFT(A363,2)),""),IF(AND(VALUE(LEFT(A363,1))&gt;=1,VALUE(LEFT(A363,1))&lt;=5),VALUE(LEFT(A363,1)),"")),""),"")</f>
        <v/>
      </c>
      <c r="N363" s="25">
        <f>IF(L363=1,IF(ISNUMBER(FIND("#"&amp;MID(H363,1,1)&amp;"#","#0#1#2#3#4#5#6#7#8#9#")),IF(ISNUMBER(FIND("#"&amp;MID(H363,2,1)&amp;"#","#0#1#2#3#4#5#6#7#8#9#")),IF(AND(VALUE(LEFT(H363,2))&gt;=1,VALUE(LEFT(H363,2))&lt;=5),VALUE(LEFT(H363,2)),""),IF(AND(VALUE(LEFT(H363,1))&gt;=1,VALUE(LEFT(H363,1))&lt;=5),VALUE(LEFT(H363,1)),"")),""),"")</f>
        <v/>
      </c>
      <c r="O363" s="25">
        <f>IF(AND(L363=1,B363&lt;&gt;""),SUBSTITUTE(SUBSTITUTE(SUBSTITUTE(SUBSTITUTE(SUBSTITUTE(SUBSTITUTE(SUBSTITUTE(SUBSTITUTE(SUBSTITUTE(SUBSTITUTE(SUBSTITUTE(SUBSTITUTE(LOWER(TRIM(B363)),"á","a"),"é","e"),"í","i"),"ó","o"),"ú","u"),"ü","u"),"ñ","n"),"à","a"),"è","e"),"ì","i"),"ò","o"),"ù","u"),"")</f>
        <v/>
      </c>
      <c r="P363" s="25">
        <f>IF(AND(L363=1,C363&lt;&gt;""),SUBSTITUTE(SUBSTITUTE(SUBSTITUTE(SUBSTITUTE(SUBSTITUTE(SUBSTITUTE(SUBSTITUTE(SUBSTITUTE(SUBSTITUTE(SUBSTITUTE(SUBSTITUTE(SUBSTITUTE(LOWER(TRIM(C363)),"á","a"),"é","e"),"í","i"),"ó","o"),"ú","u"),"ü","u"),"ñ","n"),"à","a"),"è","e"),"ì","i"),"ò","o"),"ù","u"),"")</f>
        <v/>
      </c>
      <c r="Q363" s="25">
        <f>IF(AND(L363=1,E363&lt;&gt;""),SUBSTITUTE(SUBSTITUTE(SUBSTITUTE(SUBSTITUTE(SUBSTITUTE(SUBSTITUTE(SUBSTITUTE(SUBSTITUTE(SUBSTITUTE(SUBSTITUTE(SUBSTITUTE(SUBSTITUTE(LOWER(TRIM(E363)),"á","a"),"é","e"),"í","i"),"ó","o"),"ú","u"),"ü","u"),"ñ","n"),"à","a"),"è","e"),"ì","i"),"ò","o"),"ù","u"),"")</f>
        <v/>
      </c>
      <c r="R363" s="25">
        <f>IF(AND(L363=1,I363&lt;&gt;""),SUBSTITUTE(SUBSTITUTE(SUBSTITUTE(SUBSTITUTE(SUBSTITUTE(SUBSTITUTE(SUBSTITUTE(SUBSTITUTE(SUBSTITUTE(SUBSTITUTE(SUBSTITUTE(SUBSTITUTE(LOWER(TRIM(I363)),"á","a"),"é","e"),"í","i"),"ó","o"),"ú","u"),"ü","u"),"ñ","n"),"à","a"),"è","e"),"ì","i"),"ò","o"),"ù","u"),"")</f>
        <v/>
      </c>
      <c r="S363" s="25">
        <f>IF(R363="","",IF(OR(R363="si",R363="tal vez"),1,0))</f>
        <v/>
      </c>
      <c r="T363" s="25">
        <f>IF(AND(L363=1,D363&lt;&gt;""),IF(IFERROR(COUNTIFS(D$3:D363,"="&amp;SUBSTITUTE(SUBSTITUTE(SUBSTITUTE(D363,"~","~~"),"*","~*"),"?","~?"),L$3:L363,1),0)=1,MAX(T$2:T362)+1,""),"")</f>
        <v/>
      </c>
      <c r="U363" s="25">
        <f>IF(T363="","",COUNTIFS($D$3:$D$1002,"="&amp;SUBSTITUTE(SUBSTITUTE(SUBSTITUTE(D363,"~","~~"),"*","~*"),"?","~?"),$L$3:$L$1002,1)*10000-T363)</f>
        <v/>
      </c>
      <c r="V363" s="25">
        <f>IF(AND(L363=1,J363&lt;&gt;""),IF(IFERROR(COUNTIFS(J$3:J363,"="&amp;SUBSTITUTE(SUBSTITUTE(SUBSTITUTE(J363,"~","~~"),"*","~*"),"?","~?"),L$3:L363,1),0)=1,MAX(V$2:V362)+1,""),"")</f>
        <v/>
      </c>
      <c r="W363" s="25">
        <f>IF(V363="","",COUNTIFS($J$3:$J$1002,"="&amp;SUBSTITUTE(SUBSTITUTE(SUBSTITUTE(J363,"~","~~"),"*","~*"),"?","~?"),$L$3:$L$1002,1)*10000-V363)</f>
        <v/>
      </c>
    </row>
    <row r="364">
      <c r="A364">
        <f>IF(A$2=0,"",IFERROR(TRIM(INDEX('Pegar estudiantes'!$A$1:$BZ$1001,363,A$2)&amp;""),""))</f>
        <v/>
      </c>
      <c r="B364">
        <f>IF(B$2=0,"",IFERROR(TRIM(INDEX('Pegar estudiantes'!$A$1:$BZ$1001,363,B$2)&amp;""),""))</f>
        <v/>
      </c>
      <c r="C364">
        <f>IF(C$2=0,"",IFERROR(TRIM(INDEX('Pegar estudiantes'!$A$1:$BZ$1001,363,C$2)&amp;""),""))</f>
        <v/>
      </c>
      <c r="D364">
        <f>IF(D$2=0,"",IFERROR(TRIM(INDEX('Pegar estudiantes'!$A$1:$BZ$1001,363,D$2)&amp;""),""))</f>
        <v/>
      </c>
      <c r="E364">
        <f>IF(E$2=0,"",IFERROR(TRIM(INDEX('Pegar estudiantes'!$A$1:$BZ$1001,363,E$2)&amp;""),""))</f>
        <v/>
      </c>
      <c r="F364">
        <f>IF(F$2=0,"",IFERROR(TRIM(INDEX('Pegar estudiantes'!$A$1:$BZ$1001,363,F$2)&amp;""),""))</f>
        <v/>
      </c>
      <c r="G364">
        <f>IF(G$2=0,"",IFERROR(TRIM(INDEX('Pegar estudiantes'!$A$1:$BZ$1001,363,G$2)&amp;""),""))</f>
        <v/>
      </c>
      <c r="H364">
        <f>IF(H$2=0,"",IFERROR(TRIM(INDEX('Pegar estudiantes'!$A$1:$BZ$1001,363,H$2)&amp;""),""))</f>
        <v/>
      </c>
      <c r="I364">
        <f>IF(I$2=0,"",IFERROR(TRIM(INDEX('Pegar estudiantes'!$A$1:$BZ$1001,363,I$2)&amp;""),""))</f>
        <v/>
      </c>
      <c r="J364">
        <f>IF(J$2=0,"",IFERROR(TRIM(INDEX('Pegar estudiantes'!$A$1:$BZ$1001,363,J$2)&amp;""),""))</f>
        <v/>
      </c>
      <c r="K364">
        <f>IF(K$2=0,"",IFERROR(TRIM(INDEX('Pegar estudiantes'!$A$1:$BZ$1001,363,K$2)&amp;""),""))</f>
        <v/>
      </c>
      <c r="L364" s="25">
        <f>IF(A364&lt;&gt;"",1,"")</f>
        <v/>
      </c>
      <c r="M364" s="25">
        <f>IF(L364=1,IF(ISNUMBER(FIND("#"&amp;MID(A364,1,1)&amp;"#","#0#1#2#3#4#5#6#7#8#9#")),IF(ISNUMBER(FIND("#"&amp;MID(A364,2,1)&amp;"#","#0#1#2#3#4#5#6#7#8#9#")),IF(AND(VALUE(LEFT(A364,2))&gt;=1,VALUE(LEFT(A364,2))&lt;=5),VALUE(LEFT(A364,2)),""),IF(AND(VALUE(LEFT(A364,1))&gt;=1,VALUE(LEFT(A364,1))&lt;=5),VALUE(LEFT(A364,1)),"")),""),"")</f>
        <v/>
      </c>
      <c r="N364" s="25">
        <f>IF(L364=1,IF(ISNUMBER(FIND("#"&amp;MID(H364,1,1)&amp;"#","#0#1#2#3#4#5#6#7#8#9#")),IF(ISNUMBER(FIND("#"&amp;MID(H364,2,1)&amp;"#","#0#1#2#3#4#5#6#7#8#9#")),IF(AND(VALUE(LEFT(H364,2))&gt;=1,VALUE(LEFT(H364,2))&lt;=5),VALUE(LEFT(H364,2)),""),IF(AND(VALUE(LEFT(H364,1))&gt;=1,VALUE(LEFT(H364,1))&lt;=5),VALUE(LEFT(H364,1)),"")),""),"")</f>
        <v/>
      </c>
      <c r="O364" s="25">
        <f>IF(AND(L364=1,B364&lt;&gt;""),SUBSTITUTE(SUBSTITUTE(SUBSTITUTE(SUBSTITUTE(SUBSTITUTE(SUBSTITUTE(SUBSTITUTE(SUBSTITUTE(SUBSTITUTE(SUBSTITUTE(SUBSTITUTE(SUBSTITUTE(LOWER(TRIM(B364)),"á","a"),"é","e"),"í","i"),"ó","o"),"ú","u"),"ü","u"),"ñ","n"),"à","a"),"è","e"),"ì","i"),"ò","o"),"ù","u"),"")</f>
        <v/>
      </c>
      <c r="P364" s="25">
        <f>IF(AND(L364=1,C364&lt;&gt;""),SUBSTITUTE(SUBSTITUTE(SUBSTITUTE(SUBSTITUTE(SUBSTITUTE(SUBSTITUTE(SUBSTITUTE(SUBSTITUTE(SUBSTITUTE(SUBSTITUTE(SUBSTITUTE(SUBSTITUTE(LOWER(TRIM(C364)),"á","a"),"é","e"),"í","i"),"ó","o"),"ú","u"),"ü","u"),"ñ","n"),"à","a"),"è","e"),"ì","i"),"ò","o"),"ù","u"),"")</f>
        <v/>
      </c>
      <c r="Q364" s="25">
        <f>IF(AND(L364=1,E364&lt;&gt;""),SUBSTITUTE(SUBSTITUTE(SUBSTITUTE(SUBSTITUTE(SUBSTITUTE(SUBSTITUTE(SUBSTITUTE(SUBSTITUTE(SUBSTITUTE(SUBSTITUTE(SUBSTITUTE(SUBSTITUTE(LOWER(TRIM(E364)),"á","a"),"é","e"),"í","i"),"ó","o"),"ú","u"),"ü","u"),"ñ","n"),"à","a"),"è","e"),"ì","i"),"ò","o"),"ù","u"),"")</f>
        <v/>
      </c>
      <c r="R364" s="25">
        <f>IF(AND(L364=1,I364&lt;&gt;""),SUBSTITUTE(SUBSTITUTE(SUBSTITUTE(SUBSTITUTE(SUBSTITUTE(SUBSTITUTE(SUBSTITUTE(SUBSTITUTE(SUBSTITUTE(SUBSTITUTE(SUBSTITUTE(SUBSTITUTE(LOWER(TRIM(I364)),"á","a"),"é","e"),"í","i"),"ó","o"),"ú","u"),"ü","u"),"ñ","n"),"à","a"),"è","e"),"ì","i"),"ò","o"),"ù","u"),"")</f>
        <v/>
      </c>
      <c r="S364" s="25">
        <f>IF(R364="","",IF(OR(R364="si",R364="tal vez"),1,0))</f>
        <v/>
      </c>
      <c r="T364" s="25">
        <f>IF(AND(L364=1,D364&lt;&gt;""),IF(IFERROR(COUNTIFS(D$3:D364,"="&amp;SUBSTITUTE(SUBSTITUTE(SUBSTITUTE(D364,"~","~~"),"*","~*"),"?","~?"),L$3:L364,1),0)=1,MAX(T$2:T363)+1,""),"")</f>
        <v/>
      </c>
      <c r="U364" s="25">
        <f>IF(T364="","",COUNTIFS($D$3:$D$1002,"="&amp;SUBSTITUTE(SUBSTITUTE(SUBSTITUTE(D364,"~","~~"),"*","~*"),"?","~?"),$L$3:$L$1002,1)*10000-T364)</f>
        <v/>
      </c>
      <c r="V364" s="25">
        <f>IF(AND(L364=1,J364&lt;&gt;""),IF(IFERROR(COUNTIFS(J$3:J364,"="&amp;SUBSTITUTE(SUBSTITUTE(SUBSTITUTE(J364,"~","~~"),"*","~*"),"?","~?"),L$3:L364,1),0)=1,MAX(V$2:V363)+1,""),"")</f>
        <v/>
      </c>
      <c r="W364" s="25">
        <f>IF(V364="","",COUNTIFS($J$3:$J$1002,"="&amp;SUBSTITUTE(SUBSTITUTE(SUBSTITUTE(J364,"~","~~"),"*","~*"),"?","~?"),$L$3:$L$1002,1)*10000-V364)</f>
        <v/>
      </c>
    </row>
    <row r="365">
      <c r="A365">
        <f>IF(A$2=0,"",IFERROR(TRIM(INDEX('Pegar estudiantes'!$A$1:$BZ$1001,364,A$2)&amp;""),""))</f>
        <v/>
      </c>
      <c r="B365">
        <f>IF(B$2=0,"",IFERROR(TRIM(INDEX('Pegar estudiantes'!$A$1:$BZ$1001,364,B$2)&amp;""),""))</f>
        <v/>
      </c>
      <c r="C365">
        <f>IF(C$2=0,"",IFERROR(TRIM(INDEX('Pegar estudiantes'!$A$1:$BZ$1001,364,C$2)&amp;""),""))</f>
        <v/>
      </c>
      <c r="D365">
        <f>IF(D$2=0,"",IFERROR(TRIM(INDEX('Pegar estudiantes'!$A$1:$BZ$1001,364,D$2)&amp;""),""))</f>
        <v/>
      </c>
      <c r="E365">
        <f>IF(E$2=0,"",IFERROR(TRIM(INDEX('Pegar estudiantes'!$A$1:$BZ$1001,364,E$2)&amp;""),""))</f>
        <v/>
      </c>
      <c r="F365">
        <f>IF(F$2=0,"",IFERROR(TRIM(INDEX('Pegar estudiantes'!$A$1:$BZ$1001,364,F$2)&amp;""),""))</f>
        <v/>
      </c>
      <c r="G365">
        <f>IF(G$2=0,"",IFERROR(TRIM(INDEX('Pegar estudiantes'!$A$1:$BZ$1001,364,G$2)&amp;""),""))</f>
        <v/>
      </c>
      <c r="H365">
        <f>IF(H$2=0,"",IFERROR(TRIM(INDEX('Pegar estudiantes'!$A$1:$BZ$1001,364,H$2)&amp;""),""))</f>
        <v/>
      </c>
      <c r="I365">
        <f>IF(I$2=0,"",IFERROR(TRIM(INDEX('Pegar estudiantes'!$A$1:$BZ$1001,364,I$2)&amp;""),""))</f>
        <v/>
      </c>
      <c r="J365">
        <f>IF(J$2=0,"",IFERROR(TRIM(INDEX('Pegar estudiantes'!$A$1:$BZ$1001,364,J$2)&amp;""),""))</f>
        <v/>
      </c>
      <c r="K365">
        <f>IF(K$2=0,"",IFERROR(TRIM(INDEX('Pegar estudiantes'!$A$1:$BZ$1001,364,K$2)&amp;""),""))</f>
        <v/>
      </c>
      <c r="L365" s="25">
        <f>IF(A365&lt;&gt;"",1,"")</f>
        <v/>
      </c>
      <c r="M365" s="25">
        <f>IF(L365=1,IF(ISNUMBER(FIND("#"&amp;MID(A365,1,1)&amp;"#","#0#1#2#3#4#5#6#7#8#9#")),IF(ISNUMBER(FIND("#"&amp;MID(A365,2,1)&amp;"#","#0#1#2#3#4#5#6#7#8#9#")),IF(AND(VALUE(LEFT(A365,2))&gt;=1,VALUE(LEFT(A365,2))&lt;=5),VALUE(LEFT(A365,2)),""),IF(AND(VALUE(LEFT(A365,1))&gt;=1,VALUE(LEFT(A365,1))&lt;=5),VALUE(LEFT(A365,1)),"")),""),"")</f>
        <v/>
      </c>
      <c r="N365" s="25">
        <f>IF(L365=1,IF(ISNUMBER(FIND("#"&amp;MID(H365,1,1)&amp;"#","#0#1#2#3#4#5#6#7#8#9#")),IF(ISNUMBER(FIND("#"&amp;MID(H365,2,1)&amp;"#","#0#1#2#3#4#5#6#7#8#9#")),IF(AND(VALUE(LEFT(H365,2))&gt;=1,VALUE(LEFT(H365,2))&lt;=5),VALUE(LEFT(H365,2)),""),IF(AND(VALUE(LEFT(H365,1))&gt;=1,VALUE(LEFT(H365,1))&lt;=5),VALUE(LEFT(H365,1)),"")),""),"")</f>
        <v/>
      </c>
      <c r="O365" s="25">
        <f>IF(AND(L365=1,B365&lt;&gt;""),SUBSTITUTE(SUBSTITUTE(SUBSTITUTE(SUBSTITUTE(SUBSTITUTE(SUBSTITUTE(SUBSTITUTE(SUBSTITUTE(SUBSTITUTE(SUBSTITUTE(SUBSTITUTE(SUBSTITUTE(LOWER(TRIM(B365)),"á","a"),"é","e"),"í","i"),"ó","o"),"ú","u"),"ü","u"),"ñ","n"),"à","a"),"è","e"),"ì","i"),"ò","o"),"ù","u"),"")</f>
        <v/>
      </c>
      <c r="P365" s="25">
        <f>IF(AND(L365=1,C365&lt;&gt;""),SUBSTITUTE(SUBSTITUTE(SUBSTITUTE(SUBSTITUTE(SUBSTITUTE(SUBSTITUTE(SUBSTITUTE(SUBSTITUTE(SUBSTITUTE(SUBSTITUTE(SUBSTITUTE(SUBSTITUTE(LOWER(TRIM(C365)),"á","a"),"é","e"),"í","i"),"ó","o"),"ú","u"),"ü","u"),"ñ","n"),"à","a"),"è","e"),"ì","i"),"ò","o"),"ù","u"),"")</f>
        <v/>
      </c>
      <c r="Q365" s="25">
        <f>IF(AND(L365=1,E365&lt;&gt;""),SUBSTITUTE(SUBSTITUTE(SUBSTITUTE(SUBSTITUTE(SUBSTITUTE(SUBSTITUTE(SUBSTITUTE(SUBSTITUTE(SUBSTITUTE(SUBSTITUTE(SUBSTITUTE(SUBSTITUTE(LOWER(TRIM(E365)),"á","a"),"é","e"),"í","i"),"ó","o"),"ú","u"),"ü","u"),"ñ","n"),"à","a"),"è","e"),"ì","i"),"ò","o"),"ù","u"),"")</f>
        <v/>
      </c>
      <c r="R365" s="25">
        <f>IF(AND(L365=1,I365&lt;&gt;""),SUBSTITUTE(SUBSTITUTE(SUBSTITUTE(SUBSTITUTE(SUBSTITUTE(SUBSTITUTE(SUBSTITUTE(SUBSTITUTE(SUBSTITUTE(SUBSTITUTE(SUBSTITUTE(SUBSTITUTE(LOWER(TRIM(I365)),"á","a"),"é","e"),"í","i"),"ó","o"),"ú","u"),"ü","u"),"ñ","n"),"à","a"),"è","e"),"ì","i"),"ò","o"),"ù","u"),"")</f>
        <v/>
      </c>
      <c r="S365" s="25">
        <f>IF(R365="","",IF(OR(R365="si",R365="tal vez"),1,0))</f>
        <v/>
      </c>
      <c r="T365" s="25">
        <f>IF(AND(L365=1,D365&lt;&gt;""),IF(IFERROR(COUNTIFS(D$3:D365,"="&amp;SUBSTITUTE(SUBSTITUTE(SUBSTITUTE(D365,"~","~~"),"*","~*"),"?","~?"),L$3:L365,1),0)=1,MAX(T$2:T364)+1,""),"")</f>
        <v/>
      </c>
      <c r="U365" s="25">
        <f>IF(T365="","",COUNTIFS($D$3:$D$1002,"="&amp;SUBSTITUTE(SUBSTITUTE(SUBSTITUTE(D365,"~","~~"),"*","~*"),"?","~?"),$L$3:$L$1002,1)*10000-T365)</f>
        <v/>
      </c>
      <c r="V365" s="25">
        <f>IF(AND(L365=1,J365&lt;&gt;""),IF(IFERROR(COUNTIFS(J$3:J365,"="&amp;SUBSTITUTE(SUBSTITUTE(SUBSTITUTE(J365,"~","~~"),"*","~*"),"?","~?"),L$3:L365,1),0)=1,MAX(V$2:V364)+1,""),"")</f>
        <v/>
      </c>
      <c r="W365" s="25">
        <f>IF(V365="","",COUNTIFS($J$3:$J$1002,"="&amp;SUBSTITUTE(SUBSTITUTE(SUBSTITUTE(J365,"~","~~"),"*","~*"),"?","~?"),$L$3:$L$1002,1)*10000-V365)</f>
        <v/>
      </c>
    </row>
    <row r="366">
      <c r="A366">
        <f>IF(A$2=0,"",IFERROR(TRIM(INDEX('Pegar estudiantes'!$A$1:$BZ$1001,365,A$2)&amp;""),""))</f>
        <v/>
      </c>
      <c r="B366">
        <f>IF(B$2=0,"",IFERROR(TRIM(INDEX('Pegar estudiantes'!$A$1:$BZ$1001,365,B$2)&amp;""),""))</f>
        <v/>
      </c>
      <c r="C366">
        <f>IF(C$2=0,"",IFERROR(TRIM(INDEX('Pegar estudiantes'!$A$1:$BZ$1001,365,C$2)&amp;""),""))</f>
        <v/>
      </c>
      <c r="D366">
        <f>IF(D$2=0,"",IFERROR(TRIM(INDEX('Pegar estudiantes'!$A$1:$BZ$1001,365,D$2)&amp;""),""))</f>
        <v/>
      </c>
      <c r="E366">
        <f>IF(E$2=0,"",IFERROR(TRIM(INDEX('Pegar estudiantes'!$A$1:$BZ$1001,365,E$2)&amp;""),""))</f>
        <v/>
      </c>
      <c r="F366">
        <f>IF(F$2=0,"",IFERROR(TRIM(INDEX('Pegar estudiantes'!$A$1:$BZ$1001,365,F$2)&amp;""),""))</f>
        <v/>
      </c>
      <c r="G366">
        <f>IF(G$2=0,"",IFERROR(TRIM(INDEX('Pegar estudiantes'!$A$1:$BZ$1001,365,G$2)&amp;""),""))</f>
        <v/>
      </c>
      <c r="H366">
        <f>IF(H$2=0,"",IFERROR(TRIM(INDEX('Pegar estudiantes'!$A$1:$BZ$1001,365,H$2)&amp;""),""))</f>
        <v/>
      </c>
      <c r="I366">
        <f>IF(I$2=0,"",IFERROR(TRIM(INDEX('Pegar estudiantes'!$A$1:$BZ$1001,365,I$2)&amp;""),""))</f>
        <v/>
      </c>
      <c r="J366">
        <f>IF(J$2=0,"",IFERROR(TRIM(INDEX('Pegar estudiantes'!$A$1:$BZ$1001,365,J$2)&amp;""),""))</f>
        <v/>
      </c>
      <c r="K366">
        <f>IF(K$2=0,"",IFERROR(TRIM(INDEX('Pegar estudiantes'!$A$1:$BZ$1001,365,K$2)&amp;""),""))</f>
        <v/>
      </c>
      <c r="L366" s="25">
        <f>IF(A366&lt;&gt;"",1,"")</f>
        <v/>
      </c>
      <c r="M366" s="25">
        <f>IF(L366=1,IF(ISNUMBER(FIND("#"&amp;MID(A366,1,1)&amp;"#","#0#1#2#3#4#5#6#7#8#9#")),IF(ISNUMBER(FIND("#"&amp;MID(A366,2,1)&amp;"#","#0#1#2#3#4#5#6#7#8#9#")),IF(AND(VALUE(LEFT(A366,2))&gt;=1,VALUE(LEFT(A366,2))&lt;=5),VALUE(LEFT(A366,2)),""),IF(AND(VALUE(LEFT(A366,1))&gt;=1,VALUE(LEFT(A366,1))&lt;=5),VALUE(LEFT(A366,1)),"")),""),"")</f>
        <v/>
      </c>
      <c r="N366" s="25">
        <f>IF(L366=1,IF(ISNUMBER(FIND("#"&amp;MID(H366,1,1)&amp;"#","#0#1#2#3#4#5#6#7#8#9#")),IF(ISNUMBER(FIND("#"&amp;MID(H366,2,1)&amp;"#","#0#1#2#3#4#5#6#7#8#9#")),IF(AND(VALUE(LEFT(H366,2))&gt;=1,VALUE(LEFT(H366,2))&lt;=5),VALUE(LEFT(H366,2)),""),IF(AND(VALUE(LEFT(H366,1))&gt;=1,VALUE(LEFT(H366,1))&lt;=5),VALUE(LEFT(H366,1)),"")),""),"")</f>
        <v/>
      </c>
      <c r="O366" s="25">
        <f>IF(AND(L366=1,B366&lt;&gt;""),SUBSTITUTE(SUBSTITUTE(SUBSTITUTE(SUBSTITUTE(SUBSTITUTE(SUBSTITUTE(SUBSTITUTE(SUBSTITUTE(SUBSTITUTE(SUBSTITUTE(SUBSTITUTE(SUBSTITUTE(LOWER(TRIM(B366)),"á","a"),"é","e"),"í","i"),"ó","o"),"ú","u"),"ü","u"),"ñ","n"),"à","a"),"è","e"),"ì","i"),"ò","o"),"ù","u"),"")</f>
        <v/>
      </c>
      <c r="P366" s="25">
        <f>IF(AND(L366=1,C366&lt;&gt;""),SUBSTITUTE(SUBSTITUTE(SUBSTITUTE(SUBSTITUTE(SUBSTITUTE(SUBSTITUTE(SUBSTITUTE(SUBSTITUTE(SUBSTITUTE(SUBSTITUTE(SUBSTITUTE(SUBSTITUTE(LOWER(TRIM(C366)),"á","a"),"é","e"),"í","i"),"ó","o"),"ú","u"),"ü","u"),"ñ","n"),"à","a"),"è","e"),"ì","i"),"ò","o"),"ù","u"),"")</f>
        <v/>
      </c>
      <c r="Q366" s="25">
        <f>IF(AND(L366=1,E366&lt;&gt;""),SUBSTITUTE(SUBSTITUTE(SUBSTITUTE(SUBSTITUTE(SUBSTITUTE(SUBSTITUTE(SUBSTITUTE(SUBSTITUTE(SUBSTITUTE(SUBSTITUTE(SUBSTITUTE(SUBSTITUTE(LOWER(TRIM(E366)),"á","a"),"é","e"),"í","i"),"ó","o"),"ú","u"),"ü","u"),"ñ","n"),"à","a"),"è","e"),"ì","i"),"ò","o"),"ù","u"),"")</f>
        <v/>
      </c>
      <c r="R366" s="25">
        <f>IF(AND(L366=1,I366&lt;&gt;""),SUBSTITUTE(SUBSTITUTE(SUBSTITUTE(SUBSTITUTE(SUBSTITUTE(SUBSTITUTE(SUBSTITUTE(SUBSTITUTE(SUBSTITUTE(SUBSTITUTE(SUBSTITUTE(SUBSTITUTE(LOWER(TRIM(I366)),"á","a"),"é","e"),"í","i"),"ó","o"),"ú","u"),"ü","u"),"ñ","n"),"à","a"),"è","e"),"ì","i"),"ò","o"),"ù","u"),"")</f>
        <v/>
      </c>
      <c r="S366" s="25">
        <f>IF(R366="","",IF(OR(R366="si",R366="tal vez"),1,0))</f>
        <v/>
      </c>
      <c r="T366" s="25">
        <f>IF(AND(L366=1,D366&lt;&gt;""),IF(IFERROR(COUNTIFS(D$3:D366,"="&amp;SUBSTITUTE(SUBSTITUTE(SUBSTITUTE(D366,"~","~~"),"*","~*"),"?","~?"),L$3:L366,1),0)=1,MAX(T$2:T365)+1,""),"")</f>
        <v/>
      </c>
      <c r="U366" s="25">
        <f>IF(T366="","",COUNTIFS($D$3:$D$1002,"="&amp;SUBSTITUTE(SUBSTITUTE(SUBSTITUTE(D366,"~","~~"),"*","~*"),"?","~?"),$L$3:$L$1002,1)*10000-T366)</f>
        <v/>
      </c>
      <c r="V366" s="25">
        <f>IF(AND(L366=1,J366&lt;&gt;""),IF(IFERROR(COUNTIFS(J$3:J366,"="&amp;SUBSTITUTE(SUBSTITUTE(SUBSTITUTE(J366,"~","~~"),"*","~*"),"?","~?"),L$3:L366,1),0)=1,MAX(V$2:V365)+1,""),"")</f>
        <v/>
      </c>
      <c r="W366" s="25">
        <f>IF(V366="","",COUNTIFS($J$3:$J$1002,"="&amp;SUBSTITUTE(SUBSTITUTE(SUBSTITUTE(J366,"~","~~"),"*","~*"),"?","~?"),$L$3:$L$1002,1)*10000-V366)</f>
        <v/>
      </c>
    </row>
    <row r="367">
      <c r="A367">
        <f>IF(A$2=0,"",IFERROR(TRIM(INDEX('Pegar estudiantes'!$A$1:$BZ$1001,366,A$2)&amp;""),""))</f>
        <v/>
      </c>
      <c r="B367">
        <f>IF(B$2=0,"",IFERROR(TRIM(INDEX('Pegar estudiantes'!$A$1:$BZ$1001,366,B$2)&amp;""),""))</f>
        <v/>
      </c>
      <c r="C367">
        <f>IF(C$2=0,"",IFERROR(TRIM(INDEX('Pegar estudiantes'!$A$1:$BZ$1001,366,C$2)&amp;""),""))</f>
        <v/>
      </c>
      <c r="D367">
        <f>IF(D$2=0,"",IFERROR(TRIM(INDEX('Pegar estudiantes'!$A$1:$BZ$1001,366,D$2)&amp;""),""))</f>
        <v/>
      </c>
      <c r="E367">
        <f>IF(E$2=0,"",IFERROR(TRIM(INDEX('Pegar estudiantes'!$A$1:$BZ$1001,366,E$2)&amp;""),""))</f>
        <v/>
      </c>
      <c r="F367">
        <f>IF(F$2=0,"",IFERROR(TRIM(INDEX('Pegar estudiantes'!$A$1:$BZ$1001,366,F$2)&amp;""),""))</f>
        <v/>
      </c>
      <c r="G367">
        <f>IF(G$2=0,"",IFERROR(TRIM(INDEX('Pegar estudiantes'!$A$1:$BZ$1001,366,G$2)&amp;""),""))</f>
        <v/>
      </c>
      <c r="H367">
        <f>IF(H$2=0,"",IFERROR(TRIM(INDEX('Pegar estudiantes'!$A$1:$BZ$1001,366,H$2)&amp;""),""))</f>
        <v/>
      </c>
      <c r="I367">
        <f>IF(I$2=0,"",IFERROR(TRIM(INDEX('Pegar estudiantes'!$A$1:$BZ$1001,366,I$2)&amp;""),""))</f>
        <v/>
      </c>
      <c r="J367">
        <f>IF(J$2=0,"",IFERROR(TRIM(INDEX('Pegar estudiantes'!$A$1:$BZ$1001,366,J$2)&amp;""),""))</f>
        <v/>
      </c>
      <c r="K367">
        <f>IF(K$2=0,"",IFERROR(TRIM(INDEX('Pegar estudiantes'!$A$1:$BZ$1001,366,K$2)&amp;""),""))</f>
        <v/>
      </c>
      <c r="L367" s="25">
        <f>IF(A367&lt;&gt;"",1,"")</f>
        <v/>
      </c>
      <c r="M367" s="25">
        <f>IF(L367=1,IF(ISNUMBER(FIND("#"&amp;MID(A367,1,1)&amp;"#","#0#1#2#3#4#5#6#7#8#9#")),IF(ISNUMBER(FIND("#"&amp;MID(A367,2,1)&amp;"#","#0#1#2#3#4#5#6#7#8#9#")),IF(AND(VALUE(LEFT(A367,2))&gt;=1,VALUE(LEFT(A367,2))&lt;=5),VALUE(LEFT(A367,2)),""),IF(AND(VALUE(LEFT(A367,1))&gt;=1,VALUE(LEFT(A367,1))&lt;=5),VALUE(LEFT(A367,1)),"")),""),"")</f>
        <v/>
      </c>
      <c r="N367" s="25">
        <f>IF(L367=1,IF(ISNUMBER(FIND("#"&amp;MID(H367,1,1)&amp;"#","#0#1#2#3#4#5#6#7#8#9#")),IF(ISNUMBER(FIND("#"&amp;MID(H367,2,1)&amp;"#","#0#1#2#3#4#5#6#7#8#9#")),IF(AND(VALUE(LEFT(H367,2))&gt;=1,VALUE(LEFT(H367,2))&lt;=5),VALUE(LEFT(H367,2)),""),IF(AND(VALUE(LEFT(H367,1))&gt;=1,VALUE(LEFT(H367,1))&lt;=5),VALUE(LEFT(H367,1)),"")),""),"")</f>
        <v/>
      </c>
      <c r="O367" s="25">
        <f>IF(AND(L367=1,B367&lt;&gt;""),SUBSTITUTE(SUBSTITUTE(SUBSTITUTE(SUBSTITUTE(SUBSTITUTE(SUBSTITUTE(SUBSTITUTE(SUBSTITUTE(SUBSTITUTE(SUBSTITUTE(SUBSTITUTE(SUBSTITUTE(LOWER(TRIM(B367)),"á","a"),"é","e"),"í","i"),"ó","o"),"ú","u"),"ü","u"),"ñ","n"),"à","a"),"è","e"),"ì","i"),"ò","o"),"ù","u"),"")</f>
        <v/>
      </c>
      <c r="P367" s="25">
        <f>IF(AND(L367=1,C367&lt;&gt;""),SUBSTITUTE(SUBSTITUTE(SUBSTITUTE(SUBSTITUTE(SUBSTITUTE(SUBSTITUTE(SUBSTITUTE(SUBSTITUTE(SUBSTITUTE(SUBSTITUTE(SUBSTITUTE(SUBSTITUTE(LOWER(TRIM(C367)),"á","a"),"é","e"),"í","i"),"ó","o"),"ú","u"),"ü","u"),"ñ","n"),"à","a"),"è","e"),"ì","i"),"ò","o"),"ù","u"),"")</f>
        <v/>
      </c>
      <c r="Q367" s="25">
        <f>IF(AND(L367=1,E367&lt;&gt;""),SUBSTITUTE(SUBSTITUTE(SUBSTITUTE(SUBSTITUTE(SUBSTITUTE(SUBSTITUTE(SUBSTITUTE(SUBSTITUTE(SUBSTITUTE(SUBSTITUTE(SUBSTITUTE(SUBSTITUTE(LOWER(TRIM(E367)),"á","a"),"é","e"),"í","i"),"ó","o"),"ú","u"),"ü","u"),"ñ","n"),"à","a"),"è","e"),"ì","i"),"ò","o"),"ù","u"),"")</f>
        <v/>
      </c>
      <c r="R367" s="25">
        <f>IF(AND(L367=1,I367&lt;&gt;""),SUBSTITUTE(SUBSTITUTE(SUBSTITUTE(SUBSTITUTE(SUBSTITUTE(SUBSTITUTE(SUBSTITUTE(SUBSTITUTE(SUBSTITUTE(SUBSTITUTE(SUBSTITUTE(SUBSTITUTE(LOWER(TRIM(I367)),"á","a"),"é","e"),"í","i"),"ó","o"),"ú","u"),"ü","u"),"ñ","n"),"à","a"),"è","e"),"ì","i"),"ò","o"),"ù","u"),"")</f>
        <v/>
      </c>
      <c r="S367" s="25">
        <f>IF(R367="","",IF(OR(R367="si",R367="tal vez"),1,0))</f>
        <v/>
      </c>
      <c r="T367" s="25">
        <f>IF(AND(L367=1,D367&lt;&gt;""),IF(IFERROR(COUNTIFS(D$3:D367,"="&amp;SUBSTITUTE(SUBSTITUTE(SUBSTITUTE(D367,"~","~~"),"*","~*"),"?","~?"),L$3:L367,1),0)=1,MAX(T$2:T366)+1,""),"")</f>
        <v/>
      </c>
      <c r="U367" s="25">
        <f>IF(T367="","",COUNTIFS($D$3:$D$1002,"="&amp;SUBSTITUTE(SUBSTITUTE(SUBSTITUTE(D367,"~","~~"),"*","~*"),"?","~?"),$L$3:$L$1002,1)*10000-T367)</f>
        <v/>
      </c>
      <c r="V367" s="25">
        <f>IF(AND(L367=1,J367&lt;&gt;""),IF(IFERROR(COUNTIFS(J$3:J367,"="&amp;SUBSTITUTE(SUBSTITUTE(SUBSTITUTE(J367,"~","~~"),"*","~*"),"?","~?"),L$3:L367,1),0)=1,MAX(V$2:V366)+1,""),"")</f>
        <v/>
      </c>
      <c r="W367" s="25">
        <f>IF(V367="","",COUNTIFS($J$3:$J$1002,"="&amp;SUBSTITUTE(SUBSTITUTE(SUBSTITUTE(J367,"~","~~"),"*","~*"),"?","~?"),$L$3:$L$1002,1)*10000-V367)</f>
        <v/>
      </c>
    </row>
    <row r="368">
      <c r="A368">
        <f>IF(A$2=0,"",IFERROR(TRIM(INDEX('Pegar estudiantes'!$A$1:$BZ$1001,367,A$2)&amp;""),""))</f>
        <v/>
      </c>
      <c r="B368">
        <f>IF(B$2=0,"",IFERROR(TRIM(INDEX('Pegar estudiantes'!$A$1:$BZ$1001,367,B$2)&amp;""),""))</f>
        <v/>
      </c>
      <c r="C368">
        <f>IF(C$2=0,"",IFERROR(TRIM(INDEX('Pegar estudiantes'!$A$1:$BZ$1001,367,C$2)&amp;""),""))</f>
        <v/>
      </c>
      <c r="D368">
        <f>IF(D$2=0,"",IFERROR(TRIM(INDEX('Pegar estudiantes'!$A$1:$BZ$1001,367,D$2)&amp;""),""))</f>
        <v/>
      </c>
      <c r="E368">
        <f>IF(E$2=0,"",IFERROR(TRIM(INDEX('Pegar estudiantes'!$A$1:$BZ$1001,367,E$2)&amp;""),""))</f>
        <v/>
      </c>
      <c r="F368">
        <f>IF(F$2=0,"",IFERROR(TRIM(INDEX('Pegar estudiantes'!$A$1:$BZ$1001,367,F$2)&amp;""),""))</f>
        <v/>
      </c>
      <c r="G368">
        <f>IF(G$2=0,"",IFERROR(TRIM(INDEX('Pegar estudiantes'!$A$1:$BZ$1001,367,G$2)&amp;""),""))</f>
        <v/>
      </c>
      <c r="H368">
        <f>IF(H$2=0,"",IFERROR(TRIM(INDEX('Pegar estudiantes'!$A$1:$BZ$1001,367,H$2)&amp;""),""))</f>
        <v/>
      </c>
      <c r="I368">
        <f>IF(I$2=0,"",IFERROR(TRIM(INDEX('Pegar estudiantes'!$A$1:$BZ$1001,367,I$2)&amp;""),""))</f>
        <v/>
      </c>
      <c r="J368">
        <f>IF(J$2=0,"",IFERROR(TRIM(INDEX('Pegar estudiantes'!$A$1:$BZ$1001,367,J$2)&amp;""),""))</f>
        <v/>
      </c>
      <c r="K368">
        <f>IF(K$2=0,"",IFERROR(TRIM(INDEX('Pegar estudiantes'!$A$1:$BZ$1001,367,K$2)&amp;""),""))</f>
        <v/>
      </c>
      <c r="L368" s="25">
        <f>IF(A368&lt;&gt;"",1,"")</f>
        <v/>
      </c>
      <c r="M368" s="25">
        <f>IF(L368=1,IF(ISNUMBER(FIND("#"&amp;MID(A368,1,1)&amp;"#","#0#1#2#3#4#5#6#7#8#9#")),IF(ISNUMBER(FIND("#"&amp;MID(A368,2,1)&amp;"#","#0#1#2#3#4#5#6#7#8#9#")),IF(AND(VALUE(LEFT(A368,2))&gt;=1,VALUE(LEFT(A368,2))&lt;=5),VALUE(LEFT(A368,2)),""),IF(AND(VALUE(LEFT(A368,1))&gt;=1,VALUE(LEFT(A368,1))&lt;=5),VALUE(LEFT(A368,1)),"")),""),"")</f>
        <v/>
      </c>
      <c r="N368" s="25">
        <f>IF(L368=1,IF(ISNUMBER(FIND("#"&amp;MID(H368,1,1)&amp;"#","#0#1#2#3#4#5#6#7#8#9#")),IF(ISNUMBER(FIND("#"&amp;MID(H368,2,1)&amp;"#","#0#1#2#3#4#5#6#7#8#9#")),IF(AND(VALUE(LEFT(H368,2))&gt;=1,VALUE(LEFT(H368,2))&lt;=5),VALUE(LEFT(H368,2)),""),IF(AND(VALUE(LEFT(H368,1))&gt;=1,VALUE(LEFT(H368,1))&lt;=5),VALUE(LEFT(H368,1)),"")),""),"")</f>
        <v/>
      </c>
      <c r="O368" s="25">
        <f>IF(AND(L368=1,B368&lt;&gt;""),SUBSTITUTE(SUBSTITUTE(SUBSTITUTE(SUBSTITUTE(SUBSTITUTE(SUBSTITUTE(SUBSTITUTE(SUBSTITUTE(SUBSTITUTE(SUBSTITUTE(SUBSTITUTE(SUBSTITUTE(LOWER(TRIM(B368)),"á","a"),"é","e"),"í","i"),"ó","o"),"ú","u"),"ü","u"),"ñ","n"),"à","a"),"è","e"),"ì","i"),"ò","o"),"ù","u"),"")</f>
        <v/>
      </c>
      <c r="P368" s="25">
        <f>IF(AND(L368=1,C368&lt;&gt;""),SUBSTITUTE(SUBSTITUTE(SUBSTITUTE(SUBSTITUTE(SUBSTITUTE(SUBSTITUTE(SUBSTITUTE(SUBSTITUTE(SUBSTITUTE(SUBSTITUTE(SUBSTITUTE(SUBSTITUTE(LOWER(TRIM(C368)),"á","a"),"é","e"),"í","i"),"ó","o"),"ú","u"),"ü","u"),"ñ","n"),"à","a"),"è","e"),"ì","i"),"ò","o"),"ù","u"),"")</f>
        <v/>
      </c>
      <c r="Q368" s="25">
        <f>IF(AND(L368=1,E368&lt;&gt;""),SUBSTITUTE(SUBSTITUTE(SUBSTITUTE(SUBSTITUTE(SUBSTITUTE(SUBSTITUTE(SUBSTITUTE(SUBSTITUTE(SUBSTITUTE(SUBSTITUTE(SUBSTITUTE(SUBSTITUTE(LOWER(TRIM(E368)),"á","a"),"é","e"),"í","i"),"ó","o"),"ú","u"),"ü","u"),"ñ","n"),"à","a"),"è","e"),"ì","i"),"ò","o"),"ù","u"),"")</f>
        <v/>
      </c>
      <c r="R368" s="25">
        <f>IF(AND(L368=1,I368&lt;&gt;""),SUBSTITUTE(SUBSTITUTE(SUBSTITUTE(SUBSTITUTE(SUBSTITUTE(SUBSTITUTE(SUBSTITUTE(SUBSTITUTE(SUBSTITUTE(SUBSTITUTE(SUBSTITUTE(SUBSTITUTE(LOWER(TRIM(I368)),"á","a"),"é","e"),"í","i"),"ó","o"),"ú","u"),"ü","u"),"ñ","n"),"à","a"),"è","e"),"ì","i"),"ò","o"),"ù","u"),"")</f>
        <v/>
      </c>
      <c r="S368" s="25">
        <f>IF(R368="","",IF(OR(R368="si",R368="tal vez"),1,0))</f>
        <v/>
      </c>
      <c r="T368" s="25">
        <f>IF(AND(L368=1,D368&lt;&gt;""),IF(IFERROR(COUNTIFS(D$3:D368,"="&amp;SUBSTITUTE(SUBSTITUTE(SUBSTITUTE(D368,"~","~~"),"*","~*"),"?","~?"),L$3:L368,1),0)=1,MAX(T$2:T367)+1,""),"")</f>
        <v/>
      </c>
      <c r="U368" s="25">
        <f>IF(T368="","",COUNTIFS($D$3:$D$1002,"="&amp;SUBSTITUTE(SUBSTITUTE(SUBSTITUTE(D368,"~","~~"),"*","~*"),"?","~?"),$L$3:$L$1002,1)*10000-T368)</f>
        <v/>
      </c>
      <c r="V368" s="25">
        <f>IF(AND(L368=1,J368&lt;&gt;""),IF(IFERROR(COUNTIFS(J$3:J368,"="&amp;SUBSTITUTE(SUBSTITUTE(SUBSTITUTE(J368,"~","~~"),"*","~*"),"?","~?"),L$3:L368,1),0)=1,MAX(V$2:V367)+1,""),"")</f>
        <v/>
      </c>
      <c r="W368" s="25">
        <f>IF(V368="","",COUNTIFS($J$3:$J$1002,"="&amp;SUBSTITUTE(SUBSTITUTE(SUBSTITUTE(J368,"~","~~"),"*","~*"),"?","~?"),$L$3:$L$1002,1)*10000-V368)</f>
        <v/>
      </c>
    </row>
    <row r="369">
      <c r="A369">
        <f>IF(A$2=0,"",IFERROR(TRIM(INDEX('Pegar estudiantes'!$A$1:$BZ$1001,368,A$2)&amp;""),""))</f>
        <v/>
      </c>
      <c r="B369">
        <f>IF(B$2=0,"",IFERROR(TRIM(INDEX('Pegar estudiantes'!$A$1:$BZ$1001,368,B$2)&amp;""),""))</f>
        <v/>
      </c>
      <c r="C369">
        <f>IF(C$2=0,"",IFERROR(TRIM(INDEX('Pegar estudiantes'!$A$1:$BZ$1001,368,C$2)&amp;""),""))</f>
        <v/>
      </c>
      <c r="D369">
        <f>IF(D$2=0,"",IFERROR(TRIM(INDEX('Pegar estudiantes'!$A$1:$BZ$1001,368,D$2)&amp;""),""))</f>
        <v/>
      </c>
      <c r="E369">
        <f>IF(E$2=0,"",IFERROR(TRIM(INDEX('Pegar estudiantes'!$A$1:$BZ$1001,368,E$2)&amp;""),""))</f>
        <v/>
      </c>
      <c r="F369">
        <f>IF(F$2=0,"",IFERROR(TRIM(INDEX('Pegar estudiantes'!$A$1:$BZ$1001,368,F$2)&amp;""),""))</f>
        <v/>
      </c>
      <c r="G369">
        <f>IF(G$2=0,"",IFERROR(TRIM(INDEX('Pegar estudiantes'!$A$1:$BZ$1001,368,G$2)&amp;""),""))</f>
        <v/>
      </c>
      <c r="H369">
        <f>IF(H$2=0,"",IFERROR(TRIM(INDEX('Pegar estudiantes'!$A$1:$BZ$1001,368,H$2)&amp;""),""))</f>
        <v/>
      </c>
      <c r="I369">
        <f>IF(I$2=0,"",IFERROR(TRIM(INDEX('Pegar estudiantes'!$A$1:$BZ$1001,368,I$2)&amp;""),""))</f>
        <v/>
      </c>
      <c r="J369">
        <f>IF(J$2=0,"",IFERROR(TRIM(INDEX('Pegar estudiantes'!$A$1:$BZ$1001,368,J$2)&amp;""),""))</f>
        <v/>
      </c>
      <c r="K369">
        <f>IF(K$2=0,"",IFERROR(TRIM(INDEX('Pegar estudiantes'!$A$1:$BZ$1001,368,K$2)&amp;""),""))</f>
        <v/>
      </c>
      <c r="L369" s="25">
        <f>IF(A369&lt;&gt;"",1,"")</f>
        <v/>
      </c>
      <c r="M369" s="25">
        <f>IF(L369=1,IF(ISNUMBER(FIND("#"&amp;MID(A369,1,1)&amp;"#","#0#1#2#3#4#5#6#7#8#9#")),IF(ISNUMBER(FIND("#"&amp;MID(A369,2,1)&amp;"#","#0#1#2#3#4#5#6#7#8#9#")),IF(AND(VALUE(LEFT(A369,2))&gt;=1,VALUE(LEFT(A369,2))&lt;=5),VALUE(LEFT(A369,2)),""),IF(AND(VALUE(LEFT(A369,1))&gt;=1,VALUE(LEFT(A369,1))&lt;=5),VALUE(LEFT(A369,1)),"")),""),"")</f>
        <v/>
      </c>
      <c r="N369" s="25">
        <f>IF(L369=1,IF(ISNUMBER(FIND("#"&amp;MID(H369,1,1)&amp;"#","#0#1#2#3#4#5#6#7#8#9#")),IF(ISNUMBER(FIND("#"&amp;MID(H369,2,1)&amp;"#","#0#1#2#3#4#5#6#7#8#9#")),IF(AND(VALUE(LEFT(H369,2))&gt;=1,VALUE(LEFT(H369,2))&lt;=5),VALUE(LEFT(H369,2)),""),IF(AND(VALUE(LEFT(H369,1))&gt;=1,VALUE(LEFT(H369,1))&lt;=5),VALUE(LEFT(H369,1)),"")),""),"")</f>
        <v/>
      </c>
      <c r="O369" s="25">
        <f>IF(AND(L369=1,B369&lt;&gt;""),SUBSTITUTE(SUBSTITUTE(SUBSTITUTE(SUBSTITUTE(SUBSTITUTE(SUBSTITUTE(SUBSTITUTE(SUBSTITUTE(SUBSTITUTE(SUBSTITUTE(SUBSTITUTE(SUBSTITUTE(LOWER(TRIM(B369)),"á","a"),"é","e"),"í","i"),"ó","o"),"ú","u"),"ü","u"),"ñ","n"),"à","a"),"è","e"),"ì","i"),"ò","o"),"ù","u"),"")</f>
        <v/>
      </c>
      <c r="P369" s="25">
        <f>IF(AND(L369=1,C369&lt;&gt;""),SUBSTITUTE(SUBSTITUTE(SUBSTITUTE(SUBSTITUTE(SUBSTITUTE(SUBSTITUTE(SUBSTITUTE(SUBSTITUTE(SUBSTITUTE(SUBSTITUTE(SUBSTITUTE(SUBSTITUTE(LOWER(TRIM(C369)),"á","a"),"é","e"),"í","i"),"ó","o"),"ú","u"),"ü","u"),"ñ","n"),"à","a"),"è","e"),"ì","i"),"ò","o"),"ù","u"),"")</f>
        <v/>
      </c>
      <c r="Q369" s="25">
        <f>IF(AND(L369=1,E369&lt;&gt;""),SUBSTITUTE(SUBSTITUTE(SUBSTITUTE(SUBSTITUTE(SUBSTITUTE(SUBSTITUTE(SUBSTITUTE(SUBSTITUTE(SUBSTITUTE(SUBSTITUTE(SUBSTITUTE(SUBSTITUTE(LOWER(TRIM(E369)),"á","a"),"é","e"),"í","i"),"ó","o"),"ú","u"),"ü","u"),"ñ","n"),"à","a"),"è","e"),"ì","i"),"ò","o"),"ù","u"),"")</f>
        <v/>
      </c>
      <c r="R369" s="25">
        <f>IF(AND(L369=1,I369&lt;&gt;""),SUBSTITUTE(SUBSTITUTE(SUBSTITUTE(SUBSTITUTE(SUBSTITUTE(SUBSTITUTE(SUBSTITUTE(SUBSTITUTE(SUBSTITUTE(SUBSTITUTE(SUBSTITUTE(SUBSTITUTE(LOWER(TRIM(I369)),"á","a"),"é","e"),"í","i"),"ó","o"),"ú","u"),"ü","u"),"ñ","n"),"à","a"),"è","e"),"ì","i"),"ò","o"),"ù","u"),"")</f>
        <v/>
      </c>
      <c r="S369" s="25">
        <f>IF(R369="","",IF(OR(R369="si",R369="tal vez"),1,0))</f>
        <v/>
      </c>
      <c r="T369" s="25">
        <f>IF(AND(L369=1,D369&lt;&gt;""),IF(IFERROR(COUNTIFS(D$3:D369,"="&amp;SUBSTITUTE(SUBSTITUTE(SUBSTITUTE(D369,"~","~~"),"*","~*"),"?","~?"),L$3:L369,1),0)=1,MAX(T$2:T368)+1,""),"")</f>
        <v/>
      </c>
      <c r="U369" s="25">
        <f>IF(T369="","",COUNTIFS($D$3:$D$1002,"="&amp;SUBSTITUTE(SUBSTITUTE(SUBSTITUTE(D369,"~","~~"),"*","~*"),"?","~?"),$L$3:$L$1002,1)*10000-T369)</f>
        <v/>
      </c>
      <c r="V369" s="25">
        <f>IF(AND(L369=1,J369&lt;&gt;""),IF(IFERROR(COUNTIFS(J$3:J369,"="&amp;SUBSTITUTE(SUBSTITUTE(SUBSTITUTE(J369,"~","~~"),"*","~*"),"?","~?"),L$3:L369,1),0)=1,MAX(V$2:V368)+1,""),"")</f>
        <v/>
      </c>
      <c r="W369" s="25">
        <f>IF(V369="","",COUNTIFS($J$3:$J$1002,"="&amp;SUBSTITUTE(SUBSTITUTE(SUBSTITUTE(J369,"~","~~"),"*","~*"),"?","~?"),$L$3:$L$1002,1)*10000-V369)</f>
        <v/>
      </c>
    </row>
    <row r="370">
      <c r="A370">
        <f>IF(A$2=0,"",IFERROR(TRIM(INDEX('Pegar estudiantes'!$A$1:$BZ$1001,369,A$2)&amp;""),""))</f>
        <v/>
      </c>
      <c r="B370">
        <f>IF(B$2=0,"",IFERROR(TRIM(INDEX('Pegar estudiantes'!$A$1:$BZ$1001,369,B$2)&amp;""),""))</f>
        <v/>
      </c>
      <c r="C370">
        <f>IF(C$2=0,"",IFERROR(TRIM(INDEX('Pegar estudiantes'!$A$1:$BZ$1001,369,C$2)&amp;""),""))</f>
        <v/>
      </c>
      <c r="D370">
        <f>IF(D$2=0,"",IFERROR(TRIM(INDEX('Pegar estudiantes'!$A$1:$BZ$1001,369,D$2)&amp;""),""))</f>
        <v/>
      </c>
      <c r="E370">
        <f>IF(E$2=0,"",IFERROR(TRIM(INDEX('Pegar estudiantes'!$A$1:$BZ$1001,369,E$2)&amp;""),""))</f>
        <v/>
      </c>
      <c r="F370">
        <f>IF(F$2=0,"",IFERROR(TRIM(INDEX('Pegar estudiantes'!$A$1:$BZ$1001,369,F$2)&amp;""),""))</f>
        <v/>
      </c>
      <c r="G370">
        <f>IF(G$2=0,"",IFERROR(TRIM(INDEX('Pegar estudiantes'!$A$1:$BZ$1001,369,G$2)&amp;""),""))</f>
        <v/>
      </c>
      <c r="H370">
        <f>IF(H$2=0,"",IFERROR(TRIM(INDEX('Pegar estudiantes'!$A$1:$BZ$1001,369,H$2)&amp;""),""))</f>
        <v/>
      </c>
      <c r="I370">
        <f>IF(I$2=0,"",IFERROR(TRIM(INDEX('Pegar estudiantes'!$A$1:$BZ$1001,369,I$2)&amp;""),""))</f>
        <v/>
      </c>
      <c r="J370">
        <f>IF(J$2=0,"",IFERROR(TRIM(INDEX('Pegar estudiantes'!$A$1:$BZ$1001,369,J$2)&amp;""),""))</f>
        <v/>
      </c>
      <c r="K370">
        <f>IF(K$2=0,"",IFERROR(TRIM(INDEX('Pegar estudiantes'!$A$1:$BZ$1001,369,K$2)&amp;""),""))</f>
        <v/>
      </c>
      <c r="L370" s="25">
        <f>IF(A370&lt;&gt;"",1,"")</f>
        <v/>
      </c>
      <c r="M370" s="25">
        <f>IF(L370=1,IF(ISNUMBER(FIND("#"&amp;MID(A370,1,1)&amp;"#","#0#1#2#3#4#5#6#7#8#9#")),IF(ISNUMBER(FIND("#"&amp;MID(A370,2,1)&amp;"#","#0#1#2#3#4#5#6#7#8#9#")),IF(AND(VALUE(LEFT(A370,2))&gt;=1,VALUE(LEFT(A370,2))&lt;=5),VALUE(LEFT(A370,2)),""),IF(AND(VALUE(LEFT(A370,1))&gt;=1,VALUE(LEFT(A370,1))&lt;=5),VALUE(LEFT(A370,1)),"")),""),"")</f>
        <v/>
      </c>
      <c r="N370" s="25">
        <f>IF(L370=1,IF(ISNUMBER(FIND("#"&amp;MID(H370,1,1)&amp;"#","#0#1#2#3#4#5#6#7#8#9#")),IF(ISNUMBER(FIND("#"&amp;MID(H370,2,1)&amp;"#","#0#1#2#3#4#5#6#7#8#9#")),IF(AND(VALUE(LEFT(H370,2))&gt;=1,VALUE(LEFT(H370,2))&lt;=5),VALUE(LEFT(H370,2)),""),IF(AND(VALUE(LEFT(H370,1))&gt;=1,VALUE(LEFT(H370,1))&lt;=5),VALUE(LEFT(H370,1)),"")),""),"")</f>
        <v/>
      </c>
      <c r="O370" s="25">
        <f>IF(AND(L370=1,B370&lt;&gt;""),SUBSTITUTE(SUBSTITUTE(SUBSTITUTE(SUBSTITUTE(SUBSTITUTE(SUBSTITUTE(SUBSTITUTE(SUBSTITUTE(SUBSTITUTE(SUBSTITUTE(SUBSTITUTE(SUBSTITUTE(LOWER(TRIM(B370)),"á","a"),"é","e"),"í","i"),"ó","o"),"ú","u"),"ü","u"),"ñ","n"),"à","a"),"è","e"),"ì","i"),"ò","o"),"ù","u"),"")</f>
        <v/>
      </c>
      <c r="P370" s="25">
        <f>IF(AND(L370=1,C370&lt;&gt;""),SUBSTITUTE(SUBSTITUTE(SUBSTITUTE(SUBSTITUTE(SUBSTITUTE(SUBSTITUTE(SUBSTITUTE(SUBSTITUTE(SUBSTITUTE(SUBSTITUTE(SUBSTITUTE(SUBSTITUTE(LOWER(TRIM(C370)),"á","a"),"é","e"),"í","i"),"ó","o"),"ú","u"),"ü","u"),"ñ","n"),"à","a"),"è","e"),"ì","i"),"ò","o"),"ù","u"),"")</f>
        <v/>
      </c>
      <c r="Q370" s="25">
        <f>IF(AND(L370=1,E370&lt;&gt;""),SUBSTITUTE(SUBSTITUTE(SUBSTITUTE(SUBSTITUTE(SUBSTITUTE(SUBSTITUTE(SUBSTITUTE(SUBSTITUTE(SUBSTITUTE(SUBSTITUTE(SUBSTITUTE(SUBSTITUTE(LOWER(TRIM(E370)),"á","a"),"é","e"),"í","i"),"ó","o"),"ú","u"),"ü","u"),"ñ","n"),"à","a"),"è","e"),"ì","i"),"ò","o"),"ù","u"),"")</f>
        <v/>
      </c>
      <c r="R370" s="25">
        <f>IF(AND(L370=1,I370&lt;&gt;""),SUBSTITUTE(SUBSTITUTE(SUBSTITUTE(SUBSTITUTE(SUBSTITUTE(SUBSTITUTE(SUBSTITUTE(SUBSTITUTE(SUBSTITUTE(SUBSTITUTE(SUBSTITUTE(SUBSTITUTE(LOWER(TRIM(I370)),"á","a"),"é","e"),"í","i"),"ó","o"),"ú","u"),"ü","u"),"ñ","n"),"à","a"),"è","e"),"ì","i"),"ò","o"),"ù","u"),"")</f>
        <v/>
      </c>
      <c r="S370" s="25">
        <f>IF(R370="","",IF(OR(R370="si",R370="tal vez"),1,0))</f>
        <v/>
      </c>
      <c r="T370" s="25">
        <f>IF(AND(L370=1,D370&lt;&gt;""),IF(IFERROR(COUNTIFS(D$3:D370,"="&amp;SUBSTITUTE(SUBSTITUTE(SUBSTITUTE(D370,"~","~~"),"*","~*"),"?","~?"),L$3:L370,1),0)=1,MAX(T$2:T369)+1,""),"")</f>
        <v/>
      </c>
      <c r="U370" s="25">
        <f>IF(T370="","",COUNTIFS($D$3:$D$1002,"="&amp;SUBSTITUTE(SUBSTITUTE(SUBSTITUTE(D370,"~","~~"),"*","~*"),"?","~?"),$L$3:$L$1002,1)*10000-T370)</f>
        <v/>
      </c>
      <c r="V370" s="25">
        <f>IF(AND(L370=1,J370&lt;&gt;""),IF(IFERROR(COUNTIFS(J$3:J370,"="&amp;SUBSTITUTE(SUBSTITUTE(SUBSTITUTE(J370,"~","~~"),"*","~*"),"?","~?"),L$3:L370,1),0)=1,MAX(V$2:V369)+1,""),"")</f>
        <v/>
      </c>
      <c r="W370" s="25">
        <f>IF(V370="","",COUNTIFS($J$3:$J$1002,"="&amp;SUBSTITUTE(SUBSTITUTE(SUBSTITUTE(J370,"~","~~"),"*","~*"),"?","~?"),$L$3:$L$1002,1)*10000-V370)</f>
        <v/>
      </c>
    </row>
    <row r="371">
      <c r="A371">
        <f>IF(A$2=0,"",IFERROR(TRIM(INDEX('Pegar estudiantes'!$A$1:$BZ$1001,370,A$2)&amp;""),""))</f>
        <v/>
      </c>
      <c r="B371">
        <f>IF(B$2=0,"",IFERROR(TRIM(INDEX('Pegar estudiantes'!$A$1:$BZ$1001,370,B$2)&amp;""),""))</f>
        <v/>
      </c>
      <c r="C371">
        <f>IF(C$2=0,"",IFERROR(TRIM(INDEX('Pegar estudiantes'!$A$1:$BZ$1001,370,C$2)&amp;""),""))</f>
        <v/>
      </c>
      <c r="D371">
        <f>IF(D$2=0,"",IFERROR(TRIM(INDEX('Pegar estudiantes'!$A$1:$BZ$1001,370,D$2)&amp;""),""))</f>
        <v/>
      </c>
      <c r="E371">
        <f>IF(E$2=0,"",IFERROR(TRIM(INDEX('Pegar estudiantes'!$A$1:$BZ$1001,370,E$2)&amp;""),""))</f>
        <v/>
      </c>
      <c r="F371">
        <f>IF(F$2=0,"",IFERROR(TRIM(INDEX('Pegar estudiantes'!$A$1:$BZ$1001,370,F$2)&amp;""),""))</f>
        <v/>
      </c>
      <c r="G371">
        <f>IF(G$2=0,"",IFERROR(TRIM(INDEX('Pegar estudiantes'!$A$1:$BZ$1001,370,G$2)&amp;""),""))</f>
        <v/>
      </c>
      <c r="H371">
        <f>IF(H$2=0,"",IFERROR(TRIM(INDEX('Pegar estudiantes'!$A$1:$BZ$1001,370,H$2)&amp;""),""))</f>
        <v/>
      </c>
      <c r="I371">
        <f>IF(I$2=0,"",IFERROR(TRIM(INDEX('Pegar estudiantes'!$A$1:$BZ$1001,370,I$2)&amp;""),""))</f>
        <v/>
      </c>
      <c r="J371">
        <f>IF(J$2=0,"",IFERROR(TRIM(INDEX('Pegar estudiantes'!$A$1:$BZ$1001,370,J$2)&amp;""),""))</f>
        <v/>
      </c>
      <c r="K371">
        <f>IF(K$2=0,"",IFERROR(TRIM(INDEX('Pegar estudiantes'!$A$1:$BZ$1001,370,K$2)&amp;""),""))</f>
        <v/>
      </c>
      <c r="L371" s="25">
        <f>IF(A371&lt;&gt;"",1,"")</f>
        <v/>
      </c>
      <c r="M371" s="25">
        <f>IF(L371=1,IF(ISNUMBER(FIND("#"&amp;MID(A371,1,1)&amp;"#","#0#1#2#3#4#5#6#7#8#9#")),IF(ISNUMBER(FIND("#"&amp;MID(A371,2,1)&amp;"#","#0#1#2#3#4#5#6#7#8#9#")),IF(AND(VALUE(LEFT(A371,2))&gt;=1,VALUE(LEFT(A371,2))&lt;=5),VALUE(LEFT(A371,2)),""),IF(AND(VALUE(LEFT(A371,1))&gt;=1,VALUE(LEFT(A371,1))&lt;=5),VALUE(LEFT(A371,1)),"")),""),"")</f>
        <v/>
      </c>
      <c r="N371" s="25">
        <f>IF(L371=1,IF(ISNUMBER(FIND("#"&amp;MID(H371,1,1)&amp;"#","#0#1#2#3#4#5#6#7#8#9#")),IF(ISNUMBER(FIND("#"&amp;MID(H371,2,1)&amp;"#","#0#1#2#3#4#5#6#7#8#9#")),IF(AND(VALUE(LEFT(H371,2))&gt;=1,VALUE(LEFT(H371,2))&lt;=5),VALUE(LEFT(H371,2)),""),IF(AND(VALUE(LEFT(H371,1))&gt;=1,VALUE(LEFT(H371,1))&lt;=5),VALUE(LEFT(H371,1)),"")),""),"")</f>
        <v/>
      </c>
      <c r="O371" s="25">
        <f>IF(AND(L371=1,B371&lt;&gt;""),SUBSTITUTE(SUBSTITUTE(SUBSTITUTE(SUBSTITUTE(SUBSTITUTE(SUBSTITUTE(SUBSTITUTE(SUBSTITUTE(SUBSTITUTE(SUBSTITUTE(SUBSTITUTE(SUBSTITUTE(LOWER(TRIM(B371)),"á","a"),"é","e"),"í","i"),"ó","o"),"ú","u"),"ü","u"),"ñ","n"),"à","a"),"è","e"),"ì","i"),"ò","o"),"ù","u"),"")</f>
        <v/>
      </c>
      <c r="P371" s="25">
        <f>IF(AND(L371=1,C371&lt;&gt;""),SUBSTITUTE(SUBSTITUTE(SUBSTITUTE(SUBSTITUTE(SUBSTITUTE(SUBSTITUTE(SUBSTITUTE(SUBSTITUTE(SUBSTITUTE(SUBSTITUTE(SUBSTITUTE(SUBSTITUTE(LOWER(TRIM(C371)),"á","a"),"é","e"),"í","i"),"ó","o"),"ú","u"),"ü","u"),"ñ","n"),"à","a"),"è","e"),"ì","i"),"ò","o"),"ù","u"),"")</f>
        <v/>
      </c>
      <c r="Q371" s="25">
        <f>IF(AND(L371=1,E371&lt;&gt;""),SUBSTITUTE(SUBSTITUTE(SUBSTITUTE(SUBSTITUTE(SUBSTITUTE(SUBSTITUTE(SUBSTITUTE(SUBSTITUTE(SUBSTITUTE(SUBSTITUTE(SUBSTITUTE(SUBSTITUTE(LOWER(TRIM(E371)),"á","a"),"é","e"),"í","i"),"ó","o"),"ú","u"),"ü","u"),"ñ","n"),"à","a"),"è","e"),"ì","i"),"ò","o"),"ù","u"),"")</f>
        <v/>
      </c>
      <c r="R371" s="25">
        <f>IF(AND(L371=1,I371&lt;&gt;""),SUBSTITUTE(SUBSTITUTE(SUBSTITUTE(SUBSTITUTE(SUBSTITUTE(SUBSTITUTE(SUBSTITUTE(SUBSTITUTE(SUBSTITUTE(SUBSTITUTE(SUBSTITUTE(SUBSTITUTE(LOWER(TRIM(I371)),"á","a"),"é","e"),"í","i"),"ó","o"),"ú","u"),"ü","u"),"ñ","n"),"à","a"),"è","e"),"ì","i"),"ò","o"),"ù","u"),"")</f>
        <v/>
      </c>
      <c r="S371" s="25">
        <f>IF(R371="","",IF(OR(R371="si",R371="tal vez"),1,0))</f>
        <v/>
      </c>
      <c r="T371" s="25">
        <f>IF(AND(L371=1,D371&lt;&gt;""),IF(IFERROR(COUNTIFS(D$3:D371,"="&amp;SUBSTITUTE(SUBSTITUTE(SUBSTITUTE(D371,"~","~~"),"*","~*"),"?","~?"),L$3:L371,1),0)=1,MAX(T$2:T370)+1,""),"")</f>
        <v/>
      </c>
      <c r="U371" s="25">
        <f>IF(T371="","",COUNTIFS($D$3:$D$1002,"="&amp;SUBSTITUTE(SUBSTITUTE(SUBSTITUTE(D371,"~","~~"),"*","~*"),"?","~?"),$L$3:$L$1002,1)*10000-T371)</f>
        <v/>
      </c>
      <c r="V371" s="25">
        <f>IF(AND(L371=1,J371&lt;&gt;""),IF(IFERROR(COUNTIFS(J$3:J371,"="&amp;SUBSTITUTE(SUBSTITUTE(SUBSTITUTE(J371,"~","~~"),"*","~*"),"?","~?"),L$3:L371,1),0)=1,MAX(V$2:V370)+1,""),"")</f>
        <v/>
      </c>
      <c r="W371" s="25">
        <f>IF(V371="","",COUNTIFS($J$3:$J$1002,"="&amp;SUBSTITUTE(SUBSTITUTE(SUBSTITUTE(J371,"~","~~"),"*","~*"),"?","~?"),$L$3:$L$1002,1)*10000-V371)</f>
        <v/>
      </c>
    </row>
    <row r="372">
      <c r="A372">
        <f>IF(A$2=0,"",IFERROR(TRIM(INDEX('Pegar estudiantes'!$A$1:$BZ$1001,371,A$2)&amp;""),""))</f>
        <v/>
      </c>
      <c r="B372">
        <f>IF(B$2=0,"",IFERROR(TRIM(INDEX('Pegar estudiantes'!$A$1:$BZ$1001,371,B$2)&amp;""),""))</f>
        <v/>
      </c>
      <c r="C372">
        <f>IF(C$2=0,"",IFERROR(TRIM(INDEX('Pegar estudiantes'!$A$1:$BZ$1001,371,C$2)&amp;""),""))</f>
        <v/>
      </c>
      <c r="D372">
        <f>IF(D$2=0,"",IFERROR(TRIM(INDEX('Pegar estudiantes'!$A$1:$BZ$1001,371,D$2)&amp;""),""))</f>
        <v/>
      </c>
      <c r="E372">
        <f>IF(E$2=0,"",IFERROR(TRIM(INDEX('Pegar estudiantes'!$A$1:$BZ$1001,371,E$2)&amp;""),""))</f>
        <v/>
      </c>
      <c r="F372">
        <f>IF(F$2=0,"",IFERROR(TRIM(INDEX('Pegar estudiantes'!$A$1:$BZ$1001,371,F$2)&amp;""),""))</f>
        <v/>
      </c>
      <c r="G372">
        <f>IF(G$2=0,"",IFERROR(TRIM(INDEX('Pegar estudiantes'!$A$1:$BZ$1001,371,G$2)&amp;""),""))</f>
        <v/>
      </c>
      <c r="H372">
        <f>IF(H$2=0,"",IFERROR(TRIM(INDEX('Pegar estudiantes'!$A$1:$BZ$1001,371,H$2)&amp;""),""))</f>
        <v/>
      </c>
      <c r="I372">
        <f>IF(I$2=0,"",IFERROR(TRIM(INDEX('Pegar estudiantes'!$A$1:$BZ$1001,371,I$2)&amp;""),""))</f>
        <v/>
      </c>
      <c r="J372">
        <f>IF(J$2=0,"",IFERROR(TRIM(INDEX('Pegar estudiantes'!$A$1:$BZ$1001,371,J$2)&amp;""),""))</f>
        <v/>
      </c>
      <c r="K372">
        <f>IF(K$2=0,"",IFERROR(TRIM(INDEX('Pegar estudiantes'!$A$1:$BZ$1001,371,K$2)&amp;""),""))</f>
        <v/>
      </c>
      <c r="L372" s="25">
        <f>IF(A372&lt;&gt;"",1,"")</f>
        <v/>
      </c>
      <c r="M372" s="25">
        <f>IF(L372=1,IF(ISNUMBER(FIND("#"&amp;MID(A372,1,1)&amp;"#","#0#1#2#3#4#5#6#7#8#9#")),IF(ISNUMBER(FIND("#"&amp;MID(A372,2,1)&amp;"#","#0#1#2#3#4#5#6#7#8#9#")),IF(AND(VALUE(LEFT(A372,2))&gt;=1,VALUE(LEFT(A372,2))&lt;=5),VALUE(LEFT(A372,2)),""),IF(AND(VALUE(LEFT(A372,1))&gt;=1,VALUE(LEFT(A372,1))&lt;=5),VALUE(LEFT(A372,1)),"")),""),"")</f>
        <v/>
      </c>
      <c r="N372" s="25">
        <f>IF(L372=1,IF(ISNUMBER(FIND("#"&amp;MID(H372,1,1)&amp;"#","#0#1#2#3#4#5#6#7#8#9#")),IF(ISNUMBER(FIND("#"&amp;MID(H372,2,1)&amp;"#","#0#1#2#3#4#5#6#7#8#9#")),IF(AND(VALUE(LEFT(H372,2))&gt;=1,VALUE(LEFT(H372,2))&lt;=5),VALUE(LEFT(H372,2)),""),IF(AND(VALUE(LEFT(H372,1))&gt;=1,VALUE(LEFT(H372,1))&lt;=5),VALUE(LEFT(H372,1)),"")),""),"")</f>
        <v/>
      </c>
      <c r="O372" s="25">
        <f>IF(AND(L372=1,B372&lt;&gt;""),SUBSTITUTE(SUBSTITUTE(SUBSTITUTE(SUBSTITUTE(SUBSTITUTE(SUBSTITUTE(SUBSTITUTE(SUBSTITUTE(SUBSTITUTE(SUBSTITUTE(SUBSTITUTE(SUBSTITUTE(LOWER(TRIM(B372)),"á","a"),"é","e"),"í","i"),"ó","o"),"ú","u"),"ü","u"),"ñ","n"),"à","a"),"è","e"),"ì","i"),"ò","o"),"ù","u"),"")</f>
        <v/>
      </c>
      <c r="P372" s="25">
        <f>IF(AND(L372=1,C372&lt;&gt;""),SUBSTITUTE(SUBSTITUTE(SUBSTITUTE(SUBSTITUTE(SUBSTITUTE(SUBSTITUTE(SUBSTITUTE(SUBSTITUTE(SUBSTITUTE(SUBSTITUTE(SUBSTITUTE(SUBSTITUTE(LOWER(TRIM(C372)),"á","a"),"é","e"),"í","i"),"ó","o"),"ú","u"),"ü","u"),"ñ","n"),"à","a"),"è","e"),"ì","i"),"ò","o"),"ù","u"),"")</f>
        <v/>
      </c>
      <c r="Q372" s="25">
        <f>IF(AND(L372=1,E372&lt;&gt;""),SUBSTITUTE(SUBSTITUTE(SUBSTITUTE(SUBSTITUTE(SUBSTITUTE(SUBSTITUTE(SUBSTITUTE(SUBSTITUTE(SUBSTITUTE(SUBSTITUTE(SUBSTITUTE(SUBSTITUTE(LOWER(TRIM(E372)),"á","a"),"é","e"),"í","i"),"ó","o"),"ú","u"),"ü","u"),"ñ","n"),"à","a"),"è","e"),"ì","i"),"ò","o"),"ù","u"),"")</f>
        <v/>
      </c>
      <c r="R372" s="25">
        <f>IF(AND(L372=1,I372&lt;&gt;""),SUBSTITUTE(SUBSTITUTE(SUBSTITUTE(SUBSTITUTE(SUBSTITUTE(SUBSTITUTE(SUBSTITUTE(SUBSTITUTE(SUBSTITUTE(SUBSTITUTE(SUBSTITUTE(SUBSTITUTE(LOWER(TRIM(I372)),"á","a"),"é","e"),"í","i"),"ó","o"),"ú","u"),"ü","u"),"ñ","n"),"à","a"),"è","e"),"ì","i"),"ò","o"),"ù","u"),"")</f>
        <v/>
      </c>
      <c r="S372" s="25">
        <f>IF(R372="","",IF(OR(R372="si",R372="tal vez"),1,0))</f>
        <v/>
      </c>
      <c r="T372" s="25">
        <f>IF(AND(L372=1,D372&lt;&gt;""),IF(IFERROR(COUNTIFS(D$3:D372,"="&amp;SUBSTITUTE(SUBSTITUTE(SUBSTITUTE(D372,"~","~~"),"*","~*"),"?","~?"),L$3:L372,1),0)=1,MAX(T$2:T371)+1,""),"")</f>
        <v/>
      </c>
      <c r="U372" s="25">
        <f>IF(T372="","",COUNTIFS($D$3:$D$1002,"="&amp;SUBSTITUTE(SUBSTITUTE(SUBSTITUTE(D372,"~","~~"),"*","~*"),"?","~?"),$L$3:$L$1002,1)*10000-T372)</f>
        <v/>
      </c>
      <c r="V372" s="25">
        <f>IF(AND(L372=1,J372&lt;&gt;""),IF(IFERROR(COUNTIFS(J$3:J372,"="&amp;SUBSTITUTE(SUBSTITUTE(SUBSTITUTE(J372,"~","~~"),"*","~*"),"?","~?"),L$3:L372,1),0)=1,MAX(V$2:V371)+1,""),"")</f>
        <v/>
      </c>
      <c r="W372" s="25">
        <f>IF(V372="","",COUNTIFS($J$3:$J$1002,"="&amp;SUBSTITUTE(SUBSTITUTE(SUBSTITUTE(J372,"~","~~"),"*","~*"),"?","~?"),$L$3:$L$1002,1)*10000-V372)</f>
        <v/>
      </c>
    </row>
    <row r="373">
      <c r="A373">
        <f>IF(A$2=0,"",IFERROR(TRIM(INDEX('Pegar estudiantes'!$A$1:$BZ$1001,372,A$2)&amp;""),""))</f>
        <v/>
      </c>
      <c r="B373">
        <f>IF(B$2=0,"",IFERROR(TRIM(INDEX('Pegar estudiantes'!$A$1:$BZ$1001,372,B$2)&amp;""),""))</f>
        <v/>
      </c>
      <c r="C373">
        <f>IF(C$2=0,"",IFERROR(TRIM(INDEX('Pegar estudiantes'!$A$1:$BZ$1001,372,C$2)&amp;""),""))</f>
        <v/>
      </c>
      <c r="D373">
        <f>IF(D$2=0,"",IFERROR(TRIM(INDEX('Pegar estudiantes'!$A$1:$BZ$1001,372,D$2)&amp;""),""))</f>
        <v/>
      </c>
      <c r="E373">
        <f>IF(E$2=0,"",IFERROR(TRIM(INDEX('Pegar estudiantes'!$A$1:$BZ$1001,372,E$2)&amp;""),""))</f>
        <v/>
      </c>
      <c r="F373">
        <f>IF(F$2=0,"",IFERROR(TRIM(INDEX('Pegar estudiantes'!$A$1:$BZ$1001,372,F$2)&amp;""),""))</f>
        <v/>
      </c>
      <c r="G373">
        <f>IF(G$2=0,"",IFERROR(TRIM(INDEX('Pegar estudiantes'!$A$1:$BZ$1001,372,G$2)&amp;""),""))</f>
        <v/>
      </c>
      <c r="H373">
        <f>IF(H$2=0,"",IFERROR(TRIM(INDEX('Pegar estudiantes'!$A$1:$BZ$1001,372,H$2)&amp;""),""))</f>
        <v/>
      </c>
      <c r="I373">
        <f>IF(I$2=0,"",IFERROR(TRIM(INDEX('Pegar estudiantes'!$A$1:$BZ$1001,372,I$2)&amp;""),""))</f>
        <v/>
      </c>
      <c r="J373">
        <f>IF(J$2=0,"",IFERROR(TRIM(INDEX('Pegar estudiantes'!$A$1:$BZ$1001,372,J$2)&amp;""),""))</f>
        <v/>
      </c>
      <c r="K373">
        <f>IF(K$2=0,"",IFERROR(TRIM(INDEX('Pegar estudiantes'!$A$1:$BZ$1001,372,K$2)&amp;""),""))</f>
        <v/>
      </c>
      <c r="L373" s="25">
        <f>IF(A373&lt;&gt;"",1,"")</f>
        <v/>
      </c>
      <c r="M373" s="25">
        <f>IF(L373=1,IF(ISNUMBER(FIND("#"&amp;MID(A373,1,1)&amp;"#","#0#1#2#3#4#5#6#7#8#9#")),IF(ISNUMBER(FIND("#"&amp;MID(A373,2,1)&amp;"#","#0#1#2#3#4#5#6#7#8#9#")),IF(AND(VALUE(LEFT(A373,2))&gt;=1,VALUE(LEFT(A373,2))&lt;=5),VALUE(LEFT(A373,2)),""),IF(AND(VALUE(LEFT(A373,1))&gt;=1,VALUE(LEFT(A373,1))&lt;=5),VALUE(LEFT(A373,1)),"")),""),"")</f>
        <v/>
      </c>
      <c r="N373" s="25">
        <f>IF(L373=1,IF(ISNUMBER(FIND("#"&amp;MID(H373,1,1)&amp;"#","#0#1#2#3#4#5#6#7#8#9#")),IF(ISNUMBER(FIND("#"&amp;MID(H373,2,1)&amp;"#","#0#1#2#3#4#5#6#7#8#9#")),IF(AND(VALUE(LEFT(H373,2))&gt;=1,VALUE(LEFT(H373,2))&lt;=5),VALUE(LEFT(H373,2)),""),IF(AND(VALUE(LEFT(H373,1))&gt;=1,VALUE(LEFT(H373,1))&lt;=5),VALUE(LEFT(H373,1)),"")),""),"")</f>
        <v/>
      </c>
      <c r="O373" s="25">
        <f>IF(AND(L373=1,B373&lt;&gt;""),SUBSTITUTE(SUBSTITUTE(SUBSTITUTE(SUBSTITUTE(SUBSTITUTE(SUBSTITUTE(SUBSTITUTE(SUBSTITUTE(SUBSTITUTE(SUBSTITUTE(SUBSTITUTE(SUBSTITUTE(LOWER(TRIM(B373)),"á","a"),"é","e"),"í","i"),"ó","o"),"ú","u"),"ü","u"),"ñ","n"),"à","a"),"è","e"),"ì","i"),"ò","o"),"ù","u"),"")</f>
        <v/>
      </c>
      <c r="P373" s="25">
        <f>IF(AND(L373=1,C373&lt;&gt;""),SUBSTITUTE(SUBSTITUTE(SUBSTITUTE(SUBSTITUTE(SUBSTITUTE(SUBSTITUTE(SUBSTITUTE(SUBSTITUTE(SUBSTITUTE(SUBSTITUTE(SUBSTITUTE(SUBSTITUTE(LOWER(TRIM(C373)),"á","a"),"é","e"),"í","i"),"ó","o"),"ú","u"),"ü","u"),"ñ","n"),"à","a"),"è","e"),"ì","i"),"ò","o"),"ù","u"),"")</f>
        <v/>
      </c>
      <c r="Q373" s="25">
        <f>IF(AND(L373=1,E373&lt;&gt;""),SUBSTITUTE(SUBSTITUTE(SUBSTITUTE(SUBSTITUTE(SUBSTITUTE(SUBSTITUTE(SUBSTITUTE(SUBSTITUTE(SUBSTITUTE(SUBSTITUTE(SUBSTITUTE(SUBSTITUTE(LOWER(TRIM(E373)),"á","a"),"é","e"),"í","i"),"ó","o"),"ú","u"),"ü","u"),"ñ","n"),"à","a"),"è","e"),"ì","i"),"ò","o"),"ù","u"),"")</f>
        <v/>
      </c>
      <c r="R373" s="25">
        <f>IF(AND(L373=1,I373&lt;&gt;""),SUBSTITUTE(SUBSTITUTE(SUBSTITUTE(SUBSTITUTE(SUBSTITUTE(SUBSTITUTE(SUBSTITUTE(SUBSTITUTE(SUBSTITUTE(SUBSTITUTE(SUBSTITUTE(SUBSTITUTE(LOWER(TRIM(I373)),"á","a"),"é","e"),"í","i"),"ó","o"),"ú","u"),"ü","u"),"ñ","n"),"à","a"),"è","e"),"ì","i"),"ò","o"),"ù","u"),"")</f>
        <v/>
      </c>
      <c r="S373" s="25">
        <f>IF(R373="","",IF(OR(R373="si",R373="tal vez"),1,0))</f>
        <v/>
      </c>
      <c r="T373" s="25">
        <f>IF(AND(L373=1,D373&lt;&gt;""),IF(IFERROR(COUNTIFS(D$3:D373,"="&amp;SUBSTITUTE(SUBSTITUTE(SUBSTITUTE(D373,"~","~~"),"*","~*"),"?","~?"),L$3:L373,1),0)=1,MAX(T$2:T372)+1,""),"")</f>
        <v/>
      </c>
      <c r="U373" s="25">
        <f>IF(T373="","",COUNTIFS($D$3:$D$1002,"="&amp;SUBSTITUTE(SUBSTITUTE(SUBSTITUTE(D373,"~","~~"),"*","~*"),"?","~?"),$L$3:$L$1002,1)*10000-T373)</f>
        <v/>
      </c>
      <c r="V373" s="25">
        <f>IF(AND(L373=1,J373&lt;&gt;""),IF(IFERROR(COUNTIFS(J$3:J373,"="&amp;SUBSTITUTE(SUBSTITUTE(SUBSTITUTE(J373,"~","~~"),"*","~*"),"?","~?"),L$3:L373,1),0)=1,MAX(V$2:V372)+1,""),"")</f>
        <v/>
      </c>
      <c r="W373" s="25">
        <f>IF(V373="","",COUNTIFS($J$3:$J$1002,"="&amp;SUBSTITUTE(SUBSTITUTE(SUBSTITUTE(J373,"~","~~"),"*","~*"),"?","~?"),$L$3:$L$1002,1)*10000-V373)</f>
        <v/>
      </c>
    </row>
    <row r="374">
      <c r="A374">
        <f>IF(A$2=0,"",IFERROR(TRIM(INDEX('Pegar estudiantes'!$A$1:$BZ$1001,373,A$2)&amp;""),""))</f>
        <v/>
      </c>
      <c r="B374">
        <f>IF(B$2=0,"",IFERROR(TRIM(INDEX('Pegar estudiantes'!$A$1:$BZ$1001,373,B$2)&amp;""),""))</f>
        <v/>
      </c>
      <c r="C374">
        <f>IF(C$2=0,"",IFERROR(TRIM(INDEX('Pegar estudiantes'!$A$1:$BZ$1001,373,C$2)&amp;""),""))</f>
        <v/>
      </c>
      <c r="D374">
        <f>IF(D$2=0,"",IFERROR(TRIM(INDEX('Pegar estudiantes'!$A$1:$BZ$1001,373,D$2)&amp;""),""))</f>
        <v/>
      </c>
      <c r="E374">
        <f>IF(E$2=0,"",IFERROR(TRIM(INDEX('Pegar estudiantes'!$A$1:$BZ$1001,373,E$2)&amp;""),""))</f>
        <v/>
      </c>
      <c r="F374">
        <f>IF(F$2=0,"",IFERROR(TRIM(INDEX('Pegar estudiantes'!$A$1:$BZ$1001,373,F$2)&amp;""),""))</f>
        <v/>
      </c>
      <c r="G374">
        <f>IF(G$2=0,"",IFERROR(TRIM(INDEX('Pegar estudiantes'!$A$1:$BZ$1001,373,G$2)&amp;""),""))</f>
        <v/>
      </c>
      <c r="H374">
        <f>IF(H$2=0,"",IFERROR(TRIM(INDEX('Pegar estudiantes'!$A$1:$BZ$1001,373,H$2)&amp;""),""))</f>
        <v/>
      </c>
      <c r="I374">
        <f>IF(I$2=0,"",IFERROR(TRIM(INDEX('Pegar estudiantes'!$A$1:$BZ$1001,373,I$2)&amp;""),""))</f>
        <v/>
      </c>
      <c r="J374">
        <f>IF(J$2=0,"",IFERROR(TRIM(INDEX('Pegar estudiantes'!$A$1:$BZ$1001,373,J$2)&amp;""),""))</f>
        <v/>
      </c>
      <c r="K374">
        <f>IF(K$2=0,"",IFERROR(TRIM(INDEX('Pegar estudiantes'!$A$1:$BZ$1001,373,K$2)&amp;""),""))</f>
        <v/>
      </c>
      <c r="L374" s="25">
        <f>IF(A374&lt;&gt;"",1,"")</f>
        <v/>
      </c>
      <c r="M374" s="25">
        <f>IF(L374=1,IF(ISNUMBER(FIND("#"&amp;MID(A374,1,1)&amp;"#","#0#1#2#3#4#5#6#7#8#9#")),IF(ISNUMBER(FIND("#"&amp;MID(A374,2,1)&amp;"#","#0#1#2#3#4#5#6#7#8#9#")),IF(AND(VALUE(LEFT(A374,2))&gt;=1,VALUE(LEFT(A374,2))&lt;=5),VALUE(LEFT(A374,2)),""),IF(AND(VALUE(LEFT(A374,1))&gt;=1,VALUE(LEFT(A374,1))&lt;=5),VALUE(LEFT(A374,1)),"")),""),"")</f>
        <v/>
      </c>
      <c r="N374" s="25">
        <f>IF(L374=1,IF(ISNUMBER(FIND("#"&amp;MID(H374,1,1)&amp;"#","#0#1#2#3#4#5#6#7#8#9#")),IF(ISNUMBER(FIND("#"&amp;MID(H374,2,1)&amp;"#","#0#1#2#3#4#5#6#7#8#9#")),IF(AND(VALUE(LEFT(H374,2))&gt;=1,VALUE(LEFT(H374,2))&lt;=5),VALUE(LEFT(H374,2)),""),IF(AND(VALUE(LEFT(H374,1))&gt;=1,VALUE(LEFT(H374,1))&lt;=5),VALUE(LEFT(H374,1)),"")),""),"")</f>
        <v/>
      </c>
      <c r="O374" s="25">
        <f>IF(AND(L374=1,B374&lt;&gt;""),SUBSTITUTE(SUBSTITUTE(SUBSTITUTE(SUBSTITUTE(SUBSTITUTE(SUBSTITUTE(SUBSTITUTE(SUBSTITUTE(SUBSTITUTE(SUBSTITUTE(SUBSTITUTE(SUBSTITUTE(LOWER(TRIM(B374)),"á","a"),"é","e"),"í","i"),"ó","o"),"ú","u"),"ü","u"),"ñ","n"),"à","a"),"è","e"),"ì","i"),"ò","o"),"ù","u"),"")</f>
        <v/>
      </c>
      <c r="P374" s="25">
        <f>IF(AND(L374=1,C374&lt;&gt;""),SUBSTITUTE(SUBSTITUTE(SUBSTITUTE(SUBSTITUTE(SUBSTITUTE(SUBSTITUTE(SUBSTITUTE(SUBSTITUTE(SUBSTITUTE(SUBSTITUTE(SUBSTITUTE(SUBSTITUTE(LOWER(TRIM(C374)),"á","a"),"é","e"),"í","i"),"ó","o"),"ú","u"),"ü","u"),"ñ","n"),"à","a"),"è","e"),"ì","i"),"ò","o"),"ù","u"),"")</f>
        <v/>
      </c>
      <c r="Q374" s="25">
        <f>IF(AND(L374=1,E374&lt;&gt;""),SUBSTITUTE(SUBSTITUTE(SUBSTITUTE(SUBSTITUTE(SUBSTITUTE(SUBSTITUTE(SUBSTITUTE(SUBSTITUTE(SUBSTITUTE(SUBSTITUTE(SUBSTITUTE(SUBSTITUTE(LOWER(TRIM(E374)),"á","a"),"é","e"),"í","i"),"ó","o"),"ú","u"),"ü","u"),"ñ","n"),"à","a"),"è","e"),"ì","i"),"ò","o"),"ù","u"),"")</f>
        <v/>
      </c>
      <c r="R374" s="25">
        <f>IF(AND(L374=1,I374&lt;&gt;""),SUBSTITUTE(SUBSTITUTE(SUBSTITUTE(SUBSTITUTE(SUBSTITUTE(SUBSTITUTE(SUBSTITUTE(SUBSTITUTE(SUBSTITUTE(SUBSTITUTE(SUBSTITUTE(SUBSTITUTE(LOWER(TRIM(I374)),"á","a"),"é","e"),"í","i"),"ó","o"),"ú","u"),"ü","u"),"ñ","n"),"à","a"),"è","e"),"ì","i"),"ò","o"),"ù","u"),"")</f>
        <v/>
      </c>
      <c r="S374" s="25">
        <f>IF(R374="","",IF(OR(R374="si",R374="tal vez"),1,0))</f>
        <v/>
      </c>
      <c r="T374" s="25">
        <f>IF(AND(L374=1,D374&lt;&gt;""),IF(IFERROR(COUNTIFS(D$3:D374,"="&amp;SUBSTITUTE(SUBSTITUTE(SUBSTITUTE(D374,"~","~~"),"*","~*"),"?","~?"),L$3:L374,1),0)=1,MAX(T$2:T373)+1,""),"")</f>
        <v/>
      </c>
      <c r="U374" s="25">
        <f>IF(T374="","",COUNTIFS($D$3:$D$1002,"="&amp;SUBSTITUTE(SUBSTITUTE(SUBSTITUTE(D374,"~","~~"),"*","~*"),"?","~?"),$L$3:$L$1002,1)*10000-T374)</f>
        <v/>
      </c>
      <c r="V374" s="25">
        <f>IF(AND(L374=1,J374&lt;&gt;""),IF(IFERROR(COUNTIFS(J$3:J374,"="&amp;SUBSTITUTE(SUBSTITUTE(SUBSTITUTE(J374,"~","~~"),"*","~*"),"?","~?"),L$3:L374,1),0)=1,MAX(V$2:V373)+1,""),"")</f>
        <v/>
      </c>
      <c r="W374" s="25">
        <f>IF(V374="","",COUNTIFS($J$3:$J$1002,"="&amp;SUBSTITUTE(SUBSTITUTE(SUBSTITUTE(J374,"~","~~"),"*","~*"),"?","~?"),$L$3:$L$1002,1)*10000-V374)</f>
        <v/>
      </c>
    </row>
    <row r="375">
      <c r="A375">
        <f>IF(A$2=0,"",IFERROR(TRIM(INDEX('Pegar estudiantes'!$A$1:$BZ$1001,374,A$2)&amp;""),""))</f>
        <v/>
      </c>
      <c r="B375">
        <f>IF(B$2=0,"",IFERROR(TRIM(INDEX('Pegar estudiantes'!$A$1:$BZ$1001,374,B$2)&amp;""),""))</f>
        <v/>
      </c>
      <c r="C375">
        <f>IF(C$2=0,"",IFERROR(TRIM(INDEX('Pegar estudiantes'!$A$1:$BZ$1001,374,C$2)&amp;""),""))</f>
        <v/>
      </c>
      <c r="D375">
        <f>IF(D$2=0,"",IFERROR(TRIM(INDEX('Pegar estudiantes'!$A$1:$BZ$1001,374,D$2)&amp;""),""))</f>
        <v/>
      </c>
      <c r="E375">
        <f>IF(E$2=0,"",IFERROR(TRIM(INDEX('Pegar estudiantes'!$A$1:$BZ$1001,374,E$2)&amp;""),""))</f>
        <v/>
      </c>
      <c r="F375">
        <f>IF(F$2=0,"",IFERROR(TRIM(INDEX('Pegar estudiantes'!$A$1:$BZ$1001,374,F$2)&amp;""),""))</f>
        <v/>
      </c>
      <c r="G375">
        <f>IF(G$2=0,"",IFERROR(TRIM(INDEX('Pegar estudiantes'!$A$1:$BZ$1001,374,G$2)&amp;""),""))</f>
        <v/>
      </c>
      <c r="H375">
        <f>IF(H$2=0,"",IFERROR(TRIM(INDEX('Pegar estudiantes'!$A$1:$BZ$1001,374,H$2)&amp;""),""))</f>
        <v/>
      </c>
      <c r="I375">
        <f>IF(I$2=0,"",IFERROR(TRIM(INDEX('Pegar estudiantes'!$A$1:$BZ$1001,374,I$2)&amp;""),""))</f>
        <v/>
      </c>
      <c r="J375">
        <f>IF(J$2=0,"",IFERROR(TRIM(INDEX('Pegar estudiantes'!$A$1:$BZ$1001,374,J$2)&amp;""),""))</f>
        <v/>
      </c>
      <c r="K375">
        <f>IF(K$2=0,"",IFERROR(TRIM(INDEX('Pegar estudiantes'!$A$1:$BZ$1001,374,K$2)&amp;""),""))</f>
        <v/>
      </c>
      <c r="L375" s="25">
        <f>IF(A375&lt;&gt;"",1,"")</f>
        <v/>
      </c>
      <c r="M375" s="25">
        <f>IF(L375=1,IF(ISNUMBER(FIND("#"&amp;MID(A375,1,1)&amp;"#","#0#1#2#3#4#5#6#7#8#9#")),IF(ISNUMBER(FIND("#"&amp;MID(A375,2,1)&amp;"#","#0#1#2#3#4#5#6#7#8#9#")),IF(AND(VALUE(LEFT(A375,2))&gt;=1,VALUE(LEFT(A375,2))&lt;=5),VALUE(LEFT(A375,2)),""),IF(AND(VALUE(LEFT(A375,1))&gt;=1,VALUE(LEFT(A375,1))&lt;=5),VALUE(LEFT(A375,1)),"")),""),"")</f>
        <v/>
      </c>
      <c r="N375" s="25">
        <f>IF(L375=1,IF(ISNUMBER(FIND("#"&amp;MID(H375,1,1)&amp;"#","#0#1#2#3#4#5#6#7#8#9#")),IF(ISNUMBER(FIND("#"&amp;MID(H375,2,1)&amp;"#","#0#1#2#3#4#5#6#7#8#9#")),IF(AND(VALUE(LEFT(H375,2))&gt;=1,VALUE(LEFT(H375,2))&lt;=5),VALUE(LEFT(H375,2)),""),IF(AND(VALUE(LEFT(H375,1))&gt;=1,VALUE(LEFT(H375,1))&lt;=5),VALUE(LEFT(H375,1)),"")),""),"")</f>
        <v/>
      </c>
      <c r="O375" s="25">
        <f>IF(AND(L375=1,B375&lt;&gt;""),SUBSTITUTE(SUBSTITUTE(SUBSTITUTE(SUBSTITUTE(SUBSTITUTE(SUBSTITUTE(SUBSTITUTE(SUBSTITUTE(SUBSTITUTE(SUBSTITUTE(SUBSTITUTE(SUBSTITUTE(LOWER(TRIM(B375)),"á","a"),"é","e"),"í","i"),"ó","o"),"ú","u"),"ü","u"),"ñ","n"),"à","a"),"è","e"),"ì","i"),"ò","o"),"ù","u"),"")</f>
        <v/>
      </c>
      <c r="P375" s="25">
        <f>IF(AND(L375=1,C375&lt;&gt;""),SUBSTITUTE(SUBSTITUTE(SUBSTITUTE(SUBSTITUTE(SUBSTITUTE(SUBSTITUTE(SUBSTITUTE(SUBSTITUTE(SUBSTITUTE(SUBSTITUTE(SUBSTITUTE(SUBSTITUTE(LOWER(TRIM(C375)),"á","a"),"é","e"),"í","i"),"ó","o"),"ú","u"),"ü","u"),"ñ","n"),"à","a"),"è","e"),"ì","i"),"ò","o"),"ù","u"),"")</f>
        <v/>
      </c>
      <c r="Q375" s="25">
        <f>IF(AND(L375=1,E375&lt;&gt;""),SUBSTITUTE(SUBSTITUTE(SUBSTITUTE(SUBSTITUTE(SUBSTITUTE(SUBSTITUTE(SUBSTITUTE(SUBSTITUTE(SUBSTITUTE(SUBSTITUTE(SUBSTITUTE(SUBSTITUTE(LOWER(TRIM(E375)),"á","a"),"é","e"),"í","i"),"ó","o"),"ú","u"),"ü","u"),"ñ","n"),"à","a"),"è","e"),"ì","i"),"ò","o"),"ù","u"),"")</f>
        <v/>
      </c>
      <c r="R375" s="25">
        <f>IF(AND(L375=1,I375&lt;&gt;""),SUBSTITUTE(SUBSTITUTE(SUBSTITUTE(SUBSTITUTE(SUBSTITUTE(SUBSTITUTE(SUBSTITUTE(SUBSTITUTE(SUBSTITUTE(SUBSTITUTE(SUBSTITUTE(SUBSTITUTE(LOWER(TRIM(I375)),"á","a"),"é","e"),"í","i"),"ó","o"),"ú","u"),"ü","u"),"ñ","n"),"à","a"),"è","e"),"ì","i"),"ò","o"),"ù","u"),"")</f>
        <v/>
      </c>
      <c r="S375" s="25">
        <f>IF(R375="","",IF(OR(R375="si",R375="tal vez"),1,0))</f>
        <v/>
      </c>
      <c r="T375" s="25">
        <f>IF(AND(L375=1,D375&lt;&gt;""),IF(IFERROR(COUNTIFS(D$3:D375,"="&amp;SUBSTITUTE(SUBSTITUTE(SUBSTITUTE(D375,"~","~~"),"*","~*"),"?","~?"),L$3:L375,1),0)=1,MAX(T$2:T374)+1,""),"")</f>
        <v/>
      </c>
      <c r="U375" s="25">
        <f>IF(T375="","",COUNTIFS($D$3:$D$1002,"="&amp;SUBSTITUTE(SUBSTITUTE(SUBSTITUTE(D375,"~","~~"),"*","~*"),"?","~?"),$L$3:$L$1002,1)*10000-T375)</f>
        <v/>
      </c>
      <c r="V375" s="25">
        <f>IF(AND(L375=1,J375&lt;&gt;""),IF(IFERROR(COUNTIFS(J$3:J375,"="&amp;SUBSTITUTE(SUBSTITUTE(SUBSTITUTE(J375,"~","~~"),"*","~*"),"?","~?"),L$3:L375,1),0)=1,MAX(V$2:V374)+1,""),"")</f>
        <v/>
      </c>
      <c r="W375" s="25">
        <f>IF(V375="","",COUNTIFS($J$3:$J$1002,"="&amp;SUBSTITUTE(SUBSTITUTE(SUBSTITUTE(J375,"~","~~"),"*","~*"),"?","~?"),$L$3:$L$1002,1)*10000-V375)</f>
        <v/>
      </c>
    </row>
    <row r="376">
      <c r="A376">
        <f>IF(A$2=0,"",IFERROR(TRIM(INDEX('Pegar estudiantes'!$A$1:$BZ$1001,375,A$2)&amp;""),""))</f>
        <v/>
      </c>
      <c r="B376">
        <f>IF(B$2=0,"",IFERROR(TRIM(INDEX('Pegar estudiantes'!$A$1:$BZ$1001,375,B$2)&amp;""),""))</f>
        <v/>
      </c>
      <c r="C376">
        <f>IF(C$2=0,"",IFERROR(TRIM(INDEX('Pegar estudiantes'!$A$1:$BZ$1001,375,C$2)&amp;""),""))</f>
        <v/>
      </c>
      <c r="D376">
        <f>IF(D$2=0,"",IFERROR(TRIM(INDEX('Pegar estudiantes'!$A$1:$BZ$1001,375,D$2)&amp;""),""))</f>
        <v/>
      </c>
      <c r="E376">
        <f>IF(E$2=0,"",IFERROR(TRIM(INDEX('Pegar estudiantes'!$A$1:$BZ$1001,375,E$2)&amp;""),""))</f>
        <v/>
      </c>
      <c r="F376">
        <f>IF(F$2=0,"",IFERROR(TRIM(INDEX('Pegar estudiantes'!$A$1:$BZ$1001,375,F$2)&amp;""),""))</f>
        <v/>
      </c>
      <c r="G376">
        <f>IF(G$2=0,"",IFERROR(TRIM(INDEX('Pegar estudiantes'!$A$1:$BZ$1001,375,G$2)&amp;""),""))</f>
        <v/>
      </c>
      <c r="H376">
        <f>IF(H$2=0,"",IFERROR(TRIM(INDEX('Pegar estudiantes'!$A$1:$BZ$1001,375,H$2)&amp;""),""))</f>
        <v/>
      </c>
      <c r="I376">
        <f>IF(I$2=0,"",IFERROR(TRIM(INDEX('Pegar estudiantes'!$A$1:$BZ$1001,375,I$2)&amp;""),""))</f>
        <v/>
      </c>
      <c r="J376">
        <f>IF(J$2=0,"",IFERROR(TRIM(INDEX('Pegar estudiantes'!$A$1:$BZ$1001,375,J$2)&amp;""),""))</f>
        <v/>
      </c>
      <c r="K376">
        <f>IF(K$2=0,"",IFERROR(TRIM(INDEX('Pegar estudiantes'!$A$1:$BZ$1001,375,K$2)&amp;""),""))</f>
        <v/>
      </c>
      <c r="L376" s="25">
        <f>IF(A376&lt;&gt;"",1,"")</f>
        <v/>
      </c>
      <c r="M376" s="25">
        <f>IF(L376=1,IF(ISNUMBER(FIND("#"&amp;MID(A376,1,1)&amp;"#","#0#1#2#3#4#5#6#7#8#9#")),IF(ISNUMBER(FIND("#"&amp;MID(A376,2,1)&amp;"#","#0#1#2#3#4#5#6#7#8#9#")),IF(AND(VALUE(LEFT(A376,2))&gt;=1,VALUE(LEFT(A376,2))&lt;=5),VALUE(LEFT(A376,2)),""),IF(AND(VALUE(LEFT(A376,1))&gt;=1,VALUE(LEFT(A376,1))&lt;=5),VALUE(LEFT(A376,1)),"")),""),"")</f>
        <v/>
      </c>
      <c r="N376" s="25">
        <f>IF(L376=1,IF(ISNUMBER(FIND("#"&amp;MID(H376,1,1)&amp;"#","#0#1#2#3#4#5#6#7#8#9#")),IF(ISNUMBER(FIND("#"&amp;MID(H376,2,1)&amp;"#","#0#1#2#3#4#5#6#7#8#9#")),IF(AND(VALUE(LEFT(H376,2))&gt;=1,VALUE(LEFT(H376,2))&lt;=5),VALUE(LEFT(H376,2)),""),IF(AND(VALUE(LEFT(H376,1))&gt;=1,VALUE(LEFT(H376,1))&lt;=5),VALUE(LEFT(H376,1)),"")),""),"")</f>
        <v/>
      </c>
      <c r="O376" s="25">
        <f>IF(AND(L376=1,B376&lt;&gt;""),SUBSTITUTE(SUBSTITUTE(SUBSTITUTE(SUBSTITUTE(SUBSTITUTE(SUBSTITUTE(SUBSTITUTE(SUBSTITUTE(SUBSTITUTE(SUBSTITUTE(SUBSTITUTE(SUBSTITUTE(LOWER(TRIM(B376)),"á","a"),"é","e"),"í","i"),"ó","o"),"ú","u"),"ü","u"),"ñ","n"),"à","a"),"è","e"),"ì","i"),"ò","o"),"ù","u"),"")</f>
        <v/>
      </c>
      <c r="P376" s="25">
        <f>IF(AND(L376=1,C376&lt;&gt;""),SUBSTITUTE(SUBSTITUTE(SUBSTITUTE(SUBSTITUTE(SUBSTITUTE(SUBSTITUTE(SUBSTITUTE(SUBSTITUTE(SUBSTITUTE(SUBSTITUTE(SUBSTITUTE(SUBSTITUTE(LOWER(TRIM(C376)),"á","a"),"é","e"),"í","i"),"ó","o"),"ú","u"),"ü","u"),"ñ","n"),"à","a"),"è","e"),"ì","i"),"ò","o"),"ù","u"),"")</f>
        <v/>
      </c>
      <c r="Q376" s="25">
        <f>IF(AND(L376=1,E376&lt;&gt;""),SUBSTITUTE(SUBSTITUTE(SUBSTITUTE(SUBSTITUTE(SUBSTITUTE(SUBSTITUTE(SUBSTITUTE(SUBSTITUTE(SUBSTITUTE(SUBSTITUTE(SUBSTITUTE(SUBSTITUTE(LOWER(TRIM(E376)),"á","a"),"é","e"),"í","i"),"ó","o"),"ú","u"),"ü","u"),"ñ","n"),"à","a"),"è","e"),"ì","i"),"ò","o"),"ù","u"),"")</f>
        <v/>
      </c>
      <c r="R376" s="25">
        <f>IF(AND(L376=1,I376&lt;&gt;""),SUBSTITUTE(SUBSTITUTE(SUBSTITUTE(SUBSTITUTE(SUBSTITUTE(SUBSTITUTE(SUBSTITUTE(SUBSTITUTE(SUBSTITUTE(SUBSTITUTE(SUBSTITUTE(SUBSTITUTE(LOWER(TRIM(I376)),"á","a"),"é","e"),"í","i"),"ó","o"),"ú","u"),"ü","u"),"ñ","n"),"à","a"),"è","e"),"ì","i"),"ò","o"),"ù","u"),"")</f>
        <v/>
      </c>
      <c r="S376" s="25">
        <f>IF(R376="","",IF(OR(R376="si",R376="tal vez"),1,0))</f>
        <v/>
      </c>
      <c r="T376" s="25">
        <f>IF(AND(L376=1,D376&lt;&gt;""),IF(IFERROR(COUNTIFS(D$3:D376,"="&amp;SUBSTITUTE(SUBSTITUTE(SUBSTITUTE(D376,"~","~~"),"*","~*"),"?","~?"),L$3:L376,1),0)=1,MAX(T$2:T375)+1,""),"")</f>
        <v/>
      </c>
      <c r="U376" s="25">
        <f>IF(T376="","",COUNTIFS($D$3:$D$1002,"="&amp;SUBSTITUTE(SUBSTITUTE(SUBSTITUTE(D376,"~","~~"),"*","~*"),"?","~?"),$L$3:$L$1002,1)*10000-T376)</f>
        <v/>
      </c>
      <c r="V376" s="25">
        <f>IF(AND(L376=1,J376&lt;&gt;""),IF(IFERROR(COUNTIFS(J$3:J376,"="&amp;SUBSTITUTE(SUBSTITUTE(SUBSTITUTE(J376,"~","~~"),"*","~*"),"?","~?"),L$3:L376,1),0)=1,MAX(V$2:V375)+1,""),"")</f>
        <v/>
      </c>
      <c r="W376" s="25">
        <f>IF(V376="","",COUNTIFS($J$3:$J$1002,"="&amp;SUBSTITUTE(SUBSTITUTE(SUBSTITUTE(J376,"~","~~"),"*","~*"),"?","~?"),$L$3:$L$1002,1)*10000-V376)</f>
        <v/>
      </c>
    </row>
    <row r="377">
      <c r="A377">
        <f>IF(A$2=0,"",IFERROR(TRIM(INDEX('Pegar estudiantes'!$A$1:$BZ$1001,376,A$2)&amp;""),""))</f>
        <v/>
      </c>
      <c r="B377">
        <f>IF(B$2=0,"",IFERROR(TRIM(INDEX('Pegar estudiantes'!$A$1:$BZ$1001,376,B$2)&amp;""),""))</f>
        <v/>
      </c>
      <c r="C377">
        <f>IF(C$2=0,"",IFERROR(TRIM(INDEX('Pegar estudiantes'!$A$1:$BZ$1001,376,C$2)&amp;""),""))</f>
        <v/>
      </c>
      <c r="D377">
        <f>IF(D$2=0,"",IFERROR(TRIM(INDEX('Pegar estudiantes'!$A$1:$BZ$1001,376,D$2)&amp;""),""))</f>
        <v/>
      </c>
      <c r="E377">
        <f>IF(E$2=0,"",IFERROR(TRIM(INDEX('Pegar estudiantes'!$A$1:$BZ$1001,376,E$2)&amp;""),""))</f>
        <v/>
      </c>
      <c r="F377">
        <f>IF(F$2=0,"",IFERROR(TRIM(INDEX('Pegar estudiantes'!$A$1:$BZ$1001,376,F$2)&amp;""),""))</f>
        <v/>
      </c>
      <c r="G377">
        <f>IF(G$2=0,"",IFERROR(TRIM(INDEX('Pegar estudiantes'!$A$1:$BZ$1001,376,G$2)&amp;""),""))</f>
        <v/>
      </c>
      <c r="H377">
        <f>IF(H$2=0,"",IFERROR(TRIM(INDEX('Pegar estudiantes'!$A$1:$BZ$1001,376,H$2)&amp;""),""))</f>
        <v/>
      </c>
      <c r="I377">
        <f>IF(I$2=0,"",IFERROR(TRIM(INDEX('Pegar estudiantes'!$A$1:$BZ$1001,376,I$2)&amp;""),""))</f>
        <v/>
      </c>
      <c r="J377">
        <f>IF(J$2=0,"",IFERROR(TRIM(INDEX('Pegar estudiantes'!$A$1:$BZ$1001,376,J$2)&amp;""),""))</f>
        <v/>
      </c>
      <c r="K377">
        <f>IF(K$2=0,"",IFERROR(TRIM(INDEX('Pegar estudiantes'!$A$1:$BZ$1001,376,K$2)&amp;""),""))</f>
        <v/>
      </c>
      <c r="L377" s="25">
        <f>IF(A377&lt;&gt;"",1,"")</f>
        <v/>
      </c>
      <c r="M377" s="25">
        <f>IF(L377=1,IF(ISNUMBER(FIND("#"&amp;MID(A377,1,1)&amp;"#","#0#1#2#3#4#5#6#7#8#9#")),IF(ISNUMBER(FIND("#"&amp;MID(A377,2,1)&amp;"#","#0#1#2#3#4#5#6#7#8#9#")),IF(AND(VALUE(LEFT(A377,2))&gt;=1,VALUE(LEFT(A377,2))&lt;=5),VALUE(LEFT(A377,2)),""),IF(AND(VALUE(LEFT(A377,1))&gt;=1,VALUE(LEFT(A377,1))&lt;=5),VALUE(LEFT(A377,1)),"")),""),"")</f>
        <v/>
      </c>
      <c r="N377" s="25">
        <f>IF(L377=1,IF(ISNUMBER(FIND("#"&amp;MID(H377,1,1)&amp;"#","#0#1#2#3#4#5#6#7#8#9#")),IF(ISNUMBER(FIND("#"&amp;MID(H377,2,1)&amp;"#","#0#1#2#3#4#5#6#7#8#9#")),IF(AND(VALUE(LEFT(H377,2))&gt;=1,VALUE(LEFT(H377,2))&lt;=5),VALUE(LEFT(H377,2)),""),IF(AND(VALUE(LEFT(H377,1))&gt;=1,VALUE(LEFT(H377,1))&lt;=5),VALUE(LEFT(H377,1)),"")),""),"")</f>
        <v/>
      </c>
      <c r="O377" s="25">
        <f>IF(AND(L377=1,B377&lt;&gt;""),SUBSTITUTE(SUBSTITUTE(SUBSTITUTE(SUBSTITUTE(SUBSTITUTE(SUBSTITUTE(SUBSTITUTE(SUBSTITUTE(SUBSTITUTE(SUBSTITUTE(SUBSTITUTE(SUBSTITUTE(LOWER(TRIM(B377)),"á","a"),"é","e"),"í","i"),"ó","o"),"ú","u"),"ü","u"),"ñ","n"),"à","a"),"è","e"),"ì","i"),"ò","o"),"ù","u"),"")</f>
        <v/>
      </c>
      <c r="P377" s="25">
        <f>IF(AND(L377=1,C377&lt;&gt;""),SUBSTITUTE(SUBSTITUTE(SUBSTITUTE(SUBSTITUTE(SUBSTITUTE(SUBSTITUTE(SUBSTITUTE(SUBSTITUTE(SUBSTITUTE(SUBSTITUTE(SUBSTITUTE(SUBSTITUTE(LOWER(TRIM(C377)),"á","a"),"é","e"),"í","i"),"ó","o"),"ú","u"),"ü","u"),"ñ","n"),"à","a"),"è","e"),"ì","i"),"ò","o"),"ù","u"),"")</f>
        <v/>
      </c>
      <c r="Q377" s="25">
        <f>IF(AND(L377=1,E377&lt;&gt;""),SUBSTITUTE(SUBSTITUTE(SUBSTITUTE(SUBSTITUTE(SUBSTITUTE(SUBSTITUTE(SUBSTITUTE(SUBSTITUTE(SUBSTITUTE(SUBSTITUTE(SUBSTITUTE(SUBSTITUTE(LOWER(TRIM(E377)),"á","a"),"é","e"),"í","i"),"ó","o"),"ú","u"),"ü","u"),"ñ","n"),"à","a"),"è","e"),"ì","i"),"ò","o"),"ù","u"),"")</f>
        <v/>
      </c>
      <c r="R377" s="25">
        <f>IF(AND(L377=1,I377&lt;&gt;""),SUBSTITUTE(SUBSTITUTE(SUBSTITUTE(SUBSTITUTE(SUBSTITUTE(SUBSTITUTE(SUBSTITUTE(SUBSTITUTE(SUBSTITUTE(SUBSTITUTE(SUBSTITUTE(SUBSTITUTE(LOWER(TRIM(I377)),"á","a"),"é","e"),"í","i"),"ó","o"),"ú","u"),"ü","u"),"ñ","n"),"à","a"),"è","e"),"ì","i"),"ò","o"),"ù","u"),"")</f>
        <v/>
      </c>
      <c r="S377" s="25">
        <f>IF(R377="","",IF(OR(R377="si",R377="tal vez"),1,0))</f>
        <v/>
      </c>
      <c r="T377" s="25">
        <f>IF(AND(L377=1,D377&lt;&gt;""),IF(IFERROR(COUNTIFS(D$3:D377,"="&amp;SUBSTITUTE(SUBSTITUTE(SUBSTITUTE(D377,"~","~~"),"*","~*"),"?","~?"),L$3:L377,1),0)=1,MAX(T$2:T376)+1,""),"")</f>
        <v/>
      </c>
      <c r="U377" s="25">
        <f>IF(T377="","",COUNTIFS($D$3:$D$1002,"="&amp;SUBSTITUTE(SUBSTITUTE(SUBSTITUTE(D377,"~","~~"),"*","~*"),"?","~?"),$L$3:$L$1002,1)*10000-T377)</f>
        <v/>
      </c>
      <c r="V377" s="25">
        <f>IF(AND(L377=1,J377&lt;&gt;""),IF(IFERROR(COUNTIFS(J$3:J377,"="&amp;SUBSTITUTE(SUBSTITUTE(SUBSTITUTE(J377,"~","~~"),"*","~*"),"?","~?"),L$3:L377,1),0)=1,MAX(V$2:V376)+1,""),"")</f>
        <v/>
      </c>
      <c r="W377" s="25">
        <f>IF(V377="","",COUNTIFS($J$3:$J$1002,"="&amp;SUBSTITUTE(SUBSTITUTE(SUBSTITUTE(J377,"~","~~"),"*","~*"),"?","~?"),$L$3:$L$1002,1)*10000-V377)</f>
        <v/>
      </c>
    </row>
    <row r="378">
      <c r="A378">
        <f>IF(A$2=0,"",IFERROR(TRIM(INDEX('Pegar estudiantes'!$A$1:$BZ$1001,377,A$2)&amp;""),""))</f>
        <v/>
      </c>
      <c r="B378">
        <f>IF(B$2=0,"",IFERROR(TRIM(INDEX('Pegar estudiantes'!$A$1:$BZ$1001,377,B$2)&amp;""),""))</f>
        <v/>
      </c>
      <c r="C378">
        <f>IF(C$2=0,"",IFERROR(TRIM(INDEX('Pegar estudiantes'!$A$1:$BZ$1001,377,C$2)&amp;""),""))</f>
        <v/>
      </c>
      <c r="D378">
        <f>IF(D$2=0,"",IFERROR(TRIM(INDEX('Pegar estudiantes'!$A$1:$BZ$1001,377,D$2)&amp;""),""))</f>
        <v/>
      </c>
      <c r="E378">
        <f>IF(E$2=0,"",IFERROR(TRIM(INDEX('Pegar estudiantes'!$A$1:$BZ$1001,377,E$2)&amp;""),""))</f>
        <v/>
      </c>
      <c r="F378">
        <f>IF(F$2=0,"",IFERROR(TRIM(INDEX('Pegar estudiantes'!$A$1:$BZ$1001,377,F$2)&amp;""),""))</f>
        <v/>
      </c>
      <c r="G378">
        <f>IF(G$2=0,"",IFERROR(TRIM(INDEX('Pegar estudiantes'!$A$1:$BZ$1001,377,G$2)&amp;""),""))</f>
        <v/>
      </c>
      <c r="H378">
        <f>IF(H$2=0,"",IFERROR(TRIM(INDEX('Pegar estudiantes'!$A$1:$BZ$1001,377,H$2)&amp;""),""))</f>
        <v/>
      </c>
      <c r="I378">
        <f>IF(I$2=0,"",IFERROR(TRIM(INDEX('Pegar estudiantes'!$A$1:$BZ$1001,377,I$2)&amp;""),""))</f>
        <v/>
      </c>
      <c r="J378">
        <f>IF(J$2=0,"",IFERROR(TRIM(INDEX('Pegar estudiantes'!$A$1:$BZ$1001,377,J$2)&amp;""),""))</f>
        <v/>
      </c>
      <c r="K378">
        <f>IF(K$2=0,"",IFERROR(TRIM(INDEX('Pegar estudiantes'!$A$1:$BZ$1001,377,K$2)&amp;""),""))</f>
        <v/>
      </c>
      <c r="L378" s="25">
        <f>IF(A378&lt;&gt;"",1,"")</f>
        <v/>
      </c>
      <c r="M378" s="25">
        <f>IF(L378=1,IF(ISNUMBER(FIND("#"&amp;MID(A378,1,1)&amp;"#","#0#1#2#3#4#5#6#7#8#9#")),IF(ISNUMBER(FIND("#"&amp;MID(A378,2,1)&amp;"#","#0#1#2#3#4#5#6#7#8#9#")),IF(AND(VALUE(LEFT(A378,2))&gt;=1,VALUE(LEFT(A378,2))&lt;=5),VALUE(LEFT(A378,2)),""),IF(AND(VALUE(LEFT(A378,1))&gt;=1,VALUE(LEFT(A378,1))&lt;=5),VALUE(LEFT(A378,1)),"")),""),"")</f>
        <v/>
      </c>
      <c r="N378" s="25">
        <f>IF(L378=1,IF(ISNUMBER(FIND("#"&amp;MID(H378,1,1)&amp;"#","#0#1#2#3#4#5#6#7#8#9#")),IF(ISNUMBER(FIND("#"&amp;MID(H378,2,1)&amp;"#","#0#1#2#3#4#5#6#7#8#9#")),IF(AND(VALUE(LEFT(H378,2))&gt;=1,VALUE(LEFT(H378,2))&lt;=5),VALUE(LEFT(H378,2)),""),IF(AND(VALUE(LEFT(H378,1))&gt;=1,VALUE(LEFT(H378,1))&lt;=5),VALUE(LEFT(H378,1)),"")),""),"")</f>
        <v/>
      </c>
      <c r="O378" s="25">
        <f>IF(AND(L378=1,B378&lt;&gt;""),SUBSTITUTE(SUBSTITUTE(SUBSTITUTE(SUBSTITUTE(SUBSTITUTE(SUBSTITUTE(SUBSTITUTE(SUBSTITUTE(SUBSTITUTE(SUBSTITUTE(SUBSTITUTE(SUBSTITUTE(LOWER(TRIM(B378)),"á","a"),"é","e"),"í","i"),"ó","o"),"ú","u"),"ü","u"),"ñ","n"),"à","a"),"è","e"),"ì","i"),"ò","o"),"ù","u"),"")</f>
        <v/>
      </c>
      <c r="P378" s="25">
        <f>IF(AND(L378=1,C378&lt;&gt;""),SUBSTITUTE(SUBSTITUTE(SUBSTITUTE(SUBSTITUTE(SUBSTITUTE(SUBSTITUTE(SUBSTITUTE(SUBSTITUTE(SUBSTITUTE(SUBSTITUTE(SUBSTITUTE(SUBSTITUTE(LOWER(TRIM(C378)),"á","a"),"é","e"),"í","i"),"ó","o"),"ú","u"),"ü","u"),"ñ","n"),"à","a"),"è","e"),"ì","i"),"ò","o"),"ù","u"),"")</f>
        <v/>
      </c>
      <c r="Q378" s="25">
        <f>IF(AND(L378=1,E378&lt;&gt;""),SUBSTITUTE(SUBSTITUTE(SUBSTITUTE(SUBSTITUTE(SUBSTITUTE(SUBSTITUTE(SUBSTITUTE(SUBSTITUTE(SUBSTITUTE(SUBSTITUTE(SUBSTITUTE(SUBSTITUTE(LOWER(TRIM(E378)),"á","a"),"é","e"),"í","i"),"ó","o"),"ú","u"),"ü","u"),"ñ","n"),"à","a"),"è","e"),"ì","i"),"ò","o"),"ù","u"),"")</f>
        <v/>
      </c>
      <c r="R378" s="25">
        <f>IF(AND(L378=1,I378&lt;&gt;""),SUBSTITUTE(SUBSTITUTE(SUBSTITUTE(SUBSTITUTE(SUBSTITUTE(SUBSTITUTE(SUBSTITUTE(SUBSTITUTE(SUBSTITUTE(SUBSTITUTE(SUBSTITUTE(SUBSTITUTE(LOWER(TRIM(I378)),"á","a"),"é","e"),"í","i"),"ó","o"),"ú","u"),"ü","u"),"ñ","n"),"à","a"),"è","e"),"ì","i"),"ò","o"),"ù","u"),"")</f>
        <v/>
      </c>
      <c r="S378" s="25">
        <f>IF(R378="","",IF(OR(R378="si",R378="tal vez"),1,0))</f>
        <v/>
      </c>
      <c r="T378" s="25">
        <f>IF(AND(L378=1,D378&lt;&gt;""),IF(IFERROR(COUNTIFS(D$3:D378,"="&amp;SUBSTITUTE(SUBSTITUTE(SUBSTITUTE(D378,"~","~~"),"*","~*"),"?","~?"),L$3:L378,1),0)=1,MAX(T$2:T377)+1,""),"")</f>
        <v/>
      </c>
      <c r="U378" s="25">
        <f>IF(T378="","",COUNTIFS($D$3:$D$1002,"="&amp;SUBSTITUTE(SUBSTITUTE(SUBSTITUTE(D378,"~","~~"),"*","~*"),"?","~?"),$L$3:$L$1002,1)*10000-T378)</f>
        <v/>
      </c>
      <c r="V378" s="25">
        <f>IF(AND(L378=1,J378&lt;&gt;""),IF(IFERROR(COUNTIFS(J$3:J378,"="&amp;SUBSTITUTE(SUBSTITUTE(SUBSTITUTE(J378,"~","~~"),"*","~*"),"?","~?"),L$3:L378,1),0)=1,MAX(V$2:V377)+1,""),"")</f>
        <v/>
      </c>
      <c r="W378" s="25">
        <f>IF(V378="","",COUNTIFS($J$3:$J$1002,"="&amp;SUBSTITUTE(SUBSTITUTE(SUBSTITUTE(J378,"~","~~"),"*","~*"),"?","~?"),$L$3:$L$1002,1)*10000-V378)</f>
        <v/>
      </c>
    </row>
    <row r="379">
      <c r="A379">
        <f>IF(A$2=0,"",IFERROR(TRIM(INDEX('Pegar estudiantes'!$A$1:$BZ$1001,378,A$2)&amp;""),""))</f>
        <v/>
      </c>
      <c r="B379">
        <f>IF(B$2=0,"",IFERROR(TRIM(INDEX('Pegar estudiantes'!$A$1:$BZ$1001,378,B$2)&amp;""),""))</f>
        <v/>
      </c>
      <c r="C379">
        <f>IF(C$2=0,"",IFERROR(TRIM(INDEX('Pegar estudiantes'!$A$1:$BZ$1001,378,C$2)&amp;""),""))</f>
        <v/>
      </c>
      <c r="D379">
        <f>IF(D$2=0,"",IFERROR(TRIM(INDEX('Pegar estudiantes'!$A$1:$BZ$1001,378,D$2)&amp;""),""))</f>
        <v/>
      </c>
      <c r="E379">
        <f>IF(E$2=0,"",IFERROR(TRIM(INDEX('Pegar estudiantes'!$A$1:$BZ$1001,378,E$2)&amp;""),""))</f>
        <v/>
      </c>
      <c r="F379">
        <f>IF(F$2=0,"",IFERROR(TRIM(INDEX('Pegar estudiantes'!$A$1:$BZ$1001,378,F$2)&amp;""),""))</f>
        <v/>
      </c>
      <c r="G379">
        <f>IF(G$2=0,"",IFERROR(TRIM(INDEX('Pegar estudiantes'!$A$1:$BZ$1001,378,G$2)&amp;""),""))</f>
        <v/>
      </c>
      <c r="H379">
        <f>IF(H$2=0,"",IFERROR(TRIM(INDEX('Pegar estudiantes'!$A$1:$BZ$1001,378,H$2)&amp;""),""))</f>
        <v/>
      </c>
      <c r="I379">
        <f>IF(I$2=0,"",IFERROR(TRIM(INDEX('Pegar estudiantes'!$A$1:$BZ$1001,378,I$2)&amp;""),""))</f>
        <v/>
      </c>
      <c r="J379">
        <f>IF(J$2=0,"",IFERROR(TRIM(INDEX('Pegar estudiantes'!$A$1:$BZ$1001,378,J$2)&amp;""),""))</f>
        <v/>
      </c>
      <c r="K379">
        <f>IF(K$2=0,"",IFERROR(TRIM(INDEX('Pegar estudiantes'!$A$1:$BZ$1001,378,K$2)&amp;""),""))</f>
        <v/>
      </c>
      <c r="L379" s="25">
        <f>IF(A379&lt;&gt;"",1,"")</f>
        <v/>
      </c>
      <c r="M379" s="25">
        <f>IF(L379=1,IF(ISNUMBER(FIND("#"&amp;MID(A379,1,1)&amp;"#","#0#1#2#3#4#5#6#7#8#9#")),IF(ISNUMBER(FIND("#"&amp;MID(A379,2,1)&amp;"#","#0#1#2#3#4#5#6#7#8#9#")),IF(AND(VALUE(LEFT(A379,2))&gt;=1,VALUE(LEFT(A379,2))&lt;=5),VALUE(LEFT(A379,2)),""),IF(AND(VALUE(LEFT(A379,1))&gt;=1,VALUE(LEFT(A379,1))&lt;=5),VALUE(LEFT(A379,1)),"")),""),"")</f>
        <v/>
      </c>
      <c r="N379" s="25">
        <f>IF(L379=1,IF(ISNUMBER(FIND("#"&amp;MID(H379,1,1)&amp;"#","#0#1#2#3#4#5#6#7#8#9#")),IF(ISNUMBER(FIND("#"&amp;MID(H379,2,1)&amp;"#","#0#1#2#3#4#5#6#7#8#9#")),IF(AND(VALUE(LEFT(H379,2))&gt;=1,VALUE(LEFT(H379,2))&lt;=5),VALUE(LEFT(H379,2)),""),IF(AND(VALUE(LEFT(H379,1))&gt;=1,VALUE(LEFT(H379,1))&lt;=5),VALUE(LEFT(H379,1)),"")),""),"")</f>
        <v/>
      </c>
      <c r="O379" s="25">
        <f>IF(AND(L379=1,B379&lt;&gt;""),SUBSTITUTE(SUBSTITUTE(SUBSTITUTE(SUBSTITUTE(SUBSTITUTE(SUBSTITUTE(SUBSTITUTE(SUBSTITUTE(SUBSTITUTE(SUBSTITUTE(SUBSTITUTE(SUBSTITUTE(LOWER(TRIM(B379)),"á","a"),"é","e"),"í","i"),"ó","o"),"ú","u"),"ü","u"),"ñ","n"),"à","a"),"è","e"),"ì","i"),"ò","o"),"ù","u"),"")</f>
        <v/>
      </c>
      <c r="P379" s="25">
        <f>IF(AND(L379=1,C379&lt;&gt;""),SUBSTITUTE(SUBSTITUTE(SUBSTITUTE(SUBSTITUTE(SUBSTITUTE(SUBSTITUTE(SUBSTITUTE(SUBSTITUTE(SUBSTITUTE(SUBSTITUTE(SUBSTITUTE(SUBSTITUTE(LOWER(TRIM(C379)),"á","a"),"é","e"),"í","i"),"ó","o"),"ú","u"),"ü","u"),"ñ","n"),"à","a"),"è","e"),"ì","i"),"ò","o"),"ù","u"),"")</f>
        <v/>
      </c>
      <c r="Q379" s="25">
        <f>IF(AND(L379=1,E379&lt;&gt;""),SUBSTITUTE(SUBSTITUTE(SUBSTITUTE(SUBSTITUTE(SUBSTITUTE(SUBSTITUTE(SUBSTITUTE(SUBSTITUTE(SUBSTITUTE(SUBSTITUTE(SUBSTITUTE(SUBSTITUTE(LOWER(TRIM(E379)),"á","a"),"é","e"),"í","i"),"ó","o"),"ú","u"),"ü","u"),"ñ","n"),"à","a"),"è","e"),"ì","i"),"ò","o"),"ù","u"),"")</f>
        <v/>
      </c>
      <c r="R379" s="25">
        <f>IF(AND(L379=1,I379&lt;&gt;""),SUBSTITUTE(SUBSTITUTE(SUBSTITUTE(SUBSTITUTE(SUBSTITUTE(SUBSTITUTE(SUBSTITUTE(SUBSTITUTE(SUBSTITUTE(SUBSTITUTE(SUBSTITUTE(SUBSTITUTE(LOWER(TRIM(I379)),"á","a"),"é","e"),"í","i"),"ó","o"),"ú","u"),"ü","u"),"ñ","n"),"à","a"),"è","e"),"ì","i"),"ò","o"),"ù","u"),"")</f>
        <v/>
      </c>
      <c r="S379" s="25">
        <f>IF(R379="","",IF(OR(R379="si",R379="tal vez"),1,0))</f>
        <v/>
      </c>
      <c r="T379" s="25">
        <f>IF(AND(L379=1,D379&lt;&gt;""),IF(IFERROR(COUNTIFS(D$3:D379,"="&amp;SUBSTITUTE(SUBSTITUTE(SUBSTITUTE(D379,"~","~~"),"*","~*"),"?","~?"),L$3:L379,1),0)=1,MAX(T$2:T378)+1,""),"")</f>
        <v/>
      </c>
      <c r="U379" s="25">
        <f>IF(T379="","",COUNTIFS($D$3:$D$1002,"="&amp;SUBSTITUTE(SUBSTITUTE(SUBSTITUTE(D379,"~","~~"),"*","~*"),"?","~?"),$L$3:$L$1002,1)*10000-T379)</f>
        <v/>
      </c>
      <c r="V379" s="25">
        <f>IF(AND(L379=1,J379&lt;&gt;""),IF(IFERROR(COUNTIFS(J$3:J379,"="&amp;SUBSTITUTE(SUBSTITUTE(SUBSTITUTE(J379,"~","~~"),"*","~*"),"?","~?"),L$3:L379,1),0)=1,MAX(V$2:V378)+1,""),"")</f>
        <v/>
      </c>
      <c r="W379" s="25">
        <f>IF(V379="","",COUNTIFS($J$3:$J$1002,"="&amp;SUBSTITUTE(SUBSTITUTE(SUBSTITUTE(J379,"~","~~"),"*","~*"),"?","~?"),$L$3:$L$1002,1)*10000-V379)</f>
        <v/>
      </c>
    </row>
    <row r="380">
      <c r="A380">
        <f>IF(A$2=0,"",IFERROR(TRIM(INDEX('Pegar estudiantes'!$A$1:$BZ$1001,379,A$2)&amp;""),""))</f>
        <v/>
      </c>
      <c r="B380">
        <f>IF(B$2=0,"",IFERROR(TRIM(INDEX('Pegar estudiantes'!$A$1:$BZ$1001,379,B$2)&amp;""),""))</f>
        <v/>
      </c>
      <c r="C380">
        <f>IF(C$2=0,"",IFERROR(TRIM(INDEX('Pegar estudiantes'!$A$1:$BZ$1001,379,C$2)&amp;""),""))</f>
        <v/>
      </c>
      <c r="D380">
        <f>IF(D$2=0,"",IFERROR(TRIM(INDEX('Pegar estudiantes'!$A$1:$BZ$1001,379,D$2)&amp;""),""))</f>
        <v/>
      </c>
      <c r="E380">
        <f>IF(E$2=0,"",IFERROR(TRIM(INDEX('Pegar estudiantes'!$A$1:$BZ$1001,379,E$2)&amp;""),""))</f>
        <v/>
      </c>
      <c r="F380">
        <f>IF(F$2=0,"",IFERROR(TRIM(INDEX('Pegar estudiantes'!$A$1:$BZ$1001,379,F$2)&amp;""),""))</f>
        <v/>
      </c>
      <c r="G380">
        <f>IF(G$2=0,"",IFERROR(TRIM(INDEX('Pegar estudiantes'!$A$1:$BZ$1001,379,G$2)&amp;""),""))</f>
        <v/>
      </c>
      <c r="H380">
        <f>IF(H$2=0,"",IFERROR(TRIM(INDEX('Pegar estudiantes'!$A$1:$BZ$1001,379,H$2)&amp;""),""))</f>
        <v/>
      </c>
      <c r="I380">
        <f>IF(I$2=0,"",IFERROR(TRIM(INDEX('Pegar estudiantes'!$A$1:$BZ$1001,379,I$2)&amp;""),""))</f>
        <v/>
      </c>
      <c r="J380">
        <f>IF(J$2=0,"",IFERROR(TRIM(INDEX('Pegar estudiantes'!$A$1:$BZ$1001,379,J$2)&amp;""),""))</f>
        <v/>
      </c>
      <c r="K380">
        <f>IF(K$2=0,"",IFERROR(TRIM(INDEX('Pegar estudiantes'!$A$1:$BZ$1001,379,K$2)&amp;""),""))</f>
        <v/>
      </c>
      <c r="L380" s="25">
        <f>IF(A380&lt;&gt;"",1,"")</f>
        <v/>
      </c>
      <c r="M380" s="25">
        <f>IF(L380=1,IF(ISNUMBER(FIND("#"&amp;MID(A380,1,1)&amp;"#","#0#1#2#3#4#5#6#7#8#9#")),IF(ISNUMBER(FIND("#"&amp;MID(A380,2,1)&amp;"#","#0#1#2#3#4#5#6#7#8#9#")),IF(AND(VALUE(LEFT(A380,2))&gt;=1,VALUE(LEFT(A380,2))&lt;=5),VALUE(LEFT(A380,2)),""),IF(AND(VALUE(LEFT(A380,1))&gt;=1,VALUE(LEFT(A380,1))&lt;=5),VALUE(LEFT(A380,1)),"")),""),"")</f>
        <v/>
      </c>
      <c r="N380" s="25">
        <f>IF(L380=1,IF(ISNUMBER(FIND("#"&amp;MID(H380,1,1)&amp;"#","#0#1#2#3#4#5#6#7#8#9#")),IF(ISNUMBER(FIND("#"&amp;MID(H380,2,1)&amp;"#","#0#1#2#3#4#5#6#7#8#9#")),IF(AND(VALUE(LEFT(H380,2))&gt;=1,VALUE(LEFT(H380,2))&lt;=5),VALUE(LEFT(H380,2)),""),IF(AND(VALUE(LEFT(H380,1))&gt;=1,VALUE(LEFT(H380,1))&lt;=5),VALUE(LEFT(H380,1)),"")),""),"")</f>
        <v/>
      </c>
      <c r="O380" s="25">
        <f>IF(AND(L380=1,B380&lt;&gt;""),SUBSTITUTE(SUBSTITUTE(SUBSTITUTE(SUBSTITUTE(SUBSTITUTE(SUBSTITUTE(SUBSTITUTE(SUBSTITUTE(SUBSTITUTE(SUBSTITUTE(SUBSTITUTE(SUBSTITUTE(LOWER(TRIM(B380)),"á","a"),"é","e"),"í","i"),"ó","o"),"ú","u"),"ü","u"),"ñ","n"),"à","a"),"è","e"),"ì","i"),"ò","o"),"ù","u"),"")</f>
        <v/>
      </c>
      <c r="P380" s="25">
        <f>IF(AND(L380=1,C380&lt;&gt;""),SUBSTITUTE(SUBSTITUTE(SUBSTITUTE(SUBSTITUTE(SUBSTITUTE(SUBSTITUTE(SUBSTITUTE(SUBSTITUTE(SUBSTITUTE(SUBSTITUTE(SUBSTITUTE(SUBSTITUTE(LOWER(TRIM(C380)),"á","a"),"é","e"),"í","i"),"ó","o"),"ú","u"),"ü","u"),"ñ","n"),"à","a"),"è","e"),"ì","i"),"ò","o"),"ù","u"),"")</f>
        <v/>
      </c>
      <c r="Q380" s="25">
        <f>IF(AND(L380=1,E380&lt;&gt;""),SUBSTITUTE(SUBSTITUTE(SUBSTITUTE(SUBSTITUTE(SUBSTITUTE(SUBSTITUTE(SUBSTITUTE(SUBSTITUTE(SUBSTITUTE(SUBSTITUTE(SUBSTITUTE(SUBSTITUTE(LOWER(TRIM(E380)),"á","a"),"é","e"),"í","i"),"ó","o"),"ú","u"),"ü","u"),"ñ","n"),"à","a"),"è","e"),"ì","i"),"ò","o"),"ù","u"),"")</f>
        <v/>
      </c>
      <c r="R380" s="25">
        <f>IF(AND(L380=1,I380&lt;&gt;""),SUBSTITUTE(SUBSTITUTE(SUBSTITUTE(SUBSTITUTE(SUBSTITUTE(SUBSTITUTE(SUBSTITUTE(SUBSTITUTE(SUBSTITUTE(SUBSTITUTE(SUBSTITUTE(SUBSTITUTE(LOWER(TRIM(I380)),"á","a"),"é","e"),"í","i"),"ó","o"),"ú","u"),"ü","u"),"ñ","n"),"à","a"),"è","e"),"ì","i"),"ò","o"),"ù","u"),"")</f>
        <v/>
      </c>
      <c r="S380" s="25">
        <f>IF(R380="","",IF(OR(R380="si",R380="tal vez"),1,0))</f>
        <v/>
      </c>
      <c r="T380" s="25">
        <f>IF(AND(L380=1,D380&lt;&gt;""),IF(IFERROR(COUNTIFS(D$3:D380,"="&amp;SUBSTITUTE(SUBSTITUTE(SUBSTITUTE(D380,"~","~~"),"*","~*"),"?","~?"),L$3:L380,1),0)=1,MAX(T$2:T379)+1,""),"")</f>
        <v/>
      </c>
      <c r="U380" s="25">
        <f>IF(T380="","",COUNTIFS($D$3:$D$1002,"="&amp;SUBSTITUTE(SUBSTITUTE(SUBSTITUTE(D380,"~","~~"),"*","~*"),"?","~?"),$L$3:$L$1002,1)*10000-T380)</f>
        <v/>
      </c>
      <c r="V380" s="25">
        <f>IF(AND(L380=1,J380&lt;&gt;""),IF(IFERROR(COUNTIFS(J$3:J380,"="&amp;SUBSTITUTE(SUBSTITUTE(SUBSTITUTE(J380,"~","~~"),"*","~*"),"?","~?"),L$3:L380,1),0)=1,MAX(V$2:V379)+1,""),"")</f>
        <v/>
      </c>
      <c r="W380" s="25">
        <f>IF(V380="","",COUNTIFS($J$3:$J$1002,"="&amp;SUBSTITUTE(SUBSTITUTE(SUBSTITUTE(J380,"~","~~"),"*","~*"),"?","~?"),$L$3:$L$1002,1)*10000-V380)</f>
        <v/>
      </c>
    </row>
    <row r="381">
      <c r="A381">
        <f>IF(A$2=0,"",IFERROR(TRIM(INDEX('Pegar estudiantes'!$A$1:$BZ$1001,380,A$2)&amp;""),""))</f>
        <v/>
      </c>
      <c r="B381">
        <f>IF(B$2=0,"",IFERROR(TRIM(INDEX('Pegar estudiantes'!$A$1:$BZ$1001,380,B$2)&amp;""),""))</f>
        <v/>
      </c>
      <c r="C381">
        <f>IF(C$2=0,"",IFERROR(TRIM(INDEX('Pegar estudiantes'!$A$1:$BZ$1001,380,C$2)&amp;""),""))</f>
        <v/>
      </c>
      <c r="D381">
        <f>IF(D$2=0,"",IFERROR(TRIM(INDEX('Pegar estudiantes'!$A$1:$BZ$1001,380,D$2)&amp;""),""))</f>
        <v/>
      </c>
      <c r="E381">
        <f>IF(E$2=0,"",IFERROR(TRIM(INDEX('Pegar estudiantes'!$A$1:$BZ$1001,380,E$2)&amp;""),""))</f>
        <v/>
      </c>
      <c r="F381">
        <f>IF(F$2=0,"",IFERROR(TRIM(INDEX('Pegar estudiantes'!$A$1:$BZ$1001,380,F$2)&amp;""),""))</f>
        <v/>
      </c>
      <c r="G381">
        <f>IF(G$2=0,"",IFERROR(TRIM(INDEX('Pegar estudiantes'!$A$1:$BZ$1001,380,G$2)&amp;""),""))</f>
        <v/>
      </c>
      <c r="H381">
        <f>IF(H$2=0,"",IFERROR(TRIM(INDEX('Pegar estudiantes'!$A$1:$BZ$1001,380,H$2)&amp;""),""))</f>
        <v/>
      </c>
      <c r="I381">
        <f>IF(I$2=0,"",IFERROR(TRIM(INDEX('Pegar estudiantes'!$A$1:$BZ$1001,380,I$2)&amp;""),""))</f>
        <v/>
      </c>
      <c r="J381">
        <f>IF(J$2=0,"",IFERROR(TRIM(INDEX('Pegar estudiantes'!$A$1:$BZ$1001,380,J$2)&amp;""),""))</f>
        <v/>
      </c>
      <c r="K381">
        <f>IF(K$2=0,"",IFERROR(TRIM(INDEX('Pegar estudiantes'!$A$1:$BZ$1001,380,K$2)&amp;""),""))</f>
        <v/>
      </c>
      <c r="L381" s="25">
        <f>IF(A381&lt;&gt;"",1,"")</f>
        <v/>
      </c>
      <c r="M381" s="25">
        <f>IF(L381=1,IF(ISNUMBER(FIND("#"&amp;MID(A381,1,1)&amp;"#","#0#1#2#3#4#5#6#7#8#9#")),IF(ISNUMBER(FIND("#"&amp;MID(A381,2,1)&amp;"#","#0#1#2#3#4#5#6#7#8#9#")),IF(AND(VALUE(LEFT(A381,2))&gt;=1,VALUE(LEFT(A381,2))&lt;=5),VALUE(LEFT(A381,2)),""),IF(AND(VALUE(LEFT(A381,1))&gt;=1,VALUE(LEFT(A381,1))&lt;=5),VALUE(LEFT(A381,1)),"")),""),"")</f>
        <v/>
      </c>
      <c r="N381" s="25">
        <f>IF(L381=1,IF(ISNUMBER(FIND("#"&amp;MID(H381,1,1)&amp;"#","#0#1#2#3#4#5#6#7#8#9#")),IF(ISNUMBER(FIND("#"&amp;MID(H381,2,1)&amp;"#","#0#1#2#3#4#5#6#7#8#9#")),IF(AND(VALUE(LEFT(H381,2))&gt;=1,VALUE(LEFT(H381,2))&lt;=5),VALUE(LEFT(H381,2)),""),IF(AND(VALUE(LEFT(H381,1))&gt;=1,VALUE(LEFT(H381,1))&lt;=5),VALUE(LEFT(H381,1)),"")),""),"")</f>
        <v/>
      </c>
      <c r="O381" s="25">
        <f>IF(AND(L381=1,B381&lt;&gt;""),SUBSTITUTE(SUBSTITUTE(SUBSTITUTE(SUBSTITUTE(SUBSTITUTE(SUBSTITUTE(SUBSTITUTE(SUBSTITUTE(SUBSTITUTE(SUBSTITUTE(SUBSTITUTE(SUBSTITUTE(LOWER(TRIM(B381)),"á","a"),"é","e"),"í","i"),"ó","o"),"ú","u"),"ü","u"),"ñ","n"),"à","a"),"è","e"),"ì","i"),"ò","o"),"ù","u"),"")</f>
        <v/>
      </c>
      <c r="P381" s="25">
        <f>IF(AND(L381=1,C381&lt;&gt;""),SUBSTITUTE(SUBSTITUTE(SUBSTITUTE(SUBSTITUTE(SUBSTITUTE(SUBSTITUTE(SUBSTITUTE(SUBSTITUTE(SUBSTITUTE(SUBSTITUTE(SUBSTITUTE(SUBSTITUTE(LOWER(TRIM(C381)),"á","a"),"é","e"),"í","i"),"ó","o"),"ú","u"),"ü","u"),"ñ","n"),"à","a"),"è","e"),"ì","i"),"ò","o"),"ù","u"),"")</f>
        <v/>
      </c>
      <c r="Q381" s="25">
        <f>IF(AND(L381=1,E381&lt;&gt;""),SUBSTITUTE(SUBSTITUTE(SUBSTITUTE(SUBSTITUTE(SUBSTITUTE(SUBSTITUTE(SUBSTITUTE(SUBSTITUTE(SUBSTITUTE(SUBSTITUTE(SUBSTITUTE(SUBSTITUTE(LOWER(TRIM(E381)),"á","a"),"é","e"),"í","i"),"ó","o"),"ú","u"),"ü","u"),"ñ","n"),"à","a"),"è","e"),"ì","i"),"ò","o"),"ù","u"),"")</f>
        <v/>
      </c>
      <c r="R381" s="25">
        <f>IF(AND(L381=1,I381&lt;&gt;""),SUBSTITUTE(SUBSTITUTE(SUBSTITUTE(SUBSTITUTE(SUBSTITUTE(SUBSTITUTE(SUBSTITUTE(SUBSTITUTE(SUBSTITUTE(SUBSTITUTE(SUBSTITUTE(SUBSTITUTE(LOWER(TRIM(I381)),"á","a"),"é","e"),"í","i"),"ó","o"),"ú","u"),"ü","u"),"ñ","n"),"à","a"),"è","e"),"ì","i"),"ò","o"),"ù","u"),"")</f>
        <v/>
      </c>
      <c r="S381" s="25">
        <f>IF(R381="","",IF(OR(R381="si",R381="tal vez"),1,0))</f>
        <v/>
      </c>
      <c r="T381" s="25">
        <f>IF(AND(L381=1,D381&lt;&gt;""),IF(IFERROR(COUNTIFS(D$3:D381,"="&amp;SUBSTITUTE(SUBSTITUTE(SUBSTITUTE(D381,"~","~~"),"*","~*"),"?","~?"),L$3:L381,1),0)=1,MAX(T$2:T380)+1,""),"")</f>
        <v/>
      </c>
      <c r="U381" s="25">
        <f>IF(T381="","",COUNTIFS($D$3:$D$1002,"="&amp;SUBSTITUTE(SUBSTITUTE(SUBSTITUTE(D381,"~","~~"),"*","~*"),"?","~?"),$L$3:$L$1002,1)*10000-T381)</f>
        <v/>
      </c>
      <c r="V381" s="25">
        <f>IF(AND(L381=1,J381&lt;&gt;""),IF(IFERROR(COUNTIFS(J$3:J381,"="&amp;SUBSTITUTE(SUBSTITUTE(SUBSTITUTE(J381,"~","~~"),"*","~*"),"?","~?"),L$3:L381,1),0)=1,MAX(V$2:V380)+1,""),"")</f>
        <v/>
      </c>
      <c r="W381" s="25">
        <f>IF(V381="","",COUNTIFS($J$3:$J$1002,"="&amp;SUBSTITUTE(SUBSTITUTE(SUBSTITUTE(J381,"~","~~"),"*","~*"),"?","~?"),$L$3:$L$1002,1)*10000-V381)</f>
        <v/>
      </c>
    </row>
    <row r="382">
      <c r="A382">
        <f>IF(A$2=0,"",IFERROR(TRIM(INDEX('Pegar estudiantes'!$A$1:$BZ$1001,381,A$2)&amp;""),""))</f>
        <v/>
      </c>
      <c r="B382">
        <f>IF(B$2=0,"",IFERROR(TRIM(INDEX('Pegar estudiantes'!$A$1:$BZ$1001,381,B$2)&amp;""),""))</f>
        <v/>
      </c>
      <c r="C382">
        <f>IF(C$2=0,"",IFERROR(TRIM(INDEX('Pegar estudiantes'!$A$1:$BZ$1001,381,C$2)&amp;""),""))</f>
        <v/>
      </c>
      <c r="D382">
        <f>IF(D$2=0,"",IFERROR(TRIM(INDEX('Pegar estudiantes'!$A$1:$BZ$1001,381,D$2)&amp;""),""))</f>
        <v/>
      </c>
      <c r="E382">
        <f>IF(E$2=0,"",IFERROR(TRIM(INDEX('Pegar estudiantes'!$A$1:$BZ$1001,381,E$2)&amp;""),""))</f>
        <v/>
      </c>
      <c r="F382">
        <f>IF(F$2=0,"",IFERROR(TRIM(INDEX('Pegar estudiantes'!$A$1:$BZ$1001,381,F$2)&amp;""),""))</f>
        <v/>
      </c>
      <c r="G382">
        <f>IF(G$2=0,"",IFERROR(TRIM(INDEX('Pegar estudiantes'!$A$1:$BZ$1001,381,G$2)&amp;""),""))</f>
        <v/>
      </c>
      <c r="H382">
        <f>IF(H$2=0,"",IFERROR(TRIM(INDEX('Pegar estudiantes'!$A$1:$BZ$1001,381,H$2)&amp;""),""))</f>
        <v/>
      </c>
      <c r="I382">
        <f>IF(I$2=0,"",IFERROR(TRIM(INDEX('Pegar estudiantes'!$A$1:$BZ$1001,381,I$2)&amp;""),""))</f>
        <v/>
      </c>
      <c r="J382">
        <f>IF(J$2=0,"",IFERROR(TRIM(INDEX('Pegar estudiantes'!$A$1:$BZ$1001,381,J$2)&amp;""),""))</f>
        <v/>
      </c>
      <c r="K382">
        <f>IF(K$2=0,"",IFERROR(TRIM(INDEX('Pegar estudiantes'!$A$1:$BZ$1001,381,K$2)&amp;""),""))</f>
        <v/>
      </c>
      <c r="L382" s="25">
        <f>IF(A382&lt;&gt;"",1,"")</f>
        <v/>
      </c>
      <c r="M382" s="25">
        <f>IF(L382=1,IF(ISNUMBER(FIND("#"&amp;MID(A382,1,1)&amp;"#","#0#1#2#3#4#5#6#7#8#9#")),IF(ISNUMBER(FIND("#"&amp;MID(A382,2,1)&amp;"#","#0#1#2#3#4#5#6#7#8#9#")),IF(AND(VALUE(LEFT(A382,2))&gt;=1,VALUE(LEFT(A382,2))&lt;=5),VALUE(LEFT(A382,2)),""),IF(AND(VALUE(LEFT(A382,1))&gt;=1,VALUE(LEFT(A382,1))&lt;=5),VALUE(LEFT(A382,1)),"")),""),"")</f>
        <v/>
      </c>
      <c r="N382" s="25">
        <f>IF(L382=1,IF(ISNUMBER(FIND("#"&amp;MID(H382,1,1)&amp;"#","#0#1#2#3#4#5#6#7#8#9#")),IF(ISNUMBER(FIND("#"&amp;MID(H382,2,1)&amp;"#","#0#1#2#3#4#5#6#7#8#9#")),IF(AND(VALUE(LEFT(H382,2))&gt;=1,VALUE(LEFT(H382,2))&lt;=5),VALUE(LEFT(H382,2)),""),IF(AND(VALUE(LEFT(H382,1))&gt;=1,VALUE(LEFT(H382,1))&lt;=5),VALUE(LEFT(H382,1)),"")),""),"")</f>
        <v/>
      </c>
      <c r="O382" s="25">
        <f>IF(AND(L382=1,B382&lt;&gt;""),SUBSTITUTE(SUBSTITUTE(SUBSTITUTE(SUBSTITUTE(SUBSTITUTE(SUBSTITUTE(SUBSTITUTE(SUBSTITUTE(SUBSTITUTE(SUBSTITUTE(SUBSTITUTE(SUBSTITUTE(LOWER(TRIM(B382)),"á","a"),"é","e"),"í","i"),"ó","o"),"ú","u"),"ü","u"),"ñ","n"),"à","a"),"è","e"),"ì","i"),"ò","o"),"ù","u"),"")</f>
        <v/>
      </c>
      <c r="P382" s="25">
        <f>IF(AND(L382=1,C382&lt;&gt;""),SUBSTITUTE(SUBSTITUTE(SUBSTITUTE(SUBSTITUTE(SUBSTITUTE(SUBSTITUTE(SUBSTITUTE(SUBSTITUTE(SUBSTITUTE(SUBSTITUTE(SUBSTITUTE(SUBSTITUTE(LOWER(TRIM(C382)),"á","a"),"é","e"),"í","i"),"ó","o"),"ú","u"),"ü","u"),"ñ","n"),"à","a"),"è","e"),"ì","i"),"ò","o"),"ù","u"),"")</f>
        <v/>
      </c>
      <c r="Q382" s="25">
        <f>IF(AND(L382=1,E382&lt;&gt;""),SUBSTITUTE(SUBSTITUTE(SUBSTITUTE(SUBSTITUTE(SUBSTITUTE(SUBSTITUTE(SUBSTITUTE(SUBSTITUTE(SUBSTITUTE(SUBSTITUTE(SUBSTITUTE(SUBSTITUTE(LOWER(TRIM(E382)),"á","a"),"é","e"),"í","i"),"ó","o"),"ú","u"),"ü","u"),"ñ","n"),"à","a"),"è","e"),"ì","i"),"ò","o"),"ù","u"),"")</f>
        <v/>
      </c>
      <c r="R382" s="25">
        <f>IF(AND(L382=1,I382&lt;&gt;""),SUBSTITUTE(SUBSTITUTE(SUBSTITUTE(SUBSTITUTE(SUBSTITUTE(SUBSTITUTE(SUBSTITUTE(SUBSTITUTE(SUBSTITUTE(SUBSTITUTE(SUBSTITUTE(SUBSTITUTE(LOWER(TRIM(I382)),"á","a"),"é","e"),"í","i"),"ó","o"),"ú","u"),"ü","u"),"ñ","n"),"à","a"),"è","e"),"ì","i"),"ò","o"),"ù","u"),"")</f>
        <v/>
      </c>
      <c r="S382" s="25">
        <f>IF(R382="","",IF(OR(R382="si",R382="tal vez"),1,0))</f>
        <v/>
      </c>
      <c r="T382" s="25">
        <f>IF(AND(L382=1,D382&lt;&gt;""),IF(IFERROR(COUNTIFS(D$3:D382,"="&amp;SUBSTITUTE(SUBSTITUTE(SUBSTITUTE(D382,"~","~~"),"*","~*"),"?","~?"),L$3:L382,1),0)=1,MAX(T$2:T381)+1,""),"")</f>
        <v/>
      </c>
      <c r="U382" s="25">
        <f>IF(T382="","",COUNTIFS($D$3:$D$1002,"="&amp;SUBSTITUTE(SUBSTITUTE(SUBSTITUTE(D382,"~","~~"),"*","~*"),"?","~?"),$L$3:$L$1002,1)*10000-T382)</f>
        <v/>
      </c>
      <c r="V382" s="25">
        <f>IF(AND(L382=1,J382&lt;&gt;""),IF(IFERROR(COUNTIFS(J$3:J382,"="&amp;SUBSTITUTE(SUBSTITUTE(SUBSTITUTE(J382,"~","~~"),"*","~*"),"?","~?"),L$3:L382,1),0)=1,MAX(V$2:V381)+1,""),"")</f>
        <v/>
      </c>
      <c r="W382" s="25">
        <f>IF(V382="","",COUNTIFS($J$3:$J$1002,"="&amp;SUBSTITUTE(SUBSTITUTE(SUBSTITUTE(J382,"~","~~"),"*","~*"),"?","~?"),$L$3:$L$1002,1)*10000-V382)</f>
        <v/>
      </c>
    </row>
    <row r="383">
      <c r="A383">
        <f>IF(A$2=0,"",IFERROR(TRIM(INDEX('Pegar estudiantes'!$A$1:$BZ$1001,382,A$2)&amp;""),""))</f>
        <v/>
      </c>
      <c r="B383">
        <f>IF(B$2=0,"",IFERROR(TRIM(INDEX('Pegar estudiantes'!$A$1:$BZ$1001,382,B$2)&amp;""),""))</f>
        <v/>
      </c>
      <c r="C383">
        <f>IF(C$2=0,"",IFERROR(TRIM(INDEX('Pegar estudiantes'!$A$1:$BZ$1001,382,C$2)&amp;""),""))</f>
        <v/>
      </c>
      <c r="D383">
        <f>IF(D$2=0,"",IFERROR(TRIM(INDEX('Pegar estudiantes'!$A$1:$BZ$1001,382,D$2)&amp;""),""))</f>
        <v/>
      </c>
      <c r="E383">
        <f>IF(E$2=0,"",IFERROR(TRIM(INDEX('Pegar estudiantes'!$A$1:$BZ$1001,382,E$2)&amp;""),""))</f>
        <v/>
      </c>
      <c r="F383">
        <f>IF(F$2=0,"",IFERROR(TRIM(INDEX('Pegar estudiantes'!$A$1:$BZ$1001,382,F$2)&amp;""),""))</f>
        <v/>
      </c>
      <c r="G383">
        <f>IF(G$2=0,"",IFERROR(TRIM(INDEX('Pegar estudiantes'!$A$1:$BZ$1001,382,G$2)&amp;""),""))</f>
        <v/>
      </c>
      <c r="H383">
        <f>IF(H$2=0,"",IFERROR(TRIM(INDEX('Pegar estudiantes'!$A$1:$BZ$1001,382,H$2)&amp;""),""))</f>
        <v/>
      </c>
      <c r="I383">
        <f>IF(I$2=0,"",IFERROR(TRIM(INDEX('Pegar estudiantes'!$A$1:$BZ$1001,382,I$2)&amp;""),""))</f>
        <v/>
      </c>
      <c r="J383">
        <f>IF(J$2=0,"",IFERROR(TRIM(INDEX('Pegar estudiantes'!$A$1:$BZ$1001,382,J$2)&amp;""),""))</f>
        <v/>
      </c>
      <c r="K383">
        <f>IF(K$2=0,"",IFERROR(TRIM(INDEX('Pegar estudiantes'!$A$1:$BZ$1001,382,K$2)&amp;""),""))</f>
        <v/>
      </c>
      <c r="L383" s="25">
        <f>IF(A383&lt;&gt;"",1,"")</f>
        <v/>
      </c>
      <c r="M383" s="25">
        <f>IF(L383=1,IF(ISNUMBER(FIND("#"&amp;MID(A383,1,1)&amp;"#","#0#1#2#3#4#5#6#7#8#9#")),IF(ISNUMBER(FIND("#"&amp;MID(A383,2,1)&amp;"#","#0#1#2#3#4#5#6#7#8#9#")),IF(AND(VALUE(LEFT(A383,2))&gt;=1,VALUE(LEFT(A383,2))&lt;=5),VALUE(LEFT(A383,2)),""),IF(AND(VALUE(LEFT(A383,1))&gt;=1,VALUE(LEFT(A383,1))&lt;=5),VALUE(LEFT(A383,1)),"")),""),"")</f>
        <v/>
      </c>
      <c r="N383" s="25">
        <f>IF(L383=1,IF(ISNUMBER(FIND("#"&amp;MID(H383,1,1)&amp;"#","#0#1#2#3#4#5#6#7#8#9#")),IF(ISNUMBER(FIND("#"&amp;MID(H383,2,1)&amp;"#","#0#1#2#3#4#5#6#7#8#9#")),IF(AND(VALUE(LEFT(H383,2))&gt;=1,VALUE(LEFT(H383,2))&lt;=5),VALUE(LEFT(H383,2)),""),IF(AND(VALUE(LEFT(H383,1))&gt;=1,VALUE(LEFT(H383,1))&lt;=5),VALUE(LEFT(H383,1)),"")),""),"")</f>
        <v/>
      </c>
      <c r="O383" s="25">
        <f>IF(AND(L383=1,B383&lt;&gt;""),SUBSTITUTE(SUBSTITUTE(SUBSTITUTE(SUBSTITUTE(SUBSTITUTE(SUBSTITUTE(SUBSTITUTE(SUBSTITUTE(SUBSTITUTE(SUBSTITUTE(SUBSTITUTE(SUBSTITUTE(LOWER(TRIM(B383)),"á","a"),"é","e"),"í","i"),"ó","o"),"ú","u"),"ü","u"),"ñ","n"),"à","a"),"è","e"),"ì","i"),"ò","o"),"ù","u"),"")</f>
        <v/>
      </c>
      <c r="P383" s="25">
        <f>IF(AND(L383=1,C383&lt;&gt;""),SUBSTITUTE(SUBSTITUTE(SUBSTITUTE(SUBSTITUTE(SUBSTITUTE(SUBSTITUTE(SUBSTITUTE(SUBSTITUTE(SUBSTITUTE(SUBSTITUTE(SUBSTITUTE(SUBSTITUTE(LOWER(TRIM(C383)),"á","a"),"é","e"),"í","i"),"ó","o"),"ú","u"),"ü","u"),"ñ","n"),"à","a"),"è","e"),"ì","i"),"ò","o"),"ù","u"),"")</f>
        <v/>
      </c>
      <c r="Q383" s="25">
        <f>IF(AND(L383=1,E383&lt;&gt;""),SUBSTITUTE(SUBSTITUTE(SUBSTITUTE(SUBSTITUTE(SUBSTITUTE(SUBSTITUTE(SUBSTITUTE(SUBSTITUTE(SUBSTITUTE(SUBSTITUTE(SUBSTITUTE(SUBSTITUTE(LOWER(TRIM(E383)),"á","a"),"é","e"),"í","i"),"ó","o"),"ú","u"),"ü","u"),"ñ","n"),"à","a"),"è","e"),"ì","i"),"ò","o"),"ù","u"),"")</f>
        <v/>
      </c>
      <c r="R383" s="25">
        <f>IF(AND(L383=1,I383&lt;&gt;""),SUBSTITUTE(SUBSTITUTE(SUBSTITUTE(SUBSTITUTE(SUBSTITUTE(SUBSTITUTE(SUBSTITUTE(SUBSTITUTE(SUBSTITUTE(SUBSTITUTE(SUBSTITUTE(SUBSTITUTE(LOWER(TRIM(I383)),"á","a"),"é","e"),"í","i"),"ó","o"),"ú","u"),"ü","u"),"ñ","n"),"à","a"),"è","e"),"ì","i"),"ò","o"),"ù","u"),"")</f>
        <v/>
      </c>
      <c r="S383" s="25">
        <f>IF(R383="","",IF(OR(R383="si",R383="tal vez"),1,0))</f>
        <v/>
      </c>
      <c r="T383" s="25">
        <f>IF(AND(L383=1,D383&lt;&gt;""),IF(IFERROR(COUNTIFS(D$3:D383,"="&amp;SUBSTITUTE(SUBSTITUTE(SUBSTITUTE(D383,"~","~~"),"*","~*"),"?","~?"),L$3:L383,1),0)=1,MAX(T$2:T382)+1,""),"")</f>
        <v/>
      </c>
      <c r="U383" s="25">
        <f>IF(T383="","",COUNTIFS($D$3:$D$1002,"="&amp;SUBSTITUTE(SUBSTITUTE(SUBSTITUTE(D383,"~","~~"),"*","~*"),"?","~?"),$L$3:$L$1002,1)*10000-T383)</f>
        <v/>
      </c>
      <c r="V383" s="25">
        <f>IF(AND(L383=1,J383&lt;&gt;""),IF(IFERROR(COUNTIFS(J$3:J383,"="&amp;SUBSTITUTE(SUBSTITUTE(SUBSTITUTE(J383,"~","~~"),"*","~*"),"?","~?"),L$3:L383,1),0)=1,MAX(V$2:V382)+1,""),"")</f>
        <v/>
      </c>
      <c r="W383" s="25">
        <f>IF(V383="","",COUNTIFS($J$3:$J$1002,"="&amp;SUBSTITUTE(SUBSTITUTE(SUBSTITUTE(J383,"~","~~"),"*","~*"),"?","~?"),$L$3:$L$1002,1)*10000-V383)</f>
        <v/>
      </c>
    </row>
    <row r="384">
      <c r="A384">
        <f>IF(A$2=0,"",IFERROR(TRIM(INDEX('Pegar estudiantes'!$A$1:$BZ$1001,383,A$2)&amp;""),""))</f>
        <v/>
      </c>
      <c r="B384">
        <f>IF(B$2=0,"",IFERROR(TRIM(INDEX('Pegar estudiantes'!$A$1:$BZ$1001,383,B$2)&amp;""),""))</f>
        <v/>
      </c>
      <c r="C384">
        <f>IF(C$2=0,"",IFERROR(TRIM(INDEX('Pegar estudiantes'!$A$1:$BZ$1001,383,C$2)&amp;""),""))</f>
        <v/>
      </c>
      <c r="D384">
        <f>IF(D$2=0,"",IFERROR(TRIM(INDEX('Pegar estudiantes'!$A$1:$BZ$1001,383,D$2)&amp;""),""))</f>
        <v/>
      </c>
      <c r="E384">
        <f>IF(E$2=0,"",IFERROR(TRIM(INDEX('Pegar estudiantes'!$A$1:$BZ$1001,383,E$2)&amp;""),""))</f>
        <v/>
      </c>
      <c r="F384">
        <f>IF(F$2=0,"",IFERROR(TRIM(INDEX('Pegar estudiantes'!$A$1:$BZ$1001,383,F$2)&amp;""),""))</f>
        <v/>
      </c>
      <c r="G384">
        <f>IF(G$2=0,"",IFERROR(TRIM(INDEX('Pegar estudiantes'!$A$1:$BZ$1001,383,G$2)&amp;""),""))</f>
        <v/>
      </c>
      <c r="H384">
        <f>IF(H$2=0,"",IFERROR(TRIM(INDEX('Pegar estudiantes'!$A$1:$BZ$1001,383,H$2)&amp;""),""))</f>
        <v/>
      </c>
      <c r="I384">
        <f>IF(I$2=0,"",IFERROR(TRIM(INDEX('Pegar estudiantes'!$A$1:$BZ$1001,383,I$2)&amp;""),""))</f>
        <v/>
      </c>
      <c r="J384">
        <f>IF(J$2=0,"",IFERROR(TRIM(INDEX('Pegar estudiantes'!$A$1:$BZ$1001,383,J$2)&amp;""),""))</f>
        <v/>
      </c>
      <c r="K384">
        <f>IF(K$2=0,"",IFERROR(TRIM(INDEX('Pegar estudiantes'!$A$1:$BZ$1001,383,K$2)&amp;""),""))</f>
        <v/>
      </c>
      <c r="L384" s="25">
        <f>IF(A384&lt;&gt;"",1,"")</f>
        <v/>
      </c>
      <c r="M384" s="25">
        <f>IF(L384=1,IF(ISNUMBER(FIND("#"&amp;MID(A384,1,1)&amp;"#","#0#1#2#3#4#5#6#7#8#9#")),IF(ISNUMBER(FIND("#"&amp;MID(A384,2,1)&amp;"#","#0#1#2#3#4#5#6#7#8#9#")),IF(AND(VALUE(LEFT(A384,2))&gt;=1,VALUE(LEFT(A384,2))&lt;=5),VALUE(LEFT(A384,2)),""),IF(AND(VALUE(LEFT(A384,1))&gt;=1,VALUE(LEFT(A384,1))&lt;=5),VALUE(LEFT(A384,1)),"")),""),"")</f>
        <v/>
      </c>
      <c r="N384" s="25">
        <f>IF(L384=1,IF(ISNUMBER(FIND("#"&amp;MID(H384,1,1)&amp;"#","#0#1#2#3#4#5#6#7#8#9#")),IF(ISNUMBER(FIND("#"&amp;MID(H384,2,1)&amp;"#","#0#1#2#3#4#5#6#7#8#9#")),IF(AND(VALUE(LEFT(H384,2))&gt;=1,VALUE(LEFT(H384,2))&lt;=5),VALUE(LEFT(H384,2)),""),IF(AND(VALUE(LEFT(H384,1))&gt;=1,VALUE(LEFT(H384,1))&lt;=5),VALUE(LEFT(H384,1)),"")),""),"")</f>
        <v/>
      </c>
      <c r="O384" s="25">
        <f>IF(AND(L384=1,B384&lt;&gt;""),SUBSTITUTE(SUBSTITUTE(SUBSTITUTE(SUBSTITUTE(SUBSTITUTE(SUBSTITUTE(SUBSTITUTE(SUBSTITUTE(SUBSTITUTE(SUBSTITUTE(SUBSTITUTE(SUBSTITUTE(LOWER(TRIM(B384)),"á","a"),"é","e"),"í","i"),"ó","o"),"ú","u"),"ü","u"),"ñ","n"),"à","a"),"è","e"),"ì","i"),"ò","o"),"ù","u"),"")</f>
        <v/>
      </c>
      <c r="P384" s="25">
        <f>IF(AND(L384=1,C384&lt;&gt;""),SUBSTITUTE(SUBSTITUTE(SUBSTITUTE(SUBSTITUTE(SUBSTITUTE(SUBSTITUTE(SUBSTITUTE(SUBSTITUTE(SUBSTITUTE(SUBSTITUTE(SUBSTITUTE(SUBSTITUTE(LOWER(TRIM(C384)),"á","a"),"é","e"),"í","i"),"ó","o"),"ú","u"),"ü","u"),"ñ","n"),"à","a"),"è","e"),"ì","i"),"ò","o"),"ù","u"),"")</f>
        <v/>
      </c>
      <c r="Q384" s="25">
        <f>IF(AND(L384=1,E384&lt;&gt;""),SUBSTITUTE(SUBSTITUTE(SUBSTITUTE(SUBSTITUTE(SUBSTITUTE(SUBSTITUTE(SUBSTITUTE(SUBSTITUTE(SUBSTITUTE(SUBSTITUTE(SUBSTITUTE(SUBSTITUTE(LOWER(TRIM(E384)),"á","a"),"é","e"),"í","i"),"ó","o"),"ú","u"),"ü","u"),"ñ","n"),"à","a"),"è","e"),"ì","i"),"ò","o"),"ù","u"),"")</f>
        <v/>
      </c>
      <c r="R384" s="25">
        <f>IF(AND(L384=1,I384&lt;&gt;""),SUBSTITUTE(SUBSTITUTE(SUBSTITUTE(SUBSTITUTE(SUBSTITUTE(SUBSTITUTE(SUBSTITUTE(SUBSTITUTE(SUBSTITUTE(SUBSTITUTE(SUBSTITUTE(SUBSTITUTE(LOWER(TRIM(I384)),"á","a"),"é","e"),"í","i"),"ó","o"),"ú","u"),"ü","u"),"ñ","n"),"à","a"),"è","e"),"ì","i"),"ò","o"),"ù","u"),"")</f>
        <v/>
      </c>
      <c r="S384" s="25">
        <f>IF(R384="","",IF(OR(R384="si",R384="tal vez"),1,0))</f>
        <v/>
      </c>
      <c r="T384" s="25">
        <f>IF(AND(L384=1,D384&lt;&gt;""),IF(IFERROR(COUNTIFS(D$3:D384,"="&amp;SUBSTITUTE(SUBSTITUTE(SUBSTITUTE(D384,"~","~~"),"*","~*"),"?","~?"),L$3:L384,1),0)=1,MAX(T$2:T383)+1,""),"")</f>
        <v/>
      </c>
      <c r="U384" s="25">
        <f>IF(T384="","",COUNTIFS($D$3:$D$1002,"="&amp;SUBSTITUTE(SUBSTITUTE(SUBSTITUTE(D384,"~","~~"),"*","~*"),"?","~?"),$L$3:$L$1002,1)*10000-T384)</f>
        <v/>
      </c>
      <c r="V384" s="25">
        <f>IF(AND(L384=1,J384&lt;&gt;""),IF(IFERROR(COUNTIFS(J$3:J384,"="&amp;SUBSTITUTE(SUBSTITUTE(SUBSTITUTE(J384,"~","~~"),"*","~*"),"?","~?"),L$3:L384,1),0)=1,MAX(V$2:V383)+1,""),"")</f>
        <v/>
      </c>
      <c r="W384" s="25">
        <f>IF(V384="","",COUNTIFS($J$3:$J$1002,"="&amp;SUBSTITUTE(SUBSTITUTE(SUBSTITUTE(J384,"~","~~"),"*","~*"),"?","~?"),$L$3:$L$1002,1)*10000-V384)</f>
        <v/>
      </c>
    </row>
    <row r="385">
      <c r="A385">
        <f>IF(A$2=0,"",IFERROR(TRIM(INDEX('Pegar estudiantes'!$A$1:$BZ$1001,384,A$2)&amp;""),""))</f>
        <v/>
      </c>
      <c r="B385">
        <f>IF(B$2=0,"",IFERROR(TRIM(INDEX('Pegar estudiantes'!$A$1:$BZ$1001,384,B$2)&amp;""),""))</f>
        <v/>
      </c>
      <c r="C385">
        <f>IF(C$2=0,"",IFERROR(TRIM(INDEX('Pegar estudiantes'!$A$1:$BZ$1001,384,C$2)&amp;""),""))</f>
        <v/>
      </c>
      <c r="D385">
        <f>IF(D$2=0,"",IFERROR(TRIM(INDEX('Pegar estudiantes'!$A$1:$BZ$1001,384,D$2)&amp;""),""))</f>
        <v/>
      </c>
      <c r="E385">
        <f>IF(E$2=0,"",IFERROR(TRIM(INDEX('Pegar estudiantes'!$A$1:$BZ$1001,384,E$2)&amp;""),""))</f>
        <v/>
      </c>
      <c r="F385">
        <f>IF(F$2=0,"",IFERROR(TRIM(INDEX('Pegar estudiantes'!$A$1:$BZ$1001,384,F$2)&amp;""),""))</f>
        <v/>
      </c>
      <c r="G385">
        <f>IF(G$2=0,"",IFERROR(TRIM(INDEX('Pegar estudiantes'!$A$1:$BZ$1001,384,G$2)&amp;""),""))</f>
        <v/>
      </c>
      <c r="H385">
        <f>IF(H$2=0,"",IFERROR(TRIM(INDEX('Pegar estudiantes'!$A$1:$BZ$1001,384,H$2)&amp;""),""))</f>
        <v/>
      </c>
      <c r="I385">
        <f>IF(I$2=0,"",IFERROR(TRIM(INDEX('Pegar estudiantes'!$A$1:$BZ$1001,384,I$2)&amp;""),""))</f>
        <v/>
      </c>
      <c r="J385">
        <f>IF(J$2=0,"",IFERROR(TRIM(INDEX('Pegar estudiantes'!$A$1:$BZ$1001,384,J$2)&amp;""),""))</f>
        <v/>
      </c>
      <c r="K385">
        <f>IF(K$2=0,"",IFERROR(TRIM(INDEX('Pegar estudiantes'!$A$1:$BZ$1001,384,K$2)&amp;""),""))</f>
        <v/>
      </c>
      <c r="L385" s="25">
        <f>IF(A385&lt;&gt;"",1,"")</f>
        <v/>
      </c>
      <c r="M385" s="25">
        <f>IF(L385=1,IF(ISNUMBER(FIND("#"&amp;MID(A385,1,1)&amp;"#","#0#1#2#3#4#5#6#7#8#9#")),IF(ISNUMBER(FIND("#"&amp;MID(A385,2,1)&amp;"#","#0#1#2#3#4#5#6#7#8#9#")),IF(AND(VALUE(LEFT(A385,2))&gt;=1,VALUE(LEFT(A385,2))&lt;=5),VALUE(LEFT(A385,2)),""),IF(AND(VALUE(LEFT(A385,1))&gt;=1,VALUE(LEFT(A385,1))&lt;=5),VALUE(LEFT(A385,1)),"")),""),"")</f>
        <v/>
      </c>
      <c r="N385" s="25">
        <f>IF(L385=1,IF(ISNUMBER(FIND("#"&amp;MID(H385,1,1)&amp;"#","#0#1#2#3#4#5#6#7#8#9#")),IF(ISNUMBER(FIND("#"&amp;MID(H385,2,1)&amp;"#","#0#1#2#3#4#5#6#7#8#9#")),IF(AND(VALUE(LEFT(H385,2))&gt;=1,VALUE(LEFT(H385,2))&lt;=5),VALUE(LEFT(H385,2)),""),IF(AND(VALUE(LEFT(H385,1))&gt;=1,VALUE(LEFT(H385,1))&lt;=5),VALUE(LEFT(H385,1)),"")),""),"")</f>
        <v/>
      </c>
      <c r="O385" s="25">
        <f>IF(AND(L385=1,B385&lt;&gt;""),SUBSTITUTE(SUBSTITUTE(SUBSTITUTE(SUBSTITUTE(SUBSTITUTE(SUBSTITUTE(SUBSTITUTE(SUBSTITUTE(SUBSTITUTE(SUBSTITUTE(SUBSTITUTE(SUBSTITUTE(LOWER(TRIM(B385)),"á","a"),"é","e"),"í","i"),"ó","o"),"ú","u"),"ü","u"),"ñ","n"),"à","a"),"è","e"),"ì","i"),"ò","o"),"ù","u"),"")</f>
        <v/>
      </c>
      <c r="P385" s="25">
        <f>IF(AND(L385=1,C385&lt;&gt;""),SUBSTITUTE(SUBSTITUTE(SUBSTITUTE(SUBSTITUTE(SUBSTITUTE(SUBSTITUTE(SUBSTITUTE(SUBSTITUTE(SUBSTITUTE(SUBSTITUTE(SUBSTITUTE(SUBSTITUTE(LOWER(TRIM(C385)),"á","a"),"é","e"),"í","i"),"ó","o"),"ú","u"),"ü","u"),"ñ","n"),"à","a"),"è","e"),"ì","i"),"ò","o"),"ù","u"),"")</f>
        <v/>
      </c>
      <c r="Q385" s="25">
        <f>IF(AND(L385=1,E385&lt;&gt;""),SUBSTITUTE(SUBSTITUTE(SUBSTITUTE(SUBSTITUTE(SUBSTITUTE(SUBSTITUTE(SUBSTITUTE(SUBSTITUTE(SUBSTITUTE(SUBSTITUTE(SUBSTITUTE(SUBSTITUTE(LOWER(TRIM(E385)),"á","a"),"é","e"),"í","i"),"ó","o"),"ú","u"),"ü","u"),"ñ","n"),"à","a"),"è","e"),"ì","i"),"ò","o"),"ù","u"),"")</f>
        <v/>
      </c>
      <c r="R385" s="25">
        <f>IF(AND(L385=1,I385&lt;&gt;""),SUBSTITUTE(SUBSTITUTE(SUBSTITUTE(SUBSTITUTE(SUBSTITUTE(SUBSTITUTE(SUBSTITUTE(SUBSTITUTE(SUBSTITUTE(SUBSTITUTE(SUBSTITUTE(SUBSTITUTE(LOWER(TRIM(I385)),"á","a"),"é","e"),"í","i"),"ó","o"),"ú","u"),"ü","u"),"ñ","n"),"à","a"),"è","e"),"ì","i"),"ò","o"),"ù","u"),"")</f>
        <v/>
      </c>
      <c r="S385" s="25">
        <f>IF(R385="","",IF(OR(R385="si",R385="tal vez"),1,0))</f>
        <v/>
      </c>
      <c r="T385" s="25">
        <f>IF(AND(L385=1,D385&lt;&gt;""),IF(IFERROR(COUNTIFS(D$3:D385,"="&amp;SUBSTITUTE(SUBSTITUTE(SUBSTITUTE(D385,"~","~~"),"*","~*"),"?","~?"),L$3:L385,1),0)=1,MAX(T$2:T384)+1,""),"")</f>
        <v/>
      </c>
      <c r="U385" s="25">
        <f>IF(T385="","",COUNTIFS($D$3:$D$1002,"="&amp;SUBSTITUTE(SUBSTITUTE(SUBSTITUTE(D385,"~","~~"),"*","~*"),"?","~?"),$L$3:$L$1002,1)*10000-T385)</f>
        <v/>
      </c>
      <c r="V385" s="25">
        <f>IF(AND(L385=1,J385&lt;&gt;""),IF(IFERROR(COUNTIFS(J$3:J385,"="&amp;SUBSTITUTE(SUBSTITUTE(SUBSTITUTE(J385,"~","~~"),"*","~*"),"?","~?"),L$3:L385,1),0)=1,MAX(V$2:V384)+1,""),"")</f>
        <v/>
      </c>
      <c r="W385" s="25">
        <f>IF(V385="","",COUNTIFS($J$3:$J$1002,"="&amp;SUBSTITUTE(SUBSTITUTE(SUBSTITUTE(J385,"~","~~"),"*","~*"),"?","~?"),$L$3:$L$1002,1)*10000-V385)</f>
        <v/>
      </c>
    </row>
    <row r="386">
      <c r="A386">
        <f>IF(A$2=0,"",IFERROR(TRIM(INDEX('Pegar estudiantes'!$A$1:$BZ$1001,385,A$2)&amp;""),""))</f>
        <v/>
      </c>
      <c r="B386">
        <f>IF(B$2=0,"",IFERROR(TRIM(INDEX('Pegar estudiantes'!$A$1:$BZ$1001,385,B$2)&amp;""),""))</f>
        <v/>
      </c>
      <c r="C386">
        <f>IF(C$2=0,"",IFERROR(TRIM(INDEX('Pegar estudiantes'!$A$1:$BZ$1001,385,C$2)&amp;""),""))</f>
        <v/>
      </c>
      <c r="D386">
        <f>IF(D$2=0,"",IFERROR(TRIM(INDEX('Pegar estudiantes'!$A$1:$BZ$1001,385,D$2)&amp;""),""))</f>
        <v/>
      </c>
      <c r="E386">
        <f>IF(E$2=0,"",IFERROR(TRIM(INDEX('Pegar estudiantes'!$A$1:$BZ$1001,385,E$2)&amp;""),""))</f>
        <v/>
      </c>
      <c r="F386">
        <f>IF(F$2=0,"",IFERROR(TRIM(INDEX('Pegar estudiantes'!$A$1:$BZ$1001,385,F$2)&amp;""),""))</f>
        <v/>
      </c>
      <c r="G386">
        <f>IF(G$2=0,"",IFERROR(TRIM(INDEX('Pegar estudiantes'!$A$1:$BZ$1001,385,G$2)&amp;""),""))</f>
        <v/>
      </c>
      <c r="H386">
        <f>IF(H$2=0,"",IFERROR(TRIM(INDEX('Pegar estudiantes'!$A$1:$BZ$1001,385,H$2)&amp;""),""))</f>
        <v/>
      </c>
      <c r="I386">
        <f>IF(I$2=0,"",IFERROR(TRIM(INDEX('Pegar estudiantes'!$A$1:$BZ$1001,385,I$2)&amp;""),""))</f>
        <v/>
      </c>
      <c r="J386">
        <f>IF(J$2=0,"",IFERROR(TRIM(INDEX('Pegar estudiantes'!$A$1:$BZ$1001,385,J$2)&amp;""),""))</f>
        <v/>
      </c>
      <c r="K386">
        <f>IF(K$2=0,"",IFERROR(TRIM(INDEX('Pegar estudiantes'!$A$1:$BZ$1001,385,K$2)&amp;""),""))</f>
        <v/>
      </c>
      <c r="L386" s="25">
        <f>IF(A386&lt;&gt;"",1,"")</f>
        <v/>
      </c>
      <c r="M386" s="25">
        <f>IF(L386=1,IF(ISNUMBER(FIND("#"&amp;MID(A386,1,1)&amp;"#","#0#1#2#3#4#5#6#7#8#9#")),IF(ISNUMBER(FIND("#"&amp;MID(A386,2,1)&amp;"#","#0#1#2#3#4#5#6#7#8#9#")),IF(AND(VALUE(LEFT(A386,2))&gt;=1,VALUE(LEFT(A386,2))&lt;=5),VALUE(LEFT(A386,2)),""),IF(AND(VALUE(LEFT(A386,1))&gt;=1,VALUE(LEFT(A386,1))&lt;=5),VALUE(LEFT(A386,1)),"")),""),"")</f>
        <v/>
      </c>
      <c r="N386" s="25">
        <f>IF(L386=1,IF(ISNUMBER(FIND("#"&amp;MID(H386,1,1)&amp;"#","#0#1#2#3#4#5#6#7#8#9#")),IF(ISNUMBER(FIND("#"&amp;MID(H386,2,1)&amp;"#","#0#1#2#3#4#5#6#7#8#9#")),IF(AND(VALUE(LEFT(H386,2))&gt;=1,VALUE(LEFT(H386,2))&lt;=5),VALUE(LEFT(H386,2)),""),IF(AND(VALUE(LEFT(H386,1))&gt;=1,VALUE(LEFT(H386,1))&lt;=5),VALUE(LEFT(H386,1)),"")),""),"")</f>
        <v/>
      </c>
      <c r="O386" s="25">
        <f>IF(AND(L386=1,B386&lt;&gt;""),SUBSTITUTE(SUBSTITUTE(SUBSTITUTE(SUBSTITUTE(SUBSTITUTE(SUBSTITUTE(SUBSTITUTE(SUBSTITUTE(SUBSTITUTE(SUBSTITUTE(SUBSTITUTE(SUBSTITUTE(LOWER(TRIM(B386)),"á","a"),"é","e"),"í","i"),"ó","o"),"ú","u"),"ü","u"),"ñ","n"),"à","a"),"è","e"),"ì","i"),"ò","o"),"ù","u"),"")</f>
        <v/>
      </c>
      <c r="P386" s="25">
        <f>IF(AND(L386=1,C386&lt;&gt;""),SUBSTITUTE(SUBSTITUTE(SUBSTITUTE(SUBSTITUTE(SUBSTITUTE(SUBSTITUTE(SUBSTITUTE(SUBSTITUTE(SUBSTITUTE(SUBSTITUTE(SUBSTITUTE(SUBSTITUTE(LOWER(TRIM(C386)),"á","a"),"é","e"),"í","i"),"ó","o"),"ú","u"),"ü","u"),"ñ","n"),"à","a"),"è","e"),"ì","i"),"ò","o"),"ù","u"),"")</f>
        <v/>
      </c>
      <c r="Q386" s="25">
        <f>IF(AND(L386=1,E386&lt;&gt;""),SUBSTITUTE(SUBSTITUTE(SUBSTITUTE(SUBSTITUTE(SUBSTITUTE(SUBSTITUTE(SUBSTITUTE(SUBSTITUTE(SUBSTITUTE(SUBSTITUTE(SUBSTITUTE(SUBSTITUTE(LOWER(TRIM(E386)),"á","a"),"é","e"),"í","i"),"ó","o"),"ú","u"),"ü","u"),"ñ","n"),"à","a"),"è","e"),"ì","i"),"ò","o"),"ù","u"),"")</f>
        <v/>
      </c>
      <c r="R386" s="25">
        <f>IF(AND(L386=1,I386&lt;&gt;""),SUBSTITUTE(SUBSTITUTE(SUBSTITUTE(SUBSTITUTE(SUBSTITUTE(SUBSTITUTE(SUBSTITUTE(SUBSTITUTE(SUBSTITUTE(SUBSTITUTE(SUBSTITUTE(SUBSTITUTE(LOWER(TRIM(I386)),"á","a"),"é","e"),"í","i"),"ó","o"),"ú","u"),"ü","u"),"ñ","n"),"à","a"),"è","e"),"ì","i"),"ò","o"),"ù","u"),"")</f>
        <v/>
      </c>
      <c r="S386" s="25">
        <f>IF(R386="","",IF(OR(R386="si",R386="tal vez"),1,0))</f>
        <v/>
      </c>
      <c r="T386" s="25">
        <f>IF(AND(L386=1,D386&lt;&gt;""),IF(IFERROR(COUNTIFS(D$3:D386,"="&amp;SUBSTITUTE(SUBSTITUTE(SUBSTITUTE(D386,"~","~~"),"*","~*"),"?","~?"),L$3:L386,1),0)=1,MAX(T$2:T385)+1,""),"")</f>
        <v/>
      </c>
      <c r="U386" s="25">
        <f>IF(T386="","",COUNTIFS($D$3:$D$1002,"="&amp;SUBSTITUTE(SUBSTITUTE(SUBSTITUTE(D386,"~","~~"),"*","~*"),"?","~?"),$L$3:$L$1002,1)*10000-T386)</f>
        <v/>
      </c>
      <c r="V386" s="25">
        <f>IF(AND(L386=1,J386&lt;&gt;""),IF(IFERROR(COUNTIFS(J$3:J386,"="&amp;SUBSTITUTE(SUBSTITUTE(SUBSTITUTE(J386,"~","~~"),"*","~*"),"?","~?"),L$3:L386,1),0)=1,MAX(V$2:V385)+1,""),"")</f>
        <v/>
      </c>
      <c r="W386" s="25">
        <f>IF(V386="","",COUNTIFS($J$3:$J$1002,"="&amp;SUBSTITUTE(SUBSTITUTE(SUBSTITUTE(J386,"~","~~"),"*","~*"),"?","~?"),$L$3:$L$1002,1)*10000-V386)</f>
        <v/>
      </c>
    </row>
    <row r="387">
      <c r="A387">
        <f>IF(A$2=0,"",IFERROR(TRIM(INDEX('Pegar estudiantes'!$A$1:$BZ$1001,386,A$2)&amp;""),""))</f>
        <v/>
      </c>
      <c r="B387">
        <f>IF(B$2=0,"",IFERROR(TRIM(INDEX('Pegar estudiantes'!$A$1:$BZ$1001,386,B$2)&amp;""),""))</f>
        <v/>
      </c>
      <c r="C387">
        <f>IF(C$2=0,"",IFERROR(TRIM(INDEX('Pegar estudiantes'!$A$1:$BZ$1001,386,C$2)&amp;""),""))</f>
        <v/>
      </c>
      <c r="D387">
        <f>IF(D$2=0,"",IFERROR(TRIM(INDEX('Pegar estudiantes'!$A$1:$BZ$1001,386,D$2)&amp;""),""))</f>
        <v/>
      </c>
      <c r="E387">
        <f>IF(E$2=0,"",IFERROR(TRIM(INDEX('Pegar estudiantes'!$A$1:$BZ$1001,386,E$2)&amp;""),""))</f>
        <v/>
      </c>
      <c r="F387">
        <f>IF(F$2=0,"",IFERROR(TRIM(INDEX('Pegar estudiantes'!$A$1:$BZ$1001,386,F$2)&amp;""),""))</f>
        <v/>
      </c>
      <c r="G387">
        <f>IF(G$2=0,"",IFERROR(TRIM(INDEX('Pegar estudiantes'!$A$1:$BZ$1001,386,G$2)&amp;""),""))</f>
        <v/>
      </c>
      <c r="H387">
        <f>IF(H$2=0,"",IFERROR(TRIM(INDEX('Pegar estudiantes'!$A$1:$BZ$1001,386,H$2)&amp;""),""))</f>
        <v/>
      </c>
      <c r="I387">
        <f>IF(I$2=0,"",IFERROR(TRIM(INDEX('Pegar estudiantes'!$A$1:$BZ$1001,386,I$2)&amp;""),""))</f>
        <v/>
      </c>
      <c r="J387">
        <f>IF(J$2=0,"",IFERROR(TRIM(INDEX('Pegar estudiantes'!$A$1:$BZ$1001,386,J$2)&amp;""),""))</f>
        <v/>
      </c>
      <c r="K387">
        <f>IF(K$2=0,"",IFERROR(TRIM(INDEX('Pegar estudiantes'!$A$1:$BZ$1001,386,K$2)&amp;""),""))</f>
        <v/>
      </c>
      <c r="L387" s="25">
        <f>IF(A387&lt;&gt;"",1,"")</f>
        <v/>
      </c>
      <c r="M387" s="25">
        <f>IF(L387=1,IF(ISNUMBER(FIND("#"&amp;MID(A387,1,1)&amp;"#","#0#1#2#3#4#5#6#7#8#9#")),IF(ISNUMBER(FIND("#"&amp;MID(A387,2,1)&amp;"#","#0#1#2#3#4#5#6#7#8#9#")),IF(AND(VALUE(LEFT(A387,2))&gt;=1,VALUE(LEFT(A387,2))&lt;=5),VALUE(LEFT(A387,2)),""),IF(AND(VALUE(LEFT(A387,1))&gt;=1,VALUE(LEFT(A387,1))&lt;=5),VALUE(LEFT(A387,1)),"")),""),"")</f>
        <v/>
      </c>
      <c r="N387" s="25">
        <f>IF(L387=1,IF(ISNUMBER(FIND("#"&amp;MID(H387,1,1)&amp;"#","#0#1#2#3#4#5#6#7#8#9#")),IF(ISNUMBER(FIND("#"&amp;MID(H387,2,1)&amp;"#","#0#1#2#3#4#5#6#7#8#9#")),IF(AND(VALUE(LEFT(H387,2))&gt;=1,VALUE(LEFT(H387,2))&lt;=5),VALUE(LEFT(H387,2)),""),IF(AND(VALUE(LEFT(H387,1))&gt;=1,VALUE(LEFT(H387,1))&lt;=5),VALUE(LEFT(H387,1)),"")),""),"")</f>
        <v/>
      </c>
      <c r="O387" s="25">
        <f>IF(AND(L387=1,B387&lt;&gt;""),SUBSTITUTE(SUBSTITUTE(SUBSTITUTE(SUBSTITUTE(SUBSTITUTE(SUBSTITUTE(SUBSTITUTE(SUBSTITUTE(SUBSTITUTE(SUBSTITUTE(SUBSTITUTE(SUBSTITUTE(LOWER(TRIM(B387)),"á","a"),"é","e"),"í","i"),"ó","o"),"ú","u"),"ü","u"),"ñ","n"),"à","a"),"è","e"),"ì","i"),"ò","o"),"ù","u"),"")</f>
        <v/>
      </c>
      <c r="P387" s="25">
        <f>IF(AND(L387=1,C387&lt;&gt;""),SUBSTITUTE(SUBSTITUTE(SUBSTITUTE(SUBSTITUTE(SUBSTITUTE(SUBSTITUTE(SUBSTITUTE(SUBSTITUTE(SUBSTITUTE(SUBSTITUTE(SUBSTITUTE(SUBSTITUTE(LOWER(TRIM(C387)),"á","a"),"é","e"),"í","i"),"ó","o"),"ú","u"),"ü","u"),"ñ","n"),"à","a"),"è","e"),"ì","i"),"ò","o"),"ù","u"),"")</f>
        <v/>
      </c>
      <c r="Q387" s="25">
        <f>IF(AND(L387=1,E387&lt;&gt;""),SUBSTITUTE(SUBSTITUTE(SUBSTITUTE(SUBSTITUTE(SUBSTITUTE(SUBSTITUTE(SUBSTITUTE(SUBSTITUTE(SUBSTITUTE(SUBSTITUTE(SUBSTITUTE(SUBSTITUTE(LOWER(TRIM(E387)),"á","a"),"é","e"),"í","i"),"ó","o"),"ú","u"),"ü","u"),"ñ","n"),"à","a"),"è","e"),"ì","i"),"ò","o"),"ù","u"),"")</f>
        <v/>
      </c>
      <c r="R387" s="25">
        <f>IF(AND(L387=1,I387&lt;&gt;""),SUBSTITUTE(SUBSTITUTE(SUBSTITUTE(SUBSTITUTE(SUBSTITUTE(SUBSTITUTE(SUBSTITUTE(SUBSTITUTE(SUBSTITUTE(SUBSTITUTE(SUBSTITUTE(SUBSTITUTE(LOWER(TRIM(I387)),"á","a"),"é","e"),"í","i"),"ó","o"),"ú","u"),"ü","u"),"ñ","n"),"à","a"),"è","e"),"ì","i"),"ò","o"),"ù","u"),"")</f>
        <v/>
      </c>
      <c r="S387" s="25">
        <f>IF(R387="","",IF(OR(R387="si",R387="tal vez"),1,0))</f>
        <v/>
      </c>
      <c r="T387" s="25">
        <f>IF(AND(L387=1,D387&lt;&gt;""),IF(IFERROR(COUNTIFS(D$3:D387,"="&amp;SUBSTITUTE(SUBSTITUTE(SUBSTITUTE(D387,"~","~~"),"*","~*"),"?","~?"),L$3:L387,1),0)=1,MAX(T$2:T386)+1,""),"")</f>
        <v/>
      </c>
      <c r="U387" s="25">
        <f>IF(T387="","",COUNTIFS($D$3:$D$1002,"="&amp;SUBSTITUTE(SUBSTITUTE(SUBSTITUTE(D387,"~","~~"),"*","~*"),"?","~?"),$L$3:$L$1002,1)*10000-T387)</f>
        <v/>
      </c>
      <c r="V387" s="25">
        <f>IF(AND(L387=1,J387&lt;&gt;""),IF(IFERROR(COUNTIFS(J$3:J387,"="&amp;SUBSTITUTE(SUBSTITUTE(SUBSTITUTE(J387,"~","~~"),"*","~*"),"?","~?"),L$3:L387,1),0)=1,MAX(V$2:V386)+1,""),"")</f>
        <v/>
      </c>
      <c r="W387" s="25">
        <f>IF(V387="","",COUNTIFS($J$3:$J$1002,"="&amp;SUBSTITUTE(SUBSTITUTE(SUBSTITUTE(J387,"~","~~"),"*","~*"),"?","~?"),$L$3:$L$1002,1)*10000-V387)</f>
        <v/>
      </c>
    </row>
    <row r="388">
      <c r="A388">
        <f>IF(A$2=0,"",IFERROR(TRIM(INDEX('Pegar estudiantes'!$A$1:$BZ$1001,387,A$2)&amp;""),""))</f>
        <v/>
      </c>
      <c r="B388">
        <f>IF(B$2=0,"",IFERROR(TRIM(INDEX('Pegar estudiantes'!$A$1:$BZ$1001,387,B$2)&amp;""),""))</f>
        <v/>
      </c>
      <c r="C388">
        <f>IF(C$2=0,"",IFERROR(TRIM(INDEX('Pegar estudiantes'!$A$1:$BZ$1001,387,C$2)&amp;""),""))</f>
        <v/>
      </c>
      <c r="D388">
        <f>IF(D$2=0,"",IFERROR(TRIM(INDEX('Pegar estudiantes'!$A$1:$BZ$1001,387,D$2)&amp;""),""))</f>
        <v/>
      </c>
      <c r="E388">
        <f>IF(E$2=0,"",IFERROR(TRIM(INDEX('Pegar estudiantes'!$A$1:$BZ$1001,387,E$2)&amp;""),""))</f>
        <v/>
      </c>
      <c r="F388">
        <f>IF(F$2=0,"",IFERROR(TRIM(INDEX('Pegar estudiantes'!$A$1:$BZ$1001,387,F$2)&amp;""),""))</f>
        <v/>
      </c>
      <c r="G388">
        <f>IF(G$2=0,"",IFERROR(TRIM(INDEX('Pegar estudiantes'!$A$1:$BZ$1001,387,G$2)&amp;""),""))</f>
        <v/>
      </c>
      <c r="H388">
        <f>IF(H$2=0,"",IFERROR(TRIM(INDEX('Pegar estudiantes'!$A$1:$BZ$1001,387,H$2)&amp;""),""))</f>
        <v/>
      </c>
      <c r="I388">
        <f>IF(I$2=0,"",IFERROR(TRIM(INDEX('Pegar estudiantes'!$A$1:$BZ$1001,387,I$2)&amp;""),""))</f>
        <v/>
      </c>
      <c r="J388">
        <f>IF(J$2=0,"",IFERROR(TRIM(INDEX('Pegar estudiantes'!$A$1:$BZ$1001,387,J$2)&amp;""),""))</f>
        <v/>
      </c>
      <c r="K388">
        <f>IF(K$2=0,"",IFERROR(TRIM(INDEX('Pegar estudiantes'!$A$1:$BZ$1001,387,K$2)&amp;""),""))</f>
        <v/>
      </c>
      <c r="L388" s="25">
        <f>IF(A388&lt;&gt;"",1,"")</f>
        <v/>
      </c>
      <c r="M388" s="25">
        <f>IF(L388=1,IF(ISNUMBER(FIND("#"&amp;MID(A388,1,1)&amp;"#","#0#1#2#3#4#5#6#7#8#9#")),IF(ISNUMBER(FIND("#"&amp;MID(A388,2,1)&amp;"#","#0#1#2#3#4#5#6#7#8#9#")),IF(AND(VALUE(LEFT(A388,2))&gt;=1,VALUE(LEFT(A388,2))&lt;=5),VALUE(LEFT(A388,2)),""),IF(AND(VALUE(LEFT(A388,1))&gt;=1,VALUE(LEFT(A388,1))&lt;=5),VALUE(LEFT(A388,1)),"")),""),"")</f>
        <v/>
      </c>
      <c r="N388" s="25">
        <f>IF(L388=1,IF(ISNUMBER(FIND("#"&amp;MID(H388,1,1)&amp;"#","#0#1#2#3#4#5#6#7#8#9#")),IF(ISNUMBER(FIND("#"&amp;MID(H388,2,1)&amp;"#","#0#1#2#3#4#5#6#7#8#9#")),IF(AND(VALUE(LEFT(H388,2))&gt;=1,VALUE(LEFT(H388,2))&lt;=5),VALUE(LEFT(H388,2)),""),IF(AND(VALUE(LEFT(H388,1))&gt;=1,VALUE(LEFT(H388,1))&lt;=5),VALUE(LEFT(H388,1)),"")),""),"")</f>
        <v/>
      </c>
      <c r="O388" s="25">
        <f>IF(AND(L388=1,B388&lt;&gt;""),SUBSTITUTE(SUBSTITUTE(SUBSTITUTE(SUBSTITUTE(SUBSTITUTE(SUBSTITUTE(SUBSTITUTE(SUBSTITUTE(SUBSTITUTE(SUBSTITUTE(SUBSTITUTE(SUBSTITUTE(LOWER(TRIM(B388)),"á","a"),"é","e"),"í","i"),"ó","o"),"ú","u"),"ü","u"),"ñ","n"),"à","a"),"è","e"),"ì","i"),"ò","o"),"ù","u"),"")</f>
        <v/>
      </c>
      <c r="P388" s="25">
        <f>IF(AND(L388=1,C388&lt;&gt;""),SUBSTITUTE(SUBSTITUTE(SUBSTITUTE(SUBSTITUTE(SUBSTITUTE(SUBSTITUTE(SUBSTITUTE(SUBSTITUTE(SUBSTITUTE(SUBSTITUTE(SUBSTITUTE(SUBSTITUTE(LOWER(TRIM(C388)),"á","a"),"é","e"),"í","i"),"ó","o"),"ú","u"),"ü","u"),"ñ","n"),"à","a"),"è","e"),"ì","i"),"ò","o"),"ù","u"),"")</f>
        <v/>
      </c>
      <c r="Q388" s="25">
        <f>IF(AND(L388=1,E388&lt;&gt;""),SUBSTITUTE(SUBSTITUTE(SUBSTITUTE(SUBSTITUTE(SUBSTITUTE(SUBSTITUTE(SUBSTITUTE(SUBSTITUTE(SUBSTITUTE(SUBSTITUTE(SUBSTITUTE(SUBSTITUTE(LOWER(TRIM(E388)),"á","a"),"é","e"),"í","i"),"ó","o"),"ú","u"),"ü","u"),"ñ","n"),"à","a"),"è","e"),"ì","i"),"ò","o"),"ù","u"),"")</f>
        <v/>
      </c>
      <c r="R388" s="25">
        <f>IF(AND(L388=1,I388&lt;&gt;""),SUBSTITUTE(SUBSTITUTE(SUBSTITUTE(SUBSTITUTE(SUBSTITUTE(SUBSTITUTE(SUBSTITUTE(SUBSTITUTE(SUBSTITUTE(SUBSTITUTE(SUBSTITUTE(SUBSTITUTE(LOWER(TRIM(I388)),"á","a"),"é","e"),"í","i"),"ó","o"),"ú","u"),"ü","u"),"ñ","n"),"à","a"),"è","e"),"ì","i"),"ò","o"),"ù","u"),"")</f>
        <v/>
      </c>
      <c r="S388" s="25">
        <f>IF(R388="","",IF(OR(R388="si",R388="tal vez"),1,0))</f>
        <v/>
      </c>
      <c r="T388" s="25">
        <f>IF(AND(L388=1,D388&lt;&gt;""),IF(IFERROR(COUNTIFS(D$3:D388,"="&amp;SUBSTITUTE(SUBSTITUTE(SUBSTITUTE(D388,"~","~~"),"*","~*"),"?","~?"),L$3:L388,1),0)=1,MAX(T$2:T387)+1,""),"")</f>
        <v/>
      </c>
      <c r="U388" s="25">
        <f>IF(T388="","",COUNTIFS($D$3:$D$1002,"="&amp;SUBSTITUTE(SUBSTITUTE(SUBSTITUTE(D388,"~","~~"),"*","~*"),"?","~?"),$L$3:$L$1002,1)*10000-T388)</f>
        <v/>
      </c>
      <c r="V388" s="25">
        <f>IF(AND(L388=1,J388&lt;&gt;""),IF(IFERROR(COUNTIFS(J$3:J388,"="&amp;SUBSTITUTE(SUBSTITUTE(SUBSTITUTE(J388,"~","~~"),"*","~*"),"?","~?"),L$3:L388,1),0)=1,MAX(V$2:V387)+1,""),"")</f>
        <v/>
      </c>
      <c r="W388" s="25">
        <f>IF(V388="","",COUNTIFS($J$3:$J$1002,"="&amp;SUBSTITUTE(SUBSTITUTE(SUBSTITUTE(J388,"~","~~"),"*","~*"),"?","~?"),$L$3:$L$1002,1)*10000-V388)</f>
        <v/>
      </c>
    </row>
    <row r="389">
      <c r="A389">
        <f>IF(A$2=0,"",IFERROR(TRIM(INDEX('Pegar estudiantes'!$A$1:$BZ$1001,388,A$2)&amp;""),""))</f>
        <v/>
      </c>
      <c r="B389">
        <f>IF(B$2=0,"",IFERROR(TRIM(INDEX('Pegar estudiantes'!$A$1:$BZ$1001,388,B$2)&amp;""),""))</f>
        <v/>
      </c>
      <c r="C389">
        <f>IF(C$2=0,"",IFERROR(TRIM(INDEX('Pegar estudiantes'!$A$1:$BZ$1001,388,C$2)&amp;""),""))</f>
        <v/>
      </c>
      <c r="D389">
        <f>IF(D$2=0,"",IFERROR(TRIM(INDEX('Pegar estudiantes'!$A$1:$BZ$1001,388,D$2)&amp;""),""))</f>
        <v/>
      </c>
      <c r="E389">
        <f>IF(E$2=0,"",IFERROR(TRIM(INDEX('Pegar estudiantes'!$A$1:$BZ$1001,388,E$2)&amp;""),""))</f>
        <v/>
      </c>
      <c r="F389">
        <f>IF(F$2=0,"",IFERROR(TRIM(INDEX('Pegar estudiantes'!$A$1:$BZ$1001,388,F$2)&amp;""),""))</f>
        <v/>
      </c>
      <c r="G389">
        <f>IF(G$2=0,"",IFERROR(TRIM(INDEX('Pegar estudiantes'!$A$1:$BZ$1001,388,G$2)&amp;""),""))</f>
        <v/>
      </c>
      <c r="H389">
        <f>IF(H$2=0,"",IFERROR(TRIM(INDEX('Pegar estudiantes'!$A$1:$BZ$1001,388,H$2)&amp;""),""))</f>
        <v/>
      </c>
      <c r="I389">
        <f>IF(I$2=0,"",IFERROR(TRIM(INDEX('Pegar estudiantes'!$A$1:$BZ$1001,388,I$2)&amp;""),""))</f>
        <v/>
      </c>
      <c r="J389">
        <f>IF(J$2=0,"",IFERROR(TRIM(INDEX('Pegar estudiantes'!$A$1:$BZ$1001,388,J$2)&amp;""),""))</f>
        <v/>
      </c>
      <c r="K389">
        <f>IF(K$2=0,"",IFERROR(TRIM(INDEX('Pegar estudiantes'!$A$1:$BZ$1001,388,K$2)&amp;""),""))</f>
        <v/>
      </c>
      <c r="L389" s="25">
        <f>IF(A389&lt;&gt;"",1,"")</f>
        <v/>
      </c>
      <c r="M389" s="25">
        <f>IF(L389=1,IF(ISNUMBER(FIND("#"&amp;MID(A389,1,1)&amp;"#","#0#1#2#3#4#5#6#7#8#9#")),IF(ISNUMBER(FIND("#"&amp;MID(A389,2,1)&amp;"#","#0#1#2#3#4#5#6#7#8#9#")),IF(AND(VALUE(LEFT(A389,2))&gt;=1,VALUE(LEFT(A389,2))&lt;=5),VALUE(LEFT(A389,2)),""),IF(AND(VALUE(LEFT(A389,1))&gt;=1,VALUE(LEFT(A389,1))&lt;=5),VALUE(LEFT(A389,1)),"")),""),"")</f>
        <v/>
      </c>
      <c r="N389" s="25">
        <f>IF(L389=1,IF(ISNUMBER(FIND("#"&amp;MID(H389,1,1)&amp;"#","#0#1#2#3#4#5#6#7#8#9#")),IF(ISNUMBER(FIND("#"&amp;MID(H389,2,1)&amp;"#","#0#1#2#3#4#5#6#7#8#9#")),IF(AND(VALUE(LEFT(H389,2))&gt;=1,VALUE(LEFT(H389,2))&lt;=5),VALUE(LEFT(H389,2)),""),IF(AND(VALUE(LEFT(H389,1))&gt;=1,VALUE(LEFT(H389,1))&lt;=5),VALUE(LEFT(H389,1)),"")),""),"")</f>
        <v/>
      </c>
      <c r="O389" s="25">
        <f>IF(AND(L389=1,B389&lt;&gt;""),SUBSTITUTE(SUBSTITUTE(SUBSTITUTE(SUBSTITUTE(SUBSTITUTE(SUBSTITUTE(SUBSTITUTE(SUBSTITUTE(SUBSTITUTE(SUBSTITUTE(SUBSTITUTE(SUBSTITUTE(LOWER(TRIM(B389)),"á","a"),"é","e"),"í","i"),"ó","o"),"ú","u"),"ü","u"),"ñ","n"),"à","a"),"è","e"),"ì","i"),"ò","o"),"ù","u"),"")</f>
        <v/>
      </c>
      <c r="P389" s="25">
        <f>IF(AND(L389=1,C389&lt;&gt;""),SUBSTITUTE(SUBSTITUTE(SUBSTITUTE(SUBSTITUTE(SUBSTITUTE(SUBSTITUTE(SUBSTITUTE(SUBSTITUTE(SUBSTITUTE(SUBSTITUTE(SUBSTITUTE(SUBSTITUTE(LOWER(TRIM(C389)),"á","a"),"é","e"),"í","i"),"ó","o"),"ú","u"),"ü","u"),"ñ","n"),"à","a"),"è","e"),"ì","i"),"ò","o"),"ù","u"),"")</f>
        <v/>
      </c>
      <c r="Q389" s="25">
        <f>IF(AND(L389=1,E389&lt;&gt;""),SUBSTITUTE(SUBSTITUTE(SUBSTITUTE(SUBSTITUTE(SUBSTITUTE(SUBSTITUTE(SUBSTITUTE(SUBSTITUTE(SUBSTITUTE(SUBSTITUTE(SUBSTITUTE(SUBSTITUTE(LOWER(TRIM(E389)),"á","a"),"é","e"),"í","i"),"ó","o"),"ú","u"),"ü","u"),"ñ","n"),"à","a"),"è","e"),"ì","i"),"ò","o"),"ù","u"),"")</f>
        <v/>
      </c>
      <c r="R389" s="25">
        <f>IF(AND(L389=1,I389&lt;&gt;""),SUBSTITUTE(SUBSTITUTE(SUBSTITUTE(SUBSTITUTE(SUBSTITUTE(SUBSTITUTE(SUBSTITUTE(SUBSTITUTE(SUBSTITUTE(SUBSTITUTE(SUBSTITUTE(SUBSTITUTE(LOWER(TRIM(I389)),"á","a"),"é","e"),"í","i"),"ó","o"),"ú","u"),"ü","u"),"ñ","n"),"à","a"),"è","e"),"ì","i"),"ò","o"),"ù","u"),"")</f>
        <v/>
      </c>
      <c r="S389" s="25">
        <f>IF(R389="","",IF(OR(R389="si",R389="tal vez"),1,0))</f>
        <v/>
      </c>
      <c r="T389" s="25">
        <f>IF(AND(L389=1,D389&lt;&gt;""),IF(IFERROR(COUNTIFS(D$3:D389,"="&amp;SUBSTITUTE(SUBSTITUTE(SUBSTITUTE(D389,"~","~~"),"*","~*"),"?","~?"),L$3:L389,1),0)=1,MAX(T$2:T388)+1,""),"")</f>
        <v/>
      </c>
      <c r="U389" s="25">
        <f>IF(T389="","",COUNTIFS($D$3:$D$1002,"="&amp;SUBSTITUTE(SUBSTITUTE(SUBSTITUTE(D389,"~","~~"),"*","~*"),"?","~?"),$L$3:$L$1002,1)*10000-T389)</f>
        <v/>
      </c>
      <c r="V389" s="25">
        <f>IF(AND(L389=1,J389&lt;&gt;""),IF(IFERROR(COUNTIFS(J$3:J389,"="&amp;SUBSTITUTE(SUBSTITUTE(SUBSTITUTE(J389,"~","~~"),"*","~*"),"?","~?"),L$3:L389,1),0)=1,MAX(V$2:V388)+1,""),"")</f>
        <v/>
      </c>
      <c r="W389" s="25">
        <f>IF(V389="","",COUNTIFS($J$3:$J$1002,"="&amp;SUBSTITUTE(SUBSTITUTE(SUBSTITUTE(J389,"~","~~"),"*","~*"),"?","~?"),$L$3:$L$1002,1)*10000-V389)</f>
        <v/>
      </c>
    </row>
    <row r="390">
      <c r="A390">
        <f>IF(A$2=0,"",IFERROR(TRIM(INDEX('Pegar estudiantes'!$A$1:$BZ$1001,389,A$2)&amp;""),""))</f>
        <v/>
      </c>
      <c r="B390">
        <f>IF(B$2=0,"",IFERROR(TRIM(INDEX('Pegar estudiantes'!$A$1:$BZ$1001,389,B$2)&amp;""),""))</f>
        <v/>
      </c>
      <c r="C390">
        <f>IF(C$2=0,"",IFERROR(TRIM(INDEX('Pegar estudiantes'!$A$1:$BZ$1001,389,C$2)&amp;""),""))</f>
        <v/>
      </c>
      <c r="D390">
        <f>IF(D$2=0,"",IFERROR(TRIM(INDEX('Pegar estudiantes'!$A$1:$BZ$1001,389,D$2)&amp;""),""))</f>
        <v/>
      </c>
      <c r="E390">
        <f>IF(E$2=0,"",IFERROR(TRIM(INDEX('Pegar estudiantes'!$A$1:$BZ$1001,389,E$2)&amp;""),""))</f>
        <v/>
      </c>
      <c r="F390">
        <f>IF(F$2=0,"",IFERROR(TRIM(INDEX('Pegar estudiantes'!$A$1:$BZ$1001,389,F$2)&amp;""),""))</f>
        <v/>
      </c>
      <c r="G390">
        <f>IF(G$2=0,"",IFERROR(TRIM(INDEX('Pegar estudiantes'!$A$1:$BZ$1001,389,G$2)&amp;""),""))</f>
        <v/>
      </c>
      <c r="H390">
        <f>IF(H$2=0,"",IFERROR(TRIM(INDEX('Pegar estudiantes'!$A$1:$BZ$1001,389,H$2)&amp;""),""))</f>
        <v/>
      </c>
      <c r="I390">
        <f>IF(I$2=0,"",IFERROR(TRIM(INDEX('Pegar estudiantes'!$A$1:$BZ$1001,389,I$2)&amp;""),""))</f>
        <v/>
      </c>
      <c r="J390">
        <f>IF(J$2=0,"",IFERROR(TRIM(INDEX('Pegar estudiantes'!$A$1:$BZ$1001,389,J$2)&amp;""),""))</f>
        <v/>
      </c>
      <c r="K390">
        <f>IF(K$2=0,"",IFERROR(TRIM(INDEX('Pegar estudiantes'!$A$1:$BZ$1001,389,K$2)&amp;""),""))</f>
        <v/>
      </c>
      <c r="L390" s="25">
        <f>IF(A390&lt;&gt;"",1,"")</f>
        <v/>
      </c>
      <c r="M390" s="25">
        <f>IF(L390=1,IF(ISNUMBER(FIND("#"&amp;MID(A390,1,1)&amp;"#","#0#1#2#3#4#5#6#7#8#9#")),IF(ISNUMBER(FIND("#"&amp;MID(A390,2,1)&amp;"#","#0#1#2#3#4#5#6#7#8#9#")),IF(AND(VALUE(LEFT(A390,2))&gt;=1,VALUE(LEFT(A390,2))&lt;=5),VALUE(LEFT(A390,2)),""),IF(AND(VALUE(LEFT(A390,1))&gt;=1,VALUE(LEFT(A390,1))&lt;=5),VALUE(LEFT(A390,1)),"")),""),"")</f>
        <v/>
      </c>
      <c r="N390" s="25">
        <f>IF(L390=1,IF(ISNUMBER(FIND("#"&amp;MID(H390,1,1)&amp;"#","#0#1#2#3#4#5#6#7#8#9#")),IF(ISNUMBER(FIND("#"&amp;MID(H390,2,1)&amp;"#","#0#1#2#3#4#5#6#7#8#9#")),IF(AND(VALUE(LEFT(H390,2))&gt;=1,VALUE(LEFT(H390,2))&lt;=5),VALUE(LEFT(H390,2)),""),IF(AND(VALUE(LEFT(H390,1))&gt;=1,VALUE(LEFT(H390,1))&lt;=5),VALUE(LEFT(H390,1)),"")),""),"")</f>
        <v/>
      </c>
      <c r="O390" s="25">
        <f>IF(AND(L390=1,B390&lt;&gt;""),SUBSTITUTE(SUBSTITUTE(SUBSTITUTE(SUBSTITUTE(SUBSTITUTE(SUBSTITUTE(SUBSTITUTE(SUBSTITUTE(SUBSTITUTE(SUBSTITUTE(SUBSTITUTE(SUBSTITUTE(LOWER(TRIM(B390)),"á","a"),"é","e"),"í","i"),"ó","o"),"ú","u"),"ü","u"),"ñ","n"),"à","a"),"è","e"),"ì","i"),"ò","o"),"ù","u"),"")</f>
        <v/>
      </c>
      <c r="P390" s="25">
        <f>IF(AND(L390=1,C390&lt;&gt;""),SUBSTITUTE(SUBSTITUTE(SUBSTITUTE(SUBSTITUTE(SUBSTITUTE(SUBSTITUTE(SUBSTITUTE(SUBSTITUTE(SUBSTITUTE(SUBSTITUTE(SUBSTITUTE(SUBSTITUTE(LOWER(TRIM(C390)),"á","a"),"é","e"),"í","i"),"ó","o"),"ú","u"),"ü","u"),"ñ","n"),"à","a"),"è","e"),"ì","i"),"ò","o"),"ù","u"),"")</f>
        <v/>
      </c>
      <c r="Q390" s="25">
        <f>IF(AND(L390=1,E390&lt;&gt;""),SUBSTITUTE(SUBSTITUTE(SUBSTITUTE(SUBSTITUTE(SUBSTITUTE(SUBSTITUTE(SUBSTITUTE(SUBSTITUTE(SUBSTITUTE(SUBSTITUTE(SUBSTITUTE(SUBSTITUTE(LOWER(TRIM(E390)),"á","a"),"é","e"),"í","i"),"ó","o"),"ú","u"),"ü","u"),"ñ","n"),"à","a"),"è","e"),"ì","i"),"ò","o"),"ù","u"),"")</f>
        <v/>
      </c>
      <c r="R390" s="25">
        <f>IF(AND(L390=1,I390&lt;&gt;""),SUBSTITUTE(SUBSTITUTE(SUBSTITUTE(SUBSTITUTE(SUBSTITUTE(SUBSTITUTE(SUBSTITUTE(SUBSTITUTE(SUBSTITUTE(SUBSTITUTE(SUBSTITUTE(SUBSTITUTE(LOWER(TRIM(I390)),"á","a"),"é","e"),"í","i"),"ó","o"),"ú","u"),"ü","u"),"ñ","n"),"à","a"),"è","e"),"ì","i"),"ò","o"),"ù","u"),"")</f>
        <v/>
      </c>
      <c r="S390" s="25">
        <f>IF(R390="","",IF(OR(R390="si",R390="tal vez"),1,0))</f>
        <v/>
      </c>
      <c r="T390" s="25">
        <f>IF(AND(L390=1,D390&lt;&gt;""),IF(IFERROR(COUNTIFS(D$3:D390,"="&amp;SUBSTITUTE(SUBSTITUTE(SUBSTITUTE(D390,"~","~~"),"*","~*"),"?","~?"),L$3:L390,1),0)=1,MAX(T$2:T389)+1,""),"")</f>
        <v/>
      </c>
      <c r="U390" s="25">
        <f>IF(T390="","",COUNTIFS($D$3:$D$1002,"="&amp;SUBSTITUTE(SUBSTITUTE(SUBSTITUTE(D390,"~","~~"),"*","~*"),"?","~?"),$L$3:$L$1002,1)*10000-T390)</f>
        <v/>
      </c>
      <c r="V390" s="25">
        <f>IF(AND(L390=1,J390&lt;&gt;""),IF(IFERROR(COUNTIFS(J$3:J390,"="&amp;SUBSTITUTE(SUBSTITUTE(SUBSTITUTE(J390,"~","~~"),"*","~*"),"?","~?"),L$3:L390,1),0)=1,MAX(V$2:V389)+1,""),"")</f>
        <v/>
      </c>
      <c r="W390" s="25">
        <f>IF(V390="","",COUNTIFS($J$3:$J$1002,"="&amp;SUBSTITUTE(SUBSTITUTE(SUBSTITUTE(J390,"~","~~"),"*","~*"),"?","~?"),$L$3:$L$1002,1)*10000-V390)</f>
        <v/>
      </c>
    </row>
    <row r="391">
      <c r="A391">
        <f>IF(A$2=0,"",IFERROR(TRIM(INDEX('Pegar estudiantes'!$A$1:$BZ$1001,390,A$2)&amp;""),""))</f>
        <v/>
      </c>
      <c r="B391">
        <f>IF(B$2=0,"",IFERROR(TRIM(INDEX('Pegar estudiantes'!$A$1:$BZ$1001,390,B$2)&amp;""),""))</f>
        <v/>
      </c>
      <c r="C391">
        <f>IF(C$2=0,"",IFERROR(TRIM(INDEX('Pegar estudiantes'!$A$1:$BZ$1001,390,C$2)&amp;""),""))</f>
        <v/>
      </c>
      <c r="D391">
        <f>IF(D$2=0,"",IFERROR(TRIM(INDEX('Pegar estudiantes'!$A$1:$BZ$1001,390,D$2)&amp;""),""))</f>
        <v/>
      </c>
      <c r="E391">
        <f>IF(E$2=0,"",IFERROR(TRIM(INDEX('Pegar estudiantes'!$A$1:$BZ$1001,390,E$2)&amp;""),""))</f>
        <v/>
      </c>
      <c r="F391">
        <f>IF(F$2=0,"",IFERROR(TRIM(INDEX('Pegar estudiantes'!$A$1:$BZ$1001,390,F$2)&amp;""),""))</f>
        <v/>
      </c>
      <c r="G391">
        <f>IF(G$2=0,"",IFERROR(TRIM(INDEX('Pegar estudiantes'!$A$1:$BZ$1001,390,G$2)&amp;""),""))</f>
        <v/>
      </c>
      <c r="H391">
        <f>IF(H$2=0,"",IFERROR(TRIM(INDEX('Pegar estudiantes'!$A$1:$BZ$1001,390,H$2)&amp;""),""))</f>
        <v/>
      </c>
      <c r="I391">
        <f>IF(I$2=0,"",IFERROR(TRIM(INDEX('Pegar estudiantes'!$A$1:$BZ$1001,390,I$2)&amp;""),""))</f>
        <v/>
      </c>
      <c r="J391">
        <f>IF(J$2=0,"",IFERROR(TRIM(INDEX('Pegar estudiantes'!$A$1:$BZ$1001,390,J$2)&amp;""),""))</f>
        <v/>
      </c>
      <c r="K391">
        <f>IF(K$2=0,"",IFERROR(TRIM(INDEX('Pegar estudiantes'!$A$1:$BZ$1001,390,K$2)&amp;""),""))</f>
        <v/>
      </c>
      <c r="L391" s="25">
        <f>IF(A391&lt;&gt;"",1,"")</f>
        <v/>
      </c>
      <c r="M391" s="25">
        <f>IF(L391=1,IF(ISNUMBER(FIND("#"&amp;MID(A391,1,1)&amp;"#","#0#1#2#3#4#5#6#7#8#9#")),IF(ISNUMBER(FIND("#"&amp;MID(A391,2,1)&amp;"#","#0#1#2#3#4#5#6#7#8#9#")),IF(AND(VALUE(LEFT(A391,2))&gt;=1,VALUE(LEFT(A391,2))&lt;=5),VALUE(LEFT(A391,2)),""),IF(AND(VALUE(LEFT(A391,1))&gt;=1,VALUE(LEFT(A391,1))&lt;=5),VALUE(LEFT(A391,1)),"")),""),"")</f>
        <v/>
      </c>
      <c r="N391" s="25">
        <f>IF(L391=1,IF(ISNUMBER(FIND("#"&amp;MID(H391,1,1)&amp;"#","#0#1#2#3#4#5#6#7#8#9#")),IF(ISNUMBER(FIND("#"&amp;MID(H391,2,1)&amp;"#","#0#1#2#3#4#5#6#7#8#9#")),IF(AND(VALUE(LEFT(H391,2))&gt;=1,VALUE(LEFT(H391,2))&lt;=5),VALUE(LEFT(H391,2)),""),IF(AND(VALUE(LEFT(H391,1))&gt;=1,VALUE(LEFT(H391,1))&lt;=5),VALUE(LEFT(H391,1)),"")),""),"")</f>
        <v/>
      </c>
      <c r="O391" s="25">
        <f>IF(AND(L391=1,B391&lt;&gt;""),SUBSTITUTE(SUBSTITUTE(SUBSTITUTE(SUBSTITUTE(SUBSTITUTE(SUBSTITUTE(SUBSTITUTE(SUBSTITUTE(SUBSTITUTE(SUBSTITUTE(SUBSTITUTE(SUBSTITUTE(LOWER(TRIM(B391)),"á","a"),"é","e"),"í","i"),"ó","o"),"ú","u"),"ü","u"),"ñ","n"),"à","a"),"è","e"),"ì","i"),"ò","o"),"ù","u"),"")</f>
        <v/>
      </c>
      <c r="P391" s="25">
        <f>IF(AND(L391=1,C391&lt;&gt;""),SUBSTITUTE(SUBSTITUTE(SUBSTITUTE(SUBSTITUTE(SUBSTITUTE(SUBSTITUTE(SUBSTITUTE(SUBSTITUTE(SUBSTITUTE(SUBSTITUTE(SUBSTITUTE(SUBSTITUTE(LOWER(TRIM(C391)),"á","a"),"é","e"),"í","i"),"ó","o"),"ú","u"),"ü","u"),"ñ","n"),"à","a"),"è","e"),"ì","i"),"ò","o"),"ù","u"),"")</f>
        <v/>
      </c>
      <c r="Q391" s="25">
        <f>IF(AND(L391=1,E391&lt;&gt;""),SUBSTITUTE(SUBSTITUTE(SUBSTITUTE(SUBSTITUTE(SUBSTITUTE(SUBSTITUTE(SUBSTITUTE(SUBSTITUTE(SUBSTITUTE(SUBSTITUTE(SUBSTITUTE(SUBSTITUTE(LOWER(TRIM(E391)),"á","a"),"é","e"),"í","i"),"ó","o"),"ú","u"),"ü","u"),"ñ","n"),"à","a"),"è","e"),"ì","i"),"ò","o"),"ù","u"),"")</f>
        <v/>
      </c>
      <c r="R391" s="25">
        <f>IF(AND(L391=1,I391&lt;&gt;""),SUBSTITUTE(SUBSTITUTE(SUBSTITUTE(SUBSTITUTE(SUBSTITUTE(SUBSTITUTE(SUBSTITUTE(SUBSTITUTE(SUBSTITUTE(SUBSTITUTE(SUBSTITUTE(SUBSTITUTE(LOWER(TRIM(I391)),"á","a"),"é","e"),"í","i"),"ó","o"),"ú","u"),"ü","u"),"ñ","n"),"à","a"),"è","e"),"ì","i"),"ò","o"),"ù","u"),"")</f>
        <v/>
      </c>
      <c r="S391" s="25">
        <f>IF(R391="","",IF(OR(R391="si",R391="tal vez"),1,0))</f>
        <v/>
      </c>
      <c r="T391" s="25">
        <f>IF(AND(L391=1,D391&lt;&gt;""),IF(IFERROR(COUNTIFS(D$3:D391,"="&amp;SUBSTITUTE(SUBSTITUTE(SUBSTITUTE(D391,"~","~~"),"*","~*"),"?","~?"),L$3:L391,1),0)=1,MAX(T$2:T390)+1,""),"")</f>
        <v/>
      </c>
      <c r="U391" s="25">
        <f>IF(T391="","",COUNTIFS($D$3:$D$1002,"="&amp;SUBSTITUTE(SUBSTITUTE(SUBSTITUTE(D391,"~","~~"),"*","~*"),"?","~?"),$L$3:$L$1002,1)*10000-T391)</f>
        <v/>
      </c>
      <c r="V391" s="25">
        <f>IF(AND(L391=1,J391&lt;&gt;""),IF(IFERROR(COUNTIFS(J$3:J391,"="&amp;SUBSTITUTE(SUBSTITUTE(SUBSTITUTE(J391,"~","~~"),"*","~*"),"?","~?"),L$3:L391,1),0)=1,MAX(V$2:V390)+1,""),"")</f>
        <v/>
      </c>
      <c r="W391" s="25">
        <f>IF(V391="","",COUNTIFS($J$3:$J$1002,"="&amp;SUBSTITUTE(SUBSTITUTE(SUBSTITUTE(J391,"~","~~"),"*","~*"),"?","~?"),$L$3:$L$1002,1)*10000-V391)</f>
        <v/>
      </c>
    </row>
    <row r="392">
      <c r="A392">
        <f>IF(A$2=0,"",IFERROR(TRIM(INDEX('Pegar estudiantes'!$A$1:$BZ$1001,391,A$2)&amp;""),""))</f>
        <v/>
      </c>
      <c r="B392">
        <f>IF(B$2=0,"",IFERROR(TRIM(INDEX('Pegar estudiantes'!$A$1:$BZ$1001,391,B$2)&amp;""),""))</f>
        <v/>
      </c>
      <c r="C392">
        <f>IF(C$2=0,"",IFERROR(TRIM(INDEX('Pegar estudiantes'!$A$1:$BZ$1001,391,C$2)&amp;""),""))</f>
        <v/>
      </c>
      <c r="D392">
        <f>IF(D$2=0,"",IFERROR(TRIM(INDEX('Pegar estudiantes'!$A$1:$BZ$1001,391,D$2)&amp;""),""))</f>
        <v/>
      </c>
      <c r="E392">
        <f>IF(E$2=0,"",IFERROR(TRIM(INDEX('Pegar estudiantes'!$A$1:$BZ$1001,391,E$2)&amp;""),""))</f>
        <v/>
      </c>
      <c r="F392">
        <f>IF(F$2=0,"",IFERROR(TRIM(INDEX('Pegar estudiantes'!$A$1:$BZ$1001,391,F$2)&amp;""),""))</f>
        <v/>
      </c>
      <c r="G392">
        <f>IF(G$2=0,"",IFERROR(TRIM(INDEX('Pegar estudiantes'!$A$1:$BZ$1001,391,G$2)&amp;""),""))</f>
        <v/>
      </c>
      <c r="H392">
        <f>IF(H$2=0,"",IFERROR(TRIM(INDEX('Pegar estudiantes'!$A$1:$BZ$1001,391,H$2)&amp;""),""))</f>
        <v/>
      </c>
      <c r="I392">
        <f>IF(I$2=0,"",IFERROR(TRIM(INDEX('Pegar estudiantes'!$A$1:$BZ$1001,391,I$2)&amp;""),""))</f>
        <v/>
      </c>
      <c r="J392">
        <f>IF(J$2=0,"",IFERROR(TRIM(INDEX('Pegar estudiantes'!$A$1:$BZ$1001,391,J$2)&amp;""),""))</f>
        <v/>
      </c>
      <c r="K392">
        <f>IF(K$2=0,"",IFERROR(TRIM(INDEX('Pegar estudiantes'!$A$1:$BZ$1001,391,K$2)&amp;""),""))</f>
        <v/>
      </c>
      <c r="L392" s="25">
        <f>IF(A392&lt;&gt;"",1,"")</f>
        <v/>
      </c>
      <c r="M392" s="25">
        <f>IF(L392=1,IF(ISNUMBER(FIND("#"&amp;MID(A392,1,1)&amp;"#","#0#1#2#3#4#5#6#7#8#9#")),IF(ISNUMBER(FIND("#"&amp;MID(A392,2,1)&amp;"#","#0#1#2#3#4#5#6#7#8#9#")),IF(AND(VALUE(LEFT(A392,2))&gt;=1,VALUE(LEFT(A392,2))&lt;=5),VALUE(LEFT(A392,2)),""),IF(AND(VALUE(LEFT(A392,1))&gt;=1,VALUE(LEFT(A392,1))&lt;=5),VALUE(LEFT(A392,1)),"")),""),"")</f>
        <v/>
      </c>
      <c r="N392" s="25">
        <f>IF(L392=1,IF(ISNUMBER(FIND("#"&amp;MID(H392,1,1)&amp;"#","#0#1#2#3#4#5#6#7#8#9#")),IF(ISNUMBER(FIND("#"&amp;MID(H392,2,1)&amp;"#","#0#1#2#3#4#5#6#7#8#9#")),IF(AND(VALUE(LEFT(H392,2))&gt;=1,VALUE(LEFT(H392,2))&lt;=5),VALUE(LEFT(H392,2)),""),IF(AND(VALUE(LEFT(H392,1))&gt;=1,VALUE(LEFT(H392,1))&lt;=5),VALUE(LEFT(H392,1)),"")),""),"")</f>
        <v/>
      </c>
      <c r="O392" s="25">
        <f>IF(AND(L392=1,B392&lt;&gt;""),SUBSTITUTE(SUBSTITUTE(SUBSTITUTE(SUBSTITUTE(SUBSTITUTE(SUBSTITUTE(SUBSTITUTE(SUBSTITUTE(SUBSTITUTE(SUBSTITUTE(SUBSTITUTE(SUBSTITUTE(LOWER(TRIM(B392)),"á","a"),"é","e"),"í","i"),"ó","o"),"ú","u"),"ü","u"),"ñ","n"),"à","a"),"è","e"),"ì","i"),"ò","o"),"ù","u"),"")</f>
        <v/>
      </c>
      <c r="P392" s="25">
        <f>IF(AND(L392=1,C392&lt;&gt;""),SUBSTITUTE(SUBSTITUTE(SUBSTITUTE(SUBSTITUTE(SUBSTITUTE(SUBSTITUTE(SUBSTITUTE(SUBSTITUTE(SUBSTITUTE(SUBSTITUTE(SUBSTITUTE(SUBSTITUTE(LOWER(TRIM(C392)),"á","a"),"é","e"),"í","i"),"ó","o"),"ú","u"),"ü","u"),"ñ","n"),"à","a"),"è","e"),"ì","i"),"ò","o"),"ù","u"),"")</f>
        <v/>
      </c>
      <c r="Q392" s="25">
        <f>IF(AND(L392=1,E392&lt;&gt;""),SUBSTITUTE(SUBSTITUTE(SUBSTITUTE(SUBSTITUTE(SUBSTITUTE(SUBSTITUTE(SUBSTITUTE(SUBSTITUTE(SUBSTITUTE(SUBSTITUTE(SUBSTITUTE(SUBSTITUTE(LOWER(TRIM(E392)),"á","a"),"é","e"),"í","i"),"ó","o"),"ú","u"),"ü","u"),"ñ","n"),"à","a"),"è","e"),"ì","i"),"ò","o"),"ù","u"),"")</f>
        <v/>
      </c>
      <c r="R392" s="25">
        <f>IF(AND(L392=1,I392&lt;&gt;""),SUBSTITUTE(SUBSTITUTE(SUBSTITUTE(SUBSTITUTE(SUBSTITUTE(SUBSTITUTE(SUBSTITUTE(SUBSTITUTE(SUBSTITUTE(SUBSTITUTE(SUBSTITUTE(SUBSTITUTE(LOWER(TRIM(I392)),"á","a"),"é","e"),"í","i"),"ó","o"),"ú","u"),"ü","u"),"ñ","n"),"à","a"),"è","e"),"ì","i"),"ò","o"),"ù","u"),"")</f>
        <v/>
      </c>
      <c r="S392" s="25">
        <f>IF(R392="","",IF(OR(R392="si",R392="tal vez"),1,0))</f>
        <v/>
      </c>
      <c r="T392" s="25">
        <f>IF(AND(L392=1,D392&lt;&gt;""),IF(IFERROR(COUNTIFS(D$3:D392,"="&amp;SUBSTITUTE(SUBSTITUTE(SUBSTITUTE(D392,"~","~~"),"*","~*"),"?","~?"),L$3:L392,1),0)=1,MAX(T$2:T391)+1,""),"")</f>
        <v/>
      </c>
      <c r="U392" s="25">
        <f>IF(T392="","",COUNTIFS($D$3:$D$1002,"="&amp;SUBSTITUTE(SUBSTITUTE(SUBSTITUTE(D392,"~","~~"),"*","~*"),"?","~?"),$L$3:$L$1002,1)*10000-T392)</f>
        <v/>
      </c>
      <c r="V392" s="25">
        <f>IF(AND(L392=1,J392&lt;&gt;""),IF(IFERROR(COUNTIFS(J$3:J392,"="&amp;SUBSTITUTE(SUBSTITUTE(SUBSTITUTE(J392,"~","~~"),"*","~*"),"?","~?"),L$3:L392,1),0)=1,MAX(V$2:V391)+1,""),"")</f>
        <v/>
      </c>
      <c r="W392" s="25">
        <f>IF(V392="","",COUNTIFS($J$3:$J$1002,"="&amp;SUBSTITUTE(SUBSTITUTE(SUBSTITUTE(J392,"~","~~"),"*","~*"),"?","~?"),$L$3:$L$1002,1)*10000-V392)</f>
        <v/>
      </c>
    </row>
    <row r="393">
      <c r="A393">
        <f>IF(A$2=0,"",IFERROR(TRIM(INDEX('Pegar estudiantes'!$A$1:$BZ$1001,392,A$2)&amp;""),""))</f>
        <v/>
      </c>
      <c r="B393">
        <f>IF(B$2=0,"",IFERROR(TRIM(INDEX('Pegar estudiantes'!$A$1:$BZ$1001,392,B$2)&amp;""),""))</f>
        <v/>
      </c>
      <c r="C393">
        <f>IF(C$2=0,"",IFERROR(TRIM(INDEX('Pegar estudiantes'!$A$1:$BZ$1001,392,C$2)&amp;""),""))</f>
        <v/>
      </c>
      <c r="D393">
        <f>IF(D$2=0,"",IFERROR(TRIM(INDEX('Pegar estudiantes'!$A$1:$BZ$1001,392,D$2)&amp;""),""))</f>
        <v/>
      </c>
      <c r="E393">
        <f>IF(E$2=0,"",IFERROR(TRIM(INDEX('Pegar estudiantes'!$A$1:$BZ$1001,392,E$2)&amp;""),""))</f>
        <v/>
      </c>
      <c r="F393">
        <f>IF(F$2=0,"",IFERROR(TRIM(INDEX('Pegar estudiantes'!$A$1:$BZ$1001,392,F$2)&amp;""),""))</f>
        <v/>
      </c>
      <c r="G393">
        <f>IF(G$2=0,"",IFERROR(TRIM(INDEX('Pegar estudiantes'!$A$1:$BZ$1001,392,G$2)&amp;""),""))</f>
        <v/>
      </c>
      <c r="H393">
        <f>IF(H$2=0,"",IFERROR(TRIM(INDEX('Pegar estudiantes'!$A$1:$BZ$1001,392,H$2)&amp;""),""))</f>
        <v/>
      </c>
      <c r="I393">
        <f>IF(I$2=0,"",IFERROR(TRIM(INDEX('Pegar estudiantes'!$A$1:$BZ$1001,392,I$2)&amp;""),""))</f>
        <v/>
      </c>
      <c r="J393">
        <f>IF(J$2=0,"",IFERROR(TRIM(INDEX('Pegar estudiantes'!$A$1:$BZ$1001,392,J$2)&amp;""),""))</f>
        <v/>
      </c>
      <c r="K393">
        <f>IF(K$2=0,"",IFERROR(TRIM(INDEX('Pegar estudiantes'!$A$1:$BZ$1001,392,K$2)&amp;""),""))</f>
        <v/>
      </c>
      <c r="L393" s="25">
        <f>IF(A393&lt;&gt;"",1,"")</f>
        <v/>
      </c>
      <c r="M393" s="25">
        <f>IF(L393=1,IF(ISNUMBER(FIND("#"&amp;MID(A393,1,1)&amp;"#","#0#1#2#3#4#5#6#7#8#9#")),IF(ISNUMBER(FIND("#"&amp;MID(A393,2,1)&amp;"#","#0#1#2#3#4#5#6#7#8#9#")),IF(AND(VALUE(LEFT(A393,2))&gt;=1,VALUE(LEFT(A393,2))&lt;=5),VALUE(LEFT(A393,2)),""),IF(AND(VALUE(LEFT(A393,1))&gt;=1,VALUE(LEFT(A393,1))&lt;=5),VALUE(LEFT(A393,1)),"")),""),"")</f>
        <v/>
      </c>
      <c r="N393" s="25">
        <f>IF(L393=1,IF(ISNUMBER(FIND("#"&amp;MID(H393,1,1)&amp;"#","#0#1#2#3#4#5#6#7#8#9#")),IF(ISNUMBER(FIND("#"&amp;MID(H393,2,1)&amp;"#","#0#1#2#3#4#5#6#7#8#9#")),IF(AND(VALUE(LEFT(H393,2))&gt;=1,VALUE(LEFT(H393,2))&lt;=5),VALUE(LEFT(H393,2)),""),IF(AND(VALUE(LEFT(H393,1))&gt;=1,VALUE(LEFT(H393,1))&lt;=5),VALUE(LEFT(H393,1)),"")),""),"")</f>
        <v/>
      </c>
      <c r="O393" s="25">
        <f>IF(AND(L393=1,B393&lt;&gt;""),SUBSTITUTE(SUBSTITUTE(SUBSTITUTE(SUBSTITUTE(SUBSTITUTE(SUBSTITUTE(SUBSTITUTE(SUBSTITUTE(SUBSTITUTE(SUBSTITUTE(SUBSTITUTE(SUBSTITUTE(LOWER(TRIM(B393)),"á","a"),"é","e"),"í","i"),"ó","o"),"ú","u"),"ü","u"),"ñ","n"),"à","a"),"è","e"),"ì","i"),"ò","o"),"ù","u"),"")</f>
        <v/>
      </c>
      <c r="P393" s="25">
        <f>IF(AND(L393=1,C393&lt;&gt;""),SUBSTITUTE(SUBSTITUTE(SUBSTITUTE(SUBSTITUTE(SUBSTITUTE(SUBSTITUTE(SUBSTITUTE(SUBSTITUTE(SUBSTITUTE(SUBSTITUTE(SUBSTITUTE(SUBSTITUTE(LOWER(TRIM(C393)),"á","a"),"é","e"),"í","i"),"ó","o"),"ú","u"),"ü","u"),"ñ","n"),"à","a"),"è","e"),"ì","i"),"ò","o"),"ù","u"),"")</f>
        <v/>
      </c>
      <c r="Q393" s="25">
        <f>IF(AND(L393=1,E393&lt;&gt;""),SUBSTITUTE(SUBSTITUTE(SUBSTITUTE(SUBSTITUTE(SUBSTITUTE(SUBSTITUTE(SUBSTITUTE(SUBSTITUTE(SUBSTITUTE(SUBSTITUTE(SUBSTITUTE(SUBSTITUTE(LOWER(TRIM(E393)),"á","a"),"é","e"),"í","i"),"ó","o"),"ú","u"),"ü","u"),"ñ","n"),"à","a"),"è","e"),"ì","i"),"ò","o"),"ù","u"),"")</f>
        <v/>
      </c>
      <c r="R393" s="25">
        <f>IF(AND(L393=1,I393&lt;&gt;""),SUBSTITUTE(SUBSTITUTE(SUBSTITUTE(SUBSTITUTE(SUBSTITUTE(SUBSTITUTE(SUBSTITUTE(SUBSTITUTE(SUBSTITUTE(SUBSTITUTE(SUBSTITUTE(SUBSTITUTE(LOWER(TRIM(I393)),"á","a"),"é","e"),"í","i"),"ó","o"),"ú","u"),"ü","u"),"ñ","n"),"à","a"),"è","e"),"ì","i"),"ò","o"),"ù","u"),"")</f>
        <v/>
      </c>
      <c r="S393" s="25">
        <f>IF(R393="","",IF(OR(R393="si",R393="tal vez"),1,0))</f>
        <v/>
      </c>
      <c r="T393" s="25">
        <f>IF(AND(L393=1,D393&lt;&gt;""),IF(IFERROR(COUNTIFS(D$3:D393,"="&amp;SUBSTITUTE(SUBSTITUTE(SUBSTITUTE(D393,"~","~~"),"*","~*"),"?","~?"),L$3:L393,1),0)=1,MAX(T$2:T392)+1,""),"")</f>
        <v/>
      </c>
      <c r="U393" s="25">
        <f>IF(T393="","",COUNTIFS($D$3:$D$1002,"="&amp;SUBSTITUTE(SUBSTITUTE(SUBSTITUTE(D393,"~","~~"),"*","~*"),"?","~?"),$L$3:$L$1002,1)*10000-T393)</f>
        <v/>
      </c>
      <c r="V393" s="25">
        <f>IF(AND(L393=1,J393&lt;&gt;""),IF(IFERROR(COUNTIFS(J$3:J393,"="&amp;SUBSTITUTE(SUBSTITUTE(SUBSTITUTE(J393,"~","~~"),"*","~*"),"?","~?"),L$3:L393,1),0)=1,MAX(V$2:V392)+1,""),"")</f>
        <v/>
      </c>
      <c r="W393" s="25">
        <f>IF(V393="","",COUNTIFS($J$3:$J$1002,"="&amp;SUBSTITUTE(SUBSTITUTE(SUBSTITUTE(J393,"~","~~"),"*","~*"),"?","~?"),$L$3:$L$1002,1)*10000-V393)</f>
        <v/>
      </c>
    </row>
    <row r="394">
      <c r="A394">
        <f>IF(A$2=0,"",IFERROR(TRIM(INDEX('Pegar estudiantes'!$A$1:$BZ$1001,393,A$2)&amp;""),""))</f>
        <v/>
      </c>
      <c r="B394">
        <f>IF(B$2=0,"",IFERROR(TRIM(INDEX('Pegar estudiantes'!$A$1:$BZ$1001,393,B$2)&amp;""),""))</f>
        <v/>
      </c>
      <c r="C394">
        <f>IF(C$2=0,"",IFERROR(TRIM(INDEX('Pegar estudiantes'!$A$1:$BZ$1001,393,C$2)&amp;""),""))</f>
        <v/>
      </c>
      <c r="D394">
        <f>IF(D$2=0,"",IFERROR(TRIM(INDEX('Pegar estudiantes'!$A$1:$BZ$1001,393,D$2)&amp;""),""))</f>
        <v/>
      </c>
      <c r="E394">
        <f>IF(E$2=0,"",IFERROR(TRIM(INDEX('Pegar estudiantes'!$A$1:$BZ$1001,393,E$2)&amp;""),""))</f>
        <v/>
      </c>
      <c r="F394">
        <f>IF(F$2=0,"",IFERROR(TRIM(INDEX('Pegar estudiantes'!$A$1:$BZ$1001,393,F$2)&amp;""),""))</f>
        <v/>
      </c>
      <c r="G394">
        <f>IF(G$2=0,"",IFERROR(TRIM(INDEX('Pegar estudiantes'!$A$1:$BZ$1001,393,G$2)&amp;""),""))</f>
        <v/>
      </c>
      <c r="H394">
        <f>IF(H$2=0,"",IFERROR(TRIM(INDEX('Pegar estudiantes'!$A$1:$BZ$1001,393,H$2)&amp;""),""))</f>
        <v/>
      </c>
      <c r="I394">
        <f>IF(I$2=0,"",IFERROR(TRIM(INDEX('Pegar estudiantes'!$A$1:$BZ$1001,393,I$2)&amp;""),""))</f>
        <v/>
      </c>
      <c r="J394">
        <f>IF(J$2=0,"",IFERROR(TRIM(INDEX('Pegar estudiantes'!$A$1:$BZ$1001,393,J$2)&amp;""),""))</f>
        <v/>
      </c>
      <c r="K394">
        <f>IF(K$2=0,"",IFERROR(TRIM(INDEX('Pegar estudiantes'!$A$1:$BZ$1001,393,K$2)&amp;""),""))</f>
        <v/>
      </c>
      <c r="L394" s="25">
        <f>IF(A394&lt;&gt;"",1,"")</f>
        <v/>
      </c>
      <c r="M394" s="25">
        <f>IF(L394=1,IF(ISNUMBER(FIND("#"&amp;MID(A394,1,1)&amp;"#","#0#1#2#3#4#5#6#7#8#9#")),IF(ISNUMBER(FIND("#"&amp;MID(A394,2,1)&amp;"#","#0#1#2#3#4#5#6#7#8#9#")),IF(AND(VALUE(LEFT(A394,2))&gt;=1,VALUE(LEFT(A394,2))&lt;=5),VALUE(LEFT(A394,2)),""),IF(AND(VALUE(LEFT(A394,1))&gt;=1,VALUE(LEFT(A394,1))&lt;=5),VALUE(LEFT(A394,1)),"")),""),"")</f>
        <v/>
      </c>
      <c r="N394" s="25">
        <f>IF(L394=1,IF(ISNUMBER(FIND("#"&amp;MID(H394,1,1)&amp;"#","#0#1#2#3#4#5#6#7#8#9#")),IF(ISNUMBER(FIND("#"&amp;MID(H394,2,1)&amp;"#","#0#1#2#3#4#5#6#7#8#9#")),IF(AND(VALUE(LEFT(H394,2))&gt;=1,VALUE(LEFT(H394,2))&lt;=5),VALUE(LEFT(H394,2)),""),IF(AND(VALUE(LEFT(H394,1))&gt;=1,VALUE(LEFT(H394,1))&lt;=5),VALUE(LEFT(H394,1)),"")),""),"")</f>
        <v/>
      </c>
      <c r="O394" s="25">
        <f>IF(AND(L394=1,B394&lt;&gt;""),SUBSTITUTE(SUBSTITUTE(SUBSTITUTE(SUBSTITUTE(SUBSTITUTE(SUBSTITUTE(SUBSTITUTE(SUBSTITUTE(SUBSTITUTE(SUBSTITUTE(SUBSTITUTE(SUBSTITUTE(LOWER(TRIM(B394)),"á","a"),"é","e"),"í","i"),"ó","o"),"ú","u"),"ü","u"),"ñ","n"),"à","a"),"è","e"),"ì","i"),"ò","o"),"ù","u"),"")</f>
        <v/>
      </c>
      <c r="P394" s="25">
        <f>IF(AND(L394=1,C394&lt;&gt;""),SUBSTITUTE(SUBSTITUTE(SUBSTITUTE(SUBSTITUTE(SUBSTITUTE(SUBSTITUTE(SUBSTITUTE(SUBSTITUTE(SUBSTITUTE(SUBSTITUTE(SUBSTITUTE(SUBSTITUTE(LOWER(TRIM(C394)),"á","a"),"é","e"),"í","i"),"ó","o"),"ú","u"),"ü","u"),"ñ","n"),"à","a"),"è","e"),"ì","i"),"ò","o"),"ù","u"),"")</f>
        <v/>
      </c>
      <c r="Q394" s="25">
        <f>IF(AND(L394=1,E394&lt;&gt;""),SUBSTITUTE(SUBSTITUTE(SUBSTITUTE(SUBSTITUTE(SUBSTITUTE(SUBSTITUTE(SUBSTITUTE(SUBSTITUTE(SUBSTITUTE(SUBSTITUTE(SUBSTITUTE(SUBSTITUTE(LOWER(TRIM(E394)),"á","a"),"é","e"),"í","i"),"ó","o"),"ú","u"),"ü","u"),"ñ","n"),"à","a"),"è","e"),"ì","i"),"ò","o"),"ù","u"),"")</f>
        <v/>
      </c>
      <c r="R394" s="25">
        <f>IF(AND(L394=1,I394&lt;&gt;""),SUBSTITUTE(SUBSTITUTE(SUBSTITUTE(SUBSTITUTE(SUBSTITUTE(SUBSTITUTE(SUBSTITUTE(SUBSTITUTE(SUBSTITUTE(SUBSTITUTE(SUBSTITUTE(SUBSTITUTE(LOWER(TRIM(I394)),"á","a"),"é","e"),"í","i"),"ó","o"),"ú","u"),"ü","u"),"ñ","n"),"à","a"),"è","e"),"ì","i"),"ò","o"),"ù","u"),"")</f>
        <v/>
      </c>
      <c r="S394" s="25">
        <f>IF(R394="","",IF(OR(R394="si",R394="tal vez"),1,0))</f>
        <v/>
      </c>
      <c r="T394" s="25">
        <f>IF(AND(L394=1,D394&lt;&gt;""),IF(IFERROR(COUNTIFS(D$3:D394,"="&amp;SUBSTITUTE(SUBSTITUTE(SUBSTITUTE(D394,"~","~~"),"*","~*"),"?","~?"),L$3:L394,1),0)=1,MAX(T$2:T393)+1,""),"")</f>
        <v/>
      </c>
      <c r="U394" s="25">
        <f>IF(T394="","",COUNTIFS($D$3:$D$1002,"="&amp;SUBSTITUTE(SUBSTITUTE(SUBSTITUTE(D394,"~","~~"),"*","~*"),"?","~?"),$L$3:$L$1002,1)*10000-T394)</f>
        <v/>
      </c>
      <c r="V394" s="25">
        <f>IF(AND(L394=1,J394&lt;&gt;""),IF(IFERROR(COUNTIFS(J$3:J394,"="&amp;SUBSTITUTE(SUBSTITUTE(SUBSTITUTE(J394,"~","~~"),"*","~*"),"?","~?"),L$3:L394,1),0)=1,MAX(V$2:V393)+1,""),"")</f>
        <v/>
      </c>
      <c r="W394" s="25">
        <f>IF(V394="","",COUNTIFS($J$3:$J$1002,"="&amp;SUBSTITUTE(SUBSTITUTE(SUBSTITUTE(J394,"~","~~"),"*","~*"),"?","~?"),$L$3:$L$1002,1)*10000-V394)</f>
        <v/>
      </c>
    </row>
    <row r="395">
      <c r="A395">
        <f>IF(A$2=0,"",IFERROR(TRIM(INDEX('Pegar estudiantes'!$A$1:$BZ$1001,394,A$2)&amp;""),""))</f>
        <v/>
      </c>
      <c r="B395">
        <f>IF(B$2=0,"",IFERROR(TRIM(INDEX('Pegar estudiantes'!$A$1:$BZ$1001,394,B$2)&amp;""),""))</f>
        <v/>
      </c>
      <c r="C395">
        <f>IF(C$2=0,"",IFERROR(TRIM(INDEX('Pegar estudiantes'!$A$1:$BZ$1001,394,C$2)&amp;""),""))</f>
        <v/>
      </c>
      <c r="D395">
        <f>IF(D$2=0,"",IFERROR(TRIM(INDEX('Pegar estudiantes'!$A$1:$BZ$1001,394,D$2)&amp;""),""))</f>
        <v/>
      </c>
      <c r="E395">
        <f>IF(E$2=0,"",IFERROR(TRIM(INDEX('Pegar estudiantes'!$A$1:$BZ$1001,394,E$2)&amp;""),""))</f>
        <v/>
      </c>
      <c r="F395">
        <f>IF(F$2=0,"",IFERROR(TRIM(INDEX('Pegar estudiantes'!$A$1:$BZ$1001,394,F$2)&amp;""),""))</f>
        <v/>
      </c>
      <c r="G395">
        <f>IF(G$2=0,"",IFERROR(TRIM(INDEX('Pegar estudiantes'!$A$1:$BZ$1001,394,G$2)&amp;""),""))</f>
        <v/>
      </c>
      <c r="H395">
        <f>IF(H$2=0,"",IFERROR(TRIM(INDEX('Pegar estudiantes'!$A$1:$BZ$1001,394,H$2)&amp;""),""))</f>
        <v/>
      </c>
      <c r="I395">
        <f>IF(I$2=0,"",IFERROR(TRIM(INDEX('Pegar estudiantes'!$A$1:$BZ$1001,394,I$2)&amp;""),""))</f>
        <v/>
      </c>
      <c r="J395">
        <f>IF(J$2=0,"",IFERROR(TRIM(INDEX('Pegar estudiantes'!$A$1:$BZ$1001,394,J$2)&amp;""),""))</f>
        <v/>
      </c>
      <c r="K395">
        <f>IF(K$2=0,"",IFERROR(TRIM(INDEX('Pegar estudiantes'!$A$1:$BZ$1001,394,K$2)&amp;""),""))</f>
        <v/>
      </c>
      <c r="L395" s="25">
        <f>IF(A395&lt;&gt;"",1,"")</f>
        <v/>
      </c>
      <c r="M395" s="25">
        <f>IF(L395=1,IF(ISNUMBER(FIND("#"&amp;MID(A395,1,1)&amp;"#","#0#1#2#3#4#5#6#7#8#9#")),IF(ISNUMBER(FIND("#"&amp;MID(A395,2,1)&amp;"#","#0#1#2#3#4#5#6#7#8#9#")),IF(AND(VALUE(LEFT(A395,2))&gt;=1,VALUE(LEFT(A395,2))&lt;=5),VALUE(LEFT(A395,2)),""),IF(AND(VALUE(LEFT(A395,1))&gt;=1,VALUE(LEFT(A395,1))&lt;=5),VALUE(LEFT(A395,1)),"")),""),"")</f>
        <v/>
      </c>
      <c r="N395" s="25">
        <f>IF(L395=1,IF(ISNUMBER(FIND("#"&amp;MID(H395,1,1)&amp;"#","#0#1#2#3#4#5#6#7#8#9#")),IF(ISNUMBER(FIND("#"&amp;MID(H395,2,1)&amp;"#","#0#1#2#3#4#5#6#7#8#9#")),IF(AND(VALUE(LEFT(H395,2))&gt;=1,VALUE(LEFT(H395,2))&lt;=5),VALUE(LEFT(H395,2)),""),IF(AND(VALUE(LEFT(H395,1))&gt;=1,VALUE(LEFT(H395,1))&lt;=5),VALUE(LEFT(H395,1)),"")),""),"")</f>
        <v/>
      </c>
      <c r="O395" s="25">
        <f>IF(AND(L395=1,B395&lt;&gt;""),SUBSTITUTE(SUBSTITUTE(SUBSTITUTE(SUBSTITUTE(SUBSTITUTE(SUBSTITUTE(SUBSTITUTE(SUBSTITUTE(SUBSTITUTE(SUBSTITUTE(SUBSTITUTE(SUBSTITUTE(LOWER(TRIM(B395)),"á","a"),"é","e"),"í","i"),"ó","o"),"ú","u"),"ü","u"),"ñ","n"),"à","a"),"è","e"),"ì","i"),"ò","o"),"ù","u"),"")</f>
        <v/>
      </c>
      <c r="P395" s="25">
        <f>IF(AND(L395=1,C395&lt;&gt;""),SUBSTITUTE(SUBSTITUTE(SUBSTITUTE(SUBSTITUTE(SUBSTITUTE(SUBSTITUTE(SUBSTITUTE(SUBSTITUTE(SUBSTITUTE(SUBSTITUTE(SUBSTITUTE(SUBSTITUTE(LOWER(TRIM(C395)),"á","a"),"é","e"),"í","i"),"ó","o"),"ú","u"),"ü","u"),"ñ","n"),"à","a"),"è","e"),"ì","i"),"ò","o"),"ù","u"),"")</f>
        <v/>
      </c>
      <c r="Q395" s="25">
        <f>IF(AND(L395=1,E395&lt;&gt;""),SUBSTITUTE(SUBSTITUTE(SUBSTITUTE(SUBSTITUTE(SUBSTITUTE(SUBSTITUTE(SUBSTITUTE(SUBSTITUTE(SUBSTITUTE(SUBSTITUTE(SUBSTITUTE(SUBSTITUTE(LOWER(TRIM(E395)),"á","a"),"é","e"),"í","i"),"ó","o"),"ú","u"),"ü","u"),"ñ","n"),"à","a"),"è","e"),"ì","i"),"ò","o"),"ù","u"),"")</f>
        <v/>
      </c>
      <c r="R395" s="25">
        <f>IF(AND(L395=1,I395&lt;&gt;""),SUBSTITUTE(SUBSTITUTE(SUBSTITUTE(SUBSTITUTE(SUBSTITUTE(SUBSTITUTE(SUBSTITUTE(SUBSTITUTE(SUBSTITUTE(SUBSTITUTE(SUBSTITUTE(SUBSTITUTE(LOWER(TRIM(I395)),"á","a"),"é","e"),"í","i"),"ó","o"),"ú","u"),"ü","u"),"ñ","n"),"à","a"),"è","e"),"ì","i"),"ò","o"),"ù","u"),"")</f>
        <v/>
      </c>
      <c r="S395" s="25">
        <f>IF(R395="","",IF(OR(R395="si",R395="tal vez"),1,0))</f>
        <v/>
      </c>
      <c r="T395" s="25">
        <f>IF(AND(L395=1,D395&lt;&gt;""),IF(IFERROR(COUNTIFS(D$3:D395,"="&amp;SUBSTITUTE(SUBSTITUTE(SUBSTITUTE(D395,"~","~~"),"*","~*"),"?","~?"),L$3:L395,1),0)=1,MAX(T$2:T394)+1,""),"")</f>
        <v/>
      </c>
      <c r="U395" s="25">
        <f>IF(T395="","",COUNTIFS($D$3:$D$1002,"="&amp;SUBSTITUTE(SUBSTITUTE(SUBSTITUTE(D395,"~","~~"),"*","~*"),"?","~?"),$L$3:$L$1002,1)*10000-T395)</f>
        <v/>
      </c>
      <c r="V395" s="25">
        <f>IF(AND(L395=1,J395&lt;&gt;""),IF(IFERROR(COUNTIFS(J$3:J395,"="&amp;SUBSTITUTE(SUBSTITUTE(SUBSTITUTE(J395,"~","~~"),"*","~*"),"?","~?"),L$3:L395,1),0)=1,MAX(V$2:V394)+1,""),"")</f>
        <v/>
      </c>
      <c r="W395" s="25">
        <f>IF(V395="","",COUNTIFS($J$3:$J$1002,"="&amp;SUBSTITUTE(SUBSTITUTE(SUBSTITUTE(J395,"~","~~"),"*","~*"),"?","~?"),$L$3:$L$1002,1)*10000-V395)</f>
        <v/>
      </c>
    </row>
    <row r="396">
      <c r="A396">
        <f>IF(A$2=0,"",IFERROR(TRIM(INDEX('Pegar estudiantes'!$A$1:$BZ$1001,395,A$2)&amp;""),""))</f>
        <v/>
      </c>
      <c r="B396">
        <f>IF(B$2=0,"",IFERROR(TRIM(INDEX('Pegar estudiantes'!$A$1:$BZ$1001,395,B$2)&amp;""),""))</f>
        <v/>
      </c>
      <c r="C396">
        <f>IF(C$2=0,"",IFERROR(TRIM(INDEX('Pegar estudiantes'!$A$1:$BZ$1001,395,C$2)&amp;""),""))</f>
        <v/>
      </c>
      <c r="D396">
        <f>IF(D$2=0,"",IFERROR(TRIM(INDEX('Pegar estudiantes'!$A$1:$BZ$1001,395,D$2)&amp;""),""))</f>
        <v/>
      </c>
      <c r="E396">
        <f>IF(E$2=0,"",IFERROR(TRIM(INDEX('Pegar estudiantes'!$A$1:$BZ$1001,395,E$2)&amp;""),""))</f>
        <v/>
      </c>
      <c r="F396">
        <f>IF(F$2=0,"",IFERROR(TRIM(INDEX('Pegar estudiantes'!$A$1:$BZ$1001,395,F$2)&amp;""),""))</f>
        <v/>
      </c>
      <c r="G396">
        <f>IF(G$2=0,"",IFERROR(TRIM(INDEX('Pegar estudiantes'!$A$1:$BZ$1001,395,G$2)&amp;""),""))</f>
        <v/>
      </c>
      <c r="H396">
        <f>IF(H$2=0,"",IFERROR(TRIM(INDEX('Pegar estudiantes'!$A$1:$BZ$1001,395,H$2)&amp;""),""))</f>
        <v/>
      </c>
      <c r="I396">
        <f>IF(I$2=0,"",IFERROR(TRIM(INDEX('Pegar estudiantes'!$A$1:$BZ$1001,395,I$2)&amp;""),""))</f>
        <v/>
      </c>
      <c r="J396">
        <f>IF(J$2=0,"",IFERROR(TRIM(INDEX('Pegar estudiantes'!$A$1:$BZ$1001,395,J$2)&amp;""),""))</f>
        <v/>
      </c>
      <c r="K396">
        <f>IF(K$2=0,"",IFERROR(TRIM(INDEX('Pegar estudiantes'!$A$1:$BZ$1001,395,K$2)&amp;""),""))</f>
        <v/>
      </c>
      <c r="L396" s="25">
        <f>IF(A396&lt;&gt;"",1,"")</f>
        <v/>
      </c>
      <c r="M396" s="25">
        <f>IF(L396=1,IF(ISNUMBER(FIND("#"&amp;MID(A396,1,1)&amp;"#","#0#1#2#3#4#5#6#7#8#9#")),IF(ISNUMBER(FIND("#"&amp;MID(A396,2,1)&amp;"#","#0#1#2#3#4#5#6#7#8#9#")),IF(AND(VALUE(LEFT(A396,2))&gt;=1,VALUE(LEFT(A396,2))&lt;=5),VALUE(LEFT(A396,2)),""),IF(AND(VALUE(LEFT(A396,1))&gt;=1,VALUE(LEFT(A396,1))&lt;=5),VALUE(LEFT(A396,1)),"")),""),"")</f>
        <v/>
      </c>
      <c r="N396" s="25">
        <f>IF(L396=1,IF(ISNUMBER(FIND("#"&amp;MID(H396,1,1)&amp;"#","#0#1#2#3#4#5#6#7#8#9#")),IF(ISNUMBER(FIND("#"&amp;MID(H396,2,1)&amp;"#","#0#1#2#3#4#5#6#7#8#9#")),IF(AND(VALUE(LEFT(H396,2))&gt;=1,VALUE(LEFT(H396,2))&lt;=5),VALUE(LEFT(H396,2)),""),IF(AND(VALUE(LEFT(H396,1))&gt;=1,VALUE(LEFT(H396,1))&lt;=5),VALUE(LEFT(H396,1)),"")),""),"")</f>
        <v/>
      </c>
      <c r="O396" s="25">
        <f>IF(AND(L396=1,B396&lt;&gt;""),SUBSTITUTE(SUBSTITUTE(SUBSTITUTE(SUBSTITUTE(SUBSTITUTE(SUBSTITUTE(SUBSTITUTE(SUBSTITUTE(SUBSTITUTE(SUBSTITUTE(SUBSTITUTE(SUBSTITUTE(LOWER(TRIM(B396)),"á","a"),"é","e"),"í","i"),"ó","o"),"ú","u"),"ü","u"),"ñ","n"),"à","a"),"è","e"),"ì","i"),"ò","o"),"ù","u"),"")</f>
        <v/>
      </c>
      <c r="P396" s="25">
        <f>IF(AND(L396=1,C396&lt;&gt;""),SUBSTITUTE(SUBSTITUTE(SUBSTITUTE(SUBSTITUTE(SUBSTITUTE(SUBSTITUTE(SUBSTITUTE(SUBSTITUTE(SUBSTITUTE(SUBSTITUTE(SUBSTITUTE(SUBSTITUTE(LOWER(TRIM(C396)),"á","a"),"é","e"),"í","i"),"ó","o"),"ú","u"),"ü","u"),"ñ","n"),"à","a"),"è","e"),"ì","i"),"ò","o"),"ù","u"),"")</f>
        <v/>
      </c>
      <c r="Q396" s="25">
        <f>IF(AND(L396=1,E396&lt;&gt;""),SUBSTITUTE(SUBSTITUTE(SUBSTITUTE(SUBSTITUTE(SUBSTITUTE(SUBSTITUTE(SUBSTITUTE(SUBSTITUTE(SUBSTITUTE(SUBSTITUTE(SUBSTITUTE(SUBSTITUTE(LOWER(TRIM(E396)),"á","a"),"é","e"),"í","i"),"ó","o"),"ú","u"),"ü","u"),"ñ","n"),"à","a"),"è","e"),"ì","i"),"ò","o"),"ù","u"),"")</f>
        <v/>
      </c>
      <c r="R396" s="25">
        <f>IF(AND(L396=1,I396&lt;&gt;""),SUBSTITUTE(SUBSTITUTE(SUBSTITUTE(SUBSTITUTE(SUBSTITUTE(SUBSTITUTE(SUBSTITUTE(SUBSTITUTE(SUBSTITUTE(SUBSTITUTE(SUBSTITUTE(SUBSTITUTE(LOWER(TRIM(I396)),"á","a"),"é","e"),"í","i"),"ó","o"),"ú","u"),"ü","u"),"ñ","n"),"à","a"),"è","e"),"ì","i"),"ò","o"),"ù","u"),"")</f>
        <v/>
      </c>
      <c r="S396" s="25">
        <f>IF(R396="","",IF(OR(R396="si",R396="tal vez"),1,0))</f>
        <v/>
      </c>
      <c r="T396" s="25">
        <f>IF(AND(L396=1,D396&lt;&gt;""),IF(IFERROR(COUNTIFS(D$3:D396,"="&amp;SUBSTITUTE(SUBSTITUTE(SUBSTITUTE(D396,"~","~~"),"*","~*"),"?","~?"),L$3:L396,1),0)=1,MAX(T$2:T395)+1,""),"")</f>
        <v/>
      </c>
      <c r="U396" s="25">
        <f>IF(T396="","",COUNTIFS($D$3:$D$1002,"="&amp;SUBSTITUTE(SUBSTITUTE(SUBSTITUTE(D396,"~","~~"),"*","~*"),"?","~?"),$L$3:$L$1002,1)*10000-T396)</f>
        <v/>
      </c>
      <c r="V396" s="25">
        <f>IF(AND(L396=1,J396&lt;&gt;""),IF(IFERROR(COUNTIFS(J$3:J396,"="&amp;SUBSTITUTE(SUBSTITUTE(SUBSTITUTE(J396,"~","~~"),"*","~*"),"?","~?"),L$3:L396,1),0)=1,MAX(V$2:V395)+1,""),"")</f>
        <v/>
      </c>
      <c r="W396" s="25">
        <f>IF(V396="","",COUNTIFS($J$3:$J$1002,"="&amp;SUBSTITUTE(SUBSTITUTE(SUBSTITUTE(J396,"~","~~"),"*","~*"),"?","~?"),$L$3:$L$1002,1)*10000-V396)</f>
        <v/>
      </c>
    </row>
    <row r="397">
      <c r="A397">
        <f>IF(A$2=0,"",IFERROR(TRIM(INDEX('Pegar estudiantes'!$A$1:$BZ$1001,396,A$2)&amp;""),""))</f>
        <v/>
      </c>
      <c r="B397">
        <f>IF(B$2=0,"",IFERROR(TRIM(INDEX('Pegar estudiantes'!$A$1:$BZ$1001,396,B$2)&amp;""),""))</f>
        <v/>
      </c>
      <c r="C397">
        <f>IF(C$2=0,"",IFERROR(TRIM(INDEX('Pegar estudiantes'!$A$1:$BZ$1001,396,C$2)&amp;""),""))</f>
        <v/>
      </c>
      <c r="D397">
        <f>IF(D$2=0,"",IFERROR(TRIM(INDEX('Pegar estudiantes'!$A$1:$BZ$1001,396,D$2)&amp;""),""))</f>
        <v/>
      </c>
      <c r="E397">
        <f>IF(E$2=0,"",IFERROR(TRIM(INDEX('Pegar estudiantes'!$A$1:$BZ$1001,396,E$2)&amp;""),""))</f>
        <v/>
      </c>
      <c r="F397">
        <f>IF(F$2=0,"",IFERROR(TRIM(INDEX('Pegar estudiantes'!$A$1:$BZ$1001,396,F$2)&amp;""),""))</f>
        <v/>
      </c>
      <c r="G397">
        <f>IF(G$2=0,"",IFERROR(TRIM(INDEX('Pegar estudiantes'!$A$1:$BZ$1001,396,G$2)&amp;""),""))</f>
        <v/>
      </c>
      <c r="H397">
        <f>IF(H$2=0,"",IFERROR(TRIM(INDEX('Pegar estudiantes'!$A$1:$BZ$1001,396,H$2)&amp;""),""))</f>
        <v/>
      </c>
      <c r="I397">
        <f>IF(I$2=0,"",IFERROR(TRIM(INDEX('Pegar estudiantes'!$A$1:$BZ$1001,396,I$2)&amp;""),""))</f>
        <v/>
      </c>
      <c r="J397">
        <f>IF(J$2=0,"",IFERROR(TRIM(INDEX('Pegar estudiantes'!$A$1:$BZ$1001,396,J$2)&amp;""),""))</f>
        <v/>
      </c>
      <c r="K397">
        <f>IF(K$2=0,"",IFERROR(TRIM(INDEX('Pegar estudiantes'!$A$1:$BZ$1001,396,K$2)&amp;""),""))</f>
        <v/>
      </c>
      <c r="L397" s="25">
        <f>IF(A397&lt;&gt;"",1,"")</f>
        <v/>
      </c>
      <c r="M397" s="25">
        <f>IF(L397=1,IF(ISNUMBER(FIND("#"&amp;MID(A397,1,1)&amp;"#","#0#1#2#3#4#5#6#7#8#9#")),IF(ISNUMBER(FIND("#"&amp;MID(A397,2,1)&amp;"#","#0#1#2#3#4#5#6#7#8#9#")),IF(AND(VALUE(LEFT(A397,2))&gt;=1,VALUE(LEFT(A397,2))&lt;=5),VALUE(LEFT(A397,2)),""),IF(AND(VALUE(LEFT(A397,1))&gt;=1,VALUE(LEFT(A397,1))&lt;=5),VALUE(LEFT(A397,1)),"")),""),"")</f>
        <v/>
      </c>
      <c r="N397" s="25">
        <f>IF(L397=1,IF(ISNUMBER(FIND("#"&amp;MID(H397,1,1)&amp;"#","#0#1#2#3#4#5#6#7#8#9#")),IF(ISNUMBER(FIND("#"&amp;MID(H397,2,1)&amp;"#","#0#1#2#3#4#5#6#7#8#9#")),IF(AND(VALUE(LEFT(H397,2))&gt;=1,VALUE(LEFT(H397,2))&lt;=5),VALUE(LEFT(H397,2)),""),IF(AND(VALUE(LEFT(H397,1))&gt;=1,VALUE(LEFT(H397,1))&lt;=5),VALUE(LEFT(H397,1)),"")),""),"")</f>
        <v/>
      </c>
      <c r="O397" s="25">
        <f>IF(AND(L397=1,B397&lt;&gt;""),SUBSTITUTE(SUBSTITUTE(SUBSTITUTE(SUBSTITUTE(SUBSTITUTE(SUBSTITUTE(SUBSTITUTE(SUBSTITUTE(SUBSTITUTE(SUBSTITUTE(SUBSTITUTE(SUBSTITUTE(LOWER(TRIM(B397)),"á","a"),"é","e"),"í","i"),"ó","o"),"ú","u"),"ü","u"),"ñ","n"),"à","a"),"è","e"),"ì","i"),"ò","o"),"ù","u"),"")</f>
        <v/>
      </c>
      <c r="P397" s="25">
        <f>IF(AND(L397=1,C397&lt;&gt;""),SUBSTITUTE(SUBSTITUTE(SUBSTITUTE(SUBSTITUTE(SUBSTITUTE(SUBSTITUTE(SUBSTITUTE(SUBSTITUTE(SUBSTITUTE(SUBSTITUTE(SUBSTITUTE(SUBSTITUTE(LOWER(TRIM(C397)),"á","a"),"é","e"),"í","i"),"ó","o"),"ú","u"),"ü","u"),"ñ","n"),"à","a"),"è","e"),"ì","i"),"ò","o"),"ù","u"),"")</f>
        <v/>
      </c>
      <c r="Q397" s="25">
        <f>IF(AND(L397=1,E397&lt;&gt;""),SUBSTITUTE(SUBSTITUTE(SUBSTITUTE(SUBSTITUTE(SUBSTITUTE(SUBSTITUTE(SUBSTITUTE(SUBSTITUTE(SUBSTITUTE(SUBSTITUTE(SUBSTITUTE(SUBSTITUTE(LOWER(TRIM(E397)),"á","a"),"é","e"),"í","i"),"ó","o"),"ú","u"),"ü","u"),"ñ","n"),"à","a"),"è","e"),"ì","i"),"ò","o"),"ù","u"),"")</f>
        <v/>
      </c>
      <c r="R397" s="25">
        <f>IF(AND(L397=1,I397&lt;&gt;""),SUBSTITUTE(SUBSTITUTE(SUBSTITUTE(SUBSTITUTE(SUBSTITUTE(SUBSTITUTE(SUBSTITUTE(SUBSTITUTE(SUBSTITUTE(SUBSTITUTE(SUBSTITUTE(SUBSTITUTE(LOWER(TRIM(I397)),"á","a"),"é","e"),"í","i"),"ó","o"),"ú","u"),"ü","u"),"ñ","n"),"à","a"),"è","e"),"ì","i"),"ò","o"),"ù","u"),"")</f>
        <v/>
      </c>
      <c r="S397" s="25">
        <f>IF(R397="","",IF(OR(R397="si",R397="tal vez"),1,0))</f>
        <v/>
      </c>
      <c r="T397" s="25">
        <f>IF(AND(L397=1,D397&lt;&gt;""),IF(IFERROR(COUNTIFS(D$3:D397,"="&amp;SUBSTITUTE(SUBSTITUTE(SUBSTITUTE(D397,"~","~~"),"*","~*"),"?","~?"),L$3:L397,1),0)=1,MAX(T$2:T396)+1,""),"")</f>
        <v/>
      </c>
      <c r="U397" s="25">
        <f>IF(T397="","",COUNTIFS($D$3:$D$1002,"="&amp;SUBSTITUTE(SUBSTITUTE(SUBSTITUTE(D397,"~","~~"),"*","~*"),"?","~?"),$L$3:$L$1002,1)*10000-T397)</f>
        <v/>
      </c>
      <c r="V397" s="25">
        <f>IF(AND(L397=1,J397&lt;&gt;""),IF(IFERROR(COUNTIFS(J$3:J397,"="&amp;SUBSTITUTE(SUBSTITUTE(SUBSTITUTE(J397,"~","~~"),"*","~*"),"?","~?"),L$3:L397,1),0)=1,MAX(V$2:V396)+1,""),"")</f>
        <v/>
      </c>
      <c r="W397" s="25">
        <f>IF(V397="","",COUNTIFS($J$3:$J$1002,"="&amp;SUBSTITUTE(SUBSTITUTE(SUBSTITUTE(J397,"~","~~"),"*","~*"),"?","~?"),$L$3:$L$1002,1)*10000-V397)</f>
        <v/>
      </c>
    </row>
    <row r="398">
      <c r="A398">
        <f>IF(A$2=0,"",IFERROR(TRIM(INDEX('Pegar estudiantes'!$A$1:$BZ$1001,397,A$2)&amp;""),""))</f>
        <v/>
      </c>
      <c r="B398">
        <f>IF(B$2=0,"",IFERROR(TRIM(INDEX('Pegar estudiantes'!$A$1:$BZ$1001,397,B$2)&amp;""),""))</f>
        <v/>
      </c>
      <c r="C398">
        <f>IF(C$2=0,"",IFERROR(TRIM(INDEX('Pegar estudiantes'!$A$1:$BZ$1001,397,C$2)&amp;""),""))</f>
        <v/>
      </c>
      <c r="D398">
        <f>IF(D$2=0,"",IFERROR(TRIM(INDEX('Pegar estudiantes'!$A$1:$BZ$1001,397,D$2)&amp;""),""))</f>
        <v/>
      </c>
      <c r="E398">
        <f>IF(E$2=0,"",IFERROR(TRIM(INDEX('Pegar estudiantes'!$A$1:$BZ$1001,397,E$2)&amp;""),""))</f>
        <v/>
      </c>
      <c r="F398">
        <f>IF(F$2=0,"",IFERROR(TRIM(INDEX('Pegar estudiantes'!$A$1:$BZ$1001,397,F$2)&amp;""),""))</f>
        <v/>
      </c>
      <c r="G398">
        <f>IF(G$2=0,"",IFERROR(TRIM(INDEX('Pegar estudiantes'!$A$1:$BZ$1001,397,G$2)&amp;""),""))</f>
        <v/>
      </c>
      <c r="H398">
        <f>IF(H$2=0,"",IFERROR(TRIM(INDEX('Pegar estudiantes'!$A$1:$BZ$1001,397,H$2)&amp;""),""))</f>
        <v/>
      </c>
      <c r="I398">
        <f>IF(I$2=0,"",IFERROR(TRIM(INDEX('Pegar estudiantes'!$A$1:$BZ$1001,397,I$2)&amp;""),""))</f>
        <v/>
      </c>
      <c r="J398">
        <f>IF(J$2=0,"",IFERROR(TRIM(INDEX('Pegar estudiantes'!$A$1:$BZ$1001,397,J$2)&amp;""),""))</f>
        <v/>
      </c>
      <c r="K398">
        <f>IF(K$2=0,"",IFERROR(TRIM(INDEX('Pegar estudiantes'!$A$1:$BZ$1001,397,K$2)&amp;""),""))</f>
        <v/>
      </c>
      <c r="L398" s="25">
        <f>IF(A398&lt;&gt;"",1,"")</f>
        <v/>
      </c>
      <c r="M398" s="25">
        <f>IF(L398=1,IF(ISNUMBER(FIND("#"&amp;MID(A398,1,1)&amp;"#","#0#1#2#3#4#5#6#7#8#9#")),IF(ISNUMBER(FIND("#"&amp;MID(A398,2,1)&amp;"#","#0#1#2#3#4#5#6#7#8#9#")),IF(AND(VALUE(LEFT(A398,2))&gt;=1,VALUE(LEFT(A398,2))&lt;=5),VALUE(LEFT(A398,2)),""),IF(AND(VALUE(LEFT(A398,1))&gt;=1,VALUE(LEFT(A398,1))&lt;=5),VALUE(LEFT(A398,1)),"")),""),"")</f>
        <v/>
      </c>
      <c r="N398" s="25">
        <f>IF(L398=1,IF(ISNUMBER(FIND("#"&amp;MID(H398,1,1)&amp;"#","#0#1#2#3#4#5#6#7#8#9#")),IF(ISNUMBER(FIND("#"&amp;MID(H398,2,1)&amp;"#","#0#1#2#3#4#5#6#7#8#9#")),IF(AND(VALUE(LEFT(H398,2))&gt;=1,VALUE(LEFT(H398,2))&lt;=5),VALUE(LEFT(H398,2)),""),IF(AND(VALUE(LEFT(H398,1))&gt;=1,VALUE(LEFT(H398,1))&lt;=5),VALUE(LEFT(H398,1)),"")),""),"")</f>
        <v/>
      </c>
      <c r="O398" s="25">
        <f>IF(AND(L398=1,B398&lt;&gt;""),SUBSTITUTE(SUBSTITUTE(SUBSTITUTE(SUBSTITUTE(SUBSTITUTE(SUBSTITUTE(SUBSTITUTE(SUBSTITUTE(SUBSTITUTE(SUBSTITUTE(SUBSTITUTE(SUBSTITUTE(LOWER(TRIM(B398)),"á","a"),"é","e"),"í","i"),"ó","o"),"ú","u"),"ü","u"),"ñ","n"),"à","a"),"è","e"),"ì","i"),"ò","o"),"ù","u"),"")</f>
        <v/>
      </c>
      <c r="P398" s="25">
        <f>IF(AND(L398=1,C398&lt;&gt;""),SUBSTITUTE(SUBSTITUTE(SUBSTITUTE(SUBSTITUTE(SUBSTITUTE(SUBSTITUTE(SUBSTITUTE(SUBSTITUTE(SUBSTITUTE(SUBSTITUTE(SUBSTITUTE(SUBSTITUTE(LOWER(TRIM(C398)),"á","a"),"é","e"),"í","i"),"ó","o"),"ú","u"),"ü","u"),"ñ","n"),"à","a"),"è","e"),"ì","i"),"ò","o"),"ù","u"),"")</f>
        <v/>
      </c>
      <c r="Q398" s="25">
        <f>IF(AND(L398=1,E398&lt;&gt;""),SUBSTITUTE(SUBSTITUTE(SUBSTITUTE(SUBSTITUTE(SUBSTITUTE(SUBSTITUTE(SUBSTITUTE(SUBSTITUTE(SUBSTITUTE(SUBSTITUTE(SUBSTITUTE(SUBSTITUTE(LOWER(TRIM(E398)),"á","a"),"é","e"),"í","i"),"ó","o"),"ú","u"),"ü","u"),"ñ","n"),"à","a"),"è","e"),"ì","i"),"ò","o"),"ù","u"),"")</f>
        <v/>
      </c>
      <c r="R398" s="25">
        <f>IF(AND(L398=1,I398&lt;&gt;""),SUBSTITUTE(SUBSTITUTE(SUBSTITUTE(SUBSTITUTE(SUBSTITUTE(SUBSTITUTE(SUBSTITUTE(SUBSTITUTE(SUBSTITUTE(SUBSTITUTE(SUBSTITUTE(SUBSTITUTE(LOWER(TRIM(I398)),"á","a"),"é","e"),"í","i"),"ó","o"),"ú","u"),"ü","u"),"ñ","n"),"à","a"),"è","e"),"ì","i"),"ò","o"),"ù","u"),"")</f>
        <v/>
      </c>
      <c r="S398" s="25">
        <f>IF(R398="","",IF(OR(R398="si",R398="tal vez"),1,0))</f>
        <v/>
      </c>
      <c r="T398" s="25">
        <f>IF(AND(L398=1,D398&lt;&gt;""),IF(IFERROR(COUNTIFS(D$3:D398,"="&amp;SUBSTITUTE(SUBSTITUTE(SUBSTITUTE(D398,"~","~~"),"*","~*"),"?","~?"),L$3:L398,1),0)=1,MAX(T$2:T397)+1,""),"")</f>
        <v/>
      </c>
      <c r="U398" s="25">
        <f>IF(T398="","",COUNTIFS($D$3:$D$1002,"="&amp;SUBSTITUTE(SUBSTITUTE(SUBSTITUTE(D398,"~","~~"),"*","~*"),"?","~?"),$L$3:$L$1002,1)*10000-T398)</f>
        <v/>
      </c>
      <c r="V398" s="25">
        <f>IF(AND(L398=1,J398&lt;&gt;""),IF(IFERROR(COUNTIFS(J$3:J398,"="&amp;SUBSTITUTE(SUBSTITUTE(SUBSTITUTE(J398,"~","~~"),"*","~*"),"?","~?"),L$3:L398,1),0)=1,MAX(V$2:V397)+1,""),"")</f>
        <v/>
      </c>
      <c r="W398" s="25">
        <f>IF(V398="","",COUNTIFS($J$3:$J$1002,"="&amp;SUBSTITUTE(SUBSTITUTE(SUBSTITUTE(J398,"~","~~"),"*","~*"),"?","~?"),$L$3:$L$1002,1)*10000-V398)</f>
        <v/>
      </c>
    </row>
    <row r="399">
      <c r="A399">
        <f>IF(A$2=0,"",IFERROR(TRIM(INDEX('Pegar estudiantes'!$A$1:$BZ$1001,398,A$2)&amp;""),""))</f>
        <v/>
      </c>
      <c r="B399">
        <f>IF(B$2=0,"",IFERROR(TRIM(INDEX('Pegar estudiantes'!$A$1:$BZ$1001,398,B$2)&amp;""),""))</f>
        <v/>
      </c>
      <c r="C399">
        <f>IF(C$2=0,"",IFERROR(TRIM(INDEX('Pegar estudiantes'!$A$1:$BZ$1001,398,C$2)&amp;""),""))</f>
        <v/>
      </c>
      <c r="D399">
        <f>IF(D$2=0,"",IFERROR(TRIM(INDEX('Pegar estudiantes'!$A$1:$BZ$1001,398,D$2)&amp;""),""))</f>
        <v/>
      </c>
      <c r="E399">
        <f>IF(E$2=0,"",IFERROR(TRIM(INDEX('Pegar estudiantes'!$A$1:$BZ$1001,398,E$2)&amp;""),""))</f>
        <v/>
      </c>
      <c r="F399">
        <f>IF(F$2=0,"",IFERROR(TRIM(INDEX('Pegar estudiantes'!$A$1:$BZ$1001,398,F$2)&amp;""),""))</f>
        <v/>
      </c>
      <c r="G399">
        <f>IF(G$2=0,"",IFERROR(TRIM(INDEX('Pegar estudiantes'!$A$1:$BZ$1001,398,G$2)&amp;""),""))</f>
        <v/>
      </c>
      <c r="H399">
        <f>IF(H$2=0,"",IFERROR(TRIM(INDEX('Pegar estudiantes'!$A$1:$BZ$1001,398,H$2)&amp;""),""))</f>
        <v/>
      </c>
      <c r="I399">
        <f>IF(I$2=0,"",IFERROR(TRIM(INDEX('Pegar estudiantes'!$A$1:$BZ$1001,398,I$2)&amp;""),""))</f>
        <v/>
      </c>
      <c r="J399">
        <f>IF(J$2=0,"",IFERROR(TRIM(INDEX('Pegar estudiantes'!$A$1:$BZ$1001,398,J$2)&amp;""),""))</f>
        <v/>
      </c>
      <c r="K399">
        <f>IF(K$2=0,"",IFERROR(TRIM(INDEX('Pegar estudiantes'!$A$1:$BZ$1001,398,K$2)&amp;""),""))</f>
        <v/>
      </c>
      <c r="L399" s="25">
        <f>IF(A399&lt;&gt;"",1,"")</f>
        <v/>
      </c>
      <c r="M399" s="25">
        <f>IF(L399=1,IF(ISNUMBER(FIND("#"&amp;MID(A399,1,1)&amp;"#","#0#1#2#3#4#5#6#7#8#9#")),IF(ISNUMBER(FIND("#"&amp;MID(A399,2,1)&amp;"#","#0#1#2#3#4#5#6#7#8#9#")),IF(AND(VALUE(LEFT(A399,2))&gt;=1,VALUE(LEFT(A399,2))&lt;=5),VALUE(LEFT(A399,2)),""),IF(AND(VALUE(LEFT(A399,1))&gt;=1,VALUE(LEFT(A399,1))&lt;=5),VALUE(LEFT(A399,1)),"")),""),"")</f>
        <v/>
      </c>
      <c r="N399" s="25">
        <f>IF(L399=1,IF(ISNUMBER(FIND("#"&amp;MID(H399,1,1)&amp;"#","#0#1#2#3#4#5#6#7#8#9#")),IF(ISNUMBER(FIND("#"&amp;MID(H399,2,1)&amp;"#","#0#1#2#3#4#5#6#7#8#9#")),IF(AND(VALUE(LEFT(H399,2))&gt;=1,VALUE(LEFT(H399,2))&lt;=5),VALUE(LEFT(H399,2)),""),IF(AND(VALUE(LEFT(H399,1))&gt;=1,VALUE(LEFT(H399,1))&lt;=5),VALUE(LEFT(H399,1)),"")),""),"")</f>
        <v/>
      </c>
      <c r="O399" s="25">
        <f>IF(AND(L399=1,B399&lt;&gt;""),SUBSTITUTE(SUBSTITUTE(SUBSTITUTE(SUBSTITUTE(SUBSTITUTE(SUBSTITUTE(SUBSTITUTE(SUBSTITUTE(SUBSTITUTE(SUBSTITUTE(SUBSTITUTE(SUBSTITUTE(LOWER(TRIM(B399)),"á","a"),"é","e"),"í","i"),"ó","o"),"ú","u"),"ü","u"),"ñ","n"),"à","a"),"è","e"),"ì","i"),"ò","o"),"ù","u"),"")</f>
        <v/>
      </c>
      <c r="P399" s="25">
        <f>IF(AND(L399=1,C399&lt;&gt;""),SUBSTITUTE(SUBSTITUTE(SUBSTITUTE(SUBSTITUTE(SUBSTITUTE(SUBSTITUTE(SUBSTITUTE(SUBSTITUTE(SUBSTITUTE(SUBSTITUTE(SUBSTITUTE(SUBSTITUTE(LOWER(TRIM(C399)),"á","a"),"é","e"),"í","i"),"ó","o"),"ú","u"),"ü","u"),"ñ","n"),"à","a"),"è","e"),"ì","i"),"ò","o"),"ù","u"),"")</f>
        <v/>
      </c>
      <c r="Q399" s="25">
        <f>IF(AND(L399=1,E399&lt;&gt;""),SUBSTITUTE(SUBSTITUTE(SUBSTITUTE(SUBSTITUTE(SUBSTITUTE(SUBSTITUTE(SUBSTITUTE(SUBSTITUTE(SUBSTITUTE(SUBSTITUTE(SUBSTITUTE(SUBSTITUTE(LOWER(TRIM(E399)),"á","a"),"é","e"),"í","i"),"ó","o"),"ú","u"),"ü","u"),"ñ","n"),"à","a"),"è","e"),"ì","i"),"ò","o"),"ù","u"),"")</f>
        <v/>
      </c>
      <c r="R399" s="25">
        <f>IF(AND(L399=1,I399&lt;&gt;""),SUBSTITUTE(SUBSTITUTE(SUBSTITUTE(SUBSTITUTE(SUBSTITUTE(SUBSTITUTE(SUBSTITUTE(SUBSTITUTE(SUBSTITUTE(SUBSTITUTE(SUBSTITUTE(SUBSTITUTE(LOWER(TRIM(I399)),"á","a"),"é","e"),"í","i"),"ó","o"),"ú","u"),"ü","u"),"ñ","n"),"à","a"),"è","e"),"ì","i"),"ò","o"),"ù","u"),"")</f>
        <v/>
      </c>
      <c r="S399" s="25">
        <f>IF(R399="","",IF(OR(R399="si",R399="tal vez"),1,0))</f>
        <v/>
      </c>
      <c r="T399" s="25">
        <f>IF(AND(L399=1,D399&lt;&gt;""),IF(IFERROR(COUNTIFS(D$3:D399,"="&amp;SUBSTITUTE(SUBSTITUTE(SUBSTITUTE(D399,"~","~~"),"*","~*"),"?","~?"),L$3:L399,1),0)=1,MAX(T$2:T398)+1,""),"")</f>
        <v/>
      </c>
      <c r="U399" s="25">
        <f>IF(T399="","",COUNTIFS($D$3:$D$1002,"="&amp;SUBSTITUTE(SUBSTITUTE(SUBSTITUTE(D399,"~","~~"),"*","~*"),"?","~?"),$L$3:$L$1002,1)*10000-T399)</f>
        <v/>
      </c>
      <c r="V399" s="25">
        <f>IF(AND(L399=1,J399&lt;&gt;""),IF(IFERROR(COUNTIFS(J$3:J399,"="&amp;SUBSTITUTE(SUBSTITUTE(SUBSTITUTE(J399,"~","~~"),"*","~*"),"?","~?"),L$3:L399,1),0)=1,MAX(V$2:V398)+1,""),"")</f>
        <v/>
      </c>
      <c r="W399" s="25">
        <f>IF(V399="","",COUNTIFS($J$3:$J$1002,"="&amp;SUBSTITUTE(SUBSTITUTE(SUBSTITUTE(J399,"~","~~"),"*","~*"),"?","~?"),$L$3:$L$1002,1)*10000-V399)</f>
        <v/>
      </c>
    </row>
    <row r="400">
      <c r="A400">
        <f>IF(A$2=0,"",IFERROR(TRIM(INDEX('Pegar estudiantes'!$A$1:$BZ$1001,399,A$2)&amp;""),""))</f>
        <v/>
      </c>
      <c r="B400">
        <f>IF(B$2=0,"",IFERROR(TRIM(INDEX('Pegar estudiantes'!$A$1:$BZ$1001,399,B$2)&amp;""),""))</f>
        <v/>
      </c>
      <c r="C400">
        <f>IF(C$2=0,"",IFERROR(TRIM(INDEX('Pegar estudiantes'!$A$1:$BZ$1001,399,C$2)&amp;""),""))</f>
        <v/>
      </c>
      <c r="D400">
        <f>IF(D$2=0,"",IFERROR(TRIM(INDEX('Pegar estudiantes'!$A$1:$BZ$1001,399,D$2)&amp;""),""))</f>
        <v/>
      </c>
      <c r="E400">
        <f>IF(E$2=0,"",IFERROR(TRIM(INDEX('Pegar estudiantes'!$A$1:$BZ$1001,399,E$2)&amp;""),""))</f>
        <v/>
      </c>
      <c r="F400">
        <f>IF(F$2=0,"",IFERROR(TRIM(INDEX('Pegar estudiantes'!$A$1:$BZ$1001,399,F$2)&amp;""),""))</f>
        <v/>
      </c>
      <c r="G400">
        <f>IF(G$2=0,"",IFERROR(TRIM(INDEX('Pegar estudiantes'!$A$1:$BZ$1001,399,G$2)&amp;""),""))</f>
        <v/>
      </c>
      <c r="H400">
        <f>IF(H$2=0,"",IFERROR(TRIM(INDEX('Pegar estudiantes'!$A$1:$BZ$1001,399,H$2)&amp;""),""))</f>
        <v/>
      </c>
      <c r="I400">
        <f>IF(I$2=0,"",IFERROR(TRIM(INDEX('Pegar estudiantes'!$A$1:$BZ$1001,399,I$2)&amp;""),""))</f>
        <v/>
      </c>
      <c r="J400">
        <f>IF(J$2=0,"",IFERROR(TRIM(INDEX('Pegar estudiantes'!$A$1:$BZ$1001,399,J$2)&amp;""),""))</f>
        <v/>
      </c>
      <c r="K400">
        <f>IF(K$2=0,"",IFERROR(TRIM(INDEX('Pegar estudiantes'!$A$1:$BZ$1001,399,K$2)&amp;""),""))</f>
        <v/>
      </c>
      <c r="L400" s="25">
        <f>IF(A400&lt;&gt;"",1,"")</f>
        <v/>
      </c>
      <c r="M400" s="25">
        <f>IF(L400=1,IF(ISNUMBER(FIND("#"&amp;MID(A400,1,1)&amp;"#","#0#1#2#3#4#5#6#7#8#9#")),IF(ISNUMBER(FIND("#"&amp;MID(A400,2,1)&amp;"#","#0#1#2#3#4#5#6#7#8#9#")),IF(AND(VALUE(LEFT(A400,2))&gt;=1,VALUE(LEFT(A400,2))&lt;=5),VALUE(LEFT(A400,2)),""),IF(AND(VALUE(LEFT(A400,1))&gt;=1,VALUE(LEFT(A400,1))&lt;=5),VALUE(LEFT(A400,1)),"")),""),"")</f>
        <v/>
      </c>
      <c r="N400" s="25">
        <f>IF(L400=1,IF(ISNUMBER(FIND("#"&amp;MID(H400,1,1)&amp;"#","#0#1#2#3#4#5#6#7#8#9#")),IF(ISNUMBER(FIND("#"&amp;MID(H400,2,1)&amp;"#","#0#1#2#3#4#5#6#7#8#9#")),IF(AND(VALUE(LEFT(H400,2))&gt;=1,VALUE(LEFT(H400,2))&lt;=5),VALUE(LEFT(H400,2)),""),IF(AND(VALUE(LEFT(H400,1))&gt;=1,VALUE(LEFT(H400,1))&lt;=5),VALUE(LEFT(H400,1)),"")),""),"")</f>
        <v/>
      </c>
      <c r="O400" s="25">
        <f>IF(AND(L400=1,B400&lt;&gt;""),SUBSTITUTE(SUBSTITUTE(SUBSTITUTE(SUBSTITUTE(SUBSTITUTE(SUBSTITUTE(SUBSTITUTE(SUBSTITUTE(SUBSTITUTE(SUBSTITUTE(SUBSTITUTE(SUBSTITUTE(LOWER(TRIM(B400)),"á","a"),"é","e"),"í","i"),"ó","o"),"ú","u"),"ü","u"),"ñ","n"),"à","a"),"è","e"),"ì","i"),"ò","o"),"ù","u"),"")</f>
        <v/>
      </c>
      <c r="P400" s="25">
        <f>IF(AND(L400=1,C400&lt;&gt;""),SUBSTITUTE(SUBSTITUTE(SUBSTITUTE(SUBSTITUTE(SUBSTITUTE(SUBSTITUTE(SUBSTITUTE(SUBSTITUTE(SUBSTITUTE(SUBSTITUTE(SUBSTITUTE(SUBSTITUTE(LOWER(TRIM(C400)),"á","a"),"é","e"),"í","i"),"ó","o"),"ú","u"),"ü","u"),"ñ","n"),"à","a"),"è","e"),"ì","i"),"ò","o"),"ù","u"),"")</f>
        <v/>
      </c>
      <c r="Q400" s="25">
        <f>IF(AND(L400=1,E400&lt;&gt;""),SUBSTITUTE(SUBSTITUTE(SUBSTITUTE(SUBSTITUTE(SUBSTITUTE(SUBSTITUTE(SUBSTITUTE(SUBSTITUTE(SUBSTITUTE(SUBSTITUTE(SUBSTITUTE(SUBSTITUTE(LOWER(TRIM(E400)),"á","a"),"é","e"),"í","i"),"ó","o"),"ú","u"),"ü","u"),"ñ","n"),"à","a"),"è","e"),"ì","i"),"ò","o"),"ù","u"),"")</f>
        <v/>
      </c>
      <c r="R400" s="25">
        <f>IF(AND(L400=1,I400&lt;&gt;""),SUBSTITUTE(SUBSTITUTE(SUBSTITUTE(SUBSTITUTE(SUBSTITUTE(SUBSTITUTE(SUBSTITUTE(SUBSTITUTE(SUBSTITUTE(SUBSTITUTE(SUBSTITUTE(SUBSTITUTE(LOWER(TRIM(I400)),"á","a"),"é","e"),"í","i"),"ó","o"),"ú","u"),"ü","u"),"ñ","n"),"à","a"),"è","e"),"ì","i"),"ò","o"),"ù","u"),"")</f>
        <v/>
      </c>
      <c r="S400" s="25">
        <f>IF(R400="","",IF(OR(R400="si",R400="tal vez"),1,0))</f>
        <v/>
      </c>
      <c r="T400" s="25">
        <f>IF(AND(L400=1,D400&lt;&gt;""),IF(IFERROR(COUNTIFS(D$3:D400,"="&amp;SUBSTITUTE(SUBSTITUTE(SUBSTITUTE(D400,"~","~~"),"*","~*"),"?","~?"),L$3:L400,1),0)=1,MAX(T$2:T399)+1,""),"")</f>
        <v/>
      </c>
      <c r="U400" s="25">
        <f>IF(T400="","",COUNTIFS($D$3:$D$1002,"="&amp;SUBSTITUTE(SUBSTITUTE(SUBSTITUTE(D400,"~","~~"),"*","~*"),"?","~?"),$L$3:$L$1002,1)*10000-T400)</f>
        <v/>
      </c>
      <c r="V400" s="25">
        <f>IF(AND(L400=1,J400&lt;&gt;""),IF(IFERROR(COUNTIFS(J$3:J400,"="&amp;SUBSTITUTE(SUBSTITUTE(SUBSTITUTE(J400,"~","~~"),"*","~*"),"?","~?"),L$3:L400,1),0)=1,MAX(V$2:V399)+1,""),"")</f>
        <v/>
      </c>
      <c r="W400" s="25">
        <f>IF(V400="","",COUNTIFS($J$3:$J$1002,"="&amp;SUBSTITUTE(SUBSTITUTE(SUBSTITUTE(J400,"~","~~"),"*","~*"),"?","~?"),$L$3:$L$1002,1)*10000-V400)</f>
        <v/>
      </c>
    </row>
    <row r="401">
      <c r="A401">
        <f>IF(A$2=0,"",IFERROR(TRIM(INDEX('Pegar estudiantes'!$A$1:$BZ$1001,400,A$2)&amp;""),""))</f>
        <v/>
      </c>
      <c r="B401">
        <f>IF(B$2=0,"",IFERROR(TRIM(INDEX('Pegar estudiantes'!$A$1:$BZ$1001,400,B$2)&amp;""),""))</f>
        <v/>
      </c>
      <c r="C401">
        <f>IF(C$2=0,"",IFERROR(TRIM(INDEX('Pegar estudiantes'!$A$1:$BZ$1001,400,C$2)&amp;""),""))</f>
        <v/>
      </c>
      <c r="D401">
        <f>IF(D$2=0,"",IFERROR(TRIM(INDEX('Pegar estudiantes'!$A$1:$BZ$1001,400,D$2)&amp;""),""))</f>
        <v/>
      </c>
      <c r="E401">
        <f>IF(E$2=0,"",IFERROR(TRIM(INDEX('Pegar estudiantes'!$A$1:$BZ$1001,400,E$2)&amp;""),""))</f>
        <v/>
      </c>
      <c r="F401">
        <f>IF(F$2=0,"",IFERROR(TRIM(INDEX('Pegar estudiantes'!$A$1:$BZ$1001,400,F$2)&amp;""),""))</f>
        <v/>
      </c>
      <c r="G401">
        <f>IF(G$2=0,"",IFERROR(TRIM(INDEX('Pegar estudiantes'!$A$1:$BZ$1001,400,G$2)&amp;""),""))</f>
        <v/>
      </c>
      <c r="H401">
        <f>IF(H$2=0,"",IFERROR(TRIM(INDEX('Pegar estudiantes'!$A$1:$BZ$1001,400,H$2)&amp;""),""))</f>
        <v/>
      </c>
      <c r="I401">
        <f>IF(I$2=0,"",IFERROR(TRIM(INDEX('Pegar estudiantes'!$A$1:$BZ$1001,400,I$2)&amp;""),""))</f>
        <v/>
      </c>
      <c r="J401">
        <f>IF(J$2=0,"",IFERROR(TRIM(INDEX('Pegar estudiantes'!$A$1:$BZ$1001,400,J$2)&amp;""),""))</f>
        <v/>
      </c>
      <c r="K401">
        <f>IF(K$2=0,"",IFERROR(TRIM(INDEX('Pegar estudiantes'!$A$1:$BZ$1001,400,K$2)&amp;""),""))</f>
        <v/>
      </c>
      <c r="L401" s="25">
        <f>IF(A401&lt;&gt;"",1,"")</f>
        <v/>
      </c>
      <c r="M401" s="25">
        <f>IF(L401=1,IF(ISNUMBER(FIND("#"&amp;MID(A401,1,1)&amp;"#","#0#1#2#3#4#5#6#7#8#9#")),IF(ISNUMBER(FIND("#"&amp;MID(A401,2,1)&amp;"#","#0#1#2#3#4#5#6#7#8#9#")),IF(AND(VALUE(LEFT(A401,2))&gt;=1,VALUE(LEFT(A401,2))&lt;=5),VALUE(LEFT(A401,2)),""),IF(AND(VALUE(LEFT(A401,1))&gt;=1,VALUE(LEFT(A401,1))&lt;=5),VALUE(LEFT(A401,1)),"")),""),"")</f>
        <v/>
      </c>
      <c r="N401" s="25">
        <f>IF(L401=1,IF(ISNUMBER(FIND("#"&amp;MID(H401,1,1)&amp;"#","#0#1#2#3#4#5#6#7#8#9#")),IF(ISNUMBER(FIND("#"&amp;MID(H401,2,1)&amp;"#","#0#1#2#3#4#5#6#7#8#9#")),IF(AND(VALUE(LEFT(H401,2))&gt;=1,VALUE(LEFT(H401,2))&lt;=5),VALUE(LEFT(H401,2)),""),IF(AND(VALUE(LEFT(H401,1))&gt;=1,VALUE(LEFT(H401,1))&lt;=5),VALUE(LEFT(H401,1)),"")),""),"")</f>
        <v/>
      </c>
      <c r="O401" s="25">
        <f>IF(AND(L401=1,B401&lt;&gt;""),SUBSTITUTE(SUBSTITUTE(SUBSTITUTE(SUBSTITUTE(SUBSTITUTE(SUBSTITUTE(SUBSTITUTE(SUBSTITUTE(SUBSTITUTE(SUBSTITUTE(SUBSTITUTE(SUBSTITUTE(LOWER(TRIM(B401)),"á","a"),"é","e"),"í","i"),"ó","o"),"ú","u"),"ü","u"),"ñ","n"),"à","a"),"è","e"),"ì","i"),"ò","o"),"ù","u"),"")</f>
        <v/>
      </c>
      <c r="P401" s="25">
        <f>IF(AND(L401=1,C401&lt;&gt;""),SUBSTITUTE(SUBSTITUTE(SUBSTITUTE(SUBSTITUTE(SUBSTITUTE(SUBSTITUTE(SUBSTITUTE(SUBSTITUTE(SUBSTITUTE(SUBSTITUTE(SUBSTITUTE(SUBSTITUTE(LOWER(TRIM(C401)),"á","a"),"é","e"),"í","i"),"ó","o"),"ú","u"),"ü","u"),"ñ","n"),"à","a"),"è","e"),"ì","i"),"ò","o"),"ù","u"),"")</f>
        <v/>
      </c>
      <c r="Q401" s="25">
        <f>IF(AND(L401=1,E401&lt;&gt;""),SUBSTITUTE(SUBSTITUTE(SUBSTITUTE(SUBSTITUTE(SUBSTITUTE(SUBSTITUTE(SUBSTITUTE(SUBSTITUTE(SUBSTITUTE(SUBSTITUTE(SUBSTITUTE(SUBSTITUTE(LOWER(TRIM(E401)),"á","a"),"é","e"),"í","i"),"ó","o"),"ú","u"),"ü","u"),"ñ","n"),"à","a"),"è","e"),"ì","i"),"ò","o"),"ù","u"),"")</f>
        <v/>
      </c>
      <c r="R401" s="25">
        <f>IF(AND(L401=1,I401&lt;&gt;""),SUBSTITUTE(SUBSTITUTE(SUBSTITUTE(SUBSTITUTE(SUBSTITUTE(SUBSTITUTE(SUBSTITUTE(SUBSTITUTE(SUBSTITUTE(SUBSTITUTE(SUBSTITUTE(SUBSTITUTE(LOWER(TRIM(I401)),"á","a"),"é","e"),"í","i"),"ó","o"),"ú","u"),"ü","u"),"ñ","n"),"à","a"),"è","e"),"ì","i"),"ò","o"),"ù","u"),"")</f>
        <v/>
      </c>
      <c r="S401" s="25">
        <f>IF(R401="","",IF(OR(R401="si",R401="tal vez"),1,0))</f>
        <v/>
      </c>
      <c r="T401" s="25">
        <f>IF(AND(L401=1,D401&lt;&gt;""),IF(IFERROR(COUNTIFS(D$3:D401,"="&amp;SUBSTITUTE(SUBSTITUTE(SUBSTITUTE(D401,"~","~~"),"*","~*"),"?","~?"),L$3:L401,1),0)=1,MAX(T$2:T400)+1,""),"")</f>
        <v/>
      </c>
      <c r="U401" s="25">
        <f>IF(T401="","",COUNTIFS($D$3:$D$1002,"="&amp;SUBSTITUTE(SUBSTITUTE(SUBSTITUTE(D401,"~","~~"),"*","~*"),"?","~?"),$L$3:$L$1002,1)*10000-T401)</f>
        <v/>
      </c>
      <c r="V401" s="25">
        <f>IF(AND(L401=1,J401&lt;&gt;""),IF(IFERROR(COUNTIFS(J$3:J401,"="&amp;SUBSTITUTE(SUBSTITUTE(SUBSTITUTE(J401,"~","~~"),"*","~*"),"?","~?"),L$3:L401,1),0)=1,MAX(V$2:V400)+1,""),"")</f>
        <v/>
      </c>
      <c r="W401" s="25">
        <f>IF(V401="","",COUNTIFS($J$3:$J$1002,"="&amp;SUBSTITUTE(SUBSTITUTE(SUBSTITUTE(J401,"~","~~"),"*","~*"),"?","~?"),$L$3:$L$1002,1)*10000-V401)</f>
        <v/>
      </c>
    </row>
    <row r="402">
      <c r="A402">
        <f>IF(A$2=0,"",IFERROR(TRIM(INDEX('Pegar estudiantes'!$A$1:$BZ$1001,401,A$2)&amp;""),""))</f>
        <v/>
      </c>
      <c r="B402">
        <f>IF(B$2=0,"",IFERROR(TRIM(INDEX('Pegar estudiantes'!$A$1:$BZ$1001,401,B$2)&amp;""),""))</f>
        <v/>
      </c>
      <c r="C402">
        <f>IF(C$2=0,"",IFERROR(TRIM(INDEX('Pegar estudiantes'!$A$1:$BZ$1001,401,C$2)&amp;""),""))</f>
        <v/>
      </c>
      <c r="D402">
        <f>IF(D$2=0,"",IFERROR(TRIM(INDEX('Pegar estudiantes'!$A$1:$BZ$1001,401,D$2)&amp;""),""))</f>
        <v/>
      </c>
      <c r="E402">
        <f>IF(E$2=0,"",IFERROR(TRIM(INDEX('Pegar estudiantes'!$A$1:$BZ$1001,401,E$2)&amp;""),""))</f>
        <v/>
      </c>
      <c r="F402">
        <f>IF(F$2=0,"",IFERROR(TRIM(INDEX('Pegar estudiantes'!$A$1:$BZ$1001,401,F$2)&amp;""),""))</f>
        <v/>
      </c>
      <c r="G402">
        <f>IF(G$2=0,"",IFERROR(TRIM(INDEX('Pegar estudiantes'!$A$1:$BZ$1001,401,G$2)&amp;""),""))</f>
        <v/>
      </c>
      <c r="H402">
        <f>IF(H$2=0,"",IFERROR(TRIM(INDEX('Pegar estudiantes'!$A$1:$BZ$1001,401,H$2)&amp;""),""))</f>
        <v/>
      </c>
      <c r="I402">
        <f>IF(I$2=0,"",IFERROR(TRIM(INDEX('Pegar estudiantes'!$A$1:$BZ$1001,401,I$2)&amp;""),""))</f>
        <v/>
      </c>
      <c r="J402">
        <f>IF(J$2=0,"",IFERROR(TRIM(INDEX('Pegar estudiantes'!$A$1:$BZ$1001,401,J$2)&amp;""),""))</f>
        <v/>
      </c>
      <c r="K402">
        <f>IF(K$2=0,"",IFERROR(TRIM(INDEX('Pegar estudiantes'!$A$1:$BZ$1001,401,K$2)&amp;""),""))</f>
        <v/>
      </c>
      <c r="L402" s="25">
        <f>IF(A402&lt;&gt;"",1,"")</f>
        <v/>
      </c>
      <c r="M402" s="25">
        <f>IF(L402=1,IF(ISNUMBER(FIND("#"&amp;MID(A402,1,1)&amp;"#","#0#1#2#3#4#5#6#7#8#9#")),IF(ISNUMBER(FIND("#"&amp;MID(A402,2,1)&amp;"#","#0#1#2#3#4#5#6#7#8#9#")),IF(AND(VALUE(LEFT(A402,2))&gt;=1,VALUE(LEFT(A402,2))&lt;=5),VALUE(LEFT(A402,2)),""),IF(AND(VALUE(LEFT(A402,1))&gt;=1,VALUE(LEFT(A402,1))&lt;=5),VALUE(LEFT(A402,1)),"")),""),"")</f>
        <v/>
      </c>
      <c r="N402" s="25">
        <f>IF(L402=1,IF(ISNUMBER(FIND("#"&amp;MID(H402,1,1)&amp;"#","#0#1#2#3#4#5#6#7#8#9#")),IF(ISNUMBER(FIND("#"&amp;MID(H402,2,1)&amp;"#","#0#1#2#3#4#5#6#7#8#9#")),IF(AND(VALUE(LEFT(H402,2))&gt;=1,VALUE(LEFT(H402,2))&lt;=5),VALUE(LEFT(H402,2)),""),IF(AND(VALUE(LEFT(H402,1))&gt;=1,VALUE(LEFT(H402,1))&lt;=5),VALUE(LEFT(H402,1)),"")),""),"")</f>
        <v/>
      </c>
      <c r="O402" s="25">
        <f>IF(AND(L402=1,B402&lt;&gt;""),SUBSTITUTE(SUBSTITUTE(SUBSTITUTE(SUBSTITUTE(SUBSTITUTE(SUBSTITUTE(SUBSTITUTE(SUBSTITUTE(SUBSTITUTE(SUBSTITUTE(SUBSTITUTE(SUBSTITUTE(LOWER(TRIM(B402)),"á","a"),"é","e"),"í","i"),"ó","o"),"ú","u"),"ü","u"),"ñ","n"),"à","a"),"è","e"),"ì","i"),"ò","o"),"ù","u"),"")</f>
        <v/>
      </c>
      <c r="P402" s="25">
        <f>IF(AND(L402=1,C402&lt;&gt;""),SUBSTITUTE(SUBSTITUTE(SUBSTITUTE(SUBSTITUTE(SUBSTITUTE(SUBSTITUTE(SUBSTITUTE(SUBSTITUTE(SUBSTITUTE(SUBSTITUTE(SUBSTITUTE(SUBSTITUTE(LOWER(TRIM(C402)),"á","a"),"é","e"),"í","i"),"ó","o"),"ú","u"),"ü","u"),"ñ","n"),"à","a"),"è","e"),"ì","i"),"ò","o"),"ù","u"),"")</f>
        <v/>
      </c>
      <c r="Q402" s="25">
        <f>IF(AND(L402=1,E402&lt;&gt;""),SUBSTITUTE(SUBSTITUTE(SUBSTITUTE(SUBSTITUTE(SUBSTITUTE(SUBSTITUTE(SUBSTITUTE(SUBSTITUTE(SUBSTITUTE(SUBSTITUTE(SUBSTITUTE(SUBSTITUTE(LOWER(TRIM(E402)),"á","a"),"é","e"),"í","i"),"ó","o"),"ú","u"),"ü","u"),"ñ","n"),"à","a"),"è","e"),"ì","i"),"ò","o"),"ù","u"),"")</f>
        <v/>
      </c>
      <c r="R402" s="25">
        <f>IF(AND(L402=1,I402&lt;&gt;""),SUBSTITUTE(SUBSTITUTE(SUBSTITUTE(SUBSTITUTE(SUBSTITUTE(SUBSTITUTE(SUBSTITUTE(SUBSTITUTE(SUBSTITUTE(SUBSTITUTE(SUBSTITUTE(SUBSTITUTE(LOWER(TRIM(I402)),"á","a"),"é","e"),"í","i"),"ó","o"),"ú","u"),"ü","u"),"ñ","n"),"à","a"),"è","e"),"ì","i"),"ò","o"),"ù","u"),"")</f>
        <v/>
      </c>
      <c r="S402" s="25">
        <f>IF(R402="","",IF(OR(R402="si",R402="tal vez"),1,0))</f>
        <v/>
      </c>
      <c r="T402" s="25">
        <f>IF(AND(L402=1,D402&lt;&gt;""),IF(IFERROR(COUNTIFS(D$3:D402,"="&amp;SUBSTITUTE(SUBSTITUTE(SUBSTITUTE(D402,"~","~~"),"*","~*"),"?","~?"),L$3:L402,1),0)=1,MAX(T$2:T401)+1,""),"")</f>
        <v/>
      </c>
      <c r="U402" s="25">
        <f>IF(T402="","",COUNTIFS($D$3:$D$1002,"="&amp;SUBSTITUTE(SUBSTITUTE(SUBSTITUTE(D402,"~","~~"),"*","~*"),"?","~?"),$L$3:$L$1002,1)*10000-T402)</f>
        <v/>
      </c>
      <c r="V402" s="25">
        <f>IF(AND(L402=1,J402&lt;&gt;""),IF(IFERROR(COUNTIFS(J$3:J402,"="&amp;SUBSTITUTE(SUBSTITUTE(SUBSTITUTE(J402,"~","~~"),"*","~*"),"?","~?"),L$3:L402,1),0)=1,MAX(V$2:V401)+1,""),"")</f>
        <v/>
      </c>
      <c r="W402" s="25">
        <f>IF(V402="","",COUNTIFS($J$3:$J$1002,"="&amp;SUBSTITUTE(SUBSTITUTE(SUBSTITUTE(J402,"~","~~"),"*","~*"),"?","~?"),$L$3:$L$1002,1)*10000-V402)</f>
        <v/>
      </c>
    </row>
    <row r="403">
      <c r="A403">
        <f>IF(A$2=0,"",IFERROR(TRIM(INDEX('Pegar estudiantes'!$A$1:$BZ$1001,402,A$2)&amp;""),""))</f>
        <v/>
      </c>
      <c r="B403">
        <f>IF(B$2=0,"",IFERROR(TRIM(INDEX('Pegar estudiantes'!$A$1:$BZ$1001,402,B$2)&amp;""),""))</f>
        <v/>
      </c>
      <c r="C403">
        <f>IF(C$2=0,"",IFERROR(TRIM(INDEX('Pegar estudiantes'!$A$1:$BZ$1001,402,C$2)&amp;""),""))</f>
        <v/>
      </c>
      <c r="D403">
        <f>IF(D$2=0,"",IFERROR(TRIM(INDEX('Pegar estudiantes'!$A$1:$BZ$1001,402,D$2)&amp;""),""))</f>
        <v/>
      </c>
      <c r="E403">
        <f>IF(E$2=0,"",IFERROR(TRIM(INDEX('Pegar estudiantes'!$A$1:$BZ$1001,402,E$2)&amp;""),""))</f>
        <v/>
      </c>
      <c r="F403">
        <f>IF(F$2=0,"",IFERROR(TRIM(INDEX('Pegar estudiantes'!$A$1:$BZ$1001,402,F$2)&amp;""),""))</f>
        <v/>
      </c>
      <c r="G403">
        <f>IF(G$2=0,"",IFERROR(TRIM(INDEX('Pegar estudiantes'!$A$1:$BZ$1001,402,G$2)&amp;""),""))</f>
        <v/>
      </c>
      <c r="H403">
        <f>IF(H$2=0,"",IFERROR(TRIM(INDEX('Pegar estudiantes'!$A$1:$BZ$1001,402,H$2)&amp;""),""))</f>
        <v/>
      </c>
      <c r="I403">
        <f>IF(I$2=0,"",IFERROR(TRIM(INDEX('Pegar estudiantes'!$A$1:$BZ$1001,402,I$2)&amp;""),""))</f>
        <v/>
      </c>
      <c r="J403">
        <f>IF(J$2=0,"",IFERROR(TRIM(INDEX('Pegar estudiantes'!$A$1:$BZ$1001,402,J$2)&amp;""),""))</f>
        <v/>
      </c>
      <c r="K403">
        <f>IF(K$2=0,"",IFERROR(TRIM(INDEX('Pegar estudiantes'!$A$1:$BZ$1001,402,K$2)&amp;""),""))</f>
        <v/>
      </c>
      <c r="L403" s="25">
        <f>IF(A403&lt;&gt;"",1,"")</f>
        <v/>
      </c>
      <c r="M403" s="25">
        <f>IF(L403=1,IF(ISNUMBER(FIND("#"&amp;MID(A403,1,1)&amp;"#","#0#1#2#3#4#5#6#7#8#9#")),IF(ISNUMBER(FIND("#"&amp;MID(A403,2,1)&amp;"#","#0#1#2#3#4#5#6#7#8#9#")),IF(AND(VALUE(LEFT(A403,2))&gt;=1,VALUE(LEFT(A403,2))&lt;=5),VALUE(LEFT(A403,2)),""),IF(AND(VALUE(LEFT(A403,1))&gt;=1,VALUE(LEFT(A403,1))&lt;=5),VALUE(LEFT(A403,1)),"")),""),"")</f>
        <v/>
      </c>
      <c r="N403" s="25">
        <f>IF(L403=1,IF(ISNUMBER(FIND("#"&amp;MID(H403,1,1)&amp;"#","#0#1#2#3#4#5#6#7#8#9#")),IF(ISNUMBER(FIND("#"&amp;MID(H403,2,1)&amp;"#","#0#1#2#3#4#5#6#7#8#9#")),IF(AND(VALUE(LEFT(H403,2))&gt;=1,VALUE(LEFT(H403,2))&lt;=5),VALUE(LEFT(H403,2)),""),IF(AND(VALUE(LEFT(H403,1))&gt;=1,VALUE(LEFT(H403,1))&lt;=5),VALUE(LEFT(H403,1)),"")),""),"")</f>
        <v/>
      </c>
      <c r="O403" s="25">
        <f>IF(AND(L403=1,B403&lt;&gt;""),SUBSTITUTE(SUBSTITUTE(SUBSTITUTE(SUBSTITUTE(SUBSTITUTE(SUBSTITUTE(SUBSTITUTE(SUBSTITUTE(SUBSTITUTE(SUBSTITUTE(SUBSTITUTE(SUBSTITUTE(LOWER(TRIM(B403)),"á","a"),"é","e"),"í","i"),"ó","o"),"ú","u"),"ü","u"),"ñ","n"),"à","a"),"è","e"),"ì","i"),"ò","o"),"ù","u"),"")</f>
        <v/>
      </c>
      <c r="P403" s="25">
        <f>IF(AND(L403=1,C403&lt;&gt;""),SUBSTITUTE(SUBSTITUTE(SUBSTITUTE(SUBSTITUTE(SUBSTITUTE(SUBSTITUTE(SUBSTITUTE(SUBSTITUTE(SUBSTITUTE(SUBSTITUTE(SUBSTITUTE(SUBSTITUTE(LOWER(TRIM(C403)),"á","a"),"é","e"),"í","i"),"ó","o"),"ú","u"),"ü","u"),"ñ","n"),"à","a"),"è","e"),"ì","i"),"ò","o"),"ù","u"),"")</f>
        <v/>
      </c>
      <c r="Q403" s="25">
        <f>IF(AND(L403=1,E403&lt;&gt;""),SUBSTITUTE(SUBSTITUTE(SUBSTITUTE(SUBSTITUTE(SUBSTITUTE(SUBSTITUTE(SUBSTITUTE(SUBSTITUTE(SUBSTITUTE(SUBSTITUTE(SUBSTITUTE(SUBSTITUTE(LOWER(TRIM(E403)),"á","a"),"é","e"),"í","i"),"ó","o"),"ú","u"),"ü","u"),"ñ","n"),"à","a"),"è","e"),"ì","i"),"ò","o"),"ù","u"),"")</f>
        <v/>
      </c>
      <c r="R403" s="25">
        <f>IF(AND(L403=1,I403&lt;&gt;""),SUBSTITUTE(SUBSTITUTE(SUBSTITUTE(SUBSTITUTE(SUBSTITUTE(SUBSTITUTE(SUBSTITUTE(SUBSTITUTE(SUBSTITUTE(SUBSTITUTE(SUBSTITUTE(SUBSTITUTE(LOWER(TRIM(I403)),"á","a"),"é","e"),"í","i"),"ó","o"),"ú","u"),"ü","u"),"ñ","n"),"à","a"),"è","e"),"ì","i"),"ò","o"),"ù","u"),"")</f>
        <v/>
      </c>
      <c r="S403" s="25">
        <f>IF(R403="","",IF(OR(R403="si",R403="tal vez"),1,0))</f>
        <v/>
      </c>
      <c r="T403" s="25">
        <f>IF(AND(L403=1,D403&lt;&gt;""),IF(IFERROR(COUNTIFS(D$3:D403,"="&amp;SUBSTITUTE(SUBSTITUTE(SUBSTITUTE(D403,"~","~~"),"*","~*"),"?","~?"),L$3:L403,1),0)=1,MAX(T$2:T402)+1,""),"")</f>
        <v/>
      </c>
      <c r="U403" s="25">
        <f>IF(T403="","",COUNTIFS($D$3:$D$1002,"="&amp;SUBSTITUTE(SUBSTITUTE(SUBSTITUTE(D403,"~","~~"),"*","~*"),"?","~?"),$L$3:$L$1002,1)*10000-T403)</f>
        <v/>
      </c>
      <c r="V403" s="25">
        <f>IF(AND(L403=1,J403&lt;&gt;""),IF(IFERROR(COUNTIFS(J$3:J403,"="&amp;SUBSTITUTE(SUBSTITUTE(SUBSTITUTE(J403,"~","~~"),"*","~*"),"?","~?"),L$3:L403,1),0)=1,MAX(V$2:V402)+1,""),"")</f>
        <v/>
      </c>
      <c r="W403" s="25">
        <f>IF(V403="","",COUNTIFS($J$3:$J$1002,"="&amp;SUBSTITUTE(SUBSTITUTE(SUBSTITUTE(J403,"~","~~"),"*","~*"),"?","~?"),$L$3:$L$1002,1)*10000-V403)</f>
        <v/>
      </c>
    </row>
    <row r="404">
      <c r="A404">
        <f>IF(A$2=0,"",IFERROR(TRIM(INDEX('Pegar estudiantes'!$A$1:$BZ$1001,403,A$2)&amp;""),""))</f>
        <v/>
      </c>
      <c r="B404">
        <f>IF(B$2=0,"",IFERROR(TRIM(INDEX('Pegar estudiantes'!$A$1:$BZ$1001,403,B$2)&amp;""),""))</f>
        <v/>
      </c>
      <c r="C404">
        <f>IF(C$2=0,"",IFERROR(TRIM(INDEX('Pegar estudiantes'!$A$1:$BZ$1001,403,C$2)&amp;""),""))</f>
        <v/>
      </c>
      <c r="D404">
        <f>IF(D$2=0,"",IFERROR(TRIM(INDEX('Pegar estudiantes'!$A$1:$BZ$1001,403,D$2)&amp;""),""))</f>
        <v/>
      </c>
      <c r="E404">
        <f>IF(E$2=0,"",IFERROR(TRIM(INDEX('Pegar estudiantes'!$A$1:$BZ$1001,403,E$2)&amp;""),""))</f>
        <v/>
      </c>
      <c r="F404">
        <f>IF(F$2=0,"",IFERROR(TRIM(INDEX('Pegar estudiantes'!$A$1:$BZ$1001,403,F$2)&amp;""),""))</f>
        <v/>
      </c>
      <c r="G404">
        <f>IF(G$2=0,"",IFERROR(TRIM(INDEX('Pegar estudiantes'!$A$1:$BZ$1001,403,G$2)&amp;""),""))</f>
        <v/>
      </c>
      <c r="H404">
        <f>IF(H$2=0,"",IFERROR(TRIM(INDEX('Pegar estudiantes'!$A$1:$BZ$1001,403,H$2)&amp;""),""))</f>
        <v/>
      </c>
      <c r="I404">
        <f>IF(I$2=0,"",IFERROR(TRIM(INDEX('Pegar estudiantes'!$A$1:$BZ$1001,403,I$2)&amp;""),""))</f>
        <v/>
      </c>
      <c r="J404">
        <f>IF(J$2=0,"",IFERROR(TRIM(INDEX('Pegar estudiantes'!$A$1:$BZ$1001,403,J$2)&amp;""),""))</f>
        <v/>
      </c>
      <c r="K404">
        <f>IF(K$2=0,"",IFERROR(TRIM(INDEX('Pegar estudiantes'!$A$1:$BZ$1001,403,K$2)&amp;""),""))</f>
        <v/>
      </c>
      <c r="L404" s="25">
        <f>IF(A404&lt;&gt;"",1,"")</f>
        <v/>
      </c>
      <c r="M404" s="25">
        <f>IF(L404=1,IF(ISNUMBER(FIND("#"&amp;MID(A404,1,1)&amp;"#","#0#1#2#3#4#5#6#7#8#9#")),IF(ISNUMBER(FIND("#"&amp;MID(A404,2,1)&amp;"#","#0#1#2#3#4#5#6#7#8#9#")),IF(AND(VALUE(LEFT(A404,2))&gt;=1,VALUE(LEFT(A404,2))&lt;=5),VALUE(LEFT(A404,2)),""),IF(AND(VALUE(LEFT(A404,1))&gt;=1,VALUE(LEFT(A404,1))&lt;=5),VALUE(LEFT(A404,1)),"")),""),"")</f>
        <v/>
      </c>
      <c r="N404" s="25">
        <f>IF(L404=1,IF(ISNUMBER(FIND("#"&amp;MID(H404,1,1)&amp;"#","#0#1#2#3#4#5#6#7#8#9#")),IF(ISNUMBER(FIND("#"&amp;MID(H404,2,1)&amp;"#","#0#1#2#3#4#5#6#7#8#9#")),IF(AND(VALUE(LEFT(H404,2))&gt;=1,VALUE(LEFT(H404,2))&lt;=5),VALUE(LEFT(H404,2)),""),IF(AND(VALUE(LEFT(H404,1))&gt;=1,VALUE(LEFT(H404,1))&lt;=5),VALUE(LEFT(H404,1)),"")),""),"")</f>
        <v/>
      </c>
      <c r="O404" s="25">
        <f>IF(AND(L404=1,B404&lt;&gt;""),SUBSTITUTE(SUBSTITUTE(SUBSTITUTE(SUBSTITUTE(SUBSTITUTE(SUBSTITUTE(SUBSTITUTE(SUBSTITUTE(SUBSTITUTE(SUBSTITUTE(SUBSTITUTE(SUBSTITUTE(LOWER(TRIM(B404)),"á","a"),"é","e"),"í","i"),"ó","o"),"ú","u"),"ü","u"),"ñ","n"),"à","a"),"è","e"),"ì","i"),"ò","o"),"ù","u"),"")</f>
        <v/>
      </c>
      <c r="P404" s="25">
        <f>IF(AND(L404=1,C404&lt;&gt;""),SUBSTITUTE(SUBSTITUTE(SUBSTITUTE(SUBSTITUTE(SUBSTITUTE(SUBSTITUTE(SUBSTITUTE(SUBSTITUTE(SUBSTITUTE(SUBSTITUTE(SUBSTITUTE(SUBSTITUTE(LOWER(TRIM(C404)),"á","a"),"é","e"),"í","i"),"ó","o"),"ú","u"),"ü","u"),"ñ","n"),"à","a"),"è","e"),"ì","i"),"ò","o"),"ù","u"),"")</f>
        <v/>
      </c>
      <c r="Q404" s="25">
        <f>IF(AND(L404=1,E404&lt;&gt;""),SUBSTITUTE(SUBSTITUTE(SUBSTITUTE(SUBSTITUTE(SUBSTITUTE(SUBSTITUTE(SUBSTITUTE(SUBSTITUTE(SUBSTITUTE(SUBSTITUTE(SUBSTITUTE(SUBSTITUTE(LOWER(TRIM(E404)),"á","a"),"é","e"),"í","i"),"ó","o"),"ú","u"),"ü","u"),"ñ","n"),"à","a"),"è","e"),"ì","i"),"ò","o"),"ù","u"),"")</f>
        <v/>
      </c>
      <c r="R404" s="25">
        <f>IF(AND(L404=1,I404&lt;&gt;""),SUBSTITUTE(SUBSTITUTE(SUBSTITUTE(SUBSTITUTE(SUBSTITUTE(SUBSTITUTE(SUBSTITUTE(SUBSTITUTE(SUBSTITUTE(SUBSTITUTE(SUBSTITUTE(SUBSTITUTE(LOWER(TRIM(I404)),"á","a"),"é","e"),"í","i"),"ó","o"),"ú","u"),"ü","u"),"ñ","n"),"à","a"),"è","e"),"ì","i"),"ò","o"),"ù","u"),"")</f>
        <v/>
      </c>
      <c r="S404" s="25">
        <f>IF(R404="","",IF(OR(R404="si",R404="tal vez"),1,0))</f>
        <v/>
      </c>
      <c r="T404" s="25">
        <f>IF(AND(L404=1,D404&lt;&gt;""),IF(IFERROR(COUNTIFS(D$3:D404,"="&amp;SUBSTITUTE(SUBSTITUTE(SUBSTITUTE(D404,"~","~~"),"*","~*"),"?","~?"),L$3:L404,1),0)=1,MAX(T$2:T403)+1,""),"")</f>
        <v/>
      </c>
      <c r="U404" s="25">
        <f>IF(T404="","",COUNTIFS($D$3:$D$1002,"="&amp;SUBSTITUTE(SUBSTITUTE(SUBSTITUTE(D404,"~","~~"),"*","~*"),"?","~?"),$L$3:$L$1002,1)*10000-T404)</f>
        <v/>
      </c>
      <c r="V404" s="25">
        <f>IF(AND(L404=1,J404&lt;&gt;""),IF(IFERROR(COUNTIFS(J$3:J404,"="&amp;SUBSTITUTE(SUBSTITUTE(SUBSTITUTE(J404,"~","~~"),"*","~*"),"?","~?"),L$3:L404,1),0)=1,MAX(V$2:V403)+1,""),"")</f>
        <v/>
      </c>
      <c r="W404" s="25">
        <f>IF(V404="","",COUNTIFS($J$3:$J$1002,"="&amp;SUBSTITUTE(SUBSTITUTE(SUBSTITUTE(J404,"~","~~"),"*","~*"),"?","~?"),$L$3:$L$1002,1)*10000-V404)</f>
        <v/>
      </c>
    </row>
    <row r="405">
      <c r="A405">
        <f>IF(A$2=0,"",IFERROR(TRIM(INDEX('Pegar estudiantes'!$A$1:$BZ$1001,404,A$2)&amp;""),""))</f>
        <v/>
      </c>
      <c r="B405">
        <f>IF(B$2=0,"",IFERROR(TRIM(INDEX('Pegar estudiantes'!$A$1:$BZ$1001,404,B$2)&amp;""),""))</f>
        <v/>
      </c>
      <c r="C405">
        <f>IF(C$2=0,"",IFERROR(TRIM(INDEX('Pegar estudiantes'!$A$1:$BZ$1001,404,C$2)&amp;""),""))</f>
        <v/>
      </c>
      <c r="D405">
        <f>IF(D$2=0,"",IFERROR(TRIM(INDEX('Pegar estudiantes'!$A$1:$BZ$1001,404,D$2)&amp;""),""))</f>
        <v/>
      </c>
      <c r="E405">
        <f>IF(E$2=0,"",IFERROR(TRIM(INDEX('Pegar estudiantes'!$A$1:$BZ$1001,404,E$2)&amp;""),""))</f>
        <v/>
      </c>
      <c r="F405">
        <f>IF(F$2=0,"",IFERROR(TRIM(INDEX('Pegar estudiantes'!$A$1:$BZ$1001,404,F$2)&amp;""),""))</f>
        <v/>
      </c>
      <c r="G405">
        <f>IF(G$2=0,"",IFERROR(TRIM(INDEX('Pegar estudiantes'!$A$1:$BZ$1001,404,G$2)&amp;""),""))</f>
        <v/>
      </c>
      <c r="H405">
        <f>IF(H$2=0,"",IFERROR(TRIM(INDEX('Pegar estudiantes'!$A$1:$BZ$1001,404,H$2)&amp;""),""))</f>
        <v/>
      </c>
      <c r="I405">
        <f>IF(I$2=0,"",IFERROR(TRIM(INDEX('Pegar estudiantes'!$A$1:$BZ$1001,404,I$2)&amp;""),""))</f>
        <v/>
      </c>
      <c r="J405">
        <f>IF(J$2=0,"",IFERROR(TRIM(INDEX('Pegar estudiantes'!$A$1:$BZ$1001,404,J$2)&amp;""),""))</f>
        <v/>
      </c>
      <c r="K405">
        <f>IF(K$2=0,"",IFERROR(TRIM(INDEX('Pegar estudiantes'!$A$1:$BZ$1001,404,K$2)&amp;""),""))</f>
        <v/>
      </c>
      <c r="L405" s="25">
        <f>IF(A405&lt;&gt;"",1,"")</f>
        <v/>
      </c>
      <c r="M405" s="25">
        <f>IF(L405=1,IF(ISNUMBER(FIND("#"&amp;MID(A405,1,1)&amp;"#","#0#1#2#3#4#5#6#7#8#9#")),IF(ISNUMBER(FIND("#"&amp;MID(A405,2,1)&amp;"#","#0#1#2#3#4#5#6#7#8#9#")),IF(AND(VALUE(LEFT(A405,2))&gt;=1,VALUE(LEFT(A405,2))&lt;=5),VALUE(LEFT(A405,2)),""),IF(AND(VALUE(LEFT(A405,1))&gt;=1,VALUE(LEFT(A405,1))&lt;=5),VALUE(LEFT(A405,1)),"")),""),"")</f>
        <v/>
      </c>
      <c r="N405" s="25">
        <f>IF(L405=1,IF(ISNUMBER(FIND("#"&amp;MID(H405,1,1)&amp;"#","#0#1#2#3#4#5#6#7#8#9#")),IF(ISNUMBER(FIND("#"&amp;MID(H405,2,1)&amp;"#","#0#1#2#3#4#5#6#7#8#9#")),IF(AND(VALUE(LEFT(H405,2))&gt;=1,VALUE(LEFT(H405,2))&lt;=5),VALUE(LEFT(H405,2)),""),IF(AND(VALUE(LEFT(H405,1))&gt;=1,VALUE(LEFT(H405,1))&lt;=5),VALUE(LEFT(H405,1)),"")),""),"")</f>
        <v/>
      </c>
      <c r="O405" s="25">
        <f>IF(AND(L405=1,B405&lt;&gt;""),SUBSTITUTE(SUBSTITUTE(SUBSTITUTE(SUBSTITUTE(SUBSTITUTE(SUBSTITUTE(SUBSTITUTE(SUBSTITUTE(SUBSTITUTE(SUBSTITUTE(SUBSTITUTE(SUBSTITUTE(LOWER(TRIM(B405)),"á","a"),"é","e"),"í","i"),"ó","o"),"ú","u"),"ü","u"),"ñ","n"),"à","a"),"è","e"),"ì","i"),"ò","o"),"ù","u"),"")</f>
        <v/>
      </c>
      <c r="P405" s="25">
        <f>IF(AND(L405=1,C405&lt;&gt;""),SUBSTITUTE(SUBSTITUTE(SUBSTITUTE(SUBSTITUTE(SUBSTITUTE(SUBSTITUTE(SUBSTITUTE(SUBSTITUTE(SUBSTITUTE(SUBSTITUTE(SUBSTITUTE(SUBSTITUTE(LOWER(TRIM(C405)),"á","a"),"é","e"),"í","i"),"ó","o"),"ú","u"),"ü","u"),"ñ","n"),"à","a"),"è","e"),"ì","i"),"ò","o"),"ù","u"),"")</f>
        <v/>
      </c>
      <c r="Q405" s="25">
        <f>IF(AND(L405=1,E405&lt;&gt;""),SUBSTITUTE(SUBSTITUTE(SUBSTITUTE(SUBSTITUTE(SUBSTITUTE(SUBSTITUTE(SUBSTITUTE(SUBSTITUTE(SUBSTITUTE(SUBSTITUTE(SUBSTITUTE(SUBSTITUTE(LOWER(TRIM(E405)),"á","a"),"é","e"),"í","i"),"ó","o"),"ú","u"),"ü","u"),"ñ","n"),"à","a"),"è","e"),"ì","i"),"ò","o"),"ù","u"),"")</f>
        <v/>
      </c>
      <c r="R405" s="25">
        <f>IF(AND(L405=1,I405&lt;&gt;""),SUBSTITUTE(SUBSTITUTE(SUBSTITUTE(SUBSTITUTE(SUBSTITUTE(SUBSTITUTE(SUBSTITUTE(SUBSTITUTE(SUBSTITUTE(SUBSTITUTE(SUBSTITUTE(SUBSTITUTE(LOWER(TRIM(I405)),"á","a"),"é","e"),"í","i"),"ó","o"),"ú","u"),"ü","u"),"ñ","n"),"à","a"),"è","e"),"ì","i"),"ò","o"),"ù","u"),"")</f>
        <v/>
      </c>
      <c r="S405" s="25">
        <f>IF(R405="","",IF(OR(R405="si",R405="tal vez"),1,0))</f>
        <v/>
      </c>
      <c r="T405" s="25">
        <f>IF(AND(L405=1,D405&lt;&gt;""),IF(IFERROR(COUNTIFS(D$3:D405,"="&amp;SUBSTITUTE(SUBSTITUTE(SUBSTITUTE(D405,"~","~~"),"*","~*"),"?","~?"),L$3:L405,1),0)=1,MAX(T$2:T404)+1,""),"")</f>
        <v/>
      </c>
      <c r="U405" s="25">
        <f>IF(T405="","",COUNTIFS($D$3:$D$1002,"="&amp;SUBSTITUTE(SUBSTITUTE(SUBSTITUTE(D405,"~","~~"),"*","~*"),"?","~?"),$L$3:$L$1002,1)*10000-T405)</f>
        <v/>
      </c>
      <c r="V405" s="25">
        <f>IF(AND(L405=1,J405&lt;&gt;""),IF(IFERROR(COUNTIFS(J$3:J405,"="&amp;SUBSTITUTE(SUBSTITUTE(SUBSTITUTE(J405,"~","~~"),"*","~*"),"?","~?"),L$3:L405,1),0)=1,MAX(V$2:V404)+1,""),"")</f>
        <v/>
      </c>
      <c r="W405" s="25">
        <f>IF(V405="","",COUNTIFS($J$3:$J$1002,"="&amp;SUBSTITUTE(SUBSTITUTE(SUBSTITUTE(J405,"~","~~"),"*","~*"),"?","~?"),$L$3:$L$1002,1)*10000-V405)</f>
        <v/>
      </c>
    </row>
    <row r="406">
      <c r="A406">
        <f>IF(A$2=0,"",IFERROR(TRIM(INDEX('Pegar estudiantes'!$A$1:$BZ$1001,405,A$2)&amp;""),""))</f>
        <v/>
      </c>
      <c r="B406">
        <f>IF(B$2=0,"",IFERROR(TRIM(INDEX('Pegar estudiantes'!$A$1:$BZ$1001,405,B$2)&amp;""),""))</f>
        <v/>
      </c>
      <c r="C406">
        <f>IF(C$2=0,"",IFERROR(TRIM(INDEX('Pegar estudiantes'!$A$1:$BZ$1001,405,C$2)&amp;""),""))</f>
        <v/>
      </c>
      <c r="D406">
        <f>IF(D$2=0,"",IFERROR(TRIM(INDEX('Pegar estudiantes'!$A$1:$BZ$1001,405,D$2)&amp;""),""))</f>
        <v/>
      </c>
      <c r="E406">
        <f>IF(E$2=0,"",IFERROR(TRIM(INDEX('Pegar estudiantes'!$A$1:$BZ$1001,405,E$2)&amp;""),""))</f>
        <v/>
      </c>
      <c r="F406">
        <f>IF(F$2=0,"",IFERROR(TRIM(INDEX('Pegar estudiantes'!$A$1:$BZ$1001,405,F$2)&amp;""),""))</f>
        <v/>
      </c>
      <c r="G406">
        <f>IF(G$2=0,"",IFERROR(TRIM(INDEX('Pegar estudiantes'!$A$1:$BZ$1001,405,G$2)&amp;""),""))</f>
        <v/>
      </c>
      <c r="H406">
        <f>IF(H$2=0,"",IFERROR(TRIM(INDEX('Pegar estudiantes'!$A$1:$BZ$1001,405,H$2)&amp;""),""))</f>
        <v/>
      </c>
      <c r="I406">
        <f>IF(I$2=0,"",IFERROR(TRIM(INDEX('Pegar estudiantes'!$A$1:$BZ$1001,405,I$2)&amp;""),""))</f>
        <v/>
      </c>
      <c r="J406">
        <f>IF(J$2=0,"",IFERROR(TRIM(INDEX('Pegar estudiantes'!$A$1:$BZ$1001,405,J$2)&amp;""),""))</f>
        <v/>
      </c>
      <c r="K406">
        <f>IF(K$2=0,"",IFERROR(TRIM(INDEX('Pegar estudiantes'!$A$1:$BZ$1001,405,K$2)&amp;""),""))</f>
        <v/>
      </c>
      <c r="L406" s="25">
        <f>IF(A406&lt;&gt;"",1,"")</f>
        <v/>
      </c>
      <c r="M406" s="25">
        <f>IF(L406=1,IF(ISNUMBER(FIND("#"&amp;MID(A406,1,1)&amp;"#","#0#1#2#3#4#5#6#7#8#9#")),IF(ISNUMBER(FIND("#"&amp;MID(A406,2,1)&amp;"#","#0#1#2#3#4#5#6#7#8#9#")),IF(AND(VALUE(LEFT(A406,2))&gt;=1,VALUE(LEFT(A406,2))&lt;=5),VALUE(LEFT(A406,2)),""),IF(AND(VALUE(LEFT(A406,1))&gt;=1,VALUE(LEFT(A406,1))&lt;=5),VALUE(LEFT(A406,1)),"")),""),"")</f>
        <v/>
      </c>
      <c r="N406" s="25">
        <f>IF(L406=1,IF(ISNUMBER(FIND("#"&amp;MID(H406,1,1)&amp;"#","#0#1#2#3#4#5#6#7#8#9#")),IF(ISNUMBER(FIND("#"&amp;MID(H406,2,1)&amp;"#","#0#1#2#3#4#5#6#7#8#9#")),IF(AND(VALUE(LEFT(H406,2))&gt;=1,VALUE(LEFT(H406,2))&lt;=5),VALUE(LEFT(H406,2)),""),IF(AND(VALUE(LEFT(H406,1))&gt;=1,VALUE(LEFT(H406,1))&lt;=5),VALUE(LEFT(H406,1)),"")),""),"")</f>
        <v/>
      </c>
      <c r="O406" s="25">
        <f>IF(AND(L406=1,B406&lt;&gt;""),SUBSTITUTE(SUBSTITUTE(SUBSTITUTE(SUBSTITUTE(SUBSTITUTE(SUBSTITUTE(SUBSTITUTE(SUBSTITUTE(SUBSTITUTE(SUBSTITUTE(SUBSTITUTE(SUBSTITUTE(LOWER(TRIM(B406)),"á","a"),"é","e"),"í","i"),"ó","o"),"ú","u"),"ü","u"),"ñ","n"),"à","a"),"è","e"),"ì","i"),"ò","o"),"ù","u"),"")</f>
        <v/>
      </c>
      <c r="P406" s="25">
        <f>IF(AND(L406=1,C406&lt;&gt;""),SUBSTITUTE(SUBSTITUTE(SUBSTITUTE(SUBSTITUTE(SUBSTITUTE(SUBSTITUTE(SUBSTITUTE(SUBSTITUTE(SUBSTITUTE(SUBSTITUTE(SUBSTITUTE(SUBSTITUTE(LOWER(TRIM(C406)),"á","a"),"é","e"),"í","i"),"ó","o"),"ú","u"),"ü","u"),"ñ","n"),"à","a"),"è","e"),"ì","i"),"ò","o"),"ù","u"),"")</f>
        <v/>
      </c>
      <c r="Q406" s="25">
        <f>IF(AND(L406=1,E406&lt;&gt;""),SUBSTITUTE(SUBSTITUTE(SUBSTITUTE(SUBSTITUTE(SUBSTITUTE(SUBSTITUTE(SUBSTITUTE(SUBSTITUTE(SUBSTITUTE(SUBSTITUTE(SUBSTITUTE(SUBSTITUTE(LOWER(TRIM(E406)),"á","a"),"é","e"),"í","i"),"ó","o"),"ú","u"),"ü","u"),"ñ","n"),"à","a"),"è","e"),"ì","i"),"ò","o"),"ù","u"),"")</f>
        <v/>
      </c>
      <c r="R406" s="25">
        <f>IF(AND(L406=1,I406&lt;&gt;""),SUBSTITUTE(SUBSTITUTE(SUBSTITUTE(SUBSTITUTE(SUBSTITUTE(SUBSTITUTE(SUBSTITUTE(SUBSTITUTE(SUBSTITUTE(SUBSTITUTE(SUBSTITUTE(SUBSTITUTE(LOWER(TRIM(I406)),"á","a"),"é","e"),"í","i"),"ó","o"),"ú","u"),"ü","u"),"ñ","n"),"à","a"),"è","e"),"ì","i"),"ò","o"),"ù","u"),"")</f>
        <v/>
      </c>
      <c r="S406" s="25">
        <f>IF(R406="","",IF(OR(R406="si",R406="tal vez"),1,0))</f>
        <v/>
      </c>
      <c r="T406" s="25">
        <f>IF(AND(L406=1,D406&lt;&gt;""),IF(IFERROR(COUNTIFS(D$3:D406,"="&amp;SUBSTITUTE(SUBSTITUTE(SUBSTITUTE(D406,"~","~~"),"*","~*"),"?","~?"),L$3:L406,1),0)=1,MAX(T$2:T405)+1,""),"")</f>
        <v/>
      </c>
      <c r="U406" s="25">
        <f>IF(T406="","",COUNTIFS($D$3:$D$1002,"="&amp;SUBSTITUTE(SUBSTITUTE(SUBSTITUTE(D406,"~","~~"),"*","~*"),"?","~?"),$L$3:$L$1002,1)*10000-T406)</f>
        <v/>
      </c>
      <c r="V406" s="25">
        <f>IF(AND(L406=1,J406&lt;&gt;""),IF(IFERROR(COUNTIFS(J$3:J406,"="&amp;SUBSTITUTE(SUBSTITUTE(SUBSTITUTE(J406,"~","~~"),"*","~*"),"?","~?"),L$3:L406,1),0)=1,MAX(V$2:V405)+1,""),"")</f>
        <v/>
      </c>
      <c r="W406" s="25">
        <f>IF(V406="","",COUNTIFS($J$3:$J$1002,"="&amp;SUBSTITUTE(SUBSTITUTE(SUBSTITUTE(J406,"~","~~"),"*","~*"),"?","~?"),$L$3:$L$1002,1)*10000-V406)</f>
        <v/>
      </c>
    </row>
    <row r="407">
      <c r="A407">
        <f>IF(A$2=0,"",IFERROR(TRIM(INDEX('Pegar estudiantes'!$A$1:$BZ$1001,406,A$2)&amp;""),""))</f>
        <v/>
      </c>
      <c r="B407">
        <f>IF(B$2=0,"",IFERROR(TRIM(INDEX('Pegar estudiantes'!$A$1:$BZ$1001,406,B$2)&amp;""),""))</f>
        <v/>
      </c>
      <c r="C407">
        <f>IF(C$2=0,"",IFERROR(TRIM(INDEX('Pegar estudiantes'!$A$1:$BZ$1001,406,C$2)&amp;""),""))</f>
        <v/>
      </c>
      <c r="D407">
        <f>IF(D$2=0,"",IFERROR(TRIM(INDEX('Pegar estudiantes'!$A$1:$BZ$1001,406,D$2)&amp;""),""))</f>
        <v/>
      </c>
      <c r="E407">
        <f>IF(E$2=0,"",IFERROR(TRIM(INDEX('Pegar estudiantes'!$A$1:$BZ$1001,406,E$2)&amp;""),""))</f>
        <v/>
      </c>
      <c r="F407">
        <f>IF(F$2=0,"",IFERROR(TRIM(INDEX('Pegar estudiantes'!$A$1:$BZ$1001,406,F$2)&amp;""),""))</f>
        <v/>
      </c>
      <c r="G407">
        <f>IF(G$2=0,"",IFERROR(TRIM(INDEX('Pegar estudiantes'!$A$1:$BZ$1001,406,G$2)&amp;""),""))</f>
        <v/>
      </c>
      <c r="H407">
        <f>IF(H$2=0,"",IFERROR(TRIM(INDEX('Pegar estudiantes'!$A$1:$BZ$1001,406,H$2)&amp;""),""))</f>
        <v/>
      </c>
      <c r="I407">
        <f>IF(I$2=0,"",IFERROR(TRIM(INDEX('Pegar estudiantes'!$A$1:$BZ$1001,406,I$2)&amp;""),""))</f>
        <v/>
      </c>
      <c r="J407">
        <f>IF(J$2=0,"",IFERROR(TRIM(INDEX('Pegar estudiantes'!$A$1:$BZ$1001,406,J$2)&amp;""),""))</f>
        <v/>
      </c>
      <c r="K407">
        <f>IF(K$2=0,"",IFERROR(TRIM(INDEX('Pegar estudiantes'!$A$1:$BZ$1001,406,K$2)&amp;""),""))</f>
        <v/>
      </c>
      <c r="L407" s="25">
        <f>IF(A407&lt;&gt;"",1,"")</f>
        <v/>
      </c>
      <c r="M407" s="25">
        <f>IF(L407=1,IF(ISNUMBER(FIND("#"&amp;MID(A407,1,1)&amp;"#","#0#1#2#3#4#5#6#7#8#9#")),IF(ISNUMBER(FIND("#"&amp;MID(A407,2,1)&amp;"#","#0#1#2#3#4#5#6#7#8#9#")),IF(AND(VALUE(LEFT(A407,2))&gt;=1,VALUE(LEFT(A407,2))&lt;=5),VALUE(LEFT(A407,2)),""),IF(AND(VALUE(LEFT(A407,1))&gt;=1,VALUE(LEFT(A407,1))&lt;=5),VALUE(LEFT(A407,1)),"")),""),"")</f>
        <v/>
      </c>
      <c r="N407" s="25">
        <f>IF(L407=1,IF(ISNUMBER(FIND("#"&amp;MID(H407,1,1)&amp;"#","#0#1#2#3#4#5#6#7#8#9#")),IF(ISNUMBER(FIND("#"&amp;MID(H407,2,1)&amp;"#","#0#1#2#3#4#5#6#7#8#9#")),IF(AND(VALUE(LEFT(H407,2))&gt;=1,VALUE(LEFT(H407,2))&lt;=5),VALUE(LEFT(H407,2)),""),IF(AND(VALUE(LEFT(H407,1))&gt;=1,VALUE(LEFT(H407,1))&lt;=5),VALUE(LEFT(H407,1)),"")),""),"")</f>
        <v/>
      </c>
      <c r="O407" s="25">
        <f>IF(AND(L407=1,B407&lt;&gt;""),SUBSTITUTE(SUBSTITUTE(SUBSTITUTE(SUBSTITUTE(SUBSTITUTE(SUBSTITUTE(SUBSTITUTE(SUBSTITUTE(SUBSTITUTE(SUBSTITUTE(SUBSTITUTE(SUBSTITUTE(LOWER(TRIM(B407)),"á","a"),"é","e"),"í","i"),"ó","o"),"ú","u"),"ü","u"),"ñ","n"),"à","a"),"è","e"),"ì","i"),"ò","o"),"ù","u"),"")</f>
        <v/>
      </c>
      <c r="P407" s="25">
        <f>IF(AND(L407=1,C407&lt;&gt;""),SUBSTITUTE(SUBSTITUTE(SUBSTITUTE(SUBSTITUTE(SUBSTITUTE(SUBSTITUTE(SUBSTITUTE(SUBSTITUTE(SUBSTITUTE(SUBSTITUTE(SUBSTITUTE(SUBSTITUTE(LOWER(TRIM(C407)),"á","a"),"é","e"),"í","i"),"ó","o"),"ú","u"),"ü","u"),"ñ","n"),"à","a"),"è","e"),"ì","i"),"ò","o"),"ù","u"),"")</f>
        <v/>
      </c>
      <c r="Q407" s="25">
        <f>IF(AND(L407=1,E407&lt;&gt;""),SUBSTITUTE(SUBSTITUTE(SUBSTITUTE(SUBSTITUTE(SUBSTITUTE(SUBSTITUTE(SUBSTITUTE(SUBSTITUTE(SUBSTITUTE(SUBSTITUTE(SUBSTITUTE(SUBSTITUTE(LOWER(TRIM(E407)),"á","a"),"é","e"),"í","i"),"ó","o"),"ú","u"),"ü","u"),"ñ","n"),"à","a"),"è","e"),"ì","i"),"ò","o"),"ù","u"),"")</f>
        <v/>
      </c>
      <c r="R407" s="25">
        <f>IF(AND(L407=1,I407&lt;&gt;""),SUBSTITUTE(SUBSTITUTE(SUBSTITUTE(SUBSTITUTE(SUBSTITUTE(SUBSTITUTE(SUBSTITUTE(SUBSTITUTE(SUBSTITUTE(SUBSTITUTE(SUBSTITUTE(SUBSTITUTE(LOWER(TRIM(I407)),"á","a"),"é","e"),"í","i"),"ó","o"),"ú","u"),"ü","u"),"ñ","n"),"à","a"),"è","e"),"ì","i"),"ò","o"),"ù","u"),"")</f>
        <v/>
      </c>
      <c r="S407" s="25">
        <f>IF(R407="","",IF(OR(R407="si",R407="tal vez"),1,0))</f>
        <v/>
      </c>
      <c r="T407" s="25">
        <f>IF(AND(L407=1,D407&lt;&gt;""),IF(IFERROR(COUNTIFS(D$3:D407,"="&amp;SUBSTITUTE(SUBSTITUTE(SUBSTITUTE(D407,"~","~~"),"*","~*"),"?","~?"),L$3:L407,1),0)=1,MAX(T$2:T406)+1,""),"")</f>
        <v/>
      </c>
      <c r="U407" s="25">
        <f>IF(T407="","",COUNTIFS($D$3:$D$1002,"="&amp;SUBSTITUTE(SUBSTITUTE(SUBSTITUTE(D407,"~","~~"),"*","~*"),"?","~?"),$L$3:$L$1002,1)*10000-T407)</f>
        <v/>
      </c>
      <c r="V407" s="25">
        <f>IF(AND(L407=1,J407&lt;&gt;""),IF(IFERROR(COUNTIFS(J$3:J407,"="&amp;SUBSTITUTE(SUBSTITUTE(SUBSTITUTE(J407,"~","~~"),"*","~*"),"?","~?"),L$3:L407,1),0)=1,MAX(V$2:V406)+1,""),"")</f>
        <v/>
      </c>
      <c r="W407" s="25">
        <f>IF(V407="","",COUNTIFS($J$3:$J$1002,"="&amp;SUBSTITUTE(SUBSTITUTE(SUBSTITUTE(J407,"~","~~"),"*","~*"),"?","~?"),$L$3:$L$1002,1)*10000-V407)</f>
        <v/>
      </c>
    </row>
    <row r="408">
      <c r="A408">
        <f>IF(A$2=0,"",IFERROR(TRIM(INDEX('Pegar estudiantes'!$A$1:$BZ$1001,407,A$2)&amp;""),""))</f>
        <v/>
      </c>
      <c r="B408">
        <f>IF(B$2=0,"",IFERROR(TRIM(INDEX('Pegar estudiantes'!$A$1:$BZ$1001,407,B$2)&amp;""),""))</f>
        <v/>
      </c>
      <c r="C408">
        <f>IF(C$2=0,"",IFERROR(TRIM(INDEX('Pegar estudiantes'!$A$1:$BZ$1001,407,C$2)&amp;""),""))</f>
        <v/>
      </c>
      <c r="D408">
        <f>IF(D$2=0,"",IFERROR(TRIM(INDEX('Pegar estudiantes'!$A$1:$BZ$1001,407,D$2)&amp;""),""))</f>
        <v/>
      </c>
      <c r="E408">
        <f>IF(E$2=0,"",IFERROR(TRIM(INDEX('Pegar estudiantes'!$A$1:$BZ$1001,407,E$2)&amp;""),""))</f>
        <v/>
      </c>
      <c r="F408">
        <f>IF(F$2=0,"",IFERROR(TRIM(INDEX('Pegar estudiantes'!$A$1:$BZ$1001,407,F$2)&amp;""),""))</f>
        <v/>
      </c>
      <c r="G408">
        <f>IF(G$2=0,"",IFERROR(TRIM(INDEX('Pegar estudiantes'!$A$1:$BZ$1001,407,G$2)&amp;""),""))</f>
        <v/>
      </c>
      <c r="H408">
        <f>IF(H$2=0,"",IFERROR(TRIM(INDEX('Pegar estudiantes'!$A$1:$BZ$1001,407,H$2)&amp;""),""))</f>
        <v/>
      </c>
      <c r="I408">
        <f>IF(I$2=0,"",IFERROR(TRIM(INDEX('Pegar estudiantes'!$A$1:$BZ$1001,407,I$2)&amp;""),""))</f>
        <v/>
      </c>
      <c r="J408">
        <f>IF(J$2=0,"",IFERROR(TRIM(INDEX('Pegar estudiantes'!$A$1:$BZ$1001,407,J$2)&amp;""),""))</f>
        <v/>
      </c>
      <c r="K408">
        <f>IF(K$2=0,"",IFERROR(TRIM(INDEX('Pegar estudiantes'!$A$1:$BZ$1001,407,K$2)&amp;""),""))</f>
        <v/>
      </c>
      <c r="L408" s="25">
        <f>IF(A408&lt;&gt;"",1,"")</f>
        <v/>
      </c>
      <c r="M408" s="25">
        <f>IF(L408=1,IF(ISNUMBER(FIND("#"&amp;MID(A408,1,1)&amp;"#","#0#1#2#3#4#5#6#7#8#9#")),IF(ISNUMBER(FIND("#"&amp;MID(A408,2,1)&amp;"#","#0#1#2#3#4#5#6#7#8#9#")),IF(AND(VALUE(LEFT(A408,2))&gt;=1,VALUE(LEFT(A408,2))&lt;=5),VALUE(LEFT(A408,2)),""),IF(AND(VALUE(LEFT(A408,1))&gt;=1,VALUE(LEFT(A408,1))&lt;=5),VALUE(LEFT(A408,1)),"")),""),"")</f>
        <v/>
      </c>
      <c r="N408" s="25">
        <f>IF(L408=1,IF(ISNUMBER(FIND("#"&amp;MID(H408,1,1)&amp;"#","#0#1#2#3#4#5#6#7#8#9#")),IF(ISNUMBER(FIND("#"&amp;MID(H408,2,1)&amp;"#","#0#1#2#3#4#5#6#7#8#9#")),IF(AND(VALUE(LEFT(H408,2))&gt;=1,VALUE(LEFT(H408,2))&lt;=5),VALUE(LEFT(H408,2)),""),IF(AND(VALUE(LEFT(H408,1))&gt;=1,VALUE(LEFT(H408,1))&lt;=5),VALUE(LEFT(H408,1)),"")),""),"")</f>
        <v/>
      </c>
      <c r="O408" s="25">
        <f>IF(AND(L408=1,B408&lt;&gt;""),SUBSTITUTE(SUBSTITUTE(SUBSTITUTE(SUBSTITUTE(SUBSTITUTE(SUBSTITUTE(SUBSTITUTE(SUBSTITUTE(SUBSTITUTE(SUBSTITUTE(SUBSTITUTE(SUBSTITUTE(LOWER(TRIM(B408)),"á","a"),"é","e"),"í","i"),"ó","o"),"ú","u"),"ü","u"),"ñ","n"),"à","a"),"è","e"),"ì","i"),"ò","o"),"ù","u"),"")</f>
        <v/>
      </c>
      <c r="P408" s="25">
        <f>IF(AND(L408=1,C408&lt;&gt;""),SUBSTITUTE(SUBSTITUTE(SUBSTITUTE(SUBSTITUTE(SUBSTITUTE(SUBSTITUTE(SUBSTITUTE(SUBSTITUTE(SUBSTITUTE(SUBSTITUTE(SUBSTITUTE(SUBSTITUTE(LOWER(TRIM(C408)),"á","a"),"é","e"),"í","i"),"ó","o"),"ú","u"),"ü","u"),"ñ","n"),"à","a"),"è","e"),"ì","i"),"ò","o"),"ù","u"),"")</f>
        <v/>
      </c>
      <c r="Q408" s="25">
        <f>IF(AND(L408=1,E408&lt;&gt;""),SUBSTITUTE(SUBSTITUTE(SUBSTITUTE(SUBSTITUTE(SUBSTITUTE(SUBSTITUTE(SUBSTITUTE(SUBSTITUTE(SUBSTITUTE(SUBSTITUTE(SUBSTITUTE(SUBSTITUTE(LOWER(TRIM(E408)),"á","a"),"é","e"),"í","i"),"ó","o"),"ú","u"),"ü","u"),"ñ","n"),"à","a"),"è","e"),"ì","i"),"ò","o"),"ù","u"),"")</f>
        <v/>
      </c>
      <c r="R408" s="25">
        <f>IF(AND(L408=1,I408&lt;&gt;""),SUBSTITUTE(SUBSTITUTE(SUBSTITUTE(SUBSTITUTE(SUBSTITUTE(SUBSTITUTE(SUBSTITUTE(SUBSTITUTE(SUBSTITUTE(SUBSTITUTE(SUBSTITUTE(SUBSTITUTE(LOWER(TRIM(I408)),"á","a"),"é","e"),"í","i"),"ó","o"),"ú","u"),"ü","u"),"ñ","n"),"à","a"),"è","e"),"ì","i"),"ò","o"),"ù","u"),"")</f>
        <v/>
      </c>
      <c r="S408" s="25">
        <f>IF(R408="","",IF(OR(R408="si",R408="tal vez"),1,0))</f>
        <v/>
      </c>
      <c r="T408" s="25">
        <f>IF(AND(L408=1,D408&lt;&gt;""),IF(IFERROR(COUNTIFS(D$3:D408,"="&amp;SUBSTITUTE(SUBSTITUTE(SUBSTITUTE(D408,"~","~~"),"*","~*"),"?","~?"),L$3:L408,1),0)=1,MAX(T$2:T407)+1,""),"")</f>
        <v/>
      </c>
      <c r="U408" s="25">
        <f>IF(T408="","",COUNTIFS($D$3:$D$1002,"="&amp;SUBSTITUTE(SUBSTITUTE(SUBSTITUTE(D408,"~","~~"),"*","~*"),"?","~?"),$L$3:$L$1002,1)*10000-T408)</f>
        <v/>
      </c>
      <c r="V408" s="25">
        <f>IF(AND(L408=1,J408&lt;&gt;""),IF(IFERROR(COUNTIFS(J$3:J408,"="&amp;SUBSTITUTE(SUBSTITUTE(SUBSTITUTE(J408,"~","~~"),"*","~*"),"?","~?"),L$3:L408,1),0)=1,MAX(V$2:V407)+1,""),"")</f>
        <v/>
      </c>
      <c r="W408" s="25">
        <f>IF(V408="","",COUNTIFS($J$3:$J$1002,"="&amp;SUBSTITUTE(SUBSTITUTE(SUBSTITUTE(J408,"~","~~"),"*","~*"),"?","~?"),$L$3:$L$1002,1)*10000-V408)</f>
        <v/>
      </c>
    </row>
    <row r="409">
      <c r="A409">
        <f>IF(A$2=0,"",IFERROR(TRIM(INDEX('Pegar estudiantes'!$A$1:$BZ$1001,408,A$2)&amp;""),""))</f>
        <v/>
      </c>
      <c r="B409">
        <f>IF(B$2=0,"",IFERROR(TRIM(INDEX('Pegar estudiantes'!$A$1:$BZ$1001,408,B$2)&amp;""),""))</f>
        <v/>
      </c>
      <c r="C409">
        <f>IF(C$2=0,"",IFERROR(TRIM(INDEX('Pegar estudiantes'!$A$1:$BZ$1001,408,C$2)&amp;""),""))</f>
        <v/>
      </c>
      <c r="D409">
        <f>IF(D$2=0,"",IFERROR(TRIM(INDEX('Pegar estudiantes'!$A$1:$BZ$1001,408,D$2)&amp;""),""))</f>
        <v/>
      </c>
      <c r="E409">
        <f>IF(E$2=0,"",IFERROR(TRIM(INDEX('Pegar estudiantes'!$A$1:$BZ$1001,408,E$2)&amp;""),""))</f>
        <v/>
      </c>
      <c r="F409">
        <f>IF(F$2=0,"",IFERROR(TRIM(INDEX('Pegar estudiantes'!$A$1:$BZ$1001,408,F$2)&amp;""),""))</f>
        <v/>
      </c>
      <c r="G409">
        <f>IF(G$2=0,"",IFERROR(TRIM(INDEX('Pegar estudiantes'!$A$1:$BZ$1001,408,G$2)&amp;""),""))</f>
        <v/>
      </c>
      <c r="H409">
        <f>IF(H$2=0,"",IFERROR(TRIM(INDEX('Pegar estudiantes'!$A$1:$BZ$1001,408,H$2)&amp;""),""))</f>
        <v/>
      </c>
      <c r="I409">
        <f>IF(I$2=0,"",IFERROR(TRIM(INDEX('Pegar estudiantes'!$A$1:$BZ$1001,408,I$2)&amp;""),""))</f>
        <v/>
      </c>
      <c r="J409">
        <f>IF(J$2=0,"",IFERROR(TRIM(INDEX('Pegar estudiantes'!$A$1:$BZ$1001,408,J$2)&amp;""),""))</f>
        <v/>
      </c>
      <c r="K409">
        <f>IF(K$2=0,"",IFERROR(TRIM(INDEX('Pegar estudiantes'!$A$1:$BZ$1001,408,K$2)&amp;""),""))</f>
        <v/>
      </c>
      <c r="L409" s="25">
        <f>IF(A409&lt;&gt;"",1,"")</f>
        <v/>
      </c>
      <c r="M409" s="25">
        <f>IF(L409=1,IF(ISNUMBER(FIND("#"&amp;MID(A409,1,1)&amp;"#","#0#1#2#3#4#5#6#7#8#9#")),IF(ISNUMBER(FIND("#"&amp;MID(A409,2,1)&amp;"#","#0#1#2#3#4#5#6#7#8#9#")),IF(AND(VALUE(LEFT(A409,2))&gt;=1,VALUE(LEFT(A409,2))&lt;=5),VALUE(LEFT(A409,2)),""),IF(AND(VALUE(LEFT(A409,1))&gt;=1,VALUE(LEFT(A409,1))&lt;=5),VALUE(LEFT(A409,1)),"")),""),"")</f>
        <v/>
      </c>
      <c r="N409" s="25">
        <f>IF(L409=1,IF(ISNUMBER(FIND("#"&amp;MID(H409,1,1)&amp;"#","#0#1#2#3#4#5#6#7#8#9#")),IF(ISNUMBER(FIND("#"&amp;MID(H409,2,1)&amp;"#","#0#1#2#3#4#5#6#7#8#9#")),IF(AND(VALUE(LEFT(H409,2))&gt;=1,VALUE(LEFT(H409,2))&lt;=5),VALUE(LEFT(H409,2)),""),IF(AND(VALUE(LEFT(H409,1))&gt;=1,VALUE(LEFT(H409,1))&lt;=5),VALUE(LEFT(H409,1)),"")),""),"")</f>
        <v/>
      </c>
      <c r="O409" s="25">
        <f>IF(AND(L409=1,B409&lt;&gt;""),SUBSTITUTE(SUBSTITUTE(SUBSTITUTE(SUBSTITUTE(SUBSTITUTE(SUBSTITUTE(SUBSTITUTE(SUBSTITUTE(SUBSTITUTE(SUBSTITUTE(SUBSTITUTE(SUBSTITUTE(LOWER(TRIM(B409)),"á","a"),"é","e"),"í","i"),"ó","o"),"ú","u"),"ü","u"),"ñ","n"),"à","a"),"è","e"),"ì","i"),"ò","o"),"ù","u"),"")</f>
        <v/>
      </c>
      <c r="P409" s="25">
        <f>IF(AND(L409=1,C409&lt;&gt;""),SUBSTITUTE(SUBSTITUTE(SUBSTITUTE(SUBSTITUTE(SUBSTITUTE(SUBSTITUTE(SUBSTITUTE(SUBSTITUTE(SUBSTITUTE(SUBSTITUTE(SUBSTITUTE(SUBSTITUTE(LOWER(TRIM(C409)),"á","a"),"é","e"),"í","i"),"ó","o"),"ú","u"),"ü","u"),"ñ","n"),"à","a"),"è","e"),"ì","i"),"ò","o"),"ù","u"),"")</f>
        <v/>
      </c>
      <c r="Q409" s="25">
        <f>IF(AND(L409=1,E409&lt;&gt;""),SUBSTITUTE(SUBSTITUTE(SUBSTITUTE(SUBSTITUTE(SUBSTITUTE(SUBSTITUTE(SUBSTITUTE(SUBSTITUTE(SUBSTITUTE(SUBSTITUTE(SUBSTITUTE(SUBSTITUTE(LOWER(TRIM(E409)),"á","a"),"é","e"),"í","i"),"ó","o"),"ú","u"),"ü","u"),"ñ","n"),"à","a"),"è","e"),"ì","i"),"ò","o"),"ù","u"),"")</f>
        <v/>
      </c>
      <c r="R409" s="25">
        <f>IF(AND(L409=1,I409&lt;&gt;""),SUBSTITUTE(SUBSTITUTE(SUBSTITUTE(SUBSTITUTE(SUBSTITUTE(SUBSTITUTE(SUBSTITUTE(SUBSTITUTE(SUBSTITUTE(SUBSTITUTE(SUBSTITUTE(SUBSTITUTE(LOWER(TRIM(I409)),"á","a"),"é","e"),"í","i"),"ó","o"),"ú","u"),"ü","u"),"ñ","n"),"à","a"),"è","e"),"ì","i"),"ò","o"),"ù","u"),"")</f>
        <v/>
      </c>
      <c r="S409" s="25">
        <f>IF(R409="","",IF(OR(R409="si",R409="tal vez"),1,0))</f>
        <v/>
      </c>
      <c r="T409" s="25">
        <f>IF(AND(L409=1,D409&lt;&gt;""),IF(IFERROR(COUNTIFS(D$3:D409,"="&amp;SUBSTITUTE(SUBSTITUTE(SUBSTITUTE(D409,"~","~~"),"*","~*"),"?","~?"),L$3:L409,1),0)=1,MAX(T$2:T408)+1,""),"")</f>
        <v/>
      </c>
      <c r="U409" s="25">
        <f>IF(T409="","",COUNTIFS($D$3:$D$1002,"="&amp;SUBSTITUTE(SUBSTITUTE(SUBSTITUTE(D409,"~","~~"),"*","~*"),"?","~?"),$L$3:$L$1002,1)*10000-T409)</f>
        <v/>
      </c>
      <c r="V409" s="25">
        <f>IF(AND(L409=1,J409&lt;&gt;""),IF(IFERROR(COUNTIFS(J$3:J409,"="&amp;SUBSTITUTE(SUBSTITUTE(SUBSTITUTE(J409,"~","~~"),"*","~*"),"?","~?"),L$3:L409,1),0)=1,MAX(V$2:V408)+1,""),"")</f>
        <v/>
      </c>
      <c r="W409" s="25">
        <f>IF(V409="","",COUNTIFS($J$3:$J$1002,"="&amp;SUBSTITUTE(SUBSTITUTE(SUBSTITUTE(J409,"~","~~"),"*","~*"),"?","~?"),$L$3:$L$1002,1)*10000-V409)</f>
        <v/>
      </c>
    </row>
    <row r="410">
      <c r="A410">
        <f>IF(A$2=0,"",IFERROR(TRIM(INDEX('Pegar estudiantes'!$A$1:$BZ$1001,409,A$2)&amp;""),""))</f>
        <v/>
      </c>
      <c r="B410">
        <f>IF(B$2=0,"",IFERROR(TRIM(INDEX('Pegar estudiantes'!$A$1:$BZ$1001,409,B$2)&amp;""),""))</f>
        <v/>
      </c>
      <c r="C410">
        <f>IF(C$2=0,"",IFERROR(TRIM(INDEX('Pegar estudiantes'!$A$1:$BZ$1001,409,C$2)&amp;""),""))</f>
        <v/>
      </c>
      <c r="D410">
        <f>IF(D$2=0,"",IFERROR(TRIM(INDEX('Pegar estudiantes'!$A$1:$BZ$1001,409,D$2)&amp;""),""))</f>
        <v/>
      </c>
      <c r="E410">
        <f>IF(E$2=0,"",IFERROR(TRIM(INDEX('Pegar estudiantes'!$A$1:$BZ$1001,409,E$2)&amp;""),""))</f>
        <v/>
      </c>
      <c r="F410">
        <f>IF(F$2=0,"",IFERROR(TRIM(INDEX('Pegar estudiantes'!$A$1:$BZ$1001,409,F$2)&amp;""),""))</f>
        <v/>
      </c>
      <c r="G410">
        <f>IF(G$2=0,"",IFERROR(TRIM(INDEX('Pegar estudiantes'!$A$1:$BZ$1001,409,G$2)&amp;""),""))</f>
        <v/>
      </c>
      <c r="H410">
        <f>IF(H$2=0,"",IFERROR(TRIM(INDEX('Pegar estudiantes'!$A$1:$BZ$1001,409,H$2)&amp;""),""))</f>
        <v/>
      </c>
      <c r="I410">
        <f>IF(I$2=0,"",IFERROR(TRIM(INDEX('Pegar estudiantes'!$A$1:$BZ$1001,409,I$2)&amp;""),""))</f>
        <v/>
      </c>
      <c r="J410">
        <f>IF(J$2=0,"",IFERROR(TRIM(INDEX('Pegar estudiantes'!$A$1:$BZ$1001,409,J$2)&amp;""),""))</f>
        <v/>
      </c>
      <c r="K410">
        <f>IF(K$2=0,"",IFERROR(TRIM(INDEX('Pegar estudiantes'!$A$1:$BZ$1001,409,K$2)&amp;""),""))</f>
        <v/>
      </c>
      <c r="L410" s="25">
        <f>IF(A410&lt;&gt;"",1,"")</f>
        <v/>
      </c>
      <c r="M410" s="25">
        <f>IF(L410=1,IF(ISNUMBER(FIND("#"&amp;MID(A410,1,1)&amp;"#","#0#1#2#3#4#5#6#7#8#9#")),IF(ISNUMBER(FIND("#"&amp;MID(A410,2,1)&amp;"#","#0#1#2#3#4#5#6#7#8#9#")),IF(AND(VALUE(LEFT(A410,2))&gt;=1,VALUE(LEFT(A410,2))&lt;=5),VALUE(LEFT(A410,2)),""),IF(AND(VALUE(LEFT(A410,1))&gt;=1,VALUE(LEFT(A410,1))&lt;=5),VALUE(LEFT(A410,1)),"")),""),"")</f>
        <v/>
      </c>
      <c r="N410" s="25">
        <f>IF(L410=1,IF(ISNUMBER(FIND("#"&amp;MID(H410,1,1)&amp;"#","#0#1#2#3#4#5#6#7#8#9#")),IF(ISNUMBER(FIND("#"&amp;MID(H410,2,1)&amp;"#","#0#1#2#3#4#5#6#7#8#9#")),IF(AND(VALUE(LEFT(H410,2))&gt;=1,VALUE(LEFT(H410,2))&lt;=5),VALUE(LEFT(H410,2)),""),IF(AND(VALUE(LEFT(H410,1))&gt;=1,VALUE(LEFT(H410,1))&lt;=5),VALUE(LEFT(H410,1)),"")),""),"")</f>
        <v/>
      </c>
      <c r="O410" s="25">
        <f>IF(AND(L410=1,B410&lt;&gt;""),SUBSTITUTE(SUBSTITUTE(SUBSTITUTE(SUBSTITUTE(SUBSTITUTE(SUBSTITUTE(SUBSTITUTE(SUBSTITUTE(SUBSTITUTE(SUBSTITUTE(SUBSTITUTE(SUBSTITUTE(LOWER(TRIM(B410)),"á","a"),"é","e"),"í","i"),"ó","o"),"ú","u"),"ü","u"),"ñ","n"),"à","a"),"è","e"),"ì","i"),"ò","o"),"ù","u"),"")</f>
        <v/>
      </c>
      <c r="P410" s="25">
        <f>IF(AND(L410=1,C410&lt;&gt;""),SUBSTITUTE(SUBSTITUTE(SUBSTITUTE(SUBSTITUTE(SUBSTITUTE(SUBSTITUTE(SUBSTITUTE(SUBSTITUTE(SUBSTITUTE(SUBSTITUTE(SUBSTITUTE(SUBSTITUTE(LOWER(TRIM(C410)),"á","a"),"é","e"),"í","i"),"ó","o"),"ú","u"),"ü","u"),"ñ","n"),"à","a"),"è","e"),"ì","i"),"ò","o"),"ù","u"),"")</f>
        <v/>
      </c>
      <c r="Q410" s="25">
        <f>IF(AND(L410=1,E410&lt;&gt;""),SUBSTITUTE(SUBSTITUTE(SUBSTITUTE(SUBSTITUTE(SUBSTITUTE(SUBSTITUTE(SUBSTITUTE(SUBSTITUTE(SUBSTITUTE(SUBSTITUTE(SUBSTITUTE(SUBSTITUTE(LOWER(TRIM(E410)),"á","a"),"é","e"),"í","i"),"ó","o"),"ú","u"),"ü","u"),"ñ","n"),"à","a"),"è","e"),"ì","i"),"ò","o"),"ù","u"),"")</f>
        <v/>
      </c>
      <c r="R410" s="25">
        <f>IF(AND(L410=1,I410&lt;&gt;""),SUBSTITUTE(SUBSTITUTE(SUBSTITUTE(SUBSTITUTE(SUBSTITUTE(SUBSTITUTE(SUBSTITUTE(SUBSTITUTE(SUBSTITUTE(SUBSTITUTE(SUBSTITUTE(SUBSTITUTE(LOWER(TRIM(I410)),"á","a"),"é","e"),"í","i"),"ó","o"),"ú","u"),"ü","u"),"ñ","n"),"à","a"),"è","e"),"ì","i"),"ò","o"),"ù","u"),"")</f>
        <v/>
      </c>
      <c r="S410" s="25">
        <f>IF(R410="","",IF(OR(R410="si",R410="tal vez"),1,0))</f>
        <v/>
      </c>
      <c r="T410" s="25">
        <f>IF(AND(L410=1,D410&lt;&gt;""),IF(IFERROR(COUNTIFS(D$3:D410,"="&amp;SUBSTITUTE(SUBSTITUTE(SUBSTITUTE(D410,"~","~~"),"*","~*"),"?","~?"),L$3:L410,1),0)=1,MAX(T$2:T409)+1,""),"")</f>
        <v/>
      </c>
      <c r="U410" s="25">
        <f>IF(T410="","",COUNTIFS($D$3:$D$1002,"="&amp;SUBSTITUTE(SUBSTITUTE(SUBSTITUTE(D410,"~","~~"),"*","~*"),"?","~?"),$L$3:$L$1002,1)*10000-T410)</f>
        <v/>
      </c>
      <c r="V410" s="25">
        <f>IF(AND(L410=1,J410&lt;&gt;""),IF(IFERROR(COUNTIFS(J$3:J410,"="&amp;SUBSTITUTE(SUBSTITUTE(SUBSTITUTE(J410,"~","~~"),"*","~*"),"?","~?"),L$3:L410,1),0)=1,MAX(V$2:V409)+1,""),"")</f>
        <v/>
      </c>
      <c r="W410" s="25">
        <f>IF(V410="","",COUNTIFS($J$3:$J$1002,"="&amp;SUBSTITUTE(SUBSTITUTE(SUBSTITUTE(J410,"~","~~"),"*","~*"),"?","~?"),$L$3:$L$1002,1)*10000-V410)</f>
        <v/>
      </c>
    </row>
    <row r="411">
      <c r="A411">
        <f>IF(A$2=0,"",IFERROR(TRIM(INDEX('Pegar estudiantes'!$A$1:$BZ$1001,410,A$2)&amp;""),""))</f>
        <v/>
      </c>
      <c r="B411">
        <f>IF(B$2=0,"",IFERROR(TRIM(INDEX('Pegar estudiantes'!$A$1:$BZ$1001,410,B$2)&amp;""),""))</f>
        <v/>
      </c>
      <c r="C411">
        <f>IF(C$2=0,"",IFERROR(TRIM(INDEX('Pegar estudiantes'!$A$1:$BZ$1001,410,C$2)&amp;""),""))</f>
        <v/>
      </c>
      <c r="D411">
        <f>IF(D$2=0,"",IFERROR(TRIM(INDEX('Pegar estudiantes'!$A$1:$BZ$1001,410,D$2)&amp;""),""))</f>
        <v/>
      </c>
      <c r="E411">
        <f>IF(E$2=0,"",IFERROR(TRIM(INDEX('Pegar estudiantes'!$A$1:$BZ$1001,410,E$2)&amp;""),""))</f>
        <v/>
      </c>
      <c r="F411">
        <f>IF(F$2=0,"",IFERROR(TRIM(INDEX('Pegar estudiantes'!$A$1:$BZ$1001,410,F$2)&amp;""),""))</f>
        <v/>
      </c>
      <c r="G411">
        <f>IF(G$2=0,"",IFERROR(TRIM(INDEX('Pegar estudiantes'!$A$1:$BZ$1001,410,G$2)&amp;""),""))</f>
        <v/>
      </c>
      <c r="H411">
        <f>IF(H$2=0,"",IFERROR(TRIM(INDEX('Pegar estudiantes'!$A$1:$BZ$1001,410,H$2)&amp;""),""))</f>
        <v/>
      </c>
      <c r="I411">
        <f>IF(I$2=0,"",IFERROR(TRIM(INDEX('Pegar estudiantes'!$A$1:$BZ$1001,410,I$2)&amp;""),""))</f>
        <v/>
      </c>
      <c r="J411">
        <f>IF(J$2=0,"",IFERROR(TRIM(INDEX('Pegar estudiantes'!$A$1:$BZ$1001,410,J$2)&amp;""),""))</f>
        <v/>
      </c>
      <c r="K411">
        <f>IF(K$2=0,"",IFERROR(TRIM(INDEX('Pegar estudiantes'!$A$1:$BZ$1001,410,K$2)&amp;""),""))</f>
        <v/>
      </c>
      <c r="L411" s="25">
        <f>IF(A411&lt;&gt;"",1,"")</f>
        <v/>
      </c>
      <c r="M411" s="25">
        <f>IF(L411=1,IF(ISNUMBER(FIND("#"&amp;MID(A411,1,1)&amp;"#","#0#1#2#3#4#5#6#7#8#9#")),IF(ISNUMBER(FIND("#"&amp;MID(A411,2,1)&amp;"#","#0#1#2#3#4#5#6#7#8#9#")),IF(AND(VALUE(LEFT(A411,2))&gt;=1,VALUE(LEFT(A411,2))&lt;=5),VALUE(LEFT(A411,2)),""),IF(AND(VALUE(LEFT(A411,1))&gt;=1,VALUE(LEFT(A411,1))&lt;=5),VALUE(LEFT(A411,1)),"")),""),"")</f>
        <v/>
      </c>
      <c r="N411" s="25">
        <f>IF(L411=1,IF(ISNUMBER(FIND("#"&amp;MID(H411,1,1)&amp;"#","#0#1#2#3#4#5#6#7#8#9#")),IF(ISNUMBER(FIND("#"&amp;MID(H411,2,1)&amp;"#","#0#1#2#3#4#5#6#7#8#9#")),IF(AND(VALUE(LEFT(H411,2))&gt;=1,VALUE(LEFT(H411,2))&lt;=5),VALUE(LEFT(H411,2)),""),IF(AND(VALUE(LEFT(H411,1))&gt;=1,VALUE(LEFT(H411,1))&lt;=5),VALUE(LEFT(H411,1)),"")),""),"")</f>
        <v/>
      </c>
      <c r="O411" s="25">
        <f>IF(AND(L411=1,B411&lt;&gt;""),SUBSTITUTE(SUBSTITUTE(SUBSTITUTE(SUBSTITUTE(SUBSTITUTE(SUBSTITUTE(SUBSTITUTE(SUBSTITUTE(SUBSTITUTE(SUBSTITUTE(SUBSTITUTE(SUBSTITUTE(LOWER(TRIM(B411)),"á","a"),"é","e"),"í","i"),"ó","o"),"ú","u"),"ü","u"),"ñ","n"),"à","a"),"è","e"),"ì","i"),"ò","o"),"ù","u"),"")</f>
        <v/>
      </c>
      <c r="P411" s="25">
        <f>IF(AND(L411=1,C411&lt;&gt;""),SUBSTITUTE(SUBSTITUTE(SUBSTITUTE(SUBSTITUTE(SUBSTITUTE(SUBSTITUTE(SUBSTITUTE(SUBSTITUTE(SUBSTITUTE(SUBSTITUTE(SUBSTITUTE(SUBSTITUTE(LOWER(TRIM(C411)),"á","a"),"é","e"),"í","i"),"ó","o"),"ú","u"),"ü","u"),"ñ","n"),"à","a"),"è","e"),"ì","i"),"ò","o"),"ù","u"),"")</f>
        <v/>
      </c>
      <c r="Q411" s="25">
        <f>IF(AND(L411=1,E411&lt;&gt;""),SUBSTITUTE(SUBSTITUTE(SUBSTITUTE(SUBSTITUTE(SUBSTITUTE(SUBSTITUTE(SUBSTITUTE(SUBSTITUTE(SUBSTITUTE(SUBSTITUTE(SUBSTITUTE(SUBSTITUTE(LOWER(TRIM(E411)),"á","a"),"é","e"),"í","i"),"ó","o"),"ú","u"),"ü","u"),"ñ","n"),"à","a"),"è","e"),"ì","i"),"ò","o"),"ù","u"),"")</f>
        <v/>
      </c>
      <c r="R411" s="25">
        <f>IF(AND(L411=1,I411&lt;&gt;""),SUBSTITUTE(SUBSTITUTE(SUBSTITUTE(SUBSTITUTE(SUBSTITUTE(SUBSTITUTE(SUBSTITUTE(SUBSTITUTE(SUBSTITUTE(SUBSTITUTE(SUBSTITUTE(SUBSTITUTE(LOWER(TRIM(I411)),"á","a"),"é","e"),"í","i"),"ó","o"),"ú","u"),"ü","u"),"ñ","n"),"à","a"),"è","e"),"ì","i"),"ò","o"),"ù","u"),"")</f>
        <v/>
      </c>
      <c r="S411" s="25">
        <f>IF(R411="","",IF(OR(R411="si",R411="tal vez"),1,0))</f>
        <v/>
      </c>
      <c r="T411" s="25">
        <f>IF(AND(L411=1,D411&lt;&gt;""),IF(IFERROR(COUNTIFS(D$3:D411,"="&amp;SUBSTITUTE(SUBSTITUTE(SUBSTITUTE(D411,"~","~~"),"*","~*"),"?","~?"),L$3:L411,1),0)=1,MAX(T$2:T410)+1,""),"")</f>
        <v/>
      </c>
      <c r="U411" s="25">
        <f>IF(T411="","",COUNTIFS($D$3:$D$1002,"="&amp;SUBSTITUTE(SUBSTITUTE(SUBSTITUTE(D411,"~","~~"),"*","~*"),"?","~?"),$L$3:$L$1002,1)*10000-T411)</f>
        <v/>
      </c>
      <c r="V411" s="25">
        <f>IF(AND(L411=1,J411&lt;&gt;""),IF(IFERROR(COUNTIFS(J$3:J411,"="&amp;SUBSTITUTE(SUBSTITUTE(SUBSTITUTE(J411,"~","~~"),"*","~*"),"?","~?"),L$3:L411,1),0)=1,MAX(V$2:V410)+1,""),"")</f>
        <v/>
      </c>
      <c r="W411" s="25">
        <f>IF(V411="","",COUNTIFS($J$3:$J$1002,"="&amp;SUBSTITUTE(SUBSTITUTE(SUBSTITUTE(J411,"~","~~"),"*","~*"),"?","~?"),$L$3:$L$1002,1)*10000-V411)</f>
        <v/>
      </c>
    </row>
    <row r="412">
      <c r="A412">
        <f>IF(A$2=0,"",IFERROR(TRIM(INDEX('Pegar estudiantes'!$A$1:$BZ$1001,411,A$2)&amp;""),""))</f>
        <v/>
      </c>
      <c r="B412">
        <f>IF(B$2=0,"",IFERROR(TRIM(INDEX('Pegar estudiantes'!$A$1:$BZ$1001,411,B$2)&amp;""),""))</f>
        <v/>
      </c>
      <c r="C412">
        <f>IF(C$2=0,"",IFERROR(TRIM(INDEX('Pegar estudiantes'!$A$1:$BZ$1001,411,C$2)&amp;""),""))</f>
        <v/>
      </c>
      <c r="D412">
        <f>IF(D$2=0,"",IFERROR(TRIM(INDEX('Pegar estudiantes'!$A$1:$BZ$1001,411,D$2)&amp;""),""))</f>
        <v/>
      </c>
      <c r="E412">
        <f>IF(E$2=0,"",IFERROR(TRIM(INDEX('Pegar estudiantes'!$A$1:$BZ$1001,411,E$2)&amp;""),""))</f>
        <v/>
      </c>
      <c r="F412">
        <f>IF(F$2=0,"",IFERROR(TRIM(INDEX('Pegar estudiantes'!$A$1:$BZ$1001,411,F$2)&amp;""),""))</f>
        <v/>
      </c>
      <c r="G412">
        <f>IF(G$2=0,"",IFERROR(TRIM(INDEX('Pegar estudiantes'!$A$1:$BZ$1001,411,G$2)&amp;""),""))</f>
        <v/>
      </c>
      <c r="H412">
        <f>IF(H$2=0,"",IFERROR(TRIM(INDEX('Pegar estudiantes'!$A$1:$BZ$1001,411,H$2)&amp;""),""))</f>
        <v/>
      </c>
      <c r="I412">
        <f>IF(I$2=0,"",IFERROR(TRIM(INDEX('Pegar estudiantes'!$A$1:$BZ$1001,411,I$2)&amp;""),""))</f>
        <v/>
      </c>
      <c r="J412">
        <f>IF(J$2=0,"",IFERROR(TRIM(INDEX('Pegar estudiantes'!$A$1:$BZ$1001,411,J$2)&amp;""),""))</f>
        <v/>
      </c>
      <c r="K412">
        <f>IF(K$2=0,"",IFERROR(TRIM(INDEX('Pegar estudiantes'!$A$1:$BZ$1001,411,K$2)&amp;""),""))</f>
        <v/>
      </c>
      <c r="L412" s="25">
        <f>IF(A412&lt;&gt;"",1,"")</f>
        <v/>
      </c>
      <c r="M412" s="25">
        <f>IF(L412=1,IF(ISNUMBER(FIND("#"&amp;MID(A412,1,1)&amp;"#","#0#1#2#3#4#5#6#7#8#9#")),IF(ISNUMBER(FIND("#"&amp;MID(A412,2,1)&amp;"#","#0#1#2#3#4#5#6#7#8#9#")),IF(AND(VALUE(LEFT(A412,2))&gt;=1,VALUE(LEFT(A412,2))&lt;=5),VALUE(LEFT(A412,2)),""),IF(AND(VALUE(LEFT(A412,1))&gt;=1,VALUE(LEFT(A412,1))&lt;=5),VALUE(LEFT(A412,1)),"")),""),"")</f>
        <v/>
      </c>
      <c r="N412" s="25">
        <f>IF(L412=1,IF(ISNUMBER(FIND("#"&amp;MID(H412,1,1)&amp;"#","#0#1#2#3#4#5#6#7#8#9#")),IF(ISNUMBER(FIND("#"&amp;MID(H412,2,1)&amp;"#","#0#1#2#3#4#5#6#7#8#9#")),IF(AND(VALUE(LEFT(H412,2))&gt;=1,VALUE(LEFT(H412,2))&lt;=5),VALUE(LEFT(H412,2)),""),IF(AND(VALUE(LEFT(H412,1))&gt;=1,VALUE(LEFT(H412,1))&lt;=5),VALUE(LEFT(H412,1)),"")),""),"")</f>
        <v/>
      </c>
      <c r="O412" s="25">
        <f>IF(AND(L412=1,B412&lt;&gt;""),SUBSTITUTE(SUBSTITUTE(SUBSTITUTE(SUBSTITUTE(SUBSTITUTE(SUBSTITUTE(SUBSTITUTE(SUBSTITUTE(SUBSTITUTE(SUBSTITUTE(SUBSTITUTE(SUBSTITUTE(LOWER(TRIM(B412)),"á","a"),"é","e"),"í","i"),"ó","o"),"ú","u"),"ü","u"),"ñ","n"),"à","a"),"è","e"),"ì","i"),"ò","o"),"ù","u"),"")</f>
        <v/>
      </c>
      <c r="P412" s="25">
        <f>IF(AND(L412=1,C412&lt;&gt;""),SUBSTITUTE(SUBSTITUTE(SUBSTITUTE(SUBSTITUTE(SUBSTITUTE(SUBSTITUTE(SUBSTITUTE(SUBSTITUTE(SUBSTITUTE(SUBSTITUTE(SUBSTITUTE(SUBSTITUTE(LOWER(TRIM(C412)),"á","a"),"é","e"),"í","i"),"ó","o"),"ú","u"),"ü","u"),"ñ","n"),"à","a"),"è","e"),"ì","i"),"ò","o"),"ù","u"),"")</f>
        <v/>
      </c>
      <c r="Q412" s="25">
        <f>IF(AND(L412=1,E412&lt;&gt;""),SUBSTITUTE(SUBSTITUTE(SUBSTITUTE(SUBSTITUTE(SUBSTITUTE(SUBSTITUTE(SUBSTITUTE(SUBSTITUTE(SUBSTITUTE(SUBSTITUTE(SUBSTITUTE(SUBSTITUTE(LOWER(TRIM(E412)),"á","a"),"é","e"),"í","i"),"ó","o"),"ú","u"),"ü","u"),"ñ","n"),"à","a"),"è","e"),"ì","i"),"ò","o"),"ù","u"),"")</f>
        <v/>
      </c>
      <c r="R412" s="25">
        <f>IF(AND(L412=1,I412&lt;&gt;""),SUBSTITUTE(SUBSTITUTE(SUBSTITUTE(SUBSTITUTE(SUBSTITUTE(SUBSTITUTE(SUBSTITUTE(SUBSTITUTE(SUBSTITUTE(SUBSTITUTE(SUBSTITUTE(SUBSTITUTE(LOWER(TRIM(I412)),"á","a"),"é","e"),"í","i"),"ó","o"),"ú","u"),"ü","u"),"ñ","n"),"à","a"),"è","e"),"ì","i"),"ò","o"),"ù","u"),"")</f>
        <v/>
      </c>
      <c r="S412" s="25">
        <f>IF(R412="","",IF(OR(R412="si",R412="tal vez"),1,0))</f>
        <v/>
      </c>
      <c r="T412" s="25">
        <f>IF(AND(L412=1,D412&lt;&gt;""),IF(IFERROR(COUNTIFS(D$3:D412,"="&amp;SUBSTITUTE(SUBSTITUTE(SUBSTITUTE(D412,"~","~~"),"*","~*"),"?","~?"),L$3:L412,1),0)=1,MAX(T$2:T411)+1,""),"")</f>
        <v/>
      </c>
      <c r="U412" s="25">
        <f>IF(T412="","",COUNTIFS($D$3:$D$1002,"="&amp;SUBSTITUTE(SUBSTITUTE(SUBSTITUTE(D412,"~","~~"),"*","~*"),"?","~?"),$L$3:$L$1002,1)*10000-T412)</f>
        <v/>
      </c>
      <c r="V412" s="25">
        <f>IF(AND(L412=1,J412&lt;&gt;""),IF(IFERROR(COUNTIFS(J$3:J412,"="&amp;SUBSTITUTE(SUBSTITUTE(SUBSTITUTE(J412,"~","~~"),"*","~*"),"?","~?"),L$3:L412,1),0)=1,MAX(V$2:V411)+1,""),"")</f>
        <v/>
      </c>
      <c r="W412" s="25">
        <f>IF(V412="","",COUNTIFS($J$3:$J$1002,"="&amp;SUBSTITUTE(SUBSTITUTE(SUBSTITUTE(J412,"~","~~"),"*","~*"),"?","~?"),$L$3:$L$1002,1)*10000-V412)</f>
        <v/>
      </c>
    </row>
    <row r="413">
      <c r="A413">
        <f>IF(A$2=0,"",IFERROR(TRIM(INDEX('Pegar estudiantes'!$A$1:$BZ$1001,412,A$2)&amp;""),""))</f>
        <v/>
      </c>
      <c r="B413">
        <f>IF(B$2=0,"",IFERROR(TRIM(INDEX('Pegar estudiantes'!$A$1:$BZ$1001,412,B$2)&amp;""),""))</f>
        <v/>
      </c>
      <c r="C413">
        <f>IF(C$2=0,"",IFERROR(TRIM(INDEX('Pegar estudiantes'!$A$1:$BZ$1001,412,C$2)&amp;""),""))</f>
        <v/>
      </c>
      <c r="D413">
        <f>IF(D$2=0,"",IFERROR(TRIM(INDEX('Pegar estudiantes'!$A$1:$BZ$1001,412,D$2)&amp;""),""))</f>
        <v/>
      </c>
      <c r="E413">
        <f>IF(E$2=0,"",IFERROR(TRIM(INDEX('Pegar estudiantes'!$A$1:$BZ$1001,412,E$2)&amp;""),""))</f>
        <v/>
      </c>
      <c r="F413">
        <f>IF(F$2=0,"",IFERROR(TRIM(INDEX('Pegar estudiantes'!$A$1:$BZ$1001,412,F$2)&amp;""),""))</f>
        <v/>
      </c>
      <c r="G413">
        <f>IF(G$2=0,"",IFERROR(TRIM(INDEX('Pegar estudiantes'!$A$1:$BZ$1001,412,G$2)&amp;""),""))</f>
        <v/>
      </c>
      <c r="H413">
        <f>IF(H$2=0,"",IFERROR(TRIM(INDEX('Pegar estudiantes'!$A$1:$BZ$1001,412,H$2)&amp;""),""))</f>
        <v/>
      </c>
      <c r="I413">
        <f>IF(I$2=0,"",IFERROR(TRIM(INDEX('Pegar estudiantes'!$A$1:$BZ$1001,412,I$2)&amp;""),""))</f>
        <v/>
      </c>
      <c r="J413">
        <f>IF(J$2=0,"",IFERROR(TRIM(INDEX('Pegar estudiantes'!$A$1:$BZ$1001,412,J$2)&amp;""),""))</f>
        <v/>
      </c>
      <c r="K413">
        <f>IF(K$2=0,"",IFERROR(TRIM(INDEX('Pegar estudiantes'!$A$1:$BZ$1001,412,K$2)&amp;""),""))</f>
        <v/>
      </c>
      <c r="L413" s="25">
        <f>IF(A413&lt;&gt;"",1,"")</f>
        <v/>
      </c>
      <c r="M413" s="25">
        <f>IF(L413=1,IF(ISNUMBER(FIND("#"&amp;MID(A413,1,1)&amp;"#","#0#1#2#3#4#5#6#7#8#9#")),IF(ISNUMBER(FIND("#"&amp;MID(A413,2,1)&amp;"#","#0#1#2#3#4#5#6#7#8#9#")),IF(AND(VALUE(LEFT(A413,2))&gt;=1,VALUE(LEFT(A413,2))&lt;=5),VALUE(LEFT(A413,2)),""),IF(AND(VALUE(LEFT(A413,1))&gt;=1,VALUE(LEFT(A413,1))&lt;=5),VALUE(LEFT(A413,1)),"")),""),"")</f>
        <v/>
      </c>
      <c r="N413" s="25">
        <f>IF(L413=1,IF(ISNUMBER(FIND("#"&amp;MID(H413,1,1)&amp;"#","#0#1#2#3#4#5#6#7#8#9#")),IF(ISNUMBER(FIND("#"&amp;MID(H413,2,1)&amp;"#","#0#1#2#3#4#5#6#7#8#9#")),IF(AND(VALUE(LEFT(H413,2))&gt;=1,VALUE(LEFT(H413,2))&lt;=5),VALUE(LEFT(H413,2)),""),IF(AND(VALUE(LEFT(H413,1))&gt;=1,VALUE(LEFT(H413,1))&lt;=5),VALUE(LEFT(H413,1)),"")),""),"")</f>
        <v/>
      </c>
      <c r="O413" s="25">
        <f>IF(AND(L413=1,B413&lt;&gt;""),SUBSTITUTE(SUBSTITUTE(SUBSTITUTE(SUBSTITUTE(SUBSTITUTE(SUBSTITUTE(SUBSTITUTE(SUBSTITUTE(SUBSTITUTE(SUBSTITUTE(SUBSTITUTE(SUBSTITUTE(LOWER(TRIM(B413)),"á","a"),"é","e"),"í","i"),"ó","o"),"ú","u"),"ü","u"),"ñ","n"),"à","a"),"è","e"),"ì","i"),"ò","o"),"ù","u"),"")</f>
        <v/>
      </c>
      <c r="P413" s="25">
        <f>IF(AND(L413=1,C413&lt;&gt;""),SUBSTITUTE(SUBSTITUTE(SUBSTITUTE(SUBSTITUTE(SUBSTITUTE(SUBSTITUTE(SUBSTITUTE(SUBSTITUTE(SUBSTITUTE(SUBSTITUTE(SUBSTITUTE(SUBSTITUTE(LOWER(TRIM(C413)),"á","a"),"é","e"),"í","i"),"ó","o"),"ú","u"),"ü","u"),"ñ","n"),"à","a"),"è","e"),"ì","i"),"ò","o"),"ù","u"),"")</f>
        <v/>
      </c>
      <c r="Q413" s="25">
        <f>IF(AND(L413=1,E413&lt;&gt;""),SUBSTITUTE(SUBSTITUTE(SUBSTITUTE(SUBSTITUTE(SUBSTITUTE(SUBSTITUTE(SUBSTITUTE(SUBSTITUTE(SUBSTITUTE(SUBSTITUTE(SUBSTITUTE(SUBSTITUTE(LOWER(TRIM(E413)),"á","a"),"é","e"),"í","i"),"ó","o"),"ú","u"),"ü","u"),"ñ","n"),"à","a"),"è","e"),"ì","i"),"ò","o"),"ù","u"),"")</f>
        <v/>
      </c>
      <c r="R413" s="25">
        <f>IF(AND(L413=1,I413&lt;&gt;""),SUBSTITUTE(SUBSTITUTE(SUBSTITUTE(SUBSTITUTE(SUBSTITUTE(SUBSTITUTE(SUBSTITUTE(SUBSTITUTE(SUBSTITUTE(SUBSTITUTE(SUBSTITUTE(SUBSTITUTE(LOWER(TRIM(I413)),"á","a"),"é","e"),"í","i"),"ó","o"),"ú","u"),"ü","u"),"ñ","n"),"à","a"),"è","e"),"ì","i"),"ò","o"),"ù","u"),"")</f>
        <v/>
      </c>
      <c r="S413" s="25">
        <f>IF(R413="","",IF(OR(R413="si",R413="tal vez"),1,0))</f>
        <v/>
      </c>
      <c r="T413" s="25">
        <f>IF(AND(L413=1,D413&lt;&gt;""),IF(IFERROR(COUNTIFS(D$3:D413,"="&amp;SUBSTITUTE(SUBSTITUTE(SUBSTITUTE(D413,"~","~~"),"*","~*"),"?","~?"),L$3:L413,1),0)=1,MAX(T$2:T412)+1,""),"")</f>
        <v/>
      </c>
      <c r="U413" s="25">
        <f>IF(T413="","",COUNTIFS($D$3:$D$1002,"="&amp;SUBSTITUTE(SUBSTITUTE(SUBSTITUTE(D413,"~","~~"),"*","~*"),"?","~?"),$L$3:$L$1002,1)*10000-T413)</f>
        <v/>
      </c>
      <c r="V413" s="25">
        <f>IF(AND(L413=1,J413&lt;&gt;""),IF(IFERROR(COUNTIFS(J$3:J413,"="&amp;SUBSTITUTE(SUBSTITUTE(SUBSTITUTE(J413,"~","~~"),"*","~*"),"?","~?"),L$3:L413,1),0)=1,MAX(V$2:V412)+1,""),"")</f>
        <v/>
      </c>
      <c r="W413" s="25">
        <f>IF(V413="","",COUNTIFS($J$3:$J$1002,"="&amp;SUBSTITUTE(SUBSTITUTE(SUBSTITUTE(J413,"~","~~"),"*","~*"),"?","~?"),$L$3:$L$1002,1)*10000-V413)</f>
        <v/>
      </c>
    </row>
    <row r="414">
      <c r="A414">
        <f>IF(A$2=0,"",IFERROR(TRIM(INDEX('Pegar estudiantes'!$A$1:$BZ$1001,413,A$2)&amp;""),""))</f>
        <v/>
      </c>
      <c r="B414">
        <f>IF(B$2=0,"",IFERROR(TRIM(INDEX('Pegar estudiantes'!$A$1:$BZ$1001,413,B$2)&amp;""),""))</f>
        <v/>
      </c>
      <c r="C414">
        <f>IF(C$2=0,"",IFERROR(TRIM(INDEX('Pegar estudiantes'!$A$1:$BZ$1001,413,C$2)&amp;""),""))</f>
        <v/>
      </c>
      <c r="D414">
        <f>IF(D$2=0,"",IFERROR(TRIM(INDEX('Pegar estudiantes'!$A$1:$BZ$1001,413,D$2)&amp;""),""))</f>
        <v/>
      </c>
      <c r="E414">
        <f>IF(E$2=0,"",IFERROR(TRIM(INDEX('Pegar estudiantes'!$A$1:$BZ$1001,413,E$2)&amp;""),""))</f>
        <v/>
      </c>
      <c r="F414">
        <f>IF(F$2=0,"",IFERROR(TRIM(INDEX('Pegar estudiantes'!$A$1:$BZ$1001,413,F$2)&amp;""),""))</f>
        <v/>
      </c>
      <c r="G414">
        <f>IF(G$2=0,"",IFERROR(TRIM(INDEX('Pegar estudiantes'!$A$1:$BZ$1001,413,G$2)&amp;""),""))</f>
        <v/>
      </c>
      <c r="H414">
        <f>IF(H$2=0,"",IFERROR(TRIM(INDEX('Pegar estudiantes'!$A$1:$BZ$1001,413,H$2)&amp;""),""))</f>
        <v/>
      </c>
      <c r="I414">
        <f>IF(I$2=0,"",IFERROR(TRIM(INDEX('Pegar estudiantes'!$A$1:$BZ$1001,413,I$2)&amp;""),""))</f>
        <v/>
      </c>
      <c r="J414">
        <f>IF(J$2=0,"",IFERROR(TRIM(INDEX('Pegar estudiantes'!$A$1:$BZ$1001,413,J$2)&amp;""),""))</f>
        <v/>
      </c>
      <c r="K414">
        <f>IF(K$2=0,"",IFERROR(TRIM(INDEX('Pegar estudiantes'!$A$1:$BZ$1001,413,K$2)&amp;""),""))</f>
        <v/>
      </c>
      <c r="L414" s="25">
        <f>IF(A414&lt;&gt;"",1,"")</f>
        <v/>
      </c>
      <c r="M414" s="25">
        <f>IF(L414=1,IF(ISNUMBER(FIND("#"&amp;MID(A414,1,1)&amp;"#","#0#1#2#3#4#5#6#7#8#9#")),IF(ISNUMBER(FIND("#"&amp;MID(A414,2,1)&amp;"#","#0#1#2#3#4#5#6#7#8#9#")),IF(AND(VALUE(LEFT(A414,2))&gt;=1,VALUE(LEFT(A414,2))&lt;=5),VALUE(LEFT(A414,2)),""),IF(AND(VALUE(LEFT(A414,1))&gt;=1,VALUE(LEFT(A414,1))&lt;=5),VALUE(LEFT(A414,1)),"")),""),"")</f>
        <v/>
      </c>
      <c r="N414" s="25">
        <f>IF(L414=1,IF(ISNUMBER(FIND("#"&amp;MID(H414,1,1)&amp;"#","#0#1#2#3#4#5#6#7#8#9#")),IF(ISNUMBER(FIND("#"&amp;MID(H414,2,1)&amp;"#","#0#1#2#3#4#5#6#7#8#9#")),IF(AND(VALUE(LEFT(H414,2))&gt;=1,VALUE(LEFT(H414,2))&lt;=5),VALUE(LEFT(H414,2)),""),IF(AND(VALUE(LEFT(H414,1))&gt;=1,VALUE(LEFT(H414,1))&lt;=5),VALUE(LEFT(H414,1)),"")),""),"")</f>
        <v/>
      </c>
      <c r="O414" s="25">
        <f>IF(AND(L414=1,B414&lt;&gt;""),SUBSTITUTE(SUBSTITUTE(SUBSTITUTE(SUBSTITUTE(SUBSTITUTE(SUBSTITUTE(SUBSTITUTE(SUBSTITUTE(SUBSTITUTE(SUBSTITUTE(SUBSTITUTE(SUBSTITUTE(LOWER(TRIM(B414)),"á","a"),"é","e"),"í","i"),"ó","o"),"ú","u"),"ü","u"),"ñ","n"),"à","a"),"è","e"),"ì","i"),"ò","o"),"ù","u"),"")</f>
        <v/>
      </c>
      <c r="P414" s="25">
        <f>IF(AND(L414=1,C414&lt;&gt;""),SUBSTITUTE(SUBSTITUTE(SUBSTITUTE(SUBSTITUTE(SUBSTITUTE(SUBSTITUTE(SUBSTITUTE(SUBSTITUTE(SUBSTITUTE(SUBSTITUTE(SUBSTITUTE(SUBSTITUTE(LOWER(TRIM(C414)),"á","a"),"é","e"),"í","i"),"ó","o"),"ú","u"),"ü","u"),"ñ","n"),"à","a"),"è","e"),"ì","i"),"ò","o"),"ù","u"),"")</f>
        <v/>
      </c>
      <c r="Q414" s="25">
        <f>IF(AND(L414=1,E414&lt;&gt;""),SUBSTITUTE(SUBSTITUTE(SUBSTITUTE(SUBSTITUTE(SUBSTITUTE(SUBSTITUTE(SUBSTITUTE(SUBSTITUTE(SUBSTITUTE(SUBSTITUTE(SUBSTITUTE(SUBSTITUTE(LOWER(TRIM(E414)),"á","a"),"é","e"),"í","i"),"ó","o"),"ú","u"),"ü","u"),"ñ","n"),"à","a"),"è","e"),"ì","i"),"ò","o"),"ù","u"),"")</f>
        <v/>
      </c>
      <c r="R414" s="25">
        <f>IF(AND(L414=1,I414&lt;&gt;""),SUBSTITUTE(SUBSTITUTE(SUBSTITUTE(SUBSTITUTE(SUBSTITUTE(SUBSTITUTE(SUBSTITUTE(SUBSTITUTE(SUBSTITUTE(SUBSTITUTE(SUBSTITUTE(SUBSTITUTE(LOWER(TRIM(I414)),"á","a"),"é","e"),"í","i"),"ó","o"),"ú","u"),"ü","u"),"ñ","n"),"à","a"),"è","e"),"ì","i"),"ò","o"),"ù","u"),"")</f>
        <v/>
      </c>
      <c r="S414" s="25">
        <f>IF(R414="","",IF(OR(R414="si",R414="tal vez"),1,0))</f>
        <v/>
      </c>
      <c r="T414" s="25">
        <f>IF(AND(L414=1,D414&lt;&gt;""),IF(IFERROR(COUNTIFS(D$3:D414,"="&amp;SUBSTITUTE(SUBSTITUTE(SUBSTITUTE(D414,"~","~~"),"*","~*"),"?","~?"),L$3:L414,1),0)=1,MAX(T$2:T413)+1,""),"")</f>
        <v/>
      </c>
      <c r="U414" s="25">
        <f>IF(T414="","",COUNTIFS($D$3:$D$1002,"="&amp;SUBSTITUTE(SUBSTITUTE(SUBSTITUTE(D414,"~","~~"),"*","~*"),"?","~?"),$L$3:$L$1002,1)*10000-T414)</f>
        <v/>
      </c>
      <c r="V414" s="25">
        <f>IF(AND(L414=1,J414&lt;&gt;""),IF(IFERROR(COUNTIFS(J$3:J414,"="&amp;SUBSTITUTE(SUBSTITUTE(SUBSTITUTE(J414,"~","~~"),"*","~*"),"?","~?"),L$3:L414,1),0)=1,MAX(V$2:V413)+1,""),"")</f>
        <v/>
      </c>
      <c r="W414" s="25">
        <f>IF(V414="","",COUNTIFS($J$3:$J$1002,"="&amp;SUBSTITUTE(SUBSTITUTE(SUBSTITUTE(J414,"~","~~"),"*","~*"),"?","~?"),$L$3:$L$1002,1)*10000-V414)</f>
        <v/>
      </c>
    </row>
    <row r="415">
      <c r="A415">
        <f>IF(A$2=0,"",IFERROR(TRIM(INDEX('Pegar estudiantes'!$A$1:$BZ$1001,414,A$2)&amp;""),""))</f>
        <v/>
      </c>
      <c r="B415">
        <f>IF(B$2=0,"",IFERROR(TRIM(INDEX('Pegar estudiantes'!$A$1:$BZ$1001,414,B$2)&amp;""),""))</f>
        <v/>
      </c>
      <c r="C415">
        <f>IF(C$2=0,"",IFERROR(TRIM(INDEX('Pegar estudiantes'!$A$1:$BZ$1001,414,C$2)&amp;""),""))</f>
        <v/>
      </c>
      <c r="D415">
        <f>IF(D$2=0,"",IFERROR(TRIM(INDEX('Pegar estudiantes'!$A$1:$BZ$1001,414,D$2)&amp;""),""))</f>
        <v/>
      </c>
      <c r="E415">
        <f>IF(E$2=0,"",IFERROR(TRIM(INDEX('Pegar estudiantes'!$A$1:$BZ$1001,414,E$2)&amp;""),""))</f>
        <v/>
      </c>
      <c r="F415">
        <f>IF(F$2=0,"",IFERROR(TRIM(INDEX('Pegar estudiantes'!$A$1:$BZ$1001,414,F$2)&amp;""),""))</f>
        <v/>
      </c>
      <c r="G415">
        <f>IF(G$2=0,"",IFERROR(TRIM(INDEX('Pegar estudiantes'!$A$1:$BZ$1001,414,G$2)&amp;""),""))</f>
        <v/>
      </c>
      <c r="H415">
        <f>IF(H$2=0,"",IFERROR(TRIM(INDEX('Pegar estudiantes'!$A$1:$BZ$1001,414,H$2)&amp;""),""))</f>
        <v/>
      </c>
      <c r="I415">
        <f>IF(I$2=0,"",IFERROR(TRIM(INDEX('Pegar estudiantes'!$A$1:$BZ$1001,414,I$2)&amp;""),""))</f>
        <v/>
      </c>
      <c r="J415">
        <f>IF(J$2=0,"",IFERROR(TRIM(INDEX('Pegar estudiantes'!$A$1:$BZ$1001,414,J$2)&amp;""),""))</f>
        <v/>
      </c>
      <c r="K415">
        <f>IF(K$2=0,"",IFERROR(TRIM(INDEX('Pegar estudiantes'!$A$1:$BZ$1001,414,K$2)&amp;""),""))</f>
        <v/>
      </c>
      <c r="L415" s="25">
        <f>IF(A415&lt;&gt;"",1,"")</f>
        <v/>
      </c>
      <c r="M415" s="25">
        <f>IF(L415=1,IF(ISNUMBER(FIND("#"&amp;MID(A415,1,1)&amp;"#","#0#1#2#3#4#5#6#7#8#9#")),IF(ISNUMBER(FIND("#"&amp;MID(A415,2,1)&amp;"#","#0#1#2#3#4#5#6#7#8#9#")),IF(AND(VALUE(LEFT(A415,2))&gt;=1,VALUE(LEFT(A415,2))&lt;=5),VALUE(LEFT(A415,2)),""),IF(AND(VALUE(LEFT(A415,1))&gt;=1,VALUE(LEFT(A415,1))&lt;=5),VALUE(LEFT(A415,1)),"")),""),"")</f>
        <v/>
      </c>
      <c r="N415" s="25">
        <f>IF(L415=1,IF(ISNUMBER(FIND("#"&amp;MID(H415,1,1)&amp;"#","#0#1#2#3#4#5#6#7#8#9#")),IF(ISNUMBER(FIND("#"&amp;MID(H415,2,1)&amp;"#","#0#1#2#3#4#5#6#7#8#9#")),IF(AND(VALUE(LEFT(H415,2))&gt;=1,VALUE(LEFT(H415,2))&lt;=5),VALUE(LEFT(H415,2)),""),IF(AND(VALUE(LEFT(H415,1))&gt;=1,VALUE(LEFT(H415,1))&lt;=5),VALUE(LEFT(H415,1)),"")),""),"")</f>
        <v/>
      </c>
      <c r="O415" s="25">
        <f>IF(AND(L415=1,B415&lt;&gt;""),SUBSTITUTE(SUBSTITUTE(SUBSTITUTE(SUBSTITUTE(SUBSTITUTE(SUBSTITUTE(SUBSTITUTE(SUBSTITUTE(SUBSTITUTE(SUBSTITUTE(SUBSTITUTE(SUBSTITUTE(LOWER(TRIM(B415)),"á","a"),"é","e"),"í","i"),"ó","o"),"ú","u"),"ü","u"),"ñ","n"),"à","a"),"è","e"),"ì","i"),"ò","o"),"ù","u"),"")</f>
        <v/>
      </c>
      <c r="P415" s="25">
        <f>IF(AND(L415=1,C415&lt;&gt;""),SUBSTITUTE(SUBSTITUTE(SUBSTITUTE(SUBSTITUTE(SUBSTITUTE(SUBSTITUTE(SUBSTITUTE(SUBSTITUTE(SUBSTITUTE(SUBSTITUTE(SUBSTITUTE(SUBSTITUTE(LOWER(TRIM(C415)),"á","a"),"é","e"),"í","i"),"ó","o"),"ú","u"),"ü","u"),"ñ","n"),"à","a"),"è","e"),"ì","i"),"ò","o"),"ù","u"),"")</f>
        <v/>
      </c>
      <c r="Q415" s="25">
        <f>IF(AND(L415=1,E415&lt;&gt;""),SUBSTITUTE(SUBSTITUTE(SUBSTITUTE(SUBSTITUTE(SUBSTITUTE(SUBSTITUTE(SUBSTITUTE(SUBSTITUTE(SUBSTITUTE(SUBSTITUTE(SUBSTITUTE(SUBSTITUTE(LOWER(TRIM(E415)),"á","a"),"é","e"),"í","i"),"ó","o"),"ú","u"),"ü","u"),"ñ","n"),"à","a"),"è","e"),"ì","i"),"ò","o"),"ù","u"),"")</f>
        <v/>
      </c>
      <c r="R415" s="25">
        <f>IF(AND(L415=1,I415&lt;&gt;""),SUBSTITUTE(SUBSTITUTE(SUBSTITUTE(SUBSTITUTE(SUBSTITUTE(SUBSTITUTE(SUBSTITUTE(SUBSTITUTE(SUBSTITUTE(SUBSTITUTE(SUBSTITUTE(SUBSTITUTE(LOWER(TRIM(I415)),"á","a"),"é","e"),"í","i"),"ó","o"),"ú","u"),"ü","u"),"ñ","n"),"à","a"),"è","e"),"ì","i"),"ò","o"),"ù","u"),"")</f>
        <v/>
      </c>
      <c r="S415" s="25">
        <f>IF(R415="","",IF(OR(R415="si",R415="tal vez"),1,0))</f>
        <v/>
      </c>
      <c r="T415" s="25">
        <f>IF(AND(L415=1,D415&lt;&gt;""),IF(IFERROR(COUNTIFS(D$3:D415,"="&amp;SUBSTITUTE(SUBSTITUTE(SUBSTITUTE(D415,"~","~~"),"*","~*"),"?","~?"),L$3:L415,1),0)=1,MAX(T$2:T414)+1,""),"")</f>
        <v/>
      </c>
      <c r="U415" s="25">
        <f>IF(T415="","",COUNTIFS($D$3:$D$1002,"="&amp;SUBSTITUTE(SUBSTITUTE(SUBSTITUTE(D415,"~","~~"),"*","~*"),"?","~?"),$L$3:$L$1002,1)*10000-T415)</f>
        <v/>
      </c>
      <c r="V415" s="25">
        <f>IF(AND(L415=1,J415&lt;&gt;""),IF(IFERROR(COUNTIFS(J$3:J415,"="&amp;SUBSTITUTE(SUBSTITUTE(SUBSTITUTE(J415,"~","~~"),"*","~*"),"?","~?"),L$3:L415,1),0)=1,MAX(V$2:V414)+1,""),"")</f>
        <v/>
      </c>
      <c r="W415" s="25">
        <f>IF(V415="","",COUNTIFS($J$3:$J$1002,"="&amp;SUBSTITUTE(SUBSTITUTE(SUBSTITUTE(J415,"~","~~"),"*","~*"),"?","~?"),$L$3:$L$1002,1)*10000-V415)</f>
        <v/>
      </c>
    </row>
    <row r="416">
      <c r="A416">
        <f>IF(A$2=0,"",IFERROR(TRIM(INDEX('Pegar estudiantes'!$A$1:$BZ$1001,415,A$2)&amp;""),""))</f>
        <v/>
      </c>
      <c r="B416">
        <f>IF(B$2=0,"",IFERROR(TRIM(INDEX('Pegar estudiantes'!$A$1:$BZ$1001,415,B$2)&amp;""),""))</f>
        <v/>
      </c>
      <c r="C416">
        <f>IF(C$2=0,"",IFERROR(TRIM(INDEX('Pegar estudiantes'!$A$1:$BZ$1001,415,C$2)&amp;""),""))</f>
        <v/>
      </c>
      <c r="D416">
        <f>IF(D$2=0,"",IFERROR(TRIM(INDEX('Pegar estudiantes'!$A$1:$BZ$1001,415,D$2)&amp;""),""))</f>
        <v/>
      </c>
      <c r="E416">
        <f>IF(E$2=0,"",IFERROR(TRIM(INDEX('Pegar estudiantes'!$A$1:$BZ$1001,415,E$2)&amp;""),""))</f>
        <v/>
      </c>
      <c r="F416">
        <f>IF(F$2=0,"",IFERROR(TRIM(INDEX('Pegar estudiantes'!$A$1:$BZ$1001,415,F$2)&amp;""),""))</f>
        <v/>
      </c>
      <c r="G416">
        <f>IF(G$2=0,"",IFERROR(TRIM(INDEX('Pegar estudiantes'!$A$1:$BZ$1001,415,G$2)&amp;""),""))</f>
        <v/>
      </c>
      <c r="H416">
        <f>IF(H$2=0,"",IFERROR(TRIM(INDEX('Pegar estudiantes'!$A$1:$BZ$1001,415,H$2)&amp;""),""))</f>
        <v/>
      </c>
      <c r="I416">
        <f>IF(I$2=0,"",IFERROR(TRIM(INDEX('Pegar estudiantes'!$A$1:$BZ$1001,415,I$2)&amp;""),""))</f>
        <v/>
      </c>
      <c r="J416">
        <f>IF(J$2=0,"",IFERROR(TRIM(INDEX('Pegar estudiantes'!$A$1:$BZ$1001,415,J$2)&amp;""),""))</f>
        <v/>
      </c>
      <c r="K416">
        <f>IF(K$2=0,"",IFERROR(TRIM(INDEX('Pegar estudiantes'!$A$1:$BZ$1001,415,K$2)&amp;""),""))</f>
        <v/>
      </c>
      <c r="L416" s="25">
        <f>IF(A416&lt;&gt;"",1,"")</f>
        <v/>
      </c>
      <c r="M416" s="25">
        <f>IF(L416=1,IF(ISNUMBER(FIND("#"&amp;MID(A416,1,1)&amp;"#","#0#1#2#3#4#5#6#7#8#9#")),IF(ISNUMBER(FIND("#"&amp;MID(A416,2,1)&amp;"#","#0#1#2#3#4#5#6#7#8#9#")),IF(AND(VALUE(LEFT(A416,2))&gt;=1,VALUE(LEFT(A416,2))&lt;=5),VALUE(LEFT(A416,2)),""),IF(AND(VALUE(LEFT(A416,1))&gt;=1,VALUE(LEFT(A416,1))&lt;=5),VALUE(LEFT(A416,1)),"")),""),"")</f>
        <v/>
      </c>
      <c r="N416" s="25">
        <f>IF(L416=1,IF(ISNUMBER(FIND("#"&amp;MID(H416,1,1)&amp;"#","#0#1#2#3#4#5#6#7#8#9#")),IF(ISNUMBER(FIND("#"&amp;MID(H416,2,1)&amp;"#","#0#1#2#3#4#5#6#7#8#9#")),IF(AND(VALUE(LEFT(H416,2))&gt;=1,VALUE(LEFT(H416,2))&lt;=5),VALUE(LEFT(H416,2)),""),IF(AND(VALUE(LEFT(H416,1))&gt;=1,VALUE(LEFT(H416,1))&lt;=5),VALUE(LEFT(H416,1)),"")),""),"")</f>
        <v/>
      </c>
      <c r="O416" s="25">
        <f>IF(AND(L416=1,B416&lt;&gt;""),SUBSTITUTE(SUBSTITUTE(SUBSTITUTE(SUBSTITUTE(SUBSTITUTE(SUBSTITUTE(SUBSTITUTE(SUBSTITUTE(SUBSTITUTE(SUBSTITUTE(SUBSTITUTE(SUBSTITUTE(LOWER(TRIM(B416)),"á","a"),"é","e"),"í","i"),"ó","o"),"ú","u"),"ü","u"),"ñ","n"),"à","a"),"è","e"),"ì","i"),"ò","o"),"ù","u"),"")</f>
        <v/>
      </c>
      <c r="P416" s="25">
        <f>IF(AND(L416=1,C416&lt;&gt;""),SUBSTITUTE(SUBSTITUTE(SUBSTITUTE(SUBSTITUTE(SUBSTITUTE(SUBSTITUTE(SUBSTITUTE(SUBSTITUTE(SUBSTITUTE(SUBSTITUTE(SUBSTITUTE(SUBSTITUTE(LOWER(TRIM(C416)),"á","a"),"é","e"),"í","i"),"ó","o"),"ú","u"),"ü","u"),"ñ","n"),"à","a"),"è","e"),"ì","i"),"ò","o"),"ù","u"),"")</f>
        <v/>
      </c>
      <c r="Q416" s="25">
        <f>IF(AND(L416=1,E416&lt;&gt;""),SUBSTITUTE(SUBSTITUTE(SUBSTITUTE(SUBSTITUTE(SUBSTITUTE(SUBSTITUTE(SUBSTITUTE(SUBSTITUTE(SUBSTITUTE(SUBSTITUTE(SUBSTITUTE(SUBSTITUTE(LOWER(TRIM(E416)),"á","a"),"é","e"),"í","i"),"ó","o"),"ú","u"),"ü","u"),"ñ","n"),"à","a"),"è","e"),"ì","i"),"ò","o"),"ù","u"),"")</f>
        <v/>
      </c>
      <c r="R416" s="25">
        <f>IF(AND(L416=1,I416&lt;&gt;""),SUBSTITUTE(SUBSTITUTE(SUBSTITUTE(SUBSTITUTE(SUBSTITUTE(SUBSTITUTE(SUBSTITUTE(SUBSTITUTE(SUBSTITUTE(SUBSTITUTE(SUBSTITUTE(SUBSTITUTE(LOWER(TRIM(I416)),"á","a"),"é","e"),"í","i"),"ó","o"),"ú","u"),"ü","u"),"ñ","n"),"à","a"),"è","e"),"ì","i"),"ò","o"),"ù","u"),"")</f>
        <v/>
      </c>
      <c r="S416" s="25">
        <f>IF(R416="","",IF(OR(R416="si",R416="tal vez"),1,0))</f>
        <v/>
      </c>
      <c r="T416" s="25">
        <f>IF(AND(L416=1,D416&lt;&gt;""),IF(IFERROR(COUNTIFS(D$3:D416,"="&amp;SUBSTITUTE(SUBSTITUTE(SUBSTITUTE(D416,"~","~~"),"*","~*"),"?","~?"),L$3:L416,1),0)=1,MAX(T$2:T415)+1,""),"")</f>
        <v/>
      </c>
      <c r="U416" s="25">
        <f>IF(T416="","",COUNTIFS($D$3:$D$1002,"="&amp;SUBSTITUTE(SUBSTITUTE(SUBSTITUTE(D416,"~","~~"),"*","~*"),"?","~?"),$L$3:$L$1002,1)*10000-T416)</f>
        <v/>
      </c>
      <c r="V416" s="25">
        <f>IF(AND(L416=1,J416&lt;&gt;""),IF(IFERROR(COUNTIFS(J$3:J416,"="&amp;SUBSTITUTE(SUBSTITUTE(SUBSTITUTE(J416,"~","~~"),"*","~*"),"?","~?"),L$3:L416,1),0)=1,MAX(V$2:V415)+1,""),"")</f>
        <v/>
      </c>
      <c r="W416" s="25">
        <f>IF(V416="","",COUNTIFS($J$3:$J$1002,"="&amp;SUBSTITUTE(SUBSTITUTE(SUBSTITUTE(J416,"~","~~"),"*","~*"),"?","~?"),$L$3:$L$1002,1)*10000-V416)</f>
        <v/>
      </c>
    </row>
    <row r="417">
      <c r="A417">
        <f>IF(A$2=0,"",IFERROR(TRIM(INDEX('Pegar estudiantes'!$A$1:$BZ$1001,416,A$2)&amp;""),""))</f>
        <v/>
      </c>
      <c r="B417">
        <f>IF(B$2=0,"",IFERROR(TRIM(INDEX('Pegar estudiantes'!$A$1:$BZ$1001,416,B$2)&amp;""),""))</f>
        <v/>
      </c>
      <c r="C417">
        <f>IF(C$2=0,"",IFERROR(TRIM(INDEX('Pegar estudiantes'!$A$1:$BZ$1001,416,C$2)&amp;""),""))</f>
        <v/>
      </c>
      <c r="D417">
        <f>IF(D$2=0,"",IFERROR(TRIM(INDEX('Pegar estudiantes'!$A$1:$BZ$1001,416,D$2)&amp;""),""))</f>
        <v/>
      </c>
      <c r="E417">
        <f>IF(E$2=0,"",IFERROR(TRIM(INDEX('Pegar estudiantes'!$A$1:$BZ$1001,416,E$2)&amp;""),""))</f>
        <v/>
      </c>
      <c r="F417">
        <f>IF(F$2=0,"",IFERROR(TRIM(INDEX('Pegar estudiantes'!$A$1:$BZ$1001,416,F$2)&amp;""),""))</f>
        <v/>
      </c>
      <c r="G417">
        <f>IF(G$2=0,"",IFERROR(TRIM(INDEX('Pegar estudiantes'!$A$1:$BZ$1001,416,G$2)&amp;""),""))</f>
        <v/>
      </c>
      <c r="H417">
        <f>IF(H$2=0,"",IFERROR(TRIM(INDEX('Pegar estudiantes'!$A$1:$BZ$1001,416,H$2)&amp;""),""))</f>
        <v/>
      </c>
      <c r="I417">
        <f>IF(I$2=0,"",IFERROR(TRIM(INDEX('Pegar estudiantes'!$A$1:$BZ$1001,416,I$2)&amp;""),""))</f>
        <v/>
      </c>
      <c r="J417">
        <f>IF(J$2=0,"",IFERROR(TRIM(INDEX('Pegar estudiantes'!$A$1:$BZ$1001,416,J$2)&amp;""),""))</f>
        <v/>
      </c>
      <c r="K417">
        <f>IF(K$2=0,"",IFERROR(TRIM(INDEX('Pegar estudiantes'!$A$1:$BZ$1001,416,K$2)&amp;""),""))</f>
        <v/>
      </c>
      <c r="L417" s="25">
        <f>IF(A417&lt;&gt;"",1,"")</f>
        <v/>
      </c>
      <c r="M417" s="25">
        <f>IF(L417=1,IF(ISNUMBER(FIND("#"&amp;MID(A417,1,1)&amp;"#","#0#1#2#3#4#5#6#7#8#9#")),IF(ISNUMBER(FIND("#"&amp;MID(A417,2,1)&amp;"#","#0#1#2#3#4#5#6#7#8#9#")),IF(AND(VALUE(LEFT(A417,2))&gt;=1,VALUE(LEFT(A417,2))&lt;=5),VALUE(LEFT(A417,2)),""),IF(AND(VALUE(LEFT(A417,1))&gt;=1,VALUE(LEFT(A417,1))&lt;=5),VALUE(LEFT(A417,1)),"")),""),"")</f>
        <v/>
      </c>
      <c r="N417" s="25">
        <f>IF(L417=1,IF(ISNUMBER(FIND("#"&amp;MID(H417,1,1)&amp;"#","#0#1#2#3#4#5#6#7#8#9#")),IF(ISNUMBER(FIND("#"&amp;MID(H417,2,1)&amp;"#","#0#1#2#3#4#5#6#7#8#9#")),IF(AND(VALUE(LEFT(H417,2))&gt;=1,VALUE(LEFT(H417,2))&lt;=5),VALUE(LEFT(H417,2)),""),IF(AND(VALUE(LEFT(H417,1))&gt;=1,VALUE(LEFT(H417,1))&lt;=5),VALUE(LEFT(H417,1)),"")),""),"")</f>
        <v/>
      </c>
      <c r="O417" s="25">
        <f>IF(AND(L417=1,B417&lt;&gt;""),SUBSTITUTE(SUBSTITUTE(SUBSTITUTE(SUBSTITUTE(SUBSTITUTE(SUBSTITUTE(SUBSTITUTE(SUBSTITUTE(SUBSTITUTE(SUBSTITUTE(SUBSTITUTE(SUBSTITUTE(LOWER(TRIM(B417)),"á","a"),"é","e"),"í","i"),"ó","o"),"ú","u"),"ü","u"),"ñ","n"),"à","a"),"è","e"),"ì","i"),"ò","o"),"ù","u"),"")</f>
        <v/>
      </c>
      <c r="P417" s="25">
        <f>IF(AND(L417=1,C417&lt;&gt;""),SUBSTITUTE(SUBSTITUTE(SUBSTITUTE(SUBSTITUTE(SUBSTITUTE(SUBSTITUTE(SUBSTITUTE(SUBSTITUTE(SUBSTITUTE(SUBSTITUTE(SUBSTITUTE(SUBSTITUTE(LOWER(TRIM(C417)),"á","a"),"é","e"),"í","i"),"ó","o"),"ú","u"),"ü","u"),"ñ","n"),"à","a"),"è","e"),"ì","i"),"ò","o"),"ù","u"),"")</f>
        <v/>
      </c>
      <c r="Q417" s="25">
        <f>IF(AND(L417=1,E417&lt;&gt;""),SUBSTITUTE(SUBSTITUTE(SUBSTITUTE(SUBSTITUTE(SUBSTITUTE(SUBSTITUTE(SUBSTITUTE(SUBSTITUTE(SUBSTITUTE(SUBSTITUTE(SUBSTITUTE(SUBSTITUTE(LOWER(TRIM(E417)),"á","a"),"é","e"),"í","i"),"ó","o"),"ú","u"),"ü","u"),"ñ","n"),"à","a"),"è","e"),"ì","i"),"ò","o"),"ù","u"),"")</f>
        <v/>
      </c>
      <c r="R417" s="25">
        <f>IF(AND(L417=1,I417&lt;&gt;""),SUBSTITUTE(SUBSTITUTE(SUBSTITUTE(SUBSTITUTE(SUBSTITUTE(SUBSTITUTE(SUBSTITUTE(SUBSTITUTE(SUBSTITUTE(SUBSTITUTE(SUBSTITUTE(SUBSTITUTE(LOWER(TRIM(I417)),"á","a"),"é","e"),"í","i"),"ó","o"),"ú","u"),"ü","u"),"ñ","n"),"à","a"),"è","e"),"ì","i"),"ò","o"),"ù","u"),"")</f>
        <v/>
      </c>
      <c r="S417" s="25">
        <f>IF(R417="","",IF(OR(R417="si",R417="tal vez"),1,0))</f>
        <v/>
      </c>
      <c r="T417" s="25">
        <f>IF(AND(L417=1,D417&lt;&gt;""),IF(IFERROR(COUNTIFS(D$3:D417,"="&amp;SUBSTITUTE(SUBSTITUTE(SUBSTITUTE(D417,"~","~~"),"*","~*"),"?","~?"),L$3:L417,1),0)=1,MAX(T$2:T416)+1,""),"")</f>
        <v/>
      </c>
      <c r="U417" s="25">
        <f>IF(T417="","",COUNTIFS($D$3:$D$1002,"="&amp;SUBSTITUTE(SUBSTITUTE(SUBSTITUTE(D417,"~","~~"),"*","~*"),"?","~?"),$L$3:$L$1002,1)*10000-T417)</f>
        <v/>
      </c>
      <c r="V417" s="25">
        <f>IF(AND(L417=1,J417&lt;&gt;""),IF(IFERROR(COUNTIFS(J$3:J417,"="&amp;SUBSTITUTE(SUBSTITUTE(SUBSTITUTE(J417,"~","~~"),"*","~*"),"?","~?"),L$3:L417,1),0)=1,MAX(V$2:V416)+1,""),"")</f>
        <v/>
      </c>
      <c r="W417" s="25">
        <f>IF(V417="","",COUNTIFS($J$3:$J$1002,"="&amp;SUBSTITUTE(SUBSTITUTE(SUBSTITUTE(J417,"~","~~"),"*","~*"),"?","~?"),$L$3:$L$1002,1)*10000-V417)</f>
        <v/>
      </c>
    </row>
    <row r="418">
      <c r="A418">
        <f>IF(A$2=0,"",IFERROR(TRIM(INDEX('Pegar estudiantes'!$A$1:$BZ$1001,417,A$2)&amp;""),""))</f>
        <v/>
      </c>
      <c r="B418">
        <f>IF(B$2=0,"",IFERROR(TRIM(INDEX('Pegar estudiantes'!$A$1:$BZ$1001,417,B$2)&amp;""),""))</f>
        <v/>
      </c>
      <c r="C418">
        <f>IF(C$2=0,"",IFERROR(TRIM(INDEX('Pegar estudiantes'!$A$1:$BZ$1001,417,C$2)&amp;""),""))</f>
        <v/>
      </c>
      <c r="D418">
        <f>IF(D$2=0,"",IFERROR(TRIM(INDEX('Pegar estudiantes'!$A$1:$BZ$1001,417,D$2)&amp;""),""))</f>
        <v/>
      </c>
      <c r="E418">
        <f>IF(E$2=0,"",IFERROR(TRIM(INDEX('Pegar estudiantes'!$A$1:$BZ$1001,417,E$2)&amp;""),""))</f>
        <v/>
      </c>
      <c r="F418">
        <f>IF(F$2=0,"",IFERROR(TRIM(INDEX('Pegar estudiantes'!$A$1:$BZ$1001,417,F$2)&amp;""),""))</f>
        <v/>
      </c>
      <c r="G418">
        <f>IF(G$2=0,"",IFERROR(TRIM(INDEX('Pegar estudiantes'!$A$1:$BZ$1001,417,G$2)&amp;""),""))</f>
        <v/>
      </c>
      <c r="H418">
        <f>IF(H$2=0,"",IFERROR(TRIM(INDEX('Pegar estudiantes'!$A$1:$BZ$1001,417,H$2)&amp;""),""))</f>
        <v/>
      </c>
      <c r="I418">
        <f>IF(I$2=0,"",IFERROR(TRIM(INDEX('Pegar estudiantes'!$A$1:$BZ$1001,417,I$2)&amp;""),""))</f>
        <v/>
      </c>
      <c r="J418">
        <f>IF(J$2=0,"",IFERROR(TRIM(INDEX('Pegar estudiantes'!$A$1:$BZ$1001,417,J$2)&amp;""),""))</f>
        <v/>
      </c>
      <c r="K418">
        <f>IF(K$2=0,"",IFERROR(TRIM(INDEX('Pegar estudiantes'!$A$1:$BZ$1001,417,K$2)&amp;""),""))</f>
        <v/>
      </c>
      <c r="L418" s="25">
        <f>IF(A418&lt;&gt;"",1,"")</f>
        <v/>
      </c>
      <c r="M418" s="25">
        <f>IF(L418=1,IF(ISNUMBER(FIND("#"&amp;MID(A418,1,1)&amp;"#","#0#1#2#3#4#5#6#7#8#9#")),IF(ISNUMBER(FIND("#"&amp;MID(A418,2,1)&amp;"#","#0#1#2#3#4#5#6#7#8#9#")),IF(AND(VALUE(LEFT(A418,2))&gt;=1,VALUE(LEFT(A418,2))&lt;=5),VALUE(LEFT(A418,2)),""),IF(AND(VALUE(LEFT(A418,1))&gt;=1,VALUE(LEFT(A418,1))&lt;=5),VALUE(LEFT(A418,1)),"")),""),"")</f>
        <v/>
      </c>
      <c r="N418" s="25">
        <f>IF(L418=1,IF(ISNUMBER(FIND("#"&amp;MID(H418,1,1)&amp;"#","#0#1#2#3#4#5#6#7#8#9#")),IF(ISNUMBER(FIND("#"&amp;MID(H418,2,1)&amp;"#","#0#1#2#3#4#5#6#7#8#9#")),IF(AND(VALUE(LEFT(H418,2))&gt;=1,VALUE(LEFT(H418,2))&lt;=5),VALUE(LEFT(H418,2)),""),IF(AND(VALUE(LEFT(H418,1))&gt;=1,VALUE(LEFT(H418,1))&lt;=5),VALUE(LEFT(H418,1)),"")),""),"")</f>
        <v/>
      </c>
      <c r="O418" s="25">
        <f>IF(AND(L418=1,B418&lt;&gt;""),SUBSTITUTE(SUBSTITUTE(SUBSTITUTE(SUBSTITUTE(SUBSTITUTE(SUBSTITUTE(SUBSTITUTE(SUBSTITUTE(SUBSTITUTE(SUBSTITUTE(SUBSTITUTE(SUBSTITUTE(LOWER(TRIM(B418)),"á","a"),"é","e"),"í","i"),"ó","o"),"ú","u"),"ü","u"),"ñ","n"),"à","a"),"è","e"),"ì","i"),"ò","o"),"ù","u"),"")</f>
        <v/>
      </c>
      <c r="P418" s="25">
        <f>IF(AND(L418=1,C418&lt;&gt;""),SUBSTITUTE(SUBSTITUTE(SUBSTITUTE(SUBSTITUTE(SUBSTITUTE(SUBSTITUTE(SUBSTITUTE(SUBSTITUTE(SUBSTITUTE(SUBSTITUTE(SUBSTITUTE(SUBSTITUTE(LOWER(TRIM(C418)),"á","a"),"é","e"),"í","i"),"ó","o"),"ú","u"),"ü","u"),"ñ","n"),"à","a"),"è","e"),"ì","i"),"ò","o"),"ù","u"),"")</f>
        <v/>
      </c>
      <c r="Q418" s="25">
        <f>IF(AND(L418=1,E418&lt;&gt;""),SUBSTITUTE(SUBSTITUTE(SUBSTITUTE(SUBSTITUTE(SUBSTITUTE(SUBSTITUTE(SUBSTITUTE(SUBSTITUTE(SUBSTITUTE(SUBSTITUTE(SUBSTITUTE(SUBSTITUTE(LOWER(TRIM(E418)),"á","a"),"é","e"),"í","i"),"ó","o"),"ú","u"),"ü","u"),"ñ","n"),"à","a"),"è","e"),"ì","i"),"ò","o"),"ù","u"),"")</f>
        <v/>
      </c>
      <c r="R418" s="25">
        <f>IF(AND(L418=1,I418&lt;&gt;""),SUBSTITUTE(SUBSTITUTE(SUBSTITUTE(SUBSTITUTE(SUBSTITUTE(SUBSTITUTE(SUBSTITUTE(SUBSTITUTE(SUBSTITUTE(SUBSTITUTE(SUBSTITUTE(SUBSTITUTE(LOWER(TRIM(I418)),"á","a"),"é","e"),"í","i"),"ó","o"),"ú","u"),"ü","u"),"ñ","n"),"à","a"),"è","e"),"ì","i"),"ò","o"),"ù","u"),"")</f>
        <v/>
      </c>
      <c r="S418" s="25">
        <f>IF(R418="","",IF(OR(R418="si",R418="tal vez"),1,0))</f>
        <v/>
      </c>
      <c r="T418" s="25">
        <f>IF(AND(L418=1,D418&lt;&gt;""),IF(IFERROR(COUNTIFS(D$3:D418,"="&amp;SUBSTITUTE(SUBSTITUTE(SUBSTITUTE(D418,"~","~~"),"*","~*"),"?","~?"),L$3:L418,1),0)=1,MAX(T$2:T417)+1,""),"")</f>
        <v/>
      </c>
      <c r="U418" s="25">
        <f>IF(T418="","",COUNTIFS($D$3:$D$1002,"="&amp;SUBSTITUTE(SUBSTITUTE(SUBSTITUTE(D418,"~","~~"),"*","~*"),"?","~?"),$L$3:$L$1002,1)*10000-T418)</f>
        <v/>
      </c>
      <c r="V418" s="25">
        <f>IF(AND(L418=1,J418&lt;&gt;""),IF(IFERROR(COUNTIFS(J$3:J418,"="&amp;SUBSTITUTE(SUBSTITUTE(SUBSTITUTE(J418,"~","~~"),"*","~*"),"?","~?"),L$3:L418,1),0)=1,MAX(V$2:V417)+1,""),"")</f>
        <v/>
      </c>
      <c r="W418" s="25">
        <f>IF(V418="","",COUNTIFS($J$3:$J$1002,"="&amp;SUBSTITUTE(SUBSTITUTE(SUBSTITUTE(J418,"~","~~"),"*","~*"),"?","~?"),$L$3:$L$1002,1)*10000-V418)</f>
        <v/>
      </c>
    </row>
    <row r="419">
      <c r="A419">
        <f>IF(A$2=0,"",IFERROR(TRIM(INDEX('Pegar estudiantes'!$A$1:$BZ$1001,418,A$2)&amp;""),""))</f>
        <v/>
      </c>
      <c r="B419">
        <f>IF(B$2=0,"",IFERROR(TRIM(INDEX('Pegar estudiantes'!$A$1:$BZ$1001,418,B$2)&amp;""),""))</f>
        <v/>
      </c>
      <c r="C419">
        <f>IF(C$2=0,"",IFERROR(TRIM(INDEX('Pegar estudiantes'!$A$1:$BZ$1001,418,C$2)&amp;""),""))</f>
        <v/>
      </c>
      <c r="D419">
        <f>IF(D$2=0,"",IFERROR(TRIM(INDEX('Pegar estudiantes'!$A$1:$BZ$1001,418,D$2)&amp;""),""))</f>
        <v/>
      </c>
      <c r="E419">
        <f>IF(E$2=0,"",IFERROR(TRIM(INDEX('Pegar estudiantes'!$A$1:$BZ$1001,418,E$2)&amp;""),""))</f>
        <v/>
      </c>
      <c r="F419">
        <f>IF(F$2=0,"",IFERROR(TRIM(INDEX('Pegar estudiantes'!$A$1:$BZ$1001,418,F$2)&amp;""),""))</f>
        <v/>
      </c>
      <c r="G419">
        <f>IF(G$2=0,"",IFERROR(TRIM(INDEX('Pegar estudiantes'!$A$1:$BZ$1001,418,G$2)&amp;""),""))</f>
        <v/>
      </c>
      <c r="H419">
        <f>IF(H$2=0,"",IFERROR(TRIM(INDEX('Pegar estudiantes'!$A$1:$BZ$1001,418,H$2)&amp;""),""))</f>
        <v/>
      </c>
      <c r="I419">
        <f>IF(I$2=0,"",IFERROR(TRIM(INDEX('Pegar estudiantes'!$A$1:$BZ$1001,418,I$2)&amp;""),""))</f>
        <v/>
      </c>
      <c r="J419">
        <f>IF(J$2=0,"",IFERROR(TRIM(INDEX('Pegar estudiantes'!$A$1:$BZ$1001,418,J$2)&amp;""),""))</f>
        <v/>
      </c>
      <c r="K419">
        <f>IF(K$2=0,"",IFERROR(TRIM(INDEX('Pegar estudiantes'!$A$1:$BZ$1001,418,K$2)&amp;""),""))</f>
        <v/>
      </c>
      <c r="L419" s="25">
        <f>IF(A419&lt;&gt;"",1,"")</f>
        <v/>
      </c>
      <c r="M419" s="25">
        <f>IF(L419=1,IF(ISNUMBER(FIND("#"&amp;MID(A419,1,1)&amp;"#","#0#1#2#3#4#5#6#7#8#9#")),IF(ISNUMBER(FIND("#"&amp;MID(A419,2,1)&amp;"#","#0#1#2#3#4#5#6#7#8#9#")),IF(AND(VALUE(LEFT(A419,2))&gt;=1,VALUE(LEFT(A419,2))&lt;=5),VALUE(LEFT(A419,2)),""),IF(AND(VALUE(LEFT(A419,1))&gt;=1,VALUE(LEFT(A419,1))&lt;=5),VALUE(LEFT(A419,1)),"")),""),"")</f>
        <v/>
      </c>
      <c r="N419" s="25">
        <f>IF(L419=1,IF(ISNUMBER(FIND("#"&amp;MID(H419,1,1)&amp;"#","#0#1#2#3#4#5#6#7#8#9#")),IF(ISNUMBER(FIND("#"&amp;MID(H419,2,1)&amp;"#","#0#1#2#3#4#5#6#7#8#9#")),IF(AND(VALUE(LEFT(H419,2))&gt;=1,VALUE(LEFT(H419,2))&lt;=5),VALUE(LEFT(H419,2)),""),IF(AND(VALUE(LEFT(H419,1))&gt;=1,VALUE(LEFT(H419,1))&lt;=5),VALUE(LEFT(H419,1)),"")),""),"")</f>
        <v/>
      </c>
      <c r="O419" s="25">
        <f>IF(AND(L419=1,B419&lt;&gt;""),SUBSTITUTE(SUBSTITUTE(SUBSTITUTE(SUBSTITUTE(SUBSTITUTE(SUBSTITUTE(SUBSTITUTE(SUBSTITUTE(SUBSTITUTE(SUBSTITUTE(SUBSTITUTE(SUBSTITUTE(LOWER(TRIM(B419)),"á","a"),"é","e"),"í","i"),"ó","o"),"ú","u"),"ü","u"),"ñ","n"),"à","a"),"è","e"),"ì","i"),"ò","o"),"ù","u"),"")</f>
        <v/>
      </c>
      <c r="P419" s="25">
        <f>IF(AND(L419=1,C419&lt;&gt;""),SUBSTITUTE(SUBSTITUTE(SUBSTITUTE(SUBSTITUTE(SUBSTITUTE(SUBSTITUTE(SUBSTITUTE(SUBSTITUTE(SUBSTITUTE(SUBSTITUTE(SUBSTITUTE(SUBSTITUTE(LOWER(TRIM(C419)),"á","a"),"é","e"),"í","i"),"ó","o"),"ú","u"),"ü","u"),"ñ","n"),"à","a"),"è","e"),"ì","i"),"ò","o"),"ù","u"),"")</f>
        <v/>
      </c>
      <c r="Q419" s="25">
        <f>IF(AND(L419=1,E419&lt;&gt;""),SUBSTITUTE(SUBSTITUTE(SUBSTITUTE(SUBSTITUTE(SUBSTITUTE(SUBSTITUTE(SUBSTITUTE(SUBSTITUTE(SUBSTITUTE(SUBSTITUTE(SUBSTITUTE(SUBSTITUTE(LOWER(TRIM(E419)),"á","a"),"é","e"),"í","i"),"ó","o"),"ú","u"),"ü","u"),"ñ","n"),"à","a"),"è","e"),"ì","i"),"ò","o"),"ù","u"),"")</f>
        <v/>
      </c>
      <c r="R419" s="25">
        <f>IF(AND(L419=1,I419&lt;&gt;""),SUBSTITUTE(SUBSTITUTE(SUBSTITUTE(SUBSTITUTE(SUBSTITUTE(SUBSTITUTE(SUBSTITUTE(SUBSTITUTE(SUBSTITUTE(SUBSTITUTE(SUBSTITUTE(SUBSTITUTE(LOWER(TRIM(I419)),"á","a"),"é","e"),"í","i"),"ó","o"),"ú","u"),"ü","u"),"ñ","n"),"à","a"),"è","e"),"ì","i"),"ò","o"),"ù","u"),"")</f>
        <v/>
      </c>
      <c r="S419" s="25">
        <f>IF(R419="","",IF(OR(R419="si",R419="tal vez"),1,0))</f>
        <v/>
      </c>
      <c r="T419" s="25">
        <f>IF(AND(L419=1,D419&lt;&gt;""),IF(IFERROR(COUNTIFS(D$3:D419,"="&amp;SUBSTITUTE(SUBSTITUTE(SUBSTITUTE(D419,"~","~~"),"*","~*"),"?","~?"),L$3:L419,1),0)=1,MAX(T$2:T418)+1,""),"")</f>
        <v/>
      </c>
      <c r="U419" s="25">
        <f>IF(T419="","",COUNTIFS($D$3:$D$1002,"="&amp;SUBSTITUTE(SUBSTITUTE(SUBSTITUTE(D419,"~","~~"),"*","~*"),"?","~?"),$L$3:$L$1002,1)*10000-T419)</f>
        <v/>
      </c>
      <c r="V419" s="25">
        <f>IF(AND(L419=1,J419&lt;&gt;""),IF(IFERROR(COUNTIFS(J$3:J419,"="&amp;SUBSTITUTE(SUBSTITUTE(SUBSTITUTE(J419,"~","~~"),"*","~*"),"?","~?"),L$3:L419,1),0)=1,MAX(V$2:V418)+1,""),"")</f>
        <v/>
      </c>
      <c r="W419" s="25">
        <f>IF(V419="","",COUNTIFS($J$3:$J$1002,"="&amp;SUBSTITUTE(SUBSTITUTE(SUBSTITUTE(J419,"~","~~"),"*","~*"),"?","~?"),$L$3:$L$1002,1)*10000-V419)</f>
        <v/>
      </c>
    </row>
    <row r="420">
      <c r="A420">
        <f>IF(A$2=0,"",IFERROR(TRIM(INDEX('Pegar estudiantes'!$A$1:$BZ$1001,419,A$2)&amp;""),""))</f>
        <v/>
      </c>
      <c r="B420">
        <f>IF(B$2=0,"",IFERROR(TRIM(INDEX('Pegar estudiantes'!$A$1:$BZ$1001,419,B$2)&amp;""),""))</f>
        <v/>
      </c>
      <c r="C420">
        <f>IF(C$2=0,"",IFERROR(TRIM(INDEX('Pegar estudiantes'!$A$1:$BZ$1001,419,C$2)&amp;""),""))</f>
        <v/>
      </c>
      <c r="D420">
        <f>IF(D$2=0,"",IFERROR(TRIM(INDEX('Pegar estudiantes'!$A$1:$BZ$1001,419,D$2)&amp;""),""))</f>
        <v/>
      </c>
      <c r="E420">
        <f>IF(E$2=0,"",IFERROR(TRIM(INDEX('Pegar estudiantes'!$A$1:$BZ$1001,419,E$2)&amp;""),""))</f>
        <v/>
      </c>
      <c r="F420">
        <f>IF(F$2=0,"",IFERROR(TRIM(INDEX('Pegar estudiantes'!$A$1:$BZ$1001,419,F$2)&amp;""),""))</f>
        <v/>
      </c>
      <c r="G420">
        <f>IF(G$2=0,"",IFERROR(TRIM(INDEX('Pegar estudiantes'!$A$1:$BZ$1001,419,G$2)&amp;""),""))</f>
        <v/>
      </c>
      <c r="H420">
        <f>IF(H$2=0,"",IFERROR(TRIM(INDEX('Pegar estudiantes'!$A$1:$BZ$1001,419,H$2)&amp;""),""))</f>
        <v/>
      </c>
      <c r="I420">
        <f>IF(I$2=0,"",IFERROR(TRIM(INDEX('Pegar estudiantes'!$A$1:$BZ$1001,419,I$2)&amp;""),""))</f>
        <v/>
      </c>
      <c r="J420">
        <f>IF(J$2=0,"",IFERROR(TRIM(INDEX('Pegar estudiantes'!$A$1:$BZ$1001,419,J$2)&amp;""),""))</f>
        <v/>
      </c>
      <c r="K420">
        <f>IF(K$2=0,"",IFERROR(TRIM(INDEX('Pegar estudiantes'!$A$1:$BZ$1001,419,K$2)&amp;""),""))</f>
        <v/>
      </c>
      <c r="L420" s="25">
        <f>IF(A420&lt;&gt;"",1,"")</f>
        <v/>
      </c>
      <c r="M420" s="25">
        <f>IF(L420=1,IF(ISNUMBER(FIND("#"&amp;MID(A420,1,1)&amp;"#","#0#1#2#3#4#5#6#7#8#9#")),IF(ISNUMBER(FIND("#"&amp;MID(A420,2,1)&amp;"#","#0#1#2#3#4#5#6#7#8#9#")),IF(AND(VALUE(LEFT(A420,2))&gt;=1,VALUE(LEFT(A420,2))&lt;=5),VALUE(LEFT(A420,2)),""),IF(AND(VALUE(LEFT(A420,1))&gt;=1,VALUE(LEFT(A420,1))&lt;=5),VALUE(LEFT(A420,1)),"")),""),"")</f>
        <v/>
      </c>
      <c r="N420" s="25">
        <f>IF(L420=1,IF(ISNUMBER(FIND("#"&amp;MID(H420,1,1)&amp;"#","#0#1#2#3#4#5#6#7#8#9#")),IF(ISNUMBER(FIND("#"&amp;MID(H420,2,1)&amp;"#","#0#1#2#3#4#5#6#7#8#9#")),IF(AND(VALUE(LEFT(H420,2))&gt;=1,VALUE(LEFT(H420,2))&lt;=5),VALUE(LEFT(H420,2)),""),IF(AND(VALUE(LEFT(H420,1))&gt;=1,VALUE(LEFT(H420,1))&lt;=5),VALUE(LEFT(H420,1)),"")),""),"")</f>
        <v/>
      </c>
      <c r="O420" s="25">
        <f>IF(AND(L420=1,B420&lt;&gt;""),SUBSTITUTE(SUBSTITUTE(SUBSTITUTE(SUBSTITUTE(SUBSTITUTE(SUBSTITUTE(SUBSTITUTE(SUBSTITUTE(SUBSTITUTE(SUBSTITUTE(SUBSTITUTE(SUBSTITUTE(LOWER(TRIM(B420)),"á","a"),"é","e"),"í","i"),"ó","o"),"ú","u"),"ü","u"),"ñ","n"),"à","a"),"è","e"),"ì","i"),"ò","o"),"ù","u"),"")</f>
        <v/>
      </c>
      <c r="P420" s="25">
        <f>IF(AND(L420=1,C420&lt;&gt;""),SUBSTITUTE(SUBSTITUTE(SUBSTITUTE(SUBSTITUTE(SUBSTITUTE(SUBSTITUTE(SUBSTITUTE(SUBSTITUTE(SUBSTITUTE(SUBSTITUTE(SUBSTITUTE(SUBSTITUTE(LOWER(TRIM(C420)),"á","a"),"é","e"),"í","i"),"ó","o"),"ú","u"),"ü","u"),"ñ","n"),"à","a"),"è","e"),"ì","i"),"ò","o"),"ù","u"),"")</f>
        <v/>
      </c>
      <c r="Q420" s="25">
        <f>IF(AND(L420=1,E420&lt;&gt;""),SUBSTITUTE(SUBSTITUTE(SUBSTITUTE(SUBSTITUTE(SUBSTITUTE(SUBSTITUTE(SUBSTITUTE(SUBSTITUTE(SUBSTITUTE(SUBSTITUTE(SUBSTITUTE(SUBSTITUTE(LOWER(TRIM(E420)),"á","a"),"é","e"),"í","i"),"ó","o"),"ú","u"),"ü","u"),"ñ","n"),"à","a"),"è","e"),"ì","i"),"ò","o"),"ù","u"),"")</f>
        <v/>
      </c>
      <c r="R420" s="25">
        <f>IF(AND(L420=1,I420&lt;&gt;""),SUBSTITUTE(SUBSTITUTE(SUBSTITUTE(SUBSTITUTE(SUBSTITUTE(SUBSTITUTE(SUBSTITUTE(SUBSTITUTE(SUBSTITUTE(SUBSTITUTE(SUBSTITUTE(SUBSTITUTE(LOWER(TRIM(I420)),"á","a"),"é","e"),"í","i"),"ó","o"),"ú","u"),"ü","u"),"ñ","n"),"à","a"),"è","e"),"ì","i"),"ò","o"),"ù","u"),"")</f>
        <v/>
      </c>
      <c r="S420" s="25">
        <f>IF(R420="","",IF(OR(R420="si",R420="tal vez"),1,0))</f>
        <v/>
      </c>
      <c r="T420" s="25">
        <f>IF(AND(L420=1,D420&lt;&gt;""),IF(IFERROR(COUNTIFS(D$3:D420,"="&amp;SUBSTITUTE(SUBSTITUTE(SUBSTITUTE(D420,"~","~~"),"*","~*"),"?","~?"),L$3:L420,1),0)=1,MAX(T$2:T419)+1,""),"")</f>
        <v/>
      </c>
      <c r="U420" s="25">
        <f>IF(T420="","",COUNTIFS($D$3:$D$1002,"="&amp;SUBSTITUTE(SUBSTITUTE(SUBSTITUTE(D420,"~","~~"),"*","~*"),"?","~?"),$L$3:$L$1002,1)*10000-T420)</f>
        <v/>
      </c>
      <c r="V420" s="25">
        <f>IF(AND(L420=1,J420&lt;&gt;""),IF(IFERROR(COUNTIFS(J$3:J420,"="&amp;SUBSTITUTE(SUBSTITUTE(SUBSTITUTE(J420,"~","~~"),"*","~*"),"?","~?"),L$3:L420,1),0)=1,MAX(V$2:V419)+1,""),"")</f>
        <v/>
      </c>
      <c r="W420" s="25">
        <f>IF(V420="","",COUNTIFS($J$3:$J$1002,"="&amp;SUBSTITUTE(SUBSTITUTE(SUBSTITUTE(J420,"~","~~"),"*","~*"),"?","~?"),$L$3:$L$1002,1)*10000-V420)</f>
        <v/>
      </c>
    </row>
    <row r="421">
      <c r="A421">
        <f>IF(A$2=0,"",IFERROR(TRIM(INDEX('Pegar estudiantes'!$A$1:$BZ$1001,420,A$2)&amp;""),""))</f>
        <v/>
      </c>
      <c r="B421">
        <f>IF(B$2=0,"",IFERROR(TRIM(INDEX('Pegar estudiantes'!$A$1:$BZ$1001,420,B$2)&amp;""),""))</f>
        <v/>
      </c>
      <c r="C421">
        <f>IF(C$2=0,"",IFERROR(TRIM(INDEX('Pegar estudiantes'!$A$1:$BZ$1001,420,C$2)&amp;""),""))</f>
        <v/>
      </c>
      <c r="D421">
        <f>IF(D$2=0,"",IFERROR(TRIM(INDEX('Pegar estudiantes'!$A$1:$BZ$1001,420,D$2)&amp;""),""))</f>
        <v/>
      </c>
      <c r="E421">
        <f>IF(E$2=0,"",IFERROR(TRIM(INDEX('Pegar estudiantes'!$A$1:$BZ$1001,420,E$2)&amp;""),""))</f>
        <v/>
      </c>
      <c r="F421">
        <f>IF(F$2=0,"",IFERROR(TRIM(INDEX('Pegar estudiantes'!$A$1:$BZ$1001,420,F$2)&amp;""),""))</f>
        <v/>
      </c>
      <c r="G421">
        <f>IF(G$2=0,"",IFERROR(TRIM(INDEX('Pegar estudiantes'!$A$1:$BZ$1001,420,G$2)&amp;""),""))</f>
        <v/>
      </c>
      <c r="H421">
        <f>IF(H$2=0,"",IFERROR(TRIM(INDEX('Pegar estudiantes'!$A$1:$BZ$1001,420,H$2)&amp;""),""))</f>
        <v/>
      </c>
      <c r="I421">
        <f>IF(I$2=0,"",IFERROR(TRIM(INDEX('Pegar estudiantes'!$A$1:$BZ$1001,420,I$2)&amp;""),""))</f>
        <v/>
      </c>
      <c r="J421">
        <f>IF(J$2=0,"",IFERROR(TRIM(INDEX('Pegar estudiantes'!$A$1:$BZ$1001,420,J$2)&amp;""),""))</f>
        <v/>
      </c>
      <c r="K421">
        <f>IF(K$2=0,"",IFERROR(TRIM(INDEX('Pegar estudiantes'!$A$1:$BZ$1001,420,K$2)&amp;""),""))</f>
        <v/>
      </c>
      <c r="L421" s="25">
        <f>IF(A421&lt;&gt;"",1,"")</f>
        <v/>
      </c>
      <c r="M421" s="25">
        <f>IF(L421=1,IF(ISNUMBER(FIND("#"&amp;MID(A421,1,1)&amp;"#","#0#1#2#3#4#5#6#7#8#9#")),IF(ISNUMBER(FIND("#"&amp;MID(A421,2,1)&amp;"#","#0#1#2#3#4#5#6#7#8#9#")),IF(AND(VALUE(LEFT(A421,2))&gt;=1,VALUE(LEFT(A421,2))&lt;=5),VALUE(LEFT(A421,2)),""),IF(AND(VALUE(LEFT(A421,1))&gt;=1,VALUE(LEFT(A421,1))&lt;=5),VALUE(LEFT(A421,1)),"")),""),"")</f>
        <v/>
      </c>
      <c r="N421" s="25">
        <f>IF(L421=1,IF(ISNUMBER(FIND("#"&amp;MID(H421,1,1)&amp;"#","#0#1#2#3#4#5#6#7#8#9#")),IF(ISNUMBER(FIND("#"&amp;MID(H421,2,1)&amp;"#","#0#1#2#3#4#5#6#7#8#9#")),IF(AND(VALUE(LEFT(H421,2))&gt;=1,VALUE(LEFT(H421,2))&lt;=5),VALUE(LEFT(H421,2)),""),IF(AND(VALUE(LEFT(H421,1))&gt;=1,VALUE(LEFT(H421,1))&lt;=5),VALUE(LEFT(H421,1)),"")),""),"")</f>
        <v/>
      </c>
      <c r="O421" s="25">
        <f>IF(AND(L421=1,B421&lt;&gt;""),SUBSTITUTE(SUBSTITUTE(SUBSTITUTE(SUBSTITUTE(SUBSTITUTE(SUBSTITUTE(SUBSTITUTE(SUBSTITUTE(SUBSTITUTE(SUBSTITUTE(SUBSTITUTE(SUBSTITUTE(LOWER(TRIM(B421)),"á","a"),"é","e"),"í","i"),"ó","o"),"ú","u"),"ü","u"),"ñ","n"),"à","a"),"è","e"),"ì","i"),"ò","o"),"ù","u"),"")</f>
        <v/>
      </c>
      <c r="P421" s="25">
        <f>IF(AND(L421=1,C421&lt;&gt;""),SUBSTITUTE(SUBSTITUTE(SUBSTITUTE(SUBSTITUTE(SUBSTITUTE(SUBSTITUTE(SUBSTITUTE(SUBSTITUTE(SUBSTITUTE(SUBSTITUTE(SUBSTITUTE(SUBSTITUTE(LOWER(TRIM(C421)),"á","a"),"é","e"),"í","i"),"ó","o"),"ú","u"),"ü","u"),"ñ","n"),"à","a"),"è","e"),"ì","i"),"ò","o"),"ù","u"),"")</f>
        <v/>
      </c>
      <c r="Q421" s="25">
        <f>IF(AND(L421=1,E421&lt;&gt;""),SUBSTITUTE(SUBSTITUTE(SUBSTITUTE(SUBSTITUTE(SUBSTITUTE(SUBSTITUTE(SUBSTITUTE(SUBSTITUTE(SUBSTITUTE(SUBSTITUTE(SUBSTITUTE(SUBSTITUTE(LOWER(TRIM(E421)),"á","a"),"é","e"),"í","i"),"ó","o"),"ú","u"),"ü","u"),"ñ","n"),"à","a"),"è","e"),"ì","i"),"ò","o"),"ù","u"),"")</f>
        <v/>
      </c>
      <c r="R421" s="25">
        <f>IF(AND(L421=1,I421&lt;&gt;""),SUBSTITUTE(SUBSTITUTE(SUBSTITUTE(SUBSTITUTE(SUBSTITUTE(SUBSTITUTE(SUBSTITUTE(SUBSTITUTE(SUBSTITUTE(SUBSTITUTE(SUBSTITUTE(SUBSTITUTE(LOWER(TRIM(I421)),"á","a"),"é","e"),"í","i"),"ó","o"),"ú","u"),"ü","u"),"ñ","n"),"à","a"),"è","e"),"ì","i"),"ò","o"),"ù","u"),"")</f>
        <v/>
      </c>
      <c r="S421" s="25">
        <f>IF(R421="","",IF(OR(R421="si",R421="tal vez"),1,0))</f>
        <v/>
      </c>
      <c r="T421" s="25">
        <f>IF(AND(L421=1,D421&lt;&gt;""),IF(IFERROR(COUNTIFS(D$3:D421,"="&amp;SUBSTITUTE(SUBSTITUTE(SUBSTITUTE(D421,"~","~~"),"*","~*"),"?","~?"),L$3:L421,1),0)=1,MAX(T$2:T420)+1,""),"")</f>
        <v/>
      </c>
      <c r="U421" s="25">
        <f>IF(T421="","",COUNTIFS($D$3:$D$1002,"="&amp;SUBSTITUTE(SUBSTITUTE(SUBSTITUTE(D421,"~","~~"),"*","~*"),"?","~?"),$L$3:$L$1002,1)*10000-T421)</f>
        <v/>
      </c>
      <c r="V421" s="25">
        <f>IF(AND(L421=1,J421&lt;&gt;""),IF(IFERROR(COUNTIFS(J$3:J421,"="&amp;SUBSTITUTE(SUBSTITUTE(SUBSTITUTE(J421,"~","~~"),"*","~*"),"?","~?"),L$3:L421,1),0)=1,MAX(V$2:V420)+1,""),"")</f>
        <v/>
      </c>
      <c r="W421" s="25">
        <f>IF(V421="","",COUNTIFS($J$3:$J$1002,"="&amp;SUBSTITUTE(SUBSTITUTE(SUBSTITUTE(J421,"~","~~"),"*","~*"),"?","~?"),$L$3:$L$1002,1)*10000-V421)</f>
        <v/>
      </c>
    </row>
    <row r="422">
      <c r="A422">
        <f>IF(A$2=0,"",IFERROR(TRIM(INDEX('Pegar estudiantes'!$A$1:$BZ$1001,421,A$2)&amp;""),""))</f>
        <v/>
      </c>
      <c r="B422">
        <f>IF(B$2=0,"",IFERROR(TRIM(INDEX('Pegar estudiantes'!$A$1:$BZ$1001,421,B$2)&amp;""),""))</f>
        <v/>
      </c>
      <c r="C422">
        <f>IF(C$2=0,"",IFERROR(TRIM(INDEX('Pegar estudiantes'!$A$1:$BZ$1001,421,C$2)&amp;""),""))</f>
        <v/>
      </c>
      <c r="D422">
        <f>IF(D$2=0,"",IFERROR(TRIM(INDEX('Pegar estudiantes'!$A$1:$BZ$1001,421,D$2)&amp;""),""))</f>
        <v/>
      </c>
      <c r="E422">
        <f>IF(E$2=0,"",IFERROR(TRIM(INDEX('Pegar estudiantes'!$A$1:$BZ$1001,421,E$2)&amp;""),""))</f>
        <v/>
      </c>
      <c r="F422">
        <f>IF(F$2=0,"",IFERROR(TRIM(INDEX('Pegar estudiantes'!$A$1:$BZ$1001,421,F$2)&amp;""),""))</f>
        <v/>
      </c>
      <c r="G422">
        <f>IF(G$2=0,"",IFERROR(TRIM(INDEX('Pegar estudiantes'!$A$1:$BZ$1001,421,G$2)&amp;""),""))</f>
        <v/>
      </c>
      <c r="H422">
        <f>IF(H$2=0,"",IFERROR(TRIM(INDEX('Pegar estudiantes'!$A$1:$BZ$1001,421,H$2)&amp;""),""))</f>
        <v/>
      </c>
      <c r="I422">
        <f>IF(I$2=0,"",IFERROR(TRIM(INDEX('Pegar estudiantes'!$A$1:$BZ$1001,421,I$2)&amp;""),""))</f>
        <v/>
      </c>
      <c r="J422">
        <f>IF(J$2=0,"",IFERROR(TRIM(INDEX('Pegar estudiantes'!$A$1:$BZ$1001,421,J$2)&amp;""),""))</f>
        <v/>
      </c>
      <c r="K422">
        <f>IF(K$2=0,"",IFERROR(TRIM(INDEX('Pegar estudiantes'!$A$1:$BZ$1001,421,K$2)&amp;""),""))</f>
        <v/>
      </c>
      <c r="L422" s="25">
        <f>IF(A422&lt;&gt;"",1,"")</f>
        <v/>
      </c>
      <c r="M422" s="25">
        <f>IF(L422=1,IF(ISNUMBER(FIND("#"&amp;MID(A422,1,1)&amp;"#","#0#1#2#3#4#5#6#7#8#9#")),IF(ISNUMBER(FIND("#"&amp;MID(A422,2,1)&amp;"#","#0#1#2#3#4#5#6#7#8#9#")),IF(AND(VALUE(LEFT(A422,2))&gt;=1,VALUE(LEFT(A422,2))&lt;=5),VALUE(LEFT(A422,2)),""),IF(AND(VALUE(LEFT(A422,1))&gt;=1,VALUE(LEFT(A422,1))&lt;=5),VALUE(LEFT(A422,1)),"")),""),"")</f>
        <v/>
      </c>
      <c r="N422" s="25">
        <f>IF(L422=1,IF(ISNUMBER(FIND("#"&amp;MID(H422,1,1)&amp;"#","#0#1#2#3#4#5#6#7#8#9#")),IF(ISNUMBER(FIND("#"&amp;MID(H422,2,1)&amp;"#","#0#1#2#3#4#5#6#7#8#9#")),IF(AND(VALUE(LEFT(H422,2))&gt;=1,VALUE(LEFT(H422,2))&lt;=5),VALUE(LEFT(H422,2)),""),IF(AND(VALUE(LEFT(H422,1))&gt;=1,VALUE(LEFT(H422,1))&lt;=5),VALUE(LEFT(H422,1)),"")),""),"")</f>
        <v/>
      </c>
      <c r="O422" s="25">
        <f>IF(AND(L422=1,B422&lt;&gt;""),SUBSTITUTE(SUBSTITUTE(SUBSTITUTE(SUBSTITUTE(SUBSTITUTE(SUBSTITUTE(SUBSTITUTE(SUBSTITUTE(SUBSTITUTE(SUBSTITUTE(SUBSTITUTE(SUBSTITUTE(LOWER(TRIM(B422)),"á","a"),"é","e"),"í","i"),"ó","o"),"ú","u"),"ü","u"),"ñ","n"),"à","a"),"è","e"),"ì","i"),"ò","o"),"ù","u"),"")</f>
        <v/>
      </c>
      <c r="P422" s="25">
        <f>IF(AND(L422=1,C422&lt;&gt;""),SUBSTITUTE(SUBSTITUTE(SUBSTITUTE(SUBSTITUTE(SUBSTITUTE(SUBSTITUTE(SUBSTITUTE(SUBSTITUTE(SUBSTITUTE(SUBSTITUTE(SUBSTITUTE(SUBSTITUTE(LOWER(TRIM(C422)),"á","a"),"é","e"),"í","i"),"ó","o"),"ú","u"),"ü","u"),"ñ","n"),"à","a"),"è","e"),"ì","i"),"ò","o"),"ù","u"),"")</f>
        <v/>
      </c>
      <c r="Q422" s="25">
        <f>IF(AND(L422=1,E422&lt;&gt;""),SUBSTITUTE(SUBSTITUTE(SUBSTITUTE(SUBSTITUTE(SUBSTITUTE(SUBSTITUTE(SUBSTITUTE(SUBSTITUTE(SUBSTITUTE(SUBSTITUTE(SUBSTITUTE(SUBSTITUTE(LOWER(TRIM(E422)),"á","a"),"é","e"),"í","i"),"ó","o"),"ú","u"),"ü","u"),"ñ","n"),"à","a"),"è","e"),"ì","i"),"ò","o"),"ù","u"),"")</f>
        <v/>
      </c>
      <c r="R422" s="25">
        <f>IF(AND(L422=1,I422&lt;&gt;""),SUBSTITUTE(SUBSTITUTE(SUBSTITUTE(SUBSTITUTE(SUBSTITUTE(SUBSTITUTE(SUBSTITUTE(SUBSTITUTE(SUBSTITUTE(SUBSTITUTE(SUBSTITUTE(SUBSTITUTE(LOWER(TRIM(I422)),"á","a"),"é","e"),"í","i"),"ó","o"),"ú","u"),"ü","u"),"ñ","n"),"à","a"),"è","e"),"ì","i"),"ò","o"),"ù","u"),"")</f>
        <v/>
      </c>
      <c r="S422" s="25">
        <f>IF(R422="","",IF(OR(R422="si",R422="tal vez"),1,0))</f>
        <v/>
      </c>
      <c r="T422" s="25">
        <f>IF(AND(L422=1,D422&lt;&gt;""),IF(IFERROR(COUNTIFS(D$3:D422,"="&amp;SUBSTITUTE(SUBSTITUTE(SUBSTITUTE(D422,"~","~~"),"*","~*"),"?","~?"),L$3:L422,1),0)=1,MAX(T$2:T421)+1,""),"")</f>
        <v/>
      </c>
      <c r="U422" s="25">
        <f>IF(T422="","",COUNTIFS($D$3:$D$1002,"="&amp;SUBSTITUTE(SUBSTITUTE(SUBSTITUTE(D422,"~","~~"),"*","~*"),"?","~?"),$L$3:$L$1002,1)*10000-T422)</f>
        <v/>
      </c>
      <c r="V422" s="25">
        <f>IF(AND(L422=1,J422&lt;&gt;""),IF(IFERROR(COUNTIFS(J$3:J422,"="&amp;SUBSTITUTE(SUBSTITUTE(SUBSTITUTE(J422,"~","~~"),"*","~*"),"?","~?"),L$3:L422,1),0)=1,MAX(V$2:V421)+1,""),"")</f>
        <v/>
      </c>
      <c r="W422" s="25">
        <f>IF(V422="","",COUNTIFS($J$3:$J$1002,"="&amp;SUBSTITUTE(SUBSTITUTE(SUBSTITUTE(J422,"~","~~"),"*","~*"),"?","~?"),$L$3:$L$1002,1)*10000-V422)</f>
        <v/>
      </c>
    </row>
    <row r="423">
      <c r="A423">
        <f>IF(A$2=0,"",IFERROR(TRIM(INDEX('Pegar estudiantes'!$A$1:$BZ$1001,422,A$2)&amp;""),""))</f>
        <v/>
      </c>
      <c r="B423">
        <f>IF(B$2=0,"",IFERROR(TRIM(INDEX('Pegar estudiantes'!$A$1:$BZ$1001,422,B$2)&amp;""),""))</f>
        <v/>
      </c>
      <c r="C423">
        <f>IF(C$2=0,"",IFERROR(TRIM(INDEX('Pegar estudiantes'!$A$1:$BZ$1001,422,C$2)&amp;""),""))</f>
        <v/>
      </c>
      <c r="D423">
        <f>IF(D$2=0,"",IFERROR(TRIM(INDEX('Pegar estudiantes'!$A$1:$BZ$1001,422,D$2)&amp;""),""))</f>
        <v/>
      </c>
      <c r="E423">
        <f>IF(E$2=0,"",IFERROR(TRIM(INDEX('Pegar estudiantes'!$A$1:$BZ$1001,422,E$2)&amp;""),""))</f>
        <v/>
      </c>
      <c r="F423">
        <f>IF(F$2=0,"",IFERROR(TRIM(INDEX('Pegar estudiantes'!$A$1:$BZ$1001,422,F$2)&amp;""),""))</f>
        <v/>
      </c>
      <c r="G423">
        <f>IF(G$2=0,"",IFERROR(TRIM(INDEX('Pegar estudiantes'!$A$1:$BZ$1001,422,G$2)&amp;""),""))</f>
        <v/>
      </c>
      <c r="H423">
        <f>IF(H$2=0,"",IFERROR(TRIM(INDEX('Pegar estudiantes'!$A$1:$BZ$1001,422,H$2)&amp;""),""))</f>
        <v/>
      </c>
      <c r="I423">
        <f>IF(I$2=0,"",IFERROR(TRIM(INDEX('Pegar estudiantes'!$A$1:$BZ$1001,422,I$2)&amp;""),""))</f>
        <v/>
      </c>
      <c r="J423">
        <f>IF(J$2=0,"",IFERROR(TRIM(INDEX('Pegar estudiantes'!$A$1:$BZ$1001,422,J$2)&amp;""),""))</f>
        <v/>
      </c>
      <c r="K423">
        <f>IF(K$2=0,"",IFERROR(TRIM(INDEX('Pegar estudiantes'!$A$1:$BZ$1001,422,K$2)&amp;""),""))</f>
        <v/>
      </c>
      <c r="L423" s="25">
        <f>IF(A423&lt;&gt;"",1,"")</f>
        <v/>
      </c>
      <c r="M423" s="25">
        <f>IF(L423=1,IF(ISNUMBER(FIND("#"&amp;MID(A423,1,1)&amp;"#","#0#1#2#3#4#5#6#7#8#9#")),IF(ISNUMBER(FIND("#"&amp;MID(A423,2,1)&amp;"#","#0#1#2#3#4#5#6#7#8#9#")),IF(AND(VALUE(LEFT(A423,2))&gt;=1,VALUE(LEFT(A423,2))&lt;=5),VALUE(LEFT(A423,2)),""),IF(AND(VALUE(LEFT(A423,1))&gt;=1,VALUE(LEFT(A423,1))&lt;=5),VALUE(LEFT(A423,1)),"")),""),"")</f>
        <v/>
      </c>
      <c r="N423" s="25">
        <f>IF(L423=1,IF(ISNUMBER(FIND("#"&amp;MID(H423,1,1)&amp;"#","#0#1#2#3#4#5#6#7#8#9#")),IF(ISNUMBER(FIND("#"&amp;MID(H423,2,1)&amp;"#","#0#1#2#3#4#5#6#7#8#9#")),IF(AND(VALUE(LEFT(H423,2))&gt;=1,VALUE(LEFT(H423,2))&lt;=5),VALUE(LEFT(H423,2)),""),IF(AND(VALUE(LEFT(H423,1))&gt;=1,VALUE(LEFT(H423,1))&lt;=5),VALUE(LEFT(H423,1)),"")),""),"")</f>
        <v/>
      </c>
      <c r="O423" s="25">
        <f>IF(AND(L423=1,B423&lt;&gt;""),SUBSTITUTE(SUBSTITUTE(SUBSTITUTE(SUBSTITUTE(SUBSTITUTE(SUBSTITUTE(SUBSTITUTE(SUBSTITUTE(SUBSTITUTE(SUBSTITUTE(SUBSTITUTE(SUBSTITUTE(LOWER(TRIM(B423)),"á","a"),"é","e"),"í","i"),"ó","o"),"ú","u"),"ü","u"),"ñ","n"),"à","a"),"è","e"),"ì","i"),"ò","o"),"ù","u"),"")</f>
        <v/>
      </c>
      <c r="P423" s="25">
        <f>IF(AND(L423=1,C423&lt;&gt;""),SUBSTITUTE(SUBSTITUTE(SUBSTITUTE(SUBSTITUTE(SUBSTITUTE(SUBSTITUTE(SUBSTITUTE(SUBSTITUTE(SUBSTITUTE(SUBSTITUTE(SUBSTITUTE(SUBSTITUTE(LOWER(TRIM(C423)),"á","a"),"é","e"),"í","i"),"ó","o"),"ú","u"),"ü","u"),"ñ","n"),"à","a"),"è","e"),"ì","i"),"ò","o"),"ù","u"),"")</f>
        <v/>
      </c>
      <c r="Q423" s="25">
        <f>IF(AND(L423=1,E423&lt;&gt;""),SUBSTITUTE(SUBSTITUTE(SUBSTITUTE(SUBSTITUTE(SUBSTITUTE(SUBSTITUTE(SUBSTITUTE(SUBSTITUTE(SUBSTITUTE(SUBSTITUTE(SUBSTITUTE(SUBSTITUTE(LOWER(TRIM(E423)),"á","a"),"é","e"),"í","i"),"ó","o"),"ú","u"),"ü","u"),"ñ","n"),"à","a"),"è","e"),"ì","i"),"ò","o"),"ù","u"),"")</f>
        <v/>
      </c>
      <c r="R423" s="25">
        <f>IF(AND(L423=1,I423&lt;&gt;""),SUBSTITUTE(SUBSTITUTE(SUBSTITUTE(SUBSTITUTE(SUBSTITUTE(SUBSTITUTE(SUBSTITUTE(SUBSTITUTE(SUBSTITUTE(SUBSTITUTE(SUBSTITUTE(SUBSTITUTE(LOWER(TRIM(I423)),"á","a"),"é","e"),"í","i"),"ó","o"),"ú","u"),"ü","u"),"ñ","n"),"à","a"),"è","e"),"ì","i"),"ò","o"),"ù","u"),"")</f>
        <v/>
      </c>
      <c r="S423" s="25">
        <f>IF(R423="","",IF(OR(R423="si",R423="tal vez"),1,0))</f>
        <v/>
      </c>
      <c r="T423" s="25">
        <f>IF(AND(L423=1,D423&lt;&gt;""),IF(IFERROR(COUNTIFS(D$3:D423,"="&amp;SUBSTITUTE(SUBSTITUTE(SUBSTITUTE(D423,"~","~~"),"*","~*"),"?","~?"),L$3:L423,1),0)=1,MAX(T$2:T422)+1,""),"")</f>
        <v/>
      </c>
      <c r="U423" s="25">
        <f>IF(T423="","",COUNTIFS($D$3:$D$1002,"="&amp;SUBSTITUTE(SUBSTITUTE(SUBSTITUTE(D423,"~","~~"),"*","~*"),"?","~?"),$L$3:$L$1002,1)*10000-T423)</f>
        <v/>
      </c>
      <c r="V423" s="25">
        <f>IF(AND(L423=1,J423&lt;&gt;""),IF(IFERROR(COUNTIFS(J$3:J423,"="&amp;SUBSTITUTE(SUBSTITUTE(SUBSTITUTE(J423,"~","~~"),"*","~*"),"?","~?"),L$3:L423,1),0)=1,MAX(V$2:V422)+1,""),"")</f>
        <v/>
      </c>
      <c r="W423" s="25">
        <f>IF(V423="","",COUNTIFS($J$3:$J$1002,"="&amp;SUBSTITUTE(SUBSTITUTE(SUBSTITUTE(J423,"~","~~"),"*","~*"),"?","~?"),$L$3:$L$1002,1)*10000-V423)</f>
        <v/>
      </c>
    </row>
    <row r="424">
      <c r="A424">
        <f>IF(A$2=0,"",IFERROR(TRIM(INDEX('Pegar estudiantes'!$A$1:$BZ$1001,423,A$2)&amp;""),""))</f>
        <v/>
      </c>
      <c r="B424">
        <f>IF(B$2=0,"",IFERROR(TRIM(INDEX('Pegar estudiantes'!$A$1:$BZ$1001,423,B$2)&amp;""),""))</f>
        <v/>
      </c>
      <c r="C424">
        <f>IF(C$2=0,"",IFERROR(TRIM(INDEX('Pegar estudiantes'!$A$1:$BZ$1001,423,C$2)&amp;""),""))</f>
        <v/>
      </c>
      <c r="D424">
        <f>IF(D$2=0,"",IFERROR(TRIM(INDEX('Pegar estudiantes'!$A$1:$BZ$1001,423,D$2)&amp;""),""))</f>
        <v/>
      </c>
      <c r="E424">
        <f>IF(E$2=0,"",IFERROR(TRIM(INDEX('Pegar estudiantes'!$A$1:$BZ$1001,423,E$2)&amp;""),""))</f>
        <v/>
      </c>
      <c r="F424">
        <f>IF(F$2=0,"",IFERROR(TRIM(INDEX('Pegar estudiantes'!$A$1:$BZ$1001,423,F$2)&amp;""),""))</f>
        <v/>
      </c>
      <c r="G424">
        <f>IF(G$2=0,"",IFERROR(TRIM(INDEX('Pegar estudiantes'!$A$1:$BZ$1001,423,G$2)&amp;""),""))</f>
        <v/>
      </c>
      <c r="H424">
        <f>IF(H$2=0,"",IFERROR(TRIM(INDEX('Pegar estudiantes'!$A$1:$BZ$1001,423,H$2)&amp;""),""))</f>
        <v/>
      </c>
      <c r="I424">
        <f>IF(I$2=0,"",IFERROR(TRIM(INDEX('Pegar estudiantes'!$A$1:$BZ$1001,423,I$2)&amp;""),""))</f>
        <v/>
      </c>
      <c r="J424">
        <f>IF(J$2=0,"",IFERROR(TRIM(INDEX('Pegar estudiantes'!$A$1:$BZ$1001,423,J$2)&amp;""),""))</f>
        <v/>
      </c>
      <c r="K424">
        <f>IF(K$2=0,"",IFERROR(TRIM(INDEX('Pegar estudiantes'!$A$1:$BZ$1001,423,K$2)&amp;""),""))</f>
        <v/>
      </c>
      <c r="L424" s="25">
        <f>IF(A424&lt;&gt;"",1,"")</f>
        <v/>
      </c>
      <c r="M424" s="25">
        <f>IF(L424=1,IF(ISNUMBER(FIND("#"&amp;MID(A424,1,1)&amp;"#","#0#1#2#3#4#5#6#7#8#9#")),IF(ISNUMBER(FIND("#"&amp;MID(A424,2,1)&amp;"#","#0#1#2#3#4#5#6#7#8#9#")),IF(AND(VALUE(LEFT(A424,2))&gt;=1,VALUE(LEFT(A424,2))&lt;=5),VALUE(LEFT(A424,2)),""),IF(AND(VALUE(LEFT(A424,1))&gt;=1,VALUE(LEFT(A424,1))&lt;=5),VALUE(LEFT(A424,1)),"")),""),"")</f>
        <v/>
      </c>
      <c r="N424" s="25">
        <f>IF(L424=1,IF(ISNUMBER(FIND("#"&amp;MID(H424,1,1)&amp;"#","#0#1#2#3#4#5#6#7#8#9#")),IF(ISNUMBER(FIND("#"&amp;MID(H424,2,1)&amp;"#","#0#1#2#3#4#5#6#7#8#9#")),IF(AND(VALUE(LEFT(H424,2))&gt;=1,VALUE(LEFT(H424,2))&lt;=5),VALUE(LEFT(H424,2)),""),IF(AND(VALUE(LEFT(H424,1))&gt;=1,VALUE(LEFT(H424,1))&lt;=5),VALUE(LEFT(H424,1)),"")),""),"")</f>
        <v/>
      </c>
      <c r="O424" s="25">
        <f>IF(AND(L424=1,B424&lt;&gt;""),SUBSTITUTE(SUBSTITUTE(SUBSTITUTE(SUBSTITUTE(SUBSTITUTE(SUBSTITUTE(SUBSTITUTE(SUBSTITUTE(SUBSTITUTE(SUBSTITUTE(SUBSTITUTE(SUBSTITUTE(LOWER(TRIM(B424)),"á","a"),"é","e"),"í","i"),"ó","o"),"ú","u"),"ü","u"),"ñ","n"),"à","a"),"è","e"),"ì","i"),"ò","o"),"ù","u"),"")</f>
        <v/>
      </c>
      <c r="P424" s="25">
        <f>IF(AND(L424=1,C424&lt;&gt;""),SUBSTITUTE(SUBSTITUTE(SUBSTITUTE(SUBSTITUTE(SUBSTITUTE(SUBSTITUTE(SUBSTITUTE(SUBSTITUTE(SUBSTITUTE(SUBSTITUTE(SUBSTITUTE(SUBSTITUTE(LOWER(TRIM(C424)),"á","a"),"é","e"),"í","i"),"ó","o"),"ú","u"),"ü","u"),"ñ","n"),"à","a"),"è","e"),"ì","i"),"ò","o"),"ù","u"),"")</f>
        <v/>
      </c>
      <c r="Q424" s="25">
        <f>IF(AND(L424=1,E424&lt;&gt;""),SUBSTITUTE(SUBSTITUTE(SUBSTITUTE(SUBSTITUTE(SUBSTITUTE(SUBSTITUTE(SUBSTITUTE(SUBSTITUTE(SUBSTITUTE(SUBSTITUTE(SUBSTITUTE(SUBSTITUTE(LOWER(TRIM(E424)),"á","a"),"é","e"),"í","i"),"ó","o"),"ú","u"),"ü","u"),"ñ","n"),"à","a"),"è","e"),"ì","i"),"ò","o"),"ù","u"),"")</f>
        <v/>
      </c>
      <c r="R424" s="25">
        <f>IF(AND(L424=1,I424&lt;&gt;""),SUBSTITUTE(SUBSTITUTE(SUBSTITUTE(SUBSTITUTE(SUBSTITUTE(SUBSTITUTE(SUBSTITUTE(SUBSTITUTE(SUBSTITUTE(SUBSTITUTE(SUBSTITUTE(SUBSTITUTE(LOWER(TRIM(I424)),"á","a"),"é","e"),"í","i"),"ó","o"),"ú","u"),"ü","u"),"ñ","n"),"à","a"),"è","e"),"ì","i"),"ò","o"),"ù","u"),"")</f>
        <v/>
      </c>
      <c r="S424" s="25">
        <f>IF(R424="","",IF(OR(R424="si",R424="tal vez"),1,0))</f>
        <v/>
      </c>
      <c r="T424" s="25">
        <f>IF(AND(L424=1,D424&lt;&gt;""),IF(IFERROR(COUNTIFS(D$3:D424,"="&amp;SUBSTITUTE(SUBSTITUTE(SUBSTITUTE(D424,"~","~~"),"*","~*"),"?","~?"),L$3:L424,1),0)=1,MAX(T$2:T423)+1,""),"")</f>
        <v/>
      </c>
      <c r="U424" s="25">
        <f>IF(T424="","",COUNTIFS($D$3:$D$1002,"="&amp;SUBSTITUTE(SUBSTITUTE(SUBSTITUTE(D424,"~","~~"),"*","~*"),"?","~?"),$L$3:$L$1002,1)*10000-T424)</f>
        <v/>
      </c>
      <c r="V424" s="25">
        <f>IF(AND(L424=1,J424&lt;&gt;""),IF(IFERROR(COUNTIFS(J$3:J424,"="&amp;SUBSTITUTE(SUBSTITUTE(SUBSTITUTE(J424,"~","~~"),"*","~*"),"?","~?"),L$3:L424,1),0)=1,MAX(V$2:V423)+1,""),"")</f>
        <v/>
      </c>
      <c r="W424" s="25">
        <f>IF(V424="","",COUNTIFS($J$3:$J$1002,"="&amp;SUBSTITUTE(SUBSTITUTE(SUBSTITUTE(J424,"~","~~"),"*","~*"),"?","~?"),$L$3:$L$1002,1)*10000-V424)</f>
        <v/>
      </c>
    </row>
    <row r="425">
      <c r="A425">
        <f>IF(A$2=0,"",IFERROR(TRIM(INDEX('Pegar estudiantes'!$A$1:$BZ$1001,424,A$2)&amp;""),""))</f>
        <v/>
      </c>
      <c r="B425">
        <f>IF(B$2=0,"",IFERROR(TRIM(INDEX('Pegar estudiantes'!$A$1:$BZ$1001,424,B$2)&amp;""),""))</f>
        <v/>
      </c>
      <c r="C425">
        <f>IF(C$2=0,"",IFERROR(TRIM(INDEX('Pegar estudiantes'!$A$1:$BZ$1001,424,C$2)&amp;""),""))</f>
        <v/>
      </c>
      <c r="D425">
        <f>IF(D$2=0,"",IFERROR(TRIM(INDEX('Pegar estudiantes'!$A$1:$BZ$1001,424,D$2)&amp;""),""))</f>
        <v/>
      </c>
      <c r="E425">
        <f>IF(E$2=0,"",IFERROR(TRIM(INDEX('Pegar estudiantes'!$A$1:$BZ$1001,424,E$2)&amp;""),""))</f>
        <v/>
      </c>
      <c r="F425">
        <f>IF(F$2=0,"",IFERROR(TRIM(INDEX('Pegar estudiantes'!$A$1:$BZ$1001,424,F$2)&amp;""),""))</f>
        <v/>
      </c>
      <c r="G425">
        <f>IF(G$2=0,"",IFERROR(TRIM(INDEX('Pegar estudiantes'!$A$1:$BZ$1001,424,G$2)&amp;""),""))</f>
        <v/>
      </c>
      <c r="H425">
        <f>IF(H$2=0,"",IFERROR(TRIM(INDEX('Pegar estudiantes'!$A$1:$BZ$1001,424,H$2)&amp;""),""))</f>
        <v/>
      </c>
      <c r="I425">
        <f>IF(I$2=0,"",IFERROR(TRIM(INDEX('Pegar estudiantes'!$A$1:$BZ$1001,424,I$2)&amp;""),""))</f>
        <v/>
      </c>
      <c r="J425">
        <f>IF(J$2=0,"",IFERROR(TRIM(INDEX('Pegar estudiantes'!$A$1:$BZ$1001,424,J$2)&amp;""),""))</f>
        <v/>
      </c>
      <c r="K425">
        <f>IF(K$2=0,"",IFERROR(TRIM(INDEX('Pegar estudiantes'!$A$1:$BZ$1001,424,K$2)&amp;""),""))</f>
        <v/>
      </c>
      <c r="L425" s="25">
        <f>IF(A425&lt;&gt;"",1,"")</f>
        <v/>
      </c>
      <c r="M425" s="25">
        <f>IF(L425=1,IF(ISNUMBER(FIND("#"&amp;MID(A425,1,1)&amp;"#","#0#1#2#3#4#5#6#7#8#9#")),IF(ISNUMBER(FIND("#"&amp;MID(A425,2,1)&amp;"#","#0#1#2#3#4#5#6#7#8#9#")),IF(AND(VALUE(LEFT(A425,2))&gt;=1,VALUE(LEFT(A425,2))&lt;=5),VALUE(LEFT(A425,2)),""),IF(AND(VALUE(LEFT(A425,1))&gt;=1,VALUE(LEFT(A425,1))&lt;=5),VALUE(LEFT(A425,1)),"")),""),"")</f>
        <v/>
      </c>
      <c r="N425" s="25">
        <f>IF(L425=1,IF(ISNUMBER(FIND("#"&amp;MID(H425,1,1)&amp;"#","#0#1#2#3#4#5#6#7#8#9#")),IF(ISNUMBER(FIND("#"&amp;MID(H425,2,1)&amp;"#","#0#1#2#3#4#5#6#7#8#9#")),IF(AND(VALUE(LEFT(H425,2))&gt;=1,VALUE(LEFT(H425,2))&lt;=5),VALUE(LEFT(H425,2)),""),IF(AND(VALUE(LEFT(H425,1))&gt;=1,VALUE(LEFT(H425,1))&lt;=5),VALUE(LEFT(H425,1)),"")),""),"")</f>
        <v/>
      </c>
      <c r="O425" s="25">
        <f>IF(AND(L425=1,B425&lt;&gt;""),SUBSTITUTE(SUBSTITUTE(SUBSTITUTE(SUBSTITUTE(SUBSTITUTE(SUBSTITUTE(SUBSTITUTE(SUBSTITUTE(SUBSTITUTE(SUBSTITUTE(SUBSTITUTE(SUBSTITUTE(LOWER(TRIM(B425)),"á","a"),"é","e"),"í","i"),"ó","o"),"ú","u"),"ü","u"),"ñ","n"),"à","a"),"è","e"),"ì","i"),"ò","o"),"ù","u"),"")</f>
        <v/>
      </c>
      <c r="P425" s="25">
        <f>IF(AND(L425=1,C425&lt;&gt;""),SUBSTITUTE(SUBSTITUTE(SUBSTITUTE(SUBSTITUTE(SUBSTITUTE(SUBSTITUTE(SUBSTITUTE(SUBSTITUTE(SUBSTITUTE(SUBSTITUTE(SUBSTITUTE(SUBSTITUTE(LOWER(TRIM(C425)),"á","a"),"é","e"),"í","i"),"ó","o"),"ú","u"),"ü","u"),"ñ","n"),"à","a"),"è","e"),"ì","i"),"ò","o"),"ù","u"),"")</f>
        <v/>
      </c>
      <c r="Q425" s="25">
        <f>IF(AND(L425=1,E425&lt;&gt;""),SUBSTITUTE(SUBSTITUTE(SUBSTITUTE(SUBSTITUTE(SUBSTITUTE(SUBSTITUTE(SUBSTITUTE(SUBSTITUTE(SUBSTITUTE(SUBSTITUTE(SUBSTITUTE(SUBSTITUTE(LOWER(TRIM(E425)),"á","a"),"é","e"),"í","i"),"ó","o"),"ú","u"),"ü","u"),"ñ","n"),"à","a"),"è","e"),"ì","i"),"ò","o"),"ù","u"),"")</f>
        <v/>
      </c>
      <c r="R425" s="25">
        <f>IF(AND(L425=1,I425&lt;&gt;""),SUBSTITUTE(SUBSTITUTE(SUBSTITUTE(SUBSTITUTE(SUBSTITUTE(SUBSTITUTE(SUBSTITUTE(SUBSTITUTE(SUBSTITUTE(SUBSTITUTE(SUBSTITUTE(SUBSTITUTE(LOWER(TRIM(I425)),"á","a"),"é","e"),"í","i"),"ó","o"),"ú","u"),"ü","u"),"ñ","n"),"à","a"),"è","e"),"ì","i"),"ò","o"),"ù","u"),"")</f>
        <v/>
      </c>
      <c r="S425" s="25">
        <f>IF(R425="","",IF(OR(R425="si",R425="tal vez"),1,0))</f>
        <v/>
      </c>
      <c r="T425" s="25">
        <f>IF(AND(L425=1,D425&lt;&gt;""),IF(IFERROR(COUNTIFS(D$3:D425,"="&amp;SUBSTITUTE(SUBSTITUTE(SUBSTITUTE(D425,"~","~~"),"*","~*"),"?","~?"),L$3:L425,1),0)=1,MAX(T$2:T424)+1,""),"")</f>
        <v/>
      </c>
      <c r="U425" s="25">
        <f>IF(T425="","",COUNTIFS($D$3:$D$1002,"="&amp;SUBSTITUTE(SUBSTITUTE(SUBSTITUTE(D425,"~","~~"),"*","~*"),"?","~?"),$L$3:$L$1002,1)*10000-T425)</f>
        <v/>
      </c>
      <c r="V425" s="25">
        <f>IF(AND(L425=1,J425&lt;&gt;""),IF(IFERROR(COUNTIFS(J$3:J425,"="&amp;SUBSTITUTE(SUBSTITUTE(SUBSTITUTE(J425,"~","~~"),"*","~*"),"?","~?"),L$3:L425,1),0)=1,MAX(V$2:V424)+1,""),"")</f>
        <v/>
      </c>
      <c r="W425" s="25">
        <f>IF(V425="","",COUNTIFS($J$3:$J$1002,"="&amp;SUBSTITUTE(SUBSTITUTE(SUBSTITUTE(J425,"~","~~"),"*","~*"),"?","~?"),$L$3:$L$1002,1)*10000-V425)</f>
        <v/>
      </c>
    </row>
    <row r="426">
      <c r="A426">
        <f>IF(A$2=0,"",IFERROR(TRIM(INDEX('Pegar estudiantes'!$A$1:$BZ$1001,425,A$2)&amp;""),""))</f>
        <v/>
      </c>
      <c r="B426">
        <f>IF(B$2=0,"",IFERROR(TRIM(INDEX('Pegar estudiantes'!$A$1:$BZ$1001,425,B$2)&amp;""),""))</f>
        <v/>
      </c>
      <c r="C426">
        <f>IF(C$2=0,"",IFERROR(TRIM(INDEX('Pegar estudiantes'!$A$1:$BZ$1001,425,C$2)&amp;""),""))</f>
        <v/>
      </c>
      <c r="D426">
        <f>IF(D$2=0,"",IFERROR(TRIM(INDEX('Pegar estudiantes'!$A$1:$BZ$1001,425,D$2)&amp;""),""))</f>
        <v/>
      </c>
      <c r="E426">
        <f>IF(E$2=0,"",IFERROR(TRIM(INDEX('Pegar estudiantes'!$A$1:$BZ$1001,425,E$2)&amp;""),""))</f>
        <v/>
      </c>
      <c r="F426">
        <f>IF(F$2=0,"",IFERROR(TRIM(INDEX('Pegar estudiantes'!$A$1:$BZ$1001,425,F$2)&amp;""),""))</f>
        <v/>
      </c>
      <c r="G426">
        <f>IF(G$2=0,"",IFERROR(TRIM(INDEX('Pegar estudiantes'!$A$1:$BZ$1001,425,G$2)&amp;""),""))</f>
        <v/>
      </c>
      <c r="H426">
        <f>IF(H$2=0,"",IFERROR(TRIM(INDEX('Pegar estudiantes'!$A$1:$BZ$1001,425,H$2)&amp;""),""))</f>
        <v/>
      </c>
      <c r="I426">
        <f>IF(I$2=0,"",IFERROR(TRIM(INDEX('Pegar estudiantes'!$A$1:$BZ$1001,425,I$2)&amp;""),""))</f>
        <v/>
      </c>
      <c r="J426">
        <f>IF(J$2=0,"",IFERROR(TRIM(INDEX('Pegar estudiantes'!$A$1:$BZ$1001,425,J$2)&amp;""),""))</f>
        <v/>
      </c>
      <c r="K426">
        <f>IF(K$2=0,"",IFERROR(TRIM(INDEX('Pegar estudiantes'!$A$1:$BZ$1001,425,K$2)&amp;""),""))</f>
        <v/>
      </c>
      <c r="L426" s="25">
        <f>IF(A426&lt;&gt;"",1,"")</f>
        <v/>
      </c>
      <c r="M426" s="25">
        <f>IF(L426=1,IF(ISNUMBER(FIND("#"&amp;MID(A426,1,1)&amp;"#","#0#1#2#3#4#5#6#7#8#9#")),IF(ISNUMBER(FIND("#"&amp;MID(A426,2,1)&amp;"#","#0#1#2#3#4#5#6#7#8#9#")),IF(AND(VALUE(LEFT(A426,2))&gt;=1,VALUE(LEFT(A426,2))&lt;=5),VALUE(LEFT(A426,2)),""),IF(AND(VALUE(LEFT(A426,1))&gt;=1,VALUE(LEFT(A426,1))&lt;=5),VALUE(LEFT(A426,1)),"")),""),"")</f>
        <v/>
      </c>
      <c r="N426" s="25">
        <f>IF(L426=1,IF(ISNUMBER(FIND("#"&amp;MID(H426,1,1)&amp;"#","#0#1#2#3#4#5#6#7#8#9#")),IF(ISNUMBER(FIND("#"&amp;MID(H426,2,1)&amp;"#","#0#1#2#3#4#5#6#7#8#9#")),IF(AND(VALUE(LEFT(H426,2))&gt;=1,VALUE(LEFT(H426,2))&lt;=5),VALUE(LEFT(H426,2)),""),IF(AND(VALUE(LEFT(H426,1))&gt;=1,VALUE(LEFT(H426,1))&lt;=5),VALUE(LEFT(H426,1)),"")),""),"")</f>
        <v/>
      </c>
      <c r="O426" s="25">
        <f>IF(AND(L426=1,B426&lt;&gt;""),SUBSTITUTE(SUBSTITUTE(SUBSTITUTE(SUBSTITUTE(SUBSTITUTE(SUBSTITUTE(SUBSTITUTE(SUBSTITUTE(SUBSTITUTE(SUBSTITUTE(SUBSTITUTE(SUBSTITUTE(LOWER(TRIM(B426)),"á","a"),"é","e"),"í","i"),"ó","o"),"ú","u"),"ü","u"),"ñ","n"),"à","a"),"è","e"),"ì","i"),"ò","o"),"ù","u"),"")</f>
        <v/>
      </c>
      <c r="P426" s="25">
        <f>IF(AND(L426=1,C426&lt;&gt;""),SUBSTITUTE(SUBSTITUTE(SUBSTITUTE(SUBSTITUTE(SUBSTITUTE(SUBSTITUTE(SUBSTITUTE(SUBSTITUTE(SUBSTITUTE(SUBSTITUTE(SUBSTITUTE(SUBSTITUTE(LOWER(TRIM(C426)),"á","a"),"é","e"),"í","i"),"ó","o"),"ú","u"),"ü","u"),"ñ","n"),"à","a"),"è","e"),"ì","i"),"ò","o"),"ù","u"),"")</f>
        <v/>
      </c>
      <c r="Q426" s="25">
        <f>IF(AND(L426=1,E426&lt;&gt;""),SUBSTITUTE(SUBSTITUTE(SUBSTITUTE(SUBSTITUTE(SUBSTITUTE(SUBSTITUTE(SUBSTITUTE(SUBSTITUTE(SUBSTITUTE(SUBSTITUTE(SUBSTITUTE(SUBSTITUTE(LOWER(TRIM(E426)),"á","a"),"é","e"),"í","i"),"ó","o"),"ú","u"),"ü","u"),"ñ","n"),"à","a"),"è","e"),"ì","i"),"ò","o"),"ù","u"),"")</f>
        <v/>
      </c>
      <c r="R426" s="25">
        <f>IF(AND(L426=1,I426&lt;&gt;""),SUBSTITUTE(SUBSTITUTE(SUBSTITUTE(SUBSTITUTE(SUBSTITUTE(SUBSTITUTE(SUBSTITUTE(SUBSTITUTE(SUBSTITUTE(SUBSTITUTE(SUBSTITUTE(SUBSTITUTE(LOWER(TRIM(I426)),"á","a"),"é","e"),"í","i"),"ó","o"),"ú","u"),"ü","u"),"ñ","n"),"à","a"),"è","e"),"ì","i"),"ò","o"),"ù","u"),"")</f>
        <v/>
      </c>
      <c r="S426" s="25">
        <f>IF(R426="","",IF(OR(R426="si",R426="tal vez"),1,0))</f>
        <v/>
      </c>
      <c r="T426" s="25">
        <f>IF(AND(L426=1,D426&lt;&gt;""),IF(IFERROR(COUNTIFS(D$3:D426,"="&amp;SUBSTITUTE(SUBSTITUTE(SUBSTITUTE(D426,"~","~~"),"*","~*"),"?","~?"),L$3:L426,1),0)=1,MAX(T$2:T425)+1,""),"")</f>
        <v/>
      </c>
      <c r="U426" s="25">
        <f>IF(T426="","",COUNTIFS($D$3:$D$1002,"="&amp;SUBSTITUTE(SUBSTITUTE(SUBSTITUTE(D426,"~","~~"),"*","~*"),"?","~?"),$L$3:$L$1002,1)*10000-T426)</f>
        <v/>
      </c>
      <c r="V426" s="25">
        <f>IF(AND(L426=1,J426&lt;&gt;""),IF(IFERROR(COUNTIFS(J$3:J426,"="&amp;SUBSTITUTE(SUBSTITUTE(SUBSTITUTE(J426,"~","~~"),"*","~*"),"?","~?"),L$3:L426,1),0)=1,MAX(V$2:V425)+1,""),"")</f>
        <v/>
      </c>
      <c r="W426" s="25">
        <f>IF(V426="","",COUNTIFS($J$3:$J$1002,"="&amp;SUBSTITUTE(SUBSTITUTE(SUBSTITUTE(J426,"~","~~"),"*","~*"),"?","~?"),$L$3:$L$1002,1)*10000-V426)</f>
        <v/>
      </c>
    </row>
    <row r="427">
      <c r="A427">
        <f>IF(A$2=0,"",IFERROR(TRIM(INDEX('Pegar estudiantes'!$A$1:$BZ$1001,426,A$2)&amp;""),""))</f>
        <v/>
      </c>
      <c r="B427">
        <f>IF(B$2=0,"",IFERROR(TRIM(INDEX('Pegar estudiantes'!$A$1:$BZ$1001,426,B$2)&amp;""),""))</f>
        <v/>
      </c>
      <c r="C427">
        <f>IF(C$2=0,"",IFERROR(TRIM(INDEX('Pegar estudiantes'!$A$1:$BZ$1001,426,C$2)&amp;""),""))</f>
        <v/>
      </c>
      <c r="D427">
        <f>IF(D$2=0,"",IFERROR(TRIM(INDEX('Pegar estudiantes'!$A$1:$BZ$1001,426,D$2)&amp;""),""))</f>
        <v/>
      </c>
      <c r="E427">
        <f>IF(E$2=0,"",IFERROR(TRIM(INDEX('Pegar estudiantes'!$A$1:$BZ$1001,426,E$2)&amp;""),""))</f>
        <v/>
      </c>
      <c r="F427">
        <f>IF(F$2=0,"",IFERROR(TRIM(INDEX('Pegar estudiantes'!$A$1:$BZ$1001,426,F$2)&amp;""),""))</f>
        <v/>
      </c>
      <c r="G427">
        <f>IF(G$2=0,"",IFERROR(TRIM(INDEX('Pegar estudiantes'!$A$1:$BZ$1001,426,G$2)&amp;""),""))</f>
        <v/>
      </c>
      <c r="H427">
        <f>IF(H$2=0,"",IFERROR(TRIM(INDEX('Pegar estudiantes'!$A$1:$BZ$1001,426,H$2)&amp;""),""))</f>
        <v/>
      </c>
      <c r="I427">
        <f>IF(I$2=0,"",IFERROR(TRIM(INDEX('Pegar estudiantes'!$A$1:$BZ$1001,426,I$2)&amp;""),""))</f>
        <v/>
      </c>
      <c r="J427">
        <f>IF(J$2=0,"",IFERROR(TRIM(INDEX('Pegar estudiantes'!$A$1:$BZ$1001,426,J$2)&amp;""),""))</f>
        <v/>
      </c>
      <c r="K427">
        <f>IF(K$2=0,"",IFERROR(TRIM(INDEX('Pegar estudiantes'!$A$1:$BZ$1001,426,K$2)&amp;""),""))</f>
        <v/>
      </c>
      <c r="L427" s="25">
        <f>IF(A427&lt;&gt;"",1,"")</f>
        <v/>
      </c>
      <c r="M427" s="25">
        <f>IF(L427=1,IF(ISNUMBER(FIND("#"&amp;MID(A427,1,1)&amp;"#","#0#1#2#3#4#5#6#7#8#9#")),IF(ISNUMBER(FIND("#"&amp;MID(A427,2,1)&amp;"#","#0#1#2#3#4#5#6#7#8#9#")),IF(AND(VALUE(LEFT(A427,2))&gt;=1,VALUE(LEFT(A427,2))&lt;=5),VALUE(LEFT(A427,2)),""),IF(AND(VALUE(LEFT(A427,1))&gt;=1,VALUE(LEFT(A427,1))&lt;=5),VALUE(LEFT(A427,1)),"")),""),"")</f>
        <v/>
      </c>
      <c r="N427" s="25">
        <f>IF(L427=1,IF(ISNUMBER(FIND("#"&amp;MID(H427,1,1)&amp;"#","#0#1#2#3#4#5#6#7#8#9#")),IF(ISNUMBER(FIND("#"&amp;MID(H427,2,1)&amp;"#","#0#1#2#3#4#5#6#7#8#9#")),IF(AND(VALUE(LEFT(H427,2))&gt;=1,VALUE(LEFT(H427,2))&lt;=5),VALUE(LEFT(H427,2)),""),IF(AND(VALUE(LEFT(H427,1))&gt;=1,VALUE(LEFT(H427,1))&lt;=5),VALUE(LEFT(H427,1)),"")),""),"")</f>
        <v/>
      </c>
      <c r="O427" s="25">
        <f>IF(AND(L427=1,B427&lt;&gt;""),SUBSTITUTE(SUBSTITUTE(SUBSTITUTE(SUBSTITUTE(SUBSTITUTE(SUBSTITUTE(SUBSTITUTE(SUBSTITUTE(SUBSTITUTE(SUBSTITUTE(SUBSTITUTE(SUBSTITUTE(LOWER(TRIM(B427)),"á","a"),"é","e"),"í","i"),"ó","o"),"ú","u"),"ü","u"),"ñ","n"),"à","a"),"è","e"),"ì","i"),"ò","o"),"ù","u"),"")</f>
        <v/>
      </c>
      <c r="P427" s="25">
        <f>IF(AND(L427=1,C427&lt;&gt;""),SUBSTITUTE(SUBSTITUTE(SUBSTITUTE(SUBSTITUTE(SUBSTITUTE(SUBSTITUTE(SUBSTITUTE(SUBSTITUTE(SUBSTITUTE(SUBSTITUTE(SUBSTITUTE(SUBSTITUTE(LOWER(TRIM(C427)),"á","a"),"é","e"),"í","i"),"ó","o"),"ú","u"),"ü","u"),"ñ","n"),"à","a"),"è","e"),"ì","i"),"ò","o"),"ù","u"),"")</f>
        <v/>
      </c>
      <c r="Q427" s="25">
        <f>IF(AND(L427=1,E427&lt;&gt;""),SUBSTITUTE(SUBSTITUTE(SUBSTITUTE(SUBSTITUTE(SUBSTITUTE(SUBSTITUTE(SUBSTITUTE(SUBSTITUTE(SUBSTITUTE(SUBSTITUTE(SUBSTITUTE(SUBSTITUTE(LOWER(TRIM(E427)),"á","a"),"é","e"),"í","i"),"ó","o"),"ú","u"),"ü","u"),"ñ","n"),"à","a"),"è","e"),"ì","i"),"ò","o"),"ù","u"),"")</f>
        <v/>
      </c>
      <c r="R427" s="25">
        <f>IF(AND(L427=1,I427&lt;&gt;""),SUBSTITUTE(SUBSTITUTE(SUBSTITUTE(SUBSTITUTE(SUBSTITUTE(SUBSTITUTE(SUBSTITUTE(SUBSTITUTE(SUBSTITUTE(SUBSTITUTE(SUBSTITUTE(SUBSTITUTE(LOWER(TRIM(I427)),"á","a"),"é","e"),"í","i"),"ó","o"),"ú","u"),"ü","u"),"ñ","n"),"à","a"),"è","e"),"ì","i"),"ò","o"),"ù","u"),"")</f>
        <v/>
      </c>
      <c r="S427" s="25">
        <f>IF(R427="","",IF(OR(R427="si",R427="tal vez"),1,0))</f>
        <v/>
      </c>
      <c r="T427" s="25">
        <f>IF(AND(L427=1,D427&lt;&gt;""),IF(IFERROR(COUNTIFS(D$3:D427,"="&amp;SUBSTITUTE(SUBSTITUTE(SUBSTITUTE(D427,"~","~~"),"*","~*"),"?","~?"),L$3:L427,1),0)=1,MAX(T$2:T426)+1,""),"")</f>
        <v/>
      </c>
      <c r="U427" s="25">
        <f>IF(T427="","",COUNTIFS($D$3:$D$1002,"="&amp;SUBSTITUTE(SUBSTITUTE(SUBSTITUTE(D427,"~","~~"),"*","~*"),"?","~?"),$L$3:$L$1002,1)*10000-T427)</f>
        <v/>
      </c>
      <c r="V427" s="25">
        <f>IF(AND(L427=1,J427&lt;&gt;""),IF(IFERROR(COUNTIFS(J$3:J427,"="&amp;SUBSTITUTE(SUBSTITUTE(SUBSTITUTE(J427,"~","~~"),"*","~*"),"?","~?"),L$3:L427,1),0)=1,MAX(V$2:V426)+1,""),"")</f>
        <v/>
      </c>
      <c r="W427" s="25">
        <f>IF(V427="","",COUNTIFS($J$3:$J$1002,"="&amp;SUBSTITUTE(SUBSTITUTE(SUBSTITUTE(J427,"~","~~"),"*","~*"),"?","~?"),$L$3:$L$1002,1)*10000-V427)</f>
        <v/>
      </c>
    </row>
    <row r="428">
      <c r="A428">
        <f>IF(A$2=0,"",IFERROR(TRIM(INDEX('Pegar estudiantes'!$A$1:$BZ$1001,427,A$2)&amp;""),""))</f>
        <v/>
      </c>
      <c r="B428">
        <f>IF(B$2=0,"",IFERROR(TRIM(INDEX('Pegar estudiantes'!$A$1:$BZ$1001,427,B$2)&amp;""),""))</f>
        <v/>
      </c>
      <c r="C428">
        <f>IF(C$2=0,"",IFERROR(TRIM(INDEX('Pegar estudiantes'!$A$1:$BZ$1001,427,C$2)&amp;""),""))</f>
        <v/>
      </c>
      <c r="D428">
        <f>IF(D$2=0,"",IFERROR(TRIM(INDEX('Pegar estudiantes'!$A$1:$BZ$1001,427,D$2)&amp;""),""))</f>
        <v/>
      </c>
      <c r="E428">
        <f>IF(E$2=0,"",IFERROR(TRIM(INDEX('Pegar estudiantes'!$A$1:$BZ$1001,427,E$2)&amp;""),""))</f>
        <v/>
      </c>
      <c r="F428">
        <f>IF(F$2=0,"",IFERROR(TRIM(INDEX('Pegar estudiantes'!$A$1:$BZ$1001,427,F$2)&amp;""),""))</f>
        <v/>
      </c>
      <c r="G428">
        <f>IF(G$2=0,"",IFERROR(TRIM(INDEX('Pegar estudiantes'!$A$1:$BZ$1001,427,G$2)&amp;""),""))</f>
        <v/>
      </c>
      <c r="H428">
        <f>IF(H$2=0,"",IFERROR(TRIM(INDEX('Pegar estudiantes'!$A$1:$BZ$1001,427,H$2)&amp;""),""))</f>
        <v/>
      </c>
      <c r="I428">
        <f>IF(I$2=0,"",IFERROR(TRIM(INDEX('Pegar estudiantes'!$A$1:$BZ$1001,427,I$2)&amp;""),""))</f>
        <v/>
      </c>
      <c r="J428">
        <f>IF(J$2=0,"",IFERROR(TRIM(INDEX('Pegar estudiantes'!$A$1:$BZ$1001,427,J$2)&amp;""),""))</f>
        <v/>
      </c>
      <c r="K428">
        <f>IF(K$2=0,"",IFERROR(TRIM(INDEX('Pegar estudiantes'!$A$1:$BZ$1001,427,K$2)&amp;""),""))</f>
        <v/>
      </c>
      <c r="L428" s="25">
        <f>IF(A428&lt;&gt;"",1,"")</f>
        <v/>
      </c>
      <c r="M428" s="25">
        <f>IF(L428=1,IF(ISNUMBER(FIND("#"&amp;MID(A428,1,1)&amp;"#","#0#1#2#3#4#5#6#7#8#9#")),IF(ISNUMBER(FIND("#"&amp;MID(A428,2,1)&amp;"#","#0#1#2#3#4#5#6#7#8#9#")),IF(AND(VALUE(LEFT(A428,2))&gt;=1,VALUE(LEFT(A428,2))&lt;=5),VALUE(LEFT(A428,2)),""),IF(AND(VALUE(LEFT(A428,1))&gt;=1,VALUE(LEFT(A428,1))&lt;=5),VALUE(LEFT(A428,1)),"")),""),"")</f>
        <v/>
      </c>
      <c r="N428" s="25">
        <f>IF(L428=1,IF(ISNUMBER(FIND("#"&amp;MID(H428,1,1)&amp;"#","#0#1#2#3#4#5#6#7#8#9#")),IF(ISNUMBER(FIND("#"&amp;MID(H428,2,1)&amp;"#","#0#1#2#3#4#5#6#7#8#9#")),IF(AND(VALUE(LEFT(H428,2))&gt;=1,VALUE(LEFT(H428,2))&lt;=5),VALUE(LEFT(H428,2)),""),IF(AND(VALUE(LEFT(H428,1))&gt;=1,VALUE(LEFT(H428,1))&lt;=5),VALUE(LEFT(H428,1)),"")),""),"")</f>
        <v/>
      </c>
      <c r="O428" s="25">
        <f>IF(AND(L428=1,B428&lt;&gt;""),SUBSTITUTE(SUBSTITUTE(SUBSTITUTE(SUBSTITUTE(SUBSTITUTE(SUBSTITUTE(SUBSTITUTE(SUBSTITUTE(SUBSTITUTE(SUBSTITUTE(SUBSTITUTE(SUBSTITUTE(LOWER(TRIM(B428)),"á","a"),"é","e"),"í","i"),"ó","o"),"ú","u"),"ü","u"),"ñ","n"),"à","a"),"è","e"),"ì","i"),"ò","o"),"ù","u"),"")</f>
        <v/>
      </c>
      <c r="P428" s="25">
        <f>IF(AND(L428=1,C428&lt;&gt;""),SUBSTITUTE(SUBSTITUTE(SUBSTITUTE(SUBSTITUTE(SUBSTITUTE(SUBSTITUTE(SUBSTITUTE(SUBSTITUTE(SUBSTITUTE(SUBSTITUTE(SUBSTITUTE(SUBSTITUTE(LOWER(TRIM(C428)),"á","a"),"é","e"),"í","i"),"ó","o"),"ú","u"),"ü","u"),"ñ","n"),"à","a"),"è","e"),"ì","i"),"ò","o"),"ù","u"),"")</f>
        <v/>
      </c>
      <c r="Q428" s="25">
        <f>IF(AND(L428=1,E428&lt;&gt;""),SUBSTITUTE(SUBSTITUTE(SUBSTITUTE(SUBSTITUTE(SUBSTITUTE(SUBSTITUTE(SUBSTITUTE(SUBSTITUTE(SUBSTITUTE(SUBSTITUTE(SUBSTITUTE(SUBSTITUTE(LOWER(TRIM(E428)),"á","a"),"é","e"),"í","i"),"ó","o"),"ú","u"),"ü","u"),"ñ","n"),"à","a"),"è","e"),"ì","i"),"ò","o"),"ù","u"),"")</f>
        <v/>
      </c>
      <c r="R428" s="25">
        <f>IF(AND(L428=1,I428&lt;&gt;""),SUBSTITUTE(SUBSTITUTE(SUBSTITUTE(SUBSTITUTE(SUBSTITUTE(SUBSTITUTE(SUBSTITUTE(SUBSTITUTE(SUBSTITUTE(SUBSTITUTE(SUBSTITUTE(SUBSTITUTE(LOWER(TRIM(I428)),"á","a"),"é","e"),"í","i"),"ó","o"),"ú","u"),"ü","u"),"ñ","n"),"à","a"),"è","e"),"ì","i"),"ò","o"),"ù","u"),"")</f>
        <v/>
      </c>
      <c r="S428" s="25">
        <f>IF(R428="","",IF(OR(R428="si",R428="tal vez"),1,0))</f>
        <v/>
      </c>
      <c r="T428" s="25">
        <f>IF(AND(L428=1,D428&lt;&gt;""),IF(IFERROR(COUNTIFS(D$3:D428,"="&amp;SUBSTITUTE(SUBSTITUTE(SUBSTITUTE(D428,"~","~~"),"*","~*"),"?","~?"),L$3:L428,1),0)=1,MAX(T$2:T427)+1,""),"")</f>
        <v/>
      </c>
      <c r="U428" s="25">
        <f>IF(T428="","",COUNTIFS($D$3:$D$1002,"="&amp;SUBSTITUTE(SUBSTITUTE(SUBSTITUTE(D428,"~","~~"),"*","~*"),"?","~?"),$L$3:$L$1002,1)*10000-T428)</f>
        <v/>
      </c>
      <c r="V428" s="25">
        <f>IF(AND(L428=1,J428&lt;&gt;""),IF(IFERROR(COUNTIFS(J$3:J428,"="&amp;SUBSTITUTE(SUBSTITUTE(SUBSTITUTE(J428,"~","~~"),"*","~*"),"?","~?"),L$3:L428,1),0)=1,MAX(V$2:V427)+1,""),"")</f>
        <v/>
      </c>
      <c r="W428" s="25">
        <f>IF(V428="","",COUNTIFS($J$3:$J$1002,"="&amp;SUBSTITUTE(SUBSTITUTE(SUBSTITUTE(J428,"~","~~"),"*","~*"),"?","~?"),$L$3:$L$1002,1)*10000-V428)</f>
        <v/>
      </c>
    </row>
    <row r="429">
      <c r="A429">
        <f>IF(A$2=0,"",IFERROR(TRIM(INDEX('Pegar estudiantes'!$A$1:$BZ$1001,428,A$2)&amp;""),""))</f>
        <v/>
      </c>
      <c r="B429">
        <f>IF(B$2=0,"",IFERROR(TRIM(INDEX('Pegar estudiantes'!$A$1:$BZ$1001,428,B$2)&amp;""),""))</f>
        <v/>
      </c>
      <c r="C429">
        <f>IF(C$2=0,"",IFERROR(TRIM(INDEX('Pegar estudiantes'!$A$1:$BZ$1001,428,C$2)&amp;""),""))</f>
        <v/>
      </c>
      <c r="D429">
        <f>IF(D$2=0,"",IFERROR(TRIM(INDEX('Pegar estudiantes'!$A$1:$BZ$1001,428,D$2)&amp;""),""))</f>
        <v/>
      </c>
      <c r="E429">
        <f>IF(E$2=0,"",IFERROR(TRIM(INDEX('Pegar estudiantes'!$A$1:$BZ$1001,428,E$2)&amp;""),""))</f>
        <v/>
      </c>
      <c r="F429">
        <f>IF(F$2=0,"",IFERROR(TRIM(INDEX('Pegar estudiantes'!$A$1:$BZ$1001,428,F$2)&amp;""),""))</f>
        <v/>
      </c>
      <c r="G429">
        <f>IF(G$2=0,"",IFERROR(TRIM(INDEX('Pegar estudiantes'!$A$1:$BZ$1001,428,G$2)&amp;""),""))</f>
        <v/>
      </c>
      <c r="H429">
        <f>IF(H$2=0,"",IFERROR(TRIM(INDEX('Pegar estudiantes'!$A$1:$BZ$1001,428,H$2)&amp;""),""))</f>
        <v/>
      </c>
      <c r="I429">
        <f>IF(I$2=0,"",IFERROR(TRIM(INDEX('Pegar estudiantes'!$A$1:$BZ$1001,428,I$2)&amp;""),""))</f>
        <v/>
      </c>
      <c r="J429">
        <f>IF(J$2=0,"",IFERROR(TRIM(INDEX('Pegar estudiantes'!$A$1:$BZ$1001,428,J$2)&amp;""),""))</f>
        <v/>
      </c>
      <c r="K429">
        <f>IF(K$2=0,"",IFERROR(TRIM(INDEX('Pegar estudiantes'!$A$1:$BZ$1001,428,K$2)&amp;""),""))</f>
        <v/>
      </c>
      <c r="L429" s="25">
        <f>IF(A429&lt;&gt;"",1,"")</f>
        <v/>
      </c>
      <c r="M429" s="25">
        <f>IF(L429=1,IF(ISNUMBER(FIND("#"&amp;MID(A429,1,1)&amp;"#","#0#1#2#3#4#5#6#7#8#9#")),IF(ISNUMBER(FIND("#"&amp;MID(A429,2,1)&amp;"#","#0#1#2#3#4#5#6#7#8#9#")),IF(AND(VALUE(LEFT(A429,2))&gt;=1,VALUE(LEFT(A429,2))&lt;=5),VALUE(LEFT(A429,2)),""),IF(AND(VALUE(LEFT(A429,1))&gt;=1,VALUE(LEFT(A429,1))&lt;=5),VALUE(LEFT(A429,1)),"")),""),"")</f>
        <v/>
      </c>
      <c r="N429" s="25">
        <f>IF(L429=1,IF(ISNUMBER(FIND("#"&amp;MID(H429,1,1)&amp;"#","#0#1#2#3#4#5#6#7#8#9#")),IF(ISNUMBER(FIND("#"&amp;MID(H429,2,1)&amp;"#","#0#1#2#3#4#5#6#7#8#9#")),IF(AND(VALUE(LEFT(H429,2))&gt;=1,VALUE(LEFT(H429,2))&lt;=5),VALUE(LEFT(H429,2)),""),IF(AND(VALUE(LEFT(H429,1))&gt;=1,VALUE(LEFT(H429,1))&lt;=5),VALUE(LEFT(H429,1)),"")),""),"")</f>
        <v/>
      </c>
      <c r="O429" s="25">
        <f>IF(AND(L429=1,B429&lt;&gt;""),SUBSTITUTE(SUBSTITUTE(SUBSTITUTE(SUBSTITUTE(SUBSTITUTE(SUBSTITUTE(SUBSTITUTE(SUBSTITUTE(SUBSTITUTE(SUBSTITUTE(SUBSTITUTE(SUBSTITUTE(LOWER(TRIM(B429)),"á","a"),"é","e"),"í","i"),"ó","o"),"ú","u"),"ü","u"),"ñ","n"),"à","a"),"è","e"),"ì","i"),"ò","o"),"ù","u"),"")</f>
        <v/>
      </c>
      <c r="P429" s="25">
        <f>IF(AND(L429=1,C429&lt;&gt;""),SUBSTITUTE(SUBSTITUTE(SUBSTITUTE(SUBSTITUTE(SUBSTITUTE(SUBSTITUTE(SUBSTITUTE(SUBSTITUTE(SUBSTITUTE(SUBSTITUTE(SUBSTITUTE(SUBSTITUTE(LOWER(TRIM(C429)),"á","a"),"é","e"),"í","i"),"ó","o"),"ú","u"),"ü","u"),"ñ","n"),"à","a"),"è","e"),"ì","i"),"ò","o"),"ù","u"),"")</f>
        <v/>
      </c>
      <c r="Q429" s="25">
        <f>IF(AND(L429=1,E429&lt;&gt;""),SUBSTITUTE(SUBSTITUTE(SUBSTITUTE(SUBSTITUTE(SUBSTITUTE(SUBSTITUTE(SUBSTITUTE(SUBSTITUTE(SUBSTITUTE(SUBSTITUTE(SUBSTITUTE(SUBSTITUTE(LOWER(TRIM(E429)),"á","a"),"é","e"),"í","i"),"ó","o"),"ú","u"),"ü","u"),"ñ","n"),"à","a"),"è","e"),"ì","i"),"ò","o"),"ù","u"),"")</f>
        <v/>
      </c>
      <c r="R429" s="25">
        <f>IF(AND(L429=1,I429&lt;&gt;""),SUBSTITUTE(SUBSTITUTE(SUBSTITUTE(SUBSTITUTE(SUBSTITUTE(SUBSTITUTE(SUBSTITUTE(SUBSTITUTE(SUBSTITUTE(SUBSTITUTE(SUBSTITUTE(SUBSTITUTE(LOWER(TRIM(I429)),"á","a"),"é","e"),"í","i"),"ó","o"),"ú","u"),"ü","u"),"ñ","n"),"à","a"),"è","e"),"ì","i"),"ò","o"),"ù","u"),"")</f>
        <v/>
      </c>
      <c r="S429" s="25">
        <f>IF(R429="","",IF(OR(R429="si",R429="tal vez"),1,0))</f>
        <v/>
      </c>
      <c r="T429" s="25">
        <f>IF(AND(L429=1,D429&lt;&gt;""),IF(IFERROR(COUNTIFS(D$3:D429,"="&amp;SUBSTITUTE(SUBSTITUTE(SUBSTITUTE(D429,"~","~~"),"*","~*"),"?","~?"),L$3:L429,1),0)=1,MAX(T$2:T428)+1,""),"")</f>
        <v/>
      </c>
      <c r="U429" s="25">
        <f>IF(T429="","",COUNTIFS($D$3:$D$1002,"="&amp;SUBSTITUTE(SUBSTITUTE(SUBSTITUTE(D429,"~","~~"),"*","~*"),"?","~?"),$L$3:$L$1002,1)*10000-T429)</f>
        <v/>
      </c>
      <c r="V429" s="25">
        <f>IF(AND(L429=1,J429&lt;&gt;""),IF(IFERROR(COUNTIFS(J$3:J429,"="&amp;SUBSTITUTE(SUBSTITUTE(SUBSTITUTE(J429,"~","~~"),"*","~*"),"?","~?"),L$3:L429,1),0)=1,MAX(V$2:V428)+1,""),"")</f>
        <v/>
      </c>
      <c r="W429" s="25">
        <f>IF(V429="","",COUNTIFS($J$3:$J$1002,"="&amp;SUBSTITUTE(SUBSTITUTE(SUBSTITUTE(J429,"~","~~"),"*","~*"),"?","~?"),$L$3:$L$1002,1)*10000-V429)</f>
        <v/>
      </c>
    </row>
    <row r="430">
      <c r="A430">
        <f>IF(A$2=0,"",IFERROR(TRIM(INDEX('Pegar estudiantes'!$A$1:$BZ$1001,429,A$2)&amp;""),""))</f>
        <v/>
      </c>
      <c r="B430">
        <f>IF(B$2=0,"",IFERROR(TRIM(INDEX('Pegar estudiantes'!$A$1:$BZ$1001,429,B$2)&amp;""),""))</f>
        <v/>
      </c>
      <c r="C430">
        <f>IF(C$2=0,"",IFERROR(TRIM(INDEX('Pegar estudiantes'!$A$1:$BZ$1001,429,C$2)&amp;""),""))</f>
        <v/>
      </c>
      <c r="D430">
        <f>IF(D$2=0,"",IFERROR(TRIM(INDEX('Pegar estudiantes'!$A$1:$BZ$1001,429,D$2)&amp;""),""))</f>
        <v/>
      </c>
      <c r="E430">
        <f>IF(E$2=0,"",IFERROR(TRIM(INDEX('Pegar estudiantes'!$A$1:$BZ$1001,429,E$2)&amp;""),""))</f>
        <v/>
      </c>
      <c r="F430">
        <f>IF(F$2=0,"",IFERROR(TRIM(INDEX('Pegar estudiantes'!$A$1:$BZ$1001,429,F$2)&amp;""),""))</f>
        <v/>
      </c>
      <c r="G430">
        <f>IF(G$2=0,"",IFERROR(TRIM(INDEX('Pegar estudiantes'!$A$1:$BZ$1001,429,G$2)&amp;""),""))</f>
        <v/>
      </c>
      <c r="H430">
        <f>IF(H$2=0,"",IFERROR(TRIM(INDEX('Pegar estudiantes'!$A$1:$BZ$1001,429,H$2)&amp;""),""))</f>
        <v/>
      </c>
      <c r="I430">
        <f>IF(I$2=0,"",IFERROR(TRIM(INDEX('Pegar estudiantes'!$A$1:$BZ$1001,429,I$2)&amp;""),""))</f>
        <v/>
      </c>
      <c r="J430">
        <f>IF(J$2=0,"",IFERROR(TRIM(INDEX('Pegar estudiantes'!$A$1:$BZ$1001,429,J$2)&amp;""),""))</f>
        <v/>
      </c>
      <c r="K430">
        <f>IF(K$2=0,"",IFERROR(TRIM(INDEX('Pegar estudiantes'!$A$1:$BZ$1001,429,K$2)&amp;""),""))</f>
        <v/>
      </c>
      <c r="L430" s="25">
        <f>IF(A430&lt;&gt;"",1,"")</f>
        <v/>
      </c>
      <c r="M430" s="25">
        <f>IF(L430=1,IF(ISNUMBER(FIND("#"&amp;MID(A430,1,1)&amp;"#","#0#1#2#3#4#5#6#7#8#9#")),IF(ISNUMBER(FIND("#"&amp;MID(A430,2,1)&amp;"#","#0#1#2#3#4#5#6#7#8#9#")),IF(AND(VALUE(LEFT(A430,2))&gt;=1,VALUE(LEFT(A430,2))&lt;=5),VALUE(LEFT(A430,2)),""),IF(AND(VALUE(LEFT(A430,1))&gt;=1,VALUE(LEFT(A430,1))&lt;=5),VALUE(LEFT(A430,1)),"")),""),"")</f>
        <v/>
      </c>
      <c r="N430" s="25">
        <f>IF(L430=1,IF(ISNUMBER(FIND("#"&amp;MID(H430,1,1)&amp;"#","#0#1#2#3#4#5#6#7#8#9#")),IF(ISNUMBER(FIND("#"&amp;MID(H430,2,1)&amp;"#","#0#1#2#3#4#5#6#7#8#9#")),IF(AND(VALUE(LEFT(H430,2))&gt;=1,VALUE(LEFT(H430,2))&lt;=5),VALUE(LEFT(H430,2)),""),IF(AND(VALUE(LEFT(H430,1))&gt;=1,VALUE(LEFT(H430,1))&lt;=5),VALUE(LEFT(H430,1)),"")),""),"")</f>
        <v/>
      </c>
      <c r="O430" s="25">
        <f>IF(AND(L430=1,B430&lt;&gt;""),SUBSTITUTE(SUBSTITUTE(SUBSTITUTE(SUBSTITUTE(SUBSTITUTE(SUBSTITUTE(SUBSTITUTE(SUBSTITUTE(SUBSTITUTE(SUBSTITUTE(SUBSTITUTE(SUBSTITUTE(LOWER(TRIM(B430)),"á","a"),"é","e"),"í","i"),"ó","o"),"ú","u"),"ü","u"),"ñ","n"),"à","a"),"è","e"),"ì","i"),"ò","o"),"ù","u"),"")</f>
        <v/>
      </c>
      <c r="P430" s="25">
        <f>IF(AND(L430=1,C430&lt;&gt;""),SUBSTITUTE(SUBSTITUTE(SUBSTITUTE(SUBSTITUTE(SUBSTITUTE(SUBSTITUTE(SUBSTITUTE(SUBSTITUTE(SUBSTITUTE(SUBSTITUTE(SUBSTITUTE(SUBSTITUTE(LOWER(TRIM(C430)),"á","a"),"é","e"),"í","i"),"ó","o"),"ú","u"),"ü","u"),"ñ","n"),"à","a"),"è","e"),"ì","i"),"ò","o"),"ù","u"),"")</f>
        <v/>
      </c>
      <c r="Q430" s="25">
        <f>IF(AND(L430=1,E430&lt;&gt;""),SUBSTITUTE(SUBSTITUTE(SUBSTITUTE(SUBSTITUTE(SUBSTITUTE(SUBSTITUTE(SUBSTITUTE(SUBSTITUTE(SUBSTITUTE(SUBSTITUTE(SUBSTITUTE(SUBSTITUTE(LOWER(TRIM(E430)),"á","a"),"é","e"),"í","i"),"ó","o"),"ú","u"),"ü","u"),"ñ","n"),"à","a"),"è","e"),"ì","i"),"ò","o"),"ù","u"),"")</f>
        <v/>
      </c>
      <c r="R430" s="25">
        <f>IF(AND(L430=1,I430&lt;&gt;""),SUBSTITUTE(SUBSTITUTE(SUBSTITUTE(SUBSTITUTE(SUBSTITUTE(SUBSTITUTE(SUBSTITUTE(SUBSTITUTE(SUBSTITUTE(SUBSTITUTE(SUBSTITUTE(SUBSTITUTE(LOWER(TRIM(I430)),"á","a"),"é","e"),"í","i"),"ó","o"),"ú","u"),"ü","u"),"ñ","n"),"à","a"),"è","e"),"ì","i"),"ò","o"),"ù","u"),"")</f>
        <v/>
      </c>
      <c r="S430" s="25">
        <f>IF(R430="","",IF(OR(R430="si",R430="tal vez"),1,0))</f>
        <v/>
      </c>
      <c r="T430" s="25">
        <f>IF(AND(L430=1,D430&lt;&gt;""),IF(IFERROR(COUNTIFS(D$3:D430,"="&amp;SUBSTITUTE(SUBSTITUTE(SUBSTITUTE(D430,"~","~~"),"*","~*"),"?","~?"),L$3:L430,1),0)=1,MAX(T$2:T429)+1,""),"")</f>
        <v/>
      </c>
      <c r="U430" s="25">
        <f>IF(T430="","",COUNTIFS($D$3:$D$1002,"="&amp;SUBSTITUTE(SUBSTITUTE(SUBSTITUTE(D430,"~","~~"),"*","~*"),"?","~?"),$L$3:$L$1002,1)*10000-T430)</f>
        <v/>
      </c>
      <c r="V430" s="25">
        <f>IF(AND(L430=1,J430&lt;&gt;""),IF(IFERROR(COUNTIFS(J$3:J430,"="&amp;SUBSTITUTE(SUBSTITUTE(SUBSTITUTE(J430,"~","~~"),"*","~*"),"?","~?"),L$3:L430,1),0)=1,MAX(V$2:V429)+1,""),"")</f>
        <v/>
      </c>
      <c r="W430" s="25">
        <f>IF(V430="","",COUNTIFS($J$3:$J$1002,"="&amp;SUBSTITUTE(SUBSTITUTE(SUBSTITUTE(J430,"~","~~"),"*","~*"),"?","~?"),$L$3:$L$1002,1)*10000-V430)</f>
        <v/>
      </c>
    </row>
    <row r="431">
      <c r="A431">
        <f>IF(A$2=0,"",IFERROR(TRIM(INDEX('Pegar estudiantes'!$A$1:$BZ$1001,430,A$2)&amp;""),""))</f>
        <v/>
      </c>
      <c r="B431">
        <f>IF(B$2=0,"",IFERROR(TRIM(INDEX('Pegar estudiantes'!$A$1:$BZ$1001,430,B$2)&amp;""),""))</f>
        <v/>
      </c>
      <c r="C431">
        <f>IF(C$2=0,"",IFERROR(TRIM(INDEX('Pegar estudiantes'!$A$1:$BZ$1001,430,C$2)&amp;""),""))</f>
        <v/>
      </c>
      <c r="D431">
        <f>IF(D$2=0,"",IFERROR(TRIM(INDEX('Pegar estudiantes'!$A$1:$BZ$1001,430,D$2)&amp;""),""))</f>
        <v/>
      </c>
      <c r="E431">
        <f>IF(E$2=0,"",IFERROR(TRIM(INDEX('Pegar estudiantes'!$A$1:$BZ$1001,430,E$2)&amp;""),""))</f>
        <v/>
      </c>
      <c r="F431">
        <f>IF(F$2=0,"",IFERROR(TRIM(INDEX('Pegar estudiantes'!$A$1:$BZ$1001,430,F$2)&amp;""),""))</f>
        <v/>
      </c>
      <c r="G431">
        <f>IF(G$2=0,"",IFERROR(TRIM(INDEX('Pegar estudiantes'!$A$1:$BZ$1001,430,G$2)&amp;""),""))</f>
        <v/>
      </c>
      <c r="H431">
        <f>IF(H$2=0,"",IFERROR(TRIM(INDEX('Pegar estudiantes'!$A$1:$BZ$1001,430,H$2)&amp;""),""))</f>
        <v/>
      </c>
      <c r="I431">
        <f>IF(I$2=0,"",IFERROR(TRIM(INDEX('Pegar estudiantes'!$A$1:$BZ$1001,430,I$2)&amp;""),""))</f>
        <v/>
      </c>
      <c r="J431">
        <f>IF(J$2=0,"",IFERROR(TRIM(INDEX('Pegar estudiantes'!$A$1:$BZ$1001,430,J$2)&amp;""),""))</f>
        <v/>
      </c>
      <c r="K431">
        <f>IF(K$2=0,"",IFERROR(TRIM(INDEX('Pegar estudiantes'!$A$1:$BZ$1001,430,K$2)&amp;""),""))</f>
        <v/>
      </c>
      <c r="L431" s="25">
        <f>IF(A431&lt;&gt;"",1,"")</f>
        <v/>
      </c>
      <c r="M431" s="25">
        <f>IF(L431=1,IF(ISNUMBER(FIND("#"&amp;MID(A431,1,1)&amp;"#","#0#1#2#3#4#5#6#7#8#9#")),IF(ISNUMBER(FIND("#"&amp;MID(A431,2,1)&amp;"#","#0#1#2#3#4#5#6#7#8#9#")),IF(AND(VALUE(LEFT(A431,2))&gt;=1,VALUE(LEFT(A431,2))&lt;=5),VALUE(LEFT(A431,2)),""),IF(AND(VALUE(LEFT(A431,1))&gt;=1,VALUE(LEFT(A431,1))&lt;=5),VALUE(LEFT(A431,1)),"")),""),"")</f>
        <v/>
      </c>
      <c r="N431" s="25">
        <f>IF(L431=1,IF(ISNUMBER(FIND("#"&amp;MID(H431,1,1)&amp;"#","#0#1#2#3#4#5#6#7#8#9#")),IF(ISNUMBER(FIND("#"&amp;MID(H431,2,1)&amp;"#","#0#1#2#3#4#5#6#7#8#9#")),IF(AND(VALUE(LEFT(H431,2))&gt;=1,VALUE(LEFT(H431,2))&lt;=5),VALUE(LEFT(H431,2)),""),IF(AND(VALUE(LEFT(H431,1))&gt;=1,VALUE(LEFT(H431,1))&lt;=5),VALUE(LEFT(H431,1)),"")),""),"")</f>
        <v/>
      </c>
      <c r="O431" s="25">
        <f>IF(AND(L431=1,B431&lt;&gt;""),SUBSTITUTE(SUBSTITUTE(SUBSTITUTE(SUBSTITUTE(SUBSTITUTE(SUBSTITUTE(SUBSTITUTE(SUBSTITUTE(SUBSTITUTE(SUBSTITUTE(SUBSTITUTE(SUBSTITUTE(LOWER(TRIM(B431)),"á","a"),"é","e"),"í","i"),"ó","o"),"ú","u"),"ü","u"),"ñ","n"),"à","a"),"è","e"),"ì","i"),"ò","o"),"ù","u"),"")</f>
        <v/>
      </c>
      <c r="P431" s="25">
        <f>IF(AND(L431=1,C431&lt;&gt;""),SUBSTITUTE(SUBSTITUTE(SUBSTITUTE(SUBSTITUTE(SUBSTITUTE(SUBSTITUTE(SUBSTITUTE(SUBSTITUTE(SUBSTITUTE(SUBSTITUTE(SUBSTITUTE(SUBSTITUTE(LOWER(TRIM(C431)),"á","a"),"é","e"),"í","i"),"ó","o"),"ú","u"),"ü","u"),"ñ","n"),"à","a"),"è","e"),"ì","i"),"ò","o"),"ù","u"),"")</f>
        <v/>
      </c>
      <c r="Q431" s="25">
        <f>IF(AND(L431=1,E431&lt;&gt;""),SUBSTITUTE(SUBSTITUTE(SUBSTITUTE(SUBSTITUTE(SUBSTITUTE(SUBSTITUTE(SUBSTITUTE(SUBSTITUTE(SUBSTITUTE(SUBSTITUTE(SUBSTITUTE(SUBSTITUTE(LOWER(TRIM(E431)),"á","a"),"é","e"),"í","i"),"ó","o"),"ú","u"),"ü","u"),"ñ","n"),"à","a"),"è","e"),"ì","i"),"ò","o"),"ù","u"),"")</f>
        <v/>
      </c>
      <c r="R431" s="25">
        <f>IF(AND(L431=1,I431&lt;&gt;""),SUBSTITUTE(SUBSTITUTE(SUBSTITUTE(SUBSTITUTE(SUBSTITUTE(SUBSTITUTE(SUBSTITUTE(SUBSTITUTE(SUBSTITUTE(SUBSTITUTE(SUBSTITUTE(SUBSTITUTE(LOWER(TRIM(I431)),"á","a"),"é","e"),"í","i"),"ó","o"),"ú","u"),"ü","u"),"ñ","n"),"à","a"),"è","e"),"ì","i"),"ò","o"),"ù","u"),"")</f>
        <v/>
      </c>
      <c r="S431" s="25">
        <f>IF(R431="","",IF(OR(R431="si",R431="tal vez"),1,0))</f>
        <v/>
      </c>
      <c r="T431" s="25">
        <f>IF(AND(L431=1,D431&lt;&gt;""),IF(IFERROR(COUNTIFS(D$3:D431,"="&amp;SUBSTITUTE(SUBSTITUTE(SUBSTITUTE(D431,"~","~~"),"*","~*"),"?","~?"),L$3:L431,1),0)=1,MAX(T$2:T430)+1,""),"")</f>
        <v/>
      </c>
      <c r="U431" s="25">
        <f>IF(T431="","",COUNTIFS($D$3:$D$1002,"="&amp;SUBSTITUTE(SUBSTITUTE(SUBSTITUTE(D431,"~","~~"),"*","~*"),"?","~?"),$L$3:$L$1002,1)*10000-T431)</f>
        <v/>
      </c>
      <c r="V431" s="25">
        <f>IF(AND(L431=1,J431&lt;&gt;""),IF(IFERROR(COUNTIFS(J$3:J431,"="&amp;SUBSTITUTE(SUBSTITUTE(SUBSTITUTE(J431,"~","~~"),"*","~*"),"?","~?"),L$3:L431,1),0)=1,MAX(V$2:V430)+1,""),"")</f>
        <v/>
      </c>
      <c r="W431" s="25">
        <f>IF(V431="","",COUNTIFS($J$3:$J$1002,"="&amp;SUBSTITUTE(SUBSTITUTE(SUBSTITUTE(J431,"~","~~"),"*","~*"),"?","~?"),$L$3:$L$1002,1)*10000-V431)</f>
        <v/>
      </c>
    </row>
    <row r="432">
      <c r="A432">
        <f>IF(A$2=0,"",IFERROR(TRIM(INDEX('Pegar estudiantes'!$A$1:$BZ$1001,431,A$2)&amp;""),""))</f>
        <v/>
      </c>
      <c r="B432">
        <f>IF(B$2=0,"",IFERROR(TRIM(INDEX('Pegar estudiantes'!$A$1:$BZ$1001,431,B$2)&amp;""),""))</f>
        <v/>
      </c>
      <c r="C432">
        <f>IF(C$2=0,"",IFERROR(TRIM(INDEX('Pegar estudiantes'!$A$1:$BZ$1001,431,C$2)&amp;""),""))</f>
        <v/>
      </c>
      <c r="D432">
        <f>IF(D$2=0,"",IFERROR(TRIM(INDEX('Pegar estudiantes'!$A$1:$BZ$1001,431,D$2)&amp;""),""))</f>
        <v/>
      </c>
      <c r="E432">
        <f>IF(E$2=0,"",IFERROR(TRIM(INDEX('Pegar estudiantes'!$A$1:$BZ$1001,431,E$2)&amp;""),""))</f>
        <v/>
      </c>
      <c r="F432">
        <f>IF(F$2=0,"",IFERROR(TRIM(INDEX('Pegar estudiantes'!$A$1:$BZ$1001,431,F$2)&amp;""),""))</f>
        <v/>
      </c>
      <c r="G432">
        <f>IF(G$2=0,"",IFERROR(TRIM(INDEX('Pegar estudiantes'!$A$1:$BZ$1001,431,G$2)&amp;""),""))</f>
        <v/>
      </c>
      <c r="H432">
        <f>IF(H$2=0,"",IFERROR(TRIM(INDEX('Pegar estudiantes'!$A$1:$BZ$1001,431,H$2)&amp;""),""))</f>
        <v/>
      </c>
      <c r="I432">
        <f>IF(I$2=0,"",IFERROR(TRIM(INDEX('Pegar estudiantes'!$A$1:$BZ$1001,431,I$2)&amp;""),""))</f>
        <v/>
      </c>
      <c r="J432">
        <f>IF(J$2=0,"",IFERROR(TRIM(INDEX('Pegar estudiantes'!$A$1:$BZ$1001,431,J$2)&amp;""),""))</f>
        <v/>
      </c>
      <c r="K432">
        <f>IF(K$2=0,"",IFERROR(TRIM(INDEX('Pegar estudiantes'!$A$1:$BZ$1001,431,K$2)&amp;""),""))</f>
        <v/>
      </c>
      <c r="L432" s="25">
        <f>IF(A432&lt;&gt;"",1,"")</f>
        <v/>
      </c>
      <c r="M432" s="25">
        <f>IF(L432=1,IF(ISNUMBER(FIND("#"&amp;MID(A432,1,1)&amp;"#","#0#1#2#3#4#5#6#7#8#9#")),IF(ISNUMBER(FIND("#"&amp;MID(A432,2,1)&amp;"#","#0#1#2#3#4#5#6#7#8#9#")),IF(AND(VALUE(LEFT(A432,2))&gt;=1,VALUE(LEFT(A432,2))&lt;=5),VALUE(LEFT(A432,2)),""),IF(AND(VALUE(LEFT(A432,1))&gt;=1,VALUE(LEFT(A432,1))&lt;=5),VALUE(LEFT(A432,1)),"")),""),"")</f>
        <v/>
      </c>
      <c r="N432" s="25">
        <f>IF(L432=1,IF(ISNUMBER(FIND("#"&amp;MID(H432,1,1)&amp;"#","#0#1#2#3#4#5#6#7#8#9#")),IF(ISNUMBER(FIND("#"&amp;MID(H432,2,1)&amp;"#","#0#1#2#3#4#5#6#7#8#9#")),IF(AND(VALUE(LEFT(H432,2))&gt;=1,VALUE(LEFT(H432,2))&lt;=5),VALUE(LEFT(H432,2)),""),IF(AND(VALUE(LEFT(H432,1))&gt;=1,VALUE(LEFT(H432,1))&lt;=5),VALUE(LEFT(H432,1)),"")),""),"")</f>
        <v/>
      </c>
      <c r="O432" s="25">
        <f>IF(AND(L432=1,B432&lt;&gt;""),SUBSTITUTE(SUBSTITUTE(SUBSTITUTE(SUBSTITUTE(SUBSTITUTE(SUBSTITUTE(SUBSTITUTE(SUBSTITUTE(SUBSTITUTE(SUBSTITUTE(SUBSTITUTE(SUBSTITUTE(LOWER(TRIM(B432)),"á","a"),"é","e"),"í","i"),"ó","o"),"ú","u"),"ü","u"),"ñ","n"),"à","a"),"è","e"),"ì","i"),"ò","o"),"ù","u"),"")</f>
        <v/>
      </c>
      <c r="P432" s="25">
        <f>IF(AND(L432=1,C432&lt;&gt;""),SUBSTITUTE(SUBSTITUTE(SUBSTITUTE(SUBSTITUTE(SUBSTITUTE(SUBSTITUTE(SUBSTITUTE(SUBSTITUTE(SUBSTITUTE(SUBSTITUTE(SUBSTITUTE(SUBSTITUTE(LOWER(TRIM(C432)),"á","a"),"é","e"),"í","i"),"ó","o"),"ú","u"),"ü","u"),"ñ","n"),"à","a"),"è","e"),"ì","i"),"ò","o"),"ù","u"),"")</f>
        <v/>
      </c>
      <c r="Q432" s="25">
        <f>IF(AND(L432=1,E432&lt;&gt;""),SUBSTITUTE(SUBSTITUTE(SUBSTITUTE(SUBSTITUTE(SUBSTITUTE(SUBSTITUTE(SUBSTITUTE(SUBSTITUTE(SUBSTITUTE(SUBSTITUTE(SUBSTITUTE(SUBSTITUTE(LOWER(TRIM(E432)),"á","a"),"é","e"),"í","i"),"ó","o"),"ú","u"),"ü","u"),"ñ","n"),"à","a"),"è","e"),"ì","i"),"ò","o"),"ù","u"),"")</f>
        <v/>
      </c>
      <c r="R432" s="25">
        <f>IF(AND(L432=1,I432&lt;&gt;""),SUBSTITUTE(SUBSTITUTE(SUBSTITUTE(SUBSTITUTE(SUBSTITUTE(SUBSTITUTE(SUBSTITUTE(SUBSTITUTE(SUBSTITUTE(SUBSTITUTE(SUBSTITUTE(SUBSTITUTE(LOWER(TRIM(I432)),"á","a"),"é","e"),"í","i"),"ó","o"),"ú","u"),"ü","u"),"ñ","n"),"à","a"),"è","e"),"ì","i"),"ò","o"),"ù","u"),"")</f>
        <v/>
      </c>
      <c r="S432" s="25">
        <f>IF(R432="","",IF(OR(R432="si",R432="tal vez"),1,0))</f>
        <v/>
      </c>
      <c r="T432" s="25">
        <f>IF(AND(L432=1,D432&lt;&gt;""),IF(IFERROR(COUNTIFS(D$3:D432,"="&amp;SUBSTITUTE(SUBSTITUTE(SUBSTITUTE(D432,"~","~~"),"*","~*"),"?","~?"),L$3:L432,1),0)=1,MAX(T$2:T431)+1,""),"")</f>
        <v/>
      </c>
      <c r="U432" s="25">
        <f>IF(T432="","",COUNTIFS($D$3:$D$1002,"="&amp;SUBSTITUTE(SUBSTITUTE(SUBSTITUTE(D432,"~","~~"),"*","~*"),"?","~?"),$L$3:$L$1002,1)*10000-T432)</f>
        <v/>
      </c>
      <c r="V432" s="25">
        <f>IF(AND(L432=1,J432&lt;&gt;""),IF(IFERROR(COUNTIFS(J$3:J432,"="&amp;SUBSTITUTE(SUBSTITUTE(SUBSTITUTE(J432,"~","~~"),"*","~*"),"?","~?"),L$3:L432,1),0)=1,MAX(V$2:V431)+1,""),"")</f>
        <v/>
      </c>
      <c r="W432" s="25">
        <f>IF(V432="","",COUNTIFS($J$3:$J$1002,"="&amp;SUBSTITUTE(SUBSTITUTE(SUBSTITUTE(J432,"~","~~"),"*","~*"),"?","~?"),$L$3:$L$1002,1)*10000-V432)</f>
        <v/>
      </c>
    </row>
    <row r="433">
      <c r="A433">
        <f>IF(A$2=0,"",IFERROR(TRIM(INDEX('Pegar estudiantes'!$A$1:$BZ$1001,432,A$2)&amp;""),""))</f>
        <v/>
      </c>
      <c r="B433">
        <f>IF(B$2=0,"",IFERROR(TRIM(INDEX('Pegar estudiantes'!$A$1:$BZ$1001,432,B$2)&amp;""),""))</f>
        <v/>
      </c>
      <c r="C433">
        <f>IF(C$2=0,"",IFERROR(TRIM(INDEX('Pegar estudiantes'!$A$1:$BZ$1001,432,C$2)&amp;""),""))</f>
        <v/>
      </c>
      <c r="D433">
        <f>IF(D$2=0,"",IFERROR(TRIM(INDEX('Pegar estudiantes'!$A$1:$BZ$1001,432,D$2)&amp;""),""))</f>
        <v/>
      </c>
      <c r="E433">
        <f>IF(E$2=0,"",IFERROR(TRIM(INDEX('Pegar estudiantes'!$A$1:$BZ$1001,432,E$2)&amp;""),""))</f>
        <v/>
      </c>
      <c r="F433">
        <f>IF(F$2=0,"",IFERROR(TRIM(INDEX('Pegar estudiantes'!$A$1:$BZ$1001,432,F$2)&amp;""),""))</f>
        <v/>
      </c>
      <c r="G433">
        <f>IF(G$2=0,"",IFERROR(TRIM(INDEX('Pegar estudiantes'!$A$1:$BZ$1001,432,G$2)&amp;""),""))</f>
        <v/>
      </c>
      <c r="H433">
        <f>IF(H$2=0,"",IFERROR(TRIM(INDEX('Pegar estudiantes'!$A$1:$BZ$1001,432,H$2)&amp;""),""))</f>
        <v/>
      </c>
      <c r="I433">
        <f>IF(I$2=0,"",IFERROR(TRIM(INDEX('Pegar estudiantes'!$A$1:$BZ$1001,432,I$2)&amp;""),""))</f>
        <v/>
      </c>
      <c r="J433">
        <f>IF(J$2=0,"",IFERROR(TRIM(INDEX('Pegar estudiantes'!$A$1:$BZ$1001,432,J$2)&amp;""),""))</f>
        <v/>
      </c>
      <c r="K433">
        <f>IF(K$2=0,"",IFERROR(TRIM(INDEX('Pegar estudiantes'!$A$1:$BZ$1001,432,K$2)&amp;""),""))</f>
        <v/>
      </c>
      <c r="L433" s="25">
        <f>IF(A433&lt;&gt;"",1,"")</f>
        <v/>
      </c>
      <c r="M433" s="25">
        <f>IF(L433=1,IF(ISNUMBER(FIND("#"&amp;MID(A433,1,1)&amp;"#","#0#1#2#3#4#5#6#7#8#9#")),IF(ISNUMBER(FIND("#"&amp;MID(A433,2,1)&amp;"#","#0#1#2#3#4#5#6#7#8#9#")),IF(AND(VALUE(LEFT(A433,2))&gt;=1,VALUE(LEFT(A433,2))&lt;=5),VALUE(LEFT(A433,2)),""),IF(AND(VALUE(LEFT(A433,1))&gt;=1,VALUE(LEFT(A433,1))&lt;=5),VALUE(LEFT(A433,1)),"")),""),"")</f>
        <v/>
      </c>
      <c r="N433" s="25">
        <f>IF(L433=1,IF(ISNUMBER(FIND("#"&amp;MID(H433,1,1)&amp;"#","#0#1#2#3#4#5#6#7#8#9#")),IF(ISNUMBER(FIND("#"&amp;MID(H433,2,1)&amp;"#","#0#1#2#3#4#5#6#7#8#9#")),IF(AND(VALUE(LEFT(H433,2))&gt;=1,VALUE(LEFT(H433,2))&lt;=5),VALUE(LEFT(H433,2)),""),IF(AND(VALUE(LEFT(H433,1))&gt;=1,VALUE(LEFT(H433,1))&lt;=5),VALUE(LEFT(H433,1)),"")),""),"")</f>
        <v/>
      </c>
      <c r="O433" s="25">
        <f>IF(AND(L433=1,B433&lt;&gt;""),SUBSTITUTE(SUBSTITUTE(SUBSTITUTE(SUBSTITUTE(SUBSTITUTE(SUBSTITUTE(SUBSTITUTE(SUBSTITUTE(SUBSTITUTE(SUBSTITUTE(SUBSTITUTE(SUBSTITUTE(LOWER(TRIM(B433)),"á","a"),"é","e"),"í","i"),"ó","o"),"ú","u"),"ü","u"),"ñ","n"),"à","a"),"è","e"),"ì","i"),"ò","o"),"ù","u"),"")</f>
        <v/>
      </c>
      <c r="P433" s="25">
        <f>IF(AND(L433=1,C433&lt;&gt;""),SUBSTITUTE(SUBSTITUTE(SUBSTITUTE(SUBSTITUTE(SUBSTITUTE(SUBSTITUTE(SUBSTITUTE(SUBSTITUTE(SUBSTITUTE(SUBSTITUTE(SUBSTITUTE(SUBSTITUTE(LOWER(TRIM(C433)),"á","a"),"é","e"),"í","i"),"ó","o"),"ú","u"),"ü","u"),"ñ","n"),"à","a"),"è","e"),"ì","i"),"ò","o"),"ù","u"),"")</f>
        <v/>
      </c>
      <c r="Q433" s="25">
        <f>IF(AND(L433=1,E433&lt;&gt;""),SUBSTITUTE(SUBSTITUTE(SUBSTITUTE(SUBSTITUTE(SUBSTITUTE(SUBSTITUTE(SUBSTITUTE(SUBSTITUTE(SUBSTITUTE(SUBSTITUTE(SUBSTITUTE(SUBSTITUTE(LOWER(TRIM(E433)),"á","a"),"é","e"),"í","i"),"ó","o"),"ú","u"),"ü","u"),"ñ","n"),"à","a"),"è","e"),"ì","i"),"ò","o"),"ù","u"),"")</f>
        <v/>
      </c>
      <c r="R433" s="25">
        <f>IF(AND(L433=1,I433&lt;&gt;""),SUBSTITUTE(SUBSTITUTE(SUBSTITUTE(SUBSTITUTE(SUBSTITUTE(SUBSTITUTE(SUBSTITUTE(SUBSTITUTE(SUBSTITUTE(SUBSTITUTE(SUBSTITUTE(SUBSTITUTE(LOWER(TRIM(I433)),"á","a"),"é","e"),"í","i"),"ó","o"),"ú","u"),"ü","u"),"ñ","n"),"à","a"),"è","e"),"ì","i"),"ò","o"),"ù","u"),"")</f>
        <v/>
      </c>
      <c r="S433" s="25">
        <f>IF(R433="","",IF(OR(R433="si",R433="tal vez"),1,0))</f>
        <v/>
      </c>
      <c r="T433" s="25">
        <f>IF(AND(L433=1,D433&lt;&gt;""),IF(IFERROR(COUNTIFS(D$3:D433,"="&amp;SUBSTITUTE(SUBSTITUTE(SUBSTITUTE(D433,"~","~~"),"*","~*"),"?","~?"),L$3:L433,1),0)=1,MAX(T$2:T432)+1,""),"")</f>
        <v/>
      </c>
      <c r="U433" s="25">
        <f>IF(T433="","",COUNTIFS($D$3:$D$1002,"="&amp;SUBSTITUTE(SUBSTITUTE(SUBSTITUTE(D433,"~","~~"),"*","~*"),"?","~?"),$L$3:$L$1002,1)*10000-T433)</f>
        <v/>
      </c>
      <c r="V433" s="25">
        <f>IF(AND(L433=1,J433&lt;&gt;""),IF(IFERROR(COUNTIFS(J$3:J433,"="&amp;SUBSTITUTE(SUBSTITUTE(SUBSTITUTE(J433,"~","~~"),"*","~*"),"?","~?"),L$3:L433,1),0)=1,MAX(V$2:V432)+1,""),"")</f>
        <v/>
      </c>
      <c r="W433" s="25">
        <f>IF(V433="","",COUNTIFS($J$3:$J$1002,"="&amp;SUBSTITUTE(SUBSTITUTE(SUBSTITUTE(J433,"~","~~"),"*","~*"),"?","~?"),$L$3:$L$1002,1)*10000-V433)</f>
        <v/>
      </c>
    </row>
    <row r="434">
      <c r="A434">
        <f>IF(A$2=0,"",IFERROR(TRIM(INDEX('Pegar estudiantes'!$A$1:$BZ$1001,433,A$2)&amp;""),""))</f>
        <v/>
      </c>
      <c r="B434">
        <f>IF(B$2=0,"",IFERROR(TRIM(INDEX('Pegar estudiantes'!$A$1:$BZ$1001,433,B$2)&amp;""),""))</f>
        <v/>
      </c>
      <c r="C434">
        <f>IF(C$2=0,"",IFERROR(TRIM(INDEX('Pegar estudiantes'!$A$1:$BZ$1001,433,C$2)&amp;""),""))</f>
        <v/>
      </c>
      <c r="D434">
        <f>IF(D$2=0,"",IFERROR(TRIM(INDEX('Pegar estudiantes'!$A$1:$BZ$1001,433,D$2)&amp;""),""))</f>
        <v/>
      </c>
      <c r="E434">
        <f>IF(E$2=0,"",IFERROR(TRIM(INDEX('Pegar estudiantes'!$A$1:$BZ$1001,433,E$2)&amp;""),""))</f>
        <v/>
      </c>
      <c r="F434">
        <f>IF(F$2=0,"",IFERROR(TRIM(INDEX('Pegar estudiantes'!$A$1:$BZ$1001,433,F$2)&amp;""),""))</f>
        <v/>
      </c>
      <c r="G434">
        <f>IF(G$2=0,"",IFERROR(TRIM(INDEX('Pegar estudiantes'!$A$1:$BZ$1001,433,G$2)&amp;""),""))</f>
        <v/>
      </c>
      <c r="H434">
        <f>IF(H$2=0,"",IFERROR(TRIM(INDEX('Pegar estudiantes'!$A$1:$BZ$1001,433,H$2)&amp;""),""))</f>
        <v/>
      </c>
      <c r="I434">
        <f>IF(I$2=0,"",IFERROR(TRIM(INDEX('Pegar estudiantes'!$A$1:$BZ$1001,433,I$2)&amp;""),""))</f>
        <v/>
      </c>
      <c r="J434">
        <f>IF(J$2=0,"",IFERROR(TRIM(INDEX('Pegar estudiantes'!$A$1:$BZ$1001,433,J$2)&amp;""),""))</f>
        <v/>
      </c>
      <c r="K434">
        <f>IF(K$2=0,"",IFERROR(TRIM(INDEX('Pegar estudiantes'!$A$1:$BZ$1001,433,K$2)&amp;""),""))</f>
        <v/>
      </c>
      <c r="L434" s="25">
        <f>IF(A434&lt;&gt;"",1,"")</f>
        <v/>
      </c>
      <c r="M434" s="25">
        <f>IF(L434=1,IF(ISNUMBER(FIND("#"&amp;MID(A434,1,1)&amp;"#","#0#1#2#3#4#5#6#7#8#9#")),IF(ISNUMBER(FIND("#"&amp;MID(A434,2,1)&amp;"#","#0#1#2#3#4#5#6#7#8#9#")),IF(AND(VALUE(LEFT(A434,2))&gt;=1,VALUE(LEFT(A434,2))&lt;=5),VALUE(LEFT(A434,2)),""),IF(AND(VALUE(LEFT(A434,1))&gt;=1,VALUE(LEFT(A434,1))&lt;=5),VALUE(LEFT(A434,1)),"")),""),"")</f>
        <v/>
      </c>
      <c r="N434" s="25">
        <f>IF(L434=1,IF(ISNUMBER(FIND("#"&amp;MID(H434,1,1)&amp;"#","#0#1#2#3#4#5#6#7#8#9#")),IF(ISNUMBER(FIND("#"&amp;MID(H434,2,1)&amp;"#","#0#1#2#3#4#5#6#7#8#9#")),IF(AND(VALUE(LEFT(H434,2))&gt;=1,VALUE(LEFT(H434,2))&lt;=5),VALUE(LEFT(H434,2)),""),IF(AND(VALUE(LEFT(H434,1))&gt;=1,VALUE(LEFT(H434,1))&lt;=5),VALUE(LEFT(H434,1)),"")),""),"")</f>
        <v/>
      </c>
      <c r="O434" s="25">
        <f>IF(AND(L434=1,B434&lt;&gt;""),SUBSTITUTE(SUBSTITUTE(SUBSTITUTE(SUBSTITUTE(SUBSTITUTE(SUBSTITUTE(SUBSTITUTE(SUBSTITUTE(SUBSTITUTE(SUBSTITUTE(SUBSTITUTE(SUBSTITUTE(LOWER(TRIM(B434)),"á","a"),"é","e"),"í","i"),"ó","o"),"ú","u"),"ü","u"),"ñ","n"),"à","a"),"è","e"),"ì","i"),"ò","o"),"ù","u"),"")</f>
        <v/>
      </c>
      <c r="P434" s="25">
        <f>IF(AND(L434=1,C434&lt;&gt;""),SUBSTITUTE(SUBSTITUTE(SUBSTITUTE(SUBSTITUTE(SUBSTITUTE(SUBSTITUTE(SUBSTITUTE(SUBSTITUTE(SUBSTITUTE(SUBSTITUTE(SUBSTITUTE(SUBSTITUTE(LOWER(TRIM(C434)),"á","a"),"é","e"),"í","i"),"ó","o"),"ú","u"),"ü","u"),"ñ","n"),"à","a"),"è","e"),"ì","i"),"ò","o"),"ù","u"),"")</f>
        <v/>
      </c>
      <c r="Q434" s="25">
        <f>IF(AND(L434=1,E434&lt;&gt;""),SUBSTITUTE(SUBSTITUTE(SUBSTITUTE(SUBSTITUTE(SUBSTITUTE(SUBSTITUTE(SUBSTITUTE(SUBSTITUTE(SUBSTITUTE(SUBSTITUTE(SUBSTITUTE(SUBSTITUTE(LOWER(TRIM(E434)),"á","a"),"é","e"),"í","i"),"ó","o"),"ú","u"),"ü","u"),"ñ","n"),"à","a"),"è","e"),"ì","i"),"ò","o"),"ù","u"),"")</f>
        <v/>
      </c>
      <c r="R434" s="25">
        <f>IF(AND(L434=1,I434&lt;&gt;""),SUBSTITUTE(SUBSTITUTE(SUBSTITUTE(SUBSTITUTE(SUBSTITUTE(SUBSTITUTE(SUBSTITUTE(SUBSTITUTE(SUBSTITUTE(SUBSTITUTE(SUBSTITUTE(SUBSTITUTE(LOWER(TRIM(I434)),"á","a"),"é","e"),"í","i"),"ó","o"),"ú","u"),"ü","u"),"ñ","n"),"à","a"),"è","e"),"ì","i"),"ò","o"),"ù","u"),"")</f>
        <v/>
      </c>
      <c r="S434" s="25">
        <f>IF(R434="","",IF(OR(R434="si",R434="tal vez"),1,0))</f>
        <v/>
      </c>
      <c r="T434" s="25">
        <f>IF(AND(L434=1,D434&lt;&gt;""),IF(IFERROR(COUNTIFS(D$3:D434,"="&amp;SUBSTITUTE(SUBSTITUTE(SUBSTITUTE(D434,"~","~~"),"*","~*"),"?","~?"),L$3:L434,1),0)=1,MAX(T$2:T433)+1,""),"")</f>
        <v/>
      </c>
      <c r="U434" s="25">
        <f>IF(T434="","",COUNTIFS($D$3:$D$1002,"="&amp;SUBSTITUTE(SUBSTITUTE(SUBSTITUTE(D434,"~","~~"),"*","~*"),"?","~?"),$L$3:$L$1002,1)*10000-T434)</f>
        <v/>
      </c>
      <c r="V434" s="25">
        <f>IF(AND(L434=1,J434&lt;&gt;""),IF(IFERROR(COUNTIFS(J$3:J434,"="&amp;SUBSTITUTE(SUBSTITUTE(SUBSTITUTE(J434,"~","~~"),"*","~*"),"?","~?"),L$3:L434,1),0)=1,MAX(V$2:V433)+1,""),"")</f>
        <v/>
      </c>
      <c r="W434" s="25">
        <f>IF(V434="","",COUNTIFS($J$3:$J$1002,"="&amp;SUBSTITUTE(SUBSTITUTE(SUBSTITUTE(J434,"~","~~"),"*","~*"),"?","~?"),$L$3:$L$1002,1)*10000-V434)</f>
        <v/>
      </c>
    </row>
    <row r="435">
      <c r="A435">
        <f>IF(A$2=0,"",IFERROR(TRIM(INDEX('Pegar estudiantes'!$A$1:$BZ$1001,434,A$2)&amp;""),""))</f>
        <v/>
      </c>
      <c r="B435">
        <f>IF(B$2=0,"",IFERROR(TRIM(INDEX('Pegar estudiantes'!$A$1:$BZ$1001,434,B$2)&amp;""),""))</f>
        <v/>
      </c>
      <c r="C435">
        <f>IF(C$2=0,"",IFERROR(TRIM(INDEX('Pegar estudiantes'!$A$1:$BZ$1001,434,C$2)&amp;""),""))</f>
        <v/>
      </c>
      <c r="D435">
        <f>IF(D$2=0,"",IFERROR(TRIM(INDEX('Pegar estudiantes'!$A$1:$BZ$1001,434,D$2)&amp;""),""))</f>
        <v/>
      </c>
      <c r="E435">
        <f>IF(E$2=0,"",IFERROR(TRIM(INDEX('Pegar estudiantes'!$A$1:$BZ$1001,434,E$2)&amp;""),""))</f>
        <v/>
      </c>
      <c r="F435">
        <f>IF(F$2=0,"",IFERROR(TRIM(INDEX('Pegar estudiantes'!$A$1:$BZ$1001,434,F$2)&amp;""),""))</f>
        <v/>
      </c>
      <c r="G435">
        <f>IF(G$2=0,"",IFERROR(TRIM(INDEX('Pegar estudiantes'!$A$1:$BZ$1001,434,G$2)&amp;""),""))</f>
        <v/>
      </c>
      <c r="H435">
        <f>IF(H$2=0,"",IFERROR(TRIM(INDEX('Pegar estudiantes'!$A$1:$BZ$1001,434,H$2)&amp;""),""))</f>
        <v/>
      </c>
      <c r="I435">
        <f>IF(I$2=0,"",IFERROR(TRIM(INDEX('Pegar estudiantes'!$A$1:$BZ$1001,434,I$2)&amp;""),""))</f>
        <v/>
      </c>
      <c r="J435">
        <f>IF(J$2=0,"",IFERROR(TRIM(INDEX('Pegar estudiantes'!$A$1:$BZ$1001,434,J$2)&amp;""),""))</f>
        <v/>
      </c>
      <c r="K435">
        <f>IF(K$2=0,"",IFERROR(TRIM(INDEX('Pegar estudiantes'!$A$1:$BZ$1001,434,K$2)&amp;""),""))</f>
        <v/>
      </c>
      <c r="L435" s="25">
        <f>IF(A435&lt;&gt;"",1,"")</f>
        <v/>
      </c>
      <c r="M435" s="25">
        <f>IF(L435=1,IF(ISNUMBER(FIND("#"&amp;MID(A435,1,1)&amp;"#","#0#1#2#3#4#5#6#7#8#9#")),IF(ISNUMBER(FIND("#"&amp;MID(A435,2,1)&amp;"#","#0#1#2#3#4#5#6#7#8#9#")),IF(AND(VALUE(LEFT(A435,2))&gt;=1,VALUE(LEFT(A435,2))&lt;=5),VALUE(LEFT(A435,2)),""),IF(AND(VALUE(LEFT(A435,1))&gt;=1,VALUE(LEFT(A435,1))&lt;=5),VALUE(LEFT(A435,1)),"")),""),"")</f>
        <v/>
      </c>
      <c r="N435" s="25">
        <f>IF(L435=1,IF(ISNUMBER(FIND("#"&amp;MID(H435,1,1)&amp;"#","#0#1#2#3#4#5#6#7#8#9#")),IF(ISNUMBER(FIND("#"&amp;MID(H435,2,1)&amp;"#","#0#1#2#3#4#5#6#7#8#9#")),IF(AND(VALUE(LEFT(H435,2))&gt;=1,VALUE(LEFT(H435,2))&lt;=5),VALUE(LEFT(H435,2)),""),IF(AND(VALUE(LEFT(H435,1))&gt;=1,VALUE(LEFT(H435,1))&lt;=5),VALUE(LEFT(H435,1)),"")),""),"")</f>
        <v/>
      </c>
      <c r="O435" s="25">
        <f>IF(AND(L435=1,B435&lt;&gt;""),SUBSTITUTE(SUBSTITUTE(SUBSTITUTE(SUBSTITUTE(SUBSTITUTE(SUBSTITUTE(SUBSTITUTE(SUBSTITUTE(SUBSTITUTE(SUBSTITUTE(SUBSTITUTE(SUBSTITUTE(LOWER(TRIM(B435)),"á","a"),"é","e"),"í","i"),"ó","o"),"ú","u"),"ü","u"),"ñ","n"),"à","a"),"è","e"),"ì","i"),"ò","o"),"ù","u"),"")</f>
        <v/>
      </c>
      <c r="P435" s="25">
        <f>IF(AND(L435=1,C435&lt;&gt;""),SUBSTITUTE(SUBSTITUTE(SUBSTITUTE(SUBSTITUTE(SUBSTITUTE(SUBSTITUTE(SUBSTITUTE(SUBSTITUTE(SUBSTITUTE(SUBSTITUTE(SUBSTITUTE(SUBSTITUTE(LOWER(TRIM(C435)),"á","a"),"é","e"),"í","i"),"ó","o"),"ú","u"),"ü","u"),"ñ","n"),"à","a"),"è","e"),"ì","i"),"ò","o"),"ù","u"),"")</f>
        <v/>
      </c>
      <c r="Q435" s="25">
        <f>IF(AND(L435=1,E435&lt;&gt;""),SUBSTITUTE(SUBSTITUTE(SUBSTITUTE(SUBSTITUTE(SUBSTITUTE(SUBSTITUTE(SUBSTITUTE(SUBSTITUTE(SUBSTITUTE(SUBSTITUTE(SUBSTITUTE(SUBSTITUTE(LOWER(TRIM(E435)),"á","a"),"é","e"),"í","i"),"ó","o"),"ú","u"),"ü","u"),"ñ","n"),"à","a"),"è","e"),"ì","i"),"ò","o"),"ù","u"),"")</f>
        <v/>
      </c>
      <c r="R435" s="25">
        <f>IF(AND(L435=1,I435&lt;&gt;""),SUBSTITUTE(SUBSTITUTE(SUBSTITUTE(SUBSTITUTE(SUBSTITUTE(SUBSTITUTE(SUBSTITUTE(SUBSTITUTE(SUBSTITUTE(SUBSTITUTE(SUBSTITUTE(SUBSTITUTE(LOWER(TRIM(I435)),"á","a"),"é","e"),"í","i"),"ó","o"),"ú","u"),"ü","u"),"ñ","n"),"à","a"),"è","e"),"ì","i"),"ò","o"),"ù","u"),"")</f>
        <v/>
      </c>
      <c r="S435" s="25">
        <f>IF(R435="","",IF(OR(R435="si",R435="tal vez"),1,0))</f>
        <v/>
      </c>
      <c r="T435" s="25">
        <f>IF(AND(L435=1,D435&lt;&gt;""),IF(IFERROR(COUNTIFS(D$3:D435,"="&amp;SUBSTITUTE(SUBSTITUTE(SUBSTITUTE(D435,"~","~~"),"*","~*"),"?","~?"),L$3:L435,1),0)=1,MAX(T$2:T434)+1,""),"")</f>
        <v/>
      </c>
      <c r="U435" s="25">
        <f>IF(T435="","",COUNTIFS($D$3:$D$1002,"="&amp;SUBSTITUTE(SUBSTITUTE(SUBSTITUTE(D435,"~","~~"),"*","~*"),"?","~?"),$L$3:$L$1002,1)*10000-T435)</f>
        <v/>
      </c>
      <c r="V435" s="25">
        <f>IF(AND(L435=1,J435&lt;&gt;""),IF(IFERROR(COUNTIFS(J$3:J435,"="&amp;SUBSTITUTE(SUBSTITUTE(SUBSTITUTE(J435,"~","~~"),"*","~*"),"?","~?"),L$3:L435,1),0)=1,MAX(V$2:V434)+1,""),"")</f>
        <v/>
      </c>
      <c r="W435" s="25">
        <f>IF(V435="","",COUNTIFS($J$3:$J$1002,"="&amp;SUBSTITUTE(SUBSTITUTE(SUBSTITUTE(J435,"~","~~"),"*","~*"),"?","~?"),$L$3:$L$1002,1)*10000-V435)</f>
        <v/>
      </c>
    </row>
    <row r="436">
      <c r="A436">
        <f>IF(A$2=0,"",IFERROR(TRIM(INDEX('Pegar estudiantes'!$A$1:$BZ$1001,435,A$2)&amp;""),""))</f>
        <v/>
      </c>
      <c r="B436">
        <f>IF(B$2=0,"",IFERROR(TRIM(INDEX('Pegar estudiantes'!$A$1:$BZ$1001,435,B$2)&amp;""),""))</f>
        <v/>
      </c>
      <c r="C436">
        <f>IF(C$2=0,"",IFERROR(TRIM(INDEX('Pegar estudiantes'!$A$1:$BZ$1001,435,C$2)&amp;""),""))</f>
        <v/>
      </c>
      <c r="D436">
        <f>IF(D$2=0,"",IFERROR(TRIM(INDEX('Pegar estudiantes'!$A$1:$BZ$1001,435,D$2)&amp;""),""))</f>
        <v/>
      </c>
      <c r="E436">
        <f>IF(E$2=0,"",IFERROR(TRIM(INDEX('Pegar estudiantes'!$A$1:$BZ$1001,435,E$2)&amp;""),""))</f>
        <v/>
      </c>
      <c r="F436">
        <f>IF(F$2=0,"",IFERROR(TRIM(INDEX('Pegar estudiantes'!$A$1:$BZ$1001,435,F$2)&amp;""),""))</f>
        <v/>
      </c>
      <c r="G436">
        <f>IF(G$2=0,"",IFERROR(TRIM(INDEX('Pegar estudiantes'!$A$1:$BZ$1001,435,G$2)&amp;""),""))</f>
        <v/>
      </c>
      <c r="H436">
        <f>IF(H$2=0,"",IFERROR(TRIM(INDEX('Pegar estudiantes'!$A$1:$BZ$1001,435,H$2)&amp;""),""))</f>
        <v/>
      </c>
      <c r="I436">
        <f>IF(I$2=0,"",IFERROR(TRIM(INDEX('Pegar estudiantes'!$A$1:$BZ$1001,435,I$2)&amp;""),""))</f>
        <v/>
      </c>
      <c r="J436">
        <f>IF(J$2=0,"",IFERROR(TRIM(INDEX('Pegar estudiantes'!$A$1:$BZ$1001,435,J$2)&amp;""),""))</f>
        <v/>
      </c>
      <c r="K436">
        <f>IF(K$2=0,"",IFERROR(TRIM(INDEX('Pegar estudiantes'!$A$1:$BZ$1001,435,K$2)&amp;""),""))</f>
        <v/>
      </c>
      <c r="L436" s="25">
        <f>IF(A436&lt;&gt;"",1,"")</f>
        <v/>
      </c>
      <c r="M436" s="25">
        <f>IF(L436=1,IF(ISNUMBER(FIND("#"&amp;MID(A436,1,1)&amp;"#","#0#1#2#3#4#5#6#7#8#9#")),IF(ISNUMBER(FIND("#"&amp;MID(A436,2,1)&amp;"#","#0#1#2#3#4#5#6#7#8#9#")),IF(AND(VALUE(LEFT(A436,2))&gt;=1,VALUE(LEFT(A436,2))&lt;=5),VALUE(LEFT(A436,2)),""),IF(AND(VALUE(LEFT(A436,1))&gt;=1,VALUE(LEFT(A436,1))&lt;=5),VALUE(LEFT(A436,1)),"")),""),"")</f>
        <v/>
      </c>
      <c r="N436" s="25">
        <f>IF(L436=1,IF(ISNUMBER(FIND("#"&amp;MID(H436,1,1)&amp;"#","#0#1#2#3#4#5#6#7#8#9#")),IF(ISNUMBER(FIND("#"&amp;MID(H436,2,1)&amp;"#","#0#1#2#3#4#5#6#7#8#9#")),IF(AND(VALUE(LEFT(H436,2))&gt;=1,VALUE(LEFT(H436,2))&lt;=5),VALUE(LEFT(H436,2)),""),IF(AND(VALUE(LEFT(H436,1))&gt;=1,VALUE(LEFT(H436,1))&lt;=5),VALUE(LEFT(H436,1)),"")),""),"")</f>
        <v/>
      </c>
      <c r="O436" s="25">
        <f>IF(AND(L436=1,B436&lt;&gt;""),SUBSTITUTE(SUBSTITUTE(SUBSTITUTE(SUBSTITUTE(SUBSTITUTE(SUBSTITUTE(SUBSTITUTE(SUBSTITUTE(SUBSTITUTE(SUBSTITUTE(SUBSTITUTE(SUBSTITUTE(LOWER(TRIM(B436)),"á","a"),"é","e"),"í","i"),"ó","o"),"ú","u"),"ü","u"),"ñ","n"),"à","a"),"è","e"),"ì","i"),"ò","o"),"ù","u"),"")</f>
        <v/>
      </c>
      <c r="P436" s="25">
        <f>IF(AND(L436=1,C436&lt;&gt;""),SUBSTITUTE(SUBSTITUTE(SUBSTITUTE(SUBSTITUTE(SUBSTITUTE(SUBSTITUTE(SUBSTITUTE(SUBSTITUTE(SUBSTITUTE(SUBSTITUTE(SUBSTITUTE(SUBSTITUTE(LOWER(TRIM(C436)),"á","a"),"é","e"),"í","i"),"ó","o"),"ú","u"),"ü","u"),"ñ","n"),"à","a"),"è","e"),"ì","i"),"ò","o"),"ù","u"),"")</f>
        <v/>
      </c>
      <c r="Q436" s="25">
        <f>IF(AND(L436=1,E436&lt;&gt;""),SUBSTITUTE(SUBSTITUTE(SUBSTITUTE(SUBSTITUTE(SUBSTITUTE(SUBSTITUTE(SUBSTITUTE(SUBSTITUTE(SUBSTITUTE(SUBSTITUTE(SUBSTITUTE(SUBSTITUTE(LOWER(TRIM(E436)),"á","a"),"é","e"),"í","i"),"ó","o"),"ú","u"),"ü","u"),"ñ","n"),"à","a"),"è","e"),"ì","i"),"ò","o"),"ù","u"),"")</f>
        <v/>
      </c>
      <c r="R436" s="25">
        <f>IF(AND(L436=1,I436&lt;&gt;""),SUBSTITUTE(SUBSTITUTE(SUBSTITUTE(SUBSTITUTE(SUBSTITUTE(SUBSTITUTE(SUBSTITUTE(SUBSTITUTE(SUBSTITUTE(SUBSTITUTE(SUBSTITUTE(SUBSTITUTE(LOWER(TRIM(I436)),"á","a"),"é","e"),"í","i"),"ó","o"),"ú","u"),"ü","u"),"ñ","n"),"à","a"),"è","e"),"ì","i"),"ò","o"),"ù","u"),"")</f>
        <v/>
      </c>
      <c r="S436" s="25">
        <f>IF(R436="","",IF(OR(R436="si",R436="tal vez"),1,0))</f>
        <v/>
      </c>
      <c r="T436" s="25">
        <f>IF(AND(L436=1,D436&lt;&gt;""),IF(IFERROR(COUNTIFS(D$3:D436,"="&amp;SUBSTITUTE(SUBSTITUTE(SUBSTITUTE(D436,"~","~~"),"*","~*"),"?","~?"),L$3:L436,1),0)=1,MAX(T$2:T435)+1,""),"")</f>
        <v/>
      </c>
      <c r="U436" s="25">
        <f>IF(T436="","",COUNTIFS($D$3:$D$1002,"="&amp;SUBSTITUTE(SUBSTITUTE(SUBSTITUTE(D436,"~","~~"),"*","~*"),"?","~?"),$L$3:$L$1002,1)*10000-T436)</f>
        <v/>
      </c>
      <c r="V436" s="25">
        <f>IF(AND(L436=1,J436&lt;&gt;""),IF(IFERROR(COUNTIFS(J$3:J436,"="&amp;SUBSTITUTE(SUBSTITUTE(SUBSTITUTE(J436,"~","~~"),"*","~*"),"?","~?"),L$3:L436,1),0)=1,MAX(V$2:V435)+1,""),"")</f>
        <v/>
      </c>
      <c r="W436" s="25">
        <f>IF(V436="","",COUNTIFS($J$3:$J$1002,"="&amp;SUBSTITUTE(SUBSTITUTE(SUBSTITUTE(J436,"~","~~"),"*","~*"),"?","~?"),$L$3:$L$1002,1)*10000-V436)</f>
        <v/>
      </c>
    </row>
    <row r="437">
      <c r="A437">
        <f>IF(A$2=0,"",IFERROR(TRIM(INDEX('Pegar estudiantes'!$A$1:$BZ$1001,436,A$2)&amp;""),""))</f>
        <v/>
      </c>
      <c r="B437">
        <f>IF(B$2=0,"",IFERROR(TRIM(INDEX('Pegar estudiantes'!$A$1:$BZ$1001,436,B$2)&amp;""),""))</f>
        <v/>
      </c>
      <c r="C437">
        <f>IF(C$2=0,"",IFERROR(TRIM(INDEX('Pegar estudiantes'!$A$1:$BZ$1001,436,C$2)&amp;""),""))</f>
        <v/>
      </c>
      <c r="D437">
        <f>IF(D$2=0,"",IFERROR(TRIM(INDEX('Pegar estudiantes'!$A$1:$BZ$1001,436,D$2)&amp;""),""))</f>
        <v/>
      </c>
      <c r="E437">
        <f>IF(E$2=0,"",IFERROR(TRIM(INDEX('Pegar estudiantes'!$A$1:$BZ$1001,436,E$2)&amp;""),""))</f>
        <v/>
      </c>
      <c r="F437">
        <f>IF(F$2=0,"",IFERROR(TRIM(INDEX('Pegar estudiantes'!$A$1:$BZ$1001,436,F$2)&amp;""),""))</f>
        <v/>
      </c>
      <c r="G437">
        <f>IF(G$2=0,"",IFERROR(TRIM(INDEX('Pegar estudiantes'!$A$1:$BZ$1001,436,G$2)&amp;""),""))</f>
        <v/>
      </c>
      <c r="H437">
        <f>IF(H$2=0,"",IFERROR(TRIM(INDEX('Pegar estudiantes'!$A$1:$BZ$1001,436,H$2)&amp;""),""))</f>
        <v/>
      </c>
      <c r="I437">
        <f>IF(I$2=0,"",IFERROR(TRIM(INDEX('Pegar estudiantes'!$A$1:$BZ$1001,436,I$2)&amp;""),""))</f>
        <v/>
      </c>
      <c r="J437">
        <f>IF(J$2=0,"",IFERROR(TRIM(INDEX('Pegar estudiantes'!$A$1:$BZ$1001,436,J$2)&amp;""),""))</f>
        <v/>
      </c>
      <c r="K437">
        <f>IF(K$2=0,"",IFERROR(TRIM(INDEX('Pegar estudiantes'!$A$1:$BZ$1001,436,K$2)&amp;""),""))</f>
        <v/>
      </c>
      <c r="L437" s="25">
        <f>IF(A437&lt;&gt;"",1,"")</f>
        <v/>
      </c>
      <c r="M437" s="25">
        <f>IF(L437=1,IF(ISNUMBER(FIND("#"&amp;MID(A437,1,1)&amp;"#","#0#1#2#3#4#5#6#7#8#9#")),IF(ISNUMBER(FIND("#"&amp;MID(A437,2,1)&amp;"#","#0#1#2#3#4#5#6#7#8#9#")),IF(AND(VALUE(LEFT(A437,2))&gt;=1,VALUE(LEFT(A437,2))&lt;=5),VALUE(LEFT(A437,2)),""),IF(AND(VALUE(LEFT(A437,1))&gt;=1,VALUE(LEFT(A437,1))&lt;=5),VALUE(LEFT(A437,1)),"")),""),"")</f>
        <v/>
      </c>
      <c r="N437" s="25">
        <f>IF(L437=1,IF(ISNUMBER(FIND("#"&amp;MID(H437,1,1)&amp;"#","#0#1#2#3#4#5#6#7#8#9#")),IF(ISNUMBER(FIND("#"&amp;MID(H437,2,1)&amp;"#","#0#1#2#3#4#5#6#7#8#9#")),IF(AND(VALUE(LEFT(H437,2))&gt;=1,VALUE(LEFT(H437,2))&lt;=5),VALUE(LEFT(H437,2)),""),IF(AND(VALUE(LEFT(H437,1))&gt;=1,VALUE(LEFT(H437,1))&lt;=5),VALUE(LEFT(H437,1)),"")),""),"")</f>
        <v/>
      </c>
      <c r="O437" s="25">
        <f>IF(AND(L437=1,B437&lt;&gt;""),SUBSTITUTE(SUBSTITUTE(SUBSTITUTE(SUBSTITUTE(SUBSTITUTE(SUBSTITUTE(SUBSTITUTE(SUBSTITUTE(SUBSTITUTE(SUBSTITUTE(SUBSTITUTE(SUBSTITUTE(LOWER(TRIM(B437)),"á","a"),"é","e"),"í","i"),"ó","o"),"ú","u"),"ü","u"),"ñ","n"),"à","a"),"è","e"),"ì","i"),"ò","o"),"ù","u"),"")</f>
        <v/>
      </c>
      <c r="P437" s="25">
        <f>IF(AND(L437=1,C437&lt;&gt;""),SUBSTITUTE(SUBSTITUTE(SUBSTITUTE(SUBSTITUTE(SUBSTITUTE(SUBSTITUTE(SUBSTITUTE(SUBSTITUTE(SUBSTITUTE(SUBSTITUTE(SUBSTITUTE(SUBSTITUTE(LOWER(TRIM(C437)),"á","a"),"é","e"),"í","i"),"ó","o"),"ú","u"),"ü","u"),"ñ","n"),"à","a"),"è","e"),"ì","i"),"ò","o"),"ù","u"),"")</f>
        <v/>
      </c>
      <c r="Q437" s="25">
        <f>IF(AND(L437=1,E437&lt;&gt;""),SUBSTITUTE(SUBSTITUTE(SUBSTITUTE(SUBSTITUTE(SUBSTITUTE(SUBSTITUTE(SUBSTITUTE(SUBSTITUTE(SUBSTITUTE(SUBSTITUTE(SUBSTITUTE(SUBSTITUTE(LOWER(TRIM(E437)),"á","a"),"é","e"),"í","i"),"ó","o"),"ú","u"),"ü","u"),"ñ","n"),"à","a"),"è","e"),"ì","i"),"ò","o"),"ù","u"),"")</f>
        <v/>
      </c>
      <c r="R437" s="25">
        <f>IF(AND(L437=1,I437&lt;&gt;""),SUBSTITUTE(SUBSTITUTE(SUBSTITUTE(SUBSTITUTE(SUBSTITUTE(SUBSTITUTE(SUBSTITUTE(SUBSTITUTE(SUBSTITUTE(SUBSTITUTE(SUBSTITUTE(SUBSTITUTE(LOWER(TRIM(I437)),"á","a"),"é","e"),"í","i"),"ó","o"),"ú","u"),"ü","u"),"ñ","n"),"à","a"),"è","e"),"ì","i"),"ò","o"),"ù","u"),"")</f>
        <v/>
      </c>
      <c r="S437" s="25">
        <f>IF(R437="","",IF(OR(R437="si",R437="tal vez"),1,0))</f>
        <v/>
      </c>
      <c r="T437" s="25">
        <f>IF(AND(L437=1,D437&lt;&gt;""),IF(IFERROR(COUNTIFS(D$3:D437,"="&amp;SUBSTITUTE(SUBSTITUTE(SUBSTITUTE(D437,"~","~~"),"*","~*"),"?","~?"),L$3:L437,1),0)=1,MAX(T$2:T436)+1,""),"")</f>
        <v/>
      </c>
      <c r="U437" s="25">
        <f>IF(T437="","",COUNTIFS($D$3:$D$1002,"="&amp;SUBSTITUTE(SUBSTITUTE(SUBSTITUTE(D437,"~","~~"),"*","~*"),"?","~?"),$L$3:$L$1002,1)*10000-T437)</f>
        <v/>
      </c>
      <c r="V437" s="25">
        <f>IF(AND(L437=1,J437&lt;&gt;""),IF(IFERROR(COUNTIFS(J$3:J437,"="&amp;SUBSTITUTE(SUBSTITUTE(SUBSTITUTE(J437,"~","~~"),"*","~*"),"?","~?"),L$3:L437,1),0)=1,MAX(V$2:V436)+1,""),"")</f>
        <v/>
      </c>
      <c r="W437" s="25">
        <f>IF(V437="","",COUNTIFS($J$3:$J$1002,"="&amp;SUBSTITUTE(SUBSTITUTE(SUBSTITUTE(J437,"~","~~"),"*","~*"),"?","~?"),$L$3:$L$1002,1)*10000-V437)</f>
        <v/>
      </c>
    </row>
    <row r="438">
      <c r="A438">
        <f>IF(A$2=0,"",IFERROR(TRIM(INDEX('Pegar estudiantes'!$A$1:$BZ$1001,437,A$2)&amp;""),""))</f>
        <v/>
      </c>
      <c r="B438">
        <f>IF(B$2=0,"",IFERROR(TRIM(INDEX('Pegar estudiantes'!$A$1:$BZ$1001,437,B$2)&amp;""),""))</f>
        <v/>
      </c>
      <c r="C438">
        <f>IF(C$2=0,"",IFERROR(TRIM(INDEX('Pegar estudiantes'!$A$1:$BZ$1001,437,C$2)&amp;""),""))</f>
        <v/>
      </c>
      <c r="D438">
        <f>IF(D$2=0,"",IFERROR(TRIM(INDEX('Pegar estudiantes'!$A$1:$BZ$1001,437,D$2)&amp;""),""))</f>
        <v/>
      </c>
      <c r="E438">
        <f>IF(E$2=0,"",IFERROR(TRIM(INDEX('Pegar estudiantes'!$A$1:$BZ$1001,437,E$2)&amp;""),""))</f>
        <v/>
      </c>
      <c r="F438">
        <f>IF(F$2=0,"",IFERROR(TRIM(INDEX('Pegar estudiantes'!$A$1:$BZ$1001,437,F$2)&amp;""),""))</f>
        <v/>
      </c>
      <c r="G438">
        <f>IF(G$2=0,"",IFERROR(TRIM(INDEX('Pegar estudiantes'!$A$1:$BZ$1001,437,G$2)&amp;""),""))</f>
        <v/>
      </c>
      <c r="H438">
        <f>IF(H$2=0,"",IFERROR(TRIM(INDEX('Pegar estudiantes'!$A$1:$BZ$1001,437,H$2)&amp;""),""))</f>
        <v/>
      </c>
      <c r="I438">
        <f>IF(I$2=0,"",IFERROR(TRIM(INDEX('Pegar estudiantes'!$A$1:$BZ$1001,437,I$2)&amp;""),""))</f>
        <v/>
      </c>
      <c r="J438">
        <f>IF(J$2=0,"",IFERROR(TRIM(INDEX('Pegar estudiantes'!$A$1:$BZ$1001,437,J$2)&amp;""),""))</f>
        <v/>
      </c>
      <c r="K438">
        <f>IF(K$2=0,"",IFERROR(TRIM(INDEX('Pegar estudiantes'!$A$1:$BZ$1001,437,K$2)&amp;""),""))</f>
        <v/>
      </c>
      <c r="L438" s="25">
        <f>IF(A438&lt;&gt;"",1,"")</f>
        <v/>
      </c>
      <c r="M438" s="25">
        <f>IF(L438=1,IF(ISNUMBER(FIND("#"&amp;MID(A438,1,1)&amp;"#","#0#1#2#3#4#5#6#7#8#9#")),IF(ISNUMBER(FIND("#"&amp;MID(A438,2,1)&amp;"#","#0#1#2#3#4#5#6#7#8#9#")),IF(AND(VALUE(LEFT(A438,2))&gt;=1,VALUE(LEFT(A438,2))&lt;=5),VALUE(LEFT(A438,2)),""),IF(AND(VALUE(LEFT(A438,1))&gt;=1,VALUE(LEFT(A438,1))&lt;=5),VALUE(LEFT(A438,1)),"")),""),"")</f>
        <v/>
      </c>
      <c r="N438" s="25">
        <f>IF(L438=1,IF(ISNUMBER(FIND("#"&amp;MID(H438,1,1)&amp;"#","#0#1#2#3#4#5#6#7#8#9#")),IF(ISNUMBER(FIND("#"&amp;MID(H438,2,1)&amp;"#","#0#1#2#3#4#5#6#7#8#9#")),IF(AND(VALUE(LEFT(H438,2))&gt;=1,VALUE(LEFT(H438,2))&lt;=5),VALUE(LEFT(H438,2)),""),IF(AND(VALUE(LEFT(H438,1))&gt;=1,VALUE(LEFT(H438,1))&lt;=5),VALUE(LEFT(H438,1)),"")),""),"")</f>
        <v/>
      </c>
      <c r="O438" s="25">
        <f>IF(AND(L438=1,B438&lt;&gt;""),SUBSTITUTE(SUBSTITUTE(SUBSTITUTE(SUBSTITUTE(SUBSTITUTE(SUBSTITUTE(SUBSTITUTE(SUBSTITUTE(SUBSTITUTE(SUBSTITUTE(SUBSTITUTE(SUBSTITUTE(LOWER(TRIM(B438)),"á","a"),"é","e"),"í","i"),"ó","o"),"ú","u"),"ü","u"),"ñ","n"),"à","a"),"è","e"),"ì","i"),"ò","o"),"ù","u"),"")</f>
        <v/>
      </c>
      <c r="P438" s="25">
        <f>IF(AND(L438=1,C438&lt;&gt;""),SUBSTITUTE(SUBSTITUTE(SUBSTITUTE(SUBSTITUTE(SUBSTITUTE(SUBSTITUTE(SUBSTITUTE(SUBSTITUTE(SUBSTITUTE(SUBSTITUTE(SUBSTITUTE(SUBSTITUTE(LOWER(TRIM(C438)),"á","a"),"é","e"),"í","i"),"ó","o"),"ú","u"),"ü","u"),"ñ","n"),"à","a"),"è","e"),"ì","i"),"ò","o"),"ù","u"),"")</f>
        <v/>
      </c>
      <c r="Q438" s="25">
        <f>IF(AND(L438=1,E438&lt;&gt;""),SUBSTITUTE(SUBSTITUTE(SUBSTITUTE(SUBSTITUTE(SUBSTITUTE(SUBSTITUTE(SUBSTITUTE(SUBSTITUTE(SUBSTITUTE(SUBSTITUTE(SUBSTITUTE(SUBSTITUTE(LOWER(TRIM(E438)),"á","a"),"é","e"),"í","i"),"ó","o"),"ú","u"),"ü","u"),"ñ","n"),"à","a"),"è","e"),"ì","i"),"ò","o"),"ù","u"),"")</f>
        <v/>
      </c>
      <c r="R438" s="25">
        <f>IF(AND(L438=1,I438&lt;&gt;""),SUBSTITUTE(SUBSTITUTE(SUBSTITUTE(SUBSTITUTE(SUBSTITUTE(SUBSTITUTE(SUBSTITUTE(SUBSTITUTE(SUBSTITUTE(SUBSTITUTE(SUBSTITUTE(SUBSTITUTE(LOWER(TRIM(I438)),"á","a"),"é","e"),"í","i"),"ó","o"),"ú","u"),"ü","u"),"ñ","n"),"à","a"),"è","e"),"ì","i"),"ò","o"),"ù","u"),"")</f>
        <v/>
      </c>
      <c r="S438" s="25">
        <f>IF(R438="","",IF(OR(R438="si",R438="tal vez"),1,0))</f>
        <v/>
      </c>
      <c r="T438" s="25">
        <f>IF(AND(L438=1,D438&lt;&gt;""),IF(IFERROR(COUNTIFS(D$3:D438,"="&amp;SUBSTITUTE(SUBSTITUTE(SUBSTITUTE(D438,"~","~~"),"*","~*"),"?","~?"),L$3:L438,1),0)=1,MAX(T$2:T437)+1,""),"")</f>
        <v/>
      </c>
      <c r="U438" s="25">
        <f>IF(T438="","",COUNTIFS($D$3:$D$1002,"="&amp;SUBSTITUTE(SUBSTITUTE(SUBSTITUTE(D438,"~","~~"),"*","~*"),"?","~?"),$L$3:$L$1002,1)*10000-T438)</f>
        <v/>
      </c>
      <c r="V438" s="25">
        <f>IF(AND(L438=1,J438&lt;&gt;""),IF(IFERROR(COUNTIFS(J$3:J438,"="&amp;SUBSTITUTE(SUBSTITUTE(SUBSTITUTE(J438,"~","~~"),"*","~*"),"?","~?"),L$3:L438,1),0)=1,MAX(V$2:V437)+1,""),"")</f>
        <v/>
      </c>
      <c r="W438" s="25">
        <f>IF(V438="","",COUNTIFS($J$3:$J$1002,"="&amp;SUBSTITUTE(SUBSTITUTE(SUBSTITUTE(J438,"~","~~"),"*","~*"),"?","~?"),$L$3:$L$1002,1)*10000-V438)</f>
        <v/>
      </c>
    </row>
    <row r="439">
      <c r="A439">
        <f>IF(A$2=0,"",IFERROR(TRIM(INDEX('Pegar estudiantes'!$A$1:$BZ$1001,438,A$2)&amp;""),""))</f>
        <v/>
      </c>
      <c r="B439">
        <f>IF(B$2=0,"",IFERROR(TRIM(INDEX('Pegar estudiantes'!$A$1:$BZ$1001,438,B$2)&amp;""),""))</f>
        <v/>
      </c>
      <c r="C439">
        <f>IF(C$2=0,"",IFERROR(TRIM(INDEX('Pegar estudiantes'!$A$1:$BZ$1001,438,C$2)&amp;""),""))</f>
        <v/>
      </c>
      <c r="D439">
        <f>IF(D$2=0,"",IFERROR(TRIM(INDEX('Pegar estudiantes'!$A$1:$BZ$1001,438,D$2)&amp;""),""))</f>
        <v/>
      </c>
      <c r="E439">
        <f>IF(E$2=0,"",IFERROR(TRIM(INDEX('Pegar estudiantes'!$A$1:$BZ$1001,438,E$2)&amp;""),""))</f>
        <v/>
      </c>
      <c r="F439">
        <f>IF(F$2=0,"",IFERROR(TRIM(INDEX('Pegar estudiantes'!$A$1:$BZ$1001,438,F$2)&amp;""),""))</f>
        <v/>
      </c>
      <c r="G439">
        <f>IF(G$2=0,"",IFERROR(TRIM(INDEX('Pegar estudiantes'!$A$1:$BZ$1001,438,G$2)&amp;""),""))</f>
        <v/>
      </c>
      <c r="H439">
        <f>IF(H$2=0,"",IFERROR(TRIM(INDEX('Pegar estudiantes'!$A$1:$BZ$1001,438,H$2)&amp;""),""))</f>
        <v/>
      </c>
      <c r="I439">
        <f>IF(I$2=0,"",IFERROR(TRIM(INDEX('Pegar estudiantes'!$A$1:$BZ$1001,438,I$2)&amp;""),""))</f>
        <v/>
      </c>
      <c r="J439">
        <f>IF(J$2=0,"",IFERROR(TRIM(INDEX('Pegar estudiantes'!$A$1:$BZ$1001,438,J$2)&amp;""),""))</f>
        <v/>
      </c>
      <c r="K439">
        <f>IF(K$2=0,"",IFERROR(TRIM(INDEX('Pegar estudiantes'!$A$1:$BZ$1001,438,K$2)&amp;""),""))</f>
        <v/>
      </c>
      <c r="L439" s="25">
        <f>IF(A439&lt;&gt;"",1,"")</f>
        <v/>
      </c>
      <c r="M439" s="25">
        <f>IF(L439=1,IF(ISNUMBER(FIND("#"&amp;MID(A439,1,1)&amp;"#","#0#1#2#3#4#5#6#7#8#9#")),IF(ISNUMBER(FIND("#"&amp;MID(A439,2,1)&amp;"#","#0#1#2#3#4#5#6#7#8#9#")),IF(AND(VALUE(LEFT(A439,2))&gt;=1,VALUE(LEFT(A439,2))&lt;=5),VALUE(LEFT(A439,2)),""),IF(AND(VALUE(LEFT(A439,1))&gt;=1,VALUE(LEFT(A439,1))&lt;=5),VALUE(LEFT(A439,1)),"")),""),"")</f>
        <v/>
      </c>
      <c r="N439" s="25">
        <f>IF(L439=1,IF(ISNUMBER(FIND("#"&amp;MID(H439,1,1)&amp;"#","#0#1#2#3#4#5#6#7#8#9#")),IF(ISNUMBER(FIND("#"&amp;MID(H439,2,1)&amp;"#","#0#1#2#3#4#5#6#7#8#9#")),IF(AND(VALUE(LEFT(H439,2))&gt;=1,VALUE(LEFT(H439,2))&lt;=5),VALUE(LEFT(H439,2)),""),IF(AND(VALUE(LEFT(H439,1))&gt;=1,VALUE(LEFT(H439,1))&lt;=5),VALUE(LEFT(H439,1)),"")),""),"")</f>
        <v/>
      </c>
      <c r="O439" s="25">
        <f>IF(AND(L439=1,B439&lt;&gt;""),SUBSTITUTE(SUBSTITUTE(SUBSTITUTE(SUBSTITUTE(SUBSTITUTE(SUBSTITUTE(SUBSTITUTE(SUBSTITUTE(SUBSTITUTE(SUBSTITUTE(SUBSTITUTE(SUBSTITUTE(LOWER(TRIM(B439)),"á","a"),"é","e"),"í","i"),"ó","o"),"ú","u"),"ü","u"),"ñ","n"),"à","a"),"è","e"),"ì","i"),"ò","o"),"ù","u"),"")</f>
        <v/>
      </c>
      <c r="P439" s="25">
        <f>IF(AND(L439=1,C439&lt;&gt;""),SUBSTITUTE(SUBSTITUTE(SUBSTITUTE(SUBSTITUTE(SUBSTITUTE(SUBSTITUTE(SUBSTITUTE(SUBSTITUTE(SUBSTITUTE(SUBSTITUTE(SUBSTITUTE(SUBSTITUTE(LOWER(TRIM(C439)),"á","a"),"é","e"),"í","i"),"ó","o"),"ú","u"),"ü","u"),"ñ","n"),"à","a"),"è","e"),"ì","i"),"ò","o"),"ù","u"),"")</f>
        <v/>
      </c>
      <c r="Q439" s="25">
        <f>IF(AND(L439=1,E439&lt;&gt;""),SUBSTITUTE(SUBSTITUTE(SUBSTITUTE(SUBSTITUTE(SUBSTITUTE(SUBSTITUTE(SUBSTITUTE(SUBSTITUTE(SUBSTITUTE(SUBSTITUTE(SUBSTITUTE(SUBSTITUTE(LOWER(TRIM(E439)),"á","a"),"é","e"),"í","i"),"ó","o"),"ú","u"),"ü","u"),"ñ","n"),"à","a"),"è","e"),"ì","i"),"ò","o"),"ù","u"),"")</f>
        <v/>
      </c>
      <c r="R439" s="25">
        <f>IF(AND(L439=1,I439&lt;&gt;""),SUBSTITUTE(SUBSTITUTE(SUBSTITUTE(SUBSTITUTE(SUBSTITUTE(SUBSTITUTE(SUBSTITUTE(SUBSTITUTE(SUBSTITUTE(SUBSTITUTE(SUBSTITUTE(SUBSTITUTE(LOWER(TRIM(I439)),"á","a"),"é","e"),"í","i"),"ó","o"),"ú","u"),"ü","u"),"ñ","n"),"à","a"),"è","e"),"ì","i"),"ò","o"),"ù","u"),"")</f>
        <v/>
      </c>
      <c r="S439" s="25">
        <f>IF(R439="","",IF(OR(R439="si",R439="tal vez"),1,0))</f>
        <v/>
      </c>
      <c r="T439" s="25">
        <f>IF(AND(L439=1,D439&lt;&gt;""),IF(IFERROR(COUNTIFS(D$3:D439,"="&amp;SUBSTITUTE(SUBSTITUTE(SUBSTITUTE(D439,"~","~~"),"*","~*"),"?","~?"),L$3:L439,1),0)=1,MAX(T$2:T438)+1,""),"")</f>
        <v/>
      </c>
      <c r="U439" s="25">
        <f>IF(T439="","",COUNTIFS($D$3:$D$1002,"="&amp;SUBSTITUTE(SUBSTITUTE(SUBSTITUTE(D439,"~","~~"),"*","~*"),"?","~?"),$L$3:$L$1002,1)*10000-T439)</f>
        <v/>
      </c>
      <c r="V439" s="25">
        <f>IF(AND(L439=1,J439&lt;&gt;""),IF(IFERROR(COUNTIFS(J$3:J439,"="&amp;SUBSTITUTE(SUBSTITUTE(SUBSTITUTE(J439,"~","~~"),"*","~*"),"?","~?"),L$3:L439,1),0)=1,MAX(V$2:V438)+1,""),"")</f>
        <v/>
      </c>
      <c r="W439" s="25">
        <f>IF(V439="","",COUNTIFS($J$3:$J$1002,"="&amp;SUBSTITUTE(SUBSTITUTE(SUBSTITUTE(J439,"~","~~"),"*","~*"),"?","~?"),$L$3:$L$1002,1)*10000-V439)</f>
        <v/>
      </c>
    </row>
    <row r="440">
      <c r="A440">
        <f>IF(A$2=0,"",IFERROR(TRIM(INDEX('Pegar estudiantes'!$A$1:$BZ$1001,439,A$2)&amp;""),""))</f>
        <v/>
      </c>
      <c r="B440">
        <f>IF(B$2=0,"",IFERROR(TRIM(INDEX('Pegar estudiantes'!$A$1:$BZ$1001,439,B$2)&amp;""),""))</f>
        <v/>
      </c>
      <c r="C440">
        <f>IF(C$2=0,"",IFERROR(TRIM(INDEX('Pegar estudiantes'!$A$1:$BZ$1001,439,C$2)&amp;""),""))</f>
        <v/>
      </c>
      <c r="D440">
        <f>IF(D$2=0,"",IFERROR(TRIM(INDEX('Pegar estudiantes'!$A$1:$BZ$1001,439,D$2)&amp;""),""))</f>
        <v/>
      </c>
      <c r="E440">
        <f>IF(E$2=0,"",IFERROR(TRIM(INDEX('Pegar estudiantes'!$A$1:$BZ$1001,439,E$2)&amp;""),""))</f>
        <v/>
      </c>
      <c r="F440">
        <f>IF(F$2=0,"",IFERROR(TRIM(INDEX('Pegar estudiantes'!$A$1:$BZ$1001,439,F$2)&amp;""),""))</f>
        <v/>
      </c>
      <c r="G440">
        <f>IF(G$2=0,"",IFERROR(TRIM(INDEX('Pegar estudiantes'!$A$1:$BZ$1001,439,G$2)&amp;""),""))</f>
        <v/>
      </c>
      <c r="H440">
        <f>IF(H$2=0,"",IFERROR(TRIM(INDEX('Pegar estudiantes'!$A$1:$BZ$1001,439,H$2)&amp;""),""))</f>
        <v/>
      </c>
      <c r="I440">
        <f>IF(I$2=0,"",IFERROR(TRIM(INDEX('Pegar estudiantes'!$A$1:$BZ$1001,439,I$2)&amp;""),""))</f>
        <v/>
      </c>
      <c r="J440">
        <f>IF(J$2=0,"",IFERROR(TRIM(INDEX('Pegar estudiantes'!$A$1:$BZ$1001,439,J$2)&amp;""),""))</f>
        <v/>
      </c>
      <c r="K440">
        <f>IF(K$2=0,"",IFERROR(TRIM(INDEX('Pegar estudiantes'!$A$1:$BZ$1001,439,K$2)&amp;""),""))</f>
        <v/>
      </c>
      <c r="L440" s="25">
        <f>IF(A440&lt;&gt;"",1,"")</f>
        <v/>
      </c>
      <c r="M440" s="25">
        <f>IF(L440=1,IF(ISNUMBER(FIND("#"&amp;MID(A440,1,1)&amp;"#","#0#1#2#3#4#5#6#7#8#9#")),IF(ISNUMBER(FIND("#"&amp;MID(A440,2,1)&amp;"#","#0#1#2#3#4#5#6#7#8#9#")),IF(AND(VALUE(LEFT(A440,2))&gt;=1,VALUE(LEFT(A440,2))&lt;=5),VALUE(LEFT(A440,2)),""),IF(AND(VALUE(LEFT(A440,1))&gt;=1,VALUE(LEFT(A440,1))&lt;=5),VALUE(LEFT(A440,1)),"")),""),"")</f>
        <v/>
      </c>
      <c r="N440" s="25">
        <f>IF(L440=1,IF(ISNUMBER(FIND("#"&amp;MID(H440,1,1)&amp;"#","#0#1#2#3#4#5#6#7#8#9#")),IF(ISNUMBER(FIND("#"&amp;MID(H440,2,1)&amp;"#","#0#1#2#3#4#5#6#7#8#9#")),IF(AND(VALUE(LEFT(H440,2))&gt;=1,VALUE(LEFT(H440,2))&lt;=5),VALUE(LEFT(H440,2)),""),IF(AND(VALUE(LEFT(H440,1))&gt;=1,VALUE(LEFT(H440,1))&lt;=5),VALUE(LEFT(H440,1)),"")),""),"")</f>
        <v/>
      </c>
      <c r="O440" s="25">
        <f>IF(AND(L440=1,B440&lt;&gt;""),SUBSTITUTE(SUBSTITUTE(SUBSTITUTE(SUBSTITUTE(SUBSTITUTE(SUBSTITUTE(SUBSTITUTE(SUBSTITUTE(SUBSTITUTE(SUBSTITUTE(SUBSTITUTE(SUBSTITUTE(LOWER(TRIM(B440)),"á","a"),"é","e"),"í","i"),"ó","o"),"ú","u"),"ü","u"),"ñ","n"),"à","a"),"è","e"),"ì","i"),"ò","o"),"ù","u"),"")</f>
        <v/>
      </c>
      <c r="P440" s="25">
        <f>IF(AND(L440=1,C440&lt;&gt;""),SUBSTITUTE(SUBSTITUTE(SUBSTITUTE(SUBSTITUTE(SUBSTITUTE(SUBSTITUTE(SUBSTITUTE(SUBSTITUTE(SUBSTITUTE(SUBSTITUTE(SUBSTITUTE(SUBSTITUTE(LOWER(TRIM(C440)),"á","a"),"é","e"),"í","i"),"ó","o"),"ú","u"),"ü","u"),"ñ","n"),"à","a"),"è","e"),"ì","i"),"ò","o"),"ù","u"),"")</f>
        <v/>
      </c>
      <c r="Q440" s="25">
        <f>IF(AND(L440=1,E440&lt;&gt;""),SUBSTITUTE(SUBSTITUTE(SUBSTITUTE(SUBSTITUTE(SUBSTITUTE(SUBSTITUTE(SUBSTITUTE(SUBSTITUTE(SUBSTITUTE(SUBSTITUTE(SUBSTITUTE(SUBSTITUTE(LOWER(TRIM(E440)),"á","a"),"é","e"),"í","i"),"ó","o"),"ú","u"),"ü","u"),"ñ","n"),"à","a"),"è","e"),"ì","i"),"ò","o"),"ù","u"),"")</f>
        <v/>
      </c>
      <c r="R440" s="25">
        <f>IF(AND(L440=1,I440&lt;&gt;""),SUBSTITUTE(SUBSTITUTE(SUBSTITUTE(SUBSTITUTE(SUBSTITUTE(SUBSTITUTE(SUBSTITUTE(SUBSTITUTE(SUBSTITUTE(SUBSTITUTE(SUBSTITUTE(SUBSTITUTE(LOWER(TRIM(I440)),"á","a"),"é","e"),"í","i"),"ó","o"),"ú","u"),"ü","u"),"ñ","n"),"à","a"),"è","e"),"ì","i"),"ò","o"),"ù","u"),"")</f>
        <v/>
      </c>
      <c r="S440" s="25">
        <f>IF(R440="","",IF(OR(R440="si",R440="tal vez"),1,0))</f>
        <v/>
      </c>
      <c r="T440" s="25">
        <f>IF(AND(L440=1,D440&lt;&gt;""),IF(IFERROR(COUNTIFS(D$3:D440,"="&amp;SUBSTITUTE(SUBSTITUTE(SUBSTITUTE(D440,"~","~~"),"*","~*"),"?","~?"),L$3:L440,1),0)=1,MAX(T$2:T439)+1,""),"")</f>
        <v/>
      </c>
      <c r="U440" s="25">
        <f>IF(T440="","",COUNTIFS($D$3:$D$1002,"="&amp;SUBSTITUTE(SUBSTITUTE(SUBSTITUTE(D440,"~","~~"),"*","~*"),"?","~?"),$L$3:$L$1002,1)*10000-T440)</f>
        <v/>
      </c>
      <c r="V440" s="25">
        <f>IF(AND(L440=1,J440&lt;&gt;""),IF(IFERROR(COUNTIFS(J$3:J440,"="&amp;SUBSTITUTE(SUBSTITUTE(SUBSTITUTE(J440,"~","~~"),"*","~*"),"?","~?"),L$3:L440,1),0)=1,MAX(V$2:V439)+1,""),"")</f>
        <v/>
      </c>
      <c r="W440" s="25">
        <f>IF(V440="","",COUNTIFS($J$3:$J$1002,"="&amp;SUBSTITUTE(SUBSTITUTE(SUBSTITUTE(J440,"~","~~"),"*","~*"),"?","~?"),$L$3:$L$1002,1)*10000-V440)</f>
        <v/>
      </c>
    </row>
    <row r="441">
      <c r="A441">
        <f>IF(A$2=0,"",IFERROR(TRIM(INDEX('Pegar estudiantes'!$A$1:$BZ$1001,440,A$2)&amp;""),""))</f>
        <v/>
      </c>
      <c r="B441">
        <f>IF(B$2=0,"",IFERROR(TRIM(INDEX('Pegar estudiantes'!$A$1:$BZ$1001,440,B$2)&amp;""),""))</f>
        <v/>
      </c>
      <c r="C441">
        <f>IF(C$2=0,"",IFERROR(TRIM(INDEX('Pegar estudiantes'!$A$1:$BZ$1001,440,C$2)&amp;""),""))</f>
        <v/>
      </c>
      <c r="D441">
        <f>IF(D$2=0,"",IFERROR(TRIM(INDEX('Pegar estudiantes'!$A$1:$BZ$1001,440,D$2)&amp;""),""))</f>
        <v/>
      </c>
      <c r="E441">
        <f>IF(E$2=0,"",IFERROR(TRIM(INDEX('Pegar estudiantes'!$A$1:$BZ$1001,440,E$2)&amp;""),""))</f>
        <v/>
      </c>
      <c r="F441">
        <f>IF(F$2=0,"",IFERROR(TRIM(INDEX('Pegar estudiantes'!$A$1:$BZ$1001,440,F$2)&amp;""),""))</f>
        <v/>
      </c>
      <c r="G441">
        <f>IF(G$2=0,"",IFERROR(TRIM(INDEX('Pegar estudiantes'!$A$1:$BZ$1001,440,G$2)&amp;""),""))</f>
        <v/>
      </c>
      <c r="H441">
        <f>IF(H$2=0,"",IFERROR(TRIM(INDEX('Pegar estudiantes'!$A$1:$BZ$1001,440,H$2)&amp;""),""))</f>
        <v/>
      </c>
      <c r="I441">
        <f>IF(I$2=0,"",IFERROR(TRIM(INDEX('Pegar estudiantes'!$A$1:$BZ$1001,440,I$2)&amp;""),""))</f>
        <v/>
      </c>
      <c r="J441">
        <f>IF(J$2=0,"",IFERROR(TRIM(INDEX('Pegar estudiantes'!$A$1:$BZ$1001,440,J$2)&amp;""),""))</f>
        <v/>
      </c>
      <c r="K441">
        <f>IF(K$2=0,"",IFERROR(TRIM(INDEX('Pegar estudiantes'!$A$1:$BZ$1001,440,K$2)&amp;""),""))</f>
        <v/>
      </c>
      <c r="L441" s="25">
        <f>IF(A441&lt;&gt;"",1,"")</f>
        <v/>
      </c>
      <c r="M441" s="25">
        <f>IF(L441=1,IF(ISNUMBER(FIND("#"&amp;MID(A441,1,1)&amp;"#","#0#1#2#3#4#5#6#7#8#9#")),IF(ISNUMBER(FIND("#"&amp;MID(A441,2,1)&amp;"#","#0#1#2#3#4#5#6#7#8#9#")),IF(AND(VALUE(LEFT(A441,2))&gt;=1,VALUE(LEFT(A441,2))&lt;=5),VALUE(LEFT(A441,2)),""),IF(AND(VALUE(LEFT(A441,1))&gt;=1,VALUE(LEFT(A441,1))&lt;=5),VALUE(LEFT(A441,1)),"")),""),"")</f>
        <v/>
      </c>
      <c r="N441" s="25">
        <f>IF(L441=1,IF(ISNUMBER(FIND("#"&amp;MID(H441,1,1)&amp;"#","#0#1#2#3#4#5#6#7#8#9#")),IF(ISNUMBER(FIND("#"&amp;MID(H441,2,1)&amp;"#","#0#1#2#3#4#5#6#7#8#9#")),IF(AND(VALUE(LEFT(H441,2))&gt;=1,VALUE(LEFT(H441,2))&lt;=5),VALUE(LEFT(H441,2)),""),IF(AND(VALUE(LEFT(H441,1))&gt;=1,VALUE(LEFT(H441,1))&lt;=5),VALUE(LEFT(H441,1)),"")),""),"")</f>
        <v/>
      </c>
      <c r="O441" s="25">
        <f>IF(AND(L441=1,B441&lt;&gt;""),SUBSTITUTE(SUBSTITUTE(SUBSTITUTE(SUBSTITUTE(SUBSTITUTE(SUBSTITUTE(SUBSTITUTE(SUBSTITUTE(SUBSTITUTE(SUBSTITUTE(SUBSTITUTE(SUBSTITUTE(LOWER(TRIM(B441)),"á","a"),"é","e"),"í","i"),"ó","o"),"ú","u"),"ü","u"),"ñ","n"),"à","a"),"è","e"),"ì","i"),"ò","o"),"ù","u"),"")</f>
        <v/>
      </c>
      <c r="P441" s="25">
        <f>IF(AND(L441=1,C441&lt;&gt;""),SUBSTITUTE(SUBSTITUTE(SUBSTITUTE(SUBSTITUTE(SUBSTITUTE(SUBSTITUTE(SUBSTITUTE(SUBSTITUTE(SUBSTITUTE(SUBSTITUTE(SUBSTITUTE(SUBSTITUTE(LOWER(TRIM(C441)),"á","a"),"é","e"),"í","i"),"ó","o"),"ú","u"),"ü","u"),"ñ","n"),"à","a"),"è","e"),"ì","i"),"ò","o"),"ù","u"),"")</f>
        <v/>
      </c>
      <c r="Q441" s="25">
        <f>IF(AND(L441=1,E441&lt;&gt;""),SUBSTITUTE(SUBSTITUTE(SUBSTITUTE(SUBSTITUTE(SUBSTITUTE(SUBSTITUTE(SUBSTITUTE(SUBSTITUTE(SUBSTITUTE(SUBSTITUTE(SUBSTITUTE(SUBSTITUTE(LOWER(TRIM(E441)),"á","a"),"é","e"),"í","i"),"ó","o"),"ú","u"),"ü","u"),"ñ","n"),"à","a"),"è","e"),"ì","i"),"ò","o"),"ù","u"),"")</f>
        <v/>
      </c>
      <c r="R441" s="25">
        <f>IF(AND(L441=1,I441&lt;&gt;""),SUBSTITUTE(SUBSTITUTE(SUBSTITUTE(SUBSTITUTE(SUBSTITUTE(SUBSTITUTE(SUBSTITUTE(SUBSTITUTE(SUBSTITUTE(SUBSTITUTE(SUBSTITUTE(SUBSTITUTE(LOWER(TRIM(I441)),"á","a"),"é","e"),"í","i"),"ó","o"),"ú","u"),"ü","u"),"ñ","n"),"à","a"),"è","e"),"ì","i"),"ò","o"),"ù","u"),"")</f>
        <v/>
      </c>
      <c r="S441" s="25">
        <f>IF(R441="","",IF(OR(R441="si",R441="tal vez"),1,0))</f>
        <v/>
      </c>
      <c r="T441" s="25">
        <f>IF(AND(L441=1,D441&lt;&gt;""),IF(IFERROR(COUNTIFS(D$3:D441,"="&amp;SUBSTITUTE(SUBSTITUTE(SUBSTITUTE(D441,"~","~~"),"*","~*"),"?","~?"),L$3:L441,1),0)=1,MAX(T$2:T440)+1,""),"")</f>
        <v/>
      </c>
      <c r="U441" s="25">
        <f>IF(T441="","",COUNTIFS($D$3:$D$1002,"="&amp;SUBSTITUTE(SUBSTITUTE(SUBSTITUTE(D441,"~","~~"),"*","~*"),"?","~?"),$L$3:$L$1002,1)*10000-T441)</f>
        <v/>
      </c>
      <c r="V441" s="25">
        <f>IF(AND(L441=1,J441&lt;&gt;""),IF(IFERROR(COUNTIFS(J$3:J441,"="&amp;SUBSTITUTE(SUBSTITUTE(SUBSTITUTE(J441,"~","~~"),"*","~*"),"?","~?"),L$3:L441,1),0)=1,MAX(V$2:V440)+1,""),"")</f>
        <v/>
      </c>
      <c r="W441" s="25">
        <f>IF(V441="","",COUNTIFS($J$3:$J$1002,"="&amp;SUBSTITUTE(SUBSTITUTE(SUBSTITUTE(J441,"~","~~"),"*","~*"),"?","~?"),$L$3:$L$1002,1)*10000-V441)</f>
        <v/>
      </c>
    </row>
    <row r="442">
      <c r="A442">
        <f>IF(A$2=0,"",IFERROR(TRIM(INDEX('Pegar estudiantes'!$A$1:$BZ$1001,441,A$2)&amp;""),""))</f>
        <v/>
      </c>
      <c r="B442">
        <f>IF(B$2=0,"",IFERROR(TRIM(INDEX('Pegar estudiantes'!$A$1:$BZ$1001,441,B$2)&amp;""),""))</f>
        <v/>
      </c>
      <c r="C442">
        <f>IF(C$2=0,"",IFERROR(TRIM(INDEX('Pegar estudiantes'!$A$1:$BZ$1001,441,C$2)&amp;""),""))</f>
        <v/>
      </c>
      <c r="D442">
        <f>IF(D$2=0,"",IFERROR(TRIM(INDEX('Pegar estudiantes'!$A$1:$BZ$1001,441,D$2)&amp;""),""))</f>
        <v/>
      </c>
      <c r="E442">
        <f>IF(E$2=0,"",IFERROR(TRIM(INDEX('Pegar estudiantes'!$A$1:$BZ$1001,441,E$2)&amp;""),""))</f>
        <v/>
      </c>
      <c r="F442">
        <f>IF(F$2=0,"",IFERROR(TRIM(INDEX('Pegar estudiantes'!$A$1:$BZ$1001,441,F$2)&amp;""),""))</f>
        <v/>
      </c>
      <c r="G442">
        <f>IF(G$2=0,"",IFERROR(TRIM(INDEX('Pegar estudiantes'!$A$1:$BZ$1001,441,G$2)&amp;""),""))</f>
        <v/>
      </c>
      <c r="H442">
        <f>IF(H$2=0,"",IFERROR(TRIM(INDEX('Pegar estudiantes'!$A$1:$BZ$1001,441,H$2)&amp;""),""))</f>
        <v/>
      </c>
      <c r="I442">
        <f>IF(I$2=0,"",IFERROR(TRIM(INDEX('Pegar estudiantes'!$A$1:$BZ$1001,441,I$2)&amp;""),""))</f>
        <v/>
      </c>
      <c r="J442">
        <f>IF(J$2=0,"",IFERROR(TRIM(INDEX('Pegar estudiantes'!$A$1:$BZ$1001,441,J$2)&amp;""),""))</f>
        <v/>
      </c>
      <c r="K442">
        <f>IF(K$2=0,"",IFERROR(TRIM(INDEX('Pegar estudiantes'!$A$1:$BZ$1001,441,K$2)&amp;""),""))</f>
        <v/>
      </c>
      <c r="L442" s="25">
        <f>IF(A442&lt;&gt;"",1,"")</f>
        <v/>
      </c>
      <c r="M442" s="25">
        <f>IF(L442=1,IF(ISNUMBER(FIND("#"&amp;MID(A442,1,1)&amp;"#","#0#1#2#3#4#5#6#7#8#9#")),IF(ISNUMBER(FIND("#"&amp;MID(A442,2,1)&amp;"#","#0#1#2#3#4#5#6#7#8#9#")),IF(AND(VALUE(LEFT(A442,2))&gt;=1,VALUE(LEFT(A442,2))&lt;=5),VALUE(LEFT(A442,2)),""),IF(AND(VALUE(LEFT(A442,1))&gt;=1,VALUE(LEFT(A442,1))&lt;=5),VALUE(LEFT(A442,1)),"")),""),"")</f>
        <v/>
      </c>
      <c r="N442" s="25">
        <f>IF(L442=1,IF(ISNUMBER(FIND("#"&amp;MID(H442,1,1)&amp;"#","#0#1#2#3#4#5#6#7#8#9#")),IF(ISNUMBER(FIND("#"&amp;MID(H442,2,1)&amp;"#","#0#1#2#3#4#5#6#7#8#9#")),IF(AND(VALUE(LEFT(H442,2))&gt;=1,VALUE(LEFT(H442,2))&lt;=5),VALUE(LEFT(H442,2)),""),IF(AND(VALUE(LEFT(H442,1))&gt;=1,VALUE(LEFT(H442,1))&lt;=5),VALUE(LEFT(H442,1)),"")),""),"")</f>
        <v/>
      </c>
      <c r="O442" s="25">
        <f>IF(AND(L442=1,B442&lt;&gt;""),SUBSTITUTE(SUBSTITUTE(SUBSTITUTE(SUBSTITUTE(SUBSTITUTE(SUBSTITUTE(SUBSTITUTE(SUBSTITUTE(SUBSTITUTE(SUBSTITUTE(SUBSTITUTE(SUBSTITUTE(LOWER(TRIM(B442)),"á","a"),"é","e"),"í","i"),"ó","o"),"ú","u"),"ü","u"),"ñ","n"),"à","a"),"è","e"),"ì","i"),"ò","o"),"ù","u"),"")</f>
        <v/>
      </c>
      <c r="P442" s="25">
        <f>IF(AND(L442=1,C442&lt;&gt;""),SUBSTITUTE(SUBSTITUTE(SUBSTITUTE(SUBSTITUTE(SUBSTITUTE(SUBSTITUTE(SUBSTITUTE(SUBSTITUTE(SUBSTITUTE(SUBSTITUTE(SUBSTITUTE(SUBSTITUTE(LOWER(TRIM(C442)),"á","a"),"é","e"),"í","i"),"ó","o"),"ú","u"),"ü","u"),"ñ","n"),"à","a"),"è","e"),"ì","i"),"ò","o"),"ù","u"),"")</f>
        <v/>
      </c>
      <c r="Q442" s="25">
        <f>IF(AND(L442=1,E442&lt;&gt;""),SUBSTITUTE(SUBSTITUTE(SUBSTITUTE(SUBSTITUTE(SUBSTITUTE(SUBSTITUTE(SUBSTITUTE(SUBSTITUTE(SUBSTITUTE(SUBSTITUTE(SUBSTITUTE(SUBSTITUTE(LOWER(TRIM(E442)),"á","a"),"é","e"),"í","i"),"ó","o"),"ú","u"),"ü","u"),"ñ","n"),"à","a"),"è","e"),"ì","i"),"ò","o"),"ù","u"),"")</f>
        <v/>
      </c>
      <c r="R442" s="25">
        <f>IF(AND(L442=1,I442&lt;&gt;""),SUBSTITUTE(SUBSTITUTE(SUBSTITUTE(SUBSTITUTE(SUBSTITUTE(SUBSTITUTE(SUBSTITUTE(SUBSTITUTE(SUBSTITUTE(SUBSTITUTE(SUBSTITUTE(SUBSTITUTE(LOWER(TRIM(I442)),"á","a"),"é","e"),"í","i"),"ó","o"),"ú","u"),"ü","u"),"ñ","n"),"à","a"),"è","e"),"ì","i"),"ò","o"),"ù","u"),"")</f>
        <v/>
      </c>
      <c r="S442" s="25">
        <f>IF(R442="","",IF(OR(R442="si",R442="tal vez"),1,0))</f>
        <v/>
      </c>
      <c r="T442" s="25">
        <f>IF(AND(L442=1,D442&lt;&gt;""),IF(IFERROR(COUNTIFS(D$3:D442,"="&amp;SUBSTITUTE(SUBSTITUTE(SUBSTITUTE(D442,"~","~~"),"*","~*"),"?","~?"),L$3:L442,1),0)=1,MAX(T$2:T441)+1,""),"")</f>
        <v/>
      </c>
      <c r="U442" s="25">
        <f>IF(T442="","",COUNTIFS($D$3:$D$1002,"="&amp;SUBSTITUTE(SUBSTITUTE(SUBSTITUTE(D442,"~","~~"),"*","~*"),"?","~?"),$L$3:$L$1002,1)*10000-T442)</f>
        <v/>
      </c>
      <c r="V442" s="25">
        <f>IF(AND(L442=1,J442&lt;&gt;""),IF(IFERROR(COUNTIFS(J$3:J442,"="&amp;SUBSTITUTE(SUBSTITUTE(SUBSTITUTE(J442,"~","~~"),"*","~*"),"?","~?"),L$3:L442,1),0)=1,MAX(V$2:V441)+1,""),"")</f>
        <v/>
      </c>
      <c r="W442" s="25">
        <f>IF(V442="","",COUNTIFS($J$3:$J$1002,"="&amp;SUBSTITUTE(SUBSTITUTE(SUBSTITUTE(J442,"~","~~"),"*","~*"),"?","~?"),$L$3:$L$1002,1)*10000-V442)</f>
        <v/>
      </c>
    </row>
    <row r="443">
      <c r="A443">
        <f>IF(A$2=0,"",IFERROR(TRIM(INDEX('Pegar estudiantes'!$A$1:$BZ$1001,442,A$2)&amp;""),""))</f>
        <v/>
      </c>
      <c r="B443">
        <f>IF(B$2=0,"",IFERROR(TRIM(INDEX('Pegar estudiantes'!$A$1:$BZ$1001,442,B$2)&amp;""),""))</f>
        <v/>
      </c>
      <c r="C443">
        <f>IF(C$2=0,"",IFERROR(TRIM(INDEX('Pegar estudiantes'!$A$1:$BZ$1001,442,C$2)&amp;""),""))</f>
        <v/>
      </c>
      <c r="D443">
        <f>IF(D$2=0,"",IFERROR(TRIM(INDEX('Pegar estudiantes'!$A$1:$BZ$1001,442,D$2)&amp;""),""))</f>
        <v/>
      </c>
      <c r="E443">
        <f>IF(E$2=0,"",IFERROR(TRIM(INDEX('Pegar estudiantes'!$A$1:$BZ$1001,442,E$2)&amp;""),""))</f>
        <v/>
      </c>
      <c r="F443">
        <f>IF(F$2=0,"",IFERROR(TRIM(INDEX('Pegar estudiantes'!$A$1:$BZ$1001,442,F$2)&amp;""),""))</f>
        <v/>
      </c>
      <c r="G443">
        <f>IF(G$2=0,"",IFERROR(TRIM(INDEX('Pegar estudiantes'!$A$1:$BZ$1001,442,G$2)&amp;""),""))</f>
        <v/>
      </c>
      <c r="H443">
        <f>IF(H$2=0,"",IFERROR(TRIM(INDEX('Pegar estudiantes'!$A$1:$BZ$1001,442,H$2)&amp;""),""))</f>
        <v/>
      </c>
      <c r="I443">
        <f>IF(I$2=0,"",IFERROR(TRIM(INDEX('Pegar estudiantes'!$A$1:$BZ$1001,442,I$2)&amp;""),""))</f>
        <v/>
      </c>
      <c r="J443">
        <f>IF(J$2=0,"",IFERROR(TRIM(INDEX('Pegar estudiantes'!$A$1:$BZ$1001,442,J$2)&amp;""),""))</f>
        <v/>
      </c>
      <c r="K443">
        <f>IF(K$2=0,"",IFERROR(TRIM(INDEX('Pegar estudiantes'!$A$1:$BZ$1001,442,K$2)&amp;""),""))</f>
        <v/>
      </c>
      <c r="L443" s="25">
        <f>IF(A443&lt;&gt;"",1,"")</f>
        <v/>
      </c>
      <c r="M443" s="25">
        <f>IF(L443=1,IF(ISNUMBER(FIND("#"&amp;MID(A443,1,1)&amp;"#","#0#1#2#3#4#5#6#7#8#9#")),IF(ISNUMBER(FIND("#"&amp;MID(A443,2,1)&amp;"#","#0#1#2#3#4#5#6#7#8#9#")),IF(AND(VALUE(LEFT(A443,2))&gt;=1,VALUE(LEFT(A443,2))&lt;=5),VALUE(LEFT(A443,2)),""),IF(AND(VALUE(LEFT(A443,1))&gt;=1,VALUE(LEFT(A443,1))&lt;=5),VALUE(LEFT(A443,1)),"")),""),"")</f>
        <v/>
      </c>
      <c r="N443" s="25">
        <f>IF(L443=1,IF(ISNUMBER(FIND("#"&amp;MID(H443,1,1)&amp;"#","#0#1#2#3#4#5#6#7#8#9#")),IF(ISNUMBER(FIND("#"&amp;MID(H443,2,1)&amp;"#","#0#1#2#3#4#5#6#7#8#9#")),IF(AND(VALUE(LEFT(H443,2))&gt;=1,VALUE(LEFT(H443,2))&lt;=5),VALUE(LEFT(H443,2)),""),IF(AND(VALUE(LEFT(H443,1))&gt;=1,VALUE(LEFT(H443,1))&lt;=5),VALUE(LEFT(H443,1)),"")),""),"")</f>
        <v/>
      </c>
      <c r="O443" s="25">
        <f>IF(AND(L443=1,B443&lt;&gt;""),SUBSTITUTE(SUBSTITUTE(SUBSTITUTE(SUBSTITUTE(SUBSTITUTE(SUBSTITUTE(SUBSTITUTE(SUBSTITUTE(SUBSTITUTE(SUBSTITUTE(SUBSTITUTE(SUBSTITUTE(LOWER(TRIM(B443)),"á","a"),"é","e"),"í","i"),"ó","o"),"ú","u"),"ü","u"),"ñ","n"),"à","a"),"è","e"),"ì","i"),"ò","o"),"ù","u"),"")</f>
        <v/>
      </c>
      <c r="P443" s="25">
        <f>IF(AND(L443=1,C443&lt;&gt;""),SUBSTITUTE(SUBSTITUTE(SUBSTITUTE(SUBSTITUTE(SUBSTITUTE(SUBSTITUTE(SUBSTITUTE(SUBSTITUTE(SUBSTITUTE(SUBSTITUTE(SUBSTITUTE(SUBSTITUTE(LOWER(TRIM(C443)),"á","a"),"é","e"),"í","i"),"ó","o"),"ú","u"),"ü","u"),"ñ","n"),"à","a"),"è","e"),"ì","i"),"ò","o"),"ù","u"),"")</f>
        <v/>
      </c>
      <c r="Q443" s="25">
        <f>IF(AND(L443=1,E443&lt;&gt;""),SUBSTITUTE(SUBSTITUTE(SUBSTITUTE(SUBSTITUTE(SUBSTITUTE(SUBSTITUTE(SUBSTITUTE(SUBSTITUTE(SUBSTITUTE(SUBSTITUTE(SUBSTITUTE(SUBSTITUTE(LOWER(TRIM(E443)),"á","a"),"é","e"),"í","i"),"ó","o"),"ú","u"),"ü","u"),"ñ","n"),"à","a"),"è","e"),"ì","i"),"ò","o"),"ù","u"),"")</f>
        <v/>
      </c>
      <c r="R443" s="25">
        <f>IF(AND(L443=1,I443&lt;&gt;""),SUBSTITUTE(SUBSTITUTE(SUBSTITUTE(SUBSTITUTE(SUBSTITUTE(SUBSTITUTE(SUBSTITUTE(SUBSTITUTE(SUBSTITUTE(SUBSTITUTE(SUBSTITUTE(SUBSTITUTE(LOWER(TRIM(I443)),"á","a"),"é","e"),"í","i"),"ó","o"),"ú","u"),"ü","u"),"ñ","n"),"à","a"),"è","e"),"ì","i"),"ò","o"),"ù","u"),"")</f>
        <v/>
      </c>
      <c r="S443" s="25">
        <f>IF(R443="","",IF(OR(R443="si",R443="tal vez"),1,0))</f>
        <v/>
      </c>
      <c r="T443" s="25">
        <f>IF(AND(L443=1,D443&lt;&gt;""),IF(IFERROR(COUNTIFS(D$3:D443,"="&amp;SUBSTITUTE(SUBSTITUTE(SUBSTITUTE(D443,"~","~~"),"*","~*"),"?","~?"),L$3:L443,1),0)=1,MAX(T$2:T442)+1,""),"")</f>
        <v/>
      </c>
      <c r="U443" s="25">
        <f>IF(T443="","",COUNTIFS($D$3:$D$1002,"="&amp;SUBSTITUTE(SUBSTITUTE(SUBSTITUTE(D443,"~","~~"),"*","~*"),"?","~?"),$L$3:$L$1002,1)*10000-T443)</f>
        <v/>
      </c>
      <c r="V443" s="25">
        <f>IF(AND(L443=1,J443&lt;&gt;""),IF(IFERROR(COUNTIFS(J$3:J443,"="&amp;SUBSTITUTE(SUBSTITUTE(SUBSTITUTE(J443,"~","~~"),"*","~*"),"?","~?"),L$3:L443,1),0)=1,MAX(V$2:V442)+1,""),"")</f>
        <v/>
      </c>
      <c r="W443" s="25">
        <f>IF(V443="","",COUNTIFS($J$3:$J$1002,"="&amp;SUBSTITUTE(SUBSTITUTE(SUBSTITUTE(J443,"~","~~"),"*","~*"),"?","~?"),$L$3:$L$1002,1)*10000-V443)</f>
        <v/>
      </c>
    </row>
    <row r="444">
      <c r="A444">
        <f>IF(A$2=0,"",IFERROR(TRIM(INDEX('Pegar estudiantes'!$A$1:$BZ$1001,443,A$2)&amp;""),""))</f>
        <v/>
      </c>
      <c r="B444">
        <f>IF(B$2=0,"",IFERROR(TRIM(INDEX('Pegar estudiantes'!$A$1:$BZ$1001,443,B$2)&amp;""),""))</f>
        <v/>
      </c>
      <c r="C444">
        <f>IF(C$2=0,"",IFERROR(TRIM(INDEX('Pegar estudiantes'!$A$1:$BZ$1001,443,C$2)&amp;""),""))</f>
        <v/>
      </c>
      <c r="D444">
        <f>IF(D$2=0,"",IFERROR(TRIM(INDEX('Pegar estudiantes'!$A$1:$BZ$1001,443,D$2)&amp;""),""))</f>
        <v/>
      </c>
      <c r="E444">
        <f>IF(E$2=0,"",IFERROR(TRIM(INDEX('Pegar estudiantes'!$A$1:$BZ$1001,443,E$2)&amp;""),""))</f>
        <v/>
      </c>
      <c r="F444">
        <f>IF(F$2=0,"",IFERROR(TRIM(INDEX('Pegar estudiantes'!$A$1:$BZ$1001,443,F$2)&amp;""),""))</f>
        <v/>
      </c>
      <c r="G444">
        <f>IF(G$2=0,"",IFERROR(TRIM(INDEX('Pegar estudiantes'!$A$1:$BZ$1001,443,G$2)&amp;""),""))</f>
        <v/>
      </c>
      <c r="H444">
        <f>IF(H$2=0,"",IFERROR(TRIM(INDEX('Pegar estudiantes'!$A$1:$BZ$1001,443,H$2)&amp;""),""))</f>
        <v/>
      </c>
      <c r="I444">
        <f>IF(I$2=0,"",IFERROR(TRIM(INDEX('Pegar estudiantes'!$A$1:$BZ$1001,443,I$2)&amp;""),""))</f>
        <v/>
      </c>
      <c r="J444">
        <f>IF(J$2=0,"",IFERROR(TRIM(INDEX('Pegar estudiantes'!$A$1:$BZ$1001,443,J$2)&amp;""),""))</f>
        <v/>
      </c>
      <c r="K444">
        <f>IF(K$2=0,"",IFERROR(TRIM(INDEX('Pegar estudiantes'!$A$1:$BZ$1001,443,K$2)&amp;""),""))</f>
        <v/>
      </c>
      <c r="L444" s="25">
        <f>IF(A444&lt;&gt;"",1,"")</f>
        <v/>
      </c>
      <c r="M444" s="25">
        <f>IF(L444=1,IF(ISNUMBER(FIND("#"&amp;MID(A444,1,1)&amp;"#","#0#1#2#3#4#5#6#7#8#9#")),IF(ISNUMBER(FIND("#"&amp;MID(A444,2,1)&amp;"#","#0#1#2#3#4#5#6#7#8#9#")),IF(AND(VALUE(LEFT(A444,2))&gt;=1,VALUE(LEFT(A444,2))&lt;=5),VALUE(LEFT(A444,2)),""),IF(AND(VALUE(LEFT(A444,1))&gt;=1,VALUE(LEFT(A444,1))&lt;=5),VALUE(LEFT(A444,1)),"")),""),"")</f>
        <v/>
      </c>
      <c r="N444" s="25">
        <f>IF(L444=1,IF(ISNUMBER(FIND("#"&amp;MID(H444,1,1)&amp;"#","#0#1#2#3#4#5#6#7#8#9#")),IF(ISNUMBER(FIND("#"&amp;MID(H444,2,1)&amp;"#","#0#1#2#3#4#5#6#7#8#9#")),IF(AND(VALUE(LEFT(H444,2))&gt;=1,VALUE(LEFT(H444,2))&lt;=5),VALUE(LEFT(H444,2)),""),IF(AND(VALUE(LEFT(H444,1))&gt;=1,VALUE(LEFT(H444,1))&lt;=5),VALUE(LEFT(H444,1)),"")),""),"")</f>
        <v/>
      </c>
      <c r="O444" s="25">
        <f>IF(AND(L444=1,B444&lt;&gt;""),SUBSTITUTE(SUBSTITUTE(SUBSTITUTE(SUBSTITUTE(SUBSTITUTE(SUBSTITUTE(SUBSTITUTE(SUBSTITUTE(SUBSTITUTE(SUBSTITUTE(SUBSTITUTE(SUBSTITUTE(LOWER(TRIM(B444)),"á","a"),"é","e"),"í","i"),"ó","o"),"ú","u"),"ü","u"),"ñ","n"),"à","a"),"è","e"),"ì","i"),"ò","o"),"ù","u"),"")</f>
        <v/>
      </c>
      <c r="P444" s="25">
        <f>IF(AND(L444=1,C444&lt;&gt;""),SUBSTITUTE(SUBSTITUTE(SUBSTITUTE(SUBSTITUTE(SUBSTITUTE(SUBSTITUTE(SUBSTITUTE(SUBSTITUTE(SUBSTITUTE(SUBSTITUTE(SUBSTITUTE(SUBSTITUTE(LOWER(TRIM(C444)),"á","a"),"é","e"),"í","i"),"ó","o"),"ú","u"),"ü","u"),"ñ","n"),"à","a"),"è","e"),"ì","i"),"ò","o"),"ù","u"),"")</f>
        <v/>
      </c>
      <c r="Q444" s="25">
        <f>IF(AND(L444=1,E444&lt;&gt;""),SUBSTITUTE(SUBSTITUTE(SUBSTITUTE(SUBSTITUTE(SUBSTITUTE(SUBSTITUTE(SUBSTITUTE(SUBSTITUTE(SUBSTITUTE(SUBSTITUTE(SUBSTITUTE(SUBSTITUTE(LOWER(TRIM(E444)),"á","a"),"é","e"),"í","i"),"ó","o"),"ú","u"),"ü","u"),"ñ","n"),"à","a"),"è","e"),"ì","i"),"ò","o"),"ù","u"),"")</f>
        <v/>
      </c>
      <c r="R444" s="25">
        <f>IF(AND(L444=1,I444&lt;&gt;""),SUBSTITUTE(SUBSTITUTE(SUBSTITUTE(SUBSTITUTE(SUBSTITUTE(SUBSTITUTE(SUBSTITUTE(SUBSTITUTE(SUBSTITUTE(SUBSTITUTE(SUBSTITUTE(SUBSTITUTE(LOWER(TRIM(I444)),"á","a"),"é","e"),"í","i"),"ó","o"),"ú","u"),"ü","u"),"ñ","n"),"à","a"),"è","e"),"ì","i"),"ò","o"),"ù","u"),"")</f>
        <v/>
      </c>
      <c r="S444" s="25">
        <f>IF(R444="","",IF(OR(R444="si",R444="tal vez"),1,0))</f>
        <v/>
      </c>
      <c r="T444" s="25">
        <f>IF(AND(L444=1,D444&lt;&gt;""),IF(IFERROR(COUNTIFS(D$3:D444,"="&amp;SUBSTITUTE(SUBSTITUTE(SUBSTITUTE(D444,"~","~~"),"*","~*"),"?","~?"),L$3:L444,1),0)=1,MAX(T$2:T443)+1,""),"")</f>
        <v/>
      </c>
      <c r="U444" s="25">
        <f>IF(T444="","",COUNTIFS($D$3:$D$1002,"="&amp;SUBSTITUTE(SUBSTITUTE(SUBSTITUTE(D444,"~","~~"),"*","~*"),"?","~?"),$L$3:$L$1002,1)*10000-T444)</f>
        <v/>
      </c>
      <c r="V444" s="25">
        <f>IF(AND(L444=1,J444&lt;&gt;""),IF(IFERROR(COUNTIFS(J$3:J444,"="&amp;SUBSTITUTE(SUBSTITUTE(SUBSTITUTE(J444,"~","~~"),"*","~*"),"?","~?"),L$3:L444,1),0)=1,MAX(V$2:V443)+1,""),"")</f>
        <v/>
      </c>
      <c r="W444" s="25">
        <f>IF(V444="","",COUNTIFS($J$3:$J$1002,"="&amp;SUBSTITUTE(SUBSTITUTE(SUBSTITUTE(J444,"~","~~"),"*","~*"),"?","~?"),$L$3:$L$1002,1)*10000-V444)</f>
        <v/>
      </c>
    </row>
    <row r="445">
      <c r="A445">
        <f>IF(A$2=0,"",IFERROR(TRIM(INDEX('Pegar estudiantes'!$A$1:$BZ$1001,444,A$2)&amp;""),""))</f>
        <v/>
      </c>
      <c r="B445">
        <f>IF(B$2=0,"",IFERROR(TRIM(INDEX('Pegar estudiantes'!$A$1:$BZ$1001,444,B$2)&amp;""),""))</f>
        <v/>
      </c>
      <c r="C445">
        <f>IF(C$2=0,"",IFERROR(TRIM(INDEX('Pegar estudiantes'!$A$1:$BZ$1001,444,C$2)&amp;""),""))</f>
        <v/>
      </c>
      <c r="D445">
        <f>IF(D$2=0,"",IFERROR(TRIM(INDEX('Pegar estudiantes'!$A$1:$BZ$1001,444,D$2)&amp;""),""))</f>
        <v/>
      </c>
      <c r="E445">
        <f>IF(E$2=0,"",IFERROR(TRIM(INDEX('Pegar estudiantes'!$A$1:$BZ$1001,444,E$2)&amp;""),""))</f>
        <v/>
      </c>
      <c r="F445">
        <f>IF(F$2=0,"",IFERROR(TRIM(INDEX('Pegar estudiantes'!$A$1:$BZ$1001,444,F$2)&amp;""),""))</f>
        <v/>
      </c>
      <c r="G445">
        <f>IF(G$2=0,"",IFERROR(TRIM(INDEX('Pegar estudiantes'!$A$1:$BZ$1001,444,G$2)&amp;""),""))</f>
        <v/>
      </c>
      <c r="H445">
        <f>IF(H$2=0,"",IFERROR(TRIM(INDEX('Pegar estudiantes'!$A$1:$BZ$1001,444,H$2)&amp;""),""))</f>
        <v/>
      </c>
      <c r="I445">
        <f>IF(I$2=0,"",IFERROR(TRIM(INDEX('Pegar estudiantes'!$A$1:$BZ$1001,444,I$2)&amp;""),""))</f>
        <v/>
      </c>
      <c r="J445">
        <f>IF(J$2=0,"",IFERROR(TRIM(INDEX('Pegar estudiantes'!$A$1:$BZ$1001,444,J$2)&amp;""),""))</f>
        <v/>
      </c>
      <c r="K445">
        <f>IF(K$2=0,"",IFERROR(TRIM(INDEX('Pegar estudiantes'!$A$1:$BZ$1001,444,K$2)&amp;""),""))</f>
        <v/>
      </c>
      <c r="L445" s="25">
        <f>IF(A445&lt;&gt;"",1,"")</f>
        <v/>
      </c>
      <c r="M445" s="25">
        <f>IF(L445=1,IF(ISNUMBER(FIND("#"&amp;MID(A445,1,1)&amp;"#","#0#1#2#3#4#5#6#7#8#9#")),IF(ISNUMBER(FIND("#"&amp;MID(A445,2,1)&amp;"#","#0#1#2#3#4#5#6#7#8#9#")),IF(AND(VALUE(LEFT(A445,2))&gt;=1,VALUE(LEFT(A445,2))&lt;=5),VALUE(LEFT(A445,2)),""),IF(AND(VALUE(LEFT(A445,1))&gt;=1,VALUE(LEFT(A445,1))&lt;=5),VALUE(LEFT(A445,1)),"")),""),"")</f>
        <v/>
      </c>
      <c r="N445" s="25">
        <f>IF(L445=1,IF(ISNUMBER(FIND("#"&amp;MID(H445,1,1)&amp;"#","#0#1#2#3#4#5#6#7#8#9#")),IF(ISNUMBER(FIND("#"&amp;MID(H445,2,1)&amp;"#","#0#1#2#3#4#5#6#7#8#9#")),IF(AND(VALUE(LEFT(H445,2))&gt;=1,VALUE(LEFT(H445,2))&lt;=5),VALUE(LEFT(H445,2)),""),IF(AND(VALUE(LEFT(H445,1))&gt;=1,VALUE(LEFT(H445,1))&lt;=5),VALUE(LEFT(H445,1)),"")),""),"")</f>
        <v/>
      </c>
      <c r="O445" s="25">
        <f>IF(AND(L445=1,B445&lt;&gt;""),SUBSTITUTE(SUBSTITUTE(SUBSTITUTE(SUBSTITUTE(SUBSTITUTE(SUBSTITUTE(SUBSTITUTE(SUBSTITUTE(SUBSTITUTE(SUBSTITUTE(SUBSTITUTE(SUBSTITUTE(LOWER(TRIM(B445)),"á","a"),"é","e"),"í","i"),"ó","o"),"ú","u"),"ü","u"),"ñ","n"),"à","a"),"è","e"),"ì","i"),"ò","o"),"ù","u"),"")</f>
        <v/>
      </c>
      <c r="P445" s="25">
        <f>IF(AND(L445=1,C445&lt;&gt;""),SUBSTITUTE(SUBSTITUTE(SUBSTITUTE(SUBSTITUTE(SUBSTITUTE(SUBSTITUTE(SUBSTITUTE(SUBSTITUTE(SUBSTITUTE(SUBSTITUTE(SUBSTITUTE(SUBSTITUTE(LOWER(TRIM(C445)),"á","a"),"é","e"),"í","i"),"ó","o"),"ú","u"),"ü","u"),"ñ","n"),"à","a"),"è","e"),"ì","i"),"ò","o"),"ù","u"),"")</f>
        <v/>
      </c>
      <c r="Q445" s="25">
        <f>IF(AND(L445=1,E445&lt;&gt;""),SUBSTITUTE(SUBSTITUTE(SUBSTITUTE(SUBSTITUTE(SUBSTITUTE(SUBSTITUTE(SUBSTITUTE(SUBSTITUTE(SUBSTITUTE(SUBSTITUTE(SUBSTITUTE(SUBSTITUTE(LOWER(TRIM(E445)),"á","a"),"é","e"),"í","i"),"ó","o"),"ú","u"),"ü","u"),"ñ","n"),"à","a"),"è","e"),"ì","i"),"ò","o"),"ù","u"),"")</f>
        <v/>
      </c>
      <c r="R445" s="25">
        <f>IF(AND(L445=1,I445&lt;&gt;""),SUBSTITUTE(SUBSTITUTE(SUBSTITUTE(SUBSTITUTE(SUBSTITUTE(SUBSTITUTE(SUBSTITUTE(SUBSTITUTE(SUBSTITUTE(SUBSTITUTE(SUBSTITUTE(SUBSTITUTE(LOWER(TRIM(I445)),"á","a"),"é","e"),"í","i"),"ó","o"),"ú","u"),"ü","u"),"ñ","n"),"à","a"),"è","e"),"ì","i"),"ò","o"),"ù","u"),"")</f>
        <v/>
      </c>
      <c r="S445" s="25">
        <f>IF(R445="","",IF(OR(R445="si",R445="tal vez"),1,0))</f>
        <v/>
      </c>
      <c r="T445" s="25">
        <f>IF(AND(L445=1,D445&lt;&gt;""),IF(IFERROR(COUNTIFS(D$3:D445,"="&amp;SUBSTITUTE(SUBSTITUTE(SUBSTITUTE(D445,"~","~~"),"*","~*"),"?","~?"),L$3:L445,1),0)=1,MAX(T$2:T444)+1,""),"")</f>
        <v/>
      </c>
      <c r="U445" s="25">
        <f>IF(T445="","",COUNTIFS($D$3:$D$1002,"="&amp;SUBSTITUTE(SUBSTITUTE(SUBSTITUTE(D445,"~","~~"),"*","~*"),"?","~?"),$L$3:$L$1002,1)*10000-T445)</f>
        <v/>
      </c>
      <c r="V445" s="25">
        <f>IF(AND(L445=1,J445&lt;&gt;""),IF(IFERROR(COUNTIFS(J$3:J445,"="&amp;SUBSTITUTE(SUBSTITUTE(SUBSTITUTE(J445,"~","~~"),"*","~*"),"?","~?"),L$3:L445,1),0)=1,MAX(V$2:V444)+1,""),"")</f>
        <v/>
      </c>
      <c r="W445" s="25">
        <f>IF(V445="","",COUNTIFS($J$3:$J$1002,"="&amp;SUBSTITUTE(SUBSTITUTE(SUBSTITUTE(J445,"~","~~"),"*","~*"),"?","~?"),$L$3:$L$1002,1)*10000-V445)</f>
        <v/>
      </c>
    </row>
    <row r="446">
      <c r="A446">
        <f>IF(A$2=0,"",IFERROR(TRIM(INDEX('Pegar estudiantes'!$A$1:$BZ$1001,445,A$2)&amp;""),""))</f>
        <v/>
      </c>
      <c r="B446">
        <f>IF(B$2=0,"",IFERROR(TRIM(INDEX('Pegar estudiantes'!$A$1:$BZ$1001,445,B$2)&amp;""),""))</f>
        <v/>
      </c>
      <c r="C446">
        <f>IF(C$2=0,"",IFERROR(TRIM(INDEX('Pegar estudiantes'!$A$1:$BZ$1001,445,C$2)&amp;""),""))</f>
        <v/>
      </c>
      <c r="D446">
        <f>IF(D$2=0,"",IFERROR(TRIM(INDEX('Pegar estudiantes'!$A$1:$BZ$1001,445,D$2)&amp;""),""))</f>
        <v/>
      </c>
      <c r="E446">
        <f>IF(E$2=0,"",IFERROR(TRIM(INDEX('Pegar estudiantes'!$A$1:$BZ$1001,445,E$2)&amp;""),""))</f>
        <v/>
      </c>
      <c r="F446">
        <f>IF(F$2=0,"",IFERROR(TRIM(INDEX('Pegar estudiantes'!$A$1:$BZ$1001,445,F$2)&amp;""),""))</f>
        <v/>
      </c>
      <c r="G446">
        <f>IF(G$2=0,"",IFERROR(TRIM(INDEX('Pegar estudiantes'!$A$1:$BZ$1001,445,G$2)&amp;""),""))</f>
        <v/>
      </c>
      <c r="H446">
        <f>IF(H$2=0,"",IFERROR(TRIM(INDEX('Pegar estudiantes'!$A$1:$BZ$1001,445,H$2)&amp;""),""))</f>
        <v/>
      </c>
      <c r="I446">
        <f>IF(I$2=0,"",IFERROR(TRIM(INDEX('Pegar estudiantes'!$A$1:$BZ$1001,445,I$2)&amp;""),""))</f>
        <v/>
      </c>
      <c r="J446">
        <f>IF(J$2=0,"",IFERROR(TRIM(INDEX('Pegar estudiantes'!$A$1:$BZ$1001,445,J$2)&amp;""),""))</f>
        <v/>
      </c>
      <c r="K446">
        <f>IF(K$2=0,"",IFERROR(TRIM(INDEX('Pegar estudiantes'!$A$1:$BZ$1001,445,K$2)&amp;""),""))</f>
        <v/>
      </c>
      <c r="L446" s="25">
        <f>IF(A446&lt;&gt;"",1,"")</f>
        <v/>
      </c>
      <c r="M446" s="25">
        <f>IF(L446=1,IF(ISNUMBER(FIND("#"&amp;MID(A446,1,1)&amp;"#","#0#1#2#3#4#5#6#7#8#9#")),IF(ISNUMBER(FIND("#"&amp;MID(A446,2,1)&amp;"#","#0#1#2#3#4#5#6#7#8#9#")),IF(AND(VALUE(LEFT(A446,2))&gt;=1,VALUE(LEFT(A446,2))&lt;=5),VALUE(LEFT(A446,2)),""),IF(AND(VALUE(LEFT(A446,1))&gt;=1,VALUE(LEFT(A446,1))&lt;=5),VALUE(LEFT(A446,1)),"")),""),"")</f>
        <v/>
      </c>
      <c r="N446" s="25">
        <f>IF(L446=1,IF(ISNUMBER(FIND("#"&amp;MID(H446,1,1)&amp;"#","#0#1#2#3#4#5#6#7#8#9#")),IF(ISNUMBER(FIND("#"&amp;MID(H446,2,1)&amp;"#","#0#1#2#3#4#5#6#7#8#9#")),IF(AND(VALUE(LEFT(H446,2))&gt;=1,VALUE(LEFT(H446,2))&lt;=5),VALUE(LEFT(H446,2)),""),IF(AND(VALUE(LEFT(H446,1))&gt;=1,VALUE(LEFT(H446,1))&lt;=5),VALUE(LEFT(H446,1)),"")),""),"")</f>
        <v/>
      </c>
      <c r="O446" s="25">
        <f>IF(AND(L446=1,B446&lt;&gt;""),SUBSTITUTE(SUBSTITUTE(SUBSTITUTE(SUBSTITUTE(SUBSTITUTE(SUBSTITUTE(SUBSTITUTE(SUBSTITUTE(SUBSTITUTE(SUBSTITUTE(SUBSTITUTE(SUBSTITUTE(LOWER(TRIM(B446)),"á","a"),"é","e"),"í","i"),"ó","o"),"ú","u"),"ü","u"),"ñ","n"),"à","a"),"è","e"),"ì","i"),"ò","o"),"ù","u"),"")</f>
        <v/>
      </c>
      <c r="P446" s="25">
        <f>IF(AND(L446=1,C446&lt;&gt;""),SUBSTITUTE(SUBSTITUTE(SUBSTITUTE(SUBSTITUTE(SUBSTITUTE(SUBSTITUTE(SUBSTITUTE(SUBSTITUTE(SUBSTITUTE(SUBSTITUTE(SUBSTITUTE(SUBSTITUTE(LOWER(TRIM(C446)),"á","a"),"é","e"),"í","i"),"ó","o"),"ú","u"),"ü","u"),"ñ","n"),"à","a"),"è","e"),"ì","i"),"ò","o"),"ù","u"),"")</f>
        <v/>
      </c>
      <c r="Q446" s="25">
        <f>IF(AND(L446=1,E446&lt;&gt;""),SUBSTITUTE(SUBSTITUTE(SUBSTITUTE(SUBSTITUTE(SUBSTITUTE(SUBSTITUTE(SUBSTITUTE(SUBSTITUTE(SUBSTITUTE(SUBSTITUTE(SUBSTITUTE(SUBSTITUTE(LOWER(TRIM(E446)),"á","a"),"é","e"),"í","i"),"ó","o"),"ú","u"),"ü","u"),"ñ","n"),"à","a"),"è","e"),"ì","i"),"ò","o"),"ù","u"),"")</f>
        <v/>
      </c>
      <c r="R446" s="25">
        <f>IF(AND(L446=1,I446&lt;&gt;""),SUBSTITUTE(SUBSTITUTE(SUBSTITUTE(SUBSTITUTE(SUBSTITUTE(SUBSTITUTE(SUBSTITUTE(SUBSTITUTE(SUBSTITUTE(SUBSTITUTE(SUBSTITUTE(SUBSTITUTE(LOWER(TRIM(I446)),"á","a"),"é","e"),"í","i"),"ó","o"),"ú","u"),"ü","u"),"ñ","n"),"à","a"),"è","e"),"ì","i"),"ò","o"),"ù","u"),"")</f>
        <v/>
      </c>
      <c r="S446" s="25">
        <f>IF(R446="","",IF(OR(R446="si",R446="tal vez"),1,0))</f>
        <v/>
      </c>
      <c r="T446" s="25">
        <f>IF(AND(L446=1,D446&lt;&gt;""),IF(IFERROR(COUNTIFS(D$3:D446,"="&amp;SUBSTITUTE(SUBSTITUTE(SUBSTITUTE(D446,"~","~~"),"*","~*"),"?","~?"),L$3:L446,1),0)=1,MAX(T$2:T445)+1,""),"")</f>
        <v/>
      </c>
      <c r="U446" s="25">
        <f>IF(T446="","",COUNTIFS($D$3:$D$1002,"="&amp;SUBSTITUTE(SUBSTITUTE(SUBSTITUTE(D446,"~","~~"),"*","~*"),"?","~?"),$L$3:$L$1002,1)*10000-T446)</f>
        <v/>
      </c>
      <c r="V446" s="25">
        <f>IF(AND(L446=1,J446&lt;&gt;""),IF(IFERROR(COUNTIFS(J$3:J446,"="&amp;SUBSTITUTE(SUBSTITUTE(SUBSTITUTE(J446,"~","~~"),"*","~*"),"?","~?"),L$3:L446,1),0)=1,MAX(V$2:V445)+1,""),"")</f>
        <v/>
      </c>
      <c r="W446" s="25">
        <f>IF(V446="","",COUNTIFS($J$3:$J$1002,"="&amp;SUBSTITUTE(SUBSTITUTE(SUBSTITUTE(J446,"~","~~"),"*","~*"),"?","~?"),$L$3:$L$1002,1)*10000-V446)</f>
        <v/>
      </c>
    </row>
    <row r="447">
      <c r="A447">
        <f>IF(A$2=0,"",IFERROR(TRIM(INDEX('Pegar estudiantes'!$A$1:$BZ$1001,446,A$2)&amp;""),""))</f>
        <v/>
      </c>
      <c r="B447">
        <f>IF(B$2=0,"",IFERROR(TRIM(INDEX('Pegar estudiantes'!$A$1:$BZ$1001,446,B$2)&amp;""),""))</f>
        <v/>
      </c>
      <c r="C447">
        <f>IF(C$2=0,"",IFERROR(TRIM(INDEX('Pegar estudiantes'!$A$1:$BZ$1001,446,C$2)&amp;""),""))</f>
        <v/>
      </c>
      <c r="D447">
        <f>IF(D$2=0,"",IFERROR(TRIM(INDEX('Pegar estudiantes'!$A$1:$BZ$1001,446,D$2)&amp;""),""))</f>
        <v/>
      </c>
      <c r="E447">
        <f>IF(E$2=0,"",IFERROR(TRIM(INDEX('Pegar estudiantes'!$A$1:$BZ$1001,446,E$2)&amp;""),""))</f>
        <v/>
      </c>
      <c r="F447">
        <f>IF(F$2=0,"",IFERROR(TRIM(INDEX('Pegar estudiantes'!$A$1:$BZ$1001,446,F$2)&amp;""),""))</f>
        <v/>
      </c>
      <c r="G447">
        <f>IF(G$2=0,"",IFERROR(TRIM(INDEX('Pegar estudiantes'!$A$1:$BZ$1001,446,G$2)&amp;""),""))</f>
        <v/>
      </c>
      <c r="H447">
        <f>IF(H$2=0,"",IFERROR(TRIM(INDEX('Pegar estudiantes'!$A$1:$BZ$1001,446,H$2)&amp;""),""))</f>
        <v/>
      </c>
      <c r="I447">
        <f>IF(I$2=0,"",IFERROR(TRIM(INDEX('Pegar estudiantes'!$A$1:$BZ$1001,446,I$2)&amp;""),""))</f>
        <v/>
      </c>
      <c r="J447">
        <f>IF(J$2=0,"",IFERROR(TRIM(INDEX('Pegar estudiantes'!$A$1:$BZ$1001,446,J$2)&amp;""),""))</f>
        <v/>
      </c>
      <c r="K447">
        <f>IF(K$2=0,"",IFERROR(TRIM(INDEX('Pegar estudiantes'!$A$1:$BZ$1001,446,K$2)&amp;""),""))</f>
        <v/>
      </c>
      <c r="L447" s="25">
        <f>IF(A447&lt;&gt;"",1,"")</f>
        <v/>
      </c>
      <c r="M447" s="25">
        <f>IF(L447=1,IF(ISNUMBER(FIND("#"&amp;MID(A447,1,1)&amp;"#","#0#1#2#3#4#5#6#7#8#9#")),IF(ISNUMBER(FIND("#"&amp;MID(A447,2,1)&amp;"#","#0#1#2#3#4#5#6#7#8#9#")),IF(AND(VALUE(LEFT(A447,2))&gt;=1,VALUE(LEFT(A447,2))&lt;=5),VALUE(LEFT(A447,2)),""),IF(AND(VALUE(LEFT(A447,1))&gt;=1,VALUE(LEFT(A447,1))&lt;=5),VALUE(LEFT(A447,1)),"")),""),"")</f>
        <v/>
      </c>
      <c r="N447" s="25">
        <f>IF(L447=1,IF(ISNUMBER(FIND("#"&amp;MID(H447,1,1)&amp;"#","#0#1#2#3#4#5#6#7#8#9#")),IF(ISNUMBER(FIND("#"&amp;MID(H447,2,1)&amp;"#","#0#1#2#3#4#5#6#7#8#9#")),IF(AND(VALUE(LEFT(H447,2))&gt;=1,VALUE(LEFT(H447,2))&lt;=5),VALUE(LEFT(H447,2)),""),IF(AND(VALUE(LEFT(H447,1))&gt;=1,VALUE(LEFT(H447,1))&lt;=5),VALUE(LEFT(H447,1)),"")),""),"")</f>
        <v/>
      </c>
      <c r="O447" s="25">
        <f>IF(AND(L447=1,B447&lt;&gt;""),SUBSTITUTE(SUBSTITUTE(SUBSTITUTE(SUBSTITUTE(SUBSTITUTE(SUBSTITUTE(SUBSTITUTE(SUBSTITUTE(SUBSTITUTE(SUBSTITUTE(SUBSTITUTE(SUBSTITUTE(LOWER(TRIM(B447)),"á","a"),"é","e"),"í","i"),"ó","o"),"ú","u"),"ü","u"),"ñ","n"),"à","a"),"è","e"),"ì","i"),"ò","o"),"ù","u"),"")</f>
        <v/>
      </c>
      <c r="P447" s="25">
        <f>IF(AND(L447=1,C447&lt;&gt;""),SUBSTITUTE(SUBSTITUTE(SUBSTITUTE(SUBSTITUTE(SUBSTITUTE(SUBSTITUTE(SUBSTITUTE(SUBSTITUTE(SUBSTITUTE(SUBSTITUTE(SUBSTITUTE(SUBSTITUTE(LOWER(TRIM(C447)),"á","a"),"é","e"),"í","i"),"ó","o"),"ú","u"),"ü","u"),"ñ","n"),"à","a"),"è","e"),"ì","i"),"ò","o"),"ù","u"),"")</f>
        <v/>
      </c>
      <c r="Q447" s="25">
        <f>IF(AND(L447=1,E447&lt;&gt;""),SUBSTITUTE(SUBSTITUTE(SUBSTITUTE(SUBSTITUTE(SUBSTITUTE(SUBSTITUTE(SUBSTITUTE(SUBSTITUTE(SUBSTITUTE(SUBSTITUTE(SUBSTITUTE(SUBSTITUTE(LOWER(TRIM(E447)),"á","a"),"é","e"),"í","i"),"ó","o"),"ú","u"),"ü","u"),"ñ","n"),"à","a"),"è","e"),"ì","i"),"ò","o"),"ù","u"),"")</f>
        <v/>
      </c>
      <c r="R447" s="25">
        <f>IF(AND(L447=1,I447&lt;&gt;""),SUBSTITUTE(SUBSTITUTE(SUBSTITUTE(SUBSTITUTE(SUBSTITUTE(SUBSTITUTE(SUBSTITUTE(SUBSTITUTE(SUBSTITUTE(SUBSTITUTE(SUBSTITUTE(SUBSTITUTE(LOWER(TRIM(I447)),"á","a"),"é","e"),"í","i"),"ó","o"),"ú","u"),"ü","u"),"ñ","n"),"à","a"),"è","e"),"ì","i"),"ò","o"),"ù","u"),"")</f>
        <v/>
      </c>
      <c r="S447" s="25">
        <f>IF(R447="","",IF(OR(R447="si",R447="tal vez"),1,0))</f>
        <v/>
      </c>
      <c r="T447" s="25">
        <f>IF(AND(L447=1,D447&lt;&gt;""),IF(IFERROR(COUNTIFS(D$3:D447,"="&amp;SUBSTITUTE(SUBSTITUTE(SUBSTITUTE(D447,"~","~~"),"*","~*"),"?","~?"),L$3:L447,1),0)=1,MAX(T$2:T446)+1,""),"")</f>
        <v/>
      </c>
      <c r="U447" s="25">
        <f>IF(T447="","",COUNTIFS($D$3:$D$1002,"="&amp;SUBSTITUTE(SUBSTITUTE(SUBSTITUTE(D447,"~","~~"),"*","~*"),"?","~?"),$L$3:$L$1002,1)*10000-T447)</f>
        <v/>
      </c>
      <c r="V447" s="25">
        <f>IF(AND(L447=1,J447&lt;&gt;""),IF(IFERROR(COUNTIFS(J$3:J447,"="&amp;SUBSTITUTE(SUBSTITUTE(SUBSTITUTE(J447,"~","~~"),"*","~*"),"?","~?"),L$3:L447,1),0)=1,MAX(V$2:V446)+1,""),"")</f>
        <v/>
      </c>
      <c r="W447" s="25">
        <f>IF(V447="","",COUNTIFS($J$3:$J$1002,"="&amp;SUBSTITUTE(SUBSTITUTE(SUBSTITUTE(J447,"~","~~"),"*","~*"),"?","~?"),$L$3:$L$1002,1)*10000-V447)</f>
        <v/>
      </c>
    </row>
    <row r="448">
      <c r="A448">
        <f>IF(A$2=0,"",IFERROR(TRIM(INDEX('Pegar estudiantes'!$A$1:$BZ$1001,447,A$2)&amp;""),""))</f>
        <v/>
      </c>
      <c r="B448">
        <f>IF(B$2=0,"",IFERROR(TRIM(INDEX('Pegar estudiantes'!$A$1:$BZ$1001,447,B$2)&amp;""),""))</f>
        <v/>
      </c>
      <c r="C448">
        <f>IF(C$2=0,"",IFERROR(TRIM(INDEX('Pegar estudiantes'!$A$1:$BZ$1001,447,C$2)&amp;""),""))</f>
        <v/>
      </c>
      <c r="D448">
        <f>IF(D$2=0,"",IFERROR(TRIM(INDEX('Pegar estudiantes'!$A$1:$BZ$1001,447,D$2)&amp;""),""))</f>
        <v/>
      </c>
      <c r="E448">
        <f>IF(E$2=0,"",IFERROR(TRIM(INDEX('Pegar estudiantes'!$A$1:$BZ$1001,447,E$2)&amp;""),""))</f>
        <v/>
      </c>
      <c r="F448">
        <f>IF(F$2=0,"",IFERROR(TRIM(INDEX('Pegar estudiantes'!$A$1:$BZ$1001,447,F$2)&amp;""),""))</f>
        <v/>
      </c>
      <c r="G448">
        <f>IF(G$2=0,"",IFERROR(TRIM(INDEX('Pegar estudiantes'!$A$1:$BZ$1001,447,G$2)&amp;""),""))</f>
        <v/>
      </c>
      <c r="H448">
        <f>IF(H$2=0,"",IFERROR(TRIM(INDEX('Pegar estudiantes'!$A$1:$BZ$1001,447,H$2)&amp;""),""))</f>
        <v/>
      </c>
      <c r="I448">
        <f>IF(I$2=0,"",IFERROR(TRIM(INDEX('Pegar estudiantes'!$A$1:$BZ$1001,447,I$2)&amp;""),""))</f>
        <v/>
      </c>
      <c r="J448">
        <f>IF(J$2=0,"",IFERROR(TRIM(INDEX('Pegar estudiantes'!$A$1:$BZ$1001,447,J$2)&amp;""),""))</f>
        <v/>
      </c>
      <c r="K448">
        <f>IF(K$2=0,"",IFERROR(TRIM(INDEX('Pegar estudiantes'!$A$1:$BZ$1001,447,K$2)&amp;""),""))</f>
        <v/>
      </c>
      <c r="L448" s="25">
        <f>IF(A448&lt;&gt;"",1,"")</f>
        <v/>
      </c>
      <c r="M448" s="25">
        <f>IF(L448=1,IF(ISNUMBER(FIND("#"&amp;MID(A448,1,1)&amp;"#","#0#1#2#3#4#5#6#7#8#9#")),IF(ISNUMBER(FIND("#"&amp;MID(A448,2,1)&amp;"#","#0#1#2#3#4#5#6#7#8#9#")),IF(AND(VALUE(LEFT(A448,2))&gt;=1,VALUE(LEFT(A448,2))&lt;=5),VALUE(LEFT(A448,2)),""),IF(AND(VALUE(LEFT(A448,1))&gt;=1,VALUE(LEFT(A448,1))&lt;=5),VALUE(LEFT(A448,1)),"")),""),"")</f>
        <v/>
      </c>
      <c r="N448" s="25">
        <f>IF(L448=1,IF(ISNUMBER(FIND("#"&amp;MID(H448,1,1)&amp;"#","#0#1#2#3#4#5#6#7#8#9#")),IF(ISNUMBER(FIND("#"&amp;MID(H448,2,1)&amp;"#","#0#1#2#3#4#5#6#7#8#9#")),IF(AND(VALUE(LEFT(H448,2))&gt;=1,VALUE(LEFT(H448,2))&lt;=5),VALUE(LEFT(H448,2)),""),IF(AND(VALUE(LEFT(H448,1))&gt;=1,VALUE(LEFT(H448,1))&lt;=5),VALUE(LEFT(H448,1)),"")),""),"")</f>
        <v/>
      </c>
      <c r="O448" s="25">
        <f>IF(AND(L448=1,B448&lt;&gt;""),SUBSTITUTE(SUBSTITUTE(SUBSTITUTE(SUBSTITUTE(SUBSTITUTE(SUBSTITUTE(SUBSTITUTE(SUBSTITUTE(SUBSTITUTE(SUBSTITUTE(SUBSTITUTE(SUBSTITUTE(LOWER(TRIM(B448)),"á","a"),"é","e"),"í","i"),"ó","o"),"ú","u"),"ü","u"),"ñ","n"),"à","a"),"è","e"),"ì","i"),"ò","o"),"ù","u"),"")</f>
        <v/>
      </c>
      <c r="P448" s="25">
        <f>IF(AND(L448=1,C448&lt;&gt;""),SUBSTITUTE(SUBSTITUTE(SUBSTITUTE(SUBSTITUTE(SUBSTITUTE(SUBSTITUTE(SUBSTITUTE(SUBSTITUTE(SUBSTITUTE(SUBSTITUTE(SUBSTITUTE(SUBSTITUTE(LOWER(TRIM(C448)),"á","a"),"é","e"),"í","i"),"ó","o"),"ú","u"),"ü","u"),"ñ","n"),"à","a"),"è","e"),"ì","i"),"ò","o"),"ù","u"),"")</f>
        <v/>
      </c>
      <c r="Q448" s="25">
        <f>IF(AND(L448=1,E448&lt;&gt;""),SUBSTITUTE(SUBSTITUTE(SUBSTITUTE(SUBSTITUTE(SUBSTITUTE(SUBSTITUTE(SUBSTITUTE(SUBSTITUTE(SUBSTITUTE(SUBSTITUTE(SUBSTITUTE(SUBSTITUTE(LOWER(TRIM(E448)),"á","a"),"é","e"),"í","i"),"ó","o"),"ú","u"),"ü","u"),"ñ","n"),"à","a"),"è","e"),"ì","i"),"ò","o"),"ù","u"),"")</f>
        <v/>
      </c>
      <c r="R448" s="25">
        <f>IF(AND(L448=1,I448&lt;&gt;""),SUBSTITUTE(SUBSTITUTE(SUBSTITUTE(SUBSTITUTE(SUBSTITUTE(SUBSTITUTE(SUBSTITUTE(SUBSTITUTE(SUBSTITUTE(SUBSTITUTE(SUBSTITUTE(SUBSTITUTE(LOWER(TRIM(I448)),"á","a"),"é","e"),"í","i"),"ó","o"),"ú","u"),"ü","u"),"ñ","n"),"à","a"),"è","e"),"ì","i"),"ò","o"),"ù","u"),"")</f>
        <v/>
      </c>
      <c r="S448" s="25">
        <f>IF(R448="","",IF(OR(R448="si",R448="tal vez"),1,0))</f>
        <v/>
      </c>
      <c r="T448" s="25">
        <f>IF(AND(L448=1,D448&lt;&gt;""),IF(IFERROR(COUNTIFS(D$3:D448,"="&amp;SUBSTITUTE(SUBSTITUTE(SUBSTITUTE(D448,"~","~~"),"*","~*"),"?","~?"),L$3:L448,1),0)=1,MAX(T$2:T447)+1,""),"")</f>
        <v/>
      </c>
      <c r="U448" s="25">
        <f>IF(T448="","",COUNTIFS($D$3:$D$1002,"="&amp;SUBSTITUTE(SUBSTITUTE(SUBSTITUTE(D448,"~","~~"),"*","~*"),"?","~?"),$L$3:$L$1002,1)*10000-T448)</f>
        <v/>
      </c>
      <c r="V448" s="25">
        <f>IF(AND(L448=1,J448&lt;&gt;""),IF(IFERROR(COUNTIFS(J$3:J448,"="&amp;SUBSTITUTE(SUBSTITUTE(SUBSTITUTE(J448,"~","~~"),"*","~*"),"?","~?"),L$3:L448,1),0)=1,MAX(V$2:V447)+1,""),"")</f>
        <v/>
      </c>
      <c r="W448" s="25">
        <f>IF(V448="","",COUNTIFS($J$3:$J$1002,"="&amp;SUBSTITUTE(SUBSTITUTE(SUBSTITUTE(J448,"~","~~"),"*","~*"),"?","~?"),$L$3:$L$1002,1)*10000-V448)</f>
        <v/>
      </c>
    </row>
    <row r="449">
      <c r="A449">
        <f>IF(A$2=0,"",IFERROR(TRIM(INDEX('Pegar estudiantes'!$A$1:$BZ$1001,448,A$2)&amp;""),""))</f>
        <v/>
      </c>
      <c r="B449">
        <f>IF(B$2=0,"",IFERROR(TRIM(INDEX('Pegar estudiantes'!$A$1:$BZ$1001,448,B$2)&amp;""),""))</f>
        <v/>
      </c>
      <c r="C449">
        <f>IF(C$2=0,"",IFERROR(TRIM(INDEX('Pegar estudiantes'!$A$1:$BZ$1001,448,C$2)&amp;""),""))</f>
        <v/>
      </c>
      <c r="D449">
        <f>IF(D$2=0,"",IFERROR(TRIM(INDEX('Pegar estudiantes'!$A$1:$BZ$1001,448,D$2)&amp;""),""))</f>
        <v/>
      </c>
      <c r="E449">
        <f>IF(E$2=0,"",IFERROR(TRIM(INDEX('Pegar estudiantes'!$A$1:$BZ$1001,448,E$2)&amp;""),""))</f>
        <v/>
      </c>
      <c r="F449">
        <f>IF(F$2=0,"",IFERROR(TRIM(INDEX('Pegar estudiantes'!$A$1:$BZ$1001,448,F$2)&amp;""),""))</f>
        <v/>
      </c>
      <c r="G449">
        <f>IF(G$2=0,"",IFERROR(TRIM(INDEX('Pegar estudiantes'!$A$1:$BZ$1001,448,G$2)&amp;""),""))</f>
        <v/>
      </c>
      <c r="H449">
        <f>IF(H$2=0,"",IFERROR(TRIM(INDEX('Pegar estudiantes'!$A$1:$BZ$1001,448,H$2)&amp;""),""))</f>
        <v/>
      </c>
      <c r="I449">
        <f>IF(I$2=0,"",IFERROR(TRIM(INDEX('Pegar estudiantes'!$A$1:$BZ$1001,448,I$2)&amp;""),""))</f>
        <v/>
      </c>
      <c r="J449">
        <f>IF(J$2=0,"",IFERROR(TRIM(INDEX('Pegar estudiantes'!$A$1:$BZ$1001,448,J$2)&amp;""),""))</f>
        <v/>
      </c>
      <c r="K449">
        <f>IF(K$2=0,"",IFERROR(TRIM(INDEX('Pegar estudiantes'!$A$1:$BZ$1001,448,K$2)&amp;""),""))</f>
        <v/>
      </c>
      <c r="L449" s="25">
        <f>IF(A449&lt;&gt;"",1,"")</f>
        <v/>
      </c>
      <c r="M449" s="25">
        <f>IF(L449=1,IF(ISNUMBER(FIND("#"&amp;MID(A449,1,1)&amp;"#","#0#1#2#3#4#5#6#7#8#9#")),IF(ISNUMBER(FIND("#"&amp;MID(A449,2,1)&amp;"#","#0#1#2#3#4#5#6#7#8#9#")),IF(AND(VALUE(LEFT(A449,2))&gt;=1,VALUE(LEFT(A449,2))&lt;=5),VALUE(LEFT(A449,2)),""),IF(AND(VALUE(LEFT(A449,1))&gt;=1,VALUE(LEFT(A449,1))&lt;=5),VALUE(LEFT(A449,1)),"")),""),"")</f>
        <v/>
      </c>
      <c r="N449" s="25">
        <f>IF(L449=1,IF(ISNUMBER(FIND("#"&amp;MID(H449,1,1)&amp;"#","#0#1#2#3#4#5#6#7#8#9#")),IF(ISNUMBER(FIND("#"&amp;MID(H449,2,1)&amp;"#","#0#1#2#3#4#5#6#7#8#9#")),IF(AND(VALUE(LEFT(H449,2))&gt;=1,VALUE(LEFT(H449,2))&lt;=5),VALUE(LEFT(H449,2)),""),IF(AND(VALUE(LEFT(H449,1))&gt;=1,VALUE(LEFT(H449,1))&lt;=5),VALUE(LEFT(H449,1)),"")),""),"")</f>
        <v/>
      </c>
      <c r="O449" s="25">
        <f>IF(AND(L449=1,B449&lt;&gt;""),SUBSTITUTE(SUBSTITUTE(SUBSTITUTE(SUBSTITUTE(SUBSTITUTE(SUBSTITUTE(SUBSTITUTE(SUBSTITUTE(SUBSTITUTE(SUBSTITUTE(SUBSTITUTE(SUBSTITUTE(LOWER(TRIM(B449)),"á","a"),"é","e"),"í","i"),"ó","o"),"ú","u"),"ü","u"),"ñ","n"),"à","a"),"è","e"),"ì","i"),"ò","o"),"ù","u"),"")</f>
        <v/>
      </c>
      <c r="P449" s="25">
        <f>IF(AND(L449=1,C449&lt;&gt;""),SUBSTITUTE(SUBSTITUTE(SUBSTITUTE(SUBSTITUTE(SUBSTITUTE(SUBSTITUTE(SUBSTITUTE(SUBSTITUTE(SUBSTITUTE(SUBSTITUTE(SUBSTITUTE(SUBSTITUTE(LOWER(TRIM(C449)),"á","a"),"é","e"),"í","i"),"ó","o"),"ú","u"),"ü","u"),"ñ","n"),"à","a"),"è","e"),"ì","i"),"ò","o"),"ù","u"),"")</f>
        <v/>
      </c>
      <c r="Q449" s="25">
        <f>IF(AND(L449=1,E449&lt;&gt;""),SUBSTITUTE(SUBSTITUTE(SUBSTITUTE(SUBSTITUTE(SUBSTITUTE(SUBSTITUTE(SUBSTITUTE(SUBSTITUTE(SUBSTITUTE(SUBSTITUTE(SUBSTITUTE(SUBSTITUTE(LOWER(TRIM(E449)),"á","a"),"é","e"),"í","i"),"ó","o"),"ú","u"),"ü","u"),"ñ","n"),"à","a"),"è","e"),"ì","i"),"ò","o"),"ù","u"),"")</f>
        <v/>
      </c>
      <c r="R449" s="25">
        <f>IF(AND(L449=1,I449&lt;&gt;""),SUBSTITUTE(SUBSTITUTE(SUBSTITUTE(SUBSTITUTE(SUBSTITUTE(SUBSTITUTE(SUBSTITUTE(SUBSTITUTE(SUBSTITUTE(SUBSTITUTE(SUBSTITUTE(SUBSTITUTE(LOWER(TRIM(I449)),"á","a"),"é","e"),"í","i"),"ó","o"),"ú","u"),"ü","u"),"ñ","n"),"à","a"),"è","e"),"ì","i"),"ò","o"),"ù","u"),"")</f>
        <v/>
      </c>
      <c r="S449" s="25">
        <f>IF(R449="","",IF(OR(R449="si",R449="tal vez"),1,0))</f>
        <v/>
      </c>
      <c r="T449" s="25">
        <f>IF(AND(L449=1,D449&lt;&gt;""),IF(IFERROR(COUNTIFS(D$3:D449,"="&amp;SUBSTITUTE(SUBSTITUTE(SUBSTITUTE(D449,"~","~~"),"*","~*"),"?","~?"),L$3:L449,1),0)=1,MAX(T$2:T448)+1,""),"")</f>
        <v/>
      </c>
      <c r="U449" s="25">
        <f>IF(T449="","",COUNTIFS($D$3:$D$1002,"="&amp;SUBSTITUTE(SUBSTITUTE(SUBSTITUTE(D449,"~","~~"),"*","~*"),"?","~?"),$L$3:$L$1002,1)*10000-T449)</f>
        <v/>
      </c>
      <c r="V449" s="25">
        <f>IF(AND(L449=1,J449&lt;&gt;""),IF(IFERROR(COUNTIFS(J$3:J449,"="&amp;SUBSTITUTE(SUBSTITUTE(SUBSTITUTE(J449,"~","~~"),"*","~*"),"?","~?"),L$3:L449,1),0)=1,MAX(V$2:V448)+1,""),"")</f>
        <v/>
      </c>
      <c r="W449" s="25">
        <f>IF(V449="","",COUNTIFS($J$3:$J$1002,"="&amp;SUBSTITUTE(SUBSTITUTE(SUBSTITUTE(J449,"~","~~"),"*","~*"),"?","~?"),$L$3:$L$1002,1)*10000-V449)</f>
        <v/>
      </c>
    </row>
    <row r="450">
      <c r="A450">
        <f>IF(A$2=0,"",IFERROR(TRIM(INDEX('Pegar estudiantes'!$A$1:$BZ$1001,449,A$2)&amp;""),""))</f>
        <v/>
      </c>
      <c r="B450">
        <f>IF(B$2=0,"",IFERROR(TRIM(INDEX('Pegar estudiantes'!$A$1:$BZ$1001,449,B$2)&amp;""),""))</f>
        <v/>
      </c>
      <c r="C450">
        <f>IF(C$2=0,"",IFERROR(TRIM(INDEX('Pegar estudiantes'!$A$1:$BZ$1001,449,C$2)&amp;""),""))</f>
        <v/>
      </c>
      <c r="D450">
        <f>IF(D$2=0,"",IFERROR(TRIM(INDEX('Pegar estudiantes'!$A$1:$BZ$1001,449,D$2)&amp;""),""))</f>
        <v/>
      </c>
      <c r="E450">
        <f>IF(E$2=0,"",IFERROR(TRIM(INDEX('Pegar estudiantes'!$A$1:$BZ$1001,449,E$2)&amp;""),""))</f>
        <v/>
      </c>
      <c r="F450">
        <f>IF(F$2=0,"",IFERROR(TRIM(INDEX('Pegar estudiantes'!$A$1:$BZ$1001,449,F$2)&amp;""),""))</f>
        <v/>
      </c>
      <c r="G450">
        <f>IF(G$2=0,"",IFERROR(TRIM(INDEX('Pegar estudiantes'!$A$1:$BZ$1001,449,G$2)&amp;""),""))</f>
        <v/>
      </c>
      <c r="H450">
        <f>IF(H$2=0,"",IFERROR(TRIM(INDEX('Pegar estudiantes'!$A$1:$BZ$1001,449,H$2)&amp;""),""))</f>
        <v/>
      </c>
      <c r="I450">
        <f>IF(I$2=0,"",IFERROR(TRIM(INDEX('Pegar estudiantes'!$A$1:$BZ$1001,449,I$2)&amp;""),""))</f>
        <v/>
      </c>
      <c r="J450">
        <f>IF(J$2=0,"",IFERROR(TRIM(INDEX('Pegar estudiantes'!$A$1:$BZ$1001,449,J$2)&amp;""),""))</f>
        <v/>
      </c>
      <c r="K450">
        <f>IF(K$2=0,"",IFERROR(TRIM(INDEX('Pegar estudiantes'!$A$1:$BZ$1001,449,K$2)&amp;""),""))</f>
        <v/>
      </c>
      <c r="L450" s="25">
        <f>IF(A450&lt;&gt;"",1,"")</f>
        <v/>
      </c>
      <c r="M450" s="25">
        <f>IF(L450=1,IF(ISNUMBER(FIND("#"&amp;MID(A450,1,1)&amp;"#","#0#1#2#3#4#5#6#7#8#9#")),IF(ISNUMBER(FIND("#"&amp;MID(A450,2,1)&amp;"#","#0#1#2#3#4#5#6#7#8#9#")),IF(AND(VALUE(LEFT(A450,2))&gt;=1,VALUE(LEFT(A450,2))&lt;=5),VALUE(LEFT(A450,2)),""),IF(AND(VALUE(LEFT(A450,1))&gt;=1,VALUE(LEFT(A450,1))&lt;=5),VALUE(LEFT(A450,1)),"")),""),"")</f>
        <v/>
      </c>
      <c r="N450" s="25">
        <f>IF(L450=1,IF(ISNUMBER(FIND("#"&amp;MID(H450,1,1)&amp;"#","#0#1#2#3#4#5#6#7#8#9#")),IF(ISNUMBER(FIND("#"&amp;MID(H450,2,1)&amp;"#","#0#1#2#3#4#5#6#7#8#9#")),IF(AND(VALUE(LEFT(H450,2))&gt;=1,VALUE(LEFT(H450,2))&lt;=5),VALUE(LEFT(H450,2)),""),IF(AND(VALUE(LEFT(H450,1))&gt;=1,VALUE(LEFT(H450,1))&lt;=5),VALUE(LEFT(H450,1)),"")),""),"")</f>
        <v/>
      </c>
      <c r="O450" s="25">
        <f>IF(AND(L450=1,B450&lt;&gt;""),SUBSTITUTE(SUBSTITUTE(SUBSTITUTE(SUBSTITUTE(SUBSTITUTE(SUBSTITUTE(SUBSTITUTE(SUBSTITUTE(SUBSTITUTE(SUBSTITUTE(SUBSTITUTE(SUBSTITUTE(LOWER(TRIM(B450)),"á","a"),"é","e"),"í","i"),"ó","o"),"ú","u"),"ü","u"),"ñ","n"),"à","a"),"è","e"),"ì","i"),"ò","o"),"ù","u"),"")</f>
        <v/>
      </c>
      <c r="P450" s="25">
        <f>IF(AND(L450=1,C450&lt;&gt;""),SUBSTITUTE(SUBSTITUTE(SUBSTITUTE(SUBSTITUTE(SUBSTITUTE(SUBSTITUTE(SUBSTITUTE(SUBSTITUTE(SUBSTITUTE(SUBSTITUTE(SUBSTITUTE(SUBSTITUTE(LOWER(TRIM(C450)),"á","a"),"é","e"),"í","i"),"ó","o"),"ú","u"),"ü","u"),"ñ","n"),"à","a"),"è","e"),"ì","i"),"ò","o"),"ù","u"),"")</f>
        <v/>
      </c>
      <c r="Q450" s="25">
        <f>IF(AND(L450=1,E450&lt;&gt;""),SUBSTITUTE(SUBSTITUTE(SUBSTITUTE(SUBSTITUTE(SUBSTITUTE(SUBSTITUTE(SUBSTITUTE(SUBSTITUTE(SUBSTITUTE(SUBSTITUTE(SUBSTITUTE(SUBSTITUTE(LOWER(TRIM(E450)),"á","a"),"é","e"),"í","i"),"ó","o"),"ú","u"),"ü","u"),"ñ","n"),"à","a"),"è","e"),"ì","i"),"ò","o"),"ù","u"),"")</f>
        <v/>
      </c>
      <c r="R450" s="25">
        <f>IF(AND(L450=1,I450&lt;&gt;""),SUBSTITUTE(SUBSTITUTE(SUBSTITUTE(SUBSTITUTE(SUBSTITUTE(SUBSTITUTE(SUBSTITUTE(SUBSTITUTE(SUBSTITUTE(SUBSTITUTE(SUBSTITUTE(SUBSTITUTE(LOWER(TRIM(I450)),"á","a"),"é","e"),"í","i"),"ó","o"),"ú","u"),"ü","u"),"ñ","n"),"à","a"),"è","e"),"ì","i"),"ò","o"),"ù","u"),"")</f>
        <v/>
      </c>
      <c r="S450" s="25">
        <f>IF(R450="","",IF(OR(R450="si",R450="tal vez"),1,0))</f>
        <v/>
      </c>
      <c r="T450" s="25">
        <f>IF(AND(L450=1,D450&lt;&gt;""),IF(IFERROR(COUNTIFS(D$3:D450,"="&amp;SUBSTITUTE(SUBSTITUTE(SUBSTITUTE(D450,"~","~~"),"*","~*"),"?","~?"),L$3:L450,1),0)=1,MAX(T$2:T449)+1,""),"")</f>
        <v/>
      </c>
      <c r="U450" s="25">
        <f>IF(T450="","",COUNTIFS($D$3:$D$1002,"="&amp;SUBSTITUTE(SUBSTITUTE(SUBSTITUTE(D450,"~","~~"),"*","~*"),"?","~?"),$L$3:$L$1002,1)*10000-T450)</f>
        <v/>
      </c>
      <c r="V450" s="25">
        <f>IF(AND(L450=1,J450&lt;&gt;""),IF(IFERROR(COUNTIFS(J$3:J450,"="&amp;SUBSTITUTE(SUBSTITUTE(SUBSTITUTE(J450,"~","~~"),"*","~*"),"?","~?"),L$3:L450,1),0)=1,MAX(V$2:V449)+1,""),"")</f>
        <v/>
      </c>
      <c r="W450" s="25">
        <f>IF(V450="","",COUNTIFS($J$3:$J$1002,"="&amp;SUBSTITUTE(SUBSTITUTE(SUBSTITUTE(J450,"~","~~"),"*","~*"),"?","~?"),$L$3:$L$1002,1)*10000-V450)</f>
        <v/>
      </c>
    </row>
    <row r="451">
      <c r="A451">
        <f>IF(A$2=0,"",IFERROR(TRIM(INDEX('Pegar estudiantes'!$A$1:$BZ$1001,450,A$2)&amp;""),""))</f>
        <v/>
      </c>
      <c r="B451">
        <f>IF(B$2=0,"",IFERROR(TRIM(INDEX('Pegar estudiantes'!$A$1:$BZ$1001,450,B$2)&amp;""),""))</f>
        <v/>
      </c>
      <c r="C451">
        <f>IF(C$2=0,"",IFERROR(TRIM(INDEX('Pegar estudiantes'!$A$1:$BZ$1001,450,C$2)&amp;""),""))</f>
        <v/>
      </c>
      <c r="D451">
        <f>IF(D$2=0,"",IFERROR(TRIM(INDEX('Pegar estudiantes'!$A$1:$BZ$1001,450,D$2)&amp;""),""))</f>
        <v/>
      </c>
      <c r="E451">
        <f>IF(E$2=0,"",IFERROR(TRIM(INDEX('Pegar estudiantes'!$A$1:$BZ$1001,450,E$2)&amp;""),""))</f>
        <v/>
      </c>
      <c r="F451">
        <f>IF(F$2=0,"",IFERROR(TRIM(INDEX('Pegar estudiantes'!$A$1:$BZ$1001,450,F$2)&amp;""),""))</f>
        <v/>
      </c>
      <c r="G451">
        <f>IF(G$2=0,"",IFERROR(TRIM(INDEX('Pegar estudiantes'!$A$1:$BZ$1001,450,G$2)&amp;""),""))</f>
        <v/>
      </c>
      <c r="H451">
        <f>IF(H$2=0,"",IFERROR(TRIM(INDEX('Pegar estudiantes'!$A$1:$BZ$1001,450,H$2)&amp;""),""))</f>
        <v/>
      </c>
      <c r="I451">
        <f>IF(I$2=0,"",IFERROR(TRIM(INDEX('Pegar estudiantes'!$A$1:$BZ$1001,450,I$2)&amp;""),""))</f>
        <v/>
      </c>
      <c r="J451">
        <f>IF(J$2=0,"",IFERROR(TRIM(INDEX('Pegar estudiantes'!$A$1:$BZ$1001,450,J$2)&amp;""),""))</f>
        <v/>
      </c>
      <c r="K451">
        <f>IF(K$2=0,"",IFERROR(TRIM(INDEX('Pegar estudiantes'!$A$1:$BZ$1001,450,K$2)&amp;""),""))</f>
        <v/>
      </c>
      <c r="L451" s="25">
        <f>IF(A451&lt;&gt;"",1,"")</f>
        <v/>
      </c>
      <c r="M451" s="25">
        <f>IF(L451=1,IF(ISNUMBER(FIND("#"&amp;MID(A451,1,1)&amp;"#","#0#1#2#3#4#5#6#7#8#9#")),IF(ISNUMBER(FIND("#"&amp;MID(A451,2,1)&amp;"#","#0#1#2#3#4#5#6#7#8#9#")),IF(AND(VALUE(LEFT(A451,2))&gt;=1,VALUE(LEFT(A451,2))&lt;=5),VALUE(LEFT(A451,2)),""),IF(AND(VALUE(LEFT(A451,1))&gt;=1,VALUE(LEFT(A451,1))&lt;=5),VALUE(LEFT(A451,1)),"")),""),"")</f>
        <v/>
      </c>
      <c r="N451" s="25">
        <f>IF(L451=1,IF(ISNUMBER(FIND("#"&amp;MID(H451,1,1)&amp;"#","#0#1#2#3#4#5#6#7#8#9#")),IF(ISNUMBER(FIND("#"&amp;MID(H451,2,1)&amp;"#","#0#1#2#3#4#5#6#7#8#9#")),IF(AND(VALUE(LEFT(H451,2))&gt;=1,VALUE(LEFT(H451,2))&lt;=5),VALUE(LEFT(H451,2)),""),IF(AND(VALUE(LEFT(H451,1))&gt;=1,VALUE(LEFT(H451,1))&lt;=5),VALUE(LEFT(H451,1)),"")),""),"")</f>
        <v/>
      </c>
      <c r="O451" s="25">
        <f>IF(AND(L451=1,B451&lt;&gt;""),SUBSTITUTE(SUBSTITUTE(SUBSTITUTE(SUBSTITUTE(SUBSTITUTE(SUBSTITUTE(SUBSTITUTE(SUBSTITUTE(SUBSTITUTE(SUBSTITUTE(SUBSTITUTE(SUBSTITUTE(LOWER(TRIM(B451)),"á","a"),"é","e"),"í","i"),"ó","o"),"ú","u"),"ü","u"),"ñ","n"),"à","a"),"è","e"),"ì","i"),"ò","o"),"ù","u"),"")</f>
        <v/>
      </c>
      <c r="P451" s="25">
        <f>IF(AND(L451=1,C451&lt;&gt;""),SUBSTITUTE(SUBSTITUTE(SUBSTITUTE(SUBSTITUTE(SUBSTITUTE(SUBSTITUTE(SUBSTITUTE(SUBSTITUTE(SUBSTITUTE(SUBSTITUTE(SUBSTITUTE(SUBSTITUTE(LOWER(TRIM(C451)),"á","a"),"é","e"),"í","i"),"ó","o"),"ú","u"),"ü","u"),"ñ","n"),"à","a"),"è","e"),"ì","i"),"ò","o"),"ù","u"),"")</f>
        <v/>
      </c>
      <c r="Q451" s="25">
        <f>IF(AND(L451=1,E451&lt;&gt;""),SUBSTITUTE(SUBSTITUTE(SUBSTITUTE(SUBSTITUTE(SUBSTITUTE(SUBSTITUTE(SUBSTITUTE(SUBSTITUTE(SUBSTITUTE(SUBSTITUTE(SUBSTITUTE(SUBSTITUTE(LOWER(TRIM(E451)),"á","a"),"é","e"),"í","i"),"ó","o"),"ú","u"),"ü","u"),"ñ","n"),"à","a"),"è","e"),"ì","i"),"ò","o"),"ù","u"),"")</f>
        <v/>
      </c>
      <c r="R451" s="25">
        <f>IF(AND(L451=1,I451&lt;&gt;""),SUBSTITUTE(SUBSTITUTE(SUBSTITUTE(SUBSTITUTE(SUBSTITUTE(SUBSTITUTE(SUBSTITUTE(SUBSTITUTE(SUBSTITUTE(SUBSTITUTE(SUBSTITUTE(SUBSTITUTE(LOWER(TRIM(I451)),"á","a"),"é","e"),"í","i"),"ó","o"),"ú","u"),"ü","u"),"ñ","n"),"à","a"),"è","e"),"ì","i"),"ò","o"),"ù","u"),"")</f>
        <v/>
      </c>
      <c r="S451" s="25">
        <f>IF(R451="","",IF(OR(R451="si",R451="tal vez"),1,0))</f>
        <v/>
      </c>
      <c r="T451" s="25">
        <f>IF(AND(L451=1,D451&lt;&gt;""),IF(IFERROR(COUNTIFS(D$3:D451,"="&amp;SUBSTITUTE(SUBSTITUTE(SUBSTITUTE(D451,"~","~~"),"*","~*"),"?","~?"),L$3:L451,1),0)=1,MAX(T$2:T450)+1,""),"")</f>
        <v/>
      </c>
      <c r="U451" s="25">
        <f>IF(T451="","",COUNTIFS($D$3:$D$1002,"="&amp;SUBSTITUTE(SUBSTITUTE(SUBSTITUTE(D451,"~","~~"),"*","~*"),"?","~?"),$L$3:$L$1002,1)*10000-T451)</f>
        <v/>
      </c>
      <c r="V451" s="25">
        <f>IF(AND(L451=1,J451&lt;&gt;""),IF(IFERROR(COUNTIFS(J$3:J451,"="&amp;SUBSTITUTE(SUBSTITUTE(SUBSTITUTE(J451,"~","~~"),"*","~*"),"?","~?"),L$3:L451,1),0)=1,MAX(V$2:V450)+1,""),"")</f>
        <v/>
      </c>
      <c r="W451" s="25">
        <f>IF(V451="","",COUNTIFS($J$3:$J$1002,"="&amp;SUBSTITUTE(SUBSTITUTE(SUBSTITUTE(J451,"~","~~"),"*","~*"),"?","~?"),$L$3:$L$1002,1)*10000-V451)</f>
        <v/>
      </c>
    </row>
    <row r="452">
      <c r="A452">
        <f>IF(A$2=0,"",IFERROR(TRIM(INDEX('Pegar estudiantes'!$A$1:$BZ$1001,451,A$2)&amp;""),""))</f>
        <v/>
      </c>
      <c r="B452">
        <f>IF(B$2=0,"",IFERROR(TRIM(INDEX('Pegar estudiantes'!$A$1:$BZ$1001,451,B$2)&amp;""),""))</f>
        <v/>
      </c>
      <c r="C452">
        <f>IF(C$2=0,"",IFERROR(TRIM(INDEX('Pegar estudiantes'!$A$1:$BZ$1001,451,C$2)&amp;""),""))</f>
        <v/>
      </c>
      <c r="D452">
        <f>IF(D$2=0,"",IFERROR(TRIM(INDEX('Pegar estudiantes'!$A$1:$BZ$1001,451,D$2)&amp;""),""))</f>
        <v/>
      </c>
      <c r="E452">
        <f>IF(E$2=0,"",IFERROR(TRIM(INDEX('Pegar estudiantes'!$A$1:$BZ$1001,451,E$2)&amp;""),""))</f>
        <v/>
      </c>
      <c r="F452">
        <f>IF(F$2=0,"",IFERROR(TRIM(INDEX('Pegar estudiantes'!$A$1:$BZ$1001,451,F$2)&amp;""),""))</f>
        <v/>
      </c>
      <c r="G452">
        <f>IF(G$2=0,"",IFERROR(TRIM(INDEX('Pegar estudiantes'!$A$1:$BZ$1001,451,G$2)&amp;""),""))</f>
        <v/>
      </c>
      <c r="H452">
        <f>IF(H$2=0,"",IFERROR(TRIM(INDEX('Pegar estudiantes'!$A$1:$BZ$1001,451,H$2)&amp;""),""))</f>
        <v/>
      </c>
      <c r="I452">
        <f>IF(I$2=0,"",IFERROR(TRIM(INDEX('Pegar estudiantes'!$A$1:$BZ$1001,451,I$2)&amp;""),""))</f>
        <v/>
      </c>
      <c r="J452">
        <f>IF(J$2=0,"",IFERROR(TRIM(INDEX('Pegar estudiantes'!$A$1:$BZ$1001,451,J$2)&amp;""),""))</f>
        <v/>
      </c>
      <c r="K452">
        <f>IF(K$2=0,"",IFERROR(TRIM(INDEX('Pegar estudiantes'!$A$1:$BZ$1001,451,K$2)&amp;""),""))</f>
        <v/>
      </c>
      <c r="L452" s="25">
        <f>IF(A452&lt;&gt;"",1,"")</f>
        <v/>
      </c>
      <c r="M452" s="25">
        <f>IF(L452=1,IF(ISNUMBER(FIND("#"&amp;MID(A452,1,1)&amp;"#","#0#1#2#3#4#5#6#7#8#9#")),IF(ISNUMBER(FIND("#"&amp;MID(A452,2,1)&amp;"#","#0#1#2#3#4#5#6#7#8#9#")),IF(AND(VALUE(LEFT(A452,2))&gt;=1,VALUE(LEFT(A452,2))&lt;=5),VALUE(LEFT(A452,2)),""),IF(AND(VALUE(LEFT(A452,1))&gt;=1,VALUE(LEFT(A452,1))&lt;=5),VALUE(LEFT(A452,1)),"")),""),"")</f>
        <v/>
      </c>
      <c r="N452" s="25">
        <f>IF(L452=1,IF(ISNUMBER(FIND("#"&amp;MID(H452,1,1)&amp;"#","#0#1#2#3#4#5#6#7#8#9#")),IF(ISNUMBER(FIND("#"&amp;MID(H452,2,1)&amp;"#","#0#1#2#3#4#5#6#7#8#9#")),IF(AND(VALUE(LEFT(H452,2))&gt;=1,VALUE(LEFT(H452,2))&lt;=5),VALUE(LEFT(H452,2)),""),IF(AND(VALUE(LEFT(H452,1))&gt;=1,VALUE(LEFT(H452,1))&lt;=5),VALUE(LEFT(H452,1)),"")),""),"")</f>
        <v/>
      </c>
      <c r="O452" s="25">
        <f>IF(AND(L452=1,B452&lt;&gt;""),SUBSTITUTE(SUBSTITUTE(SUBSTITUTE(SUBSTITUTE(SUBSTITUTE(SUBSTITUTE(SUBSTITUTE(SUBSTITUTE(SUBSTITUTE(SUBSTITUTE(SUBSTITUTE(SUBSTITUTE(LOWER(TRIM(B452)),"á","a"),"é","e"),"í","i"),"ó","o"),"ú","u"),"ü","u"),"ñ","n"),"à","a"),"è","e"),"ì","i"),"ò","o"),"ù","u"),"")</f>
        <v/>
      </c>
      <c r="P452" s="25">
        <f>IF(AND(L452=1,C452&lt;&gt;""),SUBSTITUTE(SUBSTITUTE(SUBSTITUTE(SUBSTITUTE(SUBSTITUTE(SUBSTITUTE(SUBSTITUTE(SUBSTITUTE(SUBSTITUTE(SUBSTITUTE(SUBSTITUTE(SUBSTITUTE(LOWER(TRIM(C452)),"á","a"),"é","e"),"í","i"),"ó","o"),"ú","u"),"ü","u"),"ñ","n"),"à","a"),"è","e"),"ì","i"),"ò","o"),"ù","u"),"")</f>
        <v/>
      </c>
      <c r="Q452" s="25">
        <f>IF(AND(L452=1,E452&lt;&gt;""),SUBSTITUTE(SUBSTITUTE(SUBSTITUTE(SUBSTITUTE(SUBSTITUTE(SUBSTITUTE(SUBSTITUTE(SUBSTITUTE(SUBSTITUTE(SUBSTITUTE(SUBSTITUTE(SUBSTITUTE(LOWER(TRIM(E452)),"á","a"),"é","e"),"í","i"),"ó","o"),"ú","u"),"ü","u"),"ñ","n"),"à","a"),"è","e"),"ì","i"),"ò","o"),"ù","u"),"")</f>
        <v/>
      </c>
      <c r="R452" s="25">
        <f>IF(AND(L452=1,I452&lt;&gt;""),SUBSTITUTE(SUBSTITUTE(SUBSTITUTE(SUBSTITUTE(SUBSTITUTE(SUBSTITUTE(SUBSTITUTE(SUBSTITUTE(SUBSTITUTE(SUBSTITUTE(SUBSTITUTE(SUBSTITUTE(LOWER(TRIM(I452)),"á","a"),"é","e"),"í","i"),"ó","o"),"ú","u"),"ü","u"),"ñ","n"),"à","a"),"è","e"),"ì","i"),"ò","o"),"ù","u"),"")</f>
        <v/>
      </c>
      <c r="S452" s="25">
        <f>IF(R452="","",IF(OR(R452="si",R452="tal vez"),1,0))</f>
        <v/>
      </c>
      <c r="T452" s="25">
        <f>IF(AND(L452=1,D452&lt;&gt;""),IF(IFERROR(COUNTIFS(D$3:D452,"="&amp;SUBSTITUTE(SUBSTITUTE(SUBSTITUTE(D452,"~","~~"),"*","~*"),"?","~?"),L$3:L452,1),0)=1,MAX(T$2:T451)+1,""),"")</f>
        <v/>
      </c>
      <c r="U452" s="25">
        <f>IF(T452="","",COUNTIFS($D$3:$D$1002,"="&amp;SUBSTITUTE(SUBSTITUTE(SUBSTITUTE(D452,"~","~~"),"*","~*"),"?","~?"),$L$3:$L$1002,1)*10000-T452)</f>
        <v/>
      </c>
      <c r="V452" s="25">
        <f>IF(AND(L452=1,J452&lt;&gt;""),IF(IFERROR(COUNTIFS(J$3:J452,"="&amp;SUBSTITUTE(SUBSTITUTE(SUBSTITUTE(J452,"~","~~"),"*","~*"),"?","~?"),L$3:L452,1),0)=1,MAX(V$2:V451)+1,""),"")</f>
        <v/>
      </c>
      <c r="W452" s="25">
        <f>IF(V452="","",COUNTIFS($J$3:$J$1002,"="&amp;SUBSTITUTE(SUBSTITUTE(SUBSTITUTE(J452,"~","~~"),"*","~*"),"?","~?"),$L$3:$L$1002,1)*10000-V452)</f>
        <v/>
      </c>
    </row>
    <row r="453">
      <c r="A453">
        <f>IF(A$2=0,"",IFERROR(TRIM(INDEX('Pegar estudiantes'!$A$1:$BZ$1001,452,A$2)&amp;""),""))</f>
        <v/>
      </c>
      <c r="B453">
        <f>IF(B$2=0,"",IFERROR(TRIM(INDEX('Pegar estudiantes'!$A$1:$BZ$1001,452,B$2)&amp;""),""))</f>
        <v/>
      </c>
      <c r="C453">
        <f>IF(C$2=0,"",IFERROR(TRIM(INDEX('Pegar estudiantes'!$A$1:$BZ$1001,452,C$2)&amp;""),""))</f>
        <v/>
      </c>
      <c r="D453">
        <f>IF(D$2=0,"",IFERROR(TRIM(INDEX('Pegar estudiantes'!$A$1:$BZ$1001,452,D$2)&amp;""),""))</f>
        <v/>
      </c>
      <c r="E453">
        <f>IF(E$2=0,"",IFERROR(TRIM(INDEX('Pegar estudiantes'!$A$1:$BZ$1001,452,E$2)&amp;""),""))</f>
        <v/>
      </c>
      <c r="F453">
        <f>IF(F$2=0,"",IFERROR(TRIM(INDEX('Pegar estudiantes'!$A$1:$BZ$1001,452,F$2)&amp;""),""))</f>
        <v/>
      </c>
      <c r="G453">
        <f>IF(G$2=0,"",IFERROR(TRIM(INDEX('Pegar estudiantes'!$A$1:$BZ$1001,452,G$2)&amp;""),""))</f>
        <v/>
      </c>
      <c r="H453">
        <f>IF(H$2=0,"",IFERROR(TRIM(INDEX('Pegar estudiantes'!$A$1:$BZ$1001,452,H$2)&amp;""),""))</f>
        <v/>
      </c>
      <c r="I453">
        <f>IF(I$2=0,"",IFERROR(TRIM(INDEX('Pegar estudiantes'!$A$1:$BZ$1001,452,I$2)&amp;""),""))</f>
        <v/>
      </c>
      <c r="J453">
        <f>IF(J$2=0,"",IFERROR(TRIM(INDEX('Pegar estudiantes'!$A$1:$BZ$1001,452,J$2)&amp;""),""))</f>
        <v/>
      </c>
      <c r="K453">
        <f>IF(K$2=0,"",IFERROR(TRIM(INDEX('Pegar estudiantes'!$A$1:$BZ$1001,452,K$2)&amp;""),""))</f>
        <v/>
      </c>
      <c r="L453" s="25">
        <f>IF(A453&lt;&gt;"",1,"")</f>
        <v/>
      </c>
      <c r="M453" s="25">
        <f>IF(L453=1,IF(ISNUMBER(FIND("#"&amp;MID(A453,1,1)&amp;"#","#0#1#2#3#4#5#6#7#8#9#")),IF(ISNUMBER(FIND("#"&amp;MID(A453,2,1)&amp;"#","#0#1#2#3#4#5#6#7#8#9#")),IF(AND(VALUE(LEFT(A453,2))&gt;=1,VALUE(LEFT(A453,2))&lt;=5),VALUE(LEFT(A453,2)),""),IF(AND(VALUE(LEFT(A453,1))&gt;=1,VALUE(LEFT(A453,1))&lt;=5),VALUE(LEFT(A453,1)),"")),""),"")</f>
        <v/>
      </c>
      <c r="N453" s="25">
        <f>IF(L453=1,IF(ISNUMBER(FIND("#"&amp;MID(H453,1,1)&amp;"#","#0#1#2#3#4#5#6#7#8#9#")),IF(ISNUMBER(FIND("#"&amp;MID(H453,2,1)&amp;"#","#0#1#2#3#4#5#6#7#8#9#")),IF(AND(VALUE(LEFT(H453,2))&gt;=1,VALUE(LEFT(H453,2))&lt;=5),VALUE(LEFT(H453,2)),""),IF(AND(VALUE(LEFT(H453,1))&gt;=1,VALUE(LEFT(H453,1))&lt;=5),VALUE(LEFT(H453,1)),"")),""),"")</f>
        <v/>
      </c>
      <c r="O453" s="25">
        <f>IF(AND(L453=1,B453&lt;&gt;""),SUBSTITUTE(SUBSTITUTE(SUBSTITUTE(SUBSTITUTE(SUBSTITUTE(SUBSTITUTE(SUBSTITUTE(SUBSTITUTE(SUBSTITUTE(SUBSTITUTE(SUBSTITUTE(SUBSTITUTE(LOWER(TRIM(B453)),"á","a"),"é","e"),"í","i"),"ó","o"),"ú","u"),"ü","u"),"ñ","n"),"à","a"),"è","e"),"ì","i"),"ò","o"),"ù","u"),"")</f>
        <v/>
      </c>
      <c r="P453" s="25">
        <f>IF(AND(L453=1,C453&lt;&gt;""),SUBSTITUTE(SUBSTITUTE(SUBSTITUTE(SUBSTITUTE(SUBSTITUTE(SUBSTITUTE(SUBSTITUTE(SUBSTITUTE(SUBSTITUTE(SUBSTITUTE(SUBSTITUTE(SUBSTITUTE(LOWER(TRIM(C453)),"á","a"),"é","e"),"í","i"),"ó","o"),"ú","u"),"ü","u"),"ñ","n"),"à","a"),"è","e"),"ì","i"),"ò","o"),"ù","u"),"")</f>
        <v/>
      </c>
      <c r="Q453" s="25">
        <f>IF(AND(L453=1,E453&lt;&gt;""),SUBSTITUTE(SUBSTITUTE(SUBSTITUTE(SUBSTITUTE(SUBSTITUTE(SUBSTITUTE(SUBSTITUTE(SUBSTITUTE(SUBSTITUTE(SUBSTITUTE(SUBSTITUTE(SUBSTITUTE(LOWER(TRIM(E453)),"á","a"),"é","e"),"í","i"),"ó","o"),"ú","u"),"ü","u"),"ñ","n"),"à","a"),"è","e"),"ì","i"),"ò","o"),"ù","u"),"")</f>
        <v/>
      </c>
      <c r="R453" s="25">
        <f>IF(AND(L453=1,I453&lt;&gt;""),SUBSTITUTE(SUBSTITUTE(SUBSTITUTE(SUBSTITUTE(SUBSTITUTE(SUBSTITUTE(SUBSTITUTE(SUBSTITUTE(SUBSTITUTE(SUBSTITUTE(SUBSTITUTE(SUBSTITUTE(LOWER(TRIM(I453)),"á","a"),"é","e"),"í","i"),"ó","o"),"ú","u"),"ü","u"),"ñ","n"),"à","a"),"è","e"),"ì","i"),"ò","o"),"ù","u"),"")</f>
        <v/>
      </c>
      <c r="S453" s="25">
        <f>IF(R453="","",IF(OR(R453="si",R453="tal vez"),1,0))</f>
        <v/>
      </c>
      <c r="T453" s="25">
        <f>IF(AND(L453=1,D453&lt;&gt;""),IF(IFERROR(COUNTIFS(D$3:D453,"="&amp;SUBSTITUTE(SUBSTITUTE(SUBSTITUTE(D453,"~","~~"),"*","~*"),"?","~?"),L$3:L453,1),0)=1,MAX(T$2:T452)+1,""),"")</f>
        <v/>
      </c>
      <c r="U453" s="25">
        <f>IF(T453="","",COUNTIFS($D$3:$D$1002,"="&amp;SUBSTITUTE(SUBSTITUTE(SUBSTITUTE(D453,"~","~~"),"*","~*"),"?","~?"),$L$3:$L$1002,1)*10000-T453)</f>
        <v/>
      </c>
      <c r="V453" s="25">
        <f>IF(AND(L453=1,J453&lt;&gt;""),IF(IFERROR(COUNTIFS(J$3:J453,"="&amp;SUBSTITUTE(SUBSTITUTE(SUBSTITUTE(J453,"~","~~"),"*","~*"),"?","~?"),L$3:L453,1),0)=1,MAX(V$2:V452)+1,""),"")</f>
        <v/>
      </c>
      <c r="W453" s="25">
        <f>IF(V453="","",COUNTIFS($J$3:$J$1002,"="&amp;SUBSTITUTE(SUBSTITUTE(SUBSTITUTE(J453,"~","~~"),"*","~*"),"?","~?"),$L$3:$L$1002,1)*10000-V453)</f>
        <v/>
      </c>
    </row>
    <row r="454">
      <c r="A454">
        <f>IF(A$2=0,"",IFERROR(TRIM(INDEX('Pegar estudiantes'!$A$1:$BZ$1001,453,A$2)&amp;""),""))</f>
        <v/>
      </c>
      <c r="B454">
        <f>IF(B$2=0,"",IFERROR(TRIM(INDEX('Pegar estudiantes'!$A$1:$BZ$1001,453,B$2)&amp;""),""))</f>
        <v/>
      </c>
      <c r="C454">
        <f>IF(C$2=0,"",IFERROR(TRIM(INDEX('Pegar estudiantes'!$A$1:$BZ$1001,453,C$2)&amp;""),""))</f>
        <v/>
      </c>
      <c r="D454">
        <f>IF(D$2=0,"",IFERROR(TRIM(INDEX('Pegar estudiantes'!$A$1:$BZ$1001,453,D$2)&amp;""),""))</f>
        <v/>
      </c>
      <c r="E454">
        <f>IF(E$2=0,"",IFERROR(TRIM(INDEX('Pegar estudiantes'!$A$1:$BZ$1001,453,E$2)&amp;""),""))</f>
        <v/>
      </c>
      <c r="F454">
        <f>IF(F$2=0,"",IFERROR(TRIM(INDEX('Pegar estudiantes'!$A$1:$BZ$1001,453,F$2)&amp;""),""))</f>
        <v/>
      </c>
      <c r="G454">
        <f>IF(G$2=0,"",IFERROR(TRIM(INDEX('Pegar estudiantes'!$A$1:$BZ$1001,453,G$2)&amp;""),""))</f>
        <v/>
      </c>
      <c r="H454">
        <f>IF(H$2=0,"",IFERROR(TRIM(INDEX('Pegar estudiantes'!$A$1:$BZ$1001,453,H$2)&amp;""),""))</f>
        <v/>
      </c>
      <c r="I454">
        <f>IF(I$2=0,"",IFERROR(TRIM(INDEX('Pegar estudiantes'!$A$1:$BZ$1001,453,I$2)&amp;""),""))</f>
        <v/>
      </c>
      <c r="J454">
        <f>IF(J$2=0,"",IFERROR(TRIM(INDEX('Pegar estudiantes'!$A$1:$BZ$1001,453,J$2)&amp;""),""))</f>
        <v/>
      </c>
      <c r="K454">
        <f>IF(K$2=0,"",IFERROR(TRIM(INDEX('Pegar estudiantes'!$A$1:$BZ$1001,453,K$2)&amp;""),""))</f>
        <v/>
      </c>
      <c r="L454" s="25">
        <f>IF(A454&lt;&gt;"",1,"")</f>
        <v/>
      </c>
      <c r="M454" s="25">
        <f>IF(L454=1,IF(ISNUMBER(FIND("#"&amp;MID(A454,1,1)&amp;"#","#0#1#2#3#4#5#6#7#8#9#")),IF(ISNUMBER(FIND("#"&amp;MID(A454,2,1)&amp;"#","#0#1#2#3#4#5#6#7#8#9#")),IF(AND(VALUE(LEFT(A454,2))&gt;=1,VALUE(LEFT(A454,2))&lt;=5),VALUE(LEFT(A454,2)),""),IF(AND(VALUE(LEFT(A454,1))&gt;=1,VALUE(LEFT(A454,1))&lt;=5),VALUE(LEFT(A454,1)),"")),""),"")</f>
        <v/>
      </c>
      <c r="N454" s="25">
        <f>IF(L454=1,IF(ISNUMBER(FIND("#"&amp;MID(H454,1,1)&amp;"#","#0#1#2#3#4#5#6#7#8#9#")),IF(ISNUMBER(FIND("#"&amp;MID(H454,2,1)&amp;"#","#0#1#2#3#4#5#6#7#8#9#")),IF(AND(VALUE(LEFT(H454,2))&gt;=1,VALUE(LEFT(H454,2))&lt;=5),VALUE(LEFT(H454,2)),""),IF(AND(VALUE(LEFT(H454,1))&gt;=1,VALUE(LEFT(H454,1))&lt;=5),VALUE(LEFT(H454,1)),"")),""),"")</f>
        <v/>
      </c>
      <c r="O454" s="25">
        <f>IF(AND(L454=1,B454&lt;&gt;""),SUBSTITUTE(SUBSTITUTE(SUBSTITUTE(SUBSTITUTE(SUBSTITUTE(SUBSTITUTE(SUBSTITUTE(SUBSTITUTE(SUBSTITUTE(SUBSTITUTE(SUBSTITUTE(SUBSTITUTE(LOWER(TRIM(B454)),"á","a"),"é","e"),"í","i"),"ó","o"),"ú","u"),"ü","u"),"ñ","n"),"à","a"),"è","e"),"ì","i"),"ò","o"),"ù","u"),"")</f>
        <v/>
      </c>
      <c r="P454" s="25">
        <f>IF(AND(L454=1,C454&lt;&gt;""),SUBSTITUTE(SUBSTITUTE(SUBSTITUTE(SUBSTITUTE(SUBSTITUTE(SUBSTITUTE(SUBSTITUTE(SUBSTITUTE(SUBSTITUTE(SUBSTITUTE(SUBSTITUTE(SUBSTITUTE(LOWER(TRIM(C454)),"á","a"),"é","e"),"í","i"),"ó","o"),"ú","u"),"ü","u"),"ñ","n"),"à","a"),"è","e"),"ì","i"),"ò","o"),"ù","u"),"")</f>
        <v/>
      </c>
      <c r="Q454" s="25">
        <f>IF(AND(L454=1,E454&lt;&gt;""),SUBSTITUTE(SUBSTITUTE(SUBSTITUTE(SUBSTITUTE(SUBSTITUTE(SUBSTITUTE(SUBSTITUTE(SUBSTITUTE(SUBSTITUTE(SUBSTITUTE(SUBSTITUTE(SUBSTITUTE(LOWER(TRIM(E454)),"á","a"),"é","e"),"í","i"),"ó","o"),"ú","u"),"ü","u"),"ñ","n"),"à","a"),"è","e"),"ì","i"),"ò","o"),"ù","u"),"")</f>
        <v/>
      </c>
      <c r="R454" s="25">
        <f>IF(AND(L454=1,I454&lt;&gt;""),SUBSTITUTE(SUBSTITUTE(SUBSTITUTE(SUBSTITUTE(SUBSTITUTE(SUBSTITUTE(SUBSTITUTE(SUBSTITUTE(SUBSTITUTE(SUBSTITUTE(SUBSTITUTE(SUBSTITUTE(LOWER(TRIM(I454)),"á","a"),"é","e"),"í","i"),"ó","o"),"ú","u"),"ü","u"),"ñ","n"),"à","a"),"è","e"),"ì","i"),"ò","o"),"ù","u"),"")</f>
        <v/>
      </c>
      <c r="S454" s="25">
        <f>IF(R454="","",IF(OR(R454="si",R454="tal vez"),1,0))</f>
        <v/>
      </c>
      <c r="T454" s="25">
        <f>IF(AND(L454=1,D454&lt;&gt;""),IF(IFERROR(COUNTIFS(D$3:D454,"="&amp;SUBSTITUTE(SUBSTITUTE(SUBSTITUTE(D454,"~","~~"),"*","~*"),"?","~?"),L$3:L454,1),0)=1,MAX(T$2:T453)+1,""),"")</f>
        <v/>
      </c>
      <c r="U454" s="25">
        <f>IF(T454="","",COUNTIFS($D$3:$D$1002,"="&amp;SUBSTITUTE(SUBSTITUTE(SUBSTITUTE(D454,"~","~~"),"*","~*"),"?","~?"),$L$3:$L$1002,1)*10000-T454)</f>
        <v/>
      </c>
      <c r="V454" s="25">
        <f>IF(AND(L454=1,J454&lt;&gt;""),IF(IFERROR(COUNTIFS(J$3:J454,"="&amp;SUBSTITUTE(SUBSTITUTE(SUBSTITUTE(J454,"~","~~"),"*","~*"),"?","~?"),L$3:L454,1),0)=1,MAX(V$2:V453)+1,""),"")</f>
        <v/>
      </c>
      <c r="W454" s="25">
        <f>IF(V454="","",COUNTIFS($J$3:$J$1002,"="&amp;SUBSTITUTE(SUBSTITUTE(SUBSTITUTE(J454,"~","~~"),"*","~*"),"?","~?"),$L$3:$L$1002,1)*10000-V454)</f>
        <v/>
      </c>
    </row>
    <row r="455">
      <c r="A455">
        <f>IF(A$2=0,"",IFERROR(TRIM(INDEX('Pegar estudiantes'!$A$1:$BZ$1001,454,A$2)&amp;""),""))</f>
        <v/>
      </c>
      <c r="B455">
        <f>IF(B$2=0,"",IFERROR(TRIM(INDEX('Pegar estudiantes'!$A$1:$BZ$1001,454,B$2)&amp;""),""))</f>
        <v/>
      </c>
      <c r="C455">
        <f>IF(C$2=0,"",IFERROR(TRIM(INDEX('Pegar estudiantes'!$A$1:$BZ$1001,454,C$2)&amp;""),""))</f>
        <v/>
      </c>
      <c r="D455">
        <f>IF(D$2=0,"",IFERROR(TRIM(INDEX('Pegar estudiantes'!$A$1:$BZ$1001,454,D$2)&amp;""),""))</f>
        <v/>
      </c>
      <c r="E455">
        <f>IF(E$2=0,"",IFERROR(TRIM(INDEX('Pegar estudiantes'!$A$1:$BZ$1001,454,E$2)&amp;""),""))</f>
        <v/>
      </c>
      <c r="F455">
        <f>IF(F$2=0,"",IFERROR(TRIM(INDEX('Pegar estudiantes'!$A$1:$BZ$1001,454,F$2)&amp;""),""))</f>
        <v/>
      </c>
      <c r="G455">
        <f>IF(G$2=0,"",IFERROR(TRIM(INDEX('Pegar estudiantes'!$A$1:$BZ$1001,454,G$2)&amp;""),""))</f>
        <v/>
      </c>
      <c r="H455">
        <f>IF(H$2=0,"",IFERROR(TRIM(INDEX('Pegar estudiantes'!$A$1:$BZ$1001,454,H$2)&amp;""),""))</f>
        <v/>
      </c>
      <c r="I455">
        <f>IF(I$2=0,"",IFERROR(TRIM(INDEX('Pegar estudiantes'!$A$1:$BZ$1001,454,I$2)&amp;""),""))</f>
        <v/>
      </c>
      <c r="J455">
        <f>IF(J$2=0,"",IFERROR(TRIM(INDEX('Pegar estudiantes'!$A$1:$BZ$1001,454,J$2)&amp;""),""))</f>
        <v/>
      </c>
      <c r="K455">
        <f>IF(K$2=0,"",IFERROR(TRIM(INDEX('Pegar estudiantes'!$A$1:$BZ$1001,454,K$2)&amp;""),""))</f>
        <v/>
      </c>
      <c r="L455" s="25">
        <f>IF(A455&lt;&gt;"",1,"")</f>
        <v/>
      </c>
      <c r="M455" s="25">
        <f>IF(L455=1,IF(ISNUMBER(FIND("#"&amp;MID(A455,1,1)&amp;"#","#0#1#2#3#4#5#6#7#8#9#")),IF(ISNUMBER(FIND("#"&amp;MID(A455,2,1)&amp;"#","#0#1#2#3#4#5#6#7#8#9#")),IF(AND(VALUE(LEFT(A455,2))&gt;=1,VALUE(LEFT(A455,2))&lt;=5),VALUE(LEFT(A455,2)),""),IF(AND(VALUE(LEFT(A455,1))&gt;=1,VALUE(LEFT(A455,1))&lt;=5),VALUE(LEFT(A455,1)),"")),""),"")</f>
        <v/>
      </c>
      <c r="N455" s="25">
        <f>IF(L455=1,IF(ISNUMBER(FIND("#"&amp;MID(H455,1,1)&amp;"#","#0#1#2#3#4#5#6#7#8#9#")),IF(ISNUMBER(FIND("#"&amp;MID(H455,2,1)&amp;"#","#0#1#2#3#4#5#6#7#8#9#")),IF(AND(VALUE(LEFT(H455,2))&gt;=1,VALUE(LEFT(H455,2))&lt;=5),VALUE(LEFT(H455,2)),""),IF(AND(VALUE(LEFT(H455,1))&gt;=1,VALUE(LEFT(H455,1))&lt;=5),VALUE(LEFT(H455,1)),"")),""),"")</f>
        <v/>
      </c>
      <c r="O455" s="25">
        <f>IF(AND(L455=1,B455&lt;&gt;""),SUBSTITUTE(SUBSTITUTE(SUBSTITUTE(SUBSTITUTE(SUBSTITUTE(SUBSTITUTE(SUBSTITUTE(SUBSTITUTE(SUBSTITUTE(SUBSTITUTE(SUBSTITUTE(SUBSTITUTE(LOWER(TRIM(B455)),"á","a"),"é","e"),"í","i"),"ó","o"),"ú","u"),"ü","u"),"ñ","n"),"à","a"),"è","e"),"ì","i"),"ò","o"),"ù","u"),"")</f>
        <v/>
      </c>
      <c r="P455" s="25">
        <f>IF(AND(L455=1,C455&lt;&gt;""),SUBSTITUTE(SUBSTITUTE(SUBSTITUTE(SUBSTITUTE(SUBSTITUTE(SUBSTITUTE(SUBSTITUTE(SUBSTITUTE(SUBSTITUTE(SUBSTITUTE(SUBSTITUTE(SUBSTITUTE(LOWER(TRIM(C455)),"á","a"),"é","e"),"í","i"),"ó","o"),"ú","u"),"ü","u"),"ñ","n"),"à","a"),"è","e"),"ì","i"),"ò","o"),"ù","u"),"")</f>
        <v/>
      </c>
      <c r="Q455" s="25">
        <f>IF(AND(L455=1,E455&lt;&gt;""),SUBSTITUTE(SUBSTITUTE(SUBSTITUTE(SUBSTITUTE(SUBSTITUTE(SUBSTITUTE(SUBSTITUTE(SUBSTITUTE(SUBSTITUTE(SUBSTITUTE(SUBSTITUTE(SUBSTITUTE(LOWER(TRIM(E455)),"á","a"),"é","e"),"í","i"),"ó","o"),"ú","u"),"ü","u"),"ñ","n"),"à","a"),"è","e"),"ì","i"),"ò","o"),"ù","u"),"")</f>
        <v/>
      </c>
      <c r="R455" s="25">
        <f>IF(AND(L455=1,I455&lt;&gt;""),SUBSTITUTE(SUBSTITUTE(SUBSTITUTE(SUBSTITUTE(SUBSTITUTE(SUBSTITUTE(SUBSTITUTE(SUBSTITUTE(SUBSTITUTE(SUBSTITUTE(SUBSTITUTE(SUBSTITUTE(LOWER(TRIM(I455)),"á","a"),"é","e"),"í","i"),"ó","o"),"ú","u"),"ü","u"),"ñ","n"),"à","a"),"è","e"),"ì","i"),"ò","o"),"ù","u"),"")</f>
        <v/>
      </c>
      <c r="S455" s="25">
        <f>IF(R455="","",IF(OR(R455="si",R455="tal vez"),1,0))</f>
        <v/>
      </c>
      <c r="T455" s="25">
        <f>IF(AND(L455=1,D455&lt;&gt;""),IF(IFERROR(COUNTIFS(D$3:D455,"="&amp;SUBSTITUTE(SUBSTITUTE(SUBSTITUTE(D455,"~","~~"),"*","~*"),"?","~?"),L$3:L455,1),0)=1,MAX(T$2:T454)+1,""),"")</f>
        <v/>
      </c>
      <c r="U455" s="25">
        <f>IF(T455="","",COUNTIFS($D$3:$D$1002,"="&amp;SUBSTITUTE(SUBSTITUTE(SUBSTITUTE(D455,"~","~~"),"*","~*"),"?","~?"),$L$3:$L$1002,1)*10000-T455)</f>
        <v/>
      </c>
      <c r="V455" s="25">
        <f>IF(AND(L455=1,J455&lt;&gt;""),IF(IFERROR(COUNTIFS(J$3:J455,"="&amp;SUBSTITUTE(SUBSTITUTE(SUBSTITUTE(J455,"~","~~"),"*","~*"),"?","~?"),L$3:L455,1),0)=1,MAX(V$2:V454)+1,""),"")</f>
        <v/>
      </c>
      <c r="W455" s="25">
        <f>IF(V455="","",COUNTIFS($J$3:$J$1002,"="&amp;SUBSTITUTE(SUBSTITUTE(SUBSTITUTE(J455,"~","~~"),"*","~*"),"?","~?"),$L$3:$L$1002,1)*10000-V455)</f>
        <v/>
      </c>
    </row>
    <row r="456">
      <c r="A456">
        <f>IF(A$2=0,"",IFERROR(TRIM(INDEX('Pegar estudiantes'!$A$1:$BZ$1001,455,A$2)&amp;""),""))</f>
        <v/>
      </c>
      <c r="B456">
        <f>IF(B$2=0,"",IFERROR(TRIM(INDEX('Pegar estudiantes'!$A$1:$BZ$1001,455,B$2)&amp;""),""))</f>
        <v/>
      </c>
      <c r="C456">
        <f>IF(C$2=0,"",IFERROR(TRIM(INDEX('Pegar estudiantes'!$A$1:$BZ$1001,455,C$2)&amp;""),""))</f>
        <v/>
      </c>
      <c r="D456">
        <f>IF(D$2=0,"",IFERROR(TRIM(INDEX('Pegar estudiantes'!$A$1:$BZ$1001,455,D$2)&amp;""),""))</f>
        <v/>
      </c>
      <c r="E456">
        <f>IF(E$2=0,"",IFERROR(TRIM(INDEX('Pegar estudiantes'!$A$1:$BZ$1001,455,E$2)&amp;""),""))</f>
        <v/>
      </c>
      <c r="F456">
        <f>IF(F$2=0,"",IFERROR(TRIM(INDEX('Pegar estudiantes'!$A$1:$BZ$1001,455,F$2)&amp;""),""))</f>
        <v/>
      </c>
      <c r="G456">
        <f>IF(G$2=0,"",IFERROR(TRIM(INDEX('Pegar estudiantes'!$A$1:$BZ$1001,455,G$2)&amp;""),""))</f>
        <v/>
      </c>
      <c r="H456">
        <f>IF(H$2=0,"",IFERROR(TRIM(INDEX('Pegar estudiantes'!$A$1:$BZ$1001,455,H$2)&amp;""),""))</f>
        <v/>
      </c>
      <c r="I456">
        <f>IF(I$2=0,"",IFERROR(TRIM(INDEX('Pegar estudiantes'!$A$1:$BZ$1001,455,I$2)&amp;""),""))</f>
        <v/>
      </c>
      <c r="J456">
        <f>IF(J$2=0,"",IFERROR(TRIM(INDEX('Pegar estudiantes'!$A$1:$BZ$1001,455,J$2)&amp;""),""))</f>
        <v/>
      </c>
      <c r="K456">
        <f>IF(K$2=0,"",IFERROR(TRIM(INDEX('Pegar estudiantes'!$A$1:$BZ$1001,455,K$2)&amp;""),""))</f>
        <v/>
      </c>
      <c r="L456" s="25">
        <f>IF(A456&lt;&gt;"",1,"")</f>
        <v/>
      </c>
      <c r="M456" s="25">
        <f>IF(L456=1,IF(ISNUMBER(FIND("#"&amp;MID(A456,1,1)&amp;"#","#0#1#2#3#4#5#6#7#8#9#")),IF(ISNUMBER(FIND("#"&amp;MID(A456,2,1)&amp;"#","#0#1#2#3#4#5#6#7#8#9#")),IF(AND(VALUE(LEFT(A456,2))&gt;=1,VALUE(LEFT(A456,2))&lt;=5),VALUE(LEFT(A456,2)),""),IF(AND(VALUE(LEFT(A456,1))&gt;=1,VALUE(LEFT(A456,1))&lt;=5),VALUE(LEFT(A456,1)),"")),""),"")</f>
        <v/>
      </c>
      <c r="N456" s="25">
        <f>IF(L456=1,IF(ISNUMBER(FIND("#"&amp;MID(H456,1,1)&amp;"#","#0#1#2#3#4#5#6#7#8#9#")),IF(ISNUMBER(FIND("#"&amp;MID(H456,2,1)&amp;"#","#0#1#2#3#4#5#6#7#8#9#")),IF(AND(VALUE(LEFT(H456,2))&gt;=1,VALUE(LEFT(H456,2))&lt;=5),VALUE(LEFT(H456,2)),""),IF(AND(VALUE(LEFT(H456,1))&gt;=1,VALUE(LEFT(H456,1))&lt;=5),VALUE(LEFT(H456,1)),"")),""),"")</f>
        <v/>
      </c>
      <c r="O456" s="25">
        <f>IF(AND(L456=1,B456&lt;&gt;""),SUBSTITUTE(SUBSTITUTE(SUBSTITUTE(SUBSTITUTE(SUBSTITUTE(SUBSTITUTE(SUBSTITUTE(SUBSTITUTE(SUBSTITUTE(SUBSTITUTE(SUBSTITUTE(SUBSTITUTE(LOWER(TRIM(B456)),"á","a"),"é","e"),"í","i"),"ó","o"),"ú","u"),"ü","u"),"ñ","n"),"à","a"),"è","e"),"ì","i"),"ò","o"),"ù","u"),"")</f>
        <v/>
      </c>
      <c r="P456" s="25">
        <f>IF(AND(L456=1,C456&lt;&gt;""),SUBSTITUTE(SUBSTITUTE(SUBSTITUTE(SUBSTITUTE(SUBSTITUTE(SUBSTITUTE(SUBSTITUTE(SUBSTITUTE(SUBSTITUTE(SUBSTITUTE(SUBSTITUTE(SUBSTITUTE(LOWER(TRIM(C456)),"á","a"),"é","e"),"í","i"),"ó","o"),"ú","u"),"ü","u"),"ñ","n"),"à","a"),"è","e"),"ì","i"),"ò","o"),"ù","u"),"")</f>
        <v/>
      </c>
      <c r="Q456" s="25">
        <f>IF(AND(L456=1,E456&lt;&gt;""),SUBSTITUTE(SUBSTITUTE(SUBSTITUTE(SUBSTITUTE(SUBSTITUTE(SUBSTITUTE(SUBSTITUTE(SUBSTITUTE(SUBSTITUTE(SUBSTITUTE(SUBSTITUTE(SUBSTITUTE(LOWER(TRIM(E456)),"á","a"),"é","e"),"í","i"),"ó","o"),"ú","u"),"ü","u"),"ñ","n"),"à","a"),"è","e"),"ì","i"),"ò","o"),"ù","u"),"")</f>
        <v/>
      </c>
      <c r="R456" s="25">
        <f>IF(AND(L456=1,I456&lt;&gt;""),SUBSTITUTE(SUBSTITUTE(SUBSTITUTE(SUBSTITUTE(SUBSTITUTE(SUBSTITUTE(SUBSTITUTE(SUBSTITUTE(SUBSTITUTE(SUBSTITUTE(SUBSTITUTE(SUBSTITUTE(LOWER(TRIM(I456)),"á","a"),"é","e"),"í","i"),"ó","o"),"ú","u"),"ü","u"),"ñ","n"),"à","a"),"è","e"),"ì","i"),"ò","o"),"ù","u"),"")</f>
        <v/>
      </c>
      <c r="S456" s="25">
        <f>IF(R456="","",IF(OR(R456="si",R456="tal vez"),1,0))</f>
        <v/>
      </c>
      <c r="T456" s="25">
        <f>IF(AND(L456=1,D456&lt;&gt;""),IF(IFERROR(COUNTIFS(D$3:D456,"="&amp;SUBSTITUTE(SUBSTITUTE(SUBSTITUTE(D456,"~","~~"),"*","~*"),"?","~?"),L$3:L456,1),0)=1,MAX(T$2:T455)+1,""),"")</f>
        <v/>
      </c>
      <c r="U456" s="25">
        <f>IF(T456="","",COUNTIFS($D$3:$D$1002,"="&amp;SUBSTITUTE(SUBSTITUTE(SUBSTITUTE(D456,"~","~~"),"*","~*"),"?","~?"),$L$3:$L$1002,1)*10000-T456)</f>
        <v/>
      </c>
      <c r="V456" s="25">
        <f>IF(AND(L456=1,J456&lt;&gt;""),IF(IFERROR(COUNTIFS(J$3:J456,"="&amp;SUBSTITUTE(SUBSTITUTE(SUBSTITUTE(J456,"~","~~"),"*","~*"),"?","~?"),L$3:L456,1),0)=1,MAX(V$2:V455)+1,""),"")</f>
        <v/>
      </c>
      <c r="W456" s="25">
        <f>IF(V456="","",COUNTIFS($J$3:$J$1002,"="&amp;SUBSTITUTE(SUBSTITUTE(SUBSTITUTE(J456,"~","~~"),"*","~*"),"?","~?"),$L$3:$L$1002,1)*10000-V456)</f>
        <v/>
      </c>
    </row>
    <row r="457">
      <c r="A457">
        <f>IF(A$2=0,"",IFERROR(TRIM(INDEX('Pegar estudiantes'!$A$1:$BZ$1001,456,A$2)&amp;""),""))</f>
        <v/>
      </c>
      <c r="B457">
        <f>IF(B$2=0,"",IFERROR(TRIM(INDEX('Pegar estudiantes'!$A$1:$BZ$1001,456,B$2)&amp;""),""))</f>
        <v/>
      </c>
      <c r="C457">
        <f>IF(C$2=0,"",IFERROR(TRIM(INDEX('Pegar estudiantes'!$A$1:$BZ$1001,456,C$2)&amp;""),""))</f>
        <v/>
      </c>
      <c r="D457">
        <f>IF(D$2=0,"",IFERROR(TRIM(INDEX('Pegar estudiantes'!$A$1:$BZ$1001,456,D$2)&amp;""),""))</f>
        <v/>
      </c>
      <c r="E457">
        <f>IF(E$2=0,"",IFERROR(TRIM(INDEX('Pegar estudiantes'!$A$1:$BZ$1001,456,E$2)&amp;""),""))</f>
        <v/>
      </c>
      <c r="F457">
        <f>IF(F$2=0,"",IFERROR(TRIM(INDEX('Pegar estudiantes'!$A$1:$BZ$1001,456,F$2)&amp;""),""))</f>
        <v/>
      </c>
      <c r="G457">
        <f>IF(G$2=0,"",IFERROR(TRIM(INDEX('Pegar estudiantes'!$A$1:$BZ$1001,456,G$2)&amp;""),""))</f>
        <v/>
      </c>
      <c r="H457">
        <f>IF(H$2=0,"",IFERROR(TRIM(INDEX('Pegar estudiantes'!$A$1:$BZ$1001,456,H$2)&amp;""),""))</f>
        <v/>
      </c>
      <c r="I457">
        <f>IF(I$2=0,"",IFERROR(TRIM(INDEX('Pegar estudiantes'!$A$1:$BZ$1001,456,I$2)&amp;""),""))</f>
        <v/>
      </c>
      <c r="J457">
        <f>IF(J$2=0,"",IFERROR(TRIM(INDEX('Pegar estudiantes'!$A$1:$BZ$1001,456,J$2)&amp;""),""))</f>
        <v/>
      </c>
      <c r="K457">
        <f>IF(K$2=0,"",IFERROR(TRIM(INDEX('Pegar estudiantes'!$A$1:$BZ$1001,456,K$2)&amp;""),""))</f>
        <v/>
      </c>
      <c r="L457" s="25">
        <f>IF(A457&lt;&gt;"",1,"")</f>
        <v/>
      </c>
      <c r="M457" s="25">
        <f>IF(L457=1,IF(ISNUMBER(FIND("#"&amp;MID(A457,1,1)&amp;"#","#0#1#2#3#4#5#6#7#8#9#")),IF(ISNUMBER(FIND("#"&amp;MID(A457,2,1)&amp;"#","#0#1#2#3#4#5#6#7#8#9#")),IF(AND(VALUE(LEFT(A457,2))&gt;=1,VALUE(LEFT(A457,2))&lt;=5),VALUE(LEFT(A457,2)),""),IF(AND(VALUE(LEFT(A457,1))&gt;=1,VALUE(LEFT(A457,1))&lt;=5),VALUE(LEFT(A457,1)),"")),""),"")</f>
        <v/>
      </c>
      <c r="N457" s="25">
        <f>IF(L457=1,IF(ISNUMBER(FIND("#"&amp;MID(H457,1,1)&amp;"#","#0#1#2#3#4#5#6#7#8#9#")),IF(ISNUMBER(FIND("#"&amp;MID(H457,2,1)&amp;"#","#0#1#2#3#4#5#6#7#8#9#")),IF(AND(VALUE(LEFT(H457,2))&gt;=1,VALUE(LEFT(H457,2))&lt;=5),VALUE(LEFT(H457,2)),""),IF(AND(VALUE(LEFT(H457,1))&gt;=1,VALUE(LEFT(H457,1))&lt;=5),VALUE(LEFT(H457,1)),"")),""),"")</f>
        <v/>
      </c>
      <c r="O457" s="25">
        <f>IF(AND(L457=1,B457&lt;&gt;""),SUBSTITUTE(SUBSTITUTE(SUBSTITUTE(SUBSTITUTE(SUBSTITUTE(SUBSTITUTE(SUBSTITUTE(SUBSTITUTE(SUBSTITUTE(SUBSTITUTE(SUBSTITUTE(SUBSTITUTE(LOWER(TRIM(B457)),"á","a"),"é","e"),"í","i"),"ó","o"),"ú","u"),"ü","u"),"ñ","n"),"à","a"),"è","e"),"ì","i"),"ò","o"),"ù","u"),"")</f>
        <v/>
      </c>
      <c r="P457" s="25">
        <f>IF(AND(L457=1,C457&lt;&gt;""),SUBSTITUTE(SUBSTITUTE(SUBSTITUTE(SUBSTITUTE(SUBSTITUTE(SUBSTITUTE(SUBSTITUTE(SUBSTITUTE(SUBSTITUTE(SUBSTITUTE(SUBSTITUTE(SUBSTITUTE(LOWER(TRIM(C457)),"á","a"),"é","e"),"í","i"),"ó","o"),"ú","u"),"ü","u"),"ñ","n"),"à","a"),"è","e"),"ì","i"),"ò","o"),"ù","u"),"")</f>
        <v/>
      </c>
      <c r="Q457" s="25">
        <f>IF(AND(L457=1,E457&lt;&gt;""),SUBSTITUTE(SUBSTITUTE(SUBSTITUTE(SUBSTITUTE(SUBSTITUTE(SUBSTITUTE(SUBSTITUTE(SUBSTITUTE(SUBSTITUTE(SUBSTITUTE(SUBSTITUTE(SUBSTITUTE(LOWER(TRIM(E457)),"á","a"),"é","e"),"í","i"),"ó","o"),"ú","u"),"ü","u"),"ñ","n"),"à","a"),"è","e"),"ì","i"),"ò","o"),"ù","u"),"")</f>
        <v/>
      </c>
      <c r="R457" s="25">
        <f>IF(AND(L457=1,I457&lt;&gt;""),SUBSTITUTE(SUBSTITUTE(SUBSTITUTE(SUBSTITUTE(SUBSTITUTE(SUBSTITUTE(SUBSTITUTE(SUBSTITUTE(SUBSTITUTE(SUBSTITUTE(SUBSTITUTE(SUBSTITUTE(LOWER(TRIM(I457)),"á","a"),"é","e"),"í","i"),"ó","o"),"ú","u"),"ü","u"),"ñ","n"),"à","a"),"è","e"),"ì","i"),"ò","o"),"ù","u"),"")</f>
        <v/>
      </c>
      <c r="S457" s="25">
        <f>IF(R457="","",IF(OR(R457="si",R457="tal vez"),1,0))</f>
        <v/>
      </c>
      <c r="T457" s="25">
        <f>IF(AND(L457=1,D457&lt;&gt;""),IF(IFERROR(COUNTIFS(D$3:D457,"="&amp;SUBSTITUTE(SUBSTITUTE(SUBSTITUTE(D457,"~","~~"),"*","~*"),"?","~?"),L$3:L457,1),0)=1,MAX(T$2:T456)+1,""),"")</f>
        <v/>
      </c>
      <c r="U457" s="25">
        <f>IF(T457="","",COUNTIFS($D$3:$D$1002,"="&amp;SUBSTITUTE(SUBSTITUTE(SUBSTITUTE(D457,"~","~~"),"*","~*"),"?","~?"),$L$3:$L$1002,1)*10000-T457)</f>
        <v/>
      </c>
      <c r="V457" s="25">
        <f>IF(AND(L457=1,J457&lt;&gt;""),IF(IFERROR(COUNTIFS(J$3:J457,"="&amp;SUBSTITUTE(SUBSTITUTE(SUBSTITUTE(J457,"~","~~"),"*","~*"),"?","~?"),L$3:L457,1),0)=1,MAX(V$2:V456)+1,""),"")</f>
        <v/>
      </c>
      <c r="W457" s="25">
        <f>IF(V457="","",COUNTIFS($J$3:$J$1002,"="&amp;SUBSTITUTE(SUBSTITUTE(SUBSTITUTE(J457,"~","~~"),"*","~*"),"?","~?"),$L$3:$L$1002,1)*10000-V457)</f>
        <v/>
      </c>
    </row>
    <row r="458">
      <c r="A458">
        <f>IF(A$2=0,"",IFERROR(TRIM(INDEX('Pegar estudiantes'!$A$1:$BZ$1001,457,A$2)&amp;""),""))</f>
        <v/>
      </c>
      <c r="B458">
        <f>IF(B$2=0,"",IFERROR(TRIM(INDEX('Pegar estudiantes'!$A$1:$BZ$1001,457,B$2)&amp;""),""))</f>
        <v/>
      </c>
      <c r="C458">
        <f>IF(C$2=0,"",IFERROR(TRIM(INDEX('Pegar estudiantes'!$A$1:$BZ$1001,457,C$2)&amp;""),""))</f>
        <v/>
      </c>
      <c r="D458">
        <f>IF(D$2=0,"",IFERROR(TRIM(INDEX('Pegar estudiantes'!$A$1:$BZ$1001,457,D$2)&amp;""),""))</f>
        <v/>
      </c>
      <c r="E458">
        <f>IF(E$2=0,"",IFERROR(TRIM(INDEX('Pegar estudiantes'!$A$1:$BZ$1001,457,E$2)&amp;""),""))</f>
        <v/>
      </c>
      <c r="F458">
        <f>IF(F$2=0,"",IFERROR(TRIM(INDEX('Pegar estudiantes'!$A$1:$BZ$1001,457,F$2)&amp;""),""))</f>
        <v/>
      </c>
      <c r="G458">
        <f>IF(G$2=0,"",IFERROR(TRIM(INDEX('Pegar estudiantes'!$A$1:$BZ$1001,457,G$2)&amp;""),""))</f>
        <v/>
      </c>
      <c r="H458">
        <f>IF(H$2=0,"",IFERROR(TRIM(INDEX('Pegar estudiantes'!$A$1:$BZ$1001,457,H$2)&amp;""),""))</f>
        <v/>
      </c>
      <c r="I458">
        <f>IF(I$2=0,"",IFERROR(TRIM(INDEX('Pegar estudiantes'!$A$1:$BZ$1001,457,I$2)&amp;""),""))</f>
        <v/>
      </c>
      <c r="J458">
        <f>IF(J$2=0,"",IFERROR(TRIM(INDEX('Pegar estudiantes'!$A$1:$BZ$1001,457,J$2)&amp;""),""))</f>
        <v/>
      </c>
      <c r="K458">
        <f>IF(K$2=0,"",IFERROR(TRIM(INDEX('Pegar estudiantes'!$A$1:$BZ$1001,457,K$2)&amp;""),""))</f>
        <v/>
      </c>
      <c r="L458" s="25">
        <f>IF(A458&lt;&gt;"",1,"")</f>
        <v/>
      </c>
      <c r="M458" s="25">
        <f>IF(L458=1,IF(ISNUMBER(FIND("#"&amp;MID(A458,1,1)&amp;"#","#0#1#2#3#4#5#6#7#8#9#")),IF(ISNUMBER(FIND("#"&amp;MID(A458,2,1)&amp;"#","#0#1#2#3#4#5#6#7#8#9#")),IF(AND(VALUE(LEFT(A458,2))&gt;=1,VALUE(LEFT(A458,2))&lt;=5),VALUE(LEFT(A458,2)),""),IF(AND(VALUE(LEFT(A458,1))&gt;=1,VALUE(LEFT(A458,1))&lt;=5),VALUE(LEFT(A458,1)),"")),""),"")</f>
        <v/>
      </c>
      <c r="N458" s="25">
        <f>IF(L458=1,IF(ISNUMBER(FIND("#"&amp;MID(H458,1,1)&amp;"#","#0#1#2#3#4#5#6#7#8#9#")),IF(ISNUMBER(FIND("#"&amp;MID(H458,2,1)&amp;"#","#0#1#2#3#4#5#6#7#8#9#")),IF(AND(VALUE(LEFT(H458,2))&gt;=1,VALUE(LEFT(H458,2))&lt;=5),VALUE(LEFT(H458,2)),""),IF(AND(VALUE(LEFT(H458,1))&gt;=1,VALUE(LEFT(H458,1))&lt;=5),VALUE(LEFT(H458,1)),"")),""),"")</f>
        <v/>
      </c>
      <c r="O458" s="25">
        <f>IF(AND(L458=1,B458&lt;&gt;""),SUBSTITUTE(SUBSTITUTE(SUBSTITUTE(SUBSTITUTE(SUBSTITUTE(SUBSTITUTE(SUBSTITUTE(SUBSTITUTE(SUBSTITUTE(SUBSTITUTE(SUBSTITUTE(SUBSTITUTE(LOWER(TRIM(B458)),"á","a"),"é","e"),"í","i"),"ó","o"),"ú","u"),"ü","u"),"ñ","n"),"à","a"),"è","e"),"ì","i"),"ò","o"),"ù","u"),"")</f>
        <v/>
      </c>
      <c r="P458" s="25">
        <f>IF(AND(L458=1,C458&lt;&gt;""),SUBSTITUTE(SUBSTITUTE(SUBSTITUTE(SUBSTITUTE(SUBSTITUTE(SUBSTITUTE(SUBSTITUTE(SUBSTITUTE(SUBSTITUTE(SUBSTITUTE(SUBSTITUTE(SUBSTITUTE(LOWER(TRIM(C458)),"á","a"),"é","e"),"í","i"),"ó","o"),"ú","u"),"ü","u"),"ñ","n"),"à","a"),"è","e"),"ì","i"),"ò","o"),"ù","u"),"")</f>
        <v/>
      </c>
      <c r="Q458" s="25">
        <f>IF(AND(L458=1,E458&lt;&gt;""),SUBSTITUTE(SUBSTITUTE(SUBSTITUTE(SUBSTITUTE(SUBSTITUTE(SUBSTITUTE(SUBSTITUTE(SUBSTITUTE(SUBSTITUTE(SUBSTITUTE(SUBSTITUTE(SUBSTITUTE(LOWER(TRIM(E458)),"á","a"),"é","e"),"í","i"),"ó","o"),"ú","u"),"ü","u"),"ñ","n"),"à","a"),"è","e"),"ì","i"),"ò","o"),"ù","u"),"")</f>
        <v/>
      </c>
      <c r="R458" s="25">
        <f>IF(AND(L458=1,I458&lt;&gt;""),SUBSTITUTE(SUBSTITUTE(SUBSTITUTE(SUBSTITUTE(SUBSTITUTE(SUBSTITUTE(SUBSTITUTE(SUBSTITUTE(SUBSTITUTE(SUBSTITUTE(SUBSTITUTE(SUBSTITUTE(LOWER(TRIM(I458)),"á","a"),"é","e"),"í","i"),"ó","o"),"ú","u"),"ü","u"),"ñ","n"),"à","a"),"è","e"),"ì","i"),"ò","o"),"ù","u"),"")</f>
        <v/>
      </c>
      <c r="S458" s="25">
        <f>IF(R458="","",IF(OR(R458="si",R458="tal vez"),1,0))</f>
        <v/>
      </c>
      <c r="T458" s="25">
        <f>IF(AND(L458=1,D458&lt;&gt;""),IF(IFERROR(COUNTIFS(D$3:D458,"="&amp;SUBSTITUTE(SUBSTITUTE(SUBSTITUTE(D458,"~","~~"),"*","~*"),"?","~?"),L$3:L458,1),0)=1,MAX(T$2:T457)+1,""),"")</f>
        <v/>
      </c>
      <c r="U458" s="25">
        <f>IF(T458="","",COUNTIFS($D$3:$D$1002,"="&amp;SUBSTITUTE(SUBSTITUTE(SUBSTITUTE(D458,"~","~~"),"*","~*"),"?","~?"),$L$3:$L$1002,1)*10000-T458)</f>
        <v/>
      </c>
      <c r="V458" s="25">
        <f>IF(AND(L458=1,J458&lt;&gt;""),IF(IFERROR(COUNTIFS(J$3:J458,"="&amp;SUBSTITUTE(SUBSTITUTE(SUBSTITUTE(J458,"~","~~"),"*","~*"),"?","~?"),L$3:L458,1),0)=1,MAX(V$2:V457)+1,""),"")</f>
        <v/>
      </c>
      <c r="W458" s="25">
        <f>IF(V458="","",COUNTIFS($J$3:$J$1002,"="&amp;SUBSTITUTE(SUBSTITUTE(SUBSTITUTE(J458,"~","~~"),"*","~*"),"?","~?"),$L$3:$L$1002,1)*10000-V458)</f>
        <v/>
      </c>
    </row>
    <row r="459">
      <c r="A459">
        <f>IF(A$2=0,"",IFERROR(TRIM(INDEX('Pegar estudiantes'!$A$1:$BZ$1001,458,A$2)&amp;""),""))</f>
        <v/>
      </c>
      <c r="B459">
        <f>IF(B$2=0,"",IFERROR(TRIM(INDEX('Pegar estudiantes'!$A$1:$BZ$1001,458,B$2)&amp;""),""))</f>
        <v/>
      </c>
      <c r="C459">
        <f>IF(C$2=0,"",IFERROR(TRIM(INDEX('Pegar estudiantes'!$A$1:$BZ$1001,458,C$2)&amp;""),""))</f>
        <v/>
      </c>
      <c r="D459">
        <f>IF(D$2=0,"",IFERROR(TRIM(INDEX('Pegar estudiantes'!$A$1:$BZ$1001,458,D$2)&amp;""),""))</f>
        <v/>
      </c>
      <c r="E459">
        <f>IF(E$2=0,"",IFERROR(TRIM(INDEX('Pegar estudiantes'!$A$1:$BZ$1001,458,E$2)&amp;""),""))</f>
        <v/>
      </c>
      <c r="F459">
        <f>IF(F$2=0,"",IFERROR(TRIM(INDEX('Pegar estudiantes'!$A$1:$BZ$1001,458,F$2)&amp;""),""))</f>
        <v/>
      </c>
      <c r="G459">
        <f>IF(G$2=0,"",IFERROR(TRIM(INDEX('Pegar estudiantes'!$A$1:$BZ$1001,458,G$2)&amp;""),""))</f>
        <v/>
      </c>
      <c r="H459">
        <f>IF(H$2=0,"",IFERROR(TRIM(INDEX('Pegar estudiantes'!$A$1:$BZ$1001,458,H$2)&amp;""),""))</f>
        <v/>
      </c>
      <c r="I459">
        <f>IF(I$2=0,"",IFERROR(TRIM(INDEX('Pegar estudiantes'!$A$1:$BZ$1001,458,I$2)&amp;""),""))</f>
        <v/>
      </c>
      <c r="J459">
        <f>IF(J$2=0,"",IFERROR(TRIM(INDEX('Pegar estudiantes'!$A$1:$BZ$1001,458,J$2)&amp;""),""))</f>
        <v/>
      </c>
      <c r="K459">
        <f>IF(K$2=0,"",IFERROR(TRIM(INDEX('Pegar estudiantes'!$A$1:$BZ$1001,458,K$2)&amp;""),""))</f>
        <v/>
      </c>
      <c r="L459" s="25">
        <f>IF(A459&lt;&gt;"",1,"")</f>
        <v/>
      </c>
      <c r="M459" s="25">
        <f>IF(L459=1,IF(ISNUMBER(FIND("#"&amp;MID(A459,1,1)&amp;"#","#0#1#2#3#4#5#6#7#8#9#")),IF(ISNUMBER(FIND("#"&amp;MID(A459,2,1)&amp;"#","#0#1#2#3#4#5#6#7#8#9#")),IF(AND(VALUE(LEFT(A459,2))&gt;=1,VALUE(LEFT(A459,2))&lt;=5),VALUE(LEFT(A459,2)),""),IF(AND(VALUE(LEFT(A459,1))&gt;=1,VALUE(LEFT(A459,1))&lt;=5),VALUE(LEFT(A459,1)),"")),""),"")</f>
        <v/>
      </c>
      <c r="N459" s="25">
        <f>IF(L459=1,IF(ISNUMBER(FIND("#"&amp;MID(H459,1,1)&amp;"#","#0#1#2#3#4#5#6#7#8#9#")),IF(ISNUMBER(FIND("#"&amp;MID(H459,2,1)&amp;"#","#0#1#2#3#4#5#6#7#8#9#")),IF(AND(VALUE(LEFT(H459,2))&gt;=1,VALUE(LEFT(H459,2))&lt;=5),VALUE(LEFT(H459,2)),""),IF(AND(VALUE(LEFT(H459,1))&gt;=1,VALUE(LEFT(H459,1))&lt;=5),VALUE(LEFT(H459,1)),"")),""),"")</f>
        <v/>
      </c>
      <c r="O459" s="25">
        <f>IF(AND(L459=1,B459&lt;&gt;""),SUBSTITUTE(SUBSTITUTE(SUBSTITUTE(SUBSTITUTE(SUBSTITUTE(SUBSTITUTE(SUBSTITUTE(SUBSTITUTE(SUBSTITUTE(SUBSTITUTE(SUBSTITUTE(SUBSTITUTE(LOWER(TRIM(B459)),"á","a"),"é","e"),"í","i"),"ó","o"),"ú","u"),"ü","u"),"ñ","n"),"à","a"),"è","e"),"ì","i"),"ò","o"),"ù","u"),"")</f>
        <v/>
      </c>
      <c r="P459" s="25">
        <f>IF(AND(L459=1,C459&lt;&gt;""),SUBSTITUTE(SUBSTITUTE(SUBSTITUTE(SUBSTITUTE(SUBSTITUTE(SUBSTITUTE(SUBSTITUTE(SUBSTITUTE(SUBSTITUTE(SUBSTITUTE(SUBSTITUTE(SUBSTITUTE(LOWER(TRIM(C459)),"á","a"),"é","e"),"í","i"),"ó","o"),"ú","u"),"ü","u"),"ñ","n"),"à","a"),"è","e"),"ì","i"),"ò","o"),"ù","u"),"")</f>
        <v/>
      </c>
      <c r="Q459" s="25">
        <f>IF(AND(L459=1,E459&lt;&gt;""),SUBSTITUTE(SUBSTITUTE(SUBSTITUTE(SUBSTITUTE(SUBSTITUTE(SUBSTITUTE(SUBSTITUTE(SUBSTITUTE(SUBSTITUTE(SUBSTITUTE(SUBSTITUTE(SUBSTITUTE(LOWER(TRIM(E459)),"á","a"),"é","e"),"í","i"),"ó","o"),"ú","u"),"ü","u"),"ñ","n"),"à","a"),"è","e"),"ì","i"),"ò","o"),"ù","u"),"")</f>
        <v/>
      </c>
      <c r="R459" s="25">
        <f>IF(AND(L459=1,I459&lt;&gt;""),SUBSTITUTE(SUBSTITUTE(SUBSTITUTE(SUBSTITUTE(SUBSTITUTE(SUBSTITUTE(SUBSTITUTE(SUBSTITUTE(SUBSTITUTE(SUBSTITUTE(SUBSTITUTE(SUBSTITUTE(LOWER(TRIM(I459)),"á","a"),"é","e"),"í","i"),"ó","o"),"ú","u"),"ü","u"),"ñ","n"),"à","a"),"è","e"),"ì","i"),"ò","o"),"ù","u"),"")</f>
        <v/>
      </c>
      <c r="S459" s="25">
        <f>IF(R459="","",IF(OR(R459="si",R459="tal vez"),1,0))</f>
        <v/>
      </c>
      <c r="T459" s="25">
        <f>IF(AND(L459=1,D459&lt;&gt;""),IF(IFERROR(COUNTIFS(D$3:D459,"="&amp;SUBSTITUTE(SUBSTITUTE(SUBSTITUTE(D459,"~","~~"),"*","~*"),"?","~?"),L$3:L459,1),0)=1,MAX(T$2:T458)+1,""),"")</f>
        <v/>
      </c>
      <c r="U459" s="25">
        <f>IF(T459="","",COUNTIFS($D$3:$D$1002,"="&amp;SUBSTITUTE(SUBSTITUTE(SUBSTITUTE(D459,"~","~~"),"*","~*"),"?","~?"),$L$3:$L$1002,1)*10000-T459)</f>
        <v/>
      </c>
      <c r="V459" s="25">
        <f>IF(AND(L459=1,J459&lt;&gt;""),IF(IFERROR(COUNTIFS(J$3:J459,"="&amp;SUBSTITUTE(SUBSTITUTE(SUBSTITUTE(J459,"~","~~"),"*","~*"),"?","~?"),L$3:L459,1),0)=1,MAX(V$2:V458)+1,""),"")</f>
        <v/>
      </c>
      <c r="W459" s="25">
        <f>IF(V459="","",COUNTIFS($J$3:$J$1002,"="&amp;SUBSTITUTE(SUBSTITUTE(SUBSTITUTE(J459,"~","~~"),"*","~*"),"?","~?"),$L$3:$L$1002,1)*10000-V459)</f>
        <v/>
      </c>
    </row>
    <row r="460">
      <c r="A460">
        <f>IF(A$2=0,"",IFERROR(TRIM(INDEX('Pegar estudiantes'!$A$1:$BZ$1001,459,A$2)&amp;""),""))</f>
        <v/>
      </c>
      <c r="B460">
        <f>IF(B$2=0,"",IFERROR(TRIM(INDEX('Pegar estudiantes'!$A$1:$BZ$1001,459,B$2)&amp;""),""))</f>
        <v/>
      </c>
      <c r="C460">
        <f>IF(C$2=0,"",IFERROR(TRIM(INDEX('Pegar estudiantes'!$A$1:$BZ$1001,459,C$2)&amp;""),""))</f>
        <v/>
      </c>
      <c r="D460">
        <f>IF(D$2=0,"",IFERROR(TRIM(INDEX('Pegar estudiantes'!$A$1:$BZ$1001,459,D$2)&amp;""),""))</f>
        <v/>
      </c>
      <c r="E460">
        <f>IF(E$2=0,"",IFERROR(TRIM(INDEX('Pegar estudiantes'!$A$1:$BZ$1001,459,E$2)&amp;""),""))</f>
        <v/>
      </c>
      <c r="F460">
        <f>IF(F$2=0,"",IFERROR(TRIM(INDEX('Pegar estudiantes'!$A$1:$BZ$1001,459,F$2)&amp;""),""))</f>
        <v/>
      </c>
      <c r="G460">
        <f>IF(G$2=0,"",IFERROR(TRIM(INDEX('Pegar estudiantes'!$A$1:$BZ$1001,459,G$2)&amp;""),""))</f>
        <v/>
      </c>
      <c r="H460">
        <f>IF(H$2=0,"",IFERROR(TRIM(INDEX('Pegar estudiantes'!$A$1:$BZ$1001,459,H$2)&amp;""),""))</f>
        <v/>
      </c>
      <c r="I460">
        <f>IF(I$2=0,"",IFERROR(TRIM(INDEX('Pegar estudiantes'!$A$1:$BZ$1001,459,I$2)&amp;""),""))</f>
        <v/>
      </c>
      <c r="J460">
        <f>IF(J$2=0,"",IFERROR(TRIM(INDEX('Pegar estudiantes'!$A$1:$BZ$1001,459,J$2)&amp;""),""))</f>
        <v/>
      </c>
      <c r="K460">
        <f>IF(K$2=0,"",IFERROR(TRIM(INDEX('Pegar estudiantes'!$A$1:$BZ$1001,459,K$2)&amp;""),""))</f>
        <v/>
      </c>
      <c r="L460" s="25">
        <f>IF(A460&lt;&gt;"",1,"")</f>
        <v/>
      </c>
      <c r="M460" s="25">
        <f>IF(L460=1,IF(ISNUMBER(FIND("#"&amp;MID(A460,1,1)&amp;"#","#0#1#2#3#4#5#6#7#8#9#")),IF(ISNUMBER(FIND("#"&amp;MID(A460,2,1)&amp;"#","#0#1#2#3#4#5#6#7#8#9#")),IF(AND(VALUE(LEFT(A460,2))&gt;=1,VALUE(LEFT(A460,2))&lt;=5),VALUE(LEFT(A460,2)),""),IF(AND(VALUE(LEFT(A460,1))&gt;=1,VALUE(LEFT(A460,1))&lt;=5),VALUE(LEFT(A460,1)),"")),""),"")</f>
        <v/>
      </c>
      <c r="N460" s="25">
        <f>IF(L460=1,IF(ISNUMBER(FIND("#"&amp;MID(H460,1,1)&amp;"#","#0#1#2#3#4#5#6#7#8#9#")),IF(ISNUMBER(FIND("#"&amp;MID(H460,2,1)&amp;"#","#0#1#2#3#4#5#6#7#8#9#")),IF(AND(VALUE(LEFT(H460,2))&gt;=1,VALUE(LEFT(H460,2))&lt;=5),VALUE(LEFT(H460,2)),""),IF(AND(VALUE(LEFT(H460,1))&gt;=1,VALUE(LEFT(H460,1))&lt;=5),VALUE(LEFT(H460,1)),"")),""),"")</f>
        <v/>
      </c>
      <c r="O460" s="25">
        <f>IF(AND(L460=1,B460&lt;&gt;""),SUBSTITUTE(SUBSTITUTE(SUBSTITUTE(SUBSTITUTE(SUBSTITUTE(SUBSTITUTE(SUBSTITUTE(SUBSTITUTE(SUBSTITUTE(SUBSTITUTE(SUBSTITUTE(SUBSTITUTE(LOWER(TRIM(B460)),"á","a"),"é","e"),"í","i"),"ó","o"),"ú","u"),"ü","u"),"ñ","n"),"à","a"),"è","e"),"ì","i"),"ò","o"),"ù","u"),"")</f>
        <v/>
      </c>
      <c r="P460" s="25">
        <f>IF(AND(L460=1,C460&lt;&gt;""),SUBSTITUTE(SUBSTITUTE(SUBSTITUTE(SUBSTITUTE(SUBSTITUTE(SUBSTITUTE(SUBSTITUTE(SUBSTITUTE(SUBSTITUTE(SUBSTITUTE(SUBSTITUTE(SUBSTITUTE(LOWER(TRIM(C460)),"á","a"),"é","e"),"í","i"),"ó","o"),"ú","u"),"ü","u"),"ñ","n"),"à","a"),"è","e"),"ì","i"),"ò","o"),"ù","u"),"")</f>
        <v/>
      </c>
      <c r="Q460" s="25">
        <f>IF(AND(L460=1,E460&lt;&gt;""),SUBSTITUTE(SUBSTITUTE(SUBSTITUTE(SUBSTITUTE(SUBSTITUTE(SUBSTITUTE(SUBSTITUTE(SUBSTITUTE(SUBSTITUTE(SUBSTITUTE(SUBSTITUTE(SUBSTITUTE(LOWER(TRIM(E460)),"á","a"),"é","e"),"í","i"),"ó","o"),"ú","u"),"ü","u"),"ñ","n"),"à","a"),"è","e"),"ì","i"),"ò","o"),"ù","u"),"")</f>
        <v/>
      </c>
      <c r="R460" s="25">
        <f>IF(AND(L460=1,I460&lt;&gt;""),SUBSTITUTE(SUBSTITUTE(SUBSTITUTE(SUBSTITUTE(SUBSTITUTE(SUBSTITUTE(SUBSTITUTE(SUBSTITUTE(SUBSTITUTE(SUBSTITUTE(SUBSTITUTE(SUBSTITUTE(LOWER(TRIM(I460)),"á","a"),"é","e"),"í","i"),"ó","o"),"ú","u"),"ü","u"),"ñ","n"),"à","a"),"è","e"),"ì","i"),"ò","o"),"ù","u"),"")</f>
        <v/>
      </c>
      <c r="S460" s="25">
        <f>IF(R460="","",IF(OR(R460="si",R460="tal vez"),1,0))</f>
        <v/>
      </c>
      <c r="T460" s="25">
        <f>IF(AND(L460=1,D460&lt;&gt;""),IF(IFERROR(COUNTIFS(D$3:D460,"="&amp;SUBSTITUTE(SUBSTITUTE(SUBSTITUTE(D460,"~","~~"),"*","~*"),"?","~?"),L$3:L460,1),0)=1,MAX(T$2:T459)+1,""),"")</f>
        <v/>
      </c>
      <c r="U460" s="25">
        <f>IF(T460="","",COUNTIFS($D$3:$D$1002,"="&amp;SUBSTITUTE(SUBSTITUTE(SUBSTITUTE(D460,"~","~~"),"*","~*"),"?","~?"),$L$3:$L$1002,1)*10000-T460)</f>
        <v/>
      </c>
      <c r="V460" s="25">
        <f>IF(AND(L460=1,J460&lt;&gt;""),IF(IFERROR(COUNTIFS(J$3:J460,"="&amp;SUBSTITUTE(SUBSTITUTE(SUBSTITUTE(J460,"~","~~"),"*","~*"),"?","~?"),L$3:L460,1),0)=1,MAX(V$2:V459)+1,""),"")</f>
        <v/>
      </c>
      <c r="W460" s="25">
        <f>IF(V460="","",COUNTIFS($J$3:$J$1002,"="&amp;SUBSTITUTE(SUBSTITUTE(SUBSTITUTE(J460,"~","~~"),"*","~*"),"?","~?"),$L$3:$L$1002,1)*10000-V460)</f>
        <v/>
      </c>
    </row>
    <row r="461">
      <c r="A461">
        <f>IF(A$2=0,"",IFERROR(TRIM(INDEX('Pegar estudiantes'!$A$1:$BZ$1001,460,A$2)&amp;""),""))</f>
        <v/>
      </c>
      <c r="B461">
        <f>IF(B$2=0,"",IFERROR(TRIM(INDEX('Pegar estudiantes'!$A$1:$BZ$1001,460,B$2)&amp;""),""))</f>
        <v/>
      </c>
      <c r="C461">
        <f>IF(C$2=0,"",IFERROR(TRIM(INDEX('Pegar estudiantes'!$A$1:$BZ$1001,460,C$2)&amp;""),""))</f>
        <v/>
      </c>
      <c r="D461">
        <f>IF(D$2=0,"",IFERROR(TRIM(INDEX('Pegar estudiantes'!$A$1:$BZ$1001,460,D$2)&amp;""),""))</f>
        <v/>
      </c>
      <c r="E461">
        <f>IF(E$2=0,"",IFERROR(TRIM(INDEX('Pegar estudiantes'!$A$1:$BZ$1001,460,E$2)&amp;""),""))</f>
        <v/>
      </c>
      <c r="F461">
        <f>IF(F$2=0,"",IFERROR(TRIM(INDEX('Pegar estudiantes'!$A$1:$BZ$1001,460,F$2)&amp;""),""))</f>
        <v/>
      </c>
      <c r="G461">
        <f>IF(G$2=0,"",IFERROR(TRIM(INDEX('Pegar estudiantes'!$A$1:$BZ$1001,460,G$2)&amp;""),""))</f>
        <v/>
      </c>
      <c r="H461">
        <f>IF(H$2=0,"",IFERROR(TRIM(INDEX('Pegar estudiantes'!$A$1:$BZ$1001,460,H$2)&amp;""),""))</f>
        <v/>
      </c>
      <c r="I461">
        <f>IF(I$2=0,"",IFERROR(TRIM(INDEX('Pegar estudiantes'!$A$1:$BZ$1001,460,I$2)&amp;""),""))</f>
        <v/>
      </c>
      <c r="J461">
        <f>IF(J$2=0,"",IFERROR(TRIM(INDEX('Pegar estudiantes'!$A$1:$BZ$1001,460,J$2)&amp;""),""))</f>
        <v/>
      </c>
      <c r="K461">
        <f>IF(K$2=0,"",IFERROR(TRIM(INDEX('Pegar estudiantes'!$A$1:$BZ$1001,460,K$2)&amp;""),""))</f>
        <v/>
      </c>
      <c r="L461" s="25">
        <f>IF(A461&lt;&gt;"",1,"")</f>
        <v/>
      </c>
      <c r="M461" s="25">
        <f>IF(L461=1,IF(ISNUMBER(FIND("#"&amp;MID(A461,1,1)&amp;"#","#0#1#2#3#4#5#6#7#8#9#")),IF(ISNUMBER(FIND("#"&amp;MID(A461,2,1)&amp;"#","#0#1#2#3#4#5#6#7#8#9#")),IF(AND(VALUE(LEFT(A461,2))&gt;=1,VALUE(LEFT(A461,2))&lt;=5),VALUE(LEFT(A461,2)),""),IF(AND(VALUE(LEFT(A461,1))&gt;=1,VALUE(LEFT(A461,1))&lt;=5),VALUE(LEFT(A461,1)),"")),""),"")</f>
        <v/>
      </c>
      <c r="N461" s="25">
        <f>IF(L461=1,IF(ISNUMBER(FIND("#"&amp;MID(H461,1,1)&amp;"#","#0#1#2#3#4#5#6#7#8#9#")),IF(ISNUMBER(FIND("#"&amp;MID(H461,2,1)&amp;"#","#0#1#2#3#4#5#6#7#8#9#")),IF(AND(VALUE(LEFT(H461,2))&gt;=1,VALUE(LEFT(H461,2))&lt;=5),VALUE(LEFT(H461,2)),""),IF(AND(VALUE(LEFT(H461,1))&gt;=1,VALUE(LEFT(H461,1))&lt;=5),VALUE(LEFT(H461,1)),"")),""),"")</f>
        <v/>
      </c>
      <c r="O461" s="25">
        <f>IF(AND(L461=1,B461&lt;&gt;""),SUBSTITUTE(SUBSTITUTE(SUBSTITUTE(SUBSTITUTE(SUBSTITUTE(SUBSTITUTE(SUBSTITUTE(SUBSTITUTE(SUBSTITUTE(SUBSTITUTE(SUBSTITUTE(SUBSTITUTE(LOWER(TRIM(B461)),"á","a"),"é","e"),"í","i"),"ó","o"),"ú","u"),"ü","u"),"ñ","n"),"à","a"),"è","e"),"ì","i"),"ò","o"),"ù","u"),"")</f>
        <v/>
      </c>
      <c r="P461" s="25">
        <f>IF(AND(L461=1,C461&lt;&gt;""),SUBSTITUTE(SUBSTITUTE(SUBSTITUTE(SUBSTITUTE(SUBSTITUTE(SUBSTITUTE(SUBSTITUTE(SUBSTITUTE(SUBSTITUTE(SUBSTITUTE(SUBSTITUTE(SUBSTITUTE(LOWER(TRIM(C461)),"á","a"),"é","e"),"í","i"),"ó","o"),"ú","u"),"ü","u"),"ñ","n"),"à","a"),"è","e"),"ì","i"),"ò","o"),"ù","u"),"")</f>
        <v/>
      </c>
      <c r="Q461" s="25">
        <f>IF(AND(L461=1,E461&lt;&gt;""),SUBSTITUTE(SUBSTITUTE(SUBSTITUTE(SUBSTITUTE(SUBSTITUTE(SUBSTITUTE(SUBSTITUTE(SUBSTITUTE(SUBSTITUTE(SUBSTITUTE(SUBSTITUTE(SUBSTITUTE(LOWER(TRIM(E461)),"á","a"),"é","e"),"í","i"),"ó","o"),"ú","u"),"ü","u"),"ñ","n"),"à","a"),"è","e"),"ì","i"),"ò","o"),"ù","u"),"")</f>
        <v/>
      </c>
      <c r="R461" s="25">
        <f>IF(AND(L461=1,I461&lt;&gt;""),SUBSTITUTE(SUBSTITUTE(SUBSTITUTE(SUBSTITUTE(SUBSTITUTE(SUBSTITUTE(SUBSTITUTE(SUBSTITUTE(SUBSTITUTE(SUBSTITUTE(SUBSTITUTE(SUBSTITUTE(LOWER(TRIM(I461)),"á","a"),"é","e"),"í","i"),"ó","o"),"ú","u"),"ü","u"),"ñ","n"),"à","a"),"è","e"),"ì","i"),"ò","o"),"ù","u"),"")</f>
        <v/>
      </c>
      <c r="S461" s="25">
        <f>IF(R461="","",IF(OR(R461="si",R461="tal vez"),1,0))</f>
        <v/>
      </c>
      <c r="T461" s="25">
        <f>IF(AND(L461=1,D461&lt;&gt;""),IF(IFERROR(COUNTIFS(D$3:D461,"="&amp;SUBSTITUTE(SUBSTITUTE(SUBSTITUTE(D461,"~","~~"),"*","~*"),"?","~?"),L$3:L461,1),0)=1,MAX(T$2:T460)+1,""),"")</f>
        <v/>
      </c>
      <c r="U461" s="25">
        <f>IF(T461="","",COUNTIFS($D$3:$D$1002,"="&amp;SUBSTITUTE(SUBSTITUTE(SUBSTITUTE(D461,"~","~~"),"*","~*"),"?","~?"),$L$3:$L$1002,1)*10000-T461)</f>
        <v/>
      </c>
      <c r="V461" s="25">
        <f>IF(AND(L461=1,J461&lt;&gt;""),IF(IFERROR(COUNTIFS(J$3:J461,"="&amp;SUBSTITUTE(SUBSTITUTE(SUBSTITUTE(J461,"~","~~"),"*","~*"),"?","~?"),L$3:L461,1),0)=1,MAX(V$2:V460)+1,""),"")</f>
        <v/>
      </c>
      <c r="W461" s="25">
        <f>IF(V461="","",COUNTIFS($J$3:$J$1002,"="&amp;SUBSTITUTE(SUBSTITUTE(SUBSTITUTE(J461,"~","~~"),"*","~*"),"?","~?"),$L$3:$L$1002,1)*10000-V461)</f>
        <v/>
      </c>
    </row>
    <row r="462">
      <c r="A462">
        <f>IF(A$2=0,"",IFERROR(TRIM(INDEX('Pegar estudiantes'!$A$1:$BZ$1001,461,A$2)&amp;""),""))</f>
        <v/>
      </c>
      <c r="B462">
        <f>IF(B$2=0,"",IFERROR(TRIM(INDEX('Pegar estudiantes'!$A$1:$BZ$1001,461,B$2)&amp;""),""))</f>
        <v/>
      </c>
      <c r="C462">
        <f>IF(C$2=0,"",IFERROR(TRIM(INDEX('Pegar estudiantes'!$A$1:$BZ$1001,461,C$2)&amp;""),""))</f>
        <v/>
      </c>
      <c r="D462">
        <f>IF(D$2=0,"",IFERROR(TRIM(INDEX('Pegar estudiantes'!$A$1:$BZ$1001,461,D$2)&amp;""),""))</f>
        <v/>
      </c>
      <c r="E462">
        <f>IF(E$2=0,"",IFERROR(TRIM(INDEX('Pegar estudiantes'!$A$1:$BZ$1001,461,E$2)&amp;""),""))</f>
        <v/>
      </c>
      <c r="F462">
        <f>IF(F$2=0,"",IFERROR(TRIM(INDEX('Pegar estudiantes'!$A$1:$BZ$1001,461,F$2)&amp;""),""))</f>
        <v/>
      </c>
      <c r="G462">
        <f>IF(G$2=0,"",IFERROR(TRIM(INDEX('Pegar estudiantes'!$A$1:$BZ$1001,461,G$2)&amp;""),""))</f>
        <v/>
      </c>
      <c r="H462">
        <f>IF(H$2=0,"",IFERROR(TRIM(INDEX('Pegar estudiantes'!$A$1:$BZ$1001,461,H$2)&amp;""),""))</f>
        <v/>
      </c>
      <c r="I462">
        <f>IF(I$2=0,"",IFERROR(TRIM(INDEX('Pegar estudiantes'!$A$1:$BZ$1001,461,I$2)&amp;""),""))</f>
        <v/>
      </c>
      <c r="J462">
        <f>IF(J$2=0,"",IFERROR(TRIM(INDEX('Pegar estudiantes'!$A$1:$BZ$1001,461,J$2)&amp;""),""))</f>
        <v/>
      </c>
      <c r="K462">
        <f>IF(K$2=0,"",IFERROR(TRIM(INDEX('Pegar estudiantes'!$A$1:$BZ$1001,461,K$2)&amp;""),""))</f>
        <v/>
      </c>
      <c r="L462" s="25">
        <f>IF(A462&lt;&gt;"",1,"")</f>
        <v/>
      </c>
      <c r="M462" s="25">
        <f>IF(L462=1,IF(ISNUMBER(FIND("#"&amp;MID(A462,1,1)&amp;"#","#0#1#2#3#4#5#6#7#8#9#")),IF(ISNUMBER(FIND("#"&amp;MID(A462,2,1)&amp;"#","#0#1#2#3#4#5#6#7#8#9#")),IF(AND(VALUE(LEFT(A462,2))&gt;=1,VALUE(LEFT(A462,2))&lt;=5),VALUE(LEFT(A462,2)),""),IF(AND(VALUE(LEFT(A462,1))&gt;=1,VALUE(LEFT(A462,1))&lt;=5),VALUE(LEFT(A462,1)),"")),""),"")</f>
        <v/>
      </c>
      <c r="N462" s="25">
        <f>IF(L462=1,IF(ISNUMBER(FIND("#"&amp;MID(H462,1,1)&amp;"#","#0#1#2#3#4#5#6#7#8#9#")),IF(ISNUMBER(FIND("#"&amp;MID(H462,2,1)&amp;"#","#0#1#2#3#4#5#6#7#8#9#")),IF(AND(VALUE(LEFT(H462,2))&gt;=1,VALUE(LEFT(H462,2))&lt;=5),VALUE(LEFT(H462,2)),""),IF(AND(VALUE(LEFT(H462,1))&gt;=1,VALUE(LEFT(H462,1))&lt;=5),VALUE(LEFT(H462,1)),"")),""),"")</f>
        <v/>
      </c>
      <c r="O462" s="25">
        <f>IF(AND(L462=1,B462&lt;&gt;""),SUBSTITUTE(SUBSTITUTE(SUBSTITUTE(SUBSTITUTE(SUBSTITUTE(SUBSTITUTE(SUBSTITUTE(SUBSTITUTE(SUBSTITUTE(SUBSTITUTE(SUBSTITUTE(SUBSTITUTE(LOWER(TRIM(B462)),"á","a"),"é","e"),"í","i"),"ó","o"),"ú","u"),"ü","u"),"ñ","n"),"à","a"),"è","e"),"ì","i"),"ò","o"),"ù","u"),"")</f>
        <v/>
      </c>
      <c r="P462" s="25">
        <f>IF(AND(L462=1,C462&lt;&gt;""),SUBSTITUTE(SUBSTITUTE(SUBSTITUTE(SUBSTITUTE(SUBSTITUTE(SUBSTITUTE(SUBSTITUTE(SUBSTITUTE(SUBSTITUTE(SUBSTITUTE(SUBSTITUTE(SUBSTITUTE(LOWER(TRIM(C462)),"á","a"),"é","e"),"í","i"),"ó","o"),"ú","u"),"ü","u"),"ñ","n"),"à","a"),"è","e"),"ì","i"),"ò","o"),"ù","u"),"")</f>
        <v/>
      </c>
      <c r="Q462" s="25">
        <f>IF(AND(L462=1,E462&lt;&gt;""),SUBSTITUTE(SUBSTITUTE(SUBSTITUTE(SUBSTITUTE(SUBSTITUTE(SUBSTITUTE(SUBSTITUTE(SUBSTITUTE(SUBSTITUTE(SUBSTITUTE(SUBSTITUTE(SUBSTITUTE(LOWER(TRIM(E462)),"á","a"),"é","e"),"í","i"),"ó","o"),"ú","u"),"ü","u"),"ñ","n"),"à","a"),"è","e"),"ì","i"),"ò","o"),"ù","u"),"")</f>
        <v/>
      </c>
      <c r="R462" s="25">
        <f>IF(AND(L462=1,I462&lt;&gt;""),SUBSTITUTE(SUBSTITUTE(SUBSTITUTE(SUBSTITUTE(SUBSTITUTE(SUBSTITUTE(SUBSTITUTE(SUBSTITUTE(SUBSTITUTE(SUBSTITUTE(SUBSTITUTE(SUBSTITUTE(LOWER(TRIM(I462)),"á","a"),"é","e"),"í","i"),"ó","o"),"ú","u"),"ü","u"),"ñ","n"),"à","a"),"è","e"),"ì","i"),"ò","o"),"ù","u"),"")</f>
        <v/>
      </c>
      <c r="S462" s="25">
        <f>IF(R462="","",IF(OR(R462="si",R462="tal vez"),1,0))</f>
        <v/>
      </c>
      <c r="T462" s="25">
        <f>IF(AND(L462=1,D462&lt;&gt;""),IF(IFERROR(COUNTIFS(D$3:D462,"="&amp;SUBSTITUTE(SUBSTITUTE(SUBSTITUTE(D462,"~","~~"),"*","~*"),"?","~?"),L$3:L462,1),0)=1,MAX(T$2:T461)+1,""),"")</f>
        <v/>
      </c>
      <c r="U462" s="25">
        <f>IF(T462="","",COUNTIFS($D$3:$D$1002,"="&amp;SUBSTITUTE(SUBSTITUTE(SUBSTITUTE(D462,"~","~~"),"*","~*"),"?","~?"),$L$3:$L$1002,1)*10000-T462)</f>
        <v/>
      </c>
      <c r="V462" s="25">
        <f>IF(AND(L462=1,J462&lt;&gt;""),IF(IFERROR(COUNTIFS(J$3:J462,"="&amp;SUBSTITUTE(SUBSTITUTE(SUBSTITUTE(J462,"~","~~"),"*","~*"),"?","~?"),L$3:L462,1),0)=1,MAX(V$2:V461)+1,""),"")</f>
        <v/>
      </c>
      <c r="W462" s="25">
        <f>IF(V462="","",COUNTIFS($J$3:$J$1002,"="&amp;SUBSTITUTE(SUBSTITUTE(SUBSTITUTE(J462,"~","~~"),"*","~*"),"?","~?"),$L$3:$L$1002,1)*10000-V462)</f>
        <v/>
      </c>
    </row>
    <row r="463">
      <c r="A463">
        <f>IF(A$2=0,"",IFERROR(TRIM(INDEX('Pegar estudiantes'!$A$1:$BZ$1001,462,A$2)&amp;""),""))</f>
        <v/>
      </c>
      <c r="B463">
        <f>IF(B$2=0,"",IFERROR(TRIM(INDEX('Pegar estudiantes'!$A$1:$BZ$1001,462,B$2)&amp;""),""))</f>
        <v/>
      </c>
      <c r="C463">
        <f>IF(C$2=0,"",IFERROR(TRIM(INDEX('Pegar estudiantes'!$A$1:$BZ$1001,462,C$2)&amp;""),""))</f>
        <v/>
      </c>
      <c r="D463">
        <f>IF(D$2=0,"",IFERROR(TRIM(INDEX('Pegar estudiantes'!$A$1:$BZ$1001,462,D$2)&amp;""),""))</f>
        <v/>
      </c>
      <c r="E463">
        <f>IF(E$2=0,"",IFERROR(TRIM(INDEX('Pegar estudiantes'!$A$1:$BZ$1001,462,E$2)&amp;""),""))</f>
        <v/>
      </c>
      <c r="F463">
        <f>IF(F$2=0,"",IFERROR(TRIM(INDEX('Pegar estudiantes'!$A$1:$BZ$1001,462,F$2)&amp;""),""))</f>
        <v/>
      </c>
      <c r="G463">
        <f>IF(G$2=0,"",IFERROR(TRIM(INDEX('Pegar estudiantes'!$A$1:$BZ$1001,462,G$2)&amp;""),""))</f>
        <v/>
      </c>
      <c r="H463">
        <f>IF(H$2=0,"",IFERROR(TRIM(INDEX('Pegar estudiantes'!$A$1:$BZ$1001,462,H$2)&amp;""),""))</f>
        <v/>
      </c>
      <c r="I463">
        <f>IF(I$2=0,"",IFERROR(TRIM(INDEX('Pegar estudiantes'!$A$1:$BZ$1001,462,I$2)&amp;""),""))</f>
        <v/>
      </c>
      <c r="J463">
        <f>IF(J$2=0,"",IFERROR(TRIM(INDEX('Pegar estudiantes'!$A$1:$BZ$1001,462,J$2)&amp;""),""))</f>
        <v/>
      </c>
      <c r="K463">
        <f>IF(K$2=0,"",IFERROR(TRIM(INDEX('Pegar estudiantes'!$A$1:$BZ$1001,462,K$2)&amp;""),""))</f>
        <v/>
      </c>
      <c r="L463" s="25">
        <f>IF(A463&lt;&gt;"",1,"")</f>
        <v/>
      </c>
      <c r="M463" s="25">
        <f>IF(L463=1,IF(ISNUMBER(FIND("#"&amp;MID(A463,1,1)&amp;"#","#0#1#2#3#4#5#6#7#8#9#")),IF(ISNUMBER(FIND("#"&amp;MID(A463,2,1)&amp;"#","#0#1#2#3#4#5#6#7#8#9#")),IF(AND(VALUE(LEFT(A463,2))&gt;=1,VALUE(LEFT(A463,2))&lt;=5),VALUE(LEFT(A463,2)),""),IF(AND(VALUE(LEFT(A463,1))&gt;=1,VALUE(LEFT(A463,1))&lt;=5),VALUE(LEFT(A463,1)),"")),""),"")</f>
        <v/>
      </c>
      <c r="N463" s="25">
        <f>IF(L463=1,IF(ISNUMBER(FIND("#"&amp;MID(H463,1,1)&amp;"#","#0#1#2#3#4#5#6#7#8#9#")),IF(ISNUMBER(FIND("#"&amp;MID(H463,2,1)&amp;"#","#0#1#2#3#4#5#6#7#8#9#")),IF(AND(VALUE(LEFT(H463,2))&gt;=1,VALUE(LEFT(H463,2))&lt;=5),VALUE(LEFT(H463,2)),""),IF(AND(VALUE(LEFT(H463,1))&gt;=1,VALUE(LEFT(H463,1))&lt;=5),VALUE(LEFT(H463,1)),"")),""),"")</f>
        <v/>
      </c>
      <c r="O463" s="25">
        <f>IF(AND(L463=1,B463&lt;&gt;""),SUBSTITUTE(SUBSTITUTE(SUBSTITUTE(SUBSTITUTE(SUBSTITUTE(SUBSTITUTE(SUBSTITUTE(SUBSTITUTE(SUBSTITUTE(SUBSTITUTE(SUBSTITUTE(SUBSTITUTE(LOWER(TRIM(B463)),"á","a"),"é","e"),"í","i"),"ó","o"),"ú","u"),"ü","u"),"ñ","n"),"à","a"),"è","e"),"ì","i"),"ò","o"),"ù","u"),"")</f>
        <v/>
      </c>
      <c r="P463" s="25">
        <f>IF(AND(L463=1,C463&lt;&gt;""),SUBSTITUTE(SUBSTITUTE(SUBSTITUTE(SUBSTITUTE(SUBSTITUTE(SUBSTITUTE(SUBSTITUTE(SUBSTITUTE(SUBSTITUTE(SUBSTITUTE(SUBSTITUTE(SUBSTITUTE(LOWER(TRIM(C463)),"á","a"),"é","e"),"í","i"),"ó","o"),"ú","u"),"ü","u"),"ñ","n"),"à","a"),"è","e"),"ì","i"),"ò","o"),"ù","u"),"")</f>
        <v/>
      </c>
      <c r="Q463" s="25">
        <f>IF(AND(L463=1,E463&lt;&gt;""),SUBSTITUTE(SUBSTITUTE(SUBSTITUTE(SUBSTITUTE(SUBSTITUTE(SUBSTITUTE(SUBSTITUTE(SUBSTITUTE(SUBSTITUTE(SUBSTITUTE(SUBSTITUTE(SUBSTITUTE(LOWER(TRIM(E463)),"á","a"),"é","e"),"í","i"),"ó","o"),"ú","u"),"ü","u"),"ñ","n"),"à","a"),"è","e"),"ì","i"),"ò","o"),"ù","u"),"")</f>
        <v/>
      </c>
      <c r="R463" s="25">
        <f>IF(AND(L463=1,I463&lt;&gt;""),SUBSTITUTE(SUBSTITUTE(SUBSTITUTE(SUBSTITUTE(SUBSTITUTE(SUBSTITUTE(SUBSTITUTE(SUBSTITUTE(SUBSTITUTE(SUBSTITUTE(SUBSTITUTE(SUBSTITUTE(LOWER(TRIM(I463)),"á","a"),"é","e"),"í","i"),"ó","o"),"ú","u"),"ü","u"),"ñ","n"),"à","a"),"è","e"),"ì","i"),"ò","o"),"ù","u"),"")</f>
        <v/>
      </c>
      <c r="S463" s="25">
        <f>IF(R463="","",IF(OR(R463="si",R463="tal vez"),1,0))</f>
        <v/>
      </c>
      <c r="T463" s="25">
        <f>IF(AND(L463=1,D463&lt;&gt;""),IF(IFERROR(COUNTIFS(D$3:D463,"="&amp;SUBSTITUTE(SUBSTITUTE(SUBSTITUTE(D463,"~","~~"),"*","~*"),"?","~?"),L$3:L463,1),0)=1,MAX(T$2:T462)+1,""),"")</f>
        <v/>
      </c>
      <c r="U463" s="25">
        <f>IF(T463="","",COUNTIFS($D$3:$D$1002,"="&amp;SUBSTITUTE(SUBSTITUTE(SUBSTITUTE(D463,"~","~~"),"*","~*"),"?","~?"),$L$3:$L$1002,1)*10000-T463)</f>
        <v/>
      </c>
      <c r="V463" s="25">
        <f>IF(AND(L463=1,J463&lt;&gt;""),IF(IFERROR(COUNTIFS(J$3:J463,"="&amp;SUBSTITUTE(SUBSTITUTE(SUBSTITUTE(J463,"~","~~"),"*","~*"),"?","~?"),L$3:L463,1),0)=1,MAX(V$2:V462)+1,""),"")</f>
        <v/>
      </c>
      <c r="W463" s="25">
        <f>IF(V463="","",COUNTIFS($J$3:$J$1002,"="&amp;SUBSTITUTE(SUBSTITUTE(SUBSTITUTE(J463,"~","~~"),"*","~*"),"?","~?"),$L$3:$L$1002,1)*10000-V463)</f>
        <v/>
      </c>
    </row>
    <row r="464">
      <c r="A464">
        <f>IF(A$2=0,"",IFERROR(TRIM(INDEX('Pegar estudiantes'!$A$1:$BZ$1001,463,A$2)&amp;""),""))</f>
        <v/>
      </c>
      <c r="B464">
        <f>IF(B$2=0,"",IFERROR(TRIM(INDEX('Pegar estudiantes'!$A$1:$BZ$1001,463,B$2)&amp;""),""))</f>
        <v/>
      </c>
      <c r="C464">
        <f>IF(C$2=0,"",IFERROR(TRIM(INDEX('Pegar estudiantes'!$A$1:$BZ$1001,463,C$2)&amp;""),""))</f>
        <v/>
      </c>
      <c r="D464">
        <f>IF(D$2=0,"",IFERROR(TRIM(INDEX('Pegar estudiantes'!$A$1:$BZ$1001,463,D$2)&amp;""),""))</f>
        <v/>
      </c>
      <c r="E464">
        <f>IF(E$2=0,"",IFERROR(TRIM(INDEX('Pegar estudiantes'!$A$1:$BZ$1001,463,E$2)&amp;""),""))</f>
        <v/>
      </c>
      <c r="F464">
        <f>IF(F$2=0,"",IFERROR(TRIM(INDEX('Pegar estudiantes'!$A$1:$BZ$1001,463,F$2)&amp;""),""))</f>
        <v/>
      </c>
      <c r="G464">
        <f>IF(G$2=0,"",IFERROR(TRIM(INDEX('Pegar estudiantes'!$A$1:$BZ$1001,463,G$2)&amp;""),""))</f>
        <v/>
      </c>
      <c r="H464">
        <f>IF(H$2=0,"",IFERROR(TRIM(INDEX('Pegar estudiantes'!$A$1:$BZ$1001,463,H$2)&amp;""),""))</f>
        <v/>
      </c>
      <c r="I464">
        <f>IF(I$2=0,"",IFERROR(TRIM(INDEX('Pegar estudiantes'!$A$1:$BZ$1001,463,I$2)&amp;""),""))</f>
        <v/>
      </c>
      <c r="J464">
        <f>IF(J$2=0,"",IFERROR(TRIM(INDEX('Pegar estudiantes'!$A$1:$BZ$1001,463,J$2)&amp;""),""))</f>
        <v/>
      </c>
      <c r="K464">
        <f>IF(K$2=0,"",IFERROR(TRIM(INDEX('Pegar estudiantes'!$A$1:$BZ$1001,463,K$2)&amp;""),""))</f>
        <v/>
      </c>
      <c r="L464" s="25">
        <f>IF(A464&lt;&gt;"",1,"")</f>
        <v/>
      </c>
      <c r="M464" s="25">
        <f>IF(L464=1,IF(ISNUMBER(FIND("#"&amp;MID(A464,1,1)&amp;"#","#0#1#2#3#4#5#6#7#8#9#")),IF(ISNUMBER(FIND("#"&amp;MID(A464,2,1)&amp;"#","#0#1#2#3#4#5#6#7#8#9#")),IF(AND(VALUE(LEFT(A464,2))&gt;=1,VALUE(LEFT(A464,2))&lt;=5),VALUE(LEFT(A464,2)),""),IF(AND(VALUE(LEFT(A464,1))&gt;=1,VALUE(LEFT(A464,1))&lt;=5),VALUE(LEFT(A464,1)),"")),""),"")</f>
        <v/>
      </c>
      <c r="N464" s="25">
        <f>IF(L464=1,IF(ISNUMBER(FIND("#"&amp;MID(H464,1,1)&amp;"#","#0#1#2#3#4#5#6#7#8#9#")),IF(ISNUMBER(FIND("#"&amp;MID(H464,2,1)&amp;"#","#0#1#2#3#4#5#6#7#8#9#")),IF(AND(VALUE(LEFT(H464,2))&gt;=1,VALUE(LEFT(H464,2))&lt;=5),VALUE(LEFT(H464,2)),""),IF(AND(VALUE(LEFT(H464,1))&gt;=1,VALUE(LEFT(H464,1))&lt;=5),VALUE(LEFT(H464,1)),"")),""),"")</f>
        <v/>
      </c>
      <c r="O464" s="25">
        <f>IF(AND(L464=1,B464&lt;&gt;""),SUBSTITUTE(SUBSTITUTE(SUBSTITUTE(SUBSTITUTE(SUBSTITUTE(SUBSTITUTE(SUBSTITUTE(SUBSTITUTE(SUBSTITUTE(SUBSTITUTE(SUBSTITUTE(SUBSTITUTE(LOWER(TRIM(B464)),"á","a"),"é","e"),"í","i"),"ó","o"),"ú","u"),"ü","u"),"ñ","n"),"à","a"),"è","e"),"ì","i"),"ò","o"),"ù","u"),"")</f>
        <v/>
      </c>
      <c r="P464" s="25">
        <f>IF(AND(L464=1,C464&lt;&gt;""),SUBSTITUTE(SUBSTITUTE(SUBSTITUTE(SUBSTITUTE(SUBSTITUTE(SUBSTITUTE(SUBSTITUTE(SUBSTITUTE(SUBSTITUTE(SUBSTITUTE(SUBSTITUTE(SUBSTITUTE(LOWER(TRIM(C464)),"á","a"),"é","e"),"í","i"),"ó","o"),"ú","u"),"ü","u"),"ñ","n"),"à","a"),"è","e"),"ì","i"),"ò","o"),"ù","u"),"")</f>
        <v/>
      </c>
      <c r="Q464" s="25">
        <f>IF(AND(L464=1,E464&lt;&gt;""),SUBSTITUTE(SUBSTITUTE(SUBSTITUTE(SUBSTITUTE(SUBSTITUTE(SUBSTITUTE(SUBSTITUTE(SUBSTITUTE(SUBSTITUTE(SUBSTITUTE(SUBSTITUTE(SUBSTITUTE(LOWER(TRIM(E464)),"á","a"),"é","e"),"í","i"),"ó","o"),"ú","u"),"ü","u"),"ñ","n"),"à","a"),"è","e"),"ì","i"),"ò","o"),"ù","u"),"")</f>
        <v/>
      </c>
      <c r="R464" s="25">
        <f>IF(AND(L464=1,I464&lt;&gt;""),SUBSTITUTE(SUBSTITUTE(SUBSTITUTE(SUBSTITUTE(SUBSTITUTE(SUBSTITUTE(SUBSTITUTE(SUBSTITUTE(SUBSTITUTE(SUBSTITUTE(SUBSTITUTE(SUBSTITUTE(LOWER(TRIM(I464)),"á","a"),"é","e"),"í","i"),"ó","o"),"ú","u"),"ü","u"),"ñ","n"),"à","a"),"è","e"),"ì","i"),"ò","o"),"ù","u"),"")</f>
        <v/>
      </c>
      <c r="S464" s="25">
        <f>IF(R464="","",IF(OR(R464="si",R464="tal vez"),1,0))</f>
        <v/>
      </c>
      <c r="T464" s="25">
        <f>IF(AND(L464=1,D464&lt;&gt;""),IF(IFERROR(COUNTIFS(D$3:D464,"="&amp;SUBSTITUTE(SUBSTITUTE(SUBSTITUTE(D464,"~","~~"),"*","~*"),"?","~?"),L$3:L464,1),0)=1,MAX(T$2:T463)+1,""),"")</f>
        <v/>
      </c>
      <c r="U464" s="25">
        <f>IF(T464="","",COUNTIFS($D$3:$D$1002,"="&amp;SUBSTITUTE(SUBSTITUTE(SUBSTITUTE(D464,"~","~~"),"*","~*"),"?","~?"),$L$3:$L$1002,1)*10000-T464)</f>
        <v/>
      </c>
      <c r="V464" s="25">
        <f>IF(AND(L464=1,J464&lt;&gt;""),IF(IFERROR(COUNTIFS(J$3:J464,"="&amp;SUBSTITUTE(SUBSTITUTE(SUBSTITUTE(J464,"~","~~"),"*","~*"),"?","~?"),L$3:L464,1),0)=1,MAX(V$2:V463)+1,""),"")</f>
        <v/>
      </c>
      <c r="W464" s="25">
        <f>IF(V464="","",COUNTIFS($J$3:$J$1002,"="&amp;SUBSTITUTE(SUBSTITUTE(SUBSTITUTE(J464,"~","~~"),"*","~*"),"?","~?"),$L$3:$L$1002,1)*10000-V464)</f>
        <v/>
      </c>
    </row>
    <row r="465">
      <c r="A465">
        <f>IF(A$2=0,"",IFERROR(TRIM(INDEX('Pegar estudiantes'!$A$1:$BZ$1001,464,A$2)&amp;""),""))</f>
        <v/>
      </c>
      <c r="B465">
        <f>IF(B$2=0,"",IFERROR(TRIM(INDEX('Pegar estudiantes'!$A$1:$BZ$1001,464,B$2)&amp;""),""))</f>
        <v/>
      </c>
      <c r="C465">
        <f>IF(C$2=0,"",IFERROR(TRIM(INDEX('Pegar estudiantes'!$A$1:$BZ$1001,464,C$2)&amp;""),""))</f>
        <v/>
      </c>
      <c r="D465">
        <f>IF(D$2=0,"",IFERROR(TRIM(INDEX('Pegar estudiantes'!$A$1:$BZ$1001,464,D$2)&amp;""),""))</f>
        <v/>
      </c>
      <c r="E465">
        <f>IF(E$2=0,"",IFERROR(TRIM(INDEX('Pegar estudiantes'!$A$1:$BZ$1001,464,E$2)&amp;""),""))</f>
        <v/>
      </c>
      <c r="F465">
        <f>IF(F$2=0,"",IFERROR(TRIM(INDEX('Pegar estudiantes'!$A$1:$BZ$1001,464,F$2)&amp;""),""))</f>
        <v/>
      </c>
      <c r="G465">
        <f>IF(G$2=0,"",IFERROR(TRIM(INDEX('Pegar estudiantes'!$A$1:$BZ$1001,464,G$2)&amp;""),""))</f>
        <v/>
      </c>
      <c r="H465">
        <f>IF(H$2=0,"",IFERROR(TRIM(INDEX('Pegar estudiantes'!$A$1:$BZ$1001,464,H$2)&amp;""),""))</f>
        <v/>
      </c>
      <c r="I465">
        <f>IF(I$2=0,"",IFERROR(TRIM(INDEX('Pegar estudiantes'!$A$1:$BZ$1001,464,I$2)&amp;""),""))</f>
        <v/>
      </c>
      <c r="J465">
        <f>IF(J$2=0,"",IFERROR(TRIM(INDEX('Pegar estudiantes'!$A$1:$BZ$1001,464,J$2)&amp;""),""))</f>
        <v/>
      </c>
      <c r="K465">
        <f>IF(K$2=0,"",IFERROR(TRIM(INDEX('Pegar estudiantes'!$A$1:$BZ$1001,464,K$2)&amp;""),""))</f>
        <v/>
      </c>
      <c r="L465" s="25">
        <f>IF(A465&lt;&gt;"",1,"")</f>
        <v/>
      </c>
      <c r="M465" s="25">
        <f>IF(L465=1,IF(ISNUMBER(FIND("#"&amp;MID(A465,1,1)&amp;"#","#0#1#2#3#4#5#6#7#8#9#")),IF(ISNUMBER(FIND("#"&amp;MID(A465,2,1)&amp;"#","#0#1#2#3#4#5#6#7#8#9#")),IF(AND(VALUE(LEFT(A465,2))&gt;=1,VALUE(LEFT(A465,2))&lt;=5),VALUE(LEFT(A465,2)),""),IF(AND(VALUE(LEFT(A465,1))&gt;=1,VALUE(LEFT(A465,1))&lt;=5),VALUE(LEFT(A465,1)),"")),""),"")</f>
        <v/>
      </c>
      <c r="N465" s="25">
        <f>IF(L465=1,IF(ISNUMBER(FIND("#"&amp;MID(H465,1,1)&amp;"#","#0#1#2#3#4#5#6#7#8#9#")),IF(ISNUMBER(FIND("#"&amp;MID(H465,2,1)&amp;"#","#0#1#2#3#4#5#6#7#8#9#")),IF(AND(VALUE(LEFT(H465,2))&gt;=1,VALUE(LEFT(H465,2))&lt;=5),VALUE(LEFT(H465,2)),""),IF(AND(VALUE(LEFT(H465,1))&gt;=1,VALUE(LEFT(H465,1))&lt;=5),VALUE(LEFT(H465,1)),"")),""),"")</f>
        <v/>
      </c>
      <c r="O465" s="25">
        <f>IF(AND(L465=1,B465&lt;&gt;""),SUBSTITUTE(SUBSTITUTE(SUBSTITUTE(SUBSTITUTE(SUBSTITUTE(SUBSTITUTE(SUBSTITUTE(SUBSTITUTE(SUBSTITUTE(SUBSTITUTE(SUBSTITUTE(SUBSTITUTE(LOWER(TRIM(B465)),"á","a"),"é","e"),"í","i"),"ó","o"),"ú","u"),"ü","u"),"ñ","n"),"à","a"),"è","e"),"ì","i"),"ò","o"),"ù","u"),"")</f>
        <v/>
      </c>
      <c r="P465" s="25">
        <f>IF(AND(L465=1,C465&lt;&gt;""),SUBSTITUTE(SUBSTITUTE(SUBSTITUTE(SUBSTITUTE(SUBSTITUTE(SUBSTITUTE(SUBSTITUTE(SUBSTITUTE(SUBSTITUTE(SUBSTITUTE(SUBSTITUTE(SUBSTITUTE(LOWER(TRIM(C465)),"á","a"),"é","e"),"í","i"),"ó","o"),"ú","u"),"ü","u"),"ñ","n"),"à","a"),"è","e"),"ì","i"),"ò","o"),"ù","u"),"")</f>
        <v/>
      </c>
      <c r="Q465" s="25">
        <f>IF(AND(L465=1,E465&lt;&gt;""),SUBSTITUTE(SUBSTITUTE(SUBSTITUTE(SUBSTITUTE(SUBSTITUTE(SUBSTITUTE(SUBSTITUTE(SUBSTITUTE(SUBSTITUTE(SUBSTITUTE(SUBSTITUTE(SUBSTITUTE(LOWER(TRIM(E465)),"á","a"),"é","e"),"í","i"),"ó","o"),"ú","u"),"ü","u"),"ñ","n"),"à","a"),"è","e"),"ì","i"),"ò","o"),"ù","u"),"")</f>
        <v/>
      </c>
      <c r="R465" s="25">
        <f>IF(AND(L465=1,I465&lt;&gt;""),SUBSTITUTE(SUBSTITUTE(SUBSTITUTE(SUBSTITUTE(SUBSTITUTE(SUBSTITUTE(SUBSTITUTE(SUBSTITUTE(SUBSTITUTE(SUBSTITUTE(SUBSTITUTE(SUBSTITUTE(LOWER(TRIM(I465)),"á","a"),"é","e"),"í","i"),"ó","o"),"ú","u"),"ü","u"),"ñ","n"),"à","a"),"è","e"),"ì","i"),"ò","o"),"ù","u"),"")</f>
        <v/>
      </c>
      <c r="S465" s="25">
        <f>IF(R465="","",IF(OR(R465="si",R465="tal vez"),1,0))</f>
        <v/>
      </c>
      <c r="T465" s="25">
        <f>IF(AND(L465=1,D465&lt;&gt;""),IF(IFERROR(COUNTIFS(D$3:D465,"="&amp;SUBSTITUTE(SUBSTITUTE(SUBSTITUTE(D465,"~","~~"),"*","~*"),"?","~?"),L$3:L465,1),0)=1,MAX(T$2:T464)+1,""),"")</f>
        <v/>
      </c>
      <c r="U465" s="25">
        <f>IF(T465="","",COUNTIFS($D$3:$D$1002,"="&amp;SUBSTITUTE(SUBSTITUTE(SUBSTITUTE(D465,"~","~~"),"*","~*"),"?","~?"),$L$3:$L$1002,1)*10000-T465)</f>
        <v/>
      </c>
      <c r="V465" s="25">
        <f>IF(AND(L465=1,J465&lt;&gt;""),IF(IFERROR(COUNTIFS(J$3:J465,"="&amp;SUBSTITUTE(SUBSTITUTE(SUBSTITUTE(J465,"~","~~"),"*","~*"),"?","~?"),L$3:L465,1),0)=1,MAX(V$2:V464)+1,""),"")</f>
        <v/>
      </c>
      <c r="W465" s="25">
        <f>IF(V465="","",COUNTIFS($J$3:$J$1002,"="&amp;SUBSTITUTE(SUBSTITUTE(SUBSTITUTE(J465,"~","~~"),"*","~*"),"?","~?"),$L$3:$L$1002,1)*10000-V465)</f>
        <v/>
      </c>
    </row>
    <row r="466">
      <c r="A466">
        <f>IF(A$2=0,"",IFERROR(TRIM(INDEX('Pegar estudiantes'!$A$1:$BZ$1001,465,A$2)&amp;""),""))</f>
        <v/>
      </c>
      <c r="B466">
        <f>IF(B$2=0,"",IFERROR(TRIM(INDEX('Pegar estudiantes'!$A$1:$BZ$1001,465,B$2)&amp;""),""))</f>
        <v/>
      </c>
      <c r="C466">
        <f>IF(C$2=0,"",IFERROR(TRIM(INDEX('Pegar estudiantes'!$A$1:$BZ$1001,465,C$2)&amp;""),""))</f>
        <v/>
      </c>
      <c r="D466">
        <f>IF(D$2=0,"",IFERROR(TRIM(INDEX('Pegar estudiantes'!$A$1:$BZ$1001,465,D$2)&amp;""),""))</f>
        <v/>
      </c>
      <c r="E466">
        <f>IF(E$2=0,"",IFERROR(TRIM(INDEX('Pegar estudiantes'!$A$1:$BZ$1001,465,E$2)&amp;""),""))</f>
        <v/>
      </c>
      <c r="F466">
        <f>IF(F$2=0,"",IFERROR(TRIM(INDEX('Pegar estudiantes'!$A$1:$BZ$1001,465,F$2)&amp;""),""))</f>
        <v/>
      </c>
      <c r="G466">
        <f>IF(G$2=0,"",IFERROR(TRIM(INDEX('Pegar estudiantes'!$A$1:$BZ$1001,465,G$2)&amp;""),""))</f>
        <v/>
      </c>
      <c r="H466">
        <f>IF(H$2=0,"",IFERROR(TRIM(INDEX('Pegar estudiantes'!$A$1:$BZ$1001,465,H$2)&amp;""),""))</f>
        <v/>
      </c>
      <c r="I466">
        <f>IF(I$2=0,"",IFERROR(TRIM(INDEX('Pegar estudiantes'!$A$1:$BZ$1001,465,I$2)&amp;""),""))</f>
        <v/>
      </c>
      <c r="J466">
        <f>IF(J$2=0,"",IFERROR(TRIM(INDEX('Pegar estudiantes'!$A$1:$BZ$1001,465,J$2)&amp;""),""))</f>
        <v/>
      </c>
      <c r="K466">
        <f>IF(K$2=0,"",IFERROR(TRIM(INDEX('Pegar estudiantes'!$A$1:$BZ$1001,465,K$2)&amp;""),""))</f>
        <v/>
      </c>
      <c r="L466" s="25">
        <f>IF(A466&lt;&gt;"",1,"")</f>
        <v/>
      </c>
      <c r="M466" s="25">
        <f>IF(L466=1,IF(ISNUMBER(FIND("#"&amp;MID(A466,1,1)&amp;"#","#0#1#2#3#4#5#6#7#8#9#")),IF(ISNUMBER(FIND("#"&amp;MID(A466,2,1)&amp;"#","#0#1#2#3#4#5#6#7#8#9#")),IF(AND(VALUE(LEFT(A466,2))&gt;=1,VALUE(LEFT(A466,2))&lt;=5),VALUE(LEFT(A466,2)),""),IF(AND(VALUE(LEFT(A466,1))&gt;=1,VALUE(LEFT(A466,1))&lt;=5),VALUE(LEFT(A466,1)),"")),""),"")</f>
        <v/>
      </c>
      <c r="N466" s="25">
        <f>IF(L466=1,IF(ISNUMBER(FIND("#"&amp;MID(H466,1,1)&amp;"#","#0#1#2#3#4#5#6#7#8#9#")),IF(ISNUMBER(FIND("#"&amp;MID(H466,2,1)&amp;"#","#0#1#2#3#4#5#6#7#8#9#")),IF(AND(VALUE(LEFT(H466,2))&gt;=1,VALUE(LEFT(H466,2))&lt;=5),VALUE(LEFT(H466,2)),""),IF(AND(VALUE(LEFT(H466,1))&gt;=1,VALUE(LEFT(H466,1))&lt;=5),VALUE(LEFT(H466,1)),"")),""),"")</f>
        <v/>
      </c>
      <c r="O466" s="25">
        <f>IF(AND(L466=1,B466&lt;&gt;""),SUBSTITUTE(SUBSTITUTE(SUBSTITUTE(SUBSTITUTE(SUBSTITUTE(SUBSTITUTE(SUBSTITUTE(SUBSTITUTE(SUBSTITUTE(SUBSTITUTE(SUBSTITUTE(SUBSTITUTE(LOWER(TRIM(B466)),"á","a"),"é","e"),"í","i"),"ó","o"),"ú","u"),"ü","u"),"ñ","n"),"à","a"),"è","e"),"ì","i"),"ò","o"),"ù","u"),"")</f>
        <v/>
      </c>
      <c r="P466" s="25">
        <f>IF(AND(L466=1,C466&lt;&gt;""),SUBSTITUTE(SUBSTITUTE(SUBSTITUTE(SUBSTITUTE(SUBSTITUTE(SUBSTITUTE(SUBSTITUTE(SUBSTITUTE(SUBSTITUTE(SUBSTITUTE(SUBSTITUTE(SUBSTITUTE(LOWER(TRIM(C466)),"á","a"),"é","e"),"í","i"),"ó","o"),"ú","u"),"ü","u"),"ñ","n"),"à","a"),"è","e"),"ì","i"),"ò","o"),"ù","u"),"")</f>
        <v/>
      </c>
      <c r="Q466" s="25">
        <f>IF(AND(L466=1,E466&lt;&gt;""),SUBSTITUTE(SUBSTITUTE(SUBSTITUTE(SUBSTITUTE(SUBSTITUTE(SUBSTITUTE(SUBSTITUTE(SUBSTITUTE(SUBSTITUTE(SUBSTITUTE(SUBSTITUTE(SUBSTITUTE(LOWER(TRIM(E466)),"á","a"),"é","e"),"í","i"),"ó","o"),"ú","u"),"ü","u"),"ñ","n"),"à","a"),"è","e"),"ì","i"),"ò","o"),"ù","u"),"")</f>
        <v/>
      </c>
      <c r="R466" s="25">
        <f>IF(AND(L466=1,I466&lt;&gt;""),SUBSTITUTE(SUBSTITUTE(SUBSTITUTE(SUBSTITUTE(SUBSTITUTE(SUBSTITUTE(SUBSTITUTE(SUBSTITUTE(SUBSTITUTE(SUBSTITUTE(SUBSTITUTE(SUBSTITUTE(LOWER(TRIM(I466)),"á","a"),"é","e"),"í","i"),"ó","o"),"ú","u"),"ü","u"),"ñ","n"),"à","a"),"è","e"),"ì","i"),"ò","o"),"ù","u"),"")</f>
        <v/>
      </c>
      <c r="S466" s="25">
        <f>IF(R466="","",IF(OR(R466="si",R466="tal vez"),1,0))</f>
        <v/>
      </c>
      <c r="T466" s="25">
        <f>IF(AND(L466=1,D466&lt;&gt;""),IF(IFERROR(COUNTIFS(D$3:D466,"="&amp;SUBSTITUTE(SUBSTITUTE(SUBSTITUTE(D466,"~","~~"),"*","~*"),"?","~?"),L$3:L466,1),0)=1,MAX(T$2:T465)+1,""),"")</f>
        <v/>
      </c>
      <c r="U466" s="25">
        <f>IF(T466="","",COUNTIFS($D$3:$D$1002,"="&amp;SUBSTITUTE(SUBSTITUTE(SUBSTITUTE(D466,"~","~~"),"*","~*"),"?","~?"),$L$3:$L$1002,1)*10000-T466)</f>
        <v/>
      </c>
      <c r="V466" s="25">
        <f>IF(AND(L466=1,J466&lt;&gt;""),IF(IFERROR(COUNTIFS(J$3:J466,"="&amp;SUBSTITUTE(SUBSTITUTE(SUBSTITUTE(J466,"~","~~"),"*","~*"),"?","~?"),L$3:L466,1),0)=1,MAX(V$2:V465)+1,""),"")</f>
        <v/>
      </c>
      <c r="W466" s="25">
        <f>IF(V466="","",COUNTIFS($J$3:$J$1002,"="&amp;SUBSTITUTE(SUBSTITUTE(SUBSTITUTE(J466,"~","~~"),"*","~*"),"?","~?"),$L$3:$L$1002,1)*10000-V466)</f>
        <v/>
      </c>
    </row>
    <row r="467">
      <c r="A467">
        <f>IF(A$2=0,"",IFERROR(TRIM(INDEX('Pegar estudiantes'!$A$1:$BZ$1001,466,A$2)&amp;""),""))</f>
        <v/>
      </c>
      <c r="B467">
        <f>IF(B$2=0,"",IFERROR(TRIM(INDEX('Pegar estudiantes'!$A$1:$BZ$1001,466,B$2)&amp;""),""))</f>
        <v/>
      </c>
      <c r="C467">
        <f>IF(C$2=0,"",IFERROR(TRIM(INDEX('Pegar estudiantes'!$A$1:$BZ$1001,466,C$2)&amp;""),""))</f>
        <v/>
      </c>
      <c r="D467">
        <f>IF(D$2=0,"",IFERROR(TRIM(INDEX('Pegar estudiantes'!$A$1:$BZ$1001,466,D$2)&amp;""),""))</f>
        <v/>
      </c>
      <c r="E467">
        <f>IF(E$2=0,"",IFERROR(TRIM(INDEX('Pegar estudiantes'!$A$1:$BZ$1001,466,E$2)&amp;""),""))</f>
        <v/>
      </c>
      <c r="F467">
        <f>IF(F$2=0,"",IFERROR(TRIM(INDEX('Pegar estudiantes'!$A$1:$BZ$1001,466,F$2)&amp;""),""))</f>
        <v/>
      </c>
      <c r="G467">
        <f>IF(G$2=0,"",IFERROR(TRIM(INDEX('Pegar estudiantes'!$A$1:$BZ$1001,466,G$2)&amp;""),""))</f>
        <v/>
      </c>
      <c r="H467">
        <f>IF(H$2=0,"",IFERROR(TRIM(INDEX('Pegar estudiantes'!$A$1:$BZ$1001,466,H$2)&amp;""),""))</f>
        <v/>
      </c>
      <c r="I467">
        <f>IF(I$2=0,"",IFERROR(TRIM(INDEX('Pegar estudiantes'!$A$1:$BZ$1001,466,I$2)&amp;""),""))</f>
        <v/>
      </c>
      <c r="J467">
        <f>IF(J$2=0,"",IFERROR(TRIM(INDEX('Pegar estudiantes'!$A$1:$BZ$1001,466,J$2)&amp;""),""))</f>
        <v/>
      </c>
      <c r="K467">
        <f>IF(K$2=0,"",IFERROR(TRIM(INDEX('Pegar estudiantes'!$A$1:$BZ$1001,466,K$2)&amp;""),""))</f>
        <v/>
      </c>
      <c r="L467" s="25">
        <f>IF(A467&lt;&gt;"",1,"")</f>
        <v/>
      </c>
      <c r="M467" s="25">
        <f>IF(L467=1,IF(ISNUMBER(FIND("#"&amp;MID(A467,1,1)&amp;"#","#0#1#2#3#4#5#6#7#8#9#")),IF(ISNUMBER(FIND("#"&amp;MID(A467,2,1)&amp;"#","#0#1#2#3#4#5#6#7#8#9#")),IF(AND(VALUE(LEFT(A467,2))&gt;=1,VALUE(LEFT(A467,2))&lt;=5),VALUE(LEFT(A467,2)),""),IF(AND(VALUE(LEFT(A467,1))&gt;=1,VALUE(LEFT(A467,1))&lt;=5),VALUE(LEFT(A467,1)),"")),""),"")</f>
        <v/>
      </c>
      <c r="N467" s="25">
        <f>IF(L467=1,IF(ISNUMBER(FIND("#"&amp;MID(H467,1,1)&amp;"#","#0#1#2#3#4#5#6#7#8#9#")),IF(ISNUMBER(FIND("#"&amp;MID(H467,2,1)&amp;"#","#0#1#2#3#4#5#6#7#8#9#")),IF(AND(VALUE(LEFT(H467,2))&gt;=1,VALUE(LEFT(H467,2))&lt;=5),VALUE(LEFT(H467,2)),""),IF(AND(VALUE(LEFT(H467,1))&gt;=1,VALUE(LEFT(H467,1))&lt;=5),VALUE(LEFT(H467,1)),"")),""),"")</f>
        <v/>
      </c>
      <c r="O467" s="25">
        <f>IF(AND(L467=1,B467&lt;&gt;""),SUBSTITUTE(SUBSTITUTE(SUBSTITUTE(SUBSTITUTE(SUBSTITUTE(SUBSTITUTE(SUBSTITUTE(SUBSTITUTE(SUBSTITUTE(SUBSTITUTE(SUBSTITUTE(SUBSTITUTE(LOWER(TRIM(B467)),"á","a"),"é","e"),"í","i"),"ó","o"),"ú","u"),"ü","u"),"ñ","n"),"à","a"),"è","e"),"ì","i"),"ò","o"),"ù","u"),"")</f>
        <v/>
      </c>
      <c r="P467" s="25">
        <f>IF(AND(L467=1,C467&lt;&gt;""),SUBSTITUTE(SUBSTITUTE(SUBSTITUTE(SUBSTITUTE(SUBSTITUTE(SUBSTITUTE(SUBSTITUTE(SUBSTITUTE(SUBSTITUTE(SUBSTITUTE(SUBSTITUTE(SUBSTITUTE(LOWER(TRIM(C467)),"á","a"),"é","e"),"í","i"),"ó","o"),"ú","u"),"ü","u"),"ñ","n"),"à","a"),"è","e"),"ì","i"),"ò","o"),"ù","u"),"")</f>
        <v/>
      </c>
      <c r="Q467" s="25">
        <f>IF(AND(L467=1,E467&lt;&gt;""),SUBSTITUTE(SUBSTITUTE(SUBSTITUTE(SUBSTITUTE(SUBSTITUTE(SUBSTITUTE(SUBSTITUTE(SUBSTITUTE(SUBSTITUTE(SUBSTITUTE(SUBSTITUTE(SUBSTITUTE(LOWER(TRIM(E467)),"á","a"),"é","e"),"í","i"),"ó","o"),"ú","u"),"ü","u"),"ñ","n"),"à","a"),"è","e"),"ì","i"),"ò","o"),"ù","u"),"")</f>
        <v/>
      </c>
      <c r="R467" s="25">
        <f>IF(AND(L467=1,I467&lt;&gt;""),SUBSTITUTE(SUBSTITUTE(SUBSTITUTE(SUBSTITUTE(SUBSTITUTE(SUBSTITUTE(SUBSTITUTE(SUBSTITUTE(SUBSTITUTE(SUBSTITUTE(SUBSTITUTE(SUBSTITUTE(LOWER(TRIM(I467)),"á","a"),"é","e"),"í","i"),"ó","o"),"ú","u"),"ü","u"),"ñ","n"),"à","a"),"è","e"),"ì","i"),"ò","o"),"ù","u"),"")</f>
        <v/>
      </c>
      <c r="S467" s="25">
        <f>IF(R467="","",IF(OR(R467="si",R467="tal vez"),1,0))</f>
        <v/>
      </c>
      <c r="T467" s="25">
        <f>IF(AND(L467=1,D467&lt;&gt;""),IF(IFERROR(COUNTIFS(D$3:D467,"="&amp;SUBSTITUTE(SUBSTITUTE(SUBSTITUTE(D467,"~","~~"),"*","~*"),"?","~?"),L$3:L467,1),0)=1,MAX(T$2:T466)+1,""),"")</f>
        <v/>
      </c>
      <c r="U467" s="25">
        <f>IF(T467="","",COUNTIFS($D$3:$D$1002,"="&amp;SUBSTITUTE(SUBSTITUTE(SUBSTITUTE(D467,"~","~~"),"*","~*"),"?","~?"),$L$3:$L$1002,1)*10000-T467)</f>
        <v/>
      </c>
      <c r="V467" s="25">
        <f>IF(AND(L467=1,J467&lt;&gt;""),IF(IFERROR(COUNTIFS(J$3:J467,"="&amp;SUBSTITUTE(SUBSTITUTE(SUBSTITUTE(J467,"~","~~"),"*","~*"),"?","~?"),L$3:L467,1),0)=1,MAX(V$2:V466)+1,""),"")</f>
        <v/>
      </c>
      <c r="W467" s="25">
        <f>IF(V467="","",COUNTIFS($J$3:$J$1002,"="&amp;SUBSTITUTE(SUBSTITUTE(SUBSTITUTE(J467,"~","~~"),"*","~*"),"?","~?"),$L$3:$L$1002,1)*10000-V467)</f>
        <v/>
      </c>
    </row>
    <row r="468">
      <c r="A468">
        <f>IF(A$2=0,"",IFERROR(TRIM(INDEX('Pegar estudiantes'!$A$1:$BZ$1001,467,A$2)&amp;""),""))</f>
        <v/>
      </c>
      <c r="B468">
        <f>IF(B$2=0,"",IFERROR(TRIM(INDEX('Pegar estudiantes'!$A$1:$BZ$1001,467,B$2)&amp;""),""))</f>
        <v/>
      </c>
      <c r="C468">
        <f>IF(C$2=0,"",IFERROR(TRIM(INDEX('Pegar estudiantes'!$A$1:$BZ$1001,467,C$2)&amp;""),""))</f>
        <v/>
      </c>
      <c r="D468">
        <f>IF(D$2=0,"",IFERROR(TRIM(INDEX('Pegar estudiantes'!$A$1:$BZ$1001,467,D$2)&amp;""),""))</f>
        <v/>
      </c>
      <c r="E468">
        <f>IF(E$2=0,"",IFERROR(TRIM(INDEX('Pegar estudiantes'!$A$1:$BZ$1001,467,E$2)&amp;""),""))</f>
        <v/>
      </c>
      <c r="F468">
        <f>IF(F$2=0,"",IFERROR(TRIM(INDEX('Pegar estudiantes'!$A$1:$BZ$1001,467,F$2)&amp;""),""))</f>
        <v/>
      </c>
      <c r="G468">
        <f>IF(G$2=0,"",IFERROR(TRIM(INDEX('Pegar estudiantes'!$A$1:$BZ$1001,467,G$2)&amp;""),""))</f>
        <v/>
      </c>
      <c r="H468">
        <f>IF(H$2=0,"",IFERROR(TRIM(INDEX('Pegar estudiantes'!$A$1:$BZ$1001,467,H$2)&amp;""),""))</f>
        <v/>
      </c>
      <c r="I468">
        <f>IF(I$2=0,"",IFERROR(TRIM(INDEX('Pegar estudiantes'!$A$1:$BZ$1001,467,I$2)&amp;""),""))</f>
        <v/>
      </c>
      <c r="J468">
        <f>IF(J$2=0,"",IFERROR(TRIM(INDEX('Pegar estudiantes'!$A$1:$BZ$1001,467,J$2)&amp;""),""))</f>
        <v/>
      </c>
      <c r="K468">
        <f>IF(K$2=0,"",IFERROR(TRIM(INDEX('Pegar estudiantes'!$A$1:$BZ$1001,467,K$2)&amp;""),""))</f>
        <v/>
      </c>
      <c r="L468" s="25">
        <f>IF(A468&lt;&gt;"",1,"")</f>
        <v/>
      </c>
      <c r="M468" s="25">
        <f>IF(L468=1,IF(ISNUMBER(FIND("#"&amp;MID(A468,1,1)&amp;"#","#0#1#2#3#4#5#6#7#8#9#")),IF(ISNUMBER(FIND("#"&amp;MID(A468,2,1)&amp;"#","#0#1#2#3#4#5#6#7#8#9#")),IF(AND(VALUE(LEFT(A468,2))&gt;=1,VALUE(LEFT(A468,2))&lt;=5),VALUE(LEFT(A468,2)),""),IF(AND(VALUE(LEFT(A468,1))&gt;=1,VALUE(LEFT(A468,1))&lt;=5),VALUE(LEFT(A468,1)),"")),""),"")</f>
        <v/>
      </c>
      <c r="N468" s="25">
        <f>IF(L468=1,IF(ISNUMBER(FIND("#"&amp;MID(H468,1,1)&amp;"#","#0#1#2#3#4#5#6#7#8#9#")),IF(ISNUMBER(FIND("#"&amp;MID(H468,2,1)&amp;"#","#0#1#2#3#4#5#6#7#8#9#")),IF(AND(VALUE(LEFT(H468,2))&gt;=1,VALUE(LEFT(H468,2))&lt;=5),VALUE(LEFT(H468,2)),""),IF(AND(VALUE(LEFT(H468,1))&gt;=1,VALUE(LEFT(H468,1))&lt;=5),VALUE(LEFT(H468,1)),"")),""),"")</f>
        <v/>
      </c>
      <c r="O468" s="25">
        <f>IF(AND(L468=1,B468&lt;&gt;""),SUBSTITUTE(SUBSTITUTE(SUBSTITUTE(SUBSTITUTE(SUBSTITUTE(SUBSTITUTE(SUBSTITUTE(SUBSTITUTE(SUBSTITUTE(SUBSTITUTE(SUBSTITUTE(SUBSTITUTE(LOWER(TRIM(B468)),"á","a"),"é","e"),"í","i"),"ó","o"),"ú","u"),"ü","u"),"ñ","n"),"à","a"),"è","e"),"ì","i"),"ò","o"),"ù","u"),"")</f>
        <v/>
      </c>
      <c r="P468" s="25">
        <f>IF(AND(L468=1,C468&lt;&gt;""),SUBSTITUTE(SUBSTITUTE(SUBSTITUTE(SUBSTITUTE(SUBSTITUTE(SUBSTITUTE(SUBSTITUTE(SUBSTITUTE(SUBSTITUTE(SUBSTITUTE(SUBSTITUTE(SUBSTITUTE(LOWER(TRIM(C468)),"á","a"),"é","e"),"í","i"),"ó","o"),"ú","u"),"ü","u"),"ñ","n"),"à","a"),"è","e"),"ì","i"),"ò","o"),"ù","u"),"")</f>
        <v/>
      </c>
      <c r="Q468" s="25">
        <f>IF(AND(L468=1,E468&lt;&gt;""),SUBSTITUTE(SUBSTITUTE(SUBSTITUTE(SUBSTITUTE(SUBSTITUTE(SUBSTITUTE(SUBSTITUTE(SUBSTITUTE(SUBSTITUTE(SUBSTITUTE(SUBSTITUTE(SUBSTITUTE(LOWER(TRIM(E468)),"á","a"),"é","e"),"í","i"),"ó","o"),"ú","u"),"ü","u"),"ñ","n"),"à","a"),"è","e"),"ì","i"),"ò","o"),"ù","u"),"")</f>
        <v/>
      </c>
      <c r="R468" s="25">
        <f>IF(AND(L468=1,I468&lt;&gt;""),SUBSTITUTE(SUBSTITUTE(SUBSTITUTE(SUBSTITUTE(SUBSTITUTE(SUBSTITUTE(SUBSTITUTE(SUBSTITUTE(SUBSTITUTE(SUBSTITUTE(SUBSTITUTE(SUBSTITUTE(LOWER(TRIM(I468)),"á","a"),"é","e"),"í","i"),"ó","o"),"ú","u"),"ü","u"),"ñ","n"),"à","a"),"è","e"),"ì","i"),"ò","o"),"ù","u"),"")</f>
        <v/>
      </c>
      <c r="S468" s="25">
        <f>IF(R468="","",IF(OR(R468="si",R468="tal vez"),1,0))</f>
        <v/>
      </c>
      <c r="T468" s="25">
        <f>IF(AND(L468=1,D468&lt;&gt;""),IF(IFERROR(COUNTIFS(D$3:D468,"="&amp;SUBSTITUTE(SUBSTITUTE(SUBSTITUTE(D468,"~","~~"),"*","~*"),"?","~?"),L$3:L468,1),0)=1,MAX(T$2:T467)+1,""),"")</f>
        <v/>
      </c>
      <c r="U468" s="25">
        <f>IF(T468="","",COUNTIFS($D$3:$D$1002,"="&amp;SUBSTITUTE(SUBSTITUTE(SUBSTITUTE(D468,"~","~~"),"*","~*"),"?","~?"),$L$3:$L$1002,1)*10000-T468)</f>
        <v/>
      </c>
      <c r="V468" s="25">
        <f>IF(AND(L468=1,J468&lt;&gt;""),IF(IFERROR(COUNTIFS(J$3:J468,"="&amp;SUBSTITUTE(SUBSTITUTE(SUBSTITUTE(J468,"~","~~"),"*","~*"),"?","~?"),L$3:L468,1),0)=1,MAX(V$2:V467)+1,""),"")</f>
        <v/>
      </c>
      <c r="W468" s="25">
        <f>IF(V468="","",COUNTIFS($J$3:$J$1002,"="&amp;SUBSTITUTE(SUBSTITUTE(SUBSTITUTE(J468,"~","~~"),"*","~*"),"?","~?"),$L$3:$L$1002,1)*10000-V468)</f>
        <v/>
      </c>
    </row>
    <row r="469">
      <c r="A469">
        <f>IF(A$2=0,"",IFERROR(TRIM(INDEX('Pegar estudiantes'!$A$1:$BZ$1001,468,A$2)&amp;""),""))</f>
        <v/>
      </c>
      <c r="B469">
        <f>IF(B$2=0,"",IFERROR(TRIM(INDEX('Pegar estudiantes'!$A$1:$BZ$1001,468,B$2)&amp;""),""))</f>
        <v/>
      </c>
      <c r="C469">
        <f>IF(C$2=0,"",IFERROR(TRIM(INDEX('Pegar estudiantes'!$A$1:$BZ$1001,468,C$2)&amp;""),""))</f>
        <v/>
      </c>
      <c r="D469">
        <f>IF(D$2=0,"",IFERROR(TRIM(INDEX('Pegar estudiantes'!$A$1:$BZ$1001,468,D$2)&amp;""),""))</f>
        <v/>
      </c>
      <c r="E469">
        <f>IF(E$2=0,"",IFERROR(TRIM(INDEX('Pegar estudiantes'!$A$1:$BZ$1001,468,E$2)&amp;""),""))</f>
        <v/>
      </c>
      <c r="F469">
        <f>IF(F$2=0,"",IFERROR(TRIM(INDEX('Pegar estudiantes'!$A$1:$BZ$1001,468,F$2)&amp;""),""))</f>
        <v/>
      </c>
      <c r="G469">
        <f>IF(G$2=0,"",IFERROR(TRIM(INDEX('Pegar estudiantes'!$A$1:$BZ$1001,468,G$2)&amp;""),""))</f>
        <v/>
      </c>
      <c r="H469">
        <f>IF(H$2=0,"",IFERROR(TRIM(INDEX('Pegar estudiantes'!$A$1:$BZ$1001,468,H$2)&amp;""),""))</f>
        <v/>
      </c>
      <c r="I469">
        <f>IF(I$2=0,"",IFERROR(TRIM(INDEX('Pegar estudiantes'!$A$1:$BZ$1001,468,I$2)&amp;""),""))</f>
        <v/>
      </c>
      <c r="J469">
        <f>IF(J$2=0,"",IFERROR(TRIM(INDEX('Pegar estudiantes'!$A$1:$BZ$1001,468,J$2)&amp;""),""))</f>
        <v/>
      </c>
      <c r="K469">
        <f>IF(K$2=0,"",IFERROR(TRIM(INDEX('Pegar estudiantes'!$A$1:$BZ$1001,468,K$2)&amp;""),""))</f>
        <v/>
      </c>
      <c r="L469" s="25">
        <f>IF(A469&lt;&gt;"",1,"")</f>
        <v/>
      </c>
      <c r="M469" s="25">
        <f>IF(L469=1,IF(ISNUMBER(FIND("#"&amp;MID(A469,1,1)&amp;"#","#0#1#2#3#4#5#6#7#8#9#")),IF(ISNUMBER(FIND("#"&amp;MID(A469,2,1)&amp;"#","#0#1#2#3#4#5#6#7#8#9#")),IF(AND(VALUE(LEFT(A469,2))&gt;=1,VALUE(LEFT(A469,2))&lt;=5),VALUE(LEFT(A469,2)),""),IF(AND(VALUE(LEFT(A469,1))&gt;=1,VALUE(LEFT(A469,1))&lt;=5),VALUE(LEFT(A469,1)),"")),""),"")</f>
        <v/>
      </c>
      <c r="N469" s="25">
        <f>IF(L469=1,IF(ISNUMBER(FIND("#"&amp;MID(H469,1,1)&amp;"#","#0#1#2#3#4#5#6#7#8#9#")),IF(ISNUMBER(FIND("#"&amp;MID(H469,2,1)&amp;"#","#0#1#2#3#4#5#6#7#8#9#")),IF(AND(VALUE(LEFT(H469,2))&gt;=1,VALUE(LEFT(H469,2))&lt;=5),VALUE(LEFT(H469,2)),""),IF(AND(VALUE(LEFT(H469,1))&gt;=1,VALUE(LEFT(H469,1))&lt;=5),VALUE(LEFT(H469,1)),"")),""),"")</f>
        <v/>
      </c>
      <c r="O469" s="25">
        <f>IF(AND(L469=1,B469&lt;&gt;""),SUBSTITUTE(SUBSTITUTE(SUBSTITUTE(SUBSTITUTE(SUBSTITUTE(SUBSTITUTE(SUBSTITUTE(SUBSTITUTE(SUBSTITUTE(SUBSTITUTE(SUBSTITUTE(SUBSTITUTE(LOWER(TRIM(B469)),"á","a"),"é","e"),"í","i"),"ó","o"),"ú","u"),"ü","u"),"ñ","n"),"à","a"),"è","e"),"ì","i"),"ò","o"),"ù","u"),"")</f>
        <v/>
      </c>
      <c r="P469" s="25">
        <f>IF(AND(L469=1,C469&lt;&gt;""),SUBSTITUTE(SUBSTITUTE(SUBSTITUTE(SUBSTITUTE(SUBSTITUTE(SUBSTITUTE(SUBSTITUTE(SUBSTITUTE(SUBSTITUTE(SUBSTITUTE(SUBSTITUTE(SUBSTITUTE(LOWER(TRIM(C469)),"á","a"),"é","e"),"í","i"),"ó","o"),"ú","u"),"ü","u"),"ñ","n"),"à","a"),"è","e"),"ì","i"),"ò","o"),"ù","u"),"")</f>
        <v/>
      </c>
      <c r="Q469" s="25">
        <f>IF(AND(L469=1,E469&lt;&gt;""),SUBSTITUTE(SUBSTITUTE(SUBSTITUTE(SUBSTITUTE(SUBSTITUTE(SUBSTITUTE(SUBSTITUTE(SUBSTITUTE(SUBSTITUTE(SUBSTITUTE(SUBSTITUTE(SUBSTITUTE(LOWER(TRIM(E469)),"á","a"),"é","e"),"í","i"),"ó","o"),"ú","u"),"ü","u"),"ñ","n"),"à","a"),"è","e"),"ì","i"),"ò","o"),"ù","u"),"")</f>
        <v/>
      </c>
      <c r="R469" s="25">
        <f>IF(AND(L469=1,I469&lt;&gt;""),SUBSTITUTE(SUBSTITUTE(SUBSTITUTE(SUBSTITUTE(SUBSTITUTE(SUBSTITUTE(SUBSTITUTE(SUBSTITUTE(SUBSTITUTE(SUBSTITUTE(SUBSTITUTE(SUBSTITUTE(LOWER(TRIM(I469)),"á","a"),"é","e"),"í","i"),"ó","o"),"ú","u"),"ü","u"),"ñ","n"),"à","a"),"è","e"),"ì","i"),"ò","o"),"ù","u"),"")</f>
        <v/>
      </c>
      <c r="S469" s="25">
        <f>IF(R469="","",IF(OR(R469="si",R469="tal vez"),1,0))</f>
        <v/>
      </c>
      <c r="T469" s="25">
        <f>IF(AND(L469=1,D469&lt;&gt;""),IF(IFERROR(COUNTIFS(D$3:D469,"="&amp;SUBSTITUTE(SUBSTITUTE(SUBSTITUTE(D469,"~","~~"),"*","~*"),"?","~?"),L$3:L469,1),0)=1,MAX(T$2:T468)+1,""),"")</f>
        <v/>
      </c>
      <c r="U469" s="25">
        <f>IF(T469="","",COUNTIFS($D$3:$D$1002,"="&amp;SUBSTITUTE(SUBSTITUTE(SUBSTITUTE(D469,"~","~~"),"*","~*"),"?","~?"),$L$3:$L$1002,1)*10000-T469)</f>
        <v/>
      </c>
      <c r="V469" s="25">
        <f>IF(AND(L469=1,J469&lt;&gt;""),IF(IFERROR(COUNTIFS(J$3:J469,"="&amp;SUBSTITUTE(SUBSTITUTE(SUBSTITUTE(J469,"~","~~"),"*","~*"),"?","~?"),L$3:L469,1),0)=1,MAX(V$2:V468)+1,""),"")</f>
        <v/>
      </c>
      <c r="W469" s="25">
        <f>IF(V469="","",COUNTIFS($J$3:$J$1002,"="&amp;SUBSTITUTE(SUBSTITUTE(SUBSTITUTE(J469,"~","~~"),"*","~*"),"?","~?"),$L$3:$L$1002,1)*10000-V469)</f>
        <v/>
      </c>
    </row>
    <row r="470">
      <c r="A470">
        <f>IF(A$2=0,"",IFERROR(TRIM(INDEX('Pegar estudiantes'!$A$1:$BZ$1001,469,A$2)&amp;""),""))</f>
        <v/>
      </c>
      <c r="B470">
        <f>IF(B$2=0,"",IFERROR(TRIM(INDEX('Pegar estudiantes'!$A$1:$BZ$1001,469,B$2)&amp;""),""))</f>
        <v/>
      </c>
      <c r="C470">
        <f>IF(C$2=0,"",IFERROR(TRIM(INDEX('Pegar estudiantes'!$A$1:$BZ$1001,469,C$2)&amp;""),""))</f>
        <v/>
      </c>
      <c r="D470">
        <f>IF(D$2=0,"",IFERROR(TRIM(INDEX('Pegar estudiantes'!$A$1:$BZ$1001,469,D$2)&amp;""),""))</f>
        <v/>
      </c>
      <c r="E470">
        <f>IF(E$2=0,"",IFERROR(TRIM(INDEX('Pegar estudiantes'!$A$1:$BZ$1001,469,E$2)&amp;""),""))</f>
        <v/>
      </c>
      <c r="F470">
        <f>IF(F$2=0,"",IFERROR(TRIM(INDEX('Pegar estudiantes'!$A$1:$BZ$1001,469,F$2)&amp;""),""))</f>
        <v/>
      </c>
      <c r="G470">
        <f>IF(G$2=0,"",IFERROR(TRIM(INDEX('Pegar estudiantes'!$A$1:$BZ$1001,469,G$2)&amp;""),""))</f>
        <v/>
      </c>
      <c r="H470">
        <f>IF(H$2=0,"",IFERROR(TRIM(INDEX('Pegar estudiantes'!$A$1:$BZ$1001,469,H$2)&amp;""),""))</f>
        <v/>
      </c>
      <c r="I470">
        <f>IF(I$2=0,"",IFERROR(TRIM(INDEX('Pegar estudiantes'!$A$1:$BZ$1001,469,I$2)&amp;""),""))</f>
        <v/>
      </c>
      <c r="J470">
        <f>IF(J$2=0,"",IFERROR(TRIM(INDEX('Pegar estudiantes'!$A$1:$BZ$1001,469,J$2)&amp;""),""))</f>
        <v/>
      </c>
      <c r="K470">
        <f>IF(K$2=0,"",IFERROR(TRIM(INDEX('Pegar estudiantes'!$A$1:$BZ$1001,469,K$2)&amp;""),""))</f>
        <v/>
      </c>
      <c r="L470" s="25">
        <f>IF(A470&lt;&gt;"",1,"")</f>
        <v/>
      </c>
      <c r="M470" s="25">
        <f>IF(L470=1,IF(ISNUMBER(FIND("#"&amp;MID(A470,1,1)&amp;"#","#0#1#2#3#4#5#6#7#8#9#")),IF(ISNUMBER(FIND("#"&amp;MID(A470,2,1)&amp;"#","#0#1#2#3#4#5#6#7#8#9#")),IF(AND(VALUE(LEFT(A470,2))&gt;=1,VALUE(LEFT(A470,2))&lt;=5),VALUE(LEFT(A470,2)),""),IF(AND(VALUE(LEFT(A470,1))&gt;=1,VALUE(LEFT(A470,1))&lt;=5),VALUE(LEFT(A470,1)),"")),""),"")</f>
        <v/>
      </c>
      <c r="N470" s="25">
        <f>IF(L470=1,IF(ISNUMBER(FIND("#"&amp;MID(H470,1,1)&amp;"#","#0#1#2#3#4#5#6#7#8#9#")),IF(ISNUMBER(FIND("#"&amp;MID(H470,2,1)&amp;"#","#0#1#2#3#4#5#6#7#8#9#")),IF(AND(VALUE(LEFT(H470,2))&gt;=1,VALUE(LEFT(H470,2))&lt;=5),VALUE(LEFT(H470,2)),""),IF(AND(VALUE(LEFT(H470,1))&gt;=1,VALUE(LEFT(H470,1))&lt;=5),VALUE(LEFT(H470,1)),"")),""),"")</f>
        <v/>
      </c>
      <c r="O470" s="25">
        <f>IF(AND(L470=1,B470&lt;&gt;""),SUBSTITUTE(SUBSTITUTE(SUBSTITUTE(SUBSTITUTE(SUBSTITUTE(SUBSTITUTE(SUBSTITUTE(SUBSTITUTE(SUBSTITUTE(SUBSTITUTE(SUBSTITUTE(SUBSTITUTE(LOWER(TRIM(B470)),"á","a"),"é","e"),"í","i"),"ó","o"),"ú","u"),"ü","u"),"ñ","n"),"à","a"),"è","e"),"ì","i"),"ò","o"),"ù","u"),"")</f>
        <v/>
      </c>
      <c r="P470" s="25">
        <f>IF(AND(L470=1,C470&lt;&gt;""),SUBSTITUTE(SUBSTITUTE(SUBSTITUTE(SUBSTITUTE(SUBSTITUTE(SUBSTITUTE(SUBSTITUTE(SUBSTITUTE(SUBSTITUTE(SUBSTITUTE(SUBSTITUTE(SUBSTITUTE(LOWER(TRIM(C470)),"á","a"),"é","e"),"í","i"),"ó","o"),"ú","u"),"ü","u"),"ñ","n"),"à","a"),"è","e"),"ì","i"),"ò","o"),"ù","u"),"")</f>
        <v/>
      </c>
      <c r="Q470" s="25">
        <f>IF(AND(L470=1,E470&lt;&gt;""),SUBSTITUTE(SUBSTITUTE(SUBSTITUTE(SUBSTITUTE(SUBSTITUTE(SUBSTITUTE(SUBSTITUTE(SUBSTITUTE(SUBSTITUTE(SUBSTITUTE(SUBSTITUTE(SUBSTITUTE(LOWER(TRIM(E470)),"á","a"),"é","e"),"í","i"),"ó","o"),"ú","u"),"ü","u"),"ñ","n"),"à","a"),"è","e"),"ì","i"),"ò","o"),"ù","u"),"")</f>
        <v/>
      </c>
      <c r="R470" s="25">
        <f>IF(AND(L470=1,I470&lt;&gt;""),SUBSTITUTE(SUBSTITUTE(SUBSTITUTE(SUBSTITUTE(SUBSTITUTE(SUBSTITUTE(SUBSTITUTE(SUBSTITUTE(SUBSTITUTE(SUBSTITUTE(SUBSTITUTE(SUBSTITUTE(LOWER(TRIM(I470)),"á","a"),"é","e"),"í","i"),"ó","o"),"ú","u"),"ü","u"),"ñ","n"),"à","a"),"è","e"),"ì","i"),"ò","o"),"ù","u"),"")</f>
        <v/>
      </c>
      <c r="S470" s="25">
        <f>IF(R470="","",IF(OR(R470="si",R470="tal vez"),1,0))</f>
        <v/>
      </c>
      <c r="T470" s="25">
        <f>IF(AND(L470=1,D470&lt;&gt;""),IF(IFERROR(COUNTIFS(D$3:D470,"="&amp;SUBSTITUTE(SUBSTITUTE(SUBSTITUTE(D470,"~","~~"),"*","~*"),"?","~?"),L$3:L470,1),0)=1,MAX(T$2:T469)+1,""),"")</f>
        <v/>
      </c>
      <c r="U470" s="25">
        <f>IF(T470="","",COUNTIFS($D$3:$D$1002,"="&amp;SUBSTITUTE(SUBSTITUTE(SUBSTITUTE(D470,"~","~~"),"*","~*"),"?","~?"),$L$3:$L$1002,1)*10000-T470)</f>
        <v/>
      </c>
      <c r="V470" s="25">
        <f>IF(AND(L470=1,J470&lt;&gt;""),IF(IFERROR(COUNTIFS(J$3:J470,"="&amp;SUBSTITUTE(SUBSTITUTE(SUBSTITUTE(J470,"~","~~"),"*","~*"),"?","~?"),L$3:L470,1),0)=1,MAX(V$2:V469)+1,""),"")</f>
        <v/>
      </c>
      <c r="W470" s="25">
        <f>IF(V470="","",COUNTIFS($J$3:$J$1002,"="&amp;SUBSTITUTE(SUBSTITUTE(SUBSTITUTE(J470,"~","~~"),"*","~*"),"?","~?"),$L$3:$L$1002,1)*10000-V470)</f>
        <v/>
      </c>
    </row>
    <row r="471">
      <c r="A471">
        <f>IF(A$2=0,"",IFERROR(TRIM(INDEX('Pegar estudiantes'!$A$1:$BZ$1001,470,A$2)&amp;""),""))</f>
        <v/>
      </c>
      <c r="B471">
        <f>IF(B$2=0,"",IFERROR(TRIM(INDEX('Pegar estudiantes'!$A$1:$BZ$1001,470,B$2)&amp;""),""))</f>
        <v/>
      </c>
      <c r="C471">
        <f>IF(C$2=0,"",IFERROR(TRIM(INDEX('Pegar estudiantes'!$A$1:$BZ$1001,470,C$2)&amp;""),""))</f>
        <v/>
      </c>
      <c r="D471">
        <f>IF(D$2=0,"",IFERROR(TRIM(INDEX('Pegar estudiantes'!$A$1:$BZ$1001,470,D$2)&amp;""),""))</f>
        <v/>
      </c>
      <c r="E471">
        <f>IF(E$2=0,"",IFERROR(TRIM(INDEX('Pegar estudiantes'!$A$1:$BZ$1001,470,E$2)&amp;""),""))</f>
        <v/>
      </c>
      <c r="F471">
        <f>IF(F$2=0,"",IFERROR(TRIM(INDEX('Pegar estudiantes'!$A$1:$BZ$1001,470,F$2)&amp;""),""))</f>
        <v/>
      </c>
      <c r="G471">
        <f>IF(G$2=0,"",IFERROR(TRIM(INDEX('Pegar estudiantes'!$A$1:$BZ$1001,470,G$2)&amp;""),""))</f>
        <v/>
      </c>
      <c r="H471">
        <f>IF(H$2=0,"",IFERROR(TRIM(INDEX('Pegar estudiantes'!$A$1:$BZ$1001,470,H$2)&amp;""),""))</f>
        <v/>
      </c>
      <c r="I471">
        <f>IF(I$2=0,"",IFERROR(TRIM(INDEX('Pegar estudiantes'!$A$1:$BZ$1001,470,I$2)&amp;""),""))</f>
        <v/>
      </c>
      <c r="J471">
        <f>IF(J$2=0,"",IFERROR(TRIM(INDEX('Pegar estudiantes'!$A$1:$BZ$1001,470,J$2)&amp;""),""))</f>
        <v/>
      </c>
      <c r="K471">
        <f>IF(K$2=0,"",IFERROR(TRIM(INDEX('Pegar estudiantes'!$A$1:$BZ$1001,470,K$2)&amp;""),""))</f>
        <v/>
      </c>
      <c r="L471" s="25">
        <f>IF(A471&lt;&gt;"",1,"")</f>
        <v/>
      </c>
      <c r="M471" s="25">
        <f>IF(L471=1,IF(ISNUMBER(FIND("#"&amp;MID(A471,1,1)&amp;"#","#0#1#2#3#4#5#6#7#8#9#")),IF(ISNUMBER(FIND("#"&amp;MID(A471,2,1)&amp;"#","#0#1#2#3#4#5#6#7#8#9#")),IF(AND(VALUE(LEFT(A471,2))&gt;=1,VALUE(LEFT(A471,2))&lt;=5),VALUE(LEFT(A471,2)),""),IF(AND(VALUE(LEFT(A471,1))&gt;=1,VALUE(LEFT(A471,1))&lt;=5),VALUE(LEFT(A471,1)),"")),""),"")</f>
        <v/>
      </c>
      <c r="N471" s="25">
        <f>IF(L471=1,IF(ISNUMBER(FIND("#"&amp;MID(H471,1,1)&amp;"#","#0#1#2#3#4#5#6#7#8#9#")),IF(ISNUMBER(FIND("#"&amp;MID(H471,2,1)&amp;"#","#0#1#2#3#4#5#6#7#8#9#")),IF(AND(VALUE(LEFT(H471,2))&gt;=1,VALUE(LEFT(H471,2))&lt;=5),VALUE(LEFT(H471,2)),""),IF(AND(VALUE(LEFT(H471,1))&gt;=1,VALUE(LEFT(H471,1))&lt;=5),VALUE(LEFT(H471,1)),"")),""),"")</f>
        <v/>
      </c>
      <c r="O471" s="25">
        <f>IF(AND(L471=1,B471&lt;&gt;""),SUBSTITUTE(SUBSTITUTE(SUBSTITUTE(SUBSTITUTE(SUBSTITUTE(SUBSTITUTE(SUBSTITUTE(SUBSTITUTE(SUBSTITUTE(SUBSTITUTE(SUBSTITUTE(SUBSTITUTE(LOWER(TRIM(B471)),"á","a"),"é","e"),"í","i"),"ó","o"),"ú","u"),"ü","u"),"ñ","n"),"à","a"),"è","e"),"ì","i"),"ò","o"),"ù","u"),"")</f>
        <v/>
      </c>
      <c r="P471" s="25">
        <f>IF(AND(L471=1,C471&lt;&gt;""),SUBSTITUTE(SUBSTITUTE(SUBSTITUTE(SUBSTITUTE(SUBSTITUTE(SUBSTITUTE(SUBSTITUTE(SUBSTITUTE(SUBSTITUTE(SUBSTITUTE(SUBSTITUTE(SUBSTITUTE(LOWER(TRIM(C471)),"á","a"),"é","e"),"í","i"),"ó","o"),"ú","u"),"ü","u"),"ñ","n"),"à","a"),"è","e"),"ì","i"),"ò","o"),"ù","u"),"")</f>
        <v/>
      </c>
      <c r="Q471" s="25">
        <f>IF(AND(L471=1,E471&lt;&gt;""),SUBSTITUTE(SUBSTITUTE(SUBSTITUTE(SUBSTITUTE(SUBSTITUTE(SUBSTITUTE(SUBSTITUTE(SUBSTITUTE(SUBSTITUTE(SUBSTITUTE(SUBSTITUTE(SUBSTITUTE(LOWER(TRIM(E471)),"á","a"),"é","e"),"í","i"),"ó","o"),"ú","u"),"ü","u"),"ñ","n"),"à","a"),"è","e"),"ì","i"),"ò","o"),"ù","u"),"")</f>
        <v/>
      </c>
      <c r="R471" s="25">
        <f>IF(AND(L471=1,I471&lt;&gt;""),SUBSTITUTE(SUBSTITUTE(SUBSTITUTE(SUBSTITUTE(SUBSTITUTE(SUBSTITUTE(SUBSTITUTE(SUBSTITUTE(SUBSTITUTE(SUBSTITUTE(SUBSTITUTE(SUBSTITUTE(LOWER(TRIM(I471)),"á","a"),"é","e"),"í","i"),"ó","o"),"ú","u"),"ü","u"),"ñ","n"),"à","a"),"è","e"),"ì","i"),"ò","o"),"ù","u"),"")</f>
        <v/>
      </c>
      <c r="S471" s="25">
        <f>IF(R471="","",IF(OR(R471="si",R471="tal vez"),1,0))</f>
        <v/>
      </c>
      <c r="T471" s="25">
        <f>IF(AND(L471=1,D471&lt;&gt;""),IF(IFERROR(COUNTIFS(D$3:D471,"="&amp;SUBSTITUTE(SUBSTITUTE(SUBSTITUTE(D471,"~","~~"),"*","~*"),"?","~?"),L$3:L471,1),0)=1,MAX(T$2:T470)+1,""),"")</f>
        <v/>
      </c>
      <c r="U471" s="25">
        <f>IF(T471="","",COUNTIFS($D$3:$D$1002,"="&amp;SUBSTITUTE(SUBSTITUTE(SUBSTITUTE(D471,"~","~~"),"*","~*"),"?","~?"),$L$3:$L$1002,1)*10000-T471)</f>
        <v/>
      </c>
      <c r="V471" s="25">
        <f>IF(AND(L471=1,J471&lt;&gt;""),IF(IFERROR(COUNTIFS(J$3:J471,"="&amp;SUBSTITUTE(SUBSTITUTE(SUBSTITUTE(J471,"~","~~"),"*","~*"),"?","~?"),L$3:L471,1),0)=1,MAX(V$2:V470)+1,""),"")</f>
        <v/>
      </c>
      <c r="W471" s="25">
        <f>IF(V471="","",COUNTIFS($J$3:$J$1002,"="&amp;SUBSTITUTE(SUBSTITUTE(SUBSTITUTE(J471,"~","~~"),"*","~*"),"?","~?"),$L$3:$L$1002,1)*10000-V471)</f>
        <v/>
      </c>
    </row>
    <row r="472">
      <c r="A472">
        <f>IF(A$2=0,"",IFERROR(TRIM(INDEX('Pegar estudiantes'!$A$1:$BZ$1001,471,A$2)&amp;""),""))</f>
        <v/>
      </c>
      <c r="B472">
        <f>IF(B$2=0,"",IFERROR(TRIM(INDEX('Pegar estudiantes'!$A$1:$BZ$1001,471,B$2)&amp;""),""))</f>
        <v/>
      </c>
      <c r="C472">
        <f>IF(C$2=0,"",IFERROR(TRIM(INDEX('Pegar estudiantes'!$A$1:$BZ$1001,471,C$2)&amp;""),""))</f>
        <v/>
      </c>
      <c r="D472">
        <f>IF(D$2=0,"",IFERROR(TRIM(INDEX('Pegar estudiantes'!$A$1:$BZ$1001,471,D$2)&amp;""),""))</f>
        <v/>
      </c>
      <c r="E472">
        <f>IF(E$2=0,"",IFERROR(TRIM(INDEX('Pegar estudiantes'!$A$1:$BZ$1001,471,E$2)&amp;""),""))</f>
        <v/>
      </c>
      <c r="F472">
        <f>IF(F$2=0,"",IFERROR(TRIM(INDEX('Pegar estudiantes'!$A$1:$BZ$1001,471,F$2)&amp;""),""))</f>
        <v/>
      </c>
      <c r="G472">
        <f>IF(G$2=0,"",IFERROR(TRIM(INDEX('Pegar estudiantes'!$A$1:$BZ$1001,471,G$2)&amp;""),""))</f>
        <v/>
      </c>
      <c r="H472">
        <f>IF(H$2=0,"",IFERROR(TRIM(INDEX('Pegar estudiantes'!$A$1:$BZ$1001,471,H$2)&amp;""),""))</f>
        <v/>
      </c>
      <c r="I472">
        <f>IF(I$2=0,"",IFERROR(TRIM(INDEX('Pegar estudiantes'!$A$1:$BZ$1001,471,I$2)&amp;""),""))</f>
        <v/>
      </c>
      <c r="J472">
        <f>IF(J$2=0,"",IFERROR(TRIM(INDEX('Pegar estudiantes'!$A$1:$BZ$1001,471,J$2)&amp;""),""))</f>
        <v/>
      </c>
      <c r="K472">
        <f>IF(K$2=0,"",IFERROR(TRIM(INDEX('Pegar estudiantes'!$A$1:$BZ$1001,471,K$2)&amp;""),""))</f>
        <v/>
      </c>
      <c r="L472" s="25">
        <f>IF(A472&lt;&gt;"",1,"")</f>
        <v/>
      </c>
      <c r="M472" s="25">
        <f>IF(L472=1,IF(ISNUMBER(FIND("#"&amp;MID(A472,1,1)&amp;"#","#0#1#2#3#4#5#6#7#8#9#")),IF(ISNUMBER(FIND("#"&amp;MID(A472,2,1)&amp;"#","#0#1#2#3#4#5#6#7#8#9#")),IF(AND(VALUE(LEFT(A472,2))&gt;=1,VALUE(LEFT(A472,2))&lt;=5),VALUE(LEFT(A472,2)),""),IF(AND(VALUE(LEFT(A472,1))&gt;=1,VALUE(LEFT(A472,1))&lt;=5),VALUE(LEFT(A472,1)),"")),""),"")</f>
        <v/>
      </c>
      <c r="N472" s="25">
        <f>IF(L472=1,IF(ISNUMBER(FIND("#"&amp;MID(H472,1,1)&amp;"#","#0#1#2#3#4#5#6#7#8#9#")),IF(ISNUMBER(FIND("#"&amp;MID(H472,2,1)&amp;"#","#0#1#2#3#4#5#6#7#8#9#")),IF(AND(VALUE(LEFT(H472,2))&gt;=1,VALUE(LEFT(H472,2))&lt;=5),VALUE(LEFT(H472,2)),""),IF(AND(VALUE(LEFT(H472,1))&gt;=1,VALUE(LEFT(H472,1))&lt;=5),VALUE(LEFT(H472,1)),"")),""),"")</f>
        <v/>
      </c>
      <c r="O472" s="25">
        <f>IF(AND(L472=1,B472&lt;&gt;""),SUBSTITUTE(SUBSTITUTE(SUBSTITUTE(SUBSTITUTE(SUBSTITUTE(SUBSTITUTE(SUBSTITUTE(SUBSTITUTE(SUBSTITUTE(SUBSTITUTE(SUBSTITUTE(SUBSTITUTE(LOWER(TRIM(B472)),"á","a"),"é","e"),"í","i"),"ó","o"),"ú","u"),"ü","u"),"ñ","n"),"à","a"),"è","e"),"ì","i"),"ò","o"),"ù","u"),"")</f>
        <v/>
      </c>
      <c r="P472" s="25">
        <f>IF(AND(L472=1,C472&lt;&gt;""),SUBSTITUTE(SUBSTITUTE(SUBSTITUTE(SUBSTITUTE(SUBSTITUTE(SUBSTITUTE(SUBSTITUTE(SUBSTITUTE(SUBSTITUTE(SUBSTITUTE(SUBSTITUTE(SUBSTITUTE(LOWER(TRIM(C472)),"á","a"),"é","e"),"í","i"),"ó","o"),"ú","u"),"ü","u"),"ñ","n"),"à","a"),"è","e"),"ì","i"),"ò","o"),"ù","u"),"")</f>
        <v/>
      </c>
      <c r="Q472" s="25">
        <f>IF(AND(L472=1,E472&lt;&gt;""),SUBSTITUTE(SUBSTITUTE(SUBSTITUTE(SUBSTITUTE(SUBSTITUTE(SUBSTITUTE(SUBSTITUTE(SUBSTITUTE(SUBSTITUTE(SUBSTITUTE(SUBSTITUTE(SUBSTITUTE(LOWER(TRIM(E472)),"á","a"),"é","e"),"í","i"),"ó","o"),"ú","u"),"ü","u"),"ñ","n"),"à","a"),"è","e"),"ì","i"),"ò","o"),"ù","u"),"")</f>
        <v/>
      </c>
      <c r="R472" s="25">
        <f>IF(AND(L472=1,I472&lt;&gt;""),SUBSTITUTE(SUBSTITUTE(SUBSTITUTE(SUBSTITUTE(SUBSTITUTE(SUBSTITUTE(SUBSTITUTE(SUBSTITUTE(SUBSTITUTE(SUBSTITUTE(SUBSTITUTE(SUBSTITUTE(LOWER(TRIM(I472)),"á","a"),"é","e"),"í","i"),"ó","o"),"ú","u"),"ü","u"),"ñ","n"),"à","a"),"è","e"),"ì","i"),"ò","o"),"ù","u"),"")</f>
        <v/>
      </c>
      <c r="S472" s="25">
        <f>IF(R472="","",IF(OR(R472="si",R472="tal vez"),1,0))</f>
        <v/>
      </c>
      <c r="T472" s="25">
        <f>IF(AND(L472=1,D472&lt;&gt;""),IF(IFERROR(COUNTIFS(D$3:D472,"="&amp;SUBSTITUTE(SUBSTITUTE(SUBSTITUTE(D472,"~","~~"),"*","~*"),"?","~?"),L$3:L472,1),0)=1,MAX(T$2:T471)+1,""),"")</f>
        <v/>
      </c>
      <c r="U472" s="25">
        <f>IF(T472="","",COUNTIFS($D$3:$D$1002,"="&amp;SUBSTITUTE(SUBSTITUTE(SUBSTITUTE(D472,"~","~~"),"*","~*"),"?","~?"),$L$3:$L$1002,1)*10000-T472)</f>
        <v/>
      </c>
      <c r="V472" s="25">
        <f>IF(AND(L472=1,J472&lt;&gt;""),IF(IFERROR(COUNTIFS(J$3:J472,"="&amp;SUBSTITUTE(SUBSTITUTE(SUBSTITUTE(J472,"~","~~"),"*","~*"),"?","~?"),L$3:L472,1),0)=1,MAX(V$2:V471)+1,""),"")</f>
        <v/>
      </c>
      <c r="W472" s="25">
        <f>IF(V472="","",COUNTIFS($J$3:$J$1002,"="&amp;SUBSTITUTE(SUBSTITUTE(SUBSTITUTE(J472,"~","~~"),"*","~*"),"?","~?"),$L$3:$L$1002,1)*10000-V472)</f>
        <v/>
      </c>
    </row>
    <row r="473">
      <c r="A473">
        <f>IF(A$2=0,"",IFERROR(TRIM(INDEX('Pegar estudiantes'!$A$1:$BZ$1001,472,A$2)&amp;""),""))</f>
        <v/>
      </c>
      <c r="B473">
        <f>IF(B$2=0,"",IFERROR(TRIM(INDEX('Pegar estudiantes'!$A$1:$BZ$1001,472,B$2)&amp;""),""))</f>
        <v/>
      </c>
      <c r="C473">
        <f>IF(C$2=0,"",IFERROR(TRIM(INDEX('Pegar estudiantes'!$A$1:$BZ$1001,472,C$2)&amp;""),""))</f>
        <v/>
      </c>
      <c r="D473">
        <f>IF(D$2=0,"",IFERROR(TRIM(INDEX('Pegar estudiantes'!$A$1:$BZ$1001,472,D$2)&amp;""),""))</f>
        <v/>
      </c>
      <c r="E473">
        <f>IF(E$2=0,"",IFERROR(TRIM(INDEX('Pegar estudiantes'!$A$1:$BZ$1001,472,E$2)&amp;""),""))</f>
        <v/>
      </c>
      <c r="F473">
        <f>IF(F$2=0,"",IFERROR(TRIM(INDEX('Pegar estudiantes'!$A$1:$BZ$1001,472,F$2)&amp;""),""))</f>
        <v/>
      </c>
      <c r="G473">
        <f>IF(G$2=0,"",IFERROR(TRIM(INDEX('Pegar estudiantes'!$A$1:$BZ$1001,472,G$2)&amp;""),""))</f>
        <v/>
      </c>
      <c r="H473">
        <f>IF(H$2=0,"",IFERROR(TRIM(INDEX('Pegar estudiantes'!$A$1:$BZ$1001,472,H$2)&amp;""),""))</f>
        <v/>
      </c>
      <c r="I473">
        <f>IF(I$2=0,"",IFERROR(TRIM(INDEX('Pegar estudiantes'!$A$1:$BZ$1001,472,I$2)&amp;""),""))</f>
        <v/>
      </c>
      <c r="J473">
        <f>IF(J$2=0,"",IFERROR(TRIM(INDEX('Pegar estudiantes'!$A$1:$BZ$1001,472,J$2)&amp;""),""))</f>
        <v/>
      </c>
      <c r="K473">
        <f>IF(K$2=0,"",IFERROR(TRIM(INDEX('Pegar estudiantes'!$A$1:$BZ$1001,472,K$2)&amp;""),""))</f>
        <v/>
      </c>
      <c r="L473" s="25">
        <f>IF(A473&lt;&gt;"",1,"")</f>
        <v/>
      </c>
      <c r="M473" s="25">
        <f>IF(L473=1,IF(ISNUMBER(FIND("#"&amp;MID(A473,1,1)&amp;"#","#0#1#2#3#4#5#6#7#8#9#")),IF(ISNUMBER(FIND("#"&amp;MID(A473,2,1)&amp;"#","#0#1#2#3#4#5#6#7#8#9#")),IF(AND(VALUE(LEFT(A473,2))&gt;=1,VALUE(LEFT(A473,2))&lt;=5),VALUE(LEFT(A473,2)),""),IF(AND(VALUE(LEFT(A473,1))&gt;=1,VALUE(LEFT(A473,1))&lt;=5),VALUE(LEFT(A473,1)),"")),""),"")</f>
        <v/>
      </c>
      <c r="N473" s="25">
        <f>IF(L473=1,IF(ISNUMBER(FIND("#"&amp;MID(H473,1,1)&amp;"#","#0#1#2#3#4#5#6#7#8#9#")),IF(ISNUMBER(FIND("#"&amp;MID(H473,2,1)&amp;"#","#0#1#2#3#4#5#6#7#8#9#")),IF(AND(VALUE(LEFT(H473,2))&gt;=1,VALUE(LEFT(H473,2))&lt;=5),VALUE(LEFT(H473,2)),""),IF(AND(VALUE(LEFT(H473,1))&gt;=1,VALUE(LEFT(H473,1))&lt;=5),VALUE(LEFT(H473,1)),"")),""),"")</f>
        <v/>
      </c>
      <c r="O473" s="25">
        <f>IF(AND(L473=1,B473&lt;&gt;""),SUBSTITUTE(SUBSTITUTE(SUBSTITUTE(SUBSTITUTE(SUBSTITUTE(SUBSTITUTE(SUBSTITUTE(SUBSTITUTE(SUBSTITUTE(SUBSTITUTE(SUBSTITUTE(SUBSTITUTE(LOWER(TRIM(B473)),"á","a"),"é","e"),"í","i"),"ó","o"),"ú","u"),"ü","u"),"ñ","n"),"à","a"),"è","e"),"ì","i"),"ò","o"),"ù","u"),"")</f>
        <v/>
      </c>
      <c r="P473" s="25">
        <f>IF(AND(L473=1,C473&lt;&gt;""),SUBSTITUTE(SUBSTITUTE(SUBSTITUTE(SUBSTITUTE(SUBSTITUTE(SUBSTITUTE(SUBSTITUTE(SUBSTITUTE(SUBSTITUTE(SUBSTITUTE(SUBSTITUTE(SUBSTITUTE(LOWER(TRIM(C473)),"á","a"),"é","e"),"í","i"),"ó","o"),"ú","u"),"ü","u"),"ñ","n"),"à","a"),"è","e"),"ì","i"),"ò","o"),"ù","u"),"")</f>
        <v/>
      </c>
      <c r="Q473" s="25">
        <f>IF(AND(L473=1,E473&lt;&gt;""),SUBSTITUTE(SUBSTITUTE(SUBSTITUTE(SUBSTITUTE(SUBSTITUTE(SUBSTITUTE(SUBSTITUTE(SUBSTITUTE(SUBSTITUTE(SUBSTITUTE(SUBSTITUTE(SUBSTITUTE(LOWER(TRIM(E473)),"á","a"),"é","e"),"í","i"),"ó","o"),"ú","u"),"ü","u"),"ñ","n"),"à","a"),"è","e"),"ì","i"),"ò","o"),"ù","u"),"")</f>
        <v/>
      </c>
      <c r="R473" s="25">
        <f>IF(AND(L473=1,I473&lt;&gt;""),SUBSTITUTE(SUBSTITUTE(SUBSTITUTE(SUBSTITUTE(SUBSTITUTE(SUBSTITUTE(SUBSTITUTE(SUBSTITUTE(SUBSTITUTE(SUBSTITUTE(SUBSTITUTE(SUBSTITUTE(LOWER(TRIM(I473)),"á","a"),"é","e"),"í","i"),"ó","o"),"ú","u"),"ü","u"),"ñ","n"),"à","a"),"è","e"),"ì","i"),"ò","o"),"ù","u"),"")</f>
        <v/>
      </c>
      <c r="S473" s="25">
        <f>IF(R473="","",IF(OR(R473="si",R473="tal vez"),1,0))</f>
        <v/>
      </c>
      <c r="T473" s="25">
        <f>IF(AND(L473=1,D473&lt;&gt;""),IF(IFERROR(COUNTIFS(D$3:D473,"="&amp;SUBSTITUTE(SUBSTITUTE(SUBSTITUTE(D473,"~","~~"),"*","~*"),"?","~?"),L$3:L473,1),0)=1,MAX(T$2:T472)+1,""),"")</f>
        <v/>
      </c>
      <c r="U473" s="25">
        <f>IF(T473="","",COUNTIFS($D$3:$D$1002,"="&amp;SUBSTITUTE(SUBSTITUTE(SUBSTITUTE(D473,"~","~~"),"*","~*"),"?","~?"),$L$3:$L$1002,1)*10000-T473)</f>
        <v/>
      </c>
      <c r="V473" s="25">
        <f>IF(AND(L473=1,J473&lt;&gt;""),IF(IFERROR(COUNTIFS(J$3:J473,"="&amp;SUBSTITUTE(SUBSTITUTE(SUBSTITUTE(J473,"~","~~"),"*","~*"),"?","~?"),L$3:L473,1),0)=1,MAX(V$2:V472)+1,""),"")</f>
        <v/>
      </c>
      <c r="W473" s="25">
        <f>IF(V473="","",COUNTIFS($J$3:$J$1002,"="&amp;SUBSTITUTE(SUBSTITUTE(SUBSTITUTE(J473,"~","~~"),"*","~*"),"?","~?"),$L$3:$L$1002,1)*10000-V473)</f>
        <v/>
      </c>
    </row>
    <row r="474">
      <c r="A474">
        <f>IF(A$2=0,"",IFERROR(TRIM(INDEX('Pegar estudiantes'!$A$1:$BZ$1001,473,A$2)&amp;""),""))</f>
        <v/>
      </c>
      <c r="B474">
        <f>IF(B$2=0,"",IFERROR(TRIM(INDEX('Pegar estudiantes'!$A$1:$BZ$1001,473,B$2)&amp;""),""))</f>
        <v/>
      </c>
      <c r="C474">
        <f>IF(C$2=0,"",IFERROR(TRIM(INDEX('Pegar estudiantes'!$A$1:$BZ$1001,473,C$2)&amp;""),""))</f>
        <v/>
      </c>
      <c r="D474">
        <f>IF(D$2=0,"",IFERROR(TRIM(INDEX('Pegar estudiantes'!$A$1:$BZ$1001,473,D$2)&amp;""),""))</f>
        <v/>
      </c>
      <c r="E474">
        <f>IF(E$2=0,"",IFERROR(TRIM(INDEX('Pegar estudiantes'!$A$1:$BZ$1001,473,E$2)&amp;""),""))</f>
        <v/>
      </c>
      <c r="F474">
        <f>IF(F$2=0,"",IFERROR(TRIM(INDEX('Pegar estudiantes'!$A$1:$BZ$1001,473,F$2)&amp;""),""))</f>
        <v/>
      </c>
      <c r="G474">
        <f>IF(G$2=0,"",IFERROR(TRIM(INDEX('Pegar estudiantes'!$A$1:$BZ$1001,473,G$2)&amp;""),""))</f>
        <v/>
      </c>
      <c r="H474">
        <f>IF(H$2=0,"",IFERROR(TRIM(INDEX('Pegar estudiantes'!$A$1:$BZ$1001,473,H$2)&amp;""),""))</f>
        <v/>
      </c>
      <c r="I474">
        <f>IF(I$2=0,"",IFERROR(TRIM(INDEX('Pegar estudiantes'!$A$1:$BZ$1001,473,I$2)&amp;""),""))</f>
        <v/>
      </c>
      <c r="J474">
        <f>IF(J$2=0,"",IFERROR(TRIM(INDEX('Pegar estudiantes'!$A$1:$BZ$1001,473,J$2)&amp;""),""))</f>
        <v/>
      </c>
      <c r="K474">
        <f>IF(K$2=0,"",IFERROR(TRIM(INDEX('Pegar estudiantes'!$A$1:$BZ$1001,473,K$2)&amp;""),""))</f>
        <v/>
      </c>
      <c r="L474" s="25">
        <f>IF(A474&lt;&gt;"",1,"")</f>
        <v/>
      </c>
      <c r="M474" s="25">
        <f>IF(L474=1,IF(ISNUMBER(FIND("#"&amp;MID(A474,1,1)&amp;"#","#0#1#2#3#4#5#6#7#8#9#")),IF(ISNUMBER(FIND("#"&amp;MID(A474,2,1)&amp;"#","#0#1#2#3#4#5#6#7#8#9#")),IF(AND(VALUE(LEFT(A474,2))&gt;=1,VALUE(LEFT(A474,2))&lt;=5),VALUE(LEFT(A474,2)),""),IF(AND(VALUE(LEFT(A474,1))&gt;=1,VALUE(LEFT(A474,1))&lt;=5),VALUE(LEFT(A474,1)),"")),""),"")</f>
        <v/>
      </c>
      <c r="N474" s="25">
        <f>IF(L474=1,IF(ISNUMBER(FIND("#"&amp;MID(H474,1,1)&amp;"#","#0#1#2#3#4#5#6#7#8#9#")),IF(ISNUMBER(FIND("#"&amp;MID(H474,2,1)&amp;"#","#0#1#2#3#4#5#6#7#8#9#")),IF(AND(VALUE(LEFT(H474,2))&gt;=1,VALUE(LEFT(H474,2))&lt;=5),VALUE(LEFT(H474,2)),""),IF(AND(VALUE(LEFT(H474,1))&gt;=1,VALUE(LEFT(H474,1))&lt;=5),VALUE(LEFT(H474,1)),"")),""),"")</f>
        <v/>
      </c>
      <c r="O474" s="25">
        <f>IF(AND(L474=1,B474&lt;&gt;""),SUBSTITUTE(SUBSTITUTE(SUBSTITUTE(SUBSTITUTE(SUBSTITUTE(SUBSTITUTE(SUBSTITUTE(SUBSTITUTE(SUBSTITUTE(SUBSTITUTE(SUBSTITUTE(SUBSTITUTE(LOWER(TRIM(B474)),"á","a"),"é","e"),"í","i"),"ó","o"),"ú","u"),"ü","u"),"ñ","n"),"à","a"),"è","e"),"ì","i"),"ò","o"),"ù","u"),"")</f>
        <v/>
      </c>
      <c r="P474" s="25">
        <f>IF(AND(L474=1,C474&lt;&gt;""),SUBSTITUTE(SUBSTITUTE(SUBSTITUTE(SUBSTITUTE(SUBSTITUTE(SUBSTITUTE(SUBSTITUTE(SUBSTITUTE(SUBSTITUTE(SUBSTITUTE(SUBSTITUTE(SUBSTITUTE(LOWER(TRIM(C474)),"á","a"),"é","e"),"í","i"),"ó","o"),"ú","u"),"ü","u"),"ñ","n"),"à","a"),"è","e"),"ì","i"),"ò","o"),"ù","u"),"")</f>
        <v/>
      </c>
      <c r="Q474" s="25">
        <f>IF(AND(L474=1,E474&lt;&gt;""),SUBSTITUTE(SUBSTITUTE(SUBSTITUTE(SUBSTITUTE(SUBSTITUTE(SUBSTITUTE(SUBSTITUTE(SUBSTITUTE(SUBSTITUTE(SUBSTITUTE(SUBSTITUTE(SUBSTITUTE(LOWER(TRIM(E474)),"á","a"),"é","e"),"í","i"),"ó","o"),"ú","u"),"ü","u"),"ñ","n"),"à","a"),"è","e"),"ì","i"),"ò","o"),"ù","u"),"")</f>
        <v/>
      </c>
      <c r="R474" s="25">
        <f>IF(AND(L474=1,I474&lt;&gt;""),SUBSTITUTE(SUBSTITUTE(SUBSTITUTE(SUBSTITUTE(SUBSTITUTE(SUBSTITUTE(SUBSTITUTE(SUBSTITUTE(SUBSTITUTE(SUBSTITUTE(SUBSTITUTE(SUBSTITUTE(LOWER(TRIM(I474)),"á","a"),"é","e"),"í","i"),"ó","o"),"ú","u"),"ü","u"),"ñ","n"),"à","a"),"è","e"),"ì","i"),"ò","o"),"ù","u"),"")</f>
        <v/>
      </c>
      <c r="S474" s="25">
        <f>IF(R474="","",IF(OR(R474="si",R474="tal vez"),1,0))</f>
        <v/>
      </c>
      <c r="T474" s="25">
        <f>IF(AND(L474=1,D474&lt;&gt;""),IF(IFERROR(COUNTIFS(D$3:D474,"="&amp;SUBSTITUTE(SUBSTITUTE(SUBSTITUTE(D474,"~","~~"),"*","~*"),"?","~?"),L$3:L474,1),0)=1,MAX(T$2:T473)+1,""),"")</f>
        <v/>
      </c>
      <c r="U474" s="25">
        <f>IF(T474="","",COUNTIFS($D$3:$D$1002,"="&amp;SUBSTITUTE(SUBSTITUTE(SUBSTITUTE(D474,"~","~~"),"*","~*"),"?","~?"),$L$3:$L$1002,1)*10000-T474)</f>
        <v/>
      </c>
      <c r="V474" s="25">
        <f>IF(AND(L474=1,J474&lt;&gt;""),IF(IFERROR(COUNTIFS(J$3:J474,"="&amp;SUBSTITUTE(SUBSTITUTE(SUBSTITUTE(J474,"~","~~"),"*","~*"),"?","~?"),L$3:L474,1),0)=1,MAX(V$2:V473)+1,""),"")</f>
        <v/>
      </c>
      <c r="W474" s="25">
        <f>IF(V474="","",COUNTIFS($J$3:$J$1002,"="&amp;SUBSTITUTE(SUBSTITUTE(SUBSTITUTE(J474,"~","~~"),"*","~*"),"?","~?"),$L$3:$L$1002,1)*10000-V474)</f>
        <v/>
      </c>
    </row>
    <row r="475">
      <c r="A475">
        <f>IF(A$2=0,"",IFERROR(TRIM(INDEX('Pegar estudiantes'!$A$1:$BZ$1001,474,A$2)&amp;""),""))</f>
        <v/>
      </c>
      <c r="B475">
        <f>IF(B$2=0,"",IFERROR(TRIM(INDEX('Pegar estudiantes'!$A$1:$BZ$1001,474,B$2)&amp;""),""))</f>
        <v/>
      </c>
      <c r="C475">
        <f>IF(C$2=0,"",IFERROR(TRIM(INDEX('Pegar estudiantes'!$A$1:$BZ$1001,474,C$2)&amp;""),""))</f>
        <v/>
      </c>
      <c r="D475">
        <f>IF(D$2=0,"",IFERROR(TRIM(INDEX('Pegar estudiantes'!$A$1:$BZ$1001,474,D$2)&amp;""),""))</f>
        <v/>
      </c>
      <c r="E475">
        <f>IF(E$2=0,"",IFERROR(TRIM(INDEX('Pegar estudiantes'!$A$1:$BZ$1001,474,E$2)&amp;""),""))</f>
        <v/>
      </c>
      <c r="F475">
        <f>IF(F$2=0,"",IFERROR(TRIM(INDEX('Pegar estudiantes'!$A$1:$BZ$1001,474,F$2)&amp;""),""))</f>
        <v/>
      </c>
      <c r="G475">
        <f>IF(G$2=0,"",IFERROR(TRIM(INDEX('Pegar estudiantes'!$A$1:$BZ$1001,474,G$2)&amp;""),""))</f>
        <v/>
      </c>
      <c r="H475">
        <f>IF(H$2=0,"",IFERROR(TRIM(INDEX('Pegar estudiantes'!$A$1:$BZ$1001,474,H$2)&amp;""),""))</f>
        <v/>
      </c>
      <c r="I475">
        <f>IF(I$2=0,"",IFERROR(TRIM(INDEX('Pegar estudiantes'!$A$1:$BZ$1001,474,I$2)&amp;""),""))</f>
        <v/>
      </c>
      <c r="J475">
        <f>IF(J$2=0,"",IFERROR(TRIM(INDEX('Pegar estudiantes'!$A$1:$BZ$1001,474,J$2)&amp;""),""))</f>
        <v/>
      </c>
      <c r="K475">
        <f>IF(K$2=0,"",IFERROR(TRIM(INDEX('Pegar estudiantes'!$A$1:$BZ$1001,474,K$2)&amp;""),""))</f>
        <v/>
      </c>
      <c r="L475" s="25">
        <f>IF(A475&lt;&gt;"",1,"")</f>
        <v/>
      </c>
      <c r="M475" s="25">
        <f>IF(L475=1,IF(ISNUMBER(FIND("#"&amp;MID(A475,1,1)&amp;"#","#0#1#2#3#4#5#6#7#8#9#")),IF(ISNUMBER(FIND("#"&amp;MID(A475,2,1)&amp;"#","#0#1#2#3#4#5#6#7#8#9#")),IF(AND(VALUE(LEFT(A475,2))&gt;=1,VALUE(LEFT(A475,2))&lt;=5),VALUE(LEFT(A475,2)),""),IF(AND(VALUE(LEFT(A475,1))&gt;=1,VALUE(LEFT(A475,1))&lt;=5),VALUE(LEFT(A475,1)),"")),""),"")</f>
        <v/>
      </c>
      <c r="N475" s="25">
        <f>IF(L475=1,IF(ISNUMBER(FIND("#"&amp;MID(H475,1,1)&amp;"#","#0#1#2#3#4#5#6#7#8#9#")),IF(ISNUMBER(FIND("#"&amp;MID(H475,2,1)&amp;"#","#0#1#2#3#4#5#6#7#8#9#")),IF(AND(VALUE(LEFT(H475,2))&gt;=1,VALUE(LEFT(H475,2))&lt;=5),VALUE(LEFT(H475,2)),""),IF(AND(VALUE(LEFT(H475,1))&gt;=1,VALUE(LEFT(H475,1))&lt;=5),VALUE(LEFT(H475,1)),"")),""),"")</f>
        <v/>
      </c>
      <c r="O475" s="25">
        <f>IF(AND(L475=1,B475&lt;&gt;""),SUBSTITUTE(SUBSTITUTE(SUBSTITUTE(SUBSTITUTE(SUBSTITUTE(SUBSTITUTE(SUBSTITUTE(SUBSTITUTE(SUBSTITUTE(SUBSTITUTE(SUBSTITUTE(SUBSTITUTE(LOWER(TRIM(B475)),"á","a"),"é","e"),"í","i"),"ó","o"),"ú","u"),"ü","u"),"ñ","n"),"à","a"),"è","e"),"ì","i"),"ò","o"),"ù","u"),"")</f>
        <v/>
      </c>
      <c r="P475" s="25">
        <f>IF(AND(L475=1,C475&lt;&gt;""),SUBSTITUTE(SUBSTITUTE(SUBSTITUTE(SUBSTITUTE(SUBSTITUTE(SUBSTITUTE(SUBSTITUTE(SUBSTITUTE(SUBSTITUTE(SUBSTITUTE(SUBSTITUTE(SUBSTITUTE(LOWER(TRIM(C475)),"á","a"),"é","e"),"í","i"),"ó","o"),"ú","u"),"ü","u"),"ñ","n"),"à","a"),"è","e"),"ì","i"),"ò","o"),"ù","u"),"")</f>
        <v/>
      </c>
      <c r="Q475" s="25">
        <f>IF(AND(L475=1,E475&lt;&gt;""),SUBSTITUTE(SUBSTITUTE(SUBSTITUTE(SUBSTITUTE(SUBSTITUTE(SUBSTITUTE(SUBSTITUTE(SUBSTITUTE(SUBSTITUTE(SUBSTITUTE(SUBSTITUTE(SUBSTITUTE(LOWER(TRIM(E475)),"á","a"),"é","e"),"í","i"),"ó","o"),"ú","u"),"ü","u"),"ñ","n"),"à","a"),"è","e"),"ì","i"),"ò","o"),"ù","u"),"")</f>
        <v/>
      </c>
      <c r="R475" s="25">
        <f>IF(AND(L475=1,I475&lt;&gt;""),SUBSTITUTE(SUBSTITUTE(SUBSTITUTE(SUBSTITUTE(SUBSTITUTE(SUBSTITUTE(SUBSTITUTE(SUBSTITUTE(SUBSTITUTE(SUBSTITUTE(SUBSTITUTE(SUBSTITUTE(LOWER(TRIM(I475)),"á","a"),"é","e"),"í","i"),"ó","o"),"ú","u"),"ü","u"),"ñ","n"),"à","a"),"è","e"),"ì","i"),"ò","o"),"ù","u"),"")</f>
        <v/>
      </c>
      <c r="S475" s="25">
        <f>IF(R475="","",IF(OR(R475="si",R475="tal vez"),1,0))</f>
        <v/>
      </c>
      <c r="T475" s="25">
        <f>IF(AND(L475=1,D475&lt;&gt;""),IF(IFERROR(COUNTIFS(D$3:D475,"="&amp;SUBSTITUTE(SUBSTITUTE(SUBSTITUTE(D475,"~","~~"),"*","~*"),"?","~?"),L$3:L475,1),0)=1,MAX(T$2:T474)+1,""),"")</f>
        <v/>
      </c>
      <c r="U475" s="25">
        <f>IF(T475="","",COUNTIFS($D$3:$D$1002,"="&amp;SUBSTITUTE(SUBSTITUTE(SUBSTITUTE(D475,"~","~~"),"*","~*"),"?","~?"),$L$3:$L$1002,1)*10000-T475)</f>
        <v/>
      </c>
      <c r="V475" s="25">
        <f>IF(AND(L475=1,J475&lt;&gt;""),IF(IFERROR(COUNTIFS(J$3:J475,"="&amp;SUBSTITUTE(SUBSTITUTE(SUBSTITUTE(J475,"~","~~"),"*","~*"),"?","~?"),L$3:L475,1),0)=1,MAX(V$2:V474)+1,""),"")</f>
        <v/>
      </c>
      <c r="W475" s="25">
        <f>IF(V475="","",COUNTIFS($J$3:$J$1002,"="&amp;SUBSTITUTE(SUBSTITUTE(SUBSTITUTE(J475,"~","~~"),"*","~*"),"?","~?"),$L$3:$L$1002,1)*10000-V475)</f>
        <v/>
      </c>
    </row>
    <row r="476">
      <c r="A476">
        <f>IF(A$2=0,"",IFERROR(TRIM(INDEX('Pegar estudiantes'!$A$1:$BZ$1001,475,A$2)&amp;""),""))</f>
        <v/>
      </c>
      <c r="B476">
        <f>IF(B$2=0,"",IFERROR(TRIM(INDEX('Pegar estudiantes'!$A$1:$BZ$1001,475,B$2)&amp;""),""))</f>
        <v/>
      </c>
      <c r="C476">
        <f>IF(C$2=0,"",IFERROR(TRIM(INDEX('Pegar estudiantes'!$A$1:$BZ$1001,475,C$2)&amp;""),""))</f>
        <v/>
      </c>
      <c r="D476">
        <f>IF(D$2=0,"",IFERROR(TRIM(INDEX('Pegar estudiantes'!$A$1:$BZ$1001,475,D$2)&amp;""),""))</f>
        <v/>
      </c>
      <c r="E476">
        <f>IF(E$2=0,"",IFERROR(TRIM(INDEX('Pegar estudiantes'!$A$1:$BZ$1001,475,E$2)&amp;""),""))</f>
        <v/>
      </c>
      <c r="F476">
        <f>IF(F$2=0,"",IFERROR(TRIM(INDEX('Pegar estudiantes'!$A$1:$BZ$1001,475,F$2)&amp;""),""))</f>
        <v/>
      </c>
      <c r="G476">
        <f>IF(G$2=0,"",IFERROR(TRIM(INDEX('Pegar estudiantes'!$A$1:$BZ$1001,475,G$2)&amp;""),""))</f>
        <v/>
      </c>
      <c r="H476">
        <f>IF(H$2=0,"",IFERROR(TRIM(INDEX('Pegar estudiantes'!$A$1:$BZ$1001,475,H$2)&amp;""),""))</f>
        <v/>
      </c>
      <c r="I476">
        <f>IF(I$2=0,"",IFERROR(TRIM(INDEX('Pegar estudiantes'!$A$1:$BZ$1001,475,I$2)&amp;""),""))</f>
        <v/>
      </c>
      <c r="J476">
        <f>IF(J$2=0,"",IFERROR(TRIM(INDEX('Pegar estudiantes'!$A$1:$BZ$1001,475,J$2)&amp;""),""))</f>
        <v/>
      </c>
      <c r="K476">
        <f>IF(K$2=0,"",IFERROR(TRIM(INDEX('Pegar estudiantes'!$A$1:$BZ$1001,475,K$2)&amp;""),""))</f>
        <v/>
      </c>
      <c r="L476" s="25">
        <f>IF(A476&lt;&gt;"",1,"")</f>
        <v/>
      </c>
      <c r="M476" s="25">
        <f>IF(L476=1,IF(ISNUMBER(FIND("#"&amp;MID(A476,1,1)&amp;"#","#0#1#2#3#4#5#6#7#8#9#")),IF(ISNUMBER(FIND("#"&amp;MID(A476,2,1)&amp;"#","#0#1#2#3#4#5#6#7#8#9#")),IF(AND(VALUE(LEFT(A476,2))&gt;=1,VALUE(LEFT(A476,2))&lt;=5),VALUE(LEFT(A476,2)),""),IF(AND(VALUE(LEFT(A476,1))&gt;=1,VALUE(LEFT(A476,1))&lt;=5),VALUE(LEFT(A476,1)),"")),""),"")</f>
        <v/>
      </c>
      <c r="N476" s="25">
        <f>IF(L476=1,IF(ISNUMBER(FIND("#"&amp;MID(H476,1,1)&amp;"#","#0#1#2#3#4#5#6#7#8#9#")),IF(ISNUMBER(FIND("#"&amp;MID(H476,2,1)&amp;"#","#0#1#2#3#4#5#6#7#8#9#")),IF(AND(VALUE(LEFT(H476,2))&gt;=1,VALUE(LEFT(H476,2))&lt;=5),VALUE(LEFT(H476,2)),""),IF(AND(VALUE(LEFT(H476,1))&gt;=1,VALUE(LEFT(H476,1))&lt;=5),VALUE(LEFT(H476,1)),"")),""),"")</f>
        <v/>
      </c>
      <c r="O476" s="25">
        <f>IF(AND(L476=1,B476&lt;&gt;""),SUBSTITUTE(SUBSTITUTE(SUBSTITUTE(SUBSTITUTE(SUBSTITUTE(SUBSTITUTE(SUBSTITUTE(SUBSTITUTE(SUBSTITUTE(SUBSTITUTE(SUBSTITUTE(SUBSTITUTE(LOWER(TRIM(B476)),"á","a"),"é","e"),"í","i"),"ó","o"),"ú","u"),"ü","u"),"ñ","n"),"à","a"),"è","e"),"ì","i"),"ò","o"),"ù","u"),"")</f>
        <v/>
      </c>
      <c r="P476" s="25">
        <f>IF(AND(L476=1,C476&lt;&gt;""),SUBSTITUTE(SUBSTITUTE(SUBSTITUTE(SUBSTITUTE(SUBSTITUTE(SUBSTITUTE(SUBSTITUTE(SUBSTITUTE(SUBSTITUTE(SUBSTITUTE(SUBSTITUTE(SUBSTITUTE(LOWER(TRIM(C476)),"á","a"),"é","e"),"í","i"),"ó","o"),"ú","u"),"ü","u"),"ñ","n"),"à","a"),"è","e"),"ì","i"),"ò","o"),"ù","u"),"")</f>
        <v/>
      </c>
      <c r="Q476" s="25">
        <f>IF(AND(L476=1,E476&lt;&gt;""),SUBSTITUTE(SUBSTITUTE(SUBSTITUTE(SUBSTITUTE(SUBSTITUTE(SUBSTITUTE(SUBSTITUTE(SUBSTITUTE(SUBSTITUTE(SUBSTITUTE(SUBSTITUTE(SUBSTITUTE(LOWER(TRIM(E476)),"á","a"),"é","e"),"í","i"),"ó","o"),"ú","u"),"ü","u"),"ñ","n"),"à","a"),"è","e"),"ì","i"),"ò","o"),"ù","u"),"")</f>
        <v/>
      </c>
      <c r="R476" s="25">
        <f>IF(AND(L476=1,I476&lt;&gt;""),SUBSTITUTE(SUBSTITUTE(SUBSTITUTE(SUBSTITUTE(SUBSTITUTE(SUBSTITUTE(SUBSTITUTE(SUBSTITUTE(SUBSTITUTE(SUBSTITUTE(SUBSTITUTE(SUBSTITUTE(LOWER(TRIM(I476)),"á","a"),"é","e"),"í","i"),"ó","o"),"ú","u"),"ü","u"),"ñ","n"),"à","a"),"è","e"),"ì","i"),"ò","o"),"ù","u"),"")</f>
        <v/>
      </c>
      <c r="S476" s="25">
        <f>IF(R476="","",IF(OR(R476="si",R476="tal vez"),1,0))</f>
        <v/>
      </c>
      <c r="T476" s="25">
        <f>IF(AND(L476=1,D476&lt;&gt;""),IF(IFERROR(COUNTIFS(D$3:D476,"="&amp;SUBSTITUTE(SUBSTITUTE(SUBSTITUTE(D476,"~","~~"),"*","~*"),"?","~?"),L$3:L476,1),0)=1,MAX(T$2:T475)+1,""),"")</f>
        <v/>
      </c>
      <c r="U476" s="25">
        <f>IF(T476="","",COUNTIFS($D$3:$D$1002,"="&amp;SUBSTITUTE(SUBSTITUTE(SUBSTITUTE(D476,"~","~~"),"*","~*"),"?","~?"),$L$3:$L$1002,1)*10000-T476)</f>
        <v/>
      </c>
      <c r="V476" s="25">
        <f>IF(AND(L476=1,J476&lt;&gt;""),IF(IFERROR(COUNTIFS(J$3:J476,"="&amp;SUBSTITUTE(SUBSTITUTE(SUBSTITUTE(J476,"~","~~"),"*","~*"),"?","~?"),L$3:L476,1),0)=1,MAX(V$2:V475)+1,""),"")</f>
        <v/>
      </c>
      <c r="W476" s="25">
        <f>IF(V476="","",COUNTIFS($J$3:$J$1002,"="&amp;SUBSTITUTE(SUBSTITUTE(SUBSTITUTE(J476,"~","~~"),"*","~*"),"?","~?"),$L$3:$L$1002,1)*10000-V476)</f>
        <v/>
      </c>
    </row>
    <row r="477">
      <c r="A477">
        <f>IF(A$2=0,"",IFERROR(TRIM(INDEX('Pegar estudiantes'!$A$1:$BZ$1001,476,A$2)&amp;""),""))</f>
        <v/>
      </c>
      <c r="B477">
        <f>IF(B$2=0,"",IFERROR(TRIM(INDEX('Pegar estudiantes'!$A$1:$BZ$1001,476,B$2)&amp;""),""))</f>
        <v/>
      </c>
      <c r="C477">
        <f>IF(C$2=0,"",IFERROR(TRIM(INDEX('Pegar estudiantes'!$A$1:$BZ$1001,476,C$2)&amp;""),""))</f>
        <v/>
      </c>
      <c r="D477">
        <f>IF(D$2=0,"",IFERROR(TRIM(INDEX('Pegar estudiantes'!$A$1:$BZ$1001,476,D$2)&amp;""),""))</f>
        <v/>
      </c>
      <c r="E477">
        <f>IF(E$2=0,"",IFERROR(TRIM(INDEX('Pegar estudiantes'!$A$1:$BZ$1001,476,E$2)&amp;""),""))</f>
        <v/>
      </c>
      <c r="F477">
        <f>IF(F$2=0,"",IFERROR(TRIM(INDEX('Pegar estudiantes'!$A$1:$BZ$1001,476,F$2)&amp;""),""))</f>
        <v/>
      </c>
      <c r="G477">
        <f>IF(G$2=0,"",IFERROR(TRIM(INDEX('Pegar estudiantes'!$A$1:$BZ$1001,476,G$2)&amp;""),""))</f>
        <v/>
      </c>
      <c r="H477">
        <f>IF(H$2=0,"",IFERROR(TRIM(INDEX('Pegar estudiantes'!$A$1:$BZ$1001,476,H$2)&amp;""),""))</f>
        <v/>
      </c>
      <c r="I477">
        <f>IF(I$2=0,"",IFERROR(TRIM(INDEX('Pegar estudiantes'!$A$1:$BZ$1001,476,I$2)&amp;""),""))</f>
        <v/>
      </c>
      <c r="J477">
        <f>IF(J$2=0,"",IFERROR(TRIM(INDEX('Pegar estudiantes'!$A$1:$BZ$1001,476,J$2)&amp;""),""))</f>
        <v/>
      </c>
      <c r="K477">
        <f>IF(K$2=0,"",IFERROR(TRIM(INDEX('Pegar estudiantes'!$A$1:$BZ$1001,476,K$2)&amp;""),""))</f>
        <v/>
      </c>
      <c r="L477" s="25">
        <f>IF(A477&lt;&gt;"",1,"")</f>
        <v/>
      </c>
      <c r="M477" s="25">
        <f>IF(L477=1,IF(ISNUMBER(FIND("#"&amp;MID(A477,1,1)&amp;"#","#0#1#2#3#4#5#6#7#8#9#")),IF(ISNUMBER(FIND("#"&amp;MID(A477,2,1)&amp;"#","#0#1#2#3#4#5#6#7#8#9#")),IF(AND(VALUE(LEFT(A477,2))&gt;=1,VALUE(LEFT(A477,2))&lt;=5),VALUE(LEFT(A477,2)),""),IF(AND(VALUE(LEFT(A477,1))&gt;=1,VALUE(LEFT(A477,1))&lt;=5),VALUE(LEFT(A477,1)),"")),""),"")</f>
        <v/>
      </c>
      <c r="N477" s="25">
        <f>IF(L477=1,IF(ISNUMBER(FIND("#"&amp;MID(H477,1,1)&amp;"#","#0#1#2#3#4#5#6#7#8#9#")),IF(ISNUMBER(FIND("#"&amp;MID(H477,2,1)&amp;"#","#0#1#2#3#4#5#6#7#8#9#")),IF(AND(VALUE(LEFT(H477,2))&gt;=1,VALUE(LEFT(H477,2))&lt;=5),VALUE(LEFT(H477,2)),""),IF(AND(VALUE(LEFT(H477,1))&gt;=1,VALUE(LEFT(H477,1))&lt;=5),VALUE(LEFT(H477,1)),"")),""),"")</f>
        <v/>
      </c>
      <c r="O477" s="25">
        <f>IF(AND(L477=1,B477&lt;&gt;""),SUBSTITUTE(SUBSTITUTE(SUBSTITUTE(SUBSTITUTE(SUBSTITUTE(SUBSTITUTE(SUBSTITUTE(SUBSTITUTE(SUBSTITUTE(SUBSTITUTE(SUBSTITUTE(SUBSTITUTE(LOWER(TRIM(B477)),"á","a"),"é","e"),"í","i"),"ó","o"),"ú","u"),"ü","u"),"ñ","n"),"à","a"),"è","e"),"ì","i"),"ò","o"),"ù","u"),"")</f>
        <v/>
      </c>
      <c r="P477" s="25">
        <f>IF(AND(L477=1,C477&lt;&gt;""),SUBSTITUTE(SUBSTITUTE(SUBSTITUTE(SUBSTITUTE(SUBSTITUTE(SUBSTITUTE(SUBSTITUTE(SUBSTITUTE(SUBSTITUTE(SUBSTITUTE(SUBSTITUTE(SUBSTITUTE(LOWER(TRIM(C477)),"á","a"),"é","e"),"í","i"),"ó","o"),"ú","u"),"ü","u"),"ñ","n"),"à","a"),"è","e"),"ì","i"),"ò","o"),"ù","u"),"")</f>
        <v/>
      </c>
      <c r="Q477" s="25">
        <f>IF(AND(L477=1,E477&lt;&gt;""),SUBSTITUTE(SUBSTITUTE(SUBSTITUTE(SUBSTITUTE(SUBSTITUTE(SUBSTITUTE(SUBSTITUTE(SUBSTITUTE(SUBSTITUTE(SUBSTITUTE(SUBSTITUTE(SUBSTITUTE(LOWER(TRIM(E477)),"á","a"),"é","e"),"í","i"),"ó","o"),"ú","u"),"ü","u"),"ñ","n"),"à","a"),"è","e"),"ì","i"),"ò","o"),"ù","u"),"")</f>
        <v/>
      </c>
      <c r="R477" s="25">
        <f>IF(AND(L477=1,I477&lt;&gt;""),SUBSTITUTE(SUBSTITUTE(SUBSTITUTE(SUBSTITUTE(SUBSTITUTE(SUBSTITUTE(SUBSTITUTE(SUBSTITUTE(SUBSTITUTE(SUBSTITUTE(SUBSTITUTE(SUBSTITUTE(LOWER(TRIM(I477)),"á","a"),"é","e"),"í","i"),"ó","o"),"ú","u"),"ü","u"),"ñ","n"),"à","a"),"è","e"),"ì","i"),"ò","o"),"ù","u"),"")</f>
        <v/>
      </c>
      <c r="S477" s="25">
        <f>IF(R477="","",IF(OR(R477="si",R477="tal vez"),1,0))</f>
        <v/>
      </c>
      <c r="T477" s="25">
        <f>IF(AND(L477=1,D477&lt;&gt;""),IF(IFERROR(COUNTIFS(D$3:D477,"="&amp;SUBSTITUTE(SUBSTITUTE(SUBSTITUTE(D477,"~","~~"),"*","~*"),"?","~?"),L$3:L477,1),0)=1,MAX(T$2:T476)+1,""),"")</f>
        <v/>
      </c>
      <c r="U477" s="25">
        <f>IF(T477="","",COUNTIFS($D$3:$D$1002,"="&amp;SUBSTITUTE(SUBSTITUTE(SUBSTITUTE(D477,"~","~~"),"*","~*"),"?","~?"),$L$3:$L$1002,1)*10000-T477)</f>
        <v/>
      </c>
      <c r="V477" s="25">
        <f>IF(AND(L477=1,J477&lt;&gt;""),IF(IFERROR(COUNTIFS(J$3:J477,"="&amp;SUBSTITUTE(SUBSTITUTE(SUBSTITUTE(J477,"~","~~"),"*","~*"),"?","~?"),L$3:L477,1),0)=1,MAX(V$2:V476)+1,""),"")</f>
        <v/>
      </c>
      <c r="W477" s="25">
        <f>IF(V477="","",COUNTIFS($J$3:$J$1002,"="&amp;SUBSTITUTE(SUBSTITUTE(SUBSTITUTE(J477,"~","~~"),"*","~*"),"?","~?"),$L$3:$L$1002,1)*10000-V477)</f>
        <v/>
      </c>
    </row>
    <row r="478">
      <c r="A478">
        <f>IF(A$2=0,"",IFERROR(TRIM(INDEX('Pegar estudiantes'!$A$1:$BZ$1001,477,A$2)&amp;""),""))</f>
        <v/>
      </c>
      <c r="B478">
        <f>IF(B$2=0,"",IFERROR(TRIM(INDEX('Pegar estudiantes'!$A$1:$BZ$1001,477,B$2)&amp;""),""))</f>
        <v/>
      </c>
      <c r="C478">
        <f>IF(C$2=0,"",IFERROR(TRIM(INDEX('Pegar estudiantes'!$A$1:$BZ$1001,477,C$2)&amp;""),""))</f>
        <v/>
      </c>
      <c r="D478">
        <f>IF(D$2=0,"",IFERROR(TRIM(INDEX('Pegar estudiantes'!$A$1:$BZ$1001,477,D$2)&amp;""),""))</f>
        <v/>
      </c>
      <c r="E478">
        <f>IF(E$2=0,"",IFERROR(TRIM(INDEX('Pegar estudiantes'!$A$1:$BZ$1001,477,E$2)&amp;""),""))</f>
        <v/>
      </c>
      <c r="F478">
        <f>IF(F$2=0,"",IFERROR(TRIM(INDEX('Pegar estudiantes'!$A$1:$BZ$1001,477,F$2)&amp;""),""))</f>
        <v/>
      </c>
      <c r="G478">
        <f>IF(G$2=0,"",IFERROR(TRIM(INDEX('Pegar estudiantes'!$A$1:$BZ$1001,477,G$2)&amp;""),""))</f>
        <v/>
      </c>
      <c r="H478">
        <f>IF(H$2=0,"",IFERROR(TRIM(INDEX('Pegar estudiantes'!$A$1:$BZ$1001,477,H$2)&amp;""),""))</f>
        <v/>
      </c>
      <c r="I478">
        <f>IF(I$2=0,"",IFERROR(TRIM(INDEX('Pegar estudiantes'!$A$1:$BZ$1001,477,I$2)&amp;""),""))</f>
        <v/>
      </c>
      <c r="J478">
        <f>IF(J$2=0,"",IFERROR(TRIM(INDEX('Pegar estudiantes'!$A$1:$BZ$1001,477,J$2)&amp;""),""))</f>
        <v/>
      </c>
      <c r="K478">
        <f>IF(K$2=0,"",IFERROR(TRIM(INDEX('Pegar estudiantes'!$A$1:$BZ$1001,477,K$2)&amp;""),""))</f>
        <v/>
      </c>
      <c r="L478" s="25">
        <f>IF(A478&lt;&gt;"",1,"")</f>
        <v/>
      </c>
      <c r="M478" s="25">
        <f>IF(L478=1,IF(ISNUMBER(FIND("#"&amp;MID(A478,1,1)&amp;"#","#0#1#2#3#4#5#6#7#8#9#")),IF(ISNUMBER(FIND("#"&amp;MID(A478,2,1)&amp;"#","#0#1#2#3#4#5#6#7#8#9#")),IF(AND(VALUE(LEFT(A478,2))&gt;=1,VALUE(LEFT(A478,2))&lt;=5),VALUE(LEFT(A478,2)),""),IF(AND(VALUE(LEFT(A478,1))&gt;=1,VALUE(LEFT(A478,1))&lt;=5),VALUE(LEFT(A478,1)),"")),""),"")</f>
        <v/>
      </c>
      <c r="N478" s="25">
        <f>IF(L478=1,IF(ISNUMBER(FIND("#"&amp;MID(H478,1,1)&amp;"#","#0#1#2#3#4#5#6#7#8#9#")),IF(ISNUMBER(FIND("#"&amp;MID(H478,2,1)&amp;"#","#0#1#2#3#4#5#6#7#8#9#")),IF(AND(VALUE(LEFT(H478,2))&gt;=1,VALUE(LEFT(H478,2))&lt;=5),VALUE(LEFT(H478,2)),""),IF(AND(VALUE(LEFT(H478,1))&gt;=1,VALUE(LEFT(H478,1))&lt;=5),VALUE(LEFT(H478,1)),"")),""),"")</f>
        <v/>
      </c>
      <c r="O478" s="25">
        <f>IF(AND(L478=1,B478&lt;&gt;""),SUBSTITUTE(SUBSTITUTE(SUBSTITUTE(SUBSTITUTE(SUBSTITUTE(SUBSTITUTE(SUBSTITUTE(SUBSTITUTE(SUBSTITUTE(SUBSTITUTE(SUBSTITUTE(SUBSTITUTE(LOWER(TRIM(B478)),"á","a"),"é","e"),"í","i"),"ó","o"),"ú","u"),"ü","u"),"ñ","n"),"à","a"),"è","e"),"ì","i"),"ò","o"),"ù","u"),"")</f>
        <v/>
      </c>
      <c r="P478" s="25">
        <f>IF(AND(L478=1,C478&lt;&gt;""),SUBSTITUTE(SUBSTITUTE(SUBSTITUTE(SUBSTITUTE(SUBSTITUTE(SUBSTITUTE(SUBSTITUTE(SUBSTITUTE(SUBSTITUTE(SUBSTITUTE(SUBSTITUTE(SUBSTITUTE(LOWER(TRIM(C478)),"á","a"),"é","e"),"í","i"),"ó","o"),"ú","u"),"ü","u"),"ñ","n"),"à","a"),"è","e"),"ì","i"),"ò","o"),"ù","u"),"")</f>
        <v/>
      </c>
      <c r="Q478" s="25">
        <f>IF(AND(L478=1,E478&lt;&gt;""),SUBSTITUTE(SUBSTITUTE(SUBSTITUTE(SUBSTITUTE(SUBSTITUTE(SUBSTITUTE(SUBSTITUTE(SUBSTITUTE(SUBSTITUTE(SUBSTITUTE(SUBSTITUTE(SUBSTITUTE(LOWER(TRIM(E478)),"á","a"),"é","e"),"í","i"),"ó","o"),"ú","u"),"ü","u"),"ñ","n"),"à","a"),"è","e"),"ì","i"),"ò","o"),"ù","u"),"")</f>
        <v/>
      </c>
      <c r="R478" s="25">
        <f>IF(AND(L478=1,I478&lt;&gt;""),SUBSTITUTE(SUBSTITUTE(SUBSTITUTE(SUBSTITUTE(SUBSTITUTE(SUBSTITUTE(SUBSTITUTE(SUBSTITUTE(SUBSTITUTE(SUBSTITUTE(SUBSTITUTE(SUBSTITUTE(LOWER(TRIM(I478)),"á","a"),"é","e"),"í","i"),"ó","o"),"ú","u"),"ü","u"),"ñ","n"),"à","a"),"è","e"),"ì","i"),"ò","o"),"ù","u"),"")</f>
        <v/>
      </c>
      <c r="S478" s="25">
        <f>IF(R478="","",IF(OR(R478="si",R478="tal vez"),1,0))</f>
        <v/>
      </c>
      <c r="T478" s="25">
        <f>IF(AND(L478=1,D478&lt;&gt;""),IF(IFERROR(COUNTIFS(D$3:D478,"="&amp;SUBSTITUTE(SUBSTITUTE(SUBSTITUTE(D478,"~","~~"),"*","~*"),"?","~?"),L$3:L478,1),0)=1,MAX(T$2:T477)+1,""),"")</f>
        <v/>
      </c>
      <c r="U478" s="25">
        <f>IF(T478="","",COUNTIFS($D$3:$D$1002,"="&amp;SUBSTITUTE(SUBSTITUTE(SUBSTITUTE(D478,"~","~~"),"*","~*"),"?","~?"),$L$3:$L$1002,1)*10000-T478)</f>
        <v/>
      </c>
      <c r="V478" s="25">
        <f>IF(AND(L478=1,J478&lt;&gt;""),IF(IFERROR(COUNTIFS(J$3:J478,"="&amp;SUBSTITUTE(SUBSTITUTE(SUBSTITUTE(J478,"~","~~"),"*","~*"),"?","~?"),L$3:L478,1),0)=1,MAX(V$2:V477)+1,""),"")</f>
        <v/>
      </c>
      <c r="W478" s="25">
        <f>IF(V478="","",COUNTIFS($J$3:$J$1002,"="&amp;SUBSTITUTE(SUBSTITUTE(SUBSTITUTE(J478,"~","~~"),"*","~*"),"?","~?"),$L$3:$L$1002,1)*10000-V478)</f>
        <v/>
      </c>
    </row>
    <row r="479">
      <c r="A479">
        <f>IF(A$2=0,"",IFERROR(TRIM(INDEX('Pegar estudiantes'!$A$1:$BZ$1001,478,A$2)&amp;""),""))</f>
        <v/>
      </c>
      <c r="B479">
        <f>IF(B$2=0,"",IFERROR(TRIM(INDEX('Pegar estudiantes'!$A$1:$BZ$1001,478,B$2)&amp;""),""))</f>
        <v/>
      </c>
      <c r="C479">
        <f>IF(C$2=0,"",IFERROR(TRIM(INDEX('Pegar estudiantes'!$A$1:$BZ$1001,478,C$2)&amp;""),""))</f>
        <v/>
      </c>
      <c r="D479">
        <f>IF(D$2=0,"",IFERROR(TRIM(INDEX('Pegar estudiantes'!$A$1:$BZ$1001,478,D$2)&amp;""),""))</f>
        <v/>
      </c>
      <c r="E479">
        <f>IF(E$2=0,"",IFERROR(TRIM(INDEX('Pegar estudiantes'!$A$1:$BZ$1001,478,E$2)&amp;""),""))</f>
        <v/>
      </c>
      <c r="F479">
        <f>IF(F$2=0,"",IFERROR(TRIM(INDEX('Pegar estudiantes'!$A$1:$BZ$1001,478,F$2)&amp;""),""))</f>
        <v/>
      </c>
      <c r="G479">
        <f>IF(G$2=0,"",IFERROR(TRIM(INDEX('Pegar estudiantes'!$A$1:$BZ$1001,478,G$2)&amp;""),""))</f>
        <v/>
      </c>
      <c r="H479">
        <f>IF(H$2=0,"",IFERROR(TRIM(INDEX('Pegar estudiantes'!$A$1:$BZ$1001,478,H$2)&amp;""),""))</f>
        <v/>
      </c>
      <c r="I479">
        <f>IF(I$2=0,"",IFERROR(TRIM(INDEX('Pegar estudiantes'!$A$1:$BZ$1001,478,I$2)&amp;""),""))</f>
        <v/>
      </c>
      <c r="J479">
        <f>IF(J$2=0,"",IFERROR(TRIM(INDEX('Pegar estudiantes'!$A$1:$BZ$1001,478,J$2)&amp;""),""))</f>
        <v/>
      </c>
      <c r="K479">
        <f>IF(K$2=0,"",IFERROR(TRIM(INDEX('Pegar estudiantes'!$A$1:$BZ$1001,478,K$2)&amp;""),""))</f>
        <v/>
      </c>
      <c r="L479" s="25">
        <f>IF(A479&lt;&gt;"",1,"")</f>
        <v/>
      </c>
      <c r="M479" s="25">
        <f>IF(L479=1,IF(ISNUMBER(FIND("#"&amp;MID(A479,1,1)&amp;"#","#0#1#2#3#4#5#6#7#8#9#")),IF(ISNUMBER(FIND("#"&amp;MID(A479,2,1)&amp;"#","#0#1#2#3#4#5#6#7#8#9#")),IF(AND(VALUE(LEFT(A479,2))&gt;=1,VALUE(LEFT(A479,2))&lt;=5),VALUE(LEFT(A479,2)),""),IF(AND(VALUE(LEFT(A479,1))&gt;=1,VALUE(LEFT(A479,1))&lt;=5),VALUE(LEFT(A479,1)),"")),""),"")</f>
        <v/>
      </c>
      <c r="N479" s="25">
        <f>IF(L479=1,IF(ISNUMBER(FIND("#"&amp;MID(H479,1,1)&amp;"#","#0#1#2#3#4#5#6#7#8#9#")),IF(ISNUMBER(FIND("#"&amp;MID(H479,2,1)&amp;"#","#0#1#2#3#4#5#6#7#8#9#")),IF(AND(VALUE(LEFT(H479,2))&gt;=1,VALUE(LEFT(H479,2))&lt;=5),VALUE(LEFT(H479,2)),""),IF(AND(VALUE(LEFT(H479,1))&gt;=1,VALUE(LEFT(H479,1))&lt;=5),VALUE(LEFT(H479,1)),"")),""),"")</f>
        <v/>
      </c>
      <c r="O479" s="25">
        <f>IF(AND(L479=1,B479&lt;&gt;""),SUBSTITUTE(SUBSTITUTE(SUBSTITUTE(SUBSTITUTE(SUBSTITUTE(SUBSTITUTE(SUBSTITUTE(SUBSTITUTE(SUBSTITUTE(SUBSTITUTE(SUBSTITUTE(SUBSTITUTE(LOWER(TRIM(B479)),"á","a"),"é","e"),"í","i"),"ó","o"),"ú","u"),"ü","u"),"ñ","n"),"à","a"),"è","e"),"ì","i"),"ò","o"),"ù","u"),"")</f>
        <v/>
      </c>
      <c r="P479" s="25">
        <f>IF(AND(L479=1,C479&lt;&gt;""),SUBSTITUTE(SUBSTITUTE(SUBSTITUTE(SUBSTITUTE(SUBSTITUTE(SUBSTITUTE(SUBSTITUTE(SUBSTITUTE(SUBSTITUTE(SUBSTITUTE(SUBSTITUTE(SUBSTITUTE(LOWER(TRIM(C479)),"á","a"),"é","e"),"í","i"),"ó","o"),"ú","u"),"ü","u"),"ñ","n"),"à","a"),"è","e"),"ì","i"),"ò","o"),"ù","u"),"")</f>
        <v/>
      </c>
      <c r="Q479" s="25">
        <f>IF(AND(L479=1,E479&lt;&gt;""),SUBSTITUTE(SUBSTITUTE(SUBSTITUTE(SUBSTITUTE(SUBSTITUTE(SUBSTITUTE(SUBSTITUTE(SUBSTITUTE(SUBSTITUTE(SUBSTITUTE(SUBSTITUTE(SUBSTITUTE(LOWER(TRIM(E479)),"á","a"),"é","e"),"í","i"),"ó","o"),"ú","u"),"ü","u"),"ñ","n"),"à","a"),"è","e"),"ì","i"),"ò","o"),"ù","u"),"")</f>
        <v/>
      </c>
      <c r="R479" s="25">
        <f>IF(AND(L479=1,I479&lt;&gt;""),SUBSTITUTE(SUBSTITUTE(SUBSTITUTE(SUBSTITUTE(SUBSTITUTE(SUBSTITUTE(SUBSTITUTE(SUBSTITUTE(SUBSTITUTE(SUBSTITUTE(SUBSTITUTE(SUBSTITUTE(LOWER(TRIM(I479)),"á","a"),"é","e"),"í","i"),"ó","o"),"ú","u"),"ü","u"),"ñ","n"),"à","a"),"è","e"),"ì","i"),"ò","o"),"ù","u"),"")</f>
        <v/>
      </c>
      <c r="S479" s="25">
        <f>IF(R479="","",IF(OR(R479="si",R479="tal vez"),1,0))</f>
        <v/>
      </c>
      <c r="T479" s="25">
        <f>IF(AND(L479=1,D479&lt;&gt;""),IF(IFERROR(COUNTIFS(D$3:D479,"="&amp;SUBSTITUTE(SUBSTITUTE(SUBSTITUTE(D479,"~","~~"),"*","~*"),"?","~?"),L$3:L479,1),0)=1,MAX(T$2:T478)+1,""),"")</f>
        <v/>
      </c>
      <c r="U479" s="25">
        <f>IF(T479="","",COUNTIFS($D$3:$D$1002,"="&amp;SUBSTITUTE(SUBSTITUTE(SUBSTITUTE(D479,"~","~~"),"*","~*"),"?","~?"),$L$3:$L$1002,1)*10000-T479)</f>
        <v/>
      </c>
      <c r="V479" s="25">
        <f>IF(AND(L479=1,J479&lt;&gt;""),IF(IFERROR(COUNTIFS(J$3:J479,"="&amp;SUBSTITUTE(SUBSTITUTE(SUBSTITUTE(J479,"~","~~"),"*","~*"),"?","~?"),L$3:L479,1),0)=1,MAX(V$2:V478)+1,""),"")</f>
        <v/>
      </c>
      <c r="W479" s="25">
        <f>IF(V479="","",COUNTIFS($J$3:$J$1002,"="&amp;SUBSTITUTE(SUBSTITUTE(SUBSTITUTE(J479,"~","~~"),"*","~*"),"?","~?"),$L$3:$L$1002,1)*10000-V479)</f>
        <v/>
      </c>
    </row>
    <row r="480">
      <c r="A480">
        <f>IF(A$2=0,"",IFERROR(TRIM(INDEX('Pegar estudiantes'!$A$1:$BZ$1001,479,A$2)&amp;""),""))</f>
        <v/>
      </c>
      <c r="B480">
        <f>IF(B$2=0,"",IFERROR(TRIM(INDEX('Pegar estudiantes'!$A$1:$BZ$1001,479,B$2)&amp;""),""))</f>
        <v/>
      </c>
      <c r="C480">
        <f>IF(C$2=0,"",IFERROR(TRIM(INDEX('Pegar estudiantes'!$A$1:$BZ$1001,479,C$2)&amp;""),""))</f>
        <v/>
      </c>
      <c r="D480">
        <f>IF(D$2=0,"",IFERROR(TRIM(INDEX('Pegar estudiantes'!$A$1:$BZ$1001,479,D$2)&amp;""),""))</f>
        <v/>
      </c>
      <c r="E480">
        <f>IF(E$2=0,"",IFERROR(TRIM(INDEX('Pegar estudiantes'!$A$1:$BZ$1001,479,E$2)&amp;""),""))</f>
        <v/>
      </c>
      <c r="F480">
        <f>IF(F$2=0,"",IFERROR(TRIM(INDEX('Pegar estudiantes'!$A$1:$BZ$1001,479,F$2)&amp;""),""))</f>
        <v/>
      </c>
      <c r="G480">
        <f>IF(G$2=0,"",IFERROR(TRIM(INDEX('Pegar estudiantes'!$A$1:$BZ$1001,479,G$2)&amp;""),""))</f>
        <v/>
      </c>
      <c r="H480">
        <f>IF(H$2=0,"",IFERROR(TRIM(INDEX('Pegar estudiantes'!$A$1:$BZ$1001,479,H$2)&amp;""),""))</f>
        <v/>
      </c>
      <c r="I480">
        <f>IF(I$2=0,"",IFERROR(TRIM(INDEX('Pegar estudiantes'!$A$1:$BZ$1001,479,I$2)&amp;""),""))</f>
        <v/>
      </c>
      <c r="J480">
        <f>IF(J$2=0,"",IFERROR(TRIM(INDEX('Pegar estudiantes'!$A$1:$BZ$1001,479,J$2)&amp;""),""))</f>
        <v/>
      </c>
      <c r="K480">
        <f>IF(K$2=0,"",IFERROR(TRIM(INDEX('Pegar estudiantes'!$A$1:$BZ$1001,479,K$2)&amp;""),""))</f>
        <v/>
      </c>
      <c r="L480" s="25">
        <f>IF(A480&lt;&gt;"",1,"")</f>
        <v/>
      </c>
      <c r="M480" s="25">
        <f>IF(L480=1,IF(ISNUMBER(FIND("#"&amp;MID(A480,1,1)&amp;"#","#0#1#2#3#4#5#6#7#8#9#")),IF(ISNUMBER(FIND("#"&amp;MID(A480,2,1)&amp;"#","#0#1#2#3#4#5#6#7#8#9#")),IF(AND(VALUE(LEFT(A480,2))&gt;=1,VALUE(LEFT(A480,2))&lt;=5),VALUE(LEFT(A480,2)),""),IF(AND(VALUE(LEFT(A480,1))&gt;=1,VALUE(LEFT(A480,1))&lt;=5),VALUE(LEFT(A480,1)),"")),""),"")</f>
        <v/>
      </c>
      <c r="N480" s="25">
        <f>IF(L480=1,IF(ISNUMBER(FIND("#"&amp;MID(H480,1,1)&amp;"#","#0#1#2#3#4#5#6#7#8#9#")),IF(ISNUMBER(FIND("#"&amp;MID(H480,2,1)&amp;"#","#0#1#2#3#4#5#6#7#8#9#")),IF(AND(VALUE(LEFT(H480,2))&gt;=1,VALUE(LEFT(H480,2))&lt;=5),VALUE(LEFT(H480,2)),""),IF(AND(VALUE(LEFT(H480,1))&gt;=1,VALUE(LEFT(H480,1))&lt;=5),VALUE(LEFT(H480,1)),"")),""),"")</f>
        <v/>
      </c>
      <c r="O480" s="25">
        <f>IF(AND(L480=1,B480&lt;&gt;""),SUBSTITUTE(SUBSTITUTE(SUBSTITUTE(SUBSTITUTE(SUBSTITUTE(SUBSTITUTE(SUBSTITUTE(SUBSTITUTE(SUBSTITUTE(SUBSTITUTE(SUBSTITUTE(SUBSTITUTE(LOWER(TRIM(B480)),"á","a"),"é","e"),"í","i"),"ó","o"),"ú","u"),"ü","u"),"ñ","n"),"à","a"),"è","e"),"ì","i"),"ò","o"),"ù","u"),"")</f>
        <v/>
      </c>
      <c r="P480" s="25">
        <f>IF(AND(L480=1,C480&lt;&gt;""),SUBSTITUTE(SUBSTITUTE(SUBSTITUTE(SUBSTITUTE(SUBSTITUTE(SUBSTITUTE(SUBSTITUTE(SUBSTITUTE(SUBSTITUTE(SUBSTITUTE(SUBSTITUTE(SUBSTITUTE(LOWER(TRIM(C480)),"á","a"),"é","e"),"í","i"),"ó","o"),"ú","u"),"ü","u"),"ñ","n"),"à","a"),"è","e"),"ì","i"),"ò","o"),"ù","u"),"")</f>
        <v/>
      </c>
      <c r="Q480" s="25">
        <f>IF(AND(L480=1,E480&lt;&gt;""),SUBSTITUTE(SUBSTITUTE(SUBSTITUTE(SUBSTITUTE(SUBSTITUTE(SUBSTITUTE(SUBSTITUTE(SUBSTITUTE(SUBSTITUTE(SUBSTITUTE(SUBSTITUTE(SUBSTITUTE(LOWER(TRIM(E480)),"á","a"),"é","e"),"í","i"),"ó","o"),"ú","u"),"ü","u"),"ñ","n"),"à","a"),"è","e"),"ì","i"),"ò","o"),"ù","u"),"")</f>
        <v/>
      </c>
      <c r="R480" s="25">
        <f>IF(AND(L480=1,I480&lt;&gt;""),SUBSTITUTE(SUBSTITUTE(SUBSTITUTE(SUBSTITUTE(SUBSTITUTE(SUBSTITUTE(SUBSTITUTE(SUBSTITUTE(SUBSTITUTE(SUBSTITUTE(SUBSTITUTE(SUBSTITUTE(LOWER(TRIM(I480)),"á","a"),"é","e"),"í","i"),"ó","o"),"ú","u"),"ü","u"),"ñ","n"),"à","a"),"è","e"),"ì","i"),"ò","o"),"ù","u"),"")</f>
        <v/>
      </c>
      <c r="S480" s="25">
        <f>IF(R480="","",IF(OR(R480="si",R480="tal vez"),1,0))</f>
        <v/>
      </c>
      <c r="T480" s="25">
        <f>IF(AND(L480=1,D480&lt;&gt;""),IF(IFERROR(COUNTIFS(D$3:D480,"="&amp;SUBSTITUTE(SUBSTITUTE(SUBSTITUTE(D480,"~","~~"),"*","~*"),"?","~?"),L$3:L480,1),0)=1,MAX(T$2:T479)+1,""),"")</f>
        <v/>
      </c>
      <c r="U480" s="25">
        <f>IF(T480="","",COUNTIFS($D$3:$D$1002,"="&amp;SUBSTITUTE(SUBSTITUTE(SUBSTITUTE(D480,"~","~~"),"*","~*"),"?","~?"),$L$3:$L$1002,1)*10000-T480)</f>
        <v/>
      </c>
      <c r="V480" s="25">
        <f>IF(AND(L480=1,J480&lt;&gt;""),IF(IFERROR(COUNTIFS(J$3:J480,"="&amp;SUBSTITUTE(SUBSTITUTE(SUBSTITUTE(J480,"~","~~"),"*","~*"),"?","~?"),L$3:L480,1),0)=1,MAX(V$2:V479)+1,""),"")</f>
        <v/>
      </c>
      <c r="W480" s="25">
        <f>IF(V480="","",COUNTIFS($J$3:$J$1002,"="&amp;SUBSTITUTE(SUBSTITUTE(SUBSTITUTE(J480,"~","~~"),"*","~*"),"?","~?"),$L$3:$L$1002,1)*10000-V480)</f>
        <v/>
      </c>
    </row>
    <row r="481">
      <c r="A481">
        <f>IF(A$2=0,"",IFERROR(TRIM(INDEX('Pegar estudiantes'!$A$1:$BZ$1001,480,A$2)&amp;""),""))</f>
        <v/>
      </c>
      <c r="B481">
        <f>IF(B$2=0,"",IFERROR(TRIM(INDEX('Pegar estudiantes'!$A$1:$BZ$1001,480,B$2)&amp;""),""))</f>
        <v/>
      </c>
      <c r="C481">
        <f>IF(C$2=0,"",IFERROR(TRIM(INDEX('Pegar estudiantes'!$A$1:$BZ$1001,480,C$2)&amp;""),""))</f>
        <v/>
      </c>
      <c r="D481">
        <f>IF(D$2=0,"",IFERROR(TRIM(INDEX('Pegar estudiantes'!$A$1:$BZ$1001,480,D$2)&amp;""),""))</f>
        <v/>
      </c>
      <c r="E481">
        <f>IF(E$2=0,"",IFERROR(TRIM(INDEX('Pegar estudiantes'!$A$1:$BZ$1001,480,E$2)&amp;""),""))</f>
        <v/>
      </c>
      <c r="F481">
        <f>IF(F$2=0,"",IFERROR(TRIM(INDEX('Pegar estudiantes'!$A$1:$BZ$1001,480,F$2)&amp;""),""))</f>
        <v/>
      </c>
      <c r="G481">
        <f>IF(G$2=0,"",IFERROR(TRIM(INDEX('Pegar estudiantes'!$A$1:$BZ$1001,480,G$2)&amp;""),""))</f>
        <v/>
      </c>
      <c r="H481">
        <f>IF(H$2=0,"",IFERROR(TRIM(INDEX('Pegar estudiantes'!$A$1:$BZ$1001,480,H$2)&amp;""),""))</f>
        <v/>
      </c>
      <c r="I481">
        <f>IF(I$2=0,"",IFERROR(TRIM(INDEX('Pegar estudiantes'!$A$1:$BZ$1001,480,I$2)&amp;""),""))</f>
        <v/>
      </c>
      <c r="J481">
        <f>IF(J$2=0,"",IFERROR(TRIM(INDEX('Pegar estudiantes'!$A$1:$BZ$1001,480,J$2)&amp;""),""))</f>
        <v/>
      </c>
      <c r="K481">
        <f>IF(K$2=0,"",IFERROR(TRIM(INDEX('Pegar estudiantes'!$A$1:$BZ$1001,480,K$2)&amp;""),""))</f>
        <v/>
      </c>
      <c r="L481" s="25">
        <f>IF(A481&lt;&gt;"",1,"")</f>
        <v/>
      </c>
      <c r="M481" s="25">
        <f>IF(L481=1,IF(ISNUMBER(FIND("#"&amp;MID(A481,1,1)&amp;"#","#0#1#2#3#4#5#6#7#8#9#")),IF(ISNUMBER(FIND("#"&amp;MID(A481,2,1)&amp;"#","#0#1#2#3#4#5#6#7#8#9#")),IF(AND(VALUE(LEFT(A481,2))&gt;=1,VALUE(LEFT(A481,2))&lt;=5),VALUE(LEFT(A481,2)),""),IF(AND(VALUE(LEFT(A481,1))&gt;=1,VALUE(LEFT(A481,1))&lt;=5),VALUE(LEFT(A481,1)),"")),""),"")</f>
        <v/>
      </c>
      <c r="N481" s="25">
        <f>IF(L481=1,IF(ISNUMBER(FIND("#"&amp;MID(H481,1,1)&amp;"#","#0#1#2#3#4#5#6#7#8#9#")),IF(ISNUMBER(FIND("#"&amp;MID(H481,2,1)&amp;"#","#0#1#2#3#4#5#6#7#8#9#")),IF(AND(VALUE(LEFT(H481,2))&gt;=1,VALUE(LEFT(H481,2))&lt;=5),VALUE(LEFT(H481,2)),""),IF(AND(VALUE(LEFT(H481,1))&gt;=1,VALUE(LEFT(H481,1))&lt;=5),VALUE(LEFT(H481,1)),"")),""),"")</f>
        <v/>
      </c>
      <c r="O481" s="25">
        <f>IF(AND(L481=1,B481&lt;&gt;""),SUBSTITUTE(SUBSTITUTE(SUBSTITUTE(SUBSTITUTE(SUBSTITUTE(SUBSTITUTE(SUBSTITUTE(SUBSTITUTE(SUBSTITUTE(SUBSTITUTE(SUBSTITUTE(SUBSTITUTE(LOWER(TRIM(B481)),"á","a"),"é","e"),"í","i"),"ó","o"),"ú","u"),"ü","u"),"ñ","n"),"à","a"),"è","e"),"ì","i"),"ò","o"),"ù","u"),"")</f>
        <v/>
      </c>
      <c r="P481" s="25">
        <f>IF(AND(L481=1,C481&lt;&gt;""),SUBSTITUTE(SUBSTITUTE(SUBSTITUTE(SUBSTITUTE(SUBSTITUTE(SUBSTITUTE(SUBSTITUTE(SUBSTITUTE(SUBSTITUTE(SUBSTITUTE(SUBSTITUTE(SUBSTITUTE(LOWER(TRIM(C481)),"á","a"),"é","e"),"í","i"),"ó","o"),"ú","u"),"ü","u"),"ñ","n"),"à","a"),"è","e"),"ì","i"),"ò","o"),"ù","u"),"")</f>
        <v/>
      </c>
      <c r="Q481" s="25">
        <f>IF(AND(L481=1,E481&lt;&gt;""),SUBSTITUTE(SUBSTITUTE(SUBSTITUTE(SUBSTITUTE(SUBSTITUTE(SUBSTITUTE(SUBSTITUTE(SUBSTITUTE(SUBSTITUTE(SUBSTITUTE(SUBSTITUTE(SUBSTITUTE(LOWER(TRIM(E481)),"á","a"),"é","e"),"í","i"),"ó","o"),"ú","u"),"ü","u"),"ñ","n"),"à","a"),"è","e"),"ì","i"),"ò","o"),"ù","u"),"")</f>
        <v/>
      </c>
      <c r="R481" s="25">
        <f>IF(AND(L481=1,I481&lt;&gt;""),SUBSTITUTE(SUBSTITUTE(SUBSTITUTE(SUBSTITUTE(SUBSTITUTE(SUBSTITUTE(SUBSTITUTE(SUBSTITUTE(SUBSTITUTE(SUBSTITUTE(SUBSTITUTE(SUBSTITUTE(LOWER(TRIM(I481)),"á","a"),"é","e"),"í","i"),"ó","o"),"ú","u"),"ü","u"),"ñ","n"),"à","a"),"è","e"),"ì","i"),"ò","o"),"ù","u"),"")</f>
        <v/>
      </c>
      <c r="S481" s="25">
        <f>IF(R481="","",IF(OR(R481="si",R481="tal vez"),1,0))</f>
        <v/>
      </c>
      <c r="T481" s="25">
        <f>IF(AND(L481=1,D481&lt;&gt;""),IF(IFERROR(COUNTIFS(D$3:D481,"="&amp;SUBSTITUTE(SUBSTITUTE(SUBSTITUTE(D481,"~","~~"),"*","~*"),"?","~?"),L$3:L481,1),0)=1,MAX(T$2:T480)+1,""),"")</f>
        <v/>
      </c>
      <c r="U481" s="25">
        <f>IF(T481="","",COUNTIFS($D$3:$D$1002,"="&amp;SUBSTITUTE(SUBSTITUTE(SUBSTITUTE(D481,"~","~~"),"*","~*"),"?","~?"),$L$3:$L$1002,1)*10000-T481)</f>
        <v/>
      </c>
      <c r="V481" s="25">
        <f>IF(AND(L481=1,J481&lt;&gt;""),IF(IFERROR(COUNTIFS(J$3:J481,"="&amp;SUBSTITUTE(SUBSTITUTE(SUBSTITUTE(J481,"~","~~"),"*","~*"),"?","~?"),L$3:L481,1),0)=1,MAX(V$2:V480)+1,""),"")</f>
        <v/>
      </c>
      <c r="W481" s="25">
        <f>IF(V481="","",COUNTIFS($J$3:$J$1002,"="&amp;SUBSTITUTE(SUBSTITUTE(SUBSTITUTE(J481,"~","~~"),"*","~*"),"?","~?"),$L$3:$L$1002,1)*10000-V481)</f>
        <v/>
      </c>
    </row>
    <row r="482">
      <c r="A482">
        <f>IF(A$2=0,"",IFERROR(TRIM(INDEX('Pegar estudiantes'!$A$1:$BZ$1001,481,A$2)&amp;""),""))</f>
        <v/>
      </c>
      <c r="B482">
        <f>IF(B$2=0,"",IFERROR(TRIM(INDEX('Pegar estudiantes'!$A$1:$BZ$1001,481,B$2)&amp;""),""))</f>
        <v/>
      </c>
      <c r="C482">
        <f>IF(C$2=0,"",IFERROR(TRIM(INDEX('Pegar estudiantes'!$A$1:$BZ$1001,481,C$2)&amp;""),""))</f>
        <v/>
      </c>
      <c r="D482">
        <f>IF(D$2=0,"",IFERROR(TRIM(INDEX('Pegar estudiantes'!$A$1:$BZ$1001,481,D$2)&amp;""),""))</f>
        <v/>
      </c>
      <c r="E482">
        <f>IF(E$2=0,"",IFERROR(TRIM(INDEX('Pegar estudiantes'!$A$1:$BZ$1001,481,E$2)&amp;""),""))</f>
        <v/>
      </c>
      <c r="F482">
        <f>IF(F$2=0,"",IFERROR(TRIM(INDEX('Pegar estudiantes'!$A$1:$BZ$1001,481,F$2)&amp;""),""))</f>
        <v/>
      </c>
      <c r="G482">
        <f>IF(G$2=0,"",IFERROR(TRIM(INDEX('Pegar estudiantes'!$A$1:$BZ$1001,481,G$2)&amp;""),""))</f>
        <v/>
      </c>
      <c r="H482">
        <f>IF(H$2=0,"",IFERROR(TRIM(INDEX('Pegar estudiantes'!$A$1:$BZ$1001,481,H$2)&amp;""),""))</f>
        <v/>
      </c>
      <c r="I482">
        <f>IF(I$2=0,"",IFERROR(TRIM(INDEX('Pegar estudiantes'!$A$1:$BZ$1001,481,I$2)&amp;""),""))</f>
        <v/>
      </c>
      <c r="J482">
        <f>IF(J$2=0,"",IFERROR(TRIM(INDEX('Pegar estudiantes'!$A$1:$BZ$1001,481,J$2)&amp;""),""))</f>
        <v/>
      </c>
      <c r="K482">
        <f>IF(K$2=0,"",IFERROR(TRIM(INDEX('Pegar estudiantes'!$A$1:$BZ$1001,481,K$2)&amp;""),""))</f>
        <v/>
      </c>
      <c r="L482" s="25">
        <f>IF(A482&lt;&gt;"",1,"")</f>
        <v/>
      </c>
      <c r="M482" s="25">
        <f>IF(L482=1,IF(ISNUMBER(FIND("#"&amp;MID(A482,1,1)&amp;"#","#0#1#2#3#4#5#6#7#8#9#")),IF(ISNUMBER(FIND("#"&amp;MID(A482,2,1)&amp;"#","#0#1#2#3#4#5#6#7#8#9#")),IF(AND(VALUE(LEFT(A482,2))&gt;=1,VALUE(LEFT(A482,2))&lt;=5),VALUE(LEFT(A482,2)),""),IF(AND(VALUE(LEFT(A482,1))&gt;=1,VALUE(LEFT(A482,1))&lt;=5),VALUE(LEFT(A482,1)),"")),""),"")</f>
        <v/>
      </c>
      <c r="N482" s="25">
        <f>IF(L482=1,IF(ISNUMBER(FIND("#"&amp;MID(H482,1,1)&amp;"#","#0#1#2#3#4#5#6#7#8#9#")),IF(ISNUMBER(FIND("#"&amp;MID(H482,2,1)&amp;"#","#0#1#2#3#4#5#6#7#8#9#")),IF(AND(VALUE(LEFT(H482,2))&gt;=1,VALUE(LEFT(H482,2))&lt;=5),VALUE(LEFT(H482,2)),""),IF(AND(VALUE(LEFT(H482,1))&gt;=1,VALUE(LEFT(H482,1))&lt;=5),VALUE(LEFT(H482,1)),"")),""),"")</f>
        <v/>
      </c>
      <c r="O482" s="25">
        <f>IF(AND(L482=1,B482&lt;&gt;""),SUBSTITUTE(SUBSTITUTE(SUBSTITUTE(SUBSTITUTE(SUBSTITUTE(SUBSTITUTE(SUBSTITUTE(SUBSTITUTE(SUBSTITUTE(SUBSTITUTE(SUBSTITUTE(SUBSTITUTE(LOWER(TRIM(B482)),"á","a"),"é","e"),"í","i"),"ó","o"),"ú","u"),"ü","u"),"ñ","n"),"à","a"),"è","e"),"ì","i"),"ò","o"),"ù","u"),"")</f>
        <v/>
      </c>
      <c r="P482" s="25">
        <f>IF(AND(L482=1,C482&lt;&gt;""),SUBSTITUTE(SUBSTITUTE(SUBSTITUTE(SUBSTITUTE(SUBSTITUTE(SUBSTITUTE(SUBSTITUTE(SUBSTITUTE(SUBSTITUTE(SUBSTITUTE(SUBSTITUTE(SUBSTITUTE(LOWER(TRIM(C482)),"á","a"),"é","e"),"í","i"),"ó","o"),"ú","u"),"ü","u"),"ñ","n"),"à","a"),"è","e"),"ì","i"),"ò","o"),"ù","u"),"")</f>
        <v/>
      </c>
      <c r="Q482" s="25">
        <f>IF(AND(L482=1,E482&lt;&gt;""),SUBSTITUTE(SUBSTITUTE(SUBSTITUTE(SUBSTITUTE(SUBSTITUTE(SUBSTITUTE(SUBSTITUTE(SUBSTITUTE(SUBSTITUTE(SUBSTITUTE(SUBSTITUTE(SUBSTITUTE(LOWER(TRIM(E482)),"á","a"),"é","e"),"í","i"),"ó","o"),"ú","u"),"ü","u"),"ñ","n"),"à","a"),"è","e"),"ì","i"),"ò","o"),"ù","u"),"")</f>
        <v/>
      </c>
      <c r="R482" s="25">
        <f>IF(AND(L482=1,I482&lt;&gt;""),SUBSTITUTE(SUBSTITUTE(SUBSTITUTE(SUBSTITUTE(SUBSTITUTE(SUBSTITUTE(SUBSTITUTE(SUBSTITUTE(SUBSTITUTE(SUBSTITUTE(SUBSTITUTE(SUBSTITUTE(LOWER(TRIM(I482)),"á","a"),"é","e"),"í","i"),"ó","o"),"ú","u"),"ü","u"),"ñ","n"),"à","a"),"è","e"),"ì","i"),"ò","o"),"ù","u"),"")</f>
        <v/>
      </c>
      <c r="S482" s="25">
        <f>IF(R482="","",IF(OR(R482="si",R482="tal vez"),1,0))</f>
        <v/>
      </c>
      <c r="T482" s="25">
        <f>IF(AND(L482=1,D482&lt;&gt;""),IF(IFERROR(COUNTIFS(D$3:D482,"="&amp;SUBSTITUTE(SUBSTITUTE(SUBSTITUTE(D482,"~","~~"),"*","~*"),"?","~?"),L$3:L482,1),0)=1,MAX(T$2:T481)+1,""),"")</f>
        <v/>
      </c>
      <c r="U482" s="25">
        <f>IF(T482="","",COUNTIFS($D$3:$D$1002,"="&amp;SUBSTITUTE(SUBSTITUTE(SUBSTITUTE(D482,"~","~~"),"*","~*"),"?","~?"),$L$3:$L$1002,1)*10000-T482)</f>
        <v/>
      </c>
      <c r="V482" s="25">
        <f>IF(AND(L482=1,J482&lt;&gt;""),IF(IFERROR(COUNTIFS(J$3:J482,"="&amp;SUBSTITUTE(SUBSTITUTE(SUBSTITUTE(J482,"~","~~"),"*","~*"),"?","~?"),L$3:L482,1),0)=1,MAX(V$2:V481)+1,""),"")</f>
        <v/>
      </c>
      <c r="W482" s="25">
        <f>IF(V482="","",COUNTIFS($J$3:$J$1002,"="&amp;SUBSTITUTE(SUBSTITUTE(SUBSTITUTE(J482,"~","~~"),"*","~*"),"?","~?"),$L$3:$L$1002,1)*10000-V482)</f>
        <v/>
      </c>
    </row>
    <row r="483">
      <c r="A483">
        <f>IF(A$2=0,"",IFERROR(TRIM(INDEX('Pegar estudiantes'!$A$1:$BZ$1001,482,A$2)&amp;""),""))</f>
        <v/>
      </c>
      <c r="B483">
        <f>IF(B$2=0,"",IFERROR(TRIM(INDEX('Pegar estudiantes'!$A$1:$BZ$1001,482,B$2)&amp;""),""))</f>
        <v/>
      </c>
      <c r="C483">
        <f>IF(C$2=0,"",IFERROR(TRIM(INDEX('Pegar estudiantes'!$A$1:$BZ$1001,482,C$2)&amp;""),""))</f>
        <v/>
      </c>
      <c r="D483">
        <f>IF(D$2=0,"",IFERROR(TRIM(INDEX('Pegar estudiantes'!$A$1:$BZ$1001,482,D$2)&amp;""),""))</f>
        <v/>
      </c>
      <c r="E483">
        <f>IF(E$2=0,"",IFERROR(TRIM(INDEX('Pegar estudiantes'!$A$1:$BZ$1001,482,E$2)&amp;""),""))</f>
        <v/>
      </c>
      <c r="F483">
        <f>IF(F$2=0,"",IFERROR(TRIM(INDEX('Pegar estudiantes'!$A$1:$BZ$1001,482,F$2)&amp;""),""))</f>
        <v/>
      </c>
      <c r="G483">
        <f>IF(G$2=0,"",IFERROR(TRIM(INDEX('Pegar estudiantes'!$A$1:$BZ$1001,482,G$2)&amp;""),""))</f>
        <v/>
      </c>
      <c r="H483">
        <f>IF(H$2=0,"",IFERROR(TRIM(INDEX('Pegar estudiantes'!$A$1:$BZ$1001,482,H$2)&amp;""),""))</f>
        <v/>
      </c>
      <c r="I483">
        <f>IF(I$2=0,"",IFERROR(TRIM(INDEX('Pegar estudiantes'!$A$1:$BZ$1001,482,I$2)&amp;""),""))</f>
        <v/>
      </c>
      <c r="J483">
        <f>IF(J$2=0,"",IFERROR(TRIM(INDEX('Pegar estudiantes'!$A$1:$BZ$1001,482,J$2)&amp;""),""))</f>
        <v/>
      </c>
      <c r="K483">
        <f>IF(K$2=0,"",IFERROR(TRIM(INDEX('Pegar estudiantes'!$A$1:$BZ$1001,482,K$2)&amp;""),""))</f>
        <v/>
      </c>
      <c r="L483" s="25">
        <f>IF(A483&lt;&gt;"",1,"")</f>
        <v/>
      </c>
      <c r="M483" s="25">
        <f>IF(L483=1,IF(ISNUMBER(FIND("#"&amp;MID(A483,1,1)&amp;"#","#0#1#2#3#4#5#6#7#8#9#")),IF(ISNUMBER(FIND("#"&amp;MID(A483,2,1)&amp;"#","#0#1#2#3#4#5#6#7#8#9#")),IF(AND(VALUE(LEFT(A483,2))&gt;=1,VALUE(LEFT(A483,2))&lt;=5),VALUE(LEFT(A483,2)),""),IF(AND(VALUE(LEFT(A483,1))&gt;=1,VALUE(LEFT(A483,1))&lt;=5),VALUE(LEFT(A483,1)),"")),""),"")</f>
        <v/>
      </c>
      <c r="N483" s="25">
        <f>IF(L483=1,IF(ISNUMBER(FIND("#"&amp;MID(H483,1,1)&amp;"#","#0#1#2#3#4#5#6#7#8#9#")),IF(ISNUMBER(FIND("#"&amp;MID(H483,2,1)&amp;"#","#0#1#2#3#4#5#6#7#8#9#")),IF(AND(VALUE(LEFT(H483,2))&gt;=1,VALUE(LEFT(H483,2))&lt;=5),VALUE(LEFT(H483,2)),""),IF(AND(VALUE(LEFT(H483,1))&gt;=1,VALUE(LEFT(H483,1))&lt;=5),VALUE(LEFT(H483,1)),"")),""),"")</f>
        <v/>
      </c>
      <c r="O483" s="25">
        <f>IF(AND(L483=1,B483&lt;&gt;""),SUBSTITUTE(SUBSTITUTE(SUBSTITUTE(SUBSTITUTE(SUBSTITUTE(SUBSTITUTE(SUBSTITUTE(SUBSTITUTE(SUBSTITUTE(SUBSTITUTE(SUBSTITUTE(SUBSTITUTE(LOWER(TRIM(B483)),"á","a"),"é","e"),"í","i"),"ó","o"),"ú","u"),"ü","u"),"ñ","n"),"à","a"),"è","e"),"ì","i"),"ò","o"),"ù","u"),"")</f>
        <v/>
      </c>
      <c r="P483" s="25">
        <f>IF(AND(L483=1,C483&lt;&gt;""),SUBSTITUTE(SUBSTITUTE(SUBSTITUTE(SUBSTITUTE(SUBSTITUTE(SUBSTITUTE(SUBSTITUTE(SUBSTITUTE(SUBSTITUTE(SUBSTITUTE(SUBSTITUTE(SUBSTITUTE(LOWER(TRIM(C483)),"á","a"),"é","e"),"í","i"),"ó","o"),"ú","u"),"ü","u"),"ñ","n"),"à","a"),"è","e"),"ì","i"),"ò","o"),"ù","u"),"")</f>
        <v/>
      </c>
      <c r="Q483" s="25">
        <f>IF(AND(L483=1,E483&lt;&gt;""),SUBSTITUTE(SUBSTITUTE(SUBSTITUTE(SUBSTITUTE(SUBSTITUTE(SUBSTITUTE(SUBSTITUTE(SUBSTITUTE(SUBSTITUTE(SUBSTITUTE(SUBSTITUTE(SUBSTITUTE(LOWER(TRIM(E483)),"á","a"),"é","e"),"í","i"),"ó","o"),"ú","u"),"ü","u"),"ñ","n"),"à","a"),"è","e"),"ì","i"),"ò","o"),"ù","u"),"")</f>
        <v/>
      </c>
      <c r="R483" s="25">
        <f>IF(AND(L483=1,I483&lt;&gt;""),SUBSTITUTE(SUBSTITUTE(SUBSTITUTE(SUBSTITUTE(SUBSTITUTE(SUBSTITUTE(SUBSTITUTE(SUBSTITUTE(SUBSTITUTE(SUBSTITUTE(SUBSTITUTE(SUBSTITUTE(LOWER(TRIM(I483)),"á","a"),"é","e"),"í","i"),"ó","o"),"ú","u"),"ü","u"),"ñ","n"),"à","a"),"è","e"),"ì","i"),"ò","o"),"ù","u"),"")</f>
        <v/>
      </c>
      <c r="S483" s="25">
        <f>IF(R483="","",IF(OR(R483="si",R483="tal vez"),1,0))</f>
        <v/>
      </c>
      <c r="T483" s="25">
        <f>IF(AND(L483=1,D483&lt;&gt;""),IF(IFERROR(COUNTIFS(D$3:D483,"="&amp;SUBSTITUTE(SUBSTITUTE(SUBSTITUTE(D483,"~","~~"),"*","~*"),"?","~?"),L$3:L483,1),0)=1,MAX(T$2:T482)+1,""),"")</f>
        <v/>
      </c>
      <c r="U483" s="25">
        <f>IF(T483="","",COUNTIFS($D$3:$D$1002,"="&amp;SUBSTITUTE(SUBSTITUTE(SUBSTITUTE(D483,"~","~~"),"*","~*"),"?","~?"),$L$3:$L$1002,1)*10000-T483)</f>
        <v/>
      </c>
      <c r="V483" s="25">
        <f>IF(AND(L483=1,J483&lt;&gt;""),IF(IFERROR(COUNTIFS(J$3:J483,"="&amp;SUBSTITUTE(SUBSTITUTE(SUBSTITUTE(J483,"~","~~"),"*","~*"),"?","~?"),L$3:L483,1),0)=1,MAX(V$2:V482)+1,""),"")</f>
        <v/>
      </c>
      <c r="W483" s="25">
        <f>IF(V483="","",COUNTIFS($J$3:$J$1002,"="&amp;SUBSTITUTE(SUBSTITUTE(SUBSTITUTE(J483,"~","~~"),"*","~*"),"?","~?"),$L$3:$L$1002,1)*10000-V483)</f>
        <v/>
      </c>
    </row>
    <row r="484">
      <c r="A484">
        <f>IF(A$2=0,"",IFERROR(TRIM(INDEX('Pegar estudiantes'!$A$1:$BZ$1001,483,A$2)&amp;""),""))</f>
        <v/>
      </c>
      <c r="B484">
        <f>IF(B$2=0,"",IFERROR(TRIM(INDEX('Pegar estudiantes'!$A$1:$BZ$1001,483,B$2)&amp;""),""))</f>
        <v/>
      </c>
      <c r="C484">
        <f>IF(C$2=0,"",IFERROR(TRIM(INDEX('Pegar estudiantes'!$A$1:$BZ$1001,483,C$2)&amp;""),""))</f>
        <v/>
      </c>
      <c r="D484">
        <f>IF(D$2=0,"",IFERROR(TRIM(INDEX('Pegar estudiantes'!$A$1:$BZ$1001,483,D$2)&amp;""),""))</f>
        <v/>
      </c>
      <c r="E484">
        <f>IF(E$2=0,"",IFERROR(TRIM(INDEX('Pegar estudiantes'!$A$1:$BZ$1001,483,E$2)&amp;""),""))</f>
        <v/>
      </c>
      <c r="F484">
        <f>IF(F$2=0,"",IFERROR(TRIM(INDEX('Pegar estudiantes'!$A$1:$BZ$1001,483,F$2)&amp;""),""))</f>
        <v/>
      </c>
      <c r="G484">
        <f>IF(G$2=0,"",IFERROR(TRIM(INDEX('Pegar estudiantes'!$A$1:$BZ$1001,483,G$2)&amp;""),""))</f>
        <v/>
      </c>
      <c r="H484">
        <f>IF(H$2=0,"",IFERROR(TRIM(INDEX('Pegar estudiantes'!$A$1:$BZ$1001,483,H$2)&amp;""),""))</f>
        <v/>
      </c>
      <c r="I484">
        <f>IF(I$2=0,"",IFERROR(TRIM(INDEX('Pegar estudiantes'!$A$1:$BZ$1001,483,I$2)&amp;""),""))</f>
        <v/>
      </c>
      <c r="J484">
        <f>IF(J$2=0,"",IFERROR(TRIM(INDEX('Pegar estudiantes'!$A$1:$BZ$1001,483,J$2)&amp;""),""))</f>
        <v/>
      </c>
      <c r="K484">
        <f>IF(K$2=0,"",IFERROR(TRIM(INDEX('Pegar estudiantes'!$A$1:$BZ$1001,483,K$2)&amp;""),""))</f>
        <v/>
      </c>
      <c r="L484" s="25">
        <f>IF(A484&lt;&gt;"",1,"")</f>
        <v/>
      </c>
      <c r="M484" s="25">
        <f>IF(L484=1,IF(ISNUMBER(FIND("#"&amp;MID(A484,1,1)&amp;"#","#0#1#2#3#4#5#6#7#8#9#")),IF(ISNUMBER(FIND("#"&amp;MID(A484,2,1)&amp;"#","#0#1#2#3#4#5#6#7#8#9#")),IF(AND(VALUE(LEFT(A484,2))&gt;=1,VALUE(LEFT(A484,2))&lt;=5),VALUE(LEFT(A484,2)),""),IF(AND(VALUE(LEFT(A484,1))&gt;=1,VALUE(LEFT(A484,1))&lt;=5),VALUE(LEFT(A484,1)),"")),""),"")</f>
        <v/>
      </c>
      <c r="N484" s="25">
        <f>IF(L484=1,IF(ISNUMBER(FIND("#"&amp;MID(H484,1,1)&amp;"#","#0#1#2#3#4#5#6#7#8#9#")),IF(ISNUMBER(FIND("#"&amp;MID(H484,2,1)&amp;"#","#0#1#2#3#4#5#6#7#8#9#")),IF(AND(VALUE(LEFT(H484,2))&gt;=1,VALUE(LEFT(H484,2))&lt;=5),VALUE(LEFT(H484,2)),""),IF(AND(VALUE(LEFT(H484,1))&gt;=1,VALUE(LEFT(H484,1))&lt;=5),VALUE(LEFT(H484,1)),"")),""),"")</f>
        <v/>
      </c>
      <c r="O484" s="25">
        <f>IF(AND(L484=1,B484&lt;&gt;""),SUBSTITUTE(SUBSTITUTE(SUBSTITUTE(SUBSTITUTE(SUBSTITUTE(SUBSTITUTE(SUBSTITUTE(SUBSTITUTE(SUBSTITUTE(SUBSTITUTE(SUBSTITUTE(SUBSTITUTE(LOWER(TRIM(B484)),"á","a"),"é","e"),"í","i"),"ó","o"),"ú","u"),"ü","u"),"ñ","n"),"à","a"),"è","e"),"ì","i"),"ò","o"),"ù","u"),"")</f>
        <v/>
      </c>
      <c r="P484" s="25">
        <f>IF(AND(L484=1,C484&lt;&gt;""),SUBSTITUTE(SUBSTITUTE(SUBSTITUTE(SUBSTITUTE(SUBSTITUTE(SUBSTITUTE(SUBSTITUTE(SUBSTITUTE(SUBSTITUTE(SUBSTITUTE(SUBSTITUTE(SUBSTITUTE(LOWER(TRIM(C484)),"á","a"),"é","e"),"í","i"),"ó","o"),"ú","u"),"ü","u"),"ñ","n"),"à","a"),"è","e"),"ì","i"),"ò","o"),"ù","u"),"")</f>
        <v/>
      </c>
      <c r="Q484" s="25">
        <f>IF(AND(L484=1,E484&lt;&gt;""),SUBSTITUTE(SUBSTITUTE(SUBSTITUTE(SUBSTITUTE(SUBSTITUTE(SUBSTITUTE(SUBSTITUTE(SUBSTITUTE(SUBSTITUTE(SUBSTITUTE(SUBSTITUTE(SUBSTITUTE(LOWER(TRIM(E484)),"á","a"),"é","e"),"í","i"),"ó","o"),"ú","u"),"ü","u"),"ñ","n"),"à","a"),"è","e"),"ì","i"),"ò","o"),"ù","u"),"")</f>
        <v/>
      </c>
      <c r="R484" s="25">
        <f>IF(AND(L484=1,I484&lt;&gt;""),SUBSTITUTE(SUBSTITUTE(SUBSTITUTE(SUBSTITUTE(SUBSTITUTE(SUBSTITUTE(SUBSTITUTE(SUBSTITUTE(SUBSTITUTE(SUBSTITUTE(SUBSTITUTE(SUBSTITUTE(LOWER(TRIM(I484)),"á","a"),"é","e"),"í","i"),"ó","o"),"ú","u"),"ü","u"),"ñ","n"),"à","a"),"è","e"),"ì","i"),"ò","o"),"ù","u"),"")</f>
        <v/>
      </c>
      <c r="S484" s="25">
        <f>IF(R484="","",IF(OR(R484="si",R484="tal vez"),1,0))</f>
        <v/>
      </c>
      <c r="T484" s="25">
        <f>IF(AND(L484=1,D484&lt;&gt;""),IF(IFERROR(COUNTIFS(D$3:D484,"="&amp;SUBSTITUTE(SUBSTITUTE(SUBSTITUTE(D484,"~","~~"),"*","~*"),"?","~?"),L$3:L484,1),0)=1,MAX(T$2:T483)+1,""),"")</f>
        <v/>
      </c>
      <c r="U484" s="25">
        <f>IF(T484="","",COUNTIFS($D$3:$D$1002,"="&amp;SUBSTITUTE(SUBSTITUTE(SUBSTITUTE(D484,"~","~~"),"*","~*"),"?","~?"),$L$3:$L$1002,1)*10000-T484)</f>
        <v/>
      </c>
      <c r="V484" s="25">
        <f>IF(AND(L484=1,J484&lt;&gt;""),IF(IFERROR(COUNTIFS(J$3:J484,"="&amp;SUBSTITUTE(SUBSTITUTE(SUBSTITUTE(J484,"~","~~"),"*","~*"),"?","~?"),L$3:L484,1),0)=1,MAX(V$2:V483)+1,""),"")</f>
        <v/>
      </c>
      <c r="W484" s="25">
        <f>IF(V484="","",COUNTIFS($J$3:$J$1002,"="&amp;SUBSTITUTE(SUBSTITUTE(SUBSTITUTE(J484,"~","~~"),"*","~*"),"?","~?"),$L$3:$L$1002,1)*10000-V484)</f>
        <v/>
      </c>
    </row>
    <row r="485">
      <c r="A485">
        <f>IF(A$2=0,"",IFERROR(TRIM(INDEX('Pegar estudiantes'!$A$1:$BZ$1001,484,A$2)&amp;""),""))</f>
        <v/>
      </c>
      <c r="B485">
        <f>IF(B$2=0,"",IFERROR(TRIM(INDEX('Pegar estudiantes'!$A$1:$BZ$1001,484,B$2)&amp;""),""))</f>
        <v/>
      </c>
      <c r="C485">
        <f>IF(C$2=0,"",IFERROR(TRIM(INDEX('Pegar estudiantes'!$A$1:$BZ$1001,484,C$2)&amp;""),""))</f>
        <v/>
      </c>
      <c r="D485">
        <f>IF(D$2=0,"",IFERROR(TRIM(INDEX('Pegar estudiantes'!$A$1:$BZ$1001,484,D$2)&amp;""),""))</f>
        <v/>
      </c>
      <c r="E485">
        <f>IF(E$2=0,"",IFERROR(TRIM(INDEX('Pegar estudiantes'!$A$1:$BZ$1001,484,E$2)&amp;""),""))</f>
        <v/>
      </c>
      <c r="F485">
        <f>IF(F$2=0,"",IFERROR(TRIM(INDEX('Pegar estudiantes'!$A$1:$BZ$1001,484,F$2)&amp;""),""))</f>
        <v/>
      </c>
      <c r="G485">
        <f>IF(G$2=0,"",IFERROR(TRIM(INDEX('Pegar estudiantes'!$A$1:$BZ$1001,484,G$2)&amp;""),""))</f>
        <v/>
      </c>
      <c r="H485">
        <f>IF(H$2=0,"",IFERROR(TRIM(INDEX('Pegar estudiantes'!$A$1:$BZ$1001,484,H$2)&amp;""),""))</f>
        <v/>
      </c>
      <c r="I485">
        <f>IF(I$2=0,"",IFERROR(TRIM(INDEX('Pegar estudiantes'!$A$1:$BZ$1001,484,I$2)&amp;""),""))</f>
        <v/>
      </c>
      <c r="J485">
        <f>IF(J$2=0,"",IFERROR(TRIM(INDEX('Pegar estudiantes'!$A$1:$BZ$1001,484,J$2)&amp;""),""))</f>
        <v/>
      </c>
      <c r="K485">
        <f>IF(K$2=0,"",IFERROR(TRIM(INDEX('Pegar estudiantes'!$A$1:$BZ$1001,484,K$2)&amp;""),""))</f>
        <v/>
      </c>
      <c r="L485" s="25">
        <f>IF(A485&lt;&gt;"",1,"")</f>
        <v/>
      </c>
      <c r="M485" s="25">
        <f>IF(L485=1,IF(ISNUMBER(FIND("#"&amp;MID(A485,1,1)&amp;"#","#0#1#2#3#4#5#6#7#8#9#")),IF(ISNUMBER(FIND("#"&amp;MID(A485,2,1)&amp;"#","#0#1#2#3#4#5#6#7#8#9#")),IF(AND(VALUE(LEFT(A485,2))&gt;=1,VALUE(LEFT(A485,2))&lt;=5),VALUE(LEFT(A485,2)),""),IF(AND(VALUE(LEFT(A485,1))&gt;=1,VALUE(LEFT(A485,1))&lt;=5),VALUE(LEFT(A485,1)),"")),""),"")</f>
        <v/>
      </c>
      <c r="N485" s="25">
        <f>IF(L485=1,IF(ISNUMBER(FIND("#"&amp;MID(H485,1,1)&amp;"#","#0#1#2#3#4#5#6#7#8#9#")),IF(ISNUMBER(FIND("#"&amp;MID(H485,2,1)&amp;"#","#0#1#2#3#4#5#6#7#8#9#")),IF(AND(VALUE(LEFT(H485,2))&gt;=1,VALUE(LEFT(H485,2))&lt;=5),VALUE(LEFT(H485,2)),""),IF(AND(VALUE(LEFT(H485,1))&gt;=1,VALUE(LEFT(H485,1))&lt;=5),VALUE(LEFT(H485,1)),"")),""),"")</f>
        <v/>
      </c>
      <c r="O485" s="25">
        <f>IF(AND(L485=1,B485&lt;&gt;""),SUBSTITUTE(SUBSTITUTE(SUBSTITUTE(SUBSTITUTE(SUBSTITUTE(SUBSTITUTE(SUBSTITUTE(SUBSTITUTE(SUBSTITUTE(SUBSTITUTE(SUBSTITUTE(SUBSTITUTE(LOWER(TRIM(B485)),"á","a"),"é","e"),"í","i"),"ó","o"),"ú","u"),"ü","u"),"ñ","n"),"à","a"),"è","e"),"ì","i"),"ò","o"),"ù","u"),"")</f>
        <v/>
      </c>
      <c r="P485" s="25">
        <f>IF(AND(L485=1,C485&lt;&gt;""),SUBSTITUTE(SUBSTITUTE(SUBSTITUTE(SUBSTITUTE(SUBSTITUTE(SUBSTITUTE(SUBSTITUTE(SUBSTITUTE(SUBSTITUTE(SUBSTITUTE(SUBSTITUTE(SUBSTITUTE(LOWER(TRIM(C485)),"á","a"),"é","e"),"í","i"),"ó","o"),"ú","u"),"ü","u"),"ñ","n"),"à","a"),"è","e"),"ì","i"),"ò","o"),"ù","u"),"")</f>
        <v/>
      </c>
      <c r="Q485" s="25">
        <f>IF(AND(L485=1,E485&lt;&gt;""),SUBSTITUTE(SUBSTITUTE(SUBSTITUTE(SUBSTITUTE(SUBSTITUTE(SUBSTITUTE(SUBSTITUTE(SUBSTITUTE(SUBSTITUTE(SUBSTITUTE(SUBSTITUTE(SUBSTITUTE(LOWER(TRIM(E485)),"á","a"),"é","e"),"í","i"),"ó","o"),"ú","u"),"ü","u"),"ñ","n"),"à","a"),"è","e"),"ì","i"),"ò","o"),"ù","u"),"")</f>
        <v/>
      </c>
      <c r="R485" s="25">
        <f>IF(AND(L485=1,I485&lt;&gt;""),SUBSTITUTE(SUBSTITUTE(SUBSTITUTE(SUBSTITUTE(SUBSTITUTE(SUBSTITUTE(SUBSTITUTE(SUBSTITUTE(SUBSTITUTE(SUBSTITUTE(SUBSTITUTE(SUBSTITUTE(LOWER(TRIM(I485)),"á","a"),"é","e"),"í","i"),"ó","o"),"ú","u"),"ü","u"),"ñ","n"),"à","a"),"è","e"),"ì","i"),"ò","o"),"ù","u"),"")</f>
        <v/>
      </c>
      <c r="S485" s="25">
        <f>IF(R485="","",IF(OR(R485="si",R485="tal vez"),1,0))</f>
        <v/>
      </c>
      <c r="T485" s="25">
        <f>IF(AND(L485=1,D485&lt;&gt;""),IF(IFERROR(COUNTIFS(D$3:D485,"="&amp;SUBSTITUTE(SUBSTITUTE(SUBSTITUTE(D485,"~","~~"),"*","~*"),"?","~?"),L$3:L485,1),0)=1,MAX(T$2:T484)+1,""),"")</f>
        <v/>
      </c>
      <c r="U485" s="25">
        <f>IF(T485="","",COUNTIFS($D$3:$D$1002,"="&amp;SUBSTITUTE(SUBSTITUTE(SUBSTITUTE(D485,"~","~~"),"*","~*"),"?","~?"),$L$3:$L$1002,1)*10000-T485)</f>
        <v/>
      </c>
      <c r="V485" s="25">
        <f>IF(AND(L485=1,J485&lt;&gt;""),IF(IFERROR(COUNTIFS(J$3:J485,"="&amp;SUBSTITUTE(SUBSTITUTE(SUBSTITUTE(J485,"~","~~"),"*","~*"),"?","~?"),L$3:L485,1),0)=1,MAX(V$2:V484)+1,""),"")</f>
        <v/>
      </c>
      <c r="W485" s="25">
        <f>IF(V485="","",COUNTIFS($J$3:$J$1002,"="&amp;SUBSTITUTE(SUBSTITUTE(SUBSTITUTE(J485,"~","~~"),"*","~*"),"?","~?"),$L$3:$L$1002,1)*10000-V485)</f>
        <v/>
      </c>
    </row>
    <row r="486">
      <c r="A486">
        <f>IF(A$2=0,"",IFERROR(TRIM(INDEX('Pegar estudiantes'!$A$1:$BZ$1001,485,A$2)&amp;""),""))</f>
        <v/>
      </c>
      <c r="B486">
        <f>IF(B$2=0,"",IFERROR(TRIM(INDEX('Pegar estudiantes'!$A$1:$BZ$1001,485,B$2)&amp;""),""))</f>
        <v/>
      </c>
      <c r="C486">
        <f>IF(C$2=0,"",IFERROR(TRIM(INDEX('Pegar estudiantes'!$A$1:$BZ$1001,485,C$2)&amp;""),""))</f>
        <v/>
      </c>
      <c r="D486">
        <f>IF(D$2=0,"",IFERROR(TRIM(INDEX('Pegar estudiantes'!$A$1:$BZ$1001,485,D$2)&amp;""),""))</f>
        <v/>
      </c>
      <c r="E486">
        <f>IF(E$2=0,"",IFERROR(TRIM(INDEX('Pegar estudiantes'!$A$1:$BZ$1001,485,E$2)&amp;""),""))</f>
        <v/>
      </c>
      <c r="F486">
        <f>IF(F$2=0,"",IFERROR(TRIM(INDEX('Pegar estudiantes'!$A$1:$BZ$1001,485,F$2)&amp;""),""))</f>
        <v/>
      </c>
      <c r="G486">
        <f>IF(G$2=0,"",IFERROR(TRIM(INDEX('Pegar estudiantes'!$A$1:$BZ$1001,485,G$2)&amp;""),""))</f>
        <v/>
      </c>
      <c r="H486">
        <f>IF(H$2=0,"",IFERROR(TRIM(INDEX('Pegar estudiantes'!$A$1:$BZ$1001,485,H$2)&amp;""),""))</f>
        <v/>
      </c>
      <c r="I486">
        <f>IF(I$2=0,"",IFERROR(TRIM(INDEX('Pegar estudiantes'!$A$1:$BZ$1001,485,I$2)&amp;""),""))</f>
        <v/>
      </c>
      <c r="J486">
        <f>IF(J$2=0,"",IFERROR(TRIM(INDEX('Pegar estudiantes'!$A$1:$BZ$1001,485,J$2)&amp;""),""))</f>
        <v/>
      </c>
      <c r="K486">
        <f>IF(K$2=0,"",IFERROR(TRIM(INDEX('Pegar estudiantes'!$A$1:$BZ$1001,485,K$2)&amp;""),""))</f>
        <v/>
      </c>
      <c r="L486" s="25">
        <f>IF(A486&lt;&gt;"",1,"")</f>
        <v/>
      </c>
      <c r="M486" s="25">
        <f>IF(L486=1,IF(ISNUMBER(FIND("#"&amp;MID(A486,1,1)&amp;"#","#0#1#2#3#4#5#6#7#8#9#")),IF(ISNUMBER(FIND("#"&amp;MID(A486,2,1)&amp;"#","#0#1#2#3#4#5#6#7#8#9#")),IF(AND(VALUE(LEFT(A486,2))&gt;=1,VALUE(LEFT(A486,2))&lt;=5),VALUE(LEFT(A486,2)),""),IF(AND(VALUE(LEFT(A486,1))&gt;=1,VALUE(LEFT(A486,1))&lt;=5),VALUE(LEFT(A486,1)),"")),""),"")</f>
        <v/>
      </c>
      <c r="N486" s="25">
        <f>IF(L486=1,IF(ISNUMBER(FIND("#"&amp;MID(H486,1,1)&amp;"#","#0#1#2#3#4#5#6#7#8#9#")),IF(ISNUMBER(FIND("#"&amp;MID(H486,2,1)&amp;"#","#0#1#2#3#4#5#6#7#8#9#")),IF(AND(VALUE(LEFT(H486,2))&gt;=1,VALUE(LEFT(H486,2))&lt;=5),VALUE(LEFT(H486,2)),""),IF(AND(VALUE(LEFT(H486,1))&gt;=1,VALUE(LEFT(H486,1))&lt;=5),VALUE(LEFT(H486,1)),"")),""),"")</f>
        <v/>
      </c>
      <c r="O486" s="25">
        <f>IF(AND(L486=1,B486&lt;&gt;""),SUBSTITUTE(SUBSTITUTE(SUBSTITUTE(SUBSTITUTE(SUBSTITUTE(SUBSTITUTE(SUBSTITUTE(SUBSTITUTE(SUBSTITUTE(SUBSTITUTE(SUBSTITUTE(SUBSTITUTE(LOWER(TRIM(B486)),"á","a"),"é","e"),"í","i"),"ó","o"),"ú","u"),"ü","u"),"ñ","n"),"à","a"),"è","e"),"ì","i"),"ò","o"),"ù","u"),"")</f>
        <v/>
      </c>
      <c r="P486" s="25">
        <f>IF(AND(L486=1,C486&lt;&gt;""),SUBSTITUTE(SUBSTITUTE(SUBSTITUTE(SUBSTITUTE(SUBSTITUTE(SUBSTITUTE(SUBSTITUTE(SUBSTITUTE(SUBSTITUTE(SUBSTITUTE(SUBSTITUTE(SUBSTITUTE(LOWER(TRIM(C486)),"á","a"),"é","e"),"í","i"),"ó","o"),"ú","u"),"ü","u"),"ñ","n"),"à","a"),"è","e"),"ì","i"),"ò","o"),"ù","u"),"")</f>
        <v/>
      </c>
      <c r="Q486" s="25">
        <f>IF(AND(L486=1,E486&lt;&gt;""),SUBSTITUTE(SUBSTITUTE(SUBSTITUTE(SUBSTITUTE(SUBSTITUTE(SUBSTITUTE(SUBSTITUTE(SUBSTITUTE(SUBSTITUTE(SUBSTITUTE(SUBSTITUTE(SUBSTITUTE(LOWER(TRIM(E486)),"á","a"),"é","e"),"í","i"),"ó","o"),"ú","u"),"ü","u"),"ñ","n"),"à","a"),"è","e"),"ì","i"),"ò","o"),"ù","u"),"")</f>
        <v/>
      </c>
      <c r="R486" s="25">
        <f>IF(AND(L486=1,I486&lt;&gt;""),SUBSTITUTE(SUBSTITUTE(SUBSTITUTE(SUBSTITUTE(SUBSTITUTE(SUBSTITUTE(SUBSTITUTE(SUBSTITUTE(SUBSTITUTE(SUBSTITUTE(SUBSTITUTE(SUBSTITUTE(LOWER(TRIM(I486)),"á","a"),"é","e"),"í","i"),"ó","o"),"ú","u"),"ü","u"),"ñ","n"),"à","a"),"è","e"),"ì","i"),"ò","o"),"ù","u"),"")</f>
        <v/>
      </c>
      <c r="S486" s="25">
        <f>IF(R486="","",IF(OR(R486="si",R486="tal vez"),1,0))</f>
        <v/>
      </c>
      <c r="T486" s="25">
        <f>IF(AND(L486=1,D486&lt;&gt;""),IF(IFERROR(COUNTIFS(D$3:D486,"="&amp;SUBSTITUTE(SUBSTITUTE(SUBSTITUTE(D486,"~","~~"),"*","~*"),"?","~?"),L$3:L486,1),0)=1,MAX(T$2:T485)+1,""),"")</f>
        <v/>
      </c>
      <c r="U486" s="25">
        <f>IF(T486="","",COUNTIFS($D$3:$D$1002,"="&amp;SUBSTITUTE(SUBSTITUTE(SUBSTITUTE(D486,"~","~~"),"*","~*"),"?","~?"),$L$3:$L$1002,1)*10000-T486)</f>
        <v/>
      </c>
      <c r="V486" s="25">
        <f>IF(AND(L486=1,J486&lt;&gt;""),IF(IFERROR(COUNTIFS(J$3:J486,"="&amp;SUBSTITUTE(SUBSTITUTE(SUBSTITUTE(J486,"~","~~"),"*","~*"),"?","~?"),L$3:L486,1),0)=1,MAX(V$2:V485)+1,""),"")</f>
        <v/>
      </c>
      <c r="W486" s="25">
        <f>IF(V486="","",COUNTIFS($J$3:$J$1002,"="&amp;SUBSTITUTE(SUBSTITUTE(SUBSTITUTE(J486,"~","~~"),"*","~*"),"?","~?"),$L$3:$L$1002,1)*10000-V486)</f>
        <v/>
      </c>
    </row>
    <row r="487">
      <c r="A487">
        <f>IF(A$2=0,"",IFERROR(TRIM(INDEX('Pegar estudiantes'!$A$1:$BZ$1001,486,A$2)&amp;""),""))</f>
        <v/>
      </c>
      <c r="B487">
        <f>IF(B$2=0,"",IFERROR(TRIM(INDEX('Pegar estudiantes'!$A$1:$BZ$1001,486,B$2)&amp;""),""))</f>
        <v/>
      </c>
      <c r="C487">
        <f>IF(C$2=0,"",IFERROR(TRIM(INDEX('Pegar estudiantes'!$A$1:$BZ$1001,486,C$2)&amp;""),""))</f>
        <v/>
      </c>
      <c r="D487">
        <f>IF(D$2=0,"",IFERROR(TRIM(INDEX('Pegar estudiantes'!$A$1:$BZ$1001,486,D$2)&amp;""),""))</f>
        <v/>
      </c>
      <c r="E487">
        <f>IF(E$2=0,"",IFERROR(TRIM(INDEX('Pegar estudiantes'!$A$1:$BZ$1001,486,E$2)&amp;""),""))</f>
        <v/>
      </c>
      <c r="F487">
        <f>IF(F$2=0,"",IFERROR(TRIM(INDEX('Pegar estudiantes'!$A$1:$BZ$1001,486,F$2)&amp;""),""))</f>
        <v/>
      </c>
      <c r="G487">
        <f>IF(G$2=0,"",IFERROR(TRIM(INDEX('Pegar estudiantes'!$A$1:$BZ$1001,486,G$2)&amp;""),""))</f>
        <v/>
      </c>
      <c r="H487">
        <f>IF(H$2=0,"",IFERROR(TRIM(INDEX('Pegar estudiantes'!$A$1:$BZ$1001,486,H$2)&amp;""),""))</f>
        <v/>
      </c>
      <c r="I487">
        <f>IF(I$2=0,"",IFERROR(TRIM(INDEX('Pegar estudiantes'!$A$1:$BZ$1001,486,I$2)&amp;""),""))</f>
        <v/>
      </c>
      <c r="J487">
        <f>IF(J$2=0,"",IFERROR(TRIM(INDEX('Pegar estudiantes'!$A$1:$BZ$1001,486,J$2)&amp;""),""))</f>
        <v/>
      </c>
      <c r="K487">
        <f>IF(K$2=0,"",IFERROR(TRIM(INDEX('Pegar estudiantes'!$A$1:$BZ$1001,486,K$2)&amp;""),""))</f>
        <v/>
      </c>
      <c r="L487" s="25">
        <f>IF(A487&lt;&gt;"",1,"")</f>
        <v/>
      </c>
      <c r="M487" s="25">
        <f>IF(L487=1,IF(ISNUMBER(FIND("#"&amp;MID(A487,1,1)&amp;"#","#0#1#2#3#4#5#6#7#8#9#")),IF(ISNUMBER(FIND("#"&amp;MID(A487,2,1)&amp;"#","#0#1#2#3#4#5#6#7#8#9#")),IF(AND(VALUE(LEFT(A487,2))&gt;=1,VALUE(LEFT(A487,2))&lt;=5),VALUE(LEFT(A487,2)),""),IF(AND(VALUE(LEFT(A487,1))&gt;=1,VALUE(LEFT(A487,1))&lt;=5),VALUE(LEFT(A487,1)),"")),""),"")</f>
        <v/>
      </c>
      <c r="N487" s="25">
        <f>IF(L487=1,IF(ISNUMBER(FIND("#"&amp;MID(H487,1,1)&amp;"#","#0#1#2#3#4#5#6#7#8#9#")),IF(ISNUMBER(FIND("#"&amp;MID(H487,2,1)&amp;"#","#0#1#2#3#4#5#6#7#8#9#")),IF(AND(VALUE(LEFT(H487,2))&gt;=1,VALUE(LEFT(H487,2))&lt;=5),VALUE(LEFT(H487,2)),""),IF(AND(VALUE(LEFT(H487,1))&gt;=1,VALUE(LEFT(H487,1))&lt;=5),VALUE(LEFT(H487,1)),"")),""),"")</f>
        <v/>
      </c>
      <c r="O487" s="25">
        <f>IF(AND(L487=1,B487&lt;&gt;""),SUBSTITUTE(SUBSTITUTE(SUBSTITUTE(SUBSTITUTE(SUBSTITUTE(SUBSTITUTE(SUBSTITUTE(SUBSTITUTE(SUBSTITUTE(SUBSTITUTE(SUBSTITUTE(SUBSTITUTE(LOWER(TRIM(B487)),"á","a"),"é","e"),"í","i"),"ó","o"),"ú","u"),"ü","u"),"ñ","n"),"à","a"),"è","e"),"ì","i"),"ò","o"),"ù","u"),"")</f>
        <v/>
      </c>
      <c r="P487" s="25">
        <f>IF(AND(L487=1,C487&lt;&gt;""),SUBSTITUTE(SUBSTITUTE(SUBSTITUTE(SUBSTITUTE(SUBSTITUTE(SUBSTITUTE(SUBSTITUTE(SUBSTITUTE(SUBSTITUTE(SUBSTITUTE(SUBSTITUTE(SUBSTITUTE(LOWER(TRIM(C487)),"á","a"),"é","e"),"í","i"),"ó","o"),"ú","u"),"ü","u"),"ñ","n"),"à","a"),"è","e"),"ì","i"),"ò","o"),"ù","u"),"")</f>
        <v/>
      </c>
      <c r="Q487" s="25">
        <f>IF(AND(L487=1,E487&lt;&gt;""),SUBSTITUTE(SUBSTITUTE(SUBSTITUTE(SUBSTITUTE(SUBSTITUTE(SUBSTITUTE(SUBSTITUTE(SUBSTITUTE(SUBSTITUTE(SUBSTITUTE(SUBSTITUTE(SUBSTITUTE(LOWER(TRIM(E487)),"á","a"),"é","e"),"í","i"),"ó","o"),"ú","u"),"ü","u"),"ñ","n"),"à","a"),"è","e"),"ì","i"),"ò","o"),"ù","u"),"")</f>
        <v/>
      </c>
      <c r="R487" s="25">
        <f>IF(AND(L487=1,I487&lt;&gt;""),SUBSTITUTE(SUBSTITUTE(SUBSTITUTE(SUBSTITUTE(SUBSTITUTE(SUBSTITUTE(SUBSTITUTE(SUBSTITUTE(SUBSTITUTE(SUBSTITUTE(SUBSTITUTE(SUBSTITUTE(LOWER(TRIM(I487)),"á","a"),"é","e"),"í","i"),"ó","o"),"ú","u"),"ü","u"),"ñ","n"),"à","a"),"è","e"),"ì","i"),"ò","o"),"ù","u"),"")</f>
        <v/>
      </c>
      <c r="S487" s="25">
        <f>IF(R487="","",IF(OR(R487="si",R487="tal vez"),1,0))</f>
        <v/>
      </c>
      <c r="T487" s="25">
        <f>IF(AND(L487=1,D487&lt;&gt;""),IF(IFERROR(COUNTIFS(D$3:D487,"="&amp;SUBSTITUTE(SUBSTITUTE(SUBSTITUTE(D487,"~","~~"),"*","~*"),"?","~?"),L$3:L487,1),0)=1,MAX(T$2:T486)+1,""),"")</f>
        <v/>
      </c>
      <c r="U487" s="25">
        <f>IF(T487="","",COUNTIFS($D$3:$D$1002,"="&amp;SUBSTITUTE(SUBSTITUTE(SUBSTITUTE(D487,"~","~~"),"*","~*"),"?","~?"),$L$3:$L$1002,1)*10000-T487)</f>
        <v/>
      </c>
      <c r="V487" s="25">
        <f>IF(AND(L487=1,J487&lt;&gt;""),IF(IFERROR(COUNTIFS(J$3:J487,"="&amp;SUBSTITUTE(SUBSTITUTE(SUBSTITUTE(J487,"~","~~"),"*","~*"),"?","~?"),L$3:L487,1),0)=1,MAX(V$2:V486)+1,""),"")</f>
        <v/>
      </c>
      <c r="W487" s="25">
        <f>IF(V487="","",COUNTIFS($J$3:$J$1002,"="&amp;SUBSTITUTE(SUBSTITUTE(SUBSTITUTE(J487,"~","~~"),"*","~*"),"?","~?"),$L$3:$L$1002,1)*10000-V487)</f>
        <v/>
      </c>
    </row>
    <row r="488">
      <c r="A488">
        <f>IF(A$2=0,"",IFERROR(TRIM(INDEX('Pegar estudiantes'!$A$1:$BZ$1001,487,A$2)&amp;""),""))</f>
        <v/>
      </c>
      <c r="B488">
        <f>IF(B$2=0,"",IFERROR(TRIM(INDEX('Pegar estudiantes'!$A$1:$BZ$1001,487,B$2)&amp;""),""))</f>
        <v/>
      </c>
      <c r="C488">
        <f>IF(C$2=0,"",IFERROR(TRIM(INDEX('Pegar estudiantes'!$A$1:$BZ$1001,487,C$2)&amp;""),""))</f>
        <v/>
      </c>
      <c r="D488">
        <f>IF(D$2=0,"",IFERROR(TRIM(INDEX('Pegar estudiantes'!$A$1:$BZ$1001,487,D$2)&amp;""),""))</f>
        <v/>
      </c>
      <c r="E488">
        <f>IF(E$2=0,"",IFERROR(TRIM(INDEX('Pegar estudiantes'!$A$1:$BZ$1001,487,E$2)&amp;""),""))</f>
        <v/>
      </c>
      <c r="F488">
        <f>IF(F$2=0,"",IFERROR(TRIM(INDEX('Pegar estudiantes'!$A$1:$BZ$1001,487,F$2)&amp;""),""))</f>
        <v/>
      </c>
      <c r="G488">
        <f>IF(G$2=0,"",IFERROR(TRIM(INDEX('Pegar estudiantes'!$A$1:$BZ$1001,487,G$2)&amp;""),""))</f>
        <v/>
      </c>
      <c r="H488">
        <f>IF(H$2=0,"",IFERROR(TRIM(INDEX('Pegar estudiantes'!$A$1:$BZ$1001,487,H$2)&amp;""),""))</f>
        <v/>
      </c>
      <c r="I488">
        <f>IF(I$2=0,"",IFERROR(TRIM(INDEX('Pegar estudiantes'!$A$1:$BZ$1001,487,I$2)&amp;""),""))</f>
        <v/>
      </c>
      <c r="J488">
        <f>IF(J$2=0,"",IFERROR(TRIM(INDEX('Pegar estudiantes'!$A$1:$BZ$1001,487,J$2)&amp;""),""))</f>
        <v/>
      </c>
      <c r="K488">
        <f>IF(K$2=0,"",IFERROR(TRIM(INDEX('Pegar estudiantes'!$A$1:$BZ$1001,487,K$2)&amp;""),""))</f>
        <v/>
      </c>
      <c r="L488" s="25">
        <f>IF(A488&lt;&gt;"",1,"")</f>
        <v/>
      </c>
      <c r="M488" s="25">
        <f>IF(L488=1,IF(ISNUMBER(FIND("#"&amp;MID(A488,1,1)&amp;"#","#0#1#2#3#4#5#6#7#8#9#")),IF(ISNUMBER(FIND("#"&amp;MID(A488,2,1)&amp;"#","#0#1#2#3#4#5#6#7#8#9#")),IF(AND(VALUE(LEFT(A488,2))&gt;=1,VALUE(LEFT(A488,2))&lt;=5),VALUE(LEFT(A488,2)),""),IF(AND(VALUE(LEFT(A488,1))&gt;=1,VALUE(LEFT(A488,1))&lt;=5),VALUE(LEFT(A488,1)),"")),""),"")</f>
        <v/>
      </c>
      <c r="N488" s="25">
        <f>IF(L488=1,IF(ISNUMBER(FIND("#"&amp;MID(H488,1,1)&amp;"#","#0#1#2#3#4#5#6#7#8#9#")),IF(ISNUMBER(FIND("#"&amp;MID(H488,2,1)&amp;"#","#0#1#2#3#4#5#6#7#8#9#")),IF(AND(VALUE(LEFT(H488,2))&gt;=1,VALUE(LEFT(H488,2))&lt;=5),VALUE(LEFT(H488,2)),""),IF(AND(VALUE(LEFT(H488,1))&gt;=1,VALUE(LEFT(H488,1))&lt;=5),VALUE(LEFT(H488,1)),"")),""),"")</f>
        <v/>
      </c>
      <c r="O488" s="25">
        <f>IF(AND(L488=1,B488&lt;&gt;""),SUBSTITUTE(SUBSTITUTE(SUBSTITUTE(SUBSTITUTE(SUBSTITUTE(SUBSTITUTE(SUBSTITUTE(SUBSTITUTE(SUBSTITUTE(SUBSTITUTE(SUBSTITUTE(SUBSTITUTE(LOWER(TRIM(B488)),"á","a"),"é","e"),"í","i"),"ó","o"),"ú","u"),"ü","u"),"ñ","n"),"à","a"),"è","e"),"ì","i"),"ò","o"),"ù","u"),"")</f>
        <v/>
      </c>
      <c r="P488" s="25">
        <f>IF(AND(L488=1,C488&lt;&gt;""),SUBSTITUTE(SUBSTITUTE(SUBSTITUTE(SUBSTITUTE(SUBSTITUTE(SUBSTITUTE(SUBSTITUTE(SUBSTITUTE(SUBSTITUTE(SUBSTITUTE(SUBSTITUTE(SUBSTITUTE(LOWER(TRIM(C488)),"á","a"),"é","e"),"í","i"),"ó","o"),"ú","u"),"ü","u"),"ñ","n"),"à","a"),"è","e"),"ì","i"),"ò","o"),"ù","u"),"")</f>
        <v/>
      </c>
      <c r="Q488" s="25">
        <f>IF(AND(L488=1,E488&lt;&gt;""),SUBSTITUTE(SUBSTITUTE(SUBSTITUTE(SUBSTITUTE(SUBSTITUTE(SUBSTITUTE(SUBSTITUTE(SUBSTITUTE(SUBSTITUTE(SUBSTITUTE(SUBSTITUTE(SUBSTITUTE(LOWER(TRIM(E488)),"á","a"),"é","e"),"í","i"),"ó","o"),"ú","u"),"ü","u"),"ñ","n"),"à","a"),"è","e"),"ì","i"),"ò","o"),"ù","u"),"")</f>
        <v/>
      </c>
      <c r="R488" s="25">
        <f>IF(AND(L488=1,I488&lt;&gt;""),SUBSTITUTE(SUBSTITUTE(SUBSTITUTE(SUBSTITUTE(SUBSTITUTE(SUBSTITUTE(SUBSTITUTE(SUBSTITUTE(SUBSTITUTE(SUBSTITUTE(SUBSTITUTE(SUBSTITUTE(LOWER(TRIM(I488)),"á","a"),"é","e"),"í","i"),"ó","o"),"ú","u"),"ü","u"),"ñ","n"),"à","a"),"è","e"),"ì","i"),"ò","o"),"ù","u"),"")</f>
        <v/>
      </c>
      <c r="S488" s="25">
        <f>IF(R488="","",IF(OR(R488="si",R488="tal vez"),1,0))</f>
        <v/>
      </c>
      <c r="T488" s="25">
        <f>IF(AND(L488=1,D488&lt;&gt;""),IF(IFERROR(COUNTIFS(D$3:D488,"="&amp;SUBSTITUTE(SUBSTITUTE(SUBSTITUTE(D488,"~","~~"),"*","~*"),"?","~?"),L$3:L488,1),0)=1,MAX(T$2:T487)+1,""),"")</f>
        <v/>
      </c>
      <c r="U488" s="25">
        <f>IF(T488="","",COUNTIFS($D$3:$D$1002,"="&amp;SUBSTITUTE(SUBSTITUTE(SUBSTITUTE(D488,"~","~~"),"*","~*"),"?","~?"),$L$3:$L$1002,1)*10000-T488)</f>
        <v/>
      </c>
      <c r="V488" s="25">
        <f>IF(AND(L488=1,J488&lt;&gt;""),IF(IFERROR(COUNTIFS(J$3:J488,"="&amp;SUBSTITUTE(SUBSTITUTE(SUBSTITUTE(J488,"~","~~"),"*","~*"),"?","~?"),L$3:L488,1),0)=1,MAX(V$2:V487)+1,""),"")</f>
        <v/>
      </c>
      <c r="W488" s="25">
        <f>IF(V488="","",COUNTIFS($J$3:$J$1002,"="&amp;SUBSTITUTE(SUBSTITUTE(SUBSTITUTE(J488,"~","~~"),"*","~*"),"?","~?"),$L$3:$L$1002,1)*10000-V488)</f>
        <v/>
      </c>
    </row>
    <row r="489">
      <c r="A489">
        <f>IF(A$2=0,"",IFERROR(TRIM(INDEX('Pegar estudiantes'!$A$1:$BZ$1001,488,A$2)&amp;""),""))</f>
        <v/>
      </c>
      <c r="B489">
        <f>IF(B$2=0,"",IFERROR(TRIM(INDEX('Pegar estudiantes'!$A$1:$BZ$1001,488,B$2)&amp;""),""))</f>
        <v/>
      </c>
      <c r="C489">
        <f>IF(C$2=0,"",IFERROR(TRIM(INDEX('Pegar estudiantes'!$A$1:$BZ$1001,488,C$2)&amp;""),""))</f>
        <v/>
      </c>
      <c r="D489">
        <f>IF(D$2=0,"",IFERROR(TRIM(INDEX('Pegar estudiantes'!$A$1:$BZ$1001,488,D$2)&amp;""),""))</f>
        <v/>
      </c>
      <c r="E489">
        <f>IF(E$2=0,"",IFERROR(TRIM(INDEX('Pegar estudiantes'!$A$1:$BZ$1001,488,E$2)&amp;""),""))</f>
        <v/>
      </c>
      <c r="F489">
        <f>IF(F$2=0,"",IFERROR(TRIM(INDEX('Pegar estudiantes'!$A$1:$BZ$1001,488,F$2)&amp;""),""))</f>
        <v/>
      </c>
      <c r="G489">
        <f>IF(G$2=0,"",IFERROR(TRIM(INDEX('Pegar estudiantes'!$A$1:$BZ$1001,488,G$2)&amp;""),""))</f>
        <v/>
      </c>
      <c r="H489">
        <f>IF(H$2=0,"",IFERROR(TRIM(INDEX('Pegar estudiantes'!$A$1:$BZ$1001,488,H$2)&amp;""),""))</f>
        <v/>
      </c>
      <c r="I489">
        <f>IF(I$2=0,"",IFERROR(TRIM(INDEX('Pegar estudiantes'!$A$1:$BZ$1001,488,I$2)&amp;""),""))</f>
        <v/>
      </c>
      <c r="J489">
        <f>IF(J$2=0,"",IFERROR(TRIM(INDEX('Pegar estudiantes'!$A$1:$BZ$1001,488,J$2)&amp;""),""))</f>
        <v/>
      </c>
      <c r="K489">
        <f>IF(K$2=0,"",IFERROR(TRIM(INDEX('Pegar estudiantes'!$A$1:$BZ$1001,488,K$2)&amp;""),""))</f>
        <v/>
      </c>
      <c r="L489" s="25">
        <f>IF(A489&lt;&gt;"",1,"")</f>
        <v/>
      </c>
      <c r="M489" s="25">
        <f>IF(L489=1,IF(ISNUMBER(FIND("#"&amp;MID(A489,1,1)&amp;"#","#0#1#2#3#4#5#6#7#8#9#")),IF(ISNUMBER(FIND("#"&amp;MID(A489,2,1)&amp;"#","#0#1#2#3#4#5#6#7#8#9#")),IF(AND(VALUE(LEFT(A489,2))&gt;=1,VALUE(LEFT(A489,2))&lt;=5),VALUE(LEFT(A489,2)),""),IF(AND(VALUE(LEFT(A489,1))&gt;=1,VALUE(LEFT(A489,1))&lt;=5),VALUE(LEFT(A489,1)),"")),""),"")</f>
        <v/>
      </c>
      <c r="N489" s="25">
        <f>IF(L489=1,IF(ISNUMBER(FIND("#"&amp;MID(H489,1,1)&amp;"#","#0#1#2#3#4#5#6#7#8#9#")),IF(ISNUMBER(FIND("#"&amp;MID(H489,2,1)&amp;"#","#0#1#2#3#4#5#6#7#8#9#")),IF(AND(VALUE(LEFT(H489,2))&gt;=1,VALUE(LEFT(H489,2))&lt;=5),VALUE(LEFT(H489,2)),""),IF(AND(VALUE(LEFT(H489,1))&gt;=1,VALUE(LEFT(H489,1))&lt;=5),VALUE(LEFT(H489,1)),"")),""),"")</f>
        <v/>
      </c>
      <c r="O489" s="25">
        <f>IF(AND(L489=1,B489&lt;&gt;""),SUBSTITUTE(SUBSTITUTE(SUBSTITUTE(SUBSTITUTE(SUBSTITUTE(SUBSTITUTE(SUBSTITUTE(SUBSTITUTE(SUBSTITUTE(SUBSTITUTE(SUBSTITUTE(SUBSTITUTE(LOWER(TRIM(B489)),"á","a"),"é","e"),"í","i"),"ó","o"),"ú","u"),"ü","u"),"ñ","n"),"à","a"),"è","e"),"ì","i"),"ò","o"),"ù","u"),"")</f>
        <v/>
      </c>
      <c r="P489" s="25">
        <f>IF(AND(L489=1,C489&lt;&gt;""),SUBSTITUTE(SUBSTITUTE(SUBSTITUTE(SUBSTITUTE(SUBSTITUTE(SUBSTITUTE(SUBSTITUTE(SUBSTITUTE(SUBSTITUTE(SUBSTITUTE(SUBSTITUTE(SUBSTITUTE(LOWER(TRIM(C489)),"á","a"),"é","e"),"í","i"),"ó","o"),"ú","u"),"ü","u"),"ñ","n"),"à","a"),"è","e"),"ì","i"),"ò","o"),"ù","u"),"")</f>
        <v/>
      </c>
      <c r="Q489" s="25">
        <f>IF(AND(L489=1,E489&lt;&gt;""),SUBSTITUTE(SUBSTITUTE(SUBSTITUTE(SUBSTITUTE(SUBSTITUTE(SUBSTITUTE(SUBSTITUTE(SUBSTITUTE(SUBSTITUTE(SUBSTITUTE(SUBSTITUTE(SUBSTITUTE(LOWER(TRIM(E489)),"á","a"),"é","e"),"í","i"),"ó","o"),"ú","u"),"ü","u"),"ñ","n"),"à","a"),"è","e"),"ì","i"),"ò","o"),"ù","u"),"")</f>
        <v/>
      </c>
      <c r="R489" s="25">
        <f>IF(AND(L489=1,I489&lt;&gt;""),SUBSTITUTE(SUBSTITUTE(SUBSTITUTE(SUBSTITUTE(SUBSTITUTE(SUBSTITUTE(SUBSTITUTE(SUBSTITUTE(SUBSTITUTE(SUBSTITUTE(SUBSTITUTE(SUBSTITUTE(LOWER(TRIM(I489)),"á","a"),"é","e"),"í","i"),"ó","o"),"ú","u"),"ü","u"),"ñ","n"),"à","a"),"è","e"),"ì","i"),"ò","o"),"ù","u"),"")</f>
        <v/>
      </c>
      <c r="S489" s="25">
        <f>IF(R489="","",IF(OR(R489="si",R489="tal vez"),1,0))</f>
        <v/>
      </c>
      <c r="T489" s="25">
        <f>IF(AND(L489=1,D489&lt;&gt;""),IF(IFERROR(COUNTIFS(D$3:D489,"="&amp;SUBSTITUTE(SUBSTITUTE(SUBSTITUTE(D489,"~","~~"),"*","~*"),"?","~?"),L$3:L489,1),0)=1,MAX(T$2:T488)+1,""),"")</f>
        <v/>
      </c>
      <c r="U489" s="25">
        <f>IF(T489="","",COUNTIFS($D$3:$D$1002,"="&amp;SUBSTITUTE(SUBSTITUTE(SUBSTITUTE(D489,"~","~~"),"*","~*"),"?","~?"),$L$3:$L$1002,1)*10000-T489)</f>
        <v/>
      </c>
      <c r="V489" s="25">
        <f>IF(AND(L489=1,J489&lt;&gt;""),IF(IFERROR(COUNTIFS(J$3:J489,"="&amp;SUBSTITUTE(SUBSTITUTE(SUBSTITUTE(J489,"~","~~"),"*","~*"),"?","~?"),L$3:L489,1),0)=1,MAX(V$2:V488)+1,""),"")</f>
        <v/>
      </c>
      <c r="W489" s="25">
        <f>IF(V489="","",COUNTIFS($J$3:$J$1002,"="&amp;SUBSTITUTE(SUBSTITUTE(SUBSTITUTE(J489,"~","~~"),"*","~*"),"?","~?"),$L$3:$L$1002,1)*10000-V489)</f>
        <v/>
      </c>
    </row>
    <row r="490">
      <c r="A490">
        <f>IF(A$2=0,"",IFERROR(TRIM(INDEX('Pegar estudiantes'!$A$1:$BZ$1001,489,A$2)&amp;""),""))</f>
        <v/>
      </c>
      <c r="B490">
        <f>IF(B$2=0,"",IFERROR(TRIM(INDEX('Pegar estudiantes'!$A$1:$BZ$1001,489,B$2)&amp;""),""))</f>
        <v/>
      </c>
      <c r="C490">
        <f>IF(C$2=0,"",IFERROR(TRIM(INDEX('Pegar estudiantes'!$A$1:$BZ$1001,489,C$2)&amp;""),""))</f>
        <v/>
      </c>
      <c r="D490">
        <f>IF(D$2=0,"",IFERROR(TRIM(INDEX('Pegar estudiantes'!$A$1:$BZ$1001,489,D$2)&amp;""),""))</f>
        <v/>
      </c>
      <c r="E490">
        <f>IF(E$2=0,"",IFERROR(TRIM(INDEX('Pegar estudiantes'!$A$1:$BZ$1001,489,E$2)&amp;""),""))</f>
        <v/>
      </c>
      <c r="F490">
        <f>IF(F$2=0,"",IFERROR(TRIM(INDEX('Pegar estudiantes'!$A$1:$BZ$1001,489,F$2)&amp;""),""))</f>
        <v/>
      </c>
      <c r="G490">
        <f>IF(G$2=0,"",IFERROR(TRIM(INDEX('Pegar estudiantes'!$A$1:$BZ$1001,489,G$2)&amp;""),""))</f>
        <v/>
      </c>
      <c r="H490">
        <f>IF(H$2=0,"",IFERROR(TRIM(INDEX('Pegar estudiantes'!$A$1:$BZ$1001,489,H$2)&amp;""),""))</f>
        <v/>
      </c>
      <c r="I490">
        <f>IF(I$2=0,"",IFERROR(TRIM(INDEX('Pegar estudiantes'!$A$1:$BZ$1001,489,I$2)&amp;""),""))</f>
        <v/>
      </c>
      <c r="J490">
        <f>IF(J$2=0,"",IFERROR(TRIM(INDEX('Pegar estudiantes'!$A$1:$BZ$1001,489,J$2)&amp;""),""))</f>
        <v/>
      </c>
      <c r="K490">
        <f>IF(K$2=0,"",IFERROR(TRIM(INDEX('Pegar estudiantes'!$A$1:$BZ$1001,489,K$2)&amp;""),""))</f>
        <v/>
      </c>
      <c r="L490" s="25">
        <f>IF(A490&lt;&gt;"",1,"")</f>
        <v/>
      </c>
      <c r="M490" s="25">
        <f>IF(L490=1,IF(ISNUMBER(FIND("#"&amp;MID(A490,1,1)&amp;"#","#0#1#2#3#4#5#6#7#8#9#")),IF(ISNUMBER(FIND("#"&amp;MID(A490,2,1)&amp;"#","#0#1#2#3#4#5#6#7#8#9#")),IF(AND(VALUE(LEFT(A490,2))&gt;=1,VALUE(LEFT(A490,2))&lt;=5),VALUE(LEFT(A490,2)),""),IF(AND(VALUE(LEFT(A490,1))&gt;=1,VALUE(LEFT(A490,1))&lt;=5),VALUE(LEFT(A490,1)),"")),""),"")</f>
        <v/>
      </c>
      <c r="N490" s="25">
        <f>IF(L490=1,IF(ISNUMBER(FIND("#"&amp;MID(H490,1,1)&amp;"#","#0#1#2#3#4#5#6#7#8#9#")),IF(ISNUMBER(FIND("#"&amp;MID(H490,2,1)&amp;"#","#0#1#2#3#4#5#6#7#8#9#")),IF(AND(VALUE(LEFT(H490,2))&gt;=1,VALUE(LEFT(H490,2))&lt;=5),VALUE(LEFT(H490,2)),""),IF(AND(VALUE(LEFT(H490,1))&gt;=1,VALUE(LEFT(H490,1))&lt;=5),VALUE(LEFT(H490,1)),"")),""),"")</f>
        <v/>
      </c>
      <c r="O490" s="25">
        <f>IF(AND(L490=1,B490&lt;&gt;""),SUBSTITUTE(SUBSTITUTE(SUBSTITUTE(SUBSTITUTE(SUBSTITUTE(SUBSTITUTE(SUBSTITUTE(SUBSTITUTE(SUBSTITUTE(SUBSTITUTE(SUBSTITUTE(SUBSTITUTE(LOWER(TRIM(B490)),"á","a"),"é","e"),"í","i"),"ó","o"),"ú","u"),"ü","u"),"ñ","n"),"à","a"),"è","e"),"ì","i"),"ò","o"),"ù","u"),"")</f>
        <v/>
      </c>
      <c r="P490" s="25">
        <f>IF(AND(L490=1,C490&lt;&gt;""),SUBSTITUTE(SUBSTITUTE(SUBSTITUTE(SUBSTITUTE(SUBSTITUTE(SUBSTITUTE(SUBSTITUTE(SUBSTITUTE(SUBSTITUTE(SUBSTITUTE(SUBSTITUTE(SUBSTITUTE(LOWER(TRIM(C490)),"á","a"),"é","e"),"í","i"),"ó","o"),"ú","u"),"ü","u"),"ñ","n"),"à","a"),"è","e"),"ì","i"),"ò","o"),"ù","u"),"")</f>
        <v/>
      </c>
      <c r="Q490" s="25">
        <f>IF(AND(L490=1,E490&lt;&gt;""),SUBSTITUTE(SUBSTITUTE(SUBSTITUTE(SUBSTITUTE(SUBSTITUTE(SUBSTITUTE(SUBSTITUTE(SUBSTITUTE(SUBSTITUTE(SUBSTITUTE(SUBSTITUTE(SUBSTITUTE(LOWER(TRIM(E490)),"á","a"),"é","e"),"í","i"),"ó","o"),"ú","u"),"ü","u"),"ñ","n"),"à","a"),"è","e"),"ì","i"),"ò","o"),"ù","u"),"")</f>
        <v/>
      </c>
      <c r="R490" s="25">
        <f>IF(AND(L490=1,I490&lt;&gt;""),SUBSTITUTE(SUBSTITUTE(SUBSTITUTE(SUBSTITUTE(SUBSTITUTE(SUBSTITUTE(SUBSTITUTE(SUBSTITUTE(SUBSTITUTE(SUBSTITUTE(SUBSTITUTE(SUBSTITUTE(LOWER(TRIM(I490)),"á","a"),"é","e"),"í","i"),"ó","o"),"ú","u"),"ü","u"),"ñ","n"),"à","a"),"è","e"),"ì","i"),"ò","o"),"ù","u"),"")</f>
        <v/>
      </c>
      <c r="S490" s="25">
        <f>IF(R490="","",IF(OR(R490="si",R490="tal vez"),1,0))</f>
        <v/>
      </c>
      <c r="T490" s="25">
        <f>IF(AND(L490=1,D490&lt;&gt;""),IF(IFERROR(COUNTIFS(D$3:D490,"="&amp;SUBSTITUTE(SUBSTITUTE(SUBSTITUTE(D490,"~","~~"),"*","~*"),"?","~?"),L$3:L490,1),0)=1,MAX(T$2:T489)+1,""),"")</f>
        <v/>
      </c>
      <c r="U490" s="25">
        <f>IF(T490="","",COUNTIFS($D$3:$D$1002,"="&amp;SUBSTITUTE(SUBSTITUTE(SUBSTITUTE(D490,"~","~~"),"*","~*"),"?","~?"),$L$3:$L$1002,1)*10000-T490)</f>
        <v/>
      </c>
      <c r="V490" s="25">
        <f>IF(AND(L490=1,J490&lt;&gt;""),IF(IFERROR(COUNTIFS(J$3:J490,"="&amp;SUBSTITUTE(SUBSTITUTE(SUBSTITUTE(J490,"~","~~"),"*","~*"),"?","~?"),L$3:L490,1),0)=1,MAX(V$2:V489)+1,""),"")</f>
        <v/>
      </c>
      <c r="W490" s="25">
        <f>IF(V490="","",COUNTIFS($J$3:$J$1002,"="&amp;SUBSTITUTE(SUBSTITUTE(SUBSTITUTE(J490,"~","~~"),"*","~*"),"?","~?"),$L$3:$L$1002,1)*10000-V490)</f>
        <v/>
      </c>
    </row>
    <row r="491">
      <c r="A491">
        <f>IF(A$2=0,"",IFERROR(TRIM(INDEX('Pegar estudiantes'!$A$1:$BZ$1001,490,A$2)&amp;""),""))</f>
        <v/>
      </c>
      <c r="B491">
        <f>IF(B$2=0,"",IFERROR(TRIM(INDEX('Pegar estudiantes'!$A$1:$BZ$1001,490,B$2)&amp;""),""))</f>
        <v/>
      </c>
      <c r="C491">
        <f>IF(C$2=0,"",IFERROR(TRIM(INDEX('Pegar estudiantes'!$A$1:$BZ$1001,490,C$2)&amp;""),""))</f>
        <v/>
      </c>
      <c r="D491">
        <f>IF(D$2=0,"",IFERROR(TRIM(INDEX('Pegar estudiantes'!$A$1:$BZ$1001,490,D$2)&amp;""),""))</f>
        <v/>
      </c>
      <c r="E491">
        <f>IF(E$2=0,"",IFERROR(TRIM(INDEX('Pegar estudiantes'!$A$1:$BZ$1001,490,E$2)&amp;""),""))</f>
        <v/>
      </c>
      <c r="F491">
        <f>IF(F$2=0,"",IFERROR(TRIM(INDEX('Pegar estudiantes'!$A$1:$BZ$1001,490,F$2)&amp;""),""))</f>
        <v/>
      </c>
      <c r="G491">
        <f>IF(G$2=0,"",IFERROR(TRIM(INDEX('Pegar estudiantes'!$A$1:$BZ$1001,490,G$2)&amp;""),""))</f>
        <v/>
      </c>
      <c r="H491">
        <f>IF(H$2=0,"",IFERROR(TRIM(INDEX('Pegar estudiantes'!$A$1:$BZ$1001,490,H$2)&amp;""),""))</f>
        <v/>
      </c>
      <c r="I491">
        <f>IF(I$2=0,"",IFERROR(TRIM(INDEX('Pegar estudiantes'!$A$1:$BZ$1001,490,I$2)&amp;""),""))</f>
        <v/>
      </c>
      <c r="J491">
        <f>IF(J$2=0,"",IFERROR(TRIM(INDEX('Pegar estudiantes'!$A$1:$BZ$1001,490,J$2)&amp;""),""))</f>
        <v/>
      </c>
      <c r="K491">
        <f>IF(K$2=0,"",IFERROR(TRIM(INDEX('Pegar estudiantes'!$A$1:$BZ$1001,490,K$2)&amp;""),""))</f>
        <v/>
      </c>
      <c r="L491" s="25">
        <f>IF(A491&lt;&gt;"",1,"")</f>
        <v/>
      </c>
      <c r="M491" s="25">
        <f>IF(L491=1,IF(ISNUMBER(FIND("#"&amp;MID(A491,1,1)&amp;"#","#0#1#2#3#4#5#6#7#8#9#")),IF(ISNUMBER(FIND("#"&amp;MID(A491,2,1)&amp;"#","#0#1#2#3#4#5#6#7#8#9#")),IF(AND(VALUE(LEFT(A491,2))&gt;=1,VALUE(LEFT(A491,2))&lt;=5),VALUE(LEFT(A491,2)),""),IF(AND(VALUE(LEFT(A491,1))&gt;=1,VALUE(LEFT(A491,1))&lt;=5),VALUE(LEFT(A491,1)),"")),""),"")</f>
        <v/>
      </c>
      <c r="N491" s="25">
        <f>IF(L491=1,IF(ISNUMBER(FIND("#"&amp;MID(H491,1,1)&amp;"#","#0#1#2#3#4#5#6#7#8#9#")),IF(ISNUMBER(FIND("#"&amp;MID(H491,2,1)&amp;"#","#0#1#2#3#4#5#6#7#8#9#")),IF(AND(VALUE(LEFT(H491,2))&gt;=1,VALUE(LEFT(H491,2))&lt;=5),VALUE(LEFT(H491,2)),""),IF(AND(VALUE(LEFT(H491,1))&gt;=1,VALUE(LEFT(H491,1))&lt;=5),VALUE(LEFT(H491,1)),"")),""),"")</f>
        <v/>
      </c>
      <c r="O491" s="25">
        <f>IF(AND(L491=1,B491&lt;&gt;""),SUBSTITUTE(SUBSTITUTE(SUBSTITUTE(SUBSTITUTE(SUBSTITUTE(SUBSTITUTE(SUBSTITUTE(SUBSTITUTE(SUBSTITUTE(SUBSTITUTE(SUBSTITUTE(SUBSTITUTE(LOWER(TRIM(B491)),"á","a"),"é","e"),"í","i"),"ó","o"),"ú","u"),"ü","u"),"ñ","n"),"à","a"),"è","e"),"ì","i"),"ò","o"),"ù","u"),"")</f>
        <v/>
      </c>
      <c r="P491" s="25">
        <f>IF(AND(L491=1,C491&lt;&gt;""),SUBSTITUTE(SUBSTITUTE(SUBSTITUTE(SUBSTITUTE(SUBSTITUTE(SUBSTITUTE(SUBSTITUTE(SUBSTITUTE(SUBSTITUTE(SUBSTITUTE(SUBSTITUTE(SUBSTITUTE(LOWER(TRIM(C491)),"á","a"),"é","e"),"í","i"),"ó","o"),"ú","u"),"ü","u"),"ñ","n"),"à","a"),"è","e"),"ì","i"),"ò","o"),"ù","u"),"")</f>
        <v/>
      </c>
      <c r="Q491" s="25">
        <f>IF(AND(L491=1,E491&lt;&gt;""),SUBSTITUTE(SUBSTITUTE(SUBSTITUTE(SUBSTITUTE(SUBSTITUTE(SUBSTITUTE(SUBSTITUTE(SUBSTITUTE(SUBSTITUTE(SUBSTITUTE(SUBSTITUTE(SUBSTITUTE(LOWER(TRIM(E491)),"á","a"),"é","e"),"í","i"),"ó","o"),"ú","u"),"ü","u"),"ñ","n"),"à","a"),"è","e"),"ì","i"),"ò","o"),"ù","u"),"")</f>
        <v/>
      </c>
      <c r="R491" s="25">
        <f>IF(AND(L491=1,I491&lt;&gt;""),SUBSTITUTE(SUBSTITUTE(SUBSTITUTE(SUBSTITUTE(SUBSTITUTE(SUBSTITUTE(SUBSTITUTE(SUBSTITUTE(SUBSTITUTE(SUBSTITUTE(SUBSTITUTE(SUBSTITUTE(LOWER(TRIM(I491)),"á","a"),"é","e"),"í","i"),"ó","o"),"ú","u"),"ü","u"),"ñ","n"),"à","a"),"è","e"),"ì","i"),"ò","o"),"ù","u"),"")</f>
        <v/>
      </c>
      <c r="S491" s="25">
        <f>IF(R491="","",IF(OR(R491="si",R491="tal vez"),1,0))</f>
        <v/>
      </c>
      <c r="T491" s="25">
        <f>IF(AND(L491=1,D491&lt;&gt;""),IF(IFERROR(COUNTIFS(D$3:D491,"="&amp;SUBSTITUTE(SUBSTITUTE(SUBSTITUTE(D491,"~","~~"),"*","~*"),"?","~?"),L$3:L491,1),0)=1,MAX(T$2:T490)+1,""),"")</f>
        <v/>
      </c>
      <c r="U491" s="25">
        <f>IF(T491="","",COUNTIFS($D$3:$D$1002,"="&amp;SUBSTITUTE(SUBSTITUTE(SUBSTITUTE(D491,"~","~~"),"*","~*"),"?","~?"),$L$3:$L$1002,1)*10000-T491)</f>
        <v/>
      </c>
      <c r="V491" s="25">
        <f>IF(AND(L491=1,J491&lt;&gt;""),IF(IFERROR(COUNTIFS(J$3:J491,"="&amp;SUBSTITUTE(SUBSTITUTE(SUBSTITUTE(J491,"~","~~"),"*","~*"),"?","~?"),L$3:L491,1),0)=1,MAX(V$2:V490)+1,""),"")</f>
        <v/>
      </c>
      <c r="W491" s="25">
        <f>IF(V491="","",COUNTIFS($J$3:$J$1002,"="&amp;SUBSTITUTE(SUBSTITUTE(SUBSTITUTE(J491,"~","~~"),"*","~*"),"?","~?"),$L$3:$L$1002,1)*10000-V491)</f>
        <v/>
      </c>
    </row>
    <row r="492">
      <c r="A492">
        <f>IF(A$2=0,"",IFERROR(TRIM(INDEX('Pegar estudiantes'!$A$1:$BZ$1001,491,A$2)&amp;""),""))</f>
        <v/>
      </c>
      <c r="B492">
        <f>IF(B$2=0,"",IFERROR(TRIM(INDEX('Pegar estudiantes'!$A$1:$BZ$1001,491,B$2)&amp;""),""))</f>
        <v/>
      </c>
      <c r="C492">
        <f>IF(C$2=0,"",IFERROR(TRIM(INDEX('Pegar estudiantes'!$A$1:$BZ$1001,491,C$2)&amp;""),""))</f>
        <v/>
      </c>
      <c r="D492">
        <f>IF(D$2=0,"",IFERROR(TRIM(INDEX('Pegar estudiantes'!$A$1:$BZ$1001,491,D$2)&amp;""),""))</f>
        <v/>
      </c>
      <c r="E492">
        <f>IF(E$2=0,"",IFERROR(TRIM(INDEX('Pegar estudiantes'!$A$1:$BZ$1001,491,E$2)&amp;""),""))</f>
        <v/>
      </c>
      <c r="F492">
        <f>IF(F$2=0,"",IFERROR(TRIM(INDEX('Pegar estudiantes'!$A$1:$BZ$1001,491,F$2)&amp;""),""))</f>
        <v/>
      </c>
      <c r="G492">
        <f>IF(G$2=0,"",IFERROR(TRIM(INDEX('Pegar estudiantes'!$A$1:$BZ$1001,491,G$2)&amp;""),""))</f>
        <v/>
      </c>
      <c r="H492">
        <f>IF(H$2=0,"",IFERROR(TRIM(INDEX('Pegar estudiantes'!$A$1:$BZ$1001,491,H$2)&amp;""),""))</f>
        <v/>
      </c>
      <c r="I492">
        <f>IF(I$2=0,"",IFERROR(TRIM(INDEX('Pegar estudiantes'!$A$1:$BZ$1001,491,I$2)&amp;""),""))</f>
        <v/>
      </c>
      <c r="J492">
        <f>IF(J$2=0,"",IFERROR(TRIM(INDEX('Pegar estudiantes'!$A$1:$BZ$1001,491,J$2)&amp;""),""))</f>
        <v/>
      </c>
      <c r="K492">
        <f>IF(K$2=0,"",IFERROR(TRIM(INDEX('Pegar estudiantes'!$A$1:$BZ$1001,491,K$2)&amp;""),""))</f>
        <v/>
      </c>
      <c r="L492" s="25">
        <f>IF(A492&lt;&gt;"",1,"")</f>
        <v/>
      </c>
      <c r="M492" s="25">
        <f>IF(L492=1,IF(ISNUMBER(FIND("#"&amp;MID(A492,1,1)&amp;"#","#0#1#2#3#4#5#6#7#8#9#")),IF(ISNUMBER(FIND("#"&amp;MID(A492,2,1)&amp;"#","#0#1#2#3#4#5#6#7#8#9#")),IF(AND(VALUE(LEFT(A492,2))&gt;=1,VALUE(LEFT(A492,2))&lt;=5),VALUE(LEFT(A492,2)),""),IF(AND(VALUE(LEFT(A492,1))&gt;=1,VALUE(LEFT(A492,1))&lt;=5),VALUE(LEFT(A492,1)),"")),""),"")</f>
        <v/>
      </c>
      <c r="N492" s="25">
        <f>IF(L492=1,IF(ISNUMBER(FIND("#"&amp;MID(H492,1,1)&amp;"#","#0#1#2#3#4#5#6#7#8#9#")),IF(ISNUMBER(FIND("#"&amp;MID(H492,2,1)&amp;"#","#0#1#2#3#4#5#6#7#8#9#")),IF(AND(VALUE(LEFT(H492,2))&gt;=1,VALUE(LEFT(H492,2))&lt;=5),VALUE(LEFT(H492,2)),""),IF(AND(VALUE(LEFT(H492,1))&gt;=1,VALUE(LEFT(H492,1))&lt;=5),VALUE(LEFT(H492,1)),"")),""),"")</f>
        <v/>
      </c>
      <c r="O492" s="25">
        <f>IF(AND(L492=1,B492&lt;&gt;""),SUBSTITUTE(SUBSTITUTE(SUBSTITUTE(SUBSTITUTE(SUBSTITUTE(SUBSTITUTE(SUBSTITUTE(SUBSTITUTE(SUBSTITUTE(SUBSTITUTE(SUBSTITUTE(SUBSTITUTE(LOWER(TRIM(B492)),"á","a"),"é","e"),"í","i"),"ó","o"),"ú","u"),"ü","u"),"ñ","n"),"à","a"),"è","e"),"ì","i"),"ò","o"),"ù","u"),"")</f>
        <v/>
      </c>
      <c r="P492" s="25">
        <f>IF(AND(L492=1,C492&lt;&gt;""),SUBSTITUTE(SUBSTITUTE(SUBSTITUTE(SUBSTITUTE(SUBSTITUTE(SUBSTITUTE(SUBSTITUTE(SUBSTITUTE(SUBSTITUTE(SUBSTITUTE(SUBSTITUTE(SUBSTITUTE(LOWER(TRIM(C492)),"á","a"),"é","e"),"í","i"),"ó","o"),"ú","u"),"ü","u"),"ñ","n"),"à","a"),"è","e"),"ì","i"),"ò","o"),"ù","u"),"")</f>
        <v/>
      </c>
      <c r="Q492" s="25">
        <f>IF(AND(L492=1,E492&lt;&gt;""),SUBSTITUTE(SUBSTITUTE(SUBSTITUTE(SUBSTITUTE(SUBSTITUTE(SUBSTITUTE(SUBSTITUTE(SUBSTITUTE(SUBSTITUTE(SUBSTITUTE(SUBSTITUTE(SUBSTITUTE(LOWER(TRIM(E492)),"á","a"),"é","e"),"í","i"),"ó","o"),"ú","u"),"ü","u"),"ñ","n"),"à","a"),"è","e"),"ì","i"),"ò","o"),"ù","u"),"")</f>
        <v/>
      </c>
      <c r="R492" s="25">
        <f>IF(AND(L492=1,I492&lt;&gt;""),SUBSTITUTE(SUBSTITUTE(SUBSTITUTE(SUBSTITUTE(SUBSTITUTE(SUBSTITUTE(SUBSTITUTE(SUBSTITUTE(SUBSTITUTE(SUBSTITUTE(SUBSTITUTE(SUBSTITUTE(LOWER(TRIM(I492)),"á","a"),"é","e"),"í","i"),"ó","o"),"ú","u"),"ü","u"),"ñ","n"),"à","a"),"è","e"),"ì","i"),"ò","o"),"ù","u"),"")</f>
        <v/>
      </c>
      <c r="S492" s="25">
        <f>IF(R492="","",IF(OR(R492="si",R492="tal vez"),1,0))</f>
        <v/>
      </c>
      <c r="T492" s="25">
        <f>IF(AND(L492=1,D492&lt;&gt;""),IF(IFERROR(COUNTIFS(D$3:D492,"="&amp;SUBSTITUTE(SUBSTITUTE(SUBSTITUTE(D492,"~","~~"),"*","~*"),"?","~?"),L$3:L492,1),0)=1,MAX(T$2:T491)+1,""),"")</f>
        <v/>
      </c>
      <c r="U492" s="25">
        <f>IF(T492="","",COUNTIFS($D$3:$D$1002,"="&amp;SUBSTITUTE(SUBSTITUTE(SUBSTITUTE(D492,"~","~~"),"*","~*"),"?","~?"),$L$3:$L$1002,1)*10000-T492)</f>
        <v/>
      </c>
      <c r="V492" s="25">
        <f>IF(AND(L492=1,J492&lt;&gt;""),IF(IFERROR(COUNTIFS(J$3:J492,"="&amp;SUBSTITUTE(SUBSTITUTE(SUBSTITUTE(J492,"~","~~"),"*","~*"),"?","~?"),L$3:L492,1),0)=1,MAX(V$2:V491)+1,""),"")</f>
        <v/>
      </c>
      <c r="W492" s="25">
        <f>IF(V492="","",COUNTIFS($J$3:$J$1002,"="&amp;SUBSTITUTE(SUBSTITUTE(SUBSTITUTE(J492,"~","~~"),"*","~*"),"?","~?"),$L$3:$L$1002,1)*10000-V492)</f>
        <v/>
      </c>
    </row>
    <row r="493">
      <c r="A493">
        <f>IF(A$2=0,"",IFERROR(TRIM(INDEX('Pegar estudiantes'!$A$1:$BZ$1001,492,A$2)&amp;""),""))</f>
        <v/>
      </c>
      <c r="B493">
        <f>IF(B$2=0,"",IFERROR(TRIM(INDEX('Pegar estudiantes'!$A$1:$BZ$1001,492,B$2)&amp;""),""))</f>
        <v/>
      </c>
      <c r="C493">
        <f>IF(C$2=0,"",IFERROR(TRIM(INDEX('Pegar estudiantes'!$A$1:$BZ$1001,492,C$2)&amp;""),""))</f>
        <v/>
      </c>
      <c r="D493">
        <f>IF(D$2=0,"",IFERROR(TRIM(INDEX('Pegar estudiantes'!$A$1:$BZ$1001,492,D$2)&amp;""),""))</f>
        <v/>
      </c>
      <c r="E493">
        <f>IF(E$2=0,"",IFERROR(TRIM(INDEX('Pegar estudiantes'!$A$1:$BZ$1001,492,E$2)&amp;""),""))</f>
        <v/>
      </c>
      <c r="F493">
        <f>IF(F$2=0,"",IFERROR(TRIM(INDEX('Pegar estudiantes'!$A$1:$BZ$1001,492,F$2)&amp;""),""))</f>
        <v/>
      </c>
      <c r="G493">
        <f>IF(G$2=0,"",IFERROR(TRIM(INDEX('Pegar estudiantes'!$A$1:$BZ$1001,492,G$2)&amp;""),""))</f>
        <v/>
      </c>
      <c r="H493">
        <f>IF(H$2=0,"",IFERROR(TRIM(INDEX('Pegar estudiantes'!$A$1:$BZ$1001,492,H$2)&amp;""),""))</f>
        <v/>
      </c>
      <c r="I493">
        <f>IF(I$2=0,"",IFERROR(TRIM(INDEX('Pegar estudiantes'!$A$1:$BZ$1001,492,I$2)&amp;""),""))</f>
        <v/>
      </c>
      <c r="J493">
        <f>IF(J$2=0,"",IFERROR(TRIM(INDEX('Pegar estudiantes'!$A$1:$BZ$1001,492,J$2)&amp;""),""))</f>
        <v/>
      </c>
      <c r="K493">
        <f>IF(K$2=0,"",IFERROR(TRIM(INDEX('Pegar estudiantes'!$A$1:$BZ$1001,492,K$2)&amp;""),""))</f>
        <v/>
      </c>
      <c r="L493" s="25">
        <f>IF(A493&lt;&gt;"",1,"")</f>
        <v/>
      </c>
      <c r="M493" s="25">
        <f>IF(L493=1,IF(ISNUMBER(FIND("#"&amp;MID(A493,1,1)&amp;"#","#0#1#2#3#4#5#6#7#8#9#")),IF(ISNUMBER(FIND("#"&amp;MID(A493,2,1)&amp;"#","#0#1#2#3#4#5#6#7#8#9#")),IF(AND(VALUE(LEFT(A493,2))&gt;=1,VALUE(LEFT(A493,2))&lt;=5),VALUE(LEFT(A493,2)),""),IF(AND(VALUE(LEFT(A493,1))&gt;=1,VALUE(LEFT(A493,1))&lt;=5),VALUE(LEFT(A493,1)),"")),""),"")</f>
        <v/>
      </c>
      <c r="N493" s="25">
        <f>IF(L493=1,IF(ISNUMBER(FIND("#"&amp;MID(H493,1,1)&amp;"#","#0#1#2#3#4#5#6#7#8#9#")),IF(ISNUMBER(FIND("#"&amp;MID(H493,2,1)&amp;"#","#0#1#2#3#4#5#6#7#8#9#")),IF(AND(VALUE(LEFT(H493,2))&gt;=1,VALUE(LEFT(H493,2))&lt;=5),VALUE(LEFT(H493,2)),""),IF(AND(VALUE(LEFT(H493,1))&gt;=1,VALUE(LEFT(H493,1))&lt;=5),VALUE(LEFT(H493,1)),"")),""),"")</f>
        <v/>
      </c>
      <c r="O493" s="25">
        <f>IF(AND(L493=1,B493&lt;&gt;""),SUBSTITUTE(SUBSTITUTE(SUBSTITUTE(SUBSTITUTE(SUBSTITUTE(SUBSTITUTE(SUBSTITUTE(SUBSTITUTE(SUBSTITUTE(SUBSTITUTE(SUBSTITUTE(SUBSTITUTE(LOWER(TRIM(B493)),"á","a"),"é","e"),"í","i"),"ó","o"),"ú","u"),"ü","u"),"ñ","n"),"à","a"),"è","e"),"ì","i"),"ò","o"),"ù","u"),"")</f>
        <v/>
      </c>
      <c r="P493" s="25">
        <f>IF(AND(L493=1,C493&lt;&gt;""),SUBSTITUTE(SUBSTITUTE(SUBSTITUTE(SUBSTITUTE(SUBSTITUTE(SUBSTITUTE(SUBSTITUTE(SUBSTITUTE(SUBSTITUTE(SUBSTITUTE(SUBSTITUTE(SUBSTITUTE(LOWER(TRIM(C493)),"á","a"),"é","e"),"í","i"),"ó","o"),"ú","u"),"ü","u"),"ñ","n"),"à","a"),"è","e"),"ì","i"),"ò","o"),"ù","u"),"")</f>
        <v/>
      </c>
      <c r="Q493" s="25">
        <f>IF(AND(L493=1,E493&lt;&gt;""),SUBSTITUTE(SUBSTITUTE(SUBSTITUTE(SUBSTITUTE(SUBSTITUTE(SUBSTITUTE(SUBSTITUTE(SUBSTITUTE(SUBSTITUTE(SUBSTITUTE(SUBSTITUTE(SUBSTITUTE(LOWER(TRIM(E493)),"á","a"),"é","e"),"í","i"),"ó","o"),"ú","u"),"ü","u"),"ñ","n"),"à","a"),"è","e"),"ì","i"),"ò","o"),"ù","u"),"")</f>
        <v/>
      </c>
      <c r="R493" s="25">
        <f>IF(AND(L493=1,I493&lt;&gt;""),SUBSTITUTE(SUBSTITUTE(SUBSTITUTE(SUBSTITUTE(SUBSTITUTE(SUBSTITUTE(SUBSTITUTE(SUBSTITUTE(SUBSTITUTE(SUBSTITUTE(SUBSTITUTE(SUBSTITUTE(LOWER(TRIM(I493)),"á","a"),"é","e"),"í","i"),"ó","o"),"ú","u"),"ü","u"),"ñ","n"),"à","a"),"è","e"),"ì","i"),"ò","o"),"ù","u"),"")</f>
        <v/>
      </c>
      <c r="S493" s="25">
        <f>IF(R493="","",IF(OR(R493="si",R493="tal vez"),1,0))</f>
        <v/>
      </c>
      <c r="T493" s="25">
        <f>IF(AND(L493=1,D493&lt;&gt;""),IF(IFERROR(COUNTIFS(D$3:D493,"="&amp;SUBSTITUTE(SUBSTITUTE(SUBSTITUTE(D493,"~","~~"),"*","~*"),"?","~?"),L$3:L493,1),0)=1,MAX(T$2:T492)+1,""),"")</f>
        <v/>
      </c>
      <c r="U493" s="25">
        <f>IF(T493="","",COUNTIFS($D$3:$D$1002,"="&amp;SUBSTITUTE(SUBSTITUTE(SUBSTITUTE(D493,"~","~~"),"*","~*"),"?","~?"),$L$3:$L$1002,1)*10000-T493)</f>
        <v/>
      </c>
      <c r="V493" s="25">
        <f>IF(AND(L493=1,J493&lt;&gt;""),IF(IFERROR(COUNTIFS(J$3:J493,"="&amp;SUBSTITUTE(SUBSTITUTE(SUBSTITUTE(J493,"~","~~"),"*","~*"),"?","~?"),L$3:L493,1),0)=1,MAX(V$2:V492)+1,""),"")</f>
        <v/>
      </c>
      <c r="W493" s="25">
        <f>IF(V493="","",COUNTIFS($J$3:$J$1002,"="&amp;SUBSTITUTE(SUBSTITUTE(SUBSTITUTE(J493,"~","~~"),"*","~*"),"?","~?"),$L$3:$L$1002,1)*10000-V493)</f>
        <v/>
      </c>
    </row>
    <row r="494">
      <c r="A494">
        <f>IF(A$2=0,"",IFERROR(TRIM(INDEX('Pegar estudiantes'!$A$1:$BZ$1001,493,A$2)&amp;""),""))</f>
        <v/>
      </c>
      <c r="B494">
        <f>IF(B$2=0,"",IFERROR(TRIM(INDEX('Pegar estudiantes'!$A$1:$BZ$1001,493,B$2)&amp;""),""))</f>
        <v/>
      </c>
      <c r="C494">
        <f>IF(C$2=0,"",IFERROR(TRIM(INDEX('Pegar estudiantes'!$A$1:$BZ$1001,493,C$2)&amp;""),""))</f>
        <v/>
      </c>
      <c r="D494">
        <f>IF(D$2=0,"",IFERROR(TRIM(INDEX('Pegar estudiantes'!$A$1:$BZ$1001,493,D$2)&amp;""),""))</f>
        <v/>
      </c>
      <c r="E494">
        <f>IF(E$2=0,"",IFERROR(TRIM(INDEX('Pegar estudiantes'!$A$1:$BZ$1001,493,E$2)&amp;""),""))</f>
        <v/>
      </c>
      <c r="F494">
        <f>IF(F$2=0,"",IFERROR(TRIM(INDEX('Pegar estudiantes'!$A$1:$BZ$1001,493,F$2)&amp;""),""))</f>
        <v/>
      </c>
      <c r="G494">
        <f>IF(G$2=0,"",IFERROR(TRIM(INDEX('Pegar estudiantes'!$A$1:$BZ$1001,493,G$2)&amp;""),""))</f>
        <v/>
      </c>
      <c r="H494">
        <f>IF(H$2=0,"",IFERROR(TRIM(INDEX('Pegar estudiantes'!$A$1:$BZ$1001,493,H$2)&amp;""),""))</f>
        <v/>
      </c>
      <c r="I494">
        <f>IF(I$2=0,"",IFERROR(TRIM(INDEX('Pegar estudiantes'!$A$1:$BZ$1001,493,I$2)&amp;""),""))</f>
        <v/>
      </c>
      <c r="J494">
        <f>IF(J$2=0,"",IFERROR(TRIM(INDEX('Pegar estudiantes'!$A$1:$BZ$1001,493,J$2)&amp;""),""))</f>
        <v/>
      </c>
      <c r="K494">
        <f>IF(K$2=0,"",IFERROR(TRIM(INDEX('Pegar estudiantes'!$A$1:$BZ$1001,493,K$2)&amp;""),""))</f>
        <v/>
      </c>
      <c r="L494" s="25">
        <f>IF(A494&lt;&gt;"",1,"")</f>
        <v/>
      </c>
      <c r="M494" s="25">
        <f>IF(L494=1,IF(ISNUMBER(FIND("#"&amp;MID(A494,1,1)&amp;"#","#0#1#2#3#4#5#6#7#8#9#")),IF(ISNUMBER(FIND("#"&amp;MID(A494,2,1)&amp;"#","#0#1#2#3#4#5#6#7#8#9#")),IF(AND(VALUE(LEFT(A494,2))&gt;=1,VALUE(LEFT(A494,2))&lt;=5),VALUE(LEFT(A494,2)),""),IF(AND(VALUE(LEFT(A494,1))&gt;=1,VALUE(LEFT(A494,1))&lt;=5),VALUE(LEFT(A494,1)),"")),""),"")</f>
        <v/>
      </c>
      <c r="N494" s="25">
        <f>IF(L494=1,IF(ISNUMBER(FIND("#"&amp;MID(H494,1,1)&amp;"#","#0#1#2#3#4#5#6#7#8#9#")),IF(ISNUMBER(FIND("#"&amp;MID(H494,2,1)&amp;"#","#0#1#2#3#4#5#6#7#8#9#")),IF(AND(VALUE(LEFT(H494,2))&gt;=1,VALUE(LEFT(H494,2))&lt;=5),VALUE(LEFT(H494,2)),""),IF(AND(VALUE(LEFT(H494,1))&gt;=1,VALUE(LEFT(H494,1))&lt;=5),VALUE(LEFT(H494,1)),"")),""),"")</f>
        <v/>
      </c>
      <c r="O494" s="25">
        <f>IF(AND(L494=1,B494&lt;&gt;""),SUBSTITUTE(SUBSTITUTE(SUBSTITUTE(SUBSTITUTE(SUBSTITUTE(SUBSTITUTE(SUBSTITUTE(SUBSTITUTE(SUBSTITUTE(SUBSTITUTE(SUBSTITUTE(SUBSTITUTE(LOWER(TRIM(B494)),"á","a"),"é","e"),"í","i"),"ó","o"),"ú","u"),"ü","u"),"ñ","n"),"à","a"),"è","e"),"ì","i"),"ò","o"),"ù","u"),"")</f>
        <v/>
      </c>
      <c r="P494" s="25">
        <f>IF(AND(L494=1,C494&lt;&gt;""),SUBSTITUTE(SUBSTITUTE(SUBSTITUTE(SUBSTITUTE(SUBSTITUTE(SUBSTITUTE(SUBSTITUTE(SUBSTITUTE(SUBSTITUTE(SUBSTITUTE(SUBSTITUTE(SUBSTITUTE(LOWER(TRIM(C494)),"á","a"),"é","e"),"í","i"),"ó","o"),"ú","u"),"ü","u"),"ñ","n"),"à","a"),"è","e"),"ì","i"),"ò","o"),"ù","u"),"")</f>
        <v/>
      </c>
      <c r="Q494" s="25">
        <f>IF(AND(L494=1,E494&lt;&gt;""),SUBSTITUTE(SUBSTITUTE(SUBSTITUTE(SUBSTITUTE(SUBSTITUTE(SUBSTITUTE(SUBSTITUTE(SUBSTITUTE(SUBSTITUTE(SUBSTITUTE(SUBSTITUTE(SUBSTITUTE(LOWER(TRIM(E494)),"á","a"),"é","e"),"í","i"),"ó","o"),"ú","u"),"ü","u"),"ñ","n"),"à","a"),"è","e"),"ì","i"),"ò","o"),"ù","u"),"")</f>
        <v/>
      </c>
      <c r="R494" s="25">
        <f>IF(AND(L494=1,I494&lt;&gt;""),SUBSTITUTE(SUBSTITUTE(SUBSTITUTE(SUBSTITUTE(SUBSTITUTE(SUBSTITUTE(SUBSTITUTE(SUBSTITUTE(SUBSTITUTE(SUBSTITUTE(SUBSTITUTE(SUBSTITUTE(LOWER(TRIM(I494)),"á","a"),"é","e"),"í","i"),"ó","o"),"ú","u"),"ü","u"),"ñ","n"),"à","a"),"è","e"),"ì","i"),"ò","o"),"ù","u"),"")</f>
        <v/>
      </c>
      <c r="S494" s="25">
        <f>IF(R494="","",IF(OR(R494="si",R494="tal vez"),1,0))</f>
        <v/>
      </c>
      <c r="T494" s="25">
        <f>IF(AND(L494=1,D494&lt;&gt;""),IF(IFERROR(COUNTIFS(D$3:D494,"="&amp;SUBSTITUTE(SUBSTITUTE(SUBSTITUTE(D494,"~","~~"),"*","~*"),"?","~?"),L$3:L494,1),0)=1,MAX(T$2:T493)+1,""),"")</f>
        <v/>
      </c>
      <c r="U494" s="25">
        <f>IF(T494="","",COUNTIFS($D$3:$D$1002,"="&amp;SUBSTITUTE(SUBSTITUTE(SUBSTITUTE(D494,"~","~~"),"*","~*"),"?","~?"),$L$3:$L$1002,1)*10000-T494)</f>
        <v/>
      </c>
      <c r="V494" s="25">
        <f>IF(AND(L494=1,J494&lt;&gt;""),IF(IFERROR(COUNTIFS(J$3:J494,"="&amp;SUBSTITUTE(SUBSTITUTE(SUBSTITUTE(J494,"~","~~"),"*","~*"),"?","~?"),L$3:L494,1),0)=1,MAX(V$2:V493)+1,""),"")</f>
        <v/>
      </c>
      <c r="W494" s="25">
        <f>IF(V494="","",COUNTIFS($J$3:$J$1002,"="&amp;SUBSTITUTE(SUBSTITUTE(SUBSTITUTE(J494,"~","~~"),"*","~*"),"?","~?"),$L$3:$L$1002,1)*10000-V494)</f>
        <v/>
      </c>
    </row>
    <row r="495">
      <c r="A495">
        <f>IF(A$2=0,"",IFERROR(TRIM(INDEX('Pegar estudiantes'!$A$1:$BZ$1001,494,A$2)&amp;""),""))</f>
        <v/>
      </c>
      <c r="B495">
        <f>IF(B$2=0,"",IFERROR(TRIM(INDEX('Pegar estudiantes'!$A$1:$BZ$1001,494,B$2)&amp;""),""))</f>
        <v/>
      </c>
      <c r="C495">
        <f>IF(C$2=0,"",IFERROR(TRIM(INDEX('Pegar estudiantes'!$A$1:$BZ$1001,494,C$2)&amp;""),""))</f>
        <v/>
      </c>
      <c r="D495">
        <f>IF(D$2=0,"",IFERROR(TRIM(INDEX('Pegar estudiantes'!$A$1:$BZ$1001,494,D$2)&amp;""),""))</f>
        <v/>
      </c>
      <c r="E495">
        <f>IF(E$2=0,"",IFERROR(TRIM(INDEX('Pegar estudiantes'!$A$1:$BZ$1001,494,E$2)&amp;""),""))</f>
        <v/>
      </c>
      <c r="F495">
        <f>IF(F$2=0,"",IFERROR(TRIM(INDEX('Pegar estudiantes'!$A$1:$BZ$1001,494,F$2)&amp;""),""))</f>
        <v/>
      </c>
      <c r="G495">
        <f>IF(G$2=0,"",IFERROR(TRIM(INDEX('Pegar estudiantes'!$A$1:$BZ$1001,494,G$2)&amp;""),""))</f>
        <v/>
      </c>
      <c r="H495">
        <f>IF(H$2=0,"",IFERROR(TRIM(INDEX('Pegar estudiantes'!$A$1:$BZ$1001,494,H$2)&amp;""),""))</f>
        <v/>
      </c>
      <c r="I495">
        <f>IF(I$2=0,"",IFERROR(TRIM(INDEX('Pegar estudiantes'!$A$1:$BZ$1001,494,I$2)&amp;""),""))</f>
        <v/>
      </c>
      <c r="J495">
        <f>IF(J$2=0,"",IFERROR(TRIM(INDEX('Pegar estudiantes'!$A$1:$BZ$1001,494,J$2)&amp;""),""))</f>
        <v/>
      </c>
      <c r="K495">
        <f>IF(K$2=0,"",IFERROR(TRIM(INDEX('Pegar estudiantes'!$A$1:$BZ$1001,494,K$2)&amp;""),""))</f>
        <v/>
      </c>
      <c r="L495" s="25">
        <f>IF(A495&lt;&gt;"",1,"")</f>
        <v/>
      </c>
      <c r="M495" s="25">
        <f>IF(L495=1,IF(ISNUMBER(FIND("#"&amp;MID(A495,1,1)&amp;"#","#0#1#2#3#4#5#6#7#8#9#")),IF(ISNUMBER(FIND("#"&amp;MID(A495,2,1)&amp;"#","#0#1#2#3#4#5#6#7#8#9#")),IF(AND(VALUE(LEFT(A495,2))&gt;=1,VALUE(LEFT(A495,2))&lt;=5),VALUE(LEFT(A495,2)),""),IF(AND(VALUE(LEFT(A495,1))&gt;=1,VALUE(LEFT(A495,1))&lt;=5),VALUE(LEFT(A495,1)),"")),""),"")</f>
        <v/>
      </c>
      <c r="N495" s="25">
        <f>IF(L495=1,IF(ISNUMBER(FIND("#"&amp;MID(H495,1,1)&amp;"#","#0#1#2#3#4#5#6#7#8#9#")),IF(ISNUMBER(FIND("#"&amp;MID(H495,2,1)&amp;"#","#0#1#2#3#4#5#6#7#8#9#")),IF(AND(VALUE(LEFT(H495,2))&gt;=1,VALUE(LEFT(H495,2))&lt;=5),VALUE(LEFT(H495,2)),""),IF(AND(VALUE(LEFT(H495,1))&gt;=1,VALUE(LEFT(H495,1))&lt;=5),VALUE(LEFT(H495,1)),"")),""),"")</f>
        <v/>
      </c>
      <c r="O495" s="25">
        <f>IF(AND(L495=1,B495&lt;&gt;""),SUBSTITUTE(SUBSTITUTE(SUBSTITUTE(SUBSTITUTE(SUBSTITUTE(SUBSTITUTE(SUBSTITUTE(SUBSTITUTE(SUBSTITUTE(SUBSTITUTE(SUBSTITUTE(SUBSTITUTE(LOWER(TRIM(B495)),"á","a"),"é","e"),"í","i"),"ó","o"),"ú","u"),"ü","u"),"ñ","n"),"à","a"),"è","e"),"ì","i"),"ò","o"),"ù","u"),"")</f>
        <v/>
      </c>
      <c r="P495" s="25">
        <f>IF(AND(L495=1,C495&lt;&gt;""),SUBSTITUTE(SUBSTITUTE(SUBSTITUTE(SUBSTITUTE(SUBSTITUTE(SUBSTITUTE(SUBSTITUTE(SUBSTITUTE(SUBSTITUTE(SUBSTITUTE(SUBSTITUTE(SUBSTITUTE(LOWER(TRIM(C495)),"á","a"),"é","e"),"í","i"),"ó","o"),"ú","u"),"ü","u"),"ñ","n"),"à","a"),"è","e"),"ì","i"),"ò","o"),"ù","u"),"")</f>
        <v/>
      </c>
      <c r="Q495" s="25">
        <f>IF(AND(L495=1,E495&lt;&gt;""),SUBSTITUTE(SUBSTITUTE(SUBSTITUTE(SUBSTITUTE(SUBSTITUTE(SUBSTITUTE(SUBSTITUTE(SUBSTITUTE(SUBSTITUTE(SUBSTITUTE(SUBSTITUTE(SUBSTITUTE(LOWER(TRIM(E495)),"á","a"),"é","e"),"í","i"),"ó","o"),"ú","u"),"ü","u"),"ñ","n"),"à","a"),"è","e"),"ì","i"),"ò","o"),"ù","u"),"")</f>
        <v/>
      </c>
      <c r="R495" s="25">
        <f>IF(AND(L495=1,I495&lt;&gt;""),SUBSTITUTE(SUBSTITUTE(SUBSTITUTE(SUBSTITUTE(SUBSTITUTE(SUBSTITUTE(SUBSTITUTE(SUBSTITUTE(SUBSTITUTE(SUBSTITUTE(SUBSTITUTE(SUBSTITUTE(LOWER(TRIM(I495)),"á","a"),"é","e"),"í","i"),"ó","o"),"ú","u"),"ü","u"),"ñ","n"),"à","a"),"è","e"),"ì","i"),"ò","o"),"ù","u"),"")</f>
        <v/>
      </c>
      <c r="S495" s="25">
        <f>IF(R495="","",IF(OR(R495="si",R495="tal vez"),1,0))</f>
        <v/>
      </c>
      <c r="T495" s="25">
        <f>IF(AND(L495=1,D495&lt;&gt;""),IF(IFERROR(COUNTIFS(D$3:D495,"="&amp;SUBSTITUTE(SUBSTITUTE(SUBSTITUTE(D495,"~","~~"),"*","~*"),"?","~?"),L$3:L495,1),0)=1,MAX(T$2:T494)+1,""),"")</f>
        <v/>
      </c>
      <c r="U495" s="25">
        <f>IF(T495="","",COUNTIFS($D$3:$D$1002,"="&amp;SUBSTITUTE(SUBSTITUTE(SUBSTITUTE(D495,"~","~~"),"*","~*"),"?","~?"),$L$3:$L$1002,1)*10000-T495)</f>
        <v/>
      </c>
      <c r="V495" s="25">
        <f>IF(AND(L495=1,J495&lt;&gt;""),IF(IFERROR(COUNTIFS(J$3:J495,"="&amp;SUBSTITUTE(SUBSTITUTE(SUBSTITUTE(J495,"~","~~"),"*","~*"),"?","~?"),L$3:L495,1),0)=1,MAX(V$2:V494)+1,""),"")</f>
        <v/>
      </c>
      <c r="W495" s="25">
        <f>IF(V495="","",COUNTIFS($J$3:$J$1002,"="&amp;SUBSTITUTE(SUBSTITUTE(SUBSTITUTE(J495,"~","~~"),"*","~*"),"?","~?"),$L$3:$L$1002,1)*10000-V495)</f>
        <v/>
      </c>
    </row>
    <row r="496">
      <c r="A496">
        <f>IF(A$2=0,"",IFERROR(TRIM(INDEX('Pegar estudiantes'!$A$1:$BZ$1001,495,A$2)&amp;""),""))</f>
        <v/>
      </c>
      <c r="B496">
        <f>IF(B$2=0,"",IFERROR(TRIM(INDEX('Pegar estudiantes'!$A$1:$BZ$1001,495,B$2)&amp;""),""))</f>
        <v/>
      </c>
      <c r="C496">
        <f>IF(C$2=0,"",IFERROR(TRIM(INDEX('Pegar estudiantes'!$A$1:$BZ$1001,495,C$2)&amp;""),""))</f>
        <v/>
      </c>
      <c r="D496">
        <f>IF(D$2=0,"",IFERROR(TRIM(INDEX('Pegar estudiantes'!$A$1:$BZ$1001,495,D$2)&amp;""),""))</f>
        <v/>
      </c>
      <c r="E496">
        <f>IF(E$2=0,"",IFERROR(TRIM(INDEX('Pegar estudiantes'!$A$1:$BZ$1001,495,E$2)&amp;""),""))</f>
        <v/>
      </c>
      <c r="F496">
        <f>IF(F$2=0,"",IFERROR(TRIM(INDEX('Pegar estudiantes'!$A$1:$BZ$1001,495,F$2)&amp;""),""))</f>
        <v/>
      </c>
      <c r="G496">
        <f>IF(G$2=0,"",IFERROR(TRIM(INDEX('Pegar estudiantes'!$A$1:$BZ$1001,495,G$2)&amp;""),""))</f>
        <v/>
      </c>
      <c r="H496">
        <f>IF(H$2=0,"",IFERROR(TRIM(INDEX('Pegar estudiantes'!$A$1:$BZ$1001,495,H$2)&amp;""),""))</f>
        <v/>
      </c>
      <c r="I496">
        <f>IF(I$2=0,"",IFERROR(TRIM(INDEX('Pegar estudiantes'!$A$1:$BZ$1001,495,I$2)&amp;""),""))</f>
        <v/>
      </c>
      <c r="J496">
        <f>IF(J$2=0,"",IFERROR(TRIM(INDEX('Pegar estudiantes'!$A$1:$BZ$1001,495,J$2)&amp;""),""))</f>
        <v/>
      </c>
      <c r="K496">
        <f>IF(K$2=0,"",IFERROR(TRIM(INDEX('Pegar estudiantes'!$A$1:$BZ$1001,495,K$2)&amp;""),""))</f>
        <v/>
      </c>
      <c r="L496" s="25">
        <f>IF(A496&lt;&gt;"",1,"")</f>
        <v/>
      </c>
      <c r="M496" s="25">
        <f>IF(L496=1,IF(ISNUMBER(FIND("#"&amp;MID(A496,1,1)&amp;"#","#0#1#2#3#4#5#6#7#8#9#")),IF(ISNUMBER(FIND("#"&amp;MID(A496,2,1)&amp;"#","#0#1#2#3#4#5#6#7#8#9#")),IF(AND(VALUE(LEFT(A496,2))&gt;=1,VALUE(LEFT(A496,2))&lt;=5),VALUE(LEFT(A496,2)),""),IF(AND(VALUE(LEFT(A496,1))&gt;=1,VALUE(LEFT(A496,1))&lt;=5),VALUE(LEFT(A496,1)),"")),""),"")</f>
        <v/>
      </c>
      <c r="N496" s="25">
        <f>IF(L496=1,IF(ISNUMBER(FIND("#"&amp;MID(H496,1,1)&amp;"#","#0#1#2#3#4#5#6#7#8#9#")),IF(ISNUMBER(FIND("#"&amp;MID(H496,2,1)&amp;"#","#0#1#2#3#4#5#6#7#8#9#")),IF(AND(VALUE(LEFT(H496,2))&gt;=1,VALUE(LEFT(H496,2))&lt;=5),VALUE(LEFT(H496,2)),""),IF(AND(VALUE(LEFT(H496,1))&gt;=1,VALUE(LEFT(H496,1))&lt;=5),VALUE(LEFT(H496,1)),"")),""),"")</f>
        <v/>
      </c>
      <c r="O496" s="25">
        <f>IF(AND(L496=1,B496&lt;&gt;""),SUBSTITUTE(SUBSTITUTE(SUBSTITUTE(SUBSTITUTE(SUBSTITUTE(SUBSTITUTE(SUBSTITUTE(SUBSTITUTE(SUBSTITUTE(SUBSTITUTE(SUBSTITUTE(SUBSTITUTE(LOWER(TRIM(B496)),"á","a"),"é","e"),"í","i"),"ó","o"),"ú","u"),"ü","u"),"ñ","n"),"à","a"),"è","e"),"ì","i"),"ò","o"),"ù","u"),"")</f>
        <v/>
      </c>
      <c r="P496" s="25">
        <f>IF(AND(L496=1,C496&lt;&gt;""),SUBSTITUTE(SUBSTITUTE(SUBSTITUTE(SUBSTITUTE(SUBSTITUTE(SUBSTITUTE(SUBSTITUTE(SUBSTITUTE(SUBSTITUTE(SUBSTITUTE(SUBSTITUTE(SUBSTITUTE(LOWER(TRIM(C496)),"á","a"),"é","e"),"í","i"),"ó","o"),"ú","u"),"ü","u"),"ñ","n"),"à","a"),"è","e"),"ì","i"),"ò","o"),"ù","u"),"")</f>
        <v/>
      </c>
      <c r="Q496" s="25">
        <f>IF(AND(L496=1,E496&lt;&gt;""),SUBSTITUTE(SUBSTITUTE(SUBSTITUTE(SUBSTITUTE(SUBSTITUTE(SUBSTITUTE(SUBSTITUTE(SUBSTITUTE(SUBSTITUTE(SUBSTITUTE(SUBSTITUTE(SUBSTITUTE(LOWER(TRIM(E496)),"á","a"),"é","e"),"í","i"),"ó","o"),"ú","u"),"ü","u"),"ñ","n"),"à","a"),"è","e"),"ì","i"),"ò","o"),"ù","u"),"")</f>
        <v/>
      </c>
      <c r="R496" s="25">
        <f>IF(AND(L496=1,I496&lt;&gt;""),SUBSTITUTE(SUBSTITUTE(SUBSTITUTE(SUBSTITUTE(SUBSTITUTE(SUBSTITUTE(SUBSTITUTE(SUBSTITUTE(SUBSTITUTE(SUBSTITUTE(SUBSTITUTE(SUBSTITUTE(LOWER(TRIM(I496)),"á","a"),"é","e"),"í","i"),"ó","o"),"ú","u"),"ü","u"),"ñ","n"),"à","a"),"è","e"),"ì","i"),"ò","o"),"ù","u"),"")</f>
        <v/>
      </c>
      <c r="S496" s="25">
        <f>IF(R496="","",IF(OR(R496="si",R496="tal vez"),1,0))</f>
        <v/>
      </c>
      <c r="T496" s="25">
        <f>IF(AND(L496=1,D496&lt;&gt;""),IF(IFERROR(COUNTIFS(D$3:D496,"="&amp;SUBSTITUTE(SUBSTITUTE(SUBSTITUTE(D496,"~","~~"),"*","~*"),"?","~?"),L$3:L496,1),0)=1,MAX(T$2:T495)+1,""),"")</f>
        <v/>
      </c>
      <c r="U496" s="25">
        <f>IF(T496="","",COUNTIFS($D$3:$D$1002,"="&amp;SUBSTITUTE(SUBSTITUTE(SUBSTITUTE(D496,"~","~~"),"*","~*"),"?","~?"),$L$3:$L$1002,1)*10000-T496)</f>
        <v/>
      </c>
      <c r="V496" s="25">
        <f>IF(AND(L496=1,J496&lt;&gt;""),IF(IFERROR(COUNTIFS(J$3:J496,"="&amp;SUBSTITUTE(SUBSTITUTE(SUBSTITUTE(J496,"~","~~"),"*","~*"),"?","~?"),L$3:L496,1),0)=1,MAX(V$2:V495)+1,""),"")</f>
        <v/>
      </c>
      <c r="W496" s="25">
        <f>IF(V496="","",COUNTIFS($J$3:$J$1002,"="&amp;SUBSTITUTE(SUBSTITUTE(SUBSTITUTE(J496,"~","~~"),"*","~*"),"?","~?"),$L$3:$L$1002,1)*10000-V496)</f>
        <v/>
      </c>
    </row>
    <row r="497">
      <c r="A497">
        <f>IF(A$2=0,"",IFERROR(TRIM(INDEX('Pegar estudiantes'!$A$1:$BZ$1001,496,A$2)&amp;""),""))</f>
        <v/>
      </c>
      <c r="B497">
        <f>IF(B$2=0,"",IFERROR(TRIM(INDEX('Pegar estudiantes'!$A$1:$BZ$1001,496,B$2)&amp;""),""))</f>
        <v/>
      </c>
      <c r="C497">
        <f>IF(C$2=0,"",IFERROR(TRIM(INDEX('Pegar estudiantes'!$A$1:$BZ$1001,496,C$2)&amp;""),""))</f>
        <v/>
      </c>
      <c r="D497">
        <f>IF(D$2=0,"",IFERROR(TRIM(INDEX('Pegar estudiantes'!$A$1:$BZ$1001,496,D$2)&amp;""),""))</f>
        <v/>
      </c>
      <c r="E497">
        <f>IF(E$2=0,"",IFERROR(TRIM(INDEX('Pegar estudiantes'!$A$1:$BZ$1001,496,E$2)&amp;""),""))</f>
        <v/>
      </c>
      <c r="F497">
        <f>IF(F$2=0,"",IFERROR(TRIM(INDEX('Pegar estudiantes'!$A$1:$BZ$1001,496,F$2)&amp;""),""))</f>
        <v/>
      </c>
      <c r="G497">
        <f>IF(G$2=0,"",IFERROR(TRIM(INDEX('Pegar estudiantes'!$A$1:$BZ$1001,496,G$2)&amp;""),""))</f>
        <v/>
      </c>
      <c r="H497">
        <f>IF(H$2=0,"",IFERROR(TRIM(INDEX('Pegar estudiantes'!$A$1:$BZ$1001,496,H$2)&amp;""),""))</f>
        <v/>
      </c>
      <c r="I497">
        <f>IF(I$2=0,"",IFERROR(TRIM(INDEX('Pegar estudiantes'!$A$1:$BZ$1001,496,I$2)&amp;""),""))</f>
        <v/>
      </c>
      <c r="J497">
        <f>IF(J$2=0,"",IFERROR(TRIM(INDEX('Pegar estudiantes'!$A$1:$BZ$1001,496,J$2)&amp;""),""))</f>
        <v/>
      </c>
      <c r="K497">
        <f>IF(K$2=0,"",IFERROR(TRIM(INDEX('Pegar estudiantes'!$A$1:$BZ$1001,496,K$2)&amp;""),""))</f>
        <v/>
      </c>
      <c r="L497" s="25">
        <f>IF(A497&lt;&gt;"",1,"")</f>
        <v/>
      </c>
      <c r="M497" s="25">
        <f>IF(L497=1,IF(ISNUMBER(FIND("#"&amp;MID(A497,1,1)&amp;"#","#0#1#2#3#4#5#6#7#8#9#")),IF(ISNUMBER(FIND("#"&amp;MID(A497,2,1)&amp;"#","#0#1#2#3#4#5#6#7#8#9#")),IF(AND(VALUE(LEFT(A497,2))&gt;=1,VALUE(LEFT(A497,2))&lt;=5),VALUE(LEFT(A497,2)),""),IF(AND(VALUE(LEFT(A497,1))&gt;=1,VALUE(LEFT(A497,1))&lt;=5),VALUE(LEFT(A497,1)),"")),""),"")</f>
        <v/>
      </c>
      <c r="N497" s="25">
        <f>IF(L497=1,IF(ISNUMBER(FIND("#"&amp;MID(H497,1,1)&amp;"#","#0#1#2#3#4#5#6#7#8#9#")),IF(ISNUMBER(FIND("#"&amp;MID(H497,2,1)&amp;"#","#0#1#2#3#4#5#6#7#8#9#")),IF(AND(VALUE(LEFT(H497,2))&gt;=1,VALUE(LEFT(H497,2))&lt;=5),VALUE(LEFT(H497,2)),""),IF(AND(VALUE(LEFT(H497,1))&gt;=1,VALUE(LEFT(H497,1))&lt;=5),VALUE(LEFT(H497,1)),"")),""),"")</f>
        <v/>
      </c>
      <c r="O497" s="25">
        <f>IF(AND(L497=1,B497&lt;&gt;""),SUBSTITUTE(SUBSTITUTE(SUBSTITUTE(SUBSTITUTE(SUBSTITUTE(SUBSTITUTE(SUBSTITUTE(SUBSTITUTE(SUBSTITUTE(SUBSTITUTE(SUBSTITUTE(SUBSTITUTE(LOWER(TRIM(B497)),"á","a"),"é","e"),"í","i"),"ó","o"),"ú","u"),"ü","u"),"ñ","n"),"à","a"),"è","e"),"ì","i"),"ò","o"),"ù","u"),"")</f>
        <v/>
      </c>
      <c r="P497" s="25">
        <f>IF(AND(L497=1,C497&lt;&gt;""),SUBSTITUTE(SUBSTITUTE(SUBSTITUTE(SUBSTITUTE(SUBSTITUTE(SUBSTITUTE(SUBSTITUTE(SUBSTITUTE(SUBSTITUTE(SUBSTITUTE(SUBSTITUTE(SUBSTITUTE(LOWER(TRIM(C497)),"á","a"),"é","e"),"í","i"),"ó","o"),"ú","u"),"ü","u"),"ñ","n"),"à","a"),"è","e"),"ì","i"),"ò","o"),"ù","u"),"")</f>
        <v/>
      </c>
      <c r="Q497" s="25">
        <f>IF(AND(L497=1,E497&lt;&gt;""),SUBSTITUTE(SUBSTITUTE(SUBSTITUTE(SUBSTITUTE(SUBSTITUTE(SUBSTITUTE(SUBSTITUTE(SUBSTITUTE(SUBSTITUTE(SUBSTITUTE(SUBSTITUTE(SUBSTITUTE(LOWER(TRIM(E497)),"á","a"),"é","e"),"í","i"),"ó","o"),"ú","u"),"ü","u"),"ñ","n"),"à","a"),"è","e"),"ì","i"),"ò","o"),"ù","u"),"")</f>
        <v/>
      </c>
      <c r="R497" s="25">
        <f>IF(AND(L497=1,I497&lt;&gt;""),SUBSTITUTE(SUBSTITUTE(SUBSTITUTE(SUBSTITUTE(SUBSTITUTE(SUBSTITUTE(SUBSTITUTE(SUBSTITUTE(SUBSTITUTE(SUBSTITUTE(SUBSTITUTE(SUBSTITUTE(LOWER(TRIM(I497)),"á","a"),"é","e"),"í","i"),"ó","o"),"ú","u"),"ü","u"),"ñ","n"),"à","a"),"è","e"),"ì","i"),"ò","o"),"ù","u"),"")</f>
        <v/>
      </c>
      <c r="S497" s="25">
        <f>IF(R497="","",IF(OR(R497="si",R497="tal vez"),1,0))</f>
        <v/>
      </c>
      <c r="T497" s="25">
        <f>IF(AND(L497=1,D497&lt;&gt;""),IF(IFERROR(COUNTIFS(D$3:D497,"="&amp;SUBSTITUTE(SUBSTITUTE(SUBSTITUTE(D497,"~","~~"),"*","~*"),"?","~?"),L$3:L497,1),0)=1,MAX(T$2:T496)+1,""),"")</f>
        <v/>
      </c>
      <c r="U497" s="25">
        <f>IF(T497="","",COUNTIFS($D$3:$D$1002,"="&amp;SUBSTITUTE(SUBSTITUTE(SUBSTITUTE(D497,"~","~~"),"*","~*"),"?","~?"),$L$3:$L$1002,1)*10000-T497)</f>
        <v/>
      </c>
      <c r="V497" s="25">
        <f>IF(AND(L497=1,J497&lt;&gt;""),IF(IFERROR(COUNTIFS(J$3:J497,"="&amp;SUBSTITUTE(SUBSTITUTE(SUBSTITUTE(J497,"~","~~"),"*","~*"),"?","~?"),L$3:L497,1),0)=1,MAX(V$2:V496)+1,""),"")</f>
        <v/>
      </c>
      <c r="W497" s="25">
        <f>IF(V497="","",COUNTIFS($J$3:$J$1002,"="&amp;SUBSTITUTE(SUBSTITUTE(SUBSTITUTE(J497,"~","~~"),"*","~*"),"?","~?"),$L$3:$L$1002,1)*10000-V497)</f>
        <v/>
      </c>
    </row>
    <row r="498">
      <c r="A498">
        <f>IF(A$2=0,"",IFERROR(TRIM(INDEX('Pegar estudiantes'!$A$1:$BZ$1001,497,A$2)&amp;""),""))</f>
        <v/>
      </c>
      <c r="B498">
        <f>IF(B$2=0,"",IFERROR(TRIM(INDEX('Pegar estudiantes'!$A$1:$BZ$1001,497,B$2)&amp;""),""))</f>
        <v/>
      </c>
      <c r="C498">
        <f>IF(C$2=0,"",IFERROR(TRIM(INDEX('Pegar estudiantes'!$A$1:$BZ$1001,497,C$2)&amp;""),""))</f>
        <v/>
      </c>
      <c r="D498">
        <f>IF(D$2=0,"",IFERROR(TRIM(INDEX('Pegar estudiantes'!$A$1:$BZ$1001,497,D$2)&amp;""),""))</f>
        <v/>
      </c>
      <c r="E498">
        <f>IF(E$2=0,"",IFERROR(TRIM(INDEX('Pegar estudiantes'!$A$1:$BZ$1001,497,E$2)&amp;""),""))</f>
        <v/>
      </c>
      <c r="F498">
        <f>IF(F$2=0,"",IFERROR(TRIM(INDEX('Pegar estudiantes'!$A$1:$BZ$1001,497,F$2)&amp;""),""))</f>
        <v/>
      </c>
      <c r="G498">
        <f>IF(G$2=0,"",IFERROR(TRIM(INDEX('Pegar estudiantes'!$A$1:$BZ$1001,497,G$2)&amp;""),""))</f>
        <v/>
      </c>
      <c r="H498">
        <f>IF(H$2=0,"",IFERROR(TRIM(INDEX('Pegar estudiantes'!$A$1:$BZ$1001,497,H$2)&amp;""),""))</f>
        <v/>
      </c>
      <c r="I498">
        <f>IF(I$2=0,"",IFERROR(TRIM(INDEX('Pegar estudiantes'!$A$1:$BZ$1001,497,I$2)&amp;""),""))</f>
        <v/>
      </c>
      <c r="J498">
        <f>IF(J$2=0,"",IFERROR(TRIM(INDEX('Pegar estudiantes'!$A$1:$BZ$1001,497,J$2)&amp;""),""))</f>
        <v/>
      </c>
      <c r="K498">
        <f>IF(K$2=0,"",IFERROR(TRIM(INDEX('Pegar estudiantes'!$A$1:$BZ$1001,497,K$2)&amp;""),""))</f>
        <v/>
      </c>
      <c r="L498" s="25">
        <f>IF(A498&lt;&gt;"",1,"")</f>
        <v/>
      </c>
      <c r="M498" s="25">
        <f>IF(L498=1,IF(ISNUMBER(FIND("#"&amp;MID(A498,1,1)&amp;"#","#0#1#2#3#4#5#6#7#8#9#")),IF(ISNUMBER(FIND("#"&amp;MID(A498,2,1)&amp;"#","#0#1#2#3#4#5#6#7#8#9#")),IF(AND(VALUE(LEFT(A498,2))&gt;=1,VALUE(LEFT(A498,2))&lt;=5),VALUE(LEFT(A498,2)),""),IF(AND(VALUE(LEFT(A498,1))&gt;=1,VALUE(LEFT(A498,1))&lt;=5),VALUE(LEFT(A498,1)),"")),""),"")</f>
        <v/>
      </c>
      <c r="N498" s="25">
        <f>IF(L498=1,IF(ISNUMBER(FIND("#"&amp;MID(H498,1,1)&amp;"#","#0#1#2#3#4#5#6#7#8#9#")),IF(ISNUMBER(FIND("#"&amp;MID(H498,2,1)&amp;"#","#0#1#2#3#4#5#6#7#8#9#")),IF(AND(VALUE(LEFT(H498,2))&gt;=1,VALUE(LEFT(H498,2))&lt;=5),VALUE(LEFT(H498,2)),""),IF(AND(VALUE(LEFT(H498,1))&gt;=1,VALUE(LEFT(H498,1))&lt;=5),VALUE(LEFT(H498,1)),"")),""),"")</f>
        <v/>
      </c>
      <c r="O498" s="25">
        <f>IF(AND(L498=1,B498&lt;&gt;""),SUBSTITUTE(SUBSTITUTE(SUBSTITUTE(SUBSTITUTE(SUBSTITUTE(SUBSTITUTE(SUBSTITUTE(SUBSTITUTE(SUBSTITUTE(SUBSTITUTE(SUBSTITUTE(SUBSTITUTE(LOWER(TRIM(B498)),"á","a"),"é","e"),"í","i"),"ó","o"),"ú","u"),"ü","u"),"ñ","n"),"à","a"),"è","e"),"ì","i"),"ò","o"),"ù","u"),"")</f>
        <v/>
      </c>
      <c r="P498" s="25">
        <f>IF(AND(L498=1,C498&lt;&gt;""),SUBSTITUTE(SUBSTITUTE(SUBSTITUTE(SUBSTITUTE(SUBSTITUTE(SUBSTITUTE(SUBSTITUTE(SUBSTITUTE(SUBSTITUTE(SUBSTITUTE(SUBSTITUTE(SUBSTITUTE(LOWER(TRIM(C498)),"á","a"),"é","e"),"í","i"),"ó","o"),"ú","u"),"ü","u"),"ñ","n"),"à","a"),"è","e"),"ì","i"),"ò","o"),"ù","u"),"")</f>
        <v/>
      </c>
      <c r="Q498" s="25">
        <f>IF(AND(L498=1,E498&lt;&gt;""),SUBSTITUTE(SUBSTITUTE(SUBSTITUTE(SUBSTITUTE(SUBSTITUTE(SUBSTITUTE(SUBSTITUTE(SUBSTITUTE(SUBSTITUTE(SUBSTITUTE(SUBSTITUTE(SUBSTITUTE(LOWER(TRIM(E498)),"á","a"),"é","e"),"í","i"),"ó","o"),"ú","u"),"ü","u"),"ñ","n"),"à","a"),"è","e"),"ì","i"),"ò","o"),"ù","u"),"")</f>
        <v/>
      </c>
      <c r="R498" s="25">
        <f>IF(AND(L498=1,I498&lt;&gt;""),SUBSTITUTE(SUBSTITUTE(SUBSTITUTE(SUBSTITUTE(SUBSTITUTE(SUBSTITUTE(SUBSTITUTE(SUBSTITUTE(SUBSTITUTE(SUBSTITUTE(SUBSTITUTE(SUBSTITUTE(LOWER(TRIM(I498)),"á","a"),"é","e"),"í","i"),"ó","o"),"ú","u"),"ü","u"),"ñ","n"),"à","a"),"è","e"),"ì","i"),"ò","o"),"ù","u"),"")</f>
        <v/>
      </c>
      <c r="S498" s="25">
        <f>IF(R498="","",IF(OR(R498="si",R498="tal vez"),1,0))</f>
        <v/>
      </c>
      <c r="T498" s="25">
        <f>IF(AND(L498=1,D498&lt;&gt;""),IF(IFERROR(COUNTIFS(D$3:D498,"="&amp;SUBSTITUTE(SUBSTITUTE(SUBSTITUTE(D498,"~","~~"),"*","~*"),"?","~?"),L$3:L498,1),0)=1,MAX(T$2:T497)+1,""),"")</f>
        <v/>
      </c>
      <c r="U498" s="25">
        <f>IF(T498="","",COUNTIFS($D$3:$D$1002,"="&amp;SUBSTITUTE(SUBSTITUTE(SUBSTITUTE(D498,"~","~~"),"*","~*"),"?","~?"),$L$3:$L$1002,1)*10000-T498)</f>
        <v/>
      </c>
      <c r="V498" s="25">
        <f>IF(AND(L498=1,J498&lt;&gt;""),IF(IFERROR(COUNTIFS(J$3:J498,"="&amp;SUBSTITUTE(SUBSTITUTE(SUBSTITUTE(J498,"~","~~"),"*","~*"),"?","~?"),L$3:L498,1),0)=1,MAX(V$2:V497)+1,""),"")</f>
        <v/>
      </c>
      <c r="W498" s="25">
        <f>IF(V498="","",COUNTIFS($J$3:$J$1002,"="&amp;SUBSTITUTE(SUBSTITUTE(SUBSTITUTE(J498,"~","~~"),"*","~*"),"?","~?"),$L$3:$L$1002,1)*10000-V498)</f>
        <v/>
      </c>
    </row>
    <row r="499">
      <c r="A499">
        <f>IF(A$2=0,"",IFERROR(TRIM(INDEX('Pegar estudiantes'!$A$1:$BZ$1001,498,A$2)&amp;""),""))</f>
        <v/>
      </c>
      <c r="B499">
        <f>IF(B$2=0,"",IFERROR(TRIM(INDEX('Pegar estudiantes'!$A$1:$BZ$1001,498,B$2)&amp;""),""))</f>
        <v/>
      </c>
      <c r="C499">
        <f>IF(C$2=0,"",IFERROR(TRIM(INDEX('Pegar estudiantes'!$A$1:$BZ$1001,498,C$2)&amp;""),""))</f>
        <v/>
      </c>
      <c r="D499">
        <f>IF(D$2=0,"",IFERROR(TRIM(INDEX('Pegar estudiantes'!$A$1:$BZ$1001,498,D$2)&amp;""),""))</f>
        <v/>
      </c>
      <c r="E499">
        <f>IF(E$2=0,"",IFERROR(TRIM(INDEX('Pegar estudiantes'!$A$1:$BZ$1001,498,E$2)&amp;""),""))</f>
        <v/>
      </c>
      <c r="F499">
        <f>IF(F$2=0,"",IFERROR(TRIM(INDEX('Pegar estudiantes'!$A$1:$BZ$1001,498,F$2)&amp;""),""))</f>
        <v/>
      </c>
      <c r="G499">
        <f>IF(G$2=0,"",IFERROR(TRIM(INDEX('Pegar estudiantes'!$A$1:$BZ$1001,498,G$2)&amp;""),""))</f>
        <v/>
      </c>
      <c r="H499">
        <f>IF(H$2=0,"",IFERROR(TRIM(INDEX('Pegar estudiantes'!$A$1:$BZ$1001,498,H$2)&amp;""),""))</f>
        <v/>
      </c>
      <c r="I499">
        <f>IF(I$2=0,"",IFERROR(TRIM(INDEX('Pegar estudiantes'!$A$1:$BZ$1001,498,I$2)&amp;""),""))</f>
        <v/>
      </c>
      <c r="J499">
        <f>IF(J$2=0,"",IFERROR(TRIM(INDEX('Pegar estudiantes'!$A$1:$BZ$1001,498,J$2)&amp;""),""))</f>
        <v/>
      </c>
      <c r="K499">
        <f>IF(K$2=0,"",IFERROR(TRIM(INDEX('Pegar estudiantes'!$A$1:$BZ$1001,498,K$2)&amp;""),""))</f>
        <v/>
      </c>
      <c r="L499" s="25">
        <f>IF(A499&lt;&gt;"",1,"")</f>
        <v/>
      </c>
      <c r="M499" s="25">
        <f>IF(L499=1,IF(ISNUMBER(FIND("#"&amp;MID(A499,1,1)&amp;"#","#0#1#2#3#4#5#6#7#8#9#")),IF(ISNUMBER(FIND("#"&amp;MID(A499,2,1)&amp;"#","#0#1#2#3#4#5#6#7#8#9#")),IF(AND(VALUE(LEFT(A499,2))&gt;=1,VALUE(LEFT(A499,2))&lt;=5),VALUE(LEFT(A499,2)),""),IF(AND(VALUE(LEFT(A499,1))&gt;=1,VALUE(LEFT(A499,1))&lt;=5),VALUE(LEFT(A499,1)),"")),""),"")</f>
        <v/>
      </c>
      <c r="N499" s="25">
        <f>IF(L499=1,IF(ISNUMBER(FIND("#"&amp;MID(H499,1,1)&amp;"#","#0#1#2#3#4#5#6#7#8#9#")),IF(ISNUMBER(FIND("#"&amp;MID(H499,2,1)&amp;"#","#0#1#2#3#4#5#6#7#8#9#")),IF(AND(VALUE(LEFT(H499,2))&gt;=1,VALUE(LEFT(H499,2))&lt;=5),VALUE(LEFT(H499,2)),""),IF(AND(VALUE(LEFT(H499,1))&gt;=1,VALUE(LEFT(H499,1))&lt;=5),VALUE(LEFT(H499,1)),"")),""),"")</f>
        <v/>
      </c>
      <c r="O499" s="25">
        <f>IF(AND(L499=1,B499&lt;&gt;""),SUBSTITUTE(SUBSTITUTE(SUBSTITUTE(SUBSTITUTE(SUBSTITUTE(SUBSTITUTE(SUBSTITUTE(SUBSTITUTE(SUBSTITUTE(SUBSTITUTE(SUBSTITUTE(SUBSTITUTE(LOWER(TRIM(B499)),"á","a"),"é","e"),"í","i"),"ó","o"),"ú","u"),"ü","u"),"ñ","n"),"à","a"),"è","e"),"ì","i"),"ò","o"),"ù","u"),"")</f>
        <v/>
      </c>
      <c r="P499" s="25">
        <f>IF(AND(L499=1,C499&lt;&gt;""),SUBSTITUTE(SUBSTITUTE(SUBSTITUTE(SUBSTITUTE(SUBSTITUTE(SUBSTITUTE(SUBSTITUTE(SUBSTITUTE(SUBSTITUTE(SUBSTITUTE(SUBSTITUTE(SUBSTITUTE(LOWER(TRIM(C499)),"á","a"),"é","e"),"í","i"),"ó","o"),"ú","u"),"ü","u"),"ñ","n"),"à","a"),"è","e"),"ì","i"),"ò","o"),"ù","u"),"")</f>
        <v/>
      </c>
      <c r="Q499" s="25">
        <f>IF(AND(L499=1,E499&lt;&gt;""),SUBSTITUTE(SUBSTITUTE(SUBSTITUTE(SUBSTITUTE(SUBSTITUTE(SUBSTITUTE(SUBSTITUTE(SUBSTITUTE(SUBSTITUTE(SUBSTITUTE(SUBSTITUTE(SUBSTITUTE(LOWER(TRIM(E499)),"á","a"),"é","e"),"í","i"),"ó","o"),"ú","u"),"ü","u"),"ñ","n"),"à","a"),"è","e"),"ì","i"),"ò","o"),"ù","u"),"")</f>
        <v/>
      </c>
      <c r="R499" s="25">
        <f>IF(AND(L499=1,I499&lt;&gt;""),SUBSTITUTE(SUBSTITUTE(SUBSTITUTE(SUBSTITUTE(SUBSTITUTE(SUBSTITUTE(SUBSTITUTE(SUBSTITUTE(SUBSTITUTE(SUBSTITUTE(SUBSTITUTE(SUBSTITUTE(LOWER(TRIM(I499)),"á","a"),"é","e"),"í","i"),"ó","o"),"ú","u"),"ü","u"),"ñ","n"),"à","a"),"è","e"),"ì","i"),"ò","o"),"ù","u"),"")</f>
        <v/>
      </c>
      <c r="S499" s="25">
        <f>IF(R499="","",IF(OR(R499="si",R499="tal vez"),1,0))</f>
        <v/>
      </c>
      <c r="T499" s="25">
        <f>IF(AND(L499=1,D499&lt;&gt;""),IF(IFERROR(COUNTIFS(D$3:D499,"="&amp;SUBSTITUTE(SUBSTITUTE(SUBSTITUTE(D499,"~","~~"),"*","~*"),"?","~?"),L$3:L499,1),0)=1,MAX(T$2:T498)+1,""),"")</f>
        <v/>
      </c>
      <c r="U499" s="25">
        <f>IF(T499="","",COUNTIFS($D$3:$D$1002,"="&amp;SUBSTITUTE(SUBSTITUTE(SUBSTITUTE(D499,"~","~~"),"*","~*"),"?","~?"),$L$3:$L$1002,1)*10000-T499)</f>
        <v/>
      </c>
      <c r="V499" s="25">
        <f>IF(AND(L499=1,J499&lt;&gt;""),IF(IFERROR(COUNTIFS(J$3:J499,"="&amp;SUBSTITUTE(SUBSTITUTE(SUBSTITUTE(J499,"~","~~"),"*","~*"),"?","~?"),L$3:L499,1),0)=1,MAX(V$2:V498)+1,""),"")</f>
        <v/>
      </c>
      <c r="W499" s="25">
        <f>IF(V499="","",COUNTIFS($J$3:$J$1002,"="&amp;SUBSTITUTE(SUBSTITUTE(SUBSTITUTE(J499,"~","~~"),"*","~*"),"?","~?"),$L$3:$L$1002,1)*10000-V499)</f>
        <v/>
      </c>
    </row>
    <row r="500">
      <c r="A500">
        <f>IF(A$2=0,"",IFERROR(TRIM(INDEX('Pegar estudiantes'!$A$1:$BZ$1001,499,A$2)&amp;""),""))</f>
        <v/>
      </c>
      <c r="B500">
        <f>IF(B$2=0,"",IFERROR(TRIM(INDEX('Pegar estudiantes'!$A$1:$BZ$1001,499,B$2)&amp;""),""))</f>
        <v/>
      </c>
      <c r="C500">
        <f>IF(C$2=0,"",IFERROR(TRIM(INDEX('Pegar estudiantes'!$A$1:$BZ$1001,499,C$2)&amp;""),""))</f>
        <v/>
      </c>
      <c r="D500">
        <f>IF(D$2=0,"",IFERROR(TRIM(INDEX('Pegar estudiantes'!$A$1:$BZ$1001,499,D$2)&amp;""),""))</f>
        <v/>
      </c>
      <c r="E500">
        <f>IF(E$2=0,"",IFERROR(TRIM(INDEX('Pegar estudiantes'!$A$1:$BZ$1001,499,E$2)&amp;""),""))</f>
        <v/>
      </c>
      <c r="F500">
        <f>IF(F$2=0,"",IFERROR(TRIM(INDEX('Pegar estudiantes'!$A$1:$BZ$1001,499,F$2)&amp;""),""))</f>
        <v/>
      </c>
      <c r="G500">
        <f>IF(G$2=0,"",IFERROR(TRIM(INDEX('Pegar estudiantes'!$A$1:$BZ$1001,499,G$2)&amp;""),""))</f>
        <v/>
      </c>
      <c r="H500">
        <f>IF(H$2=0,"",IFERROR(TRIM(INDEX('Pegar estudiantes'!$A$1:$BZ$1001,499,H$2)&amp;""),""))</f>
        <v/>
      </c>
      <c r="I500">
        <f>IF(I$2=0,"",IFERROR(TRIM(INDEX('Pegar estudiantes'!$A$1:$BZ$1001,499,I$2)&amp;""),""))</f>
        <v/>
      </c>
      <c r="J500">
        <f>IF(J$2=0,"",IFERROR(TRIM(INDEX('Pegar estudiantes'!$A$1:$BZ$1001,499,J$2)&amp;""),""))</f>
        <v/>
      </c>
      <c r="K500">
        <f>IF(K$2=0,"",IFERROR(TRIM(INDEX('Pegar estudiantes'!$A$1:$BZ$1001,499,K$2)&amp;""),""))</f>
        <v/>
      </c>
      <c r="L500" s="25">
        <f>IF(A500&lt;&gt;"",1,"")</f>
        <v/>
      </c>
      <c r="M500" s="25">
        <f>IF(L500=1,IF(ISNUMBER(FIND("#"&amp;MID(A500,1,1)&amp;"#","#0#1#2#3#4#5#6#7#8#9#")),IF(ISNUMBER(FIND("#"&amp;MID(A500,2,1)&amp;"#","#0#1#2#3#4#5#6#7#8#9#")),IF(AND(VALUE(LEFT(A500,2))&gt;=1,VALUE(LEFT(A500,2))&lt;=5),VALUE(LEFT(A500,2)),""),IF(AND(VALUE(LEFT(A500,1))&gt;=1,VALUE(LEFT(A500,1))&lt;=5),VALUE(LEFT(A500,1)),"")),""),"")</f>
        <v/>
      </c>
      <c r="N500" s="25">
        <f>IF(L500=1,IF(ISNUMBER(FIND("#"&amp;MID(H500,1,1)&amp;"#","#0#1#2#3#4#5#6#7#8#9#")),IF(ISNUMBER(FIND("#"&amp;MID(H500,2,1)&amp;"#","#0#1#2#3#4#5#6#7#8#9#")),IF(AND(VALUE(LEFT(H500,2))&gt;=1,VALUE(LEFT(H500,2))&lt;=5),VALUE(LEFT(H500,2)),""),IF(AND(VALUE(LEFT(H500,1))&gt;=1,VALUE(LEFT(H500,1))&lt;=5),VALUE(LEFT(H500,1)),"")),""),"")</f>
        <v/>
      </c>
      <c r="O500" s="25">
        <f>IF(AND(L500=1,B500&lt;&gt;""),SUBSTITUTE(SUBSTITUTE(SUBSTITUTE(SUBSTITUTE(SUBSTITUTE(SUBSTITUTE(SUBSTITUTE(SUBSTITUTE(SUBSTITUTE(SUBSTITUTE(SUBSTITUTE(SUBSTITUTE(LOWER(TRIM(B500)),"á","a"),"é","e"),"í","i"),"ó","o"),"ú","u"),"ü","u"),"ñ","n"),"à","a"),"è","e"),"ì","i"),"ò","o"),"ù","u"),"")</f>
        <v/>
      </c>
      <c r="P500" s="25">
        <f>IF(AND(L500=1,C500&lt;&gt;""),SUBSTITUTE(SUBSTITUTE(SUBSTITUTE(SUBSTITUTE(SUBSTITUTE(SUBSTITUTE(SUBSTITUTE(SUBSTITUTE(SUBSTITUTE(SUBSTITUTE(SUBSTITUTE(SUBSTITUTE(LOWER(TRIM(C500)),"á","a"),"é","e"),"í","i"),"ó","o"),"ú","u"),"ü","u"),"ñ","n"),"à","a"),"è","e"),"ì","i"),"ò","o"),"ù","u"),"")</f>
        <v/>
      </c>
      <c r="Q500" s="25">
        <f>IF(AND(L500=1,E500&lt;&gt;""),SUBSTITUTE(SUBSTITUTE(SUBSTITUTE(SUBSTITUTE(SUBSTITUTE(SUBSTITUTE(SUBSTITUTE(SUBSTITUTE(SUBSTITUTE(SUBSTITUTE(SUBSTITUTE(SUBSTITUTE(LOWER(TRIM(E500)),"á","a"),"é","e"),"í","i"),"ó","o"),"ú","u"),"ü","u"),"ñ","n"),"à","a"),"è","e"),"ì","i"),"ò","o"),"ù","u"),"")</f>
        <v/>
      </c>
      <c r="R500" s="25">
        <f>IF(AND(L500=1,I500&lt;&gt;""),SUBSTITUTE(SUBSTITUTE(SUBSTITUTE(SUBSTITUTE(SUBSTITUTE(SUBSTITUTE(SUBSTITUTE(SUBSTITUTE(SUBSTITUTE(SUBSTITUTE(SUBSTITUTE(SUBSTITUTE(LOWER(TRIM(I500)),"á","a"),"é","e"),"í","i"),"ó","o"),"ú","u"),"ü","u"),"ñ","n"),"à","a"),"è","e"),"ì","i"),"ò","o"),"ù","u"),"")</f>
        <v/>
      </c>
      <c r="S500" s="25">
        <f>IF(R500="","",IF(OR(R500="si",R500="tal vez"),1,0))</f>
        <v/>
      </c>
      <c r="T500" s="25">
        <f>IF(AND(L500=1,D500&lt;&gt;""),IF(IFERROR(COUNTIFS(D$3:D500,"="&amp;SUBSTITUTE(SUBSTITUTE(SUBSTITUTE(D500,"~","~~"),"*","~*"),"?","~?"),L$3:L500,1),0)=1,MAX(T$2:T499)+1,""),"")</f>
        <v/>
      </c>
      <c r="U500" s="25">
        <f>IF(T500="","",COUNTIFS($D$3:$D$1002,"="&amp;SUBSTITUTE(SUBSTITUTE(SUBSTITUTE(D500,"~","~~"),"*","~*"),"?","~?"),$L$3:$L$1002,1)*10000-T500)</f>
        <v/>
      </c>
      <c r="V500" s="25">
        <f>IF(AND(L500=1,J500&lt;&gt;""),IF(IFERROR(COUNTIFS(J$3:J500,"="&amp;SUBSTITUTE(SUBSTITUTE(SUBSTITUTE(J500,"~","~~"),"*","~*"),"?","~?"),L$3:L500,1),0)=1,MAX(V$2:V499)+1,""),"")</f>
        <v/>
      </c>
      <c r="W500" s="25">
        <f>IF(V500="","",COUNTIFS($J$3:$J$1002,"="&amp;SUBSTITUTE(SUBSTITUTE(SUBSTITUTE(J500,"~","~~"),"*","~*"),"?","~?"),$L$3:$L$1002,1)*10000-V500)</f>
        <v/>
      </c>
    </row>
    <row r="501">
      <c r="A501">
        <f>IF(A$2=0,"",IFERROR(TRIM(INDEX('Pegar estudiantes'!$A$1:$BZ$1001,500,A$2)&amp;""),""))</f>
        <v/>
      </c>
      <c r="B501">
        <f>IF(B$2=0,"",IFERROR(TRIM(INDEX('Pegar estudiantes'!$A$1:$BZ$1001,500,B$2)&amp;""),""))</f>
        <v/>
      </c>
      <c r="C501">
        <f>IF(C$2=0,"",IFERROR(TRIM(INDEX('Pegar estudiantes'!$A$1:$BZ$1001,500,C$2)&amp;""),""))</f>
        <v/>
      </c>
      <c r="D501">
        <f>IF(D$2=0,"",IFERROR(TRIM(INDEX('Pegar estudiantes'!$A$1:$BZ$1001,500,D$2)&amp;""),""))</f>
        <v/>
      </c>
      <c r="E501">
        <f>IF(E$2=0,"",IFERROR(TRIM(INDEX('Pegar estudiantes'!$A$1:$BZ$1001,500,E$2)&amp;""),""))</f>
        <v/>
      </c>
      <c r="F501">
        <f>IF(F$2=0,"",IFERROR(TRIM(INDEX('Pegar estudiantes'!$A$1:$BZ$1001,500,F$2)&amp;""),""))</f>
        <v/>
      </c>
      <c r="G501">
        <f>IF(G$2=0,"",IFERROR(TRIM(INDEX('Pegar estudiantes'!$A$1:$BZ$1001,500,G$2)&amp;""),""))</f>
        <v/>
      </c>
      <c r="H501">
        <f>IF(H$2=0,"",IFERROR(TRIM(INDEX('Pegar estudiantes'!$A$1:$BZ$1001,500,H$2)&amp;""),""))</f>
        <v/>
      </c>
      <c r="I501">
        <f>IF(I$2=0,"",IFERROR(TRIM(INDEX('Pegar estudiantes'!$A$1:$BZ$1001,500,I$2)&amp;""),""))</f>
        <v/>
      </c>
      <c r="J501">
        <f>IF(J$2=0,"",IFERROR(TRIM(INDEX('Pegar estudiantes'!$A$1:$BZ$1001,500,J$2)&amp;""),""))</f>
        <v/>
      </c>
      <c r="K501">
        <f>IF(K$2=0,"",IFERROR(TRIM(INDEX('Pegar estudiantes'!$A$1:$BZ$1001,500,K$2)&amp;""),""))</f>
        <v/>
      </c>
      <c r="L501" s="25">
        <f>IF(A501&lt;&gt;"",1,"")</f>
        <v/>
      </c>
      <c r="M501" s="25">
        <f>IF(L501=1,IF(ISNUMBER(FIND("#"&amp;MID(A501,1,1)&amp;"#","#0#1#2#3#4#5#6#7#8#9#")),IF(ISNUMBER(FIND("#"&amp;MID(A501,2,1)&amp;"#","#0#1#2#3#4#5#6#7#8#9#")),IF(AND(VALUE(LEFT(A501,2))&gt;=1,VALUE(LEFT(A501,2))&lt;=5),VALUE(LEFT(A501,2)),""),IF(AND(VALUE(LEFT(A501,1))&gt;=1,VALUE(LEFT(A501,1))&lt;=5),VALUE(LEFT(A501,1)),"")),""),"")</f>
        <v/>
      </c>
      <c r="N501" s="25">
        <f>IF(L501=1,IF(ISNUMBER(FIND("#"&amp;MID(H501,1,1)&amp;"#","#0#1#2#3#4#5#6#7#8#9#")),IF(ISNUMBER(FIND("#"&amp;MID(H501,2,1)&amp;"#","#0#1#2#3#4#5#6#7#8#9#")),IF(AND(VALUE(LEFT(H501,2))&gt;=1,VALUE(LEFT(H501,2))&lt;=5),VALUE(LEFT(H501,2)),""),IF(AND(VALUE(LEFT(H501,1))&gt;=1,VALUE(LEFT(H501,1))&lt;=5),VALUE(LEFT(H501,1)),"")),""),"")</f>
        <v/>
      </c>
      <c r="O501" s="25">
        <f>IF(AND(L501=1,B501&lt;&gt;""),SUBSTITUTE(SUBSTITUTE(SUBSTITUTE(SUBSTITUTE(SUBSTITUTE(SUBSTITUTE(SUBSTITUTE(SUBSTITUTE(SUBSTITUTE(SUBSTITUTE(SUBSTITUTE(SUBSTITUTE(LOWER(TRIM(B501)),"á","a"),"é","e"),"í","i"),"ó","o"),"ú","u"),"ü","u"),"ñ","n"),"à","a"),"è","e"),"ì","i"),"ò","o"),"ù","u"),"")</f>
        <v/>
      </c>
      <c r="P501" s="25">
        <f>IF(AND(L501=1,C501&lt;&gt;""),SUBSTITUTE(SUBSTITUTE(SUBSTITUTE(SUBSTITUTE(SUBSTITUTE(SUBSTITUTE(SUBSTITUTE(SUBSTITUTE(SUBSTITUTE(SUBSTITUTE(SUBSTITUTE(SUBSTITUTE(LOWER(TRIM(C501)),"á","a"),"é","e"),"í","i"),"ó","o"),"ú","u"),"ü","u"),"ñ","n"),"à","a"),"è","e"),"ì","i"),"ò","o"),"ù","u"),"")</f>
        <v/>
      </c>
      <c r="Q501" s="25">
        <f>IF(AND(L501=1,E501&lt;&gt;""),SUBSTITUTE(SUBSTITUTE(SUBSTITUTE(SUBSTITUTE(SUBSTITUTE(SUBSTITUTE(SUBSTITUTE(SUBSTITUTE(SUBSTITUTE(SUBSTITUTE(SUBSTITUTE(SUBSTITUTE(LOWER(TRIM(E501)),"á","a"),"é","e"),"í","i"),"ó","o"),"ú","u"),"ü","u"),"ñ","n"),"à","a"),"è","e"),"ì","i"),"ò","o"),"ù","u"),"")</f>
        <v/>
      </c>
      <c r="R501" s="25">
        <f>IF(AND(L501=1,I501&lt;&gt;""),SUBSTITUTE(SUBSTITUTE(SUBSTITUTE(SUBSTITUTE(SUBSTITUTE(SUBSTITUTE(SUBSTITUTE(SUBSTITUTE(SUBSTITUTE(SUBSTITUTE(SUBSTITUTE(SUBSTITUTE(LOWER(TRIM(I501)),"á","a"),"é","e"),"í","i"),"ó","o"),"ú","u"),"ü","u"),"ñ","n"),"à","a"),"è","e"),"ì","i"),"ò","o"),"ù","u"),"")</f>
        <v/>
      </c>
      <c r="S501" s="25">
        <f>IF(R501="","",IF(OR(R501="si",R501="tal vez"),1,0))</f>
        <v/>
      </c>
      <c r="T501" s="25">
        <f>IF(AND(L501=1,D501&lt;&gt;""),IF(IFERROR(COUNTIFS(D$3:D501,"="&amp;SUBSTITUTE(SUBSTITUTE(SUBSTITUTE(D501,"~","~~"),"*","~*"),"?","~?"),L$3:L501,1),0)=1,MAX(T$2:T500)+1,""),"")</f>
        <v/>
      </c>
      <c r="U501" s="25">
        <f>IF(T501="","",COUNTIFS($D$3:$D$1002,"="&amp;SUBSTITUTE(SUBSTITUTE(SUBSTITUTE(D501,"~","~~"),"*","~*"),"?","~?"),$L$3:$L$1002,1)*10000-T501)</f>
        <v/>
      </c>
      <c r="V501" s="25">
        <f>IF(AND(L501=1,J501&lt;&gt;""),IF(IFERROR(COUNTIFS(J$3:J501,"="&amp;SUBSTITUTE(SUBSTITUTE(SUBSTITUTE(J501,"~","~~"),"*","~*"),"?","~?"),L$3:L501,1),0)=1,MAX(V$2:V500)+1,""),"")</f>
        <v/>
      </c>
      <c r="W501" s="25">
        <f>IF(V501="","",COUNTIFS($J$3:$J$1002,"="&amp;SUBSTITUTE(SUBSTITUTE(SUBSTITUTE(J501,"~","~~"),"*","~*"),"?","~?"),$L$3:$L$1002,1)*10000-V501)</f>
        <v/>
      </c>
    </row>
    <row r="502">
      <c r="A502">
        <f>IF(A$2=0,"",IFERROR(TRIM(INDEX('Pegar estudiantes'!$A$1:$BZ$1001,501,A$2)&amp;""),""))</f>
        <v/>
      </c>
      <c r="B502">
        <f>IF(B$2=0,"",IFERROR(TRIM(INDEX('Pegar estudiantes'!$A$1:$BZ$1001,501,B$2)&amp;""),""))</f>
        <v/>
      </c>
      <c r="C502">
        <f>IF(C$2=0,"",IFERROR(TRIM(INDEX('Pegar estudiantes'!$A$1:$BZ$1001,501,C$2)&amp;""),""))</f>
        <v/>
      </c>
      <c r="D502">
        <f>IF(D$2=0,"",IFERROR(TRIM(INDEX('Pegar estudiantes'!$A$1:$BZ$1001,501,D$2)&amp;""),""))</f>
        <v/>
      </c>
      <c r="E502">
        <f>IF(E$2=0,"",IFERROR(TRIM(INDEX('Pegar estudiantes'!$A$1:$BZ$1001,501,E$2)&amp;""),""))</f>
        <v/>
      </c>
      <c r="F502">
        <f>IF(F$2=0,"",IFERROR(TRIM(INDEX('Pegar estudiantes'!$A$1:$BZ$1001,501,F$2)&amp;""),""))</f>
        <v/>
      </c>
      <c r="G502">
        <f>IF(G$2=0,"",IFERROR(TRIM(INDEX('Pegar estudiantes'!$A$1:$BZ$1001,501,G$2)&amp;""),""))</f>
        <v/>
      </c>
      <c r="H502">
        <f>IF(H$2=0,"",IFERROR(TRIM(INDEX('Pegar estudiantes'!$A$1:$BZ$1001,501,H$2)&amp;""),""))</f>
        <v/>
      </c>
      <c r="I502">
        <f>IF(I$2=0,"",IFERROR(TRIM(INDEX('Pegar estudiantes'!$A$1:$BZ$1001,501,I$2)&amp;""),""))</f>
        <v/>
      </c>
      <c r="J502">
        <f>IF(J$2=0,"",IFERROR(TRIM(INDEX('Pegar estudiantes'!$A$1:$BZ$1001,501,J$2)&amp;""),""))</f>
        <v/>
      </c>
      <c r="K502">
        <f>IF(K$2=0,"",IFERROR(TRIM(INDEX('Pegar estudiantes'!$A$1:$BZ$1001,501,K$2)&amp;""),""))</f>
        <v/>
      </c>
      <c r="L502" s="25">
        <f>IF(A502&lt;&gt;"",1,"")</f>
        <v/>
      </c>
      <c r="M502" s="25">
        <f>IF(L502=1,IF(ISNUMBER(FIND("#"&amp;MID(A502,1,1)&amp;"#","#0#1#2#3#4#5#6#7#8#9#")),IF(ISNUMBER(FIND("#"&amp;MID(A502,2,1)&amp;"#","#0#1#2#3#4#5#6#7#8#9#")),IF(AND(VALUE(LEFT(A502,2))&gt;=1,VALUE(LEFT(A502,2))&lt;=5),VALUE(LEFT(A502,2)),""),IF(AND(VALUE(LEFT(A502,1))&gt;=1,VALUE(LEFT(A502,1))&lt;=5),VALUE(LEFT(A502,1)),"")),""),"")</f>
        <v/>
      </c>
      <c r="N502" s="25">
        <f>IF(L502=1,IF(ISNUMBER(FIND("#"&amp;MID(H502,1,1)&amp;"#","#0#1#2#3#4#5#6#7#8#9#")),IF(ISNUMBER(FIND("#"&amp;MID(H502,2,1)&amp;"#","#0#1#2#3#4#5#6#7#8#9#")),IF(AND(VALUE(LEFT(H502,2))&gt;=1,VALUE(LEFT(H502,2))&lt;=5),VALUE(LEFT(H502,2)),""),IF(AND(VALUE(LEFT(H502,1))&gt;=1,VALUE(LEFT(H502,1))&lt;=5),VALUE(LEFT(H502,1)),"")),""),"")</f>
        <v/>
      </c>
      <c r="O502" s="25">
        <f>IF(AND(L502=1,B502&lt;&gt;""),SUBSTITUTE(SUBSTITUTE(SUBSTITUTE(SUBSTITUTE(SUBSTITUTE(SUBSTITUTE(SUBSTITUTE(SUBSTITUTE(SUBSTITUTE(SUBSTITUTE(SUBSTITUTE(SUBSTITUTE(LOWER(TRIM(B502)),"á","a"),"é","e"),"í","i"),"ó","o"),"ú","u"),"ü","u"),"ñ","n"),"à","a"),"è","e"),"ì","i"),"ò","o"),"ù","u"),"")</f>
        <v/>
      </c>
      <c r="P502" s="25">
        <f>IF(AND(L502=1,C502&lt;&gt;""),SUBSTITUTE(SUBSTITUTE(SUBSTITUTE(SUBSTITUTE(SUBSTITUTE(SUBSTITUTE(SUBSTITUTE(SUBSTITUTE(SUBSTITUTE(SUBSTITUTE(SUBSTITUTE(SUBSTITUTE(LOWER(TRIM(C502)),"á","a"),"é","e"),"í","i"),"ó","o"),"ú","u"),"ü","u"),"ñ","n"),"à","a"),"è","e"),"ì","i"),"ò","o"),"ù","u"),"")</f>
        <v/>
      </c>
      <c r="Q502" s="25">
        <f>IF(AND(L502=1,E502&lt;&gt;""),SUBSTITUTE(SUBSTITUTE(SUBSTITUTE(SUBSTITUTE(SUBSTITUTE(SUBSTITUTE(SUBSTITUTE(SUBSTITUTE(SUBSTITUTE(SUBSTITUTE(SUBSTITUTE(SUBSTITUTE(LOWER(TRIM(E502)),"á","a"),"é","e"),"í","i"),"ó","o"),"ú","u"),"ü","u"),"ñ","n"),"à","a"),"è","e"),"ì","i"),"ò","o"),"ù","u"),"")</f>
        <v/>
      </c>
      <c r="R502" s="25">
        <f>IF(AND(L502=1,I502&lt;&gt;""),SUBSTITUTE(SUBSTITUTE(SUBSTITUTE(SUBSTITUTE(SUBSTITUTE(SUBSTITUTE(SUBSTITUTE(SUBSTITUTE(SUBSTITUTE(SUBSTITUTE(SUBSTITUTE(SUBSTITUTE(LOWER(TRIM(I502)),"á","a"),"é","e"),"í","i"),"ó","o"),"ú","u"),"ü","u"),"ñ","n"),"à","a"),"è","e"),"ì","i"),"ò","o"),"ù","u"),"")</f>
        <v/>
      </c>
      <c r="S502" s="25">
        <f>IF(R502="","",IF(OR(R502="si",R502="tal vez"),1,0))</f>
        <v/>
      </c>
      <c r="T502" s="25">
        <f>IF(AND(L502=1,D502&lt;&gt;""),IF(IFERROR(COUNTIFS(D$3:D502,"="&amp;SUBSTITUTE(SUBSTITUTE(SUBSTITUTE(D502,"~","~~"),"*","~*"),"?","~?"),L$3:L502,1),0)=1,MAX(T$2:T501)+1,""),"")</f>
        <v/>
      </c>
      <c r="U502" s="25">
        <f>IF(T502="","",COUNTIFS($D$3:$D$1002,"="&amp;SUBSTITUTE(SUBSTITUTE(SUBSTITUTE(D502,"~","~~"),"*","~*"),"?","~?"),$L$3:$L$1002,1)*10000-T502)</f>
        <v/>
      </c>
      <c r="V502" s="25">
        <f>IF(AND(L502=1,J502&lt;&gt;""),IF(IFERROR(COUNTIFS(J$3:J502,"="&amp;SUBSTITUTE(SUBSTITUTE(SUBSTITUTE(J502,"~","~~"),"*","~*"),"?","~?"),L$3:L502,1),0)=1,MAX(V$2:V501)+1,""),"")</f>
        <v/>
      </c>
      <c r="W502" s="25">
        <f>IF(V502="","",COUNTIFS($J$3:$J$1002,"="&amp;SUBSTITUTE(SUBSTITUTE(SUBSTITUTE(J502,"~","~~"),"*","~*"),"?","~?"),$L$3:$L$1002,1)*10000-V502)</f>
        <v/>
      </c>
    </row>
    <row r="503">
      <c r="A503">
        <f>IF(A$2=0,"",IFERROR(TRIM(INDEX('Pegar estudiantes'!$A$1:$BZ$1001,502,A$2)&amp;""),""))</f>
        <v/>
      </c>
      <c r="B503">
        <f>IF(B$2=0,"",IFERROR(TRIM(INDEX('Pegar estudiantes'!$A$1:$BZ$1001,502,B$2)&amp;""),""))</f>
        <v/>
      </c>
      <c r="C503">
        <f>IF(C$2=0,"",IFERROR(TRIM(INDEX('Pegar estudiantes'!$A$1:$BZ$1001,502,C$2)&amp;""),""))</f>
        <v/>
      </c>
      <c r="D503">
        <f>IF(D$2=0,"",IFERROR(TRIM(INDEX('Pegar estudiantes'!$A$1:$BZ$1001,502,D$2)&amp;""),""))</f>
        <v/>
      </c>
      <c r="E503">
        <f>IF(E$2=0,"",IFERROR(TRIM(INDEX('Pegar estudiantes'!$A$1:$BZ$1001,502,E$2)&amp;""),""))</f>
        <v/>
      </c>
      <c r="F503">
        <f>IF(F$2=0,"",IFERROR(TRIM(INDEX('Pegar estudiantes'!$A$1:$BZ$1001,502,F$2)&amp;""),""))</f>
        <v/>
      </c>
      <c r="G503">
        <f>IF(G$2=0,"",IFERROR(TRIM(INDEX('Pegar estudiantes'!$A$1:$BZ$1001,502,G$2)&amp;""),""))</f>
        <v/>
      </c>
      <c r="H503">
        <f>IF(H$2=0,"",IFERROR(TRIM(INDEX('Pegar estudiantes'!$A$1:$BZ$1001,502,H$2)&amp;""),""))</f>
        <v/>
      </c>
      <c r="I503">
        <f>IF(I$2=0,"",IFERROR(TRIM(INDEX('Pegar estudiantes'!$A$1:$BZ$1001,502,I$2)&amp;""),""))</f>
        <v/>
      </c>
      <c r="J503">
        <f>IF(J$2=0,"",IFERROR(TRIM(INDEX('Pegar estudiantes'!$A$1:$BZ$1001,502,J$2)&amp;""),""))</f>
        <v/>
      </c>
      <c r="K503">
        <f>IF(K$2=0,"",IFERROR(TRIM(INDEX('Pegar estudiantes'!$A$1:$BZ$1001,502,K$2)&amp;""),""))</f>
        <v/>
      </c>
      <c r="L503" s="25">
        <f>IF(A503&lt;&gt;"",1,"")</f>
        <v/>
      </c>
      <c r="M503" s="25">
        <f>IF(L503=1,IF(ISNUMBER(FIND("#"&amp;MID(A503,1,1)&amp;"#","#0#1#2#3#4#5#6#7#8#9#")),IF(ISNUMBER(FIND("#"&amp;MID(A503,2,1)&amp;"#","#0#1#2#3#4#5#6#7#8#9#")),IF(AND(VALUE(LEFT(A503,2))&gt;=1,VALUE(LEFT(A503,2))&lt;=5),VALUE(LEFT(A503,2)),""),IF(AND(VALUE(LEFT(A503,1))&gt;=1,VALUE(LEFT(A503,1))&lt;=5),VALUE(LEFT(A503,1)),"")),""),"")</f>
        <v/>
      </c>
      <c r="N503" s="25">
        <f>IF(L503=1,IF(ISNUMBER(FIND("#"&amp;MID(H503,1,1)&amp;"#","#0#1#2#3#4#5#6#7#8#9#")),IF(ISNUMBER(FIND("#"&amp;MID(H503,2,1)&amp;"#","#0#1#2#3#4#5#6#7#8#9#")),IF(AND(VALUE(LEFT(H503,2))&gt;=1,VALUE(LEFT(H503,2))&lt;=5),VALUE(LEFT(H503,2)),""),IF(AND(VALUE(LEFT(H503,1))&gt;=1,VALUE(LEFT(H503,1))&lt;=5),VALUE(LEFT(H503,1)),"")),""),"")</f>
        <v/>
      </c>
      <c r="O503" s="25">
        <f>IF(AND(L503=1,B503&lt;&gt;""),SUBSTITUTE(SUBSTITUTE(SUBSTITUTE(SUBSTITUTE(SUBSTITUTE(SUBSTITUTE(SUBSTITUTE(SUBSTITUTE(SUBSTITUTE(SUBSTITUTE(SUBSTITUTE(SUBSTITUTE(LOWER(TRIM(B503)),"á","a"),"é","e"),"í","i"),"ó","o"),"ú","u"),"ü","u"),"ñ","n"),"à","a"),"è","e"),"ì","i"),"ò","o"),"ù","u"),"")</f>
        <v/>
      </c>
      <c r="P503" s="25">
        <f>IF(AND(L503=1,C503&lt;&gt;""),SUBSTITUTE(SUBSTITUTE(SUBSTITUTE(SUBSTITUTE(SUBSTITUTE(SUBSTITUTE(SUBSTITUTE(SUBSTITUTE(SUBSTITUTE(SUBSTITUTE(SUBSTITUTE(SUBSTITUTE(LOWER(TRIM(C503)),"á","a"),"é","e"),"í","i"),"ó","o"),"ú","u"),"ü","u"),"ñ","n"),"à","a"),"è","e"),"ì","i"),"ò","o"),"ù","u"),"")</f>
        <v/>
      </c>
      <c r="Q503" s="25">
        <f>IF(AND(L503=1,E503&lt;&gt;""),SUBSTITUTE(SUBSTITUTE(SUBSTITUTE(SUBSTITUTE(SUBSTITUTE(SUBSTITUTE(SUBSTITUTE(SUBSTITUTE(SUBSTITUTE(SUBSTITUTE(SUBSTITUTE(SUBSTITUTE(LOWER(TRIM(E503)),"á","a"),"é","e"),"í","i"),"ó","o"),"ú","u"),"ü","u"),"ñ","n"),"à","a"),"è","e"),"ì","i"),"ò","o"),"ù","u"),"")</f>
        <v/>
      </c>
      <c r="R503" s="25">
        <f>IF(AND(L503=1,I503&lt;&gt;""),SUBSTITUTE(SUBSTITUTE(SUBSTITUTE(SUBSTITUTE(SUBSTITUTE(SUBSTITUTE(SUBSTITUTE(SUBSTITUTE(SUBSTITUTE(SUBSTITUTE(SUBSTITUTE(SUBSTITUTE(LOWER(TRIM(I503)),"á","a"),"é","e"),"í","i"),"ó","o"),"ú","u"),"ü","u"),"ñ","n"),"à","a"),"è","e"),"ì","i"),"ò","o"),"ù","u"),"")</f>
        <v/>
      </c>
      <c r="S503" s="25">
        <f>IF(R503="","",IF(OR(R503="si",R503="tal vez"),1,0))</f>
        <v/>
      </c>
      <c r="T503" s="25">
        <f>IF(AND(L503=1,D503&lt;&gt;""),IF(IFERROR(COUNTIFS(D$3:D503,"="&amp;SUBSTITUTE(SUBSTITUTE(SUBSTITUTE(D503,"~","~~"),"*","~*"),"?","~?"),L$3:L503,1),0)=1,MAX(T$2:T502)+1,""),"")</f>
        <v/>
      </c>
      <c r="U503" s="25">
        <f>IF(T503="","",COUNTIFS($D$3:$D$1002,"="&amp;SUBSTITUTE(SUBSTITUTE(SUBSTITUTE(D503,"~","~~"),"*","~*"),"?","~?"),$L$3:$L$1002,1)*10000-T503)</f>
        <v/>
      </c>
      <c r="V503" s="25">
        <f>IF(AND(L503=1,J503&lt;&gt;""),IF(IFERROR(COUNTIFS(J$3:J503,"="&amp;SUBSTITUTE(SUBSTITUTE(SUBSTITUTE(J503,"~","~~"),"*","~*"),"?","~?"),L$3:L503,1),0)=1,MAX(V$2:V502)+1,""),"")</f>
        <v/>
      </c>
      <c r="W503" s="25">
        <f>IF(V503="","",COUNTIFS($J$3:$J$1002,"="&amp;SUBSTITUTE(SUBSTITUTE(SUBSTITUTE(J503,"~","~~"),"*","~*"),"?","~?"),$L$3:$L$1002,1)*10000-V503)</f>
        <v/>
      </c>
    </row>
    <row r="504">
      <c r="A504">
        <f>IF(A$2=0,"",IFERROR(TRIM(INDEX('Pegar estudiantes'!$A$1:$BZ$1001,503,A$2)&amp;""),""))</f>
        <v/>
      </c>
      <c r="B504">
        <f>IF(B$2=0,"",IFERROR(TRIM(INDEX('Pegar estudiantes'!$A$1:$BZ$1001,503,B$2)&amp;""),""))</f>
        <v/>
      </c>
      <c r="C504">
        <f>IF(C$2=0,"",IFERROR(TRIM(INDEX('Pegar estudiantes'!$A$1:$BZ$1001,503,C$2)&amp;""),""))</f>
        <v/>
      </c>
      <c r="D504">
        <f>IF(D$2=0,"",IFERROR(TRIM(INDEX('Pegar estudiantes'!$A$1:$BZ$1001,503,D$2)&amp;""),""))</f>
        <v/>
      </c>
      <c r="E504">
        <f>IF(E$2=0,"",IFERROR(TRIM(INDEX('Pegar estudiantes'!$A$1:$BZ$1001,503,E$2)&amp;""),""))</f>
        <v/>
      </c>
      <c r="F504">
        <f>IF(F$2=0,"",IFERROR(TRIM(INDEX('Pegar estudiantes'!$A$1:$BZ$1001,503,F$2)&amp;""),""))</f>
        <v/>
      </c>
      <c r="G504">
        <f>IF(G$2=0,"",IFERROR(TRIM(INDEX('Pegar estudiantes'!$A$1:$BZ$1001,503,G$2)&amp;""),""))</f>
        <v/>
      </c>
      <c r="H504">
        <f>IF(H$2=0,"",IFERROR(TRIM(INDEX('Pegar estudiantes'!$A$1:$BZ$1001,503,H$2)&amp;""),""))</f>
        <v/>
      </c>
      <c r="I504">
        <f>IF(I$2=0,"",IFERROR(TRIM(INDEX('Pegar estudiantes'!$A$1:$BZ$1001,503,I$2)&amp;""),""))</f>
        <v/>
      </c>
      <c r="J504">
        <f>IF(J$2=0,"",IFERROR(TRIM(INDEX('Pegar estudiantes'!$A$1:$BZ$1001,503,J$2)&amp;""),""))</f>
        <v/>
      </c>
      <c r="K504">
        <f>IF(K$2=0,"",IFERROR(TRIM(INDEX('Pegar estudiantes'!$A$1:$BZ$1001,503,K$2)&amp;""),""))</f>
        <v/>
      </c>
      <c r="L504" s="25">
        <f>IF(A504&lt;&gt;"",1,"")</f>
        <v/>
      </c>
      <c r="M504" s="25">
        <f>IF(L504=1,IF(ISNUMBER(FIND("#"&amp;MID(A504,1,1)&amp;"#","#0#1#2#3#4#5#6#7#8#9#")),IF(ISNUMBER(FIND("#"&amp;MID(A504,2,1)&amp;"#","#0#1#2#3#4#5#6#7#8#9#")),IF(AND(VALUE(LEFT(A504,2))&gt;=1,VALUE(LEFT(A504,2))&lt;=5),VALUE(LEFT(A504,2)),""),IF(AND(VALUE(LEFT(A504,1))&gt;=1,VALUE(LEFT(A504,1))&lt;=5),VALUE(LEFT(A504,1)),"")),""),"")</f>
        <v/>
      </c>
      <c r="N504" s="25">
        <f>IF(L504=1,IF(ISNUMBER(FIND("#"&amp;MID(H504,1,1)&amp;"#","#0#1#2#3#4#5#6#7#8#9#")),IF(ISNUMBER(FIND("#"&amp;MID(H504,2,1)&amp;"#","#0#1#2#3#4#5#6#7#8#9#")),IF(AND(VALUE(LEFT(H504,2))&gt;=1,VALUE(LEFT(H504,2))&lt;=5),VALUE(LEFT(H504,2)),""),IF(AND(VALUE(LEFT(H504,1))&gt;=1,VALUE(LEFT(H504,1))&lt;=5),VALUE(LEFT(H504,1)),"")),""),"")</f>
        <v/>
      </c>
      <c r="O504" s="25">
        <f>IF(AND(L504=1,B504&lt;&gt;""),SUBSTITUTE(SUBSTITUTE(SUBSTITUTE(SUBSTITUTE(SUBSTITUTE(SUBSTITUTE(SUBSTITUTE(SUBSTITUTE(SUBSTITUTE(SUBSTITUTE(SUBSTITUTE(SUBSTITUTE(LOWER(TRIM(B504)),"á","a"),"é","e"),"í","i"),"ó","o"),"ú","u"),"ü","u"),"ñ","n"),"à","a"),"è","e"),"ì","i"),"ò","o"),"ù","u"),"")</f>
        <v/>
      </c>
      <c r="P504" s="25">
        <f>IF(AND(L504=1,C504&lt;&gt;""),SUBSTITUTE(SUBSTITUTE(SUBSTITUTE(SUBSTITUTE(SUBSTITUTE(SUBSTITUTE(SUBSTITUTE(SUBSTITUTE(SUBSTITUTE(SUBSTITUTE(SUBSTITUTE(SUBSTITUTE(LOWER(TRIM(C504)),"á","a"),"é","e"),"í","i"),"ó","o"),"ú","u"),"ü","u"),"ñ","n"),"à","a"),"è","e"),"ì","i"),"ò","o"),"ù","u"),"")</f>
        <v/>
      </c>
      <c r="Q504" s="25">
        <f>IF(AND(L504=1,E504&lt;&gt;""),SUBSTITUTE(SUBSTITUTE(SUBSTITUTE(SUBSTITUTE(SUBSTITUTE(SUBSTITUTE(SUBSTITUTE(SUBSTITUTE(SUBSTITUTE(SUBSTITUTE(SUBSTITUTE(SUBSTITUTE(LOWER(TRIM(E504)),"á","a"),"é","e"),"í","i"),"ó","o"),"ú","u"),"ü","u"),"ñ","n"),"à","a"),"è","e"),"ì","i"),"ò","o"),"ù","u"),"")</f>
        <v/>
      </c>
      <c r="R504" s="25">
        <f>IF(AND(L504=1,I504&lt;&gt;""),SUBSTITUTE(SUBSTITUTE(SUBSTITUTE(SUBSTITUTE(SUBSTITUTE(SUBSTITUTE(SUBSTITUTE(SUBSTITUTE(SUBSTITUTE(SUBSTITUTE(SUBSTITUTE(SUBSTITUTE(LOWER(TRIM(I504)),"á","a"),"é","e"),"í","i"),"ó","o"),"ú","u"),"ü","u"),"ñ","n"),"à","a"),"è","e"),"ì","i"),"ò","o"),"ù","u"),"")</f>
        <v/>
      </c>
      <c r="S504" s="25">
        <f>IF(R504="","",IF(OR(R504="si",R504="tal vez"),1,0))</f>
        <v/>
      </c>
      <c r="T504" s="25">
        <f>IF(AND(L504=1,D504&lt;&gt;""),IF(IFERROR(COUNTIFS(D$3:D504,"="&amp;SUBSTITUTE(SUBSTITUTE(SUBSTITUTE(D504,"~","~~"),"*","~*"),"?","~?"),L$3:L504,1),0)=1,MAX(T$2:T503)+1,""),"")</f>
        <v/>
      </c>
      <c r="U504" s="25">
        <f>IF(T504="","",COUNTIFS($D$3:$D$1002,"="&amp;SUBSTITUTE(SUBSTITUTE(SUBSTITUTE(D504,"~","~~"),"*","~*"),"?","~?"),$L$3:$L$1002,1)*10000-T504)</f>
        <v/>
      </c>
      <c r="V504" s="25">
        <f>IF(AND(L504=1,J504&lt;&gt;""),IF(IFERROR(COUNTIFS(J$3:J504,"="&amp;SUBSTITUTE(SUBSTITUTE(SUBSTITUTE(J504,"~","~~"),"*","~*"),"?","~?"),L$3:L504,1),0)=1,MAX(V$2:V503)+1,""),"")</f>
        <v/>
      </c>
      <c r="W504" s="25">
        <f>IF(V504="","",COUNTIFS($J$3:$J$1002,"="&amp;SUBSTITUTE(SUBSTITUTE(SUBSTITUTE(J504,"~","~~"),"*","~*"),"?","~?"),$L$3:$L$1002,1)*10000-V504)</f>
        <v/>
      </c>
    </row>
    <row r="505">
      <c r="A505">
        <f>IF(A$2=0,"",IFERROR(TRIM(INDEX('Pegar estudiantes'!$A$1:$BZ$1001,504,A$2)&amp;""),""))</f>
        <v/>
      </c>
      <c r="B505">
        <f>IF(B$2=0,"",IFERROR(TRIM(INDEX('Pegar estudiantes'!$A$1:$BZ$1001,504,B$2)&amp;""),""))</f>
        <v/>
      </c>
      <c r="C505">
        <f>IF(C$2=0,"",IFERROR(TRIM(INDEX('Pegar estudiantes'!$A$1:$BZ$1001,504,C$2)&amp;""),""))</f>
        <v/>
      </c>
      <c r="D505">
        <f>IF(D$2=0,"",IFERROR(TRIM(INDEX('Pegar estudiantes'!$A$1:$BZ$1001,504,D$2)&amp;""),""))</f>
        <v/>
      </c>
      <c r="E505">
        <f>IF(E$2=0,"",IFERROR(TRIM(INDEX('Pegar estudiantes'!$A$1:$BZ$1001,504,E$2)&amp;""),""))</f>
        <v/>
      </c>
      <c r="F505">
        <f>IF(F$2=0,"",IFERROR(TRIM(INDEX('Pegar estudiantes'!$A$1:$BZ$1001,504,F$2)&amp;""),""))</f>
        <v/>
      </c>
      <c r="G505">
        <f>IF(G$2=0,"",IFERROR(TRIM(INDEX('Pegar estudiantes'!$A$1:$BZ$1001,504,G$2)&amp;""),""))</f>
        <v/>
      </c>
      <c r="H505">
        <f>IF(H$2=0,"",IFERROR(TRIM(INDEX('Pegar estudiantes'!$A$1:$BZ$1001,504,H$2)&amp;""),""))</f>
        <v/>
      </c>
      <c r="I505">
        <f>IF(I$2=0,"",IFERROR(TRIM(INDEX('Pegar estudiantes'!$A$1:$BZ$1001,504,I$2)&amp;""),""))</f>
        <v/>
      </c>
      <c r="J505">
        <f>IF(J$2=0,"",IFERROR(TRIM(INDEX('Pegar estudiantes'!$A$1:$BZ$1001,504,J$2)&amp;""),""))</f>
        <v/>
      </c>
      <c r="K505">
        <f>IF(K$2=0,"",IFERROR(TRIM(INDEX('Pegar estudiantes'!$A$1:$BZ$1001,504,K$2)&amp;""),""))</f>
        <v/>
      </c>
      <c r="L505" s="25">
        <f>IF(A505&lt;&gt;"",1,"")</f>
        <v/>
      </c>
      <c r="M505" s="25">
        <f>IF(L505=1,IF(ISNUMBER(FIND("#"&amp;MID(A505,1,1)&amp;"#","#0#1#2#3#4#5#6#7#8#9#")),IF(ISNUMBER(FIND("#"&amp;MID(A505,2,1)&amp;"#","#0#1#2#3#4#5#6#7#8#9#")),IF(AND(VALUE(LEFT(A505,2))&gt;=1,VALUE(LEFT(A505,2))&lt;=5),VALUE(LEFT(A505,2)),""),IF(AND(VALUE(LEFT(A505,1))&gt;=1,VALUE(LEFT(A505,1))&lt;=5),VALUE(LEFT(A505,1)),"")),""),"")</f>
        <v/>
      </c>
      <c r="N505" s="25">
        <f>IF(L505=1,IF(ISNUMBER(FIND("#"&amp;MID(H505,1,1)&amp;"#","#0#1#2#3#4#5#6#7#8#9#")),IF(ISNUMBER(FIND("#"&amp;MID(H505,2,1)&amp;"#","#0#1#2#3#4#5#6#7#8#9#")),IF(AND(VALUE(LEFT(H505,2))&gt;=1,VALUE(LEFT(H505,2))&lt;=5),VALUE(LEFT(H505,2)),""),IF(AND(VALUE(LEFT(H505,1))&gt;=1,VALUE(LEFT(H505,1))&lt;=5),VALUE(LEFT(H505,1)),"")),""),"")</f>
        <v/>
      </c>
      <c r="O505" s="25">
        <f>IF(AND(L505=1,B505&lt;&gt;""),SUBSTITUTE(SUBSTITUTE(SUBSTITUTE(SUBSTITUTE(SUBSTITUTE(SUBSTITUTE(SUBSTITUTE(SUBSTITUTE(SUBSTITUTE(SUBSTITUTE(SUBSTITUTE(SUBSTITUTE(LOWER(TRIM(B505)),"á","a"),"é","e"),"í","i"),"ó","o"),"ú","u"),"ü","u"),"ñ","n"),"à","a"),"è","e"),"ì","i"),"ò","o"),"ù","u"),"")</f>
        <v/>
      </c>
      <c r="P505" s="25">
        <f>IF(AND(L505=1,C505&lt;&gt;""),SUBSTITUTE(SUBSTITUTE(SUBSTITUTE(SUBSTITUTE(SUBSTITUTE(SUBSTITUTE(SUBSTITUTE(SUBSTITUTE(SUBSTITUTE(SUBSTITUTE(SUBSTITUTE(SUBSTITUTE(LOWER(TRIM(C505)),"á","a"),"é","e"),"í","i"),"ó","o"),"ú","u"),"ü","u"),"ñ","n"),"à","a"),"è","e"),"ì","i"),"ò","o"),"ù","u"),"")</f>
        <v/>
      </c>
      <c r="Q505" s="25">
        <f>IF(AND(L505=1,E505&lt;&gt;""),SUBSTITUTE(SUBSTITUTE(SUBSTITUTE(SUBSTITUTE(SUBSTITUTE(SUBSTITUTE(SUBSTITUTE(SUBSTITUTE(SUBSTITUTE(SUBSTITUTE(SUBSTITUTE(SUBSTITUTE(LOWER(TRIM(E505)),"á","a"),"é","e"),"í","i"),"ó","o"),"ú","u"),"ü","u"),"ñ","n"),"à","a"),"è","e"),"ì","i"),"ò","o"),"ù","u"),"")</f>
        <v/>
      </c>
      <c r="R505" s="25">
        <f>IF(AND(L505=1,I505&lt;&gt;""),SUBSTITUTE(SUBSTITUTE(SUBSTITUTE(SUBSTITUTE(SUBSTITUTE(SUBSTITUTE(SUBSTITUTE(SUBSTITUTE(SUBSTITUTE(SUBSTITUTE(SUBSTITUTE(SUBSTITUTE(LOWER(TRIM(I505)),"á","a"),"é","e"),"í","i"),"ó","o"),"ú","u"),"ü","u"),"ñ","n"),"à","a"),"è","e"),"ì","i"),"ò","o"),"ù","u"),"")</f>
        <v/>
      </c>
      <c r="S505" s="25">
        <f>IF(R505="","",IF(OR(R505="si",R505="tal vez"),1,0))</f>
        <v/>
      </c>
      <c r="T505" s="25">
        <f>IF(AND(L505=1,D505&lt;&gt;""),IF(IFERROR(COUNTIFS(D$3:D505,"="&amp;SUBSTITUTE(SUBSTITUTE(SUBSTITUTE(D505,"~","~~"),"*","~*"),"?","~?"),L$3:L505,1),0)=1,MAX(T$2:T504)+1,""),"")</f>
        <v/>
      </c>
      <c r="U505" s="25">
        <f>IF(T505="","",COUNTIFS($D$3:$D$1002,"="&amp;SUBSTITUTE(SUBSTITUTE(SUBSTITUTE(D505,"~","~~"),"*","~*"),"?","~?"),$L$3:$L$1002,1)*10000-T505)</f>
        <v/>
      </c>
      <c r="V505" s="25">
        <f>IF(AND(L505=1,J505&lt;&gt;""),IF(IFERROR(COUNTIFS(J$3:J505,"="&amp;SUBSTITUTE(SUBSTITUTE(SUBSTITUTE(J505,"~","~~"),"*","~*"),"?","~?"),L$3:L505,1),0)=1,MAX(V$2:V504)+1,""),"")</f>
        <v/>
      </c>
      <c r="W505" s="25">
        <f>IF(V505="","",COUNTIFS($J$3:$J$1002,"="&amp;SUBSTITUTE(SUBSTITUTE(SUBSTITUTE(J505,"~","~~"),"*","~*"),"?","~?"),$L$3:$L$1002,1)*10000-V505)</f>
        <v/>
      </c>
    </row>
    <row r="506">
      <c r="A506">
        <f>IF(A$2=0,"",IFERROR(TRIM(INDEX('Pegar estudiantes'!$A$1:$BZ$1001,505,A$2)&amp;""),""))</f>
        <v/>
      </c>
      <c r="B506">
        <f>IF(B$2=0,"",IFERROR(TRIM(INDEX('Pegar estudiantes'!$A$1:$BZ$1001,505,B$2)&amp;""),""))</f>
        <v/>
      </c>
      <c r="C506">
        <f>IF(C$2=0,"",IFERROR(TRIM(INDEX('Pegar estudiantes'!$A$1:$BZ$1001,505,C$2)&amp;""),""))</f>
        <v/>
      </c>
      <c r="D506">
        <f>IF(D$2=0,"",IFERROR(TRIM(INDEX('Pegar estudiantes'!$A$1:$BZ$1001,505,D$2)&amp;""),""))</f>
        <v/>
      </c>
      <c r="E506">
        <f>IF(E$2=0,"",IFERROR(TRIM(INDEX('Pegar estudiantes'!$A$1:$BZ$1001,505,E$2)&amp;""),""))</f>
        <v/>
      </c>
      <c r="F506">
        <f>IF(F$2=0,"",IFERROR(TRIM(INDEX('Pegar estudiantes'!$A$1:$BZ$1001,505,F$2)&amp;""),""))</f>
        <v/>
      </c>
      <c r="G506">
        <f>IF(G$2=0,"",IFERROR(TRIM(INDEX('Pegar estudiantes'!$A$1:$BZ$1001,505,G$2)&amp;""),""))</f>
        <v/>
      </c>
      <c r="H506">
        <f>IF(H$2=0,"",IFERROR(TRIM(INDEX('Pegar estudiantes'!$A$1:$BZ$1001,505,H$2)&amp;""),""))</f>
        <v/>
      </c>
      <c r="I506">
        <f>IF(I$2=0,"",IFERROR(TRIM(INDEX('Pegar estudiantes'!$A$1:$BZ$1001,505,I$2)&amp;""),""))</f>
        <v/>
      </c>
      <c r="J506">
        <f>IF(J$2=0,"",IFERROR(TRIM(INDEX('Pegar estudiantes'!$A$1:$BZ$1001,505,J$2)&amp;""),""))</f>
        <v/>
      </c>
      <c r="K506">
        <f>IF(K$2=0,"",IFERROR(TRIM(INDEX('Pegar estudiantes'!$A$1:$BZ$1001,505,K$2)&amp;""),""))</f>
        <v/>
      </c>
      <c r="L506" s="25">
        <f>IF(A506&lt;&gt;"",1,"")</f>
        <v/>
      </c>
      <c r="M506" s="25">
        <f>IF(L506=1,IF(ISNUMBER(FIND("#"&amp;MID(A506,1,1)&amp;"#","#0#1#2#3#4#5#6#7#8#9#")),IF(ISNUMBER(FIND("#"&amp;MID(A506,2,1)&amp;"#","#0#1#2#3#4#5#6#7#8#9#")),IF(AND(VALUE(LEFT(A506,2))&gt;=1,VALUE(LEFT(A506,2))&lt;=5),VALUE(LEFT(A506,2)),""),IF(AND(VALUE(LEFT(A506,1))&gt;=1,VALUE(LEFT(A506,1))&lt;=5),VALUE(LEFT(A506,1)),"")),""),"")</f>
        <v/>
      </c>
      <c r="N506" s="25">
        <f>IF(L506=1,IF(ISNUMBER(FIND("#"&amp;MID(H506,1,1)&amp;"#","#0#1#2#3#4#5#6#7#8#9#")),IF(ISNUMBER(FIND("#"&amp;MID(H506,2,1)&amp;"#","#0#1#2#3#4#5#6#7#8#9#")),IF(AND(VALUE(LEFT(H506,2))&gt;=1,VALUE(LEFT(H506,2))&lt;=5),VALUE(LEFT(H506,2)),""),IF(AND(VALUE(LEFT(H506,1))&gt;=1,VALUE(LEFT(H506,1))&lt;=5),VALUE(LEFT(H506,1)),"")),""),"")</f>
        <v/>
      </c>
      <c r="O506" s="25">
        <f>IF(AND(L506=1,B506&lt;&gt;""),SUBSTITUTE(SUBSTITUTE(SUBSTITUTE(SUBSTITUTE(SUBSTITUTE(SUBSTITUTE(SUBSTITUTE(SUBSTITUTE(SUBSTITUTE(SUBSTITUTE(SUBSTITUTE(SUBSTITUTE(LOWER(TRIM(B506)),"á","a"),"é","e"),"í","i"),"ó","o"),"ú","u"),"ü","u"),"ñ","n"),"à","a"),"è","e"),"ì","i"),"ò","o"),"ù","u"),"")</f>
        <v/>
      </c>
      <c r="P506" s="25">
        <f>IF(AND(L506=1,C506&lt;&gt;""),SUBSTITUTE(SUBSTITUTE(SUBSTITUTE(SUBSTITUTE(SUBSTITUTE(SUBSTITUTE(SUBSTITUTE(SUBSTITUTE(SUBSTITUTE(SUBSTITUTE(SUBSTITUTE(SUBSTITUTE(LOWER(TRIM(C506)),"á","a"),"é","e"),"í","i"),"ó","o"),"ú","u"),"ü","u"),"ñ","n"),"à","a"),"è","e"),"ì","i"),"ò","o"),"ù","u"),"")</f>
        <v/>
      </c>
      <c r="Q506" s="25">
        <f>IF(AND(L506=1,E506&lt;&gt;""),SUBSTITUTE(SUBSTITUTE(SUBSTITUTE(SUBSTITUTE(SUBSTITUTE(SUBSTITUTE(SUBSTITUTE(SUBSTITUTE(SUBSTITUTE(SUBSTITUTE(SUBSTITUTE(SUBSTITUTE(LOWER(TRIM(E506)),"á","a"),"é","e"),"í","i"),"ó","o"),"ú","u"),"ü","u"),"ñ","n"),"à","a"),"è","e"),"ì","i"),"ò","o"),"ù","u"),"")</f>
        <v/>
      </c>
      <c r="R506" s="25">
        <f>IF(AND(L506=1,I506&lt;&gt;""),SUBSTITUTE(SUBSTITUTE(SUBSTITUTE(SUBSTITUTE(SUBSTITUTE(SUBSTITUTE(SUBSTITUTE(SUBSTITUTE(SUBSTITUTE(SUBSTITUTE(SUBSTITUTE(SUBSTITUTE(LOWER(TRIM(I506)),"á","a"),"é","e"),"í","i"),"ó","o"),"ú","u"),"ü","u"),"ñ","n"),"à","a"),"è","e"),"ì","i"),"ò","o"),"ù","u"),"")</f>
        <v/>
      </c>
      <c r="S506" s="25">
        <f>IF(R506="","",IF(OR(R506="si",R506="tal vez"),1,0))</f>
        <v/>
      </c>
      <c r="T506" s="25">
        <f>IF(AND(L506=1,D506&lt;&gt;""),IF(IFERROR(COUNTIFS(D$3:D506,"="&amp;SUBSTITUTE(SUBSTITUTE(SUBSTITUTE(D506,"~","~~"),"*","~*"),"?","~?"),L$3:L506,1),0)=1,MAX(T$2:T505)+1,""),"")</f>
        <v/>
      </c>
      <c r="U506" s="25">
        <f>IF(T506="","",COUNTIFS($D$3:$D$1002,"="&amp;SUBSTITUTE(SUBSTITUTE(SUBSTITUTE(D506,"~","~~"),"*","~*"),"?","~?"),$L$3:$L$1002,1)*10000-T506)</f>
        <v/>
      </c>
      <c r="V506" s="25">
        <f>IF(AND(L506=1,J506&lt;&gt;""),IF(IFERROR(COUNTIFS(J$3:J506,"="&amp;SUBSTITUTE(SUBSTITUTE(SUBSTITUTE(J506,"~","~~"),"*","~*"),"?","~?"),L$3:L506,1),0)=1,MAX(V$2:V505)+1,""),"")</f>
        <v/>
      </c>
      <c r="W506" s="25">
        <f>IF(V506="","",COUNTIFS($J$3:$J$1002,"="&amp;SUBSTITUTE(SUBSTITUTE(SUBSTITUTE(J506,"~","~~"),"*","~*"),"?","~?"),$L$3:$L$1002,1)*10000-V506)</f>
        <v/>
      </c>
    </row>
    <row r="507">
      <c r="A507">
        <f>IF(A$2=0,"",IFERROR(TRIM(INDEX('Pegar estudiantes'!$A$1:$BZ$1001,506,A$2)&amp;""),""))</f>
        <v/>
      </c>
      <c r="B507">
        <f>IF(B$2=0,"",IFERROR(TRIM(INDEX('Pegar estudiantes'!$A$1:$BZ$1001,506,B$2)&amp;""),""))</f>
        <v/>
      </c>
      <c r="C507">
        <f>IF(C$2=0,"",IFERROR(TRIM(INDEX('Pegar estudiantes'!$A$1:$BZ$1001,506,C$2)&amp;""),""))</f>
        <v/>
      </c>
      <c r="D507">
        <f>IF(D$2=0,"",IFERROR(TRIM(INDEX('Pegar estudiantes'!$A$1:$BZ$1001,506,D$2)&amp;""),""))</f>
        <v/>
      </c>
      <c r="E507">
        <f>IF(E$2=0,"",IFERROR(TRIM(INDEX('Pegar estudiantes'!$A$1:$BZ$1001,506,E$2)&amp;""),""))</f>
        <v/>
      </c>
      <c r="F507">
        <f>IF(F$2=0,"",IFERROR(TRIM(INDEX('Pegar estudiantes'!$A$1:$BZ$1001,506,F$2)&amp;""),""))</f>
        <v/>
      </c>
      <c r="G507">
        <f>IF(G$2=0,"",IFERROR(TRIM(INDEX('Pegar estudiantes'!$A$1:$BZ$1001,506,G$2)&amp;""),""))</f>
        <v/>
      </c>
      <c r="H507">
        <f>IF(H$2=0,"",IFERROR(TRIM(INDEX('Pegar estudiantes'!$A$1:$BZ$1001,506,H$2)&amp;""),""))</f>
        <v/>
      </c>
      <c r="I507">
        <f>IF(I$2=0,"",IFERROR(TRIM(INDEX('Pegar estudiantes'!$A$1:$BZ$1001,506,I$2)&amp;""),""))</f>
        <v/>
      </c>
      <c r="J507">
        <f>IF(J$2=0,"",IFERROR(TRIM(INDEX('Pegar estudiantes'!$A$1:$BZ$1001,506,J$2)&amp;""),""))</f>
        <v/>
      </c>
      <c r="K507">
        <f>IF(K$2=0,"",IFERROR(TRIM(INDEX('Pegar estudiantes'!$A$1:$BZ$1001,506,K$2)&amp;""),""))</f>
        <v/>
      </c>
      <c r="L507" s="25">
        <f>IF(A507&lt;&gt;"",1,"")</f>
        <v/>
      </c>
      <c r="M507" s="25">
        <f>IF(L507=1,IF(ISNUMBER(FIND("#"&amp;MID(A507,1,1)&amp;"#","#0#1#2#3#4#5#6#7#8#9#")),IF(ISNUMBER(FIND("#"&amp;MID(A507,2,1)&amp;"#","#0#1#2#3#4#5#6#7#8#9#")),IF(AND(VALUE(LEFT(A507,2))&gt;=1,VALUE(LEFT(A507,2))&lt;=5),VALUE(LEFT(A507,2)),""),IF(AND(VALUE(LEFT(A507,1))&gt;=1,VALUE(LEFT(A507,1))&lt;=5),VALUE(LEFT(A507,1)),"")),""),"")</f>
        <v/>
      </c>
      <c r="N507" s="25">
        <f>IF(L507=1,IF(ISNUMBER(FIND("#"&amp;MID(H507,1,1)&amp;"#","#0#1#2#3#4#5#6#7#8#9#")),IF(ISNUMBER(FIND("#"&amp;MID(H507,2,1)&amp;"#","#0#1#2#3#4#5#6#7#8#9#")),IF(AND(VALUE(LEFT(H507,2))&gt;=1,VALUE(LEFT(H507,2))&lt;=5),VALUE(LEFT(H507,2)),""),IF(AND(VALUE(LEFT(H507,1))&gt;=1,VALUE(LEFT(H507,1))&lt;=5),VALUE(LEFT(H507,1)),"")),""),"")</f>
        <v/>
      </c>
      <c r="O507" s="25">
        <f>IF(AND(L507=1,B507&lt;&gt;""),SUBSTITUTE(SUBSTITUTE(SUBSTITUTE(SUBSTITUTE(SUBSTITUTE(SUBSTITUTE(SUBSTITUTE(SUBSTITUTE(SUBSTITUTE(SUBSTITUTE(SUBSTITUTE(SUBSTITUTE(LOWER(TRIM(B507)),"á","a"),"é","e"),"í","i"),"ó","o"),"ú","u"),"ü","u"),"ñ","n"),"à","a"),"è","e"),"ì","i"),"ò","o"),"ù","u"),"")</f>
        <v/>
      </c>
      <c r="P507" s="25">
        <f>IF(AND(L507=1,C507&lt;&gt;""),SUBSTITUTE(SUBSTITUTE(SUBSTITUTE(SUBSTITUTE(SUBSTITUTE(SUBSTITUTE(SUBSTITUTE(SUBSTITUTE(SUBSTITUTE(SUBSTITUTE(SUBSTITUTE(SUBSTITUTE(LOWER(TRIM(C507)),"á","a"),"é","e"),"í","i"),"ó","o"),"ú","u"),"ü","u"),"ñ","n"),"à","a"),"è","e"),"ì","i"),"ò","o"),"ù","u"),"")</f>
        <v/>
      </c>
      <c r="Q507" s="25">
        <f>IF(AND(L507=1,E507&lt;&gt;""),SUBSTITUTE(SUBSTITUTE(SUBSTITUTE(SUBSTITUTE(SUBSTITUTE(SUBSTITUTE(SUBSTITUTE(SUBSTITUTE(SUBSTITUTE(SUBSTITUTE(SUBSTITUTE(SUBSTITUTE(LOWER(TRIM(E507)),"á","a"),"é","e"),"í","i"),"ó","o"),"ú","u"),"ü","u"),"ñ","n"),"à","a"),"è","e"),"ì","i"),"ò","o"),"ù","u"),"")</f>
        <v/>
      </c>
      <c r="R507" s="25">
        <f>IF(AND(L507=1,I507&lt;&gt;""),SUBSTITUTE(SUBSTITUTE(SUBSTITUTE(SUBSTITUTE(SUBSTITUTE(SUBSTITUTE(SUBSTITUTE(SUBSTITUTE(SUBSTITUTE(SUBSTITUTE(SUBSTITUTE(SUBSTITUTE(LOWER(TRIM(I507)),"á","a"),"é","e"),"í","i"),"ó","o"),"ú","u"),"ü","u"),"ñ","n"),"à","a"),"è","e"),"ì","i"),"ò","o"),"ù","u"),"")</f>
        <v/>
      </c>
      <c r="S507" s="25">
        <f>IF(R507="","",IF(OR(R507="si",R507="tal vez"),1,0))</f>
        <v/>
      </c>
      <c r="T507" s="25">
        <f>IF(AND(L507=1,D507&lt;&gt;""),IF(IFERROR(COUNTIFS(D$3:D507,"="&amp;SUBSTITUTE(SUBSTITUTE(SUBSTITUTE(D507,"~","~~"),"*","~*"),"?","~?"),L$3:L507,1),0)=1,MAX(T$2:T506)+1,""),"")</f>
        <v/>
      </c>
      <c r="U507" s="25">
        <f>IF(T507="","",COUNTIFS($D$3:$D$1002,"="&amp;SUBSTITUTE(SUBSTITUTE(SUBSTITUTE(D507,"~","~~"),"*","~*"),"?","~?"),$L$3:$L$1002,1)*10000-T507)</f>
        <v/>
      </c>
      <c r="V507" s="25">
        <f>IF(AND(L507=1,J507&lt;&gt;""),IF(IFERROR(COUNTIFS(J$3:J507,"="&amp;SUBSTITUTE(SUBSTITUTE(SUBSTITUTE(J507,"~","~~"),"*","~*"),"?","~?"),L$3:L507,1),0)=1,MAX(V$2:V506)+1,""),"")</f>
        <v/>
      </c>
      <c r="W507" s="25">
        <f>IF(V507="","",COUNTIFS($J$3:$J$1002,"="&amp;SUBSTITUTE(SUBSTITUTE(SUBSTITUTE(J507,"~","~~"),"*","~*"),"?","~?"),$L$3:$L$1002,1)*10000-V507)</f>
        <v/>
      </c>
    </row>
    <row r="508">
      <c r="A508">
        <f>IF(A$2=0,"",IFERROR(TRIM(INDEX('Pegar estudiantes'!$A$1:$BZ$1001,507,A$2)&amp;""),""))</f>
        <v/>
      </c>
      <c r="B508">
        <f>IF(B$2=0,"",IFERROR(TRIM(INDEX('Pegar estudiantes'!$A$1:$BZ$1001,507,B$2)&amp;""),""))</f>
        <v/>
      </c>
      <c r="C508">
        <f>IF(C$2=0,"",IFERROR(TRIM(INDEX('Pegar estudiantes'!$A$1:$BZ$1001,507,C$2)&amp;""),""))</f>
        <v/>
      </c>
      <c r="D508">
        <f>IF(D$2=0,"",IFERROR(TRIM(INDEX('Pegar estudiantes'!$A$1:$BZ$1001,507,D$2)&amp;""),""))</f>
        <v/>
      </c>
      <c r="E508">
        <f>IF(E$2=0,"",IFERROR(TRIM(INDEX('Pegar estudiantes'!$A$1:$BZ$1001,507,E$2)&amp;""),""))</f>
        <v/>
      </c>
      <c r="F508">
        <f>IF(F$2=0,"",IFERROR(TRIM(INDEX('Pegar estudiantes'!$A$1:$BZ$1001,507,F$2)&amp;""),""))</f>
        <v/>
      </c>
      <c r="G508">
        <f>IF(G$2=0,"",IFERROR(TRIM(INDEX('Pegar estudiantes'!$A$1:$BZ$1001,507,G$2)&amp;""),""))</f>
        <v/>
      </c>
      <c r="H508">
        <f>IF(H$2=0,"",IFERROR(TRIM(INDEX('Pegar estudiantes'!$A$1:$BZ$1001,507,H$2)&amp;""),""))</f>
        <v/>
      </c>
      <c r="I508">
        <f>IF(I$2=0,"",IFERROR(TRIM(INDEX('Pegar estudiantes'!$A$1:$BZ$1001,507,I$2)&amp;""),""))</f>
        <v/>
      </c>
      <c r="J508">
        <f>IF(J$2=0,"",IFERROR(TRIM(INDEX('Pegar estudiantes'!$A$1:$BZ$1001,507,J$2)&amp;""),""))</f>
        <v/>
      </c>
      <c r="K508">
        <f>IF(K$2=0,"",IFERROR(TRIM(INDEX('Pegar estudiantes'!$A$1:$BZ$1001,507,K$2)&amp;""),""))</f>
        <v/>
      </c>
      <c r="L508" s="25">
        <f>IF(A508&lt;&gt;"",1,"")</f>
        <v/>
      </c>
      <c r="M508" s="25">
        <f>IF(L508=1,IF(ISNUMBER(FIND("#"&amp;MID(A508,1,1)&amp;"#","#0#1#2#3#4#5#6#7#8#9#")),IF(ISNUMBER(FIND("#"&amp;MID(A508,2,1)&amp;"#","#0#1#2#3#4#5#6#7#8#9#")),IF(AND(VALUE(LEFT(A508,2))&gt;=1,VALUE(LEFT(A508,2))&lt;=5),VALUE(LEFT(A508,2)),""),IF(AND(VALUE(LEFT(A508,1))&gt;=1,VALUE(LEFT(A508,1))&lt;=5),VALUE(LEFT(A508,1)),"")),""),"")</f>
        <v/>
      </c>
      <c r="N508" s="25">
        <f>IF(L508=1,IF(ISNUMBER(FIND("#"&amp;MID(H508,1,1)&amp;"#","#0#1#2#3#4#5#6#7#8#9#")),IF(ISNUMBER(FIND("#"&amp;MID(H508,2,1)&amp;"#","#0#1#2#3#4#5#6#7#8#9#")),IF(AND(VALUE(LEFT(H508,2))&gt;=1,VALUE(LEFT(H508,2))&lt;=5),VALUE(LEFT(H508,2)),""),IF(AND(VALUE(LEFT(H508,1))&gt;=1,VALUE(LEFT(H508,1))&lt;=5),VALUE(LEFT(H508,1)),"")),""),"")</f>
        <v/>
      </c>
      <c r="O508" s="25">
        <f>IF(AND(L508=1,B508&lt;&gt;""),SUBSTITUTE(SUBSTITUTE(SUBSTITUTE(SUBSTITUTE(SUBSTITUTE(SUBSTITUTE(SUBSTITUTE(SUBSTITUTE(SUBSTITUTE(SUBSTITUTE(SUBSTITUTE(SUBSTITUTE(LOWER(TRIM(B508)),"á","a"),"é","e"),"í","i"),"ó","o"),"ú","u"),"ü","u"),"ñ","n"),"à","a"),"è","e"),"ì","i"),"ò","o"),"ù","u"),"")</f>
        <v/>
      </c>
      <c r="P508" s="25">
        <f>IF(AND(L508=1,C508&lt;&gt;""),SUBSTITUTE(SUBSTITUTE(SUBSTITUTE(SUBSTITUTE(SUBSTITUTE(SUBSTITUTE(SUBSTITUTE(SUBSTITUTE(SUBSTITUTE(SUBSTITUTE(SUBSTITUTE(SUBSTITUTE(LOWER(TRIM(C508)),"á","a"),"é","e"),"í","i"),"ó","o"),"ú","u"),"ü","u"),"ñ","n"),"à","a"),"è","e"),"ì","i"),"ò","o"),"ù","u"),"")</f>
        <v/>
      </c>
      <c r="Q508" s="25">
        <f>IF(AND(L508=1,E508&lt;&gt;""),SUBSTITUTE(SUBSTITUTE(SUBSTITUTE(SUBSTITUTE(SUBSTITUTE(SUBSTITUTE(SUBSTITUTE(SUBSTITUTE(SUBSTITUTE(SUBSTITUTE(SUBSTITUTE(SUBSTITUTE(LOWER(TRIM(E508)),"á","a"),"é","e"),"í","i"),"ó","o"),"ú","u"),"ü","u"),"ñ","n"),"à","a"),"è","e"),"ì","i"),"ò","o"),"ù","u"),"")</f>
        <v/>
      </c>
      <c r="R508" s="25">
        <f>IF(AND(L508=1,I508&lt;&gt;""),SUBSTITUTE(SUBSTITUTE(SUBSTITUTE(SUBSTITUTE(SUBSTITUTE(SUBSTITUTE(SUBSTITUTE(SUBSTITUTE(SUBSTITUTE(SUBSTITUTE(SUBSTITUTE(SUBSTITUTE(LOWER(TRIM(I508)),"á","a"),"é","e"),"í","i"),"ó","o"),"ú","u"),"ü","u"),"ñ","n"),"à","a"),"è","e"),"ì","i"),"ò","o"),"ù","u"),"")</f>
        <v/>
      </c>
      <c r="S508" s="25">
        <f>IF(R508="","",IF(OR(R508="si",R508="tal vez"),1,0))</f>
        <v/>
      </c>
      <c r="T508" s="25">
        <f>IF(AND(L508=1,D508&lt;&gt;""),IF(IFERROR(COUNTIFS(D$3:D508,"="&amp;SUBSTITUTE(SUBSTITUTE(SUBSTITUTE(D508,"~","~~"),"*","~*"),"?","~?"),L$3:L508,1),0)=1,MAX(T$2:T507)+1,""),"")</f>
        <v/>
      </c>
      <c r="U508" s="25">
        <f>IF(T508="","",COUNTIFS($D$3:$D$1002,"="&amp;SUBSTITUTE(SUBSTITUTE(SUBSTITUTE(D508,"~","~~"),"*","~*"),"?","~?"),$L$3:$L$1002,1)*10000-T508)</f>
        <v/>
      </c>
      <c r="V508" s="25">
        <f>IF(AND(L508=1,J508&lt;&gt;""),IF(IFERROR(COUNTIFS(J$3:J508,"="&amp;SUBSTITUTE(SUBSTITUTE(SUBSTITUTE(J508,"~","~~"),"*","~*"),"?","~?"),L$3:L508,1),0)=1,MAX(V$2:V507)+1,""),"")</f>
        <v/>
      </c>
      <c r="W508" s="25">
        <f>IF(V508="","",COUNTIFS($J$3:$J$1002,"="&amp;SUBSTITUTE(SUBSTITUTE(SUBSTITUTE(J508,"~","~~"),"*","~*"),"?","~?"),$L$3:$L$1002,1)*10000-V508)</f>
        <v/>
      </c>
    </row>
    <row r="509">
      <c r="A509">
        <f>IF(A$2=0,"",IFERROR(TRIM(INDEX('Pegar estudiantes'!$A$1:$BZ$1001,508,A$2)&amp;""),""))</f>
        <v/>
      </c>
      <c r="B509">
        <f>IF(B$2=0,"",IFERROR(TRIM(INDEX('Pegar estudiantes'!$A$1:$BZ$1001,508,B$2)&amp;""),""))</f>
        <v/>
      </c>
      <c r="C509">
        <f>IF(C$2=0,"",IFERROR(TRIM(INDEX('Pegar estudiantes'!$A$1:$BZ$1001,508,C$2)&amp;""),""))</f>
        <v/>
      </c>
      <c r="D509">
        <f>IF(D$2=0,"",IFERROR(TRIM(INDEX('Pegar estudiantes'!$A$1:$BZ$1001,508,D$2)&amp;""),""))</f>
        <v/>
      </c>
      <c r="E509">
        <f>IF(E$2=0,"",IFERROR(TRIM(INDEX('Pegar estudiantes'!$A$1:$BZ$1001,508,E$2)&amp;""),""))</f>
        <v/>
      </c>
      <c r="F509">
        <f>IF(F$2=0,"",IFERROR(TRIM(INDEX('Pegar estudiantes'!$A$1:$BZ$1001,508,F$2)&amp;""),""))</f>
        <v/>
      </c>
      <c r="G509">
        <f>IF(G$2=0,"",IFERROR(TRIM(INDEX('Pegar estudiantes'!$A$1:$BZ$1001,508,G$2)&amp;""),""))</f>
        <v/>
      </c>
      <c r="H509">
        <f>IF(H$2=0,"",IFERROR(TRIM(INDEX('Pegar estudiantes'!$A$1:$BZ$1001,508,H$2)&amp;""),""))</f>
        <v/>
      </c>
      <c r="I509">
        <f>IF(I$2=0,"",IFERROR(TRIM(INDEX('Pegar estudiantes'!$A$1:$BZ$1001,508,I$2)&amp;""),""))</f>
        <v/>
      </c>
      <c r="J509">
        <f>IF(J$2=0,"",IFERROR(TRIM(INDEX('Pegar estudiantes'!$A$1:$BZ$1001,508,J$2)&amp;""),""))</f>
        <v/>
      </c>
      <c r="K509">
        <f>IF(K$2=0,"",IFERROR(TRIM(INDEX('Pegar estudiantes'!$A$1:$BZ$1001,508,K$2)&amp;""),""))</f>
        <v/>
      </c>
      <c r="L509" s="25">
        <f>IF(A509&lt;&gt;"",1,"")</f>
        <v/>
      </c>
      <c r="M509" s="25">
        <f>IF(L509=1,IF(ISNUMBER(FIND("#"&amp;MID(A509,1,1)&amp;"#","#0#1#2#3#4#5#6#7#8#9#")),IF(ISNUMBER(FIND("#"&amp;MID(A509,2,1)&amp;"#","#0#1#2#3#4#5#6#7#8#9#")),IF(AND(VALUE(LEFT(A509,2))&gt;=1,VALUE(LEFT(A509,2))&lt;=5),VALUE(LEFT(A509,2)),""),IF(AND(VALUE(LEFT(A509,1))&gt;=1,VALUE(LEFT(A509,1))&lt;=5),VALUE(LEFT(A509,1)),"")),""),"")</f>
        <v/>
      </c>
      <c r="N509" s="25">
        <f>IF(L509=1,IF(ISNUMBER(FIND("#"&amp;MID(H509,1,1)&amp;"#","#0#1#2#3#4#5#6#7#8#9#")),IF(ISNUMBER(FIND("#"&amp;MID(H509,2,1)&amp;"#","#0#1#2#3#4#5#6#7#8#9#")),IF(AND(VALUE(LEFT(H509,2))&gt;=1,VALUE(LEFT(H509,2))&lt;=5),VALUE(LEFT(H509,2)),""),IF(AND(VALUE(LEFT(H509,1))&gt;=1,VALUE(LEFT(H509,1))&lt;=5),VALUE(LEFT(H509,1)),"")),""),"")</f>
        <v/>
      </c>
      <c r="O509" s="25">
        <f>IF(AND(L509=1,B509&lt;&gt;""),SUBSTITUTE(SUBSTITUTE(SUBSTITUTE(SUBSTITUTE(SUBSTITUTE(SUBSTITUTE(SUBSTITUTE(SUBSTITUTE(SUBSTITUTE(SUBSTITUTE(SUBSTITUTE(SUBSTITUTE(LOWER(TRIM(B509)),"á","a"),"é","e"),"í","i"),"ó","o"),"ú","u"),"ü","u"),"ñ","n"),"à","a"),"è","e"),"ì","i"),"ò","o"),"ù","u"),"")</f>
        <v/>
      </c>
      <c r="P509" s="25">
        <f>IF(AND(L509=1,C509&lt;&gt;""),SUBSTITUTE(SUBSTITUTE(SUBSTITUTE(SUBSTITUTE(SUBSTITUTE(SUBSTITUTE(SUBSTITUTE(SUBSTITUTE(SUBSTITUTE(SUBSTITUTE(SUBSTITUTE(SUBSTITUTE(LOWER(TRIM(C509)),"á","a"),"é","e"),"í","i"),"ó","o"),"ú","u"),"ü","u"),"ñ","n"),"à","a"),"è","e"),"ì","i"),"ò","o"),"ù","u"),"")</f>
        <v/>
      </c>
      <c r="Q509" s="25">
        <f>IF(AND(L509=1,E509&lt;&gt;""),SUBSTITUTE(SUBSTITUTE(SUBSTITUTE(SUBSTITUTE(SUBSTITUTE(SUBSTITUTE(SUBSTITUTE(SUBSTITUTE(SUBSTITUTE(SUBSTITUTE(SUBSTITUTE(SUBSTITUTE(LOWER(TRIM(E509)),"á","a"),"é","e"),"í","i"),"ó","o"),"ú","u"),"ü","u"),"ñ","n"),"à","a"),"è","e"),"ì","i"),"ò","o"),"ù","u"),"")</f>
        <v/>
      </c>
      <c r="R509" s="25">
        <f>IF(AND(L509=1,I509&lt;&gt;""),SUBSTITUTE(SUBSTITUTE(SUBSTITUTE(SUBSTITUTE(SUBSTITUTE(SUBSTITUTE(SUBSTITUTE(SUBSTITUTE(SUBSTITUTE(SUBSTITUTE(SUBSTITUTE(SUBSTITUTE(LOWER(TRIM(I509)),"á","a"),"é","e"),"í","i"),"ó","o"),"ú","u"),"ü","u"),"ñ","n"),"à","a"),"è","e"),"ì","i"),"ò","o"),"ù","u"),"")</f>
        <v/>
      </c>
      <c r="S509" s="25">
        <f>IF(R509="","",IF(OR(R509="si",R509="tal vez"),1,0))</f>
        <v/>
      </c>
      <c r="T509" s="25">
        <f>IF(AND(L509=1,D509&lt;&gt;""),IF(IFERROR(COUNTIFS(D$3:D509,"="&amp;SUBSTITUTE(SUBSTITUTE(SUBSTITUTE(D509,"~","~~"),"*","~*"),"?","~?"),L$3:L509,1),0)=1,MAX(T$2:T508)+1,""),"")</f>
        <v/>
      </c>
      <c r="U509" s="25">
        <f>IF(T509="","",COUNTIFS($D$3:$D$1002,"="&amp;SUBSTITUTE(SUBSTITUTE(SUBSTITUTE(D509,"~","~~"),"*","~*"),"?","~?"),$L$3:$L$1002,1)*10000-T509)</f>
        <v/>
      </c>
      <c r="V509" s="25">
        <f>IF(AND(L509=1,J509&lt;&gt;""),IF(IFERROR(COUNTIFS(J$3:J509,"="&amp;SUBSTITUTE(SUBSTITUTE(SUBSTITUTE(J509,"~","~~"),"*","~*"),"?","~?"),L$3:L509,1),0)=1,MAX(V$2:V508)+1,""),"")</f>
        <v/>
      </c>
      <c r="W509" s="25">
        <f>IF(V509="","",COUNTIFS($J$3:$J$1002,"="&amp;SUBSTITUTE(SUBSTITUTE(SUBSTITUTE(J509,"~","~~"),"*","~*"),"?","~?"),$L$3:$L$1002,1)*10000-V509)</f>
        <v/>
      </c>
    </row>
    <row r="510">
      <c r="A510">
        <f>IF(A$2=0,"",IFERROR(TRIM(INDEX('Pegar estudiantes'!$A$1:$BZ$1001,509,A$2)&amp;""),""))</f>
        <v/>
      </c>
      <c r="B510">
        <f>IF(B$2=0,"",IFERROR(TRIM(INDEX('Pegar estudiantes'!$A$1:$BZ$1001,509,B$2)&amp;""),""))</f>
        <v/>
      </c>
      <c r="C510">
        <f>IF(C$2=0,"",IFERROR(TRIM(INDEX('Pegar estudiantes'!$A$1:$BZ$1001,509,C$2)&amp;""),""))</f>
        <v/>
      </c>
      <c r="D510">
        <f>IF(D$2=0,"",IFERROR(TRIM(INDEX('Pegar estudiantes'!$A$1:$BZ$1001,509,D$2)&amp;""),""))</f>
        <v/>
      </c>
      <c r="E510">
        <f>IF(E$2=0,"",IFERROR(TRIM(INDEX('Pegar estudiantes'!$A$1:$BZ$1001,509,E$2)&amp;""),""))</f>
        <v/>
      </c>
      <c r="F510">
        <f>IF(F$2=0,"",IFERROR(TRIM(INDEX('Pegar estudiantes'!$A$1:$BZ$1001,509,F$2)&amp;""),""))</f>
        <v/>
      </c>
      <c r="G510">
        <f>IF(G$2=0,"",IFERROR(TRIM(INDEX('Pegar estudiantes'!$A$1:$BZ$1001,509,G$2)&amp;""),""))</f>
        <v/>
      </c>
      <c r="H510">
        <f>IF(H$2=0,"",IFERROR(TRIM(INDEX('Pegar estudiantes'!$A$1:$BZ$1001,509,H$2)&amp;""),""))</f>
        <v/>
      </c>
      <c r="I510">
        <f>IF(I$2=0,"",IFERROR(TRIM(INDEX('Pegar estudiantes'!$A$1:$BZ$1001,509,I$2)&amp;""),""))</f>
        <v/>
      </c>
      <c r="J510">
        <f>IF(J$2=0,"",IFERROR(TRIM(INDEX('Pegar estudiantes'!$A$1:$BZ$1001,509,J$2)&amp;""),""))</f>
        <v/>
      </c>
      <c r="K510">
        <f>IF(K$2=0,"",IFERROR(TRIM(INDEX('Pegar estudiantes'!$A$1:$BZ$1001,509,K$2)&amp;""),""))</f>
        <v/>
      </c>
      <c r="L510" s="25">
        <f>IF(A510&lt;&gt;"",1,"")</f>
        <v/>
      </c>
      <c r="M510" s="25">
        <f>IF(L510=1,IF(ISNUMBER(FIND("#"&amp;MID(A510,1,1)&amp;"#","#0#1#2#3#4#5#6#7#8#9#")),IF(ISNUMBER(FIND("#"&amp;MID(A510,2,1)&amp;"#","#0#1#2#3#4#5#6#7#8#9#")),IF(AND(VALUE(LEFT(A510,2))&gt;=1,VALUE(LEFT(A510,2))&lt;=5),VALUE(LEFT(A510,2)),""),IF(AND(VALUE(LEFT(A510,1))&gt;=1,VALUE(LEFT(A510,1))&lt;=5),VALUE(LEFT(A510,1)),"")),""),"")</f>
        <v/>
      </c>
      <c r="N510" s="25">
        <f>IF(L510=1,IF(ISNUMBER(FIND("#"&amp;MID(H510,1,1)&amp;"#","#0#1#2#3#4#5#6#7#8#9#")),IF(ISNUMBER(FIND("#"&amp;MID(H510,2,1)&amp;"#","#0#1#2#3#4#5#6#7#8#9#")),IF(AND(VALUE(LEFT(H510,2))&gt;=1,VALUE(LEFT(H510,2))&lt;=5),VALUE(LEFT(H510,2)),""),IF(AND(VALUE(LEFT(H510,1))&gt;=1,VALUE(LEFT(H510,1))&lt;=5),VALUE(LEFT(H510,1)),"")),""),"")</f>
        <v/>
      </c>
      <c r="O510" s="25">
        <f>IF(AND(L510=1,B510&lt;&gt;""),SUBSTITUTE(SUBSTITUTE(SUBSTITUTE(SUBSTITUTE(SUBSTITUTE(SUBSTITUTE(SUBSTITUTE(SUBSTITUTE(SUBSTITUTE(SUBSTITUTE(SUBSTITUTE(SUBSTITUTE(LOWER(TRIM(B510)),"á","a"),"é","e"),"í","i"),"ó","o"),"ú","u"),"ü","u"),"ñ","n"),"à","a"),"è","e"),"ì","i"),"ò","o"),"ù","u"),"")</f>
        <v/>
      </c>
      <c r="P510" s="25">
        <f>IF(AND(L510=1,C510&lt;&gt;""),SUBSTITUTE(SUBSTITUTE(SUBSTITUTE(SUBSTITUTE(SUBSTITUTE(SUBSTITUTE(SUBSTITUTE(SUBSTITUTE(SUBSTITUTE(SUBSTITUTE(SUBSTITUTE(SUBSTITUTE(LOWER(TRIM(C510)),"á","a"),"é","e"),"í","i"),"ó","o"),"ú","u"),"ü","u"),"ñ","n"),"à","a"),"è","e"),"ì","i"),"ò","o"),"ù","u"),"")</f>
        <v/>
      </c>
      <c r="Q510" s="25">
        <f>IF(AND(L510=1,E510&lt;&gt;""),SUBSTITUTE(SUBSTITUTE(SUBSTITUTE(SUBSTITUTE(SUBSTITUTE(SUBSTITUTE(SUBSTITUTE(SUBSTITUTE(SUBSTITUTE(SUBSTITUTE(SUBSTITUTE(SUBSTITUTE(LOWER(TRIM(E510)),"á","a"),"é","e"),"í","i"),"ó","o"),"ú","u"),"ü","u"),"ñ","n"),"à","a"),"è","e"),"ì","i"),"ò","o"),"ù","u"),"")</f>
        <v/>
      </c>
      <c r="R510" s="25">
        <f>IF(AND(L510=1,I510&lt;&gt;""),SUBSTITUTE(SUBSTITUTE(SUBSTITUTE(SUBSTITUTE(SUBSTITUTE(SUBSTITUTE(SUBSTITUTE(SUBSTITUTE(SUBSTITUTE(SUBSTITUTE(SUBSTITUTE(SUBSTITUTE(LOWER(TRIM(I510)),"á","a"),"é","e"),"í","i"),"ó","o"),"ú","u"),"ü","u"),"ñ","n"),"à","a"),"è","e"),"ì","i"),"ò","o"),"ù","u"),"")</f>
        <v/>
      </c>
      <c r="S510" s="25">
        <f>IF(R510="","",IF(OR(R510="si",R510="tal vez"),1,0))</f>
        <v/>
      </c>
      <c r="T510" s="25">
        <f>IF(AND(L510=1,D510&lt;&gt;""),IF(IFERROR(COUNTIFS(D$3:D510,"="&amp;SUBSTITUTE(SUBSTITUTE(SUBSTITUTE(D510,"~","~~"),"*","~*"),"?","~?"),L$3:L510,1),0)=1,MAX(T$2:T509)+1,""),"")</f>
        <v/>
      </c>
      <c r="U510" s="25">
        <f>IF(T510="","",COUNTIFS($D$3:$D$1002,"="&amp;SUBSTITUTE(SUBSTITUTE(SUBSTITUTE(D510,"~","~~"),"*","~*"),"?","~?"),$L$3:$L$1002,1)*10000-T510)</f>
        <v/>
      </c>
      <c r="V510" s="25">
        <f>IF(AND(L510=1,J510&lt;&gt;""),IF(IFERROR(COUNTIFS(J$3:J510,"="&amp;SUBSTITUTE(SUBSTITUTE(SUBSTITUTE(J510,"~","~~"),"*","~*"),"?","~?"),L$3:L510,1),0)=1,MAX(V$2:V509)+1,""),"")</f>
        <v/>
      </c>
      <c r="W510" s="25">
        <f>IF(V510="","",COUNTIFS($J$3:$J$1002,"="&amp;SUBSTITUTE(SUBSTITUTE(SUBSTITUTE(J510,"~","~~"),"*","~*"),"?","~?"),$L$3:$L$1002,1)*10000-V510)</f>
        <v/>
      </c>
    </row>
    <row r="511">
      <c r="A511">
        <f>IF(A$2=0,"",IFERROR(TRIM(INDEX('Pegar estudiantes'!$A$1:$BZ$1001,510,A$2)&amp;""),""))</f>
        <v/>
      </c>
      <c r="B511">
        <f>IF(B$2=0,"",IFERROR(TRIM(INDEX('Pegar estudiantes'!$A$1:$BZ$1001,510,B$2)&amp;""),""))</f>
        <v/>
      </c>
      <c r="C511">
        <f>IF(C$2=0,"",IFERROR(TRIM(INDEX('Pegar estudiantes'!$A$1:$BZ$1001,510,C$2)&amp;""),""))</f>
        <v/>
      </c>
      <c r="D511">
        <f>IF(D$2=0,"",IFERROR(TRIM(INDEX('Pegar estudiantes'!$A$1:$BZ$1001,510,D$2)&amp;""),""))</f>
        <v/>
      </c>
      <c r="E511">
        <f>IF(E$2=0,"",IFERROR(TRIM(INDEX('Pegar estudiantes'!$A$1:$BZ$1001,510,E$2)&amp;""),""))</f>
        <v/>
      </c>
      <c r="F511">
        <f>IF(F$2=0,"",IFERROR(TRIM(INDEX('Pegar estudiantes'!$A$1:$BZ$1001,510,F$2)&amp;""),""))</f>
        <v/>
      </c>
      <c r="G511">
        <f>IF(G$2=0,"",IFERROR(TRIM(INDEX('Pegar estudiantes'!$A$1:$BZ$1001,510,G$2)&amp;""),""))</f>
        <v/>
      </c>
      <c r="H511">
        <f>IF(H$2=0,"",IFERROR(TRIM(INDEX('Pegar estudiantes'!$A$1:$BZ$1001,510,H$2)&amp;""),""))</f>
        <v/>
      </c>
      <c r="I511">
        <f>IF(I$2=0,"",IFERROR(TRIM(INDEX('Pegar estudiantes'!$A$1:$BZ$1001,510,I$2)&amp;""),""))</f>
        <v/>
      </c>
      <c r="J511">
        <f>IF(J$2=0,"",IFERROR(TRIM(INDEX('Pegar estudiantes'!$A$1:$BZ$1001,510,J$2)&amp;""),""))</f>
        <v/>
      </c>
      <c r="K511">
        <f>IF(K$2=0,"",IFERROR(TRIM(INDEX('Pegar estudiantes'!$A$1:$BZ$1001,510,K$2)&amp;""),""))</f>
        <v/>
      </c>
      <c r="L511" s="25">
        <f>IF(A511&lt;&gt;"",1,"")</f>
        <v/>
      </c>
      <c r="M511" s="25">
        <f>IF(L511=1,IF(ISNUMBER(FIND("#"&amp;MID(A511,1,1)&amp;"#","#0#1#2#3#4#5#6#7#8#9#")),IF(ISNUMBER(FIND("#"&amp;MID(A511,2,1)&amp;"#","#0#1#2#3#4#5#6#7#8#9#")),IF(AND(VALUE(LEFT(A511,2))&gt;=1,VALUE(LEFT(A511,2))&lt;=5),VALUE(LEFT(A511,2)),""),IF(AND(VALUE(LEFT(A511,1))&gt;=1,VALUE(LEFT(A511,1))&lt;=5),VALUE(LEFT(A511,1)),"")),""),"")</f>
        <v/>
      </c>
      <c r="N511" s="25">
        <f>IF(L511=1,IF(ISNUMBER(FIND("#"&amp;MID(H511,1,1)&amp;"#","#0#1#2#3#4#5#6#7#8#9#")),IF(ISNUMBER(FIND("#"&amp;MID(H511,2,1)&amp;"#","#0#1#2#3#4#5#6#7#8#9#")),IF(AND(VALUE(LEFT(H511,2))&gt;=1,VALUE(LEFT(H511,2))&lt;=5),VALUE(LEFT(H511,2)),""),IF(AND(VALUE(LEFT(H511,1))&gt;=1,VALUE(LEFT(H511,1))&lt;=5),VALUE(LEFT(H511,1)),"")),""),"")</f>
        <v/>
      </c>
      <c r="O511" s="25">
        <f>IF(AND(L511=1,B511&lt;&gt;""),SUBSTITUTE(SUBSTITUTE(SUBSTITUTE(SUBSTITUTE(SUBSTITUTE(SUBSTITUTE(SUBSTITUTE(SUBSTITUTE(SUBSTITUTE(SUBSTITUTE(SUBSTITUTE(SUBSTITUTE(LOWER(TRIM(B511)),"á","a"),"é","e"),"í","i"),"ó","o"),"ú","u"),"ü","u"),"ñ","n"),"à","a"),"è","e"),"ì","i"),"ò","o"),"ù","u"),"")</f>
        <v/>
      </c>
      <c r="P511" s="25">
        <f>IF(AND(L511=1,C511&lt;&gt;""),SUBSTITUTE(SUBSTITUTE(SUBSTITUTE(SUBSTITUTE(SUBSTITUTE(SUBSTITUTE(SUBSTITUTE(SUBSTITUTE(SUBSTITUTE(SUBSTITUTE(SUBSTITUTE(SUBSTITUTE(LOWER(TRIM(C511)),"á","a"),"é","e"),"í","i"),"ó","o"),"ú","u"),"ü","u"),"ñ","n"),"à","a"),"è","e"),"ì","i"),"ò","o"),"ù","u"),"")</f>
        <v/>
      </c>
      <c r="Q511" s="25">
        <f>IF(AND(L511=1,E511&lt;&gt;""),SUBSTITUTE(SUBSTITUTE(SUBSTITUTE(SUBSTITUTE(SUBSTITUTE(SUBSTITUTE(SUBSTITUTE(SUBSTITUTE(SUBSTITUTE(SUBSTITUTE(SUBSTITUTE(SUBSTITUTE(LOWER(TRIM(E511)),"á","a"),"é","e"),"í","i"),"ó","o"),"ú","u"),"ü","u"),"ñ","n"),"à","a"),"è","e"),"ì","i"),"ò","o"),"ù","u"),"")</f>
        <v/>
      </c>
      <c r="R511" s="25">
        <f>IF(AND(L511=1,I511&lt;&gt;""),SUBSTITUTE(SUBSTITUTE(SUBSTITUTE(SUBSTITUTE(SUBSTITUTE(SUBSTITUTE(SUBSTITUTE(SUBSTITUTE(SUBSTITUTE(SUBSTITUTE(SUBSTITUTE(SUBSTITUTE(LOWER(TRIM(I511)),"á","a"),"é","e"),"í","i"),"ó","o"),"ú","u"),"ü","u"),"ñ","n"),"à","a"),"è","e"),"ì","i"),"ò","o"),"ù","u"),"")</f>
        <v/>
      </c>
      <c r="S511" s="25">
        <f>IF(R511="","",IF(OR(R511="si",R511="tal vez"),1,0))</f>
        <v/>
      </c>
      <c r="T511" s="25">
        <f>IF(AND(L511=1,D511&lt;&gt;""),IF(IFERROR(COUNTIFS(D$3:D511,"="&amp;SUBSTITUTE(SUBSTITUTE(SUBSTITUTE(D511,"~","~~"),"*","~*"),"?","~?"),L$3:L511,1),0)=1,MAX(T$2:T510)+1,""),"")</f>
        <v/>
      </c>
      <c r="U511" s="25">
        <f>IF(T511="","",COUNTIFS($D$3:$D$1002,"="&amp;SUBSTITUTE(SUBSTITUTE(SUBSTITUTE(D511,"~","~~"),"*","~*"),"?","~?"),$L$3:$L$1002,1)*10000-T511)</f>
        <v/>
      </c>
      <c r="V511" s="25">
        <f>IF(AND(L511=1,J511&lt;&gt;""),IF(IFERROR(COUNTIFS(J$3:J511,"="&amp;SUBSTITUTE(SUBSTITUTE(SUBSTITUTE(J511,"~","~~"),"*","~*"),"?","~?"),L$3:L511,1),0)=1,MAX(V$2:V510)+1,""),"")</f>
        <v/>
      </c>
      <c r="W511" s="25">
        <f>IF(V511="","",COUNTIFS($J$3:$J$1002,"="&amp;SUBSTITUTE(SUBSTITUTE(SUBSTITUTE(J511,"~","~~"),"*","~*"),"?","~?"),$L$3:$L$1002,1)*10000-V511)</f>
        <v/>
      </c>
    </row>
    <row r="512">
      <c r="A512">
        <f>IF(A$2=0,"",IFERROR(TRIM(INDEX('Pegar estudiantes'!$A$1:$BZ$1001,511,A$2)&amp;""),""))</f>
        <v/>
      </c>
      <c r="B512">
        <f>IF(B$2=0,"",IFERROR(TRIM(INDEX('Pegar estudiantes'!$A$1:$BZ$1001,511,B$2)&amp;""),""))</f>
        <v/>
      </c>
      <c r="C512">
        <f>IF(C$2=0,"",IFERROR(TRIM(INDEX('Pegar estudiantes'!$A$1:$BZ$1001,511,C$2)&amp;""),""))</f>
        <v/>
      </c>
      <c r="D512">
        <f>IF(D$2=0,"",IFERROR(TRIM(INDEX('Pegar estudiantes'!$A$1:$BZ$1001,511,D$2)&amp;""),""))</f>
        <v/>
      </c>
      <c r="E512">
        <f>IF(E$2=0,"",IFERROR(TRIM(INDEX('Pegar estudiantes'!$A$1:$BZ$1001,511,E$2)&amp;""),""))</f>
        <v/>
      </c>
      <c r="F512">
        <f>IF(F$2=0,"",IFERROR(TRIM(INDEX('Pegar estudiantes'!$A$1:$BZ$1001,511,F$2)&amp;""),""))</f>
        <v/>
      </c>
      <c r="G512">
        <f>IF(G$2=0,"",IFERROR(TRIM(INDEX('Pegar estudiantes'!$A$1:$BZ$1001,511,G$2)&amp;""),""))</f>
        <v/>
      </c>
      <c r="H512">
        <f>IF(H$2=0,"",IFERROR(TRIM(INDEX('Pegar estudiantes'!$A$1:$BZ$1001,511,H$2)&amp;""),""))</f>
        <v/>
      </c>
      <c r="I512">
        <f>IF(I$2=0,"",IFERROR(TRIM(INDEX('Pegar estudiantes'!$A$1:$BZ$1001,511,I$2)&amp;""),""))</f>
        <v/>
      </c>
      <c r="J512">
        <f>IF(J$2=0,"",IFERROR(TRIM(INDEX('Pegar estudiantes'!$A$1:$BZ$1001,511,J$2)&amp;""),""))</f>
        <v/>
      </c>
      <c r="K512">
        <f>IF(K$2=0,"",IFERROR(TRIM(INDEX('Pegar estudiantes'!$A$1:$BZ$1001,511,K$2)&amp;""),""))</f>
        <v/>
      </c>
      <c r="L512" s="25">
        <f>IF(A512&lt;&gt;"",1,"")</f>
        <v/>
      </c>
      <c r="M512" s="25">
        <f>IF(L512=1,IF(ISNUMBER(FIND("#"&amp;MID(A512,1,1)&amp;"#","#0#1#2#3#4#5#6#7#8#9#")),IF(ISNUMBER(FIND("#"&amp;MID(A512,2,1)&amp;"#","#0#1#2#3#4#5#6#7#8#9#")),IF(AND(VALUE(LEFT(A512,2))&gt;=1,VALUE(LEFT(A512,2))&lt;=5),VALUE(LEFT(A512,2)),""),IF(AND(VALUE(LEFT(A512,1))&gt;=1,VALUE(LEFT(A512,1))&lt;=5),VALUE(LEFT(A512,1)),"")),""),"")</f>
        <v/>
      </c>
      <c r="N512" s="25">
        <f>IF(L512=1,IF(ISNUMBER(FIND("#"&amp;MID(H512,1,1)&amp;"#","#0#1#2#3#4#5#6#7#8#9#")),IF(ISNUMBER(FIND("#"&amp;MID(H512,2,1)&amp;"#","#0#1#2#3#4#5#6#7#8#9#")),IF(AND(VALUE(LEFT(H512,2))&gt;=1,VALUE(LEFT(H512,2))&lt;=5),VALUE(LEFT(H512,2)),""),IF(AND(VALUE(LEFT(H512,1))&gt;=1,VALUE(LEFT(H512,1))&lt;=5),VALUE(LEFT(H512,1)),"")),""),"")</f>
        <v/>
      </c>
      <c r="O512" s="25">
        <f>IF(AND(L512=1,B512&lt;&gt;""),SUBSTITUTE(SUBSTITUTE(SUBSTITUTE(SUBSTITUTE(SUBSTITUTE(SUBSTITUTE(SUBSTITUTE(SUBSTITUTE(SUBSTITUTE(SUBSTITUTE(SUBSTITUTE(SUBSTITUTE(LOWER(TRIM(B512)),"á","a"),"é","e"),"í","i"),"ó","o"),"ú","u"),"ü","u"),"ñ","n"),"à","a"),"è","e"),"ì","i"),"ò","o"),"ù","u"),"")</f>
        <v/>
      </c>
      <c r="P512" s="25">
        <f>IF(AND(L512=1,C512&lt;&gt;""),SUBSTITUTE(SUBSTITUTE(SUBSTITUTE(SUBSTITUTE(SUBSTITUTE(SUBSTITUTE(SUBSTITUTE(SUBSTITUTE(SUBSTITUTE(SUBSTITUTE(SUBSTITUTE(SUBSTITUTE(LOWER(TRIM(C512)),"á","a"),"é","e"),"í","i"),"ó","o"),"ú","u"),"ü","u"),"ñ","n"),"à","a"),"è","e"),"ì","i"),"ò","o"),"ù","u"),"")</f>
        <v/>
      </c>
      <c r="Q512" s="25">
        <f>IF(AND(L512=1,E512&lt;&gt;""),SUBSTITUTE(SUBSTITUTE(SUBSTITUTE(SUBSTITUTE(SUBSTITUTE(SUBSTITUTE(SUBSTITUTE(SUBSTITUTE(SUBSTITUTE(SUBSTITUTE(SUBSTITUTE(SUBSTITUTE(LOWER(TRIM(E512)),"á","a"),"é","e"),"í","i"),"ó","o"),"ú","u"),"ü","u"),"ñ","n"),"à","a"),"è","e"),"ì","i"),"ò","o"),"ù","u"),"")</f>
        <v/>
      </c>
      <c r="R512" s="25">
        <f>IF(AND(L512=1,I512&lt;&gt;""),SUBSTITUTE(SUBSTITUTE(SUBSTITUTE(SUBSTITUTE(SUBSTITUTE(SUBSTITUTE(SUBSTITUTE(SUBSTITUTE(SUBSTITUTE(SUBSTITUTE(SUBSTITUTE(SUBSTITUTE(LOWER(TRIM(I512)),"á","a"),"é","e"),"í","i"),"ó","o"),"ú","u"),"ü","u"),"ñ","n"),"à","a"),"è","e"),"ì","i"),"ò","o"),"ù","u"),"")</f>
        <v/>
      </c>
      <c r="S512" s="25">
        <f>IF(R512="","",IF(OR(R512="si",R512="tal vez"),1,0))</f>
        <v/>
      </c>
      <c r="T512" s="25">
        <f>IF(AND(L512=1,D512&lt;&gt;""),IF(IFERROR(COUNTIFS(D$3:D512,"="&amp;SUBSTITUTE(SUBSTITUTE(SUBSTITUTE(D512,"~","~~"),"*","~*"),"?","~?"),L$3:L512,1),0)=1,MAX(T$2:T511)+1,""),"")</f>
        <v/>
      </c>
      <c r="U512" s="25">
        <f>IF(T512="","",COUNTIFS($D$3:$D$1002,"="&amp;SUBSTITUTE(SUBSTITUTE(SUBSTITUTE(D512,"~","~~"),"*","~*"),"?","~?"),$L$3:$L$1002,1)*10000-T512)</f>
        <v/>
      </c>
      <c r="V512" s="25">
        <f>IF(AND(L512=1,J512&lt;&gt;""),IF(IFERROR(COUNTIFS(J$3:J512,"="&amp;SUBSTITUTE(SUBSTITUTE(SUBSTITUTE(J512,"~","~~"),"*","~*"),"?","~?"),L$3:L512,1),0)=1,MAX(V$2:V511)+1,""),"")</f>
        <v/>
      </c>
      <c r="W512" s="25">
        <f>IF(V512="","",COUNTIFS($J$3:$J$1002,"="&amp;SUBSTITUTE(SUBSTITUTE(SUBSTITUTE(J512,"~","~~"),"*","~*"),"?","~?"),$L$3:$L$1002,1)*10000-V512)</f>
        <v/>
      </c>
    </row>
    <row r="513">
      <c r="A513">
        <f>IF(A$2=0,"",IFERROR(TRIM(INDEX('Pegar estudiantes'!$A$1:$BZ$1001,512,A$2)&amp;""),""))</f>
        <v/>
      </c>
      <c r="B513">
        <f>IF(B$2=0,"",IFERROR(TRIM(INDEX('Pegar estudiantes'!$A$1:$BZ$1001,512,B$2)&amp;""),""))</f>
        <v/>
      </c>
      <c r="C513">
        <f>IF(C$2=0,"",IFERROR(TRIM(INDEX('Pegar estudiantes'!$A$1:$BZ$1001,512,C$2)&amp;""),""))</f>
        <v/>
      </c>
      <c r="D513">
        <f>IF(D$2=0,"",IFERROR(TRIM(INDEX('Pegar estudiantes'!$A$1:$BZ$1001,512,D$2)&amp;""),""))</f>
        <v/>
      </c>
      <c r="E513">
        <f>IF(E$2=0,"",IFERROR(TRIM(INDEX('Pegar estudiantes'!$A$1:$BZ$1001,512,E$2)&amp;""),""))</f>
        <v/>
      </c>
      <c r="F513">
        <f>IF(F$2=0,"",IFERROR(TRIM(INDEX('Pegar estudiantes'!$A$1:$BZ$1001,512,F$2)&amp;""),""))</f>
        <v/>
      </c>
      <c r="G513">
        <f>IF(G$2=0,"",IFERROR(TRIM(INDEX('Pegar estudiantes'!$A$1:$BZ$1001,512,G$2)&amp;""),""))</f>
        <v/>
      </c>
      <c r="H513">
        <f>IF(H$2=0,"",IFERROR(TRIM(INDEX('Pegar estudiantes'!$A$1:$BZ$1001,512,H$2)&amp;""),""))</f>
        <v/>
      </c>
      <c r="I513">
        <f>IF(I$2=0,"",IFERROR(TRIM(INDEX('Pegar estudiantes'!$A$1:$BZ$1001,512,I$2)&amp;""),""))</f>
        <v/>
      </c>
      <c r="J513">
        <f>IF(J$2=0,"",IFERROR(TRIM(INDEX('Pegar estudiantes'!$A$1:$BZ$1001,512,J$2)&amp;""),""))</f>
        <v/>
      </c>
      <c r="K513">
        <f>IF(K$2=0,"",IFERROR(TRIM(INDEX('Pegar estudiantes'!$A$1:$BZ$1001,512,K$2)&amp;""),""))</f>
        <v/>
      </c>
      <c r="L513" s="25">
        <f>IF(A513&lt;&gt;"",1,"")</f>
        <v/>
      </c>
      <c r="M513" s="25">
        <f>IF(L513=1,IF(ISNUMBER(FIND("#"&amp;MID(A513,1,1)&amp;"#","#0#1#2#3#4#5#6#7#8#9#")),IF(ISNUMBER(FIND("#"&amp;MID(A513,2,1)&amp;"#","#0#1#2#3#4#5#6#7#8#9#")),IF(AND(VALUE(LEFT(A513,2))&gt;=1,VALUE(LEFT(A513,2))&lt;=5),VALUE(LEFT(A513,2)),""),IF(AND(VALUE(LEFT(A513,1))&gt;=1,VALUE(LEFT(A513,1))&lt;=5),VALUE(LEFT(A513,1)),"")),""),"")</f>
        <v/>
      </c>
      <c r="N513" s="25">
        <f>IF(L513=1,IF(ISNUMBER(FIND("#"&amp;MID(H513,1,1)&amp;"#","#0#1#2#3#4#5#6#7#8#9#")),IF(ISNUMBER(FIND("#"&amp;MID(H513,2,1)&amp;"#","#0#1#2#3#4#5#6#7#8#9#")),IF(AND(VALUE(LEFT(H513,2))&gt;=1,VALUE(LEFT(H513,2))&lt;=5),VALUE(LEFT(H513,2)),""),IF(AND(VALUE(LEFT(H513,1))&gt;=1,VALUE(LEFT(H513,1))&lt;=5),VALUE(LEFT(H513,1)),"")),""),"")</f>
        <v/>
      </c>
      <c r="O513" s="25">
        <f>IF(AND(L513=1,B513&lt;&gt;""),SUBSTITUTE(SUBSTITUTE(SUBSTITUTE(SUBSTITUTE(SUBSTITUTE(SUBSTITUTE(SUBSTITUTE(SUBSTITUTE(SUBSTITUTE(SUBSTITUTE(SUBSTITUTE(SUBSTITUTE(LOWER(TRIM(B513)),"á","a"),"é","e"),"í","i"),"ó","o"),"ú","u"),"ü","u"),"ñ","n"),"à","a"),"è","e"),"ì","i"),"ò","o"),"ù","u"),"")</f>
        <v/>
      </c>
      <c r="P513" s="25">
        <f>IF(AND(L513=1,C513&lt;&gt;""),SUBSTITUTE(SUBSTITUTE(SUBSTITUTE(SUBSTITUTE(SUBSTITUTE(SUBSTITUTE(SUBSTITUTE(SUBSTITUTE(SUBSTITUTE(SUBSTITUTE(SUBSTITUTE(SUBSTITUTE(LOWER(TRIM(C513)),"á","a"),"é","e"),"í","i"),"ó","o"),"ú","u"),"ü","u"),"ñ","n"),"à","a"),"è","e"),"ì","i"),"ò","o"),"ù","u"),"")</f>
        <v/>
      </c>
      <c r="Q513" s="25">
        <f>IF(AND(L513=1,E513&lt;&gt;""),SUBSTITUTE(SUBSTITUTE(SUBSTITUTE(SUBSTITUTE(SUBSTITUTE(SUBSTITUTE(SUBSTITUTE(SUBSTITUTE(SUBSTITUTE(SUBSTITUTE(SUBSTITUTE(SUBSTITUTE(LOWER(TRIM(E513)),"á","a"),"é","e"),"í","i"),"ó","o"),"ú","u"),"ü","u"),"ñ","n"),"à","a"),"è","e"),"ì","i"),"ò","o"),"ù","u"),"")</f>
        <v/>
      </c>
      <c r="R513" s="25">
        <f>IF(AND(L513=1,I513&lt;&gt;""),SUBSTITUTE(SUBSTITUTE(SUBSTITUTE(SUBSTITUTE(SUBSTITUTE(SUBSTITUTE(SUBSTITUTE(SUBSTITUTE(SUBSTITUTE(SUBSTITUTE(SUBSTITUTE(SUBSTITUTE(LOWER(TRIM(I513)),"á","a"),"é","e"),"í","i"),"ó","o"),"ú","u"),"ü","u"),"ñ","n"),"à","a"),"è","e"),"ì","i"),"ò","o"),"ù","u"),"")</f>
        <v/>
      </c>
      <c r="S513" s="25">
        <f>IF(R513="","",IF(OR(R513="si",R513="tal vez"),1,0))</f>
        <v/>
      </c>
      <c r="T513" s="25">
        <f>IF(AND(L513=1,D513&lt;&gt;""),IF(IFERROR(COUNTIFS(D$3:D513,"="&amp;SUBSTITUTE(SUBSTITUTE(SUBSTITUTE(D513,"~","~~"),"*","~*"),"?","~?"),L$3:L513,1),0)=1,MAX(T$2:T512)+1,""),"")</f>
        <v/>
      </c>
      <c r="U513" s="25">
        <f>IF(T513="","",COUNTIFS($D$3:$D$1002,"="&amp;SUBSTITUTE(SUBSTITUTE(SUBSTITUTE(D513,"~","~~"),"*","~*"),"?","~?"),$L$3:$L$1002,1)*10000-T513)</f>
        <v/>
      </c>
      <c r="V513" s="25">
        <f>IF(AND(L513=1,J513&lt;&gt;""),IF(IFERROR(COUNTIFS(J$3:J513,"="&amp;SUBSTITUTE(SUBSTITUTE(SUBSTITUTE(J513,"~","~~"),"*","~*"),"?","~?"),L$3:L513,1),0)=1,MAX(V$2:V512)+1,""),"")</f>
        <v/>
      </c>
      <c r="W513" s="25">
        <f>IF(V513="","",COUNTIFS($J$3:$J$1002,"="&amp;SUBSTITUTE(SUBSTITUTE(SUBSTITUTE(J513,"~","~~"),"*","~*"),"?","~?"),$L$3:$L$1002,1)*10000-V513)</f>
        <v/>
      </c>
    </row>
    <row r="514">
      <c r="A514">
        <f>IF(A$2=0,"",IFERROR(TRIM(INDEX('Pegar estudiantes'!$A$1:$BZ$1001,513,A$2)&amp;""),""))</f>
        <v/>
      </c>
      <c r="B514">
        <f>IF(B$2=0,"",IFERROR(TRIM(INDEX('Pegar estudiantes'!$A$1:$BZ$1001,513,B$2)&amp;""),""))</f>
        <v/>
      </c>
      <c r="C514">
        <f>IF(C$2=0,"",IFERROR(TRIM(INDEX('Pegar estudiantes'!$A$1:$BZ$1001,513,C$2)&amp;""),""))</f>
        <v/>
      </c>
      <c r="D514">
        <f>IF(D$2=0,"",IFERROR(TRIM(INDEX('Pegar estudiantes'!$A$1:$BZ$1001,513,D$2)&amp;""),""))</f>
        <v/>
      </c>
      <c r="E514">
        <f>IF(E$2=0,"",IFERROR(TRIM(INDEX('Pegar estudiantes'!$A$1:$BZ$1001,513,E$2)&amp;""),""))</f>
        <v/>
      </c>
      <c r="F514">
        <f>IF(F$2=0,"",IFERROR(TRIM(INDEX('Pegar estudiantes'!$A$1:$BZ$1001,513,F$2)&amp;""),""))</f>
        <v/>
      </c>
      <c r="G514">
        <f>IF(G$2=0,"",IFERROR(TRIM(INDEX('Pegar estudiantes'!$A$1:$BZ$1001,513,G$2)&amp;""),""))</f>
        <v/>
      </c>
      <c r="H514">
        <f>IF(H$2=0,"",IFERROR(TRIM(INDEX('Pegar estudiantes'!$A$1:$BZ$1001,513,H$2)&amp;""),""))</f>
        <v/>
      </c>
      <c r="I514">
        <f>IF(I$2=0,"",IFERROR(TRIM(INDEX('Pegar estudiantes'!$A$1:$BZ$1001,513,I$2)&amp;""),""))</f>
        <v/>
      </c>
      <c r="J514">
        <f>IF(J$2=0,"",IFERROR(TRIM(INDEX('Pegar estudiantes'!$A$1:$BZ$1001,513,J$2)&amp;""),""))</f>
        <v/>
      </c>
      <c r="K514">
        <f>IF(K$2=0,"",IFERROR(TRIM(INDEX('Pegar estudiantes'!$A$1:$BZ$1001,513,K$2)&amp;""),""))</f>
        <v/>
      </c>
      <c r="L514" s="25">
        <f>IF(A514&lt;&gt;"",1,"")</f>
        <v/>
      </c>
      <c r="M514" s="25">
        <f>IF(L514=1,IF(ISNUMBER(FIND("#"&amp;MID(A514,1,1)&amp;"#","#0#1#2#3#4#5#6#7#8#9#")),IF(ISNUMBER(FIND("#"&amp;MID(A514,2,1)&amp;"#","#0#1#2#3#4#5#6#7#8#9#")),IF(AND(VALUE(LEFT(A514,2))&gt;=1,VALUE(LEFT(A514,2))&lt;=5),VALUE(LEFT(A514,2)),""),IF(AND(VALUE(LEFT(A514,1))&gt;=1,VALUE(LEFT(A514,1))&lt;=5),VALUE(LEFT(A514,1)),"")),""),"")</f>
        <v/>
      </c>
      <c r="N514" s="25">
        <f>IF(L514=1,IF(ISNUMBER(FIND("#"&amp;MID(H514,1,1)&amp;"#","#0#1#2#3#4#5#6#7#8#9#")),IF(ISNUMBER(FIND("#"&amp;MID(H514,2,1)&amp;"#","#0#1#2#3#4#5#6#7#8#9#")),IF(AND(VALUE(LEFT(H514,2))&gt;=1,VALUE(LEFT(H514,2))&lt;=5),VALUE(LEFT(H514,2)),""),IF(AND(VALUE(LEFT(H514,1))&gt;=1,VALUE(LEFT(H514,1))&lt;=5),VALUE(LEFT(H514,1)),"")),""),"")</f>
        <v/>
      </c>
      <c r="O514" s="25">
        <f>IF(AND(L514=1,B514&lt;&gt;""),SUBSTITUTE(SUBSTITUTE(SUBSTITUTE(SUBSTITUTE(SUBSTITUTE(SUBSTITUTE(SUBSTITUTE(SUBSTITUTE(SUBSTITUTE(SUBSTITUTE(SUBSTITUTE(SUBSTITUTE(LOWER(TRIM(B514)),"á","a"),"é","e"),"í","i"),"ó","o"),"ú","u"),"ü","u"),"ñ","n"),"à","a"),"è","e"),"ì","i"),"ò","o"),"ù","u"),"")</f>
        <v/>
      </c>
      <c r="P514" s="25">
        <f>IF(AND(L514=1,C514&lt;&gt;""),SUBSTITUTE(SUBSTITUTE(SUBSTITUTE(SUBSTITUTE(SUBSTITUTE(SUBSTITUTE(SUBSTITUTE(SUBSTITUTE(SUBSTITUTE(SUBSTITUTE(SUBSTITUTE(SUBSTITUTE(LOWER(TRIM(C514)),"á","a"),"é","e"),"í","i"),"ó","o"),"ú","u"),"ü","u"),"ñ","n"),"à","a"),"è","e"),"ì","i"),"ò","o"),"ù","u"),"")</f>
        <v/>
      </c>
      <c r="Q514" s="25">
        <f>IF(AND(L514=1,E514&lt;&gt;""),SUBSTITUTE(SUBSTITUTE(SUBSTITUTE(SUBSTITUTE(SUBSTITUTE(SUBSTITUTE(SUBSTITUTE(SUBSTITUTE(SUBSTITUTE(SUBSTITUTE(SUBSTITUTE(SUBSTITUTE(LOWER(TRIM(E514)),"á","a"),"é","e"),"í","i"),"ó","o"),"ú","u"),"ü","u"),"ñ","n"),"à","a"),"è","e"),"ì","i"),"ò","o"),"ù","u"),"")</f>
        <v/>
      </c>
      <c r="R514" s="25">
        <f>IF(AND(L514=1,I514&lt;&gt;""),SUBSTITUTE(SUBSTITUTE(SUBSTITUTE(SUBSTITUTE(SUBSTITUTE(SUBSTITUTE(SUBSTITUTE(SUBSTITUTE(SUBSTITUTE(SUBSTITUTE(SUBSTITUTE(SUBSTITUTE(LOWER(TRIM(I514)),"á","a"),"é","e"),"í","i"),"ó","o"),"ú","u"),"ü","u"),"ñ","n"),"à","a"),"è","e"),"ì","i"),"ò","o"),"ù","u"),"")</f>
        <v/>
      </c>
      <c r="S514" s="25">
        <f>IF(R514="","",IF(OR(R514="si",R514="tal vez"),1,0))</f>
        <v/>
      </c>
      <c r="T514" s="25">
        <f>IF(AND(L514=1,D514&lt;&gt;""),IF(IFERROR(COUNTIFS(D$3:D514,"="&amp;SUBSTITUTE(SUBSTITUTE(SUBSTITUTE(D514,"~","~~"),"*","~*"),"?","~?"),L$3:L514,1),0)=1,MAX(T$2:T513)+1,""),"")</f>
        <v/>
      </c>
      <c r="U514" s="25">
        <f>IF(T514="","",COUNTIFS($D$3:$D$1002,"="&amp;SUBSTITUTE(SUBSTITUTE(SUBSTITUTE(D514,"~","~~"),"*","~*"),"?","~?"),$L$3:$L$1002,1)*10000-T514)</f>
        <v/>
      </c>
      <c r="V514" s="25">
        <f>IF(AND(L514=1,J514&lt;&gt;""),IF(IFERROR(COUNTIFS(J$3:J514,"="&amp;SUBSTITUTE(SUBSTITUTE(SUBSTITUTE(J514,"~","~~"),"*","~*"),"?","~?"),L$3:L514,1),0)=1,MAX(V$2:V513)+1,""),"")</f>
        <v/>
      </c>
      <c r="W514" s="25">
        <f>IF(V514="","",COUNTIFS($J$3:$J$1002,"="&amp;SUBSTITUTE(SUBSTITUTE(SUBSTITUTE(J514,"~","~~"),"*","~*"),"?","~?"),$L$3:$L$1002,1)*10000-V514)</f>
        <v/>
      </c>
    </row>
    <row r="515">
      <c r="A515">
        <f>IF(A$2=0,"",IFERROR(TRIM(INDEX('Pegar estudiantes'!$A$1:$BZ$1001,514,A$2)&amp;""),""))</f>
        <v/>
      </c>
      <c r="B515">
        <f>IF(B$2=0,"",IFERROR(TRIM(INDEX('Pegar estudiantes'!$A$1:$BZ$1001,514,B$2)&amp;""),""))</f>
        <v/>
      </c>
      <c r="C515">
        <f>IF(C$2=0,"",IFERROR(TRIM(INDEX('Pegar estudiantes'!$A$1:$BZ$1001,514,C$2)&amp;""),""))</f>
        <v/>
      </c>
      <c r="D515">
        <f>IF(D$2=0,"",IFERROR(TRIM(INDEX('Pegar estudiantes'!$A$1:$BZ$1001,514,D$2)&amp;""),""))</f>
        <v/>
      </c>
      <c r="E515">
        <f>IF(E$2=0,"",IFERROR(TRIM(INDEX('Pegar estudiantes'!$A$1:$BZ$1001,514,E$2)&amp;""),""))</f>
        <v/>
      </c>
      <c r="F515">
        <f>IF(F$2=0,"",IFERROR(TRIM(INDEX('Pegar estudiantes'!$A$1:$BZ$1001,514,F$2)&amp;""),""))</f>
        <v/>
      </c>
      <c r="G515">
        <f>IF(G$2=0,"",IFERROR(TRIM(INDEX('Pegar estudiantes'!$A$1:$BZ$1001,514,G$2)&amp;""),""))</f>
        <v/>
      </c>
      <c r="H515">
        <f>IF(H$2=0,"",IFERROR(TRIM(INDEX('Pegar estudiantes'!$A$1:$BZ$1001,514,H$2)&amp;""),""))</f>
        <v/>
      </c>
      <c r="I515">
        <f>IF(I$2=0,"",IFERROR(TRIM(INDEX('Pegar estudiantes'!$A$1:$BZ$1001,514,I$2)&amp;""),""))</f>
        <v/>
      </c>
      <c r="J515">
        <f>IF(J$2=0,"",IFERROR(TRIM(INDEX('Pegar estudiantes'!$A$1:$BZ$1001,514,J$2)&amp;""),""))</f>
        <v/>
      </c>
      <c r="K515">
        <f>IF(K$2=0,"",IFERROR(TRIM(INDEX('Pegar estudiantes'!$A$1:$BZ$1001,514,K$2)&amp;""),""))</f>
        <v/>
      </c>
      <c r="L515" s="25">
        <f>IF(A515&lt;&gt;"",1,"")</f>
        <v/>
      </c>
      <c r="M515" s="25">
        <f>IF(L515=1,IF(ISNUMBER(FIND("#"&amp;MID(A515,1,1)&amp;"#","#0#1#2#3#4#5#6#7#8#9#")),IF(ISNUMBER(FIND("#"&amp;MID(A515,2,1)&amp;"#","#0#1#2#3#4#5#6#7#8#9#")),IF(AND(VALUE(LEFT(A515,2))&gt;=1,VALUE(LEFT(A515,2))&lt;=5),VALUE(LEFT(A515,2)),""),IF(AND(VALUE(LEFT(A515,1))&gt;=1,VALUE(LEFT(A515,1))&lt;=5),VALUE(LEFT(A515,1)),"")),""),"")</f>
        <v/>
      </c>
      <c r="N515" s="25">
        <f>IF(L515=1,IF(ISNUMBER(FIND("#"&amp;MID(H515,1,1)&amp;"#","#0#1#2#3#4#5#6#7#8#9#")),IF(ISNUMBER(FIND("#"&amp;MID(H515,2,1)&amp;"#","#0#1#2#3#4#5#6#7#8#9#")),IF(AND(VALUE(LEFT(H515,2))&gt;=1,VALUE(LEFT(H515,2))&lt;=5),VALUE(LEFT(H515,2)),""),IF(AND(VALUE(LEFT(H515,1))&gt;=1,VALUE(LEFT(H515,1))&lt;=5),VALUE(LEFT(H515,1)),"")),""),"")</f>
        <v/>
      </c>
      <c r="O515" s="25">
        <f>IF(AND(L515=1,B515&lt;&gt;""),SUBSTITUTE(SUBSTITUTE(SUBSTITUTE(SUBSTITUTE(SUBSTITUTE(SUBSTITUTE(SUBSTITUTE(SUBSTITUTE(SUBSTITUTE(SUBSTITUTE(SUBSTITUTE(SUBSTITUTE(LOWER(TRIM(B515)),"á","a"),"é","e"),"í","i"),"ó","o"),"ú","u"),"ü","u"),"ñ","n"),"à","a"),"è","e"),"ì","i"),"ò","o"),"ù","u"),"")</f>
        <v/>
      </c>
      <c r="P515" s="25">
        <f>IF(AND(L515=1,C515&lt;&gt;""),SUBSTITUTE(SUBSTITUTE(SUBSTITUTE(SUBSTITUTE(SUBSTITUTE(SUBSTITUTE(SUBSTITUTE(SUBSTITUTE(SUBSTITUTE(SUBSTITUTE(SUBSTITUTE(SUBSTITUTE(LOWER(TRIM(C515)),"á","a"),"é","e"),"í","i"),"ó","o"),"ú","u"),"ü","u"),"ñ","n"),"à","a"),"è","e"),"ì","i"),"ò","o"),"ù","u"),"")</f>
        <v/>
      </c>
      <c r="Q515" s="25">
        <f>IF(AND(L515=1,E515&lt;&gt;""),SUBSTITUTE(SUBSTITUTE(SUBSTITUTE(SUBSTITUTE(SUBSTITUTE(SUBSTITUTE(SUBSTITUTE(SUBSTITUTE(SUBSTITUTE(SUBSTITUTE(SUBSTITUTE(SUBSTITUTE(LOWER(TRIM(E515)),"á","a"),"é","e"),"í","i"),"ó","o"),"ú","u"),"ü","u"),"ñ","n"),"à","a"),"è","e"),"ì","i"),"ò","o"),"ù","u"),"")</f>
        <v/>
      </c>
      <c r="R515" s="25">
        <f>IF(AND(L515=1,I515&lt;&gt;""),SUBSTITUTE(SUBSTITUTE(SUBSTITUTE(SUBSTITUTE(SUBSTITUTE(SUBSTITUTE(SUBSTITUTE(SUBSTITUTE(SUBSTITUTE(SUBSTITUTE(SUBSTITUTE(SUBSTITUTE(LOWER(TRIM(I515)),"á","a"),"é","e"),"í","i"),"ó","o"),"ú","u"),"ü","u"),"ñ","n"),"à","a"),"è","e"),"ì","i"),"ò","o"),"ù","u"),"")</f>
        <v/>
      </c>
      <c r="S515" s="25">
        <f>IF(R515="","",IF(OR(R515="si",R515="tal vez"),1,0))</f>
        <v/>
      </c>
      <c r="T515" s="25">
        <f>IF(AND(L515=1,D515&lt;&gt;""),IF(IFERROR(COUNTIFS(D$3:D515,"="&amp;SUBSTITUTE(SUBSTITUTE(SUBSTITUTE(D515,"~","~~"),"*","~*"),"?","~?"),L$3:L515,1),0)=1,MAX(T$2:T514)+1,""),"")</f>
        <v/>
      </c>
      <c r="U515" s="25">
        <f>IF(T515="","",COUNTIFS($D$3:$D$1002,"="&amp;SUBSTITUTE(SUBSTITUTE(SUBSTITUTE(D515,"~","~~"),"*","~*"),"?","~?"),$L$3:$L$1002,1)*10000-T515)</f>
        <v/>
      </c>
      <c r="V515" s="25">
        <f>IF(AND(L515=1,J515&lt;&gt;""),IF(IFERROR(COUNTIFS(J$3:J515,"="&amp;SUBSTITUTE(SUBSTITUTE(SUBSTITUTE(J515,"~","~~"),"*","~*"),"?","~?"),L$3:L515,1),0)=1,MAX(V$2:V514)+1,""),"")</f>
        <v/>
      </c>
      <c r="W515" s="25">
        <f>IF(V515="","",COUNTIFS($J$3:$J$1002,"="&amp;SUBSTITUTE(SUBSTITUTE(SUBSTITUTE(J515,"~","~~"),"*","~*"),"?","~?"),$L$3:$L$1002,1)*10000-V515)</f>
        <v/>
      </c>
    </row>
    <row r="516">
      <c r="A516">
        <f>IF(A$2=0,"",IFERROR(TRIM(INDEX('Pegar estudiantes'!$A$1:$BZ$1001,515,A$2)&amp;""),""))</f>
        <v/>
      </c>
      <c r="B516">
        <f>IF(B$2=0,"",IFERROR(TRIM(INDEX('Pegar estudiantes'!$A$1:$BZ$1001,515,B$2)&amp;""),""))</f>
        <v/>
      </c>
      <c r="C516">
        <f>IF(C$2=0,"",IFERROR(TRIM(INDEX('Pegar estudiantes'!$A$1:$BZ$1001,515,C$2)&amp;""),""))</f>
        <v/>
      </c>
      <c r="D516">
        <f>IF(D$2=0,"",IFERROR(TRIM(INDEX('Pegar estudiantes'!$A$1:$BZ$1001,515,D$2)&amp;""),""))</f>
        <v/>
      </c>
      <c r="E516">
        <f>IF(E$2=0,"",IFERROR(TRIM(INDEX('Pegar estudiantes'!$A$1:$BZ$1001,515,E$2)&amp;""),""))</f>
        <v/>
      </c>
      <c r="F516">
        <f>IF(F$2=0,"",IFERROR(TRIM(INDEX('Pegar estudiantes'!$A$1:$BZ$1001,515,F$2)&amp;""),""))</f>
        <v/>
      </c>
      <c r="G516">
        <f>IF(G$2=0,"",IFERROR(TRIM(INDEX('Pegar estudiantes'!$A$1:$BZ$1001,515,G$2)&amp;""),""))</f>
        <v/>
      </c>
      <c r="H516">
        <f>IF(H$2=0,"",IFERROR(TRIM(INDEX('Pegar estudiantes'!$A$1:$BZ$1001,515,H$2)&amp;""),""))</f>
        <v/>
      </c>
      <c r="I516">
        <f>IF(I$2=0,"",IFERROR(TRIM(INDEX('Pegar estudiantes'!$A$1:$BZ$1001,515,I$2)&amp;""),""))</f>
        <v/>
      </c>
      <c r="J516">
        <f>IF(J$2=0,"",IFERROR(TRIM(INDEX('Pegar estudiantes'!$A$1:$BZ$1001,515,J$2)&amp;""),""))</f>
        <v/>
      </c>
      <c r="K516">
        <f>IF(K$2=0,"",IFERROR(TRIM(INDEX('Pegar estudiantes'!$A$1:$BZ$1001,515,K$2)&amp;""),""))</f>
        <v/>
      </c>
      <c r="L516" s="25">
        <f>IF(A516&lt;&gt;"",1,"")</f>
        <v/>
      </c>
      <c r="M516" s="25">
        <f>IF(L516=1,IF(ISNUMBER(FIND("#"&amp;MID(A516,1,1)&amp;"#","#0#1#2#3#4#5#6#7#8#9#")),IF(ISNUMBER(FIND("#"&amp;MID(A516,2,1)&amp;"#","#0#1#2#3#4#5#6#7#8#9#")),IF(AND(VALUE(LEFT(A516,2))&gt;=1,VALUE(LEFT(A516,2))&lt;=5),VALUE(LEFT(A516,2)),""),IF(AND(VALUE(LEFT(A516,1))&gt;=1,VALUE(LEFT(A516,1))&lt;=5),VALUE(LEFT(A516,1)),"")),""),"")</f>
        <v/>
      </c>
      <c r="N516" s="25">
        <f>IF(L516=1,IF(ISNUMBER(FIND("#"&amp;MID(H516,1,1)&amp;"#","#0#1#2#3#4#5#6#7#8#9#")),IF(ISNUMBER(FIND("#"&amp;MID(H516,2,1)&amp;"#","#0#1#2#3#4#5#6#7#8#9#")),IF(AND(VALUE(LEFT(H516,2))&gt;=1,VALUE(LEFT(H516,2))&lt;=5),VALUE(LEFT(H516,2)),""),IF(AND(VALUE(LEFT(H516,1))&gt;=1,VALUE(LEFT(H516,1))&lt;=5),VALUE(LEFT(H516,1)),"")),""),"")</f>
        <v/>
      </c>
      <c r="O516" s="25">
        <f>IF(AND(L516=1,B516&lt;&gt;""),SUBSTITUTE(SUBSTITUTE(SUBSTITUTE(SUBSTITUTE(SUBSTITUTE(SUBSTITUTE(SUBSTITUTE(SUBSTITUTE(SUBSTITUTE(SUBSTITUTE(SUBSTITUTE(SUBSTITUTE(LOWER(TRIM(B516)),"á","a"),"é","e"),"í","i"),"ó","o"),"ú","u"),"ü","u"),"ñ","n"),"à","a"),"è","e"),"ì","i"),"ò","o"),"ù","u"),"")</f>
        <v/>
      </c>
      <c r="P516" s="25">
        <f>IF(AND(L516=1,C516&lt;&gt;""),SUBSTITUTE(SUBSTITUTE(SUBSTITUTE(SUBSTITUTE(SUBSTITUTE(SUBSTITUTE(SUBSTITUTE(SUBSTITUTE(SUBSTITUTE(SUBSTITUTE(SUBSTITUTE(SUBSTITUTE(LOWER(TRIM(C516)),"á","a"),"é","e"),"í","i"),"ó","o"),"ú","u"),"ü","u"),"ñ","n"),"à","a"),"è","e"),"ì","i"),"ò","o"),"ù","u"),"")</f>
        <v/>
      </c>
      <c r="Q516" s="25">
        <f>IF(AND(L516=1,E516&lt;&gt;""),SUBSTITUTE(SUBSTITUTE(SUBSTITUTE(SUBSTITUTE(SUBSTITUTE(SUBSTITUTE(SUBSTITUTE(SUBSTITUTE(SUBSTITUTE(SUBSTITUTE(SUBSTITUTE(SUBSTITUTE(LOWER(TRIM(E516)),"á","a"),"é","e"),"í","i"),"ó","o"),"ú","u"),"ü","u"),"ñ","n"),"à","a"),"è","e"),"ì","i"),"ò","o"),"ù","u"),"")</f>
        <v/>
      </c>
      <c r="R516" s="25">
        <f>IF(AND(L516=1,I516&lt;&gt;""),SUBSTITUTE(SUBSTITUTE(SUBSTITUTE(SUBSTITUTE(SUBSTITUTE(SUBSTITUTE(SUBSTITUTE(SUBSTITUTE(SUBSTITUTE(SUBSTITUTE(SUBSTITUTE(SUBSTITUTE(LOWER(TRIM(I516)),"á","a"),"é","e"),"í","i"),"ó","o"),"ú","u"),"ü","u"),"ñ","n"),"à","a"),"è","e"),"ì","i"),"ò","o"),"ù","u"),"")</f>
        <v/>
      </c>
      <c r="S516" s="25">
        <f>IF(R516="","",IF(OR(R516="si",R516="tal vez"),1,0))</f>
        <v/>
      </c>
      <c r="T516" s="25">
        <f>IF(AND(L516=1,D516&lt;&gt;""),IF(IFERROR(COUNTIFS(D$3:D516,"="&amp;SUBSTITUTE(SUBSTITUTE(SUBSTITUTE(D516,"~","~~"),"*","~*"),"?","~?"),L$3:L516,1),0)=1,MAX(T$2:T515)+1,""),"")</f>
        <v/>
      </c>
      <c r="U516" s="25">
        <f>IF(T516="","",COUNTIFS($D$3:$D$1002,"="&amp;SUBSTITUTE(SUBSTITUTE(SUBSTITUTE(D516,"~","~~"),"*","~*"),"?","~?"),$L$3:$L$1002,1)*10000-T516)</f>
        <v/>
      </c>
      <c r="V516" s="25">
        <f>IF(AND(L516=1,J516&lt;&gt;""),IF(IFERROR(COUNTIFS(J$3:J516,"="&amp;SUBSTITUTE(SUBSTITUTE(SUBSTITUTE(J516,"~","~~"),"*","~*"),"?","~?"),L$3:L516,1),0)=1,MAX(V$2:V515)+1,""),"")</f>
        <v/>
      </c>
      <c r="W516" s="25">
        <f>IF(V516="","",COUNTIFS($J$3:$J$1002,"="&amp;SUBSTITUTE(SUBSTITUTE(SUBSTITUTE(J516,"~","~~"),"*","~*"),"?","~?"),$L$3:$L$1002,1)*10000-V516)</f>
        <v/>
      </c>
    </row>
    <row r="517">
      <c r="A517">
        <f>IF(A$2=0,"",IFERROR(TRIM(INDEX('Pegar estudiantes'!$A$1:$BZ$1001,516,A$2)&amp;""),""))</f>
        <v/>
      </c>
      <c r="B517">
        <f>IF(B$2=0,"",IFERROR(TRIM(INDEX('Pegar estudiantes'!$A$1:$BZ$1001,516,B$2)&amp;""),""))</f>
        <v/>
      </c>
      <c r="C517">
        <f>IF(C$2=0,"",IFERROR(TRIM(INDEX('Pegar estudiantes'!$A$1:$BZ$1001,516,C$2)&amp;""),""))</f>
        <v/>
      </c>
      <c r="D517">
        <f>IF(D$2=0,"",IFERROR(TRIM(INDEX('Pegar estudiantes'!$A$1:$BZ$1001,516,D$2)&amp;""),""))</f>
        <v/>
      </c>
      <c r="E517">
        <f>IF(E$2=0,"",IFERROR(TRIM(INDEX('Pegar estudiantes'!$A$1:$BZ$1001,516,E$2)&amp;""),""))</f>
        <v/>
      </c>
      <c r="F517">
        <f>IF(F$2=0,"",IFERROR(TRIM(INDEX('Pegar estudiantes'!$A$1:$BZ$1001,516,F$2)&amp;""),""))</f>
        <v/>
      </c>
      <c r="G517">
        <f>IF(G$2=0,"",IFERROR(TRIM(INDEX('Pegar estudiantes'!$A$1:$BZ$1001,516,G$2)&amp;""),""))</f>
        <v/>
      </c>
      <c r="H517">
        <f>IF(H$2=0,"",IFERROR(TRIM(INDEX('Pegar estudiantes'!$A$1:$BZ$1001,516,H$2)&amp;""),""))</f>
        <v/>
      </c>
      <c r="I517">
        <f>IF(I$2=0,"",IFERROR(TRIM(INDEX('Pegar estudiantes'!$A$1:$BZ$1001,516,I$2)&amp;""),""))</f>
        <v/>
      </c>
      <c r="J517">
        <f>IF(J$2=0,"",IFERROR(TRIM(INDEX('Pegar estudiantes'!$A$1:$BZ$1001,516,J$2)&amp;""),""))</f>
        <v/>
      </c>
      <c r="K517">
        <f>IF(K$2=0,"",IFERROR(TRIM(INDEX('Pegar estudiantes'!$A$1:$BZ$1001,516,K$2)&amp;""),""))</f>
        <v/>
      </c>
      <c r="L517" s="25">
        <f>IF(A517&lt;&gt;"",1,"")</f>
        <v/>
      </c>
      <c r="M517" s="25">
        <f>IF(L517=1,IF(ISNUMBER(FIND("#"&amp;MID(A517,1,1)&amp;"#","#0#1#2#3#4#5#6#7#8#9#")),IF(ISNUMBER(FIND("#"&amp;MID(A517,2,1)&amp;"#","#0#1#2#3#4#5#6#7#8#9#")),IF(AND(VALUE(LEFT(A517,2))&gt;=1,VALUE(LEFT(A517,2))&lt;=5),VALUE(LEFT(A517,2)),""),IF(AND(VALUE(LEFT(A517,1))&gt;=1,VALUE(LEFT(A517,1))&lt;=5),VALUE(LEFT(A517,1)),"")),""),"")</f>
        <v/>
      </c>
      <c r="N517" s="25">
        <f>IF(L517=1,IF(ISNUMBER(FIND("#"&amp;MID(H517,1,1)&amp;"#","#0#1#2#3#4#5#6#7#8#9#")),IF(ISNUMBER(FIND("#"&amp;MID(H517,2,1)&amp;"#","#0#1#2#3#4#5#6#7#8#9#")),IF(AND(VALUE(LEFT(H517,2))&gt;=1,VALUE(LEFT(H517,2))&lt;=5),VALUE(LEFT(H517,2)),""),IF(AND(VALUE(LEFT(H517,1))&gt;=1,VALUE(LEFT(H517,1))&lt;=5),VALUE(LEFT(H517,1)),"")),""),"")</f>
        <v/>
      </c>
      <c r="O517" s="25">
        <f>IF(AND(L517=1,B517&lt;&gt;""),SUBSTITUTE(SUBSTITUTE(SUBSTITUTE(SUBSTITUTE(SUBSTITUTE(SUBSTITUTE(SUBSTITUTE(SUBSTITUTE(SUBSTITUTE(SUBSTITUTE(SUBSTITUTE(SUBSTITUTE(LOWER(TRIM(B517)),"á","a"),"é","e"),"í","i"),"ó","o"),"ú","u"),"ü","u"),"ñ","n"),"à","a"),"è","e"),"ì","i"),"ò","o"),"ù","u"),"")</f>
        <v/>
      </c>
      <c r="P517" s="25">
        <f>IF(AND(L517=1,C517&lt;&gt;""),SUBSTITUTE(SUBSTITUTE(SUBSTITUTE(SUBSTITUTE(SUBSTITUTE(SUBSTITUTE(SUBSTITUTE(SUBSTITUTE(SUBSTITUTE(SUBSTITUTE(SUBSTITUTE(SUBSTITUTE(LOWER(TRIM(C517)),"á","a"),"é","e"),"í","i"),"ó","o"),"ú","u"),"ü","u"),"ñ","n"),"à","a"),"è","e"),"ì","i"),"ò","o"),"ù","u"),"")</f>
        <v/>
      </c>
      <c r="Q517" s="25">
        <f>IF(AND(L517=1,E517&lt;&gt;""),SUBSTITUTE(SUBSTITUTE(SUBSTITUTE(SUBSTITUTE(SUBSTITUTE(SUBSTITUTE(SUBSTITUTE(SUBSTITUTE(SUBSTITUTE(SUBSTITUTE(SUBSTITUTE(SUBSTITUTE(LOWER(TRIM(E517)),"á","a"),"é","e"),"í","i"),"ó","o"),"ú","u"),"ü","u"),"ñ","n"),"à","a"),"è","e"),"ì","i"),"ò","o"),"ù","u"),"")</f>
        <v/>
      </c>
      <c r="R517" s="25">
        <f>IF(AND(L517=1,I517&lt;&gt;""),SUBSTITUTE(SUBSTITUTE(SUBSTITUTE(SUBSTITUTE(SUBSTITUTE(SUBSTITUTE(SUBSTITUTE(SUBSTITUTE(SUBSTITUTE(SUBSTITUTE(SUBSTITUTE(SUBSTITUTE(LOWER(TRIM(I517)),"á","a"),"é","e"),"í","i"),"ó","o"),"ú","u"),"ü","u"),"ñ","n"),"à","a"),"è","e"),"ì","i"),"ò","o"),"ù","u"),"")</f>
        <v/>
      </c>
      <c r="S517" s="25">
        <f>IF(R517="","",IF(OR(R517="si",R517="tal vez"),1,0))</f>
        <v/>
      </c>
      <c r="T517" s="25">
        <f>IF(AND(L517=1,D517&lt;&gt;""),IF(IFERROR(COUNTIFS(D$3:D517,"="&amp;SUBSTITUTE(SUBSTITUTE(SUBSTITUTE(D517,"~","~~"),"*","~*"),"?","~?"),L$3:L517,1),0)=1,MAX(T$2:T516)+1,""),"")</f>
        <v/>
      </c>
      <c r="U517" s="25">
        <f>IF(T517="","",COUNTIFS($D$3:$D$1002,"="&amp;SUBSTITUTE(SUBSTITUTE(SUBSTITUTE(D517,"~","~~"),"*","~*"),"?","~?"),$L$3:$L$1002,1)*10000-T517)</f>
        <v/>
      </c>
      <c r="V517" s="25">
        <f>IF(AND(L517=1,J517&lt;&gt;""),IF(IFERROR(COUNTIFS(J$3:J517,"="&amp;SUBSTITUTE(SUBSTITUTE(SUBSTITUTE(J517,"~","~~"),"*","~*"),"?","~?"),L$3:L517,1),0)=1,MAX(V$2:V516)+1,""),"")</f>
        <v/>
      </c>
      <c r="W517" s="25">
        <f>IF(V517="","",COUNTIFS($J$3:$J$1002,"="&amp;SUBSTITUTE(SUBSTITUTE(SUBSTITUTE(J517,"~","~~"),"*","~*"),"?","~?"),$L$3:$L$1002,1)*10000-V517)</f>
        <v/>
      </c>
    </row>
    <row r="518">
      <c r="A518">
        <f>IF(A$2=0,"",IFERROR(TRIM(INDEX('Pegar estudiantes'!$A$1:$BZ$1001,517,A$2)&amp;""),""))</f>
        <v/>
      </c>
      <c r="B518">
        <f>IF(B$2=0,"",IFERROR(TRIM(INDEX('Pegar estudiantes'!$A$1:$BZ$1001,517,B$2)&amp;""),""))</f>
        <v/>
      </c>
      <c r="C518">
        <f>IF(C$2=0,"",IFERROR(TRIM(INDEX('Pegar estudiantes'!$A$1:$BZ$1001,517,C$2)&amp;""),""))</f>
        <v/>
      </c>
      <c r="D518">
        <f>IF(D$2=0,"",IFERROR(TRIM(INDEX('Pegar estudiantes'!$A$1:$BZ$1001,517,D$2)&amp;""),""))</f>
        <v/>
      </c>
      <c r="E518">
        <f>IF(E$2=0,"",IFERROR(TRIM(INDEX('Pegar estudiantes'!$A$1:$BZ$1001,517,E$2)&amp;""),""))</f>
        <v/>
      </c>
      <c r="F518">
        <f>IF(F$2=0,"",IFERROR(TRIM(INDEX('Pegar estudiantes'!$A$1:$BZ$1001,517,F$2)&amp;""),""))</f>
        <v/>
      </c>
      <c r="G518">
        <f>IF(G$2=0,"",IFERROR(TRIM(INDEX('Pegar estudiantes'!$A$1:$BZ$1001,517,G$2)&amp;""),""))</f>
        <v/>
      </c>
      <c r="H518">
        <f>IF(H$2=0,"",IFERROR(TRIM(INDEX('Pegar estudiantes'!$A$1:$BZ$1001,517,H$2)&amp;""),""))</f>
        <v/>
      </c>
      <c r="I518">
        <f>IF(I$2=0,"",IFERROR(TRIM(INDEX('Pegar estudiantes'!$A$1:$BZ$1001,517,I$2)&amp;""),""))</f>
        <v/>
      </c>
      <c r="J518">
        <f>IF(J$2=0,"",IFERROR(TRIM(INDEX('Pegar estudiantes'!$A$1:$BZ$1001,517,J$2)&amp;""),""))</f>
        <v/>
      </c>
      <c r="K518">
        <f>IF(K$2=0,"",IFERROR(TRIM(INDEX('Pegar estudiantes'!$A$1:$BZ$1001,517,K$2)&amp;""),""))</f>
        <v/>
      </c>
      <c r="L518" s="25">
        <f>IF(A518&lt;&gt;"",1,"")</f>
        <v/>
      </c>
      <c r="M518" s="25">
        <f>IF(L518=1,IF(ISNUMBER(FIND("#"&amp;MID(A518,1,1)&amp;"#","#0#1#2#3#4#5#6#7#8#9#")),IF(ISNUMBER(FIND("#"&amp;MID(A518,2,1)&amp;"#","#0#1#2#3#4#5#6#7#8#9#")),IF(AND(VALUE(LEFT(A518,2))&gt;=1,VALUE(LEFT(A518,2))&lt;=5),VALUE(LEFT(A518,2)),""),IF(AND(VALUE(LEFT(A518,1))&gt;=1,VALUE(LEFT(A518,1))&lt;=5),VALUE(LEFT(A518,1)),"")),""),"")</f>
        <v/>
      </c>
      <c r="N518" s="25">
        <f>IF(L518=1,IF(ISNUMBER(FIND("#"&amp;MID(H518,1,1)&amp;"#","#0#1#2#3#4#5#6#7#8#9#")),IF(ISNUMBER(FIND("#"&amp;MID(H518,2,1)&amp;"#","#0#1#2#3#4#5#6#7#8#9#")),IF(AND(VALUE(LEFT(H518,2))&gt;=1,VALUE(LEFT(H518,2))&lt;=5),VALUE(LEFT(H518,2)),""),IF(AND(VALUE(LEFT(H518,1))&gt;=1,VALUE(LEFT(H518,1))&lt;=5),VALUE(LEFT(H518,1)),"")),""),"")</f>
        <v/>
      </c>
      <c r="O518" s="25">
        <f>IF(AND(L518=1,B518&lt;&gt;""),SUBSTITUTE(SUBSTITUTE(SUBSTITUTE(SUBSTITUTE(SUBSTITUTE(SUBSTITUTE(SUBSTITUTE(SUBSTITUTE(SUBSTITUTE(SUBSTITUTE(SUBSTITUTE(SUBSTITUTE(LOWER(TRIM(B518)),"á","a"),"é","e"),"í","i"),"ó","o"),"ú","u"),"ü","u"),"ñ","n"),"à","a"),"è","e"),"ì","i"),"ò","o"),"ù","u"),"")</f>
        <v/>
      </c>
      <c r="P518" s="25">
        <f>IF(AND(L518=1,C518&lt;&gt;""),SUBSTITUTE(SUBSTITUTE(SUBSTITUTE(SUBSTITUTE(SUBSTITUTE(SUBSTITUTE(SUBSTITUTE(SUBSTITUTE(SUBSTITUTE(SUBSTITUTE(SUBSTITUTE(SUBSTITUTE(LOWER(TRIM(C518)),"á","a"),"é","e"),"í","i"),"ó","o"),"ú","u"),"ü","u"),"ñ","n"),"à","a"),"è","e"),"ì","i"),"ò","o"),"ù","u"),"")</f>
        <v/>
      </c>
      <c r="Q518" s="25">
        <f>IF(AND(L518=1,E518&lt;&gt;""),SUBSTITUTE(SUBSTITUTE(SUBSTITUTE(SUBSTITUTE(SUBSTITUTE(SUBSTITUTE(SUBSTITUTE(SUBSTITUTE(SUBSTITUTE(SUBSTITUTE(SUBSTITUTE(SUBSTITUTE(LOWER(TRIM(E518)),"á","a"),"é","e"),"í","i"),"ó","o"),"ú","u"),"ü","u"),"ñ","n"),"à","a"),"è","e"),"ì","i"),"ò","o"),"ù","u"),"")</f>
        <v/>
      </c>
      <c r="R518" s="25">
        <f>IF(AND(L518=1,I518&lt;&gt;""),SUBSTITUTE(SUBSTITUTE(SUBSTITUTE(SUBSTITUTE(SUBSTITUTE(SUBSTITUTE(SUBSTITUTE(SUBSTITUTE(SUBSTITUTE(SUBSTITUTE(SUBSTITUTE(SUBSTITUTE(LOWER(TRIM(I518)),"á","a"),"é","e"),"í","i"),"ó","o"),"ú","u"),"ü","u"),"ñ","n"),"à","a"),"è","e"),"ì","i"),"ò","o"),"ù","u"),"")</f>
        <v/>
      </c>
      <c r="S518" s="25">
        <f>IF(R518="","",IF(OR(R518="si",R518="tal vez"),1,0))</f>
        <v/>
      </c>
      <c r="T518" s="25">
        <f>IF(AND(L518=1,D518&lt;&gt;""),IF(IFERROR(COUNTIFS(D$3:D518,"="&amp;SUBSTITUTE(SUBSTITUTE(SUBSTITUTE(D518,"~","~~"),"*","~*"),"?","~?"),L$3:L518,1),0)=1,MAX(T$2:T517)+1,""),"")</f>
        <v/>
      </c>
      <c r="U518" s="25">
        <f>IF(T518="","",COUNTIFS($D$3:$D$1002,"="&amp;SUBSTITUTE(SUBSTITUTE(SUBSTITUTE(D518,"~","~~"),"*","~*"),"?","~?"),$L$3:$L$1002,1)*10000-T518)</f>
        <v/>
      </c>
      <c r="V518" s="25">
        <f>IF(AND(L518=1,J518&lt;&gt;""),IF(IFERROR(COUNTIFS(J$3:J518,"="&amp;SUBSTITUTE(SUBSTITUTE(SUBSTITUTE(J518,"~","~~"),"*","~*"),"?","~?"),L$3:L518,1),0)=1,MAX(V$2:V517)+1,""),"")</f>
        <v/>
      </c>
      <c r="W518" s="25">
        <f>IF(V518="","",COUNTIFS($J$3:$J$1002,"="&amp;SUBSTITUTE(SUBSTITUTE(SUBSTITUTE(J518,"~","~~"),"*","~*"),"?","~?"),$L$3:$L$1002,1)*10000-V518)</f>
        <v/>
      </c>
    </row>
    <row r="519">
      <c r="A519">
        <f>IF(A$2=0,"",IFERROR(TRIM(INDEX('Pegar estudiantes'!$A$1:$BZ$1001,518,A$2)&amp;""),""))</f>
        <v/>
      </c>
      <c r="B519">
        <f>IF(B$2=0,"",IFERROR(TRIM(INDEX('Pegar estudiantes'!$A$1:$BZ$1001,518,B$2)&amp;""),""))</f>
        <v/>
      </c>
      <c r="C519">
        <f>IF(C$2=0,"",IFERROR(TRIM(INDEX('Pegar estudiantes'!$A$1:$BZ$1001,518,C$2)&amp;""),""))</f>
        <v/>
      </c>
      <c r="D519">
        <f>IF(D$2=0,"",IFERROR(TRIM(INDEX('Pegar estudiantes'!$A$1:$BZ$1001,518,D$2)&amp;""),""))</f>
        <v/>
      </c>
      <c r="E519">
        <f>IF(E$2=0,"",IFERROR(TRIM(INDEX('Pegar estudiantes'!$A$1:$BZ$1001,518,E$2)&amp;""),""))</f>
        <v/>
      </c>
      <c r="F519">
        <f>IF(F$2=0,"",IFERROR(TRIM(INDEX('Pegar estudiantes'!$A$1:$BZ$1001,518,F$2)&amp;""),""))</f>
        <v/>
      </c>
      <c r="G519">
        <f>IF(G$2=0,"",IFERROR(TRIM(INDEX('Pegar estudiantes'!$A$1:$BZ$1001,518,G$2)&amp;""),""))</f>
        <v/>
      </c>
      <c r="H519">
        <f>IF(H$2=0,"",IFERROR(TRIM(INDEX('Pegar estudiantes'!$A$1:$BZ$1001,518,H$2)&amp;""),""))</f>
        <v/>
      </c>
      <c r="I519">
        <f>IF(I$2=0,"",IFERROR(TRIM(INDEX('Pegar estudiantes'!$A$1:$BZ$1001,518,I$2)&amp;""),""))</f>
        <v/>
      </c>
      <c r="J519">
        <f>IF(J$2=0,"",IFERROR(TRIM(INDEX('Pegar estudiantes'!$A$1:$BZ$1001,518,J$2)&amp;""),""))</f>
        <v/>
      </c>
      <c r="K519">
        <f>IF(K$2=0,"",IFERROR(TRIM(INDEX('Pegar estudiantes'!$A$1:$BZ$1001,518,K$2)&amp;""),""))</f>
        <v/>
      </c>
      <c r="L519" s="25">
        <f>IF(A519&lt;&gt;"",1,"")</f>
        <v/>
      </c>
      <c r="M519" s="25">
        <f>IF(L519=1,IF(ISNUMBER(FIND("#"&amp;MID(A519,1,1)&amp;"#","#0#1#2#3#4#5#6#7#8#9#")),IF(ISNUMBER(FIND("#"&amp;MID(A519,2,1)&amp;"#","#0#1#2#3#4#5#6#7#8#9#")),IF(AND(VALUE(LEFT(A519,2))&gt;=1,VALUE(LEFT(A519,2))&lt;=5),VALUE(LEFT(A519,2)),""),IF(AND(VALUE(LEFT(A519,1))&gt;=1,VALUE(LEFT(A519,1))&lt;=5),VALUE(LEFT(A519,1)),"")),""),"")</f>
        <v/>
      </c>
      <c r="N519" s="25">
        <f>IF(L519=1,IF(ISNUMBER(FIND("#"&amp;MID(H519,1,1)&amp;"#","#0#1#2#3#4#5#6#7#8#9#")),IF(ISNUMBER(FIND("#"&amp;MID(H519,2,1)&amp;"#","#0#1#2#3#4#5#6#7#8#9#")),IF(AND(VALUE(LEFT(H519,2))&gt;=1,VALUE(LEFT(H519,2))&lt;=5),VALUE(LEFT(H519,2)),""),IF(AND(VALUE(LEFT(H519,1))&gt;=1,VALUE(LEFT(H519,1))&lt;=5),VALUE(LEFT(H519,1)),"")),""),"")</f>
        <v/>
      </c>
      <c r="O519" s="25">
        <f>IF(AND(L519=1,B519&lt;&gt;""),SUBSTITUTE(SUBSTITUTE(SUBSTITUTE(SUBSTITUTE(SUBSTITUTE(SUBSTITUTE(SUBSTITUTE(SUBSTITUTE(SUBSTITUTE(SUBSTITUTE(SUBSTITUTE(SUBSTITUTE(LOWER(TRIM(B519)),"á","a"),"é","e"),"í","i"),"ó","o"),"ú","u"),"ü","u"),"ñ","n"),"à","a"),"è","e"),"ì","i"),"ò","o"),"ù","u"),"")</f>
        <v/>
      </c>
      <c r="P519" s="25">
        <f>IF(AND(L519=1,C519&lt;&gt;""),SUBSTITUTE(SUBSTITUTE(SUBSTITUTE(SUBSTITUTE(SUBSTITUTE(SUBSTITUTE(SUBSTITUTE(SUBSTITUTE(SUBSTITUTE(SUBSTITUTE(SUBSTITUTE(SUBSTITUTE(LOWER(TRIM(C519)),"á","a"),"é","e"),"í","i"),"ó","o"),"ú","u"),"ü","u"),"ñ","n"),"à","a"),"è","e"),"ì","i"),"ò","o"),"ù","u"),"")</f>
        <v/>
      </c>
      <c r="Q519" s="25">
        <f>IF(AND(L519=1,E519&lt;&gt;""),SUBSTITUTE(SUBSTITUTE(SUBSTITUTE(SUBSTITUTE(SUBSTITUTE(SUBSTITUTE(SUBSTITUTE(SUBSTITUTE(SUBSTITUTE(SUBSTITUTE(SUBSTITUTE(SUBSTITUTE(LOWER(TRIM(E519)),"á","a"),"é","e"),"í","i"),"ó","o"),"ú","u"),"ü","u"),"ñ","n"),"à","a"),"è","e"),"ì","i"),"ò","o"),"ù","u"),"")</f>
        <v/>
      </c>
      <c r="R519" s="25">
        <f>IF(AND(L519=1,I519&lt;&gt;""),SUBSTITUTE(SUBSTITUTE(SUBSTITUTE(SUBSTITUTE(SUBSTITUTE(SUBSTITUTE(SUBSTITUTE(SUBSTITUTE(SUBSTITUTE(SUBSTITUTE(SUBSTITUTE(SUBSTITUTE(LOWER(TRIM(I519)),"á","a"),"é","e"),"í","i"),"ó","o"),"ú","u"),"ü","u"),"ñ","n"),"à","a"),"è","e"),"ì","i"),"ò","o"),"ù","u"),"")</f>
        <v/>
      </c>
      <c r="S519" s="25">
        <f>IF(R519="","",IF(OR(R519="si",R519="tal vez"),1,0))</f>
        <v/>
      </c>
      <c r="T519" s="25">
        <f>IF(AND(L519=1,D519&lt;&gt;""),IF(IFERROR(COUNTIFS(D$3:D519,"="&amp;SUBSTITUTE(SUBSTITUTE(SUBSTITUTE(D519,"~","~~"),"*","~*"),"?","~?"),L$3:L519,1),0)=1,MAX(T$2:T518)+1,""),"")</f>
        <v/>
      </c>
      <c r="U519" s="25">
        <f>IF(T519="","",COUNTIFS($D$3:$D$1002,"="&amp;SUBSTITUTE(SUBSTITUTE(SUBSTITUTE(D519,"~","~~"),"*","~*"),"?","~?"),$L$3:$L$1002,1)*10000-T519)</f>
        <v/>
      </c>
      <c r="V519" s="25">
        <f>IF(AND(L519=1,J519&lt;&gt;""),IF(IFERROR(COUNTIFS(J$3:J519,"="&amp;SUBSTITUTE(SUBSTITUTE(SUBSTITUTE(J519,"~","~~"),"*","~*"),"?","~?"),L$3:L519,1),0)=1,MAX(V$2:V518)+1,""),"")</f>
        <v/>
      </c>
      <c r="W519" s="25">
        <f>IF(V519="","",COUNTIFS($J$3:$J$1002,"="&amp;SUBSTITUTE(SUBSTITUTE(SUBSTITUTE(J519,"~","~~"),"*","~*"),"?","~?"),$L$3:$L$1002,1)*10000-V519)</f>
        <v/>
      </c>
    </row>
    <row r="520">
      <c r="A520">
        <f>IF(A$2=0,"",IFERROR(TRIM(INDEX('Pegar estudiantes'!$A$1:$BZ$1001,519,A$2)&amp;""),""))</f>
        <v/>
      </c>
      <c r="B520">
        <f>IF(B$2=0,"",IFERROR(TRIM(INDEX('Pegar estudiantes'!$A$1:$BZ$1001,519,B$2)&amp;""),""))</f>
        <v/>
      </c>
      <c r="C520">
        <f>IF(C$2=0,"",IFERROR(TRIM(INDEX('Pegar estudiantes'!$A$1:$BZ$1001,519,C$2)&amp;""),""))</f>
        <v/>
      </c>
      <c r="D520">
        <f>IF(D$2=0,"",IFERROR(TRIM(INDEX('Pegar estudiantes'!$A$1:$BZ$1001,519,D$2)&amp;""),""))</f>
        <v/>
      </c>
      <c r="E520">
        <f>IF(E$2=0,"",IFERROR(TRIM(INDEX('Pegar estudiantes'!$A$1:$BZ$1001,519,E$2)&amp;""),""))</f>
        <v/>
      </c>
      <c r="F520">
        <f>IF(F$2=0,"",IFERROR(TRIM(INDEX('Pegar estudiantes'!$A$1:$BZ$1001,519,F$2)&amp;""),""))</f>
        <v/>
      </c>
      <c r="G520">
        <f>IF(G$2=0,"",IFERROR(TRIM(INDEX('Pegar estudiantes'!$A$1:$BZ$1001,519,G$2)&amp;""),""))</f>
        <v/>
      </c>
      <c r="H520">
        <f>IF(H$2=0,"",IFERROR(TRIM(INDEX('Pegar estudiantes'!$A$1:$BZ$1001,519,H$2)&amp;""),""))</f>
        <v/>
      </c>
      <c r="I520">
        <f>IF(I$2=0,"",IFERROR(TRIM(INDEX('Pegar estudiantes'!$A$1:$BZ$1001,519,I$2)&amp;""),""))</f>
        <v/>
      </c>
      <c r="J520">
        <f>IF(J$2=0,"",IFERROR(TRIM(INDEX('Pegar estudiantes'!$A$1:$BZ$1001,519,J$2)&amp;""),""))</f>
        <v/>
      </c>
      <c r="K520">
        <f>IF(K$2=0,"",IFERROR(TRIM(INDEX('Pegar estudiantes'!$A$1:$BZ$1001,519,K$2)&amp;""),""))</f>
        <v/>
      </c>
      <c r="L520" s="25">
        <f>IF(A520&lt;&gt;"",1,"")</f>
        <v/>
      </c>
      <c r="M520" s="25">
        <f>IF(L520=1,IF(ISNUMBER(FIND("#"&amp;MID(A520,1,1)&amp;"#","#0#1#2#3#4#5#6#7#8#9#")),IF(ISNUMBER(FIND("#"&amp;MID(A520,2,1)&amp;"#","#0#1#2#3#4#5#6#7#8#9#")),IF(AND(VALUE(LEFT(A520,2))&gt;=1,VALUE(LEFT(A520,2))&lt;=5),VALUE(LEFT(A520,2)),""),IF(AND(VALUE(LEFT(A520,1))&gt;=1,VALUE(LEFT(A520,1))&lt;=5),VALUE(LEFT(A520,1)),"")),""),"")</f>
        <v/>
      </c>
      <c r="N520" s="25">
        <f>IF(L520=1,IF(ISNUMBER(FIND("#"&amp;MID(H520,1,1)&amp;"#","#0#1#2#3#4#5#6#7#8#9#")),IF(ISNUMBER(FIND("#"&amp;MID(H520,2,1)&amp;"#","#0#1#2#3#4#5#6#7#8#9#")),IF(AND(VALUE(LEFT(H520,2))&gt;=1,VALUE(LEFT(H520,2))&lt;=5),VALUE(LEFT(H520,2)),""),IF(AND(VALUE(LEFT(H520,1))&gt;=1,VALUE(LEFT(H520,1))&lt;=5),VALUE(LEFT(H520,1)),"")),""),"")</f>
        <v/>
      </c>
      <c r="O520" s="25">
        <f>IF(AND(L520=1,B520&lt;&gt;""),SUBSTITUTE(SUBSTITUTE(SUBSTITUTE(SUBSTITUTE(SUBSTITUTE(SUBSTITUTE(SUBSTITUTE(SUBSTITUTE(SUBSTITUTE(SUBSTITUTE(SUBSTITUTE(SUBSTITUTE(LOWER(TRIM(B520)),"á","a"),"é","e"),"í","i"),"ó","o"),"ú","u"),"ü","u"),"ñ","n"),"à","a"),"è","e"),"ì","i"),"ò","o"),"ù","u"),"")</f>
        <v/>
      </c>
      <c r="P520" s="25">
        <f>IF(AND(L520=1,C520&lt;&gt;""),SUBSTITUTE(SUBSTITUTE(SUBSTITUTE(SUBSTITUTE(SUBSTITUTE(SUBSTITUTE(SUBSTITUTE(SUBSTITUTE(SUBSTITUTE(SUBSTITUTE(SUBSTITUTE(SUBSTITUTE(LOWER(TRIM(C520)),"á","a"),"é","e"),"í","i"),"ó","o"),"ú","u"),"ü","u"),"ñ","n"),"à","a"),"è","e"),"ì","i"),"ò","o"),"ù","u"),"")</f>
        <v/>
      </c>
      <c r="Q520" s="25">
        <f>IF(AND(L520=1,E520&lt;&gt;""),SUBSTITUTE(SUBSTITUTE(SUBSTITUTE(SUBSTITUTE(SUBSTITUTE(SUBSTITUTE(SUBSTITUTE(SUBSTITUTE(SUBSTITUTE(SUBSTITUTE(SUBSTITUTE(SUBSTITUTE(LOWER(TRIM(E520)),"á","a"),"é","e"),"í","i"),"ó","o"),"ú","u"),"ü","u"),"ñ","n"),"à","a"),"è","e"),"ì","i"),"ò","o"),"ù","u"),"")</f>
        <v/>
      </c>
      <c r="R520" s="25">
        <f>IF(AND(L520=1,I520&lt;&gt;""),SUBSTITUTE(SUBSTITUTE(SUBSTITUTE(SUBSTITUTE(SUBSTITUTE(SUBSTITUTE(SUBSTITUTE(SUBSTITUTE(SUBSTITUTE(SUBSTITUTE(SUBSTITUTE(SUBSTITUTE(LOWER(TRIM(I520)),"á","a"),"é","e"),"í","i"),"ó","o"),"ú","u"),"ü","u"),"ñ","n"),"à","a"),"è","e"),"ì","i"),"ò","o"),"ù","u"),"")</f>
        <v/>
      </c>
      <c r="S520" s="25">
        <f>IF(R520="","",IF(OR(R520="si",R520="tal vez"),1,0))</f>
        <v/>
      </c>
      <c r="T520" s="25">
        <f>IF(AND(L520=1,D520&lt;&gt;""),IF(IFERROR(COUNTIFS(D$3:D520,"="&amp;SUBSTITUTE(SUBSTITUTE(SUBSTITUTE(D520,"~","~~"),"*","~*"),"?","~?"),L$3:L520,1),0)=1,MAX(T$2:T519)+1,""),"")</f>
        <v/>
      </c>
      <c r="U520" s="25">
        <f>IF(T520="","",COUNTIFS($D$3:$D$1002,"="&amp;SUBSTITUTE(SUBSTITUTE(SUBSTITUTE(D520,"~","~~"),"*","~*"),"?","~?"),$L$3:$L$1002,1)*10000-T520)</f>
        <v/>
      </c>
      <c r="V520" s="25">
        <f>IF(AND(L520=1,J520&lt;&gt;""),IF(IFERROR(COUNTIFS(J$3:J520,"="&amp;SUBSTITUTE(SUBSTITUTE(SUBSTITUTE(J520,"~","~~"),"*","~*"),"?","~?"),L$3:L520,1),0)=1,MAX(V$2:V519)+1,""),"")</f>
        <v/>
      </c>
      <c r="W520" s="25">
        <f>IF(V520="","",COUNTIFS($J$3:$J$1002,"="&amp;SUBSTITUTE(SUBSTITUTE(SUBSTITUTE(J520,"~","~~"),"*","~*"),"?","~?"),$L$3:$L$1002,1)*10000-V520)</f>
        <v/>
      </c>
    </row>
    <row r="521">
      <c r="A521">
        <f>IF(A$2=0,"",IFERROR(TRIM(INDEX('Pegar estudiantes'!$A$1:$BZ$1001,520,A$2)&amp;""),""))</f>
        <v/>
      </c>
      <c r="B521">
        <f>IF(B$2=0,"",IFERROR(TRIM(INDEX('Pegar estudiantes'!$A$1:$BZ$1001,520,B$2)&amp;""),""))</f>
        <v/>
      </c>
      <c r="C521">
        <f>IF(C$2=0,"",IFERROR(TRIM(INDEX('Pegar estudiantes'!$A$1:$BZ$1001,520,C$2)&amp;""),""))</f>
        <v/>
      </c>
      <c r="D521">
        <f>IF(D$2=0,"",IFERROR(TRIM(INDEX('Pegar estudiantes'!$A$1:$BZ$1001,520,D$2)&amp;""),""))</f>
        <v/>
      </c>
      <c r="E521">
        <f>IF(E$2=0,"",IFERROR(TRIM(INDEX('Pegar estudiantes'!$A$1:$BZ$1001,520,E$2)&amp;""),""))</f>
        <v/>
      </c>
      <c r="F521">
        <f>IF(F$2=0,"",IFERROR(TRIM(INDEX('Pegar estudiantes'!$A$1:$BZ$1001,520,F$2)&amp;""),""))</f>
        <v/>
      </c>
      <c r="G521">
        <f>IF(G$2=0,"",IFERROR(TRIM(INDEX('Pegar estudiantes'!$A$1:$BZ$1001,520,G$2)&amp;""),""))</f>
        <v/>
      </c>
      <c r="H521">
        <f>IF(H$2=0,"",IFERROR(TRIM(INDEX('Pegar estudiantes'!$A$1:$BZ$1001,520,H$2)&amp;""),""))</f>
        <v/>
      </c>
      <c r="I521">
        <f>IF(I$2=0,"",IFERROR(TRIM(INDEX('Pegar estudiantes'!$A$1:$BZ$1001,520,I$2)&amp;""),""))</f>
        <v/>
      </c>
      <c r="J521">
        <f>IF(J$2=0,"",IFERROR(TRIM(INDEX('Pegar estudiantes'!$A$1:$BZ$1001,520,J$2)&amp;""),""))</f>
        <v/>
      </c>
      <c r="K521">
        <f>IF(K$2=0,"",IFERROR(TRIM(INDEX('Pegar estudiantes'!$A$1:$BZ$1001,520,K$2)&amp;""),""))</f>
        <v/>
      </c>
      <c r="L521" s="25">
        <f>IF(A521&lt;&gt;"",1,"")</f>
        <v/>
      </c>
      <c r="M521" s="25">
        <f>IF(L521=1,IF(ISNUMBER(FIND("#"&amp;MID(A521,1,1)&amp;"#","#0#1#2#3#4#5#6#7#8#9#")),IF(ISNUMBER(FIND("#"&amp;MID(A521,2,1)&amp;"#","#0#1#2#3#4#5#6#7#8#9#")),IF(AND(VALUE(LEFT(A521,2))&gt;=1,VALUE(LEFT(A521,2))&lt;=5),VALUE(LEFT(A521,2)),""),IF(AND(VALUE(LEFT(A521,1))&gt;=1,VALUE(LEFT(A521,1))&lt;=5),VALUE(LEFT(A521,1)),"")),""),"")</f>
        <v/>
      </c>
      <c r="N521" s="25">
        <f>IF(L521=1,IF(ISNUMBER(FIND("#"&amp;MID(H521,1,1)&amp;"#","#0#1#2#3#4#5#6#7#8#9#")),IF(ISNUMBER(FIND("#"&amp;MID(H521,2,1)&amp;"#","#0#1#2#3#4#5#6#7#8#9#")),IF(AND(VALUE(LEFT(H521,2))&gt;=1,VALUE(LEFT(H521,2))&lt;=5),VALUE(LEFT(H521,2)),""),IF(AND(VALUE(LEFT(H521,1))&gt;=1,VALUE(LEFT(H521,1))&lt;=5),VALUE(LEFT(H521,1)),"")),""),"")</f>
        <v/>
      </c>
      <c r="O521" s="25">
        <f>IF(AND(L521=1,B521&lt;&gt;""),SUBSTITUTE(SUBSTITUTE(SUBSTITUTE(SUBSTITUTE(SUBSTITUTE(SUBSTITUTE(SUBSTITUTE(SUBSTITUTE(SUBSTITUTE(SUBSTITUTE(SUBSTITUTE(SUBSTITUTE(LOWER(TRIM(B521)),"á","a"),"é","e"),"í","i"),"ó","o"),"ú","u"),"ü","u"),"ñ","n"),"à","a"),"è","e"),"ì","i"),"ò","o"),"ù","u"),"")</f>
        <v/>
      </c>
      <c r="P521" s="25">
        <f>IF(AND(L521=1,C521&lt;&gt;""),SUBSTITUTE(SUBSTITUTE(SUBSTITUTE(SUBSTITUTE(SUBSTITUTE(SUBSTITUTE(SUBSTITUTE(SUBSTITUTE(SUBSTITUTE(SUBSTITUTE(SUBSTITUTE(SUBSTITUTE(LOWER(TRIM(C521)),"á","a"),"é","e"),"í","i"),"ó","o"),"ú","u"),"ü","u"),"ñ","n"),"à","a"),"è","e"),"ì","i"),"ò","o"),"ù","u"),"")</f>
        <v/>
      </c>
      <c r="Q521" s="25">
        <f>IF(AND(L521=1,E521&lt;&gt;""),SUBSTITUTE(SUBSTITUTE(SUBSTITUTE(SUBSTITUTE(SUBSTITUTE(SUBSTITUTE(SUBSTITUTE(SUBSTITUTE(SUBSTITUTE(SUBSTITUTE(SUBSTITUTE(SUBSTITUTE(LOWER(TRIM(E521)),"á","a"),"é","e"),"í","i"),"ó","o"),"ú","u"),"ü","u"),"ñ","n"),"à","a"),"è","e"),"ì","i"),"ò","o"),"ù","u"),"")</f>
        <v/>
      </c>
      <c r="R521" s="25">
        <f>IF(AND(L521=1,I521&lt;&gt;""),SUBSTITUTE(SUBSTITUTE(SUBSTITUTE(SUBSTITUTE(SUBSTITUTE(SUBSTITUTE(SUBSTITUTE(SUBSTITUTE(SUBSTITUTE(SUBSTITUTE(SUBSTITUTE(SUBSTITUTE(LOWER(TRIM(I521)),"á","a"),"é","e"),"í","i"),"ó","o"),"ú","u"),"ü","u"),"ñ","n"),"à","a"),"è","e"),"ì","i"),"ò","o"),"ù","u"),"")</f>
        <v/>
      </c>
      <c r="S521" s="25">
        <f>IF(R521="","",IF(OR(R521="si",R521="tal vez"),1,0))</f>
        <v/>
      </c>
      <c r="T521" s="25">
        <f>IF(AND(L521=1,D521&lt;&gt;""),IF(IFERROR(COUNTIFS(D$3:D521,"="&amp;SUBSTITUTE(SUBSTITUTE(SUBSTITUTE(D521,"~","~~"),"*","~*"),"?","~?"),L$3:L521,1),0)=1,MAX(T$2:T520)+1,""),"")</f>
        <v/>
      </c>
      <c r="U521" s="25">
        <f>IF(T521="","",COUNTIFS($D$3:$D$1002,"="&amp;SUBSTITUTE(SUBSTITUTE(SUBSTITUTE(D521,"~","~~"),"*","~*"),"?","~?"),$L$3:$L$1002,1)*10000-T521)</f>
        <v/>
      </c>
      <c r="V521" s="25">
        <f>IF(AND(L521=1,J521&lt;&gt;""),IF(IFERROR(COUNTIFS(J$3:J521,"="&amp;SUBSTITUTE(SUBSTITUTE(SUBSTITUTE(J521,"~","~~"),"*","~*"),"?","~?"),L$3:L521,1),0)=1,MAX(V$2:V520)+1,""),"")</f>
        <v/>
      </c>
      <c r="W521" s="25">
        <f>IF(V521="","",COUNTIFS($J$3:$J$1002,"="&amp;SUBSTITUTE(SUBSTITUTE(SUBSTITUTE(J521,"~","~~"),"*","~*"),"?","~?"),$L$3:$L$1002,1)*10000-V521)</f>
        <v/>
      </c>
    </row>
    <row r="522">
      <c r="A522">
        <f>IF(A$2=0,"",IFERROR(TRIM(INDEX('Pegar estudiantes'!$A$1:$BZ$1001,521,A$2)&amp;""),""))</f>
        <v/>
      </c>
      <c r="B522">
        <f>IF(B$2=0,"",IFERROR(TRIM(INDEX('Pegar estudiantes'!$A$1:$BZ$1001,521,B$2)&amp;""),""))</f>
        <v/>
      </c>
      <c r="C522">
        <f>IF(C$2=0,"",IFERROR(TRIM(INDEX('Pegar estudiantes'!$A$1:$BZ$1001,521,C$2)&amp;""),""))</f>
        <v/>
      </c>
      <c r="D522">
        <f>IF(D$2=0,"",IFERROR(TRIM(INDEX('Pegar estudiantes'!$A$1:$BZ$1001,521,D$2)&amp;""),""))</f>
        <v/>
      </c>
      <c r="E522">
        <f>IF(E$2=0,"",IFERROR(TRIM(INDEX('Pegar estudiantes'!$A$1:$BZ$1001,521,E$2)&amp;""),""))</f>
        <v/>
      </c>
      <c r="F522">
        <f>IF(F$2=0,"",IFERROR(TRIM(INDEX('Pegar estudiantes'!$A$1:$BZ$1001,521,F$2)&amp;""),""))</f>
        <v/>
      </c>
      <c r="G522">
        <f>IF(G$2=0,"",IFERROR(TRIM(INDEX('Pegar estudiantes'!$A$1:$BZ$1001,521,G$2)&amp;""),""))</f>
        <v/>
      </c>
      <c r="H522">
        <f>IF(H$2=0,"",IFERROR(TRIM(INDEX('Pegar estudiantes'!$A$1:$BZ$1001,521,H$2)&amp;""),""))</f>
        <v/>
      </c>
      <c r="I522">
        <f>IF(I$2=0,"",IFERROR(TRIM(INDEX('Pegar estudiantes'!$A$1:$BZ$1001,521,I$2)&amp;""),""))</f>
        <v/>
      </c>
      <c r="J522">
        <f>IF(J$2=0,"",IFERROR(TRIM(INDEX('Pegar estudiantes'!$A$1:$BZ$1001,521,J$2)&amp;""),""))</f>
        <v/>
      </c>
      <c r="K522">
        <f>IF(K$2=0,"",IFERROR(TRIM(INDEX('Pegar estudiantes'!$A$1:$BZ$1001,521,K$2)&amp;""),""))</f>
        <v/>
      </c>
      <c r="L522" s="25">
        <f>IF(A522&lt;&gt;"",1,"")</f>
        <v/>
      </c>
      <c r="M522" s="25">
        <f>IF(L522=1,IF(ISNUMBER(FIND("#"&amp;MID(A522,1,1)&amp;"#","#0#1#2#3#4#5#6#7#8#9#")),IF(ISNUMBER(FIND("#"&amp;MID(A522,2,1)&amp;"#","#0#1#2#3#4#5#6#7#8#9#")),IF(AND(VALUE(LEFT(A522,2))&gt;=1,VALUE(LEFT(A522,2))&lt;=5),VALUE(LEFT(A522,2)),""),IF(AND(VALUE(LEFT(A522,1))&gt;=1,VALUE(LEFT(A522,1))&lt;=5),VALUE(LEFT(A522,1)),"")),""),"")</f>
        <v/>
      </c>
      <c r="N522" s="25">
        <f>IF(L522=1,IF(ISNUMBER(FIND("#"&amp;MID(H522,1,1)&amp;"#","#0#1#2#3#4#5#6#7#8#9#")),IF(ISNUMBER(FIND("#"&amp;MID(H522,2,1)&amp;"#","#0#1#2#3#4#5#6#7#8#9#")),IF(AND(VALUE(LEFT(H522,2))&gt;=1,VALUE(LEFT(H522,2))&lt;=5),VALUE(LEFT(H522,2)),""),IF(AND(VALUE(LEFT(H522,1))&gt;=1,VALUE(LEFT(H522,1))&lt;=5),VALUE(LEFT(H522,1)),"")),""),"")</f>
        <v/>
      </c>
      <c r="O522" s="25">
        <f>IF(AND(L522=1,B522&lt;&gt;""),SUBSTITUTE(SUBSTITUTE(SUBSTITUTE(SUBSTITUTE(SUBSTITUTE(SUBSTITUTE(SUBSTITUTE(SUBSTITUTE(SUBSTITUTE(SUBSTITUTE(SUBSTITUTE(SUBSTITUTE(LOWER(TRIM(B522)),"á","a"),"é","e"),"í","i"),"ó","o"),"ú","u"),"ü","u"),"ñ","n"),"à","a"),"è","e"),"ì","i"),"ò","o"),"ù","u"),"")</f>
        <v/>
      </c>
      <c r="P522" s="25">
        <f>IF(AND(L522=1,C522&lt;&gt;""),SUBSTITUTE(SUBSTITUTE(SUBSTITUTE(SUBSTITUTE(SUBSTITUTE(SUBSTITUTE(SUBSTITUTE(SUBSTITUTE(SUBSTITUTE(SUBSTITUTE(SUBSTITUTE(SUBSTITUTE(LOWER(TRIM(C522)),"á","a"),"é","e"),"í","i"),"ó","o"),"ú","u"),"ü","u"),"ñ","n"),"à","a"),"è","e"),"ì","i"),"ò","o"),"ù","u"),"")</f>
        <v/>
      </c>
      <c r="Q522" s="25">
        <f>IF(AND(L522=1,E522&lt;&gt;""),SUBSTITUTE(SUBSTITUTE(SUBSTITUTE(SUBSTITUTE(SUBSTITUTE(SUBSTITUTE(SUBSTITUTE(SUBSTITUTE(SUBSTITUTE(SUBSTITUTE(SUBSTITUTE(SUBSTITUTE(LOWER(TRIM(E522)),"á","a"),"é","e"),"í","i"),"ó","o"),"ú","u"),"ü","u"),"ñ","n"),"à","a"),"è","e"),"ì","i"),"ò","o"),"ù","u"),"")</f>
        <v/>
      </c>
      <c r="R522" s="25">
        <f>IF(AND(L522=1,I522&lt;&gt;""),SUBSTITUTE(SUBSTITUTE(SUBSTITUTE(SUBSTITUTE(SUBSTITUTE(SUBSTITUTE(SUBSTITUTE(SUBSTITUTE(SUBSTITUTE(SUBSTITUTE(SUBSTITUTE(SUBSTITUTE(LOWER(TRIM(I522)),"á","a"),"é","e"),"í","i"),"ó","o"),"ú","u"),"ü","u"),"ñ","n"),"à","a"),"è","e"),"ì","i"),"ò","o"),"ù","u"),"")</f>
        <v/>
      </c>
      <c r="S522" s="25">
        <f>IF(R522="","",IF(OR(R522="si",R522="tal vez"),1,0))</f>
        <v/>
      </c>
      <c r="T522" s="25">
        <f>IF(AND(L522=1,D522&lt;&gt;""),IF(IFERROR(COUNTIFS(D$3:D522,"="&amp;SUBSTITUTE(SUBSTITUTE(SUBSTITUTE(D522,"~","~~"),"*","~*"),"?","~?"),L$3:L522,1),0)=1,MAX(T$2:T521)+1,""),"")</f>
        <v/>
      </c>
      <c r="U522" s="25">
        <f>IF(T522="","",COUNTIFS($D$3:$D$1002,"="&amp;SUBSTITUTE(SUBSTITUTE(SUBSTITUTE(D522,"~","~~"),"*","~*"),"?","~?"),$L$3:$L$1002,1)*10000-T522)</f>
        <v/>
      </c>
      <c r="V522" s="25">
        <f>IF(AND(L522=1,J522&lt;&gt;""),IF(IFERROR(COUNTIFS(J$3:J522,"="&amp;SUBSTITUTE(SUBSTITUTE(SUBSTITUTE(J522,"~","~~"),"*","~*"),"?","~?"),L$3:L522,1),0)=1,MAX(V$2:V521)+1,""),"")</f>
        <v/>
      </c>
      <c r="W522" s="25">
        <f>IF(V522="","",COUNTIFS($J$3:$J$1002,"="&amp;SUBSTITUTE(SUBSTITUTE(SUBSTITUTE(J522,"~","~~"),"*","~*"),"?","~?"),$L$3:$L$1002,1)*10000-V522)</f>
        <v/>
      </c>
    </row>
    <row r="523">
      <c r="A523">
        <f>IF(A$2=0,"",IFERROR(TRIM(INDEX('Pegar estudiantes'!$A$1:$BZ$1001,522,A$2)&amp;""),""))</f>
        <v/>
      </c>
      <c r="B523">
        <f>IF(B$2=0,"",IFERROR(TRIM(INDEX('Pegar estudiantes'!$A$1:$BZ$1001,522,B$2)&amp;""),""))</f>
        <v/>
      </c>
      <c r="C523">
        <f>IF(C$2=0,"",IFERROR(TRIM(INDEX('Pegar estudiantes'!$A$1:$BZ$1001,522,C$2)&amp;""),""))</f>
        <v/>
      </c>
      <c r="D523">
        <f>IF(D$2=0,"",IFERROR(TRIM(INDEX('Pegar estudiantes'!$A$1:$BZ$1001,522,D$2)&amp;""),""))</f>
        <v/>
      </c>
      <c r="E523">
        <f>IF(E$2=0,"",IFERROR(TRIM(INDEX('Pegar estudiantes'!$A$1:$BZ$1001,522,E$2)&amp;""),""))</f>
        <v/>
      </c>
      <c r="F523">
        <f>IF(F$2=0,"",IFERROR(TRIM(INDEX('Pegar estudiantes'!$A$1:$BZ$1001,522,F$2)&amp;""),""))</f>
        <v/>
      </c>
      <c r="G523">
        <f>IF(G$2=0,"",IFERROR(TRIM(INDEX('Pegar estudiantes'!$A$1:$BZ$1001,522,G$2)&amp;""),""))</f>
        <v/>
      </c>
      <c r="H523">
        <f>IF(H$2=0,"",IFERROR(TRIM(INDEX('Pegar estudiantes'!$A$1:$BZ$1001,522,H$2)&amp;""),""))</f>
        <v/>
      </c>
      <c r="I523">
        <f>IF(I$2=0,"",IFERROR(TRIM(INDEX('Pegar estudiantes'!$A$1:$BZ$1001,522,I$2)&amp;""),""))</f>
        <v/>
      </c>
      <c r="J523">
        <f>IF(J$2=0,"",IFERROR(TRIM(INDEX('Pegar estudiantes'!$A$1:$BZ$1001,522,J$2)&amp;""),""))</f>
        <v/>
      </c>
      <c r="K523">
        <f>IF(K$2=0,"",IFERROR(TRIM(INDEX('Pegar estudiantes'!$A$1:$BZ$1001,522,K$2)&amp;""),""))</f>
        <v/>
      </c>
      <c r="L523" s="25">
        <f>IF(A523&lt;&gt;"",1,"")</f>
        <v/>
      </c>
      <c r="M523" s="25">
        <f>IF(L523=1,IF(ISNUMBER(FIND("#"&amp;MID(A523,1,1)&amp;"#","#0#1#2#3#4#5#6#7#8#9#")),IF(ISNUMBER(FIND("#"&amp;MID(A523,2,1)&amp;"#","#0#1#2#3#4#5#6#7#8#9#")),IF(AND(VALUE(LEFT(A523,2))&gt;=1,VALUE(LEFT(A523,2))&lt;=5),VALUE(LEFT(A523,2)),""),IF(AND(VALUE(LEFT(A523,1))&gt;=1,VALUE(LEFT(A523,1))&lt;=5),VALUE(LEFT(A523,1)),"")),""),"")</f>
        <v/>
      </c>
      <c r="N523" s="25">
        <f>IF(L523=1,IF(ISNUMBER(FIND("#"&amp;MID(H523,1,1)&amp;"#","#0#1#2#3#4#5#6#7#8#9#")),IF(ISNUMBER(FIND("#"&amp;MID(H523,2,1)&amp;"#","#0#1#2#3#4#5#6#7#8#9#")),IF(AND(VALUE(LEFT(H523,2))&gt;=1,VALUE(LEFT(H523,2))&lt;=5),VALUE(LEFT(H523,2)),""),IF(AND(VALUE(LEFT(H523,1))&gt;=1,VALUE(LEFT(H523,1))&lt;=5),VALUE(LEFT(H523,1)),"")),""),"")</f>
        <v/>
      </c>
      <c r="O523" s="25">
        <f>IF(AND(L523=1,B523&lt;&gt;""),SUBSTITUTE(SUBSTITUTE(SUBSTITUTE(SUBSTITUTE(SUBSTITUTE(SUBSTITUTE(SUBSTITUTE(SUBSTITUTE(SUBSTITUTE(SUBSTITUTE(SUBSTITUTE(SUBSTITUTE(LOWER(TRIM(B523)),"á","a"),"é","e"),"í","i"),"ó","o"),"ú","u"),"ü","u"),"ñ","n"),"à","a"),"è","e"),"ì","i"),"ò","o"),"ù","u"),"")</f>
        <v/>
      </c>
      <c r="P523" s="25">
        <f>IF(AND(L523=1,C523&lt;&gt;""),SUBSTITUTE(SUBSTITUTE(SUBSTITUTE(SUBSTITUTE(SUBSTITUTE(SUBSTITUTE(SUBSTITUTE(SUBSTITUTE(SUBSTITUTE(SUBSTITUTE(SUBSTITUTE(SUBSTITUTE(LOWER(TRIM(C523)),"á","a"),"é","e"),"í","i"),"ó","o"),"ú","u"),"ü","u"),"ñ","n"),"à","a"),"è","e"),"ì","i"),"ò","o"),"ù","u"),"")</f>
        <v/>
      </c>
      <c r="Q523" s="25">
        <f>IF(AND(L523=1,E523&lt;&gt;""),SUBSTITUTE(SUBSTITUTE(SUBSTITUTE(SUBSTITUTE(SUBSTITUTE(SUBSTITUTE(SUBSTITUTE(SUBSTITUTE(SUBSTITUTE(SUBSTITUTE(SUBSTITUTE(SUBSTITUTE(LOWER(TRIM(E523)),"á","a"),"é","e"),"í","i"),"ó","o"),"ú","u"),"ü","u"),"ñ","n"),"à","a"),"è","e"),"ì","i"),"ò","o"),"ù","u"),"")</f>
        <v/>
      </c>
      <c r="R523" s="25">
        <f>IF(AND(L523=1,I523&lt;&gt;""),SUBSTITUTE(SUBSTITUTE(SUBSTITUTE(SUBSTITUTE(SUBSTITUTE(SUBSTITUTE(SUBSTITUTE(SUBSTITUTE(SUBSTITUTE(SUBSTITUTE(SUBSTITUTE(SUBSTITUTE(LOWER(TRIM(I523)),"á","a"),"é","e"),"í","i"),"ó","o"),"ú","u"),"ü","u"),"ñ","n"),"à","a"),"è","e"),"ì","i"),"ò","o"),"ù","u"),"")</f>
        <v/>
      </c>
      <c r="S523" s="25">
        <f>IF(R523="","",IF(OR(R523="si",R523="tal vez"),1,0))</f>
        <v/>
      </c>
      <c r="T523" s="25">
        <f>IF(AND(L523=1,D523&lt;&gt;""),IF(IFERROR(COUNTIFS(D$3:D523,"="&amp;SUBSTITUTE(SUBSTITUTE(SUBSTITUTE(D523,"~","~~"),"*","~*"),"?","~?"),L$3:L523,1),0)=1,MAX(T$2:T522)+1,""),"")</f>
        <v/>
      </c>
      <c r="U523" s="25">
        <f>IF(T523="","",COUNTIFS($D$3:$D$1002,"="&amp;SUBSTITUTE(SUBSTITUTE(SUBSTITUTE(D523,"~","~~"),"*","~*"),"?","~?"),$L$3:$L$1002,1)*10000-T523)</f>
        <v/>
      </c>
      <c r="V523" s="25">
        <f>IF(AND(L523=1,J523&lt;&gt;""),IF(IFERROR(COUNTIFS(J$3:J523,"="&amp;SUBSTITUTE(SUBSTITUTE(SUBSTITUTE(J523,"~","~~"),"*","~*"),"?","~?"),L$3:L523,1),0)=1,MAX(V$2:V522)+1,""),"")</f>
        <v/>
      </c>
      <c r="W523" s="25">
        <f>IF(V523="","",COUNTIFS($J$3:$J$1002,"="&amp;SUBSTITUTE(SUBSTITUTE(SUBSTITUTE(J523,"~","~~"),"*","~*"),"?","~?"),$L$3:$L$1002,1)*10000-V523)</f>
        <v/>
      </c>
    </row>
    <row r="524">
      <c r="A524">
        <f>IF(A$2=0,"",IFERROR(TRIM(INDEX('Pegar estudiantes'!$A$1:$BZ$1001,523,A$2)&amp;""),""))</f>
        <v/>
      </c>
      <c r="B524">
        <f>IF(B$2=0,"",IFERROR(TRIM(INDEX('Pegar estudiantes'!$A$1:$BZ$1001,523,B$2)&amp;""),""))</f>
        <v/>
      </c>
      <c r="C524">
        <f>IF(C$2=0,"",IFERROR(TRIM(INDEX('Pegar estudiantes'!$A$1:$BZ$1001,523,C$2)&amp;""),""))</f>
        <v/>
      </c>
      <c r="D524">
        <f>IF(D$2=0,"",IFERROR(TRIM(INDEX('Pegar estudiantes'!$A$1:$BZ$1001,523,D$2)&amp;""),""))</f>
        <v/>
      </c>
      <c r="E524">
        <f>IF(E$2=0,"",IFERROR(TRIM(INDEX('Pegar estudiantes'!$A$1:$BZ$1001,523,E$2)&amp;""),""))</f>
        <v/>
      </c>
      <c r="F524">
        <f>IF(F$2=0,"",IFERROR(TRIM(INDEX('Pegar estudiantes'!$A$1:$BZ$1001,523,F$2)&amp;""),""))</f>
        <v/>
      </c>
      <c r="G524">
        <f>IF(G$2=0,"",IFERROR(TRIM(INDEX('Pegar estudiantes'!$A$1:$BZ$1001,523,G$2)&amp;""),""))</f>
        <v/>
      </c>
      <c r="H524">
        <f>IF(H$2=0,"",IFERROR(TRIM(INDEX('Pegar estudiantes'!$A$1:$BZ$1001,523,H$2)&amp;""),""))</f>
        <v/>
      </c>
      <c r="I524">
        <f>IF(I$2=0,"",IFERROR(TRIM(INDEX('Pegar estudiantes'!$A$1:$BZ$1001,523,I$2)&amp;""),""))</f>
        <v/>
      </c>
      <c r="J524">
        <f>IF(J$2=0,"",IFERROR(TRIM(INDEX('Pegar estudiantes'!$A$1:$BZ$1001,523,J$2)&amp;""),""))</f>
        <v/>
      </c>
      <c r="K524">
        <f>IF(K$2=0,"",IFERROR(TRIM(INDEX('Pegar estudiantes'!$A$1:$BZ$1001,523,K$2)&amp;""),""))</f>
        <v/>
      </c>
      <c r="L524" s="25">
        <f>IF(A524&lt;&gt;"",1,"")</f>
        <v/>
      </c>
      <c r="M524" s="25">
        <f>IF(L524=1,IF(ISNUMBER(FIND("#"&amp;MID(A524,1,1)&amp;"#","#0#1#2#3#4#5#6#7#8#9#")),IF(ISNUMBER(FIND("#"&amp;MID(A524,2,1)&amp;"#","#0#1#2#3#4#5#6#7#8#9#")),IF(AND(VALUE(LEFT(A524,2))&gt;=1,VALUE(LEFT(A524,2))&lt;=5),VALUE(LEFT(A524,2)),""),IF(AND(VALUE(LEFT(A524,1))&gt;=1,VALUE(LEFT(A524,1))&lt;=5),VALUE(LEFT(A524,1)),"")),""),"")</f>
        <v/>
      </c>
      <c r="N524" s="25">
        <f>IF(L524=1,IF(ISNUMBER(FIND("#"&amp;MID(H524,1,1)&amp;"#","#0#1#2#3#4#5#6#7#8#9#")),IF(ISNUMBER(FIND("#"&amp;MID(H524,2,1)&amp;"#","#0#1#2#3#4#5#6#7#8#9#")),IF(AND(VALUE(LEFT(H524,2))&gt;=1,VALUE(LEFT(H524,2))&lt;=5),VALUE(LEFT(H524,2)),""),IF(AND(VALUE(LEFT(H524,1))&gt;=1,VALUE(LEFT(H524,1))&lt;=5),VALUE(LEFT(H524,1)),"")),""),"")</f>
        <v/>
      </c>
      <c r="O524" s="25">
        <f>IF(AND(L524=1,B524&lt;&gt;""),SUBSTITUTE(SUBSTITUTE(SUBSTITUTE(SUBSTITUTE(SUBSTITUTE(SUBSTITUTE(SUBSTITUTE(SUBSTITUTE(SUBSTITUTE(SUBSTITUTE(SUBSTITUTE(SUBSTITUTE(LOWER(TRIM(B524)),"á","a"),"é","e"),"í","i"),"ó","o"),"ú","u"),"ü","u"),"ñ","n"),"à","a"),"è","e"),"ì","i"),"ò","o"),"ù","u"),"")</f>
        <v/>
      </c>
      <c r="P524" s="25">
        <f>IF(AND(L524=1,C524&lt;&gt;""),SUBSTITUTE(SUBSTITUTE(SUBSTITUTE(SUBSTITUTE(SUBSTITUTE(SUBSTITUTE(SUBSTITUTE(SUBSTITUTE(SUBSTITUTE(SUBSTITUTE(SUBSTITUTE(SUBSTITUTE(LOWER(TRIM(C524)),"á","a"),"é","e"),"í","i"),"ó","o"),"ú","u"),"ü","u"),"ñ","n"),"à","a"),"è","e"),"ì","i"),"ò","o"),"ù","u"),"")</f>
        <v/>
      </c>
      <c r="Q524" s="25">
        <f>IF(AND(L524=1,E524&lt;&gt;""),SUBSTITUTE(SUBSTITUTE(SUBSTITUTE(SUBSTITUTE(SUBSTITUTE(SUBSTITUTE(SUBSTITUTE(SUBSTITUTE(SUBSTITUTE(SUBSTITUTE(SUBSTITUTE(SUBSTITUTE(LOWER(TRIM(E524)),"á","a"),"é","e"),"í","i"),"ó","o"),"ú","u"),"ü","u"),"ñ","n"),"à","a"),"è","e"),"ì","i"),"ò","o"),"ù","u"),"")</f>
        <v/>
      </c>
      <c r="R524" s="25">
        <f>IF(AND(L524=1,I524&lt;&gt;""),SUBSTITUTE(SUBSTITUTE(SUBSTITUTE(SUBSTITUTE(SUBSTITUTE(SUBSTITUTE(SUBSTITUTE(SUBSTITUTE(SUBSTITUTE(SUBSTITUTE(SUBSTITUTE(SUBSTITUTE(LOWER(TRIM(I524)),"á","a"),"é","e"),"í","i"),"ó","o"),"ú","u"),"ü","u"),"ñ","n"),"à","a"),"è","e"),"ì","i"),"ò","o"),"ù","u"),"")</f>
        <v/>
      </c>
      <c r="S524" s="25">
        <f>IF(R524="","",IF(OR(R524="si",R524="tal vez"),1,0))</f>
        <v/>
      </c>
      <c r="T524" s="25">
        <f>IF(AND(L524=1,D524&lt;&gt;""),IF(IFERROR(COUNTIFS(D$3:D524,"="&amp;SUBSTITUTE(SUBSTITUTE(SUBSTITUTE(D524,"~","~~"),"*","~*"),"?","~?"),L$3:L524,1),0)=1,MAX(T$2:T523)+1,""),"")</f>
        <v/>
      </c>
      <c r="U524" s="25">
        <f>IF(T524="","",COUNTIFS($D$3:$D$1002,"="&amp;SUBSTITUTE(SUBSTITUTE(SUBSTITUTE(D524,"~","~~"),"*","~*"),"?","~?"),$L$3:$L$1002,1)*10000-T524)</f>
        <v/>
      </c>
      <c r="V524" s="25">
        <f>IF(AND(L524=1,J524&lt;&gt;""),IF(IFERROR(COUNTIFS(J$3:J524,"="&amp;SUBSTITUTE(SUBSTITUTE(SUBSTITUTE(J524,"~","~~"),"*","~*"),"?","~?"),L$3:L524,1),0)=1,MAX(V$2:V523)+1,""),"")</f>
        <v/>
      </c>
      <c r="W524" s="25">
        <f>IF(V524="","",COUNTIFS($J$3:$J$1002,"="&amp;SUBSTITUTE(SUBSTITUTE(SUBSTITUTE(J524,"~","~~"),"*","~*"),"?","~?"),$L$3:$L$1002,1)*10000-V524)</f>
        <v/>
      </c>
    </row>
    <row r="525">
      <c r="A525">
        <f>IF(A$2=0,"",IFERROR(TRIM(INDEX('Pegar estudiantes'!$A$1:$BZ$1001,524,A$2)&amp;""),""))</f>
        <v/>
      </c>
      <c r="B525">
        <f>IF(B$2=0,"",IFERROR(TRIM(INDEX('Pegar estudiantes'!$A$1:$BZ$1001,524,B$2)&amp;""),""))</f>
        <v/>
      </c>
      <c r="C525">
        <f>IF(C$2=0,"",IFERROR(TRIM(INDEX('Pegar estudiantes'!$A$1:$BZ$1001,524,C$2)&amp;""),""))</f>
        <v/>
      </c>
      <c r="D525">
        <f>IF(D$2=0,"",IFERROR(TRIM(INDEX('Pegar estudiantes'!$A$1:$BZ$1001,524,D$2)&amp;""),""))</f>
        <v/>
      </c>
      <c r="E525">
        <f>IF(E$2=0,"",IFERROR(TRIM(INDEX('Pegar estudiantes'!$A$1:$BZ$1001,524,E$2)&amp;""),""))</f>
        <v/>
      </c>
      <c r="F525">
        <f>IF(F$2=0,"",IFERROR(TRIM(INDEX('Pegar estudiantes'!$A$1:$BZ$1001,524,F$2)&amp;""),""))</f>
        <v/>
      </c>
      <c r="G525">
        <f>IF(G$2=0,"",IFERROR(TRIM(INDEX('Pegar estudiantes'!$A$1:$BZ$1001,524,G$2)&amp;""),""))</f>
        <v/>
      </c>
      <c r="H525">
        <f>IF(H$2=0,"",IFERROR(TRIM(INDEX('Pegar estudiantes'!$A$1:$BZ$1001,524,H$2)&amp;""),""))</f>
        <v/>
      </c>
      <c r="I525">
        <f>IF(I$2=0,"",IFERROR(TRIM(INDEX('Pegar estudiantes'!$A$1:$BZ$1001,524,I$2)&amp;""),""))</f>
        <v/>
      </c>
      <c r="J525">
        <f>IF(J$2=0,"",IFERROR(TRIM(INDEX('Pegar estudiantes'!$A$1:$BZ$1001,524,J$2)&amp;""),""))</f>
        <v/>
      </c>
      <c r="K525">
        <f>IF(K$2=0,"",IFERROR(TRIM(INDEX('Pegar estudiantes'!$A$1:$BZ$1001,524,K$2)&amp;""),""))</f>
        <v/>
      </c>
      <c r="L525" s="25">
        <f>IF(A525&lt;&gt;"",1,"")</f>
        <v/>
      </c>
      <c r="M525" s="25">
        <f>IF(L525=1,IF(ISNUMBER(FIND("#"&amp;MID(A525,1,1)&amp;"#","#0#1#2#3#4#5#6#7#8#9#")),IF(ISNUMBER(FIND("#"&amp;MID(A525,2,1)&amp;"#","#0#1#2#3#4#5#6#7#8#9#")),IF(AND(VALUE(LEFT(A525,2))&gt;=1,VALUE(LEFT(A525,2))&lt;=5),VALUE(LEFT(A525,2)),""),IF(AND(VALUE(LEFT(A525,1))&gt;=1,VALUE(LEFT(A525,1))&lt;=5),VALUE(LEFT(A525,1)),"")),""),"")</f>
        <v/>
      </c>
      <c r="N525" s="25">
        <f>IF(L525=1,IF(ISNUMBER(FIND("#"&amp;MID(H525,1,1)&amp;"#","#0#1#2#3#4#5#6#7#8#9#")),IF(ISNUMBER(FIND("#"&amp;MID(H525,2,1)&amp;"#","#0#1#2#3#4#5#6#7#8#9#")),IF(AND(VALUE(LEFT(H525,2))&gt;=1,VALUE(LEFT(H525,2))&lt;=5),VALUE(LEFT(H525,2)),""),IF(AND(VALUE(LEFT(H525,1))&gt;=1,VALUE(LEFT(H525,1))&lt;=5),VALUE(LEFT(H525,1)),"")),""),"")</f>
        <v/>
      </c>
      <c r="O525" s="25">
        <f>IF(AND(L525=1,B525&lt;&gt;""),SUBSTITUTE(SUBSTITUTE(SUBSTITUTE(SUBSTITUTE(SUBSTITUTE(SUBSTITUTE(SUBSTITUTE(SUBSTITUTE(SUBSTITUTE(SUBSTITUTE(SUBSTITUTE(SUBSTITUTE(LOWER(TRIM(B525)),"á","a"),"é","e"),"í","i"),"ó","o"),"ú","u"),"ü","u"),"ñ","n"),"à","a"),"è","e"),"ì","i"),"ò","o"),"ù","u"),"")</f>
        <v/>
      </c>
      <c r="P525" s="25">
        <f>IF(AND(L525=1,C525&lt;&gt;""),SUBSTITUTE(SUBSTITUTE(SUBSTITUTE(SUBSTITUTE(SUBSTITUTE(SUBSTITUTE(SUBSTITUTE(SUBSTITUTE(SUBSTITUTE(SUBSTITUTE(SUBSTITUTE(SUBSTITUTE(LOWER(TRIM(C525)),"á","a"),"é","e"),"í","i"),"ó","o"),"ú","u"),"ü","u"),"ñ","n"),"à","a"),"è","e"),"ì","i"),"ò","o"),"ù","u"),"")</f>
        <v/>
      </c>
      <c r="Q525" s="25">
        <f>IF(AND(L525=1,E525&lt;&gt;""),SUBSTITUTE(SUBSTITUTE(SUBSTITUTE(SUBSTITUTE(SUBSTITUTE(SUBSTITUTE(SUBSTITUTE(SUBSTITUTE(SUBSTITUTE(SUBSTITUTE(SUBSTITUTE(SUBSTITUTE(LOWER(TRIM(E525)),"á","a"),"é","e"),"í","i"),"ó","o"),"ú","u"),"ü","u"),"ñ","n"),"à","a"),"è","e"),"ì","i"),"ò","o"),"ù","u"),"")</f>
        <v/>
      </c>
      <c r="R525" s="25">
        <f>IF(AND(L525=1,I525&lt;&gt;""),SUBSTITUTE(SUBSTITUTE(SUBSTITUTE(SUBSTITUTE(SUBSTITUTE(SUBSTITUTE(SUBSTITUTE(SUBSTITUTE(SUBSTITUTE(SUBSTITUTE(SUBSTITUTE(SUBSTITUTE(LOWER(TRIM(I525)),"á","a"),"é","e"),"í","i"),"ó","o"),"ú","u"),"ü","u"),"ñ","n"),"à","a"),"è","e"),"ì","i"),"ò","o"),"ù","u"),"")</f>
        <v/>
      </c>
      <c r="S525" s="25">
        <f>IF(R525="","",IF(OR(R525="si",R525="tal vez"),1,0))</f>
        <v/>
      </c>
      <c r="T525" s="25">
        <f>IF(AND(L525=1,D525&lt;&gt;""),IF(IFERROR(COUNTIFS(D$3:D525,"="&amp;SUBSTITUTE(SUBSTITUTE(SUBSTITUTE(D525,"~","~~"),"*","~*"),"?","~?"),L$3:L525,1),0)=1,MAX(T$2:T524)+1,""),"")</f>
        <v/>
      </c>
      <c r="U525" s="25">
        <f>IF(T525="","",COUNTIFS($D$3:$D$1002,"="&amp;SUBSTITUTE(SUBSTITUTE(SUBSTITUTE(D525,"~","~~"),"*","~*"),"?","~?"),$L$3:$L$1002,1)*10000-T525)</f>
        <v/>
      </c>
      <c r="V525" s="25">
        <f>IF(AND(L525=1,J525&lt;&gt;""),IF(IFERROR(COUNTIFS(J$3:J525,"="&amp;SUBSTITUTE(SUBSTITUTE(SUBSTITUTE(J525,"~","~~"),"*","~*"),"?","~?"),L$3:L525,1),0)=1,MAX(V$2:V524)+1,""),"")</f>
        <v/>
      </c>
      <c r="W525" s="25">
        <f>IF(V525="","",COUNTIFS($J$3:$J$1002,"="&amp;SUBSTITUTE(SUBSTITUTE(SUBSTITUTE(J525,"~","~~"),"*","~*"),"?","~?"),$L$3:$L$1002,1)*10000-V525)</f>
        <v/>
      </c>
    </row>
    <row r="526">
      <c r="A526">
        <f>IF(A$2=0,"",IFERROR(TRIM(INDEX('Pegar estudiantes'!$A$1:$BZ$1001,525,A$2)&amp;""),""))</f>
        <v/>
      </c>
      <c r="B526">
        <f>IF(B$2=0,"",IFERROR(TRIM(INDEX('Pegar estudiantes'!$A$1:$BZ$1001,525,B$2)&amp;""),""))</f>
        <v/>
      </c>
      <c r="C526">
        <f>IF(C$2=0,"",IFERROR(TRIM(INDEX('Pegar estudiantes'!$A$1:$BZ$1001,525,C$2)&amp;""),""))</f>
        <v/>
      </c>
      <c r="D526">
        <f>IF(D$2=0,"",IFERROR(TRIM(INDEX('Pegar estudiantes'!$A$1:$BZ$1001,525,D$2)&amp;""),""))</f>
        <v/>
      </c>
      <c r="E526">
        <f>IF(E$2=0,"",IFERROR(TRIM(INDEX('Pegar estudiantes'!$A$1:$BZ$1001,525,E$2)&amp;""),""))</f>
        <v/>
      </c>
      <c r="F526">
        <f>IF(F$2=0,"",IFERROR(TRIM(INDEX('Pegar estudiantes'!$A$1:$BZ$1001,525,F$2)&amp;""),""))</f>
        <v/>
      </c>
      <c r="G526">
        <f>IF(G$2=0,"",IFERROR(TRIM(INDEX('Pegar estudiantes'!$A$1:$BZ$1001,525,G$2)&amp;""),""))</f>
        <v/>
      </c>
      <c r="H526">
        <f>IF(H$2=0,"",IFERROR(TRIM(INDEX('Pegar estudiantes'!$A$1:$BZ$1001,525,H$2)&amp;""),""))</f>
        <v/>
      </c>
      <c r="I526">
        <f>IF(I$2=0,"",IFERROR(TRIM(INDEX('Pegar estudiantes'!$A$1:$BZ$1001,525,I$2)&amp;""),""))</f>
        <v/>
      </c>
      <c r="J526">
        <f>IF(J$2=0,"",IFERROR(TRIM(INDEX('Pegar estudiantes'!$A$1:$BZ$1001,525,J$2)&amp;""),""))</f>
        <v/>
      </c>
      <c r="K526">
        <f>IF(K$2=0,"",IFERROR(TRIM(INDEX('Pegar estudiantes'!$A$1:$BZ$1001,525,K$2)&amp;""),""))</f>
        <v/>
      </c>
      <c r="L526" s="25">
        <f>IF(A526&lt;&gt;"",1,"")</f>
        <v/>
      </c>
      <c r="M526" s="25">
        <f>IF(L526=1,IF(ISNUMBER(FIND("#"&amp;MID(A526,1,1)&amp;"#","#0#1#2#3#4#5#6#7#8#9#")),IF(ISNUMBER(FIND("#"&amp;MID(A526,2,1)&amp;"#","#0#1#2#3#4#5#6#7#8#9#")),IF(AND(VALUE(LEFT(A526,2))&gt;=1,VALUE(LEFT(A526,2))&lt;=5),VALUE(LEFT(A526,2)),""),IF(AND(VALUE(LEFT(A526,1))&gt;=1,VALUE(LEFT(A526,1))&lt;=5),VALUE(LEFT(A526,1)),"")),""),"")</f>
        <v/>
      </c>
      <c r="N526" s="25">
        <f>IF(L526=1,IF(ISNUMBER(FIND("#"&amp;MID(H526,1,1)&amp;"#","#0#1#2#3#4#5#6#7#8#9#")),IF(ISNUMBER(FIND("#"&amp;MID(H526,2,1)&amp;"#","#0#1#2#3#4#5#6#7#8#9#")),IF(AND(VALUE(LEFT(H526,2))&gt;=1,VALUE(LEFT(H526,2))&lt;=5),VALUE(LEFT(H526,2)),""),IF(AND(VALUE(LEFT(H526,1))&gt;=1,VALUE(LEFT(H526,1))&lt;=5),VALUE(LEFT(H526,1)),"")),""),"")</f>
        <v/>
      </c>
      <c r="O526" s="25">
        <f>IF(AND(L526=1,B526&lt;&gt;""),SUBSTITUTE(SUBSTITUTE(SUBSTITUTE(SUBSTITUTE(SUBSTITUTE(SUBSTITUTE(SUBSTITUTE(SUBSTITUTE(SUBSTITUTE(SUBSTITUTE(SUBSTITUTE(SUBSTITUTE(LOWER(TRIM(B526)),"á","a"),"é","e"),"í","i"),"ó","o"),"ú","u"),"ü","u"),"ñ","n"),"à","a"),"è","e"),"ì","i"),"ò","o"),"ù","u"),"")</f>
        <v/>
      </c>
      <c r="P526" s="25">
        <f>IF(AND(L526=1,C526&lt;&gt;""),SUBSTITUTE(SUBSTITUTE(SUBSTITUTE(SUBSTITUTE(SUBSTITUTE(SUBSTITUTE(SUBSTITUTE(SUBSTITUTE(SUBSTITUTE(SUBSTITUTE(SUBSTITUTE(SUBSTITUTE(LOWER(TRIM(C526)),"á","a"),"é","e"),"í","i"),"ó","o"),"ú","u"),"ü","u"),"ñ","n"),"à","a"),"è","e"),"ì","i"),"ò","o"),"ù","u"),"")</f>
        <v/>
      </c>
      <c r="Q526" s="25">
        <f>IF(AND(L526=1,E526&lt;&gt;""),SUBSTITUTE(SUBSTITUTE(SUBSTITUTE(SUBSTITUTE(SUBSTITUTE(SUBSTITUTE(SUBSTITUTE(SUBSTITUTE(SUBSTITUTE(SUBSTITUTE(SUBSTITUTE(SUBSTITUTE(LOWER(TRIM(E526)),"á","a"),"é","e"),"í","i"),"ó","o"),"ú","u"),"ü","u"),"ñ","n"),"à","a"),"è","e"),"ì","i"),"ò","o"),"ù","u"),"")</f>
        <v/>
      </c>
      <c r="R526" s="25">
        <f>IF(AND(L526=1,I526&lt;&gt;""),SUBSTITUTE(SUBSTITUTE(SUBSTITUTE(SUBSTITUTE(SUBSTITUTE(SUBSTITUTE(SUBSTITUTE(SUBSTITUTE(SUBSTITUTE(SUBSTITUTE(SUBSTITUTE(SUBSTITUTE(LOWER(TRIM(I526)),"á","a"),"é","e"),"í","i"),"ó","o"),"ú","u"),"ü","u"),"ñ","n"),"à","a"),"è","e"),"ì","i"),"ò","o"),"ù","u"),"")</f>
        <v/>
      </c>
      <c r="S526" s="25">
        <f>IF(R526="","",IF(OR(R526="si",R526="tal vez"),1,0))</f>
        <v/>
      </c>
      <c r="T526" s="25">
        <f>IF(AND(L526=1,D526&lt;&gt;""),IF(IFERROR(COUNTIFS(D$3:D526,"="&amp;SUBSTITUTE(SUBSTITUTE(SUBSTITUTE(D526,"~","~~"),"*","~*"),"?","~?"),L$3:L526,1),0)=1,MAX(T$2:T525)+1,""),"")</f>
        <v/>
      </c>
      <c r="U526" s="25">
        <f>IF(T526="","",COUNTIFS($D$3:$D$1002,"="&amp;SUBSTITUTE(SUBSTITUTE(SUBSTITUTE(D526,"~","~~"),"*","~*"),"?","~?"),$L$3:$L$1002,1)*10000-T526)</f>
        <v/>
      </c>
      <c r="V526" s="25">
        <f>IF(AND(L526=1,J526&lt;&gt;""),IF(IFERROR(COUNTIFS(J$3:J526,"="&amp;SUBSTITUTE(SUBSTITUTE(SUBSTITUTE(J526,"~","~~"),"*","~*"),"?","~?"),L$3:L526,1),0)=1,MAX(V$2:V525)+1,""),"")</f>
        <v/>
      </c>
      <c r="W526" s="25">
        <f>IF(V526="","",COUNTIFS($J$3:$J$1002,"="&amp;SUBSTITUTE(SUBSTITUTE(SUBSTITUTE(J526,"~","~~"),"*","~*"),"?","~?"),$L$3:$L$1002,1)*10000-V526)</f>
        <v/>
      </c>
    </row>
    <row r="527">
      <c r="A527">
        <f>IF(A$2=0,"",IFERROR(TRIM(INDEX('Pegar estudiantes'!$A$1:$BZ$1001,526,A$2)&amp;""),""))</f>
        <v/>
      </c>
      <c r="B527">
        <f>IF(B$2=0,"",IFERROR(TRIM(INDEX('Pegar estudiantes'!$A$1:$BZ$1001,526,B$2)&amp;""),""))</f>
        <v/>
      </c>
      <c r="C527">
        <f>IF(C$2=0,"",IFERROR(TRIM(INDEX('Pegar estudiantes'!$A$1:$BZ$1001,526,C$2)&amp;""),""))</f>
        <v/>
      </c>
      <c r="D527">
        <f>IF(D$2=0,"",IFERROR(TRIM(INDEX('Pegar estudiantes'!$A$1:$BZ$1001,526,D$2)&amp;""),""))</f>
        <v/>
      </c>
      <c r="E527">
        <f>IF(E$2=0,"",IFERROR(TRIM(INDEX('Pegar estudiantes'!$A$1:$BZ$1001,526,E$2)&amp;""),""))</f>
        <v/>
      </c>
      <c r="F527">
        <f>IF(F$2=0,"",IFERROR(TRIM(INDEX('Pegar estudiantes'!$A$1:$BZ$1001,526,F$2)&amp;""),""))</f>
        <v/>
      </c>
      <c r="G527">
        <f>IF(G$2=0,"",IFERROR(TRIM(INDEX('Pegar estudiantes'!$A$1:$BZ$1001,526,G$2)&amp;""),""))</f>
        <v/>
      </c>
      <c r="H527">
        <f>IF(H$2=0,"",IFERROR(TRIM(INDEX('Pegar estudiantes'!$A$1:$BZ$1001,526,H$2)&amp;""),""))</f>
        <v/>
      </c>
      <c r="I527">
        <f>IF(I$2=0,"",IFERROR(TRIM(INDEX('Pegar estudiantes'!$A$1:$BZ$1001,526,I$2)&amp;""),""))</f>
        <v/>
      </c>
      <c r="J527">
        <f>IF(J$2=0,"",IFERROR(TRIM(INDEX('Pegar estudiantes'!$A$1:$BZ$1001,526,J$2)&amp;""),""))</f>
        <v/>
      </c>
      <c r="K527">
        <f>IF(K$2=0,"",IFERROR(TRIM(INDEX('Pegar estudiantes'!$A$1:$BZ$1001,526,K$2)&amp;""),""))</f>
        <v/>
      </c>
      <c r="L527" s="25">
        <f>IF(A527&lt;&gt;"",1,"")</f>
        <v/>
      </c>
      <c r="M527" s="25">
        <f>IF(L527=1,IF(ISNUMBER(FIND("#"&amp;MID(A527,1,1)&amp;"#","#0#1#2#3#4#5#6#7#8#9#")),IF(ISNUMBER(FIND("#"&amp;MID(A527,2,1)&amp;"#","#0#1#2#3#4#5#6#7#8#9#")),IF(AND(VALUE(LEFT(A527,2))&gt;=1,VALUE(LEFT(A527,2))&lt;=5),VALUE(LEFT(A527,2)),""),IF(AND(VALUE(LEFT(A527,1))&gt;=1,VALUE(LEFT(A527,1))&lt;=5),VALUE(LEFT(A527,1)),"")),""),"")</f>
        <v/>
      </c>
      <c r="N527" s="25">
        <f>IF(L527=1,IF(ISNUMBER(FIND("#"&amp;MID(H527,1,1)&amp;"#","#0#1#2#3#4#5#6#7#8#9#")),IF(ISNUMBER(FIND("#"&amp;MID(H527,2,1)&amp;"#","#0#1#2#3#4#5#6#7#8#9#")),IF(AND(VALUE(LEFT(H527,2))&gt;=1,VALUE(LEFT(H527,2))&lt;=5),VALUE(LEFT(H527,2)),""),IF(AND(VALUE(LEFT(H527,1))&gt;=1,VALUE(LEFT(H527,1))&lt;=5),VALUE(LEFT(H527,1)),"")),""),"")</f>
        <v/>
      </c>
      <c r="O527" s="25">
        <f>IF(AND(L527=1,B527&lt;&gt;""),SUBSTITUTE(SUBSTITUTE(SUBSTITUTE(SUBSTITUTE(SUBSTITUTE(SUBSTITUTE(SUBSTITUTE(SUBSTITUTE(SUBSTITUTE(SUBSTITUTE(SUBSTITUTE(SUBSTITUTE(LOWER(TRIM(B527)),"á","a"),"é","e"),"í","i"),"ó","o"),"ú","u"),"ü","u"),"ñ","n"),"à","a"),"è","e"),"ì","i"),"ò","o"),"ù","u"),"")</f>
        <v/>
      </c>
      <c r="P527" s="25">
        <f>IF(AND(L527=1,C527&lt;&gt;""),SUBSTITUTE(SUBSTITUTE(SUBSTITUTE(SUBSTITUTE(SUBSTITUTE(SUBSTITUTE(SUBSTITUTE(SUBSTITUTE(SUBSTITUTE(SUBSTITUTE(SUBSTITUTE(SUBSTITUTE(LOWER(TRIM(C527)),"á","a"),"é","e"),"í","i"),"ó","o"),"ú","u"),"ü","u"),"ñ","n"),"à","a"),"è","e"),"ì","i"),"ò","o"),"ù","u"),"")</f>
        <v/>
      </c>
      <c r="Q527" s="25">
        <f>IF(AND(L527=1,E527&lt;&gt;""),SUBSTITUTE(SUBSTITUTE(SUBSTITUTE(SUBSTITUTE(SUBSTITUTE(SUBSTITUTE(SUBSTITUTE(SUBSTITUTE(SUBSTITUTE(SUBSTITUTE(SUBSTITUTE(SUBSTITUTE(LOWER(TRIM(E527)),"á","a"),"é","e"),"í","i"),"ó","o"),"ú","u"),"ü","u"),"ñ","n"),"à","a"),"è","e"),"ì","i"),"ò","o"),"ù","u"),"")</f>
        <v/>
      </c>
      <c r="R527" s="25">
        <f>IF(AND(L527=1,I527&lt;&gt;""),SUBSTITUTE(SUBSTITUTE(SUBSTITUTE(SUBSTITUTE(SUBSTITUTE(SUBSTITUTE(SUBSTITUTE(SUBSTITUTE(SUBSTITUTE(SUBSTITUTE(SUBSTITUTE(SUBSTITUTE(LOWER(TRIM(I527)),"á","a"),"é","e"),"í","i"),"ó","o"),"ú","u"),"ü","u"),"ñ","n"),"à","a"),"è","e"),"ì","i"),"ò","o"),"ù","u"),"")</f>
        <v/>
      </c>
      <c r="S527" s="25">
        <f>IF(R527="","",IF(OR(R527="si",R527="tal vez"),1,0))</f>
        <v/>
      </c>
      <c r="T527" s="25">
        <f>IF(AND(L527=1,D527&lt;&gt;""),IF(IFERROR(COUNTIFS(D$3:D527,"="&amp;SUBSTITUTE(SUBSTITUTE(SUBSTITUTE(D527,"~","~~"),"*","~*"),"?","~?"),L$3:L527,1),0)=1,MAX(T$2:T526)+1,""),"")</f>
        <v/>
      </c>
      <c r="U527" s="25">
        <f>IF(T527="","",COUNTIFS($D$3:$D$1002,"="&amp;SUBSTITUTE(SUBSTITUTE(SUBSTITUTE(D527,"~","~~"),"*","~*"),"?","~?"),$L$3:$L$1002,1)*10000-T527)</f>
        <v/>
      </c>
      <c r="V527" s="25">
        <f>IF(AND(L527=1,J527&lt;&gt;""),IF(IFERROR(COUNTIFS(J$3:J527,"="&amp;SUBSTITUTE(SUBSTITUTE(SUBSTITUTE(J527,"~","~~"),"*","~*"),"?","~?"),L$3:L527,1),0)=1,MAX(V$2:V526)+1,""),"")</f>
        <v/>
      </c>
      <c r="W527" s="25">
        <f>IF(V527="","",COUNTIFS($J$3:$J$1002,"="&amp;SUBSTITUTE(SUBSTITUTE(SUBSTITUTE(J527,"~","~~"),"*","~*"),"?","~?"),$L$3:$L$1002,1)*10000-V527)</f>
        <v/>
      </c>
    </row>
    <row r="528">
      <c r="A528">
        <f>IF(A$2=0,"",IFERROR(TRIM(INDEX('Pegar estudiantes'!$A$1:$BZ$1001,527,A$2)&amp;""),""))</f>
        <v/>
      </c>
      <c r="B528">
        <f>IF(B$2=0,"",IFERROR(TRIM(INDEX('Pegar estudiantes'!$A$1:$BZ$1001,527,B$2)&amp;""),""))</f>
        <v/>
      </c>
      <c r="C528">
        <f>IF(C$2=0,"",IFERROR(TRIM(INDEX('Pegar estudiantes'!$A$1:$BZ$1001,527,C$2)&amp;""),""))</f>
        <v/>
      </c>
      <c r="D528">
        <f>IF(D$2=0,"",IFERROR(TRIM(INDEX('Pegar estudiantes'!$A$1:$BZ$1001,527,D$2)&amp;""),""))</f>
        <v/>
      </c>
      <c r="E528">
        <f>IF(E$2=0,"",IFERROR(TRIM(INDEX('Pegar estudiantes'!$A$1:$BZ$1001,527,E$2)&amp;""),""))</f>
        <v/>
      </c>
      <c r="F528">
        <f>IF(F$2=0,"",IFERROR(TRIM(INDEX('Pegar estudiantes'!$A$1:$BZ$1001,527,F$2)&amp;""),""))</f>
        <v/>
      </c>
      <c r="G528">
        <f>IF(G$2=0,"",IFERROR(TRIM(INDEX('Pegar estudiantes'!$A$1:$BZ$1001,527,G$2)&amp;""),""))</f>
        <v/>
      </c>
      <c r="H528">
        <f>IF(H$2=0,"",IFERROR(TRIM(INDEX('Pegar estudiantes'!$A$1:$BZ$1001,527,H$2)&amp;""),""))</f>
        <v/>
      </c>
      <c r="I528">
        <f>IF(I$2=0,"",IFERROR(TRIM(INDEX('Pegar estudiantes'!$A$1:$BZ$1001,527,I$2)&amp;""),""))</f>
        <v/>
      </c>
      <c r="J528">
        <f>IF(J$2=0,"",IFERROR(TRIM(INDEX('Pegar estudiantes'!$A$1:$BZ$1001,527,J$2)&amp;""),""))</f>
        <v/>
      </c>
      <c r="K528">
        <f>IF(K$2=0,"",IFERROR(TRIM(INDEX('Pegar estudiantes'!$A$1:$BZ$1001,527,K$2)&amp;""),""))</f>
        <v/>
      </c>
      <c r="L528" s="25">
        <f>IF(A528&lt;&gt;"",1,"")</f>
        <v/>
      </c>
      <c r="M528" s="25">
        <f>IF(L528=1,IF(ISNUMBER(FIND("#"&amp;MID(A528,1,1)&amp;"#","#0#1#2#3#4#5#6#7#8#9#")),IF(ISNUMBER(FIND("#"&amp;MID(A528,2,1)&amp;"#","#0#1#2#3#4#5#6#7#8#9#")),IF(AND(VALUE(LEFT(A528,2))&gt;=1,VALUE(LEFT(A528,2))&lt;=5),VALUE(LEFT(A528,2)),""),IF(AND(VALUE(LEFT(A528,1))&gt;=1,VALUE(LEFT(A528,1))&lt;=5),VALUE(LEFT(A528,1)),"")),""),"")</f>
        <v/>
      </c>
      <c r="N528" s="25">
        <f>IF(L528=1,IF(ISNUMBER(FIND("#"&amp;MID(H528,1,1)&amp;"#","#0#1#2#3#4#5#6#7#8#9#")),IF(ISNUMBER(FIND("#"&amp;MID(H528,2,1)&amp;"#","#0#1#2#3#4#5#6#7#8#9#")),IF(AND(VALUE(LEFT(H528,2))&gt;=1,VALUE(LEFT(H528,2))&lt;=5),VALUE(LEFT(H528,2)),""),IF(AND(VALUE(LEFT(H528,1))&gt;=1,VALUE(LEFT(H528,1))&lt;=5),VALUE(LEFT(H528,1)),"")),""),"")</f>
        <v/>
      </c>
      <c r="O528" s="25">
        <f>IF(AND(L528=1,B528&lt;&gt;""),SUBSTITUTE(SUBSTITUTE(SUBSTITUTE(SUBSTITUTE(SUBSTITUTE(SUBSTITUTE(SUBSTITUTE(SUBSTITUTE(SUBSTITUTE(SUBSTITUTE(SUBSTITUTE(SUBSTITUTE(LOWER(TRIM(B528)),"á","a"),"é","e"),"í","i"),"ó","o"),"ú","u"),"ü","u"),"ñ","n"),"à","a"),"è","e"),"ì","i"),"ò","o"),"ù","u"),"")</f>
        <v/>
      </c>
      <c r="P528" s="25">
        <f>IF(AND(L528=1,C528&lt;&gt;""),SUBSTITUTE(SUBSTITUTE(SUBSTITUTE(SUBSTITUTE(SUBSTITUTE(SUBSTITUTE(SUBSTITUTE(SUBSTITUTE(SUBSTITUTE(SUBSTITUTE(SUBSTITUTE(SUBSTITUTE(LOWER(TRIM(C528)),"á","a"),"é","e"),"í","i"),"ó","o"),"ú","u"),"ü","u"),"ñ","n"),"à","a"),"è","e"),"ì","i"),"ò","o"),"ù","u"),"")</f>
        <v/>
      </c>
      <c r="Q528" s="25">
        <f>IF(AND(L528=1,E528&lt;&gt;""),SUBSTITUTE(SUBSTITUTE(SUBSTITUTE(SUBSTITUTE(SUBSTITUTE(SUBSTITUTE(SUBSTITUTE(SUBSTITUTE(SUBSTITUTE(SUBSTITUTE(SUBSTITUTE(SUBSTITUTE(LOWER(TRIM(E528)),"á","a"),"é","e"),"í","i"),"ó","o"),"ú","u"),"ü","u"),"ñ","n"),"à","a"),"è","e"),"ì","i"),"ò","o"),"ù","u"),"")</f>
        <v/>
      </c>
      <c r="R528" s="25">
        <f>IF(AND(L528=1,I528&lt;&gt;""),SUBSTITUTE(SUBSTITUTE(SUBSTITUTE(SUBSTITUTE(SUBSTITUTE(SUBSTITUTE(SUBSTITUTE(SUBSTITUTE(SUBSTITUTE(SUBSTITUTE(SUBSTITUTE(SUBSTITUTE(LOWER(TRIM(I528)),"á","a"),"é","e"),"í","i"),"ó","o"),"ú","u"),"ü","u"),"ñ","n"),"à","a"),"è","e"),"ì","i"),"ò","o"),"ù","u"),"")</f>
        <v/>
      </c>
      <c r="S528" s="25">
        <f>IF(R528="","",IF(OR(R528="si",R528="tal vez"),1,0))</f>
        <v/>
      </c>
      <c r="T528" s="25">
        <f>IF(AND(L528=1,D528&lt;&gt;""),IF(IFERROR(COUNTIFS(D$3:D528,"="&amp;SUBSTITUTE(SUBSTITUTE(SUBSTITUTE(D528,"~","~~"),"*","~*"),"?","~?"),L$3:L528,1),0)=1,MAX(T$2:T527)+1,""),"")</f>
        <v/>
      </c>
      <c r="U528" s="25">
        <f>IF(T528="","",COUNTIFS($D$3:$D$1002,"="&amp;SUBSTITUTE(SUBSTITUTE(SUBSTITUTE(D528,"~","~~"),"*","~*"),"?","~?"),$L$3:$L$1002,1)*10000-T528)</f>
        <v/>
      </c>
      <c r="V528" s="25">
        <f>IF(AND(L528=1,J528&lt;&gt;""),IF(IFERROR(COUNTIFS(J$3:J528,"="&amp;SUBSTITUTE(SUBSTITUTE(SUBSTITUTE(J528,"~","~~"),"*","~*"),"?","~?"),L$3:L528,1),0)=1,MAX(V$2:V527)+1,""),"")</f>
        <v/>
      </c>
      <c r="W528" s="25">
        <f>IF(V528="","",COUNTIFS($J$3:$J$1002,"="&amp;SUBSTITUTE(SUBSTITUTE(SUBSTITUTE(J528,"~","~~"),"*","~*"),"?","~?"),$L$3:$L$1002,1)*10000-V528)</f>
        <v/>
      </c>
    </row>
    <row r="529">
      <c r="A529">
        <f>IF(A$2=0,"",IFERROR(TRIM(INDEX('Pegar estudiantes'!$A$1:$BZ$1001,528,A$2)&amp;""),""))</f>
        <v/>
      </c>
      <c r="B529">
        <f>IF(B$2=0,"",IFERROR(TRIM(INDEX('Pegar estudiantes'!$A$1:$BZ$1001,528,B$2)&amp;""),""))</f>
        <v/>
      </c>
      <c r="C529">
        <f>IF(C$2=0,"",IFERROR(TRIM(INDEX('Pegar estudiantes'!$A$1:$BZ$1001,528,C$2)&amp;""),""))</f>
        <v/>
      </c>
      <c r="D529">
        <f>IF(D$2=0,"",IFERROR(TRIM(INDEX('Pegar estudiantes'!$A$1:$BZ$1001,528,D$2)&amp;""),""))</f>
        <v/>
      </c>
      <c r="E529">
        <f>IF(E$2=0,"",IFERROR(TRIM(INDEX('Pegar estudiantes'!$A$1:$BZ$1001,528,E$2)&amp;""),""))</f>
        <v/>
      </c>
      <c r="F529">
        <f>IF(F$2=0,"",IFERROR(TRIM(INDEX('Pegar estudiantes'!$A$1:$BZ$1001,528,F$2)&amp;""),""))</f>
        <v/>
      </c>
      <c r="G529">
        <f>IF(G$2=0,"",IFERROR(TRIM(INDEX('Pegar estudiantes'!$A$1:$BZ$1001,528,G$2)&amp;""),""))</f>
        <v/>
      </c>
      <c r="H529">
        <f>IF(H$2=0,"",IFERROR(TRIM(INDEX('Pegar estudiantes'!$A$1:$BZ$1001,528,H$2)&amp;""),""))</f>
        <v/>
      </c>
      <c r="I529">
        <f>IF(I$2=0,"",IFERROR(TRIM(INDEX('Pegar estudiantes'!$A$1:$BZ$1001,528,I$2)&amp;""),""))</f>
        <v/>
      </c>
      <c r="J529">
        <f>IF(J$2=0,"",IFERROR(TRIM(INDEX('Pegar estudiantes'!$A$1:$BZ$1001,528,J$2)&amp;""),""))</f>
        <v/>
      </c>
      <c r="K529">
        <f>IF(K$2=0,"",IFERROR(TRIM(INDEX('Pegar estudiantes'!$A$1:$BZ$1001,528,K$2)&amp;""),""))</f>
        <v/>
      </c>
      <c r="L529" s="25">
        <f>IF(A529&lt;&gt;"",1,"")</f>
        <v/>
      </c>
      <c r="M529" s="25">
        <f>IF(L529=1,IF(ISNUMBER(FIND("#"&amp;MID(A529,1,1)&amp;"#","#0#1#2#3#4#5#6#7#8#9#")),IF(ISNUMBER(FIND("#"&amp;MID(A529,2,1)&amp;"#","#0#1#2#3#4#5#6#7#8#9#")),IF(AND(VALUE(LEFT(A529,2))&gt;=1,VALUE(LEFT(A529,2))&lt;=5),VALUE(LEFT(A529,2)),""),IF(AND(VALUE(LEFT(A529,1))&gt;=1,VALUE(LEFT(A529,1))&lt;=5),VALUE(LEFT(A529,1)),"")),""),"")</f>
        <v/>
      </c>
      <c r="N529" s="25">
        <f>IF(L529=1,IF(ISNUMBER(FIND("#"&amp;MID(H529,1,1)&amp;"#","#0#1#2#3#4#5#6#7#8#9#")),IF(ISNUMBER(FIND("#"&amp;MID(H529,2,1)&amp;"#","#0#1#2#3#4#5#6#7#8#9#")),IF(AND(VALUE(LEFT(H529,2))&gt;=1,VALUE(LEFT(H529,2))&lt;=5),VALUE(LEFT(H529,2)),""),IF(AND(VALUE(LEFT(H529,1))&gt;=1,VALUE(LEFT(H529,1))&lt;=5),VALUE(LEFT(H529,1)),"")),""),"")</f>
        <v/>
      </c>
      <c r="O529" s="25">
        <f>IF(AND(L529=1,B529&lt;&gt;""),SUBSTITUTE(SUBSTITUTE(SUBSTITUTE(SUBSTITUTE(SUBSTITUTE(SUBSTITUTE(SUBSTITUTE(SUBSTITUTE(SUBSTITUTE(SUBSTITUTE(SUBSTITUTE(SUBSTITUTE(LOWER(TRIM(B529)),"á","a"),"é","e"),"í","i"),"ó","o"),"ú","u"),"ü","u"),"ñ","n"),"à","a"),"è","e"),"ì","i"),"ò","o"),"ù","u"),"")</f>
        <v/>
      </c>
      <c r="P529" s="25">
        <f>IF(AND(L529=1,C529&lt;&gt;""),SUBSTITUTE(SUBSTITUTE(SUBSTITUTE(SUBSTITUTE(SUBSTITUTE(SUBSTITUTE(SUBSTITUTE(SUBSTITUTE(SUBSTITUTE(SUBSTITUTE(SUBSTITUTE(SUBSTITUTE(LOWER(TRIM(C529)),"á","a"),"é","e"),"í","i"),"ó","o"),"ú","u"),"ü","u"),"ñ","n"),"à","a"),"è","e"),"ì","i"),"ò","o"),"ù","u"),"")</f>
        <v/>
      </c>
      <c r="Q529" s="25">
        <f>IF(AND(L529=1,E529&lt;&gt;""),SUBSTITUTE(SUBSTITUTE(SUBSTITUTE(SUBSTITUTE(SUBSTITUTE(SUBSTITUTE(SUBSTITUTE(SUBSTITUTE(SUBSTITUTE(SUBSTITUTE(SUBSTITUTE(SUBSTITUTE(LOWER(TRIM(E529)),"á","a"),"é","e"),"í","i"),"ó","o"),"ú","u"),"ü","u"),"ñ","n"),"à","a"),"è","e"),"ì","i"),"ò","o"),"ù","u"),"")</f>
        <v/>
      </c>
      <c r="R529" s="25">
        <f>IF(AND(L529=1,I529&lt;&gt;""),SUBSTITUTE(SUBSTITUTE(SUBSTITUTE(SUBSTITUTE(SUBSTITUTE(SUBSTITUTE(SUBSTITUTE(SUBSTITUTE(SUBSTITUTE(SUBSTITUTE(SUBSTITUTE(SUBSTITUTE(LOWER(TRIM(I529)),"á","a"),"é","e"),"í","i"),"ó","o"),"ú","u"),"ü","u"),"ñ","n"),"à","a"),"è","e"),"ì","i"),"ò","o"),"ù","u"),"")</f>
        <v/>
      </c>
      <c r="S529" s="25">
        <f>IF(R529="","",IF(OR(R529="si",R529="tal vez"),1,0))</f>
        <v/>
      </c>
      <c r="T529" s="25">
        <f>IF(AND(L529=1,D529&lt;&gt;""),IF(IFERROR(COUNTIFS(D$3:D529,"="&amp;SUBSTITUTE(SUBSTITUTE(SUBSTITUTE(D529,"~","~~"),"*","~*"),"?","~?"),L$3:L529,1),0)=1,MAX(T$2:T528)+1,""),"")</f>
        <v/>
      </c>
      <c r="U529" s="25">
        <f>IF(T529="","",COUNTIFS($D$3:$D$1002,"="&amp;SUBSTITUTE(SUBSTITUTE(SUBSTITUTE(D529,"~","~~"),"*","~*"),"?","~?"),$L$3:$L$1002,1)*10000-T529)</f>
        <v/>
      </c>
      <c r="V529" s="25">
        <f>IF(AND(L529=1,J529&lt;&gt;""),IF(IFERROR(COUNTIFS(J$3:J529,"="&amp;SUBSTITUTE(SUBSTITUTE(SUBSTITUTE(J529,"~","~~"),"*","~*"),"?","~?"),L$3:L529,1),0)=1,MAX(V$2:V528)+1,""),"")</f>
        <v/>
      </c>
      <c r="W529" s="25">
        <f>IF(V529="","",COUNTIFS($J$3:$J$1002,"="&amp;SUBSTITUTE(SUBSTITUTE(SUBSTITUTE(J529,"~","~~"),"*","~*"),"?","~?"),$L$3:$L$1002,1)*10000-V529)</f>
        <v/>
      </c>
    </row>
    <row r="530">
      <c r="A530">
        <f>IF(A$2=0,"",IFERROR(TRIM(INDEX('Pegar estudiantes'!$A$1:$BZ$1001,529,A$2)&amp;""),""))</f>
        <v/>
      </c>
      <c r="B530">
        <f>IF(B$2=0,"",IFERROR(TRIM(INDEX('Pegar estudiantes'!$A$1:$BZ$1001,529,B$2)&amp;""),""))</f>
        <v/>
      </c>
      <c r="C530">
        <f>IF(C$2=0,"",IFERROR(TRIM(INDEX('Pegar estudiantes'!$A$1:$BZ$1001,529,C$2)&amp;""),""))</f>
        <v/>
      </c>
      <c r="D530">
        <f>IF(D$2=0,"",IFERROR(TRIM(INDEX('Pegar estudiantes'!$A$1:$BZ$1001,529,D$2)&amp;""),""))</f>
        <v/>
      </c>
      <c r="E530">
        <f>IF(E$2=0,"",IFERROR(TRIM(INDEX('Pegar estudiantes'!$A$1:$BZ$1001,529,E$2)&amp;""),""))</f>
        <v/>
      </c>
      <c r="F530">
        <f>IF(F$2=0,"",IFERROR(TRIM(INDEX('Pegar estudiantes'!$A$1:$BZ$1001,529,F$2)&amp;""),""))</f>
        <v/>
      </c>
      <c r="G530">
        <f>IF(G$2=0,"",IFERROR(TRIM(INDEX('Pegar estudiantes'!$A$1:$BZ$1001,529,G$2)&amp;""),""))</f>
        <v/>
      </c>
      <c r="H530">
        <f>IF(H$2=0,"",IFERROR(TRIM(INDEX('Pegar estudiantes'!$A$1:$BZ$1001,529,H$2)&amp;""),""))</f>
        <v/>
      </c>
      <c r="I530">
        <f>IF(I$2=0,"",IFERROR(TRIM(INDEX('Pegar estudiantes'!$A$1:$BZ$1001,529,I$2)&amp;""),""))</f>
        <v/>
      </c>
      <c r="J530">
        <f>IF(J$2=0,"",IFERROR(TRIM(INDEX('Pegar estudiantes'!$A$1:$BZ$1001,529,J$2)&amp;""),""))</f>
        <v/>
      </c>
      <c r="K530">
        <f>IF(K$2=0,"",IFERROR(TRIM(INDEX('Pegar estudiantes'!$A$1:$BZ$1001,529,K$2)&amp;""),""))</f>
        <v/>
      </c>
      <c r="L530" s="25">
        <f>IF(A530&lt;&gt;"",1,"")</f>
        <v/>
      </c>
      <c r="M530" s="25">
        <f>IF(L530=1,IF(ISNUMBER(FIND("#"&amp;MID(A530,1,1)&amp;"#","#0#1#2#3#4#5#6#7#8#9#")),IF(ISNUMBER(FIND("#"&amp;MID(A530,2,1)&amp;"#","#0#1#2#3#4#5#6#7#8#9#")),IF(AND(VALUE(LEFT(A530,2))&gt;=1,VALUE(LEFT(A530,2))&lt;=5),VALUE(LEFT(A530,2)),""),IF(AND(VALUE(LEFT(A530,1))&gt;=1,VALUE(LEFT(A530,1))&lt;=5),VALUE(LEFT(A530,1)),"")),""),"")</f>
        <v/>
      </c>
      <c r="N530" s="25">
        <f>IF(L530=1,IF(ISNUMBER(FIND("#"&amp;MID(H530,1,1)&amp;"#","#0#1#2#3#4#5#6#7#8#9#")),IF(ISNUMBER(FIND("#"&amp;MID(H530,2,1)&amp;"#","#0#1#2#3#4#5#6#7#8#9#")),IF(AND(VALUE(LEFT(H530,2))&gt;=1,VALUE(LEFT(H530,2))&lt;=5),VALUE(LEFT(H530,2)),""),IF(AND(VALUE(LEFT(H530,1))&gt;=1,VALUE(LEFT(H530,1))&lt;=5),VALUE(LEFT(H530,1)),"")),""),"")</f>
        <v/>
      </c>
      <c r="O530" s="25">
        <f>IF(AND(L530=1,B530&lt;&gt;""),SUBSTITUTE(SUBSTITUTE(SUBSTITUTE(SUBSTITUTE(SUBSTITUTE(SUBSTITUTE(SUBSTITUTE(SUBSTITUTE(SUBSTITUTE(SUBSTITUTE(SUBSTITUTE(SUBSTITUTE(LOWER(TRIM(B530)),"á","a"),"é","e"),"í","i"),"ó","o"),"ú","u"),"ü","u"),"ñ","n"),"à","a"),"è","e"),"ì","i"),"ò","o"),"ù","u"),"")</f>
        <v/>
      </c>
      <c r="P530" s="25">
        <f>IF(AND(L530=1,C530&lt;&gt;""),SUBSTITUTE(SUBSTITUTE(SUBSTITUTE(SUBSTITUTE(SUBSTITUTE(SUBSTITUTE(SUBSTITUTE(SUBSTITUTE(SUBSTITUTE(SUBSTITUTE(SUBSTITUTE(SUBSTITUTE(LOWER(TRIM(C530)),"á","a"),"é","e"),"í","i"),"ó","o"),"ú","u"),"ü","u"),"ñ","n"),"à","a"),"è","e"),"ì","i"),"ò","o"),"ù","u"),"")</f>
        <v/>
      </c>
      <c r="Q530" s="25">
        <f>IF(AND(L530=1,E530&lt;&gt;""),SUBSTITUTE(SUBSTITUTE(SUBSTITUTE(SUBSTITUTE(SUBSTITUTE(SUBSTITUTE(SUBSTITUTE(SUBSTITUTE(SUBSTITUTE(SUBSTITUTE(SUBSTITUTE(SUBSTITUTE(LOWER(TRIM(E530)),"á","a"),"é","e"),"í","i"),"ó","o"),"ú","u"),"ü","u"),"ñ","n"),"à","a"),"è","e"),"ì","i"),"ò","o"),"ù","u"),"")</f>
        <v/>
      </c>
      <c r="R530" s="25">
        <f>IF(AND(L530=1,I530&lt;&gt;""),SUBSTITUTE(SUBSTITUTE(SUBSTITUTE(SUBSTITUTE(SUBSTITUTE(SUBSTITUTE(SUBSTITUTE(SUBSTITUTE(SUBSTITUTE(SUBSTITUTE(SUBSTITUTE(SUBSTITUTE(LOWER(TRIM(I530)),"á","a"),"é","e"),"í","i"),"ó","o"),"ú","u"),"ü","u"),"ñ","n"),"à","a"),"è","e"),"ì","i"),"ò","o"),"ù","u"),"")</f>
        <v/>
      </c>
      <c r="S530" s="25">
        <f>IF(R530="","",IF(OR(R530="si",R530="tal vez"),1,0))</f>
        <v/>
      </c>
      <c r="T530" s="25">
        <f>IF(AND(L530=1,D530&lt;&gt;""),IF(IFERROR(COUNTIFS(D$3:D530,"="&amp;SUBSTITUTE(SUBSTITUTE(SUBSTITUTE(D530,"~","~~"),"*","~*"),"?","~?"),L$3:L530,1),0)=1,MAX(T$2:T529)+1,""),"")</f>
        <v/>
      </c>
      <c r="U530" s="25">
        <f>IF(T530="","",COUNTIFS($D$3:$D$1002,"="&amp;SUBSTITUTE(SUBSTITUTE(SUBSTITUTE(D530,"~","~~"),"*","~*"),"?","~?"),$L$3:$L$1002,1)*10000-T530)</f>
        <v/>
      </c>
      <c r="V530" s="25">
        <f>IF(AND(L530=1,J530&lt;&gt;""),IF(IFERROR(COUNTIFS(J$3:J530,"="&amp;SUBSTITUTE(SUBSTITUTE(SUBSTITUTE(J530,"~","~~"),"*","~*"),"?","~?"),L$3:L530,1),0)=1,MAX(V$2:V529)+1,""),"")</f>
        <v/>
      </c>
      <c r="W530" s="25">
        <f>IF(V530="","",COUNTIFS($J$3:$J$1002,"="&amp;SUBSTITUTE(SUBSTITUTE(SUBSTITUTE(J530,"~","~~"),"*","~*"),"?","~?"),$L$3:$L$1002,1)*10000-V530)</f>
        <v/>
      </c>
    </row>
    <row r="531">
      <c r="A531">
        <f>IF(A$2=0,"",IFERROR(TRIM(INDEX('Pegar estudiantes'!$A$1:$BZ$1001,530,A$2)&amp;""),""))</f>
        <v/>
      </c>
      <c r="B531">
        <f>IF(B$2=0,"",IFERROR(TRIM(INDEX('Pegar estudiantes'!$A$1:$BZ$1001,530,B$2)&amp;""),""))</f>
        <v/>
      </c>
      <c r="C531">
        <f>IF(C$2=0,"",IFERROR(TRIM(INDEX('Pegar estudiantes'!$A$1:$BZ$1001,530,C$2)&amp;""),""))</f>
        <v/>
      </c>
      <c r="D531">
        <f>IF(D$2=0,"",IFERROR(TRIM(INDEX('Pegar estudiantes'!$A$1:$BZ$1001,530,D$2)&amp;""),""))</f>
        <v/>
      </c>
      <c r="E531">
        <f>IF(E$2=0,"",IFERROR(TRIM(INDEX('Pegar estudiantes'!$A$1:$BZ$1001,530,E$2)&amp;""),""))</f>
        <v/>
      </c>
      <c r="F531">
        <f>IF(F$2=0,"",IFERROR(TRIM(INDEX('Pegar estudiantes'!$A$1:$BZ$1001,530,F$2)&amp;""),""))</f>
        <v/>
      </c>
      <c r="G531">
        <f>IF(G$2=0,"",IFERROR(TRIM(INDEX('Pegar estudiantes'!$A$1:$BZ$1001,530,G$2)&amp;""),""))</f>
        <v/>
      </c>
      <c r="H531">
        <f>IF(H$2=0,"",IFERROR(TRIM(INDEX('Pegar estudiantes'!$A$1:$BZ$1001,530,H$2)&amp;""),""))</f>
        <v/>
      </c>
      <c r="I531">
        <f>IF(I$2=0,"",IFERROR(TRIM(INDEX('Pegar estudiantes'!$A$1:$BZ$1001,530,I$2)&amp;""),""))</f>
        <v/>
      </c>
      <c r="J531">
        <f>IF(J$2=0,"",IFERROR(TRIM(INDEX('Pegar estudiantes'!$A$1:$BZ$1001,530,J$2)&amp;""),""))</f>
        <v/>
      </c>
      <c r="K531">
        <f>IF(K$2=0,"",IFERROR(TRIM(INDEX('Pegar estudiantes'!$A$1:$BZ$1001,530,K$2)&amp;""),""))</f>
        <v/>
      </c>
      <c r="L531" s="25">
        <f>IF(A531&lt;&gt;"",1,"")</f>
        <v/>
      </c>
      <c r="M531" s="25">
        <f>IF(L531=1,IF(ISNUMBER(FIND("#"&amp;MID(A531,1,1)&amp;"#","#0#1#2#3#4#5#6#7#8#9#")),IF(ISNUMBER(FIND("#"&amp;MID(A531,2,1)&amp;"#","#0#1#2#3#4#5#6#7#8#9#")),IF(AND(VALUE(LEFT(A531,2))&gt;=1,VALUE(LEFT(A531,2))&lt;=5),VALUE(LEFT(A531,2)),""),IF(AND(VALUE(LEFT(A531,1))&gt;=1,VALUE(LEFT(A531,1))&lt;=5),VALUE(LEFT(A531,1)),"")),""),"")</f>
        <v/>
      </c>
      <c r="N531" s="25">
        <f>IF(L531=1,IF(ISNUMBER(FIND("#"&amp;MID(H531,1,1)&amp;"#","#0#1#2#3#4#5#6#7#8#9#")),IF(ISNUMBER(FIND("#"&amp;MID(H531,2,1)&amp;"#","#0#1#2#3#4#5#6#7#8#9#")),IF(AND(VALUE(LEFT(H531,2))&gt;=1,VALUE(LEFT(H531,2))&lt;=5),VALUE(LEFT(H531,2)),""),IF(AND(VALUE(LEFT(H531,1))&gt;=1,VALUE(LEFT(H531,1))&lt;=5),VALUE(LEFT(H531,1)),"")),""),"")</f>
        <v/>
      </c>
      <c r="O531" s="25">
        <f>IF(AND(L531=1,B531&lt;&gt;""),SUBSTITUTE(SUBSTITUTE(SUBSTITUTE(SUBSTITUTE(SUBSTITUTE(SUBSTITUTE(SUBSTITUTE(SUBSTITUTE(SUBSTITUTE(SUBSTITUTE(SUBSTITUTE(SUBSTITUTE(LOWER(TRIM(B531)),"á","a"),"é","e"),"í","i"),"ó","o"),"ú","u"),"ü","u"),"ñ","n"),"à","a"),"è","e"),"ì","i"),"ò","o"),"ù","u"),"")</f>
        <v/>
      </c>
      <c r="P531" s="25">
        <f>IF(AND(L531=1,C531&lt;&gt;""),SUBSTITUTE(SUBSTITUTE(SUBSTITUTE(SUBSTITUTE(SUBSTITUTE(SUBSTITUTE(SUBSTITUTE(SUBSTITUTE(SUBSTITUTE(SUBSTITUTE(SUBSTITUTE(SUBSTITUTE(LOWER(TRIM(C531)),"á","a"),"é","e"),"í","i"),"ó","o"),"ú","u"),"ü","u"),"ñ","n"),"à","a"),"è","e"),"ì","i"),"ò","o"),"ù","u"),"")</f>
        <v/>
      </c>
      <c r="Q531" s="25">
        <f>IF(AND(L531=1,E531&lt;&gt;""),SUBSTITUTE(SUBSTITUTE(SUBSTITUTE(SUBSTITUTE(SUBSTITUTE(SUBSTITUTE(SUBSTITUTE(SUBSTITUTE(SUBSTITUTE(SUBSTITUTE(SUBSTITUTE(SUBSTITUTE(LOWER(TRIM(E531)),"á","a"),"é","e"),"í","i"),"ó","o"),"ú","u"),"ü","u"),"ñ","n"),"à","a"),"è","e"),"ì","i"),"ò","o"),"ù","u"),"")</f>
        <v/>
      </c>
      <c r="R531" s="25">
        <f>IF(AND(L531=1,I531&lt;&gt;""),SUBSTITUTE(SUBSTITUTE(SUBSTITUTE(SUBSTITUTE(SUBSTITUTE(SUBSTITUTE(SUBSTITUTE(SUBSTITUTE(SUBSTITUTE(SUBSTITUTE(SUBSTITUTE(SUBSTITUTE(LOWER(TRIM(I531)),"á","a"),"é","e"),"í","i"),"ó","o"),"ú","u"),"ü","u"),"ñ","n"),"à","a"),"è","e"),"ì","i"),"ò","o"),"ù","u"),"")</f>
        <v/>
      </c>
      <c r="S531" s="25">
        <f>IF(R531="","",IF(OR(R531="si",R531="tal vez"),1,0))</f>
        <v/>
      </c>
      <c r="T531" s="25">
        <f>IF(AND(L531=1,D531&lt;&gt;""),IF(IFERROR(COUNTIFS(D$3:D531,"="&amp;SUBSTITUTE(SUBSTITUTE(SUBSTITUTE(D531,"~","~~"),"*","~*"),"?","~?"),L$3:L531,1),0)=1,MAX(T$2:T530)+1,""),"")</f>
        <v/>
      </c>
      <c r="U531" s="25">
        <f>IF(T531="","",COUNTIFS($D$3:$D$1002,"="&amp;SUBSTITUTE(SUBSTITUTE(SUBSTITUTE(D531,"~","~~"),"*","~*"),"?","~?"),$L$3:$L$1002,1)*10000-T531)</f>
        <v/>
      </c>
      <c r="V531" s="25">
        <f>IF(AND(L531=1,J531&lt;&gt;""),IF(IFERROR(COUNTIFS(J$3:J531,"="&amp;SUBSTITUTE(SUBSTITUTE(SUBSTITUTE(J531,"~","~~"),"*","~*"),"?","~?"),L$3:L531,1),0)=1,MAX(V$2:V530)+1,""),"")</f>
        <v/>
      </c>
      <c r="W531" s="25">
        <f>IF(V531="","",COUNTIFS($J$3:$J$1002,"="&amp;SUBSTITUTE(SUBSTITUTE(SUBSTITUTE(J531,"~","~~"),"*","~*"),"?","~?"),$L$3:$L$1002,1)*10000-V531)</f>
        <v/>
      </c>
    </row>
    <row r="532">
      <c r="A532">
        <f>IF(A$2=0,"",IFERROR(TRIM(INDEX('Pegar estudiantes'!$A$1:$BZ$1001,531,A$2)&amp;""),""))</f>
        <v/>
      </c>
      <c r="B532">
        <f>IF(B$2=0,"",IFERROR(TRIM(INDEX('Pegar estudiantes'!$A$1:$BZ$1001,531,B$2)&amp;""),""))</f>
        <v/>
      </c>
      <c r="C532">
        <f>IF(C$2=0,"",IFERROR(TRIM(INDEX('Pegar estudiantes'!$A$1:$BZ$1001,531,C$2)&amp;""),""))</f>
        <v/>
      </c>
      <c r="D532">
        <f>IF(D$2=0,"",IFERROR(TRIM(INDEX('Pegar estudiantes'!$A$1:$BZ$1001,531,D$2)&amp;""),""))</f>
        <v/>
      </c>
      <c r="E532">
        <f>IF(E$2=0,"",IFERROR(TRIM(INDEX('Pegar estudiantes'!$A$1:$BZ$1001,531,E$2)&amp;""),""))</f>
        <v/>
      </c>
      <c r="F532">
        <f>IF(F$2=0,"",IFERROR(TRIM(INDEX('Pegar estudiantes'!$A$1:$BZ$1001,531,F$2)&amp;""),""))</f>
        <v/>
      </c>
      <c r="G532">
        <f>IF(G$2=0,"",IFERROR(TRIM(INDEX('Pegar estudiantes'!$A$1:$BZ$1001,531,G$2)&amp;""),""))</f>
        <v/>
      </c>
      <c r="H532">
        <f>IF(H$2=0,"",IFERROR(TRIM(INDEX('Pegar estudiantes'!$A$1:$BZ$1001,531,H$2)&amp;""),""))</f>
        <v/>
      </c>
      <c r="I532">
        <f>IF(I$2=0,"",IFERROR(TRIM(INDEX('Pegar estudiantes'!$A$1:$BZ$1001,531,I$2)&amp;""),""))</f>
        <v/>
      </c>
      <c r="J532">
        <f>IF(J$2=0,"",IFERROR(TRIM(INDEX('Pegar estudiantes'!$A$1:$BZ$1001,531,J$2)&amp;""),""))</f>
        <v/>
      </c>
      <c r="K532">
        <f>IF(K$2=0,"",IFERROR(TRIM(INDEX('Pegar estudiantes'!$A$1:$BZ$1001,531,K$2)&amp;""),""))</f>
        <v/>
      </c>
      <c r="L532" s="25">
        <f>IF(A532&lt;&gt;"",1,"")</f>
        <v/>
      </c>
      <c r="M532" s="25">
        <f>IF(L532=1,IF(ISNUMBER(FIND("#"&amp;MID(A532,1,1)&amp;"#","#0#1#2#3#4#5#6#7#8#9#")),IF(ISNUMBER(FIND("#"&amp;MID(A532,2,1)&amp;"#","#0#1#2#3#4#5#6#7#8#9#")),IF(AND(VALUE(LEFT(A532,2))&gt;=1,VALUE(LEFT(A532,2))&lt;=5),VALUE(LEFT(A532,2)),""),IF(AND(VALUE(LEFT(A532,1))&gt;=1,VALUE(LEFT(A532,1))&lt;=5),VALUE(LEFT(A532,1)),"")),""),"")</f>
        <v/>
      </c>
      <c r="N532" s="25">
        <f>IF(L532=1,IF(ISNUMBER(FIND("#"&amp;MID(H532,1,1)&amp;"#","#0#1#2#3#4#5#6#7#8#9#")),IF(ISNUMBER(FIND("#"&amp;MID(H532,2,1)&amp;"#","#0#1#2#3#4#5#6#7#8#9#")),IF(AND(VALUE(LEFT(H532,2))&gt;=1,VALUE(LEFT(H532,2))&lt;=5),VALUE(LEFT(H532,2)),""),IF(AND(VALUE(LEFT(H532,1))&gt;=1,VALUE(LEFT(H532,1))&lt;=5),VALUE(LEFT(H532,1)),"")),""),"")</f>
        <v/>
      </c>
      <c r="O532" s="25">
        <f>IF(AND(L532=1,B532&lt;&gt;""),SUBSTITUTE(SUBSTITUTE(SUBSTITUTE(SUBSTITUTE(SUBSTITUTE(SUBSTITUTE(SUBSTITUTE(SUBSTITUTE(SUBSTITUTE(SUBSTITUTE(SUBSTITUTE(SUBSTITUTE(LOWER(TRIM(B532)),"á","a"),"é","e"),"í","i"),"ó","o"),"ú","u"),"ü","u"),"ñ","n"),"à","a"),"è","e"),"ì","i"),"ò","o"),"ù","u"),"")</f>
        <v/>
      </c>
      <c r="P532" s="25">
        <f>IF(AND(L532=1,C532&lt;&gt;""),SUBSTITUTE(SUBSTITUTE(SUBSTITUTE(SUBSTITUTE(SUBSTITUTE(SUBSTITUTE(SUBSTITUTE(SUBSTITUTE(SUBSTITUTE(SUBSTITUTE(SUBSTITUTE(SUBSTITUTE(LOWER(TRIM(C532)),"á","a"),"é","e"),"í","i"),"ó","o"),"ú","u"),"ü","u"),"ñ","n"),"à","a"),"è","e"),"ì","i"),"ò","o"),"ù","u"),"")</f>
        <v/>
      </c>
      <c r="Q532" s="25">
        <f>IF(AND(L532=1,E532&lt;&gt;""),SUBSTITUTE(SUBSTITUTE(SUBSTITUTE(SUBSTITUTE(SUBSTITUTE(SUBSTITUTE(SUBSTITUTE(SUBSTITUTE(SUBSTITUTE(SUBSTITUTE(SUBSTITUTE(SUBSTITUTE(LOWER(TRIM(E532)),"á","a"),"é","e"),"í","i"),"ó","o"),"ú","u"),"ü","u"),"ñ","n"),"à","a"),"è","e"),"ì","i"),"ò","o"),"ù","u"),"")</f>
        <v/>
      </c>
      <c r="R532" s="25">
        <f>IF(AND(L532=1,I532&lt;&gt;""),SUBSTITUTE(SUBSTITUTE(SUBSTITUTE(SUBSTITUTE(SUBSTITUTE(SUBSTITUTE(SUBSTITUTE(SUBSTITUTE(SUBSTITUTE(SUBSTITUTE(SUBSTITUTE(SUBSTITUTE(LOWER(TRIM(I532)),"á","a"),"é","e"),"í","i"),"ó","o"),"ú","u"),"ü","u"),"ñ","n"),"à","a"),"è","e"),"ì","i"),"ò","o"),"ù","u"),"")</f>
        <v/>
      </c>
      <c r="S532" s="25">
        <f>IF(R532="","",IF(OR(R532="si",R532="tal vez"),1,0))</f>
        <v/>
      </c>
      <c r="T532" s="25">
        <f>IF(AND(L532=1,D532&lt;&gt;""),IF(IFERROR(COUNTIFS(D$3:D532,"="&amp;SUBSTITUTE(SUBSTITUTE(SUBSTITUTE(D532,"~","~~"),"*","~*"),"?","~?"),L$3:L532,1),0)=1,MAX(T$2:T531)+1,""),"")</f>
        <v/>
      </c>
      <c r="U532" s="25">
        <f>IF(T532="","",COUNTIFS($D$3:$D$1002,"="&amp;SUBSTITUTE(SUBSTITUTE(SUBSTITUTE(D532,"~","~~"),"*","~*"),"?","~?"),$L$3:$L$1002,1)*10000-T532)</f>
        <v/>
      </c>
      <c r="V532" s="25">
        <f>IF(AND(L532=1,J532&lt;&gt;""),IF(IFERROR(COUNTIFS(J$3:J532,"="&amp;SUBSTITUTE(SUBSTITUTE(SUBSTITUTE(J532,"~","~~"),"*","~*"),"?","~?"),L$3:L532,1),0)=1,MAX(V$2:V531)+1,""),"")</f>
        <v/>
      </c>
      <c r="W532" s="25">
        <f>IF(V532="","",COUNTIFS($J$3:$J$1002,"="&amp;SUBSTITUTE(SUBSTITUTE(SUBSTITUTE(J532,"~","~~"),"*","~*"),"?","~?"),$L$3:$L$1002,1)*10000-V532)</f>
        <v/>
      </c>
    </row>
    <row r="533">
      <c r="A533">
        <f>IF(A$2=0,"",IFERROR(TRIM(INDEX('Pegar estudiantes'!$A$1:$BZ$1001,532,A$2)&amp;""),""))</f>
        <v/>
      </c>
      <c r="B533">
        <f>IF(B$2=0,"",IFERROR(TRIM(INDEX('Pegar estudiantes'!$A$1:$BZ$1001,532,B$2)&amp;""),""))</f>
        <v/>
      </c>
      <c r="C533">
        <f>IF(C$2=0,"",IFERROR(TRIM(INDEX('Pegar estudiantes'!$A$1:$BZ$1001,532,C$2)&amp;""),""))</f>
        <v/>
      </c>
      <c r="D533">
        <f>IF(D$2=0,"",IFERROR(TRIM(INDEX('Pegar estudiantes'!$A$1:$BZ$1001,532,D$2)&amp;""),""))</f>
        <v/>
      </c>
      <c r="E533">
        <f>IF(E$2=0,"",IFERROR(TRIM(INDEX('Pegar estudiantes'!$A$1:$BZ$1001,532,E$2)&amp;""),""))</f>
        <v/>
      </c>
      <c r="F533">
        <f>IF(F$2=0,"",IFERROR(TRIM(INDEX('Pegar estudiantes'!$A$1:$BZ$1001,532,F$2)&amp;""),""))</f>
        <v/>
      </c>
      <c r="G533">
        <f>IF(G$2=0,"",IFERROR(TRIM(INDEX('Pegar estudiantes'!$A$1:$BZ$1001,532,G$2)&amp;""),""))</f>
        <v/>
      </c>
      <c r="H533">
        <f>IF(H$2=0,"",IFERROR(TRIM(INDEX('Pegar estudiantes'!$A$1:$BZ$1001,532,H$2)&amp;""),""))</f>
        <v/>
      </c>
      <c r="I533">
        <f>IF(I$2=0,"",IFERROR(TRIM(INDEX('Pegar estudiantes'!$A$1:$BZ$1001,532,I$2)&amp;""),""))</f>
        <v/>
      </c>
      <c r="J533">
        <f>IF(J$2=0,"",IFERROR(TRIM(INDEX('Pegar estudiantes'!$A$1:$BZ$1001,532,J$2)&amp;""),""))</f>
        <v/>
      </c>
      <c r="K533">
        <f>IF(K$2=0,"",IFERROR(TRIM(INDEX('Pegar estudiantes'!$A$1:$BZ$1001,532,K$2)&amp;""),""))</f>
        <v/>
      </c>
      <c r="L533" s="25">
        <f>IF(A533&lt;&gt;"",1,"")</f>
        <v/>
      </c>
      <c r="M533" s="25">
        <f>IF(L533=1,IF(ISNUMBER(FIND("#"&amp;MID(A533,1,1)&amp;"#","#0#1#2#3#4#5#6#7#8#9#")),IF(ISNUMBER(FIND("#"&amp;MID(A533,2,1)&amp;"#","#0#1#2#3#4#5#6#7#8#9#")),IF(AND(VALUE(LEFT(A533,2))&gt;=1,VALUE(LEFT(A533,2))&lt;=5),VALUE(LEFT(A533,2)),""),IF(AND(VALUE(LEFT(A533,1))&gt;=1,VALUE(LEFT(A533,1))&lt;=5),VALUE(LEFT(A533,1)),"")),""),"")</f>
        <v/>
      </c>
      <c r="N533" s="25">
        <f>IF(L533=1,IF(ISNUMBER(FIND("#"&amp;MID(H533,1,1)&amp;"#","#0#1#2#3#4#5#6#7#8#9#")),IF(ISNUMBER(FIND("#"&amp;MID(H533,2,1)&amp;"#","#0#1#2#3#4#5#6#7#8#9#")),IF(AND(VALUE(LEFT(H533,2))&gt;=1,VALUE(LEFT(H533,2))&lt;=5),VALUE(LEFT(H533,2)),""),IF(AND(VALUE(LEFT(H533,1))&gt;=1,VALUE(LEFT(H533,1))&lt;=5),VALUE(LEFT(H533,1)),"")),""),"")</f>
        <v/>
      </c>
      <c r="O533" s="25">
        <f>IF(AND(L533=1,B533&lt;&gt;""),SUBSTITUTE(SUBSTITUTE(SUBSTITUTE(SUBSTITUTE(SUBSTITUTE(SUBSTITUTE(SUBSTITUTE(SUBSTITUTE(SUBSTITUTE(SUBSTITUTE(SUBSTITUTE(SUBSTITUTE(LOWER(TRIM(B533)),"á","a"),"é","e"),"í","i"),"ó","o"),"ú","u"),"ü","u"),"ñ","n"),"à","a"),"è","e"),"ì","i"),"ò","o"),"ù","u"),"")</f>
        <v/>
      </c>
      <c r="P533" s="25">
        <f>IF(AND(L533=1,C533&lt;&gt;""),SUBSTITUTE(SUBSTITUTE(SUBSTITUTE(SUBSTITUTE(SUBSTITUTE(SUBSTITUTE(SUBSTITUTE(SUBSTITUTE(SUBSTITUTE(SUBSTITUTE(SUBSTITUTE(SUBSTITUTE(LOWER(TRIM(C533)),"á","a"),"é","e"),"í","i"),"ó","o"),"ú","u"),"ü","u"),"ñ","n"),"à","a"),"è","e"),"ì","i"),"ò","o"),"ù","u"),"")</f>
        <v/>
      </c>
      <c r="Q533" s="25">
        <f>IF(AND(L533=1,E533&lt;&gt;""),SUBSTITUTE(SUBSTITUTE(SUBSTITUTE(SUBSTITUTE(SUBSTITUTE(SUBSTITUTE(SUBSTITUTE(SUBSTITUTE(SUBSTITUTE(SUBSTITUTE(SUBSTITUTE(SUBSTITUTE(LOWER(TRIM(E533)),"á","a"),"é","e"),"í","i"),"ó","o"),"ú","u"),"ü","u"),"ñ","n"),"à","a"),"è","e"),"ì","i"),"ò","o"),"ù","u"),"")</f>
        <v/>
      </c>
      <c r="R533" s="25">
        <f>IF(AND(L533=1,I533&lt;&gt;""),SUBSTITUTE(SUBSTITUTE(SUBSTITUTE(SUBSTITUTE(SUBSTITUTE(SUBSTITUTE(SUBSTITUTE(SUBSTITUTE(SUBSTITUTE(SUBSTITUTE(SUBSTITUTE(SUBSTITUTE(LOWER(TRIM(I533)),"á","a"),"é","e"),"í","i"),"ó","o"),"ú","u"),"ü","u"),"ñ","n"),"à","a"),"è","e"),"ì","i"),"ò","o"),"ù","u"),"")</f>
        <v/>
      </c>
      <c r="S533" s="25">
        <f>IF(R533="","",IF(OR(R533="si",R533="tal vez"),1,0))</f>
        <v/>
      </c>
      <c r="T533" s="25">
        <f>IF(AND(L533=1,D533&lt;&gt;""),IF(IFERROR(COUNTIFS(D$3:D533,"="&amp;SUBSTITUTE(SUBSTITUTE(SUBSTITUTE(D533,"~","~~"),"*","~*"),"?","~?"),L$3:L533,1),0)=1,MAX(T$2:T532)+1,""),"")</f>
        <v/>
      </c>
      <c r="U533" s="25">
        <f>IF(T533="","",COUNTIFS($D$3:$D$1002,"="&amp;SUBSTITUTE(SUBSTITUTE(SUBSTITUTE(D533,"~","~~"),"*","~*"),"?","~?"),$L$3:$L$1002,1)*10000-T533)</f>
        <v/>
      </c>
      <c r="V533" s="25">
        <f>IF(AND(L533=1,J533&lt;&gt;""),IF(IFERROR(COUNTIFS(J$3:J533,"="&amp;SUBSTITUTE(SUBSTITUTE(SUBSTITUTE(J533,"~","~~"),"*","~*"),"?","~?"),L$3:L533,1),0)=1,MAX(V$2:V532)+1,""),"")</f>
        <v/>
      </c>
      <c r="W533" s="25">
        <f>IF(V533="","",COUNTIFS($J$3:$J$1002,"="&amp;SUBSTITUTE(SUBSTITUTE(SUBSTITUTE(J533,"~","~~"),"*","~*"),"?","~?"),$L$3:$L$1002,1)*10000-V533)</f>
        <v/>
      </c>
    </row>
    <row r="534">
      <c r="A534">
        <f>IF(A$2=0,"",IFERROR(TRIM(INDEX('Pegar estudiantes'!$A$1:$BZ$1001,533,A$2)&amp;""),""))</f>
        <v/>
      </c>
      <c r="B534">
        <f>IF(B$2=0,"",IFERROR(TRIM(INDEX('Pegar estudiantes'!$A$1:$BZ$1001,533,B$2)&amp;""),""))</f>
        <v/>
      </c>
      <c r="C534">
        <f>IF(C$2=0,"",IFERROR(TRIM(INDEX('Pegar estudiantes'!$A$1:$BZ$1001,533,C$2)&amp;""),""))</f>
        <v/>
      </c>
      <c r="D534">
        <f>IF(D$2=0,"",IFERROR(TRIM(INDEX('Pegar estudiantes'!$A$1:$BZ$1001,533,D$2)&amp;""),""))</f>
        <v/>
      </c>
      <c r="E534">
        <f>IF(E$2=0,"",IFERROR(TRIM(INDEX('Pegar estudiantes'!$A$1:$BZ$1001,533,E$2)&amp;""),""))</f>
        <v/>
      </c>
      <c r="F534">
        <f>IF(F$2=0,"",IFERROR(TRIM(INDEX('Pegar estudiantes'!$A$1:$BZ$1001,533,F$2)&amp;""),""))</f>
        <v/>
      </c>
      <c r="G534">
        <f>IF(G$2=0,"",IFERROR(TRIM(INDEX('Pegar estudiantes'!$A$1:$BZ$1001,533,G$2)&amp;""),""))</f>
        <v/>
      </c>
      <c r="H534">
        <f>IF(H$2=0,"",IFERROR(TRIM(INDEX('Pegar estudiantes'!$A$1:$BZ$1001,533,H$2)&amp;""),""))</f>
        <v/>
      </c>
      <c r="I534">
        <f>IF(I$2=0,"",IFERROR(TRIM(INDEX('Pegar estudiantes'!$A$1:$BZ$1001,533,I$2)&amp;""),""))</f>
        <v/>
      </c>
      <c r="J534">
        <f>IF(J$2=0,"",IFERROR(TRIM(INDEX('Pegar estudiantes'!$A$1:$BZ$1001,533,J$2)&amp;""),""))</f>
        <v/>
      </c>
      <c r="K534">
        <f>IF(K$2=0,"",IFERROR(TRIM(INDEX('Pegar estudiantes'!$A$1:$BZ$1001,533,K$2)&amp;""),""))</f>
        <v/>
      </c>
      <c r="L534" s="25">
        <f>IF(A534&lt;&gt;"",1,"")</f>
        <v/>
      </c>
      <c r="M534" s="25">
        <f>IF(L534=1,IF(ISNUMBER(FIND("#"&amp;MID(A534,1,1)&amp;"#","#0#1#2#3#4#5#6#7#8#9#")),IF(ISNUMBER(FIND("#"&amp;MID(A534,2,1)&amp;"#","#0#1#2#3#4#5#6#7#8#9#")),IF(AND(VALUE(LEFT(A534,2))&gt;=1,VALUE(LEFT(A534,2))&lt;=5),VALUE(LEFT(A534,2)),""),IF(AND(VALUE(LEFT(A534,1))&gt;=1,VALUE(LEFT(A534,1))&lt;=5),VALUE(LEFT(A534,1)),"")),""),"")</f>
        <v/>
      </c>
      <c r="N534" s="25">
        <f>IF(L534=1,IF(ISNUMBER(FIND("#"&amp;MID(H534,1,1)&amp;"#","#0#1#2#3#4#5#6#7#8#9#")),IF(ISNUMBER(FIND("#"&amp;MID(H534,2,1)&amp;"#","#0#1#2#3#4#5#6#7#8#9#")),IF(AND(VALUE(LEFT(H534,2))&gt;=1,VALUE(LEFT(H534,2))&lt;=5),VALUE(LEFT(H534,2)),""),IF(AND(VALUE(LEFT(H534,1))&gt;=1,VALUE(LEFT(H534,1))&lt;=5),VALUE(LEFT(H534,1)),"")),""),"")</f>
        <v/>
      </c>
      <c r="O534" s="25">
        <f>IF(AND(L534=1,B534&lt;&gt;""),SUBSTITUTE(SUBSTITUTE(SUBSTITUTE(SUBSTITUTE(SUBSTITUTE(SUBSTITUTE(SUBSTITUTE(SUBSTITUTE(SUBSTITUTE(SUBSTITUTE(SUBSTITUTE(SUBSTITUTE(LOWER(TRIM(B534)),"á","a"),"é","e"),"í","i"),"ó","o"),"ú","u"),"ü","u"),"ñ","n"),"à","a"),"è","e"),"ì","i"),"ò","o"),"ù","u"),"")</f>
        <v/>
      </c>
      <c r="P534" s="25">
        <f>IF(AND(L534=1,C534&lt;&gt;""),SUBSTITUTE(SUBSTITUTE(SUBSTITUTE(SUBSTITUTE(SUBSTITUTE(SUBSTITUTE(SUBSTITUTE(SUBSTITUTE(SUBSTITUTE(SUBSTITUTE(SUBSTITUTE(SUBSTITUTE(LOWER(TRIM(C534)),"á","a"),"é","e"),"í","i"),"ó","o"),"ú","u"),"ü","u"),"ñ","n"),"à","a"),"è","e"),"ì","i"),"ò","o"),"ù","u"),"")</f>
        <v/>
      </c>
      <c r="Q534" s="25">
        <f>IF(AND(L534=1,E534&lt;&gt;""),SUBSTITUTE(SUBSTITUTE(SUBSTITUTE(SUBSTITUTE(SUBSTITUTE(SUBSTITUTE(SUBSTITUTE(SUBSTITUTE(SUBSTITUTE(SUBSTITUTE(SUBSTITUTE(SUBSTITUTE(LOWER(TRIM(E534)),"á","a"),"é","e"),"í","i"),"ó","o"),"ú","u"),"ü","u"),"ñ","n"),"à","a"),"è","e"),"ì","i"),"ò","o"),"ù","u"),"")</f>
        <v/>
      </c>
      <c r="R534" s="25">
        <f>IF(AND(L534=1,I534&lt;&gt;""),SUBSTITUTE(SUBSTITUTE(SUBSTITUTE(SUBSTITUTE(SUBSTITUTE(SUBSTITUTE(SUBSTITUTE(SUBSTITUTE(SUBSTITUTE(SUBSTITUTE(SUBSTITUTE(SUBSTITUTE(LOWER(TRIM(I534)),"á","a"),"é","e"),"í","i"),"ó","o"),"ú","u"),"ü","u"),"ñ","n"),"à","a"),"è","e"),"ì","i"),"ò","o"),"ù","u"),"")</f>
        <v/>
      </c>
      <c r="S534" s="25">
        <f>IF(R534="","",IF(OR(R534="si",R534="tal vez"),1,0))</f>
        <v/>
      </c>
      <c r="T534" s="25">
        <f>IF(AND(L534=1,D534&lt;&gt;""),IF(IFERROR(COUNTIFS(D$3:D534,"="&amp;SUBSTITUTE(SUBSTITUTE(SUBSTITUTE(D534,"~","~~"),"*","~*"),"?","~?"),L$3:L534,1),0)=1,MAX(T$2:T533)+1,""),"")</f>
        <v/>
      </c>
      <c r="U534" s="25">
        <f>IF(T534="","",COUNTIFS($D$3:$D$1002,"="&amp;SUBSTITUTE(SUBSTITUTE(SUBSTITUTE(D534,"~","~~"),"*","~*"),"?","~?"),$L$3:$L$1002,1)*10000-T534)</f>
        <v/>
      </c>
      <c r="V534" s="25">
        <f>IF(AND(L534=1,J534&lt;&gt;""),IF(IFERROR(COUNTIFS(J$3:J534,"="&amp;SUBSTITUTE(SUBSTITUTE(SUBSTITUTE(J534,"~","~~"),"*","~*"),"?","~?"),L$3:L534,1),0)=1,MAX(V$2:V533)+1,""),"")</f>
        <v/>
      </c>
      <c r="W534" s="25">
        <f>IF(V534="","",COUNTIFS($J$3:$J$1002,"="&amp;SUBSTITUTE(SUBSTITUTE(SUBSTITUTE(J534,"~","~~"),"*","~*"),"?","~?"),$L$3:$L$1002,1)*10000-V534)</f>
        <v/>
      </c>
    </row>
    <row r="535">
      <c r="A535">
        <f>IF(A$2=0,"",IFERROR(TRIM(INDEX('Pegar estudiantes'!$A$1:$BZ$1001,534,A$2)&amp;""),""))</f>
        <v/>
      </c>
      <c r="B535">
        <f>IF(B$2=0,"",IFERROR(TRIM(INDEX('Pegar estudiantes'!$A$1:$BZ$1001,534,B$2)&amp;""),""))</f>
        <v/>
      </c>
      <c r="C535">
        <f>IF(C$2=0,"",IFERROR(TRIM(INDEX('Pegar estudiantes'!$A$1:$BZ$1001,534,C$2)&amp;""),""))</f>
        <v/>
      </c>
      <c r="D535">
        <f>IF(D$2=0,"",IFERROR(TRIM(INDEX('Pegar estudiantes'!$A$1:$BZ$1001,534,D$2)&amp;""),""))</f>
        <v/>
      </c>
      <c r="E535">
        <f>IF(E$2=0,"",IFERROR(TRIM(INDEX('Pegar estudiantes'!$A$1:$BZ$1001,534,E$2)&amp;""),""))</f>
        <v/>
      </c>
      <c r="F535">
        <f>IF(F$2=0,"",IFERROR(TRIM(INDEX('Pegar estudiantes'!$A$1:$BZ$1001,534,F$2)&amp;""),""))</f>
        <v/>
      </c>
      <c r="G535">
        <f>IF(G$2=0,"",IFERROR(TRIM(INDEX('Pegar estudiantes'!$A$1:$BZ$1001,534,G$2)&amp;""),""))</f>
        <v/>
      </c>
      <c r="H535">
        <f>IF(H$2=0,"",IFERROR(TRIM(INDEX('Pegar estudiantes'!$A$1:$BZ$1001,534,H$2)&amp;""),""))</f>
        <v/>
      </c>
      <c r="I535">
        <f>IF(I$2=0,"",IFERROR(TRIM(INDEX('Pegar estudiantes'!$A$1:$BZ$1001,534,I$2)&amp;""),""))</f>
        <v/>
      </c>
      <c r="J535">
        <f>IF(J$2=0,"",IFERROR(TRIM(INDEX('Pegar estudiantes'!$A$1:$BZ$1001,534,J$2)&amp;""),""))</f>
        <v/>
      </c>
      <c r="K535">
        <f>IF(K$2=0,"",IFERROR(TRIM(INDEX('Pegar estudiantes'!$A$1:$BZ$1001,534,K$2)&amp;""),""))</f>
        <v/>
      </c>
      <c r="L535" s="25">
        <f>IF(A535&lt;&gt;"",1,"")</f>
        <v/>
      </c>
      <c r="M535" s="25">
        <f>IF(L535=1,IF(ISNUMBER(FIND("#"&amp;MID(A535,1,1)&amp;"#","#0#1#2#3#4#5#6#7#8#9#")),IF(ISNUMBER(FIND("#"&amp;MID(A535,2,1)&amp;"#","#0#1#2#3#4#5#6#7#8#9#")),IF(AND(VALUE(LEFT(A535,2))&gt;=1,VALUE(LEFT(A535,2))&lt;=5),VALUE(LEFT(A535,2)),""),IF(AND(VALUE(LEFT(A535,1))&gt;=1,VALUE(LEFT(A535,1))&lt;=5),VALUE(LEFT(A535,1)),"")),""),"")</f>
        <v/>
      </c>
      <c r="N535" s="25">
        <f>IF(L535=1,IF(ISNUMBER(FIND("#"&amp;MID(H535,1,1)&amp;"#","#0#1#2#3#4#5#6#7#8#9#")),IF(ISNUMBER(FIND("#"&amp;MID(H535,2,1)&amp;"#","#0#1#2#3#4#5#6#7#8#9#")),IF(AND(VALUE(LEFT(H535,2))&gt;=1,VALUE(LEFT(H535,2))&lt;=5),VALUE(LEFT(H535,2)),""),IF(AND(VALUE(LEFT(H535,1))&gt;=1,VALUE(LEFT(H535,1))&lt;=5),VALUE(LEFT(H535,1)),"")),""),"")</f>
        <v/>
      </c>
      <c r="O535" s="25">
        <f>IF(AND(L535=1,B535&lt;&gt;""),SUBSTITUTE(SUBSTITUTE(SUBSTITUTE(SUBSTITUTE(SUBSTITUTE(SUBSTITUTE(SUBSTITUTE(SUBSTITUTE(SUBSTITUTE(SUBSTITUTE(SUBSTITUTE(SUBSTITUTE(LOWER(TRIM(B535)),"á","a"),"é","e"),"í","i"),"ó","o"),"ú","u"),"ü","u"),"ñ","n"),"à","a"),"è","e"),"ì","i"),"ò","o"),"ù","u"),"")</f>
        <v/>
      </c>
      <c r="P535" s="25">
        <f>IF(AND(L535=1,C535&lt;&gt;""),SUBSTITUTE(SUBSTITUTE(SUBSTITUTE(SUBSTITUTE(SUBSTITUTE(SUBSTITUTE(SUBSTITUTE(SUBSTITUTE(SUBSTITUTE(SUBSTITUTE(SUBSTITUTE(SUBSTITUTE(LOWER(TRIM(C535)),"á","a"),"é","e"),"í","i"),"ó","o"),"ú","u"),"ü","u"),"ñ","n"),"à","a"),"è","e"),"ì","i"),"ò","o"),"ù","u"),"")</f>
        <v/>
      </c>
      <c r="Q535" s="25">
        <f>IF(AND(L535=1,E535&lt;&gt;""),SUBSTITUTE(SUBSTITUTE(SUBSTITUTE(SUBSTITUTE(SUBSTITUTE(SUBSTITUTE(SUBSTITUTE(SUBSTITUTE(SUBSTITUTE(SUBSTITUTE(SUBSTITUTE(SUBSTITUTE(LOWER(TRIM(E535)),"á","a"),"é","e"),"í","i"),"ó","o"),"ú","u"),"ü","u"),"ñ","n"),"à","a"),"è","e"),"ì","i"),"ò","o"),"ù","u"),"")</f>
        <v/>
      </c>
      <c r="R535" s="25">
        <f>IF(AND(L535=1,I535&lt;&gt;""),SUBSTITUTE(SUBSTITUTE(SUBSTITUTE(SUBSTITUTE(SUBSTITUTE(SUBSTITUTE(SUBSTITUTE(SUBSTITUTE(SUBSTITUTE(SUBSTITUTE(SUBSTITUTE(SUBSTITUTE(LOWER(TRIM(I535)),"á","a"),"é","e"),"í","i"),"ó","o"),"ú","u"),"ü","u"),"ñ","n"),"à","a"),"è","e"),"ì","i"),"ò","o"),"ù","u"),"")</f>
        <v/>
      </c>
      <c r="S535" s="25">
        <f>IF(R535="","",IF(OR(R535="si",R535="tal vez"),1,0))</f>
        <v/>
      </c>
      <c r="T535" s="25">
        <f>IF(AND(L535=1,D535&lt;&gt;""),IF(IFERROR(COUNTIFS(D$3:D535,"="&amp;SUBSTITUTE(SUBSTITUTE(SUBSTITUTE(D535,"~","~~"),"*","~*"),"?","~?"),L$3:L535,1),0)=1,MAX(T$2:T534)+1,""),"")</f>
        <v/>
      </c>
      <c r="U535" s="25">
        <f>IF(T535="","",COUNTIFS($D$3:$D$1002,"="&amp;SUBSTITUTE(SUBSTITUTE(SUBSTITUTE(D535,"~","~~"),"*","~*"),"?","~?"),$L$3:$L$1002,1)*10000-T535)</f>
        <v/>
      </c>
      <c r="V535" s="25">
        <f>IF(AND(L535=1,J535&lt;&gt;""),IF(IFERROR(COUNTIFS(J$3:J535,"="&amp;SUBSTITUTE(SUBSTITUTE(SUBSTITUTE(J535,"~","~~"),"*","~*"),"?","~?"),L$3:L535,1),0)=1,MAX(V$2:V534)+1,""),"")</f>
        <v/>
      </c>
      <c r="W535" s="25">
        <f>IF(V535="","",COUNTIFS($J$3:$J$1002,"="&amp;SUBSTITUTE(SUBSTITUTE(SUBSTITUTE(J535,"~","~~"),"*","~*"),"?","~?"),$L$3:$L$1002,1)*10000-V535)</f>
        <v/>
      </c>
    </row>
    <row r="536">
      <c r="A536">
        <f>IF(A$2=0,"",IFERROR(TRIM(INDEX('Pegar estudiantes'!$A$1:$BZ$1001,535,A$2)&amp;""),""))</f>
        <v/>
      </c>
      <c r="B536">
        <f>IF(B$2=0,"",IFERROR(TRIM(INDEX('Pegar estudiantes'!$A$1:$BZ$1001,535,B$2)&amp;""),""))</f>
        <v/>
      </c>
      <c r="C536">
        <f>IF(C$2=0,"",IFERROR(TRIM(INDEX('Pegar estudiantes'!$A$1:$BZ$1001,535,C$2)&amp;""),""))</f>
        <v/>
      </c>
      <c r="D536">
        <f>IF(D$2=0,"",IFERROR(TRIM(INDEX('Pegar estudiantes'!$A$1:$BZ$1001,535,D$2)&amp;""),""))</f>
        <v/>
      </c>
      <c r="E536">
        <f>IF(E$2=0,"",IFERROR(TRIM(INDEX('Pegar estudiantes'!$A$1:$BZ$1001,535,E$2)&amp;""),""))</f>
        <v/>
      </c>
      <c r="F536">
        <f>IF(F$2=0,"",IFERROR(TRIM(INDEX('Pegar estudiantes'!$A$1:$BZ$1001,535,F$2)&amp;""),""))</f>
        <v/>
      </c>
      <c r="G536">
        <f>IF(G$2=0,"",IFERROR(TRIM(INDEX('Pegar estudiantes'!$A$1:$BZ$1001,535,G$2)&amp;""),""))</f>
        <v/>
      </c>
      <c r="H536">
        <f>IF(H$2=0,"",IFERROR(TRIM(INDEX('Pegar estudiantes'!$A$1:$BZ$1001,535,H$2)&amp;""),""))</f>
        <v/>
      </c>
      <c r="I536">
        <f>IF(I$2=0,"",IFERROR(TRIM(INDEX('Pegar estudiantes'!$A$1:$BZ$1001,535,I$2)&amp;""),""))</f>
        <v/>
      </c>
      <c r="J536">
        <f>IF(J$2=0,"",IFERROR(TRIM(INDEX('Pegar estudiantes'!$A$1:$BZ$1001,535,J$2)&amp;""),""))</f>
        <v/>
      </c>
      <c r="K536">
        <f>IF(K$2=0,"",IFERROR(TRIM(INDEX('Pegar estudiantes'!$A$1:$BZ$1001,535,K$2)&amp;""),""))</f>
        <v/>
      </c>
      <c r="L536" s="25">
        <f>IF(A536&lt;&gt;"",1,"")</f>
        <v/>
      </c>
      <c r="M536" s="25">
        <f>IF(L536=1,IF(ISNUMBER(FIND("#"&amp;MID(A536,1,1)&amp;"#","#0#1#2#3#4#5#6#7#8#9#")),IF(ISNUMBER(FIND("#"&amp;MID(A536,2,1)&amp;"#","#0#1#2#3#4#5#6#7#8#9#")),IF(AND(VALUE(LEFT(A536,2))&gt;=1,VALUE(LEFT(A536,2))&lt;=5),VALUE(LEFT(A536,2)),""),IF(AND(VALUE(LEFT(A536,1))&gt;=1,VALUE(LEFT(A536,1))&lt;=5),VALUE(LEFT(A536,1)),"")),""),"")</f>
        <v/>
      </c>
      <c r="N536" s="25">
        <f>IF(L536=1,IF(ISNUMBER(FIND("#"&amp;MID(H536,1,1)&amp;"#","#0#1#2#3#4#5#6#7#8#9#")),IF(ISNUMBER(FIND("#"&amp;MID(H536,2,1)&amp;"#","#0#1#2#3#4#5#6#7#8#9#")),IF(AND(VALUE(LEFT(H536,2))&gt;=1,VALUE(LEFT(H536,2))&lt;=5),VALUE(LEFT(H536,2)),""),IF(AND(VALUE(LEFT(H536,1))&gt;=1,VALUE(LEFT(H536,1))&lt;=5),VALUE(LEFT(H536,1)),"")),""),"")</f>
        <v/>
      </c>
      <c r="O536" s="25">
        <f>IF(AND(L536=1,B536&lt;&gt;""),SUBSTITUTE(SUBSTITUTE(SUBSTITUTE(SUBSTITUTE(SUBSTITUTE(SUBSTITUTE(SUBSTITUTE(SUBSTITUTE(SUBSTITUTE(SUBSTITUTE(SUBSTITUTE(SUBSTITUTE(LOWER(TRIM(B536)),"á","a"),"é","e"),"í","i"),"ó","o"),"ú","u"),"ü","u"),"ñ","n"),"à","a"),"è","e"),"ì","i"),"ò","o"),"ù","u"),"")</f>
        <v/>
      </c>
      <c r="P536" s="25">
        <f>IF(AND(L536=1,C536&lt;&gt;""),SUBSTITUTE(SUBSTITUTE(SUBSTITUTE(SUBSTITUTE(SUBSTITUTE(SUBSTITUTE(SUBSTITUTE(SUBSTITUTE(SUBSTITUTE(SUBSTITUTE(SUBSTITUTE(SUBSTITUTE(LOWER(TRIM(C536)),"á","a"),"é","e"),"í","i"),"ó","o"),"ú","u"),"ü","u"),"ñ","n"),"à","a"),"è","e"),"ì","i"),"ò","o"),"ù","u"),"")</f>
        <v/>
      </c>
      <c r="Q536" s="25">
        <f>IF(AND(L536=1,E536&lt;&gt;""),SUBSTITUTE(SUBSTITUTE(SUBSTITUTE(SUBSTITUTE(SUBSTITUTE(SUBSTITUTE(SUBSTITUTE(SUBSTITUTE(SUBSTITUTE(SUBSTITUTE(SUBSTITUTE(SUBSTITUTE(LOWER(TRIM(E536)),"á","a"),"é","e"),"í","i"),"ó","o"),"ú","u"),"ü","u"),"ñ","n"),"à","a"),"è","e"),"ì","i"),"ò","o"),"ù","u"),"")</f>
        <v/>
      </c>
      <c r="R536" s="25">
        <f>IF(AND(L536=1,I536&lt;&gt;""),SUBSTITUTE(SUBSTITUTE(SUBSTITUTE(SUBSTITUTE(SUBSTITUTE(SUBSTITUTE(SUBSTITUTE(SUBSTITUTE(SUBSTITUTE(SUBSTITUTE(SUBSTITUTE(SUBSTITUTE(LOWER(TRIM(I536)),"á","a"),"é","e"),"í","i"),"ó","o"),"ú","u"),"ü","u"),"ñ","n"),"à","a"),"è","e"),"ì","i"),"ò","o"),"ù","u"),"")</f>
        <v/>
      </c>
      <c r="S536" s="25">
        <f>IF(R536="","",IF(OR(R536="si",R536="tal vez"),1,0))</f>
        <v/>
      </c>
      <c r="T536" s="25">
        <f>IF(AND(L536=1,D536&lt;&gt;""),IF(IFERROR(COUNTIFS(D$3:D536,"="&amp;SUBSTITUTE(SUBSTITUTE(SUBSTITUTE(D536,"~","~~"),"*","~*"),"?","~?"),L$3:L536,1),0)=1,MAX(T$2:T535)+1,""),"")</f>
        <v/>
      </c>
      <c r="U536" s="25">
        <f>IF(T536="","",COUNTIFS($D$3:$D$1002,"="&amp;SUBSTITUTE(SUBSTITUTE(SUBSTITUTE(D536,"~","~~"),"*","~*"),"?","~?"),$L$3:$L$1002,1)*10000-T536)</f>
        <v/>
      </c>
      <c r="V536" s="25">
        <f>IF(AND(L536=1,J536&lt;&gt;""),IF(IFERROR(COUNTIFS(J$3:J536,"="&amp;SUBSTITUTE(SUBSTITUTE(SUBSTITUTE(J536,"~","~~"),"*","~*"),"?","~?"),L$3:L536,1),0)=1,MAX(V$2:V535)+1,""),"")</f>
        <v/>
      </c>
      <c r="W536" s="25">
        <f>IF(V536="","",COUNTIFS($J$3:$J$1002,"="&amp;SUBSTITUTE(SUBSTITUTE(SUBSTITUTE(J536,"~","~~"),"*","~*"),"?","~?"),$L$3:$L$1002,1)*10000-V536)</f>
        <v/>
      </c>
    </row>
    <row r="537">
      <c r="A537">
        <f>IF(A$2=0,"",IFERROR(TRIM(INDEX('Pegar estudiantes'!$A$1:$BZ$1001,536,A$2)&amp;""),""))</f>
        <v/>
      </c>
      <c r="B537">
        <f>IF(B$2=0,"",IFERROR(TRIM(INDEX('Pegar estudiantes'!$A$1:$BZ$1001,536,B$2)&amp;""),""))</f>
        <v/>
      </c>
      <c r="C537">
        <f>IF(C$2=0,"",IFERROR(TRIM(INDEX('Pegar estudiantes'!$A$1:$BZ$1001,536,C$2)&amp;""),""))</f>
        <v/>
      </c>
      <c r="D537">
        <f>IF(D$2=0,"",IFERROR(TRIM(INDEX('Pegar estudiantes'!$A$1:$BZ$1001,536,D$2)&amp;""),""))</f>
        <v/>
      </c>
      <c r="E537">
        <f>IF(E$2=0,"",IFERROR(TRIM(INDEX('Pegar estudiantes'!$A$1:$BZ$1001,536,E$2)&amp;""),""))</f>
        <v/>
      </c>
      <c r="F537">
        <f>IF(F$2=0,"",IFERROR(TRIM(INDEX('Pegar estudiantes'!$A$1:$BZ$1001,536,F$2)&amp;""),""))</f>
        <v/>
      </c>
      <c r="G537">
        <f>IF(G$2=0,"",IFERROR(TRIM(INDEX('Pegar estudiantes'!$A$1:$BZ$1001,536,G$2)&amp;""),""))</f>
        <v/>
      </c>
      <c r="H537">
        <f>IF(H$2=0,"",IFERROR(TRIM(INDEX('Pegar estudiantes'!$A$1:$BZ$1001,536,H$2)&amp;""),""))</f>
        <v/>
      </c>
      <c r="I537">
        <f>IF(I$2=0,"",IFERROR(TRIM(INDEX('Pegar estudiantes'!$A$1:$BZ$1001,536,I$2)&amp;""),""))</f>
        <v/>
      </c>
      <c r="J537">
        <f>IF(J$2=0,"",IFERROR(TRIM(INDEX('Pegar estudiantes'!$A$1:$BZ$1001,536,J$2)&amp;""),""))</f>
        <v/>
      </c>
      <c r="K537">
        <f>IF(K$2=0,"",IFERROR(TRIM(INDEX('Pegar estudiantes'!$A$1:$BZ$1001,536,K$2)&amp;""),""))</f>
        <v/>
      </c>
      <c r="L537" s="25">
        <f>IF(A537&lt;&gt;"",1,"")</f>
        <v/>
      </c>
      <c r="M537" s="25">
        <f>IF(L537=1,IF(ISNUMBER(FIND("#"&amp;MID(A537,1,1)&amp;"#","#0#1#2#3#4#5#6#7#8#9#")),IF(ISNUMBER(FIND("#"&amp;MID(A537,2,1)&amp;"#","#0#1#2#3#4#5#6#7#8#9#")),IF(AND(VALUE(LEFT(A537,2))&gt;=1,VALUE(LEFT(A537,2))&lt;=5),VALUE(LEFT(A537,2)),""),IF(AND(VALUE(LEFT(A537,1))&gt;=1,VALUE(LEFT(A537,1))&lt;=5),VALUE(LEFT(A537,1)),"")),""),"")</f>
        <v/>
      </c>
      <c r="N537" s="25">
        <f>IF(L537=1,IF(ISNUMBER(FIND("#"&amp;MID(H537,1,1)&amp;"#","#0#1#2#3#4#5#6#7#8#9#")),IF(ISNUMBER(FIND("#"&amp;MID(H537,2,1)&amp;"#","#0#1#2#3#4#5#6#7#8#9#")),IF(AND(VALUE(LEFT(H537,2))&gt;=1,VALUE(LEFT(H537,2))&lt;=5),VALUE(LEFT(H537,2)),""),IF(AND(VALUE(LEFT(H537,1))&gt;=1,VALUE(LEFT(H537,1))&lt;=5),VALUE(LEFT(H537,1)),"")),""),"")</f>
        <v/>
      </c>
      <c r="O537" s="25">
        <f>IF(AND(L537=1,B537&lt;&gt;""),SUBSTITUTE(SUBSTITUTE(SUBSTITUTE(SUBSTITUTE(SUBSTITUTE(SUBSTITUTE(SUBSTITUTE(SUBSTITUTE(SUBSTITUTE(SUBSTITUTE(SUBSTITUTE(SUBSTITUTE(LOWER(TRIM(B537)),"á","a"),"é","e"),"í","i"),"ó","o"),"ú","u"),"ü","u"),"ñ","n"),"à","a"),"è","e"),"ì","i"),"ò","o"),"ù","u"),"")</f>
        <v/>
      </c>
      <c r="P537" s="25">
        <f>IF(AND(L537=1,C537&lt;&gt;""),SUBSTITUTE(SUBSTITUTE(SUBSTITUTE(SUBSTITUTE(SUBSTITUTE(SUBSTITUTE(SUBSTITUTE(SUBSTITUTE(SUBSTITUTE(SUBSTITUTE(SUBSTITUTE(SUBSTITUTE(LOWER(TRIM(C537)),"á","a"),"é","e"),"í","i"),"ó","o"),"ú","u"),"ü","u"),"ñ","n"),"à","a"),"è","e"),"ì","i"),"ò","o"),"ù","u"),"")</f>
        <v/>
      </c>
      <c r="Q537" s="25">
        <f>IF(AND(L537=1,E537&lt;&gt;""),SUBSTITUTE(SUBSTITUTE(SUBSTITUTE(SUBSTITUTE(SUBSTITUTE(SUBSTITUTE(SUBSTITUTE(SUBSTITUTE(SUBSTITUTE(SUBSTITUTE(SUBSTITUTE(SUBSTITUTE(LOWER(TRIM(E537)),"á","a"),"é","e"),"í","i"),"ó","o"),"ú","u"),"ü","u"),"ñ","n"),"à","a"),"è","e"),"ì","i"),"ò","o"),"ù","u"),"")</f>
        <v/>
      </c>
      <c r="R537" s="25">
        <f>IF(AND(L537=1,I537&lt;&gt;""),SUBSTITUTE(SUBSTITUTE(SUBSTITUTE(SUBSTITUTE(SUBSTITUTE(SUBSTITUTE(SUBSTITUTE(SUBSTITUTE(SUBSTITUTE(SUBSTITUTE(SUBSTITUTE(SUBSTITUTE(LOWER(TRIM(I537)),"á","a"),"é","e"),"í","i"),"ó","o"),"ú","u"),"ü","u"),"ñ","n"),"à","a"),"è","e"),"ì","i"),"ò","o"),"ù","u"),"")</f>
        <v/>
      </c>
      <c r="S537" s="25">
        <f>IF(R537="","",IF(OR(R537="si",R537="tal vez"),1,0))</f>
        <v/>
      </c>
      <c r="T537" s="25">
        <f>IF(AND(L537=1,D537&lt;&gt;""),IF(IFERROR(COUNTIFS(D$3:D537,"="&amp;SUBSTITUTE(SUBSTITUTE(SUBSTITUTE(D537,"~","~~"),"*","~*"),"?","~?"),L$3:L537,1),0)=1,MAX(T$2:T536)+1,""),"")</f>
        <v/>
      </c>
      <c r="U537" s="25">
        <f>IF(T537="","",COUNTIFS($D$3:$D$1002,"="&amp;SUBSTITUTE(SUBSTITUTE(SUBSTITUTE(D537,"~","~~"),"*","~*"),"?","~?"),$L$3:$L$1002,1)*10000-T537)</f>
        <v/>
      </c>
      <c r="V537" s="25">
        <f>IF(AND(L537=1,J537&lt;&gt;""),IF(IFERROR(COUNTIFS(J$3:J537,"="&amp;SUBSTITUTE(SUBSTITUTE(SUBSTITUTE(J537,"~","~~"),"*","~*"),"?","~?"),L$3:L537,1),0)=1,MAX(V$2:V536)+1,""),"")</f>
        <v/>
      </c>
      <c r="W537" s="25">
        <f>IF(V537="","",COUNTIFS($J$3:$J$1002,"="&amp;SUBSTITUTE(SUBSTITUTE(SUBSTITUTE(J537,"~","~~"),"*","~*"),"?","~?"),$L$3:$L$1002,1)*10000-V537)</f>
        <v/>
      </c>
    </row>
    <row r="538">
      <c r="A538">
        <f>IF(A$2=0,"",IFERROR(TRIM(INDEX('Pegar estudiantes'!$A$1:$BZ$1001,537,A$2)&amp;""),""))</f>
        <v/>
      </c>
      <c r="B538">
        <f>IF(B$2=0,"",IFERROR(TRIM(INDEX('Pegar estudiantes'!$A$1:$BZ$1001,537,B$2)&amp;""),""))</f>
        <v/>
      </c>
      <c r="C538">
        <f>IF(C$2=0,"",IFERROR(TRIM(INDEX('Pegar estudiantes'!$A$1:$BZ$1001,537,C$2)&amp;""),""))</f>
        <v/>
      </c>
      <c r="D538">
        <f>IF(D$2=0,"",IFERROR(TRIM(INDEX('Pegar estudiantes'!$A$1:$BZ$1001,537,D$2)&amp;""),""))</f>
        <v/>
      </c>
      <c r="E538">
        <f>IF(E$2=0,"",IFERROR(TRIM(INDEX('Pegar estudiantes'!$A$1:$BZ$1001,537,E$2)&amp;""),""))</f>
        <v/>
      </c>
      <c r="F538">
        <f>IF(F$2=0,"",IFERROR(TRIM(INDEX('Pegar estudiantes'!$A$1:$BZ$1001,537,F$2)&amp;""),""))</f>
        <v/>
      </c>
      <c r="G538">
        <f>IF(G$2=0,"",IFERROR(TRIM(INDEX('Pegar estudiantes'!$A$1:$BZ$1001,537,G$2)&amp;""),""))</f>
        <v/>
      </c>
      <c r="H538">
        <f>IF(H$2=0,"",IFERROR(TRIM(INDEX('Pegar estudiantes'!$A$1:$BZ$1001,537,H$2)&amp;""),""))</f>
        <v/>
      </c>
      <c r="I538">
        <f>IF(I$2=0,"",IFERROR(TRIM(INDEX('Pegar estudiantes'!$A$1:$BZ$1001,537,I$2)&amp;""),""))</f>
        <v/>
      </c>
      <c r="J538">
        <f>IF(J$2=0,"",IFERROR(TRIM(INDEX('Pegar estudiantes'!$A$1:$BZ$1001,537,J$2)&amp;""),""))</f>
        <v/>
      </c>
      <c r="K538">
        <f>IF(K$2=0,"",IFERROR(TRIM(INDEX('Pegar estudiantes'!$A$1:$BZ$1001,537,K$2)&amp;""),""))</f>
        <v/>
      </c>
      <c r="L538" s="25">
        <f>IF(A538&lt;&gt;"",1,"")</f>
        <v/>
      </c>
      <c r="M538" s="25">
        <f>IF(L538=1,IF(ISNUMBER(FIND("#"&amp;MID(A538,1,1)&amp;"#","#0#1#2#3#4#5#6#7#8#9#")),IF(ISNUMBER(FIND("#"&amp;MID(A538,2,1)&amp;"#","#0#1#2#3#4#5#6#7#8#9#")),IF(AND(VALUE(LEFT(A538,2))&gt;=1,VALUE(LEFT(A538,2))&lt;=5),VALUE(LEFT(A538,2)),""),IF(AND(VALUE(LEFT(A538,1))&gt;=1,VALUE(LEFT(A538,1))&lt;=5),VALUE(LEFT(A538,1)),"")),""),"")</f>
        <v/>
      </c>
      <c r="N538" s="25">
        <f>IF(L538=1,IF(ISNUMBER(FIND("#"&amp;MID(H538,1,1)&amp;"#","#0#1#2#3#4#5#6#7#8#9#")),IF(ISNUMBER(FIND("#"&amp;MID(H538,2,1)&amp;"#","#0#1#2#3#4#5#6#7#8#9#")),IF(AND(VALUE(LEFT(H538,2))&gt;=1,VALUE(LEFT(H538,2))&lt;=5),VALUE(LEFT(H538,2)),""),IF(AND(VALUE(LEFT(H538,1))&gt;=1,VALUE(LEFT(H538,1))&lt;=5),VALUE(LEFT(H538,1)),"")),""),"")</f>
        <v/>
      </c>
      <c r="O538" s="25">
        <f>IF(AND(L538=1,B538&lt;&gt;""),SUBSTITUTE(SUBSTITUTE(SUBSTITUTE(SUBSTITUTE(SUBSTITUTE(SUBSTITUTE(SUBSTITUTE(SUBSTITUTE(SUBSTITUTE(SUBSTITUTE(SUBSTITUTE(SUBSTITUTE(LOWER(TRIM(B538)),"á","a"),"é","e"),"í","i"),"ó","o"),"ú","u"),"ü","u"),"ñ","n"),"à","a"),"è","e"),"ì","i"),"ò","o"),"ù","u"),"")</f>
        <v/>
      </c>
      <c r="P538" s="25">
        <f>IF(AND(L538=1,C538&lt;&gt;""),SUBSTITUTE(SUBSTITUTE(SUBSTITUTE(SUBSTITUTE(SUBSTITUTE(SUBSTITUTE(SUBSTITUTE(SUBSTITUTE(SUBSTITUTE(SUBSTITUTE(SUBSTITUTE(SUBSTITUTE(LOWER(TRIM(C538)),"á","a"),"é","e"),"í","i"),"ó","o"),"ú","u"),"ü","u"),"ñ","n"),"à","a"),"è","e"),"ì","i"),"ò","o"),"ù","u"),"")</f>
        <v/>
      </c>
      <c r="Q538" s="25">
        <f>IF(AND(L538=1,E538&lt;&gt;""),SUBSTITUTE(SUBSTITUTE(SUBSTITUTE(SUBSTITUTE(SUBSTITUTE(SUBSTITUTE(SUBSTITUTE(SUBSTITUTE(SUBSTITUTE(SUBSTITUTE(SUBSTITUTE(SUBSTITUTE(LOWER(TRIM(E538)),"á","a"),"é","e"),"í","i"),"ó","o"),"ú","u"),"ü","u"),"ñ","n"),"à","a"),"è","e"),"ì","i"),"ò","o"),"ù","u"),"")</f>
        <v/>
      </c>
      <c r="R538" s="25">
        <f>IF(AND(L538=1,I538&lt;&gt;""),SUBSTITUTE(SUBSTITUTE(SUBSTITUTE(SUBSTITUTE(SUBSTITUTE(SUBSTITUTE(SUBSTITUTE(SUBSTITUTE(SUBSTITUTE(SUBSTITUTE(SUBSTITUTE(SUBSTITUTE(LOWER(TRIM(I538)),"á","a"),"é","e"),"í","i"),"ó","o"),"ú","u"),"ü","u"),"ñ","n"),"à","a"),"è","e"),"ì","i"),"ò","o"),"ù","u"),"")</f>
        <v/>
      </c>
      <c r="S538" s="25">
        <f>IF(R538="","",IF(OR(R538="si",R538="tal vez"),1,0))</f>
        <v/>
      </c>
      <c r="T538" s="25">
        <f>IF(AND(L538=1,D538&lt;&gt;""),IF(IFERROR(COUNTIFS(D$3:D538,"="&amp;SUBSTITUTE(SUBSTITUTE(SUBSTITUTE(D538,"~","~~"),"*","~*"),"?","~?"),L$3:L538,1),0)=1,MAX(T$2:T537)+1,""),"")</f>
        <v/>
      </c>
      <c r="U538" s="25">
        <f>IF(T538="","",COUNTIFS($D$3:$D$1002,"="&amp;SUBSTITUTE(SUBSTITUTE(SUBSTITUTE(D538,"~","~~"),"*","~*"),"?","~?"),$L$3:$L$1002,1)*10000-T538)</f>
        <v/>
      </c>
      <c r="V538" s="25">
        <f>IF(AND(L538=1,J538&lt;&gt;""),IF(IFERROR(COUNTIFS(J$3:J538,"="&amp;SUBSTITUTE(SUBSTITUTE(SUBSTITUTE(J538,"~","~~"),"*","~*"),"?","~?"),L$3:L538,1),0)=1,MAX(V$2:V537)+1,""),"")</f>
        <v/>
      </c>
      <c r="W538" s="25">
        <f>IF(V538="","",COUNTIFS($J$3:$J$1002,"="&amp;SUBSTITUTE(SUBSTITUTE(SUBSTITUTE(J538,"~","~~"),"*","~*"),"?","~?"),$L$3:$L$1002,1)*10000-V538)</f>
        <v/>
      </c>
    </row>
    <row r="539">
      <c r="A539">
        <f>IF(A$2=0,"",IFERROR(TRIM(INDEX('Pegar estudiantes'!$A$1:$BZ$1001,538,A$2)&amp;""),""))</f>
        <v/>
      </c>
      <c r="B539">
        <f>IF(B$2=0,"",IFERROR(TRIM(INDEX('Pegar estudiantes'!$A$1:$BZ$1001,538,B$2)&amp;""),""))</f>
        <v/>
      </c>
      <c r="C539">
        <f>IF(C$2=0,"",IFERROR(TRIM(INDEX('Pegar estudiantes'!$A$1:$BZ$1001,538,C$2)&amp;""),""))</f>
        <v/>
      </c>
      <c r="D539">
        <f>IF(D$2=0,"",IFERROR(TRIM(INDEX('Pegar estudiantes'!$A$1:$BZ$1001,538,D$2)&amp;""),""))</f>
        <v/>
      </c>
      <c r="E539">
        <f>IF(E$2=0,"",IFERROR(TRIM(INDEX('Pegar estudiantes'!$A$1:$BZ$1001,538,E$2)&amp;""),""))</f>
        <v/>
      </c>
      <c r="F539">
        <f>IF(F$2=0,"",IFERROR(TRIM(INDEX('Pegar estudiantes'!$A$1:$BZ$1001,538,F$2)&amp;""),""))</f>
        <v/>
      </c>
      <c r="G539">
        <f>IF(G$2=0,"",IFERROR(TRIM(INDEX('Pegar estudiantes'!$A$1:$BZ$1001,538,G$2)&amp;""),""))</f>
        <v/>
      </c>
      <c r="H539">
        <f>IF(H$2=0,"",IFERROR(TRIM(INDEX('Pegar estudiantes'!$A$1:$BZ$1001,538,H$2)&amp;""),""))</f>
        <v/>
      </c>
      <c r="I539">
        <f>IF(I$2=0,"",IFERROR(TRIM(INDEX('Pegar estudiantes'!$A$1:$BZ$1001,538,I$2)&amp;""),""))</f>
        <v/>
      </c>
      <c r="J539">
        <f>IF(J$2=0,"",IFERROR(TRIM(INDEX('Pegar estudiantes'!$A$1:$BZ$1001,538,J$2)&amp;""),""))</f>
        <v/>
      </c>
      <c r="K539">
        <f>IF(K$2=0,"",IFERROR(TRIM(INDEX('Pegar estudiantes'!$A$1:$BZ$1001,538,K$2)&amp;""),""))</f>
        <v/>
      </c>
      <c r="L539" s="25">
        <f>IF(A539&lt;&gt;"",1,"")</f>
        <v/>
      </c>
      <c r="M539" s="25">
        <f>IF(L539=1,IF(ISNUMBER(FIND("#"&amp;MID(A539,1,1)&amp;"#","#0#1#2#3#4#5#6#7#8#9#")),IF(ISNUMBER(FIND("#"&amp;MID(A539,2,1)&amp;"#","#0#1#2#3#4#5#6#7#8#9#")),IF(AND(VALUE(LEFT(A539,2))&gt;=1,VALUE(LEFT(A539,2))&lt;=5),VALUE(LEFT(A539,2)),""),IF(AND(VALUE(LEFT(A539,1))&gt;=1,VALUE(LEFT(A539,1))&lt;=5),VALUE(LEFT(A539,1)),"")),""),"")</f>
        <v/>
      </c>
      <c r="N539" s="25">
        <f>IF(L539=1,IF(ISNUMBER(FIND("#"&amp;MID(H539,1,1)&amp;"#","#0#1#2#3#4#5#6#7#8#9#")),IF(ISNUMBER(FIND("#"&amp;MID(H539,2,1)&amp;"#","#0#1#2#3#4#5#6#7#8#9#")),IF(AND(VALUE(LEFT(H539,2))&gt;=1,VALUE(LEFT(H539,2))&lt;=5),VALUE(LEFT(H539,2)),""),IF(AND(VALUE(LEFT(H539,1))&gt;=1,VALUE(LEFT(H539,1))&lt;=5),VALUE(LEFT(H539,1)),"")),""),"")</f>
        <v/>
      </c>
      <c r="O539" s="25">
        <f>IF(AND(L539=1,B539&lt;&gt;""),SUBSTITUTE(SUBSTITUTE(SUBSTITUTE(SUBSTITUTE(SUBSTITUTE(SUBSTITUTE(SUBSTITUTE(SUBSTITUTE(SUBSTITUTE(SUBSTITUTE(SUBSTITUTE(SUBSTITUTE(LOWER(TRIM(B539)),"á","a"),"é","e"),"í","i"),"ó","o"),"ú","u"),"ü","u"),"ñ","n"),"à","a"),"è","e"),"ì","i"),"ò","o"),"ù","u"),"")</f>
        <v/>
      </c>
      <c r="P539" s="25">
        <f>IF(AND(L539=1,C539&lt;&gt;""),SUBSTITUTE(SUBSTITUTE(SUBSTITUTE(SUBSTITUTE(SUBSTITUTE(SUBSTITUTE(SUBSTITUTE(SUBSTITUTE(SUBSTITUTE(SUBSTITUTE(SUBSTITUTE(SUBSTITUTE(LOWER(TRIM(C539)),"á","a"),"é","e"),"í","i"),"ó","o"),"ú","u"),"ü","u"),"ñ","n"),"à","a"),"è","e"),"ì","i"),"ò","o"),"ù","u"),"")</f>
        <v/>
      </c>
      <c r="Q539" s="25">
        <f>IF(AND(L539=1,E539&lt;&gt;""),SUBSTITUTE(SUBSTITUTE(SUBSTITUTE(SUBSTITUTE(SUBSTITUTE(SUBSTITUTE(SUBSTITUTE(SUBSTITUTE(SUBSTITUTE(SUBSTITUTE(SUBSTITUTE(SUBSTITUTE(LOWER(TRIM(E539)),"á","a"),"é","e"),"í","i"),"ó","o"),"ú","u"),"ü","u"),"ñ","n"),"à","a"),"è","e"),"ì","i"),"ò","o"),"ù","u"),"")</f>
        <v/>
      </c>
      <c r="R539" s="25">
        <f>IF(AND(L539=1,I539&lt;&gt;""),SUBSTITUTE(SUBSTITUTE(SUBSTITUTE(SUBSTITUTE(SUBSTITUTE(SUBSTITUTE(SUBSTITUTE(SUBSTITUTE(SUBSTITUTE(SUBSTITUTE(SUBSTITUTE(SUBSTITUTE(LOWER(TRIM(I539)),"á","a"),"é","e"),"í","i"),"ó","o"),"ú","u"),"ü","u"),"ñ","n"),"à","a"),"è","e"),"ì","i"),"ò","o"),"ù","u"),"")</f>
        <v/>
      </c>
      <c r="S539" s="25">
        <f>IF(R539="","",IF(OR(R539="si",R539="tal vez"),1,0))</f>
        <v/>
      </c>
      <c r="T539" s="25">
        <f>IF(AND(L539=1,D539&lt;&gt;""),IF(IFERROR(COUNTIFS(D$3:D539,"="&amp;SUBSTITUTE(SUBSTITUTE(SUBSTITUTE(D539,"~","~~"),"*","~*"),"?","~?"),L$3:L539,1),0)=1,MAX(T$2:T538)+1,""),"")</f>
        <v/>
      </c>
      <c r="U539" s="25">
        <f>IF(T539="","",COUNTIFS($D$3:$D$1002,"="&amp;SUBSTITUTE(SUBSTITUTE(SUBSTITUTE(D539,"~","~~"),"*","~*"),"?","~?"),$L$3:$L$1002,1)*10000-T539)</f>
        <v/>
      </c>
      <c r="V539" s="25">
        <f>IF(AND(L539=1,J539&lt;&gt;""),IF(IFERROR(COUNTIFS(J$3:J539,"="&amp;SUBSTITUTE(SUBSTITUTE(SUBSTITUTE(J539,"~","~~"),"*","~*"),"?","~?"),L$3:L539,1),0)=1,MAX(V$2:V538)+1,""),"")</f>
        <v/>
      </c>
      <c r="W539" s="25">
        <f>IF(V539="","",COUNTIFS($J$3:$J$1002,"="&amp;SUBSTITUTE(SUBSTITUTE(SUBSTITUTE(J539,"~","~~"),"*","~*"),"?","~?"),$L$3:$L$1002,1)*10000-V539)</f>
        <v/>
      </c>
    </row>
    <row r="540">
      <c r="A540">
        <f>IF(A$2=0,"",IFERROR(TRIM(INDEX('Pegar estudiantes'!$A$1:$BZ$1001,539,A$2)&amp;""),""))</f>
        <v/>
      </c>
      <c r="B540">
        <f>IF(B$2=0,"",IFERROR(TRIM(INDEX('Pegar estudiantes'!$A$1:$BZ$1001,539,B$2)&amp;""),""))</f>
        <v/>
      </c>
      <c r="C540">
        <f>IF(C$2=0,"",IFERROR(TRIM(INDEX('Pegar estudiantes'!$A$1:$BZ$1001,539,C$2)&amp;""),""))</f>
        <v/>
      </c>
      <c r="D540">
        <f>IF(D$2=0,"",IFERROR(TRIM(INDEX('Pegar estudiantes'!$A$1:$BZ$1001,539,D$2)&amp;""),""))</f>
        <v/>
      </c>
      <c r="E540">
        <f>IF(E$2=0,"",IFERROR(TRIM(INDEX('Pegar estudiantes'!$A$1:$BZ$1001,539,E$2)&amp;""),""))</f>
        <v/>
      </c>
      <c r="F540">
        <f>IF(F$2=0,"",IFERROR(TRIM(INDEX('Pegar estudiantes'!$A$1:$BZ$1001,539,F$2)&amp;""),""))</f>
        <v/>
      </c>
      <c r="G540">
        <f>IF(G$2=0,"",IFERROR(TRIM(INDEX('Pegar estudiantes'!$A$1:$BZ$1001,539,G$2)&amp;""),""))</f>
        <v/>
      </c>
      <c r="H540">
        <f>IF(H$2=0,"",IFERROR(TRIM(INDEX('Pegar estudiantes'!$A$1:$BZ$1001,539,H$2)&amp;""),""))</f>
        <v/>
      </c>
      <c r="I540">
        <f>IF(I$2=0,"",IFERROR(TRIM(INDEX('Pegar estudiantes'!$A$1:$BZ$1001,539,I$2)&amp;""),""))</f>
        <v/>
      </c>
      <c r="J540">
        <f>IF(J$2=0,"",IFERROR(TRIM(INDEX('Pegar estudiantes'!$A$1:$BZ$1001,539,J$2)&amp;""),""))</f>
        <v/>
      </c>
      <c r="K540">
        <f>IF(K$2=0,"",IFERROR(TRIM(INDEX('Pegar estudiantes'!$A$1:$BZ$1001,539,K$2)&amp;""),""))</f>
        <v/>
      </c>
      <c r="L540" s="25">
        <f>IF(A540&lt;&gt;"",1,"")</f>
        <v/>
      </c>
      <c r="M540" s="25">
        <f>IF(L540=1,IF(ISNUMBER(FIND("#"&amp;MID(A540,1,1)&amp;"#","#0#1#2#3#4#5#6#7#8#9#")),IF(ISNUMBER(FIND("#"&amp;MID(A540,2,1)&amp;"#","#0#1#2#3#4#5#6#7#8#9#")),IF(AND(VALUE(LEFT(A540,2))&gt;=1,VALUE(LEFT(A540,2))&lt;=5),VALUE(LEFT(A540,2)),""),IF(AND(VALUE(LEFT(A540,1))&gt;=1,VALUE(LEFT(A540,1))&lt;=5),VALUE(LEFT(A540,1)),"")),""),"")</f>
        <v/>
      </c>
      <c r="N540" s="25">
        <f>IF(L540=1,IF(ISNUMBER(FIND("#"&amp;MID(H540,1,1)&amp;"#","#0#1#2#3#4#5#6#7#8#9#")),IF(ISNUMBER(FIND("#"&amp;MID(H540,2,1)&amp;"#","#0#1#2#3#4#5#6#7#8#9#")),IF(AND(VALUE(LEFT(H540,2))&gt;=1,VALUE(LEFT(H540,2))&lt;=5),VALUE(LEFT(H540,2)),""),IF(AND(VALUE(LEFT(H540,1))&gt;=1,VALUE(LEFT(H540,1))&lt;=5),VALUE(LEFT(H540,1)),"")),""),"")</f>
        <v/>
      </c>
      <c r="O540" s="25">
        <f>IF(AND(L540=1,B540&lt;&gt;""),SUBSTITUTE(SUBSTITUTE(SUBSTITUTE(SUBSTITUTE(SUBSTITUTE(SUBSTITUTE(SUBSTITUTE(SUBSTITUTE(SUBSTITUTE(SUBSTITUTE(SUBSTITUTE(SUBSTITUTE(LOWER(TRIM(B540)),"á","a"),"é","e"),"í","i"),"ó","o"),"ú","u"),"ü","u"),"ñ","n"),"à","a"),"è","e"),"ì","i"),"ò","o"),"ù","u"),"")</f>
        <v/>
      </c>
      <c r="P540" s="25">
        <f>IF(AND(L540=1,C540&lt;&gt;""),SUBSTITUTE(SUBSTITUTE(SUBSTITUTE(SUBSTITUTE(SUBSTITUTE(SUBSTITUTE(SUBSTITUTE(SUBSTITUTE(SUBSTITUTE(SUBSTITUTE(SUBSTITUTE(SUBSTITUTE(LOWER(TRIM(C540)),"á","a"),"é","e"),"í","i"),"ó","o"),"ú","u"),"ü","u"),"ñ","n"),"à","a"),"è","e"),"ì","i"),"ò","o"),"ù","u"),"")</f>
        <v/>
      </c>
      <c r="Q540" s="25">
        <f>IF(AND(L540=1,E540&lt;&gt;""),SUBSTITUTE(SUBSTITUTE(SUBSTITUTE(SUBSTITUTE(SUBSTITUTE(SUBSTITUTE(SUBSTITUTE(SUBSTITUTE(SUBSTITUTE(SUBSTITUTE(SUBSTITUTE(SUBSTITUTE(LOWER(TRIM(E540)),"á","a"),"é","e"),"í","i"),"ó","o"),"ú","u"),"ü","u"),"ñ","n"),"à","a"),"è","e"),"ì","i"),"ò","o"),"ù","u"),"")</f>
        <v/>
      </c>
      <c r="R540" s="25">
        <f>IF(AND(L540=1,I540&lt;&gt;""),SUBSTITUTE(SUBSTITUTE(SUBSTITUTE(SUBSTITUTE(SUBSTITUTE(SUBSTITUTE(SUBSTITUTE(SUBSTITUTE(SUBSTITUTE(SUBSTITUTE(SUBSTITUTE(SUBSTITUTE(LOWER(TRIM(I540)),"á","a"),"é","e"),"í","i"),"ó","o"),"ú","u"),"ü","u"),"ñ","n"),"à","a"),"è","e"),"ì","i"),"ò","o"),"ù","u"),"")</f>
        <v/>
      </c>
      <c r="S540" s="25">
        <f>IF(R540="","",IF(OR(R540="si",R540="tal vez"),1,0))</f>
        <v/>
      </c>
      <c r="T540" s="25">
        <f>IF(AND(L540=1,D540&lt;&gt;""),IF(IFERROR(COUNTIFS(D$3:D540,"="&amp;SUBSTITUTE(SUBSTITUTE(SUBSTITUTE(D540,"~","~~"),"*","~*"),"?","~?"),L$3:L540,1),0)=1,MAX(T$2:T539)+1,""),"")</f>
        <v/>
      </c>
      <c r="U540" s="25">
        <f>IF(T540="","",COUNTIFS($D$3:$D$1002,"="&amp;SUBSTITUTE(SUBSTITUTE(SUBSTITUTE(D540,"~","~~"),"*","~*"),"?","~?"),$L$3:$L$1002,1)*10000-T540)</f>
        <v/>
      </c>
      <c r="V540" s="25">
        <f>IF(AND(L540=1,J540&lt;&gt;""),IF(IFERROR(COUNTIFS(J$3:J540,"="&amp;SUBSTITUTE(SUBSTITUTE(SUBSTITUTE(J540,"~","~~"),"*","~*"),"?","~?"),L$3:L540,1),0)=1,MAX(V$2:V539)+1,""),"")</f>
        <v/>
      </c>
      <c r="W540" s="25">
        <f>IF(V540="","",COUNTIFS($J$3:$J$1002,"="&amp;SUBSTITUTE(SUBSTITUTE(SUBSTITUTE(J540,"~","~~"),"*","~*"),"?","~?"),$L$3:$L$1002,1)*10000-V540)</f>
        <v/>
      </c>
    </row>
    <row r="541">
      <c r="A541">
        <f>IF(A$2=0,"",IFERROR(TRIM(INDEX('Pegar estudiantes'!$A$1:$BZ$1001,540,A$2)&amp;""),""))</f>
        <v/>
      </c>
      <c r="B541">
        <f>IF(B$2=0,"",IFERROR(TRIM(INDEX('Pegar estudiantes'!$A$1:$BZ$1001,540,B$2)&amp;""),""))</f>
        <v/>
      </c>
      <c r="C541">
        <f>IF(C$2=0,"",IFERROR(TRIM(INDEX('Pegar estudiantes'!$A$1:$BZ$1001,540,C$2)&amp;""),""))</f>
        <v/>
      </c>
      <c r="D541">
        <f>IF(D$2=0,"",IFERROR(TRIM(INDEX('Pegar estudiantes'!$A$1:$BZ$1001,540,D$2)&amp;""),""))</f>
        <v/>
      </c>
      <c r="E541">
        <f>IF(E$2=0,"",IFERROR(TRIM(INDEX('Pegar estudiantes'!$A$1:$BZ$1001,540,E$2)&amp;""),""))</f>
        <v/>
      </c>
      <c r="F541">
        <f>IF(F$2=0,"",IFERROR(TRIM(INDEX('Pegar estudiantes'!$A$1:$BZ$1001,540,F$2)&amp;""),""))</f>
        <v/>
      </c>
      <c r="G541">
        <f>IF(G$2=0,"",IFERROR(TRIM(INDEX('Pegar estudiantes'!$A$1:$BZ$1001,540,G$2)&amp;""),""))</f>
        <v/>
      </c>
      <c r="H541">
        <f>IF(H$2=0,"",IFERROR(TRIM(INDEX('Pegar estudiantes'!$A$1:$BZ$1001,540,H$2)&amp;""),""))</f>
        <v/>
      </c>
      <c r="I541">
        <f>IF(I$2=0,"",IFERROR(TRIM(INDEX('Pegar estudiantes'!$A$1:$BZ$1001,540,I$2)&amp;""),""))</f>
        <v/>
      </c>
      <c r="J541">
        <f>IF(J$2=0,"",IFERROR(TRIM(INDEX('Pegar estudiantes'!$A$1:$BZ$1001,540,J$2)&amp;""),""))</f>
        <v/>
      </c>
      <c r="K541">
        <f>IF(K$2=0,"",IFERROR(TRIM(INDEX('Pegar estudiantes'!$A$1:$BZ$1001,540,K$2)&amp;""),""))</f>
        <v/>
      </c>
      <c r="L541" s="25">
        <f>IF(A541&lt;&gt;"",1,"")</f>
        <v/>
      </c>
      <c r="M541" s="25">
        <f>IF(L541=1,IF(ISNUMBER(FIND("#"&amp;MID(A541,1,1)&amp;"#","#0#1#2#3#4#5#6#7#8#9#")),IF(ISNUMBER(FIND("#"&amp;MID(A541,2,1)&amp;"#","#0#1#2#3#4#5#6#7#8#9#")),IF(AND(VALUE(LEFT(A541,2))&gt;=1,VALUE(LEFT(A541,2))&lt;=5),VALUE(LEFT(A541,2)),""),IF(AND(VALUE(LEFT(A541,1))&gt;=1,VALUE(LEFT(A541,1))&lt;=5),VALUE(LEFT(A541,1)),"")),""),"")</f>
        <v/>
      </c>
      <c r="N541" s="25">
        <f>IF(L541=1,IF(ISNUMBER(FIND("#"&amp;MID(H541,1,1)&amp;"#","#0#1#2#3#4#5#6#7#8#9#")),IF(ISNUMBER(FIND("#"&amp;MID(H541,2,1)&amp;"#","#0#1#2#3#4#5#6#7#8#9#")),IF(AND(VALUE(LEFT(H541,2))&gt;=1,VALUE(LEFT(H541,2))&lt;=5),VALUE(LEFT(H541,2)),""),IF(AND(VALUE(LEFT(H541,1))&gt;=1,VALUE(LEFT(H541,1))&lt;=5),VALUE(LEFT(H541,1)),"")),""),"")</f>
        <v/>
      </c>
      <c r="O541" s="25">
        <f>IF(AND(L541=1,B541&lt;&gt;""),SUBSTITUTE(SUBSTITUTE(SUBSTITUTE(SUBSTITUTE(SUBSTITUTE(SUBSTITUTE(SUBSTITUTE(SUBSTITUTE(SUBSTITUTE(SUBSTITUTE(SUBSTITUTE(SUBSTITUTE(LOWER(TRIM(B541)),"á","a"),"é","e"),"í","i"),"ó","o"),"ú","u"),"ü","u"),"ñ","n"),"à","a"),"è","e"),"ì","i"),"ò","o"),"ù","u"),"")</f>
        <v/>
      </c>
      <c r="P541" s="25">
        <f>IF(AND(L541=1,C541&lt;&gt;""),SUBSTITUTE(SUBSTITUTE(SUBSTITUTE(SUBSTITUTE(SUBSTITUTE(SUBSTITUTE(SUBSTITUTE(SUBSTITUTE(SUBSTITUTE(SUBSTITUTE(SUBSTITUTE(SUBSTITUTE(LOWER(TRIM(C541)),"á","a"),"é","e"),"í","i"),"ó","o"),"ú","u"),"ü","u"),"ñ","n"),"à","a"),"è","e"),"ì","i"),"ò","o"),"ù","u"),"")</f>
        <v/>
      </c>
      <c r="Q541" s="25">
        <f>IF(AND(L541=1,E541&lt;&gt;""),SUBSTITUTE(SUBSTITUTE(SUBSTITUTE(SUBSTITUTE(SUBSTITUTE(SUBSTITUTE(SUBSTITUTE(SUBSTITUTE(SUBSTITUTE(SUBSTITUTE(SUBSTITUTE(SUBSTITUTE(LOWER(TRIM(E541)),"á","a"),"é","e"),"í","i"),"ó","o"),"ú","u"),"ü","u"),"ñ","n"),"à","a"),"è","e"),"ì","i"),"ò","o"),"ù","u"),"")</f>
        <v/>
      </c>
      <c r="R541" s="25">
        <f>IF(AND(L541=1,I541&lt;&gt;""),SUBSTITUTE(SUBSTITUTE(SUBSTITUTE(SUBSTITUTE(SUBSTITUTE(SUBSTITUTE(SUBSTITUTE(SUBSTITUTE(SUBSTITUTE(SUBSTITUTE(SUBSTITUTE(SUBSTITUTE(LOWER(TRIM(I541)),"á","a"),"é","e"),"í","i"),"ó","o"),"ú","u"),"ü","u"),"ñ","n"),"à","a"),"è","e"),"ì","i"),"ò","o"),"ù","u"),"")</f>
        <v/>
      </c>
      <c r="S541" s="25">
        <f>IF(R541="","",IF(OR(R541="si",R541="tal vez"),1,0))</f>
        <v/>
      </c>
      <c r="T541" s="25">
        <f>IF(AND(L541=1,D541&lt;&gt;""),IF(IFERROR(COUNTIFS(D$3:D541,"="&amp;SUBSTITUTE(SUBSTITUTE(SUBSTITUTE(D541,"~","~~"),"*","~*"),"?","~?"),L$3:L541,1),0)=1,MAX(T$2:T540)+1,""),"")</f>
        <v/>
      </c>
      <c r="U541" s="25">
        <f>IF(T541="","",COUNTIFS($D$3:$D$1002,"="&amp;SUBSTITUTE(SUBSTITUTE(SUBSTITUTE(D541,"~","~~"),"*","~*"),"?","~?"),$L$3:$L$1002,1)*10000-T541)</f>
        <v/>
      </c>
      <c r="V541" s="25">
        <f>IF(AND(L541=1,J541&lt;&gt;""),IF(IFERROR(COUNTIFS(J$3:J541,"="&amp;SUBSTITUTE(SUBSTITUTE(SUBSTITUTE(J541,"~","~~"),"*","~*"),"?","~?"),L$3:L541,1),0)=1,MAX(V$2:V540)+1,""),"")</f>
        <v/>
      </c>
      <c r="W541" s="25">
        <f>IF(V541="","",COUNTIFS($J$3:$J$1002,"="&amp;SUBSTITUTE(SUBSTITUTE(SUBSTITUTE(J541,"~","~~"),"*","~*"),"?","~?"),$L$3:$L$1002,1)*10000-V541)</f>
        <v/>
      </c>
    </row>
    <row r="542">
      <c r="A542">
        <f>IF(A$2=0,"",IFERROR(TRIM(INDEX('Pegar estudiantes'!$A$1:$BZ$1001,541,A$2)&amp;""),""))</f>
        <v/>
      </c>
      <c r="B542">
        <f>IF(B$2=0,"",IFERROR(TRIM(INDEX('Pegar estudiantes'!$A$1:$BZ$1001,541,B$2)&amp;""),""))</f>
        <v/>
      </c>
      <c r="C542">
        <f>IF(C$2=0,"",IFERROR(TRIM(INDEX('Pegar estudiantes'!$A$1:$BZ$1001,541,C$2)&amp;""),""))</f>
        <v/>
      </c>
      <c r="D542">
        <f>IF(D$2=0,"",IFERROR(TRIM(INDEX('Pegar estudiantes'!$A$1:$BZ$1001,541,D$2)&amp;""),""))</f>
        <v/>
      </c>
      <c r="E542">
        <f>IF(E$2=0,"",IFERROR(TRIM(INDEX('Pegar estudiantes'!$A$1:$BZ$1001,541,E$2)&amp;""),""))</f>
        <v/>
      </c>
      <c r="F542">
        <f>IF(F$2=0,"",IFERROR(TRIM(INDEX('Pegar estudiantes'!$A$1:$BZ$1001,541,F$2)&amp;""),""))</f>
        <v/>
      </c>
      <c r="G542">
        <f>IF(G$2=0,"",IFERROR(TRIM(INDEX('Pegar estudiantes'!$A$1:$BZ$1001,541,G$2)&amp;""),""))</f>
        <v/>
      </c>
      <c r="H542">
        <f>IF(H$2=0,"",IFERROR(TRIM(INDEX('Pegar estudiantes'!$A$1:$BZ$1001,541,H$2)&amp;""),""))</f>
        <v/>
      </c>
      <c r="I542">
        <f>IF(I$2=0,"",IFERROR(TRIM(INDEX('Pegar estudiantes'!$A$1:$BZ$1001,541,I$2)&amp;""),""))</f>
        <v/>
      </c>
      <c r="J542">
        <f>IF(J$2=0,"",IFERROR(TRIM(INDEX('Pegar estudiantes'!$A$1:$BZ$1001,541,J$2)&amp;""),""))</f>
        <v/>
      </c>
      <c r="K542">
        <f>IF(K$2=0,"",IFERROR(TRIM(INDEX('Pegar estudiantes'!$A$1:$BZ$1001,541,K$2)&amp;""),""))</f>
        <v/>
      </c>
      <c r="L542" s="25">
        <f>IF(A542&lt;&gt;"",1,"")</f>
        <v/>
      </c>
      <c r="M542" s="25">
        <f>IF(L542=1,IF(ISNUMBER(FIND("#"&amp;MID(A542,1,1)&amp;"#","#0#1#2#3#4#5#6#7#8#9#")),IF(ISNUMBER(FIND("#"&amp;MID(A542,2,1)&amp;"#","#0#1#2#3#4#5#6#7#8#9#")),IF(AND(VALUE(LEFT(A542,2))&gt;=1,VALUE(LEFT(A542,2))&lt;=5),VALUE(LEFT(A542,2)),""),IF(AND(VALUE(LEFT(A542,1))&gt;=1,VALUE(LEFT(A542,1))&lt;=5),VALUE(LEFT(A542,1)),"")),""),"")</f>
        <v/>
      </c>
      <c r="N542" s="25">
        <f>IF(L542=1,IF(ISNUMBER(FIND("#"&amp;MID(H542,1,1)&amp;"#","#0#1#2#3#4#5#6#7#8#9#")),IF(ISNUMBER(FIND("#"&amp;MID(H542,2,1)&amp;"#","#0#1#2#3#4#5#6#7#8#9#")),IF(AND(VALUE(LEFT(H542,2))&gt;=1,VALUE(LEFT(H542,2))&lt;=5),VALUE(LEFT(H542,2)),""),IF(AND(VALUE(LEFT(H542,1))&gt;=1,VALUE(LEFT(H542,1))&lt;=5),VALUE(LEFT(H542,1)),"")),""),"")</f>
        <v/>
      </c>
      <c r="O542" s="25">
        <f>IF(AND(L542=1,B542&lt;&gt;""),SUBSTITUTE(SUBSTITUTE(SUBSTITUTE(SUBSTITUTE(SUBSTITUTE(SUBSTITUTE(SUBSTITUTE(SUBSTITUTE(SUBSTITUTE(SUBSTITUTE(SUBSTITUTE(SUBSTITUTE(LOWER(TRIM(B542)),"á","a"),"é","e"),"í","i"),"ó","o"),"ú","u"),"ü","u"),"ñ","n"),"à","a"),"è","e"),"ì","i"),"ò","o"),"ù","u"),"")</f>
        <v/>
      </c>
      <c r="P542" s="25">
        <f>IF(AND(L542=1,C542&lt;&gt;""),SUBSTITUTE(SUBSTITUTE(SUBSTITUTE(SUBSTITUTE(SUBSTITUTE(SUBSTITUTE(SUBSTITUTE(SUBSTITUTE(SUBSTITUTE(SUBSTITUTE(SUBSTITUTE(SUBSTITUTE(LOWER(TRIM(C542)),"á","a"),"é","e"),"í","i"),"ó","o"),"ú","u"),"ü","u"),"ñ","n"),"à","a"),"è","e"),"ì","i"),"ò","o"),"ù","u"),"")</f>
        <v/>
      </c>
      <c r="Q542" s="25">
        <f>IF(AND(L542=1,E542&lt;&gt;""),SUBSTITUTE(SUBSTITUTE(SUBSTITUTE(SUBSTITUTE(SUBSTITUTE(SUBSTITUTE(SUBSTITUTE(SUBSTITUTE(SUBSTITUTE(SUBSTITUTE(SUBSTITUTE(SUBSTITUTE(LOWER(TRIM(E542)),"á","a"),"é","e"),"í","i"),"ó","o"),"ú","u"),"ü","u"),"ñ","n"),"à","a"),"è","e"),"ì","i"),"ò","o"),"ù","u"),"")</f>
        <v/>
      </c>
      <c r="R542" s="25">
        <f>IF(AND(L542=1,I542&lt;&gt;""),SUBSTITUTE(SUBSTITUTE(SUBSTITUTE(SUBSTITUTE(SUBSTITUTE(SUBSTITUTE(SUBSTITUTE(SUBSTITUTE(SUBSTITUTE(SUBSTITUTE(SUBSTITUTE(SUBSTITUTE(LOWER(TRIM(I542)),"á","a"),"é","e"),"í","i"),"ó","o"),"ú","u"),"ü","u"),"ñ","n"),"à","a"),"è","e"),"ì","i"),"ò","o"),"ù","u"),"")</f>
        <v/>
      </c>
      <c r="S542" s="25">
        <f>IF(R542="","",IF(OR(R542="si",R542="tal vez"),1,0))</f>
        <v/>
      </c>
      <c r="T542" s="25">
        <f>IF(AND(L542=1,D542&lt;&gt;""),IF(IFERROR(COUNTIFS(D$3:D542,"="&amp;SUBSTITUTE(SUBSTITUTE(SUBSTITUTE(D542,"~","~~"),"*","~*"),"?","~?"),L$3:L542,1),0)=1,MAX(T$2:T541)+1,""),"")</f>
        <v/>
      </c>
      <c r="U542" s="25">
        <f>IF(T542="","",COUNTIFS($D$3:$D$1002,"="&amp;SUBSTITUTE(SUBSTITUTE(SUBSTITUTE(D542,"~","~~"),"*","~*"),"?","~?"),$L$3:$L$1002,1)*10000-T542)</f>
        <v/>
      </c>
      <c r="V542" s="25">
        <f>IF(AND(L542=1,J542&lt;&gt;""),IF(IFERROR(COUNTIFS(J$3:J542,"="&amp;SUBSTITUTE(SUBSTITUTE(SUBSTITUTE(J542,"~","~~"),"*","~*"),"?","~?"),L$3:L542,1),0)=1,MAX(V$2:V541)+1,""),"")</f>
        <v/>
      </c>
      <c r="W542" s="25">
        <f>IF(V542="","",COUNTIFS($J$3:$J$1002,"="&amp;SUBSTITUTE(SUBSTITUTE(SUBSTITUTE(J542,"~","~~"),"*","~*"),"?","~?"),$L$3:$L$1002,1)*10000-V542)</f>
        <v/>
      </c>
    </row>
    <row r="543">
      <c r="A543">
        <f>IF(A$2=0,"",IFERROR(TRIM(INDEX('Pegar estudiantes'!$A$1:$BZ$1001,542,A$2)&amp;""),""))</f>
        <v/>
      </c>
      <c r="B543">
        <f>IF(B$2=0,"",IFERROR(TRIM(INDEX('Pegar estudiantes'!$A$1:$BZ$1001,542,B$2)&amp;""),""))</f>
        <v/>
      </c>
      <c r="C543">
        <f>IF(C$2=0,"",IFERROR(TRIM(INDEX('Pegar estudiantes'!$A$1:$BZ$1001,542,C$2)&amp;""),""))</f>
        <v/>
      </c>
      <c r="D543">
        <f>IF(D$2=0,"",IFERROR(TRIM(INDEX('Pegar estudiantes'!$A$1:$BZ$1001,542,D$2)&amp;""),""))</f>
        <v/>
      </c>
      <c r="E543">
        <f>IF(E$2=0,"",IFERROR(TRIM(INDEX('Pegar estudiantes'!$A$1:$BZ$1001,542,E$2)&amp;""),""))</f>
        <v/>
      </c>
      <c r="F543">
        <f>IF(F$2=0,"",IFERROR(TRIM(INDEX('Pegar estudiantes'!$A$1:$BZ$1001,542,F$2)&amp;""),""))</f>
        <v/>
      </c>
      <c r="G543">
        <f>IF(G$2=0,"",IFERROR(TRIM(INDEX('Pegar estudiantes'!$A$1:$BZ$1001,542,G$2)&amp;""),""))</f>
        <v/>
      </c>
      <c r="H543">
        <f>IF(H$2=0,"",IFERROR(TRIM(INDEX('Pegar estudiantes'!$A$1:$BZ$1001,542,H$2)&amp;""),""))</f>
        <v/>
      </c>
      <c r="I543">
        <f>IF(I$2=0,"",IFERROR(TRIM(INDEX('Pegar estudiantes'!$A$1:$BZ$1001,542,I$2)&amp;""),""))</f>
        <v/>
      </c>
      <c r="J543">
        <f>IF(J$2=0,"",IFERROR(TRIM(INDEX('Pegar estudiantes'!$A$1:$BZ$1001,542,J$2)&amp;""),""))</f>
        <v/>
      </c>
      <c r="K543">
        <f>IF(K$2=0,"",IFERROR(TRIM(INDEX('Pegar estudiantes'!$A$1:$BZ$1001,542,K$2)&amp;""),""))</f>
        <v/>
      </c>
      <c r="L543" s="25">
        <f>IF(A543&lt;&gt;"",1,"")</f>
        <v/>
      </c>
      <c r="M543" s="25">
        <f>IF(L543=1,IF(ISNUMBER(FIND("#"&amp;MID(A543,1,1)&amp;"#","#0#1#2#3#4#5#6#7#8#9#")),IF(ISNUMBER(FIND("#"&amp;MID(A543,2,1)&amp;"#","#0#1#2#3#4#5#6#7#8#9#")),IF(AND(VALUE(LEFT(A543,2))&gt;=1,VALUE(LEFT(A543,2))&lt;=5),VALUE(LEFT(A543,2)),""),IF(AND(VALUE(LEFT(A543,1))&gt;=1,VALUE(LEFT(A543,1))&lt;=5),VALUE(LEFT(A543,1)),"")),""),"")</f>
        <v/>
      </c>
      <c r="N543" s="25">
        <f>IF(L543=1,IF(ISNUMBER(FIND("#"&amp;MID(H543,1,1)&amp;"#","#0#1#2#3#4#5#6#7#8#9#")),IF(ISNUMBER(FIND("#"&amp;MID(H543,2,1)&amp;"#","#0#1#2#3#4#5#6#7#8#9#")),IF(AND(VALUE(LEFT(H543,2))&gt;=1,VALUE(LEFT(H543,2))&lt;=5),VALUE(LEFT(H543,2)),""),IF(AND(VALUE(LEFT(H543,1))&gt;=1,VALUE(LEFT(H543,1))&lt;=5),VALUE(LEFT(H543,1)),"")),""),"")</f>
        <v/>
      </c>
      <c r="O543" s="25">
        <f>IF(AND(L543=1,B543&lt;&gt;""),SUBSTITUTE(SUBSTITUTE(SUBSTITUTE(SUBSTITUTE(SUBSTITUTE(SUBSTITUTE(SUBSTITUTE(SUBSTITUTE(SUBSTITUTE(SUBSTITUTE(SUBSTITUTE(SUBSTITUTE(LOWER(TRIM(B543)),"á","a"),"é","e"),"í","i"),"ó","o"),"ú","u"),"ü","u"),"ñ","n"),"à","a"),"è","e"),"ì","i"),"ò","o"),"ù","u"),"")</f>
        <v/>
      </c>
      <c r="P543" s="25">
        <f>IF(AND(L543=1,C543&lt;&gt;""),SUBSTITUTE(SUBSTITUTE(SUBSTITUTE(SUBSTITUTE(SUBSTITUTE(SUBSTITUTE(SUBSTITUTE(SUBSTITUTE(SUBSTITUTE(SUBSTITUTE(SUBSTITUTE(SUBSTITUTE(LOWER(TRIM(C543)),"á","a"),"é","e"),"í","i"),"ó","o"),"ú","u"),"ü","u"),"ñ","n"),"à","a"),"è","e"),"ì","i"),"ò","o"),"ù","u"),"")</f>
        <v/>
      </c>
      <c r="Q543" s="25">
        <f>IF(AND(L543=1,E543&lt;&gt;""),SUBSTITUTE(SUBSTITUTE(SUBSTITUTE(SUBSTITUTE(SUBSTITUTE(SUBSTITUTE(SUBSTITUTE(SUBSTITUTE(SUBSTITUTE(SUBSTITUTE(SUBSTITUTE(SUBSTITUTE(LOWER(TRIM(E543)),"á","a"),"é","e"),"í","i"),"ó","o"),"ú","u"),"ü","u"),"ñ","n"),"à","a"),"è","e"),"ì","i"),"ò","o"),"ù","u"),"")</f>
        <v/>
      </c>
      <c r="R543" s="25">
        <f>IF(AND(L543=1,I543&lt;&gt;""),SUBSTITUTE(SUBSTITUTE(SUBSTITUTE(SUBSTITUTE(SUBSTITUTE(SUBSTITUTE(SUBSTITUTE(SUBSTITUTE(SUBSTITUTE(SUBSTITUTE(SUBSTITUTE(SUBSTITUTE(LOWER(TRIM(I543)),"á","a"),"é","e"),"í","i"),"ó","o"),"ú","u"),"ü","u"),"ñ","n"),"à","a"),"è","e"),"ì","i"),"ò","o"),"ù","u"),"")</f>
        <v/>
      </c>
      <c r="S543" s="25">
        <f>IF(R543="","",IF(OR(R543="si",R543="tal vez"),1,0))</f>
        <v/>
      </c>
      <c r="T543" s="25">
        <f>IF(AND(L543=1,D543&lt;&gt;""),IF(IFERROR(COUNTIFS(D$3:D543,"="&amp;SUBSTITUTE(SUBSTITUTE(SUBSTITUTE(D543,"~","~~"),"*","~*"),"?","~?"),L$3:L543,1),0)=1,MAX(T$2:T542)+1,""),"")</f>
        <v/>
      </c>
      <c r="U543" s="25">
        <f>IF(T543="","",COUNTIFS($D$3:$D$1002,"="&amp;SUBSTITUTE(SUBSTITUTE(SUBSTITUTE(D543,"~","~~"),"*","~*"),"?","~?"),$L$3:$L$1002,1)*10000-T543)</f>
        <v/>
      </c>
      <c r="V543" s="25">
        <f>IF(AND(L543=1,J543&lt;&gt;""),IF(IFERROR(COUNTIFS(J$3:J543,"="&amp;SUBSTITUTE(SUBSTITUTE(SUBSTITUTE(J543,"~","~~"),"*","~*"),"?","~?"),L$3:L543,1),0)=1,MAX(V$2:V542)+1,""),"")</f>
        <v/>
      </c>
      <c r="W543" s="25">
        <f>IF(V543="","",COUNTIFS($J$3:$J$1002,"="&amp;SUBSTITUTE(SUBSTITUTE(SUBSTITUTE(J543,"~","~~"),"*","~*"),"?","~?"),$L$3:$L$1002,1)*10000-V543)</f>
        <v/>
      </c>
    </row>
    <row r="544">
      <c r="A544">
        <f>IF(A$2=0,"",IFERROR(TRIM(INDEX('Pegar estudiantes'!$A$1:$BZ$1001,543,A$2)&amp;""),""))</f>
        <v/>
      </c>
      <c r="B544">
        <f>IF(B$2=0,"",IFERROR(TRIM(INDEX('Pegar estudiantes'!$A$1:$BZ$1001,543,B$2)&amp;""),""))</f>
        <v/>
      </c>
      <c r="C544">
        <f>IF(C$2=0,"",IFERROR(TRIM(INDEX('Pegar estudiantes'!$A$1:$BZ$1001,543,C$2)&amp;""),""))</f>
        <v/>
      </c>
      <c r="D544">
        <f>IF(D$2=0,"",IFERROR(TRIM(INDEX('Pegar estudiantes'!$A$1:$BZ$1001,543,D$2)&amp;""),""))</f>
        <v/>
      </c>
      <c r="E544">
        <f>IF(E$2=0,"",IFERROR(TRIM(INDEX('Pegar estudiantes'!$A$1:$BZ$1001,543,E$2)&amp;""),""))</f>
        <v/>
      </c>
      <c r="F544">
        <f>IF(F$2=0,"",IFERROR(TRIM(INDEX('Pegar estudiantes'!$A$1:$BZ$1001,543,F$2)&amp;""),""))</f>
        <v/>
      </c>
      <c r="G544">
        <f>IF(G$2=0,"",IFERROR(TRIM(INDEX('Pegar estudiantes'!$A$1:$BZ$1001,543,G$2)&amp;""),""))</f>
        <v/>
      </c>
      <c r="H544">
        <f>IF(H$2=0,"",IFERROR(TRIM(INDEX('Pegar estudiantes'!$A$1:$BZ$1001,543,H$2)&amp;""),""))</f>
        <v/>
      </c>
      <c r="I544">
        <f>IF(I$2=0,"",IFERROR(TRIM(INDEX('Pegar estudiantes'!$A$1:$BZ$1001,543,I$2)&amp;""),""))</f>
        <v/>
      </c>
      <c r="J544">
        <f>IF(J$2=0,"",IFERROR(TRIM(INDEX('Pegar estudiantes'!$A$1:$BZ$1001,543,J$2)&amp;""),""))</f>
        <v/>
      </c>
      <c r="K544">
        <f>IF(K$2=0,"",IFERROR(TRIM(INDEX('Pegar estudiantes'!$A$1:$BZ$1001,543,K$2)&amp;""),""))</f>
        <v/>
      </c>
      <c r="L544" s="25">
        <f>IF(A544&lt;&gt;"",1,"")</f>
        <v/>
      </c>
      <c r="M544" s="25">
        <f>IF(L544=1,IF(ISNUMBER(FIND("#"&amp;MID(A544,1,1)&amp;"#","#0#1#2#3#4#5#6#7#8#9#")),IF(ISNUMBER(FIND("#"&amp;MID(A544,2,1)&amp;"#","#0#1#2#3#4#5#6#7#8#9#")),IF(AND(VALUE(LEFT(A544,2))&gt;=1,VALUE(LEFT(A544,2))&lt;=5),VALUE(LEFT(A544,2)),""),IF(AND(VALUE(LEFT(A544,1))&gt;=1,VALUE(LEFT(A544,1))&lt;=5),VALUE(LEFT(A544,1)),"")),""),"")</f>
        <v/>
      </c>
      <c r="N544" s="25">
        <f>IF(L544=1,IF(ISNUMBER(FIND("#"&amp;MID(H544,1,1)&amp;"#","#0#1#2#3#4#5#6#7#8#9#")),IF(ISNUMBER(FIND("#"&amp;MID(H544,2,1)&amp;"#","#0#1#2#3#4#5#6#7#8#9#")),IF(AND(VALUE(LEFT(H544,2))&gt;=1,VALUE(LEFT(H544,2))&lt;=5),VALUE(LEFT(H544,2)),""),IF(AND(VALUE(LEFT(H544,1))&gt;=1,VALUE(LEFT(H544,1))&lt;=5),VALUE(LEFT(H544,1)),"")),""),"")</f>
        <v/>
      </c>
      <c r="O544" s="25">
        <f>IF(AND(L544=1,B544&lt;&gt;""),SUBSTITUTE(SUBSTITUTE(SUBSTITUTE(SUBSTITUTE(SUBSTITUTE(SUBSTITUTE(SUBSTITUTE(SUBSTITUTE(SUBSTITUTE(SUBSTITUTE(SUBSTITUTE(SUBSTITUTE(LOWER(TRIM(B544)),"á","a"),"é","e"),"í","i"),"ó","o"),"ú","u"),"ü","u"),"ñ","n"),"à","a"),"è","e"),"ì","i"),"ò","o"),"ù","u"),"")</f>
        <v/>
      </c>
      <c r="P544" s="25">
        <f>IF(AND(L544=1,C544&lt;&gt;""),SUBSTITUTE(SUBSTITUTE(SUBSTITUTE(SUBSTITUTE(SUBSTITUTE(SUBSTITUTE(SUBSTITUTE(SUBSTITUTE(SUBSTITUTE(SUBSTITUTE(SUBSTITUTE(SUBSTITUTE(LOWER(TRIM(C544)),"á","a"),"é","e"),"í","i"),"ó","o"),"ú","u"),"ü","u"),"ñ","n"),"à","a"),"è","e"),"ì","i"),"ò","o"),"ù","u"),"")</f>
        <v/>
      </c>
      <c r="Q544" s="25">
        <f>IF(AND(L544=1,E544&lt;&gt;""),SUBSTITUTE(SUBSTITUTE(SUBSTITUTE(SUBSTITUTE(SUBSTITUTE(SUBSTITUTE(SUBSTITUTE(SUBSTITUTE(SUBSTITUTE(SUBSTITUTE(SUBSTITUTE(SUBSTITUTE(LOWER(TRIM(E544)),"á","a"),"é","e"),"í","i"),"ó","o"),"ú","u"),"ü","u"),"ñ","n"),"à","a"),"è","e"),"ì","i"),"ò","o"),"ù","u"),"")</f>
        <v/>
      </c>
      <c r="R544" s="25">
        <f>IF(AND(L544=1,I544&lt;&gt;""),SUBSTITUTE(SUBSTITUTE(SUBSTITUTE(SUBSTITUTE(SUBSTITUTE(SUBSTITUTE(SUBSTITUTE(SUBSTITUTE(SUBSTITUTE(SUBSTITUTE(SUBSTITUTE(SUBSTITUTE(LOWER(TRIM(I544)),"á","a"),"é","e"),"í","i"),"ó","o"),"ú","u"),"ü","u"),"ñ","n"),"à","a"),"è","e"),"ì","i"),"ò","o"),"ù","u"),"")</f>
        <v/>
      </c>
      <c r="S544" s="25">
        <f>IF(R544="","",IF(OR(R544="si",R544="tal vez"),1,0))</f>
        <v/>
      </c>
      <c r="T544" s="25">
        <f>IF(AND(L544=1,D544&lt;&gt;""),IF(IFERROR(COUNTIFS(D$3:D544,"="&amp;SUBSTITUTE(SUBSTITUTE(SUBSTITUTE(D544,"~","~~"),"*","~*"),"?","~?"),L$3:L544,1),0)=1,MAX(T$2:T543)+1,""),"")</f>
        <v/>
      </c>
      <c r="U544" s="25">
        <f>IF(T544="","",COUNTIFS($D$3:$D$1002,"="&amp;SUBSTITUTE(SUBSTITUTE(SUBSTITUTE(D544,"~","~~"),"*","~*"),"?","~?"),$L$3:$L$1002,1)*10000-T544)</f>
        <v/>
      </c>
      <c r="V544" s="25">
        <f>IF(AND(L544=1,J544&lt;&gt;""),IF(IFERROR(COUNTIFS(J$3:J544,"="&amp;SUBSTITUTE(SUBSTITUTE(SUBSTITUTE(J544,"~","~~"),"*","~*"),"?","~?"),L$3:L544,1),0)=1,MAX(V$2:V543)+1,""),"")</f>
        <v/>
      </c>
      <c r="W544" s="25">
        <f>IF(V544="","",COUNTIFS($J$3:$J$1002,"="&amp;SUBSTITUTE(SUBSTITUTE(SUBSTITUTE(J544,"~","~~"),"*","~*"),"?","~?"),$L$3:$L$1002,1)*10000-V544)</f>
        <v/>
      </c>
    </row>
    <row r="545">
      <c r="A545">
        <f>IF(A$2=0,"",IFERROR(TRIM(INDEX('Pegar estudiantes'!$A$1:$BZ$1001,544,A$2)&amp;""),""))</f>
        <v/>
      </c>
      <c r="B545">
        <f>IF(B$2=0,"",IFERROR(TRIM(INDEX('Pegar estudiantes'!$A$1:$BZ$1001,544,B$2)&amp;""),""))</f>
        <v/>
      </c>
      <c r="C545">
        <f>IF(C$2=0,"",IFERROR(TRIM(INDEX('Pegar estudiantes'!$A$1:$BZ$1001,544,C$2)&amp;""),""))</f>
        <v/>
      </c>
      <c r="D545">
        <f>IF(D$2=0,"",IFERROR(TRIM(INDEX('Pegar estudiantes'!$A$1:$BZ$1001,544,D$2)&amp;""),""))</f>
        <v/>
      </c>
      <c r="E545">
        <f>IF(E$2=0,"",IFERROR(TRIM(INDEX('Pegar estudiantes'!$A$1:$BZ$1001,544,E$2)&amp;""),""))</f>
        <v/>
      </c>
      <c r="F545">
        <f>IF(F$2=0,"",IFERROR(TRIM(INDEX('Pegar estudiantes'!$A$1:$BZ$1001,544,F$2)&amp;""),""))</f>
        <v/>
      </c>
      <c r="G545">
        <f>IF(G$2=0,"",IFERROR(TRIM(INDEX('Pegar estudiantes'!$A$1:$BZ$1001,544,G$2)&amp;""),""))</f>
        <v/>
      </c>
      <c r="H545">
        <f>IF(H$2=0,"",IFERROR(TRIM(INDEX('Pegar estudiantes'!$A$1:$BZ$1001,544,H$2)&amp;""),""))</f>
        <v/>
      </c>
      <c r="I545">
        <f>IF(I$2=0,"",IFERROR(TRIM(INDEX('Pegar estudiantes'!$A$1:$BZ$1001,544,I$2)&amp;""),""))</f>
        <v/>
      </c>
      <c r="J545">
        <f>IF(J$2=0,"",IFERROR(TRIM(INDEX('Pegar estudiantes'!$A$1:$BZ$1001,544,J$2)&amp;""),""))</f>
        <v/>
      </c>
      <c r="K545">
        <f>IF(K$2=0,"",IFERROR(TRIM(INDEX('Pegar estudiantes'!$A$1:$BZ$1001,544,K$2)&amp;""),""))</f>
        <v/>
      </c>
      <c r="L545" s="25">
        <f>IF(A545&lt;&gt;"",1,"")</f>
        <v/>
      </c>
      <c r="M545" s="25">
        <f>IF(L545=1,IF(ISNUMBER(FIND("#"&amp;MID(A545,1,1)&amp;"#","#0#1#2#3#4#5#6#7#8#9#")),IF(ISNUMBER(FIND("#"&amp;MID(A545,2,1)&amp;"#","#0#1#2#3#4#5#6#7#8#9#")),IF(AND(VALUE(LEFT(A545,2))&gt;=1,VALUE(LEFT(A545,2))&lt;=5),VALUE(LEFT(A545,2)),""),IF(AND(VALUE(LEFT(A545,1))&gt;=1,VALUE(LEFT(A545,1))&lt;=5),VALUE(LEFT(A545,1)),"")),""),"")</f>
        <v/>
      </c>
      <c r="N545" s="25">
        <f>IF(L545=1,IF(ISNUMBER(FIND("#"&amp;MID(H545,1,1)&amp;"#","#0#1#2#3#4#5#6#7#8#9#")),IF(ISNUMBER(FIND("#"&amp;MID(H545,2,1)&amp;"#","#0#1#2#3#4#5#6#7#8#9#")),IF(AND(VALUE(LEFT(H545,2))&gt;=1,VALUE(LEFT(H545,2))&lt;=5),VALUE(LEFT(H545,2)),""),IF(AND(VALUE(LEFT(H545,1))&gt;=1,VALUE(LEFT(H545,1))&lt;=5),VALUE(LEFT(H545,1)),"")),""),"")</f>
        <v/>
      </c>
      <c r="O545" s="25">
        <f>IF(AND(L545=1,B545&lt;&gt;""),SUBSTITUTE(SUBSTITUTE(SUBSTITUTE(SUBSTITUTE(SUBSTITUTE(SUBSTITUTE(SUBSTITUTE(SUBSTITUTE(SUBSTITUTE(SUBSTITUTE(SUBSTITUTE(SUBSTITUTE(LOWER(TRIM(B545)),"á","a"),"é","e"),"í","i"),"ó","o"),"ú","u"),"ü","u"),"ñ","n"),"à","a"),"è","e"),"ì","i"),"ò","o"),"ù","u"),"")</f>
        <v/>
      </c>
      <c r="P545" s="25">
        <f>IF(AND(L545=1,C545&lt;&gt;""),SUBSTITUTE(SUBSTITUTE(SUBSTITUTE(SUBSTITUTE(SUBSTITUTE(SUBSTITUTE(SUBSTITUTE(SUBSTITUTE(SUBSTITUTE(SUBSTITUTE(SUBSTITUTE(SUBSTITUTE(LOWER(TRIM(C545)),"á","a"),"é","e"),"í","i"),"ó","o"),"ú","u"),"ü","u"),"ñ","n"),"à","a"),"è","e"),"ì","i"),"ò","o"),"ù","u"),"")</f>
        <v/>
      </c>
      <c r="Q545" s="25">
        <f>IF(AND(L545=1,E545&lt;&gt;""),SUBSTITUTE(SUBSTITUTE(SUBSTITUTE(SUBSTITUTE(SUBSTITUTE(SUBSTITUTE(SUBSTITUTE(SUBSTITUTE(SUBSTITUTE(SUBSTITUTE(SUBSTITUTE(SUBSTITUTE(LOWER(TRIM(E545)),"á","a"),"é","e"),"í","i"),"ó","o"),"ú","u"),"ü","u"),"ñ","n"),"à","a"),"è","e"),"ì","i"),"ò","o"),"ù","u"),"")</f>
        <v/>
      </c>
      <c r="R545" s="25">
        <f>IF(AND(L545=1,I545&lt;&gt;""),SUBSTITUTE(SUBSTITUTE(SUBSTITUTE(SUBSTITUTE(SUBSTITUTE(SUBSTITUTE(SUBSTITUTE(SUBSTITUTE(SUBSTITUTE(SUBSTITUTE(SUBSTITUTE(SUBSTITUTE(LOWER(TRIM(I545)),"á","a"),"é","e"),"í","i"),"ó","o"),"ú","u"),"ü","u"),"ñ","n"),"à","a"),"è","e"),"ì","i"),"ò","o"),"ù","u"),"")</f>
        <v/>
      </c>
      <c r="S545" s="25">
        <f>IF(R545="","",IF(OR(R545="si",R545="tal vez"),1,0))</f>
        <v/>
      </c>
      <c r="T545" s="25">
        <f>IF(AND(L545=1,D545&lt;&gt;""),IF(IFERROR(COUNTIFS(D$3:D545,"="&amp;SUBSTITUTE(SUBSTITUTE(SUBSTITUTE(D545,"~","~~"),"*","~*"),"?","~?"),L$3:L545,1),0)=1,MAX(T$2:T544)+1,""),"")</f>
        <v/>
      </c>
      <c r="U545" s="25">
        <f>IF(T545="","",COUNTIFS($D$3:$D$1002,"="&amp;SUBSTITUTE(SUBSTITUTE(SUBSTITUTE(D545,"~","~~"),"*","~*"),"?","~?"),$L$3:$L$1002,1)*10000-T545)</f>
        <v/>
      </c>
      <c r="V545" s="25">
        <f>IF(AND(L545=1,J545&lt;&gt;""),IF(IFERROR(COUNTIFS(J$3:J545,"="&amp;SUBSTITUTE(SUBSTITUTE(SUBSTITUTE(J545,"~","~~"),"*","~*"),"?","~?"),L$3:L545,1),0)=1,MAX(V$2:V544)+1,""),"")</f>
        <v/>
      </c>
      <c r="W545" s="25">
        <f>IF(V545="","",COUNTIFS($J$3:$J$1002,"="&amp;SUBSTITUTE(SUBSTITUTE(SUBSTITUTE(J545,"~","~~"),"*","~*"),"?","~?"),$L$3:$L$1002,1)*10000-V545)</f>
        <v/>
      </c>
    </row>
    <row r="546">
      <c r="A546">
        <f>IF(A$2=0,"",IFERROR(TRIM(INDEX('Pegar estudiantes'!$A$1:$BZ$1001,545,A$2)&amp;""),""))</f>
        <v/>
      </c>
      <c r="B546">
        <f>IF(B$2=0,"",IFERROR(TRIM(INDEX('Pegar estudiantes'!$A$1:$BZ$1001,545,B$2)&amp;""),""))</f>
        <v/>
      </c>
      <c r="C546">
        <f>IF(C$2=0,"",IFERROR(TRIM(INDEX('Pegar estudiantes'!$A$1:$BZ$1001,545,C$2)&amp;""),""))</f>
        <v/>
      </c>
      <c r="D546">
        <f>IF(D$2=0,"",IFERROR(TRIM(INDEX('Pegar estudiantes'!$A$1:$BZ$1001,545,D$2)&amp;""),""))</f>
        <v/>
      </c>
      <c r="E546">
        <f>IF(E$2=0,"",IFERROR(TRIM(INDEX('Pegar estudiantes'!$A$1:$BZ$1001,545,E$2)&amp;""),""))</f>
        <v/>
      </c>
      <c r="F546">
        <f>IF(F$2=0,"",IFERROR(TRIM(INDEX('Pegar estudiantes'!$A$1:$BZ$1001,545,F$2)&amp;""),""))</f>
        <v/>
      </c>
      <c r="G546">
        <f>IF(G$2=0,"",IFERROR(TRIM(INDEX('Pegar estudiantes'!$A$1:$BZ$1001,545,G$2)&amp;""),""))</f>
        <v/>
      </c>
      <c r="H546">
        <f>IF(H$2=0,"",IFERROR(TRIM(INDEX('Pegar estudiantes'!$A$1:$BZ$1001,545,H$2)&amp;""),""))</f>
        <v/>
      </c>
      <c r="I546">
        <f>IF(I$2=0,"",IFERROR(TRIM(INDEX('Pegar estudiantes'!$A$1:$BZ$1001,545,I$2)&amp;""),""))</f>
        <v/>
      </c>
      <c r="J546">
        <f>IF(J$2=0,"",IFERROR(TRIM(INDEX('Pegar estudiantes'!$A$1:$BZ$1001,545,J$2)&amp;""),""))</f>
        <v/>
      </c>
      <c r="K546">
        <f>IF(K$2=0,"",IFERROR(TRIM(INDEX('Pegar estudiantes'!$A$1:$BZ$1001,545,K$2)&amp;""),""))</f>
        <v/>
      </c>
      <c r="L546" s="25">
        <f>IF(A546&lt;&gt;"",1,"")</f>
        <v/>
      </c>
      <c r="M546" s="25">
        <f>IF(L546=1,IF(ISNUMBER(FIND("#"&amp;MID(A546,1,1)&amp;"#","#0#1#2#3#4#5#6#7#8#9#")),IF(ISNUMBER(FIND("#"&amp;MID(A546,2,1)&amp;"#","#0#1#2#3#4#5#6#7#8#9#")),IF(AND(VALUE(LEFT(A546,2))&gt;=1,VALUE(LEFT(A546,2))&lt;=5),VALUE(LEFT(A546,2)),""),IF(AND(VALUE(LEFT(A546,1))&gt;=1,VALUE(LEFT(A546,1))&lt;=5),VALUE(LEFT(A546,1)),"")),""),"")</f>
        <v/>
      </c>
      <c r="N546" s="25">
        <f>IF(L546=1,IF(ISNUMBER(FIND("#"&amp;MID(H546,1,1)&amp;"#","#0#1#2#3#4#5#6#7#8#9#")),IF(ISNUMBER(FIND("#"&amp;MID(H546,2,1)&amp;"#","#0#1#2#3#4#5#6#7#8#9#")),IF(AND(VALUE(LEFT(H546,2))&gt;=1,VALUE(LEFT(H546,2))&lt;=5),VALUE(LEFT(H546,2)),""),IF(AND(VALUE(LEFT(H546,1))&gt;=1,VALUE(LEFT(H546,1))&lt;=5),VALUE(LEFT(H546,1)),"")),""),"")</f>
        <v/>
      </c>
      <c r="O546" s="25">
        <f>IF(AND(L546=1,B546&lt;&gt;""),SUBSTITUTE(SUBSTITUTE(SUBSTITUTE(SUBSTITUTE(SUBSTITUTE(SUBSTITUTE(SUBSTITUTE(SUBSTITUTE(SUBSTITUTE(SUBSTITUTE(SUBSTITUTE(SUBSTITUTE(LOWER(TRIM(B546)),"á","a"),"é","e"),"í","i"),"ó","o"),"ú","u"),"ü","u"),"ñ","n"),"à","a"),"è","e"),"ì","i"),"ò","o"),"ù","u"),"")</f>
        <v/>
      </c>
      <c r="P546" s="25">
        <f>IF(AND(L546=1,C546&lt;&gt;""),SUBSTITUTE(SUBSTITUTE(SUBSTITUTE(SUBSTITUTE(SUBSTITUTE(SUBSTITUTE(SUBSTITUTE(SUBSTITUTE(SUBSTITUTE(SUBSTITUTE(SUBSTITUTE(SUBSTITUTE(LOWER(TRIM(C546)),"á","a"),"é","e"),"í","i"),"ó","o"),"ú","u"),"ü","u"),"ñ","n"),"à","a"),"è","e"),"ì","i"),"ò","o"),"ù","u"),"")</f>
        <v/>
      </c>
      <c r="Q546" s="25">
        <f>IF(AND(L546=1,E546&lt;&gt;""),SUBSTITUTE(SUBSTITUTE(SUBSTITUTE(SUBSTITUTE(SUBSTITUTE(SUBSTITUTE(SUBSTITUTE(SUBSTITUTE(SUBSTITUTE(SUBSTITUTE(SUBSTITUTE(SUBSTITUTE(LOWER(TRIM(E546)),"á","a"),"é","e"),"í","i"),"ó","o"),"ú","u"),"ü","u"),"ñ","n"),"à","a"),"è","e"),"ì","i"),"ò","o"),"ù","u"),"")</f>
        <v/>
      </c>
      <c r="R546" s="25">
        <f>IF(AND(L546=1,I546&lt;&gt;""),SUBSTITUTE(SUBSTITUTE(SUBSTITUTE(SUBSTITUTE(SUBSTITUTE(SUBSTITUTE(SUBSTITUTE(SUBSTITUTE(SUBSTITUTE(SUBSTITUTE(SUBSTITUTE(SUBSTITUTE(LOWER(TRIM(I546)),"á","a"),"é","e"),"í","i"),"ó","o"),"ú","u"),"ü","u"),"ñ","n"),"à","a"),"è","e"),"ì","i"),"ò","o"),"ù","u"),"")</f>
        <v/>
      </c>
      <c r="S546" s="25">
        <f>IF(R546="","",IF(OR(R546="si",R546="tal vez"),1,0))</f>
        <v/>
      </c>
      <c r="T546" s="25">
        <f>IF(AND(L546=1,D546&lt;&gt;""),IF(IFERROR(COUNTIFS(D$3:D546,"="&amp;SUBSTITUTE(SUBSTITUTE(SUBSTITUTE(D546,"~","~~"),"*","~*"),"?","~?"),L$3:L546,1),0)=1,MAX(T$2:T545)+1,""),"")</f>
        <v/>
      </c>
      <c r="U546" s="25">
        <f>IF(T546="","",COUNTIFS($D$3:$D$1002,"="&amp;SUBSTITUTE(SUBSTITUTE(SUBSTITUTE(D546,"~","~~"),"*","~*"),"?","~?"),$L$3:$L$1002,1)*10000-T546)</f>
        <v/>
      </c>
      <c r="V546" s="25">
        <f>IF(AND(L546=1,J546&lt;&gt;""),IF(IFERROR(COUNTIFS(J$3:J546,"="&amp;SUBSTITUTE(SUBSTITUTE(SUBSTITUTE(J546,"~","~~"),"*","~*"),"?","~?"),L$3:L546,1),0)=1,MAX(V$2:V545)+1,""),"")</f>
        <v/>
      </c>
      <c r="W546" s="25">
        <f>IF(V546="","",COUNTIFS($J$3:$J$1002,"="&amp;SUBSTITUTE(SUBSTITUTE(SUBSTITUTE(J546,"~","~~"),"*","~*"),"?","~?"),$L$3:$L$1002,1)*10000-V546)</f>
        <v/>
      </c>
    </row>
    <row r="547">
      <c r="A547">
        <f>IF(A$2=0,"",IFERROR(TRIM(INDEX('Pegar estudiantes'!$A$1:$BZ$1001,546,A$2)&amp;""),""))</f>
        <v/>
      </c>
      <c r="B547">
        <f>IF(B$2=0,"",IFERROR(TRIM(INDEX('Pegar estudiantes'!$A$1:$BZ$1001,546,B$2)&amp;""),""))</f>
        <v/>
      </c>
      <c r="C547">
        <f>IF(C$2=0,"",IFERROR(TRIM(INDEX('Pegar estudiantes'!$A$1:$BZ$1001,546,C$2)&amp;""),""))</f>
        <v/>
      </c>
      <c r="D547">
        <f>IF(D$2=0,"",IFERROR(TRIM(INDEX('Pegar estudiantes'!$A$1:$BZ$1001,546,D$2)&amp;""),""))</f>
        <v/>
      </c>
      <c r="E547">
        <f>IF(E$2=0,"",IFERROR(TRIM(INDEX('Pegar estudiantes'!$A$1:$BZ$1001,546,E$2)&amp;""),""))</f>
        <v/>
      </c>
      <c r="F547">
        <f>IF(F$2=0,"",IFERROR(TRIM(INDEX('Pegar estudiantes'!$A$1:$BZ$1001,546,F$2)&amp;""),""))</f>
        <v/>
      </c>
      <c r="G547">
        <f>IF(G$2=0,"",IFERROR(TRIM(INDEX('Pegar estudiantes'!$A$1:$BZ$1001,546,G$2)&amp;""),""))</f>
        <v/>
      </c>
      <c r="H547">
        <f>IF(H$2=0,"",IFERROR(TRIM(INDEX('Pegar estudiantes'!$A$1:$BZ$1001,546,H$2)&amp;""),""))</f>
        <v/>
      </c>
      <c r="I547">
        <f>IF(I$2=0,"",IFERROR(TRIM(INDEX('Pegar estudiantes'!$A$1:$BZ$1001,546,I$2)&amp;""),""))</f>
        <v/>
      </c>
      <c r="J547">
        <f>IF(J$2=0,"",IFERROR(TRIM(INDEX('Pegar estudiantes'!$A$1:$BZ$1001,546,J$2)&amp;""),""))</f>
        <v/>
      </c>
      <c r="K547">
        <f>IF(K$2=0,"",IFERROR(TRIM(INDEX('Pegar estudiantes'!$A$1:$BZ$1001,546,K$2)&amp;""),""))</f>
        <v/>
      </c>
      <c r="L547" s="25">
        <f>IF(A547&lt;&gt;"",1,"")</f>
        <v/>
      </c>
      <c r="M547" s="25">
        <f>IF(L547=1,IF(ISNUMBER(FIND("#"&amp;MID(A547,1,1)&amp;"#","#0#1#2#3#4#5#6#7#8#9#")),IF(ISNUMBER(FIND("#"&amp;MID(A547,2,1)&amp;"#","#0#1#2#3#4#5#6#7#8#9#")),IF(AND(VALUE(LEFT(A547,2))&gt;=1,VALUE(LEFT(A547,2))&lt;=5),VALUE(LEFT(A547,2)),""),IF(AND(VALUE(LEFT(A547,1))&gt;=1,VALUE(LEFT(A547,1))&lt;=5),VALUE(LEFT(A547,1)),"")),""),"")</f>
        <v/>
      </c>
      <c r="N547" s="25">
        <f>IF(L547=1,IF(ISNUMBER(FIND("#"&amp;MID(H547,1,1)&amp;"#","#0#1#2#3#4#5#6#7#8#9#")),IF(ISNUMBER(FIND("#"&amp;MID(H547,2,1)&amp;"#","#0#1#2#3#4#5#6#7#8#9#")),IF(AND(VALUE(LEFT(H547,2))&gt;=1,VALUE(LEFT(H547,2))&lt;=5),VALUE(LEFT(H547,2)),""),IF(AND(VALUE(LEFT(H547,1))&gt;=1,VALUE(LEFT(H547,1))&lt;=5),VALUE(LEFT(H547,1)),"")),""),"")</f>
        <v/>
      </c>
      <c r="O547" s="25">
        <f>IF(AND(L547=1,B547&lt;&gt;""),SUBSTITUTE(SUBSTITUTE(SUBSTITUTE(SUBSTITUTE(SUBSTITUTE(SUBSTITUTE(SUBSTITUTE(SUBSTITUTE(SUBSTITUTE(SUBSTITUTE(SUBSTITUTE(SUBSTITUTE(LOWER(TRIM(B547)),"á","a"),"é","e"),"í","i"),"ó","o"),"ú","u"),"ü","u"),"ñ","n"),"à","a"),"è","e"),"ì","i"),"ò","o"),"ù","u"),"")</f>
        <v/>
      </c>
      <c r="P547" s="25">
        <f>IF(AND(L547=1,C547&lt;&gt;""),SUBSTITUTE(SUBSTITUTE(SUBSTITUTE(SUBSTITUTE(SUBSTITUTE(SUBSTITUTE(SUBSTITUTE(SUBSTITUTE(SUBSTITUTE(SUBSTITUTE(SUBSTITUTE(SUBSTITUTE(LOWER(TRIM(C547)),"á","a"),"é","e"),"í","i"),"ó","o"),"ú","u"),"ü","u"),"ñ","n"),"à","a"),"è","e"),"ì","i"),"ò","o"),"ù","u"),"")</f>
        <v/>
      </c>
      <c r="Q547" s="25">
        <f>IF(AND(L547=1,E547&lt;&gt;""),SUBSTITUTE(SUBSTITUTE(SUBSTITUTE(SUBSTITUTE(SUBSTITUTE(SUBSTITUTE(SUBSTITUTE(SUBSTITUTE(SUBSTITUTE(SUBSTITUTE(SUBSTITUTE(SUBSTITUTE(LOWER(TRIM(E547)),"á","a"),"é","e"),"í","i"),"ó","o"),"ú","u"),"ü","u"),"ñ","n"),"à","a"),"è","e"),"ì","i"),"ò","o"),"ù","u"),"")</f>
        <v/>
      </c>
      <c r="R547" s="25">
        <f>IF(AND(L547=1,I547&lt;&gt;""),SUBSTITUTE(SUBSTITUTE(SUBSTITUTE(SUBSTITUTE(SUBSTITUTE(SUBSTITUTE(SUBSTITUTE(SUBSTITUTE(SUBSTITUTE(SUBSTITUTE(SUBSTITUTE(SUBSTITUTE(LOWER(TRIM(I547)),"á","a"),"é","e"),"í","i"),"ó","o"),"ú","u"),"ü","u"),"ñ","n"),"à","a"),"è","e"),"ì","i"),"ò","o"),"ù","u"),"")</f>
        <v/>
      </c>
      <c r="S547" s="25">
        <f>IF(R547="","",IF(OR(R547="si",R547="tal vez"),1,0))</f>
        <v/>
      </c>
      <c r="T547" s="25">
        <f>IF(AND(L547=1,D547&lt;&gt;""),IF(IFERROR(COUNTIFS(D$3:D547,"="&amp;SUBSTITUTE(SUBSTITUTE(SUBSTITUTE(D547,"~","~~"),"*","~*"),"?","~?"),L$3:L547,1),0)=1,MAX(T$2:T546)+1,""),"")</f>
        <v/>
      </c>
      <c r="U547" s="25">
        <f>IF(T547="","",COUNTIFS($D$3:$D$1002,"="&amp;SUBSTITUTE(SUBSTITUTE(SUBSTITUTE(D547,"~","~~"),"*","~*"),"?","~?"),$L$3:$L$1002,1)*10000-T547)</f>
        <v/>
      </c>
      <c r="V547" s="25">
        <f>IF(AND(L547=1,J547&lt;&gt;""),IF(IFERROR(COUNTIFS(J$3:J547,"="&amp;SUBSTITUTE(SUBSTITUTE(SUBSTITUTE(J547,"~","~~"),"*","~*"),"?","~?"),L$3:L547,1),0)=1,MAX(V$2:V546)+1,""),"")</f>
        <v/>
      </c>
      <c r="W547" s="25">
        <f>IF(V547="","",COUNTIFS($J$3:$J$1002,"="&amp;SUBSTITUTE(SUBSTITUTE(SUBSTITUTE(J547,"~","~~"),"*","~*"),"?","~?"),$L$3:$L$1002,1)*10000-V547)</f>
        <v/>
      </c>
    </row>
    <row r="548">
      <c r="A548">
        <f>IF(A$2=0,"",IFERROR(TRIM(INDEX('Pegar estudiantes'!$A$1:$BZ$1001,547,A$2)&amp;""),""))</f>
        <v/>
      </c>
      <c r="B548">
        <f>IF(B$2=0,"",IFERROR(TRIM(INDEX('Pegar estudiantes'!$A$1:$BZ$1001,547,B$2)&amp;""),""))</f>
        <v/>
      </c>
      <c r="C548">
        <f>IF(C$2=0,"",IFERROR(TRIM(INDEX('Pegar estudiantes'!$A$1:$BZ$1001,547,C$2)&amp;""),""))</f>
        <v/>
      </c>
      <c r="D548">
        <f>IF(D$2=0,"",IFERROR(TRIM(INDEX('Pegar estudiantes'!$A$1:$BZ$1001,547,D$2)&amp;""),""))</f>
        <v/>
      </c>
      <c r="E548">
        <f>IF(E$2=0,"",IFERROR(TRIM(INDEX('Pegar estudiantes'!$A$1:$BZ$1001,547,E$2)&amp;""),""))</f>
        <v/>
      </c>
      <c r="F548">
        <f>IF(F$2=0,"",IFERROR(TRIM(INDEX('Pegar estudiantes'!$A$1:$BZ$1001,547,F$2)&amp;""),""))</f>
        <v/>
      </c>
      <c r="G548">
        <f>IF(G$2=0,"",IFERROR(TRIM(INDEX('Pegar estudiantes'!$A$1:$BZ$1001,547,G$2)&amp;""),""))</f>
        <v/>
      </c>
      <c r="H548">
        <f>IF(H$2=0,"",IFERROR(TRIM(INDEX('Pegar estudiantes'!$A$1:$BZ$1001,547,H$2)&amp;""),""))</f>
        <v/>
      </c>
      <c r="I548">
        <f>IF(I$2=0,"",IFERROR(TRIM(INDEX('Pegar estudiantes'!$A$1:$BZ$1001,547,I$2)&amp;""),""))</f>
        <v/>
      </c>
      <c r="J548">
        <f>IF(J$2=0,"",IFERROR(TRIM(INDEX('Pegar estudiantes'!$A$1:$BZ$1001,547,J$2)&amp;""),""))</f>
        <v/>
      </c>
      <c r="K548">
        <f>IF(K$2=0,"",IFERROR(TRIM(INDEX('Pegar estudiantes'!$A$1:$BZ$1001,547,K$2)&amp;""),""))</f>
        <v/>
      </c>
      <c r="L548" s="25">
        <f>IF(A548&lt;&gt;"",1,"")</f>
        <v/>
      </c>
      <c r="M548" s="25">
        <f>IF(L548=1,IF(ISNUMBER(FIND("#"&amp;MID(A548,1,1)&amp;"#","#0#1#2#3#4#5#6#7#8#9#")),IF(ISNUMBER(FIND("#"&amp;MID(A548,2,1)&amp;"#","#0#1#2#3#4#5#6#7#8#9#")),IF(AND(VALUE(LEFT(A548,2))&gt;=1,VALUE(LEFT(A548,2))&lt;=5),VALUE(LEFT(A548,2)),""),IF(AND(VALUE(LEFT(A548,1))&gt;=1,VALUE(LEFT(A548,1))&lt;=5),VALUE(LEFT(A548,1)),"")),""),"")</f>
        <v/>
      </c>
      <c r="N548" s="25">
        <f>IF(L548=1,IF(ISNUMBER(FIND("#"&amp;MID(H548,1,1)&amp;"#","#0#1#2#3#4#5#6#7#8#9#")),IF(ISNUMBER(FIND("#"&amp;MID(H548,2,1)&amp;"#","#0#1#2#3#4#5#6#7#8#9#")),IF(AND(VALUE(LEFT(H548,2))&gt;=1,VALUE(LEFT(H548,2))&lt;=5),VALUE(LEFT(H548,2)),""),IF(AND(VALUE(LEFT(H548,1))&gt;=1,VALUE(LEFT(H548,1))&lt;=5),VALUE(LEFT(H548,1)),"")),""),"")</f>
        <v/>
      </c>
      <c r="O548" s="25">
        <f>IF(AND(L548=1,B548&lt;&gt;""),SUBSTITUTE(SUBSTITUTE(SUBSTITUTE(SUBSTITUTE(SUBSTITUTE(SUBSTITUTE(SUBSTITUTE(SUBSTITUTE(SUBSTITUTE(SUBSTITUTE(SUBSTITUTE(SUBSTITUTE(LOWER(TRIM(B548)),"á","a"),"é","e"),"í","i"),"ó","o"),"ú","u"),"ü","u"),"ñ","n"),"à","a"),"è","e"),"ì","i"),"ò","o"),"ù","u"),"")</f>
        <v/>
      </c>
      <c r="P548" s="25">
        <f>IF(AND(L548=1,C548&lt;&gt;""),SUBSTITUTE(SUBSTITUTE(SUBSTITUTE(SUBSTITUTE(SUBSTITUTE(SUBSTITUTE(SUBSTITUTE(SUBSTITUTE(SUBSTITUTE(SUBSTITUTE(SUBSTITUTE(SUBSTITUTE(LOWER(TRIM(C548)),"á","a"),"é","e"),"í","i"),"ó","o"),"ú","u"),"ü","u"),"ñ","n"),"à","a"),"è","e"),"ì","i"),"ò","o"),"ù","u"),"")</f>
        <v/>
      </c>
      <c r="Q548" s="25">
        <f>IF(AND(L548=1,E548&lt;&gt;""),SUBSTITUTE(SUBSTITUTE(SUBSTITUTE(SUBSTITUTE(SUBSTITUTE(SUBSTITUTE(SUBSTITUTE(SUBSTITUTE(SUBSTITUTE(SUBSTITUTE(SUBSTITUTE(SUBSTITUTE(LOWER(TRIM(E548)),"á","a"),"é","e"),"í","i"),"ó","o"),"ú","u"),"ü","u"),"ñ","n"),"à","a"),"è","e"),"ì","i"),"ò","o"),"ù","u"),"")</f>
        <v/>
      </c>
      <c r="R548" s="25">
        <f>IF(AND(L548=1,I548&lt;&gt;""),SUBSTITUTE(SUBSTITUTE(SUBSTITUTE(SUBSTITUTE(SUBSTITUTE(SUBSTITUTE(SUBSTITUTE(SUBSTITUTE(SUBSTITUTE(SUBSTITUTE(SUBSTITUTE(SUBSTITUTE(LOWER(TRIM(I548)),"á","a"),"é","e"),"í","i"),"ó","o"),"ú","u"),"ü","u"),"ñ","n"),"à","a"),"è","e"),"ì","i"),"ò","o"),"ù","u"),"")</f>
        <v/>
      </c>
      <c r="S548" s="25">
        <f>IF(R548="","",IF(OR(R548="si",R548="tal vez"),1,0))</f>
        <v/>
      </c>
      <c r="T548" s="25">
        <f>IF(AND(L548=1,D548&lt;&gt;""),IF(IFERROR(COUNTIFS(D$3:D548,"="&amp;SUBSTITUTE(SUBSTITUTE(SUBSTITUTE(D548,"~","~~"),"*","~*"),"?","~?"),L$3:L548,1),0)=1,MAX(T$2:T547)+1,""),"")</f>
        <v/>
      </c>
      <c r="U548" s="25">
        <f>IF(T548="","",COUNTIFS($D$3:$D$1002,"="&amp;SUBSTITUTE(SUBSTITUTE(SUBSTITUTE(D548,"~","~~"),"*","~*"),"?","~?"),$L$3:$L$1002,1)*10000-T548)</f>
        <v/>
      </c>
      <c r="V548" s="25">
        <f>IF(AND(L548=1,J548&lt;&gt;""),IF(IFERROR(COUNTIFS(J$3:J548,"="&amp;SUBSTITUTE(SUBSTITUTE(SUBSTITUTE(J548,"~","~~"),"*","~*"),"?","~?"),L$3:L548,1),0)=1,MAX(V$2:V547)+1,""),"")</f>
        <v/>
      </c>
      <c r="W548" s="25">
        <f>IF(V548="","",COUNTIFS($J$3:$J$1002,"="&amp;SUBSTITUTE(SUBSTITUTE(SUBSTITUTE(J548,"~","~~"),"*","~*"),"?","~?"),$L$3:$L$1002,1)*10000-V548)</f>
        <v/>
      </c>
    </row>
    <row r="549">
      <c r="A549">
        <f>IF(A$2=0,"",IFERROR(TRIM(INDEX('Pegar estudiantes'!$A$1:$BZ$1001,548,A$2)&amp;""),""))</f>
        <v/>
      </c>
      <c r="B549">
        <f>IF(B$2=0,"",IFERROR(TRIM(INDEX('Pegar estudiantes'!$A$1:$BZ$1001,548,B$2)&amp;""),""))</f>
        <v/>
      </c>
      <c r="C549">
        <f>IF(C$2=0,"",IFERROR(TRIM(INDEX('Pegar estudiantes'!$A$1:$BZ$1001,548,C$2)&amp;""),""))</f>
        <v/>
      </c>
      <c r="D549">
        <f>IF(D$2=0,"",IFERROR(TRIM(INDEX('Pegar estudiantes'!$A$1:$BZ$1001,548,D$2)&amp;""),""))</f>
        <v/>
      </c>
      <c r="E549">
        <f>IF(E$2=0,"",IFERROR(TRIM(INDEX('Pegar estudiantes'!$A$1:$BZ$1001,548,E$2)&amp;""),""))</f>
        <v/>
      </c>
      <c r="F549">
        <f>IF(F$2=0,"",IFERROR(TRIM(INDEX('Pegar estudiantes'!$A$1:$BZ$1001,548,F$2)&amp;""),""))</f>
        <v/>
      </c>
      <c r="G549">
        <f>IF(G$2=0,"",IFERROR(TRIM(INDEX('Pegar estudiantes'!$A$1:$BZ$1001,548,G$2)&amp;""),""))</f>
        <v/>
      </c>
      <c r="H549">
        <f>IF(H$2=0,"",IFERROR(TRIM(INDEX('Pegar estudiantes'!$A$1:$BZ$1001,548,H$2)&amp;""),""))</f>
        <v/>
      </c>
      <c r="I549">
        <f>IF(I$2=0,"",IFERROR(TRIM(INDEX('Pegar estudiantes'!$A$1:$BZ$1001,548,I$2)&amp;""),""))</f>
        <v/>
      </c>
      <c r="J549">
        <f>IF(J$2=0,"",IFERROR(TRIM(INDEX('Pegar estudiantes'!$A$1:$BZ$1001,548,J$2)&amp;""),""))</f>
        <v/>
      </c>
      <c r="K549">
        <f>IF(K$2=0,"",IFERROR(TRIM(INDEX('Pegar estudiantes'!$A$1:$BZ$1001,548,K$2)&amp;""),""))</f>
        <v/>
      </c>
      <c r="L549" s="25">
        <f>IF(A549&lt;&gt;"",1,"")</f>
        <v/>
      </c>
      <c r="M549" s="25">
        <f>IF(L549=1,IF(ISNUMBER(FIND("#"&amp;MID(A549,1,1)&amp;"#","#0#1#2#3#4#5#6#7#8#9#")),IF(ISNUMBER(FIND("#"&amp;MID(A549,2,1)&amp;"#","#0#1#2#3#4#5#6#7#8#9#")),IF(AND(VALUE(LEFT(A549,2))&gt;=1,VALUE(LEFT(A549,2))&lt;=5),VALUE(LEFT(A549,2)),""),IF(AND(VALUE(LEFT(A549,1))&gt;=1,VALUE(LEFT(A549,1))&lt;=5),VALUE(LEFT(A549,1)),"")),""),"")</f>
        <v/>
      </c>
      <c r="N549" s="25">
        <f>IF(L549=1,IF(ISNUMBER(FIND("#"&amp;MID(H549,1,1)&amp;"#","#0#1#2#3#4#5#6#7#8#9#")),IF(ISNUMBER(FIND("#"&amp;MID(H549,2,1)&amp;"#","#0#1#2#3#4#5#6#7#8#9#")),IF(AND(VALUE(LEFT(H549,2))&gt;=1,VALUE(LEFT(H549,2))&lt;=5),VALUE(LEFT(H549,2)),""),IF(AND(VALUE(LEFT(H549,1))&gt;=1,VALUE(LEFT(H549,1))&lt;=5),VALUE(LEFT(H549,1)),"")),""),"")</f>
        <v/>
      </c>
      <c r="O549" s="25">
        <f>IF(AND(L549=1,B549&lt;&gt;""),SUBSTITUTE(SUBSTITUTE(SUBSTITUTE(SUBSTITUTE(SUBSTITUTE(SUBSTITUTE(SUBSTITUTE(SUBSTITUTE(SUBSTITUTE(SUBSTITUTE(SUBSTITUTE(SUBSTITUTE(LOWER(TRIM(B549)),"á","a"),"é","e"),"í","i"),"ó","o"),"ú","u"),"ü","u"),"ñ","n"),"à","a"),"è","e"),"ì","i"),"ò","o"),"ù","u"),"")</f>
        <v/>
      </c>
      <c r="P549" s="25">
        <f>IF(AND(L549=1,C549&lt;&gt;""),SUBSTITUTE(SUBSTITUTE(SUBSTITUTE(SUBSTITUTE(SUBSTITUTE(SUBSTITUTE(SUBSTITUTE(SUBSTITUTE(SUBSTITUTE(SUBSTITUTE(SUBSTITUTE(SUBSTITUTE(LOWER(TRIM(C549)),"á","a"),"é","e"),"í","i"),"ó","o"),"ú","u"),"ü","u"),"ñ","n"),"à","a"),"è","e"),"ì","i"),"ò","o"),"ù","u"),"")</f>
        <v/>
      </c>
      <c r="Q549" s="25">
        <f>IF(AND(L549=1,E549&lt;&gt;""),SUBSTITUTE(SUBSTITUTE(SUBSTITUTE(SUBSTITUTE(SUBSTITUTE(SUBSTITUTE(SUBSTITUTE(SUBSTITUTE(SUBSTITUTE(SUBSTITUTE(SUBSTITUTE(SUBSTITUTE(LOWER(TRIM(E549)),"á","a"),"é","e"),"í","i"),"ó","o"),"ú","u"),"ü","u"),"ñ","n"),"à","a"),"è","e"),"ì","i"),"ò","o"),"ù","u"),"")</f>
        <v/>
      </c>
      <c r="R549" s="25">
        <f>IF(AND(L549=1,I549&lt;&gt;""),SUBSTITUTE(SUBSTITUTE(SUBSTITUTE(SUBSTITUTE(SUBSTITUTE(SUBSTITUTE(SUBSTITUTE(SUBSTITUTE(SUBSTITUTE(SUBSTITUTE(SUBSTITUTE(SUBSTITUTE(LOWER(TRIM(I549)),"á","a"),"é","e"),"í","i"),"ó","o"),"ú","u"),"ü","u"),"ñ","n"),"à","a"),"è","e"),"ì","i"),"ò","o"),"ù","u"),"")</f>
        <v/>
      </c>
      <c r="S549" s="25">
        <f>IF(R549="","",IF(OR(R549="si",R549="tal vez"),1,0))</f>
        <v/>
      </c>
      <c r="T549" s="25">
        <f>IF(AND(L549=1,D549&lt;&gt;""),IF(IFERROR(COUNTIFS(D$3:D549,"="&amp;SUBSTITUTE(SUBSTITUTE(SUBSTITUTE(D549,"~","~~"),"*","~*"),"?","~?"),L$3:L549,1),0)=1,MAX(T$2:T548)+1,""),"")</f>
        <v/>
      </c>
      <c r="U549" s="25">
        <f>IF(T549="","",COUNTIFS($D$3:$D$1002,"="&amp;SUBSTITUTE(SUBSTITUTE(SUBSTITUTE(D549,"~","~~"),"*","~*"),"?","~?"),$L$3:$L$1002,1)*10000-T549)</f>
        <v/>
      </c>
      <c r="V549" s="25">
        <f>IF(AND(L549=1,J549&lt;&gt;""),IF(IFERROR(COUNTIFS(J$3:J549,"="&amp;SUBSTITUTE(SUBSTITUTE(SUBSTITUTE(J549,"~","~~"),"*","~*"),"?","~?"),L$3:L549,1),0)=1,MAX(V$2:V548)+1,""),"")</f>
        <v/>
      </c>
      <c r="W549" s="25">
        <f>IF(V549="","",COUNTIFS($J$3:$J$1002,"="&amp;SUBSTITUTE(SUBSTITUTE(SUBSTITUTE(J549,"~","~~"),"*","~*"),"?","~?"),$L$3:$L$1002,1)*10000-V549)</f>
        <v/>
      </c>
    </row>
    <row r="550">
      <c r="A550">
        <f>IF(A$2=0,"",IFERROR(TRIM(INDEX('Pegar estudiantes'!$A$1:$BZ$1001,549,A$2)&amp;""),""))</f>
        <v/>
      </c>
      <c r="B550">
        <f>IF(B$2=0,"",IFERROR(TRIM(INDEX('Pegar estudiantes'!$A$1:$BZ$1001,549,B$2)&amp;""),""))</f>
        <v/>
      </c>
      <c r="C550">
        <f>IF(C$2=0,"",IFERROR(TRIM(INDEX('Pegar estudiantes'!$A$1:$BZ$1001,549,C$2)&amp;""),""))</f>
        <v/>
      </c>
      <c r="D550">
        <f>IF(D$2=0,"",IFERROR(TRIM(INDEX('Pegar estudiantes'!$A$1:$BZ$1001,549,D$2)&amp;""),""))</f>
        <v/>
      </c>
      <c r="E550">
        <f>IF(E$2=0,"",IFERROR(TRIM(INDEX('Pegar estudiantes'!$A$1:$BZ$1001,549,E$2)&amp;""),""))</f>
        <v/>
      </c>
      <c r="F550">
        <f>IF(F$2=0,"",IFERROR(TRIM(INDEX('Pegar estudiantes'!$A$1:$BZ$1001,549,F$2)&amp;""),""))</f>
        <v/>
      </c>
      <c r="G550">
        <f>IF(G$2=0,"",IFERROR(TRIM(INDEX('Pegar estudiantes'!$A$1:$BZ$1001,549,G$2)&amp;""),""))</f>
        <v/>
      </c>
      <c r="H550">
        <f>IF(H$2=0,"",IFERROR(TRIM(INDEX('Pegar estudiantes'!$A$1:$BZ$1001,549,H$2)&amp;""),""))</f>
        <v/>
      </c>
      <c r="I550">
        <f>IF(I$2=0,"",IFERROR(TRIM(INDEX('Pegar estudiantes'!$A$1:$BZ$1001,549,I$2)&amp;""),""))</f>
        <v/>
      </c>
      <c r="J550">
        <f>IF(J$2=0,"",IFERROR(TRIM(INDEX('Pegar estudiantes'!$A$1:$BZ$1001,549,J$2)&amp;""),""))</f>
        <v/>
      </c>
      <c r="K550">
        <f>IF(K$2=0,"",IFERROR(TRIM(INDEX('Pegar estudiantes'!$A$1:$BZ$1001,549,K$2)&amp;""),""))</f>
        <v/>
      </c>
      <c r="L550" s="25">
        <f>IF(A550&lt;&gt;"",1,"")</f>
        <v/>
      </c>
      <c r="M550" s="25">
        <f>IF(L550=1,IF(ISNUMBER(FIND("#"&amp;MID(A550,1,1)&amp;"#","#0#1#2#3#4#5#6#7#8#9#")),IF(ISNUMBER(FIND("#"&amp;MID(A550,2,1)&amp;"#","#0#1#2#3#4#5#6#7#8#9#")),IF(AND(VALUE(LEFT(A550,2))&gt;=1,VALUE(LEFT(A550,2))&lt;=5),VALUE(LEFT(A550,2)),""),IF(AND(VALUE(LEFT(A550,1))&gt;=1,VALUE(LEFT(A550,1))&lt;=5),VALUE(LEFT(A550,1)),"")),""),"")</f>
        <v/>
      </c>
      <c r="N550" s="25">
        <f>IF(L550=1,IF(ISNUMBER(FIND("#"&amp;MID(H550,1,1)&amp;"#","#0#1#2#3#4#5#6#7#8#9#")),IF(ISNUMBER(FIND("#"&amp;MID(H550,2,1)&amp;"#","#0#1#2#3#4#5#6#7#8#9#")),IF(AND(VALUE(LEFT(H550,2))&gt;=1,VALUE(LEFT(H550,2))&lt;=5),VALUE(LEFT(H550,2)),""),IF(AND(VALUE(LEFT(H550,1))&gt;=1,VALUE(LEFT(H550,1))&lt;=5),VALUE(LEFT(H550,1)),"")),""),"")</f>
        <v/>
      </c>
      <c r="O550" s="25">
        <f>IF(AND(L550=1,B550&lt;&gt;""),SUBSTITUTE(SUBSTITUTE(SUBSTITUTE(SUBSTITUTE(SUBSTITUTE(SUBSTITUTE(SUBSTITUTE(SUBSTITUTE(SUBSTITUTE(SUBSTITUTE(SUBSTITUTE(SUBSTITUTE(LOWER(TRIM(B550)),"á","a"),"é","e"),"í","i"),"ó","o"),"ú","u"),"ü","u"),"ñ","n"),"à","a"),"è","e"),"ì","i"),"ò","o"),"ù","u"),"")</f>
        <v/>
      </c>
      <c r="P550" s="25">
        <f>IF(AND(L550=1,C550&lt;&gt;""),SUBSTITUTE(SUBSTITUTE(SUBSTITUTE(SUBSTITUTE(SUBSTITUTE(SUBSTITUTE(SUBSTITUTE(SUBSTITUTE(SUBSTITUTE(SUBSTITUTE(SUBSTITUTE(SUBSTITUTE(LOWER(TRIM(C550)),"á","a"),"é","e"),"í","i"),"ó","o"),"ú","u"),"ü","u"),"ñ","n"),"à","a"),"è","e"),"ì","i"),"ò","o"),"ù","u"),"")</f>
        <v/>
      </c>
      <c r="Q550" s="25">
        <f>IF(AND(L550=1,E550&lt;&gt;""),SUBSTITUTE(SUBSTITUTE(SUBSTITUTE(SUBSTITUTE(SUBSTITUTE(SUBSTITUTE(SUBSTITUTE(SUBSTITUTE(SUBSTITUTE(SUBSTITUTE(SUBSTITUTE(SUBSTITUTE(LOWER(TRIM(E550)),"á","a"),"é","e"),"í","i"),"ó","o"),"ú","u"),"ü","u"),"ñ","n"),"à","a"),"è","e"),"ì","i"),"ò","o"),"ù","u"),"")</f>
        <v/>
      </c>
      <c r="R550" s="25">
        <f>IF(AND(L550=1,I550&lt;&gt;""),SUBSTITUTE(SUBSTITUTE(SUBSTITUTE(SUBSTITUTE(SUBSTITUTE(SUBSTITUTE(SUBSTITUTE(SUBSTITUTE(SUBSTITUTE(SUBSTITUTE(SUBSTITUTE(SUBSTITUTE(LOWER(TRIM(I550)),"á","a"),"é","e"),"í","i"),"ó","o"),"ú","u"),"ü","u"),"ñ","n"),"à","a"),"è","e"),"ì","i"),"ò","o"),"ù","u"),"")</f>
        <v/>
      </c>
      <c r="S550" s="25">
        <f>IF(R550="","",IF(OR(R550="si",R550="tal vez"),1,0))</f>
        <v/>
      </c>
      <c r="T550" s="25">
        <f>IF(AND(L550=1,D550&lt;&gt;""),IF(IFERROR(COUNTIFS(D$3:D550,"="&amp;SUBSTITUTE(SUBSTITUTE(SUBSTITUTE(D550,"~","~~"),"*","~*"),"?","~?"),L$3:L550,1),0)=1,MAX(T$2:T549)+1,""),"")</f>
        <v/>
      </c>
      <c r="U550" s="25">
        <f>IF(T550="","",COUNTIFS($D$3:$D$1002,"="&amp;SUBSTITUTE(SUBSTITUTE(SUBSTITUTE(D550,"~","~~"),"*","~*"),"?","~?"),$L$3:$L$1002,1)*10000-T550)</f>
        <v/>
      </c>
      <c r="V550" s="25">
        <f>IF(AND(L550=1,J550&lt;&gt;""),IF(IFERROR(COUNTIFS(J$3:J550,"="&amp;SUBSTITUTE(SUBSTITUTE(SUBSTITUTE(J550,"~","~~"),"*","~*"),"?","~?"),L$3:L550,1),0)=1,MAX(V$2:V549)+1,""),"")</f>
        <v/>
      </c>
      <c r="W550" s="25">
        <f>IF(V550="","",COUNTIFS($J$3:$J$1002,"="&amp;SUBSTITUTE(SUBSTITUTE(SUBSTITUTE(J550,"~","~~"),"*","~*"),"?","~?"),$L$3:$L$1002,1)*10000-V550)</f>
        <v/>
      </c>
    </row>
    <row r="551">
      <c r="A551">
        <f>IF(A$2=0,"",IFERROR(TRIM(INDEX('Pegar estudiantes'!$A$1:$BZ$1001,550,A$2)&amp;""),""))</f>
        <v/>
      </c>
      <c r="B551">
        <f>IF(B$2=0,"",IFERROR(TRIM(INDEX('Pegar estudiantes'!$A$1:$BZ$1001,550,B$2)&amp;""),""))</f>
        <v/>
      </c>
      <c r="C551">
        <f>IF(C$2=0,"",IFERROR(TRIM(INDEX('Pegar estudiantes'!$A$1:$BZ$1001,550,C$2)&amp;""),""))</f>
        <v/>
      </c>
      <c r="D551">
        <f>IF(D$2=0,"",IFERROR(TRIM(INDEX('Pegar estudiantes'!$A$1:$BZ$1001,550,D$2)&amp;""),""))</f>
        <v/>
      </c>
      <c r="E551">
        <f>IF(E$2=0,"",IFERROR(TRIM(INDEX('Pegar estudiantes'!$A$1:$BZ$1001,550,E$2)&amp;""),""))</f>
        <v/>
      </c>
      <c r="F551">
        <f>IF(F$2=0,"",IFERROR(TRIM(INDEX('Pegar estudiantes'!$A$1:$BZ$1001,550,F$2)&amp;""),""))</f>
        <v/>
      </c>
      <c r="G551">
        <f>IF(G$2=0,"",IFERROR(TRIM(INDEX('Pegar estudiantes'!$A$1:$BZ$1001,550,G$2)&amp;""),""))</f>
        <v/>
      </c>
      <c r="H551">
        <f>IF(H$2=0,"",IFERROR(TRIM(INDEX('Pegar estudiantes'!$A$1:$BZ$1001,550,H$2)&amp;""),""))</f>
        <v/>
      </c>
      <c r="I551">
        <f>IF(I$2=0,"",IFERROR(TRIM(INDEX('Pegar estudiantes'!$A$1:$BZ$1001,550,I$2)&amp;""),""))</f>
        <v/>
      </c>
      <c r="J551">
        <f>IF(J$2=0,"",IFERROR(TRIM(INDEX('Pegar estudiantes'!$A$1:$BZ$1001,550,J$2)&amp;""),""))</f>
        <v/>
      </c>
      <c r="K551">
        <f>IF(K$2=0,"",IFERROR(TRIM(INDEX('Pegar estudiantes'!$A$1:$BZ$1001,550,K$2)&amp;""),""))</f>
        <v/>
      </c>
      <c r="L551" s="25">
        <f>IF(A551&lt;&gt;"",1,"")</f>
        <v/>
      </c>
      <c r="M551" s="25">
        <f>IF(L551=1,IF(ISNUMBER(FIND("#"&amp;MID(A551,1,1)&amp;"#","#0#1#2#3#4#5#6#7#8#9#")),IF(ISNUMBER(FIND("#"&amp;MID(A551,2,1)&amp;"#","#0#1#2#3#4#5#6#7#8#9#")),IF(AND(VALUE(LEFT(A551,2))&gt;=1,VALUE(LEFT(A551,2))&lt;=5),VALUE(LEFT(A551,2)),""),IF(AND(VALUE(LEFT(A551,1))&gt;=1,VALUE(LEFT(A551,1))&lt;=5),VALUE(LEFT(A551,1)),"")),""),"")</f>
        <v/>
      </c>
      <c r="N551" s="25">
        <f>IF(L551=1,IF(ISNUMBER(FIND("#"&amp;MID(H551,1,1)&amp;"#","#0#1#2#3#4#5#6#7#8#9#")),IF(ISNUMBER(FIND("#"&amp;MID(H551,2,1)&amp;"#","#0#1#2#3#4#5#6#7#8#9#")),IF(AND(VALUE(LEFT(H551,2))&gt;=1,VALUE(LEFT(H551,2))&lt;=5),VALUE(LEFT(H551,2)),""),IF(AND(VALUE(LEFT(H551,1))&gt;=1,VALUE(LEFT(H551,1))&lt;=5),VALUE(LEFT(H551,1)),"")),""),"")</f>
        <v/>
      </c>
      <c r="O551" s="25">
        <f>IF(AND(L551=1,B551&lt;&gt;""),SUBSTITUTE(SUBSTITUTE(SUBSTITUTE(SUBSTITUTE(SUBSTITUTE(SUBSTITUTE(SUBSTITUTE(SUBSTITUTE(SUBSTITUTE(SUBSTITUTE(SUBSTITUTE(SUBSTITUTE(LOWER(TRIM(B551)),"á","a"),"é","e"),"í","i"),"ó","o"),"ú","u"),"ü","u"),"ñ","n"),"à","a"),"è","e"),"ì","i"),"ò","o"),"ù","u"),"")</f>
        <v/>
      </c>
      <c r="P551" s="25">
        <f>IF(AND(L551=1,C551&lt;&gt;""),SUBSTITUTE(SUBSTITUTE(SUBSTITUTE(SUBSTITUTE(SUBSTITUTE(SUBSTITUTE(SUBSTITUTE(SUBSTITUTE(SUBSTITUTE(SUBSTITUTE(SUBSTITUTE(SUBSTITUTE(LOWER(TRIM(C551)),"á","a"),"é","e"),"í","i"),"ó","o"),"ú","u"),"ü","u"),"ñ","n"),"à","a"),"è","e"),"ì","i"),"ò","o"),"ù","u"),"")</f>
        <v/>
      </c>
      <c r="Q551" s="25">
        <f>IF(AND(L551=1,E551&lt;&gt;""),SUBSTITUTE(SUBSTITUTE(SUBSTITUTE(SUBSTITUTE(SUBSTITUTE(SUBSTITUTE(SUBSTITUTE(SUBSTITUTE(SUBSTITUTE(SUBSTITUTE(SUBSTITUTE(SUBSTITUTE(LOWER(TRIM(E551)),"á","a"),"é","e"),"í","i"),"ó","o"),"ú","u"),"ü","u"),"ñ","n"),"à","a"),"è","e"),"ì","i"),"ò","o"),"ù","u"),"")</f>
        <v/>
      </c>
      <c r="R551" s="25">
        <f>IF(AND(L551=1,I551&lt;&gt;""),SUBSTITUTE(SUBSTITUTE(SUBSTITUTE(SUBSTITUTE(SUBSTITUTE(SUBSTITUTE(SUBSTITUTE(SUBSTITUTE(SUBSTITUTE(SUBSTITUTE(SUBSTITUTE(SUBSTITUTE(LOWER(TRIM(I551)),"á","a"),"é","e"),"í","i"),"ó","o"),"ú","u"),"ü","u"),"ñ","n"),"à","a"),"è","e"),"ì","i"),"ò","o"),"ù","u"),"")</f>
        <v/>
      </c>
      <c r="S551" s="25">
        <f>IF(R551="","",IF(OR(R551="si",R551="tal vez"),1,0))</f>
        <v/>
      </c>
      <c r="T551" s="25">
        <f>IF(AND(L551=1,D551&lt;&gt;""),IF(IFERROR(COUNTIFS(D$3:D551,"="&amp;SUBSTITUTE(SUBSTITUTE(SUBSTITUTE(D551,"~","~~"),"*","~*"),"?","~?"),L$3:L551,1),0)=1,MAX(T$2:T550)+1,""),"")</f>
        <v/>
      </c>
      <c r="U551" s="25">
        <f>IF(T551="","",COUNTIFS($D$3:$D$1002,"="&amp;SUBSTITUTE(SUBSTITUTE(SUBSTITUTE(D551,"~","~~"),"*","~*"),"?","~?"),$L$3:$L$1002,1)*10000-T551)</f>
        <v/>
      </c>
      <c r="V551" s="25">
        <f>IF(AND(L551=1,J551&lt;&gt;""),IF(IFERROR(COUNTIFS(J$3:J551,"="&amp;SUBSTITUTE(SUBSTITUTE(SUBSTITUTE(J551,"~","~~"),"*","~*"),"?","~?"),L$3:L551,1),0)=1,MAX(V$2:V550)+1,""),"")</f>
        <v/>
      </c>
      <c r="W551" s="25">
        <f>IF(V551="","",COUNTIFS($J$3:$J$1002,"="&amp;SUBSTITUTE(SUBSTITUTE(SUBSTITUTE(J551,"~","~~"),"*","~*"),"?","~?"),$L$3:$L$1002,1)*10000-V551)</f>
        <v/>
      </c>
    </row>
    <row r="552">
      <c r="A552">
        <f>IF(A$2=0,"",IFERROR(TRIM(INDEX('Pegar estudiantes'!$A$1:$BZ$1001,551,A$2)&amp;""),""))</f>
        <v/>
      </c>
      <c r="B552">
        <f>IF(B$2=0,"",IFERROR(TRIM(INDEX('Pegar estudiantes'!$A$1:$BZ$1001,551,B$2)&amp;""),""))</f>
        <v/>
      </c>
      <c r="C552">
        <f>IF(C$2=0,"",IFERROR(TRIM(INDEX('Pegar estudiantes'!$A$1:$BZ$1001,551,C$2)&amp;""),""))</f>
        <v/>
      </c>
      <c r="D552">
        <f>IF(D$2=0,"",IFERROR(TRIM(INDEX('Pegar estudiantes'!$A$1:$BZ$1001,551,D$2)&amp;""),""))</f>
        <v/>
      </c>
      <c r="E552">
        <f>IF(E$2=0,"",IFERROR(TRIM(INDEX('Pegar estudiantes'!$A$1:$BZ$1001,551,E$2)&amp;""),""))</f>
        <v/>
      </c>
      <c r="F552">
        <f>IF(F$2=0,"",IFERROR(TRIM(INDEX('Pegar estudiantes'!$A$1:$BZ$1001,551,F$2)&amp;""),""))</f>
        <v/>
      </c>
      <c r="G552">
        <f>IF(G$2=0,"",IFERROR(TRIM(INDEX('Pegar estudiantes'!$A$1:$BZ$1001,551,G$2)&amp;""),""))</f>
        <v/>
      </c>
      <c r="H552">
        <f>IF(H$2=0,"",IFERROR(TRIM(INDEX('Pegar estudiantes'!$A$1:$BZ$1001,551,H$2)&amp;""),""))</f>
        <v/>
      </c>
      <c r="I552">
        <f>IF(I$2=0,"",IFERROR(TRIM(INDEX('Pegar estudiantes'!$A$1:$BZ$1001,551,I$2)&amp;""),""))</f>
        <v/>
      </c>
      <c r="J552">
        <f>IF(J$2=0,"",IFERROR(TRIM(INDEX('Pegar estudiantes'!$A$1:$BZ$1001,551,J$2)&amp;""),""))</f>
        <v/>
      </c>
      <c r="K552">
        <f>IF(K$2=0,"",IFERROR(TRIM(INDEX('Pegar estudiantes'!$A$1:$BZ$1001,551,K$2)&amp;""),""))</f>
        <v/>
      </c>
      <c r="L552" s="25">
        <f>IF(A552&lt;&gt;"",1,"")</f>
        <v/>
      </c>
      <c r="M552" s="25">
        <f>IF(L552=1,IF(ISNUMBER(FIND("#"&amp;MID(A552,1,1)&amp;"#","#0#1#2#3#4#5#6#7#8#9#")),IF(ISNUMBER(FIND("#"&amp;MID(A552,2,1)&amp;"#","#0#1#2#3#4#5#6#7#8#9#")),IF(AND(VALUE(LEFT(A552,2))&gt;=1,VALUE(LEFT(A552,2))&lt;=5),VALUE(LEFT(A552,2)),""),IF(AND(VALUE(LEFT(A552,1))&gt;=1,VALUE(LEFT(A552,1))&lt;=5),VALUE(LEFT(A552,1)),"")),""),"")</f>
        <v/>
      </c>
      <c r="N552" s="25">
        <f>IF(L552=1,IF(ISNUMBER(FIND("#"&amp;MID(H552,1,1)&amp;"#","#0#1#2#3#4#5#6#7#8#9#")),IF(ISNUMBER(FIND("#"&amp;MID(H552,2,1)&amp;"#","#0#1#2#3#4#5#6#7#8#9#")),IF(AND(VALUE(LEFT(H552,2))&gt;=1,VALUE(LEFT(H552,2))&lt;=5),VALUE(LEFT(H552,2)),""),IF(AND(VALUE(LEFT(H552,1))&gt;=1,VALUE(LEFT(H552,1))&lt;=5),VALUE(LEFT(H552,1)),"")),""),"")</f>
        <v/>
      </c>
      <c r="O552" s="25">
        <f>IF(AND(L552=1,B552&lt;&gt;""),SUBSTITUTE(SUBSTITUTE(SUBSTITUTE(SUBSTITUTE(SUBSTITUTE(SUBSTITUTE(SUBSTITUTE(SUBSTITUTE(SUBSTITUTE(SUBSTITUTE(SUBSTITUTE(SUBSTITUTE(LOWER(TRIM(B552)),"á","a"),"é","e"),"í","i"),"ó","o"),"ú","u"),"ü","u"),"ñ","n"),"à","a"),"è","e"),"ì","i"),"ò","o"),"ù","u"),"")</f>
        <v/>
      </c>
      <c r="P552" s="25">
        <f>IF(AND(L552=1,C552&lt;&gt;""),SUBSTITUTE(SUBSTITUTE(SUBSTITUTE(SUBSTITUTE(SUBSTITUTE(SUBSTITUTE(SUBSTITUTE(SUBSTITUTE(SUBSTITUTE(SUBSTITUTE(SUBSTITUTE(SUBSTITUTE(LOWER(TRIM(C552)),"á","a"),"é","e"),"í","i"),"ó","o"),"ú","u"),"ü","u"),"ñ","n"),"à","a"),"è","e"),"ì","i"),"ò","o"),"ù","u"),"")</f>
        <v/>
      </c>
      <c r="Q552" s="25">
        <f>IF(AND(L552=1,E552&lt;&gt;""),SUBSTITUTE(SUBSTITUTE(SUBSTITUTE(SUBSTITUTE(SUBSTITUTE(SUBSTITUTE(SUBSTITUTE(SUBSTITUTE(SUBSTITUTE(SUBSTITUTE(SUBSTITUTE(SUBSTITUTE(LOWER(TRIM(E552)),"á","a"),"é","e"),"í","i"),"ó","o"),"ú","u"),"ü","u"),"ñ","n"),"à","a"),"è","e"),"ì","i"),"ò","o"),"ù","u"),"")</f>
        <v/>
      </c>
      <c r="R552" s="25">
        <f>IF(AND(L552=1,I552&lt;&gt;""),SUBSTITUTE(SUBSTITUTE(SUBSTITUTE(SUBSTITUTE(SUBSTITUTE(SUBSTITUTE(SUBSTITUTE(SUBSTITUTE(SUBSTITUTE(SUBSTITUTE(SUBSTITUTE(SUBSTITUTE(LOWER(TRIM(I552)),"á","a"),"é","e"),"í","i"),"ó","o"),"ú","u"),"ü","u"),"ñ","n"),"à","a"),"è","e"),"ì","i"),"ò","o"),"ù","u"),"")</f>
        <v/>
      </c>
      <c r="S552" s="25">
        <f>IF(R552="","",IF(OR(R552="si",R552="tal vez"),1,0))</f>
        <v/>
      </c>
      <c r="T552" s="25">
        <f>IF(AND(L552=1,D552&lt;&gt;""),IF(IFERROR(COUNTIFS(D$3:D552,"="&amp;SUBSTITUTE(SUBSTITUTE(SUBSTITUTE(D552,"~","~~"),"*","~*"),"?","~?"),L$3:L552,1),0)=1,MAX(T$2:T551)+1,""),"")</f>
        <v/>
      </c>
      <c r="U552" s="25">
        <f>IF(T552="","",COUNTIFS($D$3:$D$1002,"="&amp;SUBSTITUTE(SUBSTITUTE(SUBSTITUTE(D552,"~","~~"),"*","~*"),"?","~?"),$L$3:$L$1002,1)*10000-T552)</f>
        <v/>
      </c>
      <c r="V552" s="25">
        <f>IF(AND(L552=1,J552&lt;&gt;""),IF(IFERROR(COUNTIFS(J$3:J552,"="&amp;SUBSTITUTE(SUBSTITUTE(SUBSTITUTE(J552,"~","~~"),"*","~*"),"?","~?"),L$3:L552,1),0)=1,MAX(V$2:V551)+1,""),"")</f>
        <v/>
      </c>
      <c r="W552" s="25">
        <f>IF(V552="","",COUNTIFS($J$3:$J$1002,"="&amp;SUBSTITUTE(SUBSTITUTE(SUBSTITUTE(J552,"~","~~"),"*","~*"),"?","~?"),$L$3:$L$1002,1)*10000-V552)</f>
        <v/>
      </c>
    </row>
    <row r="553">
      <c r="A553">
        <f>IF(A$2=0,"",IFERROR(TRIM(INDEX('Pegar estudiantes'!$A$1:$BZ$1001,552,A$2)&amp;""),""))</f>
        <v/>
      </c>
      <c r="B553">
        <f>IF(B$2=0,"",IFERROR(TRIM(INDEX('Pegar estudiantes'!$A$1:$BZ$1001,552,B$2)&amp;""),""))</f>
        <v/>
      </c>
      <c r="C553">
        <f>IF(C$2=0,"",IFERROR(TRIM(INDEX('Pegar estudiantes'!$A$1:$BZ$1001,552,C$2)&amp;""),""))</f>
        <v/>
      </c>
      <c r="D553">
        <f>IF(D$2=0,"",IFERROR(TRIM(INDEX('Pegar estudiantes'!$A$1:$BZ$1001,552,D$2)&amp;""),""))</f>
        <v/>
      </c>
      <c r="E553">
        <f>IF(E$2=0,"",IFERROR(TRIM(INDEX('Pegar estudiantes'!$A$1:$BZ$1001,552,E$2)&amp;""),""))</f>
        <v/>
      </c>
      <c r="F553">
        <f>IF(F$2=0,"",IFERROR(TRIM(INDEX('Pegar estudiantes'!$A$1:$BZ$1001,552,F$2)&amp;""),""))</f>
        <v/>
      </c>
      <c r="G553">
        <f>IF(G$2=0,"",IFERROR(TRIM(INDEX('Pegar estudiantes'!$A$1:$BZ$1001,552,G$2)&amp;""),""))</f>
        <v/>
      </c>
      <c r="H553">
        <f>IF(H$2=0,"",IFERROR(TRIM(INDEX('Pegar estudiantes'!$A$1:$BZ$1001,552,H$2)&amp;""),""))</f>
        <v/>
      </c>
      <c r="I553">
        <f>IF(I$2=0,"",IFERROR(TRIM(INDEX('Pegar estudiantes'!$A$1:$BZ$1001,552,I$2)&amp;""),""))</f>
        <v/>
      </c>
      <c r="J553">
        <f>IF(J$2=0,"",IFERROR(TRIM(INDEX('Pegar estudiantes'!$A$1:$BZ$1001,552,J$2)&amp;""),""))</f>
        <v/>
      </c>
      <c r="K553">
        <f>IF(K$2=0,"",IFERROR(TRIM(INDEX('Pegar estudiantes'!$A$1:$BZ$1001,552,K$2)&amp;""),""))</f>
        <v/>
      </c>
      <c r="L553" s="25">
        <f>IF(A553&lt;&gt;"",1,"")</f>
        <v/>
      </c>
      <c r="M553" s="25">
        <f>IF(L553=1,IF(ISNUMBER(FIND("#"&amp;MID(A553,1,1)&amp;"#","#0#1#2#3#4#5#6#7#8#9#")),IF(ISNUMBER(FIND("#"&amp;MID(A553,2,1)&amp;"#","#0#1#2#3#4#5#6#7#8#9#")),IF(AND(VALUE(LEFT(A553,2))&gt;=1,VALUE(LEFT(A553,2))&lt;=5),VALUE(LEFT(A553,2)),""),IF(AND(VALUE(LEFT(A553,1))&gt;=1,VALUE(LEFT(A553,1))&lt;=5),VALUE(LEFT(A553,1)),"")),""),"")</f>
        <v/>
      </c>
      <c r="N553" s="25">
        <f>IF(L553=1,IF(ISNUMBER(FIND("#"&amp;MID(H553,1,1)&amp;"#","#0#1#2#3#4#5#6#7#8#9#")),IF(ISNUMBER(FIND("#"&amp;MID(H553,2,1)&amp;"#","#0#1#2#3#4#5#6#7#8#9#")),IF(AND(VALUE(LEFT(H553,2))&gt;=1,VALUE(LEFT(H553,2))&lt;=5),VALUE(LEFT(H553,2)),""),IF(AND(VALUE(LEFT(H553,1))&gt;=1,VALUE(LEFT(H553,1))&lt;=5),VALUE(LEFT(H553,1)),"")),""),"")</f>
        <v/>
      </c>
      <c r="O553" s="25">
        <f>IF(AND(L553=1,B553&lt;&gt;""),SUBSTITUTE(SUBSTITUTE(SUBSTITUTE(SUBSTITUTE(SUBSTITUTE(SUBSTITUTE(SUBSTITUTE(SUBSTITUTE(SUBSTITUTE(SUBSTITUTE(SUBSTITUTE(SUBSTITUTE(LOWER(TRIM(B553)),"á","a"),"é","e"),"í","i"),"ó","o"),"ú","u"),"ü","u"),"ñ","n"),"à","a"),"è","e"),"ì","i"),"ò","o"),"ù","u"),"")</f>
        <v/>
      </c>
      <c r="P553" s="25">
        <f>IF(AND(L553=1,C553&lt;&gt;""),SUBSTITUTE(SUBSTITUTE(SUBSTITUTE(SUBSTITUTE(SUBSTITUTE(SUBSTITUTE(SUBSTITUTE(SUBSTITUTE(SUBSTITUTE(SUBSTITUTE(SUBSTITUTE(SUBSTITUTE(LOWER(TRIM(C553)),"á","a"),"é","e"),"í","i"),"ó","o"),"ú","u"),"ü","u"),"ñ","n"),"à","a"),"è","e"),"ì","i"),"ò","o"),"ù","u"),"")</f>
        <v/>
      </c>
      <c r="Q553" s="25">
        <f>IF(AND(L553=1,E553&lt;&gt;""),SUBSTITUTE(SUBSTITUTE(SUBSTITUTE(SUBSTITUTE(SUBSTITUTE(SUBSTITUTE(SUBSTITUTE(SUBSTITUTE(SUBSTITUTE(SUBSTITUTE(SUBSTITUTE(SUBSTITUTE(LOWER(TRIM(E553)),"á","a"),"é","e"),"í","i"),"ó","o"),"ú","u"),"ü","u"),"ñ","n"),"à","a"),"è","e"),"ì","i"),"ò","o"),"ù","u"),"")</f>
        <v/>
      </c>
      <c r="R553" s="25">
        <f>IF(AND(L553=1,I553&lt;&gt;""),SUBSTITUTE(SUBSTITUTE(SUBSTITUTE(SUBSTITUTE(SUBSTITUTE(SUBSTITUTE(SUBSTITUTE(SUBSTITUTE(SUBSTITUTE(SUBSTITUTE(SUBSTITUTE(SUBSTITUTE(LOWER(TRIM(I553)),"á","a"),"é","e"),"í","i"),"ó","o"),"ú","u"),"ü","u"),"ñ","n"),"à","a"),"è","e"),"ì","i"),"ò","o"),"ù","u"),"")</f>
        <v/>
      </c>
      <c r="S553" s="25">
        <f>IF(R553="","",IF(OR(R553="si",R553="tal vez"),1,0))</f>
        <v/>
      </c>
      <c r="T553" s="25">
        <f>IF(AND(L553=1,D553&lt;&gt;""),IF(IFERROR(COUNTIFS(D$3:D553,"="&amp;SUBSTITUTE(SUBSTITUTE(SUBSTITUTE(D553,"~","~~"),"*","~*"),"?","~?"),L$3:L553,1),0)=1,MAX(T$2:T552)+1,""),"")</f>
        <v/>
      </c>
      <c r="U553" s="25">
        <f>IF(T553="","",COUNTIFS($D$3:$D$1002,"="&amp;SUBSTITUTE(SUBSTITUTE(SUBSTITUTE(D553,"~","~~"),"*","~*"),"?","~?"),$L$3:$L$1002,1)*10000-T553)</f>
        <v/>
      </c>
      <c r="V553" s="25">
        <f>IF(AND(L553=1,J553&lt;&gt;""),IF(IFERROR(COUNTIFS(J$3:J553,"="&amp;SUBSTITUTE(SUBSTITUTE(SUBSTITUTE(J553,"~","~~"),"*","~*"),"?","~?"),L$3:L553,1),0)=1,MAX(V$2:V552)+1,""),"")</f>
        <v/>
      </c>
      <c r="W553" s="25">
        <f>IF(V553="","",COUNTIFS($J$3:$J$1002,"="&amp;SUBSTITUTE(SUBSTITUTE(SUBSTITUTE(J553,"~","~~"),"*","~*"),"?","~?"),$L$3:$L$1002,1)*10000-V553)</f>
        <v/>
      </c>
    </row>
    <row r="554">
      <c r="A554">
        <f>IF(A$2=0,"",IFERROR(TRIM(INDEX('Pegar estudiantes'!$A$1:$BZ$1001,553,A$2)&amp;""),""))</f>
        <v/>
      </c>
      <c r="B554">
        <f>IF(B$2=0,"",IFERROR(TRIM(INDEX('Pegar estudiantes'!$A$1:$BZ$1001,553,B$2)&amp;""),""))</f>
        <v/>
      </c>
      <c r="C554">
        <f>IF(C$2=0,"",IFERROR(TRIM(INDEX('Pegar estudiantes'!$A$1:$BZ$1001,553,C$2)&amp;""),""))</f>
        <v/>
      </c>
      <c r="D554">
        <f>IF(D$2=0,"",IFERROR(TRIM(INDEX('Pegar estudiantes'!$A$1:$BZ$1001,553,D$2)&amp;""),""))</f>
        <v/>
      </c>
      <c r="E554">
        <f>IF(E$2=0,"",IFERROR(TRIM(INDEX('Pegar estudiantes'!$A$1:$BZ$1001,553,E$2)&amp;""),""))</f>
        <v/>
      </c>
      <c r="F554">
        <f>IF(F$2=0,"",IFERROR(TRIM(INDEX('Pegar estudiantes'!$A$1:$BZ$1001,553,F$2)&amp;""),""))</f>
        <v/>
      </c>
      <c r="G554">
        <f>IF(G$2=0,"",IFERROR(TRIM(INDEX('Pegar estudiantes'!$A$1:$BZ$1001,553,G$2)&amp;""),""))</f>
        <v/>
      </c>
      <c r="H554">
        <f>IF(H$2=0,"",IFERROR(TRIM(INDEX('Pegar estudiantes'!$A$1:$BZ$1001,553,H$2)&amp;""),""))</f>
        <v/>
      </c>
      <c r="I554">
        <f>IF(I$2=0,"",IFERROR(TRIM(INDEX('Pegar estudiantes'!$A$1:$BZ$1001,553,I$2)&amp;""),""))</f>
        <v/>
      </c>
      <c r="J554">
        <f>IF(J$2=0,"",IFERROR(TRIM(INDEX('Pegar estudiantes'!$A$1:$BZ$1001,553,J$2)&amp;""),""))</f>
        <v/>
      </c>
      <c r="K554">
        <f>IF(K$2=0,"",IFERROR(TRIM(INDEX('Pegar estudiantes'!$A$1:$BZ$1001,553,K$2)&amp;""),""))</f>
        <v/>
      </c>
      <c r="L554" s="25">
        <f>IF(A554&lt;&gt;"",1,"")</f>
        <v/>
      </c>
      <c r="M554" s="25">
        <f>IF(L554=1,IF(ISNUMBER(FIND("#"&amp;MID(A554,1,1)&amp;"#","#0#1#2#3#4#5#6#7#8#9#")),IF(ISNUMBER(FIND("#"&amp;MID(A554,2,1)&amp;"#","#0#1#2#3#4#5#6#7#8#9#")),IF(AND(VALUE(LEFT(A554,2))&gt;=1,VALUE(LEFT(A554,2))&lt;=5),VALUE(LEFT(A554,2)),""),IF(AND(VALUE(LEFT(A554,1))&gt;=1,VALUE(LEFT(A554,1))&lt;=5),VALUE(LEFT(A554,1)),"")),""),"")</f>
        <v/>
      </c>
      <c r="N554" s="25">
        <f>IF(L554=1,IF(ISNUMBER(FIND("#"&amp;MID(H554,1,1)&amp;"#","#0#1#2#3#4#5#6#7#8#9#")),IF(ISNUMBER(FIND("#"&amp;MID(H554,2,1)&amp;"#","#0#1#2#3#4#5#6#7#8#9#")),IF(AND(VALUE(LEFT(H554,2))&gt;=1,VALUE(LEFT(H554,2))&lt;=5),VALUE(LEFT(H554,2)),""),IF(AND(VALUE(LEFT(H554,1))&gt;=1,VALUE(LEFT(H554,1))&lt;=5),VALUE(LEFT(H554,1)),"")),""),"")</f>
        <v/>
      </c>
      <c r="O554" s="25">
        <f>IF(AND(L554=1,B554&lt;&gt;""),SUBSTITUTE(SUBSTITUTE(SUBSTITUTE(SUBSTITUTE(SUBSTITUTE(SUBSTITUTE(SUBSTITUTE(SUBSTITUTE(SUBSTITUTE(SUBSTITUTE(SUBSTITUTE(SUBSTITUTE(LOWER(TRIM(B554)),"á","a"),"é","e"),"í","i"),"ó","o"),"ú","u"),"ü","u"),"ñ","n"),"à","a"),"è","e"),"ì","i"),"ò","o"),"ù","u"),"")</f>
        <v/>
      </c>
      <c r="P554" s="25">
        <f>IF(AND(L554=1,C554&lt;&gt;""),SUBSTITUTE(SUBSTITUTE(SUBSTITUTE(SUBSTITUTE(SUBSTITUTE(SUBSTITUTE(SUBSTITUTE(SUBSTITUTE(SUBSTITUTE(SUBSTITUTE(SUBSTITUTE(SUBSTITUTE(LOWER(TRIM(C554)),"á","a"),"é","e"),"í","i"),"ó","o"),"ú","u"),"ü","u"),"ñ","n"),"à","a"),"è","e"),"ì","i"),"ò","o"),"ù","u"),"")</f>
        <v/>
      </c>
      <c r="Q554" s="25">
        <f>IF(AND(L554=1,E554&lt;&gt;""),SUBSTITUTE(SUBSTITUTE(SUBSTITUTE(SUBSTITUTE(SUBSTITUTE(SUBSTITUTE(SUBSTITUTE(SUBSTITUTE(SUBSTITUTE(SUBSTITUTE(SUBSTITUTE(SUBSTITUTE(LOWER(TRIM(E554)),"á","a"),"é","e"),"í","i"),"ó","o"),"ú","u"),"ü","u"),"ñ","n"),"à","a"),"è","e"),"ì","i"),"ò","o"),"ù","u"),"")</f>
        <v/>
      </c>
      <c r="R554" s="25">
        <f>IF(AND(L554=1,I554&lt;&gt;""),SUBSTITUTE(SUBSTITUTE(SUBSTITUTE(SUBSTITUTE(SUBSTITUTE(SUBSTITUTE(SUBSTITUTE(SUBSTITUTE(SUBSTITUTE(SUBSTITUTE(SUBSTITUTE(SUBSTITUTE(LOWER(TRIM(I554)),"á","a"),"é","e"),"í","i"),"ó","o"),"ú","u"),"ü","u"),"ñ","n"),"à","a"),"è","e"),"ì","i"),"ò","o"),"ù","u"),"")</f>
        <v/>
      </c>
      <c r="S554" s="25">
        <f>IF(R554="","",IF(OR(R554="si",R554="tal vez"),1,0))</f>
        <v/>
      </c>
      <c r="T554" s="25">
        <f>IF(AND(L554=1,D554&lt;&gt;""),IF(IFERROR(COUNTIFS(D$3:D554,"="&amp;SUBSTITUTE(SUBSTITUTE(SUBSTITUTE(D554,"~","~~"),"*","~*"),"?","~?"),L$3:L554,1),0)=1,MAX(T$2:T553)+1,""),"")</f>
        <v/>
      </c>
      <c r="U554" s="25">
        <f>IF(T554="","",COUNTIFS($D$3:$D$1002,"="&amp;SUBSTITUTE(SUBSTITUTE(SUBSTITUTE(D554,"~","~~"),"*","~*"),"?","~?"),$L$3:$L$1002,1)*10000-T554)</f>
        <v/>
      </c>
      <c r="V554" s="25">
        <f>IF(AND(L554=1,J554&lt;&gt;""),IF(IFERROR(COUNTIFS(J$3:J554,"="&amp;SUBSTITUTE(SUBSTITUTE(SUBSTITUTE(J554,"~","~~"),"*","~*"),"?","~?"),L$3:L554,1),0)=1,MAX(V$2:V553)+1,""),"")</f>
        <v/>
      </c>
      <c r="W554" s="25">
        <f>IF(V554="","",COUNTIFS($J$3:$J$1002,"="&amp;SUBSTITUTE(SUBSTITUTE(SUBSTITUTE(J554,"~","~~"),"*","~*"),"?","~?"),$L$3:$L$1002,1)*10000-V554)</f>
        <v/>
      </c>
    </row>
    <row r="555">
      <c r="A555">
        <f>IF(A$2=0,"",IFERROR(TRIM(INDEX('Pegar estudiantes'!$A$1:$BZ$1001,554,A$2)&amp;""),""))</f>
        <v/>
      </c>
      <c r="B555">
        <f>IF(B$2=0,"",IFERROR(TRIM(INDEX('Pegar estudiantes'!$A$1:$BZ$1001,554,B$2)&amp;""),""))</f>
        <v/>
      </c>
      <c r="C555">
        <f>IF(C$2=0,"",IFERROR(TRIM(INDEX('Pegar estudiantes'!$A$1:$BZ$1001,554,C$2)&amp;""),""))</f>
        <v/>
      </c>
      <c r="D555">
        <f>IF(D$2=0,"",IFERROR(TRIM(INDEX('Pegar estudiantes'!$A$1:$BZ$1001,554,D$2)&amp;""),""))</f>
        <v/>
      </c>
      <c r="E555">
        <f>IF(E$2=0,"",IFERROR(TRIM(INDEX('Pegar estudiantes'!$A$1:$BZ$1001,554,E$2)&amp;""),""))</f>
        <v/>
      </c>
      <c r="F555">
        <f>IF(F$2=0,"",IFERROR(TRIM(INDEX('Pegar estudiantes'!$A$1:$BZ$1001,554,F$2)&amp;""),""))</f>
        <v/>
      </c>
      <c r="G555">
        <f>IF(G$2=0,"",IFERROR(TRIM(INDEX('Pegar estudiantes'!$A$1:$BZ$1001,554,G$2)&amp;""),""))</f>
        <v/>
      </c>
      <c r="H555">
        <f>IF(H$2=0,"",IFERROR(TRIM(INDEX('Pegar estudiantes'!$A$1:$BZ$1001,554,H$2)&amp;""),""))</f>
        <v/>
      </c>
      <c r="I555">
        <f>IF(I$2=0,"",IFERROR(TRIM(INDEX('Pegar estudiantes'!$A$1:$BZ$1001,554,I$2)&amp;""),""))</f>
        <v/>
      </c>
      <c r="J555">
        <f>IF(J$2=0,"",IFERROR(TRIM(INDEX('Pegar estudiantes'!$A$1:$BZ$1001,554,J$2)&amp;""),""))</f>
        <v/>
      </c>
      <c r="K555">
        <f>IF(K$2=0,"",IFERROR(TRIM(INDEX('Pegar estudiantes'!$A$1:$BZ$1001,554,K$2)&amp;""),""))</f>
        <v/>
      </c>
      <c r="L555" s="25">
        <f>IF(A555&lt;&gt;"",1,"")</f>
        <v/>
      </c>
      <c r="M555" s="25">
        <f>IF(L555=1,IF(ISNUMBER(FIND("#"&amp;MID(A555,1,1)&amp;"#","#0#1#2#3#4#5#6#7#8#9#")),IF(ISNUMBER(FIND("#"&amp;MID(A555,2,1)&amp;"#","#0#1#2#3#4#5#6#7#8#9#")),IF(AND(VALUE(LEFT(A555,2))&gt;=1,VALUE(LEFT(A555,2))&lt;=5),VALUE(LEFT(A555,2)),""),IF(AND(VALUE(LEFT(A555,1))&gt;=1,VALUE(LEFT(A555,1))&lt;=5),VALUE(LEFT(A555,1)),"")),""),"")</f>
        <v/>
      </c>
      <c r="N555" s="25">
        <f>IF(L555=1,IF(ISNUMBER(FIND("#"&amp;MID(H555,1,1)&amp;"#","#0#1#2#3#4#5#6#7#8#9#")),IF(ISNUMBER(FIND("#"&amp;MID(H555,2,1)&amp;"#","#0#1#2#3#4#5#6#7#8#9#")),IF(AND(VALUE(LEFT(H555,2))&gt;=1,VALUE(LEFT(H555,2))&lt;=5),VALUE(LEFT(H555,2)),""),IF(AND(VALUE(LEFT(H555,1))&gt;=1,VALUE(LEFT(H555,1))&lt;=5),VALUE(LEFT(H555,1)),"")),""),"")</f>
        <v/>
      </c>
      <c r="O555" s="25">
        <f>IF(AND(L555=1,B555&lt;&gt;""),SUBSTITUTE(SUBSTITUTE(SUBSTITUTE(SUBSTITUTE(SUBSTITUTE(SUBSTITUTE(SUBSTITUTE(SUBSTITUTE(SUBSTITUTE(SUBSTITUTE(SUBSTITUTE(SUBSTITUTE(LOWER(TRIM(B555)),"á","a"),"é","e"),"í","i"),"ó","o"),"ú","u"),"ü","u"),"ñ","n"),"à","a"),"è","e"),"ì","i"),"ò","o"),"ù","u"),"")</f>
        <v/>
      </c>
      <c r="P555" s="25">
        <f>IF(AND(L555=1,C555&lt;&gt;""),SUBSTITUTE(SUBSTITUTE(SUBSTITUTE(SUBSTITUTE(SUBSTITUTE(SUBSTITUTE(SUBSTITUTE(SUBSTITUTE(SUBSTITUTE(SUBSTITUTE(SUBSTITUTE(SUBSTITUTE(LOWER(TRIM(C555)),"á","a"),"é","e"),"í","i"),"ó","o"),"ú","u"),"ü","u"),"ñ","n"),"à","a"),"è","e"),"ì","i"),"ò","o"),"ù","u"),"")</f>
        <v/>
      </c>
      <c r="Q555" s="25">
        <f>IF(AND(L555=1,E555&lt;&gt;""),SUBSTITUTE(SUBSTITUTE(SUBSTITUTE(SUBSTITUTE(SUBSTITUTE(SUBSTITUTE(SUBSTITUTE(SUBSTITUTE(SUBSTITUTE(SUBSTITUTE(SUBSTITUTE(SUBSTITUTE(LOWER(TRIM(E555)),"á","a"),"é","e"),"í","i"),"ó","o"),"ú","u"),"ü","u"),"ñ","n"),"à","a"),"è","e"),"ì","i"),"ò","o"),"ù","u"),"")</f>
        <v/>
      </c>
      <c r="R555" s="25">
        <f>IF(AND(L555=1,I555&lt;&gt;""),SUBSTITUTE(SUBSTITUTE(SUBSTITUTE(SUBSTITUTE(SUBSTITUTE(SUBSTITUTE(SUBSTITUTE(SUBSTITUTE(SUBSTITUTE(SUBSTITUTE(SUBSTITUTE(SUBSTITUTE(LOWER(TRIM(I555)),"á","a"),"é","e"),"í","i"),"ó","o"),"ú","u"),"ü","u"),"ñ","n"),"à","a"),"è","e"),"ì","i"),"ò","o"),"ù","u"),"")</f>
        <v/>
      </c>
      <c r="S555" s="25">
        <f>IF(R555="","",IF(OR(R555="si",R555="tal vez"),1,0))</f>
        <v/>
      </c>
      <c r="T555" s="25">
        <f>IF(AND(L555=1,D555&lt;&gt;""),IF(IFERROR(COUNTIFS(D$3:D555,"="&amp;SUBSTITUTE(SUBSTITUTE(SUBSTITUTE(D555,"~","~~"),"*","~*"),"?","~?"),L$3:L555,1),0)=1,MAX(T$2:T554)+1,""),"")</f>
        <v/>
      </c>
      <c r="U555" s="25">
        <f>IF(T555="","",COUNTIFS($D$3:$D$1002,"="&amp;SUBSTITUTE(SUBSTITUTE(SUBSTITUTE(D555,"~","~~"),"*","~*"),"?","~?"),$L$3:$L$1002,1)*10000-T555)</f>
        <v/>
      </c>
      <c r="V555" s="25">
        <f>IF(AND(L555=1,J555&lt;&gt;""),IF(IFERROR(COUNTIFS(J$3:J555,"="&amp;SUBSTITUTE(SUBSTITUTE(SUBSTITUTE(J555,"~","~~"),"*","~*"),"?","~?"),L$3:L555,1),0)=1,MAX(V$2:V554)+1,""),"")</f>
        <v/>
      </c>
      <c r="W555" s="25">
        <f>IF(V555="","",COUNTIFS($J$3:$J$1002,"="&amp;SUBSTITUTE(SUBSTITUTE(SUBSTITUTE(J555,"~","~~"),"*","~*"),"?","~?"),$L$3:$L$1002,1)*10000-V555)</f>
        <v/>
      </c>
    </row>
    <row r="556">
      <c r="A556">
        <f>IF(A$2=0,"",IFERROR(TRIM(INDEX('Pegar estudiantes'!$A$1:$BZ$1001,555,A$2)&amp;""),""))</f>
        <v/>
      </c>
      <c r="B556">
        <f>IF(B$2=0,"",IFERROR(TRIM(INDEX('Pegar estudiantes'!$A$1:$BZ$1001,555,B$2)&amp;""),""))</f>
        <v/>
      </c>
      <c r="C556">
        <f>IF(C$2=0,"",IFERROR(TRIM(INDEX('Pegar estudiantes'!$A$1:$BZ$1001,555,C$2)&amp;""),""))</f>
        <v/>
      </c>
      <c r="D556">
        <f>IF(D$2=0,"",IFERROR(TRIM(INDEX('Pegar estudiantes'!$A$1:$BZ$1001,555,D$2)&amp;""),""))</f>
        <v/>
      </c>
      <c r="E556">
        <f>IF(E$2=0,"",IFERROR(TRIM(INDEX('Pegar estudiantes'!$A$1:$BZ$1001,555,E$2)&amp;""),""))</f>
        <v/>
      </c>
      <c r="F556">
        <f>IF(F$2=0,"",IFERROR(TRIM(INDEX('Pegar estudiantes'!$A$1:$BZ$1001,555,F$2)&amp;""),""))</f>
        <v/>
      </c>
      <c r="G556">
        <f>IF(G$2=0,"",IFERROR(TRIM(INDEX('Pegar estudiantes'!$A$1:$BZ$1001,555,G$2)&amp;""),""))</f>
        <v/>
      </c>
      <c r="H556">
        <f>IF(H$2=0,"",IFERROR(TRIM(INDEX('Pegar estudiantes'!$A$1:$BZ$1001,555,H$2)&amp;""),""))</f>
        <v/>
      </c>
      <c r="I556">
        <f>IF(I$2=0,"",IFERROR(TRIM(INDEX('Pegar estudiantes'!$A$1:$BZ$1001,555,I$2)&amp;""),""))</f>
        <v/>
      </c>
      <c r="J556">
        <f>IF(J$2=0,"",IFERROR(TRIM(INDEX('Pegar estudiantes'!$A$1:$BZ$1001,555,J$2)&amp;""),""))</f>
        <v/>
      </c>
      <c r="K556">
        <f>IF(K$2=0,"",IFERROR(TRIM(INDEX('Pegar estudiantes'!$A$1:$BZ$1001,555,K$2)&amp;""),""))</f>
        <v/>
      </c>
      <c r="L556" s="25">
        <f>IF(A556&lt;&gt;"",1,"")</f>
        <v/>
      </c>
      <c r="M556" s="25">
        <f>IF(L556=1,IF(ISNUMBER(FIND("#"&amp;MID(A556,1,1)&amp;"#","#0#1#2#3#4#5#6#7#8#9#")),IF(ISNUMBER(FIND("#"&amp;MID(A556,2,1)&amp;"#","#0#1#2#3#4#5#6#7#8#9#")),IF(AND(VALUE(LEFT(A556,2))&gt;=1,VALUE(LEFT(A556,2))&lt;=5),VALUE(LEFT(A556,2)),""),IF(AND(VALUE(LEFT(A556,1))&gt;=1,VALUE(LEFT(A556,1))&lt;=5),VALUE(LEFT(A556,1)),"")),""),"")</f>
        <v/>
      </c>
      <c r="N556" s="25">
        <f>IF(L556=1,IF(ISNUMBER(FIND("#"&amp;MID(H556,1,1)&amp;"#","#0#1#2#3#4#5#6#7#8#9#")),IF(ISNUMBER(FIND("#"&amp;MID(H556,2,1)&amp;"#","#0#1#2#3#4#5#6#7#8#9#")),IF(AND(VALUE(LEFT(H556,2))&gt;=1,VALUE(LEFT(H556,2))&lt;=5),VALUE(LEFT(H556,2)),""),IF(AND(VALUE(LEFT(H556,1))&gt;=1,VALUE(LEFT(H556,1))&lt;=5),VALUE(LEFT(H556,1)),"")),""),"")</f>
        <v/>
      </c>
      <c r="O556" s="25">
        <f>IF(AND(L556=1,B556&lt;&gt;""),SUBSTITUTE(SUBSTITUTE(SUBSTITUTE(SUBSTITUTE(SUBSTITUTE(SUBSTITUTE(SUBSTITUTE(SUBSTITUTE(SUBSTITUTE(SUBSTITUTE(SUBSTITUTE(SUBSTITUTE(LOWER(TRIM(B556)),"á","a"),"é","e"),"í","i"),"ó","o"),"ú","u"),"ü","u"),"ñ","n"),"à","a"),"è","e"),"ì","i"),"ò","o"),"ù","u"),"")</f>
        <v/>
      </c>
      <c r="P556" s="25">
        <f>IF(AND(L556=1,C556&lt;&gt;""),SUBSTITUTE(SUBSTITUTE(SUBSTITUTE(SUBSTITUTE(SUBSTITUTE(SUBSTITUTE(SUBSTITUTE(SUBSTITUTE(SUBSTITUTE(SUBSTITUTE(SUBSTITUTE(SUBSTITUTE(LOWER(TRIM(C556)),"á","a"),"é","e"),"í","i"),"ó","o"),"ú","u"),"ü","u"),"ñ","n"),"à","a"),"è","e"),"ì","i"),"ò","o"),"ù","u"),"")</f>
        <v/>
      </c>
      <c r="Q556" s="25">
        <f>IF(AND(L556=1,E556&lt;&gt;""),SUBSTITUTE(SUBSTITUTE(SUBSTITUTE(SUBSTITUTE(SUBSTITUTE(SUBSTITUTE(SUBSTITUTE(SUBSTITUTE(SUBSTITUTE(SUBSTITUTE(SUBSTITUTE(SUBSTITUTE(LOWER(TRIM(E556)),"á","a"),"é","e"),"í","i"),"ó","o"),"ú","u"),"ü","u"),"ñ","n"),"à","a"),"è","e"),"ì","i"),"ò","o"),"ù","u"),"")</f>
        <v/>
      </c>
      <c r="R556" s="25">
        <f>IF(AND(L556=1,I556&lt;&gt;""),SUBSTITUTE(SUBSTITUTE(SUBSTITUTE(SUBSTITUTE(SUBSTITUTE(SUBSTITUTE(SUBSTITUTE(SUBSTITUTE(SUBSTITUTE(SUBSTITUTE(SUBSTITUTE(SUBSTITUTE(LOWER(TRIM(I556)),"á","a"),"é","e"),"í","i"),"ó","o"),"ú","u"),"ü","u"),"ñ","n"),"à","a"),"è","e"),"ì","i"),"ò","o"),"ù","u"),"")</f>
        <v/>
      </c>
      <c r="S556" s="25">
        <f>IF(R556="","",IF(OR(R556="si",R556="tal vez"),1,0))</f>
        <v/>
      </c>
      <c r="T556" s="25">
        <f>IF(AND(L556=1,D556&lt;&gt;""),IF(IFERROR(COUNTIFS(D$3:D556,"="&amp;SUBSTITUTE(SUBSTITUTE(SUBSTITUTE(D556,"~","~~"),"*","~*"),"?","~?"),L$3:L556,1),0)=1,MAX(T$2:T555)+1,""),"")</f>
        <v/>
      </c>
      <c r="U556" s="25">
        <f>IF(T556="","",COUNTIFS($D$3:$D$1002,"="&amp;SUBSTITUTE(SUBSTITUTE(SUBSTITUTE(D556,"~","~~"),"*","~*"),"?","~?"),$L$3:$L$1002,1)*10000-T556)</f>
        <v/>
      </c>
      <c r="V556" s="25">
        <f>IF(AND(L556=1,J556&lt;&gt;""),IF(IFERROR(COUNTIFS(J$3:J556,"="&amp;SUBSTITUTE(SUBSTITUTE(SUBSTITUTE(J556,"~","~~"),"*","~*"),"?","~?"),L$3:L556,1),0)=1,MAX(V$2:V555)+1,""),"")</f>
        <v/>
      </c>
      <c r="W556" s="25">
        <f>IF(V556="","",COUNTIFS($J$3:$J$1002,"="&amp;SUBSTITUTE(SUBSTITUTE(SUBSTITUTE(J556,"~","~~"),"*","~*"),"?","~?"),$L$3:$L$1002,1)*10000-V556)</f>
        <v/>
      </c>
    </row>
    <row r="557">
      <c r="A557">
        <f>IF(A$2=0,"",IFERROR(TRIM(INDEX('Pegar estudiantes'!$A$1:$BZ$1001,556,A$2)&amp;""),""))</f>
        <v/>
      </c>
      <c r="B557">
        <f>IF(B$2=0,"",IFERROR(TRIM(INDEX('Pegar estudiantes'!$A$1:$BZ$1001,556,B$2)&amp;""),""))</f>
        <v/>
      </c>
      <c r="C557">
        <f>IF(C$2=0,"",IFERROR(TRIM(INDEX('Pegar estudiantes'!$A$1:$BZ$1001,556,C$2)&amp;""),""))</f>
        <v/>
      </c>
      <c r="D557">
        <f>IF(D$2=0,"",IFERROR(TRIM(INDEX('Pegar estudiantes'!$A$1:$BZ$1001,556,D$2)&amp;""),""))</f>
        <v/>
      </c>
      <c r="E557">
        <f>IF(E$2=0,"",IFERROR(TRIM(INDEX('Pegar estudiantes'!$A$1:$BZ$1001,556,E$2)&amp;""),""))</f>
        <v/>
      </c>
      <c r="F557">
        <f>IF(F$2=0,"",IFERROR(TRIM(INDEX('Pegar estudiantes'!$A$1:$BZ$1001,556,F$2)&amp;""),""))</f>
        <v/>
      </c>
      <c r="G557">
        <f>IF(G$2=0,"",IFERROR(TRIM(INDEX('Pegar estudiantes'!$A$1:$BZ$1001,556,G$2)&amp;""),""))</f>
        <v/>
      </c>
      <c r="H557">
        <f>IF(H$2=0,"",IFERROR(TRIM(INDEX('Pegar estudiantes'!$A$1:$BZ$1001,556,H$2)&amp;""),""))</f>
        <v/>
      </c>
      <c r="I557">
        <f>IF(I$2=0,"",IFERROR(TRIM(INDEX('Pegar estudiantes'!$A$1:$BZ$1001,556,I$2)&amp;""),""))</f>
        <v/>
      </c>
      <c r="J557">
        <f>IF(J$2=0,"",IFERROR(TRIM(INDEX('Pegar estudiantes'!$A$1:$BZ$1001,556,J$2)&amp;""),""))</f>
        <v/>
      </c>
      <c r="K557">
        <f>IF(K$2=0,"",IFERROR(TRIM(INDEX('Pegar estudiantes'!$A$1:$BZ$1001,556,K$2)&amp;""),""))</f>
        <v/>
      </c>
      <c r="L557" s="25">
        <f>IF(A557&lt;&gt;"",1,"")</f>
        <v/>
      </c>
      <c r="M557" s="25">
        <f>IF(L557=1,IF(ISNUMBER(FIND("#"&amp;MID(A557,1,1)&amp;"#","#0#1#2#3#4#5#6#7#8#9#")),IF(ISNUMBER(FIND("#"&amp;MID(A557,2,1)&amp;"#","#0#1#2#3#4#5#6#7#8#9#")),IF(AND(VALUE(LEFT(A557,2))&gt;=1,VALUE(LEFT(A557,2))&lt;=5),VALUE(LEFT(A557,2)),""),IF(AND(VALUE(LEFT(A557,1))&gt;=1,VALUE(LEFT(A557,1))&lt;=5),VALUE(LEFT(A557,1)),"")),""),"")</f>
        <v/>
      </c>
      <c r="N557" s="25">
        <f>IF(L557=1,IF(ISNUMBER(FIND("#"&amp;MID(H557,1,1)&amp;"#","#0#1#2#3#4#5#6#7#8#9#")),IF(ISNUMBER(FIND("#"&amp;MID(H557,2,1)&amp;"#","#0#1#2#3#4#5#6#7#8#9#")),IF(AND(VALUE(LEFT(H557,2))&gt;=1,VALUE(LEFT(H557,2))&lt;=5),VALUE(LEFT(H557,2)),""),IF(AND(VALUE(LEFT(H557,1))&gt;=1,VALUE(LEFT(H557,1))&lt;=5),VALUE(LEFT(H557,1)),"")),""),"")</f>
        <v/>
      </c>
      <c r="O557" s="25">
        <f>IF(AND(L557=1,B557&lt;&gt;""),SUBSTITUTE(SUBSTITUTE(SUBSTITUTE(SUBSTITUTE(SUBSTITUTE(SUBSTITUTE(SUBSTITUTE(SUBSTITUTE(SUBSTITUTE(SUBSTITUTE(SUBSTITUTE(SUBSTITUTE(LOWER(TRIM(B557)),"á","a"),"é","e"),"í","i"),"ó","o"),"ú","u"),"ü","u"),"ñ","n"),"à","a"),"è","e"),"ì","i"),"ò","o"),"ù","u"),"")</f>
        <v/>
      </c>
      <c r="P557" s="25">
        <f>IF(AND(L557=1,C557&lt;&gt;""),SUBSTITUTE(SUBSTITUTE(SUBSTITUTE(SUBSTITUTE(SUBSTITUTE(SUBSTITUTE(SUBSTITUTE(SUBSTITUTE(SUBSTITUTE(SUBSTITUTE(SUBSTITUTE(SUBSTITUTE(LOWER(TRIM(C557)),"á","a"),"é","e"),"í","i"),"ó","o"),"ú","u"),"ü","u"),"ñ","n"),"à","a"),"è","e"),"ì","i"),"ò","o"),"ù","u"),"")</f>
        <v/>
      </c>
      <c r="Q557" s="25">
        <f>IF(AND(L557=1,E557&lt;&gt;""),SUBSTITUTE(SUBSTITUTE(SUBSTITUTE(SUBSTITUTE(SUBSTITUTE(SUBSTITUTE(SUBSTITUTE(SUBSTITUTE(SUBSTITUTE(SUBSTITUTE(SUBSTITUTE(SUBSTITUTE(LOWER(TRIM(E557)),"á","a"),"é","e"),"í","i"),"ó","o"),"ú","u"),"ü","u"),"ñ","n"),"à","a"),"è","e"),"ì","i"),"ò","o"),"ù","u"),"")</f>
        <v/>
      </c>
      <c r="R557" s="25">
        <f>IF(AND(L557=1,I557&lt;&gt;""),SUBSTITUTE(SUBSTITUTE(SUBSTITUTE(SUBSTITUTE(SUBSTITUTE(SUBSTITUTE(SUBSTITUTE(SUBSTITUTE(SUBSTITUTE(SUBSTITUTE(SUBSTITUTE(SUBSTITUTE(LOWER(TRIM(I557)),"á","a"),"é","e"),"í","i"),"ó","o"),"ú","u"),"ü","u"),"ñ","n"),"à","a"),"è","e"),"ì","i"),"ò","o"),"ù","u"),"")</f>
        <v/>
      </c>
      <c r="S557" s="25">
        <f>IF(R557="","",IF(OR(R557="si",R557="tal vez"),1,0))</f>
        <v/>
      </c>
      <c r="T557" s="25">
        <f>IF(AND(L557=1,D557&lt;&gt;""),IF(IFERROR(COUNTIFS(D$3:D557,"="&amp;SUBSTITUTE(SUBSTITUTE(SUBSTITUTE(D557,"~","~~"),"*","~*"),"?","~?"),L$3:L557,1),0)=1,MAX(T$2:T556)+1,""),"")</f>
        <v/>
      </c>
      <c r="U557" s="25">
        <f>IF(T557="","",COUNTIFS($D$3:$D$1002,"="&amp;SUBSTITUTE(SUBSTITUTE(SUBSTITUTE(D557,"~","~~"),"*","~*"),"?","~?"),$L$3:$L$1002,1)*10000-T557)</f>
        <v/>
      </c>
      <c r="V557" s="25">
        <f>IF(AND(L557=1,J557&lt;&gt;""),IF(IFERROR(COUNTIFS(J$3:J557,"="&amp;SUBSTITUTE(SUBSTITUTE(SUBSTITUTE(J557,"~","~~"),"*","~*"),"?","~?"),L$3:L557,1),0)=1,MAX(V$2:V556)+1,""),"")</f>
        <v/>
      </c>
      <c r="W557" s="25">
        <f>IF(V557="","",COUNTIFS($J$3:$J$1002,"="&amp;SUBSTITUTE(SUBSTITUTE(SUBSTITUTE(J557,"~","~~"),"*","~*"),"?","~?"),$L$3:$L$1002,1)*10000-V557)</f>
        <v/>
      </c>
    </row>
    <row r="558">
      <c r="A558">
        <f>IF(A$2=0,"",IFERROR(TRIM(INDEX('Pegar estudiantes'!$A$1:$BZ$1001,557,A$2)&amp;""),""))</f>
        <v/>
      </c>
      <c r="B558">
        <f>IF(B$2=0,"",IFERROR(TRIM(INDEX('Pegar estudiantes'!$A$1:$BZ$1001,557,B$2)&amp;""),""))</f>
        <v/>
      </c>
      <c r="C558">
        <f>IF(C$2=0,"",IFERROR(TRIM(INDEX('Pegar estudiantes'!$A$1:$BZ$1001,557,C$2)&amp;""),""))</f>
        <v/>
      </c>
      <c r="D558">
        <f>IF(D$2=0,"",IFERROR(TRIM(INDEX('Pegar estudiantes'!$A$1:$BZ$1001,557,D$2)&amp;""),""))</f>
        <v/>
      </c>
      <c r="E558">
        <f>IF(E$2=0,"",IFERROR(TRIM(INDEX('Pegar estudiantes'!$A$1:$BZ$1001,557,E$2)&amp;""),""))</f>
        <v/>
      </c>
      <c r="F558">
        <f>IF(F$2=0,"",IFERROR(TRIM(INDEX('Pegar estudiantes'!$A$1:$BZ$1001,557,F$2)&amp;""),""))</f>
        <v/>
      </c>
      <c r="G558">
        <f>IF(G$2=0,"",IFERROR(TRIM(INDEX('Pegar estudiantes'!$A$1:$BZ$1001,557,G$2)&amp;""),""))</f>
        <v/>
      </c>
      <c r="H558">
        <f>IF(H$2=0,"",IFERROR(TRIM(INDEX('Pegar estudiantes'!$A$1:$BZ$1001,557,H$2)&amp;""),""))</f>
        <v/>
      </c>
      <c r="I558">
        <f>IF(I$2=0,"",IFERROR(TRIM(INDEX('Pegar estudiantes'!$A$1:$BZ$1001,557,I$2)&amp;""),""))</f>
        <v/>
      </c>
      <c r="J558">
        <f>IF(J$2=0,"",IFERROR(TRIM(INDEX('Pegar estudiantes'!$A$1:$BZ$1001,557,J$2)&amp;""),""))</f>
        <v/>
      </c>
      <c r="K558">
        <f>IF(K$2=0,"",IFERROR(TRIM(INDEX('Pegar estudiantes'!$A$1:$BZ$1001,557,K$2)&amp;""),""))</f>
        <v/>
      </c>
      <c r="L558" s="25">
        <f>IF(A558&lt;&gt;"",1,"")</f>
        <v/>
      </c>
      <c r="M558" s="25">
        <f>IF(L558=1,IF(ISNUMBER(FIND("#"&amp;MID(A558,1,1)&amp;"#","#0#1#2#3#4#5#6#7#8#9#")),IF(ISNUMBER(FIND("#"&amp;MID(A558,2,1)&amp;"#","#0#1#2#3#4#5#6#7#8#9#")),IF(AND(VALUE(LEFT(A558,2))&gt;=1,VALUE(LEFT(A558,2))&lt;=5),VALUE(LEFT(A558,2)),""),IF(AND(VALUE(LEFT(A558,1))&gt;=1,VALUE(LEFT(A558,1))&lt;=5),VALUE(LEFT(A558,1)),"")),""),"")</f>
        <v/>
      </c>
      <c r="N558" s="25">
        <f>IF(L558=1,IF(ISNUMBER(FIND("#"&amp;MID(H558,1,1)&amp;"#","#0#1#2#3#4#5#6#7#8#9#")),IF(ISNUMBER(FIND("#"&amp;MID(H558,2,1)&amp;"#","#0#1#2#3#4#5#6#7#8#9#")),IF(AND(VALUE(LEFT(H558,2))&gt;=1,VALUE(LEFT(H558,2))&lt;=5),VALUE(LEFT(H558,2)),""),IF(AND(VALUE(LEFT(H558,1))&gt;=1,VALUE(LEFT(H558,1))&lt;=5),VALUE(LEFT(H558,1)),"")),""),"")</f>
        <v/>
      </c>
      <c r="O558" s="25">
        <f>IF(AND(L558=1,B558&lt;&gt;""),SUBSTITUTE(SUBSTITUTE(SUBSTITUTE(SUBSTITUTE(SUBSTITUTE(SUBSTITUTE(SUBSTITUTE(SUBSTITUTE(SUBSTITUTE(SUBSTITUTE(SUBSTITUTE(SUBSTITUTE(LOWER(TRIM(B558)),"á","a"),"é","e"),"í","i"),"ó","o"),"ú","u"),"ü","u"),"ñ","n"),"à","a"),"è","e"),"ì","i"),"ò","o"),"ù","u"),"")</f>
        <v/>
      </c>
      <c r="P558" s="25">
        <f>IF(AND(L558=1,C558&lt;&gt;""),SUBSTITUTE(SUBSTITUTE(SUBSTITUTE(SUBSTITUTE(SUBSTITUTE(SUBSTITUTE(SUBSTITUTE(SUBSTITUTE(SUBSTITUTE(SUBSTITUTE(SUBSTITUTE(SUBSTITUTE(LOWER(TRIM(C558)),"á","a"),"é","e"),"í","i"),"ó","o"),"ú","u"),"ü","u"),"ñ","n"),"à","a"),"è","e"),"ì","i"),"ò","o"),"ù","u"),"")</f>
        <v/>
      </c>
      <c r="Q558" s="25">
        <f>IF(AND(L558=1,E558&lt;&gt;""),SUBSTITUTE(SUBSTITUTE(SUBSTITUTE(SUBSTITUTE(SUBSTITUTE(SUBSTITUTE(SUBSTITUTE(SUBSTITUTE(SUBSTITUTE(SUBSTITUTE(SUBSTITUTE(SUBSTITUTE(LOWER(TRIM(E558)),"á","a"),"é","e"),"í","i"),"ó","o"),"ú","u"),"ü","u"),"ñ","n"),"à","a"),"è","e"),"ì","i"),"ò","o"),"ù","u"),"")</f>
        <v/>
      </c>
      <c r="R558" s="25">
        <f>IF(AND(L558=1,I558&lt;&gt;""),SUBSTITUTE(SUBSTITUTE(SUBSTITUTE(SUBSTITUTE(SUBSTITUTE(SUBSTITUTE(SUBSTITUTE(SUBSTITUTE(SUBSTITUTE(SUBSTITUTE(SUBSTITUTE(SUBSTITUTE(LOWER(TRIM(I558)),"á","a"),"é","e"),"í","i"),"ó","o"),"ú","u"),"ü","u"),"ñ","n"),"à","a"),"è","e"),"ì","i"),"ò","o"),"ù","u"),"")</f>
        <v/>
      </c>
      <c r="S558" s="25">
        <f>IF(R558="","",IF(OR(R558="si",R558="tal vez"),1,0))</f>
        <v/>
      </c>
      <c r="T558" s="25">
        <f>IF(AND(L558=1,D558&lt;&gt;""),IF(IFERROR(COUNTIFS(D$3:D558,"="&amp;SUBSTITUTE(SUBSTITUTE(SUBSTITUTE(D558,"~","~~"),"*","~*"),"?","~?"),L$3:L558,1),0)=1,MAX(T$2:T557)+1,""),"")</f>
        <v/>
      </c>
      <c r="U558" s="25">
        <f>IF(T558="","",COUNTIFS($D$3:$D$1002,"="&amp;SUBSTITUTE(SUBSTITUTE(SUBSTITUTE(D558,"~","~~"),"*","~*"),"?","~?"),$L$3:$L$1002,1)*10000-T558)</f>
        <v/>
      </c>
      <c r="V558" s="25">
        <f>IF(AND(L558=1,J558&lt;&gt;""),IF(IFERROR(COUNTIFS(J$3:J558,"="&amp;SUBSTITUTE(SUBSTITUTE(SUBSTITUTE(J558,"~","~~"),"*","~*"),"?","~?"),L$3:L558,1),0)=1,MAX(V$2:V557)+1,""),"")</f>
        <v/>
      </c>
      <c r="W558" s="25">
        <f>IF(V558="","",COUNTIFS($J$3:$J$1002,"="&amp;SUBSTITUTE(SUBSTITUTE(SUBSTITUTE(J558,"~","~~"),"*","~*"),"?","~?"),$L$3:$L$1002,1)*10000-V558)</f>
        <v/>
      </c>
    </row>
    <row r="559">
      <c r="A559">
        <f>IF(A$2=0,"",IFERROR(TRIM(INDEX('Pegar estudiantes'!$A$1:$BZ$1001,558,A$2)&amp;""),""))</f>
        <v/>
      </c>
      <c r="B559">
        <f>IF(B$2=0,"",IFERROR(TRIM(INDEX('Pegar estudiantes'!$A$1:$BZ$1001,558,B$2)&amp;""),""))</f>
        <v/>
      </c>
      <c r="C559">
        <f>IF(C$2=0,"",IFERROR(TRIM(INDEX('Pegar estudiantes'!$A$1:$BZ$1001,558,C$2)&amp;""),""))</f>
        <v/>
      </c>
      <c r="D559">
        <f>IF(D$2=0,"",IFERROR(TRIM(INDEX('Pegar estudiantes'!$A$1:$BZ$1001,558,D$2)&amp;""),""))</f>
        <v/>
      </c>
      <c r="E559">
        <f>IF(E$2=0,"",IFERROR(TRIM(INDEX('Pegar estudiantes'!$A$1:$BZ$1001,558,E$2)&amp;""),""))</f>
        <v/>
      </c>
      <c r="F559">
        <f>IF(F$2=0,"",IFERROR(TRIM(INDEX('Pegar estudiantes'!$A$1:$BZ$1001,558,F$2)&amp;""),""))</f>
        <v/>
      </c>
      <c r="G559">
        <f>IF(G$2=0,"",IFERROR(TRIM(INDEX('Pegar estudiantes'!$A$1:$BZ$1001,558,G$2)&amp;""),""))</f>
        <v/>
      </c>
      <c r="H559">
        <f>IF(H$2=0,"",IFERROR(TRIM(INDEX('Pegar estudiantes'!$A$1:$BZ$1001,558,H$2)&amp;""),""))</f>
        <v/>
      </c>
      <c r="I559">
        <f>IF(I$2=0,"",IFERROR(TRIM(INDEX('Pegar estudiantes'!$A$1:$BZ$1001,558,I$2)&amp;""),""))</f>
        <v/>
      </c>
      <c r="J559">
        <f>IF(J$2=0,"",IFERROR(TRIM(INDEX('Pegar estudiantes'!$A$1:$BZ$1001,558,J$2)&amp;""),""))</f>
        <v/>
      </c>
      <c r="K559">
        <f>IF(K$2=0,"",IFERROR(TRIM(INDEX('Pegar estudiantes'!$A$1:$BZ$1001,558,K$2)&amp;""),""))</f>
        <v/>
      </c>
      <c r="L559" s="25">
        <f>IF(A559&lt;&gt;"",1,"")</f>
        <v/>
      </c>
      <c r="M559" s="25">
        <f>IF(L559=1,IF(ISNUMBER(FIND("#"&amp;MID(A559,1,1)&amp;"#","#0#1#2#3#4#5#6#7#8#9#")),IF(ISNUMBER(FIND("#"&amp;MID(A559,2,1)&amp;"#","#0#1#2#3#4#5#6#7#8#9#")),IF(AND(VALUE(LEFT(A559,2))&gt;=1,VALUE(LEFT(A559,2))&lt;=5),VALUE(LEFT(A559,2)),""),IF(AND(VALUE(LEFT(A559,1))&gt;=1,VALUE(LEFT(A559,1))&lt;=5),VALUE(LEFT(A559,1)),"")),""),"")</f>
        <v/>
      </c>
      <c r="N559" s="25">
        <f>IF(L559=1,IF(ISNUMBER(FIND("#"&amp;MID(H559,1,1)&amp;"#","#0#1#2#3#4#5#6#7#8#9#")),IF(ISNUMBER(FIND("#"&amp;MID(H559,2,1)&amp;"#","#0#1#2#3#4#5#6#7#8#9#")),IF(AND(VALUE(LEFT(H559,2))&gt;=1,VALUE(LEFT(H559,2))&lt;=5),VALUE(LEFT(H559,2)),""),IF(AND(VALUE(LEFT(H559,1))&gt;=1,VALUE(LEFT(H559,1))&lt;=5),VALUE(LEFT(H559,1)),"")),""),"")</f>
        <v/>
      </c>
      <c r="O559" s="25">
        <f>IF(AND(L559=1,B559&lt;&gt;""),SUBSTITUTE(SUBSTITUTE(SUBSTITUTE(SUBSTITUTE(SUBSTITUTE(SUBSTITUTE(SUBSTITUTE(SUBSTITUTE(SUBSTITUTE(SUBSTITUTE(SUBSTITUTE(SUBSTITUTE(LOWER(TRIM(B559)),"á","a"),"é","e"),"í","i"),"ó","o"),"ú","u"),"ü","u"),"ñ","n"),"à","a"),"è","e"),"ì","i"),"ò","o"),"ù","u"),"")</f>
        <v/>
      </c>
      <c r="P559" s="25">
        <f>IF(AND(L559=1,C559&lt;&gt;""),SUBSTITUTE(SUBSTITUTE(SUBSTITUTE(SUBSTITUTE(SUBSTITUTE(SUBSTITUTE(SUBSTITUTE(SUBSTITUTE(SUBSTITUTE(SUBSTITUTE(SUBSTITUTE(SUBSTITUTE(LOWER(TRIM(C559)),"á","a"),"é","e"),"í","i"),"ó","o"),"ú","u"),"ü","u"),"ñ","n"),"à","a"),"è","e"),"ì","i"),"ò","o"),"ù","u"),"")</f>
        <v/>
      </c>
      <c r="Q559" s="25">
        <f>IF(AND(L559=1,E559&lt;&gt;""),SUBSTITUTE(SUBSTITUTE(SUBSTITUTE(SUBSTITUTE(SUBSTITUTE(SUBSTITUTE(SUBSTITUTE(SUBSTITUTE(SUBSTITUTE(SUBSTITUTE(SUBSTITUTE(SUBSTITUTE(LOWER(TRIM(E559)),"á","a"),"é","e"),"í","i"),"ó","o"),"ú","u"),"ü","u"),"ñ","n"),"à","a"),"è","e"),"ì","i"),"ò","o"),"ù","u"),"")</f>
        <v/>
      </c>
      <c r="R559" s="25">
        <f>IF(AND(L559=1,I559&lt;&gt;""),SUBSTITUTE(SUBSTITUTE(SUBSTITUTE(SUBSTITUTE(SUBSTITUTE(SUBSTITUTE(SUBSTITUTE(SUBSTITUTE(SUBSTITUTE(SUBSTITUTE(SUBSTITUTE(SUBSTITUTE(LOWER(TRIM(I559)),"á","a"),"é","e"),"í","i"),"ó","o"),"ú","u"),"ü","u"),"ñ","n"),"à","a"),"è","e"),"ì","i"),"ò","o"),"ù","u"),"")</f>
        <v/>
      </c>
      <c r="S559" s="25">
        <f>IF(R559="","",IF(OR(R559="si",R559="tal vez"),1,0))</f>
        <v/>
      </c>
      <c r="T559" s="25">
        <f>IF(AND(L559=1,D559&lt;&gt;""),IF(IFERROR(COUNTIFS(D$3:D559,"="&amp;SUBSTITUTE(SUBSTITUTE(SUBSTITUTE(D559,"~","~~"),"*","~*"),"?","~?"),L$3:L559,1),0)=1,MAX(T$2:T558)+1,""),"")</f>
        <v/>
      </c>
      <c r="U559" s="25">
        <f>IF(T559="","",COUNTIFS($D$3:$D$1002,"="&amp;SUBSTITUTE(SUBSTITUTE(SUBSTITUTE(D559,"~","~~"),"*","~*"),"?","~?"),$L$3:$L$1002,1)*10000-T559)</f>
        <v/>
      </c>
      <c r="V559" s="25">
        <f>IF(AND(L559=1,J559&lt;&gt;""),IF(IFERROR(COUNTIFS(J$3:J559,"="&amp;SUBSTITUTE(SUBSTITUTE(SUBSTITUTE(J559,"~","~~"),"*","~*"),"?","~?"),L$3:L559,1),0)=1,MAX(V$2:V558)+1,""),"")</f>
        <v/>
      </c>
      <c r="W559" s="25">
        <f>IF(V559="","",COUNTIFS($J$3:$J$1002,"="&amp;SUBSTITUTE(SUBSTITUTE(SUBSTITUTE(J559,"~","~~"),"*","~*"),"?","~?"),$L$3:$L$1002,1)*10000-V559)</f>
        <v/>
      </c>
    </row>
    <row r="560">
      <c r="A560">
        <f>IF(A$2=0,"",IFERROR(TRIM(INDEX('Pegar estudiantes'!$A$1:$BZ$1001,559,A$2)&amp;""),""))</f>
        <v/>
      </c>
      <c r="B560">
        <f>IF(B$2=0,"",IFERROR(TRIM(INDEX('Pegar estudiantes'!$A$1:$BZ$1001,559,B$2)&amp;""),""))</f>
        <v/>
      </c>
      <c r="C560">
        <f>IF(C$2=0,"",IFERROR(TRIM(INDEX('Pegar estudiantes'!$A$1:$BZ$1001,559,C$2)&amp;""),""))</f>
        <v/>
      </c>
      <c r="D560">
        <f>IF(D$2=0,"",IFERROR(TRIM(INDEX('Pegar estudiantes'!$A$1:$BZ$1001,559,D$2)&amp;""),""))</f>
        <v/>
      </c>
      <c r="E560">
        <f>IF(E$2=0,"",IFERROR(TRIM(INDEX('Pegar estudiantes'!$A$1:$BZ$1001,559,E$2)&amp;""),""))</f>
        <v/>
      </c>
      <c r="F560">
        <f>IF(F$2=0,"",IFERROR(TRIM(INDEX('Pegar estudiantes'!$A$1:$BZ$1001,559,F$2)&amp;""),""))</f>
        <v/>
      </c>
      <c r="G560">
        <f>IF(G$2=0,"",IFERROR(TRIM(INDEX('Pegar estudiantes'!$A$1:$BZ$1001,559,G$2)&amp;""),""))</f>
        <v/>
      </c>
      <c r="H560">
        <f>IF(H$2=0,"",IFERROR(TRIM(INDEX('Pegar estudiantes'!$A$1:$BZ$1001,559,H$2)&amp;""),""))</f>
        <v/>
      </c>
      <c r="I560">
        <f>IF(I$2=0,"",IFERROR(TRIM(INDEX('Pegar estudiantes'!$A$1:$BZ$1001,559,I$2)&amp;""),""))</f>
        <v/>
      </c>
      <c r="J560">
        <f>IF(J$2=0,"",IFERROR(TRIM(INDEX('Pegar estudiantes'!$A$1:$BZ$1001,559,J$2)&amp;""),""))</f>
        <v/>
      </c>
      <c r="K560">
        <f>IF(K$2=0,"",IFERROR(TRIM(INDEX('Pegar estudiantes'!$A$1:$BZ$1001,559,K$2)&amp;""),""))</f>
        <v/>
      </c>
      <c r="L560" s="25">
        <f>IF(A560&lt;&gt;"",1,"")</f>
        <v/>
      </c>
      <c r="M560" s="25">
        <f>IF(L560=1,IF(ISNUMBER(FIND("#"&amp;MID(A560,1,1)&amp;"#","#0#1#2#3#4#5#6#7#8#9#")),IF(ISNUMBER(FIND("#"&amp;MID(A560,2,1)&amp;"#","#0#1#2#3#4#5#6#7#8#9#")),IF(AND(VALUE(LEFT(A560,2))&gt;=1,VALUE(LEFT(A560,2))&lt;=5),VALUE(LEFT(A560,2)),""),IF(AND(VALUE(LEFT(A560,1))&gt;=1,VALUE(LEFT(A560,1))&lt;=5),VALUE(LEFT(A560,1)),"")),""),"")</f>
        <v/>
      </c>
      <c r="N560" s="25">
        <f>IF(L560=1,IF(ISNUMBER(FIND("#"&amp;MID(H560,1,1)&amp;"#","#0#1#2#3#4#5#6#7#8#9#")),IF(ISNUMBER(FIND("#"&amp;MID(H560,2,1)&amp;"#","#0#1#2#3#4#5#6#7#8#9#")),IF(AND(VALUE(LEFT(H560,2))&gt;=1,VALUE(LEFT(H560,2))&lt;=5),VALUE(LEFT(H560,2)),""),IF(AND(VALUE(LEFT(H560,1))&gt;=1,VALUE(LEFT(H560,1))&lt;=5),VALUE(LEFT(H560,1)),"")),""),"")</f>
        <v/>
      </c>
      <c r="O560" s="25">
        <f>IF(AND(L560=1,B560&lt;&gt;""),SUBSTITUTE(SUBSTITUTE(SUBSTITUTE(SUBSTITUTE(SUBSTITUTE(SUBSTITUTE(SUBSTITUTE(SUBSTITUTE(SUBSTITUTE(SUBSTITUTE(SUBSTITUTE(SUBSTITUTE(LOWER(TRIM(B560)),"á","a"),"é","e"),"í","i"),"ó","o"),"ú","u"),"ü","u"),"ñ","n"),"à","a"),"è","e"),"ì","i"),"ò","o"),"ù","u"),"")</f>
        <v/>
      </c>
      <c r="P560" s="25">
        <f>IF(AND(L560=1,C560&lt;&gt;""),SUBSTITUTE(SUBSTITUTE(SUBSTITUTE(SUBSTITUTE(SUBSTITUTE(SUBSTITUTE(SUBSTITUTE(SUBSTITUTE(SUBSTITUTE(SUBSTITUTE(SUBSTITUTE(SUBSTITUTE(LOWER(TRIM(C560)),"á","a"),"é","e"),"í","i"),"ó","o"),"ú","u"),"ü","u"),"ñ","n"),"à","a"),"è","e"),"ì","i"),"ò","o"),"ù","u"),"")</f>
        <v/>
      </c>
      <c r="Q560" s="25">
        <f>IF(AND(L560=1,E560&lt;&gt;""),SUBSTITUTE(SUBSTITUTE(SUBSTITUTE(SUBSTITUTE(SUBSTITUTE(SUBSTITUTE(SUBSTITUTE(SUBSTITUTE(SUBSTITUTE(SUBSTITUTE(SUBSTITUTE(SUBSTITUTE(LOWER(TRIM(E560)),"á","a"),"é","e"),"í","i"),"ó","o"),"ú","u"),"ü","u"),"ñ","n"),"à","a"),"è","e"),"ì","i"),"ò","o"),"ù","u"),"")</f>
        <v/>
      </c>
      <c r="R560" s="25">
        <f>IF(AND(L560=1,I560&lt;&gt;""),SUBSTITUTE(SUBSTITUTE(SUBSTITUTE(SUBSTITUTE(SUBSTITUTE(SUBSTITUTE(SUBSTITUTE(SUBSTITUTE(SUBSTITUTE(SUBSTITUTE(SUBSTITUTE(SUBSTITUTE(LOWER(TRIM(I560)),"á","a"),"é","e"),"í","i"),"ó","o"),"ú","u"),"ü","u"),"ñ","n"),"à","a"),"è","e"),"ì","i"),"ò","o"),"ù","u"),"")</f>
        <v/>
      </c>
      <c r="S560" s="25">
        <f>IF(R560="","",IF(OR(R560="si",R560="tal vez"),1,0))</f>
        <v/>
      </c>
      <c r="T560" s="25">
        <f>IF(AND(L560=1,D560&lt;&gt;""),IF(IFERROR(COUNTIFS(D$3:D560,"="&amp;SUBSTITUTE(SUBSTITUTE(SUBSTITUTE(D560,"~","~~"),"*","~*"),"?","~?"),L$3:L560,1),0)=1,MAX(T$2:T559)+1,""),"")</f>
        <v/>
      </c>
      <c r="U560" s="25">
        <f>IF(T560="","",COUNTIFS($D$3:$D$1002,"="&amp;SUBSTITUTE(SUBSTITUTE(SUBSTITUTE(D560,"~","~~"),"*","~*"),"?","~?"),$L$3:$L$1002,1)*10000-T560)</f>
        <v/>
      </c>
      <c r="V560" s="25">
        <f>IF(AND(L560=1,J560&lt;&gt;""),IF(IFERROR(COUNTIFS(J$3:J560,"="&amp;SUBSTITUTE(SUBSTITUTE(SUBSTITUTE(J560,"~","~~"),"*","~*"),"?","~?"),L$3:L560,1),0)=1,MAX(V$2:V559)+1,""),"")</f>
        <v/>
      </c>
      <c r="W560" s="25">
        <f>IF(V560="","",COUNTIFS($J$3:$J$1002,"="&amp;SUBSTITUTE(SUBSTITUTE(SUBSTITUTE(J560,"~","~~"),"*","~*"),"?","~?"),$L$3:$L$1002,1)*10000-V560)</f>
        <v/>
      </c>
    </row>
    <row r="561">
      <c r="A561">
        <f>IF(A$2=0,"",IFERROR(TRIM(INDEX('Pegar estudiantes'!$A$1:$BZ$1001,560,A$2)&amp;""),""))</f>
        <v/>
      </c>
      <c r="B561">
        <f>IF(B$2=0,"",IFERROR(TRIM(INDEX('Pegar estudiantes'!$A$1:$BZ$1001,560,B$2)&amp;""),""))</f>
        <v/>
      </c>
      <c r="C561">
        <f>IF(C$2=0,"",IFERROR(TRIM(INDEX('Pegar estudiantes'!$A$1:$BZ$1001,560,C$2)&amp;""),""))</f>
        <v/>
      </c>
      <c r="D561">
        <f>IF(D$2=0,"",IFERROR(TRIM(INDEX('Pegar estudiantes'!$A$1:$BZ$1001,560,D$2)&amp;""),""))</f>
        <v/>
      </c>
      <c r="E561">
        <f>IF(E$2=0,"",IFERROR(TRIM(INDEX('Pegar estudiantes'!$A$1:$BZ$1001,560,E$2)&amp;""),""))</f>
        <v/>
      </c>
      <c r="F561">
        <f>IF(F$2=0,"",IFERROR(TRIM(INDEX('Pegar estudiantes'!$A$1:$BZ$1001,560,F$2)&amp;""),""))</f>
        <v/>
      </c>
      <c r="G561">
        <f>IF(G$2=0,"",IFERROR(TRIM(INDEX('Pegar estudiantes'!$A$1:$BZ$1001,560,G$2)&amp;""),""))</f>
        <v/>
      </c>
      <c r="H561">
        <f>IF(H$2=0,"",IFERROR(TRIM(INDEX('Pegar estudiantes'!$A$1:$BZ$1001,560,H$2)&amp;""),""))</f>
        <v/>
      </c>
      <c r="I561">
        <f>IF(I$2=0,"",IFERROR(TRIM(INDEX('Pegar estudiantes'!$A$1:$BZ$1001,560,I$2)&amp;""),""))</f>
        <v/>
      </c>
      <c r="J561">
        <f>IF(J$2=0,"",IFERROR(TRIM(INDEX('Pegar estudiantes'!$A$1:$BZ$1001,560,J$2)&amp;""),""))</f>
        <v/>
      </c>
      <c r="K561">
        <f>IF(K$2=0,"",IFERROR(TRIM(INDEX('Pegar estudiantes'!$A$1:$BZ$1001,560,K$2)&amp;""),""))</f>
        <v/>
      </c>
      <c r="L561" s="25">
        <f>IF(A561&lt;&gt;"",1,"")</f>
        <v/>
      </c>
      <c r="M561" s="25">
        <f>IF(L561=1,IF(ISNUMBER(FIND("#"&amp;MID(A561,1,1)&amp;"#","#0#1#2#3#4#5#6#7#8#9#")),IF(ISNUMBER(FIND("#"&amp;MID(A561,2,1)&amp;"#","#0#1#2#3#4#5#6#7#8#9#")),IF(AND(VALUE(LEFT(A561,2))&gt;=1,VALUE(LEFT(A561,2))&lt;=5),VALUE(LEFT(A561,2)),""),IF(AND(VALUE(LEFT(A561,1))&gt;=1,VALUE(LEFT(A561,1))&lt;=5),VALUE(LEFT(A561,1)),"")),""),"")</f>
        <v/>
      </c>
      <c r="N561" s="25">
        <f>IF(L561=1,IF(ISNUMBER(FIND("#"&amp;MID(H561,1,1)&amp;"#","#0#1#2#3#4#5#6#7#8#9#")),IF(ISNUMBER(FIND("#"&amp;MID(H561,2,1)&amp;"#","#0#1#2#3#4#5#6#7#8#9#")),IF(AND(VALUE(LEFT(H561,2))&gt;=1,VALUE(LEFT(H561,2))&lt;=5),VALUE(LEFT(H561,2)),""),IF(AND(VALUE(LEFT(H561,1))&gt;=1,VALUE(LEFT(H561,1))&lt;=5),VALUE(LEFT(H561,1)),"")),""),"")</f>
        <v/>
      </c>
      <c r="O561" s="25">
        <f>IF(AND(L561=1,B561&lt;&gt;""),SUBSTITUTE(SUBSTITUTE(SUBSTITUTE(SUBSTITUTE(SUBSTITUTE(SUBSTITUTE(SUBSTITUTE(SUBSTITUTE(SUBSTITUTE(SUBSTITUTE(SUBSTITUTE(SUBSTITUTE(LOWER(TRIM(B561)),"á","a"),"é","e"),"í","i"),"ó","o"),"ú","u"),"ü","u"),"ñ","n"),"à","a"),"è","e"),"ì","i"),"ò","o"),"ù","u"),"")</f>
        <v/>
      </c>
      <c r="P561" s="25">
        <f>IF(AND(L561=1,C561&lt;&gt;""),SUBSTITUTE(SUBSTITUTE(SUBSTITUTE(SUBSTITUTE(SUBSTITUTE(SUBSTITUTE(SUBSTITUTE(SUBSTITUTE(SUBSTITUTE(SUBSTITUTE(SUBSTITUTE(SUBSTITUTE(LOWER(TRIM(C561)),"á","a"),"é","e"),"í","i"),"ó","o"),"ú","u"),"ü","u"),"ñ","n"),"à","a"),"è","e"),"ì","i"),"ò","o"),"ù","u"),"")</f>
        <v/>
      </c>
      <c r="Q561" s="25">
        <f>IF(AND(L561=1,E561&lt;&gt;""),SUBSTITUTE(SUBSTITUTE(SUBSTITUTE(SUBSTITUTE(SUBSTITUTE(SUBSTITUTE(SUBSTITUTE(SUBSTITUTE(SUBSTITUTE(SUBSTITUTE(SUBSTITUTE(SUBSTITUTE(LOWER(TRIM(E561)),"á","a"),"é","e"),"í","i"),"ó","o"),"ú","u"),"ü","u"),"ñ","n"),"à","a"),"è","e"),"ì","i"),"ò","o"),"ù","u"),"")</f>
        <v/>
      </c>
      <c r="R561" s="25">
        <f>IF(AND(L561=1,I561&lt;&gt;""),SUBSTITUTE(SUBSTITUTE(SUBSTITUTE(SUBSTITUTE(SUBSTITUTE(SUBSTITUTE(SUBSTITUTE(SUBSTITUTE(SUBSTITUTE(SUBSTITUTE(SUBSTITUTE(SUBSTITUTE(LOWER(TRIM(I561)),"á","a"),"é","e"),"í","i"),"ó","o"),"ú","u"),"ü","u"),"ñ","n"),"à","a"),"è","e"),"ì","i"),"ò","o"),"ù","u"),"")</f>
        <v/>
      </c>
      <c r="S561" s="25">
        <f>IF(R561="","",IF(OR(R561="si",R561="tal vez"),1,0))</f>
        <v/>
      </c>
      <c r="T561" s="25">
        <f>IF(AND(L561=1,D561&lt;&gt;""),IF(IFERROR(COUNTIFS(D$3:D561,"="&amp;SUBSTITUTE(SUBSTITUTE(SUBSTITUTE(D561,"~","~~"),"*","~*"),"?","~?"),L$3:L561,1),0)=1,MAX(T$2:T560)+1,""),"")</f>
        <v/>
      </c>
      <c r="U561" s="25">
        <f>IF(T561="","",COUNTIFS($D$3:$D$1002,"="&amp;SUBSTITUTE(SUBSTITUTE(SUBSTITUTE(D561,"~","~~"),"*","~*"),"?","~?"),$L$3:$L$1002,1)*10000-T561)</f>
        <v/>
      </c>
      <c r="V561" s="25">
        <f>IF(AND(L561=1,J561&lt;&gt;""),IF(IFERROR(COUNTIFS(J$3:J561,"="&amp;SUBSTITUTE(SUBSTITUTE(SUBSTITUTE(J561,"~","~~"),"*","~*"),"?","~?"),L$3:L561,1),0)=1,MAX(V$2:V560)+1,""),"")</f>
        <v/>
      </c>
      <c r="W561" s="25">
        <f>IF(V561="","",COUNTIFS($J$3:$J$1002,"="&amp;SUBSTITUTE(SUBSTITUTE(SUBSTITUTE(J561,"~","~~"),"*","~*"),"?","~?"),$L$3:$L$1002,1)*10000-V561)</f>
        <v/>
      </c>
    </row>
    <row r="562">
      <c r="A562">
        <f>IF(A$2=0,"",IFERROR(TRIM(INDEX('Pegar estudiantes'!$A$1:$BZ$1001,561,A$2)&amp;""),""))</f>
        <v/>
      </c>
      <c r="B562">
        <f>IF(B$2=0,"",IFERROR(TRIM(INDEX('Pegar estudiantes'!$A$1:$BZ$1001,561,B$2)&amp;""),""))</f>
        <v/>
      </c>
      <c r="C562">
        <f>IF(C$2=0,"",IFERROR(TRIM(INDEX('Pegar estudiantes'!$A$1:$BZ$1001,561,C$2)&amp;""),""))</f>
        <v/>
      </c>
      <c r="D562">
        <f>IF(D$2=0,"",IFERROR(TRIM(INDEX('Pegar estudiantes'!$A$1:$BZ$1001,561,D$2)&amp;""),""))</f>
        <v/>
      </c>
      <c r="E562">
        <f>IF(E$2=0,"",IFERROR(TRIM(INDEX('Pegar estudiantes'!$A$1:$BZ$1001,561,E$2)&amp;""),""))</f>
        <v/>
      </c>
      <c r="F562">
        <f>IF(F$2=0,"",IFERROR(TRIM(INDEX('Pegar estudiantes'!$A$1:$BZ$1001,561,F$2)&amp;""),""))</f>
        <v/>
      </c>
      <c r="G562">
        <f>IF(G$2=0,"",IFERROR(TRIM(INDEX('Pegar estudiantes'!$A$1:$BZ$1001,561,G$2)&amp;""),""))</f>
        <v/>
      </c>
      <c r="H562">
        <f>IF(H$2=0,"",IFERROR(TRIM(INDEX('Pegar estudiantes'!$A$1:$BZ$1001,561,H$2)&amp;""),""))</f>
        <v/>
      </c>
      <c r="I562">
        <f>IF(I$2=0,"",IFERROR(TRIM(INDEX('Pegar estudiantes'!$A$1:$BZ$1001,561,I$2)&amp;""),""))</f>
        <v/>
      </c>
      <c r="J562">
        <f>IF(J$2=0,"",IFERROR(TRIM(INDEX('Pegar estudiantes'!$A$1:$BZ$1001,561,J$2)&amp;""),""))</f>
        <v/>
      </c>
      <c r="K562">
        <f>IF(K$2=0,"",IFERROR(TRIM(INDEX('Pegar estudiantes'!$A$1:$BZ$1001,561,K$2)&amp;""),""))</f>
        <v/>
      </c>
      <c r="L562" s="25">
        <f>IF(A562&lt;&gt;"",1,"")</f>
        <v/>
      </c>
      <c r="M562" s="25">
        <f>IF(L562=1,IF(ISNUMBER(FIND("#"&amp;MID(A562,1,1)&amp;"#","#0#1#2#3#4#5#6#7#8#9#")),IF(ISNUMBER(FIND("#"&amp;MID(A562,2,1)&amp;"#","#0#1#2#3#4#5#6#7#8#9#")),IF(AND(VALUE(LEFT(A562,2))&gt;=1,VALUE(LEFT(A562,2))&lt;=5),VALUE(LEFT(A562,2)),""),IF(AND(VALUE(LEFT(A562,1))&gt;=1,VALUE(LEFT(A562,1))&lt;=5),VALUE(LEFT(A562,1)),"")),""),"")</f>
        <v/>
      </c>
      <c r="N562" s="25">
        <f>IF(L562=1,IF(ISNUMBER(FIND("#"&amp;MID(H562,1,1)&amp;"#","#0#1#2#3#4#5#6#7#8#9#")),IF(ISNUMBER(FIND("#"&amp;MID(H562,2,1)&amp;"#","#0#1#2#3#4#5#6#7#8#9#")),IF(AND(VALUE(LEFT(H562,2))&gt;=1,VALUE(LEFT(H562,2))&lt;=5),VALUE(LEFT(H562,2)),""),IF(AND(VALUE(LEFT(H562,1))&gt;=1,VALUE(LEFT(H562,1))&lt;=5),VALUE(LEFT(H562,1)),"")),""),"")</f>
        <v/>
      </c>
      <c r="O562" s="25">
        <f>IF(AND(L562=1,B562&lt;&gt;""),SUBSTITUTE(SUBSTITUTE(SUBSTITUTE(SUBSTITUTE(SUBSTITUTE(SUBSTITUTE(SUBSTITUTE(SUBSTITUTE(SUBSTITUTE(SUBSTITUTE(SUBSTITUTE(SUBSTITUTE(LOWER(TRIM(B562)),"á","a"),"é","e"),"í","i"),"ó","o"),"ú","u"),"ü","u"),"ñ","n"),"à","a"),"è","e"),"ì","i"),"ò","o"),"ù","u"),"")</f>
        <v/>
      </c>
      <c r="P562" s="25">
        <f>IF(AND(L562=1,C562&lt;&gt;""),SUBSTITUTE(SUBSTITUTE(SUBSTITUTE(SUBSTITUTE(SUBSTITUTE(SUBSTITUTE(SUBSTITUTE(SUBSTITUTE(SUBSTITUTE(SUBSTITUTE(SUBSTITUTE(SUBSTITUTE(LOWER(TRIM(C562)),"á","a"),"é","e"),"í","i"),"ó","o"),"ú","u"),"ü","u"),"ñ","n"),"à","a"),"è","e"),"ì","i"),"ò","o"),"ù","u"),"")</f>
        <v/>
      </c>
      <c r="Q562" s="25">
        <f>IF(AND(L562=1,E562&lt;&gt;""),SUBSTITUTE(SUBSTITUTE(SUBSTITUTE(SUBSTITUTE(SUBSTITUTE(SUBSTITUTE(SUBSTITUTE(SUBSTITUTE(SUBSTITUTE(SUBSTITUTE(SUBSTITUTE(SUBSTITUTE(LOWER(TRIM(E562)),"á","a"),"é","e"),"í","i"),"ó","o"),"ú","u"),"ü","u"),"ñ","n"),"à","a"),"è","e"),"ì","i"),"ò","o"),"ù","u"),"")</f>
        <v/>
      </c>
      <c r="R562" s="25">
        <f>IF(AND(L562=1,I562&lt;&gt;""),SUBSTITUTE(SUBSTITUTE(SUBSTITUTE(SUBSTITUTE(SUBSTITUTE(SUBSTITUTE(SUBSTITUTE(SUBSTITUTE(SUBSTITUTE(SUBSTITUTE(SUBSTITUTE(SUBSTITUTE(LOWER(TRIM(I562)),"á","a"),"é","e"),"í","i"),"ó","o"),"ú","u"),"ü","u"),"ñ","n"),"à","a"),"è","e"),"ì","i"),"ò","o"),"ù","u"),"")</f>
        <v/>
      </c>
      <c r="S562" s="25">
        <f>IF(R562="","",IF(OR(R562="si",R562="tal vez"),1,0))</f>
        <v/>
      </c>
      <c r="T562" s="25">
        <f>IF(AND(L562=1,D562&lt;&gt;""),IF(IFERROR(COUNTIFS(D$3:D562,"="&amp;SUBSTITUTE(SUBSTITUTE(SUBSTITUTE(D562,"~","~~"),"*","~*"),"?","~?"),L$3:L562,1),0)=1,MAX(T$2:T561)+1,""),"")</f>
        <v/>
      </c>
      <c r="U562" s="25">
        <f>IF(T562="","",COUNTIFS($D$3:$D$1002,"="&amp;SUBSTITUTE(SUBSTITUTE(SUBSTITUTE(D562,"~","~~"),"*","~*"),"?","~?"),$L$3:$L$1002,1)*10000-T562)</f>
        <v/>
      </c>
      <c r="V562" s="25">
        <f>IF(AND(L562=1,J562&lt;&gt;""),IF(IFERROR(COUNTIFS(J$3:J562,"="&amp;SUBSTITUTE(SUBSTITUTE(SUBSTITUTE(J562,"~","~~"),"*","~*"),"?","~?"),L$3:L562,1),0)=1,MAX(V$2:V561)+1,""),"")</f>
        <v/>
      </c>
      <c r="W562" s="25">
        <f>IF(V562="","",COUNTIFS($J$3:$J$1002,"="&amp;SUBSTITUTE(SUBSTITUTE(SUBSTITUTE(J562,"~","~~"),"*","~*"),"?","~?"),$L$3:$L$1002,1)*10000-V562)</f>
        <v/>
      </c>
    </row>
    <row r="563">
      <c r="A563">
        <f>IF(A$2=0,"",IFERROR(TRIM(INDEX('Pegar estudiantes'!$A$1:$BZ$1001,562,A$2)&amp;""),""))</f>
        <v/>
      </c>
      <c r="B563">
        <f>IF(B$2=0,"",IFERROR(TRIM(INDEX('Pegar estudiantes'!$A$1:$BZ$1001,562,B$2)&amp;""),""))</f>
        <v/>
      </c>
      <c r="C563">
        <f>IF(C$2=0,"",IFERROR(TRIM(INDEX('Pegar estudiantes'!$A$1:$BZ$1001,562,C$2)&amp;""),""))</f>
        <v/>
      </c>
      <c r="D563">
        <f>IF(D$2=0,"",IFERROR(TRIM(INDEX('Pegar estudiantes'!$A$1:$BZ$1001,562,D$2)&amp;""),""))</f>
        <v/>
      </c>
      <c r="E563">
        <f>IF(E$2=0,"",IFERROR(TRIM(INDEX('Pegar estudiantes'!$A$1:$BZ$1001,562,E$2)&amp;""),""))</f>
        <v/>
      </c>
      <c r="F563">
        <f>IF(F$2=0,"",IFERROR(TRIM(INDEX('Pegar estudiantes'!$A$1:$BZ$1001,562,F$2)&amp;""),""))</f>
        <v/>
      </c>
      <c r="G563">
        <f>IF(G$2=0,"",IFERROR(TRIM(INDEX('Pegar estudiantes'!$A$1:$BZ$1001,562,G$2)&amp;""),""))</f>
        <v/>
      </c>
      <c r="H563">
        <f>IF(H$2=0,"",IFERROR(TRIM(INDEX('Pegar estudiantes'!$A$1:$BZ$1001,562,H$2)&amp;""),""))</f>
        <v/>
      </c>
      <c r="I563">
        <f>IF(I$2=0,"",IFERROR(TRIM(INDEX('Pegar estudiantes'!$A$1:$BZ$1001,562,I$2)&amp;""),""))</f>
        <v/>
      </c>
      <c r="J563">
        <f>IF(J$2=0,"",IFERROR(TRIM(INDEX('Pegar estudiantes'!$A$1:$BZ$1001,562,J$2)&amp;""),""))</f>
        <v/>
      </c>
      <c r="K563">
        <f>IF(K$2=0,"",IFERROR(TRIM(INDEX('Pegar estudiantes'!$A$1:$BZ$1001,562,K$2)&amp;""),""))</f>
        <v/>
      </c>
      <c r="L563" s="25">
        <f>IF(A563&lt;&gt;"",1,"")</f>
        <v/>
      </c>
      <c r="M563" s="25">
        <f>IF(L563=1,IF(ISNUMBER(FIND("#"&amp;MID(A563,1,1)&amp;"#","#0#1#2#3#4#5#6#7#8#9#")),IF(ISNUMBER(FIND("#"&amp;MID(A563,2,1)&amp;"#","#0#1#2#3#4#5#6#7#8#9#")),IF(AND(VALUE(LEFT(A563,2))&gt;=1,VALUE(LEFT(A563,2))&lt;=5),VALUE(LEFT(A563,2)),""),IF(AND(VALUE(LEFT(A563,1))&gt;=1,VALUE(LEFT(A563,1))&lt;=5),VALUE(LEFT(A563,1)),"")),""),"")</f>
        <v/>
      </c>
      <c r="N563" s="25">
        <f>IF(L563=1,IF(ISNUMBER(FIND("#"&amp;MID(H563,1,1)&amp;"#","#0#1#2#3#4#5#6#7#8#9#")),IF(ISNUMBER(FIND("#"&amp;MID(H563,2,1)&amp;"#","#0#1#2#3#4#5#6#7#8#9#")),IF(AND(VALUE(LEFT(H563,2))&gt;=1,VALUE(LEFT(H563,2))&lt;=5),VALUE(LEFT(H563,2)),""),IF(AND(VALUE(LEFT(H563,1))&gt;=1,VALUE(LEFT(H563,1))&lt;=5),VALUE(LEFT(H563,1)),"")),""),"")</f>
        <v/>
      </c>
      <c r="O563" s="25">
        <f>IF(AND(L563=1,B563&lt;&gt;""),SUBSTITUTE(SUBSTITUTE(SUBSTITUTE(SUBSTITUTE(SUBSTITUTE(SUBSTITUTE(SUBSTITUTE(SUBSTITUTE(SUBSTITUTE(SUBSTITUTE(SUBSTITUTE(SUBSTITUTE(LOWER(TRIM(B563)),"á","a"),"é","e"),"í","i"),"ó","o"),"ú","u"),"ü","u"),"ñ","n"),"à","a"),"è","e"),"ì","i"),"ò","o"),"ù","u"),"")</f>
        <v/>
      </c>
      <c r="P563" s="25">
        <f>IF(AND(L563=1,C563&lt;&gt;""),SUBSTITUTE(SUBSTITUTE(SUBSTITUTE(SUBSTITUTE(SUBSTITUTE(SUBSTITUTE(SUBSTITUTE(SUBSTITUTE(SUBSTITUTE(SUBSTITUTE(SUBSTITUTE(SUBSTITUTE(LOWER(TRIM(C563)),"á","a"),"é","e"),"í","i"),"ó","o"),"ú","u"),"ü","u"),"ñ","n"),"à","a"),"è","e"),"ì","i"),"ò","o"),"ù","u"),"")</f>
        <v/>
      </c>
      <c r="Q563" s="25">
        <f>IF(AND(L563=1,E563&lt;&gt;""),SUBSTITUTE(SUBSTITUTE(SUBSTITUTE(SUBSTITUTE(SUBSTITUTE(SUBSTITUTE(SUBSTITUTE(SUBSTITUTE(SUBSTITUTE(SUBSTITUTE(SUBSTITUTE(SUBSTITUTE(LOWER(TRIM(E563)),"á","a"),"é","e"),"í","i"),"ó","o"),"ú","u"),"ü","u"),"ñ","n"),"à","a"),"è","e"),"ì","i"),"ò","o"),"ù","u"),"")</f>
        <v/>
      </c>
      <c r="R563" s="25">
        <f>IF(AND(L563=1,I563&lt;&gt;""),SUBSTITUTE(SUBSTITUTE(SUBSTITUTE(SUBSTITUTE(SUBSTITUTE(SUBSTITUTE(SUBSTITUTE(SUBSTITUTE(SUBSTITUTE(SUBSTITUTE(SUBSTITUTE(SUBSTITUTE(LOWER(TRIM(I563)),"á","a"),"é","e"),"í","i"),"ó","o"),"ú","u"),"ü","u"),"ñ","n"),"à","a"),"è","e"),"ì","i"),"ò","o"),"ù","u"),"")</f>
        <v/>
      </c>
      <c r="S563" s="25">
        <f>IF(R563="","",IF(OR(R563="si",R563="tal vez"),1,0))</f>
        <v/>
      </c>
      <c r="T563" s="25">
        <f>IF(AND(L563=1,D563&lt;&gt;""),IF(IFERROR(COUNTIFS(D$3:D563,"="&amp;SUBSTITUTE(SUBSTITUTE(SUBSTITUTE(D563,"~","~~"),"*","~*"),"?","~?"),L$3:L563,1),0)=1,MAX(T$2:T562)+1,""),"")</f>
        <v/>
      </c>
      <c r="U563" s="25">
        <f>IF(T563="","",COUNTIFS($D$3:$D$1002,"="&amp;SUBSTITUTE(SUBSTITUTE(SUBSTITUTE(D563,"~","~~"),"*","~*"),"?","~?"),$L$3:$L$1002,1)*10000-T563)</f>
        <v/>
      </c>
      <c r="V563" s="25">
        <f>IF(AND(L563=1,J563&lt;&gt;""),IF(IFERROR(COUNTIFS(J$3:J563,"="&amp;SUBSTITUTE(SUBSTITUTE(SUBSTITUTE(J563,"~","~~"),"*","~*"),"?","~?"),L$3:L563,1),0)=1,MAX(V$2:V562)+1,""),"")</f>
        <v/>
      </c>
      <c r="W563" s="25">
        <f>IF(V563="","",COUNTIFS($J$3:$J$1002,"="&amp;SUBSTITUTE(SUBSTITUTE(SUBSTITUTE(J563,"~","~~"),"*","~*"),"?","~?"),$L$3:$L$1002,1)*10000-V563)</f>
        <v/>
      </c>
    </row>
    <row r="564">
      <c r="A564">
        <f>IF(A$2=0,"",IFERROR(TRIM(INDEX('Pegar estudiantes'!$A$1:$BZ$1001,563,A$2)&amp;""),""))</f>
        <v/>
      </c>
      <c r="B564">
        <f>IF(B$2=0,"",IFERROR(TRIM(INDEX('Pegar estudiantes'!$A$1:$BZ$1001,563,B$2)&amp;""),""))</f>
        <v/>
      </c>
      <c r="C564">
        <f>IF(C$2=0,"",IFERROR(TRIM(INDEX('Pegar estudiantes'!$A$1:$BZ$1001,563,C$2)&amp;""),""))</f>
        <v/>
      </c>
      <c r="D564">
        <f>IF(D$2=0,"",IFERROR(TRIM(INDEX('Pegar estudiantes'!$A$1:$BZ$1001,563,D$2)&amp;""),""))</f>
        <v/>
      </c>
      <c r="E564">
        <f>IF(E$2=0,"",IFERROR(TRIM(INDEX('Pegar estudiantes'!$A$1:$BZ$1001,563,E$2)&amp;""),""))</f>
        <v/>
      </c>
      <c r="F564">
        <f>IF(F$2=0,"",IFERROR(TRIM(INDEX('Pegar estudiantes'!$A$1:$BZ$1001,563,F$2)&amp;""),""))</f>
        <v/>
      </c>
      <c r="G564">
        <f>IF(G$2=0,"",IFERROR(TRIM(INDEX('Pegar estudiantes'!$A$1:$BZ$1001,563,G$2)&amp;""),""))</f>
        <v/>
      </c>
      <c r="H564">
        <f>IF(H$2=0,"",IFERROR(TRIM(INDEX('Pegar estudiantes'!$A$1:$BZ$1001,563,H$2)&amp;""),""))</f>
        <v/>
      </c>
      <c r="I564">
        <f>IF(I$2=0,"",IFERROR(TRIM(INDEX('Pegar estudiantes'!$A$1:$BZ$1001,563,I$2)&amp;""),""))</f>
        <v/>
      </c>
      <c r="J564">
        <f>IF(J$2=0,"",IFERROR(TRIM(INDEX('Pegar estudiantes'!$A$1:$BZ$1001,563,J$2)&amp;""),""))</f>
        <v/>
      </c>
      <c r="K564">
        <f>IF(K$2=0,"",IFERROR(TRIM(INDEX('Pegar estudiantes'!$A$1:$BZ$1001,563,K$2)&amp;""),""))</f>
        <v/>
      </c>
      <c r="L564" s="25">
        <f>IF(A564&lt;&gt;"",1,"")</f>
        <v/>
      </c>
      <c r="M564" s="25">
        <f>IF(L564=1,IF(ISNUMBER(FIND("#"&amp;MID(A564,1,1)&amp;"#","#0#1#2#3#4#5#6#7#8#9#")),IF(ISNUMBER(FIND("#"&amp;MID(A564,2,1)&amp;"#","#0#1#2#3#4#5#6#7#8#9#")),IF(AND(VALUE(LEFT(A564,2))&gt;=1,VALUE(LEFT(A564,2))&lt;=5),VALUE(LEFT(A564,2)),""),IF(AND(VALUE(LEFT(A564,1))&gt;=1,VALUE(LEFT(A564,1))&lt;=5),VALUE(LEFT(A564,1)),"")),""),"")</f>
        <v/>
      </c>
      <c r="N564" s="25">
        <f>IF(L564=1,IF(ISNUMBER(FIND("#"&amp;MID(H564,1,1)&amp;"#","#0#1#2#3#4#5#6#7#8#9#")),IF(ISNUMBER(FIND("#"&amp;MID(H564,2,1)&amp;"#","#0#1#2#3#4#5#6#7#8#9#")),IF(AND(VALUE(LEFT(H564,2))&gt;=1,VALUE(LEFT(H564,2))&lt;=5),VALUE(LEFT(H564,2)),""),IF(AND(VALUE(LEFT(H564,1))&gt;=1,VALUE(LEFT(H564,1))&lt;=5),VALUE(LEFT(H564,1)),"")),""),"")</f>
        <v/>
      </c>
      <c r="O564" s="25">
        <f>IF(AND(L564=1,B564&lt;&gt;""),SUBSTITUTE(SUBSTITUTE(SUBSTITUTE(SUBSTITUTE(SUBSTITUTE(SUBSTITUTE(SUBSTITUTE(SUBSTITUTE(SUBSTITUTE(SUBSTITUTE(SUBSTITUTE(SUBSTITUTE(LOWER(TRIM(B564)),"á","a"),"é","e"),"í","i"),"ó","o"),"ú","u"),"ü","u"),"ñ","n"),"à","a"),"è","e"),"ì","i"),"ò","o"),"ù","u"),"")</f>
        <v/>
      </c>
      <c r="P564" s="25">
        <f>IF(AND(L564=1,C564&lt;&gt;""),SUBSTITUTE(SUBSTITUTE(SUBSTITUTE(SUBSTITUTE(SUBSTITUTE(SUBSTITUTE(SUBSTITUTE(SUBSTITUTE(SUBSTITUTE(SUBSTITUTE(SUBSTITUTE(SUBSTITUTE(LOWER(TRIM(C564)),"á","a"),"é","e"),"í","i"),"ó","o"),"ú","u"),"ü","u"),"ñ","n"),"à","a"),"è","e"),"ì","i"),"ò","o"),"ù","u"),"")</f>
        <v/>
      </c>
      <c r="Q564" s="25">
        <f>IF(AND(L564=1,E564&lt;&gt;""),SUBSTITUTE(SUBSTITUTE(SUBSTITUTE(SUBSTITUTE(SUBSTITUTE(SUBSTITUTE(SUBSTITUTE(SUBSTITUTE(SUBSTITUTE(SUBSTITUTE(SUBSTITUTE(SUBSTITUTE(LOWER(TRIM(E564)),"á","a"),"é","e"),"í","i"),"ó","o"),"ú","u"),"ü","u"),"ñ","n"),"à","a"),"è","e"),"ì","i"),"ò","o"),"ù","u"),"")</f>
        <v/>
      </c>
      <c r="R564" s="25">
        <f>IF(AND(L564=1,I564&lt;&gt;""),SUBSTITUTE(SUBSTITUTE(SUBSTITUTE(SUBSTITUTE(SUBSTITUTE(SUBSTITUTE(SUBSTITUTE(SUBSTITUTE(SUBSTITUTE(SUBSTITUTE(SUBSTITUTE(SUBSTITUTE(LOWER(TRIM(I564)),"á","a"),"é","e"),"í","i"),"ó","o"),"ú","u"),"ü","u"),"ñ","n"),"à","a"),"è","e"),"ì","i"),"ò","o"),"ù","u"),"")</f>
        <v/>
      </c>
      <c r="S564" s="25">
        <f>IF(R564="","",IF(OR(R564="si",R564="tal vez"),1,0))</f>
        <v/>
      </c>
      <c r="T564" s="25">
        <f>IF(AND(L564=1,D564&lt;&gt;""),IF(IFERROR(COUNTIFS(D$3:D564,"="&amp;SUBSTITUTE(SUBSTITUTE(SUBSTITUTE(D564,"~","~~"),"*","~*"),"?","~?"),L$3:L564,1),0)=1,MAX(T$2:T563)+1,""),"")</f>
        <v/>
      </c>
      <c r="U564" s="25">
        <f>IF(T564="","",COUNTIFS($D$3:$D$1002,"="&amp;SUBSTITUTE(SUBSTITUTE(SUBSTITUTE(D564,"~","~~"),"*","~*"),"?","~?"),$L$3:$L$1002,1)*10000-T564)</f>
        <v/>
      </c>
      <c r="V564" s="25">
        <f>IF(AND(L564=1,J564&lt;&gt;""),IF(IFERROR(COUNTIFS(J$3:J564,"="&amp;SUBSTITUTE(SUBSTITUTE(SUBSTITUTE(J564,"~","~~"),"*","~*"),"?","~?"),L$3:L564,1),0)=1,MAX(V$2:V563)+1,""),"")</f>
        <v/>
      </c>
      <c r="W564" s="25">
        <f>IF(V564="","",COUNTIFS($J$3:$J$1002,"="&amp;SUBSTITUTE(SUBSTITUTE(SUBSTITUTE(J564,"~","~~"),"*","~*"),"?","~?"),$L$3:$L$1002,1)*10000-V564)</f>
        <v/>
      </c>
    </row>
    <row r="565">
      <c r="A565">
        <f>IF(A$2=0,"",IFERROR(TRIM(INDEX('Pegar estudiantes'!$A$1:$BZ$1001,564,A$2)&amp;""),""))</f>
        <v/>
      </c>
      <c r="B565">
        <f>IF(B$2=0,"",IFERROR(TRIM(INDEX('Pegar estudiantes'!$A$1:$BZ$1001,564,B$2)&amp;""),""))</f>
        <v/>
      </c>
      <c r="C565">
        <f>IF(C$2=0,"",IFERROR(TRIM(INDEX('Pegar estudiantes'!$A$1:$BZ$1001,564,C$2)&amp;""),""))</f>
        <v/>
      </c>
      <c r="D565">
        <f>IF(D$2=0,"",IFERROR(TRIM(INDEX('Pegar estudiantes'!$A$1:$BZ$1001,564,D$2)&amp;""),""))</f>
        <v/>
      </c>
      <c r="E565">
        <f>IF(E$2=0,"",IFERROR(TRIM(INDEX('Pegar estudiantes'!$A$1:$BZ$1001,564,E$2)&amp;""),""))</f>
        <v/>
      </c>
      <c r="F565">
        <f>IF(F$2=0,"",IFERROR(TRIM(INDEX('Pegar estudiantes'!$A$1:$BZ$1001,564,F$2)&amp;""),""))</f>
        <v/>
      </c>
      <c r="G565">
        <f>IF(G$2=0,"",IFERROR(TRIM(INDEX('Pegar estudiantes'!$A$1:$BZ$1001,564,G$2)&amp;""),""))</f>
        <v/>
      </c>
      <c r="H565">
        <f>IF(H$2=0,"",IFERROR(TRIM(INDEX('Pegar estudiantes'!$A$1:$BZ$1001,564,H$2)&amp;""),""))</f>
        <v/>
      </c>
      <c r="I565">
        <f>IF(I$2=0,"",IFERROR(TRIM(INDEX('Pegar estudiantes'!$A$1:$BZ$1001,564,I$2)&amp;""),""))</f>
        <v/>
      </c>
      <c r="J565">
        <f>IF(J$2=0,"",IFERROR(TRIM(INDEX('Pegar estudiantes'!$A$1:$BZ$1001,564,J$2)&amp;""),""))</f>
        <v/>
      </c>
      <c r="K565">
        <f>IF(K$2=0,"",IFERROR(TRIM(INDEX('Pegar estudiantes'!$A$1:$BZ$1001,564,K$2)&amp;""),""))</f>
        <v/>
      </c>
      <c r="L565" s="25">
        <f>IF(A565&lt;&gt;"",1,"")</f>
        <v/>
      </c>
      <c r="M565" s="25">
        <f>IF(L565=1,IF(ISNUMBER(FIND("#"&amp;MID(A565,1,1)&amp;"#","#0#1#2#3#4#5#6#7#8#9#")),IF(ISNUMBER(FIND("#"&amp;MID(A565,2,1)&amp;"#","#0#1#2#3#4#5#6#7#8#9#")),IF(AND(VALUE(LEFT(A565,2))&gt;=1,VALUE(LEFT(A565,2))&lt;=5),VALUE(LEFT(A565,2)),""),IF(AND(VALUE(LEFT(A565,1))&gt;=1,VALUE(LEFT(A565,1))&lt;=5),VALUE(LEFT(A565,1)),"")),""),"")</f>
        <v/>
      </c>
      <c r="N565" s="25">
        <f>IF(L565=1,IF(ISNUMBER(FIND("#"&amp;MID(H565,1,1)&amp;"#","#0#1#2#3#4#5#6#7#8#9#")),IF(ISNUMBER(FIND("#"&amp;MID(H565,2,1)&amp;"#","#0#1#2#3#4#5#6#7#8#9#")),IF(AND(VALUE(LEFT(H565,2))&gt;=1,VALUE(LEFT(H565,2))&lt;=5),VALUE(LEFT(H565,2)),""),IF(AND(VALUE(LEFT(H565,1))&gt;=1,VALUE(LEFT(H565,1))&lt;=5),VALUE(LEFT(H565,1)),"")),""),"")</f>
        <v/>
      </c>
      <c r="O565" s="25">
        <f>IF(AND(L565=1,B565&lt;&gt;""),SUBSTITUTE(SUBSTITUTE(SUBSTITUTE(SUBSTITUTE(SUBSTITUTE(SUBSTITUTE(SUBSTITUTE(SUBSTITUTE(SUBSTITUTE(SUBSTITUTE(SUBSTITUTE(SUBSTITUTE(LOWER(TRIM(B565)),"á","a"),"é","e"),"í","i"),"ó","o"),"ú","u"),"ü","u"),"ñ","n"),"à","a"),"è","e"),"ì","i"),"ò","o"),"ù","u"),"")</f>
        <v/>
      </c>
      <c r="P565" s="25">
        <f>IF(AND(L565=1,C565&lt;&gt;""),SUBSTITUTE(SUBSTITUTE(SUBSTITUTE(SUBSTITUTE(SUBSTITUTE(SUBSTITUTE(SUBSTITUTE(SUBSTITUTE(SUBSTITUTE(SUBSTITUTE(SUBSTITUTE(SUBSTITUTE(LOWER(TRIM(C565)),"á","a"),"é","e"),"í","i"),"ó","o"),"ú","u"),"ü","u"),"ñ","n"),"à","a"),"è","e"),"ì","i"),"ò","o"),"ù","u"),"")</f>
        <v/>
      </c>
      <c r="Q565" s="25">
        <f>IF(AND(L565=1,E565&lt;&gt;""),SUBSTITUTE(SUBSTITUTE(SUBSTITUTE(SUBSTITUTE(SUBSTITUTE(SUBSTITUTE(SUBSTITUTE(SUBSTITUTE(SUBSTITUTE(SUBSTITUTE(SUBSTITUTE(SUBSTITUTE(LOWER(TRIM(E565)),"á","a"),"é","e"),"í","i"),"ó","o"),"ú","u"),"ü","u"),"ñ","n"),"à","a"),"è","e"),"ì","i"),"ò","o"),"ù","u"),"")</f>
        <v/>
      </c>
      <c r="R565" s="25">
        <f>IF(AND(L565=1,I565&lt;&gt;""),SUBSTITUTE(SUBSTITUTE(SUBSTITUTE(SUBSTITUTE(SUBSTITUTE(SUBSTITUTE(SUBSTITUTE(SUBSTITUTE(SUBSTITUTE(SUBSTITUTE(SUBSTITUTE(SUBSTITUTE(LOWER(TRIM(I565)),"á","a"),"é","e"),"í","i"),"ó","o"),"ú","u"),"ü","u"),"ñ","n"),"à","a"),"è","e"),"ì","i"),"ò","o"),"ù","u"),"")</f>
        <v/>
      </c>
      <c r="S565" s="25">
        <f>IF(R565="","",IF(OR(R565="si",R565="tal vez"),1,0))</f>
        <v/>
      </c>
      <c r="T565" s="25">
        <f>IF(AND(L565=1,D565&lt;&gt;""),IF(IFERROR(COUNTIFS(D$3:D565,"="&amp;SUBSTITUTE(SUBSTITUTE(SUBSTITUTE(D565,"~","~~"),"*","~*"),"?","~?"),L$3:L565,1),0)=1,MAX(T$2:T564)+1,""),"")</f>
        <v/>
      </c>
      <c r="U565" s="25">
        <f>IF(T565="","",COUNTIFS($D$3:$D$1002,"="&amp;SUBSTITUTE(SUBSTITUTE(SUBSTITUTE(D565,"~","~~"),"*","~*"),"?","~?"),$L$3:$L$1002,1)*10000-T565)</f>
        <v/>
      </c>
      <c r="V565" s="25">
        <f>IF(AND(L565=1,J565&lt;&gt;""),IF(IFERROR(COUNTIFS(J$3:J565,"="&amp;SUBSTITUTE(SUBSTITUTE(SUBSTITUTE(J565,"~","~~"),"*","~*"),"?","~?"),L$3:L565,1),0)=1,MAX(V$2:V564)+1,""),"")</f>
        <v/>
      </c>
      <c r="W565" s="25">
        <f>IF(V565="","",COUNTIFS($J$3:$J$1002,"="&amp;SUBSTITUTE(SUBSTITUTE(SUBSTITUTE(J565,"~","~~"),"*","~*"),"?","~?"),$L$3:$L$1002,1)*10000-V565)</f>
        <v/>
      </c>
    </row>
    <row r="566">
      <c r="A566">
        <f>IF(A$2=0,"",IFERROR(TRIM(INDEX('Pegar estudiantes'!$A$1:$BZ$1001,565,A$2)&amp;""),""))</f>
        <v/>
      </c>
      <c r="B566">
        <f>IF(B$2=0,"",IFERROR(TRIM(INDEX('Pegar estudiantes'!$A$1:$BZ$1001,565,B$2)&amp;""),""))</f>
        <v/>
      </c>
      <c r="C566">
        <f>IF(C$2=0,"",IFERROR(TRIM(INDEX('Pegar estudiantes'!$A$1:$BZ$1001,565,C$2)&amp;""),""))</f>
        <v/>
      </c>
      <c r="D566">
        <f>IF(D$2=0,"",IFERROR(TRIM(INDEX('Pegar estudiantes'!$A$1:$BZ$1001,565,D$2)&amp;""),""))</f>
        <v/>
      </c>
      <c r="E566">
        <f>IF(E$2=0,"",IFERROR(TRIM(INDEX('Pegar estudiantes'!$A$1:$BZ$1001,565,E$2)&amp;""),""))</f>
        <v/>
      </c>
      <c r="F566">
        <f>IF(F$2=0,"",IFERROR(TRIM(INDEX('Pegar estudiantes'!$A$1:$BZ$1001,565,F$2)&amp;""),""))</f>
        <v/>
      </c>
      <c r="G566">
        <f>IF(G$2=0,"",IFERROR(TRIM(INDEX('Pegar estudiantes'!$A$1:$BZ$1001,565,G$2)&amp;""),""))</f>
        <v/>
      </c>
      <c r="H566">
        <f>IF(H$2=0,"",IFERROR(TRIM(INDEX('Pegar estudiantes'!$A$1:$BZ$1001,565,H$2)&amp;""),""))</f>
        <v/>
      </c>
      <c r="I566">
        <f>IF(I$2=0,"",IFERROR(TRIM(INDEX('Pegar estudiantes'!$A$1:$BZ$1001,565,I$2)&amp;""),""))</f>
        <v/>
      </c>
      <c r="J566">
        <f>IF(J$2=0,"",IFERROR(TRIM(INDEX('Pegar estudiantes'!$A$1:$BZ$1001,565,J$2)&amp;""),""))</f>
        <v/>
      </c>
      <c r="K566">
        <f>IF(K$2=0,"",IFERROR(TRIM(INDEX('Pegar estudiantes'!$A$1:$BZ$1001,565,K$2)&amp;""),""))</f>
        <v/>
      </c>
      <c r="L566" s="25">
        <f>IF(A566&lt;&gt;"",1,"")</f>
        <v/>
      </c>
      <c r="M566" s="25">
        <f>IF(L566=1,IF(ISNUMBER(FIND("#"&amp;MID(A566,1,1)&amp;"#","#0#1#2#3#4#5#6#7#8#9#")),IF(ISNUMBER(FIND("#"&amp;MID(A566,2,1)&amp;"#","#0#1#2#3#4#5#6#7#8#9#")),IF(AND(VALUE(LEFT(A566,2))&gt;=1,VALUE(LEFT(A566,2))&lt;=5),VALUE(LEFT(A566,2)),""),IF(AND(VALUE(LEFT(A566,1))&gt;=1,VALUE(LEFT(A566,1))&lt;=5),VALUE(LEFT(A566,1)),"")),""),"")</f>
        <v/>
      </c>
      <c r="N566" s="25">
        <f>IF(L566=1,IF(ISNUMBER(FIND("#"&amp;MID(H566,1,1)&amp;"#","#0#1#2#3#4#5#6#7#8#9#")),IF(ISNUMBER(FIND("#"&amp;MID(H566,2,1)&amp;"#","#0#1#2#3#4#5#6#7#8#9#")),IF(AND(VALUE(LEFT(H566,2))&gt;=1,VALUE(LEFT(H566,2))&lt;=5),VALUE(LEFT(H566,2)),""),IF(AND(VALUE(LEFT(H566,1))&gt;=1,VALUE(LEFT(H566,1))&lt;=5),VALUE(LEFT(H566,1)),"")),""),"")</f>
        <v/>
      </c>
      <c r="O566" s="25">
        <f>IF(AND(L566=1,B566&lt;&gt;""),SUBSTITUTE(SUBSTITUTE(SUBSTITUTE(SUBSTITUTE(SUBSTITUTE(SUBSTITUTE(SUBSTITUTE(SUBSTITUTE(SUBSTITUTE(SUBSTITUTE(SUBSTITUTE(SUBSTITUTE(LOWER(TRIM(B566)),"á","a"),"é","e"),"í","i"),"ó","o"),"ú","u"),"ü","u"),"ñ","n"),"à","a"),"è","e"),"ì","i"),"ò","o"),"ù","u"),"")</f>
        <v/>
      </c>
      <c r="P566" s="25">
        <f>IF(AND(L566=1,C566&lt;&gt;""),SUBSTITUTE(SUBSTITUTE(SUBSTITUTE(SUBSTITUTE(SUBSTITUTE(SUBSTITUTE(SUBSTITUTE(SUBSTITUTE(SUBSTITUTE(SUBSTITUTE(SUBSTITUTE(SUBSTITUTE(LOWER(TRIM(C566)),"á","a"),"é","e"),"í","i"),"ó","o"),"ú","u"),"ü","u"),"ñ","n"),"à","a"),"è","e"),"ì","i"),"ò","o"),"ù","u"),"")</f>
        <v/>
      </c>
      <c r="Q566" s="25">
        <f>IF(AND(L566=1,E566&lt;&gt;""),SUBSTITUTE(SUBSTITUTE(SUBSTITUTE(SUBSTITUTE(SUBSTITUTE(SUBSTITUTE(SUBSTITUTE(SUBSTITUTE(SUBSTITUTE(SUBSTITUTE(SUBSTITUTE(SUBSTITUTE(LOWER(TRIM(E566)),"á","a"),"é","e"),"í","i"),"ó","o"),"ú","u"),"ü","u"),"ñ","n"),"à","a"),"è","e"),"ì","i"),"ò","o"),"ù","u"),"")</f>
        <v/>
      </c>
      <c r="R566" s="25">
        <f>IF(AND(L566=1,I566&lt;&gt;""),SUBSTITUTE(SUBSTITUTE(SUBSTITUTE(SUBSTITUTE(SUBSTITUTE(SUBSTITUTE(SUBSTITUTE(SUBSTITUTE(SUBSTITUTE(SUBSTITUTE(SUBSTITUTE(SUBSTITUTE(LOWER(TRIM(I566)),"á","a"),"é","e"),"í","i"),"ó","o"),"ú","u"),"ü","u"),"ñ","n"),"à","a"),"è","e"),"ì","i"),"ò","o"),"ù","u"),"")</f>
        <v/>
      </c>
      <c r="S566" s="25">
        <f>IF(R566="","",IF(OR(R566="si",R566="tal vez"),1,0))</f>
        <v/>
      </c>
      <c r="T566" s="25">
        <f>IF(AND(L566=1,D566&lt;&gt;""),IF(IFERROR(COUNTIFS(D$3:D566,"="&amp;SUBSTITUTE(SUBSTITUTE(SUBSTITUTE(D566,"~","~~"),"*","~*"),"?","~?"),L$3:L566,1),0)=1,MAX(T$2:T565)+1,""),"")</f>
        <v/>
      </c>
      <c r="U566" s="25">
        <f>IF(T566="","",COUNTIFS($D$3:$D$1002,"="&amp;SUBSTITUTE(SUBSTITUTE(SUBSTITUTE(D566,"~","~~"),"*","~*"),"?","~?"),$L$3:$L$1002,1)*10000-T566)</f>
        <v/>
      </c>
      <c r="V566" s="25">
        <f>IF(AND(L566=1,J566&lt;&gt;""),IF(IFERROR(COUNTIFS(J$3:J566,"="&amp;SUBSTITUTE(SUBSTITUTE(SUBSTITUTE(J566,"~","~~"),"*","~*"),"?","~?"),L$3:L566,1),0)=1,MAX(V$2:V565)+1,""),"")</f>
        <v/>
      </c>
      <c r="W566" s="25">
        <f>IF(V566="","",COUNTIFS($J$3:$J$1002,"="&amp;SUBSTITUTE(SUBSTITUTE(SUBSTITUTE(J566,"~","~~"),"*","~*"),"?","~?"),$L$3:$L$1002,1)*10000-V566)</f>
        <v/>
      </c>
    </row>
    <row r="567">
      <c r="A567">
        <f>IF(A$2=0,"",IFERROR(TRIM(INDEX('Pegar estudiantes'!$A$1:$BZ$1001,566,A$2)&amp;""),""))</f>
        <v/>
      </c>
      <c r="B567">
        <f>IF(B$2=0,"",IFERROR(TRIM(INDEX('Pegar estudiantes'!$A$1:$BZ$1001,566,B$2)&amp;""),""))</f>
        <v/>
      </c>
      <c r="C567">
        <f>IF(C$2=0,"",IFERROR(TRIM(INDEX('Pegar estudiantes'!$A$1:$BZ$1001,566,C$2)&amp;""),""))</f>
        <v/>
      </c>
      <c r="D567">
        <f>IF(D$2=0,"",IFERROR(TRIM(INDEX('Pegar estudiantes'!$A$1:$BZ$1001,566,D$2)&amp;""),""))</f>
        <v/>
      </c>
      <c r="E567">
        <f>IF(E$2=0,"",IFERROR(TRIM(INDEX('Pegar estudiantes'!$A$1:$BZ$1001,566,E$2)&amp;""),""))</f>
        <v/>
      </c>
      <c r="F567">
        <f>IF(F$2=0,"",IFERROR(TRIM(INDEX('Pegar estudiantes'!$A$1:$BZ$1001,566,F$2)&amp;""),""))</f>
        <v/>
      </c>
      <c r="G567">
        <f>IF(G$2=0,"",IFERROR(TRIM(INDEX('Pegar estudiantes'!$A$1:$BZ$1001,566,G$2)&amp;""),""))</f>
        <v/>
      </c>
      <c r="H567">
        <f>IF(H$2=0,"",IFERROR(TRIM(INDEX('Pegar estudiantes'!$A$1:$BZ$1001,566,H$2)&amp;""),""))</f>
        <v/>
      </c>
      <c r="I567">
        <f>IF(I$2=0,"",IFERROR(TRIM(INDEX('Pegar estudiantes'!$A$1:$BZ$1001,566,I$2)&amp;""),""))</f>
        <v/>
      </c>
      <c r="J567">
        <f>IF(J$2=0,"",IFERROR(TRIM(INDEX('Pegar estudiantes'!$A$1:$BZ$1001,566,J$2)&amp;""),""))</f>
        <v/>
      </c>
      <c r="K567">
        <f>IF(K$2=0,"",IFERROR(TRIM(INDEX('Pegar estudiantes'!$A$1:$BZ$1001,566,K$2)&amp;""),""))</f>
        <v/>
      </c>
      <c r="L567" s="25">
        <f>IF(A567&lt;&gt;"",1,"")</f>
        <v/>
      </c>
      <c r="M567" s="25">
        <f>IF(L567=1,IF(ISNUMBER(FIND("#"&amp;MID(A567,1,1)&amp;"#","#0#1#2#3#4#5#6#7#8#9#")),IF(ISNUMBER(FIND("#"&amp;MID(A567,2,1)&amp;"#","#0#1#2#3#4#5#6#7#8#9#")),IF(AND(VALUE(LEFT(A567,2))&gt;=1,VALUE(LEFT(A567,2))&lt;=5),VALUE(LEFT(A567,2)),""),IF(AND(VALUE(LEFT(A567,1))&gt;=1,VALUE(LEFT(A567,1))&lt;=5),VALUE(LEFT(A567,1)),"")),""),"")</f>
        <v/>
      </c>
      <c r="N567" s="25">
        <f>IF(L567=1,IF(ISNUMBER(FIND("#"&amp;MID(H567,1,1)&amp;"#","#0#1#2#3#4#5#6#7#8#9#")),IF(ISNUMBER(FIND("#"&amp;MID(H567,2,1)&amp;"#","#0#1#2#3#4#5#6#7#8#9#")),IF(AND(VALUE(LEFT(H567,2))&gt;=1,VALUE(LEFT(H567,2))&lt;=5),VALUE(LEFT(H567,2)),""),IF(AND(VALUE(LEFT(H567,1))&gt;=1,VALUE(LEFT(H567,1))&lt;=5),VALUE(LEFT(H567,1)),"")),""),"")</f>
        <v/>
      </c>
      <c r="O567" s="25">
        <f>IF(AND(L567=1,B567&lt;&gt;""),SUBSTITUTE(SUBSTITUTE(SUBSTITUTE(SUBSTITUTE(SUBSTITUTE(SUBSTITUTE(SUBSTITUTE(SUBSTITUTE(SUBSTITUTE(SUBSTITUTE(SUBSTITUTE(SUBSTITUTE(LOWER(TRIM(B567)),"á","a"),"é","e"),"í","i"),"ó","o"),"ú","u"),"ü","u"),"ñ","n"),"à","a"),"è","e"),"ì","i"),"ò","o"),"ù","u"),"")</f>
        <v/>
      </c>
      <c r="P567" s="25">
        <f>IF(AND(L567=1,C567&lt;&gt;""),SUBSTITUTE(SUBSTITUTE(SUBSTITUTE(SUBSTITUTE(SUBSTITUTE(SUBSTITUTE(SUBSTITUTE(SUBSTITUTE(SUBSTITUTE(SUBSTITUTE(SUBSTITUTE(SUBSTITUTE(LOWER(TRIM(C567)),"á","a"),"é","e"),"í","i"),"ó","o"),"ú","u"),"ü","u"),"ñ","n"),"à","a"),"è","e"),"ì","i"),"ò","o"),"ù","u"),"")</f>
        <v/>
      </c>
      <c r="Q567" s="25">
        <f>IF(AND(L567=1,E567&lt;&gt;""),SUBSTITUTE(SUBSTITUTE(SUBSTITUTE(SUBSTITUTE(SUBSTITUTE(SUBSTITUTE(SUBSTITUTE(SUBSTITUTE(SUBSTITUTE(SUBSTITUTE(SUBSTITUTE(SUBSTITUTE(LOWER(TRIM(E567)),"á","a"),"é","e"),"í","i"),"ó","o"),"ú","u"),"ü","u"),"ñ","n"),"à","a"),"è","e"),"ì","i"),"ò","o"),"ù","u"),"")</f>
        <v/>
      </c>
      <c r="R567" s="25">
        <f>IF(AND(L567=1,I567&lt;&gt;""),SUBSTITUTE(SUBSTITUTE(SUBSTITUTE(SUBSTITUTE(SUBSTITUTE(SUBSTITUTE(SUBSTITUTE(SUBSTITUTE(SUBSTITUTE(SUBSTITUTE(SUBSTITUTE(SUBSTITUTE(LOWER(TRIM(I567)),"á","a"),"é","e"),"í","i"),"ó","o"),"ú","u"),"ü","u"),"ñ","n"),"à","a"),"è","e"),"ì","i"),"ò","o"),"ù","u"),"")</f>
        <v/>
      </c>
      <c r="S567" s="25">
        <f>IF(R567="","",IF(OR(R567="si",R567="tal vez"),1,0))</f>
        <v/>
      </c>
      <c r="T567" s="25">
        <f>IF(AND(L567=1,D567&lt;&gt;""),IF(IFERROR(COUNTIFS(D$3:D567,"="&amp;SUBSTITUTE(SUBSTITUTE(SUBSTITUTE(D567,"~","~~"),"*","~*"),"?","~?"),L$3:L567,1),0)=1,MAX(T$2:T566)+1,""),"")</f>
        <v/>
      </c>
      <c r="U567" s="25">
        <f>IF(T567="","",COUNTIFS($D$3:$D$1002,"="&amp;SUBSTITUTE(SUBSTITUTE(SUBSTITUTE(D567,"~","~~"),"*","~*"),"?","~?"),$L$3:$L$1002,1)*10000-T567)</f>
        <v/>
      </c>
      <c r="V567" s="25">
        <f>IF(AND(L567=1,J567&lt;&gt;""),IF(IFERROR(COUNTIFS(J$3:J567,"="&amp;SUBSTITUTE(SUBSTITUTE(SUBSTITUTE(J567,"~","~~"),"*","~*"),"?","~?"),L$3:L567,1),0)=1,MAX(V$2:V566)+1,""),"")</f>
        <v/>
      </c>
      <c r="W567" s="25">
        <f>IF(V567="","",COUNTIFS($J$3:$J$1002,"="&amp;SUBSTITUTE(SUBSTITUTE(SUBSTITUTE(J567,"~","~~"),"*","~*"),"?","~?"),$L$3:$L$1002,1)*10000-V567)</f>
        <v/>
      </c>
    </row>
    <row r="568">
      <c r="A568">
        <f>IF(A$2=0,"",IFERROR(TRIM(INDEX('Pegar estudiantes'!$A$1:$BZ$1001,567,A$2)&amp;""),""))</f>
        <v/>
      </c>
      <c r="B568">
        <f>IF(B$2=0,"",IFERROR(TRIM(INDEX('Pegar estudiantes'!$A$1:$BZ$1001,567,B$2)&amp;""),""))</f>
        <v/>
      </c>
      <c r="C568">
        <f>IF(C$2=0,"",IFERROR(TRIM(INDEX('Pegar estudiantes'!$A$1:$BZ$1001,567,C$2)&amp;""),""))</f>
        <v/>
      </c>
      <c r="D568">
        <f>IF(D$2=0,"",IFERROR(TRIM(INDEX('Pegar estudiantes'!$A$1:$BZ$1001,567,D$2)&amp;""),""))</f>
        <v/>
      </c>
      <c r="E568">
        <f>IF(E$2=0,"",IFERROR(TRIM(INDEX('Pegar estudiantes'!$A$1:$BZ$1001,567,E$2)&amp;""),""))</f>
        <v/>
      </c>
      <c r="F568">
        <f>IF(F$2=0,"",IFERROR(TRIM(INDEX('Pegar estudiantes'!$A$1:$BZ$1001,567,F$2)&amp;""),""))</f>
        <v/>
      </c>
      <c r="G568">
        <f>IF(G$2=0,"",IFERROR(TRIM(INDEX('Pegar estudiantes'!$A$1:$BZ$1001,567,G$2)&amp;""),""))</f>
        <v/>
      </c>
      <c r="H568">
        <f>IF(H$2=0,"",IFERROR(TRIM(INDEX('Pegar estudiantes'!$A$1:$BZ$1001,567,H$2)&amp;""),""))</f>
        <v/>
      </c>
      <c r="I568">
        <f>IF(I$2=0,"",IFERROR(TRIM(INDEX('Pegar estudiantes'!$A$1:$BZ$1001,567,I$2)&amp;""),""))</f>
        <v/>
      </c>
      <c r="J568">
        <f>IF(J$2=0,"",IFERROR(TRIM(INDEX('Pegar estudiantes'!$A$1:$BZ$1001,567,J$2)&amp;""),""))</f>
        <v/>
      </c>
      <c r="K568">
        <f>IF(K$2=0,"",IFERROR(TRIM(INDEX('Pegar estudiantes'!$A$1:$BZ$1001,567,K$2)&amp;""),""))</f>
        <v/>
      </c>
      <c r="L568" s="25">
        <f>IF(A568&lt;&gt;"",1,"")</f>
        <v/>
      </c>
      <c r="M568" s="25">
        <f>IF(L568=1,IF(ISNUMBER(FIND("#"&amp;MID(A568,1,1)&amp;"#","#0#1#2#3#4#5#6#7#8#9#")),IF(ISNUMBER(FIND("#"&amp;MID(A568,2,1)&amp;"#","#0#1#2#3#4#5#6#7#8#9#")),IF(AND(VALUE(LEFT(A568,2))&gt;=1,VALUE(LEFT(A568,2))&lt;=5),VALUE(LEFT(A568,2)),""),IF(AND(VALUE(LEFT(A568,1))&gt;=1,VALUE(LEFT(A568,1))&lt;=5),VALUE(LEFT(A568,1)),"")),""),"")</f>
        <v/>
      </c>
      <c r="N568" s="25">
        <f>IF(L568=1,IF(ISNUMBER(FIND("#"&amp;MID(H568,1,1)&amp;"#","#0#1#2#3#4#5#6#7#8#9#")),IF(ISNUMBER(FIND("#"&amp;MID(H568,2,1)&amp;"#","#0#1#2#3#4#5#6#7#8#9#")),IF(AND(VALUE(LEFT(H568,2))&gt;=1,VALUE(LEFT(H568,2))&lt;=5),VALUE(LEFT(H568,2)),""),IF(AND(VALUE(LEFT(H568,1))&gt;=1,VALUE(LEFT(H568,1))&lt;=5),VALUE(LEFT(H568,1)),"")),""),"")</f>
        <v/>
      </c>
      <c r="O568" s="25">
        <f>IF(AND(L568=1,B568&lt;&gt;""),SUBSTITUTE(SUBSTITUTE(SUBSTITUTE(SUBSTITUTE(SUBSTITUTE(SUBSTITUTE(SUBSTITUTE(SUBSTITUTE(SUBSTITUTE(SUBSTITUTE(SUBSTITUTE(SUBSTITUTE(LOWER(TRIM(B568)),"á","a"),"é","e"),"í","i"),"ó","o"),"ú","u"),"ü","u"),"ñ","n"),"à","a"),"è","e"),"ì","i"),"ò","o"),"ù","u"),"")</f>
        <v/>
      </c>
      <c r="P568" s="25">
        <f>IF(AND(L568=1,C568&lt;&gt;""),SUBSTITUTE(SUBSTITUTE(SUBSTITUTE(SUBSTITUTE(SUBSTITUTE(SUBSTITUTE(SUBSTITUTE(SUBSTITUTE(SUBSTITUTE(SUBSTITUTE(SUBSTITUTE(SUBSTITUTE(LOWER(TRIM(C568)),"á","a"),"é","e"),"í","i"),"ó","o"),"ú","u"),"ü","u"),"ñ","n"),"à","a"),"è","e"),"ì","i"),"ò","o"),"ù","u"),"")</f>
        <v/>
      </c>
      <c r="Q568" s="25">
        <f>IF(AND(L568=1,E568&lt;&gt;""),SUBSTITUTE(SUBSTITUTE(SUBSTITUTE(SUBSTITUTE(SUBSTITUTE(SUBSTITUTE(SUBSTITUTE(SUBSTITUTE(SUBSTITUTE(SUBSTITUTE(SUBSTITUTE(SUBSTITUTE(LOWER(TRIM(E568)),"á","a"),"é","e"),"í","i"),"ó","o"),"ú","u"),"ü","u"),"ñ","n"),"à","a"),"è","e"),"ì","i"),"ò","o"),"ù","u"),"")</f>
        <v/>
      </c>
      <c r="R568" s="25">
        <f>IF(AND(L568=1,I568&lt;&gt;""),SUBSTITUTE(SUBSTITUTE(SUBSTITUTE(SUBSTITUTE(SUBSTITUTE(SUBSTITUTE(SUBSTITUTE(SUBSTITUTE(SUBSTITUTE(SUBSTITUTE(SUBSTITUTE(SUBSTITUTE(LOWER(TRIM(I568)),"á","a"),"é","e"),"í","i"),"ó","o"),"ú","u"),"ü","u"),"ñ","n"),"à","a"),"è","e"),"ì","i"),"ò","o"),"ù","u"),"")</f>
        <v/>
      </c>
      <c r="S568" s="25">
        <f>IF(R568="","",IF(OR(R568="si",R568="tal vez"),1,0))</f>
        <v/>
      </c>
      <c r="T568" s="25">
        <f>IF(AND(L568=1,D568&lt;&gt;""),IF(IFERROR(COUNTIFS(D$3:D568,"="&amp;SUBSTITUTE(SUBSTITUTE(SUBSTITUTE(D568,"~","~~"),"*","~*"),"?","~?"),L$3:L568,1),0)=1,MAX(T$2:T567)+1,""),"")</f>
        <v/>
      </c>
      <c r="U568" s="25">
        <f>IF(T568="","",COUNTIFS($D$3:$D$1002,"="&amp;SUBSTITUTE(SUBSTITUTE(SUBSTITUTE(D568,"~","~~"),"*","~*"),"?","~?"),$L$3:$L$1002,1)*10000-T568)</f>
        <v/>
      </c>
      <c r="V568" s="25">
        <f>IF(AND(L568=1,J568&lt;&gt;""),IF(IFERROR(COUNTIFS(J$3:J568,"="&amp;SUBSTITUTE(SUBSTITUTE(SUBSTITUTE(J568,"~","~~"),"*","~*"),"?","~?"),L$3:L568,1),0)=1,MAX(V$2:V567)+1,""),"")</f>
        <v/>
      </c>
      <c r="W568" s="25">
        <f>IF(V568="","",COUNTIFS($J$3:$J$1002,"="&amp;SUBSTITUTE(SUBSTITUTE(SUBSTITUTE(J568,"~","~~"),"*","~*"),"?","~?"),$L$3:$L$1002,1)*10000-V568)</f>
        <v/>
      </c>
    </row>
    <row r="569">
      <c r="A569">
        <f>IF(A$2=0,"",IFERROR(TRIM(INDEX('Pegar estudiantes'!$A$1:$BZ$1001,568,A$2)&amp;""),""))</f>
        <v/>
      </c>
      <c r="B569">
        <f>IF(B$2=0,"",IFERROR(TRIM(INDEX('Pegar estudiantes'!$A$1:$BZ$1001,568,B$2)&amp;""),""))</f>
        <v/>
      </c>
      <c r="C569">
        <f>IF(C$2=0,"",IFERROR(TRIM(INDEX('Pegar estudiantes'!$A$1:$BZ$1001,568,C$2)&amp;""),""))</f>
        <v/>
      </c>
      <c r="D569">
        <f>IF(D$2=0,"",IFERROR(TRIM(INDEX('Pegar estudiantes'!$A$1:$BZ$1001,568,D$2)&amp;""),""))</f>
        <v/>
      </c>
      <c r="E569">
        <f>IF(E$2=0,"",IFERROR(TRIM(INDEX('Pegar estudiantes'!$A$1:$BZ$1001,568,E$2)&amp;""),""))</f>
        <v/>
      </c>
      <c r="F569">
        <f>IF(F$2=0,"",IFERROR(TRIM(INDEX('Pegar estudiantes'!$A$1:$BZ$1001,568,F$2)&amp;""),""))</f>
        <v/>
      </c>
      <c r="G569">
        <f>IF(G$2=0,"",IFERROR(TRIM(INDEX('Pegar estudiantes'!$A$1:$BZ$1001,568,G$2)&amp;""),""))</f>
        <v/>
      </c>
      <c r="H569">
        <f>IF(H$2=0,"",IFERROR(TRIM(INDEX('Pegar estudiantes'!$A$1:$BZ$1001,568,H$2)&amp;""),""))</f>
        <v/>
      </c>
      <c r="I569">
        <f>IF(I$2=0,"",IFERROR(TRIM(INDEX('Pegar estudiantes'!$A$1:$BZ$1001,568,I$2)&amp;""),""))</f>
        <v/>
      </c>
      <c r="J569">
        <f>IF(J$2=0,"",IFERROR(TRIM(INDEX('Pegar estudiantes'!$A$1:$BZ$1001,568,J$2)&amp;""),""))</f>
        <v/>
      </c>
      <c r="K569">
        <f>IF(K$2=0,"",IFERROR(TRIM(INDEX('Pegar estudiantes'!$A$1:$BZ$1001,568,K$2)&amp;""),""))</f>
        <v/>
      </c>
      <c r="L569" s="25">
        <f>IF(A569&lt;&gt;"",1,"")</f>
        <v/>
      </c>
      <c r="M569" s="25">
        <f>IF(L569=1,IF(ISNUMBER(FIND("#"&amp;MID(A569,1,1)&amp;"#","#0#1#2#3#4#5#6#7#8#9#")),IF(ISNUMBER(FIND("#"&amp;MID(A569,2,1)&amp;"#","#0#1#2#3#4#5#6#7#8#9#")),IF(AND(VALUE(LEFT(A569,2))&gt;=1,VALUE(LEFT(A569,2))&lt;=5),VALUE(LEFT(A569,2)),""),IF(AND(VALUE(LEFT(A569,1))&gt;=1,VALUE(LEFT(A569,1))&lt;=5),VALUE(LEFT(A569,1)),"")),""),"")</f>
        <v/>
      </c>
      <c r="N569" s="25">
        <f>IF(L569=1,IF(ISNUMBER(FIND("#"&amp;MID(H569,1,1)&amp;"#","#0#1#2#3#4#5#6#7#8#9#")),IF(ISNUMBER(FIND("#"&amp;MID(H569,2,1)&amp;"#","#0#1#2#3#4#5#6#7#8#9#")),IF(AND(VALUE(LEFT(H569,2))&gt;=1,VALUE(LEFT(H569,2))&lt;=5),VALUE(LEFT(H569,2)),""),IF(AND(VALUE(LEFT(H569,1))&gt;=1,VALUE(LEFT(H569,1))&lt;=5),VALUE(LEFT(H569,1)),"")),""),"")</f>
        <v/>
      </c>
      <c r="O569" s="25">
        <f>IF(AND(L569=1,B569&lt;&gt;""),SUBSTITUTE(SUBSTITUTE(SUBSTITUTE(SUBSTITUTE(SUBSTITUTE(SUBSTITUTE(SUBSTITUTE(SUBSTITUTE(SUBSTITUTE(SUBSTITUTE(SUBSTITUTE(SUBSTITUTE(LOWER(TRIM(B569)),"á","a"),"é","e"),"í","i"),"ó","o"),"ú","u"),"ü","u"),"ñ","n"),"à","a"),"è","e"),"ì","i"),"ò","o"),"ù","u"),"")</f>
        <v/>
      </c>
      <c r="P569" s="25">
        <f>IF(AND(L569=1,C569&lt;&gt;""),SUBSTITUTE(SUBSTITUTE(SUBSTITUTE(SUBSTITUTE(SUBSTITUTE(SUBSTITUTE(SUBSTITUTE(SUBSTITUTE(SUBSTITUTE(SUBSTITUTE(SUBSTITUTE(SUBSTITUTE(LOWER(TRIM(C569)),"á","a"),"é","e"),"í","i"),"ó","o"),"ú","u"),"ü","u"),"ñ","n"),"à","a"),"è","e"),"ì","i"),"ò","o"),"ù","u"),"")</f>
        <v/>
      </c>
      <c r="Q569" s="25">
        <f>IF(AND(L569=1,E569&lt;&gt;""),SUBSTITUTE(SUBSTITUTE(SUBSTITUTE(SUBSTITUTE(SUBSTITUTE(SUBSTITUTE(SUBSTITUTE(SUBSTITUTE(SUBSTITUTE(SUBSTITUTE(SUBSTITUTE(SUBSTITUTE(LOWER(TRIM(E569)),"á","a"),"é","e"),"í","i"),"ó","o"),"ú","u"),"ü","u"),"ñ","n"),"à","a"),"è","e"),"ì","i"),"ò","o"),"ù","u"),"")</f>
        <v/>
      </c>
      <c r="R569" s="25">
        <f>IF(AND(L569=1,I569&lt;&gt;""),SUBSTITUTE(SUBSTITUTE(SUBSTITUTE(SUBSTITUTE(SUBSTITUTE(SUBSTITUTE(SUBSTITUTE(SUBSTITUTE(SUBSTITUTE(SUBSTITUTE(SUBSTITUTE(SUBSTITUTE(LOWER(TRIM(I569)),"á","a"),"é","e"),"í","i"),"ó","o"),"ú","u"),"ü","u"),"ñ","n"),"à","a"),"è","e"),"ì","i"),"ò","o"),"ù","u"),"")</f>
        <v/>
      </c>
      <c r="S569" s="25">
        <f>IF(R569="","",IF(OR(R569="si",R569="tal vez"),1,0))</f>
        <v/>
      </c>
      <c r="T569" s="25">
        <f>IF(AND(L569=1,D569&lt;&gt;""),IF(IFERROR(COUNTIFS(D$3:D569,"="&amp;SUBSTITUTE(SUBSTITUTE(SUBSTITUTE(D569,"~","~~"),"*","~*"),"?","~?"),L$3:L569,1),0)=1,MAX(T$2:T568)+1,""),"")</f>
        <v/>
      </c>
      <c r="U569" s="25">
        <f>IF(T569="","",COUNTIFS($D$3:$D$1002,"="&amp;SUBSTITUTE(SUBSTITUTE(SUBSTITUTE(D569,"~","~~"),"*","~*"),"?","~?"),$L$3:$L$1002,1)*10000-T569)</f>
        <v/>
      </c>
      <c r="V569" s="25">
        <f>IF(AND(L569=1,J569&lt;&gt;""),IF(IFERROR(COUNTIFS(J$3:J569,"="&amp;SUBSTITUTE(SUBSTITUTE(SUBSTITUTE(J569,"~","~~"),"*","~*"),"?","~?"),L$3:L569,1),0)=1,MAX(V$2:V568)+1,""),"")</f>
        <v/>
      </c>
      <c r="W569" s="25">
        <f>IF(V569="","",COUNTIFS($J$3:$J$1002,"="&amp;SUBSTITUTE(SUBSTITUTE(SUBSTITUTE(J569,"~","~~"),"*","~*"),"?","~?"),$L$3:$L$1002,1)*10000-V569)</f>
        <v/>
      </c>
    </row>
    <row r="570">
      <c r="A570">
        <f>IF(A$2=0,"",IFERROR(TRIM(INDEX('Pegar estudiantes'!$A$1:$BZ$1001,569,A$2)&amp;""),""))</f>
        <v/>
      </c>
      <c r="B570">
        <f>IF(B$2=0,"",IFERROR(TRIM(INDEX('Pegar estudiantes'!$A$1:$BZ$1001,569,B$2)&amp;""),""))</f>
        <v/>
      </c>
      <c r="C570">
        <f>IF(C$2=0,"",IFERROR(TRIM(INDEX('Pegar estudiantes'!$A$1:$BZ$1001,569,C$2)&amp;""),""))</f>
        <v/>
      </c>
      <c r="D570">
        <f>IF(D$2=0,"",IFERROR(TRIM(INDEX('Pegar estudiantes'!$A$1:$BZ$1001,569,D$2)&amp;""),""))</f>
        <v/>
      </c>
      <c r="E570">
        <f>IF(E$2=0,"",IFERROR(TRIM(INDEX('Pegar estudiantes'!$A$1:$BZ$1001,569,E$2)&amp;""),""))</f>
        <v/>
      </c>
      <c r="F570">
        <f>IF(F$2=0,"",IFERROR(TRIM(INDEX('Pegar estudiantes'!$A$1:$BZ$1001,569,F$2)&amp;""),""))</f>
        <v/>
      </c>
      <c r="G570">
        <f>IF(G$2=0,"",IFERROR(TRIM(INDEX('Pegar estudiantes'!$A$1:$BZ$1001,569,G$2)&amp;""),""))</f>
        <v/>
      </c>
      <c r="H570">
        <f>IF(H$2=0,"",IFERROR(TRIM(INDEX('Pegar estudiantes'!$A$1:$BZ$1001,569,H$2)&amp;""),""))</f>
        <v/>
      </c>
      <c r="I570">
        <f>IF(I$2=0,"",IFERROR(TRIM(INDEX('Pegar estudiantes'!$A$1:$BZ$1001,569,I$2)&amp;""),""))</f>
        <v/>
      </c>
      <c r="J570">
        <f>IF(J$2=0,"",IFERROR(TRIM(INDEX('Pegar estudiantes'!$A$1:$BZ$1001,569,J$2)&amp;""),""))</f>
        <v/>
      </c>
      <c r="K570">
        <f>IF(K$2=0,"",IFERROR(TRIM(INDEX('Pegar estudiantes'!$A$1:$BZ$1001,569,K$2)&amp;""),""))</f>
        <v/>
      </c>
      <c r="L570" s="25">
        <f>IF(A570&lt;&gt;"",1,"")</f>
        <v/>
      </c>
      <c r="M570" s="25">
        <f>IF(L570=1,IF(ISNUMBER(FIND("#"&amp;MID(A570,1,1)&amp;"#","#0#1#2#3#4#5#6#7#8#9#")),IF(ISNUMBER(FIND("#"&amp;MID(A570,2,1)&amp;"#","#0#1#2#3#4#5#6#7#8#9#")),IF(AND(VALUE(LEFT(A570,2))&gt;=1,VALUE(LEFT(A570,2))&lt;=5),VALUE(LEFT(A570,2)),""),IF(AND(VALUE(LEFT(A570,1))&gt;=1,VALUE(LEFT(A570,1))&lt;=5),VALUE(LEFT(A570,1)),"")),""),"")</f>
        <v/>
      </c>
      <c r="N570" s="25">
        <f>IF(L570=1,IF(ISNUMBER(FIND("#"&amp;MID(H570,1,1)&amp;"#","#0#1#2#3#4#5#6#7#8#9#")),IF(ISNUMBER(FIND("#"&amp;MID(H570,2,1)&amp;"#","#0#1#2#3#4#5#6#7#8#9#")),IF(AND(VALUE(LEFT(H570,2))&gt;=1,VALUE(LEFT(H570,2))&lt;=5),VALUE(LEFT(H570,2)),""),IF(AND(VALUE(LEFT(H570,1))&gt;=1,VALUE(LEFT(H570,1))&lt;=5),VALUE(LEFT(H570,1)),"")),""),"")</f>
        <v/>
      </c>
      <c r="O570" s="25">
        <f>IF(AND(L570=1,B570&lt;&gt;""),SUBSTITUTE(SUBSTITUTE(SUBSTITUTE(SUBSTITUTE(SUBSTITUTE(SUBSTITUTE(SUBSTITUTE(SUBSTITUTE(SUBSTITUTE(SUBSTITUTE(SUBSTITUTE(SUBSTITUTE(LOWER(TRIM(B570)),"á","a"),"é","e"),"í","i"),"ó","o"),"ú","u"),"ü","u"),"ñ","n"),"à","a"),"è","e"),"ì","i"),"ò","o"),"ù","u"),"")</f>
        <v/>
      </c>
      <c r="P570" s="25">
        <f>IF(AND(L570=1,C570&lt;&gt;""),SUBSTITUTE(SUBSTITUTE(SUBSTITUTE(SUBSTITUTE(SUBSTITUTE(SUBSTITUTE(SUBSTITUTE(SUBSTITUTE(SUBSTITUTE(SUBSTITUTE(SUBSTITUTE(SUBSTITUTE(LOWER(TRIM(C570)),"á","a"),"é","e"),"í","i"),"ó","o"),"ú","u"),"ü","u"),"ñ","n"),"à","a"),"è","e"),"ì","i"),"ò","o"),"ù","u"),"")</f>
        <v/>
      </c>
      <c r="Q570" s="25">
        <f>IF(AND(L570=1,E570&lt;&gt;""),SUBSTITUTE(SUBSTITUTE(SUBSTITUTE(SUBSTITUTE(SUBSTITUTE(SUBSTITUTE(SUBSTITUTE(SUBSTITUTE(SUBSTITUTE(SUBSTITUTE(SUBSTITUTE(SUBSTITUTE(LOWER(TRIM(E570)),"á","a"),"é","e"),"í","i"),"ó","o"),"ú","u"),"ü","u"),"ñ","n"),"à","a"),"è","e"),"ì","i"),"ò","o"),"ù","u"),"")</f>
        <v/>
      </c>
      <c r="R570" s="25">
        <f>IF(AND(L570=1,I570&lt;&gt;""),SUBSTITUTE(SUBSTITUTE(SUBSTITUTE(SUBSTITUTE(SUBSTITUTE(SUBSTITUTE(SUBSTITUTE(SUBSTITUTE(SUBSTITUTE(SUBSTITUTE(SUBSTITUTE(SUBSTITUTE(LOWER(TRIM(I570)),"á","a"),"é","e"),"í","i"),"ó","o"),"ú","u"),"ü","u"),"ñ","n"),"à","a"),"è","e"),"ì","i"),"ò","o"),"ù","u"),"")</f>
        <v/>
      </c>
      <c r="S570" s="25">
        <f>IF(R570="","",IF(OR(R570="si",R570="tal vez"),1,0))</f>
        <v/>
      </c>
      <c r="T570" s="25">
        <f>IF(AND(L570=1,D570&lt;&gt;""),IF(IFERROR(COUNTIFS(D$3:D570,"="&amp;SUBSTITUTE(SUBSTITUTE(SUBSTITUTE(D570,"~","~~"),"*","~*"),"?","~?"),L$3:L570,1),0)=1,MAX(T$2:T569)+1,""),"")</f>
        <v/>
      </c>
      <c r="U570" s="25">
        <f>IF(T570="","",COUNTIFS($D$3:$D$1002,"="&amp;SUBSTITUTE(SUBSTITUTE(SUBSTITUTE(D570,"~","~~"),"*","~*"),"?","~?"),$L$3:$L$1002,1)*10000-T570)</f>
        <v/>
      </c>
      <c r="V570" s="25">
        <f>IF(AND(L570=1,J570&lt;&gt;""),IF(IFERROR(COUNTIFS(J$3:J570,"="&amp;SUBSTITUTE(SUBSTITUTE(SUBSTITUTE(J570,"~","~~"),"*","~*"),"?","~?"),L$3:L570,1),0)=1,MAX(V$2:V569)+1,""),"")</f>
        <v/>
      </c>
      <c r="W570" s="25">
        <f>IF(V570="","",COUNTIFS($J$3:$J$1002,"="&amp;SUBSTITUTE(SUBSTITUTE(SUBSTITUTE(J570,"~","~~"),"*","~*"),"?","~?"),$L$3:$L$1002,1)*10000-V570)</f>
        <v/>
      </c>
    </row>
    <row r="571">
      <c r="A571">
        <f>IF(A$2=0,"",IFERROR(TRIM(INDEX('Pegar estudiantes'!$A$1:$BZ$1001,570,A$2)&amp;""),""))</f>
        <v/>
      </c>
      <c r="B571">
        <f>IF(B$2=0,"",IFERROR(TRIM(INDEX('Pegar estudiantes'!$A$1:$BZ$1001,570,B$2)&amp;""),""))</f>
        <v/>
      </c>
      <c r="C571">
        <f>IF(C$2=0,"",IFERROR(TRIM(INDEX('Pegar estudiantes'!$A$1:$BZ$1001,570,C$2)&amp;""),""))</f>
        <v/>
      </c>
      <c r="D571">
        <f>IF(D$2=0,"",IFERROR(TRIM(INDEX('Pegar estudiantes'!$A$1:$BZ$1001,570,D$2)&amp;""),""))</f>
        <v/>
      </c>
      <c r="E571">
        <f>IF(E$2=0,"",IFERROR(TRIM(INDEX('Pegar estudiantes'!$A$1:$BZ$1001,570,E$2)&amp;""),""))</f>
        <v/>
      </c>
      <c r="F571">
        <f>IF(F$2=0,"",IFERROR(TRIM(INDEX('Pegar estudiantes'!$A$1:$BZ$1001,570,F$2)&amp;""),""))</f>
        <v/>
      </c>
      <c r="G571">
        <f>IF(G$2=0,"",IFERROR(TRIM(INDEX('Pegar estudiantes'!$A$1:$BZ$1001,570,G$2)&amp;""),""))</f>
        <v/>
      </c>
      <c r="H571">
        <f>IF(H$2=0,"",IFERROR(TRIM(INDEX('Pegar estudiantes'!$A$1:$BZ$1001,570,H$2)&amp;""),""))</f>
        <v/>
      </c>
      <c r="I571">
        <f>IF(I$2=0,"",IFERROR(TRIM(INDEX('Pegar estudiantes'!$A$1:$BZ$1001,570,I$2)&amp;""),""))</f>
        <v/>
      </c>
      <c r="J571">
        <f>IF(J$2=0,"",IFERROR(TRIM(INDEX('Pegar estudiantes'!$A$1:$BZ$1001,570,J$2)&amp;""),""))</f>
        <v/>
      </c>
      <c r="K571">
        <f>IF(K$2=0,"",IFERROR(TRIM(INDEX('Pegar estudiantes'!$A$1:$BZ$1001,570,K$2)&amp;""),""))</f>
        <v/>
      </c>
      <c r="L571" s="25">
        <f>IF(A571&lt;&gt;"",1,"")</f>
        <v/>
      </c>
      <c r="M571" s="25">
        <f>IF(L571=1,IF(ISNUMBER(FIND("#"&amp;MID(A571,1,1)&amp;"#","#0#1#2#3#4#5#6#7#8#9#")),IF(ISNUMBER(FIND("#"&amp;MID(A571,2,1)&amp;"#","#0#1#2#3#4#5#6#7#8#9#")),IF(AND(VALUE(LEFT(A571,2))&gt;=1,VALUE(LEFT(A571,2))&lt;=5),VALUE(LEFT(A571,2)),""),IF(AND(VALUE(LEFT(A571,1))&gt;=1,VALUE(LEFT(A571,1))&lt;=5),VALUE(LEFT(A571,1)),"")),""),"")</f>
        <v/>
      </c>
      <c r="N571" s="25">
        <f>IF(L571=1,IF(ISNUMBER(FIND("#"&amp;MID(H571,1,1)&amp;"#","#0#1#2#3#4#5#6#7#8#9#")),IF(ISNUMBER(FIND("#"&amp;MID(H571,2,1)&amp;"#","#0#1#2#3#4#5#6#7#8#9#")),IF(AND(VALUE(LEFT(H571,2))&gt;=1,VALUE(LEFT(H571,2))&lt;=5),VALUE(LEFT(H571,2)),""),IF(AND(VALUE(LEFT(H571,1))&gt;=1,VALUE(LEFT(H571,1))&lt;=5),VALUE(LEFT(H571,1)),"")),""),"")</f>
        <v/>
      </c>
      <c r="O571" s="25">
        <f>IF(AND(L571=1,B571&lt;&gt;""),SUBSTITUTE(SUBSTITUTE(SUBSTITUTE(SUBSTITUTE(SUBSTITUTE(SUBSTITUTE(SUBSTITUTE(SUBSTITUTE(SUBSTITUTE(SUBSTITUTE(SUBSTITUTE(SUBSTITUTE(LOWER(TRIM(B571)),"á","a"),"é","e"),"í","i"),"ó","o"),"ú","u"),"ü","u"),"ñ","n"),"à","a"),"è","e"),"ì","i"),"ò","o"),"ù","u"),"")</f>
        <v/>
      </c>
      <c r="P571" s="25">
        <f>IF(AND(L571=1,C571&lt;&gt;""),SUBSTITUTE(SUBSTITUTE(SUBSTITUTE(SUBSTITUTE(SUBSTITUTE(SUBSTITUTE(SUBSTITUTE(SUBSTITUTE(SUBSTITUTE(SUBSTITUTE(SUBSTITUTE(SUBSTITUTE(LOWER(TRIM(C571)),"á","a"),"é","e"),"í","i"),"ó","o"),"ú","u"),"ü","u"),"ñ","n"),"à","a"),"è","e"),"ì","i"),"ò","o"),"ù","u"),"")</f>
        <v/>
      </c>
      <c r="Q571" s="25">
        <f>IF(AND(L571=1,E571&lt;&gt;""),SUBSTITUTE(SUBSTITUTE(SUBSTITUTE(SUBSTITUTE(SUBSTITUTE(SUBSTITUTE(SUBSTITUTE(SUBSTITUTE(SUBSTITUTE(SUBSTITUTE(SUBSTITUTE(SUBSTITUTE(LOWER(TRIM(E571)),"á","a"),"é","e"),"í","i"),"ó","o"),"ú","u"),"ü","u"),"ñ","n"),"à","a"),"è","e"),"ì","i"),"ò","o"),"ù","u"),"")</f>
        <v/>
      </c>
      <c r="R571" s="25">
        <f>IF(AND(L571=1,I571&lt;&gt;""),SUBSTITUTE(SUBSTITUTE(SUBSTITUTE(SUBSTITUTE(SUBSTITUTE(SUBSTITUTE(SUBSTITUTE(SUBSTITUTE(SUBSTITUTE(SUBSTITUTE(SUBSTITUTE(SUBSTITUTE(LOWER(TRIM(I571)),"á","a"),"é","e"),"í","i"),"ó","o"),"ú","u"),"ü","u"),"ñ","n"),"à","a"),"è","e"),"ì","i"),"ò","o"),"ù","u"),"")</f>
        <v/>
      </c>
      <c r="S571" s="25">
        <f>IF(R571="","",IF(OR(R571="si",R571="tal vez"),1,0))</f>
        <v/>
      </c>
      <c r="T571" s="25">
        <f>IF(AND(L571=1,D571&lt;&gt;""),IF(IFERROR(COUNTIFS(D$3:D571,"="&amp;SUBSTITUTE(SUBSTITUTE(SUBSTITUTE(D571,"~","~~"),"*","~*"),"?","~?"),L$3:L571,1),0)=1,MAX(T$2:T570)+1,""),"")</f>
        <v/>
      </c>
      <c r="U571" s="25">
        <f>IF(T571="","",COUNTIFS($D$3:$D$1002,"="&amp;SUBSTITUTE(SUBSTITUTE(SUBSTITUTE(D571,"~","~~"),"*","~*"),"?","~?"),$L$3:$L$1002,1)*10000-T571)</f>
        <v/>
      </c>
      <c r="V571" s="25">
        <f>IF(AND(L571=1,J571&lt;&gt;""),IF(IFERROR(COUNTIFS(J$3:J571,"="&amp;SUBSTITUTE(SUBSTITUTE(SUBSTITUTE(J571,"~","~~"),"*","~*"),"?","~?"),L$3:L571,1),0)=1,MAX(V$2:V570)+1,""),"")</f>
        <v/>
      </c>
      <c r="W571" s="25">
        <f>IF(V571="","",COUNTIFS($J$3:$J$1002,"="&amp;SUBSTITUTE(SUBSTITUTE(SUBSTITUTE(J571,"~","~~"),"*","~*"),"?","~?"),$L$3:$L$1002,1)*10000-V571)</f>
        <v/>
      </c>
    </row>
    <row r="572">
      <c r="A572">
        <f>IF(A$2=0,"",IFERROR(TRIM(INDEX('Pegar estudiantes'!$A$1:$BZ$1001,571,A$2)&amp;""),""))</f>
        <v/>
      </c>
      <c r="B572">
        <f>IF(B$2=0,"",IFERROR(TRIM(INDEX('Pegar estudiantes'!$A$1:$BZ$1001,571,B$2)&amp;""),""))</f>
        <v/>
      </c>
      <c r="C572">
        <f>IF(C$2=0,"",IFERROR(TRIM(INDEX('Pegar estudiantes'!$A$1:$BZ$1001,571,C$2)&amp;""),""))</f>
        <v/>
      </c>
      <c r="D572">
        <f>IF(D$2=0,"",IFERROR(TRIM(INDEX('Pegar estudiantes'!$A$1:$BZ$1001,571,D$2)&amp;""),""))</f>
        <v/>
      </c>
      <c r="E572">
        <f>IF(E$2=0,"",IFERROR(TRIM(INDEX('Pegar estudiantes'!$A$1:$BZ$1001,571,E$2)&amp;""),""))</f>
        <v/>
      </c>
      <c r="F572">
        <f>IF(F$2=0,"",IFERROR(TRIM(INDEX('Pegar estudiantes'!$A$1:$BZ$1001,571,F$2)&amp;""),""))</f>
        <v/>
      </c>
      <c r="G572">
        <f>IF(G$2=0,"",IFERROR(TRIM(INDEX('Pegar estudiantes'!$A$1:$BZ$1001,571,G$2)&amp;""),""))</f>
        <v/>
      </c>
      <c r="H572">
        <f>IF(H$2=0,"",IFERROR(TRIM(INDEX('Pegar estudiantes'!$A$1:$BZ$1001,571,H$2)&amp;""),""))</f>
        <v/>
      </c>
      <c r="I572">
        <f>IF(I$2=0,"",IFERROR(TRIM(INDEX('Pegar estudiantes'!$A$1:$BZ$1001,571,I$2)&amp;""),""))</f>
        <v/>
      </c>
      <c r="J572">
        <f>IF(J$2=0,"",IFERROR(TRIM(INDEX('Pegar estudiantes'!$A$1:$BZ$1001,571,J$2)&amp;""),""))</f>
        <v/>
      </c>
      <c r="K572">
        <f>IF(K$2=0,"",IFERROR(TRIM(INDEX('Pegar estudiantes'!$A$1:$BZ$1001,571,K$2)&amp;""),""))</f>
        <v/>
      </c>
      <c r="L572" s="25">
        <f>IF(A572&lt;&gt;"",1,"")</f>
        <v/>
      </c>
      <c r="M572" s="25">
        <f>IF(L572=1,IF(ISNUMBER(FIND("#"&amp;MID(A572,1,1)&amp;"#","#0#1#2#3#4#5#6#7#8#9#")),IF(ISNUMBER(FIND("#"&amp;MID(A572,2,1)&amp;"#","#0#1#2#3#4#5#6#7#8#9#")),IF(AND(VALUE(LEFT(A572,2))&gt;=1,VALUE(LEFT(A572,2))&lt;=5),VALUE(LEFT(A572,2)),""),IF(AND(VALUE(LEFT(A572,1))&gt;=1,VALUE(LEFT(A572,1))&lt;=5),VALUE(LEFT(A572,1)),"")),""),"")</f>
        <v/>
      </c>
      <c r="N572" s="25">
        <f>IF(L572=1,IF(ISNUMBER(FIND("#"&amp;MID(H572,1,1)&amp;"#","#0#1#2#3#4#5#6#7#8#9#")),IF(ISNUMBER(FIND("#"&amp;MID(H572,2,1)&amp;"#","#0#1#2#3#4#5#6#7#8#9#")),IF(AND(VALUE(LEFT(H572,2))&gt;=1,VALUE(LEFT(H572,2))&lt;=5),VALUE(LEFT(H572,2)),""),IF(AND(VALUE(LEFT(H572,1))&gt;=1,VALUE(LEFT(H572,1))&lt;=5),VALUE(LEFT(H572,1)),"")),""),"")</f>
        <v/>
      </c>
      <c r="O572" s="25">
        <f>IF(AND(L572=1,B572&lt;&gt;""),SUBSTITUTE(SUBSTITUTE(SUBSTITUTE(SUBSTITUTE(SUBSTITUTE(SUBSTITUTE(SUBSTITUTE(SUBSTITUTE(SUBSTITUTE(SUBSTITUTE(SUBSTITUTE(SUBSTITUTE(LOWER(TRIM(B572)),"á","a"),"é","e"),"í","i"),"ó","o"),"ú","u"),"ü","u"),"ñ","n"),"à","a"),"è","e"),"ì","i"),"ò","o"),"ù","u"),"")</f>
        <v/>
      </c>
      <c r="P572" s="25">
        <f>IF(AND(L572=1,C572&lt;&gt;""),SUBSTITUTE(SUBSTITUTE(SUBSTITUTE(SUBSTITUTE(SUBSTITUTE(SUBSTITUTE(SUBSTITUTE(SUBSTITUTE(SUBSTITUTE(SUBSTITUTE(SUBSTITUTE(SUBSTITUTE(LOWER(TRIM(C572)),"á","a"),"é","e"),"í","i"),"ó","o"),"ú","u"),"ü","u"),"ñ","n"),"à","a"),"è","e"),"ì","i"),"ò","o"),"ù","u"),"")</f>
        <v/>
      </c>
      <c r="Q572" s="25">
        <f>IF(AND(L572=1,E572&lt;&gt;""),SUBSTITUTE(SUBSTITUTE(SUBSTITUTE(SUBSTITUTE(SUBSTITUTE(SUBSTITUTE(SUBSTITUTE(SUBSTITUTE(SUBSTITUTE(SUBSTITUTE(SUBSTITUTE(SUBSTITUTE(LOWER(TRIM(E572)),"á","a"),"é","e"),"í","i"),"ó","o"),"ú","u"),"ü","u"),"ñ","n"),"à","a"),"è","e"),"ì","i"),"ò","o"),"ù","u"),"")</f>
        <v/>
      </c>
      <c r="R572" s="25">
        <f>IF(AND(L572=1,I572&lt;&gt;""),SUBSTITUTE(SUBSTITUTE(SUBSTITUTE(SUBSTITUTE(SUBSTITUTE(SUBSTITUTE(SUBSTITUTE(SUBSTITUTE(SUBSTITUTE(SUBSTITUTE(SUBSTITUTE(SUBSTITUTE(LOWER(TRIM(I572)),"á","a"),"é","e"),"í","i"),"ó","o"),"ú","u"),"ü","u"),"ñ","n"),"à","a"),"è","e"),"ì","i"),"ò","o"),"ù","u"),"")</f>
        <v/>
      </c>
      <c r="S572" s="25">
        <f>IF(R572="","",IF(OR(R572="si",R572="tal vez"),1,0))</f>
        <v/>
      </c>
      <c r="T572" s="25">
        <f>IF(AND(L572=1,D572&lt;&gt;""),IF(IFERROR(COUNTIFS(D$3:D572,"="&amp;SUBSTITUTE(SUBSTITUTE(SUBSTITUTE(D572,"~","~~"),"*","~*"),"?","~?"),L$3:L572,1),0)=1,MAX(T$2:T571)+1,""),"")</f>
        <v/>
      </c>
      <c r="U572" s="25">
        <f>IF(T572="","",COUNTIFS($D$3:$D$1002,"="&amp;SUBSTITUTE(SUBSTITUTE(SUBSTITUTE(D572,"~","~~"),"*","~*"),"?","~?"),$L$3:$L$1002,1)*10000-T572)</f>
        <v/>
      </c>
      <c r="V572" s="25">
        <f>IF(AND(L572=1,J572&lt;&gt;""),IF(IFERROR(COUNTIFS(J$3:J572,"="&amp;SUBSTITUTE(SUBSTITUTE(SUBSTITUTE(J572,"~","~~"),"*","~*"),"?","~?"),L$3:L572,1),0)=1,MAX(V$2:V571)+1,""),"")</f>
        <v/>
      </c>
      <c r="W572" s="25">
        <f>IF(V572="","",COUNTIFS($J$3:$J$1002,"="&amp;SUBSTITUTE(SUBSTITUTE(SUBSTITUTE(J572,"~","~~"),"*","~*"),"?","~?"),$L$3:$L$1002,1)*10000-V572)</f>
        <v/>
      </c>
    </row>
    <row r="573">
      <c r="A573">
        <f>IF(A$2=0,"",IFERROR(TRIM(INDEX('Pegar estudiantes'!$A$1:$BZ$1001,572,A$2)&amp;""),""))</f>
        <v/>
      </c>
      <c r="B573">
        <f>IF(B$2=0,"",IFERROR(TRIM(INDEX('Pegar estudiantes'!$A$1:$BZ$1001,572,B$2)&amp;""),""))</f>
        <v/>
      </c>
      <c r="C573">
        <f>IF(C$2=0,"",IFERROR(TRIM(INDEX('Pegar estudiantes'!$A$1:$BZ$1001,572,C$2)&amp;""),""))</f>
        <v/>
      </c>
      <c r="D573">
        <f>IF(D$2=0,"",IFERROR(TRIM(INDEX('Pegar estudiantes'!$A$1:$BZ$1001,572,D$2)&amp;""),""))</f>
        <v/>
      </c>
      <c r="E573">
        <f>IF(E$2=0,"",IFERROR(TRIM(INDEX('Pegar estudiantes'!$A$1:$BZ$1001,572,E$2)&amp;""),""))</f>
        <v/>
      </c>
      <c r="F573">
        <f>IF(F$2=0,"",IFERROR(TRIM(INDEX('Pegar estudiantes'!$A$1:$BZ$1001,572,F$2)&amp;""),""))</f>
        <v/>
      </c>
      <c r="G573">
        <f>IF(G$2=0,"",IFERROR(TRIM(INDEX('Pegar estudiantes'!$A$1:$BZ$1001,572,G$2)&amp;""),""))</f>
        <v/>
      </c>
      <c r="H573">
        <f>IF(H$2=0,"",IFERROR(TRIM(INDEX('Pegar estudiantes'!$A$1:$BZ$1001,572,H$2)&amp;""),""))</f>
        <v/>
      </c>
      <c r="I573">
        <f>IF(I$2=0,"",IFERROR(TRIM(INDEX('Pegar estudiantes'!$A$1:$BZ$1001,572,I$2)&amp;""),""))</f>
        <v/>
      </c>
      <c r="J573">
        <f>IF(J$2=0,"",IFERROR(TRIM(INDEX('Pegar estudiantes'!$A$1:$BZ$1001,572,J$2)&amp;""),""))</f>
        <v/>
      </c>
      <c r="K573">
        <f>IF(K$2=0,"",IFERROR(TRIM(INDEX('Pegar estudiantes'!$A$1:$BZ$1001,572,K$2)&amp;""),""))</f>
        <v/>
      </c>
      <c r="L573" s="25">
        <f>IF(A573&lt;&gt;"",1,"")</f>
        <v/>
      </c>
      <c r="M573" s="25">
        <f>IF(L573=1,IF(ISNUMBER(FIND("#"&amp;MID(A573,1,1)&amp;"#","#0#1#2#3#4#5#6#7#8#9#")),IF(ISNUMBER(FIND("#"&amp;MID(A573,2,1)&amp;"#","#0#1#2#3#4#5#6#7#8#9#")),IF(AND(VALUE(LEFT(A573,2))&gt;=1,VALUE(LEFT(A573,2))&lt;=5),VALUE(LEFT(A573,2)),""),IF(AND(VALUE(LEFT(A573,1))&gt;=1,VALUE(LEFT(A573,1))&lt;=5),VALUE(LEFT(A573,1)),"")),""),"")</f>
        <v/>
      </c>
      <c r="N573" s="25">
        <f>IF(L573=1,IF(ISNUMBER(FIND("#"&amp;MID(H573,1,1)&amp;"#","#0#1#2#3#4#5#6#7#8#9#")),IF(ISNUMBER(FIND("#"&amp;MID(H573,2,1)&amp;"#","#0#1#2#3#4#5#6#7#8#9#")),IF(AND(VALUE(LEFT(H573,2))&gt;=1,VALUE(LEFT(H573,2))&lt;=5),VALUE(LEFT(H573,2)),""),IF(AND(VALUE(LEFT(H573,1))&gt;=1,VALUE(LEFT(H573,1))&lt;=5),VALUE(LEFT(H573,1)),"")),""),"")</f>
        <v/>
      </c>
      <c r="O573" s="25">
        <f>IF(AND(L573=1,B573&lt;&gt;""),SUBSTITUTE(SUBSTITUTE(SUBSTITUTE(SUBSTITUTE(SUBSTITUTE(SUBSTITUTE(SUBSTITUTE(SUBSTITUTE(SUBSTITUTE(SUBSTITUTE(SUBSTITUTE(SUBSTITUTE(LOWER(TRIM(B573)),"á","a"),"é","e"),"í","i"),"ó","o"),"ú","u"),"ü","u"),"ñ","n"),"à","a"),"è","e"),"ì","i"),"ò","o"),"ù","u"),"")</f>
        <v/>
      </c>
      <c r="P573" s="25">
        <f>IF(AND(L573=1,C573&lt;&gt;""),SUBSTITUTE(SUBSTITUTE(SUBSTITUTE(SUBSTITUTE(SUBSTITUTE(SUBSTITUTE(SUBSTITUTE(SUBSTITUTE(SUBSTITUTE(SUBSTITUTE(SUBSTITUTE(SUBSTITUTE(LOWER(TRIM(C573)),"á","a"),"é","e"),"í","i"),"ó","o"),"ú","u"),"ü","u"),"ñ","n"),"à","a"),"è","e"),"ì","i"),"ò","o"),"ù","u"),"")</f>
        <v/>
      </c>
      <c r="Q573" s="25">
        <f>IF(AND(L573=1,E573&lt;&gt;""),SUBSTITUTE(SUBSTITUTE(SUBSTITUTE(SUBSTITUTE(SUBSTITUTE(SUBSTITUTE(SUBSTITUTE(SUBSTITUTE(SUBSTITUTE(SUBSTITUTE(SUBSTITUTE(SUBSTITUTE(LOWER(TRIM(E573)),"á","a"),"é","e"),"í","i"),"ó","o"),"ú","u"),"ü","u"),"ñ","n"),"à","a"),"è","e"),"ì","i"),"ò","o"),"ù","u"),"")</f>
        <v/>
      </c>
      <c r="R573" s="25">
        <f>IF(AND(L573=1,I573&lt;&gt;""),SUBSTITUTE(SUBSTITUTE(SUBSTITUTE(SUBSTITUTE(SUBSTITUTE(SUBSTITUTE(SUBSTITUTE(SUBSTITUTE(SUBSTITUTE(SUBSTITUTE(SUBSTITUTE(SUBSTITUTE(LOWER(TRIM(I573)),"á","a"),"é","e"),"í","i"),"ó","o"),"ú","u"),"ü","u"),"ñ","n"),"à","a"),"è","e"),"ì","i"),"ò","o"),"ù","u"),"")</f>
        <v/>
      </c>
      <c r="S573" s="25">
        <f>IF(R573="","",IF(OR(R573="si",R573="tal vez"),1,0))</f>
        <v/>
      </c>
      <c r="T573" s="25">
        <f>IF(AND(L573=1,D573&lt;&gt;""),IF(IFERROR(COUNTIFS(D$3:D573,"="&amp;SUBSTITUTE(SUBSTITUTE(SUBSTITUTE(D573,"~","~~"),"*","~*"),"?","~?"),L$3:L573,1),0)=1,MAX(T$2:T572)+1,""),"")</f>
        <v/>
      </c>
      <c r="U573" s="25">
        <f>IF(T573="","",COUNTIFS($D$3:$D$1002,"="&amp;SUBSTITUTE(SUBSTITUTE(SUBSTITUTE(D573,"~","~~"),"*","~*"),"?","~?"),$L$3:$L$1002,1)*10000-T573)</f>
        <v/>
      </c>
      <c r="V573" s="25">
        <f>IF(AND(L573=1,J573&lt;&gt;""),IF(IFERROR(COUNTIFS(J$3:J573,"="&amp;SUBSTITUTE(SUBSTITUTE(SUBSTITUTE(J573,"~","~~"),"*","~*"),"?","~?"),L$3:L573,1),0)=1,MAX(V$2:V572)+1,""),"")</f>
        <v/>
      </c>
      <c r="W573" s="25">
        <f>IF(V573="","",COUNTIFS($J$3:$J$1002,"="&amp;SUBSTITUTE(SUBSTITUTE(SUBSTITUTE(J573,"~","~~"),"*","~*"),"?","~?"),$L$3:$L$1002,1)*10000-V573)</f>
        <v/>
      </c>
    </row>
    <row r="574">
      <c r="A574">
        <f>IF(A$2=0,"",IFERROR(TRIM(INDEX('Pegar estudiantes'!$A$1:$BZ$1001,573,A$2)&amp;""),""))</f>
        <v/>
      </c>
      <c r="B574">
        <f>IF(B$2=0,"",IFERROR(TRIM(INDEX('Pegar estudiantes'!$A$1:$BZ$1001,573,B$2)&amp;""),""))</f>
        <v/>
      </c>
      <c r="C574">
        <f>IF(C$2=0,"",IFERROR(TRIM(INDEX('Pegar estudiantes'!$A$1:$BZ$1001,573,C$2)&amp;""),""))</f>
        <v/>
      </c>
      <c r="D574">
        <f>IF(D$2=0,"",IFERROR(TRIM(INDEX('Pegar estudiantes'!$A$1:$BZ$1001,573,D$2)&amp;""),""))</f>
        <v/>
      </c>
      <c r="E574">
        <f>IF(E$2=0,"",IFERROR(TRIM(INDEX('Pegar estudiantes'!$A$1:$BZ$1001,573,E$2)&amp;""),""))</f>
        <v/>
      </c>
      <c r="F574">
        <f>IF(F$2=0,"",IFERROR(TRIM(INDEX('Pegar estudiantes'!$A$1:$BZ$1001,573,F$2)&amp;""),""))</f>
        <v/>
      </c>
      <c r="G574">
        <f>IF(G$2=0,"",IFERROR(TRIM(INDEX('Pegar estudiantes'!$A$1:$BZ$1001,573,G$2)&amp;""),""))</f>
        <v/>
      </c>
      <c r="H574">
        <f>IF(H$2=0,"",IFERROR(TRIM(INDEX('Pegar estudiantes'!$A$1:$BZ$1001,573,H$2)&amp;""),""))</f>
        <v/>
      </c>
      <c r="I574">
        <f>IF(I$2=0,"",IFERROR(TRIM(INDEX('Pegar estudiantes'!$A$1:$BZ$1001,573,I$2)&amp;""),""))</f>
        <v/>
      </c>
      <c r="J574">
        <f>IF(J$2=0,"",IFERROR(TRIM(INDEX('Pegar estudiantes'!$A$1:$BZ$1001,573,J$2)&amp;""),""))</f>
        <v/>
      </c>
      <c r="K574">
        <f>IF(K$2=0,"",IFERROR(TRIM(INDEX('Pegar estudiantes'!$A$1:$BZ$1001,573,K$2)&amp;""),""))</f>
        <v/>
      </c>
      <c r="L574" s="25">
        <f>IF(A574&lt;&gt;"",1,"")</f>
        <v/>
      </c>
      <c r="M574" s="25">
        <f>IF(L574=1,IF(ISNUMBER(FIND("#"&amp;MID(A574,1,1)&amp;"#","#0#1#2#3#4#5#6#7#8#9#")),IF(ISNUMBER(FIND("#"&amp;MID(A574,2,1)&amp;"#","#0#1#2#3#4#5#6#7#8#9#")),IF(AND(VALUE(LEFT(A574,2))&gt;=1,VALUE(LEFT(A574,2))&lt;=5),VALUE(LEFT(A574,2)),""),IF(AND(VALUE(LEFT(A574,1))&gt;=1,VALUE(LEFT(A574,1))&lt;=5),VALUE(LEFT(A574,1)),"")),""),"")</f>
        <v/>
      </c>
      <c r="N574" s="25">
        <f>IF(L574=1,IF(ISNUMBER(FIND("#"&amp;MID(H574,1,1)&amp;"#","#0#1#2#3#4#5#6#7#8#9#")),IF(ISNUMBER(FIND("#"&amp;MID(H574,2,1)&amp;"#","#0#1#2#3#4#5#6#7#8#9#")),IF(AND(VALUE(LEFT(H574,2))&gt;=1,VALUE(LEFT(H574,2))&lt;=5),VALUE(LEFT(H574,2)),""),IF(AND(VALUE(LEFT(H574,1))&gt;=1,VALUE(LEFT(H574,1))&lt;=5),VALUE(LEFT(H574,1)),"")),""),"")</f>
        <v/>
      </c>
      <c r="O574" s="25">
        <f>IF(AND(L574=1,B574&lt;&gt;""),SUBSTITUTE(SUBSTITUTE(SUBSTITUTE(SUBSTITUTE(SUBSTITUTE(SUBSTITUTE(SUBSTITUTE(SUBSTITUTE(SUBSTITUTE(SUBSTITUTE(SUBSTITUTE(SUBSTITUTE(LOWER(TRIM(B574)),"á","a"),"é","e"),"í","i"),"ó","o"),"ú","u"),"ü","u"),"ñ","n"),"à","a"),"è","e"),"ì","i"),"ò","o"),"ù","u"),"")</f>
        <v/>
      </c>
      <c r="P574" s="25">
        <f>IF(AND(L574=1,C574&lt;&gt;""),SUBSTITUTE(SUBSTITUTE(SUBSTITUTE(SUBSTITUTE(SUBSTITUTE(SUBSTITUTE(SUBSTITUTE(SUBSTITUTE(SUBSTITUTE(SUBSTITUTE(SUBSTITUTE(SUBSTITUTE(LOWER(TRIM(C574)),"á","a"),"é","e"),"í","i"),"ó","o"),"ú","u"),"ü","u"),"ñ","n"),"à","a"),"è","e"),"ì","i"),"ò","o"),"ù","u"),"")</f>
        <v/>
      </c>
      <c r="Q574" s="25">
        <f>IF(AND(L574=1,E574&lt;&gt;""),SUBSTITUTE(SUBSTITUTE(SUBSTITUTE(SUBSTITUTE(SUBSTITUTE(SUBSTITUTE(SUBSTITUTE(SUBSTITUTE(SUBSTITUTE(SUBSTITUTE(SUBSTITUTE(SUBSTITUTE(LOWER(TRIM(E574)),"á","a"),"é","e"),"í","i"),"ó","o"),"ú","u"),"ü","u"),"ñ","n"),"à","a"),"è","e"),"ì","i"),"ò","o"),"ù","u"),"")</f>
        <v/>
      </c>
      <c r="R574" s="25">
        <f>IF(AND(L574=1,I574&lt;&gt;""),SUBSTITUTE(SUBSTITUTE(SUBSTITUTE(SUBSTITUTE(SUBSTITUTE(SUBSTITUTE(SUBSTITUTE(SUBSTITUTE(SUBSTITUTE(SUBSTITUTE(SUBSTITUTE(SUBSTITUTE(LOWER(TRIM(I574)),"á","a"),"é","e"),"í","i"),"ó","o"),"ú","u"),"ü","u"),"ñ","n"),"à","a"),"è","e"),"ì","i"),"ò","o"),"ù","u"),"")</f>
        <v/>
      </c>
      <c r="S574" s="25">
        <f>IF(R574="","",IF(OR(R574="si",R574="tal vez"),1,0))</f>
        <v/>
      </c>
      <c r="T574" s="25">
        <f>IF(AND(L574=1,D574&lt;&gt;""),IF(IFERROR(COUNTIFS(D$3:D574,"="&amp;SUBSTITUTE(SUBSTITUTE(SUBSTITUTE(D574,"~","~~"),"*","~*"),"?","~?"),L$3:L574,1),0)=1,MAX(T$2:T573)+1,""),"")</f>
        <v/>
      </c>
      <c r="U574" s="25">
        <f>IF(T574="","",COUNTIFS($D$3:$D$1002,"="&amp;SUBSTITUTE(SUBSTITUTE(SUBSTITUTE(D574,"~","~~"),"*","~*"),"?","~?"),$L$3:$L$1002,1)*10000-T574)</f>
        <v/>
      </c>
      <c r="V574" s="25">
        <f>IF(AND(L574=1,J574&lt;&gt;""),IF(IFERROR(COUNTIFS(J$3:J574,"="&amp;SUBSTITUTE(SUBSTITUTE(SUBSTITUTE(J574,"~","~~"),"*","~*"),"?","~?"),L$3:L574,1),0)=1,MAX(V$2:V573)+1,""),"")</f>
        <v/>
      </c>
      <c r="W574" s="25">
        <f>IF(V574="","",COUNTIFS($J$3:$J$1002,"="&amp;SUBSTITUTE(SUBSTITUTE(SUBSTITUTE(J574,"~","~~"),"*","~*"),"?","~?"),$L$3:$L$1002,1)*10000-V574)</f>
        <v/>
      </c>
    </row>
    <row r="575">
      <c r="A575">
        <f>IF(A$2=0,"",IFERROR(TRIM(INDEX('Pegar estudiantes'!$A$1:$BZ$1001,574,A$2)&amp;""),""))</f>
        <v/>
      </c>
      <c r="B575">
        <f>IF(B$2=0,"",IFERROR(TRIM(INDEX('Pegar estudiantes'!$A$1:$BZ$1001,574,B$2)&amp;""),""))</f>
        <v/>
      </c>
      <c r="C575">
        <f>IF(C$2=0,"",IFERROR(TRIM(INDEX('Pegar estudiantes'!$A$1:$BZ$1001,574,C$2)&amp;""),""))</f>
        <v/>
      </c>
      <c r="D575">
        <f>IF(D$2=0,"",IFERROR(TRIM(INDEX('Pegar estudiantes'!$A$1:$BZ$1001,574,D$2)&amp;""),""))</f>
        <v/>
      </c>
      <c r="E575">
        <f>IF(E$2=0,"",IFERROR(TRIM(INDEX('Pegar estudiantes'!$A$1:$BZ$1001,574,E$2)&amp;""),""))</f>
        <v/>
      </c>
      <c r="F575">
        <f>IF(F$2=0,"",IFERROR(TRIM(INDEX('Pegar estudiantes'!$A$1:$BZ$1001,574,F$2)&amp;""),""))</f>
        <v/>
      </c>
      <c r="G575">
        <f>IF(G$2=0,"",IFERROR(TRIM(INDEX('Pegar estudiantes'!$A$1:$BZ$1001,574,G$2)&amp;""),""))</f>
        <v/>
      </c>
      <c r="H575">
        <f>IF(H$2=0,"",IFERROR(TRIM(INDEX('Pegar estudiantes'!$A$1:$BZ$1001,574,H$2)&amp;""),""))</f>
        <v/>
      </c>
      <c r="I575">
        <f>IF(I$2=0,"",IFERROR(TRIM(INDEX('Pegar estudiantes'!$A$1:$BZ$1001,574,I$2)&amp;""),""))</f>
        <v/>
      </c>
      <c r="J575">
        <f>IF(J$2=0,"",IFERROR(TRIM(INDEX('Pegar estudiantes'!$A$1:$BZ$1001,574,J$2)&amp;""),""))</f>
        <v/>
      </c>
      <c r="K575">
        <f>IF(K$2=0,"",IFERROR(TRIM(INDEX('Pegar estudiantes'!$A$1:$BZ$1001,574,K$2)&amp;""),""))</f>
        <v/>
      </c>
      <c r="L575" s="25">
        <f>IF(A575&lt;&gt;"",1,"")</f>
        <v/>
      </c>
      <c r="M575" s="25">
        <f>IF(L575=1,IF(ISNUMBER(FIND("#"&amp;MID(A575,1,1)&amp;"#","#0#1#2#3#4#5#6#7#8#9#")),IF(ISNUMBER(FIND("#"&amp;MID(A575,2,1)&amp;"#","#0#1#2#3#4#5#6#7#8#9#")),IF(AND(VALUE(LEFT(A575,2))&gt;=1,VALUE(LEFT(A575,2))&lt;=5),VALUE(LEFT(A575,2)),""),IF(AND(VALUE(LEFT(A575,1))&gt;=1,VALUE(LEFT(A575,1))&lt;=5),VALUE(LEFT(A575,1)),"")),""),"")</f>
        <v/>
      </c>
      <c r="N575" s="25">
        <f>IF(L575=1,IF(ISNUMBER(FIND("#"&amp;MID(H575,1,1)&amp;"#","#0#1#2#3#4#5#6#7#8#9#")),IF(ISNUMBER(FIND("#"&amp;MID(H575,2,1)&amp;"#","#0#1#2#3#4#5#6#7#8#9#")),IF(AND(VALUE(LEFT(H575,2))&gt;=1,VALUE(LEFT(H575,2))&lt;=5),VALUE(LEFT(H575,2)),""),IF(AND(VALUE(LEFT(H575,1))&gt;=1,VALUE(LEFT(H575,1))&lt;=5),VALUE(LEFT(H575,1)),"")),""),"")</f>
        <v/>
      </c>
      <c r="O575" s="25">
        <f>IF(AND(L575=1,B575&lt;&gt;""),SUBSTITUTE(SUBSTITUTE(SUBSTITUTE(SUBSTITUTE(SUBSTITUTE(SUBSTITUTE(SUBSTITUTE(SUBSTITUTE(SUBSTITUTE(SUBSTITUTE(SUBSTITUTE(SUBSTITUTE(LOWER(TRIM(B575)),"á","a"),"é","e"),"í","i"),"ó","o"),"ú","u"),"ü","u"),"ñ","n"),"à","a"),"è","e"),"ì","i"),"ò","o"),"ù","u"),"")</f>
        <v/>
      </c>
      <c r="P575" s="25">
        <f>IF(AND(L575=1,C575&lt;&gt;""),SUBSTITUTE(SUBSTITUTE(SUBSTITUTE(SUBSTITUTE(SUBSTITUTE(SUBSTITUTE(SUBSTITUTE(SUBSTITUTE(SUBSTITUTE(SUBSTITUTE(SUBSTITUTE(SUBSTITUTE(LOWER(TRIM(C575)),"á","a"),"é","e"),"í","i"),"ó","o"),"ú","u"),"ü","u"),"ñ","n"),"à","a"),"è","e"),"ì","i"),"ò","o"),"ù","u"),"")</f>
        <v/>
      </c>
      <c r="Q575" s="25">
        <f>IF(AND(L575=1,E575&lt;&gt;""),SUBSTITUTE(SUBSTITUTE(SUBSTITUTE(SUBSTITUTE(SUBSTITUTE(SUBSTITUTE(SUBSTITUTE(SUBSTITUTE(SUBSTITUTE(SUBSTITUTE(SUBSTITUTE(SUBSTITUTE(LOWER(TRIM(E575)),"á","a"),"é","e"),"í","i"),"ó","o"),"ú","u"),"ü","u"),"ñ","n"),"à","a"),"è","e"),"ì","i"),"ò","o"),"ù","u"),"")</f>
        <v/>
      </c>
      <c r="R575" s="25">
        <f>IF(AND(L575=1,I575&lt;&gt;""),SUBSTITUTE(SUBSTITUTE(SUBSTITUTE(SUBSTITUTE(SUBSTITUTE(SUBSTITUTE(SUBSTITUTE(SUBSTITUTE(SUBSTITUTE(SUBSTITUTE(SUBSTITUTE(SUBSTITUTE(LOWER(TRIM(I575)),"á","a"),"é","e"),"í","i"),"ó","o"),"ú","u"),"ü","u"),"ñ","n"),"à","a"),"è","e"),"ì","i"),"ò","o"),"ù","u"),"")</f>
        <v/>
      </c>
      <c r="S575" s="25">
        <f>IF(R575="","",IF(OR(R575="si",R575="tal vez"),1,0))</f>
        <v/>
      </c>
      <c r="T575" s="25">
        <f>IF(AND(L575=1,D575&lt;&gt;""),IF(IFERROR(COUNTIFS(D$3:D575,"="&amp;SUBSTITUTE(SUBSTITUTE(SUBSTITUTE(D575,"~","~~"),"*","~*"),"?","~?"),L$3:L575,1),0)=1,MAX(T$2:T574)+1,""),"")</f>
        <v/>
      </c>
      <c r="U575" s="25">
        <f>IF(T575="","",COUNTIFS($D$3:$D$1002,"="&amp;SUBSTITUTE(SUBSTITUTE(SUBSTITUTE(D575,"~","~~"),"*","~*"),"?","~?"),$L$3:$L$1002,1)*10000-T575)</f>
        <v/>
      </c>
      <c r="V575" s="25">
        <f>IF(AND(L575=1,J575&lt;&gt;""),IF(IFERROR(COUNTIFS(J$3:J575,"="&amp;SUBSTITUTE(SUBSTITUTE(SUBSTITUTE(J575,"~","~~"),"*","~*"),"?","~?"),L$3:L575,1),0)=1,MAX(V$2:V574)+1,""),"")</f>
        <v/>
      </c>
      <c r="W575" s="25">
        <f>IF(V575="","",COUNTIFS($J$3:$J$1002,"="&amp;SUBSTITUTE(SUBSTITUTE(SUBSTITUTE(J575,"~","~~"),"*","~*"),"?","~?"),$L$3:$L$1002,1)*10000-V575)</f>
        <v/>
      </c>
    </row>
    <row r="576">
      <c r="A576">
        <f>IF(A$2=0,"",IFERROR(TRIM(INDEX('Pegar estudiantes'!$A$1:$BZ$1001,575,A$2)&amp;""),""))</f>
        <v/>
      </c>
      <c r="B576">
        <f>IF(B$2=0,"",IFERROR(TRIM(INDEX('Pegar estudiantes'!$A$1:$BZ$1001,575,B$2)&amp;""),""))</f>
        <v/>
      </c>
      <c r="C576">
        <f>IF(C$2=0,"",IFERROR(TRIM(INDEX('Pegar estudiantes'!$A$1:$BZ$1001,575,C$2)&amp;""),""))</f>
        <v/>
      </c>
      <c r="D576">
        <f>IF(D$2=0,"",IFERROR(TRIM(INDEX('Pegar estudiantes'!$A$1:$BZ$1001,575,D$2)&amp;""),""))</f>
        <v/>
      </c>
      <c r="E576">
        <f>IF(E$2=0,"",IFERROR(TRIM(INDEX('Pegar estudiantes'!$A$1:$BZ$1001,575,E$2)&amp;""),""))</f>
        <v/>
      </c>
      <c r="F576">
        <f>IF(F$2=0,"",IFERROR(TRIM(INDEX('Pegar estudiantes'!$A$1:$BZ$1001,575,F$2)&amp;""),""))</f>
        <v/>
      </c>
      <c r="G576">
        <f>IF(G$2=0,"",IFERROR(TRIM(INDEX('Pegar estudiantes'!$A$1:$BZ$1001,575,G$2)&amp;""),""))</f>
        <v/>
      </c>
      <c r="H576">
        <f>IF(H$2=0,"",IFERROR(TRIM(INDEX('Pegar estudiantes'!$A$1:$BZ$1001,575,H$2)&amp;""),""))</f>
        <v/>
      </c>
      <c r="I576">
        <f>IF(I$2=0,"",IFERROR(TRIM(INDEX('Pegar estudiantes'!$A$1:$BZ$1001,575,I$2)&amp;""),""))</f>
        <v/>
      </c>
      <c r="J576">
        <f>IF(J$2=0,"",IFERROR(TRIM(INDEX('Pegar estudiantes'!$A$1:$BZ$1001,575,J$2)&amp;""),""))</f>
        <v/>
      </c>
      <c r="K576">
        <f>IF(K$2=0,"",IFERROR(TRIM(INDEX('Pegar estudiantes'!$A$1:$BZ$1001,575,K$2)&amp;""),""))</f>
        <v/>
      </c>
      <c r="L576" s="25">
        <f>IF(A576&lt;&gt;"",1,"")</f>
        <v/>
      </c>
      <c r="M576" s="25">
        <f>IF(L576=1,IF(ISNUMBER(FIND("#"&amp;MID(A576,1,1)&amp;"#","#0#1#2#3#4#5#6#7#8#9#")),IF(ISNUMBER(FIND("#"&amp;MID(A576,2,1)&amp;"#","#0#1#2#3#4#5#6#7#8#9#")),IF(AND(VALUE(LEFT(A576,2))&gt;=1,VALUE(LEFT(A576,2))&lt;=5),VALUE(LEFT(A576,2)),""),IF(AND(VALUE(LEFT(A576,1))&gt;=1,VALUE(LEFT(A576,1))&lt;=5),VALUE(LEFT(A576,1)),"")),""),"")</f>
        <v/>
      </c>
      <c r="N576" s="25">
        <f>IF(L576=1,IF(ISNUMBER(FIND("#"&amp;MID(H576,1,1)&amp;"#","#0#1#2#3#4#5#6#7#8#9#")),IF(ISNUMBER(FIND("#"&amp;MID(H576,2,1)&amp;"#","#0#1#2#3#4#5#6#7#8#9#")),IF(AND(VALUE(LEFT(H576,2))&gt;=1,VALUE(LEFT(H576,2))&lt;=5),VALUE(LEFT(H576,2)),""),IF(AND(VALUE(LEFT(H576,1))&gt;=1,VALUE(LEFT(H576,1))&lt;=5),VALUE(LEFT(H576,1)),"")),""),"")</f>
        <v/>
      </c>
      <c r="O576" s="25">
        <f>IF(AND(L576=1,B576&lt;&gt;""),SUBSTITUTE(SUBSTITUTE(SUBSTITUTE(SUBSTITUTE(SUBSTITUTE(SUBSTITUTE(SUBSTITUTE(SUBSTITUTE(SUBSTITUTE(SUBSTITUTE(SUBSTITUTE(SUBSTITUTE(LOWER(TRIM(B576)),"á","a"),"é","e"),"í","i"),"ó","o"),"ú","u"),"ü","u"),"ñ","n"),"à","a"),"è","e"),"ì","i"),"ò","o"),"ù","u"),"")</f>
        <v/>
      </c>
      <c r="P576" s="25">
        <f>IF(AND(L576=1,C576&lt;&gt;""),SUBSTITUTE(SUBSTITUTE(SUBSTITUTE(SUBSTITUTE(SUBSTITUTE(SUBSTITUTE(SUBSTITUTE(SUBSTITUTE(SUBSTITUTE(SUBSTITUTE(SUBSTITUTE(SUBSTITUTE(LOWER(TRIM(C576)),"á","a"),"é","e"),"í","i"),"ó","o"),"ú","u"),"ü","u"),"ñ","n"),"à","a"),"è","e"),"ì","i"),"ò","o"),"ù","u"),"")</f>
        <v/>
      </c>
      <c r="Q576" s="25">
        <f>IF(AND(L576=1,E576&lt;&gt;""),SUBSTITUTE(SUBSTITUTE(SUBSTITUTE(SUBSTITUTE(SUBSTITUTE(SUBSTITUTE(SUBSTITUTE(SUBSTITUTE(SUBSTITUTE(SUBSTITUTE(SUBSTITUTE(SUBSTITUTE(LOWER(TRIM(E576)),"á","a"),"é","e"),"í","i"),"ó","o"),"ú","u"),"ü","u"),"ñ","n"),"à","a"),"è","e"),"ì","i"),"ò","o"),"ù","u"),"")</f>
        <v/>
      </c>
      <c r="R576" s="25">
        <f>IF(AND(L576=1,I576&lt;&gt;""),SUBSTITUTE(SUBSTITUTE(SUBSTITUTE(SUBSTITUTE(SUBSTITUTE(SUBSTITUTE(SUBSTITUTE(SUBSTITUTE(SUBSTITUTE(SUBSTITUTE(SUBSTITUTE(SUBSTITUTE(LOWER(TRIM(I576)),"á","a"),"é","e"),"í","i"),"ó","o"),"ú","u"),"ü","u"),"ñ","n"),"à","a"),"è","e"),"ì","i"),"ò","o"),"ù","u"),"")</f>
        <v/>
      </c>
      <c r="S576" s="25">
        <f>IF(R576="","",IF(OR(R576="si",R576="tal vez"),1,0))</f>
        <v/>
      </c>
      <c r="T576" s="25">
        <f>IF(AND(L576=1,D576&lt;&gt;""),IF(IFERROR(COUNTIFS(D$3:D576,"="&amp;SUBSTITUTE(SUBSTITUTE(SUBSTITUTE(D576,"~","~~"),"*","~*"),"?","~?"),L$3:L576,1),0)=1,MAX(T$2:T575)+1,""),"")</f>
        <v/>
      </c>
      <c r="U576" s="25">
        <f>IF(T576="","",COUNTIFS($D$3:$D$1002,"="&amp;SUBSTITUTE(SUBSTITUTE(SUBSTITUTE(D576,"~","~~"),"*","~*"),"?","~?"),$L$3:$L$1002,1)*10000-T576)</f>
        <v/>
      </c>
      <c r="V576" s="25">
        <f>IF(AND(L576=1,J576&lt;&gt;""),IF(IFERROR(COUNTIFS(J$3:J576,"="&amp;SUBSTITUTE(SUBSTITUTE(SUBSTITUTE(J576,"~","~~"),"*","~*"),"?","~?"),L$3:L576,1),0)=1,MAX(V$2:V575)+1,""),"")</f>
        <v/>
      </c>
      <c r="W576" s="25">
        <f>IF(V576="","",COUNTIFS($J$3:$J$1002,"="&amp;SUBSTITUTE(SUBSTITUTE(SUBSTITUTE(J576,"~","~~"),"*","~*"),"?","~?"),$L$3:$L$1002,1)*10000-V576)</f>
        <v/>
      </c>
    </row>
    <row r="577">
      <c r="A577">
        <f>IF(A$2=0,"",IFERROR(TRIM(INDEX('Pegar estudiantes'!$A$1:$BZ$1001,576,A$2)&amp;""),""))</f>
        <v/>
      </c>
      <c r="B577">
        <f>IF(B$2=0,"",IFERROR(TRIM(INDEX('Pegar estudiantes'!$A$1:$BZ$1001,576,B$2)&amp;""),""))</f>
        <v/>
      </c>
      <c r="C577">
        <f>IF(C$2=0,"",IFERROR(TRIM(INDEX('Pegar estudiantes'!$A$1:$BZ$1001,576,C$2)&amp;""),""))</f>
        <v/>
      </c>
      <c r="D577">
        <f>IF(D$2=0,"",IFERROR(TRIM(INDEX('Pegar estudiantes'!$A$1:$BZ$1001,576,D$2)&amp;""),""))</f>
        <v/>
      </c>
      <c r="E577">
        <f>IF(E$2=0,"",IFERROR(TRIM(INDEX('Pegar estudiantes'!$A$1:$BZ$1001,576,E$2)&amp;""),""))</f>
        <v/>
      </c>
      <c r="F577">
        <f>IF(F$2=0,"",IFERROR(TRIM(INDEX('Pegar estudiantes'!$A$1:$BZ$1001,576,F$2)&amp;""),""))</f>
        <v/>
      </c>
      <c r="G577">
        <f>IF(G$2=0,"",IFERROR(TRIM(INDEX('Pegar estudiantes'!$A$1:$BZ$1001,576,G$2)&amp;""),""))</f>
        <v/>
      </c>
      <c r="H577">
        <f>IF(H$2=0,"",IFERROR(TRIM(INDEX('Pegar estudiantes'!$A$1:$BZ$1001,576,H$2)&amp;""),""))</f>
        <v/>
      </c>
      <c r="I577">
        <f>IF(I$2=0,"",IFERROR(TRIM(INDEX('Pegar estudiantes'!$A$1:$BZ$1001,576,I$2)&amp;""),""))</f>
        <v/>
      </c>
      <c r="J577">
        <f>IF(J$2=0,"",IFERROR(TRIM(INDEX('Pegar estudiantes'!$A$1:$BZ$1001,576,J$2)&amp;""),""))</f>
        <v/>
      </c>
      <c r="K577">
        <f>IF(K$2=0,"",IFERROR(TRIM(INDEX('Pegar estudiantes'!$A$1:$BZ$1001,576,K$2)&amp;""),""))</f>
        <v/>
      </c>
      <c r="L577" s="25">
        <f>IF(A577&lt;&gt;"",1,"")</f>
        <v/>
      </c>
      <c r="M577" s="25">
        <f>IF(L577=1,IF(ISNUMBER(FIND("#"&amp;MID(A577,1,1)&amp;"#","#0#1#2#3#4#5#6#7#8#9#")),IF(ISNUMBER(FIND("#"&amp;MID(A577,2,1)&amp;"#","#0#1#2#3#4#5#6#7#8#9#")),IF(AND(VALUE(LEFT(A577,2))&gt;=1,VALUE(LEFT(A577,2))&lt;=5),VALUE(LEFT(A577,2)),""),IF(AND(VALUE(LEFT(A577,1))&gt;=1,VALUE(LEFT(A577,1))&lt;=5),VALUE(LEFT(A577,1)),"")),""),"")</f>
        <v/>
      </c>
      <c r="N577" s="25">
        <f>IF(L577=1,IF(ISNUMBER(FIND("#"&amp;MID(H577,1,1)&amp;"#","#0#1#2#3#4#5#6#7#8#9#")),IF(ISNUMBER(FIND("#"&amp;MID(H577,2,1)&amp;"#","#0#1#2#3#4#5#6#7#8#9#")),IF(AND(VALUE(LEFT(H577,2))&gt;=1,VALUE(LEFT(H577,2))&lt;=5),VALUE(LEFT(H577,2)),""),IF(AND(VALUE(LEFT(H577,1))&gt;=1,VALUE(LEFT(H577,1))&lt;=5),VALUE(LEFT(H577,1)),"")),""),"")</f>
        <v/>
      </c>
      <c r="O577" s="25">
        <f>IF(AND(L577=1,B577&lt;&gt;""),SUBSTITUTE(SUBSTITUTE(SUBSTITUTE(SUBSTITUTE(SUBSTITUTE(SUBSTITUTE(SUBSTITUTE(SUBSTITUTE(SUBSTITUTE(SUBSTITUTE(SUBSTITUTE(SUBSTITUTE(LOWER(TRIM(B577)),"á","a"),"é","e"),"í","i"),"ó","o"),"ú","u"),"ü","u"),"ñ","n"),"à","a"),"è","e"),"ì","i"),"ò","o"),"ù","u"),"")</f>
        <v/>
      </c>
      <c r="P577" s="25">
        <f>IF(AND(L577=1,C577&lt;&gt;""),SUBSTITUTE(SUBSTITUTE(SUBSTITUTE(SUBSTITUTE(SUBSTITUTE(SUBSTITUTE(SUBSTITUTE(SUBSTITUTE(SUBSTITUTE(SUBSTITUTE(SUBSTITUTE(SUBSTITUTE(LOWER(TRIM(C577)),"á","a"),"é","e"),"í","i"),"ó","o"),"ú","u"),"ü","u"),"ñ","n"),"à","a"),"è","e"),"ì","i"),"ò","o"),"ù","u"),"")</f>
        <v/>
      </c>
      <c r="Q577" s="25">
        <f>IF(AND(L577=1,E577&lt;&gt;""),SUBSTITUTE(SUBSTITUTE(SUBSTITUTE(SUBSTITUTE(SUBSTITUTE(SUBSTITUTE(SUBSTITUTE(SUBSTITUTE(SUBSTITUTE(SUBSTITUTE(SUBSTITUTE(SUBSTITUTE(LOWER(TRIM(E577)),"á","a"),"é","e"),"í","i"),"ó","o"),"ú","u"),"ü","u"),"ñ","n"),"à","a"),"è","e"),"ì","i"),"ò","o"),"ù","u"),"")</f>
        <v/>
      </c>
      <c r="R577" s="25">
        <f>IF(AND(L577=1,I577&lt;&gt;""),SUBSTITUTE(SUBSTITUTE(SUBSTITUTE(SUBSTITUTE(SUBSTITUTE(SUBSTITUTE(SUBSTITUTE(SUBSTITUTE(SUBSTITUTE(SUBSTITUTE(SUBSTITUTE(SUBSTITUTE(LOWER(TRIM(I577)),"á","a"),"é","e"),"í","i"),"ó","o"),"ú","u"),"ü","u"),"ñ","n"),"à","a"),"è","e"),"ì","i"),"ò","o"),"ù","u"),"")</f>
        <v/>
      </c>
      <c r="S577" s="25">
        <f>IF(R577="","",IF(OR(R577="si",R577="tal vez"),1,0))</f>
        <v/>
      </c>
      <c r="T577" s="25">
        <f>IF(AND(L577=1,D577&lt;&gt;""),IF(IFERROR(COUNTIFS(D$3:D577,"="&amp;SUBSTITUTE(SUBSTITUTE(SUBSTITUTE(D577,"~","~~"),"*","~*"),"?","~?"),L$3:L577,1),0)=1,MAX(T$2:T576)+1,""),"")</f>
        <v/>
      </c>
      <c r="U577" s="25">
        <f>IF(T577="","",COUNTIFS($D$3:$D$1002,"="&amp;SUBSTITUTE(SUBSTITUTE(SUBSTITUTE(D577,"~","~~"),"*","~*"),"?","~?"),$L$3:$L$1002,1)*10000-T577)</f>
        <v/>
      </c>
      <c r="V577" s="25">
        <f>IF(AND(L577=1,J577&lt;&gt;""),IF(IFERROR(COUNTIFS(J$3:J577,"="&amp;SUBSTITUTE(SUBSTITUTE(SUBSTITUTE(J577,"~","~~"),"*","~*"),"?","~?"),L$3:L577,1),0)=1,MAX(V$2:V576)+1,""),"")</f>
        <v/>
      </c>
      <c r="W577" s="25">
        <f>IF(V577="","",COUNTIFS($J$3:$J$1002,"="&amp;SUBSTITUTE(SUBSTITUTE(SUBSTITUTE(J577,"~","~~"),"*","~*"),"?","~?"),$L$3:$L$1002,1)*10000-V577)</f>
        <v/>
      </c>
    </row>
    <row r="578">
      <c r="A578">
        <f>IF(A$2=0,"",IFERROR(TRIM(INDEX('Pegar estudiantes'!$A$1:$BZ$1001,577,A$2)&amp;""),""))</f>
        <v/>
      </c>
      <c r="B578">
        <f>IF(B$2=0,"",IFERROR(TRIM(INDEX('Pegar estudiantes'!$A$1:$BZ$1001,577,B$2)&amp;""),""))</f>
        <v/>
      </c>
      <c r="C578">
        <f>IF(C$2=0,"",IFERROR(TRIM(INDEX('Pegar estudiantes'!$A$1:$BZ$1001,577,C$2)&amp;""),""))</f>
        <v/>
      </c>
      <c r="D578">
        <f>IF(D$2=0,"",IFERROR(TRIM(INDEX('Pegar estudiantes'!$A$1:$BZ$1001,577,D$2)&amp;""),""))</f>
        <v/>
      </c>
      <c r="E578">
        <f>IF(E$2=0,"",IFERROR(TRIM(INDEX('Pegar estudiantes'!$A$1:$BZ$1001,577,E$2)&amp;""),""))</f>
        <v/>
      </c>
      <c r="F578">
        <f>IF(F$2=0,"",IFERROR(TRIM(INDEX('Pegar estudiantes'!$A$1:$BZ$1001,577,F$2)&amp;""),""))</f>
        <v/>
      </c>
      <c r="G578">
        <f>IF(G$2=0,"",IFERROR(TRIM(INDEX('Pegar estudiantes'!$A$1:$BZ$1001,577,G$2)&amp;""),""))</f>
        <v/>
      </c>
      <c r="H578">
        <f>IF(H$2=0,"",IFERROR(TRIM(INDEX('Pegar estudiantes'!$A$1:$BZ$1001,577,H$2)&amp;""),""))</f>
        <v/>
      </c>
      <c r="I578">
        <f>IF(I$2=0,"",IFERROR(TRIM(INDEX('Pegar estudiantes'!$A$1:$BZ$1001,577,I$2)&amp;""),""))</f>
        <v/>
      </c>
      <c r="J578">
        <f>IF(J$2=0,"",IFERROR(TRIM(INDEX('Pegar estudiantes'!$A$1:$BZ$1001,577,J$2)&amp;""),""))</f>
        <v/>
      </c>
      <c r="K578">
        <f>IF(K$2=0,"",IFERROR(TRIM(INDEX('Pegar estudiantes'!$A$1:$BZ$1001,577,K$2)&amp;""),""))</f>
        <v/>
      </c>
      <c r="L578" s="25">
        <f>IF(A578&lt;&gt;"",1,"")</f>
        <v/>
      </c>
      <c r="M578" s="25">
        <f>IF(L578=1,IF(ISNUMBER(FIND("#"&amp;MID(A578,1,1)&amp;"#","#0#1#2#3#4#5#6#7#8#9#")),IF(ISNUMBER(FIND("#"&amp;MID(A578,2,1)&amp;"#","#0#1#2#3#4#5#6#7#8#9#")),IF(AND(VALUE(LEFT(A578,2))&gt;=1,VALUE(LEFT(A578,2))&lt;=5),VALUE(LEFT(A578,2)),""),IF(AND(VALUE(LEFT(A578,1))&gt;=1,VALUE(LEFT(A578,1))&lt;=5),VALUE(LEFT(A578,1)),"")),""),"")</f>
        <v/>
      </c>
      <c r="N578" s="25">
        <f>IF(L578=1,IF(ISNUMBER(FIND("#"&amp;MID(H578,1,1)&amp;"#","#0#1#2#3#4#5#6#7#8#9#")),IF(ISNUMBER(FIND("#"&amp;MID(H578,2,1)&amp;"#","#0#1#2#3#4#5#6#7#8#9#")),IF(AND(VALUE(LEFT(H578,2))&gt;=1,VALUE(LEFT(H578,2))&lt;=5),VALUE(LEFT(H578,2)),""),IF(AND(VALUE(LEFT(H578,1))&gt;=1,VALUE(LEFT(H578,1))&lt;=5),VALUE(LEFT(H578,1)),"")),""),"")</f>
        <v/>
      </c>
      <c r="O578" s="25">
        <f>IF(AND(L578=1,B578&lt;&gt;""),SUBSTITUTE(SUBSTITUTE(SUBSTITUTE(SUBSTITUTE(SUBSTITUTE(SUBSTITUTE(SUBSTITUTE(SUBSTITUTE(SUBSTITUTE(SUBSTITUTE(SUBSTITUTE(SUBSTITUTE(LOWER(TRIM(B578)),"á","a"),"é","e"),"í","i"),"ó","o"),"ú","u"),"ü","u"),"ñ","n"),"à","a"),"è","e"),"ì","i"),"ò","o"),"ù","u"),"")</f>
        <v/>
      </c>
      <c r="P578" s="25">
        <f>IF(AND(L578=1,C578&lt;&gt;""),SUBSTITUTE(SUBSTITUTE(SUBSTITUTE(SUBSTITUTE(SUBSTITUTE(SUBSTITUTE(SUBSTITUTE(SUBSTITUTE(SUBSTITUTE(SUBSTITUTE(SUBSTITUTE(SUBSTITUTE(LOWER(TRIM(C578)),"á","a"),"é","e"),"í","i"),"ó","o"),"ú","u"),"ü","u"),"ñ","n"),"à","a"),"è","e"),"ì","i"),"ò","o"),"ù","u"),"")</f>
        <v/>
      </c>
      <c r="Q578" s="25">
        <f>IF(AND(L578=1,E578&lt;&gt;""),SUBSTITUTE(SUBSTITUTE(SUBSTITUTE(SUBSTITUTE(SUBSTITUTE(SUBSTITUTE(SUBSTITUTE(SUBSTITUTE(SUBSTITUTE(SUBSTITUTE(SUBSTITUTE(SUBSTITUTE(LOWER(TRIM(E578)),"á","a"),"é","e"),"í","i"),"ó","o"),"ú","u"),"ü","u"),"ñ","n"),"à","a"),"è","e"),"ì","i"),"ò","o"),"ù","u"),"")</f>
        <v/>
      </c>
      <c r="R578" s="25">
        <f>IF(AND(L578=1,I578&lt;&gt;""),SUBSTITUTE(SUBSTITUTE(SUBSTITUTE(SUBSTITUTE(SUBSTITUTE(SUBSTITUTE(SUBSTITUTE(SUBSTITUTE(SUBSTITUTE(SUBSTITUTE(SUBSTITUTE(SUBSTITUTE(LOWER(TRIM(I578)),"á","a"),"é","e"),"í","i"),"ó","o"),"ú","u"),"ü","u"),"ñ","n"),"à","a"),"è","e"),"ì","i"),"ò","o"),"ù","u"),"")</f>
        <v/>
      </c>
      <c r="S578" s="25">
        <f>IF(R578="","",IF(OR(R578="si",R578="tal vez"),1,0))</f>
        <v/>
      </c>
      <c r="T578" s="25">
        <f>IF(AND(L578=1,D578&lt;&gt;""),IF(IFERROR(COUNTIFS(D$3:D578,"="&amp;SUBSTITUTE(SUBSTITUTE(SUBSTITUTE(D578,"~","~~"),"*","~*"),"?","~?"),L$3:L578,1),0)=1,MAX(T$2:T577)+1,""),"")</f>
        <v/>
      </c>
      <c r="U578" s="25">
        <f>IF(T578="","",COUNTIFS($D$3:$D$1002,"="&amp;SUBSTITUTE(SUBSTITUTE(SUBSTITUTE(D578,"~","~~"),"*","~*"),"?","~?"),$L$3:$L$1002,1)*10000-T578)</f>
        <v/>
      </c>
      <c r="V578" s="25">
        <f>IF(AND(L578=1,J578&lt;&gt;""),IF(IFERROR(COUNTIFS(J$3:J578,"="&amp;SUBSTITUTE(SUBSTITUTE(SUBSTITUTE(J578,"~","~~"),"*","~*"),"?","~?"),L$3:L578,1),0)=1,MAX(V$2:V577)+1,""),"")</f>
        <v/>
      </c>
      <c r="W578" s="25">
        <f>IF(V578="","",COUNTIFS($J$3:$J$1002,"="&amp;SUBSTITUTE(SUBSTITUTE(SUBSTITUTE(J578,"~","~~"),"*","~*"),"?","~?"),$L$3:$L$1002,1)*10000-V578)</f>
        <v/>
      </c>
    </row>
    <row r="579">
      <c r="A579">
        <f>IF(A$2=0,"",IFERROR(TRIM(INDEX('Pegar estudiantes'!$A$1:$BZ$1001,578,A$2)&amp;""),""))</f>
        <v/>
      </c>
      <c r="B579">
        <f>IF(B$2=0,"",IFERROR(TRIM(INDEX('Pegar estudiantes'!$A$1:$BZ$1001,578,B$2)&amp;""),""))</f>
        <v/>
      </c>
      <c r="C579">
        <f>IF(C$2=0,"",IFERROR(TRIM(INDEX('Pegar estudiantes'!$A$1:$BZ$1001,578,C$2)&amp;""),""))</f>
        <v/>
      </c>
      <c r="D579">
        <f>IF(D$2=0,"",IFERROR(TRIM(INDEX('Pegar estudiantes'!$A$1:$BZ$1001,578,D$2)&amp;""),""))</f>
        <v/>
      </c>
      <c r="E579">
        <f>IF(E$2=0,"",IFERROR(TRIM(INDEX('Pegar estudiantes'!$A$1:$BZ$1001,578,E$2)&amp;""),""))</f>
        <v/>
      </c>
      <c r="F579">
        <f>IF(F$2=0,"",IFERROR(TRIM(INDEX('Pegar estudiantes'!$A$1:$BZ$1001,578,F$2)&amp;""),""))</f>
        <v/>
      </c>
      <c r="G579">
        <f>IF(G$2=0,"",IFERROR(TRIM(INDEX('Pegar estudiantes'!$A$1:$BZ$1001,578,G$2)&amp;""),""))</f>
        <v/>
      </c>
      <c r="H579">
        <f>IF(H$2=0,"",IFERROR(TRIM(INDEX('Pegar estudiantes'!$A$1:$BZ$1001,578,H$2)&amp;""),""))</f>
        <v/>
      </c>
      <c r="I579">
        <f>IF(I$2=0,"",IFERROR(TRIM(INDEX('Pegar estudiantes'!$A$1:$BZ$1001,578,I$2)&amp;""),""))</f>
        <v/>
      </c>
      <c r="J579">
        <f>IF(J$2=0,"",IFERROR(TRIM(INDEX('Pegar estudiantes'!$A$1:$BZ$1001,578,J$2)&amp;""),""))</f>
        <v/>
      </c>
      <c r="K579">
        <f>IF(K$2=0,"",IFERROR(TRIM(INDEX('Pegar estudiantes'!$A$1:$BZ$1001,578,K$2)&amp;""),""))</f>
        <v/>
      </c>
      <c r="L579" s="25">
        <f>IF(A579&lt;&gt;"",1,"")</f>
        <v/>
      </c>
      <c r="M579" s="25">
        <f>IF(L579=1,IF(ISNUMBER(FIND("#"&amp;MID(A579,1,1)&amp;"#","#0#1#2#3#4#5#6#7#8#9#")),IF(ISNUMBER(FIND("#"&amp;MID(A579,2,1)&amp;"#","#0#1#2#3#4#5#6#7#8#9#")),IF(AND(VALUE(LEFT(A579,2))&gt;=1,VALUE(LEFT(A579,2))&lt;=5),VALUE(LEFT(A579,2)),""),IF(AND(VALUE(LEFT(A579,1))&gt;=1,VALUE(LEFT(A579,1))&lt;=5),VALUE(LEFT(A579,1)),"")),""),"")</f>
        <v/>
      </c>
      <c r="N579" s="25">
        <f>IF(L579=1,IF(ISNUMBER(FIND("#"&amp;MID(H579,1,1)&amp;"#","#0#1#2#3#4#5#6#7#8#9#")),IF(ISNUMBER(FIND("#"&amp;MID(H579,2,1)&amp;"#","#0#1#2#3#4#5#6#7#8#9#")),IF(AND(VALUE(LEFT(H579,2))&gt;=1,VALUE(LEFT(H579,2))&lt;=5),VALUE(LEFT(H579,2)),""),IF(AND(VALUE(LEFT(H579,1))&gt;=1,VALUE(LEFT(H579,1))&lt;=5),VALUE(LEFT(H579,1)),"")),""),"")</f>
        <v/>
      </c>
      <c r="O579" s="25">
        <f>IF(AND(L579=1,B579&lt;&gt;""),SUBSTITUTE(SUBSTITUTE(SUBSTITUTE(SUBSTITUTE(SUBSTITUTE(SUBSTITUTE(SUBSTITUTE(SUBSTITUTE(SUBSTITUTE(SUBSTITUTE(SUBSTITUTE(SUBSTITUTE(LOWER(TRIM(B579)),"á","a"),"é","e"),"í","i"),"ó","o"),"ú","u"),"ü","u"),"ñ","n"),"à","a"),"è","e"),"ì","i"),"ò","o"),"ù","u"),"")</f>
        <v/>
      </c>
      <c r="P579" s="25">
        <f>IF(AND(L579=1,C579&lt;&gt;""),SUBSTITUTE(SUBSTITUTE(SUBSTITUTE(SUBSTITUTE(SUBSTITUTE(SUBSTITUTE(SUBSTITUTE(SUBSTITUTE(SUBSTITUTE(SUBSTITUTE(SUBSTITUTE(SUBSTITUTE(LOWER(TRIM(C579)),"á","a"),"é","e"),"í","i"),"ó","o"),"ú","u"),"ü","u"),"ñ","n"),"à","a"),"è","e"),"ì","i"),"ò","o"),"ù","u"),"")</f>
        <v/>
      </c>
      <c r="Q579" s="25">
        <f>IF(AND(L579=1,E579&lt;&gt;""),SUBSTITUTE(SUBSTITUTE(SUBSTITUTE(SUBSTITUTE(SUBSTITUTE(SUBSTITUTE(SUBSTITUTE(SUBSTITUTE(SUBSTITUTE(SUBSTITUTE(SUBSTITUTE(SUBSTITUTE(LOWER(TRIM(E579)),"á","a"),"é","e"),"í","i"),"ó","o"),"ú","u"),"ü","u"),"ñ","n"),"à","a"),"è","e"),"ì","i"),"ò","o"),"ù","u"),"")</f>
        <v/>
      </c>
      <c r="R579" s="25">
        <f>IF(AND(L579=1,I579&lt;&gt;""),SUBSTITUTE(SUBSTITUTE(SUBSTITUTE(SUBSTITUTE(SUBSTITUTE(SUBSTITUTE(SUBSTITUTE(SUBSTITUTE(SUBSTITUTE(SUBSTITUTE(SUBSTITUTE(SUBSTITUTE(LOWER(TRIM(I579)),"á","a"),"é","e"),"í","i"),"ó","o"),"ú","u"),"ü","u"),"ñ","n"),"à","a"),"è","e"),"ì","i"),"ò","o"),"ù","u"),"")</f>
        <v/>
      </c>
      <c r="S579" s="25">
        <f>IF(R579="","",IF(OR(R579="si",R579="tal vez"),1,0))</f>
        <v/>
      </c>
      <c r="T579" s="25">
        <f>IF(AND(L579=1,D579&lt;&gt;""),IF(IFERROR(COUNTIFS(D$3:D579,"="&amp;SUBSTITUTE(SUBSTITUTE(SUBSTITUTE(D579,"~","~~"),"*","~*"),"?","~?"),L$3:L579,1),0)=1,MAX(T$2:T578)+1,""),"")</f>
        <v/>
      </c>
      <c r="U579" s="25">
        <f>IF(T579="","",COUNTIFS($D$3:$D$1002,"="&amp;SUBSTITUTE(SUBSTITUTE(SUBSTITUTE(D579,"~","~~"),"*","~*"),"?","~?"),$L$3:$L$1002,1)*10000-T579)</f>
        <v/>
      </c>
      <c r="V579" s="25">
        <f>IF(AND(L579=1,J579&lt;&gt;""),IF(IFERROR(COUNTIFS(J$3:J579,"="&amp;SUBSTITUTE(SUBSTITUTE(SUBSTITUTE(J579,"~","~~"),"*","~*"),"?","~?"),L$3:L579,1),0)=1,MAX(V$2:V578)+1,""),"")</f>
        <v/>
      </c>
      <c r="W579" s="25">
        <f>IF(V579="","",COUNTIFS($J$3:$J$1002,"="&amp;SUBSTITUTE(SUBSTITUTE(SUBSTITUTE(J579,"~","~~"),"*","~*"),"?","~?"),$L$3:$L$1002,1)*10000-V579)</f>
        <v/>
      </c>
    </row>
    <row r="580">
      <c r="A580">
        <f>IF(A$2=0,"",IFERROR(TRIM(INDEX('Pegar estudiantes'!$A$1:$BZ$1001,579,A$2)&amp;""),""))</f>
        <v/>
      </c>
      <c r="B580">
        <f>IF(B$2=0,"",IFERROR(TRIM(INDEX('Pegar estudiantes'!$A$1:$BZ$1001,579,B$2)&amp;""),""))</f>
        <v/>
      </c>
      <c r="C580">
        <f>IF(C$2=0,"",IFERROR(TRIM(INDEX('Pegar estudiantes'!$A$1:$BZ$1001,579,C$2)&amp;""),""))</f>
        <v/>
      </c>
      <c r="D580">
        <f>IF(D$2=0,"",IFERROR(TRIM(INDEX('Pegar estudiantes'!$A$1:$BZ$1001,579,D$2)&amp;""),""))</f>
        <v/>
      </c>
      <c r="E580">
        <f>IF(E$2=0,"",IFERROR(TRIM(INDEX('Pegar estudiantes'!$A$1:$BZ$1001,579,E$2)&amp;""),""))</f>
        <v/>
      </c>
      <c r="F580">
        <f>IF(F$2=0,"",IFERROR(TRIM(INDEX('Pegar estudiantes'!$A$1:$BZ$1001,579,F$2)&amp;""),""))</f>
        <v/>
      </c>
      <c r="G580">
        <f>IF(G$2=0,"",IFERROR(TRIM(INDEX('Pegar estudiantes'!$A$1:$BZ$1001,579,G$2)&amp;""),""))</f>
        <v/>
      </c>
      <c r="H580">
        <f>IF(H$2=0,"",IFERROR(TRIM(INDEX('Pegar estudiantes'!$A$1:$BZ$1001,579,H$2)&amp;""),""))</f>
        <v/>
      </c>
      <c r="I580">
        <f>IF(I$2=0,"",IFERROR(TRIM(INDEX('Pegar estudiantes'!$A$1:$BZ$1001,579,I$2)&amp;""),""))</f>
        <v/>
      </c>
      <c r="J580">
        <f>IF(J$2=0,"",IFERROR(TRIM(INDEX('Pegar estudiantes'!$A$1:$BZ$1001,579,J$2)&amp;""),""))</f>
        <v/>
      </c>
      <c r="K580">
        <f>IF(K$2=0,"",IFERROR(TRIM(INDEX('Pegar estudiantes'!$A$1:$BZ$1001,579,K$2)&amp;""),""))</f>
        <v/>
      </c>
      <c r="L580" s="25">
        <f>IF(A580&lt;&gt;"",1,"")</f>
        <v/>
      </c>
      <c r="M580" s="25">
        <f>IF(L580=1,IF(ISNUMBER(FIND("#"&amp;MID(A580,1,1)&amp;"#","#0#1#2#3#4#5#6#7#8#9#")),IF(ISNUMBER(FIND("#"&amp;MID(A580,2,1)&amp;"#","#0#1#2#3#4#5#6#7#8#9#")),IF(AND(VALUE(LEFT(A580,2))&gt;=1,VALUE(LEFT(A580,2))&lt;=5),VALUE(LEFT(A580,2)),""),IF(AND(VALUE(LEFT(A580,1))&gt;=1,VALUE(LEFT(A580,1))&lt;=5),VALUE(LEFT(A580,1)),"")),""),"")</f>
        <v/>
      </c>
      <c r="N580" s="25">
        <f>IF(L580=1,IF(ISNUMBER(FIND("#"&amp;MID(H580,1,1)&amp;"#","#0#1#2#3#4#5#6#7#8#9#")),IF(ISNUMBER(FIND("#"&amp;MID(H580,2,1)&amp;"#","#0#1#2#3#4#5#6#7#8#9#")),IF(AND(VALUE(LEFT(H580,2))&gt;=1,VALUE(LEFT(H580,2))&lt;=5),VALUE(LEFT(H580,2)),""),IF(AND(VALUE(LEFT(H580,1))&gt;=1,VALUE(LEFT(H580,1))&lt;=5),VALUE(LEFT(H580,1)),"")),""),"")</f>
        <v/>
      </c>
      <c r="O580" s="25">
        <f>IF(AND(L580=1,B580&lt;&gt;""),SUBSTITUTE(SUBSTITUTE(SUBSTITUTE(SUBSTITUTE(SUBSTITUTE(SUBSTITUTE(SUBSTITUTE(SUBSTITUTE(SUBSTITUTE(SUBSTITUTE(SUBSTITUTE(SUBSTITUTE(LOWER(TRIM(B580)),"á","a"),"é","e"),"í","i"),"ó","o"),"ú","u"),"ü","u"),"ñ","n"),"à","a"),"è","e"),"ì","i"),"ò","o"),"ù","u"),"")</f>
        <v/>
      </c>
      <c r="P580" s="25">
        <f>IF(AND(L580=1,C580&lt;&gt;""),SUBSTITUTE(SUBSTITUTE(SUBSTITUTE(SUBSTITUTE(SUBSTITUTE(SUBSTITUTE(SUBSTITUTE(SUBSTITUTE(SUBSTITUTE(SUBSTITUTE(SUBSTITUTE(SUBSTITUTE(LOWER(TRIM(C580)),"á","a"),"é","e"),"í","i"),"ó","o"),"ú","u"),"ü","u"),"ñ","n"),"à","a"),"è","e"),"ì","i"),"ò","o"),"ù","u"),"")</f>
        <v/>
      </c>
      <c r="Q580" s="25">
        <f>IF(AND(L580=1,E580&lt;&gt;""),SUBSTITUTE(SUBSTITUTE(SUBSTITUTE(SUBSTITUTE(SUBSTITUTE(SUBSTITUTE(SUBSTITUTE(SUBSTITUTE(SUBSTITUTE(SUBSTITUTE(SUBSTITUTE(SUBSTITUTE(LOWER(TRIM(E580)),"á","a"),"é","e"),"í","i"),"ó","o"),"ú","u"),"ü","u"),"ñ","n"),"à","a"),"è","e"),"ì","i"),"ò","o"),"ù","u"),"")</f>
        <v/>
      </c>
      <c r="R580" s="25">
        <f>IF(AND(L580=1,I580&lt;&gt;""),SUBSTITUTE(SUBSTITUTE(SUBSTITUTE(SUBSTITUTE(SUBSTITUTE(SUBSTITUTE(SUBSTITUTE(SUBSTITUTE(SUBSTITUTE(SUBSTITUTE(SUBSTITUTE(SUBSTITUTE(LOWER(TRIM(I580)),"á","a"),"é","e"),"í","i"),"ó","o"),"ú","u"),"ü","u"),"ñ","n"),"à","a"),"è","e"),"ì","i"),"ò","o"),"ù","u"),"")</f>
        <v/>
      </c>
      <c r="S580" s="25">
        <f>IF(R580="","",IF(OR(R580="si",R580="tal vez"),1,0))</f>
        <v/>
      </c>
      <c r="T580" s="25">
        <f>IF(AND(L580=1,D580&lt;&gt;""),IF(IFERROR(COUNTIFS(D$3:D580,"="&amp;SUBSTITUTE(SUBSTITUTE(SUBSTITUTE(D580,"~","~~"),"*","~*"),"?","~?"),L$3:L580,1),0)=1,MAX(T$2:T579)+1,""),"")</f>
        <v/>
      </c>
      <c r="U580" s="25">
        <f>IF(T580="","",COUNTIFS($D$3:$D$1002,"="&amp;SUBSTITUTE(SUBSTITUTE(SUBSTITUTE(D580,"~","~~"),"*","~*"),"?","~?"),$L$3:$L$1002,1)*10000-T580)</f>
        <v/>
      </c>
      <c r="V580" s="25">
        <f>IF(AND(L580=1,J580&lt;&gt;""),IF(IFERROR(COUNTIFS(J$3:J580,"="&amp;SUBSTITUTE(SUBSTITUTE(SUBSTITUTE(J580,"~","~~"),"*","~*"),"?","~?"),L$3:L580,1),0)=1,MAX(V$2:V579)+1,""),"")</f>
        <v/>
      </c>
      <c r="W580" s="25">
        <f>IF(V580="","",COUNTIFS($J$3:$J$1002,"="&amp;SUBSTITUTE(SUBSTITUTE(SUBSTITUTE(J580,"~","~~"),"*","~*"),"?","~?"),$L$3:$L$1002,1)*10000-V580)</f>
        <v/>
      </c>
    </row>
    <row r="581">
      <c r="A581">
        <f>IF(A$2=0,"",IFERROR(TRIM(INDEX('Pegar estudiantes'!$A$1:$BZ$1001,580,A$2)&amp;""),""))</f>
        <v/>
      </c>
      <c r="B581">
        <f>IF(B$2=0,"",IFERROR(TRIM(INDEX('Pegar estudiantes'!$A$1:$BZ$1001,580,B$2)&amp;""),""))</f>
        <v/>
      </c>
      <c r="C581">
        <f>IF(C$2=0,"",IFERROR(TRIM(INDEX('Pegar estudiantes'!$A$1:$BZ$1001,580,C$2)&amp;""),""))</f>
        <v/>
      </c>
      <c r="D581">
        <f>IF(D$2=0,"",IFERROR(TRIM(INDEX('Pegar estudiantes'!$A$1:$BZ$1001,580,D$2)&amp;""),""))</f>
        <v/>
      </c>
      <c r="E581">
        <f>IF(E$2=0,"",IFERROR(TRIM(INDEX('Pegar estudiantes'!$A$1:$BZ$1001,580,E$2)&amp;""),""))</f>
        <v/>
      </c>
      <c r="F581">
        <f>IF(F$2=0,"",IFERROR(TRIM(INDEX('Pegar estudiantes'!$A$1:$BZ$1001,580,F$2)&amp;""),""))</f>
        <v/>
      </c>
      <c r="G581">
        <f>IF(G$2=0,"",IFERROR(TRIM(INDEX('Pegar estudiantes'!$A$1:$BZ$1001,580,G$2)&amp;""),""))</f>
        <v/>
      </c>
      <c r="H581">
        <f>IF(H$2=0,"",IFERROR(TRIM(INDEX('Pegar estudiantes'!$A$1:$BZ$1001,580,H$2)&amp;""),""))</f>
        <v/>
      </c>
      <c r="I581">
        <f>IF(I$2=0,"",IFERROR(TRIM(INDEX('Pegar estudiantes'!$A$1:$BZ$1001,580,I$2)&amp;""),""))</f>
        <v/>
      </c>
      <c r="J581">
        <f>IF(J$2=0,"",IFERROR(TRIM(INDEX('Pegar estudiantes'!$A$1:$BZ$1001,580,J$2)&amp;""),""))</f>
        <v/>
      </c>
      <c r="K581">
        <f>IF(K$2=0,"",IFERROR(TRIM(INDEX('Pegar estudiantes'!$A$1:$BZ$1001,580,K$2)&amp;""),""))</f>
        <v/>
      </c>
      <c r="L581" s="25">
        <f>IF(A581&lt;&gt;"",1,"")</f>
        <v/>
      </c>
      <c r="M581" s="25">
        <f>IF(L581=1,IF(ISNUMBER(FIND("#"&amp;MID(A581,1,1)&amp;"#","#0#1#2#3#4#5#6#7#8#9#")),IF(ISNUMBER(FIND("#"&amp;MID(A581,2,1)&amp;"#","#0#1#2#3#4#5#6#7#8#9#")),IF(AND(VALUE(LEFT(A581,2))&gt;=1,VALUE(LEFT(A581,2))&lt;=5),VALUE(LEFT(A581,2)),""),IF(AND(VALUE(LEFT(A581,1))&gt;=1,VALUE(LEFT(A581,1))&lt;=5),VALUE(LEFT(A581,1)),"")),""),"")</f>
        <v/>
      </c>
      <c r="N581" s="25">
        <f>IF(L581=1,IF(ISNUMBER(FIND("#"&amp;MID(H581,1,1)&amp;"#","#0#1#2#3#4#5#6#7#8#9#")),IF(ISNUMBER(FIND("#"&amp;MID(H581,2,1)&amp;"#","#0#1#2#3#4#5#6#7#8#9#")),IF(AND(VALUE(LEFT(H581,2))&gt;=1,VALUE(LEFT(H581,2))&lt;=5),VALUE(LEFT(H581,2)),""),IF(AND(VALUE(LEFT(H581,1))&gt;=1,VALUE(LEFT(H581,1))&lt;=5),VALUE(LEFT(H581,1)),"")),""),"")</f>
        <v/>
      </c>
      <c r="O581" s="25">
        <f>IF(AND(L581=1,B581&lt;&gt;""),SUBSTITUTE(SUBSTITUTE(SUBSTITUTE(SUBSTITUTE(SUBSTITUTE(SUBSTITUTE(SUBSTITUTE(SUBSTITUTE(SUBSTITUTE(SUBSTITUTE(SUBSTITUTE(SUBSTITUTE(LOWER(TRIM(B581)),"á","a"),"é","e"),"í","i"),"ó","o"),"ú","u"),"ü","u"),"ñ","n"),"à","a"),"è","e"),"ì","i"),"ò","o"),"ù","u"),"")</f>
        <v/>
      </c>
      <c r="P581" s="25">
        <f>IF(AND(L581=1,C581&lt;&gt;""),SUBSTITUTE(SUBSTITUTE(SUBSTITUTE(SUBSTITUTE(SUBSTITUTE(SUBSTITUTE(SUBSTITUTE(SUBSTITUTE(SUBSTITUTE(SUBSTITUTE(SUBSTITUTE(SUBSTITUTE(LOWER(TRIM(C581)),"á","a"),"é","e"),"í","i"),"ó","o"),"ú","u"),"ü","u"),"ñ","n"),"à","a"),"è","e"),"ì","i"),"ò","o"),"ù","u"),"")</f>
        <v/>
      </c>
      <c r="Q581" s="25">
        <f>IF(AND(L581=1,E581&lt;&gt;""),SUBSTITUTE(SUBSTITUTE(SUBSTITUTE(SUBSTITUTE(SUBSTITUTE(SUBSTITUTE(SUBSTITUTE(SUBSTITUTE(SUBSTITUTE(SUBSTITUTE(SUBSTITUTE(SUBSTITUTE(LOWER(TRIM(E581)),"á","a"),"é","e"),"í","i"),"ó","o"),"ú","u"),"ü","u"),"ñ","n"),"à","a"),"è","e"),"ì","i"),"ò","o"),"ù","u"),"")</f>
        <v/>
      </c>
      <c r="R581" s="25">
        <f>IF(AND(L581=1,I581&lt;&gt;""),SUBSTITUTE(SUBSTITUTE(SUBSTITUTE(SUBSTITUTE(SUBSTITUTE(SUBSTITUTE(SUBSTITUTE(SUBSTITUTE(SUBSTITUTE(SUBSTITUTE(SUBSTITUTE(SUBSTITUTE(LOWER(TRIM(I581)),"á","a"),"é","e"),"í","i"),"ó","o"),"ú","u"),"ü","u"),"ñ","n"),"à","a"),"è","e"),"ì","i"),"ò","o"),"ù","u"),"")</f>
        <v/>
      </c>
      <c r="S581" s="25">
        <f>IF(R581="","",IF(OR(R581="si",R581="tal vez"),1,0))</f>
        <v/>
      </c>
      <c r="T581" s="25">
        <f>IF(AND(L581=1,D581&lt;&gt;""),IF(IFERROR(COUNTIFS(D$3:D581,"="&amp;SUBSTITUTE(SUBSTITUTE(SUBSTITUTE(D581,"~","~~"),"*","~*"),"?","~?"),L$3:L581,1),0)=1,MAX(T$2:T580)+1,""),"")</f>
        <v/>
      </c>
      <c r="U581" s="25">
        <f>IF(T581="","",COUNTIFS($D$3:$D$1002,"="&amp;SUBSTITUTE(SUBSTITUTE(SUBSTITUTE(D581,"~","~~"),"*","~*"),"?","~?"),$L$3:$L$1002,1)*10000-T581)</f>
        <v/>
      </c>
      <c r="V581" s="25">
        <f>IF(AND(L581=1,J581&lt;&gt;""),IF(IFERROR(COUNTIFS(J$3:J581,"="&amp;SUBSTITUTE(SUBSTITUTE(SUBSTITUTE(J581,"~","~~"),"*","~*"),"?","~?"),L$3:L581,1),0)=1,MAX(V$2:V580)+1,""),"")</f>
        <v/>
      </c>
      <c r="W581" s="25">
        <f>IF(V581="","",COUNTIFS($J$3:$J$1002,"="&amp;SUBSTITUTE(SUBSTITUTE(SUBSTITUTE(J581,"~","~~"),"*","~*"),"?","~?"),$L$3:$L$1002,1)*10000-V581)</f>
        <v/>
      </c>
    </row>
    <row r="582">
      <c r="A582">
        <f>IF(A$2=0,"",IFERROR(TRIM(INDEX('Pegar estudiantes'!$A$1:$BZ$1001,581,A$2)&amp;""),""))</f>
        <v/>
      </c>
      <c r="B582">
        <f>IF(B$2=0,"",IFERROR(TRIM(INDEX('Pegar estudiantes'!$A$1:$BZ$1001,581,B$2)&amp;""),""))</f>
        <v/>
      </c>
      <c r="C582">
        <f>IF(C$2=0,"",IFERROR(TRIM(INDEX('Pegar estudiantes'!$A$1:$BZ$1001,581,C$2)&amp;""),""))</f>
        <v/>
      </c>
      <c r="D582">
        <f>IF(D$2=0,"",IFERROR(TRIM(INDEX('Pegar estudiantes'!$A$1:$BZ$1001,581,D$2)&amp;""),""))</f>
        <v/>
      </c>
      <c r="E582">
        <f>IF(E$2=0,"",IFERROR(TRIM(INDEX('Pegar estudiantes'!$A$1:$BZ$1001,581,E$2)&amp;""),""))</f>
        <v/>
      </c>
      <c r="F582">
        <f>IF(F$2=0,"",IFERROR(TRIM(INDEX('Pegar estudiantes'!$A$1:$BZ$1001,581,F$2)&amp;""),""))</f>
        <v/>
      </c>
      <c r="G582">
        <f>IF(G$2=0,"",IFERROR(TRIM(INDEX('Pegar estudiantes'!$A$1:$BZ$1001,581,G$2)&amp;""),""))</f>
        <v/>
      </c>
      <c r="H582">
        <f>IF(H$2=0,"",IFERROR(TRIM(INDEX('Pegar estudiantes'!$A$1:$BZ$1001,581,H$2)&amp;""),""))</f>
        <v/>
      </c>
      <c r="I582">
        <f>IF(I$2=0,"",IFERROR(TRIM(INDEX('Pegar estudiantes'!$A$1:$BZ$1001,581,I$2)&amp;""),""))</f>
        <v/>
      </c>
      <c r="J582">
        <f>IF(J$2=0,"",IFERROR(TRIM(INDEX('Pegar estudiantes'!$A$1:$BZ$1001,581,J$2)&amp;""),""))</f>
        <v/>
      </c>
      <c r="K582">
        <f>IF(K$2=0,"",IFERROR(TRIM(INDEX('Pegar estudiantes'!$A$1:$BZ$1001,581,K$2)&amp;""),""))</f>
        <v/>
      </c>
      <c r="L582" s="25">
        <f>IF(A582&lt;&gt;"",1,"")</f>
        <v/>
      </c>
      <c r="M582" s="25">
        <f>IF(L582=1,IF(ISNUMBER(FIND("#"&amp;MID(A582,1,1)&amp;"#","#0#1#2#3#4#5#6#7#8#9#")),IF(ISNUMBER(FIND("#"&amp;MID(A582,2,1)&amp;"#","#0#1#2#3#4#5#6#7#8#9#")),IF(AND(VALUE(LEFT(A582,2))&gt;=1,VALUE(LEFT(A582,2))&lt;=5),VALUE(LEFT(A582,2)),""),IF(AND(VALUE(LEFT(A582,1))&gt;=1,VALUE(LEFT(A582,1))&lt;=5),VALUE(LEFT(A582,1)),"")),""),"")</f>
        <v/>
      </c>
      <c r="N582" s="25">
        <f>IF(L582=1,IF(ISNUMBER(FIND("#"&amp;MID(H582,1,1)&amp;"#","#0#1#2#3#4#5#6#7#8#9#")),IF(ISNUMBER(FIND("#"&amp;MID(H582,2,1)&amp;"#","#0#1#2#3#4#5#6#7#8#9#")),IF(AND(VALUE(LEFT(H582,2))&gt;=1,VALUE(LEFT(H582,2))&lt;=5),VALUE(LEFT(H582,2)),""),IF(AND(VALUE(LEFT(H582,1))&gt;=1,VALUE(LEFT(H582,1))&lt;=5),VALUE(LEFT(H582,1)),"")),""),"")</f>
        <v/>
      </c>
      <c r="O582" s="25">
        <f>IF(AND(L582=1,B582&lt;&gt;""),SUBSTITUTE(SUBSTITUTE(SUBSTITUTE(SUBSTITUTE(SUBSTITUTE(SUBSTITUTE(SUBSTITUTE(SUBSTITUTE(SUBSTITUTE(SUBSTITUTE(SUBSTITUTE(SUBSTITUTE(LOWER(TRIM(B582)),"á","a"),"é","e"),"í","i"),"ó","o"),"ú","u"),"ü","u"),"ñ","n"),"à","a"),"è","e"),"ì","i"),"ò","o"),"ù","u"),"")</f>
        <v/>
      </c>
      <c r="P582" s="25">
        <f>IF(AND(L582=1,C582&lt;&gt;""),SUBSTITUTE(SUBSTITUTE(SUBSTITUTE(SUBSTITUTE(SUBSTITUTE(SUBSTITUTE(SUBSTITUTE(SUBSTITUTE(SUBSTITUTE(SUBSTITUTE(SUBSTITUTE(SUBSTITUTE(LOWER(TRIM(C582)),"á","a"),"é","e"),"í","i"),"ó","o"),"ú","u"),"ü","u"),"ñ","n"),"à","a"),"è","e"),"ì","i"),"ò","o"),"ù","u"),"")</f>
        <v/>
      </c>
      <c r="Q582" s="25">
        <f>IF(AND(L582=1,E582&lt;&gt;""),SUBSTITUTE(SUBSTITUTE(SUBSTITUTE(SUBSTITUTE(SUBSTITUTE(SUBSTITUTE(SUBSTITUTE(SUBSTITUTE(SUBSTITUTE(SUBSTITUTE(SUBSTITUTE(SUBSTITUTE(LOWER(TRIM(E582)),"á","a"),"é","e"),"í","i"),"ó","o"),"ú","u"),"ü","u"),"ñ","n"),"à","a"),"è","e"),"ì","i"),"ò","o"),"ù","u"),"")</f>
        <v/>
      </c>
      <c r="R582" s="25">
        <f>IF(AND(L582=1,I582&lt;&gt;""),SUBSTITUTE(SUBSTITUTE(SUBSTITUTE(SUBSTITUTE(SUBSTITUTE(SUBSTITUTE(SUBSTITUTE(SUBSTITUTE(SUBSTITUTE(SUBSTITUTE(SUBSTITUTE(SUBSTITUTE(LOWER(TRIM(I582)),"á","a"),"é","e"),"í","i"),"ó","o"),"ú","u"),"ü","u"),"ñ","n"),"à","a"),"è","e"),"ì","i"),"ò","o"),"ù","u"),"")</f>
        <v/>
      </c>
      <c r="S582" s="25">
        <f>IF(R582="","",IF(OR(R582="si",R582="tal vez"),1,0))</f>
        <v/>
      </c>
      <c r="T582" s="25">
        <f>IF(AND(L582=1,D582&lt;&gt;""),IF(IFERROR(COUNTIFS(D$3:D582,"="&amp;SUBSTITUTE(SUBSTITUTE(SUBSTITUTE(D582,"~","~~"),"*","~*"),"?","~?"),L$3:L582,1),0)=1,MAX(T$2:T581)+1,""),"")</f>
        <v/>
      </c>
      <c r="U582" s="25">
        <f>IF(T582="","",COUNTIFS($D$3:$D$1002,"="&amp;SUBSTITUTE(SUBSTITUTE(SUBSTITUTE(D582,"~","~~"),"*","~*"),"?","~?"),$L$3:$L$1002,1)*10000-T582)</f>
        <v/>
      </c>
      <c r="V582" s="25">
        <f>IF(AND(L582=1,J582&lt;&gt;""),IF(IFERROR(COUNTIFS(J$3:J582,"="&amp;SUBSTITUTE(SUBSTITUTE(SUBSTITUTE(J582,"~","~~"),"*","~*"),"?","~?"),L$3:L582,1),0)=1,MAX(V$2:V581)+1,""),"")</f>
        <v/>
      </c>
      <c r="W582" s="25">
        <f>IF(V582="","",COUNTIFS($J$3:$J$1002,"="&amp;SUBSTITUTE(SUBSTITUTE(SUBSTITUTE(J582,"~","~~"),"*","~*"),"?","~?"),$L$3:$L$1002,1)*10000-V582)</f>
        <v/>
      </c>
    </row>
    <row r="583">
      <c r="A583">
        <f>IF(A$2=0,"",IFERROR(TRIM(INDEX('Pegar estudiantes'!$A$1:$BZ$1001,582,A$2)&amp;""),""))</f>
        <v/>
      </c>
      <c r="B583">
        <f>IF(B$2=0,"",IFERROR(TRIM(INDEX('Pegar estudiantes'!$A$1:$BZ$1001,582,B$2)&amp;""),""))</f>
        <v/>
      </c>
      <c r="C583">
        <f>IF(C$2=0,"",IFERROR(TRIM(INDEX('Pegar estudiantes'!$A$1:$BZ$1001,582,C$2)&amp;""),""))</f>
        <v/>
      </c>
      <c r="D583">
        <f>IF(D$2=0,"",IFERROR(TRIM(INDEX('Pegar estudiantes'!$A$1:$BZ$1001,582,D$2)&amp;""),""))</f>
        <v/>
      </c>
      <c r="E583">
        <f>IF(E$2=0,"",IFERROR(TRIM(INDEX('Pegar estudiantes'!$A$1:$BZ$1001,582,E$2)&amp;""),""))</f>
        <v/>
      </c>
      <c r="F583">
        <f>IF(F$2=0,"",IFERROR(TRIM(INDEX('Pegar estudiantes'!$A$1:$BZ$1001,582,F$2)&amp;""),""))</f>
        <v/>
      </c>
      <c r="G583">
        <f>IF(G$2=0,"",IFERROR(TRIM(INDEX('Pegar estudiantes'!$A$1:$BZ$1001,582,G$2)&amp;""),""))</f>
        <v/>
      </c>
      <c r="H583">
        <f>IF(H$2=0,"",IFERROR(TRIM(INDEX('Pegar estudiantes'!$A$1:$BZ$1001,582,H$2)&amp;""),""))</f>
        <v/>
      </c>
      <c r="I583">
        <f>IF(I$2=0,"",IFERROR(TRIM(INDEX('Pegar estudiantes'!$A$1:$BZ$1001,582,I$2)&amp;""),""))</f>
        <v/>
      </c>
      <c r="J583">
        <f>IF(J$2=0,"",IFERROR(TRIM(INDEX('Pegar estudiantes'!$A$1:$BZ$1001,582,J$2)&amp;""),""))</f>
        <v/>
      </c>
      <c r="K583">
        <f>IF(K$2=0,"",IFERROR(TRIM(INDEX('Pegar estudiantes'!$A$1:$BZ$1001,582,K$2)&amp;""),""))</f>
        <v/>
      </c>
      <c r="L583" s="25">
        <f>IF(A583&lt;&gt;"",1,"")</f>
        <v/>
      </c>
      <c r="M583" s="25">
        <f>IF(L583=1,IF(ISNUMBER(FIND("#"&amp;MID(A583,1,1)&amp;"#","#0#1#2#3#4#5#6#7#8#9#")),IF(ISNUMBER(FIND("#"&amp;MID(A583,2,1)&amp;"#","#0#1#2#3#4#5#6#7#8#9#")),IF(AND(VALUE(LEFT(A583,2))&gt;=1,VALUE(LEFT(A583,2))&lt;=5),VALUE(LEFT(A583,2)),""),IF(AND(VALUE(LEFT(A583,1))&gt;=1,VALUE(LEFT(A583,1))&lt;=5),VALUE(LEFT(A583,1)),"")),""),"")</f>
        <v/>
      </c>
      <c r="N583" s="25">
        <f>IF(L583=1,IF(ISNUMBER(FIND("#"&amp;MID(H583,1,1)&amp;"#","#0#1#2#3#4#5#6#7#8#9#")),IF(ISNUMBER(FIND("#"&amp;MID(H583,2,1)&amp;"#","#0#1#2#3#4#5#6#7#8#9#")),IF(AND(VALUE(LEFT(H583,2))&gt;=1,VALUE(LEFT(H583,2))&lt;=5),VALUE(LEFT(H583,2)),""),IF(AND(VALUE(LEFT(H583,1))&gt;=1,VALUE(LEFT(H583,1))&lt;=5),VALUE(LEFT(H583,1)),"")),""),"")</f>
        <v/>
      </c>
      <c r="O583" s="25">
        <f>IF(AND(L583=1,B583&lt;&gt;""),SUBSTITUTE(SUBSTITUTE(SUBSTITUTE(SUBSTITUTE(SUBSTITUTE(SUBSTITUTE(SUBSTITUTE(SUBSTITUTE(SUBSTITUTE(SUBSTITUTE(SUBSTITUTE(SUBSTITUTE(LOWER(TRIM(B583)),"á","a"),"é","e"),"í","i"),"ó","o"),"ú","u"),"ü","u"),"ñ","n"),"à","a"),"è","e"),"ì","i"),"ò","o"),"ù","u"),"")</f>
        <v/>
      </c>
      <c r="P583" s="25">
        <f>IF(AND(L583=1,C583&lt;&gt;""),SUBSTITUTE(SUBSTITUTE(SUBSTITUTE(SUBSTITUTE(SUBSTITUTE(SUBSTITUTE(SUBSTITUTE(SUBSTITUTE(SUBSTITUTE(SUBSTITUTE(SUBSTITUTE(SUBSTITUTE(LOWER(TRIM(C583)),"á","a"),"é","e"),"í","i"),"ó","o"),"ú","u"),"ü","u"),"ñ","n"),"à","a"),"è","e"),"ì","i"),"ò","o"),"ù","u"),"")</f>
        <v/>
      </c>
      <c r="Q583" s="25">
        <f>IF(AND(L583=1,E583&lt;&gt;""),SUBSTITUTE(SUBSTITUTE(SUBSTITUTE(SUBSTITUTE(SUBSTITUTE(SUBSTITUTE(SUBSTITUTE(SUBSTITUTE(SUBSTITUTE(SUBSTITUTE(SUBSTITUTE(SUBSTITUTE(LOWER(TRIM(E583)),"á","a"),"é","e"),"í","i"),"ó","o"),"ú","u"),"ü","u"),"ñ","n"),"à","a"),"è","e"),"ì","i"),"ò","o"),"ù","u"),"")</f>
        <v/>
      </c>
      <c r="R583" s="25">
        <f>IF(AND(L583=1,I583&lt;&gt;""),SUBSTITUTE(SUBSTITUTE(SUBSTITUTE(SUBSTITUTE(SUBSTITUTE(SUBSTITUTE(SUBSTITUTE(SUBSTITUTE(SUBSTITUTE(SUBSTITUTE(SUBSTITUTE(SUBSTITUTE(LOWER(TRIM(I583)),"á","a"),"é","e"),"í","i"),"ó","o"),"ú","u"),"ü","u"),"ñ","n"),"à","a"),"è","e"),"ì","i"),"ò","o"),"ù","u"),"")</f>
        <v/>
      </c>
      <c r="S583" s="25">
        <f>IF(R583="","",IF(OR(R583="si",R583="tal vez"),1,0))</f>
        <v/>
      </c>
      <c r="T583" s="25">
        <f>IF(AND(L583=1,D583&lt;&gt;""),IF(IFERROR(COUNTIFS(D$3:D583,"="&amp;SUBSTITUTE(SUBSTITUTE(SUBSTITUTE(D583,"~","~~"),"*","~*"),"?","~?"),L$3:L583,1),0)=1,MAX(T$2:T582)+1,""),"")</f>
        <v/>
      </c>
      <c r="U583" s="25">
        <f>IF(T583="","",COUNTIFS($D$3:$D$1002,"="&amp;SUBSTITUTE(SUBSTITUTE(SUBSTITUTE(D583,"~","~~"),"*","~*"),"?","~?"),$L$3:$L$1002,1)*10000-T583)</f>
        <v/>
      </c>
      <c r="V583" s="25">
        <f>IF(AND(L583=1,J583&lt;&gt;""),IF(IFERROR(COUNTIFS(J$3:J583,"="&amp;SUBSTITUTE(SUBSTITUTE(SUBSTITUTE(J583,"~","~~"),"*","~*"),"?","~?"),L$3:L583,1),0)=1,MAX(V$2:V582)+1,""),"")</f>
        <v/>
      </c>
      <c r="W583" s="25">
        <f>IF(V583="","",COUNTIFS($J$3:$J$1002,"="&amp;SUBSTITUTE(SUBSTITUTE(SUBSTITUTE(J583,"~","~~"),"*","~*"),"?","~?"),$L$3:$L$1002,1)*10000-V583)</f>
        <v/>
      </c>
    </row>
    <row r="584">
      <c r="A584">
        <f>IF(A$2=0,"",IFERROR(TRIM(INDEX('Pegar estudiantes'!$A$1:$BZ$1001,583,A$2)&amp;""),""))</f>
        <v/>
      </c>
      <c r="B584">
        <f>IF(B$2=0,"",IFERROR(TRIM(INDEX('Pegar estudiantes'!$A$1:$BZ$1001,583,B$2)&amp;""),""))</f>
        <v/>
      </c>
      <c r="C584">
        <f>IF(C$2=0,"",IFERROR(TRIM(INDEX('Pegar estudiantes'!$A$1:$BZ$1001,583,C$2)&amp;""),""))</f>
        <v/>
      </c>
      <c r="D584">
        <f>IF(D$2=0,"",IFERROR(TRIM(INDEX('Pegar estudiantes'!$A$1:$BZ$1001,583,D$2)&amp;""),""))</f>
        <v/>
      </c>
      <c r="E584">
        <f>IF(E$2=0,"",IFERROR(TRIM(INDEX('Pegar estudiantes'!$A$1:$BZ$1001,583,E$2)&amp;""),""))</f>
        <v/>
      </c>
      <c r="F584">
        <f>IF(F$2=0,"",IFERROR(TRIM(INDEX('Pegar estudiantes'!$A$1:$BZ$1001,583,F$2)&amp;""),""))</f>
        <v/>
      </c>
      <c r="G584">
        <f>IF(G$2=0,"",IFERROR(TRIM(INDEX('Pegar estudiantes'!$A$1:$BZ$1001,583,G$2)&amp;""),""))</f>
        <v/>
      </c>
      <c r="H584">
        <f>IF(H$2=0,"",IFERROR(TRIM(INDEX('Pegar estudiantes'!$A$1:$BZ$1001,583,H$2)&amp;""),""))</f>
        <v/>
      </c>
      <c r="I584">
        <f>IF(I$2=0,"",IFERROR(TRIM(INDEX('Pegar estudiantes'!$A$1:$BZ$1001,583,I$2)&amp;""),""))</f>
        <v/>
      </c>
      <c r="J584">
        <f>IF(J$2=0,"",IFERROR(TRIM(INDEX('Pegar estudiantes'!$A$1:$BZ$1001,583,J$2)&amp;""),""))</f>
        <v/>
      </c>
      <c r="K584">
        <f>IF(K$2=0,"",IFERROR(TRIM(INDEX('Pegar estudiantes'!$A$1:$BZ$1001,583,K$2)&amp;""),""))</f>
        <v/>
      </c>
      <c r="L584" s="25">
        <f>IF(A584&lt;&gt;"",1,"")</f>
        <v/>
      </c>
      <c r="M584" s="25">
        <f>IF(L584=1,IF(ISNUMBER(FIND("#"&amp;MID(A584,1,1)&amp;"#","#0#1#2#3#4#5#6#7#8#9#")),IF(ISNUMBER(FIND("#"&amp;MID(A584,2,1)&amp;"#","#0#1#2#3#4#5#6#7#8#9#")),IF(AND(VALUE(LEFT(A584,2))&gt;=1,VALUE(LEFT(A584,2))&lt;=5),VALUE(LEFT(A584,2)),""),IF(AND(VALUE(LEFT(A584,1))&gt;=1,VALUE(LEFT(A584,1))&lt;=5),VALUE(LEFT(A584,1)),"")),""),"")</f>
        <v/>
      </c>
      <c r="N584" s="25">
        <f>IF(L584=1,IF(ISNUMBER(FIND("#"&amp;MID(H584,1,1)&amp;"#","#0#1#2#3#4#5#6#7#8#9#")),IF(ISNUMBER(FIND("#"&amp;MID(H584,2,1)&amp;"#","#0#1#2#3#4#5#6#7#8#9#")),IF(AND(VALUE(LEFT(H584,2))&gt;=1,VALUE(LEFT(H584,2))&lt;=5),VALUE(LEFT(H584,2)),""),IF(AND(VALUE(LEFT(H584,1))&gt;=1,VALUE(LEFT(H584,1))&lt;=5),VALUE(LEFT(H584,1)),"")),""),"")</f>
        <v/>
      </c>
      <c r="O584" s="25">
        <f>IF(AND(L584=1,B584&lt;&gt;""),SUBSTITUTE(SUBSTITUTE(SUBSTITUTE(SUBSTITUTE(SUBSTITUTE(SUBSTITUTE(SUBSTITUTE(SUBSTITUTE(SUBSTITUTE(SUBSTITUTE(SUBSTITUTE(SUBSTITUTE(LOWER(TRIM(B584)),"á","a"),"é","e"),"í","i"),"ó","o"),"ú","u"),"ü","u"),"ñ","n"),"à","a"),"è","e"),"ì","i"),"ò","o"),"ù","u"),"")</f>
        <v/>
      </c>
      <c r="P584" s="25">
        <f>IF(AND(L584=1,C584&lt;&gt;""),SUBSTITUTE(SUBSTITUTE(SUBSTITUTE(SUBSTITUTE(SUBSTITUTE(SUBSTITUTE(SUBSTITUTE(SUBSTITUTE(SUBSTITUTE(SUBSTITUTE(SUBSTITUTE(SUBSTITUTE(LOWER(TRIM(C584)),"á","a"),"é","e"),"í","i"),"ó","o"),"ú","u"),"ü","u"),"ñ","n"),"à","a"),"è","e"),"ì","i"),"ò","o"),"ù","u"),"")</f>
        <v/>
      </c>
      <c r="Q584" s="25">
        <f>IF(AND(L584=1,E584&lt;&gt;""),SUBSTITUTE(SUBSTITUTE(SUBSTITUTE(SUBSTITUTE(SUBSTITUTE(SUBSTITUTE(SUBSTITUTE(SUBSTITUTE(SUBSTITUTE(SUBSTITUTE(SUBSTITUTE(SUBSTITUTE(LOWER(TRIM(E584)),"á","a"),"é","e"),"í","i"),"ó","o"),"ú","u"),"ü","u"),"ñ","n"),"à","a"),"è","e"),"ì","i"),"ò","o"),"ù","u"),"")</f>
        <v/>
      </c>
      <c r="R584" s="25">
        <f>IF(AND(L584=1,I584&lt;&gt;""),SUBSTITUTE(SUBSTITUTE(SUBSTITUTE(SUBSTITUTE(SUBSTITUTE(SUBSTITUTE(SUBSTITUTE(SUBSTITUTE(SUBSTITUTE(SUBSTITUTE(SUBSTITUTE(SUBSTITUTE(LOWER(TRIM(I584)),"á","a"),"é","e"),"í","i"),"ó","o"),"ú","u"),"ü","u"),"ñ","n"),"à","a"),"è","e"),"ì","i"),"ò","o"),"ù","u"),"")</f>
        <v/>
      </c>
      <c r="S584" s="25">
        <f>IF(R584="","",IF(OR(R584="si",R584="tal vez"),1,0))</f>
        <v/>
      </c>
      <c r="T584" s="25">
        <f>IF(AND(L584=1,D584&lt;&gt;""),IF(IFERROR(COUNTIFS(D$3:D584,"="&amp;SUBSTITUTE(SUBSTITUTE(SUBSTITUTE(D584,"~","~~"),"*","~*"),"?","~?"),L$3:L584,1),0)=1,MAX(T$2:T583)+1,""),"")</f>
        <v/>
      </c>
      <c r="U584" s="25">
        <f>IF(T584="","",COUNTIFS($D$3:$D$1002,"="&amp;SUBSTITUTE(SUBSTITUTE(SUBSTITUTE(D584,"~","~~"),"*","~*"),"?","~?"),$L$3:$L$1002,1)*10000-T584)</f>
        <v/>
      </c>
      <c r="V584" s="25">
        <f>IF(AND(L584=1,J584&lt;&gt;""),IF(IFERROR(COUNTIFS(J$3:J584,"="&amp;SUBSTITUTE(SUBSTITUTE(SUBSTITUTE(J584,"~","~~"),"*","~*"),"?","~?"),L$3:L584,1),0)=1,MAX(V$2:V583)+1,""),"")</f>
        <v/>
      </c>
      <c r="W584" s="25">
        <f>IF(V584="","",COUNTIFS($J$3:$J$1002,"="&amp;SUBSTITUTE(SUBSTITUTE(SUBSTITUTE(J584,"~","~~"),"*","~*"),"?","~?"),$L$3:$L$1002,1)*10000-V584)</f>
        <v/>
      </c>
    </row>
    <row r="585">
      <c r="A585">
        <f>IF(A$2=0,"",IFERROR(TRIM(INDEX('Pegar estudiantes'!$A$1:$BZ$1001,584,A$2)&amp;""),""))</f>
        <v/>
      </c>
      <c r="B585">
        <f>IF(B$2=0,"",IFERROR(TRIM(INDEX('Pegar estudiantes'!$A$1:$BZ$1001,584,B$2)&amp;""),""))</f>
        <v/>
      </c>
      <c r="C585">
        <f>IF(C$2=0,"",IFERROR(TRIM(INDEX('Pegar estudiantes'!$A$1:$BZ$1001,584,C$2)&amp;""),""))</f>
        <v/>
      </c>
      <c r="D585">
        <f>IF(D$2=0,"",IFERROR(TRIM(INDEX('Pegar estudiantes'!$A$1:$BZ$1001,584,D$2)&amp;""),""))</f>
        <v/>
      </c>
      <c r="E585">
        <f>IF(E$2=0,"",IFERROR(TRIM(INDEX('Pegar estudiantes'!$A$1:$BZ$1001,584,E$2)&amp;""),""))</f>
        <v/>
      </c>
      <c r="F585">
        <f>IF(F$2=0,"",IFERROR(TRIM(INDEX('Pegar estudiantes'!$A$1:$BZ$1001,584,F$2)&amp;""),""))</f>
        <v/>
      </c>
      <c r="G585">
        <f>IF(G$2=0,"",IFERROR(TRIM(INDEX('Pegar estudiantes'!$A$1:$BZ$1001,584,G$2)&amp;""),""))</f>
        <v/>
      </c>
      <c r="H585">
        <f>IF(H$2=0,"",IFERROR(TRIM(INDEX('Pegar estudiantes'!$A$1:$BZ$1001,584,H$2)&amp;""),""))</f>
        <v/>
      </c>
      <c r="I585">
        <f>IF(I$2=0,"",IFERROR(TRIM(INDEX('Pegar estudiantes'!$A$1:$BZ$1001,584,I$2)&amp;""),""))</f>
        <v/>
      </c>
      <c r="J585">
        <f>IF(J$2=0,"",IFERROR(TRIM(INDEX('Pegar estudiantes'!$A$1:$BZ$1001,584,J$2)&amp;""),""))</f>
        <v/>
      </c>
      <c r="K585">
        <f>IF(K$2=0,"",IFERROR(TRIM(INDEX('Pegar estudiantes'!$A$1:$BZ$1001,584,K$2)&amp;""),""))</f>
        <v/>
      </c>
      <c r="L585" s="25">
        <f>IF(A585&lt;&gt;"",1,"")</f>
        <v/>
      </c>
      <c r="M585" s="25">
        <f>IF(L585=1,IF(ISNUMBER(FIND("#"&amp;MID(A585,1,1)&amp;"#","#0#1#2#3#4#5#6#7#8#9#")),IF(ISNUMBER(FIND("#"&amp;MID(A585,2,1)&amp;"#","#0#1#2#3#4#5#6#7#8#9#")),IF(AND(VALUE(LEFT(A585,2))&gt;=1,VALUE(LEFT(A585,2))&lt;=5),VALUE(LEFT(A585,2)),""),IF(AND(VALUE(LEFT(A585,1))&gt;=1,VALUE(LEFT(A585,1))&lt;=5),VALUE(LEFT(A585,1)),"")),""),"")</f>
        <v/>
      </c>
      <c r="N585" s="25">
        <f>IF(L585=1,IF(ISNUMBER(FIND("#"&amp;MID(H585,1,1)&amp;"#","#0#1#2#3#4#5#6#7#8#9#")),IF(ISNUMBER(FIND("#"&amp;MID(H585,2,1)&amp;"#","#0#1#2#3#4#5#6#7#8#9#")),IF(AND(VALUE(LEFT(H585,2))&gt;=1,VALUE(LEFT(H585,2))&lt;=5),VALUE(LEFT(H585,2)),""),IF(AND(VALUE(LEFT(H585,1))&gt;=1,VALUE(LEFT(H585,1))&lt;=5),VALUE(LEFT(H585,1)),"")),""),"")</f>
        <v/>
      </c>
      <c r="O585" s="25">
        <f>IF(AND(L585=1,B585&lt;&gt;""),SUBSTITUTE(SUBSTITUTE(SUBSTITUTE(SUBSTITUTE(SUBSTITUTE(SUBSTITUTE(SUBSTITUTE(SUBSTITUTE(SUBSTITUTE(SUBSTITUTE(SUBSTITUTE(SUBSTITUTE(LOWER(TRIM(B585)),"á","a"),"é","e"),"í","i"),"ó","o"),"ú","u"),"ü","u"),"ñ","n"),"à","a"),"è","e"),"ì","i"),"ò","o"),"ù","u"),"")</f>
        <v/>
      </c>
      <c r="P585" s="25">
        <f>IF(AND(L585=1,C585&lt;&gt;""),SUBSTITUTE(SUBSTITUTE(SUBSTITUTE(SUBSTITUTE(SUBSTITUTE(SUBSTITUTE(SUBSTITUTE(SUBSTITUTE(SUBSTITUTE(SUBSTITUTE(SUBSTITUTE(SUBSTITUTE(LOWER(TRIM(C585)),"á","a"),"é","e"),"í","i"),"ó","o"),"ú","u"),"ü","u"),"ñ","n"),"à","a"),"è","e"),"ì","i"),"ò","o"),"ù","u"),"")</f>
        <v/>
      </c>
      <c r="Q585" s="25">
        <f>IF(AND(L585=1,E585&lt;&gt;""),SUBSTITUTE(SUBSTITUTE(SUBSTITUTE(SUBSTITUTE(SUBSTITUTE(SUBSTITUTE(SUBSTITUTE(SUBSTITUTE(SUBSTITUTE(SUBSTITUTE(SUBSTITUTE(SUBSTITUTE(LOWER(TRIM(E585)),"á","a"),"é","e"),"í","i"),"ó","o"),"ú","u"),"ü","u"),"ñ","n"),"à","a"),"è","e"),"ì","i"),"ò","o"),"ù","u"),"")</f>
        <v/>
      </c>
      <c r="R585" s="25">
        <f>IF(AND(L585=1,I585&lt;&gt;""),SUBSTITUTE(SUBSTITUTE(SUBSTITUTE(SUBSTITUTE(SUBSTITUTE(SUBSTITUTE(SUBSTITUTE(SUBSTITUTE(SUBSTITUTE(SUBSTITUTE(SUBSTITUTE(SUBSTITUTE(LOWER(TRIM(I585)),"á","a"),"é","e"),"í","i"),"ó","o"),"ú","u"),"ü","u"),"ñ","n"),"à","a"),"è","e"),"ì","i"),"ò","o"),"ù","u"),"")</f>
        <v/>
      </c>
      <c r="S585" s="25">
        <f>IF(R585="","",IF(OR(R585="si",R585="tal vez"),1,0))</f>
        <v/>
      </c>
      <c r="T585" s="25">
        <f>IF(AND(L585=1,D585&lt;&gt;""),IF(IFERROR(COUNTIFS(D$3:D585,"="&amp;SUBSTITUTE(SUBSTITUTE(SUBSTITUTE(D585,"~","~~"),"*","~*"),"?","~?"),L$3:L585,1),0)=1,MAX(T$2:T584)+1,""),"")</f>
        <v/>
      </c>
      <c r="U585" s="25">
        <f>IF(T585="","",COUNTIFS($D$3:$D$1002,"="&amp;SUBSTITUTE(SUBSTITUTE(SUBSTITUTE(D585,"~","~~"),"*","~*"),"?","~?"),$L$3:$L$1002,1)*10000-T585)</f>
        <v/>
      </c>
      <c r="V585" s="25">
        <f>IF(AND(L585=1,J585&lt;&gt;""),IF(IFERROR(COUNTIFS(J$3:J585,"="&amp;SUBSTITUTE(SUBSTITUTE(SUBSTITUTE(J585,"~","~~"),"*","~*"),"?","~?"),L$3:L585,1),0)=1,MAX(V$2:V584)+1,""),"")</f>
        <v/>
      </c>
      <c r="W585" s="25">
        <f>IF(V585="","",COUNTIFS($J$3:$J$1002,"="&amp;SUBSTITUTE(SUBSTITUTE(SUBSTITUTE(J585,"~","~~"),"*","~*"),"?","~?"),$L$3:$L$1002,1)*10000-V585)</f>
        <v/>
      </c>
    </row>
    <row r="586">
      <c r="A586">
        <f>IF(A$2=0,"",IFERROR(TRIM(INDEX('Pegar estudiantes'!$A$1:$BZ$1001,585,A$2)&amp;""),""))</f>
        <v/>
      </c>
      <c r="B586">
        <f>IF(B$2=0,"",IFERROR(TRIM(INDEX('Pegar estudiantes'!$A$1:$BZ$1001,585,B$2)&amp;""),""))</f>
        <v/>
      </c>
      <c r="C586">
        <f>IF(C$2=0,"",IFERROR(TRIM(INDEX('Pegar estudiantes'!$A$1:$BZ$1001,585,C$2)&amp;""),""))</f>
        <v/>
      </c>
      <c r="D586">
        <f>IF(D$2=0,"",IFERROR(TRIM(INDEX('Pegar estudiantes'!$A$1:$BZ$1001,585,D$2)&amp;""),""))</f>
        <v/>
      </c>
      <c r="E586">
        <f>IF(E$2=0,"",IFERROR(TRIM(INDEX('Pegar estudiantes'!$A$1:$BZ$1001,585,E$2)&amp;""),""))</f>
        <v/>
      </c>
      <c r="F586">
        <f>IF(F$2=0,"",IFERROR(TRIM(INDEX('Pegar estudiantes'!$A$1:$BZ$1001,585,F$2)&amp;""),""))</f>
        <v/>
      </c>
      <c r="G586">
        <f>IF(G$2=0,"",IFERROR(TRIM(INDEX('Pegar estudiantes'!$A$1:$BZ$1001,585,G$2)&amp;""),""))</f>
        <v/>
      </c>
      <c r="H586">
        <f>IF(H$2=0,"",IFERROR(TRIM(INDEX('Pegar estudiantes'!$A$1:$BZ$1001,585,H$2)&amp;""),""))</f>
        <v/>
      </c>
      <c r="I586">
        <f>IF(I$2=0,"",IFERROR(TRIM(INDEX('Pegar estudiantes'!$A$1:$BZ$1001,585,I$2)&amp;""),""))</f>
        <v/>
      </c>
      <c r="J586">
        <f>IF(J$2=0,"",IFERROR(TRIM(INDEX('Pegar estudiantes'!$A$1:$BZ$1001,585,J$2)&amp;""),""))</f>
        <v/>
      </c>
      <c r="K586">
        <f>IF(K$2=0,"",IFERROR(TRIM(INDEX('Pegar estudiantes'!$A$1:$BZ$1001,585,K$2)&amp;""),""))</f>
        <v/>
      </c>
      <c r="L586" s="25">
        <f>IF(A586&lt;&gt;"",1,"")</f>
        <v/>
      </c>
      <c r="M586" s="25">
        <f>IF(L586=1,IF(ISNUMBER(FIND("#"&amp;MID(A586,1,1)&amp;"#","#0#1#2#3#4#5#6#7#8#9#")),IF(ISNUMBER(FIND("#"&amp;MID(A586,2,1)&amp;"#","#0#1#2#3#4#5#6#7#8#9#")),IF(AND(VALUE(LEFT(A586,2))&gt;=1,VALUE(LEFT(A586,2))&lt;=5),VALUE(LEFT(A586,2)),""),IF(AND(VALUE(LEFT(A586,1))&gt;=1,VALUE(LEFT(A586,1))&lt;=5),VALUE(LEFT(A586,1)),"")),""),"")</f>
        <v/>
      </c>
      <c r="N586" s="25">
        <f>IF(L586=1,IF(ISNUMBER(FIND("#"&amp;MID(H586,1,1)&amp;"#","#0#1#2#3#4#5#6#7#8#9#")),IF(ISNUMBER(FIND("#"&amp;MID(H586,2,1)&amp;"#","#0#1#2#3#4#5#6#7#8#9#")),IF(AND(VALUE(LEFT(H586,2))&gt;=1,VALUE(LEFT(H586,2))&lt;=5),VALUE(LEFT(H586,2)),""),IF(AND(VALUE(LEFT(H586,1))&gt;=1,VALUE(LEFT(H586,1))&lt;=5),VALUE(LEFT(H586,1)),"")),""),"")</f>
        <v/>
      </c>
      <c r="O586" s="25">
        <f>IF(AND(L586=1,B586&lt;&gt;""),SUBSTITUTE(SUBSTITUTE(SUBSTITUTE(SUBSTITUTE(SUBSTITUTE(SUBSTITUTE(SUBSTITUTE(SUBSTITUTE(SUBSTITUTE(SUBSTITUTE(SUBSTITUTE(SUBSTITUTE(LOWER(TRIM(B586)),"á","a"),"é","e"),"í","i"),"ó","o"),"ú","u"),"ü","u"),"ñ","n"),"à","a"),"è","e"),"ì","i"),"ò","o"),"ù","u"),"")</f>
        <v/>
      </c>
      <c r="P586" s="25">
        <f>IF(AND(L586=1,C586&lt;&gt;""),SUBSTITUTE(SUBSTITUTE(SUBSTITUTE(SUBSTITUTE(SUBSTITUTE(SUBSTITUTE(SUBSTITUTE(SUBSTITUTE(SUBSTITUTE(SUBSTITUTE(SUBSTITUTE(SUBSTITUTE(LOWER(TRIM(C586)),"á","a"),"é","e"),"í","i"),"ó","o"),"ú","u"),"ü","u"),"ñ","n"),"à","a"),"è","e"),"ì","i"),"ò","o"),"ù","u"),"")</f>
        <v/>
      </c>
      <c r="Q586" s="25">
        <f>IF(AND(L586=1,E586&lt;&gt;""),SUBSTITUTE(SUBSTITUTE(SUBSTITUTE(SUBSTITUTE(SUBSTITUTE(SUBSTITUTE(SUBSTITUTE(SUBSTITUTE(SUBSTITUTE(SUBSTITUTE(SUBSTITUTE(SUBSTITUTE(LOWER(TRIM(E586)),"á","a"),"é","e"),"í","i"),"ó","o"),"ú","u"),"ü","u"),"ñ","n"),"à","a"),"è","e"),"ì","i"),"ò","o"),"ù","u"),"")</f>
        <v/>
      </c>
      <c r="R586" s="25">
        <f>IF(AND(L586=1,I586&lt;&gt;""),SUBSTITUTE(SUBSTITUTE(SUBSTITUTE(SUBSTITUTE(SUBSTITUTE(SUBSTITUTE(SUBSTITUTE(SUBSTITUTE(SUBSTITUTE(SUBSTITUTE(SUBSTITUTE(SUBSTITUTE(LOWER(TRIM(I586)),"á","a"),"é","e"),"í","i"),"ó","o"),"ú","u"),"ü","u"),"ñ","n"),"à","a"),"è","e"),"ì","i"),"ò","o"),"ù","u"),"")</f>
        <v/>
      </c>
      <c r="S586" s="25">
        <f>IF(R586="","",IF(OR(R586="si",R586="tal vez"),1,0))</f>
        <v/>
      </c>
      <c r="T586" s="25">
        <f>IF(AND(L586=1,D586&lt;&gt;""),IF(IFERROR(COUNTIFS(D$3:D586,"="&amp;SUBSTITUTE(SUBSTITUTE(SUBSTITUTE(D586,"~","~~"),"*","~*"),"?","~?"),L$3:L586,1),0)=1,MAX(T$2:T585)+1,""),"")</f>
        <v/>
      </c>
      <c r="U586" s="25">
        <f>IF(T586="","",COUNTIFS($D$3:$D$1002,"="&amp;SUBSTITUTE(SUBSTITUTE(SUBSTITUTE(D586,"~","~~"),"*","~*"),"?","~?"),$L$3:$L$1002,1)*10000-T586)</f>
        <v/>
      </c>
      <c r="V586" s="25">
        <f>IF(AND(L586=1,J586&lt;&gt;""),IF(IFERROR(COUNTIFS(J$3:J586,"="&amp;SUBSTITUTE(SUBSTITUTE(SUBSTITUTE(J586,"~","~~"),"*","~*"),"?","~?"),L$3:L586,1),0)=1,MAX(V$2:V585)+1,""),"")</f>
        <v/>
      </c>
      <c r="W586" s="25">
        <f>IF(V586="","",COUNTIFS($J$3:$J$1002,"="&amp;SUBSTITUTE(SUBSTITUTE(SUBSTITUTE(J586,"~","~~"),"*","~*"),"?","~?"),$L$3:$L$1002,1)*10000-V586)</f>
        <v/>
      </c>
    </row>
    <row r="587">
      <c r="A587">
        <f>IF(A$2=0,"",IFERROR(TRIM(INDEX('Pegar estudiantes'!$A$1:$BZ$1001,586,A$2)&amp;""),""))</f>
        <v/>
      </c>
      <c r="B587">
        <f>IF(B$2=0,"",IFERROR(TRIM(INDEX('Pegar estudiantes'!$A$1:$BZ$1001,586,B$2)&amp;""),""))</f>
        <v/>
      </c>
      <c r="C587">
        <f>IF(C$2=0,"",IFERROR(TRIM(INDEX('Pegar estudiantes'!$A$1:$BZ$1001,586,C$2)&amp;""),""))</f>
        <v/>
      </c>
      <c r="D587">
        <f>IF(D$2=0,"",IFERROR(TRIM(INDEX('Pegar estudiantes'!$A$1:$BZ$1001,586,D$2)&amp;""),""))</f>
        <v/>
      </c>
      <c r="E587">
        <f>IF(E$2=0,"",IFERROR(TRIM(INDEX('Pegar estudiantes'!$A$1:$BZ$1001,586,E$2)&amp;""),""))</f>
        <v/>
      </c>
      <c r="F587">
        <f>IF(F$2=0,"",IFERROR(TRIM(INDEX('Pegar estudiantes'!$A$1:$BZ$1001,586,F$2)&amp;""),""))</f>
        <v/>
      </c>
      <c r="G587">
        <f>IF(G$2=0,"",IFERROR(TRIM(INDEX('Pegar estudiantes'!$A$1:$BZ$1001,586,G$2)&amp;""),""))</f>
        <v/>
      </c>
      <c r="H587">
        <f>IF(H$2=0,"",IFERROR(TRIM(INDEX('Pegar estudiantes'!$A$1:$BZ$1001,586,H$2)&amp;""),""))</f>
        <v/>
      </c>
      <c r="I587">
        <f>IF(I$2=0,"",IFERROR(TRIM(INDEX('Pegar estudiantes'!$A$1:$BZ$1001,586,I$2)&amp;""),""))</f>
        <v/>
      </c>
      <c r="J587">
        <f>IF(J$2=0,"",IFERROR(TRIM(INDEX('Pegar estudiantes'!$A$1:$BZ$1001,586,J$2)&amp;""),""))</f>
        <v/>
      </c>
      <c r="K587">
        <f>IF(K$2=0,"",IFERROR(TRIM(INDEX('Pegar estudiantes'!$A$1:$BZ$1001,586,K$2)&amp;""),""))</f>
        <v/>
      </c>
      <c r="L587" s="25">
        <f>IF(A587&lt;&gt;"",1,"")</f>
        <v/>
      </c>
      <c r="M587" s="25">
        <f>IF(L587=1,IF(ISNUMBER(FIND("#"&amp;MID(A587,1,1)&amp;"#","#0#1#2#3#4#5#6#7#8#9#")),IF(ISNUMBER(FIND("#"&amp;MID(A587,2,1)&amp;"#","#0#1#2#3#4#5#6#7#8#9#")),IF(AND(VALUE(LEFT(A587,2))&gt;=1,VALUE(LEFT(A587,2))&lt;=5),VALUE(LEFT(A587,2)),""),IF(AND(VALUE(LEFT(A587,1))&gt;=1,VALUE(LEFT(A587,1))&lt;=5),VALUE(LEFT(A587,1)),"")),""),"")</f>
        <v/>
      </c>
      <c r="N587" s="25">
        <f>IF(L587=1,IF(ISNUMBER(FIND("#"&amp;MID(H587,1,1)&amp;"#","#0#1#2#3#4#5#6#7#8#9#")),IF(ISNUMBER(FIND("#"&amp;MID(H587,2,1)&amp;"#","#0#1#2#3#4#5#6#7#8#9#")),IF(AND(VALUE(LEFT(H587,2))&gt;=1,VALUE(LEFT(H587,2))&lt;=5),VALUE(LEFT(H587,2)),""),IF(AND(VALUE(LEFT(H587,1))&gt;=1,VALUE(LEFT(H587,1))&lt;=5),VALUE(LEFT(H587,1)),"")),""),"")</f>
        <v/>
      </c>
      <c r="O587" s="25">
        <f>IF(AND(L587=1,B587&lt;&gt;""),SUBSTITUTE(SUBSTITUTE(SUBSTITUTE(SUBSTITUTE(SUBSTITUTE(SUBSTITUTE(SUBSTITUTE(SUBSTITUTE(SUBSTITUTE(SUBSTITUTE(SUBSTITUTE(SUBSTITUTE(LOWER(TRIM(B587)),"á","a"),"é","e"),"í","i"),"ó","o"),"ú","u"),"ü","u"),"ñ","n"),"à","a"),"è","e"),"ì","i"),"ò","o"),"ù","u"),"")</f>
        <v/>
      </c>
      <c r="P587" s="25">
        <f>IF(AND(L587=1,C587&lt;&gt;""),SUBSTITUTE(SUBSTITUTE(SUBSTITUTE(SUBSTITUTE(SUBSTITUTE(SUBSTITUTE(SUBSTITUTE(SUBSTITUTE(SUBSTITUTE(SUBSTITUTE(SUBSTITUTE(SUBSTITUTE(LOWER(TRIM(C587)),"á","a"),"é","e"),"í","i"),"ó","o"),"ú","u"),"ü","u"),"ñ","n"),"à","a"),"è","e"),"ì","i"),"ò","o"),"ù","u"),"")</f>
        <v/>
      </c>
      <c r="Q587" s="25">
        <f>IF(AND(L587=1,E587&lt;&gt;""),SUBSTITUTE(SUBSTITUTE(SUBSTITUTE(SUBSTITUTE(SUBSTITUTE(SUBSTITUTE(SUBSTITUTE(SUBSTITUTE(SUBSTITUTE(SUBSTITUTE(SUBSTITUTE(SUBSTITUTE(LOWER(TRIM(E587)),"á","a"),"é","e"),"í","i"),"ó","o"),"ú","u"),"ü","u"),"ñ","n"),"à","a"),"è","e"),"ì","i"),"ò","o"),"ù","u"),"")</f>
        <v/>
      </c>
      <c r="R587" s="25">
        <f>IF(AND(L587=1,I587&lt;&gt;""),SUBSTITUTE(SUBSTITUTE(SUBSTITUTE(SUBSTITUTE(SUBSTITUTE(SUBSTITUTE(SUBSTITUTE(SUBSTITUTE(SUBSTITUTE(SUBSTITUTE(SUBSTITUTE(SUBSTITUTE(LOWER(TRIM(I587)),"á","a"),"é","e"),"í","i"),"ó","o"),"ú","u"),"ü","u"),"ñ","n"),"à","a"),"è","e"),"ì","i"),"ò","o"),"ù","u"),"")</f>
        <v/>
      </c>
      <c r="S587" s="25">
        <f>IF(R587="","",IF(OR(R587="si",R587="tal vez"),1,0))</f>
        <v/>
      </c>
      <c r="T587" s="25">
        <f>IF(AND(L587=1,D587&lt;&gt;""),IF(IFERROR(COUNTIFS(D$3:D587,"="&amp;SUBSTITUTE(SUBSTITUTE(SUBSTITUTE(D587,"~","~~"),"*","~*"),"?","~?"),L$3:L587,1),0)=1,MAX(T$2:T586)+1,""),"")</f>
        <v/>
      </c>
      <c r="U587" s="25">
        <f>IF(T587="","",COUNTIFS($D$3:$D$1002,"="&amp;SUBSTITUTE(SUBSTITUTE(SUBSTITUTE(D587,"~","~~"),"*","~*"),"?","~?"),$L$3:$L$1002,1)*10000-T587)</f>
        <v/>
      </c>
      <c r="V587" s="25">
        <f>IF(AND(L587=1,J587&lt;&gt;""),IF(IFERROR(COUNTIFS(J$3:J587,"="&amp;SUBSTITUTE(SUBSTITUTE(SUBSTITUTE(J587,"~","~~"),"*","~*"),"?","~?"),L$3:L587,1),0)=1,MAX(V$2:V586)+1,""),"")</f>
        <v/>
      </c>
      <c r="W587" s="25">
        <f>IF(V587="","",COUNTIFS($J$3:$J$1002,"="&amp;SUBSTITUTE(SUBSTITUTE(SUBSTITUTE(J587,"~","~~"),"*","~*"),"?","~?"),$L$3:$L$1002,1)*10000-V587)</f>
        <v/>
      </c>
    </row>
    <row r="588">
      <c r="A588">
        <f>IF(A$2=0,"",IFERROR(TRIM(INDEX('Pegar estudiantes'!$A$1:$BZ$1001,587,A$2)&amp;""),""))</f>
        <v/>
      </c>
      <c r="B588">
        <f>IF(B$2=0,"",IFERROR(TRIM(INDEX('Pegar estudiantes'!$A$1:$BZ$1001,587,B$2)&amp;""),""))</f>
        <v/>
      </c>
      <c r="C588">
        <f>IF(C$2=0,"",IFERROR(TRIM(INDEX('Pegar estudiantes'!$A$1:$BZ$1001,587,C$2)&amp;""),""))</f>
        <v/>
      </c>
      <c r="D588">
        <f>IF(D$2=0,"",IFERROR(TRIM(INDEX('Pegar estudiantes'!$A$1:$BZ$1001,587,D$2)&amp;""),""))</f>
        <v/>
      </c>
      <c r="E588">
        <f>IF(E$2=0,"",IFERROR(TRIM(INDEX('Pegar estudiantes'!$A$1:$BZ$1001,587,E$2)&amp;""),""))</f>
        <v/>
      </c>
      <c r="F588">
        <f>IF(F$2=0,"",IFERROR(TRIM(INDEX('Pegar estudiantes'!$A$1:$BZ$1001,587,F$2)&amp;""),""))</f>
        <v/>
      </c>
      <c r="G588">
        <f>IF(G$2=0,"",IFERROR(TRIM(INDEX('Pegar estudiantes'!$A$1:$BZ$1001,587,G$2)&amp;""),""))</f>
        <v/>
      </c>
      <c r="H588">
        <f>IF(H$2=0,"",IFERROR(TRIM(INDEX('Pegar estudiantes'!$A$1:$BZ$1001,587,H$2)&amp;""),""))</f>
        <v/>
      </c>
      <c r="I588">
        <f>IF(I$2=0,"",IFERROR(TRIM(INDEX('Pegar estudiantes'!$A$1:$BZ$1001,587,I$2)&amp;""),""))</f>
        <v/>
      </c>
      <c r="J588">
        <f>IF(J$2=0,"",IFERROR(TRIM(INDEX('Pegar estudiantes'!$A$1:$BZ$1001,587,J$2)&amp;""),""))</f>
        <v/>
      </c>
      <c r="K588">
        <f>IF(K$2=0,"",IFERROR(TRIM(INDEX('Pegar estudiantes'!$A$1:$BZ$1001,587,K$2)&amp;""),""))</f>
        <v/>
      </c>
      <c r="L588" s="25">
        <f>IF(A588&lt;&gt;"",1,"")</f>
        <v/>
      </c>
      <c r="M588" s="25">
        <f>IF(L588=1,IF(ISNUMBER(FIND("#"&amp;MID(A588,1,1)&amp;"#","#0#1#2#3#4#5#6#7#8#9#")),IF(ISNUMBER(FIND("#"&amp;MID(A588,2,1)&amp;"#","#0#1#2#3#4#5#6#7#8#9#")),IF(AND(VALUE(LEFT(A588,2))&gt;=1,VALUE(LEFT(A588,2))&lt;=5),VALUE(LEFT(A588,2)),""),IF(AND(VALUE(LEFT(A588,1))&gt;=1,VALUE(LEFT(A588,1))&lt;=5),VALUE(LEFT(A588,1)),"")),""),"")</f>
        <v/>
      </c>
      <c r="N588" s="25">
        <f>IF(L588=1,IF(ISNUMBER(FIND("#"&amp;MID(H588,1,1)&amp;"#","#0#1#2#3#4#5#6#7#8#9#")),IF(ISNUMBER(FIND("#"&amp;MID(H588,2,1)&amp;"#","#0#1#2#3#4#5#6#7#8#9#")),IF(AND(VALUE(LEFT(H588,2))&gt;=1,VALUE(LEFT(H588,2))&lt;=5),VALUE(LEFT(H588,2)),""),IF(AND(VALUE(LEFT(H588,1))&gt;=1,VALUE(LEFT(H588,1))&lt;=5),VALUE(LEFT(H588,1)),"")),""),"")</f>
        <v/>
      </c>
      <c r="O588" s="25">
        <f>IF(AND(L588=1,B588&lt;&gt;""),SUBSTITUTE(SUBSTITUTE(SUBSTITUTE(SUBSTITUTE(SUBSTITUTE(SUBSTITUTE(SUBSTITUTE(SUBSTITUTE(SUBSTITUTE(SUBSTITUTE(SUBSTITUTE(SUBSTITUTE(LOWER(TRIM(B588)),"á","a"),"é","e"),"í","i"),"ó","o"),"ú","u"),"ü","u"),"ñ","n"),"à","a"),"è","e"),"ì","i"),"ò","o"),"ù","u"),"")</f>
        <v/>
      </c>
      <c r="P588" s="25">
        <f>IF(AND(L588=1,C588&lt;&gt;""),SUBSTITUTE(SUBSTITUTE(SUBSTITUTE(SUBSTITUTE(SUBSTITUTE(SUBSTITUTE(SUBSTITUTE(SUBSTITUTE(SUBSTITUTE(SUBSTITUTE(SUBSTITUTE(SUBSTITUTE(LOWER(TRIM(C588)),"á","a"),"é","e"),"í","i"),"ó","o"),"ú","u"),"ü","u"),"ñ","n"),"à","a"),"è","e"),"ì","i"),"ò","o"),"ù","u"),"")</f>
        <v/>
      </c>
      <c r="Q588" s="25">
        <f>IF(AND(L588=1,E588&lt;&gt;""),SUBSTITUTE(SUBSTITUTE(SUBSTITUTE(SUBSTITUTE(SUBSTITUTE(SUBSTITUTE(SUBSTITUTE(SUBSTITUTE(SUBSTITUTE(SUBSTITUTE(SUBSTITUTE(SUBSTITUTE(LOWER(TRIM(E588)),"á","a"),"é","e"),"í","i"),"ó","o"),"ú","u"),"ü","u"),"ñ","n"),"à","a"),"è","e"),"ì","i"),"ò","o"),"ù","u"),"")</f>
        <v/>
      </c>
      <c r="R588" s="25">
        <f>IF(AND(L588=1,I588&lt;&gt;""),SUBSTITUTE(SUBSTITUTE(SUBSTITUTE(SUBSTITUTE(SUBSTITUTE(SUBSTITUTE(SUBSTITUTE(SUBSTITUTE(SUBSTITUTE(SUBSTITUTE(SUBSTITUTE(SUBSTITUTE(LOWER(TRIM(I588)),"á","a"),"é","e"),"í","i"),"ó","o"),"ú","u"),"ü","u"),"ñ","n"),"à","a"),"è","e"),"ì","i"),"ò","o"),"ù","u"),"")</f>
        <v/>
      </c>
      <c r="S588" s="25">
        <f>IF(R588="","",IF(OR(R588="si",R588="tal vez"),1,0))</f>
        <v/>
      </c>
      <c r="T588" s="25">
        <f>IF(AND(L588=1,D588&lt;&gt;""),IF(IFERROR(COUNTIFS(D$3:D588,"="&amp;SUBSTITUTE(SUBSTITUTE(SUBSTITUTE(D588,"~","~~"),"*","~*"),"?","~?"),L$3:L588,1),0)=1,MAX(T$2:T587)+1,""),"")</f>
        <v/>
      </c>
      <c r="U588" s="25">
        <f>IF(T588="","",COUNTIFS($D$3:$D$1002,"="&amp;SUBSTITUTE(SUBSTITUTE(SUBSTITUTE(D588,"~","~~"),"*","~*"),"?","~?"),$L$3:$L$1002,1)*10000-T588)</f>
        <v/>
      </c>
      <c r="V588" s="25">
        <f>IF(AND(L588=1,J588&lt;&gt;""),IF(IFERROR(COUNTIFS(J$3:J588,"="&amp;SUBSTITUTE(SUBSTITUTE(SUBSTITUTE(J588,"~","~~"),"*","~*"),"?","~?"),L$3:L588,1),0)=1,MAX(V$2:V587)+1,""),"")</f>
        <v/>
      </c>
      <c r="W588" s="25">
        <f>IF(V588="","",COUNTIFS($J$3:$J$1002,"="&amp;SUBSTITUTE(SUBSTITUTE(SUBSTITUTE(J588,"~","~~"),"*","~*"),"?","~?"),$L$3:$L$1002,1)*10000-V588)</f>
        <v/>
      </c>
    </row>
    <row r="589">
      <c r="A589">
        <f>IF(A$2=0,"",IFERROR(TRIM(INDEX('Pegar estudiantes'!$A$1:$BZ$1001,588,A$2)&amp;""),""))</f>
        <v/>
      </c>
      <c r="B589">
        <f>IF(B$2=0,"",IFERROR(TRIM(INDEX('Pegar estudiantes'!$A$1:$BZ$1001,588,B$2)&amp;""),""))</f>
        <v/>
      </c>
      <c r="C589">
        <f>IF(C$2=0,"",IFERROR(TRIM(INDEX('Pegar estudiantes'!$A$1:$BZ$1001,588,C$2)&amp;""),""))</f>
        <v/>
      </c>
      <c r="D589">
        <f>IF(D$2=0,"",IFERROR(TRIM(INDEX('Pegar estudiantes'!$A$1:$BZ$1001,588,D$2)&amp;""),""))</f>
        <v/>
      </c>
      <c r="E589">
        <f>IF(E$2=0,"",IFERROR(TRIM(INDEX('Pegar estudiantes'!$A$1:$BZ$1001,588,E$2)&amp;""),""))</f>
        <v/>
      </c>
      <c r="F589">
        <f>IF(F$2=0,"",IFERROR(TRIM(INDEX('Pegar estudiantes'!$A$1:$BZ$1001,588,F$2)&amp;""),""))</f>
        <v/>
      </c>
      <c r="G589">
        <f>IF(G$2=0,"",IFERROR(TRIM(INDEX('Pegar estudiantes'!$A$1:$BZ$1001,588,G$2)&amp;""),""))</f>
        <v/>
      </c>
      <c r="H589">
        <f>IF(H$2=0,"",IFERROR(TRIM(INDEX('Pegar estudiantes'!$A$1:$BZ$1001,588,H$2)&amp;""),""))</f>
        <v/>
      </c>
      <c r="I589">
        <f>IF(I$2=0,"",IFERROR(TRIM(INDEX('Pegar estudiantes'!$A$1:$BZ$1001,588,I$2)&amp;""),""))</f>
        <v/>
      </c>
      <c r="J589">
        <f>IF(J$2=0,"",IFERROR(TRIM(INDEX('Pegar estudiantes'!$A$1:$BZ$1001,588,J$2)&amp;""),""))</f>
        <v/>
      </c>
      <c r="K589">
        <f>IF(K$2=0,"",IFERROR(TRIM(INDEX('Pegar estudiantes'!$A$1:$BZ$1001,588,K$2)&amp;""),""))</f>
        <v/>
      </c>
      <c r="L589" s="25">
        <f>IF(A589&lt;&gt;"",1,"")</f>
        <v/>
      </c>
      <c r="M589" s="25">
        <f>IF(L589=1,IF(ISNUMBER(FIND("#"&amp;MID(A589,1,1)&amp;"#","#0#1#2#3#4#5#6#7#8#9#")),IF(ISNUMBER(FIND("#"&amp;MID(A589,2,1)&amp;"#","#0#1#2#3#4#5#6#7#8#9#")),IF(AND(VALUE(LEFT(A589,2))&gt;=1,VALUE(LEFT(A589,2))&lt;=5),VALUE(LEFT(A589,2)),""),IF(AND(VALUE(LEFT(A589,1))&gt;=1,VALUE(LEFT(A589,1))&lt;=5),VALUE(LEFT(A589,1)),"")),""),"")</f>
        <v/>
      </c>
      <c r="N589" s="25">
        <f>IF(L589=1,IF(ISNUMBER(FIND("#"&amp;MID(H589,1,1)&amp;"#","#0#1#2#3#4#5#6#7#8#9#")),IF(ISNUMBER(FIND("#"&amp;MID(H589,2,1)&amp;"#","#0#1#2#3#4#5#6#7#8#9#")),IF(AND(VALUE(LEFT(H589,2))&gt;=1,VALUE(LEFT(H589,2))&lt;=5),VALUE(LEFT(H589,2)),""),IF(AND(VALUE(LEFT(H589,1))&gt;=1,VALUE(LEFT(H589,1))&lt;=5),VALUE(LEFT(H589,1)),"")),""),"")</f>
        <v/>
      </c>
      <c r="O589" s="25">
        <f>IF(AND(L589=1,B589&lt;&gt;""),SUBSTITUTE(SUBSTITUTE(SUBSTITUTE(SUBSTITUTE(SUBSTITUTE(SUBSTITUTE(SUBSTITUTE(SUBSTITUTE(SUBSTITUTE(SUBSTITUTE(SUBSTITUTE(SUBSTITUTE(LOWER(TRIM(B589)),"á","a"),"é","e"),"í","i"),"ó","o"),"ú","u"),"ü","u"),"ñ","n"),"à","a"),"è","e"),"ì","i"),"ò","o"),"ù","u"),"")</f>
        <v/>
      </c>
      <c r="P589" s="25">
        <f>IF(AND(L589=1,C589&lt;&gt;""),SUBSTITUTE(SUBSTITUTE(SUBSTITUTE(SUBSTITUTE(SUBSTITUTE(SUBSTITUTE(SUBSTITUTE(SUBSTITUTE(SUBSTITUTE(SUBSTITUTE(SUBSTITUTE(SUBSTITUTE(LOWER(TRIM(C589)),"á","a"),"é","e"),"í","i"),"ó","o"),"ú","u"),"ü","u"),"ñ","n"),"à","a"),"è","e"),"ì","i"),"ò","o"),"ù","u"),"")</f>
        <v/>
      </c>
      <c r="Q589" s="25">
        <f>IF(AND(L589=1,E589&lt;&gt;""),SUBSTITUTE(SUBSTITUTE(SUBSTITUTE(SUBSTITUTE(SUBSTITUTE(SUBSTITUTE(SUBSTITUTE(SUBSTITUTE(SUBSTITUTE(SUBSTITUTE(SUBSTITUTE(SUBSTITUTE(LOWER(TRIM(E589)),"á","a"),"é","e"),"í","i"),"ó","o"),"ú","u"),"ü","u"),"ñ","n"),"à","a"),"è","e"),"ì","i"),"ò","o"),"ù","u"),"")</f>
        <v/>
      </c>
      <c r="R589" s="25">
        <f>IF(AND(L589=1,I589&lt;&gt;""),SUBSTITUTE(SUBSTITUTE(SUBSTITUTE(SUBSTITUTE(SUBSTITUTE(SUBSTITUTE(SUBSTITUTE(SUBSTITUTE(SUBSTITUTE(SUBSTITUTE(SUBSTITUTE(SUBSTITUTE(LOWER(TRIM(I589)),"á","a"),"é","e"),"í","i"),"ó","o"),"ú","u"),"ü","u"),"ñ","n"),"à","a"),"è","e"),"ì","i"),"ò","o"),"ù","u"),"")</f>
        <v/>
      </c>
      <c r="S589" s="25">
        <f>IF(R589="","",IF(OR(R589="si",R589="tal vez"),1,0))</f>
        <v/>
      </c>
      <c r="T589" s="25">
        <f>IF(AND(L589=1,D589&lt;&gt;""),IF(IFERROR(COUNTIFS(D$3:D589,"="&amp;SUBSTITUTE(SUBSTITUTE(SUBSTITUTE(D589,"~","~~"),"*","~*"),"?","~?"),L$3:L589,1),0)=1,MAX(T$2:T588)+1,""),"")</f>
        <v/>
      </c>
      <c r="U589" s="25">
        <f>IF(T589="","",COUNTIFS($D$3:$D$1002,"="&amp;SUBSTITUTE(SUBSTITUTE(SUBSTITUTE(D589,"~","~~"),"*","~*"),"?","~?"),$L$3:$L$1002,1)*10000-T589)</f>
        <v/>
      </c>
      <c r="V589" s="25">
        <f>IF(AND(L589=1,J589&lt;&gt;""),IF(IFERROR(COUNTIFS(J$3:J589,"="&amp;SUBSTITUTE(SUBSTITUTE(SUBSTITUTE(J589,"~","~~"),"*","~*"),"?","~?"),L$3:L589,1),0)=1,MAX(V$2:V588)+1,""),"")</f>
        <v/>
      </c>
      <c r="W589" s="25">
        <f>IF(V589="","",COUNTIFS($J$3:$J$1002,"="&amp;SUBSTITUTE(SUBSTITUTE(SUBSTITUTE(J589,"~","~~"),"*","~*"),"?","~?"),$L$3:$L$1002,1)*10000-V589)</f>
        <v/>
      </c>
    </row>
    <row r="590">
      <c r="A590">
        <f>IF(A$2=0,"",IFERROR(TRIM(INDEX('Pegar estudiantes'!$A$1:$BZ$1001,589,A$2)&amp;""),""))</f>
        <v/>
      </c>
      <c r="B590">
        <f>IF(B$2=0,"",IFERROR(TRIM(INDEX('Pegar estudiantes'!$A$1:$BZ$1001,589,B$2)&amp;""),""))</f>
        <v/>
      </c>
      <c r="C590">
        <f>IF(C$2=0,"",IFERROR(TRIM(INDEX('Pegar estudiantes'!$A$1:$BZ$1001,589,C$2)&amp;""),""))</f>
        <v/>
      </c>
      <c r="D590">
        <f>IF(D$2=0,"",IFERROR(TRIM(INDEX('Pegar estudiantes'!$A$1:$BZ$1001,589,D$2)&amp;""),""))</f>
        <v/>
      </c>
      <c r="E590">
        <f>IF(E$2=0,"",IFERROR(TRIM(INDEX('Pegar estudiantes'!$A$1:$BZ$1001,589,E$2)&amp;""),""))</f>
        <v/>
      </c>
      <c r="F590">
        <f>IF(F$2=0,"",IFERROR(TRIM(INDEX('Pegar estudiantes'!$A$1:$BZ$1001,589,F$2)&amp;""),""))</f>
        <v/>
      </c>
      <c r="G590">
        <f>IF(G$2=0,"",IFERROR(TRIM(INDEX('Pegar estudiantes'!$A$1:$BZ$1001,589,G$2)&amp;""),""))</f>
        <v/>
      </c>
      <c r="H590">
        <f>IF(H$2=0,"",IFERROR(TRIM(INDEX('Pegar estudiantes'!$A$1:$BZ$1001,589,H$2)&amp;""),""))</f>
        <v/>
      </c>
      <c r="I590">
        <f>IF(I$2=0,"",IFERROR(TRIM(INDEX('Pegar estudiantes'!$A$1:$BZ$1001,589,I$2)&amp;""),""))</f>
        <v/>
      </c>
      <c r="J590">
        <f>IF(J$2=0,"",IFERROR(TRIM(INDEX('Pegar estudiantes'!$A$1:$BZ$1001,589,J$2)&amp;""),""))</f>
        <v/>
      </c>
      <c r="K590">
        <f>IF(K$2=0,"",IFERROR(TRIM(INDEX('Pegar estudiantes'!$A$1:$BZ$1001,589,K$2)&amp;""),""))</f>
        <v/>
      </c>
      <c r="L590" s="25">
        <f>IF(A590&lt;&gt;"",1,"")</f>
        <v/>
      </c>
      <c r="M590" s="25">
        <f>IF(L590=1,IF(ISNUMBER(FIND("#"&amp;MID(A590,1,1)&amp;"#","#0#1#2#3#4#5#6#7#8#9#")),IF(ISNUMBER(FIND("#"&amp;MID(A590,2,1)&amp;"#","#0#1#2#3#4#5#6#7#8#9#")),IF(AND(VALUE(LEFT(A590,2))&gt;=1,VALUE(LEFT(A590,2))&lt;=5),VALUE(LEFT(A590,2)),""),IF(AND(VALUE(LEFT(A590,1))&gt;=1,VALUE(LEFT(A590,1))&lt;=5),VALUE(LEFT(A590,1)),"")),""),"")</f>
        <v/>
      </c>
      <c r="N590" s="25">
        <f>IF(L590=1,IF(ISNUMBER(FIND("#"&amp;MID(H590,1,1)&amp;"#","#0#1#2#3#4#5#6#7#8#9#")),IF(ISNUMBER(FIND("#"&amp;MID(H590,2,1)&amp;"#","#0#1#2#3#4#5#6#7#8#9#")),IF(AND(VALUE(LEFT(H590,2))&gt;=1,VALUE(LEFT(H590,2))&lt;=5),VALUE(LEFT(H590,2)),""),IF(AND(VALUE(LEFT(H590,1))&gt;=1,VALUE(LEFT(H590,1))&lt;=5),VALUE(LEFT(H590,1)),"")),""),"")</f>
        <v/>
      </c>
      <c r="O590" s="25">
        <f>IF(AND(L590=1,B590&lt;&gt;""),SUBSTITUTE(SUBSTITUTE(SUBSTITUTE(SUBSTITUTE(SUBSTITUTE(SUBSTITUTE(SUBSTITUTE(SUBSTITUTE(SUBSTITUTE(SUBSTITUTE(SUBSTITUTE(SUBSTITUTE(LOWER(TRIM(B590)),"á","a"),"é","e"),"í","i"),"ó","o"),"ú","u"),"ü","u"),"ñ","n"),"à","a"),"è","e"),"ì","i"),"ò","o"),"ù","u"),"")</f>
        <v/>
      </c>
      <c r="P590" s="25">
        <f>IF(AND(L590=1,C590&lt;&gt;""),SUBSTITUTE(SUBSTITUTE(SUBSTITUTE(SUBSTITUTE(SUBSTITUTE(SUBSTITUTE(SUBSTITUTE(SUBSTITUTE(SUBSTITUTE(SUBSTITUTE(SUBSTITUTE(SUBSTITUTE(LOWER(TRIM(C590)),"á","a"),"é","e"),"í","i"),"ó","o"),"ú","u"),"ü","u"),"ñ","n"),"à","a"),"è","e"),"ì","i"),"ò","o"),"ù","u"),"")</f>
        <v/>
      </c>
      <c r="Q590" s="25">
        <f>IF(AND(L590=1,E590&lt;&gt;""),SUBSTITUTE(SUBSTITUTE(SUBSTITUTE(SUBSTITUTE(SUBSTITUTE(SUBSTITUTE(SUBSTITUTE(SUBSTITUTE(SUBSTITUTE(SUBSTITUTE(SUBSTITUTE(SUBSTITUTE(LOWER(TRIM(E590)),"á","a"),"é","e"),"í","i"),"ó","o"),"ú","u"),"ü","u"),"ñ","n"),"à","a"),"è","e"),"ì","i"),"ò","o"),"ù","u"),"")</f>
        <v/>
      </c>
      <c r="R590" s="25">
        <f>IF(AND(L590=1,I590&lt;&gt;""),SUBSTITUTE(SUBSTITUTE(SUBSTITUTE(SUBSTITUTE(SUBSTITUTE(SUBSTITUTE(SUBSTITUTE(SUBSTITUTE(SUBSTITUTE(SUBSTITUTE(SUBSTITUTE(SUBSTITUTE(LOWER(TRIM(I590)),"á","a"),"é","e"),"í","i"),"ó","o"),"ú","u"),"ü","u"),"ñ","n"),"à","a"),"è","e"),"ì","i"),"ò","o"),"ù","u"),"")</f>
        <v/>
      </c>
      <c r="S590" s="25">
        <f>IF(R590="","",IF(OR(R590="si",R590="tal vez"),1,0))</f>
        <v/>
      </c>
      <c r="T590" s="25">
        <f>IF(AND(L590=1,D590&lt;&gt;""),IF(IFERROR(COUNTIFS(D$3:D590,"="&amp;SUBSTITUTE(SUBSTITUTE(SUBSTITUTE(D590,"~","~~"),"*","~*"),"?","~?"),L$3:L590,1),0)=1,MAX(T$2:T589)+1,""),"")</f>
        <v/>
      </c>
      <c r="U590" s="25">
        <f>IF(T590="","",COUNTIFS($D$3:$D$1002,"="&amp;SUBSTITUTE(SUBSTITUTE(SUBSTITUTE(D590,"~","~~"),"*","~*"),"?","~?"),$L$3:$L$1002,1)*10000-T590)</f>
        <v/>
      </c>
      <c r="V590" s="25">
        <f>IF(AND(L590=1,J590&lt;&gt;""),IF(IFERROR(COUNTIFS(J$3:J590,"="&amp;SUBSTITUTE(SUBSTITUTE(SUBSTITUTE(J590,"~","~~"),"*","~*"),"?","~?"),L$3:L590,1),0)=1,MAX(V$2:V589)+1,""),"")</f>
        <v/>
      </c>
      <c r="W590" s="25">
        <f>IF(V590="","",COUNTIFS($J$3:$J$1002,"="&amp;SUBSTITUTE(SUBSTITUTE(SUBSTITUTE(J590,"~","~~"),"*","~*"),"?","~?"),$L$3:$L$1002,1)*10000-V590)</f>
        <v/>
      </c>
    </row>
    <row r="591">
      <c r="A591">
        <f>IF(A$2=0,"",IFERROR(TRIM(INDEX('Pegar estudiantes'!$A$1:$BZ$1001,590,A$2)&amp;""),""))</f>
        <v/>
      </c>
      <c r="B591">
        <f>IF(B$2=0,"",IFERROR(TRIM(INDEX('Pegar estudiantes'!$A$1:$BZ$1001,590,B$2)&amp;""),""))</f>
        <v/>
      </c>
      <c r="C591">
        <f>IF(C$2=0,"",IFERROR(TRIM(INDEX('Pegar estudiantes'!$A$1:$BZ$1001,590,C$2)&amp;""),""))</f>
        <v/>
      </c>
      <c r="D591">
        <f>IF(D$2=0,"",IFERROR(TRIM(INDEX('Pegar estudiantes'!$A$1:$BZ$1001,590,D$2)&amp;""),""))</f>
        <v/>
      </c>
      <c r="E591">
        <f>IF(E$2=0,"",IFERROR(TRIM(INDEX('Pegar estudiantes'!$A$1:$BZ$1001,590,E$2)&amp;""),""))</f>
        <v/>
      </c>
      <c r="F591">
        <f>IF(F$2=0,"",IFERROR(TRIM(INDEX('Pegar estudiantes'!$A$1:$BZ$1001,590,F$2)&amp;""),""))</f>
        <v/>
      </c>
      <c r="G591">
        <f>IF(G$2=0,"",IFERROR(TRIM(INDEX('Pegar estudiantes'!$A$1:$BZ$1001,590,G$2)&amp;""),""))</f>
        <v/>
      </c>
      <c r="H591">
        <f>IF(H$2=0,"",IFERROR(TRIM(INDEX('Pegar estudiantes'!$A$1:$BZ$1001,590,H$2)&amp;""),""))</f>
        <v/>
      </c>
      <c r="I591">
        <f>IF(I$2=0,"",IFERROR(TRIM(INDEX('Pegar estudiantes'!$A$1:$BZ$1001,590,I$2)&amp;""),""))</f>
        <v/>
      </c>
      <c r="J591">
        <f>IF(J$2=0,"",IFERROR(TRIM(INDEX('Pegar estudiantes'!$A$1:$BZ$1001,590,J$2)&amp;""),""))</f>
        <v/>
      </c>
      <c r="K591">
        <f>IF(K$2=0,"",IFERROR(TRIM(INDEX('Pegar estudiantes'!$A$1:$BZ$1001,590,K$2)&amp;""),""))</f>
        <v/>
      </c>
      <c r="L591" s="25">
        <f>IF(A591&lt;&gt;"",1,"")</f>
        <v/>
      </c>
      <c r="M591" s="25">
        <f>IF(L591=1,IF(ISNUMBER(FIND("#"&amp;MID(A591,1,1)&amp;"#","#0#1#2#3#4#5#6#7#8#9#")),IF(ISNUMBER(FIND("#"&amp;MID(A591,2,1)&amp;"#","#0#1#2#3#4#5#6#7#8#9#")),IF(AND(VALUE(LEFT(A591,2))&gt;=1,VALUE(LEFT(A591,2))&lt;=5),VALUE(LEFT(A591,2)),""),IF(AND(VALUE(LEFT(A591,1))&gt;=1,VALUE(LEFT(A591,1))&lt;=5),VALUE(LEFT(A591,1)),"")),""),"")</f>
        <v/>
      </c>
      <c r="N591" s="25">
        <f>IF(L591=1,IF(ISNUMBER(FIND("#"&amp;MID(H591,1,1)&amp;"#","#0#1#2#3#4#5#6#7#8#9#")),IF(ISNUMBER(FIND("#"&amp;MID(H591,2,1)&amp;"#","#0#1#2#3#4#5#6#7#8#9#")),IF(AND(VALUE(LEFT(H591,2))&gt;=1,VALUE(LEFT(H591,2))&lt;=5),VALUE(LEFT(H591,2)),""),IF(AND(VALUE(LEFT(H591,1))&gt;=1,VALUE(LEFT(H591,1))&lt;=5),VALUE(LEFT(H591,1)),"")),""),"")</f>
        <v/>
      </c>
      <c r="O591" s="25">
        <f>IF(AND(L591=1,B591&lt;&gt;""),SUBSTITUTE(SUBSTITUTE(SUBSTITUTE(SUBSTITUTE(SUBSTITUTE(SUBSTITUTE(SUBSTITUTE(SUBSTITUTE(SUBSTITUTE(SUBSTITUTE(SUBSTITUTE(SUBSTITUTE(LOWER(TRIM(B591)),"á","a"),"é","e"),"í","i"),"ó","o"),"ú","u"),"ü","u"),"ñ","n"),"à","a"),"è","e"),"ì","i"),"ò","o"),"ù","u"),"")</f>
        <v/>
      </c>
      <c r="P591" s="25">
        <f>IF(AND(L591=1,C591&lt;&gt;""),SUBSTITUTE(SUBSTITUTE(SUBSTITUTE(SUBSTITUTE(SUBSTITUTE(SUBSTITUTE(SUBSTITUTE(SUBSTITUTE(SUBSTITUTE(SUBSTITUTE(SUBSTITUTE(SUBSTITUTE(LOWER(TRIM(C591)),"á","a"),"é","e"),"í","i"),"ó","o"),"ú","u"),"ü","u"),"ñ","n"),"à","a"),"è","e"),"ì","i"),"ò","o"),"ù","u"),"")</f>
        <v/>
      </c>
      <c r="Q591" s="25">
        <f>IF(AND(L591=1,E591&lt;&gt;""),SUBSTITUTE(SUBSTITUTE(SUBSTITUTE(SUBSTITUTE(SUBSTITUTE(SUBSTITUTE(SUBSTITUTE(SUBSTITUTE(SUBSTITUTE(SUBSTITUTE(SUBSTITUTE(SUBSTITUTE(LOWER(TRIM(E591)),"á","a"),"é","e"),"í","i"),"ó","o"),"ú","u"),"ü","u"),"ñ","n"),"à","a"),"è","e"),"ì","i"),"ò","o"),"ù","u"),"")</f>
        <v/>
      </c>
      <c r="R591" s="25">
        <f>IF(AND(L591=1,I591&lt;&gt;""),SUBSTITUTE(SUBSTITUTE(SUBSTITUTE(SUBSTITUTE(SUBSTITUTE(SUBSTITUTE(SUBSTITUTE(SUBSTITUTE(SUBSTITUTE(SUBSTITUTE(SUBSTITUTE(SUBSTITUTE(LOWER(TRIM(I591)),"á","a"),"é","e"),"í","i"),"ó","o"),"ú","u"),"ü","u"),"ñ","n"),"à","a"),"è","e"),"ì","i"),"ò","o"),"ù","u"),"")</f>
        <v/>
      </c>
      <c r="S591" s="25">
        <f>IF(R591="","",IF(OR(R591="si",R591="tal vez"),1,0))</f>
        <v/>
      </c>
      <c r="T591" s="25">
        <f>IF(AND(L591=1,D591&lt;&gt;""),IF(IFERROR(COUNTIFS(D$3:D591,"="&amp;SUBSTITUTE(SUBSTITUTE(SUBSTITUTE(D591,"~","~~"),"*","~*"),"?","~?"),L$3:L591,1),0)=1,MAX(T$2:T590)+1,""),"")</f>
        <v/>
      </c>
      <c r="U591" s="25">
        <f>IF(T591="","",COUNTIFS($D$3:$D$1002,"="&amp;SUBSTITUTE(SUBSTITUTE(SUBSTITUTE(D591,"~","~~"),"*","~*"),"?","~?"),$L$3:$L$1002,1)*10000-T591)</f>
        <v/>
      </c>
      <c r="V591" s="25">
        <f>IF(AND(L591=1,J591&lt;&gt;""),IF(IFERROR(COUNTIFS(J$3:J591,"="&amp;SUBSTITUTE(SUBSTITUTE(SUBSTITUTE(J591,"~","~~"),"*","~*"),"?","~?"),L$3:L591,1),0)=1,MAX(V$2:V590)+1,""),"")</f>
        <v/>
      </c>
      <c r="W591" s="25">
        <f>IF(V591="","",COUNTIFS($J$3:$J$1002,"="&amp;SUBSTITUTE(SUBSTITUTE(SUBSTITUTE(J591,"~","~~"),"*","~*"),"?","~?"),$L$3:$L$1002,1)*10000-V591)</f>
        <v/>
      </c>
    </row>
    <row r="592">
      <c r="A592">
        <f>IF(A$2=0,"",IFERROR(TRIM(INDEX('Pegar estudiantes'!$A$1:$BZ$1001,591,A$2)&amp;""),""))</f>
        <v/>
      </c>
      <c r="B592">
        <f>IF(B$2=0,"",IFERROR(TRIM(INDEX('Pegar estudiantes'!$A$1:$BZ$1001,591,B$2)&amp;""),""))</f>
        <v/>
      </c>
      <c r="C592">
        <f>IF(C$2=0,"",IFERROR(TRIM(INDEX('Pegar estudiantes'!$A$1:$BZ$1001,591,C$2)&amp;""),""))</f>
        <v/>
      </c>
      <c r="D592">
        <f>IF(D$2=0,"",IFERROR(TRIM(INDEX('Pegar estudiantes'!$A$1:$BZ$1001,591,D$2)&amp;""),""))</f>
        <v/>
      </c>
      <c r="E592">
        <f>IF(E$2=0,"",IFERROR(TRIM(INDEX('Pegar estudiantes'!$A$1:$BZ$1001,591,E$2)&amp;""),""))</f>
        <v/>
      </c>
      <c r="F592">
        <f>IF(F$2=0,"",IFERROR(TRIM(INDEX('Pegar estudiantes'!$A$1:$BZ$1001,591,F$2)&amp;""),""))</f>
        <v/>
      </c>
      <c r="G592">
        <f>IF(G$2=0,"",IFERROR(TRIM(INDEX('Pegar estudiantes'!$A$1:$BZ$1001,591,G$2)&amp;""),""))</f>
        <v/>
      </c>
      <c r="H592">
        <f>IF(H$2=0,"",IFERROR(TRIM(INDEX('Pegar estudiantes'!$A$1:$BZ$1001,591,H$2)&amp;""),""))</f>
        <v/>
      </c>
      <c r="I592">
        <f>IF(I$2=0,"",IFERROR(TRIM(INDEX('Pegar estudiantes'!$A$1:$BZ$1001,591,I$2)&amp;""),""))</f>
        <v/>
      </c>
      <c r="J592">
        <f>IF(J$2=0,"",IFERROR(TRIM(INDEX('Pegar estudiantes'!$A$1:$BZ$1001,591,J$2)&amp;""),""))</f>
        <v/>
      </c>
      <c r="K592">
        <f>IF(K$2=0,"",IFERROR(TRIM(INDEX('Pegar estudiantes'!$A$1:$BZ$1001,591,K$2)&amp;""),""))</f>
        <v/>
      </c>
      <c r="L592" s="25">
        <f>IF(A592&lt;&gt;"",1,"")</f>
        <v/>
      </c>
      <c r="M592" s="25">
        <f>IF(L592=1,IF(ISNUMBER(FIND("#"&amp;MID(A592,1,1)&amp;"#","#0#1#2#3#4#5#6#7#8#9#")),IF(ISNUMBER(FIND("#"&amp;MID(A592,2,1)&amp;"#","#0#1#2#3#4#5#6#7#8#9#")),IF(AND(VALUE(LEFT(A592,2))&gt;=1,VALUE(LEFT(A592,2))&lt;=5),VALUE(LEFT(A592,2)),""),IF(AND(VALUE(LEFT(A592,1))&gt;=1,VALUE(LEFT(A592,1))&lt;=5),VALUE(LEFT(A592,1)),"")),""),"")</f>
        <v/>
      </c>
      <c r="N592" s="25">
        <f>IF(L592=1,IF(ISNUMBER(FIND("#"&amp;MID(H592,1,1)&amp;"#","#0#1#2#3#4#5#6#7#8#9#")),IF(ISNUMBER(FIND("#"&amp;MID(H592,2,1)&amp;"#","#0#1#2#3#4#5#6#7#8#9#")),IF(AND(VALUE(LEFT(H592,2))&gt;=1,VALUE(LEFT(H592,2))&lt;=5),VALUE(LEFT(H592,2)),""),IF(AND(VALUE(LEFT(H592,1))&gt;=1,VALUE(LEFT(H592,1))&lt;=5),VALUE(LEFT(H592,1)),"")),""),"")</f>
        <v/>
      </c>
      <c r="O592" s="25">
        <f>IF(AND(L592=1,B592&lt;&gt;""),SUBSTITUTE(SUBSTITUTE(SUBSTITUTE(SUBSTITUTE(SUBSTITUTE(SUBSTITUTE(SUBSTITUTE(SUBSTITUTE(SUBSTITUTE(SUBSTITUTE(SUBSTITUTE(SUBSTITUTE(LOWER(TRIM(B592)),"á","a"),"é","e"),"í","i"),"ó","o"),"ú","u"),"ü","u"),"ñ","n"),"à","a"),"è","e"),"ì","i"),"ò","o"),"ù","u"),"")</f>
        <v/>
      </c>
      <c r="P592" s="25">
        <f>IF(AND(L592=1,C592&lt;&gt;""),SUBSTITUTE(SUBSTITUTE(SUBSTITUTE(SUBSTITUTE(SUBSTITUTE(SUBSTITUTE(SUBSTITUTE(SUBSTITUTE(SUBSTITUTE(SUBSTITUTE(SUBSTITUTE(SUBSTITUTE(LOWER(TRIM(C592)),"á","a"),"é","e"),"í","i"),"ó","o"),"ú","u"),"ü","u"),"ñ","n"),"à","a"),"è","e"),"ì","i"),"ò","o"),"ù","u"),"")</f>
        <v/>
      </c>
      <c r="Q592" s="25">
        <f>IF(AND(L592=1,E592&lt;&gt;""),SUBSTITUTE(SUBSTITUTE(SUBSTITUTE(SUBSTITUTE(SUBSTITUTE(SUBSTITUTE(SUBSTITUTE(SUBSTITUTE(SUBSTITUTE(SUBSTITUTE(SUBSTITUTE(SUBSTITUTE(LOWER(TRIM(E592)),"á","a"),"é","e"),"í","i"),"ó","o"),"ú","u"),"ü","u"),"ñ","n"),"à","a"),"è","e"),"ì","i"),"ò","o"),"ù","u"),"")</f>
        <v/>
      </c>
      <c r="R592" s="25">
        <f>IF(AND(L592=1,I592&lt;&gt;""),SUBSTITUTE(SUBSTITUTE(SUBSTITUTE(SUBSTITUTE(SUBSTITUTE(SUBSTITUTE(SUBSTITUTE(SUBSTITUTE(SUBSTITUTE(SUBSTITUTE(SUBSTITUTE(SUBSTITUTE(LOWER(TRIM(I592)),"á","a"),"é","e"),"í","i"),"ó","o"),"ú","u"),"ü","u"),"ñ","n"),"à","a"),"è","e"),"ì","i"),"ò","o"),"ù","u"),"")</f>
        <v/>
      </c>
      <c r="S592" s="25">
        <f>IF(R592="","",IF(OR(R592="si",R592="tal vez"),1,0))</f>
        <v/>
      </c>
      <c r="T592" s="25">
        <f>IF(AND(L592=1,D592&lt;&gt;""),IF(IFERROR(COUNTIFS(D$3:D592,"="&amp;SUBSTITUTE(SUBSTITUTE(SUBSTITUTE(D592,"~","~~"),"*","~*"),"?","~?"),L$3:L592,1),0)=1,MAX(T$2:T591)+1,""),"")</f>
        <v/>
      </c>
      <c r="U592" s="25">
        <f>IF(T592="","",COUNTIFS($D$3:$D$1002,"="&amp;SUBSTITUTE(SUBSTITUTE(SUBSTITUTE(D592,"~","~~"),"*","~*"),"?","~?"),$L$3:$L$1002,1)*10000-T592)</f>
        <v/>
      </c>
      <c r="V592" s="25">
        <f>IF(AND(L592=1,J592&lt;&gt;""),IF(IFERROR(COUNTIFS(J$3:J592,"="&amp;SUBSTITUTE(SUBSTITUTE(SUBSTITUTE(J592,"~","~~"),"*","~*"),"?","~?"),L$3:L592,1),0)=1,MAX(V$2:V591)+1,""),"")</f>
        <v/>
      </c>
      <c r="W592" s="25">
        <f>IF(V592="","",COUNTIFS($J$3:$J$1002,"="&amp;SUBSTITUTE(SUBSTITUTE(SUBSTITUTE(J592,"~","~~"),"*","~*"),"?","~?"),$L$3:$L$1002,1)*10000-V592)</f>
        <v/>
      </c>
    </row>
    <row r="593">
      <c r="A593">
        <f>IF(A$2=0,"",IFERROR(TRIM(INDEX('Pegar estudiantes'!$A$1:$BZ$1001,592,A$2)&amp;""),""))</f>
        <v/>
      </c>
      <c r="B593">
        <f>IF(B$2=0,"",IFERROR(TRIM(INDEX('Pegar estudiantes'!$A$1:$BZ$1001,592,B$2)&amp;""),""))</f>
        <v/>
      </c>
      <c r="C593">
        <f>IF(C$2=0,"",IFERROR(TRIM(INDEX('Pegar estudiantes'!$A$1:$BZ$1001,592,C$2)&amp;""),""))</f>
        <v/>
      </c>
      <c r="D593">
        <f>IF(D$2=0,"",IFERROR(TRIM(INDEX('Pegar estudiantes'!$A$1:$BZ$1001,592,D$2)&amp;""),""))</f>
        <v/>
      </c>
      <c r="E593">
        <f>IF(E$2=0,"",IFERROR(TRIM(INDEX('Pegar estudiantes'!$A$1:$BZ$1001,592,E$2)&amp;""),""))</f>
        <v/>
      </c>
      <c r="F593">
        <f>IF(F$2=0,"",IFERROR(TRIM(INDEX('Pegar estudiantes'!$A$1:$BZ$1001,592,F$2)&amp;""),""))</f>
        <v/>
      </c>
      <c r="G593">
        <f>IF(G$2=0,"",IFERROR(TRIM(INDEX('Pegar estudiantes'!$A$1:$BZ$1001,592,G$2)&amp;""),""))</f>
        <v/>
      </c>
      <c r="H593">
        <f>IF(H$2=0,"",IFERROR(TRIM(INDEX('Pegar estudiantes'!$A$1:$BZ$1001,592,H$2)&amp;""),""))</f>
        <v/>
      </c>
      <c r="I593">
        <f>IF(I$2=0,"",IFERROR(TRIM(INDEX('Pegar estudiantes'!$A$1:$BZ$1001,592,I$2)&amp;""),""))</f>
        <v/>
      </c>
      <c r="J593">
        <f>IF(J$2=0,"",IFERROR(TRIM(INDEX('Pegar estudiantes'!$A$1:$BZ$1001,592,J$2)&amp;""),""))</f>
        <v/>
      </c>
      <c r="K593">
        <f>IF(K$2=0,"",IFERROR(TRIM(INDEX('Pegar estudiantes'!$A$1:$BZ$1001,592,K$2)&amp;""),""))</f>
        <v/>
      </c>
      <c r="L593" s="25">
        <f>IF(A593&lt;&gt;"",1,"")</f>
        <v/>
      </c>
      <c r="M593" s="25">
        <f>IF(L593=1,IF(ISNUMBER(FIND("#"&amp;MID(A593,1,1)&amp;"#","#0#1#2#3#4#5#6#7#8#9#")),IF(ISNUMBER(FIND("#"&amp;MID(A593,2,1)&amp;"#","#0#1#2#3#4#5#6#7#8#9#")),IF(AND(VALUE(LEFT(A593,2))&gt;=1,VALUE(LEFT(A593,2))&lt;=5),VALUE(LEFT(A593,2)),""),IF(AND(VALUE(LEFT(A593,1))&gt;=1,VALUE(LEFT(A593,1))&lt;=5),VALUE(LEFT(A593,1)),"")),""),"")</f>
        <v/>
      </c>
      <c r="N593" s="25">
        <f>IF(L593=1,IF(ISNUMBER(FIND("#"&amp;MID(H593,1,1)&amp;"#","#0#1#2#3#4#5#6#7#8#9#")),IF(ISNUMBER(FIND("#"&amp;MID(H593,2,1)&amp;"#","#0#1#2#3#4#5#6#7#8#9#")),IF(AND(VALUE(LEFT(H593,2))&gt;=1,VALUE(LEFT(H593,2))&lt;=5),VALUE(LEFT(H593,2)),""),IF(AND(VALUE(LEFT(H593,1))&gt;=1,VALUE(LEFT(H593,1))&lt;=5),VALUE(LEFT(H593,1)),"")),""),"")</f>
        <v/>
      </c>
      <c r="O593" s="25">
        <f>IF(AND(L593=1,B593&lt;&gt;""),SUBSTITUTE(SUBSTITUTE(SUBSTITUTE(SUBSTITUTE(SUBSTITUTE(SUBSTITUTE(SUBSTITUTE(SUBSTITUTE(SUBSTITUTE(SUBSTITUTE(SUBSTITUTE(SUBSTITUTE(LOWER(TRIM(B593)),"á","a"),"é","e"),"í","i"),"ó","o"),"ú","u"),"ü","u"),"ñ","n"),"à","a"),"è","e"),"ì","i"),"ò","o"),"ù","u"),"")</f>
        <v/>
      </c>
      <c r="P593" s="25">
        <f>IF(AND(L593=1,C593&lt;&gt;""),SUBSTITUTE(SUBSTITUTE(SUBSTITUTE(SUBSTITUTE(SUBSTITUTE(SUBSTITUTE(SUBSTITUTE(SUBSTITUTE(SUBSTITUTE(SUBSTITUTE(SUBSTITUTE(SUBSTITUTE(LOWER(TRIM(C593)),"á","a"),"é","e"),"í","i"),"ó","o"),"ú","u"),"ü","u"),"ñ","n"),"à","a"),"è","e"),"ì","i"),"ò","o"),"ù","u"),"")</f>
        <v/>
      </c>
      <c r="Q593" s="25">
        <f>IF(AND(L593=1,E593&lt;&gt;""),SUBSTITUTE(SUBSTITUTE(SUBSTITUTE(SUBSTITUTE(SUBSTITUTE(SUBSTITUTE(SUBSTITUTE(SUBSTITUTE(SUBSTITUTE(SUBSTITUTE(SUBSTITUTE(SUBSTITUTE(LOWER(TRIM(E593)),"á","a"),"é","e"),"í","i"),"ó","o"),"ú","u"),"ü","u"),"ñ","n"),"à","a"),"è","e"),"ì","i"),"ò","o"),"ù","u"),"")</f>
        <v/>
      </c>
      <c r="R593" s="25">
        <f>IF(AND(L593=1,I593&lt;&gt;""),SUBSTITUTE(SUBSTITUTE(SUBSTITUTE(SUBSTITUTE(SUBSTITUTE(SUBSTITUTE(SUBSTITUTE(SUBSTITUTE(SUBSTITUTE(SUBSTITUTE(SUBSTITUTE(SUBSTITUTE(LOWER(TRIM(I593)),"á","a"),"é","e"),"í","i"),"ó","o"),"ú","u"),"ü","u"),"ñ","n"),"à","a"),"è","e"),"ì","i"),"ò","o"),"ù","u"),"")</f>
        <v/>
      </c>
      <c r="S593" s="25">
        <f>IF(R593="","",IF(OR(R593="si",R593="tal vez"),1,0))</f>
        <v/>
      </c>
      <c r="T593" s="25">
        <f>IF(AND(L593=1,D593&lt;&gt;""),IF(IFERROR(COUNTIFS(D$3:D593,"="&amp;SUBSTITUTE(SUBSTITUTE(SUBSTITUTE(D593,"~","~~"),"*","~*"),"?","~?"),L$3:L593,1),0)=1,MAX(T$2:T592)+1,""),"")</f>
        <v/>
      </c>
      <c r="U593" s="25">
        <f>IF(T593="","",COUNTIFS($D$3:$D$1002,"="&amp;SUBSTITUTE(SUBSTITUTE(SUBSTITUTE(D593,"~","~~"),"*","~*"),"?","~?"),$L$3:$L$1002,1)*10000-T593)</f>
        <v/>
      </c>
      <c r="V593" s="25">
        <f>IF(AND(L593=1,J593&lt;&gt;""),IF(IFERROR(COUNTIFS(J$3:J593,"="&amp;SUBSTITUTE(SUBSTITUTE(SUBSTITUTE(J593,"~","~~"),"*","~*"),"?","~?"),L$3:L593,1),0)=1,MAX(V$2:V592)+1,""),"")</f>
        <v/>
      </c>
      <c r="W593" s="25">
        <f>IF(V593="","",COUNTIFS($J$3:$J$1002,"="&amp;SUBSTITUTE(SUBSTITUTE(SUBSTITUTE(J593,"~","~~"),"*","~*"),"?","~?"),$L$3:$L$1002,1)*10000-V593)</f>
        <v/>
      </c>
    </row>
    <row r="594">
      <c r="A594">
        <f>IF(A$2=0,"",IFERROR(TRIM(INDEX('Pegar estudiantes'!$A$1:$BZ$1001,593,A$2)&amp;""),""))</f>
        <v/>
      </c>
      <c r="B594">
        <f>IF(B$2=0,"",IFERROR(TRIM(INDEX('Pegar estudiantes'!$A$1:$BZ$1001,593,B$2)&amp;""),""))</f>
        <v/>
      </c>
      <c r="C594">
        <f>IF(C$2=0,"",IFERROR(TRIM(INDEX('Pegar estudiantes'!$A$1:$BZ$1001,593,C$2)&amp;""),""))</f>
        <v/>
      </c>
      <c r="D594">
        <f>IF(D$2=0,"",IFERROR(TRIM(INDEX('Pegar estudiantes'!$A$1:$BZ$1001,593,D$2)&amp;""),""))</f>
        <v/>
      </c>
      <c r="E594">
        <f>IF(E$2=0,"",IFERROR(TRIM(INDEX('Pegar estudiantes'!$A$1:$BZ$1001,593,E$2)&amp;""),""))</f>
        <v/>
      </c>
      <c r="F594">
        <f>IF(F$2=0,"",IFERROR(TRIM(INDEX('Pegar estudiantes'!$A$1:$BZ$1001,593,F$2)&amp;""),""))</f>
        <v/>
      </c>
      <c r="G594">
        <f>IF(G$2=0,"",IFERROR(TRIM(INDEX('Pegar estudiantes'!$A$1:$BZ$1001,593,G$2)&amp;""),""))</f>
        <v/>
      </c>
      <c r="H594">
        <f>IF(H$2=0,"",IFERROR(TRIM(INDEX('Pegar estudiantes'!$A$1:$BZ$1001,593,H$2)&amp;""),""))</f>
        <v/>
      </c>
      <c r="I594">
        <f>IF(I$2=0,"",IFERROR(TRIM(INDEX('Pegar estudiantes'!$A$1:$BZ$1001,593,I$2)&amp;""),""))</f>
        <v/>
      </c>
      <c r="J594">
        <f>IF(J$2=0,"",IFERROR(TRIM(INDEX('Pegar estudiantes'!$A$1:$BZ$1001,593,J$2)&amp;""),""))</f>
        <v/>
      </c>
      <c r="K594">
        <f>IF(K$2=0,"",IFERROR(TRIM(INDEX('Pegar estudiantes'!$A$1:$BZ$1001,593,K$2)&amp;""),""))</f>
        <v/>
      </c>
      <c r="L594" s="25">
        <f>IF(A594&lt;&gt;"",1,"")</f>
        <v/>
      </c>
      <c r="M594" s="25">
        <f>IF(L594=1,IF(ISNUMBER(FIND("#"&amp;MID(A594,1,1)&amp;"#","#0#1#2#3#4#5#6#7#8#9#")),IF(ISNUMBER(FIND("#"&amp;MID(A594,2,1)&amp;"#","#0#1#2#3#4#5#6#7#8#9#")),IF(AND(VALUE(LEFT(A594,2))&gt;=1,VALUE(LEFT(A594,2))&lt;=5),VALUE(LEFT(A594,2)),""),IF(AND(VALUE(LEFT(A594,1))&gt;=1,VALUE(LEFT(A594,1))&lt;=5),VALUE(LEFT(A594,1)),"")),""),"")</f>
        <v/>
      </c>
      <c r="N594" s="25">
        <f>IF(L594=1,IF(ISNUMBER(FIND("#"&amp;MID(H594,1,1)&amp;"#","#0#1#2#3#4#5#6#7#8#9#")),IF(ISNUMBER(FIND("#"&amp;MID(H594,2,1)&amp;"#","#0#1#2#3#4#5#6#7#8#9#")),IF(AND(VALUE(LEFT(H594,2))&gt;=1,VALUE(LEFT(H594,2))&lt;=5),VALUE(LEFT(H594,2)),""),IF(AND(VALUE(LEFT(H594,1))&gt;=1,VALUE(LEFT(H594,1))&lt;=5),VALUE(LEFT(H594,1)),"")),""),"")</f>
        <v/>
      </c>
      <c r="O594" s="25">
        <f>IF(AND(L594=1,B594&lt;&gt;""),SUBSTITUTE(SUBSTITUTE(SUBSTITUTE(SUBSTITUTE(SUBSTITUTE(SUBSTITUTE(SUBSTITUTE(SUBSTITUTE(SUBSTITUTE(SUBSTITUTE(SUBSTITUTE(SUBSTITUTE(LOWER(TRIM(B594)),"á","a"),"é","e"),"í","i"),"ó","o"),"ú","u"),"ü","u"),"ñ","n"),"à","a"),"è","e"),"ì","i"),"ò","o"),"ù","u"),"")</f>
        <v/>
      </c>
      <c r="P594" s="25">
        <f>IF(AND(L594=1,C594&lt;&gt;""),SUBSTITUTE(SUBSTITUTE(SUBSTITUTE(SUBSTITUTE(SUBSTITUTE(SUBSTITUTE(SUBSTITUTE(SUBSTITUTE(SUBSTITUTE(SUBSTITUTE(SUBSTITUTE(SUBSTITUTE(LOWER(TRIM(C594)),"á","a"),"é","e"),"í","i"),"ó","o"),"ú","u"),"ü","u"),"ñ","n"),"à","a"),"è","e"),"ì","i"),"ò","o"),"ù","u"),"")</f>
        <v/>
      </c>
      <c r="Q594" s="25">
        <f>IF(AND(L594=1,E594&lt;&gt;""),SUBSTITUTE(SUBSTITUTE(SUBSTITUTE(SUBSTITUTE(SUBSTITUTE(SUBSTITUTE(SUBSTITUTE(SUBSTITUTE(SUBSTITUTE(SUBSTITUTE(SUBSTITUTE(SUBSTITUTE(LOWER(TRIM(E594)),"á","a"),"é","e"),"í","i"),"ó","o"),"ú","u"),"ü","u"),"ñ","n"),"à","a"),"è","e"),"ì","i"),"ò","o"),"ù","u"),"")</f>
        <v/>
      </c>
      <c r="R594" s="25">
        <f>IF(AND(L594=1,I594&lt;&gt;""),SUBSTITUTE(SUBSTITUTE(SUBSTITUTE(SUBSTITUTE(SUBSTITUTE(SUBSTITUTE(SUBSTITUTE(SUBSTITUTE(SUBSTITUTE(SUBSTITUTE(SUBSTITUTE(SUBSTITUTE(LOWER(TRIM(I594)),"á","a"),"é","e"),"í","i"),"ó","o"),"ú","u"),"ü","u"),"ñ","n"),"à","a"),"è","e"),"ì","i"),"ò","o"),"ù","u"),"")</f>
        <v/>
      </c>
      <c r="S594" s="25">
        <f>IF(R594="","",IF(OR(R594="si",R594="tal vez"),1,0))</f>
        <v/>
      </c>
      <c r="T594" s="25">
        <f>IF(AND(L594=1,D594&lt;&gt;""),IF(IFERROR(COUNTIFS(D$3:D594,"="&amp;SUBSTITUTE(SUBSTITUTE(SUBSTITUTE(D594,"~","~~"),"*","~*"),"?","~?"),L$3:L594,1),0)=1,MAX(T$2:T593)+1,""),"")</f>
        <v/>
      </c>
      <c r="U594" s="25">
        <f>IF(T594="","",COUNTIFS($D$3:$D$1002,"="&amp;SUBSTITUTE(SUBSTITUTE(SUBSTITUTE(D594,"~","~~"),"*","~*"),"?","~?"),$L$3:$L$1002,1)*10000-T594)</f>
        <v/>
      </c>
      <c r="V594" s="25">
        <f>IF(AND(L594=1,J594&lt;&gt;""),IF(IFERROR(COUNTIFS(J$3:J594,"="&amp;SUBSTITUTE(SUBSTITUTE(SUBSTITUTE(J594,"~","~~"),"*","~*"),"?","~?"),L$3:L594,1),0)=1,MAX(V$2:V593)+1,""),"")</f>
        <v/>
      </c>
      <c r="W594" s="25">
        <f>IF(V594="","",COUNTIFS($J$3:$J$1002,"="&amp;SUBSTITUTE(SUBSTITUTE(SUBSTITUTE(J594,"~","~~"),"*","~*"),"?","~?"),$L$3:$L$1002,1)*10000-V594)</f>
        <v/>
      </c>
    </row>
    <row r="595">
      <c r="A595">
        <f>IF(A$2=0,"",IFERROR(TRIM(INDEX('Pegar estudiantes'!$A$1:$BZ$1001,594,A$2)&amp;""),""))</f>
        <v/>
      </c>
      <c r="B595">
        <f>IF(B$2=0,"",IFERROR(TRIM(INDEX('Pegar estudiantes'!$A$1:$BZ$1001,594,B$2)&amp;""),""))</f>
        <v/>
      </c>
      <c r="C595">
        <f>IF(C$2=0,"",IFERROR(TRIM(INDEX('Pegar estudiantes'!$A$1:$BZ$1001,594,C$2)&amp;""),""))</f>
        <v/>
      </c>
      <c r="D595">
        <f>IF(D$2=0,"",IFERROR(TRIM(INDEX('Pegar estudiantes'!$A$1:$BZ$1001,594,D$2)&amp;""),""))</f>
        <v/>
      </c>
      <c r="E595">
        <f>IF(E$2=0,"",IFERROR(TRIM(INDEX('Pegar estudiantes'!$A$1:$BZ$1001,594,E$2)&amp;""),""))</f>
        <v/>
      </c>
      <c r="F595">
        <f>IF(F$2=0,"",IFERROR(TRIM(INDEX('Pegar estudiantes'!$A$1:$BZ$1001,594,F$2)&amp;""),""))</f>
        <v/>
      </c>
      <c r="G595">
        <f>IF(G$2=0,"",IFERROR(TRIM(INDEX('Pegar estudiantes'!$A$1:$BZ$1001,594,G$2)&amp;""),""))</f>
        <v/>
      </c>
      <c r="H595">
        <f>IF(H$2=0,"",IFERROR(TRIM(INDEX('Pegar estudiantes'!$A$1:$BZ$1001,594,H$2)&amp;""),""))</f>
        <v/>
      </c>
      <c r="I595">
        <f>IF(I$2=0,"",IFERROR(TRIM(INDEX('Pegar estudiantes'!$A$1:$BZ$1001,594,I$2)&amp;""),""))</f>
        <v/>
      </c>
      <c r="J595">
        <f>IF(J$2=0,"",IFERROR(TRIM(INDEX('Pegar estudiantes'!$A$1:$BZ$1001,594,J$2)&amp;""),""))</f>
        <v/>
      </c>
      <c r="K595">
        <f>IF(K$2=0,"",IFERROR(TRIM(INDEX('Pegar estudiantes'!$A$1:$BZ$1001,594,K$2)&amp;""),""))</f>
        <v/>
      </c>
      <c r="L595" s="25">
        <f>IF(A595&lt;&gt;"",1,"")</f>
        <v/>
      </c>
      <c r="M595" s="25">
        <f>IF(L595=1,IF(ISNUMBER(FIND("#"&amp;MID(A595,1,1)&amp;"#","#0#1#2#3#4#5#6#7#8#9#")),IF(ISNUMBER(FIND("#"&amp;MID(A595,2,1)&amp;"#","#0#1#2#3#4#5#6#7#8#9#")),IF(AND(VALUE(LEFT(A595,2))&gt;=1,VALUE(LEFT(A595,2))&lt;=5),VALUE(LEFT(A595,2)),""),IF(AND(VALUE(LEFT(A595,1))&gt;=1,VALUE(LEFT(A595,1))&lt;=5),VALUE(LEFT(A595,1)),"")),""),"")</f>
        <v/>
      </c>
      <c r="N595" s="25">
        <f>IF(L595=1,IF(ISNUMBER(FIND("#"&amp;MID(H595,1,1)&amp;"#","#0#1#2#3#4#5#6#7#8#9#")),IF(ISNUMBER(FIND("#"&amp;MID(H595,2,1)&amp;"#","#0#1#2#3#4#5#6#7#8#9#")),IF(AND(VALUE(LEFT(H595,2))&gt;=1,VALUE(LEFT(H595,2))&lt;=5),VALUE(LEFT(H595,2)),""),IF(AND(VALUE(LEFT(H595,1))&gt;=1,VALUE(LEFT(H595,1))&lt;=5),VALUE(LEFT(H595,1)),"")),""),"")</f>
        <v/>
      </c>
      <c r="O595" s="25">
        <f>IF(AND(L595=1,B595&lt;&gt;""),SUBSTITUTE(SUBSTITUTE(SUBSTITUTE(SUBSTITUTE(SUBSTITUTE(SUBSTITUTE(SUBSTITUTE(SUBSTITUTE(SUBSTITUTE(SUBSTITUTE(SUBSTITUTE(SUBSTITUTE(LOWER(TRIM(B595)),"á","a"),"é","e"),"í","i"),"ó","o"),"ú","u"),"ü","u"),"ñ","n"),"à","a"),"è","e"),"ì","i"),"ò","o"),"ù","u"),"")</f>
        <v/>
      </c>
      <c r="P595" s="25">
        <f>IF(AND(L595=1,C595&lt;&gt;""),SUBSTITUTE(SUBSTITUTE(SUBSTITUTE(SUBSTITUTE(SUBSTITUTE(SUBSTITUTE(SUBSTITUTE(SUBSTITUTE(SUBSTITUTE(SUBSTITUTE(SUBSTITUTE(SUBSTITUTE(LOWER(TRIM(C595)),"á","a"),"é","e"),"í","i"),"ó","o"),"ú","u"),"ü","u"),"ñ","n"),"à","a"),"è","e"),"ì","i"),"ò","o"),"ù","u"),"")</f>
        <v/>
      </c>
      <c r="Q595" s="25">
        <f>IF(AND(L595=1,E595&lt;&gt;""),SUBSTITUTE(SUBSTITUTE(SUBSTITUTE(SUBSTITUTE(SUBSTITUTE(SUBSTITUTE(SUBSTITUTE(SUBSTITUTE(SUBSTITUTE(SUBSTITUTE(SUBSTITUTE(SUBSTITUTE(LOWER(TRIM(E595)),"á","a"),"é","e"),"í","i"),"ó","o"),"ú","u"),"ü","u"),"ñ","n"),"à","a"),"è","e"),"ì","i"),"ò","o"),"ù","u"),"")</f>
        <v/>
      </c>
      <c r="R595" s="25">
        <f>IF(AND(L595=1,I595&lt;&gt;""),SUBSTITUTE(SUBSTITUTE(SUBSTITUTE(SUBSTITUTE(SUBSTITUTE(SUBSTITUTE(SUBSTITUTE(SUBSTITUTE(SUBSTITUTE(SUBSTITUTE(SUBSTITUTE(SUBSTITUTE(LOWER(TRIM(I595)),"á","a"),"é","e"),"í","i"),"ó","o"),"ú","u"),"ü","u"),"ñ","n"),"à","a"),"è","e"),"ì","i"),"ò","o"),"ù","u"),"")</f>
        <v/>
      </c>
      <c r="S595" s="25">
        <f>IF(R595="","",IF(OR(R595="si",R595="tal vez"),1,0))</f>
        <v/>
      </c>
      <c r="T595" s="25">
        <f>IF(AND(L595=1,D595&lt;&gt;""),IF(IFERROR(COUNTIFS(D$3:D595,"="&amp;SUBSTITUTE(SUBSTITUTE(SUBSTITUTE(D595,"~","~~"),"*","~*"),"?","~?"),L$3:L595,1),0)=1,MAX(T$2:T594)+1,""),"")</f>
        <v/>
      </c>
      <c r="U595" s="25">
        <f>IF(T595="","",COUNTIFS($D$3:$D$1002,"="&amp;SUBSTITUTE(SUBSTITUTE(SUBSTITUTE(D595,"~","~~"),"*","~*"),"?","~?"),$L$3:$L$1002,1)*10000-T595)</f>
        <v/>
      </c>
      <c r="V595" s="25">
        <f>IF(AND(L595=1,J595&lt;&gt;""),IF(IFERROR(COUNTIFS(J$3:J595,"="&amp;SUBSTITUTE(SUBSTITUTE(SUBSTITUTE(J595,"~","~~"),"*","~*"),"?","~?"),L$3:L595,1),0)=1,MAX(V$2:V594)+1,""),"")</f>
        <v/>
      </c>
      <c r="W595" s="25">
        <f>IF(V595="","",COUNTIFS($J$3:$J$1002,"="&amp;SUBSTITUTE(SUBSTITUTE(SUBSTITUTE(J595,"~","~~"),"*","~*"),"?","~?"),$L$3:$L$1002,1)*10000-V595)</f>
        <v/>
      </c>
    </row>
    <row r="596">
      <c r="A596">
        <f>IF(A$2=0,"",IFERROR(TRIM(INDEX('Pegar estudiantes'!$A$1:$BZ$1001,595,A$2)&amp;""),""))</f>
        <v/>
      </c>
      <c r="B596">
        <f>IF(B$2=0,"",IFERROR(TRIM(INDEX('Pegar estudiantes'!$A$1:$BZ$1001,595,B$2)&amp;""),""))</f>
        <v/>
      </c>
      <c r="C596">
        <f>IF(C$2=0,"",IFERROR(TRIM(INDEX('Pegar estudiantes'!$A$1:$BZ$1001,595,C$2)&amp;""),""))</f>
        <v/>
      </c>
      <c r="D596">
        <f>IF(D$2=0,"",IFERROR(TRIM(INDEX('Pegar estudiantes'!$A$1:$BZ$1001,595,D$2)&amp;""),""))</f>
        <v/>
      </c>
      <c r="E596">
        <f>IF(E$2=0,"",IFERROR(TRIM(INDEX('Pegar estudiantes'!$A$1:$BZ$1001,595,E$2)&amp;""),""))</f>
        <v/>
      </c>
      <c r="F596">
        <f>IF(F$2=0,"",IFERROR(TRIM(INDEX('Pegar estudiantes'!$A$1:$BZ$1001,595,F$2)&amp;""),""))</f>
        <v/>
      </c>
      <c r="G596">
        <f>IF(G$2=0,"",IFERROR(TRIM(INDEX('Pegar estudiantes'!$A$1:$BZ$1001,595,G$2)&amp;""),""))</f>
        <v/>
      </c>
      <c r="H596">
        <f>IF(H$2=0,"",IFERROR(TRIM(INDEX('Pegar estudiantes'!$A$1:$BZ$1001,595,H$2)&amp;""),""))</f>
        <v/>
      </c>
      <c r="I596">
        <f>IF(I$2=0,"",IFERROR(TRIM(INDEX('Pegar estudiantes'!$A$1:$BZ$1001,595,I$2)&amp;""),""))</f>
        <v/>
      </c>
      <c r="J596">
        <f>IF(J$2=0,"",IFERROR(TRIM(INDEX('Pegar estudiantes'!$A$1:$BZ$1001,595,J$2)&amp;""),""))</f>
        <v/>
      </c>
      <c r="K596">
        <f>IF(K$2=0,"",IFERROR(TRIM(INDEX('Pegar estudiantes'!$A$1:$BZ$1001,595,K$2)&amp;""),""))</f>
        <v/>
      </c>
      <c r="L596" s="25">
        <f>IF(A596&lt;&gt;"",1,"")</f>
        <v/>
      </c>
      <c r="M596" s="25">
        <f>IF(L596=1,IF(ISNUMBER(FIND("#"&amp;MID(A596,1,1)&amp;"#","#0#1#2#3#4#5#6#7#8#9#")),IF(ISNUMBER(FIND("#"&amp;MID(A596,2,1)&amp;"#","#0#1#2#3#4#5#6#7#8#9#")),IF(AND(VALUE(LEFT(A596,2))&gt;=1,VALUE(LEFT(A596,2))&lt;=5),VALUE(LEFT(A596,2)),""),IF(AND(VALUE(LEFT(A596,1))&gt;=1,VALUE(LEFT(A596,1))&lt;=5),VALUE(LEFT(A596,1)),"")),""),"")</f>
        <v/>
      </c>
      <c r="N596" s="25">
        <f>IF(L596=1,IF(ISNUMBER(FIND("#"&amp;MID(H596,1,1)&amp;"#","#0#1#2#3#4#5#6#7#8#9#")),IF(ISNUMBER(FIND("#"&amp;MID(H596,2,1)&amp;"#","#0#1#2#3#4#5#6#7#8#9#")),IF(AND(VALUE(LEFT(H596,2))&gt;=1,VALUE(LEFT(H596,2))&lt;=5),VALUE(LEFT(H596,2)),""),IF(AND(VALUE(LEFT(H596,1))&gt;=1,VALUE(LEFT(H596,1))&lt;=5),VALUE(LEFT(H596,1)),"")),""),"")</f>
        <v/>
      </c>
      <c r="O596" s="25">
        <f>IF(AND(L596=1,B596&lt;&gt;""),SUBSTITUTE(SUBSTITUTE(SUBSTITUTE(SUBSTITUTE(SUBSTITUTE(SUBSTITUTE(SUBSTITUTE(SUBSTITUTE(SUBSTITUTE(SUBSTITUTE(SUBSTITUTE(SUBSTITUTE(LOWER(TRIM(B596)),"á","a"),"é","e"),"í","i"),"ó","o"),"ú","u"),"ü","u"),"ñ","n"),"à","a"),"è","e"),"ì","i"),"ò","o"),"ù","u"),"")</f>
        <v/>
      </c>
      <c r="P596" s="25">
        <f>IF(AND(L596=1,C596&lt;&gt;""),SUBSTITUTE(SUBSTITUTE(SUBSTITUTE(SUBSTITUTE(SUBSTITUTE(SUBSTITUTE(SUBSTITUTE(SUBSTITUTE(SUBSTITUTE(SUBSTITUTE(SUBSTITUTE(SUBSTITUTE(LOWER(TRIM(C596)),"á","a"),"é","e"),"í","i"),"ó","o"),"ú","u"),"ü","u"),"ñ","n"),"à","a"),"è","e"),"ì","i"),"ò","o"),"ù","u"),"")</f>
        <v/>
      </c>
      <c r="Q596" s="25">
        <f>IF(AND(L596=1,E596&lt;&gt;""),SUBSTITUTE(SUBSTITUTE(SUBSTITUTE(SUBSTITUTE(SUBSTITUTE(SUBSTITUTE(SUBSTITUTE(SUBSTITUTE(SUBSTITUTE(SUBSTITUTE(SUBSTITUTE(SUBSTITUTE(LOWER(TRIM(E596)),"á","a"),"é","e"),"í","i"),"ó","o"),"ú","u"),"ü","u"),"ñ","n"),"à","a"),"è","e"),"ì","i"),"ò","o"),"ù","u"),"")</f>
        <v/>
      </c>
      <c r="R596" s="25">
        <f>IF(AND(L596=1,I596&lt;&gt;""),SUBSTITUTE(SUBSTITUTE(SUBSTITUTE(SUBSTITUTE(SUBSTITUTE(SUBSTITUTE(SUBSTITUTE(SUBSTITUTE(SUBSTITUTE(SUBSTITUTE(SUBSTITUTE(SUBSTITUTE(LOWER(TRIM(I596)),"á","a"),"é","e"),"í","i"),"ó","o"),"ú","u"),"ü","u"),"ñ","n"),"à","a"),"è","e"),"ì","i"),"ò","o"),"ù","u"),"")</f>
        <v/>
      </c>
      <c r="S596" s="25">
        <f>IF(R596="","",IF(OR(R596="si",R596="tal vez"),1,0))</f>
        <v/>
      </c>
      <c r="T596" s="25">
        <f>IF(AND(L596=1,D596&lt;&gt;""),IF(IFERROR(COUNTIFS(D$3:D596,"="&amp;SUBSTITUTE(SUBSTITUTE(SUBSTITUTE(D596,"~","~~"),"*","~*"),"?","~?"),L$3:L596,1),0)=1,MAX(T$2:T595)+1,""),"")</f>
        <v/>
      </c>
      <c r="U596" s="25">
        <f>IF(T596="","",COUNTIFS($D$3:$D$1002,"="&amp;SUBSTITUTE(SUBSTITUTE(SUBSTITUTE(D596,"~","~~"),"*","~*"),"?","~?"),$L$3:$L$1002,1)*10000-T596)</f>
        <v/>
      </c>
      <c r="V596" s="25">
        <f>IF(AND(L596=1,J596&lt;&gt;""),IF(IFERROR(COUNTIFS(J$3:J596,"="&amp;SUBSTITUTE(SUBSTITUTE(SUBSTITUTE(J596,"~","~~"),"*","~*"),"?","~?"),L$3:L596,1),0)=1,MAX(V$2:V595)+1,""),"")</f>
        <v/>
      </c>
      <c r="W596" s="25">
        <f>IF(V596="","",COUNTIFS($J$3:$J$1002,"="&amp;SUBSTITUTE(SUBSTITUTE(SUBSTITUTE(J596,"~","~~"),"*","~*"),"?","~?"),$L$3:$L$1002,1)*10000-V596)</f>
        <v/>
      </c>
    </row>
    <row r="597">
      <c r="A597">
        <f>IF(A$2=0,"",IFERROR(TRIM(INDEX('Pegar estudiantes'!$A$1:$BZ$1001,596,A$2)&amp;""),""))</f>
        <v/>
      </c>
      <c r="B597">
        <f>IF(B$2=0,"",IFERROR(TRIM(INDEX('Pegar estudiantes'!$A$1:$BZ$1001,596,B$2)&amp;""),""))</f>
        <v/>
      </c>
      <c r="C597">
        <f>IF(C$2=0,"",IFERROR(TRIM(INDEX('Pegar estudiantes'!$A$1:$BZ$1001,596,C$2)&amp;""),""))</f>
        <v/>
      </c>
      <c r="D597">
        <f>IF(D$2=0,"",IFERROR(TRIM(INDEX('Pegar estudiantes'!$A$1:$BZ$1001,596,D$2)&amp;""),""))</f>
        <v/>
      </c>
      <c r="E597">
        <f>IF(E$2=0,"",IFERROR(TRIM(INDEX('Pegar estudiantes'!$A$1:$BZ$1001,596,E$2)&amp;""),""))</f>
        <v/>
      </c>
      <c r="F597">
        <f>IF(F$2=0,"",IFERROR(TRIM(INDEX('Pegar estudiantes'!$A$1:$BZ$1001,596,F$2)&amp;""),""))</f>
        <v/>
      </c>
      <c r="G597">
        <f>IF(G$2=0,"",IFERROR(TRIM(INDEX('Pegar estudiantes'!$A$1:$BZ$1001,596,G$2)&amp;""),""))</f>
        <v/>
      </c>
      <c r="H597">
        <f>IF(H$2=0,"",IFERROR(TRIM(INDEX('Pegar estudiantes'!$A$1:$BZ$1001,596,H$2)&amp;""),""))</f>
        <v/>
      </c>
      <c r="I597">
        <f>IF(I$2=0,"",IFERROR(TRIM(INDEX('Pegar estudiantes'!$A$1:$BZ$1001,596,I$2)&amp;""),""))</f>
        <v/>
      </c>
      <c r="J597">
        <f>IF(J$2=0,"",IFERROR(TRIM(INDEX('Pegar estudiantes'!$A$1:$BZ$1001,596,J$2)&amp;""),""))</f>
        <v/>
      </c>
      <c r="K597">
        <f>IF(K$2=0,"",IFERROR(TRIM(INDEX('Pegar estudiantes'!$A$1:$BZ$1001,596,K$2)&amp;""),""))</f>
        <v/>
      </c>
      <c r="L597" s="25">
        <f>IF(A597&lt;&gt;"",1,"")</f>
        <v/>
      </c>
      <c r="M597" s="25">
        <f>IF(L597=1,IF(ISNUMBER(FIND("#"&amp;MID(A597,1,1)&amp;"#","#0#1#2#3#4#5#6#7#8#9#")),IF(ISNUMBER(FIND("#"&amp;MID(A597,2,1)&amp;"#","#0#1#2#3#4#5#6#7#8#9#")),IF(AND(VALUE(LEFT(A597,2))&gt;=1,VALUE(LEFT(A597,2))&lt;=5),VALUE(LEFT(A597,2)),""),IF(AND(VALUE(LEFT(A597,1))&gt;=1,VALUE(LEFT(A597,1))&lt;=5),VALUE(LEFT(A597,1)),"")),""),"")</f>
        <v/>
      </c>
      <c r="N597" s="25">
        <f>IF(L597=1,IF(ISNUMBER(FIND("#"&amp;MID(H597,1,1)&amp;"#","#0#1#2#3#4#5#6#7#8#9#")),IF(ISNUMBER(FIND("#"&amp;MID(H597,2,1)&amp;"#","#0#1#2#3#4#5#6#7#8#9#")),IF(AND(VALUE(LEFT(H597,2))&gt;=1,VALUE(LEFT(H597,2))&lt;=5),VALUE(LEFT(H597,2)),""),IF(AND(VALUE(LEFT(H597,1))&gt;=1,VALUE(LEFT(H597,1))&lt;=5),VALUE(LEFT(H597,1)),"")),""),"")</f>
        <v/>
      </c>
      <c r="O597" s="25">
        <f>IF(AND(L597=1,B597&lt;&gt;""),SUBSTITUTE(SUBSTITUTE(SUBSTITUTE(SUBSTITUTE(SUBSTITUTE(SUBSTITUTE(SUBSTITUTE(SUBSTITUTE(SUBSTITUTE(SUBSTITUTE(SUBSTITUTE(SUBSTITUTE(LOWER(TRIM(B597)),"á","a"),"é","e"),"í","i"),"ó","o"),"ú","u"),"ü","u"),"ñ","n"),"à","a"),"è","e"),"ì","i"),"ò","o"),"ù","u"),"")</f>
        <v/>
      </c>
      <c r="P597" s="25">
        <f>IF(AND(L597=1,C597&lt;&gt;""),SUBSTITUTE(SUBSTITUTE(SUBSTITUTE(SUBSTITUTE(SUBSTITUTE(SUBSTITUTE(SUBSTITUTE(SUBSTITUTE(SUBSTITUTE(SUBSTITUTE(SUBSTITUTE(SUBSTITUTE(LOWER(TRIM(C597)),"á","a"),"é","e"),"í","i"),"ó","o"),"ú","u"),"ü","u"),"ñ","n"),"à","a"),"è","e"),"ì","i"),"ò","o"),"ù","u"),"")</f>
        <v/>
      </c>
      <c r="Q597" s="25">
        <f>IF(AND(L597=1,E597&lt;&gt;""),SUBSTITUTE(SUBSTITUTE(SUBSTITUTE(SUBSTITUTE(SUBSTITUTE(SUBSTITUTE(SUBSTITUTE(SUBSTITUTE(SUBSTITUTE(SUBSTITUTE(SUBSTITUTE(SUBSTITUTE(LOWER(TRIM(E597)),"á","a"),"é","e"),"í","i"),"ó","o"),"ú","u"),"ü","u"),"ñ","n"),"à","a"),"è","e"),"ì","i"),"ò","o"),"ù","u"),"")</f>
        <v/>
      </c>
      <c r="R597" s="25">
        <f>IF(AND(L597=1,I597&lt;&gt;""),SUBSTITUTE(SUBSTITUTE(SUBSTITUTE(SUBSTITUTE(SUBSTITUTE(SUBSTITUTE(SUBSTITUTE(SUBSTITUTE(SUBSTITUTE(SUBSTITUTE(SUBSTITUTE(SUBSTITUTE(LOWER(TRIM(I597)),"á","a"),"é","e"),"í","i"),"ó","o"),"ú","u"),"ü","u"),"ñ","n"),"à","a"),"è","e"),"ì","i"),"ò","o"),"ù","u"),"")</f>
        <v/>
      </c>
      <c r="S597" s="25">
        <f>IF(R597="","",IF(OR(R597="si",R597="tal vez"),1,0))</f>
        <v/>
      </c>
      <c r="T597" s="25">
        <f>IF(AND(L597=1,D597&lt;&gt;""),IF(IFERROR(COUNTIFS(D$3:D597,"="&amp;SUBSTITUTE(SUBSTITUTE(SUBSTITUTE(D597,"~","~~"),"*","~*"),"?","~?"),L$3:L597,1),0)=1,MAX(T$2:T596)+1,""),"")</f>
        <v/>
      </c>
      <c r="U597" s="25">
        <f>IF(T597="","",COUNTIFS($D$3:$D$1002,"="&amp;SUBSTITUTE(SUBSTITUTE(SUBSTITUTE(D597,"~","~~"),"*","~*"),"?","~?"),$L$3:$L$1002,1)*10000-T597)</f>
        <v/>
      </c>
      <c r="V597" s="25">
        <f>IF(AND(L597=1,J597&lt;&gt;""),IF(IFERROR(COUNTIFS(J$3:J597,"="&amp;SUBSTITUTE(SUBSTITUTE(SUBSTITUTE(J597,"~","~~"),"*","~*"),"?","~?"),L$3:L597,1),0)=1,MAX(V$2:V596)+1,""),"")</f>
        <v/>
      </c>
      <c r="W597" s="25">
        <f>IF(V597="","",COUNTIFS($J$3:$J$1002,"="&amp;SUBSTITUTE(SUBSTITUTE(SUBSTITUTE(J597,"~","~~"),"*","~*"),"?","~?"),$L$3:$L$1002,1)*10000-V597)</f>
        <v/>
      </c>
    </row>
    <row r="598">
      <c r="A598">
        <f>IF(A$2=0,"",IFERROR(TRIM(INDEX('Pegar estudiantes'!$A$1:$BZ$1001,597,A$2)&amp;""),""))</f>
        <v/>
      </c>
      <c r="B598">
        <f>IF(B$2=0,"",IFERROR(TRIM(INDEX('Pegar estudiantes'!$A$1:$BZ$1001,597,B$2)&amp;""),""))</f>
        <v/>
      </c>
      <c r="C598">
        <f>IF(C$2=0,"",IFERROR(TRIM(INDEX('Pegar estudiantes'!$A$1:$BZ$1001,597,C$2)&amp;""),""))</f>
        <v/>
      </c>
      <c r="D598">
        <f>IF(D$2=0,"",IFERROR(TRIM(INDEX('Pegar estudiantes'!$A$1:$BZ$1001,597,D$2)&amp;""),""))</f>
        <v/>
      </c>
      <c r="E598">
        <f>IF(E$2=0,"",IFERROR(TRIM(INDEX('Pegar estudiantes'!$A$1:$BZ$1001,597,E$2)&amp;""),""))</f>
        <v/>
      </c>
      <c r="F598">
        <f>IF(F$2=0,"",IFERROR(TRIM(INDEX('Pegar estudiantes'!$A$1:$BZ$1001,597,F$2)&amp;""),""))</f>
        <v/>
      </c>
      <c r="G598">
        <f>IF(G$2=0,"",IFERROR(TRIM(INDEX('Pegar estudiantes'!$A$1:$BZ$1001,597,G$2)&amp;""),""))</f>
        <v/>
      </c>
      <c r="H598">
        <f>IF(H$2=0,"",IFERROR(TRIM(INDEX('Pegar estudiantes'!$A$1:$BZ$1001,597,H$2)&amp;""),""))</f>
        <v/>
      </c>
      <c r="I598">
        <f>IF(I$2=0,"",IFERROR(TRIM(INDEX('Pegar estudiantes'!$A$1:$BZ$1001,597,I$2)&amp;""),""))</f>
        <v/>
      </c>
      <c r="J598">
        <f>IF(J$2=0,"",IFERROR(TRIM(INDEX('Pegar estudiantes'!$A$1:$BZ$1001,597,J$2)&amp;""),""))</f>
        <v/>
      </c>
      <c r="K598">
        <f>IF(K$2=0,"",IFERROR(TRIM(INDEX('Pegar estudiantes'!$A$1:$BZ$1001,597,K$2)&amp;""),""))</f>
        <v/>
      </c>
      <c r="L598" s="25">
        <f>IF(A598&lt;&gt;"",1,"")</f>
        <v/>
      </c>
      <c r="M598" s="25">
        <f>IF(L598=1,IF(ISNUMBER(FIND("#"&amp;MID(A598,1,1)&amp;"#","#0#1#2#3#4#5#6#7#8#9#")),IF(ISNUMBER(FIND("#"&amp;MID(A598,2,1)&amp;"#","#0#1#2#3#4#5#6#7#8#9#")),IF(AND(VALUE(LEFT(A598,2))&gt;=1,VALUE(LEFT(A598,2))&lt;=5),VALUE(LEFT(A598,2)),""),IF(AND(VALUE(LEFT(A598,1))&gt;=1,VALUE(LEFT(A598,1))&lt;=5),VALUE(LEFT(A598,1)),"")),""),"")</f>
        <v/>
      </c>
      <c r="N598" s="25">
        <f>IF(L598=1,IF(ISNUMBER(FIND("#"&amp;MID(H598,1,1)&amp;"#","#0#1#2#3#4#5#6#7#8#9#")),IF(ISNUMBER(FIND("#"&amp;MID(H598,2,1)&amp;"#","#0#1#2#3#4#5#6#7#8#9#")),IF(AND(VALUE(LEFT(H598,2))&gt;=1,VALUE(LEFT(H598,2))&lt;=5),VALUE(LEFT(H598,2)),""),IF(AND(VALUE(LEFT(H598,1))&gt;=1,VALUE(LEFT(H598,1))&lt;=5),VALUE(LEFT(H598,1)),"")),""),"")</f>
        <v/>
      </c>
      <c r="O598" s="25">
        <f>IF(AND(L598=1,B598&lt;&gt;""),SUBSTITUTE(SUBSTITUTE(SUBSTITUTE(SUBSTITUTE(SUBSTITUTE(SUBSTITUTE(SUBSTITUTE(SUBSTITUTE(SUBSTITUTE(SUBSTITUTE(SUBSTITUTE(SUBSTITUTE(LOWER(TRIM(B598)),"á","a"),"é","e"),"í","i"),"ó","o"),"ú","u"),"ü","u"),"ñ","n"),"à","a"),"è","e"),"ì","i"),"ò","o"),"ù","u"),"")</f>
        <v/>
      </c>
      <c r="P598" s="25">
        <f>IF(AND(L598=1,C598&lt;&gt;""),SUBSTITUTE(SUBSTITUTE(SUBSTITUTE(SUBSTITUTE(SUBSTITUTE(SUBSTITUTE(SUBSTITUTE(SUBSTITUTE(SUBSTITUTE(SUBSTITUTE(SUBSTITUTE(SUBSTITUTE(LOWER(TRIM(C598)),"á","a"),"é","e"),"í","i"),"ó","o"),"ú","u"),"ü","u"),"ñ","n"),"à","a"),"è","e"),"ì","i"),"ò","o"),"ù","u"),"")</f>
        <v/>
      </c>
      <c r="Q598" s="25">
        <f>IF(AND(L598=1,E598&lt;&gt;""),SUBSTITUTE(SUBSTITUTE(SUBSTITUTE(SUBSTITUTE(SUBSTITUTE(SUBSTITUTE(SUBSTITUTE(SUBSTITUTE(SUBSTITUTE(SUBSTITUTE(SUBSTITUTE(SUBSTITUTE(LOWER(TRIM(E598)),"á","a"),"é","e"),"í","i"),"ó","o"),"ú","u"),"ü","u"),"ñ","n"),"à","a"),"è","e"),"ì","i"),"ò","o"),"ù","u"),"")</f>
        <v/>
      </c>
      <c r="R598" s="25">
        <f>IF(AND(L598=1,I598&lt;&gt;""),SUBSTITUTE(SUBSTITUTE(SUBSTITUTE(SUBSTITUTE(SUBSTITUTE(SUBSTITUTE(SUBSTITUTE(SUBSTITUTE(SUBSTITUTE(SUBSTITUTE(SUBSTITUTE(SUBSTITUTE(LOWER(TRIM(I598)),"á","a"),"é","e"),"í","i"),"ó","o"),"ú","u"),"ü","u"),"ñ","n"),"à","a"),"è","e"),"ì","i"),"ò","o"),"ù","u"),"")</f>
        <v/>
      </c>
      <c r="S598" s="25">
        <f>IF(R598="","",IF(OR(R598="si",R598="tal vez"),1,0))</f>
        <v/>
      </c>
      <c r="T598" s="25">
        <f>IF(AND(L598=1,D598&lt;&gt;""),IF(IFERROR(COUNTIFS(D$3:D598,"="&amp;SUBSTITUTE(SUBSTITUTE(SUBSTITUTE(D598,"~","~~"),"*","~*"),"?","~?"),L$3:L598,1),0)=1,MAX(T$2:T597)+1,""),"")</f>
        <v/>
      </c>
      <c r="U598" s="25">
        <f>IF(T598="","",COUNTIFS($D$3:$D$1002,"="&amp;SUBSTITUTE(SUBSTITUTE(SUBSTITUTE(D598,"~","~~"),"*","~*"),"?","~?"),$L$3:$L$1002,1)*10000-T598)</f>
        <v/>
      </c>
      <c r="V598" s="25">
        <f>IF(AND(L598=1,J598&lt;&gt;""),IF(IFERROR(COUNTIFS(J$3:J598,"="&amp;SUBSTITUTE(SUBSTITUTE(SUBSTITUTE(J598,"~","~~"),"*","~*"),"?","~?"),L$3:L598,1),0)=1,MAX(V$2:V597)+1,""),"")</f>
        <v/>
      </c>
      <c r="W598" s="25">
        <f>IF(V598="","",COUNTIFS($J$3:$J$1002,"="&amp;SUBSTITUTE(SUBSTITUTE(SUBSTITUTE(J598,"~","~~"),"*","~*"),"?","~?"),$L$3:$L$1002,1)*10000-V598)</f>
        <v/>
      </c>
    </row>
    <row r="599">
      <c r="A599">
        <f>IF(A$2=0,"",IFERROR(TRIM(INDEX('Pegar estudiantes'!$A$1:$BZ$1001,598,A$2)&amp;""),""))</f>
        <v/>
      </c>
      <c r="B599">
        <f>IF(B$2=0,"",IFERROR(TRIM(INDEX('Pegar estudiantes'!$A$1:$BZ$1001,598,B$2)&amp;""),""))</f>
        <v/>
      </c>
      <c r="C599">
        <f>IF(C$2=0,"",IFERROR(TRIM(INDEX('Pegar estudiantes'!$A$1:$BZ$1001,598,C$2)&amp;""),""))</f>
        <v/>
      </c>
      <c r="D599">
        <f>IF(D$2=0,"",IFERROR(TRIM(INDEX('Pegar estudiantes'!$A$1:$BZ$1001,598,D$2)&amp;""),""))</f>
        <v/>
      </c>
      <c r="E599">
        <f>IF(E$2=0,"",IFERROR(TRIM(INDEX('Pegar estudiantes'!$A$1:$BZ$1001,598,E$2)&amp;""),""))</f>
        <v/>
      </c>
      <c r="F599">
        <f>IF(F$2=0,"",IFERROR(TRIM(INDEX('Pegar estudiantes'!$A$1:$BZ$1001,598,F$2)&amp;""),""))</f>
        <v/>
      </c>
      <c r="G599">
        <f>IF(G$2=0,"",IFERROR(TRIM(INDEX('Pegar estudiantes'!$A$1:$BZ$1001,598,G$2)&amp;""),""))</f>
        <v/>
      </c>
      <c r="H599">
        <f>IF(H$2=0,"",IFERROR(TRIM(INDEX('Pegar estudiantes'!$A$1:$BZ$1001,598,H$2)&amp;""),""))</f>
        <v/>
      </c>
      <c r="I599">
        <f>IF(I$2=0,"",IFERROR(TRIM(INDEX('Pegar estudiantes'!$A$1:$BZ$1001,598,I$2)&amp;""),""))</f>
        <v/>
      </c>
      <c r="J599">
        <f>IF(J$2=0,"",IFERROR(TRIM(INDEX('Pegar estudiantes'!$A$1:$BZ$1001,598,J$2)&amp;""),""))</f>
        <v/>
      </c>
      <c r="K599">
        <f>IF(K$2=0,"",IFERROR(TRIM(INDEX('Pegar estudiantes'!$A$1:$BZ$1001,598,K$2)&amp;""),""))</f>
        <v/>
      </c>
      <c r="L599" s="25">
        <f>IF(A599&lt;&gt;"",1,"")</f>
        <v/>
      </c>
      <c r="M599" s="25">
        <f>IF(L599=1,IF(ISNUMBER(FIND("#"&amp;MID(A599,1,1)&amp;"#","#0#1#2#3#4#5#6#7#8#9#")),IF(ISNUMBER(FIND("#"&amp;MID(A599,2,1)&amp;"#","#0#1#2#3#4#5#6#7#8#9#")),IF(AND(VALUE(LEFT(A599,2))&gt;=1,VALUE(LEFT(A599,2))&lt;=5),VALUE(LEFT(A599,2)),""),IF(AND(VALUE(LEFT(A599,1))&gt;=1,VALUE(LEFT(A599,1))&lt;=5),VALUE(LEFT(A599,1)),"")),""),"")</f>
        <v/>
      </c>
      <c r="N599" s="25">
        <f>IF(L599=1,IF(ISNUMBER(FIND("#"&amp;MID(H599,1,1)&amp;"#","#0#1#2#3#4#5#6#7#8#9#")),IF(ISNUMBER(FIND("#"&amp;MID(H599,2,1)&amp;"#","#0#1#2#3#4#5#6#7#8#9#")),IF(AND(VALUE(LEFT(H599,2))&gt;=1,VALUE(LEFT(H599,2))&lt;=5),VALUE(LEFT(H599,2)),""),IF(AND(VALUE(LEFT(H599,1))&gt;=1,VALUE(LEFT(H599,1))&lt;=5),VALUE(LEFT(H599,1)),"")),""),"")</f>
        <v/>
      </c>
      <c r="O599" s="25">
        <f>IF(AND(L599=1,B599&lt;&gt;""),SUBSTITUTE(SUBSTITUTE(SUBSTITUTE(SUBSTITUTE(SUBSTITUTE(SUBSTITUTE(SUBSTITUTE(SUBSTITUTE(SUBSTITUTE(SUBSTITUTE(SUBSTITUTE(SUBSTITUTE(LOWER(TRIM(B599)),"á","a"),"é","e"),"í","i"),"ó","o"),"ú","u"),"ü","u"),"ñ","n"),"à","a"),"è","e"),"ì","i"),"ò","o"),"ù","u"),"")</f>
        <v/>
      </c>
      <c r="P599" s="25">
        <f>IF(AND(L599=1,C599&lt;&gt;""),SUBSTITUTE(SUBSTITUTE(SUBSTITUTE(SUBSTITUTE(SUBSTITUTE(SUBSTITUTE(SUBSTITUTE(SUBSTITUTE(SUBSTITUTE(SUBSTITUTE(SUBSTITUTE(SUBSTITUTE(LOWER(TRIM(C599)),"á","a"),"é","e"),"í","i"),"ó","o"),"ú","u"),"ü","u"),"ñ","n"),"à","a"),"è","e"),"ì","i"),"ò","o"),"ù","u"),"")</f>
        <v/>
      </c>
      <c r="Q599" s="25">
        <f>IF(AND(L599=1,E599&lt;&gt;""),SUBSTITUTE(SUBSTITUTE(SUBSTITUTE(SUBSTITUTE(SUBSTITUTE(SUBSTITUTE(SUBSTITUTE(SUBSTITUTE(SUBSTITUTE(SUBSTITUTE(SUBSTITUTE(SUBSTITUTE(LOWER(TRIM(E599)),"á","a"),"é","e"),"í","i"),"ó","o"),"ú","u"),"ü","u"),"ñ","n"),"à","a"),"è","e"),"ì","i"),"ò","o"),"ù","u"),"")</f>
        <v/>
      </c>
      <c r="R599" s="25">
        <f>IF(AND(L599=1,I599&lt;&gt;""),SUBSTITUTE(SUBSTITUTE(SUBSTITUTE(SUBSTITUTE(SUBSTITUTE(SUBSTITUTE(SUBSTITUTE(SUBSTITUTE(SUBSTITUTE(SUBSTITUTE(SUBSTITUTE(SUBSTITUTE(LOWER(TRIM(I599)),"á","a"),"é","e"),"í","i"),"ó","o"),"ú","u"),"ü","u"),"ñ","n"),"à","a"),"è","e"),"ì","i"),"ò","o"),"ù","u"),"")</f>
        <v/>
      </c>
      <c r="S599" s="25">
        <f>IF(R599="","",IF(OR(R599="si",R599="tal vez"),1,0))</f>
        <v/>
      </c>
      <c r="T599" s="25">
        <f>IF(AND(L599=1,D599&lt;&gt;""),IF(IFERROR(COUNTIFS(D$3:D599,"="&amp;SUBSTITUTE(SUBSTITUTE(SUBSTITUTE(D599,"~","~~"),"*","~*"),"?","~?"),L$3:L599,1),0)=1,MAX(T$2:T598)+1,""),"")</f>
        <v/>
      </c>
      <c r="U599" s="25">
        <f>IF(T599="","",COUNTIFS($D$3:$D$1002,"="&amp;SUBSTITUTE(SUBSTITUTE(SUBSTITUTE(D599,"~","~~"),"*","~*"),"?","~?"),$L$3:$L$1002,1)*10000-T599)</f>
        <v/>
      </c>
      <c r="V599" s="25">
        <f>IF(AND(L599=1,J599&lt;&gt;""),IF(IFERROR(COUNTIFS(J$3:J599,"="&amp;SUBSTITUTE(SUBSTITUTE(SUBSTITUTE(J599,"~","~~"),"*","~*"),"?","~?"),L$3:L599,1),0)=1,MAX(V$2:V598)+1,""),"")</f>
        <v/>
      </c>
      <c r="W599" s="25">
        <f>IF(V599="","",COUNTIFS($J$3:$J$1002,"="&amp;SUBSTITUTE(SUBSTITUTE(SUBSTITUTE(J599,"~","~~"),"*","~*"),"?","~?"),$L$3:$L$1002,1)*10000-V599)</f>
        <v/>
      </c>
    </row>
    <row r="600">
      <c r="A600">
        <f>IF(A$2=0,"",IFERROR(TRIM(INDEX('Pegar estudiantes'!$A$1:$BZ$1001,599,A$2)&amp;""),""))</f>
        <v/>
      </c>
      <c r="B600">
        <f>IF(B$2=0,"",IFERROR(TRIM(INDEX('Pegar estudiantes'!$A$1:$BZ$1001,599,B$2)&amp;""),""))</f>
        <v/>
      </c>
      <c r="C600">
        <f>IF(C$2=0,"",IFERROR(TRIM(INDEX('Pegar estudiantes'!$A$1:$BZ$1001,599,C$2)&amp;""),""))</f>
        <v/>
      </c>
      <c r="D600">
        <f>IF(D$2=0,"",IFERROR(TRIM(INDEX('Pegar estudiantes'!$A$1:$BZ$1001,599,D$2)&amp;""),""))</f>
        <v/>
      </c>
      <c r="E600">
        <f>IF(E$2=0,"",IFERROR(TRIM(INDEX('Pegar estudiantes'!$A$1:$BZ$1001,599,E$2)&amp;""),""))</f>
        <v/>
      </c>
      <c r="F600">
        <f>IF(F$2=0,"",IFERROR(TRIM(INDEX('Pegar estudiantes'!$A$1:$BZ$1001,599,F$2)&amp;""),""))</f>
        <v/>
      </c>
      <c r="G600">
        <f>IF(G$2=0,"",IFERROR(TRIM(INDEX('Pegar estudiantes'!$A$1:$BZ$1001,599,G$2)&amp;""),""))</f>
        <v/>
      </c>
      <c r="H600">
        <f>IF(H$2=0,"",IFERROR(TRIM(INDEX('Pegar estudiantes'!$A$1:$BZ$1001,599,H$2)&amp;""),""))</f>
        <v/>
      </c>
      <c r="I600">
        <f>IF(I$2=0,"",IFERROR(TRIM(INDEX('Pegar estudiantes'!$A$1:$BZ$1001,599,I$2)&amp;""),""))</f>
        <v/>
      </c>
      <c r="J600">
        <f>IF(J$2=0,"",IFERROR(TRIM(INDEX('Pegar estudiantes'!$A$1:$BZ$1001,599,J$2)&amp;""),""))</f>
        <v/>
      </c>
      <c r="K600">
        <f>IF(K$2=0,"",IFERROR(TRIM(INDEX('Pegar estudiantes'!$A$1:$BZ$1001,599,K$2)&amp;""),""))</f>
        <v/>
      </c>
      <c r="L600" s="25">
        <f>IF(A600&lt;&gt;"",1,"")</f>
        <v/>
      </c>
      <c r="M600" s="25">
        <f>IF(L600=1,IF(ISNUMBER(FIND("#"&amp;MID(A600,1,1)&amp;"#","#0#1#2#3#4#5#6#7#8#9#")),IF(ISNUMBER(FIND("#"&amp;MID(A600,2,1)&amp;"#","#0#1#2#3#4#5#6#7#8#9#")),IF(AND(VALUE(LEFT(A600,2))&gt;=1,VALUE(LEFT(A600,2))&lt;=5),VALUE(LEFT(A600,2)),""),IF(AND(VALUE(LEFT(A600,1))&gt;=1,VALUE(LEFT(A600,1))&lt;=5),VALUE(LEFT(A600,1)),"")),""),"")</f>
        <v/>
      </c>
      <c r="N600" s="25">
        <f>IF(L600=1,IF(ISNUMBER(FIND("#"&amp;MID(H600,1,1)&amp;"#","#0#1#2#3#4#5#6#7#8#9#")),IF(ISNUMBER(FIND("#"&amp;MID(H600,2,1)&amp;"#","#0#1#2#3#4#5#6#7#8#9#")),IF(AND(VALUE(LEFT(H600,2))&gt;=1,VALUE(LEFT(H600,2))&lt;=5),VALUE(LEFT(H600,2)),""),IF(AND(VALUE(LEFT(H600,1))&gt;=1,VALUE(LEFT(H600,1))&lt;=5),VALUE(LEFT(H600,1)),"")),""),"")</f>
        <v/>
      </c>
      <c r="O600" s="25">
        <f>IF(AND(L600=1,B600&lt;&gt;""),SUBSTITUTE(SUBSTITUTE(SUBSTITUTE(SUBSTITUTE(SUBSTITUTE(SUBSTITUTE(SUBSTITUTE(SUBSTITUTE(SUBSTITUTE(SUBSTITUTE(SUBSTITUTE(SUBSTITUTE(LOWER(TRIM(B600)),"á","a"),"é","e"),"í","i"),"ó","o"),"ú","u"),"ü","u"),"ñ","n"),"à","a"),"è","e"),"ì","i"),"ò","o"),"ù","u"),"")</f>
        <v/>
      </c>
      <c r="P600" s="25">
        <f>IF(AND(L600=1,C600&lt;&gt;""),SUBSTITUTE(SUBSTITUTE(SUBSTITUTE(SUBSTITUTE(SUBSTITUTE(SUBSTITUTE(SUBSTITUTE(SUBSTITUTE(SUBSTITUTE(SUBSTITUTE(SUBSTITUTE(SUBSTITUTE(LOWER(TRIM(C600)),"á","a"),"é","e"),"í","i"),"ó","o"),"ú","u"),"ü","u"),"ñ","n"),"à","a"),"è","e"),"ì","i"),"ò","o"),"ù","u"),"")</f>
        <v/>
      </c>
      <c r="Q600" s="25">
        <f>IF(AND(L600=1,E600&lt;&gt;""),SUBSTITUTE(SUBSTITUTE(SUBSTITUTE(SUBSTITUTE(SUBSTITUTE(SUBSTITUTE(SUBSTITUTE(SUBSTITUTE(SUBSTITUTE(SUBSTITUTE(SUBSTITUTE(SUBSTITUTE(LOWER(TRIM(E600)),"á","a"),"é","e"),"í","i"),"ó","o"),"ú","u"),"ü","u"),"ñ","n"),"à","a"),"è","e"),"ì","i"),"ò","o"),"ù","u"),"")</f>
        <v/>
      </c>
      <c r="R600" s="25">
        <f>IF(AND(L600=1,I600&lt;&gt;""),SUBSTITUTE(SUBSTITUTE(SUBSTITUTE(SUBSTITUTE(SUBSTITUTE(SUBSTITUTE(SUBSTITUTE(SUBSTITUTE(SUBSTITUTE(SUBSTITUTE(SUBSTITUTE(SUBSTITUTE(LOWER(TRIM(I600)),"á","a"),"é","e"),"í","i"),"ó","o"),"ú","u"),"ü","u"),"ñ","n"),"à","a"),"è","e"),"ì","i"),"ò","o"),"ù","u"),"")</f>
        <v/>
      </c>
      <c r="S600" s="25">
        <f>IF(R600="","",IF(OR(R600="si",R600="tal vez"),1,0))</f>
        <v/>
      </c>
      <c r="T600" s="25">
        <f>IF(AND(L600=1,D600&lt;&gt;""),IF(IFERROR(COUNTIFS(D$3:D600,"="&amp;SUBSTITUTE(SUBSTITUTE(SUBSTITUTE(D600,"~","~~"),"*","~*"),"?","~?"),L$3:L600,1),0)=1,MAX(T$2:T599)+1,""),"")</f>
        <v/>
      </c>
      <c r="U600" s="25">
        <f>IF(T600="","",COUNTIFS($D$3:$D$1002,"="&amp;SUBSTITUTE(SUBSTITUTE(SUBSTITUTE(D600,"~","~~"),"*","~*"),"?","~?"),$L$3:$L$1002,1)*10000-T600)</f>
        <v/>
      </c>
      <c r="V600" s="25">
        <f>IF(AND(L600=1,J600&lt;&gt;""),IF(IFERROR(COUNTIFS(J$3:J600,"="&amp;SUBSTITUTE(SUBSTITUTE(SUBSTITUTE(J600,"~","~~"),"*","~*"),"?","~?"),L$3:L600,1),0)=1,MAX(V$2:V599)+1,""),"")</f>
        <v/>
      </c>
      <c r="W600" s="25">
        <f>IF(V600="","",COUNTIFS($J$3:$J$1002,"="&amp;SUBSTITUTE(SUBSTITUTE(SUBSTITUTE(J600,"~","~~"),"*","~*"),"?","~?"),$L$3:$L$1002,1)*10000-V600)</f>
        <v/>
      </c>
    </row>
    <row r="601">
      <c r="A601">
        <f>IF(A$2=0,"",IFERROR(TRIM(INDEX('Pegar estudiantes'!$A$1:$BZ$1001,600,A$2)&amp;""),""))</f>
        <v/>
      </c>
      <c r="B601">
        <f>IF(B$2=0,"",IFERROR(TRIM(INDEX('Pegar estudiantes'!$A$1:$BZ$1001,600,B$2)&amp;""),""))</f>
        <v/>
      </c>
      <c r="C601">
        <f>IF(C$2=0,"",IFERROR(TRIM(INDEX('Pegar estudiantes'!$A$1:$BZ$1001,600,C$2)&amp;""),""))</f>
        <v/>
      </c>
      <c r="D601">
        <f>IF(D$2=0,"",IFERROR(TRIM(INDEX('Pegar estudiantes'!$A$1:$BZ$1001,600,D$2)&amp;""),""))</f>
        <v/>
      </c>
      <c r="E601">
        <f>IF(E$2=0,"",IFERROR(TRIM(INDEX('Pegar estudiantes'!$A$1:$BZ$1001,600,E$2)&amp;""),""))</f>
        <v/>
      </c>
      <c r="F601">
        <f>IF(F$2=0,"",IFERROR(TRIM(INDEX('Pegar estudiantes'!$A$1:$BZ$1001,600,F$2)&amp;""),""))</f>
        <v/>
      </c>
      <c r="G601">
        <f>IF(G$2=0,"",IFERROR(TRIM(INDEX('Pegar estudiantes'!$A$1:$BZ$1001,600,G$2)&amp;""),""))</f>
        <v/>
      </c>
      <c r="H601">
        <f>IF(H$2=0,"",IFERROR(TRIM(INDEX('Pegar estudiantes'!$A$1:$BZ$1001,600,H$2)&amp;""),""))</f>
        <v/>
      </c>
      <c r="I601">
        <f>IF(I$2=0,"",IFERROR(TRIM(INDEX('Pegar estudiantes'!$A$1:$BZ$1001,600,I$2)&amp;""),""))</f>
        <v/>
      </c>
      <c r="J601">
        <f>IF(J$2=0,"",IFERROR(TRIM(INDEX('Pegar estudiantes'!$A$1:$BZ$1001,600,J$2)&amp;""),""))</f>
        <v/>
      </c>
      <c r="K601">
        <f>IF(K$2=0,"",IFERROR(TRIM(INDEX('Pegar estudiantes'!$A$1:$BZ$1001,600,K$2)&amp;""),""))</f>
        <v/>
      </c>
      <c r="L601" s="25">
        <f>IF(A601&lt;&gt;"",1,"")</f>
        <v/>
      </c>
      <c r="M601" s="25">
        <f>IF(L601=1,IF(ISNUMBER(FIND("#"&amp;MID(A601,1,1)&amp;"#","#0#1#2#3#4#5#6#7#8#9#")),IF(ISNUMBER(FIND("#"&amp;MID(A601,2,1)&amp;"#","#0#1#2#3#4#5#6#7#8#9#")),IF(AND(VALUE(LEFT(A601,2))&gt;=1,VALUE(LEFT(A601,2))&lt;=5),VALUE(LEFT(A601,2)),""),IF(AND(VALUE(LEFT(A601,1))&gt;=1,VALUE(LEFT(A601,1))&lt;=5),VALUE(LEFT(A601,1)),"")),""),"")</f>
        <v/>
      </c>
      <c r="N601" s="25">
        <f>IF(L601=1,IF(ISNUMBER(FIND("#"&amp;MID(H601,1,1)&amp;"#","#0#1#2#3#4#5#6#7#8#9#")),IF(ISNUMBER(FIND("#"&amp;MID(H601,2,1)&amp;"#","#0#1#2#3#4#5#6#7#8#9#")),IF(AND(VALUE(LEFT(H601,2))&gt;=1,VALUE(LEFT(H601,2))&lt;=5),VALUE(LEFT(H601,2)),""),IF(AND(VALUE(LEFT(H601,1))&gt;=1,VALUE(LEFT(H601,1))&lt;=5),VALUE(LEFT(H601,1)),"")),""),"")</f>
        <v/>
      </c>
      <c r="O601" s="25">
        <f>IF(AND(L601=1,B601&lt;&gt;""),SUBSTITUTE(SUBSTITUTE(SUBSTITUTE(SUBSTITUTE(SUBSTITUTE(SUBSTITUTE(SUBSTITUTE(SUBSTITUTE(SUBSTITUTE(SUBSTITUTE(SUBSTITUTE(SUBSTITUTE(LOWER(TRIM(B601)),"á","a"),"é","e"),"í","i"),"ó","o"),"ú","u"),"ü","u"),"ñ","n"),"à","a"),"è","e"),"ì","i"),"ò","o"),"ù","u"),"")</f>
        <v/>
      </c>
      <c r="P601" s="25">
        <f>IF(AND(L601=1,C601&lt;&gt;""),SUBSTITUTE(SUBSTITUTE(SUBSTITUTE(SUBSTITUTE(SUBSTITUTE(SUBSTITUTE(SUBSTITUTE(SUBSTITUTE(SUBSTITUTE(SUBSTITUTE(SUBSTITUTE(SUBSTITUTE(LOWER(TRIM(C601)),"á","a"),"é","e"),"í","i"),"ó","o"),"ú","u"),"ü","u"),"ñ","n"),"à","a"),"è","e"),"ì","i"),"ò","o"),"ù","u"),"")</f>
        <v/>
      </c>
      <c r="Q601" s="25">
        <f>IF(AND(L601=1,E601&lt;&gt;""),SUBSTITUTE(SUBSTITUTE(SUBSTITUTE(SUBSTITUTE(SUBSTITUTE(SUBSTITUTE(SUBSTITUTE(SUBSTITUTE(SUBSTITUTE(SUBSTITUTE(SUBSTITUTE(SUBSTITUTE(LOWER(TRIM(E601)),"á","a"),"é","e"),"í","i"),"ó","o"),"ú","u"),"ü","u"),"ñ","n"),"à","a"),"è","e"),"ì","i"),"ò","o"),"ù","u"),"")</f>
        <v/>
      </c>
      <c r="R601" s="25">
        <f>IF(AND(L601=1,I601&lt;&gt;""),SUBSTITUTE(SUBSTITUTE(SUBSTITUTE(SUBSTITUTE(SUBSTITUTE(SUBSTITUTE(SUBSTITUTE(SUBSTITUTE(SUBSTITUTE(SUBSTITUTE(SUBSTITUTE(SUBSTITUTE(LOWER(TRIM(I601)),"á","a"),"é","e"),"í","i"),"ó","o"),"ú","u"),"ü","u"),"ñ","n"),"à","a"),"è","e"),"ì","i"),"ò","o"),"ù","u"),"")</f>
        <v/>
      </c>
      <c r="S601" s="25">
        <f>IF(R601="","",IF(OR(R601="si",R601="tal vez"),1,0))</f>
        <v/>
      </c>
      <c r="T601" s="25">
        <f>IF(AND(L601=1,D601&lt;&gt;""),IF(IFERROR(COUNTIFS(D$3:D601,"="&amp;SUBSTITUTE(SUBSTITUTE(SUBSTITUTE(D601,"~","~~"),"*","~*"),"?","~?"),L$3:L601,1),0)=1,MAX(T$2:T600)+1,""),"")</f>
        <v/>
      </c>
      <c r="U601" s="25">
        <f>IF(T601="","",COUNTIFS($D$3:$D$1002,"="&amp;SUBSTITUTE(SUBSTITUTE(SUBSTITUTE(D601,"~","~~"),"*","~*"),"?","~?"),$L$3:$L$1002,1)*10000-T601)</f>
        <v/>
      </c>
      <c r="V601" s="25">
        <f>IF(AND(L601=1,J601&lt;&gt;""),IF(IFERROR(COUNTIFS(J$3:J601,"="&amp;SUBSTITUTE(SUBSTITUTE(SUBSTITUTE(J601,"~","~~"),"*","~*"),"?","~?"),L$3:L601,1),0)=1,MAX(V$2:V600)+1,""),"")</f>
        <v/>
      </c>
      <c r="W601" s="25">
        <f>IF(V601="","",COUNTIFS($J$3:$J$1002,"="&amp;SUBSTITUTE(SUBSTITUTE(SUBSTITUTE(J601,"~","~~"),"*","~*"),"?","~?"),$L$3:$L$1002,1)*10000-V601)</f>
        <v/>
      </c>
    </row>
    <row r="602">
      <c r="A602">
        <f>IF(A$2=0,"",IFERROR(TRIM(INDEX('Pegar estudiantes'!$A$1:$BZ$1001,601,A$2)&amp;""),""))</f>
        <v/>
      </c>
      <c r="B602">
        <f>IF(B$2=0,"",IFERROR(TRIM(INDEX('Pegar estudiantes'!$A$1:$BZ$1001,601,B$2)&amp;""),""))</f>
        <v/>
      </c>
      <c r="C602">
        <f>IF(C$2=0,"",IFERROR(TRIM(INDEX('Pegar estudiantes'!$A$1:$BZ$1001,601,C$2)&amp;""),""))</f>
        <v/>
      </c>
      <c r="D602">
        <f>IF(D$2=0,"",IFERROR(TRIM(INDEX('Pegar estudiantes'!$A$1:$BZ$1001,601,D$2)&amp;""),""))</f>
        <v/>
      </c>
      <c r="E602">
        <f>IF(E$2=0,"",IFERROR(TRIM(INDEX('Pegar estudiantes'!$A$1:$BZ$1001,601,E$2)&amp;""),""))</f>
        <v/>
      </c>
      <c r="F602">
        <f>IF(F$2=0,"",IFERROR(TRIM(INDEX('Pegar estudiantes'!$A$1:$BZ$1001,601,F$2)&amp;""),""))</f>
        <v/>
      </c>
      <c r="G602">
        <f>IF(G$2=0,"",IFERROR(TRIM(INDEX('Pegar estudiantes'!$A$1:$BZ$1001,601,G$2)&amp;""),""))</f>
        <v/>
      </c>
      <c r="H602">
        <f>IF(H$2=0,"",IFERROR(TRIM(INDEX('Pegar estudiantes'!$A$1:$BZ$1001,601,H$2)&amp;""),""))</f>
        <v/>
      </c>
      <c r="I602">
        <f>IF(I$2=0,"",IFERROR(TRIM(INDEX('Pegar estudiantes'!$A$1:$BZ$1001,601,I$2)&amp;""),""))</f>
        <v/>
      </c>
      <c r="J602">
        <f>IF(J$2=0,"",IFERROR(TRIM(INDEX('Pegar estudiantes'!$A$1:$BZ$1001,601,J$2)&amp;""),""))</f>
        <v/>
      </c>
      <c r="K602">
        <f>IF(K$2=0,"",IFERROR(TRIM(INDEX('Pegar estudiantes'!$A$1:$BZ$1001,601,K$2)&amp;""),""))</f>
        <v/>
      </c>
      <c r="L602" s="25">
        <f>IF(A602&lt;&gt;"",1,"")</f>
        <v/>
      </c>
      <c r="M602" s="25">
        <f>IF(L602=1,IF(ISNUMBER(FIND("#"&amp;MID(A602,1,1)&amp;"#","#0#1#2#3#4#5#6#7#8#9#")),IF(ISNUMBER(FIND("#"&amp;MID(A602,2,1)&amp;"#","#0#1#2#3#4#5#6#7#8#9#")),IF(AND(VALUE(LEFT(A602,2))&gt;=1,VALUE(LEFT(A602,2))&lt;=5),VALUE(LEFT(A602,2)),""),IF(AND(VALUE(LEFT(A602,1))&gt;=1,VALUE(LEFT(A602,1))&lt;=5),VALUE(LEFT(A602,1)),"")),""),"")</f>
        <v/>
      </c>
      <c r="N602" s="25">
        <f>IF(L602=1,IF(ISNUMBER(FIND("#"&amp;MID(H602,1,1)&amp;"#","#0#1#2#3#4#5#6#7#8#9#")),IF(ISNUMBER(FIND("#"&amp;MID(H602,2,1)&amp;"#","#0#1#2#3#4#5#6#7#8#9#")),IF(AND(VALUE(LEFT(H602,2))&gt;=1,VALUE(LEFT(H602,2))&lt;=5),VALUE(LEFT(H602,2)),""),IF(AND(VALUE(LEFT(H602,1))&gt;=1,VALUE(LEFT(H602,1))&lt;=5),VALUE(LEFT(H602,1)),"")),""),"")</f>
        <v/>
      </c>
      <c r="O602" s="25">
        <f>IF(AND(L602=1,B602&lt;&gt;""),SUBSTITUTE(SUBSTITUTE(SUBSTITUTE(SUBSTITUTE(SUBSTITUTE(SUBSTITUTE(SUBSTITUTE(SUBSTITUTE(SUBSTITUTE(SUBSTITUTE(SUBSTITUTE(SUBSTITUTE(LOWER(TRIM(B602)),"á","a"),"é","e"),"í","i"),"ó","o"),"ú","u"),"ü","u"),"ñ","n"),"à","a"),"è","e"),"ì","i"),"ò","o"),"ù","u"),"")</f>
        <v/>
      </c>
      <c r="P602" s="25">
        <f>IF(AND(L602=1,C602&lt;&gt;""),SUBSTITUTE(SUBSTITUTE(SUBSTITUTE(SUBSTITUTE(SUBSTITUTE(SUBSTITUTE(SUBSTITUTE(SUBSTITUTE(SUBSTITUTE(SUBSTITUTE(SUBSTITUTE(SUBSTITUTE(LOWER(TRIM(C602)),"á","a"),"é","e"),"í","i"),"ó","o"),"ú","u"),"ü","u"),"ñ","n"),"à","a"),"è","e"),"ì","i"),"ò","o"),"ù","u"),"")</f>
        <v/>
      </c>
      <c r="Q602" s="25">
        <f>IF(AND(L602=1,E602&lt;&gt;""),SUBSTITUTE(SUBSTITUTE(SUBSTITUTE(SUBSTITUTE(SUBSTITUTE(SUBSTITUTE(SUBSTITUTE(SUBSTITUTE(SUBSTITUTE(SUBSTITUTE(SUBSTITUTE(SUBSTITUTE(LOWER(TRIM(E602)),"á","a"),"é","e"),"í","i"),"ó","o"),"ú","u"),"ü","u"),"ñ","n"),"à","a"),"è","e"),"ì","i"),"ò","o"),"ù","u"),"")</f>
        <v/>
      </c>
      <c r="R602" s="25">
        <f>IF(AND(L602=1,I602&lt;&gt;""),SUBSTITUTE(SUBSTITUTE(SUBSTITUTE(SUBSTITUTE(SUBSTITUTE(SUBSTITUTE(SUBSTITUTE(SUBSTITUTE(SUBSTITUTE(SUBSTITUTE(SUBSTITUTE(SUBSTITUTE(LOWER(TRIM(I602)),"á","a"),"é","e"),"í","i"),"ó","o"),"ú","u"),"ü","u"),"ñ","n"),"à","a"),"è","e"),"ì","i"),"ò","o"),"ù","u"),"")</f>
        <v/>
      </c>
      <c r="S602" s="25">
        <f>IF(R602="","",IF(OR(R602="si",R602="tal vez"),1,0))</f>
        <v/>
      </c>
      <c r="T602" s="25">
        <f>IF(AND(L602=1,D602&lt;&gt;""),IF(IFERROR(COUNTIFS(D$3:D602,"="&amp;SUBSTITUTE(SUBSTITUTE(SUBSTITUTE(D602,"~","~~"),"*","~*"),"?","~?"),L$3:L602,1),0)=1,MAX(T$2:T601)+1,""),"")</f>
        <v/>
      </c>
      <c r="U602" s="25">
        <f>IF(T602="","",COUNTIFS($D$3:$D$1002,"="&amp;SUBSTITUTE(SUBSTITUTE(SUBSTITUTE(D602,"~","~~"),"*","~*"),"?","~?"),$L$3:$L$1002,1)*10000-T602)</f>
        <v/>
      </c>
      <c r="V602" s="25">
        <f>IF(AND(L602=1,J602&lt;&gt;""),IF(IFERROR(COUNTIFS(J$3:J602,"="&amp;SUBSTITUTE(SUBSTITUTE(SUBSTITUTE(J602,"~","~~"),"*","~*"),"?","~?"),L$3:L602,1),0)=1,MAX(V$2:V601)+1,""),"")</f>
        <v/>
      </c>
      <c r="W602" s="25">
        <f>IF(V602="","",COUNTIFS($J$3:$J$1002,"="&amp;SUBSTITUTE(SUBSTITUTE(SUBSTITUTE(J602,"~","~~"),"*","~*"),"?","~?"),$L$3:$L$1002,1)*10000-V602)</f>
        <v/>
      </c>
    </row>
    <row r="603">
      <c r="A603">
        <f>IF(A$2=0,"",IFERROR(TRIM(INDEX('Pegar estudiantes'!$A$1:$BZ$1001,602,A$2)&amp;""),""))</f>
        <v/>
      </c>
      <c r="B603">
        <f>IF(B$2=0,"",IFERROR(TRIM(INDEX('Pegar estudiantes'!$A$1:$BZ$1001,602,B$2)&amp;""),""))</f>
        <v/>
      </c>
      <c r="C603">
        <f>IF(C$2=0,"",IFERROR(TRIM(INDEX('Pegar estudiantes'!$A$1:$BZ$1001,602,C$2)&amp;""),""))</f>
        <v/>
      </c>
      <c r="D603">
        <f>IF(D$2=0,"",IFERROR(TRIM(INDEX('Pegar estudiantes'!$A$1:$BZ$1001,602,D$2)&amp;""),""))</f>
        <v/>
      </c>
      <c r="E603">
        <f>IF(E$2=0,"",IFERROR(TRIM(INDEX('Pegar estudiantes'!$A$1:$BZ$1001,602,E$2)&amp;""),""))</f>
        <v/>
      </c>
      <c r="F603">
        <f>IF(F$2=0,"",IFERROR(TRIM(INDEX('Pegar estudiantes'!$A$1:$BZ$1001,602,F$2)&amp;""),""))</f>
        <v/>
      </c>
      <c r="G603">
        <f>IF(G$2=0,"",IFERROR(TRIM(INDEX('Pegar estudiantes'!$A$1:$BZ$1001,602,G$2)&amp;""),""))</f>
        <v/>
      </c>
      <c r="H603">
        <f>IF(H$2=0,"",IFERROR(TRIM(INDEX('Pegar estudiantes'!$A$1:$BZ$1001,602,H$2)&amp;""),""))</f>
        <v/>
      </c>
      <c r="I603">
        <f>IF(I$2=0,"",IFERROR(TRIM(INDEX('Pegar estudiantes'!$A$1:$BZ$1001,602,I$2)&amp;""),""))</f>
        <v/>
      </c>
      <c r="J603">
        <f>IF(J$2=0,"",IFERROR(TRIM(INDEX('Pegar estudiantes'!$A$1:$BZ$1001,602,J$2)&amp;""),""))</f>
        <v/>
      </c>
      <c r="K603">
        <f>IF(K$2=0,"",IFERROR(TRIM(INDEX('Pegar estudiantes'!$A$1:$BZ$1001,602,K$2)&amp;""),""))</f>
        <v/>
      </c>
      <c r="L603" s="25">
        <f>IF(A603&lt;&gt;"",1,"")</f>
        <v/>
      </c>
      <c r="M603" s="25">
        <f>IF(L603=1,IF(ISNUMBER(FIND("#"&amp;MID(A603,1,1)&amp;"#","#0#1#2#3#4#5#6#7#8#9#")),IF(ISNUMBER(FIND("#"&amp;MID(A603,2,1)&amp;"#","#0#1#2#3#4#5#6#7#8#9#")),IF(AND(VALUE(LEFT(A603,2))&gt;=1,VALUE(LEFT(A603,2))&lt;=5),VALUE(LEFT(A603,2)),""),IF(AND(VALUE(LEFT(A603,1))&gt;=1,VALUE(LEFT(A603,1))&lt;=5),VALUE(LEFT(A603,1)),"")),""),"")</f>
        <v/>
      </c>
      <c r="N603" s="25">
        <f>IF(L603=1,IF(ISNUMBER(FIND("#"&amp;MID(H603,1,1)&amp;"#","#0#1#2#3#4#5#6#7#8#9#")),IF(ISNUMBER(FIND("#"&amp;MID(H603,2,1)&amp;"#","#0#1#2#3#4#5#6#7#8#9#")),IF(AND(VALUE(LEFT(H603,2))&gt;=1,VALUE(LEFT(H603,2))&lt;=5),VALUE(LEFT(H603,2)),""),IF(AND(VALUE(LEFT(H603,1))&gt;=1,VALUE(LEFT(H603,1))&lt;=5),VALUE(LEFT(H603,1)),"")),""),"")</f>
        <v/>
      </c>
      <c r="O603" s="25">
        <f>IF(AND(L603=1,B603&lt;&gt;""),SUBSTITUTE(SUBSTITUTE(SUBSTITUTE(SUBSTITUTE(SUBSTITUTE(SUBSTITUTE(SUBSTITUTE(SUBSTITUTE(SUBSTITUTE(SUBSTITUTE(SUBSTITUTE(SUBSTITUTE(LOWER(TRIM(B603)),"á","a"),"é","e"),"í","i"),"ó","o"),"ú","u"),"ü","u"),"ñ","n"),"à","a"),"è","e"),"ì","i"),"ò","o"),"ù","u"),"")</f>
        <v/>
      </c>
      <c r="P603" s="25">
        <f>IF(AND(L603=1,C603&lt;&gt;""),SUBSTITUTE(SUBSTITUTE(SUBSTITUTE(SUBSTITUTE(SUBSTITUTE(SUBSTITUTE(SUBSTITUTE(SUBSTITUTE(SUBSTITUTE(SUBSTITUTE(SUBSTITUTE(SUBSTITUTE(LOWER(TRIM(C603)),"á","a"),"é","e"),"í","i"),"ó","o"),"ú","u"),"ü","u"),"ñ","n"),"à","a"),"è","e"),"ì","i"),"ò","o"),"ù","u"),"")</f>
        <v/>
      </c>
      <c r="Q603" s="25">
        <f>IF(AND(L603=1,E603&lt;&gt;""),SUBSTITUTE(SUBSTITUTE(SUBSTITUTE(SUBSTITUTE(SUBSTITUTE(SUBSTITUTE(SUBSTITUTE(SUBSTITUTE(SUBSTITUTE(SUBSTITUTE(SUBSTITUTE(SUBSTITUTE(LOWER(TRIM(E603)),"á","a"),"é","e"),"í","i"),"ó","o"),"ú","u"),"ü","u"),"ñ","n"),"à","a"),"è","e"),"ì","i"),"ò","o"),"ù","u"),"")</f>
        <v/>
      </c>
      <c r="R603" s="25">
        <f>IF(AND(L603=1,I603&lt;&gt;""),SUBSTITUTE(SUBSTITUTE(SUBSTITUTE(SUBSTITUTE(SUBSTITUTE(SUBSTITUTE(SUBSTITUTE(SUBSTITUTE(SUBSTITUTE(SUBSTITUTE(SUBSTITUTE(SUBSTITUTE(LOWER(TRIM(I603)),"á","a"),"é","e"),"í","i"),"ó","o"),"ú","u"),"ü","u"),"ñ","n"),"à","a"),"è","e"),"ì","i"),"ò","o"),"ù","u"),"")</f>
        <v/>
      </c>
      <c r="S603" s="25">
        <f>IF(R603="","",IF(OR(R603="si",R603="tal vez"),1,0))</f>
        <v/>
      </c>
      <c r="T603" s="25">
        <f>IF(AND(L603=1,D603&lt;&gt;""),IF(IFERROR(COUNTIFS(D$3:D603,"="&amp;SUBSTITUTE(SUBSTITUTE(SUBSTITUTE(D603,"~","~~"),"*","~*"),"?","~?"),L$3:L603,1),0)=1,MAX(T$2:T602)+1,""),"")</f>
        <v/>
      </c>
      <c r="U603" s="25">
        <f>IF(T603="","",COUNTIFS($D$3:$D$1002,"="&amp;SUBSTITUTE(SUBSTITUTE(SUBSTITUTE(D603,"~","~~"),"*","~*"),"?","~?"),$L$3:$L$1002,1)*10000-T603)</f>
        <v/>
      </c>
      <c r="V603" s="25">
        <f>IF(AND(L603=1,J603&lt;&gt;""),IF(IFERROR(COUNTIFS(J$3:J603,"="&amp;SUBSTITUTE(SUBSTITUTE(SUBSTITUTE(J603,"~","~~"),"*","~*"),"?","~?"),L$3:L603,1),0)=1,MAX(V$2:V602)+1,""),"")</f>
        <v/>
      </c>
      <c r="W603" s="25">
        <f>IF(V603="","",COUNTIFS($J$3:$J$1002,"="&amp;SUBSTITUTE(SUBSTITUTE(SUBSTITUTE(J603,"~","~~"),"*","~*"),"?","~?"),$L$3:$L$1002,1)*10000-V603)</f>
        <v/>
      </c>
    </row>
    <row r="604">
      <c r="A604">
        <f>IF(A$2=0,"",IFERROR(TRIM(INDEX('Pegar estudiantes'!$A$1:$BZ$1001,603,A$2)&amp;""),""))</f>
        <v/>
      </c>
      <c r="B604">
        <f>IF(B$2=0,"",IFERROR(TRIM(INDEX('Pegar estudiantes'!$A$1:$BZ$1001,603,B$2)&amp;""),""))</f>
        <v/>
      </c>
      <c r="C604">
        <f>IF(C$2=0,"",IFERROR(TRIM(INDEX('Pegar estudiantes'!$A$1:$BZ$1001,603,C$2)&amp;""),""))</f>
        <v/>
      </c>
      <c r="D604">
        <f>IF(D$2=0,"",IFERROR(TRIM(INDEX('Pegar estudiantes'!$A$1:$BZ$1001,603,D$2)&amp;""),""))</f>
        <v/>
      </c>
      <c r="E604">
        <f>IF(E$2=0,"",IFERROR(TRIM(INDEX('Pegar estudiantes'!$A$1:$BZ$1001,603,E$2)&amp;""),""))</f>
        <v/>
      </c>
      <c r="F604">
        <f>IF(F$2=0,"",IFERROR(TRIM(INDEX('Pegar estudiantes'!$A$1:$BZ$1001,603,F$2)&amp;""),""))</f>
        <v/>
      </c>
      <c r="G604">
        <f>IF(G$2=0,"",IFERROR(TRIM(INDEX('Pegar estudiantes'!$A$1:$BZ$1001,603,G$2)&amp;""),""))</f>
        <v/>
      </c>
      <c r="H604">
        <f>IF(H$2=0,"",IFERROR(TRIM(INDEX('Pegar estudiantes'!$A$1:$BZ$1001,603,H$2)&amp;""),""))</f>
        <v/>
      </c>
      <c r="I604">
        <f>IF(I$2=0,"",IFERROR(TRIM(INDEX('Pegar estudiantes'!$A$1:$BZ$1001,603,I$2)&amp;""),""))</f>
        <v/>
      </c>
      <c r="J604">
        <f>IF(J$2=0,"",IFERROR(TRIM(INDEX('Pegar estudiantes'!$A$1:$BZ$1001,603,J$2)&amp;""),""))</f>
        <v/>
      </c>
      <c r="K604">
        <f>IF(K$2=0,"",IFERROR(TRIM(INDEX('Pegar estudiantes'!$A$1:$BZ$1001,603,K$2)&amp;""),""))</f>
        <v/>
      </c>
      <c r="L604" s="25">
        <f>IF(A604&lt;&gt;"",1,"")</f>
        <v/>
      </c>
      <c r="M604" s="25">
        <f>IF(L604=1,IF(ISNUMBER(FIND("#"&amp;MID(A604,1,1)&amp;"#","#0#1#2#3#4#5#6#7#8#9#")),IF(ISNUMBER(FIND("#"&amp;MID(A604,2,1)&amp;"#","#0#1#2#3#4#5#6#7#8#9#")),IF(AND(VALUE(LEFT(A604,2))&gt;=1,VALUE(LEFT(A604,2))&lt;=5),VALUE(LEFT(A604,2)),""),IF(AND(VALUE(LEFT(A604,1))&gt;=1,VALUE(LEFT(A604,1))&lt;=5),VALUE(LEFT(A604,1)),"")),""),"")</f>
        <v/>
      </c>
      <c r="N604" s="25">
        <f>IF(L604=1,IF(ISNUMBER(FIND("#"&amp;MID(H604,1,1)&amp;"#","#0#1#2#3#4#5#6#7#8#9#")),IF(ISNUMBER(FIND("#"&amp;MID(H604,2,1)&amp;"#","#0#1#2#3#4#5#6#7#8#9#")),IF(AND(VALUE(LEFT(H604,2))&gt;=1,VALUE(LEFT(H604,2))&lt;=5),VALUE(LEFT(H604,2)),""),IF(AND(VALUE(LEFT(H604,1))&gt;=1,VALUE(LEFT(H604,1))&lt;=5),VALUE(LEFT(H604,1)),"")),""),"")</f>
        <v/>
      </c>
      <c r="O604" s="25">
        <f>IF(AND(L604=1,B604&lt;&gt;""),SUBSTITUTE(SUBSTITUTE(SUBSTITUTE(SUBSTITUTE(SUBSTITUTE(SUBSTITUTE(SUBSTITUTE(SUBSTITUTE(SUBSTITUTE(SUBSTITUTE(SUBSTITUTE(SUBSTITUTE(LOWER(TRIM(B604)),"á","a"),"é","e"),"í","i"),"ó","o"),"ú","u"),"ü","u"),"ñ","n"),"à","a"),"è","e"),"ì","i"),"ò","o"),"ù","u"),"")</f>
        <v/>
      </c>
      <c r="P604" s="25">
        <f>IF(AND(L604=1,C604&lt;&gt;""),SUBSTITUTE(SUBSTITUTE(SUBSTITUTE(SUBSTITUTE(SUBSTITUTE(SUBSTITUTE(SUBSTITUTE(SUBSTITUTE(SUBSTITUTE(SUBSTITUTE(SUBSTITUTE(SUBSTITUTE(LOWER(TRIM(C604)),"á","a"),"é","e"),"í","i"),"ó","o"),"ú","u"),"ü","u"),"ñ","n"),"à","a"),"è","e"),"ì","i"),"ò","o"),"ù","u"),"")</f>
        <v/>
      </c>
      <c r="Q604" s="25">
        <f>IF(AND(L604=1,E604&lt;&gt;""),SUBSTITUTE(SUBSTITUTE(SUBSTITUTE(SUBSTITUTE(SUBSTITUTE(SUBSTITUTE(SUBSTITUTE(SUBSTITUTE(SUBSTITUTE(SUBSTITUTE(SUBSTITUTE(SUBSTITUTE(LOWER(TRIM(E604)),"á","a"),"é","e"),"í","i"),"ó","o"),"ú","u"),"ü","u"),"ñ","n"),"à","a"),"è","e"),"ì","i"),"ò","o"),"ù","u"),"")</f>
        <v/>
      </c>
      <c r="R604" s="25">
        <f>IF(AND(L604=1,I604&lt;&gt;""),SUBSTITUTE(SUBSTITUTE(SUBSTITUTE(SUBSTITUTE(SUBSTITUTE(SUBSTITUTE(SUBSTITUTE(SUBSTITUTE(SUBSTITUTE(SUBSTITUTE(SUBSTITUTE(SUBSTITUTE(LOWER(TRIM(I604)),"á","a"),"é","e"),"í","i"),"ó","o"),"ú","u"),"ü","u"),"ñ","n"),"à","a"),"è","e"),"ì","i"),"ò","o"),"ù","u"),"")</f>
        <v/>
      </c>
      <c r="S604" s="25">
        <f>IF(R604="","",IF(OR(R604="si",R604="tal vez"),1,0))</f>
        <v/>
      </c>
      <c r="T604" s="25">
        <f>IF(AND(L604=1,D604&lt;&gt;""),IF(IFERROR(COUNTIFS(D$3:D604,"="&amp;SUBSTITUTE(SUBSTITUTE(SUBSTITUTE(D604,"~","~~"),"*","~*"),"?","~?"),L$3:L604,1),0)=1,MAX(T$2:T603)+1,""),"")</f>
        <v/>
      </c>
      <c r="U604" s="25">
        <f>IF(T604="","",COUNTIFS($D$3:$D$1002,"="&amp;SUBSTITUTE(SUBSTITUTE(SUBSTITUTE(D604,"~","~~"),"*","~*"),"?","~?"),$L$3:$L$1002,1)*10000-T604)</f>
        <v/>
      </c>
      <c r="V604" s="25">
        <f>IF(AND(L604=1,J604&lt;&gt;""),IF(IFERROR(COUNTIFS(J$3:J604,"="&amp;SUBSTITUTE(SUBSTITUTE(SUBSTITUTE(J604,"~","~~"),"*","~*"),"?","~?"),L$3:L604,1),0)=1,MAX(V$2:V603)+1,""),"")</f>
        <v/>
      </c>
      <c r="W604" s="25">
        <f>IF(V604="","",COUNTIFS($J$3:$J$1002,"="&amp;SUBSTITUTE(SUBSTITUTE(SUBSTITUTE(J604,"~","~~"),"*","~*"),"?","~?"),$L$3:$L$1002,1)*10000-V604)</f>
        <v/>
      </c>
    </row>
    <row r="605">
      <c r="A605">
        <f>IF(A$2=0,"",IFERROR(TRIM(INDEX('Pegar estudiantes'!$A$1:$BZ$1001,604,A$2)&amp;""),""))</f>
        <v/>
      </c>
      <c r="B605">
        <f>IF(B$2=0,"",IFERROR(TRIM(INDEX('Pegar estudiantes'!$A$1:$BZ$1001,604,B$2)&amp;""),""))</f>
        <v/>
      </c>
      <c r="C605">
        <f>IF(C$2=0,"",IFERROR(TRIM(INDEX('Pegar estudiantes'!$A$1:$BZ$1001,604,C$2)&amp;""),""))</f>
        <v/>
      </c>
      <c r="D605">
        <f>IF(D$2=0,"",IFERROR(TRIM(INDEX('Pegar estudiantes'!$A$1:$BZ$1001,604,D$2)&amp;""),""))</f>
        <v/>
      </c>
      <c r="E605">
        <f>IF(E$2=0,"",IFERROR(TRIM(INDEX('Pegar estudiantes'!$A$1:$BZ$1001,604,E$2)&amp;""),""))</f>
        <v/>
      </c>
      <c r="F605">
        <f>IF(F$2=0,"",IFERROR(TRIM(INDEX('Pegar estudiantes'!$A$1:$BZ$1001,604,F$2)&amp;""),""))</f>
        <v/>
      </c>
      <c r="G605">
        <f>IF(G$2=0,"",IFERROR(TRIM(INDEX('Pegar estudiantes'!$A$1:$BZ$1001,604,G$2)&amp;""),""))</f>
        <v/>
      </c>
      <c r="H605">
        <f>IF(H$2=0,"",IFERROR(TRIM(INDEX('Pegar estudiantes'!$A$1:$BZ$1001,604,H$2)&amp;""),""))</f>
        <v/>
      </c>
      <c r="I605">
        <f>IF(I$2=0,"",IFERROR(TRIM(INDEX('Pegar estudiantes'!$A$1:$BZ$1001,604,I$2)&amp;""),""))</f>
        <v/>
      </c>
      <c r="J605">
        <f>IF(J$2=0,"",IFERROR(TRIM(INDEX('Pegar estudiantes'!$A$1:$BZ$1001,604,J$2)&amp;""),""))</f>
        <v/>
      </c>
      <c r="K605">
        <f>IF(K$2=0,"",IFERROR(TRIM(INDEX('Pegar estudiantes'!$A$1:$BZ$1001,604,K$2)&amp;""),""))</f>
        <v/>
      </c>
      <c r="L605" s="25">
        <f>IF(A605&lt;&gt;"",1,"")</f>
        <v/>
      </c>
      <c r="M605" s="25">
        <f>IF(L605=1,IF(ISNUMBER(FIND("#"&amp;MID(A605,1,1)&amp;"#","#0#1#2#3#4#5#6#7#8#9#")),IF(ISNUMBER(FIND("#"&amp;MID(A605,2,1)&amp;"#","#0#1#2#3#4#5#6#7#8#9#")),IF(AND(VALUE(LEFT(A605,2))&gt;=1,VALUE(LEFT(A605,2))&lt;=5),VALUE(LEFT(A605,2)),""),IF(AND(VALUE(LEFT(A605,1))&gt;=1,VALUE(LEFT(A605,1))&lt;=5),VALUE(LEFT(A605,1)),"")),""),"")</f>
        <v/>
      </c>
      <c r="N605" s="25">
        <f>IF(L605=1,IF(ISNUMBER(FIND("#"&amp;MID(H605,1,1)&amp;"#","#0#1#2#3#4#5#6#7#8#9#")),IF(ISNUMBER(FIND("#"&amp;MID(H605,2,1)&amp;"#","#0#1#2#3#4#5#6#7#8#9#")),IF(AND(VALUE(LEFT(H605,2))&gt;=1,VALUE(LEFT(H605,2))&lt;=5),VALUE(LEFT(H605,2)),""),IF(AND(VALUE(LEFT(H605,1))&gt;=1,VALUE(LEFT(H605,1))&lt;=5),VALUE(LEFT(H605,1)),"")),""),"")</f>
        <v/>
      </c>
      <c r="O605" s="25">
        <f>IF(AND(L605=1,B605&lt;&gt;""),SUBSTITUTE(SUBSTITUTE(SUBSTITUTE(SUBSTITUTE(SUBSTITUTE(SUBSTITUTE(SUBSTITUTE(SUBSTITUTE(SUBSTITUTE(SUBSTITUTE(SUBSTITUTE(SUBSTITUTE(LOWER(TRIM(B605)),"á","a"),"é","e"),"í","i"),"ó","o"),"ú","u"),"ü","u"),"ñ","n"),"à","a"),"è","e"),"ì","i"),"ò","o"),"ù","u"),"")</f>
        <v/>
      </c>
      <c r="P605" s="25">
        <f>IF(AND(L605=1,C605&lt;&gt;""),SUBSTITUTE(SUBSTITUTE(SUBSTITUTE(SUBSTITUTE(SUBSTITUTE(SUBSTITUTE(SUBSTITUTE(SUBSTITUTE(SUBSTITUTE(SUBSTITUTE(SUBSTITUTE(SUBSTITUTE(LOWER(TRIM(C605)),"á","a"),"é","e"),"í","i"),"ó","o"),"ú","u"),"ü","u"),"ñ","n"),"à","a"),"è","e"),"ì","i"),"ò","o"),"ù","u"),"")</f>
        <v/>
      </c>
      <c r="Q605" s="25">
        <f>IF(AND(L605=1,E605&lt;&gt;""),SUBSTITUTE(SUBSTITUTE(SUBSTITUTE(SUBSTITUTE(SUBSTITUTE(SUBSTITUTE(SUBSTITUTE(SUBSTITUTE(SUBSTITUTE(SUBSTITUTE(SUBSTITUTE(SUBSTITUTE(LOWER(TRIM(E605)),"á","a"),"é","e"),"í","i"),"ó","o"),"ú","u"),"ü","u"),"ñ","n"),"à","a"),"è","e"),"ì","i"),"ò","o"),"ù","u"),"")</f>
        <v/>
      </c>
      <c r="R605" s="25">
        <f>IF(AND(L605=1,I605&lt;&gt;""),SUBSTITUTE(SUBSTITUTE(SUBSTITUTE(SUBSTITUTE(SUBSTITUTE(SUBSTITUTE(SUBSTITUTE(SUBSTITUTE(SUBSTITUTE(SUBSTITUTE(SUBSTITUTE(SUBSTITUTE(LOWER(TRIM(I605)),"á","a"),"é","e"),"í","i"),"ó","o"),"ú","u"),"ü","u"),"ñ","n"),"à","a"),"è","e"),"ì","i"),"ò","o"),"ù","u"),"")</f>
        <v/>
      </c>
      <c r="S605" s="25">
        <f>IF(R605="","",IF(OR(R605="si",R605="tal vez"),1,0))</f>
        <v/>
      </c>
      <c r="T605" s="25">
        <f>IF(AND(L605=1,D605&lt;&gt;""),IF(IFERROR(COUNTIFS(D$3:D605,"="&amp;SUBSTITUTE(SUBSTITUTE(SUBSTITUTE(D605,"~","~~"),"*","~*"),"?","~?"),L$3:L605,1),0)=1,MAX(T$2:T604)+1,""),"")</f>
        <v/>
      </c>
      <c r="U605" s="25">
        <f>IF(T605="","",COUNTIFS($D$3:$D$1002,"="&amp;SUBSTITUTE(SUBSTITUTE(SUBSTITUTE(D605,"~","~~"),"*","~*"),"?","~?"),$L$3:$L$1002,1)*10000-T605)</f>
        <v/>
      </c>
      <c r="V605" s="25">
        <f>IF(AND(L605=1,J605&lt;&gt;""),IF(IFERROR(COUNTIFS(J$3:J605,"="&amp;SUBSTITUTE(SUBSTITUTE(SUBSTITUTE(J605,"~","~~"),"*","~*"),"?","~?"),L$3:L605,1),0)=1,MAX(V$2:V604)+1,""),"")</f>
        <v/>
      </c>
      <c r="W605" s="25">
        <f>IF(V605="","",COUNTIFS($J$3:$J$1002,"="&amp;SUBSTITUTE(SUBSTITUTE(SUBSTITUTE(J605,"~","~~"),"*","~*"),"?","~?"),$L$3:$L$1002,1)*10000-V605)</f>
        <v/>
      </c>
    </row>
    <row r="606">
      <c r="A606">
        <f>IF(A$2=0,"",IFERROR(TRIM(INDEX('Pegar estudiantes'!$A$1:$BZ$1001,605,A$2)&amp;""),""))</f>
        <v/>
      </c>
      <c r="B606">
        <f>IF(B$2=0,"",IFERROR(TRIM(INDEX('Pegar estudiantes'!$A$1:$BZ$1001,605,B$2)&amp;""),""))</f>
        <v/>
      </c>
      <c r="C606">
        <f>IF(C$2=0,"",IFERROR(TRIM(INDEX('Pegar estudiantes'!$A$1:$BZ$1001,605,C$2)&amp;""),""))</f>
        <v/>
      </c>
      <c r="D606">
        <f>IF(D$2=0,"",IFERROR(TRIM(INDEX('Pegar estudiantes'!$A$1:$BZ$1001,605,D$2)&amp;""),""))</f>
        <v/>
      </c>
      <c r="E606">
        <f>IF(E$2=0,"",IFERROR(TRIM(INDEX('Pegar estudiantes'!$A$1:$BZ$1001,605,E$2)&amp;""),""))</f>
        <v/>
      </c>
      <c r="F606">
        <f>IF(F$2=0,"",IFERROR(TRIM(INDEX('Pegar estudiantes'!$A$1:$BZ$1001,605,F$2)&amp;""),""))</f>
        <v/>
      </c>
      <c r="G606">
        <f>IF(G$2=0,"",IFERROR(TRIM(INDEX('Pegar estudiantes'!$A$1:$BZ$1001,605,G$2)&amp;""),""))</f>
        <v/>
      </c>
      <c r="H606">
        <f>IF(H$2=0,"",IFERROR(TRIM(INDEX('Pegar estudiantes'!$A$1:$BZ$1001,605,H$2)&amp;""),""))</f>
        <v/>
      </c>
      <c r="I606">
        <f>IF(I$2=0,"",IFERROR(TRIM(INDEX('Pegar estudiantes'!$A$1:$BZ$1001,605,I$2)&amp;""),""))</f>
        <v/>
      </c>
      <c r="J606">
        <f>IF(J$2=0,"",IFERROR(TRIM(INDEX('Pegar estudiantes'!$A$1:$BZ$1001,605,J$2)&amp;""),""))</f>
        <v/>
      </c>
      <c r="K606">
        <f>IF(K$2=0,"",IFERROR(TRIM(INDEX('Pegar estudiantes'!$A$1:$BZ$1001,605,K$2)&amp;""),""))</f>
        <v/>
      </c>
      <c r="L606" s="25">
        <f>IF(A606&lt;&gt;"",1,"")</f>
        <v/>
      </c>
      <c r="M606" s="25">
        <f>IF(L606=1,IF(ISNUMBER(FIND("#"&amp;MID(A606,1,1)&amp;"#","#0#1#2#3#4#5#6#7#8#9#")),IF(ISNUMBER(FIND("#"&amp;MID(A606,2,1)&amp;"#","#0#1#2#3#4#5#6#7#8#9#")),IF(AND(VALUE(LEFT(A606,2))&gt;=1,VALUE(LEFT(A606,2))&lt;=5),VALUE(LEFT(A606,2)),""),IF(AND(VALUE(LEFT(A606,1))&gt;=1,VALUE(LEFT(A606,1))&lt;=5),VALUE(LEFT(A606,1)),"")),""),"")</f>
        <v/>
      </c>
      <c r="N606" s="25">
        <f>IF(L606=1,IF(ISNUMBER(FIND("#"&amp;MID(H606,1,1)&amp;"#","#0#1#2#3#4#5#6#7#8#9#")),IF(ISNUMBER(FIND("#"&amp;MID(H606,2,1)&amp;"#","#0#1#2#3#4#5#6#7#8#9#")),IF(AND(VALUE(LEFT(H606,2))&gt;=1,VALUE(LEFT(H606,2))&lt;=5),VALUE(LEFT(H606,2)),""),IF(AND(VALUE(LEFT(H606,1))&gt;=1,VALUE(LEFT(H606,1))&lt;=5),VALUE(LEFT(H606,1)),"")),""),"")</f>
        <v/>
      </c>
      <c r="O606" s="25">
        <f>IF(AND(L606=1,B606&lt;&gt;""),SUBSTITUTE(SUBSTITUTE(SUBSTITUTE(SUBSTITUTE(SUBSTITUTE(SUBSTITUTE(SUBSTITUTE(SUBSTITUTE(SUBSTITUTE(SUBSTITUTE(SUBSTITUTE(SUBSTITUTE(LOWER(TRIM(B606)),"á","a"),"é","e"),"í","i"),"ó","o"),"ú","u"),"ü","u"),"ñ","n"),"à","a"),"è","e"),"ì","i"),"ò","o"),"ù","u"),"")</f>
        <v/>
      </c>
      <c r="P606" s="25">
        <f>IF(AND(L606=1,C606&lt;&gt;""),SUBSTITUTE(SUBSTITUTE(SUBSTITUTE(SUBSTITUTE(SUBSTITUTE(SUBSTITUTE(SUBSTITUTE(SUBSTITUTE(SUBSTITUTE(SUBSTITUTE(SUBSTITUTE(SUBSTITUTE(LOWER(TRIM(C606)),"á","a"),"é","e"),"í","i"),"ó","o"),"ú","u"),"ü","u"),"ñ","n"),"à","a"),"è","e"),"ì","i"),"ò","o"),"ù","u"),"")</f>
        <v/>
      </c>
      <c r="Q606" s="25">
        <f>IF(AND(L606=1,E606&lt;&gt;""),SUBSTITUTE(SUBSTITUTE(SUBSTITUTE(SUBSTITUTE(SUBSTITUTE(SUBSTITUTE(SUBSTITUTE(SUBSTITUTE(SUBSTITUTE(SUBSTITUTE(SUBSTITUTE(SUBSTITUTE(LOWER(TRIM(E606)),"á","a"),"é","e"),"í","i"),"ó","o"),"ú","u"),"ü","u"),"ñ","n"),"à","a"),"è","e"),"ì","i"),"ò","o"),"ù","u"),"")</f>
        <v/>
      </c>
      <c r="R606" s="25">
        <f>IF(AND(L606=1,I606&lt;&gt;""),SUBSTITUTE(SUBSTITUTE(SUBSTITUTE(SUBSTITUTE(SUBSTITUTE(SUBSTITUTE(SUBSTITUTE(SUBSTITUTE(SUBSTITUTE(SUBSTITUTE(SUBSTITUTE(SUBSTITUTE(LOWER(TRIM(I606)),"á","a"),"é","e"),"í","i"),"ó","o"),"ú","u"),"ü","u"),"ñ","n"),"à","a"),"è","e"),"ì","i"),"ò","o"),"ù","u"),"")</f>
        <v/>
      </c>
      <c r="S606" s="25">
        <f>IF(R606="","",IF(OR(R606="si",R606="tal vez"),1,0))</f>
        <v/>
      </c>
      <c r="T606" s="25">
        <f>IF(AND(L606=1,D606&lt;&gt;""),IF(IFERROR(COUNTIFS(D$3:D606,"="&amp;SUBSTITUTE(SUBSTITUTE(SUBSTITUTE(D606,"~","~~"),"*","~*"),"?","~?"),L$3:L606,1),0)=1,MAX(T$2:T605)+1,""),"")</f>
        <v/>
      </c>
      <c r="U606" s="25">
        <f>IF(T606="","",COUNTIFS($D$3:$D$1002,"="&amp;SUBSTITUTE(SUBSTITUTE(SUBSTITUTE(D606,"~","~~"),"*","~*"),"?","~?"),$L$3:$L$1002,1)*10000-T606)</f>
        <v/>
      </c>
      <c r="V606" s="25">
        <f>IF(AND(L606=1,J606&lt;&gt;""),IF(IFERROR(COUNTIFS(J$3:J606,"="&amp;SUBSTITUTE(SUBSTITUTE(SUBSTITUTE(J606,"~","~~"),"*","~*"),"?","~?"),L$3:L606,1),0)=1,MAX(V$2:V605)+1,""),"")</f>
        <v/>
      </c>
      <c r="W606" s="25">
        <f>IF(V606="","",COUNTIFS($J$3:$J$1002,"="&amp;SUBSTITUTE(SUBSTITUTE(SUBSTITUTE(J606,"~","~~"),"*","~*"),"?","~?"),$L$3:$L$1002,1)*10000-V606)</f>
        <v/>
      </c>
    </row>
    <row r="607">
      <c r="A607">
        <f>IF(A$2=0,"",IFERROR(TRIM(INDEX('Pegar estudiantes'!$A$1:$BZ$1001,606,A$2)&amp;""),""))</f>
        <v/>
      </c>
      <c r="B607">
        <f>IF(B$2=0,"",IFERROR(TRIM(INDEX('Pegar estudiantes'!$A$1:$BZ$1001,606,B$2)&amp;""),""))</f>
        <v/>
      </c>
      <c r="C607">
        <f>IF(C$2=0,"",IFERROR(TRIM(INDEX('Pegar estudiantes'!$A$1:$BZ$1001,606,C$2)&amp;""),""))</f>
        <v/>
      </c>
      <c r="D607">
        <f>IF(D$2=0,"",IFERROR(TRIM(INDEX('Pegar estudiantes'!$A$1:$BZ$1001,606,D$2)&amp;""),""))</f>
        <v/>
      </c>
      <c r="E607">
        <f>IF(E$2=0,"",IFERROR(TRIM(INDEX('Pegar estudiantes'!$A$1:$BZ$1001,606,E$2)&amp;""),""))</f>
        <v/>
      </c>
      <c r="F607">
        <f>IF(F$2=0,"",IFERROR(TRIM(INDEX('Pegar estudiantes'!$A$1:$BZ$1001,606,F$2)&amp;""),""))</f>
        <v/>
      </c>
      <c r="G607">
        <f>IF(G$2=0,"",IFERROR(TRIM(INDEX('Pegar estudiantes'!$A$1:$BZ$1001,606,G$2)&amp;""),""))</f>
        <v/>
      </c>
      <c r="H607">
        <f>IF(H$2=0,"",IFERROR(TRIM(INDEX('Pegar estudiantes'!$A$1:$BZ$1001,606,H$2)&amp;""),""))</f>
        <v/>
      </c>
      <c r="I607">
        <f>IF(I$2=0,"",IFERROR(TRIM(INDEX('Pegar estudiantes'!$A$1:$BZ$1001,606,I$2)&amp;""),""))</f>
        <v/>
      </c>
      <c r="J607">
        <f>IF(J$2=0,"",IFERROR(TRIM(INDEX('Pegar estudiantes'!$A$1:$BZ$1001,606,J$2)&amp;""),""))</f>
        <v/>
      </c>
      <c r="K607">
        <f>IF(K$2=0,"",IFERROR(TRIM(INDEX('Pegar estudiantes'!$A$1:$BZ$1001,606,K$2)&amp;""),""))</f>
        <v/>
      </c>
      <c r="L607" s="25">
        <f>IF(A607&lt;&gt;"",1,"")</f>
        <v/>
      </c>
      <c r="M607" s="25">
        <f>IF(L607=1,IF(ISNUMBER(FIND("#"&amp;MID(A607,1,1)&amp;"#","#0#1#2#3#4#5#6#7#8#9#")),IF(ISNUMBER(FIND("#"&amp;MID(A607,2,1)&amp;"#","#0#1#2#3#4#5#6#7#8#9#")),IF(AND(VALUE(LEFT(A607,2))&gt;=1,VALUE(LEFT(A607,2))&lt;=5),VALUE(LEFT(A607,2)),""),IF(AND(VALUE(LEFT(A607,1))&gt;=1,VALUE(LEFT(A607,1))&lt;=5),VALUE(LEFT(A607,1)),"")),""),"")</f>
        <v/>
      </c>
      <c r="N607" s="25">
        <f>IF(L607=1,IF(ISNUMBER(FIND("#"&amp;MID(H607,1,1)&amp;"#","#0#1#2#3#4#5#6#7#8#9#")),IF(ISNUMBER(FIND("#"&amp;MID(H607,2,1)&amp;"#","#0#1#2#3#4#5#6#7#8#9#")),IF(AND(VALUE(LEFT(H607,2))&gt;=1,VALUE(LEFT(H607,2))&lt;=5),VALUE(LEFT(H607,2)),""),IF(AND(VALUE(LEFT(H607,1))&gt;=1,VALUE(LEFT(H607,1))&lt;=5),VALUE(LEFT(H607,1)),"")),""),"")</f>
        <v/>
      </c>
      <c r="O607" s="25">
        <f>IF(AND(L607=1,B607&lt;&gt;""),SUBSTITUTE(SUBSTITUTE(SUBSTITUTE(SUBSTITUTE(SUBSTITUTE(SUBSTITUTE(SUBSTITUTE(SUBSTITUTE(SUBSTITUTE(SUBSTITUTE(SUBSTITUTE(SUBSTITUTE(LOWER(TRIM(B607)),"á","a"),"é","e"),"í","i"),"ó","o"),"ú","u"),"ü","u"),"ñ","n"),"à","a"),"è","e"),"ì","i"),"ò","o"),"ù","u"),"")</f>
        <v/>
      </c>
      <c r="P607" s="25">
        <f>IF(AND(L607=1,C607&lt;&gt;""),SUBSTITUTE(SUBSTITUTE(SUBSTITUTE(SUBSTITUTE(SUBSTITUTE(SUBSTITUTE(SUBSTITUTE(SUBSTITUTE(SUBSTITUTE(SUBSTITUTE(SUBSTITUTE(SUBSTITUTE(LOWER(TRIM(C607)),"á","a"),"é","e"),"í","i"),"ó","o"),"ú","u"),"ü","u"),"ñ","n"),"à","a"),"è","e"),"ì","i"),"ò","o"),"ù","u"),"")</f>
        <v/>
      </c>
      <c r="Q607" s="25">
        <f>IF(AND(L607=1,E607&lt;&gt;""),SUBSTITUTE(SUBSTITUTE(SUBSTITUTE(SUBSTITUTE(SUBSTITUTE(SUBSTITUTE(SUBSTITUTE(SUBSTITUTE(SUBSTITUTE(SUBSTITUTE(SUBSTITUTE(SUBSTITUTE(LOWER(TRIM(E607)),"á","a"),"é","e"),"í","i"),"ó","o"),"ú","u"),"ü","u"),"ñ","n"),"à","a"),"è","e"),"ì","i"),"ò","o"),"ù","u"),"")</f>
        <v/>
      </c>
      <c r="R607" s="25">
        <f>IF(AND(L607=1,I607&lt;&gt;""),SUBSTITUTE(SUBSTITUTE(SUBSTITUTE(SUBSTITUTE(SUBSTITUTE(SUBSTITUTE(SUBSTITUTE(SUBSTITUTE(SUBSTITUTE(SUBSTITUTE(SUBSTITUTE(SUBSTITUTE(LOWER(TRIM(I607)),"á","a"),"é","e"),"í","i"),"ó","o"),"ú","u"),"ü","u"),"ñ","n"),"à","a"),"è","e"),"ì","i"),"ò","o"),"ù","u"),"")</f>
        <v/>
      </c>
      <c r="S607" s="25">
        <f>IF(R607="","",IF(OR(R607="si",R607="tal vez"),1,0))</f>
        <v/>
      </c>
      <c r="T607" s="25">
        <f>IF(AND(L607=1,D607&lt;&gt;""),IF(IFERROR(COUNTIFS(D$3:D607,"="&amp;SUBSTITUTE(SUBSTITUTE(SUBSTITUTE(D607,"~","~~"),"*","~*"),"?","~?"),L$3:L607,1),0)=1,MAX(T$2:T606)+1,""),"")</f>
        <v/>
      </c>
      <c r="U607" s="25">
        <f>IF(T607="","",COUNTIFS($D$3:$D$1002,"="&amp;SUBSTITUTE(SUBSTITUTE(SUBSTITUTE(D607,"~","~~"),"*","~*"),"?","~?"),$L$3:$L$1002,1)*10000-T607)</f>
        <v/>
      </c>
      <c r="V607" s="25">
        <f>IF(AND(L607=1,J607&lt;&gt;""),IF(IFERROR(COUNTIFS(J$3:J607,"="&amp;SUBSTITUTE(SUBSTITUTE(SUBSTITUTE(J607,"~","~~"),"*","~*"),"?","~?"),L$3:L607,1),0)=1,MAX(V$2:V606)+1,""),"")</f>
        <v/>
      </c>
      <c r="W607" s="25">
        <f>IF(V607="","",COUNTIFS($J$3:$J$1002,"="&amp;SUBSTITUTE(SUBSTITUTE(SUBSTITUTE(J607,"~","~~"),"*","~*"),"?","~?"),$L$3:$L$1002,1)*10000-V607)</f>
        <v/>
      </c>
    </row>
    <row r="608">
      <c r="A608">
        <f>IF(A$2=0,"",IFERROR(TRIM(INDEX('Pegar estudiantes'!$A$1:$BZ$1001,607,A$2)&amp;""),""))</f>
        <v/>
      </c>
      <c r="B608">
        <f>IF(B$2=0,"",IFERROR(TRIM(INDEX('Pegar estudiantes'!$A$1:$BZ$1001,607,B$2)&amp;""),""))</f>
        <v/>
      </c>
      <c r="C608">
        <f>IF(C$2=0,"",IFERROR(TRIM(INDEX('Pegar estudiantes'!$A$1:$BZ$1001,607,C$2)&amp;""),""))</f>
        <v/>
      </c>
      <c r="D608">
        <f>IF(D$2=0,"",IFERROR(TRIM(INDEX('Pegar estudiantes'!$A$1:$BZ$1001,607,D$2)&amp;""),""))</f>
        <v/>
      </c>
      <c r="E608">
        <f>IF(E$2=0,"",IFERROR(TRIM(INDEX('Pegar estudiantes'!$A$1:$BZ$1001,607,E$2)&amp;""),""))</f>
        <v/>
      </c>
      <c r="F608">
        <f>IF(F$2=0,"",IFERROR(TRIM(INDEX('Pegar estudiantes'!$A$1:$BZ$1001,607,F$2)&amp;""),""))</f>
        <v/>
      </c>
      <c r="G608">
        <f>IF(G$2=0,"",IFERROR(TRIM(INDEX('Pegar estudiantes'!$A$1:$BZ$1001,607,G$2)&amp;""),""))</f>
        <v/>
      </c>
      <c r="H608">
        <f>IF(H$2=0,"",IFERROR(TRIM(INDEX('Pegar estudiantes'!$A$1:$BZ$1001,607,H$2)&amp;""),""))</f>
        <v/>
      </c>
      <c r="I608">
        <f>IF(I$2=0,"",IFERROR(TRIM(INDEX('Pegar estudiantes'!$A$1:$BZ$1001,607,I$2)&amp;""),""))</f>
        <v/>
      </c>
      <c r="J608">
        <f>IF(J$2=0,"",IFERROR(TRIM(INDEX('Pegar estudiantes'!$A$1:$BZ$1001,607,J$2)&amp;""),""))</f>
        <v/>
      </c>
      <c r="K608">
        <f>IF(K$2=0,"",IFERROR(TRIM(INDEX('Pegar estudiantes'!$A$1:$BZ$1001,607,K$2)&amp;""),""))</f>
        <v/>
      </c>
      <c r="L608" s="25">
        <f>IF(A608&lt;&gt;"",1,"")</f>
        <v/>
      </c>
      <c r="M608" s="25">
        <f>IF(L608=1,IF(ISNUMBER(FIND("#"&amp;MID(A608,1,1)&amp;"#","#0#1#2#3#4#5#6#7#8#9#")),IF(ISNUMBER(FIND("#"&amp;MID(A608,2,1)&amp;"#","#0#1#2#3#4#5#6#7#8#9#")),IF(AND(VALUE(LEFT(A608,2))&gt;=1,VALUE(LEFT(A608,2))&lt;=5),VALUE(LEFT(A608,2)),""),IF(AND(VALUE(LEFT(A608,1))&gt;=1,VALUE(LEFT(A608,1))&lt;=5),VALUE(LEFT(A608,1)),"")),""),"")</f>
        <v/>
      </c>
      <c r="N608" s="25">
        <f>IF(L608=1,IF(ISNUMBER(FIND("#"&amp;MID(H608,1,1)&amp;"#","#0#1#2#3#4#5#6#7#8#9#")),IF(ISNUMBER(FIND("#"&amp;MID(H608,2,1)&amp;"#","#0#1#2#3#4#5#6#7#8#9#")),IF(AND(VALUE(LEFT(H608,2))&gt;=1,VALUE(LEFT(H608,2))&lt;=5),VALUE(LEFT(H608,2)),""),IF(AND(VALUE(LEFT(H608,1))&gt;=1,VALUE(LEFT(H608,1))&lt;=5),VALUE(LEFT(H608,1)),"")),""),"")</f>
        <v/>
      </c>
      <c r="O608" s="25">
        <f>IF(AND(L608=1,B608&lt;&gt;""),SUBSTITUTE(SUBSTITUTE(SUBSTITUTE(SUBSTITUTE(SUBSTITUTE(SUBSTITUTE(SUBSTITUTE(SUBSTITUTE(SUBSTITUTE(SUBSTITUTE(SUBSTITUTE(SUBSTITUTE(LOWER(TRIM(B608)),"á","a"),"é","e"),"í","i"),"ó","o"),"ú","u"),"ü","u"),"ñ","n"),"à","a"),"è","e"),"ì","i"),"ò","o"),"ù","u"),"")</f>
        <v/>
      </c>
      <c r="P608" s="25">
        <f>IF(AND(L608=1,C608&lt;&gt;""),SUBSTITUTE(SUBSTITUTE(SUBSTITUTE(SUBSTITUTE(SUBSTITUTE(SUBSTITUTE(SUBSTITUTE(SUBSTITUTE(SUBSTITUTE(SUBSTITUTE(SUBSTITUTE(SUBSTITUTE(LOWER(TRIM(C608)),"á","a"),"é","e"),"í","i"),"ó","o"),"ú","u"),"ü","u"),"ñ","n"),"à","a"),"è","e"),"ì","i"),"ò","o"),"ù","u"),"")</f>
        <v/>
      </c>
      <c r="Q608" s="25">
        <f>IF(AND(L608=1,E608&lt;&gt;""),SUBSTITUTE(SUBSTITUTE(SUBSTITUTE(SUBSTITUTE(SUBSTITUTE(SUBSTITUTE(SUBSTITUTE(SUBSTITUTE(SUBSTITUTE(SUBSTITUTE(SUBSTITUTE(SUBSTITUTE(LOWER(TRIM(E608)),"á","a"),"é","e"),"í","i"),"ó","o"),"ú","u"),"ü","u"),"ñ","n"),"à","a"),"è","e"),"ì","i"),"ò","o"),"ù","u"),"")</f>
        <v/>
      </c>
      <c r="R608" s="25">
        <f>IF(AND(L608=1,I608&lt;&gt;""),SUBSTITUTE(SUBSTITUTE(SUBSTITUTE(SUBSTITUTE(SUBSTITUTE(SUBSTITUTE(SUBSTITUTE(SUBSTITUTE(SUBSTITUTE(SUBSTITUTE(SUBSTITUTE(SUBSTITUTE(LOWER(TRIM(I608)),"á","a"),"é","e"),"í","i"),"ó","o"),"ú","u"),"ü","u"),"ñ","n"),"à","a"),"è","e"),"ì","i"),"ò","o"),"ù","u"),"")</f>
        <v/>
      </c>
      <c r="S608" s="25">
        <f>IF(R608="","",IF(OR(R608="si",R608="tal vez"),1,0))</f>
        <v/>
      </c>
      <c r="T608" s="25">
        <f>IF(AND(L608=1,D608&lt;&gt;""),IF(IFERROR(COUNTIFS(D$3:D608,"="&amp;SUBSTITUTE(SUBSTITUTE(SUBSTITUTE(D608,"~","~~"),"*","~*"),"?","~?"),L$3:L608,1),0)=1,MAX(T$2:T607)+1,""),"")</f>
        <v/>
      </c>
      <c r="U608" s="25">
        <f>IF(T608="","",COUNTIFS($D$3:$D$1002,"="&amp;SUBSTITUTE(SUBSTITUTE(SUBSTITUTE(D608,"~","~~"),"*","~*"),"?","~?"),$L$3:$L$1002,1)*10000-T608)</f>
        <v/>
      </c>
      <c r="V608" s="25">
        <f>IF(AND(L608=1,J608&lt;&gt;""),IF(IFERROR(COUNTIFS(J$3:J608,"="&amp;SUBSTITUTE(SUBSTITUTE(SUBSTITUTE(J608,"~","~~"),"*","~*"),"?","~?"),L$3:L608,1),0)=1,MAX(V$2:V607)+1,""),"")</f>
        <v/>
      </c>
      <c r="W608" s="25">
        <f>IF(V608="","",COUNTIFS($J$3:$J$1002,"="&amp;SUBSTITUTE(SUBSTITUTE(SUBSTITUTE(J608,"~","~~"),"*","~*"),"?","~?"),$L$3:$L$1002,1)*10000-V608)</f>
        <v/>
      </c>
    </row>
    <row r="609">
      <c r="A609">
        <f>IF(A$2=0,"",IFERROR(TRIM(INDEX('Pegar estudiantes'!$A$1:$BZ$1001,608,A$2)&amp;""),""))</f>
        <v/>
      </c>
      <c r="B609">
        <f>IF(B$2=0,"",IFERROR(TRIM(INDEX('Pegar estudiantes'!$A$1:$BZ$1001,608,B$2)&amp;""),""))</f>
        <v/>
      </c>
      <c r="C609">
        <f>IF(C$2=0,"",IFERROR(TRIM(INDEX('Pegar estudiantes'!$A$1:$BZ$1001,608,C$2)&amp;""),""))</f>
        <v/>
      </c>
      <c r="D609">
        <f>IF(D$2=0,"",IFERROR(TRIM(INDEX('Pegar estudiantes'!$A$1:$BZ$1001,608,D$2)&amp;""),""))</f>
        <v/>
      </c>
      <c r="E609">
        <f>IF(E$2=0,"",IFERROR(TRIM(INDEX('Pegar estudiantes'!$A$1:$BZ$1001,608,E$2)&amp;""),""))</f>
        <v/>
      </c>
      <c r="F609">
        <f>IF(F$2=0,"",IFERROR(TRIM(INDEX('Pegar estudiantes'!$A$1:$BZ$1001,608,F$2)&amp;""),""))</f>
        <v/>
      </c>
      <c r="G609">
        <f>IF(G$2=0,"",IFERROR(TRIM(INDEX('Pegar estudiantes'!$A$1:$BZ$1001,608,G$2)&amp;""),""))</f>
        <v/>
      </c>
      <c r="H609">
        <f>IF(H$2=0,"",IFERROR(TRIM(INDEX('Pegar estudiantes'!$A$1:$BZ$1001,608,H$2)&amp;""),""))</f>
        <v/>
      </c>
      <c r="I609">
        <f>IF(I$2=0,"",IFERROR(TRIM(INDEX('Pegar estudiantes'!$A$1:$BZ$1001,608,I$2)&amp;""),""))</f>
        <v/>
      </c>
      <c r="J609">
        <f>IF(J$2=0,"",IFERROR(TRIM(INDEX('Pegar estudiantes'!$A$1:$BZ$1001,608,J$2)&amp;""),""))</f>
        <v/>
      </c>
      <c r="K609">
        <f>IF(K$2=0,"",IFERROR(TRIM(INDEX('Pegar estudiantes'!$A$1:$BZ$1001,608,K$2)&amp;""),""))</f>
        <v/>
      </c>
      <c r="L609" s="25">
        <f>IF(A609&lt;&gt;"",1,"")</f>
        <v/>
      </c>
      <c r="M609" s="25">
        <f>IF(L609=1,IF(ISNUMBER(FIND("#"&amp;MID(A609,1,1)&amp;"#","#0#1#2#3#4#5#6#7#8#9#")),IF(ISNUMBER(FIND("#"&amp;MID(A609,2,1)&amp;"#","#0#1#2#3#4#5#6#7#8#9#")),IF(AND(VALUE(LEFT(A609,2))&gt;=1,VALUE(LEFT(A609,2))&lt;=5),VALUE(LEFT(A609,2)),""),IF(AND(VALUE(LEFT(A609,1))&gt;=1,VALUE(LEFT(A609,1))&lt;=5),VALUE(LEFT(A609,1)),"")),""),"")</f>
        <v/>
      </c>
      <c r="N609" s="25">
        <f>IF(L609=1,IF(ISNUMBER(FIND("#"&amp;MID(H609,1,1)&amp;"#","#0#1#2#3#4#5#6#7#8#9#")),IF(ISNUMBER(FIND("#"&amp;MID(H609,2,1)&amp;"#","#0#1#2#3#4#5#6#7#8#9#")),IF(AND(VALUE(LEFT(H609,2))&gt;=1,VALUE(LEFT(H609,2))&lt;=5),VALUE(LEFT(H609,2)),""),IF(AND(VALUE(LEFT(H609,1))&gt;=1,VALUE(LEFT(H609,1))&lt;=5),VALUE(LEFT(H609,1)),"")),""),"")</f>
        <v/>
      </c>
      <c r="O609" s="25">
        <f>IF(AND(L609=1,B609&lt;&gt;""),SUBSTITUTE(SUBSTITUTE(SUBSTITUTE(SUBSTITUTE(SUBSTITUTE(SUBSTITUTE(SUBSTITUTE(SUBSTITUTE(SUBSTITUTE(SUBSTITUTE(SUBSTITUTE(SUBSTITUTE(LOWER(TRIM(B609)),"á","a"),"é","e"),"í","i"),"ó","o"),"ú","u"),"ü","u"),"ñ","n"),"à","a"),"è","e"),"ì","i"),"ò","o"),"ù","u"),"")</f>
        <v/>
      </c>
      <c r="P609" s="25">
        <f>IF(AND(L609=1,C609&lt;&gt;""),SUBSTITUTE(SUBSTITUTE(SUBSTITUTE(SUBSTITUTE(SUBSTITUTE(SUBSTITUTE(SUBSTITUTE(SUBSTITUTE(SUBSTITUTE(SUBSTITUTE(SUBSTITUTE(SUBSTITUTE(LOWER(TRIM(C609)),"á","a"),"é","e"),"í","i"),"ó","o"),"ú","u"),"ü","u"),"ñ","n"),"à","a"),"è","e"),"ì","i"),"ò","o"),"ù","u"),"")</f>
        <v/>
      </c>
      <c r="Q609" s="25">
        <f>IF(AND(L609=1,E609&lt;&gt;""),SUBSTITUTE(SUBSTITUTE(SUBSTITUTE(SUBSTITUTE(SUBSTITUTE(SUBSTITUTE(SUBSTITUTE(SUBSTITUTE(SUBSTITUTE(SUBSTITUTE(SUBSTITUTE(SUBSTITUTE(LOWER(TRIM(E609)),"á","a"),"é","e"),"í","i"),"ó","o"),"ú","u"),"ü","u"),"ñ","n"),"à","a"),"è","e"),"ì","i"),"ò","o"),"ù","u"),"")</f>
        <v/>
      </c>
      <c r="R609" s="25">
        <f>IF(AND(L609=1,I609&lt;&gt;""),SUBSTITUTE(SUBSTITUTE(SUBSTITUTE(SUBSTITUTE(SUBSTITUTE(SUBSTITUTE(SUBSTITUTE(SUBSTITUTE(SUBSTITUTE(SUBSTITUTE(SUBSTITUTE(SUBSTITUTE(LOWER(TRIM(I609)),"á","a"),"é","e"),"í","i"),"ó","o"),"ú","u"),"ü","u"),"ñ","n"),"à","a"),"è","e"),"ì","i"),"ò","o"),"ù","u"),"")</f>
        <v/>
      </c>
      <c r="S609" s="25">
        <f>IF(R609="","",IF(OR(R609="si",R609="tal vez"),1,0))</f>
        <v/>
      </c>
      <c r="T609" s="25">
        <f>IF(AND(L609=1,D609&lt;&gt;""),IF(IFERROR(COUNTIFS(D$3:D609,"="&amp;SUBSTITUTE(SUBSTITUTE(SUBSTITUTE(D609,"~","~~"),"*","~*"),"?","~?"),L$3:L609,1),0)=1,MAX(T$2:T608)+1,""),"")</f>
        <v/>
      </c>
      <c r="U609" s="25">
        <f>IF(T609="","",COUNTIFS($D$3:$D$1002,"="&amp;SUBSTITUTE(SUBSTITUTE(SUBSTITUTE(D609,"~","~~"),"*","~*"),"?","~?"),$L$3:$L$1002,1)*10000-T609)</f>
        <v/>
      </c>
      <c r="V609" s="25">
        <f>IF(AND(L609=1,J609&lt;&gt;""),IF(IFERROR(COUNTIFS(J$3:J609,"="&amp;SUBSTITUTE(SUBSTITUTE(SUBSTITUTE(J609,"~","~~"),"*","~*"),"?","~?"),L$3:L609,1),0)=1,MAX(V$2:V608)+1,""),"")</f>
        <v/>
      </c>
      <c r="W609" s="25">
        <f>IF(V609="","",COUNTIFS($J$3:$J$1002,"="&amp;SUBSTITUTE(SUBSTITUTE(SUBSTITUTE(J609,"~","~~"),"*","~*"),"?","~?"),$L$3:$L$1002,1)*10000-V609)</f>
        <v/>
      </c>
    </row>
    <row r="610">
      <c r="A610">
        <f>IF(A$2=0,"",IFERROR(TRIM(INDEX('Pegar estudiantes'!$A$1:$BZ$1001,609,A$2)&amp;""),""))</f>
        <v/>
      </c>
      <c r="B610">
        <f>IF(B$2=0,"",IFERROR(TRIM(INDEX('Pegar estudiantes'!$A$1:$BZ$1001,609,B$2)&amp;""),""))</f>
        <v/>
      </c>
      <c r="C610">
        <f>IF(C$2=0,"",IFERROR(TRIM(INDEX('Pegar estudiantes'!$A$1:$BZ$1001,609,C$2)&amp;""),""))</f>
        <v/>
      </c>
      <c r="D610">
        <f>IF(D$2=0,"",IFERROR(TRIM(INDEX('Pegar estudiantes'!$A$1:$BZ$1001,609,D$2)&amp;""),""))</f>
        <v/>
      </c>
      <c r="E610">
        <f>IF(E$2=0,"",IFERROR(TRIM(INDEX('Pegar estudiantes'!$A$1:$BZ$1001,609,E$2)&amp;""),""))</f>
        <v/>
      </c>
      <c r="F610">
        <f>IF(F$2=0,"",IFERROR(TRIM(INDEX('Pegar estudiantes'!$A$1:$BZ$1001,609,F$2)&amp;""),""))</f>
        <v/>
      </c>
      <c r="G610">
        <f>IF(G$2=0,"",IFERROR(TRIM(INDEX('Pegar estudiantes'!$A$1:$BZ$1001,609,G$2)&amp;""),""))</f>
        <v/>
      </c>
      <c r="H610">
        <f>IF(H$2=0,"",IFERROR(TRIM(INDEX('Pegar estudiantes'!$A$1:$BZ$1001,609,H$2)&amp;""),""))</f>
        <v/>
      </c>
      <c r="I610">
        <f>IF(I$2=0,"",IFERROR(TRIM(INDEX('Pegar estudiantes'!$A$1:$BZ$1001,609,I$2)&amp;""),""))</f>
        <v/>
      </c>
      <c r="J610">
        <f>IF(J$2=0,"",IFERROR(TRIM(INDEX('Pegar estudiantes'!$A$1:$BZ$1001,609,J$2)&amp;""),""))</f>
        <v/>
      </c>
      <c r="K610">
        <f>IF(K$2=0,"",IFERROR(TRIM(INDEX('Pegar estudiantes'!$A$1:$BZ$1001,609,K$2)&amp;""),""))</f>
        <v/>
      </c>
      <c r="L610" s="25">
        <f>IF(A610&lt;&gt;"",1,"")</f>
        <v/>
      </c>
      <c r="M610" s="25">
        <f>IF(L610=1,IF(ISNUMBER(FIND("#"&amp;MID(A610,1,1)&amp;"#","#0#1#2#3#4#5#6#7#8#9#")),IF(ISNUMBER(FIND("#"&amp;MID(A610,2,1)&amp;"#","#0#1#2#3#4#5#6#7#8#9#")),IF(AND(VALUE(LEFT(A610,2))&gt;=1,VALUE(LEFT(A610,2))&lt;=5),VALUE(LEFT(A610,2)),""),IF(AND(VALUE(LEFT(A610,1))&gt;=1,VALUE(LEFT(A610,1))&lt;=5),VALUE(LEFT(A610,1)),"")),""),"")</f>
        <v/>
      </c>
      <c r="N610" s="25">
        <f>IF(L610=1,IF(ISNUMBER(FIND("#"&amp;MID(H610,1,1)&amp;"#","#0#1#2#3#4#5#6#7#8#9#")),IF(ISNUMBER(FIND("#"&amp;MID(H610,2,1)&amp;"#","#0#1#2#3#4#5#6#7#8#9#")),IF(AND(VALUE(LEFT(H610,2))&gt;=1,VALUE(LEFT(H610,2))&lt;=5),VALUE(LEFT(H610,2)),""),IF(AND(VALUE(LEFT(H610,1))&gt;=1,VALUE(LEFT(H610,1))&lt;=5),VALUE(LEFT(H610,1)),"")),""),"")</f>
        <v/>
      </c>
      <c r="O610" s="25">
        <f>IF(AND(L610=1,B610&lt;&gt;""),SUBSTITUTE(SUBSTITUTE(SUBSTITUTE(SUBSTITUTE(SUBSTITUTE(SUBSTITUTE(SUBSTITUTE(SUBSTITUTE(SUBSTITUTE(SUBSTITUTE(SUBSTITUTE(SUBSTITUTE(LOWER(TRIM(B610)),"á","a"),"é","e"),"í","i"),"ó","o"),"ú","u"),"ü","u"),"ñ","n"),"à","a"),"è","e"),"ì","i"),"ò","o"),"ù","u"),"")</f>
        <v/>
      </c>
      <c r="P610" s="25">
        <f>IF(AND(L610=1,C610&lt;&gt;""),SUBSTITUTE(SUBSTITUTE(SUBSTITUTE(SUBSTITUTE(SUBSTITUTE(SUBSTITUTE(SUBSTITUTE(SUBSTITUTE(SUBSTITUTE(SUBSTITUTE(SUBSTITUTE(SUBSTITUTE(LOWER(TRIM(C610)),"á","a"),"é","e"),"í","i"),"ó","o"),"ú","u"),"ü","u"),"ñ","n"),"à","a"),"è","e"),"ì","i"),"ò","o"),"ù","u"),"")</f>
        <v/>
      </c>
      <c r="Q610" s="25">
        <f>IF(AND(L610=1,E610&lt;&gt;""),SUBSTITUTE(SUBSTITUTE(SUBSTITUTE(SUBSTITUTE(SUBSTITUTE(SUBSTITUTE(SUBSTITUTE(SUBSTITUTE(SUBSTITUTE(SUBSTITUTE(SUBSTITUTE(SUBSTITUTE(LOWER(TRIM(E610)),"á","a"),"é","e"),"í","i"),"ó","o"),"ú","u"),"ü","u"),"ñ","n"),"à","a"),"è","e"),"ì","i"),"ò","o"),"ù","u"),"")</f>
        <v/>
      </c>
      <c r="R610" s="25">
        <f>IF(AND(L610=1,I610&lt;&gt;""),SUBSTITUTE(SUBSTITUTE(SUBSTITUTE(SUBSTITUTE(SUBSTITUTE(SUBSTITUTE(SUBSTITUTE(SUBSTITUTE(SUBSTITUTE(SUBSTITUTE(SUBSTITUTE(SUBSTITUTE(LOWER(TRIM(I610)),"á","a"),"é","e"),"í","i"),"ó","o"),"ú","u"),"ü","u"),"ñ","n"),"à","a"),"è","e"),"ì","i"),"ò","o"),"ù","u"),"")</f>
        <v/>
      </c>
      <c r="S610" s="25">
        <f>IF(R610="","",IF(OR(R610="si",R610="tal vez"),1,0))</f>
        <v/>
      </c>
      <c r="T610" s="25">
        <f>IF(AND(L610=1,D610&lt;&gt;""),IF(IFERROR(COUNTIFS(D$3:D610,"="&amp;SUBSTITUTE(SUBSTITUTE(SUBSTITUTE(D610,"~","~~"),"*","~*"),"?","~?"),L$3:L610,1),0)=1,MAX(T$2:T609)+1,""),"")</f>
        <v/>
      </c>
      <c r="U610" s="25">
        <f>IF(T610="","",COUNTIFS($D$3:$D$1002,"="&amp;SUBSTITUTE(SUBSTITUTE(SUBSTITUTE(D610,"~","~~"),"*","~*"),"?","~?"),$L$3:$L$1002,1)*10000-T610)</f>
        <v/>
      </c>
      <c r="V610" s="25">
        <f>IF(AND(L610=1,J610&lt;&gt;""),IF(IFERROR(COUNTIFS(J$3:J610,"="&amp;SUBSTITUTE(SUBSTITUTE(SUBSTITUTE(J610,"~","~~"),"*","~*"),"?","~?"),L$3:L610,1),0)=1,MAX(V$2:V609)+1,""),"")</f>
        <v/>
      </c>
      <c r="W610" s="25">
        <f>IF(V610="","",COUNTIFS($J$3:$J$1002,"="&amp;SUBSTITUTE(SUBSTITUTE(SUBSTITUTE(J610,"~","~~"),"*","~*"),"?","~?"),$L$3:$L$1002,1)*10000-V610)</f>
        <v/>
      </c>
    </row>
    <row r="611">
      <c r="A611">
        <f>IF(A$2=0,"",IFERROR(TRIM(INDEX('Pegar estudiantes'!$A$1:$BZ$1001,610,A$2)&amp;""),""))</f>
        <v/>
      </c>
      <c r="B611">
        <f>IF(B$2=0,"",IFERROR(TRIM(INDEX('Pegar estudiantes'!$A$1:$BZ$1001,610,B$2)&amp;""),""))</f>
        <v/>
      </c>
      <c r="C611">
        <f>IF(C$2=0,"",IFERROR(TRIM(INDEX('Pegar estudiantes'!$A$1:$BZ$1001,610,C$2)&amp;""),""))</f>
        <v/>
      </c>
      <c r="D611">
        <f>IF(D$2=0,"",IFERROR(TRIM(INDEX('Pegar estudiantes'!$A$1:$BZ$1001,610,D$2)&amp;""),""))</f>
        <v/>
      </c>
      <c r="E611">
        <f>IF(E$2=0,"",IFERROR(TRIM(INDEX('Pegar estudiantes'!$A$1:$BZ$1001,610,E$2)&amp;""),""))</f>
        <v/>
      </c>
      <c r="F611">
        <f>IF(F$2=0,"",IFERROR(TRIM(INDEX('Pegar estudiantes'!$A$1:$BZ$1001,610,F$2)&amp;""),""))</f>
        <v/>
      </c>
      <c r="G611">
        <f>IF(G$2=0,"",IFERROR(TRIM(INDEX('Pegar estudiantes'!$A$1:$BZ$1001,610,G$2)&amp;""),""))</f>
        <v/>
      </c>
      <c r="H611">
        <f>IF(H$2=0,"",IFERROR(TRIM(INDEX('Pegar estudiantes'!$A$1:$BZ$1001,610,H$2)&amp;""),""))</f>
        <v/>
      </c>
      <c r="I611">
        <f>IF(I$2=0,"",IFERROR(TRIM(INDEX('Pegar estudiantes'!$A$1:$BZ$1001,610,I$2)&amp;""),""))</f>
        <v/>
      </c>
      <c r="J611">
        <f>IF(J$2=0,"",IFERROR(TRIM(INDEX('Pegar estudiantes'!$A$1:$BZ$1001,610,J$2)&amp;""),""))</f>
        <v/>
      </c>
      <c r="K611">
        <f>IF(K$2=0,"",IFERROR(TRIM(INDEX('Pegar estudiantes'!$A$1:$BZ$1001,610,K$2)&amp;""),""))</f>
        <v/>
      </c>
      <c r="L611" s="25">
        <f>IF(A611&lt;&gt;"",1,"")</f>
        <v/>
      </c>
      <c r="M611" s="25">
        <f>IF(L611=1,IF(ISNUMBER(FIND("#"&amp;MID(A611,1,1)&amp;"#","#0#1#2#3#4#5#6#7#8#9#")),IF(ISNUMBER(FIND("#"&amp;MID(A611,2,1)&amp;"#","#0#1#2#3#4#5#6#7#8#9#")),IF(AND(VALUE(LEFT(A611,2))&gt;=1,VALUE(LEFT(A611,2))&lt;=5),VALUE(LEFT(A611,2)),""),IF(AND(VALUE(LEFT(A611,1))&gt;=1,VALUE(LEFT(A611,1))&lt;=5),VALUE(LEFT(A611,1)),"")),""),"")</f>
        <v/>
      </c>
      <c r="N611" s="25">
        <f>IF(L611=1,IF(ISNUMBER(FIND("#"&amp;MID(H611,1,1)&amp;"#","#0#1#2#3#4#5#6#7#8#9#")),IF(ISNUMBER(FIND("#"&amp;MID(H611,2,1)&amp;"#","#0#1#2#3#4#5#6#7#8#9#")),IF(AND(VALUE(LEFT(H611,2))&gt;=1,VALUE(LEFT(H611,2))&lt;=5),VALUE(LEFT(H611,2)),""),IF(AND(VALUE(LEFT(H611,1))&gt;=1,VALUE(LEFT(H611,1))&lt;=5),VALUE(LEFT(H611,1)),"")),""),"")</f>
        <v/>
      </c>
      <c r="O611" s="25">
        <f>IF(AND(L611=1,B611&lt;&gt;""),SUBSTITUTE(SUBSTITUTE(SUBSTITUTE(SUBSTITUTE(SUBSTITUTE(SUBSTITUTE(SUBSTITUTE(SUBSTITUTE(SUBSTITUTE(SUBSTITUTE(SUBSTITUTE(SUBSTITUTE(LOWER(TRIM(B611)),"á","a"),"é","e"),"í","i"),"ó","o"),"ú","u"),"ü","u"),"ñ","n"),"à","a"),"è","e"),"ì","i"),"ò","o"),"ù","u"),"")</f>
        <v/>
      </c>
      <c r="P611" s="25">
        <f>IF(AND(L611=1,C611&lt;&gt;""),SUBSTITUTE(SUBSTITUTE(SUBSTITUTE(SUBSTITUTE(SUBSTITUTE(SUBSTITUTE(SUBSTITUTE(SUBSTITUTE(SUBSTITUTE(SUBSTITUTE(SUBSTITUTE(SUBSTITUTE(LOWER(TRIM(C611)),"á","a"),"é","e"),"í","i"),"ó","o"),"ú","u"),"ü","u"),"ñ","n"),"à","a"),"è","e"),"ì","i"),"ò","o"),"ù","u"),"")</f>
        <v/>
      </c>
      <c r="Q611" s="25">
        <f>IF(AND(L611=1,E611&lt;&gt;""),SUBSTITUTE(SUBSTITUTE(SUBSTITUTE(SUBSTITUTE(SUBSTITUTE(SUBSTITUTE(SUBSTITUTE(SUBSTITUTE(SUBSTITUTE(SUBSTITUTE(SUBSTITUTE(SUBSTITUTE(LOWER(TRIM(E611)),"á","a"),"é","e"),"í","i"),"ó","o"),"ú","u"),"ü","u"),"ñ","n"),"à","a"),"è","e"),"ì","i"),"ò","o"),"ù","u"),"")</f>
        <v/>
      </c>
      <c r="R611" s="25">
        <f>IF(AND(L611=1,I611&lt;&gt;""),SUBSTITUTE(SUBSTITUTE(SUBSTITUTE(SUBSTITUTE(SUBSTITUTE(SUBSTITUTE(SUBSTITUTE(SUBSTITUTE(SUBSTITUTE(SUBSTITUTE(SUBSTITUTE(SUBSTITUTE(LOWER(TRIM(I611)),"á","a"),"é","e"),"í","i"),"ó","o"),"ú","u"),"ü","u"),"ñ","n"),"à","a"),"è","e"),"ì","i"),"ò","o"),"ù","u"),"")</f>
        <v/>
      </c>
      <c r="S611" s="25">
        <f>IF(R611="","",IF(OR(R611="si",R611="tal vez"),1,0))</f>
        <v/>
      </c>
      <c r="T611" s="25">
        <f>IF(AND(L611=1,D611&lt;&gt;""),IF(IFERROR(COUNTIFS(D$3:D611,"="&amp;SUBSTITUTE(SUBSTITUTE(SUBSTITUTE(D611,"~","~~"),"*","~*"),"?","~?"),L$3:L611,1),0)=1,MAX(T$2:T610)+1,""),"")</f>
        <v/>
      </c>
      <c r="U611" s="25">
        <f>IF(T611="","",COUNTIFS($D$3:$D$1002,"="&amp;SUBSTITUTE(SUBSTITUTE(SUBSTITUTE(D611,"~","~~"),"*","~*"),"?","~?"),$L$3:$L$1002,1)*10000-T611)</f>
        <v/>
      </c>
      <c r="V611" s="25">
        <f>IF(AND(L611=1,J611&lt;&gt;""),IF(IFERROR(COUNTIFS(J$3:J611,"="&amp;SUBSTITUTE(SUBSTITUTE(SUBSTITUTE(J611,"~","~~"),"*","~*"),"?","~?"),L$3:L611,1),0)=1,MAX(V$2:V610)+1,""),"")</f>
        <v/>
      </c>
      <c r="W611" s="25">
        <f>IF(V611="","",COUNTIFS($J$3:$J$1002,"="&amp;SUBSTITUTE(SUBSTITUTE(SUBSTITUTE(J611,"~","~~"),"*","~*"),"?","~?"),$L$3:$L$1002,1)*10000-V611)</f>
        <v/>
      </c>
    </row>
    <row r="612">
      <c r="A612">
        <f>IF(A$2=0,"",IFERROR(TRIM(INDEX('Pegar estudiantes'!$A$1:$BZ$1001,611,A$2)&amp;""),""))</f>
        <v/>
      </c>
      <c r="B612">
        <f>IF(B$2=0,"",IFERROR(TRIM(INDEX('Pegar estudiantes'!$A$1:$BZ$1001,611,B$2)&amp;""),""))</f>
        <v/>
      </c>
      <c r="C612">
        <f>IF(C$2=0,"",IFERROR(TRIM(INDEX('Pegar estudiantes'!$A$1:$BZ$1001,611,C$2)&amp;""),""))</f>
        <v/>
      </c>
      <c r="D612">
        <f>IF(D$2=0,"",IFERROR(TRIM(INDEX('Pegar estudiantes'!$A$1:$BZ$1001,611,D$2)&amp;""),""))</f>
        <v/>
      </c>
      <c r="E612">
        <f>IF(E$2=0,"",IFERROR(TRIM(INDEX('Pegar estudiantes'!$A$1:$BZ$1001,611,E$2)&amp;""),""))</f>
        <v/>
      </c>
      <c r="F612">
        <f>IF(F$2=0,"",IFERROR(TRIM(INDEX('Pegar estudiantes'!$A$1:$BZ$1001,611,F$2)&amp;""),""))</f>
        <v/>
      </c>
      <c r="G612">
        <f>IF(G$2=0,"",IFERROR(TRIM(INDEX('Pegar estudiantes'!$A$1:$BZ$1001,611,G$2)&amp;""),""))</f>
        <v/>
      </c>
      <c r="H612">
        <f>IF(H$2=0,"",IFERROR(TRIM(INDEX('Pegar estudiantes'!$A$1:$BZ$1001,611,H$2)&amp;""),""))</f>
        <v/>
      </c>
      <c r="I612">
        <f>IF(I$2=0,"",IFERROR(TRIM(INDEX('Pegar estudiantes'!$A$1:$BZ$1001,611,I$2)&amp;""),""))</f>
        <v/>
      </c>
      <c r="J612">
        <f>IF(J$2=0,"",IFERROR(TRIM(INDEX('Pegar estudiantes'!$A$1:$BZ$1001,611,J$2)&amp;""),""))</f>
        <v/>
      </c>
      <c r="K612">
        <f>IF(K$2=0,"",IFERROR(TRIM(INDEX('Pegar estudiantes'!$A$1:$BZ$1001,611,K$2)&amp;""),""))</f>
        <v/>
      </c>
      <c r="L612" s="25">
        <f>IF(A612&lt;&gt;"",1,"")</f>
        <v/>
      </c>
      <c r="M612" s="25">
        <f>IF(L612=1,IF(ISNUMBER(FIND("#"&amp;MID(A612,1,1)&amp;"#","#0#1#2#3#4#5#6#7#8#9#")),IF(ISNUMBER(FIND("#"&amp;MID(A612,2,1)&amp;"#","#0#1#2#3#4#5#6#7#8#9#")),IF(AND(VALUE(LEFT(A612,2))&gt;=1,VALUE(LEFT(A612,2))&lt;=5),VALUE(LEFT(A612,2)),""),IF(AND(VALUE(LEFT(A612,1))&gt;=1,VALUE(LEFT(A612,1))&lt;=5),VALUE(LEFT(A612,1)),"")),""),"")</f>
        <v/>
      </c>
      <c r="N612" s="25">
        <f>IF(L612=1,IF(ISNUMBER(FIND("#"&amp;MID(H612,1,1)&amp;"#","#0#1#2#3#4#5#6#7#8#9#")),IF(ISNUMBER(FIND("#"&amp;MID(H612,2,1)&amp;"#","#0#1#2#3#4#5#6#7#8#9#")),IF(AND(VALUE(LEFT(H612,2))&gt;=1,VALUE(LEFT(H612,2))&lt;=5),VALUE(LEFT(H612,2)),""),IF(AND(VALUE(LEFT(H612,1))&gt;=1,VALUE(LEFT(H612,1))&lt;=5),VALUE(LEFT(H612,1)),"")),""),"")</f>
        <v/>
      </c>
      <c r="O612" s="25">
        <f>IF(AND(L612=1,B612&lt;&gt;""),SUBSTITUTE(SUBSTITUTE(SUBSTITUTE(SUBSTITUTE(SUBSTITUTE(SUBSTITUTE(SUBSTITUTE(SUBSTITUTE(SUBSTITUTE(SUBSTITUTE(SUBSTITUTE(SUBSTITUTE(LOWER(TRIM(B612)),"á","a"),"é","e"),"í","i"),"ó","o"),"ú","u"),"ü","u"),"ñ","n"),"à","a"),"è","e"),"ì","i"),"ò","o"),"ù","u"),"")</f>
        <v/>
      </c>
      <c r="P612" s="25">
        <f>IF(AND(L612=1,C612&lt;&gt;""),SUBSTITUTE(SUBSTITUTE(SUBSTITUTE(SUBSTITUTE(SUBSTITUTE(SUBSTITUTE(SUBSTITUTE(SUBSTITUTE(SUBSTITUTE(SUBSTITUTE(SUBSTITUTE(SUBSTITUTE(LOWER(TRIM(C612)),"á","a"),"é","e"),"í","i"),"ó","o"),"ú","u"),"ü","u"),"ñ","n"),"à","a"),"è","e"),"ì","i"),"ò","o"),"ù","u"),"")</f>
        <v/>
      </c>
      <c r="Q612" s="25">
        <f>IF(AND(L612=1,E612&lt;&gt;""),SUBSTITUTE(SUBSTITUTE(SUBSTITUTE(SUBSTITUTE(SUBSTITUTE(SUBSTITUTE(SUBSTITUTE(SUBSTITUTE(SUBSTITUTE(SUBSTITUTE(SUBSTITUTE(SUBSTITUTE(LOWER(TRIM(E612)),"á","a"),"é","e"),"í","i"),"ó","o"),"ú","u"),"ü","u"),"ñ","n"),"à","a"),"è","e"),"ì","i"),"ò","o"),"ù","u"),"")</f>
        <v/>
      </c>
      <c r="R612" s="25">
        <f>IF(AND(L612=1,I612&lt;&gt;""),SUBSTITUTE(SUBSTITUTE(SUBSTITUTE(SUBSTITUTE(SUBSTITUTE(SUBSTITUTE(SUBSTITUTE(SUBSTITUTE(SUBSTITUTE(SUBSTITUTE(SUBSTITUTE(SUBSTITUTE(LOWER(TRIM(I612)),"á","a"),"é","e"),"í","i"),"ó","o"),"ú","u"),"ü","u"),"ñ","n"),"à","a"),"è","e"),"ì","i"),"ò","o"),"ù","u"),"")</f>
        <v/>
      </c>
      <c r="S612" s="25">
        <f>IF(R612="","",IF(OR(R612="si",R612="tal vez"),1,0))</f>
        <v/>
      </c>
      <c r="T612" s="25">
        <f>IF(AND(L612=1,D612&lt;&gt;""),IF(IFERROR(COUNTIFS(D$3:D612,"="&amp;SUBSTITUTE(SUBSTITUTE(SUBSTITUTE(D612,"~","~~"),"*","~*"),"?","~?"),L$3:L612,1),0)=1,MAX(T$2:T611)+1,""),"")</f>
        <v/>
      </c>
      <c r="U612" s="25">
        <f>IF(T612="","",COUNTIFS($D$3:$D$1002,"="&amp;SUBSTITUTE(SUBSTITUTE(SUBSTITUTE(D612,"~","~~"),"*","~*"),"?","~?"),$L$3:$L$1002,1)*10000-T612)</f>
        <v/>
      </c>
      <c r="V612" s="25">
        <f>IF(AND(L612=1,J612&lt;&gt;""),IF(IFERROR(COUNTIFS(J$3:J612,"="&amp;SUBSTITUTE(SUBSTITUTE(SUBSTITUTE(J612,"~","~~"),"*","~*"),"?","~?"),L$3:L612,1),0)=1,MAX(V$2:V611)+1,""),"")</f>
        <v/>
      </c>
      <c r="W612" s="25">
        <f>IF(V612="","",COUNTIFS($J$3:$J$1002,"="&amp;SUBSTITUTE(SUBSTITUTE(SUBSTITUTE(J612,"~","~~"),"*","~*"),"?","~?"),$L$3:$L$1002,1)*10000-V612)</f>
        <v/>
      </c>
    </row>
    <row r="613">
      <c r="A613">
        <f>IF(A$2=0,"",IFERROR(TRIM(INDEX('Pegar estudiantes'!$A$1:$BZ$1001,612,A$2)&amp;""),""))</f>
        <v/>
      </c>
      <c r="B613">
        <f>IF(B$2=0,"",IFERROR(TRIM(INDEX('Pegar estudiantes'!$A$1:$BZ$1001,612,B$2)&amp;""),""))</f>
        <v/>
      </c>
      <c r="C613">
        <f>IF(C$2=0,"",IFERROR(TRIM(INDEX('Pegar estudiantes'!$A$1:$BZ$1001,612,C$2)&amp;""),""))</f>
        <v/>
      </c>
      <c r="D613">
        <f>IF(D$2=0,"",IFERROR(TRIM(INDEX('Pegar estudiantes'!$A$1:$BZ$1001,612,D$2)&amp;""),""))</f>
        <v/>
      </c>
      <c r="E613">
        <f>IF(E$2=0,"",IFERROR(TRIM(INDEX('Pegar estudiantes'!$A$1:$BZ$1001,612,E$2)&amp;""),""))</f>
        <v/>
      </c>
      <c r="F613">
        <f>IF(F$2=0,"",IFERROR(TRIM(INDEX('Pegar estudiantes'!$A$1:$BZ$1001,612,F$2)&amp;""),""))</f>
        <v/>
      </c>
      <c r="G613">
        <f>IF(G$2=0,"",IFERROR(TRIM(INDEX('Pegar estudiantes'!$A$1:$BZ$1001,612,G$2)&amp;""),""))</f>
        <v/>
      </c>
      <c r="H613">
        <f>IF(H$2=0,"",IFERROR(TRIM(INDEX('Pegar estudiantes'!$A$1:$BZ$1001,612,H$2)&amp;""),""))</f>
        <v/>
      </c>
      <c r="I613">
        <f>IF(I$2=0,"",IFERROR(TRIM(INDEX('Pegar estudiantes'!$A$1:$BZ$1001,612,I$2)&amp;""),""))</f>
        <v/>
      </c>
      <c r="J613">
        <f>IF(J$2=0,"",IFERROR(TRIM(INDEX('Pegar estudiantes'!$A$1:$BZ$1001,612,J$2)&amp;""),""))</f>
        <v/>
      </c>
      <c r="K613">
        <f>IF(K$2=0,"",IFERROR(TRIM(INDEX('Pegar estudiantes'!$A$1:$BZ$1001,612,K$2)&amp;""),""))</f>
        <v/>
      </c>
      <c r="L613" s="25">
        <f>IF(A613&lt;&gt;"",1,"")</f>
        <v/>
      </c>
      <c r="M613" s="25">
        <f>IF(L613=1,IF(ISNUMBER(FIND("#"&amp;MID(A613,1,1)&amp;"#","#0#1#2#3#4#5#6#7#8#9#")),IF(ISNUMBER(FIND("#"&amp;MID(A613,2,1)&amp;"#","#0#1#2#3#4#5#6#7#8#9#")),IF(AND(VALUE(LEFT(A613,2))&gt;=1,VALUE(LEFT(A613,2))&lt;=5),VALUE(LEFT(A613,2)),""),IF(AND(VALUE(LEFT(A613,1))&gt;=1,VALUE(LEFT(A613,1))&lt;=5),VALUE(LEFT(A613,1)),"")),""),"")</f>
        <v/>
      </c>
      <c r="N613" s="25">
        <f>IF(L613=1,IF(ISNUMBER(FIND("#"&amp;MID(H613,1,1)&amp;"#","#0#1#2#3#4#5#6#7#8#9#")),IF(ISNUMBER(FIND("#"&amp;MID(H613,2,1)&amp;"#","#0#1#2#3#4#5#6#7#8#9#")),IF(AND(VALUE(LEFT(H613,2))&gt;=1,VALUE(LEFT(H613,2))&lt;=5),VALUE(LEFT(H613,2)),""),IF(AND(VALUE(LEFT(H613,1))&gt;=1,VALUE(LEFT(H613,1))&lt;=5),VALUE(LEFT(H613,1)),"")),""),"")</f>
        <v/>
      </c>
      <c r="O613" s="25">
        <f>IF(AND(L613=1,B613&lt;&gt;""),SUBSTITUTE(SUBSTITUTE(SUBSTITUTE(SUBSTITUTE(SUBSTITUTE(SUBSTITUTE(SUBSTITUTE(SUBSTITUTE(SUBSTITUTE(SUBSTITUTE(SUBSTITUTE(SUBSTITUTE(LOWER(TRIM(B613)),"á","a"),"é","e"),"í","i"),"ó","o"),"ú","u"),"ü","u"),"ñ","n"),"à","a"),"è","e"),"ì","i"),"ò","o"),"ù","u"),"")</f>
        <v/>
      </c>
      <c r="P613" s="25">
        <f>IF(AND(L613=1,C613&lt;&gt;""),SUBSTITUTE(SUBSTITUTE(SUBSTITUTE(SUBSTITUTE(SUBSTITUTE(SUBSTITUTE(SUBSTITUTE(SUBSTITUTE(SUBSTITUTE(SUBSTITUTE(SUBSTITUTE(SUBSTITUTE(LOWER(TRIM(C613)),"á","a"),"é","e"),"í","i"),"ó","o"),"ú","u"),"ü","u"),"ñ","n"),"à","a"),"è","e"),"ì","i"),"ò","o"),"ù","u"),"")</f>
        <v/>
      </c>
      <c r="Q613" s="25">
        <f>IF(AND(L613=1,E613&lt;&gt;""),SUBSTITUTE(SUBSTITUTE(SUBSTITUTE(SUBSTITUTE(SUBSTITUTE(SUBSTITUTE(SUBSTITUTE(SUBSTITUTE(SUBSTITUTE(SUBSTITUTE(SUBSTITUTE(SUBSTITUTE(LOWER(TRIM(E613)),"á","a"),"é","e"),"í","i"),"ó","o"),"ú","u"),"ü","u"),"ñ","n"),"à","a"),"è","e"),"ì","i"),"ò","o"),"ù","u"),"")</f>
        <v/>
      </c>
      <c r="R613" s="25">
        <f>IF(AND(L613=1,I613&lt;&gt;""),SUBSTITUTE(SUBSTITUTE(SUBSTITUTE(SUBSTITUTE(SUBSTITUTE(SUBSTITUTE(SUBSTITUTE(SUBSTITUTE(SUBSTITUTE(SUBSTITUTE(SUBSTITUTE(SUBSTITUTE(LOWER(TRIM(I613)),"á","a"),"é","e"),"í","i"),"ó","o"),"ú","u"),"ü","u"),"ñ","n"),"à","a"),"è","e"),"ì","i"),"ò","o"),"ù","u"),"")</f>
        <v/>
      </c>
      <c r="S613" s="25">
        <f>IF(R613="","",IF(OR(R613="si",R613="tal vez"),1,0))</f>
        <v/>
      </c>
      <c r="T613" s="25">
        <f>IF(AND(L613=1,D613&lt;&gt;""),IF(IFERROR(COUNTIFS(D$3:D613,"="&amp;SUBSTITUTE(SUBSTITUTE(SUBSTITUTE(D613,"~","~~"),"*","~*"),"?","~?"),L$3:L613,1),0)=1,MAX(T$2:T612)+1,""),"")</f>
        <v/>
      </c>
      <c r="U613" s="25">
        <f>IF(T613="","",COUNTIFS($D$3:$D$1002,"="&amp;SUBSTITUTE(SUBSTITUTE(SUBSTITUTE(D613,"~","~~"),"*","~*"),"?","~?"),$L$3:$L$1002,1)*10000-T613)</f>
        <v/>
      </c>
      <c r="V613" s="25">
        <f>IF(AND(L613=1,J613&lt;&gt;""),IF(IFERROR(COUNTIFS(J$3:J613,"="&amp;SUBSTITUTE(SUBSTITUTE(SUBSTITUTE(J613,"~","~~"),"*","~*"),"?","~?"),L$3:L613,1),0)=1,MAX(V$2:V612)+1,""),"")</f>
        <v/>
      </c>
      <c r="W613" s="25">
        <f>IF(V613="","",COUNTIFS($J$3:$J$1002,"="&amp;SUBSTITUTE(SUBSTITUTE(SUBSTITUTE(J613,"~","~~"),"*","~*"),"?","~?"),$L$3:$L$1002,1)*10000-V613)</f>
        <v/>
      </c>
    </row>
    <row r="614">
      <c r="A614">
        <f>IF(A$2=0,"",IFERROR(TRIM(INDEX('Pegar estudiantes'!$A$1:$BZ$1001,613,A$2)&amp;""),""))</f>
        <v/>
      </c>
      <c r="B614">
        <f>IF(B$2=0,"",IFERROR(TRIM(INDEX('Pegar estudiantes'!$A$1:$BZ$1001,613,B$2)&amp;""),""))</f>
        <v/>
      </c>
      <c r="C614">
        <f>IF(C$2=0,"",IFERROR(TRIM(INDEX('Pegar estudiantes'!$A$1:$BZ$1001,613,C$2)&amp;""),""))</f>
        <v/>
      </c>
      <c r="D614">
        <f>IF(D$2=0,"",IFERROR(TRIM(INDEX('Pegar estudiantes'!$A$1:$BZ$1001,613,D$2)&amp;""),""))</f>
        <v/>
      </c>
      <c r="E614">
        <f>IF(E$2=0,"",IFERROR(TRIM(INDEX('Pegar estudiantes'!$A$1:$BZ$1001,613,E$2)&amp;""),""))</f>
        <v/>
      </c>
      <c r="F614">
        <f>IF(F$2=0,"",IFERROR(TRIM(INDEX('Pegar estudiantes'!$A$1:$BZ$1001,613,F$2)&amp;""),""))</f>
        <v/>
      </c>
      <c r="G614">
        <f>IF(G$2=0,"",IFERROR(TRIM(INDEX('Pegar estudiantes'!$A$1:$BZ$1001,613,G$2)&amp;""),""))</f>
        <v/>
      </c>
      <c r="H614">
        <f>IF(H$2=0,"",IFERROR(TRIM(INDEX('Pegar estudiantes'!$A$1:$BZ$1001,613,H$2)&amp;""),""))</f>
        <v/>
      </c>
      <c r="I614">
        <f>IF(I$2=0,"",IFERROR(TRIM(INDEX('Pegar estudiantes'!$A$1:$BZ$1001,613,I$2)&amp;""),""))</f>
        <v/>
      </c>
      <c r="J614">
        <f>IF(J$2=0,"",IFERROR(TRIM(INDEX('Pegar estudiantes'!$A$1:$BZ$1001,613,J$2)&amp;""),""))</f>
        <v/>
      </c>
      <c r="K614">
        <f>IF(K$2=0,"",IFERROR(TRIM(INDEX('Pegar estudiantes'!$A$1:$BZ$1001,613,K$2)&amp;""),""))</f>
        <v/>
      </c>
      <c r="L614" s="25">
        <f>IF(A614&lt;&gt;"",1,"")</f>
        <v/>
      </c>
      <c r="M614" s="25">
        <f>IF(L614=1,IF(ISNUMBER(FIND("#"&amp;MID(A614,1,1)&amp;"#","#0#1#2#3#4#5#6#7#8#9#")),IF(ISNUMBER(FIND("#"&amp;MID(A614,2,1)&amp;"#","#0#1#2#3#4#5#6#7#8#9#")),IF(AND(VALUE(LEFT(A614,2))&gt;=1,VALUE(LEFT(A614,2))&lt;=5),VALUE(LEFT(A614,2)),""),IF(AND(VALUE(LEFT(A614,1))&gt;=1,VALUE(LEFT(A614,1))&lt;=5),VALUE(LEFT(A614,1)),"")),""),"")</f>
        <v/>
      </c>
      <c r="N614" s="25">
        <f>IF(L614=1,IF(ISNUMBER(FIND("#"&amp;MID(H614,1,1)&amp;"#","#0#1#2#3#4#5#6#7#8#9#")),IF(ISNUMBER(FIND("#"&amp;MID(H614,2,1)&amp;"#","#0#1#2#3#4#5#6#7#8#9#")),IF(AND(VALUE(LEFT(H614,2))&gt;=1,VALUE(LEFT(H614,2))&lt;=5),VALUE(LEFT(H614,2)),""),IF(AND(VALUE(LEFT(H614,1))&gt;=1,VALUE(LEFT(H614,1))&lt;=5),VALUE(LEFT(H614,1)),"")),""),"")</f>
        <v/>
      </c>
      <c r="O614" s="25">
        <f>IF(AND(L614=1,B614&lt;&gt;""),SUBSTITUTE(SUBSTITUTE(SUBSTITUTE(SUBSTITUTE(SUBSTITUTE(SUBSTITUTE(SUBSTITUTE(SUBSTITUTE(SUBSTITUTE(SUBSTITUTE(SUBSTITUTE(SUBSTITUTE(LOWER(TRIM(B614)),"á","a"),"é","e"),"í","i"),"ó","o"),"ú","u"),"ü","u"),"ñ","n"),"à","a"),"è","e"),"ì","i"),"ò","o"),"ù","u"),"")</f>
        <v/>
      </c>
      <c r="P614" s="25">
        <f>IF(AND(L614=1,C614&lt;&gt;""),SUBSTITUTE(SUBSTITUTE(SUBSTITUTE(SUBSTITUTE(SUBSTITUTE(SUBSTITUTE(SUBSTITUTE(SUBSTITUTE(SUBSTITUTE(SUBSTITUTE(SUBSTITUTE(SUBSTITUTE(LOWER(TRIM(C614)),"á","a"),"é","e"),"í","i"),"ó","o"),"ú","u"),"ü","u"),"ñ","n"),"à","a"),"è","e"),"ì","i"),"ò","o"),"ù","u"),"")</f>
        <v/>
      </c>
      <c r="Q614" s="25">
        <f>IF(AND(L614=1,E614&lt;&gt;""),SUBSTITUTE(SUBSTITUTE(SUBSTITUTE(SUBSTITUTE(SUBSTITUTE(SUBSTITUTE(SUBSTITUTE(SUBSTITUTE(SUBSTITUTE(SUBSTITUTE(SUBSTITUTE(SUBSTITUTE(LOWER(TRIM(E614)),"á","a"),"é","e"),"í","i"),"ó","o"),"ú","u"),"ü","u"),"ñ","n"),"à","a"),"è","e"),"ì","i"),"ò","o"),"ù","u"),"")</f>
        <v/>
      </c>
      <c r="R614" s="25">
        <f>IF(AND(L614=1,I614&lt;&gt;""),SUBSTITUTE(SUBSTITUTE(SUBSTITUTE(SUBSTITUTE(SUBSTITUTE(SUBSTITUTE(SUBSTITUTE(SUBSTITUTE(SUBSTITUTE(SUBSTITUTE(SUBSTITUTE(SUBSTITUTE(LOWER(TRIM(I614)),"á","a"),"é","e"),"í","i"),"ó","o"),"ú","u"),"ü","u"),"ñ","n"),"à","a"),"è","e"),"ì","i"),"ò","o"),"ù","u"),"")</f>
        <v/>
      </c>
      <c r="S614" s="25">
        <f>IF(R614="","",IF(OR(R614="si",R614="tal vez"),1,0))</f>
        <v/>
      </c>
      <c r="T614" s="25">
        <f>IF(AND(L614=1,D614&lt;&gt;""),IF(IFERROR(COUNTIFS(D$3:D614,"="&amp;SUBSTITUTE(SUBSTITUTE(SUBSTITUTE(D614,"~","~~"),"*","~*"),"?","~?"),L$3:L614,1),0)=1,MAX(T$2:T613)+1,""),"")</f>
        <v/>
      </c>
      <c r="U614" s="25">
        <f>IF(T614="","",COUNTIFS($D$3:$D$1002,"="&amp;SUBSTITUTE(SUBSTITUTE(SUBSTITUTE(D614,"~","~~"),"*","~*"),"?","~?"),$L$3:$L$1002,1)*10000-T614)</f>
        <v/>
      </c>
      <c r="V614" s="25">
        <f>IF(AND(L614=1,J614&lt;&gt;""),IF(IFERROR(COUNTIFS(J$3:J614,"="&amp;SUBSTITUTE(SUBSTITUTE(SUBSTITUTE(J614,"~","~~"),"*","~*"),"?","~?"),L$3:L614,1),0)=1,MAX(V$2:V613)+1,""),"")</f>
        <v/>
      </c>
      <c r="W614" s="25">
        <f>IF(V614="","",COUNTIFS($J$3:$J$1002,"="&amp;SUBSTITUTE(SUBSTITUTE(SUBSTITUTE(J614,"~","~~"),"*","~*"),"?","~?"),$L$3:$L$1002,1)*10000-V614)</f>
        <v/>
      </c>
    </row>
    <row r="615">
      <c r="A615">
        <f>IF(A$2=0,"",IFERROR(TRIM(INDEX('Pegar estudiantes'!$A$1:$BZ$1001,614,A$2)&amp;""),""))</f>
        <v/>
      </c>
      <c r="B615">
        <f>IF(B$2=0,"",IFERROR(TRIM(INDEX('Pegar estudiantes'!$A$1:$BZ$1001,614,B$2)&amp;""),""))</f>
        <v/>
      </c>
      <c r="C615">
        <f>IF(C$2=0,"",IFERROR(TRIM(INDEX('Pegar estudiantes'!$A$1:$BZ$1001,614,C$2)&amp;""),""))</f>
        <v/>
      </c>
      <c r="D615">
        <f>IF(D$2=0,"",IFERROR(TRIM(INDEX('Pegar estudiantes'!$A$1:$BZ$1001,614,D$2)&amp;""),""))</f>
        <v/>
      </c>
      <c r="E615">
        <f>IF(E$2=0,"",IFERROR(TRIM(INDEX('Pegar estudiantes'!$A$1:$BZ$1001,614,E$2)&amp;""),""))</f>
        <v/>
      </c>
      <c r="F615">
        <f>IF(F$2=0,"",IFERROR(TRIM(INDEX('Pegar estudiantes'!$A$1:$BZ$1001,614,F$2)&amp;""),""))</f>
        <v/>
      </c>
      <c r="G615">
        <f>IF(G$2=0,"",IFERROR(TRIM(INDEX('Pegar estudiantes'!$A$1:$BZ$1001,614,G$2)&amp;""),""))</f>
        <v/>
      </c>
      <c r="H615">
        <f>IF(H$2=0,"",IFERROR(TRIM(INDEX('Pegar estudiantes'!$A$1:$BZ$1001,614,H$2)&amp;""),""))</f>
        <v/>
      </c>
      <c r="I615">
        <f>IF(I$2=0,"",IFERROR(TRIM(INDEX('Pegar estudiantes'!$A$1:$BZ$1001,614,I$2)&amp;""),""))</f>
        <v/>
      </c>
      <c r="J615">
        <f>IF(J$2=0,"",IFERROR(TRIM(INDEX('Pegar estudiantes'!$A$1:$BZ$1001,614,J$2)&amp;""),""))</f>
        <v/>
      </c>
      <c r="K615">
        <f>IF(K$2=0,"",IFERROR(TRIM(INDEX('Pegar estudiantes'!$A$1:$BZ$1001,614,K$2)&amp;""),""))</f>
        <v/>
      </c>
      <c r="L615" s="25">
        <f>IF(A615&lt;&gt;"",1,"")</f>
        <v/>
      </c>
      <c r="M615" s="25">
        <f>IF(L615=1,IF(ISNUMBER(FIND("#"&amp;MID(A615,1,1)&amp;"#","#0#1#2#3#4#5#6#7#8#9#")),IF(ISNUMBER(FIND("#"&amp;MID(A615,2,1)&amp;"#","#0#1#2#3#4#5#6#7#8#9#")),IF(AND(VALUE(LEFT(A615,2))&gt;=1,VALUE(LEFT(A615,2))&lt;=5),VALUE(LEFT(A615,2)),""),IF(AND(VALUE(LEFT(A615,1))&gt;=1,VALUE(LEFT(A615,1))&lt;=5),VALUE(LEFT(A615,1)),"")),""),"")</f>
        <v/>
      </c>
      <c r="N615" s="25">
        <f>IF(L615=1,IF(ISNUMBER(FIND("#"&amp;MID(H615,1,1)&amp;"#","#0#1#2#3#4#5#6#7#8#9#")),IF(ISNUMBER(FIND("#"&amp;MID(H615,2,1)&amp;"#","#0#1#2#3#4#5#6#7#8#9#")),IF(AND(VALUE(LEFT(H615,2))&gt;=1,VALUE(LEFT(H615,2))&lt;=5),VALUE(LEFT(H615,2)),""),IF(AND(VALUE(LEFT(H615,1))&gt;=1,VALUE(LEFT(H615,1))&lt;=5),VALUE(LEFT(H615,1)),"")),""),"")</f>
        <v/>
      </c>
      <c r="O615" s="25">
        <f>IF(AND(L615=1,B615&lt;&gt;""),SUBSTITUTE(SUBSTITUTE(SUBSTITUTE(SUBSTITUTE(SUBSTITUTE(SUBSTITUTE(SUBSTITUTE(SUBSTITUTE(SUBSTITUTE(SUBSTITUTE(SUBSTITUTE(SUBSTITUTE(LOWER(TRIM(B615)),"á","a"),"é","e"),"í","i"),"ó","o"),"ú","u"),"ü","u"),"ñ","n"),"à","a"),"è","e"),"ì","i"),"ò","o"),"ù","u"),"")</f>
        <v/>
      </c>
      <c r="P615" s="25">
        <f>IF(AND(L615=1,C615&lt;&gt;""),SUBSTITUTE(SUBSTITUTE(SUBSTITUTE(SUBSTITUTE(SUBSTITUTE(SUBSTITUTE(SUBSTITUTE(SUBSTITUTE(SUBSTITUTE(SUBSTITUTE(SUBSTITUTE(SUBSTITUTE(LOWER(TRIM(C615)),"á","a"),"é","e"),"í","i"),"ó","o"),"ú","u"),"ü","u"),"ñ","n"),"à","a"),"è","e"),"ì","i"),"ò","o"),"ù","u"),"")</f>
        <v/>
      </c>
      <c r="Q615" s="25">
        <f>IF(AND(L615=1,E615&lt;&gt;""),SUBSTITUTE(SUBSTITUTE(SUBSTITUTE(SUBSTITUTE(SUBSTITUTE(SUBSTITUTE(SUBSTITUTE(SUBSTITUTE(SUBSTITUTE(SUBSTITUTE(SUBSTITUTE(SUBSTITUTE(LOWER(TRIM(E615)),"á","a"),"é","e"),"í","i"),"ó","o"),"ú","u"),"ü","u"),"ñ","n"),"à","a"),"è","e"),"ì","i"),"ò","o"),"ù","u"),"")</f>
        <v/>
      </c>
      <c r="R615" s="25">
        <f>IF(AND(L615=1,I615&lt;&gt;""),SUBSTITUTE(SUBSTITUTE(SUBSTITUTE(SUBSTITUTE(SUBSTITUTE(SUBSTITUTE(SUBSTITUTE(SUBSTITUTE(SUBSTITUTE(SUBSTITUTE(SUBSTITUTE(SUBSTITUTE(LOWER(TRIM(I615)),"á","a"),"é","e"),"í","i"),"ó","o"),"ú","u"),"ü","u"),"ñ","n"),"à","a"),"è","e"),"ì","i"),"ò","o"),"ù","u"),"")</f>
        <v/>
      </c>
      <c r="S615" s="25">
        <f>IF(R615="","",IF(OR(R615="si",R615="tal vez"),1,0))</f>
        <v/>
      </c>
      <c r="T615" s="25">
        <f>IF(AND(L615=1,D615&lt;&gt;""),IF(IFERROR(COUNTIFS(D$3:D615,"="&amp;SUBSTITUTE(SUBSTITUTE(SUBSTITUTE(D615,"~","~~"),"*","~*"),"?","~?"),L$3:L615,1),0)=1,MAX(T$2:T614)+1,""),"")</f>
        <v/>
      </c>
      <c r="U615" s="25">
        <f>IF(T615="","",COUNTIFS($D$3:$D$1002,"="&amp;SUBSTITUTE(SUBSTITUTE(SUBSTITUTE(D615,"~","~~"),"*","~*"),"?","~?"),$L$3:$L$1002,1)*10000-T615)</f>
        <v/>
      </c>
      <c r="V615" s="25">
        <f>IF(AND(L615=1,J615&lt;&gt;""),IF(IFERROR(COUNTIFS(J$3:J615,"="&amp;SUBSTITUTE(SUBSTITUTE(SUBSTITUTE(J615,"~","~~"),"*","~*"),"?","~?"),L$3:L615,1),0)=1,MAX(V$2:V614)+1,""),"")</f>
        <v/>
      </c>
      <c r="W615" s="25">
        <f>IF(V615="","",COUNTIFS($J$3:$J$1002,"="&amp;SUBSTITUTE(SUBSTITUTE(SUBSTITUTE(J615,"~","~~"),"*","~*"),"?","~?"),$L$3:$L$1002,1)*10000-V615)</f>
        <v/>
      </c>
    </row>
    <row r="616">
      <c r="A616">
        <f>IF(A$2=0,"",IFERROR(TRIM(INDEX('Pegar estudiantes'!$A$1:$BZ$1001,615,A$2)&amp;""),""))</f>
        <v/>
      </c>
      <c r="B616">
        <f>IF(B$2=0,"",IFERROR(TRIM(INDEX('Pegar estudiantes'!$A$1:$BZ$1001,615,B$2)&amp;""),""))</f>
        <v/>
      </c>
      <c r="C616">
        <f>IF(C$2=0,"",IFERROR(TRIM(INDEX('Pegar estudiantes'!$A$1:$BZ$1001,615,C$2)&amp;""),""))</f>
        <v/>
      </c>
      <c r="D616">
        <f>IF(D$2=0,"",IFERROR(TRIM(INDEX('Pegar estudiantes'!$A$1:$BZ$1001,615,D$2)&amp;""),""))</f>
        <v/>
      </c>
      <c r="E616">
        <f>IF(E$2=0,"",IFERROR(TRIM(INDEX('Pegar estudiantes'!$A$1:$BZ$1001,615,E$2)&amp;""),""))</f>
        <v/>
      </c>
      <c r="F616">
        <f>IF(F$2=0,"",IFERROR(TRIM(INDEX('Pegar estudiantes'!$A$1:$BZ$1001,615,F$2)&amp;""),""))</f>
        <v/>
      </c>
      <c r="G616">
        <f>IF(G$2=0,"",IFERROR(TRIM(INDEX('Pegar estudiantes'!$A$1:$BZ$1001,615,G$2)&amp;""),""))</f>
        <v/>
      </c>
      <c r="H616">
        <f>IF(H$2=0,"",IFERROR(TRIM(INDEX('Pegar estudiantes'!$A$1:$BZ$1001,615,H$2)&amp;""),""))</f>
        <v/>
      </c>
      <c r="I616">
        <f>IF(I$2=0,"",IFERROR(TRIM(INDEX('Pegar estudiantes'!$A$1:$BZ$1001,615,I$2)&amp;""),""))</f>
        <v/>
      </c>
      <c r="J616">
        <f>IF(J$2=0,"",IFERROR(TRIM(INDEX('Pegar estudiantes'!$A$1:$BZ$1001,615,J$2)&amp;""),""))</f>
        <v/>
      </c>
      <c r="K616">
        <f>IF(K$2=0,"",IFERROR(TRIM(INDEX('Pegar estudiantes'!$A$1:$BZ$1001,615,K$2)&amp;""),""))</f>
        <v/>
      </c>
      <c r="L616" s="25">
        <f>IF(A616&lt;&gt;"",1,"")</f>
        <v/>
      </c>
      <c r="M616" s="25">
        <f>IF(L616=1,IF(ISNUMBER(FIND("#"&amp;MID(A616,1,1)&amp;"#","#0#1#2#3#4#5#6#7#8#9#")),IF(ISNUMBER(FIND("#"&amp;MID(A616,2,1)&amp;"#","#0#1#2#3#4#5#6#7#8#9#")),IF(AND(VALUE(LEFT(A616,2))&gt;=1,VALUE(LEFT(A616,2))&lt;=5),VALUE(LEFT(A616,2)),""),IF(AND(VALUE(LEFT(A616,1))&gt;=1,VALUE(LEFT(A616,1))&lt;=5),VALUE(LEFT(A616,1)),"")),""),"")</f>
        <v/>
      </c>
      <c r="N616" s="25">
        <f>IF(L616=1,IF(ISNUMBER(FIND("#"&amp;MID(H616,1,1)&amp;"#","#0#1#2#3#4#5#6#7#8#9#")),IF(ISNUMBER(FIND("#"&amp;MID(H616,2,1)&amp;"#","#0#1#2#3#4#5#6#7#8#9#")),IF(AND(VALUE(LEFT(H616,2))&gt;=1,VALUE(LEFT(H616,2))&lt;=5),VALUE(LEFT(H616,2)),""),IF(AND(VALUE(LEFT(H616,1))&gt;=1,VALUE(LEFT(H616,1))&lt;=5),VALUE(LEFT(H616,1)),"")),""),"")</f>
        <v/>
      </c>
      <c r="O616" s="25">
        <f>IF(AND(L616=1,B616&lt;&gt;""),SUBSTITUTE(SUBSTITUTE(SUBSTITUTE(SUBSTITUTE(SUBSTITUTE(SUBSTITUTE(SUBSTITUTE(SUBSTITUTE(SUBSTITUTE(SUBSTITUTE(SUBSTITUTE(SUBSTITUTE(LOWER(TRIM(B616)),"á","a"),"é","e"),"í","i"),"ó","o"),"ú","u"),"ü","u"),"ñ","n"),"à","a"),"è","e"),"ì","i"),"ò","o"),"ù","u"),"")</f>
        <v/>
      </c>
      <c r="P616" s="25">
        <f>IF(AND(L616=1,C616&lt;&gt;""),SUBSTITUTE(SUBSTITUTE(SUBSTITUTE(SUBSTITUTE(SUBSTITUTE(SUBSTITUTE(SUBSTITUTE(SUBSTITUTE(SUBSTITUTE(SUBSTITUTE(SUBSTITUTE(SUBSTITUTE(LOWER(TRIM(C616)),"á","a"),"é","e"),"í","i"),"ó","o"),"ú","u"),"ü","u"),"ñ","n"),"à","a"),"è","e"),"ì","i"),"ò","o"),"ù","u"),"")</f>
        <v/>
      </c>
      <c r="Q616" s="25">
        <f>IF(AND(L616=1,E616&lt;&gt;""),SUBSTITUTE(SUBSTITUTE(SUBSTITUTE(SUBSTITUTE(SUBSTITUTE(SUBSTITUTE(SUBSTITUTE(SUBSTITUTE(SUBSTITUTE(SUBSTITUTE(SUBSTITUTE(SUBSTITUTE(LOWER(TRIM(E616)),"á","a"),"é","e"),"í","i"),"ó","o"),"ú","u"),"ü","u"),"ñ","n"),"à","a"),"è","e"),"ì","i"),"ò","o"),"ù","u"),"")</f>
        <v/>
      </c>
      <c r="R616" s="25">
        <f>IF(AND(L616=1,I616&lt;&gt;""),SUBSTITUTE(SUBSTITUTE(SUBSTITUTE(SUBSTITUTE(SUBSTITUTE(SUBSTITUTE(SUBSTITUTE(SUBSTITUTE(SUBSTITUTE(SUBSTITUTE(SUBSTITUTE(SUBSTITUTE(LOWER(TRIM(I616)),"á","a"),"é","e"),"í","i"),"ó","o"),"ú","u"),"ü","u"),"ñ","n"),"à","a"),"è","e"),"ì","i"),"ò","o"),"ù","u"),"")</f>
        <v/>
      </c>
      <c r="S616" s="25">
        <f>IF(R616="","",IF(OR(R616="si",R616="tal vez"),1,0))</f>
        <v/>
      </c>
      <c r="T616" s="25">
        <f>IF(AND(L616=1,D616&lt;&gt;""),IF(IFERROR(COUNTIFS(D$3:D616,"="&amp;SUBSTITUTE(SUBSTITUTE(SUBSTITUTE(D616,"~","~~"),"*","~*"),"?","~?"),L$3:L616,1),0)=1,MAX(T$2:T615)+1,""),"")</f>
        <v/>
      </c>
      <c r="U616" s="25">
        <f>IF(T616="","",COUNTIFS($D$3:$D$1002,"="&amp;SUBSTITUTE(SUBSTITUTE(SUBSTITUTE(D616,"~","~~"),"*","~*"),"?","~?"),$L$3:$L$1002,1)*10000-T616)</f>
        <v/>
      </c>
      <c r="V616" s="25">
        <f>IF(AND(L616=1,J616&lt;&gt;""),IF(IFERROR(COUNTIFS(J$3:J616,"="&amp;SUBSTITUTE(SUBSTITUTE(SUBSTITUTE(J616,"~","~~"),"*","~*"),"?","~?"),L$3:L616,1),0)=1,MAX(V$2:V615)+1,""),"")</f>
        <v/>
      </c>
      <c r="W616" s="25">
        <f>IF(V616="","",COUNTIFS($J$3:$J$1002,"="&amp;SUBSTITUTE(SUBSTITUTE(SUBSTITUTE(J616,"~","~~"),"*","~*"),"?","~?"),$L$3:$L$1002,1)*10000-V616)</f>
        <v/>
      </c>
    </row>
    <row r="617">
      <c r="A617">
        <f>IF(A$2=0,"",IFERROR(TRIM(INDEX('Pegar estudiantes'!$A$1:$BZ$1001,616,A$2)&amp;""),""))</f>
        <v/>
      </c>
      <c r="B617">
        <f>IF(B$2=0,"",IFERROR(TRIM(INDEX('Pegar estudiantes'!$A$1:$BZ$1001,616,B$2)&amp;""),""))</f>
        <v/>
      </c>
      <c r="C617">
        <f>IF(C$2=0,"",IFERROR(TRIM(INDEX('Pegar estudiantes'!$A$1:$BZ$1001,616,C$2)&amp;""),""))</f>
        <v/>
      </c>
      <c r="D617">
        <f>IF(D$2=0,"",IFERROR(TRIM(INDEX('Pegar estudiantes'!$A$1:$BZ$1001,616,D$2)&amp;""),""))</f>
        <v/>
      </c>
      <c r="E617">
        <f>IF(E$2=0,"",IFERROR(TRIM(INDEX('Pegar estudiantes'!$A$1:$BZ$1001,616,E$2)&amp;""),""))</f>
        <v/>
      </c>
      <c r="F617">
        <f>IF(F$2=0,"",IFERROR(TRIM(INDEX('Pegar estudiantes'!$A$1:$BZ$1001,616,F$2)&amp;""),""))</f>
        <v/>
      </c>
      <c r="G617">
        <f>IF(G$2=0,"",IFERROR(TRIM(INDEX('Pegar estudiantes'!$A$1:$BZ$1001,616,G$2)&amp;""),""))</f>
        <v/>
      </c>
      <c r="H617">
        <f>IF(H$2=0,"",IFERROR(TRIM(INDEX('Pegar estudiantes'!$A$1:$BZ$1001,616,H$2)&amp;""),""))</f>
        <v/>
      </c>
      <c r="I617">
        <f>IF(I$2=0,"",IFERROR(TRIM(INDEX('Pegar estudiantes'!$A$1:$BZ$1001,616,I$2)&amp;""),""))</f>
        <v/>
      </c>
      <c r="J617">
        <f>IF(J$2=0,"",IFERROR(TRIM(INDEX('Pegar estudiantes'!$A$1:$BZ$1001,616,J$2)&amp;""),""))</f>
        <v/>
      </c>
      <c r="K617">
        <f>IF(K$2=0,"",IFERROR(TRIM(INDEX('Pegar estudiantes'!$A$1:$BZ$1001,616,K$2)&amp;""),""))</f>
        <v/>
      </c>
      <c r="L617" s="25">
        <f>IF(A617&lt;&gt;"",1,"")</f>
        <v/>
      </c>
      <c r="M617" s="25">
        <f>IF(L617=1,IF(ISNUMBER(FIND("#"&amp;MID(A617,1,1)&amp;"#","#0#1#2#3#4#5#6#7#8#9#")),IF(ISNUMBER(FIND("#"&amp;MID(A617,2,1)&amp;"#","#0#1#2#3#4#5#6#7#8#9#")),IF(AND(VALUE(LEFT(A617,2))&gt;=1,VALUE(LEFT(A617,2))&lt;=5),VALUE(LEFT(A617,2)),""),IF(AND(VALUE(LEFT(A617,1))&gt;=1,VALUE(LEFT(A617,1))&lt;=5),VALUE(LEFT(A617,1)),"")),""),"")</f>
        <v/>
      </c>
      <c r="N617" s="25">
        <f>IF(L617=1,IF(ISNUMBER(FIND("#"&amp;MID(H617,1,1)&amp;"#","#0#1#2#3#4#5#6#7#8#9#")),IF(ISNUMBER(FIND("#"&amp;MID(H617,2,1)&amp;"#","#0#1#2#3#4#5#6#7#8#9#")),IF(AND(VALUE(LEFT(H617,2))&gt;=1,VALUE(LEFT(H617,2))&lt;=5),VALUE(LEFT(H617,2)),""),IF(AND(VALUE(LEFT(H617,1))&gt;=1,VALUE(LEFT(H617,1))&lt;=5),VALUE(LEFT(H617,1)),"")),""),"")</f>
        <v/>
      </c>
      <c r="O617" s="25">
        <f>IF(AND(L617=1,B617&lt;&gt;""),SUBSTITUTE(SUBSTITUTE(SUBSTITUTE(SUBSTITUTE(SUBSTITUTE(SUBSTITUTE(SUBSTITUTE(SUBSTITUTE(SUBSTITUTE(SUBSTITUTE(SUBSTITUTE(SUBSTITUTE(LOWER(TRIM(B617)),"á","a"),"é","e"),"í","i"),"ó","o"),"ú","u"),"ü","u"),"ñ","n"),"à","a"),"è","e"),"ì","i"),"ò","o"),"ù","u"),"")</f>
        <v/>
      </c>
      <c r="P617" s="25">
        <f>IF(AND(L617=1,C617&lt;&gt;""),SUBSTITUTE(SUBSTITUTE(SUBSTITUTE(SUBSTITUTE(SUBSTITUTE(SUBSTITUTE(SUBSTITUTE(SUBSTITUTE(SUBSTITUTE(SUBSTITUTE(SUBSTITUTE(SUBSTITUTE(LOWER(TRIM(C617)),"á","a"),"é","e"),"í","i"),"ó","o"),"ú","u"),"ü","u"),"ñ","n"),"à","a"),"è","e"),"ì","i"),"ò","o"),"ù","u"),"")</f>
        <v/>
      </c>
      <c r="Q617" s="25">
        <f>IF(AND(L617=1,E617&lt;&gt;""),SUBSTITUTE(SUBSTITUTE(SUBSTITUTE(SUBSTITUTE(SUBSTITUTE(SUBSTITUTE(SUBSTITUTE(SUBSTITUTE(SUBSTITUTE(SUBSTITUTE(SUBSTITUTE(SUBSTITUTE(LOWER(TRIM(E617)),"á","a"),"é","e"),"í","i"),"ó","o"),"ú","u"),"ü","u"),"ñ","n"),"à","a"),"è","e"),"ì","i"),"ò","o"),"ù","u"),"")</f>
        <v/>
      </c>
      <c r="R617" s="25">
        <f>IF(AND(L617=1,I617&lt;&gt;""),SUBSTITUTE(SUBSTITUTE(SUBSTITUTE(SUBSTITUTE(SUBSTITUTE(SUBSTITUTE(SUBSTITUTE(SUBSTITUTE(SUBSTITUTE(SUBSTITUTE(SUBSTITUTE(SUBSTITUTE(LOWER(TRIM(I617)),"á","a"),"é","e"),"í","i"),"ó","o"),"ú","u"),"ü","u"),"ñ","n"),"à","a"),"è","e"),"ì","i"),"ò","o"),"ù","u"),"")</f>
        <v/>
      </c>
      <c r="S617" s="25">
        <f>IF(R617="","",IF(OR(R617="si",R617="tal vez"),1,0))</f>
        <v/>
      </c>
      <c r="T617" s="25">
        <f>IF(AND(L617=1,D617&lt;&gt;""),IF(IFERROR(COUNTIFS(D$3:D617,"="&amp;SUBSTITUTE(SUBSTITUTE(SUBSTITUTE(D617,"~","~~"),"*","~*"),"?","~?"),L$3:L617,1),0)=1,MAX(T$2:T616)+1,""),"")</f>
        <v/>
      </c>
      <c r="U617" s="25">
        <f>IF(T617="","",COUNTIFS($D$3:$D$1002,"="&amp;SUBSTITUTE(SUBSTITUTE(SUBSTITUTE(D617,"~","~~"),"*","~*"),"?","~?"),$L$3:$L$1002,1)*10000-T617)</f>
        <v/>
      </c>
      <c r="V617" s="25">
        <f>IF(AND(L617=1,J617&lt;&gt;""),IF(IFERROR(COUNTIFS(J$3:J617,"="&amp;SUBSTITUTE(SUBSTITUTE(SUBSTITUTE(J617,"~","~~"),"*","~*"),"?","~?"),L$3:L617,1),0)=1,MAX(V$2:V616)+1,""),"")</f>
        <v/>
      </c>
      <c r="W617" s="25">
        <f>IF(V617="","",COUNTIFS($J$3:$J$1002,"="&amp;SUBSTITUTE(SUBSTITUTE(SUBSTITUTE(J617,"~","~~"),"*","~*"),"?","~?"),$L$3:$L$1002,1)*10000-V617)</f>
        <v/>
      </c>
    </row>
    <row r="618">
      <c r="A618">
        <f>IF(A$2=0,"",IFERROR(TRIM(INDEX('Pegar estudiantes'!$A$1:$BZ$1001,617,A$2)&amp;""),""))</f>
        <v/>
      </c>
      <c r="B618">
        <f>IF(B$2=0,"",IFERROR(TRIM(INDEX('Pegar estudiantes'!$A$1:$BZ$1001,617,B$2)&amp;""),""))</f>
        <v/>
      </c>
      <c r="C618">
        <f>IF(C$2=0,"",IFERROR(TRIM(INDEX('Pegar estudiantes'!$A$1:$BZ$1001,617,C$2)&amp;""),""))</f>
        <v/>
      </c>
      <c r="D618">
        <f>IF(D$2=0,"",IFERROR(TRIM(INDEX('Pegar estudiantes'!$A$1:$BZ$1001,617,D$2)&amp;""),""))</f>
        <v/>
      </c>
      <c r="E618">
        <f>IF(E$2=0,"",IFERROR(TRIM(INDEX('Pegar estudiantes'!$A$1:$BZ$1001,617,E$2)&amp;""),""))</f>
        <v/>
      </c>
      <c r="F618">
        <f>IF(F$2=0,"",IFERROR(TRIM(INDEX('Pegar estudiantes'!$A$1:$BZ$1001,617,F$2)&amp;""),""))</f>
        <v/>
      </c>
      <c r="G618">
        <f>IF(G$2=0,"",IFERROR(TRIM(INDEX('Pegar estudiantes'!$A$1:$BZ$1001,617,G$2)&amp;""),""))</f>
        <v/>
      </c>
      <c r="H618">
        <f>IF(H$2=0,"",IFERROR(TRIM(INDEX('Pegar estudiantes'!$A$1:$BZ$1001,617,H$2)&amp;""),""))</f>
        <v/>
      </c>
      <c r="I618">
        <f>IF(I$2=0,"",IFERROR(TRIM(INDEX('Pegar estudiantes'!$A$1:$BZ$1001,617,I$2)&amp;""),""))</f>
        <v/>
      </c>
      <c r="J618">
        <f>IF(J$2=0,"",IFERROR(TRIM(INDEX('Pegar estudiantes'!$A$1:$BZ$1001,617,J$2)&amp;""),""))</f>
        <v/>
      </c>
      <c r="K618">
        <f>IF(K$2=0,"",IFERROR(TRIM(INDEX('Pegar estudiantes'!$A$1:$BZ$1001,617,K$2)&amp;""),""))</f>
        <v/>
      </c>
      <c r="L618" s="25">
        <f>IF(A618&lt;&gt;"",1,"")</f>
        <v/>
      </c>
      <c r="M618" s="25">
        <f>IF(L618=1,IF(ISNUMBER(FIND("#"&amp;MID(A618,1,1)&amp;"#","#0#1#2#3#4#5#6#7#8#9#")),IF(ISNUMBER(FIND("#"&amp;MID(A618,2,1)&amp;"#","#0#1#2#3#4#5#6#7#8#9#")),IF(AND(VALUE(LEFT(A618,2))&gt;=1,VALUE(LEFT(A618,2))&lt;=5),VALUE(LEFT(A618,2)),""),IF(AND(VALUE(LEFT(A618,1))&gt;=1,VALUE(LEFT(A618,1))&lt;=5),VALUE(LEFT(A618,1)),"")),""),"")</f>
        <v/>
      </c>
      <c r="N618" s="25">
        <f>IF(L618=1,IF(ISNUMBER(FIND("#"&amp;MID(H618,1,1)&amp;"#","#0#1#2#3#4#5#6#7#8#9#")),IF(ISNUMBER(FIND("#"&amp;MID(H618,2,1)&amp;"#","#0#1#2#3#4#5#6#7#8#9#")),IF(AND(VALUE(LEFT(H618,2))&gt;=1,VALUE(LEFT(H618,2))&lt;=5),VALUE(LEFT(H618,2)),""),IF(AND(VALUE(LEFT(H618,1))&gt;=1,VALUE(LEFT(H618,1))&lt;=5),VALUE(LEFT(H618,1)),"")),""),"")</f>
        <v/>
      </c>
      <c r="O618" s="25">
        <f>IF(AND(L618=1,B618&lt;&gt;""),SUBSTITUTE(SUBSTITUTE(SUBSTITUTE(SUBSTITUTE(SUBSTITUTE(SUBSTITUTE(SUBSTITUTE(SUBSTITUTE(SUBSTITUTE(SUBSTITUTE(SUBSTITUTE(SUBSTITUTE(LOWER(TRIM(B618)),"á","a"),"é","e"),"í","i"),"ó","o"),"ú","u"),"ü","u"),"ñ","n"),"à","a"),"è","e"),"ì","i"),"ò","o"),"ù","u"),"")</f>
        <v/>
      </c>
      <c r="P618" s="25">
        <f>IF(AND(L618=1,C618&lt;&gt;""),SUBSTITUTE(SUBSTITUTE(SUBSTITUTE(SUBSTITUTE(SUBSTITUTE(SUBSTITUTE(SUBSTITUTE(SUBSTITUTE(SUBSTITUTE(SUBSTITUTE(SUBSTITUTE(SUBSTITUTE(LOWER(TRIM(C618)),"á","a"),"é","e"),"í","i"),"ó","o"),"ú","u"),"ü","u"),"ñ","n"),"à","a"),"è","e"),"ì","i"),"ò","o"),"ù","u"),"")</f>
        <v/>
      </c>
      <c r="Q618" s="25">
        <f>IF(AND(L618=1,E618&lt;&gt;""),SUBSTITUTE(SUBSTITUTE(SUBSTITUTE(SUBSTITUTE(SUBSTITUTE(SUBSTITUTE(SUBSTITUTE(SUBSTITUTE(SUBSTITUTE(SUBSTITUTE(SUBSTITUTE(SUBSTITUTE(LOWER(TRIM(E618)),"á","a"),"é","e"),"í","i"),"ó","o"),"ú","u"),"ü","u"),"ñ","n"),"à","a"),"è","e"),"ì","i"),"ò","o"),"ù","u"),"")</f>
        <v/>
      </c>
      <c r="R618" s="25">
        <f>IF(AND(L618=1,I618&lt;&gt;""),SUBSTITUTE(SUBSTITUTE(SUBSTITUTE(SUBSTITUTE(SUBSTITUTE(SUBSTITUTE(SUBSTITUTE(SUBSTITUTE(SUBSTITUTE(SUBSTITUTE(SUBSTITUTE(SUBSTITUTE(LOWER(TRIM(I618)),"á","a"),"é","e"),"í","i"),"ó","o"),"ú","u"),"ü","u"),"ñ","n"),"à","a"),"è","e"),"ì","i"),"ò","o"),"ù","u"),"")</f>
        <v/>
      </c>
      <c r="S618" s="25">
        <f>IF(R618="","",IF(OR(R618="si",R618="tal vez"),1,0))</f>
        <v/>
      </c>
      <c r="T618" s="25">
        <f>IF(AND(L618=1,D618&lt;&gt;""),IF(IFERROR(COUNTIFS(D$3:D618,"="&amp;SUBSTITUTE(SUBSTITUTE(SUBSTITUTE(D618,"~","~~"),"*","~*"),"?","~?"),L$3:L618,1),0)=1,MAX(T$2:T617)+1,""),"")</f>
        <v/>
      </c>
      <c r="U618" s="25">
        <f>IF(T618="","",COUNTIFS($D$3:$D$1002,"="&amp;SUBSTITUTE(SUBSTITUTE(SUBSTITUTE(D618,"~","~~"),"*","~*"),"?","~?"),$L$3:$L$1002,1)*10000-T618)</f>
        <v/>
      </c>
      <c r="V618" s="25">
        <f>IF(AND(L618=1,J618&lt;&gt;""),IF(IFERROR(COUNTIFS(J$3:J618,"="&amp;SUBSTITUTE(SUBSTITUTE(SUBSTITUTE(J618,"~","~~"),"*","~*"),"?","~?"),L$3:L618,1),0)=1,MAX(V$2:V617)+1,""),"")</f>
        <v/>
      </c>
      <c r="W618" s="25">
        <f>IF(V618="","",COUNTIFS($J$3:$J$1002,"="&amp;SUBSTITUTE(SUBSTITUTE(SUBSTITUTE(J618,"~","~~"),"*","~*"),"?","~?"),$L$3:$L$1002,1)*10000-V618)</f>
        <v/>
      </c>
    </row>
    <row r="619">
      <c r="A619">
        <f>IF(A$2=0,"",IFERROR(TRIM(INDEX('Pegar estudiantes'!$A$1:$BZ$1001,618,A$2)&amp;""),""))</f>
        <v/>
      </c>
      <c r="B619">
        <f>IF(B$2=0,"",IFERROR(TRIM(INDEX('Pegar estudiantes'!$A$1:$BZ$1001,618,B$2)&amp;""),""))</f>
        <v/>
      </c>
      <c r="C619">
        <f>IF(C$2=0,"",IFERROR(TRIM(INDEX('Pegar estudiantes'!$A$1:$BZ$1001,618,C$2)&amp;""),""))</f>
        <v/>
      </c>
      <c r="D619">
        <f>IF(D$2=0,"",IFERROR(TRIM(INDEX('Pegar estudiantes'!$A$1:$BZ$1001,618,D$2)&amp;""),""))</f>
        <v/>
      </c>
      <c r="E619">
        <f>IF(E$2=0,"",IFERROR(TRIM(INDEX('Pegar estudiantes'!$A$1:$BZ$1001,618,E$2)&amp;""),""))</f>
        <v/>
      </c>
      <c r="F619">
        <f>IF(F$2=0,"",IFERROR(TRIM(INDEX('Pegar estudiantes'!$A$1:$BZ$1001,618,F$2)&amp;""),""))</f>
        <v/>
      </c>
      <c r="G619">
        <f>IF(G$2=0,"",IFERROR(TRIM(INDEX('Pegar estudiantes'!$A$1:$BZ$1001,618,G$2)&amp;""),""))</f>
        <v/>
      </c>
      <c r="H619">
        <f>IF(H$2=0,"",IFERROR(TRIM(INDEX('Pegar estudiantes'!$A$1:$BZ$1001,618,H$2)&amp;""),""))</f>
        <v/>
      </c>
      <c r="I619">
        <f>IF(I$2=0,"",IFERROR(TRIM(INDEX('Pegar estudiantes'!$A$1:$BZ$1001,618,I$2)&amp;""),""))</f>
        <v/>
      </c>
      <c r="J619">
        <f>IF(J$2=0,"",IFERROR(TRIM(INDEX('Pegar estudiantes'!$A$1:$BZ$1001,618,J$2)&amp;""),""))</f>
        <v/>
      </c>
      <c r="K619">
        <f>IF(K$2=0,"",IFERROR(TRIM(INDEX('Pegar estudiantes'!$A$1:$BZ$1001,618,K$2)&amp;""),""))</f>
        <v/>
      </c>
      <c r="L619" s="25">
        <f>IF(A619&lt;&gt;"",1,"")</f>
        <v/>
      </c>
      <c r="M619" s="25">
        <f>IF(L619=1,IF(ISNUMBER(FIND("#"&amp;MID(A619,1,1)&amp;"#","#0#1#2#3#4#5#6#7#8#9#")),IF(ISNUMBER(FIND("#"&amp;MID(A619,2,1)&amp;"#","#0#1#2#3#4#5#6#7#8#9#")),IF(AND(VALUE(LEFT(A619,2))&gt;=1,VALUE(LEFT(A619,2))&lt;=5),VALUE(LEFT(A619,2)),""),IF(AND(VALUE(LEFT(A619,1))&gt;=1,VALUE(LEFT(A619,1))&lt;=5),VALUE(LEFT(A619,1)),"")),""),"")</f>
        <v/>
      </c>
      <c r="N619" s="25">
        <f>IF(L619=1,IF(ISNUMBER(FIND("#"&amp;MID(H619,1,1)&amp;"#","#0#1#2#3#4#5#6#7#8#9#")),IF(ISNUMBER(FIND("#"&amp;MID(H619,2,1)&amp;"#","#0#1#2#3#4#5#6#7#8#9#")),IF(AND(VALUE(LEFT(H619,2))&gt;=1,VALUE(LEFT(H619,2))&lt;=5),VALUE(LEFT(H619,2)),""),IF(AND(VALUE(LEFT(H619,1))&gt;=1,VALUE(LEFT(H619,1))&lt;=5),VALUE(LEFT(H619,1)),"")),""),"")</f>
        <v/>
      </c>
      <c r="O619" s="25">
        <f>IF(AND(L619=1,B619&lt;&gt;""),SUBSTITUTE(SUBSTITUTE(SUBSTITUTE(SUBSTITUTE(SUBSTITUTE(SUBSTITUTE(SUBSTITUTE(SUBSTITUTE(SUBSTITUTE(SUBSTITUTE(SUBSTITUTE(SUBSTITUTE(LOWER(TRIM(B619)),"á","a"),"é","e"),"í","i"),"ó","o"),"ú","u"),"ü","u"),"ñ","n"),"à","a"),"è","e"),"ì","i"),"ò","o"),"ù","u"),"")</f>
        <v/>
      </c>
      <c r="P619" s="25">
        <f>IF(AND(L619=1,C619&lt;&gt;""),SUBSTITUTE(SUBSTITUTE(SUBSTITUTE(SUBSTITUTE(SUBSTITUTE(SUBSTITUTE(SUBSTITUTE(SUBSTITUTE(SUBSTITUTE(SUBSTITUTE(SUBSTITUTE(SUBSTITUTE(LOWER(TRIM(C619)),"á","a"),"é","e"),"í","i"),"ó","o"),"ú","u"),"ü","u"),"ñ","n"),"à","a"),"è","e"),"ì","i"),"ò","o"),"ù","u"),"")</f>
        <v/>
      </c>
      <c r="Q619" s="25">
        <f>IF(AND(L619=1,E619&lt;&gt;""),SUBSTITUTE(SUBSTITUTE(SUBSTITUTE(SUBSTITUTE(SUBSTITUTE(SUBSTITUTE(SUBSTITUTE(SUBSTITUTE(SUBSTITUTE(SUBSTITUTE(SUBSTITUTE(SUBSTITUTE(LOWER(TRIM(E619)),"á","a"),"é","e"),"í","i"),"ó","o"),"ú","u"),"ü","u"),"ñ","n"),"à","a"),"è","e"),"ì","i"),"ò","o"),"ù","u"),"")</f>
        <v/>
      </c>
      <c r="R619" s="25">
        <f>IF(AND(L619=1,I619&lt;&gt;""),SUBSTITUTE(SUBSTITUTE(SUBSTITUTE(SUBSTITUTE(SUBSTITUTE(SUBSTITUTE(SUBSTITUTE(SUBSTITUTE(SUBSTITUTE(SUBSTITUTE(SUBSTITUTE(SUBSTITUTE(LOWER(TRIM(I619)),"á","a"),"é","e"),"í","i"),"ó","o"),"ú","u"),"ü","u"),"ñ","n"),"à","a"),"è","e"),"ì","i"),"ò","o"),"ù","u"),"")</f>
        <v/>
      </c>
      <c r="S619" s="25">
        <f>IF(R619="","",IF(OR(R619="si",R619="tal vez"),1,0))</f>
        <v/>
      </c>
      <c r="T619" s="25">
        <f>IF(AND(L619=1,D619&lt;&gt;""),IF(IFERROR(COUNTIFS(D$3:D619,"="&amp;SUBSTITUTE(SUBSTITUTE(SUBSTITUTE(D619,"~","~~"),"*","~*"),"?","~?"),L$3:L619,1),0)=1,MAX(T$2:T618)+1,""),"")</f>
        <v/>
      </c>
      <c r="U619" s="25">
        <f>IF(T619="","",COUNTIFS($D$3:$D$1002,"="&amp;SUBSTITUTE(SUBSTITUTE(SUBSTITUTE(D619,"~","~~"),"*","~*"),"?","~?"),$L$3:$L$1002,1)*10000-T619)</f>
        <v/>
      </c>
      <c r="V619" s="25">
        <f>IF(AND(L619=1,J619&lt;&gt;""),IF(IFERROR(COUNTIFS(J$3:J619,"="&amp;SUBSTITUTE(SUBSTITUTE(SUBSTITUTE(J619,"~","~~"),"*","~*"),"?","~?"),L$3:L619,1),0)=1,MAX(V$2:V618)+1,""),"")</f>
        <v/>
      </c>
      <c r="W619" s="25">
        <f>IF(V619="","",COUNTIFS($J$3:$J$1002,"="&amp;SUBSTITUTE(SUBSTITUTE(SUBSTITUTE(J619,"~","~~"),"*","~*"),"?","~?"),$L$3:$L$1002,1)*10000-V619)</f>
        <v/>
      </c>
    </row>
    <row r="620">
      <c r="A620">
        <f>IF(A$2=0,"",IFERROR(TRIM(INDEX('Pegar estudiantes'!$A$1:$BZ$1001,619,A$2)&amp;""),""))</f>
        <v/>
      </c>
      <c r="B620">
        <f>IF(B$2=0,"",IFERROR(TRIM(INDEX('Pegar estudiantes'!$A$1:$BZ$1001,619,B$2)&amp;""),""))</f>
        <v/>
      </c>
      <c r="C620">
        <f>IF(C$2=0,"",IFERROR(TRIM(INDEX('Pegar estudiantes'!$A$1:$BZ$1001,619,C$2)&amp;""),""))</f>
        <v/>
      </c>
      <c r="D620">
        <f>IF(D$2=0,"",IFERROR(TRIM(INDEX('Pegar estudiantes'!$A$1:$BZ$1001,619,D$2)&amp;""),""))</f>
        <v/>
      </c>
      <c r="E620">
        <f>IF(E$2=0,"",IFERROR(TRIM(INDEX('Pegar estudiantes'!$A$1:$BZ$1001,619,E$2)&amp;""),""))</f>
        <v/>
      </c>
      <c r="F620">
        <f>IF(F$2=0,"",IFERROR(TRIM(INDEX('Pegar estudiantes'!$A$1:$BZ$1001,619,F$2)&amp;""),""))</f>
        <v/>
      </c>
      <c r="G620">
        <f>IF(G$2=0,"",IFERROR(TRIM(INDEX('Pegar estudiantes'!$A$1:$BZ$1001,619,G$2)&amp;""),""))</f>
        <v/>
      </c>
      <c r="H620">
        <f>IF(H$2=0,"",IFERROR(TRIM(INDEX('Pegar estudiantes'!$A$1:$BZ$1001,619,H$2)&amp;""),""))</f>
        <v/>
      </c>
      <c r="I620">
        <f>IF(I$2=0,"",IFERROR(TRIM(INDEX('Pegar estudiantes'!$A$1:$BZ$1001,619,I$2)&amp;""),""))</f>
        <v/>
      </c>
      <c r="J620">
        <f>IF(J$2=0,"",IFERROR(TRIM(INDEX('Pegar estudiantes'!$A$1:$BZ$1001,619,J$2)&amp;""),""))</f>
        <v/>
      </c>
      <c r="K620">
        <f>IF(K$2=0,"",IFERROR(TRIM(INDEX('Pegar estudiantes'!$A$1:$BZ$1001,619,K$2)&amp;""),""))</f>
        <v/>
      </c>
      <c r="L620" s="25">
        <f>IF(A620&lt;&gt;"",1,"")</f>
        <v/>
      </c>
      <c r="M620" s="25">
        <f>IF(L620=1,IF(ISNUMBER(FIND("#"&amp;MID(A620,1,1)&amp;"#","#0#1#2#3#4#5#6#7#8#9#")),IF(ISNUMBER(FIND("#"&amp;MID(A620,2,1)&amp;"#","#0#1#2#3#4#5#6#7#8#9#")),IF(AND(VALUE(LEFT(A620,2))&gt;=1,VALUE(LEFT(A620,2))&lt;=5),VALUE(LEFT(A620,2)),""),IF(AND(VALUE(LEFT(A620,1))&gt;=1,VALUE(LEFT(A620,1))&lt;=5),VALUE(LEFT(A620,1)),"")),""),"")</f>
        <v/>
      </c>
      <c r="N620" s="25">
        <f>IF(L620=1,IF(ISNUMBER(FIND("#"&amp;MID(H620,1,1)&amp;"#","#0#1#2#3#4#5#6#7#8#9#")),IF(ISNUMBER(FIND("#"&amp;MID(H620,2,1)&amp;"#","#0#1#2#3#4#5#6#7#8#9#")),IF(AND(VALUE(LEFT(H620,2))&gt;=1,VALUE(LEFT(H620,2))&lt;=5),VALUE(LEFT(H620,2)),""),IF(AND(VALUE(LEFT(H620,1))&gt;=1,VALUE(LEFT(H620,1))&lt;=5),VALUE(LEFT(H620,1)),"")),""),"")</f>
        <v/>
      </c>
      <c r="O620" s="25">
        <f>IF(AND(L620=1,B620&lt;&gt;""),SUBSTITUTE(SUBSTITUTE(SUBSTITUTE(SUBSTITUTE(SUBSTITUTE(SUBSTITUTE(SUBSTITUTE(SUBSTITUTE(SUBSTITUTE(SUBSTITUTE(SUBSTITUTE(SUBSTITUTE(LOWER(TRIM(B620)),"á","a"),"é","e"),"í","i"),"ó","o"),"ú","u"),"ü","u"),"ñ","n"),"à","a"),"è","e"),"ì","i"),"ò","o"),"ù","u"),"")</f>
        <v/>
      </c>
      <c r="P620" s="25">
        <f>IF(AND(L620=1,C620&lt;&gt;""),SUBSTITUTE(SUBSTITUTE(SUBSTITUTE(SUBSTITUTE(SUBSTITUTE(SUBSTITUTE(SUBSTITUTE(SUBSTITUTE(SUBSTITUTE(SUBSTITUTE(SUBSTITUTE(SUBSTITUTE(LOWER(TRIM(C620)),"á","a"),"é","e"),"í","i"),"ó","o"),"ú","u"),"ü","u"),"ñ","n"),"à","a"),"è","e"),"ì","i"),"ò","o"),"ù","u"),"")</f>
        <v/>
      </c>
      <c r="Q620" s="25">
        <f>IF(AND(L620=1,E620&lt;&gt;""),SUBSTITUTE(SUBSTITUTE(SUBSTITUTE(SUBSTITUTE(SUBSTITUTE(SUBSTITUTE(SUBSTITUTE(SUBSTITUTE(SUBSTITUTE(SUBSTITUTE(SUBSTITUTE(SUBSTITUTE(LOWER(TRIM(E620)),"á","a"),"é","e"),"í","i"),"ó","o"),"ú","u"),"ü","u"),"ñ","n"),"à","a"),"è","e"),"ì","i"),"ò","o"),"ù","u"),"")</f>
        <v/>
      </c>
      <c r="R620" s="25">
        <f>IF(AND(L620=1,I620&lt;&gt;""),SUBSTITUTE(SUBSTITUTE(SUBSTITUTE(SUBSTITUTE(SUBSTITUTE(SUBSTITUTE(SUBSTITUTE(SUBSTITUTE(SUBSTITUTE(SUBSTITUTE(SUBSTITUTE(SUBSTITUTE(LOWER(TRIM(I620)),"á","a"),"é","e"),"í","i"),"ó","o"),"ú","u"),"ü","u"),"ñ","n"),"à","a"),"è","e"),"ì","i"),"ò","o"),"ù","u"),"")</f>
        <v/>
      </c>
      <c r="S620" s="25">
        <f>IF(R620="","",IF(OR(R620="si",R620="tal vez"),1,0))</f>
        <v/>
      </c>
      <c r="T620" s="25">
        <f>IF(AND(L620=1,D620&lt;&gt;""),IF(IFERROR(COUNTIFS(D$3:D620,"="&amp;SUBSTITUTE(SUBSTITUTE(SUBSTITUTE(D620,"~","~~"),"*","~*"),"?","~?"),L$3:L620,1),0)=1,MAX(T$2:T619)+1,""),"")</f>
        <v/>
      </c>
      <c r="U620" s="25">
        <f>IF(T620="","",COUNTIFS($D$3:$D$1002,"="&amp;SUBSTITUTE(SUBSTITUTE(SUBSTITUTE(D620,"~","~~"),"*","~*"),"?","~?"),$L$3:$L$1002,1)*10000-T620)</f>
        <v/>
      </c>
      <c r="V620" s="25">
        <f>IF(AND(L620=1,J620&lt;&gt;""),IF(IFERROR(COUNTIFS(J$3:J620,"="&amp;SUBSTITUTE(SUBSTITUTE(SUBSTITUTE(J620,"~","~~"),"*","~*"),"?","~?"),L$3:L620,1),0)=1,MAX(V$2:V619)+1,""),"")</f>
        <v/>
      </c>
      <c r="W620" s="25">
        <f>IF(V620="","",COUNTIFS($J$3:$J$1002,"="&amp;SUBSTITUTE(SUBSTITUTE(SUBSTITUTE(J620,"~","~~"),"*","~*"),"?","~?"),$L$3:$L$1002,1)*10000-V620)</f>
        <v/>
      </c>
    </row>
    <row r="621">
      <c r="A621">
        <f>IF(A$2=0,"",IFERROR(TRIM(INDEX('Pegar estudiantes'!$A$1:$BZ$1001,620,A$2)&amp;""),""))</f>
        <v/>
      </c>
      <c r="B621">
        <f>IF(B$2=0,"",IFERROR(TRIM(INDEX('Pegar estudiantes'!$A$1:$BZ$1001,620,B$2)&amp;""),""))</f>
        <v/>
      </c>
      <c r="C621">
        <f>IF(C$2=0,"",IFERROR(TRIM(INDEX('Pegar estudiantes'!$A$1:$BZ$1001,620,C$2)&amp;""),""))</f>
        <v/>
      </c>
      <c r="D621">
        <f>IF(D$2=0,"",IFERROR(TRIM(INDEX('Pegar estudiantes'!$A$1:$BZ$1001,620,D$2)&amp;""),""))</f>
        <v/>
      </c>
      <c r="E621">
        <f>IF(E$2=0,"",IFERROR(TRIM(INDEX('Pegar estudiantes'!$A$1:$BZ$1001,620,E$2)&amp;""),""))</f>
        <v/>
      </c>
      <c r="F621">
        <f>IF(F$2=0,"",IFERROR(TRIM(INDEX('Pegar estudiantes'!$A$1:$BZ$1001,620,F$2)&amp;""),""))</f>
        <v/>
      </c>
      <c r="G621">
        <f>IF(G$2=0,"",IFERROR(TRIM(INDEX('Pegar estudiantes'!$A$1:$BZ$1001,620,G$2)&amp;""),""))</f>
        <v/>
      </c>
      <c r="H621">
        <f>IF(H$2=0,"",IFERROR(TRIM(INDEX('Pegar estudiantes'!$A$1:$BZ$1001,620,H$2)&amp;""),""))</f>
        <v/>
      </c>
      <c r="I621">
        <f>IF(I$2=0,"",IFERROR(TRIM(INDEX('Pegar estudiantes'!$A$1:$BZ$1001,620,I$2)&amp;""),""))</f>
        <v/>
      </c>
      <c r="J621">
        <f>IF(J$2=0,"",IFERROR(TRIM(INDEX('Pegar estudiantes'!$A$1:$BZ$1001,620,J$2)&amp;""),""))</f>
        <v/>
      </c>
      <c r="K621">
        <f>IF(K$2=0,"",IFERROR(TRIM(INDEX('Pegar estudiantes'!$A$1:$BZ$1001,620,K$2)&amp;""),""))</f>
        <v/>
      </c>
      <c r="L621" s="25">
        <f>IF(A621&lt;&gt;"",1,"")</f>
        <v/>
      </c>
      <c r="M621" s="25">
        <f>IF(L621=1,IF(ISNUMBER(FIND("#"&amp;MID(A621,1,1)&amp;"#","#0#1#2#3#4#5#6#7#8#9#")),IF(ISNUMBER(FIND("#"&amp;MID(A621,2,1)&amp;"#","#0#1#2#3#4#5#6#7#8#9#")),IF(AND(VALUE(LEFT(A621,2))&gt;=1,VALUE(LEFT(A621,2))&lt;=5),VALUE(LEFT(A621,2)),""),IF(AND(VALUE(LEFT(A621,1))&gt;=1,VALUE(LEFT(A621,1))&lt;=5),VALUE(LEFT(A621,1)),"")),""),"")</f>
        <v/>
      </c>
      <c r="N621" s="25">
        <f>IF(L621=1,IF(ISNUMBER(FIND("#"&amp;MID(H621,1,1)&amp;"#","#0#1#2#3#4#5#6#7#8#9#")),IF(ISNUMBER(FIND("#"&amp;MID(H621,2,1)&amp;"#","#0#1#2#3#4#5#6#7#8#9#")),IF(AND(VALUE(LEFT(H621,2))&gt;=1,VALUE(LEFT(H621,2))&lt;=5),VALUE(LEFT(H621,2)),""),IF(AND(VALUE(LEFT(H621,1))&gt;=1,VALUE(LEFT(H621,1))&lt;=5),VALUE(LEFT(H621,1)),"")),""),"")</f>
        <v/>
      </c>
      <c r="O621" s="25">
        <f>IF(AND(L621=1,B621&lt;&gt;""),SUBSTITUTE(SUBSTITUTE(SUBSTITUTE(SUBSTITUTE(SUBSTITUTE(SUBSTITUTE(SUBSTITUTE(SUBSTITUTE(SUBSTITUTE(SUBSTITUTE(SUBSTITUTE(SUBSTITUTE(LOWER(TRIM(B621)),"á","a"),"é","e"),"í","i"),"ó","o"),"ú","u"),"ü","u"),"ñ","n"),"à","a"),"è","e"),"ì","i"),"ò","o"),"ù","u"),"")</f>
        <v/>
      </c>
      <c r="P621" s="25">
        <f>IF(AND(L621=1,C621&lt;&gt;""),SUBSTITUTE(SUBSTITUTE(SUBSTITUTE(SUBSTITUTE(SUBSTITUTE(SUBSTITUTE(SUBSTITUTE(SUBSTITUTE(SUBSTITUTE(SUBSTITUTE(SUBSTITUTE(SUBSTITUTE(LOWER(TRIM(C621)),"á","a"),"é","e"),"í","i"),"ó","o"),"ú","u"),"ü","u"),"ñ","n"),"à","a"),"è","e"),"ì","i"),"ò","o"),"ù","u"),"")</f>
        <v/>
      </c>
      <c r="Q621" s="25">
        <f>IF(AND(L621=1,E621&lt;&gt;""),SUBSTITUTE(SUBSTITUTE(SUBSTITUTE(SUBSTITUTE(SUBSTITUTE(SUBSTITUTE(SUBSTITUTE(SUBSTITUTE(SUBSTITUTE(SUBSTITUTE(SUBSTITUTE(SUBSTITUTE(LOWER(TRIM(E621)),"á","a"),"é","e"),"í","i"),"ó","o"),"ú","u"),"ü","u"),"ñ","n"),"à","a"),"è","e"),"ì","i"),"ò","o"),"ù","u"),"")</f>
        <v/>
      </c>
      <c r="R621" s="25">
        <f>IF(AND(L621=1,I621&lt;&gt;""),SUBSTITUTE(SUBSTITUTE(SUBSTITUTE(SUBSTITUTE(SUBSTITUTE(SUBSTITUTE(SUBSTITUTE(SUBSTITUTE(SUBSTITUTE(SUBSTITUTE(SUBSTITUTE(SUBSTITUTE(LOWER(TRIM(I621)),"á","a"),"é","e"),"í","i"),"ó","o"),"ú","u"),"ü","u"),"ñ","n"),"à","a"),"è","e"),"ì","i"),"ò","o"),"ù","u"),"")</f>
        <v/>
      </c>
      <c r="S621" s="25">
        <f>IF(R621="","",IF(OR(R621="si",R621="tal vez"),1,0))</f>
        <v/>
      </c>
      <c r="T621" s="25">
        <f>IF(AND(L621=1,D621&lt;&gt;""),IF(IFERROR(COUNTIFS(D$3:D621,"="&amp;SUBSTITUTE(SUBSTITUTE(SUBSTITUTE(D621,"~","~~"),"*","~*"),"?","~?"),L$3:L621,1),0)=1,MAX(T$2:T620)+1,""),"")</f>
        <v/>
      </c>
      <c r="U621" s="25">
        <f>IF(T621="","",COUNTIFS($D$3:$D$1002,"="&amp;SUBSTITUTE(SUBSTITUTE(SUBSTITUTE(D621,"~","~~"),"*","~*"),"?","~?"),$L$3:$L$1002,1)*10000-T621)</f>
        <v/>
      </c>
      <c r="V621" s="25">
        <f>IF(AND(L621=1,J621&lt;&gt;""),IF(IFERROR(COUNTIFS(J$3:J621,"="&amp;SUBSTITUTE(SUBSTITUTE(SUBSTITUTE(J621,"~","~~"),"*","~*"),"?","~?"),L$3:L621,1),0)=1,MAX(V$2:V620)+1,""),"")</f>
        <v/>
      </c>
      <c r="W621" s="25">
        <f>IF(V621="","",COUNTIFS($J$3:$J$1002,"="&amp;SUBSTITUTE(SUBSTITUTE(SUBSTITUTE(J621,"~","~~"),"*","~*"),"?","~?"),$L$3:$L$1002,1)*10000-V621)</f>
        <v/>
      </c>
    </row>
    <row r="622">
      <c r="A622">
        <f>IF(A$2=0,"",IFERROR(TRIM(INDEX('Pegar estudiantes'!$A$1:$BZ$1001,621,A$2)&amp;""),""))</f>
        <v/>
      </c>
      <c r="B622">
        <f>IF(B$2=0,"",IFERROR(TRIM(INDEX('Pegar estudiantes'!$A$1:$BZ$1001,621,B$2)&amp;""),""))</f>
        <v/>
      </c>
      <c r="C622">
        <f>IF(C$2=0,"",IFERROR(TRIM(INDEX('Pegar estudiantes'!$A$1:$BZ$1001,621,C$2)&amp;""),""))</f>
        <v/>
      </c>
      <c r="D622">
        <f>IF(D$2=0,"",IFERROR(TRIM(INDEX('Pegar estudiantes'!$A$1:$BZ$1001,621,D$2)&amp;""),""))</f>
        <v/>
      </c>
      <c r="E622">
        <f>IF(E$2=0,"",IFERROR(TRIM(INDEX('Pegar estudiantes'!$A$1:$BZ$1001,621,E$2)&amp;""),""))</f>
        <v/>
      </c>
      <c r="F622">
        <f>IF(F$2=0,"",IFERROR(TRIM(INDEX('Pegar estudiantes'!$A$1:$BZ$1001,621,F$2)&amp;""),""))</f>
        <v/>
      </c>
      <c r="G622">
        <f>IF(G$2=0,"",IFERROR(TRIM(INDEX('Pegar estudiantes'!$A$1:$BZ$1001,621,G$2)&amp;""),""))</f>
        <v/>
      </c>
      <c r="H622">
        <f>IF(H$2=0,"",IFERROR(TRIM(INDEX('Pegar estudiantes'!$A$1:$BZ$1001,621,H$2)&amp;""),""))</f>
        <v/>
      </c>
      <c r="I622">
        <f>IF(I$2=0,"",IFERROR(TRIM(INDEX('Pegar estudiantes'!$A$1:$BZ$1001,621,I$2)&amp;""),""))</f>
        <v/>
      </c>
      <c r="J622">
        <f>IF(J$2=0,"",IFERROR(TRIM(INDEX('Pegar estudiantes'!$A$1:$BZ$1001,621,J$2)&amp;""),""))</f>
        <v/>
      </c>
      <c r="K622">
        <f>IF(K$2=0,"",IFERROR(TRIM(INDEX('Pegar estudiantes'!$A$1:$BZ$1001,621,K$2)&amp;""),""))</f>
        <v/>
      </c>
      <c r="L622" s="25">
        <f>IF(A622&lt;&gt;"",1,"")</f>
        <v/>
      </c>
      <c r="M622" s="25">
        <f>IF(L622=1,IF(ISNUMBER(FIND("#"&amp;MID(A622,1,1)&amp;"#","#0#1#2#3#4#5#6#7#8#9#")),IF(ISNUMBER(FIND("#"&amp;MID(A622,2,1)&amp;"#","#0#1#2#3#4#5#6#7#8#9#")),IF(AND(VALUE(LEFT(A622,2))&gt;=1,VALUE(LEFT(A622,2))&lt;=5),VALUE(LEFT(A622,2)),""),IF(AND(VALUE(LEFT(A622,1))&gt;=1,VALUE(LEFT(A622,1))&lt;=5),VALUE(LEFT(A622,1)),"")),""),"")</f>
        <v/>
      </c>
      <c r="N622" s="25">
        <f>IF(L622=1,IF(ISNUMBER(FIND("#"&amp;MID(H622,1,1)&amp;"#","#0#1#2#3#4#5#6#7#8#9#")),IF(ISNUMBER(FIND("#"&amp;MID(H622,2,1)&amp;"#","#0#1#2#3#4#5#6#7#8#9#")),IF(AND(VALUE(LEFT(H622,2))&gt;=1,VALUE(LEFT(H622,2))&lt;=5),VALUE(LEFT(H622,2)),""),IF(AND(VALUE(LEFT(H622,1))&gt;=1,VALUE(LEFT(H622,1))&lt;=5),VALUE(LEFT(H622,1)),"")),""),"")</f>
        <v/>
      </c>
      <c r="O622" s="25">
        <f>IF(AND(L622=1,B622&lt;&gt;""),SUBSTITUTE(SUBSTITUTE(SUBSTITUTE(SUBSTITUTE(SUBSTITUTE(SUBSTITUTE(SUBSTITUTE(SUBSTITUTE(SUBSTITUTE(SUBSTITUTE(SUBSTITUTE(SUBSTITUTE(LOWER(TRIM(B622)),"á","a"),"é","e"),"í","i"),"ó","o"),"ú","u"),"ü","u"),"ñ","n"),"à","a"),"è","e"),"ì","i"),"ò","o"),"ù","u"),"")</f>
        <v/>
      </c>
      <c r="P622" s="25">
        <f>IF(AND(L622=1,C622&lt;&gt;""),SUBSTITUTE(SUBSTITUTE(SUBSTITUTE(SUBSTITUTE(SUBSTITUTE(SUBSTITUTE(SUBSTITUTE(SUBSTITUTE(SUBSTITUTE(SUBSTITUTE(SUBSTITUTE(SUBSTITUTE(LOWER(TRIM(C622)),"á","a"),"é","e"),"í","i"),"ó","o"),"ú","u"),"ü","u"),"ñ","n"),"à","a"),"è","e"),"ì","i"),"ò","o"),"ù","u"),"")</f>
        <v/>
      </c>
      <c r="Q622" s="25">
        <f>IF(AND(L622=1,E622&lt;&gt;""),SUBSTITUTE(SUBSTITUTE(SUBSTITUTE(SUBSTITUTE(SUBSTITUTE(SUBSTITUTE(SUBSTITUTE(SUBSTITUTE(SUBSTITUTE(SUBSTITUTE(SUBSTITUTE(SUBSTITUTE(LOWER(TRIM(E622)),"á","a"),"é","e"),"í","i"),"ó","o"),"ú","u"),"ü","u"),"ñ","n"),"à","a"),"è","e"),"ì","i"),"ò","o"),"ù","u"),"")</f>
        <v/>
      </c>
      <c r="R622" s="25">
        <f>IF(AND(L622=1,I622&lt;&gt;""),SUBSTITUTE(SUBSTITUTE(SUBSTITUTE(SUBSTITUTE(SUBSTITUTE(SUBSTITUTE(SUBSTITUTE(SUBSTITUTE(SUBSTITUTE(SUBSTITUTE(SUBSTITUTE(SUBSTITUTE(LOWER(TRIM(I622)),"á","a"),"é","e"),"í","i"),"ó","o"),"ú","u"),"ü","u"),"ñ","n"),"à","a"),"è","e"),"ì","i"),"ò","o"),"ù","u"),"")</f>
        <v/>
      </c>
      <c r="S622" s="25">
        <f>IF(R622="","",IF(OR(R622="si",R622="tal vez"),1,0))</f>
        <v/>
      </c>
      <c r="T622" s="25">
        <f>IF(AND(L622=1,D622&lt;&gt;""),IF(IFERROR(COUNTIFS(D$3:D622,"="&amp;SUBSTITUTE(SUBSTITUTE(SUBSTITUTE(D622,"~","~~"),"*","~*"),"?","~?"),L$3:L622,1),0)=1,MAX(T$2:T621)+1,""),"")</f>
        <v/>
      </c>
      <c r="U622" s="25">
        <f>IF(T622="","",COUNTIFS($D$3:$D$1002,"="&amp;SUBSTITUTE(SUBSTITUTE(SUBSTITUTE(D622,"~","~~"),"*","~*"),"?","~?"),$L$3:$L$1002,1)*10000-T622)</f>
        <v/>
      </c>
      <c r="V622" s="25">
        <f>IF(AND(L622=1,J622&lt;&gt;""),IF(IFERROR(COUNTIFS(J$3:J622,"="&amp;SUBSTITUTE(SUBSTITUTE(SUBSTITUTE(J622,"~","~~"),"*","~*"),"?","~?"),L$3:L622,1),0)=1,MAX(V$2:V621)+1,""),"")</f>
        <v/>
      </c>
      <c r="W622" s="25">
        <f>IF(V622="","",COUNTIFS($J$3:$J$1002,"="&amp;SUBSTITUTE(SUBSTITUTE(SUBSTITUTE(J622,"~","~~"),"*","~*"),"?","~?"),$L$3:$L$1002,1)*10000-V622)</f>
        <v/>
      </c>
    </row>
    <row r="623">
      <c r="A623">
        <f>IF(A$2=0,"",IFERROR(TRIM(INDEX('Pegar estudiantes'!$A$1:$BZ$1001,622,A$2)&amp;""),""))</f>
        <v/>
      </c>
      <c r="B623">
        <f>IF(B$2=0,"",IFERROR(TRIM(INDEX('Pegar estudiantes'!$A$1:$BZ$1001,622,B$2)&amp;""),""))</f>
        <v/>
      </c>
      <c r="C623">
        <f>IF(C$2=0,"",IFERROR(TRIM(INDEX('Pegar estudiantes'!$A$1:$BZ$1001,622,C$2)&amp;""),""))</f>
        <v/>
      </c>
      <c r="D623">
        <f>IF(D$2=0,"",IFERROR(TRIM(INDEX('Pegar estudiantes'!$A$1:$BZ$1001,622,D$2)&amp;""),""))</f>
        <v/>
      </c>
      <c r="E623">
        <f>IF(E$2=0,"",IFERROR(TRIM(INDEX('Pegar estudiantes'!$A$1:$BZ$1001,622,E$2)&amp;""),""))</f>
        <v/>
      </c>
      <c r="F623">
        <f>IF(F$2=0,"",IFERROR(TRIM(INDEX('Pegar estudiantes'!$A$1:$BZ$1001,622,F$2)&amp;""),""))</f>
        <v/>
      </c>
      <c r="G623">
        <f>IF(G$2=0,"",IFERROR(TRIM(INDEX('Pegar estudiantes'!$A$1:$BZ$1001,622,G$2)&amp;""),""))</f>
        <v/>
      </c>
      <c r="H623">
        <f>IF(H$2=0,"",IFERROR(TRIM(INDEX('Pegar estudiantes'!$A$1:$BZ$1001,622,H$2)&amp;""),""))</f>
        <v/>
      </c>
      <c r="I623">
        <f>IF(I$2=0,"",IFERROR(TRIM(INDEX('Pegar estudiantes'!$A$1:$BZ$1001,622,I$2)&amp;""),""))</f>
        <v/>
      </c>
      <c r="J623">
        <f>IF(J$2=0,"",IFERROR(TRIM(INDEX('Pegar estudiantes'!$A$1:$BZ$1001,622,J$2)&amp;""),""))</f>
        <v/>
      </c>
      <c r="K623">
        <f>IF(K$2=0,"",IFERROR(TRIM(INDEX('Pegar estudiantes'!$A$1:$BZ$1001,622,K$2)&amp;""),""))</f>
        <v/>
      </c>
      <c r="L623" s="25">
        <f>IF(A623&lt;&gt;"",1,"")</f>
        <v/>
      </c>
      <c r="M623" s="25">
        <f>IF(L623=1,IF(ISNUMBER(FIND("#"&amp;MID(A623,1,1)&amp;"#","#0#1#2#3#4#5#6#7#8#9#")),IF(ISNUMBER(FIND("#"&amp;MID(A623,2,1)&amp;"#","#0#1#2#3#4#5#6#7#8#9#")),IF(AND(VALUE(LEFT(A623,2))&gt;=1,VALUE(LEFT(A623,2))&lt;=5),VALUE(LEFT(A623,2)),""),IF(AND(VALUE(LEFT(A623,1))&gt;=1,VALUE(LEFT(A623,1))&lt;=5),VALUE(LEFT(A623,1)),"")),""),"")</f>
        <v/>
      </c>
      <c r="N623" s="25">
        <f>IF(L623=1,IF(ISNUMBER(FIND("#"&amp;MID(H623,1,1)&amp;"#","#0#1#2#3#4#5#6#7#8#9#")),IF(ISNUMBER(FIND("#"&amp;MID(H623,2,1)&amp;"#","#0#1#2#3#4#5#6#7#8#9#")),IF(AND(VALUE(LEFT(H623,2))&gt;=1,VALUE(LEFT(H623,2))&lt;=5),VALUE(LEFT(H623,2)),""),IF(AND(VALUE(LEFT(H623,1))&gt;=1,VALUE(LEFT(H623,1))&lt;=5),VALUE(LEFT(H623,1)),"")),""),"")</f>
        <v/>
      </c>
      <c r="O623" s="25">
        <f>IF(AND(L623=1,B623&lt;&gt;""),SUBSTITUTE(SUBSTITUTE(SUBSTITUTE(SUBSTITUTE(SUBSTITUTE(SUBSTITUTE(SUBSTITUTE(SUBSTITUTE(SUBSTITUTE(SUBSTITUTE(SUBSTITUTE(SUBSTITUTE(LOWER(TRIM(B623)),"á","a"),"é","e"),"í","i"),"ó","o"),"ú","u"),"ü","u"),"ñ","n"),"à","a"),"è","e"),"ì","i"),"ò","o"),"ù","u"),"")</f>
        <v/>
      </c>
      <c r="P623" s="25">
        <f>IF(AND(L623=1,C623&lt;&gt;""),SUBSTITUTE(SUBSTITUTE(SUBSTITUTE(SUBSTITUTE(SUBSTITUTE(SUBSTITUTE(SUBSTITUTE(SUBSTITUTE(SUBSTITUTE(SUBSTITUTE(SUBSTITUTE(SUBSTITUTE(LOWER(TRIM(C623)),"á","a"),"é","e"),"í","i"),"ó","o"),"ú","u"),"ü","u"),"ñ","n"),"à","a"),"è","e"),"ì","i"),"ò","o"),"ù","u"),"")</f>
        <v/>
      </c>
      <c r="Q623" s="25">
        <f>IF(AND(L623=1,E623&lt;&gt;""),SUBSTITUTE(SUBSTITUTE(SUBSTITUTE(SUBSTITUTE(SUBSTITUTE(SUBSTITUTE(SUBSTITUTE(SUBSTITUTE(SUBSTITUTE(SUBSTITUTE(SUBSTITUTE(SUBSTITUTE(LOWER(TRIM(E623)),"á","a"),"é","e"),"í","i"),"ó","o"),"ú","u"),"ü","u"),"ñ","n"),"à","a"),"è","e"),"ì","i"),"ò","o"),"ù","u"),"")</f>
        <v/>
      </c>
      <c r="R623" s="25">
        <f>IF(AND(L623=1,I623&lt;&gt;""),SUBSTITUTE(SUBSTITUTE(SUBSTITUTE(SUBSTITUTE(SUBSTITUTE(SUBSTITUTE(SUBSTITUTE(SUBSTITUTE(SUBSTITUTE(SUBSTITUTE(SUBSTITUTE(SUBSTITUTE(LOWER(TRIM(I623)),"á","a"),"é","e"),"í","i"),"ó","o"),"ú","u"),"ü","u"),"ñ","n"),"à","a"),"è","e"),"ì","i"),"ò","o"),"ù","u"),"")</f>
        <v/>
      </c>
      <c r="S623" s="25">
        <f>IF(R623="","",IF(OR(R623="si",R623="tal vez"),1,0))</f>
        <v/>
      </c>
      <c r="T623" s="25">
        <f>IF(AND(L623=1,D623&lt;&gt;""),IF(IFERROR(COUNTIFS(D$3:D623,"="&amp;SUBSTITUTE(SUBSTITUTE(SUBSTITUTE(D623,"~","~~"),"*","~*"),"?","~?"),L$3:L623,1),0)=1,MAX(T$2:T622)+1,""),"")</f>
        <v/>
      </c>
      <c r="U623" s="25">
        <f>IF(T623="","",COUNTIFS($D$3:$D$1002,"="&amp;SUBSTITUTE(SUBSTITUTE(SUBSTITUTE(D623,"~","~~"),"*","~*"),"?","~?"),$L$3:$L$1002,1)*10000-T623)</f>
        <v/>
      </c>
      <c r="V623" s="25">
        <f>IF(AND(L623=1,J623&lt;&gt;""),IF(IFERROR(COUNTIFS(J$3:J623,"="&amp;SUBSTITUTE(SUBSTITUTE(SUBSTITUTE(J623,"~","~~"),"*","~*"),"?","~?"),L$3:L623,1),0)=1,MAX(V$2:V622)+1,""),"")</f>
        <v/>
      </c>
      <c r="W623" s="25">
        <f>IF(V623="","",COUNTIFS($J$3:$J$1002,"="&amp;SUBSTITUTE(SUBSTITUTE(SUBSTITUTE(J623,"~","~~"),"*","~*"),"?","~?"),$L$3:$L$1002,1)*10000-V623)</f>
        <v/>
      </c>
    </row>
    <row r="624">
      <c r="A624">
        <f>IF(A$2=0,"",IFERROR(TRIM(INDEX('Pegar estudiantes'!$A$1:$BZ$1001,623,A$2)&amp;""),""))</f>
        <v/>
      </c>
      <c r="B624">
        <f>IF(B$2=0,"",IFERROR(TRIM(INDEX('Pegar estudiantes'!$A$1:$BZ$1001,623,B$2)&amp;""),""))</f>
        <v/>
      </c>
      <c r="C624">
        <f>IF(C$2=0,"",IFERROR(TRIM(INDEX('Pegar estudiantes'!$A$1:$BZ$1001,623,C$2)&amp;""),""))</f>
        <v/>
      </c>
      <c r="D624">
        <f>IF(D$2=0,"",IFERROR(TRIM(INDEX('Pegar estudiantes'!$A$1:$BZ$1001,623,D$2)&amp;""),""))</f>
        <v/>
      </c>
      <c r="E624">
        <f>IF(E$2=0,"",IFERROR(TRIM(INDEX('Pegar estudiantes'!$A$1:$BZ$1001,623,E$2)&amp;""),""))</f>
        <v/>
      </c>
      <c r="F624">
        <f>IF(F$2=0,"",IFERROR(TRIM(INDEX('Pegar estudiantes'!$A$1:$BZ$1001,623,F$2)&amp;""),""))</f>
        <v/>
      </c>
      <c r="G624">
        <f>IF(G$2=0,"",IFERROR(TRIM(INDEX('Pegar estudiantes'!$A$1:$BZ$1001,623,G$2)&amp;""),""))</f>
        <v/>
      </c>
      <c r="H624">
        <f>IF(H$2=0,"",IFERROR(TRIM(INDEX('Pegar estudiantes'!$A$1:$BZ$1001,623,H$2)&amp;""),""))</f>
        <v/>
      </c>
      <c r="I624">
        <f>IF(I$2=0,"",IFERROR(TRIM(INDEX('Pegar estudiantes'!$A$1:$BZ$1001,623,I$2)&amp;""),""))</f>
        <v/>
      </c>
      <c r="J624">
        <f>IF(J$2=0,"",IFERROR(TRIM(INDEX('Pegar estudiantes'!$A$1:$BZ$1001,623,J$2)&amp;""),""))</f>
        <v/>
      </c>
      <c r="K624">
        <f>IF(K$2=0,"",IFERROR(TRIM(INDEX('Pegar estudiantes'!$A$1:$BZ$1001,623,K$2)&amp;""),""))</f>
        <v/>
      </c>
      <c r="L624" s="25">
        <f>IF(A624&lt;&gt;"",1,"")</f>
        <v/>
      </c>
      <c r="M624" s="25">
        <f>IF(L624=1,IF(ISNUMBER(FIND("#"&amp;MID(A624,1,1)&amp;"#","#0#1#2#3#4#5#6#7#8#9#")),IF(ISNUMBER(FIND("#"&amp;MID(A624,2,1)&amp;"#","#0#1#2#3#4#5#6#7#8#9#")),IF(AND(VALUE(LEFT(A624,2))&gt;=1,VALUE(LEFT(A624,2))&lt;=5),VALUE(LEFT(A624,2)),""),IF(AND(VALUE(LEFT(A624,1))&gt;=1,VALUE(LEFT(A624,1))&lt;=5),VALUE(LEFT(A624,1)),"")),""),"")</f>
        <v/>
      </c>
      <c r="N624" s="25">
        <f>IF(L624=1,IF(ISNUMBER(FIND("#"&amp;MID(H624,1,1)&amp;"#","#0#1#2#3#4#5#6#7#8#9#")),IF(ISNUMBER(FIND("#"&amp;MID(H624,2,1)&amp;"#","#0#1#2#3#4#5#6#7#8#9#")),IF(AND(VALUE(LEFT(H624,2))&gt;=1,VALUE(LEFT(H624,2))&lt;=5),VALUE(LEFT(H624,2)),""),IF(AND(VALUE(LEFT(H624,1))&gt;=1,VALUE(LEFT(H624,1))&lt;=5),VALUE(LEFT(H624,1)),"")),""),"")</f>
        <v/>
      </c>
      <c r="O624" s="25">
        <f>IF(AND(L624=1,B624&lt;&gt;""),SUBSTITUTE(SUBSTITUTE(SUBSTITUTE(SUBSTITUTE(SUBSTITUTE(SUBSTITUTE(SUBSTITUTE(SUBSTITUTE(SUBSTITUTE(SUBSTITUTE(SUBSTITUTE(SUBSTITUTE(LOWER(TRIM(B624)),"á","a"),"é","e"),"í","i"),"ó","o"),"ú","u"),"ü","u"),"ñ","n"),"à","a"),"è","e"),"ì","i"),"ò","o"),"ù","u"),"")</f>
        <v/>
      </c>
      <c r="P624" s="25">
        <f>IF(AND(L624=1,C624&lt;&gt;""),SUBSTITUTE(SUBSTITUTE(SUBSTITUTE(SUBSTITUTE(SUBSTITUTE(SUBSTITUTE(SUBSTITUTE(SUBSTITUTE(SUBSTITUTE(SUBSTITUTE(SUBSTITUTE(SUBSTITUTE(LOWER(TRIM(C624)),"á","a"),"é","e"),"í","i"),"ó","o"),"ú","u"),"ü","u"),"ñ","n"),"à","a"),"è","e"),"ì","i"),"ò","o"),"ù","u"),"")</f>
        <v/>
      </c>
      <c r="Q624" s="25">
        <f>IF(AND(L624=1,E624&lt;&gt;""),SUBSTITUTE(SUBSTITUTE(SUBSTITUTE(SUBSTITUTE(SUBSTITUTE(SUBSTITUTE(SUBSTITUTE(SUBSTITUTE(SUBSTITUTE(SUBSTITUTE(SUBSTITUTE(SUBSTITUTE(LOWER(TRIM(E624)),"á","a"),"é","e"),"í","i"),"ó","o"),"ú","u"),"ü","u"),"ñ","n"),"à","a"),"è","e"),"ì","i"),"ò","o"),"ù","u"),"")</f>
        <v/>
      </c>
      <c r="R624" s="25">
        <f>IF(AND(L624=1,I624&lt;&gt;""),SUBSTITUTE(SUBSTITUTE(SUBSTITUTE(SUBSTITUTE(SUBSTITUTE(SUBSTITUTE(SUBSTITUTE(SUBSTITUTE(SUBSTITUTE(SUBSTITUTE(SUBSTITUTE(SUBSTITUTE(LOWER(TRIM(I624)),"á","a"),"é","e"),"í","i"),"ó","o"),"ú","u"),"ü","u"),"ñ","n"),"à","a"),"è","e"),"ì","i"),"ò","o"),"ù","u"),"")</f>
        <v/>
      </c>
      <c r="S624" s="25">
        <f>IF(R624="","",IF(OR(R624="si",R624="tal vez"),1,0))</f>
        <v/>
      </c>
      <c r="T624" s="25">
        <f>IF(AND(L624=1,D624&lt;&gt;""),IF(IFERROR(COUNTIFS(D$3:D624,"="&amp;SUBSTITUTE(SUBSTITUTE(SUBSTITUTE(D624,"~","~~"),"*","~*"),"?","~?"),L$3:L624,1),0)=1,MAX(T$2:T623)+1,""),"")</f>
        <v/>
      </c>
      <c r="U624" s="25">
        <f>IF(T624="","",COUNTIFS($D$3:$D$1002,"="&amp;SUBSTITUTE(SUBSTITUTE(SUBSTITUTE(D624,"~","~~"),"*","~*"),"?","~?"),$L$3:$L$1002,1)*10000-T624)</f>
        <v/>
      </c>
      <c r="V624" s="25">
        <f>IF(AND(L624=1,J624&lt;&gt;""),IF(IFERROR(COUNTIFS(J$3:J624,"="&amp;SUBSTITUTE(SUBSTITUTE(SUBSTITUTE(J624,"~","~~"),"*","~*"),"?","~?"),L$3:L624,1),0)=1,MAX(V$2:V623)+1,""),"")</f>
        <v/>
      </c>
      <c r="W624" s="25">
        <f>IF(V624="","",COUNTIFS($J$3:$J$1002,"="&amp;SUBSTITUTE(SUBSTITUTE(SUBSTITUTE(J624,"~","~~"),"*","~*"),"?","~?"),$L$3:$L$1002,1)*10000-V624)</f>
        <v/>
      </c>
    </row>
    <row r="625">
      <c r="A625">
        <f>IF(A$2=0,"",IFERROR(TRIM(INDEX('Pegar estudiantes'!$A$1:$BZ$1001,624,A$2)&amp;""),""))</f>
        <v/>
      </c>
      <c r="B625">
        <f>IF(B$2=0,"",IFERROR(TRIM(INDEX('Pegar estudiantes'!$A$1:$BZ$1001,624,B$2)&amp;""),""))</f>
        <v/>
      </c>
      <c r="C625">
        <f>IF(C$2=0,"",IFERROR(TRIM(INDEX('Pegar estudiantes'!$A$1:$BZ$1001,624,C$2)&amp;""),""))</f>
        <v/>
      </c>
      <c r="D625">
        <f>IF(D$2=0,"",IFERROR(TRIM(INDEX('Pegar estudiantes'!$A$1:$BZ$1001,624,D$2)&amp;""),""))</f>
        <v/>
      </c>
      <c r="E625">
        <f>IF(E$2=0,"",IFERROR(TRIM(INDEX('Pegar estudiantes'!$A$1:$BZ$1001,624,E$2)&amp;""),""))</f>
        <v/>
      </c>
      <c r="F625">
        <f>IF(F$2=0,"",IFERROR(TRIM(INDEX('Pegar estudiantes'!$A$1:$BZ$1001,624,F$2)&amp;""),""))</f>
        <v/>
      </c>
      <c r="G625">
        <f>IF(G$2=0,"",IFERROR(TRIM(INDEX('Pegar estudiantes'!$A$1:$BZ$1001,624,G$2)&amp;""),""))</f>
        <v/>
      </c>
      <c r="H625">
        <f>IF(H$2=0,"",IFERROR(TRIM(INDEX('Pegar estudiantes'!$A$1:$BZ$1001,624,H$2)&amp;""),""))</f>
        <v/>
      </c>
      <c r="I625">
        <f>IF(I$2=0,"",IFERROR(TRIM(INDEX('Pegar estudiantes'!$A$1:$BZ$1001,624,I$2)&amp;""),""))</f>
        <v/>
      </c>
      <c r="J625">
        <f>IF(J$2=0,"",IFERROR(TRIM(INDEX('Pegar estudiantes'!$A$1:$BZ$1001,624,J$2)&amp;""),""))</f>
        <v/>
      </c>
      <c r="K625">
        <f>IF(K$2=0,"",IFERROR(TRIM(INDEX('Pegar estudiantes'!$A$1:$BZ$1001,624,K$2)&amp;""),""))</f>
        <v/>
      </c>
      <c r="L625" s="25">
        <f>IF(A625&lt;&gt;"",1,"")</f>
        <v/>
      </c>
      <c r="M625" s="25">
        <f>IF(L625=1,IF(ISNUMBER(FIND("#"&amp;MID(A625,1,1)&amp;"#","#0#1#2#3#4#5#6#7#8#9#")),IF(ISNUMBER(FIND("#"&amp;MID(A625,2,1)&amp;"#","#0#1#2#3#4#5#6#7#8#9#")),IF(AND(VALUE(LEFT(A625,2))&gt;=1,VALUE(LEFT(A625,2))&lt;=5),VALUE(LEFT(A625,2)),""),IF(AND(VALUE(LEFT(A625,1))&gt;=1,VALUE(LEFT(A625,1))&lt;=5),VALUE(LEFT(A625,1)),"")),""),"")</f>
        <v/>
      </c>
      <c r="N625" s="25">
        <f>IF(L625=1,IF(ISNUMBER(FIND("#"&amp;MID(H625,1,1)&amp;"#","#0#1#2#3#4#5#6#7#8#9#")),IF(ISNUMBER(FIND("#"&amp;MID(H625,2,1)&amp;"#","#0#1#2#3#4#5#6#7#8#9#")),IF(AND(VALUE(LEFT(H625,2))&gt;=1,VALUE(LEFT(H625,2))&lt;=5),VALUE(LEFT(H625,2)),""),IF(AND(VALUE(LEFT(H625,1))&gt;=1,VALUE(LEFT(H625,1))&lt;=5),VALUE(LEFT(H625,1)),"")),""),"")</f>
        <v/>
      </c>
      <c r="O625" s="25">
        <f>IF(AND(L625=1,B625&lt;&gt;""),SUBSTITUTE(SUBSTITUTE(SUBSTITUTE(SUBSTITUTE(SUBSTITUTE(SUBSTITUTE(SUBSTITUTE(SUBSTITUTE(SUBSTITUTE(SUBSTITUTE(SUBSTITUTE(SUBSTITUTE(LOWER(TRIM(B625)),"á","a"),"é","e"),"í","i"),"ó","o"),"ú","u"),"ü","u"),"ñ","n"),"à","a"),"è","e"),"ì","i"),"ò","o"),"ù","u"),"")</f>
        <v/>
      </c>
      <c r="P625" s="25">
        <f>IF(AND(L625=1,C625&lt;&gt;""),SUBSTITUTE(SUBSTITUTE(SUBSTITUTE(SUBSTITUTE(SUBSTITUTE(SUBSTITUTE(SUBSTITUTE(SUBSTITUTE(SUBSTITUTE(SUBSTITUTE(SUBSTITUTE(SUBSTITUTE(LOWER(TRIM(C625)),"á","a"),"é","e"),"í","i"),"ó","o"),"ú","u"),"ü","u"),"ñ","n"),"à","a"),"è","e"),"ì","i"),"ò","o"),"ù","u"),"")</f>
        <v/>
      </c>
      <c r="Q625" s="25">
        <f>IF(AND(L625=1,E625&lt;&gt;""),SUBSTITUTE(SUBSTITUTE(SUBSTITUTE(SUBSTITUTE(SUBSTITUTE(SUBSTITUTE(SUBSTITUTE(SUBSTITUTE(SUBSTITUTE(SUBSTITUTE(SUBSTITUTE(SUBSTITUTE(LOWER(TRIM(E625)),"á","a"),"é","e"),"í","i"),"ó","o"),"ú","u"),"ü","u"),"ñ","n"),"à","a"),"è","e"),"ì","i"),"ò","o"),"ù","u"),"")</f>
        <v/>
      </c>
      <c r="R625" s="25">
        <f>IF(AND(L625=1,I625&lt;&gt;""),SUBSTITUTE(SUBSTITUTE(SUBSTITUTE(SUBSTITUTE(SUBSTITUTE(SUBSTITUTE(SUBSTITUTE(SUBSTITUTE(SUBSTITUTE(SUBSTITUTE(SUBSTITUTE(SUBSTITUTE(LOWER(TRIM(I625)),"á","a"),"é","e"),"í","i"),"ó","o"),"ú","u"),"ü","u"),"ñ","n"),"à","a"),"è","e"),"ì","i"),"ò","o"),"ù","u"),"")</f>
        <v/>
      </c>
      <c r="S625" s="25">
        <f>IF(R625="","",IF(OR(R625="si",R625="tal vez"),1,0))</f>
        <v/>
      </c>
      <c r="T625" s="25">
        <f>IF(AND(L625=1,D625&lt;&gt;""),IF(IFERROR(COUNTIFS(D$3:D625,"="&amp;SUBSTITUTE(SUBSTITUTE(SUBSTITUTE(D625,"~","~~"),"*","~*"),"?","~?"),L$3:L625,1),0)=1,MAX(T$2:T624)+1,""),"")</f>
        <v/>
      </c>
      <c r="U625" s="25">
        <f>IF(T625="","",COUNTIFS($D$3:$D$1002,"="&amp;SUBSTITUTE(SUBSTITUTE(SUBSTITUTE(D625,"~","~~"),"*","~*"),"?","~?"),$L$3:$L$1002,1)*10000-T625)</f>
        <v/>
      </c>
      <c r="V625" s="25">
        <f>IF(AND(L625=1,J625&lt;&gt;""),IF(IFERROR(COUNTIFS(J$3:J625,"="&amp;SUBSTITUTE(SUBSTITUTE(SUBSTITUTE(J625,"~","~~"),"*","~*"),"?","~?"),L$3:L625,1),0)=1,MAX(V$2:V624)+1,""),"")</f>
        <v/>
      </c>
      <c r="W625" s="25">
        <f>IF(V625="","",COUNTIFS($J$3:$J$1002,"="&amp;SUBSTITUTE(SUBSTITUTE(SUBSTITUTE(J625,"~","~~"),"*","~*"),"?","~?"),$L$3:$L$1002,1)*10000-V625)</f>
        <v/>
      </c>
    </row>
    <row r="626">
      <c r="A626">
        <f>IF(A$2=0,"",IFERROR(TRIM(INDEX('Pegar estudiantes'!$A$1:$BZ$1001,625,A$2)&amp;""),""))</f>
        <v/>
      </c>
      <c r="B626">
        <f>IF(B$2=0,"",IFERROR(TRIM(INDEX('Pegar estudiantes'!$A$1:$BZ$1001,625,B$2)&amp;""),""))</f>
        <v/>
      </c>
      <c r="C626">
        <f>IF(C$2=0,"",IFERROR(TRIM(INDEX('Pegar estudiantes'!$A$1:$BZ$1001,625,C$2)&amp;""),""))</f>
        <v/>
      </c>
      <c r="D626">
        <f>IF(D$2=0,"",IFERROR(TRIM(INDEX('Pegar estudiantes'!$A$1:$BZ$1001,625,D$2)&amp;""),""))</f>
        <v/>
      </c>
      <c r="E626">
        <f>IF(E$2=0,"",IFERROR(TRIM(INDEX('Pegar estudiantes'!$A$1:$BZ$1001,625,E$2)&amp;""),""))</f>
        <v/>
      </c>
      <c r="F626">
        <f>IF(F$2=0,"",IFERROR(TRIM(INDEX('Pegar estudiantes'!$A$1:$BZ$1001,625,F$2)&amp;""),""))</f>
        <v/>
      </c>
      <c r="G626">
        <f>IF(G$2=0,"",IFERROR(TRIM(INDEX('Pegar estudiantes'!$A$1:$BZ$1001,625,G$2)&amp;""),""))</f>
        <v/>
      </c>
      <c r="H626">
        <f>IF(H$2=0,"",IFERROR(TRIM(INDEX('Pegar estudiantes'!$A$1:$BZ$1001,625,H$2)&amp;""),""))</f>
        <v/>
      </c>
      <c r="I626">
        <f>IF(I$2=0,"",IFERROR(TRIM(INDEX('Pegar estudiantes'!$A$1:$BZ$1001,625,I$2)&amp;""),""))</f>
        <v/>
      </c>
      <c r="J626">
        <f>IF(J$2=0,"",IFERROR(TRIM(INDEX('Pegar estudiantes'!$A$1:$BZ$1001,625,J$2)&amp;""),""))</f>
        <v/>
      </c>
      <c r="K626">
        <f>IF(K$2=0,"",IFERROR(TRIM(INDEX('Pegar estudiantes'!$A$1:$BZ$1001,625,K$2)&amp;""),""))</f>
        <v/>
      </c>
      <c r="L626" s="25">
        <f>IF(A626&lt;&gt;"",1,"")</f>
        <v/>
      </c>
      <c r="M626" s="25">
        <f>IF(L626=1,IF(ISNUMBER(FIND("#"&amp;MID(A626,1,1)&amp;"#","#0#1#2#3#4#5#6#7#8#9#")),IF(ISNUMBER(FIND("#"&amp;MID(A626,2,1)&amp;"#","#0#1#2#3#4#5#6#7#8#9#")),IF(AND(VALUE(LEFT(A626,2))&gt;=1,VALUE(LEFT(A626,2))&lt;=5),VALUE(LEFT(A626,2)),""),IF(AND(VALUE(LEFT(A626,1))&gt;=1,VALUE(LEFT(A626,1))&lt;=5),VALUE(LEFT(A626,1)),"")),""),"")</f>
        <v/>
      </c>
      <c r="N626" s="25">
        <f>IF(L626=1,IF(ISNUMBER(FIND("#"&amp;MID(H626,1,1)&amp;"#","#0#1#2#3#4#5#6#7#8#9#")),IF(ISNUMBER(FIND("#"&amp;MID(H626,2,1)&amp;"#","#0#1#2#3#4#5#6#7#8#9#")),IF(AND(VALUE(LEFT(H626,2))&gt;=1,VALUE(LEFT(H626,2))&lt;=5),VALUE(LEFT(H626,2)),""),IF(AND(VALUE(LEFT(H626,1))&gt;=1,VALUE(LEFT(H626,1))&lt;=5),VALUE(LEFT(H626,1)),"")),""),"")</f>
        <v/>
      </c>
      <c r="O626" s="25">
        <f>IF(AND(L626=1,B626&lt;&gt;""),SUBSTITUTE(SUBSTITUTE(SUBSTITUTE(SUBSTITUTE(SUBSTITUTE(SUBSTITUTE(SUBSTITUTE(SUBSTITUTE(SUBSTITUTE(SUBSTITUTE(SUBSTITUTE(SUBSTITUTE(LOWER(TRIM(B626)),"á","a"),"é","e"),"í","i"),"ó","o"),"ú","u"),"ü","u"),"ñ","n"),"à","a"),"è","e"),"ì","i"),"ò","o"),"ù","u"),"")</f>
        <v/>
      </c>
      <c r="P626" s="25">
        <f>IF(AND(L626=1,C626&lt;&gt;""),SUBSTITUTE(SUBSTITUTE(SUBSTITUTE(SUBSTITUTE(SUBSTITUTE(SUBSTITUTE(SUBSTITUTE(SUBSTITUTE(SUBSTITUTE(SUBSTITUTE(SUBSTITUTE(SUBSTITUTE(LOWER(TRIM(C626)),"á","a"),"é","e"),"í","i"),"ó","o"),"ú","u"),"ü","u"),"ñ","n"),"à","a"),"è","e"),"ì","i"),"ò","o"),"ù","u"),"")</f>
        <v/>
      </c>
      <c r="Q626" s="25">
        <f>IF(AND(L626=1,E626&lt;&gt;""),SUBSTITUTE(SUBSTITUTE(SUBSTITUTE(SUBSTITUTE(SUBSTITUTE(SUBSTITUTE(SUBSTITUTE(SUBSTITUTE(SUBSTITUTE(SUBSTITUTE(SUBSTITUTE(SUBSTITUTE(LOWER(TRIM(E626)),"á","a"),"é","e"),"í","i"),"ó","o"),"ú","u"),"ü","u"),"ñ","n"),"à","a"),"è","e"),"ì","i"),"ò","o"),"ù","u"),"")</f>
        <v/>
      </c>
      <c r="R626" s="25">
        <f>IF(AND(L626=1,I626&lt;&gt;""),SUBSTITUTE(SUBSTITUTE(SUBSTITUTE(SUBSTITUTE(SUBSTITUTE(SUBSTITUTE(SUBSTITUTE(SUBSTITUTE(SUBSTITUTE(SUBSTITUTE(SUBSTITUTE(SUBSTITUTE(LOWER(TRIM(I626)),"á","a"),"é","e"),"í","i"),"ó","o"),"ú","u"),"ü","u"),"ñ","n"),"à","a"),"è","e"),"ì","i"),"ò","o"),"ù","u"),"")</f>
        <v/>
      </c>
      <c r="S626" s="25">
        <f>IF(R626="","",IF(OR(R626="si",R626="tal vez"),1,0))</f>
        <v/>
      </c>
      <c r="T626" s="25">
        <f>IF(AND(L626=1,D626&lt;&gt;""),IF(IFERROR(COUNTIFS(D$3:D626,"="&amp;SUBSTITUTE(SUBSTITUTE(SUBSTITUTE(D626,"~","~~"),"*","~*"),"?","~?"),L$3:L626,1),0)=1,MAX(T$2:T625)+1,""),"")</f>
        <v/>
      </c>
      <c r="U626" s="25">
        <f>IF(T626="","",COUNTIFS($D$3:$D$1002,"="&amp;SUBSTITUTE(SUBSTITUTE(SUBSTITUTE(D626,"~","~~"),"*","~*"),"?","~?"),$L$3:$L$1002,1)*10000-T626)</f>
        <v/>
      </c>
      <c r="V626" s="25">
        <f>IF(AND(L626=1,J626&lt;&gt;""),IF(IFERROR(COUNTIFS(J$3:J626,"="&amp;SUBSTITUTE(SUBSTITUTE(SUBSTITUTE(J626,"~","~~"),"*","~*"),"?","~?"),L$3:L626,1),0)=1,MAX(V$2:V625)+1,""),"")</f>
        <v/>
      </c>
      <c r="W626" s="25">
        <f>IF(V626="","",COUNTIFS($J$3:$J$1002,"="&amp;SUBSTITUTE(SUBSTITUTE(SUBSTITUTE(J626,"~","~~"),"*","~*"),"?","~?"),$L$3:$L$1002,1)*10000-V626)</f>
        <v/>
      </c>
    </row>
    <row r="627">
      <c r="A627">
        <f>IF(A$2=0,"",IFERROR(TRIM(INDEX('Pegar estudiantes'!$A$1:$BZ$1001,626,A$2)&amp;""),""))</f>
        <v/>
      </c>
      <c r="B627">
        <f>IF(B$2=0,"",IFERROR(TRIM(INDEX('Pegar estudiantes'!$A$1:$BZ$1001,626,B$2)&amp;""),""))</f>
        <v/>
      </c>
      <c r="C627">
        <f>IF(C$2=0,"",IFERROR(TRIM(INDEX('Pegar estudiantes'!$A$1:$BZ$1001,626,C$2)&amp;""),""))</f>
        <v/>
      </c>
      <c r="D627">
        <f>IF(D$2=0,"",IFERROR(TRIM(INDEX('Pegar estudiantes'!$A$1:$BZ$1001,626,D$2)&amp;""),""))</f>
        <v/>
      </c>
      <c r="E627">
        <f>IF(E$2=0,"",IFERROR(TRIM(INDEX('Pegar estudiantes'!$A$1:$BZ$1001,626,E$2)&amp;""),""))</f>
        <v/>
      </c>
      <c r="F627">
        <f>IF(F$2=0,"",IFERROR(TRIM(INDEX('Pegar estudiantes'!$A$1:$BZ$1001,626,F$2)&amp;""),""))</f>
        <v/>
      </c>
      <c r="G627">
        <f>IF(G$2=0,"",IFERROR(TRIM(INDEX('Pegar estudiantes'!$A$1:$BZ$1001,626,G$2)&amp;""),""))</f>
        <v/>
      </c>
      <c r="H627">
        <f>IF(H$2=0,"",IFERROR(TRIM(INDEX('Pegar estudiantes'!$A$1:$BZ$1001,626,H$2)&amp;""),""))</f>
        <v/>
      </c>
      <c r="I627">
        <f>IF(I$2=0,"",IFERROR(TRIM(INDEX('Pegar estudiantes'!$A$1:$BZ$1001,626,I$2)&amp;""),""))</f>
        <v/>
      </c>
      <c r="J627">
        <f>IF(J$2=0,"",IFERROR(TRIM(INDEX('Pegar estudiantes'!$A$1:$BZ$1001,626,J$2)&amp;""),""))</f>
        <v/>
      </c>
      <c r="K627">
        <f>IF(K$2=0,"",IFERROR(TRIM(INDEX('Pegar estudiantes'!$A$1:$BZ$1001,626,K$2)&amp;""),""))</f>
        <v/>
      </c>
      <c r="L627" s="25">
        <f>IF(A627&lt;&gt;"",1,"")</f>
        <v/>
      </c>
      <c r="M627" s="25">
        <f>IF(L627=1,IF(ISNUMBER(FIND("#"&amp;MID(A627,1,1)&amp;"#","#0#1#2#3#4#5#6#7#8#9#")),IF(ISNUMBER(FIND("#"&amp;MID(A627,2,1)&amp;"#","#0#1#2#3#4#5#6#7#8#9#")),IF(AND(VALUE(LEFT(A627,2))&gt;=1,VALUE(LEFT(A627,2))&lt;=5),VALUE(LEFT(A627,2)),""),IF(AND(VALUE(LEFT(A627,1))&gt;=1,VALUE(LEFT(A627,1))&lt;=5),VALUE(LEFT(A627,1)),"")),""),"")</f>
        <v/>
      </c>
      <c r="N627" s="25">
        <f>IF(L627=1,IF(ISNUMBER(FIND("#"&amp;MID(H627,1,1)&amp;"#","#0#1#2#3#4#5#6#7#8#9#")),IF(ISNUMBER(FIND("#"&amp;MID(H627,2,1)&amp;"#","#0#1#2#3#4#5#6#7#8#9#")),IF(AND(VALUE(LEFT(H627,2))&gt;=1,VALUE(LEFT(H627,2))&lt;=5),VALUE(LEFT(H627,2)),""),IF(AND(VALUE(LEFT(H627,1))&gt;=1,VALUE(LEFT(H627,1))&lt;=5),VALUE(LEFT(H627,1)),"")),""),"")</f>
        <v/>
      </c>
      <c r="O627" s="25">
        <f>IF(AND(L627=1,B627&lt;&gt;""),SUBSTITUTE(SUBSTITUTE(SUBSTITUTE(SUBSTITUTE(SUBSTITUTE(SUBSTITUTE(SUBSTITUTE(SUBSTITUTE(SUBSTITUTE(SUBSTITUTE(SUBSTITUTE(SUBSTITUTE(LOWER(TRIM(B627)),"á","a"),"é","e"),"í","i"),"ó","o"),"ú","u"),"ü","u"),"ñ","n"),"à","a"),"è","e"),"ì","i"),"ò","o"),"ù","u"),"")</f>
        <v/>
      </c>
      <c r="P627" s="25">
        <f>IF(AND(L627=1,C627&lt;&gt;""),SUBSTITUTE(SUBSTITUTE(SUBSTITUTE(SUBSTITUTE(SUBSTITUTE(SUBSTITUTE(SUBSTITUTE(SUBSTITUTE(SUBSTITUTE(SUBSTITUTE(SUBSTITUTE(SUBSTITUTE(LOWER(TRIM(C627)),"á","a"),"é","e"),"í","i"),"ó","o"),"ú","u"),"ü","u"),"ñ","n"),"à","a"),"è","e"),"ì","i"),"ò","o"),"ù","u"),"")</f>
        <v/>
      </c>
      <c r="Q627" s="25">
        <f>IF(AND(L627=1,E627&lt;&gt;""),SUBSTITUTE(SUBSTITUTE(SUBSTITUTE(SUBSTITUTE(SUBSTITUTE(SUBSTITUTE(SUBSTITUTE(SUBSTITUTE(SUBSTITUTE(SUBSTITUTE(SUBSTITUTE(SUBSTITUTE(LOWER(TRIM(E627)),"á","a"),"é","e"),"í","i"),"ó","o"),"ú","u"),"ü","u"),"ñ","n"),"à","a"),"è","e"),"ì","i"),"ò","o"),"ù","u"),"")</f>
        <v/>
      </c>
      <c r="R627" s="25">
        <f>IF(AND(L627=1,I627&lt;&gt;""),SUBSTITUTE(SUBSTITUTE(SUBSTITUTE(SUBSTITUTE(SUBSTITUTE(SUBSTITUTE(SUBSTITUTE(SUBSTITUTE(SUBSTITUTE(SUBSTITUTE(SUBSTITUTE(SUBSTITUTE(LOWER(TRIM(I627)),"á","a"),"é","e"),"í","i"),"ó","o"),"ú","u"),"ü","u"),"ñ","n"),"à","a"),"è","e"),"ì","i"),"ò","o"),"ù","u"),"")</f>
        <v/>
      </c>
      <c r="S627" s="25">
        <f>IF(R627="","",IF(OR(R627="si",R627="tal vez"),1,0))</f>
        <v/>
      </c>
      <c r="T627" s="25">
        <f>IF(AND(L627=1,D627&lt;&gt;""),IF(IFERROR(COUNTIFS(D$3:D627,"="&amp;SUBSTITUTE(SUBSTITUTE(SUBSTITUTE(D627,"~","~~"),"*","~*"),"?","~?"),L$3:L627,1),0)=1,MAX(T$2:T626)+1,""),"")</f>
        <v/>
      </c>
      <c r="U627" s="25">
        <f>IF(T627="","",COUNTIFS($D$3:$D$1002,"="&amp;SUBSTITUTE(SUBSTITUTE(SUBSTITUTE(D627,"~","~~"),"*","~*"),"?","~?"),$L$3:$L$1002,1)*10000-T627)</f>
        <v/>
      </c>
      <c r="V627" s="25">
        <f>IF(AND(L627=1,J627&lt;&gt;""),IF(IFERROR(COUNTIFS(J$3:J627,"="&amp;SUBSTITUTE(SUBSTITUTE(SUBSTITUTE(J627,"~","~~"),"*","~*"),"?","~?"),L$3:L627,1),0)=1,MAX(V$2:V626)+1,""),"")</f>
        <v/>
      </c>
      <c r="W627" s="25">
        <f>IF(V627="","",COUNTIFS($J$3:$J$1002,"="&amp;SUBSTITUTE(SUBSTITUTE(SUBSTITUTE(J627,"~","~~"),"*","~*"),"?","~?"),$L$3:$L$1002,1)*10000-V627)</f>
        <v/>
      </c>
    </row>
    <row r="628">
      <c r="A628">
        <f>IF(A$2=0,"",IFERROR(TRIM(INDEX('Pegar estudiantes'!$A$1:$BZ$1001,627,A$2)&amp;""),""))</f>
        <v/>
      </c>
      <c r="B628">
        <f>IF(B$2=0,"",IFERROR(TRIM(INDEX('Pegar estudiantes'!$A$1:$BZ$1001,627,B$2)&amp;""),""))</f>
        <v/>
      </c>
      <c r="C628">
        <f>IF(C$2=0,"",IFERROR(TRIM(INDEX('Pegar estudiantes'!$A$1:$BZ$1001,627,C$2)&amp;""),""))</f>
        <v/>
      </c>
      <c r="D628">
        <f>IF(D$2=0,"",IFERROR(TRIM(INDEX('Pegar estudiantes'!$A$1:$BZ$1001,627,D$2)&amp;""),""))</f>
        <v/>
      </c>
      <c r="E628">
        <f>IF(E$2=0,"",IFERROR(TRIM(INDEX('Pegar estudiantes'!$A$1:$BZ$1001,627,E$2)&amp;""),""))</f>
        <v/>
      </c>
      <c r="F628">
        <f>IF(F$2=0,"",IFERROR(TRIM(INDEX('Pegar estudiantes'!$A$1:$BZ$1001,627,F$2)&amp;""),""))</f>
        <v/>
      </c>
      <c r="G628">
        <f>IF(G$2=0,"",IFERROR(TRIM(INDEX('Pegar estudiantes'!$A$1:$BZ$1001,627,G$2)&amp;""),""))</f>
        <v/>
      </c>
      <c r="H628">
        <f>IF(H$2=0,"",IFERROR(TRIM(INDEX('Pegar estudiantes'!$A$1:$BZ$1001,627,H$2)&amp;""),""))</f>
        <v/>
      </c>
      <c r="I628">
        <f>IF(I$2=0,"",IFERROR(TRIM(INDEX('Pegar estudiantes'!$A$1:$BZ$1001,627,I$2)&amp;""),""))</f>
        <v/>
      </c>
      <c r="J628">
        <f>IF(J$2=0,"",IFERROR(TRIM(INDEX('Pegar estudiantes'!$A$1:$BZ$1001,627,J$2)&amp;""),""))</f>
        <v/>
      </c>
      <c r="K628">
        <f>IF(K$2=0,"",IFERROR(TRIM(INDEX('Pegar estudiantes'!$A$1:$BZ$1001,627,K$2)&amp;""),""))</f>
        <v/>
      </c>
      <c r="L628" s="25">
        <f>IF(A628&lt;&gt;"",1,"")</f>
        <v/>
      </c>
      <c r="M628" s="25">
        <f>IF(L628=1,IF(ISNUMBER(FIND("#"&amp;MID(A628,1,1)&amp;"#","#0#1#2#3#4#5#6#7#8#9#")),IF(ISNUMBER(FIND("#"&amp;MID(A628,2,1)&amp;"#","#0#1#2#3#4#5#6#7#8#9#")),IF(AND(VALUE(LEFT(A628,2))&gt;=1,VALUE(LEFT(A628,2))&lt;=5),VALUE(LEFT(A628,2)),""),IF(AND(VALUE(LEFT(A628,1))&gt;=1,VALUE(LEFT(A628,1))&lt;=5),VALUE(LEFT(A628,1)),"")),""),"")</f>
        <v/>
      </c>
      <c r="N628" s="25">
        <f>IF(L628=1,IF(ISNUMBER(FIND("#"&amp;MID(H628,1,1)&amp;"#","#0#1#2#3#4#5#6#7#8#9#")),IF(ISNUMBER(FIND("#"&amp;MID(H628,2,1)&amp;"#","#0#1#2#3#4#5#6#7#8#9#")),IF(AND(VALUE(LEFT(H628,2))&gt;=1,VALUE(LEFT(H628,2))&lt;=5),VALUE(LEFT(H628,2)),""),IF(AND(VALUE(LEFT(H628,1))&gt;=1,VALUE(LEFT(H628,1))&lt;=5),VALUE(LEFT(H628,1)),"")),""),"")</f>
        <v/>
      </c>
      <c r="O628" s="25">
        <f>IF(AND(L628=1,B628&lt;&gt;""),SUBSTITUTE(SUBSTITUTE(SUBSTITUTE(SUBSTITUTE(SUBSTITUTE(SUBSTITUTE(SUBSTITUTE(SUBSTITUTE(SUBSTITUTE(SUBSTITUTE(SUBSTITUTE(SUBSTITUTE(LOWER(TRIM(B628)),"á","a"),"é","e"),"í","i"),"ó","o"),"ú","u"),"ü","u"),"ñ","n"),"à","a"),"è","e"),"ì","i"),"ò","o"),"ù","u"),"")</f>
        <v/>
      </c>
      <c r="P628" s="25">
        <f>IF(AND(L628=1,C628&lt;&gt;""),SUBSTITUTE(SUBSTITUTE(SUBSTITUTE(SUBSTITUTE(SUBSTITUTE(SUBSTITUTE(SUBSTITUTE(SUBSTITUTE(SUBSTITUTE(SUBSTITUTE(SUBSTITUTE(SUBSTITUTE(LOWER(TRIM(C628)),"á","a"),"é","e"),"í","i"),"ó","o"),"ú","u"),"ü","u"),"ñ","n"),"à","a"),"è","e"),"ì","i"),"ò","o"),"ù","u"),"")</f>
        <v/>
      </c>
      <c r="Q628" s="25">
        <f>IF(AND(L628=1,E628&lt;&gt;""),SUBSTITUTE(SUBSTITUTE(SUBSTITUTE(SUBSTITUTE(SUBSTITUTE(SUBSTITUTE(SUBSTITUTE(SUBSTITUTE(SUBSTITUTE(SUBSTITUTE(SUBSTITUTE(SUBSTITUTE(LOWER(TRIM(E628)),"á","a"),"é","e"),"í","i"),"ó","o"),"ú","u"),"ü","u"),"ñ","n"),"à","a"),"è","e"),"ì","i"),"ò","o"),"ù","u"),"")</f>
        <v/>
      </c>
      <c r="R628" s="25">
        <f>IF(AND(L628=1,I628&lt;&gt;""),SUBSTITUTE(SUBSTITUTE(SUBSTITUTE(SUBSTITUTE(SUBSTITUTE(SUBSTITUTE(SUBSTITUTE(SUBSTITUTE(SUBSTITUTE(SUBSTITUTE(SUBSTITUTE(SUBSTITUTE(LOWER(TRIM(I628)),"á","a"),"é","e"),"í","i"),"ó","o"),"ú","u"),"ü","u"),"ñ","n"),"à","a"),"è","e"),"ì","i"),"ò","o"),"ù","u"),"")</f>
        <v/>
      </c>
      <c r="S628" s="25">
        <f>IF(R628="","",IF(OR(R628="si",R628="tal vez"),1,0))</f>
        <v/>
      </c>
      <c r="T628" s="25">
        <f>IF(AND(L628=1,D628&lt;&gt;""),IF(IFERROR(COUNTIFS(D$3:D628,"="&amp;SUBSTITUTE(SUBSTITUTE(SUBSTITUTE(D628,"~","~~"),"*","~*"),"?","~?"),L$3:L628,1),0)=1,MAX(T$2:T627)+1,""),"")</f>
        <v/>
      </c>
      <c r="U628" s="25">
        <f>IF(T628="","",COUNTIFS($D$3:$D$1002,"="&amp;SUBSTITUTE(SUBSTITUTE(SUBSTITUTE(D628,"~","~~"),"*","~*"),"?","~?"),$L$3:$L$1002,1)*10000-T628)</f>
        <v/>
      </c>
      <c r="V628" s="25">
        <f>IF(AND(L628=1,J628&lt;&gt;""),IF(IFERROR(COUNTIFS(J$3:J628,"="&amp;SUBSTITUTE(SUBSTITUTE(SUBSTITUTE(J628,"~","~~"),"*","~*"),"?","~?"),L$3:L628,1),0)=1,MAX(V$2:V627)+1,""),"")</f>
        <v/>
      </c>
      <c r="W628" s="25">
        <f>IF(V628="","",COUNTIFS($J$3:$J$1002,"="&amp;SUBSTITUTE(SUBSTITUTE(SUBSTITUTE(J628,"~","~~"),"*","~*"),"?","~?"),$L$3:$L$1002,1)*10000-V628)</f>
        <v/>
      </c>
    </row>
    <row r="629">
      <c r="A629">
        <f>IF(A$2=0,"",IFERROR(TRIM(INDEX('Pegar estudiantes'!$A$1:$BZ$1001,628,A$2)&amp;""),""))</f>
        <v/>
      </c>
      <c r="B629">
        <f>IF(B$2=0,"",IFERROR(TRIM(INDEX('Pegar estudiantes'!$A$1:$BZ$1001,628,B$2)&amp;""),""))</f>
        <v/>
      </c>
      <c r="C629">
        <f>IF(C$2=0,"",IFERROR(TRIM(INDEX('Pegar estudiantes'!$A$1:$BZ$1001,628,C$2)&amp;""),""))</f>
        <v/>
      </c>
      <c r="D629">
        <f>IF(D$2=0,"",IFERROR(TRIM(INDEX('Pegar estudiantes'!$A$1:$BZ$1001,628,D$2)&amp;""),""))</f>
        <v/>
      </c>
      <c r="E629">
        <f>IF(E$2=0,"",IFERROR(TRIM(INDEX('Pegar estudiantes'!$A$1:$BZ$1001,628,E$2)&amp;""),""))</f>
        <v/>
      </c>
      <c r="F629">
        <f>IF(F$2=0,"",IFERROR(TRIM(INDEX('Pegar estudiantes'!$A$1:$BZ$1001,628,F$2)&amp;""),""))</f>
        <v/>
      </c>
      <c r="G629">
        <f>IF(G$2=0,"",IFERROR(TRIM(INDEX('Pegar estudiantes'!$A$1:$BZ$1001,628,G$2)&amp;""),""))</f>
        <v/>
      </c>
      <c r="H629">
        <f>IF(H$2=0,"",IFERROR(TRIM(INDEX('Pegar estudiantes'!$A$1:$BZ$1001,628,H$2)&amp;""),""))</f>
        <v/>
      </c>
      <c r="I629">
        <f>IF(I$2=0,"",IFERROR(TRIM(INDEX('Pegar estudiantes'!$A$1:$BZ$1001,628,I$2)&amp;""),""))</f>
        <v/>
      </c>
      <c r="J629">
        <f>IF(J$2=0,"",IFERROR(TRIM(INDEX('Pegar estudiantes'!$A$1:$BZ$1001,628,J$2)&amp;""),""))</f>
        <v/>
      </c>
      <c r="K629">
        <f>IF(K$2=0,"",IFERROR(TRIM(INDEX('Pegar estudiantes'!$A$1:$BZ$1001,628,K$2)&amp;""),""))</f>
        <v/>
      </c>
      <c r="L629" s="25">
        <f>IF(A629&lt;&gt;"",1,"")</f>
        <v/>
      </c>
      <c r="M629" s="25">
        <f>IF(L629=1,IF(ISNUMBER(FIND("#"&amp;MID(A629,1,1)&amp;"#","#0#1#2#3#4#5#6#7#8#9#")),IF(ISNUMBER(FIND("#"&amp;MID(A629,2,1)&amp;"#","#0#1#2#3#4#5#6#7#8#9#")),IF(AND(VALUE(LEFT(A629,2))&gt;=1,VALUE(LEFT(A629,2))&lt;=5),VALUE(LEFT(A629,2)),""),IF(AND(VALUE(LEFT(A629,1))&gt;=1,VALUE(LEFT(A629,1))&lt;=5),VALUE(LEFT(A629,1)),"")),""),"")</f>
        <v/>
      </c>
      <c r="N629" s="25">
        <f>IF(L629=1,IF(ISNUMBER(FIND("#"&amp;MID(H629,1,1)&amp;"#","#0#1#2#3#4#5#6#7#8#9#")),IF(ISNUMBER(FIND("#"&amp;MID(H629,2,1)&amp;"#","#0#1#2#3#4#5#6#7#8#9#")),IF(AND(VALUE(LEFT(H629,2))&gt;=1,VALUE(LEFT(H629,2))&lt;=5),VALUE(LEFT(H629,2)),""),IF(AND(VALUE(LEFT(H629,1))&gt;=1,VALUE(LEFT(H629,1))&lt;=5),VALUE(LEFT(H629,1)),"")),""),"")</f>
        <v/>
      </c>
      <c r="O629" s="25">
        <f>IF(AND(L629=1,B629&lt;&gt;""),SUBSTITUTE(SUBSTITUTE(SUBSTITUTE(SUBSTITUTE(SUBSTITUTE(SUBSTITUTE(SUBSTITUTE(SUBSTITUTE(SUBSTITUTE(SUBSTITUTE(SUBSTITUTE(SUBSTITUTE(LOWER(TRIM(B629)),"á","a"),"é","e"),"í","i"),"ó","o"),"ú","u"),"ü","u"),"ñ","n"),"à","a"),"è","e"),"ì","i"),"ò","o"),"ù","u"),"")</f>
        <v/>
      </c>
      <c r="P629" s="25">
        <f>IF(AND(L629=1,C629&lt;&gt;""),SUBSTITUTE(SUBSTITUTE(SUBSTITUTE(SUBSTITUTE(SUBSTITUTE(SUBSTITUTE(SUBSTITUTE(SUBSTITUTE(SUBSTITUTE(SUBSTITUTE(SUBSTITUTE(SUBSTITUTE(LOWER(TRIM(C629)),"á","a"),"é","e"),"í","i"),"ó","o"),"ú","u"),"ü","u"),"ñ","n"),"à","a"),"è","e"),"ì","i"),"ò","o"),"ù","u"),"")</f>
        <v/>
      </c>
      <c r="Q629" s="25">
        <f>IF(AND(L629=1,E629&lt;&gt;""),SUBSTITUTE(SUBSTITUTE(SUBSTITUTE(SUBSTITUTE(SUBSTITUTE(SUBSTITUTE(SUBSTITUTE(SUBSTITUTE(SUBSTITUTE(SUBSTITUTE(SUBSTITUTE(SUBSTITUTE(LOWER(TRIM(E629)),"á","a"),"é","e"),"í","i"),"ó","o"),"ú","u"),"ü","u"),"ñ","n"),"à","a"),"è","e"),"ì","i"),"ò","o"),"ù","u"),"")</f>
        <v/>
      </c>
      <c r="R629" s="25">
        <f>IF(AND(L629=1,I629&lt;&gt;""),SUBSTITUTE(SUBSTITUTE(SUBSTITUTE(SUBSTITUTE(SUBSTITUTE(SUBSTITUTE(SUBSTITUTE(SUBSTITUTE(SUBSTITUTE(SUBSTITUTE(SUBSTITUTE(SUBSTITUTE(LOWER(TRIM(I629)),"á","a"),"é","e"),"í","i"),"ó","o"),"ú","u"),"ü","u"),"ñ","n"),"à","a"),"è","e"),"ì","i"),"ò","o"),"ù","u"),"")</f>
        <v/>
      </c>
      <c r="S629" s="25">
        <f>IF(R629="","",IF(OR(R629="si",R629="tal vez"),1,0))</f>
        <v/>
      </c>
      <c r="T629" s="25">
        <f>IF(AND(L629=1,D629&lt;&gt;""),IF(IFERROR(COUNTIFS(D$3:D629,"="&amp;SUBSTITUTE(SUBSTITUTE(SUBSTITUTE(D629,"~","~~"),"*","~*"),"?","~?"),L$3:L629,1),0)=1,MAX(T$2:T628)+1,""),"")</f>
        <v/>
      </c>
      <c r="U629" s="25">
        <f>IF(T629="","",COUNTIFS($D$3:$D$1002,"="&amp;SUBSTITUTE(SUBSTITUTE(SUBSTITUTE(D629,"~","~~"),"*","~*"),"?","~?"),$L$3:$L$1002,1)*10000-T629)</f>
        <v/>
      </c>
      <c r="V629" s="25">
        <f>IF(AND(L629=1,J629&lt;&gt;""),IF(IFERROR(COUNTIFS(J$3:J629,"="&amp;SUBSTITUTE(SUBSTITUTE(SUBSTITUTE(J629,"~","~~"),"*","~*"),"?","~?"),L$3:L629,1),0)=1,MAX(V$2:V628)+1,""),"")</f>
        <v/>
      </c>
      <c r="W629" s="25">
        <f>IF(V629="","",COUNTIFS($J$3:$J$1002,"="&amp;SUBSTITUTE(SUBSTITUTE(SUBSTITUTE(J629,"~","~~"),"*","~*"),"?","~?"),$L$3:$L$1002,1)*10000-V629)</f>
        <v/>
      </c>
    </row>
    <row r="630">
      <c r="A630">
        <f>IF(A$2=0,"",IFERROR(TRIM(INDEX('Pegar estudiantes'!$A$1:$BZ$1001,629,A$2)&amp;""),""))</f>
        <v/>
      </c>
      <c r="B630">
        <f>IF(B$2=0,"",IFERROR(TRIM(INDEX('Pegar estudiantes'!$A$1:$BZ$1001,629,B$2)&amp;""),""))</f>
        <v/>
      </c>
      <c r="C630">
        <f>IF(C$2=0,"",IFERROR(TRIM(INDEX('Pegar estudiantes'!$A$1:$BZ$1001,629,C$2)&amp;""),""))</f>
        <v/>
      </c>
      <c r="D630">
        <f>IF(D$2=0,"",IFERROR(TRIM(INDEX('Pegar estudiantes'!$A$1:$BZ$1001,629,D$2)&amp;""),""))</f>
        <v/>
      </c>
      <c r="E630">
        <f>IF(E$2=0,"",IFERROR(TRIM(INDEX('Pegar estudiantes'!$A$1:$BZ$1001,629,E$2)&amp;""),""))</f>
        <v/>
      </c>
      <c r="F630">
        <f>IF(F$2=0,"",IFERROR(TRIM(INDEX('Pegar estudiantes'!$A$1:$BZ$1001,629,F$2)&amp;""),""))</f>
        <v/>
      </c>
      <c r="G630">
        <f>IF(G$2=0,"",IFERROR(TRIM(INDEX('Pegar estudiantes'!$A$1:$BZ$1001,629,G$2)&amp;""),""))</f>
        <v/>
      </c>
      <c r="H630">
        <f>IF(H$2=0,"",IFERROR(TRIM(INDEX('Pegar estudiantes'!$A$1:$BZ$1001,629,H$2)&amp;""),""))</f>
        <v/>
      </c>
      <c r="I630">
        <f>IF(I$2=0,"",IFERROR(TRIM(INDEX('Pegar estudiantes'!$A$1:$BZ$1001,629,I$2)&amp;""),""))</f>
        <v/>
      </c>
      <c r="J630">
        <f>IF(J$2=0,"",IFERROR(TRIM(INDEX('Pegar estudiantes'!$A$1:$BZ$1001,629,J$2)&amp;""),""))</f>
        <v/>
      </c>
      <c r="K630">
        <f>IF(K$2=0,"",IFERROR(TRIM(INDEX('Pegar estudiantes'!$A$1:$BZ$1001,629,K$2)&amp;""),""))</f>
        <v/>
      </c>
      <c r="L630" s="25">
        <f>IF(A630&lt;&gt;"",1,"")</f>
        <v/>
      </c>
      <c r="M630" s="25">
        <f>IF(L630=1,IF(ISNUMBER(FIND("#"&amp;MID(A630,1,1)&amp;"#","#0#1#2#3#4#5#6#7#8#9#")),IF(ISNUMBER(FIND("#"&amp;MID(A630,2,1)&amp;"#","#0#1#2#3#4#5#6#7#8#9#")),IF(AND(VALUE(LEFT(A630,2))&gt;=1,VALUE(LEFT(A630,2))&lt;=5),VALUE(LEFT(A630,2)),""),IF(AND(VALUE(LEFT(A630,1))&gt;=1,VALUE(LEFT(A630,1))&lt;=5),VALUE(LEFT(A630,1)),"")),""),"")</f>
        <v/>
      </c>
      <c r="N630" s="25">
        <f>IF(L630=1,IF(ISNUMBER(FIND("#"&amp;MID(H630,1,1)&amp;"#","#0#1#2#3#4#5#6#7#8#9#")),IF(ISNUMBER(FIND("#"&amp;MID(H630,2,1)&amp;"#","#0#1#2#3#4#5#6#7#8#9#")),IF(AND(VALUE(LEFT(H630,2))&gt;=1,VALUE(LEFT(H630,2))&lt;=5),VALUE(LEFT(H630,2)),""),IF(AND(VALUE(LEFT(H630,1))&gt;=1,VALUE(LEFT(H630,1))&lt;=5),VALUE(LEFT(H630,1)),"")),""),"")</f>
        <v/>
      </c>
      <c r="O630" s="25">
        <f>IF(AND(L630=1,B630&lt;&gt;""),SUBSTITUTE(SUBSTITUTE(SUBSTITUTE(SUBSTITUTE(SUBSTITUTE(SUBSTITUTE(SUBSTITUTE(SUBSTITUTE(SUBSTITUTE(SUBSTITUTE(SUBSTITUTE(SUBSTITUTE(LOWER(TRIM(B630)),"á","a"),"é","e"),"í","i"),"ó","o"),"ú","u"),"ü","u"),"ñ","n"),"à","a"),"è","e"),"ì","i"),"ò","o"),"ù","u"),"")</f>
        <v/>
      </c>
      <c r="P630" s="25">
        <f>IF(AND(L630=1,C630&lt;&gt;""),SUBSTITUTE(SUBSTITUTE(SUBSTITUTE(SUBSTITUTE(SUBSTITUTE(SUBSTITUTE(SUBSTITUTE(SUBSTITUTE(SUBSTITUTE(SUBSTITUTE(SUBSTITUTE(SUBSTITUTE(LOWER(TRIM(C630)),"á","a"),"é","e"),"í","i"),"ó","o"),"ú","u"),"ü","u"),"ñ","n"),"à","a"),"è","e"),"ì","i"),"ò","o"),"ù","u"),"")</f>
        <v/>
      </c>
      <c r="Q630" s="25">
        <f>IF(AND(L630=1,E630&lt;&gt;""),SUBSTITUTE(SUBSTITUTE(SUBSTITUTE(SUBSTITUTE(SUBSTITUTE(SUBSTITUTE(SUBSTITUTE(SUBSTITUTE(SUBSTITUTE(SUBSTITUTE(SUBSTITUTE(SUBSTITUTE(LOWER(TRIM(E630)),"á","a"),"é","e"),"í","i"),"ó","o"),"ú","u"),"ü","u"),"ñ","n"),"à","a"),"è","e"),"ì","i"),"ò","o"),"ù","u"),"")</f>
        <v/>
      </c>
      <c r="R630" s="25">
        <f>IF(AND(L630=1,I630&lt;&gt;""),SUBSTITUTE(SUBSTITUTE(SUBSTITUTE(SUBSTITUTE(SUBSTITUTE(SUBSTITUTE(SUBSTITUTE(SUBSTITUTE(SUBSTITUTE(SUBSTITUTE(SUBSTITUTE(SUBSTITUTE(LOWER(TRIM(I630)),"á","a"),"é","e"),"í","i"),"ó","o"),"ú","u"),"ü","u"),"ñ","n"),"à","a"),"è","e"),"ì","i"),"ò","o"),"ù","u"),"")</f>
        <v/>
      </c>
      <c r="S630" s="25">
        <f>IF(R630="","",IF(OR(R630="si",R630="tal vez"),1,0))</f>
        <v/>
      </c>
      <c r="T630" s="25">
        <f>IF(AND(L630=1,D630&lt;&gt;""),IF(IFERROR(COUNTIFS(D$3:D630,"="&amp;SUBSTITUTE(SUBSTITUTE(SUBSTITUTE(D630,"~","~~"),"*","~*"),"?","~?"),L$3:L630,1),0)=1,MAX(T$2:T629)+1,""),"")</f>
        <v/>
      </c>
      <c r="U630" s="25">
        <f>IF(T630="","",COUNTIFS($D$3:$D$1002,"="&amp;SUBSTITUTE(SUBSTITUTE(SUBSTITUTE(D630,"~","~~"),"*","~*"),"?","~?"),$L$3:$L$1002,1)*10000-T630)</f>
        <v/>
      </c>
      <c r="V630" s="25">
        <f>IF(AND(L630=1,J630&lt;&gt;""),IF(IFERROR(COUNTIFS(J$3:J630,"="&amp;SUBSTITUTE(SUBSTITUTE(SUBSTITUTE(J630,"~","~~"),"*","~*"),"?","~?"),L$3:L630,1),0)=1,MAX(V$2:V629)+1,""),"")</f>
        <v/>
      </c>
      <c r="W630" s="25">
        <f>IF(V630="","",COUNTIFS($J$3:$J$1002,"="&amp;SUBSTITUTE(SUBSTITUTE(SUBSTITUTE(J630,"~","~~"),"*","~*"),"?","~?"),$L$3:$L$1002,1)*10000-V630)</f>
        <v/>
      </c>
    </row>
    <row r="631">
      <c r="A631">
        <f>IF(A$2=0,"",IFERROR(TRIM(INDEX('Pegar estudiantes'!$A$1:$BZ$1001,630,A$2)&amp;""),""))</f>
        <v/>
      </c>
      <c r="B631">
        <f>IF(B$2=0,"",IFERROR(TRIM(INDEX('Pegar estudiantes'!$A$1:$BZ$1001,630,B$2)&amp;""),""))</f>
        <v/>
      </c>
      <c r="C631">
        <f>IF(C$2=0,"",IFERROR(TRIM(INDEX('Pegar estudiantes'!$A$1:$BZ$1001,630,C$2)&amp;""),""))</f>
        <v/>
      </c>
      <c r="D631">
        <f>IF(D$2=0,"",IFERROR(TRIM(INDEX('Pegar estudiantes'!$A$1:$BZ$1001,630,D$2)&amp;""),""))</f>
        <v/>
      </c>
      <c r="E631">
        <f>IF(E$2=0,"",IFERROR(TRIM(INDEX('Pegar estudiantes'!$A$1:$BZ$1001,630,E$2)&amp;""),""))</f>
        <v/>
      </c>
      <c r="F631">
        <f>IF(F$2=0,"",IFERROR(TRIM(INDEX('Pegar estudiantes'!$A$1:$BZ$1001,630,F$2)&amp;""),""))</f>
        <v/>
      </c>
      <c r="G631">
        <f>IF(G$2=0,"",IFERROR(TRIM(INDEX('Pegar estudiantes'!$A$1:$BZ$1001,630,G$2)&amp;""),""))</f>
        <v/>
      </c>
      <c r="H631">
        <f>IF(H$2=0,"",IFERROR(TRIM(INDEX('Pegar estudiantes'!$A$1:$BZ$1001,630,H$2)&amp;""),""))</f>
        <v/>
      </c>
      <c r="I631">
        <f>IF(I$2=0,"",IFERROR(TRIM(INDEX('Pegar estudiantes'!$A$1:$BZ$1001,630,I$2)&amp;""),""))</f>
        <v/>
      </c>
      <c r="J631">
        <f>IF(J$2=0,"",IFERROR(TRIM(INDEX('Pegar estudiantes'!$A$1:$BZ$1001,630,J$2)&amp;""),""))</f>
        <v/>
      </c>
      <c r="K631">
        <f>IF(K$2=0,"",IFERROR(TRIM(INDEX('Pegar estudiantes'!$A$1:$BZ$1001,630,K$2)&amp;""),""))</f>
        <v/>
      </c>
      <c r="L631" s="25">
        <f>IF(A631&lt;&gt;"",1,"")</f>
        <v/>
      </c>
      <c r="M631" s="25">
        <f>IF(L631=1,IF(ISNUMBER(FIND("#"&amp;MID(A631,1,1)&amp;"#","#0#1#2#3#4#5#6#7#8#9#")),IF(ISNUMBER(FIND("#"&amp;MID(A631,2,1)&amp;"#","#0#1#2#3#4#5#6#7#8#9#")),IF(AND(VALUE(LEFT(A631,2))&gt;=1,VALUE(LEFT(A631,2))&lt;=5),VALUE(LEFT(A631,2)),""),IF(AND(VALUE(LEFT(A631,1))&gt;=1,VALUE(LEFT(A631,1))&lt;=5),VALUE(LEFT(A631,1)),"")),""),"")</f>
        <v/>
      </c>
      <c r="N631" s="25">
        <f>IF(L631=1,IF(ISNUMBER(FIND("#"&amp;MID(H631,1,1)&amp;"#","#0#1#2#3#4#5#6#7#8#9#")),IF(ISNUMBER(FIND("#"&amp;MID(H631,2,1)&amp;"#","#0#1#2#3#4#5#6#7#8#9#")),IF(AND(VALUE(LEFT(H631,2))&gt;=1,VALUE(LEFT(H631,2))&lt;=5),VALUE(LEFT(H631,2)),""),IF(AND(VALUE(LEFT(H631,1))&gt;=1,VALUE(LEFT(H631,1))&lt;=5),VALUE(LEFT(H631,1)),"")),""),"")</f>
        <v/>
      </c>
      <c r="O631" s="25">
        <f>IF(AND(L631=1,B631&lt;&gt;""),SUBSTITUTE(SUBSTITUTE(SUBSTITUTE(SUBSTITUTE(SUBSTITUTE(SUBSTITUTE(SUBSTITUTE(SUBSTITUTE(SUBSTITUTE(SUBSTITUTE(SUBSTITUTE(SUBSTITUTE(LOWER(TRIM(B631)),"á","a"),"é","e"),"í","i"),"ó","o"),"ú","u"),"ü","u"),"ñ","n"),"à","a"),"è","e"),"ì","i"),"ò","o"),"ù","u"),"")</f>
        <v/>
      </c>
      <c r="P631" s="25">
        <f>IF(AND(L631=1,C631&lt;&gt;""),SUBSTITUTE(SUBSTITUTE(SUBSTITUTE(SUBSTITUTE(SUBSTITUTE(SUBSTITUTE(SUBSTITUTE(SUBSTITUTE(SUBSTITUTE(SUBSTITUTE(SUBSTITUTE(SUBSTITUTE(LOWER(TRIM(C631)),"á","a"),"é","e"),"í","i"),"ó","o"),"ú","u"),"ü","u"),"ñ","n"),"à","a"),"è","e"),"ì","i"),"ò","o"),"ù","u"),"")</f>
        <v/>
      </c>
      <c r="Q631" s="25">
        <f>IF(AND(L631=1,E631&lt;&gt;""),SUBSTITUTE(SUBSTITUTE(SUBSTITUTE(SUBSTITUTE(SUBSTITUTE(SUBSTITUTE(SUBSTITUTE(SUBSTITUTE(SUBSTITUTE(SUBSTITUTE(SUBSTITUTE(SUBSTITUTE(LOWER(TRIM(E631)),"á","a"),"é","e"),"í","i"),"ó","o"),"ú","u"),"ü","u"),"ñ","n"),"à","a"),"è","e"),"ì","i"),"ò","o"),"ù","u"),"")</f>
        <v/>
      </c>
      <c r="R631" s="25">
        <f>IF(AND(L631=1,I631&lt;&gt;""),SUBSTITUTE(SUBSTITUTE(SUBSTITUTE(SUBSTITUTE(SUBSTITUTE(SUBSTITUTE(SUBSTITUTE(SUBSTITUTE(SUBSTITUTE(SUBSTITUTE(SUBSTITUTE(SUBSTITUTE(LOWER(TRIM(I631)),"á","a"),"é","e"),"í","i"),"ó","o"),"ú","u"),"ü","u"),"ñ","n"),"à","a"),"è","e"),"ì","i"),"ò","o"),"ù","u"),"")</f>
        <v/>
      </c>
      <c r="S631" s="25">
        <f>IF(R631="","",IF(OR(R631="si",R631="tal vez"),1,0))</f>
        <v/>
      </c>
      <c r="T631" s="25">
        <f>IF(AND(L631=1,D631&lt;&gt;""),IF(IFERROR(COUNTIFS(D$3:D631,"="&amp;SUBSTITUTE(SUBSTITUTE(SUBSTITUTE(D631,"~","~~"),"*","~*"),"?","~?"),L$3:L631,1),0)=1,MAX(T$2:T630)+1,""),"")</f>
        <v/>
      </c>
      <c r="U631" s="25">
        <f>IF(T631="","",COUNTIFS($D$3:$D$1002,"="&amp;SUBSTITUTE(SUBSTITUTE(SUBSTITUTE(D631,"~","~~"),"*","~*"),"?","~?"),$L$3:$L$1002,1)*10000-T631)</f>
        <v/>
      </c>
      <c r="V631" s="25">
        <f>IF(AND(L631=1,J631&lt;&gt;""),IF(IFERROR(COUNTIFS(J$3:J631,"="&amp;SUBSTITUTE(SUBSTITUTE(SUBSTITUTE(J631,"~","~~"),"*","~*"),"?","~?"),L$3:L631,1),0)=1,MAX(V$2:V630)+1,""),"")</f>
        <v/>
      </c>
      <c r="W631" s="25">
        <f>IF(V631="","",COUNTIFS($J$3:$J$1002,"="&amp;SUBSTITUTE(SUBSTITUTE(SUBSTITUTE(J631,"~","~~"),"*","~*"),"?","~?"),$L$3:$L$1002,1)*10000-V631)</f>
        <v/>
      </c>
    </row>
    <row r="632">
      <c r="A632">
        <f>IF(A$2=0,"",IFERROR(TRIM(INDEX('Pegar estudiantes'!$A$1:$BZ$1001,631,A$2)&amp;""),""))</f>
        <v/>
      </c>
      <c r="B632">
        <f>IF(B$2=0,"",IFERROR(TRIM(INDEX('Pegar estudiantes'!$A$1:$BZ$1001,631,B$2)&amp;""),""))</f>
        <v/>
      </c>
      <c r="C632">
        <f>IF(C$2=0,"",IFERROR(TRIM(INDEX('Pegar estudiantes'!$A$1:$BZ$1001,631,C$2)&amp;""),""))</f>
        <v/>
      </c>
      <c r="D632">
        <f>IF(D$2=0,"",IFERROR(TRIM(INDEX('Pegar estudiantes'!$A$1:$BZ$1001,631,D$2)&amp;""),""))</f>
        <v/>
      </c>
      <c r="E632">
        <f>IF(E$2=0,"",IFERROR(TRIM(INDEX('Pegar estudiantes'!$A$1:$BZ$1001,631,E$2)&amp;""),""))</f>
        <v/>
      </c>
      <c r="F632">
        <f>IF(F$2=0,"",IFERROR(TRIM(INDEX('Pegar estudiantes'!$A$1:$BZ$1001,631,F$2)&amp;""),""))</f>
        <v/>
      </c>
      <c r="G632">
        <f>IF(G$2=0,"",IFERROR(TRIM(INDEX('Pegar estudiantes'!$A$1:$BZ$1001,631,G$2)&amp;""),""))</f>
        <v/>
      </c>
      <c r="H632">
        <f>IF(H$2=0,"",IFERROR(TRIM(INDEX('Pegar estudiantes'!$A$1:$BZ$1001,631,H$2)&amp;""),""))</f>
        <v/>
      </c>
      <c r="I632">
        <f>IF(I$2=0,"",IFERROR(TRIM(INDEX('Pegar estudiantes'!$A$1:$BZ$1001,631,I$2)&amp;""),""))</f>
        <v/>
      </c>
      <c r="J632">
        <f>IF(J$2=0,"",IFERROR(TRIM(INDEX('Pegar estudiantes'!$A$1:$BZ$1001,631,J$2)&amp;""),""))</f>
        <v/>
      </c>
      <c r="K632">
        <f>IF(K$2=0,"",IFERROR(TRIM(INDEX('Pegar estudiantes'!$A$1:$BZ$1001,631,K$2)&amp;""),""))</f>
        <v/>
      </c>
      <c r="L632" s="25">
        <f>IF(A632&lt;&gt;"",1,"")</f>
        <v/>
      </c>
      <c r="M632" s="25">
        <f>IF(L632=1,IF(ISNUMBER(FIND("#"&amp;MID(A632,1,1)&amp;"#","#0#1#2#3#4#5#6#7#8#9#")),IF(ISNUMBER(FIND("#"&amp;MID(A632,2,1)&amp;"#","#0#1#2#3#4#5#6#7#8#9#")),IF(AND(VALUE(LEFT(A632,2))&gt;=1,VALUE(LEFT(A632,2))&lt;=5),VALUE(LEFT(A632,2)),""),IF(AND(VALUE(LEFT(A632,1))&gt;=1,VALUE(LEFT(A632,1))&lt;=5),VALUE(LEFT(A632,1)),"")),""),"")</f>
        <v/>
      </c>
      <c r="N632" s="25">
        <f>IF(L632=1,IF(ISNUMBER(FIND("#"&amp;MID(H632,1,1)&amp;"#","#0#1#2#3#4#5#6#7#8#9#")),IF(ISNUMBER(FIND("#"&amp;MID(H632,2,1)&amp;"#","#0#1#2#3#4#5#6#7#8#9#")),IF(AND(VALUE(LEFT(H632,2))&gt;=1,VALUE(LEFT(H632,2))&lt;=5),VALUE(LEFT(H632,2)),""),IF(AND(VALUE(LEFT(H632,1))&gt;=1,VALUE(LEFT(H632,1))&lt;=5),VALUE(LEFT(H632,1)),"")),""),"")</f>
        <v/>
      </c>
      <c r="O632" s="25">
        <f>IF(AND(L632=1,B632&lt;&gt;""),SUBSTITUTE(SUBSTITUTE(SUBSTITUTE(SUBSTITUTE(SUBSTITUTE(SUBSTITUTE(SUBSTITUTE(SUBSTITUTE(SUBSTITUTE(SUBSTITUTE(SUBSTITUTE(SUBSTITUTE(LOWER(TRIM(B632)),"á","a"),"é","e"),"í","i"),"ó","o"),"ú","u"),"ü","u"),"ñ","n"),"à","a"),"è","e"),"ì","i"),"ò","o"),"ù","u"),"")</f>
        <v/>
      </c>
      <c r="P632" s="25">
        <f>IF(AND(L632=1,C632&lt;&gt;""),SUBSTITUTE(SUBSTITUTE(SUBSTITUTE(SUBSTITUTE(SUBSTITUTE(SUBSTITUTE(SUBSTITUTE(SUBSTITUTE(SUBSTITUTE(SUBSTITUTE(SUBSTITUTE(SUBSTITUTE(LOWER(TRIM(C632)),"á","a"),"é","e"),"í","i"),"ó","o"),"ú","u"),"ü","u"),"ñ","n"),"à","a"),"è","e"),"ì","i"),"ò","o"),"ù","u"),"")</f>
        <v/>
      </c>
      <c r="Q632" s="25">
        <f>IF(AND(L632=1,E632&lt;&gt;""),SUBSTITUTE(SUBSTITUTE(SUBSTITUTE(SUBSTITUTE(SUBSTITUTE(SUBSTITUTE(SUBSTITUTE(SUBSTITUTE(SUBSTITUTE(SUBSTITUTE(SUBSTITUTE(SUBSTITUTE(LOWER(TRIM(E632)),"á","a"),"é","e"),"í","i"),"ó","o"),"ú","u"),"ü","u"),"ñ","n"),"à","a"),"è","e"),"ì","i"),"ò","o"),"ù","u"),"")</f>
        <v/>
      </c>
      <c r="R632" s="25">
        <f>IF(AND(L632=1,I632&lt;&gt;""),SUBSTITUTE(SUBSTITUTE(SUBSTITUTE(SUBSTITUTE(SUBSTITUTE(SUBSTITUTE(SUBSTITUTE(SUBSTITUTE(SUBSTITUTE(SUBSTITUTE(SUBSTITUTE(SUBSTITUTE(LOWER(TRIM(I632)),"á","a"),"é","e"),"í","i"),"ó","o"),"ú","u"),"ü","u"),"ñ","n"),"à","a"),"è","e"),"ì","i"),"ò","o"),"ù","u"),"")</f>
        <v/>
      </c>
      <c r="S632" s="25">
        <f>IF(R632="","",IF(OR(R632="si",R632="tal vez"),1,0))</f>
        <v/>
      </c>
      <c r="T632" s="25">
        <f>IF(AND(L632=1,D632&lt;&gt;""),IF(IFERROR(COUNTIFS(D$3:D632,"="&amp;SUBSTITUTE(SUBSTITUTE(SUBSTITUTE(D632,"~","~~"),"*","~*"),"?","~?"),L$3:L632,1),0)=1,MAX(T$2:T631)+1,""),"")</f>
        <v/>
      </c>
      <c r="U632" s="25">
        <f>IF(T632="","",COUNTIFS($D$3:$D$1002,"="&amp;SUBSTITUTE(SUBSTITUTE(SUBSTITUTE(D632,"~","~~"),"*","~*"),"?","~?"),$L$3:$L$1002,1)*10000-T632)</f>
        <v/>
      </c>
      <c r="V632" s="25">
        <f>IF(AND(L632=1,J632&lt;&gt;""),IF(IFERROR(COUNTIFS(J$3:J632,"="&amp;SUBSTITUTE(SUBSTITUTE(SUBSTITUTE(J632,"~","~~"),"*","~*"),"?","~?"),L$3:L632,1),0)=1,MAX(V$2:V631)+1,""),"")</f>
        <v/>
      </c>
      <c r="W632" s="25">
        <f>IF(V632="","",COUNTIFS($J$3:$J$1002,"="&amp;SUBSTITUTE(SUBSTITUTE(SUBSTITUTE(J632,"~","~~"),"*","~*"),"?","~?"),$L$3:$L$1002,1)*10000-V632)</f>
        <v/>
      </c>
    </row>
    <row r="633">
      <c r="A633">
        <f>IF(A$2=0,"",IFERROR(TRIM(INDEX('Pegar estudiantes'!$A$1:$BZ$1001,632,A$2)&amp;""),""))</f>
        <v/>
      </c>
      <c r="B633">
        <f>IF(B$2=0,"",IFERROR(TRIM(INDEX('Pegar estudiantes'!$A$1:$BZ$1001,632,B$2)&amp;""),""))</f>
        <v/>
      </c>
      <c r="C633">
        <f>IF(C$2=0,"",IFERROR(TRIM(INDEX('Pegar estudiantes'!$A$1:$BZ$1001,632,C$2)&amp;""),""))</f>
        <v/>
      </c>
      <c r="D633">
        <f>IF(D$2=0,"",IFERROR(TRIM(INDEX('Pegar estudiantes'!$A$1:$BZ$1001,632,D$2)&amp;""),""))</f>
        <v/>
      </c>
      <c r="E633">
        <f>IF(E$2=0,"",IFERROR(TRIM(INDEX('Pegar estudiantes'!$A$1:$BZ$1001,632,E$2)&amp;""),""))</f>
        <v/>
      </c>
      <c r="F633">
        <f>IF(F$2=0,"",IFERROR(TRIM(INDEX('Pegar estudiantes'!$A$1:$BZ$1001,632,F$2)&amp;""),""))</f>
        <v/>
      </c>
      <c r="G633">
        <f>IF(G$2=0,"",IFERROR(TRIM(INDEX('Pegar estudiantes'!$A$1:$BZ$1001,632,G$2)&amp;""),""))</f>
        <v/>
      </c>
      <c r="H633">
        <f>IF(H$2=0,"",IFERROR(TRIM(INDEX('Pegar estudiantes'!$A$1:$BZ$1001,632,H$2)&amp;""),""))</f>
        <v/>
      </c>
      <c r="I633">
        <f>IF(I$2=0,"",IFERROR(TRIM(INDEX('Pegar estudiantes'!$A$1:$BZ$1001,632,I$2)&amp;""),""))</f>
        <v/>
      </c>
      <c r="J633">
        <f>IF(J$2=0,"",IFERROR(TRIM(INDEX('Pegar estudiantes'!$A$1:$BZ$1001,632,J$2)&amp;""),""))</f>
        <v/>
      </c>
      <c r="K633">
        <f>IF(K$2=0,"",IFERROR(TRIM(INDEX('Pegar estudiantes'!$A$1:$BZ$1001,632,K$2)&amp;""),""))</f>
        <v/>
      </c>
      <c r="L633" s="25">
        <f>IF(A633&lt;&gt;"",1,"")</f>
        <v/>
      </c>
      <c r="M633" s="25">
        <f>IF(L633=1,IF(ISNUMBER(FIND("#"&amp;MID(A633,1,1)&amp;"#","#0#1#2#3#4#5#6#7#8#9#")),IF(ISNUMBER(FIND("#"&amp;MID(A633,2,1)&amp;"#","#0#1#2#3#4#5#6#7#8#9#")),IF(AND(VALUE(LEFT(A633,2))&gt;=1,VALUE(LEFT(A633,2))&lt;=5),VALUE(LEFT(A633,2)),""),IF(AND(VALUE(LEFT(A633,1))&gt;=1,VALUE(LEFT(A633,1))&lt;=5),VALUE(LEFT(A633,1)),"")),""),"")</f>
        <v/>
      </c>
      <c r="N633" s="25">
        <f>IF(L633=1,IF(ISNUMBER(FIND("#"&amp;MID(H633,1,1)&amp;"#","#0#1#2#3#4#5#6#7#8#9#")),IF(ISNUMBER(FIND("#"&amp;MID(H633,2,1)&amp;"#","#0#1#2#3#4#5#6#7#8#9#")),IF(AND(VALUE(LEFT(H633,2))&gt;=1,VALUE(LEFT(H633,2))&lt;=5),VALUE(LEFT(H633,2)),""),IF(AND(VALUE(LEFT(H633,1))&gt;=1,VALUE(LEFT(H633,1))&lt;=5),VALUE(LEFT(H633,1)),"")),""),"")</f>
        <v/>
      </c>
      <c r="O633" s="25">
        <f>IF(AND(L633=1,B633&lt;&gt;""),SUBSTITUTE(SUBSTITUTE(SUBSTITUTE(SUBSTITUTE(SUBSTITUTE(SUBSTITUTE(SUBSTITUTE(SUBSTITUTE(SUBSTITUTE(SUBSTITUTE(SUBSTITUTE(SUBSTITUTE(LOWER(TRIM(B633)),"á","a"),"é","e"),"í","i"),"ó","o"),"ú","u"),"ü","u"),"ñ","n"),"à","a"),"è","e"),"ì","i"),"ò","o"),"ù","u"),"")</f>
        <v/>
      </c>
      <c r="P633" s="25">
        <f>IF(AND(L633=1,C633&lt;&gt;""),SUBSTITUTE(SUBSTITUTE(SUBSTITUTE(SUBSTITUTE(SUBSTITUTE(SUBSTITUTE(SUBSTITUTE(SUBSTITUTE(SUBSTITUTE(SUBSTITUTE(SUBSTITUTE(SUBSTITUTE(LOWER(TRIM(C633)),"á","a"),"é","e"),"í","i"),"ó","o"),"ú","u"),"ü","u"),"ñ","n"),"à","a"),"è","e"),"ì","i"),"ò","o"),"ù","u"),"")</f>
        <v/>
      </c>
      <c r="Q633" s="25">
        <f>IF(AND(L633=1,E633&lt;&gt;""),SUBSTITUTE(SUBSTITUTE(SUBSTITUTE(SUBSTITUTE(SUBSTITUTE(SUBSTITUTE(SUBSTITUTE(SUBSTITUTE(SUBSTITUTE(SUBSTITUTE(SUBSTITUTE(SUBSTITUTE(LOWER(TRIM(E633)),"á","a"),"é","e"),"í","i"),"ó","o"),"ú","u"),"ü","u"),"ñ","n"),"à","a"),"è","e"),"ì","i"),"ò","o"),"ù","u"),"")</f>
        <v/>
      </c>
      <c r="R633" s="25">
        <f>IF(AND(L633=1,I633&lt;&gt;""),SUBSTITUTE(SUBSTITUTE(SUBSTITUTE(SUBSTITUTE(SUBSTITUTE(SUBSTITUTE(SUBSTITUTE(SUBSTITUTE(SUBSTITUTE(SUBSTITUTE(SUBSTITUTE(SUBSTITUTE(LOWER(TRIM(I633)),"á","a"),"é","e"),"í","i"),"ó","o"),"ú","u"),"ü","u"),"ñ","n"),"à","a"),"è","e"),"ì","i"),"ò","o"),"ù","u"),"")</f>
        <v/>
      </c>
      <c r="S633" s="25">
        <f>IF(R633="","",IF(OR(R633="si",R633="tal vez"),1,0))</f>
        <v/>
      </c>
      <c r="T633" s="25">
        <f>IF(AND(L633=1,D633&lt;&gt;""),IF(IFERROR(COUNTIFS(D$3:D633,"="&amp;SUBSTITUTE(SUBSTITUTE(SUBSTITUTE(D633,"~","~~"),"*","~*"),"?","~?"),L$3:L633,1),0)=1,MAX(T$2:T632)+1,""),"")</f>
        <v/>
      </c>
      <c r="U633" s="25">
        <f>IF(T633="","",COUNTIFS($D$3:$D$1002,"="&amp;SUBSTITUTE(SUBSTITUTE(SUBSTITUTE(D633,"~","~~"),"*","~*"),"?","~?"),$L$3:$L$1002,1)*10000-T633)</f>
        <v/>
      </c>
      <c r="V633" s="25">
        <f>IF(AND(L633=1,J633&lt;&gt;""),IF(IFERROR(COUNTIFS(J$3:J633,"="&amp;SUBSTITUTE(SUBSTITUTE(SUBSTITUTE(J633,"~","~~"),"*","~*"),"?","~?"),L$3:L633,1),0)=1,MAX(V$2:V632)+1,""),"")</f>
        <v/>
      </c>
      <c r="W633" s="25">
        <f>IF(V633="","",COUNTIFS($J$3:$J$1002,"="&amp;SUBSTITUTE(SUBSTITUTE(SUBSTITUTE(J633,"~","~~"),"*","~*"),"?","~?"),$L$3:$L$1002,1)*10000-V633)</f>
        <v/>
      </c>
    </row>
    <row r="634">
      <c r="A634">
        <f>IF(A$2=0,"",IFERROR(TRIM(INDEX('Pegar estudiantes'!$A$1:$BZ$1001,633,A$2)&amp;""),""))</f>
        <v/>
      </c>
      <c r="B634">
        <f>IF(B$2=0,"",IFERROR(TRIM(INDEX('Pegar estudiantes'!$A$1:$BZ$1001,633,B$2)&amp;""),""))</f>
        <v/>
      </c>
      <c r="C634">
        <f>IF(C$2=0,"",IFERROR(TRIM(INDEX('Pegar estudiantes'!$A$1:$BZ$1001,633,C$2)&amp;""),""))</f>
        <v/>
      </c>
      <c r="D634">
        <f>IF(D$2=0,"",IFERROR(TRIM(INDEX('Pegar estudiantes'!$A$1:$BZ$1001,633,D$2)&amp;""),""))</f>
        <v/>
      </c>
      <c r="E634">
        <f>IF(E$2=0,"",IFERROR(TRIM(INDEX('Pegar estudiantes'!$A$1:$BZ$1001,633,E$2)&amp;""),""))</f>
        <v/>
      </c>
      <c r="F634">
        <f>IF(F$2=0,"",IFERROR(TRIM(INDEX('Pegar estudiantes'!$A$1:$BZ$1001,633,F$2)&amp;""),""))</f>
        <v/>
      </c>
      <c r="G634">
        <f>IF(G$2=0,"",IFERROR(TRIM(INDEX('Pegar estudiantes'!$A$1:$BZ$1001,633,G$2)&amp;""),""))</f>
        <v/>
      </c>
      <c r="H634">
        <f>IF(H$2=0,"",IFERROR(TRIM(INDEX('Pegar estudiantes'!$A$1:$BZ$1001,633,H$2)&amp;""),""))</f>
        <v/>
      </c>
      <c r="I634">
        <f>IF(I$2=0,"",IFERROR(TRIM(INDEX('Pegar estudiantes'!$A$1:$BZ$1001,633,I$2)&amp;""),""))</f>
        <v/>
      </c>
      <c r="J634">
        <f>IF(J$2=0,"",IFERROR(TRIM(INDEX('Pegar estudiantes'!$A$1:$BZ$1001,633,J$2)&amp;""),""))</f>
        <v/>
      </c>
      <c r="K634">
        <f>IF(K$2=0,"",IFERROR(TRIM(INDEX('Pegar estudiantes'!$A$1:$BZ$1001,633,K$2)&amp;""),""))</f>
        <v/>
      </c>
      <c r="L634" s="25">
        <f>IF(A634&lt;&gt;"",1,"")</f>
        <v/>
      </c>
      <c r="M634" s="25">
        <f>IF(L634=1,IF(ISNUMBER(FIND("#"&amp;MID(A634,1,1)&amp;"#","#0#1#2#3#4#5#6#7#8#9#")),IF(ISNUMBER(FIND("#"&amp;MID(A634,2,1)&amp;"#","#0#1#2#3#4#5#6#7#8#9#")),IF(AND(VALUE(LEFT(A634,2))&gt;=1,VALUE(LEFT(A634,2))&lt;=5),VALUE(LEFT(A634,2)),""),IF(AND(VALUE(LEFT(A634,1))&gt;=1,VALUE(LEFT(A634,1))&lt;=5),VALUE(LEFT(A634,1)),"")),""),"")</f>
        <v/>
      </c>
      <c r="N634" s="25">
        <f>IF(L634=1,IF(ISNUMBER(FIND("#"&amp;MID(H634,1,1)&amp;"#","#0#1#2#3#4#5#6#7#8#9#")),IF(ISNUMBER(FIND("#"&amp;MID(H634,2,1)&amp;"#","#0#1#2#3#4#5#6#7#8#9#")),IF(AND(VALUE(LEFT(H634,2))&gt;=1,VALUE(LEFT(H634,2))&lt;=5),VALUE(LEFT(H634,2)),""),IF(AND(VALUE(LEFT(H634,1))&gt;=1,VALUE(LEFT(H634,1))&lt;=5),VALUE(LEFT(H634,1)),"")),""),"")</f>
        <v/>
      </c>
      <c r="O634" s="25">
        <f>IF(AND(L634=1,B634&lt;&gt;""),SUBSTITUTE(SUBSTITUTE(SUBSTITUTE(SUBSTITUTE(SUBSTITUTE(SUBSTITUTE(SUBSTITUTE(SUBSTITUTE(SUBSTITUTE(SUBSTITUTE(SUBSTITUTE(SUBSTITUTE(LOWER(TRIM(B634)),"á","a"),"é","e"),"í","i"),"ó","o"),"ú","u"),"ü","u"),"ñ","n"),"à","a"),"è","e"),"ì","i"),"ò","o"),"ù","u"),"")</f>
        <v/>
      </c>
      <c r="P634" s="25">
        <f>IF(AND(L634=1,C634&lt;&gt;""),SUBSTITUTE(SUBSTITUTE(SUBSTITUTE(SUBSTITUTE(SUBSTITUTE(SUBSTITUTE(SUBSTITUTE(SUBSTITUTE(SUBSTITUTE(SUBSTITUTE(SUBSTITUTE(SUBSTITUTE(LOWER(TRIM(C634)),"á","a"),"é","e"),"í","i"),"ó","o"),"ú","u"),"ü","u"),"ñ","n"),"à","a"),"è","e"),"ì","i"),"ò","o"),"ù","u"),"")</f>
        <v/>
      </c>
      <c r="Q634" s="25">
        <f>IF(AND(L634=1,E634&lt;&gt;""),SUBSTITUTE(SUBSTITUTE(SUBSTITUTE(SUBSTITUTE(SUBSTITUTE(SUBSTITUTE(SUBSTITUTE(SUBSTITUTE(SUBSTITUTE(SUBSTITUTE(SUBSTITUTE(SUBSTITUTE(LOWER(TRIM(E634)),"á","a"),"é","e"),"í","i"),"ó","o"),"ú","u"),"ü","u"),"ñ","n"),"à","a"),"è","e"),"ì","i"),"ò","o"),"ù","u"),"")</f>
        <v/>
      </c>
      <c r="R634" s="25">
        <f>IF(AND(L634=1,I634&lt;&gt;""),SUBSTITUTE(SUBSTITUTE(SUBSTITUTE(SUBSTITUTE(SUBSTITUTE(SUBSTITUTE(SUBSTITUTE(SUBSTITUTE(SUBSTITUTE(SUBSTITUTE(SUBSTITUTE(SUBSTITUTE(LOWER(TRIM(I634)),"á","a"),"é","e"),"í","i"),"ó","o"),"ú","u"),"ü","u"),"ñ","n"),"à","a"),"è","e"),"ì","i"),"ò","o"),"ù","u"),"")</f>
        <v/>
      </c>
      <c r="S634" s="25">
        <f>IF(R634="","",IF(OR(R634="si",R634="tal vez"),1,0))</f>
        <v/>
      </c>
      <c r="T634" s="25">
        <f>IF(AND(L634=1,D634&lt;&gt;""),IF(IFERROR(COUNTIFS(D$3:D634,"="&amp;SUBSTITUTE(SUBSTITUTE(SUBSTITUTE(D634,"~","~~"),"*","~*"),"?","~?"),L$3:L634,1),0)=1,MAX(T$2:T633)+1,""),"")</f>
        <v/>
      </c>
      <c r="U634" s="25">
        <f>IF(T634="","",COUNTIFS($D$3:$D$1002,"="&amp;SUBSTITUTE(SUBSTITUTE(SUBSTITUTE(D634,"~","~~"),"*","~*"),"?","~?"),$L$3:$L$1002,1)*10000-T634)</f>
        <v/>
      </c>
      <c r="V634" s="25">
        <f>IF(AND(L634=1,J634&lt;&gt;""),IF(IFERROR(COUNTIFS(J$3:J634,"="&amp;SUBSTITUTE(SUBSTITUTE(SUBSTITUTE(J634,"~","~~"),"*","~*"),"?","~?"),L$3:L634,1),0)=1,MAX(V$2:V633)+1,""),"")</f>
        <v/>
      </c>
      <c r="W634" s="25">
        <f>IF(V634="","",COUNTIFS($J$3:$J$1002,"="&amp;SUBSTITUTE(SUBSTITUTE(SUBSTITUTE(J634,"~","~~"),"*","~*"),"?","~?"),$L$3:$L$1002,1)*10000-V634)</f>
        <v/>
      </c>
    </row>
    <row r="635">
      <c r="A635">
        <f>IF(A$2=0,"",IFERROR(TRIM(INDEX('Pegar estudiantes'!$A$1:$BZ$1001,634,A$2)&amp;""),""))</f>
        <v/>
      </c>
      <c r="B635">
        <f>IF(B$2=0,"",IFERROR(TRIM(INDEX('Pegar estudiantes'!$A$1:$BZ$1001,634,B$2)&amp;""),""))</f>
        <v/>
      </c>
      <c r="C635">
        <f>IF(C$2=0,"",IFERROR(TRIM(INDEX('Pegar estudiantes'!$A$1:$BZ$1001,634,C$2)&amp;""),""))</f>
        <v/>
      </c>
      <c r="D635">
        <f>IF(D$2=0,"",IFERROR(TRIM(INDEX('Pegar estudiantes'!$A$1:$BZ$1001,634,D$2)&amp;""),""))</f>
        <v/>
      </c>
      <c r="E635">
        <f>IF(E$2=0,"",IFERROR(TRIM(INDEX('Pegar estudiantes'!$A$1:$BZ$1001,634,E$2)&amp;""),""))</f>
        <v/>
      </c>
      <c r="F635">
        <f>IF(F$2=0,"",IFERROR(TRIM(INDEX('Pegar estudiantes'!$A$1:$BZ$1001,634,F$2)&amp;""),""))</f>
        <v/>
      </c>
      <c r="G635">
        <f>IF(G$2=0,"",IFERROR(TRIM(INDEX('Pegar estudiantes'!$A$1:$BZ$1001,634,G$2)&amp;""),""))</f>
        <v/>
      </c>
      <c r="H635">
        <f>IF(H$2=0,"",IFERROR(TRIM(INDEX('Pegar estudiantes'!$A$1:$BZ$1001,634,H$2)&amp;""),""))</f>
        <v/>
      </c>
      <c r="I635">
        <f>IF(I$2=0,"",IFERROR(TRIM(INDEX('Pegar estudiantes'!$A$1:$BZ$1001,634,I$2)&amp;""),""))</f>
        <v/>
      </c>
      <c r="J635">
        <f>IF(J$2=0,"",IFERROR(TRIM(INDEX('Pegar estudiantes'!$A$1:$BZ$1001,634,J$2)&amp;""),""))</f>
        <v/>
      </c>
      <c r="K635">
        <f>IF(K$2=0,"",IFERROR(TRIM(INDEX('Pegar estudiantes'!$A$1:$BZ$1001,634,K$2)&amp;""),""))</f>
        <v/>
      </c>
      <c r="L635" s="25">
        <f>IF(A635&lt;&gt;"",1,"")</f>
        <v/>
      </c>
      <c r="M635" s="25">
        <f>IF(L635=1,IF(ISNUMBER(FIND("#"&amp;MID(A635,1,1)&amp;"#","#0#1#2#3#4#5#6#7#8#9#")),IF(ISNUMBER(FIND("#"&amp;MID(A635,2,1)&amp;"#","#0#1#2#3#4#5#6#7#8#9#")),IF(AND(VALUE(LEFT(A635,2))&gt;=1,VALUE(LEFT(A635,2))&lt;=5),VALUE(LEFT(A635,2)),""),IF(AND(VALUE(LEFT(A635,1))&gt;=1,VALUE(LEFT(A635,1))&lt;=5),VALUE(LEFT(A635,1)),"")),""),"")</f>
        <v/>
      </c>
      <c r="N635" s="25">
        <f>IF(L635=1,IF(ISNUMBER(FIND("#"&amp;MID(H635,1,1)&amp;"#","#0#1#2#3#4#5#6#7#8#9#")),IF(ISNUMBER(FIND("#"&amp;MID(H635,2,1)&amp;"#","#0#1#2#3#4#5#6#7#8#9#")),IF(AND(VALUE(LEFT(H635,2))&gt;=1,VALUE(LEFT(H635,2))&lt;=5),VALUE(LEFT(H635,2)),""),IF(AND(VALUE(LEFT(H635,1))&gt;=1,VALUE(LEFT(H635,1))&lt;=5),VALUE(LEFT(H635,1)),"")),""),"")</f>
        <v/>
      </c>
      <c r="O635" s="25">
        <f>IF(AND(L635=1,B635&lt;&gt;""),SUBSTITUTE(SUBSTITUTE(SUBSTITUTE(SUBSTITUTE(SUBSTITUTE(SUBSTITUTE(SUBSTITUTE(SUBSTITUTE(SUBSTITUTE(SUBSTITUTE(SUBSTITUTE(SUBSTITUTE(LOWER(TRIM(B635)),"á","a"),"é","e"),"í","i"),"ó","o"),"ú","u"),"ü","u"),"ñ","n"),"à","a"),"è","e"),"ì","i"),"ò","o"),"ù","u"),"")</f>
        <v/>
      </c>
      <c r="P635" s="25">
        <f>IF(AND(L635=1,C635&lt;&gt;""),SUBSTITUTE(SUBSTITUTE(SUBSTITUTE(SUBSTITUTE(SUBSTITUTE(SUBSTITUTE(SUBSTITUTE(SUBSTITUTE(SUBSTITUTE(SUBSTITUTE(SUBSTITUTE(SUBSTITUTE(LOWER(TRIM(C635)),"á","a"),"é","e"),"í","i"),"ó","o"),"ú","u"),"ü","u"),"ñ","n"),"à","a"),"è","e"),"ì","i"),"ò","o"),"ù","u"),"")</f>
        <v/>
      </c>
      <c r="Q635" s="25">
        <f>IF(AND(L635=1,E635&lt;&gt;""),SUBSTITUTE(SUBSTITUTE(SUBSTITUTE(SUBSTITUTE(SUBSTITUTE(SUBSTITUTE(SUBSTITUTE(SUBSTITUTE(SUBSTITUTE(SUBSTITUTE(SUBSTITUTE(SUBSTITUTE(LOWER(TRIM(E635)),"á","a"),"é","e"),"í","i"),"ó","o"),"ú","u"),"ü","u"),"ñ","n"),"à","a"),"è","e"),"ì","i"),"ò","o"),"ù","u"),"")</f>
        <v/>
      </c>
      <c r="R635" s="25">
        <f>IF(AND(L635=1,I635&lt;&gt;""),SUBSTITUTE(SUBSTITUTE(SUBSTITUTE(SUBSTITUTE(SUBSTITUTE(SUBSTITUTE(SUBSTITUTE(SUBSTITUTE(SUBSTITUTE(SUBSTITUTE(SUBSTITUTE(SUBSTITUTE(LOWER(TRIM(I635)),"á","a"),"é","e"),"í","i"),"ó","o"),"ú","u"),"ü","u"),"ñ","n"),"à","a"),"è","e"),"ì","i"),"ò","o"),"ù","u"),"")</f>
        <v/>
      </c>
      <c r="S635" s="25">
        <f>IF(R635="","",IF(OR(R635="si",R635="tal vez"),1,0))</f>
        <v/>
      </c>
      <c r="T635" s="25">
        <f>IF(AND(L635=1,D635&lt;&gt;""),IF(IFERROR(COUNTIFS(D$3:D635,"="&amp;SUBSTITUTE(SUBSTITUTE(SUBSTITUTE(D635,"~","~~"),"*","~*"),"?","~?"),L$3:L635,1),0)=1,MAX(T$2:T634)+1,""),"")</f>
        <v/>
      </c>
      <c r="U635" s="25">
        <f>IF(T635="","",COUNTIFS($D$3:$D$1002,"="&amp;SUBSTITUTE(SUBSTITUTE(SUBSTITUTE(D635,"~","~~"),"*","~*"),"?","~?"),$L$3:$L$1002,1)*10000-T635)</f>
        <v/>
      </c>
      <c r="V635" s="25">
        <f>IF(AND(L635=1,J635&lt;&gt;""),IF(IFERROR(COUNTIFS(J$3:J635,"="&amp;SUBSTITUTE(SUBSTITUTE(SUBSTITUTE(J635,"~","~~"),"*","~*"),"?","~?"),L$3:L635,1),0)=1,MAX(V$2:V634)+1,""),"")</f>
        <v/>
      </c>
      <c r="W635" s="25">
        <f>IF(V635="","",COUNTIFS($J$3:$J$1002,"="&amp;SUBSTITUTE(SUBSTITUTE(SUBSTITUTE(J635,"~","~~"),"*","~*"),"?","~?"),$L$3:$L$1002,1)*10000-V635)</f>
        <v/>
      </c>
    </row>
    <row r="636">
      <c r="A636">
        <f>IF(A$2=0,"",IFERROR(TRIM(INDEX('Pegar estudiantes'!$A$1:$BZ$1001,635,A$2)&amp;""),""))</f>
        <v/>
      </c>
      <c r="B636">
        <f>IF(B$2=0,"",IFERROR(TRIM(INDEX('Pegar estudiantes'!$A$1:$BZ$1001,635,B$2)&amp;""),""))</f>
        <v/>
      </c>
      <c r="C636">
        <f>IF(C$2=0,"",IFERROR(TRIM(INDEX('Pegar estudiantes'!$A$1:$BZ$1001,635,C$2)&amp;""),""))</f>
        <v/>
      </c>
      <c r="D636">
        <f>IF(D$2=0,"",IFERROR(TRIM(INDEX('Pegar estudiantes'!$A$1:$BZ$1001,635,D$2)&amp;""),""))</f>
        <v/>
      </c>
      <c r="E636">
        <f>IF(E$2=0,"",IFERROR(TRIM(INDEX('Pegar estudiantes'!$A$1:$BZ$1001,635,E$2)&amp;""),""))</f>
        <v/>
      </c>
      <c r="F636">
        <f>IF(F$2=0,"",IFERROR(TRIM(INDEX('Pegar estudiantes'!$A$1:$BZ$1001,635,F$2)&amp;""),""))</f>
        <v/>
      </c>
      <c r="G636">
        <f>IF(G$2=0,"",IFERROR(TRIM(INDEX('Pegar estudiantes'!$A$1:$BZ$1001,635,G$2)&amp;""),""))</f>
        <v/>
      </c>
      <c r="H636">
        <f>IF(H$2=0,"",IFERROR(TRIM(INDEX('Pegar estudiantes'!$A$1:$BZ$1001,635,H$2)&amp;""),""))</f>
        <v/>
      </c>
      <c r="I636">
        <f>IF(I$2=0,"",IFERROR(TRIM(INDEX('Pegar estudiantes'!$A$1:$BZ$1001,635,I$2)&amp;""),""))</f>
        <v/>
      </c>
      <c r="J636">
        <f>IF(J$2=0,"",IFERROR(TRIM(INDEX('Pegar estudiantes'!$A$1:$BZ$1001,635,J$2)&amp;""),""))</f>
        <v/>
      </c>
      <c r="K636">
        <f>IF(K$2=0,"",IFERROR(TRIM(INDEX('Pegar estudiantes'!$A$1:$BZ$1001,635,K$2)&amp;""),""))</f>
        <v/>
      </c>
      <c r="L636" s="25">
        <f>IF(A636&lt;&gt;"",1,"")</f>
        <v/>
      </c>
      <c r="M636" s="25">
        <f>IF(L636=1,IF(ISNUMBER(FIND("#"&amp;MID(A636,1,1)&amp;"#","#0#1#2#3#4#5#6#7#8#9#")),IF(ISNUMBER(FIND("#"&amp;MID(A636,2,1)&amp;"#","#0#1#2#3#4#5#6#7#8#9#")),IF(AND(VALUE(LEFT(A636,2))&gt;=1,VALUE(LEFT(A636,2))&lt;=5),VALUE(LEFT(A636,2)),""),IF(AND(VALUE(LEFT(A636,1))&gt;=1,VALUE(LEFT(A636,1))&lt;=5),VALUE(LEFT(A636,1)),"")),""),"")</f>
        <v/>
      </c>
      <c r="N636" s="25">
        <f>IF(L636=1,IF(ISNUMBER(FIND("#"&amp;MID(H636,1,1)&amp;"#","#0#1#2#3#4#5#6#7#8#9#")),IF(ISNUMBER(FIND("#"&amp;MID(H636,2,1)&amp;"#","#0#1#2#3#4#5#6#7#8#9#")),IF(AND(VALUE(LEFT(H636,2))&gt;=1,VALUE(LEFT(H636,2))&lt;=5),VALUE(LEFT(H636,2)),""),IF(AND(VALUE(LEFT(H636,1))&gt;=1,VALUE(LEFT(H636,1))&lt;=5),VALUE(LEFT(H636,1)),"")),""),"")</f>
        <v/>
      </c>
      <c r="O636" s="25">
        <f>IF(AND(L636=1,B636&lt;&gt;""),SUBSTITUTE(SUBSTITUTE(SUBSTITUTE(SUBSTITUTE(SUBSTITUTE(SUBSTITUTE(SUBSTITUTE(SUBSTITUTE(SUBSTITUTE(SUBSTITUTE(SUBSTITUTE(SUBSTITUTE(LOWER(TRIM(B636)),"á","a"),"é","e"),"í","i"),"ó","o"),"ú","u"),"ü","u"),"ñ","n"),"à","a"),"è","e"),"ì","i"),"ò","o"),"ù","u"),"")</f>
        <v/>
      </c>
      <c r="P636" s="25">
        <f>IF(AND(L636=1,C636&lt;&gt;""),SUBSTITUTE(SUBSTITUTE(SUBSTITUTE(SUBSTITUTE(SUBSTITUTE(SUBSTITUTE(SUBSTITUTE(SUBSTITUTE(SUBSTITUTE(SUBSTITUTE(SUBSTITUTE(SUBSTITUTE(LOWER(TRIM(C636)),"á","a"),"é","e"),"í","i"),"ó","o"),"ú","u"),"ü","u"),"ñ","n"),"à","a"),"è","e"),"ì","i"),"ò","o"),"ù","u"),"")</f>
        <v/>
      </c>
      <c r="Q636" s="25">
        <f>IF(AND(L636=1,E636&lt;&gt;""),SUBSTITUTE(SUBSTITUTE(SUBSTITUTE(SUBSTITUTE(SUBSTITUTE(SUBSTITUTE(SUBSTITUTE(SUBSTITUTE(SUBSTITUTE(SUBSTITUTE(SUBSTITUTE(SUBSTITUTE(LOWER(TRIM(E636)),"á","a"),"é","e"),"í","i"),"ó","o"),"ú","u"),"ü","u"),"ñ","n"),"à","a"),"è","e"),"ì","i"),"ò","o"),"ù","u"),"")</f>
        <v/>
      </c>
      <c r="R636" s="25">
        <f>IF(AND(L636=1,I636&lt;&gt;""),SUBSTITUTE(SUBSTITUTE(SUBSTITUTE(SUBSTITUTE(SUBSTITUTE(SUBSTITUTE(SUBSTITUTE(SUBSTITUTE(SUBSTITUTE(SUBSTITUTE(SUBSTITUTE(SUBSTITUTE(LOWER(TRIM(I636)),"á","a"),"é","e"),"í","i"),"ó","o"),"ú","u"),"ü","u"),"ñ","n"),"à","a"),"è","e"),"ì","i"),"ò","o"),"ù","u"),"")</f>
        <v/>
      </c>
      <c r="S636" s="25">
        <f>IF(R636="","",IF(OR(R636="si",R636="tal vez"),1,0))</f>
        <v/>
      </c>
      <c r="T636" s="25">
        <f>IF(AND(L636=1,D636&lt;&gt;""),IF(IFERROR(COUNTIFS(D$3:D636,"="&amp;SUBSTITUTE(SUBSTITUTE(SUBSTITUTE(D636,"~","~~"),"*","~*"),"?","~?"),L$3:L636,1),0)=1,MAX(T$2:T635)+1,""),"")</f>
        <v/>
      </c>
      <c r="U636" s="25">
        <f>IF(T636="","",COUNTIFS($D$3:$D$1002,"="&amp;SUBSTITUTE(SUBSTITUTE(SUBSTITUTE(D636,"~","~~"),"*","~*"),"?","~?"),$L$3:$L$1002,1)*10000-T636)</f>
        <v/>
      </c>
      <c r="V636" s="25">
        <f>IF(AND(L636=1,J636&lt;&gt;""),IF(IFERROR(COUNTIFS(J$3:J636,"="&amp;SUBSTITUTE(SUBSTITUTE(SUBSTITUTE(J636,"~","~~"),"*","~*"),"?","~?"),L$3:L636,1),0)=1,MAX(V$2:V635)+1,""),"")</f>
        <v/>
      </c>
      <c r="W636" s="25">
        <f>IF(V636="","",COUNTIFS($J$3:$J$1002,"="&amp;SUBSTITUTE(SUBSTITUTE(SUBSTITUTE(J636,"~","~~"),"*","~*"),"?","~?"),$L$3:$L$1002,1)*10000-V636)</f>
        <v/>
      </c>
    </row>
    <row r="637">
      <c r="A637">
        <f>IF(A$2=0,"",IFERROR(TRIM(INDEX('Pegar estudiantes'!$A$1:$BZ$1001,636,A$2)&amp;""),""))</f>
        <v/>
      </c>
      <c r="B637">
        <f>IF(B$2=0,"",IFERROR(TRIM(INDEX('Pegar estudiantes'!$A$1:$BZ$1001,636,B$2)&amp;""),""))</f>
        <v/>
      </c>
      <c r="C637">
        <f>IF(C$2=0,"",IFERROR(TRIM(INDEX('Pegar estudiantes'!$A$1:$BZ$1001,636,C$2)&amp;""),""))</f>
        <v/>
      </c>
      <c r="D637">
        <f>IF(D$2=0,"",IFERROR(TRIM(INDEX('Pegar estudiantes'!$A$1:$BZ$1001,636,D$2)&amp;""),""))</f>
        <v/>
      </c>
      <c r="E637">
        <f>IF(E$2=0,"",IFERROR(TRIM(INDEX('Pegar estudiantes'!$A$1:$BZ$1001,636,E$2)&amp;""),""))</f>
        <v/>
      </c>
      <c r="F637">
        <f>IF(F$2=0,"",IFERROR(TRIM(INDEX('Pegar estudiantes'!$A$1:$BZ$1001,636,F$2)&amp;""),""))</f>
        <v/>
      </c>
      <c r="G637">
        <f>IF(G$2=0,"",IFERROR(TRIM(INDEX('Pegar estudiantes'!$A$1:$BZ$1001,636,G$2)&amp;""),""))</f>
        <v/>
      </c>
      <c r="H637">
        <f>IF(H$2=0,"",IFERROR(TRIM(INDEX('Pegar estudiantes'!$A$1:$BZ$1001,636,H$2)&amp;""),""))</f>
        <v/>
      </c>
      <c r="I637">
        <f>IF(I$2=0,"",IFERROR(TRIM(INDEX('Pegar estudiantes'!$A$1:$BZ$1001,636,I$2)&amp;""),""))</f>
        <v/>
      </c>
      <c r="J637">
        <f>IF(J$2=0,"",IFERROR(TRIM(INDEX('Pegar estudiantes'!$A$1:$BZ$1001,636,J$2)&amp;""),""))</f>
        <v/>
      </c>
      <c r="K637">
        <f>IF(K$2=0,"",IFERROR(TRIM(INDEX('Pegar estudiantes'!$A$1:$BZ$1001,636,K$2)&amp;""),""))</f>
        <v/>
      </c>
      <c r="L637" s="25">
        <f>IF(A637&lt;&gt;"",1,"")</f>
        <v/>
      </c>
      <c r="M637" s="25">
        <f>IF(L637=1,IF(ISNUMBER(FIND("#"&amp;MID(A637,1,1)&amp;"#","#0#1#2#3#4#5#6#7#8#9#")),IF(ISNUMBER(FIND("#"&amp;MID(A637,2,1)&amp;"#","#0#1#2#3#4#5#6#7#8#9#")),IF(AND(VALUE(LEFT(A637,2))&gt;=1,VALUE(LEFT(A637,2))&lt;=5),VALUE(LEFT(A637,2)),""),IF(AND(VALUE(LEFT(A637,1))&gt;=1,VALUE(LEFT(A637,1))&lt;=5),VALUE(LEFT(A637,1)),"")),""),"")</f>
        <v/>
      </c>
      <c r="N637" s="25">
        <f>IF(L637=1,IF(ISNUMBER(FIND("#"&amp;MID(H637,1,1)&amp;"#","#0#1#2#3#4#5#6#7#8#9#")),IF(ISNUMBER(FIND("#"&amp;MID(H637,2,1)&amp;"#","#0#1#2#3#4#5#6#7#8#9#")),IF(AND(VALUE(LEFT(H637,2))&gt;=1,VALUE(LEFT(H637,2))&lt;=5),VALUE(LEFT(H637,2)),""),IF(AND(VALUE(LEFT(H637,1))&gt;=1,VALUE(LEFT(H637,1))&lt;=5),VALUE(LEFT(H637,1)),"")),""),"")</f>
        <v/>
      </c>
      <c r="O637" s="25">
        <f>IF(AND(L637=1,B637&lt;&gt;""),SUBSTITUTE(SUBSTITUTE(SUBSTITUTE(SUBSTITUTE(SUBSTITUTE(SUBSTITUTE(SUBSTITUTE(SUBSTITUTE(SUBSTITUTE(SUBSTITUTE(SUBSTITUTE(SUBSTITUTE(LOWER(TRIM(B637)),"á","a"),"é","e"),"í","i"),"ó","o"),"ú","u"),"ü","u"),"ñ","n"),"à","a"),"è","e"),"ì","i"),"ò","o"),"ù","u"),"")</f>
        <v/>
      </c>
      <c r="P637" s="25">
        <f>IF(AND(L637=1,C637&lt;&gt;""),SUBSTITUTE(SUBSTITUTE(SUBSTITUTE(SUBSTITUTE(SUBSTITUTE(SUBSTITUTE(SUBSTITUTE(SUBSTITUTE(SUBSTITUTE(SUBSTITUTE(SUBSTITUTE(SUBSTITUTE(LOWER(TRIM(C637)),"á","a"),"é","e"),"í","i"),"ó","o"),"ú","u"),"ü","u"),"ñ","n"),"à","a"),"è","e"),"ì","i"),"ò","o"),"ù","u"),"")</f>
        <v/>
      </c>
      <c r="Q637" s="25">
        <f>IF(AND(L637=1,E637&lt;&gt;""),SUBSTITUTE(SUBSTITUTE(SUBSTITUTE(SUBSTITUTE(SUBSTITUTE(SUBSTITUTE(SUBSTITUTE(SUBSTITUTE(SUBSTITUTE(SUBSTITUTE(SUBSTITUTE(SUBSTITUTE(LOWER(TRIM(E637)),"á","a"),"é","e"),"í","i"),"ó","o"),"ú","u"),"ü","u"),"ñ","n"),"à","a"),"è","e"),"ì","i"),"ò","o"),"ù","u"),"")</f>
        <v/>
      </c>
      <c r="R637" s="25">
        <f>IF(AND(L637=1,I637&lt;&gt;""),SUBSTITUTE(SUBSTITUTE(SUBSTITUTE(SUBSTITUTE(SUBSTITUTE(SUBSTITUTE(SUBSTITUTE(SUBSTITUTE(SUBSTITUTE(SUBSTITUTE(SUBSTITUTE(SUBSTITUTE(LOWER(TRIM(I637)),"á","a"),"é","e"),"í","i"),"ó","o"),"ú","u"),"ü","u"),"ñ","n"),"à","a"),"è","e"),"ì","i"),"ò","o"),"ù","u"),"")</f>
        <v/>
      </c>
      <c r="S637" s="25">
        <f>IF(R637="","",IF(OR(R637="si",R637="tal vez"),1,0))</f>
        <v/>
      </c>
      <c r="T637" s="25">
        <f>IF(AND(L637=1,D637&lt;&gt;""),IF(IFERROR(COUNTIFS(D$3:D637,"="&amp;SUBSTITUTE(SUBSTITUTE(SUBSTITUTE(D637,"~","~~"),"*","~*"),"?","~?"),L$3:L637,1),0)=1,MAX(T$2:T636)+1,""),"")</f>
        <v/>
      </c>
      <c r="U637" s="25">
        <f>IF(T637="","",COUNTIFS($D$3:$D$1002,"="&amp;SUBSTITUTE(SUBSTITUTE(SUBSTITUTE(D637,"~","~~"),"*","~*"),"?","~?"),$L$3:$L$1002,1)*10000-T637)</f>
        <v/>
      </c>
      <c r="V637" s="25">
        <f>IF(AND(L637=1,J637&lt;&gt;""),IF(IFERROR(COUNTIFS(J$3:J637,"="&amp;SUBSTITUTE(SUBSTITUTE(SUBSTITUTE(J637,"~","~~"),"*","~*"),"?","~?"),L$3:L637,1),0)=1,MAX(V$2:V636)+1,""),"")</f>
        <v/>
      </c>
      <c r="W637" s="25">
        <f>IF(V637="","",COUNTIFS($J$3:$J$1002,"="&amp;SUBSTITUTE(SUBSTITUTE(SUBSTITUTE(J637,"~","~~"),"*","~*"),"?","~?"),$L$3:$L$1002,1)*10000-V637)</f>
        <v/>
      </c>
    </row>
    <row r="638">
      <c r="A638">
        <f>IF(A$2=0,"",IFERROR(TRIM(INDEX('Pegar estudiantes'!$A$1:$BZ$1001,637,A$2)&amp;""),""))</f>
        <v/>
      </c>
      <c r="B638">
        <f>IF(B$2=0,"",IFERROR(TRIM(INDEX('Pegar estudiantes'!$A$1:$BZ$1001,637,B$2)&amp;""),""))</f>
        <v/>
      </c>
      <c r="C638">
        <f>IF(C$2=0,"",IFERROR(TRIM(INDEX('Pegar estudiantes'!$A$1:$BZ$1001,637,C$2)&amp;""),""))</f>
        <v/>
      </c>
      <c r="D638">
        <f>IF(D$2=0,"",IFERROR(TRIM(INDEX('Pegar estudiantes'!$A$1:$BZ$1001,637,D$2)&amp;""),""))</f>
        <v/>
      </c>
      <c r="E638">
        <f>IF(E$2=0,"",IFERROR(TRIM(INDEX('Pegar estudiantes'!$A$1:$BZ$1001,637,E$2)&amp;""),""))</f>
        <v/>
      </c>
      <c r="F638">
        <f>IF(F$2=0,"",IFERROR(TRIM(INDEX('Pegar estudiantes'!$A$1:$BZ$1001,637,F$2)&amp;""),""))</f>
        <v/>
      </c>
      <c r="G638">
        <f>IF(G$2=0,"",IFERROR(TRIM(INDEX('Pegar estudiantes'!$A$1:$BZ$1001,637,G$2)&amp;""),""))</f>
        <v/>
      </c>
      <c r="H638">
        <f>IF(H$2=0,"",IFERROR(TRIM(INDEX('Pegar estudiantes'!$A$1:$BZ$1001,637,H$2)&amp;""),""))</f>
        <v/>
      </c>
      <c r="I638">
        <f>IF(I$2=0,"",IFERROR(TRIM(INDEX('Pegar estudiantes'!$A$1:$BZ$1001,637,I$2)&amp;""),""))</f>
        <v/>
      </c>
      <c r="J638">
        <f>IF(J$2=0,"",IFERROR(TRIM(INDEX('Pegar estudiantes'!$A$1:$BZ$1001,637,J$2)&amp;""),""))</f>
        <v/>
      </c>
      <c r="K638">
        <f>IF(K$2=0,"",IFERROR(TRIM(INDEX('Pegar estudiantes'!$A$1:$BZ$1001,637,K$2)&amp;""),""))</f>
        <v/>
      </c>
      <c r="L638" s="25">
        <f>IF(A638&lt;&gt;"",1,"")</f>
        <v/>
      </c>
      <c r="M638" s="25">
        <f>IF(L638=1,IF(ISNUMBER(FIND("#"&amp;MID(A638,1,1)&amp;"#","#0#1#2#3#4#5#6#7#8#9#")),IF(ISNUMBER(FIND("#"&amp;MID(A638,2,1)&amp;"#","#0#1#2#3#4#5#6#7#8#9#")),IF(AND(VALUE(LEFT(A638,2))&gt;=1,VALUE(LEFT(A638,2))&lt;=5),VALUE(LEFT(A638,2)),""),IF(AND(VALUE(LEFT(A638,1))&gt;=1,VALUE(LEFT(A638,1))&lt;=5),VALUE(LEFT(A638,1)),"")),""),"")</f>
        <v/>
      </c>
      <c r="N638" s="25">
        <f>IF(L638=1,IF(ISNUMBER(FIND("#"&amp;MID(H638,1,1)&amp;"#","#0#1#2#3#4#5#6#7#8#9#")),IF(ISNUMBER(FIND("#"&amp;MID(H638,2,1)&amp;"#","#0#1#2#3#4#5#6#7#8#9#")),IF(AND(VALUE(LEFT(H638,2))&gt;=1,VALUE(LEFT(H638,2))&lt;=5),VALUE(LEFT(H638,2)),""),IF(AND(VALUE(LEFT(H638,1))&gt;=1,VALUE(LEFT(H638,1))&lt;=5),VALUE(LEFT(H638,1)),"")),""),"")</f>
        <v/>
      </c>
      <c r="O638" s="25">
        <f>IF(AND(L638=1,B638&lt;&gt;""),SUBSTITUTE(SUBSTITUTE(SUBSTITUTE(SUBSTITUTE(SUBSTITUTE(SUBSTITUTE(SUBSTITUTE(SUBSTITUTE(SUBSTITUTE(SUBSTITUTE(SUBSTITUTE(SUBSTITUTE(LOWER(TRIM(B638)),"á","a"),"é","e"),"í","i"),"ó","o"),"ú","u"),"ü","u"),"ñ","n"),"à","a"),"è","e"),"ì","i"),"ò","o"),"ù","u"),"")</f>
        <v/>
      </c>
      <c r="P638" s="25">
        <f>IF(AND(L638=1,C638&lt;&gt;""),SUBSTITUTE(SUBSTITUTE(SUBSTITUTE(SUBSTITUTE(SUBSTITUTE(SUBSTITUTE(SUBSTITUTE(SUBSTITUTE(SUBSTITUTE(SUBSTITUTE(SUBSTITUTE(SUBSTITUTE(LOWER(TRIM(C638)),"á","a"),"é","e"),"í","i"),"ó","o"),"ú","u"),"ü","u"),"ñ","n"),"à","a"),"è","e"),"ì","i"),"ò","o"),"ù","u"),"")</f>
        <v/>
      </c>
      <c r="Q638" s="25">
        <f>IF(AND(L638=1,E638&lt;&gt;""),SUBSTITUTE(SUBSTITUTE(SUBSTITUTE(SUBSTITUTE(SUBSTITUTE(SUBSTITUTE(SUBSTITUTE(SUBSTITUTE(SUBSTITUTE(SUBSTITUTE(SUBSTITUTE(SUBSTITUTE(LOWER(TRIM(E638)),"á","a"),"é","e"),"í","i"),"ó","o"),"ú","u"),"ü","u"),"ñ","n"),"à","a"),"è","e"),"ì","i"),"ò","o"),"ù","u"),"")</f>
        <v/>
      </c>
      <c r="R638" s="25">
        <f>IF(AND(L638=1,I638&lt;&gt;""),SUBSTITUTE(SUBSTITUTE(SUBSTITUTE(SUBSTITUTE(SUBSTITUTE(SUBSTITUTE(SUBSTITUTE(SUBSTITUTE(SUBSTITUTE(SUBSTITUTE(SUBSTITUTE(SUBSTITUTE(LOWER(TRIM(I638)),"á","a"),"é","e"),"í","i"),"ó","o"),"ú","u"),"ü","u"),"ñ","n"),"à","a"),"è","e"),"ì","i"),"ò","o"),"ù","u"),"")</f>
        <v/>
      </c>
      <c r="S638" s="25">
        <f>IF(R638="","",IF(OR(R638="si",R638="tal vez"),1,0))</f>
        <v/>
      </c>
      <c r="T638" s="25">
        <f>IF(AND(L638=1,D638&lt;&gt;""),IF(IFERROR(COUNTIFS(D$3:D638,"="&amp;SUBSTITUTE(SUBSTITUTE(SUBSTITUTE(D638,"~","~~"),"*","~*"),"?","~?"),L$3:L638,1),0)=1,MAX(T$2:T637)+1,""),"")</f>
        <v/>
      </c>
      <c r="U638" s="25">
        <f>IF(T638="","",COUNTIFS($D$3:$D$1002,"="&amp;SUBSTITUTE(SUBSTITUTE(SUBSTITUTE(D638,"~","~~"),"*","~*"),"?","~?"),$L$3:$L$1002,1)*10000-T638)</f>
        <v/>
      </c>
      <c r="V638" s="25">
        <f>IF(AND(L638=1,J638&lt;&gt;""),IF(IFERROR(COUNTIFS(J$3:J638,"="&amp;SUBSTITUTE(SUBSTITUTE(SUBSTITUTE(J638,"~","~~"),"*","~*"),"?","~?"),L$3:L638,1),0)=1,MAX(V$2:V637)+1,""),"")</f>
        <v/>
      </c>
      <c r="W638" s="25">
        <f>IF(V638="","",COUNTIFS($J$3:$J$1002,"="&amp;SUBSTITUTE(SUBSTITUTE(SUBSTITUTE(J638,"~","~~"),"*","~*"),"?","~?"),$L$3:$L$1002,1)*10000-V638)</f>
        <v/>
      </c>
    </row>
    <row r="639">
      <c r="A639">
        <f>IF(A$2=0,"",IFERROR(TRIM(INDEX('Pegar estudiantes'!$A$1:$BZ$1001,638,A$2)&amp;""),""))</f>
        <v/>
      </c>
      <c r="B639">
        <f>IF(B$2=0,"",IFERROR(TRIM(INDEX('Pegar estudiantes'!$A$1:$BZ$1001,638,B$2)&amp;""),""))</f>
        <v/>
      </c>
      <c r="C639">
        <f>IF(C$2=0,"",IFERROR(TRIM(INDEX('Pegar estudiantes'!$A$1:$BZ$1001,638,C$2)&amp;""),""))</f>
        <v/>
      </c>
      <c r="D639">
        <f>IF(D$2=0,"",IFERROR(TRIM(INDEX('Pegar estudiantes'!$A$1:$BZ$1001,638,D$2)&amp;""),""))</f>
        <v/>
      </c>
      <c r="E639">
        <f>IF(E$2=0,"",IFERROR(TRIM(INDEX('Pegar estudiantes'!$A$1:$BZ$1001,638,E$2)&amp;""),""))</f>
        <v/>
      </c>
      <c r="F639">
        <f>IF(F$2=0,"",IFERROR(TRIM(INDEX('Pegar estudiantes'!$A$1:$BZ$1001,638,F$2)&amp;""),""))</f>
        <v/>
      </c>
      <c r="G639">
        <f>IF(G$2=0,"",IFERROR(TRIM(INDEX('Pegar estudiantes'!$A$1:$BZ$1001,638,G$2)&amp;""),""))</f>
        <v/>
      </c>
      <c r="H639">
        <f>IF(H$2=0,"",IFERROR(TRIM(INDEX('Pegar estudiantes'!$A$1:$BZ$1001,638,H$2)&amp;""),""))</f>
        <v/>
      </c>
      <c r="I639">
        <f>IF(I$2=0,"",IFERROR(TRIM(INDEX('Pegar estudiantes'!$A$1:$BZ$1001,638,I$2)&amp;""),""))</f>
        <v/>
      </c>
      <c r="J639">
        <f>IF(J$2=0,"",IFERROR(TRIM(INDEX('Pegar estudiantes'!$A$1:$BZ$1001,638,J$2)&amp;""),""))</f>
        <v/>
      </c>
      <c r="K639">
        <f>IF(K$2=0,"",IFERROR(TRIM(INDEX('Pegar estudiantes'!$A$1:$BZ$1001,638,K$2)&amp;""),""))</f>
        <v/>
      </c>
      <c r="L639" s="25">
        <f>IF(A639&lt;&gt;"",1,"")</f>
        <v/>
      </c>
      <c r="M639" s="25">
        <f>IF(L639=1,IF(ISNUMBER(FIND("#"&amp;MID(A639,1,1)&amp;"#","#0#1#2#3#4#5#6#7#8#9#")),IF(ISNUMBER(FIND("#"&amp;MID(A639,2,1)&amp;"#","#0#1#2#3#4#5#6#7#8#9#")),IF(AND(VALUE(LEFT(A639,2))&gt;=1,VALUE(LEFT(A639,2))&lt;=5),VALUE(LEFT(A639,2)),""),IF(AND(VALUE(LEFT(A639,1))&gt;=1,VALUE(LEFT(A639,1))&lt;=5),VALUE(LEFT(A639,1)),"")),""),"")</f>
        <v/>
      </c>
      <c r="N639" s="25">
        <f>IF(L639=1,IF(ISNUMBER(FIND("#"&amp;MID(H639,1,1)&amp;"#","#0#1#2#3#4#5#6#7#8#9#")),IF(ISNUMBER(FIND("#"&amp;MID(H639,2,1)&amp;"#","#0#1#2#3#4#5#6#7#8#9#")),IF(AND(VALUE(LEFT(H639,2))&gt;=1,VALUE(LEFT(H639,2))&lt;=5),VALUE(LEFT(H639,2)),""),IF(AND(VALUE(LEFT(H639,1))&gt;=1,VALUE(LEFT(H639,1))&lt;=5),VALUE(LEFT(H639,1)),"")),""),"")</f>
        <v/>
      </c>
      <c r="O639" s="25">
        <f>IF(AND(L639=1,B639&lt;&gt;""),SUBSTITUTE(SUBSTITUTE(SUBSTITUTE(SUBSTITUTE(SUBSTITUTE(SUBSTITUTE(SUBSTITUTE(SUBSTITUTE(SUBSTITUTE(SUBSTITUTE(SUBSTITUTE(SUBSTITUTE(LOWER(TRIM(B639)),"á","a"),"é","e"),"í","i"),"ó","o"),"ú","u"),"ü","u"),"ñ","n"),"à","a"),"è","e"),"ì","i"),"ò","o"),"ù","u"),"")</f>
        <v/>
      </c>
      <c r="P639" s="25">
        <f>IF(AND(L639=1,C639&lt;&gt;""),SUBSTITUTE(SUBSTITUTE(SUBSTITUTE(SUBSTITUTE(SUBSTITUTE(SUBSTITUTE(SUBSTITUTE(SUBSTITUTE(SUBSTITUTE(SUBSTITUTE(SUBSTITUTE(SUBSTITUTE(LOWER(TRIM(C639)),"á","a"),"é","e"),"í","i"),"ó","o"),"ú","u"),"ü","u"),"ñ","n"),"à","a"),"è","e"),"ì","i"),"ò","o"),"ù","u"),"")</f>
        <v/>
      </c>
      <c r="Q639" s="25">
        <f>IF(AND(L639=1,E639&lt;&gt;""),SUBSTITUTE(SUBSTITUTE(SUBSTITUTE(SUBSTITUTE(SUBSTITUTE(SUBSTITUTE(SUBSTITUTE(SUBSTITUTE(SUBSTITUTE(SUBSTITUTE(SUBSTITUTE(SUBSTITUTE(LOWER(TRIM(E639)),"á","a"),"é","e"),"í","i"),"ó","o"),"ú","u"),"ü","u"),"ñ","n"),"à","a"),"è","e"),"ì","i"),"ò","o"),"ù","u"),"")</f>
        <v/>
      </c>
      <c r="R639" s="25">
        <f>IF(AND(L639=1,I639&lt;&gt;""),SUBSTITUTE(SUBSTITUTE(SUBSTITUTE(SUBSTITUTE(SUBSTITUTE(SUBSTITUTE(SUBSTITUTE(SUBSTITUTE(SUBSTITUTE(SUBSTITUTE(SUBSTITUTE(SUBSTITUTE(LOWER(TRIM(I639)),"á","a"),"é","e"),"í","i"),"ó","o"),"ú","u"),"ü","u"),"ñ","n"),"à","a"),"è","e"),"ì","i"),"ò","o"),"ù","u"),"")</f>
        <v/>
      </c>
      <c r="S639" s="25">
        <f>IF(R639="","",IF(OR(R639="si",R639="tal vez"),1,0))</f>
        <v/>
      </c>
      <c r="T639" s="25">
        <f>IF(AND(L639=1,D639&lt;&gt;""),IF(IFERROR(COUNTIFS(D$3:D639,"="&amp;SUBSTITUTE(SUBSTITUTE(SUBSTITUTE(D639,"~","~~"),"*","~*"),"?","~?"),L$3:L639,1),0)=1,MAX(T$2:T638)+1,""),"")</f>
        <v/>
      </c>
      <c r="U639" s="25">
        <f>IF(T639="","",COUNTIFS($D$3:$D$1002,"="&amp;SUBSTITUTE(SUBSTITUTE(SUBSTITUTE(D639,"~","~~"),"*","~*"),"?","~?"),$L$3:$L$1002,1)*10000-T639)</f>
        <v/>
      </c>
      <c r="V639" s="25">
        <f>IF(AND(L639=1,J639&lt;&gt;""),IF(IFERROR(COUNTIFS(J$3:J639,"="&amp;SUBSTITUTE(SUBSTITUTE(SUBSTITUTE(J639,"~","~~"),"*","~*"),"?","~?"),L$3:L639,1),0)=1,MAX(V$2:V638)+1,""),"")</f>
        <v/>
      </c>
      <c r="W639" s="25">
        <f>IF(V639="","",COUNTIFS($J$3:$J$1002,"="&amp;SUBSTITUTE(SUBSTITUTE(SUBSTITUTE(J639,"~","~~"),"*","~*"),"?","~?"),$L$3:$L$1002,1)*10000-V639)</f>
        <v/>
      </c>
    </row>
    <row r="640">
      <c r="A640">
        <f>IF(A$2=0,"",IFERROR(TRIM(INDEX('Pegar estudiantes'!$A$1:$BZ$1001,639,A$2)&amp;""),""))</f>
        <v/>
      </c>
      <c r="B640">
        <f>IF(B$2=0,"",IFERROR(TRIM(INDEX('Pegar estudiantes'!$A$1:$BZ$1001,639,B$2)&amp;""),""))</f>
        <v/>
      </c>
      <c r="C640">
        <f>IF(C$2=0,"",IFERROR(TRIM(INDEX('Pegar estudiantes'!$A$1:$BZ$1001,639,C$2)&amp;""),""))</f>
        <v/>
      </c>
      <c r="D640">
        <f>IF(D$2=0,"",IFERROR(TRIM(INDEX('Pegar estudiantes'!$A$1:$BZ$1001,639,D$2)&amp;""),""))</f>
        <v/>
      </c>
      <c r="E640">
        <f>IF(E$2=0,"",IFERROR(TRIM(INDEX('Pegar estudiantes'!$A$1:$BZ$1001,639,E$2)&amp;""),""))</f>
        <v/>
      </c>
      <c r="F640">
        <f>IF(F$2=0,"",IFERROR(TRIM(INDEX('Pegar estudiantes'!$A$1:$BZ$1001,639,F$2)&amp;""),""))</f>
        <v/>
      </c>
      <c r="G640">
        <f>IF(G$2=0,"",IFERROR(TRIM(INDEX('Pegar estudiantes'!$A$1:$BZ$1001,639,G$2)&amp;""),""))</f>
        <v/>
      </c>
      <c r="H640">
        <f>IF(H$2=0,"",IFERROR(TRIM(INDEX('Pegar estudiantes'!$A$1:$BZ$1001,639,H$2)&amp;""),""))</f>
        <v/>
      </c>
      <c r="I640">
        <f>IF(I$2=0,"",IFERROR(TRIM(INDEX('Pegar estudiantes'!$A$1:$BZ$1001,639,I$2)&amp;""),""))</f>
        <v/>
      </c>
      <c r="J640">
        <f>IF(J$2=0,"",IFERROR(TRIM(INDEX('Pegar estudiantes'!$A$1:$BZ$1001,639,J$2)&amp;""),""))</f>
        <v/>
      </c>
      <c r="K640">
        <f>IF(K$2=0,"",IFERROR(TRIM(INDEX('Pegar estudiantes'!$A$1:$BZ$1001,639,K$2)&amp;""),""))</f>
        <v/>
      </c>
      <c r="L640" s="25">
        <f>IF(A640&lt;&gt;"",1,"")</f>
        <v/>
      </c>
      <c r="M640" s="25">
        <f>IF(L640=1,IF(ISNUMBER(FIND("#"&amp;MID(A640,1,1)&amp;"#","#0#1#2#3#4#5#6#7#8#9#")),IF(ISNUMBER(FIND("#"&amp;MID(A640,2,1)&amp;"#","#0#1#2#3#4#5#6#7#8#9#")),IF(AND(VALUE(LEFT(A640,2))&gt;=1,VALUE(LEFT(A640,2))&lt;=5),VALUE(LEFT(A640,2)),""),IF(AND(VALUE(LEFT(A640,1))&gt;=1,VALUE(LEFT(A640,1))&lt;=5),VALUE(LEFT(A640,1)),"")),""),"")</f>
        <v/>
      </c>
      <c r="N640" s="25">
        <f>IF(L640=1,IF(ISNUMBER(FIND("#"&amp;MID(H640,1,1)&amp;"#","#0#1#2#3#4#5#6#7#8#9#")),IF(ISNUMBER(FIND("#"&amp;MID(H640,2,1)&amp;"#","#0#1#2#3#4#5#6#7#8#9#")),IF(AND(VALUE(LEFT(H640,2))&gt;=1,VALUE(LEFT(H640,2))&lt;=5),VALUE(LEFT(H640,2)),""),IF(AND(VALUE(LEFT(H640,1))&gt;=1,VALUE(LEFT(H640,1))&lt;=5),VALUE(LEFT(H640,1)),"")),""),"")</f>
        <v/>
      </c>
      <c r="O640" s="25">
        <f>IF(AND(L640=1,B640&lt;&gt;""),SUBSTITUTE(SUBSTITUTE(SUBSTITUTE(SUBSTITUTE(SUBSTITUTE(SUBSTITUTE(SUBSTITUTE(SUBSTITUTE(SUBSTITUTE(SUBSTITUTE(SUBSTITUTE(SUBSTITUTE(LOWER(TRIM(B640)),"á","a"),"é","e"),"í","i"),"ó","o"),"ú","u"),"ü","u"),"ñ","n"),"à","a"),"è","e"),"ì","i"),"ò","o"),"ù","u"),"")</f>
        <v/>
      </c>
      <c r="P640" s="25">
        <f>IF(AND(L640=1,C640&lt;&gt;""),SUBSTITUTE(SUBSTITUTE(SUBSTITUTE(SUBSTITUTE(SUBSTITUTE(SUBSTITUTE(SUBSTITUTE(SUBSTITUTE(SUBSTITUTE(SUBSTITUTE(SUBSTITUTE(SUBSTITUTE(LOWER(TRIM(C640)),"á","a"),"é","e"),"í","i"),"ó","o"),"ú","u"),"ü","u"),"ñ","n"),"à","a"),"è","e"),"ì","i"),"ò","o"),"ù","u"),"")</f>
        <v/>
      </c>
      <c r="Q640" s="25">
        <f>IF(AND(L640=1,E640&lt;&gt;""),SUBSTITUTE(SUBSTITUTE(SUBSTITUTE(SUBSTITUTE(SUBSTITUTE(SUBSTITUTE(SUBSTITUTE(SUBSTITUTE(SUBSTITUTE(SUBSTITUTE(SUBSTITUTE(SUBSTITUTE(LOWER(TRIM(E640)),"á","a"),"é","e"),"í","i"),"ó","o"),"ú","u"),"ü","u"),"ñ","n"),"à","a"),"è","e"),"ì","i"),"ò","o"),"ù","u"),"")</f>
        <v/>
      </c>
      <c r="R640" s="25">
        <f>IF(AND(L640=1,I640&lt;&gt;""),SUBSTITUTE(SUBSTITUTE(SUBSTITUTE(SUBSTITUTE(SUBSTITUTE(SUBSTITUTE(SUBSTITUTE(SUBSTITUTE(SUBSTITUTE(SUBSTITUTE(SUBSTITUTE(SUBSTITUTE(LOWER(TRIM(I640)),"á","a"),"é","e"),"í","i"),"ó","o"),"ú","u"),"ü","u"),"ñ","n"),"à","a"),"è","e"),"ì","i"),"ò","o"),"ù","u"),"")</f>
        <v/>
      </c>
      <c r="S640" s="25">
        <f>IF(R640="","",IF(OR(R640="si",R640="tal vez"),1,0))</f>
        <v/>
      </c>
      <c r="T640" s="25">
        <f>IF(AND(L640=1,D640&lt;&gt;""),IF(IFERROR(COUNTIFS(D$3:D640,"="&amp;SUBSTITUTE(SUBSTITUTE(SUBSTITUTE(D640,"~","~~"),"*","~*"),"?","~?"),L$3:L640,1),0)=1,MAX(T$2:T639)+1,""),"")</f>
        <v/>
      </c>
      <c r="U640" s="25">
        <f>IF(T640="","",COUNTIFS($D$3:$D$1002,"="&amp;SUBSTITUTE(SUBSTITUTE(SUBSTITUTE(D640,"~","~~"),"*","~*"),"?","~?"),$L$3:$L$1002,1)*10000-T640)</f>
        <v/>
      </c>
      <c r="V640" s="25">
        <f>IF(AND(L640=1,J640&lt;&gt;""),IF(IFERROR(COUNTIFS(J$3:J640,"="&amp;SUBSTITUTE(SUBSTITUTE(SUBSTITUTE(J640,"~","~~"),"*","~*"),"?","~?"),L$3:L640,1),0)=1,MAX(V$2:V639)+1,""),"")</f>
        <v/>
      </c>
      <c r="W640" s="25">
        <f>IF(V640="","",COUNTIFS($J$3:$J$1002,"="&amp;SUBSTITUTE(SUBSTITUTE(SUBSTITUTE(J640,"~","~~"),"*","~*"),"?","~?"),$L$3:$L$1002,1)*10000-V640)</f>
        <v/>
      </c>
    </row>
    <row r="641">
      <c r="A641">
        <f>IF(A$2=0,"",IFERROR(TRIM(INDEX('Pegar estudiantes'!$A$1:$BZ$1001,640,A$2)&amp;""),""))</f>
        <v/>
      </c>
      <c r="B641">
        <f>IF(B$2=0,"",IFERROR(TRIM(INDEX('Pegar estudiantes'!$A$1:$BZ$1001,640,B$2)&amp;""),""))</f>
        <v/>
      </c>
      <c r="C641">
        <f>IF(C$2=0,"",IFERROR(TRIM(INDEX('Pegar estudiantes'!$A$1:$BZ$1001,640,C$2)&amp;""),""))</f>
        <v/>
      </c>
      <c r="D641">
        <f>IF(D$2=0,"",IFERROR(TRIM(INDEX('Pegar estudiantes'!$A$1:$BZ$1001,640,D$2)&amp;""),""))</f>
        <v/>
      </c>
      <c r="E641">
        <f>IF(E$2=0,"",IFERROR(TRIM(INDEX('Pegar estudiantes'!$A$1:$BZ$1001,640,E$2)&amp;""),""))</f>
        <v/>
      </c>
      <c r="F641">
        <f>IF(F$2=0,"",IFERROR(TRIM(INDEX('Pegar estudiantes'!$A$1:$BZ$1001,640,F$2)&amp;""),""))</f>
        <v/>
      </c>
      <c r="G641">
        <f>IF(G$2=0,"",IFERROR(TRIM(INDEX('Pegar estudiantes'!$A$1:$BZ$1001,640,G$2)&amp;""),""))</f>
        <v/>
      </c>
      <c r="H641">
        <f>IF(H$2=0,"",IFERROR(TRIM(INDEX('Pegar estudiantes'!$A$1:$BZ$1001,640,H$2)&amp;""),""))</f>
        <v/>
      </c>
      <c r="I641">
        <f>IF(I$2=0,"",IFERROR(TRIM(INDEX('Pegar estudiantes'!$A$1:$BZ$1001,640,I$2)&amp;""),""))</f>
        <v/>
      </c>
      <c r="J641">
        <f>IF(J$2=0,"",IFERROR(TRIM(INDEX('Pegar estudiantes'!$A$1:$BZ$1001,640,J$2)&amp;""),""))</f>
        <v/>
      </c>
      <c r="K641">
        <f>IF(K$2=0,"",IFERROR(TRIM(INDEX('Pegar estudiantes'!$A$1:$BZ$1001,640,K$2)&amp;""),""))</f>
        <v/>
      </c>
      <c r="L641" s="25">
        <f>IF(A641&lt;&gt;"",1,"")</f>
        <v/>
      </c>
      <c r="M641" s="25">
        <f>IF(L641=1,IF(ISNUMBER(FIND("#"&amp;MID(A641,1,1)&amp;"#","#0#1#2#3#4#5#6#7#8#9#")),IF(ISNUMBER(FIND("#"&amp;MID(A641,2,1)&amp;"#","#0#1#2#3#4#5#6#7#8#9#")),IF(AND(VALUE(LEFT(A641,2))&gt;=1,VALUE(LEFT(A641,2))&lt;=5),VALUE(LEFT(A641,2)),""),IF(AND(VALUE(LEFT(A641,1))&gt;=1,VALUE(LEFT(A641,1))&lt;=5),VALUE(LEFT(A641,1)),"")),""),"")</f>
        <v/>
      </c>
      <c r="N641" s="25">
        <f>IF(L641=1,IF(ISNUMBER(FIND("#"&amp;MID(H641,1,1)&amp;"#","#0#1#2#3#4#5#6#7#8#9#")),IF(ISNUMBER(FIND("#"&amp;MID(H641,2,1)&amp;"#","#0#1#2#3#4#5#6#7#8#9#")),IF(AND(VALUE(LEFT(H641,2))&gt;=1,VALUE(LEFT(H641,2))&lt;=5),VALUE(LEFT(H641,2)),""),IF(AND(VALUE(LEFT(H641,1))&gt;=1,VALUE(LEFT(H641,1))&lt;=5),VALUE(LEFT(H641,1)),"")),""),"")</f>
        <v/>
      </c>
      <c r="O641" s="25">
        <f>IF(AND(L641=1,B641&lt;&gt;""),SUBSTITUTE(SUBSTITUTE(SUBSTITUTE(SUBSTITUTE(SUBSTITUTE(SUBSTITUTE(SUBSTITUTE(SUBSTITUTE(SUBSTITUTE(SUBSTITUTE(SUBSTITUTE(SUBSTITUTE(LOWER(TRIM(B641)),"á","a"),"é","e"),"í","i"),"ó","o"),"ú","u"),"ü","u"),"ñ","n"),"à","a"),"è","e"),"ì","i"),"ò","o"),"ù","u"),"")</f>
        <v/>
      </c>
      <c r="P641" s="25">
        <f>IF(AND(L641=1,C641&lt;&gt;""),SUBSTITUTE(SUBSTITUTE(SUBSTITUTE(SUBSTITUTE(SUBSTITUTE(SUBSTITUTE(SUBSTITUTE(SUBSTITUTE(SUBSTITUTE(SUBSTITUTE(SUBSTITUTE(SUBSTITUTE(LOWER(TRIM(C641)),"á","a"),"é","e"),"í","i"),"ó","o"),"ú","u"),"ü","u"),"ñ","n"),"à","a"),"è","e"),"ì","i"),"ò","o"),"ù","u"),"")</f>
        <v/>
      </c>
      <c r="Q641" s="25">
        <f>IF(AND(L641=1,E641&lt;&gt;""),SUBSTITUTE(SUBSTITUTE(SUBSTITUTE(SUBSTITUTE(SUBSTITUTE(SUBSTITUTE(SUBSTITUTE(SUBSTITUTE(SUBSTITUTE(SUBSTITUTE(SUBSTITUTE(SUBSTITUTE(LOWER(TRIM(E641)),"á","a"),"é","e"),"í","i"),"ó","o"),"ú","u"),"ü","u"),"ñ","n"),"à","a"),"è","e"),"ì","i"),"ò","o"),"ù","u"),"")</f>
        <v/>
      </c>
      <c r="R641" s="25">
        <f>IF(AND(L641=1,I641&lt;&gt;""),SUBSTITUTE(SUBSTITUTE(SUBSTITUTE(SUBSTITUTE(SUBSTITUTE(SUBSTITUTE(SUBSTITUTE(SUBSTITUTE(SUBSTITUTE(SUBSTITUTE(SUBSTITUTE(SUBSTITUTE(LOWER(TRIM(I641)),"á","a"),"é","e"),"í","i"),"ó","o"),"ú","u"),"ü","u"),"ñ","n"),"à","a"),"è","e"),"ì","i"),"ò","o"),"ù","u"),"")</f>
        <v/>
      </c>
      <c r="S641" s="25">
        <f>IF(R641="","",IF(OR(R641="si",R641="tal vez"),1,0))</f>
        <v/>
      </c>
      <c r="T641" s="25">
        <f>IF(AND(L641=1,D641&lt;&gt;""),IF(IFERROR(COUNTIFS(D$3:D641,"="&amp;SUBSTITUTE(SUBSTITUTE(SUBSTITUTE(D641,"~","~~"),"*","~*"),"?","~?"),L$3:L641,1),0)=1,MAX(T$2:T640)+1,""),"")</f>
        <v/>
      </c>
      <c r="U641" s="25">
        <f>IF(T641="","",COUNTIFS($D$3:$D$1002,"="&amp;SUBSTITUTE(SUBSTITUTE(SUBSTITUTE(D641,"~","~~"),"*","~*"),"?","~?"),$L$3:$L$1002,1)*10000-T641)</f>
        <v/>
      </c>
      <c r="V641" s="25">
        <f>IF(AND(L641=1,J641&lt;&gt;""),IF(IFERROR(COUNTIFS(J$3:J641,"="&amp;SUBSTITUTE(SUBSTITUTE(SUBSTITUTE(J641,"~","~~"),"*","~*"),"?","~?"),L$3:L641,1),0)=1,MAX(V$2:V640)+1,""),"")</f>
        <v/>
      </c>
      <c r="W641" s="25">
        <f>IF(V641="","",COUNTIFS($J$3:$J$1002,"="&amp;SUBSTITUTE(SUBSTITUTE(SUBSTITUTE(J641,"~","~~"),"*","~*"),"?","~?"),$L$3:$L$1002,1)*10000-V641)</f>
        <v/>
      </c>
    </row>
    <row r="642">
      <c r="A642">
        <f>IF(A$2=0,"",IFERROR(TRIM(INDEX('Pegar estudiantes'!$A$1:$BZ$1001,641,A$2)&amp;""),""))</f>
        <v/>
      </c>
      <c r="B642">
        <f>IF(B$2=0,"",IFERROR(TRIM(INDEX('Pegar estudiantes'!$A$1:$BZ$1001,641,B$2)&amp;""),""))</f>
        <v/>
      </c>
      <c r="C642">
        <f>IF(C$2=0,"",IFERROR(TRIM(INDEX('Pegar estudiantes'!$A$1:$BZ$1001,641,C$2)&amp;""),""))</f>
        <v/>
      </c>
      <c r="D642">
        <f>IF(D$2=0,"",IFERROR(TRIM(INDEX('Pegar estudiantes'!$A$1:$BZ$1001,641,D$2)&amp;""),""))</f>
        <v/>
      </c>
      <c r="E642">
        <f>IF(E$2=0,"",IFERROR(TRIM(INDEX('Pegar estudiantes'!$A$1:$BZ$1001,641,E$2)&amp;""),""))</f>
        <v/>
      </c>
      <c r="F642">
        <f>IF(F$2=0,"",IFERROR(TRIM(INDEX('Pegar estudiantes'!$A$1:$BZ$1001,641,F$2)&amp;""),""))</f>
        <v/>
      </c>
      <c r="G642">
        <f>IF(G$2=0,"",IFERROR(TRIM(INDEX('Pegar estudiantes'!$A$1:$BZ$1001,641,G$2)&amp;""),""))</f>
        <v/>
      </c>
      <c r="H642">
        <f>IF(H$2=0,"",IFERROR(TRIM(INDEX('Pegar estudiantes'!$A$1:$BZ$1001,641,H$2)&amp;""),""))</f>
        <v/>
      </c>
      <c r="I642">
        <f>IF(I$2=0,"",IFERROR(TRIM(INDEX('Pegar estudiantes'!$A$1:$BZ$1001,641,I$2)&amp;""),""))</f>
        <v/>
      </c>
      <c r="J642">
        <f>IF(J$2=0,"",IFERROR(TRIM(INDEX('Pegar estudiantes'!$A$1:$BZ$1001,641,J$2)&amp;""),""))</f>
        <v/>
      </c>
      <c r="K642">
        <f>IF(K$2=0,"",IFERROR(TRIM(INDEX('Pegar estudiantes'!$A$1:$BZ$1001,641,K$2)&amp;""),""))</f>
        <v/>
      </c>
      <c r="L642" s="25">
        <f>IF(A642&lt;&gt;"",1,"")</f>
        <v/>
      </c>
      <c r="M642" s="25">
        <f>IF(L642=1,IF(ISNUMBER(FIND("#"&amp;MID(A642,1,1)&amp;"#","#0#1#2#3#4#5#6#7#8#9#")),IF(ISNUMBER(FIND("#"&amp;MID(A642,2,1)&amp;"#","#0#1#2#3#4#5#6#7#8#9#")),IF(AND(VALUE(LEFT(A642,2))&gt;=1,VALUE(LEFT(A642,2))&lt;=5),VALUE(LEFT(A642,2)),""),IF(AND(VALUE(LEFT(A642,1))&gt;=1,VALUE(LEFT(A642,1))&lt;=5),VALUE(LEFT(A642,1)),"")),""),"")</f>
        <v/>
      </c>
      <c r="N642" s="25">
        <f>IF(L642=1,IF(ISNUMBER(FIND("#"&amp;MID(H642,1,1)&amp;"#","#0#1#2#3#4#5#6#7#8#9#")),IF(ISNUMBER(FIND("#"&amp;MID(H642,2,1)&amp;"#","#0#1#2#3#4#5#6#7#8#9#")),IF(AND(VALUE(LEFT(H642,2))&gt;=1,VALUE(LEFT(H642,2))&lt;=5),VALUE(LEFT(H642,2)),""),IF(AND(VALUE(LEFT(H642,1))&gt;=1,VALUE(LEFT(H642,1))&lt;=5),VALUE(LEFT(H642,1)),"")),""),"")</f>
        <v/>
      </c>
      <c r="O642" s="25">
        <f>IF(AND(L642=1,B642&lt;&gt;""),SUBSTITUTE(SUBSTITUTE(SUBSTITUTE(SUBSTITUTE(SUBSTITUTE(SUBSTITUTE(SUBSTITUTE(SUBSTITUTE(SUBSTITUTE(SUBSTITUTE(SUBSTITUTE(SUBSTITUTE(LOWER(TRIM(B642)),"á","a"),"é","e"),"í","i"),"ó","o"),"ú","u"),"ü","u"),"ñ","n"),"à","a"),"è","e"),"ì","i"),"ò","o"),"ù","u"),"")</f>
        <v/>
      </c>
      <c r="P642" s="25">
        <f>IF(AND(L642=1,C642&lt;&gt;""),SUBSTITUTE(SUBSTITUTE(SUBSTITUTE(SUBSTITUTE(SUBSTITUTE(SUBSTITUTE(SUBSTITUTE(SUBSTITUTE(SUBSTITUTE(SUBSTITUTE(SUBSTITUTE(SUBSTITUTE(LOWER(TRIM(C642)),"á","a"),"é","e"),"í","i"),"ó","o"),"ú","u"),"ü","u"),"ñ","n"),"à","a"),"è","e"),"ì","i"),"ò","o"),"ù","u"),"")</f>
        <v/>
      </c>
      <c r="Q642" s="25">
        <f>IF(AND(L642=1,E642&lt;&gt;""),SUBSTITUTE(SUBSTITUTE(SUBSTITUTE(SUBSTITUTE(SUBSTITUTE(SUBSTITUTE(SUBSTITUTE(SUBSTITUTE(SUBSTITUTE(SUBSTITUTE(SUBSTITUTE(SUBSTITUTE(LOWER(TRIM(E642)),"á","a"),"é","e"),"í","i"),"ó","o"),"ú","u"),"ü","u"),"ñ","n"),"à","a"),"è","e"),"ì","i"),"ò","o"),"ù","u"),"")</f>
        <v/>
      </c>
      <c r="R642" s="25">
        <f>IF(AND(L642=1,I642&lt;&gt;""),SUBSTITUTE(SUBSTITUTE(SUBSTITUTE(SUBSTITUTE(SUBSTITUTE(SUBSTITUTE(SUBSTITUTE(SUBSTITUTE(SUBSTITUTE(SUBSTITUTE(SUBSTITUTE(SUBSTITUTE(LOWER(TRIM(I642)),"á","a"),"é","e"),"í","i"),"ó","o"),"ú","u"),"ü","u"),"ñ","n"),"à","a"),"è","e"),"ì","i"),"ò","o"),"ù","u"),"")</f>
        <v/>
      </c>
      <c r="S642" s="25">
        <f>IF(R642="","",IF(OR(R642="si",R642="tal vez"),1,0))</f>
        <v/>
      </c>
      <c r="T642" s="25">
        <f>IF(AND(L642=1,D642&lt;&gt;""),IF(IFERROR(COUNTIFS(D$3:D642,"="&amp;SUBSTITUTE(SUBSTITUTE(SUBSTITUTE(D642,"~","~~"),"*","~*"),"?","~?"),L$3:L642,1),0)=1,MAX(T$2:T641)+1,""),"")</f>
        <v/>
      </c>
      <c r="U642" s="25">
        <f>IF(T642="","",COUNTIFS($D$3:$D$1002,"="&amp;SUBSTITUTE(SUBSTITUTE(SUBSTITUTE(D642,"~","~~"),"*","~*"),"?","~?"),$L$3:$L$1002,1)*10000-T642)</f>
        <v/>
      </c>
      <c r="V642" s="25">
        <f>IF(AND(L642=1,J642&lt;&gt;""),IF(IFERROR(COUNTIFS(J$3:J642,"="&amp;SUBSTITUTE(SUBSTITUTE(SUBSTITUTE(J642,"~","~~"),"*","~*"),"?","~?"),L$3:L642,1),0)=1,MAX(V$2:V641)+1,""),"")</f>
        <v/>
      </c>
      <c r="W642" s="25">
        <f>IF(V642="","",COUNTIFS($J$3:$J$1002,"="&amp;SUBSTITUTE(SUBSTITUTE(SUBSTITUTE(J642,"~","~~"),"*","~*"),"?","~?"),$L$3:$L$1002,1)*10000-V642)</f>
        <v/>
      </c>
    </row>
    <row r="643">
      <c r="A643">
        <f>IF(A$2=0,"",IFERROR(TRIM(INDEX('Pegar estudiantes'!$A$1:$BZ$1001,642,A$2)&amp;""),""))</f>
        <v/>
      </c>
      <c r="B643">
        <f>IF(B$2=0,"",IFERROR(TRIM(INDEX('Pegar estudiantes'!$A$1:$BZ$1001,642,B$2)&amp;""),""))</f>
        <v/>
      </c>
      <c r="C643">
        <f>IF(C$2=0,"",IFERROR(TRIM(INDEX('Pegar estudiantes'!$A$1:$BZ$1001,642,C$2)&amp;""),""))</f>
        <v/>
      </c>
      <c r="D643">
        <f>IF(D$2=0,"",IFERROR(TRIM(INDEX('Pegar estudiantes'!$A$1:$BZ$1001,642,D$2)&amp;""),""))</f>
        <v/>
      </c>
      <c r="E643">
        <f>IF(E$2=0,"",IFERROR(TRIM(INDEX('Pegar estudiantes'!$A$1:$BZ$1001,642,E$2)&amp;""),""))</f>
        <v/>
      </c>
      <c r="F643">
        <f>IF(F$2=0,"",IFERROR(TRIM(INDEX('Pegar estudiantes'!$A$1:$BZ$1001,642,F$2)&amp;""),""))</f>
        <v/>
      </c>
      <c r="G643">
        <f>IF(G$2=0,"",IFERROR(TRIM(INDEX('Pegar estudiantes'!$A$1:$BZ$1001,642,G$2)&amp;""),""))</f>
        <v/>
      </c>
      <c r="H643">
        <f>IF(H$2=0,"",IFERROR(TRIM(INDEX('Pegar estudiantes'!$A$1:$BZ$1001,642,H$2)&amp;""),""))</f>
        <v/>
      </c>
      <c r="I643">
        <f>IF(I$2=0,"",IFERROR(TRIM(INDEX('Pegar estudiantes'!$A$1:$BZ$1001,642,I$2)&amp;""),""))</f>
        <v/>
      </c>
      <c r="J643">
        <f>IF(J$2=0,"",IFERROR(TRIM(INDEX('Pegar estudiantes'!$A$1:$BZ$1001,642,J$2)&amp;""),""))</f>
        <v/>
      </c>
      <c r="K643">
        <f>IF(K$2=0,"",IFERROR(TRIM(INDEX('Pegar estudiantes'!$A$1:$BZ$1001,642,K$2)&amp;""),""))</f>
        <v/>
      </c>
      <c r="L643" s="25">
        <f>IF(A643&lt;&gt;"",1,"")</f>
        <v/>
      </c>
      <c r="M643" s="25">
        <f>IF(L643=1,IF(ISNUMBER(FIND("#"&amp;MID(A643,1,1)&amp;"#","#0#1#2#3#4#5#6#7#8#9#")),IF(ISNUMBER(FIND("#"&amp;MID(A643,2,1)&amp;"#","#0#1#2#3#4#5#6#7#8#9#")),IF(AND(VALUE(LEFT(A643,2))&gt;=1,VALUE(LEFT(A643,2))&lt;=5),VALUE(LEFT(A643,2)),""),IF(AND(VALUE(LEFT(A643,1))&gt;=1,VALUE(LEFT(A643,1))&lt;=5),VALUE(LEFT(A643,1)),"")),""),"")</f>
        <v/>
      </c>
      <c r="N643" s="25">
        <f>IF(L643=1,IF(ISNUMBER(FIND("#"&amp;MID(H643,1,1)&amp;"#","#0#1#2#3#4#5#6#7#8#9#")),IF(ISNUMBER(FIND("#"&amp;MID(H643,2,1)&amp;"#","#0#1#2#3#4#5#6#7#8#9#")),IF(AND(VALUE(LEFT(H643,2))&gt;=1,VALUE(LEFT(H643,2))&lt;=5),VALUE(LEFT(H643,2)),""),IF(AND(VALUE(LEFT(H643,1))&gt;=1,VALUE(LEFT(H643,1))&lt;=5),VALUE(LEFT(H643,1)),"")),""),"")</f>
        <v/>
      </c>
      <c r="O643" s="25">
        <f>IF(AND(L643=1,B643&lt;&gt;""),SUBSTITUTE(SUBSTITUTE(SUBSTITUTE(SUBSTITUTE(SUBSTITUTE(SUBSTITUTE(SUBSTITUTE(SUBSTITUTE(SUBSTITUTE(SUBSTITUTE(SUBSTITUTE(SUBSTITUTE(LOWER(TRIM(B643)),"á","a"),"é","e"),"í","i"),"ó","o"),"ú","u"),"ü","u"),"ñ","n"),"à","a"),"è","e"),"ì","i"),"ò","o"),"ù","u"),"")</f>
        <v/>
      </c>
      <c r="P643" s="25">
        <f>IF(AND(L643=1,C643&lt;&gt;""),SUBSTITUTE(SUBSTITUTE(SUBSTITUTE(SUBSTITUTE(SUBSTITUTE(SUBSTITUTE(SUBSTITUTE(SUBSTITUTE(SUBSTITUTE(SUBSTITUTE(SUBSTITUTE(SUBSTITUTE(LOWER(TRIM(C643)),"á","a"),"é","e"),"í","i"),"ó","o"),"ú","u"),"ü","u"),"ñ","n"),"à","a"),"è","e"),"ì","i"),"ò","o"),"ù","u"),"")</f>
        <v/>
      </c>
      <c r="Q643" s="25">
        <f>IF(AND(L643=1,E643&lt;&gt;""),SUBSTITUTE(SUBSTITUTE(SUBSTITUTE(SUBSTITUTE(SUBSTITUTE(SUBSTITUTE(SUBSTITUTE(SUBSTITUTE(SUBSTITUTE(SUBSTITUTE(SUBSTITUTE(SUBSTITUTE(LOWER(TRIM(E643)),"á","a"),"é","e"),"í","i"),"ó","o"),"ú","u"),"ü","u"),"ñ","n"),"à","a"),"è","e"),"ì","i"),"ò","o"),"ù","u"),"")</f>
        <v/>
      </c>
      <c r="R643" s="25">
        <f>IF(AND(L643=1,I643&lt;&gt;""),SUBSTITUTE(SUBSTITUTE(SUBSTITUTE(SUBSTITUTE(SUBSTITUTE(SUBSTITUTE(SUBSTITUTE(SUBSTITUTE(SUBSTITUTE(SUBSTITUTE(SUBSTITUTE(SUBSTITUTE(LOWER(TRIM(I643)),"á","a"),"é","e"),"í","i"),"ó","o"),"ú","u"),"ü","u"),"ñ","n"),"à","a"),"è","e"),"ì","i"),"ò","o"),"ù","u"),"")</f>
        <v/>
      </c>
      <c r="S643" s="25">
        <f>IF(R643="","",IF(OR(R643="si",R643="tal vez"),1,0))</f>
        <v/>
      </c>
      <c r="T643" s="25">
        <f>IF(AND(L643=1,D643&lt;&gt;""),IF(IFERROR(COUNTIFS(D$3:D643,"="&amp;SUBSTITUTE(SUBSTITUTE(SUBSTITUTE(D643,"~","~~"),"*","~*"),"?","~?"),L$3:L643,1),0)=1,MAX(T$2:T642)+1,""),"")</f>
        <v/>
      </c>
      <c r="U643" s="25">
        <f>IF(T643="","",COUNTIFS($D$3:$D$1002,"="&amp;SUBSTITUTE(SUBSTITUTE(SUBSTITUTE(D643,"~","~~"),"*","~*"),"?","~?"),$L$3:$L$1002,1)*10000-T643)</f>
        <v/>
      </c>
      <c r="V643" s="25">
        <f>IF(AND(L643=1,J643&lt;&gt;""),IF(IFERROR(COUNTIFS(J$3:J643,"="&amp;SUBSTITUTE(SUBSTITUTE(SUBSTITUTE(J643,"~","~~"),"*","~*"),"?","~?"),L$3:L643,1),0)=1,MAX(V$2:V642)+1,""),"")</f>
        <v/>
      </c>
      <c r="W643" s="25">
        <f>IF(V643="","",COUNTIFS($J$3:$J$1002,"="&amp;SUBSTITUTE(SUBSTITUTE(SUBSTITUTE(J643,"~","~~"),"*","~*"),"?","~?"),$L$3:$L$1002,1)*10000-V643)</f>
        <v/>
      </c>
    </row>
    <row r="644">
      <c r="A644">
        <f>IF(A$2=0,"",IFERROR(TRIM(INDEX('Pegar estudiantes'!$A$1:$BZ$1001,643,A$2)&amp;""),""))</f>
        <v/>
      </c>
      <c r="B644">
        <f>IF(B$2=0,"",IFERROR(TRIM(INDEX('Pegar estudiantes'!$A$1:$BZ$1001,643,B$2)&amp;""),""))</f>
        <v/>
      </c>
      <c r="C644">
        <f>IF(C$2=0,"",IFERROR(TRIM(INDEX('Pegar estudiantes'!$A$1:$BZ$1001,643,C$2)&amp;""),""))</f>
        <v/>
      </c>
      <c r="D644">
        <f>IF(D$2=0,"",IFERROR(TRIM(INDEX('Pegar estudiantes'!$A$1:$BZ$1001,643,D$2)&amp;""),""))</f>
        <v/>
      </c>
      <c r="E644">
        <f>IF(E$2=0,"",IFERROR(TRIM(INDEX('Pegar estudiantes'!$A$1:$BZ$1001,643,E$2)&amp;""),""))</f>
        <v/>
      </c>
      <c r="F644">
        <f>IF(F$2=0,"",IFERROR(TRIM(INDEX('Pegar estudiantes'!$A$1:$BZ$1001,643,F$2)&amp;""),""))</f>
        <v/>
      </c>
      <c r="G644">
        <f>IF(G$2=0,"",IFERROR(TRIM(INDEX('Pegar estudiantes'!$A$1:$BZ$1001,643,G$2)&amp;""),""))</f>
        <v/>
      </c>
      <c r="H644">
        <f>IF(H$2=0,"",IFERROR(TRIM(INDEX('Pegar estudiantes'!$A$1:$BZ$1001,643,H$2)&amp;""),""))</f>
        <v/>
      </c>
      <c r="I644">
        <f>IF(I$2=0,"",IFERROR(TRIM(INDEX('Pegar estudiantes'!$A$1:$BZ$1001,643,I$2)&amp;""),""))</f>
        <v/>
      </c>
      <c r="J644">
        <f>IF(J$2=0,"",IFERROR(TRIM(INDEX('Pegar estudiantes'!$A$1:$BZ$1001,643,J$2)&amp;""),""))</f>
        <v/>
      </c>
      <c r="K644">
        <f>IF(K$2=0,"",IFERROR(TRIM(INDEX('Pegar estudiantes'!$A$1:$BZ$1001,643,K$2)&amp;""),""))</f>
        <v/>
      </c>
      <c r="L644" s="25">
        <f>IF(A644&lt;&gt;"",1,"")</f>
        <v/>
      </c>
      <c r="M644" s="25">
        <f>IF(L644=1,IF(ISNUMBER(FIND("#"&amp;MID(A644,1,1)&amp;"#","#0#1#2#3#4#5#6#7#8#9#")),IF(ISNUMBER(FIND("#"&amp;MID(A644,2,1)&amp;"#","#0#1#2#3#4#5#6#7#8#9#")),IF(AND(VALUE(LEFT(A644,2))&gt;=1,VALUE(LEFT(A644,2))&lt;=5),VALUE(LEFT(A644,2)),""),IF(AND(VALUE(LEFT(A644,1))&gt;=1,VALUE(LEFT(A644,1))&lt;=5),VALUE(LEFT(A644,1)),"")),""),"")</f>
        <v/>
      </c>
      <c r="N644" s="25">
        <f>IF(L644=1,IF(ISNUMBER(FIND("#"&amp;MID(H644,1,1)&amp;"#","#0#1#2#3#4#5#6#7#8#9#")),IF(ISNUMBER(FIND("#"&amp;MID(H644,2,1)&amp;"#","#0#1#2#3#4#5#6#7#8#9#")),IF(AND(VALUE(LEFT(H644,2))&gt;=1,VALUE(LEFT(H644,2))&lt;=5),VALUE(LEFT(H644,2)),""),IF(AND(VALUE(LEFT(H644,1))&gt;=1,VALUE(LEFT(H644,1))&lt;=5),VALUE(LEFT(H644,1)),"")),""),"")</f>
        <v/>
      </c>
      <c r="O644" s="25">
        <f>IF(AND(L644=1,B644&lt;&gt;""),SUBSTITUTE(SUBSTITUTE(SUBSTITUTE(SUBSTITUTE(SUBSTITUTE(SUBSTITUTE(SUBSTITUTE(SUBSTITUTE(SUBSTITUTE(SUBSTITUTE(SUBSTITUTE(SUBSTITUTE(LOWER(TRIM(B644)),"á","a"),"é","e"),"í","i"),"ó","o"),"ú","u"),"ü","u"),"ñ","n"),"à","a"),"è","e"),"ì","i"),"ò","o"),"ù","u"),"")</f>
        <v/>
      </c>
      <c r="P644" s="25">
        <f>IF(AND(L644=1,C644&lt;&gt;""),SUBSTITUTE(SUBSTITUTE(SUBSTITUTE(SUBSTITUTE(SUBSTITUTE(SUBSTITUTE(SUBSTITUTE(SUBSTITUTE(SUBSTITUTE(SUBSTITUTE(SUBSTITUTE(SUBSTITUTE(LOWER(TRIM(C644)),"á","a"),"é","e"),"í","i"),"ó","o"),"ú","u"),"ü","u"),"ñ","n"),"à","a"),"è","e"),"ì","i"),"ò","o"),"ù","u"),"")</f>
        <v/>
      </c>
      <c r="Q644" s="25">
        <f>IF(AND(L644=1,E644&lt;&gt;""),SUBSTITUTE(SUBSTITUTE(SUBSTITUTE(SUBSTITUTE(SUBSTITUTE(SUBSTITUTE(SUBSTITUTE(SUBSTITUTE(SUBSTITUTE(SUBSTITUTE(SUBSTITUTE(SUBSTITUTE(LOWER(TRIM(E644)),"á","a"),"é","e"),"í","i"),"ó","o"),"ú","u"),"ü","u"),"ñ","n"),"à","a"),"è","e"),"ì","i"),"ò","o"),"ù","u"),"")</f>
        <v/>
      </c>
      <c r="R644" s="25">
        <f>IF(AND(L644=1,I644&lt;&gt;""),SUBSTITUTE(SUBSTITUTE(SUBSTITUTE(SUBSTITUTE(SUBSTITUTE(SUBSTITUTE(SUBSTITUTE(SUBSTITUTE(SUBSTITUTE(SUBSTITUTE(SUBSTITUTE(SUBSTITUTE(LOWER(TRIM(I644)),"á","a"),"é","e"),"í","i"),"ó","o"),"ú","u"),"ü","u"),"ñ","n"),"à","a"),"è","e"),"ì","i"),"ò","o"),"ù","u"),"")</f>
        <v/>
      </c>
      <c r="S644" s="25">
        <f>IF(R644="","",IF(OR(R644="si",R644="tal vez"),1,0))</f>
        <v/>
      </c>
      <c r="T644" s="25">
        <f>IF(AND(L644=1,D644&lt;&gt;""),IF(IFERROR(COUNTIFS(D$3:D644,"="&amp;SUBSTITUTE(SUBSTITUTE(SUBSTITUTE(D644,"~","~~"),"*","~*"),"?","~?"),L$3:L644,1),0)=1,MAX(T$2:T643)+1,""),"")</f>
        <v/>
      </c>
      <c r="U644" s="25">
        <f>IF(T644="","",COUNTIFS($D$3:$D$1002,"="&amp;SUBSTITUTE(SUBSTITUTE(SUBSTITUTE(D644,"~","~~"),"*","~*"),"?","~?"),$L$3:$L$1002,1)*10000-T644)</f>
        <v/>
      </c>
      <c r="V644" s="25">
        <f>IF(AND(L644=1,J644&lt;&gt;""),IF(IFERROR(COUNTIFS(J$3:J644,"="&amp;SUBSTITUTE(SUBSTITUTE(SUBSTITUTE(J644,"~","~~"),"*","~*"),"?","~?"),L$3:L644,1),0)=1,MAX(V$2:V643)+1,""),"")</f>
        <v/>
      </c>
      <c r="W644" s="25">
        <f>IF(V644="","",COUNTIFS($J$3:$J$1002,"="&amp;SUBSTITUTE(SUBSTITUTE(SUBSTITUTE(J644,"~","~~"),"*","~*"),"?","~?"),$L$3:$L$1002,1)*10000-V644)</f>
        <v/>
      </c>
    </row>
    <row r="645">
      <c r="A645">
        <f>IF(A$2=0,"",IFERROR(TRIM(INDEX('Pegar estudiantes'!$A$1:$BZ$1001,644,A$2)&amp;""),""))</f>
        <v/>
      </c>
      <c r="B645">
        <f>IF(B$2=0,"",IFERROR(TRIM(INDEX('Pegar estudiantes'!$A$1:$BZ$1001,644,B$2)&amp;""),""))</f>
        <v/>
      </c>
      <c r="C645">
        <f>IF(C$2=0,"",IFERROR(TRIM(INDEX('Pegar estudiantes'!$A$1:$BZ$1001,644,C$2)&amp;""),""))</f>
        <v/>
      </c>
      <c r="D645">
        <f>IF(D$2=0,"",IFERROR(TRIM(INDEX('Pegar estudiantes'!$A$1:$BZ$1001,644,D$2)&amp;""),""))</f>
        <v/>
      </c>
      <c r="E645">
        <f>IF(E$2=0,"",IFERROR(TRIM(INDEX('Pegar estudiantes'!$A$1:$BZ$1001,644,E$2)&amp;""),""))</f>
        <v/>
      </c>
      <c r="F645">
        <f>IF(F$2=0,"",IFERROR(TRIM(INDEX('Pegar estudiantes'!$A$1:$BZ$1001,644,F$2)&amp;""),""))</f>
        <v/>
      </c>
      <c r="G645">
        <f>IF(G$2=0,"",IFERROR(TRIM(INDEX('Pegar estudiantes'!$A$1:$BZ$1001,644,G$2)&amp;""),""))</f>
        <v/>
      </c>
      <c r="H645">
        <f>IF(H$2=0,"",IFERROR(TRIM(INDEX('Pegar estudiantes'!$A$1:$BZ$1001,644,H$2)&amp;""),""))</f>
        <v/>
      </c>
      <c r="I645">
        <f>IF(I$2=0,"",IFERROR(TRIM(INDEX('Pegar estudiantes'!$A$1:$BZ$1001,644,I$2)&amp;""),""))</f>
        <v/>
      </c>
      <c r="J645">
        <f>IF(J$2=0,"",IFERROR(TRIM(INDEX('Pegar estudiantes'!$A$1:$BZ$1001,644,J$2)&amp;""),""))</f>
        <v/>
      </c>
      <c r="K645">
        <f>IF(K$2=0,"",IFERROR(TRIM(INDEX('Pegar estudiantes'!$A$1:$BZ$1001,644,K$2)&amp;""),""))</f>
        <v/>
      </c>
      <c r="L645" s="25">
        <f>IF(A645&lt;&gt;"",1,"")</f>
        <v/>
      </c>
      <c r="M645" s="25">
        <f>IF(L645=1,IF(ISNUMBER(FIND("#"&amp;MID(A645,1,1)&amp;"#","#0#1#2#3#4#5#6#7#8#9#")),IF(ISNUMBER(FIND("#"&amp;MID(A645,2,1)&amp;"#","#0#1#2#3#4#5#6#7#8#9#")),IF(AND(VALUE(LEFT(A645,2))&gt;=1,VALUE(LEFT(A645,2))&lt;=5),VALUE(LEFT(A645,2)),""),IF(AND(VALUE(LEFT(A645,1))&gt;=1,VALUE(LEFT(A645,1))&lt;=5),VALUE(LEFT(A645,1)),"")),""),"")</f>
        <v/>
      </c>
      <c r="N645" s="25">
        <f>IF(L645=1,IF(ISNUMBER(FIND("#"&amp;MID(H645,1,1)&amp;"#","#0#1#2#3#4#5#6#7#8#9#")),IF(ISNUMBER(FIND("#"&amp;MID(H645,2,1)&amp;"#","#0#1#2#3#4#5#6#7#8#9#")),IF(AND(VALUE(LEFT(H645,2))&gt;=1,VALUE(LEFT(H645,2))&lt;=5),VALUE(LEFT(H645,2)),""),IF(AND(VALUE(LEFT(H645,1))&gt;=1,VALUE(LEFT(H645,1))&lt;=5),VALUE(LEFT(H645,1)),"")),""),"")</f>
        <v/>
      </c>
      <c r="O645" s="25">
        <f>IF(AND(L645=1,B645&lt;&gt;""),SUBSTITUTE(SUBSTITUTE(SUBSTITUTE(SUBSTITUTE(SUBSTITUTE(SUBSTITUTE(SUBSTITUTE(SUBSTITUTE(SUBSTITUTE(SUBSTITUTE(SUBSTITUTE(SUBSTITUTE(LOWER(TRIM(B645)),"á","a"),"é","e"),"í","i"),"ó","o"),"ú","u"),"ü","u"),"ñ","n"),"à","a"),"è","e"),"ì","i"),"ò","o"),"ù","u"),"")</f>
        <v/>
      </c>
      <c r="P645" s="25">
        <f>IF(AND(L645=1,C645&lt;&gt;""),SUBSTITUTE(SUBSTITUTE(SUBSTITUTE(SUBSTITUTE(SUBSTITUTE(SUBSTITUTE(SUBSTITUTE(SUBSTITUTE(SUBSTITUTE(SUBSTITUTE(SUBSTITUTE(SUBSTITUTE(LOWER(TRIM(C645)),"á","a"),"é","e"),"í","i"),"ó","o"),"ú","u"),"ü","u"),"ñ","n"),"à","a"),"è","e"),"ì","i"),"ò","o"),"ù","u"),"")</f>
        <v/>
      </c>
      <c r="Q645" s="25">
        <f>IF(AND(L645=1,E645&lt;&gt;""),SUBSTITUTE(SUBSTITUTE(SUBSTITUTE(SUBSTITUTE(SUBSTITUTE(SUBSTITUTE(SUBSTITUTE(SUBSTITUTE(SUBSTITUTE(SUBSTITUTE(SUBSTITUTE(SUBSTITUTE(LOWER(TRIM(E645)),"á","a"),"é","e"),"í","i"),"ó","o"),"ú","u"),"ü","u"),"ñ","n"),"à","a"),"è","e"),"ì","i"),"ò","o"),"ù","u"),"")</f>
        <v/>
      </c>
      <c r="R645" s="25">
        <f>IF(AND(L645=1,I645&lt;&gt;""),SUBSTITUTE(SUBSTITUTE(SUBSTITUTE(SUBSTITUTE(SUBSTITUTE(SUBSTITUTE(SUBSTITUTE(SUBSTITUTE(SUBSTITUTE(SUBSTITUTE(SUBSTITUTE(SUBSTITUTE(LOWER(TRIM(I645)),"á","a"),"é","e"),"í","i"),"ó","o"),"ú","u"),"ü","u"),"ñ","n"),"à","a"),"è","e"),"ì","i"),"ò","o"),"ù","u"),"")</f>
        <v/>
      </c>
      <c r="S645" s="25">
        <f>IF(R645="","",IF(OR(R645="si",R645="tal vez"),1,0))</f>
        <v/>
      </c>
      <c r="T645" s="25">
        <f>IF(AND(L645=1,D645&lt;&gt;""),IF(IFERROR(COUNTIFS(D$3:D645,"="&amp;SUBSTITUTE(SUBSTITUTE(SUBSTITUTE(D645,"~","~~"),"*","~*"),"?","~?"),L$3:L645,1),0)=1,MAX(T$2:T644)+1,""),"")</f>
        <v/>
      </c>
      <c r="U645" s="25">
        <f>IF(T645="","",COUNTIFS($D$3:$D$1002,"="&amp;SUBSTITUTE(SUBSTITUTE(SUBSTITUTE(D645,"~","~~"),"*","~*"),"?","~?"),$L$3:$L$1002,1)*10000-T645)</f>
        <v/>
      </c>
      <c r="V645" s="25">
        <f>IF(AND(L645=1,J645&lt;&gt;""),IF(IFERROR(COUNTIFS(J$3:J645,"="&amp;SUBSTITUTE(SUBSTITUTE(SUBSTITUTE(J645,"~","~~"),"*","~*"),"?","~?"),L$3:L645,1),0)=1,MAX(V$2:V644)+1,""),"")</f>
        <v/>
      </c>
      <c r="W645" s="25">
        <f>IF(V645="","",COUNTIFS($J$3:$J$1002,"="&amp;SUBSTITUTE(SUBSTITUTE(SUBSTITUTE(J645,"~","~~"),"*","~*"),"?","~?"),$L$3:$L$1002,1)*10000-V645)</f>
        <v/>
      </c>
    </row>
    <row r="646">
      <c r="A646">
        <f>IF(A$2=0,"",IFERROR(TRIM(INDEX('Pegar estudiantes'!$A$1:$BZ$1001,645,A$2)&amp;""),""))</f>
        <v/>
      </c>
      <c r="B646">
        <f>IF(B$2=0,"",IFERROR(TRIM(INDEX('Pegar estudiantes'!$A$1:$BZ$1001,645,B$2)&amp;""),""))</f>
        <v/>
      </c>
      <c r="C646">
        <f>IF(C$2=0,"",IFERROR(TRIM(INDEX('Pegar estudiantes'!$A$1:$BZ$1001,645,C$2)&amp;""),""))</f>
        <v/>
      </c>
      <c r="D646">
        <f>IF(D$2=0,"",IFERROR(TRIM(INDEX('Pegar estudiantes'!$A$1:$BZ$1001,645,D$2)&amp;""),""))</f>
        <v/>
      </c>
      <c r="E646">
        <f>IF(E$2=0,"",IFERROR(TRIM(INDEX('Pegar estudiantes'!$A$1:$BZ$1001,645,E$2)&amp;""),""))</f>
        <v/>
      </c>
      <c r="F646">
        <f>IF(F$2=0,"",IFERROR(TRIM(INDEX('Pegar estudiantes'!$A$1:$BZ$1001,645,F$2)&amp;""),""))</f>
        <v/>
      </c>
      <c r="G646">
        <f>IF(G$2=0,"",IFERROR(TRIM(INDEX('Pegar estudiantes'!$A$1:$BZ$1001,645,G$2)&amp;""),""))</f>
        <v/>
      </c>
      <c r="H646">
        <f>IF(H$2=0,"",IFERROR(TRIM(INDEX('Pegar estudiantes'!$A$1:$BZ$1001,645,H$2)&amp;""),""))</f>
        <v/>
      </c>
      <c r="I646">
        <f>IF(I$2=0,"",IFERROR(TRIM(INDEX('Pegar estudiantes'!$A$1:$BZ$1001,645,I$2)&amp;""),""))</f>
        <v/>
      </c>
      <c r="J646">
        <f>IF(J$2=0,"",IFERROR(TRIM(INDEX('Pegar estudiantes'!$A$1:$BZ$1001,645,J$2)&amp;""),""))</f>
        <v/>
      </c>
      <c r="K646">
        <f>IF(K$2=0,"",IFERROR(TRIM(INDEX('Pegar estudiantes'!$A$1:$BZ$1001,645,K$2)&amp;""),""))</f>
        <v/>
      </c>
      <c r="L646" s="25">
        <f>IF(A646&lt;&gt;"",1,"")</f>
        <v/>
      </c>
      <c r="M646" s="25">
        <f>IF(L646=1,IF(ISNUMBER(FIND("#"&amp;MID(A646,1,1)&amp;"#","#0#1#2#3#4#5#6#7#8#9#")),IF(ISNUMBER(FIND("#"&amp;MID(A646,2,1)&amp;"#","#0#1#2#3#4#5#6#7#8#9#")),IF(AND(VALUE(LEFT(A646,2))&gt;=1,VALUE(LEFT(A646,2))&lt;=5),VALUE(LEFT(A646,2)),""),IF(AND(VALUE(LEFT(A646,1))&gt;=1,VALUE(LEFT(A646,1))&lt;=5),VALUE(LEFT(A646,1)),"")),""),"")</f>
        <v/>
      </c>
      <c r="N646" s="25">
        <f>IF(L646=1,IF(ISNUMBER(FIND("#"&amp;MID(H646,1,1)&amp;"#","#0#1#2#3#4#5#6#7#8#9#")),IF(ISNUMBER(FIND("#"&amp;MID(H646,2,1)&amp;"#","#0#1#2#3#4#5#6#7#8#9#")),IF(AND(VALUE(LEFT(H646,2))&gt;=1,VALUE(LEFT(H646,2))&lt;=5),VALUE(LEFT(H646,2)),""),IF(AND(VALUE(LEFT(H646,1))&gt;=1,VALUE(LEFT(H646,1))&lt;=5),VALUE(LEFT(H646,1)),"")),""),"")</f>
        <v/>
      </c>
      <c r="O646" s="25">
        <f>IF(AND(L646=1,B646&lt;&gt;""),SUBSTITUTE(SUBSTITUTE(SUBSTITUTE(SUBSTITUTE(SUBSTITUTE(SUBSTITUTE(SUBSTITUTE(SUBSTITUTE(SUBSTITUTE(SUBSTITUTE(SUBSTITUTE(SUBSTITUTE(LOWER(TRIM(B646)),"á","a"),"é","e"),"í","i"),"ó","o"),"ú","u"),"ü","u"),"ñ","n"),"à","a"),"è","e"),"ì","i"),"ò","o"),"ù","u"),"")</f>
        <v/>
      </c>
      <c r="P646" s="25">
        <f>IF(AND(L646=1,C646&lt;&gt;""),SUBSTITUTE(SUBSTITUTE(SUBSTITUTE(SUBSTITUTE(SUBSTITUTE(SUBSTITUTE(SUBSTITUTE(SUBSTITUTE(SUBSTITUTE(SUBSTITUTE(SUBSTITUTE(SUBSTITUTE(LOWER(TRIM(C646)),"á","a"),"é","e"),"í","i"),"ó","o"),"ú","u"),"ü","u"),"ñ","n"),"à","a"),"è","e"),"ì","i"),"ò","o"),"ù","u"),"")</f>
        <v/>
      </c>
      <c r="Q646" s="25">
        <f>IF(AND(L646=1,E646&lt;&gt;""),SUBSTITUTE(SUBSTITUTE(SUBSTITUTE(SUBSTITUTE(SUBSTITUTE(SUBSTITUTE(SUBSTITUTE(SUBSTITUTE(SUBSTITUTE(SUBSTITUTE(SUBSTITUTE(SUBSTITUTE(LOWER(TRIM(E646)),"á","a"),"é","e"),"í","i"),"ó","o"),"ú","u"),"ü","u"),"ñ","n"),"à","a"),"è","e"),"ì","i"),"ò","o"),"ù","u"),"")</f>
        <v/>
      </c>
      <c r="R646" s="25">
        <f>IF(AND(L646=1,I646&lt;&gt;""),SUBSTITUTE(SUBSTITUTE(SUBSTITUTE(SUBSTITUTE(SUBSTITUTE(SUBSTITUTE(SUBSTITUTE(SUBSTITUTE(SUBSTITUTE(SUBSTITUTE(SUBSTITUTE(SUBSTITUTE(LOWER(TRIM(I646)),"á","a"),"é","e"),"í","i"),"ó","o"),"ú","u"),"ü","u"),"ñ","n"),"à","a"),"è","e"),"ì","i"),"ò","o"),"ù","u"),"")</f>
        <v/>
      </c>
      <c r="S646" s="25">
        <f>IF(R646="","",IF(OR(R646="si",R646="tal vez"),1,0))</f>
        <v/>
      </c>
      <c r="T646" s="25">
        <f>IF(AND(L646=1,D646&lt;&gt;""),IF(IFERROR(COUNTIFS(D$3:D646,"="&amp;SUBSTITUTE(SUBSTITUTE(SUBSTITUTE(D646,"~","~~"),"*","~*"),"?","~?"),L$3:L646,1),0)=1,MAX(T$2:T645)+1,""),"")</f>
        <v/>
      </c>
      <c r="U646" s="25">
        <f>IF(T646="","",COUNTIFS($D$3:$D$1002,"="&amp;SUBSTITUTE(SUBSTITUTE(SUBSTITUTE(D646,"~","~~"),"*","~*"),"?","~?"),$L$3:$L$1002,1)*10000-T646)</f>
        <v/>
      </c>
      <c r="V646" s="25">
        <f>IF(AND(L646=1,J646&lt;&gt;""),IF(IFERROR(COUNTIFS(J$3:J646,"="&amp;SUBSTITUTE(SUBSTITUTE(SUBSTITUTE(J646,"~","~~"),"*","~*"),"?","~?"),L$3:L646,1),0)=1,MAX(V$2:V645)+1,""),"")</f>
        <v/>
      </c>
      <c r="W646" s="25">
        <f>IF(V646="","",COUNTIFS($J$3:$J$1002,"="&amp;SUBSTITUTE(SUBSTITUTE(SUBSTITUTE(J646,"~","~~"),"*","~*"),"?","~?"),$L$3:$L$1002,1)*10000-V646)</f>
        <v/>
      </c>
    </row>
    <row r="647">
      <c r="A647">
        <f>IF(A$2=0,"",IFERROR(TRIM(INDEX('Pegar estudiantes'!$A$1:$BZ$1001,646,A$2)&amp;""),""))</f>
        <v/>
      </c>
      <c r="B647">
        <f>IF(B$2=0,"",IFERROR(TRIM(INDEX('Pegar estudiantes'!$A$1:$BZ$1001,646,B$2)&amp;""),""))</f>
        <v/>
      </c>
      <c r="C647">
        <f>IF(C$2=0,"",IFERROR(TRIM(INDEX('Pegar estudiantes'!$A$1:$BZ$1001,646,C$2)&amp;""),""))</f>
        <v/>
      </c>
      <c r="D647">
        <f>IF(D$2=0,"",IFERROR(TRIM(INDEX('Pegar estudiantes'!$A$1:$BZ$1001,646,D$2)&amp;""),""))</f>
        <v/>
      </c>
      <c r="E647">
        <f>IF(E$2=0,"",IFERROR(TRIM(INDEX('Pegar estudiantes'!$A$1:$BZ$1001,646,E$2)&amp;""),""))</f>
        <v/>
      </c>
      <c r="F647">
        <f>IF(F$2=0,"",IFERROR(TRIM(INDEX('Pegar estudiantes'!$A$1:$BZ$1001,646,F$2)&amp;""),""))</f>
        <v/>
      </c>
      <c r="G647">
        <f>IF(G$2=0,"",IFERROR(TRIM(INDEX('Pegar estudiantes'!$A$1:$BZ$1001,646,G$2)&amp;""),""))</f>
        <v/>
      </c>
      <c r="H647">
        <f>IF(H$2=0,"",IFERROR(TRIM(INDEX('Pegar estudiantes'!$A$1:$BZ$1001,646,H$2)&amp;""),""))</f>
        <v/>
      </c>
      <c r="I647">
        <f>IF(I$2=0,"",IFERROR(TRIM(INDEX('Pegar estudiantes'!$A$1:$BZ$1001,646,I$2)&amp;""),""))</f>
        <v/>
      </c>
      <c r="J647">
        <f>IF(J$2=0,"",IFERROR(TRIM(INDEX('Pegar estudiantes'!$A$1:$BZ$1001,646,J$2)&amp;""),""))</f>
        <v/>
      </c>
      <c r="K647">
        <f>IF(K$2=0,"",IFERROR(TRIM(INDEX('Pegar estudiantes'!$A$1:$BZ$1001,646,K$2)&amp;""),""))</f>
        <v/>
      </c>
      <c r="L647" s="25">
        <f>IF(A647&lt;&gt;"",1,"")</f>
        <v/>
      </c>
      <c r="M647" s="25">
        <f>IF(L647=1,IF(ISNUMBER(FIND("#"&amp;MID(A647,1,1)&amp;"#","#0#1#2#3#4#5#6#7#8#9#")),IF(ISNUMBER(FIND("#"&amp;MID(A647,2,1)&amp;"#","#0#1#2#3#4#5#6#7#8#9#")),IF(AND(VALUE(LEFT(A647,2))&gt;=1,VALUE(LEFT(A647,2))&lt;=5),VALUE(LEFT(A647,2)),""),IF(AND(VALUE(LEFT(A647,1))&gt;=1,VALUE(LEFT(A647,1))&lt;=5),VALUE(LEFT(A647,1)),"")),""),"")</f>
        <v/>
      </c>
      <c r="N647" s="25">
        <f>IF(L647=1,IF(ISNUMBER(FIND("#"&amp;MID(H647,1,1)&amp;"#","#0#1#2#3#4#5#6#7#8#9#")),IF(ISNUMBER(FIND("#"&amp;MID(H647,2,1)&amp;"#","#0#1#2#3#4#5#6#7#8#9#")),IF(AND(VALUE(LEFT(H647,2))&gt;=1,VALUE(LEFT(H647,2))&lt;=5),VALUE(LEFT(H647,2)),""),IF(AND(VALUE(LEFT(H647,1))&gt;=1,VALUE(LEFT(H647,1))&lt;=5),VALUE(LEFT(H647,1)),"")),""),"")</f>
        <v/>
      </c>
      <c r="O647" s="25">
        <f>IF(AND(L647=1,B647&lt;&gt;""),SUBSTITUTE(SUBSTITUTE(SUBSTITUTE(SUBSTITUTE(SUBSTITUTE(SUBSTITUTE(SUBSTITUTE(SUBSTITUTE(SUBSTITUTE(SUBSTITUTE(SUBSTITUTE(SUBSTITUTE(LOWER(TRIM(B647)),"á","a"),"é","e"),"í","i"),"ó","o"),"ú","u"),"ü","u"),"ñ","n"),"à","a"),"è","e"),"ì","i"),"ò","o"),"ù","u"),"")</f>
        <v/>
      </c>
      <c r="P647" s="25">
        <f>IF(AND(L647=1,C647&lt;&gt;""),SUBSTITUTE(SUBSTITUTE(SUBSTITUTE(SUBSTITUTE(SUBSTITUTE(SUBSTITUTE(SUBSTITUTE(SUBSTITUTE(SUBSTITUTE(SUBSTITUTE(SUBSTITUTE(SUBSTITUTE(LOWER(TRIM(C647)),"á","a"),"é","e"),"í","i"),"ó","o"),"ú","u"),"ü","u"),"ñ","n"),"à","a"),"è","e"),"ì","i"),"ò","o"),"ù","u"),"")</f>
        <v/>
      </c>
      <c r="Q647" s="25">
        <f>IF(AND(L647=1,E647&lt;&gt;""),SUBSTITUTE(SUBSTITUTE(SUBSTITUTE(SUBSTITUTE(SUBSTITUTE(SUBSTITUTE(SUBSTITUTE(SUBSTITUTE(SUBSTITUTE(SUBSTITUTE(SUBSTITUTE(SUBSTITUTE(LOWER(TRIM(E647)),"á","a"),"é","e"),"í","i"),"ó","o"),"ú","u"),"ü","u"),"ñ","n"),"à","a"),"è","e"),"ì","i"),"ò","o"),"ù","u"),"")</f>
        <v/>
      </c>
      <c r="R647" s="25">
        <f>IF(AND(L647=1,I647&lt;&gt;""),SUBSTITUTE(SUBSTITUTE(SUBSTITUTE(SUBSTITUTE(SUBSTITUTE(SUBSTITUTE(SUBSTITUTE(SUBSTITUTE(SUBSTITUTE(SUBSTITUTE(SUBSTITUTE(SUBSTITUTE(LOWER(TRIM(I647)),"á","a"),"é","e"),"í","i"),"ó","o"),"ú","u"),"ü","u"),"ñ","n"),"à","a"),"è","e"),"ì","i"),"ò","o"),"ù","u"),"")</f>
        <v/>
      </c>
      <c r="S647" s="25">
        <f>IF(R647="","",IF(OR(R647="si",R647="tal vez"),1,0))</f>
        <v/>
      </c>
      <c r="T647" s="25">
        <f>IF(AND(L647=1,D647&lt;&gt;""),IF(IFERROR(COUNTIFS(D$3:D647,"="&amp;SUBSTITUTE(SUBSTITUTE(SUBSTITUTE(D647,"~","~~"),"*","~*"),"?","~?"),L$3:L647,1),0)=1,MAX(T$2:T646)+1,""),"")</f>
        <v/>
      </c>
      <c r="U647" s="25">
        <f>IF(T647="","",COUNTIFS($D$3:$D$1002,"="&amp;SUBSTITUTE(SUBSTITUTE(SUBSTITUTE(D647,"~","~~"),"*","~*"),"?","~?"),$L$3:$L$1002,1)*10000-T647)</f>
        <v/>
      </c>
      <c r="V647" s="25">
        <f>IF(AND(L647=1,J647&lt;&gt;""),IF(IFERROR(COUNTIFS(J$3:J647,"="&amp;SUBSTITUTE(SUBSTITUTE(SUBSTITUTE(J647,"~","~~"),"*","~*"),"?","~?"),L$3:L647,1),0)=1,MAX(V$2:V646)+1,""),"")</f>
        <v/>
      </c>
      <c r="W647" s="25">
        <f>IF(V647="","",COUNTIFS($J$3:$J$1002,"="&amp;SUBSTITUTE(SUBSTITUTE(SUBSTITUTE(J647,"~","~~"),"*","~*"),"?","~?"),$L$3:$L$1002,1)*10000-V647)</f>
        <v/>
      </c>
    </row>
    <row r="648">
      <c r="A648">
        <f>IF(A$2=0,"",IFERROR(TRIM(INDEX('Pegar estudiantes'!$A$1:$BZ$1001,647,A$2)&amp;""),""))</f>
        <v/>
      </c>
      <c r="B648">
        <f>IF(B$2=0,"",IFERROR(TRIM(INDEX('Pegar estudiantes'!$A$1:$BZ$1001,647,B$2)&amp;""),""))</f>
        <v/>
      </c>
      <c r="C648">
        <f>IF(C$2=0,"",IFERROR(TRIM(INDEX('Pegar estudiantes'!$A$1:$BZ$1001,647,C$2)&amp;""),""))</f>
        <v/>
      </c>
      <c r="D648">
        <f>IF(D$2=0,"",IFERROR(TRIM(INDEX('Pegar estudiantes'!$A$1:$BZ$1001,647,D$2)&amp;""),""))</f>
        <v/>
      </c>
      <c r="E648">
        <f>IF(E$2=0,"",IFERROR(TRIM(INDEX('Pegar estudiantes'!$A$1:$BZ$1001,647,E$2)&amp;""),""))</f>
        <v/>
      </c>
      <c r="F648">
        <f>IF(F$2=0,"",IFERROR(TRIM(INDEX('Pegar estudiantes'!$A$1:$BZ$1001,647,F$2)&amp;""),""))</f>
        <v/>
      </c>
      <c r="G648">
        <f>IF(G$2=0,"",IFERROR(TRIM(INDEX('Pegar estudiantes'!$A$1:$BZ$1001,647,G$2)&amp;""),""))</f>
        <v/>
      </c>
      <c r="H648">
        <f>IF(H$2=0,"",IFERROR(TRIM(INDEX('Pegar estudiantes'!$A$1:$BZ$1001,647,H$2)&amp;""),""))</f>
        <v/>
      </c>
      <c r="I648">
        <f>IF(I$2=0,"",IFERROR(TRIM(INDEX('Pegar estudiantes'!$A$1:$BZ$1001,647,I$2)&amp;""),""))</f>
        <v/>
      </c>
      <c r="J648">
        <f>IF(J$2=0,"",IFERROR(TRIM(INDEX('Pegar estudiantes'!$A$1:$BZ$1001,647,J$2)&amp;""),""))</f>
        <v/>
      </c>
      <c r="K648">
        <f>IF(K$2=0,"",IFERROR(TRIM(INDEX('Pegar estudiantes'!$A$1:$BZ$1001,647,K$2)&amp;""),""))</f>
        <v/>
      </c>
      <c r="L648" s="25">
        <f>IF(A648&lt;&gt;"",1,"")</f>
        <v/>
      </c>
      <c r="M648" s="25">
        <f>IF(L648=1,IF(ISNUMBER(FIND("#"&amp;MID(A648,1,1)&amp;"#","#0#1#2#3#4#5#6#7#8#9#")),IF(ISNUMBER(FIND("#"&amp;MID(A648,2,1)&amp;"#","#0#1#2#3#4#5#6#7#8#9#")),IF(AND(VALUE(LEFT(A648,2))&gt;=1,VALUE(LEFT(A648,2))&lt;=5),VALUE(LEFT(A648,2)),""),IF(AND(VALUE(LEFT(A648,1))&gt;=1,VALUE(LEFT(A648,1))&lt;=5),VALUE(LEFT(A648,1)),"")),""),"")</f>
        <v/>
      </c>
      <c r="N648" s="25">
        <f>IF(L648=1,IF(ISNUMBER(FIND("#"&amp;MID(H648,1,1)&amp;"#","#0#1#2#3#4#5#6#7#8#9#")),IF(ISNUMBER(FIND("#"&amp;MID(H648,2,1)&amp;"#","#0#1#2#3#4#5#6#7#8#9#")),IF(AND(VALUE(LEFT(H648,2))&gt;=1,VALUE(LEFT(H648,2))&lt;=5),VALUE(LEFT(H648,2)),""),IF(AND(VALUE(LEFT(H648,1))&gt;=1,VALUE(LEFT(H648,1))&lt;=5),VALUE(LEFT(H648,1)),"")),""),"")</f>
        <v/>
      </c>
      <c r="O648" s="25">
        <f>IF(AND(L648=1,B648&lt;&gt;""),SUBSTITUTE(SUBSTITUTE(SUBSTITUTE(SUBSTITUTE(SUBSTITUTE(SUBSTITUTE(SUBSTITUTE(SUBSTITUTE(SUBSTITUTE(SUBSTITUTE(SUBSTITUTE(SUBSTITUTE(LOWER(TRIM(B648)),"á","a"),"é","e"),"í","i"),"ó","o"),"ú","u"),"ü","u"),"ñ","n"),"à","a"),"è","e"),"ì","i"),"ò","o"),"ù","u"),"")</f>
        <v/>
      </c>
      <c r="P648" s="25">
        <f>IF(AND(L648=1,C648&lt;&gt;""),SUBSTITUTE(SUBSTITUTE(SUBSTITUTE(SUBSTITUTE(SUBSTITUTE(SUBSTITUTE(SUBSTITUTE(SUBSTITUTE(SUBSTITUTE(SUBSTITUTE(SUBSTITUTE(SUBSTITUTE(LOWER(TRIM(C648)),"á","a"),"é","e"),"í","i"),"ó","o"),"ú","u"),"ü","u"),"ñ","n"),"à","a"),"è","e"),"ì","i"),"ò","o"),"ù","u"),"")</f>
        <v/>
      </c>
      <c r="Q648" s="25">
        <f>IF(AND(L648=1,E648&lt;&gt;""),SUBSTITUTE(SUBSTITUTE(SUBSTITUTE(SUBSTITUTE(SUBSTITUTE(SUBSTITUTE(SUBSTITUTE(SUBSTITUTE(SUBSTITUTE(SUBSTITUTE(SUBSTITUTE(SUBSTITUTE(LOWER(TRIM(E648)),"á","a"),"é","e"),"í","i"),"ó","o"),"ú","u"),"ü","u"),"ñ","n"),"à","a"),"è","e"),"ì","i"),"ò","o"),"ù","u"),"")</f>
        <v/>
      </c>
      <c r="R648" s="25">
        <f>IF(AND(L648=1,I648&lt;&gt;""),SUBSTITUTE(SUBSTITUTE(SUBSTITUTE(SUBSTITUTE(SUBSTITUTE(SUBSTITUTE(SUBSTITUTE(SUBSTITUTE(SUBSTITUTE(SUBSTITUTE(SUBSTITUTE(SUBSTITUTE(LOWER(TRIM(I648)),"á","a"),"é","e"),"í","i"),"ó","o"),"ú","u"),"ü","u"),"ñ","n"),"à","a"),"è","e"),"ì","i"),"ò","o"),"ù","u"),"")</f>
        <v/>
      </c>
      <c r="S648" s="25">
        <f>IF(R648="","",IF(OR(R648="si",R648="tal vez"),1,0))</f>
        <v/>
      </c>
      <c r="T648" s="25">
        <f>IF(AND(L648=1,D648&lt;&gt;""),IF(IFERROR(COUNTIFS(D$3:D648,"="&amp;SUBSTITUTE(SUBSTITUTE(SUBSTITUTE(D648,"~","~~"),"*","~*"),"?","~?"),L$3:L648,1),0)=1,MAX(T$2:T647)+1,""),"")</f>
        <v/>
      </c>
      <c r="U648" s="25">
        <f>IF(T648="","",COUNTIFS($D$3:$D$1002,"="&amp;SUBSTITUTE(SUBSTITUTE(SUBSTITUTE(D648,"~","~~"),"*","~*"),"?","~?"),$L$3:$L$1002,1)*10000-T648)</f>
        <v/>
      </c>
      <c r="V648" s="25">
        <f>IF(AND(L648=1,J648&lt;&gt;""),IF(IFERROR(COUNTIFS(J$3:J648,"="&amp;SUBSTITUTE(SUBSTITUTE(SUBSTITUTE(J648,"~","~~"),"*","~*"),"?","~?"),L$3:L648,1),0)=1,MAX(V$2:V647)+1,""),"")</f>
        <v/>
      </c>
      <c r="W648" s="25">
        <f>IF(V648="","",COUNTIFS($J$3:$J$1002,"="&amp;SUBSTITUTE(SUBSTITUTE(SUBSTITUTE(J648,"~","~~"),"*","~*"),"?","~?"),$L$3:$L$1002,1)*10000-V648)</f>
        <v/>
      </c>
    </row>
    <row r="649">
      <c r="A649">
        <f>IF(A$2=0,"",IFERROR(TRIM(INDEX('Pegar estudiantes'!$A$1:$BZ$1001,648,A$2)&amp;""),""))</f>
        <v/>
      </c>
      <c r="B649">
        <f>IF(B$2=0,"",IFERROR(TRIM(INDEX('Pegar estudiantes'!$A$1:$BZ$1001,648,B$2)&amp;""),""))</f>
        <v/>
      </c>
      <c r="C649">
        <f>IF(C$2=0,"",IFERROR(TRIM(INDEX('Pegar estudiantes'!$A$1:$BZ$1001,648,C$2)&amp;""),""))</f>
        <v/>
      </c>
      <c r="D649">
        <f>IF(D$2=0,"",IFERROR(TRIM(INDEX('Pegar estudiantes'!$A$1:$BZ$1001,648,D$2)&amp;""),""))</f>
        <v/>
      </c>
      <c r="E649">
        <f>IF(E$2=0,"",IFERROR(TRIM(INDEX('Pegar estudiantes'!$A$1:$BZ$1001,648,E$2)&amp;""),""))</f>
        <v/>
      </c>
      <c r="F649">
        <f>IF(F$2=0,"",IFERROR(TRIM(INDEX('Pegar estudiantes'!$A$1:$BZ$1001,648,F$2)&amp;""),""))</f>
        <v/>
      </c>
      <c r="G649">
        <f>IF(G$2=0,"",IFERROR(TRIM(INDEX('Pegar estudiantes'!$A$1:$BZ$1001,648,G$2)&amp;""),""))</f>
        <v/>
      </c>
      <c r="H649">
        <f>IF(H$2=0,"",IFERROR(TRIM(INDEX('Pegar estudiantes'!$A$1:$BZ$1001,648,H$2)&amp;""),""))</f>
        <v/>
      </c>
      <c r="I649">
        <f>IF(I$2=0,"",IFERROR(TRIM(INDEX('Pegar estudiantes'!$A$1:$BZ$1001,648,I$2)&amp;""),""))</f>
        <v/>
      </c>
      <c r="J649">
        <f>IF(J$2=0,"",IFERROR(TRIM(INDEX('Pegar estudiantes'!$A$1:$BZ$1001,648,J$2)&amp;""),""))</f>
        <v/>
      </c>
      <c r="K649">
        <f>IF(K$2=0,"",IFERROR(TRIM(INDEX('Pegar estudiantes'!$A$1:$BZ$1001,648,K$2)&amp;""),""))</f>
        <v/>
      </c>
      <c r="L649" s="25">
        <f>IF(A649&lt;&gt;"",1,"")</f>
        <v/>
      </c>
      <c r="M649" s="25">
        <f>IF(L649=1,IF(ISNUMBER(FIND("#"&amp;MID(A649,1,1)&amp;"#","#0#1#2#3#4#5#6#7#8#9#")),IF(ISNUMBER(FIND("#"&amp;MID(A649,2,1)&amp;"#","#0#1#2#3#4#5#6#7#8#9#")),IF(AND(VALUE(LEFT(A649,2))&gt;=1,VALUE(LEFT(A649,2))&lt;=5),VALUE(LEFT(A649,2)),""),IF(AND(VALUE(LEFT(A649,1))&gt;=1,VALUE(LEFT(A649,1))&lt;=5),VALUE(LEFT(A649,1)),"")),""),"")</f>
        <v/>
      </c>
      <c r="N649" s="25">
        <f>IF(L649=1,IF(ISNUMBER(FIND("#"&amp;MID(H649,1,1)&amp;"#","#0#1#2#3#4#5#6#7#8#9#")),IF(ISNUMBER(FIND("#"&amp;MID(H649,2,1)&amp;"#","#0#1#2#3#4#5#6#7#8#9#")),IF(AND(VALUE(LEFT(H649,2))&gt;=1,VALUE(LEFT(H649,2))&lt;=5),VALUE(LEFT(H649,2)),""),IF(AND(VALUE(LEFT(H649,1))&gt;=1,VALUE(LEFT(H649,1))&lt;=5),VALUE(LEFT(H649,1)),"")),""),"")</f>
        <v/>
      </c>
      <c r="O649" s="25">
        <f>IF(AND(L649=1,B649&lt;&gt;""),SUBSTITUTE(SUBSTITUTE(SUBSTITUTE(SUBSTITUTE(SUBSTITUTE(SUBSTITUTE(SUBSTITUTE(SUBSTITUTE(SUBSTITUTE(SUBSTITUTE(SUBSTITUTE(SUBSTITUTE(LOWER(TRIM(B649)),"á","a"),"é","e"),"í","i"),"ó","o"),"ú","u"),"ü","u"),"ñ","n"),"à","a"),"è","e"),"ì","i"),"ò","o"),"ù","u"),"")</f>
        <v/>
      </c>
      <c r="P649" s="25">
        <f>IF(AND(L649=1,C649&lt;&gt;""),SUBSTITUTE(SUBSTITUTE(SUBSTITUTE(SUBSTITUTE(SUBSTITUTE(SUBSTITUTE(SUBSTITUTE(SUBSTITUTE(SUBSTITUTE(SUBSTITUTE(SUBSTITUTE(SUBSTITUTE(LOWER(TRIM(C649)),"á","a"),"é","e"),"í","i"),"ó","o"),"ú","u"),"ü","u"),"ñ","n"),"à","a"),"è","e"),"ì","i"),"ò","o"),"ù","u"),"")</f>
        <v/>
      </c>
      <c r="Q649" s="25">
        <f>IF(AND(L649=1,E649&lt;&gt;""),SUBSTITUTE(SUBSTITUTE(SUBSTITUTE(SUBSTITUTE(SUBSTITUTE(SUBSTITUTE(SUBSTITUTE(SUBSTITUTE(SUBSTITUTE(SUBSTITUTE(SUBSTITUTE(SUBSTITUTE(LOWER(TRIM(E649)),"á","a"),"é","e"),"í","i"),"ó","o"),"ú","u"),"ü","u"),"ñ","n"),"à","a"),"è","e"),"ì","i"),"ò","o"),"ù","u"),"")</f>
        <v/>
      </c>
      <c r="R649" s="25">
        <f>IF(AND(L649=1,I649&lt;&gt;""),SUBSTITUTE(SUBSTITUTE(SUBSTITUTE(SUBSTITUTE(SUBSTITUTE(SUBSTITUTE(SUBSTITUTE(SUBSTITUTE(SUBSTITUTE(SUBSTITUTE(SUBSTITUTE(SUBSTITUTE(LOWER(TRIM(I649)),"á","a"),"é","e"),"í","i"),"ó","o"),"ú","u"),"ü","u"),"ñ","n"),"à","a"),"è","e"),"ì","i"),"ò","o"),"ù","u"),"")</f>
        <v/>
      </c>
      <c r="S649" s="25">
        <f>IF(R649="","",IF(OR(R649="si",R649="tal vez"),1,0))</f>
        <v/>
      </c>
      <c r="T649" s="25">
        <f>IF(AND(L649=1,D649&lt;&gt;""),IF(IFERROR(COUNTIFS(D$3:D649,"="&amp;SUBSTITUTE(SUBSTITUTE(SUBSTITUTE(D649,"~","~~"),"*","~*"),"?","~?"),L$3:L649,1),0)=1,MAX(T$2:T648)+1,""),"")</f>
        <v/>
      </c>
      <c r="U649" s="25">
        <f>IF(T649="","",COUNTIFS($D$3:$D$1002,"="&amp;SUBSTITUTE(SUBSTITUTE(SUBSTITUTE(D649,"~","~~"),"*","~*"),"?","~?"),$L$3:$L$1002,1)*10000-T649)</f>
        <v/>
      </c>
      <c r="V649" s="25">
        <f>IF(AND(L649=1,J649&lt;&gt;""),IF(IFERROR(COUNTIFS(J$3:J649,"="&amp;SUBSTITUTE(SUBSTITUTE(SUBSTITUTE(J649,"~","~~"),"*","~*"),"?","~?"),L$3:L649,1),0)=1,MAX(V$2:V648)+1,""),"")</f>
        <v/>
      </c>
      <c r="W649" s="25">
        <f>IF(V649="","",COUNTIFS($J$3:$J$1002,"="&amp;SUBSTITUTE(SUBSTITUTE(SUBSTITUTE(J649,"~","~~"),"*","~*"),"?","~?"),$L$3:$L$1002,1)*10000-V649)</f>
        <v/>
      </c>
    </row>
    <row r="650">
      <c r="A650">
        <f>IF(A$2=0,"",IFERROR(TRIM(INDEX('Pegar estudiantes'!$A$1:$BZ$1001,649,A$2)&amp;""),""))</f>
        <v/>
      </c>
      <c r="B650">
        <f>IF(B$2=0,"",IFERROR(TRIM(INDEX('Pegar estudiantes'!$A$1:$BZ$1001,649,B$2)&amp;""),""))</f>
        <v/>
      </c>
      <c r="C650">
        <f>IF(C$2=0,"",IFERROR(TRIM(INDEX('Pegar estudiantes'!$A$1:$BZ$1001,649,C$2)&amp;""),""))</f>
        <v/>
      </c>
      <c r="D650">
        <f>IF(D$2=0,"",IFERROR(TRIM(INDEX('Pegar estudiantes'!$A$1:$BZ$1001,649,D$2)&amp;""),""))</f>
        <v/>
      </c>
      <c r="E650">
        <f>IF(E$2=0,"",IFERROR(TRIM(INDEX('Pegar estudiantes'!$A$1:$BZ$1001,649,E$2)&amp;""),""))</f>
        <v/>
      </c>
      <c r="F650">
        <f>IF(F$2=0,"",IFERROR(TRIM(INDEX('Pegar estudiantes'!$A$1:$BZ$1001,649,F$2)&amp;""),""))</f>
        <v/>
      </c>
      <c r="G650">
        <f>IF(G$2=0,"",IFERROR(TRIM(INDEX('Pegar estudiantes'!$A$1:$BZ$1001,649,G$2)&amp;""),""))</f>
        <v/>
      </c>
      <c r="H650">
        <f>IF(H$2=0,"",IFERROR(TRIM(INDEX('Pegar estudiantes'!$A$1:$BZ$1001,649,H$2)&amp;""),""))</f>
        <v/>
      </c>
      <c r="I650">
        <f>IF(I$2=0,"",IFERROR(TRIM(INDEX('Pegar estudiantes'!$A$1:$BZ$1001,649,I$2)&amp;""),""))</f>
        <v/>
      </c>
      <c r="J650">
        <f>IF(J$2=0,"",IFERROR(TRIM(INDEX('Pegar estudiantes'!$A$1:$BZ$1001,649,J$2)&amp;""),""))</f>
        <v/>
      </c>
      <c r="K650">
        <f>IF(K$2=0,"",IFERROR(TRIM(INDEX('Pegar estudiantes'!$A$1:$BZ$1001,649,K$2)&amp;""),""))</f>
        <v/>
      </c>
      <c r="L650" s="25">
        <f>IF(A650&lt;&gt;"",1,"")</f>
        <v/>
      </c>
      <c r="M650" s="25">
        <f>IF(L650=1,IF(ISNUMBER(FIND("#"&amp;MID(A650,1,1)&amp;"#","#0#1#2#3#4#5#6#7#8#9#")),IF(ISNUMBER(FIND("#"&amp;MID(A650,2,1)&amp;"#","#0#1#2#3#4#5#6#7#8#9#")),IF(AND(VALUE(LEFT(A650,2))&gt;=1,VALUE(LEFT(A650,2))&lt;=5),VALUE(LEFT(A650,2)),""),IF(AND(VALUE(LEFT(A650,1))&gt;=1,VALUE(LEFT(A650,1))&lt;=5),VALUE(LEFT(A650,1)),"")),""),"")</f>
        <v/>
      </c>
      <c r="N650" s="25">
        <f>IF(L650=1,IF(ISNUMBER(FIND("#"&amp;MID(H650,1,1)&amp;"#","#0#1#2#3#4#5#6#7#8#9#")),IF(ISNUMBER(FIND("#"&amp;MID(H650,2,1)&amp;"#","#0#1#2#3#4#5#6#7#8#9#")),IF(AND(VALUE(LEFT(H650,2))&gt;=1,VALUE(LEFT(H650,2))&lt;=5),VALUE(LEFT(H650,2)),""),IF(AND(VALUE(LEFT(H650,1))&gt;=1,VALUE(LEFT(H650,1))&lt;=5),VALUE(LEFT(H650,1)),"")),""),"")</f>
        <v/>
      </c>
      <c r="O650" s="25">
        <f>IF(AND(L650=1,B650&lt;&gt;""),SUBSTITUTE(SUBSTITUTE(SUBSTITUTE(SUBSTITUTE(SUBSTITUTE(SUBSTITUTE(SUBSTITUTE(SUBSTITUTE(SUBSTITUTE(SUBSTITUTE(SUBSTITUTE(SUBSTITUTE(LOWER(TRIM(B650)),"á","a"),"é","e"),"í","i"),"ó","o"),"ú","u"),"ü","u"),"ñ","n"),"à","a"),"è","e"),"ì","i"),"ò","o"),"ù","u"),"")</f>
        <v/>
      </c>
      <c r="P650" s="25">
        <f>IF(AND(L650=1,C650&lt;&gt;""),SUBSTITUTE(SUBSTITUTE(SUBSTITUTE(SUBSTITUTE(SUBSTITUTE(SUBSTITUTE(SUBSTITUTE(SUBSTITUTE(SUBSTITUTE(SUBSTITUTE(SUBSTITUTE(SUBSTITUTE(LOWER(TRIM(C650)),"á","a"),"é","e"),"í","i"),"ó","o"),"ú","u"),"ü","u"),"ñ","n"),"à","a"),"è","e"),"ì","i"),"ò","o"),"ù","u"),"")</f>
        <v/>
      </c>
      <c r="Q650" s="25">
        <f>IF(AND(L650=1,E650&lt;&gt;""),SUBSTITUTE(SUBSTITUTE(SUBSTITUTE(SUBSTITUTE(SUBSTITUTE(SUBSTITUTE(SUBSTITUTE(SUBSTITUTE(SUBSTITUTE(SUBSTITUTE(SUBSTITUTE(SUBSTITUTE(LOWER(TRIM(E650)),"á","a"),"é","e"),"í","i"),"ó","o"),"ú","u"),"ü","u"),"ñ","n"),"à","a"),"è","e"),"ì","i"),"ò","o"),"ù","u"),"")</f>
        <v/>
      </c>
      <c r="R650" s="25">
        <f>IF(AND(L650=1,I650&lt;&gt;""),SUBSTITUTE(SUBSTITUTE(SUBSTITUTE(SUBSTITUTE(SUBSTITUTE(SUBSTITUTE(SUBSTITUTE(SUBSTITUTE(SUBSTITUTE(SUBSTITUTE(SUBSTITUTE(SUBSTITUTE(LOWER(TRIM(I650)),"á","a"),"é","e"),"í","i"),"ó","o"),"ú","u"),"ü","u"),"ñ","n"),"à","a"),"è","e"),"ì","i"),"ò","o"),"ù","u"),"")</f>
        <v/>
      </c>
      <c r="S650" s="25">
        <f>IF(R650="","",IF(OR(R650="si",R650="tal vez"),1,0))</f>
        <v/>
      </c>
      <c r="T650" s="25">
        <f>IF(AND(L650=1,D650&lt;&gt;""),IF(IFERROR(COUNTIFS(D$3:D650,"="&amp;SUBSTITUTE(SUBSTITUTE(SUBSTITUTE(D650,"~","~~"),"*","~*"),"?","~?"),L$3:L650,1),0)=1,MAX(T$2:T649)+1,""),"")</f>
        <v/>
      </c>
      <c r="U650" s="25">
        <f>IF(T650="","",COUNTIFS($D$3:$D$1002,"="&amp;SUBSTITUTE(SUBSTITUTE(SUBSTITUTE(D650,"~","~~"),"*","~*"),"?","~?"),$L$3:$L$1002,1)*10000-T650)</f>
        <v/>
      </c>
      <c r="V650" s="25">
        <f>IF(AND(L650=1,J650&lt;&gt;""),IF(IFERROR(COUNTIFS(J$3:J650,"="&amp;SUBSTITUTE(SUBSTITUTE(SUBSTITUTE(J650,"~","~~"),"*","~*"),"?","~?"),L$3:L650,1),0)=1,MAX(V$2:V649)+1,""),"")</f>
        <v/>
      </c>
      <c r="W650" s="25">
        <f>IF(V650="","",COUNTIFS($J$3:$J$1002,"="&amp;SUBSTITUTE(SUBSTITUTE(SUBSTITUTE(J650,"~","~~"),"*","~*"),"?","~?"),$L$3:$L$1002,1)*10000-V650)</f>
        <v/>
      </c>
    </row>
    <row r="651">
      <c r="A651">
        <f>IF(A$2=0,"",IFERROR(TRIM(INDEX('Pegar estudiantes'!$A$1:$BZ$1001,650,A$2)&amp;""),""))</f>
        <v/>
      </c>
      <c r="B651">
        <f>IF(B$2=0,"",IFERROR(TRIM(INDEX('Pegar estudiantes'!$A$1:$BZ$1001,650,B$2)&amp;""),""))</f>
        <v/>
      </c>
      <c r="C651">
        <f>IF(C$2=0,"",IFERROR(TRIM(INDEX('Pegar estudiantes'!$A$1:$BZ$1001,650,C$2)&amp;""),""))</f>
        <v/>
      </c>
      <c r="D651">
        <f>IF(D$2=0,"",IFERROR(TRIM(INDEX('Pegar estudiantes'!$A$1:$BZ$1001,650,D$2)&amp;""),""))</f>
        <v/>
      </c>
      <c r="E651">
        <f>IF(E$2=0,"",IFERROR(TRIM(INDEX('Pegar estudiantes'!$A$1:$BZ$1001,650,E$2)&amp;""),""))</f>
        <v/>
      </c>
      <c r="F651">
        <f>IF(F$2=0,"",IFERROR(TRIM(INDEX('Pegar estudiantes'!$A$1:$BZ$1001,650,F$2)&amp;""),""))</f>
        <v/>
      </c>
      <c r="G651">
        <f>IF(G$2=0,"",IFERROR(TRIM(INDEX('Pegar estudiantes'!$A$1:$BZ$1001,650,G$2)&amp;""),""))</f>
        <v/>
      </c>
      <c r="H651">
        <f>IF(H$2=0,"",IFERROR(TRIM(INDEX('Pegar estudiantes'!$A$1:$BZ$1001,650,H$2)&amp;""),""))</f>
        <v/>
      </c>
      <c r="I651">
        <f>IF(I$2=0,"",IFERROR(TRIM(INDEX('Pegar estudiantes'!$A$1:$BZ$1001,650,I$2)&amp;""),""))</f>
        <v/>
      </c>
      <c r="J651">
        <f>IF(J$2=0,"",IFERROR(TRIM(INDEX('Pegar estudiantes'!$A$1:$BZ$1001,650,J$2)&amp;""),""))</f>
        <v/>
      </c>
      <c r="K651">
        <f>IF(K$2=0,"",IFERROR(TRIM(INDEX('Pegar estudiantes'!$A$1:$BZ$1001,650,K$2)&amp;""),""))</f>
        <v/>
      </c>
      <c r="L651" s="25">
        <f>IF(A651&lt;&gt;"",1,"")</f>
        <v/>
      </c>
      <c r="M651" s="25">
        <f>IF(L651=1,IF(ISNUMBER(FIND("#"&amp;MID(A651,1,1)&amp;"#","#0#1#2#3#4#5#6#7#8#9#")),IF(ISNUMBER(FIND("#"&amp;MID(A651,2,1)&amp;"#","#0#1#2#3#4#5#6#7#8#9#")),IF(AND(VALUE(LEFT(A651,2))&gt;=1,VALUE(LEFT(A651,2))&lt;=5),VALUE(LEFT(A651,2)),""),IF(AND(VALUE(LEFT(A651,1))&gt;=1,VALUE(LEFT(A651,1))&lt;=5),VALUE(LEFT(A651,1)),"")),""),"")</f>
        <v/>
      </c>
      <c r="N651" s="25">
        <f>IF(L651=1,IF(ISNUMBER(FIND("#"&amp;MID(H651,1,1)&amp;"#","#0#1#2#3#4#5#6#7#8#9#")),IF(ISNUMBER(FIND("#"&amp;MID(H651,2,1)&amp;"#","#0#1#2#3#4#5#6#7#8#9#")),IF(AND(VALUE(LEFT(H651,2))&gt;=1,VALUE(LEFT(H651,2))&lt;=5),VALUE(LEFT(H651,2)),""),IF(AND(VALUE(LEFT(H651,1))&gt;=1,VALUE(LEFT(H651,1))&lt;=5),VALUE(LEFT(H651,1)),"")),""),"")</f>
        <v/>
      </c>
      <c r="O651" s="25">
        <f>IF(AND(L651=1,B651&lt;&gt;""),SUBSTITUTE(SUBSTITUTE(SUBSTITUTE(SUBSTITUTE(SUBSTITUTE(SUBSTITUTE(SUBSTITUTE(SUBSTITUTE(SUBSTITUTE(SUBSTITUTE(SUBSTITUTE(SUBSTITUTE(LOWER(TRIM(B651)),"á","a"),"é","e"),"í","i"),"ó","o"),"ú","u"),"ü","u"),"ñ","n"),"à","a"),"è","e"),"ì","i"),"ò","o"),"ù","u"),"")</f>
        <v/>
      </c>
      <c r="P651" s="25">
        <f>IF(AND(L651=1,C651&lt;&gt;""),SUBSTITUTE(SUBSTITUTE(SUBSTITUTE(SUBSTITUTE(SUBSTITUTE(SUBSTITUTE(SUBSTITUTE(SUBSTITUTE(SUBSTITUTE(SUBSTITUTE(SUBSTITUTE(SUBSTITUTE(LOWER(TRIM(C651)),"á","a"),"é","e"),"í","i"),"ó","o"),"ú","u"),"ü","u"),"ñ","n"),"à","a"),"è","e"),"ì","i"),"ò","o"),"ù","u"),"")</f>
        <v/>
      </c>
      <c r="Q651" s="25">
        <f>IF(AND(L651=1,E651&lt;&gt;""),SUBSTITUTE(SUBSTITUTE(SUBSTITUTE(SUBSTITUTE(SUBSTITUTE(SUBSTITUTE(SUBSTITUTE(SUBSTITUTE(SUBSTITUTE(SUBSTITUTE(SUBSTITUTE(SUBSTITUTE(LOWER(TRIM(E651)),"á","a"),"é","e"),"í","i"),"ó","o"),"ú","u"),"ü","u"),"ñ","n"),"à","a"),"è","e"),"ì","i"),"ò","o"),"ù","u"),"")</f>
        <v/>
      </c>
      <c r="R651" s="25">
        <f>IF(AND(L651=1,I651&lt;&gt;""),SUBSTITUTE(SUBSTITUTE(SUBSTITUTE(SUBSTITUTE(SUBSTITUTE(SUBSTITUTE(SUBSTITUTE(SUBSTITUTE(SUBSTITUTE(SUBSTITUTE(SUBSTITUTE(SUBSTITUTE(LOWER(TRIM(I651)),"á","a"),"é","e"),"í","i"),"ó","o"),"ú","u"),"ü","u"),"ñ","n"),"à","a"),"è","e"),"ì","i"),"ò","o"),"ù","u"),"")</f>
        <v/>
      </c>
      <c r="S651" s="25">
        <f>IF(R651="","",IF(OR(R651="si",R651="tal vez"),1,0))</f>
        <v/>
      </c>
      <c r="T651" s="25">
        <f>IF(AND(L651=1,D651&lt;&gt;""),IF(IFERROR(COUNTIFS(D$3:D651,"="&amp;SUBSTITUTE(SUBSTITUTE(SUBSTITUTE(D651,"~","~~"),"*","~*"),"?","~?"),L$3:L651,1),0)=1,MAX(T$2:T650)+1,""),"")</f>
        <v/>
      </c>
      <c r="U651" s="25">
        <f>IF(T651="","",COUNTIFS($D$3:$D$1002,"="&amp;SUBSTITUTE(SUBSTITUTE(SUBSTITUTE(D651,"~","~~"),"*","~*"),"?","~?"),$L$3:$L$1002,1)*10000-T651)</f>
        <v/>
      </c>
      <c r="V651" s="25">
        <f>IF(AND(L651=1,J651&lt;&gt;""),IF(IFERROR(COUNTIFS(J$3:J651,"="&amp;SUBSTITUTE(SUBSTITUTE(SUBSTITUTE(J651,"~","~~"),"*","~*"),"?","~?"),L$3:L651,1),0)=1,MAX(V$2:V650)+1,""),"")</f>
        <v/>
      </c>
      <c r="W651" s="25">
        <f>IF(V651="","",COUNTIFS($J$3:$J$1002,"="&amp;SUBSTITUTE(SUBSTITUTE(SUBSTITUTE(J651,"~","~~"),"*","~*"),"?","~?"),$L$3:$L$1002,1)*10000-V651)</f>
        <v/>
      </c>
    </row>
    <row r="652">
      <c r="A652">
        <f>IF(A$2=0,"",IFERROR(TRIM(INDEX('Pegar estudiantes'!$A$1:$BZ$1001,651,A$2)&amp;""),""))</f>
        <v/>
      </c>
      <c r="B652">
        <f>IF(B$2=0,"",IFERROR(TRIM(INDEX('Pegar estudiantes'!$A$1:$BZ$1001,651,B$2)&amp;""),""))</f>
        <v/>
      </c>
      <c r="C652">
        <f>IF(C$2=0,"",IFERROR(TRIM(INDEX('Pegar estudiantes'!$A$1:$BZ$1001,651,C$2)&amp;""),""))</f>
        <v/>
      </c>
      <c r="D652">
        <f>IF(D$2=0,"",IFERROR(TRIM(INDEX('Pegar estudiantes'!$A$1:$BZ$1001,651,D$2)&amp;""),""))</f>
        <v/>
      </c>
      <c r="E652">
        <f>IF(E$2=0,"",IFERROR(TRIM(INDEX('Pegar estudiantes'!$A$1:$BZ$1001,651,E$2)&amp;""),""))</f>
        <v/>
      </c>
      <c r="F652">
        <f>IF(F$2=0,"",IFERROR(TRIM(INDEX('Pegar estudiantes'!$A$1:$BZ$1001,651,F$2)&amp;""),""))</f>
        <v/>
      </c>
      <c r="G652">
        <f>IF(G$2=0,"",IFERROR(TRIM(INDEX('Pegar estudiantes'!$A$1:$BZ$1001,651,G$2)&amp;""),""))</f>
        <v/>
      </c>
      <c r="H652">
        <f>IF(H$2=0,"",IFERROR(TRIM(INDEX('Pegar estudiantes'!$A$1:$BZ$1001,651,H$2)&amp;""),""))</f>
        <v/>
      </c>
      <c r="I652">
        <f>IF(I$2=0,"",IFERROR(TRIM(INDEX('Pegar estudiantes'!$A$1:$BZ$1001,651,I$2)&amp;""),""))</f>
        <v/>
      </c>
      <c r="J652">
        <f>IF(J$2=0,"",IFERROR(TRIM(INDEX('Pegar estudiantes'!$A$1:$BZ$1001,651,J$2)&amp;""),""))</f>
        <v/>
      </c>
      <c r="K652">
        <f>IF(K$2=0,"",IFERROR(TRIM(INDEX('Pegar estudiantes'!$A$1:$BZ$1001,651,K$2)&amp;""),""))</f>
        <v/>
      </c>
      <c r="L652" s="25">
        <f>IF(A652&lt;&gt;"",1,"")</f>
        <v/>
      </c>
      <c r="M652" s="25">
        <f>IF(L652=1,IF(ISNUMBER(FIND("#"&amp;MID(A652,1,1)&amp;"#","#0#1#2#3#4#5#6#7#8#9#")),IF(ISNUMBER(FIND("#"&amp;MID(A652,2,1)&amp;"#","#0#1#2#3#4#5#6#7#8#9#")),IF(AND(VALUE(LEFT(A652,2))&gt;=1,VALUE(LEFT(A652,2))&lt;=5),VALUE(LEFT(A652,2)),""),IF(AND(VALUE(LEFT(A652,1))&gt;=1,VALUE(LEFT(A652,1))&lt;=5),VALUE(LEFT(A652,1)),"")),""),"")</f>
        <v/>
      </c>
      <c r="N652" s="25">
        <f>IF(L652=1,IF(ISNUMBER(FIND("#"&amp;MID(H652,1,1)&amp;"#","#0#1#2#3#4#5#6#7#8#9#")),IF(ISNUMBER(FIND("#"&amp;MID(H652,2,1)&amp;"#","#0#1#2#3#4#5#6#7#8#9#")),IF(AND(VALUE(LEFT(H652,2))&gt;=1,VALUE(LEFT(H652,2))&lt;=5),VALUE(LEFT(H652,2)),""),IF(AND(VALUE(LEFT(H652,1))&gt;=1,VALUE(LEFT(H652,1))&lt;=5),VALUE(LEFT(H652,1)),"")),""),"")</f>
        <v/>
      </c>
      <c r="O652" s="25">
        <f>IF(AND(L652=1,B652&lt;&gt;""),SUBSTITUTE(SUBSTITUTE(SUBSTITUTE(SUBSTITUTE(SUBSTITUTE(SUBSTITUTE(SUBSTITUTE(SUBSTITUTE(SUBSTITUTE(SUBSTITUTE(SUBSTITUTE(SUBSTITUTE(LOWER(TRIM(B652)),"á","a"),"é","e"),"í","i"),"ó","o"),"ú","u"),"ü","u"),"ñ","n"),"à","a"),"è","e"),"ì","i"),"ò","o"),"ù","u"),"")</f>
        <v/>
      </c>
      <c r="P652" s="25">
        <f>IF(AND(L652=1,C652&lt;&gt;""),SUBSTITUTE(SUBSTITUTE(SUBSTITUTE(SUBSTITUTE(SUBSTITUTE(SUBSTITUTE(SUBSTITUTE(SUBSTITUTE(SUBSTITUTE(SUBSTITUTE(SUBSTITUTE(SUBSTITUTE(LOWER(TRIM(C652)),"á","a"),"é","e"),"í","i"),"ó","o"),"ú","u"),"ü","u"),"ñ","n"),"à","a"),"è","e"),"ì","i"),"ò","o"),"ù","u"),"")</f>
        <v/>
      </c>
      <c r="Q652" s="25">
        <f>IF(AND(L652=1,E652&lt;&gt;""),SUBSTITUTE(SUBSTITUTE(SUBSTITUTE(SUBSTITUTE(SUBSTITUTE(SUBSTITUTE(SUBSTITUTE(SUBSTITUTE(SUBSTITUTE(SUBSTITUTE(SUBSTITUTE(SUBSTITUTE(LOWER(TRIM(E652)),"á","a"),"é","e"),"í","i"),"ó","o"),"ú","u"),"ü","u"),"ñ","n"),"à","a"),"è","e"),"ì","i"),"ò","o"),"ù","u"),"")</f>
        <v/>
      </c>
      <c r="R652" s="25">
        <f>IF(AND(L652=1,I652&lt;&gt;""),SUBSTITUTE(SUBSTITUTE(SUBSTITUTE(SUBSTITUTE(SUBSTITUTE(SUBSTITUTE(SUBSTITUTE(SUBSTITUTE(SUBSTITUTE(SUBSTITUTE(SUBSTITUTE(SUBSTITUTE(LOWER(TRIM(I652)),"á","a"),"é","e"),"í","i"),"ó","o"),"ú","u"),"ü","u"),"ñ","n"),"à","a"),"è","e"),"ì","i"),"ò","o"),"ù","u"),"")</f>
        <v/>
      </c>
      <c r="S652" s="25">
        <f>IF(R652="","",IF(OR(R652="si",R652="tal vez"),1,0))</f>
        <v/>
      </c>
      <c r="T652" s="25">
        <f>IF(AND(L652=1,D652&lt;&gt;""),IF(IFERROR(COUNTIFS(D$3:D652,"="&amp;SUBSTITUTE(SUBSTITUTE(SUBSTITUTE(D652,"~","~~"),"*","~*"),"?","~?"),L$3:L652,1),0)=1,MAX(T$2:T651)+1,""),"")</f>
        <v/>
      </c>
      <c r="U652" s="25">
        <f>IF(T652="","",COUNTIFS($D$3:$D$1002,"="&amp;SUBSTITUTE(SUBSTITUTE(SUBSTITUTE(D652,"~","~~"),"*","~*"),"?","~?"),$L$3:$L$1002,1)*10000-T652)</f>
        <v/>
      </c>
      <c r="V652" s="25">
        <f>IF(AND(L652=1,J652&lt;&gt;""),IF(IFERROR(COUNTIFS(J$3:J652,"="&amp;SUBSTITUTE(SUBSTITUTE(SUBSTITUTE(J652,"~","~~"),"*","~*"),"?","~?"),L$3:L652,1),0)=1,MAX(V$2:V651)+1,""),"")</f>
        <v/>
      </c>
      <c r="W652" s="25">
        <f>IF(V652="","",COUNTIFS($J$3:$J$1002,"="&amp;SUBSTITUTE(SUBSTITUTE(SUBSTITUTE(J652,"~","~~"),"*","~*"),"?","~?"),$L$3:$L$1002,1)*10000-V652)</f>
        <v/>
      </c>
    </row>
    <row r="653">
      <c r="A653">
        <f>IF(A$2=0,"",IFERROR(TRIM(INDEX('Pegar estudiantes'!$A$1:$BZ$1001,652,A$2)&amp;""),""))</f>
        <v/>
      </c>
      <c r="B653">
        <f>IF(B$2=0,"",IFERROR(TRIM(INDEX('Pegar estudiantes'!$A$1:$BZ$1001,652,B$2)&amp;""),""))</f>
        <v/>
      </c>
      <c r="C653">
        <f>IF(C$2=0,"",IFERROR(TRIM(INDEX('Pegar estudiantes'!$A$1:$BZ$1001,652,C$2)&amp;""),""))</f>
        <v/>
      </c>
      <c r="D653">
        <f>IF(D$2=0,"",IFERROR(TRIM(INDEX('Pegar estudiantes'!$A$1:$BZ$1001,652,D$2)&amp;""),""))</f>
        <v/>
      </c>
      <c r="E653">
        <f>IF(E$2=0,"",IFERROR(TRIM(INDEX('Pegar estudiantes'!$A$1:$BZ$1001,652,E$2)&amp;""),""))</f>
        <v/>
      </c>
      <c r="F653">
        <f>IF(F$2=0,"",IFERROR(TRIM(INDEX('Pegar estudiantes'!$A$1:$BZ$1001,652,F$2)&amp;""),""))</f>
        <v/>
      </c>
      <c r="G653">
        <f>IF(G$2=0,"",IFERROR(TRIM(INDEX('Pegar estudiantes'!$A$1:$BZ$1001,652,G$2)&amp;""),""))</f>
        <v/>
      </c>
      <c r="H653">
        <f>IF(H$2=0,"",IFERROR(TRIM(INDEX('Pegar estudiantes'!$A$1:$BZ$1001,652,H$2)&amp;""),""))</f>
        <v/>
      </c>
      <c r="I653">
        <f>IF(I$2=0,"",IFERROR(TRIM(INDEX('Pegar estudiantes'!$A$1:$BZ$1001,652,I$2)&amp;""),""))</f>
        <v/>
      </c>
      <c r="J653">
        <f>IF(J$2=0,"",IFERROR(TRIM(INDEX('Pegar estudiantes'!$A$1:$BZ$1001,652,J$2)&amp;""),""))</f>
        <v/>
      </c>
      <c r="K653">
        <f>IF(K$2=0,"",IFERROR(TRIM(INDEX('Pegar estudiantes'!$A$1:$BZ$1001,652,K$2)&amp;""),""))</f>
        <v/>
      </c>
      <c r="L653" s="25">
        <f>IF(A653&lt;&gt;"",1,"")</f>
        <v/>
      </c>
      <c r="M653" s="25">
        <f>IF(L653=1,IF(ISNUMBER(FIND("#"&amp;MID(A653,1,1)&amp;"#","#0#1#2#3#4#5#6#7#8#9#")),IF(ISNUMBER(FIND("#"&amp;MID(A653,2,1)&amp;"#","#0#1#2#3#4#5#6#7#8#9#")),IF(AND(VALUE(LEFT(A653,2))&gt;=1,VALUE(LEFT(A653,2))&lt;=5),VALUE(LEFT(A653,2)),""),IF(AND(VALUE(LEFT(A653,1))&gt;=1,VALUE(LEFT(A653,1))&lt;=5),VALUE(LEFT(A653,1)),"")),""),"")</f>
        <v/>
      </c>
      <c r="N653" s="25">
        <f>IF(L653=1,IF(ISNUMBER(FIND("#"&amp;MID(H653,1,1)&amp;"#","#0#1#2#3#4#5#6#7#8#9#")),IF(ISNUMBER(FIND("#"&amp;MID(H653,2,1)&amp;"#","#0#1#2#3#4#5#6#7#8#9#")),IF(AND(VALUE(LEFT(H653,2))&gt;=1,VALUE(LEFT(H653,2))&lt;=5),VALUE(LEFT(H653,2)),""),IF(AND(VALUE(LEFT(H653,1))&gt;=1,VALUE(LEFT(H653,1))&lt;=5),VALUE(LEFT(H653,1)),"")),""),"")</f>
        <v/>
      </c>
      <c r="O653" s="25">
        <f>IF(AND(L653=1,B653&lt;&gt;""),SUBSTITUTE(SUBSTITUTE(SUBSTITUTE(SUBSTITUTE(SUBSTITUTE(SUBSTITUTE(SUBSTITUTE(SUBSTITUTE(SUBSTITUTE(SUBSTITUTE(SUBSTITUTE(SUBSTITUTE(LOWER(TRIM(B653)),"á","a"),"é","e"),"í","i"),"ó","o"),"ú","u"),"ü","u"),"ñ","n"),"à","a"),"è","e"),"ì","i"),"ò","o"),"ù","u"),"")</f>
        <v/>
      </c>
      <c r="P653" s="25">
        <f>IF(AND(L653=1,C653&lt;&gt;""),SUBSTITUTE(SUBSTITUTE(SUBSTITUTE(SUBSTITUTE(SUBSTITUTE(SUBSTITUTE(SUBSTITUTE(SUBSTITUTE(SUBSTITUTE(SUBSTITUTE(SUBSTITUTE(SUBSTITUTE(LOWER(TRIM(C653)),"á","a"),"é","e"),"í","i"),"ó","o"),"ú","u"),"ü","u"),"ñ","n"),"à","a"),"è","e"),"ì","i"),"ò","o"),"ù","u"),"")</f>
        <v/>
      </c>
      <c r="Q653" s="25">
        <f>IF(AND(L653=1,E653&lt;&gt;""),SUBSTITUTE(SUBSTITUTE(SUBSTITUTE(SUBSTITUTE(SUBSTITUTE(SUBSTITUTE(SUBSTITUTE(SUBSTITUTE(SUBSTITUTE(SUBSTITUTE(SUBSTITUTE(SUBSTITUTE(LOWER(TRIM(E653)),"á","a"),"é","e"),"í","i"),"ó","o"),"ú","u"),"ü","u"),"ñ","n"),"à","a"),"è","e"),"ì","i"),"ò","o"),"ù","u"),"")</f>
        <v/>
      </c>
      <c r="R653" s="25">
        <f>IF(AND(L653=1,I653&lt;&gt;""),SUBSTITUTE(SUBSTITUTE(SUBSTITUTE(SUBSTITUTE(SUBSTITUTE(SUBSTITUTE(SUBSTITUTE(SUBSTITUTE(SUBSTITUTE(SUBSTITUTE(SUBSTITUTE(SUBSTITUTE(LOWER(TRIM(I653)),"á","a"),"é","e"),"í","i"),"ó","o"),"ú","u"),"ü","u"),"ñ","n"),"à","a"),"è","e"),"ì","i"),"ò","o"),"ù","u"),"")</f>
        <v/>
      </c>
      <c r="S653" s="25">
        <f>IF(R653="","",IF(OR(R653="si",R653="tal vez"),1,0))</f>
        <v/>
      </c>
      <c r="T653" s="25">
        <f>IF(AND(L653=1,D653&lt;&gt;""),IF(IFERROR(COUNTIFS(D$3:D653,"="&amp;SUBSTITUTE(SUBSTITUTE(SUBSTITUTE(D653,"~","~~"),"*","~*"),"?","~?"),L$3:L653,1),0)=1,MAX(T$2:T652)+1,""),"")</f>
        <v/>
      </c>
      <c r="U653" s="25">
        <f>IF(T653="","",COUNTIFS($D$3:$D$1002,"="&amp;SUBSTITUTE(SUBSTITUTE(SUBSTITUTE(D653,"~","~~"),"*","~*"),"?","~?"),$L$3:$L$1002,1)*10000-T653)</f>
        <v/>
      </c>
      <c r="V653" s="25">
        <f>IF(AND(L653=1,J653&lt;&gt;""),IF(IFERROR(COUNTIFS(J$3:J653,"="&amp;SUBSTITUTE(SUBSTITUTE(SUBSTITUTE(J653,"~","~~"),"*","~*"),"?","~?"),L$3:L653,1),0)=1,MAX(V$2:V652)+1,""),"")</f>
        <v/>
      </c>
      <c r="W653" s="25">
        <f>IF(V653="","",COUNTIFS($J$3:$J$1002,"="&amp;SUBSTITUTE(SUBSTITUTE(SUBSTITUTE(J653,"~","~~"),"*","~*"),"?","~?"),$L$3:$L$1002,1)*10000-V653)</f>
        <v/>
      </c>
    </row>
    <row r="654">
      <c r="A654">
        <f>IF(A$2=0,"",IFERROR(TRIM(INDEX('Pegar estudiantes'!$A$1:$BZ$1001,653,A$2)&amp;""),""))</f>
        <v/>
      </c>
      <c r="B654">
        <f>IF(B$2=0,"",IFERROR(TRIM(INDEX('Pegar estudiantes'!$A$1:$BZ$1001,653,B$2)&amp;""),""))</f>
        <v/>
      </c>
      <c r="C654">
        <f>IF(C$2=0,"",IFERROR(TRIM(INDEX('Pegar estudiantes'!$A$1:$BZ$1001,653,C$2)&amp;""),""))</f>
        <v/>
      </c>
      <c r="D654">
        <f>IF(D$2=0,"",IFERROR(TRIM(INDEX('Pegar estudiantes'!$A$1:$BZ$1001,653,D$2)&amp;""),""))</f>
        <v/>
      </c>
      <c r="E654">
        <f>IF(E$2=0,"",IFERROR(TRIM(INDEX('Pegar estudiantes'!$A$1:$BZ$1001,653,E$2)&amp;""),""))</f>
        <v/>
      </c>
      <c r="F654">
        <f>IF(F$2=0,"",IFERROR(TRIM(INDEX('Pegar estudiantes'!$A$1:$BZ$1001,653,F$2)&amp;""),""))</f>
        <v/>
      </c>
      <c r="G654">
        <f>IF(G$2=0,"",IFERROR(TRIM(INDEX('Pegar estudiantes'!$A$1:$BZ$1001,653,G$2)&amp;""),""))</f>
        <v/>
      </c>
      <c r="H654">
        <f>IF(H$2=0,"",IFERROR(TRIM(INDEX('Pegar estudiantes'!$A$1:$BZ$1001,653,H$2)&amp;""),""))</f>
        <v/>
      </c>
      <c r="I654">
        <f>IF(I$2=0,"",IFERROR(TRIM(INDEX('Pegar estudiantes'!$A$1:$BZ$1001,653,I$2)&amp;""),""))</f>
        <v/>
      </c>
      <c r="J654">
        <f>IF(J$2=0,"",IFERROR(TRIM(INDEX('Pegar estudiantes'!$A$1:$BZ$1001,653,J$2)&amp;""),""))</f>
        <v/>
      </c>
      <c r="K654">
        <f>IF(K$2=0,"",IFERROR(TRIM(INDEX('Pegar estudiantes'!$A$1:$BZ$1001,653,K$2)&amp;""),""))</f>
        <v/>
      </c>
      <c r="L654" s="25">
        <f>IF(A654&lt;&gt;"",1,"")</f>
        <v/>
      </c>
      <c r="M654" s="25">
        <f>IF(L654=1,IF(ISNUMBER(FIND("#"&amp;MID(A654,1,1)&amp;"#","#0#1#2#3#4#5#6#7#8#9#")),IF(ISNUMBER(FIND("#"&amp;MID(A654,2,1)&amp;"#","#0#1#2#3#4#5#6#7#8#9#")),IF(AND(VALUE(LEFT(A654,2))&gt;=1,VALUE(LEFT(A654,2))&lt;=5),VALUE(LEFT(A654,2)),""),IF(AND(VALUE(LEFT(A654,1))&gt;=1,VALUE(LEFT(A654,1))&lt;=5),VALUE(LEFT(A654,1)),"")),""),"")</f>
        <v/>
      </c>
      <c r="N654" s="25">
        <f>IF(L654=1,IF(ISNUMBER(FIND("#"&amp;MID(H654,1,1)&amp;"#","#0#1#2#3#4#5#6#7#8#9#")),IF(ISNUMBER(FIND("#"&amp;MID(H654,2,1)&amp;"#","#0#1#2#3#4#5#6#7#8#9#")),IF(AND(VALUE(LEFT(H654,2))&gt;=1,VALUE(LEFT(H654,2))&lt;=5),VALUE(LEFT(H654,2)),""),IF(AND(VALUE(LEFT(H654,1))&gt;=1,VALUE(LEFT(H654,1))&lt;=5),VALUE(LEFT(H654,1)),"")),""),"")</f>
        <v/>
      </c>
      <c r="O654" s="25">
        <f>IF(AND(L654=1,B654&lt;&gt;""),SUBSTITUTE(SUBSTITUTE(SUBSTITUTE(SUBSTITUTE(SUBSTITUTE(SUBSTITUTE(SUBSTITUTE(SUBSTITUTE(SUBSTITUTE(SUBSTITUTE(SUBSTITUTE(SUBSTITUTE(LOWER(TRIM(B654)),"á","a"),"é","e"),"í","i"),"ó","o"),"ú","u"),"ü","u"),"ñ","n"),"à","a"),"è","e"),"ì","i"),"ò","o"),"ù","u"),"")</f>
        <v/>
      </c>
      <c r="P654" s="25">
        <f>IF(AND(L654=1,C654&lt;&gt;""),SUBSTITUTE(SUBSTITUTE(SUBSTITUTE(SUBSTITUTE(SUBSTITUTE(SUBSTITUTE(SUBSTITUTE(SUBSTITUTE(SUBSTITUTE(SUBSTITUTE(SUBSTITUTE(SUBSTITUTE(LOWER(TRIM(C654)),"á","a"),"é","e"),"í","i"),"ó","o"),"ú","u"),"ü","u"),"ñ","n"),"à","a"),"è","e"),"ì","i"),"ò","o"),"ù","u"),"")</f>
        <v/>
      </c>
      <c r="Q654" s="25">
        <f>IF(AND(L654=1,E654&lt;&gt;""),SUBSTITUTE(SUBSTITUTE(SUBSTITUTE(SUBSTITUTE(SUBSTITUTE(SUBSTITUTE(SUBSTITUTE(SUBSTITUTE(SUBSTITUTE(SUBSTITUTE(SUBSTITUTE(SUBSTITUTE(LOWER(TRIM(E654)),"á","a"),"é","e"),"í","i"),"ó","o"),"ú","u"),"ü","u"),"ñ","n"),"à","a"),"è","e"),"ì","i"),"ò","o"),"ù","u"),"")</f>
        <v/>
      </c>
      <c r="R654" s="25">
        <f>IF(AND(L654=1,I654&lt;&gt;""),SUBSTITUTE(SUBSTITUTE(SUBSTITUTE(SUBSTITUTE(SUBSTITUTE(SUBSTITUTE(SUBSTITUTE(SUBSTITUTE(SUBSTITUTE(SUBSTITUTE(SUBSTITUTE(SUBSTITUTE(LOWER(TRIM(I654)),"á","a"),"é","e"),"í","i"),"ó","o"),"ú","u"),"ü","u"),"ñ","n"),"à","a"),"è","e"),"ì","i"),"ò","o"),"ù","u"),"")</f>
        <v/>
      </c>
      <c r="S654" s="25">
        <f>IF(R654="","",IF(OR(R654="si",R654="tal vez"),1,0))</f>
        <v/>
      </c>
      <c r="T654" s="25">
        <f>IF(AND(L654=1,D654&lt;&gt;""),IF(IFERROR(COUNTIFS(D$3:D654,"="&amp;SUBSTITUTE(SUBSTITUTE(SUBSTITUTE(D654,"~","~~"),"*","~*"),"?","~?"),L$3:L654,1),0)=1,MAX(T$2:T653)+1,""),"")</f>
        <v/>
      </c>
      <c r="U654" s="25">
        <f>IF(T654="","",COUNTIFS($D$3:$D$1002,"="&amp;SUBSTITUTE(SUBSTITUTE(SUBSTITUTE(D654,"~","~~"),"*","~*"),"?","~?"),$L$3:$L$1002,1)*10000-T654)</f>
        <v/>
      </c>
      <c r="V654" s="25">
        <f>IF(AND(L654=1,J654&lt;&gt;""),IF(IFERROR(COUNTIFS(J$3:J654,"="&amp;SUBSTITUTE(SUBSTITUTE(SUBSTITUTE(J654,"~","~~"),"*","~*"),"?","~?"),L$3:L654,1),0)=1,MAX(V$2:V653)+1,""),"")</f>
        <v/>
      </c>
      <c r="W654" s="25">
        <f>IF(V654="","",COUNTIFS($J$3:$J$1002,"="&amp;SUBSTITUTE(SUBSTITUTE(SUBSTITUTE(J654,"~","~~"),"*","~*"),"?","~?"),$L$3:$L$1002,1)*10000-V654)</f>
        <v/>
      </c>
    </row>
    <row r="655">
      <c r="A655">
        <f>IF(A$2=0,"",IFERROR(TRIM(INDEX('Pegar estudiantes'!$A$1:$BZ$1001,654,A$2)&amp;""),""))</f>
        <v/>
      </c>
      <c r="B655">
        <f>IF(B$2=0,"",IFERROR(TRIM(INDEX('Pegar estudiantes'!$A$1:$BZ$1001,654,B$2)&amp;""),""))</f>
        <v/>
      </c>
      <c r="C655">
        <f>IF(C$2=0,"",IFERROR(TRIM(INDEX('Pegar estudiantes'!$A$1:$BZ$1001,654,C$2)&amp;""),""))</f>
        <v/>
      </c>
      <c r="D655">
        <f>IF(D$2=0,"",IFERROR(TRIM(INDEX('Pegar estudiantes'!$A$1:$BZ$1001,654,D$2)&amp;""),""))</f>
        <v/>
      </c>
      <c r="E655">
        <f>IF(E$2=0,"",IFERROR(TRIM(INDEX('Pegar estudiantes'!$A$1:$BZ$1001,654,E$2)&amp;""),""))</f>
        <v/>
      </c>
      <c r="F655">
        <f>IF(F$2=0,"",IFERROR(TRIM(INDEX('Pegar estudiantes'!$A$1:$BZ$1001,654,F$2)&amp;""),""))</f>
        <v/>
      </c>
      <c r="G655">
        <f>IF(G$2=0,"",IFERROR(TRIM(INDEX('Pegar estudiantes'!$A$1:$BZ$1001,654,G$2)&amp;""),""))</f>
        <v/>
      </c>
      <c r="H655">
        <f>IF(H$2=0,"",IFERROR(TRIM(INDEX('Pegar estudiantes'!$A$1:$BZ$1001,654,H$2)&amp;""),""))</f>
        <v/>
      </c>
      <c r="I655">
        <f>IF(I$2=0,"",IFERROR(TRIM(INDEX('Pegar estudiantes'!$A$1:$BZ$1001,654,I$2)&amp;""),""))</f>
        <v/>
      </c>
      <c r="J655">
        <f>IF(J$2=0,"",IFERROR(TRIM(INDEX('Pegar estudiantes'!$A$1:$BZ$1001,654,J$2)&amp;""),""))</f>
        <v/>
      </c>
      <c r="K655">
        <f>IF(K$2=0,"",IFERROR(TRIM(INDEX('Pegar estudiantes'!$A$1:$BZ$1001,654,K$2)&amp;""),""))</f>
        <v/>
      </c>
      <c r="L655" s="25">
        <f>IF(A655&lt;&gt;"",1,"")</f>
        <v/>
      </c>
      <c r="M655" s="25">
        <f>IF(L655=1,IF(ISNUMBER(FIND("#"&amp;MID(A655,1,1)&amp;"#","#0#1#2#3#4#5#6#7#8#9#")),IF(ISNUMBER(FIND("#"&amp;MID(A655,2,1)&amp;"#","#0#1#2#3#4#5#6#7#8#9#")),IF(AND(VALUE(LEFT(A655,2))&gt;=1,VALUE(LEFT(A655,2))&lt;=5),VALUE(LEFT(A655,2)),""),IF(AND(VALUE(LEFT(A655,1))&gt;=1,VALUE(LEFT(A655,1))&lt;=5),VALUE(LEFT(A655,1)),"")),""),"")</f>
        <v/>
      </c>
      <c r="N655" s="25">
        <f>IF(L655=1,IF(ISNUMBER(FIND("#"&amp;MID(H655,1,1)&amp;"#","#0#1#2#3#4#5#6#7#8#9#")),IF(ISNUMBER(FIND("#"&amp;MID(H655,2,1)&amp;"#","#0#1#2#3#4#5#6#7#8#9#")),IF(AND(VALUE(LEFT(H655,2))&gt;=1,VALUE(LEFT(H655,2))&lt;=5),VALUE(LEFT(H655,2)),""),IF(AND(VALUE(LEFT(H655,1))&gt;=1,VALUE(LEFT(H655,1))&lt;=5),VALUE(LEFT(H655,1)),"")),""),"")</f>
        <v/>
      </c>
      <c r="O655" s="25">
        <f>IF(AND(L655=1,B655&lt;&gt;""),SUBSTITUTE(SUBSTITUTE(SUBSTITUTE(SUBSTITUTE(SUBSTITUTE(SUBSTITUTE(SUBSTITUTE(SUBSTITUTE(SUBSTITUTE(SUBSTITUTE(SUBSTITUTE(SUBSTITUTE(LOWER(TRIM(B655)),"á","a"),"é","e"),"í","i"),"ó","o"),"ú","u"),"ü","u"),"ñ","n"),"à","a"),"è","e"),"ì","i"),"ò","o"),"ù","u"),"")</f>
        <v/>
      </c>
      <c r="P655" s="25">
        <f>IF(AND(L655=1,C655&lt;&gt;""),SUBSTITUTE(SUBSTITUTE(SUBSTITUTE(SUBSTITUTE(SUBSTITUTE(SUBSTITUTE(SUBSTITUTE(SUBSTITUTE(SUBSTITUTE(SUBSTITUTE(SUBSTITUTE(SUBSTITUTE(LOWER(TRIM(C655)),"á","a"),"é","e"),"í","i"),"ó","o"),"ú","u"),"ü","u"),"ñ","n"),"à","a"),"è","e"),"ì","i"),"ò","o"),"ù","u"),"")</f>
        <v/>
      </c>
      <c r="Q655" s="25">
        <f>IF(AND(L655=1,E655&lt;&gt;""),SUBSTITUTE(SUBSTITUTE(SUBSTITUTE(SUBSTITUTE(SUBSTITUTE(SUBSTITUTE(SUBSTITUTE(SUBSTITUTE(SUBSTITUTE(SUBSTITUTE(SUBSTITUTE(SUBSTITUTE(LOWER(TRIM(E655)),"á","a"),"é","e"),"í","i"),"ó","o"),"ú","u"),"ü","u"),"ñ","n"),"à","a"),"è","e"),"ì","i"),"ò","o"),"ù","u"),"")</f>
        <v/>
      </c>
      <c r="R655" s="25">
        <f>IF(AND(L655=1,I655&lt;&gt;""),SUBSTITUTE(SUBSTITUTE(SUBSTITUTE(SUBSTITUTE(SUBSTITUTE(SUBSTITUTE(SUBSTITUTE(SUBSTITUTE(SUBSTITUTE(SUBSTITUTE(SUBSTITUTE(SUBSTITUTE(LOWER(TRIM(I655)),"á","a"),"é","e"),"í","i"),"ó","o"),"ú","u"),"ü","u"),"ñ","n"),"à","a"),"è","e"),"ì","i"),"ò","o"),"ù","u"),"")</f>
        <v/>
      </c>
      <c r="S655" s="25">
        <f>IF(R655="","",IF(OR(R655="si",R655="tal vez"),1,0))</f>
        <v/>
      </c>
      <c r="T655" s="25">
        <f>IF(AND(L655=1,D655&lt;&gt;""),IF(IFERROR(COUNTIFS(D$3:D655,"="&amp;SUBSTITUTE(SUBSTITUTE(SUBSTITUTE(D655,"~","~~"),"*","~*"),"?","~?"),L$3:L655,1),0)=1,MAX(T$2:T654)+1,""),"")</f>
        <v/>
      </c>
      <c r="U655" s="25">
        <f>IF(T655="","",COUNTIFS($D$3:$D$1002,"="&amp;SUBSTITUTE(SUBSTITUTE(SUBSTITUTE(D655,"~","~~"),"*","~*"),"?","~?"),$L$3:$L$1002,1)*10000-T655)</f>
        <v/>
      </c>
      <c r="V655" s="25">
        <f>IF(AND(L655=1,J655&lt;&gt;""),IF(IFERROR(COUNTIFS(J$3:J655,"="&amp;SUBSTITUTE(SUBSTITUTE(SUBSTITUTE(J655,"~","~~"),"*","~*"),"?","~?"),L$3:L655,1),0)=1,MAX(V$2:V654)+1,""),"")</f>
        <v/>
      </c>
      <c r="W655" s="25">
        <f>IF(V655="","",COUNTIFS($J$3:$J$1002,"="&amp;SUBSTITUTE(SUBSTITUTE(SUBSTITUTE(J655,"~","~~"),"*","~*"),"?","~?"),$L$3:$L$1002,1)*10000-V655)</f>
        <v/>
      </c>
    </row>
    <row r="656">
      <c r="A656">
        <f>IF(A$2=0,"",IFERROR(TRIM(INDEX('Pegar estudiantes'!$A$1:$BZ$1001,655,A$2)&amp;""),""))</f>
        <v/>
      </c>
      <c r="B656">
        <f>IF(B$2=0,"",IFERROR(TRIM(INDEX('Pegar estudiantes'!$A$1:$BZ$1001,655,B$2)&amp;""),""))</f>
        <v/>
      </c>
      <c r="C656">
        <f>IF(C$2=0,"",IFERROR(TRIM(INDEX('Pegar estudiantes'!$A$1:$BZ$1001,655,C$2)&amp;""),""))</f>
        <v/>
      </c>
      <c r="D656">
        <f>IF(D$2=0,"",IFERROR(TRIM(INDEX('Pegar estudiantes'!$A$1:$BZ$1001,655,D$2)&amp;""),""))</f>
        <v/>
      </c>
      <c r="E656">
        <f>IF(E$2=0,"",IFERROR(TRIM(INDEX('Pegar estudiantes'!$A$1:$BZ$1001,655,E$2)&amp;""),""))</f>
        <v/>
      </c>
      <c r="F656">
        <f>IF(F$2=0,"",IFERROR(TRIM(INDEX('Pegar estudiantes'!$A$1:$BZ$1001,655,F$2)&amp;""),""))</f>
        <v/>
      </c>
      <c r="G656">
        <f>IF(G$2=0,"",IFERROR(TRIM(INDEX('Pegar estudiantes'!$A$1:$BZ$1001,655,G$2)&amp;""),""))</f>
        <v/>
      </c>
      <c r="H656">
        <f>IF(H$2=0,"",IFERROR(TRIM(INDEX('Pegar estudiantes'!$A$1:$BZ$1001,655,H$2)&amp;""),""))</f>
        <v/>
      </c>
      <c r="I656">
        <f>IF(I$2=0,"",IFERROR(TRIM(INDEX('Pegar estudiantes'!$A$1:$BZ$1001,655,I$2)&amp;""),""))</f>
        <v/>
      </c>
      <c r="J656">
        <f>IF(J$2=0,"",IFERROR(TRIM(INDEX('Pegar estudiantes'!$A$1:$BZ$1001,655,J$2)&amp;""),""))</f>
        <v/>
      </c>
      <c r="K656">
        <f>IF(K$2=0,"",IFERROR(TRIM(INDEX('Pegar estudiantes'!$A$1:$BZ$1001,655,K$2)&amp;""),""))</f>
        <v/>
      </c>
      <c r="L656" s="25">
        <f>IF(A656&lt;&gt;"",1,"")</f>
        <v/>
      </c>
      <c r="M656" s="25">
        <f>IF(L656=1,IF(ISNUMBER(FIND("#"&amp;MID(A656,1,1)&amp;"#","#0#1#2#3#4#5#6#7#8#9#")),IF(ISNUMBER(FIND("#"&amp;MID(A656,2,1)&amp;"#","#0#1#2#3#4#5#6#7#8#9#")),IF(AND(VALUE(LEFT(A656,2))&gt;=1,VALUE(LEFT(A656,2))&lt;=5),VALUE(LEFT(A656,2)),""),IF(AND(VALUE(LEFT(A656,1))&gt;=1,VALUE(LEFT(A656,1))&lt;=5),VALUE(LEFT(A656,1)),"")),""),"")</f>
        <v/>
      </c>
      <c r="N656" s="25">
        <f>IF(L656=1,IF(ISNUMBER(FIND("#"&amp;MID(H656,1,1)&amp;"#","#0#1#2#3#4#5#6#7#8#9#")),IF(ISNUMBER(FIND("#"&amp;MID(H656,2,1)&amp;"#","#0#1#2#3#4#5#6#7#8#9#")),IF(AND(VALUE(LEFT(H656,2))&gt;=1,VALUE(LEFT(H656,2))&lt;=5),VALUE(LEFT(H656,2)),""),IF(AND(VALUE(LEFT(H656,1))&gt;=1,VALUE(LEFT(H656,1))&lt;=5),VALUE(LEFT(H656,1)),"")),""),"")</f>
        <v/>
      </c>
      <c r="O656" s="25">
        <f>IF(AND(L656=1,B656&lt;&gt;""),SUBSTITUTE(SUBSTITUTE(SUBSTITUTE(SUBSTITUTE(SUBSTITUTE(SUBSTITUTE(SUBSTITUTE(SUBSTITUTE(SUBSTITUTE(SUBSTITUTE(SUBSTITUTE(SUBSTITUTE(LOWER(TRIM(B656)),"á","a"),"é","e"),"í","i"),"ó","o"),"ú","u"),"ü","u"),"ñ","n"),"à","a"),"è","e"),"ì","i"),"ò","o"),"ù","u"),"")</f>
        <v/>
      </c>
      <c r="P656" s="25">
        <f>IF(AND(L656=1,C656&lt;&gt;""),SUBSTITUTE(SUBSTITUTE(SUBSTITUTE(SUBSTITUTE(SUBSTITUTE(SUBSTITUTE(SUBSTITUTE(SUBSTITUTE(SUBSTITUTE(SUBSTITUTE(SUBSTITUTE(SUBSTITUTE(LOWER(TRIM(C656)),"á","a"),"é","e"),"í","i"),"ó","o"),"ú","u"),"ü","u"),"ñ","n"),"à","a"),"è","e"),"ì","i"),"ò","o"),"ù","u"),"")</f>
        <v/>
      </c>
      <c r="Q656" s="25">
        <f>IF(AND(L656=1,E656&lt;&gt;""),SUBSTITUTE(SUBSTITUTE(SUBSTITUTE(SUBSTITUTE(SUBSTITUTE(SUBSTITUTE(SUBSTITUTE(SUBSTITUTE(SUBSTITUTE(SUBSTITUTE(SUBSTITUTE(SUBSTITUTE(LOWER(TRIM(E656)),"á","a"),"é","e"),"í","i"),"ó","o"),"ú","u"),"ü","u"),"ñ","n"),"à","a"),"è","e"),"ì","i"),"ò","o"),"ù","u"),"")</f>
        <v/>
      </c>
      <c r="R656" s="25">
        <f>IF(AND(L656=1,I656&lt;&gt;""),SUBSTITUTE(SUBSTITUTE(SUBSTITUTE(SUBSTITUTE(SUBSTITUTE(SUBSTITUTE(SUBSTITUTE(SUBSTITUTE(SUBSTITUTE(SUBSTITUTE(SUBSTITUTE(SUBSTITUTE(LOWER(TRIM(I656)),"á","a"),"é","e"),"í","i"),"ó","o"),"ú","u"),"ü","u"),"ñ","n"),"à","a"),"è","e"),"ì","i"),"ò","o"),"ù","u"),"")</f>
        <v/>
      </c>
      <c r="S656" s="25">
        <f>IF(R656="","",IF(OR(R656="si",R656="tal vez"),1,0))</f>
        <v/>
      </c>
      <c r="T656" s="25">
        <f>IF(AND(L656=1,D656&lt;&gt;""),IF(IFERROR(COUNTIFS(D$3:D656,"="&amp;SUBSTITUTE(SUBSTITUTE(SUBSTITUTE(D656,"~","~~"),"*","~*"),"?","~?"),L$3:L656,1),0)=1,MAX(T$2:T655)+1,""),"")</f>
        <v/>
      </c>
      <c r="U656" s="25">
        <f>IF(T656="","",COUNTIFS($D$3:$D$1002,"="&amp;SUBSTITUTE(SUBSTITUTE(SUBSTITUTE(D656,"~","~~"),"*","~*"),"?","~?"),$L$3:$L$1002,1)*10000-T656)</f>
        <v/>
      </c>
      <c r="V656" s="25">
        <f>IF(AND(L656=1,J656&lt;&gt;""),IF(IFERROR(COUNTIFS(J$3:J656,"="&amp;SUBSTITUTE(SUBSTITUTE(SUBSTITUTE(J656,"~","~~"),"*","~*"),"?","~?"),L$3:L656,1),0)=1,MAX(V$2:V655)+1,""),"")</f>
        <v/>
      </c>
      <c r="W656" s="25">
        <f>IF(V656="","",COUNTIFS($J$3:$J$1002,"="&amp;SUBSTITUTE(SUBSTITUTE(SUBSTITUTE(J656,"~","~~"),"*","~*"),"?","~?"),$L$3:$L$1002,1)*10000-V656)</f>
        <v/>
      </c>
    </row>
    <row r="657">
      <c r="A657">
        <f>IF(A$2=0,"",IFERROR(TRIM(INDEX('Pegar estudiantes'!$A$1:$BZ$1001,656,A$2)&amp;""),""))</f>
        <v/>
      </c>
      <c r="B657">
        <f>IF(B$2=0,"",IFERROR(TRIM(INDEX('Pegar estudiantes'!$A$1:$BZ$1001,656,B$2)&amp;""),""))</f>
        <v/>
      </c>
      <c r="C657">
        <f>IF(C$2=0,"",IFERROR(TRIM(INDEX('Pegar estudiantes'!$A$1:$BZ$1001,656,C$2)&amp;""),""))</f>
        <v/>
      </c>
      <c r="D657">
        <f>IF(D$2=0,"",IFERROR(TRIM(INDEX('Pegar estudiantes'!$A$1:$BZ$1001,656,D$2)&amp;""),""))</f>
        <v/>
      </c>
      <c r="E657">
        <f>IF(E$2=0,"",IFERROR(TRIM(INDEX('Pegar estudiantes'!$A$1:$BZ$1001,656,E$2)&amp;""),""))</f>
        <v/>
      </c>
      <c r="F657">
        <f>IF(F$2=0,"",IFERROR(TRIM(INDEX('Pegar estudiantes'!$A$1:$BZ$1001,656,F$2)&amp;""),""))</f>
        <v/>
      </c>
      <c r="G657">
        <f>IF(G$2=0,"",IFERROR(TRIM(INDEX('Pegar estudiantes'!$A$1:$BZ$1001,656,G$2)&amp;""),""))</f>
        <v/>
      </c>
      <c r="H657">
        <f>IF(H$2=0,"",IFERROR(TRIM(INDEX('Pegar estudiantes'!$A$1:$BZ$1001,656,H$2)&amp;""),""))</f>
        <v/>
      </c>
      <c r="I657">
        <f>IF(I$2=0,"",IFERROR(TRIM(INDEX('Pegar estudiantes'!$A$1:$BZ$1001,656,I$2)&amp;""),""))</f>
        <v/>
      </c>
      <c r="J657">
        <f>IF(J$2=0,"",IFERROR(TRIM(INDEX('Pegar estudiantes'!$A$1:$BZ$1001,656,J$2)&amp;""),""))</f>
        <v/>
      </c>
      <c r="K657">
        <f>IF(K$2=0,"",IFERROR(TRIM(INDEX('Pegar estudiantes'!$A$1:$BZ$1001,656,K$2)&amp;""),""))</f>
        <v/>
      </c>
      <c r="L657" s="25">
        <f>IF(A657&lt;&gt;"",1,"")</f>
        <v/>
      </c>
      <c r="M657" s="25">
        <f>IF(L657=1,IF(ISNUMBER(FIND("#"&amp;MID(A657,1,1)&amp;"#","#0#1#2#3#4#5#6#7#8#9#")),IF(ISNUMBER(FIND("#"&amp;MID(A657,2,1)&amp;"#","#0#1#2#3#4#5#6#7#8#9#")),IF(AND(VALUE(LEFT(A657,2))&gt;=1,VALUE(LEFT(A657,2))&lt;=5),VALUE(LEFT(A657,2)),""),IF(AND(VALUE(LEFT(A657,1))&gt;=1,VALUE(LEFT(A657,1))&lt;=5),VALUE(LEFT(A657,1)),"")),""),"")</f>
        <v/>
      </c>
      <c r="N657" s="25">
        <f>IF(L657=1,IF(ISNUMBER(FIND("#"&amp;MID(H657,1,1)&amp;"#","#0#1#2#3#4#5#6#7#8#9#")),IF(ISNUMBER(FIND("#"&amp;MID(H657,2,1)&amp;"#","#0#1#2#3#4#5#6#7#8#9#")),IF(AND(VALUE(LEFT(H657,2))&gt;=1,VALUE(LEFT(H657,2))&lt;=5),VALUE(LEFT(H657,2)),""),IF(AND(VALUE(LEFT(H657,1))&gt;=1,VALUE(LEFT(H657,1))&lt;=5),VALUE(LEFT(H657,1)),"")),""),"")</f>
        <v/>
      </c>
      <c r="O657" s="25">
        <f>IF(AND(L657=1,B657&lt;&gt;""),SUBSTITUTE(SUBSTITUTE(SUBSTITUTE(SUBSTITUTE(SUBSTITUTE(SUBSTITUTE(SUBSTITUTE(SUBSTITUTE(SUBSTITUTE(SUBSTITUTE(SUBSTITUTE(SUBSTITUTE(LOWER(TRIM(B657)),"á","a"),"é","e"),"í","i"),"ó","o"),"ú","u"),"ü","u"),"ñ","n"),"à","a"),"è","e"),"ì","i"),"ò","o"),"ù","u"),"")</f>
        <v/>
      </c>
      <c r="P657" s="25">
        <f>IF(AND(L657=1,C657&lt;&gt;""),SUBSTITUTE(SUBSTITUTE(SUBSTITUTE(SUBSTITUTE(SUBSTITUTE(SUBSTITUTE(SUBSTITUTE(SUBSTITUTE(SUBSTITUTE(SUBSTITUTE(SUBSTITUTE(SUBSTITUTE(LOWER(TRIM(C657)),"á","a"),"é","e"),"í","i"),"ó","o"),"ú","u"),"ü","u"),"ñ","n"),"à","a"),"è","e"),"ì","i"),"ò","o"),"ù","u"),"")</f>
        <v/>
      </c>
      <c r="Q657" s="25">
        <f>IF(AND(L657=1,E657&lt;&gt;""),SUBSTITUTE(SUBSTITUTE(SUBSTITUTE(SUBSTITUTE(SUBSTITUTE(SUBSTITUTE(SUBSTITUTE(SUBSTITUTE(SUBSTITUTE(SUBSTITUTE(SUBSTITUTE(SUBSTITUTE(LOWER(TRIM(E657)),"á","a"),"é","e"),"í","i"),"ó","o"),"ú","u"),"ü","u"),"ñ","n"),"à","a"),"è","e"),"ì","i"),"ò","o"),"ù","u"),"")</f>
        <v/>
      </c>
      <c r="R657" s="25">
        <f>IF(AND(L657=1,I657&lt;&gt;""),SUBSTITUTE(SUBSTITUTE(SUBSTITUTE(SUBSTITUTE(SUBSTITUTE(SUBSTITUTE(SUBSTITUTE(SUBSTITUTE(SUBSTITUTE(SUBSTITUTE(SUBSTITUTE(SUBSTITUTE(LOWER(TRIM(I657)),"á","a"),"é","e"),"í","i"),"ó","o"),"ú","u"),"ü","u"),"ñ","n"),"à","a"),"è","e"),"ì","i"),"ò","o"),"ù","u"),"")</f>
        <v/>
      </c>
      <c r="S657" s="25">
        <f>IF(R657="","",IF(OR(R657="si",R657="tal vez"),1,0))</f>
        <v/>
      </c>
      <c r="T657" s="25">
        <f>IF(AND(L657=1,D657&lt;&gt;""),IF(IFERROR(COUNTIFS(D$3:D657,"="&amp;SUBSTITUTE(SUBSTITUTE(SUBSTITUTE(D657,"~","~~"),"*","~*"),"?","~?"),L$3:L657,1),0)=1,MAX(T$2:T656)+1,""),"")</f>
        <v/>
      </c>
      <c r="U657" s="25">
        <f>IF(T657="","",COUNTIFS($D$3:$D$1002,"="&amp;SUBSTITUTE(SUBSTITUTE(SUBSTITUTE(D657,"~","~~"),"*","~*"),"?","~?"),$L$3:$L$1002,1)*10000-T657)</f>
        <v/>
      </c>
      <c r="V657" s="25">
        <f>IF(AND(L657=1,J657&lt;&gt;""),IF(IFERROR(COUNTIFS(J$3:J657,"="&amp;SUBSTITUTE(SUBSTITUTE(SUBSTITUTE(J657,"~","~~"),"*","~*"),"?","~?"),L$3:L657,1),0)=1,MAX(V$2:V656)+1,""),"")</f>
        <v/>
      </c>
      <c r="W657" s="25">
        <f>IF(V657="","",COUNTIFS($J$3:$J$1002,"="&amp;SUBSTITUTE(SUBSTITUTE(SUBSTITUTE(J657,"~","~~"),"*","~*"),"?","~?"),$L$3:$L$1002,1)*10000-V657)</f>
        <v/>
      </c>
    </row>
    <row r="658">
      <c r="A658">
        <f>IF(A$2=0,"",IFERROR(TRIM(INDEX('Pegar estudiantes'!$A$1:$BZ$1001,657,A$2)&amp;""),""))</f>
        <v/>
      </c>
      <c r="B658">
        <f>IF(B$2=0,"",IFERROR(TRIM(INDEX('Pegar estudiantes'!$A$1:$BZ$1001,657,B$2)&amp;""),""))</f>
        <v/>
      </c>
      <c r="C658">
        <f>IF(C$2=0,"",IFERROR(TRIM(INDEX('Pegar estudiantes'!$A$1:$BZ$1001,657,C$2)&amp;""),""))</f>
        <v/>
      </c>
      <c r="D658">
        <f>IF(D$2=0,"",IFERROR(TRIM(INDEX('Pegar estudiantes'!$A$1:$BZ$1001,657,D$2)&amp;""),""))</f>
        <v/>
      </c>
      <c r="E658">
        <f>IF(E$2=0,"",IFERROR(TRIM(INDEX('Pegar estudiantes'!$A$1:$BZ$1001,657,E$2)&amp;""),""))</f>
        <v/>
      </c>
      <c r="F658">
        <f>IF(F$2=0,"",IFERROR(TRIM(INDEX('Pegar estudiantes'!$A$1:$BZ$1001,657,F$2)&amp;""),""))</f>
        <v/>
      </c>
      <c r="G658">
        <f>IF(G$2=0,"",IFERROR(TRIM(INDEX('Pegar estudiantes'!$A$1:$BZ$1001,657,G$2)&amp;""),""))</f>
        <v/>
      </c>
      <c r="H658">
        <f>IF(H$2=0,"",IFERROR(TRIM(INDEX('Pegar estudiantes'!$A$1:$BZ$1001,657,H$2)&amp;""),""))</f>
        <v/>
      </c>
      <c r="I658">
        <f>IF(I$2=0,"",IFERROR(TRIM(INDEX('Pegar estudiantes'!$A$1:$BZ$1001,657,I$2)&amp;""),""))</f>
        <v/>
      </c>
      <c r="J658">
        <f>IF(J$2=0,"",IFERROR(TRIM(INDEX('Pegar estudiantes'!$A$1:$BZ$1001,657,J$2)&amp;""),""))</f>
        <v/>
      </c>
      <c r="K658">
        <f>IF(K$2=0,"",IFERROR(TRIM(INDEX('Pegar estudiantes'!$A$1:$BZ$1001,657,K$2)&amp;""),""))</f>
        <v/>
      </c>
      <c r="L658" s="25">
        <f>IF(A658&lt;&gt;"",1,"")</f>
        <v/>
      </c>
      <c r="M658" s="25">
        <f>IF(L658=1,IF(ISNUMBER(FIND("#"&amp;MID(A658,1,1)&amp;"#","#0#1#2#3#4#5#6#7#8#9#")),IF(ISNUMBER(FIND("#"&amp;MID(A658,2,1)&amp;"#","#0#1#2#3#4#5#6#7#8#9#")),IF(AND(VALUE(LEFT(A658,2))&gt;=1,VALUE(LEFT(A658,2))&lt;=5),VALUE(LEFT(A658,2)),""),IF(AND(VALUE(LEFT(A658,1))&gt;=1,VALUE(LEFT(A658,1))&lt;=5),VALUE(LEFT(A658,1)),"")),""),"")</f>
        <v/>
      </c>
      <c r="N658" s="25">
        <f>IF(L658=1,IF(ISNUMBER(FIND("#"&amp;MID(H658,1,1)&amp;"#","#0#1#2#3#4#5#6#7#8#9#")),IF(ISNUMBER(FIND("#"&amp;MID(H658,2,1)&amp;"#","#0#1#2#3#4#5#6#7#8#9#")),IF(AND(VALUE(LEFT(H658,2))&gt;=1,VALUE(LEFT(H658,2))&lt;=5),VALUE(LEFT(H658,2)),""),IF(AND(VALUE(LEFT(H658,1))&gt;=1,VALUE(LEFT(H658,1))&lt;=5),VALUE(LEFT(H658,1)),"")),""),"")</f>
        <v/>
      </c>
      <c r="O658" s="25">
        <f>IF(AND(L658=1,B658&lt;&gt;""),SUBSTITUTE(SUBSTITUTE(SUBSTITUTE(SUBSTITUTE(SUBSTITUTE(SUBSTITUTE(SUBSTITUTE(SUBSTITUTE(SUBSTITUTE(SUBSTITUTE(SUBSTITUTE(SUBSTITUTE(LOWER(TRIM(B658)),"á","a"),"é","e"),"í","i"),"ó","o"),"ú","u"),"ü","u"),"ñ","n"),"à","a"),"è","e"),"ì","i"),"ò","o"),"ù","u"),"")</f>
        <v/>
      </c>
      <c r="P658" s="25">
        <f>IF(AND(L658=1,C658&lt;&gt;""),SUBSTITUTE(SUBSTITUTE(SUBSTITUTE(SUBSTITUTE(SUBSTITUTE(SUBSTITUTE(SUBSTITUTE(SUBSTITUTE(SUBSTITUTE(SUBSTITUTE(SUBSTITUTE(SUBSTITUTE(LOWER(TRIM(C658)),"á","a"),"é","e"),"í","i"),"ó","o"),"ú","u"),"ü","u"),"ñ","n"),"à","a"),"è","e"),"ì","i"),"ò","o"),"ù","u"),"")</f>
        <v/>
      </c>
      <c r="Q658" s="25">
        <f>IF(AND(L658=1,E658&lt;&gt;""),SUBSTITUTE(SUBSTITUTE(SUBSTITUTE(SUBSTITUTE(SUBSTITUTE(SUBSTITUTE(SUBSTITUTE(SUBSTITUTE(SUBSTITUTE(SUBSTITUTE(SUBSTITUTE(SUBSTITUTE(LOWER(TRIM(E658)),"á","a"),"é","e"),"í","i"),"ó","o"),"ú","u"),"ü","u"),"ñ","n"),"à","a"),"è","e"),"ì","i"),"ò","o"),"ù","u"),"")</f>
        <v/>
      </c>
      <c r="R658" s="25">
        <f>IF(AND(L658=1,I658&lt;&gt;""),SUBSTITUTE(SUBSTITUTE(SUBSTITUTE(SUBSTITUTE(SUBSTITUTE(SUBSTITUTE(SUBSTITUTE(SUBSTITUTE(SUBSTITUTE(SUBSTITUTE(SUBSTITUTE(SUBSTITUTE(LOWER(TRIM(I658)),"á","a"),"é","e"),"í","i"),"ó","o"),"ú","u"),"ü","u"),"ñ","n"),"à","a"),"è","e"),"ì","i"),"ò","o"),"ù","u"),"")</f>
        <v/>
      </c>
      <c r="S658" s="25">
        <f>IF(R658="","",IF(OR(R658="si",R658="tal vez"),1,0))</f>
        <v/>
      </c>
      <c r="T658" s="25">
        <f>IF(AND(L658=1,D658&lt;&gt;""),IF(IFERROR(COUNTIFS(D$3:D658,"="&amp;SUBSTITUTE(SUBSTITUTE(SUBSTITUTE(D658,"~","~~"),"*","~*"),"?","~?"),L$3:L658,1),0)=1,MAX(T$2:T657)+1,""),"")</f>
        <v/>
      </c>
      <c r="U658" s="25">
        <f>IF(T658="","",COUNTIFS($D$3:$D$1002,"="&amp;SUBSTITUTE(SUBSTITUTE(SUBSTITUTE(D658,"~","~~"),"*","~*"),"?","~?"),$L$3:$L$1002,1)*10000-T658)</f>
        <v/>
      </c>
      <c r="V658" s="25">
        <f>IF(AND(L658=1,J658&lt;&gt;""),IF(IFERROR(COUNTIFS(J$3:J658,"="&amp;SUBSTITUTE(SUBSTITUTE(SUBSTITUTE(J658,"~","~~"),"*","~*"),"?","~?"),L$3:L658,1),0)=1,MAX(V$2:V657)+1,""),"")</f>
        <v/>
      </c>
      <c r="W658" s="25">
        <f>IF(V658="","",COUNTIFS($J$3:$J$1002,"="&amp;SUBSTITUTE(SUBSTITUTE(SUBSTITUTE(J658,"~","~~"),"*","~*"),"?","~?"),$L$3:$L$1002,1)*10000-V658)</f>
        <v/>
      </c>
    </row>
    <row r="659">
      <c r="A659">
        <f>IF(A$2=0,"",IFERROR(TRIM(INDEX('Pegar estudiantes'!$A$1:$BZ$1001,658,A$2)&amp;""),""))</f>
        <v/>
      </c>
      <c r="B659">
        <f>IF(B$2=0,"",IFERROR(TRIM(INDEX('Pegar estudiantes'!$A$1:$BZ$1001,658,B$2)&amp;""),""))</f>
        <v/>
      </c>
      <c r="C659">
        <f>IF(C$2=0,"",IFERROR(TRIM(INDEX('Pegar estudiantes'!$A$1:$BZ$1001,658,C$2)&amp;""),""))</f>
        <v/>
      </c>
      <c r="D659">
        <f>IF(D$2=0,"",IFERROR(TRIM(INDEX('Pegar estudiantes'!$A$1:$BZ$1001,658,D$2)&amp;""),""))</f>
        <v/>
      </c>
      <c r="E659">
        <f>IF(E$2=0,"",IFERROR(TRIM(INDEX('Pegar estudiantes'!$A$1:$BZ$1001,658,E$2)&amp;""),""))</f>
        <v/>
      </c>
      <c r="F659">
        <f>IF(F$2=0,"",IFERROR(TRIM(INDEX('Pegar estudiantes'!$A$1:$BZ$1001,658,F$2)&amp;""),""))</f>
        <v/>
      </c>
      <c r="G659">
        <f>IF(G$2=0,"",IFERROR(TRIM(INDEX('Pegar estudiantes'!$A$1:$BZ$1001,658,G$2)&amp;""),""))</f>
        <v/>
      </c>
      <c r="H659">
        <f>IF(H$2=0,"",IFERROR(TRIM(INDEX('Pegar estudiantes'!$A$1:$BZ$1001,658,H$2)&amp;""),""))</f>
        <v/>
      </c>
      <c r="I659">
        <f>IF(I$2=0,"",IFERROR(TRIM(INDEX('Pegar estudiantes'!$A$1:$BZ$1001,658,I$2)&amp;""),""))</f>
        <v/>
      </c>
      <c r="J659">
        <f>IF(J$2=0,"",IFERROR(TRIM(INDEX('Pegar estudiantes'!$A$1:$BZ$1001,658,J$2)&amp;""),""))</f>
        <v/>
      </c>
      <c r="K659">
        <f>IF(K$2=0,"",IFERROR(TRIM(INDEX('Pegar estudiantes'!$A$1:$BZ$1001,658,K$2)&amp;""),""))</f>
        <v/>
      </c>
      <c r="L659" s="25">
        <f>IF(A659&lt;&gt;"",1,"")</f>
        <v/>
      </c>
      <c r="M659" s="25">
        <f>IF(L659=1,IF(ISNUMBER(FIND("#"&amp;MID(A659,1,1)&amp;"#","#0#1#2#3#4#5#6#7#8#9#")),IF(ISNUMBER(FIND("#"&amp;MID(A659,2,1)&amp;"#","#0#1#2#3#4#5#6#7#8#9#")),IF(AND(VALUE(LEFT(A659,2))&gt;=1,VALUE(LEFT(A659,2))&lt;=5),VALUE(LEFT(A659,2)),""),IF(AND(VALUE(LEFT(A659,1))&gt;=1,VALUE(LEFT(A659,1))&lt;=5),VALUE(LEFT(A659,1)),"")),""),"")</f>
        <v/>
      </c>
      <c r="N659" s="25">
        <f>IF(L659=1,IF(ISNUMBER(FIND("#"&amp;MID(H659,1,1)&amp;"#","#0#1#2#3#4#5#6#7#8#9#")),IF(ISNUMBER(FIND("#"&amp;MID(H659,2,1)&amp;"#","#0#1#2#3#4#5#6#7#8#9#")),IF(AND(VALUE(LEFT(H659,2))&gt;=1,VALUE(LEFT(H659,2))&lt;=5),VALUE(LEFT(H659,2)),""),IF(AND(VALUE(LEFT(H659,1))&gt;=1,VALUE(LEFT(H659,1))&lt;=5),VALUE(LEFT(H659,1)),"")),""),"")</f>
        <v/>
      </c>
      <c r="O659" s="25">
        <f>IF(AND(L659=1,B659&lt;&gt;""),SUBSTITUTE(SUBSTITUTE(SUBSTITUTE(SUBSTITUTE(SUBSTITUTE(SUBSTITUTE(SUBSTITUTE(SUBSTITUTE(SUBSTITUTE(SUBSTITUTE(SUBSTITUTE(SUBSTITUTE(LOWER(TRIM(B659)),"á","a"),"é","e"),"í","i"),"ó","o"),"ú","u"),"ü","u"),"ñ","n"),"à","a"),"è","e"),"ì","i"),"ò","o"),"ù","u"),"")</f>
        <v/>
      </c>
      <c r="P659" s="25">
        <f>IF(AND(L659=1,C659&lt;&gt;""),SUBSTITUTE(SUBSTITUTE(SUBSTITUTE(SUBSTITUTE(SUBSTITUTE(SUBSTITUTE(SUBSTITUTE(SUBSTITUTE(SUBSTITUTE(SUBSTITUTE(SUBSTITUTE(SUBSTITUTE(LOWER(TRIM(C659)),"á","a"),"é","e"),"í","i"),"ó","o"),"ú","u"),"ü","u"),"ñ","n"),"à","a"),"è","e"),"ì","i"),"ò","o"),"ù","u"),"")</f>
        <v/>
      </c>
      <c r="Q659" s="25">
        <f>IF(AND(L659=1,E659&lt;&gt;""),SUBSTITUTE(SUBSTITUTE(SUBSTITUTE(SUBSTITUTE(SUBSTITUTE(SUBSTITUTE(SUBSTITUTE(SUBSTITUTE(SUBSTITUTE(SUBSTITUTE(SUBSTITUTE(SUBSTITUTE(LOWER(TRIM(E659)),"á","a"),"é","e"),"í","i"),"ó","o"),"ú","u"),"ü","u"),"ñ","n"),"à","a"),"è","e"),"ì","i"),"ò","o"),"ù","u"),"")</f>
        <v/>
      </c>
      <c r="R659" s="25">
        <f>IF(AND(L659=1,I659&lt;&gt;""),SUBSTITUTE(SUBSTITUTE(SUBSTITUTE(SUBSTITUTE(SUBSTITUTE(SUBSTITUTE(SUBSTITUTE(SUBSTITUTE(SUBSTITUTE(SUBSTITUTE(SUBSTITUTE(SUBSTITUTE(LOWER(TRIM(I659)),"á","a"),"é","e"),"í","i"),"ó","o"),"ú","u"),"ü","u"),"ñ","n"),"à","a"),"è","e"),"ì","i"),"ò","o"),"ù","u"),"")</f>
        <v/>
      </c>
      <c r="S659" s="25">
        <f>IF(R659="","",IF(OR(R659="si",R659="tal vez"),1,0))</f>
        <v/>
      </c>
      <c r="T659" s="25">
        <f>IF(AND(L659=1,D659&lt;&gt;""),IF(IFERROR(COUNTIFS(D$3:D659,"="&amp;SUBSTITUTE(SUBSTITUTE(SUBSTITUTE(D659,"~","~~"),"*","~*"),"?","~?"),L$3:L659,1),0)=1,MAX(T$2:T658)+1,""),"")</f>
        <v/>
      </c>
      <c r="U659" s="25">
        <f>IF(T659="","",COUNTIFS($D$3:$D$1002,"="&amp;SUBSTITUTE(SUBSTITUTE(SUBSTITUTE(D659,"~","~~"),"*","~*"),"?","~?"),$L$3:$L$1002,1)*10000-T659)</f>
        <v/>
      </c>
      <c r="V659" s="25">
        <f>IF(AND(L659=1,J659&lt;&gt;""),IF(IFERROR(COUNTIFS(J$3:J659,"="&amp;SUBSTITUTE(SUBSTITUTE(SUBSTITUTE(J659,"~","~~"),"*","~*"),"?","~?"),L$3:L659,1),0)=1,MAX(V$2:V658)+1,""),"")</f>
        <v/>
      </c>
      <c r="W659" s="25">
        <f>IF(V659="","",COUNTIFS($J$3:$J$1002,"="&amp;SUBSTITUTE(SUBSTITUTE(SUBSTITUTE(J659,"~","~~"),"*","~*"),"?","~?"),$L$3:$L$1002,1)*10000-V659)</f>
        <v/>
      </c>
    </row>
    <row r="660">
      <c r="A660">
        <f>IF(A$2=0,"",IFERROR(TRIM(INDEX('Pegar estudiantes'!$A$1:$BZ$1001,659,A$2)&amp;""),""))</f>
        <v/>
      </c>
      <c r="B660">
        <f>IF(B$2=0,"",IFERROR(TRIM(INDEX('Pegar estudiantes'!$A$1:$BZ$1001,659,B$2)&amp;""),""))</f>
        <v/>
      </c>
      <c r="C660">
        <f>IF(C$2=0,"",IFERROR(TRIM(INDEX('Pegar estudiantes'!$A$1:$BZ$1001,659,C$2)&amp;""),""))</f>
        <v/>
      </c>
      <c r="D660">
        <f>IF(D$2=0,"",IFERROR(TRIM(INDEX('Pegar estudiantes'!$A$1:$BZ$1001,659,D$2)&amp;""),""))</f>
        <v/>
      </c>
      <c r="E660">
        <f>IF(E$2=0,"",IFERROR(TRIM(INDEX('Pegar estudiantes'!$A$1:$BZ$1001,659,E$2)&amp;""),""))</f>
        <v/>
      </c>
      <c r="F660">
        <f>IF(F$2=0,"",IFERROR(TRIM(INDEX('Pegar estudiantes'!$A$1:$BZ$1001,659,F$2)&amp;""),""))</f>
        <v/>
      </c>
      <c r="G660">
        <f>IF(G$2=0,"",IFERROR(TRIM(INDEX('Pegar estudiantes'!$A$1:$BZ$1001,659,G$2)&amp;""),""))</f>
        <v/>
      </c>
      <c r="H660">
        <f>IF(H$2=0,"",IFERROR(TRIM(INDEX('Pegar estudiantes'!$A$1:$BZ$1001,659,H$2)&amp;""),""))</f>
        <v/>
      </c>
      <c r="I660">
        <f>IF(I$2=0,"",IFERROR(TRIM(INDEX('Pegar estudiantes'!$A$1:$BZ$1001,659,I$2)&amp;""),""))</f>
        <v/>
      </c>
      <c r="J660">
        <f>IF(J$2=0,"",IFERROR(TRIM(INDEX('Pegar estudiantes'!$A$1:$BZ$1001,659,J$2)&amp;""),""))</f>
        <v/>
      </c>
      <c r="K660">
        <f>IF(K$2=0,"",IFERROR(TRIM(INDEX('Pegar estudiantes'!$A$1:$BZ$1001,659,K$2)&amp;""),""))</f>
        <v/>
      </c>
      <c r="L660" s="25">
        <f>IF(A660&lt;&gt;"",1,"")</f>
        <v/>
      </c>
      <c r="M660" s="25">
        <f>IF(L660=1,IF(ISNUMBER(FIND("#"&amp;MID(A660,1,1)&amp;"#","#0#1#2#3#4#5#6#7#8#9#")),IF(ISNUMBER(FIND("#"&amp;MID(A660,2,1)&amp;"#","#0#1#2#3#4#5#6#7#8#9#")),IF(AND(VALUE(LEFT(A660,2))&gt;=1,VALUE(LEFT(A660,2))&lt;=5),VALUE(LEFT(A660,2)),""),IF(AND(VALUE(LEFT(A660,1))&gt;=1,VALUE(LEFT(A660,1))&lt;=5),VALUE(LEFT(A660,1)),"")),""),"")</f>
        <v/>
      </c>
      <c r="N660" s="25">
        <f>IF(L660=1,IF(ISNUMBER(FIND("#"&amp;MID(H660,1,1)&amp;"#","#0#1#2#3#4#5#6#7#8#9#")),IF(ISNUMBER(FIND("#"&amp;MID(H660,2,1)&amp;"#","#0#1#2#3#4#5#6#7#8#9#")),IF(AND(VALUE(LEFT(H660,2))&gt;=1,VALUE(LEFT(H660,2))&lt;=5),VALUE(LEFT(H660,2)),""),IF(AND(VALUE(LEFT(H660,1))&gt;=1,VALUE(LEFT(H660,1))&lt;=5),VALUE(LEFT(H660,1)),"")),""),"")</f>
        <v/>
      </c>
      <c r="O660" s="25">
        <f>IF(AND(L660=1,B660&lt;&gt;""),SUBSTITUTE(SUBSTITUTE(SUBSTITUTE(SUBSTITUTE(SUBSTITUTE(SUBSTITUTE(SUBSTITUTE(SUBSTITUTE(SUBSTITUTE(SUBSTITUTE(SUBSTITUTE(SUBSTITUTE(LOWER(TRIM(B660)),"á","a"),"é","e"),"í","i"),"ó","o"),"ú","u"),"ü","u"),"ñ","n"),"à","a"),"è","e"),"ì","i"),"ò","o"),"ù","u"),"")</f>
        <v/>
      </c>
      <c r="P660" s="25">
        <f>IF(AND(L660=1,C660&lt;&gt;""),SUBSTITUTE(SUBSTITUTE(SUBSTITUTE(SUBSTITUTE(SUBSTITUTE(SUBSTITUTE(SUBSTITUTE(SUBSTITUTE(SUBSTITUTE(SUBSTITUTE(SUBSTITUTE(SUBSTITUTE(LOWER(TRIM(C660)),"á","a"),"é","e"),"í","i"),"ó","o"),"ú","u"),"ü","u"),"ñ","n"),"à","a"),"è","e"),"ì","i"),"ò","o"),"ù","u"),"")</f>
        <v/>
      </c>
      <c r="Q660" s="25">
        <f>IF(AND(L660=1,E660&lt;&gt;""),SUBSTITUTE(SUBSTITUTE(SUBSTITUTE(SUBSTITUTE(SUBSTITUTE(SUBSTITUTE(SUBSTITUTE(SUBSTITUTE(SUBSTITUTE(SUBSTITUTE(SUBSTITUTE(SUBSTITUTE(LOWER(TRIM(E660)),"á","a"),"é","e"),"í","i"),"ó","o"),"ú","u"),"ü","u"),"ñ","n"),"à","a"),"è","e"),"ì","i"),"ò","o"),"ù","u"),"")</f>
        <v/>
      </c>
      <c r="R660" s="25">
        <f>IF(AND(L660=1,I660&lt;&gt;""),SUBSTITUTE(SUBSTITUTE(SUBSTITUTE(SUBSTITUTE(SUBSTITUTE(SUBSTITUTE(SUBSTITUTE(SUBSTITUTE(SUBSTITUTE(SUBSTITUTE(SUBSTITUTE(SUBSTITUTE(LOWER(TRIM(I660)),"á","a"),"é","e"),"í","i"),"ó","o"),"ú","u"),"ü","u"),"ñ","n"),"à","a"),"è","e"),"ì","i"),"ò","o"),"ù","u"),"")</f>
        <v/>
      </c>
      <c r="S660" s="25">
        <f>IF(R660="","",IF(OR(R660="si",R660="tal vez"),1,0))</f>
        <v/>
      </c>
      <c r="T660" s="25">
        <f>IF(AND(L660=1,D660&lt;&gt;""),IF(IFERROR(COUNTIFS(D$3:D660,"="&amp;SUBSTITUTE(SUBSTITUTE(SUBSTITUTE(D660,"~","~~"),"*","~*"),"?","~?"),L$3:L660,1),0)=1,MAX(T$2:T659)+1,""),"")</f>
        <v/>
      </c>
      <c r="U660" s="25">
        <f>IF(T660="","",COUNTIFS($D$3:$D$1002,"="&amp;SUBSTITUTE(SUBSTITUTE(SUBSTITUTE(D660,"~","~~"),"*","~*"),"?","~?"),$L$3:$L$1002,1)*10000-T660)</f>
        <v/>
      </c>
      <c r="V660" s="25">
        <f>IF(AND(L660=1,J660&lt;&gt;""),IF(IFERROR(COUNTIFS(J$3:J660,"="&amp;SUBSTITUTE(SUBSTITUTE(SUBSTITUTE(J660,"~","~~"),"*","~*"),"?","~?"),L$3:L660,1),0)=1,MAX(V$2:V659)+1,""),"")</f>
        <v/>
      </c>
      <c r="W660" s="25">
        <f>IF(V660="","",COUNTIFS($J$3:$J$1002,"="&amp;SUBSTITUTE(SUBSTITUTE(SUBSTITUTE(J660,"~","~~"),"*","~*"),"?","~?"),$L$3:$L$1002,1)*10000-V660)</f>
        <v/>
      </c>
    </row>
    <row r="661">
      <c r="A661">
        <f>IF(A$2=0,"",IFERROR(TRIM(INDEX('Pegar estudiantes'!$A$1:$BZ$1001,660,A$2)&amp;""),""))</f>
        <v/>
      </c>
      <c r="B661">
        <f>IF(B$2=0,"",IFERROR(TRIM(INDEX('Pegar estudiantes'!$A$1:$BZ$1001,660,B$2)&amp;""),""))</f>
        <v/>
      </c>
      <c r="C661">
        <f>IF(C$2=0,"",IFERROR(TRIM(INDEX('Pegar estudiantes'!$A$1:$BZ$1001,660,C$2)&amp;""),""))</f>
        <v/>
      </c>
      <c r="D661">
        <f>IF(D$2=0,"",IFERROR(TRIM(INDEX('Pegar estudiantes'!$A$1:$BZ$1001,660,D$2)&amp;""),""))</f>
        <v/>
      </c>
      <c r="E661">
        <f>IF(E$2=0,"",IFERROR(TRIM(INDEX('Pegar estudiantes'!$A$1:$BZ$1001,660,E$2)&amp;""),""))</f>
        <v/>
      </c>
      <c r="F661">
        <f>IF(F$2=0,"",IFERROR(TRIM(INDEX('Pegar estudiantes'!$A$1:$BZ$1001,660,F$2)&amp;""),""))</f>
        <v/>
      </c>
      <c r="G661">
        <f>IF(G$2=0,"",IFERROR(TRIM(INDEX('Pegar estudiantes'!$A$1:$BZ$1001,660,G$2)&amp;""),""))</f>
        <v/>
      </c>
      <c r="H661">
        <f>IF(H$2=0,"",IFERROR(TRIM(INDEX('Pegar estudiantes'!$A$1:$BZ$1001,660,H$2)&amp;""),""))</f>
        <v/>
      </c>
      <c r="I661">
        <f>IF(I$2=0,"",IFERROR(TRIM(INDEX('Pegar estudiantes'!$A$1:$BZ$1001,660,I$2)&amp;""),""))</f>
        <v/>
      </c>
      <c r="J661">
        <f>IF(J$2=0,"",IFERROR(TRIM(INDEX('Pegar estudiantes'!$A$1:$BZ$1001,660,J$2)&amp;""),""))</f>
        <v/>
      </c>
      <c r="K661">
        <f>IF(K$2=0,"",IFERROR(TRIM(INDEX('Pegar estudiantes'!$A$1:$BZ$1001,660,K$2)&amp;""),""))</f>
        <v/>
      </c>
      <c r="L661" s="25">
        <f>IF(A661&lt;&gt;"",1,"")</f>
        <v/>
      </c>
      <c r="M661" s="25">
        <f>IF(L661=1,IF(ISNUMBER(FIND("#"&amp;MID(A661,1,1)&amp;"#","#0#1#2#3#4#5#6#7#8#9#")),IF(ISNUMBER(FIND("#"&amp;MID(A661,2,1)&amp;"#","#0#1#2#3#4#5#6#7#8#9#")),IF(AND(VALUE(LEFT(A661,2))&gt;=1,VALUE(LEFT(A661,2))&lt;=5),VALUE(LEFT(A661,2)),""),IF(AND(VALUE(LEFT(A661,1))&gt;=1,VALUE(LEFT(A661,1))&lt;=5),VALUE(LEFT(A661,1)),"")),""),"")</f>
        <v/>
      </c>
      <c r="N661" s="25">
        <f>IF(L661=1,IF(ISNUMBER(FIND("#"&amp;MID(H661,1,1)&amp;"#","#0#1#2#3#4#5#6#7#8#9#")),IF(ISNUMBER(FIND("#"&amp;MID(H661,2,1)&amp;"#","#0#1#2#3#4#5#6#7#8#9#")),IF(AND(VALUE(LEFT(H661,2))&gt;=1,VALUE(LEFT(H661,2))&lt;=5),VALUE(LEFT(H661,2)),""),IF(AND(VALUE(LEFT(H661,1))&gt;=1,VALUE(LEFT(H661,1))&lt;=5),VALUE(LEFT(H661,1)),"")),""),"")</f>
        <v/>
      </c>
      <c r="O661" s="25">
        <f>IF(AND(L661=1,B661&lt;&gt;""),SUBSTITUTE(SUBSTITUTE(SUBSTITUTE(SUBSTITUTE(SUBSTITUTE(SUBSTITUTE(SUBSTITUTE(SUBSTITUTE(SUBSTITUTE(SUBSTITUTE(SUBSTITUTE(SUBSTITUTE(LOWER(TRIM(B661)),"á","a"),"é","e"),"í","i"),"ó","o"),"ú","u"),"ü","u"),"ñ","n"),"à","a"),"è","e"),"ì","i"),"ò","o"),"ù","u"),"")</f>
        <v/>
      </c>
      <c r="P661" s="25">
        <f>IF(AND(L661=1,C661&lt;&gt;""),SUBSTITUTE(SUBSTITUTE(SUBSTITUTE(SUBSTITUTE(SUBSTITUTE(SUBSTITUTE(SUBSTITUTE(SUBSTITUTE(SUBSTITUTE(SUBSTITUTE(SUBSTITUTE(SUBSTITUTE(LOWER(TRIM(C661)),"á","a"),"é","e"),"í","i"),"ó","o"),"ú","u"),"ü","u"),"ñ","n"),"à","a"),"è","e"),"ì","i"),"ò","o"),"ù","u"),"")</f>
        <v/>
      </c>
      <c r="Q661" s="25">
        <f>IF(AND(L661=1,E661&lt;&gt;""),SUBSTITUTE(SUBSTITUTE(SUBSTITUTE(SUBSTITUTE(SUBSTITUTE(SUBSTITUTE(SUBSTITUTE(SUBSTITUTE(SUBSTITUTE(SUBSTITUTE(SUBSTITUTE(SUBSTITUTE(LOWER(TRIM(E661)),"á","a"),"é","e"),"í","i"),"ó","o"),"ú","u"),"ü","u"),"ñ","n"),"à","a"),"è","e"),"ì","i"),"ò","o"),"ù","u"),"")</f>
        <v/>
      </c>
      <c r="R661" s="25">
        <f>IF(AND(L661=1,I661&lt;&gt;""),SUBSTITUTE(SUBSTITUTE(SUBSTITUTE(SUBSTITUTE(SUBSTITUTE(SUBSTITUTE(SUBSTITUTE(SUBSTITUTE(SUBSTITUTE(SUBSTITUTE(SUBSTITUTE(SUBSTITUTE(LOWER(TRIM(I661)),"á","a"),"é","e"),"í","i"),"ó","o"),"ú","u"),"ü","u"),"ñ","n"),"à","a"),"è","e"),"ì","i"),"ò","o"),"ù","u"),"")</f>
        <v/>
      </c>
      <c r="S661" s="25">
        <f>IF(R661="","",IF(OR(R661="si",R661="tal vez"),1,0))</f>
        <v/>
      </c>
      <c r="T661" s="25">
        <f>IF(AND(L661=1,D661&lt;&gt;""),IF(IFERROR(COUNTIFS(D$3:D661,"="&amp;SUBSTITUTE(SUBSTITUTE(SUBSTITUTE(D661,"~","~~"),"*","~*"),"?","~?"),L$3:L661,1),0)=1,MAX(T$2:T660)+1,""),"")</f>
        <v/>
      </c>
      <c r="U661" s="25">
        <f>IF(T661="","",COUNTIFS($D$3:$D$1002,"="&amp;SUBSTITUTE(SUBSTITUTE(SUBSTITUTE(D661,"~","~~"),"*","~*"),"?","~?"),$L$3:$L$1002,1)*10000-T661)</f>
        <v/>
      </c>
      <c r="V661" s="25">
        <f>IF(AND(L661=1,J661&lt;&gt;""),IF(IFERROR(COUNTIFS(J$3:J661,"="&amp;SUBSTITUTE(SUBSTITUTE(SUBSTITUTE(J661,"~","~~"),"*","~*"),"?","~?"),L$3:L661,1),0)=1,MAX(V$2:V660)+1,""),"")</f>
        <v/>
      </c>
      <c r="W661" s="25">
        <f>IF(V661="","",COUNTIFS($J$3:$J$1002,"="&amp;SUBSTITUTE(SUBSTITUTE(SUBSTITUTE(J661,"~","~~"),"*","~*"),"?","~?"),$L$3:$L$1002,1)*10000-V661)</f>
        <v/>
      </c>
    </row>
    <row r="662">
      <c r="A662">
        <f>IF(A$2=0,"",IFERROR(TRIM(INDEX('Pegar estudiantes'!$A$1:$BZ$1001,661,A$2)&amp;""),""))</f>
        <v/>
      </c>
      <c r="B662">
        <f>IF(B$2=0,"",IFERROR(TRIM(INDEX('Pegar estudiantes'!$A$1:$BZ$1001,661,B$2)&amp;""),""))</f>
        <v/>
      </c>
      <c r="C662">
        <f>IF(C$2=0,"",IFERROR(TRIM(INDEX('Pegar estudiantes'!$A$1:$BZ$1001,661,C$2)&amp;""),""))</f>
        <v/>
      </c>
      <c r="D662">
        <f>IF(D$2=0,"",IFERROR(TRIM(INDEX('Pegar estudiantes'!$A$1:$BZ$1001,661,D$2)&amp;""),""))</f>
        <v/>
      </c>
      <c r="E662">
        <f>IF(E$2=0,"",IFERROR(TRIM(INDEX('Pegar estudiantes'!$A$1:$BZ$1001,661,E$2)&amp;""),""))</f>
        <v/>
      </c>
      <c r="F662">
        <f>IF(F$2=0,"",IFERROR(TRIM(INDEX('Pegar estudiantes'!$A$1:$BZ$1001,661,F$2)&amp;""),""))</f>
        <v/>
      </c>
      <c r="G662">
        <f>IF(G$2=0,"",IFERROR(TRIM(INDEX('Pegar estudiantes'!$A$1:$BZ$1001,661,G$2)&amp;""),""))</f>
        <v/>
      </c>
      <c r="H662">
        <f>IF(H$2=0,"",IFERROR(TRIM(INDEX('Pegar estudiantes'!$A$1:$BZ$1001,661,H$2)&amp;""),""))</f>
        <v/>
      </c>
      <c r="I662">
        <f>IF(I$2=0,"",IFERROR(TRIM(INDEX('Pegar estudiantes'!$A$1:$BZ$1001,661,I$2)&amp;""),""))</f>
        <v/>
      </c>
      <c r="J662">
        <f>IF(J$2=0,"",IFERROR(TRIM(INDEX('Pegar estudiantes'!$A$1:$BZ$1001,661,J$2)&amp;""),""))</f>
        <v/>
      </c>
      <c r="K662">
        <f>IF(K$2=0,"",IFERROR(TRIM(INDEX('Pegar estudiantes'!$A$1:$BZ$1001,661,K$2)&amp;""),""))</f>
        <v/>
      </c>
      <c r="L662" s="25">
        <f>IF(A662&lt;&gt;"",1,"")</f>
        <v/>
      </c>
      <c r="M662" s="25">
        <f>IF(L662=1,IF(ISNUMBER(FIND("#"&amp;MID(A662,1,1)&amp;"#","#0#1#2#3#4#5#6#7#8#9#")),IF(ISNUMBER(FIND("#"&amp;MID(A662,2,1)&amp;"#","#0#1#2#3#4#5#6#7#8#9#")),IF(AND(VALUE(LEFT(A662,2))&gt;=1,VALUE(LEFT(A662,2))&lt;=5),VALUE(LEFT(A662,2)),""),IF(AND(VALUE(LEFT(A662,1))&gt;=1,VALUE(LEFT(A662,1))&lt;=5),VALUE(LEFT(A662,1)),"")),""),"")</f>
        <v/>
      </c>
      <c r="N662" s="25">
        <f>IF(L662=1,IF(ISNUMBER(FIND("#"&amp;MID(H662,1,1)&amp;"#","#0#1#2#3#4#5#6#7#8#9#")),IF(ISNUMBER(FIND("#"&amp;MID(H662,2,1)&amp;"#","#0#1#2#3#4#5#6#7#8#9#")),IF(AND(VALUE(LEFT(H662,2))&gt;=1,VALUE(LEFT(H662,2))&lt;=5),VALUE(LEFT(H662,2)),""),IF(AND(VALUE(LEFT(H662,1))&gt;=1,VALUE(LEFT(H662,1))&lt;=5),VALUE(LEFT(H662,1)),"")),""),"")</f>
        <v/>
      </c>
      <c r="O662" s="25">
        <f>IF(AND(L662=1,B662&lt;&gt;""),SUBSTITUTE(SUBSTITUTE(SUBSTITUTE(SUBSTITUTE(SUBSTITUTE(SUBSTITUTE(SUBSTITUTE(SUBSTITUTE(SUBSTITUTE(SUBSTITUTE(SUBSTITUTE(SUBSTITUTE(LOWER(TRIM(B662)),"á","a"),"é","e"),"í","i"),"ó","o"),"ú","u"),"ü","u"),"ñ","n"),"à","a"),"è","e"),"ì","i"),"ò","o"),"ù","u"),"")</f>
        <v/>
      </c>
      <c r="P662" s="25">
        <f>IF(AND(L662=1,C662&lt;&gt;""),SUBSTITUTE(SUBSTITUTE(SUBSTITUTE(SUBSTITUTE(SUBSTITUTE(SUBSTITUTE(SUBSTITUTE(SUBSTITUTE(SUBSTITUTE(SUBSTITUTE(SUBSTITUTE(SUBSTITUTE(LOWER(TRIM(C662)),"á","a"),"é","e"),"í","i"),"ó","o"),"ú","u"),"ü","u"),"ñ","n"),"à","a"),"è","e"),"ì","i"),"ò","o"),"ù","u"),"")</f>
        <v/>
      </c>
      <c r="Q662" s="25">
        <f>IF(AND(L662=1,E662&lt;&gt;""),SUBSTITUTE(SUBSTITUTE(SUBSTITUTE(SUBSTITUTE(SUBSTITUTE(SUBSTITUTE(SUBSTITUTE(SUBSTITUTE(SUBSTITUTE(SUBSTITUTE(SUBSTITUTE(SUBSTITUTE(LOWER(TRIM(E662)),"á","a"),"é","e"),"í","i"),"ó","o"),"ú","u"),"ü","u"),"ñ","n"),"à","a"),"è","e"),"ì","i"),"ò","o"),"ù","u"),"")</f>
        <v/>
      </c>
      <c r="R662" s="25">
        <f>IF(AND(L662=1,I662&lt;&gt;""),SUBSTITUTE(SUBSTITUTE(SUBSTITUTE(SUBSTITUTE(SUBSTITUTE(SUBSTITUTE(SUBSTITUTE(SUBSTITUTE(SUBSTITUTE(SUBSTITUTE(SUBSTITUTE(SUBSTITUTE(LOWER(TRIM(I662)),"á","a"),"é","e"),"í","i"),"ó","o"),"ú","u"),"ü","u"),"ñ","n"),"à","a"),"è","e"),"ì","i"),"ò","o"),"ù","u"),"")</f>
        <v/>
      </c>
      <c r="S662" s="25">
        <f>IF(R662="","",IF(OR(R662="si",R662="tal vez"),1,0))</f>
        <v/>
      </c>
      <c r="T662" s="25">
        <f>IF(AND(L662=1,D662&lt;&gt;""),IF(IFERROR(COUNTIFS(D$3:D662,"="&amp;SUBSTITUTE(SUBSTITUTE(SUBSTITUTE(D662,"~","~~"),"*","~*"),"?","~?"),L$3:L662,1),0)=1,MAX(T$2:T661)+1,""),"")</f>
        <v/>
      </c>
      <c r="U662" s="25">
        <f>IF(T662="","",COUNTIFS($D$3:$D$1002,"="&amp;SUBSTITUTE(SUBSTITUTE(SUBSTITUTE(D662,"~","~~"),"*","~*"),"?","~?"),$L$3:$L$1002,1)*10000-T662)</f>
        <v/>
      </c>
      <c r="V662" s="25">
        <f>IF(AND(L662=1,J662&lt;&gt;""),IF(IFERROR(COUNTIFS(J$3:J662,"="&amp;SUBSTITUTE(SUBSTITUTE(SUBSTITUTE(J662,"~","~~"),"*","~*"),"?","~?"),L$3:L662,1),0)=1,MAX(V$2:V661)+1,""),"")</f>
        <v/>
      </c>
      <c r="W662" s="25">
        <f>IF(V662="","",COUNTIFS($J$3:$J$1002,"="&amp;SUBSTITUTE(SUBSTITUTE(SUBSTITUTE(J662,"~","~~"),"*","~*"),"?","~?"),$L$3:$L$1002,1)*10000-V662)</f>
        <v/>
      </c>
    </row>
    <row r="663">
      <c r="A663">
        <f>IF(A$2=0,"",IFERROR(TRIM(INDEX('Pegar estudiantes'!$A$1:$BZ$1001,662,A$2)&amp;""),""))</f>
        <v/>
      </c>
      <c r="B663">
        <f>IF(B$2=0,"",IFERROR(TRIM(INDEX('Pegar estudiantes'!$A$1:$BZ$1001,662,B$2)&amp;""),""))</f>
        <v/>
      </c>
      <c r="C663">
        <f>IF(C$2=0,"",IFERROR(TRIM(INDEX('Pegar estudiantes'!$A$1:$BZ$1001,662,C$2)&amp;""),""))</f>
        <v/>
      </c>
      <c r="D663">
        <f>IF(D$2=0,"",IFERROR(TRIM(INDEX('Pegar estudiantes'!$A$1:$BZ$1001,662,D$2)&amp;""),""))</f>
        <v/>
      </c>
      <c r="E663">
        <f>IF(E$2=0,"",IFERROR(TRIM(INDEX('Pegar estudiantes'!$A$1:$BZ$1001,662,E$2)&amp;""),""))</f>
        <v/>
      </c>
      <c r="F663">
        <f>IF(F$2=0,"",IFERROR(TRIM(INDEX('Pegar estudiantes'!$A$1:$BZ$1001,662,F$2)&amp;""),""))</f>
        <v/>
      </c>
      <c r="G663">
        <f>IF(G$2=0,"",IFERROR(TRIM(INDEX('Pegar estudiantes'!$A$1:$BZ$1001,662,G$2)&amp;""),""))</f>
        <v/>
      </c>
      <c r="H663">
        <f>IF(H$2=0,"",IFERROR(TRIM(INDEX('Pegar estudiantes'!$A$1:$BZ$1001,662,H$2)&amp;""),""))</f>
        <v/>
      </c>
      <c r="I663">
        <f>IF(I$2=0,"",IFERROR(TRIM(INDEX('Pegar estudiantes'!$A$1:$BZ$1001,662,I$2)&amp;""),""))</f>
        <v/>
      </c>
      <c r="J663">
        <f>IF(J$2=0,"",IFERROR(TRIM(INDEX('Pegar estudiantes'!$A$1:$BZ$1001,662,J$2)&amp;""),""))</f>
        <v/>
      </c>
      <c r="K663">
        <f>IF(K$2=0,"",IFERROR(TRIM(INDEX('Pegar estudiantes'!$A$1:$BZ$1001,662,K$2)&amp;""),""))</f>
        <v/>
      </c>
      <c r="L663" s="25">
        <f>IF(A663&lt;&gt;"",1,"")</f>
        <v/>
      </c>
      <c r="M663" s="25">
        <f>IF(L663=1,IF(ISNUMBER(FIND("#"&amp;MID(A663,1,1)&amp;"#","#0#1#2#3#4#5#6#7#8#9#")),IF(ISNUMBER(FIND("#"&amp;MID(A663,2,1)&amp;"#","#0#1#2#3#4#5#6#7#8#9#")),IF(AND(VALUE(LEFT(A663,2))&gt;=1,VALUE(LEFT(A663,2))&lt;=5),VALUE(LEFT(A663,2)),""),IF(AND(VALUE(LEFT(A663,1))&gt;=1,VALUE(LEFT(A663,1))&lt;=5),VALUE(LEFT(A663,1)),"")),""),"")</f>
        <v/>
      </c>
      <c r="N663" s="25">
        <f>IF(L663=1,IF(ISNUMBER(FIND("#"&amp;MID(H663,1,1)&amp;"#","#0#1#2#3#4#5#6#7#8#9#")),IF(ISNUMBER(FIND("#"&amp;MID(H663,2,1)&amp;"#","#0#1#2#3#4#5#6#7#8#9#")),IF(AND(VALUE(LEFT(H663,2))&gt;=1,VALUE(LEFT(H663,2))&lt;=5),VALUE(LEFT(H663,2)),""),IF(AND(VALUE(LEFT(H663,1))&gt;=1,VALUE(LEFT(H663,1))&lt;=5),VALUE(LEFT(H663,1)),"")),""),"")</f>
        <v/>
      </c>
      <c r="O663" s="25">
        <f>IF(AND(L663=1,B663&lt;&gt;""),SUBSTITUTE(SUBSTITUTE(SUBSTITUTE(SUBSTITUTE(SUBSTITUTE(SUBSTITUTE(SUBSTITUTE(SUBSTITUTE(SUBSTITUTE(SUBSTITUTE(SUBSTITUTE(SUBSTITUTE(LOWER(TRIM(B663)),"á","a"),"é","e"),"í","i"),"ó","o"),"ú","u"),"ü","u"),"ñ","n"),"à","a"),"è","e"),"ì","i"),"ò","o"),"ù","u"),"")</f>
        <v/>
      </c>
      <c r="P663" s="25">
        <f>IF(AND(L663=1,C663&lt;&gt;""),SUBSTITUTE(SUBSTITUTE(SUBSTITUTE(SUBSTITUTE(SUBSTITUTE(SUBSTITUTE(SUBSTITUTE(SUBSTITUTE(SUBSTITUTE(SUBSTITUTE(SUBSTITUTE(SUBSTITUTE(LOWER(TRIM(C663)),"á","a"),"é","e"),"í","i"),"ó","o"),"ú","u"),"ü","u"),"ñ","n"),"à","a"),"è","e"),"ì","i"),"ò","o"),"ù","u"),"")</f>
        <v/>
      </c>
      <c r="Q663" s="25">
        <f>IF(AND(L663=1,E663&lt;&gt;""),SUBSTITUTE(SUBSTITUTE(SUBSTITUTE(SUBSTITUTE(SUBSTITUTE(SUBSTITUTE(SUBSTITUTE(SUBSTITUTE(SUBSTITUTE(SUBSTITUTE(SUBSTITUTE(SUBSTITUTE(LOWER(TRIM(E663)),"á","a"),"é","e"),"í","i"),"ó","o"),"ú","u"),"ü","u"),"ñ","n"),"à","a"),"è","e"),"ì","i"),"ò","o"),"ù","u"),"")</f>
        <v/>
      </c>
      <c r="R663" s="25">
        <f>IF(AND(L663=1,I663&lt;&gt;""),SUBSTITUTE(SUBSTITUTE(SUBSTITUTE(SUBSTITUTE(SUBSTITUTE(SUBSTITUTE(SUBSTITUTE(SUBSTITUTE(SUBSTITUTE(SUBSTITUTE(SUBSTITUTE(SUBSTITUTE(LOWER(TRIM(I663)),"á","a"),"é","e"),"í","i"),"ó","o"),"ú","u"),"ü","u"),"ñ","n"),"à","a"),"è","e"),"ì","i"),"ò","o"),"ù","u"),"")</f>
        <v/>
      </c>
      <c r="S663" s="25">
        <f>IF(R663="","",IF(OR(R663="si",R663="tal vez"),1,0))</f>
        <v/>
      </c>
      <c r="T663" s="25">
        <f>IF(AND(L663=1,D663&lt;&gt;""),IF(IFERROR(COUNTIFS(D$3:D663,"="&amp;SUBSTITUTE(SUBSTITUTE(SUBSTITUTE(D663,"~","~~"),"*","~*"),"?","~?"),L$3:L663,1),0)=1,MAX(T$2:T662)+1,""),"")</f>
        <v/>
      </c>
      <c r="U663" s="25">
        <f>IF(T663="","",COUNTIFS($D$3:$D$1002,"="&amp;SUBSTITUTE(SUBSTITUTE(SUBSTITUTE(D663,"~","~~"),"*","~*"),"?","~?"),$L$3:$L$1002,1)*10000-T663)</f>
        <v/>
      </c>
      <c r="V663" s="25">
        <f>IF(AND(L663=1,J663&lt;&gt;""),IF(IFERROR(COUNTIFS(J$3:J663,"="&amp;SUBSTITUTE(SUBSTITUTE(SUBSTITUTE(J663,"~","~~"),"*","~*"),"?","~?"),L$3:L663,1),0)=1,MAX(V$2:V662)+1,""),"")</f>
        <v/>
      </c>
      <c r="W663" s="25">
        <f>IF(V663="","",COUNTIFS($J$3:$J$1002,"="&amp;SUBSTITUTE(SUBSTITUTE(SUBSTITUTE(J663,"~","~~"),"*","~*"),"?","~?"),$L$3:$L$1002,1)*10000-V663)</f>
        <v/>
      </c>
    </row>
    <row r="664">
      <c r="A664">
        <f>IF(A$2=0,"",IFERROR(TRIM(INDEX('Pegar estudiantes'!$A$1:$BZ$1001,663,A$2)&amp;""),""))</f>
        <v/>
      </c>
      <c r="B664">
        <f>IF(B$2=0,"",IFERROR(TRIM(INDEX('Pegar estudiantes'!$A$1:$BZ$1001,663,B$2)&amp;""),""))</f>
        <v/>
      </c>
      <c r="C664">
        <f>IF(C$2=0,"",IFERROR(TRIM(INDEX('Pegar estudiantes'!$A$1:$BZ$1001,663,C$2)&amp;""),""))</f>
        <v/>
      </c>
      <c r="D664">
        <f>IF(D$2=0,"",IFERROR(TRIM(INDEX('Pegar estudiantes'!$A$1:$BZ$1001,663,D$2)&amp;""),""))</f>
        <v/>
      </c>
      <c r="E664">
        <f>IF(E$2=0,"",IFERROR(TRIM(INDEX('Pegar estudiantes'!$A$1:$BZ$1001,663,E$2)&amp;""),""))</f>
        <v/>
      </c>
      <c r="F664">
        <f>IF(F$2=0,"",IFERROR(TRIM(INDEX('Pegar estudiantes'!$A$1:$BZ$1001,663,F$2)&amp;""),""))</f>
        <v/>
      </c>
      <c r="G664">
        <f>IF(G$2=0,"",IFERROR(TRIM(INDEX('Pegar estudiantes'!$A$1:$BZ$1001,663,G$2)&amp;""),""))</f>
        <v/>
      </c>
      <c r="H664">
        <f>IF(H$2=0,"",IFERROR(TRIM(INDEX('Pegar estudiantes'!$A$1:$BZ$1001,663,H$2)&amp;""),""))</f>
        <v/>
      </c>
      <c r="I664">
        <f>IF(I$2=0,"",IFERROR(TRIM(INDEX('Pegar estudiantes'!$A$1:$BZ$1001,663,I$2)&amp;""),""))</f>
        <v/>
      </c>
      <c r="J664">
        <f>IF(J$2=0,"",IFERROR(TRIM(INDEX('Pegar estudiantes'!$A$1:$BZ$1001,663,J$2)&amp;""),""))</f>
        <v/>
      </c>
      <c r="K664">
        <f>IF(K$2=0,"",IFERROR(TRIM(INDEX('Pegar estudiantes'!$A$1:$BZ$1001,663,K$2)&amp;""),""))</f>
        <v/>
      </c>
      <c r="L664" s="25">
        <f>IF(A664&lt;&gt;"",1,"")</f>
        <v/>
      </c>
      <c r="M664" s="25">
        <f>IF(L664=1,IF(ISNUMBER(FIND("#"&amp;MID(A664,1,1)&amp;"#","#0#1#2#3#4#5#6#7#8#9#")),IF(ISNUMBER(FIND("#"&amp;MID(A664,2,1)&amp;"#","#0#1#2#3#4#5#6#7#8#9#")),IF(AND(VALUE(LEFT(A664,2))&gt;=1,VALUE(LEFT(A664,2))&lt;=5),VALUE(LEFT(A664,2)),""),IF(AND(VALUE(LEFT(A664,1))&gt;=1,VALUE(LEFT(A664,1))&lt;=5),VALUE(LEFT(A664,1)),"")),""),"")</f>
        <v/>
      </c>
      <c r="N664" s="25">
        <f>IF(L664=1,IF(ISNUMBER(FIND("#"&amp;MID(H664,1,1)&amp;"#","#0#1#2#3#4#5#6#7#8#9#")),IF(ISNUMBER(FIND("#"&amp;MID(H664,2,1)&amp;"#","#0#1#2#3#4#5#6#7#8#9#")),IF(AND(VALUE(LEFT(H664,2))&gt;=1,VALUE(LEFT(H664,2))&lt;=5),VALUE(LEFT(H664,2)),""),IF(AND(VALUE(LEFT(H664,1))&gt;=1,VALUE(LEFT(H664,1))&lt;=5),VALUE(LEFT(H664,1)),"")),""),"")</f>
        <v/>
      </c>
      <c r="O664" s="25">
        <f>IF(AND(L664=1,B664&lt;&gt;""),SUBSTITUTE(SUBSTITUTE(SUBSTITUTE(SUBSTITUTE(SUBSTITUTE(SUBSTITUTE(SUBSTITUTE(SUBSTITUTE(SUBSTITUTE(SUBSTITUTE(SUBSTITUTE(SUBSTITUTE(LOWER(TRIM(B664)),"á","a"),"é","e"),"í","i"),"ó","o"),"ú","u"),"ü","u"),"ñ","n"),"à","a"),"è","e"),"ì","i"),"ò","o"),"ù","u"),"")</f>
        <v/>
      </c>
      <c r="P664" s="25">
        <f>IF(AND(L664=1,C664&lt;&gt;""),SUBSTITUTE(SUBSTITUTE(SUBSTITUTE(SUBSTITUTE(SUBSTITUTE(SUBSTITUTE(SUBSTITUTE(SUBSTITUTE(SUBSTITUTE(SUBSTITUTE(SUBSTITUTE(SUBSTITUTE(LOWER(TRIM(C664)),"á","a"),"é","e"),"í","i"),"ó","o"),"ú","u"),"ü","u"),"ñ","n"),"à","a"),"è","e"),"ì","i"),"ò","o"),"ù","u"),"")</f>
        <v/>
      </c>
      <c r="Q664" s="25">
        <f>IF(AND(L664=1,E664&lt;&gt;""),SUBSTITUTE(SUBSTITUTE(SUBSTITUTE(SUBSTITUTE(SUBSTITUTE(SUBSTITUTE(SUBSTITUTE(SUBSTITUTE(SUBSTITUTE(SUBSTITUTE(SUBSTITUTE(SUBSTITUTE(LOWER(TRIM(E664)),"á","a"),"é","e"),"í","i"),"ó","o"),"ú","u"),"ü","u"),"ñ","n"),"à","a"),"è","e"),"ì","i"),"ò","o"),"ù","u"),"")</f>
        <v/>
      </c>
      <c r="R664" s="25">
        <f>IF(AND(L664=1,I664&lt;&gt;""),SUBSTITUTE(SUBSTITUTE(SUBSTITUTE(SUBSTITUTE(SUBSTITUTE(SUBSTITUTE(SUBSTITUTE(SUBSTITUTE(SUBSTITUTE(SUBSTITUTE(SUBSTITUTE(SUBSTITUTE(LOWER(TRIM(I664)),"á","a"),"é","e"),"í","i"),"ó","o"),"ú","u"),"ü","u"),"ñ","n"),"à","a"),"è","e"),"ì","i"),"ò","o"),"ù","u"),"")</f>
        <v/>
      </c>
      <c r="S664" s="25">
        <f>IF(R664="","",IF(OR(R664="si",R664="tal vez"),1,0))</f>
        <v/>
      </c>
      <c r="T664" s="25">
        <f>IF(AND(L664=1,D664&lt;&gt;""),IF(IFERROR(COUNTIFS(D$3:D664,"="&amp;SUBSTITUTE(SUBSTITUTE(SUBSTITUTE(D664,"~","~~"),"*","~*"),"?","~?"),L$3:L664,1),0)=1,MAX(T$2:T663)+1,""),"")</f>
        <v/>
      </c>
      <c r="U664" s="25">
        <f>IF(T664="","",COUNTIFS($D$3:$D$1002,"="&amp;SUBSTITUTE(SUBSTITUTE(SUBSTITUTE(D664,"~","~~"),"*","~*"),"?","~?"),$L$3:$L$1002,1)*10000-T664)</f>
        <v/>
      </c>
      <c r="V664" s="25">
        <f>IF(AND(L664=1,J664&lt;&gt;""),IF(IFERROR(COUNTIFS(J$3:J664,"="&amp;SUBSTITUTE(SUBSTITUTE(SUBSTITUTE(J664,"~","~~"),"*","~*"),"?","~?"),L$3:L664,1),0)=1,MAX(V$2:V663)+1,""),"")</f>
        <v/>
      </c>
      <c r="W664" s="25">
        <f>IF(V664="","",COUNTIFS($J$3:$J$1002,"="&amp;SUBSTITUTE(SUBSTITUTE(SUBSTITUTE(J664,"~","~~"),"*","~*"),"?","~?"),$L$3:$L$1002,1)*10000-V664)</f>
        <v/>
      </c>
    </row>
    <row r="665">
      <c r="A665">
        <f>IF(A$2=0,"",IFERROR(TRIM(INDEX('Pegar estudiantes'!$A$1:$BZ$1001,664,A$2)&amp;""),""))</f>
        <v/>
      </c>
      <c r="B665">
        <f>IF(B$2=0,"",IFERROR(TRIM(INDEX('Pegar estudiantes'!$A$1:$BZ$1001,664,B$2)&amp;""),""))</f>
        <v/>
      </c>
      <c r="C665">
        <f>IF(C$2=0,"",IFERROR(TRIM(INDEX('Pegar estudiantes'!$A$1:$BZ$1001,664,C$2)&amp;""),""))</f>
        <v/>
      </c>
      <c r="D665">
        <f>IF(D$2=0,"",IFERROR(TRIM(INDEX('Pegar estudiantes'!$A$1:$BZ$1001,664,D$2)&amp;""),""))</f>
        <v/>
      </c>
      <c r="E665">
        <f>IF(E$2=0,"",IFERROR(TRIM(INDEX('Pegar estudiantes'!$A$1:$BZ$1001,664,E$2)&amp;""),""))</f>
        <v/>
      </c>
      <c r="F665">
        <f>IF(F$2=0,"",IFERROR(TRIM(INDEX('Pegar estudiantes'!$A$1:$BZ$1001,664,F$2)&amp;""),""))</f>
        <v/>
      </c>
      <c r="G665">
        <f>IF(G$2=0,"",IFERROR(TRIM(INDEX('Pegar estudiantes'!$A$1:$BZ$1001,664,G$2)&amp;""),""))</f>
        <v/>
      </c>
      <c r="H665">
        <f>IF(H$2=0,"",IFERROR(TRIM(INDEX('Pegar estudiantes'!$A$1:$BZ$1001,664,H$2)&amp;""),""))</f>
        <v/>
      </c>
      <c r="I665">
        <f>IF(I$2=0,"",IFERROR(TRIM(INDEX('Pegar estudiantes'!$A$1:$BZ$1001,664,I$2)&amp;""),""))</f>
        <v/>
      </c>
      <c r="J665">
        <f>IF(J$2=0,"",IFERROR(TRIM(INDEX('Pegar estudiantes'!$A$1:$BZ$1001,664,J$2)&amp;""),""))</f>
        <v/>
      </c>
      <c r="K665">
        <f>IF(K$2=0,"",IFERROR(TRIM(INDEX('Pegar estudiantes'!$A$1:$BZ$1001,664,K$2)&amp;""),""))</f>
        <v/>
      </c>
      <c r="L665" s="25">
        <f>IF(A665&lt;&gt;"",1,"")</f>
        <v/>
      </c>
      <c r="M665" s="25">
        <f>IF(L665=1,IF(ISNUMBER(FIND("#"&amp;MID(A665,1,1)&amp;"#","#0#1#2#3#4#5#6#7#8#9#")),IF(ISNUMBER(FIND("#"&amp;MID(A665,2,1)&amp;"#","#0#1#2#3#4#5#6#7#8#9#")),IF(AND(VALUE(LEFT(A665,2))&gt;=1,VALUE(LEFT(A665,2))&lt;=5),VALUE(LEFT(A665,2)),""),IF(AND(VALUE(LEFT(A665,1))&gt;=1,VALUE(LEFT(A665,1))&lt;=5),VALUE(LEFT(A665,1)),"")),""),"")</f>
        <v/>
      </c>
      <c r="N665" s="25">
        <f>IF(L665=1,IF(ISNUMBER(FIND("#"&amp;MID(H665,1,1)&amp;"#","#0#1#2#3#4#5#6#7#8#9#")),IF(ISNUMBER(FIND("#"&amp;MID(H665,2,1)&amp;"#","#0#1#2#3#4#5#6#7#8#9#")),IF(AND(VALUE(LEFT(H665,2))&gt;=1,VALUE(LEFT(H665,2))&lt;=5),VALUE(LEFT(H665,2)),""),IF(AND(VALUE(LEFT(H665,1))&gt;=1,VALUE(LEFT(H665,1))&lt;=5),VALUE(LEFT(H665,1)),"")),""),"")</f>
        <v/>
      </c>
      <c r="O665" s="25">
        <f>IF(AND(L665=1,B665&lt;&gt;""),SUBSTITUTE(SUBSTITUTE(SUBSTITUTE(SUBSTITUTE(SUBSTITUTE(SUBSTITUTE(SUBSTITUTE(SUBSTITUTE(SUBSTITUTE(SUBSTITUTE(SUBSTITUTE(SUBSTITUTE(LOWER(TRIM(B665)),"á","a"),"é","e"),"í","i"),"ó","o"),"ú","u"),"ü","u"),"ñ","n"),"à","a"),"è","e"),"ì","i"),"ò","o"),"ù","u"),"")</f>
        <v/>
      </c>
      <c r="P665" s="25">
        <f>IF(AND(L665=1,C665&lt;&gt;""),SUBSTITUTE(SUBSTITUTE(SUBSTITUTE(SUBSTITUTE(SUBSTITUTE(SUBSTITUTE(SUBSTITUTE(SUBSTITUTE(SUBSTITUTE(SUBSTITUTE(SUBSTITUTE(SUBSTITUTE(LOWER(TRIM(C665)),"á","a"),"é","e"),"í","i"),"ó","o"),"ú","u"),"ü","u"),"ñ","n"),"à","a"),"è","e"),"ì","i"),"ò","o"),"ù","u"),"")</f>
        <v/>
      </c>
      <c r="Q665" s="25">
        <f>IF(AND(L665=1,E665&lt;&gt;""),SUBSTITUTE(SUBSTITUTE(SUBSTITUTE(SUBSTITUTE(SUBSTITUTE(SUBSTITUTE(SUBSTITUTE(SUBSTITUTE(SUBSTITUTE(SUBSTITUTE(SUBSTITUTE(SUBSTITUTE(LOWER(TRIM(E665)),"á","a"),"é","e"),"í","i"),"ó","o"),"ú","u"),"ü","u"),"ñ","n"),"à","a"),"è","e"),"ì","i"),"ò","o"),"ù","u"),"")</f>
        <v/>
      </c>
      <c r="R665" s="25">
        <f>IF(AND(L665=1,I665&lt;&gt;""),SUBSTITUTE(SUBSTITUTE(SUBSTITUTE(SUBSTITUTE(SUBSTITUTE(SUBSTITUTE(SUBSTITUTE(SUBSTITUTE(SUBSTITUTE(SUBSTITUTE(SUBSTITUTE(SUBSTITUTE(LOWER(TRIM(I665)),"á","a"),"é","e"),"í","i"),"ó","o"),"ú","u"),"ü","u"),"ñ","n"),"à","a"),"è","e"),"ì","i"),"ò","o"),"ù","u"),"")</f>
        <v/>
      </c>
      <c r="S665" s="25">
        <f>IF(R665="","",IF(OR(R665="si",R665="tal vez"),1,0))</f>
        <v/>
      </c>
      <c r="T665" s="25">
        <f>IF(AND(L665=1,D665&lt;&gt;""),IF(IFERROR(COUNTIFS(D$3:D665,"="&amp;SUBSTITUTE(SUBSTITUTE(SUBSTITUTE(D665,"~","~~"),"*","~*"),"?","~?"),L$3:L665,1),0)=1,MAX(T$2:T664)+1,""),"")</f>
        <v/>
      </c>
      <c r="U665" s="25">
        <f>IF(T665="","",COUNTIFS($D$3:$D$1002,"="&amp;SUBSTITUTE(SUBSTITUTE(SUBSTITUTE(D665,"~","~~"),"*","~*"),"?","~?"),$L$3:$L$1002,1)*10000-T665)</f>
        <v/>
      </c>
      <c r="V665" s="25">
        <f>IF(AND(L665=1,J665&lt;&gt;""),IF(IFERROR(COUNTIFS(J$3:J665,"="&amp;SUBSTITUTE(SUBSTITUTE(SUBSTITUTE(J665,"~","~~"),"*","~*"),"?","~?"),L$3:L665,1),0)=1,MAX(V$2:V664)+1,""),"")</f>
        <v/>
      </c>
      <c r="W665" s="25">
        <f>IF(V665="","",COUNTIFS($J$3:$J$1002,"="&amp;SUBSTITUTE(SUBSTITUTE(SUBSTITUTE(J665,"~","~~"),"*","~*"),"?","~?"),$L$3:$L$1002,1)*10000-V665)</f>
        <v/>
      </c>
    </row>
    <row r="666">
      <c r="A666">
        <f>IF(A$2=0,"",IFERROR(TRIM(INDEX('Pegar estudiantes'!$A$1:$BZ$1001,665,A$2)&amp;""),""))</f>
        <v/>
      </c>
      <c r="B666">
        <f>IF(B$2=0,"",IFERROR(TRIM(INDEX('Pegar estudiantes'!$A$1:$BZ$1001,665,B$2)&amp;""),""))</f>
        <v/>
      </c>
      <c r="C666">
        <f>IF(C$2=0,"",IFERROR(TRIM(INDEX('Pegar estudiantes'!$A$1:$BZ$1001,665,C$2)&amp;""),""))</f>
        <v/>
      </c>
      <c r="D666">
        <f>IF(D$2=0,"",IFERROR(TRIM(INDEX('Pegar estudiantes'!$A$1:$BZ$1001,665,D$2)&amp;""),""))</f>
        <v/>
      </c>
      <c r="E666">
        <f>IF(E$2=0,"",IFERROR(TRIM(INDEX('Pegar estudiantes'!$A$1:$BZ$1001,665,E$2)&amp;""),""))</f>
        <v/>
      </c>
      <c r="F666">
        <f>IF(F$2=0,"",IFERROR(TRIM(INDEX('Pegar estudiantes'!$A$1:$BZ$1001,665,F$2)&amp;""),""))</f>
        <v/>
      </c>
      <c r="G666">
        <f>IF(G$2=0,"",IFERROR(TRIM(INDEX('Pegar estudiantes'!$A$1:$BZ$1001,665,G$2)&amp;""),""))</f>
        <v/>
      </c>
      <c r="H666">
        <f>IF(H$2=0,"",IFERROR(TRIM(INDEX('Pegar estudiantes'!$A$1:$BZ$1001,665,H$2)&amp;""),""))</f>
        <v/>
      </c>
      <c r="I666">
        <f>IF(I$2=0,"",IFERROR(TRIM(INDEX('Pegar estudiantes'!$A$1:$BZ$1001,665,I$2)&amp;""),""))</f>
        <v/>
      </c>
      <c r="J666">
        <f>IF(J$2=0,"",IFERROR(TRIM(INDEX('Pegar estudiantes'!$A$1:$BZ$1001,665,J$2)&amp;""),""))</f>
        <v/>
      </c>
      <c r="K666">
        <f>IF(K$2=0,"",IFERROR(TRIM(INDEX('Pegar estudiantes'!$A$1:$BZ$1001,665,K$2)&amp;""),""))</f>
        <v/>
      </c>
      <c r="L666" s="25">
        <f>IF(A666&lt;&gt;"",1,"")</f>
        <v/>
      </c>
      <c r="M666" s="25">
        <f>IF(L666=1,IF(ISNUMBER(FIND("#"&amp;MID(A666,1,1)&amp;"#","#0#1#2#3#4#5#6#7#8#9#")),IF(ISNUMBER(FIND("#"&amp;MID(A666,2,1)&amp;"#","#0#1#2#3#4#5#6#7#8#9#")),IF(AND(VALUE(LEFT(A666,2))&gt;=1,VALUE(LEFT(A666,2))&lt;=5),VALUE(LEFT(A666,2)),""),IF(AND(VALUE(LEFT(A666,1))&gt;=1,VALUE(LEFT(A666,1))&lt;=5),VALUE(LEFT(A666,1)),"")),""),"")</f>
        <v/>
      </c>
      <c r="N666" s="25">
        <f>IF(L666=1,IF(ISNUMBER(FIND("#"&amp;MID(H666,1,1)&amp;"#","#0#1#2#3#4#5#6#7#8#9#")),IF(ISNUMBER(FIND("#"&amp;MID(H666,2,1)&amp;"#","#0#1#2#3#4#5#6#7#8#9#")),IF(AND(VALUE(LEFT(H666,2))&gt;=1,VALUE(LEFT(H666,2))&lt;=5),VALUE(LEFT(H666,2)),""),IF(AND(VALUE(LEFT(H666,1))&gt;=1,VALUE(LEFT(H666,1))&lt;=5),VALUE(LEFT(H666,1)),"")),""),"")</f>
        <v/>
      </c>
      <c r="O666" s="25">
        <f>IF(AND(L666=1,B666&lt;&gt;""),SUBSTITUTE(SUBSTITUTE(SUBSTITUTE(SUBSTITUTE(SUBSTITUTE(SUBSTITUTE(SUBSTITUTE(SUBSTITUTE(SUBSTITUTE(SUBSTITUTE(SUBSTITUTE(SUBSTITUTE(LOWER(TRIM(B666)),"á","a"),"é","e"),"í","i"),"ó","o"),"ú","u"),"ü","u"),"ñ","n"),"à","a"),"è","e"),"ì","i"),"ò","o"),"ù","u"),"")</f>
        <v/>
      </c>
      <c r="P666" s="25">
        <f>IF(AND(L666=1,C666&lt;&gt;""),SUBSTITUTE(SUBSTITUTE(SUBSTITUTE(SUBSTITUTE(SUBSTITUTE(SUBSTITUTE(SUBSTITUTE(SUBSTITUTE(SUBSTITUTE(SUBSTITUTE(SUBSTITUTE(SUBSTITUTE(LOWER(TRIM(C666)),"á","a"),"é","e"),"í","i"),"ó","o"),"ú","u"),"ü","u"),"ñ","n"),"à","a"),"è","e"),"ì","i"),"ò","o"),"ù","u"),"")</f>
        <v/>
      </c>
      <c r="Q666" s="25">
        <f>IF(AND(L666=1,E666&lt;&gt;""),SUBSTITUTE(SUBSTITUTE(SUBSTITUTE(SUBSTITUTE(SUBSTITUTE(SUBSTITUTE(SUBSTITUTE(SUBSTITUTE(SUBSTITUTE(SUBSTITUTE(SUBSTITUTE(SUBSTITUTE(LOWER(TRIM(E666)),"á","a"),"é","e"),"í","i"),"ó","o"),"ú","u"),"ü","u"),"ñ","n"),"à","a"),"è","e"),"ì","i"),"ò","o"),"ù","u"),"")</f>
        <v/>
      </c>
      <c r="R666" s="25">
        <f>IF(AND(L666=1,I666&lt;&gt;""),SUBSTITUTE(SUBSTITUTE(SUBSTITUTE(SUBSTITUTE(SUBSTITUTE(SUBSTITUTE(SUBSTITUTE(SUBSTITUTE(SUBSTITUTE(SUBSTITUTE(SUBSTITUTE(SUBSTITUTE(LOWER(TRIM(I666)),"á","a"),"é","e"),"í","i"),"ó","o"),"ú","u"),"ü","u"),"ñ","n"),"à","a"),"è","e"),"ì","i"),"ò","o"),"ù","u"),"")</f>
        <v/>
      </c>
      <c r="S666" s="25">
        <f>IF(R666="","",IF(OR(R666="si",R666="tal vez"),1,0))</f>
        <v/>
      </c>
      <c r="T666" s="25">
        <f>IF(AND(L666=1,D666&lt;&gt;""),IF(IFERROR(COUNTIFS(D$3:D666,"="&amp;SUBSTITUTE(SUBSTITUTE(SUBSTITUTE(D666,"~","~~"),"*","~*"),"?","~?"),L$3:L666,1),0)=1,MAX(T$2:T665)+1,""),"")</f>
        <v/>
      </c>
      <c r="U666" s="25">
        <f>IF(T666="","",COUNTIFS($D$3:$D$1002,"="&amp;SUBSTITUTE(SUBSTITUTE(SUBSTITUTE(D666,"~","~~"),"*","~*"),"?","~?"),$L$3:$L$1002,1)*10000-T666)</f>
        <v/>
      </c>
      <c r="V666" s="25">
        <f>IF(AND(L666=1,J666&lt;&gt;""),IF(IFERROR(COUNTIFS(J$3:J666,"="&amp;SUBSTITUTE(SUBSTITUTE(SUBSTITUTE(J666,"~","~~"),"*","~*"),"?","~?"),L$3:L666,1),0)=1,MAX(V$2:V665)+1,""),"")</f>
        <v/>
      </c>
      <c r="W666" s="25">
        <f>IF(V666="","",COUNTIFS($J$3:$J$1002,"="&amp;SUBSTITUTE(SUBSTITUTE(SUBSTITUTE(J666,"~","~~"),"*","~*"),"?","~?"),$L$3:$L$1002,1)*10000-V666)</f>
        <v/>
      </c>
    </row>
    <row r="667">
      <c r="A667">
        <f>IF(A$2=0,"",IFERROR(TRIM(INDEX('Pegar estudiantes'!$A$1:$BZ$1001,666,A$2)&amp;""),""))</f>
        <v/>
      </c>
      <c r="B667">
        <f>IF(B$2=0,"",IFERROR(TRIM(INDEX('Pegar estudiantes'!$A$1:$BZ$1001,666,B$2)&amp;""),""))</f>
        <v/>
      </c>
      <c r="C667">
        <f>IF(C$2=0,"",IFERROR(TRIM(INDEX('Pegar estudiantes'!$A$1:$BZ$1001,666,C$2)&amp;""),""))</f>
        <v/>
      </c>
      <c r="D667">
        <f>IF(D$2=0,"",IFERROR(TRIM(INDEX('Pegar estudiantes'!$A$1:$BZ$1001,666,D$2)&amp;""),""))</f>
        <v/>
      </c>
      <c r="E667">
        <f>IF(E$2=0,"",IFERROR(TRIM(INDEX('Pegar estudiantes'!$A$1:$BZ$1001,666,E$2)&amp;""),""))</f>
        <v/>
      </c>
      <c r="F667">
        <f>IF(F$2=0,"",IFERROR(TRIM(INDEX('Pegar estudiantes'!$A$1:$BZ$1001,666,F$2)&amp;""),""))</f>
        <v/>
      </c>
      <c r="G667">
        <f>IF(G$2=0,"",IFERROR(TRIM(INDEX('Pegar estudiantes'!$A$1:$BZ$1001,666,G$2)&amp;""),""))</f>
        <v/>
      </c>
      <c r="H667">
        <f>IF(H$2=0,"",IFERROR(TRIM(INDEX('Pegar estudiantes'!$A$1:$BZ$1001,666,H$2)&amp;""),""))</f>
        <v/>
      </c>
      <c r="I667">
        <f>IF(I$2=0,"",IFERROR(TRIM(INDEX('Pegar estudiantes'!$A$1:$BZ$1001,666,I$2)&amp;""),""))</f>
        <v/>
      </c>
      <c r="J667">
        <f>IF(J$2=0,"",IFERROR(TRIM(INDEX('Pegar estudiantes'!$A$1:$BZ$1001,666,J$2)&amp;""),""))</f>
        <v/>
      </c>
      <c r="K667">
        <f>IF(K$2=0,"",IFERROR(TRIM(INDEX('Pegar estudiantes'!$A$1:$BZ$1001,666,K$2)&amp;""),""))</f>
        <v/>
      </c>
      <c r="L667" s="25">
        <f>IF(A667&lt;&gt;"",1,"")</f>
        <v/>
      </c>
      <c r="M667" s="25">
        <f>IF(L667=1,IF(ISNUMBER(FIND("#"&amp;MID(A667,1,1)&amp;"#","#0#1#2#3#4#5#6#7#8#9#")),IF(ISNUMBER(FIND("#"&amp;MID(A667,2,1)&amp;"#","#0#1#2#3#4#5#6#7#8#9#")),IF(AND(VALUE(LEFT(A667,2))&gt;=1,VALUE(LEFT(A667,2))&lt;=5),VALUE(LEFT(A667,2)),""),IF(AND(VALUE(LEFT(A667,1))&gt;=1,VALUE(LEFT(A667,1))&lt;=5),VALUE(LEFT(A667,1)),"")),""),"")</f>
        <v/>
      </c>
      <c r="N667" s="25">
        <f>IF(L667=1,IF(ISNUMBER(FIND("#"&amp;MID(H667,1,1)&amp;"#","#0#1#2#3#4#5#6#7#8#9#")),IF(ISNUMBER(FIND("#"&amp;MID(H667,2,1)&amp;"#","#0#1#2#3#4#5#6#7#8#9#")),IF(AND(VALUE(LEFT(H667,2))&gt;=1,VALUE(LEFT(H667,2))&lt;=5),VALUE(LEFT(H667,2)),""),IF(AND(VALUE(LEFT(H667,1))&gt;=1,VALUE(LEFT(H667,1))&lt;=5),VALUE(LEFT(H667,1)),"")),""),"")</f>
        <v/>
      </c>
      <c r="O667" s="25">
        <f>IF(AND(L667=1,B667&lt;&gt;""),SUBSTITUTE(SUBSTITUTE(SUBSTITUTE(SUBSTITUTE(SUBSTITUTE(SUBSTITUTE(SUBSTITUTE(SUBSTITUTE(SUBSTITUTE(SUBSTITUTE(SUBSTITUTE(SUBSTITUTE(LOWER(TRIM(B667)),"á","a"),"é","e"),"í","i"),"ó","o"),"ú","u"),"ü","u"),"ñ","n"),"à","a"),"è","e"),"ì","i"),"ò","o"),"ù","u"),"")</f>
        <v/>
      </c>
      <c r="P667" s="25">
        <f>IF(AND(L667=1,C667&lt;&gt;""),SUBSTITUTE(SUBSTITUTE(SUBSTITUTE(SUBSTITUTE(SUBSTITUTE(SUBSTITUTE(SUBSTITUTE(SUBSTITUTE(SUBSTITUTE(SUBSTITUTE(SUBSTITUTE(SUBSTITUTE(LOWER(TRIM(C667)),"á","a"),"é","e"),"í","i"),"ó","o"),"ú","u"),"ü","u"),"ñ","n"),"à","a"),"è","e"),"ì","i"),"ò","o"),"ù","u"),"")</f>
        <v/>
      </c>
      <c r="Q667" s="25">
        <f>IF(AND(L667=1,E667&lt;&gt;""),SUBSTITUTE(SUBSTITUTE(SUBSTITUTE(SUBSTITUTE(SUBSTITUTE(SUBSTITUTE(SUBSTITUTE(SUBSTITUTE(SUBSTITUTE(SUBSTITUTE(SUBSTITUTE(SUBSTITUTE(LOWER(TRIM(E667)),"á","a"),"é","e"),"í","i"),"ó","o"),"ú","u"),"ü","u"),"ñ","n"),"à","a"),"è","e"),"ì","i"),"ò","o"),"ù","u"),"")</f>
        <v/>
      </c>
      <c r="R667" s="25">
        <f>IF(AND(L667=1,I667&lt;&gt;""),SUBSTITUTE(SUBSTITUTE(SUBSTITUTE(SUBSTITUTE(SUBSTITUTE(SUBSTITUTE(SUBSTITUTE(SUBSTITUTE(SUBSTITUTE(SUBSTITUTE(SUBSTITUTE(SUBSTITUTE(LOWER(TRIM(I667)),"á","a"),"é","e"),"í","i"),"ó","o"),"ú","u"),"ü","u"),"ñ","n"),"à","a"),"è","e"),"ì","i"),"ò","o"),"ù","u"),"")</f>
        <v/>
      </c>
      <c r="S667" s="25">
        <f>IF(R667="","",IF(OR(R667="si",R667="tal vez"),1,0))</f>
        <v/>
      </c>
      <c r="T667" s="25">
        <f>IF(AND(L667=1,D667&lt;&gt;""),IF(IFERROR(COUNTIFS(D$3:D667,"="&amp;SUBSTITUTE(SUBSTITUTE(SUBSTITUTE(D667,"~","~~"),"*","~*"),"?","~?"),L$3:L667,1),0)=1,MAX(T$2:T666)+1,""),"")</f>
        <v/>
      </c>
      <c r="U667" s="25">
        <f>IF(T667="","",COUNTIFS($D$3:$D$1002,"="&amp;SUBSTITUTE(SUBSTITUTE(SUBSTITUTE(D667,"~","~~"),"*","~*"),"?","~?"),$L$3:$L$1002,1)*10000-T667)</f>
        <v/>
      </c>
      <c r="V667" s="25">
        <f>IF(AND(L667=1,J667&lt;&gt;""),IF(IFERROR(COUNTIFS(J$3:J667,"="&amp;SUBSTITUTE(SUBSTITUTE(SUBSTITUTE(J667,"~","~~"),"*","~*"),"?","~?"),L$3:L667,1),0)=1,MAX(V$2:V666)+1,""),"")</f>
        <v/>
      </c>
      <c r="W667" s="25">
        <f>IF(V667="","",COUNTIFS($J$3:$J$1002,"="&amp;SUBSTITUTE(SUBSTITUTE(SUBSTITUTE(J667,"~","~~"),"*","~*"),"?","~?"),$L$3:$L$1002,1)*10000-V667)</f>
        <v/>
      </c>
    </row>
    <row r="668">
      <c r="A668">
        <f>IF(A$2=0,"",IFERROR(TRIM(INDEX('Pegar estudiantes'!$A$1:$BZ$1001,667,A$2)&amp;""),""))</f>
        <v/>
      </c>
      <c r="B668">
        <f>IF(B$2=0,"",IFERROR(TRIM(INDEX('Pegar estudiantes'!$A$1:$BZ$1001,667,B$2)&amp;""),""))</f>
        <v/>
      </c>
      <c r="C668">
        <f>IF(C$2=0,"",IFERROR(TRIM(INDEX('Pegar estudiantes'!$A$1:$BZ$1001,667,C$2)&amp;""),""))</f>
        <v/>
      </c>
      <c r="D668">
        <f>IF(D$2=0,"",IFERROR(TRIM(INDEX('Pegar estudiantes'!$A$1:$BZ$1001,667,D$2)&amp;""),""))</f>
        <v/>
      </c>
      <c r="E668">
        <f>IF(E$2=0,"",IFERROR(TRIM(INDEX('Pegar estudiantes'!$A$1:$BZ$1001,667,E$2)&amp;""),""))</f>
        <v/>
      </c>
      <c r="F668">
        <f>IF(F$2=0,"",IFERROR(TRIM(INDEX('Pegar estudiantes'!$A$1:$BZ$1001,667,F$2)&amp;""),""))</f>
        <v/>
      </c>
      <c r="G668">
        <f>IF(G$2=0,"",IFERROR(TRIM(INDEX('Pegar estudiantes'!$A$1:$BZ$1001,667,G$2)&amp;""),""))</f>
        <v/>
      </c>
      <c r="H668">
        <f>IF(H$2=0,"",IFERROR(TRIM(INDEX('Pegar estudiantes'!$A$1:$BZ$1001,667,H$2)&amp;""),""))</f>
        <v/>
      </c>
      <c r="I668">
        <f>IF(I$2=0,"",IFERROR(TRIM(INDEX('Pegar estudiantes'!$A$1:$BZ$1001,667,I$2)&amp;""),""))</f>
        <v/>
      </c>
      <c r="J668">
        <f>IF(J$2=0,"",IFERROR(TRIM(INDEX('Pegar estudiantes'!$A$1:$BZ$1001,667,J$2)&amp;""),""))</f>
        <v/>
      </c>
      <c r="K668">
        <f>IF(K$2=0,"",IFERROR(TRIM(INDEX('Pegar estudiantes'!$A$1:$BZ$1001,667,K$2)&amp;""),""))</f>
        <v/>
      </c>
      <c r="L668" s="25">
        <f>IF(A668&lt;&gt;"",1,"")</f>
        <v/>
      </c>
      <c r="M668" s="25">
        <f>IF(L668=1,IF(ISNUMBER(FIND("#"&amp;MID(A668,1,1)&amp;"#","#0#1#2#3#4#5#6#7#8#9#")),IF(ISNUMBER(FIND("#"&amp;MID(A668,2,1)&amp;"#","#0#1#2#3#4#5#6#7#8#9#")),IF(AND(VALUE(LEFT(A668,2))&gt;=1,VALUE(LEFT(A668,2))&lt;=5),VALUE(LEFT(A668,2)),""),IF(AND(VALUE(LEFT(A668,1))&gt;=1,VALUE(LEFT(A668,1))&lt;=5),VALUE(LEFT(A668,1)),"")),""),"")</f>
        <v/>
      </c>
      <c r="N668" s="25">
        <f>IF(L668=1,IF(ISNUMBER(FIND("#"&amp;MID(H668,1,1)&amp;"#","#0#1#2#3#4#5#6#7#8#9#")),IF(ISNUMBER(FIND("#"&amp;MID(H668,2,1)&amp;"#","#0#1#2#3#4#5#6#7#8#9#")),IF(AND(VALUE(LEFT(H668,2))&gt;=1,VALUE(LEFT(H668,2))&lt;=5),VALUE(LEFT(H668,2)),""),IF(AND(VALUE(LEFT(H668,1))&gt;=1,VALUE(LEFT(H668,1))&lt;=5),VALUE(LEFT(H668,1)),"")),""),"")</f>
        <v/>
      </c>
      <c r="O668" s="25">
        <f>IF(AND(L668=1,B668&lt;&gt;""),SUBSTITUTE(SUBSTITUTE(SUBSTITUTE(SUBSTITUTE(SUBSTITUTE(SUBSTITUTE(SUBSTITUTE(SUBSTITUTE(SUBSTITUTE(SUBSTITUTE(SUBSTITUTE(SUBSTITUTE(LOWER(TRIM(B668)),"á","a"),"é","e"),"í","i"),"ó","o"),"ú","u"),"ü","u"),"ñ","n"),"à","a"),"è","e"),"ì","i"),"ò","o"),"ù","u"),"")</f>
        <v/>
      </c>
      <c r="P668" s="25">
        <f>IF(AND(L668=1,C668&lt;&gt;""),SUBSTITUTE(SUBSTITUTE(SUBSTITUTE(SUBSTITUTE(SUBSTITUTE(SUBSTITUTE(SUBSTITUTE(SUBSTITUTE(SUBSTITUTE(SUBSTITUTE(SUBSTITUTE(SUBSTITUTE(LOWER(TRIM(C668)),"á","a"),"é","e"),"í","i"),"ó","o"),"ú","u"),"ü","u"),"ñ","n"),"à","a"),"è","e"),"ì","i"),"ò","o"),"ù","u"),"")</f>
        <v/>
      </c>
      <c r="Q668" s="25">
        <f>IF(AND(L668=1,E668&lt;&gt;""),SUBSTITUTE(SUBSTITUTE(SUBSTITUTE(SUBSTITUTE(SUBSTITUTE(SUBSTITUTE(SUBSTITUTE(SUBSTITUTE(SUBSTITUTE(SUBSTITUTE(SUBSTITUTE(SUBSTITUTE(LOWER(TRIM(E668)),"á","a"),"é","e"),"í","i"),"ó","o"),"ú","u"),"ü","u"),"ñ","n"),"à","a"),"è","e"),"ì","i"),"ò","o"),"ù","u"),"")</f>
        <v/>
      </c>
      <c r="R668" s="25">
        <f>IF(AND(L668=1,I668&lt;&gt;""),SUBSTITUTE(SUBSTITUTE(SUBSTITUTE(SUBSTITUTE(SUBSTITUTE(SUBSTITUTE(SUBSTITUTE(SUBSTITUTE(SUBSTITUTE(SUBSTITUTE(SUBSTITUTE(SUBSTITUTE(LOWER(TRIM(I668)),"á","a"),"é","e"),"í","i"),"ó","o"),"ú","u"),"ü","u"),"ñ","n"),"à","a"),"è","e"),"ì","i"),"ò","o"),"ù","u"),"")</f>
        <v/>
      </c>
      <c r="S668" s="25">
        <f>IF(R668="","",IF(OR(R668="si",R668="tal vez"),1,0))</f>
        <v/>
      </c>
      <c r="T668" s="25">
        <f>IF(AND(L668=1,D668&lt;&gt;""),IF(IFERROR(COUNTIFS(D$3:D668,"="&amp;SUBSTITUTE(SUBSTITUTE(SUBSTITUTE(D668,"~","~~"),"*","~*"),"?","~?"),L$3:L668,1),0)=1,MAX(T$2:T667)+1,""),"")</f>
        <v/>
      </c>
      <c r="U668" s="25">
        <f>IF(T668="","",COUNTIFS($D$3:$D$1002,"="&amp;SUBSTITUTE(SUBSTITUTE(SUBSTITUTE(D668,"~","~~"),"*","~*"),"?","~?"),$L$3:$L$1002,1)*10000-T668)</f>
        <v/>
      </c>
      <c r="V668" s="25">
        <f>IF(AND(L668=1,J668&lt;&gt;""),IF(IFERROR(COUNTIFS(J$3:J668,"="&amp;SUBSTITUTE(SUBSTITUTE(SUBSTITUTE(J668,"~","~~"),"*","~*"),"?","~?"),L$3:L668,1),0)=1,MAX(V$2:V667)+1,""),"")</f>
        <v/>
      </c>
      <c r="W668" s="25">
        <f>IF(V668="","",COUNTIFS($J$3:$J$1002,"="&amp;SUBSTITUTE(SUBSTITUTE(SUBSTITUTE(J668,"~","~~"),"*","~*"),"?","~?"),$L$3:$L$1002,1)*10000-V668)</f>
        <v/>
      </c>
    </row>
    <row r="669">
      <c r="A669">
        <f>IF(A$2=0,"",IFERROR(TRIM(INDEX('Pegar estudiantes'!$A$1:$BZ$1001,668,A$2)&amp;""),""))</f>
        <v/>
      </c>
      <c r="B669">
        <f>IF(B$2=0,"",IFERROR(TRIM(INDEX('Pegar estudiantes'!$A$1:$BZ$1001,668,B$2)&amp;""),""))</f>
        <v/>
      </c>
      <c r="C669">
        <f>IF(C$2=0,"",IFERROR(TRIM(INDEX('Pegar estudiantes'!$A$1:$BZ$1001,668,C$2)&amp;""),""))</f>
        <v/>
      </c>
      <c r="D669">
        <f>IF(D$2=0,"",IFERROR(TRIM(INDEX('Pegar estudiantes'!$A$1:$BZ$1001,668,D$2)&amp;""),""))</f>
        <v/>
      </c>
      <c r="E669">
        <f>IF(E$2=0,"",IFERROR(TRIM(INDEX('Pegar estudiantes'!$A$1:$BZ$1001,668,E$2)&amp;""),""))</f>
        <v/>
      </c>
      <c r="F669">
        <f>IF(F$2=0,"",IFERROR(TRIM(INDEX('Pegar estudiantes'!$A$1:$BZ$1001,668,F$2)&amp;""),""))</f>
        <v/>
      </c>
      <c r="G669">
        <f>IF(G$2=0,"",IFERROR(TRIM(INDEX('Pegar estudiantes'!$A$1:$BZ$1001,668,G$2)&amp;""),""))</f>
        <v/>
      </c>
      <c r="H669">
        <f>IF(H$2=0,"",IFERROR(TRIM(INDEX('Pegar estudiantes'!$A$1:$BZ$1001,668,H$2)&amp;""),""))</f>
        <v/>
      </c>
      <c r="I669">
        <f>IF(I$2=0,"",IFERROR(TRIM(INDEX('Pegar estudiantes'!$A$1:$BZ$1001,668,I$2)&amp;""),""))</f>
        <v/>
      </c>
      <c r="J669">
        <f>IF(J$2=0,"",IFERROR(TRIM(INDEX('Pegar estudiantes'!$A$1:$BZ$1001,668,J$2)&amp;""),""))</f>
        <v/>
      </c>
      <c r="K669">
        <f>IF(K$2=0,"",IFERROR(TRIM(INDEX('Pegar estudiantes'!$A$1:$BZ$1001,668,K$2)&amp;""),""))</f>
        <v/>
      </c>
      <c r="L669" s="25">
        <f>IF(A669&lt;&gt;"",1,"")</f>
        <v/>
      </c>
      <c r="M669" s="25">
        <f>IF(L669=1,IF(ISNUMBER(FIND("#"&amp;MID(A669,1,1)&amp;"#","#0#1#2#3#4#5#6#7#8#9#")),IF(ISNUMBER(FIND("#"&amp;MID(A669,2,1)&amp;"#","#0#1#2#3#4#5#6#7#8#9#")),IF(AND(VALUE(LEFT(A669,2))&gt;=1,VALUE(LEFT(A669,2))&lt;=5),VALUE(LEFT(A669,2)),""),IF(AND(VALUE(LEFT(A669,1))&gt;=1,VALUE(LEFT(A669,1))&lt;=5),VALUE(LEFT(A669,1)),"")),""),"")</f>
        <v/>
      </c>
      <c r="N669" s="25">
        <f>IF(L669=1,IF(ISNUMBER(FIND("#"&amp;MID(H669,1,1)&amp;"#","#0#1#2#3#4#5#6#7#8#9#")),IF(ISNUMBER(FIND("#"&amp;MID(H669,2,1)&amp;"#","#0#1#2#3#4#5#6#7#8#9#")),IF(AND(VALUE(LEFT(H669,2))&gt;=1,VALUE(LEFT(H669,2))&lt;=5),VALUE(LEFT(H669,2)),""),IF(AND(VALUE(LEFT(H669,1))&gt;=1,VALUE(LEFT(H669,1))&lt;=5),VALUE(LEFT(H669,1)),"")),""),"")</f>
        <v/>
      </c>
      <c r="O669" s="25">
        <f>IF(AND(L669=1,B669&lt;&gt;""),SUBSTITUTE(SUBSTITUTE(SUBSTITUTE(SUBSTITUTE(SUBSTITUTE(SUBSTITUTE(SUBSTITUTE(SUBSTITUTE(SUBSTITUTE(SUBSTITUTE(SUBSTITUTE(SUBSTITUTE(LOWER(TRIM(B669)),"á","a"),"é","e"),"í","i"),"ó","o"),"ú","u"),"ü","u"),"ñ","n"),"à","a"),"è","e"),"ì","i"),"ò","o"),"ù","u"),"")</f>
        <v/>
      </c>
      <c r="P669" s="25">
        <f>IF(AND(L669=1,C669&lt;&gt;""),SUBSTITUTE(SUBSTITUTE(SUBSTITUTE(SUBSTITUTE(SUBSTITUTE(SUBSTITUTE(SUBSTITUTE(SUBSTITUTE(SUBSTITUTE(SUBSTITUTE(SUBSTITUTE(SUBSTITUTE(LOWER(TRIM(C669)),"á","a"),"é","e"),"í","i"),"ó","o"),"ú","u"),"ü","u"),"ñ","n"),"à","a"),"è","e"),"ì","i"),"ò","o"),"ù","u"),"")</f>
        <v/>
      </c>
      <c r="Q669" s="25">
        <f>IF(AND(L669=1,E669&lt;&gt;""),SUBSTITUTE(SUBSTITUTE(SUBSTITUTE(SUBSTITUTE(SUBSTITUTE(SUBSTITUTE(SUBSTITUTE(SUBSTITUTE(SUBSTITUTE(SUBSTITUTE(SUBSTITUTE(SUBSTITUTE(LOWER(TRIM(E669)),"á","a"),"é","e"),"í","i"),"ó","o"),"ú","u"),"ü","u"),"ñ","n"),"à","a"),"è","e"),"ì","i"),"ò","o"),"ù","u"),"")</f>
        <v/>
      </c>
      <c r="R669" s="25">
        <f>IF(AND(L669=1,I669&lt;&gt;""),SUBSTITUTE(SUBSTITUTE(SUBSTITUTE(SUBSTITUTE(SUBSTITUTE(SUBSTITUTE(SUBSTITUTE(SUBSTITUTE(SUBSTITUTE(SUBSTITUTE(SUBSTITUTE(SUBSTITUTE(LOWER(TRIM(I669)),"á","a"),"é","e"),"í","i"),"ó","o"),"ú","u"),"ü","u"),"ñ","n"),"à","a"),"è","e"),"ì","i"),"ò","o"),"ù","u"),"")</f>
        <v/>
      </c>
      <c r="S669" s="25">
        <f>IF(R669="","",IF(OR(R669="si",R669="tal vez"),1,0))</f>
        <v/>
      </c>
      <c r="T669" s="25">
        <f>IF(AND(L669=1,D669&lt;&gt;""),IF(IFERROR(COUNTIFS(D$3:D669,"="&amp;SUBSTITUTE(SUBSTITUTE(SUBSTITUTE(D669,"~","~~"),"*","~*"),"?","~?"),L$3:L669,1),0)=1,MAX(T$2:T668)+1,""),"")</f>
        <v/>
      </c>
      <c r="U669" s="25">
        <f>IF(T669="","",COUNTIFS($D$3:$D$1002,"="&amp;SUBSTITUTE(SUBSTITUTE(SUBSTITUTE(D669,"~","~~"),"*","~*"),"?","~?"),$L$3:$L$1002,1)*10000-T669)</f>
        <v/>
      </c>
      <c r="V669" s="25">
        <f>IF(AND(L669=1,J669&lt;&gt;""),IF(IFERROR(COUNTIFS(J$3:J669,"="&amp;SUBSTITUTE(SUBSTITUTE(SUBSTITUTE(J669,"~","~~"),"*","~*"),"?","~?"),L$3:L669,1),0)=1,MAX(V$2:V668)+1,""),"")</f>
        <v/>
      </c>
      <c r="W669" s="25">
        <f>IF(V669="","",COUNTIFS($J$3:$J$1002,"="&amp;SUBSTITUTE(SUBSTITUTE(SUBSTITUTE(J669,"~","~~"),"*","~*"),"?","~?"),$L$3:$L$1002,1)*10000-V669)</f>
        <v/>
      </c>
    </row>
    <row r="670">
      <c r="A670">
        <f>IF(A$2=0,"",IFERROR(TRIM(INDEX('Pegar estudiantes'!$A$1:$BZ$1001,669,A$2)&amp;""),""))</f>
        <v/>
      </c>
      <c r="B670">
        <f>IF(B$2=0,"",IFERROR(TRIM(INDEX('Pegar estudiantes'!$A$1:$BZ$1001,669,B$2)&amp;""),""))</f>
        <v/>
      </c>
      <c r="C670">
        <f>IF(C$2=0,"",IFERROR(TRIM(INDEX('Pegar estudiantes'!$A$1:$BZ$1001,669,C$2)&amp;""),""))</f>
        <v/>
      </c>
      <c r="D670">
        <f>IF(D$2=0,"",IFERROR(TRIM(INDEX('Pegar estudiantes'!$A$1:$BZ$1001,669,D$2)&amp;""),""))</f>
        <v/>
      </c>
      <c r="E670">
        <f>IF(E$2=0,"",IFERROR(TRIM(INDEX('Pegar estudiantes'!$A$1:$BZ$1001,669,E$2)&amp;""),""))</f>
        <v/>
      </c>
      <c r="F670">
        <f>IF(F$2=0,"",IFERROR(TRIM(INDEX('Pegar estudiantes'!$A$1:$BZ$1001,669,F$2)&amp;""),""))</f>
        <v/>
      </c>
      <c r="G670">
        <f>IF(G$2=0,"",IFERROR(TRIM(INDEX('Pegar estudiantes'!$A$1:$BZ$1001,669,G$2)&amp;""),""))</f>
        <v/>
      </c>
      <c r="H670">
        <f>IF(H$2=0,"",IFERROR(TRIM(INDEX('Pegar estudiantes'!$A$1:$BZ$1001,669,H$2)&amp;""),""))</f>
        <v/>
      </c>
      <c r="I670">
        <f>IF(I$2=0,"",IFERROR(TRIM(INDEX('Pegar estudiantes'!$A$1:$BZ$1001,669,I$2)&amp;""),""))</f>
        <v/>
      </c>
      <c r="J670">
        <f>IF(J$2=0,"",IFERROR(TRIM(INDEX('Pegar estudiantes'!$A$1:$BZ$1001,669,J$2)&amp;""),""))</f>
        <v/>
      </c>
      <c r="K670">
        <f>IF(K$2=0,"",IFERROR(TRIM(INDEX('Pegar estudiantes'!$A$1:$BZ$1001,669,K$2)&amp;""),""))</f>
        <v/>
      </c>
      <c r="L670" s="25">
        <f>IF(A670&lt;&gt;"",1,"")</f>
        <v/>
      </c>
      <c r="M670" s="25">
        <f>IF(L670=1,IF(ISNUMBER(FIND("#"&amp;MID(A670,1,1)&amp;"#","#0#1#2#3#4#5#6#7#8#9#")),IF(ISNUMBER(FIND("#"&amp;MID(A670,2,1)&amp;"#","#0#1#2#3#4#5#6#7#8#9#")),IF(AND(VALUE(LEFT(A670,2))&gt;=1,VALUE(LEFT(A670,2))&lt;=5),VALUE(LEFT(A670,2)),""),IF(AND(VALUE(LEFT(A670,1))&gt;=1,VALUE(LEFT(A670,1))&lt;=5),VALUE(LEFT(A670,1)),"")),""),"")</f>
        <v/>
      </c>
      <c r="N670" s="25">
        <f>IF(L670=1,IF(ISNUMBER(FIND("#"&amp;MID(H670,1,1)&amp;"#","#0#1#2#3#4#5#6#7#8#9#")),IF(ISNUMBER(FIND("#"&amp;MID(H670,2,1)&amp;"#","#0#1#2#3#4#5#6#7#8#9#")),IF(AND(VALUE(LEFT(H670,2))&gt;=1,VALUE(LEFT(H670,2))&lt;=5),VALUE(LEFT(H670,2)),""),IF(AND(VALUE(LEFT(H670,1))&gt;=1,VALUE(LEFT(H670,1))&lt;=5),VALUE(LEFT(H670,1)),"")),""),"")</f>
        <v/>
      </c>
      <c r="O670" s="25">
        <f>IF(AND(L670=1,B670&lt;&gt;""),SUBSTITUTE(SUBSTITUTE(SUBSTITUTE(SUBSTITUTE(SUBSTITUTE(SUBSTITUTE(SUBSTITUTE(SUBSTITUTE(SUBSTITUTE(SUBSTITUTE(SUBSTITUTE(SUBSTITUTE(LOWER(TRIM(B670)),"á","a"),"é","e"),"í","i"),"ó","o"),"ú","u"),"ü","u"),"ñ","n"),"à","a"),"è","e"),"ì","i"),"ò","o"),"ù","u"),"")</f>
        <v/>
      </c>
      <c r="P670" s="25">
        <f>IF(AND(L670=1,C670&lt;&gt;""),SUBSTITUTE(SUBSTITUTE(SUBSTITUTE(SUBSTITUTE(SUBSTITUTE(SUBSTITUTE(SUBSTITUTE(SUBSTITUTE(SUBSTITUTE(SUBSTITUTE(SUBSTITUTE(SUBSTITUTE(LOWER(TRIM(C670)),"á","a"),"é","e"),"í","i"),"ó","o"),"ú","u"),"ü","u"),"ñ","n"),"à","a"),"è","e"),"ì","i"),"ò","o"),"ù","u"),"")</f>
        <v/>
      </c>
      <c r="Q670" s="25">
        <f>IF(AND(L670=1,E670&lt;&gt;""),SUBSTITUTE(SUBSTITUTE(SUBSTITUTE(SUBSTITUTE(SUBSTITUTE(SUBSTITUTE(SUBSTITUTE(SUBSTITUTE(SUBSTITUTE(SUBSTITUTE(SUBSTITUTE(SUBSTITUTE(LOWER(TRIM(E670)),"á","a"),"é","e"),"í","i"),"ó","o"),"ú","u"),"ü","u"),"ñ","n"),"à","a"),"è","e"),"ì","i"),"ò","o"),"ù","u"),"")</f>
        <v/>
      </c>
      <c r="R670" s="25">
        <f>IF(AND(L670=1,I670&lt;&gt;""),SUBSTITUTE(SUBSTITUTE(SUBSTITUTE(SUBSTITUTE(SUBSTITUTE(SUBSTITUTE(SUBSTITUTE(SUBSTITUTE(SUBSTITUTE(SUBSTITUTE(SUBSTITUTE(SUBSTITUTE(LOWER(TRIM(I670)),"á","a"),"é","e"),"í","i"),"ó","o"),"ú","u"),"ü","u"),"ñ","n"),"à","a"),"è","e"),"ì","i"),"ò","o"),"ù","u"),"")</f>
        <v/>
      </c>
      <c r="S670" s="25">
        <f>IF(R670="","",IF(OR(R670="si",R670="tal vez"),1,0))</f>
        <v/>
      </c>
      <c r="T670" s="25">
        <f>IF(AND(L670=1,D670&lt;&gt;""),IF(IFERROR(COUNTIFS(D$3:D670,"="&amp;SUBSTITUTE(SUBSTITUTE(SUBSTITUTE(D670,"~","~~"),"*","~*"),"?","~?"),L$3:L670,1),0)=1,MAX(T$2:T669)+1,""),"")</f>
        <v/>
      </c>
      <c r="U670" s="25">
        <f>IF(T670="","",COUNTIFS($D$3:$D$1002,"="&amp;SUBSTITUTE(SUBSTITUTE(SUBSTITUTE(D670,"~","~~"),"*","~*"),"?","~?"),$L$3:$L$1002,1)*10000-T670)</f>
        <v/>
      </c>
      <c r="V670" s="25">
        <f>IF(AND(L670=1,J670&lt;&gt;""),IF(IFERROR(COUNTIFS(J$3:J670,"="&amp;SUBSTITUTE(SUBSTITUTE(SUBSTITUTE(J670,"~","~~"),"*","~*"),"?","~?"),L$3:L670,1),0)=1,MAX(V$2:V669)+1,""),"")</f>
        <v/>
      </c>
      <c r="W670" s="25">
        <f>IF(V670="","",COUNTIFS($J$3:$J$1002,"="&amp;SUBSTITUTE(SUBSTITUTE(SUBSTITUTE(J670,"~","~~"),"*","~*"),"?","~?"),$L$3:$L$1002,1)*10000-V670)</f>
        <v/>
      </c>
    </row>
    <row r="671">
      <c r="A671">
        <f>IF(A$2=0,"",IFERROR(TRIM(INDEX('Pegar estudiantes'!$A$1:$BZ$1001,670,A$2)&amp;""),""))</f>
        <v/>
      </c>
      <c r="B671">
        <f>IF(B$2=0,"",IFERROR(TRIM(INDEX('Pegar estudiantes'!$A$1:$BZ$1001,670,B$2)&amp;""),""))</f>
        <v/>
      </c>
      <c r="C671">
        <f>IF(C$2=0,"",IFERROR(TRIM(INDEX('Pegar estudiantes'!$A$1:$BZ$1001,670,C$2)&amp;""),""))</f>
        <v/>
      </c>
      <c r="D671">
        <f>IF(D$2=0,"",IFERROR(TRIM(INDEX('Pegar estudiantes'!$A$1:$BZ$1001,670,D$2)&amp;""),""))</f>
        <v/>
      </c>
      <c r="E671">
        <f>IF(E$2=0,"",IFERROR(TRIM(INDEX('Pegar estudiantes'!$A$1:$BZ$1001,670,E$2)&amp;""),""))</f>
        <v/>
      </c>
      <c r="F671">
        <f>IF(F$2=0,"",IFERROR(TRIM(INDEX('Pegar estudiantes'!$A$1:$BZ$1001,670,F$2)&amp;""),""))</f>
        <v/>
      </c>
      <c r="G671">
        <f>IF(G$2=0,"",IFERROR(TRIM(INDEX('Pegar estudiantes'!$A$1:$BZ$1001,670,G$2)&amp;""),""))</f>
        <v/>
      </c>
      <c r="H671">
        <f>IF(H$2=0,"",IFERROR(TRIM(INDEX('Pegar estudiantes'!$A$1:$BZ$1001,670,H$2)&amp;""),""))</f>
        <v/>
      </c>
      <c r="I671">
        <f>IF(I$2=0,"",IFERROR(TRIM(INDEX('Pegar estudiantes'!$A$1:$BZ$1001,670,I$2)&amp;""),""))</f>
        <v/>
      </c>
      <c r="J671">
        <f>IF(J$2=0,"",IFERROR(TRIM(INDEX('Pegar estudiantes'!$A$1:$BZ$1001,670,J$2)&amp;""),""))</f>
        <v/>
      </c>
      <c r="K671">
        <f>IF(K$2=0,"",IFERROR(TRIM(INDEX('Pegar estudiantes'!$A$1:$BZ$1001,670,K$2)&amp;""),""))</f>
        <v/>
      </c>
      <c r="L671" s="25">
        <f>IF(A671&lt;&gt;"",1,"")</f>
        <v/>
      </c>
      <c r="M671" s="25">
        <f>IF(L671=1,IF(ISNUMBER(FIND("#"&amp;MID(A671,1,1)&amp;"#","#0#1#2#3#4#5#6#7#8#9#")),IF(ISNUMBER(FIND("#"&amp;MID(A671,2,1)&amp;"#","#0#1#2#3#4#5#6#7#8#9#")),IF(AND(VALUE(LEFT(A671,2))&gt;=1,VALUE(LEFT(A671,2))&lt;=5),VALUE(LEFT(A671,2)),""),IF(AND(VALUE(LEFT(A671,1))&gt;=1,VALUE(LEFT(A671,1))&lt;=5),VALUE(LEFT(A671,1)),"")),""),"")</f>
        <v/>
      </c>
      <c r="N671" s="25">
        <f>IF(L671=1,IF(ISNUMBER(FIND("#"&amp;MID(H671,1,1)&amp;"#","#0#1#2#3#4#5#6#7#8#9#")),IF(ISNUMBER(FIND("#"&amp;MID(H671,2,1)&amp;"#","#0#1#2#3#4#5#6#7#8#9#")),IF(AND(VALUE(LEFT(H671,2))&gt;=1,VALUE(LEFT(H671,2))&lt;=5),VALUE(LEFT(H671,2)),""),IF(AND(VALUE(LEFT(H671,1))&gt;=1,VALUE(LEFT(H671,1))&lt;=5),VALUE(LEFT(H671,1)),"")),""),"")</f>
        <v/>
      </c>
      <c r="O671" s="25">
        <f>IF(AND(L671=1,B671&lt;&gt;""),SUBSTITUTE(SUBSTITUTE(SUBSTITUTE(SUBSTITUTE(SUBSTITUTE(SUBSTITUTE(SUBSTITUTE(SUBSTITUTE(SUBSTITUTE(SUBSTITUTE(SUBSTITUTE(SUBSTITUTE(LOWER(TRIM(B671)),"á","a"),"é","e"),"í","i"),"ó","o"),"ú","u"),"ü","u"),"ñ","n"),"à","a"),"è","e"),"ì","i"),"ò","o"),"ù","u"),"")</f>
        <v/>
      </c>
      <c r="P671" s="25">
        <f>IF(AND(L671=1,C671&lt;&gt;""),SUBSTITUTE(SUBSTITUTE(SUBSTITUTE(SUBSTITUTE(SUBSTITUTE(SUBSTITUTE(SUBSTITUTE(SUBSTITUTE(SUBSTITUTE(SUBSTITUTE(SUBSTITUTE(SUBSTITUTE(LOWER(TRIM(C671)),"á","a"),"é","e"),"í","i"),"ó","o"),"ú","u"),"ü","u"),"ñ","n"),"à","a"),"è","e"),"ì","i"),"ò","o"),"ù","u"),"")</f>
        <v/>
      </c>
      <c r="Q671" s="25">
        <f>IF(AND(L671=1,E671&lt;&gt;""),SUBSTITUTE(SUBSTITUTE(SUBSTITUTE(SUBSTITUTE(SUBSTITUTE(SUBSTITUTE(SUBSTITUTE(SUBSTITUTE(SUBSTITUTE(SUBSTITUTE(SUBSTITUTE(SUBSTITUTE(LOWER(TRIM(E671)),"á","a"),"é","e"),"í","i"),"ó","o"),"ú","u"),"ü","u"),"ñ","n"),"à","a"),"è","e"),"ì","i"),"ò","o"),"ù","u"),"")</f>
        <v/>
      </c>
      <c r="R671" s="25">
        <f>IF(AND(L671=1,I671&lt;&gt;""),SUBSTITUTE(SUBSTITUTE(SUBSTITUTE(SUBSTITUTE(SUBSTITUTE(SUBSTITUTE(SUBSTITUTE(SUBSTITUTE(SUBSTITUTE(SUBSTITUTE(SUBSTITUTE(SUBSTITUTE(LOWER(TRIM(I671)),"á","a"),"é","e"),"í","i"),"ó","o"),"ú","u"),"ü","u"),"ñ","n"),"à","a"),"è","e"),"ì","i"),"ò","o"),"ù","u"),"")</f>
        <v/>
      </c>
      <c r="S671" s="25">
        <f>IF(R671="","",IF(OR(R671="si",R671="tal vez"),1,0))</f>
        <v/>
      </c>
      <c r="T671" s="25">
        <f>IF(AND(L671=1,D671&lt;&gt;""),IF(IFERROR(COUNTIFS(D$3:D671,"="&amp;SUBSTITUTE(SUBSTITUTE(SUBSTITUTE(D671,"~","~~"),"*","~*"),"?","~?"),L$3:L671,1),0)=1,MAX(T$2:T670)+1,""),"")</f>
        <v/>
      </c>
      <c r="U671" s="25">
        <f>IF(T671="","",COUNTIFS($D$3:$D$1002,"="&amp;SUBSTITUTE(SUBSTITUTE(SUBSTITUTE(D671,"~","~~"),"*","~*"),"?","~?"),$L$3:$L$1002,1)*10000-T671)</f>
        <v/>
      </c>
      <c r="V671" s="25">
        <f>IF(AND(L671=1,J671&lt;&gt;""),IF(IFERROR(COUNTIFS(J$3:J671,"="&amp;SUBSTITUTE(SUBSTITUTE(SUBSTITUTE(J671,"~","~~"),"*","~*"),"?","~?"),L$3:L671,1),0)=1,MAX(V$2:V670)+1,""),"")</f>
        <v/>
      </c>
      <c r="W671" s="25">
        <f>IF(V671="","",COUNTIFS($J$3:$J$1002,"="&amp;SUBSTITUTE(SUBSTITUTE(SUBSTITUTE(J671,"~","~~"),"*","~*"),"?","~?"),$L$3:$L$1002,1)*10000-V671)</f>
        <v/>
      </c>
    </row>
    <row r="672">
      <c r="A672">
        <f>IF(A$2=0,"",IFERROR(TRIM(INDEX('Pegar estudiantes'!$A$1:$BZ$1001,671,A$2)&amp;""),""))</f>
        <v/>
      </c>
      <c r="B672">
        <f>IF(B$2=0,"",IFERROR(TRIM(INDEX('Pegar estudiantes'!$A$1:$BZ$1001,671,B$2)&amp;""),""))</f>
        <v/>
      </c>
      <c r="C672">
        <f>IF(C$2=0,"",IFERROR(TRIM(INDEX('Pegar estudiantes'!$A$1:$BZ$1001,671,C$2)&amp;""),""))</f>
        <v/>
      </c>
      <c r="D672">
        <f>IF(D$2=0,"",IFERROR(TRIM(INDEX('Pegar estudiantes'!$A$1:$BZ$1001,671,D$2)&amp;""),""))</f>
        <v/>
      </c>
      <c r="E672">
        <f>IF(E$2=0,"",IFERROR(TRIM(INDEX('Pegar estudiantes'!$A$1:$BZ$1001,671,E$2)&amp;""),""))</f>
        <v/>
      </c>
      <c r="F672">
        <f>IF(F$2=0,"",IFERROR(TRIM(INDEX('Pegar estudiantes'!$A$1:$BZ$1001,671,F$2)&amp;""),""))</f>
        <v/>
      </c>
      <c r="G672">
        <f>IF(G$2=0,"",IFERROR(TRIM(INDEX('Pegar estudiantes'!$A$1:$BZ$1001,671,G$2)&amp;""),""))</f>
        <v/>
      </c>
      <c r="H672">
        <f>IF(H$2=0,"",IFERROR(TRIM(INDEX('Pegar estudiantes'!$A$1:$BZ$1001,671,H$2)&amp;""),""))</f>
        <v/>
      </c>
      <c r="I672">
        <f>IF(I$2=0,"",IFERROR(TRIM(INDEX('Pegar estudiantes'!$A$1:$BZ$1001,671,I$2)&amp;""),""))</f>
        <v/>
      </c>
      <c r="J672">
        <f>IF(J$2=0,"",IFERROR(TRIM(INDEX('Pegar estudiantes'!$A$1:$BZ$1001,671,J$2)&amp;""),""))</f>
        <v/>
      </c>
      <c r="K672">
        <f>IF(K$2=0,"",IFERROR(TRIM(INDEX('Pegar estudiantes'!$A$1:$BZ$1001,671,K$2)&amp;""),""))</f>
        <v/>
      </c>
      <c r="L672" s="25">
        <f>IF(A672&lt;&gt;"",1,"")</f>
        <v/>
      </c>
      <c r="M672" s="25">
        <f>IF(L672=1,IF(ISNUMBER(FIND("#"&amp;MID(A672,1,1)&amp;"#","#0#1#2#3#4#5#6#7#8#9#")),IF(ISNUMBER(FIND("#"&amp;MID(A672,2,1)&amp;"#","#0#1#2#3#4#5#6#7#8#9#")),IF(AND(VALUE(LEFT(A672,2))&gt;=1,VALUE(LEFT(A672,2))&lt;=5),VALUE(LEFT(A672,2)),""),IF(AND(VALUE(LEFT(A672,1))&gt;=1,VALUE(LEFT(A672,1))&lt;=5),VALUE(LEFT(A672,1)),"")),""),"")</f>
        <v/>
      </c>
      <c r="N672" s="25">
        <f>IF(L672=1,IF(ISNUMBER(FIND("#"&amp;MID(H672,1,1)&amp;"#","#0#1#2#3#4#5#6#7#8#9#")),IF(ISNUMBER(FIND("#"&amp;MID(H672,2,1)&amp;"#","#0#1#2#3#4#5#6#7#8#9#")),IF(AND(VALUE(LEFT(H672,2))&gt;=1,VALUE(LEFT(H672,2))&lt;=5),VALUE(LEFT(H672,2)),""),IF(AND(VALUE(LEFT(H672,1))&gt;=1,VALUE(LEFT(H672,1))&lt;=5),VALUE(LEFT(H672,1)),"")),""),"")</f>
        <v/>
      </c>
      <c r="O672" s="25">
        <f>IF(AND(L672=1,B672&lt;&gt;""),SUBSTITUTE(SUBSTITUTE(SUBSTITUTE(SUBSTITUTE(SUBSTITUTE(SUBSTITUTE(SUBSTITUTE(SUBSTITUTE(SUBSTITUTE(SUBSTITUTE(SUBSTITUTE(SUBSTITUTE(LOWER(TRIM(B672)),"á","a"),"é","e"),"í","i"),"ó","o"),"ú","u"),"ü","u"),"ñ","n"),"à","a"),"è","e"),"ì","i"),"ò","o"),"ù","u"),"")</f>
        <v/>
      </c>
      <c r="P672" s="25">
        <f>IF(AND(L672=1,C672&lt;&gt;""),SUBSTITUTE(SUBSTITUTE(SUBSTITUTE(SUBSTITUTE(SUBSTITUTE(SUBSTITUTE(SUBSTITUTE(SUBSTITUTE(SUBSTITUTE(SUBSTITUTE(SUBSTITUTE(SUBSTITUTE(LOWER(TRIM(C672)),"á","a"),"é","e"),"í","i"),"ó","o"),"ú","u"),"ü","u"),"ñ","n"),"à","a"),"è","e"),"ì","i"),"ò","o"),"ù","u"),"")</f>
        <v/>
      </c>
      <c r="Q672" s="25">
        <f>IF(AND(L672=1,E672&lt;&gt;""),SUBSTITUTE(SUBSTITUTE(SUBSTITUTE(SUBSTITUTE(SUBSTITUTE(SUBSTITUTE(SUBSTITUTE(SUBSTITUTE(SUBSTITUTE(SUBSTITUTE(SUBSTITUTE(SUBSTITUTE(LOWER(TRIM(E672)),"á","a"),"é","e"),"í","i"),"ó","o"),"ú","u"),"ü","u"),"ñ","n"),"à","a"),"è","e"),"ì","i"),"ò","o"),"ù","u"),"")</f>
        <v/>
      </c>
      <c r="R672" s="25">
        <f>IF(AND(L672=1,I672&lt;&gt;""),SUBSTITUTE(SUBSTITUTE(SUBSTITUTE(SUBSTITUTE(SUBSTITUTE(SUBSTITUTE(SUBSTITUTE(SUBSTITUTE(SUBSTITUTE(SUBSTITUTE(SUBSTITUTE(SUBSTITUTE(LOWER(TRIM(I672)),"á","a"),"é","e"),"í","i"),"ó","o"),"ú","u"),"ü","u"),"ñ","n"),"à","a"),"è","e"),"ì","i"),"ò","o"),"ù","u"),"")</f>
        <v/>
      </c>
      <c r="S672" s="25">
        <f>IF(R672="","",IF(OR(R672="si",R672="tal vez"),1,0))</f>
        <v/>
      </c>
      <c r="T672" s="25">
        <f>IF(AND(L672=1,D672&lt;&gt;""),IF(IFERROR(COUNTIFS(D$3:D672,"="&amp;SUBSTITUTE(SUBSTITUTE(SUBSTITUTE(D672,"~","~~"),"*","~*"),"?","~?"),L$3:L672,1),0)=1,MAX(T$2:T671)+1,""),"")</f>
        <v/>
      </c>
      <c r="U672" s="25">
        <f>IF(T672="","",COUNTIFS($D$3:$D$1002,"="&amp;SUBSTITUTE(SUBSTITUTE(SUBSTITUTE(D672,"~","~~"),"*","~*"),"?","~?"),$L$3:$L$1002,1)*10000-T672)</f>
        <v/>
      </c>
      <c r="V672" s="25">
        <f>IF(AND(L672=1,J672&lt;&gt;""),IF(IFERROR(COUNTIFS(J$3:J672,"="&amp;SUBSTITUTE(SUBSTITUTE(SUBSTITUTE(J672,"~","~~"),"*","~*"),"?","~?"),L$3:L672,1),0)=1,MAX(V$2:V671)+1,""),"")</f>
        <v/>
      </c>
      <c r="W672" s="25">
        <f>IF(V672="","",COUNTIFS($J$3:$J$1002,"="&amp;SUBSTITUTE(SUBSTITUTE(SUBSTITUTE(J672,"~","~~"),"*","~*"),"?","~?"),$L$3:$L$1002,1)*10000-V672)</f>
        <v/>
      </c>
    </row>
    <row r="673">
      <c r="A673">
        <f>IF(A$2=0,"",IFERROR(TRIM(INDEX('Pegar estudiantes'!$A$1:$BZ$1001,672,A$2)&amp;""),""))</f>
        <v/>
      </c>
      <c r="B673">
        <f>IF(B$2=0,"",IFERROR(TRIM(INDEX('Pegar estudiantes'!$A$1:$BZ$1001,672,B$2)&amp;""),""))</f>
        <v/>
      </c>
      <c r="C673">
        <f>IF(C$2=0,"",IFERROR(TRIM(INDEX('Pegar estudiantes'!$A$1:$BZ$1001,672,C$2)&amp;""),""))</f>
        <v/>
      </c>
      <c r="D673">
        <f>IF(D$2=0,"",IFERROR(TRIM(INDEX('Pegar estudiantes'!$A$1:$BZ$1001,672,D$2)&amp;""),""))</f>
        <v/>
      </c>
      <c r="E673">
        <f>IF(E$2=0,"",IFERROR(TRIM(INDEX('Pegar estudiantes'!$A$1:$BZ$1001,672,E$2)&amp;""),""))</f>
        <v/>
      </c>
      <c r="F673">
        <f>IF(F$2=0,"",IFERROR(TRIM(INDEX('Pegar estudiantes'!$A$1:$BZ$1001,672,F$2)&amp;""),""))</f>
        <v/>
      </c>
      <c r="G673">
        <f>IF(G$2=0,"",IFERROR(TRIM(INDEX('Pegar estudiantes'!$A$1:$BZ$1001,672,G$2)&amp;""),""))</f>
        <v/>
      </c>
      <c r="H673">
        <f>IF(H$2=0,"",IFERROR(TRIM(INDEX('Pegar estudiantes'!$A$1:$BZ$1001,672,H$2)&amp;""),""))</f>
        <v/>
      </c>
      <c r="I673">
        <f>IF(I$2=0,"",IFERROR(TRIM(INDEX('Pegar estudiantes'!$A$1:$BZ$1001,672,I$2)&amp;""),""))</f>
        <v/>
      </c>
      <c r="J673">
        <f>IF(J$2=0,"",IFERROR(TRIM(INDEX('Pegar estudiantes'!$A$1:$BZ$1001,672,J$2)&amp;""),""))</f>
        <v/>
      </c>
      <c r="K673">
        <f>IF(K$2=0,"",IFERROR(TRIM(INDEX('Pegar estudiantes'!$A$1:$BZ$1001,672,K$2)&amp;""),""))</f>
        <v/>
      </c>
      <c r="L673" s="25">
        <f>IF(A673&lt;&gt;"",1,"")</f>
        <v/>
      </c>
      <c r="M673" s="25">
        <f>IF(L673=1,IF(ISNUMBER(FIND("#"&amp;MID(A673,1,1)&amp;"#","#0#1#2#3#4#5#6#7#8#9#")),IF(ISNUMBER(FIND("#"&amp;MID(A673,2,1)&amp;"#","#0#1#2#3#4#5#6#7#8#9#")),IF(AND(VALUE(LEFT(A673,2))&gt;=1,VALUE(LEFT(A673,2))&lt;=5),VALUE(LEFT(A673,2)),""),IF(AND(VALUE(LEFT(A673,1))&gt;=1,VALUE(LEFT(A673,1))&lt;=5),VALUE(LEFT(A673,1)),"")),""),"")</f>
        <v/>
      </c>
      <c r="N673" s="25">
        <f>IF(L673=1,IF(ISNUMBER(FIND("#"&amp;MID(H673,1,1)&amp;"#","#0#1#2#3#4#5#6#7#8#9#")),IF(ISNUMBER(FIND("#"&amp;MID(H673,2,1)&amp;"#","#0#1#2#3#4#5#6#7#8#9#")),IF(AND(VALUE(LEFT(H673,2))&gt;=1,VALUE(LEFT(H673,2))&lt;=5),VALUE(LEFT(H673,2)),""),IF(AND(VALUE(LEFT(H673,1))&gt;=1,VALUE(LEFT(H673,1))&lt;=5),VALUE(LEFT(H673,1)),"")),""),"")</f>
        <v/>
      </c>
      <c r="O673" s="25">
        <f>IF(AND(L673=1,B673&lt;&gt;""),SUBSTITUTE(SUBSTITUTE(SUBSTITUTE(SUBSTITUTE(SUBSTITUTE(SUBSTITUTE(SUBSTITUTE(SUBSTITUTE(SUBSTITUTE(SUBSTITUTE(SUBSTITUTE(SUBSTITUTE(LOWER(TRIM(B673)),"á","a"),"é","e"),"í","i"),"ó","o"),"ú","u"),"ü","u"),"ñ","n"),"à","a"),"è","e"),"ì","i"),"ò","o"),"ù","u"),"")</f>
        <v/>
      </c>
      <c r="P673" s="25">
        <f>IF(AND(L673=1,C673&lt;&gt;""),SUBSTITUTE(SUBSTITUTE(SUBSTITUTE(SUBSTITUTE(SUBSTITUTE(SUBSTITUTE(SUBSTITUTE(SUBSTITUTE(SUBSTITUTE(SUBSTITUTE(SUBSTITUTE(SUBSTITUTE(LOWER(TRIM(C673)),"á","a"),"é","e"),"í","i"),"ó","o"),"ú","u"),"ü","u"),"ñ","n"),"à","a"),"è","e"),"ì","i"),"ò","o"),"ù","u"),"")</f>
        <v/>
      </c>
      <c r="Q673" s="25">
        <f>IF(AND(L673=1,E673&lt;&gt;""),SUBSTITUTE(SUBSTITUTE(SUBSTITUTE(SUBSTITUTE(SUBSTITUTE(SUBSTITUTE(SUBSTITUTE(SUBSTITUTE(SUBSTITUTE(SUBSTITUTE(SUBSTITUTE(SUBSTITUTE(LOWER(TRIM(E673)),"á","a"),"é","e"),"í","i"),"ó","o"),"ú","u"),"ü","u"),"ñ","n"),"à","a"),"è","e"),"ì","i"),"ò","o"),"ù","u"),"")</f>
        <v/>
      </c>
      <c r="R673" s="25">
        <f>IF(AND(L673=1,I673&lt;&gt;""),SUBSTITUTE(SUBSTITUTE(SUBSTITUTE(SUBSTITUTE(SUBSTITUTE(SUBSTITUTE(SUBSTITUTE(SUBSTITUTE(SUBSTITUTE(SUBSTITUTE(SUBSTITUTE(SUBSTITUTE(LOWER(TRIM(I673)),"á","a"),"é","e"),"í","i"),"ó","o"),"ú","u"),"ü","u"),"ñ","n"),"à","a"),"è","e"),"ì","i"),"ò","o"),"ù","u"),"")</f>
        <v/>
      </c>
      <c r="S673" s="25">
        <f>IF(R673="","",IF(OR(R673="si",R673="tal vez"),1,0))</f>
        <v/>
      </c>
      <c r="T673" s="25">
        <f>IF(AND(L673=1,D673&lt;&gt;""),IF(IFERROR(COUNTIFS(D$3:D673,"="&amp;SUBSTITUTE(SUBSTITUTE(SUBSTITUTE(D673,"~","~~"),"*","~*"),"?","~?"),L$3:L673,1),0)=1,MAX(T$2:T672)+1,""),"")</f>
        <v/>
      </c>
      <c r="U673" s="25">
        <f>IF(T673="","",COUNTIFS($D$3:$D$1002,"="&amp;SUBSTITUTE(SUBSTITUTE(SUBSTITUTE(D673,"~","~~"),"*","~*"),"?","~?"),$L$3:$L$1002,1)*10000-T673)</f>
        <v/>
      </c>
      <c r="V673" s="25">
        <f>IF(AND(L673=1,J673&lt;&gt;""),IF(IFERROR(COUNTIFS(J$3:J673,"="&amp;SUBSTITUTE(SUBSTITUTE(SUBSTITUTE(J673,"~","~~"),"*","~*"),"?","~?"),L$3:L673,1),0)=1,MAX(V$2:V672)+1,""),"")</f>
        <v/>
      </c>
      <c r="W673" s="25">
        <f>IF(V673="","",COUNTIFS($J$3:$J$1002,"="&amp;SUBSTITUTE(SUBSTITUTE(SUBSTITUTE(J673,"~","~~"),"*","~*"),"?","~?"),$L$3:$L$1002,1)*10000-V673)</f>
        <v/>
      </c>
    </row>
    <row r="674">
      <c r="A674">
        <f>IF(A$2=0,"",IFERROR(TRIM(INDEX('Pegar estudiantes'!$A$1:$BZ$1001,673,A$2)&amp;""),""))</f>
        <v/>
      </c>
      <c r="B674">
        <f>IF(B$2=0,"",IFERROR(TRIM(INDEX('Pegar estudiantes'!$A$1:$BZ$1001,673,B$2)&amp;""),""))</f>
        <v/>
      </c>
      <c r="C674">
        <f>IF(C$2=0,"",IFERROR(TRIM(INDEX('Pegar estudiantes'!$A$1:$BZ$1001,673,C$2)&amp;""),""))</f>
        <v/>
      </c>
      <c r="D674">
        <f>IF(D$2=0,"",IFERROR(TRIM(INDEX('Pegar estudiantes'!$A$1:$BZ$1001,673,D$2)&amp;""),""))</f>
        <v/>
      </c>
      <c r="E674">
        <f>IF(E$2=0,"",IFERROR(TRIM(INDEX('Pegar estudiantes'!$A$1:$BZ$1001,673,E$2)&amp;""),""))</f>
        <v/>
      </c>
      <c r="F674">
        <f>IF(F$2=0,"",IFERROR(TRIM(INDEX('Pegar estudiantes'!$A$1:$BZ$1001,673,F$2)&amp;""),""))</f>
        <v/>
      </c>
      <c r="G674">
        <f>IF(G$2=0,"",IFERROR(TRIM(INDEX('Pegar estudiantes'!$A$1:$BZ$1001,673,G$2)&amp;""),""))</f>
        <v/>
      </c>
      <c r="H674">
        <f>IF(H$2=0,"",IFERROR(TRIM(INDEX('Pegar estudiantes'!$A$1:$BZ$1001,673,H$2)&amp;""),""))</f>
        <v/>
      </c>
      <c r="I674">
        <f>IF(I$2=0,"",IFERROR(TRIM(INDEX('Pegar estudiantes'!$A$1:$BZ$1001,673,I$2)&amp;""),""))</f>
        <v/>
      </c>
      <c r="J674">
        <f>IF(J$2=0,"",IFERROR(TRIM(INDEX('Pegar estudiantes'!$A$1:$BZ$1001,673,J$2)&amp;""),""))</f>
        <v/>
      </c>
      <c r="K674">
        <f>IF(K$2=0,"",IFERROR(TRIM(INDEX('Pegar estudiantes'!$A$1:$BZ$1001,673,K$2)&amp;""),""))</f>
        <v/>
      </c>
      <c r="L674" s="25">
        <f>IF(A674&lt;&gt;"",1,"")</f>
        <v/>
      </c>
      <c r="M674" s="25">
        <f>IF(L674=1,IF(ISNUMBER(FIND("#"&amp;MID(A674,1,1)&amp;"#","#0#1#2#3#4#5#6#7#8#9#")),IF(ISNUMBER(FIND("#"&amp;MID(A674,2,1)&amp;"#","#0#1#2#3#4#5#6#7#8#9#")),IF(AND(VALUE(LEFT(A674,2))&gt;=1,VALUE(LEFT(A674,2))&lt;=5),VALUE(LEFT(A674,2)),""),IF(AND(VALUE(LEFT(A674,1))&gt;=1,VALUE(LEFT(A674,1))&lt;=5),VALUE(LEFT(A674,1)),"")),""),"")</f>
        <v/>
      </c>
      <c r="N674" s="25">
        <f>IF(L674=1,IF(ISNUMBER(FIND("#"&amp;MID(H674,1,1)&amp;"#","#0#1#2#3#4#5#6#7#8#9#")),IF(ISNUMBER(FIND("#"&amp;MID(H674,2,1)&amp;"#","#0#1#2#3#4#5#6#7#8#9#")),IF(AND(VALUE(LEFT(H674,2))&gt;=1,VALUE(LEFT(H674,2))&lt;=5),VALUE(LEFT(H674,2)),""),IF(AND(VALUE(LEFT(H674,1))&gt;=1,VALUE(LEFT(H674,1))&lt;=5),VALUE(LEFT(H674,1)),"")),""),"")</f>
        <v/>
      </c>
      <c r="O674" s="25">
        <f>IF(AND(L674=1,B674&lt;&gt;""),SUBSTITUTE(SUBSTITUTE(SUBSTITUTE(SUBSTITUTE(SUBSTITUTE(SUBSTITUTE(SUBSTITUTE(SUBSTITUTE(SUBSTITUTE(SUBSTITUTE(SUBSTITUTE(SUBSTITUTE(LOWER(TRIM(B674)),"á","a"),"é","e"),"í","i"),"ó","o"),"ú","u"),"ü","u"),"ñ","n"),"à","a"),"è","e"),"ì","i"),"ò","o"),"ù","u"),"")</f>
        <v/>
      </c>
      <c r="P674" s="25">
        <f>IF(AND(L674=1,C674&lt;&gt;""),SUBSTITUTE(SUBSTITUTE(SUBSTITUTE(SUBSTITUTE(SUBSTITUTE(SUBSTITUTE(SUBSTITUTE(SUBSTITUTE(SUBSTITUTE(SUBSTITUTE(SUBSTITUTE(SUBSTITUTE(LOWER(TRIM(C674)),"á","a"),"é","e"),"í","i"),"ó","o"),"ú","u"),"ü","u"),"ñ","n"),"à","a"),"è","e"),"ì","i"),"ò","o"),"ù","u"),"")</f>
        <v/>
      </c>
      <c r="Q674" s="25">
        <f>IF(AND(L674=1,E674&lt;&gt;""),SUBSTITUTE(SUBSTITUTE(SUBSTITUTE(SUBSTITUTE(SUBSTITUTE(SUBSTITUTE(SUBSTITUTE(SUBSTITUTE(SUBSTITUTE(SUBSTITUTE(SUBSTITUTE(SUBSTITUTE(LOWER(TRIM(E674)),"á","a"),"é","e"),"í","i"),"ó","o"),"ú","u"),"ü","u"),"ñ","n"),"à","a"),"è","e"),"ì","i"),"ò","o"),"ù","u"),"")</f>
        <v/>
      </c>
      <c r="R674" s="25">
        <f>IF(AND(L674=1,I674&lt;&gt;""),SUBSTITUTE(SUBSTITUTE(SUBSTITUTE(SUBSTITUTE(SUBSTITUTE(SUBSTITUTE(SUBSTITUTE(SUBSTITUTE(SUBSTITUTE(SUBSTITUTE(SUBSTITUTE(SUBSTITUTE(LOWER(TRIM(I674)),"á","a"),"é","e"),"í","i"),"ó","o"),"ú","u"),"ü","u"),"ñ","n"),"à","a"),"è","e"),"ì","i"),"ò","o"),"ù","u"),"")</f>
        <v/>
      </c>
      <c r="S674" s="25">
        <f>IF(R674="","",IF(OR(R674="si",R674="tal vez"),1,0))</f>
        <v/>
      </c>
      <c r="T674" s="25">
        <f>IF(AND(L674=1,D674&lt;&gt;""),IF(IFERROR(COUNTIFS(D$3:D674,"="&amp;SUBSTITUTE(SUBSTITUTE(SUBSTITUTE(D674,"~","~~"),"*","~*"),"?","~?"),L$3:L674,1),0)=1,MAX(T$2:T673)+1,""),"")</f>
        <v/>
      </c>
      <c r="U674" s="25">
        <f>IF(T674="","",COUNTIFS($D$3:$D$1002,"="&amp;SUBSTITUTE(SUBSTITUTE(SUBSTITUTE(D674,"~","~~"),"*","~*"),"?","~?"),$L$3:$L$1002,1)*10000-T674)</f>
        <v/>
      </c>
      <c r="V674" s="25">
        <f>IF(AND(L674=1,J674&lt;&gt;""),IF(IFERROR(COUNTIFS(J$3:J674,"="&amp;SUBSTITUTE(SUBSTITUTE(SUBSTITUTE(J674,"~","~~"),"*","~*"),"?","~?"),L$3:L674,1),0)=1,MAX(V$2:V673)+1,""),"")</f>
        <v/>
      </c>
      <c r="W674" s="25">
        <f>IF(V674="","",COUNTIFS($J$3:$J$1002,"="&amp;SUBSTITUTE(SUBSTITUTE(SUBSTITUTE(J674,"~","~~"),"*","~*"),"?","~?"),$L$3:$L$1002,1)*10000-V674)</f>
        <v/>
      </c>
    </row>
    <row r="675">
      <c r="A675">
        <f>IF(A$2=0,"",IFERROR(TRIM(INDEX('Pegar estudiantes'!$A$1:$BZ$1001,674,A$2)&amp;""),""))</f>
        <v/>
      </c>
      <c r="B675">
        <f>IF(B$2=0,"",IFERROR(TRIM(INDEX('Pegar estudiantes'!$A$1:$BZ$1001,674,B$2)&amp;""),""))</f>
        <v/>
      </c>
      <c r="C675">
        <f>IF(C$2=0,"",IFERROR(TRIM(INDEX('Pegar estudiantes'!$A$1:$BZ$1001,674,C$2)&amp;""),""))</f>
        <v/>
      </c>
      <c r="D675">
        <f>IF(D$2=0,"",IFERROR(TRIM(INDEX('Pegar estudiantes'!$A$1:$BZ$1001,674,D$2)&amp;""),""))</f>
        <v/>
      </c>
      <c r="E675">
        <f>IF(E$2=0,"",IFERROR(TRIM(INDEX('Pegar estudiantes'!$A$1:$BZ$1001,674,E$2)&amp;""),""))</f>
        <v/>
      </c>
      <c r="F675">
        <f>IF(F$2=0,"",IFERROR(TRIM(INDEX('Pegar estudiantes'!$A$1:$BZ$1001,674,F$2)&amp;""),""))</f>
        <v/>
      </c>
      <c r="G675">
        <f>IF(G$2=0,"",IFERROR(TRIM(INDEX('Pegar estudiantes'!$A$1:$BZ$1001,674,G$2)&amp;""),""))</f>
        <v/>
      </c>
      <c r="H675">
        <f>IF(H$2=0,"",IFERROR(TRIM(INDEX('Pegar estudiantes'!$A$1:$BZ$1001,674,H$2)&amp;""),""))</f>
        <v/>
      </c>
      <c r="I675">
        <f>IF(I$2=0,"",IFERROR(TRIM(INDEX('Pegar estudiantes'!$A$1:$BZ$1001,674,I$2)&amp;""),""))</f>
        <v/>
      </c>
      <c r="J675">
        <f>IF(J$2=0,"",IFERROR(TRIM(INDEX('Pegar estudiantes'!$A$1:$BZ$1001,674,J$2)&amp;""),""))</f>
        <v/>
      </c>
      <c r="K675">
        <f>IF(K$2=0,"",IFERROR(TRIM(INDEX('Pegar estudiantes'!$A$1:$BZ$1001,674,K$2)&amp;""),""))</f>
        <v/>
      </c>
      <c r="L675" s="25">
        <f>IF(A675&lt;&gt;"",1,"")</f>
        <v/>
      </c>
      <c r="M675" s="25">
        <f>IF(L675=1,IF(ISNUMBER(FIND("#"&amp;MID(A675,1,1)&amp;"#","#0#1#2#3#4#5#6#7#8#9#")),IF(ISNUMBER(FIND("#"&amp;MID(A675,2,1)&amp;"#","#0#1#2#3#4#5#6#7#8#9#")),IF(AND(VALUE(LEFT(A675,2))&gt;=1,VALUE(LEFT(A675,2))&lt;=5),VALUE(LEFT(A675,2)),""),IF(AND(VALUE(LEFT(A675,1))&gt;=1,VALUE(LEFT(A675,1))&lt;=5),VALUE(LEFT(A675,1)),"")),""),"")</f>
        <v/>
      </c>
      <c r="N675" s="25">
        <f>IF(L675=1,IF(ISNUMBER(FIND("#"&amp;MID(H675,1,1)&amp;"#","#0#1#2#3#4#5#6#7#8#9#")),IF(ISNUMBER(FIND("#"&amp;MID(H675,2,1)&amp;"#","#0#1#2#3#4#5#6#7#8#9#")),IF(AND(VALUE(LEFT(H675,2))&gt;=1,VALUE(LEFT(H675,2))&lt;=5),VALUE(LEFT(H675,2)),""),IF(AND(VALUE(LEFT(H675,1))&gt;=1,VALUE(LEFT(H675,1))&lt;=5),VALUE(LEFT(H675,1)),"")),""),"")</f>
        <v/>
      </c>
      <c r="O675" s="25">
        <f>IF(AND(L675=1,B675&lt;&gt;""),SUBSTITUTE(SUBSTITUTE(SUBSTITUTE(SUBSTITUTE(SUBSTITUTE(SUBSTITUTE(SUBSTITUTE(SUBSTITUTE(SUBSTITUTE(SUBSTITUTE(SUBSTITUTE(SUBSTITUTE(LOWER(TRIM(B675)),"á","a"),"é","e"),"í","i"),"ó","o"),"ú","u"),"ü","u"),"ñ","n"),"à","a"),"è","e"),"ì","i"),"ò","o"),"ù","u"),"")</f>
        <v/>
      </c>
      <c r="P675" s="25">
        <f>IF(AND(L675=1,C675&lt;&gt;""),SUBSTITUTE(SUBSTITUTE(SUBSTITUTE(SUBSTITUTE(SUBSTITUTE(SUBSTITUTE(SUBSTITUTE(SUBSTITUTE(SUBSTITUTE(SUBSTITUTE(SUBSTITUTE(SUBSTITUTE(LOWER(TRIM(C675)),"á","a"),"é","e"),"í","i"),"ó","o"),"ú","u"),"ü","u"),"ñ","n"),"à","a"),"è","e"),"ì","i"),"ò","o"),"ù","u"),"")</f>
        <v/>
      </c>
      <c r="Q675" s="25">
        <f>IF(AND(L675=1,E675&lt;&gt;""),SUBSTITUTE(SUBSTITUTE(SUBSTITUTE(SUBSTITUTE(SUBSTITUTE(SUBSTITUTE(SUBSTITUTE(SUBSTITUTE(SUBSTITUTE(SUBSTITUTE(SUBSTITUTE(SUBSTITUTE(LOWER(TRIM(E675)),"á","a"),"é","e"),"í","i"),"ó","o"),"ú","u"),"ü","u"),"ñ","n"),"à","a"),"è","e"),"ì","i"),"ò","o"),"ù","u"),"")</f>
        <v/>
      </c>
      <c r="R675" s="25">
        <f>IF(AND(L675=1,I675&lt;&gt;""),SUBSTITUTE(SUBSTITUTE(SUBSTITUTE(SUBSTITUTE(SUBSTITUTE(SUBSTITUTE(SUBSTITUTE(SUBSTITUTE(SUBSTITUTE(SUBSTITUTE(SUBSTITUTE(SUBSTITUTE(LOWER(TRIM(I675)),"á","a"),"é","e"),"í","i"),"ó","o"),"ú","u"),"ü","u"),"ñ","n"),"à","a"),"è","e"),"ì","i"),"ò","o"),"ù","u"),"")</f>
        <v/>
      </c>
      <c r="S675" s="25">
        <f>IF(R675="","",IF(OR(R675="si",R675="tal vez"),1,0))</f>
        <v/>
      </c>
      <c r="T675" s="25">
        <f>IF(AND(L675=1,D675&lt;&gt;""),IF(IFERROR(COUNTIFS(D$3:D675,"="&amp;SUBSTITUTE(SUBSTITUTE(SUBSTITUTE(D675,"~","~~"),"*","~*"),"?","~?"),L$3:L675,1),0)=1,MAX(T$2:T674)+1,""),"")</f>
        <v/>
      </c>
      <c r="U675" s="25">
        <f>IF(T675="","",COUNTIFS($D$3:$D$1002,"="&amp;SUBSTITUTE(SUBSTITUTE(SUBSTITUTE(D675,"~","~~"),"*","~*"),"?","~?"),$L$3:$L$1002,1)*10000-T675)</f>
        <v/>
      </c>
      <c r="V675" s="25">
        <f>IF(AND(L675=1,J675&lt;&gt;""),IF(IFERROR(COUNTIFS(J$3:J675,"="&amp;SUBSTITUTE(SUBSTITUTE(SUBSTITUTE(J675,"~","~~"),"*","~*"),"?","~?"),L$3:L675,1),0)=1,MAX(V$2:V674)+1,""),"")</f>
        <v/>
      </c>
      <c r="W675" s="25">
        <f>IF(V675="","",COUNTIFS($J$3:$J$1002,"="&amp;SUBSTITUTE(SUBSTITUTE(SUBSTITUTE(J675,"~","~~"),"*","~*"),"?","~?"),$L$3:$L$1002,1)*10000-V675)</f>
        <v/>
      </c>
    </row>
    <row r="676">
      <c r="A676">
        <f>IF(A$2=0,"",IFERROR(TRIM(INDEX('Pegar estudiantes'!$A$1:$BZ$1001,675,A$2)&amp;""),""))</f>
        <v/>
      </c>
      <c r="B676">
        <f>IF(B$2=0,"",IFERROR(TRIM(INDEX('Pegar estudiantes'!$A$1:$BZ$1001,675,B$2)&amp;""),""))</f>
        <v/>
      </c>
      <c r="C676">
        <f>IF(C$2=0,"",IFERROR(TRIM(INDEX('Pegar estudiantes'!$A$1:$BZ$1001,675,C$2)&amp;""),""))</f>
        <v/>
      </c>
      <c r="D676">
        <f>IF(D$2=0,"",IFERROR(TRIM(INDEX('Pegar estudiantes'!$A$1:$BZ$1001,675,D$2)&amp;""),""))</f>
        <v/>
      </c>
      <c r="E676">
        <f>IF(E$2=0,"",IFERROR(TRIM(INDEX('Pegar estudiantes'!$A$1:$BZ$1001,675,E$2)&amp;""),""))</f>
        <v/>
      </c>
      <c r="F676">
        <f>IF(F$2=0,"",IFERROR(TRIM(INDEX('Pegar estudiantes'!$A$1:$BZ$1001,675,F$2)&amp;""),""))</f>
        <v/>
      </c>
      <c r="G676">
        <f>IF(G$2=0,"",IFERROR(TRIM(INDEX('Pegar estudiantes'!$A$1:$BZ$1001,675,G$2)&amp;""),""))</f>
        <v/>
      </c>
      <c r="H676">
        <f>IF(H$2=0,"",IFERROR(TRIM(INDEX('Pegar estudiantes'!$A$1:$BZ$1001,675,H$2)&amp;""),""))</f>
        <v/>
      </c>
      <c r="I676">
        <f>IF(I$2=0,"",IFERROR(TRIM(INDEX('Pegar estudiantes'!$A$1:$BZ$1001,675,I$2)&amp;""),""))</f>
        <v/>
      </c>
      <c r="J676">
        <f>IF(J$2=0,"",IFERROR(TRIM(INDEX('Pegar estudiantes'!$A$1:$BZ$1001,675,J$2)&amp;""),""))</f>
        <v/>
      </c>
      <c r="K676">
        <f>IF(K$2=0,"",IFERROR(TRIM(INDEX('Pegar estudiantes'!$A$1:$BZ$1001,675,K$2)&amp;""),""))</f>
        <v/>
      </c>
      <c r="L676" s="25">
        <f>IF(A676&lt;&gt;"",1,"")</f>
        <v/>
      </c>
      <c r="M676" s="25">
        <f>IF(L676=1,IF(ISNUMBER(FIND("#"&amp;MID(A676,1,1)&amp;"#","#0#1#2#3#4#5#6#7#8#9#")),IF(ISNUMBER(FIND("#"&amp;MID(A676,2,1)&amp;"#","#0#1#2#3#4#5#6#7#8#9#")),IF(AND(VALUE(LEFT(A676,2))&gt;=1,VALUE(LEFT(A676,2))&lt;=5),VALUE(LEFT(A676,2)),""),IF(AND(VALUE(LEFT(A676,1))&gt;=1,VALUE(LEFT(A676,1))&lt;=5),VALUE(LEFT(A676,1)),"")),""),"")</f>
        <v/>
      </c>
      <c r="N676" s="25">
        <f>IF(L676=1,IF(ISNUMBER(FIND("#"&amp;MID(H676,1,1)&amp;"#","#0#1#2#3#4#5#6#7#8#9#")),IF(ISNUMBER(FIND("#"&amp;MID(H676,2,1)&amp;"#","#0#1#2#3#4#5#6#7#8#9#")),IF(AND(VALUE(LEFT(H676,2))&gt;=1,VALUE(LEFT(H676,2))&lt;=5),VALUE(LEFT(H676,2)),""),IF(AND(VALUE(LEFT(H676,1))&gt;=1,VALUE(LEFT(H676,1))&lt;=5),VALUE(LEFT(H676,1)),"")),""),"")</f>
        <v/>
      </c>
      <c r="O676" s="25">
        <f>IF(AND(L676=1,B676&lt;&gt;""),SUBSTITUTE(SUBSTITUTE(SUBSTITUTE(SUBSTITUTE(SUBSTITUTE(SUBSTITUTE(SUBSTITUTE(SUBSTITUTE(SUBSTITUTE(SUBSTITUTE(SUBSTITUTE(SUBSTITUTE(LOWER(TRIM(B676)),"á","a"),"é","e"),"í","i"),"ó","o"),"ú","u"),"ü","u"),"ñ","n"),"à","a"),"è","e"),"ì","i"),"ò","o"),"ù","u"),"")</f>
        <v/>
      </c>
      <c r="P676" s="25">
        <f>IF(AND(L676=1,C676&lt;&gt;""),SUBSTITUTE(SUBSTITUTE(SUBSTITUTE(SUBSTITUTE(SUBSTITUTE(SUBSTITUTE(SUBSTITUTE(SUBSTITUTE(SUBSTITUTE(SUBSTITUTE(SUBSTITUTE(SUBSTITUTE(LOWER(TRIM(C676)),"á","a"),"é","e"),"í","i"),"ó","o"),"ú","u"),"ü","u"),"ñ","n"),"à","a"),"è","e"),"ì","i"),"ò","o"),"ù","u"),"")</f>
        <v/>
      </c>
      <c r="Q676" s="25">
        <f>IF(AND(L676=1,E676&lt;&gt;""),SUBSTITUTE(SUBSTITUTE(SUBSTITUTE(SUBSTITUTE(SUBSTITUTE(SUBSTITUTE(SUBSTITUTE(SUBSTITUTE(SUBSTITUTE(SUBSTITUTE(SUBSTITUTE(SUBSTITUTE(LOWER(TRIM(E676)),"á","a"),"é","e"),"í","i"),"ó","o"),"ú","u"),"ü","u"),"ñ","n"),"à","a"),"è","e"),"ì","i"),"ò","o"),"ù","u"),"")</f>
        <v/>
      </c>
      <c r="R676" s="25">
        <f>IF(AND(L676=1,I676&lt;&gt;""),SUBSTITUTE(SUBSTITUTE(SUBSTITUTE(SUBSTITUTE(SUBSTITUTE(SUBSTITUTE(SUBSTITUTE(SUBSTITUTE(SUBSTITUTE(SUBSTITUTE(SUBSTITUTE(SUBSTITUTE(LOWER(TRIM(I676)),"á","a"),"é","e"),"í","i"),"ó","o"),"ú","u"),"ü","u"),"ñ","n"),"à","a"),"è","e"),"ì","i"),"ò","o"),"ù","u"),"")</f>
        <v/>
      </c>
      <c r="S676" s="25">
        <f>IF(R676="","",IF(OR(R676="si",R676="tal vez"),1,0))</f>
        <v/>
      </c>
      <c r="T676" s="25">
        <f>IF(AND(L676=1,D676&lt;&gt;""),IF(IFERROR(COUNTIFS(D$3:D676,"="&amp;SUBSTITUTE(SUBSTITUTE(SUBSTITUTE(D676,"~","~~"),"*","~*"),"?","~?"),L$3:L676,1),0)=1,MAX(T$2:T675)+1,""),"")</f>
        <v/>
      </c>
      <c r="U676" s="25">
        <f>IF(T676="","",COUNTIFS($D$3:$D$1002,"="&amp;SUBSTITUTE(SUBSTITUTE(SUBSTITUTE(D676,"~","~~"),"*","~*"),"?","~?"),$L$3:$L$1002,1)*10000-T676)</f>
        <v/>
      </c>
      <c r="V676" s="25">
        <f>IF(AND(L676=1,J676&lt;&gt;""),IF(IFERROR(COUNTIFS(J$3:J676,"="&amp;SUBSTITUTE(SUBSTITUTE(SUBSTITUTE(J676,"~","~~"),"*","~*"),"?","~?"),L$3:L676,1),0)=1,MAX(V$2:V675)+1,""),"")</f>
        <v/>
      </c>
      <c r="W676" s="25">
        <f>IF(V676="","",COUNTIFS($J$3:$J$1002,"="&amp;SUBSTITUTE(SUBSTITUTE(SUBSTITUTE(J676,"~","~~"),"*","~*"),"?","~?"),$L$3:$L$1002,1)*10000-V676)</f>
        <v/>
      </c>
    </row>
    <row r="677">
      <c r="A677">
        <f>IF(A$2=0,"",IFERROR(TRIM(INDEX('Pegar estudiantes'!$A$1:$BZ$1001,676,A$2)&amp;""),""))</f>
        <v/>
      </c>
      <c r="B677">
        <f>IF(B$2=0,"",IFERROR(TRIM(INDEX('Pegar estudiantes'!$A$1:$BZ$1001,676,B$2)&amp;""),""))</f>
        <v/>
      </c>
      <c r="C677">
        <f>IF(C$2=0,"",IFERROR(TRIM(INDEX('Pegar estudiantes'!$A$1:$BZ$1001,676,C$2)&amp;""),""))</f>
        <v/>
      </c>
      <c r="D677">
        <f>IF(D$2=0,"",IFERROR(TRIM(INDEX('Pegar estudiantes'!$A$1:$BZ$1001,676,D$2)&amp;""),""))</f>
        <v/>
      </c>
      <c r="E677">
        <f>IF(E$2=0,"",IFERROR(TRIM(INDEX('Pegar estudiantes'!$A$1:$BZ$1001,676,E$2)&amp;""),""))</f>
        <v/>
      </c>
      <c r="F677">
        <f>IF(F$2=0,"",IFERROR(TRIM(INDEX('Pegar estudiantes'!$A$1:$BZ$1001,676,F$2)&amp;""),""))</f>
        <v/>
      </c>
      <c r="G677">
        <f>IF(G$2=0,"",IFERROR(TRIM(INDEX('Pegar estudiantes'!$A$1:$BZ$1001,676,G$2)&amp;""),""))</f>
        <v/>
      </c>
      <c r="H677">
        <f>IF(H$2=0,"",IFERROR(TRIM(INDEX('Pegar estudiantes'!$A$1:$BZ$1001,676,H$2)&amp;""),""))</f>
        <v/>
      </c>
      <c r="I677">
        <f>IF(I$2=0,"",IFERROR(TRIM(INDEX('Pegar estudiantes'!$A$1:$BZ$1001,676,I$2)&amp;""),""))</f>
        <v/>
      </c>
      <c r="J677">
        <f>IF(J$2=0,"",IFERROR(TRIM(INDEX('Pegar estudiantes'!$A$1:$BZ$1001,676,J$2)&amp;""),""))</f>
        <v/>
      </c>
      <c r="K677">
        <f>IF(K$2=0,"",IFERROR(TRIM(INDEX('Pegar estudiantes'!$A$1:$BZ$1001,676,K$2)&amp;""),""))</f>
        <v/>
      </c>
      <c r="L677" s="25">
        <f>IF(A677&lt;&gt;"",1,"")</f>
        <v/>
      </c>
      <c r="M677" s="25">
        <f>IF(L677=1,IF(ISNUMBER(FIND("#"&amp;MID(A677,1,1)&amp;"#","#0#1#2#3#4#5#6#7#8#9#")),IF(ISNUMBER(FIND("#"&amp;MID(A677,2,1)&amp;"#","#0#1#2#3#4#5#6#7#8#9#")),IF(AND(VALUE(LEFT(A677,2))&gt;=1,VALUE(LEFT(A677,2))&lt;=5),VALUE(LEFT(A677,2)),""),IF(AND(VALUE(LEFT(A677,1))&gt;=1,VALUE(LEFT(A677,1))&lt;=5),VALUE(LEFT(A677,1)),"")),""),"")</f>
        <v/>
      </c>
      <c r="N677" s="25">
        <f>IF(L677=1,IF(ISNUMBER(FIND("#"&amp;MID(H677,1,1)&amp;"#","#0#1#2#3#4#5#6#7#8#9#")),IF(ISNUMBER(FIND("#"&amp;MID(H677,2,1)&amp;"#","#0#1#2#3#4#5#6#7#8#9#")),IF(AND(VALUE(LEFT(H677,2))&gt;=1,VALUE(LEFT(H677,2))&lt;=5),VALUE(LEFT(H677,2)),""),IF(AND(VALUE(LEFT(H677,1))&gt;=1,VALUE(LEFT(H677,1))&lt;=5),VALUE(LEFT(H677,1)),"")),""),"")</f>
        <v/>
      </c>
      <c r="O677" s="25">
        <f>IF(AND(L677=1,B677&lt;&gt;""),SUBSTITUTE(SUBSTITUTE(SUBSTITUTE(SUBSTITUTE(SUBSTITUTE(SUBSTITUTE(SUBSTITUTE(SUBSTITUTE(SUBSTITUTE(SUBSTITUTE(SUBSTITUTE(SUBSTITUTE(LOWER(TRIM(B677)),"á","a"),"é","e"),"í","i"),"ó","o"),"ú","u"),"ü","u"),"ñ","n"),"à","a"),"è","e"),"ì","i"),"ò","o"),"ù","u"),"")</f>
        <v/>
      </c>
      <c r="P677" s="25">
        <f>IF(AND(L677=1,C677&lt;&gt;""),SUBSTITUTE(SUBSTITUTE(SUBSTITUTE(SUBSTITUTE(SUBSTITUTE(SUBSTITUTE(SUBSTITUTE(SUBSTITUTE(SUBSTITUTE(SUBSTITUTE(SUBSTITUTE(SUBSTITUTE(LOWER(TRIM(C677)),"á","a"),"é","e"),"í","i"),"ó","o"),"ú","u"),"ü","u"),"ñ","n"),"à","a"),"è","e"),"ì","i"),"ò","o"),"ù","u"),"")</f>
        <v/>
      </c>
      <c r="Q677" s="25">
        <f>IF(AND(L677=1,E677&lt;&gt;""),SUBSTITUTE(SUBSTITUTE(SUBSTITUTE(SUBSTITUTE(SUBSTITUTE(SUBSTITUTE(SUBSTITUTE(SUBSTITUTE(SUBSTITUTE(SUBSTITUTE(SUBSTITUTE(SUBSTITUTE(LOWER(TRIM(E677)),"á","a"),"é","e"),"í","i"),"ó","o"),"ú","u"),"ü","u"),"ñ","n"),"à","a"),"è","e"),"ì","i"),"ò","o"),"ù","u"),"")</f>
        <v/>
      </c>
      <c r="R677" s="25">
        <f>IF(AND(L677=1,I677&lt;&gt;""),SUBSTITUTE(SUBSTITUTE(SUBSTITUTE(SUBSTITUTE(SUBSTITUTE(SUBSTITUTE(SUBSTITUTE(SUBSTITUTE(SUBSTITUTE(SUBSTITUTE(SUBSTITUTE(SUBSTITUTE(LOWER(TRIM(I677)),"á","a"),"é","e"),"í","i"),"ó","o"),"ú","u"),"ü","u"),"ñ","n"),"à","a"),"è","e"),"ì","i"),"ò","o"),"ù","u"),"")</f>
        <v/>
      </c>
      <c r="S677" s="25">
        <f>IF(R677="","",IF(OR(R677="si",R677="tal vez"),1,0))</f>
        <v/>
      </c>
      <c r="T677" s="25">
        <f>IF(AND(L677=1,D677&lt;&gt;""),IF(IFERROR(COUNTIFS(D$3:D677,"="&amp;SUBSTITUTE(SUBSTITUTE(SUBSTITUTE(D677,"~","~~"),"*","~*"),"?","~?"),L$3:L677,1),0)=1,MAX(T$2:T676)+1,""),"")</f>
        <v/>
      </c>
      <c r="U677" s="25">
        <f>IF(T677="","",COUNTIFS($D$3:$D$1002,"="&amp;SUBSTITUTE(SUBSTITUTE(SUBSTITUTE(D677,"~","~~"),"*","~*"),"?","~?"),$L$3:$L$1002,1)*10000-T677)</f>
        <v/>
      </c>
      <c r="V677" s="25">
        <f>IF(AND(L677=1,J677&lt;&gt;""),IF(IFERROR(COUNTIFS(J$3:J677,"="&amp;SUBSTITUTE(SUBSTITUTE(SUBSTITUTE(J677,"~","~~"),"*","~*"),"?","~?"),L$3:L677,1),0)=1,MAX(V$2:V676)+1,""),"")</f>
        <v/>
      </c>
      <c r="W677" s="25">
        <f>IF(V677="","",COUNTIFS($J$3:$J$1002,"="&amp;SUBSTITUTE(SUBSTITUTE(SUBSTITUTE(J677,"~","~~"),"*","~*"),"?","~?"),$L$3:$L$1002,1)*10000-V677)</f>
        <v/>
      </c>
    </row>
    <row r="678">
      <c r="A678">
        <f>IF(A$2=0,"",IFERROR(TRIM(INDEX('Pegar estudiantes'!$A$1:$BZ$1001,677,A$2)&amp;""),""))</f>
        <v/>
      </c>
      <c r="B678">
        <f>IF(B$2=0,"",IFERROR(TRIM(INDEX('Pegar estudiantes'!$A$1:$BZ$1001,677,B$2)&amp;""),""))</f>
        <v/>
      </c>
      <c r="C678">
        <f>IF(C$2=0,"",IFERROR(TRIM(INDEX('Pegar estudiantes'!$A$1:$BZ$1001,677,C$2)&amp;""),""))</f>
        <v/>
      </c>
      <c r="D678">
        <f>IF(D$2=0,"",IFERROR(TRIM(INDEX('Pegar estudiantes'!$A$1:$BZ$1001,677,D$2)&amp;""),""))</f>
        <v/>
      </c>
      <c r="E678">
        <f>IF(E$2=0,"",IFERROR(TRIM(INDEX('Pegar estudiantes'!$A$1:$BZ$1001,677,E$2)&amp;""),""))</f>
        <v/>
      </c>
      <c r="F678">
        <f>IF(F$2=0,"",IFERROR(TRIM(INDEX('Pegar estudiantes'!$A$1:$BZ$1001,677,F$2)&amp;""),""))</f>
        <v/>
      </c>
      <c r="G678">
        <f>IF(G$2=0,"",IFERROR(TRIM(INDEX('Pegar estudiantes'!$A$1:$BZ$1001,677,G$2)&amp;""),""))</f>
        <v/>
      </c>
      <c r="H678">
        <f>IF(H$2=0,"",IFERROR(TRIM(INDEX('Pegar estudiantes'!$A$1:$BZ$1001,677,H$2)&amp;""),""))</f>
        <v/>
      </c>
      <c r="I678">
        <f>IF(I$2=0,"",IFERROR(TRIM(INDEX('Pegar estudiantes'!$A$1:$BZ$1001,677,I$2)&amp;""),""))</f>
        <v/>
      </c>
      <c r="J678">
        <f>IF(J$2=0,"",IFERROR(TRIM(INDEX('Pegar estudiantes'!$A$1:$BZ$1001,677,J$2)&amp;""),""))</f>
        <v/>
      </c>
      <c r="K678">
        <f>IF(K$2=0,"",IFERROR(TRIM(INDEX('Pegar estudiantes'!$A$1:$BZ$1001,677,K$2)&amp;""),""))</f>
        <v/>
      </c>
      <c r="L678" s="25">
        <f>IF(A678&lt;&gt;"",1,"")</f>
        <v/>
      </c>
      <c r="M678" s="25">
        <f>IF(L678=1,IF(ISNUMBER(FIND("#"&amp;MID(A678,1,1)&amp;"#","#0#1#2#3#4#5#6#7#8#9#")),IF(ISNUMBER(FIND("#"&amp;MID(A678,2,1)&amp;"#","#0#1#2#3#4#5#6#7#8#9#")),IF(AND(VALUE(LEFT(A678,2))&gt;=1,VALUE(LEFT(A678,2))&lt;=5),VALUE(LEFT(A678,2)),""),IF(AND(VALUE(LEFT(A678,1))&gt;=1,VALUE(LEFT(A678,1))&lt;=5),VALUE(LEFT(A678,1)),"")),""),"")</f>
        <v/>
      </c>
      <c r="N678" s="25">
        <f>IF(L678=1,IF(ISNUMBER(FIND("#"&amp;MID(H678,1,1)&amp;"#","#0#1#2#3#4#5#6#7#8#9#")),IF(ISNUMBER(FIND("#"&amp;MID(H678,2,1)&amp;"#","#0#1#2#3#4#5#6#7#8#9#")),IF(AND(VALUE(LEFT(H678,2))&gt;=1,VALUE(LEFT(H678,2))&lt;=5),VALUE(LEFT(H678,2)),""),IF(AND(VALUE(LEFT(H678,1))&gt;=1,VALUE(LEFT(H678,1))&lt;=5),VALUE(LEFT(H678,1)),"")),""),"")</f>
        <v/>
      </c>
      <c r="O678" s="25">
        <f>IF(AND(L678=1,B678&lt;&gt;""),SUBSTITUTE(SUBSTITUTE(SUBSTITUTE(SUBSTITUTE(SUBSTITUTE(SUBSTITUTE(SUBSTITUTE(SUBSTITUTE(SUBSTITUTE(SUBSTITUTE(SUBSTITUTE(SUBSTITUTE(LOWER(TRIM(B678)),"á","a"),"é","e"),"í","i"),"ó","o"),"ú","u"),"ü","u"),"ñ","n"),"à","a"),"è","e"),"ì","i"),"ò","o"),"ù","u"),"")</f>
        <v/>
      </c>
      <c r="P678" s="25">
        <f>IF(AND(L678=1,C678&lt;&gt;""),SUBSTITUTE(SUBSTITUTE(SUBSTITUTE(SUBSTITUTE(SUBSTITUTE(SUBSTITUTE(SUBSTITUTE(SUBSTITUTE(SUBSTITUTE(SUBSTITUTE(SUBSTITUTE(SUBSTITUTE(LOWER(TRIM(C678)),"á","a"),"é","e"),"í","i"),"ó","o"),"ú","u"),"ü","u"),"ñ","n"),"à","a"),"è","e"),"ì","i"),"ò","o"),"ù","u"),"")</f>
        <v/>
      </c>
      <c r="Q678" s="25">
        <f>IF(AND(L678=1,E678&lt;&gt;""),SUBSTITUTE(SUBSTITUTE(SUBSTITUTE(SUBSTITUTE(SUBSTITUTE(SUBSTITUTE(SUBSTITUTE(SUBSTITUTE(SUBSTITUTE(SUBSTITUTE(SUBSTITUTE(SUBSTITUTE(LOWER(TRIM(E678)),"á","a"),"é","e"),"í","i"),"ó","o"),"ú","u"),"ü","u"),"ñ","n"),"à","a"),"è","e"),"ì","i"),"ò","o"),"ù","u"),"")</f>
        <v/>
      </c>
      <c r="R678" s="25">
        <f>IF(AND(L678=1,I678&lt;&gt;""),SUBSTITUTE(SUBSTITUTE(SUBSTITUTE(SUBSTITUTE(SUBSTITUTE(SUBSTITUTE(SUBSTITUTE(SUBSTITUTE(SUBSTITUTE(SUBSTITUTE(SUBSTITUTE(SUBSTITUTE(LOWER(TRIM(I678)),"á","a"),"é","e"),"í","i"),"ó","o"),"ú","u"),"ü","u"),"ñ","n"),"à","a"),"è","e"),"ì","i"),"ò","o"),"ù","u"),"")</f>
        <v/>
      </c>
      <c r="S678" s="25">
        <f>IF(R678="","",IF(OR(R678="si",R678="tal vez"),1,0))</f>
        <v/>
      </c>
      <c r="T678" s="25">
        <f>IF(AND(L678=1,D678&lt;&gt;""),IF(IFERROR(COUNTIFS(D$3:D678,"="&amp;SUBSTITUTE(SUBSTITUTE(SUBSTITUTE(D678,"~","~~"),"*","~*"),"?","~?"),L$3:L678,1),0)=1,MAX(T$2:T677)+1,""),"")</f>
        <v/>
      </c>
      <c r="U678" s="25">
        <f>IF(T678="","",COUNTIFS($D$3:$D$1002,"="&amp;SUBSTITUTE(SUBSTITUTE(SUBSTITUTE(D678,"~","~~"),"*","~*"),"?","~?"),$L$3:$L$1002,1)*10000-T678)</f>
        <v/>
      </c>
      <c r="V678" s="25">
        <f>IF(AND(L678=1,J678&lt;&gt;""),IF(IFERROR(COUNTIFS(J$3:J678,"="&amp;SUBSTITUTE(SUBSTITUTE(SUBSTITUTE(J678,"~","~~"),"*","~*"),"?","~?"),L$3:L678,1),0)=1,MAX(V$2:V677)+1,""),"")</f>
        <v/>
      </c>
      <c r="W678" s="25">
        <f>IF(V678="","",COUNTIFS($J$3:$J$1002,"="&amp;SUBSTITUTE(SUBSTITUTE(SUBSTITUTE(J678,"~","~~"),"*","~*"),"?","~?"),$L$3:$L$1002,1)*10000-V678)</f>
        <v/>
      </c>
    </row>
    <row r="679">
      <c r="A679">
        <f>IF(A$2=0,"",IFERROR(TRIM(INDEX('Pegar estudiantes'!$A$1:$BZ$1001,678,A$2)&amp;""),""))</f>
        <v/>
      </c>
      <c r="B679">
        <f>IF(B$2=0,"",IFERROR(TRIM(INDEX('Pegar estudiantes'!$A$1:$BZ$1001,678,B$2)&amp;""),""))</f>
        <v/>
      </c>
      <c r="C679">
        <f>IF(C$2=0,"",IFERROR(TRIM(INDEX('Pegar estudiantes'!$A$1:$BZ$1001,678,C$2)&amp;""),""))</f>
        <v/>
      </c>
      <c r="D679">
        <f>IF(D$2=0,"",IFERROR(TRIM(INDEX('Pegar estudiantes'!$A$1:$BZ$1001,678,D$2)&amp;""),""))</f>
        <v/>
      </c>
      <c r="E679">
        <f>IF(E$2=0,"",IFERROR(TRIM(INDEX('Pegar estudiantes'!$A$1:$BZ$1001,678,E$2)&amp;""),""))</f>
        <v/>
      </c>
      <c r="F679">
        <f>IF(F$2=0,"",IFERROR(TRIM(INDEX('Pegar estudiantes'!$A$1:$BZ$1001,678,F$2)&amp;""),""))</f>
        <v/>
      </c>
      <c r="G679">
        <f>IF(G$2=0,"",IFERROR(TRIM(INDEX('Pegar estudiantes'!$A$1:$BZ$1001,678,G$2)&amp;""),""))</f>
        <v/>
      </c>
      <c r="H679">
        <f>IF(H$2=0,"",IFERROR(TRIM(INDEX('Pegar estudiantes'!$A$1:$BZ$1001,678,H$2)&amp;""),""))</f>
        <v/>
      </c>
      <c r="I679">
        <f>IF(I$2=0,"",IFERROR(TRIM(INDEX('Pegar estudiantes'!$A$1:$BZ$1001,678,I$2)&amp;""),""))</f>
        <v/>
      </c>
      <c r="J679">
        <f>IF(J$2=0,"",IFERROR(TRIM(INDEX('Pegar estudiantes'!$A$1:$BZ$1001,678,J$2)&amp;""),""))</f>
        <v/>
      </c>
      <c r="K679">
        <f>IF(K$2=0,"",IFERROR(TRIM(INDEX('Pegar estudiantes'!$A$1:$BZ$1001,678,K$2)&amp;""),""))</f>
        <v/>
      </c>
      <c r="L679" s="25">
        <f>IF(A679&lt;&gt;"",1,"")</f>
        <v/>
      </c>
      <c r="M679" s="25">
        <f>IF(L679=1,IF(ISNUMBER(FIND("#"&amp;MID(A679,1,1)&amp;"#","#0#1#2#3#4#5#6#7#8#9#")),IF(ISNUMBER(FIND("#"&amp;MID(A679,2,1)&amp;"#","#0#1#2#3#4#5#6#7#8#9#")),IF(AND(VALUE(LEFT(A679,2))&gt;=1,VALUE(LEFT(A679,2))&lt;=5),VALUE(LEFT(A679,2)),""),IF(AND(VALUE(LEFT(A679,1))&gt;=1,VALUE(LEFT(A679,1))&lt;=5),VALUE(LEFT(A679,1)),"")),""),"")</f>
        <v/>
      </c>
      <c r="N679" s="25">
        <f>IF(L679=1,IF(ISNUMBER(FIND("#"&amp;MID(H679,1,1)&amp;"#","#0#1#2#3#4#5#6#7#8#9#")),IF(ISNUMBER(FIND("#"&amp;MID(H679,2,1)&amp;"#","#0#1#2#3#4#5#6#7#8#9#")),IF(AND(VALUE(LEFT(H679,2))&gt;=1,VALUE(LEFT(H679,2))&lt;=5),VALUE(LEFT(H679,2)),""),IF(AND(VALUE(LEFT(H679,1))&gt;=1,VALUE(LEFT(H679,1))&lt;=5),VALUE(LEFT(H679,1)),"")),""),"")</f>
        <v/>
      </c>
      <c r="O679" s="25">
        <f>IF(AND(L679=1,B679&lt;&gt;""),SUBSTITUTE(SUBSTITUTE(SUBSTITUTE(SUBSTITUTE(SUBSTITUTE(SUBSTITUTE(SUBSTITUTE(SUBSTITUTE(SUBSTITUTE(SUBSTITUTE(SUBSTITUTE(SUBSTITUTE(LOWER(TRIM(B679)),"á","a"),"é","e"),"í","i"),"ó","o"),"ú","u"),"ü","u"),"ñ","n"),"à","a"),"è","e"),"ì","i"),"ò","o"),"ù","u"),"")</f>
        <v/>
      </c>
      <c r="P679" s="25">
        <f>IF(AND(L679=1,C679&lt;&gt;""),SUBSTITUTE(SUBSTITUTE(SUBSTITUTE(SUBSTITUTE(SUBSTITUTE(SUBSTITUTE(SUBSTITUTE(SUBSTITUTE(SUBSTITUTE(SUBSTITUTE(SUBSTITUTE(SUBSTITUTE(LOWER(TRIM(C679)),"á","a"),"é","e"),"í","i"),"ó","o"),"ú","u"),"ü","u"),"ñ","n"),"à","a"),"è","e"),"ì","i"),"ò","o"),"ù","u"),"")</f>
        <v/>
      </c>
      <c r="Q679" s="25">
        <f>IF(AND(L679=1,E679&lt;&gt;""),SUBSTITUTE(SUBSTITUTE(SUBSTITUTE(SUBSTITUTE(SUBSTITUTE(SUBSTITUTE(SUBSTITUTE(SUBSTITUTE(SUBSTITUTE(SUBSTITUTE(SUBSTITUTE(SUBSTITUTE(LOWER(TRIM(E679)),"á","a"),"é","e"),"í","i"),"ó","o"),"ú","u"),"ü","u"),"ñ","n"),"à","a"),"è","e"),"ì","i"),"ò","o"),"ù","u"),"")</f>
        <v/>
      </c>
      <c r="R679" s="25">
        <f>IF(AND(L679=1,I679&lt;&gt;""),SUBSTITUTE(SUBSTITUTE(SUBSTITUTE(SUBSTITUTE(SUBSTITUTE(SUBSTITUTE(SUBSTITUTE(SUBSTITUTE(SUBSTITUTE(SUBSTITUTE(SUBSTITUTE(SUBSTITUTE(LOWER(TRIM(I679)),"á","a"),"é","e"),"í","i"),"ó","o"),"ú","u"),"ü","u"),"ñ","n"),"à","a"),"è","e"),"ì","i"),"ò","o"),"ù","u"),"")</f>
        <v/>
      </c>
      <c r="S679" s="25">
        <f>IF(R679="","",IF(OR(R679="si",R679="tal vez"),1,0))</f>
        <v/>
      </c>
      <c r="T679" s="25">
        <f>IF(AND(L679=1,D679&lt;&gt;""),IF(IFERROR(COUNTIFS(D$3:D679,"="&amp;SUBSTITUTE(SUBSTITUTE(SUBSTITUTE(D679,"~","~~"),"*","~*"),"?","~?"),L$3:L679,1),0)=1,MAX(T$2:T678)+1,""),"")</f>
        <v/>
      </c>
      <c r="U679" s="25">
        <f>IF(T679="","",COUNTIFS($D$3:$D$1002,"="&amp;SUBSTITUTE(SUBSTITUTE(SUBSTITUTE(D679,"~","~~"),"*","~*"),"?","~?"),$L$3:$L$1002,1)*10000-T679)</f>
        <v/>
      </c>
      <c r="V679" s="25">
        <f>IF(AND(L679=1,J679&lt;&gt;""),IF(IFERROR(COUNTIFS(J$3:J679,"="&amp;SUBSTITUTE(SUBSTITUTE(SUBSTITUTE(J679,"~","~~"),"*","~*"),"?","~?"),L$3:L679,1),0)=1,MAX(V$2:V678)+1,""),"")</f>
        <v/>
      </c>
      <c r="W679" s="25">
        <f>IF(V679="","",COUNTIFS($J$3:$J$1002,"="&amp;SUBSTITUTE(SUBSTITUTE(SUBSTITUTE(J679,"~","~~"),"*","~*"),"?","~?"),$L$3:$L$1002,1)*10000-V679)</f>
        <v/>
      </c>
    </row>
    <row r="680">
      <c r="A680">
        <f>IF(A$2=0,"",IFERROR(TRIM(INDEX('Pegar estudiantes'!$A$1:$BZ$1001,679,A$2)&amp;""),""))</f>
        <v/>
      </c>
      <c r="B680">
        <f>IF(B$2=0,"",IFERROR(TRIM(INDEX('Pegar estudiantes'!$A$1:$BZ$1001,679,B$2)&amp;""),""))</f>
        <v/>
      </c>
      <c r="C680">
        <f>IF(C$2=0,"",IFERROR(TRIM(INDEX('Pegar estudiantes'!$A$1:$BZ$1001,679,C$2)&amp;""),""))</f>
        <v/>
      </c>
      <c r="D680">
        <f>IF(D$2=0,"",IFERROR(TRIM(INDEX('Pegar estudiantes'!$A$1:$BZ$1001,679,D$2)&amp;""),""))</f>
        <v/>
      </c>
      <c r="E680">
        <f>IF(E$2=0,"",IFERROR(TRIM(INDEX('Pegar estudiantes'!$A$1:$BZ$1001,679,E$2)&amp;""),""))</f>
        <v/>
      </c>
      <c r="F680">
        <f>IF(F$2=0,"",IFERROR(TRIM(INDEX('Pegar estudiantes'!$A$1:$BZ$1001,679,F$2)&amp;""),""))</f>
        <v/>
      </c>
      <c r="G680">
        <f>IF(G$2=0,"",IFERROR(TRIM(INDEX('Pegar estudiantes'!$A$1:$BZ$1001,679,G$2)&amp;""),""))</f>
        <v/>
      </c>
      <c r="H680">
        <f>IF(H$2=0,"",IFERROR(TRIM(INDEX('Pegar estudiantes'!$A$1:$BZ$1001,679,H$2)&amp;""),""))</f>
        <v/>
      </c>
      <c r="I680">
        <f>IF(I$2=0,"",IFERROR(TRIM(INDEX('Pegar estudiantes'!$A$1:$BZ$1001,679,I$2)&amp;""),""))</f>
        <v/>
      </c>
      <c r="J680">
        <f>IF(J$2=0,"",IFERROR(TRIM(INDEX('Pegar estudiantes'!$A$1:$BZ$1001,679,J$2)&amp;""),""))</f>
        <v/>
      </c>
      <c r="K680">
        <f>IF(K$2=0,"",IFERROR(TRIM(INDEX('Pegar estudiantes'!$A$1:$BZ$1001,679,K$2)&amp;""),""))</f>
        <v/>
      </c>
      <c r="L680" s="25">
        <f>IF(A680&lt;&gt;"",1,"")</f>
        <v/>
      </c>
      <c r="M680" s="25">
        <f>IF(L680=1,IF(ISNUMBER(FIND("#"&amp;MID(A680,1,1)&amp;"#","#0#1#2#3#4#5#6#7#8#9#")),IF(ISNUMBER(FIND("#"&amp;MID(A680,2,1)&amp;"#","#0#1#2#3#4#5#6#7#8#9#")),IF(AND(VALUE(LEFT(A680,2))&gt;=1,VALUE(LEFT(A680,2))&lt;=5),VALUE(LEFT(A680,2)),""),IF(AND(VALUE(LEFT(A680,1))&gt;=1,VALUE(LEFT(A680,1))&lt;=5),VALUE(LEFT(A680,1)),"")),""),"")</f>
        <v/>
      </c>
      <c r="N680" s="25">
        <f>IF(L680=1,IF(ISNUMBER(FIND("#"&amp;MID(H680,1,1)&amp;"#","#0#1#2#3#4#5#6#7#8#9#")),IF(ISNUMBER(FIND("#"&amp;MID(H680,2,1)&amp;"#","#0#1#2#3#4#5#6#7#8#9#")),IF(AND(VALUE(LEFT(H680,2))&gt;=1,VALUE(LEFT(H680,2))&lt;=5),VALUE(LEFT(H680,2)),""),IF(AND(VALUE(LEFT(H680,1))&gt;=1,VALUE(LEFT(H680,1))&lt;=5),VALUE(LEFT(H680,1)),"")),""),"")</f>
        <v/>
      </c>
      <c r="O680" s="25">
        <f>IF(AND(L680=1,B680&lt;&gt;""),SUBSTITUTE(SUBSTITUTE(SUBSTITUTE(SUBSTITUTE(SUBSTITUTE(SUBSTITUTE(SUBSTITUTE(SUBSTITUTE(SUBSTITUTE(SUBSTITUTE(SUBSTITUTE(SUBSTITUTE(LOWER(TRIM(B680)),"á","a"),"é","e"),"í","i"),"ó","o"),"ú","u"),"ü","u"),"ñ","n"),"à","a"),"è","e"),"ì","i"),"ò","o"),"ù","u"),"")</f>
        <v/>
      </c>
      <c r="P680" s="25">
        <f>IF(AND(L680=1,C680&lt;&gt;""),SUBSTITUTE(SUBSTITUTE(SUBSTITUTE(SUBSTITUTE(SUBSTITUTE(SUBSTITUTE(SUBSTITUTE(SUBSTITUTE(SUBSTITUTE(SUBSTITUTE(SUBSTITUTE(SUBSTITUTE(LOWER(TRIM(C680)),"á","a"),"é","e"),"í","i"),"ó","o"),"ú","u"),"ü","u"),"ñ","n"),"à","a"),"è","e"),"ì","i"),"ò","o"),"ù","u"),"")</f>
        <v/>
      </c>
      <c r="Q680" s="25">
        <f>IF(AND(L680=1,E680&lt;&gt;""),SUBSTITUTE(SUBSTITUTE(SUBSTITUTE(SUBSTITUTE(SUBSTITUTE(SUBSTITUTE(SUBSTITUTE(SUBSTITUTE(SUBSTITUTE(SUBSTITUTE(SUBSTITUTE(SUBSTITUTE(LOWER(TRIM(E680)),"á","a"),"é","e"),"í","i"),"ó","o"),"ú","u"),"ü","u"),"ñ","n"),"à","a"),"è","e"),"ì","i"),"ò","o"),"ù","u"),"")</f>
        <v/>
      </c>
      <c r="R680" s="25">
        <f>IF(AND(L680=1,I680&lt;&gt;""),SUBSTITUTE(SUBSTITUTE(SUBSTITUTE(SUBSTITUTE(SUBSTITUTE(SUBSTITUTE(SUBSTITUTE(SUBSTITUTE(SUBSTITUTE(SUBSTITUTE(SUBSTITUTE(SUBSTITUTE(LOWER(TRIM(I680)),"á","a"),"é","e"),"í","i"),"ó","o"),"ú","u"),"ü","u"),"ñ","n"),"à","a"),"è","e"),"ì","i"),"ò","o"),"ù","u"),"")</f>
        <v/>
      </c>
      <c r="S680" s="25">
        <f>IF(R680="","",IF(OR(R680="si",R680="tal vez"),1,0))</f>
        <v/>
      </c>
      <c r="T680" s="25">
        <f>IF(AND(L680=1,D680&lt;&gt;""),IF(IFERROR(COUNTIFS(D$3:D680,"="&amp;SUBSTITUTE(SUBSTITUTE(SUBSTITUTE(D680,"~","~~"),"*","~*"),"?","~?"),L$3:L680,1),0)=1,MAX(T$2:T679)+1,""),"")</f>
        <v/>
      </c>
      <c r="U680" s="25">
        <f>IF(T680="","",COUNTIFS($D$3:$D$1002,"="&amp;SUBSTITUTE(SUBSTITUTE(SUBSTITUTE(D680,"~","~~"),"*","~*"),"?","~?"),$L$3:$L$1002,1)*10000-T680)</f>
        <v/>
      </c>
      <c r="V680" s="25">
        <f>IF(AND(L680=1,J680&lt;&gt;""),IF(IFERROR(COUNTIFS(J$3:J680,"="&amp;SUBSTITUTE(SUBSTITUTE(SUBSTITUTE(J680,"~","~~"),"*","~*"),"?","~?"),L$3:L680,1),0)=1,MAX(V$2:V679)+1,""),"")</f>
        <v/>
      </c>
      <c r="W680" s="25">
        <f>IF(V680="","",COUNTIFS($J$3:$J$1002,"="&amp;SUBSTITUTE(SUBSTITUTE(SUBSTITUTE(J680,"~","~~"),"*","~*"),"?","~?"),$L$3:$L$1002,1)*10000-V680)</f>
        <v/>
      </c>
    </row>
    <row r="681">
      <c r="A681">
        <f>IF(A$2=0,"",IFERROR(TRIM(INDEX('Pegar estudiantes'!$A$1:$BZ$1001,680,A$2)&amp;""),""))</f>
        <v/>
      </c>
      <c r="B681">
        <f>IF(B$2=0,"",IFERROR(TRIM(INDEX('Pegar estudiantes'!$A$1:$BZ$1001,680,B$2)&amp;""),""))</f>
        <v/>
      </c>
      <c r="C681">
        <f>IF(C$2=0,"",IFERROR(TRIM(INDEX('Pegar estudiantes'!$A$1:$BZ$1001,680,C$2)&amp;""),""))</f>
        <v/>
      </c>
      <c r="D681">
        <f>IF(D$2=0,"",IFERROR(TRIM(INDEX('Pegar estudiantes'!$A$1:$BZ$1001,680,D$2)&amp;""),""))</f>
        <v/>
      </c>
      <c r="E681">
        <f>IF(E$2=0,"",IFERROR(TRIM(INDEX('Pegar estudiantes'!$A$1:$BZ$1001,680,E$2)&amp;""),""))</f>
        <v/>
      </c>
      <c r="F681">
        <f>IF(F$2=0,"",IFERROR(TRIM(INDEX('Pegar estudiantes'!$A$1:$BZ$1001,680,F$2)&amp;""),""))</f>
        <v/>
      </c>
      <c r="G681">
        <f>IF(G$2=0,"",IFERROR(TRIM(INDEX('Pegar estudiantes'!$A$1:$BZ$1001,680,G$2)&amp;""),""))</f>
        <v/>
      </c>
      <c r="H681">
        <f>IF(H$2=0,"",IFERROR(TRIM(INDEX('Pegar estudiantes'!$A$1:$BZ$1001,680,H$2)&amp;""),""))</f>
        <v/>
      </c>
      <c r="I681">
        <f>IF(I$2=0,"",IFERROR(TRIM(INDEX('Pegar estudiantes'!$A$1:$BZ$1001,680,I$2)&amp;""),""))</f>
        <v/>
      </c>
      <c r="J681">
        <f>IF(J$2=0,"",IFERROR(TRIM(INDEX('Pegar estudiantes'!$A$1:$BZ$1001,680,J$2)&amp;""),""))</f>
        <v/>
      </c>
      <c r="K681">
        <f>IF(K$2=0,"",IFERROR(TRIM(INDEX('Pegar estudiantes'!$A$1:$BZ$1001,680,K$2)&amp;""),""))</f>
        <v/>
      </c>
      <c r="L681" s="25">
        <f>IF(A681&lt;&gt;"",1,"")</f>
        <v/>
      </c>
      <c r="M681" s="25">
        <f>IF(L681=1,IF(ISNUMBER(FIND("#"&amp;MID(A681,1,1)&amp;"#","#0#1#2#3#4#5#6#7#8#9#")),IF(ISNUMBER(FIND("#"&amp;MID(A681,2,1)&amp;"#","#0#1#2#3#4#5#6#7#8#9#")),IF(AND(VALUE(LEFT(A681,2))&gt;=1,VALUE(LEFT(A681,2))&lt;=5),VALUE(LEFT(A681,2)),""),IF(AND(VALUE(LEFT(A681,1))&gt;=1,VALUE(LEFT(A681,1))&lt;=5),VALUE(LEFT(A681,1)),"")),""),"")</f>
        <v/>
      </c>
      <c r="N681" s="25">
        <f>IF(L681=1,IF(ISNUMBER(FIND("#"&amp;MID(H681,1,1)&amp;"#","#0#1#2#3#4#5#6#7#8#9#")),IF(ISNUMBER(FIND("#"&amp;MID(H681,2,1)&amp;"#","#0#1#2#3#4#5#6#7#8#9#")),IF(AND(VALUE(LEFT(H681,2))&gt;=1,VALUE(LEFT(H681,2))&lt;=5),VALUE(LEFT(H681,2)),""),IF(AND(VALUE(LEFT(H681,1))&gt;=1,VALUE(LEFT(H681,1))&lt;=5),VALUE(LEFT(H681,1)),"")),""),"")</f>
        <v/>
      </c>
      <c r="O681" s="25">
        <f>IF(AND(L681=1,B681&lt;&gt;""),SUBSTITUTE(SUBSTITUTE(SUBSTITUTE(SUBSTITUTE(SUBSTITUTE(SUBSTITUTE(SUBSTITUTE(SUBSTITUTE(SUBSTITUTE(SUBSTITUTE(SUBSTITUTE(SUBSTITUTE(LOWER(TRIM(B681)),"á","a"),"é","e"),"í","i"),"ó","o"),"ú","u"),"ü","u"),"ñ","n"),"à","a"),"è","e"),"ì","i"),"ò","o"),"ù","u"),"")</f>
        <v/>
      </c>
      <c r="P681" s="25">
        <f>IF(AND(L681=1,C681&lt;&gt;""),SUBSTITUTE(SUBSTITUTE(SUBSTITUTE(SUBSTITUTE(SUBSTITUTE(SUBSTITUTE(SUBSTITUTE(SUBSTITUTE(SUBSTITUTE(SUBSTITUTE(SUBSTITUTE(SUBSTITUTE(LOWER(TRIM(C681)),"á","a"),"é","e"),"í","i"),"ó","o"),"ú","u"),"ü","u"),"ñ","n"),"à","a"),"è","e"),"ì","i"),"ò","o"),"ù","u"),"")</f>
        <v/>
      </c>
      <c r="Q681" s="25">
        <f>IF(AND(L681=1,E681&lt;&gt;""),SUBSTITUTE(SUBSTITUTE(SUBSTITUTE(SUBSTITUTE(SUBSTITUTE(SUBSTITUTE(SUBSTITUTE(SUBSTITUTE(SUBSTITUTE(SUBSTITUTE(SUBSTITUTE(SUBSTITUTE(LOWER(TRIM(E681)),"á","a"),"é","e"),"í","i"),"ó","o"),"ú","u"),"ü","u"),"ñ","n"),"à","a"),"è","e"),"ì","i"),"ò","o"),"ù","u"),"")</f>
        <v/>
      </c>
      <c r="R681" s="25">
        <f>IF(AND(L681=1,I681&lt;&gt;""),SUBSTITUTE(SUBSTITUTE(SUBSTITUTE(SUBSTITUTE(SUBSTITUTE(SUBSTITUTE(SUBSTITUTE(SUBSTITUTE(SUBSTITUTE(SUBSTITUTE(SUBSTITUTE(SUBSTITUTE(LOWER(TRIM(I681)),"á","a"),"é","e"),"í","i"),"ó","o"),"ú","u"),"ü","u"),"ñ","n"),"à","a"),"è","e"),"ì","i"),"ò","o"),"ù","u"),"")</f>
        <v/>
      </c>
      <c r="S681" s="25">
        <f>IF(R681="","",IF(OR(R681="si",R681="tal vez"),1,0))</f>
        <v/>
      </c>
      <c r="T681" s="25">
        <f>IF(AND(L681=1,D681&lt;&gt;""),IF(IFERROR(COUNTIFS(D$3:D681,"="&amp;SUBSTITUTE(SUBSTITUTE(SUBSTITUTE(D681,"~","~~"),"*","~*"),"?","~?"),L$3:L681,1),0)=1,MAX(T$2:T680)+1,""),"")</f>
        <v/>
      </c>
      <c r="U681" s="25">
        <f>IF(T681="","",COUNTIFS($D$3:$D$1002,"="&amp;SUBSTITUTE(SUBSTITUTE(SUBSTITUTE(D681,"~","~~"),"*","~*"),"?","~?"),$L$3:$L$1002,1)*10000-T681)</f>
        <v/>
      </c>
      <c r="V681" s="25">
        <f>IF(AND(L681=1,J681&lt;&gt;""),IF(IFERROR(COUNTIFS(J$3:J681,"="&amp;SUBSTITUTE(SUBSTITUTE(SUBSTITUTE(J681,"~","~~"),"*","~*"),"?","~?"),L$3:L681,1),0)=1,MAX(V$2:V680)+1,""),"")</f>
        <v/>
      </c>
      <c r="W681" s="25">
        <f>IF(V681="","",COUNTIFS($J$3:$J$1002,"="&amp;SUBSTITUTE(SUBSTITUTE(SUBSTITUTE(J681,"~","~~"),"*","~*"),"?","~?"),$L$3:$L$1002,1)*10000-V681)</f>
        <v/>
      </c>
    </row>
    <row r="682">
      <c r="A682">
        <f>IF(A$2=0,"",IFERROR(TRIM(INDEX('Pegar estudiantes'!$A$1:$BZ$1001,681,A$2)&amp;""),""))</f>
        <v/>
      </c>
      <c r="B682">
        <f>IF(B$2=0,"",IFERROR(TRIM(INDEX('Pegar estudiantes'!$A$1:$BZ$1001,681,B$2)&amp;""),""))</f>
        <v/>
      </c>
      <c r="C682">
        <f>IF(C$2=0,"",IFERROR(TRIM(INDEX('Pegar estudiantes'!$A$1:$BZ$1001,681,C$2)&amp;""),""))</f>
        <v/>
      </c>
      <c r="D682">
        <f>IF(D$2=0,"",IFERROR(TRIM(INDEX('Pegar estudiantes'!$A$1:$BZ$1001,681,D$2)&amp;""),""))</f>
        <v/>
      </c>
      <c r="E682">
        <f>IF(E$2=0,"",IFERROR(TRIM(INDEX('Pegar estudiantes'!$A$1:$BZ$1001,681,E$2)&amp;""),""))</f>
        <v/>
      </c>
      <c r="F682">
        <f>IF(F$2=0,"",IFERROR(TRIM(INDEX('Pegar estudiantes'!$A$1:$BZ$1001,681,F$2)&amp;""),""))</f>
        <v/>
      </c>
      <c r="G682">
        <f>IF(G$2=0,"",IFERROR(TRIM(INDEX('Pegar estudiantes'!$A$1:$BZ$1001,681,G$2)&amp;""),""))</f>
        <v/>
      </c>
      <c r="H682">
        <f>IF(H$2=0,"",IFERROR(TRIM(INDEX('Pegar estudiantes'!$A$1:$BZ$1001,681,H$2)&amp;""),""))</f>
        <v/>
      </c>
      <c r="I682">
        <f>IF(I$2=0,"",IFERROR(TRIM(INDEX('Pegar estudiantes'!$A$1:$BZ$1001,681,I$2)&amp;""),""))</f>
        <v/>
      </c>
      <c r="J682">
        <f>IF(J$2=0,"",IFERROR(TRIM(INDEX('Pegar estudiantes'!$A$1:$BZ$1001,681,J$2)&amp;""),""))</f>
        <v/>
      </c>
      <c r="K682">
        <f>IF(K$2=0,"",IFERROR(TRIM(INDEX('Pegar estudiantes'!$A$1:$BZ$1001,681,K$2)&amp;""),""))</f>
        <v/>
      </c>
      <c r="L682" s="25">
        <f>IF(A682&lt;&gt;"",1,"")</f>
        <v/>
      </c>
      <c r="M682" s="25">
        <f>IF(L682=1,IF(ISNUMBER(FIND("#"&amp;MID(A682,1,1)&amp;"#","#0#1#2#3#4#5#6#7#8#9#")),IF(ISNUMBER(FIND("#"&amp;MID(A682,2,1)&amp;"#","#0#1#2#3#4#5#6#7#8#9#")),IF(AND(VALUE(LEFT(A682,2))&gt;=1,VALUE(LEFT(A682,2))&lt;=5),VALUE(LEFT(A682,2)),""),IF(AND(VALUE(LEFT(A682,1))&gt;=1,VALUE(LEFT(A682,1))&lt;=5),VALUE(LEFT(A682,1)),"")),""),"")</f>
        <v/>
      </c>
      <c r="N682" s="25">
        <f>IF(L682=1,IF(ISNUMBER(FIND("#"&amp;MID(H682,1,1)&amp;"#","#0#1#2#3#4#5#6#7#8#9#")),IF(ISNUMBER(FIND("#"&amp;MID(H682,2,1)&amp;"#","#0#1#2#3#4#5#6#7#8#9#")),IF(AND(VALUE(LEFT(H682,2))&gt;=1,VALUE(LEFT(H682,2))&lt;=5),VALUE(LEFT(H682,2)),""),IF(AND(VALUE(LEFT(H682,1))&gt;=1,VALUE(LEFT(H682,1))&lt;=5),VALUE(LEFT(H682,1)),"")),""),"")</f>
        <v/>
      </c>
      <c r="O682" s="25">
        <f>IF(AND(L682=1,B682&lt;&gt;""),SUBSTITUTE(SUBSTITUTE(SUBSTITUTE(SUBSTITUTE(SUBSTITUTE(SUBSTITUTE(SUBSTITUTE(SUBSTITUTE(SUBSTITUTE(SUBSTITUTE(SUBSTITUTE(SUBSTITUTE(LOWER(TRIM(B682)),"á","a"),"é","e"),"í","i"),"ó","o"),"ú","u"),"ü","u"),"ñ","n"),"à","a"),"è","e"),"ì","i"),"ò","o"),"ù","u"),"")</f>
        <v/>
      </c>
      <c r="P682" s="25">
        <f>IF(AND(L682=1,C682&lt;&gt;""),SUBSTITUTE(SUBSTITUTE(SUBSTITUTE(SUBSTITUTE(SUBSTITUTE(SUBSTITUTE(SUBSTITUTE(SUBSTITUTE(SUBSTITUTE(SUBSTITUTE(SUBSTITUTE(SUBSTITUTE(LOWER(TRIM(C682)),"á","a"),"é","e"),"í","i"),"ó","o"),"ú","u"),"ü","u"),"ñ","n"),"à","a"),"è","e"),"ì","i"),"ò","o"),"ù","u"),"")</f>
        <v/>
      </c>
      <c r="Q682" s="25">
        <f>IF(AND(L682=1,E682&lt;&gt;""),SUBSTITUTE(SUBSTITUTE(SUBSTITUTE(SUBSTITUTE(SUBSTITUTE(SUBSTITUTE(SUBSTITUTE(SUBSTITUTE(SUBSTITUTE(SUBSTITUTE(SUBSTITUTE(SUBSTITUTE(LOWER(TRIM(E682)),"á","a"),"é","e"),"í","i"),"ó","o"),"ú","u"),"ü","u"),"ñ","n"),"à","a"),"è","e"),"ì","i"),"ò","o"),"ù","u"),"")</f>
        <v/>
      </c>
      <c r="R682" s="25">
        <f>IF(AND(L682=1,I682&lt;&gt;""),SUBSTITUTE(SUBSTITUTE(SUBSTITUTE(SUBSTITUTE(SUBSTITUTE(SUBSTITUTE(SUBSTITUTE(SUBSTITUTE(SUBSTITUTE(SUBSTITUTE(SUBSTITUTE(SUBSTITUTE(LOWER(TRIM(I682)),"á","a"),"é","e"),"í","i"),"ó","o"),"ú","u"),"ü","u"),"ñ","n"),"à","a"),"è","e"),"ì","i"),"ò","o"),"ù","u"),"")</f>
        <v/>
      </c>
      <c r="S682" s="25">
        <f>IF(R682="","",IF(OR(R682="si",R682="tal vez"),1,0))</f>
        <v/>
      </c>
      <c r="T682" s="25">
        <f>IF(AND(L682=1,D682&lt;&gt;""),IF(IFERROR(COUNTIFS(D$3:D682,"="&amp;SUBSTITUTE(SUBSTITUTE(SUBSTITUTE(D682,"~","~~"),"*","~*"),"?","~?"),L$3:L682,1),0)=1,MAX(T$2:T681)+1,""),"")</f>
        <v/>
      </c>
      <c r="U682" s="25">
        <f>IF(T682="","",COUNTIFS($D$3:$D$1002,"="&amp;SUBSTITUTE(SUBSTITUTE(SUBSTITUTE(D682,"~","~~"),"*","~*"),"?","~?"),$L$3:$L$1002,1)*10000-T682)</f>
        <v/>
      </c>
      <c r="V682" s="25">
        <f>IF(AND(L682=1,J682&lt;&gt;""),IF(IFERROR(COUNTIFS(J$3:J682,"="&amp;SUBSTITUTE(SUBSTITUTE(SUBSTITUTE(J682,"~","~~"),"*","~*"),"?","~?"),L$3:L682,1),0)=1,MAX(V$2:V681)+1,""),"")</f>
        <v/>
      </c>
      <c r="W682" s="25">
        <f>IF(V682="","",COUNTIFS($J$3:$J$1002,"="&amp;SUBSTITUTE(SUBSTITUTE(SUBSTITUTE(J682,"~","~~"),"*","~*"),"?","~?"),$L$3:$L$1002,1)*10000-V682)</f>
        <v/>
      </c>
    </row>
    <row r="683">
      <c r="A683">
        <f>IF(A$2=0,"",IFERROR(TRIM(INDEX('Pegar estudiantes'!$A$1:$BZ$1001,682,A$2)&amp;""),""))</f>
        <v/>
      </c>
      <c r="B683">
        <f>IF(B$2=0,"",IFERROR(TRIM(INDEX('Pegar estudiantes'!$A$1:$BZ$1001,682,B$2)&amp;""),""))</f>
        <v/>
      </c>
      <c r="C683">
        <f>IF(C$2=0,"",IFERROR(TRIM(INDEX('Pegar estudiantes'!$A$1:$BZ$1001,682,C$2)&amp;""),""))</f>
        <v/>
      </c>
      <c r="D683">
        <f>IF(D$2=0,"",IFERROR(TRIM(INDEX('Pegar estudiantes'!$A$1:$BZ$1001,682,D$2)&amp;""),""))</f>
        <v/>
      </c>
      <c r="E683">
        <f>IF(E$2=0,"",IFERROR(TRIM(INDEX('Pegar estudiantes'!$A$1:$BZ$1001,682,E$2)&amp;""),""))</f>
        <v/>
      </c>
      <c r="F683">
        <f>IF(F$2=0,"",IFERROR(TRIM(INDEX('Pegar estudiantes'!$A$1:$BZ$1001,682,F$2)&amp;""),""))</f>
        <v/>
      </c>
      <c r="G683">
        <f>IF(G$2=0,"",IFERROR(TRIM(INDEX('Pegar estudiantes'!$A$1:$BZ$1001,682,G$2)&amp;""),""))</f>
        <v/>
      </c>
      <c r="H683">
        <f>IF(H$2=0,"",IFERROR(TRIM(INDEX('Pegar estudiantes'!$A$1:$BZ$1001,682,H$2)&amp;""),""))</f>
        <v/>
      </c>
      <c r="I683">
        <f>IF(I$2=0,"",IFERROR(TRIM(INDEX('Pegar estudiantes'!$A$1:$BZ$1001,682,I$2)&amp;""),""))</f>
        <v/>
      </c>
      <c r="J683">
        <f>IF(J$2=0,"",IFERROR(TRIM(INDEX('Pegar estudiantes'!$A$1:$BZ$1001,682,J$2)&amp;""),""))</f>
        <v/>
      </c>
      <c r="K683">
        <f>IF(K$2=0,"",IFERROR(TRIM(INDEX('Pegar estudiantes'!$A$1:$BZ$1001,682,K$2)&amp;""),""))</f>
        <v/>
      </c>
      <c r="L683" s="25">
        <f>IF(A683&lt;&gt;"",1,"")</f>
        <v/>
      </c>
      <c r="M683" s="25">
        <f>IF(L683=1,IF(ISNUMBER(FIND("#"&amp;MID(A683,1,1)&amp;"#","#0#1#2#3#4#5#6#7#8#9#")),IF(ISNUMBER(FIND("#"&amp;MID(A683,2,1)&amp;"#","#0#1#2#3#4#5#6#7#8#9#")),IF(AND(VALUE(LEFT(A683,2))&gt;=1,VALUE(LEFT(A683,2))&lt;=5),VALUE(LEFT(A683,2)),""),IF(AND(VALUE(LEFT(A683,1))&gt;=1,VALUE(LEFT(A683,1))&lt;=5),VALUE(LEFT(A683,1)),"")),""),"")</f>
        <v/>
      </c>
      <c r="N683" s="25">
        <f>IF(L683=1,IF(ISNUMBER(FIND("#"&amp;MID(H683,1,1)&amp;"#","#0#1#2#3#4#5#6#7#8#9#")),IF(ISNUMBER(FIND("#"&amp;MID(H683,2,1)&amp;"#","#0#1#2#3#4#5#6#7#8#9#")),IF(AND(VALUE(LEFT(H683,2))&gt;=1,VALUE(LEFT(H683,2))&lt;=5),VALUE(LEFT(H683,2)),""),IF(AND(VALUE(LEFT(H683,1))&gt;=1,VALUE(LEFT(H683,1))&lt;=5),VALUE(LEFT(H683,1)),"")),""),"")</f>
        <v/>
      </c>
      <c r="O683" s="25">
        <f>IF(AND(L683=1,B683&lt;&gt;""),SUBSTITUTE(SUBSTITUTE(SUBSTITUTE(SUBSTITUTE(SUBSTITUTE(SUBSTITUTE(SUBSTITUTE(SUBSTITUTE(SUBSTITUTE(SUBSTITUTE(SUBSTITUTE(SUBSTITUTE(LOWER(TRIM(B683)),"á","a"),"é","e"),"í","i"),"ó","o"),"ú","u"),"ü","u"),"ñ","n"),"à","a"),"è","e"),"ì","i"),"ò","o"),"ù","u"),"")</f>
        <v/>
      </c>
      <c r="P683" s="25">
        <f>IF(AND(L683=1,C683&lt;&gt;""),SUBSTITUTE(SUBSTITUTE(SUBSTITUTE(SUBSTITUTE(SUBSTITUTE(SUBSTITUTE(SUBSTITUTE(SUBSTITUTE(SUBSTITUTE(SUBSTITUTE(SUBSTITUTE(SUBSTITUTE(LOWER(TRIM(C683)),"á","a"),"é","e"),"í","i"),"ó","o"),"ú","u"),"ü","u"),"ñ","n"),"à","a"),"è","e"),"ì","i"),"ò","o"),"ù","u"),"")</f>
        <v/>
      </c>
      <c r="Q683" s="25">
        <f>IF(AND(L683=1,E683&lt;&gt;""),SUBSTITUTE(SUBSTITUTE(SUBSTITUTE(SUBSTITUTE(SUBSTITUTE(SUBSTITUTE(SUBSTITUTE(SUBSTITUTE(SUBSTITUTE(SUBSTITUTE(SUBSTITUTE(SUBSTITUTE(LOWER(TRIM(E683)),"á","a"),"é","e"),"í","i"),"ó","o"),"ú","u"),"ü","u"),"ñ","n"),"à","a"),"è","e"),"ì","i"),"ò","o"),"ù","u"),"")</f>
        <v/>
      </c>
      <c r="R683" s="25">
        <f>IF(AND(L683=1,I683&lt;&gt;""),SUBSTITUTE(SUBSTITUTE(SUBSTITUTE(SUBSTITUTE(SUBSTITUTE(SUBSTITUTE(SUBSTITUTE(SUBSTITUTE(SUBSTITUTE(SUBSTITUTE(SUBSTITUTE(SUBSTITUTE(LOWER(TRIM(I683)),"á","a"),"é","e"),"í","i"),"ó","o"),"ú","u"),"ü","u"),"ñ","n"),"à","a"),"è","e"),"ì","i"),"ò","o"),"ù","u"),"")</f>
        <v/>
      </c>
      <c r="S683" s="25">
        <f>IF(R683="","",IF(OR(R683="si",R683="tal vez"),1,0))</f>
        <v/>
      </c>
      <c r="T683" s="25">
        <f>IF(AND(L683=1,D683&lt;&gt;""),IF(IFERROR(COUNTIFS(D$3:D683,"="&amp;SUBSTITUTE(SUBSTITUTE(SUBSTITUTE(D683,"~","~~"),"*","~*"),"?","~?"),L$3:L683,1),0)=1,MAX(T$2:T682)+1,""),"")</f>
        <v/>
      </c>
      <c r="U683" s="25">
        <f>IF(T683="","",COUNTIFS($D$3:$D$1002,"="&amp;SUBSTITUTE(SUBSTITUTE(SUBSTITUTE(D683,"~","~~"),"*","~*"),"?","~?"),$L$3:$L$1002,1)*10000-T683)</f>
        <v/>
      </c>
      <c r="V683" s="25">
        <f>IF(AND(L683=1,J683&lt;&gt;""),IF(IFERROR(COUNTIFS(J$3:J683,"="&amp;SUBSTITUTE(SUBSTITUTE(SUBSTITUTE(J683,"~","~~"),"*","~*"),"?","~?"),L$3:L683,1),0)=1,MAX(V$2:V682)+1,""),"")</f>
        <v/>
      </c>
      <c r="W683" s="25">
        <f>IF(V683="","",COUNTIFS($J$3:$J$1002,"="&amp;SUBSTITUTE(SUBSTITUTE(SUBSTITUTE(J683,"~","~~"),"*","~*"),"?","~?"),$L$3:$L$1002,1)*10000-V683)</f>
        <v/>
      </c>
    </row>
    <row r="684">
      <c r="A684">
        <f>IF(A$2=0,"",IFERROR(TRIM(INDEX('Pegar estudiantes'!$A$1:$BZ$1001,683,A$2)&amp;""),""))</f>
        <v/>
      </c>
      <c r="B684">
        <f>IF(B$2=0,"",IFERROR(TRIM(INDEX('Pegar estudiantes'!$A$1:$BZ$1001,683,B$2)&amp;""),""))</f>
        <v/>
      </c>
      <c r="C684">
        <f>IF(C$2=0,"",IFERROR(TRIM(INDEX('Pegar estudiantes'!$A$1:$BZ$1001,683,C$2)&amp;""),""))</f>
        <v/>
      </c>
      <c r="D684">
        <f>IF(D$2=0,"",IFERROR(TRIM(INDEX('Pegar estudiantes'!$A$1:$BZ$1001,683,D$2)&amp;""),""))</f>
        <v/>
      </c>
      <c r="E684">
        <f>IF(E$2=0,"",IFERROR(TRIM(INDEX('Pegar estudiantes'!$A$1:$BZ$1001,683,E$2)&amp;""),""))</f>
        <v/>
      </c>
      <c r="F684">
        <f>IF(F$2=0,"",IFERROR(TRIM(INDEX('Pegar estudiantes'!$A$1:$BZ$1001,683,F$2)&amp;""),""))</f>
        <v/>
      </c>
      <c r="G684">
        <f>IF(G$2=0,"",IFERROR(TRIM(INDEX('Pegar estudiantes'!$A$1:$BZ$1001,683,G$2)&amp;""),""))</f>
        <v/>
      </c>
      <c r="H684">
        <f>IF(H$2=0,"",IFERROR(TRIM(INDEX('Pegar estudiantes'!$A$1:$BZ$1001,683,H$2)&amp;""),""))</f>
        <v/>
      </c>
      <c r="I684">
        <f>IF(I$2=0,"",IFERROR(TRIM(INDEX('Pegar estudiantes'!$A$1:$BZ$1001,683,I$2)&amp;""),""))</f>
        <v/>
      </c>
      <c r="J684">
        <f>IF(J$2=0,"",IFERROR(TRIM(INDEX('Pegar estudiantes'!$A$1:$BZ$1001,683,J$2)&amp;""),""))</f>
        <v/>
      </c>
      <c r="K684">
        <f>IF(K$2=0,"",IFERROR(TRIM(INDEX('Pegar estudiantes'!$A$1:$BZ$1001,683,K$2)&amp;""),""))</f>
        <v/>
      </c>
      <c r="L684" s="25">
        <f>IF(A684&lt;&gt;"",1,"")</f>
        <v/>
      </c>
      <c r="M684" s="25">
        <f>IF(L684=1,IF(ISNUMBER(FIND("#"&amp;MID(A684,1,1)&amp;"#","#0#1#2#3#4#5#6#7#8#9#")),IF(ISNUMBER(FIND("#"&amp;MID(A684,2,1)&amp;"#","#0#1#2#3#4#5#6#7#8#9#")),IF(AND(VALUE(LEFT(A684,2))&gt;=1,VALUE(LEFT(A684,2))&lt;=5),VALUE(LEFT(A684,2)),""),IF(AND(VALUE(LEFT(A684,1))&gt;=1,VALUE(LEFT(A684,1))&lt;=5),VALUE(LEFT(A684,1)),"")),""),"")</f>
        <v/>
      </c>
      <c r="N684" s="25">
        <f>IF(L684=1,IF(ISNUMBER(FIND("#"&amp;MID(H684,1,1)&amp;"#","#0#1#2#3#4#5#6#7#8#9#")),IF(ISNUMBER(FIND("#"&amp;MID(H684,2,1)&amp;"#","#0#1#2#3#4#5#6#7#8#9#")),IF(AND(VALUE(LEFT(H684,2))&gt;=1,VALUE(LEFT(H684,2))&lt;=5),VALUE(LEFT(H684,2)),""),IF(AND(VALUE(LEFT(H684,1))&gt;=1,VALUE(LEFT(H684,1))&lt;=5),VALUE(LEFT(H684,1)),"")),""),"")</f>
        <v/>
      </c>
      <c r="O684" s="25">
        <f>IF(AND(L684=1,B684&lt;&gt;""),SUBSTITUTE(SUBSTITUTE(SUBSTITUTE(SUBSTITUTE(SUBSTITUTE(SUBSTITUTE(SUBSTITUTE(SUBSTITUTE(SUBSTITUTE(SUBSTITUTE(SUBSTITUTE(SUBSTITUTE(LOWER(TRIM(B684)),"á","a"),"é","e"),"í","i"),"ó","o"),"ú","u"),"ü","u"),"ñ","n"),"à","a"),"è","e"),"ì","i"),"ò","o"),"ù","u"),"")</f>
        <v/>
      </c>
      <c r="P684" s="25">
        <f>IF(AND(L684=1,C684&lt;&gt;""),SUBSTITUTE(SUBSTITUTE(SUBSTITUTE(SUBSTITUTE(SUBSTITUTE(SUBSTITUTE(SUBSTITUTE(SUBSTITUTE(SUBSTITUTE(SUBSTITUTE(SUBSTITUTE(SUBSTITUTE(LOWER(TRIM(C684)),"á","a"),"é","e"),"í","i"),"ó","o"),"ú","u"),"ü","u"),"ñ","n"),"à","a"),"è","e"),"ì","i"),"ò","o"),"ù","u"),"")</f>
        <v/>
      </c>
      <c r="Q684" s="25">
        <f>IF(AND(L684=1,E684&lt;&gt;""),SUBSTITUTE(SUBSTITUTE(SUBSTITUTE(SUBSTITUTE(SUBSTITUTE(SUBSTITUTE(SUBSTITUTE(SUBSTITUTE(SUBSTITUTE(SUBSTITUTE(SUBSTITUTE(SUBSTITUTE(LOWER(TRIM(E684)),"á","a"),"é","e"),"í","i"),"ó","o"),"ú","u"),"ü","u"),"ñ","n"),"à","a"),"è","e"),"ì","i"),"ò","o"),"ù","u"),"")</f>
        <v/>
      </c>
      <c r="R684" s="25">
        <f>IF(AND(L684=1,I684&lt;&gt;""),SUBSTITUTE(SUBSTITUTE(SUBSTITUTE(SUBSTITUTE(SUBSTITUTE(SUBSTITUTE(SUBSTITUTE(SUBSTITUTE(SUBSTITUTE(SUBSTITUTE(SUBSTITUTE(SUBSTITUTE(LOWER(TRIM(I684)),"á","a"),"é","e"),"í","i"),"ó","o"),"ú","u"),"ü","u"),"ñ","n"),"à","a"),"è","e"),"ì","i"),"ò","o"),"ù","u"),"")</f>
        <v/>
      </c>
      <c r="S684" s="25">
        <f>IF(R684="","",IF(OR(R684="si",R684="tal vez"),1,0))</f>
        <v/>
      </c>
      <c r="T684" s="25">
        <f>IF(AND(L684=1,D684&lt;&gt;""),IF(IFERROR(COUNTIFS(D$3:D684,"="&amp;SUBSTITUTE(SUBSTITUTE(SUBSTITUTE(D684,"~","~~"),"*","~*"),"?","~?"),L$3:L684,1),0)=1,MAX(T$2:T683)+1,""),"")</f>
        <v/>
      </c>
      <c r="U684" s="25">
        <f>IF(T684="","",COUNTIFS($D$3:$D$1002,"="&amp;SUBSTITUTE(SUBSTITUTE(SUBSTITUTE(D684,"~","~~"),"*","~*"),"?","~?"),$L$3:$L$1002,1)*10000-T684)</f>
        <v/>
      </c>
      <c r="V684" s="25">
        <f>IF(AND(L684=1,J684&lt;&gt;""),IF(IFERROR(COUNTIFS(J$3:J684,"="&amp;SUBSTITUTE(SUBSTITUTE(SUBSTITUTE(J684,"~","~~"),"*","~*"),"?","~?"),L$3:L684,1),0)=1,MAX(V$2:V683)+1,""),"")</f>
        <v/>
      </c>
      <c r="W684" s="25">
        <f>IF(V684="","",COUNTIFS($J$3:$J$1002,"="&amp;SUBSTITUTE(SUBSTITUTE(SUBSTITUTE(J684,"~","~~"),"*","~*"),"?","~?"),$L$3:$L$1002,1)*10000-V684)</f>
        <v/>
      </c>
    </row>
    <row r="685">
      <c r="A685">
        <f>IF(A$2=0,"",IFERROR(TRIM(INDEX('Pegar estudiantes'!$A$1:$BZ$1001,684,A$2)&amp;""),""))</f>
        <v/>
      </c>
      <c r="B685">
        <f>IF(B$2=0,"",IFERROR(TRIM(INDEX('Pegar estudiantes'!$A$1:$BZ$1001,684,B$2)&amp;""),""))</f>
        <v/>
      </c>
      <c r="C685">
        <f>IF(C$2=0,"",IFERROR(TRIM(INDEX('Pegar estudiantes'!$A$1:$BZ$1001,684,C$2)&amp;""),""))</f>
        <v/>
      </c>
      <c r="D685">
        <f>IF(D$2=0,"",IFERROR(TRIM(INDEX('Pegar estudiantes'!$A$1:$BZ$1001,684,D$2)&amp;""),""))</f>
        <v/>
      </c>
      <c r="E685">
        <f>IF(E$2=0,"",IFERROR(TRIM(INDEX('Pegar estudiantes'!$A$1:$BZ$1001,684,E$2)&amp;""),""))</f>
        <v/>
      </c>
      <c r="F685">
        <f>IF(F$2=0,"",IFERROR(TRIM(INDEX('Pegar estudiantes'!$A$1:$BZ$1001,684,F$2)&amp;""),""))</f>
        <v/>
      </c>
      <c r="G685">
        <f>IF(G$2=0,"",IFERROR(TRIM(INDEX('Pegar estudiantes'!$A$1:$BZ$1001,684,G$2)&amp;""),""))</f>
        <v/>
      </c>
      <c r="H685">
        <f>IF(H$2=0,"",IFERROR(TRIM(INDEX('Pegar estudiantes'!$A$1:$BZ$1001,684,H$2)&amp;""),""))</f>
        <v/>
      </c>
      <c r="I685">
        <f>IF(I$2=0,"",IFERROR(TRIM(INDEX('Pegar estudiantes'!$A$1:$BZ$1001,684,I$2)&amp;""),""))</f>
        <v/>
      </c>
      <c r="J685">
        <f>IF(J$2=0,"",IFERROR(TRIM(INDEX('Pegar estudiantes'!$A$1:$BZ$1001,684,J$2)&amp;""),""))</f>
        <v/>
      </c>
      <c r="K685">
        <f>IF(K$2=0,"",IFERROR(TRIM(INDEX('Pegar estudiantes'!$A$1:$BZ$1001,684,K$2)&amp;""),""))</f>
        <v/>
      </c>
      <c r="L685" s="25">
        <f>IF(A685&lt;&gt;"",1,"")</f>
        <v/>
      </c>
      <c r="M685" s="25">
        <f>IF(L685=1,IF(ISNUMBER(FIND("#"&amp;MID(A685,1,1)&amp;"#","#0#1#2#3#4#5#6#7#8#9#")),IF(ISNUMBER(FIND("#"&amp;MID(A685,2,1)&amp;"#","#0#1#2#3#4#5#6#7#8#9#")),IF(AND(VALUE(LEFT(A685,2))&gt;=1,VALUE(LEFT(A685,2))&lt;=5),VALUE(LEFT(A685,2)),""),IF(AND(VALUE(LEFT(A685,1))&gt;=1,VALUE(LEFT(A685,1))&lt;=5),VALUE(LEFT(A685,1)),"")),""),"")</f>
        <v/>
      </c>
      <c r="N685" s="25">
        <f>IF(L685=1,IF(ISNUMBER(FIND("#"&amp;MID(H685,1,1)&amp;"#","#0#1#2#3#4#5#6#7#8#9#")),IF(ISNUMBER(FIND("#"&amp;MID(H685,2,1)&amp;"#","#0#1#2#3#4#5#6#7#8#9#")),IF(AND(VALUE(LEFT(H685,2))&gt;=1,VALUE(LEFT(H685,2))&lt;=5),VALUE(LEFT(H685,2)),""),IF(AND(VALUE(LEFT(H685,1))&gt;=1,VALUE(LEFT(H685,1))&lt;=5),VALUE(LEFT(H685,1)),"")),""),"")</f>
        <v/>
      </c>
      <c r="O685" s="25">
        <f>IF(AND(L685=1,B685&lt;&gt;""),SUBSTITUTE(SUBSTITUTE(SUBSTITUTE(SUBSTITUTE(SUBSTITUTE(SUBSTITUTE(SUBSTITUTE(SUBSTITUTE(SUBSTITUTE(SUBSTITUTE(SUBSTITUTE(SUBSTITUTE(LOWER(TRIM(B685)),"á","a"),"é","e"),"í","i"),"ó","o"),"ú","u"),"ü","u"),"ñ","n"),"à","a"),"è","e"),"ì","i"),"ò","o"),"ù","u"),"")</f>
        <v/>
      </c>
      <c r="P685" s="25">
        <f>IF(AND(L685=1,C685&lt;&gt;""),SUBSTITUTE(SUBSTITUTE(SUBSTITUTE(SUBSTITUTE(SUBSTITUTE(SUBSTITUTE(SUBSTITUTE(SUBSTITUTE(SUBSTITUTE(SUBSTITUTE(SUBSTITUTE(SUBSTITUTE(LOWER(TRIM(C685)),"á","a"),"é","e"),"í","i"),"ó","o"),"ú","u"),"ü","u"),"ñ","n"),"à","a"),"è","e"),"ì","i"),"ò","o"),"ù","u"),"")</f>
        <v/>
      </c>
      <c r="Q685" s="25">
        <f>IF(AND(L685=1,E685&lt;&gt;""),SUBSTITUTE(SUBSTITUTE(SUBSTITUTE(SUBSTITUTE(SUBSTITUTE(SUBSTITUTE(SUBSTITUTE(SUBSTITUTE(SUBSTITUTE(SUBSTITUTE(SUBSTITUTE(SUBSTITUTE(LOWER(TRIM(E685)),"á","a"),"é","e"),"í","i"),"ó","o"),"ú","u"),"ü","u"),"ñ","n"),"à","a"),"è","e"),"ì","i"),"ò","o"),"ù","u"),"")</f>
        <v/>
      </c>
      <c r="R685" s="25">
        <f>IF(AND(L685=1,I685&lt;&gt;""),SUBSTITUTE(SUBSTITUTE(SUBSTITUTE(SUBSTITUTE(SUBSTITUTE(SUBSTITUTE(SUBSTITUTE(SUBSTITUTE(SUBSTITUTE(SUBSTITUTE(SUBSTITUTE(SUBSTITUTE(LOWER(TRIM(I685)),"á","a"),"é","e"),"í","i"),"ó","o"),"ú","u"),"ü","u"),"ñ","n"),"à","a"),"è","e"),"ì","i"),"ò","o"),"ù","u"),"")</f>
        <v/>
      </c>
      <c r="S685" s="25">
        <f>IF(R685="","",IF(OR(R685="si",R685="tal vez"),1,0))</f>
        <v/>
      </c>
      <c r="T685" s="25">
        <f>IF(AND(L685=1,D685&lt;&gt;""),IF(IFERROR(COUNTIFS(D$3:D685,"="&amp;SUBSTITUTE(SUBSTITUTE(SUBSTITUTE(D685,"~","~~"),"*","~*"),"?","~?"),L$3:L685,1),0)=1,MAX(T$2:T684)+1,""),"")</f>
        <v/>
      </c>
      <c r="U685" s="25">
        <f>IF(T685="","",COUNTIFS($D$3:$D$1002,"="&amp;SUBSTITUTE(SUBSTITUTE(SUBSTITUTE(D685,"~","~~"),"*","~*"),"?","~?"),$L$3:$L$1002,1)*10000-T685)</f>
        <v/>
      </c>
      <c r="V685" s="25">
        <f>IF(AND(L685=1,J685&lt;&gt;""),IF(IFERROR(COUNTIFS(J$3:J685,"="&amp;SUBSTITUTE(SUBSTITUTE(SUBSTITUTE(J685,"~","~~"),"*","~*"),"?","~?"),L$3:L685,1),0)=1,MAX(V$2:V684)+1,""),"")</f>
        <v/>
      </c>
      <c r="W685" s="25">
        <f>IF(V685="","",COUNTIFS($J$3:$J$1002,"="&amp;SUBSTITUTE(SUBSTITUTE(SUBSTITUTE(J685,"~","~~"),"*","~*"),"?","~?"),$L$3:$L$1002,1)*10000-V685)</f>
        <v/>
      </c>
    </row>
    <row r="686">
      <c r="A686">
        <f>IF(A$2=0,"",IFERROR(TRIM(INDEX('Pegar estudiantes'!$A$1:$BZ$1001,685,A$2)&amp;""),""))</f>
        <v/>
      </c>
      <c r="B686">
        <f>IF(B$2=0,"",IFERROR(TRIM(INDEX('Pegar estudiantes'!$A$1:$BZ$1001,685,B$2)&amp;""),""))</f>
        <v/>
      </c>
      <c r="C686">
        <f>IF(C$2=0,"",IFERROR(TRIM(INDEX('Pegar estudiantes'!$A$1:$BZ$1001,685,C$2)&amp;""),""))</f>
        <v/>
      </c>
      <c r="D686">
        <f>IF(D$2=0,"",IFERROR(TRIM(INDEX('Pegar estudiantes'!$A$1:$BZ$1001,685,D$2)&amp;""),""))</f>
        <v/>
      </c>
      <c r="E686">
        <f>IF(E$2=0,"",IFERROR(TRIM(INDEX('Pegar estudiantes'!$A$1:$BZ$1001,685,E$2)&amp;""),""))</f>
        <v/>
      </c>
      <c r="F686">
        <f>IF(F$2=0,"",IFERROR(TRIM(INDEX('Pegar estudiantes'!$A$1:$BZ$1001,685,F$2)&amp;""),""))</f>
        <v/>
      </c>
      <c r="G686">
        <f>IF(G$2=0,"",IFERROR(TRIM(INDEX('Pegar estudiantes'!$A$1:$BZ$1001,685,G$2)&amp;""),""))</f>
        <v/>
      </c>
      <c r="H686">
        <f>IF(H$2=0,"",IFERROR(TRIM(INDEX('Pegar estudiantes'!$A$1:$BZ$1001,685,H$2)&amp;""),""))</f>
        <v/>
      </c>
      <c r="I686">
        <f>IF(I$2=0,"",IFERROR(TRIM(INDEX('Pegar estudiantes'!$A$1:$BZ$1001,685,I$2)&amp;""),""))</f>
        <v/>
      </c>
      <c r="J686">
        <f>IF(J$2=0,"",IFERROR(TRIM(INDEX('Pegar estudiantes'!$A$1:$BZ$1001,685,J$2)&amp;""),""))</f>
        <v/>
      </c>
      <c r="K686">
        <f>IF(K$2=0,"",IFERROR(TRIM(INDEX('Pegar estudiantes'!$A$1:$BZ$1001,685,K$2)&amp;""),""))</f>
        <v/>
      </c>
      <c r="L686" s="25">
        <f>IF(A686&lt;&gt;"",1,"")</f>
        <v/>
      </c>
      <c r="M686" s="25">
        <f>IF(L686=1,IF(ISNUMBER(FIND("#"&amp;MID(A686,1,1)&amp;"#","#0#1#2#3#4#5#6#7#8#9#")),IF(ISNUMBER(FIND("#"&amp;MID(A686,2,1)&amp;"#","#0#1#2#3#4#5#6#7#8#9#")),IF(AND(VALUE(LEFT(A686,2))&gt;=1,VALUE(LEFT(A686,2))&lt;=5),VALUE(LEFT(A686,2)),""),IF(AND(VALUE(LEFT(A686,1))&gt;=1,VALUE(LEFT(A686,1))&lt;=5),VALUE(LEFT(A686,1)),"")),""),"")</f>
        <v/>
      </c>
      <c r="N686" s="25">
        <f>IF(L686=1,IF(ISNUMBER(FIND("#"&amp;MID(H686,1,1)&amp;"#","#0#1#2#3#4#5#6#7#8#9#")),IF(ISNUMBER(FIND("#"&amp;MID(H686,2,1)&amp;"#","#0#1#2#3#4#5#6#7#8#9#")),IF(AND(VALUE(LEFT(H686,2))&gt;=1,VALUE(LEFT(H686,2))&lt;=5),VALUE(LEFT(H686,2)),""),IF(AND(VALUE(LEFT(H686,1))&gt;=1,VALUE(LEFT(H686,1))&lt;=5),VALUE(LEFT(H686,1)),"")),""),"")</f>
        <v/>
      </c>
      <c r="O686" s="25">
        <f>IF(AND(L686=1,B686&lt;&gt;""),SUBSTITUTE(SUBSTITUTE(SUBSTITUTE(SUBSTITUTE(SUBSTITUTE(SUBSTITUTE(SUBSTITUTE(SUBSTITUTE(SUBSTITUTE(SUBSTITUTE(SUBSTITUTE(SUBSTITUTE(LOWER(TRIM(B686)),"á","a"),"é","e"),"í","i"),"ó","o"),"ú","u"),"ü","u"),"ñ","n"),"à","a"),"è","e"),"ì","i"),"ò","o"),"ù","u"),"")</f>
        <v/>
      </c>
      <c r="P686" s="25">
        <f>IF(AND(L686=1,C686&lt;&gt;""),SUBSTITUTE(SUBSTITUTE(SUBSTITUTE(SUBSTITUTE(SUBSTITUTE(SUBSTITUTE(SUBSTITUTE(SUBSTITUTE(SUBSTITUTE(SUBSTITUTE(SUBSTITUTE(SUBSTITUTE(LOWER(TRIM(C686)),"á","a"),"é","e"),"í","i"),"ó","o"),"ú","u"),"ü","u"),"ñ","n"),"à","a"),"è","e"),"ì","i"),"ò","o"),"ù","u"),"")</f>
        <v/>
      </c>
      <c r="Q686" s="25">
        <f>IF(AND(L686=1,E686&lt;&gt;""),SUBSTITUTE(SUBSTITUTE(SUBSTITUTE(SUBSTITUTE(SUBSTITUTE(SUBSTITUTE(SUBSTITUTE(SUBSTITUTE(SUBSTITUTE(SUBSTITUTE(SUBSTITUTE(SUBSTITUTE(LOWER(TRIM(E686)),"á","a"),"é","e"),"í","i"),"ó","o"),"ú","u"),"ü","u"),"ñ","n"),"à","a"),"è","e"),"ì","i"),"ò","o"),"ù","u"),"")</f>
        <v/>
      </c>
      <c r="R686" s="25">
        <f>IF(AND(L686=1,I686&lt;&gt;""),SUBSTITUTE(SUBSTITUTE(SUBSTITUTE(SUBSTITUTE(SUBSTITUTE(SUBSTITUTE(SUBSTITUTE(SUBSTITUTE(SUBSTITUTE(SUBSTITUTE(SUBSTITUTE(SUBSTITUTE(LOWER(TRIM(I686)),"á","a"),"é","e"),"í","i"),"ó","o"),"ú","u"),"ü","u"),"ñ","n"),"à","a"),"è","e"),"ì","i"),"ò","o"),"ù","u"),"")</f>
        <v/>
      </c>
      <c r="S686" s="25">
        <f>IF(R686="","",IF(OR(R686="si",R686="tal vez"),1,0))</f>
        <v/>
      </c>
      <c r="T686" s="25">
        <f>IF(AND(L686=1,D686&lt;&gt;""),IF(IFERROR(COUNTIFS(D$3:D686,"="&amp;SUBSTITUTE(SUBSTITUTE(SUBSTITUTE(D686,"~","~~"),"*","~*"),"?","~?"),L$3:L686,1),0)=1,MAX(T$2:T685)+1,""),"")</f>
        <v/>
      </c>
      <c r="U686" s="25">
        <f>IF(T686="","",COUNTIFS($D$3:$D$1002,"="&amp;SUBSTITUTE(SUBSTITUTE(SUBSTITUTE(D686,"~","~~"),"*","~*"),"?","~?"),$L$3:$L$1002,1)*10000-T686)</f>
        <v/>
      </c>
      <c r="V686" s="25">
        <f>IF(AND(L686=1,J686&lt;&gt;""),IF(IFERROR(COUNTIFS(J$3:J686,"="&amp;SUBSTITUTE(SUBSTITUTE(SUBSTITUTE(J686,"~","~~"),"*","~*"),"?","~?"),L$3:L686,1),0)=1,MAX(V$2:V685)+1,""),"")</f>
        <v/>
      </c>
      <c r="W686" s="25">
        <f>IF(V686="","",COUNTIFS($J$3:$J$1002,"="&amp;SUBSTITUTE(SUBSTITUTE(SUBSTITUTE(J686,"~","~~"),"*","~*"),"?","~?"),$L$3:$L$1002,1)*10000-V686)</f>
        <v/>
      </c>
    </row>
    <row r="687">
      <c r="A687">
        <f>IF(A$2=0,"",IFERROR(TRIM(INDEX('Pegar estudiantes'!$A$1:$BZ$1001,686,A$2)&amp;""),""))</f>
        <v/>
      </c>
      <c r="B687">
        <f>IF(B$2=0,"",IFERROR(TRIM(INDEX('Pegar estudiantes'!$A$1:$BZ$1001,686,B$2)&amp;""),""))</f>
        <v/>
      </c>
      <c r="C687">
        <f>IF(C$2=0,"",IFERROR(TRIM(INDEX('Pegar estudiantes'!$A$1:$BZ$1001,686,C$2)&amp;""),""))</f>
        <v/>
      </c>
      <c r="D687">
        <f>IF(D$2=0,"",IFERROR(TRIM(INDEX('Pegar estudiantes'!$A$1:$BZ$1001,686,D$2)&amp;""),""))</f>
        <v/>
      </c>
      <c r="E687">
        <f>IF(E$2=0,"",IFERROR(TRIM(INDEX('Pegar estudiantes'!$A$1:$BZ$1001,686,E$2)&amp;""),""))</f>
        <v/>
      </c>
      <c r="F687">
        <f>IF(F$2=0,"",IFERROR(TRIM(INDEX('Pegar estudiantes'!$A$1:$BZ$1001,686,F$2)&amp;""),""))</f>
        <v/>
      </c>
      <c r="G687">
        <f>IF(G$2=0,"",IFERROR(TRIM(INDEX('Pegar estudiantes'!$A$1:$BZ$1001,686,G$2)&amp;""),""))</f>
        <v/>
      </c>
      <c r="H687">
        <f>IF(H$2=0,"",IFERROR(TRIM(INDEX('Pegar estudiantes'!$A$1:$BZ$1001,686,H$2)&amp;""),""))</f>
        <v/>
      </c>
      <c r="I687">
        <f>IF(I$2=0,"",IFERROR(TRIM(INDEX('Pegar estudiantes'!$A$1:$BZ$1001,686,I$2)&amp;""),""))</f>
        <v/>
      </c>
      <c r="J687">
        <f>IF(J$2=0,"",IFERROR(TRIM(INDEX('Pegar estudiantes'!$A$1:$BZ$1001,686,J$2)&amp;""),""))</f>
        <v/>
      </c>
      <c r="K687">
        <f>IF(K$2=0,"",IFERROR(TRIM(INDEX('Pegar estudiantes'!$A$1:$BZ$1001,686,K$2)&amp;""),""))</f>
        <v/>
      </c>
      <c r="L687" s="25">
        <f>IF(A687&lt;&gt;"",1,"")</f>
        <v/>
      </c>
      <c r="M687" s="25">
        <f>IF(L687=1,IF(ISNUMBER(FIND("#"&amp;MID(A687,1,1)&amp;"#","#0#1#2#3#4#5#6#7#8#9#")),IF(ISNUMBER(FIND("#"&amp;MID(A687,2,1)&amp;"#","#0#1#2#3#4#5#6#7#8#9#")),IF(AND(VALUE(LEFT(A687,2))&gt;=1,VALUE(LEFT(A687,2))&lt;=5),VALUE(LEFT(A687,2)),""),IF(AND(VALUE(LEFT(A687,1))&gt;=1,VALUE(LEFT(A687,1))&lt;=5),VALUE(LEFT(A687,1)),"")),""),"")</f>
        <v/>
      </c>
      <c r="N687" s="25">
        <f>IF(L687=1,IF(ISNUMBER(FIND("#"&amp;MID(H687,1,1)&amp;"#","#0#1#2#3#4#5#6#7#8#9#")),IF(ISNUMBER(FIND("#"&amp;MID(H687,2,1)&amp;"#","#0#1#2#3#4#5#6#7#8#9#")),IF(AND(VALUE(LEFT(H687,2))&gt;=1,VALUE(LEFT(H687,2))&lt;=5),VALUE(LEFT(H687,2)),""),IF(AND(VALUE(LEFT(H687,1))&gt;=1,VALUE(LEFT(H687,1))&lt;=5),VALUE(LEFT(H687,1)),"")),""),"")</f>
        <v/>
      </c>
      <c r="O687" s="25">
        <f>IF(AND(L687=1,B687&lt;&gt;""),SUBSTITUTE(SUBSTITUTE(SUBSTITUTE(SUBSTITUTE(SUBSTITUTE(SUBSTITUTE(SUBSTITUTE(SUBSTITUTE(SUBSTITUTE(SUBSTITUTE(SUBSTITUTE(SUBSTITUTE(LOWER(TRIM(B687)),"á","a"),"é","e"),"í","i"),"ó","o"),"ú","u"),"ü","u"),"ñ","n"),"à","a"),"è","e"),"ì","i"),"ò","o"),"ù","u"),"")</f>
        <v/>
      </c>
      <c r="P687" s="25">
        <f>IF(AND(L687=1,C687&lt;&gt;""),SUBSTITUTE(SUBSTITUTE(SUBSTITUTE(SUBSTITUTE(SUBSTITUTE(SUBSTITUTE(SUBSTITUTE(SUBSTITUTE(SUBSTITUTE(SUBSTITUTE(SUBSTITUTE(SUBSTITUTE(LOWER(TRIM(C687)),"á","a"),"é","e"),"í","i"),"ó","o"),"ú","u"),"ü","u"),"ñ","n"),"à","a"),"è","e"),"ì","i"),"ò","o"),"ù","u"),"")</f>
        <v/>
      </c>
      <c r="Q687" s="25">
        <f>IF(AND(L687=1,E687&lt;&gt;""),SUBSTITUTE(SUBSTITUTE(SUBSTITUTE(SUBSTITUTE(SUBSTITUTE(SUBSTITUTE(SUBSTITUTE(SUBSTITUTE(SUBSTITUTE(SUBSTITUTE(SUBSTITUTE(SUBSTITUTE(LOWER(TRIM(E687)),"á","a"),"é","e"),"í","i"),"ó","o"),"ú","u"),"ü","u"),"ñ","n"),"à","a"),"è","e"),"ì","i"),"ò","o"),"ù","u"),"")</f>
        <v/>
      </c>
      <c r="R687" s="25">
        <f>IF(AND(L687=1,I687&lt;&gt;""),SUBSTITUTE(SUBSTITUTE(SUBSTITUTE(SUBSTITUTE(SUBSTITUTE(SUBSTITUTE(SUBSTITUTE(SUBSTITUTE(SUBSTITUTE(SUBSTITUTE(SUBSTITUTE(SUBSTITUTE(LOWER(TRIM(I687)),"á","a"),"é","e"),"í","i"),"ó","o"),"ú","u"),"ü","u"),"ñ","n"),"à","a"),"è","e"),"ì","i"),"ò","o"),"ù","u"),"")</f>
        <v/>
      </c>
      <c r="S687" s="25">
        <f>IF(R687="","",IF(OR(R687="si",R687="tal vez"),1,0))</f>
        <v/>
      </c>
      <c r="T687" s="25">
        <f>IF(AND(L687=1,D687&lt;&gt;""),IF(IFERROR(COUNTIFS(D$3:D687,"="&amp;SUBSTITUTE(SUBSTITUTE(SUBSTITUTE(D687,"~","~~"),"*","~*"),"?","~?"),L$3:L687,1),0)=1,MAX(T$2:T686)+1,""),"")</f>
        <v/>
      </c>
      <c r="U687" s="25">
        <f>IF(T687="","",COUNTIFS($D$3:$D$1002,"="&amp;SUBSTITUTE(SUBSTITUTE(SUBSTITUTE(D687,"~","~~"),"*","~*"),"?","~?"),$L$3:$L$1002,1)*10000-T687)</f>
        <v/>
      </c>
      <c r="V687" s="25">
        <f>IF(AND(L687=1,J687&lt;&gt;""),IF(IFERROR(COUNTIFS(J$3:J687,"="&amp;SUBSTITUTE(SUBSTITUTE(SUBSTITUTE(J687,"~","~~"),"*","~*"),"?","~?"),L$3:L687,1),0)=1,MAX(V$2:V686)+1,""),"")</f>
        <v/>
      </c>
      <c r="W687" s="25">
        <f>IF(V687="","",COUNTIFS($J$3:$J$1002,"="&amp;SUBSTITUTE(SUBSTITUTE(SUBSTITUTE(J687,"~","~~"),"*","~*"),"?","~?"),$L$3:$L$1002,1)*10000-V687)</f>
        <v/>
      </c>
    </row>
    <row r="688">
      <c r="A688">
        <f>IF(A$2=0,"",IFERROR(TRIM(INDEX('Pegar estudiantes'!$A$1:$BZ$1001,687,A$2)&amp;""),""))</f>
        <v/>
      </c>
      <c r="B688">
        <f>IF(B$2=0,"",IFERROR(TRIM(INDEX('Pegar estudiantes'!$A$1:$BZ$1001,687,B$2)&amp;""),""))</f>
        <v/>
      </c>
      <c r="C688">
        <f>IF(C$2=0,"",IFERROR(TRIM(INDEX('Pegar estudiantes'!$A$1:$BZ$1001,687,C$2)&amp;""),""))</f>
        <v/>
      </c>
      <c r="D688">
        <f>IF(D$2=0,"",IFERROR(TRIM(INDEX('Pegar estudiantes'!$A$1:$BZ$1001,687,D$2)&amp;""),""))</f>
        <v/>
      </c>
      <c r="E688">
        <f>IF(E$2=0,"",IFERROR(TRIM(INDEX('Pegar estudiantes'!$A$1:$BZ$1001,687,E$2)&amp;""),""))</f>
        <v/>
      </c>
      <c r="F688">
        <f>IF(F$2=0,"",IFERROR(TRIM(INDEX('Pegar estudiantes'!$A$1:$BZ$1001,687,F$2)&amp;""),""))</f>
        <v/>
      </c>
      <c r="G688">
        <f>IF(G$2=0,"",IFERROR(TRIM(INDEX('Pegar estudiantes'!$A$1:$BZ$1001,687,G$2)&amp;""),""))</f>
        <v/>
      </c>
      <c r="H688">
        <f>IF(H$2=0,"",IFERROR(TRIM(INDEX('Pegar estudiantes'!$A$1:$BZ$1001,687,H$2)&amp;""),""))</f>
        <v/>
      </c>
      <c r="I688">
        <f>IF(I$2=0,"",IFERROR(TRIM(INDEX('Pegar estudiantes'!$A$1:$BZ$1001,687,I$2)&amp;""),""))</f>
        <v/>
      </c>
      <c r="J688">
        <f>IF(J$2=0,"",IFERROR(TRIM(INDEX('Pegar estudiantes'!$A$1:$BZ$1001,687,J$2)&amp;""),""))</f>
        <v/>
      </c>
      <c r="K688">
        <f>IF(K$2=0,"",IFERROR(TRIM(INDEX('Pegar estudiantes'!$A$1:$BZ$1001,687,K$2)&amp;""),""))</f>
        <v/>
      </c>
      <c r="L688" s="25">
        <f>IF(A688&lt;&gt;"",1,"")</f>
        <v/>
      </c>
      <c r="M688" s="25">
        <f>IF(L688=1,IF(ISNUMBER(FIND("#"&amp;MID(A688,1,1)&amp;"#","#0#1#2#3#4#5#6#7#8#9#")),IF(ISNUMBER(FIND("#"&amp;MID(A688,2,1)&amp;"#","#0#1#2#3#4#5#6#7#8#9#")),IF(AND(VALUE(LEFT(A688,2))&gt;=1,VALUE(LEFT(A688,2))&lt;=5),VALUE(LEFT(A688,2)),""),IF(AND(VALUE(LEFT(A688,1))&gt;=1,VALUE(LEFT(A688,1))&lt;=5),VALUE(LEFT(A688,1)),"")),""),"")</f>
        <v/>
      </c>
      <c r="N688" s="25">
        <f>IF(L688=1,IF(ISNUMBER(FIND("#"&amp;MID(H688,1,1)&amp;"#","#0#1#2#3#4#5#6#7#8#9#")),IF(ISNUMBER(FIND("#"&amp;MID(H688,2,1)&amp;"#","#0#1#2#3#4#5#6#7#8#9#")),IF(AND(VALUE(LEFT(H688,2))&gt;=1,VALUE(LEFT(H688,2))&lt;=5),VALUE(LEFT(H688,2)),""),IF(AND(VALUE(LEFT(H688,1))&gt;=1,VALUE(LEFT(H688,1))&lt;=5),VALUE(LEFT(H688,1)),"")),""),"")</f>
        <v/>
      </c>
      <c r="O688" s="25">
        <f>IF(AND(L688=1,B688&lt;&gt;""),SUBSTITUTE(SUBSTITUTE(SUBSTITUTE(SUBSTITUTE(SUBSTITUTE(SUBSTITUTE(SUBSTITUTE(SUBSTITUTE(SUBSTITUTE(SUBSTITUTE(SUBSTITUTE(SUBSTITUTE(LOWER(TRIM(B688)),"á","a"),"é","e"),"í","i"),"ó","o"),"ú","u"),"ü","u"),"ñ","n"),"à","a"),"è","e"),"ì","i"),"ò","o"),"ù","u"),"")</f>
        <v/>
      </c>
      <c r="P688" s="25">
        <f>IF(AND(L688=1,C688&lt;&gt;""),SUBSTITUTE(SUBSTITUTE(SUBSTITUTE(SUBSTITUTE(SUBSTITUTE(SUBSTITUTE(SUBSTITUTE(SUBSTITUTE(SUBSTITUTE(SUBSTITUTE(SUBSTITUTE(SUBSTITUTE(LOWER(TRIM(C688)),"á","a"),"é","e"),"í","i"),"ó","o"),"ú","u"),"ü","u"),"ñ","n"),"à","a"),"è","e"),"ì","i"),"ò","o"),"ù","u"),"")</f>
        <v/>
      </c>
      <c r="Q688" s="25">
        <f>IF(AND(L688=1,E688&lt;&gt;""),SUBSTITUTE(SUBSTITUTE(SUBSTITUTE(SUBSTITUTE(SUBSTITUTE(SUBSTITUTE(SUBSTITUTE(SUBSTITUTE(SUBSTITUTE(SUBSTITUTE(SUBSTITUTE(SUBSTITUTE(LOWER(TRIM(E688)),"á","a"),"é","e"),"í","i"),"ó","o"),"ú","u"),"ü","u"),"ñ","n"),"à","a"),"è","e"),"ì","i"),"ò","o"),"ù","u"),"")</f>
        <v/>
      </c>
      <c r="R688" s="25">
        <f>IF(AND(L688=1,I688&lt;&gt;""),SUBSTITUTE(SUBSTITUTE(SUBSTITUTE(SUBSTITUTE(SUBSTITUTE(SUBSTITUTE(SUBSTITUTE(SUBSTITUTE(SUBSTITUTE(SUBSTITUTE(SUBSTITUTE(SUBSTITUTE(LOWER(TRIM(I688)),"á","a"),"é","e"),"í","i"),"ó","o"),"ú","u"),"ü","u"),"ñ","n"),"à","a"),"è","e"),"ì","i"),"ò","o"),"ù","u"),"")</f>
        <v/>
      </c>
      <c r="S688" s="25">
        <f>IF(R688="","",IF(OR(R688="si",R688="tal vez"),1,0))</f>
        <v/>
      </c>
      <c r="T688" s="25">
        <f>IF(AND(L688=1,D688&lt;&gt;""),IF(IFERROR(COUNTIFS(D$3:D688,"="&amp;SUBSTITUTE(SUBSTITUTE(SUBSTITUTE(D688,"~","~~"),"*","~*"),"?","~?"),L$3:L688,1),0)=1,MAX(T$2:T687)+1,""),"")</f>
        <v/>
      </c>
      <c r="U688" s="25">
        <f>IF(T688="","",COUNTIFS($D$3:$D$1002,"="&amp;SUBSTITUTE(SUBSTITUTE(SUBSTITUTE(D688,"~","~~"),"*","~*"),"?","~?"),$L$3:$L$1002,1)*10000-T688)</f>
        <v/>
      </c>
      <c r="V688" s="25">
        <f>IF(AND(L688=1,J688&lt;&gt;""),IF(IFERROR(COUNTIFS(J$3:J688,"="&amp;SUBSTITUTE(SUBSTITUTE(SUBSTITUTE(J688,"~","~~"),"*","~*"),"?","~?"),L$3:L688,1),0)=1,MAX(V$2:V687)+1,""),"")</f>
        <v/>
      </c>
      <c r="W688" s="25">
        <f>IF(V688="","",COUNTIFS($J$3:$J$1002,"="&amp;SUBSTITUTE(SUBSTITUTE(SUBSTITUTE(J688,"~","~~"),"*","~*"),"?","~?"),$L$3:$L$1002,1)*10000-V688)</f>
        <v/>
      </c>
    </row>
    <row r="689">
      <c r="A689">
        <f>IF(A$2=0,"",IFERROR(TRIM(INDEX('Pegar estudiantes'!$A$1:$BZ$1001,688,A$2)&amp;""),""))</f>
        <v/>
      </c>
      <c r="B689">
        <f>IF(B$2=0,"",IFERROR(TRIM(INDEX('Pegar estudiantes'!$A$1:$BZ$1001,688,B$2)&amp;""),""))</f>
        <v/>
      </c>
      <c r="C689">
        <f>IF(C$2=0,"",IFERROR(TRIM(INDEX('Pegar estudiantes'!$A$1:$BZ$1001,688,C$2)&amp;""),""))</f>
        <v/>
      </c>
      <c r="D689">
        <f>IF(D$2=0,"",IFERROR(TRIM(INDEX('Pegar estudiantes'!$A$1:$BZ$1001,688,D$2)&amp;""),""))</f>
        <v/>
      </c>
      <c r="E689">
        <f>IF(E$2=0,"",IFERROR(TRIM(INDEX('Pegar estudiantes'!$A$1:$BZ$1001,688,E$2)&amp;""),""))</f>
        <v/>
      </c>
      <c r="F689">
        <f>IF(F$2=0,"",IFERROR(TRIM(INDEX('Pegar estudiantes'!$A$1:$BZ$1001,688,F$2)&amp;""),""))</f>
        <v/>
      </c>
      <c r="G689">
        <f>IF(G$2=0,"",IFERROR(TRIM(INDEX('Pegar estudiantes'!$A$1:$BZ$1001,688,G$2)&amp;""),""))</f>
        <v/>
      </c>
      <c r="H689">
        <f>IF(H$2=0,"",IFERROR(TRIM(INDEX('Pegar estudiantes'!$A$1:$BZ$1001,688,H$2)&amp;""),""))</f>
        <v/>
      </c>
      <c r="I689">
        <f>IF(I$2=0,"",IFERROR(TRIM(INDEX('Pegar estudiantes'!$A$1:$BZ$1001,688,I$2)&amp;""),""))</f>
        <v/>
      </c>
      <c r="J689">
        <f>IF(J$2=0,"",IFERROR(TRIM(INDEX('Pegar estudiantes'!$A$1:$BZ$1001,688,J$2)&amp;""),""))</f>
        <v/>
      </c>
      <c r="K689">
        <f>IF(K$2=0,"",IFERROR(TRIM(INDEX('Pegar estudiantes'!$A$1:$BZ$1001,688,K$2)&amp;""),""))</f>
        <v/>
      </c>
      <c r="L689" s="25">
        <f>IF(A689&lt;&gt;"",1,"")</f>
        <v/>
      </c>
      <c r="M689" s="25">
        <f>IF(L689=1,IF(ISNUMBER(FIND("#"&amp;MID(A689,1,1)&amp;"#","#0#1#2#3#4#5#6#7#8#9#")),IF(ISNUMBER(FIND("#"&amp;MID(A689,2,1)&amp;"#","#0#1#2#3#4#5#6#7#8#9#")),IF(AND(VALUE(LEFT(A689,2))&gt;=1,VALUE(LEFT(A689,2))&lt;=5),VALUE(LEFT(A689,2)),""),IF(AND(VALUE(LEFT(A689,1))&gt;=1,VALUE(LEFT(A689,1))&lt;=5),VALUE(LEFT(A689,1)),"")),""),"")</f>
        <v/>
      </c>
      <c r="N689" s="25">
        <f>IF(L689=1,IF(ISNUMBER(FIND("#"&amp;MID(H689,1,1)&amp;"#","#0#1#2#3#4#5#6#7#8#9#")),IF(ISNUMBER(FIND("#"&amp;MID(H689,2,1)&amp;"#","#0#1#2#3#4#5#6#7#8#9#")),IF(AND(VALUE(LEFT(H689,2))&gt;=1,VALUE(LEFT(H689,2))&lt;=5),VALUE(LEFT(H689,2)),""),IF(AND(VALUE(LEFT(H689,1))&gt;=1,VALUE(LEFT(H689,1))&lt;=5),VALUE(LEFT(H689,1)),"")),""),"")</f>
        <v/>
      </c>
      <c r="O689" s="25">
        <f>IF(AND(L689=1,B689&lt;&gt;""),SUBSTITUTE(SUBSTITUTE(SUBSTITUTE(SUBSTITUTE(SUBSTITUTE(SUBSTITUTE(SUBSTITUTE(SUBSTITUTE(SUBSTITUTE(SUBSTITUTE(SUBSTITUTE(SUBSTITUTE(LOWER(TRIM(B689)),"á","a"),"é","e"),"í","i"),"ó","o"),"ú","u"),"ü","u"),"ñ","n"),"à","a"),"è","e"),"ì","i"),"ò","o"),"ù","u"),"")</f>
        <v/>
      </c>
      <c r="P689" s="25">
        <f>IF(AND(L689=1,C689&lt;&gt;""),SUBSTITUTE(SUBSTITUTE(SUBSTITUTE(SUBSTITUTE(SUBSTITUTE(SUBSTITUTE(SUBSTITUTE(SUBSTITUTE(SUBSTITUTE(SUBSTITUTE(SUBSTITUTE(SUBSTITUTE(LOWER(TRIM(C689)),"á","a"),"é","e"),"í","i"),"ó","o"),"ú","u"),"ü","u"),"ñ","n"),"à","a"),"è","e"),"ì","i"),"ò","o"),"ù","u"),"")</f>
        <v/>
      </c>
      <c r="Q689" s="25">
        <f>IF(AND(L689=1,E689&lt;&gt;""),SUBSTITUTE(SUBSTITUTE(SUBSTITUTE(SUBSTITUTE(SUBSTITUTE(SUBSTITUTE(SUBSTITUTE(SUBSTITUTE(SUBSTITUTE(SUBSTITUTE(SUBSTITUTE(SUBSTITUTE(LOWER(TRIM(E689)),"á","a"),"é","e"),"í","i"),"ó","o"),"ú","u"),"ü","u"),"ñ","n"),"à","a"),"è","e"),"ì","i"),"ò","o"),"ù","u"),"")</f>
        <v/>
      </c>
      <c r="R689" s="25">
        <f>IF(AND(L689=1,I689&lt;&gt;""),SUBSTITUTE(SUBSTITUTE(SUBSTITUTE(SUBSTITUTE(SUBSTITUTE(SUBSTITUTE(SUBSTITUTE(SUBSTITUTE(SUBSTITUTE(SUBSTITUTE(SUBSTITUTE(SUBSTITUTE(LOWER(TRIM(I689)),"á","a"),"é","e"),"í","i"),"ó","o"),"ú","u"),"ü","u"),"ñ","n"),"à","a"),"è","e"),"ì","i"),"ò","o"),"ù","u"),"")</f>
        <v/>
      </c>
      <c r="S689" s="25">
        <f>IF(R689="","",IF(OR(R689="si",R689="tal vez"),1,0))</f>
        <v/>
      </c>
      <c r="T689" s="25">
        <f>IF(AND(L689=1,D689&lt;&gt;""),IF(IFERROR(COUNTIFS(D$3:D689,"="&amp;SUBSTITUTE(SUBSTITUTE(SUBSTITUTE(D689,"~","~~"),"*","~*"),"?","~?"),L$3:L689,1),0)=1,MAX(T$2:T688)+1,""),"")</f>
        <v/>
      </c>
      <c r="U689" s="25">
        <f>IF(T689="","",COUNTIFS($D$3:$D$1002,"="&amp;SUBSTITUTE(SUBSTITUTE(SUBSTITUTE(D689,"~","~~"),"*","~*"),"?","~?"),$L$3:$L$1002,1)*10000-T689)</f>
        <v/>
      </c>
      <c r="V689" s="25">
        <f>IF(AND(L689=1,J689&lt;&gt;""),IF(IFERROR(COUNTIFS(J$3:J689,"="&amp;SUBSTITUTE(SUBSTITUTE(SUBSTITUTE(J689,"~","~~"),"*","~*"),"?","~?"),L$3:L689,1),0)=1,MAX(V$2:V688)+1,""),"")</f>
        <v/>
      </c>
      <c r="W689" s="25">
        <f>IF(V689="","",COUNTIFS($J$3:$J$1002,"="&amp;SUBSTITUTE(SUBSTITUTE(SUBSTITUTE(J689,"~","~~"),"*","~*"),"?","~?"),$L$3:$L$1002,1)*10000-V689)</f>
        <v/>
      </c>
    </row>
    <row r="690">
      <c r="A690">
        <f>IF(A$2=0,"",IFERROR(TRIM(INDEX('Pegar estudiantes'!$A$1:$BZ$1001,689,A$2)&amp;""),""))</f>
        <v/>
      </c>
      <c r="B690">
        <f>IF(B$2=0,"",IFERROR(TRIM(INDEX('Pegar estudiantes'!$A$1:$BZ$1001,689,B$2)&amp;""),""))</f>
        <v/>
      </c>
      <c r="C690">
        <f>IF(C$2=0,"",IFERROR(TRIM(INDEX('Pegar estudiantes'!$A$1:$BZ$1001,689,C$2)&amp;""),""))</f>
        <v/>
      </c>
      <c r="D690">
        <f>IF(D$2=0,"",IFERROR(TRIM(INDEX('Pegar estudiantes'!$A$1:$BZ$1001,689,D$2)&amp;""),""))</f>
        <v/>
      </c>
      <c r="E690">
        <f>IF(E$2=0,"",IFERROR(TRIM(INDEX('Pegar estudiantes'!$A$1:$BZ$1001,689,E$2)&amp;""),""))</f>
        <v/>
      </c>
      <c r="F690">
        <f>IF(F$2=0,"",IFERROR(TRIM(INDEX('Pegar estudiantes'!$A$1:$BZ$1001,689,F$2)&amp;""),""))</f>
        <v/>
      </c>
      <c r="G690">
        <f>IF(G$2=0,"",IFERROR(TRIM(INDEX('Pegar estudiantes'!$A$1:$BZ$1001,689,G$2)&amp;""),""))</f>
        <v/>
      </c>
      <c r="H690">
        <f>IF(H$2=0,"",IFERROR(TRIM(INDEX('Pegar estudiantes'!$A$1:$BZ$1001,689,H$2)&amp;""),""))</f>
        <v/>
      </c>
      <c r="I690">
        <f>IF(I$2=0,"",IFERROR(TRIM(INDEX('Pegar estudiantes'!$A$1:$BZ$1001,689,I$2)&amp;""),""))</f>
        <v/>
      </c>
      <c r="J690">
        <f>IF(J$2=0,"",IFERROR(TRIM(INDEX('Pegar estudiantes'!$A$1:$BZ$1001,689,J$2)&amp;""),""))</f>
        <v/>
      </c>
      <c r="K690">
        <f>IF(K$2=0,"",IFERROR(TRIM(INDEX('Pegar estudiantes'!$A$1:$BZ$1001,689,K$2)&amp;""),""))</f>
        <v/>
      </c>
      <c r="L690" s="25">
        <f>IF(A690&lt;&gt;"",1,"")</f>
        <v/>
      </c>
      <c r="M690" s="25">
        <f>IF(L690=1,IF(ISNUMBER(FIND("#"&amp;MID(A690,1,1)&amp;"#","#0#1#2#3#4#5#6#7#8#9#")),IF(ISNUMBER(FIND("#"&amp;MID(A690,2,1)&amp;"#","#0#1#2#3#4#5#6#7#8#9#")),IF(AND(VALUE(LEFT(A690,2))&gt;=1,VALUE(LEFT(A690,2))&lt;=5),VALUE(LEFT(A690,2)),""),IF(AND(VALUE(LEFT(A690,1))&gt;=1,VALUE(LEFT(A690,1))&lt;=5),VALUE(LEFT(A690,1)),"")),""),"")</f>
        <v/>
      </c>
      <c r="N690" s="25">
        <f>IF(L690=1,IF(ISNUMBER(FIND("#"&amp;MID(H690,1,1)&amp;"#","#0#1#2#3#4#5#6#7#8#9#")),IF(ISNUMBER(FIND("#"&amp;MID(H690,2,1)&amp;"#","#0#1#2#3#4#5#6#7#8#9#")),IF(AND(VALUE(LEFT(H690,2))&gt;=1,VALUE(LEFT(H690,2))&lt;=5),VALUE(LEFT(H690,2)),""),IF(AND(VALUE(LEFT(H690,1))&gt;=1,VALUE(LEFT(H690,1))&lt;=5),VALUE(LEFT(H690,1)),"")),""),"")</f>
        <v/>
      </c>
      <c r="O690" s="25">
        <f>IF(AND(L690=1,B690&lt;&gt;""),SUBSTITUTE(SUBSTITUTE(SUBSTITUTE(SUBSTITUTE(SUBSTITUTE(SUBSTITUTE(SUBSTITUTE(SUBSTITUTE(SUBSTITUTE(SUBSTITUTE(SUBSTITUTE(SUBSTITUTE(LOWER(TRIM(B690)),"á","a"),"é","e"),"í","i"),"ó","o"),"ú","u"),"ü","u"),"ñ","n"),"à","a"),"è","e"),"ì","i"),"ò","o"),"ù","u"),"")</f>
        <v/>
      </c>
      <c r="P690" s="25">
        <f>IF(AND(L690=1,C690&lt;&gt;""),SUBSTITUTE(SUBSTITUTE(SUBSTITUTE(SUBSTITUTE(SUBSTITUTE(SUBSTITUTE(SUBSTITUTE(SUBSTITUTE(SUBSTITUTE(SUBSTITUTE(SUBSTITUTE(SUBSTITUTE(LOWER(TRIM(C690)),"á","a"),"é","e"),"í","i"),"ó","o"),"ú","u"),"ü","u"),"ñ","n"),"à","a"),"è","e"),"ì","i"),"ò","o"),"ù","u"),"")</f>
        <v/>
      </c>
      <c r="Q690" s="25">
        <f>IF(AND(L690=1,E690&lt;&gt;""),SUBSTITUTE(SUBSTITUTE(SUBSTITUTE(SUBSTITUTE(SUBSTITUTE(SUBSTITUTE(SUBSTITUTE(SUBSTITUTE(SUBSTITUTE(SUBSTITUTE(SUBSTITUTE(SUBSTITUTE(LOWER(TRIM(E690)),"á","a"),"é","e"),"í","i"),"ó","o"),"ú","u"),"ü","u"),"ñ","n"),"à","a"),"è","e"),"ì","i"),"ò","o"),"ù","u"),"")</f>
        <v/>
      </c>
      <c r="R690" s="25">
        <f>IF(AND(L690=1,I690&lt;&gt;""),SUBSTITUTE(SUBSTITUTE(SUBSTITUTE(SUBSTITUTE(SUBSTITUTE(SUBSTITUTE(SUBSTITUTE(SUBSTITUTE(SUBSTITUTE(SUBSTITUTE(SUBSTITUTE(SUBSTITUTE(LOWER(TRIM(I690)),"á","a"),"é","e"),"í","i"),"ó","o"),"ú","u"),"ü","u"),"ñ","n"),"à","a"),"è","e"),"ì","i"),"ò","o"),"ù","u"),"")</f>
        <v/>
      </c>
      <c r="S690" s="25">
        <f>IF(R690="","",IF(OR(R690="si",R690="tal vez"),1,0))</f>
        <v/>
      </c>
      <c r="T690" s="25">
        <f>IF(AND(L690=1,D690&lt;&gt;""),IF(IFERROR(COUNTIFS(D$3:D690,"="&amp;SUBSTITUTE(SUBSTITUTE(SUBSTITUTE(D690,"~","~~"),"*","~*"),"?","~?"),L$3:L690,1),0)=1,MAX(T$2:T689)+1,""),"")</f>
        <v/>
      </c>
      <c r="U690" s="25">
        <f>IF(T690="","",COUNTIFS($D$3:$D$1002,"="&amp;SUBSTITUTE(SUBSTITUTE(SUBSTITUTE(D690,"~","~~"),"*","~*"),"?","~?"),$L$3:$L$1002,1)*10000-T690)</f>
        <v/>
      </c>
      <c r="V690" s="25">
        <f>IF(AND(L690=1,J690&lt;&gt;""),IF(IFERROR(COUNTIFS(J$3:J690,"="&amp;SUBSTITUTE(SUBSTITUTE(SUBSTITUTE(J690,"~","~~"),"*","~*"),"?","~?"),L$3:L690,1),0)=1,MAX(V$2:V689)+1,""),"")</f>
        <v/>
      </c>
      <c r="W690" s="25">
        <f>IF(V690="","",COUNTIFS($J$3:$J$1002,"="&amp;SUBSTITUTE(SUBSTITUTE(SUBSTITUTE(J690,"~","~~"),"*","~*"),"?","~?"),$L$3:$L$1002,1)*10000-V690)</f>
        <v/>
      </c>
    </row>
    <row r="691">
      <c r="A691">
        <f>IF(A$2=0,"",IFERROR(TRIM(INDEX('Pegar estudiantes'!$A$1:$BZ$1001,690,A$2)&amp;""),""))</f>
        <v/>
      </c>
      <c r="B691">
        <f>IF(B$2=0,"",IFERROR(TRIM(INDEX('Pegar estudiantes'!$A$1:$BZ$1001,690,B$2)&amp;""),""))</f>
        <v/>
      </c>
      <c r="C691">
        <f>IF(C$2=0,"",IFERROR(TRIM(INDEX('Pegar estudiantes'!$A$1:$BZ$1001,690,C$2)&amp;""),""))</f>
        <v/>
      </c>
      <c r="D691">
        <f>IF(D$2=0,"",IFERROR(TRIM(INDEX('Pegar estudiantes'!$A$1:$BZ$1001,690,D$2)&amp;""),""))</f>
        <v/>
      </c>
      <c r="E691">
        <f>IF(E$2=0,"",IFERROR(TRIM(INDEX('Pegar estudiantes'!$A$1:$BZ$1001,690,E$2)&amp;""),""))</f>
        <v/>
      </c>
      <c r="F691">
        <f>IF(F$2=0,"",IFERROR(TRIM(INDEX('Pegar estudiantes'!$A$1:$BZ$1001,690,F$2)&amp;""),""))</f>
        <v/>
      </c>
      <c r="G691">
        <f>IF(G$2=0,"",IFERROR(TRIM(INDEX('Pegar estudiantes'!$A$1:$BZ$1001,690,G$2)&amp;""),""))</f>
        <v/>
      </c>
      <c r="H691">
        <f>IF(H$2=0,"",IFERROR(TRIM(INDEX('Pegar estudiantes'!$A$1:$BZ$1001,690,H$2)&amp;""),""))</f>
        <v/>
      </c>
      <c r="I691">
        <f>IF(I$2=0,"",IFERROR(TRIM(INDEX('Pegar estudiantes'!$A$1:$BZ$1001,690,I$2)&amp;""),""))</f>
        <v/>
      </c>
      <c r="J691">
        <f>IF(J$2=0,"",IFERROR(TRIM(INDEX('Pegar estudiantes'!$A$1:$BZ$1001,690,J$2)&amp;""),""))</f>
        <v/>
      </c>
      <c r="K691">
        <f>IF(K$2=0,"",IFERROR(TRIM(INDEX('Pegar estudiantes'!$A$1:$BZ$1001,690,K$2)&amp;""),""))</f>
        <v/>
      </c>
      <c r="L691" s="25">
        <f>IF(A691&lt;&gt;"",1,"")</f>
        <v/>
      </c>
      <c r="M691" s="25">
        <f>IF(L691=1,IF(ISNUMBER(FIND("#"&amp;MID(A691,1,1)&amp;"#","#0#1#2#3#4#5#6#7#8#9#")),IF(ISNUMBER(FIND("#"&amp;MID(A691,2,1)&amp;"#","#0#1#2#3#4#5#6#7#8#9#")),IF(AND(VALUE(LEFT(A691,2))&gt;=1,VALUE(LEFT(A691,2))&lt;=5),VALUE(LEFT(A691,2)),""),IF(AND(VALUE(LEFT(A691,1))&gt;=1,VALUE(LEFT(A691,1))&lt;=5),VALUE(LEFT(A691,1)),"")),""),"")</f>
        <v/>
      </c>
      <c r="N691" s="25">
        <f>IF(L691=1,IF(ISNUMBER(FIND("#"&amp;MID(H691,1,1)&amp;"#","#0#1#2#3#4#5#6#7#8#9#")),IF(ISNUMBER(FIND("#"&amp;MID(H691,2,1)&amp;"#","#0#1#2#3#4#5#6#7#8#9#")),IF(AND(VALUE(LEFT(H691,2))&gt;=1,VALUE(LEFT(H691,2))&lt;=5),VALUE(LEFT(H691,2)),""),IF(AND(VALUE(LEFT(H691,1))&gt;=1,VALUE(LEFT(H691,1))&lt;=5),VALUE(LEFT(H691,1)),"")),""),"")</f>
        <v/>
      </c>
      <c r="O691" s="25">
        <f>IF(AND(L691=1,B691&lt;&gt;""),SUBSTITUTE(SUBSTITUTE(SUBSTITUTE(SUBSTITUTE(SUBSTITUTE(SUBSTITUTE(SUBSTITUTE(SUBSTITUTE(SUBSTITUTE(SUBSTITUTE(SUBSTITUTE(SUBSTITUTE(LOWER(TRIM(B691)),"á","a"),"é","e"),"í","i"),"ó","o"),"ú","u"),"ü","u"),"ñ","n"),"à","a"),"è","e"),"ì","i"),"ò","o"),"ù","u"),"")</f>
        <v/>
      </c>
      <c r="P691" s="25">
        <f>IF(AND(L691=1,C691&lt;&gt;""),SUBSTITUTE(SUBSTITUTE(SUBSTITUTE(SUBSTITUTE(SUBSTITUTE(SUBSTITUTE(SUBSTITUTE(SUBSTITUTE(SUBSTITUTE(SUBSTITUTE(SUBSTITUTE(SUBSTITUTE(LOWER(TRIM(C691)),"á","a"),"é","e"),"í","i"),"ó","o"),"ú","u"),"ü","u"),"ñ","n"),"à","a"),"è","e"),"ì","i"),"ò","o"),"ù","u"),"")</f>
        <v/>
      </c>
      <c r="Q691" s="25">
        <f>IF(AND(L691=1,E691&lt;&gt;""),SUBSTITUTE(SUBSTITUTE(SUBSTITUTE(SUBSTITUTE(SUBSTITUTE(SUBSTITUTE(SUBSTITUTE(SUBSTITUTE(SUBSTITUTE(SUBSTITUTE(SUBSTITUTE(SUBSTITUTE(LOWER(TRIM(E691)),"á","a"),"é","e"),"í","i"),"ó","o"),"ú","u"),"ü","u"),"ñ","n"),"à","a"),"è","e"),"ì","i"),"ò","o"),"ù","u"),"")</f>
        <v/>
      </c>
      <c r="R691" s="25">
        <f>IF(AND(L691=1,I691&lt;&gt;""),SUBSTITUTE(SUBSTITUTE(SUBSTITUTE(SUBSTITUTE(SUBSTITUTE(SUBSTITUTE(SUBSTITUTE(SUBSTITUTE(SUBSTITUTE(SUBSTITUTE(SUBSTITUTE(SUBSTITUTE(LOWER(TRIM(I691)),"á","a"),"é","e"),"í","i"),"ó","o"),"ú","u"),"ü","u"),"ñ","n"),"à","a"),"è","e"),"ì","i"),"ò","o"),"ù","u"),"")</f>
        <v/>
      </c>
      <c r="S691" s="25">
        <f>IF(R691="","",IF(OR(R691="si",R691="tal vez"),1,0))</f>
        <v/>
      </c>
      <c r="T691" s="25">
        <f>IF(AND(L691=1,D691&lt;&gt;""),IF(IFERROR(COUNTIFS(D$3:D691,"="&amp;SUBSTITUTE(SUBSTITUTE(SUBSTITUTE(D691,"~","~~"),"*","~*"),"?","~?"),L$3:L691,1),0)=1,MAX(T$2:T690)+1,""),"")</f>
        <v/>
      </c>
      <c r="U691" s="25">
        <f>IF(T691="","",COUNTIFS($D$3:$D$1002,"="&amp;SUBSTITUTE(SUBSTITUTE(SUBSTITUTE(D691,"~","~~"),"*","~*"),"?","~?"),$L$3:$L$1002,1)*10000-T691)</f>
        <v/>
      </c>
      <c r="V691" s="25">
        <f>IF(AND(L691=1,J691&lt;&gt;""),IF(IFERROR(COUNTIFS(J$3:J691,"="&amp;SUBSTITUTE(SUBSTITUTE(SUBSTITUTE(J691,"~","~~"),"*","~*"),"?","~?"),L$3:L691,1),0)=1,MAX(V$2:V690)+1,""),"")</f>
        <v/>
      </c>
      <c r="W691" s="25">
        <f>IF(V691="","",COUNTIFS($J$3:$J$1002,"="&amp;SUBSTITUTE(SUBSTITUTE(SUBSTITUTE(J691,"~","~~"),"*","~*"),"?","~?"),$L$3:$L$1002,1)*10000-V691)</f>
        <v/>
      </c>
    </row>
    <row r="692">
      <c r="A692">
        <f>IF(A$2=0,"",IFERROR(TRIM(INDEX('Pegar estudiantes'!$A$1:$BZ$1001,691,A$2)&amp;""),""))</f>
        <v/>
      </c>
      <c r="B692">
        <f>IF(B$2=0,"",IFERROR(TRIM(INDEX('Pegar estudiantes'!$A$1:$BZ$1001,691,B$2)&amp;""),""))</f>
        <v/>
      </c>
      <c r="C692">
        <f>IF(C$2=0,"",IFERROR(TRIM(INDEX('Pegar estudiantes'!$A$1:$BZ$1001,691,C$2)&amp;""),""))</f>
        <v/>
      </c>
      <c r="D692">
        <f>IF(D$2=0,"",IFERROR(TRIM(INDEX('Pegar estudiantes'!$A$1:$BZ$1001,691,D$2)&amp;""),""))</f>
        <v/>
      </c>
      <c r="E692">
        <f>IF(E$2=0,"",IFERROR(TRIM(INDEX('Pegar estudiantes'!$A$1:$BZ$1001,691,E$2)&amp;""),""))</f>
        <v/>
      </c>
      <c r="F692">
        <f>IF(F$2=0,"",IFERROR(TRIM(INDEX('Pegar estudiantes'!$A$1:$BZ$1001,691,F$2)&amp;""),""))</f>
        <v/>
      </c>
      <c r="G692">
        <f>IF(G$2=0,"",IFERROR(TRIM(INDEX('Pegar estudiantes'!$A$1:$BZ$1001,691,G$2)&amp;""),""))</f>
        <v/>
      </c>
      <c r="H692">
        <f>IF(H$2=0,"",IFERROR(TRIM(INDEX('Pegar estudiantes'!$A$1:$BZ$1001,691,H$2)&amp;""),""))</f>
        <v/>
      </c>
      <c r="I692">
        <f>IF(I$2=0,"",IFERROR(TRIM(INDEX('Pegar estudiantes'!$A$1:$BZ$1001,691,I$2)&amp;""),""))</f>
        <v/>
      </c>
      <c r="J692">
        <f>IF(J$2=0,"",IFERROR(TRIM(INDEX('Pegar estudiantes'!$A$1:$BZ$1001,691,J$2)&amp;""),""))</f>
        <v/>
      </c>
      <c r="K692">
        <f>IF(K$2=0,"",IFERROR(TRIM(INDEX('Pegar estudiantes'!$A$1:$BZ$1001,691,K$2)&amp;""),""))</f>
        <v/>
      </c>
      <c r="L692" s="25">
        <f>IF(A692&lt;&gt;"",1,"")</f>
        <v/>
      </c>
      <c r="M692" s="25">
        <f>IF(L692=1,IF(ISNUMBER(FIND("#"&amp;MID(A692,1,1)&amp;"#","#0#1#2#3#4#5#6#7#8#9#")),IF(ISNUMBER(FIND("#"&amp;MID(A692,2,1)&amp;"#","#0#1#2#3#4#5#6#7#8#9#")),IF(AND(VALUE(LEFT(A692,2))&gt;=1,VALUE(LEFT(A692,2))&lt;=5),VALUE(LEFT(A692,2)),""),IF(AND(VALUE(LEFT(A692,1))&gt;=1,VALUE(LEFT(A692,1))&lt;=5),VALUE(LEFT(A692,1)),"")),""),"")</f>
        <v/>
      </c>
      <c r="N692" s="25">
        <f>IF(L692=1,IF(ISNUMBER(FIND("#"&amp;MID(H692,1,1)&amp;"#","#0#1#2#3#4#5#6#7#8#9#")),IF(ISNUMBER(FIND("#"&amp;MID(H692,2,1)&amp;"#","#0#1#2#3#4#5#6#7#8#9#")),IF(AND(VALUE(LEFT(H692,2))&gt;=1,VALUE(LEFT(H692,2))&lt;=5),VALUE(LEFT(H692,2)),""),IF(AND(VALUE(LEFT(H692,1))&gt;=1,VALUE(LEFT(H692,1))&lt;=5),VALUE(LEFT(H692,1)),"")),""),"")</f>
        <v/>
      </c>
      <c r="O692" s="25">
        <f>IF(AND(L692=1,B692&lt;&gt;""),SUBSTITUTE(SUBSTITUTE(SUBSTITUTE(SUBSTITUTE(SUBSTITUTE(SUBSTITUTE(SUBSTITUTE(SUBSTITUTE(SUBSTITUTE(SUBSTITUTE(SUBSTITUTE(SUBSTITUTE(LOWER(TRIM(B692)),"á","a"),"é","e"),"í","i"),"ó","o"),"ú","u"),"ü","u"),"ñ","n"),"à","a"),"è","e"),"ì","i"),"ò","o"),"ù","u"),"")</f>
        <v/>
      </c>
      <c r="P692" s="25">
        <f>IF(AND(L692=1,C692&lt;&gt;""),SUBSTITUTE(SUBSTITUTE(SUBSTITUTE(SUBSTITUTE(SUBSTITUTE(SUBSTITUTE(SUBSTITUTE(SUBSTITUTE(SUBSTITUTE(SUBSTITUTE(SUBSTITUTE(SUBSTITUTE(LOWER(TRIM(C692)),"á","a"),"é","e"),"í","i"),"ó","o"),"ú","u"),"ü","u"),"ñ","n"),"à","a"),"è","e"),"ì","i"),"ò","o"),"ù","u"),"")</f>
        <v/>
      </c>
      <c r="Q692" s="25">
        <f>IF(AND(L692=1,E692&lt;&gt;""),SUBSTITUTE(SUBSTITUTE(SUBSTITUTE(SUBSTITUTE(SUBSTITUTE(SUBSTITUTE(SUBSTITUTE(SUBSTITUTE(SUBSTITUTE(SUBSTITUTE(SUBSTITUTE(SUBSTITUTE(LOWER(TRIM(E692)),"á","a"),"é","e"),"í","i"),"ó","o"),"ú","u"),"ü","u"),"ñ","n"),"à","a"),"è","e"),"ì","i"),"ò","o"),"ù","u"),"")</f>
        <v/>
      </c>
      <c r="R692" s="25">
        <f>IF(AND(L692=1,I692&lt;&gt;""),SUBSTITUTE(SUBSTITUTE(SUBSTITUTE(SUBSTITUTE(SUBSTITUTE(SUBSTITUTE(SUBSTITUTE(SUBSTITUTE(SUBSTITUTE(SUBSTITUTE(SUBSTITUTE(SUBSTITUTE(LOWER(TRIM(I692)),"á","a"),"é","e"),"í","i"),"ó","o"),"ú","u"),"ü","u"),"ñ","n"),"à","a"),"è","e"),"ì","i"),"ò","o"),"ù","u"),"")</f>
        <v/>
      </c>
      <c r="S692" s="25">
        <f>IF(R692="","",IF(OR(R692="si",R692="tal vez"),1,0))</f>
        <v/>
      </c>
      <c r="T692" s="25">
        <f>IF(AND(L692=1,D692&lt;&gt;""),IF(IFERROR(COUNTIFS(D$3:D692,"="&amp;SUBSTITUTE(SUBSTITUTE(SUBSTITUTE(D692,"~","~~"),"*","~*"),"?","~?"),L$3:L692,1),0)=1,MAX(T$2:T691)+1,""),"")</f>
        <v/>
      </c>
      <c r="U692" s="25">
        <f>IF(T692="","",COUNTIFS($D$3:$D$1002,"="&amp;SUBSTITUTE(SUBSTITUTE(SUBSTITUTE(D692,"~","~~"),"*","~*"),"?","~?"),$L$3:$L$1002,1)*10000-T692)</f>
        <v/>
      </c>
      <c r="V692" s="25">
        <f>IF(AND(L692=1,J692&lt;&gt;""),IF(IFERROR(COUNTIFS(J$3:J692,"="&amp;SUBSTITUTE(SUBSTITUTE(SUBSTITUTE(J692,"~","~~"),"*","~*"),"?","~?"),L$3:L692,1),0)=1,MAX(V$2:V691)+1,""),"")</f>
        <v/>
      </c>
      <c r="W692" s="25">
        <f>IF(V692="","",COUNTIFS($J$3:$J$1002,"="&amp;SUBSTITUTE(SUBSTITUTE(SUBSTITUTE(J692,"~","~~"),"*","~*"),"?","~?"),$L$3:$L$1002,1)*10000-V692)</f>
        <v/>
      </c>
    </row>
    <row r="693">
      <c r="A693">
        <f>IF(A$2=0,"",IFERROR(TRIM(INDEX('Pegar estudiantes'!$A$1:$BZ$1001,692,A$2)&amp;""),""))</f>
        <v/>
      </c>
      <c r="B693">
        <f>IF(B$2=0,"",IFERROR(TRIM(INDEX('Pegar estudiantes'!$A$1:$BZ$1001,692,B$2)&amp;""),""))</f>
        <v/>
      </c>
      <c r="C693">
        <f>IF(C$2=0,"",IFERROR(TRIM(INDEX('Pegar estudiantes'!$A$1:$BZ$1001,692,C$2)&amp;""),""))</f>
        <v/>
      </c>
      <c r="D693">
        <f>IF(D$2=0,"",IFERROR(TRIM(INDEX('Pegar estudiantes'!$A$1:$BZ$1001,692,D$2)&amp;""),""))</f>
        <v/>
      </c>
      <c r="E693">
        <f>IF(E$2=0,"",IFERROR(TRIM(INDEX('Pegar estudiantes'!$A$1:$BZ$1001,692,E$2)&amp;""),""))</f>
        <v/>
      </c>
      <c r="F693">
        <f>IF(F$2=0,"",IFERROR(TRIM(INDEX('Pegar estudiantes'!$A$1:$BZ$1001,692,F$2)&amp;""),""))</f>
        <v/>
      </c>
      <c r="G693">
        <f>IF(G$2=0,"",IFERROR(TRIM(INDEX('Pegar estudiantes'!$A$1:$BZ$1001,692,G$2)&amp;""),""))</f>
        <v/>
      </c>
      <c r="H693">
        <f>IF(H$2=0,"",IFERROR(TRIM(INDEX('Pegar estudiantes'!$A$1:$BZ$1001,692,H$2)&amp;""),""))</f>
        <v/>
      </c>
      <c r="I693">
        <f>IF(I$2=0,"",IFERROR(TRIM(INDEX('Pegar estudiantes'!$A$1:$BZ$1001,692,I$2)&amp;""),""))</f>
        <v/>
      </c>
      <c r="J693">
        <f>IF(J$2=0,"",IFERROR(TRIM(INDEX('Pegar estudiantes'!$A$1:$BZ$1001,692,J$2)&amp;""),""))</f>
        <v/>
      </c>
      <c r="K693">
        <f>IF(K$2=0,"",IFERROR(TRIM(INDEX('Pegar estudiantes'!$A$1:$BZ$1001,692,K$2)&amp;""),""))</f>
        <v/>
      </c>
      <c r="L693" s="25">
        <f>IF(A693&lt;&gt;"",1,"")</f>
        <v/>
      </c>
      <c r="M693" s="25">
        <f>IF(L693=1,IF(ISNUMBER(FIND("#"&amp;MID(A693,1,1)&amp;"#","#0#1#2#3#4#5#6#7#8#9#")),IF(ISNUMBER(FIND("#"&amp;MID(A693,2,1)&amp;"#","#0#1#2#3#4#5#6#7#8#9#")),IF(AND(VALUE(LEFT(A693,2))&gt;=1,VALUE(LEFT(A693,2))&lt;=5),VALUE(LEFT(A693,2)),""),IF(AND(VALUE(LEFT(A693,1))&gt;=1,VALUE(LEFT(A693,1))&lt;=5),VALUE(LEFT(A693,1)),"")),""),"")</f>
        <v/>
      </c>
      <c r="N693" s="25">
        <f>IF(L693=1,IF(ISNUMBER(FIND("#"&amp;MID(H693,1,1)&amp;"#","#0#1#2#3#4#5#6#7#8#9#")),IF(ISNUMBER(FIND("#"&amp;MID(H693,2,1)&amp;"#","#0#1#2#3#4#5#6#7#8#9#")),IF(AND(VALUE(LEFT(H693,2))&gt;=1,VALUE(LEFT(H693,2))&lt;=5),VALUE(LEFT(H693,2)),""),IF(AND(VALUE(LEFT(H693,1))&gt;=1,VALUE(LEFT(H693,1))&lt;=5),VALUE(LEFT(H693,1)),"")),""),"")</f>
        <v/>
      </c>
      <c r="O693" s="25">
        <f>IF(AND(L693=1,B693&lt;&gt;""),SUBSTITUTE(SUBSTITUTE(SUBSTITUTE(SUBSTITUTE(SUBSTITUTE(SUBSTITUTE(SUBSTITUTE(SUBSTITUTE(SUBSTITUTE(SUBSTITUTE(SUBSTITUTE(SUBSTITUTE(LOWER(TRIM(B693)),"á","a"),"é","e"),"í","i"),"ó","o"),"ú","u"),"ü","u"),"ñ","n"),"à","a"),"è","e"),"ì","i"),"ò","o"),"ù","u"),"")</f>
        <v/>
      </c>
      <c r="P693" s="25">
        <f>IF(AND(L693=1,C693&lt;&gt;""),SUBSTITUTE(SUBSTITUTE(SUBSTITUTE(SUBSTITUTE(SUBSTITUTE(SUBSTITUTE(SUBSTITUTE(SUBSTITUTE(SUBSTITUTE(SUBSTITUTE(SUBSTITUTE(SUBSTITUTE(LOWER(TRIM(C693)),"á","a"),"é","e"),"í","i"),"ó","o"),"ú","u"),"ü","u"),"ñ","n"),"à","a"),"è","e"),"ì","i"),"ò","o"),"ù","u"),"")</f>
        <v/>
      </c>
      <c r="Q693" s="25">
        <f>IF(AND(L693=1,E693&lt;&gt;""),SUBSTITUTE(SUBSTITUTE(SUBSTITUTE(SUBSTITUTE(SUBSTITUTE(SUBSTITUTE(SUBSTITUTE(SUBSTITUTE(SUBSTITUTE(SUBSTITUTE(SUBSTITUTE(SUBSTITUTE(LOWER(TRIM(E693)),"á","a"),"é","e"),"í","i"),"ó","o"),"ú","u"),"ü","u"),"ñ","n"),"à","a"),"è","e"),"ì","i"),"ò","o"),"ù","u"),"")</f>
        <v/>
      </c>
      <c r="R693" s="25">
        <f>IF(AND(L693=1,I693&lt;&gt;""),SUBSTITUTE(SUBSTITUTE(SUBSTITUTE(SUBSTITUTE(SUBSTITUTE(SUBSTITUTE(SUBSTITUTE(SUBSTITUTE(SUBSTITUTE(SUBSTITUTE(SUBSTITUTE(SUBSTITUTE(LOWER(TRIM(I693)),"á","a"),"é","e"),"í","i"),"ó","o"),"ú","u"),"ü","u"),"ñ","n"),"à","a"),"è","e"),"ì","i"),"ò","o"),"ù","u"),"")</f>
        <v/>
      </c>
      <c r="S693" s="25">
        <f>IF(R693="","",IF(OR(R693="si",R693="tal vez"),1,0))</f>
        <v/>
      </c>
      <c r="T693" s="25">
        <f>IF(AND(L693=1,D693&lt;&gt;""),IF(IFERROR(COUNTIFS(D$3:D693,"="&amp;SUBSTITUTE(SUBSTITUTE(SUBSTITUTE(D693,"~","~~"),"*","~*"),"?","~?"),L$3:L693,1),0)=1,MAX(T$2:T692)+1,""),"")</f>
        <v/>
      </c>
      <c r="U693" s="25">
        <f>IF(T693="","",COUNTIFS($D$3:$D$1002,"="&amp;SUBSTITUTE(SUBSTITUTE(SUBSTITUTE(D693,"~","~~"),"*","~*"),"?","~?"),$L$3:$L$1002,1)*10000-T693)</f>
        <v/>
      </c>
      <c r="V693" s="25">
        <f>IF(AND(L693=1,J693&lt;&gt;""),IF(IFERROR(COUNTIFS(J$3:J693,"="&amp;SUBSTITUTE(SUBSTITUTE(SUBSTITUTE(J693,"~","~~"),"*","~*"),"?","~?"),L$3:L693,1),0)=1,MAX(V$2:V692)+1,""),"")</f>
        <v/>
      </c>
      <c r="W693" s="25">
        <f>IF(V693="","",COUNTIFS($J$3:$J$1002,"="&amp;SUBSTITUTE(SUBSTITUTE(SUBSTITUTE(J693,"~","~~"),"*","~*"),"?","~?"),$L$3:$L$1002,1)*10000-V693)</f>
        <v/>
      </c>
    </row>
    <row r="694">
      <c r="A694">
        <f>IF(A$2=0,"",IFERROR(TRIM(INDEX('Pegar estudiantes'!$A$1:$BZ$1001,693,A$2)&amp;""),""))</f>
        <v/>
      </c>
      <c r="B694">
        <f>IF(B$2=0,"",IFERROR(TRIM(INDEX('Pegar estudiantes'!$A$1:$BZ$1001,693,B$2)&amp;""),""))</f>
        <v/>
      </c>
      <c r="C694">
        <f>IF(C$2=0,"",IFERROR(TRIM(INDEX('Pegar estudiantes'!$A$1:$BZ$1001,693,C$2)&amp;""),""))</f>
        <v/>
      </c>
      <c r="D694">
        <f>IF(D$2=0,"",IFERROR(TRIM(INDEX('Pegar estudiantes'!$A$1:$BZ$1001,693,D$2)&amp;""),""))</f>
        <v/>
      </c>
      <c r="E694">
        <f>IF(E$2=0,"",IFERROR(TRIM(INDEX('Pegar estudiantes'!$A$1:$BZ$1001,693,E$2)&amp;""),""))</f>
        <v/>
      </c>
      <c r="F694">
        <f>IF(F$2=0,"",IFERROR(TRIM(INDEX('Pegar estudiantes'!$A$1:$BZ$1001,693,F$2)&amp;""),""))</f>
        <v/>
      </c>
      <c r="G694">
        <f>IF(G$2=0,"",IFERROR(TRIM(INDEX('Pegar estudiantes'!$A$1:$BZ$1001,693,G$2)&amp;""),""))</f>
        <v/>
      </c>
      <c r="H694">
        <f>IF(H$2=0,"",IFERROR(TRIM(INDEX('Pegar estudiantes'!$A$1:$BZ$1001,693,H$2)&amp;""),""))</f>
        <v/>
      </c>
      <c r="I694">
        <f>IF(I$2=0,"",IFERROR(TRIM(INDEX('Pegar estudiantes'!$A$1:$BZ$1001,693,I$2)&amp;""),""))</f>
        <v/>
      </c>
      <c r="J694">
        <f>IF(J$2=0,"",IFERROR(TRIM(INDEX('Pegar estudiantes'!$A$1:$BZ$1001,693,J$2)&amp;""),""))</f>
        <v/>
      </c>
      <c r="K694">
        <f>IF(K$2=0,"",IFERROR(TRIM(INDEX('Pegar estudiantes'!$A$1:$BZ$1001,693,K$2)&amp;""),""))</f>
        <v/>
      </c>
      <c r="L694" s="25">
        <f>IF(A694&lt;&gt;"",1,"")</f>
        <v/>
      </c>
      <c r="M694" s="25">
        <f>IF(L694=1,IF(ISNUMBER(FIND("#"&amp;MID(A694,1,1)&amp;"#","#0#1#2#3#4#5#6#7#8#9#")),IF(ISNUMBER(FIND("#"&amp;MID(A694,2,1)&amp;"#","#0#1#2#3#4#5#6#7#8#9#")),IF(AND(VALUE(LEFT(A694,2))&gt;=1,VALUE(LEFT(A694,2))&lt;=5),VALUE(LEFT(A694,2)),""),IF(AND(VALUE(LEFT(A694,1))&gt;=1,VALUE(LEFT(A694,1))&lt;=5),VALUE(LEFT(A694,1)),"")),""),"")</f>
        <v/>
      </c>
      <c r="N694" s="25">
        <f>IF(L694=1,IF(ISNUMBER(FIND("#"&amp;MID(H694,1,1)&amp;"#","#0#1#2#3#4#5#6#7#8#9#")),IF(ISNUMBER(FIND("#"&amp;MID(H694,2,1)&amp;"#","#0#1#2#3#4#5#6#7#8#9#")),IF(AND(VALUE(LEFT(H694,2))&gt;=1,VALUE(LEFT(H694,2))&lt;=5),VALUE(LEFT(H694,2)),""),IF(AND(VALUE(LEFT(H694,1))&gt;=1,VALUE(LEFT(H694,1))&lt;=5),VALUE(LEFT(H694,1)),"")),""),"")</f>
        <v/>
      </c>
      <c r="O694" s="25">
        <f>IF(AND(L694=1,B694&lt;&gt;""),SUBSTITUTE(SUBSTITUTE(SUBSTITUTE(SUBSTITUTE(SUBSTITUTE(SUBSTITUTE(SUBSTITUTE(SUBSTITUTE(SUBSTITUTE(SUBSTITUTE(SUBSTITUTE(SUBSTITUTE(LOWER(TRIM(B694)),"á","a"),"é","e"),"í","i"),"ó","o"),"ú","u"),"ü","u"),"ñ","n"),"à","a"),"è","e"),"ì","i"),"ò","o"),"ù","u"),"")</f>
        <v/>
      </c>
      <c r="P694" s="25">
        <f>IF(AND(L694=1,C694&lt;&gt;""),SUBSTITUTE(SUBSTITUTE(SUBSTITUTE(SUBSTITUTE(SUBSTITUTE(SUBSTITUTE(SUBSTITUTE(SUBSTITUTE(SUBSTITUTE(SUBSTITUTE(SUBSTITUTE(SUBSTITUTE(LOWER(TRIM(C694)),"á","a"),"é","e"),"í","i"),"ó","o"),"ú","u"),"ü","u"),"ñ","n"),"à","a"),"è","e"),"ì","i"),"ò","o"),"ù","u"),"")</f>
        <v/>
      </c>
      <c r="Q694" s="25">
        <f>IF(AND(L694=1,E694&lt;&gt;""),SUBSTITUTE(SUBSTITUTE(SUBSTITUTE(SUBSTITUTE(SUBSTITUTE(SUBSTITUTE(SUBSTITUTE(SUBSTITUTE(SUBSTITUTE(SUBSTITUTE(SUBSTITUTE(SUBSTITUTE(LOWER(TRIM(E694)),"á","a"),"é","e"),"í","i"),"ó","o"),"ú","u"),"ü","u"),"ñ","n"),"à","a"),"è","e"),"ì","i"),"ò","o"),"ù","u"),"")</f>
        <v/>
      </c>
      <c r="R694" s="25">
        <f>IF(AND(L694=1,I694&lt;&gt;""),SUBSTITUTE(SUBSTITUTE(SUBSTITUTE(SUBSTITUTE(SUBSTITUTE(SUBSTITUTE(SUBSTITUTE(SUBSTITUTE(SUBSTITUTE(SUBSTITUTE(SUBSTITUTE(SUBSTITUTE(LOWER(TRIM(I694)),"á","a"),"é","e"),"í","i"),"ó","o"),"ú","u"),"ü","u"),"ñ","n"),"à","a"),"è","e"),"ì","i"),"ò","o"),"ù","u"),"")</f>
        <v/>
      </c>
      <c r="S694" s="25">
        <f>IF(R694="","",IF(OR(R694="si",R694="tal vez"),1,0))</f>
        <v/>
      </c>
      <c r="T694" s="25">
        <f>IF(AND(L694=1,D694&lt;&gt;""),IF(IFERROR(COUNTIFS(D$3:D694,"="&amp;SUBSTITUTE(SUBSTITUTE(SUBSTITUTE(D694,"~","~~"),"*","~*"),"?","~?"),L$3:L694,1),0)=1,MAX(T$2:T693)+1,""),"")</f>
        <v/>
      </c>
      <c r="U694" s="25">
        <f>IF(T694="","",COUNTIFS($D$3:$D$1002,"="&amp;SUBSTITUTE(SUBSTITUTE(SUBSTITUTE(D694,"~","~~"),"*","~*"),"?","~?"),$L$3:$L$1002,1)*10000-T694)</f>
        <v/>
      </c>
      <c r="V694" s="25">
        <f>IF(AND(L694=1,J694&lt;&gt;""),IF(IFERROR(COUNTIFS(J$3:J694,"="&amp;SUBSTITUTE(SUBSTITUTE(SUBSTITUTE(J694,"~","~~"),"*","~*"),"?","~?"),L$3:L694,1),0)=1,MAX(V$2:V693)+1,""),"")</f>
        <v/>
      </c>
      <c r="W694" s="25">
        <f>IF(V694="","",COUNTIFS($J$3:$J$1002,"="&amp;SUBSTITUTE(SUBSTITUTE(SUBSTITUTE(J694,"~","~~"),"*","~*"),"?","~?"),$L$3:$L$1002,1)*10000-V694)</f>
        <v/>
      </c>
    </row>
    <row r="695">
      <c r="A695">
        <f>IF(A$2=0,"",IFERROR(TRIM(INDEX('Pegar estudiantes'!$A$1:$BZ$1001,694,A$2)&amp;""),""))</f>
        <v/>
      </c>
      <c r="B695">
        <f>IF(B$2=0,"",IFERROR(TRIM(INDEX('Pegar estudiantes'!$A$1:$BZ$1001,694,B$2)&amp;""),""))</f>
        <v/>
      </c>
      <c r="C695">
        <f>IF(C$2=0,"",IFERROR(TRIM(INDEX('Pegar estudiantes'!$A$1:$BZ$1001,694,C$2)&amp;""),""))</f>
        <v/>
      </c>
      <c r="D695">
        <f>IF(D$2=0,"",IFERROR(TRIM(INDEX('Pegar estudiantes'!$A$1:$BZ$1001,694,D$2)&amp;""),""))</f>
        <v/>
      </c>
      <c r="E695">
        <f>IF(E$2=0,"",IFERROR(TRIM(INDEX('Pegar estudiantes'!$A$1:$BZ$1001,694,E$2)&amp;""),""))</f>
        <v/>
      </c>
      <c r="F695">
        <f>IF(F$2=0,"",IFERROR(TRIM(INDEX('Pegar estudiantes'!$A$1:$BZ$1001,694,F$2)&amp;""),""))</f>
        <v/>
      </c>
      <c r="G695">
        <f>IF(G$2=0,"",IFERROR(TRIM(INDEX('Pegar estudiantes'!$A$1:$BZ$1001,694,G$2)&amp;""),""))</f>
        <v/>
      </c>
      <c r="H695">
        <f>IF(H$2=0,"",IFERROR(TRIM(INDEX('Pegar estudiantes'!$A$1:$BZ$1001,694,H$2)&amp;""),""))</f>
        <v/>
      </c>
      <c r="I695">
        <f>IF(I$2=0,"",IFERROR(TRIM(INDEX('Pegar estudiantes'!$A$1:$BZ$1001,694,I$2)&amp;""),""))</f>
        <v/>
      </c>
      <c r="J695">
        <f>IF(J$2=0,"",IFERROR(TRIM(INDEX('Pegar estudiantes'!$A$1:$BZ$1001,694,J$2)&amp;""),""))</f>
        <v/>
      </c>
      <c r="K695">
        <f>IF(K$2=0,"",IFERROR(TRIM(INDEX('Pegar estudiantes'!$A$1:$BZ$1001,694,K$2)&amp;""),""))</f>
        <v/>
      </c>
      <c r="L695" s="25">
        <f>IF(A695&lt;&gt;"",1,"")</f>
        <v/>
      </c>
      <c r="M695" s="25">
        <f>IF(L695=1,IF(ISNUMBER(FIND("#"&amp;MID(A695,1,1)&amp;"#","#0#1#2#3#4#5#6#7#8#9#")),IF(ISNUMBER(FIND("#"&amp;MID(A695,2,1)&amp;"#","#0#1#2#3#4#5#6#7#8#9#")),IF(AND(VALUE(LEFT(A695,2))&gt;=1,VALUE(LEFT(A695,2))&lt;=5),VALUE(LEFT(A695,2)),""),IF(AND(VALUE(LEFT(A695,1))&gt;=1,VALUE(LEFT(A695,1))&lt;=5),VALUE(LEFT(A695,1)),"")),""),"")</f>
        <v/>
      </c>
      <c r="N695" s="25">
        <f>IF(L695=1,IF(ISNUMBER(FIND("#"&amp;MID(H695,1,1)&amp;"#","#0#1#2#3#4#5#6#7#8#9#")),IF(ISNUMBER(FIND("#"&amp;MID(H695,2,1)&amp;"#","#0#1#2#3#4#5#6#7#8#9#")),IF(AND(VALUE(LEFT(H695,2))&gt;=1,VALUE(LEFT(H695,2))&lt;=5),VALUE(LEFT(H695,2)),""),IF(AND(VALUE(LEFT(H695,1))&gt;=1,VALUE(LEFT(H695,1))&lt;=5),VALUE(LEFT(H695,1)),"")),""),"")</f>
        <v/>
      </c>
      <c r="O695" s="25">
        <f>IF(AND(L695=1,B695&lt;&gt;""),SUBSTITUTE(SUBSTITUTE(SUBSTITUTE(SUBSTITUTE(SUBSTITUTE(SUBSTITUTE(SUBSTITUTE(SUBSTITUTE(SUBSTITUTE(SUBSTITUTE(SUBSTITUTE(SUBSTITUTE(LOWER(TRIM(B695)),"á","a"),"é","e"),"í","i"),"ó","o"),"ú","u"),"ü","u"),"ñ","n"),"à","a"),"è","e"),"ì","i"),"ò","o"),"ù","u"),"")</f>
        <v/>
      </c>
      <c r="P695" s="25">
        <f>IF(AND(L695=1,C695&lt;&gt;""),SUBSTITUTE(SUBSTITUTE(SUBSTITUTE(SUBSTITUTE(SUBSTITUTE(SUBSTITUTE(SUBSTITUTE(SUBSTITUTE(SUBSTITUTE(SUBSTITUTE(SUBSTITUTE(SUBSTITUTE(LOWER(TRIM(C695)),"á","a"),"é","e"),"í","i"),"ó","o"),"ú","u"),"ü","u"),"ñ","n"),"à","a"),"è","e"),"ì","i"),"ò","o"),"ù","u"),"")</f>
        <v/>
      </c>
      <c r="Q695" s="25">
        <f>IF(AND(L695=1,E695&lt;&gt;""),SUBSTITUTE(SUBSTITUTE(SUBSTITUTE(SUBSTITUTE(SUBSTITUTE(SUBSTITUTE(SUBSTITUTE(SUBSTITUTE(SUBSTITUTE(SUBSTITUTE(SUBSTITUTE(SUBSTITUTE(LOWER(TRIM(E695)),"á","a"),"é","e"),"í","i"),"ó","o"),"ú","u"),"ü","u"),"ñ","n"),"à","a"),"è","e"),"ì","i"),"ò","o"),"ù","u"),"")</f>
        <v/>
      </c>
      <c r="R695" s="25">
        <f>IF(AND(L695=1,I695&lt;&gt;""),SUBSTITUTE(SUBSTITUTE(SUBSTITUTE(SUBSTITUTE(SUBSTITUTE(SUBSTITUTE(SUBSTITUTE(SUBSTITUTE(SUBSTITUTE(SUBSTITUTE(SUBSTITUTE(SUBSTITUTE(LOWER(TRIM(I695)),"á","a"),"é","e"),"í","i"),"ó","o"),"ú","u"),"ü","u"),"ñ","n"),"à","a"),"è","e"),"ì","i"),"ò","o"),"ù","u"),"")</f>
        <v/>
      </c>
      <c r="S695" s="25">
        <f>IF(R695="","",IF(OR(R695="si",R695="tal vez"),1,0))</f>
        <v/>
      </c>
      <c r="T695" s="25">
        <f>IF(AND(L695=1,D695&lt;&gt;""),IF(IFERROR(COUNTIFS(D$3:D695,"="&amp;SUBSTITUTE(SUBSTITUTE(SUBSTITUTE(D695,"~","~~"),"*","~*"),"?","~?"),L$3:L695,1),0)=1,MAX(T$2:T694)+1,""),"")</f>
        <v/>
      </c>
      <c r="U695" s="25">
        <f>IF(T695="","",COUNTIFS($D$3:$D$1002,"="&amp;SUBSTITUTE(SUBSTITUTE(SUBSTITUTE(D695,"~","~~"),"*","~*"),"?","~?"),$L$3:$L$1002,1)*10000-T695)</f>
        <v/>
      </c>
      <c r="V695" s="25">
        <f>IF(AND(L695=1,J695&lt;&gt;""),IF(IFERROR(COUNTIFS(J$3:J695,"="&amp;SUBSTITUTE(SUBSTITUTE(SUBSTITUTE(J695,"~","~~"),"*","~*"),"?","~?"),L$3:L695,1),0)=1,MAX(V$2:V694)+1,""),"")</f>
        <v/>
      </c>
      <c r="W695" s="25">
        <f>IF(V695="","",COUNTIFS($J$3:$J$1002,"="&amp;SUBSTITUTE(SUBSTITUTE(SUBSTITUTE(J695,"~","~~"),"*","~*"),"?","~?"),$L$3:$L$1002,1)*10000-V695)</f>
        <v/>
      </c>
    </row>
    <row r="696">
      <c r="A696">
        <f>IF(A$2=0,"",IFERROR(TRIM(INDEX('Pegar estudiantes'!$A$1:$BZ$1001,695,A$2)&amp;""),""))</f>
        <v/>
      </c>
      <c r="B696">
        <f>IF(B$2=0,"",IFERROR(TRIM(INDEX('Pegar estudiantes'!$A$1:$BZ$1001,695,B$2)&amp;""),""))</f>
        <v/>
      </c>
      <c r="C696">
        <f>IF(C$2=0,"",IFERROR(TRIM(INDEX('Pegar estudiantes'!$A$1:$BZ$1001,695,C$2)&amp;""),""))</f>
        <v/>
      </c>
      <c r="D696">
        <f>IF(D$2=0,"",IFERROR(TRIM(INDEX('Pegar estudiantes'!$A$1:$BZ$1001,695,D$2)&amp;""),""))</f>
        <v/>
      </c>
      <c r="E696">
        <f>IF(E$2=0,"",IFERROR(TRIM(INDEX('Pegar estudiantes'!$A$1:$BZ$1001,695,E$2)&amp;""),""))</f>
        <v/>
      </c>
      <c r="F696">
        <f>IF(F$2=0,"",IFERROR(TRIM(INDEX('Pegar estudiantes'!$A$1:$BZ$1001,695,F$2)&amp;""),""))</f>
        <v/>
      </c>
      <c r="G696">
        <f>IF(G$2=0,"",IFERROR(TRIM(INDEX('Pegar estudiantes'!$A$1:$BZ$1001,695,G$2)&amp;""),""))</f>
        <v/>
      </c>
      <c r="H696">
        <f>IF(H$2=0,"",IFERROR(TRIM(INDEX('Pegar estudiantes'!$A$1:$BZ$1001,695,H$2)&amp;""),""))</f>
        <v/>
      </c>
      <c r="I696">
        <f>IF(I$2=0,"",IFERROR(TRIM(INDEX('Pegar estudiantes'!$A$1:$BZ$1001,695,I$2)&amp;""),""))</f>
        <v/>
      </c>
      <c r="J696">
        <f>IF(J$2=0,"",IFERROR(TRIM(INDEX('Pegar estudiantes'!$A$1:$BZ$1001,695,J$2)&amp;""),""))</f>
        <v/>
      </c>
      <c r="K696">
        <f>IF(K$2=0,"",IFERROR(TRIM(INDEX('Pegar estudiantes'!$A$1:$BZ$1001,695,K$2)&amp;""),""))</f>
        <v/>
      </c>
      <c r="L696" s="25">
        <f>IF(A696&lt;&gt;"",1,"")</f>
        <v/>
      </c>
      <c r="M696" s="25">
        <f>IF(L696=1,IF(ISNUMBER(FIND("#"&amp;MID(A696,1,1)&amp;"#","#0#1#2#3#4#5#6#7#8#9#")),IF(ISNUMBER(FIND("#"&amp;MID(A696,2,1)&amp;"#","#0#1#2#3#4#5#6#7#8#9#")),IF(AND(VALUE(LEFT(A696,2))&gt;=1,VALUE(LEFT(A696,2))&lt;=5),VALUE(LEFT(A696,2)),""),IF(AND(VALUE(LEFT(A696,1))&gt;=1,VALUE(LEFT(A696,1))&lt;=5),VALUE(LEFT(A696,1)),"")),""),"")</f>
        <v/>
      </c>
      <c r="N696" s="25">
        <f>IF(L696=1,IF(ISNUMBER(FIND("#"&amp;MID(H696,1,1)&amp;"#","#0#1#2#3#4#5#6#7#8#9#")),IF(ISNUMBER(FIND("#"&amp;MID(H696,2,1)&amp;"#","#0#1#2#3#4#5#6#7#8#9#")),IF(AND(VALUE(LEFT(H696,2))&gt;=1,VALUE(LEFT(H696,2))&lt;=5),VALUE(LEFT(H696,2)),""),IF(AND(VALUE(LEFT(H696,1))&gt;=1,VALUE(LEFT(H696,1))&lt;=5),VALUE(LEFT(H696,1)),"")),""),"")</f>
        <v/>
      </c>
      <c r="O696" s="25">
        <f>IF(AND(L696=1,B696&lt;&gt;""),SUBSTITUTE(SUBSTITUTE(SUBSTITUTE(SUBSTITUTE(SUBSTITUTE(SUBSTITUTE(SUBSTITUTE(SUBSTITUTE(SUBSTITUTE(SUBSTITUTE(SUBSTITUTE(SUBSTITUTE(LOWER(TRIM(B696)),"á","a"),"é","e"),"í","i"),"ó","o"),"ú","u"),"ü","u"),"ñ","n"),"à","a"),"è","e"),"ì","i"),"ò","o"),"ù","u"),"")</f>
        <v/>
      </c>
      <c r="P696" s="25">
        <f>IF(AND(L696=1,C696&lt;&gt;""),SUBSTITUTE(SUBSTITUTE(SUBSTITUTE(SUBSTITUTE(SUBSTITUTE(SUBSTITUTE(SUBSTITUTE(SUBSTITUTE(SUBSTITUTE(SUBSTITUTE(SUBSTITUTE(SUBSTITUTE(LOWER(TRIM(C696)),"á","a"),"é","e"),"í","i"),"ó","o"),"ú","u"),"ü","u"),"ñ","n"),"à","a"),"è","e"),"ì","i"),"ò","o"),"ù","u"),"")</f>
        <v/>
      </c>
      <c r="Q696" s="25">
        <f>IF(AND(L696=1,E696&lt;&gt;""),SUBSTITUTE(SUBSTITUTE(SUBSTITUTE(SUBSTITUTE(SUBSTITUTE(SUBSTITUTE(SUBSTITUTE(SUBSTITUTE(SUBSTITUTE(SUBSTITUTE(SUBSTITUTE(SUBSTITUTE(LOWER(TRIM(E696)),"á","a"),"é","e"),"í","i"),"ó","o"),"ú","u"),"ü","u"),"ñ","n"),"à","a"),"è","e"),"ì","i"),"ò","o"),"ù","u"),"")</f>
        <v/>
      </c>
      <c r="R696" s="25">
        <f>IF(AND(L696=1,I696&lt;&gt;""),SUBSTITUTE(SUBSTITUTE(SUBSTITUTE(SUBSTITUTE(SUBSTITUTE(SUBSTITUTE(SUBSTITUTE(SUBSTITUTE(SUBSTITUTE(SUBSTITUTE(SUBSTITUTE(SUBSTITUTE(LOWER(TRIM(I696)),"á","a"),"é","e"),"í","i"),"ó","o"),"ú","u"),"ü","u"),"ñ","n"),"à","a"),"è","e"),"ì","i"),"ò","o"),"ù","u"),"")</f>
        <v/>
      </c>
      <c r="S696" s="25">
        <f>IF(R696="","",IF(OR(R696="si",R696="tal vez"),1,0))</f>
        <v/>
      </c>
      <c r="T696" s="25">
        <f>IF(AND(L696=1,D696&lt;&gt;""),IF(IFERROR(COUNTIFS(D$3:D696,"="&amp;SUBSTITUTE(SUBSTITUTE(SUBSTITUTE(D696,"~","~~"),"*","~*"),"?","~?"),L$3:L696,1),0)=1,MAX(T$2:T695)+1,""),"")</f>
        <v/>
      </c>
      <c r="U696" s="25">
        <f>IF(T696="","",COUNTIFS($D$3:$D$1002,"="&amp;SUBSTITUTE(SUBSTITUTE(SUBSTITUTE(D696,"~","~~"),"*","~*"),"?","~?"),$L$3:$L$1002,1)*10000-T696)</f>
        <v/>
      </c>
      <c r="V696" s="25">
        <f>IF(AND(L696=1,J696&lt;&gt;""),IF(IFERROR(COUNTIFS(J$3:J696,"="&amp;SUBSTITUTE(SUBSTITUTE(SUBSTITUTE(J696,"~","~~"),"*","~*"),"?","~?"),L$3:L696,1),0)=1,MAX(V$2:V695)+1,""),"")</f>
        <v/>
      </c>
      <c r="W696" s="25">
        <f>IF(V696="","",COUNTIFS($J$3:$J$1002,"="&amp;SUBSTITUTE(SUBSTITUTE(SUBSTITUTE(J696,"~","~~"),"*","~*"),"?","~?"),$L$3:$L$1002,1)*10000-V696)</f>
        <v/>
      </c>
    </row>
    <row r="697">
      <c r="A697">
        <f>IF(A$2=0,"",IFERROR(TRIM(INDEX('Pegar estudiantes'!$A$1:$BZ$1001,696,A$2)&amp;""),""))</f>
        <v/>
      </c>
      <c r="B697">
        <f>IF(B$2=0,"",IFERROR(TRIM(INDEX('Pegar estudiantes'!$A$1:$BZ$1001,696,B$2)&amp;""),""))</f>
        <v/>
      </c>
      <c r="C697">
        <f>IF(C$2=0,"",IFERROR(TRIM(INDEX('Pegar estudiantes'!$A$1:$BZ$1001,696,C$2)&amp;""),""))</f>
        <v/>
      </c>
      <c r="D697">
        <f>IF(D$2=0,"",IFERROR(TRIM(INDEX('Pegar estudiantes'!$A$1:$BZ$1001,696,D$2)&amp;""),""))</f>
        <v/>
      </c>
      <c r="E697">
        <f>IF(E$2=0,"",IFERROR(TRIM(INDEX('Pegar estudiantes'!$A$1:$BZ$1001,696,E$2)&amp;""),""))</f>
        <v/>
      </c>
      <c r="F697">
        <f>IF(F$2=0,"",IFERROR(TRIM(INDEX('Pegar estudiantes'!$A$1:$BZ$1001,696,F$2)&amp;""),""))</f>
        <v/>
      </c>
      <c r="G697">
        <f>IF(G$2=0,"",IFERROR(TRIM(INDEX('Pegar estudiantes'!$A$1:$BZ$1001,696,G$2)&amp;""),""))</f>
        <v/>
      </c>
      <c r="H697">
        <f>IF(H$2=0,"",IFERROR(TRIM(INDEX('Pegar estudiantes'!$A$1:$BZ$1001,696,H$2)&amp;""),""))</f>
        <v/>
      </c>
      <c r="I697">
        <f>IF(I$2=0,"",IFERROR(TRIM(INDEX('Pegar estudiantes'!$A$1:$BZ$1001,696,I$2)&amp;""),""))</f>
        <v/>
      </c>
      <c r="J697">
        <f>IF(J$2=0,"",IFERROR(TRIM(INDEX('Pegar estudiantes'!$A$1:$BZ$1001,696,J$2)&amp;""),""))</f>
        <v/>
      </c>
      <c r="K697">
        <f>IF(K$2=0,"",IFERROR(TRIM(INDEX('Pegar estudiantes'!$A$1:$BZ$1001,696,K$2)&amp;""),""))</f>
        <v/>
      </c>
      <c r="L697" s="25">
        <f>IF(A697&lt;&gt;"",1,"")</f>
        <v/>
      </c>
      <c r="M697" s="25">
        <f>IF(L697=1,IF(ISNUMBER(FIND("#"&amp;MID(A697,1,1)&amp;"#","#0#1#2#3#4#5#6#7#8#9#")),IF(ISNUMBER(FIND("#"&amp;MID(A697,2,1)&amp;"#","#0#1#2#3#4#5#6#7#8#9#")),IF(AND(VALUE(LEFT(A697,2))&gt;=1,VALUE(LEFT(A697,2))&lt;=5),VALUE(LEFT(A697,2)),""),IF(AND(VALUE(LEFT(A697,1))&gt;=1,VALUE(LEFT(A697,1))&lt;=5),VALUE(LEFT(A697,1)),"")),""),"")</f>
        <v/>
      </c>
      <c r="N697" s="25">
        <f>IF(L697=1,IF(ISNUMBER(FIND("#"&amp;MID(H697,1,1)&amp;"#","#0#1#2#3#4#5#6#7#8#9#")),IF(ISNUMBER(FIND("#"&amp;MID(H697,2,1)&amp;"#","#0#1#2#3#4#5#6#7#8#9#")),IF(AND(VALUE(LEFT(H697,2))&gt;=1,VALUE(LEFT(H697,2))&lt;=5),VALUE(LEFT(H697,2)),""),IF(AND(VALUE(LEFT(H697,1))&gt;=1,VALUE(LEFT(H697,1))&lt;=5),VALUE(LEFT(H697,1)),"")),""),"")</f>
        <v/>
      </c>
      <c r="O697" s="25">
        <f>IF(AND(L697=1,B697&lt;&gt;""),SUBSTITUTE(SUBSTITUTE(SUBSTITUTE(SUBSTITUTE(SUBSTITUTE(SUBSTITUTE(SUBSTITUTE(SUBSTITUTE(SUBSTITUTE(SUBSTITUTE(SUBSTITUTE(SUBSTITUTE(LOWER(TRIM(B697)),"á","a"),"é","e"),"í","i"),"ó","o"),"ú","u"),"ü","u"),"ñ","n"),"à","a"),"è","e"),"ì","i"),"ò","o"),"ù","u"),"")</f>
        <v/>
      </c>
      <c r="P697" s="25">
        <f>IF(AND(L697=1,C697&lt;&gt;""),SUBSTITUTE(SUBSTITUTE(SUBSTITUTE(SUBSTITUTE(SUBSTITUTE(SUBSTITUTE(SUBSTITUTE(SUBSTITUTE(SUBSTITUTE(SUBSTITUTE(SUBSTITUTE(SUBSTITUTE(LOWER(TRIM(C697)),"á","a"),"é","e"),"í","i"),"ó","o"),"ú","u"),"ü","u"),"ñ","n"),"à","a"),"è","e"),"ì","i"),"ò","o"),"ù","u"),"")</f>
        <v/>
      </c>
      <c r="Q697" s="25">
        <f>IF(AND(L697=1,E697&lt;&gt;""),SUBSTITUTE(SUBSTITUTE(SUBSTITUTE(SUBSTITUTE(SUBSTITUTE(SUBSTITUTE(SUBSTITUTE(SUBSTITUTE(SUBSTITUTE(SUBSTITUTE(SUBSTITUTE(SUBSTITUTE(LOWER(TRIM(E697)),"á","a"),"é","e"),"í","i"),"ó","o"),"ú","u"),"ü","u"),"ñ","n"),"à","a"),"è","e"),"ì","i"),"ò","o"),"ù","u"),"")</f>
        <v/>
      </c>
      <c r="R697" s="25">
        <f>IF(AND(L697=1,I697&lt;&gt;""),SUBSTITUTE(SUBSTITUTE(SUBSTITUTE(SUBSTITUTE(SUBSTITUTE(SUBSTITUTE(SUBSTITUTE(SUBSTITUTE(SUBSTITUTE(SUBSTITUTE(SUBSTITUTE(SUBSTITUTE(LOWER(TRIM(I697)),"á","a"),"é","e"),"í","i"),"ó","o"),"ú","u"),"ü","u"),"ñ","n"),"à","a"),"è","e"),"ì","i"),"ò","o"),"ù","u"),"")</f>
        <v/>
      </c>
      <c r="S697" s="25">
        <f>IF(R697="","",IF(OR(R697="si",R697="tal vez"),1,0))</f>
        <v/>
      </c>
      <c r="T697" s="25">
        <f>IF(AND(L697=1,D697&lt;&gt;""),IF(IFERROR(COUNTIFS(D$3:D697,"="&amp;SUBSTITUTE(SUBSTITUTE(SUBSTITUTE(D697,"~","~~"),"*","~*"),"?","~?"),L$3:L697,1),0)=1,MAX(T$2:T696)+1,""),"")</f>
        <v/>
      </c>
      <c r="U697" s="25">
        <f>IF(T697="","",COUNTIFS($D$3:$D$1002,"="&amp;SUBSTITUTE(SUBSTITUTE(SUBSTITUTE(D697,"~","~~"),"*","~*"),"?","~?"),$L$3:$L$1002,1)*10000-T697)</f>
        <v/>
      </c>
      <c r="V697" s="25">
        <f>IF(AND(L697=1,J697&lt;&gt;""),IF(IFERROR(COUNTIFS(J$3:J697,"="&amp;SUBSTITUTE(SUBSTITUTE(SUBSTITUTE(J697,"~","~~"),"*","~*"),"?","~?"),L$3:L697,1),0)=1,MAX(V$2:V696)+1,""),"")</f>
        <v/>
      </c>
      <c r="W697" s="25">
        <f>IF(V697="","",COUNTIFS($J$3:$J$1002,"="&amp;SUBSTITUTE(SUBSTITUTE(SUBSTITUTE(J697,"~","~~"),"*","~*"),"?","~?"),$L$3:$L$1002,1)*10000-V697)</f>
        <v/>
      </c>
    </row>
    <row r="698">
      <c r="A698">
        <f>IF(A$2=0,"",IFERROR(TRIM(INDEX('Pegar estudiantes'!$A$1:$BZ$1001,697,A$2)&amp;""),""))</f>
        <v/>
      </c>
      <c r="B698">
        <f>IF(B$2=0,"",IFERROR(TRIM(INDEX('Pegar estudiantes'!$A$1:$BZ$1001,697,B$2)&amp;""),""))</f>
        <v/>
      </c>
      <c r="C698">
        <f>IF(C$2=0,"",IFERROR(TRIM(INDEX('Pegar estudiantes'!$A$1:$BZ$1001,697,C$2)&amp;""),""))</f>
        <v/>
      </c>
      <c r="D698">
        <f>IF(D$2=0,"",IFERROR(TRIM(INDEX('Pegar estudiantes'!$A$1:$BZ$1001,697,D$2)&amp;""),""))</f>
        <v/>
      </c>
      <c r="E698">
        <f>IF(E$2=0,"",IFERROR(TRIM(INDEX('Pegar estudiantes'!$A$1:$BZ$1001,697,E$2)&amp;""),""))</f>
        <v/>
      </c>
      <c r="F698">
        <f>IF(F$2=0,"",IFERROR(TRIM(INDEX('Pegar estudiantes'!$A$1:$BZ$1001,697,F$2)&amp;""),""))</f>
        <v/>
      </c>
      <c r="G698">
        <f>IF(G$2=0,"",IFERROR(TRIM(INDEX('Pegar estudiantes'!$A$1:$BZ$1001,697,G$2)&amp;""),""))</f>
        <v/>
      </c>
      <c r="H698">
        <f>IF(H$2=0,"",IFERROR(TRIM(INDEX('Pegar estudiantes'!$A$1:$BZ$1001,697,H$2)&amp;""),""))</f>
        <v/>
      </c>
      <c r="I698">
        <f>IF(I$2=0,"",IFERROR(TRIM(INDEX('Pegar estudiantes'!$A$1:$BZ$1001,697,I$2)&amp;""),""))</f>
        <v/>
      </c>
      <c r="J698">
        <f>IF(J$2=0,"",IFERROR(TRIM(INDEX('Pegar estudiantes'!$A$1:$BZ$1001,697,J$2)&amp;""),""))</f>
        <v/>
      </c>
      <c r="K698">
        <f>IF(K$2=0,"",IFERROR(TRIM(INDEX('Pegar estudiantes'!$A$1:$BZ$1001,697,K$2)&amp;""),""))</f>
        <v/>
      </c>
      <c r="L698" s="25">
        <f>IF(A698&lt;&gt;"",1,"")</f>
        <v/>
      </c>
      <c r="M698" s="25">
        <f>IF(L698=1,IF(ISNUMBER(FIND("#"&amp;MID(A698,1,1)&amp;"#","#0#1#2#3#4#5#6#7#8#9#")),IF(ISNUMBER(FIND("#"&amp;MID(A698,2,1)&amp;"#","#0#1#2#3#4#5#6#7#8#9#")),IF(AND(VALUE(LEFT(A698,2))&gt;=1,VALUE(LEFT(A698,2))&lt;=5),VALUE(LEFT(A698,2)),""),IF(AND(VALUE(LEFT(A698,1))&gt;=1,VALUE(LEFT(A698,1))&lt;=5),VALUE(LEFT(A698,1)),"")),""),"")</f>
        <v/>
      </c>
      <c r="N698" s="25">
        <f>IF(L698=1,IF(ISNUMBER(FIND("#"&amp;MID(H698,1,1)&amp;"#","#0#1#2#3#4#5#6#7#8#9#")),IF(ISNUMBER(FIND("#"&amp;MID(H698,2,1)&amp;"#","#0#1#2#3#4#5#6#7#8#9#")),IF(AND(VALUE(LEFT(H698,2))&gt;=1,VALUE(LEFT(H698,2))&lt;=5),VALUE(LEFT(H698,2)),""),IF(AND(VALUE(LEFT(H698,1))&gt;=1,VALUE(LEFT(H698,1))&lt;=5),VALUE(LEFT(H698,1)),"")),""),"")</f>
        <v/>
      </c>
      <c r="O698" s="25">
        <f>IF(AND(L698=1,B698&lt;&gt;""),SUBSTITUTE(SUBSTITUTE(SUBSTITUTE(SUBSTITUTE(SUBSTITUTE(SUBSTITUTE(SUBSTITUTE(SUBSTITUTE(SUBSTITUTE(SUBSTITUTE(SUBSTITUTE(SUBSTITUTE(LOWER(TRIM(B698)),"á","a"),"é","e"),"í","i"),"ó","o"),"ú","u"),"ü","u"),"ñ","n"),"à","a"),"è","e"),"ì","i"),"ò","o"),"ù","u"),"")</f>
        <v/>
      </c>
      <c r="P698" s="25">
        <f>IF(AND(L698=1,C698&lt;&gt;""),SUBSTITUTE(SUBSTITUTE(SUBSTITUTE(SUBSTITUTE(SUBSTITUTE(SUBSTITUTE(SUBSTITUTE(SUBSTITUTE(SUBSTITUTE(SUBSTITUTE(SUBSTITUTE(SUBSTITUTE(LOWER(TRIM(C698)),"á","a"),"é","e"),"í","i"),"ó","o"),"ú","u"),"ü","u"),"ñ","n"),"à","a"),"è","e"),"ì","i"),"ò","o"),"ù","u"),"")</f>
        <v/>
      </c>
      <c r="Q698" s="25">
        <f>IF(AND(L698=1,E698&lt;&gt;""),SUBSTITUTE(SUBSTITUTE(SUBSTITUTE(SUBSTITUTE(SUBSTITUTE(SUBSTITUTE(SUBSTITUTE(SUBSTITUTE(SUBSTITUTE(SUBSTITUTE(SUBSTITUTE(SUBSTITUTE(LOWER(TRIM(E698)),"á","a"),"é","e"),"í","i"),"ó","o"),"ú","u"),"ü","u"),"ñ","n"),"à","a"),"è","e"),"ì","i"),"ò","o"),"ù","u"),"")</f>
        <v/>
      </c>
      <c r="R698" s="25">
        <f>IF(AND(L698=1,I698&lt;&gt;""),SUBSTITUTE(SUBSTITUTE(SUBSTITUTE(SUBSTITUTE(SUBSTITUTE(SUBSTITUTE(SUBSTITUTE(SUBSTITUTE(SUBSTITUTE(SUBSTITUTE(SUBSTITUTE(SUBSTITUTE(LOWER(TRIM(I698)),"á","a"),"é","e"),"í","i"),"ó","o"),"ú","u"),"ü","u"),"ñ","n"),"à","a"),"è","e"),"ì","i"),"ò","o"),"ù","u"),"")</f>
        <v/>
      </c>
      <c r="S698" s="25">
        <f>IF(R698="","",IF(OR(R698="si",R698="tal vez"),1,0))</f>
        <v/>
      </c>
      <c r="T698" s="25">
        <f>IF(AND(L698=1,D698&lt;&gt;""),IF(IFERROR(COUNTIFS(D$3:D698,"="&amp;SUBSTITUTE(SUBSTITUTE(SUBSTITUTE(D698,"~","~~"),"*","~*"),"?","~?"),L$3:L698,1),0)=1,MAX(T$2:T697)+1,""),"")</f>
        <v/>
      </c>
      <c r="U698" s="25">
        <f>IF(T698="","",COUNTIFS($D$3:$D$1002,"="&amp;SUBSTITUTE(SUBSTITUTE(SUBSTITUTE(D698,"~","~~"),"*","~*"),"?","~?"),$L$3:$L$1002,1)*10000-T698)</f>
        <v/>
      </c>
      <c r="V698" s="25">
        <f>IF(AND(L698=1,J698&lt;&gt;""),IF(IFERROR(COUNTIFS(J$3:J698,"="&amp;SUBSTITUTE(SUBSTITUTE(SUBSTITUTE(J698,"~","~~"),"*","~*"),"?","~?"),L$3:L698,1),0)=1,MAX(V$2:V697)+1,""),"")</f>
        <v/>
      </c>
      <c r="W698" s="25">
        <f>IF(V698="","",COUNTIFS($J$3:$J$1002,"="&amp;SUBSTITUTE(SUBSTITUTE(SUBSTITUTE(J698,"~","~~"),"*","~*"),"?","~?"),$L$3:$L$1002,1)*10000-V698)</f>
        <v/>
      </c>
    </row>
    <row r="699">
      <c r="A699">
        <f>IF(A$2=0,"",IFERROR(TRIM(INDEX('Pegar estudiantes'!$A$1:$BZ$1001,698,A$2)&amp;""),""))</f>
        <v/>
      </c>
      <c r="B699">
        <f>IF(B$2=0,"",IFERROR(TRIM(INDEX('Pegar estudiantes'!$A$1:$BZ$1001,698,B$2)&amp;""),""))</f>
        <v/>
      </c>
      <c r="C699">
        <f>IF(C$2=0,"",IFERROR(TRIM(INDEX('Pegar estudiantes'!$A$1:$BZ$1001,698,C$2)&amp;""),""))</f>
        <v/>
      </c>
      <c r="D699">
        <f>IF(D$2=0,"",IFERROR(TRIM(INDEX('Pegar estudiantes'!$A$1:$BZ$1001,698,D$2)&amp;""),""))</f>
        <v/>
      </c>
      <c r="E699">
        <f>IF(E$2=0,"",IFERROR(TRIM(INDEX('Pegar estudiantes'!$A$1:$BZ$1001,698,E$2)&amp;""),""))</f>
        <v/>
      </c>
      <c r="F699">
        <f>IF(F$2=0,"",IFERROR(TRIM(INDEX('Pegar estudiantes'!$A$1:$BZ$1001,698,F$2)&amp;""),""))</f>
        <v/>
      </c>
      <c r="G699">
        <f>IF(G$2=0,"",IFERROR(TRIM(INDEX('Pegar estudiantes'!$A$1:$BZ$1001,698,G$2)&amp;""),""))</f>
        <v/>
      </c>
      <c r="H699">
        <f>IF(H$2=0,"",IFERROR(TRIM(INDEX('Pegar estudiantes'!$A$1:$BZ$1001,698,H$2)&amp;""),""))</f>
        <v/>
      </c>
      <c r="I699">
        <f>IF(I$2=0,"",IFERROR(TRIM(INDEX('Pegar estudiantes'!$A$1:$BZ$1001,698,I$2)&amp;""),""))</f>
        <v/>
      </c>
      <c r="J699">
        <f>IF(J$2=0,"",IFERROR(TRIM(INDEX('Pegar estudiantes'!$A$1:$BZ$1001,698,J$2)&amp;""),""))</f>
        <v/>
      </c>
      <c r="K699">
        <f>IF(K$2=0,"",IFERROR(TRIM(INDEX('Pegar estudiantes'!$A$1:$BZ$1001,698,K$2)&amp;""),""))</f>
        <v/>
      </c>
      <c r="L699" s="25">
        <f>IF(A699&lt;&gt;"",1,"")</f>
        <v/>
      </c>
      <c r="M699" s="25">
        <f>IF(L699=1,IF(ISNUMBER(FIND("#"&amp;MID(A699,1,1)&amp;"#","#0#1#2#3#4#5#6#7#8#9#")),IF(ISNUMBER(FIND("#"&amp;MID(A699,2,1)&amp;"#","#0#1#2#3#4#5#6#7#8#9#")),IF(AND(VALUE(LEFT(A699,2))&gt;=1,VALUE(LEFT(A699,2))&lt;=5),VALUE(LEFT(A699,2)),""),IF(AND(VALUE(LEFT(A699,1))&gt;=1,VALUE(LEFT(A699,1))&lt;=5),VALUE(LEFT(A699,1)),"")),""),"")</f>
        <v/>
      </c>
      <c r="N699" s="25">
        <f>IF(L699=1,IF(ISNUMBER(FIND("#"&amp;MID(H699,1,1)&amp;"#","#0#1#2#3#4#5#6#7#8#9#")),IF(ISNUMBER(FIND("#"&amp;MID(H699,2,1)&amp;"#","#0#1#2#3#4#5#6#7#8#9#")),IF(AND(VALUE(LEFT(H699,2))&gt;=1,VALUE(LEFT(H699,2))&lt;=5),VALUE(LEFT(H699,2)),""),IF(AND(VALUE(LEFT(H699,1))&gt;=1,VALUE(LEFT(H699,1))&lt;=5),VALUE(LEFT(H699,1)),"")),""),"")</f>
        <v/>
      </c>
      <c r="O699" s="25">
        <f>IF(AND(L699=1,B699&lt;&gt;""),SUBSTITUTE(SUBSTITUTE(SUBSTITUTE(SUBSTITUTE(SUBSTITUTE(SUBSTITUTE(SUBSTITUTE(SUBSTITUTE(SUBSTITUTE(SUBSTITUTE(SUBSTITUTE(SUBSTITUTE(LOWER(TRIM(B699)),"á","a"),"é","e"),"í","i"),"ó","o"),"ú","u"),"ü","u"),"ñ","n"),"à","a"),"è","e"),"ì","i"),"ò","o"),"ù","u"),"")</f>
        <v/>
      </c>
      <c r="P699" s="25">
        <f>IF(AND(L699=1,C699&lt;&gt;""),SUBSTITUTE(SUBSTITUTE(SUBSTITUTE(SUBSTITUTE(SUBSTITUTE(SUBSTITUTE(SUBSTITUTE(SUBSTITUTE(SUBSTITUTE(SUBSTITUTE(SUBSTITUTE(SUBSTITUTE(LOWER(TRIM(C699)),"á","a"),"é","e"),"í","i"),"ó","o"),"ú","u"),"ü","u"),"ñ","n"),"à","a"),"è","e"),"ì","i"),"ò","o"),"ù","u"),"")</f>
        <v/>
      </c>
      <c r="Q699" s="25">
        <f>IF(AND(L699=1,E699&lt;&gt;""),SUBSTITUTE(SUBSTITUTE(SUBSTITUTE(SUBSTITUTE(SUBSTITUTE(SUBSTITUTE(SUBSTITUTE(SUBSTITUTE(SUBSTITUTE(SUBSTITUTE(SUBSTITUTE(SUBSTITUTE(LOWER(TRIM(E699)),"á","a"),"é","e"),"í","i"),"ó","o"),"ú","u"),"ü","u"),"ñ","n"),"à","a"),"è","e"),"ì","i"),"ò","o"),"ù","u"),"")</f>
        <v/>
      </c>
      <c r="R699" s="25">
        <f>IF(AND(L699=1,I699&lt;&gt;""),SUBSTITUTE(SUBSTITUTE(SUBSTITUTE(SUBSTITUTE(SUBSTITUTE(SUBSTITUTE(SUBSTITUTE(SUBSTITUTE(SUBSTITUTE(SUBSTITUTE(SUBSTITUTE(SUBSTITUTE(LOWER(TRIM(I699)),"á","a"),"é","e"),"í","i"),"ó","o"),"ú","u"),"ü","u"),"ñ","n"),"à","a"),"è","e"),"ì","i"),"ò","o"),"ù","u"),"")</f>
        <v/>
      </c>
      <c r="S699" s="25">
        <f>IF(R699="","",IF(OR(R699="si",R699="tal vez"),1,0))</f>
        <v/>
      </c>
      <c r="T699" s="25">
        <f>IF(AND(L699=1,D699&lt;&gt;""),IF(IFERROR(COUNTIFS(D$3:D699,"="&amp;SUBSTITUTE(SUBSTITUTE(SUBSTITUTE(D699,"~","~~"),"*","~*"),"?","~?"),L$3:L699,1),0)=1,MAX(T$2:T698)+1,""),"")</f>
        <v/>
      </c>
      <c r="U699" s="25">
        <f>IF(T699="","",COUNTIFS($D$3:$D$1002,"="&amp;SUBSTITUTE(SUBSTITUTE(SUBSTITUTE(D699,"~","~~"),"*","~*"),"?","~?"),$L$3:$L$1002,1)*10000-T699)</f>
        <v/>
      </c>
      <c r="V699" s="25">
        <f>IF(AND(L699=1,J699&lt;&gt;""),IF(IFERROR(COUNTIFS(J$3:J699,"="&amp;SUBSTITUTE(SUBSTITUTE(SUBSTITUTE(J699,"~","~~"),"*","~*"),"?","~?"),L$3:L699,1),0)=1,MAX(V$2:V698)+1,""),"")</f>
        <v/>
      </c>
      <c r="W699" s="25">
        <f>IF(V699="","",COUNTIFS($J$3:$J$1002,"="&amp;SUBSTITUTE(SUBSTITUTE(SUBSTITUTE(J699,"~","~~"),"*","~*"),"?","~?"),$L$3:$L$1002,1)*10000-V699)</f>
        <v/>
      </c>
    </row>
    <row r="700">
      <c r="A700">
        <f>IF(A$2=0,"",IFERROR(TRIM(INDEX('Pegar estudiantes'!$A$1:$BZ$1001,699,A$2)&amp;""),""))</f>
        <v/>
      </c>
      <c r="B700">
        <f>IF(B$2=0,"",IFERROR(TRIM(INDEX('Pegar estudiantes'!$A$1:$BZ$1001,699,B$2)&amp;""),""))</f>
        <v/>
      </c>
      <c r="C700">
        <f>IF(C$2=0,"",IFERROR(TRIM(INDEX('Pegar estudiantes'!$A$1:$BZ$1001,699,C$2)&amp;""),""))</f>
        <v/>
      </c>
      <c r="D700">
        <f>IF(D$2=0,"",IFERROR(TRIM(INDEX('Pegar estudiantes'!$A$1:$BZ$1001,699,D$2)&amp;""),""))</f>
        <v/>
      </c>
      <c r="E700">
        <f>IF(E$2=0,"",IFERROR(TRIM(INDEX('Pegar estudiantes'!$A$1:$BZ$1001,699,E$2)&amp;""),""))</f>
        <v/>
      </c>
      <c r="F700">
        <f>IF(F$2=0,"",IFERROR(TRIM(INDEX('Pegar estudiantes'!$A$1:$BZ$1001,699,F$2)&amp;""),""))</f>
        <v/>
      </c>
      <c r="G700">
        <f>IF(G$2=0,"",IFERROR(TRIM(INDEX('Pegar estudiantes'!$A$1:$BZ$1001,699,G$2)&amp;""),""))</f>
        <v/>
      </c>
      <c r="H700">
        <f>IF(H$2=0,"",IFERROR(TRIM(INDEX('Pegar estudiantes'!$A$1:$BZ$1001,699,H$2)&amp;""),""))</f>
        <v/>
      </c>
      <c r="I700">
        <f>IF(I$2=0,"",IFERROR(TRIM(INDEX('Pegar estudiantes'!$A$1:$BZ$1001,699,I$2)&amp;""),""))</f>
        <v/>
      </c>
      <c r="J700">
        <f>IF(J$2=0,"",IFERROR(TRIM(INDEX('Pegar estudiantes'!$A$1:$BZ$1001,699,J$2)&amp;""),""))</f>
        <v/>
      </c>
      <c r="K700">
        <f>IF(K$2=0,"",IFERROR(TRIM(INDEX('Pegar estudiantes'!$A$1:$BZ$1001,699,K$2)&amp;""),""))</f>
        <v/>
      </c>
      <c r="L700" s="25">
        <f>IF(A700&lt;&gt;"",1,"")</f>
        <v/>
      </c>
      <c r="M700" s="25">
        <f>IF(L700=1,IF(ISNUMBER(FIND("#"&amp;MID(A700,1,1)&amp;"#","#0#1#2#3#4#5#6#7#8#9#")),IF(ISNUMBER(FIND("#"&amp;MID(A700,2,1)&amp;"#","#0#1#2#3#4#5#6#7#8#9#")),IF(AND(VALUE(LEFT(A700,2))&gt;=1,VALUE(LEFT(A700,2))&lt;=5),VALUE(LEFT(A700,2)),""),IF(AND(VALUE(LEFT(A700,1))&gt;=1,VALUE(LEFT(A700,1))&lt;=5),VALUE(LEFT(A700,1)),"")),""),"")</f>
        <v/>
      </c>
      <c r="N700" s="25">
        <f>IF(L700=1,IF(ISNUMBER(FIND("#"&amp;MID(H700,1,1)&amp;"#","#0#1#2#3#4#5#6#7#8#9#")),IF(ISNUMBER(FIND("#"&amp;MID(H700,2,1)&amp;"#","#0#1#2#3#4#5#6#7#8#9#")),IF(AND(VALUE(LEFT(H700,2))&gt;=1,VALUE(LEFT(H700,2))&lt;=5),VALUE(LEFT(H700,2)),""),IF(AND(VALUE(LEFT(H700,1))&gt;=1,VALUE(LEFT(H700,1))&lt;=5),VALUE(LEFT(H700,1)),"")),""),"")</f>
        <v/>
      </c>
      <c r="O700" s="25">
        <f>IF(AND(L700=1,B700&lt;&gt;""),SUBSTITUTE(SUBSTITUTE(SUBSTITUTE(SUBSTITUTE(SUBSTITUTE(SUBSTITUTE(SUBSTITUTE(SUBSTITUTE(SUBSTITUTE(SUBSTITUTE(SUBSTITUTE(SUBSTITUTE(LOWER(TRIM(B700)),"á","a"),"é","e"),"í","i"),"ó","o"),"ú","u"),"ü","u"),"ñ","n"),"à","a"),"è","e"),"ì","i"),"ò","o"),"ù","u"),"")</f>
        <v/>
      </c>
      <c r="P700" s="25">
        <f>IF(AND(L700=1,C700&lt;&gt;""),SUBSTITUTE(SUBSTITUTE(SUBSTITUTE(SUBSTITUTE(SUBSTITUTE(SUBSTITUTE(SUBSTITUTE(SUBSTITUTE(SUBSTITUTE(SUBSTITUTE(SUBSTITUTE(SUBSTITUTE(LOWER(TRIM(C700)),"á","a"),"é","e"),"í","i"),"ó","o"),"ú","u"),"ü","u"),"ñ","n"),"à","a"),"è","e"),"ì","i"),"ò","o"),"ù","u"),"")</f>
        <v/>
      </c>
      <c r="Q700" s="25">
        <f>IF(AND(L700=1,E700&lt;&gt;""),SUBSTITUTE(SUBSTITUTE(SUBSTITUTE(SUBSTITUTE(SUBSTITUTE(SUBSTITUTE(SUBSTITUTE(SUBSTITUTE(SUBSTITUTE(SUBSTITUTE(SUBSTITUTE(SUBSTITUTE(LOWER(TRIM(E700)),"á","a"),"é","e"),"í","i"),"ó","o"),"ú","u"),"ü","u"),"ñ","n"),"à","a"),"è","e"),"ì","i"),"ò","o"),"ù","u"),"")</f>
        <v/>
      </c>
      <c r="R700" s="25">
        <f>IF(AND(L700=1,I700&lt;&gt;""),SUBSTITUTE(SUBSTITUTE(SUBSTITUTE(SUBSTITUTE(SUBSTITUTE(SUBSTITUTE(SUBSTITUTE(SUBSTITUTE(SUBSTITUTE(SUBSTITUTE(SUBSTITUTE(SUBSTITUTE(LOWER(TRIM(I700)),"á","a"),"é","e"),"í","i"),"ó","o"),"ú","u"),"ü","u"),"ñ","n"),"à","a"),"è","e"),"ì","i"),"ò","o"),"ù","u"),"")</f>
        <v/>
      </c>
      <c r="S700" s="25">
        <f>IF(R700="","",IF(OR(R700="si",R700="tal vez"),1,0))</f>
        <v/>
      </c>
      <c r="T700" s="25">
        <f>IF(AND(L700=1,D700&lt;&gt;""),IF(IFERROR(COUNTIFS(D$3:D700,"="&amp;SUBSTITUTE(SUBSTITUTE(SUBSTITUTE(D700,"~","~~"),"*","~*"),"?","~?"),L$3:L700,1),0)=1,MAX(T$2:T699)+1,""),"")</f>
        <v/>
      </c>
      <c r="U700" s="25">
        <f>IF(T700="","",COUNTIFS($D$3:$D$1002,"="&amp;SUBSTITUTE(SUBSTITUTE(SUBSTITUTE(D700,"~","~~"),"*","~*"),"?","~?"),$L$3:$L$1002,1)*10000-T700)</f>
        <v/>
      </c>
      <c r="V700" s="25">
        <f>IF(AND(L700=1,J700&lt;&gt;""),IF(IFERROR(COUNTIFS(J$3:J700,"="&amp;SUBSTITUTE(SUBSTITUTE(SUBSTITUTE(J700,"~","~~"),"*","~*"),"?","~?"),L$3:L700,1),0)=1,MAX(V$2:V699)+1,""),"")</f>
        <v/>
      </c>
      <c r="W700" s="25">
        <f>IF(V700="","",COUNTIFS($J$3:$J$1002,"="&amp;SUBSTITUTE(SUBSTITUTE(SUBSTITUTE(J700,"~","~~"),"*","~*"),"?","~?"),$L$3:$L$1002,1)*10000-V700)</f>
        <v/>
      </c>
    </row>
    <row r="701">
      <c r="A701">
        <f>IF(A$2=0,"",IFERROR(TRIM(INDEX('Pegar estudiantes'!$A$1:$BZ$1001,700,A$2)&amp;""),""))</f>
        <v/>
      </c>
      <c r="B701">
        <f>IF(B$2=0,"",IFERROR(TRIM(INDEX('Pegar estudiantes'!$A$1:$BZ$1001,700,B$2)&amp;""),""))</f>
        <v/>
      </c>
      <c r="C701">
        <f>IF(C$2=0,"",IFERROR(TRIM(INDEX('Pegar estudiantes'!$A$1:$BZ$1001,700,C$2)&amp;""),""))</f>
        <v/>
      </c>
      <c r="D701">
        <f>IF(D$2=0,"",IFERROR(TRIM(INDEX('Pegar estudiantes'!$A$1:$BZ$1001,700,D$2)&amp;""),""))</f>
        <v/>
      </c>
      <c r="E701">
        <f>IF(E$2=0,"",IFERROR(TRIM(INDEX('Pegar estudiantes'!$A$1:$BZ$1001,700,E$2)&amp;""),""))</f>
        <v/>
      </c>
      <c r="F701">
        <f>IF(F$2=0,"",IFERROR(TRIM(INDEX('Pegar estudiantes'!$A$1:$BZ$1001,700,F$2)&amp;""),""))</f>
        <v/>
      </c>
      <c r="G701">
        <f>IF(G$2=0,"",IFERROR(TRIM(INDEX('Pegar estudiantes'!$A$1:$BZ$1001,700,G$2)&amp;""),""))</f>
        <v/>
      </c>
      <c r="H701">
        <f>IF(H$2=0,"",IFERROR(TRIM(INDEX('Pegar estudiantes'!$A$1:$BZ$1001,700,H$2)&amp;""),""))</f>
        <v/>
      </c>
      <c r="I701">
        <f>IF(I$2=0,"",IFERROR(TRIM(INDEX('Pegar estudiantes'!$A$1:$BZ$1001,700,I$2)&amp;""),""))</f>
        <v/>
      </c>
      <c r="J701">
        <f>IF(J$2=0,"",IFERROR(TRIM(INDEX('Pegar estudiantes'!$A$1:$BZ$1001,700,J$2)&amp;""),""))</f>
        <v/>
      </c>
      <c r="K701">
        <f>IF(K$2=0,"",IFERROR(TRIM(INDEX('Pegar estudiantes'!$A$1:$BZ$1001,700,K$2)&amp;""),""))</f>
        <v/>
      </c>
      <c r="L701" s="25">
        <f>IF(A701&lt;&gt;"",1,"")</f>
        <v/>
      </c>
      <c r="M701" s="25">
        <f>IF(L701=1,IF(ISNUMBER(FIND("#"&amp;MID(A701,1,1)&amp;"#","#0#1#2#3#4#5#6#7#8#9#")),IF(ISNUMBER(FIND("#"&amp;MID(A701,2,1)&amp;"#","#0#1#2#3#4#5#6#7#8#9#")),IF(AND(VALUE(LEFT(A701,2))&gt;=1,VALUE(LEFT(A701,2))&lt;=5),VALUE(LEFT(A701,2)),""),IF(AND(VALUE(LEFT(A701,1))&gt;=1,VALUE(LEFT(A701,1))&lt;=5),VALUE(LEFT(A701,1)),"")),""),"")</f>
        <v/>
      </c>
      <c r="N701" s="25">
        <f>IF(L701=1,IF(ISNUMBER(FIND("#"&amp;MID(H701,1,1)&amp;"#","#0#1#2#3#4#5#6#7#8#9#")),IF(ISNUMBER(FIND("#"&amp;MID(H701,2,1)&amp;"#","#0#1#2#3#4#5#6#7#8#9#")),IF(AND(VALUE(LEFT(H701,2))&gt;=1,VALUE(LEFT(H701,2))&lt;=5),VALUE(LEFT(H701,2)),""),IF(AND(VALUE(LEFT(H701,1))&gt;=1,VALUE(LEFT(H701,1))&lt;=5),VALUE(LEFT(H701,1)),"")),""),"")</f>
        <v/>
      </c>
      <c r="O701" s="25">
        <f>IF(AND(L701=1,B701&lt;&gt;""),SUBSTITUTE(SUBSTITUTE(SUBSTITUTE(SUBSTITUTE(SUBSTITUTE(SUBSTITUTE(SUBSTITUTE(SUBSTITUTE(SUBSTITUTE(SUBSTITUTE(SUBSTITUTE(SUBSTITUTE(LOWER(TRIM(B701)),"á","a"),"é","e"),"í","i"),"ó","o"),"ú","u"),"ü","u"),"ñ","n"),"à","a"),"è","e"),"ì","i"),"ò","o"),"ù","u"),"")</f>
        <v/>
      </c>
      <c r="P701" s="25">
        <f>IF(AND(L701=1,C701&lt;&gt;""),SUBSTITUTE(SUBSTITUTE(SUBSTITUTE(SUBSTITUTE(SUBSTITUTE(SUBSTITUTE(SUBSTITUTE(SUBSTITUTE(SUBSTITUTE(SUBSTITUTE(SUBSTITUTE(SUBSTITUTE(LOWER(TRIM(C701)),"á","a"),"é","e"),"í","i"),"ó","o"),"ú","u"),"ü","u"),"ñ","n"),"à","a"),"è","e"),"ì","i"),"ò","o"),"ù","u"),"")</f>
        <v/>
      </c>
      <c r="Q701" s="25">
        <f>IF(AND(L701=1,E701&lt;&gt;""),SUBSTITUTE(SUBSTITUTE(SUBSTITUTE(SUBSTITUTE(SUBSTITUTE(SUBSTITUTE(SUBSTITUTE(SUBSTITUTE(SUBSTITUTE(SUBSTITUTE(SUBSTITUTE(SUBSTITUTE(LOWER(TRIM(E701)),"á","a"),"é","e"),"í","i"),"ó","o"),"ú","u"),"ü","u"),"ñ","n"),"à","a"),"è","e"),"ì","i"),"ò","o"),"ù","u"),"")</f>
        <v/>
      </c>
      <c r="R701" s="25">
        <f>IF(AND(L701=1,I701&lt;&gt;""),SUBSTITUTE(SUBSTITUTE(SUBSTITUTE(SUBSTITUTE(SUBSTITUTE(SUBSTITUTE(SUBSTITUTE(SUBSTITUTE(SUBSTITUTE(SUBSTITUTE(SUBSTITUTE(SUBSTITUTE(LOWER(TRIM(I701)),"á","a"),"é","e"),"í","i"),"ó","o"),"ú","u"),"ü","u"),"ñ","n"),"à","a"),"è","e"),"ì","i"),"ò","o"),"ù","u"),"")</f>
        <v/>
      </c>
      <c r="S701" s="25">
        <f>IF(R701="","",IF(OR(R701="si",R701="tal vez"),1,0))</f>
        <v/>
      </c>
      <c r="T701" s="25">
        <f>IF(AND(L701=1,D701&lt;&gt;""),IF(IFERROR(COUNTIFS(D$3:D701,"="&amp;SUBSTITUTE(SUBSTITUTE(SUBSTITUTE(D701,"~","~~"),"*","~*"),"?","~?"),L$3:L701,1),0)=1,MAX(T$2:T700)+1,""),"")</f>
        <v/>
      </c>
      <c r="U701" s="25">
        <f>IF(T701="","",COUNTIFS($D$3:$D$1002,"="&amp;SUBSTITUTE(SUBSTITUTE(SUBSTITUTE(D701,"~","~~"),"*","~*"),"?","~?"),$L$3:$L$1002,1)*10000-T701)</f>
        <v/>
      </c>
      <c r="V701" s="25">
        <f>IF(AND(L701=1,J701&lt;&gt;""),IF(IFERROR(COUNTIFS(J$3:J701,"="&amp;SUBSTITUTE(SUBSTITUTE(SUBSTITUTE(J701,"~","~~"),"*","~*"),"?","~?"),L$3:L701,1),0)=1,MAX(V$2:V700)+1,""),"")</f>
        <v/>
      </c>
      <c r="W701" s="25">
        <f>IF(V701="","",COUNTIFS($J$3:$J$1002,"="&amp;SUBSTITUTE(SUBSTITUTE(SUBSTITUTE(J701,"~","~~"),"*","~*"),"?","~?"),$L$3:$L$1002,1)*10000-V701)</f>
        <v/>
      </c>
    </row>
    <row r="702">
      <c r="A702">
        <f>IF(A$2=0,"",IFERROR(TRIM(INDEX('Pegar estudiantes'!$A$1:$BZ$1001,701,A$2)&amp;""),""))</f>
        <v/>
      </c>
      <c r="B702">
        <f>IF(B$2=0,"",IFERROR(TRIM(INDEX('Pegar estudiantes'!$A$1:$BZ$1001,701,B$2)&amp;""),""))</f>
        <v/>
      </c>
      <c r="C702">
        <f>IF(C$2=0,"",IFERROR(TRIM(INDEX('Pegar estudiantes'!$A$1:$BZ$1001,701,C$2)&amp;""),""))</f>
        <v/>
      </c>
      <c r="D702">
        <f>IF(D$2=0,"",IFERROR(TRIM(INDEX('Pegar estudiantes'!$A$1:$BZ$1001,701,D$2)&amp;""),""))</f>
        <v/>
      </c>
      <c r="E702">
        <f>IF(E$2=0,"",IFERROR(TRIM(INDEX('Pegar estudiantes'!$A$1:$BZ$1001,701,E$2)&amp;""),""))</f>
        <v/>
      </c>
      <c r="F702">
        <f>IF(F$2=0,"",IFERROR(TRIM(INDEX('Pegar estudiantes'!$A$1:$BZ$1001,701,F$2)&amp;""),""))</f>
        <v/>
      </c>
      <c r="G702">
        <f>IF(G$2=0,"",IFERROR(TRIM(INDEX('Pegar estudiantes'!$A$1:$BZ$1001,701,G$2)&amp;""),""))</f>
        <v/>
      </c>
      <c r="H702">
        <f>IF(H$2=0,"",IFERROR(TRIM(INDEX('Pegar estudiantes'!$A$1:$BZ$1001,701,H$2)&amp;""),""))</f>
        <v/>
      </c>
      <c r="I702">
        <f>IF(I$2=0,"",IFERROR(TRIM(INDEX('Pegar estudiantes'!$A$1:$BZ$1001,701,I$2)&amp;""),""))</f>
        <v/>
      </c>
      <c r="J702">
        <f>IF(J$2=0,"",IFERROR(TRIM(INDEX('Pegar estudiantes'!$A$1:$BZ$1001,701,J$2)&amp;""),""))</f>
        <v/>
      </c>
      <c r="K702">
        <f>IF(K$2=0,"",IFERROR(TRIM(INDEX('Pegar estudiantes'!$A$1:$BZ$1001,701,K$2)&amp;""),""))</f>
        <v/>
      </c>
      <c r="L702" s="25">
        <f>IF(A702&lt;&gt;"",1,"")</f>
        <v/>
      </c>
      <c r="M702" s="25">
        <f>IF(L702=1,IF(ISNUMBER(FIND("#"&amp;MID(A702,1,1)&amp;"#","#0#1#2#3#4#5#6#7#8#9#")),IF(ISNUMBER(FIND("#"&amp;MID(A702,2,1)&amp;"#","#0#1#2#3#4#5#6#7#8#9#")),IF(AND(VALUE(LEFT(A702,2))&gt;=1,VALUE(LEFT(A702,2))&lt;=5),VALUE(LEFT(A702,2)),""),IF(AND(VALUE(LEFT(A702,1))&gt;=1,VALUE(LEFT(A702,1))&lt;=5),VALUE(LEFT(A702,1)),"")),""),"")</f>
        <v/>
      </c>
      <c r="N702" s="25">
        <f>IF(L702=1,IF(ISNUMBER(FIND("#"&amp;MID(H702,1,1)&amp;"#","#0#1#2#3#4#5#6#7#8#9#")),IF(ISNUMBER(FIND("#"&amp;MID(H702,2,1)&amp;"#","#0#1#2#3#4#5#6#7#8#9#")),IF(AND(VALUE(LEFT(H702,2))&gt;=1,VALUE(LEFT(H702,2))&lt;=5),VALUE(LEFT(H702,2)),""),IF(AND(VALUE(LEFT(H702,1))&gt;=1,VALUE(LEFT(H702,1))&lt;=5),VALUE(LEFT(H702,1)),"")),""),"")</f>
        <v/>
      </c>
      <c r="O702" s="25">
        <f>IF(AND(L702=1,B702&lt;&gt;""),SUBSTITUTE(SUBSTITUTE(SUBSTITUTE(SUBSTITUTE(SUBSTITUTE(SUBSTITUTE(SUBSTITUTE(SUBSTITUTE(SUBSTITUTE(SUBSTITUTE(SUBSTITUTE(SUBSTITUTE(LOWER(TRIM(B702)),"á","a"),"é","e"),"í","i"),"ó","o"),"ú","u"),"ü","u"),"ñ","n"),"à","a"),"è","e"),"ì","i"),"ò","o"),"ù","u"),"")</f>
        <v/>
      </c>
      <c r="P702" s="25">
        <f>IF(AND(L702=1,C702&lt;&gt;""),SUBSTITUTE(SUBSTITUTE(SUBSTITUTE(SUBSTITUTE(SUBSTITUTE(SUBSTITUTE(SUBSTITUTE(SUBSTITUTE(SUBSTITUTE(SUBSTITUTE(SUBSTITUTE(SUBSTITUTE(LOWER(TRIM(C702)),"á","a"),"é","e"),"í","i"),"ó","o"),"ú","u"),"ü","u"),"ñ","n"),"à","a"),"è","e"),"ì","i"),"ò","o"),"ù","u"),"")</f>
        <v/>
      </c>
      <c r="Q702" s="25">
        <f>IF(AND(L702=1,E702&lt;&gt;""),SUBSTITUTE(SUBSTITUTE(SUBSTITUTE(SUBSTITUTE(SUBSTITUTE(SUBSTITUTE(SUBSTITUTE(SUBSTITUTE(SUBSTITUTE(SUBSTITUTE(SUBSTITUTE(SUBSTITUTE(LOWER(TRIM(E702)),"á","a"),"é","e"),"í","i"),"ó","o"),"ú","u"),"ü","u"),"ñ","n"),"à","a"),"è","e"),"ì","i"),"ò","o"),"ù","u"),"")</f>
        <v/>
      </c>
      <c r="R702" s="25">
        <f>IF(AND(L702=1,I702&lt;&gt;""),SUBSTITUTE(SUBSTITUTE(SUBSTITUTE(SUBSTITUTE(SUBSTITUTE(SUBSTITUTE(SUBSTITUTE(SUBSTITUTE(SUBSTITUTE(SUBSTITUTE(SUBSTITUTE(SUBSTITUTE(LOWER(TRIM(I702)),"á","a"),"é","e"),"í","i"),"ó","o"),"ú","u"),"ü","u"),"ñ","n"),"à","a"),"è","e"),"ì","i"),"ò","o"),"ù","u"),"")</f>
        <v/>
      </c>
      <c r="S702" s="25">
        <f>IF(R702="","",IF(OR(R702="si",R702="tal vez"),1,0))</f>
        <v/>
      </c>
      <c r="T702" s="25">
        <f>IF(AND(L702=1,D702&lt;&gt;""),IF(IFERROR(COUNTIFS(D$3:D702,"="&amp;SUBSTITUTE(SUBSTITUTE(SUBSTITUTE(D702,"~","~~"),"*","~*"),"?","~?"),L$3:L702,1),0)=1,MAX(T$2:T701)+1,""),"")</f>
        <v/>
      </c>
      <c r="U702" s="25">
        <f>IF(T702="","",COUNTIFS($D$3:$D$1002,"="&amp;SUBSTITUTE(SUBSTITUTE(SUBSTITUTE(D702,"~","~~"),"*","~*"),"?","~?"),$L$3:$L$1002,1)*10000-T702)</f>
        <v/>
      </c>
      <c r="V702" s="25">
        <f>IF(AND(L702=1,J702&lt;&gt;""),IF(IFERROR(COUNTIFS(J$3:J702,"="&amp;SUBSTITUTE(SUBSTITUTE(SUBSTITUTE(J702,"~","~~"),"*","~*"),"?","~?"),L$3:L702,1),0)=1,MAX(V$2:V701)+1,""),"")</f>
        <v/>
      </c>
      <c r="W702" s="25">
        <f>IF(V702="","",COUNTIFS($J$3:$J$1002,"="&amp;SUBSTITUTE(SUBSTITUTE(SUBSTITUTE(J702,"~","~~"),"*","~*"),"?","~?"),$L$3:$L$1002,1)*10000-V702)</f>
        <v/>
      </c>
    </row>
    <row r="703">
      <c r="A703">
        <f>IF(A$2=0,"",IFERROR(TRIM(INDEX('Pegar estudiantes'!$A$1:$BZ$1001,702,A$2)&amp;""),""))</f>
        <v/>
      </c>
      <c r="B703">
        <f>IF(B$2=0,"",IFERROR(TRIM(INDEX('Pegar estudiantes'!$A$1:$BZ$1001,702,B$2)&amp;""),""))</f>
        <v/>
      </c>
      <c r="C703">
        <f>IF(C$2=0,"",IFERROR(TRIM(INDEX('Pegar estudiantes'!$A$1:$BZ$1001,702,C$2)&amp;""),""))</f>
        <v/>
      </c>
      <c r="D703">
        <f>IF(D$2=0,"",IFERROR(TRIM(INDEX('Pegar estudiantes'!$A$1:$BZ$1001,702,D$2)&amp;""),""))</f>
        <v/>
      </c>
      <c r="E703">
        <f>IF(E$2=0,"",IFERROR(TRIM(INDEX('Pegar estudiantes'!$A$1:$BZ$1001,702,E$2)&amp;""),""))</f>
        <v/>
      </c>
      <c r="F703">
        <f>IF(F$2=0,"",IFERROR(TRIM(INDEX('Pegar estudiantes'!$A$1:$BZ$1001,702,F$2)&amp;""),""))</f>
        <v/>
      </c>
      <c r="G703">
        <f>IF(G$2=0,"",IFERROR(TRIM(INDEX('Pegar estudiantes'!$A$1:$BZ$1001,702,G$2)&amp;""),""))</f>
        <v/>
      </c>
      <c r="H703">
        <f>IF(H$2=0,"",IFERROR(TRIM(INDEX('Pegar estudiantes'!$A$1:$BZ$1001,702,H$2)&amp;""),""))</f>
        <v/>
      </c>
      <c r="I703">
        <f>IF(I$2=0,"",IFERROR(TRIM(INDEX('Pegar estudiantes'!$A$1:$BZ$1001,702,I$2)&amp;""),""))</f>
        <v/>
      </c>
      <c r="J703">
        <f>IF(J$2=0,"",IFERROR(TRIM(INDEX('Pegar estudiantes'!$A$1:$BZ$1001,702,J$2)&amp;""),""))</f>
        <v/>
      </c>
      <c r="K703">
        <f>IF(K$2=0,"",IFERROR(TRIM(INDEX('Pegar estudiantes'!$A$1:$BZ$1001,702,K$2)&amp;""),""))</f>
        <v/>
      </c>
      <c r="L703" s="25">
        <f>IF(A703&lt;&gt;"",1,"")</f>
        <v/>
      </c>
      <c r="M703" s="25">
        <f>IF(L703=1,IF(ISNUMBER(FIND("#"&amp;MID(A703,1,1)&amp;"#","#0#1#2#3#4#5#6#7#8#9#")),IF(ISNUMBER(FIND("#"&amp;MID(A703,2,1)&amp;"#","#0#1#2#3#4#5#6#7#8#9#")),IF(AND(VALUE(LEFT(A703,2))&gt;=1,VALUE(LEFT(A703,2))&lt;=5),VALUE(LEFT(A703,2)),""),IF(AND(VALUE(LEFT(A703,1))&gt;=1,VALUE(LEFT(A703,1))&lt;=5),VALUE(LEFT(A703,1)),"")),""),"")</f>
        <v/>
      </c>
      <c r="N703" s="25">
        <f>IF(L703=1,IF(ISNUMBER(FIND("#"&amp;MID(H703,1,1)&amp;"#","#0#1#2#3#4#5#6#7#8#9#")),IF(ISNUMBER(FIND("#"&amp;MID(H703,2,1)&amp;"#","#0#1#2#3#4#5#6#7#8#9#")),IF(AND(VALUE(LEFT(H703,2))&gt;=1,VALUE(LEFT(H703,2))&lt;=5),VALUE(LEFT(H703,2)),""),IF(AND(VALUE(LEFT(H703,1))&gt;=1,VALUE(LEFT(H703,1))&lt;=5),VALUE(LEFT(H703,1)),"")),""),"")</f>
        <v/>
      </c>
      <c r="O703" s="25">
        <f>IF(AND(L703=1,B703&lt;&gt;""),SUBSTITUTE(SUBSTITUTE(SUBSTITUTE(SUBSTITUTE(SUBSTITUTE(SUBSTITUTE(SUBSTITUTE(SUBSTITUTE(SUBSTITUTE(SUBSTITUTE(SUBSTITUTE(SUBSTITUTE(LOWER(TRIM(B703)),"á","a"),"é","e"),"í","i"),"ó","o"),"ú","u"),"ü","u"),"ñ","n"),"à","a"),"è","e"),"ì","i"),"ò","o"),"ù","u"),"")</f>
        <v/>
      </c>
      <c r="P703" s="25">
        <f>IF(AND(L703=1,C703&lt;&gt;""),SUBSTITUTE(SUBSTITUTE(SUBSTITUTE(SUBSTITUTE(SUBSTITUTE(SUBSTITUTE(SUBSTITUTE(SUBSTITUTE(SUBSTITUTE(SUBSTITUTE(SUBSTITUTE(SUBSTITUTE(LOWER(TRIM(C703)),"á","a"),"é","e"),"í","i"),"ó","o"),"ú","u"),"ü","u"),"ñ","n"),"à","a"),"è","e"),"ì","i"),"ò","o"),"ù","u"),"")</f>
        <v/>
      </c>
      <c r="Q703" s="25">
        <f>IF(AND(L703=1,E703&lt;&gt;""),SUBSTITUTE(SUBSTITUTE(SUBSTITUTE(SUBSTITUTE(SUBSTITUTE(SUBSTITUTE(SUBSTITUTE(SUBSTITUTE(SUBSTITUTE(SUBSTITUTE(SUBSTITUTE(SUBSTITUTE(LOWER(TRIM(E703)),"á","a"),"é","e"),"í","i"),"ó","o"),"ú","u"),"ü","u"),"ñ","n"),"à","a"),"è","e"),"ì","i"),"ò","o"),"ù","u"),"")</f>
        <v/>
      </c>
      <c r="R703" s="25">
        <f>IF(AND(L703=1,I703&lt;&gt;""),SUBSTITUTE(SUBSTITUTE(SUBSTITUTE(SUBSTITUTE(SUBSTITUTE(SUBSTITUTE(SUBSTITUTE(SUBSTITUTE(SUBSTITUTE(SUBSTITUTE(SUBSTITUTE(SUBSTITUTE(LOWER(TRIM(I703)),"á","a"),"é","e"),"í","i"),"ó","o"),"ú","u"),"ü","u"),"ñ","n"),"à","a"),"è","e"),"ì","i"),"ò","o"),"ù","u"),"")</f>
        <v/>
      </c>
      <c r="S703" s="25">
        <f>IF(R703="","",IF(OR(R703="si",R703="tal vez"),1,0))</f>
        <v/>
      </c>
      <c r="T703" s="25">
        <f>IF(AND(L703=1,D703&lt;&gt;""),IF(IFERROR(COUNTIFS(D$3:D703,"="&amp;SUBSTITUTE(SUBSTITUTE(SUBSTITUTE(D703,"~","~~"),"*","~*"),"?","~?"),L$3:L703,1),0)=1,MAX(T$2:T702)+1,""),"")</f>
        <v/>
      </c>
      <c r="U703" s="25">
        <f>IF(T703="","",COUNTIFS($D$3:$D$1002,"="&amp;SUBSTITUTE(SUBSTITUTE(SUBSTITUTE(D703,"~","~~"),"*","~*"),"?","~?"),$L$3:$L$1002,1)*10000-T703)</f>
        <v/>
      </c>
      <c r="V703" s="25">
        <f>IF(AND(L703=1,J703&lt;&gt;""),IF(IFERROR(COUNTIFS(J$3:J703,"="&amp;SUBSTITUTE(SUBSTITUTE(SUBSTITUTE(J703,"~","~~"),"*","~*"),"?","~?"),L$3:L703,1),0)=1,MAX(V$2:V702)+1,""),"")</f>
        <v/>
      </c>
      <c r="W703" s="25">
        <f>IF(V703="","",COUNTIFS($J$3:$J$1002,"="&amp;SUBSTITUTE(SUBSTITUTE(SUBSTITUTE(J703,"~","~~"),"*","~*"),"?","~?"),$L$3:$L$1002,1)*10000-V703)</f>
        <v/>
      </c>
    </row>
    <row r="704">
      <c r="A704">
        <f>IF(A$2=0,"",IFERROR(TRIM(INDEX('Pegar estudiantes'!$A$1:$BZ$1001,703,A$2)&amp;""),""))</f>
        <v/>
      </c>
      <c r="B704">
        <f>IF(B$2=0,"",IFERROR(TRIM(INDEX('Pegar estudiantes'!$A$1:$BZ$1001,703,B$2)&amp;""),""))</f>
        <v/>
      </c>
      <c r="C704">
        <f>IF(C$2=0,"",IFERROR(TRIM(INDEX('Pegar estudiantes'!$A$1:$BZ$1001,703,C$2)&amp;""),""))</f>
        <v/>
      </c>
      <c r="D704">
        <f>IF(D$2=0,"",IFERROR(TRIM(INDEX('Pegar estudiantes'!$A$1:$BZ$1001,703,D$2)&amp;""),""))</f>
        <v/>
      </c>
      <c r="E704">
        <f>IF(E$2=0,"",IFERROR(TRIM(INDEX('Pegar estudiantes'!$A$1:$BZ$1001,703,E$2)&amp;""),""))</f>
        <v/>
      </c>
      <c r="F704">
        <f>IF(F$2=0,"",IFERROR(TRIM(INDEX('Pegar estudiantes'!$A$1:$BZ$1001,703,F$2)&amp;""),""))</f>
        <v/>
      </c>
      <c r="G704">
        <f>IF(G$2=0,"",IFERROR(TRIM(INDEX('Pegar estudiantes'!$A$1:$BZ$1001,703,G$2)&amp;""),""))</f>
        <v/>
      </c>
      <c r="H704">
        <f>IF(H$2=0,"",IFERROR(TRIM(INDEX('Pegar estudiantes'!$A$1:$BZ$1001,703,H$2)&amp;""),""))</f>
        <v/>
      </c>
      <c r="I704">
        <f>IF(I$2=0,"",IFERROR(TRIM(INDEX('Pegar estudiantes'!$A$1:$BZ$1001,703,I$2)&amp;""),""))</f>
        <v/>
      </c>
      <c r="J704">
        <f>IF(J$2=0,"",IFERROR(TRIM(INDEX('Pegar estudiantes'!$A$1:$BZ$1001,703,J$2)&amp;""),""))</f>
        <v/>
      </c>
      <c r="K704">
        <f>IF(K$2=0,"",IFERROR(TRIM(INDEX('Pegar estudiantes'!$A$1:$BZ$1001,703,K$2)&amp;""),""))</f>
        <v/>
      </c>
      <c r="L704" s="25">
        <f>IF(A704&lt;&gt;"",1,"")</f>
        <v/>
      </c>
      <c r="M704" s="25">
        <f>IF(L704=1,IF(ISNUMBER(FIND("#"&amp;MID(A704,1,1)&amp;"#","#0#1#2#3#4#5#6#7#8#9#")),IF(ISNUMBER(FIND("#"&amp;MID(A704,2,1)&amp;"#","#0#1#2#3#4#5#6#7#8#9#")),IF(AND(VALUE(LEFT(A704,2))&gt;=1,VALUE(LEFT(A704,2))&lt;=5),VALUE(LEFT(A704,2)),""),IF(AND(VALUE(LEFT(A704,1))&gt;=1,VALUE(LEFT(A704,1))&lt;=5),VALUE(LEFT(A704,1)),"")),""),"")</f>
        <v/>
      </c>
      <c r="N704" s="25">
        <f>IF(L704=1,IF(ISNUMBER(FIND("#"&amp;MID(H704,1,1)&amp;"#","#0#1#2#3#4#5#6#7#8#9#")),IF(ISNUMBER(FIND("#"&amp;MID(H704,2,1)&amp;"#","#0#1#2#3#4#5#6#7#8#9#")),IF(AND(VALUE(LEFT(H704,2))&gt;=1,VALUE(LEFT(H704,2))&lt;=5),VALUE(LEFT(H704,2)),""),IF(AND(VALUE(LEFT(H704,1))&gt;=1,VALUE(LEFT(H704,1))&lt;=5),VALUE(LEFT(H704,1)),"")),""),"")</f>
        <v/>
      </c>
      <c r="O704" s="25">
        <f>IF(AND(L704=1,B704&lt;&gt;""),SUBSTITUTE(SUBSTITUTE(SUBSTITUTE(SUBSTITUTE(SUBSTITUTE(SUBSTITUTE(SUBSTITUTE(SUBSTITUTE(SUBSTITUTE(SUBSTITUTE(SUBSTITUTE(SUBSTITUTE(LOWER(TRIM(B704)),"á","a"),"é","e"),"í","i"),"ó","o"),"ú","u"),"ü","u"),"ñ","n"),"à","a"),"è","e"),"ì","i"),"ò","o"),"ù","u"),"")</f>
        <v/>
      </c>
      <c r="P704" s="25">
        <f>IF(AND(L704=1,C704&lt;&gt;""),SUBSTITUTE(SUBSTITUTE(SUBSTITUTE(SUBSTITUTE(SUBSTITUTE(SUBSTITUTE(SUBSTITUTE(SUBSTITUTE(SUBSTITUTE(SUBSTITUTE(SUBSTITUTE(SUBSTITUTE(LOWER(TRIM(C704)),"á","a"),"é","e"),"í","i"),"ó","o"),"ú","u"),"ü","u"),"ñ","n"),"à","a"),"è","e"),"ì","i"),"ò","o"),"ù","u"),"")</f>
        <v/>
      </c>
      <c r="Q704" s="25">
        <f>IF(AND(L704=1,E704&lt;&gt;""),SUBSTITUTE(SUBSTITUTE(SUBSTITUTE(SUBSTITUTE(SUBSTITUTE(SUBSTITUTE(SUBSTITUTE(SUBSTITUTE(SUBSTITUTE(SUBSTITUTE(SUBSTITUTE(SUBSTITUTE(LOWER(TRIM(E704)),"á","a"),"é","e"),"í","i"),"ó","o"),"ú","u"),"ü","u"),"ñ","n"),"à","a"),"è","e"),"ì","i"),"ò","o"),"ù","u"),"")</f>
        <v/>
      </c>
      <c r="R704" s="25">
        <f>IF(AND(L704=1,I704&lt;&gt;""),SUBSTITUTE(SUBSTITUTE(SUBSTITUTE(SUBSTITUTE(SUBSTITUTE(SUBSTITUTE(SUBSTITUTE(SUBSTITUTE(SUBSTITUTE(SUBSTITUTE(SUBSTITUTE(SUBSTITUTE(LOWER(TRIM(I704)),"á","a"),"é","e"),"í","i"),"ó","o"),"ú","u"),"ü","u"),"ñ","n"),"à","a"),"è","e"),"ì","i"),"ò","o"),"ù","u"),"")</f>
        <v/>
      </c>
      <c r="S704" s="25">
        <f>IF(R704="","",IF(OR(R704="si",R704="tal vez"),1,0))</f>
        <v/>
      </c>
      <c r="T704" s="25">
        <f>IF(AND(L704=1,D704&lt;&gt;""),IF(IFERROR(COUNTIFS(D$3:D704,"="&amp;SUBSTITUTE(SUBSTITUTE(SUBSTITUTE(D704,"~","~~"),"*","~*"),"?","~?"),L$3:L704,1),0)=1,MAX(T$2:T703)+1,""),"")</f>
        <v/>
      </c>
      <c r="U704" s="25">
        <f>IF(T704="","",COUNTIFS($D$3:$D$1002,"="&amp;SUBSTITUTE(SUBSTITUTE(SUBSTITUTE(D704,"~","~~"),"*","~*"),"?","~?"),$L$3:$L$1002,1)*10000-T704)</f>
        <v/>
      </c>
      <c r="V704" s="25">
        <f>IF(AND(L704=1,J704&lt;&gt;""),IF(IFERROR(COUNTIFS(J$3:J704,"="&amp;SUBSTITUTE(SUBSTITUTE(SUBSTITUTE(J704,"~","~~"),"*","~*"),"?","~?"),L$3:L704,1),0)=1,MAX(V$2:V703)+1,""),"")</f>
        <v/>
      </c>
      <c r="W704" s="25">
        <f>IF(V704="","",COUNTIFS($J$3:$J$1002,"="&amp;SUBSTITUTE(SUBSTITUTE(SUBSTITUTE(J704,"~","~~"),"*","~*"),"?","~?"),$L$3:$L$1002,1)*10000-V704)</f>
        <v/>
      </c>
    </row>
    <row r="705">
      <c r="A705">
        <f>IF(A$2=0,"",IFERROR(TRIM(INDEX('Pegar estudiantes'!$A$1:$BZ$1001,704,A$2)&amp;""),""))</f>
        <v/>
      </c>
      <c r="B705">
        <f>IF(B$2=0,"",IFERROR(TRIM(INDEX('Pegar estudiantes'!$A$1:$BZ$1001,704,B$2)&amp;""),""))</f>
        <v/>
      </c>
      <c r="C705">
        <f>IF(C$2=0,"",IFERROR(TRIM(INDEX('Pegar estudiantes'!$A$1:$BZ$1001,704,C$2)&amp;""),""))</f>
        <v/>
      </c>
      <c r="D705">
        <f>IF(D$2=0,"",IFERROR(TRIM(INDEX('Pegar estudiantes'!$A$1:$BZ$1001,704,D$2)&amp;""),""))</f>
        <v/>
      </c>
      <c r="E705">
        <f>IF(E$2=0,"",IFERROR(TRIM(INDEX('Pegar estudiantes'!$A$1:$BZ$1001,704,E$2)&amp;""),""))</f>
        <v/>
      </c>
      <c r="F705">
        <f>IF(F$2=0,"",IFERROR(TRIM(INDEX('Pegar estudiantes'!$A$1:$BZ$1001,704,F$2)&amp;""),""))</f>
        <v/>
      </c>
      <c r="G705">
        <f>IF(G$2=0,"",IFERROR(TRIM(INDEX('Pegar estudiantes'!$A$1:$BZ$1001,704,G$2)&amp;""),""))</f>
        <v/>
      </c>
      <c r="H705">
        <f>IF(H$2=0,"",IFERROR(TRIM(INDEX('Pegar estudiantes'!$A$1:$BZ$1001,704,H$2)&amp;""),""))</f>
        <v/>
      </c>
      <c r="I705">
        <f>IF(I$2=0,"",IFERROR(TRIM(INDEX('Pegar estudiantes'!$A$1:$BZ$1001,704,I$2)&amp;""),""))</f>
        <v/>
      </c>
      <c r="J705">
        <f>IF(J$2=0,"",IFERROR(TRIM(INDEX('Pegar estudiantes'!$A$1:$BZ$1001,704,J$2)&amp;""),""))</f>
        <v/>
      </c>
      <c r="K705">
        <f>IF(K$2=0,"",IFERROR(TRIM(INDEX('Pegar estudiantes'!$A$1:$BZ$1001,704,K$2)&amp;""),""))</f>
        <v/>
      </c>
      <c r="L705" s="25">
        <f>IF(A705&lt;&gt;"",1,"")</f>
        <v/>
      </c>
      <c r="M705" s="25">
        <f>IF(L705=1,IF(ISNUMBER(FIND("#"&amp;MID(A705,1,1)&amp;"#","#0#1#2#3#4#5#6#7#8#9#")),IF(ISNUMBER(FIND("#"&amp;MID(A705,2,1)&amp;"#","#0#1#2#3#4#5#6#7#8#9#")),IF(AND(VALUE(LEFT(A705,2))&gt;=1,VALUE(LEFT(A705,2))&lt;=5),VALUE(LEFT(A705,2)),""),IF(AND(VALUE(LEFT(A705,1))&gt;=1,VALUE(LEFT(A705,1))&lt;=5),VALUE(LEFT(A705,1)),"")),""),"")</f>
        <v/>
      </c>
      <c r="N705" s="25">
        <f>IF(L705=1,IF(ISNUMBER(FIND("#"&amp;MID(H705,1,1)&amp;"#","#0#1#2#3#4#5#6#7#8#9#")),IF(ISNUMBER(FIND("#"&amp;MID(H705,2,1)&amp;"#","#0#1#2#3#4#5#6#7#8#9#")),IF(AND(VALUE(LEFT(H705,2))&gt;=1,VALUE(LEFT(H705,2))&lt;=5),VALUE(LEFT(H705,2)),""),IF(AND(VALUE(LEFT(H705,1))&gt;=1,VALUE(LEFT(H705,1))&lt;=5),VALUE(LEFT(H705,1)),"")),""),"")</f>
        <v/>
      </c>
      <c r="O705" s="25">
        <f>IF(AND(L705=1,B705&lt;&gt;""),SUBSTITUTE(SUBSTITUTE(SUBSTITUTE(SUBSTITUTE(SUBSTITUTE(SUBSTITUTE(SUBSTITUTE(SUBSTITUTE(SUBSTITUTE(SUBSTITUTE(SUBSTITUTE(SUBSTITUTE(LOWER(TRIM(B705)),"á","a"),"é","e"),"í","i"),"ó","o"),"ú","u"),"ü","u"),"ñ","n"),"à","a"),"è","e"),"ì","i"),"ò","o"),"ù","u"),"")</f>
        <v/>
      </c>
      <c r="P705" s="25">
        <f>IF(AND(L705=1,C705&lt;&gt;""),SUBSTITUTE(SUBSTITUTE(SUBSTITUTE(SUBSTITUTE(SUBSTITUTE(SUBSTITUTE(SUBSTITUTE(SUBSTITUTE(SUBSTITUTE(SUBSTITUTE(SUBSTITUTE(SUBSTITUTE(LOWER(TRIM(C705)),"á","a"),"é","e"),"í","i"),"ó","o"),"ú","u"),"ü","u"),"ñ","n"),"à","a"),"è","e"),"ì","i"),"ò","o"),"ù","u"),"")</f>
        <v/>
      </c>
      <c r="Q705" s="25">
        <f>IF(AND(L705=1,E705&lt;&gt;""),SUBSTITUTE(SUBSTITUTE(SUBSTITUTE(SUBSTITUTE(SUBSTITUTE(SUBSTITUTE(SUBSTITUTE(SUBSTITUTE(SUBSTITUTE(SUBSTITUTE(SUBSTITUTE(SUBSTITUTE(LOWER(TRIM(E705)),"á","a"),"é","e"),"í","i"),"ó","o"),"ú","u"),"ü","u"),"ñ","n"),"à","a"),"è","e"),"ì","i"),"ò","o"),"ù","u"),"")</f>
        <v/>
      </c>
      <c r="R705" s="25">
        <f>IF(AND(L705=1,I705&lt;&gt;""),SUBSTITUTE(SUBSTITUTE(SUBSTITUTE(SUBSTITUTE(SUBSTITUTE(SUBSTITUTE(SUBSTITUTE(SUBSTITUTE(SUBSTITUTE(SUBSTITUTE(SUBSTITUTE(SUBSTITUTE(LOWER(TRIM(I705)),"á","a"),"é","e"),"í","i"),"ó","o"),"ú","u"),"ü","u"),"ñ","n"),"à","a"),"è","e"),"ì","i"),"ò","o"),"ù","u"),"")</f>
        <v/>
      </c>
      <c r="S705" s="25">
        <f>IF(R705="","",IF(OR(R705="si",R705="tal vez"),1,0))</f>
        <v/>
      </c>
      <c r="T705" s="25">
        <f>IF(AND(L705=1,D705&lt;&gt;""),IF(IFERROR(COUNTIFS(D$3:D705,"="&amp;SUBSTITUTE(SUBSTITUTE(SUBSTITUTE(D705,"~","~~"),"*","~*"),"?","~?"),L$3:L705,1),0)=1,MAX(T$2:T704)+1,""),"")</f>
        <v/>
      </c>
      <c r="U705" s="25">
        <f>IF(T705="","",COUNTIFS($D$3:$D$1002,"="&amp;SUBSTITUTE(SUBSTITUTE(SUBSTITUTE(D705,"~","~~"),"*","~*"),"?","~?"),$L$3:$L$1002,1)*10000-T705)</f>
        <v/>
      </c>
      <c r="V705" s="25">
        <f>IF(AND(L705=1,J705&lt;&gt;""),IF(IFERROR(COUNTIFS(J$3:J705,"="&amp;SUBSTITUTE(SUBSTITUTE(SUBSTITUTE(J705,"~","~~"),"*","~*"),"?","~?"),L$3:L705,1),0)=1,MAX(V$2:V704)+1,""),"")</f>
        <v/>
      </c>
      <c r="W705" s="25">
        <f>IF(V705="","",COUNTIFS($J$3:$J$1002,"="&amp;SUBSTITUTE(SUBSTITUTE(SUBSTITUTE(J705,"~","~~"),"*","~*"),"?","~?"),$L$3:$L$1002,1)*10000-V705)</f>
        <v/>
      </c>
    </row>
    <row r="706">
      <c r="A706">
        <f>IF(A$2=0,"",IFERROR(TRIM(INDEX('Pegar estudiantes'!$A$1:$BZ$1001,705,A$2)&amp;""),""))</f>
        <v/>
      </c>
      <c r="B706">
        <f>IF(B$2=0,"",IFERROR(TRIM(INDEX('Pegar estudiantes'!$A$1:$BZ$1001,705,B$2)&amp;""),""))</f>
        <v/>
      </c>
      <c r="C706">
        <f>IF(C$2=0,"",IFERROR(TRIM(INDEX('Pegar estudiantes'!$A$1:$BZ$1001,705,C$2)&amp;""),""))</f>
        <v/>
      </c>
      <c r="D706">
        <f>IF(D$2=0,"",IFERROR(TRIM(INDEX('Pegar estudiantes'!$A$1:$BZ$1001,705,D$2)&amp;""),""))</f>
        <v/>
      </c>
      <c r="E706">
        <f>IF(E$2=0,"",IFERROR(TRIM(INDEX('Pegar estudiantes'!$A$1:$BZ$1001,705,E$2)&amp;""),""))</f>
        <v/>
      </c>
      <c r="F706">
        <f>IF(F$2=0,"",IFERROR(TRIM(INDEX('Pegar estudiantes'!$A$1:$BZ$1001,705,F$2)&amp;""),""))</f>
        <v/>
      </c>
      <c r="G706">
        <f>IF(G$2=0,"",IFERROR(TRIM(INDEX('Pegar estudiantes'!$A$1:$BZ$1001,705,G$2)&amp;""),""))</f>
        <v/>
      </c>
      <c r="H706">
        <f>IF(H$2=0,"",IFERROR(TRIM(INDEX('Pegar estudiantes'!$A$1:$BZ$1001,705,H$2)&amp;""),""))</f>
        <v/>
      </c>
      <c r="I706">
        <f>IF(I$2=0,"",IFERROR(TRIM(INDEX('Pegar estudiantes'!$A$1:$BZ$1001,705,I$2)&amp;""),""))</f>
        <v/>
      </c>
      <c r="J706">
        <f>IF(J$2=0,"",IFERROR(TRIM(INDEX('Pegar estudiantes'!$A$1:$BZ$1001,705,J$2)&amp;""),""))</f>
        <v/>
      </c>
      <c r="K706">
        <f>IF(K$2=0,"",IFERROR(TRIM(INDEX('Pegar estudiantes'!$A$1:$BZ$1001,705,K$2)&amp;""),""))</f>
        <v/>
      </c>
      <c r="L706" s="25">
        <f>IF(A706&lt;&gt;"",1,"")</f>
        <v/>
      </c>
      <c r="M706" s="25">
        <f>IF(L706=1,IF(ISNUMBER(FIND("#"&amp;MID(A706,1,1)&amp;"#","#0#1#2#3#4#5#6#7#8#9#")),IF(ISNUMBER(FIND("#"&amp;MID(A706,2,1)&amp;"#","#0#1#2#3#4#5#6#7#8#9#")),IF(AND(VALUE(LEFT(A706,2))&gt;=1,VALUE(LEFT(A706,2))&lt;=5),VALUE(LEFT(A706,2)),""),IF(AND(VALUE(LEFT(A706,1))&gt;=1,VALUE(LEFT(A706,1))&lt;=5),VALUE(LEFT(A706,1)),"")),""),"")</f>
        <v/>
      </c>
      <c r="N706" s="25">
        <f>IF(L706=1,IF(ISNUMBER(FIND("#"&amp;MID(H706,1,1)&amp;"#","#0#1#2#3#4#5#6#7#8#9#")),IF(ISNUMBER(FIND("#"&amp;MID(H706,2,1)&amp;"#","#0#1#2#3#4#5#6#7#8#9#")),IF(AND(VALUE(LEFT(H706,2))&gt;=1,VALUE(LEFT(H706,2))&lt;=5),VALUE(LEFT(H706,2)),""),IF(AND(VALUE(LEFT(H706,1))&gt;=1,VALUE(LEFT(H706,1))&lt;=5),VALUE(LEFT(H706,1)),"")),""),"")</f>
        <v/>
      </c>
      <c r="O706" s="25">
        <f>IF(AND(L706=1,B706&lt;&gt;""),SUBSTITUTE(SUBSTITUTE(SUBSTITUTE(SUBSTITUTE(SUBSTITUTE(SUBSTITUTE(SUBSTITUTE(SUBSTITUTE(SUBSTITUTE(SUBSTITUTE(SUBSTITUTE(SUBSTITUTE(LOWER(TRIM(B706)),"á","a"),"é","e"),"í","i"),"ó","o"),"ú","u"),"ü","u"),"ñ","n"),"à","a"),"è","e"),"ì","i"),"ò","o"),"ù","u"),"")</f>
        <v/>
      </c>
      <c r="P706" s="25">
        <f>IF(AND(L706=1,C706&lt;&gt;""),SUBSTITUTE(SUBSTITUTE(SUBSTITUTE(SUBSTITUTE(SUBSTITUTE(SUBSTITUTE(SUBSTITUTE(SUBSTITUTE(SUBSTITUTE(SUBSTITUTE(SUBSTITUTE(SUBSTITUTE(LOWER(TRIM(C706)),"á","a"),"é","e"),"í","i"),"ó","o"),"ú","u"),"ü","u"),"ñ","n"),"à","a"),"è","e"),"ì","i"),"ò","o"),"ù","u"),"")</f>
        <v/>
      </c>
      <c r="Q706" s="25">
        <f>IF(AND(L706=1,E706&lt;&gt;""),SUBSTITUTE(SUBSTITUTE(SUBSTITUTE(SUBSTITUTE(SUBSTITUTE(SUBSTITUTE(SUBSTITUTE(SUBSTITUTE(SUBSTITUTE(SUBSTITUTE(SUBSTITUTE(SUBSTITUTE(LOWER(TRIM(E706)),"á","a"),"é","e"),"í","i"),"ó","o"),"ú","u"),"ü","u"),"ñ","n"),"à","a"),"è","e"),"ì","i"),"ò","o"),"ù","u"),"")</f>
        <v/>
      </c>
      <c r="R706" s="25">
        <f>IF(AND(L706=1,I706&lt;&gt;""),SUBSTITUTE(SUBSTITUTE(SUBSTITUTE(SUBSTITUTE(SUBSTITUTE(SUBSTITUTE(SUBSTITUTE(SUBSTITUTE(SUBSTITUTE(SUBSTITUTE(SUBSTITUTE(SUBSTITUTE(LOWER(TRIM(I706)),"á","a"),"é","e"),"í","i"),"ó","o"),"ú","u"),"ü","u"),"ñ","n"),"à","a"),"è","e"),"ì","i"),"ò","o"),"ù","u"),"")</f>
        <v/>
      </c>
      <c r="S706" s="25">
        <f>IF(R706="","",IF(OR(R706="si",R706="tal vez"),1,0))</f>
        <v/>
      </c>
      <c r="T706" s="25">
        <f>IF(AND(L706=1,D706&lt;&gt;""),IF(IFERROR(COUNTIFS(D$3:D706,"="&amp;SUBSTITUTE(SUBSTITUTE(SUBSTITUTE(D706,"~","~~"),"*","~*"),"?","~?"),L$3:L706,1),0)=1,MAX(T$2:T705)+1,""),"")</f>
        <v/>
      </c>
      <c r="U706" s="25">
        <f>IF(T706="","",COUNTIFS($D$3:$D$1002,"="&amp;SUBSTITUTE(SUBSTITUTE(SUBSTITUTE(D706,"~","~~"),"*","~*"),"?","~?"),$L$3:$L$1002,1)*10000-T706)</f>
        <v/>
      </c>
      <c r="V706" s="25">
        <f>IF(AND(L706=1,J706&lt;&gt;""),IF(IFERROR(COUNTIFS(J$3:J706,"="&amp;SUBSTITUTE(SUBSTITUTE(SUBSTITUTE(J706,"~","~~"),"*","~*"),"?","~?"),L$3:L706,1),0)=1,MAX(V$2:V705)+1,""),"")</f>
        <v/>
      </c>
      <c r="W706" s="25">
        <f>IF(V706="","",COUNTIFS($J$3:$J$1002,"="&amp;SUBSTITUTE(SUBSTITUTE(SUBSTITUTE(J706,"~","~~"),"*","~*"),"?","~?"),$L$3:$L$1002,1)*10000-V706)</f>
        <v/>
      </c>
    </row>
    <row r="707">
      <c r="A707">
        <f>IF(A$2=0,"",IFERROR(TRIM(INDEX('Pegar estudiantes'!$A$1:$BZ$1001,706,A$2)&amp;""),""))</f>
        <v/>
      </c>
      <c r="B707">
        <f>IF(B$2=0,"",IFERROR(TRIM(INDEX('Pegar estudiantes'!$A$1:$BZ$1001,706,B$2)&amp;""),""))</f>
        <v/>
      </c>
      <c r="C707">
        <f>IF(C$2=0,"",IFERROR(TRIM(INDEX('Pegar estudiantes'!$A$1:$BZ$1001,706,C$2)&amp;""),""))</f>
        <v/>
      </c>
      <c r="D707">
        <f>IF(D$2=0,"",IFERROR(TRIM(INDEX('Pegar estudiantes'!$A$1:$BZ$1001,706,D$2)&amp;""),""))</f>
        <v/>
      </c>
      <c r="E707">
        <f>IF(E$2=0,"",IFERROR(TRIM(INDEX('Pegar estudiantes'!$A$1:$BZ$1001,706,E$2)&amp;""),""))</f>
        <v/>
      </c>
      <c r="F707">
        <f>IF(F$2=0,"",IFERROR(TRIM(INDEX('Pegar estudiantes'!$A$1:$BZ$1001,706,F$2)&amp;""),""))</f>
        <v/>
      </c>
      <c r="G707">
        <f>IF(G$2=0,"",IFERROR(TRIM(INDEX('Pegar estudiantes'!$A$1:$BZ$1001,706,G$2)&amp;""),""))</f>
        <v/>
      </c>
      <c r="H707">
        <f>IF(H$2=0,"",IFERROR(TRIM(INDEX('Pegar estudiantes'!$A$1:$BZ$1001,706,H$2)&amp;""),""))</f>
        <v/>
      </c>
      <c r="I707">
        <f>IF(I$2=0,"",IFERROR(TRIM(INDEX('Pegar estudiantes'!$A$1:$BZ$1001,706,I$2)&amp;""),""))</f>
        <v/>
      </c>
      <c r="J707">
        <f>IF(J$2=0,"",IFERROR(TRIM(INDEX('Pegar estudiantes'!$A$1:$BZ$1001,706,J$2)&amp;""),""))</f>
        <v/>
      </c>
      <c r="K707">
        <f>IF(K$2=0,"",IFERROR(TRIM(INDEX('Pegar estudiantes'!$A$1:$BZ$1001,706,K$2)&amp;""),""))</f>
        <v/>
      </c>
      <c r="L707" s="25">
        <f>IF(A707&lt;&gt;"",1,"")</f>
        <v/>
      </c>
      <c r="M707" s="25">
        <f>IF(L707=1,IF(ISNUMBER(FIND("#"&amp;MID(A707,1,1)&amp;"#","#0#1#2#3#4#5#6#7#8#9#")),IF(ISNUMBER(FIND("#"&amp;MID(A707,2,1)&amp;"#","#0#1#2#3#4#5#6#7#8#9#")),IF(AND(VALUE(LEFT(A707,2))&gt;=1,VALUE(LEFT(A707,2))&lt;=5),VALUE(LEFT(A707,2)),""),IF(AND(VALUE(LEFT(A707,1))&gt;=1,VALUE(LEFT(A707,1))&lt;=5),VALUE(LEFT(A707,1)),"")),""),"")</f>
        <v/>
      </c>
      <c r="N707" s="25">
        <f>IF(L707=1,IF(ISNUMBER(FIND("#"&amp;MID(H707,1,1)&amp;"#","#0#1#2#3#4#5#6#7#8#9#")),IF(ISNUMBER(FIND("#"&amp;MID(H707,2,1)&amp;"#","#0#1#2#3#4#5#6#7#8#9#")),IF(AND(VALUE(LEFT(H707,2))&gt;=1,VALUE(LEFT(H707,2))&lt;=5),VALUE(LEFT(H707,2)),""),IF(AND(VALUE(LEFT(H707,1))&gt;=1,VALUE(LEFT(H707,1))&lt;=5),VALUE(LEFT(H707,1)),"")),""),"")</f>
        <v/>
      </c>
      <c r="O707" s="25">
        <f>IF(AND(L707=1,B707&lt;&gt;""),SUBSTITUTE(SUBSTITUTE(SUBSTITUTE(SUBSTITUTE(SUBSTITUTE(SUBSTITUTE(SUBSTITUTE(SUBSTITUTE(SUBSTITUTE(SUBSTITUTE(SUBSTITUTE(SUBSTITUTE(LOWER(TRIM(B707)),"á","a"),"é","e"),"í","i"),"ó","o"),"ú","u"),"ü","u"),"ñ","n"),"à","a"),"è","e"),"ì","i"),"ò","o"),"ù","u"),"")</f>
        <v/>
      </c>
      <c r="P707" s="25">
        <f>IF(AND(L707=1,C707&lt;&gt;""),SUBSTITUTE(SUBSTITUTE(SUBSTITUTE(SUBSTITUTE(SUBSTITUTE(SUBSTITUTE(SUBSTITUTE(SUBSTITUTE(SUBSTITUTE(SUBSTITUTE(SUBSTITUTE(SUBSTITUTE(LOWER(TRIM(C707)),"á","a"),"é","e"),"í","i"),"ó","o"),"ú","u"),"ü","u"),"ñ","n"),"à","a"),"è","e"),"ì","i"),"ò","o"),"ù","u"),"")</f>
        <v/>
      </c>
      <c r="Q707" s="25">
        <f>IF(AND(L707=1,E707&lt;&gt;""),SUBSTITUTE(SUBSTITUTE(SUBSTITUTE(SUBSTITUTE(SUBSTITUTE(SUBSTITUTE(SUBSTITUTE(SUBSTITUTE(SUBSTITUTE(SUBSTITUTE(SUBSTITUTE(SUBSTITUTE(LOWER(TRIM(E707)),"á","a"),"é","e"),"í","i"),"ó","o"),"ú","u"),"ü","u"),"ñ","n"),"à","a"),"è","e"),"ì","i"),"ò","o"),"ù","u"),"")</f>
        <v/>
      </c>
      <c r="R707" s="25">
        <f>IF(AND(L707=1,I707&lt;&gt;""),SUBSTITUTE(SUBSTITUTE(SUBSTITUTE(SUBSTITUTE(SUBSTITUTE(SUBSTITUTE(SUBSTITUTE(SUBSTITUTE(SUBSTITUTE(SUBSTITUTE(SUBSTITUTE(SUBSTITUTE(LOWER(TRIM(I707)),"á","a"),"é","e"),"í","i"),"ó","o"),"ú","u"),"ü","u"),"ñ","n"),"à","a"),"è","e"),"ì","i"),"ò","o"),"ù","u"),"")</f>
        <v/>
      </c>
      <c r="S707" s="25">
        <f>IF(R707="","",IF(OR(R707="si",R707="tal vez"),1,0))</f>
        <v/>
      </c>
      <c r="T707" s="25">
        <f>IF(AND(L707=1,D707&lt;&gt;""),IF(IFERROR(COUNTIFS(D$3:D707,"="&amp;SUBSTITUTE(SUBSTITUTE(SUBSTITUTE(D707,"~","~~"),"*","~*"),"?","~?"),L$3:L707,1),0)=1,MAX(T$2:T706)+1,""),"")</f>
        <v/>
      </c>
      <c r="U707" s="25">
        <f>IF(T707="","",COUNTIFS($D$3:$D$1002,"="&amp;SUBSTITUTE(SUBSTITUTE(SUBSTITUTE(D707,"~","~~"),"*","~*"),"?","~?"),$L$3:$L$1002,1)*10000-T707)</f>
        <v/>
      </c>
      <c r="V707" s="25">
        <f>IF(AND(L707=1,J707&lt;&gt;""),IF(IFERROR(COUNTIFS(J$3:J707,"="&amp;SUBSTITUTE(SUBSTITUTE(SUBSTITUTE(J707,"~","~~"),"*","~*"),"?","~?"),L$3:L707,1),0)=1,MAX(V$2:V706)+1,""),"")</f>
        <v/>
      </c>
      <c r="W707" s="25">
        <f>IF(V707="","",COUNTIFS($J$3:$J$1002,"="&amp;SUBSTITUTE(SUBSTITUTE(SUBSTITUTE(J707,"~","~~"),"*","~*"),"?","~?"),$L$3:$L$1002,1)*10000-V707)</f>
        <v/>
      </c>
    </row>
    <row r="708">
      <c r="A708">
        <f>IF(A$2=0,"",IFERROR(TRIM(INDEX('Pegar estudiantes'!$A$1:$BZ$1001,707,A$2)&amp;""),""))</f>
        <v/>
      </c>
      <c r="B708">
        <f>IF(B$2=0,"",IFERROR(TRIM(INDEX('Pegar estudiantes'!$A$1:$BZ$1001,707,B$2)&amp;""),""))</f>
        <v/>
      </c>
      <c r="C708">
        <f>IF(C$2=0,"",IFERROR(TRIM(INDEX('Pegar estudiantes'!$A$1:$BZ$1001,707,C$2)&amp;""),""))</f>
        <v/>
      </c>
      <c r="D708">
        <f>IF(D$2=0,"",IFERROR(TRIM(INDEX('Pegar estudiantes'!$A$1:$BZ$1001,707,D$2)&amp;""),""))</f>
        <v/>
      </c>
      <c r="E708">
        <f>IF(E$2=0,"",IFERROR(TRIM(INDEX('Pegar estudiantes'!$A$1:$BZ$1001,707,E$2)&amp;""),""))</f>
        <v/>
      </c>
      <c r="F708">
        <f>IF(F$2=0,"",IFERROR(TRIM(INDEX('Pegar estudiantes'!$A$1:$BZ$1001,707,F$2)&amp;""),""))</f>
        <v/>
      </c>
      <c r="G708">
        <f>IF(G$2=0,"",IFERROR(TRIM(INDEX('Pegar estudiantes'!$A$1:$BZ$1001,707,G$2)&amp;""),""))</f>
        <v/>
      </c>
      <c r="H708">
        <f>IF(H$2=0,"",IFERROR(TRIM(INDEX('Pegar estudiantes'!$A$1:$BZ$1001,707,H$2)&amp;""),""))</f>
        <v/>
      </c>
      <c r="I708">
        <f>IF(I$2=0,"",IFERROR(TRIM(INDEX('Pegar estudiantes'!$A$1:$BZ$1001,707,I$2)&amp;""),""))</f>
        <v/>
      </c>
      <c r="J708">
        <f>IF(J$2=0,"",IFERROR(TRIM(INDEX('Pegar estudiantes'!$A$1:$BZ$1001,707,J$2)&amp;""),""))</f>
        <v/>
      </c>
      <c r="K708">
        <f>IF(K$2=0,"",IFERROR(TRIM(INDEX('Pegar estudiantes'!$A$1:$BZ$1001,707,K$2)&amp;""),""))</f>
        <v/>
      </c>
      <c r="L708" s="25">
        <f>IF(A708&lt;&gt;"",1,"")</f>
        <v/>
      </c>
      <c r="M708" s="25">
        <f>IF(L708=1,IF(ISNUMBER(FIND("#"&amp;MID(A708,1,1)&amp;"#","#0#1#2#3#4#5#6#7#8#9#")),IF(ISNUMBER(FIND("#"&amp;MID(A708,2,1)&amp;"#","#0#1#2#3#4#5#6#7#8#9#")),IF(AND(VALUE(LEFT(A708,2))&gt;=1,VALUE(LEFT(A708,2))&lt;=5),VALUE(LEFT(A708,2)),""),IF(AND(VALUE(LEFT(A708,1))&gt;=1,VALUE(LEFT(A708,1))&lt;=5),VALUE(LEFT(A708,1)),"")),""),"")</f>
        <v/>
      </c>
      <c r="N708" s="25">
        <f>IF(L708=1,IF(ISNUMBER(FIND("#"&amp;MID(H708,1,1)&amp;"#","#0#1#2#3#4#5#6#7#8#9#")),IF(ISNUMBER(FIND("#"&amp;MID(H708,2,1)&amp;"#","#0#1#2#3#4#5#6#7#8#9#")),IF(AND(VALUE(LEFT(H708,2))&gt;=1,VALUE(LEFT(H708,2))&lt;=5),VALUE(LEFT(H708,2)),""),IF(AND(VALUE(LEFT(H708,1))&gt;=1,VALUE(LEFT(H708,1))&lt;=5),VALUE(LEFT(H708,1)),"")),""),"")</f>
        <v/>
      </c>
      <c r="O708" s="25">
        <f>IF(AND(L708=1,B708&lt;&gt;""),SUBSTITUTE(SUBSTITUTE(SUBSTITUTE(SUBSTITUTE(SUBSTITUTE(SUBSTITUTE(SUBSTITUTE(SUBSTITUTE(SUBSTITUTE(SUBSTITUTE(SUBSTITUTE(SUBSTITUTE(LOWER(TRIM(B708)),"á","a"),"é","e"),"í","i"),"ó","o"),"ú","u"),"ü","u"),"ñ","n"),"à","a"),"è","e"),"ì","i"),"ò","o"),"ù","u"),"")</f>
        <v/>
      </c>
      <c r="P708" s="25">
        <f>IF(AND(L708=1,C708&lt;&gt;""),SUBSTITUTE(SUBSTITUTE(SUBSTITUTE(SUBSTITUTE(SUBSTITUTE(SUBSTITUTE(SUBSTITUTE(SUBSTITUTE(SUBSTITUTE(SUBSTITUTE(SUBSTITUTE(SUBSTITUTE(LOWER(TRIM(C708)),"á","a"),"é","e"),"í","i"),"ó","o"),"ú","u"),"ü","u"),"ñ","n"),"à","a"),"è","e"),"ì","i"),"ò","o"),"ù","u"),"")</f>
        <v/>
      </c>
      <c r="Q708" s="25">
        <f>IF(AND(L708=1,E708&lt;&gt;""),SUBSTITUTE(SUBSTITUTE(SUBSTITUTE(SUBSTITUTE(SUBSTITUTE(SUBSTITUTE(SUBSTITUTE(SUBSTITUTE(SUBSTITUTE(SUBSTITUTE(SUBSTITUTE(SUBSTITUTE(LOWER(TRIM(E708)),"á","a"),"é","e"),"í","i"),"ó","o"),"ú","u"),"ü","u"),"ñ","n"),"à","a"),"è","e"),"ì","i"),"ò","o"),"ù","u"),"")</f>
        <v/>
      </c>
      <c r="R708" s="25">
        <f>IF(AND(L708=1,I708&lt;&gt;""),SUBSTITUTE(SUBSTITUTE(SUBSTITUTE(SUBSTITUTE(SUBSTITUTE(SUBSTITUTE(SUBSTITUTE(SUBSTITUTE(SUBSTITUTE(SUBSTITUTE(SUBSTITUTE(SUBSTITUTE(LOWER(TRIM(I708)),"á","a"),"é","e"),"í","i"),"ó","o"),"ú","u"),"ü","u"),"ñ","n"),"à","a"),"è","e"),"ì","i"),"ò","o"),"ù","u"),"")</f>
        <v/>
      </c>
      <c r="S708" s="25">
        <f>IF(R708="","",IF(OR(R708="si",R708="tal vez"),1,0))</f>
        <v/>
      </c>
      <c r="T708" s="25">
        <f>IF(AND(L708=1,D708&lt;&gt;""),IF(IFERROR(COUNTIFS(D$3:D708,"="&amp;SUBSTITUTE(SUBSTITUTE(SUBSTITUTE(D708,"~","~~"),"*","~*"),"?","~?"),L$3:L708,1),0)=1,MAX(T$2:T707)+1,""),"")</f>
        <v/>
      </c>
      <c r="U708" s="25">
        <f>IF(T708="","",COUNTIFS($D$3:$D$1002,"="&amp;SUBSTITUTE(SUBSTITUTE(SUBSTITUTE(D708,"~","~~"),"*","~*"),"?","~?"),$L$3:$L$1002,1)*10000-T708)</f>
        <v/>
      </c>
      <c r="V708" s="25">
        <f>IF(AND(L708=1,J708&lt;&gt;""),IF(IFERROR(COUNTIFS(J$3:J708,"="&amp;SUBSTITUTE(SUBSTITUTE(SUBSTITUTE(J708,"~","~~"),"*","~*"),"?","~?"),L$3:L708,1),0)=1,MAX(V$2:V707)+1,""),"")</f>
        <v/>
      </c>
      <c r="W708" s="25">
        <f>IF(V708="","",COUNTIFS($J$3:$J$1002,"="&amp;SUBSTITUTE(SUBSTITUTE(SUBSTITUTE(J708,"~","~~"),"*","~*"),"?","~?"),$L$3:$L$1002,1)*10000-V708)</f>
        <v/>
      </c>
    </row>
    <row r="709">
      <c r="A709">
        <f>IF(A$2=0,"",IFERROR(TRIM(INDEX('Pegar estudiantes'!$A$1:$BZ$1001,708,A$2)&amp;""),""))</f>
        <v/>
      </c>
      <c r="B709">
        <f>IF(B$2=0,"",IFERROR(TRIM(INDEX('Pegar estudiantes'!$A$1:$BZ$1001,708,B$2)&amp;""),""))</f>
        <v/>
      </c>
      <c r="C709">
        <f>IF(C$2=0,"",IFERROR(TRIM(INDEX('Pegar estudiantes'!$A$1:$BZ$1001,708,C$2)&amp;""),""))</f>
        <v/>
      </c>
      <c r="D709">
        <f>IF(D$2=0,"",IFERROR(TRIM(INDEX('Pegar estudiantes'!$A$1:$BZ$1001,708,D$2)&amp;""),""))</f>
        <v/>
      </c>
      <c r="E709">
        <f>IF(E$2=0,"",IFERROR(TRIM(INDEX('Pegar estudiantes'!$A$1:$BZ$1001,708,E$2)&amp;""),""))</f>
        <v/>
      </c>
      <c r="F709">
        <f>IF(F$2=0,"",IFERROR(TRIM(INDEX('Pegar estudiantes'!$A$1:$BZ$1001,708,F$2)&amp;""),""))</f>
        <v/>
      </c>
      <c r="G709">
        <f>IF(G$2=0,"",IFERROR(TRIM(INDEX('Pegar estudiantes'!$A$1:$BZ$1001,708,G$2)&amp;""),""))</f>
        <v/>
      </c>
      <c r="H709">
        <f>IF(H$2=0,"",IFERROR(TRIM(INDEX('Pegar estudiantes'!$A$1:$BZ$1001,708,H$2)&amp;""),""))</f>
        <v/>
      </c>
      <c r="I709">
        <f>IF(I$2=0,"",IFERROR(TRIM(INDEX('Pegar estudiantes'!$A$1:$BZ$1001,708,I$2)&amp;""),""))</f>
        <v/>
      </c>
      <c r="J709">
        <f>IF(J$2=0,"",IFERROR(TRIM(INDEX('Pegar estudiantes'!$A$1:$BZ$1001,708,J$2)&amp;""),""))</f>
        <v/>
      </c>
      <c r="K709">
        <f>IF(K$2=0,"",IFERROR(TRIM(INDEX('Pegar estudiantes'!$A$1:$BZ$1001,708,K$2)&amp;""),""))</f>
        <v/>
      </c>
      <c r="L709" s="25">
        <f>IF(A709&lt;&gt;"",1,"")</f>
        <v/>
      </c>
      <c r="M709" s="25">
        <f>IF(L709=1,IF(ISNUMBER(FIND("#"&amp;MID(A709,1,1)&amp;"#","#0#1#2#3#4#5#6#7#8#9#")),IF(ISNUMBER(FIND("#"&amp;MID(A709,2,1)&amp;"#","#0#1#2#3#4#5#6#7#8#9#")),IF(AND(VALUE(LEFT(A709,2))&gt;=1,VALUE(LEFT(A709,2))&lt;=5),VALUE(LEFT(A709,2)),""),IF(AND(VALUE(LEFT(A709,1))&gt;=1,VALUE(LEFT(A709,1))&lt;=5),VALUE(LEFT(A709,1)),"")),""),"")</f>
        <v/>
      </c>
      <c r="N709" s="25">
        <f>IF(L709=1,IF(ISNUMBER(FIND("#"&amp;MID(H709,1,1)&amp;"#","#0#1#2#3#4#5#6#7#8#9#")),IF(ISNUMBER(FIND("#"&amp;MID(H709,2,1)&amp;"#","#0#1#2#3#4#5#6#7#8#9#")),IF(AND(VALUE(LEFT(H709,2))&gt;=1,VALUE(LEFT(H709,2))&lt;=5),VALUE(LEFT(H709,2)),""),IF(AND(VALUE(LEFT(H709,1))&gt;=1,VALUE(LEFT(H709,1))&lt;=5),VALUE(LEFT(H709,1)),"")),""),"")</f>
        <v/>
      </c>
      <c r="O709" s="25">
        <f>IF(AND(L709=1,B709&lt;&gt;""),SUBSTITUTE(SUBSTITUTE(SUBSTITUTE(SUBSTITUTE(SUBSTITUTE(SUBSTITUTE(SUBSTITUTE(SUBSTITUTE(SUBSTITUTE(SUBSTITUTE(SUBSTITUTE(SUBSTITUTE(LOWER(TRIM(B709)),"á","a"),"é","e"),"í","i"),"ó","o"),"ú","u"),"ü","u"),"ñ","n"),"à","a"),"è","e"),"ì","i"),"ò","o"),"ù","u"),"")</f>
        <v/>
      </c>
      <c r="P709" s="25">
        <f>IF(AND(L709=1,C709&lt;&gt;""),SUBSTITUTE(SUBSTITUTE(SUBSTITUTE(SUBSTITUTE(SUBSTITUTE(SUBSTITUTE(SUBSTITUTE(SUBSTITUTE(SUBSTITUTE(SUBSTITUTE(SUBSTITUTE(SUBSTITUTE(LOWER(TRIM(C709)),"á","a"),"é","e"),"í","i"),"ó","o"),"ú","u"),"ü","u"),"ñ","n"),"à","a"),"è","e"),"ì","i"),"ò","o"),"ù","u"),"")</f>
        <v/>
      </c>
      <c r="Q709" s="25">
        <f>IF(AND(L709=1,E709&lt;&gt;""),SUBSTITUTE(SUBSTITUTE(SUBSTITUTE(SUBSTITUTE(SUBSTITUTE(SUBSTITUTE(SUBSTITUTE(SUBSTITUTE(SUBSTITUTE(SUBSTITUTE(SUBSTITUTE(SUBSTITUTE(LOWER(TRIM(E709)),"á","a"),"é","e"),"í","i"),"ó","o"),"ú","u"),"ü","u"),"ñ","n"),"à","a"),"è","e"),"ì","i"),"ò","o"),"ù","u"),"")</f>
        <v/>
      </c>
      <c r="R709" s="25">
        <f>IF(AND(L709=1,I709&lt;&gt;""),SUBSTITUTE(SUBSTITUTE(SUBSTITUTE(SUBSTITUTE(SUBSTITUTE(SUBSTITUTE(SUBSTITUTE(SUBSTITUTE(SUBSTITUTE(SUBSTITUTE(SUBSTITUTE(SUBSTITUTE(LOWER(TRIM(I709)),"á","a"),"é","e"),"í","i"),"ó","o"),"ú","u"),"ü","u"),"ñ","n"),"à","a"),"è","e"),"ì","i"),"ò","o"),"ù","u"),"")</f>
        <v/>
      </c>
      <c r="S709" s="25">
        <f>IF(R709="","",IF(OR(R709="si",R709="tal vez"),1,0))</f>
        <v/>
      </c>
      <c r="T709" s="25">
        <f>IF(AND(L709=1,D709&lt;&gt;""),IF(IFERROR(COUNTIFS(D$3:D709,"="&amp;SUBSTITUTE(SUBSTITUTE(SUBSTITUTE(D709,"~","~~"),"*","~*"),"?","~?"),L$3:L709,1),0)=1,MAX(T$2:T708)+1,""),"")</f>
        <v/>
      </c>
      <c r="U709" s="25">
        <f>IF(T709="","",COUNTIFS($D$3:$D$1002,"="&amp;SUBSTITUTE(SUBSTITUTE(SUBSTITUTE(D709,"~","~~"),"*","~*"),"?","~?"),$L$3:$L$1002,1)*10000-T709)</f>
        <v/>
      </c>
      <c r="V709" s="25">
        <f>IF(AND(L709=1,J709&lt;&gt;""),IF(IFERROR(COUNTIFS(J$3:J709,"="&amp;SUBSTITUTE(SUBSTITUTE(SUBSTITUTE(J709,"~","~~"),"*","~*"),"?","~?"),L$3:L709,1),0)=1,MAX(V$2:V708)+1,""),"")</f>
        <v/>
      </c>
      <c r="W709" s="25">
        <f>IF(V709="","",COUNTIFS($J$3:$J$1002,"="&amp;SUBSTITUTE(SUBSTITUTE(SUBSTITUTE(J709,"~","~~"),"*","~*"),"?","~?"),$L$3:$L$1002,1)*10000-V709)</f>
        <v/>
      </c>
    </row>
    <row r="710">
      <c r="A710">
        <f>IF(A$2=0,"",IFERROR(TRIM(INDEX('Pegar estudiantes'!$A$1:$BZ$1001,709,A$2)&amp;""),""))</f>
        <v/>
      </c>
      <c r="B710">
        <f>IF(B$2=0,"",IFERROR(TRIM(INDEX('Pegar estudiantes'!$A$1:$BZ$1001,709,B$2)&amp;""),""))</f>
        <v/>
      </c>
      <c r="C710">
        <f>IF(C$2=0,"",IFERROR(TRIM(INDEX('Pegar estudiantes'!$A$1:$BZ$1001,709,C$2)&amp;""),""))</f>
        <v/>
      </c>
      <c r="D710">
        <f>IF(D$2=0,"",IFERROR(TRIM(INDEX('Pegar estudiantes'!$A$1:$BZ$1001,709,D$2)&amp;""),""))</f>
        <v/>
      </c>
      <c r="E710">
        <f>IF(E$2=0,"",IFERROR(TRIM(INDEX('Pegar estudiantes'!$A$1:$BZ$1001,709,E$2)&amp;""),""))</f>
        <v/>
      </c>
      <c r="F710">
        <f>IF(F$2=0,"",IFERROR(TRIM(INDEX('Pegar estudiantes'!$A$1:$BZ$1001,709,F$2)&amp;""),""))</f>
        <v/>
      </c>
      <c r="G710">
        <f>IF(G$2=0,"",IFERROR(TRIM(INDEX('Pegar estudiantes'!$A$1:$BZ$1001,709,G$2)&amp;""),""))</f>
        <v/>
      </c>
      <c r="H710">
        <f>IF(H$2=0,"",IFERROR(TRIM(INDEX('Pegar estudiantes'!$A$1:$BZ$1001,709,H$2)&amp;""),""))</f>
        <v/>
      </c>
      <c r="I710">
        <f>IF(I$2=0,"",IFERROR(TRIM(INDEX('Pegar estudiantes'!$A$1:$BZ$1001,709,I$2)&amp;""),""))</f>
        <v/>
      </c>
      <c r="J710">
        <f>IF(J$2=0,"",IFERROR(TRIM(INDEX('Pegar estudiantes'!$A$1:$BZ$1001,709,J$2)&amp;""),""))</f>
        <v/>
      </c>
      <c r="K710">
        <f>IF(K$2=0,"",IFERROR(TRIM(INDEX('Pegar estudiantes'!$A$1:$BZ$1001,709,K$2)&amp;""),""))</f>
        <v/>
      </c>
      <c r="L710" s="25">
        <f>IF(A710&lt;&gt;"",1,"")</f>
        <v/>
      </c>
      <c r="M710" s="25">
        <f>IF(L710=1,IF(ISNUMBER(FIND("#"&amp;MID(A710,1,1)&amp;"#","#0#1#2#3#4#5#6#7#8#9#")),IF(ISNUMBER(FIND("#"&amp;MID(A710,2,1)&amp;"#","#0#1#2#3#4#5#6#7#8#9#")),IF(AND(VALUE(LEFT(A710,2))&gt;=1,VALUE(LEFT(A710,2))&lt;=5),VALUE(LEFT(A710,2)),""),IF(AND(VALUE(LEFT(A710,1))&gt;=1,VALUE(LEFT(A710,1))&lt;=5),VALUE(LEFT(A710,1)),"")),""),"")</f>
        <v/>
      </c>
      <c r="N710" s="25">
        <f>IF(L710=1,IF(ISNUMBER(FIND("#"&amp;MID(H710,1,1)&amp;"#","#0#1#2#3#4#5#6#7#8#9#")),IF(ISNUMBER(FIND("#"&amp;MID(H710,2,1)&amp;"#","#0#1#2#3#4#5#6#7#8#9#")),IF(AND(VALUE(LEFT(H710,2))&gt;=1,VALUE(LEFT(H710,2))&lt;=5),VALUE(LEFT(H710,2)),""),IF(AND(VALUE(LEFT(H710,1))&gt;=1,VALUE(LEFT(H710,1))&lt;=5),VALUE(LEFT(H710,1)),"")),""),"")</f>
        <v/>
      </c>
      <c r="O710" s="25">
        <f>IF(AND(L710=1,B710&lt;&gt;""),SUBSTITUTE(SUBSTITUTE(SUBSTITUTE(SUBSTITUTE(SUBSTITUTE(SUBSTITUTE(SUBSTITUTE(SUBSTITUTE(SUBSTITUTE(SUBSTITUTE(SUBSTITUTE(SUBSTITUTE(LOWER(TRIM(B710)),"á","a"),"é","e"),"í","i"),"ó","o"),"ú","u"),"ü","u"),"ñ","n"),"à","a"),"è","e"),"ì","i"),"ò","o"),"ù","u"),"")</f>
        <v/>
      </c>
      <c r="P710" s="25">
        <f>IF(AND(L710=1,C710&lt;&gt;""),SUBSTITUTE(SUBSTITUTE(SUBSTITUTE(SUBSTITUTE(SUBSTITUTE(SUBSTITUTE(SUBSTITUTE(SUBSTITUTE(SUBSTITUTE(SUBSTITUTE(SUBSTITUTE(SUBSTITUTE(LOWER(TRIM(C710)),"á","a"),"é","e"),"í","i"),"ó","o"),"ú","u"),"ü","u"),"ñ","n"),"à","a"),"è","e"),"ì","i"),"ò","o"),"ù","u"),"")</f>
        <v/>
      </c>
      <c r="Q710" s="25">
        <f>IF(AND(L710=1,E710&lt;&gt;""),SUBSTITUTE(SUBSTITUTE(SUBSTITUTE(SUBSTITUTE(SUBSTITUTE(SUBSTITUTE(SUBSTITUTE(SUBSTITUTE(SUBSTITUTE(SUBSTITUTE(SUBSTITUTE(SUBSTITUTE(LOWER(TRIM(E710)),"á","a"),"é","e"),"í","i"),"ó","o"),"ú","u"),"ü","u"),"ñ","n"),"à","a"),"è","e"),"ì","i"),"ò","o"),"ù","u"),"")</f>
        <v/>
      </c>
      <c r="R710" s="25">
        <f>IF(AND(L710=1,I710&lt;&gt;""),SUBSTITUTE(SUBSTITUTE(SUBSTITUTE(SUBSTITUTE(SUBSTITUTE(SUBSTITUTE(SUBSTITUTE(SUBSTITUTE(SUBSTITUTE(SUBSTITUTE(SUBSTITUTE(SUBSTITUTE(LOWER(TRIM(I710)),"á","a"),"é","e"),"í","i"),"ó","o"),"ú","u"),"ü","u"),"ñ","n"),"à","a"),"è","e"),"ì","i"),"ò","o"),"ù","u"),"")</f>
        <v/>
      </c>
      <c r="S710" s="25">
        <f>IF(R710="","",IF(OR(R710="si",R710="tal vez"),1,0))</f>
        <v/>
      </c>
      <c r="T710" s="25">
        <f>IF(AND(L710=1,D710&lt;&gt;""),IF(IFERROR(COUNTIFS(D$3:D710,"="&amp;SUBSTITUTE(SUBSTITUTE(SUBSTITUTE(D710,"~","~~"),"*","~*"),"?","~?"),L$3:L710,1),0)=1,MAX(T$2:T709)+1,""),"")</f>
        <v/>
      </c>
      <c r="U710" s="25">
        <f>IF(T710="","",COUNTIFS($D$3:$D$1002,"="&amp;SUBSTITUTE(SUBSTITUTE(SUBSTITUTE(D710,"~","~~"),"*","~*"),"?","~?"),$L$3:$L$1002,1)*10000-T710)</f>
        <v/>
      </c>
      <c r="V710" s="25">
        <f>IF(AND(L710=1,J710&lt;&gt;""),IF(IFERROR(COUNTIFS(J$3:J710,"="&amp;SUBSTITUTE(SUBSTITUTE(SUBSTITUTE(J710,"~","~~"),"*","~*"),"?","~?"),L$3:L710,1),0)=1,MAX(V$2:V709)+1,""),"")</f>
        <v/>
      </c>
      <c r="W710" s="25">
        <f>IF(V710="","",COUNTIFS($J$3:$J$1002,"="&amp;SUBSTITUTE(SUBSTITUTE(SUBSTITUTE(J710,"~","~~"),"*","~*"),"?","~?"),$L$3:$L$1002,1)*10000-V710)</f>
        <v/>
      </c>
    </row>
    <row r="711">
      <c r="A711">
        <f>IF(A$2=0,"",IFERROR(TRIM(INDEX('Pegar estudiantes'!$A$1:$BZ$1001,710,A$2)&amp;""),""))</f>
        <v/>
      </c>
      <c r="B711">
        <f>IF(B$2=0,"",IFERROR(TRIM(INDEX('Pegar estudiantes'!$A$1:$BZ$1001,710,B$2)&amp;""),""))</f>
        <v/>
      </c>
      <c r="C711">
        <f>IF(C$2=0,"",IFERROR(TRIM(INDEX('Pegar estudiantes'!$A$1:$BZ$1001,710,C$2)&amp;""),""))</f>
        <v/>
      </c>
      <c r="D711">
        <f>IF(D$2=0,"",IFERROR(TRIM(INDEX('Pegar estudiantes'!$A$1:$BZ$1001,710,D$2)&amp;""),""))</f>
        <v/>
      </c>
      <c r="E711">
        <f>IF(E$2=0,"",IFERROR(TRIM(INDEX('Pegar estudiantes'!$A$1:$BZ$1001,710,E$2)&amp;""),""))</f>
        <v/>
      </c>
      <c r="F711">
        <f>IF(F$2=0,"",IFERROR(TRIM(INDEX('Pegar estudiantes'!$A$1:$BZ$1001,710,F$2)&amp;""),""))</f>
        <v/>
      </c>
      <c r="G711">
        <f>IF(G$2=0,"",IFERROR(TRIM(INDEX('Pegar estudiantes'!$A$1:$BZ$1001,710,G$2)&amp;""),""))</f>
        <v/>
      </c>
      <c r="H711">
        <f>IF(H$2=0,"",IFERROR(TRIM(INDEX('Pegar estudiantes'!$A$1:$BZ$1001,710,H$2)&amp;""),""))</f>
        <v/>
      </c>
      <c r="I711">
        <f>IF(I$2=0,"",IFERROR(TRIM(INDEX('Pegar estudiantes'!$A$1:$BZ$1001,710,I$2)&amp;""),""))</f>
        <v/>
      </c>
      <c r="J711">
        <f>IF(J$2=0,"",IFERROR(TRIM(INDEX('Pegar estudiantes'!$A$1:$BZ$1001,710,J$2)&amp;""),""))</f>
        <v/>
      </c>
      <c r="K711">
        <f>IF(K$2=0,"",IFERROR(TRIM(INDEX('Pegar estudiantes'!$A$1:$BZ$1001,710,K$2)&amp;""),""))</f>
        <v/>
      </c>
      <c r="L711" s="25">
        <f>IF(A711&lt;&gt;"",1,"")</f>
        <v/>
      </c>
      <c r="M711" s="25">
        <f>IF(L711=1,IF(ISNUMBER(FIND("#"&amp;MID(A711,1,1)&amp;"#","#0#1#2#3#4#5#6#7#8#9#")),IF(ISNUMBER(FIND("#"&amp;MID(A711,2,1)&amp;"#","#0#1#2#3#4#5#6#7#8#9#")),IF(AND(VALUE(LEFT(A711,2))&gt;=1,VALUE(LEFT(A711,2))&lt;=5),VALUE(LEFT(A711,2)),""),IF(AND(VALUE(LEFT(A711,1))&gt;=1,VALUE(LEFT(A711,1))&lt;=5),VALUE(LEFT(A711,1)),"")),""),"")</f>
        <v/>
      </c>
      <c r="N711" s="25">
        <f>IF(L711=1,IF(ISNUMBER(FIND("#"&amp;MID(H711,1,1)&amp;"#","#0#1#2#3#4#5#6#7#8#9#")),IF(ISNUMBER(FIND("#"&amp;MID(H711,2,1)&amp;"#","#0#1#2#3#4#5#6#7#8#9#")),IF(AND(VALUE(LEFT(H711,2))&gt;=1,VALUE(LEFT(H711,2))&lt;=5),VALUE(LEFT(H711,2)),""),IF(AND(VALUE(LEFT(H711,1))&gt;=1,VALUE(LEFT(H711,1))&lt;=5),VALUE(LEFT(H711,1)),"")),""),"")</f>
        <v/>
      </c>
      <c r="O711" s="25">
        <f>IF(AND(L711=1,B711&lt;&gt;""),SUBSTITUTE(SUBSTITUTE(SUBSTITUTE(SUBSTITUTE(SUBSTITUTE(SUBSTITUTE(SUBSTITUTE(SUBSTITUTE(SUBSTITUTE(SUBSTITUTE(SUBSTITUTE(SUBSTITUTE(LOWER(TRIM(B711)),"á","a"),"é","e"),"í","i"),"ó","o"),"ú","u"),"ü","u"),"ñ","n"),"à","a"),"è","e"),"ì","i"),"ò","o"),"ù","u"),"")</f>
        <v/>
      </c>
      <c r="P711" s="25">
        <f>IF(AND(L711=1,C711&lt;&gt;""),SUBSTITUTE(SUBSTITUTE(SUBSTITUTE(SUBSTITUTE(SUBSTITUTE(SUBSTITUTE(SUBSTITUTE(SUBSTITUTE(SUBSTITUTE(SUBSTITUTE(SUBSTITUTE(SUBSTITUTE(LOWER(TRIM(C711)),"á","a"),"é","e"),"í","i"),"ó","o"),"ú","u"),"ü","u"),"ñ","n"),"à","a"),"è","e"),"ì","i"),"ò","o"),"ù","u"),"")</f>
        <v/>
      </c>
      <c r="Q711" s="25">
        <f>IF(AND(L711=1,E711&lt;&gt;""),SUBSTITUTE(SUBSTITUTE(SUBSTITUTE(SUBSTITUTE(SUBSTITUTE(SUBSTITUTE(SUBSTITUTE(SUBSTITUTE(SUBSTITUTE(SUBSTITUTE(SUBSTITUTE(SUBSTITUTE(LOWER(TRIM(E711)),"á","a"),"é","e"),"í","i"),"ó","o"),"ú","u"),"ü","u"),"ñ","n"),"à","a"),"è","e"),"ì","i"),"ò","o"),"ù","u"),"")</f>
        <v/>
      </c>
      <c r="R711" s="25">
        <f>IF(AND(L711=1,I711&lt;&gt;""),SUBSTITUTE(SUBSTITUTE(SUBSTITUTE(SUBSTITUTE(SUBSTITUTE(SUBSTITUTE(SUBSTITUTE(SUBSTITUTE(SUBSTITUTE(SUBSTITUTE(SUBSTITUTE(SUBSTITUTE(LOWER(TRIM(I711)),"á","a"),"é","e"),"í","i"),"ó","o"),"ú","u"),"ü","u"),"ñ","n"),"à","a"),"è","e"),"ì","i"),"ò","o"),"ù","u"),"")</f>
        <v/>
      </c>
      <c r="S711" s="25">
        <f>IF(R711="","",IF(OR(R711="si",R711="tal vez"),1,0))</f>
        <v/>
      </c>
      <c r="T711" s="25">
        <f>IF(AND(L711=1,D711&lt;&gt;""),IF(IFERROR(COUNTIFS(D$3:D711,"="&amp;SUBSTITUTE(SUBSTITUTE(SUBSTITUTE(D711,"~","~~"),"*","~*"),"?","~?"),L$3:L711,1),0)=1,MAX(T$2:T710)+1,""),"")</f>
        <v/>
      </c>
      <c r="U711" s="25">
        <f>IF(T711="","",COUNTIFS($D$3:$D$1002,"="&amp;SUBSTITUTE(SUBSTITUTE(SUBSTITUTE(D711,"~","~~"),"*","~*"),"?","~?"),$L$3:$L$1002,1)*10000-T711)</f>
        <v/>
      </c>
      <c r="V711" s="25">
        <f>IF(AND(L711=1,J711&lt;&gt;""),IF(IFERROR(COUNTIFS(J$3:J711,"="&amp;SUBSTITUTE(SUBSTITUTE(SUBSTITUTE(J711,"~","~~"),"*","~*"),"?","~?"),L$3:L711,1),0)=1,MAX(V$2:V710)+1,""),"")</f>
        <v/>
      </c>
      <c r="W711" s="25">
        <f>IF(V711="","",COUNTIFS($J$3:$J$1002,"="&amp;SUBSTITUTE(SUBSTITUTE(SUBSTITUTE(J711,"~","~~"),"*","~*"),"?","~?"),$L$3:$L$1002,1)*10000-V711)</f>
        <v/>
      </c>
    </row>
    <row r="712">
      <c r="A712">
        <f>IF(A$2=0,"",IFERROR(TRIM(INDEX('Pegar estudiantes'!$A$1:$BZ$1001,711,A$2)&amp;""),""))</f>
        <v/>
      </c>
      <c r="B712">
        <f>IF(B$2=0,"",IFERROR(TRIM(INDEX('Pegar estudiantes'!$A$1:$BZ$1001,711,B$2)&amp;""),""))</f>
        <v/>
      </c>
      <c r="C712">
        <f>IF(C$2=0,"",IFERROR(TRIM(INDEX('Pegar estudiantes'!$A$1:$BZ$1001,711,C$2)&amp;""),""))</f>
        <v/>
      </c>
      <c r="D712">
        <f>IF(D$2=0,"",IFERROR(TRIM(INDEX('Pegar estudiantes'!$A$1:$BZ$1001,711,D$2)&amp;""),""))</f>
        <v/>
      </c>
      <c r="E712">
        <f>IF(E$2=0,"",IFERROR(TRIM(INDEX('Pegar estudiantes'!$A$1:$BZ$1001,711,E$2)&amp;""),""))</f>
        <v/>
      </c>
      <c r="F712">
        <f>IF(F$2=0,"",IFERROR(TRIM(INDEX('Pegar estudiantes'!$A$1:$BZ$1001,711,F$2)&amp;""),""))</f>
        <v/>
      </c>
      <c r="G712">
        <f>IF(G$2=0,"",IFERROR(TRIM(INDEX('Pegar estudiantes'!$A$1:$BZ$1001,711,G$2)&amp;""),""))</f>
        <v/>
      </c>
      <c r="H712">
        <f>IF(H$2=0,"",IFERROR(TRIM(INDEX('Pegar estudiantes'!$A$1:$BZ$1001,711,H$2)&amp;""),""))</f>
        <v/>
      </c>
      <c r="I712">
        <f>IF(I$2=0,"",IFERROR(TRIM(INDEX('Pegar estudiantes'!$A$1:$BZ$1001,711,I$2)&amp;""),""))</f>
        <v/>
      </c>
      <c r="J712">
        <f>IF(J$2=0,"",IFERROR(TRIM(INDEX('Pegar estudiantes'!$A$1:$BZ$1001,711,J$2)&amp;""),""))</f>
        <v/>
      </c>
      <c r="K712">
        <f>IF(K$2=0,"",IFERROR(TRIM(INDEX('Pegar estudiantes'!$A$1:$BZ$1001,711,K$2)&amp;""),""))</f>
        <v/>
      </c>
      <c r="L712" s="25">
        <f>IF(A712&lt;&gt;"",1,"")</f>
        <v/>
      </c>
      <c r="M712" s="25">
        <f>IF(L712=1,IF(ISNUMBER(FIND("#"&amp;MID(A712,1,1)&amp;"#","#0#1#2#3#4#5#6#7#8#9#")),IF(ISNUMBER(FIND("#"&amp;MID(A712,2,1)&amp;"#","#0#1#2#3#4#5#6#7#8#9#")),IF(AND(VALUE(LEFT(A712,2))&gt;=1,VALUE(LEFT(A712,2))&lt;=5),VALUE(LEFT(A712,2)),""),IF(AND(VALUE(LEFT(A712,1))&gt;=1,VALUE(LEFT(A712,1))&lt;=5),VALUE(LEFT(A712,1)),"")),""),"")</f>
        <v/>
      </c>
      <c r="N712" s="25">
        <f>IF(L712=1,IF(ISNUMBER(FIND("#"&amp;MID(H712,1,1)&amp;"#","#0#1#2#3#4#5#6#7#8#9#")),IF(ISNUMBER(FIND("#"&amp;MID(H712,2,1)&amp;"#","#0#1#2#3#4#5#6#7#8#9#")),IF(AND(VALUE(LEFT(H712,2))&gt;=1,VALUE(LEFT(H712,2))&lt;=5),VALUE(LEFT(H712,2)),""),IF(AND(VALUE(LEFT(H712,1))&gt;=1,VALUE(LEFT(H712,1))&lt;=5),VALUE(LEFT(H712,1)),"")),""),"")</f>
        <v/>
      </c>
      <c r="O712" s="25">
        <f>IF(AND(L712=1,B712&lt;&gt;""),SUBSTITUTE(SUBSTITUTE(SUBSTITUTE(SUBSTITUTE(SUBSTITUTE(SUBSTITUTE(SUBSTITUTE(SUBSTITUTE(SUBSTITUTE(SUBSTITUTE(SUBSTITUTE(SUBSTITUTE(LOWER(TRIM(B712)),"á","a"),"é","e"),"í","i"),"ó","o"),"ú","u"),"ü","u"),"ñ","n"),"à","a"),"è","e"),"ì","i"),"ò","o"),"ù","u"),"")</f>
        <v/>
      </c>
      <c r="P712" s="25">
        <f>IF(AND(L712=1,C712&lt;&gt;""),SUBSTITUTE(SUBSTITUTE(SUBSTITUTE(SUBSTITUTE(SUBSTITUTE(SUBSTITUTE(SUBSTITUTE(SUBSTITUTE(SUBSTITUTE(SUBSTITUTE(SUBSTITUTE(SUBSTITUTE(LOWER(TRIM(C712)),"á","a"),"é","e"),"í","i"),"ó","o"),"ú","u"),"ü","u"),"ñ","n"),"à","a"),"è","e"),"ì","i"),"ò","o"),"ù","u"),"")</f>
        <v/>
      </c>
      <c r="Q712" s="25">
        <f>IF(AND(L712=1,E712&lt;&gt;""),SUBSTITUTE(SUBSTITUTE(SUBSTITUTE(SUBSTITUTE(SUBSTITUTE(SUBSTITUTE(SUBSTITUTE(SUBSTITUTE(SUBSTITUTE(SUBSTITUTE(SUBSTITUTE(SUBSTITUTE(LOWER(TRIM(E712)),"á","a"),"é","e"),"í","i"),"ó","o"),"ú","u"),"ü","u"),"ñ","n"),"à","a"),"è","e"),"ì","i"),"ò","o"),"ù","u"),"")</f>
        <v/>
      </c>
      <c r="R712" s="25">
        <f>IF(AND(L712=1,I712&lt;&gt;""),SUBSTITUTE(SUBSTITUTE(SUBSTITUTE(SUBSTITUTE(SUBSTITUTE(SUBSTITUTE(SUBSTITUTE(SUBSTITUTE(SUBSTITUTE(SUBSTITUTE(SUBSTITUTE(SUBSTITUTE(LOWER(TRIM(I712)),"á","a"),"é","e"),"í","i"),"ó","o"),"ú","u"),"ü","u"),"ñ","n"),"à","a"),"è","e"),"ì","i"),"ò","o"),"ù","u"),"")</f>
        <v/>
      </c>
      <c r="S712" s="25">
        <f>IF(R712="","",IF(OR(R712="si",R712="tal vez"),1,0))</f>
        <v/>
      </c>
      <c r="T712" s="25">
        <f>IF(AND(L712=1,D712&lt;&gt;""),IF(IFERROR(COUNTIFS(D$3:D712,"="&amp;SUBSTITUTE(SUBSTITUTE(SUBSTITUTE(D712,"~","~~"),"*","~*"),"?","~?"),L$3:L712,1),0)=1,MAX(T$2:T711)+1,""),"")</f>
        <v/>
      </c>
      <c r="U712" s="25">
        <f>IF(T712="","",COUNTIFS($D$3:$D$1002,"="&amp;SUBSTITUTE(SUBSTITUTE(SUBSTITUTE(D712,"~","~~"),"*","~*"),"?","~?"),$L$3:$L$1002,1)*10000-T712)</f>
        <v/>
      </c>
      <c r="V712" s="25">
        <f>IF(AND(L712=1,J712&lt;&gt;""),IF(IFERROR(COUNTIFS(J$3:J712,"="&amp;SUBSTITUTE(SUBSTITUTE(SUBSTITUTE(J712,"~","~~"),"*","~*"),"?","~?"),L$3:L712,1),0)=1,MAX(V$2:V711)+1,""),"")</f>
        <v/>
      </c>
      <c r="W712" s="25">
        <f>IF(V712="","",COUNTIFS($J$3:$J$1002,"="&amp;SUBSTITUTE(SUBSTITUTE(SUBSTITUTE(J712,"~","~~"),"*","~*"),"?","~?"),$L$3:$L$1002,1)*10000-V712)</f>
        <v/>
      </c>
    </row>
    <row r="713">
      <c r="A713">
        <f>IF(A$2=0,"",IFERROR(TRIM(INDEX('Pegar estudiantes'!$A$1:$BZ$1001,712,A$2)&amp;""),""))</f>
        <v/>
      </c>
      <c r="B713">
        <f>IF(B$2=0,"",IFERROR(TRIM(INDEX('Pegar estudiantes'!$A$1:$BZ$1001,712,B$2)&amp;""),""))</f>
        <v/>
      </c>
      <c r="C713">
        <f>IF(C$2=0,"",IFERROR(TRIM(INDEX('Pegar estudiantes'!$A$1:$BZ$1001,712,C$2)&amp;""),""))</f>
        <v/>
      </c>
      <c r="D713">
        <f>IF(D$2=0,"",IFERROR(TRIM(INDEX('Pegar estudiantes'!$A$1:$BZ$1001,712,D$2)&amp;""),""))</f>
        <v/>
      </c>
      <c r="E713">
        <f>IF(E$2=0,"",IFERROR(TRIM(INDEX('Pegar estudiantes'!$A$1:$BZ$1001,712,E$2)&amp;""),""))</f>
        <v/>
      </c>
      <c r="F713">
        <f>IF(F$2=0,"",IFERROR(TRIM(INDEX('Pegar estudiantes'!$A$1:$BZ$1001,712,F$2)&amp;""),""))</f>
        <v/>
      </c>
      <c r="G713">
        <f>IF(G$2=0,"",IFERROR(TRIM(INDEX('Pegar estudiantes'!$A$1:$BZ$1001,712,G$2)&amp;""),""))</f>
        <v/>
      </c>
      <c r="H713">
        <f>IF(H$2=0,"",IFERROR(TRIM(INDEX('Pegar estudiantes'!$A$1:$BZ$1001,712,H$2)&amp;""),""))</f>
        <v/>
      </c>
      <c r="I713">
        <f>IF(I$2=0,"",IFERROR(TRIM(INDEX('Pegar estudiantes'!$A$1:$BZ$1001,712,I$2)&amp;""),""))</f>
        <v/>
      </c>
      <c r="J713">
        <f>IF(J$2=0,"",IFERROR(TRIM(INDEX('Pegar estudiantes'!$A$1:$BZ$1001,712,J$2)&amp;""),""))</f>
        <v/>
      </c>
      <c r="K713">
        <f>IF(K$2=0,"",IFERROR(TRIM(INDEX('Pegar estudiantes'!$A$1:$BZ$1001,712,K$2)&amp;""),""))</f>
        <v/>
      </c>
      <c r="L713" s="25">
        <f>IF(A713&lt;&gt;"",1,"")</f>
        <v/>
      </c>
      <c r="M713" s="25">
        <f>IF(L713=1,IF(ISNUMBER(FIND("#"&amp;MID(A713,1,1)&amp;"#","#0#1#2#3#4#5#6#7#8#9#")),IF(ISNUMBER(FIND("#"&amp;MID(A713,2,1)&amp;"#","#0#1#2#3#4#5#6#7#8#9#")),IF(AND(VALUE(LEFT(A713,2))&gt;=1,VALUE(LEFT(A713,2))&lt;=5),VALUE(LEFT(A713,2)),""),IF(AND(VALUE(LEFT(A713,1))&gt;=1,VALUE(LEFT(A713,1))&lt;=5),VALUE(LEFT(A713,1)),"")),""),"")</f>
        <v/>
      </c>
      <c r="N713" s="25">
        <f>IF(L713=1,IF(ISNUMBER(FIND("#"&amp;MID(H713,1,1)&amp;"#","#0#1#2#3#4#5#6#7#8#9#")),IF(ISNUMBER(FIND("#"&amp;MID(H713,2,1)&amp;"#","#0#1#2#3#4#5#6#7#8#9#")),IF(AND(VALUE(LEFT(H713,2))&gt;=1,VALUE(LEFT(H713,2))&lt;=5),VALUE(LEFT(H713,2)),""),IF(AND(VALUE(LEFT(H713,1))&gt;=1,VALUE(LEFT(H713,1))&lt;=5),VALUE(LEFT(H713,1)),"")),""),"")</f>
        <v/>
      </c>
      <c r="O713" s="25">
        <f>IF(AND(L713=1,B713&lt;&gt;""),SUBSTITUTE(SUBSTITUTE(SUBSTITUTE(SUBSTITUTE(SUBSTITUTE(SUBSTITUTE(SUBSTITUTE(SUBSTITUTE(SUBSTITUTE(SUBSTITUTE(SUBSTITUTE(SUBSTITUTE(LOWER(TRIM(B713)),"á","a"),"é","e"),"í","i"),"ó","o"),"ú","u"),"ü","u"),"ñ","n"),"à","a"),"è","e"),"ì","i"),"ò","o"),"ù","u"),"")</f>
        <v/>
      </c>
      <c r="P713" s="25">
        <f>IF(AND(L713=1,C713&lt;&gt;""),SUBSTITUTE(SUBSTITUTE(SUBSTITUTE(SUBSTITUTE(SUBSTITUTE(SUBSTITUTE(SUBSTITUTE(SUBSTITUTE(SUBSTITUTE(SUBSTITUTE(SUBSTITUTE(SUBSTITUTE(LOWER(TRIM(C713)),"á","a"),"é","e"),"í","i"),"ó","o"),"ú","u"),"ü","u"),"ñ","n"),"à","a"),"è","e"),"ì","i"),"ò","o"),"ù","u"),"")</f>
        <v/>
      </c>
      <c r="Q713" s="25">
        <f>IF(AND(L713=1,E713&lt;&gt;""),SUBSTITUTE(SUBSTITUTE(SUBSTITUTE(SUBSTITUTE(SUBSTITUTE(SUBSTITUTE(SUBSTITUTE(SUBSTITUTE(SUBSTITUTE(SUBSTITUTE(SUBSTITUTE(SUBSTITUTE(LOWER(TRIM(E713)),"á","a"),"é","e"),"í","i"),"ó","o"),"ú","u"),"ü","u"),"ñ","n"),"à","a"),"è","e"),"ì","i"),"ò","o"),"ù","u"),"")</f>
        <v/>
      </c>
      <c r="R713" s="25">
        <f>IF(AND(L713=1,I713&lt;&gt;""),SUBSTITUTE(SUBSTITUTE(SUBSTITUTE(SUBSTITUTE(SUBSTITUTE(SUBSTITUTE(SUBSTITUTE(SUBSTITUTE(SUBSTITUTE(SUBSTITUTE(SUBSTITUTE(SUBSTITUTE(LOWER(TRIM(I713)),"á","a"),"é","e"),"í","i"),"ó","o"),"ú","u"),"ü","u"),"ñ","n"),"à","a"),"è","e"),"ì","i"),"ò","o"),"ù","u"),"")</f>
        <v/>
      </c>
      <c r="S713" s="25">
        <f>IF(R713="","",IF(OR(R713="si",R713="tal vez"),1,0))</f>
        <v/>
      </c>
      <c r="T713" s="25">
        <f>IF(AND(L713=1,D713&lt;&gt;""),IF(IFERROR(COUNTIFS(D$3:D713,"="&amp;SUBSTITUTE(SUBSTITUTE(SUBSTITUTE(D713,"~","~~"),"*","~*"),"?","~?"),L$3:L713,1),0)=1,MAX(T$2:T712)+1,""),"")</f>
        <v/>
      </c>
      <c r="U713" s="25">
        <f>IF(T713="","",COUNTIFS($D$3:$D$1002,"="&amp;SUBSTITUTE(SUBSTITUTE(SUBSTITUTE(D713,"~","~~"),"*","~*"),"?","~?"),$L$3:$L$1002,1)*10000-T713)</f>
        <v/>
      </c>
      <c r="V713" s="25">
        <f>IF(AND(L713=1,J713&lt;&gt;""),IF(IFERROR(COUNTIFS(J$3:J713,"="&amp;SUBSTITUTE(SUBSTITUTE(SUBSTITUTE(J713,"~","~~"),"*","~*"),"?","~?"),L$3:L713,1),0)=1,MAX(V$2:V712)+1,""),"")</f>
        <v/>
      </c>
      <c r="W713" s="25">
        <f>IF(V713="","",COUNTIFS($J$3:$J$1002,"="&amp;SUBSTITUTE(SUBSTITUTE(SUBSTITUTE(J713,"~","~~"),"*","~*"),"?","~?"),$L$3:$L$1002,1)*10000-V713)</f>
        <v/>
      </c>
    </row>
    <row r="714">
      <c r="A714">
        <f>IF(A$2=0,"",IFERROR(TRIM(INDEX('Pegar estudiantes'!$A$1:$BZ$1001,713,A$2)&amp;""),""))</f>
        <v/>
      </c>
      <c r="B714">
        <f>IF(B$2=0,"",IFERROR(TRIM(INDEX('Pegar estudiantes'!$A$1:$BZ$1001,713,B$2)&amp;""),""))</f>
        <v/>
      </c>
      <c r="C714">
        <f>IF(C$2=0,"",IFERROR(TRIM(INDEX('Pegar estudiantes'!$A$1:$BZ$1001,713,C$2)&amp;""),""))</f>
        <v/>
      </c>
      <c r="D714">
        <f>IF(D$2=0,"",IFERROR(TRIM(INDEX('Pegar estudiantes'!$A$1:$BZ$1001,713,D$2)&amp;""),""))</f>
        <v/>
      </c>
      <c r="E714">
        <f>IF(E$2=0,"",IFERROR(TRIM(INDEX('Pegar estudiantes'!$A$1:$BZ$1001,713,E$2)&amp;""),""))</f>
        <v/>
      </c>
      <c r="F714">
        <f>IF(F$2=0,"",IFERROR(TRIM(INDEX('Pegar estudiantes'!$A$1:$BZ$1001,713,F$2)&amp;""),""))</f>
        <v/>
      </c>
      <c r="G714">
        <f>IF(G$2=0,"",IFERROR(TRIM(INDEX('Pegar estudiantes'!$A$1:$BZ$1001,713,G$2)&amp;""),""))</f>
        <v/>
      </c>
      <c r="H714">
        <f>IF(H$2=0,"",IFERROR(TRIM(INDEX('Pegar estudiantes'!$A$1:$BZ$1001,713,H$2)&amp;""),""))</f>
        <v/>
      </c>
      <c r="I714">
        <f>IF(I$2=0,"",IFERROR(TRIM(INDEX('Pegar estudiantes'!$A$1:$BZ$1001,713,I$2)&amp;""),""))</f>
        <v/>
      </c>
      <c r="J714">
        <f>IF(J$2=0,"",IFERROR(TRIM(INDEX('Pegar estudiantes'!$A$1:$BZ$1001,713,J$2)&amp;""),""))</f>
        <v/>
      </c>
      <c r="K714">
        <f>IF(K$2=0,"",IFERROR(TRIM(INDEX('Pegar estudiantes'!$A$1:$BZ$1001,713,K$2)&amp;""),""))</f>
        <v/>
      </c>
      <c r="L714" s="25">
        <f>IF(A714&lt;&gt;"",1,"")</f>
        <v/>
      </c>
      <c r="M714" s="25">
        <f>IF(L714=1,IF(ISNUMBER(FIND("#"&amp;MID(A714,1,1)&amp;"#","#0#1#2#3#4#5#6#7#8#9#")),IF(ISNUMBER(FIND("#"&amp;MID(A714,2,1)&amp;"#","#0#1#2#3#4#5#6#7#8#9#")),IF(AND(VALUE(LEFT(A714,2))&gt;=1,VALUE(LEFT(A714,2))&lt;=5),VALUE(LEFT(A714,2)),""),IF(AND(VALUE(LEFT(A714,1))&gt;=1,VALUE(LEFT(A714,1))&lt;=5),VALUE(LEFT(A714,1)),"")),""),"")</f>
        <v/>
      </c>
      <c r="N714" s="25">
        <f>IF(L714=1,IF(ISNUMBER(FIND("#"&amp;MID(H714,1,1)&amp;"#","#0#1#2#3#4#5#6#7#8#9#")),IF(ISNUMBER(FIND("#"&amp;MID(H714,2,1)&amp;"#","#0#1#2#3#4#5#6#7#8#9#")),IF(AND(VALUE(LEFT(H714,2))&gt;=1,VALUE(LEFT(H714,2))&lt;=5),VALUE(LEFT(H714,2)),""),IF(AND(VALUE(LEFT(H714,1))&gt;=1,VALUE(LEFT(H714,1))&lt;=5),VALUE(LEFT(H714,1)),"")),""),"")</f>
        <v/>
      </c>
      <c r="O714" s="25">
        <f>IF(AND(L714=1,B714&lt;&gt;""),SUBSTITUTE(SUBSTITUTE(SUBSTITUTE(SUBSTITUTE(SUBSTITUTE(SUBSTITUTE(SUBSTITUTE(SUBSTITUTE(SUBSTITUTE(SUBSTITUTE(SUBSTITUTE(SUBSTITUTE(LOWER(TRIM(B714)),"á","a"),"é","e"),"í","i"),"ó","o"),"ú","u"),"ü","u"),"ñ","n"),"à","a"),"è","e"),"ì","i"),"ò","o"),"ù","u"),"")</f>
        <v/>
      </c>
      <c r="P714" s="25">
        <f>IF(AND(L714=1,C714&lt;&gt;""),SUBSTITUTE(SUBSTITUTE(SUBSTITUTE(SUBSTITUTE(SUBSTITUTE(SUBSTITUTE(SUBSTITUTE(SUBSTITUTE(SUBSTITUTE(SUBSTITUTE(SUBSTITUTE(SUBSTITUTE(LOWER(TRIM(C714)),"á","a"),"é","e"),"í","i"),"ó","o"),"ú","u"),"ü","u"),"ñ","n"),"à","a"),"è","e"),"ì","i"),"ò","o"),"ù","u"),"")</f>
        <v/>
      </c>
      <c r="Q714" s="25">
        <f>IF(AND(L714=1,E714&lt;&gt;""),SUBSTITUTE(SUBSTITUTE(SUBSTITUTE(SUBSTITUTE(SUBSTITUTE(SUBSTITUTE(SUBSTITUTE(SUBSTITUTE(SUBSTITUTE(SUBSTITUTE(SUBSTITUTE(SUBSTITUTE(LOWER(TRIM(E714)),"á","a"),"é","e"),"í","i"),"ó","o"),"ú","u"),"ü","u"),"ñ","n"),"à","a"),"è","e"),"ì","i"),"ò","o"),"ù","u"),"")</f>
        <v/>
      </c>
      <c r="R714" s="25">
        <f>IF(AND(L714=1,I714&lt;&gt;""),SUBSTITUTE(SUBSTITUTE(SUBSTITUTE(SUBSTITUTE(SUBSTITUTE(SUBSTITUTE(SUBSTITUTE(SUBSTITUTE(SUBSTITUTE(SUBSTITUTE(SUBSTITUTE(SUBSTITUTE(LOWER(TRIM(I714)),"á","a"),"é","e"),"í","i"),"ó","o"),"ú","u"),"ü","u"),"ñ","n"),"à","a"),"è","e"),"ì","i"),"ò","o"),"ù","u"),"")</f>
        <v/>
      </c>
      <c r="S714" s="25">
        <f>IF(R714="","",IF(OR(R714="si",R714="tal vez"),1,0))</f>
        <v/>
      </c>
      <c r="T714" s="25">
        <f>IF(AND(L714=1,D714&lt;&gt;""),IF(IFERROR(COUNTIFS(D$3:D714,"="&amp;SUBSTITUTE(SUBSTITUTE(SUBSTITUTE(D714,"~","~~"),"*","~*"),"?","~?"),L$3:L714,1),0)=1,MAX(T$2:T713)+1,""),"")</f>
        <v/>
      </c>
      <c r="U714" s="25">
        <f>IF(T714="","",COUNTIFS($D$3:$D$1002,"="&amp;SUBSTITUTE(SUBSTITUTE(SUBSTITUTE(D714,"~","~~"),"*","~*"),"?","~?"),$L$3:$L$1002,1)*10000-T714)</f>
        <v/>
      </c>
      <c r="V714" s="25">
        <f>IF(AND(L714=1,J714&lt;&gt;""),IF(IFERROR(COUNTIFS(J$3:J714,"="&amp;SUBSTITUTE(SUBSTITUTE(SUBSTITUTE(J714,"~","~~"),"*","~*"),"?","~?"),L$3:L714,1),0)=1,MAX(V$2:V713)+1,""),"")</f>
        <v/>
      </c>
      <c r="W714" s="25">
        <f>IF(V714="","",COUNTIFS($J$3:$J$1002,"="&amp;SUBSTITUTE(SUBSTITUTE(SUBSTITUTE(J714,"~","~~"),"*","~*"),"?","~?"),$L$3:$L$1002,1)*10000-V714)</f>
        <v/>
      </c>
    </row>
    <row r="715">
      <c r="A715">
        <f>IF(A$2=0,"",IFERROR(TRIM(INDEX('Pegar estudiantes'!$A$1:$BZ$1001,714,A$2)&amp;""),""))</f>
        <v/>
      </c>
      <c r="B715">
        <f>IF(B$2=0,"",IFERROR(TRIM(INDEX('Pegar estudiantes'!$A$1:$BZ$1001,714,B$2)&amp;""),""))</f>
        <v/>
      </c>
      <c r="C715">
        <f>IF(C$2=0,"",IFERROR(TRIM(INDEX('Pegar estudiantes'!$A$1:$BZ$1001,714,C$2)&amp;""),""))</f>
        <v/>
      </c>
      <c r="D715">
        <f>IF(D$2=0,"",IFERROR(TRIM(INDEX('Pegar estudiantes'!$A$1:$BZ$1001,714,D$2)&amp;""),""))</f>
        <v/>
      </c>
      <c r="E715">
        <f>IF(E$2=0,"",IFERROR(TRIM(INDEX('Pegar estudiantes'!$A$1:$BZ$1001,714,E$2)&amp;""),""))</f>
        <v/>
      </c>
      <c r="F715">
        <f>IF(F$2=0,"",IFERROR(TRIM(INDEX('Pegar estudiantes'!$A$1:$BZ$1001,714,F$2)&amp;""),""))</f>
        <v/>
      </c>
      <c r="G715">
        <f>IF(G$2=0,"",IFERROR(TRIM(INDEX('Pegar estudiantes'!$A$1:$BZ$1001,714,G$2)&amp;""),""))</f>
        <v/>
      </c>
      <c r="H715">
        <f>IF(H$2=0,"",IFERROR(TRIM(INDEX('Pegar estudiantes'!$A$1:$BZ$1001,714,H$2)&amp;""),""))</f>
        <v/>
      </c>
      <c r="I715">
        <f>IF(I$2=0,"",IFERROR(TRIM(INDEX('Pegar estudiantes'!$A$1:$BZ$1001,714,I$2)&amp;""),""))</f>
        <v/>
      </c>
      <c r="J715">
        <f>IF(J$2=0,"",IFERROR(TRIM(INDEX('Pegar estudiantes'!$A$1:$BZ$1001,714,J$2)&amp;""),""))</f>
        <v/>
      </c>
      <c r="K715">
        <f>IF(K$2=0,"",IFERROR(TRIM(INDEX('Pegar estudiantes'!$A$1:$BZ$1001,714,K$2)&amp;""),""))</f>
        <v/>
      </c>
      <c r="L715" s="25">
        <f>IF(A715&lt;&gt;"",1,"")</f>
        <v/>
      </c>
      <c r="M715" s="25">
        <f>IF(L715=1,IF(ISNUMBER(FIND("#"&amp;MID(A715,1,1)&amp;"#","#0#1#2#3#4#5#6#7#8#9#")),IF(ISNUMBER(FIND("#"&amp;MID(A715,2,1)&amp;"#","#0#1#2#3#4#5#6#7#8#9#")),IF(AND(VALUE(LEFT(A715,2))&gt;=1,VALUE(LEFT(A715,2))&lt;=5),VALUE(LEFT(A715,2)),""),IF(AND(VALUE(LEFT(A715,1))&gt;=1,VALUE(LEFT(A715,1))&lt;=5),VALUE(LEFT(A715,1)),"")),""),"")</f>
        <v/>
      </c>
      <c r="N715" s="25">
        <f>IF(L715=1,IF(ISNUMBER(FIND("#"&amp;MID(H715,1,1)&amp;"#","#0#1#2#3#4#5#6#7#8#9#")),IF(ISNUMBER(FIND("#"&amp;MID(H715,2,1)&amp;"#","#0#1#2#3#4#5#6#7#8#9#")),IF(AND(VALUE(LEFT(H715,2))&gt;=1,VALUE(LEFT(H715,2))&lt;=5),VALUE(LEFT(H715,2)),""),IF(AND(VALUE(LEFT(H715,1))&gt;=1,VALUE(LEFT(H715,1))&lt;=5),VALUE(LEFT(H715,1)),"")),""),"")</f>
        <v/>
      </c>
      <c r="O715" s="25">
        <f>IF(AND(L715=1,B715&lt;&gt;""),SUBSTITUTE(SUBSTITUTE(SUBSTITUTE(SUBSTITUTE(SUBSTITUTE(SUBSTITUTE(SUBSTITUTE(SUBSTITUTE(SUBSTITUTE(SUBSTITUTE(SUBSTITUTE(SUBSTITUTE(LOWER(TRIM(B715)),"á","a"),"é","e"),"í","i"),"ó","o"),"ú","u"),"ü","u"),"ñ","n"),"à","a"),"è","e"),"ì","i"),"ò","o"),"ù","u"),"")</f>
        <v/>
      </c>
      <c r="P715" s="25">
        <f>IF(AND(L715=1,C715&lt;&gt;""),SUBSTITUTE(SUBSTITUTE(SUBSTITUTE(SUBSTITUTE(SUBSTITUTE(SUBSTITUTE(SUBSTITUTE(SUBSTITUTE(SUBSTITUTE(SUBSTITUTE(SUBSTITUTE(SUBSTITUTE(LOWER(TRIM(C715)),"á","a"),"é","e"),"í","i"),"ó","o"),"ú","u"),"ü","u"),"ñ","n"),"à","a"),"è","e"),"ì","i"),"ò","o"),"ù","u"),"")</f>
        <v/>
      </c>
      <c r="Q715" s="25">
        <f>IF(AND(L715=1,E715&lt;&gt;""),SUBSTITUTE(SUBSTITUTE(SUBSTITUTE(SUBSTITUTE(SUBSTITUTE(SUBSTITUTE(SUBSTITUTE(SUBSTITUTE(SUBSTITUTE(SUBSTITUTE(SUBSTITUTE(SUBSTITUTE(LOWER(TRIM(E715)),"á","a"),"é","e"),"í","i"),"ó","o"),"ú","u"),"ü","u"),"ñ","n"),"à","a"),"è","e"),"ì","i"),"ò","o"),"ù","u"),"")</f>
        <v/>
      </c>
      <c r="R715" s="25">
        <f>IF(AND(L715=1,I715&lt;&gt;""),SUBSTITUTE(SUBSTITUTE(SUBSTITUTE(SUBSTITUTE(SUBSTITUTE(SUBSTITUTE(SUBSTITUTE(SUBSTITUTE(SUBSTITUTE(SUBSTITUTE(SUBSTITUTE(SUBSTITUTE(LOWER(TRIM(I715)),"á","a"),"é","e"),"í","i"),"ó","o"),"ú","u"),"ü","u"),"ñ","n"),"à","a"),"è","e"),"ì","i"),"ò","o"),"ù","u"),"")</f>
        <v/>
      </c>
      <c r="S715" s="25">
        <f>IF(R715="","",IF(OR(R715="si",R715="tal vez"),1,0))</f>
        <v/>
      </c>
      <c r="T715" s="25">
        <f>IF(AND(L715=1,D715&lt;&gt;""),IF(IFERROR(COUNTIFS(D$3:D715,"="&amp;SUBSTITUTE(SUBSTITUTE(SUBSTITUTE(D715,"~","~~"),"*","~*"),"?","~?"),L$3:L715,1),0)=1,MAX(T$2:T714)+1,""),"")</f>
        <v/>
      </c>
      <c r="U715" s="25">
        <f>IF(T715="","",COUNTIFS($D$3:$D$1002,"="&amp;SUBSTITUTE(SUBSTITUTE(SUBSTITUTE(D715,"~","~~"),"*","~*"),"?","~?"),$L$3:$L$1002,1)*10000-T715)</f>
        <v/>
      </c>
      <c r="V715" s="25">
        <f>IF(AND(L715=1,J715&lt;&gt;""),IF(IFERROR(COUNTIFS(J$3:J715,"="&amp;SUBSTITUTE(SUBSTITUTE(SUBSTITUTE(J715,"~","~~"),"*","~*"),"?","~?"),L$3:L715,1),0)=1,MAX(V$2:V714)+1,""),"")</f>
        <v/>
      </c>
      <c r="W715" s="25">
        <f>IF(V715="","",COUNTIFS($J$3:$J$1002,"="&amp;SUBSTITUTE(SUBSTITUTE(SUBSTITUTE(J715,"~","~~"),"*","~*"),"?","~?"),$L$3:$L$1002,1)*10000-V715)</f>
        <v/>
      </c>
    </row>
    <row r="716">
      <c r="A716">
        <f>IF(A$2=0,"",IFERROR(TRIM(INDEX('Pegar estudiantes'!$A$1:$BZ$1001,715,A$2)&amp;""),""))</f>
        <v/>
      </c>
      <c r="B716">
        <f>IF(B$2=0,"",IFERROR(TRIM(INDEX('Pegar estudiantes'!$A$1:$BZ$1001,715,B$2)&amp;""),""))</f>
        <v/>
      </c>
      <c r="C716">
        <f>IF(C$2=0,"",IFERROR(TRIM(INDEX('Pegar estudiantes'!$A$1:$BZ$1001,715,C$2)&amp;""),""))</f>
        <v/>
      </c>
      <c r="D716">
        <f>IF(D$2=0,"",IFERROR(TRIM(INDEX('Pegar estudiantes'!$A$1:$BZ$1001,715,D$2)&amp;""),""))</f>
        <v/>
      </c>
      <c r="E716">
        <f>IF(E$2=0,"",IFERROR(TRIM(INDEX('Pegar estudiantes'!$A$1:$BZ$1001,715,E$2)&amp;""),""))</f>
        <v/>
      </c>
      <c r="F716">
        <f>IF(F$2=0,"",IFERROR(TRIM(INDEX('Pegar estudiantes'!$A$1:$BZ$1001,715,F$2)&amp;""),""))</f>
        <v/>
      </c>
      <c r="G716">
        <f>IF(G$2=0,"",IFERROR(TRIM(INDEX('Pegar estudiantes'!$A$1:$BZ$1001,715,G$2)&amp;""),""))</f>
        <v/>
      </c>
      <c r="H716">
        <f>IF(H$2=0,"",IFERROR(TRIM(INDEX('Pegar estudiantes'!$A$1:$BZ$1001,715,H$2)&amp;""),""))</f>
        <v/>
      </c>
      <c r="I716">
        <f>IF(I$2=0,"",IFERROR(TRIM(INDEX('Pegar estudiantes'!$A$1:$BZ$1001,715,I$2)&amp;""),""))</f>
        <v/>
      </c>
      <c r="J716">
        <f>IF(J$2=0,"",IFERROR(TRIM(INDEX('Pegar estudiantes'!$A$1:$BZ$1001,715,J$2)&amp;""),""))</f>
        <v/>
      </c>
      <c r="K716">
        <f>IF(K$2=0,"",IFERROR(TRIM(INDEX('Pegar estudiantes'!$A$1:$BZ$1001,715,K$2)&amp;""),""))</f>
        <v/>
      </c>
      <c r="L716" s="25">
        <f>IF(A716&lt;&gt;"",1,"")</f>
        <v/>
      </c>
      <c r="M716" s="25">
        <f>IF(L716=1,IF(ISNUMBER(FIND("#"&amp;MID(A716,1,1)&amp;"#","#0#1#2#3#4#5#6#7#8#9#")),IF(ISNUMBER(FIND("#"&amp;MID(A716,2,1)&amp;"#","#0#1#2#3#4#5#6#7#8#9#")),IF(AND(VALUE(LEFT(A716,2))&gt;=1,VALUE(LEFT(A716,2))&lt;=5),VALUE(LEFT(A716,2)),""),IF(AND(VALUE(LEFT(A716,1))&gt;=1,VALUE(LEFT(A716,1))&lt;=5),VALUE(LEFT(A716,1)),"")),""),"")</f>
        <v/>
      </c>
      <c r="N716" s="25">
        <f>IF(L716=1,IF(ISNUMBER(FIND("#"&amp;MID(H716,1,1)&amp;"#","#0#1#2#3#4#5#6#7#8#9#")),IF(ISNUMBER(FIND("#"&amp;MID(H716,2,1)&amp;"#","#0#1#2#3#4#5#6#7#8#9#")),IF(AND(VALUE(LEFT(H716,2))&gt;=1,VALUE(LEFT(H716,2))&lt;=5),VALUE(LEFT(H716,2)),""),IF(AND(VALUE(LEFT(H716,1))&gt;=1,VALUE(LEFT(H716,1))&lt;=5),VALUE(LEFT(H716,1)),"")),""),"")</f>
        <v/>
      </c>
      <c r="O716" s="25">
        <f>IF(AND(L716=1,B716&lt;&gt;""),SUBSTITUTE(SUBSTITUTE(SUBSTITUTE(SUBSTITUTE(SUBSTITUTE(SUBSTITUTE(SUBSTITUTE(SUBSTITUTE(SUBSTITUTE(SUBSTITUTE(SUBSTITUTE(SUBSTITUTE(LOWER(TRIM(B716)),"á","a"),"é","e"),"í","i"),"ó","o"),"ú","u"),"ü","u"),"ñ","n"),"à","a"),"è","e"),"ì","i"),"ò","o"),"ù","u"),"")</f>
        <v/>
      </c>
      <c r="P716" s="25">
        <f>IF(AND(L716=1,C716&lt;&gt;""),SUBSTITUTE(SUBSTITUTE(SUBSTITUTE(SUBSTITUTE(SUBSTITUTE(SUBSTITUTE(SUBSTITUTE(SUBSTITUTE(SUBSTITUTE(SUBSTITUTE(SUBSTITUTE(SUBSTITUTE(LOWER(TRIM(C716)),"á","a"),"é","e"),"í","i"),"ó","o"),"ú","u"),"ü","u"),"ñ","n"),"à","a"),"è","e"),"ì","i"),"ò","o"),"ù","u"),"")</f>
        <v/>
      </c>
      <c r="Q716" s="25">
        <f>IF(AND(L716=1,E716&lt;&gt;""),SUBSTITUTE(SUBSTITUTE(SUBSTITUTE(SUBSTITUTE(SUBSTITUTE(SUBSTITUTE(SUBSTITUTE(SUBSTITUTE(SUBSTITUTE(SUBSTITUTE(SUBSTITUTE(SUBSTITUTE(LOWER(TRIM(E716)),"á","a"),"é","e"),"í","i"),"ó","o"),"ú","u"),"ü","u"),"ñ","n"),"à","a"),"è","e"),"ì","i"),"ò","o"),"ù","u"),"")</f>
        <v/>
      </c>
      <c r="R716" s="25">
        <f>IF(AND(L716=1,I716&lt;&gt;""),SUBSTITUTE(SUBSTITUTE(SUBSTITUTE(SUBSTITUTE(SUBSTITUTE(SUBSTITUTE(SUBSTITUTE(SUBSTITUTE(SUBSTITUTE(SUBSTITUTE(SUBSTITUTE(SUBSTITUTE(LOWER(TRIM(I716)),"á","a"),"é","e"),"í","i"),"ó","o"),"ú","u"),"ü","u"),"ñ","n"),"à","a"),"è","e"),"ì","i"),"ò","o"),"ù","u"),"")</f>
        <v/>
      </c>
      <c r="S716" s="25">
        <f>IF(R716="","",IF(OR(R716="si",R716="tal vez"),1,0))</f>
        <v/>
      </c>
      <c r="T716" s="25">
        <f>IF(AND(L716=1,D716&lt;&gt;""),IF(IFERROR(COUNTIFS(D$3:D716,"="&amp;SUBSTITUTE(SUBSTITUTE(SUBSTITUTE(D716,"~","~~"),"*","~*"),"?","~?"),L$3:L716,1),0)=1,MAX(T$2:T715)+1,""),"")</f>
        <v/>
      </c>
      <c r="U716" s="25">
        <f>IF(T716="","",COUNTIFS($D$3:$D$1002,"="&amp;SUBSTITUTE(SUBSTITUTE(SUBSTITUTE(D716,"~","~~"),"*","~*"),"?","~?"),$L$3:$L$1002,1)*10000-T716)</f>
        <v/>
      </c>
      <c r="V716" s="25">
        <f>IF(AND(L716=1,J716&lt;&gt;""),IF(IFERROR(COUNTIFS(J$3:J716,"="&amp;SUBSTITUTE(SUBSTITUTE(SUBSTITUTE(J716,"~","~~"),"*","~*"),"?","~?"),L$3:L716,1),0)=1,MAX(V$2:V715)+1,""),"")</f>
        <v/>
      </c>
      <c r="W716" s="25">
        <f>IF(V716="","",COUNTIFS($J$3:$J$1002,"="&amp;SUBSTITUTE(SUBSTITUTE(SUBSTITUTE(J716,"~","~~"),"*","~*"),"?","~?"),$L$3:$L$1002,1)*10000-V716)</f>
        <v/>
      </c>
    </row>
    <row r="717">
      <c r="A717">
        <f>IF(A$2=0,"",IFERROR(TRIM(INDEX('Pegar estudiantes'!$A$1:$BZ$1001,716,A$2)&amp;""),""))</f>
        <v/>
      </c>
      <c r="B717">
        <f>IF(B$2=0,"",IFERROR(TRIM(INDEX('Pegar estudiantes'!$A$1:$BZ$1001,716,B$2)&amp;""),""))</f>
        <v/>
      </c>
      <c r="C717">
        <f>IF(C$2=0,"",IFERROR(TRIM(INDEX('Pegar estudiantes'!$A$1:$BZ$1001,716,C$2)&amp;""),""))</f>
        <v/>
      </c>
      <c r="D717">
        <f>IF(D$2=0,"",IFERROR(TRIM(INDEX('Pegar estudiantes'!$A$1:$BZ$1001,716,D$2)&amp;""),""))</f>
        <v/>
      </c>
      <c r="E717">
        <f>IF(E$2=0,"",IFERROR(TRIM(INDEX('Pegar estudiantes'!$A$1:$BZ$1001,716,E$2)&amp;""),""))</f>
        <v/>
      </c>
      <c r="F717">
        <f>IF(F$2=0,"",IFERROR(TRIM(INDEX('Pegar estudiantes'!$A$1:$BZ$1001,716,F$2)&amp;""),""))</f>
        <v/>
      </c>
      <c r="G717">
        <f>IF(G$2=0,"",IFERROR(TRIM(INDEX('Pegar estudiantes'!$A$1:$BZ$1001,716,G$2)&amp;""),""))</f>
        <v/>
      </c>
      <c r="H717">
        <f>IF(H$2=0,"",IFERROR(TRIM(INDEX('Pegar estudiantes'!$A$1:$BZ$1001,716,H$2)&amp;""),""))</f>
        <v/>
      </c>
      <c r="I717">
        <f>IF(I$2=0,"",IFERROR(TRIM(INDEX('Pegar estudiantes'!$A$1:$BZ$1001,716,I$2)&amp;""),""))</f>
        <v/>
      </c>
      <c r="J717">
        <f>IF(J$2=0,"",IFERROR(TRIM(INDEX('Pegar estudiantes'!$A$1:$BZ$1001,716,J$2)&amp;""),""))</f>
        <v/>
      </c>
      <c r="K717">
        <f>IF(K$2=0,"",IFERROR(TRIM(INDEX('Pegar estudiantes'!$A$1:$BZ$1001,716,K$2)&amp;""),""))</f>
        <v/>
      </c>
      <c r="L717" s="25">
        <f>IF(A717&lt;&gt;"",1,"")</f>
        <v/>
      </c>
      <c r="M717" s="25">
        <f>IF(L717=1,IF(ISNUMBER(FIND("#"&amp;MID(A717,1,1)&amp;"#","#0#1#2#3#4#5#6#7#8#9#")),IF(ISNUMBER(FIND("#"&amp;MID(A717,2,1)&amp;"#","#0#1#2#3#4#5#6#7#8#9#")),IF(AND(VALUE(LEFT(A717,2))&gt;=1,VALUE(LEFT(A717,2))&lt;=5),VALUE(LEFT(A717,2)),""),IF(AND(VALUE(LEFT(A717,1))&gt;=1,VALUE(LEFT(A717,1))&lt;=5),VALUE(LEFT(A717,1)),"")),""),"")</f>
        <v/>
      </c>
      <c r="N717" s="25">
        <f>IF(L717=1,IF(ISNUMBER(FIND("#"&amp;MID(H717,1,1)&amp;"#","#0#1#2#3#4#5#6#7#8#9#")),IF(ISNUMBER(FIND("#"&amp;MID(H717,2,1)&amp;"#","#0#1#2#3#4#5#6#7#8#9#")),IF(AND(VALUE(LEFT(H717,2))&gt;=1,VALUE(LEFT(H717,2))&lt;=5),VALUE(LEFT(H717,2)),""),IF(AND(VALUE(LEFT(H717,1))&gt;=1,VALUE(LEFT(H717,1))&lt;=5),VALUE(LEFT(H717,1)),"")),""),"")</f>
        <v/>
      </c>
      <c r="O717" s="25">
        <f>IF(AND(L717=1,B717&lt;&gt;""),SUBSTITUTE(SUBSTITUTE(SUBSTITUTE(SUBSTITUTE(SUBSTITUTE(SUBSTITUTE(SUBSTITUTE(SUBSTITUTE(SUBSTITUTE(SUBSTITUTE(SUBSTITUTE(SUBSTITUTE(LOWER(TRIM(B717)),"á","a"),"é","e"),"í","i"),"ó","o"),"ú","u"),"ü","u"),"ñ","n"),"à","a"),"è","e"),"ì","i"),"ò","o"),"ù","u"),"")</f>
        <v/>
      </c>
      <c r="P717" s="25">
        <f>IF(AND(L717=1,C717&lt;&gt;""),SUBSTITUTE(SUBSTITUTE(SUBSTITUTE(SUBSTITUTE(SUBSTITUTE(SUBSTITUTE(SUBSTITUTE(SUBSTITUTE(SUBSTITUTE(SUBSTITUTE(SUBSTITUTE(SUBSTITUTE(LOWER(TRIM(C717)),"á","a"),"é","e"),"í","i"),"ó","o"),"ú","u"),"ü","u"),"ñ","n"),"à","a"),"è","e"),"ì","i"),"ò","o"),"ù","u"),"")</f>
        <v/>
      </c>
      <c r="Q717" s="25">
        <f>IF(AND(L717=1,E717&lt;&gt;""),SUBSTITUTE(SUBSTITUTE(SUBSTITUTE(SUBSTITUTE(SUBSTITUTE(SUBSTITUTE(SUBSTITUTE(SUBSTITUTE(SUBSTITUTE(SUBSTITUTE(SUBSTITUTE(SUBSTITUTE(LOWER(TRIM(E717)),"á","a"),"é","e"),"í","i"),"ó","o"),"ú","u"),"ü","u"),"ñ","n"),"à","a"),"è","e"),"ì","i"),"ò","o"),"ù","u"),"")</f>
        <v/>
      </c>
      <c r="R717" s="25">
        <f>IF(AND(L717=1,I717&lt;&gt;""),SUBSTITUTE(SUBSTITUTE(SUBSTITUTE(SUBSTITUTE(SUBSTITUTE(SUBSTITUTE(SUBSTITUTE(SUBSTITUTE(SUBSTITUTE(SUBSTITUTE(SUBSTITUTE(SUBSTITUTE(LOWER(TRIM(I717)),"á","a"),"é","e"),"í","i"),"ó","o"),"ú","u"),"ü","u"),"ñ","n"),"à","a"),"è","e"),"ì","i"),"ò","o"),"ù","u"),"")</f>
        <v/>
      </c>
      <c r="S717" s="25">
        <f>IF(R717="","",IF(OR(R717="si",R717="tal vez"),1,0))</f>
        <v/>
      </c>
      <c r="T717" s="25">
        <f>IF(AND(L717=1,D717&lt;&gt;""),IF(IFERROR(COUNTIFS(D$3:D717,"="&amp;SUBSTITUTE(SUBSTITUTE(SUBSTITUTE(D717,"~","~~"),"*","~*"),"?","~?"),L$3:L717,1),0)=1,MAX(T$2:T716)+1,""),"")</f>
        <v/>
      </c>
      <c r="U717" s="25">
        <f>IF(T717="","",COUNTIFS($D$3:$D$1002,"="&amp;SUBSTITUTE(SUBSTITUTE(SUBSTITUTE(D717,"~","~~"),"*","~*"),"?","~?"),$L$3:$L$1002,1)*10000-T717)</f>
        <v/>
      </c>
      <c r="V717" s="25">
        <f>IF(AND(L717=1,J717&lt;&gt;""),IF(IFERROR(COUNTIFS(J$3:J717,"="&amp;SUBSTITUTE(SUBSTITUTE(SUBSTITUTE(J717,"~","~~"),"*","~*"),"?","~?"),L$3:L717,1),0)=1,MAX(V$2:V716)+1,""),"")</f>
        <v/>
      </c>
      <c r="W717" s="25">
        <f>IF(V717="","",COUNTIFS($J$3:$J$1002,"="&amp;SUBSTITUTE(SUBSTITUTE(SUBSTITUTE(J717,"~","~~"),"*","~*"),"?","~?"),$L$3:$L$1002,1)*10000-V717)</f>
        <v/>
      </c>
    </row>
    <row r="718">
      <c r="A718">
        <f>IF(A$2=0,"",IFERROR(TRIM(INDEX('Pegar estudiantes'!$A$1:$BZ$1001,717,A$2)&amp;""),""))</f>
        <v/>
      </c>
      <c r="B718">
        <f>IF(B$2=0,"",IFERROR(TRIM(INDEX('Pegar estudiantes'!$A$1:$BZ$1001,717,B$2)&amp;""),""))</f>
        <v/>
      </c>
      <c r="C718">
        <f>IF(C$2=0,"",IFERROR(TRIM(INDEX('Pegar estudiantes'!$A$1:$BZ$1001,717,C$2)&amp;""),""))</f>
        <v/>
      </c>
      <c r="D718">
        <f>IF(D$2=0,"",IFERROR(TRIM(INDEX('Pegar estudiantes'!$A$1:$BZ$1001,717,D$2)&amp;""),""))</f>
        <v/>
      </c>
      <c r="E718">
        <f>IF(E$2=0,"",IFERROR(TRIM(INDEX('Pegar estudiantes'!$A$1:$BZ$1001,717,E$2)&amp;""),""))</f>
        <v/>
      </c>
      <c r="F718">
        <f>IF(F$2=0,"",IFERROR(TRIM(INDEX('Pegar estudiantes'!$A$1:$BZ$1001,717,F$2)&amp;""),""))</f>
        <v/>
      </c>
      <c r="G718">
        <f>IF(G$2=0,"",IFERROR(TRIM(INDEX('Pegar estudiantes'!$A$1:$BZ$1001,717,G$2)&amp;""),""))</f>
        <v/>
      </c>
      <c r="H718">
        <f>IF(H$2=0,"",IFERROR(TRIM(INDEX('Pegar estudiantes'!$A$1:$BZ$1001,717,H$2)&amp;""),""))</f>
        <v/>
      </c>
      <c r="I718">
        <f>IF(I$2=0,"",IFERROR(TRIM(INDEX('Pegar estudiantes'!$A$1:$BZ$1001,717,I$2)&amp;""),""))</f>
        <v/>
      </c>
      <c r="J718">
        <f>IF(J$2=0,"",IFERROR(TRIM(INDEX('Pegar estudiantes'!$A$1:$BZ$1001,717,J$2)&amp;""),""))</f>
        <v/>
      </c>
      <c r="K718">
        <f>IF(K$2=0,"",IFERROR(TRIM(INDEX('Pegar estudiantes'!$A$1:$BZ$1001,717,K$2)&amp;""),""))</f>
        <v/>
      </c>
      <c r="L718" s="25">
        <f>IF(A718&lt;&gt;"",1,"")</f>
        <v/>
      </c>
      <c r="M718" s="25">
        <f>IF(L718=1,IF(ISNUMBER(FIND("#"&amp;MID(A718,1,1)&amp;"#","#0#1#2#3#4#5#6#7#8#9#")),IF(ISNUMBER(FIND("#"&amp;MID(A718,2,1)&amp;"#","#0#1#2#3#4#5#6#7#8#9#")),IF(AND(VALUE(LEFT(A718,2))&gt;=1,VALUE(LEFT(A718,2))&lt;=5),VALUE(LEFT(A718,2)),""),IF(AND(VALUE(LEFT(A718,1))&gt;=1,VALUE(LEFT(A718,1))&lt;=5),VALUE(LEFT(A718,1)),"")),""),"")</f>
        <v/>
      </c>
      <c r="N718" s="25">
        <f>IF(L718=1,IF(ISNUMBER(FIND("#"&amp;MID(H718,1,1)&amp;"#","#0#1#2#3#4#5#6#7#8#9#")),IF(ISNUMBER(FIND("#"&amp;MID(H718,2,1)&amp;"#","#0#1#2#3#4#5#6#7#8#9#")),IF(AND(VALUE(LEFT(H718,2))&gt;=1,VALUE(LEFT(H718,2))&lt;=5),VALUE(LEFT(H718,2)),""),IF(AND(VALUE(LEFT(H718,1))&gt;=1,VALUE(LEFT(H718,1))&lt;=5),VALUE(LEFT(H718,1)),"")),""),"")</f>
        <v/>
      </c>
      <c r="O718" s="25">
        <f>IF(AND(L718=1,B718&lt;&gt;""),SUBSTITUTE(SUBSTITUTE(SUBSTITUTE(SUBSTITUTE(SUBSTITUTE(SUBSTITUTE(SUBSTITUTE(SUBSTITUTE(SUBSTITUTE(SUBSTITUTE(SUBSTITUTE(SUBSTITUTE(LOWER(TRIM(B718)),"á","a"),"é","e"),"í","i"),"ó","o"),"ú","u"),"ü","u"),"ñ","n"),"à","a"),"è","e"),"ì","i"),"ò","o"),"ù","u"),"")</f>
        <v/>
      </c>
      <c r="P718" s="25">
        <f>IF(AND(L718=1,C718&lt;&gt;""),SUBSTITUTE(SUBSTITUTE(SUBSTITUTE(SUBSTITUTE(SUBSTITUTE(SUBSTITUTE(SUBSTITUTE(SUBSTITUTE(SUBSTITUTE(SUBSTITUTE(SUBSTITUTE(SUBSTITUTE(LOWER(TRIM(C718)),"á","a"),"é","e"),"í","i"),"ó","o"),"ú","u"),"ü","u"),"ñ","n"),"à","a"),"è","e"),"ì","i"),"ò","o"),"ù","u"),"")</f>
        <v/>
      </c>
      <c r="Q718" s="25">
        <f>IF(AND(L718=1,E718&lt;&gt;""),SUBSTITUTE(SUBSTITUTE(SUBSTITUTE(SUBSTITUTE(SUBSTITUTE(SUBSTITUTE(SUBSTITUTE(SUBSTITUTE(SUBSTITUTE(SUBSTITUTE(SUBSTITUTE(SUBSTITUTE(LOWER(TRIM(E718)),"á","a"),"é","e"),"í","i"),"ó","o"),"ú","u"),"ü","u"),"ñ","n"),"à","a"),"è","e"),"ì","i"),"ò","o"),"ù","u"),"")</f>
        <v/>
      </c>
      <c r="R718" s="25">
        <f>IF(AND(L718=1,I718&lt;&gt;""),SUBSTITUTE(SUBSTITUTE(SUBSTITUTE(SUBSTITUTE(SUBSTITUTE(SUBSTITUTE(SUBSTITUTE(SUBSTITUTE(SUBSTITUTE(SUBSTITUTE(SUBSTITUTE(SUBSTITUTE(LOWER(TRIM(I718)),"á","a"),"é","e"),"í","i"),"ó","o"),"ú","u"),"ü","u"),"ñ","n"),"à","a"),"è","e"),"ì","i"),"ò","o"),"ù","u"),"")</f>
        <v/>
      </c>
      <c r="S718" s="25">
        <f>IF(R718="","",IF(OR(R718="si",R718="tal vez"),1,0))</f>
        <v/>
      </c>
      <c r="T718" s="25">
        <f>IF(AND(L718=1,D718&lt;&gt;""),IF(IFERROR(COUNTIFS(D$3:D718,"="&amp;SUBSTITUTE(SUBSTITUTE(SUBSTITUTE(D718,"~","~~"),"*","~*"),"?","~?"),L$3:L718,1),0)=1,MAX(T$2:T717)+1,""),"")</f>
        <v/>
      </c>
      <c r="U718" s="25">
        <f>IF(T718="","",COUNTIFS($D$3:$D$1002,"="&amp;SUBSTITUTE(SUBSTITUTE(SUBSTITUTE(D718,"~","~~"),"*","~*"),"?","~?"),$L$3:$L$1002,1)*10000-T718)</f>
        <v/>
      </c>
      <c r="V718" s="25">
        <f>IF(AND(L718=1,J718&lt;&gt;""),IF(IFERROR(COUNTIFS(J$3:J718,"="&amp;SUBSTITUTE(SUBSTITUTE(SUBSTITUTE(J718,"~","~~"),"*","~*"),"?","~?"),L$3:L718,1),0)=1,MAX(V$2:V717)+1,""),"")</f>
        <v/>
      </c>
      <c r="W718" s="25">
        <f>IF(V718="","",COUNTIFS($J$3:$J$1002,"="&amp;SUBSTITUTE(SUBSTITUTE(SUBSTITUTE(J718,"~","~~"),"*","~*"),"?","~?"),$L$3:$L$1002,1)*10000-V718)</f>
        <v/>
      </c>
    </row>
    <row r="719">
      <c r="A719">
        <f>IF(A$2=0,"",IFERROR(TRIM(INDEX('Pegar estudiantes'!$A$1:$BZ$1001,718,A$2)&amp;""),""))</f>
        <v/>
      </c>
      <c r="B719">
        <f>IF(B$2=0,"",IFERROR(TRIM(INDEX('Pegar estudiantes'!$A$1:$BZ$1001,718,B$2)&amp;""),""))</f>
        <v/>
      </c>
      <c r="C719">
        <f>IF(C$2=0,"",IFERROR(TRIM(INDEX('Pegar estudiantes'!$A$1:$BZ$1001,718,C$2)&amp;""),""))</f>
        <v/>
      </c>
      <c r="D719">
        <f>IF(D$2=0,"",IFERROR(TRIM(INDEX('Pegar estudiantes'!$A$1:$BZ$1001,718,D$2)&amp;""),""))</f>
        <v/>
      </c>
      <c r="E719">
        <f>IF(E$2=0,"",IFERROR(TRIM(INDEX('Pegar estudiantes'!$A$1:$BZ$1001,718,E$2)&amp;""),""))</f>
        <v/>
      </c>
      <c r="F719">
        <f>IF(F$2=0,"",IFERROR(TRIM(INDEX('Pegar estudiantes'!$A$1:$BZ$1001,718,F$2)&amp;""),""))</f>
        <v/>
      </c>
      <c r="G719">
        <f>IF(G$2=0,"",IFERROR(TRIM(INDEX('Pegar estudiantes'!$A$1:$BZ$1001,718,G$2)&amp;""),""))</f>
        <v/>
      </c>
      <c r="H719">
        <f>IF(H$2=0,"",IFERROR(TRIM(INDEX('Pegar estudiantes'!$A$1:$BZ$1001,718,H$2)&amp;""),""))</f>
        <v/>
      </c>
      <c r="I719">
        <f>IF(I$2=0,"",IFERROR(TRIM(INDEX('Pegar estudiantes'!$A$1:$BZ$1001,718,I$2)&amp;""),""))</f>
        <v/>
      </c>
      <c r="J719">
        <f>IF(J$2=0,"",IFERROR(TRIM(INDEX('Pegar estudiantes'!$A$1:$BZ$1001,718,J$2)&amp;""),""))</f>
        <v/>
      </c>
      <c r="K719">
        <f>IF(K$2=0,"",IFERROR(TRIM(INDEX('Pegar estudiantes'!$A$1:$BZ$1001,718,K$2)&amp;""),""))</f>
        <v/>
      </c>
      <c r="L719" s="25">
        <f>IF(A719&lt;&gt;"",1,"")</f>
        <v/>
      </c>
      <c r="M719" s="25">
        <f>IF(L719=1,IF(ISNUMBER(FIND("#"&amp;MID(A719,1,1)&amp;"#","#0#1#2#3#4#5#6#7#8#9#")),IF(ISNUMBER(FIND("#"&amp;MID(A719,2,1)&amp;"#","#0#1#2#3#4#5#6#7#8#9#")),IF(AND(VALUE(LEFT(A719,2))&gt;=1,VALUE(LEFT(A719,2))&lt;=5),VALUE(LEFT(A719,2)),""),IF(AND(VALUE(LEFT(A719,1))&gt;=1,VALUE(LEFT(A719,1))&lt;=5),VALUE(LEFT(A719,1)),"")),""),"")</f>
        <v/>
      </c>
      <c r="N719" s="25">
        <f>IF(L719=1,IF(ISNUMBER(FIND("#"&amp;MID(H719,1,1)&amp;"#","#0#1#2#3#4#5#6#7#8#9#")),IF(ISNUMBER(FIND("#"&amp;MID(H719,2,1)&amp;"#","#0#1#2#3#4#5#6#7#8#9#")),IF(AND(VALUE(LEFT(H719,2))&gt;=1,VALUE(LEFT(H719,2))&lt;=5),VALUE(LEFT(H719,2)),""),IF(AND(VALUE(LEFT(H719,1))&gt;=1,VALUE(LEFT(H719,1))&lt;=5),VALUE(LEFT(H719,1)),"")),""),"")</f>
        <v/>
      </c>
      <c r="O719" s="25">
        <f>IF(AND(L719=1,B719&lt;&gt;""),SUBSTITUTE(SUBSTITUTE(SUBSTITUTE(SUBSTITUTE(SUBSTITUTE(SUBSTITUTE(SUBSTITUTE(SUBSTITUTE(SUBSTITUTE(SUBSTITUTE(SUBSTITUTE(SUBSTITUTE(LOWER(TRIM(B719)),"á","a"),"é","e"),"í","i"),"ó","o"),"ú","u"),"ü","u"),"ñ","n"),"à","a"),"è","e"),"ì","i"),"ò","o"),"ù","u"),"")</f>
        <v/>
      </c>
      <c r="P719" s="25">
        <f>IF(AND(L719=1,C719&lt;&gt;""),SUBSTITUTE(SUBSTITUTE(SUBSTITUTE(SUBSTITUTE(SUBSTITUTE(SUBSTITUTE(SUBSTITUTE(SUBSTITUTE(SUBSTITUTE(SUBSTITUTE(SUBSTITUTE(SUBSTITUTE(LOWER(TRIM(C719)),"á","a"),"é","e"),"í","i"),"ó","o"),"ú","u"),"ü","u"),"ñ","n"),"à","a"),"è","e"),"ì","i"),"ò","o"),"ù","u"),"")</f>
        <v/>
      </c>
      <c r="Q719" s="25">
        <f>IF(AND(L719=1,E719&lt;&gt;""),SUBSTITUTE(SUBSTITUTE(SUBSTITUTE(SUBSTITUTE(SUBSTITUTE(SUBSTITUTE(SUBSTITUTE(SUBSTITUTE(SUBSTITUTE(SUBSTITUTE(SUBSTITUTE(SUBSTITUTE(LOWER(TRIM(E719)),"á","a"),"é","e"),"í","i"),"ó","o"),"ú","u"),"ü","u"),"ñ","n"),"à","a"),"è","e"),"ì","i"),"ò","o"),"ù","u"),"")</f>
        <v/>
      </c>
      <c r="R719" s="25">
        <f>IF(AND(L719=1,I719&lt;&gt;""),SUBSTITUTE(SUBSTITUTE(SUBSTITUTE(SUBSTITUTE(SUBSTITUTE(SUBSTITUTE(SUBSTITUTE(SUBSTITUTE(SUBSTITUTE(SUBSTITUTE(SUBSTITUTE(SUBSTITUTE(LOWER(TRIM(I719)),"á","a"),"é","e"),"í","i"),"ó","o"),"ú","u"),"ü","u"),"ñ","n"),"à","a"),"è","e"),"ì","i"),"ò","o"),"ù","u"),"")</f>
        <v/>
      </c>
      <c r="S719" s="25">
        <f>IF(R719="","",IF(OR(R719="si",R719="tal vez"),1,0))</f>
        <v/>
      </c>
      <c r="T719" s="25">
        <f>IF(AND(L719=1,D719&lt;&gt;""),IF(IFERROR(COUNTIFS(D$3:D719,"="&amp;SUBSTITUTE(SUBSTITUTE(SUBSTITUTE(D719,"~","~~"),"*","~*"),"?","~?"),L$3:L719,1),0)=1,MAX(T$2:T718)+1,""),"")</f>
        <v/>
      </c>
      <c r="U719" s="25">
        <f>IF(T719="","",COUNTIFS($D$3:$D$1002,"="&amp;SUBSTITUTE(SUBSTITUTE(SUBSTITUTE(D719,"~","~~"),"*","~*"),"?","~?"),$L$3:$L$1002,1)*10000-T719)</f>
        <v/>
      </c>
      <c r="V719" s="25">
        <f>IF(AND(L719=1,J719&lt;&gt;""),IF(IFERROR(COUNTIFS(J$3:J719,"="&amp;SUBSTITUTE(SUBSTITUTE(SUBSTITUTE(J719,"~","~~"),"*","~*"),"?","~?"),L$3:L719,1),0)=1,MAX(V$2:V718)+1,""),"")</f>
        <v/>
      </c>
      <c r="W719" s="25">
        <f>IF(V719="","",COUNTIFS($J$3:$J$1002,"="&amp;SUBSTITUTE(SUBSTITUTE(SUBSTITUTE(J719,"~","~~"),"*","~*"),"?","~?"),$L$3:$L$1002,1)*10000-V719)</f>
        <v/>
      </c>
    </row>
    <row r="720">
      <c r="A720">
        <f>IF(A$2=0,"",IFERROR(TRIM(INDEX('Pegar estudiantes'!$A$1:$BZ$1001,719,A$2)&amp;""),""))</f>
        <v/>
      </c>
      <c r="B720">
        <f>IF(B$2=0,"",IFERROR(TRIM(INDEX('Pegar estudiantes'!$A$1:$BZ$1001,719,B$2)&amp;""),""))</f>
        <v/>
      </c>
      <c r="C720">
        <f>IF(C$2=0,"",IFERROR(TRIM(INDEX('Pegar estudiantes'!$A$1:$BZ$1001,719,C$2)&amp;""),""))</f>
        <v/>
      </c>
      <c r="D720">
        <f>IF(D$2=0,"",IFERROR(TRIM(INDEX('Pegar estudiantes'!$A$1:$BZ$1001,719,D$2)&amp;""),""))</f>
        <v/>
      </c>
      <c r="E720">
        <f>IF(E$2=0,"",IFERROR(TRIM(INDEX('Pegar estudiantes'!$A$1:$BZ$1001,719,E$2)&amp;""),""))</f>
        <v/>
      </c>
      <c r="F720">
        <f>IF(F$2=0,"",IFERROR(TRIM(INDEX('Pegar estudiantes'!$A$1:$BZ$1001,719,F$2)&amp;""),""))</f>
        <v/>
      </c>
      <c r="G720">
        <f>IF(G$2=0,"",IFERROR(TRIM(INDEX('Pegar estudiantes'!$A$1:$BZ$1001,719,G$2)&amp;""),""))</f>
        <v/>
      </c>
      <c r="H720">
        <f>IF(H$2=0,"",IFERROR(TRIM(INDEX('Pegar estudiantes'!$A$1:$BZ$1001,719,H$2)&amp;""),""))</f>
        <v/>
      </c>
      <c r="I720">
        <f>IF(I$2=0,"",IFERROR(TRIM(INDEX('Pegar estudiantes'!$A$1:$BZ$1001,719,I$2)&amp;""),""))</f>
        <v/>
      </c>
      <c r="J720">
        <f>IF(J$2=0,"",IFERROR(TRIM(INDEX('Pegar estudiantes'!$A$1:$BZ$1001,719,J$2)&amp;""),""))</f>
        <v/>
      </c>
      <c r="K720">
        <f>IF(K$2=0,"",IFERROR(TRIM(INDEX('Pegar estudiantes'!$A$1:$BZ$1001,719,K$2)&amp;""),""))</f>
        <v/>
      </c>
      <c r="L720" s="25">
        <f>IF(A720&lt;&gt;"",1,"")</f>
        <v/>
      </c>
      <c r="M720" s="25">
        <f>IF(L720=1,IF(ISNUMBER(FIND("#"&amp;MID(A720,1,1)&amp;"#","#0#1#2#3#4#5#6#7#8#9#")),IF(ISNUMBER(FIND("#"&amp;MID(A720,2,1)&amp;"#","#0#1#2#3#4#5#6#7#8#9#")),IF(AND(VALUE(LEFT(A720,2))&gt;=1,VALUE(LEFT(A720,2))&lt;=5),VALUE(LEFT(A720,2)),""),IF(AND(VALUE(LEFT(A720,1))&gt;=1,VALUE(LEFT(A720,1))&lt;=5),VALUE(LEFT(A720,1)),"")),""),"")</f>
        <v/>
      </c>
      <c r="N720" s="25">
        <f>IF(L720=1,IF(ISNUMBER(FIND("#"&amp;MID(H720,1,1)&amp;"#","#0#1#2#3#4#5#6#7#8#9#")),IF(ISNUMBER(FIND("#"&amp;MID(H720,2,1)&amp;"#","#0#1#2#3#4#5#6#7#8#9#")),IF(AND(VALUE(LEFT(H720,2))&gt;=1,VALUE(LEFT(H720,2))&lt;=5),VALUE(LEFT(H720,2)),""),IF(AND(VALUE(LEFT(H720,1))&gt;=1,VALUE(LEFT(H720,1))&lt;=5),VALUE(LEFT(H720,1)),"")),""),"")</f>
        <v/>
      </c>
      <c r="O720" s="25">
        <f>IF(AND(L720=1,B720&lt;&gt;""),SUBSTITUTE(SUBSTITUTE(SUBSTITUTE(SUBSTITUTE(SUBSTITUTE(SUBSTITUTE(SUBSTITUTE(SUBSTITUTE(SUBSTITUTE(SUBSTITUTE(SUBSTITUTE(SUBSTITUTE(LOWER(TRIM(B720)),"á","a"),"é","e"),"í","i"),"ó","o"),"ú","u"),"ü","u"),"ñ","n"),"à","a"),"è","e"),"ì","i"),"ò","o"),"ù","u"),"")</f>
        <v/>
      </c>
      <c r="P720" s="25">
        <f>IF(AND(L720=1,C720&lt;&gt;""),SUBSTITUTE(SUBSTITUTE(SUBSTITUTE(SUBSTITUTE(SUBSTITUTE(SUBSTITUTE(SUBSTITUTE(SUBSTITUTE(SUBSTITUTE(SUBSTITUTE(SUBSTITUTE(SUBSTITUTE(LOWER(TRIM(C720)),"á","a"),"é","e"),"í","i"),"ó","o"),"ú","u"),"ü","u"),"ñ","n"),"à","a"),"è","e"),"ì","i"),"ò","o"),"ù","u"),"")</f>
        <v/>
      </c>
      <c r="Q720" s="25">
        <f>IF(AND(L720=1,E720&lt;&gt;""),SUBSTITUTE(SUBSTITUTE(SUBSTITUTE(SUBSTITUTE(SUBSTITUTE(SUBSTITUTE(SUBSTITUTE(SUBSTITUTE(SUBSTITUTE(SUBSTITUTE(SUBSTITUTE(SUBSTITUTE(LOWER(TRIM(E720)),"á","a"),"é","e"),"í","i"),"ó","o"),"ú","u"),"ü","u"),"ñ","n"),"à","a"),"è","e"),"ì","i"),"ò","o"),"ù","u"),"")</f>
        <v/>
      </c>
      <c r="R720" s="25">
        <f>IF(AND(L720=1,I720&lt;&gt;""),SUBSTITUTE(SUBSTITUTE(SUBSTITUTE(SUBSTITUTE(SUBSTITUTE(SUBSTITUTE(SUBSTITUTE(SUBSTITUTE(SUBSTITUTE(SUBSTITUTE(SUBSTITUTE(SUBSTITUTE(LOWER(TRIM(I720)),"á","a"),"é","e"),"í","i"),"ó","o"),"ú","u"),"ü","u"),"ñ","n"),"à","a"),"è","e"),"ì","i"),"ò","o"),"ù","u"),"")</f>
        <v/>
      </c>
      <c r="S720" s="25">
        <f>IF(R720="","",IF(OR(R720="si",R720="tal vez"),1,0))</f>
        <v/>
      </c>
      <c r="T720" s="25">
        <f>IF(AND(L720=1,D720&lt;&gt;""),IF(IFERROR(COUNTIFS(D$3:D720,"="&amp;SUBSTITUTE(SUBSTITUTE(SUBSTITUTE(D720,"~","~~"),"*","~*"),"?","~?"),L$3:L720,1),0)=1,MAX(T$2:T719)+1,""),"")</f>
        <v/>
      </c>
      <c r="U720" s="25">
        <f>IF(T720="","",COUNTIFS($D$3:$D$1002,"="&amp;SUBSTITUTE(SUBSTITUTE(SUBSTITUTE(D720,"~","~~"),"*","~*"),"?","~?"),$L$3:$L$1002,1)*10000-T720)</f>
        <v/>
      </c>
      <c r="V720" s="25">
        <f>IF(AND(L720=1,J720&lt;&gt;""),IF(IFERROR(COUNTIFS(J$3:J720,"="&amp;SUBSTITUTE(SUBSTITUTE(SUBSTITUTE(J720,"~","~~"),"*","~*"),"?","~?"),L$3:L720,1),0)=1,MAX(V$2:V719)+1,""),"")</f>
        <v/>
      </c>
      <c r="W720" s="25">
        <f>IF(V720="","",COUNTIFS($J$3:$J$1002,"="&amp;SUBSTITUTE(SUBSTITUTE(SUBSTITUTE(J720,"~","~~"),"*","~*"),"?","~?"),$L$3:$L$1002,1)*10000-V720)</f>
        <v/>
      </c>
    </row>
    <row r="721">
      <c r="A721">
        <f>IF(A$2=0,"",IFERROR(TRIM(INDEX('Pegar estudiantes'!$A$1:$BZ$1001,720,A$2)&amp;""),""))</f>
        <v/>
      </c>
      <c r="B721">
        <f>IF(B$2=0,"",IFERROR(TRIM(INDEX('Pegar estudiantes'!$A$1:$BZ$1001,720,B$2)&amp;""),""))</f>
        <v/>
      </c>
      <c r="C721">
        <f>IF(C$2=0,"",IFERROR(TRIM(INDEX('Pegar estudiantes'!$A$1:$BZ$1001,720,C$2)&amp;""),""))</f>
        <v/>
      </c>
      <c r="D721">
        <f>IF(D$2=0,"",IFERROR(TRIM(INDEX('Pegar estudiantes'!$A$1:$BZ$1001,720,D$2)&amp;""),""))</f>
        <v/>
      </c>
      <c r="E721">
        <f>IF(E$2=0,"",IFERROR(TRIM(INDEX('Pegar estudiantes'!$A$1:$BZ$1001,720,E$2)&amp;""),""))</f>
        <v/>
      </c>
      <c r="F721">
        <f>IF(F$2=0,"",IFERROR(TRIM(INDEX('Pegar estudiantes'!$A$1:$BZ$1001,720,F$2)&amp;""),""))</f>
        <v/>
      </c>
      <c r="G721">
        <f>IF(G$2=0,"",IFERROR(TRIM(INDEX('Pegar estudiantes'!$A$1:$BZ$1001,720,G$2)&amp;""),""))</f>
        <v/>
      </c>
      <c r="H721">
        <f>IF(H$2=0,"",IFERROR(TRIM(INDEX('Pegar estudiantes'!$A$1:$BZ$1001,720,H$2)&amp;""),""))</f>
        <v/>
      </c>
      <c r="I721">
        <f>IF(I$2=0,"",IFERROR(TRIM(INDEX('Pegar estudiantes'!$A$1:$BZ$1001,720,I$2)&amp;""),""))</f>
        <v/>
      </c>
      <c r="J721">
        <f>IF(J$2=0,"",IFERROR(TRIM(INDEX('Pegar estudiantes'!$A$1:$BZ$1001,720,J$2)&amp;""),""))</f>
        <v/>
      </c>
      <c r="K721">
        <f>IF(K$2=0,"",IFERROR(TRIM(INDEX('Pegar estudiantes'!$A$1:$BZ$1001,720,K$2)&amp;""),""))</f>
        <v/>
      </c>
      <c r="L721" s="25">
        <f>IF(A721&lt;&gt;"",1,"")</f>
        <v/>
      </c>
      <c r="M721" s="25">
        <f>IF(L721=1,IF(ISNUMBER(FIND("#"&amp;MID(A721,1,1)&amp;"#","#0#1#2#3#4#5#6#7#8#9#")),IF(ISNUMBER(FIND("#"&amp;MID(A721,2,1)&amp;"#","#0#1#2#3#4#5#6#7#8#9#")),IF(AND(VALUE(LEFT(A721,2))&gt;=1,VALUE(LEFT(A721,2))&lt;=5),VALUE(LEFT(A721,2)),""),IF(AND(VALUE(LEFT(A721,1))&gt;=1,VALUE(LEFT(A721,1))&lt;=5),VALUE(LEFT(A721,1)),"")),""),"")</f>
        <v/>
      </c>
      <c r="N721" s="25">
        <f>IF(L721=1,IF(ISNUMBER(FIND("#"&amp;MID(H721,1,1)&amp;"#","#0#1#2#3#4#5#6#7#8#9#")),IF(ISNUMBER(FIND("#"&amp;MID(H721,2,1)&amp;"#","#0#1#2#3#4#5#6#7#8#9#")),IF(AND(VALUE(LEFT(H721,2))&gt;=1,VALUE(LEFT(H721,2))&lt;=5),VALUE(LEFT(H721,2)),""),IF(AND(VALUE(LEFT(H721,1))&gt;=1,VALUE(LEFT(H721,1))&lt;=5),VALUE(LEFT(H721,1)),"")),""),"")</f>
        <v/>
      </c>
      <c r="O721" s="25">
        <f>IF(AND(L721=1,B721&lt;&gt;""),SUBSTITUTE(SUBSTITUTE(SUBSTITUTE(SUBSTITUTE(SUBSTITUTE(SUBSTITUTE(SUBSTITUTE(SUBSTITUTE(SUBSTITUTE(SUBSTITUTE(SUBSTITUTE(SUBSTITUTE(LOWER(TRIM(B721)),"á","a"),"é","e"),"í","i"),"ó","o"),"ú","u"),"ü","u"),"ñ","n"),"à","a"),"è","e"),"ì","i"),"ò","o"),"ù","u"),"")</f>
        <v/>
      </c>
      <c r="P721" s="25">
        <f>IF(AND(L721=1,C721&lt;&gt;""),SUBSTITUTE(SUBSTITUTE(SUBSTITUTE(SUBSTITUTE(SUBSTITUTE(SUBSTITUTE(SUBSTITUTE(SUBSTITUTE(SUBSTITUTE(SUBSTITUTE(SUBSTITUTE(SUBSTITUTE(LOWER(TRIM(C721)),"á","a"),"é","e"),"í","i"),"ó","o"),"ú","u"),"ü","u"),"ñ","n"),"à","a"),"è","e"),"ì","i"),"ò","o"),"ù","u"),"")</f>
        <v/>
      </c>
      <c r="Q721" s="25">
        <f>IF(AND(L721=1,E721&lt;&gt;""),SUBSTITUTE(SUBSTITUTE(SUBSTITUTE(SUBSTITUTE(SUBSTITUTE(SUBSTITUTE(SUBSTITUTE(SUBSTITUTE(SUBSTITUTE(SUBSTITUTE(SUBSTITUTE(SUBSTITUTE(LOWER(TRIM(E721)),"á","a"),"é","e"),"í","i"),"ó","o"),"ú","u"),"ü","u"),"ñ","n"),"à","a"),"è","e"),"ì","i"),"ò","o"),"ù","u"),"")</f>
        <v/>
      </c>
      <c r="R721" s="25">
        <f>IF(AND(L721=1,I721&lt;&gt;""),SUBSTITUTE(SUBSTITUTE(SUBSTITUTE(SUBSTITUTE(SUBSTITUTE(SUBSTITUTE(SUBSTITUTE(SUBSTITUTE(SUBSTITUTE(SUBSTITUTE(SUBSTITUTE(SUBSTITUTE(LOWER(TRIM(I721)),"á","a"),"é","e"),"í","i"),"ó","o"),"ú","u"),"ü","u"),"ñ","n"),"à","a"),"è","e"),"ì","i"),"ò","o"),"ù","u"),"")</f>
        <v/>
      </c>
      <c r="S721" s="25">
        <f>IF(R721="","",IF(OR(R721="si",R721="tal vez"),1,0))</f>
        <v/>
      </c>
      <c r="T721" s="25">
        <f>IF(AND(L721=1,D721&lt;&gt;""),IF(IFERROR(COUNTIFS(D$3:D721,"="&amp;SUBSTITUTE(SUBSTITUTE(SUBSTITUTE(D721,"~","~~"),"*","~*"),"?","~?"),L$3:L721,1),0)=1,MAX(T$2:T720)+1,""),"")</f>
        <v/>
      </c>
      <c r="U721" s="25">
        <f>IF(T721="","",COUNTIFS($D$3:$D$1002,"="&amp;SUBSTITUTE(SUBSTITUTE(SUBSTITUTE(D721,"~","~~"),"*","~*"),"?","~?"),$L$3:$L$1002,1)*10000-T721)</f>
        <v/>
      </c>
      <c r="V721" s="25">
        <f>IF(AND(L721=1,J721&lt;&gt;""),IF(IFERROR(COUNTIFS(J$3:J721,"="&amp;SUBSTITUTE(SUBSTITUTE(SUBSTITUTE(J721,"~","~~"),"*","~*"),"?","~?"),L$3:L721,1),0)=1,MAX(V$2:V720)+1,""),"")</f>
        <v/>
      </c>
      <c r="W721" s="25">
        <f>IF(V721="","",COUNTIFS($J$3:$J$1002,"="&amp;SUBSTITUTE(SUBSTITUTE(SUBSTITUTE(J721,"~","~~"),"*","~*"),"?","~?"),$L$3:$L$1002,1)*10000-V721)</f>
        <v/>
      </c>
    </row>
    <row r="722">
      <c r="A722">
        <f>IF(A$2=0,"",IFERROR(TRIM(INDEX('Pegar estudiantes'!$A$1:$BZ$1001,721,A$2)&amp;""),""))</f>
        <v/>
      </c>
      <c r="B722">
        <f>IF(B$2=0,"",IFERROR(TRIM(INDEX('Pegar estudiantes'!$A$1:$BZ$1001,721,B$2)&amp;""),""))</f>
        <v/>
      </c>
      <c r="C722">
        <f>IF(C$2=0,"",IFERROR(TRIM(INDEX('Pegar estudiantes'!$A$1:$BZ$1001,721,C$2)&amp;""),""))</f>
        <v/>
      </c>
      <c r="D722">
        <f>IF(D$2=0,"",IFERROR(TRIM(INDEX('Pegar estudiantes'!$A$1:$BZ$1001,721,D$2)&amp;""),""))</f>
        <v/>
      </c>
      <c r="E722">
        <f>IF(E$2=0,"",IFERROR(TRIM(INDEX('Pegar estudiantes'!$A$1:$BZ$1001,721,E$2)&amp;""),""))</f>
        <v/>
      </c>
      <c r="F722">
        <f>IF(F$2=0,"",IFERROR(TRIM(INDEX('Pegar estudiantes'!$A$1:$BZ$1001,721,F$2)&amp;""),""))</f>
        <v/>
      </c>
      <c r="G722">
        <f>IF(G$2=0,"",IFERROR(TRIM(INDEX('Pegar estudiantes'!$A$1:$BZ$1001,721,G$2)&amp;""),""))</f>
        <v/>
      </c>
      <c r="H722">
        <f>IF(H$2=0,"",IFERROR(TRIM(INDEX('Pegar estudiantes'!$A$1:$BZ$1001,721,H$2)&amp;""),""))</f>
        <v/>
      </c>
      <c r="I722">
        <f>IF(I$2=0,"",IFERROR(TRIM(INDEX('Pegar estudiantes'!$A$1:$BZ$1001,721,I$2)&amp;""),""))</f>
        <v/>
      </c>
      <c r="J722">
        <f>IF(J$2=0,"",IFERROR(TRIM(INDEX('Pegar estudiantes'!$A$1:$BZ$1001,721,J$2)&amp;""),""))</f>
        <v/>
      </c>
      <c r="K722">
        <f>IF(K$2=0,"",IFERROR(TRIM(INDEX('Pegar estudiantes'!$A$1:$BZ$1001,721,K$2)&amp;""),""))</f>
        <v/>
      </c>
      <c r="L722" s="25">
        <f>IF(A722&lt;&gt;"",1,"")</f>
        <v/>
      </c>
      <c r="M722" s="25">
        <f>IF(L722=1,IF(ISNUMBER(FIND("#"&amp;MID(A722,1,1)&amp;"#","#0#1#2#3#4#5#6#7#8#9#")),IF(ISNUMBER(FIND("#"&amp;MID(A722,2,1)&amp;"#","#0#1#2#3#4#5#6#7#8#9#")),IF(AND(VALUE(LEFT(A722,2))&gt;=1,VALUE(LEFT(A722,2))&lt;=5),VALUE(LEFT(A722,2)),""),IF(AND(VALUE(LEFT(A722,1))&gt;=1,VALUE(LEFT(A722,1))&lt;=5),VALUE(LEFT(A722,1)),"")),""),"")</f>
        <v/>
      </c>
      <c r="N722" s="25">
        <f>IF(L722=1,IF(ISNUMBER(FIND("#"&amp;MID(H722,1,1)&amp;"#","#0#1#2#3#4#5#6#7#8#9#")),IF(ISNUMBER(FIND("#"&amp;MID(H722,2,1)&amp;"#","#0#1#2#3#4#5#6#7#8#9#")),IF(AND(VALUE(LEFT(H722,2))&gt;=1,VALUE(LEFT(H722,2))&lt;=5),VALUE(LEFT(H722,2)),""),IF(AND(VALUE(LEFT(H722,1))&gt;=1,VALUE(LEFT(H722,1))&lt;=5),VALUE(LEFT(H722,1)),"")),""),"")</f>
        <v/>
      </c>
      <c r="O722" s="25">
        <f>IF(AND(L722=1,B722&lt;&gt;""),SUBSTITUTE(SUBSTITUTE(SUBSTITUTE(SUBSTITUTE(SUBSTITUTE(SUBSTITUTE(SUBSTITUTE(SUBSTITUTE(SUBSTITUTE(SUBSTITUTE(SUBSTITUTE(SUBSTITUTE(LOWER(TRIM(B722)),"á","a"),"é","e"),"í","i"),"ó","o"),"ú","u"),"ü","u"),"ñ","n"),"à","a"),"è","e"),"ì","i"),"ò","o"),"ù","u"),"")</f>
        <v/>
      </c>
      <c r="P722" s="25">
        <f>IF(AND(L722=1,C722&lt;&gt;""),SUBSTITUTE(SUBSTITUTE(SUBSTITUTE(SUBSTITUTE(SUBSTITUTE(SUBSTITUTE(SUBSTITUTE(SUBSTITUTE(SUBSTITUTE(SUBSTITUTE(SUBSTITUTE(SUBSTITUTE(LOWER(TRIM(C722)),"á","a"),"é","e"),"í","i"),"ó","o"),"ú","u"),"ü","u"),"ñ","n"),"à","a"),"è","e"),"ì","i"),"ò","o"),"ù","u"),"")</f>
        <v/>
      </c>
      <c r="Q722" s="25">
        <f>IF(AND(L722=1,E722&lt;&gt;""),SUBSTITUTE(SUBSTITUTE(SUBSTITUTE(SUBSTITUTE(SUBSTITUTE(SUBSTITUTE(SUBSTITUTE(SUBSTITUTE(SUBSTITUTE(SUBSTITUTE(SUBSTITUTE(SUBSTITUTE(LOWER(TRIM(E722)),"á","a"),"é","e"),"í","i"),"ó","o"),"ú","u"),"ü","u"),"ñ","n"),"à","a"),"è","e"),"ì","i"),"ò","o"),"ù","u"),"")</f>
        <v/>
      </c>
      <c r="R722" s="25">
        <f>IF(AND(L722=1,I722&lt;&gt;""),SUBSTITUTE(SUBSTITUTE(SUBSTITUTE(SUBSTITUTE(SUBSTITUTE(SUBSTITUTE(SUBSTITUTE(SUBSTITUTE(SUBSTITUTE(SUBSTITUTE(SUBSTITUTE(SUBSTITUTE(LOWER(TRIM(I722)),"á","a"),"é","e"),"í","i"),"ó","o"),"ú","u"),"ü","u"),"ñ","n"),"à","a"),"è","e"),"ì","i"),"ò","o"),"ù","u"),"")</f>
        <v/>
      </c>
      <c r="S722" s="25">
        <f>IF(R722="","",IF(OR(R722="si",R722="tal vez"),1,0))</f>
        <v/>
      </c>
      <c r="T722" s="25">
        <f>IF(AND(L722=1,D722&lt;&gt;""),IF(IFERROR(COUNTIFS(D$3:D722,"="&amp;SUBSTITUTE(SUBSTITUTE(SUBSTITUTE(D722,"~","~~"),"*","~*"),"?","~?"),L$3:L722,1),0)=1,MAX(T$2:T721)+1,""),"")</f>
        <v/>
      </c>
      <c r="U722" s="25">
        <f>IF(T722="","",COUNTIFS($D$3:$D$1002,"="&amp;SUBSTITUTE(SUBSTITUTE(SUBSTITUTE(D722,"~","~~"),"*","~*"),"?","~?"),$L$3:$L$1002,1)*10000-T722)</f>
        <v/>
      </c>
      <c r="V722" s="25">
        <f>IF(AND(L722=1,J722&lt;&gt;""),IF(IFERROR(COUNTIFS(J$3:J722,"="&amp;SUBSTITUTE(SUBSTITUTE(SUBSTITUTE(J722,"~","~~"),"*","~*"),"?","~?"),L$3:L722,1),0)=1,MAX(V$2:V721)+1,""),"")</f>
        <v/>
      </c>
      <c r="W722" s="25">
        <f>IF(V722="","",COUNTIFS($J$3:$J$1002,"="&amp;SUBSTITUTE(SUBSTITUTE(SUBSTITUTE(J722,"~","~~"),"*","~*"),"?","~?"),$L$3:$L$1002,1)*10000-V722)</f>
        <v/>
      </c>
    </row>
    <row r="723">
      <c r="A723">
        <f>IF(A$2=0,"",IFERROR(TRIM(INDEX('Pegar estudiantes'!$A$1:$BZ$1001,722,A$2)&amp;""),""))</f>
        <v/>
      </c>
      <c r="B723">
        <f>IF(B$2=0,"",IFERROR(TRIM(INDEX('Pegar estudiantes'!$A$1:$BZ$1001,722,B$2)&amp;""),""))</f>
        <v/>
      </c>
      <c r="C723">
        <f>IF(C$2=0,"",IFERROR(TRIM(INDEX('Pegar estudiantes'!$A$1:$BZ$1001,722,C$2)&amp;""),""))</f>
        <v/>
      </c>
      <c r="D723">
        <f>IF(D$2=0,"",IFERROR(TRIM(INDEX('Pegar estudiantes'!$A$1:$BZ$1001,722,D$2)&amp;""),""))</f>
        <v/>
      </c>
      <c r="E723">
        <f>IF(E$2=0,"",IFERROR(TRIM(INDEX('Pegar estudiantes'!$A$1:$BZ$1001,722,E$2)&amp;""),""))</f>
        <v/>
      </c>
      <c r="F723">
        <f>IF(F$2=0,"",IFERROR(TRIM(INDEX('Pegar estudiantes'!$A$1:$BZ$1001,722,F$2)&amp;""),""))</f>
        <v/>
      </c>
      <c r="G723">
        <f>IF(G$2=0,"",IFERROR(TRIM(INDEX('Pegar estudiantes'!$A$1:$BZ$1001,722,G$2)&amp;""),""))</f>
        <v/>
      </c>
      <c r="H723">
        <f>IF(H$2=0,"",IFERROR(TRIM(INDEX('Pegar estudiantes'!$A$1:$BZ$1001,722,H$2)&amp;""),""))</f>
        <v/>
      </c>
      <c r="I723">
        <f>IF(I$2=0,"",IFERROR(TRIM(INDEX('Pegar estudiantes'!$A$1:$BZ$1001,722,I$2)&amp;""),""))</f>
        <v/>
      </c>
      <c r="J723">
        <f>IF(J$2=0,"",IFERROR(TRIM(INDEX('Pegar estudiantes'!$A$1:$BZ$1001,722,J$2)&amp;""),""))</f>
        <v/>
      </c>
      <c r="K723">
        <f>IF(K$2=0,"",IFERROR(TRIM(INDEX('Pegar estudiantes'!$A$1:$BZ$1001,722,K$2)&amp;""),""))</f>
        <v/>
      </c>
      <c r="L723" s="25">
        <f>IF(A723&lt;&gt;"",1,"")</f>
        <v/>
      </c>
      <c r="M723" s="25">
        <f>IF(L723=1,IF(ISNUMBER(FIND("#"&amp;MID(A723,1,1)&amp;"#","#0#1#2#3#4#5#6#7#8#9#")),IF(ISNUMBER(FIND("#"&amp;MID(A723,2,1)&amp;"#","#0#1#2#3#4#5#6#7#8#9#")),IF(AND(VALUE(LEFT(A723,2))&gt;=1,VALUE(LEFT(A723,2))&lt;=5),VALUE(LEFT(A723,2)),""),IF(AND(VALUE(LEFT(A723,1))&gt;=1,VALUE(LEFT(A723,1))&lt;=5),VALUE(LEFT(A723,1)),"")),""),"")</f>
        <v/>
      </c>
      <c r="N723" s="25">
        <f>IF(L723=1,IF(ISNUMBER(FIND("#"&amp;MID(H723,1,1)&amp;"#","#0#1#2#3#4#5#6#7#8#9#")),IF(ISNUMBER(FIND("#"&amp;MID(H723,2,1)&amp;"#","#0#1#2#3#4#5#6#7#8#9#")),IF(AND(VALUE(LEFT(H723,2))&gt;=1,VALUE(LEFT(H723,2))&lt;=5),VALUE(LEFT(H723,2)),""),IF(AND(VALUE(LEFT(H723,1))&gt;=1,VALUE(LEFT(H723,1))&lt;=5),VALUE(LEFT(H723,1)),"")),""),"")</f>
        <v/>
      </c>
      <c r="O723" s="25">
        <f>IF(AND(L723=1,B723&lt;&gt;""),SUBSTITUTE(SUBSTITUTE(SUBSTITUTE(SUBSTITUTE(SUBSTITUTE(SUBSTITUTE(SUBSTITUTE(SUBSTITUTE(SUBSTITUTE(SUBSTITUTE(SUBSTITUTE(SUBSTITUTE(LOWER(TRIM(B723)),"á","a"),"é","e"),"í","i"),"ó","o"),"ú","u"),"ü","u"),"ñ","n"),"à","a"),"è","e"),"ì","i"),"ò","o"),"ù","u"),"")</f>
        <v/>
      </c>
      <c r="P723" s="25">
        <f>IF(AND(L723=1,C723&lt;&gt;""),SUBSTITUTE(SUBSTITUTE(SUBSTITUTE(SUBSTITUTE(SUBSTITUTE(SUBSTITUTE(SUBSTITUTE(SUBSTITUTE(SUBSTITUTE(SUBSTITUTE(SUBSTITUTE(SUBSTITUTE(LOWER(TRIM(C723)),"á","a"),"é","e"),"í","i"),"ó","o"),"ú","u"),"ü","u"),"ñ","n"),"à","a"),"è","e"),"ì","i"),"ò","o"),"ù","u"),"")</f>
        <v/>
      </c>
      <c r="Q723" s="25">
        <f>IF(AND(L723=1,E723&lt;&gt;""),SUBSTITUTE(SUBSTITUTE(SUBSTITUTE(SUBSTITUTE(SUBSTITUTE(SUBSTITUTE(SUBSTITUTE(SUBSTITUTE(SUBSTITUTE(SUBSTITUTE(SUBSTITUTE(SUBSTITUTE(LOWER(TRIM(E723)),"á","a"),"é","e"),"í","i"),"ó","o"),"ú","u"),"ü","u"),"ñ","n"),"à","a"),"è","e"),"ì","i"),"ò","o"),"ù","u"),"")</f>
        <v/>
      </c>
      <c r="R723" s="25">
        <f>IF(AND(L723=1,I723&lt;&gt;""),SUBSTITUTE(SUBSTITUTE(SUBSTITUTE(SUBSTITUTE(SUBSTITUTE(SUBSTITUTE(SUBSTITUTE(SUBSTITUTE(SUBSTITUTE(SUBSTITUTE(SUBSTITUTE(SUBSTITUTE(LOWER(TRIM(I723)),"á","a"),"é","e"),"í","i"),"ó","o"),"ú","u"),"ü","u"),"ñ","n"),"à","a"),"è","e"),"ì","i"),"ò","o"),"ù","u"),"")</f>
        <v/>
      </c>
      <c r="S723" s="25">
        <f>IF(R723="","",IF(OR(R723="si",R723="tal vez"),1,0))</f>
        <v/>
      </c>
      <c r="T723" s="25">
        <f>IF(AND(L723=1,D723&lt;&gt;""),IF(IFERROR(COUNTIFS(D$3:D723,"="&amp;SUBSTITUTE(SUBSTITUTE(SUBSTITUTE(D723,"~","~~"),"*","~*"),"?","~?"),L$3:L723,1),0)=1,MAX(T$2:T722)+1,""),"")</f>
        <v/>
      </c>
      <c r="U723" s="25">
        <f>IF(T723="","",COUNTIFS($D$3:$D$1002,"="&amp;SUBSTITUTE(SUBSTITUTE(SUBSTITUTE(D723,"~","~~"),"*","~*"),"?","~?"),$L$3:$L$1002,1)*10000-T723)</f>
        <v/>
      </c>
      <c r="V723" s="25">
        <f>IF(AND(L723=1,J723&lt;&gt;""),IF(IFERROR(COUNTIFS(J$3:J723,"="&amp;SUBSTITUTE(SUBSTITUTE(SUBSTITUTE(J723,"~","~~"),"*","~*"),"?","~?"),L$3:L723,1),0)=1,MAX(V$2:V722)+1,""),"")</f>
        <v/>
      </c>
      <c r="W723" s="25">
        <f>IF(V723="","",COUNTIFS($J$3:$J$1002,"="&amp;SUBSTITUTE(SUBSTITUTE(SUBSTITUTE(J723,"~","~~"),"*","~*"),"?","~?"),$L$3:$L$1002,1)*10000-V723)</f>
        <v/>
      </c>
    </row>
    <row r="724">
      <c r="A724">
        <f>IF(A$2=0,"",IFERROR(TRIM(INDEX('Pegar estudiantes'!$A$1:$BZ$1001,723,A$2)&amp;""),""))</f>
        <v/>
      </c>
      <c r="B724">
        <f>IF(B$2=0,"",IFERROR(TRIM(INDEX('Pegar estudiantes'!$A$1:$BZ$1001,723,B$2)&amp;""),""))</f>
        <v/>
      </c>
      <c r="C724">
        <f>IF(C$2=0,"",IFERROR(TRIM(INDEX('Pegar estudiantes'!$A$1:$BZ$1001,723,C$2)&amp;""),""))</f>
        <v/>
      </c>
      <c r="D724">
        <f>IF(D$2=0,"",IFERROR(TRIM(INDEX('Pegar estudiantes'!$A$1:$BZ$1001,723,D$2)&amp;""),""))</f>
        <v/>
      </c>
      <c r="E724">
        <f>IF(E$2=0,"",IFERROR(TRIM(INDEX('Pegar estudiantes'!$A$1:$BZ$1001,723,E$2)&amp;""),""))</f>
        <v/>
      </c>
      <c r="F724">
        <f>IF(F$2=0,"",IFERROR(TRIM(INDEX('Pegar estudiantes'!$A$1:$BZ$1001,723,F$2)&amp;""),""))</f>
        <v/>
      </c>
      <c r="G724">
        <f>IF(G$2=0,"",IFERROR(TRIM(INDEX('Pegar estudiantes'!$A$1:$BZ$1001,723,G$2)&amp;""),""))</f>
        <v/>
      </c>
      <c r="H724">
        <f>IF(H$2=0,"",IFERROR(TRIM(INDEX('Pegar estudiantes'!$A$1:$BZ$1001,723,H$2)&amp;""),""))</f>
        <v/>
      </c>
      <c r="I724">
        <f>IF(I$2=0,"",IFERROR(TRIM(INDEX('Pegar estudiantes'!$A$1:$BZ$1001,723,I$2)&amp;""),""))</f>
        <v/>
      </c>
      <c r="J724">
        <f>IF(J$2=0,"",IFERROR(TRIM(INDEX('Pegar estudiantes'!$A$1:$BZ$1001,723,J$2)&amp;""),""))</f>
        <v/>
      </c>
      <c r="K724">
        <f>IF(K$2=0,"",IFERROR(TRIM(INDEX('Pegar estudiantes'!$A$1:$BZ$1001,723,K$2)&amp;""),""))</f>
        <v/>
      </c>
      <c r="L724" s="25">
        <f>IF(A724&lt;&gt;"",1,"")</f>
        <v/>
      </c>
      <c r="M724" s="25">
        <f>IF(L724=1,IF(ISNUMBER(FIND("#"&amp;MID(A724,1,1)&amp;"#","#0#1#2#3#4#5#6#7#8#9#")),IF(ISNUMBER(FIND("#"&amp;MID(A724,2,1)&amp;"#","#0#1#2#3#4#5#6#7#8#9#")),IF(AND(VALUE(LEFT(A724,2))&gt;=1,VALUE(LEFT(A724,2))&lt;=5),VALUE(LEFT(A724,2)),""),IF(AND(VALUE(LEFT(A724,1))&gt;=1,VALUE(LEFT(A724,1))&lt;=5),VALUE(LEFT(A724,1)),"")),""),"")</f>
        <v/>
      </c>
      <c r="N724" s="25">
        <f>IF(L724=1,IF(ISNUMBER(FIND("#"&amp;MID(H724,1,1)&amp;"#","#0#1#2#3#4#5#6#7#8#9#")),IF(ISNUMBER(FIND("#"&amp;MID(H724,2,1)&amp;"#","#0#1#2#3#4#5#6#7#8#9#")),IF(AND(VALUE(LEFT(H724,2))&gt;=1,VALUE(LEFT(H724,2))&lt;=5),VALUE(LEFT(H724,2)),""),IF(AND(VALUE(LEFT(H724,1))&gt;=1,VALUE(LEFT(H724,1))&lt;=5),VALUE(LEFT(H724,1)),"")),""),"")</f>
        <v/>
      </c>
      <c r="O724" s="25">
        <f>IF(AND(L724=1,B724&lt;&gt;""),SUBSTITUTE(SUBSTITUTE(SUBSTITUTE(SUBSTITUTE(SUBSTITUTE(SUBSTITUTE(SUBSTITUTE(SUBSTITUTE(SUBSTITUTE(SUBSTITUTE(SUBSTITUTE(SUBSTITUTE(LOWER(TRIM(B724)),"á","a"),"é","e"),"í","i"),"ó","o"),"ú","u"),"ü","u"),"ñ","n"),"à","a"),"è","e"),"ì","i"),"ò","o"),"ù","u"),"")</f>
        <v/>
      </c>
      <c r="P724" s="25">
        <f>IF(AND(L724=1,C724&lt;&gt;""),SUBSTITUTE(SUBSTITUTE(SUBSTITUTE(SUBSTITUTE(SUBSTITUTE(SUBSTITUTE(SUBSTITUTE(SUBSTITUTE(SUBSTITUTE(SUBSTITUTE(SUBSTITUTE(SUBSTITUTE(LOWER(TRIM(C724)),"á","a"),"é","e"),"í","i"),"ó","o"),"ú","u"),"ü","u"),"ñ","n"),"à","a"),"è","e"),"ì","i"),"ò","o"),"ù","u"),"")</f>
        <v/>
      </c>
      <c r="Q724" s="25">
        <f>IF(AND(L724=1,E724&lt;&gt;""),SUBSTITUTE(SUBSTITUTE(SUBSTITUTE(SUBSTITUTE(SUBSTITUTE(SUBSTITUTE(SUBSTITUTE(SUBSTITUTE(SUBSTITUTE(SUBSTITUTE(SUBSTITUTE(SUBSTITUTE(LOWER(TRIM(E724)),"á","a"),"é","e"),"í","i"),"ó","o"),"ú","u"),"ü","u"),"ñ","n"),"à","a"),"è","e"),"ì","i"),"ò","o"),"ù","u"),"")</f>
        <v/>
      </c>
      <c r="R724" s="25">
        <f>IF(AND(L724=1,I724&lt;&gt;""),SUBSTITUTE(SUBSTITUTE(SUBSTITUTE(SUBSTITUTE(SUBSTITUTE(SUBSTITUTE(SUBSTITUTE(SUBSTITUTE(SUBSTITUTE(SUBSTITUTE(SUBSTITUTE(SUBSTITUTE(LOWER(TRIM(I724)),"á","a"),"é","e"),"í","i"),"ó","o"),"ú","u"),"ü","u"),"ñ","n"),"à","a"),"è","e"),"ì","i"),"ò","o"),"ù","u"),"")</f>
        <v/>
      </c>
      <c r="S724" s="25">
        <f>IF(R724="","",IF(OR(R724="si",R724="tal vez"),1,0))</f>
        <v/>
      </c>
      <c r="T724" s="25">
        <f>IF(AND(L724=1,D724&lt;&gt;""),IF(IFERROR(COUNTIFS(D$3:D724,"="&amp;SUBSTITUTE(SUBSTITUTE(SUBSTITUTE(D724,"~","~~"),"*","~*"),"?","~?"),L$3:L724,1),0)=1,MAX(T$2:T723)+1,""),"")</f>
        <v/>
      </c>
      <c r="U724" s="25">
        <f>IF(T724="","",COUNTIFS($D$3:$D$1002,"="&amp;SUBSTITUTE(SUBSTITUTE(SUBSTITUTE(D724,"~","~~"),"*","~*"),"?","~?"),$L$3:$L$1002,1)*10000-T724)</f>
        <v/>
      </c>
      <c r="V724" s="25">
        <f>IF(AND(L724=1,J724&lt;&gt;""),IF(IFERROR(COUNTIFS(J$3:J724,"="&amp;SUBSTITUTE(SUBSTITUTE(SUBSTITUTE(J724,"~","~~"),"*","~*"),"?","~?"),L$3:L724,1),0)=1,MAX(V$2:V723)+1,""),"")</f>
        <v/>
      </c>
      <c r="W724" s="25">
        <f>IF(V724="","",COUNTIFS($J$3:$J$1002,"="&amp;SUBSTITUTE(SUBSTITUTE(SUBSTITUTE(J724,"~","~~"),"*","~*"),"?","~?"),$L$3:$L$1002,1)*10000-V724)</f>
        <v/>
      </c>
    </row>
    <row r="725">
      <c r="A725">
        <f>IF(A$2=0,"",IFERROR(TRIM(INDEX('Pegar estudiantes'!$A$1:$BZ$1001,724,A$2)&amp;""),""))</f>
        <v/>
      </c>
      <c r="B725">
        <f>IF(B$2=0,"",IFERROR(TRIM(INDEX('Pegar estudiantes'!$A$1:$BZ$1001,724,B$2)&amp;""),""))</f>
        <v/>
      </c>
      <c r="C725">
        <f>IF(C$2=0,"",IFERROR(TRIM(INDEX('Pegar estudiantes'!$A$1:$BZ$1001,724,C$2)&amp;""),""))</f>
        <v/>
      </c>
      <c r="D725">
        <f>IF(D$2=0,"",IFERROR(TRIM(INDEX('Pegar estudiantes'!$A$1:$BZ$1001,724,D$2)&amp;""),""))</f>
        <v/>
      </c>
      <c r="E725">
        <f>IF(E$2=0,"",IFERROR(TRIM(INDEX('Pegar estudiantes'!$A$1:$BZ$1001,724,E$2)&amp;""),""))</f>
        <v/>
      </c>
      <c r="F725">
        <f>IF(F$2=0,"",IFERROR(TRIM(INDEX('Pegar estudiantes'!$A$1:$BZ$1001,724,F$2)&amp;""),""))</f>
        <v/>
      </c>
      <c r="G725">
        <f>IF(G$2=0,"",IFERROR(TRIM(INDEX('Pegar estudiantes'!$A$1:$BZ$1001,724,G$2)&amp;""),""))</f>
        <v/>
      </c>
      <c r="H725">
        <f>IF(H$2=0,"",IFERROR(TRIM(INDEX('Pegar estudiantes'!$A$1:$BZ$1001,724,H$2)&amp;""),""))</f>
        <v/>
      </c>
      <c r="I725">
        <f>IF(I$2=0,"",IFERROR(TRIM(INDEX('Pegar estudiantes'!$A$1:$BZ$1001,724,I$2)&amp;""),""))</f>
        <v/>
      </c>
      <c r="J725">
        <f>IF(J$2=0,"",IFERROR(TRIM(INDEX('Pegar estudiantes'!$A$1:$BZ$1001,724,J$2)&amp;""),""))</f>
        <v/>
      </c>
      <c r="K725">
        <f>IF(K$2=0,"",IFERROR(TRIM(INDEX('Pegar estudiantes'!$A$1:$BZ$1001,724,K$2)&amp;""),""))</f>
        <v/>
      </c>
      <c r="L725" s="25">
        <f>IF(A725&lt;&gt;"",1,"")</f>
        <v/>
      </c>
      <c r="M725" s="25">
        <f>IF(L725=1,IF(ISNUMBER(FIND("#"&amp;MID(A725,1,1)&amp;"#","#0#1#2#3#4#5#6#7#8#9#")),IF(ISNUMBER(FIND("#"&amp;MID(A725,2,1)&amp;"#","#0#1#2#3#4#5#6#7#8#9#")),IF(AND(VALUE(LEFT(A725,2))&gt;=1,VALUE(LEFT(A725,2))&lt;=5),VALUE(LEFT(A725,2)),""),IF(AND(VALUE(LEFT(A725,1))&gt;=1,VALUE(LEFT(A725,1))&lt;=5),VALUE(LEFT(A725,1)),"")),""),"")</f>
        <v/>
      </c>
      <c r="N725" s="25">
        <f>IF(L725=1,IF(ISNUMBER(FIND("#"&amp;MID(H725,1,1)&amp;"#","#0#1#2#3#4#5#6#7#8#9#")),IF(ISNUMBER(FIND("#"&amp;MID(H725,2,1)&amp;"#","#0#1#2#3#4#5#6#7#8#9#")),IF(AND(VALUE(LEFT(H725,2))&gt;=1,VALUE(LEFT(H725,2))&lt;=5),VALUE(LEFT(H725,2)),""),IF(AND(VALUE(LEFT(H725,1))&gt;=1,VALUE(LEFT(H725,1))&lt;=5),VALUE(LEFT(H725,1)),"")),""),"")</f>
        <v/>
      </c>
      <c r="O725" s="25">
        <f>IF(AND(L725=1,B725&lt;&gt;""),SUBSTITUTE(SUBSTITUTE(SUBSTITUTE(SUBSTITUTE(SUBSTITUTE(SUBSTITUTE(SUBSTITUTE(SUBSTITUTE(SUBSTITUTE(SUBSTITUTE(SUBSTITUTE(SUBSTITUTE(LOWER(TRIM(B725)),"á","a"),"é","e"),"í","i"),"ó","o"),"ú","u"),"ü","u"),"ñ","n"),"à","a"),"è","e"),"ì","i"),"ò","o"),"ù","u"),"")</f>
        <v/>
      </c>
      <c r="P725" s="25">
        <f>IF(AND(L725=1,C725&lt;&gt;""),SUBSTITUTE(SUBSTITUTE(SUBSTITUTE(SUBSTITUTE(SUBSTITUTE(SUBSTITUTE(SUBSTITUTE(SUBSTITUTE(SUBSTITUTE(SUBSTITUTE(SUBSTITUTE(SUBSTITUTE(LOWER(TRIM(C725)),"á","a"),"é","e"),"í","i"),"ó","o"),"ú","u"),"ü","u"),"ñ","n"),"à","a"),"è","e"),"ì","i"),"ò","o"),"ù","u"),"")</f>
        <v/>
      </c>
      <c r="Q725" s="25">
        <f>IF(AND(L725=1,E725&lt;&gt;""),SUBSTITUTE(SUBSTITUTE(SUBSTITUTE(SUBSTITUTE(SUBSTITUTE(SUBSTITUTE(SUBSTITUTE(SUBSTITUTE(SUBSTITUTE(SUBSTITUTE(SUBSTITUTE(SUBSTITUTE(LOWER(TRIM(E725)),"á","a"),"é","e"),"í","i"),"ó","o"),"ú","u"),"ü","u"),"ñ","n"),"à","a"),"è","e"),"ì","i"),"ò","o"),"ù","u"),"")</f>
        <v/>
      </c>
      <c r="R725" s="25">
        <f>IF(AND(L725=1,I725&lt;&gt;""),SUBSTITUTE(SUBSTITUTE(SUBSTITUTE(SUBSTITUTE(SUBSTITUTE(SUBSTITUTE(SUBSTITUTE(SUBSTITUTE(SUBSTITUTE(SUBSTITUTE(SUBSTITUTE(SUBSTITUTE(LOWER(TRIM(I725)),"á","a"),"é","e"),"í","i"),"ó","o"),"ú","u"),"ü","u"),"ñ","n"),"à","a"),"è","e"),"ì","i"),"ò","o"),"ù","u"),"")</f>
        <v/>
      </c>
      <c r="S725" s="25">
        <f>IF(R725="","",IF(OR(R725="si",R725="tal vez"),1,0))</f>
        <v/>
      </c>
      <c r="T725" s="25">
        <f>IF(AND(L725=1,D725&lt;&gt;""),IF(IFERROR(COUNTIFS(D$3:D725,"="&amp;SUBSTITUTE(SUBSTITUTE(SUBSTITUTE(D725,"~","~~"),"*","~*"),"?","~?"),L$3:L725,1),0)=1,MAX(T$2:T724)+1,""),"")</f>
        <v/>
      </c>
      <c r="U725" s="25">
        <f>IF(T725="","",COUNTIFS($D$3:$D$1002,"="&amp;SUBSTITUTE(SUBSTITUTE(SUBSTITUTE(D725,"~","~~"),"*","~*"),"?","~?"),$L$3:$L$1002,1)*10000-T725)</f>
        <v/>
      </c>
      <c r="V725" s="25">
        <f>IF(AND(L725=1,J725&lt;&gt;""),IF(IFERROR(COUNTIFS(J$3:J725,"="&amp;SUBSTITUTE(SUBSTITUTE(SUBSTITUTE(J725,"~","~~"),"*","~*"),"?","~?"),L$3:L725,1),0)=1,MAX(V$2:V724)+1,""),"")</f>
        <v/>
      </c>
      <c r="W725" s="25">
        <f>IF(V725="","",COUNTIFS($J$3:$J$1002,"="&amp;SUBSTITUTE(SUBSTITUTE(SUBSTITUTE(J725,"~","~~"),"*","~*"),"?","~?"),$L$3:$L$1002,1)*10000-V725)</f>
        <v/>
      </c>
    </row>
    <row r="726">
      <c r="A726">
        <f>IF(A$2=0,"",IFERROR(TRIM(INDEX('Pegar estudiantes'!$A$1:$BZ$1001,725,A$2)&amp;""),""))</f>
        <v/>
      </c>
      <c r="B726">
        <f>IF(B$2=0,"",IFERROR(TRIM(INDEX('Pegar estudiantes'!$A$1:$BZ$1001,725,B$2)&amp;""),""))</f>
        <v/>
      </c>
      <c r="C726">
        <f>IF(C$2=0,"",IFERROR(TRIM(INDEX('Pegar estudiantes'!$A$1:$BZ$1001,725,C$2)&amp;""),""))</f>
        <v/>
      </c>
      <c r="D726">
        <f>IF(D$2=0,"",IFERROR(TRIM(INDEX('Pegar estudiantes'!$A$1:$BZ$1001,725,D$2)&amp;""),""))</f>
        <v/>
      </c>
      <c r="E726">
        <f>IF(E$2=0,"",IFERROR(TRIM(INDEX('Pegar estudiantes'!$A$1:$BZ$1001,725,E$2)&amp;""),""))</f>
        <v/>
      </c>
      <c r="F726">
        <f>IF(F$2=0,"",IFERROR(TRIM(INDEX('Pegar estudiantes'!$A$1:$BZ$1001,725,F$2)&amp;""),""))</f>
        <v/>
      </c>
      <c r="G726">
        <f>IF(G$2=0,"",IFERROR(TRIM(INDEX('Pegar estudiantes'!$A$1:$BZ$1001,725,G$2)&amp;""),""))</f>
        <v/>
      </c>
      <c r="H726">
        <f>IF(H$2=0,"",IFERROR(TRIM(INDEX('Pegar estudiantes'!$A$1:$BZ$1001,725,H$2)&amp;""),""))</f>
        <v/>
      </c>
      <c r="I726">
        <f>IF(I$2=0,"",IFERROR(TRIM(INDEX('Pegar estudiantes'!$A$1:$BZ$1001,725,I$2)&amp;""),""))</f>
        <v/>
      </c>
      <c r="J726">
        <f>IF(J$2=0,"",IFERROR(TRIM(INDEX('Pegar estudiantes'!$A$1:$BZ$1001,725,J$2)&amp;""),""))</f>
        <v/>
      </c>
      <c r="K726">
        <f>IF(K$2=0,"",IFERROR(TRIM(INDEX('Pegar estudiantes'!$A$1:$BZ$1001,725,K$2)&amp;""),""))</f>
        <v/>
      </c>
      <c r="L726" s="25">
        <f>IF(A726&lt;&gt;"",1,"")</f>
        <v/>
      </c>
      <c r="M726" s="25">
        <f>IF(L726=1,IF(ISNUMBER(FIND("#"&amp;MID(A726,1,1)&amp;"#","#0#1#2#3#4#5#6#7#8#9#")),IF(ISNUMBER(FIND("#"&amp;MID(A726,2,1)&amp;"#","#0#1#2#3#4#5#6#7#8#9#")),IF(AND(VALUE(LEFT(A726,2))&gt;=1,VALUE(LEFT(A726,2))&lt;=5),VALUE(LEFT(A726,2)),""),IF(AND(VALUE(LEFT(A726,1))&gt;=1,VALUE(LEFT(A726,1))&lt;=5),VALUE(LEFT(A726,1)),"")),""),"")</f>
        <v/>
      </c>
      <c r="N726" s="25">
        <f>IF(L726=1,IF(ISNUMBER(FIND("#"&amp;MID(H726,1,1)&amp;"#","#0#1#2#3#4#5#6#7#8#9#")),IF(ISNUMBER(FIND("#"&amp;MID(H726,2,1)&amp;"#","#0#1#2#3#4#5#6#7#8#9#")),IF(AND(VALUE(LEFT(H726,2))&gt;=1,VALUE(LEFT(H726,2))&lt;=5),VALUE(LEFT(H726,2)),""),IF(AND(VALUE(LEFT(H726,1))&gt;=1,VALUE(LEFT(H726,1))&lt;=5),VALUE(LEFT(H726,1)),"")),""),"")</f>
        <v/>
      </c>
      <c r="O726" s="25">
        <f>IF(AND(L726=1,B726&lt;&gt;""),SUBSTITUTE(SUBSTITUTE(SUBSTITUTE(SUBSTITUTE(SUBSTITUTE(SUBSTITUTE(SUBSTITUTE(SUBSTITUTE(SUBSTITUTE(SUBSTITUTE(SUBSTITUTE(SUBSTITUTE(LOWER(TRIM(B726)),"á","a"),"é","e"),"í","i"),"ó","o"),"ú","u"),"ü","u"),"ñ","n"),"à","a"),"è","e"),"ì","i"),"ò","o"),"ù","u"),"")</f>
        <v/>
      </c>
      <c r="P726" s="25">
        <f>IF(AND(L726=1,C726&lt;&gt;""),SUBSTITUTE(SUBSTITUTE(SUBSTITUTE(SUBSTITUTE(SUBSTITUTE(SUBSTITUTE(SUBSTITUTE(SUBSTITUTE(SUBSTITUTE(SUBSTITUTE(SUBSTITUTE(SUBSTITUTE(LOWER(TRIM(C726)),"á","a"),"é","e"),"í","i"),"ó","o"),"ú","u"),"ü","u"),"ñ","n"),"à","a"),"è","e"),"ì","i"),"ò","o"),"ù","u"),"")</f>
        <v/>
      </c>
      <c r="Q726" s="25">
        <f>IF(AND(L726=1,E726&lt;&gt;""),SUBSTITUTE(SUBSTITUTE(SUBSTITUTE(SUBSTITUTE(SUBSTITUTE(SUBSTITUTE(SUBSTITUTE(SUBSTITUTE(SUBSTITUTE(SUBSTITUTE(SUBSTITUTE(SUBSTITUTE(LOWER(TRIM(E726)),"á","a"),"é","e"),"í","i"),"ó","o"),"ú","u"),"ü","u"),"ñ","n"),"à","a"),"è","e"),"ì","i"),"ò","o"),"ù","u"),"")</f>
        <v/>
      </c>
      <c r="R726" s="25">
        <f>IF(AND(L726=1,I726&lt;&gt;""),SUBSTITUTE(SUBSTITUTE(SUBSTITUTE(SUBSTITUTE(SUBSTITUTE(SUBSTITUTE(SUBSTITUTE(SUBSTITUTE(SUBSTITUTE(SUBSTITUTE(SUBSTITUTE(SUBSTITUTE(LOWER(TRIM(I726)),"á","a"),"é","e"),"í","i"),"ó","o"),"ú","u"),"ü","u"),"ñ","n"),"à","a"),"è","e"),"ì","i"),"ò","o"),"ù","u"),"")</f>
        <v/>
      </c>
      <c r="S726" s="25">
        <f>IF(R726="","",IF(OR(R726="si",R726="tal vez"),1,0))</f>
        <v/>
      </c>
      <c r="T726" s="25">
        <f>IF(AND(L726=1,D726&lt;&gt;""),IF(IFERROR(COUNTIFS(D$3:D726,"="&amp;SUBSTITUTE(SUBSTITUTE(SUBSTITUTE(D726,"~","~~"),"*","~*"),"?","~?"),L$3:L726,1),0)=1,MAX(T$2:T725)+1,""),"")</f>
        <v/>
      </c>
      <c r="U726" s="25">
        <f>IF(T726="","",COUNTIFS($D$3:$D$1002,"="&amp;SUBSTITUTE(SUBSTITUTE(SUBSTITUTE(D726,"~","~~"),"*","~*"),"?","~?"),$L$3:$L$1002,1)*10000-T726)</f>
        <v/>
      </c>
      <c r="V726" s="25">
        <f>IF(AND(L726=1,J726&lt;&gt;""),IF(IFERROR(COUNTIFS(J$3:J726,"="&amp;SUBSTITUTE(SUBSTITUTE(SUBSTITUTE(J726,"~","~~"),"*","~*"),"?","~?"),L$3:L726,1),0)=1,MAX(V$2:V725)+1,""),"")</f>
        <v/>
      </c>
      <c r="W726" s="25">
        <f>IF(V726="","",COUNTIFS($J$3:$J$1002,"="&amp;SUBSTITUTE(SUBSTITUTE(SUBSTITUTE(J726,"~","~~"),"*","~*"),"?","~?"),$L$3:$L$1002,1)*10000-V726)</f>
        <v/>
      </c>
    </row>
    <row r="727">
      <c r="A727">
        <f>IF(A$2=0,"",IFERROR(TRIM(INDEX('Pegar estudiantes'!$A$1:$BZ$1001,726,A$2)&amp;""),""))</f>
        <v/>
      </c>
      <c r="B727">
        <f>IF(B$2=0,"",IFERROR(TRIM(INDEX('Pegar estudiantes'!$A$1:$BZ$1001,726,B$2)&amp;""),""))</f>
        <v/>
      </c>
      <c r="C727">
        <f>IF(C$2=0,"",IFERROR(TRIM(INDEX('Pegar estudiantes'!$A$1:$BZ$1001,726,C$2)&amp;""),""))</f>
        <v/>
      </c>
      <c r="D727">
        <f>IF(D$2=0,"",IFERROR(TRIM(INDEX('Pegar estudiantes'!$A$1:$BZ$1001,726,D$2)&amp;""),""))</f>
        <v/>
      </c>
      <c r="E727">
        <f>IF(E$2=0,"",IFERROR(TRIM(INDEX('Pegar estudiantes'!$A$1:$BZ$1001,726,E$2)&amp;""),""))</f>
        <v/>
      </c>
      <c r="F727">
        <f>IF(F$2=0,"",IFERROR(TRIM(INDEX('Pegar estudiantes'!$A$1:$BZ$1001,726,F$2)&amp;""),""))</f>
        <v/>
      </c>
      <c r="G727">
        <f>IF(G$2=0,"",IFERROR(TRIM(INDEX('Pegar estudiantes'!$A$1:$BZ$1001,726,G$2)&amp;""),""))</f>
        <v/>
      </c>
      <c r="H727">
        <f>IF(H$2=0,"",IFERROR(TRIM(INDEX('Pegar estudiantes'!$A$1:$BZ$1001,726,H$2)&amp;""),""))</f>
        <v/>
      </c>
      <c r="I727">
        <f>IF(I$2=0,"",IFERROR(TRIM(INDEX('Pegar estudiantes'!$A$1:$BZ$1001,726,I$2)&amp;""),""))</f>
        <v/>
      </c>
      <c r="J727">
        <f>IF(J$2=0,"",IFERROR(TRIM(INDEX('Pegar estudiantes'!$A$1:$BZ$1001,726,J$2)&amp;""),""))</f>
        <v/>
      </c>
      <c r="K727">
        <f>IF(K$2=0,"",IFERROR(TRIM(INDEX('Pegar estudiantes'!$A$1:$BZ$1001,726,K$2)&amp;""),""))</f>
        <v/>
      </c>
      <c r="L727" s="25">
        <f>IF(A727&lt;&gt;"",1,"")</f>
        <v/>
      </c>
      <c r="M727" s="25">
        <f>IF(L727=1,IF(ISNUMBER(FIND("#"&amp;MID(A727,1,1)&amp;"#","#0#1#2#3#4#5#6#7#8#9#")),IF(ISNUMBER(FIND("#"&amp;MID(A727,2,1)&amp;"#","#0#1#2#3#4#5#6#7#8#9#")),IF(AND(VALUE(LEFT(A727,2))&gt;=1,VALUE(LEFT(A727,2))&lt;=5),VALUE(LEFT(A727,2)),""),IF(AND(VALUE(LEFT(A727,1))&gt;=1,VALUE(LEFT(A727,1))&lt;=5),VALUE(LEFT(A727,1)),"")),""),"")</f>
        <v/>
      </c>
      <c r="N727" s="25">
        <f>IF(L727=1,IF(ISNUMBER(FIND("#"&amp;MID(H727,1,1)&amp;"#","#0#1#2#3#4#5#6#7#8#9#")),IF(ISNUMBER(FIND("#"&amp;MID(H727,2,1)&amp;"#","#0#1#2#3#4#5#6#7#8#9#")),IF(AND(VALUE(LEFT(H727,2))&gt;=1,VALUE(LEFT(H727,2))&lt;=5),VALUE(LEFT(H727,2)),""),IF(AND(VALUE(LEFT(H727,1))&gt;=1,VALUE(LEFT(H727,1))&lt;=5),VALUE(LEFT(H727,1)),"")),""),"")</f>
        <v/>
      </c>
      <c r="O727" s="25">
        <f>IF(AND(L727=1,B727&lt;&gt;""),SUBSTITUTE(SUBSTITUTE(SUBSTITUTE(SUBSTITUTE(SUBSTITUTE(SUBSTITUTE(SUBSTITUTE(SUBSTITUTE(SUBSTITUTE(SUBSTITUTE(SUBSTITUTE(SUBSTITUTE(LOWER(TRIM(B727)),"á","a"),"é","e"),"í","i"),"ó","o"),"ú","u"),"ü","u"),"ñ","n"),"à","a"),"è","e"),"ì","i"),"ò","o"),"ù","u"),"")</f>
        <v/>
      </c>
      <c r="P727" s="25">
        <f>IF(AND(L727=1,C727&lt;&gt;""),SUBSTITUTE(SUBSTITUTE(SUBSTITUTE(SUBSTITUTE(SUBSTITUTE(SUBSTITUTE(SUBSTITUTE(SUBSTITUTE(SUBSTITUTE(SUBSTITUTE(SUBSTITUTE(SUBSTITUTE(LOWER(TRIM(C727)),"á","a"),"é","e"),"í","i"),"ó","o"),"ú","u"),"ü","u"),"ñ","n"),"à","a"),"è","e"),"ì","i"),"ò","o"),"ù","u"),"")</f>
        <v/>
      </c>
      <c r="Q727" s="25">
        <f>IF(AND(L727=1,E727&lt;&gt;""),SUBSTITUTE(SUBSTITUTE(SUBSTITUTE(SUBSTITUTE(SUBSTITUTE(SUBSTITUTE(SUBSTITUTE(SUBSTITUTE(SUBSTITUTE(SUBSTITUTE(SUBSTITUTE(SUBSTITUTE(LOWER(TRIM(E727)),"á","a"),"é","e"),"í","i"),"ó","o"),"ú","u"),"ü","u"),"ñ","n"),"à","a"),"è","e"),"ì","i"),"ò","o"),"ù","u"),"")</f>
        <v/>
      </c>
      <c r="R727" s="25">
        <f>IF(AND(L727=1,I727&lt;&gt;""),SUBSTITUTE(SUBSTITUTE(SUBSTITUTE(SUBSTITUTE(SUBSTITUTE(SUBSTITUTE(SUBSTITUTE(SUBSTITUTE(SUBSTITUTE(SUBSTITUTE(SUBSTITUTE(SUBSTITUTE(LOWER(TRIM(I727)),"á","a"),"é","e"),"í","i"),"ó","o"),"ú","u"),"ü","u"),"ñ","n"),"à","a"),"è","e"),"ì","i"),"ò","o"),"ù","u"),"")</f>
        <v/>
      </c>
      <c r="S727" s="25">
        <f>IF(R727="","",IF(OR(R727="si",R727="tal vez"),1,0))</f>
        <v/>
      </c>
      <c r="T727" s="25">
        <f>IF(AND(L727=1,D727&lt;&gt;""),IF(IFERROR(COUNTIFS(D$3:D727,"="&amp;SUBSTITUTE(SUBSTITUTE(SUBSTITUTE(D727,"~","~~"),"*","~*"),"?","~?"),L$3:L727,1),0)=1,MAX(T$2:T726)+1,""),"")</f>
        <v/>
      </c>
      <c r="U727" s="25">
        <f>IF(T727="","",COUNTIFS($D$3:$D$1002,"="&amp;SUBSTITUTE(SUBSTITUTE(SUBSTITUTE(D727,"~","~~"),"*","~*"),"?","~?"),$L$3:$L$1002,1)*10000-T727)</f>
        <v/>
      </c>
      <c r="V727" s="25">
        <f>IF(AND(L727=1,J727&lt;&gt;""),IF(IFERROR(COUNTIFS(J$3:J727,"="&amp;SUBSTITUTE(SUBSTITUTE(SUBSTITUTE(J727,"~","~~"),"*","~*"),"?","~?"),L$3:L727,1),0)=1,MAX(V$2:V726)+1,""),"")</f>
        <v/>
      </c>
      <c r="W727" s="25">
        <f>IF(V727="","",COUNTIFS($J$3:$J$1002,"="&amp;SUBSTITUTE(SUBSTITUTE(SUBSTITUTE(J727,"~","~~"),"*","~*"),"?","~?"),$L$3:$L$1002,1)*10000-V727)</f>
        <v/>
      </c>
    </row>
    <row r="728">
      <c r="A728">
        <f>IF(A$2=0,"",IFERROR(TRIM(INDEX('Pegar estudiantes'!$A$1:$BZ$1001,727,A$2)&amp;""),""))</f>
        <v/>
      </c>
      <c r="B728">
        <f>IF(B$2=0,"",IFERROR(TRIM(INDEX('Pegar estudiantes'!$A$1:$BZ$1001,727,B$2)&amp;""),""))</f>
        <v/>
      </c>
      <c r="C728">
        <f>IF(C$2=0,"",IFERROR(TRIM(INDEX('Pegar estudiantes'!$A$1:$BZ$1001,727,C$2)&amp;""),""))</f>
        <v/>
      </c>
      <c r="D728">
        <f>IF(D$2=0,"",IFERROR(TRIM(INDEX('Pegar estudiantes'!$A$1:$BZ$1001,727,D$2)&amp;""),""))</f>
        <v/>
      </c>
      <c r="E728">
        <f>IF(E$2=0,"",IFERROR(TRIM(INDEX('Pegar estudiantes'!$A$1:$BZ$1001,727,E$2)&amp;""),""))</f>
        <v/>
      </c>
      <c r="F728">
        <f>IF(F$2=0,"",IFERROR(TRIM(INDEX('Pegar estudiantes'!$A$1:$BZ$1001,727,F$2)&amp;""),""))</f>
        <v/>
      </c>
      <c r="G728">
        <f>IF(G$2=0,"",IFERROR(TRIM(INDEX('Pegar estudiantes'!$A$1:$BZ$1001,727,G$2)&amp;""),""))</f>
        <v/>
      </c>
      <c r="H728">
        <f>IF(H$2=0,"",IFERROR(TRIM(INDEX('Pegar estudiantes'!$A$1:$BZ$1001,727,H$2)&amp;""),""))</f>
        <v/>
      </c>
      <c r="I728">
        <f>IF(I$2=0,"",IFERROR(TRIM(INDEX('Pegar estudiantes'!$A$1:$BZ$1001,727,I$2)&amp;""),""))</f>
        <v/>
      </c>
      <c r="J728">
        <f>IF(J$2=0,"",IFERROR(TRIM(INDEX('Pegar estudiantes'!$A$1:$BZ$1001,727,J$2)&amp;""),""))</f>
        <v/>
      </c>
      <c r="K728">
        <f>IF(K$2=0,"",IFERROR(TRIM(INDEX('Pegar estudiantes'!$A$1:$BZ$1001,727,K$2)&amp;""),""))</f>
        <v/>
      </c>
      <c r="L728" s="25">
        <f>IF(A728&lt;&gt;"",1,"")</f>
        <v/>
      </c>
      <c r="M728" s="25">
        <f>IF(L728=1,IF(ISNUMBER(FIND("#"&amp;MID(A728,1,1)&amp;"#","#0#1#2#3#4#5#6#7#8#9#")),IF(ISNUMBER(FIND("#"&amp;MID(A728,2,1)&amp;"#","#0#1#2#3#4#5#6#7#8#9#")),IF(AND(VALUE(LEFT(A728,2))&gt;=1,VALUE(LEFT(A728,2))&lt;=5),VALUE(LEFT(A728,2)),""),IF(AND(VALUE(LEFT(A728,1))&gt;=1,VALUE(LEFT(A728,1))&lt;=5),VALUE(LEFT(A728,1)),"")),""),"")</f>
        <v/>
      </c>
      <c r="N728" s="25">
        <f>IF(L728=1,IF(ISNUMBER(FIND("#"&amp;MID(H728,1,1)&amp;"#","#0#1#2#3#4#5#6#7#8#9#")),IF(ISNUMBER(FIND("#"&amp;MID(H728,2,1)&amp;"#","#0#1#2#3#4#5#6#7#8#9#")),IF(AND(VALUE(LEFT(H728,2))&gt;=1,VALUE(LEFT(H728,2))&lt;=5),VALUE(LEFT(H728,2)),""),IF(AND(VALUE(LEFT(H728,1))&gt;=1,VALUE(LEFT(H728,1))&lt;=5),VALUE(LEFT(H728,1)),"")),""),"")</f>
        <v/>
      </c>
      <c r="O728" s="25">
        <f>IF(AND(L728=1,B728&lt;&gt;""),SUBSTITUTE(SUBSTITUTE(SUBSTITUTE(SUBSTITUTE(SUBSTITUTE(SUBSTITUTE(SUBSTITUTE(SUBSTITUTE(SUBSTITUTE(SUBSTITUTE(SUBSTITUTE(SUBSTITUTE(LOWER(TRIM(B728)),"á","a"),"é","e"),"í","i"),"ó","o"),"ú","u"),"ü","u"),"ñ","n"),"à","a"),"è","e"),"ì","i"),"ò","o"),"ù","u"),"")</f>
        <v/>
      </c>
      <c r="P728" s="25">
        <f>IF(AND(L728=1,C728&lt;&gt;""),SUBSTITUTE(SUBSTITUTE(SUBSTITUTE(SUBSTITUTE(SUBSTITUTE(SUBSTITUTE(SUBSTITUTE(SUBSTITUTE(SUBSTITUTE(SUBSTITUTE(SUBSTITUTE(SUBSTITUTE(LOWER(TRIM(C728)),"á","a"),"é","e"),"í","i"),"ó","o"),"ú","u"),"ü","u"),"ñ","n"),"à","a"),"è","e"),"ì","i"),"ò","o"),"ù","u"),"")</f>
        <v/>
      </c>
      <c r="Q728" s="25">
        <f>IF(AND(L728=1,E728&lt;&gt;""),SUBSTITUTE(SUBSTITUTE(SUBSTITUTE(SUBSTITUTE(SUBSTITUTE(SUBSTITUTE(SUBSTITUTE(SUBSTITUTE(SUBSTITUTE(SUBSTITUTE(SUBSTITUTE(SUBSTITUTE(LOWER(TRIM(E728)),"á","a"),"é","e"),"í","i"),"ó","o"),"ú","u"),"ü","u"),"ñ","n"),"à","a"),"è","e"),"ì","i"),"ò","o"),"ù","u"),"")</f>
        <v/>
      </c>
      <c r="R728" s="25">
        <f>IF(AND(L728=1,I728&lt;&gt;""),SUBSTITUTE(SUBSTITUTE(SUBSTITUTE(SUBSTITUTE(SUBSTITUTE(SUBSTITUTE(SUBSTITUTE(SUBSTITUTE(SUBSTITUTE(SUBSTITUTE(SUBSTITUTE(SUBSTITUTE(LOWER(TRIM(I728)),"á","a"),"é","e"),"í","i"),"ó","o"),"ú","u"),"ü","u"),"ñ","n"),"à","a"),"è","e"),"ì","i"),"ò","o"),"ù","u"),"")</f>
        <v/>
      </c>
      <c r="S728" s="25">
        <f>IF(R728="","",IF(OR(R728="si",R728="tal vez"),1,0))</f>
        <v/>
      </c>
      <c r="T728" s="25">
        <f>IF(AND(L728=1,D728&lt;&gt;""),IF(IFERROR(COUNTIFS(D$3:D728,"="&amp;SUBSTITUTE(SUBSTITUTE(SUBSTITUTE(D728,"~","~~"),"*","~*"),"?","~?"),L$3:L728,1),0)=1,MAX(T$2:T727)+1,""),"")</f>
        <v/>
      </c>
      <c r="U728" s="25">
        <f>IF(T728="","",COUNTIFS($D$3:$D$1002,"="&amp;SUBSTITUTE(SUBSTITUTE(SUBSTITUTE(D728,"~","~~"),"*","~*"),"?","~?"),$L$3:$L$1002,1)*10000-T728)</f>
        <v/>
      </c>
      <c r="V728" s="25">
        <f>IF(AND(L728=1,J728&lt;&gt;""),IF(IFERROR(COUNTIFS(J$3:J728,"="&amp;SUBSTITUTE(SUBSTITUTE(SUBSTITUTE(J728,"~","~~"),"*","~*"),"?","~?"),L$3:L728,1),0)=1,MAX(V$2:V727)+1,""),"")</f>
        <v/>
      </c>
      <c r="W728" s="25">
        <f>IF(V728="","",COUNTIFS($J$3:$J$1002,"="&amp;SUBSTITUTE(SUBSTITUTE(SUBSTITUTE(J728,"~","~~"),"*","~*"),"?","~?"),$L$3:$L$1002,1)*10000-V728)</f>
        <v/>
      </c>
    </row>
    <row r="729">
      <c r="A729">
        <f>IF(A$2=0,"",IFERROR(TRIM(INDEX('Pegar estudiantes'!$A$1:$BZ$1001,728,A$2)&amp;""),""))</f>
        <v/>
      </c>
      <c r="B729">
        <f>IF(B$2=0,"",IFERROR(TRIM(INDEX('Pegar estudiantes'!$A$1:$BZ$1001,728,B$2)&amp;""),""))</f>
        <v/>
      </c>
      <c r="C729">
        <f>IF(C$2=0,"",IFERROR(TRIM(INDEX('Pegar estudiantes'!$A$1:$BZ$1001,728,C$2)&amp;""),""))</f>
        <v/>
      </c>
      <c r="D729">
        <f>IF(D$2=0,"",IFERROR(TRIM(INDEX('Pegar estudiantes'!$A$1:$BZ$1001,728,D$2)&amp;""),""))</f>
        <v/>
      </c>
      <c r="E729">
        <f>IF(E$2=0,"",IFERROR(TRIM(INDEX('Pegar estudiantes'!$A$1:$BZ$1001,728,E$2)&amp;""),""))</f>
        <v/>
      </c>
      <c r="F729">
        <f>IF(F$2=0,"",IFERROR(TRIM(INDEX('Pegar estudiantes'!$A$1:$BZ$1001,728,F$2)&amp;""),""))</f>
        <v/>
      </c>
      <c r="G729">
        <f>IF(G$2=0,"",IFERROR(TRIM(INDEX('Pegar estudiantes'!$A$1:$BZ$1001,728,G$2)&amp;""),""))</f>
        <v/>
      </c>
      <c r="H729">
        <f>IF(H$2=0,"",IFERROR(TRIM(INDEX('Pegar estudiantes'!$A$1:$BZ$1001,728,H$2)&amp;""),""))</f>
        <v/>
      </c>
      <c r="I729">
        <f>IF(I$2=0,"",IFERROR(TRIM(INDEX('Pegar estudiantes'!$A$1:$BZ$1001,728,I$2)&amp;""),""))</f>
        <v/>
      </c>
      <c r="J729">
        <f>IF(J$2=0,"",IFERROR(TRIM(INDEX('Pegar estudiantes'!$A$1:$BZ$1001,728,J$2)&amp;""),""))</f>
        <v/>
      </c>
      <c r="K729">
        <f>IF(K$2=0,"",IFERROR(TRIM(INDEX('Pegar estudiantes'!$A$1:$BZ$1001,728,K$2)&amp;""),""))</f>
        <v/>
      </c>
      <c r="L729" s="25">
        <f>IF(A729&lt;&gt;"",1,"")</f>
        <v/>
      </c>
      <c r="M729" s="25">
        <f>IF(L729=1,IF(ISNUMBER(FIND("#"&amp;MID(A729,1,1)&amp;"#","#0#1#2#3#4#5#6#7#8#9#")),IF(ISNUMBER(FIND("#"&amp;MID(A729,2,1)&amp;"#","#0#1#2#3#4#5#6#7#8#9#")),IF(AND(VALUE(LEFT(A729,2))&gt;=1,VALUE(LEFT(A729,2))&lt;=5),VALUE(LEFT(A729,2)),""),IF(AND(VALUE(LEFT(A729,1))&gt;=1,VALUE(LEFT(A729,1))&lt;=5),VALUE(LEFT(A729,1)),"")),""),"")</f>
        <v/>
      </c>
      <c r="N729" s="25">
        <f>IF(L729=1,IF(ISNUMBER(FIND("#"&amp;MID(H729,1,1)&amp;"#","#0#1#2#3#4#5#6#7#8#9#")),IF(ISNUMBER(FIND("#"&amp;MID(H729,2,1)&amp;"#","#0#1#2#3#4#5#6#7#8#9#")),IF(AND(VALUE(LEFT(H729,2))&gt;=1,VALUE(LEFT(H729,2))&lt;=5),VALUE(LEFT(H729,2)),""),IF(AND(VALUE(LEFT(H729,1))&gt;=1,VALUE(LEFT(H729,1))&lt;=5),VALUE(LEFT(H729,1)),"")),""),"")</f>
        <v/>
      </c>
      <c r="O729" s="25">
        <f>IF(AND(L729=1,B729&lt;&gt;""),SUBSTITUTE(SUBSTITUTE(SUBSTITUTE(SUBSTITUTE(SUBSTITUTE(SUBSTITUTE(SUBSTITUTE(SUBSTITUTE(SUBSTITUTE(SUBSTITUTE(SUBSTITUTE(SUBSTITUTE(LOWER(TRIM(B729)),"á","a"),"é","e"),"í","i"),"ó","o"),"ú","u"),"ü","u"),"ñ","n"),"à","a"),"è","e"),"ì","i"),"ò","o"),"ù","u"),"")</f>
        <v/>
      </c>
      <c r="P729" s="25">
        <f>IF(AND(L729=1,C729&lt;&gt;""),SUBSTITUTE(SUBSTITUTE(SUBSTITUTE(SUBSTITUTE(SUBSTITUTE(SUBSTITUTE(SUBSTITUTE(SUBSTITUTE(SUBSTITUTE(SUBSTITUTE(SUBSTITUTE(SUBSTITUTE(LOWER(TRIM(C729)),"á","a"),"é","e"),"í","i"),"ó","o"),"ú","u"),"ü","u"),"ñ","n"),"à","a"),"è","e"),"ì","i"),"ò","o"),"ù","u"),"")</f>
        <v/>
      </c>
      <c r="Q729" s="25">
        <f>IF(AND(L729=1,E729&lt;&gt;""),SUBSTITUTE(SUBSTITUTE(SUBSTITUTE(SUBSTITUTE(SUBSTITUTE(SUBSTITUTE(SUBSTITUTE(SUBSTITUTE(SUBSTITUTE(SUBSTITUTE(SUBSTITUTE(SUBSTITUTE(LOWER(TRIM(E729)),"á","a"),"é","e"),"í","i"),"ó","o"),"ú","u"),"ü","u"),"ñ","n"),"à","a"),"è","e"),"ì","i"),"ò","o"),"ù","u"),"")</f>
        <v/>
      </c>
      <c r="R729" s="25">
        <f>IF(AND(L729=1,I729&lt;&gt;""),SUBSTITUTE(SUBSTITUTE(SUBSTITUTE(SUBSTITUTE(SUBSTITUTE(SUBSTITUTE(SUBSTITUTE(SUBSTITUTE(SUBSTITUTE(SUBSTITUTE(SUBSTITUTE(SUBSTITUTE(LOWER(TRIM(I729)),"á","a"),"é","e"),"í","i"),"ó","o"),"ú","u"),"ü","u"),"ñ","n"),"à","a"),"è","e"),"ì","i"),"ò","o"),"ù","u"),"")</f>
        <v/>
      </c>
      <c r="S729" s="25">
        <f>IF(R729="","",IF(OR(R729="si",R729="tal vez"),1,0))</f>
        <v/>
      </c>
      <c r="T729" s="25">
        <f>IF(AND(L729=1,D729&lt;&gt;""),IF(IFERROR(COUNTIFS(D$3:D729,"="&amp;SUBSTITUTE(SUBSTITUTE(SUBSTITUTE(D729,"~","~~"),"*","~*"),"?","~?"),L$3:L729,1),0)=1,MAX(T$2:T728)+1,""),"")</f>
        <v/>
      </c>
      <c r="U729" s="25">
        <f>IF(T729="","",COUNTIFS($D$3:$D$1002,"="&amp;SUBSTITUTE(SUBSTITUTE(SUBSTITUTE(D729,"~","~~"),"*","~*"),"?","~?"),$L$3:$L$1002,1)*10000-T729)</f>
        <v/>
      </c>
      <c r="V729" s="25">
        <f>IF(AND(L729=1,J729&lt;&gt;""),IF(IFERROR(COUNTIFS(J$3:J729,"="&amp;SUBSTITUTE(SUBSTITUTE(SUBSTITUTE(J729,"~","~~"),"*","~*"),"?","~?"),L$3:L729,1),0)=1,MAX(V$2:V728)+1,""),"")</f>
        <v/>
      </c>
      <c r="W729" s="25">
        <f>IF(V729="","",COUNTIFS($J$3:$J$1002,"="&amp;SUBSTITUTE(SUBSTITUTE(SUBSTITUTE(J729,"~","~~"),"*","~*"),"?","~?"),$L$3:$L$1002,1)*10000-V729)</f>
        <v/>
      </c>
    </row>
    <row r="730">
      <c r="A730">
        <f>IF(A$2=0,"",IFERROR(TRIM(INDEX('Pegar estudiantes'!$A$1:$BZ$1001,729,A$2)&amp;""),""))</f>
        <v/>
      </c>
      <c r="B730">
        <f>IF(B$2=0,"",IFERROR(TRIM(INDEX('Pegar estudiantes'!$A$1:$BZ$1001,729,B$2)&amp;""),""))</f>
        <v/>
      </c>
      <c r="C730">
        <f>IF(C$2=0,"",IFERROR(TRIM(INDEX('Pegar estudiantes'!$A$1:$BZ$1001,729,C$2)&amp;""),""))</f>
        <v/>
      </c>
      <c r="D730">
        <f>IF(D$2=0,"",IFERROR(TRIM(INDEX('Pegar estudiantes'!$A$1:$BZ$1001,729,D$2)&amp;""),""))</f>
        <v/>
      </c>
      <c r="E730">
        <f>IF(E$2=0,"",IFERROR(TRIM(INDEX('Pegar estudiantes'!$A$1:$BZ$1001,729,E$2)&amp;""),""))</f>
        <v/>
      </c>
      <c r="F730">
        <f>IF(F$2=0,"",IFERROR(TRIM(INDEX('Pegar estudiantes'!$A$1:$BZ$1001,729,F$2)&amp;""),""))</f>
        <v/>
      </c>
      <c r="G730">
        <f>IF(G$2=0,"",IFERROR(TRIM(INDEX('Pegar estudiantes'!$A$1:$BZ$1001,729,G$2)&amp;""),""))</f>
        <v/>
      </c>
      <c r="H730">
        <f>IF(H$2=0,"",IFERROR(TRIM(INDEX('Pegar estudiantes'!$A$1:$BZ$1001,729,H$2)&amp;""),""))</f>
        <v/>
      </c>
      <c r="I730">
        <f>IF(I$2=0,"",IFERROR(TRIM(INDEX('Pegar estudiantes'!$A$1:$BZ$1001,729,I$2)&amp;""),""))</f>
        <v/>
      </c>
      <c r="J730">
        <f>IF(J$2=0,"",IFERROR(TRIM(INDEX('Pegar estudiantes'!$A$1:$BZ$1001,729,J$2)&amp;""),""))</f>
        <v/>
      </c>
      <c r="K730">
        <f>IF(K$2=0,"",IFERROR(TRIM(INDEX('Pegar estudiantes'!$A$1:$BZ$1001,729,K$2)&amp;""),""))</f>
        <v/>
      </c>
      <c r="L730" s="25">
        <f>IF(A730&lt;&gt;"",1,"")</f>
        <v/>
      </c>
      <c r="M730" s="25">
        <f>IF(L730=1,IF(ISNUMBER(FIND("#"&amp;MID(A730,1,1)&amp;"#","#0#1#2#3#4#5#6#7#8#9#")),IF(ISNUMBER(FIND("#"&amp;MID(A730,2,1)&amp;"#","#0#1#2#3#4#5#6#7#8#9#")),IF(AND(VALUE(LEFT(A730,2))&gt;=1,VALUE(LEFT(A730,2))&lt;=5),VALUE(LEFT(A730,2)),""),IF(AND(VALUE(LEFT(A730,1))&gt;=1,VALUE(LEFT(A730,1))&lt;=5),VALUE(LEFT(A730,1)),"")),""),"")</f>
        <v/>
      </c>
      <c r="N730" s="25">
        <f>IF(L730=1,IF(ISNUMBER(FIND("#"&amp;MID(H730,1,1)&amp;"#","#0#1#2#3#4#5#6#7#8#9#")),IF(ISNUMBER(FIND("#"&amp;MID(H730,2,1)&amp;"#","#0#1#2#3#4#5#6#7#8#9#")),IF(AND(VALUE(LEFT(H730,2))&gt;=1,VALUE(LEFT(H730,2))&lt;=5),VALUE(LEFT(H730,2)),""),IF(AND(VALUE(LEFT(H730,1))&gt;=1,VALUE(LEFT(H730,1))&lt;=5),VALUE(LEFT(H730,1)),"")),""),"")</f>
        <v/>
      </c>
      <c r="O730" s="25">
        <f>IF(AND(L730=1,B730&lt;&gt;""),SUBSTITUTE(SUBSTITUTE(SUBSTITUTE(SUBSTITUTE(SUBSTITUTE(SUBSTITUTE(SUBSTITUTE(SUBSTITUTE(SUBSTITUTE(SUBSTITUTE(SUBSTITUTE(SUBSTITUTE(LOWER(TRIM(B730)),"á","a"),"é","e"),"í","i"),"ó","o"),"ú","u"),"ü","u"),"ñ","n"),"à","a"),"è","e"),"ì","i"),"ò","o"),"ù","u"),"")</f>
        <v/>
      </c>
      <c r="P730" s="25">
        <f>IF(AND(L730=1,C730&lt;&gt;""),SUBSTITUTE(SUBSTITUTE(SUBSTITUTE(SUBSTITUTE(SUBSTITUTE(SUBSTITUTE(SUBSTITUTE(SUBSTITUTE(SUBSTITUTE(SUBSTITUTE(SUBSTITUTE(SUBSTITUTE(LOWER(TRIM(C730)),"á","a"),"é","e"),"í","i"),"ó","o"),"ú","u"),"ü","u"),"ñ","n"),"à","a"),"è","e"),"ì","i"),"ò","o"),"ù","u"),"")</f>
        <v/>
      </c>
      <c r="Q730" s="25">
        <f>IF(AND(L730=1,E730&lt;&gt;""),SUBSTITUTE(SUBSTITUTE(SUBSTITUTE(SUBSTITUTE(SUBSTITUTE(SUBSTITUTE(SUBSTITUTE(SUBSTITUTE(SUBSTITUTE(SUBSTITUTE(SUBSTITUTE(SUBSTITUTE(LOWER(TRIM(E730)),"á","a"),"é","e"),"í","i"),"ó","o"),"ú","u"),"ü","u"),"ñ","n"),"à","a"),"è","e"),"ì","i"),"ò","o"),"ù","u"),"")</f>
        <v/>
      </c>
      <c r="R730" s="25">
        <f>IF(AND(L730=1,I730&lt;&gt;""),SUBSTITUTE(SUBSTITUTE(SUBSTITUTE(SUBSTITUTE(SUBSTITUTE(SUBSTITUTE(SUBSTITUTE(SUBSTITUTE(SUBSTITUTE(SUBSTITUTE(SUBSTITUTE(SUBSTITUTE(LOWER(TRIM(I730)),"á","a"),"é","e"),"í","i"),"ó","o"),"ú","u"),"ü","u"),"ñ","n"),"à","a"),"è","e"),"ì","i"),"ò","o"),"ù","u"),"")</f>
        <v/>
      </c>
      <c r="S730" s="25">
        <f>IF(R730="","",IF(OR(R730="si",R730="tal vez"),1,0))</f>
        <v/>
      </c>
      <c r="T730" s="25">
        <f>IF(AND(L730=1,D730&lt;&gt;""),IF(IFERROR(COUNTIFS(D$3:D730,"="&amp;SUBSTITUTE(SUBSTITUTE(SUBSTITUTE(D730,"~","~~"),"*","~*"),"?","~?"),L$3:L730,1),0)=1,MAX(T$2:T729)+1,""),"")</f>
        <v/>
      </c>
      <c r="U730" s="25">
        <f>IF(T730="","",COUNTIFS($D$3:$D$1002,"="&amp;SUBSTITUTE(SUBSTITUTE(SUBSTITUTE(D730,"~","~~"),"*","~*"),"?","~?"),$L$3:$L$1002,1)*10000-T730)</f>
        <v/>
      </c>
      <c r="V730" s="25">
        <f>IF(AND(L730=1,J730&lt;&gt;""),IF(IFERROR(COUNTIFS(J$3:J730,"="&amp;SUBSTITUTE(SUBSTITUTE(SUBSTITUTE(J730,"~","~~"),"*","~*"),"?","~?"),L$3:L730,1),0)=1,MAX(V$2:V729)+1,""),"")</f>
        <v/>
      </c>
      <c r="W730" s="25">
        <f>IF(V730="","",COUNTIFS($J$3:$J$1002,"="&amp;SUBSTITUTE(SUBSTITUTE(SUBSTITUTE(J730,"~","~~"),"*","~*"),"?","~?"),$L$3:$L$1002,1)*10000-V730)</f>
        <v/>
      </c>
    </row>
    <row r="731">
      <c r="A731">
        <f>IF(A$2=0,"",IFERROR(TRIM(INDEX('Pegar estudiantes'!$A$1:$BZ$1001,730,A$2)&amp;""),""))</f>
        <v/>
      </c>
      <c r="B731">
        <f>IF(B$2=0,"",IFERROR(TRIM(INDEX('Pegar estudiantes'!$A$1:$BZ$1001,730,B$2)&amp;""),""))</f>
        <v/>
      </c>
      <c r="C731">
        <f>IF(C$2=0,"",IFERROR(TRIM(INDEX('Pegar estudiantes'!$A$1:$BZ$1001,730,C$2)&amp;""),""))</f>
        <v/>
      </c>
      <c r="D731">
        <f>IF(D$2=0,"",IFERROR(TRIM(INDEX('Pegar estudiantes'!$A$1:$BZ$1001,730,D$2)&amp;""),""))</f>
        <v/>
      </c>
      <c r="E731">
        <f>IF(E$2=0,"",IFERROR(TRIM(INDEX('Pegar estudiantes'!$A$1:$BZ$1001,730,E$2)&amp;""),""))</f>
        <v/>
      </c>
      <c r="F731">
        <f>IF(F$2=0,"",IFERROR(TRIM(INDEX('Pegar estudiantes'!$A$1:$BZ$1001,730,F$2)&amp;""),""))</f>
        <v/>
      </c>
      <c r="G731">
        <f>IF(G$2=0,"",IFERROR(TRIM(INDEX('Pegar estudiantes'!$A$1:$BZ$1001,730,G$2)&amp;""),""))</f>
        <v/>
      </c>
      <c r="H731">
        <f>IF(H$2=0,"",IFERROR(TRIM(INDEX('Pegar estudiantes'!$A$1:$BZ$1001,730,H$2)&amp;""),""))</f>
        <v/>
      </c>
      <c r="I731">
        <f>IF(I$2=0,"",IFERROR(TRIM(INDEX('Pegar estudiantes'!$A$1:$BZ$1001,730,I$2)&amp;""),""))</f>
        <v/>
      </c>
      <c r="J731">
        <f>IF(J$2=0,"",IFERROR(TRIM(INDEX('Pegar estudiantes'!$A$1:$BZ$1001,730,J$2)&amp;""),""))</f>
        <v/>
      </c>
      <c r="K731">
        <f>IF(K$2=0,"",IFERROR(TRIM(INDEX('Pegar estudiantes'!$A$1:$BZ$1001,730,K$2)&amp;""),""))</f>
        <v/>
      </c>
      <c r="L731" s="25">
        <f>IF(A731&lt;&gt;"",1,"")</f>
        <v/>
      </c>
      <c r="M731" s="25">
        <f>IF(L731=1,IF(ISNUMBER(FIND("#"&amp;MID(A731,1,1)&amp;"#","#0#1#2#3#4#5#6#7#8#9#")),IF(ISNUMBER(FIND("#"&amp;MID(A731,2,1)&amp;"#","#0#1#2#3#4#5#6#7#8#9#")),IF(AND(VALUE(LEFT(A731,2))&gt;=1,VALUE(LEFT(A731,2))&lt;=5),VALUE(LEFT(A731,2)),""),IF(AND(VALUE(LEFT(A731,1))&gt;=1,VALUE(LEFT(A731,1))&lt;=5),VALUE(LEFT(A731,1)),"")),""),"")</f>
        <v/>
      </c>
      <c r="N731" s="25">
        <f>IF(L731=1,IF(ISNUMBER(FIND("#"&amp;MID(H731,1,1)&amp;"#","#0#1#2#3#4#5#6#7#8#9#")),IF(ISNUMBER(FIND("#"&amp;MID(H731,2,1)&amp;"#","#0#1#2#3#4#5#6#7#8#9#")),IF(AND(VALUE(LEFT(H731,2))&gt;=1,VALUE(LEFT(H731,2))&lt;=5),VALUE(LEFT(H731,2)),""),IF(AND(VALUE(LEFT(H731,1))&gt;=1,VALUE(LEFT(H731,1))&lt;=5),VALUE(LEFT(H731,1)),"")),""),"")</f>
        <v/>
      </c>
      <c r="O731" s="25">
        <f>IF(AND(L731=1,B731&lt;&gt;""),SUBSTITUTE(SUBSTITUTE(SUBSTITUTE(SUBSTITUTE(SUBSTITUTE(SUBSTITUTE(SUBSTITUTE(SUBSTITUTE(SUBSTITUTE(SUBSTITUTE(SUBSTITUTE(SUBSTITUTE(LOWER(TRIM(B731)),"á","a"),"é","e"),"í","i"),"ó","o"),"ú","u"),"ü","u"),"ñ","n"),"à","a"),"è","e"),"ì","i"),"ò","o"),"ù","u"),"")</f>
        <v/>
      </c>
      <c r="P731" s="25">
        <f>IF(AND(L731=1,C731&lt;&gt;""),SUBSTITUTE(SUBSTITUTE(SUBSTITUTE(SUBSTITUTE(SUBSTITUTE(SUBSTITUTE(SUBSTITUTE(SUBSTITUTE(SUBSTITUTE(SUBSTITUTE(SUBSTITUTE(SUBSTITUTE(LOWER(TRIM(C731)),"á","a"),"é","e"),"í","i"),"ó","o"),"ú","u"),"ü","u"),"ñ","n"),"à","a"),"è","e"),"ì","i"),"ò","o"),"ù","u"),"")</f>
        <v/>
      </c>
      <c r="Q731" s="25">
        <f>IF(AND(L731=1,E731&lt;&gt;""),SUBSTITUTE(SUBSTITUTE(SUBSTITUTE(SUBSTITUTE(SUBSTITUTE(SUBSTITUTE(SUBSTITUTE(SUBSTITUTE(SUBSTITUTE(SUBSTITUTE(SUBSTITUTE(SUBSTITUTE(LOWER(TRIM(E731)),"á","a"),"é","e"),"í","i"),"ó","o"),"ú","u"),"ü","u"),"ñ","n"),"à","a"),"è","e"),"ì","i"),"ò","o"),"ù","u"),"")</f>
        <v/>
      </c>
      <c r="R731" s="25">
        <f>IF(AND(L731=1,I731&lt;&gt;""),SUBSTITUTE(SUBSTITUTE(SUBSTITUTE(SUBSTITUTE(SUBSTITUTE(SUBSTITUTE(SUBSTITUTE(SUBSTITUTE(SUBSTITUTE(SUBSTITUTE(SUBSTITUTE(SUBSTITUTE(LOWER(TRIM(I731)),"á","a"),"é","e"),"í","i"),"ó","o"),"ú","u"),"ü","u"),"ñ","n"),"à","a"),"è","e"),"ì","i"),"ò","o"),"ù","u"),"")</f>
        <v/>
      </c>
      <c r="S731" s="25">
        <f>IF(R731="","",IF(OR(R731="si",R731="tal vez"),1,0))</f>
        <v/>
      </c>
      <c r="T731" s="25">
        <f>IF(AND(L731=1,D731&lt;&gt;""),IF(IFERROR(COUNTIFS(D$3:D731,"="&amp;SUBSTITUTE(SUBSTITUTE(SUBSTITUTE(D731,"~","~~"),"*","~*"),"?","~?"),L$3:L731,1),0)=1,MAX(T$2:T730)+1,""),"")</f>
        <v/>
      </c>
      <c r="U731" s="25">
        <f>IF(T731="","",COUNTIFS($D$3:$D$1002,"="&amp;SUBSTITUTE(SUBSTITUTE(SUBSTITUTE(D731,"~","~~"),"*","~*"),"?","~?"),$L$3:$L$1002,1)*10000-T731)</f>
        <v/>
      </c>
      <c r="V731" s="25">
        <f>IF(AND(L731=1,J731&lt;&gt;""),IF(IFERROR(COUNTIFS(J$3:J731,"="&amp;SUBSTITUTE(SUBSTITUTE(SUBSTITUTE(J731,"~","~~"),"*","~*"),"?","~?"),L$3:L731,1),0)=1,MAX(V$2:V730)+1,""),"")</f>
        <v/>
      </c>
      <c r="W731" s="25">
        <f>IF(V731="","",COUNTIFS($J$3:$J$1002,"="&amp;SUBSTITUTE(SUBSTITUTE(SUBSTITUTE(J731,"~","~~"),"*","~*"),"?","~?"),$L$3:$L$1002,1)*10000-V731)</f>
        <v/>
      </c>
    </row>
    <row r="732">
      <c r="A732">
        <f>IF(A$2=0,"",IFERROR(TRIM(INDEX('Pegar estudiantes'!$A$1:$BZ$1001,731,A$2)&amp;""),""))</f>
        <v/>
      </c>
      <c r="B732">
        <f>IF(B$2=0,"",IFERROR(TRIM(INDEX('Pegar estudiantes'!$A$1:$BZ$1001,731,B$2)&amp;""),""))</f>
        <v/>
      </c>
      <c r="C732">
        <f>IF(C$2=0,"",IFERROR(TRIM(INDEX('Pegar estudiantes'!$A$1:$BZ$1001,731,C$2)&amp;""),""))</f>
        <v/>
      </c>
      <c r="D732">
        <f>IF(D$2=0,"",IFERROR(TRIM(INDEX('Pegar estudiantes'!$A$1:$BZ$1001,731,D$2)&amp;""),""))</f>
        <v/>
      </c>
      <c r="E732">
        <f>IF(E$2=0,"",IFERROR(TRIM(INDEX('Pegar estudiantes'!$A$1:$BZ$1001,731,E$2)&amp;""),""))</f>
        <v/>
      </c>
      <c r="F732">
        <f>IF(F$2=0,"",IFERROR(TRIM(INDEX('Pegar estudiantes'!$A$1:$BZ$1001,731,F$2)&amp;""),""))</f>
        <v/>
      </c>
      <c r="G732">
        <f>IF(G$2=0,"",IFERROR(TRIM(INDEX('Pegar estudiantes'!$A$1:$BZ$1001,731,G$2)&amp;""),""))</f>
        <v/>
      </c>
      <c r="H732">
        <f>IF(H$2=0,"",IFERROR(TRIM(INDEX('Pegar estudiantes'!$A$1:$BZ$1001,731,H$2)&amp;""),""))</f>
        <v/>
      </c>
      <c r="I732">
        <f>IF(I$2=0,"",IFERROR(TRIM(INDEX('Pegar estudiantes'!$A$1:$BZ$1001,731,I$2)&amp;""),""))</f>
        <v/>
      </c>
      <c r="J732">
        <f>IF(J$2=0,"",IFERROR(TRIM(INDEX('Pegar estudiantes'!$A$1:$BZ$1001,731,J$2)&amp;""),""))</f>
        <v/>
      </c>
      <c r="K732">
        <f>IF(K$2=0,"",IFERROR(TRIM(INDEX('Pegar estudiantes'!$A$1:$BZ$1001,731,K$2)&amp;""),""))</f>
        <v/>
      </c>
      <c r="L732" s="25">
        <f>IF(A732&lt;&gt;"",1,"")</f>
        <v/>
      </c>
      <c r="M732" s="25">
        <f>IF(L732=1,IF(ISNUMBER(FIND("#"&amp;MID(A732,1,1)&amp;"#","#0#1#2#3#4#5#6#7#8#9#")),IF(ISNUMBER(FIND("#"&amp;MID(A732,2,1)&amp;"#","#0#1#2#3#4#5#6#7#8#9#")),IF(AND(VALUE(LEFT(A732,2))&gt;=1,VALUE(LEFT(A732,2))&lt;=5),VALUE(LEFT(A732,2)),""),IF(AND(VALUE(LEFT(A732,1))&gt;=1,VALUE(LEFT(A732,1))&lt;=5),VALUE(LEFT(A732,1)),"")),""),"")</f>
        <v/>
      </c>
      <c r="N732" s="25">
        <f>IF(L732=1,IF(ISNUMBER(FIND("#"&amp;MID(H732,1,1)&amp;"#","#0#1#2#3#4#5#6#7#8#9#")),IF(ISNUMBER(FIND("#"&amp;MID(H732,2,1)&amp;"#","#0#1#2#3#4#5#6#7#8#9#")),IF(AND(VALUE(LEFT(H732,2))&gt;=1,VALUE(LEFT(H732,2))&lt;=5),VALUE(LEFT(H732,2)),""),IF(AND(VALUE(LEFT(H732,1))&gt;=1,VALUE(LEFT(H732,1))&lt;=5),VALUE(LEFT(H732,1)),"")),""),"")</f>
        <v/>
      </c>
      <c r="O732" s="25">
        <f>IF(AND(L732=1,B732&lt;&gt;""),SUBSTITUTE(SUBSTITUTE(SUBSTITUTE(SUBSTITUTE(SUBSTITUTE(SUBSTITUTE(SUBSTITUTE(SUBSTITUTE(SUBSTITUTE(SUBSTITUTE(SUBSTITUTE(SUBSTITUTE(LOWER(TRIM(B732)),"á","a"),"é","e"),"í","i"),"ó","o"),"ú","u"),"ü","u"),"ñ","n"),"à","a"),"è","e"),"ì","i"),"ò","o"),"ù","u"),"")</f>
        <v/>
      </c>
      <c r="P732" s="25">
        <f>IF(AND(L732=1,C732&lt;&gt;""),SUBSTITUTE(SUBSTITUTE(SUBSTITUTE(SUBSTITUTE(SUBSTITUTE(SUBSTITUTE(SUBSTITUTE(SUBSTITUTE(SUBSTITUTE(SUBSTITUTE(SUBSTITUTE(SUBSTITUTE(LOWER(TRIM(C732)),"á","a"),"é","e"),"í","i"),"ó","o"),"ú","u"),"ü","u"),"ñ","n"),"à","a"),"è","e"),"ì","i"),"ò","o"),"ù","u"),"")</f>
        <v/>
      </c>
      <c r="Q732" s="25">
        <f>IF(AND(L732=1,E732&lt;&gt;""),SUBSTITUTE(SUBSTITUTE(SUBSTITUTE(SUBSTITUTE(SUBSTITUTE(SUBSTITUTE(SUBSTITUTE(SUBSTITUTE(SUBSTITUTE(SUBSTITUTE(SUBSTITUTE(SUBSTITUTE(LOWER(TRIM(E732)),"á","a"),"é","e"),"í","i"),"ó","o"),"ú","u"),"ü","u"),"ñ","n"),"à","a"),"è","e"),"ì","i"),"ò","o"),"ù","u"),"")</f>
        <v/>
      </c>
      <c r="R732" s="25">
        <f>IF(AND(L732=1,I732&lt;&gt;""),SUBSTITUTE(SUBSTITUTE(SUBSTITUTE(SUBSTITUTE(SUBSTITUTE(SUBSTITUTE(SUBSTITUTE(SUBSTITUTE(SUBSTITUTE(SUBSTITUTE(SUBSTITUTE(SUBSTITUTE(LOWER(TRIM(I732)),"á","a"),"é","e"),"í","i"),"ó","o"),"ú","u"),"ü","u"),"ñ","n"),"à","a"),"è","e"),"ì","i"),"ò","o"),"ù","u"),"")</f>
        <v/>
      </c>
      <c r="S732" s="25">
        <f>IF(R732="","",IF(OR(R732="si",R732="tal vez"),1,0))</f>
        <v/>
      </c>
      <c r="T732" s="25">
        <f>IF(AND(L732=1,D732&lt;&gt;""),IF(IFERROR(COUNTIFS(D$3:D732,"="&amp;SUBSTITUTE(SUBSTITUTE(SUBSTITUTE(D732,"~","~~"),"*","~*"),"?","~?"),L$3:L732,1),0)=1,MAX(T$2:T731)+1,""),"")</f>
        <v/>
      </c>
      <c r="U732" s="25">
        <f>IF(T732="","",COUNTIFS($D$3:$D$1002,"="&amp;SUBSTITUTE(SUBSTITUTE(SUBSTITUTE(D732,"~","~~"),"*","~*"),"?","~?"),$L$3:$L$1002,1)*10000-T732)</f>
        <v/>
      </c>
      <c r="V732" s="25">
        <f>IF(AND(L732=1,J732&lt;&gt;""),IF(IFERROR(COUNTIFS(J$3:J732,"="&amp;SUBSTITUTE(SUBSTITUTE(SUBSTITUTE(J732,"~","~~"),"*","~*"),"?","~?"),L$3:L732,1),0)=1,MAX(V$2:V731)+1,""),"")</f>
        <v/>
      </c>
      <c r="W732" s="25">
        <f>IF(V732="","",COUNTIFS($J$3:$J$1002,"="&amp;SUBSTITUTE(SUBSTITUTE(SUBSTITUTE(J732,"~","~~"),"*","~*"),"?","~?"),$L$3:$L$1002,1)*10000-V732)</f>
        <v/>
      </c>
    </row>
    <row r="733">
      <c r="A733">
        <f>IF(A$2=0,"",IFERROR(TRIM(INDEX('Pegar estudiantes'!$A$1:$BZ$1001,732,A$2)&amp;""),""))</f>
        <v/>
      </c>
      <c r="B733">
        <f>IF(B$2=0,"",IFERROR(TRIM(INDEX('Pegar estudiantes'!$A$1:$BZ$1001,732,B$2)&amp;""),""))</f>
        <v/>
      </c>
      <c r="C733">
        <f>IF(C$2=0,"",IFERROR(TRIM(INDEX('Pegar estudiantes'!$A$1:$BZ$1001,732,C$2)&amp;""),""))</f>
        <v/>
      </c>
      <c r="D733">
        <f>IF(D$2=0,"",IFERROR(TRIM(INDEX('Pegar estudiantes'!$A$1:$BZ$1001,732,D$2)&amp;""),""))</f>
        <v/>
      </c>
      <c r="E733">
        <f>IF(E$2=0,"",IFERROR(TRIM(INDEX('Pegar estudiantes'!$A$1:$BZ$1001,732,E$2)&amp;""),""))</f>
        <v/>
      </c>
      <c r="F733">
        <f>IF(F$2=0,"",IFERROR(TRIM(INDEX('Pegar estudiantes'!$A$1:$BZ$1001,732,F$2)&amp;""),""))</f>
        <v/>
      </c>
      <c r="G733">
        <f>IF(G$2=0,"",IFERROR(TRIM(INDEX('Pegar estudiantes'!$A$1:$BZ$1001,732,G$2)&amp;""),""))</f>
        <v/>
      </c>
      <c r="H733">
        <f>IF(H$2=0,"",IFERROR(TRIM(INDEX('Pegar estudiantes'!$A$1:$BZ$1001,732,H$2)&amp;""),""))</f>
        <v/>
      </c>
      <c r="I733">
        <f>IF(I$2=0,"",IFERROR(TRIM(INDEX('Pegar estudiantes'!$A$1:$BZ$1001,732,I$2)&amp;""),""))</f>
        <v/>
      </c>
      <c r="J733">
        <f>IF(J$2=0,"",IFERROR(TRIM(INDEX('Pegar estudiantes'!$A$1:$BZ$1001,732,J$2)&amp;""),""))</f>
        <v/>
      </c>
      <c r="K733">
        <f>IF(K$2=0,"",IFERROR(TRIM(INDEX('Pegar estudiantes'!$A$1:$BZ$1001,732,K$2)&amp;""),""))</f>
        <v/>
      </c>
      <c r="L733" s="25">
        <f>IF(A733&lt;&gt;"",1,"")</f>
        <v/>
      </c>
      <c r="M733" s="25">
        <f>IF(L733=1,IF(ISNUMBER(FIND("#"&amp;MID(A733,1,1)&amp;"#","#0#1#2#3#4#5#6#7#8#9#")),IF(ISNUMBER(FIND("#"&amp;MID(A733,2,1)&amp;"#","#0#1#2#3#4#5#6#7#8#9#")),IF(AND(VALUE(LEFT(A733,2))&gt;=1,VALUE(LEFT(A733,2))&lt;=5),VALUE(LEFT(A733,2)),""),IF(AND(VALUE(LEFT(A733,1))&gt;=1,VALUE(LEFT(A733,1))&lt;=5),VALUE(LEFT(A733,1)),"")),""),"")</f>
        <v/>
      </c>
      <c r="N733" s="25">
        <f>IF(L733=1,IF(ISNUMBER(FIND("#"&amp;MID(H733,1,1)&amp;"#","#0#1#2#3#4#5#6#7#8#9#")),IF(ISNUMBER(FIND("#"&amp;MID(H733,2,1)&amp;"#","#0#1#2#3#4#5#6#7#8#9#")),IF(AND(VALUE(LEFT(H733,2))&gt;=1,VALUE(LEFT(H733,2))&lt;=5),VALUE(LEFT(H733,2)),""),IF(AND(VALUE(LEFT(H733,1))&gt;=1,VALUE(LEFT(H733,1))&lt;=5),VALUE(LEFT(H733,1)),"")),""),"")</f>
        <v/>
      </c>
      <c r="O733" s="25">
        <f>IF(AND(L733=1,B733&lt;&gt;""),SUBSTITUTE(SUBSTITUTE(SUBSTITUTE(SUBSTITUTE(SUBSTITUTE(SUBSTITUTE(SUBSTITUTE(SUBSTITUTE(SUBSTITUTE(SUBSTITUTE(SUBSTITUTE(SUBSTITUTE(LOWER(TRIM(B733)),"á","a"),"é","e"),"í","i"),"ó","o"),"ú","u"),"ü","u"),"ñ","n"),"à","a"),"è","e"),"ì","i"),"ò","o"),"ù","u"),"")</f>
        <v/>
      </c>
      <c r="P733" s="25">
        <f>IF(AND(L733=1,C733&lt;&gt;""),SUBSTITUTE(SUBSTITUTE(SUBSTITUTE(SUBSTITUTE(SUBSTITUTE(SUBSTITUTE(SUBSTITUTE(SUBSTITUTE(SUBSTITUTE(SUBSTITUTE(SUBSTITUTE(SUBSTITUTE(LOWER(TRIM(C733)),"á","a"),"é","e"),"í","i"),"ó","o"),"ú","u"),"ü","u"),"ñ","n"),"à","a"),"è","e"),"ì","i"),"ò","o"),"ù","u"),"")</f>
        <v/>
      </c>
      <c r="Q733" s="25">
        <f>IF(AND(L733=1,E733&lt;&gt;""),SUBSTITUTE(SUBSTITUTE(SUBSTITUTE(SUBSTITUTE(SUBSTITUTE(SUBSTITUTE(SUBSTITUTE(SUBSTITUTE(SUBSTITUTE(SUBSTITUTE(SUBSTITUTE(SUBSTITUTE(LOWER(TRIM(E733)),"á","a"),"é","e"),"í","i"),"ó","o"),"ú","u"),"ü","u"),"ñ","n"),"à","a"),"è","e"),"ì","i"),"ò","o"),"ù","u"),"")</f>
        <v/>
      </c>
      <c r="R733" s="25">
        <f>IF(AND(L733=1,I733&lt;&gt;""),SUBSTITUTE(SUBSTITUTE(SUBSTITUTE(SUBSTITUTE(SUBSTITUTE(SUBSTITUTE(SUBSTITUTE(SUBSTITUTE(SUBSTITUTE(SUBSTITUTE(SUBSTITUTE(SUBSTITUTE(LOWER(TRIM(I733)),"á","a"),"é","e"),"í","i"),"ó","o"),"ú","u"),"ü","u"),"ñ","n"),"à","a"),"è","e"),"ì","i"),"ò","o"),"ù","u"),"")</f>
        <v/>
      </c>
      <c r="S733" s="25">
        <f>IF(R733="","",IF(OR(R733="si",R733="tal vez"),1,0))</f>
        <v/>
      </c>
      <c r="T733" s="25">
        <f>IF(AND(L733=1,D733&lt;&gt;""),IF(IFERROR(COUNTIFS(D$3:D733,"="&amp;SUBSTITUTE(SUBSTITUTE(SUBSTITUTE(D733,"~","~~"),"*","~*"),"?","~?"),L$3:L733,1),0)=1,MAX(T$2:T732)+1,""),"")</f>
        <v/>
      </c>
      <c r="U733" s="25">
        <f>IF(T733="","",COUNTIFS($D$3:$D$1002,"="&amp;SUBSTITUTE(SUBSTITUTE(SUBSTITUTE(D733,"~","~~"),"*","~*"),"?","~?"),$L$3:$L$1002,1)*10000-T733)</f>
        <v/>
      </c>
      <c r="V733" s="25">
        <f>IF(AND(L733=1,J733&lt;&gt;""),IF(IFERROR(COUNTIFS(J$3:J733,"="&amp;SUBSTITUTE(SUBSTITUTE(SUBSTITUTE(J733,"~","~~"),"*","~*"),"?","~?"),L$3:L733,1),0)=1,MAX(V$2:V732)+1,""),"")</f>
        <v/>
      </c>
      <c r="W733" s="25">
        <f>IF(V733="","",COUNTIFS($J$3:$J$1002,"="&amp;SUBSTITUTE(SUBSTITUTE(SUBSTITUTE(J733,"~","~~"),"*","~*"),"?","~?"),$L$3:$L$1002,1)*10000-V733)</f>
        <v/>
      </c>
    </row>
    <row r="734">
      <c r="A734">
        <f>IF(A$2=0,"",IFERROR(TRIM(INDEX('Pegar estudiantes'!$A$1:$BZ$1001,733,A$2)&amp;""),""))</f>
        <v/>
      </c>
      <c r="B734">
        <f>IF(B$2=0,"",IFERROR(TRIM(INDEX('Pegar estudiantes'!$A$1:$BZ$1001,733,B$2)&amp;""),""))</f>
        <v/>
      </c>
      <c r="C734">
        <f>IF(C$2=0,"",IFERROR(TRIM(INDEX('Pegar estudiantes'!$A$1:$BZ$1001,733,C$2)&amp;""),""))</f>
        <v/>
      </c>
      <c r="D734">
        <f>IF(D$2=0,"",IFERROR(TRIM(INDEX('Pegar estudiantes'!$A$1:$BZ$1001,733,D$2)&amp;""),""))</f>
        <v/>
      </c>
      <c r="E734">
        <f>IF(E$2=0,"",IFERROR(TRIM(INDEX('Pegar estudiantes'!$A$1:$BZ$1001,733,E$2)&amp;""),""))</f>
        <v/>
      </c>
      <c r="F734">
        <f>IF(F$2=0,"",IFERROR(TRIM(INDEX('Pegar estudiantes'!$A$1:$BZ$1001,733,F$2)&amp;""),""))</f>
        <v/>
      </c>
      <c r="G734">
        <f>IF(G$2=0,"",IFERROR(TRIM(INDEX('Pegar estudiantes'!$A$1:$BZ$1001,733,G$2)&amp;""),""))</f>
        <v/>
      </c>
      <c r="H734">
        <f>IF(H$2=0,"",IFERROR(TRIM(INDEX('Pegar estudiantes'!$A$1:$BZ$1001,733,H$2)&amp;""),""))</f>
        <v/>
      </c>
      <c r="I734">
        <f>IF(I$2=0,"",IFERROR(TRIM(INDEX('Pegar estudiantes'!$A$1:$BZ$1001,733,I$2)&amp;""),""))</f>
        <v/>
      </c>
      <c r="J734">
        <f>IF(J$2=0,"",IFERROR(TRIM(INDEX('Pegar estudiantes'!$A$1:$BZ$1001,733,J$2)&amp;""),""))</f>
        <v/>
      </c>
      <c r="K734">
        <f>IF(K$2=0,"",IFERROR(TRIM(INDEX('Pegar estudiantes'!$A$1:$BZ$1001,733,K$2)&amp;""),""))</f>
        <v/>
      </c>
      <c r="L734" s="25">
        <f>IF(A734&lt;&gt;"",1,"")</f>
        <v/>
      </c>
      <c r="M734" s="25">
        <f>IF(L734=1,IF(ISNUMBER(FIND("#"&amp;MID(A734,1,1)&amp;"#","#0#1#2#3#4#5#6#7#8#9#")),IF(ISNUMBER(FIND("#"&amp;MID(A734,2,1)&amp;"#","#0#1#2#3#4#5#6#7#8#9#")),IF(AND(VALUE(LEFT(A734,2))&gt;=1,VALUE(LEFT(A734,2))&lt;=5),VALUE(LEFT(A734,2)),""),IF(AND(VALUE(LEFT(A734,1))&gt;=1,VALUE(LEFT(A734,1))&lt;=5),VALUE(LEFT(A734,1)),"")),""),"")</f>
        <v/>
      </c>
      <c r="N734" s="25">
        <f>IF(L734=1,IF(ISNUMBER(FIND("#"&amp;MID(H734,1,1)&amp;"#","#0#1#2#3#4#5#6#7#8#9#")),IF(ISNUMBER(FIND("#"&amp;MID(H734,2,1)&amp;"#","#0#1#2#3#4#5#6#7#8#9#")),IF(AND(VALUE(LEFT(H734,2))&gt;=1,VALUE(LEFT(H734,2))&lt;=5),VALUE(LEFT(H734,2)),""),IF(AND(VALUE(LEFT(H734,1))&gt;=1,VALUE(LEFT(H734,1))&lt;=5),VALUE(LEFT(H734,1)),"")),""),"")</f>
        <v/>
      </c>
      <c r="O734" s="25">
        <f>IF(AND(L734=1,B734&lt;&gt;""),SUBSTITUTE(SUBSTITUTE(SUBSTITUTE(SUBSTITUTE(SUBSTITUTE(SUBSTITUTE(SUBSTITUTE(SUBSTITUTE(SUBSTITUTE(SUBSTITUTE(SUBSTITUTE(SUBSTITUTE(LOWER(TRIM(B734)),"á","a"),"é","e"),"í","i"),"ó","o"),"ú","u"),"ü","u"),"ñ","n"),"à","a"),"è","e"),"ì","i"),"ò","o"),"ù","u"),"")</f>
        <v/>
      </c>
      <c r="P734" s="25">
        <f>IF(AND(L734=1,C734&lt;&gt;""),SUBSTITUTE(SUBSTITUTE(SUBSTITUTE(SUBSTITUTE(SUBSTITUTE(SUBSTITUTE(SUBSTITUTE(SUBSTITUTE(SUBSTITUTE(SUBSTITUTE(SUBSTITUTE(SUBSTITUTE(LOWER(TRIM(C734)),"á","a"),"é","e"),"í","i"),"ó","o"),"ú","u"),"ü","u"),"ñ","n"),"à","a"),"è","e"),"ì","i"),"ò","o"),"ù","u"),"")</f>
        <v/>
      </c>
      <c r="Q734" s="25">
        <f>IF(AND(L734=1,E734&lt;&gt;""),SUBSTITUTE(SUBSTITUTE(SUBSTITUTE(SUBSTITUTE(SUBSTITUTE(SUBSTITUTE(SUBSTITUTE(SUBSTITUTE(SUBSTITUTE(SUBSTITUTE(SUBSTITUTE(SUBSTITUTE(LOWER(TRIM(E734)),"á","a"),"é","e"),"í","i"),"ó","o"),"ú","u"),"ü","u"),"ñ","n"),"à","a"),"è","e"),"ì","i"),"ò","o"),"ù","u"),"")</f>
        <v/>
      </c>
      <c r="R734" s="25">
        <f>IF(AND(L734=1,I734&lt;&gt;""),SUBSTITUTE(SUBSTITUTE(SUBSTITUTE(SUBSTITUTE(SUBSTITUTE(SUBSTITUTE(SUBSTITUTE(SUBSTITUTE(SUBSTITUTE(SUBSTITUTE(SUBSTITUTE(SUBSTITUTE(LOWER(TRIM(I734)),"á","a"),"é","e"),"í","i"),"ó","o"),"ú","u"),"ü","u"),"ñ","n"),"à","a"),"è","e"),"ì","i"),"ò","o"),"ù","u"),"")</f>
        <v/>
      </c>
      <c r="S734" s="25">
        <f>IF(R734="","",IF(OR(R734="si",R734="tal vez"),1,0))</f>
        <v/>
      </c>
      <c r="T734" s="25">
        <f>IF(AND(L734=1,D734&lt;&gt;""),IF(IFERROR(COUNTIFS(D$3:D734,"="&amp;SUBSTITUTE(SUBSTITUTE(SUBSTITUTE(D734,"~","~~"),"*","~*"),"?","~?"),L$3:L734,1),0)=1,MAX(T$2:T733)+1,""),"")</f>
        <v/>
      </c>
      <c r="U734" s="25">
        <f>IF(T734="","",COUNTIFS($D$3:$D$1002,"="&amp;SUBSTITUTE(SUBSTITUTE(SUBSTITUTE(D734,"~","~~"),"*","~*"),"?","~?"),$L$3:$L$1002,1)*10000-T734)</f>
        <v/>
      </c>
      <c r="V734" s="25">
        <f>IF(AND(L734=1,J734&lt;&gt;""),IF(IFERROR(COUNTIFS(J$3:J734,"="&amp;SUBSTITUTE(SUBSTITUTE(SUBSTITUTE(J734,"~","~~"),"*","~*"),"?","~?"),L$3:L734,1),0)=1,MAX(V$2:V733)+1,""),"")</f>
        <v/>
      </c>
      <c r="W734" s="25">
        <f>IF(V734="","",COUNTIFS($J$3:$J$1002,"="&amp;SUBSTITUTE(SUBSTITUTE(SUBSTITUTE(J734,"~","~~"),"*","~*"),"?","~?"),$L$3:$L$1002,1)*10000-V734)</f>
        <v/>
      </c>
    </row>
    <row r="735">
      <c r="A735">
        <f>IF(A$2=0,"",IFERROR(TRIM(INDEX('Pegar estudiantes'!$A$1:$BZ$1001,734,A$2)&amp;""),""))</f>
        <v/>
      </c>
      <c r="B735">
        <f>IF(B$2=0,"",IFERROR(TRIM(INDEX('Pegar estudiantes'!$A$1:$BZ$1001,734,B$2)&amp;""),""))</f>
        <v/>
      </c>
      <c r="C735">
        <f>IF(C$2=0,"",IFERROR(TRIM(INDEX('Pegar estudiantes'!$A$1:$BZ$1001,734,C$2)&amp;""),""))</f>
        <v/>
      </c>
      <c r="D735">
        <f>IF(D$2=0,"",IFERROR(TRIM(INDEX('Pegar estudiantes'!$A$1:$BZ$1001,734,D$2)&amp;""),""))</f>
        <v/>
      </c>
      <c r="E735">
        <f>IF(E$2=0,"",IFERROR(TRIM(INDEX('Pegar estudiantes'!$A$1:$BZ$1001,734,E$2)&amp;""),""))</f>
        <v/>
      </c>
      <c r="F735">
        <f>IF(F$2=0,"",IFERROR(TRIM(INDEX('Pegar estudiantes'!$A$1:$BZ$1001,734,F$2)&amp;""),""))</f>
        <v/>
      </c>
      <c r="G735">
        <f>IF(G$2=0,"",IFERROR(TRIM(INDEX('Pegar estudiantes'!$A$1:$BZ$1001,734,G$2)&amp;""),""))</f>
        <v/>
      </c>
      <c r="H735">
        <f>IF(H$2=0,"",IFERROR(TRIM(INDEX('Pegar estudiantes'!$A$1:$BZ$1001,734,H$2)&amp;""),""))</f>
        <v/>
      </c>
      <c r="I735">
        <f>IF(I$2=0,"",IFERROR(TRIM(INDEX('Pegar estudiantes'!$A$1:$BZ$1001,734,I$2)&amp;""),""))</f>
        <v/>
      </c>
      <c r="J735">
        <f>IF(J$2=0,"",IFERROR(TRIM(INDEX('Pegar estudiantes'!$A$1:$BZ$1001,734,J$2)&amp;""),""))</f>
        <v/>
      </c>
      <c r="K735">
        <f>IF(K$2=0,"",IFERROR(TRIM(INDEX('Pegar estudiantes'!$A$1:$BZ$1001,734,K$2)&amp;""),""))</f>
        <v/>
      </c>
      <c r="L735" s="25">
        <f>IF(A735&lt;&gt;"",1,"")</f>
        <v/>
      </c>
      <c r="M735" s="25">
        <f>IF(L735=1,IF(ISNUMBER(FIND("#"&amp;MID(A735,1,1)&amp;"#","#0#1#2#3#4#5#6#7#8#9#")),IF(ISNUMBER(FIND("#"&amp;MID(A735,2,1)&amp;"#","#0#1#2#3#4#5#6#7#8#9#")),IF(AND(VALUE(LEFT(A735,2))&gt;=1,VALUE(LEFT(A735,2))&lt;=5),VALUE(LEFT(A735,2)),""),IF(AND(VALUE(LEFT(A735,1))&gt;=1,VALUE(LEFT(A735,1))&lt;=5),VALUE(LEFT(A735,1)),"")),""),"")</f>
        <v/>
      </c>
      <c r="N735" s="25">
        <f>IF(L735=1,IF(ISNUMBER(FIND("#"&amp;MID(H735,1,1)&amp;"#","#0#1#2#3#4#5#6#7#8#9#")),IF(ISNUMBER(FIND("#"&amp;MID(H735,2,1)&amp;"#","#0#1#2#3#4#5#6#7#8#9#")),IF(AND(VALUE(LEFT(H735,2))&gt;=1,VALUE(LEFT(H735,2))&lt;=5),VALUE(LEFT(H735,2)),""),IF(AND(VALUE(LEFT(H735,1))&gt;=1,VALUE(LEFT(H735,1))&lt;=5),VALUE(LEFT(H735,1)),"")),""),"")</f>
        <v/>
      </c>
      <c r="O735" s="25">
        <f>IF(AND(L735=1,B735&lt;&gt;""),SUBSTITUTE(SUBSTITUTE(SUBSTITUTE(SUBSTITUTE(SUBSTITUTE(SUBSTITUTE(SUBSTITUTE(SUBSTITUTE(SUBSTITUTE(SUBSTITUTE(SUBSTITUTE(SUBSTITUTE(LOWER(TRIM(B735)),"á","a"),"é","e"),"í","i"),"ó","o"),"ú","u"),"ü","u"),"ñ","n"),"à","a"),"è","e"),"ì","i"),"ò","o"),"ù","u"),"")</f>
        <v/>
      </c>
      <c r="P735" s="25">
        <f>IF(AND(L735=1,C735&lt;&gt;""),SUBSTITUTE(SUBSTITUTE(SUBSTITUTE(SUBSTITUTE(SUBSTITUTE(SUBSTITUTE(SUBSTITUTE(SUBSTITUTE(SUBSTITUTE(SUBSTITUTE(SUBSTITUTE(SUBSTITUTE(LOWER(TRIM(C735)),"á","a"),"é","e"),"í","i"),"ó","o"),"ú","u"),"ü","u"),"ñ","n"),"à","a"),"è","e"),"ì","i"),"ò","o"),"ù","u"),"")</f>
        <v/>
      </c>
      <c r="Q735" s="25">
        <f>IF(AND(L735=1,E735&lt;&gt;""),SUBSTITUTE(SUBSTITUTE(SUBSTITUTE(SUBSTITUTE(SUBSTITUTE(SUBSTITUTE(SUBSTITUTE(SUBSTITUTE(SUBSTITUTE(SUBSTITUTE(SUBSTITUTE(SUBSTITUTE(LOWER(TRIM(E735)),"á","a"),"é","e"),"í","i"),"ó","o"),"ú","u"),"ü","u"),"ñ","n"),"à","a"),"è","e"),"ì","i"),"ò","o"),"ù","u"),"")</f>
        <v/>
      </c>
      <c r="R735" s="25">
        <f>IF(AND(L735=1,I735&lt;&gt;""),SUBSTITUTE(SUBSTITUTE(SUBSTITUTE(SUBSTITUTE(SUBSTITUTE(SUBSTITUTE(SUBSTITUTE(SUBSTITUTE(SUBSTITUTE(SUBSTITUTE(SUBSTITUTE(SUBSTITUTE(LOWER(TRIM(I735)),"á","a"),"é","e"),"í","i"),"ó","o"),"ú","u"),"ü","u"),"ñ","n"),"à","a"),"è","e"),"ì","i"),"ò","o"),"ù","u"),"")</f>
        <v/>
      </c>
      <c r="S735" s="25">
        <f>IF(R735="","",IF(OR(R735="si",R735="tal vez"),1,0))</f>
        <v/>
      </c>
      <c r="T735" s="25">
        <f>IF(AND(L735=1,D735&lt;&gt;""),IF(IFERROR(COUNTIFS(D$3:D735,"="&amp;SUBSTITUTE(SUBSTITUTE(SUBSTITUTE(D735,"~","~~"),"*","~*"),"?","~?"),L$3:L735,1),0)=1,MAX(T$2:T734)+1,""),"")</f>
        <v/>
      </c>
      <c r="U735" s="25">
        <f>IF(T735="","",COUNTIFS($D$3:$D$1002,"="&amp;SUBSTITUTE(SUBSTITUTE(SUBSTITUTE(D735,"~","~~"),"*","~*"),"?","~?"),$L$3:$L$1002,1)*10000-T735)</f>
        <v/>
      </c>
      <c r="V735" s="25">
        <f>IF(AND(L735=1,J735&lt;&gt;""),IF(IFERROR(COUNTIFS(J$3:J735,"="&amp;SUBSTITUTE(SUBSTITUTE(SUBSTITUTE(J735,"~","~~"),"*","~*"),"?","~?"),L$3:L735,1),0)=1,MAX(V$2:V734)+1,""),"")</f>
        <v/>
      </c>
      <c r="W735" s="25">
        <f>IF(V735="","",COUNTIFS($J$3:$J$1002,"="&amp;SUBSTITUTE(SUBSTITUTE(SUBSTITUTE(J735,"~","~~"),"*","~*"),"?","~?"),$L$3:$L$1002,1)*10000-V735)</f>
        <v/>
      </c>
    </row>
    <row r="736">
      <c r="A736">
        <f>IF(A$2=0,"",IFERROR(TRIM(INDEX('Pegar estudiantes'!$A$1:$BZ$1001,735,A$2)&amp;""),""))</f>
        <v/>
      </c>
      <c r="B736">
        <f>IF(B$2=0,"",IFERROR(TRIM(INDEX('Pegar estudiantes'!$A$1:$BZ$1001,735,B$2)&amp;""),""))</f>
        <v/>
      </c>
      <c r="C736">
        <f>IF(C$2=0,"",IFERROR(TRIM(INDEX('Pegar estudiantes'!$A$1:$BZ$1001,735,C$2)&amp;""),""))</f>
        <v/>
      </c>
      <c r="D736">
        <f>IF(D$2=0,"",IFERROR(TRIM(INDEX('Pegar estudiantes'!$A$1:$BZ$1001,735,D$2)&amp;""),""))</f>
        <v/>
      </c>
      <c r="E736">
        <f>IF(E$2=0,"",IFERROR(TRIM(INDEX('Pegar estudiantes'!$A$1:$BZ$1001,735,E$2)&amp;""),""))</f>
        <v/>
      </c>
      <c r="F736">
        <f>IF(F$2=0,"",IFERROR(TRIM(INDEX('Pegar estudiantes'!$A$1:$BZ$1001,735,F$2)&amp;""),""))</f>
        <v/>
      </c>
      <c r="G736">
        <f>IF(G$2=0,"",IFERROR(TRIM(INDEX('Pegar estudiantes'!$A$1:$BZ$1001,735,G$2)&amp;""),""))</f>
        <v/>
      </c>
      <c r="H736">
        <f>IF(H$2=0,"",IFERROR(TRIM(INDEX('Pegar estudiantes'!$A$1:$BZ$1001,735,H$2)&amp;""),""))</f>
        <v/>
      </c>
      <c r="I736">
        <f>IF(I$2=0,"",IFERROR(TRIM(INDEX('Pegar estudiantes'!$A$1:$BZ$1001,735,I$2)&amp;""),""))</f>
        <v/>
      </c>
      <c r="J736">
        <f>IF(J$2=0,"",IFERROR(TRIM(INDEX('Pegar estudiantes'!$A$1:$BZ$1001,735,J$2)&amp;""),""))</f>
        <v/>
      </c>
      <c r="K736">
        <f>IF(K$2=0,"",IFERROR(TRIM(INDEX('Pegar estudiantes'!$A$1:$BZ$1001,735,K$2)&amp;""),""))</f>
        <v/>
      </c>
      <c r="L736" s="25">
        <f>IF(A736&lt;&gt;"",1,"")</f>
        <v/>
      </c>
      <c r="M736" s="25">
        <f>IF(L736=1,IF(ISNUMBER(FIND("#"&amp;MID(A736,1,1)&amp;"#","#0#1#2#3#4#5#6#7#8#9#")),IF(ISNUMBER(FIND("#"&amp;MID(A736,2,1)&amp;"#","#0#1#2#3#4#5#6#7#8#9#")),IF(AND(VALUE(LEFT(A736,2))&gt;=1,VALUE(LEFT(A736,2))&lt;=5),VALUE(LEFT(A736,2)),""),IF(AND(VALUE(LEFT(A736,1))&gt;=1,VALUE(LEFT(A736,1))&lt;=5),VALUE(LEFT(A736,1)),"")),""),"")</f>
        <v/>
      </c>
      <c r="N736" s="25">
        <f>IF(L736=1,IF(ISNUMBER(FIND("#"&amp;MID(H736,1,1)&amp;"#","#0#1#2#3#4#5#6#7#8#9#")),IF(ISNUMBER(FIND("#"&amp;MID(H736,2,1)&amp;"#","#0#1#2#3#4#5#6#7#8#9#")),IF(AND(VALUE(LEFT(H736,2))&gt;=1,VALUE(LEFT(H736,2))&lt;=5),VALUE(LEFT(H736,2)),""),IF(AND(VALUE(LEFT(H736,1))&gt;=1,VALUE(LEFT(H736,1))&lt;=5),VALUE(LEFT(H736,1)),"")),""),"")</f>
        <v/>
      </c>
      <c r="O736" s="25">
        <f>IF(AND(L736=1,B736&lt;&gt;""),SUBSTITUTE(SUBSTITUTE(SUBSTITUTE(SUBSTITUTE(SUBSTITUTE(SUBSTITUTE(SUBSTITUTE(SUBSTITUTE(SUBSTITUTE(SUBSTITUTE(SUBSTITUTE(SUBSTITUTE(LOWER(TRIM(B736)),"á","a"),"é","e"),"í","i"),"ó","o"),"ú","u"),"ü","u"),"ñ","n"),"à","a"),"è","e"),"ì","i"),"ò","o"),"ù","u"),"")</f>
        <v/>
      </c>
      <c r="P736" s="25">
        <f>IF(AND(L736=1,C736&lt;&gt;""),SUBSTITUTE(SUBSTITUTE(SUBSTITUTE(SUBSTITUTE(SUBSTITUTE(SUBSTITUTE(SUBSTITUTE(SUBSTITUTE(SUBSTITUTE(SUBSTITUTE(SUBSTITUTE(SUBSTITUTE(LOWER(TRIM(C736)),"á","a"),"é","e"),"í","i"),"ó","o"),"ú","u"),"ü","u"),"ñ","n"),"à","a"),"è","e"),"ì","i"),"ò","o"),"ù","u"),"")</f>
        <v/>
      </c>
      <c r="Q736" s="25">
        <f>IF(AND(L736=1,E736&lt;&gt;""),SUBSTITUTE(SUBSTITUTE(SUBSTITUTE(SUBSTITUTE(SUBSTITUTE(SUBSTITUTE(SUBSTITUTE(SUBSTITUTE(SUBSTITUTE(SUBSTITUTE(SUBSTITUTE(SUBSTITUTE(LOWER(TRIM(E736)),"á","a"),"é","e"),"í","i"),"ó","o"),"ú","u"),"ü","u"),"ñ","n"),"à","a"),"è","e"),"ì","i"),"ò","o"),"ù","u"),"")</f>
        <v/>
      </c>
      <c r="R736" s="25">
        <f>IF(AND(L736=1,I736&lt;&gt;""),SUBSTITUTE(SUBSTITUTE(SUBSTITUTE(SUBSTITUTE(SUBSTITUTE(SUBSTITUTE(SUBSTITUTE(SUBSTITUTE(SUBSTITUTE(SUBSTITUTE(SUBSTITUTE(SUBSTITUTE(LOWER(TRIM(I736)),"á","a"),"é","e"),"í","i"),"ó","o"),"ú","u"),"ü","u"),"ñ","n"),"à","a"),"è","e"),"ì","i"),"ò","o"),"ù","u"),"")</f>
        <v/>
      </c>
      <c r="S736" s="25">
        <f>IF(R736="","",IF(OR(R736="si",R736="tal vez"),1,0))</f>
        <v/>
      </c>
      <c r="T736" s="25">
        <f>IF(AND(L736=1,D736&lt;&gt;""),IF(IFERROR(COUNTIFS(D$3:D736,"="&amp;SUBSTITUTE(SUBSTITUTE(SUBSTITUTE(D736,"~","~~"),"*","~*"),"?","~?"),L$3:L736,1),0)=1,MAX(T$2:T735)+1,""),"")</f>
        <v/>
      </c>
      <c r="U736" s="25">
        <f>IF(T736="","",COUNTIFS($D$3:$D$1002,"="&amp;SUBSTITUTE(SUBSTITUTE(SUBSTITUTE(D736,"~","~~"),"*","~*"),"?","~?"),$L$3:$L$1002,1)*10000-T736)</f>
        <v/>
      </c>
      <c r="V736" s="25">
        <f>IF(AND(L736=1,J736&lt;&gt;""),IF(IFERROR(COUNTIFS(J$3:J736,"="&amp;SUBSTITUTE(SUBSTITUTE(SUBSTITUTE(J736,"~","~~"),"*","~*"),"?","~?"),L$3:L736,1),0)=1,MAX(V$2:V735)+1,""),"")</f>
        <v/>
      </c>
      <c r="W736" s="25">
        <f>IF(V736="","",COUNTIFS($J$3:$J$1002,"="&amp;SUBSTITUTE(SUBSTITUTE(SUBSTITUTE(J736,"~","~~"),"*","~*"),"?","~?"),$L$3:$L$1002,1)*10000-V736)</f>
        <v/>
      </c>
    </row>
    <row r="737">
      <c r="A737">
        <f>IF(A$2=0,"",IFERROR(TRIM(INDEX('Pegar estudiantes'!$A$1:$BZ$1001,736,A$2)&amp;""),""))</f>
        <v/>
      </c>
      <c r="B737">
        <f>IF(B$2=0,"",IFERROR(TRIM(INDEX('Pegar estudiantes'!$A$1:$BZ$1001,736,B$2)&amp;""),""))</f>
        <v/>
      </c>
      <c r="C737">
        <f>IF(C$2=0,"",IFERROR(TRIM(INDEX('Pegar estudiantes'!$A$1:$BZ$1001,736,C$2)&amp;""),""))</f>
        <v/>
      </c>
      <c r="D737">
        <f>IF(D$2=0,"",IFERROR(TRIM(INDEX('Pegar estudiantes'!$A$1:$BZ$1001,736,D$2)&amp;""),""))</f>
        <v/>
      </c>
      <c r="E737">
        <f>IF(E$2=0,"",IFERROR(TRIM(INDEX('Pegar estudiantes'!$A$1:$BZ$1001,736,E$2)&amp;""),""))</f>
        <v/>
      </c>
      <c r="F737">
        <f>IF(F$2=0,"",IFERROR(TRIM(INDEX('Pegar estudiantes'!$A$1:$BZ$1001,736,F$2)&amp;""),""))</f>
        <v/>
      </c>
      <c r="G737">
        <f>IF(G$2=0,"",IFERROR(TRIM(INDEX('Pegar estudiantes'!$A$1:$BZ$1001,736,G$2)&amp;""),""))</f>
        <v/>
      </c>
      <c r="H737">
        <f>IF(H$2=0,"",IFERROR(TRIM(INDEX('Pegar estudiantes'!$A$1:$BZ$1001,736,H$2)&amp;""),""))</f>
        <v/>
      </c>
      <c r="I737">
        <f>IF(I$2=0,"",IFERROR(TRIM(INDEX('Pegar estudiantes'!$A$1:$BZ$1001,736,I$2)&amp;""),""))</f>
        <v/>
      </c>
      <c r="J737">
        <f>IF(J$2=0,"",IFERROR(TRIM(INDEX('Pegar estudiantes'!$A$1:$BZ$1001,736,J$2)&amp;""),""))</f>
        <v/>
      </c>
      <c r="K737">
        <f>IF(K$2=0,"",IFERROR(TRIM(INDEX('Pegar estudiantes'!$A$1:$BZ$1001,736,K$2)&amp;""),""))</f>
        <v/>
      </c>
      <c r="L737" s="25">
        <f>IF(A737&lt;&gt;"",1,"")</f>
        <v/>
      </c>
      <c r="M737" s="25">
        <f>IF(L737=1,IF(ISNUMBER(FIND("#"&amp;MID(A737,1,1)&amp;"#","#0#1#2#3#4#5#6#7#8#9#")),IF(ISNUMBER(FIND("#"&amp;MID(A737,2,1)&amp;"#","#0#1#2#3#4#5#6#7#8#9#")),IF(AND(VALUE(LEFT(A737,2))&gt;=1,VALUE(LEFT(A737,2))&lt;=5),VALUE(LEFT(A737,2)),""),IF(AND(VALUE(LEFT(A737,1))&gt;=1,VALUE(LEFT(A737,1))&lt;=5),VALUE(LEFT(A737,1)),"")),""),"")</f>
        <v/>
      </c>
      <c r="N737" s="25">
        <f>IF(L737=1,IF(ISNUMBER(FIND("#"&amp;MID(H737,1,1)&amp;"#","#0#1#2#3#4#5#6#7#8#9#")),IF(ISNUMBER(FIND("#"&amp;MID(H737,2,1)&amp;"#","#0#1#2#3#4#5#6#7#8#9#")),IF(AND(VALUE(LEFT(H737,2))&gt;=1,VALUE(LEFT(H737,2))&lt;=5),VALUE(LEFT(H737,2)),""),IF(AND(VALUE(LEFT(H737,1))&gt;=1,VALUE(LEFT(H737,1))&lt;=5),VALUE(LEFT(H737,1)),"")),""),"")</f>
        <v/>
      </c>
      <c r="O737" s="25">
        <f>IF(AND(L737=1,B737&lt;&gt;""),SUBSTITUTE(SUBSTITUTE(SUBSTITUTE(SUBSTITUTE(SUBSTITUTE(SUBSTITUTE(SUBSTITUTE(SUBSTITUTE(SUBSTITUTE(SUBSTITUTE(SUBSTITUTE(SUBSTITUTE(LOWER(TRIM(B737)),"á","a"),"é","e"),"í","i"),"ó","o"),"ú","u"),"ü","u"),"ñ","n"),"à","a"),"è","e"),"ì","i"),"ò","o"),"ù","u"),"")</f>
        <v/>
      </c>
      <c r="P737" s="25">
        <f>IF(AND(L737=1,C737&lt;&gt;""),SUBSTITUTE(SUBSTITUTE(SUBSTITUTE(SUBSTITUTE(SUBSTITUTE(SUBSTITUTE(SUBSTITUTE(SUBSTITUTE(SUBSTITUTE(SUBSTITUTE(SUBSTITUTE(SUBSTITUTE(LOWER(TRIM(C737)),"á","a"),"é","e"),"í","i"),"ó","o"),"ú","u"),"ü","u"),"ñ","n"),"à","a"),"è","e"),"ì","i"),"ò","o"),"ù","u"),"")</f>
        <v/>
      </c>
      <c r="Q737" s="25">
        <f>IF(AND(L737=1,E737&lt;&gt;""),SUBSTITUTE(SUBSTITUTE(SUBSTITUTE(SUBSTITUTE(SUBSTITUTE(SUBSTITUTE(SUBSTITUTE(SUBSTITUTE(SUBSTITUTE(SUBSTITUTE(SUBSTITUTE(SUBSTITUTE(LOWER(TRIM(E737)),"á","a"),"é","e"),"í","i"),"ó","o"),"ú","u"),"ü","u"),"ñ","n"),"à","a"),"è","e"),"ì","i"),"ò","o"),"ù","u"),"")</f>
        <v/>
      </c>
      <c r="R737" s="25">
        <f>IF(AND(L737=1,I737&lt;&gt;""),SUBSTITUTE(SUBSTITUTE(SUBSTITUTE(SUBSTITUTE(SUBSTITUTE(SUBSTITUTE(SUBSTITUTE(SUBSTITUTE(SUBSTITUTE(SUBSTITUTE(SUBSTITUTE(SUBSTITUTE(LOWER(TRIM(I737)),"á","a"),"é","e"),"í","i"),"ó","o"),"ú","u"),"ü","u"),"ñ","n"),"à","a"),"è","e"),"ì","i"),"ò","o"),"ù","u"),"")</f>
        <v/>
      </c>
      <c r="S737" s="25">
        <f>IF(R737="","",IF(OR(R737="si",R737="tal vez"),1,0))</f>
        <v/>
      </c>
      <c r="T737" s="25">
        <f>IF(AND(L737=1,D737&lt;&gt;""),IF(IFERROR(COUNTIFS(D$3:D737,"="&amp;SUBSTITUTE(SUBSTITUTE(SUBSTITUTE(D737,"~","~~"),"*","~*"),"?","~?"),L$3:L737,1),0)=1,MAX(T$2:T736)+1,""),"")</f>
        <v/>
      </c>
      <c r="U737" s="25">
        <f>IF(T737="","",COUNTIFS($D$3:$D$1002,"="&amp;SUBSTITUTE(SUBSTITUTE(SUBSTITUTE(D737,"~","~~"),"*","~*"),"?","~?"),$L$3:$L$1002,1)*10000-T737)</f>
        <v/>
      </c>
      <c r="V737" s="25">
        <f>IF(AND(L737=1,J737&lt;&gt;""),IF(IFERROR(COUNTIFS(J$3:J737,"="&amp;SUBSTITUTE(SUBSTITUTE(SUBSTITUTE(J737,"~","~~"),"*","~*"),"?","~?"),L$3:L737,1),0)=1,MAX(V$2:V736)+1,""),"")</f>
        <v/>
      </c>
      <c r="W737" s="25">
        <f>IF(V737="","",COUNTIFS($J$3:$J$1002,"="&amp;SUBSTITUTE(SUBSTITUTE(SUBSTITUTE(J737,"~","~~"),"*","~*"),"?","~?"),$L$3:$L$1002,1)*10000-V737)</f>
        <v/>
      </c>
    </row>
    <row r="738">
      <c r="A738">
        <f>IF(A$2=0,"",IFERROR(TRIM(INDEX('Pegar estudiantes'!$A$1:$BZ$1001,737,A$2)&amp;""),""))</f>
        <v/>
      </c>
      <c r="B738">
        <f>IF(B$2=0,"",IFERROR(TRIM(INDEX('Pegar estudiantes'!$A$1:$BZ$1001,737,B$2)&amp;""),""))</f>
        <v/>
      </c>
      <c r="C738">
        <f>IF(C$2=0,"",IFERROR(TRIM(INDEX('Pegar estudiantes'!$A$1:$BZ$1001,737,C$2)&amp;""),""))</f>
        <v/>
      </c>
      <c r="D738">
        <f>IF(D$2=0,"",IFERROR(TRIM(INDEX('Pegar estudiantes'!$A$1:$BZ$1001,737,D$2)&amp;""),""))</f>
        <v/>
      </c>
      <c r="E738">
        <f>IF(E$2=0,"",IFERROR(TRIM(INDEX('Pegar estudiantes'!$A$1:$BZ$1001,737,E$2)&amp;""),""))</f>
        <v/>
      </c>
      <c r="F738">
        <f>IF(F$2=0,"",IFERROR(TRIM(INDEX('Pegar estudiantes'!$A$1:$BZ$1001,737,F$2)&amp;""),""))</f>
        <v/>
      </c>
      <c r="G738">
        <f>IF(G$2=0,"",IFERROR(TRIM(INDEX('Pegar estudiantes'!$A$1:$BZ$1001,737,G$2)&amp;""),""))</f>
        <v/>
      </c>
      <c r="H738">
        <f>IF(H$2=0,"",IFERROR(TRIM(INDEX('Pegar estudiantes'!$A$1:$BZ$1001,737,H$2)&amp;""),""))</f>
        <v/>
      </c>
      <c r="I738">
        <f>IF(I$2=0,"",IFERROR(TRIM(INDEX('Pegar estudiantes'!$A$1:$BZ$1001,737,I$2)&amp;""),""))</f>
        <v/>
      </c>
      <c r="J738">
        <f>IF(J$2=0,"",IFERROR(TRIM(INDEX('Pegar estudiantes'!$A$1:$BZ$1001,737,J$2)&amp;""),""))</f>
        <v/>
      </c>
      <c r="K738">
        <f>IF(K$2=0,"",IFERROR(TRIM(INDEX('Pegar estudiantes'!$A$1:$BZ$1001,737,K$2)&amp;""),""))</f>
        <v/>
      </c>
      <c r="L738" s="25">
        <f>IF(A738&lt;&gt;"",1,"")</f>
        <v/>
      </c>
      <c r="M738" s="25">
        <f>IF(L738=1,IF(ISNUMBER(FIND("#"&amp;MID(A738,1,1)&amp;"#","#0#1#2#3#4#5#6#7#8#9#")),IF(ISNUMBER(FIND("#"&amp;MID(A738,2,1)&amp;"#","#0#1#2#3#4#5#6#7#8#9#")),IF(AND(VALUE(LEFT(A738,2))&gt;=1,VALUE(LEFT(A738,2))&lt;=5),VALUE(LEFT(A738,2)),""),IF(AND(VALUE(LEFT(A738,1))&gt;=1,VALUE(LEFT(A738,1))&lt;=5),VALUE(LEFT(A738,1)),"")),""),"")</f>
        <v/>
      </c>
      <c r="N738" s="25">
        <f>IF(L738=1,IF(ISNUMBER(FIND("#"&amp;MID(H738,1,1)&amp;"#","#0#1#2#3#4#5#6#7#8#9#")),IF(ISNUMBER(FIND("#"&amp;MID(H738,2,1)&amp;"#","#0#1#2#3#4#5#6#7#8#9#")),IF(AND(VALUE(LEFT(H738,2))&gt;=1,VALUE(LEFT(H738,2))&lt;=5),VALUE(LEFT(H738,2)),""),IF(AND(VALUE(LEFT(H738,1))&gt;=1,VALUE(LEFT(H738,1))&lt;=5),VALUE(LEFT(H738,1)),"")),""),"")</f>
        <v/>
      </c>
      <c r="O738" s="25">
        <f>IF(AND(L738=1,B738&lt;&gt;""),SUBSTITUTE(SUBSTITUTE(SUBSTITUTE(SUBSTITUTE(SUBSTITUTE(SUBSTITUTE(SUBSTITUTE(SUBSTITUTE(SUBSTITUTE(SUBSTITUTE(SUBSTITUTE(SUBSTITUTE(LOWER(TRIM(B738)),"á","a"),"é","e"),"í","i"),"ó","o"),"ú","u"),"ü","u"),"ñ","n"),"à","a"),"è","e"),"ì","i"),"ò","o"),"ù","u"),"")</f>
        <v/>
      </c>
      <c r="P738" s="25">
        <f>IF(AND(L738=1,C738&lt;&gt;""),SUBSTITUTE(SUBSTITUTE(SUBSTITUTE(SUBSTITUTE(SUBSTITUTE(SUBSTITUTE(SUBSTITUTE(SUBSTITUTE(SUBSTITUTE(SUBSTITUTE(SUBSTITUTE(SUBSTITUTE(LOWER(TRIM(C738)),"á","a"),"é","e"),"í","i"),"ó","o"),"ú","u"),"ü","u"),"ñ","n"),"à","a"),"è","e"),"ì","i"),"ò","o"),"ù","u"),"")</f>
        <v/>
      </c>
      <c r="Q738" s="25">
        <f>IF(AND(L738=1,E738&lt;&gt;""),SUBSTITUTE(SUBSTITUTE(SUBSTITUTE(SUBSTITUTE(SUBSTITUTE(SUBSTITUTE(SUBSTITUTE(SUBSTITUTE(SUBSTITUTE(SUBSTITUTE(SUBSTITUTE(SUBSTITUTE(LOWER(TRIM(E738)),"á","a"),"é","e"),"í","i"),"ó","o"),"ú","u"),"ü","u"),"ñ","n"),"à","a"),"è","e"),"ì","i"),"ò","o"),"ù","u"),"")</f>
        <v/>
      </c>
      <c r="R738" s="25">
        <f>IF(AND(L738=1,I738&lt;&gt;""),SUBSTITUTE(SUBSTITUTE(SUBSTITUTE(SUBSTITUTE(SUBSTITUTE(SUBSTITUTE(SUBSTITUTE(SUBSTITUTE(SUBSTITUTE(SUBSTITUTE(SUBSTITUTE(SUBSTITUTE(LOWER(TRIM(I738)),"á","a"),"é","e"),"í","i"),"ó","o"),"ú","u"),"ü","u"),"ñ","n"),"à","a"),"è","e"),"ì","i"),"ò","o"),"ù","u"),"")</f>
        <v/>
      </c>
      <c r="S738" s="25">
        <f>IF(R738="","",IF(OR(R738="si",R738="tal vez"),1,0))</f>
        <v/>
      </c>
      <c r="T738" s="25">
        <f>IF(AND(L738=1,D738&lt;&gt;""),IF(IFERROR(COUNTIFS(D$3:D738,"="&amp;SUBSTITUTE(SUBSTITUTE(SUBSTITUTE(D738,"~","~~"),"*","~*"),"?","~?"),L$3:L738,1),0)=1,MAX(T$2:T737)+1,""),"")</f>
        <v/>
      </c>
      <c r="U738" s="25">
        <f>IF(T738="","",COUNTIFS($D$3:$D$1002,"="&amp;SUBSTITUTE(SUBSTITUTE(SUBSTITUTE(D738,"~","~~"),"*","~*"),"?","~?"),$L$3:$L$1002,1)*10000-T738)</f>
        <v/>
      </c>
      <c r="V738" s="25">
        <f>IF(AND(L738=1,J738&lt;&gt;""),IF(IFERROR(COUNTIFS(J$3:J738,"="&amp;SUBSTITUTE(SUBSTITUTE(SUBSTITUTE(J738,"~","~~"),"*","~*"),"?","~?"),L$3:L738,1),0)=1,MAX(V$2:V737)+1,""),"")</f>
        <v/>
      </c>
      <c r="W738" s="25">
        <f>IF(V738="","",COUNTIFS($J$3:$J$1002,"="&amp;SUBSTITUTE(SUBSTITUTE(SUBSTITUTE(J738,"~","~~"),"*","~*"),"?","~?"),$L$3:$L$1002,1)*10000-V738)</f>
        <v/>
      </c>
    </row>
    <row r="739">
      <c r="A739">
        <f>IF(A$2=0,"",IFERROR(TRIM(INDEX('Pegar estudiantes'!$A$1:$BZ$1001,738,A$2)&amp;""),""))</f>
        <v/>
      </c>
      <c r="B739">
        <f>IF(B$2=0,"",IFERROR(TRIM(INDEX('Pegar estudiantes'!$A$1:$BZ$1001,738,B$2)&amp;""),""))</f>
        <v/>
      </c>
      <c r="C739">
        <f>IF(C$2=0,"",IFERROR(TRIM(INDEX('Pegar estudiantes'!$A$1:$BZ$1001,738,C$2)&amp;""),""))</f>
        <v/>
      </c>
      <c r="D739">
        <f>IF(D$2=0,"",IFERROR(TRIM(INDEX('Pegar estudiantes'!$A$1:$BZ$1001,738,D$2)&amp;""),""))</f>
        <v/>
      </c>
      <c r="E739">
        <f>IF(E$2=0,"",IFERROR(TRIM(INDEX('Pegar estudiantes'!$A$1:$BZ$1001,738,E$2)&amp;""),""))</f>
        <v/>
      </c>
      <c r="F739">
        <f>IF(F$2=0,"",IFERROR(TRIM(INDEX('Pegar estudiantes'!$A$1:$BZ$1001,738,F$2)&amp;""),""))</f>
        <v/>
      </c>
      <c r="G739">
        <f>IF(G$2=0,"",IFERROR(TRIM(INDEX('Pegar estudiantes'!$A$1:$BZ$1001,738,G$2)&amp;""),""))</f>
        <v/>
      </c>
      <c r="H739">
        <f>IF(H$2=0,"",IFERROR(TRIM(INDEX('Pegar estudiantes'!$A$1:$BZ$1001,738,H$2)&amp;""),""))</f>
        <v/>
      </c>
      <c r="I739">
        <f>IF(I$2=0,"",IFERROR(TRIM(INDEX('Pegar estudiantes'!$A$1:$BZ$1001,738,I$2)&amp;""),""))</f>
        <v/>
      </c>
      <c r="J739">
        <f>IF(J$2=0,"",IFERROR(TRIM(INDEX('Pegar estudiantes'!$A$1:$BZ$1001,738,J$2)&amp;""),""))</f>
        <v/>
      </c>
      <c r="K739">
        <f>IF(K$2=0,"",IFERROR(TRIM(INDEX('Pegar estudiantes'!$A$1:$BZ$1001,738,K$2)&amp;""),""))</f>
        <v/>
      </c>
      <c r="L739" s="25">
        <f>IF(A739&lt;&gt;"",1,"")</f>
        <v/>
      </c>
      <c r="M739" s="25">
        <f>IF(L739=1,IF(ISNUMBER(FIND("#"&amp;MID(A739,1,1)&amp;"#","#0#1#2#3#4#5#6#7#8#9#")),IF(ISNUMBER(FIND("#"&amp;MID(A739,2,1)&amp;"#","#0#1#2#3#4#5#6#7#8#9#")),IF(AND(VALUE(LEFT(A739,2))&gt;=1,VALUE(LEFT(A739,2))&lt;=5),VALUE(LEFT(A739,2)),""),IF(AND(VALUE(LEFT(A739,1))&gt;=1,VALUE(LEFT(A739,1))&lt;=5),VALUE(LEFT(A739,1)),"")),""),"")</f>
        <v/>
      </c>
      <c r="N739" s="25">
        <f>IF(L739=1,IF(ISNUMBER(FIND("#"&amp;MID(H739,1,1)&amp;"#","#0#1#2#3#4#5#6#7#8#9#")),IF(ISNUMBER(FIND("#"&amp;MID(H739,2,1)&amp;"#","#0#1#2#3#4#5#6#7#8#9#")),IF(AND(VALUE(LEFT(H739,2))&gt;=1,VALUE(LEFT(H739,2))&lt;=5),VALUE(LEFT(H739,2)),""),IF(AND(VALUE(LEFT(H739,1))&gt;=1,VALUE(LEFT(H739,1))&lt;=5),VALUE(LEFT(H739,1)),"")),""),"")</f>
        <v/>
      </c>
      <c r="O739" s="25">
        <f>IF(AND(L739=1,B739&lt;&gt;""),SUBSTITUTE(SUBSTITUTE(SUBSTITUTE(SUBSTITUTE(SUBSTITUTE(SUBSTITUTE(SUBSTITUTE(SUBSTITUTE(SUBSTITUTE(SUBSTITUTE(SUBSTITUTE(SUBSTITUTE(LOWER(TRIM(B739)),"á","a"),"é","e"),"í","i"),"ó","o"),"ú","u"),"ü","u"),"ñ","n"),"à","a"),"è","e"),"ì","i"),"ò","o"),"ù","u"),"")</f>
        <v/>
      </c>
      <c r="P739" s="25">
        <f>IF(AND(L739=1,C739&lt;&gt;""),SUBSTITUTE(SUBSTITUTE(SUBSTITUTE(SUBSTITUTE(SUBSTITUTE(SUBSTITUTE(SUBSTITUTE(SUBSTITUTE(SUBSTITUTE(SUBSTITUTE(SUBSTITUTE(SUBSTITUTE(LOWER(TRIM(C739)),"á","a"),"é","e"),"í","i"),"ó","o"),"ú","u"),"ü","u"),"ñ","n"),"à","a"),"è","e"),"ì","i"),"ò","o"),"ù","u"),"")</f>
        <v/>
      </c>
      <c r="Q739" s="25">
        <f>IF(AND(L739=1,E739&lt;&gt;""),SUBSTITUTE(SUBSTITUTE(SUBSTITUTE(SUBSTITUTE(SUBSTITUTE(SUBSTITUTE(SUBSTITUTE(SUBSTITUTE(SUBSTITUTE(SUBSTITUTE(SUBSTITUTE(SUBSTITUTE(LOWER(TRIM(E739)),"á","a"),"é","e"),"í","i"),"ó","o"),"ú","u"),"ü","u"),"ñ","n"),"à","a"),"è","e"),"ì","i"),"ò","o"),"ù","u"),"")</f>
        <v/>
      </c>
      <c r="R739" s="25">
        <f>IF(AND(L739=1,I739&lt;&gt;""),SUBSTITUTE(SUBSTITUTE(SUBSTITUTE(SUBSTITUTE(SUBSTITUTE(SUBSTITUTE(SUBSTITUTE(SUBSTITUTE(SUBSTITUTE(SUBSTITUTE(SUBSTITUTE(SUBSTITUTE(LOWER(TRIM(I739)),"á","a"),"é","e"),"í","i"),"ó","o"),"ú","u"),"ü","u"),"ñ","n"),"à","a"),"è","e"),"ì","i"),"ò","o"),"ù","u"),"")</f>
        <v/>
      </c>
      <c r="S739" s="25">
        <f>IF(R739="","",IF(OR(R739="si",R739="tal vez"),1,0))</f>
        <v/>
      </c>
      <c r="T739" s="25">
        <f>IF(AND(L739=1,D739&lt;&gt;""),IF(IFERROR(COUNTIFS(D$3:D739,"="&amp;SUBSTITUTE(SUBSTITUTE(SUBSTITUTE(D739,"~","~~"),"*","~*"),"?","~?"),L$3:L739,1),0)=1,MAX(T$2:T738)+1,""),"")</f>
        <v/>
      </c>
      <c r="U739" s="25">
        <f>IF(T739="","",COUNTIFS($D$3:$D$1002,"="&amp;SUBSTITUTE(SUBSTITUTE(SUBSTITUTE(D739,"~","~~"),"*","~*"),"?","~?"),$L$3:$L$1002,1)*10000-T739)</f>
        <v/>
      </c>
      <c r="V739" s="25">
        <f>IF(AND(L739=1,J739&lt;&gt;""),IF(IFERROR(COUNTIFS(J$3:J739,"="&amp;SUBSTITUTE(SUBSTITUTE(SUBSTITUTE(J739,"~","~~"),"*","~*"),"?","~?"),L$3:L739,1),0)=1,MAX(V$2:V738)+1,""),"")</f>
        <v/>
      </c>
      <c r="W739" s="25">
        <f>IF(V739="","",COUNTIFS($J$3:$J$1002,"="&amp;SUBSTITUTE(SUBSTITUTE(SUBSTITUTE(J739,"~","~~"),"*","~*"),"?","~?"),$L$3:$L$1002,1)*10000-V739)</f>
        <v/>
      </c>
    </row>
    <row r="740">
      <c r="A740">
        <f>IF(A$2=0,"",IFERROR(TRIM(INDEX('Pegar estudiantes'!$A$1:$BZ$1001,739,A$2)&amp;""),""))</f>
        <v/>
      </c>
      <c r="B740">
        <f>IF(B$2=0,"",IFERROR(TRIM(INDEX('Pegar estudiantes'!$A$1:$BZ$1001,739,B$2)&amp;""),""))</f>
        <v/>
      </c>
      <c r="C740">
        <f>IF(C$2=0,"",IFERROR(TRIM(INDEX('Pegar estudiantes'!$A$1:$BZ$1001,739,C$2)&amp;""),""))</f>
        <v/>
      </c>
      <c r="D740">
        <f>IF(D$2=0,"",IFERROR(TRIM(INDEX('Pegar estudiantes'!$A$1:$BZ$1001,739,D$2)&amp;""),""))</f>
        <v/>
      </c>
      <c r="E740">
        <f>IF(E$2=0,"",IFERROR(TRIM(INDEX('Pegar estudiantes'!$A$1:$BZ$1001,739,E$2)&amp;""),""))</f>
        <v/>
      </c>
      <c r="F740">
        <f>IF(F$2=0,"",IFERROR(TRIM(INDEX('Pegar estudiantes'!$A$1:$BZ$1001,739,F$2)&amp;""),""))</f>
        <v/>
      </c>
      <c r="G740">
        <f>IF(G$2=0,"",IFERROR(TRIM(INDEX('Pegar estudiantes'!$A$1:$BZ$1001,739,G$2)&amp;""),""))</f>
        <v/>
      </c>
      <c r="H740">
        <f>IF(H$2=0,"",IFERROR(TRIM(INDEX('Pegar estudiantes'!$A$1:$BZ$1001,739,H$2)&amp;""),""))</f>
        <v/>
      </c>
      <c r="I740">
        <f>IF(I$2=0,"",IFERROR(TRIM(INDEX('Pegar estudiantes'!$A$1:$BZ$1001,739,I$2)&amp;""),""))</f>
        <v/>
      </c>
      <c r="J740">
        <f>IF(J$2=0,"",IFERROR(TRIM(INDEX('Pegar estudiantes'!$A$1:$BZ$1001,739,J$2)&amp;""),""))</f>
        <v/>
      </c>
      <c r="K740">
        <f>IF(K$2=0,"",IFERROR(TRIM(INDEX('Pegar estudiantes'!$A$1:$BZ$1001,739,K$2)&amp;""),""))</f>
        <v/>
      </c>
      <c r="L740" s="25">
        <f>IF(A740&lt;&gt;"",1,"")</f>
        <v/>
      </c>
      <c r="M740" s="25">
        <f>IF(L740=1,IF(ISNUMBER(FIND("#"&amp;MID(A740,1,1)&amp;"#","#0#1#2#3#4#5#6#7#8#9#")),IF(ISNUMBER(FIND("#"&amp;MID(A740,2,1)&amp;"#","#0#1#2#3#4#5#6#7#8#9#")),IF(AND(VALUE(LEFT(A740,2))&gt;=1,VALUE(LEFT(A740,2))&lt;=5),VALUE(LEFT(A740,2)),""),IF(AND(VALUE(LEFT(A740,1))&gt;=1,VALUE(LEFT(A740,1))&lt;=5),VALUE(LEFT(A740,1)),"")),""),"")</f>
        <v/>
      </c>
      <c r="N740" s="25">
        <f>IF(L740=1,IF(ISNUMBER(FIND("#"&amp;MID(H740,1,1)&amp;"#","#0#1#2#3#4#5#6#7#8#9#")),IF(ISNUMBER(FIND("#"&amp;MID(H740,2,1)&amp;"#","#0#1#2#3#4#5#6#7#8#9#")),IF(AND(VALUE(LEFT(H740,2))&gt;=1,VALUE(LEFT(H740,2))&lt;=5),VALUE(LEFT(H740,2)),""),IF(AND(VALUE(LEFT(H740,1))&gt;=1,VALUE(LEFT(H740,1))&lt;=5),VALUE(LEFT(H740,1)),"")),""),"")</f>
        <v/>
      </c>
      <c r="O740" s="25">
        <f>IF(AND(L740=1,B740&lt;&gt;""),SUBSTITUTE(SUBSTITUTE(SUBSTITUTE(SUBSTITUTE(SUBSTITUTE(SUBSTITUTE(SUBSTITUTE(SUBSTITUTE(SUBSTITUTE(SUBSTITUTE(SUBSTITUTE(SUBSTITUTE(LOWER(TRIM(B740)),"á","a"),"é","e"),"í","i"),"ó","o"),"ú","u"),"ü","u"),"ñ","n"),"à","a"),"è","e"),"ì","i"),"ò","o"),"ù","u"),"")</f>
        <v/>
      </c>
      <c r="P740" s="25">
        <f>IF(AND(L740=1,C740&lt;&gt;""),SUBSTITUTE(SUBSTITUTE(SUBSTITUTE(SUBSTITUTE(SUBSTITUTE(SUBSTITUTE(SUBSTITUTE(SUBSTITUTE(SUBSTITUTE(SUBSTITUTE(SUBSTITUTE(SUBSTITUTE(LOWER(TRIM(C740)),"á","a"),"é","e"),"í","i"),"ó","o"),"ú","u"),"ü","u"),"ñ","n"),"à","a"),"è","e"),"ì","i"),"ò","o"),"ù","u"),"")</f>
        <v/>
      </c>
      <c r="Q740" s="25">
        <f>IF(AND(L740=1,E740&lt;&gt;""),SUBSTITUTE(SUBSTITUTE(SUBSTITUTE(SUBSTITUTE(SUBSTITUTE(SUBSTITUTE(SUBSTITUTE(SUBSTITUTE(SUBSTITUTE(SUBSTITUTE(SUBSTITUTE(SUBSTITUTE(LOWER(TRIM(E740)),"á","a"),"é","e"),"í","i"),"ó","o"),"ú","u"),"ü","u"),"ñ","n"),"à","a"),"è","e"),"ì","i"),"ò","o"),"ù","u"),"")</f>
        <v/>
      </c>
      <c r="R740" s="25">
        <f>IF(AND(L740=1,I740&lt;&gt;""),SUBSTITUTE(SUBSTITUTE(SUBSTITUTE(SUBSTITUTE(SUBSTITUTE(SUBSTITUTE(SUBSTITUTE(SUBSTITUTE(SUBSTITUTE(SUBSTITUTE(SUBSTITUTE(SUBSTITUTE(LOWER(TRIM(I740)),"á","a"),"é","e"),"í","i"),"ó","o"),"ú","u"),"ü","u"),"ñ","n"),"à","a"),"è","e"),"ì","i"),"ò","o"),"ù","u"),"")</f>
        <v/>
      </c>
      <c r="S740" s="25">
        <f>IF(R740="","",IF(OR(R740="si",R740="tal vez"),1,0))</f>
        <v/>
      </c>
      <c r="T740" s="25">
        <f>IF(AND(L740=1,D740&lt;&gt;""),IF(IFERROR(COUNTIFS(D$3:D740,"="&amp;SUBSTITUTE(SUBSTITUTE(SUBSTITUTE(D740,"~","~~"),"*","~*"),"?","~?"),L$3:L740,1),0)=1,MAX(T$2:T739)+1,""),"")</f>
        <v/>
      </c>
      <c r="U740" s="25">
        <f>IF(T740="","",COUNTIFS($D$3:$D$1002,"="&amp;SUBSTITUTE(SUBSTITUTE(SUBSTITUTE(D740,"~","~~"),"*","~*"),"?","~?"),$L$3:$L$1002,1)*10000-T740)</f>
        <v/>
      </c>
      <c r="V740" s="25">
        <f>IF(AND(L740=1,J740&lt;&gt;""),IF(IFERROR(COUNTIFS(J$3:J740,"="&amp;SUBSTITUTE(SUBSTITUTE(SUBSTITUTE(J740,"~","~~"),"*","~*"),"?","~?"),L$3:L740,1),0)=1,MAX(V$2:V739)+1,""),"")</f>
        <v/>
      </c>
      <c r="W740" s="25">
        <f>IF(V740="","",COUNTIFS($J$3:$J$1002,"="&amp;SUBSTITUTE(SUBSTITUTE(SUBSTITUTE(J740,"~","~~"),"*","~*"),"?","~?"),$L$3:$L$1002,1)*10000-V740)</f>
        <v/>
      </c>
    </row>
    <row r="741">
      <c r="A741">
        <f>IF(A$2=0,"",IFERROR(TRIM(INDEX('Pegar estudiantes'!$A$1:$BZ$1001,740,A$2)&amp;""),""))</f>
        <v/>
      </c>
      <c r="B741">
        <f>IF(B$2=0,"",IFERROR(TRIM(INDEX('Pegar estudiantes'!$A$1:$BZ$1001,740,B$2)&amp;""),""))</f>
        <v/>
      </c>
      <c r="C741">
        <f>IF(C$2=0,"",IFERROR(TRIM(INDEX('Pegar estudiantes'!$A$1:$BZ$1001,740,C$2)&amp;""),""))</f>
        <v/>
      </c>
      <c r="D741">
        <f>IF(D$2=0,"",IFERROR(TRIM(INDEX('Pegar estudiantes'!$A$1:$BZ$1001,740,D$2)&amp;""),""))</f>
        <v/>
      </c>
      <c r="E741">
        <f>IF(E$2=0,"",IFERROR(TRIM(INDEX('Pegar estudiantes'!$A$1:$BZ$1001,740,E$2)&amp;""),""))</f>
        <v/>
      </c>
      <c r="F741">
        <f>IF(F$2=0,"",IFERROR(TRIM(INDEX('Pegar estudiantes'!$A$1:$BZ$1001,740,F$2)&amp;""),""))</f>
        <v/>
      </c>
      <c r="G741">
        <f>IF(G$2=0,"",IFERROR(TRIM(INDEX('Pegar estudiantes'!$A$1:$BZ$1001,740,G$2)&amp;""),""))</f>
        <v/>
      </c>
      <c r="H741">
        <f>IF(H$2=0,"",IFERROR(TRIM(INDEX('Pegar estudiantes'!$A$1:$BZ$1001,740,H$2)&amp;""),""))</f>
        <v/>
      </c>
      <c r="I741">
        <f>IF(I$2=0,"",IFERROR(TRIM(INDEX('Pegar estudiantes'!$A$1:$BZ$1001,740,I$2)&amp;""),""))</f>
        <v/>
      </c>
      <c r="J741">
        <f>IF(J$2=0,"",IFERROR(TRIM(INDEX('Pegar estudiantes'!$A$1:$BZ$1001,740,J$2)&amp;""),""))</f>
        <v/>
      </c>
      <c r="K741">
        <f>IF(K$2=0,"",IFERROR(TRIM(INDEX('Pegar estudiantes'!$A$1:$BZ$1001,740,K$2)&amp;""),""))</f>
        <v/>
      </c>
      <c r="L741" s="25">
        <f>IF(A741&lt;&gt;"",1,"")</f>
        <v/>
      </c>
      <c r="M741" s="25">
        <f>IF(L741=1,IF(ISNUMBER(FIND("#"&amp;MID(A741,1,1)&amp;"#","#0#1#2#3#4#5#6#7#8#9#")),IF(ISNUMBER(FIND("#"&amp;MID(A741,2,1)&amp;"#","#0#1#2#3#4#5#6#7#8#9#")),IF(AND(VALUE(LEFT(A741,2))&gt;=1,VALUE(LEFT(A741,2))&lt;=5),VALUE(LEFT(A741,2)),""),IF(AND(VALUE(LEFT(A741,1))&gt;=1,VALUE(LEFT(A741,1))&lt;=5),VALUE(LEFT(A741,1)),"")),""),"")</f>
        <v/>
      </c>
      <c r="N741" s="25">
        <f>IF(L741=1,IF(ISNUMBER(FIND("#"&amp;MID(H741,1,1)&amp;"#","#0#1#2#3#4#5#6#7#8#9#")),IF(ISNUMBER(FIND("#"&amp;MID(H741,2,1)&amp;"#","#0#1#2#3#4#5#6#7#8#9#")),IF(AND(VALUE(LEFT(H741,2))&gt;=1,VALUE(LEFT(H741,2))&lt;=5),VALUE(LEFT(H741,2)),""),IF(AND(VALUE(LEFT(H741,1))&gt;=1,VALUE(LEFT(H741,1))&lt;=5),VALUE(LEFT(H741,1)),"")),""),"")</f>
        <v/>
      </c>
      <c r="O741" s="25">
        <f>IF(AND(L741=1,B741&lt;&gt;""),SUBSTITUTE(SUBSTITUTE(SUBSTITUTE(SUBSTITUTE(SUBSTITUTE(SUBSTITUTE(SUBSTITUTE(SUBSTITUTE(SUBSTITUTE(SUBSTITUTE(SUBSTITUTE(SUBSTITUTE(LOWER(TRIM(B741)),"á","a"),"é","e"),"í","i"),"ó","o"),"ú","u"),"ü","u"),"ñ","n"),"à","a"),"è","e"),"ì","i"),"ò","o"),"ù","u"),"")</f>
        <v/>
      </c>
      <c r="P741" s="25">
        <f>IF(AND(L741=1,C741&lt;&gt;""),SUBSTITUTE(SUBSTITUTE(SUBSTITUTE(SUBSTITUTE(SUBSTITUTE(SUBSTITUTE(SUBSTITUTE(SUBSTITUTE(SUBSTITUTE(SUBSTITUTE(SUBSTITUTE(SUBSTITUTE(LOWER(TRIM(C741)),"á","a"),"é","e"),"í","i"),"ó","o"),"ú","u"),"ü","u"),"ñ","n"),"à","a"),"è","e"),"ì","i"),"ò","o"),"ù","u"),"")</f>
        <v/>
      </c>
      <c r="Q741" s="25">
        <f>IF(AND(L741=1,E741&lt;&gt;""),SUBSTITUTE(SUBSTITUTE(SUBSTITUTE(SUBSTITUTE(SUBSTITUTE(SUBSTITUTE(SUBSTITUTE(SUBSTITUTE(SUBSTITUTE(SUBSTITUTE(SUBSTITUTE(SUBSTITUTE(LOWER(TRIM(E741)),"á","a"),"é","e"),"í","i"),"ó","o"),"ú","u"),"ü","u"),"ñ","n"),"à","a"),"è","e"),"ì","i"),"ò","o"),"ù","u"),"")</f>
        <v/>
      </c>
      <c r="R741" s="25">
        <f>IF(AND(L741=1,I741&lt;&gt;""),SUBSTITUTE(SUBSTITUTE(SUBSTITUTE(SUBSTITUTE(SUBSTITUTE(SUBSTITUTE(SUBSTITUTE(SUBSTITUTE(SUBSTITUTE(SUBSTITUTE(SUBSTITUTE(SUBSTITUTE(LOWER(TRIM(I741)),"á","a"),"é","e"),"í","i"),"ó","o"),"ú","u"),"ü","u"),"ñ","n"),"à","a"),"è","e"),"ì","i"),"ò","o"),"ù","u"),"")</f>
        <v/>
      </c>
      <c r="S741" s="25">
        <f>IF(R741="","",IF(OR(R741="si",R741="tal vez"),1,0))</f>
        <v/>
      </c>
      <c r="T741" s="25">
        <f>IF(AND(L741=1,D741&lt;&gt;""),IF(IFERROR(COUNTIFS(D$3:D741,"="&amp;SUBSTITUTE(SUBSTITUTE(SUBSTITUTE(D741,"~","~~"),"*","~*"),"?","~?"),L$3:L741,1),0)=1,MAX(T$2:T740)+1,""),"")</f>
        <v/>
      </c>
      <c r="U741" s="25">
        <f>IF(T741="","",COUNTIFS($D$3:$D$1002,"="&amp;SUBSTITUTE(SUBSTITUTE(SUBSTITUTE(D741,"~","~~"),"*","~*"),"?","~?"),$L$3:$L$1002,1)*10000-T741)</f>
        <v/>
      </c>
      <c r="V741" s="25">
        <f>IF(AND(L741=1,J741&lt;&gt;""),IF(IFERROR(COUNTIFS(J$3:J741,"="&amp;SUBSTITUTE(SUBSTITUTE(SUBSTITUTE(J741,"~","~~"),"*","~*"),"?","~?"),L$3:L741,1),0)=1,MAX(V$2:V740)+1,""),"")</f>
        <v/>
      </c>
      <c r="W741" s="25">
        <f>IF(V741="","",COUNTIFS($J$3:$J$1002,"="&amp;SUBSTITUTE(SUBSTITUTE(SUBSTITUTE(J741,"~","~~"),"*","~*"),"?","~?"),$L$3:$L$1002,1)*10000-V741)</f>
        <v/>
      </c>
    </row>
    <row r="742">
      <c r="A742">
        <f>IF(A$2=0,"",IFERROR(TRIM(INDEX('Pegar estudiantes'!$A$1:$BZ$1001,741,A$2)&amp;""),""))</f>
        <v/>
      </c>
      <c r="B742">
        <f>IF(B$2=0,"",IFERROR(TRIM(INDEX('Pegar estudiantes'!$A$1:$BZ$1001,741,B$2)&amp;""),""))</f>
        <v/>
      </c>
      <c r="C742">
        <f>IF(C$2=0,"",IFERROR(TRIM(INDEX('Pegar estudiantes'!$A$1:$BZ$1001,741,C$2)&amp;""),""))</f>
        <v/>
      </c>
      <c r="D742">
        <f>IF(D$2=0,"",IFERROR(TRIM(INDEX('Pegar estudiantes'!$A$1:$BZ$1001,741,D$2)&amp;""),""))</f>
        <v/>
      </c>
      <c r="E742">
        <f>IF(E$2=0,"",IFERROR(TRIM(INDEX('Pegar estudiantes'!$A$1:$BZ$1001,741,E$2)&amp;""),""))</f>
        <v/>
      </c>
      <c r="F742">
        <f>IF(F$2=0,"",IFERROR(TRIM(INDEX('Pegar estudiantes'!$A$1:$BZ$1001,741,F$2)&amp;""),""))</f>
        <v/>
      </c>
      <c r="G742">
        <f>IF(G$2=0,"",IFERROR(TRIM(INDEX('Pegar estudiantes'!$A$1:$BZ$1001,741,G$2)&amp;""),""))</f>
        <v/>
      </c>
      <c r="H742">
        <f>IF(H$2=0,"",IFERROR(TRIM(INDEX('Pegar estudiantes'!$A$1:$BZ$1001,741,H$2)&amp;""),""))</f>
        <v/>
      </c>
      <c r="I742">
        <f>IF(I$2=0,"",IFERROR(TRIM(INDEX('Pegar estudiantes'!$A$1:$BZ$1001,741,I$2)&amp;""),""))</f>
        <v/>
      </c>
      <c r="J742">
        <f>IF(J$2=0,"",IFERROR(TRIM(INDEX('Pegar estudiantes'!$A$1:$BZ$1001,741,J$2)&amp;""),""))</f>
        <v/>
      </c>
      <c r="K742">
        <f>IF(K$2=0,"",IFERROR(TRIM(INDEX('Pegar estudiantes'!$A$1:$BZ$1001,741,K$2)&amp;""),""))</f>
        <v/>
      </c>
      <c r="L742" s="25">
        <f>IF(A742&lt;&gt;"",1,"")</f>
        <v/>
      </c>
      <c r="M742" s="25">
        <f>IF(L742=1,IF(ISNUMBER(FIND("#"&amp;MID(A742,1,1)&amp;"#","#0#1#2#3#4#5#6#7#8#9#")),IF(ISNUMBER(FIND("#"&amp;MID(A742,2,1)&amp;"#","#0#1#2#3#4#5#6#7#8#9#")),IF(AND(VALUE(LEFT(A742,2))&gt;=1,VALUE(LEFT(A742,2))&lt;=5),VALUE(LEFT(A742,2)),""),IF(AND(VALUE(LEFT(A742,1))&gt;=1,VALUE(LEFT(A742,1))&lt;=5),VALUE(LEFT(A742,1)),"")),""),"")</f>
        <v/>
      </c>
      <c r="N742" s="25">
        <f>IF(L742=1,IF(ISNUMBER(FIND("#"&amp;MID(H742,1,1)&amp;"#","#0#1#2#3#4#5#6#7#8#9#")),IF(ISNUMBER(FIND("#"&amp;MID(H742,2,1)&amp;"#","#0#1#2#3#4#5#6#7#8#9#")),IF(AND(VALUE(LEFT(H742,2))&gt;=1,VALUE(LEFT(H742,2))&lt;=5),VALUE(LEFT(H742,2)),""),IF(AND(VALUE(LEFT(H742,1))&gt;=1,VALUE(LEFT(H742,1))&lt;=5),VALUE(LEFT(H742,1)),"")),""),"")</f>
        <v/>
      </c>
      <c r="O742" s="25">
        <f>IF(AND(L742=1,B742&lt;&gt;""),SUBSTITUTE(SUBSTITUTE(SUBSTITUTE(SUBSTITUTE(SUBSTITUTE(SUBSTITUTE(SUBSTITUTE(SUBSTITUTE(SUBSTITUTE(SUBSTITUTE(SUBSTITUTE(SUBSTITUTE(LOWER(TRIM(B742)),"á","a"),"é","e"),"í","i"),"ó","o"),"ú","u"),"ü","u"),"ñ","n"),"à","a"),"è","e"),"ì","i"),"ò","o"),"ù","u"),"")</f>
        <v/>
      </c>
      <c r="P742" s="25">
        <f>IF(AND(L742=1,C742&lt;&gt;""),SUBSTITUTE(SUBSTITUTE(SUBSTITUTE(SUBSTITUTE(SUBSTITUTE(SUBSTITUTE(SUBSTITUTE(SUBSTITUTE(SUBSTITUTE(SUBSTITUTE(SUBSTITUTE(SUBSTITUTE(LOWER(TRIM(C742)),"á","a"),"é","e"),"í","i"),"ó","o"),"ú","u"),"ü","u"),"ñ","n"),"à","a"),"è","e"),"ì","i"),"ò","o"),"ù","u"),"")</f>
        <v/>
      </c>
      <c r="Q742" s="25">
        <f>IF(AND(L742=1,E742&lt;&gt;""),SUBSTITUTE(SUBSTITUTE(SUBSTITUTE(SUBSTITUTE(SUBSTITUTE(SUBSTITUTE(SUBSTITUTE(SUBSTITUTE(SUBSTITUTE(SUBSTITUTE(SUBSTITUTE(SUBSTITUTE(LOWER(TRIM(E742)),"á","a"),"é","e"),"í","i"),"ó","o"),"ú","u"),"ü","u"),"ñ","n"),"à","a"),"è","e"),"ì","i"),"ò","o"),"ù","u"),"")</f>
        <v/>
      </c>
      <c r="R742" s="25">
        <f>IF(AND(L742=1,I742&lt;&gt;""),SUBSTITUTE(SUBSTITUTE(SUBSTITUTE(SUBSTITUTE(SUBSTITUTE(SUBSTITUTE(SUBSTITUTE(SUBSTITUTE(SUBSTITUTE(SUBSTITUTE(SUBSTITUTE(SUBSTITUTE(LOWER(TRIM(I742)),"á","a"),"é","e"),"í","i"),"ó","o"),"ú","u"),"ü","u"),"ñ","n"),"à","a"),"è","e"),"ì","i"),"ò","o"),"ù","u"),"")</f>
        <v/>
      </c>
      <c r="S742" s="25">
        <f>IF(R742="","",IF(OR(R742="si",R742="tal vez"),1,0))</f>
        <v/>
      </c>
      <c r="T742" s="25">
        <f>IF(AND(L742=1,D742&lt;&gt;""),IF(IFERROR(COUNTIFS(D$3:D742,"="&amp;SUBSTITUTE(SUBSTITUTE(SUBSTITUTE(D742,"~","~~"),"*","~*"),"?","~?"),L$3:L742,1),0)=1,MAX(T$2:T741)+1,""),"")</f>
        <v/>
      </c>
      <c r="U742" s="25">
        <f>IF(T742="","",COUNTIFS($D$3:$D$1002,"="&amp;SUBSTITUTE(SUBSTITUTE(SUBSTITUTE(D742,"~","~~"),"*","~*"),"?","~?"),$L$3:$L$1002,1)*10000-T742)</f>
        <v/>
      </c>
      <c r="V742" s="25">
        <f>IF(AND(L742=1,J742&lt;&gt;""),IF(IFERROR(COUNTIFS(J$3:J742,"="&amp;SUBSTITUTE(SUBSTITUTE(SUBSTITUTE(J742,"~","~~"),"*","~*"),"?","~?"),L$3:L742,1),0)=1,MAX(V$2:V741)+1,""),"")</f>
        <v/>
      </c>
      <c r="W742" s="25">
        <f>IF(V742="","",COUNTIFS($J$3:$J$1002,"="&amp;SUBSTITUTE(SUBSTITUTE(SUBSTITUTE(J742,"~","~~"),"*","~*"),"?","~?"),$L$3:$L$1002,1)*10000-V742)</f>
        <v/>
      </c>
    </row>
    <row r="743">
      <c r="A743">
        <f>IF(A$2=0,"",IFERROR(TRIM(INDEX('Pegar estudiantes'!$A$1:$BZ$1001,742,A$2)&amp;""),""))</f>
        <v/>
      </c>
      <c r="B743">
        <f>IF(B$2=0,"",IFERROR(TRIM(INDEX('Pegar estudiantes'!$A$1:$BZ$1001,742,B$2)&amp;""),""))</f>
        <v/>
      </c>
      <c r="C743">
        <f>IF(C$2=0,"",IFERROR(TRIM(INDEX('Pegar estudiantes'!$A$1:$BZ$1001,742,C$2)&amp;""),""))</f>
        <v/>
      </c>
      <c r="D743">
        <f>IF(D$2=0,"",IFERROR(TRIM(INDEX('Pegar estudiantes'!$A$1:$BZ$1001,742,D$2)&amp;""),""))</f>
        <v/>
      </c>
      <c r="E743">
        <f>IF(E$2=0,"",IFERROR(TRIM(INDEX('Pegar estudiantes'!$A$1:$BZ$1001,742,E$2)&amp;""),""))</f>
        <v/>
      </c>
      <c r="F743">
        <f>IF(F$2=0,"",IFERROR(TRIM(INDEX('Pegar estudiantes'!$A$1:$BZ$1001,742,F$2)&amp;""),""))</f>
        <v/>
      </c>
      <c r="G743">
        <f>IF(G$2=0,"",IFERROR(TRIM(INDEX('Pegar estudiantes'!$A$1:$BZ$1001,742,G$2)&amp;""),""))</f>
        <v/>
      </c>
      <c r="H743">
        <f>IF(H$2=0,"",IFERROR(TRIM(INDEX('Pegar estudiantes'!$A$1:$BZ$1001,742,H$2)&amp;""),""))</f>
        <v/>
      </c>
      <c r="I743">
        <f>IF(I$2=0,"",IFERROR(TRIM(INDEX('Pegar estudiantes'!$A$1:$BZ$1001,742,I$2)&amp;""),""))</f>
        <v/>
      </c>
      <c r="J743">
        <f>IF(J$2=0,"",IFERROR(TRIM(INDEX('Pegar estudiantes'!$A$1:$BZ$1001,742,J$2)&amp;""),""))</f>
        <v/>
      </c>
      <c r="K743">
        <f>IF(K$2=0,"",IFERROR(TRIM(INDEX('Pegar estudiantes'!$A$1:$BZ$1001,742,K$2)&amp;""),""))</f>
        <v/>
      </c>
      <c r="L743" s="25">
        <f>IF(A743&lt;&gt;"",1,"")</f>
        <v/>
      </c>
      <c r="M743" s="25">
        <f>IF(L743=1,IF(ISNUMBER(FIND("#"&amp;MID(A743,1,1)&amp;"#","#0#1#2#3#4#5#6#7#8#9#")),IF(ISNUMBER(FIND("#"&amp;MID(A743,2,1)&amp;"#","#0#1#2#3#4#5#6#7#8#9#")),IF(AND(VALUE(LEFT(A743,2))&gt;=1,VALUE(LEFT(A743,2))&lt;=5),VALUE(LEFT(A743,2)),""),IF(AND(VALUE(LEFT(A743,1))&gt;=1,VALUE(LEFT(A743,1))&lt;=5),VALUE(LEFT(A743,1)),"")),""),"")</f>
        <v/>
      </c>
      <c r="N743" s="25">
        <f>IF(L743=1,IF(ISNUMBER(FIND("#"&amp;MID(H743,1,1)&amp;"#","#0#1#2#3#4#5#6#7#8#9#")),IF(ISNUMBER(FIND("#"&amp;MID(H743,2,1)&amp;"#","#0#1#2#3#4#5#6#7#8#9#")),IF(AND(VALUE(LEFT(H743,2))&gt;=1,VALUE(LEFT(H743,2))&lt;=5),VALUE(LEFT(H743,2)),""),IF(AND(VALUE(LEFT(H743,1))&gt;=1,VALUE(LEFT(H743,1))&lt;=5),VALUE(LEFT(H743,1)),"")),""),"")</f>
        <v/>
      </c>
      <c r="O743" s="25">
        <f>IF(AND(L743=1,B743&lt;&gt;""),SUBSTITUTE(SUBSTITUTE(SUBSTITUTE(SUBSTITUTE(SUBSTITUTE(SUBSTITUTE(SUBSTITUTE(SUBSTITUTE(SUBSTITUTE(SUBSTITUTE(SUBSTITUTE(SUBSTITUTE(LOWER(TRIM(B743)),"á","a"),"é","e"),"í","i"),"ó","o"),"ú","u"),"ü","u"),"ñ","n"),"à","a"),"è","e"),"ì","i"),"ò","o"),"ù","u"),"")</f>
        <v/>
      </c>
      <c r="P743" s="25">
        <f>IF(AND(L743=1,C743&lt;&gt;""),SUBSTITUTE(SUBSTITUTE(SUBSTITUTE(SUBSTITUTE(SUBSTITUTE(SUBSTITUTE(SUBSTITUTE(SUBSTITUTE(SUBSTITUTE(SUBSTITUTE(SUBSTITUTE(SUBSTITUTE(LOWER(TRIM(C743)),"á","a"),"é","e"),"í","i"),"ó","o"),"ú","u"),"ü","u"),"ñ","n"),"à","a"),"è","e"),"ì","i"),"ò","o"),"ù","u"),"")</f>
        <v/>
      </c>
      <c r="Q743" s="25">
        <f>IF(AND(L743=1,E743&lt;&gt;""),SUBSTITUTE(SUBSTITUTE(SUBSTITUTE(SUBSTITUTE(SUBSTITUTE(SUBSTITUTE(SUBSTITUTE(SUBSTITUTE(SUBSTITUTE(SUBSTITUTE(SUBSTITUTE(SUBSTITUTE(LOWER(TRIM(E743)),"á","a"),"é","e"),"í","i"),"ó","o"),"ú","u"),"ü","u"),"ñ","n"),"à","a"),"è","e"),"ì","i"),"ò","o"),"ù","u"),"")</f>
        <v/>
      </c>
      <c r="R743" s="25">
        <f>IF(AND(L743=1,I743&lt;&gt;""),SUBSTITUTE(SUBSTITUTE(SUBSTITUTE(SUBSTITUTE(SUBSTITUTE(SUBSTITUTE(SUBSTITUTE(SUBSTITUTE(SUBSTITUTE(SUBSTITUTE(SUBSTITUTE(SUBSTITUTE(LOWER(TRIM(I743)),"á","a"),"é","e"),"í","i"),"ó","o"),"ú","u"),"ü","u"),"ñ","n"),"à","a"),"è","e"),"ì","i"),"ò","o"),"ù","u"),"")</f>
        <v/>
      </c>
      <c r="S743" s="25">
        <f>IF(R743="","",IF(OR(R743="si",R743="tal vez"),1,0))</f>
        <v/>
      </c>
      <c r="T743" s="25">
        <f>IF(AND(L743=1,D743&lt;&gt;""),IF(IFERROR(COUNTIFS(D$3:D743,"="&amp;SUBSTITUTE(SUBSTITUTE(SUBSTITUTE(D743,"~","~~"),"*","~*"),"?","~?"),L$3:L743,1),0)=1,MAX(T$2:T742)+1,""),"")</f>
        <v/>
      </c>
      <c r="U743" s="25">
        <f>IF(T743="","",COUNTIFS($D$3:$D$1002,"="&amp;SUBSTITUTE(SUBSTITUTE(SUBSTITUTE(D743,"~","~~"),"*","~*"),"?","~?"),$L$3:$L$1002,1)*10000-T743)</f>
        <v/>
      </c>
      <c r="V743" s="25">
        <f>IF(AND(L743=1,J743&lt;&gt;""),IF(IFERROR(COUNTIFS(J$3:J743,"="&amp;SUBSTITUTE(SUBSTITUTE(SUBSTITUTE(J743,"~","~~"),"*","~*"),"?","~?"),L$3:L743,1),0)=1,MAX(V$2:V742)+1,""),"")</f>
        <v/>
      </c>
      <c r="W743" s="25">
        <f>IF(V743="","",COUNTIFS($J$3:$J$1002,"="&amp;SUBSTITUTE(SUBSTITUTE(SUBSTITUTE(J743,"~","~~"),"*","~*"),"?","~?"),$L$3:$L$1002,1)*10000-V743)</f>
        <v/>
      </c>
    </row>
    <row r="744">
      <c r="A744">
        <f>IF(A$2=0,"",IFERROR(TRIM(INDEX('Pegar estudiantes'!$A$1:$BZ$1001,743,A$2)&amp;""),""))</f>
        <v/>
      </c>
      <c r="B744">
        <f>IF(B$2=0,"",IFERROR(TRIM(INDEX('Pegar estudiantes'!$A$1:$BZ$1001,743,B$2)&amp;""),""))</f>
        <v/>
      </c>
      <c r="C744">
        <f>IF(C$2=0,"",IFERROR(TRIM(INDEX('Pegar estudiantes'!$A$1:$BZ$1001,743,C$2)&amp;""),""))</f>
        <v/>
      </c>
      <c r="D744">
        <f>IF(D$2=0,"",IFERROR(TRIM(INDEX('Pegar estudiantes'!$A$1:$BZ$1001,743,D$2)&amp;""),""))</f>
        <v/>
      </c>
      <c r="E744">
        <f>IF(E$2=0,"",IFERROR(TRIM(INDEX('Pegar estudiantes'!$A$1:$BZ$1001,743,E$2)&amp;""),""))</f>
        <v/>
      </c>
      <c r="F744">
        <f>IF(F$2=0,"",IFERROR(TRIM(INDEX('Pegar estudiantes'!$A$1:$BZ$1001,743,F$2)&amp;""),""))</f>
        <v/>
      </c>
      <c r="G744">
        <f>IF(G$2=0,"",IFERROR(TRIM(INDEX('Pegar estudiantes'!$A$1:$BZ$1001,743,G$2)&amp;""),""))</f>
        <v/>
      </c>
      <c r="H744">
        <f>IF(H$2=0,"",IFERROR(TRIM(INDEX('Pegar estudiantes'!$A$1:$BZ$1001,743,H$2)&amp;""),""))</f>
        <v/>
      </c>
      <c r="I744">
        <f>IF(I$2=0,"",IFERROR(TRIM(INDEX('Pegar estudiantes'!$A$1:$BZ$1001,743,I$2)&amp;""),""))</f>
        <v/>
      </c>
      <c r="J744">
        <f>IF(J$2=0,"",IFERROR(TRIM(INDEX('Pegar estudiantes'!$A$1:$BZ$1001,743,J$2)&amp;""),""))</f>
        <v/>
      </c>
      <c r="K744">
        <f>IF(K$2=0,"",IFERROR(TRIM(INDEX('Pegar estudiantes'!$A$1:$BZ$1001,743,K$2)&amp;""),""))</f>
        <v/>
      </c>
      <c r="L744" s="25">
        <f>IF(A744&lt;&gt;"",1,"")</f>
        <v/>
      </c>
      <c r="M744" s="25">
        <f>IF(L744=1,IF(ISNUMBER(FIND("#"&amp;MID(A744,1,1)&amp;"#","#0#1#2#3#4#5#6#7#8#9#")),IF(ISNUMBER(FIND("#"&amp;MID(A744,2,1)&amp;"#","#0#1#2#3#4#5#6#7#8#9#")),IF(AND(VALUE(LEFT(A744,2))&gt;=1,VALUE(LEFT(A744,2))&lt;=5),VALUE(LEFT(A744,2)),""),IF(AND(VALUE(LEFT(A744,1))&gt;=1,VALUE(LEFT(A744,1))&lt;=5),VALUE(LEFT(A744,1)),"")),""),"")</f>
        <v/>
      </c>
      <c r="N744" s="25">
        <f>IF(L744=1,IF(ISNUMBER(FIND("#"&amp;MID(H744,1,1)&amp;"#","#0#1#2#3#4#5#6#7#8#9#")),IF(ISNUMBER(FIND("#"&amp;MID(H744,2,1)&amp;"#","#0#1#2#3#4#5#6#7#8#9#")),IF(AND(VALUE(LEFT(H744,2))&gt;=1,VALUE(LEFT(H744,2))&lt;=5),VALUE(LEFT(H744,2)),""),IF(AND(VALUE(LEFT(H744,1))&gt;=1,VALUE(LEFT(H744,1))&lt;=5),VALUE(LEFT(H744,1)),"")),""),"")</f>
        <v/>
      </c>
      <c r="O744" s="25">
        <f>IF(AND(L744=1,B744&lt;&gt;""),SUBSTITUTE(SUBSTITUTE(SUBSTITUTE(SUBSTITUTE(SUBSTITUTE(SUBSTITUTE(SUBSTITUTE(SUBSTITUTE(SUBSTITUTE(SUBSTITUTE(SUBSTITUTE(SUBSTITUTE(LOWER(TRIM(B744)),"á","a"),"é","e"),"í","i"),"ó","o"),"ú","u"),"ü","u"),"ñ","n"),"à","a"),"è","e"),"ì","i"),"ò","o"),"ù","u"),"")</f>
        <v/>
      </c>
      <c r="P744" s="25">
        <f>IF(AND(L744=1,C744&lt;&gt;""),SUBSTITUTE(SUBSTITUTE(SUBSTITUTE(SUBSTITUTE(SUBSTITUTE(SUBSTITUTE(SUBSTITUTE(SUBSTITUTE(SUBSTITUTE(SUBSTITUTE(SUBSTITUTE(SUBSTITUTE(LOWER(TRIM(C744)),"á","a"),"é","e"),"í","i"),"ó","o"),"ú","u"),"ü","u"),"ñ","n"),"à","a"),"è","e"),"ì","i"),"ò","o"),"ù","u"),"")</f>
        <v/>
      </c>
      <c r="Q744" s="25">
        <f>IF(AND(L744=1,E744&lt;&gt;""),SUBSTITUTE(SUBSTITUTE(SUBSTITUTE(SUBSTITUTE(SUBSTITUTE(SUBSTITUTE(SUBSTITUTE(SUBSTITUTE(SUBSTITUTE(SUBSTITUTE(SUBSTITUTE(SUBSTITUTE(LOWER(TRIM(E744)),"á","a"),"é","e"),"í","i"),"ó","o"),"ú","u"),"ü","u"),"ñ","n"),"à","a"),"è","e"),"ì","i"),"ò","o"),"ù","u"),"")</f>
        <v/>
      </c>
      <c r="R744" s="25">
        <f>IF(AND(L744=1,I744&lt;&gt;""),SUBSTITUTE(SUBSTITUTE(SUBSTITUTE(SUBSTITUTE(SUBSTITUTE(SUBSTITUTE(SUBSTITUTE(SUBSTITUTE(SUBSTITUTE(SUBSTITUTE(SUBSTITUTE(SUBSTITUTE(LOWER(TRIM(I744)),"á","a"),"é","e"),"í","i"),"ó","o"),"ú","u"),"ü","u"),"ñ","n"),"à","a"),"è","e"),"ì","i"),"ò","o"),"ù","u"),"")</f>
        <v/>
      </c>
      <c r="S744" s="25">
        <f>IF(R744="","",IF(OR(R744="si",R744="tal vez"),1,0))</f>
        <v/>
      </c>
      <c r="T744" s="25">
        <f>IF(AND(L744=1,D744&lt;&gt;""),IF(IFERROR(COUNTIFS(D$3:D744,"="&amp;SUBSTITUTE(SUBSTITUTE(SUBSTITUTE(D744,"~","~~"),"*","~*"),"?","~?"),L$3:L744,1),0)=1,MAX(T$2:T743)+1,""),"")</f>
        <v/>
      </c>
      <c r="U744" s="25">
        <f>IF(T744="","",COUNTIFS($D$3:$D$1002,"="&amp;SUBSTITUTE(SUBSTITUTE(SUBSTITUTE(D744,"~","~~"),"*","~*"),"?","~?"),$L$3:$L$1002,1)*10000-T744)</f>
        <v/>
      </c>
      <c r="V744" s="25">
        <f>IF(AND(L744=1,J744&lt;&gt;""),IF(IFERROR(COUNTIFS(J$3:J744,"="&amp;SUBSTITUTE(SUBSTITUTE(SUBSTITUTE(J744,"~","~~"),"*","~*"),"?","~?"),L$3:L744,1),0)=1,MAX(V$2:V743)+1,""),"")</f>
        <v/>
      </c>
      <c r="W744" s="25">
        <f>IF(V744="","",COUNTIFS($J$3:$J$1002,"="&amp;SUBSTITUTE(SUBSTITUTE(SUBSTITUTE(J744,"~","~~"),"*","~*"),"?","~?"),$L$3:$L$1002,1)*10000-V744)</f>
        <v/>
      </c>
    </row>
    <row r="745">
      <c r="A745">
        <f>IF(A$2=0,"",IFERROR(TRIM(INDEX('Pegar estudiantes'!$A$1:$BZ$1001,744,A$2)&amp;""),""))</f>
        <v/>
      </c>
      <c r="B745">
        <f>IF(B$2=0,"",IFERROR(TRIM(INDEX('Pegar estudiantes'!$A$1:$BZ$1001,744,B$2)&amp;""),""))</f>
        <v/>
      </c>
      <c r="C745">
        <f>IF(C$2=0,"",IFERROR(TRIM(INDEX('Pegar estudiantes'!$A$1:$BZ$1001,744,C$2)&amp;""),""))</f>
        <v/>
      </c>
      <c r="D745">
        <f>IF(D$2=0,"",IFERROR(TRIM(INDEX('Pegar estudiantes'!$A$1:$BZ$1001,744,D$2)&amp;""),""))</f>
        <v/>
      </c>
      <c r="E745">
        <f>IF(E$2=0,"",IFERROR(TRIM(INDEX('Pegar estudiantes'!$A$1:$BZ$1001,744,E$2)&amp;""),""))</f>
        <v/>
      </c>
      <c r="F745">
        <f>IF(F$2=0,"",IFERROR(TRIM(INDEX('Pegar estudiantes'!$A$1:$BZ$1001,744,F$2)&amp;""),""))</f>
        <v/>
      </c>
      <c r="G745">
        <f>IF(G$2=0,"",IFERROR(TRIM(INDEX('Pegar estudiantes'!$A$1:$BZ$1001,744,G$2)&amp;""),""))</f>
        <v/>
      </c>
      <c r="H745">
        <f>IF(H$2=0,"",IFERROR(TRIM(INDEX('Pegar estudiantes'!$A$1:$BZ$1001,744,H$2)&amp;""),""))</f>
        <v/>
      </c>
      <c r="I745">
        <f>IF(I$2=0,"",IFERROR(TRIM(INDEX('Pegar estudiantes'!$A$1:$BZ$1001,744,I$2)&amp;""),""))</f>
        <v/>
      </c>
      <c r="J745">
        <f>IF(J$2=0,"",IFERROR(TRIM(INDEX('Pegar estudiantes'!$A$1:$BZ$1001,744,J$2)&amp;""),""))</f>
        <v/>
      </c>
      <c r="K745">
        <f>IF(K$2=0,"",IFERROR(TRIM(INDEX('Pegar estudiantes'!$A$1:$BZ$1001,744,K$2)&amp;""),""))</f>
        <v/>
      </c>
      <c r="L745" s="25">
        <f>IF(A745&lt;&gt;"",1,"")</f>
        <v/>
      </c>
      <c r="M745" s="25">
        <f>IF(L745=1,IF(ISNUMBER(FIND("#"&amp;MID(A745,1,1)&amp;"#","#0#1#2#3#4#5#6#7#8#9#")),IF(ISNUMBER(FIND("#"&amp;MID(A745,2,1)&amp;"#","#0#1#2#3#4#5#6#7#8#9#")),IF(AND(VALUE(LEFT(A745,2))&gt;=1,VALUE(LEFT(A745,2))&lt;=5),VALUE(LEFT(A745,2)),""),IF(AND(VALUE(LEFT(A745,1))&gt;=1,VALUE(LEFT(A745,1))&lt;=5),VALUE(LEFT(A745,1)),"")),""),"")</f>
        <v/>
      </c>
      <c r="N745" s="25">
        <f>IF(L745=1,IF(ISNUMBER(FIND("#"&amp;MID(H745,1,1)&amp;"#","#0#1#2#3#4#5#6#7#8#9#")),IF(ISNUMBER(FIND("#"&amp;MID(H745,2,1)&amp;"#","#0#1#2#3#4#5#6#7#8#9#")),IF(AND(VALUE(LEFT(H745,2))&gt;=1,VALUE(LEFT(H745,2))&lt;=5),VALUE(LEFT(H745,2)),""),IF(AND(VALUE(LEFT(H745,1))&gt;=1,VALUE(LEFT(H745,1))&lt;=5),VALUE(LEFT(H745,1)),"")),""),"")</f>
        <v/>
      </c>
      <c r="O745" s="25">
        <f>IF(AND(L745=1,B745&lt;&gt;""),SUBSTITUTE(SUBSTITUTE(SUBSTITUTE(SUBSTITUTE(SUBSTITUTE(SUBSTITUTE(SUBSTITUTE(SUBSTITUTE(SUBSTITUTE(SUBSTITUTE(SUBSTITUTE(SUBSTITUTE(LOWER(TRIM(B745)),"á","a"),"é","e"),"í","i"),"ó","o"),"ú","u"),"ü","u"),"ñ","n"),"à","a"),"è","e"),"ì","i"),"ò","o"),"ù","u"),"")</f>
        <v/>
      </c>
      <c r="P745" s="25">
        <f>IF(AND(L745=1,C745&lt;&gt;""),SUBSTITUTE(SUBSTITUTE(SUBSTITUTE(SUBSTITUTE(SUBSTITUTE(SUBSTITUTE(SUBSTITUTE(SUBSTITUTE(SUBSTITUTE(SUBSTITUTE(SUBSTITUTE(SUBSTITUTE(LOWER(TRIM(C745)),"á","a"),"é","e"),"í","i"),"ó","o"),"ú","u"),"ü","u"),"ñ","n"),"à","a"),"è","e"),"ì","i"),"ò","o"),"ù","u"),"")</f>
        <v/>
      </c>
      <c r="Q745" s="25">
        <f>IF(AND(L745=1,E745&lt;&gt;""),SUBSTITUTE(SUBSTITUTE(SUBSTITUTE(SUBSTITUTE(SUBSTITUTE(SUBSTITUTE(SUBSTITUTE(SUBSTITUTE(SUBSTITUTE(SUBSTITUTE(SUBSTITUTE(SUBSTITUTE(LOWER(TRIM(E745)),"á","a"),"é","e"),"í","i"),"ó","o"),"ú","u"),"ü","u"),"ñ","n"),"à","a"),"è","e"),"ì","i"),"ò","o"),"ù","u"),"")</f>
        <v/>
      </c>
      <c r="R745" s="25">
        <f>IF(AND(L745=1,I745&lt;&gt;""),SUBSTITUTE(SUBSTITUTE(SUBSTITUTE(SUBSTITUTE(SUBSTITUTE(SUBSTITUTE(SUBSTITUTE(SUBSTITUTE(SUBSTITUTE(SUBSTITUTE(SUBSTITUTE(SUBSTITUTE(LOWER(TRIM(I745)),"á","a"),"é","e"),"í","i"),"ó","o"),"ú","u"),"ü","u"),"ñ","n"),"à","a"),"è","e"),"ì","i"),"ò","o"),"ù","u"),"")</f>
        <v/>
      </c>
      <c r="S745" s="25">
        <f>IF(R745="","",IF(OR(R745="si",R745="tal vez"),1,0))</f>
        <v/>
      </c>
      <c r="T745" s="25">
        <f>IF(AND(L745=1,D745&lt;&gt;""),IF(IFERROR(COUNTIFS(D$3:D745,"="&amp;SUBSTITUTE(SUBSTITUTE(SUBSTITUTE(D745,"~","~~"),"*","~*"),"?","~?"),L$3:L745,1),0)=1,MAX(T$2:T744)+1,""),"")</f>
        <v/>
      </c>
      <c r="U745" s="25">
        <f>IF(T745="","",COUNTIFS($D$3:$D$1002,"="&amp;SUBSTITUTE(SUBSTITUTE(SUBSTITUTE(D745,"~","~~"),"*","~*"),"?","~?"),$L$3:$L$1002,1)*10000-T745)</f>
        <v/>
      </c>
      <c r="V745" s="25">
        <f>IF(AND(L745=1,J745&lt;&gt;""),IF(IFERROR(COUNTIFS(J$3:J745,"="&amp;SUBSTITUTE(SUBSTITUTE(SUBSTITUTE(J745,"~","~~"),"*","~*"),"?","~?"),L$3:L745,1),0)=1,MAX(V$2:V744)+1,""),"")</f>
        <v/>
      </c>
      <c r="W745" s="25">
        <f>IF(V745="","",COUNTIFS($J$3:$J$1002,"="&amp;SUBSTITUTE(SUBSTITUTE(SUBSTITUTE(J745,"~","~~"),"*","~*"),"?","~?"),$L$3:$L$1002,1)*10000-V745)</f>
        <v/>
      </c>
    </row>
    <row r="746">
      <c r="A746">
        <f>IF(A$2=0,"",IFERROR(TRIM(INDEX('Pegar estudiantes'!$A$1:$BZ$1001,745,A$2)&amp;""),""))</f>
        <v/>
      </c>
      <c r="B746">
        <f>IF(B$2=0,"",IFERROR(TRIM(INDEX('Pegar estudiantes'!$A$1:$BZ$1001,745,B$2)&amp;""),""))</f>
        <v/>
      </c>
      <c r="C746">
        <f>IF(C$2=0,"",IFERROR(TRIM(INDEX('Pegar estudiantes'!$A$1:$BZ$1001,745,C$2)&amp;""),""))</f>
        <v/>
      </c>
      <c r="D746">
        <f>IF(D$2=0,"",IFERROR(TRIM(INDEX('Pegar estudiantes'!$A$1:$BZ$1001,745,D$2)&amp;""),""))</f>
        <v/>
      </c>
      <c r="E746">
        <f>IF(E$2=0,"",IFERROR(TRIM(INDEX('Pegar estudiantes'!$A$1:$BZ$1001,745,E$2)&amp;""),""))</f>
        <v/>
      </c>
      <c r="F746">
        <f>IF(F$2=0,"",IFERROR(TRIM(INDEX('Pegar estudiantes'!$A$1:$BZ$1001,745,F$2)&amp;""),""))</f>
        <v/>
      </c>
      <c r="G746">
        <f>IF(G$2=0,"",IFERROR(TRIM(INDEX('Pegar estudiantes'!$A$1:$BZ$1001,745,G$2)&amp;""),""))</f>
        <v/>
      </c>
      <c r="H746">
        <f>IF(H$2=0,"",IFERROR(TRIM(INDEX('Pegar estudiantes'!$A$1:$BZ$1001,745,H$2)&amp;""),""))</f>
        <v/>
      </c>
      <c r="I746">
        <f>IF(I$2=0,"",IFERROR(TRIM(INDEX('Pegar estudiantes'!$A$1:$BZ$1001,745,I$2)&amp;""),""))</f>
        <v/>
      </c>
      <c r="J746">
        <f>IF(J$2=0,"",IFERROR(TRIM(INDEX('Pegar estudiantes'!$A$1:$BZ$1001,745,J$2)&amp;""),""))</f>
        <v/>
      </c>
      <c r="K746">
        <f>IF(K$2=0,"",IFERROR(TRIM(INDEX('Pegar estudiantes'!$A$1:$BZ$1001,745,K$2)&amp;""),""))</f>
        <v/>
      </c>
      <c r="L746" s="25">
        <f>IF(A746&lt;&gt;"",1,"")</f>
        <v/>
      </c>
      <c r="M746" s="25">
        <f>IF(L746=1,IF(ISNUMBER(FIND("#"&amp;MID(A746,1,1)&amp;"#","#0#1#2#3#4#5#6#7#8#9#")),IF(ISNUMBER(FIND("#"&amp;MID(A746,2,1)&amp;"#","#0#1#2#3#4#5#6#7#8#9#")),IF(AND(VALUE(LEFT(A746,2))&gt;=1,VALUE(LEFT(A746,2))&lt;=5),VALUE(LEFT(A746,2)),""),IF(AND(VALUE(LEFT(A746,1))&gt;=1,VALUE(LEFT(A746,1))&lt;=5),VALUE(LEFT(A746,1)),"")),""),"")</f>
        <v/>
      </c>
      <c r="N746" s="25">
        <f>IF(L746=1,IF(ISNUMBER(FIND("#"&amp;MID(H746,1,1)&amp;"#","#0#1#2#3#4#5#6#7#8#9#")),IF(ISNUMBER(FIND("#"&amp;MID(H746,2,1)&amp;"#","#0#1#2#3#4#5#6#7#8#9#")),IF(AND(VALUE(LEFT(H746,2))&gt;=1,VALUE(LEFT(H746,2))&lt;=5),VALUE(LEFT(H746,2)),""),IF(AND(VALUE(LEFT(H746,1))&gt;=1,VALUE(LEFT(H746,1))&lt;=5),VALUE(LEFT(H746,1)),"")),""),"")</f>
        <v/>
      </c>
      <c r="O746" s="25">
        <f>IF(AND(L746=1,B746&lt;&gt;""),SUBSTITUTE(SUBSTITUTE(SUBSTITUTE(SUBSTITUTE(SUBSTITUTE(SUBSTITUTE(SUBSTITUTE(SUBSTITUTE(SUBSTITUTE(SUBSTITUTE(SUBSTITUTE(SUBSTITUTE(LOWER(TRIM(B746)),"á","a"),"é","e"),"í","i"),"ó","o"),"ú","u"),"ü","u"),"ñ","n"),"à","a"),"è","e"),"ì","i"),"ò","o"),"ù","u"),"")</f>
        <v/>
      </c>
      <c r="P746" s="25">
        <f>IF(AND(L746=1,C746&lt;&gt;""),SUBSTITUTE(SUBSTITUTE(SUBSTITUTE(SUBSTITUTE(SUBSTITUTE(SUBSTITUTE(SUBSTITUTE(SUBSTITUTE(SUBSTITUTE(SUBSTITUTE(SUBSTITUTE(SUBSTITUTE(LOWER(TRIM(C746)),"á","a"),"é","e"),"í","i"),"ó","o"),"ú","u"),"ü","u"),"ñ","n"),"à","a"),"è","e"),"ì","i"),"ò","o"),"ù","u"),"")</f>
        <v/>
      </c>
      <c r="Q746" s="25">
        <f>IF(AND(L746=1,E746&lt;&gt;""),SUBSTITUTE(SUBSTITUTE(SUBSTITUTE(SUBSTITUTE(SUBSTITUTE(SUBSTITUTE(SUBSTITUTE(SUBSTITUTE(SUBSTITUTE(SUBSTITUTE(SUBSTITUTE(SUBSTITUTE(LOWER(TRIM(E746)),"á","a"),"é","e"),"í","i"),"ó","o"),"ú","u"),"ü","u"),"ñ","n"),"à","a"),"è","e"),"ì","i"),"ò","o"),"ù","u"),"")</f>
        <v/>
      </c>
      <c r="R746" s="25">
        <f>IF(AND(L746=1,I746&lt;&gt;""),SUBSTITUTE(SUBSTITUTE(SUBSTITUTE(SUBSTITUTE(SUBSTITUTE(SUBSTITUTE(SUBSTITUTE(SUBSTITUTE(SUBSTITUTE(SUBSTITUTE(SUBSTITUTE(SUBSTITUTE(LOWER(TRIM(I746)),"á","a"),"é","e"),"í","i"),"ó","o"),"ú","u"),"ü","u"),"ñ","n"),"à","a"),"è","e"),"ì","i"),"ò","o"),"ù","u"),"")</f>
        <v/>
      </c>
      <c r="S746" s="25">
        <f>IF(R746="","",IF(OR(R746="si",R746="tal vez"),1,0))</f>
        <v/>
      </c>
      <c r="T746" s="25">
        <f>IF(AND(L746=1,D746&lt;&gt;""),IF(IFERROR(COUNTIFS(D$3:D746,"="&amp;SUBSTITUTE(SUBSTITUTE(SUBSTITUTE(D746,"~","~~"),"*","~*"),"?","~?"),L$3:L746,1),0)=1,MAX(T$2:T745)+1,""),"")</f>
        <v/>
      </c>
      <c r="U746" s="25">
        <f>IF(T746="","",COUNTIFS($D$3:$D$1002,"="&amp;SUBSTITUTE(SUBSTITUTE(SUBSTITUTE(D746,"~","~~"),"*","~*"),"?","~?"),$L$3:$L$1002,1)*10000-T746)</f>
        <v/>
      </c>
      <c r="V746" s="25">
        <f>IF(AND(L746=1,J746&lt;&gt;""),IF(IFERROR(COUNTIFS(J$3:J746,"="&amp;SUBSTITUTE(SUBSTITUTE(SUBSTITUTE(J746,"~","~~"),"*","~*"),"?","~?"),L$3:L746,1),0)=1,MAX(V$2:V745)+1,""),"")</f>
        <v/>
      </c>
      <c r="W746" s="25">
        <f>IF(V746="","",COUNTIFS($J$3:$J$1002,"="&amp;SUBSTITUTE(SUBSTITUTE(SUBSTITUTE(J746,"~","~~"),"*","~*"),"?","~?"),$L$3:$L$1002,1)*10000-V746)</f>
        <v/>
      </c>
    </row>
    <row r="747">
      <c r="A747">
        <f>IF(A$2=0,"",IFERROR(TRIM(INDEX('Pegar estudiantes'!$A$1:$BZ$1001,746,A$2)&amp;""),""))</f>
        <v/>
      </c>
      <c r="B747">
        <f>IF(B$2=0,"",IFERROR(TRIM(INDEX('Pegar estudiantes'!$A$1:$BZ$1001,746,B$2)&amp;""),""))</f>
        <v/>
      </c>
      <c r="C747">
        <f>IF(C$2=0,"",IFERROR(TRIM(INDEX('Pegar estudiantes'!$A$1:$BZ$1001,746,C$2)&amp;""),""))</f>
        <v/>
      </c>
      <c r="D747">
        <f>IF(D$2=0,"",IFERROR(TRIM(INDEX('Pegar estudiantes'!$A$1:$BZ$1001,746,D$2)&amp;""),""))</f>
        <v/>
      </c>
      <c r="E747">
        <f>IF(E$2=0,"",IFERROR(TRIM(INDEX('Pegar estudiantes'!$A$1:$BZ$1001,746,E$2)&amp;""),""))</f>
        <v/>
      </c>
      <c r="F747">
        <f>IF(F$2=0,"",IFERROR(TRIM(INDEX('Pegar estudiantes'!$A$1:$BZ$1001,746,F$2)&amp;""),""))</f>
        <v/>
      </c>
      <c r="G747">
        <f>IF(G$2=0,"",IFERROR(TRIM(INDEX('Pegar estudiantes'!$A$1:$BZ$1001,746,G$2)&amp;""),""))</f>
        <v/>
      </c>
      <c r="H747">
        <f>IF(H$2=0,"",IFERROR(TRIM(INDEX('Pegar estudiantes'!$A$1:$BZ$1001,746,H$2)&amp;""),""))</f>
        <v/>
      </c>
      <c r="I747">
        <f>IF(I$2=0,"",IFERROR(TRIM(INDEX('Pegar estudiantes'!$A$1:$BZ$1001,746,I$2)&amp;""),""))</f>
        <v/>
      </c>
      <c r="J747">
        <f>IF(J$2=0,"",IFERROR(TRIM(INDEX('Pegar estudiantes'!$A$1:$BZ$1001,746,J$2)&amp;""),""))</f>
        <v/>
      </c>
      <c r="K747">
        <f>IF(K$2=0,"",IFERROR(TRIM(INDEX('Pegar estudiantes'!$A$1:$BZ$1001,746,K$2)&amp;""),""))</f>
        <v/>
      </c>
      <c r="L747" s="25">
        <f>IF(A747&lt;&gt;"",1,"")</f>
        <v/>
      </c>
      <c r="M747" s="25">
        <f>IF(L747=1,IF(ISNUMBER(FIND("#"&amp;MID(A747,1,1)&amp;"#","#0#1#2#3#4#5#6#7#8#9#")),IF(ISNUMBER(FIND("#"&amp;MID(A747,2,1)&amp;"#","#0#1#2#3#4#5#6#7#8#9#")),IF(AND(VALUE(LEFT(A747,2))&gt;=1,VALUE(LEFT(A747,2))&lt;=5),VALUE(LEFT(A747,2)),""),IF(AND(VALUE(LEFT(A747,1))&gt;=1,VALUE(LEFT(A747,1))&lt;=5),VALUE(LEFT(A747,1)),"")),""),"")</f>
        <v/>
      </c>
      <c r="N747" s="25">
        <f>IF(L747=1,IF(ISNUMBER(FIND("#"&amp;MID(H747,1,1)&amp;"#","#0#1#2#3#4#5#6#7#8#9#")),IF(ISNUMBER(FIND("#"&amp;MID(H747,2,1)&amp;"#","#0#1#2#3#4#5#6#7#8#9#")),IF(AND(VALUE(LEFT(H747,2))&gt;=1,VALUE(LEFT(H747,2))&lt;=5),VALUE(LEFT(H747,2)),""),IF(AND(VALUE(LEFT(H747,1))&gt;=1,VALUE(LEFT(H747,1))&lt;=5),VALUE(LEFT(H747,1)),"")),""),"")</f>
        <v/>
      </c>
      <c r="O747" s="25">
        <f>IF(AND(L747=1,B747&lt;&gt;""),SUBSTITUTE(SUBSTITUTE(SUBSTITUTE(SUBSTITUTE(SUBSTITUTE(SUBSTITUTE(SUBSTITUTE(SUBSTITUTE(SUBSTITUTE(SUBSTITUTE(SUBSTITUTE(SUBSTITUTE(LOWER(TRIM(B747)),"á","a"),"é","e"),"í","i"),"ó","o"),"ú","u"),"ü","u"),"ñ","n"),"à","a"),"è","e"),"ì","i"),"ò","o"),"ù","u"),"")</f>
        <v/>
      </c>
      <c r="P747" s="25">
        <f>IF(AND(L747=1,C747&lt;&gt;""),SUBSTITUTE(SUBSTITUTE(SUBSTITUTE(SUBSTITUTE(SUBSTITUTE(SUBSTITUTE(SUBSTITUTE(SUBSTITUTE(SUBSTITUTE(SUBSTITUTE(SUBSTITUTE(SUBSTITUTE(LOWER(TRIM(C747)),"á","a"),"é","e"),"í","i"),"ó","o"),"ú","u"),"ü","u"),"ñ","n"),"à","a"),"è","e"),"ì","i"),"ò","o"),"ù","u"),"")</f>
        <v/>
      </c>
      <c r="Q747" s="25">
        <f>IF(AND(L747=1,E747&lt;&gt;""),SUBSTITUTE(SUBSTITUTE(SUBSTITUTE(SUBSTITUTE(SUBSTITUTE(SUBSTITUTE(SUBSTITUTE(SUBSTITUTE(SUBSTITUTE(SUBSTITUTE(SUBSTITUTE(SUBSTITUTE(LOWER(TRIM(E747)),"á","a"),"é","e"),"í","i"),"ó","o"),"ú","u"),"ü","u"),"ñ","n"),"à","a"),"è","e"),"ì","i"),"ò","o"),"ù","u"),"")</f>
        <v/>
      </c>
      <c r="R747" s="25">
        <f>IF(AND(L747=1,I747&lt;&gt;""),SUBSTITUTE(SUBSTITUTE(SUBSTITUTE(SUBSTITUTE(SUBSTITUTE(SUBSTITUTE(SUBSTITUTE(SUBSTITUTE(SUBSTITUTE(SUBSTITUTE(SUBSTITUTE(SUBSTITUTE(LOWER(TRIM(I747)),"á","a"),"é","e"),"í","i"),"ó","o"),"ú","u"),"ü","u"),"ñ","n"),"à","a"),"è","e"),"ì","i"),"ò","o"),"ù","u"),"")</f>
        <v/>
      </c>
      <c r="S747" s="25">
        <f>IF(R747="","",IF(OR(R747="si",R747="tal vez"),1,0))</f>
        <v/>
      </c>
      <c r="T747" s="25">
        <f>IF(AND(L747=1,D747&lt;&gt;""),IF(IFERROR(COUNTIFS(D$3:D747,"="&amp;SUBSTITUTE(SUBSTITUTE(SUBSTITUTE(D747,"~","~~"),"*","~*"),"?","~?"),L$3:L747,1),0)=1,MAX(T$2:T746)+1,""),"")</f>
        <v/>
      </c>
      <c r="U747" s="25">
        <f>IF(T747="","",COUNTIFS($D$3:$D$1002,"="&amp;SUBSTITUTE(SUBSTITUTE(SUBSTITUTE(D747,"~","~~"),"*","~*"),"?","~?"),$L$3:$L$1002,1)*10000-T747)</f>
        <v/>
      </c>
      <c r="V747" s="25">
        <f>IF(AND(L747=1,J747&lt;&gt;""),IF(IFERROR(COUNTIFS(J$3:J747,"="&amp;SUBSTITUTE(SUBSTITUTE(SUBSTITUTE(J747,"~","~~"),"*","~*"),"?","~?"),L$3:L747,1),0)=1,MAX(V$2:V746)+1,""),"")</f>
        <v/>
      </c>
      <c r="W747" s="25">
        <f>IF(V747="","",COUNTIFS($J$3:$J$1002,"="&amp;SUBSTITUTE(SUBSTITUTE(SUBSTITUTE(J747,"~","~~"),"*","~*"),"?","~?"),$L$3:$L$1002,1)*10000-V747)</f>
        <v/>
      </c>
    </row>
    <row r="748">
      <c r="A748">
        <f>IF(A$2=0,"",IFERROR(TRIM(INDEX('Pegar estudiantes'!$A$1:$BZ$1001,747,A$2)&amp;""),""))</f>
        <v/>
      </c>
      <c r="B748">
        <f>IF(B$2=0,"",IFERROR(TRIM(INDEX('Pegar estudiantes'!$A$1:$BZ$1001,747,B$2)&amp;""),""))</f>
        <v/>
      </c>
      <c r="C748">
        <f>IF(C$2=0,"",IFERROR(TRIM(INDEX('Pegar estudiantes'!$A$1:$BZ$1001,747,C$2)&amp;""),""))</f>
        <v/>
      </c>
      <c r="D748">
        <f>IF(D$2=0,"",IFERROR(TRIM(INDEX('Pegar estudiantes'!$A$1:$BZ$1001,747,D$2)&amp;""),""))</f>
        <v/>
      </c>
      <c r="E748">
        <f>IF(E$2=0,"",IFERROR(TRIM(INDEX('Pegar estudiantes'!$A$1:$BZ$1001,747,E$2)&amp;""),""))</f>
        <v/>
      </c>
      <c r="F748">
        <f>IF(F$2=0,"",IFERROR(TRIM(INDEX('Pegar estudiantes'!$A$1:$BZ$1001,747,F$2)&amp;""),""))</f>
        <v/>
      </c>
      <c r="G748">
        <f>IF(G$2=0,"",IFERROR(TRIM(INDEX('Pegar estudiantes'!$A$1:$BZ$1001,747,G$2)&amp;""),""))</f>
        <v/>
      </c>
      <c r="H748">
        <f>IF(H$2=0,"",IFERROR(TRIM(INDEX('Pegar estudiantes'!$A$1:$BZ$1001,747,H$2)&amp;""),""))</f>
        <v/>
      </c>
      <c r="I748">
        <f>IF(I$2=0,"",IFERROR(TRIM(INDEX('Pegar estudiantes'!$A$1:$BZ$1001,747,I$2)&amp;""),""))</f>
        <v/>
      </c>
      <c r="J748">
        <f>IF(J$2=0,"",IFERROR(TRIM(INDEX('Pegar estudiantes'!$A$1:$BZ$1001,747,J$2)&amp;""),""))</f>
        <v/>
      </c>
      <c r="K748">
        <f>IF(K$2=0,"",IFERROR(TRIM(INDEX('Pegar estudiantes'!$A$1:$BZ$1001,747,K$2)&amp;""),""))</f>
        <v/>
      </c>
      <c r="L748" s="25">
        <f>IF(A748&lt;&gt;"",1,"")</f>
        <v/>
      </c>
      <c r="M748" s="25">
        <f>IF(L748=1,IF(ISNUMBER(FIND("#"&amp;MID(A748,1,1)&amp;"#","#0#1#2#3#4#5#6#7#8#9#")),IF(ISNUMBER(FIND("#"&amp;MID(A748,2,1)&amp;"#","#0#1#2#3#4#5#6#7#8#9#")),IF(AND(VALUE(LEFT(A748,2))&gt;=1,VALUE(LEFT(A748,2))&lt;=5),VALUE(LEFT(A748,2)),""),IF(AND(VALUE(LEFT(A748,1))&gt;=1,VALUE(LEFT(A748,1))&lt;=5),VALUE(LEFT(A748,1)),"")),""),"")</f>
        <v/>
      </c>
      <c r="N748" s="25">
        <f>IF(L748=1,IF(ISNUMBER(FIND("#"&amp;MID(H748,1,1)&amp;"#","#0#1#2#3#4#5#6#7#8#9#")),IF(ISNUMBER(FIND("#"&amp;MID(H748,2,1)&amp;"#","#0#1#2#3#4#5#6#7#8#9#")),IF(AND(VALUE(LEFT(H748,2))&gt;=1,VALUE(LEFT(H748,2))&lt;=5),VALUE(LEFT(H748,2)),""),IF(AND(VALUE(LEFT(H748,1))&gt;=1,VALUE(LEFT(H748,1))&lt;=5),VALUE(LEFT(H748,1)),"")),""),"")</f>
        <v/>
      </c>
      <c r="O748" s="25">
        <f>IF(AND(L748=1,B748&lt;&gt;""),SUBSTITUTE(SUBSTITUTE(SUBSTITUTE(SUBSTITUTE(SUBSTITUTE(SUBSTITUTE(SUBSTITUTE(SUBSTITUTE(SUBSTITUTE(SUBSTITUTE(SUBSTITUTE(SUBSTITUTE(LOWER(TRIM(B748)),"á","a"),"é","e"),"í","i"),"ó","o"),"ú","u"),"ü","u"),"ñ","n"),"à","a"),"è","e"),"ì","i"),"ò","o"),"ù","u"),"")</f>
        <v/>
      </c>
      <c r="P748" s="25">
        <f>IF(AND(L748=1,C748&lt;&gt;""),SUBSTITUTE(SUBSTITUTE(SUBSTITUTE(SUBSTITUTE(SUBSTITUTE(SUBSTITUTE(SUBSTITUTE(SUBSTITUTE(SUBSTITUTE(SUBSTITUTE(SUBSTITUTE(SUBSTITUTE(LOWER(TRIM(C748)),"á","a"),"é","e"),"í","i"),"ó","o"),"ú","u"),"ü","u"),"ñ","n"),"à","a"),"è","e"),"ì","i"),"ò","o"),"ù","u"),"")</f>
        <v/>
      </c>
      <c r="Q748" s="25">
        <f>IF(AND(L748=1,E748&lt;&gt;""),SUBSTITUTE(SUBSTITUTE(SUBSTITUTE(SUBSTITUTE(SUBSTITUTE(SUBSTITUTE(SUBSTITUTE(SUBSTITUTE(SUBSTITUTE(SUBSTITUTE(SUBSTITUTE(SUBSTITUTE(LOWER(TRIM(E748)),"á","a"),"é","e"),"í","i"),"ó","o"),"ú","u"),"ü","u"),"ñ","n"),"à","a"),"è","e"),"ì","i"),"ò","o"),"ù","u"),"")</f>
        <v/>
      </c>
      <c r="R748" s="25">
        <f>IF(AND(L748=1,I748&lt;&gt;""),SUBSTITUTE(SUBSTITUTE(SUBSTITUTE(SUBSTITUTE(SUBSTITUTE(SUBSTITUTE(SUBSTITUTE(SUBSTITUTE(SUBSTITUTE(SUBSTITUTE(SUBSTITUTE(SUBSTITUTE(LOWER(TRIM(I748)),"á","a"),"é","e"),"í","i"),"ó","o"),"ú","u"),"ü","u"),"ñ","n"),"à","a"),"è","e"),"ì","i"),"ò","o"),"ù","u"),"")</f>
        <v/>
      </c>
      <c r="S748" s="25">
        <f>IF(R748="","",IF(OR(R748="si",R748="tal vez"),1,0))</f>
        <v/>
      </c>
      <c r="T748" s="25">
        <f>IF(AND(L748=1,D748&lt;&gt;""),IF(IFERROR(COUNTIFS(D$3:D748,"="&amp;SUBSTITUTE(SUBSTITUTE(SUBSTITUTE(D748,"~","~~"),"*","~*"),"?","~?"),L$3:L748,1),0)=1,MAX(T$2:T747)+1,""),"")</f>
        <v/>
      </c>
      <c r="U748" s="25">
        <f>IF(T748="","",COUNTIFS($D$3:$D$1002,"="&amp;SUBSTITUTE(SUBSTITUTE(SUBSTITUTE(D748,"~","~~"),"*","~*"),"?","~?"),$L$3:$L$1002,1)*10000-T748)</f>
        <v/>
      </c>
      <c r="V748" s="25">
        <f>IF(AND(L748=1,J748&lt;&gt;""),IF(IFERROR(COUNTIFS(J$3:J748,"="&amp;SUBSTITUTE(SUBSTITUTE(SUBSTITUTE(J748,"~","~~"),"*","~*"),"?","~?"),L$3:L748,1),0)=1,MAX(V$2:V747)+1,""),"")</f>
        <v/>
      </c>
      <c r="W748" s="25">
        <f>IF(V748="","",COUNTIFS($J$3:$J$1002,"="&amp;SUBSTITUTE(SUBSTITUTE(SUBSTITUTE(J748,"~","~~"),"*","~*"),"?","~?"),$L$3:$L$1002,1)*10000-V748)</f>
        <v/>
      </c>
    </row>
    <row r="749">
      <c r="A749">
        <f>IF(A$2=0,"",IFERROR(TRIM(INDEX('Pegar estudiantes'!$A$1:$BZ$1001,748,A$2)&amp;""),""))</f>
        <v/>
      </c>
      <c r="B749">
        <f>IF(B$2=0,"",IFERROR(TRIM(INDEX('Pegar estudiantes'!$A$1:$BZ$1001,748,B$2)&amp;""),""))</f>
        <v/>
      </c>
      <c r="C749">
        <f>IF(C$2=0,"",IFERROR(TRIM(INDEX('Pegar estudiantes'!$A$1:$BZ$1001,748,C$2)&amp;""),""))</f>
        <v/>
      </c>
      <c r="D749">
        <f>IF(D$2=0,"",IFERROR(TRIM(INDEX('Pegar estudiantes'!$A$1:$BZ$1001,748,D$2)&amp;""),""))</f>
        <v/>
      </c>
      <c r="E749">
        <f>IF(E$2=0,"",IFERROR(TRIM(INDEX('Pegar estudiantes'!$A$1:$BZ$1001,748,E$2)&amp;""),""))</f>
        <v/>
      </c>
      <c r="F749">
        <f>IF(F$2=0,"",IFERROR(TRIM(INDEX('Pegar estudiantes'!$A$1:$BZ$1001,748,F$2)&amp;""),""))</f>
        <v/>
      </c>
      <c r="G749">
        <f>IF(G$2=0,"",IFERROR(TRIM(INDEX('Pegar estudiantes'!$A$1:$BZ$1001,748,G$2)&amp;""),""))</f>
        <v/>
      </c>
      <c r="H749">
        <f>IF(H$2=0,"",IFERROR(TRIM(INDEX('Pegar estudiantes'!$A$1:$BZ$1001,748,H$2)&amp;""),""))</f>
        <v/>
      </c>
      <c r="I749">
        <f>IF(I$2=0,"",IFERROR(TRIM(INDEX('Pegar estudiantes'!$A$1:$BZ$1001,748,I$2)&amp;""),""))</f>
        <v/>
      </c>
      <c r="J749">
        <f>IF(J$2=0,"",IFERROR(TRIM(INDEX('Pegar estudiantes'!$A$1:$BZ$1001,748,J$2)&amp;""),""))</f>
        <v/>
      </c>
      <c r="K749">
        <f>IF(K$2=0,"",IFERROR(TRIM(INDEX('Pegar estudiantes'!$A$1:$BZ$1001,748,K$2)&amp;""),""))</f>
        <v/>
      </c>
      <c r="L749" s="25">
        <f>IF(A749&lt;&gt;"",1,"")</f>
        <v/>
      </c>
      <c r="M749" s="25">
        <f>IF(L749=1,IF(ISNUMBER(FIND("#"&amp;MID(A749,1,1)&amp;"#","#0#1#2#3#4#5#6#7#8#9#")),IF(ISNUMBER(FIND("#"&amp;MID(A749,2,1)&amp;"#","#0#1#2#3#4#5#6#7#8#9#")),IF(AND(VALUE(LEFT(A749,2))&gt;=1,VALUE(LEFT(A749,2))&lt;=5),VALUE(LEFT(A749,2)),""),IF(AND(VALUE(LEFT(A749,1))&gt;=1,VALUE(LEFT(A749,1))&lt;=5),VALUE(LEFT(A749,1)),"")),""),"")</f>
        <v/>
      </c>
      <c r="N749" s="25">
        <f>IF(L749=1,IF(ISNUMBER(FIND("#"&amp;MID(H749,1,1)&amp;"#","#0#1#2#3#4#5#6#7#8#9#")),IF(ISNUMBER(FIND("#"&amp;MID(H749,2,1)&amp;"#","#0#1#2#3#4#5#6#7#8#9#")),IF(AND(VALUE(LEFT(H749,2))&gt;=1,VALUE(LEFT(H749,2))&lt;=5),VALUE(LEFT(H749,2)),""),IF(AND(VALUE(LEFT(H749,1))&gt;=1,VALUE(LEFT(H749,1))&lt;=5),VALUE(LEFT(H749,1)),"")),""),"")</f>
        <v/>
      </c>
      <c r="O749" s="25">
        <f>IF(AND(L749=1,B749&lt;&gt;""),SUBSTITUTE(SUBSTITUTE(SUBSTITUTE(SUBSTITUTE(SUBSTITUTE(SUBSTITUTE(SUBSTITUTE(SUBSTITUTE(SUBSTITUTE(SUBSTITUTE(SUBSTITUTE(SUBSTITUTE(LOWER(TRIM(B749)),"á","a"),"é","e"),"í","i"),"ó","o"),"ú","u"),"ü","u"),"ñ","n"),"à","a"),"è","e"),"ì","i"),"ò","o"),"ù","u"),"")</f>
        <v/>
      </c>
      <c r="P749" s="25">
        <f>IF(AND(L749=1,C749&lt;&gt;""),SUBSTITUTE(SUBSTITUTE(SUBSTITUTE(SUBSTITUTE(SUBSTITUTE(SUBSTITUTE(SUBSTITUTE(SUBSTITUTE(SUBSTITUTE(SUBSTITUTE(SUBSTITUTE(SUBSTITUTE(LOWER(TRIM(C749)),"á","a"),"é","e"),"í","i"),"ó","o"),"ú","u"),"ü","u"),"ñ","n"),"à","a"),"è","e"),"ì","i"),"ò","o"),"ù","u"),"")</f>
        <v/>
      </c>
      <c r="Q749" s="25">
        <f>IF(AND(L749=1,E749&lt;&gt;""),SUBSTITUTE(SUBSTITUTE(SUBSTITUTE(SUBSTITUTE(SUBSTITUTE(SUBSTITUTE(SUBSTITUTE(SUBSTITUTE(SUBSTITUTE(SUBSTITUTE(SUBSTITUTE(SUBSTITUTE(LOWER(TRIM(E749)),"á","a"),"é","e"),"í","i"),"ó","o"),"ú","u"),"ü","u"),"ñ","n"),"à","a"),"è","e"),"ì","i"),"ò","o"),"ù","u"),"")</f>
        <v/>
      </c>
      <c r="R749" s="25">
        <f>IF(AND(L749=1,I749&lt;&gt;""),SUBSTITUTE(SUBSTITUTE(SUBSTITUTE(SUBSTITUTE(SUBSTITUTE(SUBSTITUTE(SUBSTITUTE(SUBSTITUTE(SUBSTITUTE(SUBSTITUTE(SUBSTITUTE(SUBSTITUTE(LOWER(TRIM(I749)),"á","a"),"é","e"),"í","i"),"ó","o"),"ú","u"),"ü","u"),"ñ","n"),"à","a"),"è","e"),"ì","i"),"ò","o"),"ù","u"),"")</f>
        <v/>
      </c>
      <c r="S749" s="25">
        <f>IF(R749="","",IF(OR(R749="si",R749="tal vez"),1,0))</f>
        <v/>
      </c>
      <c r="T749" s="25">
        <f>IF(AND(L749=1,D749&lt;&gt;""),IF(IFERROR(COUNTIFS(D$3:D749,"="&amp;SUBSTITUTE(SUBSTITUTE(SUBSTITUTE(D749,"~","~~"),"*","~*"),"?","~?"),L$3:L749,1),0)=1,MAX(T$2:T748)+1,""),"")</f>
        <v/>
      </c>
      <c r="U749" s="25">
        <f>IF(T749="","",COUNTIFS($D$3:$D$1002,"="&amp;SUBSTITUTE(SUBSTITUTE(SUBSTITUTE(D749,"~","~~"),"*","~*"),"?","~?"),$L$3:$L$1002,1)*10000-T749)</f>
        <v/>
      </c>
      <c r="V749" s="25">
        <f>IF(AND(L749=1,J749&lt;&gt;""),IF(IFERROR(COUNTIFS(J$3:J749,"="&amp;SUBSTITUTE(SUBSTITUTE(SUBSTITUTE(J749,"~","~~"),"*","~*"),"?","~?"),L$3:L749,1),0)=1,MAX(V$2:V748)+1,""),"")</f>
        <v/>
      </c>
      <c r="W749" s="25">
        <f>IF(V749="","",COUNTIFS($J$3:$J$1002,"="&amp;SUBSTITUTE(SUBSTITUTE(SUBSTITUTE(J749,"~","~~"),"*","~*"),"?","~?"),$L$3:$L$1002,1)*10000-V749)</f>
        <v/>
      </c>
    </row>
    <row r="750">
      <c r="A750">
        <f>IF(A$2=0,"",IFERROR(TRIM(INDEX('Pegar estudiantes'!$A$1:$BZ$1001,749,A$2)&amp;""),""))</f>
        <v/>
      </c>
      <c r="B750">
        <f>IF(B$2=0,"",IFERROR(TRIM(INDEX('Pegar estudiantes'!$A$1:$BZ$1001,749,B$2)&amp;""),""))</f>
        <v/>
      </c>
      <c r="C750">
        <f>IF(C$2=0,"",IFERROR(TRIM(INDEX('Pegar estudiantes'!$A$1:$BZ$1001,749,C$2)&amp;""),""))</f>
        <v/>
      </c>
      <c r="D750">
        <f>IF(D$2=0,"",IFERROR(TRIM(INDEX('Pegar estudiantes'!$A$1:$BZ$1001,749,D$2)&amp;""),""))</f>
        <v/>
      </c>
      <c r="E750">
        <f>IF(E$2=0,"",IFERROR(TRIM(INDEX('Pegar estudiantes'!$A$1:$BZ$1001,749,E$2)&amp;""),""))</f>
        <v/>
      </c>
      <c r="F750">
        <f>IF(F$2=0,"",IFERROR(TRIM(INDEX('Pegar estudiantes'!$A$1:$BZ$1001,749,F$2)&amp;""),""))</f>
        <v/>
      </c>
      <c r="G750">
        <f>IF(G$2=0,"",IFERROR(TRIM(INDEX('Pegar estudiantes'!$A$1:$BZ$1001,749,G$2)&amp;""),""))</f>
        <v/>
      </c>
      <c r="H750">
        <f>IF(H$2=0,"",IFERROR(TRIM(INDEX('Pegar estudiantes'!$A$1:$BZ$1001,749,H$2)&amp;""),""))</f>
        <v/>
      </c>
      <c r="I750">
        <f>IF(I$2=0,"",IFERROR(TRIM(INDEX('Pegar estudiantes'!$A$1:$BZ$1001,749,I$2)&amp;""),""))</f>
        <v/>
      </c>
      <c r="J750">
        <f>IF(J$2=0,"",IFERROR(TRIM(INDEX('Pegar estudiantes'!$A$1:$BZ$1001,749,J$2)&amp;""),""))</f>
        <v/>
      </c>
      <c r="K750">
        <f>IF(K$2=0,"",IFERROR(TRIM(INDEX('Pegar estudiantes'!$A$1:$BZ$1001,749,K$2)&amp;""),""))</f>
        <v/>
      </c>
      <c r="L750" s="25">
        <f>IF(A750&lt;&gt;"",1,"")</f>
        <v/>
      </c>
      <c r="M750" s="25">
        <f>IF(L750=1,IF(ISNUMBER(FIND("#"&amp;MID(A750,1,1)&amp;"#","#0#1#2#3#4#5#6#7#8#9#")),IF(ISNUMBER(FIND("#"&amp;MID(A750,2,1)&amp;"#","#0#1#2#3#4#5#6#7#8#9#")),IF(AND(VALUE(LEFT(A750,2))&gt;=1,VALUE(LEFT(A750,2))&lt;=5),VALUE(LEFT(A750,2)),""),IF(AND(VALUE(LEFT(A750,1))&gt;=1,VALUE(LEFT(A750,1))&lt;=5),VALUE(LEFT(A750,1)),"")),""),"")</f>
        <v/>
      </c>
      <c r="N750" s="25">
        <f>IF(L750=1,IF(ISNUMBER(FIND("#"&amp;MID(H750,1,1)&amp;"#","#0#1#2#3#4#5#6#7#8#9#")),IF(ISNUMBER(FIND("#"&amp;MID(H750,2,1)&amp;"#","#0#1#2#3#4#5#6#7#8#9#")),IF(AND(VALUE(LEFT(H750,2))&gt;=1,VALUE(LEFT(H750,2))&lt;=5),VALUE(LEFT(H750,2)),""),IF(AND(VALUE(LEFT(H750,1))&gt;=1,VALUE(LEFT(H750,1))&lt;=5),VALUE(LEFT(H750,1)),"")),""),"")</f>
        <v/>
      </c>
      <c r="O750" s="25">
        <f>IF(AND(L750=1,B750&lt;&gt;""),SUBSTITUTE(SUBSTITUTE(SUBSTITUTE(SUBSTITUTE(SUBSTITUTE(SUBSTITUTE(SUBSTITUTE(SUBSTITUTE(SUBSTITUTE(SUBSTITUTE(SUBSTITUTE(SUBSTITUTE(LOWER(TRIM(B750)),"á","a"),"é","e"),"í","i"),"ó","o"),"ú","u"),"ü","u"),"ñ","n"),"à","a"),"è","e"),"ì","i"),"ò","o"),"ù","u"),"")</f>
        <v/>
      </c>
      <c r="P750" s="25">
        <f>IF(AND(L750=1,C750&lt;&gt;""),SUBSTITUTE(SUBSTITUTE(SUBSTITUTE(SUBSTITUTE(SUBSTITUTE(SUBSTITUTE(SUBSTITUTE(SUBSTITUTE(SUBSTITUTE(SUBSTITUTE(SUBSTITUTE(SUBSTITUTE(LOWER(TRIM(C750)),"á","a"),"é","e"),"í","i"),"ó","o"),"ú","u"),"ü","u"),"ñ","n"),"à","a"),"è","e"),"ì","i"),"ò","o"),"ù","u"),"")</f>
        <v/>
      </c>
      <c r="Q750" s="25">
        <f>IF(AND(L750=1,E750&lt;&gt;""),SUBSTITUTE(SUBSTITUTE(SUBSTITUTE(SUBSTITUTE(SUBSTITUTE(SUBSTITUTE(SUBSTITUTE(SUBSTITUTE(SUBSTITUTE(SUBSTITUTE(SUBSTITUTE(SUBSTITUTE(LOWER(TRIM(E750)),"á","a"),"é","e"),"í","i"),"ó","o"),"ú","u"),"ü","u"),"ñ","n"),"à","a"),"è","e"),"ì","i"),"ò","o"),"ù","u"),"")</f>
        <v/>
      </c>
      <c r="R750" s="25">
        <f>IF(AND(L750=1,I750&lt;&gt;""),SUBSTITUTE(SUBSTITUTE(SUBSTITUTE(SUBSTITUTE(SUBSTITUTE(SUBSTITUTE(SUBSTITUTE(SUBSTITUTE(SUBSTITUTE(SUBSTITUTE(SUBSTITUTE(SUBSTITUTE(LOWER(TRIM(I750)),"á","a"),"é","e"),"í","i"),"ó","o"),"ú","u"),"ü","u"),"ñ","n"),"à","a"),"è","e"),"ì","i"),"ò","o"),"ù","u"),"")</f>
        <v/>
      </c>
      <c r="S750" s="25">
        <f>IF(R750="","",IF(OR(R750="si",R750="tal vez"),1,0))</f>
        <v/>
      </c>
      <c r="T750" s="25">
        <f>IF(AND(L750=1,D750&lt;&gt;""),IF(IFERROR(COUNTIFS(D$3:D750,"="&amp;SUBSTITUTE(SUBSTITUTE(SUBSTITUTE(D750,"~","~~"),"*","~*"),"?","~?"),L$3:L750,1),0)=1,MAX(T$2:T749)+1,""),"")</f>
        <v/>
      </c>
      <c r="U750" s="25">
        <f>IF(T750="","",COUNTIFS($D$3:$D$1002,"="&amp;SUBSTITUTE(SUBSTITUTE(SUBSTITUTE(D750,"~","~~"),"*","~*"),"?","~?"),$L$3:$L$1002,1)*10000-T750)</f>
        <v/>
      </c>
      <c r="V750" s="25">
        <f>IF(AND(L750=1,J750&lt;&gt;""),IF(IFERROR(COUNTIFS(J$3:J750,"="&amp;SUBSTITUTE(SUBSTITUTE(SUBSTITUTE(J750,"~","~~"),"*","~*"),"?","~?"),L$3:L750,1),0)=1,MAX(V$2:V749)+1,""),"")</f>
        <v/>
      </c>
      <c r="W750" s="25">
        <f>IF(V750="","",COUNTIFS($J$3:$J$1002,"="&amp;SUBSTITUTE(SUBSTITUTE(SUBSTITUTE(J750,"~","~~"),"*","~*"),"?","~?"),$L$3:$L$1002,1)*10000-V750)</f>
        <v/>
      </c>
    </row>
    <row r="751">
      <c r="A751">
        <f>IF(A$2=0,"",IFERROR(TRIM(INDEX('Pegar estudiantes'!$A$1:$BZ$1001,750,A$2)&amp;""),""))</f>
        <v/>
      </c>
      <c r="B751">
        <f>IF(B$2=0,"",IFERROR(TRIM(INDEX('Pegar estudiantes'!$A$1:$BZ$1001,750,B$2)&amp;""),""))</f>
        <v/>
      </c>
      <c r="C751">
        <f>IF(C$2=0,"",IFERROR(TRIM(INDEX('Pegar estudiantes'!$A$1:$BZ$1001,750,C$2)&amp;""),""))</f>
        <v/>
      </c>
      <c r="D751">
        <f>IF(D$2=0,"",IFERROR(TRIM(INDEX('Pegar estudiantes'!$A$1:$BZ$1001,750,D$2)&amp;""),""))</f>
        <v/>
      </c>
      <c r="E751">
        <f>IF(E$2=0,"",IFERROR(TRIM(INDEX('Pegar estudiantes'!$A$1:$BZ$1001,750,E$2)&amp;""),""))</f>
        <v/>
      </c>
      <c r="F751">
        <f>IF(F$2=0,"",IFERROR(TRIM(INDEX('Pegar estudiantes'!$A$1:$BZ$1001,750,F$2)&amp;""),""))</f>
        <v/>
      </c>
      <c r="G751">
        <f>IF(G$2=0,"",IFERROR(TRIM(INDEX('Pegar estudiantes'!$A$1:$BZ$1001,750,G$2)&amp;""),""))</f>
        <v/>
      </c>
      <c r="H751">
        <f>IF(H$2=0,"",IFERROR(TRIM(INDEX('Pegar estudiantes'!$A$1:$BZ$1001,750,H$2)&amp;""),""))</f>
        <v/>
      </c>
      <c r="I751">
        <f>IF(I$2=0,"",IFERROR(TRIM(INDEX('Pegar estudiantes'!$A$1:$BZ$1001,750,I$2)&amp;""),""))</f>
        <v/>
      </c>
      <c r="J751">
        <f>IF(J$2=0,"",IFERROR(TRIM(INDEX('Pegar estudiantes'!$A$1:$BZ$1001,750,J$2)&amp;""),""))</f>
        <v/>
      </c>
      <c r="K751">
        <f>IF(K$2=0,"",IFERROR(TRIM(INDEX('Pegar estudiantes'!$A$1:$BZ$1001,750,K$2)&amp;""),""))</f>
        <v/>
      </c>
      <c r="L751" s="25">
        <f>IF(A751&lt;&gt;"",1,"")</f>
        <v/>
      </c>
      <c r="M751" s="25">
        <f>IF(L751=1,IF(ISNUMBER(FIND("#"&amp;MID(A751,1,1)&amp;"#","#0#1#2#3#4#5#6#7#8#9#")),IF(ISNUMBER(FIND("#"&amp;MID(A751,2,1)&amp;"#","#0#1#2#3#4#5#6#7#8#9#")),IF(AND(VALUE(LEFT(A751,2))&gt;=1,VALUE(LEFT(A751,2))&lt;=5),VALUE(LEFT(A751,2)),""),IF(AND(VALUE(LEFT(A751,1))&gt;=1,VALUE(LEFT(A751,1))&lt;=5),VALUE(LEFT(A751,1)),"")),""),"")</f>
        <v/>
      </c>
      <c r="N751" s="25">
        <f>IF(L751=1,IF(ISNUMBER(FIND("#"&amp;MID(H751,1,1)&amp;"#","#0#1#2#3#4#5#6#7#8#9#")),IF(ISNUMBER(FIND("#"&amp;MID(H751,2,1)&amp;"#","#0#1#2#3#4#5#6#7#8#9#")),IF(AND(VALUE(LEFT(H751,2))&gt;=1,VALUE(LEFT(H751,2))&lt;=5),VALUE(LEFT(H751,2)),""),IF(AND(VALUE(LEFT(H751,1))&gt;=1,VALUE(LEFT(H751,1))&lt;=5),VALUE(LEFT(H751,1)),"")),""),"")</f>
        <v/>
      </c>
      <c r="O751" s="25">
        <f>IF(AND(L751=1,B751&lt;&gt;""),SUBSTITUTE(SUBSTITUTE(SUBSTITUTE(SUBSTITUTE(SUBSTITUTE(SUBSTITUTE(SUBSTITUTE(SUBSTITUTE(SUBSTITUTE(SUBSTITUTE(SUBSTITUTE(SUBSTITUTE(LOWER(TRIM(B751)),"á","a"),"é","e"),"í","i"),"ó","o"),"ú","u"),"ü","u"),"ñ","n"),"à","a"),"è","e"),"ì","i"),"ò","o"),"ù","u"),"")</f>
        <v/>
      </c>
      <c r="P751" s="25">
        <f>IF(AND(L751=1,C751&lt;&gt;""),SUBSTITUTE(SUBSTITUTE(SUBSTITUTE(SUBSTITUTE(SUBSTITUTE(SUBSTITUTE(SUBSTITUTE(SUBSTITUTE(SUBSTITUTE(SUBSTITUTE(SUBSTITUTE(SUBSTITUTE(LOWER(TRIM(C751)),"á","a"),"é","e"),"í","i"),"ó","o"),"ú","u"),"ü","u"),"ñ","n"),"à","a"),"è","e"),"ì","i"),"ò","o"),"ù","u"),"")</f>
        <v/>
      </c>
      <c r="Q751" s="25">
        <f>IF(AND(L751=1,E751&lt;&gt;""),SUBSTITUTE(SUBSTITUTE(SUBSTITUTE(SUBSTITUTE(SUBSTITUTE(SUBSTITUTE(SUBSTITUTE(SUBSTITUTE(SUBSTITUTE(SUBSTITUTE(SUBSTITUTE(SUBSTITUTE(LOWER(TRIM(E751)),"á","a"),"é","e"),"í","i"),"ó","o"),"ú","u"),"ü","u"),"ñ","n"),"à","a"),"è","e"),"ì","i"),"ò","o"),"ù","u"),"")</f>
        <v/>
      </c>
      <c r="R751" s="25">
        <f>IF(AND(L751=1,I751&lt;&gt;""),SUBSTITUTE(SUBSTITUTE(SUBSTITUTE(SUBSTITUTE(SUBSTITUTE(SUBSTITUTE(SUBSTITUTE(SUBSTITUTE(SUBSTITUTE(SUBSTITUTE(SUBSTITUTE(SUBSTITUTE(LOWER(TRIM(I751)),"á","a"),"é","e"),"í","i"),"ó","o"),"ú","u"),"ü","u"),"ñ","n"),"à","a"),"è","e"),"ì","i"),"ò","o"),"ù","u"),"")</f>
        <v/>
      </c>
      <c r="S751" s="25">
        <f>IF(R751="","",IF(OR(R751="si",R751="tal vez"),1,0))</f>
        <v/>
      </c>
      <c r="T751" s="25">
        <f>IF(AND(L751=1,D751&lt;&gt;""),IF(IFERROR(COUNTIFS(D$3:D751,"="&amp;SUBSTITUTE(SUBSTITUTE(SUBSTITUTE(D751,"~","~~"),"*","~*"),"?","~?"),L$3:L751,1),0)=1,MAX(T$2:T750)+1,""),"")</f>
        <v/>
      </c>
      <c r="U751" s="25">
        <f>IF(T751="","",COUNTIFS($D$3:$D$1002,"="&amp;SUBSTITUTE(SUBSTITUTE(SUBSTITUTE(D751,"~","~~"),"*","~*"),"?","~?"),$L$3:$L$1002,1)*10000-T751)</f>
        <v/>
      </c>
      <c r="V751" s="25">
        <f>IF(AND(L751=1,J751&lt;&gt;""),IF(IFERROR(COUNTIFS(J$3:J751,"="&amp;SUBSTITUTE(SUBSTITUTE(SUBSTITUTE(J751,"~","~~"),"*","~*"),"?","~?"),L$3:L751,1),0)=1,MAX(V$2:V750)+1,""),"")</f>
        <v/>
      </c>
      <c r="W751" s="25">
        <f>IF(V751="","",COUNTIFS($J$3:$J$1002,"="&amp;SUBSTITUTE(SUBSTITUTE(SUBSTITUTE(J751,"~","~~"),"*","~*"),"?","~?"),$L$3:$L$1002,1)*10000-V751)</f>
        <v/>
      </c>
    </row>
    <row r="752">
      <c r="A752">
        <f>IF(A$2=0,"",IFERROR(TRIM(INDEX('Pegar estudiantes'!$A$1:$BZ$1001,751,A$2)&amp;""),""))</f>
        <v/>
      </c>
      <c r="B752">
        <f>IF(B$2=0,"",IFERROR(TRIM(INDEX('Pegar estudiantes'!$A$1:$BZ$1001,751,B$2)&amp;""),""))</f>
        <v/>
      </c>
      <c r="C752">
        <f>IF(C$2=0,"",IFERROR(TRIM(INDEX('Pegar estudiantes'!$A$1:$BZ$1001,751,C$2)&amp;""),""))</f>
        <v/>
      </c>
      <c r="D752">
        <f>IF(D$2=0,"",IFERROR(TRIM(INDEX('Pegar estudiantes'!$A$1:$BZ$1001,751,D$2)&amp;""),""))</f>
        <v/>
      </c>
      <c r="E752">
        <f>IF(E$2=0,"",IFERROR(TRIM(INDEX('Pegar estudiantes'!$A$1:$BZ$1001,751,E$2)&amp;""),""))</f>
        <v/>
      </c>
      <c r="F752">
        <f>IF(F$2=0,"",IFERROR(TRIM(INDEX('Pegar estudiantes'!$A$1:$BZ$1001,751,F$2)&amp;""),""))</f>
        <v/>
      </c>
      <c r="G752">
        <f>IF(G$2=0,"",IFERROR(TRIM(INDEX('Pegar estudiantes'!$A$1:$BZ$1001,751,G$2)&amp;""),""))</f>
        <v/>
      </c>
      <c r="H752">
        <f>IF(H$2=0,"",IFERROR(TRIM(INDEX('Pegar estudiantes'!$A$1:$BZ$1001,751,H$2)&amp;""),""))</f>
        <v/>
      </c>
      <c r="I752">
        <f>IF(I$2=0,"",IFERROR(TRIM(INDEX('Pegar estudiantes'!$A$1:$BZ$1001,751,I$2)&amp;""),""))</f>
        <v/>
      </c>
      <c r="J752">
        <f>IF(J$2=0,"",IFERROR(TRIM(INDEX('Pegar estudiantes'!$A$1:$BZ$1001,751,J$2)&amp;""),""))</f>
        <v/>
      </c>
      <c r="K752">
        <f>IF(K$2=0,"",IFERROR(TRIM(INDEX('Pegar estudiantes'!$A$1:$BZ$1001,751,K$2)&amp;""),""))</f>
        <v/>
      </c>
      <c r="L752" s="25">
        <f>IF(A752&lt;&gt;"",1,"")</f>
        <v/>
      </c>
      <c r="M752" s="25">
        <f>IF(L752=1,IF(ISNUMBER(FIND("#"&amp;MID(A752,1,1)&amp;"#","#0#1#2#3#4#5#6#7#8#9#")),IF(ISNUMBER(FIND("#"&amp;MID(A752,2,1)&amp;"#","#0#1#2#3#4#5#6#7#8#9#")),IF(AND(VALUE(LEFT(A752,2))&gt;=1,VALUE(LEFT(A752,2))&lt;=5),VALUE(LEFT(A752,2)),""),IF(AND(VALUE(LEFT(A752,1))&gt;=1,VALUE(LEFT(A752,1))&lt;=5),VALUE(LEFT(A752,1)),"")),""),"")</f>
        <v/>
      </c>
      <c r="N752" s="25">
        <f>IF(L752=1,IF(ISNUMBER(FIND("#"&amp;MID(H752,1,1)&amp;"#","#0#1#2#3#4#5#6#7#8#9#")),IF(ISNUMBER(FIND("#"&amp;MID(H752,2,1)&amp;"#","#0#1#2#3#4#5#6#7#8#9#")),IF(AND(VALUE(LEFT(H752,2))&gt;=1,VALUE(LEFT(H752,2))&lt;=5),VALUE(LEFT(H752,2)),""),IF(AND(VALUE(LEFT(H752,1))&gt;=1,VALUE(LEFT(H752,1))&lt;=5),VALUE(LEFT(H752,1)),"")),""),"")</f>
        <v/>
      </c>
      <c r="O752" s="25">
        <f>IF(AND(L752=1,B752&lt;&gt;""),SUBSTITUTE(SUBSTITUTE(SUBSTITUTE(SUBSTITUTE(SUBSTITUTE(SUBSTITUTE(SUBSTITUTE(SUBSTITUTE(SUBSTITUTE(SUBSTITUTE(SUBSTITUTE(SUBSTITUTE(LOWER(TRIM(B752)),"á","a"),"é","e"),"í","i"),"ó","o"),"ú","u"),"ü","u"),"ñ","n"),"à","a"),"è","e"),"ì","i"),"ò","o"),"ù","u"),"")</f>
        <v/>
      </c>
      <c r="P752" s="25">
        <f>IF(AND(L752=1,C752&lt;&gt;""),SUBSTITUTE(SUBSTITUTE(SUBSTITUTE(SUBSTITUTE(SUBSTITUTE(SUBSTITUTE(SUBSTITUTE(SUBSTITUTE(SUBSTITUTE(SUBSTITUTE(SUBSTITUTE(SUBSTITUTE(LOWER(TRIM(C752)),"á","a"),"é","e"),"í","i"),"ó","o"),"ú","u"),"ü","u"),"ñ","n"),"à","a"),"è","e"),"ì","i"),"ò","o"),"ù","u"),"")</f>
        <v/>
      </c>
      <c r="Q752" s="25">
        <f>IF(AND(L752=1,E752&lt;&gt;""),SUBSTITUTE(SUBSTITUTE(SUBSTITUTE(SUBSTITUTE(SUBSTITUTE(SUBSTITUTE(SUBSTITUTE(SUBSTITUTE(SUBSTITUTE(SUBSTITUTE(SUBSTITUTE(SUBSTITUTE(LOWER(TRIM(E752)),"á","a"),"é","e"),"í","i"),"ó","o"),"ú","u"),"ü","u"),"ñ","n"),"à","a"),"è","e"),"ì","i"),"ò","o"),"ù","u"),"")</f>
        <v/>
      </c>
      <c r="R752" s="25">
        <f>IF(AND(L752=1,I752&lt;&gt;""),SUBSTITUTE(SUBSTITUTE(SUBSTITUTE(SUBSTITUTE(SUBSTITUTE(SUBSTITUTE(SUBSTITUTE(SUBSTITUTE(SUBSTITUTE(SUBSTITUTE(SUBSTITUTE(SUBSTITUTE(LOWER(TRIM(I752)),"á","a"),"é","e"),"í","i"),"ó","o"),"ú","u"),"ü","u"),"ñ","n"),"à","a"),"è","e"),"ì","i"),"ò","o"),"ù","u"),"")</f>
        <v/>
      </c>
      <c r="S752" s="25">
        <f>IF(R752="","",IF(OR(R752="si",R752="tal vez"),1,0))</f>
        <v/>
      </c>
      <c r="T752" s="25">
        <f>IF(AND(L752=1,D752&lt;&gt;""),IF(IFERROR(COUNTIFS(D$3:D752,"="&amp;SUBSTITUTE(SUBSTITUTE(SUBSTITUTE(D752,"~","~~"),"*","~*"),"?","~?"),L$3:L752,1),0)=1,MAX(T$2:T751)+1,""),"")</f>
        <v/>
      </c>
      <c r="U752" s="25">
        <f>IF(T752="","",COUNTIFS($D$3:$D$1002,"="&amp;SUBSTITUTE(SUBSTITUTE(SUBSTITUTE(D752,"~","~~"),"*","~*"),"?","~?"),$L$3:$L$1002,1)*10000-T752)</f>
        <v/>
      </c>
      <c r="V752" s="25">
        <f>IF(AND(L752=1,J752&lt;&gt;""),IF(IFERROR(COUNTIFS(J$3:J752,"="&amp;SUBSTITUTE(SUBSTITUTE(SUBSTITUTE(J752,"~","~~"),"*","~*"),"?","~?"),L$3:L752,1),0)=1,MAX(V$2:V751)+1,""),"")</f>
        <v/>
      </c>
      <c r="W752" s="25">
        <f>IF(V752="","",COUNTIFS($J$3:$J$1002,"="&amp;SUBSTITUTE(SUBSTITUTE(SUBSTITUTE(J752,"~","~~"),"*","~*"),"?","~?"),$L$3:$L$1002,1)*10000-V752)</f>
        <v/>
      </c>
    </row>
    <row r="753">
      <c r="A753">
        <f>IF(A$2=0,"",IFERROR(TRIM(INDEX('Pegar estudiantes'!$A$1:$BZ$1001,752,A$2)&amp;""),""))</f>
        <v/>
      </c>
      <c r="B753">
        <f>IF(B$2=0,"",IFERROR(TRIM(INDEX('Pegar estudiantes'!$A$1:$BZ$1001,752,B$2)&amp;""),""))</f>
        <v/>
      </c>
      <c r="C753">
        <f>IF(C$2=0,"",IFERROR(TRIM(INDEX('Pegar estudiantes'!$A$1:$BZ$1001,752,C$2)&amp;""),""))</f>
        <v/>
      </c>
      <c r="D753">
        <f>IF(D$2=0,"",IFERROR(TRIM(INDEX('Pegar estudiantes'!$A$1:$BZ$1001,752,D$2)&amp;""),""))</f>
        <v/>
      </c>
      <c r="E753">
        <f>IF(E$2=0,"",IFERROR(TRIM(INDEX('Pegar estudiantes'!$A$1:$BZ$1001,752,E$2)&amp;""),""))</f>
        <v/>
      </c>
      <c r="F753">
        <f>IF(F$2=0,"",IFERROR(TRIM(INDEX('Pegar estudiantes'!$A$1:$BZ$1001,752,F$2)&amp;""),""))</f>
        <v/>
      </c>
      <c r="G753">
        <f>IF(G$2=0,"",IFERROR(TRIM(INDEX('Pegar estudiantes'!$A$1:$BZ$1001,752,G$2)&amp;""),""))</f>
        <v/>
      </c>
      <c r="H753">
        <f>IF(H$2=0,"",IFERROR(TRIM(INDEX('Pegar estudiantes'!$A$1:$BZ$1001,752,H$2)&amp;""),""))</f>
        <v/>
      </c>
      <c r="I753">
        <f>IF(I$2=0,"",IFERROR(TRIM(INDEX('Pegar estudiantes'!$A$1:$BZ$1001,752,I$2)&amp;""),""))</f>
        <v/>
      </c>
      <c r="J753">
        <f>IF(J$2=0,"",IFERROR(TRIM(INDEX('Pegar estudiantes'!$A$1:$BZ$1001,752,J$2)&amp;""),""))</f>
        <v/>
      </c>
      <c r="K753">
        <f>IF(K$2=0,"",IFERROR(TRIM(INDEX('Pegar estudiantes'!$A$1:$BZ$1001,752,K$2)&amp;""),""))</f>
        <v/>
      </c>
      <c r="L753" s="25">
        <f>IF(A753&lt;&gt;"",1,"")</f>
        <v/>
      </c>
      <c r="M753" s="25">
        <f>IF(L753=1,IF(ISNUMBER(FIND("#"&amp;MID(A753,1,1)&amp;"#","#0#1#2#3#4#5#6#7#8#9#")),IF(ISNUMBER(FIND("#"&amp;MID(A753,2,1)&amp;"#","#0#1#2#3#4#5#6#7#8#9#")),IF(AND(VALUE(LEFT(A753,2))&gt;=1,VALUE(LEFT(A753,2))&lt;=5),VALUE(LEFT(A753,2)),""),IF(AND(VALUE(LEFT(A753,1))&gt;=1,VALUE(LEFT(A753,1))&lt;=5),VALUE(LEFT(A753,1)),"")),""),"")</f>
        <v/>
      </c>
      <c r="N753" s="25">
        <f>IF(L753=1,IF(ISNUMBER(FIND("#"&amp;MID(H753,1,1)&amp;"#","#0#1#2#3#4#5#6#7#8#9#")),IF(ISNUMBER(FIND("#"&amp;MID(H753,2,1)&amp;"#","#0#1#2#3#4#5#6#7#8#9#")),IF(AND(VALUE(LEFT(H753,2))&gt;=1,VALUE(LEFT(H753,2))&lt;=5),VALUE(LEFT(H753,2)),""),IF(AND(VALUE(LEFT(H753,1))&gt;=1,VALUE(LEFT(H753,1))&lt;=5),VALUE(LEFT(H753,1)),"")),""),"")</f>
        <v/>
      </c>
      <c r="O753" s="25">
        <f>IF(AND(L753=1,B753&lt;&gt;""),SUBSTITUTE(SUBSTITUTE(SUBSTITUTE(SUBSTITUTE(SUBSTITUTE(SUBSTITUTE(SUBSTITUTE(SUBSTITUTE(SUBSTITUTE(SUBSTITUTE(SUBSTITUTE(SUBSTITUTE(LOWER(TRIM(B753)),"á","a"),"é","e"),"í","i"),"ó","o"),"ú","u"),"ü","u"),"ñ","n"),"à","a"),"è","e"),"ì","i"),"ò","o"),"ù","u"),"")</f>
        <v/>
      </c>
      <c r="P753" s="25">
        <f>IF(AND(L753=1,C753&lt;&gt;""),SUBSTITUTE(SUBSTITUTE(SUBSTITUTE(SUBSTITUTE(SUBSTITUTE(SUBSTITUTE(SUBSTITUTE(SUBSTITUTE(SUBSTITUTE(SUBSTITUTE(SUBSTITUTE(SUBSTITUTE(LOWER(TRIM(C753)),"á","a"),"é","e"),"í","i"),"ó","o"),"ú","u"),"ü","u"),"ñ","n"),"à","a"),"è","e"),"ì","i"),"ò","o"),"ù","u"),"")</f>
        <v/>
      </c>
      <c r="Q753" s="25">
        <f>IF(AND(L753=1,E753&lt;&gt;""),SUBSTITUTE(SUBSTITUTE(SUBSTITUTE(SUBSTITUTE(SUBSTITUTE(SUBSTITUTE(SUBSTITUTE(SUBSTITUTE(SUBSTITUTE(SUBSTITUTE(SUBSTITUTE(SUBSTITUTE(LOWER(TRIM(E753)),"á","a"),"é","e"),"í","i"),"ó","o"),"ú","u"),"ü","u"),"ñ","n"),"à","a"),"è","e"),"ì","i"),"ò","o"),"ù","u"),"")</f>
        <v/>
      </c>
      <c r="R753" s="25">
        <f>IF(AND(L753=1,I753&lt;&gt;""),SUBSTITUTE(SUBSTITUTE(SUBSTITUTE(SUBSTITUTE(SUBSTITUTE(SUBSTITUTE(SUBSTITUTE(SUBSTITUTE(SUBSTITUTE(SUBSTITUTE(SUBSTITUTE(SUBSTITUTE(LOWER(TRIM(I753)),"á","a"),"é","e"),"í","i"),"ó","o"),"ú","u"),"ü","u"),"ñ","n"),"à","a"),"è","e"),"ì","i"),"ò","o"),"ù","u"),"")</f>
        <v/>
      </c>
      <c r="S753" s="25">
        <f>IF(R753="","",IF(OR(R753="si",R753="tal vez"),1,0))</f>
        <v/>
      </c>
      <c r="T753" s="25">
        <f>IF(AND(L753=1,D753&lt;&gt;""),IF(IFERROR(COUNTIFS(D$3:D753,"="&amp;SUBSTITUTE(SUBSTITUTE(SUBSTITUTE(D753,"~","~~"),"*","~*"),"?","~?"),L$3:L753,1),0)=1,MAX(T$2:T752)+1,""),"")</f>
        <v/>
      </c>
      <c r="U753" s="25">
        <f>IF(T753="","",COUNTIFS($D$3:$D$1002,"="&amp;SUBSTITUTE(SUBSTITUTE(SUBSTITUTE(D753,"~","~~"),"*","~*"),"?","~?"),$L$3:$L$1002,1)*10000-T753)</f>
        <v/>
      </c>
      <c r="V753" s="25">
        <f>IF(AND(L753=1,J753&lt;&gt;""),IF(IFERROR(COUNTIFS(J$3:J753,"="&amp;SUBSTITUTE(SUBSTITUTE(SUBSTITUTE(J753,"~","~~"),"*","~*"),"?","~?"),L$3:L753,1),0)=1,MAX(V$2:V752)+1,""),"")</f>
        <v/>
      </c>
      <c r="W753" s="25">
        <f>IF(V753="","",COUNTIFS($J$3:$J$1002,"="&amp;SUBSTITUTE(SUBSTITUTE(SUBSTITUTE(J753,"~","~~"),"*","~*"),"?","~?"),$L$3:$L$1002,1)*10000-V753)</f>
        <v/>
      </c>
    </row>
    <row r="754">
      <c r="A754">
        <f>IF(A$2=0,"",IFERROR(TRIM(INDEX('Pegar estudiantes'!$A$1:$BZ$1001,753,A$2)&amp;""),""))</f>
        <v/>
      </c>
      <c r="B754">
        <f>IF(B$2=0,"",IFERROR(TRIM(INDEX('Pegar estudiantes'!$A$1:$BZ$1001,753,B$2)&amp;""),""))</f>
        <v/>
      </c>
      <c r="C754">
        <f>IF(C$2=0,"",IFERROR(TRIM(INDEX('Pegar estudiantes'!$A$1:$BZ$1001,753,C$2)&amp;""),""))</f>
        <v/>
      </c>
      <c r="D754">
        <f>IF(D$2=0,"",IFERROR(TRIM(INDEX('Pegar estudiantes'!$A$1:$BZ$1001,753,D$2)&amp;""),""))</f>
        <v/>
      </c>
      <c r="E754">
        <f>IF(E$2=0,"",IFERROR(TRIM(INDEX('Pegar estudiantes'!$A$1:$BZ$1001,753,E$2)&amp;""),""))</f>
        <v/>
      </c>
      <c r="F754">
        <f>IF(F$2=0,"",IFERROR(TRIM(INDEX('Pegar estudiantes'!$A$1:$BZ$1001,753,F$2)&amp;""),""))</f>
        <v/>
      </c>
      <c r="G754">
        <f>IF(G$2=0,"",IFERROR(TRIM(INDEX('Pegar estudiantes'!$A$1:$BZ$1001,753,G$2)&amp;""),""))</f>
        <v/>
      </c>
      <c r="H754">
        <f>IF(H$2=0,"",IFERROR(TRIM(INDEX('Pegar estudiantes'!$A$1:$BZ$1001,753,H$2)&amp;""),""))</f>
        <v/>
      </c>
      <c r="I754">
        <f>IF(I$2=0,"",IFERROR(TRIM(INDEX('Pegar estudiantes'!$A$1:$BZ$1001,753,I$2)&amp;""),""))</f>
        <v/>
      </c>
      <c r="J754">
        <f>IF(J$2=0,"",IFERROR(TRIM(INDEX('Pegar estudiantes'!$A$1:$BZ$1001,753,J$2)&amp;""),""))</f>
        <v/>
      </c>
      <c r="K754">
        <f>IF(K$2=0,"",IFERROR(TRIM(INDEX('Pegar estudiantes'!$A$1:$BZ$1001,753,K$2)&amp;""),""))</f>
        <v/>
      </c>
      <c r="L754" s="25">
        <f>IF(A754&lt;&gt;"",1,"")</f>
        <v/>
      </c>
      <c r="M754" s="25">
        <f>IF(L754=1,IF(ISNUMBER(FIND("#"&amp;MID(A754,1,1)&amp;"#","#0#1#2#3#4#5#6#7#8#9#")),IF(ISNUMBER(FIND("#"&amp;MID(A754,2,1)&amp;"#","#0#1#2#3#4#5#6#7#8#9#")),IF(AND(VALUE(LEFT(A754,2))&gt;=1,VALUE(LEFT(A754,2))&lt;=5),VALUE(LEFT(A754,2)),""),IF(AND(VALUE(LEFT(A754,1))&gt;=1,VALUE(LEFT(A754,1))&lt;=5),VALUE(LEFT(A754,1)),"")),""),"")</f>
        <v/>
      </c>
      <c r="N754" s="25">
        <f>IF(L754=1,IF(ISNUMBER(FIND("#"&amp;MID(H754,1,1)&amp;"#","#0#1#2#3#4#5#6#7#8#9#")),IF(ISNUMBER(FIND("#"&amp;MID(H754,2,1)&amp;"#","#0#1#2#3#4#5#6#7#8#9#")),IF(AND(VALUE(LEFT(H754,2))&gt;=1,VALUE(LEFT(H754,2))&lt;=5),VALUE(LEFT(H754,2)),""),IF(AND(VALUE(LEFT(H754,1))&gt;=1,VALUE(LEFT(H754,1))&lt;=5),VALUE(LEFT(H754,1)),"")),""),"")</f>
        <v/>
      </c>
      <c r="O754" s="25">
        <f>IF(AND(L754=1,B754&lt;&gt;""),SUBSTITUTE(SUBSTITUTE(SUBSTITUTE(SUBSTITUTE(SUBSTITUTE(SUBSTITUTE(SUBSTITUTE(SUBSTITUTE(SUBSTITUTE(SUBSTITUTE(SUBSTITUTE(SUBSTITUTE(LOWER(TRIM(B754)),"á","a"),"é","e"),"í","i"),"ó","o"),"ú","u"),"ü","u"),"ñ","n"),"à","a"),"è","e"),"ì","i"),"ò","o"),"ù","u"),"")</f>
        <v/>
      </c>
      <c r="P754" s="25">
        <f>IF(AND(L754=1,C754&lt;&gt;""),SUBSTITUTE(SUBSTITUTE(SUBSTITUTE(SUBSTITUTE(SUBSTITUTE(SUBSTITUTE(SUBSTITUTE(SUBSTITUTE(SUBSTITUTE(SUBSTITUTE(SUBSTITUTE(SUBSTITUTE(LOWER(TRIM(C754)),"á","a"),"é","e"),"í","i"),"ó","o"),"ú","u"),"ü","u"),"ñ","n"),"à","a"),"è","e"),"ì","i"),"ò","o"),"ù","u"),"")</f>
        <v/>
      </c>
      <c r="Q754" s="25">
        <f>IF(AND(L754=1,E754&lt;&gt;""),SUBSTITUTE(SUBSTITUTE(SUBSTITUTE(SUBSTITUTE(SUBSTITUTE(SUBSTITUTE(SUBSTITUTE(SUBSTITUTE(SUBSTITUTE(SUBSTITUTE(SUBSTITUTE(SUBSTITUTE(LOWER(TRIM(E754)),"á","a"),"é","e"),"í","i"),"ó","o"),"ú","u"),"ü","u"),"ñ","n"),"à","a"),"è","e"),"ì","i"),"ò","o"),"ù","u"),"")</f>
        <v/>
      </c>
      <c r="R754" s="25">
        <f>IF(AND(L754=1,I754&lt;&gt;""),SUBSTITUTE(SUBSTITUTE(SUBSTITUTE(SUBSTITUTE(SUBSTITUTE(SUBSTITUTE(SUBSTITUTE(SUBSTITUTE(SUBSTITUTE(SUBSTITUTE(SUBSTITUTE(SUBSTITUTE(LOWER(TRIM(I754)),"á","a"),"é","e"),"í","i"),"ó","o"),"ú","u"),"ü","u"),"ñ","n"),"à","a"),"è","e"),"ì","i"),"ò","o"),"ù","u"),"")</f>
        <v/>
      </c>
      <c r="S754" s="25">
        <f>IF(R754="","",IF(OR(R754="si",R754="tal vez"),1,0))</f>
        <v/>
      </c>
      <c r="T754" s="25">
        <f>IF(AND(L754=1,D754&lt;&gt;""),IF(IFERROR(COUNTIFS(D$3:D754,"="&amp;SUBSTITUTE(SUBSTITUTE(SUBSTITUTE(D754,"~","~~"),"*","~*"),"?","~?"),L$3:L754,1),0)=1,MAX(T$2:T753)+1,""),"")</f>
        <v/>
      </c>
      <c r="U754" s="25">
        <f>IF(T754="","",COUNTIFS($D$3:$D$1002,"="&amp;SUBSTITUTE(SUBSTITUTE(SUBSTITUTE(D754,"~","~~"),"*","~*"),"?","~?"),$L$3:$L$1002,1)*10000-T754)</f>
        <v/>
      </c>
      <c r="V754" s="25">
        <f>IF(AND(L754=1,J754&lt;&gt;""),IF(IFERROR(COUNTIFS(J$3:J754,"="&amp;SUBSTITUTE(SUBSTITUTE(SUBSTITUTE(J754,"~","~~"),"*","~*"),"?","~?"),L$3:L754,1),0)=1,MAX(V$2:V753)+1,""),"")</f>
        <v/>
      </c>
      <c r="W754" s="25">
        <f>IF(V754="","",COUNTIFS($J$3:$J$1002,"="&amp;SUBSTITUTE(SUBSTITUTE(SUBSTITUTE(J754,"~","~~"),"*","~*"),"?","~?"),$L$3:$L$1002,1)*10000-V754)</f>
        <v/>
      </c>
    </row>
    <row r="755">
      <c r="A755">
        <f>IF(A$2=0,"",IFERROR(TRIM(INDEX('Pegar estudiantes'!$A$1:$BZ$1001,754,A$2)&amp;""),""))</f>
        <v/>
      </c>
      <c r="B755">
        <f>IF(B$2=0,"",IFERROR(TRIM(INDEX('Pegar estudiantes'!$A$1:$BZ$1001,754,B$2)&amp;""),""))</f>
        <v/>
      </c>
      <c r="C755">
        <f>IF(C$2=0,"",IFERROR(TRIM(INDEX('Pegar estudiantes'!$A$1:$BZ$1001,754,C$2)&amp;""),""))</f>
        <v/>
      </c>
      <c r="D755">
        <f>IF(D$2=0,"",IFERROR(TRIM(INDEX('Pegar estudiantes'!$A$1:$BZ$1001,754,D$2)&amp;""),""))</f>
        <v/>
      </c>
      <c r="E755">
        <f>IF(E$2=0,"",IFERROR(TRIM(INDEX('Pegar estudiantes'!$A$1:$BZ$1001,754,E$2)&amp;""),""))</f>
        <v/>
      </c>
      <c r="F755">
        <f>IF(F$2=0,"",IFERROR(TRIM(INDEX('Pegar estudiantes'!$A$1:$BZ$1001,754,F$2)&amp;""),""))</f>
        <v/>
      </c>
      <c r="G755">
        <f>IF(G$2=0,"",IFERROR(TRIM(INDEX('Pegar estudiantes'!$A$1:$BZ$1001,754,G$2)&amp;""),""))</f>
        <v/>
      </c>
      <c r="H755">
        <f>IF(H$2=0,"",IFERROR(TRIM(INDEX('Pegar estudiantes'!$A$1:$BZ$1001,754,H$2)&amp;""),""))</f>
        <v/>
      </c>
      <c r="I755">
        <f>IF(I$2=0,"",IFERROR(TRIM(INDEX('Pegar estudiantes'!$A$1:$BZ$1001,754,I$2)&amp;""),""))</f>
        <v/>
      </c>
      <c r="J755">
        <f>IF(J$2=0,"",IFERROR(TRIM(INDEX('Pegar estudiantes'!$A$1:$BZ$1001,754,J$2)&amp;""),""))</f>
        <v/>
      </c>
      <c r="K755">
        <f>IF(K$2=0,"",IFERROR(TRIM(INDEX('Pegar estudiantes'!$A$1:$BZ$1001,754,K$2)&amp;""),""))</f>
        <v/>
      </c>
      <c r="L755" s="25">
        <f>IF(A755&lt;&gt;"",1,"")</f>
        <v/>
      </c>
      <c r="M755" s="25">
        <f>IF(L755=1,IF(ISNUMBER(FIND("#"&amp;MID(A755,1,1)&amp;"#","#0#1#2#3#4#5#6#7#8#9#")),IF(ISNUMBER(FIND("#"&amp;MID(A755,2,1)&amp;"#","#0#1#2#3#4#5#6#7#8#9#")),IF(AND(VALUE(LEFT(A755,2))&gt;=1,VALUE(LEFT(A755,2))&lt;=5),VALUE(LEFT(A755,2)),""),IF(AND(VALUE(LEFT(A755,1))&gt;=1,VALUE(LEFT(A755,1))&lt;=5),VALUE(LEFT(A755,1)),"")),""),"")</f>
        <v/>
      </c>
      <c r="N755" s="25">
        <f>IF(L755=1,IF(ISNUMBER(FIND("#"&amp;MID(H755,1,1)&amp;"#","#0#1#2#3#4#5#6#7#8#9#")),IF(ISNUMBER(FIND("#"&amp;MID(H755,2,1)&amp;"#","#0#1#2#3#4#5#6#7#8#9#")),IF(AND(VALUE(LEFT(H755,2))&gt;=1,VALUE(LEFT(H755,2))&lt;=5),VALUE(LEFT(H755,2)),""),IF(AND(VALUE(LEFT(H755,1))&gt;=1,VALUE(LEFT(H755,1))&lt;=5),VALUE(LEFT(H755,1)),"")),""),"")</f>
        <v/>
      </c>
      <c r="O755" s="25">
        <f>IF(AND(L755=1,B755&lt;&gt;""),SUBSTITUTE(SUBSTITUTE(SUBSTITUTE(SUBSTITUTE(SUBSTITUTE(SUBSTITUTE(SUBSTITUTE(SUBSTITUTE(SUBSTITUTE(SUBSTITUTE(SUBSTITUTE(SUBSTITUTE(LOWER(TRIM(B755)),"á","a"),"é","e"),"í","i"),"ó","o"),"ú","u"),"ü","u"),"ñ","n"),"à","a"),"è","e"),"ì","i"),"ò","o"),"ù","u"),"")</f>
        <v/>
      </c>
      <c r="P755" s="25">
        <f>IF(AND(L755=1,C755&lt;&gt;""),SUBSTITUTE(SUBSTITUTE(SUBSTITUTE(SUBSTITUTE(SUBSTITUTE(SUBSTITUTE(SUBSTITUTE(SUBSTITUTE(SUBSTITUTE(SUBSTITUTE(SUBSTITUTE(SUBSTITUTE(LOWER(TRIM(C755)),"á","a"),"é","e"),"í","i"),"ó","o"),"ú","u"),"ü","u"),"ñ","n"),"à","a"),"è","e"),"ì","i"),"ò","o"),"ù","u"),"")</f>
        <v/>
      </c>
      <c r="Q755" s="25">
        <f>IF(AND(L755=1,E755&lt;&gt;""),SUBSTITUTE(SUBSTITUTE(SUBSTITUTE(SUBSTITUTE(SUBSTITUTE(SUBSTITUTE(SUBSTITUTE(SUBSTITUTE(SUBSTITUTE(SUBSTITUTE(SUBSTITUTE(SUBSTITUTE(LOWER(TRIM(E755)),"á","a"),"é","e"),"í","i"),"ó","o"),"ú","u"),"ü","u"),"ñ","n"),"à","a"),"è","e"),"ì","i"),"ò","o"),"ù","u"),"")</f>
        <v/>
      </c>
      <c r="R755" s="25">
        <f>IF(AND(L755=1,I755&lt;&gt;""),SUBSTITUTE(SUBSTITUTE(SUBSTITUTE(SUBSTITUTE(SUBSTITUTE(SUBSTITUTE(SUBSTITUTE(SUBSTITUTE(SUBSTITUTE(SUBSTITUTE(SUBSTITUTE(SUBSTITUTE(LOWER(TRIM(I755)),"á","a"),"é","e"),"í","i"),"ó","o"),"ú","u"),"ü","u"),"ñ","n"),"à","a"),"è","e"),"ì","i"),"ò","o"),"ù","u"),"")</f>
        <v/>
      </c>
      <c r="S755" s="25">
        <f>IF(R755="","",IF(OR(R755="si",R755="tal vez"),1,0))</f>
        <v/>
      </c>
      <c r="T755" s="25">
        <f>IF(AND(L755=1,D755&lt;&gt;""),IF(IFERROR(COUNTIFS(D$3:D755,"="&amp;SUBSTITUTE(SUBSTITUTE(SUBSTITUTE(D755,"~","~~"),"*","~*"),"?","~?"),L$3:L755,1),0)=1,MAX(T$2:T754)+1,""),"")</f>
        <v/>
      </c>
      <c r="U755" s="25">
        <f>IF(T755="","",COUNTIFS($D$3:$D$1002,"="&amp;SUBSTITUTE(SUBSTITUTE(SUBSTITUTE(D755,"~","~~"),"*","~*"),"?","~?"),$L$3:$L$1002,1)*10000-T755)</f>
        <v/>
      </c>
      <c r="V755" s="25">
        <f>IF(AND(L755=1,J755&lt;&gt;""),IF(IFERROR(COUNTIFS(J$3:J755,"="&amp;SUBSTITUTE(SUBSTITUTE(SUBSTITUTE(J755,"~","~~"),"*","~*"),"?","~?"),L$3:L755,1),0)=1,MAX(V$2:V754)+1,""),"")</f>
        <v/>
      </c>
      <c r="W755" s="25">
        <f>IF(V755="","",COUNTIFS($J$3:$J$1002,"="&amp;SUBSTITUTE(SUBSTITUTE(SUBSTITUTE(J755,"~","~~"),"*","~*"),"?","~?"),$L$3:$L$1002,1)*10000-V755)</f>
        <v/>
      </c>
    </row>
    <row r="756">
      <c r="A756">
        <f>IF(A$2=0,"",IFERROR(TRIM(INDEX('Pegar estudiantes'!$A$1:$BZ$1001,755,A$2)&amp;""),""))</f>
        <v/>
      </c>
      <c r="B756">
        <f>IF(B$2=0,"",IFERROR(TRIM(INDEX('Pegar estudiantes'!$A$1:$BZ$1001,755,B$2)&amp;""),""))</f>
        <v/>
      </c>
      <c r="C756">
        <f>IF(C$2=0,"",IFERROR(TRIM(INDEX('Pegar estudiantes'!$A$1:$BZ$1001,755,C$2)&amp;""),""))</f>
        <v/>
      </c>
      <c r="D756">
        <f>IF(D$2=0,"",IFERROR(TRIM(INDEX('Pegar estudiantes'!$A$1:$BZ$1001,755,D$2)&amp;""),""))</f>
        <v/>
      </c>
      <c r="E756">
        <f>IF(E$2=0,"",IFERROR(TRIM(INDEX('Pegar estudiantes'!$A$1:$BZ$1001,755,E$2)&amp;""),""))</f>
        <v/>
      </c>
      <c r="F756">
        <f>IF(F$2=0,"",IFERROR(TRIM(INDEX('Pegar estudiantes'!$A$1:$BZ$1001,755,F$2)&amp;""),""))</f>
        <v/>
      </c>
      <c r="G756">
        <f>IF(G$2=0,"",IFERROR(TRIM(INDEX('Pegar estudiantes'!$A$1:$BZ$1001,755,G$2)&amp;""),""))</f>
        <v/>
      </c>
      <c r="H756">
        <f>IF(H$2=0,"",IFERROR(TRIM(INDEX('Pegar estudiantes'!$A$1:$BZ$1001,755,H$2)&amp;""),""))</f>
        <v/>
      </c>
      <c r="I756">
        <f>IF(I$2=0,"",IFERROR(TRIM(INDEX('Pegar estudiantes'!$A$1:$BZ$1001,755,I$2)&amp;""),""))</f>
        <v/>
      </c>
      <c r="J756">
        <f>IF(J$2=0,"",IFERROR(TRIM(INDEX('Pegar estudiantes'!$A$1:$BZ$1001,755,J$2)&amp;""),""))</f>
        <v/>
      </c>
      <c r="K756">
        <f>IF(K$2=0,"",IFERROR(TRIM(INDEX('Pegar estudiantes'!$A$1:$BZ$1001,755,K$2)&amp;""),""))</f>
        <v/>
      </c>
      <c r="L756" s="25">
        <f>IF(A756&lt;&gt;"",1,"")</f>
        <v/>
      </c>
      <c r="M756" s="25">
        <f>IF(L756=1,IF(ISNUMBER(FIND("#"&amp;MID(A756,1,1)&amp;"#","#0#1#2#3#4#5#6#7#8#9#")),IF(ISNUMBER(FIND("#"&amp;MID(A756,2,1)&amp;"#","#0#1#2#3#4#5#6#7#8#9#")),IF(AND(VALUE(LEFT(A756,2))&gt;=1,VALUE(LEFT(A756,2))&lt;=5),VALUE(LEFT(A756,2)),""),IF(AND(VALUE(LEFT(A756,1))&gt;=1,VALUE(LEFT(A756,1))&lt;=5),VALUE(LEFT(A756,1)),"")),""),"")</f>
        <v/>
      </c>
      <c r="N756" s="25">
        <f>IF(L756=1,IF(ISNUMBER(FIND("#"&amp;MID(H756,1,1)&amp;"#","#0#1#2#3#4#5#6#7#8#9#")),IF(ISNUMBER(FIND("#"&amp;MID(H756,2,1)&amp;"#","#0#1#2#3#4#5#6#7#8#9#")),IF(AND(VALUE(LEFT(H756,2))&gt;=1,VALUE(LEFT(H756,2))&lt;=5),VALUE(LEFT(H756,2)),""),IF(AND(VALUE(LEFT(H756,1))&gt;=1,VALUE(LEFT(H756,1))&lt;=5),VALUE(LEFT(H756,1)),"")),""),"")</f>
        <v/>
      </c>
      <c r="O756" s="25">
        <f>IF(AND(L756=1,B756&lt;&gt;""),SUBSTITUTE(SUBSTITUTE(SUBSTITUTE(SUBSTITUTE(SUBSTITUTE(SUBSTITUTE(SUBSTITUTE(SUBSTITUTE(SUBSTITUTE(SUBSTITUTE(SUBSTITUTE(SUBSTITUTE(LOWER(TRIM(B756)),"á","a"),"é","e"),"í","i"),"ó","o"),"ú","u"),"ü","u"),"ñ","n"),"à","a"),"è","e"),"ì","i"),"ò","o"),"ù","u"),"")</f>
        <v/>
      </c>
      <c r="P756" s="25">
        <f>IF(AND(L756=1,C756&lt;&gt;""),SUBSTITUTE(SUBSTITUTE(SUBSTITUTE(SUBSTITUTE(SUBSTITUTE(SUBSTITUTE(SUBSTITUTE(SUBSTITUTE(SUBSTITUTE(SUBSTITUTE(SUBSTITUTE(SUBSTITUTE(LOWER(TRIM(C756)),"á","a"),"é","e"),"í","i"),"ó","o"),"ú","u"),"ü","u"),"ñ","n"),"à","a"),"è","e"),"ì","i"),"ò","o"),"ù","u"),"")</f>
        <v/>
      </c>
      <c r="Q756" s="25">
        <f>IF(AND(L756=1,E756&lt;&gt;""),SUBSTITUTE(SUBSTITUTE(SUBSTITUTE(SUBSTITUTE(SUBSTITUTE(SUBSTITUTE(SUBSTITUTE(SUBSTITUTE(SUBSTITUTE(SUBSTITUTE(SUBSTITUTE(SUBSTITUTE(LOWER(TRIM(E756)),"á","a"),"é","e"),"í","i"),"ó","o"),"ú","u"),"ü","u"),"ñ","n"),"à","a"),"è","e"),"ì","i"),"ò","o"),"ù","u"),"")</f>
        <v/>
      </c>
      <c r="R756" s="25">
        <f>IF(AND(L756=1,I756&lt;&gt;""),SUBSTITUTE(SUBSTITUTE(SUBSTITUTE(SUBSTITUTE(SUBSTITUTE(SUBSTITUTE(SUBSTITUTE(SUBSTITUTE(SUBSTITUTE(SUBSTITUTE(SUBSTITUTE(SUBSTITUTE(LOWER(TRIM(I756)),"á","a"),"é","e"),"í","i"),"ó","o"),"ú","u"),"ü","u"),"ñ","n"),"à","a"),"è","e"),"ì","i"),"ò","o"),"ù","u"),"")</f>
        <v/>
      </c>
      <c r="S756" s="25">
        <f>IF(R756="","",IF(OR(R756="si",R756="tal vez"),1,0))</f>
        <v/>
      </c>
      <c r="T756" s="25">
        <f>IF(AND(L756=1,D756&lt;&gt;""),IF(IFERROR(COUNTIFS(D$3:D756,"="&amp;SUBSTITUTE(SUBSTITUTE(SUBSTITUTE(D756,"~","~~"),"*","~*"),"?","~?"),L$3:L756,1),0)=1,MAX(T$2:T755)+1,""),"")</f>
        <v/>
      </c>
      <c r="U756" s="25">
        <f>IF(T756="","",COUNTIFS($D$3:$D$1002,"="&amp;SUBSTITUTE(SUBSTITUTE(SUBSTITUTE(D756,"~","~~"),"*","~*"),"?","~?"),$L$3:$L$1002,1)*10000-T756)</f>
        <v/>
      </c>
      <c r="V756" s="25">
        <f>IF(AND(L756=1,J756&lt;&gt;""),IF(IFERROR(COUNTIFS(J$3:J756,"="&amp;SUBSTITUTE(SUBSTITUTE(SUBSTITUTE(J756,"~","~~"),"*","~*"),"?","~?"),L$3:L756,1),0)=1,MAX(V$2:V755)+1,""),"")</f>
        <v/>
      </c>
      <c r="W756" s="25">
        <f>IF(V756="","",COUNTIFS($J$3:$J$1002,"="&amp;SUBSTITUTE(SUBSTITUTE(SUBSTITUTE(J756,"~","~~"),"*","~*"),"?","~?"),$L$3:$L$1002,1)*10000-V756)</f>
        <v/>
      </c>
    </row>
    <row r="757">
      <c r="A757">
        <f>IF(A$2=0,"",IFERROR(TRIM(INDEX('Pegar estudiantes'!$A$1:$BZ$1001,756,A$2)&amp;""),""))</f>
        <v/>
      </c>
      <c r="B757">
        <f>IF(B$2=0,"",IFERROR(TRIM(INDEX('Pegar estudiantes'!$A$1:$BZ$1001,756,B$2)&amp;""),""))</f>
        <v/>
      </c>
      <c r="C757">
        <f>IF(C$2=0,"",IFERROR(TRIM(INDEX('Pegar estudiantes'!$A$1:$BZ$1001,756,C$2)&amp;""),""))</f>
        <v/>
      </c>
      <c r="D757">
        <f>IF(D$2=0,"",IFERROR(TRIM(INDEX('Pegar estudiantes'!$A$1:$BZ$1001,756,D$2)&amp;""),""))</f>
        <v/>
      </c>
      <c r="E757">
        <f>IF(E$2=0,"",IFERROR(TRIM(INDEX('Pegar estudiantes'!$A$1:$BZ$1001,756,E$2)&amp;""),""))</f>
        <v/>
      </c>
      <c r="F757">
        <f>IF(F$2=0,"",IFERROR(TRIM(INDEX('Pegar estudiantes'!$A$1:$BZ$1001,756,F$2)&amp;""),""))</f>
        <v/>
      </c>
      <c r="G757">
        <f>IF(G$2=0,"",IFERROR(TRIM(INDEX('Pegar estudiantes'!$A$1:$BZ$1001,756,G$2)&amp;""),""))</f>
        <v/>
      </c>
      <c r="H757">
        <f>IF(H$2=0,"",IFERROR(TRIM(INDEX('Pegar estudiantes'!$A$1:$BZ$1001,756,H$2)&amp;""),""))</f>
        <v/>
      </c>
      <c r="I757">
        <f>IF(I$2=0,"",IFERROR(TRIM(INDEX('Pegar estudiantes'!$A$1:$BZ$1001,756,I$2)&amp;""),""))</f>
        <v/>
      </c>
      <c r="J757">
        <f>IF(J$2=0,"",IFERROR(TRIM(INDEX('Pegar estudiantes'!$A$1:$BZ$1001,756,J$2)&amp;""),""))</f>
        <v/>
      </c>
      <c r="K757">
        <f>IF(K$2=0,"",IFERROR(TRIM(INDEX('Pegar estudiantes'!$A$1:$BZ$1001,756,K$2)&amp;""),""))</f>
        <v/>
      </c>
      <c r="L757" s="25">
        <f>IF(A757&lt;&gt;"",1,"")</f>
        <v/>
      </c>
      <c r="M757" s="25">
        <f>IF(L757=1,IF(ISNUMBER(FIND("#"&amp;MID(A757,1,1)&amp;"#","#0#1#2#3#4#5#6#7#8#9#")),IF(ISNUMBER(FIND("#"&amp;MID(A757,2,1)&amp;"#","#0#1#2#3#4#5#6#7#8#9#")),IF(AND(VALUE(LEFT(A757,2))&gt;=1,VALUE(LEFT(A757,2))&lt;=5),VALUE(LEFT(A757,2)),""),IF(AND(VALUE(LEFT(A757,1))&gt;=1,VALUE(LEFT(A757,1))&lt;=5),VALUE(LEFT(A757,1)),"")),""),"")</f>
        <v/>
      </c>
      <c r="N757" s="25">
        <f>IF(L757=1,IF(ISNUMBER(FIND("#"&amp;MID(H757,1,1)&amp;"#","#0#1#2#3#4#5#6#7#8#9#")),IF(ISNUMBER(FIND("#"&amp;MID(H757,2,1)&amp;"#","#0#1#2#3#4#5#6#7#8#9#")),IF(AND(VALUE(LEFT(H757,2))&gt;=1,VALUE(LEFT(H757,2))&lt;=5),VALUE(LEFT(H757,2)),""),IF(AND(VALUE(LEFT(H757,1))&gt;=1,VALUE(LEFT(H757,1))&lt;=5),VALUE(LEFT(H757,1)),"")),""),"")</f>
        <v/>
      </c>
      <c r="O757" s="25">
        <f>IF(AND(L757=1,B757&lt;&gt;""),SUBSTITUTE(SUBSTITUTE(SUBSTITUTE(SUBSTITUTE(SUBSTITUTE(SUBSTITUTE(SUBSTITUTE(SUBSTITUTE(SUBSTITUTE(SUBSTITUTE(SUBSTITUTE(SUBSTITUTE(LOWER(TRIM(B757)),"á","a"),"é","e"),"í","i"),"ó","o"),"ú","u"),"ü","u"),"ñ","n"),"à","a"),"è","e"),"ì","i"),"ò","o"),"ù","u"),"")</f>
        <v/>
      </c>
      <c r="P757" s="25">
        <f>IF(AND(L757=1,C757&lt;&gt;""),SUBSTITUTE(SUBSTITUTE(SUBSTITUTE(SUBSTITUTE(SUBSTITUTE(SUBSTITUTE(SUBSTITUTE(SUBSTITUTE(SUBSTITUTE(SUBSTITUTE(SUBSTITUTE(SUBSTITUTE(LOWER(TRIM(C757)),"á","a"),"é","e"),"í","i"),"ó","o"),"ú","u"),"ü","u"),"ñ","n"),"à","a"),"è","e"),"ì","i"),"ò","o"),"ù","u"),"")</f>
        <v/>
      </c>
      <c r="Q757" s="25">
        <f>IF(AND(L757=1,E757&lt;&gt;""),SUBSTITUTE(SUBSTITUTE(SUBSTITUTE(SUBSTITUTE(SUBSTITUTE(SUBSTITUTE(SUBSTITUTE(SUBSTITUTE(SUBSTITUTE(SUBSTITUTE(SUBSTITUTE(SUBSTITUTE(LOWER(TRIM(E757)),"á","a"),"é","e"),"í","i"),"ó","o"),"ú","u"),"ü","u"),"ñ","n"),"à","a"),"è","e"),"ì","i"),"ò","o"),"ù","u"),"")</f>
        <v/>
      </c>
      <c r="R757" s="25">
        <f>IF(AND(L757=1,I757&lt;&gt;""),SUBSTITUTE(SUBSTITUTE(SUBSTITUTE(SUBSTITUTE(SUBSTITUTE(SUBSTITUTE(SUBSTITUTE(SUBSTITUTE(SUBSTITUTE(SUBSTITUTE(SUBSTITUTE(SUBSTITUTE(LOWER(TRIM(I757)),"á","a"),"é","e"),"í","i"),"ó","o"),"ú","u"),"ü","u"),"ñ","n"),"à","a"),"è","e"),"ì","i"),"ò","o"),"ù","u"),"")</f>
        <v/>
      </c>
      <c r="S757" s="25">
        <f>IF(R757="","",IF(OR(R757="si",R757="tal vez"),1,0))</f>
        <v/>
      </c>
      <c r="T757" s="25">
        <f>IF(AND(L757=1,D757&lt;&gt;""),IF(IFERROR(COUNTIFS(D$3:D757,"="&amp;SUBSTITUTE(SUBSTITUTE(SUBSTITUTE(D757,"~","~~"),"*","~*"),"?","~?"),L$3:L757,1),0)=1,MAX(T$2:T756)+1,""),"")</f>
        <v/>
      </c>
      <c r="U757" s="25">
        <f>IF(T757="","",COUNTIFS($D$3:$D$1002,"="&amp;SUBSTITUTE(SUBSTITUTE(SUBSTITUTE(D757,"~","~~"),"*","~*"),"?","~?"),$L$3:$L$1002,1)*10000-T757)</f>
        <v/>
      </c>
      <c r="V757" s="25">
        <f>IF(AND(L757=1,J757&lt;&gt;""),IF(IFERROR(COUNTIFS(J$3:J757,"="&amp;SUBSTITUTE(SUBSTITUTE(SUBSTITUTE(J757,"~","~~"),"*","~*"),"?","~?"),L$3:L757,1),0)=1,MAX(V$2:V756)+1,""),"")</f>
        <v/>
      </c>
      <c r="W757" s="25">
        <f>IF(V757="","",COUNTIFS($J$3:$J$1002,"="&amp;SUBSTITUTE(SUBSTITUTE(SUBSTITUTE(J757,"~","~~"),"*","~*"),"?","~?"),$L$3:$L$1002,1)*10000-V757)</f>
        <v/>
      </c>
    </row>
    <row r="758">
      <c r="A758">
        <f>IF(A$2=0,"",IFERROR(TRIM(INDEX('Pegar estudiantes'!$A$1:$BZ$1001,757,A$2)&amp;""),""))</f>
        <v/>
      </c>
      <c r="B758">
        <f>IF(B$2=0,"",IFERROR(TRIM(INDEX('Pegar estudiantes'!$A$1:$BZ$1001,757,B$2)&amp;""),""))</f>
        <v/>
      </c>
      <c r="C758">
        <f>IF(C$2=0,"",IFERROR(TRIM(INDEX('Pegar estudiantes'!$A$1:$BZ$1001,757,C$2)&amp;""),""))</f>
        <v/>
      </c>
      <c r="D758">
        <f>IF(D$2=0,"",IFERROR(TRIM(INDEX('Pegar estudiantes'!$A$1:$BZ$1001,757,D$2)&amp;""),""))</f>
        <v/>
      </c>
      <c r="E758">
        <f>IF(E$2=0,"",IFERROR(TRIM(INDEX('Pegar estudiantes'!$A$1:$BZ$1001,757,E$2)&amp;""),""))</f>
        <v/>
      </c>
      <c r="F758">
        <f>IF(F$2=0,"",IFERROR(TRIM(INDEX('Pegar estudiantes'!$A$1:$BZ$1001,757,F$2)&amp;""),""))</f>
        <v/>
      </c>
      <c r="G758">
        <f>IF(G$2=0,"",IFERROR(TRIM(INDEX('Pegar estudiantes'!$A$1:$BZ$1001,757,G$2)&amp;""),""))</f>
        <v/>
      </c>
      <c r="H758">
        <f>IF(H$2=0,"",IFERROR(TRIM(INDEX('Pegar estudiantes'!$A$1:$BZ$1001,757,H$2)&amp;""),""))</f>
        <v/>
      </c>
      <c r="I758">
        <f>IF(I$2=0,"",IFERROR(TRIM(INDEX('Pegar estudiantes'!$A$1:$BZ$1001,757,I$2)&amp;""),""))</f>
        <v/>
      </c>
      <c r="J758">
        <f>IF(J$2=0,"",IFERROR(TRIM(INDEX('Pegar estudiantes'!$A$1:$BZ$1001,757,J$2)&amp;""),""))</f>
        <v/>
      </c>
      <c r="K758">
        <f>IF(K$2=0,"",IFERROR(TRIM(INDEX('Pegar estudiantes'!$A$1:$BZ$1001,757,K$2)&amp;""),""))</f>
        <v/>
      </c>
      <c r="L758" s="25">
        <f>IF(A758&lt;&gt;"",1,"")</f>
        <v/>
      </c>
      <c r="M758" s="25">
        <f>IF(L758=1,IF(ISNUMBER(FIND("#"&amp;MID(A758,1,1)&amp;"#","#0#1#2#3#4#5#6#7#8#9#")),IF(ISNUMBER(FIND("#"&amp;MID(A758,2,1)&amp;"#","#0#1#2#3#4#5#6#7#8#9#")),IF(AND(VALUE(LEFT(A758,2))&gt;=1,VALUE(LEFT(A758,2))&lt;=5),VALUE(LEFT(A758,2)),""),IF(AND(VALUE(LEFT(A758,1))&gt;=1,VALUE(LEFT(A758,1))&lt;=5),VALUE(LEFT(A758,1)),"")),""),"")</f>
        <v/>
      </c>
      <c r="N758" s="25">
        <f>IF(L758=1,IF(ISNUMBER(FIND("#"&amp;MID(H758,1,1)&amp;"#","#0#1#2#3#4#5#6#7#8#9#")),IF(ISNUMBER(FIND("#"&amp;MID(H758,2,1)&amp;"#","#0#1#2#3#4#5#6#7#8#9#")),IF(AND(VALUE(LEFT(H758,2))&gt;=1,VALUE(LEFT(H758,2))&lt;=5),VALUE(LEFT(H758,2)),""),IF(AND(VALUE(LEFT(H758,1))&gt;=1,VALUE(LEFT(H758,1))&lt;=5),VALUE(LEFT(H758,1)),"")),""),"")</f>
        <v/>
      </c>
      <c r="O758" s="25">
        <f>IF(AND(L758=1,B758&lt;&gt;""),SUBSTITUTE(SUBSTITUTE(SUBSTITUTE(SUBSTITUTE(SUBSTITUTE(SUBSTITUTE(SUBSTITUTE(SUBSTITUTE(SUBSTITUTE(SUBSTITUTE(SUBSTITUTE(SUBSTITUTE(LOWER(TRIM(B758)),"á","a"),"é","e"),"í","i"),"ó","o"),"ú","u"),"ü","u"),"ñ","n"),"à","a"),"è","e"),"ì","i"),"ò","o"),"ù","u"),"")</f>
        <v/>
      </c>
      <c r="P758" s="25">
        <f>IF(AND(L758=1,C758&lt;&gt;""),SUBSTITUTE(SUBSTITUTE(SUBSTITUTE(SUBSTITUTE(SUBSTITUTE(SUBSTITUTE(SUBSTITUTE(SUBSTITUTE(SUBSTITUTE(SUBSTITUTE(SUBSTITUTE(SUBSTITUTE(LOWER(TRIM(C758)),"á","a"),"é","e"),"í","i"),"ó","o"),"ú","u"),"ü","u"),"ñ","n"),"à","a"),"è","e"),"ì","i"),"ò","o"),"ù","u"),"")</f>
        <v/>
      </c>
      <c r="Q758" s="25">
        <f>IF(AND(L758=1,E758&lt;&gt;""),SUBSTITUTE(SUBSTITUTE(SUBSTITUTE(SUBSTITUTE(SUBSTITUTE(SUBSTITUTE(SUBSTITUTE(SUBSTITUTE(SUBSTITUTE(SUBSTITUTE(SUBSTITUTE(SUBSTITUTE(LOWER(TRIM(E758)),"á","a"),"é","e"),"í","i"),"ó","o"),"ú","u"),"ü","u"),"ñ","n"),"à","a"),"è","e"),"ì","i"),"ò","o"),"ù","u"),"")</f>
        <v/>
      </c>
      <c r="R758" s="25">
        <f>IF(AND(L758=1,I758&lt;&gt;""),SUBSTITUTE(SUBSTITUTE(SUBSTITUTE(SUBSTITUTE(SUBSTITUTE(SUBSTITUTE(SUBSTITUTE(SUBSTITUTE(SUBSTITUTE(SUBSTITUTE(SUBSTITUTE(SUBSTITUTE(LOWER(TRIM(I758)),"á","a"),"é","e"),"í","i"),"ó","o"),"ú","u"),"ü","u"),"ñ","n"),"à","a"),"è","e"),"ì","i"),"ò","o"),"ù","u"),"")</f>
        <v/>
      </c>
      <c r="S758" s="25">
        <f>IF(R758="","",IF(OR(R758="si",R758="tal vez"),1,0))</f>
        <v/>
      </c>
      <c r="T758" s="25">
        <f>IF(AND(L758=1,D758&lt;&gt;""),IF(IFERROR(COUNTIFS(D$3:D758,"="&amp;SUBSTITUTE(SUBSTITUTE(SUBSTITUTE(D758,"~","~~"),"*","~*"),"?","~?"),L$3:L758,1),0)=1,MAX(T$2:T757)+1,""),"")</f>
        <v/>
      </c>
      <c r="U758" s="25">
        <f>IF(T758="","",COUNTIFS($D$3:$D$1002,"="&amp;SUBSTITUTE(SUBSTITUTE(SUBSTITUTE(D758,"~","~~"),"*","~*"),"?","~?"),$L$3:$L$1002,1)*10000-T758)</f>
        <v/>
      </c>
      <c r="V758" s="25">
        <f>IF(AND(L758=1,J758&lt;&gt;""),IF(IFERROR(COUNTIFS(J$3:J758,"="&amp;SUBSTITUTE(SUBSTITUTE(SUBSTITUTE(J758,"~","~~"),"*","~*"),"?","~?"),L$3:L758,1),0)=1,MAX(V$2:V757)+1,""),"")</f>
        <v/>
      </c>
      <c r="W758" s="25">
        <f>IF(V758="","",COUNTIFS($J$3:$J$1002,"="&amp;SUBSTITUTE(SUBSTITUTE(SUBSTITUTE(J758,"~","~~"),"*","~*"),"?","~?"),$L$3:$L$1002,1)*10000-V758)</f>
        <v/>
      </c>
    </row>
    <row r="759">
      <c r="A759">
        <f>IF(A$2=0,"",IFERROR(TRIM(INDEX('Pegar estudiantes'!$A$1:$BZ$1001,758,A$2)&amp;""),""))</f>
        <v/>
      </c>
      <c r="B759">
        <f>IF(B$2=0,"",IFERROR(TRIM(INDEX('Pegar estudiantes'!$A$1:$BZ$1001,758,B$2)&amp;""),""))</f>
        <v/>
      </c>
      <c r="C759">
        <f>IF(C$2=0,"",IFERROR(TRIM(INDEX('Pegar estudiantes'!$A$1:$BZ$1001,758,C$2)&amp;""),""))</f>
        <v/>
      </c>
      <c r="D759">
        <f>IF(D$2=0,"",IFERROR(TRIM(INDEX('Pegar estudiantes'!$A$1:$BZ$1001,758,D$2)&amp;""),""))</f>
        <v/>
      </c>
      <c r="E759">
        <f>IF(E$2=0,"",IFERROR(TRIM(INDEX('Pegar estudiantes'!$A$1:$BZ$1001,758,E$2)&amp;""),""))</f>
        <v/>
      </c>
      <c r="F759">
        <f>IF(F$2=0,"",IFERROR(TRIM(INDEX('Pegar estudiantes'!$A$1:$BZ$1001,758,F$2)&amp;""),""))</f>
        <v/>
      </c>
      <c r="G759">
        <f>IF(G$2=0,"",IFERROR(TRIM(INDEX('Pegar estudiantes'!$A$1:$BZ$1001,758,G$2)&amp;""),""))</f>
        <v/>
      </c>
      <c r="H759">
        <f>IF(H$2=0,"",IFERROR(TRIM(INDEX('Pegar estudiantes'!$A$1:$BZ$1001,758,H$2)&amp;""),""))</f>
        <v/>
      </c>
      <c r="I759">
        <f>IF(I$2=0,"",IFERROR(TRIM(INDEX('Pegar estudiantes'!$A$1:$BZ$1001,758,I$2)&amp;""),""))</f>
        <v/>
      </c>
      <c r="J759">
        <f>IF(J$2=0,"",IFERROR(TRIM(INDEX('Pegar estudiantes'!$A$1:$BZ$1001,758,J$2)&amp;""),""))</f>
        <v/>
      </c>
      <c r="K759">
        <f>IF(K$2=0,"",IFERROR(TRIM(INDEX('Pegar estudiantes'!$A$1:$BZ$1001,758,K$2)&amp;""),""))</f>
        <v/>
      </c>
      <c r="L759" s="25">
        <f>IF(A759&lt;&gt;"",1,"")</f>
        <v/>
      </c>
      <c r="M759" s="25">
        <f>IF(L759=1,IF(ISNUMBER(FIND("#"&amp;MID(A759,1,1)&amp;"#","#0#1#2#3#4#5#6#7#8#9#")),IF(ISNUMBER(FIND("#"&amp;MID(A759,2,1)&amp;"#","#0#1#2#3#4#5#6#7#8#9#")),IF(AND(VALUE(LEFT(A759,2))&gt;=1,VALUE(LEFT(A759,2))&lt;=5),VALUE(LEFT(A759,2)),""),IF(AND(VALUE(LEFT(A759,1))&gt;=1,VALUE(LEFT(A759,1))&lt;=5),VALUE(LEFT(A759,1)),"")),""),"")</f>
        <v/>
      </c>
      <c r="N759" s="25">
        <f>IF(L759=1,IF(ISNUMBER(FIND("#"&amp;MID(H759,1,1)&amp;"#","#0#1#2#3#4#5#6#7#8#9#")),IF(ISNUMBER(FIND("#"&amp;MID(H759,2,1)&amp;"#","#0#1#2#3#4#5#6#7#8#9#")),IF(AND(VALUE(LEFT(H759,2))&gt;=1,VALUE(LEFT(H759,2))&lt;=5),VALUE(LEFT(H759,2)),""),IF(AND(VALUE(LEFT(H759,1))&gt;=1,VALUE(LEFT(H759,1))&lt;=5),VALUE(LEFT(H759,1)),"")),""),"")</f>
        <v/>
      </c>
      <c r="O759" s="25">
        <f>IF(AND(L759=1,B759&lt;&gt;""),SUBSTITUTE(SUBSTITUTE(SUBSTITUTE(SUBSTITUTE(SUBSTITUTE(SUBSTITUTE(SUBSTITUTE(SUBSTITUTE(SUBSTITUTE(SUBSTITUTE(SUBSTITUTE(SUBSTITUTE(LOWER(TRIM(B759)),"á","a"),"é","e"),"í","i"),"ó","o"),"ú","u"),"ü","u"),"ñ","n"),"à","a"),"è","e"),"ì","i"),"ò","o"),"ù","u"),"")</f>
        <v/>
      </c>
      <c r="P759" s="25">
        <f>IF(AND(L759=1,C759&lt;&gt;""),SUBSTITUTE(SUBSTITUTE(SUBSTITUTE(SUBSTITUTE(SUBSTITUTE(SUBSTITUTE(SUBSTITUTE(SUBSTITUTE(SUBSTITUTE(SUBSTITUTE(SUBSTITUTE(SUBSTITUTE(LOWER(TRIM(C759)),"á","a"),"é","e"),"í","i"),"ó","o"),"ú","u"),"ü","u"),"ñ","n"),"à","a"),"è","e"),"ì","i"),"ò","o"),"ù","u"),"")</f>
        <v/>
      </c>
      <c r="Q759" s="25">
        <f>IF(AND(L759=1,E759&lt;&gt;""),SUBSTITUTE(SUBSTITUTE(SUBSTITUTE(SUBSTITUTE(SUBSTITUTE(SUBSTITUTE(SUBSTITUTE(SUBSTITUTE(SUBSTITUTE(SUBSTITUTE(SUBSTITUTE(SUBSTITUTE(LOWER(TRIM(E759)),"á","a"),"é","e"),"í","i"),"ó","o"),"ú","u"),"ü","u"),"ñ","n"),"à","a"),"è","e"),"ì","i"),"ò","o"),"ù","u"),"")</f>
        <v/>
      </c>
      <c r="R759" s="25">
        <f>IF(AND(L759=1,I759&lt;&gt;""),SUBSTITUTE(SUBSTITUTE(SUBSTITUTE(SUBSTITUTE(SUBSTITUTE(SUBSTITUTE(SUBSTITUTE(SUBSTITUTE(SUBSTITUTE(SUBSTITUTE(SUBSTITUTE(SUBSTITUTE(LOWER(TRIM(I759)),"á","a"),"é","e"),"í","i"),"ó","o"),"ú","u"),"ü","u"),"ñ","n"),"à","a"),"è","e"),"ì","i"),"ò","o"),"ù","u"),"")</f>
        <v/>
      </c>
      <c r="S759" s="25">
        <f>IF(R759="","",IF(OR(R759="si",R759="tal vez"),1,0))</f>
        <v/>
      </c>
      <c r="T759" s="25">
        <f>IF(AND(L759=1,D759&lt;&gt;""),IF(IFERROR(COUNTIFS(D$3:D759,"="&amp;SUBSTITUTE(SUBSTITUTE(SUBSTITUTE(D759,"~","~~"),"*","~*"),"?","~?"),L$3:L759,1),0)=1,MAX(T$2:T758)+1,""),"")</f>
        <v/>
      </c>
      <c r="U759" s="25">
        <f>IF(T759="","",COUNTIFS($D$3:$D$1002,"="&amp;SUBSTITUTE(SUBSTITUTE(SUBSTITUTE(D759,"~","~~"),"*","~*"),"?","~?"),$L$3:$L$1002,1)*10000-T759)</f>
        <v/>
      </c>
      <c r="V759" s="25">
        <f>IF(AND(L759=1,J759&lt;&gt;""),IF(IFERROR(COUNTIFS(J$3:J759,"="&amp;SUBSTITUTE(SUBSTITUTE(SUBSTITUTE(J759,"~","~~"),"*","~*"),"?","~?"),L$3:L759,1),0)=1,MAX(V$2:V758)+1,""),"")</f>
        <v/>
      </c>
      <c r="W759" s="25">
        <f>IF(V759="","",COUNTIFS($J$3:$J$1002,"="&amp;SUBSTITUTE(SUBSTITUTE(SUBSTITUTE(J759,"~","~~"),"*","~*"),"?","~?"),$L$3:$L$1002,1)*10000-V759)</f>
        <v/>
      </c>
    </row>
    <row r="760">
      <c r="A760">
        <f>IF(A$2=0,"",IFERROR(TRIM(INDEX('Pegar estudiantes'!$A$1:$BZ$1001,759,A$2)&amp;""),""))</f>
        <v/>
      </c>
      <c r="B760">
        <f>IF(B$2=0,"",IFERROR(TRIM(INDEX('Pegar estudiantes'!$A$1:$BZ$1001,759,B$2)&amp;""),""))</f>
        <v/>
      </c>
      <c r="C760">
        <f>IF(C$2=0,"",IFERROR(TRIM(INDEX('Pegar estudiantes'!$A$1:$BZ$1001,759,C$2)&amp;""),""))</f>
        <v/>
      </c>
      <c r="D760">
        <f>IF(D$2=0,"",IFERROR(TRIM(INDEX('Pegar estudiantes'!$A$1:$BZ$1001,759,D$2)&amp;""),""))</f>
        <v/>
      </c>
      <c r="E760">
        <f>IF(E$2=0,"",IFERROR(TRIM(INDEX('Pegar estudiantes'!$A$1:$BZ$1001,759,E$2)&amp;""),""))</f>
        <v/>
      </c>
      <c r="F760">
        <f>IF(F$2=0,"",IFERROR(TRIM(INDEX('Pegar estudiantes'!$A$1:$BZ$1001,759,F$2)&amp;""),""))</f>
        <v/>
      </c>
      <c r="G760">
        <f>IF(G$2=0,"",IFERROR(TRIM(INDEX('Pegar estudiantes'!$A$1:$BZ$1001,759,G$2)&amp;""),""))</f>
        <v/>
      </c>
      <c r="H760">
        <f>IF(H$2=0,"",IFERROR(TRIM(INDEX('Pegar estudiantes'!$A$1:$BZ$1001,759,H$2)&amp;""),""))</f>
        <v/>
      </c>
      <c r="I760">
        <f>IF(I$2=0,"",IFERROR(TRIM(INDEX('Pegar estudiantes'!$A$1:$BZ$1001,759,I$2)&amp;""),""))</f>
        <v/>
      </c>
      <c r="J760">
        <f>IF(J$2=0,"",IFERROR(TRIM(INDEX('Pegar estudiantes'!$A$1:$BZ$1001,759,J$2)&amp;""),""))</f>
        <v/>
      </c>
      <c r="K760">
        <f>IF(K$2=0,"",IFERROR(TRIM(INDEX('Pegar estudiantes'!$A$1:$BZ$1001,759,K$2)&amp;""),""))</f>
        <v/>
      </c>
      <c r="L760" s="25">
        <f>IF(A760&lt;&gt;"",1,"")</f>
        <v/>
      </c>
      <c r="M760" s="25">
        <f>IF(L760=1,IF(ISNUMBER(FIND("#"&amp;MID(A760,1,1)&amp;"#","#0#1#2#3#4#5#6#7#8#9#")),IF(ISNUMBER(FIND("#"&amp;MID(A760,2,1)&amp;"#","#0#1#2#3#4#5#6#7#8#9#")),IF(AND(VALUE(LEFT(A760,2))&gt;=1,VALUE(LEFT(A760,2))&lt;=5),VALUE(LEFT(A760,2)),""),IF(AND(VALUE(LEFT(A760,1))&gt;=1,VALUE(LEFT(A760,1))&lt;=5),VALUE(LEFT(A760,1)),"")),""),"")</f>
        <v/>
      </c>
      <c r="N760" s="25">
        <f>IF(L760=1,IF(ISNUMBER(FIND("#"&amp;MID(H760,1,1)&amp;"#","#0#1#2#3#4#5#6#7#8#9#")),IF(ISNUMBER(FIND("#"&amp;MID(H760,2,1)&amp;"#","#0#1#2#3#4#5#6#7#8#9#")),IF(AND(VALUE(LEFT(H760,2))&gt;=1,VALUE(LEFT(H760,2))&lt;=5),VALUE(LEFT(H760,2)),""),IF(AND(VALUE(LEFT(H760,1))&gt;=1,VALUE(LEFT(H760,1))&lt;=5),VALUE(LEFT(H760,1)),"")),""),"")</f>
        <v/>
      </c>
      <c r="O760" s="25">
        <f>IF(AND(L760=1,B760&lt;&gt;""),SUBSTITUTE(SUBSTITUTE(SUBSTITUTE(SUBSTITUTE(SUBSTITUTE(SUBSTITUTE(SUBSTITUTE(SUBSTITUTE(SUBSTITUTE(SUBSTITUTE(SUBSTITUTE(SUBSTITUTE(LOWER(TRIM(B760)),"á","a"),"é","e"),"í","i"),"ó","o"),"ú","u"),"ü","u"),"ñ","n"),"à","a"),"è","e"),"ì","i"),"ò","o"),"ù","u"),"")</f>
        <v/>
      </c>
      <c r="P760" s="25">
        <f>IF(AND(L760=1,C760&lt;&gt;""),SUBSTITUTE(SUBSTITUTE(SUBSTITUTE(SUBSTITUTE(SUBSTITUTE(SUBSTITUTE(SUBSTITUTE(SUBSTITUTE(SUBSTITUTE(SUBSTITUTE(SUBSTITUTE(SUBSTITUTE(LOWER(TRIM(C760)),"á","a"),"é","e"),"í","i"),"ó","o"),"ú","u"),"ü","u"),"ñ","n"),"à","a"),"è","e"),"ì","i"),"ò","o"),"ù","u"),"")</f>
        <v/>
      </c>
      <c r="Q760" s="25">
        <f>IF(AND(L760=1,E760&lt;&gt;""),SUBSTITUTE(SUBSTITUTE(SUBSTITUTE(SUBSTITUTE(SUBSTITUTE(SUBSTITUTE(SUBSTITUTE(SUBSTITUTE(SUBSTITUTE(SUBSTITUTE(SUBSTITUTE(SUBSTITUTE(LOWER(TRIM(E760)),"á","a"),"é","e"),"í","i"),"ó","o"),"ú","u"),"ü","u"),"ñ","n"),"à","a"),"è","e"),"ì","i"),"ò","o"),"ù","u"),"")</f>
        <v/>
      </c>
      <c r="R760" s="25">
        <f>IF(AND(L760=1,I760&lt;&gt;""),SUBSTITUTE(SUBSTITUTE(SUBSTITUTE(SUBSTITUTE(SUBSTITUTE(SUBSTITUTE(SUBSTITUTE(SUBSTITUTE(SUBSTITUTE(SUBSTITUTE(SUBSTITUTE(SUBSTITUTE(LOWER(TRIM(I760)),"á","a"),"é","e"),"í","i"),"ó","o"),"ú","u"),"ü","u"),"ñ","n"),"à","a"),"è","e"),"ì","i"),"ò","o"),"ù","u"),"")</f>
        <v/>
      </c>
      <c r="S760" s="25">
        <f>IF(R760="","",IF(OR(R760="si",R760="tal vez"),1,0))</f>
        <v/>
      </c>
      <c r="T760" s="25">
        <f>IF(AND(L760=1,D760&lt;&gt;""),IF(IFERROR(COUNTIFS(D$3:D760,"="&amp;SUBSTITUTE(SUBSTITUTE(SUBSTITUTE(D760,"~","~~"),"*","~*"),"?","~?"),L$3:L760,1),0)=1,MAX(T$2:T759)+1,""),"")</f>
        <v/>
      </c>
      <c r="U760" s="25">
        <f>IF(T760="","",COUNTIFS($D$3:$D$1002,"="&amp;SUBSTITUTE(SUBSTITUTE(SUBSTITUTE(D760,"~","~~"),"*","~*"),"?","~?"),$L$3:$L$1002,1)*10000-T760)</f>
        <v/>
      </c>
      <c r="V760" s="25">
        <f>IF(AND(L760=1,J760&lt;&gt;""),IF(IFERROR(COUNTIFS(J$3:J760,"="&amp;SUBSTITUTE(SUBSTITUTE(SUBSTITUTE(J760,"~","~~"),"*","~*"),"?","~?"),L$3:L760,1),0)=1,MAX(V$2:V759)+1,""),"")</f>
        <v/>
      </c>
      <c r="W760" s="25">
        <f>IF(V760="","",COUNTIFS($J$3:$J$1002,"="&amp;SUBSTITUTE(SUBSTITUTE(SUBSTITUTE(J760,"~","~~"),"*","~*"),"?","~?"),$L$3:$L$1002,1)*10000-V760)</f>
        <v/>
      </c>
    </row>
    <row r="761">
      <c r="A761">
        <f>IF(A$2=0,"",IFERROR(TRIM(INDEX('Pegar estudiantes'!$A$1:$BZ$1001,760,A$2)&amp;""),""))</f>
        <v/>
      </c>
      <c r="B761">
        <f>IF(B$2=0,"",IFERROR(TRIM(INDEX('Pegar estudiantes'!$A$1:$BZ$1001,760,B$2)&amp;""),""))</f>
        <v/>
      </c>
      <c r="C761">
        <f>IF(C$2=0,"",IFERROR(TRIM(INDEX('Pegar estudiantes'!$A$1:$BZ$1001,760,C$2)&amp;""),""))</f>
        <v/>
      </c>
      <c r="D761">
        <f>IF(D$2=0,"",IFERROR(TRIM(INDEX('Pegar estudiantes'!$A$1:$BZ$1001,760,D$2)&amp;""),""))</f>
        <v/>
      </c>
      <c r="E761">
        <f>IF(E$2=0,"",IFERROR(TRIM(INDEX('Pegar estudiantes'!$A$1:$BZ$1001,760,E$2)&amp;""),""))</f>
        <v/>
      </c>
      <c r="F761">
        <f>IF(F$2=0,"",IFERROR(TRIM(INDEX('Pegar estudiantes'!$A$1:$BZ$1001,760,F$2)&amp;""),""))</f>
        <v/>
      </c>
      <c r="G761">
        <f>IF(G$2=0,"",IFERROR(TRIM(INDEX('Pegar estudiantes'!$A$1:$BZ$1001,760,G$2)&amp;""),""))</f>
        <v/>
      </c>
      <c r="H761">
        <f>IF(H$2=0,"",IFERROR(TRIM(INDEX('Pegar estudiantes'!$A$1:$BZ$1001,760,H$2)&amp;""),""))</f>
        <v/>
      </c>
      <c r="I761">
        <f>IF(I$2=0,"",IFERROR(TRIM(INDEX('Pegar estudiantes'!$A$1:$BZ$1001,760,I$2)&amp;""),""))</f>
        <v/>
      </c>
      <c r="J761">
        <f>IF(J$2=0,"",IFERROR(TRIM(INDEX('Pegar estudiantes'!$A$1:$BZ$1001,760,J$2)&amp;""),""))</f>
        <v/>
      </c>
      <c r="K761">
        <f>IF(K$2=0,"",IFERROR(TRIM(INDEX('Pegar estudiantes'!$A$1:$BZ$1001,760,K$2)&amp;""),""))</f>
        <v/>
      </c>
      <c r="L761" s="25">
        <f>IF(A761&lt;&gt;"",1,"")</f>
        <v/>
      </c>
      <c r="M761" s="25">
        <f>IF(L761=1,IF(ISNUMBER(FIND("#"&amp;MID(A761,1,1)&amp;"#","#0#1#2#3#4#5#6#7#8#9#")),IF(ISNUMBER(FIND("#"&amp;MID(A761,2,1)&amp;"#","#0#1#2#3#4#5#6#7#8#9#")),IF(AND(VALUE(LEFT(A761,2))&gt;=1,VALUE(LEFT(A761,2))&lt;=5),VALUE(LEFT(A761,2)),""),IF(AND(VALUE(LEFT(A761,1))&gt;=1,VALUE(LEFT(A761,1))&lt;=5),VALUE(LEFT(A761,1)),"")),""),"")</f>
        <v/>
      </c>
      <c r="N761" s="25">
        <f>IF(L761=1,IF(ISNUMBER(FIND("#"&amp;MID(H761,1,1)&amp;"#","#0#1#2#3#4#5#6#7#8#9#")),IF(ISNUMBER(FIND("#"&amp;MID(H761,2,1)&amp;"#","#0#1#2#3#4#5#6#7#8#9#")),IF(AND(VALUE(LEFT(H761,2))&gt;=1,VALUE(LEFT(H761,2))&lt;=5),VALUE(LEFT(H761,2)),""),IF(AND(VALUE(LEFT(H761,1))&gt;=1,VALUE(LEFT(H761,1))&lt;=5),VALUE(LEFT(H761,1)),"")),""),"")</f>
        <v/>
      </c>
      <c r="O761" s="25">
        <f>IF(AND(L761=1,B761&lt;&gt;""),SUBSTITUTE(SUBSTITUTE(SUBSTITUTE(SUBSTITUTE(SUBSTITUTE(SUBSTITUTE(SUBSTITUTE(SUBSTITUTE(SUBSTITUTE(SUBSTITUTE(SUBSTITUTE(SUBSTITUTE(LOWER(TRIM(B761)),"á","a"),"é","e"),"í","i"),"ó","o"),"ú","u"),"ü","u"),"ñ","n"),"à","a"),"è","e"),"ì","i"),"ò","o"),"ù","u"),"")</f>
        <v/>
      </c>
      <c r="P761" s="25">
        <f>IF(AND(L761=1,C761&lt;&gt;""),SUBSTITUTE(SUBSTITUTE(SUBSTITUTE(SUBSTITUTE(SUBSTITUTE(SUBSTITUTE(SUBSTITUTE(SUBSTITUTE(SUBSTITUTE(SUBSTITUTE(SUBSTITUTE(SUBSTITUTE(LOWER(TRIM(C761)),"á","a"),"é","e"),"í","i"),"ó","o"),"ú","u"),"ü","u"),"ñ","n"),"à","a"),"è","e"),"ì","i"),"ò","o"),"ù","u"),"")</f>
        <v/>
      </c>
      <c r="Q761" s="25">
        <f>IF(AND(L761=1,E761&lt;&gt;""),SUBSTITUTE(SUBSTITUTE(SUBSTITUTE(SUBSTITUTE(SUBSTITUTE(SUBSTITUTE(SUBSTITUTE(SUBSTITUTE(SUBSTITUTE(SUBSTITUTE(SUBSTITUTE(SUBSTITUTE(LOWER(TRIM(E761)),"á","a"),"é","e"),"í","i"),"ó","o"),"ú","u"),"ü","u"),"ñ","n"),"à","a"),"è","e"),"ì","i"),"ò","o"),"ù","u"),"")</f>
        <v/>
      </c>
      <c r="R761" s="25">
        <f>IF(AND(L761=1,I761&lt;&gt;""),SUBSTITUTE(SUBSTITUTE(SUBSTITUTE(SUBSTITUTE(SUBSTITUTE(SUBSTITUTE(SUBSTITUTE(SUBSTITUTE(SUBSTITUTE(SUBSTITUTE(SUBSTITUTE(SUBSTITUTE(LOWER(TRIM(I761)),"á","a"),"é","e"),"í","i"),"ó","o"),"ú","u"),"ü","u"),"ñ","n"),"à","a"),"è","e"),"ì","i"),"ò","o"),"ù","u"),"")</f>
        <v/>
      </c>
      <c r="S761" s="25">
        <f>IF(R761="","",IF(OR(R761="si",R761="tal vez"),1,0))</f>
        <v/>
      </c>
      <c r="T761" s="25">
        <f>IF(AND(L761=1,D761&lt;&gt;""),IF(IFERROR(COUNTIFS(D$3:D761,"="&amp;SUBSTITUTE(SUBSTITUTE(SUBSTITUTE(D761,"~","~~"),"*","~*"),"?","~?"),L$3:L761,1),0)=1,MAX(T$2:T760)+1,""),"")</f>
        <v/>
      </c>
      <c r="U761" s="25">
        <f>IF(T761="","",COUNTIFS($D$3:$D$1002,"="&amp;SUBSTITUTE(SUBSTITUTE(SUBSTITUTE(D761,"~","~~"),"*","~*"),"?","~?"),$L$3:$L$1002,1)*10000-T761)</f>
        <v/>
      </c>
      <c r="V761" s="25">
        <f>IF(AND(L761=1,J761&lt;&gt;""),IF(IFERROR(COUNTIFS(J$3:J761,"="&amp;SUBSTITUTE(SUBSTITUTE(SUBSTITUTE(J761,"~","~~"),"*","~*"),"?","~?"),L$3:L761,1),0)=1,MAX(V$2:V760)+1,""),"")</f>
        <v/>
      </c>
      <c r="W761" s="25">
        <f>IF(V761="","",COUNTIFS($J$3:$J$1002,"="&amp;SUBSTITUTE(SUBSTITUTE(SUBSTITUTE(J761,"~","~~"),"*","~*"),"?","~?"),$L$3:$L$1002,1)*10000-V761)</f>
        <v/>
      </c>
    </row>
    <row r="762">
      <c r="A762">
        <f>IF(A$2=0,"",IFERROR(TRIM(INDEX('Pegar estudiantes'!$A$1:$BZ$1001,761,A$2)&amp;""),""))</f>
        <v/>
      </c>
      <c r="B762">
        <f>IF(B$2=0,"",IFERROR(TRIM(INDEX('Pegar estudiantes'!$A$1:$BZ$1001,761,B$2)&amp;""),""))</f>
        <v/>
      </c>
      <c r="C762">
        <f>IF(C$2=0,"",IFERROR(TRIM(INDEX('Pegar estudiantes'!$A$1:$BZ$1001,761,C$2)&amp;""),""))</f>
        <v/>
      </c>
      <c r="D762">
        <f>IF(D$2=0,"",IFERROR(TRIM(INDEX('Pegar estudiantes'!$A$1:$BZ$1001,761,D$2)&amp;""),""))</f>
        <v/>
      </c>
      <c r="E762">
        <f>IF(E$2=0,"",IFERROR(TRIM(INDEX('Pegar estudiantes'!$A$1:$BZ$1001,761,E$2)&amp;""),""))</f>
        <v/>
      </c>
      <c r="F762">
        <f>IF(F$2=0,"",IFERROR(TRIM(INDEX('Pegar estudiantes'!$A$1:$BZ$1001,761,F$2)&amp;""),""))</f>
        <v/>
      </c>
      <c r="G762">
        <f>IF(G$2=0,"",IFERROR(TRIM(INDEX('Pegar estudiantes'!$A$1:$BZ$1001,761,G$2)&amp;""),""))</f>
        <v/>
      </c>
      <c r="H762">
        <f>IF(H$2=0,"",IFERROR(TRIM(INDEX('Pegar estudiantes'!$A$1:$BZ$1001,761,H$2)&amp;""),""))</f>
        <v/>
      </c>
      <c r="I762">
        <f>IF(I$2=0,"",IFERROR(TRIM(INDEX('Pegar estudiantes'!$A$1:$BZ$1001,761,I$2)&amp;""),""))</f>
        <v/>
      </c>
      <c r="J762">
        <f>IF(J$2=0,"",IFERROR(TRIM(INDEX('Pegar estudiantes'!$A$1:$BZ$1001,761,J$2)&amp;""),""))</f>
        <v/>
      </c>
      <c r="K762">
        <f>IF(K$2=0,"",IFERROR(TRIM(INDEX('Pegar estudiantes'!$A$1:$BZ$1001,761,K$2)&amp;""),""))</f>
        <v/>
      </c>
      <c r="L762" s="25">
        <f>IF(A762&lt;&gt;"",1,"")</f>
        <v/>
      </c>
      <c r="M762" s="25">
        <f>IF(L762=1,IF(ISNUMBER(FIND("#"&amp;MID(A762,1,1)&amp;"#","#0#1#2#3#4#5#6#7#8#9#")),IF(ISNUMBER(FIND("#"&amp;MID(A762,2,1)&amp;"#","#0#1#2#3#4#5#6#7#8#9#")),IF(AND(VALUE(LEFT(A762,2))&gt;=1,VALUE(LEFT(A762,2))&lt;=5),VALUE(LEFT(A762,2)),""),IF(AND(VALUE(LEFT(A762,1))&gt;=1,VALUE(LEFT(A762,1))&lt;=5),VALUE(LEFT(A762,1)),"")),""),"")</f>
        <v/>
      </c>
      <c r="N762" s="25">
        <f>IF(L762=1,IF(ISNUMBER(FIND("#"&amp;MID(H762,1,1)&amp;"#","#0#1#2#3#4#5#6#7#8#9#")),IF(ISNUMBER(FIND("#"&amp;MID(H762,2,1)&amp;"#","#0#1#2#3#4#5#6#7#8#9#")),IF(AND(VALUE(LEFT(H762,2))&gt;=1,VALUE(LEFT(H762,2))&lt;=5),VALUE(LEFT(H762,2)),""),IF(AND(VALUE(LEFT(H762,1))&gt;=1,VALUE(LEFT(H762,1))&lt;=5),VALUE(LEFT(H762,1)),"")),""),"")</f>
        <v/>
      </c>
      <c r="O762" s="25">
        <f>IF(AND(L762=1,B762&lt;&gt;""),SUBSTITUTE(SUBSTITUTE(SUBSTITUTE(SUBSTITUTE(SUBSTITUTE(SUBSTITUTE(SUBSTITUTE(SUBSTITUTE(SUBSTITUTE(SUBSTITUTE(SUBSTITUTE(SUBSTITUTE(LOWER(TRIM(B762)),"á","a"),"é","e"),"í","i"),"ó","o"),"ú","u"),"ü","u"),"ñ","n"),"à","a"),"è","e"),"ì","i"),"ò","o"),"ù","u"),"")</f>
        <v/>
      </c>
      <c r="P762" s="25">
        <f>IF(AND(L762=1,C762&lt;&gt;""),SUBSTITUTE(SUBSTITUTE(SUBSTITUTE(SUBSTITUTE(SUBSTITUTE(SUBSTITUTE(SUBSTITUTE(SUBSTITUTE(SUBSTITUTE(SUBSTITUTE(SUBSTITUTE(SUBSTITUTE(LOWER(TRIM(C762)),"á","a"),"é","e"),"í","i"),"ó","o"),"ú","u"),"ü","u"),"ñ","n"),"à","a"),"è","e"),"ì","i"),"ò","o"),"ù","u"),"")</f>
        <v/>
      </c>
      <c r="Q762" s="25">
        <f>IF(AND(L762=1,E762&lt;&gt;""),SUBSTITUTE(SUBSTITUTE(SUBSTITUTE(SUBSTITUTE(SUBSTITUTE(SUBSTITUTE(SUBSTITUTE(SUBSTITUTE(SUBSTITUTE(SUBSTITUTE(SUBSTITUTE(SUBSTITUTE(LOWER(TRIM(E762)),"á","a"),"é","e"),"í","i"),"ó","o"),"ú","u"),"ü","u"),"ñ","n"),"à","a"),"è","e"),"ì","i"),"ò","o"),"ù","u"),"")</f>
        <v/>
      </c>
      <c r="R762" s="25">
        <f>IF(AND(L762=1,I762&lt;&gt;""),SUBSTITUTE(SUBSTITUTE(SUBSTITUTE(SUBSTITUTE(SUBSTITUTE(SUBSTITUTE(SUBSTITUTE(SUBSTITUTE(SUBSTITUTE(SUBSTITUTE(SUBSTITUTE(SUBSTITUTE(LOWER(TRIM(I762)),"á","a"),"é","e"),"í","i"),"ó","o"),"ú","u"),"ü","u"),"ñ","n"),"à","a"),"è","e"),"ì","i"),"ò","o"),"ù","u"),"")</f>
        <v/>
      </c>
      <c r="S762" s="25">
        <f>IF(R762="","",IF(OR(R762="si",R762="tal vez"),1,0))</f>
        <v/>
      </c>
      <c r="T762" s="25">
        <f>IF(AND(L762=1,D762&lt;&gt;""),IF(IFERROR(COUNTIFS(D$3:D762,"="&amp;SUBSTITUTE(SUBSTITUTE(SUBSTITUTE(D762,"~","~~"),"*","~*"),"?","~?"),L$3:L762,1),0)=1,MAX(T$2:T761)+1,""),"")</f>
        <v/>
      </c>
      <c r="U762" s="25">
        <f>IF(T762="","",COUNTIFS($D$3:$D$1002,"="&amp;SUBSTITUTE(SUBSTITUTE(SUBSTITUTE(D762,"~","~~"),"*","~*"),"?","~?"),$L$3:$L$1002,1)*10000-T762)</f>
        <v/>
      </c>
      <c r="V762" s="25">
        <f>IF(AND(L762=1,J762&lt;&gt;""),IF(IFERROR(COUNTIFS(J$3:J762,"="&amp;SUBSTITUTE(SUBSTITUTE(SUBSTITUTE(J762,"~","~~"),"*","~*"),"?","~?"),L$3:L762,1),0)=1,MAX(V$2:V761)+1,""),"")</f>
        <v/>
      </c>
      <c r="W762" s="25">
        <f>IF(V762="","",COUNTIFS($J$3:$J$1002,"="&amp;SUBSTITUTE(SUBSTITUTE(SUBSTITUTE(J762,"~","~~"),"*","~*"),"?","~?"),$L$3:$L$1002,1)*10000-V762)</f>
        <v/>
      </c>
    </row>
    <row r="763">
      <c r="A763">
        <f>IF(A$2=0,"",IFERROR(TRIM(INDEX('Pegar estudiantes'!$A$1:$BZ$1001,762,A$2)&amp;""),""))</f>
        <v/>
      </c>
      <c r="B763">
        <f>IF(B$2=0,"",IFERROR(TRIM(INDEX('Pegar estudiantes'!$A$1:$BZ$1001,762,B$2)&amp;""),""))</f>
        <v/>
      </c>
      <c r="C763">
        <f>IF(C$2=0,"",IFERROR(TRIM(INDEX('Pegar estudiantes'!$A$1:$BZ$1001,762,C$2)&amp;""),""))</f>
        <v/>
      </c>
      <c r="D763">
        <f>IF(D$2=0,"",IFERROR(TRIM(INDEX('Pegar estudiantes'!$A$1:$BZ$1001,762,D$2)&amp;""),""))</f>
        <v/>
      </c>
      <c r="E763">
        <f>IF(E$2=0,"",IFERROR(TRIM(INDEX('Pegar estudiantes'!$A$1:$BZ$1001,762,E$2)&amp;""),""))</f>
        <v/>
      </c>
      <c r="F763">
        <f>IF(F$2=0,"",IFERROR(TRIM(INDEX('Pegar estudiantes'!$A$1:$BZ$1001,762,F$2)&amp;""),""))</f>
        <v/>
      </c>
      <c r="G763">
        <f>IF(G$2=0,"",IFERROR(TRIM(INDEX('Pegar estudiantes'!$A$1:$BZ$1001,762,G$2)&amp;""),""))</f>
        <v/>
      </c>
      <c r="H763">
        <f>IF(H$2=0,"",IFERROR(TRIM(INDEX('Pegar estudiantes'!$A$1:$BZ$1001,762,H$2)&amp;""),""))</f>
        <v/>
      </c>
      <c r="I763">
        <f>IF(I$2=0,"",IFERROR(TRIM(INDEX('Pegar estudiantes'!$A$1:$BZ$1001,762,I$2)&amp;""),""))</f>
        <v/>
      </c>
      <c r="J763">
        <f>IF(J$2=0,"",IFERROR(TRIM(INDEX('Pegar estudiantes'!$A$1:$BZ$1001,762,J$2)&amp;""),""))</f>
        <v/>
      </c>
      <c r="K763">
        <f>IF(K$2=0,"",IFERROR(TRIM(INDEX('Pegar estudiantes'!$A$1:$BZ$1001,762,K$2)&amp;""),""))</f>
        <v/>
      </c>
      <c r="L763" s="25">
        <f>IF(A763&lt;&gt;"",1,"")</f>
        <v/>
      </c>
      <c r="M763" s="25">
        <f>IF(L763=1,IF(ISNUMBER(FIND("#"&amp;MID(A763,1,1)&amp;"#","#0#1#2#3#4#5#6#7#8#9#")),IF(ISNUMBER(FIND("#"&amp;MID(A763,2,1)&amp;"#","#0#1#2#3#4#5#6#7#8#9#")),IF(AND(VALUE(LEFT(A763,2))&gt;=1,VALUE(LEFT(A763,2))&lt;=5),VALUE(LEFT(A763,2)),""),IF(AND(VALUE(LEFT(A763,1))&gt;=1,VALUE(LEFT(A763,1))&lt;=5),VALUE(LEFT(A763,1)),"")),""),"")</f>
        <v/>
      </c>
      <c r="N763" s="25">
        <f>IF(L763=1,IF(ISNUMBER(FIND("#"&amp;MID(H763,1,1)&amp;"#","#0#1#2#3#4#5#6#7#8#9#")),IF(ISNUMBER(FIND("#"&amp;MID(H763,2,1)&amp;"#","#0#1#2#3#4#5#6#7#8#9#")),IF(AND(VALUE(LEFT(H763,2))&gt;=1,VALUE(LEFT(H763,2))&lt;=5),VALUE(LEFT(H763,2)),""),IF(AND(VALUE(LEFT(H763,1))&gt;=1,VALUE(LEFT(H763,1))&lt;=5),VALUE(LEFT(H763,1)),"")),""),"")</f>
        <v/>
      </c>
      <c r="O763" s="25">
        <f>IF(AND(L763=1,B763&lt;&gt;""),SUBSTITUTE(SUBSTITUTE(SUBSTITUTE(SUBSTITUTE(SUBSTITUTE(SUBSTITUTE(SUBSTITUTE(SUBSTITUTE(SUBSTITUTE(SUBSTITUTE(SUBSTITUTE(SUBSTITUTE(LOWER(TRIM(B763)),"á","a"),"é","e"),"í","i"),"ó","o"),"ú","u"),"ü","u"),"ñ","n"),"à","a"),"è","e"),"ì","i"),"ò","o"),"ù","u"),"")</f>
        <v/>
      </c>
      <c r="P763" s="25">
        <f>IF(AND(L763=1,C763&lt;&gt;""),SUBSTITUTE(SUBSTITUTE(SUBSTITUTE(SUBSTITUTE(SUBSTITUTE(SUBSTITUTE(SUBSTITUTE(SUBSTITUTE(SUBSTITUTE(SUBSTITUTE(SUBSTITUTE(SUBSTITUTE(LOWER(TRIM(C763)),"á","a"),"é","e"),"í","i"),"ó","o"),"ú","u"),"ü","u"),"ñ","n"),"à","a"),"è","e"),"ì","i"),"ò","o"),"ù","u"),"")</f>
        <v/>
      </c>
      <c r="Q763" s="25">
        <f>IF(AND(L763=1,E763&lt;&gt;""),SUBSTITUTE(SUBSTITUTE(SUBSTITUTE(SUBSTITUTE(SUBSTITUTE(SUBSTITUTE(SUBSTITUTE(SUBSTITUTE(SUBSTITUTE(SUBSTITUTE(SUBSTITUTE(SUBSTITUTE(LOWER(TRIM(E763)),"á","a"),"é","e"),"í","i"),"ó","o"),"ú","u"),"ü","u"),"ñ","n"),"à","a"),"è","e"),"ì","i"),"ò","o"),"ù","u"),"")</f>
        <v/>
      </c>
      <c r="R763" s="25">
        <f>IF(AND(L763=1,I763&lt;&gt;""),SUBSTITUTE(SUBSTITUTE(SUBSTITUTE(SUBSTITUTE(SUBSTITUTE(SUBSTITUTE(SUBSTITUTE(SUBSTITUTE(SUBSTITUTE(SUBSTITUTE(SUBSTITUTE(SUBSTITUTE(LOWER(TRIM(I763)),"á","a"),"é","e"),"í","i"),"ó","o"),"ú","u"),"ü","u"),"ñ","n"),"à","a"),"è","e"),"ì","i"),"ò","o"),"ù","u"),"")</f>
        <v/>
      </c>
      <c r="S763" s="25">
        <f>IF(R763="","",IF(OR(R763="si",R763="tal vez"),1,0))</f>
        <v/>
      </c>
      <c r="T763" s="25">
        <f>IF(AND(L763=1,D763&lt;&gt;""),IF(IFERROR(COUNTIFS(D$3:D763,"="&amp;SUBSTITUTE(SUBSTITUTE(SUBSTITUTE(D763,"~","~~"),"*","~*"),"?","~?"),L$3:L763,1),0)=1,MAX(T$2:T762)+1,""),"")</f>
        <v/>
      </c>
      <c r="U763" s="25">
        <f>IF(T763="","",COUNTIFS($D$3:$D$1002,"="&amp;SUBSTITUTE(SUBSTITUTE(SUBSTITUTE(D763,"~","~~"),"*","~*"),"?","~?"),$L$3:$L$1002,1)*10000-T763)</f>
        <v/>
      </c>
      <c r="V763" s="25">
        <f>IF(AND(L763=1,J763&lt;&gt;""),IF(IFERROR(COUNTIFS(J$3:J763,"="&amp;SUBSTITUTE(SUBSTITUTE(SUBSTITUTE(J763,"~","~~"),"*","~*"),"?","~?"),L$3:L763,1),0)=1,MAX(V$2:V762)+1,""),"")</f>
        <v/>
      </c>
      <c r="W763" s="25">
        <f>IF(V763="","",COUNTIFS($J$3:$J$1002,"="&amp;SUBSTITUTE(SUBSTITUTE(SUBSTITUTE(J763,"~","~~"),"*","~*"),"?","~?"),$L$3:$L$1002,1)*10000-V763)</f>
        <v/>
      </c>
    </row>
    <row r="764">
      <c r="A764">
        <f>IF(A$2=0,"",IFERROR(TRIM(INDEX('Pegar estudiantes'!$A$1:$BZ$1001,763,A$2)&amp;""),""))</f>
        <v/>
      </c>
      <c r="B764">
        <f>IF(B$2=0,"",IFERROR(TRIM(INDEX('Pegar estudiantes'!$A$1:$BZ$1001,763,B$2)&amp;""),""))</f>
        <v/>
      </c>
      <c r="C764">
        <f>IF(C$2=0,"",IFERROR(TRIM(INDEX('Pegar estudiantes'!$A$1:$BZ$1001,763,C$2)&amp;""),""))</f>
        <v/>
      </c>
      <c r="D764">
        <f>IF(D$2=0,"",IFERROR(TRIM(INDEX('Pegar estudiantes'!$A$1:$BZ$1001,763,D$2)&amp;""),""))</f>
        <v/>
      </c>
      <c r="E764">
        <f>IF(E$2=0,"",IFERROR(TRIM(INDEX('Pegar estudiantes'!$A$1:$BZ$1001,763,E$2)&amp;""),""))</f>
        <v/>
      </c>
      <c r="F764">
        <f>IF(F$2=0,"",IFERROR(TRIM(INDEX('Pegar estudiantes'!$A$1:$BZ$1001,763,F$2)&amp;""),""))</f>
        <v/>
      </c>
      <c r="G764">
        <f>IF(G$2=0,"",IFERROR(TRIM(INDEX('Pegar estudiantes'!$A$1:$BZ$1001,763,G$2)&amp;""),""))</f>
        <v/>
      </c>
      <c r="H764">
        <f>IF(H$2=0,"",IFERROR(TRIM(INDEX('Pegar estudiantes'!$A$1:$BZ$1001,763,H$2)&amp;""),""))</f>
        <v/>
      </c>
      <c r="I764">
        <f>IF(I$2=0,"",IFERROR(TRIM(INDEX('Pegar estudiantes'!$A$1:$BZ$1001,763,I$2)&amp;""),""))</f>
        <v/>
      </c>
      <c r="J764">
        <f>IF(J$2=0,"",IFERROR(TRIM(INDEX('Pegar estudiantes'!$A$1:$BZ$1001,763,J$2)&amp;""),""))</f>
        <v/>
      </c>
      <c r="K764">
        <f>IF(K$2=0,"",IFERROR(TRIM(INDEX('Pegar estudiantes'!$A$1:$BZ$1001,763,K$2)&amp;""),""))</f>
        <v/>
      </c>
      <c r="L764" s="25">
        <f>IF(A764&lt;&gt;"",1,"")</f>
        <v/>
      </c>
      <c r="M764" s="25">
        <f>IF(L764=1,IF(ISNUMBER(FIND("#"&amp;MID(A764,1,1)&amp;"#","#0#1#2#3#4#5#6#7#8#9#")),IF(ISNUMBER(FIND("#"&amp;MID(A764,2,1)&amp;"#","#0#1#2#3#4#5#6#7#8#9#")),IF(AND(VALUE(LEFT(A764,2))&gt;=1,VALUE(LEFT(A764,2))&lt;=5),VALUE(LEFT(A764,2)),""),IF(AND(VALUE(LEFT(A764,1))&gt;=1,VALUE(LEFT(A764,1))&lt;=5),VALUE(LEFT(A764,1)),"")),""),"")</f>
        <v/>
      </c>
      <c r="N764" s="25">
        <f>IF(L764=1,IF(ISNUMBER(FIND("#"&amp;MID(H764,1,1)&amp;"#","#0#1#2#3#4#5#6#7#8#9#")),IF(ISNUMBER(FIND("#"&amp;MID(H764,2,1)&amp;"#","#0#1#2#3#4#5#6#7#8#9#")),IF(AND(VALUE(LEFT(H764,2))&gt;=1,VALUE(LEFT(H764,2))&lt;=5),VALUE(LEFT(H764,2)),""),IF(AND(VALUE(LEFT(H764,1))&gt;=1,VALUE(LEFT(H764,1))&lt;=5),VALUE(LEFT(H764,1)),"")),""),"")</f>
        <v/>
      </c>
      <c r="O764" s="25">
        <f>IF(AND(L764=1,B764&lt;&gt;""),SUBSTITUTE(SUBSTITUTE(SUBSTITUTE(SUBSTITUTE(SUBSTITUTE(SUBSTITUTE(SUBSTITUTE(SUBSTITUTE(SUBSTITUTE(SUBSTITUTE(SUBSTITUTE(SUBSTITUTE(LOWER(TRIM(B764)),"á","a"),"é","e"),"í","i"),"ó","o"),"ú","u"),"ü","u"),"ñ","n"),"à","a"),"è","e"),"ì","i"),"ò","o"),"ù","u"),"")</f>
        <v/>
      </c>
      <c r="P764" s="25">
        <f>IF(AND(L764=1,C764&lt;&gt;""),SUBSTITUTE(SUBSTITUTE(SUBSTITUTE(SUBSTITUTE(SUBSTITUTE(SUBSTITUTE(SUBSTITUTE(SUBSTITUTE(SUBSTITUTE(SUBSTITUTE(SUBSTITUTE(SUBSTITUTE(LOWER(TRIM(C764)),"á","a"),"é","e"),"í","i"),"ó","o"),"ú","u"),"ü","u"),"ñ","n"),"à","a"),"è","e"),"ì","i"),"ò","o"),"ù","u"),"")</f>
        <v/>
      </c>
      <c r="Q764" s="25">
        <f>IF(AND(L764=1,E764&lt;&gt;""),SUBSTITUTE(SUBSTITUTE(SUBSTITUTE(SUBSTITUTE(SUBSTITUTE(SUBSTITUTE(SUBSTITUTE(SUBSTITUTE(SUBSTITUTE(SUBSTITUTE(SUBSTITUTE(SUBSTITUTE(LOWER(TRIM(E764)),"á","a"),"é","e"),"í","i"),"ó","o"),"ú","u"),"ü","u"),"ñ","n"),"à","a"),"è","e"),"ì","i"),"ò","o"),"ù","u"),"")</f>
        <v/>
      </c>
      <c r="R764" s="25">
        <f>IF(AND(L764=1,I764&lt;&gt;""),SUBSTITUTE(SUBSTITUTE(SUBSTITUTE(SUBSTITUTE(SUBSTITUTE(SUBSTITUTE(SUBSTITUTE(SUBSTITUTE(SUBSTITUTE(SUBSTITUTE(SUBSTITUTE(SUBSTITUTE(LOWER(TRIM(I764)),"á","a"),"é","e"),"í","i"),"ó","o"),"ú","u"),"ü","u"),"ñ","n"),"à","a"),"è","e"),"ì","i"),"ò","o"),"ù","u"),"")</f>
        <v/>
      </c>
      <c r="S764" s="25">
        <f>IF(R764="","",IF(OR(R764="si",R764="tal vez"),1,0))</f>
        <v/>
      </c>
      <c r="T764" s="25">
        <f>IF(AND(L764=1,D764&lt;&gt;""),IF(IFERROR(COUNTIFS(D$3:D764,"="&amp;SUBSTITUTE(SUBSTITUTE(SUBSTITUTE(D764,"~","~~"),"*","~*"),"?","~?"),L$3:L764,1),0)=1,MAX(T$2:T763)+1,""),"")</f>
        <v/>
      </c>
      <c r="U764" s="25">
        <f>IF(T764="","",COUNTIFS($D$3:$D$1002,"="&amp;SUBSTITUTE(SUBSTITUTE(SUBSTITUTE(D764,"~","~~"),"*","~*"),"?","~?"),$L$3:$L$1002,1)*10000-T764)</f>
        <v/>
      </c>
      <c r="V764" s="25">
        <f>IF(AND(L764=1,J764&lt;&gt;""),IF(IFERROR(COUNTIFS(J$3:J764,"="&amp;SUBSTITUTE(SUBSTITUTE(SUBSTITUTE(J764,"~","~~"),"*","~*"),"?","~?"),L$3:L764,1),0)=1,MAX(V$2:V763)+1,""),"")</f>
        <v/>
      </c>
      <c r="W764" s="25">
        <f>IF(V764="","",COUNTIFS($J$3:$J$1002,"="&amp;SUBSTITUTE(SUBSTITUTE(SUBSTITUTE(J764,"~","~~"),"*","~*"),"?","~?"),$L$3:$L$1002,1)*10000-V764)</f>
        <v/>
      </c>
    </row>
    <row r="765">
      <c r="A765">
        <f>IF(A$2=0,"",IFERROR(TRIM(INDEX('Pegar estudiantes'!$A$1:$BZ$1001,764,A$2)&amp;""),""))</f>
        <v/>
      </c>
      <c r="B765">
        <f>IF(B$2=0,"",IFERROR(TRIM(INDEX('Pegar estudiantes'!$A$1:$BZ$1001,764,B$2)&amp;""),""))</f>
        <v/>
      </c>
      <c r="C765">
        <f>IF(C$2=0,"",IFERROR(TRIM(INDEX('Pegar estudiantes'!$A$1:$BZ$1001,764,C$2)&amp;""),""))</f>
        <v/>
      </c>
      <c r="D765">
        <f>IF(D$2=0,"",IFERROR(TRIM(INDEX('Pegar estudiantes'!$A$1:$BZ$1001,764,D$2)&amp;""),""))</f>
        <v/>
      </c>
      <c r="E765">
        <f>IF(E$2=0,"",IFERROR(TRIM(INDEX('Pegar estudiantes'!$A$1:$BZ$1001,764,E$2)&amp;""),""))</f>
        <v/>
      </c>
      <c r="F765">
        <f>IF(F$2=0,"",IFERROR(TRIM(INDEX('Pegar estudiantes'!$A$1:$BZ$1001,764,F$2)&amp;""),""))</f>
        <v/>
      </c>
      <c r="G765">
        <f>IF(G$2=0,"",IFERROR(TRIM(INDEX('Pegar estudiantes'!$A$1:$BZ$1001,764,G$2)&amp;""),""))</f>
        <v/>
      </c>
      <c r="H765">
        <f>IF(H$2=0,"",IFERROR(TRIM(INDEX('Pegar estudiantes'!$A$1:$BZ$1001,764,H$2)&amp;""),""))</f>
        <v/>
      </c>
      <c r="I765">
        <f>IF(I$2=0,"",IFERROR(TRIM(INDEX('Pegar estudiantes'!$A$1:$BZ$1001,764,I$2)&amp;""),""))</f>
        <v/>
      </c>
      <c r="J765">
        <f>IF(J$2=0,"",IFERROR(TRIM(INDEX('Pegar estudiantes'!$A$1:$BZ$1001,764,J$2)&amp;""),""))</f>
        <v/>
      </c>
      <c r="K765">
        <f>IF(K$2=0,"",IFERROR(TRIM(INDEX('Pegar estudiantes'!$A$1:$BZ$1001,764,K$2)&amp;""),""))</f>
        <v/>
      </c>
      <c r="L765" s="25">
        <f>IF(A765&lt;&gt;"",1,"")</f>
        <v/>
      </c>
      <c r="M765" s="25">
        <f>IF(L765=1,IF(ISNUMBER(FIND("#"&amp;MID(A765,1,1)&amp;"#","#0#1#2#3#4#5#6#7#8#9#")),IF(ISNUMBER(FIND("#"&amp;MID(A765,2,1)&amp;"#","#0#1#2#3#4#5#6#7#8#9#")),IF(AND(VALUE(LEFT(A765,2))&gt;=1,VALUE(LEFT(A765,2))&lt;=5),VALUE(LEFT(A765,2)),""),IF(AND(VALUE(LEFT(A765,1))&gt;=1,VALUE(LEFT(A765,1))&lt;=5),VALUE(LEFT(A765,1)),"")),""),"")</f>
        <v/>
      </c>
      <c r="N765" s="25">
        <f>IF(L765=1,IF(ISNUMBER(FIND("#"&amp;MID(H765,1,1)&amp;"#","#0#1#2#3#4#5#6#7#8#9#")),IF(ISNUMBER(FIND("#"&amp;MID(H765,2,1)&amp;"#","#0#1#2#3#4#5#6#7#8#9#")),IF(AND(VALUE(LEFT(H765,2))&gt;=1,VALUE(LEFT(H765,2))&lt;=5),VALUE(LEFT(H765,2)),""),IF(AND(VALUE(LEFT(H765,1))&gt;=1,VALUE(LEFT(H765,1))&lt;=5),VALUE(LEFT(H765,1)),"")),""),"")</f>
        <v/>
      </c>
      <c r="O765" s="25">
        <f>IF(AND(L765=1,B765&lt;&gt;""),SUBSTITUTE(SUBSTITUTE(SUBSTITUTE(SUBSTITUTE(SUBSTITUTE(SUBSTITUTE(SUBSTITUTE(SUBSTITUTE(SUBSTITUTE(SUBSTITUTE(SUBSTITUTE(SUBSTITUTE(LOWER(TRIM(B765)),"á","a"),"é","e"),"í","i"),"ó","o"),"ú","u"),"ü","u"),"ñ","n"),"à","a"),"è","e"),"ì","i"),"ò","o"),"ù","u"),"")</f>
        <v/>
      </c>
      <c r="P765" s="25">
        <f>IF(AND(L765=1,C765&lt;&gt;""),SUBSTITUTE(SUBSTITUTE(SUBSTITUTE(SUBSTITUTE(SUBSTITUTE(SUBSTITUTE(SUBSTITUTE(SUBSTITUTE(SUBSTITUTE(SUBSTITUTE(SUBSTITUTE(SUBSTITUTE(LOWER(TRIM(C765)),"á","a"),"é","e"),"í","i"),"ó","o"),"ú","u"),"ü","u"),"ñ","n"),"à","a"),"è","e"),"ì","i"),"ò","o"),"ù","u"),"")</f>
        <v/>
      </c>
      <c r="Q765" s="25">
        <f>IF(AND(L765=1,E765&lt;&gt;""),SUBSTITUTE(SUBSTITUTE(SUBSTITUTE(SUBSTITUTE(SUBSTITUTE(SUBSTITUTE(SUBSTITUTE(SUBSTITUTE(SUBSTITUTE(SUBSTITUTE(SUBSTITUTE(SUBSTITUTE(LOWER(TRIM(E765)),"á","a"),"é","e"),"í","i"),"ó","o"),"ú","u"),"ü","u"),"ñ","n"),"à","a"),"è","e"),"ì","i"),"ò","o"),"ù","u"),"")</f>
        <v/>
      </c>
      <c r="R765" s="25">
        <f>IF(AND(L765=1,I765&lt;&gt;""),SUBSTITUTE(SUBSTITUTE(SUBSTITUTE(SUBSTITUTE(SUBSTITUTE(SUBSTITUTE(SUBSTITUTE(SUBSTITUTE(SUBSTITUTE(SUBSTITUTE(SUBSTITUTE(SUBSTITUTE(LOWER(TRIM(I765)),"á","a"),"é","e"),"í","i"),"ó","o"),"ú","u"),"ü","u"),"ñ","n"),"à","a"),"è","e"),"ì","i"),"ò","o"),"ù","u"),"")</f>
        <v/>
      </c>
      <c r="S765" s="25">
        <f>IF(R765="","",IF(OR(R765="si",R765="tal vez"),1,0))</f>
        <v/>
      </c>
      <c r="T765" s="25">
        <f>IF(AND(L765=1,D765&lt;&gt;""),IF(IFERROR(COUNTIFS(D$3:D765,"="&amp;SUBSTITUTE(SUBSTITUTE(SUBSTITUTE(D765,"~","~~"),"*","~*"),"?","~?"),L$3:L765,1),0)=1,MAX(T$2:T764)+1,""),"")</f>
        <v/>
      </c>
      <c r="U765" s="25">
        <f>IF(T765="","",COUNTIFS($D$3:$D$1002,"="&amp;SUBSTITUTE(SUBSTITUTE(SUBSTITUTE(D765,"~","~~"),"*","~*"),"?","~?"),$L$3:$L$1002,1)*10000-T765)</f>
        <v/>
      </c>
      <c r="V765" s="25">
        <f>IF(AND(L765=1,J765&lt;&gt;""),IF(IFERROR(COUNTIFS(J$3:J765,"="&amp;SUBSTITUTE(SUBSTITUTE(SUBSTITUTE(J765,"~","~~"),"*","~*"),"?","~?"),L$3:L765,1),0)=1,MAX(V$2:V764)+1,""),"")</f>
        <v/>
      </c>
      <c r="W765" s="25">
        <f>IF(V765="","",COUNTIFS($J$3:$J$1002,"="&amp;SUBSTITUTE(SUBSTITUTE(SUBSTITUTE(J765,"~","~~"),"*","~*"),"?","~?"),$L$3:$L$1002,1)*10000-V765)</f>
        <v/>
      </c>
    </row>
    <row r="766">
      <c r="A766">
        <f>IF(A$2=0,"",IFERROR(TRIM(INDEX('Pegar estudiantes'!$A$1:$BZ$1001,765,A$2)&amp;""),""))</f>
        <v/>
      </c>
      <c r="B766">
        <f>IF(B$2=0,"",IFERROR(TRIM(INDEX('Pegar estudiantes'!$A$1:$BZ$1001,765,B$2)&amp;""),""))</f>
        <v/>
      </c>
      <c r="C766">
        <f>IF(C$2=0,"",IFERROR(TRIM(INDEX('Pegar estudiantes'!$A$1:$BZ$1001,765,C$2)&amp;""),""))</f>
        <v/>
      </c>
      <c r="D766">
        <f>IF(D$2=0,"",IFERROR(TRIM(INDEX('Pegar estudiantes'!$A$1:$BZ$1001,765,D$2)&amp;""),""))</f>
        <v/>
      </c>
      <c r="E766">
        <f>IF(E$2=0,"",IFERROR(TRIM(INDEX('Pegar estudiantes'!$A$1:$BZ$1001,765,E$2)&amp;""),""))</f>
        <v/>
      </c>
      <c r="F766">
        <f>IF(F$2=0,"",IFERROR(TRIM(INDEX('Pegar estudiantes'!$A$1:$BZ$1001,765,F$2)&amp;""),""))</f>
        <v/>
      </c>
      <c r="G766">
        <f>IF(G$2=0,"",IFERROR(TRIM(INDEX('Pegar estudiantes'!$A$1:$BZ$1001,765,G$2)&amp;""),""))</f>
        <v/>
      </c>
      <c r="H766">
        <f>IF(H$2=0,"",IFERROR(TRIM(INDEX('Pegar estudiantes'!$A$1:$BZ$1001,765,H$2)&amp;""),""))</f>
        <v/>
      </c>
      <c r="I766">
        <f>IF(I$2=0,"",IFERROR(TRIM(INDEX('Pegar estudiantes'!$A$1:$BZ$1001,765,I$2)&amp;""),""))</f>
        <v/>
      </c>
      <c r="J766">
        <f>IF(J$2=0,"",IFERROR(TRIM(INDEX('Pegar estudiantes'!$A$1:$BZ$1001,765,J$2)&amp;""),""))</f>
        <v/>
      </c>
      <c r="K766">
        <f>IF(K$2=0,"",IFERROR(TRIM(INDEX('Pegar estudiantes'!$A$1:$BZ$1001,765,K$2)&amp;""),""))</f>
        <v/>
      </c>
      <c r="L766" s="25">
        <f>IF(A766&lt;&gt;"",1,"")</f>
        <v/>
      </c>
      <c r="M766" s="25">
        <f>IF(L766=1,IF(ISNUMBER(FIND("#"&amp;MID(A766,1,1)&amp;"#","#0#1#2#3#4#5#6#7#8#9#")),IF(ISNUMBER(FIND("#"&amp;MID(A766,2,1)&amp;"#","#0#1#2#3#4#5#6#7#8#9#")),IF(AND(VALUE(LEFT(A766,2))&gt;=1,VALUE(LEFT(A766,2))&lt;=5),VALUE(LEFT(A766,2)),""),IF(AND(VALUE(LEFT(A766,1))&gt;=1,VALUE(LEFT(A766,1))&lt;=5),VALUE(LEFT(A766,1)),"")),""),"")</f>
        <v/>
      </c>
      <c r="N766" s="25">
        <f>IF(L766=1,IF(ISNUMBER(FIND("#"&amp;MID(H766,1,1)&amp;"#","#0#1#2#3#4#5#6#7#8#9#")),IF(ISNUMBER(FIND("#"&amp;MID(H766,2,1)&amp;"#","#0#1#2#3#4#5#6#7#8#9#")),IF(AND(VALUE(LEFT(H766,2))&gt;=1,VALUE(LEFT(H766,2))&lt;=5),VALUE(LEFT(H766,2)),""),IF(AND(VALUE(LEFT(H766,1))&gt;=1,VALUE(LEFT(H766,1))&lt;=5),VALUE(LEFT(H766,1)),"")),""),"")</f>
        <v/>
      </c>
      <c r="O766" s="25">
        <f>IF(AND(L766=1,B766&lt;&gt;""),SUBSTITUTE(SUBSTITUTE(SUBSTITUTE(SUBSTITUTE(SUBSTITUTE(SUBSTITUTE(SUBSTITUTE(SUBSTITUTE(SUBSTITUTE(SUBSTITUTE(SUBSTITUTE(SUBSTITUTE(LOWER(TRIM(B766)),"á","a"),"é","e"),"í","i"),"ó","o"),"ú","u"),"ü","u"),"ñ","n"),"à","a"),"è","e"),"ì","i"),"ò","o"),"ù","u"),"")</f>
        <v/>
      </c>
      <c r="P766" s="25">
        <f>IF(AND(L766=1,C766&lt;&gt;""),SUBSTITUTE(SUBSTITUTE(SUBSTITUTE(SUBSTITUTE(SUBSTITUTE(SUBSTITUTE(SUBSTITUTE(SUBSTITUTE(SUBSTITUTE(SUBSTITUTE(SUBSTITUTE(SUBSTITUTE(LOWER(TRIM(C766)),"á","a"),"é","e"),"í","i"),"ó","o"),"ú","u"),"ü","u"),"ñ","n"),"à","a"),"è","e"),"ì","i"),"ò","o"),"ù","u"),"")</f>
        <v/>
      </c>
      <c r="Q766" s="25">
        <f>IF(AND(L766=1,E766&lt;&gt;""),SUBSTITUTE(SUBSTITUTE(SUBSTITUTE(SUBSTITUTE(SUBSTITUTE(SUBSTITUTE(SUBSTITUTE(SUBSTITUTE(SUBSTITUTE(SUBSTITUTE(SUBSTITUTE(SUBSTITUTE(LOWER(TRIM(E766)),"á","a"),"é","e"),"í","i"),"ó","o"),"ú","u"),"ü","u"),"ñ","n"),"à","a"),"è","e"),"ì","i"),"ò","o"),"ù","u"),"")</f>
        <v/>
      </c>
      <c r="R766" s="25">
        <f>IF(AND(L766=1,I766&lt;&gt;""),SUBSTITUTE(SUBSTITUTE(SUBSTITUTE(SUBSTITUTE(SUBSTITUTE(SUBSTITUTE(SUBSTITUTE(SUBSTITUTE(SUBSTITUTE(SUBSTITUTE(SUBSTITUTE(SUBSTITUTE(LOWER(TRIM(I766)),"á","a"),"é","e"),"í","i"),"ó","o"),"ú","u"),"ü","u"),"ñ","n"),"à","a"),"è","e"),"ì","i"),"ò","o"),"ù","u"),"")</f>
        <v/>
      </c>
      <c r="S766" s="25">
        <f>IF(R766="","",IF(OR(R766="si",R766="tal vez"),1,0))</f>
        <v/>
      </c>
      <c r="T766" s="25">
        <f>IF(AND(L766=1,D766&lt;&gt;""),IF(IFERROR(COUNTIFS(D$3:D766,"="&amp;SUBSTITUTE(SUBSTITUTE(SUBSTITUTE(D766,"~","~~"),"*","~*"),"?","~?"),L$3:L766,1),0)=1,MAX(T$2:T765)+1,""),"")</f>
        <v/>
      </c>
      <c r="U766" s="25">
        <f>IF(T766="","",COUNTIFS($D$3:$D$1002,"="&amp;SUBSTITUTE(SUBSTITUTE(SUBSTITUTE(D766,"~","~~"),"*","~*"),"?","~?"),$L$3:$L$1002,1)*10000-T766)</f>
        <v/>
      </c>
      <c r="V766" s="25">
        <f>IF(AND(L766=1,J766&lt;&gt;""),IF(IFERROR(COUNTIFS(J$3:J766,"="&amp;SUBSTITUTE(SUBSTITUTE(SUBSTITUTE(J766,"~","~~"),"*","~*"),"?","~?"),L$3:L766,1),0)=1,MAX(V$2:V765)+1,""),"")</f>
        <v/>
      </c>
      <c r="W766" s="25">
        <f>IF(V766="","",COUNTIFS($J$3:$J$1002,"="&amp;SUBSTITUTE(SUBSTITUTE(SUBSTITUTE(J766,"~","~~"),"*","~*"),"?","~?"),$L$3:$L$1002,1)*10000-V766)</f>
        <v/>
      </c>
    </row>
    <row r="767">
      <c r="A767">
        <f>IF(A$2=0,"",IFERROR(TRIM(INDEX('Pegar estudiantes'!$A$1:$BZ$1001,766,A$2)&amp;""),""))</f>
        <v/>
      </c>
      <c r="B767">
        <f>IF(B$2=0,"",IFERROR(TRIM(INDEX('Pegar estudiantes'!$A$1:$BZ$1001,766,B$2)&amp;""),""))</f>
        <v/>
      </c>
      <c r="C767">
        <f>IF(C$2=0,"",IFERROR(TRIM(INDEX('Pegar estudiantes'!$A$1:$BZ$1001,766,C$2)&amp;""),""))</f>
        <v/>
      </c>
      <c r="D767">
        <f>IF(D$2=0,"",IFERROR(TRIM(INDEX('Pegar estudiantes'!$A$1:$BZ$1001,766,D$2)&amp;""),""))</f>
        <v/>
      </c>
      <c r="E767">
        <f>IF(E$2=0,"",IFERROR(TRIM(INDEX('Pegar estudiantes'!$A$1:$BZ$1001,766,E$2)&amp;""),""))</f>
        <v/>
      </c>
      <c r="F767">
        <f>IF(F$2=0,"",IFERROR(TRIM(INDEX('Pegar estudiantes'!$A$1:$BZ$1001,766,F$2)&amp;""),""))</f>
        <v/>
      </c>
      <c r="G767">
        <f>IF(G$2=0,"",IFERROR(TRIM(INDEX('Pegar estudiantes'!$A$1:$BZ$1001,766,G$2)&amp;""),""))</f>
        <v/>
      </c>
      <c r="H767">
        <f>IF(H$2=0,"",IFERROR(TRIM(INDEX('Pegar estudiantes'!$A$1:$BZ$1001,766,H$2)&amp;""),""))</f>
        <v/>
      </c>
      <c r="I767">
        <f>IF(I$2=0,"",IFERROR(TRIM(INDEX('Pegar estudiantes'!$A$1:$BZ$1001,766,I$2)&amp;""),""))</f>
        <v/>
      </c>
      <c r="J767">
        <f>IF(J$2=0,"",IFERROR(TRIM(INDEX('Pegar estudiantes'!$A$1:$BZ$1001,766,J$2)&amp;""),""))</f>
        <v/>
      </c>
      <c r="K767">
        <f>IF(K$2=0,"",IFERROR(TRIM(INDEX('Pegar estudiantes'!$A$1:$BZ$1001,766,K$2)&amp;""),""))</f>
        <v/>
      </c>
      <c r="L767" s="25">
        <f>IF(A767&lt;&gt;"",1,"")</f>
        <v/>
      </c>
      <c r="M767" s="25">
        <f>IF(L767=1,IF(ISNUMBER(FIND("#"&amp;MID(A767,1,1)&amp;"#","#0#1#2#3#4#5#6#7#8#9#")),IF(ISNUMBER(FIND("#"&amp;MID(A767,2,1)&amp;"#","#0#1#2#3#4#5#6#7#8#9#")),IF(AND(VALUE(LEFT(A767,2))&gt;=1,VALUE(LEFT(A767,2))&lt;=5),VALUE(LEFT(A767,2)),""),IF(AND(VALUE(LEFT(A767,1))&gt;=1,VALUE(LEFT(A767,1))&lt;=5),VALUE(LEFT(A767,1)),"")),""),"")</f>
        <v/>
      </c>
      <c r="N767" s="25">
        <f>IF(L767=1,IF(ISNUMBER(FIND("#"&amp;MID(H767,1,1)&amp;"#","#0#1#2#3#4#5#6#7#8#9#")),IF(ISNUMBER(FIND("#"&amp;MID(H767,2,1)&amp;"#","#0#1#2#3#4#5#6#7#8#9#")),IF(AND(VALUE(LEFT(H767,2))&gt;=1,VALUE(LEFT(H767,2))&lt;=5),VALUE(LEFT(H767,2)),""),IF(AND(VALUE(LEFT(H767,1))&gt;=1,VALUE(LEFT(H767,1))&lt;=5),VALUE(LEFT(H767,1)),"")),""),"")</f>
        <v/>
      </c>
      <c r="O767" s="25">
        <f>IF(AND(L767=1,B767&lt;&gt;""),SUBSTITUTE(SUBSTITUTE(SUBSTITUTE(SUBSTITUTE(SUBSTITUTE(SUBSTITUTE(SUBSTITUTE(SUBSTITUTE(SUBSTITUTE(SUBSTITUTE(SUBSTITUTE(SUBSTITUTE(LOWER(TRIM(B767)),"á","a"),"é","e"),"í","i"),"ó","o"),"ú","u"),"ü","u"),"ñ","n"),"à","a"),"è","e"),"ì","i"),"ò","o"),"ù","u"),"")</f>
        <v/>
      </c>
      <c r="P767" s="25">
        <f>IF(AND(L767=1,C767&lt;&gt;""),SUBSTITUTE(SUBSTITUTE(SUBSTITUTE(SUBSTITUTE(SUBSTITUTE(SUBSTITUTE(SUBSTITUTE(SUBSTITUTE(SUBSTITUTE(SUBSTITUTE(SUBSTITUTE(SUBSTITUTE(LOWER(TRIM(C767)),"á","a"),"é","e"),"í","i"),"ó","o"),"ú","u"),"ü","u"),"ñ","n"),"à","a"),"è","e"),"ì","i"),"ò","o"),"ù","u"),"")</f>
        <v/>
      </c>
      <c r="Q767" s="25">
        <f>IF(AND(L767=1,E767&lt;&gt;""),SUBSTITUTE(SUBSTITUTE(SUBSTITUTE(SUBSTITUTE(SUBSTITUTE(SUBSTITUTE(SUBSTITUTE(SUBSTITUTE(SUBSTITUTE(SUBSTITUTE(SUBSTITUTE(SUBSTITUTE(LOWER(TRIM(E767)),"á","a"),"é","e"),"í","i"),"ó","o"),"ú","u"),"ü","u"),"ñ","n"),"à","a"),"è","e"),"ì","i"),"ò","o"),"ù","u"),"")</f>
        <v/>
      </c>
      <c r="R767" s="25">
        <f>IF(AND(L767=1,I767&lt;&gt;""),SUBSTITUTE(SUBSTITUTE(SUBSTITUTE(SUBSTITUTE(SUBSTITUTE(SUBSTITUTE(SUBSTITUTE(SUBSTITUTE(SUBSTITUTE(SUBSTITUTE(SUBSTITUTE(SUBSTITUTE(LOWER(TRIM(I767)),"á","a"),"é","e"),"í","i"),"ó","o"),"ú","u"),"ü","u"),"ñ","n"),"à","a"),"è","e"),"ì","i"),"ò","o"),"ù","u"),"")</f>
        <v/>
      </c>
      <c r="S767" s="25">
        <f>IF(R767="","",IF(OR(R767="si",R767="tal vez"),1,0))</f>
        <v/>
      </c>
      <c r="T767" s="25">
        <f>IF(AND(L767=1,D767&lt;&gt;""),IF(IFERROR(COUNTIFS(D$3:D767,"="&amp;SUBSTITUTE(SUBSTITUTE(SUBSTITUTE(D767,"~","~~"),"*","~*"),"?","~?"),L$3:L767,1),0)=1,MAX(T$2:T766)+1,""),"")</f>
        <v/>
      </c>
      <c r="U767" s="25">
        <f>IF(T767="","",COUNTIFS($D$3:$D$1002,"="&amp;SUBSTITUTE(SUBSTITUTE(SUBSTITUTE(D767,"~","~~"),"*","~*"),"?","~?"),$L$3:$L$1002,1)*10000-T767)</f>
        <v/>
      </c>
      <c r="V767" s="25">
        <f>IF(AND(L767=1,J767&lt;&gt;""),IF(IFERROR(COUNTIFS(J$3:J767,"="&amp;SUBSTITUTE(SUBSTITUTE(SUBSTITUTE(J767,"~","~~"),"*","~*"),"?","~?"),L$3:L767,1),0)=1,MAX(V$2:V766)+1,""),"")</f>
        <v/>
      </c>
      <c r="W767" s="25">
        <f>IF(V767="","",COUNTIFS($J$3:$J$1002,"="&amp;SUBSTITUTE(SUBSTITUTE(SUBSTITUTE(J767,"~","~~"),"*","~*"),"?","~?"),$L$3:$L$1002,1)*10000-V767)</f>
        <v/>
      </c>
    </row>
    <row r="768">
      <c r="A768">
        <f>IF(A$2=0,"",IFERROR(TRIM(INDEX('Pegar estudiantes'!$A$1:$BZ$1001,767,A$2)&amp;""),""))</f>
        <v/>
      </c>
      <c r="B768">
        <f>IF(B$2=0,"",IFERROR(TRIM(INDEX('Pegar estudiantes'!$A$1:$BZ$1001,767,B$2)&amp;""),""))</f>
        <v/>
      </c>
      <c r="C768">
        <f>IF(C$2=0,"",IFERROR(TRIM(INDEX('Pegar estudiantes'!$A$1:$BZ$1001,767,C$2)&amp;""),""))</f>
        <v/>
      </c>
      <c r="D768">
        <f>IF(D$2=0,"",IFERROR(TRIM(INDEX('Pegar estudiantes'!$A$1:$BZ$1001,767,D$2)&amp;""),""))</f>
        <v/>
      </c>
      <c r="E768">
        <f>IF(E$2=0,"",IFERROR(TRIM(INDEX('Pegar estudiantes'!$A$1:$BZ$1001,767,E$2)&amp;""),""))</f>
        <v/>
      </c>
      <c r="F768">
        <f>IF(F$2=0,"",IFERROR(TRIM(INDEX('Pegar estudiantes'!$A$1:$BZ$1001,767,F$2)&amp;""),""))</f>
        <v/>
      </c>
      <c r="G768">
        <f>IF(G$2=0,"",IFERROR(TRIM(INDEX('Pegar estudiantes'!$A$1:$BZ$1001,767,G$2)&amp;""),""))</f>
        <v/>
      </c>
      <c r="H768">
        <f>IF(H$2=0,"",IFERROR(TRIM(INDEX('Pegar estudiantes'!$A$1:$BZ$1001,767,H$2)&amp;""),""))</f>
        <v/>
      </c>
      <c r="I768">
        <f>IF(I$2=0,"",IFERROR(TRIM(INDEX('Pegar estudiantes'!$A$1:$BZ$1001,767,I$2)&amp;""),""))</f>
        <v/>
      </c>
      <c r="J768">
        <f>IF(J$2=0,"",IFERROR(TRIM(INDEX('Pegar estudiantes'!$A$1:$BZ$1001,767,J$2)&amp;""),""))</f>
        <v/>
      </c>
      <c r="K768">
        <f>IF(K$2=0,"",IFERROR(TRIM(INDEX('Pegar estudiantes'!$A$1:$BZ$1001,767,K$2)&amp;""),""))</f>
        <v/>
      </c>
      <c r="L768" s="25">
        <f>IF(A768&lt;&gt;"",1,"")</f>
        <v/>
      </c>
      <c r="M768" s="25">
        <f>IF(L768=1,IF(ISNUMBER(FIND("#"&amp;MID(A768,1,1)&amp;"#","#0#1#2#3#4#5#6#7#8#9#")),IF(ISNUMBER(FIND("#"&amp;MID(A768,2,1)&amp;"#","#0#1#2#3#4#5#6#7#8#9#")),IF(AND(VALUE(LEFT(A768,2))&gt;=1,VALUE(LEFT(A768,2))&lt;=5),VALUE(LEFT(A768,2)),""),IF(AND(VALUE(LEFT(A768,1))&gt;=1,VALUE(LEFT(A768,1))&lt;=5),VALUE(LEFT(A768,1)),"")),""),"")</f>
        <v/>
      </c>
      <c r="N768" s="25">
        <f>IF(L768=1,IF(ISNUMBER(FIND("#"&amp;MID(H768,1,1)&amp;"#","#0#1#2#3#4#5#6#7#8#9#")),IF(ISNUMBER(FIND("#"&amp;MID(H768,2,1)&amp;"#","#0#1#2#3#4#5#6#7#8#9#")),IF(AND(VALUE(LEFT(H768,2))&gt;=1,VALUE(LEFT(H768,2))&lt;=5),VALUE(LEFT(H768,2)),""),IF(AND(VALUE(LEFT(H768,1))&gt;=1,VALUE(LEFT(H768,1))&lt;=5),VALUE(LEFT(H768,1)),"")),""),"")</f>
        <v/>
      </c>
      <c r="O768" s="25">
        <f>IF(AND(L768=1,B768&lt;&gt;""),SUBSTITUTE(SUBSTITUTE(SUBSTITUTE(SUBSTITUTE(SUBSTITUTE(SUBSTITUTE(SUBSTITUTE(SUBSTITUTE(SUBSTITUTE(SUBSTITUTE(SUBSTITUTE(SUBSTITUTE(LOWER(TRIM(B768)),"á","a"),"é","e"),"í","i"),"ó","o"),"ú","u"),"ü","u"),"ñ","n"),"à","a"),"è","e"),"ì","i"),"ò","o"),"ù","u"),"")</f>
        <v/>
      </c>
      <c r="P768" s="25">
        <f>IF(AND(L768=1,C768&lt;&gt;""),SUBSTITUTE(SUBSTITUTE(SUBSTITUTE(SUBSTITUTE(SUBSTITUTE(SUBSTITUTE(SUBSTITUTE(SUBSTITUTE(SUBSTITUTE(SUBSTITUTE(SUBSTITUTE(SUBSTITUTE(LOWER(TRIM(C768)),"á","a"),"é","e"),"í","i"),"ó","o"),"ú","u"),"ü","u"),"ñ","n"),"à","a"),"è","e"),"ì","i"),"ò","o"),"ù","u"),"")</f>
        <v/>
      </c>
      <c r="Q768" s="25">
        <f>IF(AND(L768=1,E768&lt;&gt;""),SUBSTITUTE(SUBSTITUTE(SUBSTITUTE(SUBSTITUTE(SUBSTITUTE(SUBSTITUTE(SUBSTITUTE(SUBSTITUTE(SUBSTITUTE(SUBSTITUTE(SUBSTITUTE(SUBSTITUTE(LOWER(TRIM(E768)),"á","a"),"é","e"),"í","i"),"ó","o"),"ú","u"),"ü","u"),"ñ","n"),"à","a"),"è","e"),"ì","i"),"ò","o"),"ù","u"),"")</f>
        <v/>
      </c>
      <c r="R768" s="25">
        <f>IF(AND(L768=1,I768&lt;&gt;""),SUBSTITUTE(SUBSTITUTE(SUBSTITUTE(SUBSTITUTE(SUBSTITUTE(SUBSTITUTE(SUBSTITUTE(SUBSTITUTE(SUBSTITUTE(SUBSTITUTE(SUBSTITUTE(SUBSTITUTE(LOWER(TRIM(I768)),"á","a"),"é","e"),"í","i"),"ó","o"),"ú","u"),"ü","u"),"ñ","n"),"à","a"),"è","e"),"ì","i"),"ò","o"),"ù","u"),"")</f>
        <v/>
      </c>
      <c r="S768" s="25">
        <f>IF(R768="","",IF(OR(R768="si",R768="tal vez"),1,0))</f>
        <v/>
      </c>
      <c r="T768" s="25">
        <f>IF(AND(L768=1,D768&lt;&gt;""),IF(IFERROR(COUNTIFS(D$3:D768,"="&amp;SUBSTITUTE(SUBSTITUTE(SUBSTITUTE(D768,"~","~~"),"*","~*"),"?","~?"),L$3:L768,1),0)=1,MAX(T$2:T767)+1,""),"")</f>
        <v/>
      </c>
      <c r="U768" s="25">
        <f>IF(T768="","",COUNTIFS($D$3:$D$1002,"="&amp;SUBSTITUTE(SUBSTITUTE(SUBSTITUTE(D768,"~","~~"),"*","~*"),"?","~?"),$L$3:$L$1002,1)*10000-T768)</f>
        <v/>
      </c>
      <c r="V768" s="25">
        <f>IF(AND(L768=1,J768&lt;&gt;""),IF(IFERROR(COUNTIFS(J$3:J768,"="&amp;SUBSTITUTE(SUBSTITUTE(SUBSTITUTE(J768,"~","~~"),"*","~*"),"?","~?"),L$3:L768,1),0)=1,MAX(V$2:V767)+1,""),"")</f>
        <v/>
      </c>
      <c r="W768" s="25">
        <f>IF(V768="","",COUNTIFS($J$3:$J$1002,"="&amp;SUBSTITUTE(SUBSTITUTE(SUBSTITUTE(J768,"~","~~"),"*","~*"),"?","~?"),$L$3:$L$1002,1)*10000-V768)</f>
        <v/>
      </c>
    </row>
    <row r="769">
      <c r="A769">
        <f>IF(A$2=0,"",IFERROR(TRIM(INDEX('Pegar estudiantes'!$A$1:$BZ$1001,768,A$2)&amp;""),""))</f>
        <v/>
      </c>
      <c r="B769">
        <f>IF(B$2=0,"",IFERROR(TRIM(INDEX('Pegar estudiantes'!$A$1:$BZ$1001,768,B$2)&amp;""),""))</f>
        <v/>
      </c>
      <c r="C769">
        <f>IF(C$2=0,"",IFERROR(TRIM(INDEX('Pegar estudiantes'!$A$1:$BZ$1001,768,C$2)&amp;""),""))</f>
        <v/>
      </c>
      <c r="D769">
        <f>IF(D$2=0,"",IFERROR(TRIM(INDEX('Pegar estudiantes'!$A$1:$BZ$1001,768,D$2)&amp;""),""))</f>
        <v/>
      </c>
      <c r="E769">
        <f>IF(E$2=0,"",IFERROR(TRIM(INDEX('Pegar estudiantes'!$A$1:$BZ$1001,768,E$2)&amp;""),""))</f>
        <v/>
      </c>
      <c r="F769">
        <f>IF(F$2=0,"",IFERROR(TRIM(INDEX('Pegar estudiantes'!$A$1:$BZ$1001,768,F$2)&amp;""),""))</f>
        <v/>
      </c>
      <c r="G769">
        <f>IF(G$2=0,"",IFERROR(TRIM(INDEX('Pegar estudiantes'!$A$1:$BZ$1001,768,G$2)&amp;""),""))</f>
        <v/>
      </c>
      <c r="H769">
        <f>IF(H$2=0,"",IFERROR(TRIM(INDEX('Pegar estudiantes'!$A$1:$BZ$1001,768,H$2)&amp;""),""))</f>
        <v/>
      </c>
      <c r="I769">
        <f>IF(I$2=0,"",IFERROR(TRIM(INDEX('Pegar estudiantes'!$A$1:$BZ$1001,768,I$2)&amp;""),""))</f>
        <v/>
      </c>
      <c r="J769">
        <f>IF(J$2=0,"",IFERROR(TRIM(INDEX('Pegar estudiantes'!$A$1:$BZ$1001,768,J$2)&amp;""),""))</f>
        <v/>
      </c>
      <c r="K769">
        <f>IF(K$2=0,"",IFERROR(TRIM(INDEX('Pegar estudiantes'!$A$1:$BZ$1001,768,K$2)&amp;""),""))</f>
        <v/>
      </c>
      <c r="L769" s="25">
        <f>IF(A769&lt;&gt;"",1,"")</f>
        <v/>
      </c>
      <c r="M769" s="25">
        <f>IF(L769=1,IF(ISNUMBER(FIND("#"&amp;MID(A769,1,1)&amp;"#","#0#1#2#3#4#5#6#7#8#9#")),IF(ISNUMBER(FIND("#"&amp;MID(A769,2,1)&amp;"#","#0#1#2#3#4#5#6#7#8#9#")),IF(AND(VALUE(LEFT(A769,2))&gt;=1,VALUE(LEFT(A769,2))&lt;=5),VALUE(LEFT(A769,2)),""),IF(AND(VALUE(LEFT(A769,1))&gt;=1,VALUE(LEFT(A769,1))&lt;=5),VALUE(LEFT(A769,1)),"")),""),"")</f>
        <v/>
      </c>
      <c r="N769" s="25">
        <f>IF(L769=1,IF(ISNUMBER(FIND("#"&amp;MID(H769,1,1)&amp;"#","#0#1#2#3#4#5#6#7#8#9#")),IF(ISNUMBER(FIND("#"&amp;MID(H769,2,1)&amp;"#","#0#1#2#3#4#5#6#7#8#9#")),IF(AND(VALUE(LEFT(H769,2))&gt;=1,VALUE(LEFT(H769,2))&lt;=5),VALUE(LEFT(H769,2)),""),IF(AND(VALUE(LEFT(H769,1))&gt;=1,VALUE(LEFT(H769,1))&lt;=5),VALUE(LEFT(H769,1)),"")),""),"")</f>
        <v/>
      </c>
      <c r="O769" s="25">
        <f>IF(AND(L769=1,B769&lt;&gt;""),SUBSTITUTE(SUBSTITUTE(SUBSTITUTE(SUBSTITUTE(SUBSTITUTE(SUBSTITUTE(SUBSTITUTE(SUBSTITUTE(SUBSTITUTE(SUBSTITUTE(SUBSTITUTE(SUBSTITUTE(LOWER(TRIM(B769)),"á","a"),"é","e"),"í","i"),"ó","o"),"ú","u"),"ü","u"),"ñ","n"),"à","a"),"è","e"),"ì","i"),"ò","o"),"ù","u"),"")</f>
        <v/>
      </c>
      <c r="P769" s="25">
        <f>IF(AND(L769=1,C769&lt;&gt;""),SUBSTITUTE(SUBSTITUTE(SUBSTITUTE(SUBSTITUTE(SUBSTITUTE(SUBSTITUTE(SUBSTITUTE(SUBSTITUTE(SUBSTITUTE(SUBSTITUTE(SUBSTITUTE(SUBSTITUTE(LOWER(TRIM(C769)),"á","a"),"é","e"),"í","i"),"ó","o"),"ú","u"),"ü","u"),"ñ","n"),"à","a"),"è","e"),"ì","i"),"ò","o"),"ù","u"),"")</f>
        <v/>
      </c>
      <c r="Q769" s="25">
        <f>IF(AND(L769=1,E769&lt;&gt;""),SUBSTITUTE(SUBSTITUTE(SUBSTITUTE(SUBSTITUTE(SUBSTITUTE(SUBSTITUTE(SUBSTITUTE(SUBSTITUTE(SUBSTITUTE(SUBSTITUTE(SUBSTITUTE(SUBSTITUTE(LOWER(TRIM(E769)),"á","a"),"é","e"),"í","i"),"ó","o"),"ú","u"),"ü","u"),"ñ","n"),"à","a"),"è","e"),"ì","i"),"ò","o"),"ù","u"),"")</f>
        <v/>
      </c>
      <c r="R769" s="25">
        <f>IF(AND(L769=1,I769&lt;&gt;""),SUBSTITUTE(SUBSTITUTE(SUBSTITUTE(SUBSTITUTE(SUBSTITUTE(SUBSTITUTE(SUBSTITUTE(SUBSTITUTE(SUBSTITUTE(SUBSTITUTE(SUBSTITUTE(SUBSTITUTE(LOWER(TRIM(I769)),"á","a"),"é","e"),"í","i"),"ó","o"),"ú","u"),"ü","u"),"ñ","n"),"à","a"),"è","e"),"ì","i"),"ò","o"),"ù","u"),"")</f>
        <v/>
      </c>
      <c r="S769" s="25">
        <f>IF(R769="","",IF(OR(R769="si",R769="tal vez"),1,0))</f>
        <v/>
      </c>
      <c r="T769" s="25">
        <f>IF(AND(L769=1,D769&lt;&gt;""),IF(IFERROR(COUNTIFS(D$3:D769,"="&amp;SUBSTITUTE(SUBSTITUTE(SUBSTITUTE(D769,"~","~~"),"*","~*"),"?","~?"),L$3:L769,1),0)=1,MAX(T$2:T768)+1,""),"")</f>
        <v/>
      </c>
      <c r="U769" s="25">
        <f>IF(T769="","",COUNTIFS($D$3:$D$1002,"="&amp;SUBSTITUTE(SUBSTITUTE(SUBSTITUTE(D769,"~","~~"),"*","~*"),"?","~?"),$L$3:$L$1002,1)*10000-T769)</f>
        <v/>
      </c>
      <c r="V769" s="25">
        <f>IF(AND(L769=1,J769&lt;&gt;""),IF(IFERROR(COUNTIFS(J$3:J769,"="&amp;SUBSTITUTE(SUBSTITUTE(SUBSTITUTE(J769,"~","~~"),"*","~*"),"?","~?"),L$3:L769,1),0)=1,MAX(V$2:V768)+1,""),"")</f>
        <v/>
      </c>
      <c r="W769" s="25">
        <f>IF(V769="","",COUNTIFS($J$3:$J$1002,"="&amp;SUBSTITUTE(SUBSTITUTE(SUBSTITUTE(J769,"~","~~"),"*","~*"),"?","~?"),$L$3:$L$1002,1)*10000-V769)</f>
        <v/>
      </c>
    </row>
    <row r="770">
      <c r="A770">
        <f>IF(A$2=0,"",IFERROR(TRIM(INDEX('Pegar estudiantes'!$A$1:$BZ$1001,769,A$2)&amp;""),""))</f>
        <v/>
      </c>
      <c r="B770">
        <f>IF(B$2=0,"",IFERROR(TRIM(INDEX('Pegar estudiantes'!$A$1:$BZ$1001,769,B$2)&amp;""),""))</f>
        <v/>
      </c>
      <c r="C770">
        <f>IF(C$2=0,"",IFERROR(TRIM(INDEX('Pegar estudiantes'!$A$1:$BZ$1001,769,C$2)&amp;""),""))</f>
        <v/>
      </c>
      <c r="D770">
        <f>IF(D$2=0,"",IFERROR(TRIM(INDEX('Pegar estudiantes'!$A$1:$BZ$1001,769,D$2)&amp;""),""))</f>
        <v/>
      </c>
      <c r="E770">
        <f>IF(E$2=0,"",IFERROR(TRIM(INDEX('Pegar estudiantes'!$A$1:$BZ$1001,769,E$2)&amp;""),""))</f>
        <v/>
      </c>
      <c r="F770">
        <f>IF(F$2=0,"",IFERROR(TRIM(INDEX('Pegar estudiantes'!$A$1:$BZ$1001,769,F$2)&amp;""),""))</f>
        <v/>
      </c>
      <c r="G770">
        <f>IF(G$2=0,"",IFERROR(TRIM(INDEX('Pegar estudiantes'!$A$1:$BZ$1001,769,G$2)&amp;""),""))</f>
        <v/>
      </c>
      <c r="H770">
        <f>IF(H$2=0,"",IFERROR(TRIM(INDEX('Pegar estudiantes'!$A$1:$BZ$1001,769,H$2)&amp;""),""))</f>
        <v/>
      </c>
      <c r="I770">
        <f>IF(I$2=0,"",IFERROR(TRIM(INDEX('Pegar estudiantes'!$A$1:$BZ$1001,769,I$2)&amp;""),""))</f>
        <v/>
      </c>
      <c r="J770">
        <f>IF(J$2=0,"",IFERROR(TRIM(INDEX('Pegar estudiantes'!$A$1:$BZ$1001,769,J$2)&amp;""),""))</f>
        <v/>
      </c>
      <c r="K770">
        <f>IF(K$2=0,"",IFERROR(TRIM(INDEX('Pegar estudiantes'!$A$1:$BZ$1001,769,K$2)&amp;""),""))</f>
        <v/>
      </c>
      <c r="L770" s="25">
        <f>IF(A770&lt;&gt;"",1,"")</f>
        <v/>
      </c>
      <c r="M770" s="25">
        <f>IF(L770=1,IF(ISNUMBER(FIND("#"&amp;MID(A770,1,1)&amp;"#","#0#1#2#3#4#5#6#7#8#9#")),IF(ISNUMBER(FIND("#"&amp;MID(A770,2,1)&amp;"#","#0#1#2#3#4#5#6#7#8#9#")),IF(AND(VALUE(LEFT(A770,2))&gt;=1,VALUE(LEFT(A770,2))&lt;=5),VALUE(LEFT(A770,2)),""),IF(AND(VALUE(LEFT(A770,1))&gt;=1,VALUE(LEFT(A770,1))&lt;=5),VALUE(LEFT(A770,1)),"")),""),"")</f>
        <v/>
      </c>
      <c r="N770" s="25">
        <f>IF(L770=1,IF(ISNUMBER(FIND("#"&amp;MID(H770,1,1)&amp;"#","#0#1#2#3#4#5#6#7#8#9#")),IF(ISNUMBER(FIND("#"&amp;MID(H770,2,1)&amp;"#","#0#1#2#3#4#5#6#7#8#9#")),IF(AND(VALUE(LEFT(H770,2))&gt;=1,VALUE(LEFT(H770,2))&lt;=5),VALUE(LEFT(H770,2)),""),IF(AND(VALUE(LEFT(H770,1))&gt;=1,VALUE(LEFT(H770,1))&lt;=5),VALUE(LEFT(H770,1)),"")),""),"")</f>
        <v/>
      </c>
      <c r="O770" s="25">
        <f>IF(AND(L770=1,B770&lt;&gt;""),SUBSTITUTE(SUBSTITUTE(SUBSTITUTE(SUBSTITUTE(SUBSTITUTE(SUBSTITUTE(SUBSTITUTE(SUBSTITUTE(SUBSTITUTE(SUBSTITUTE(SUBSTITUTE(SUBSTITUTE(LOWER(TRIM(B770)),"á","a"),"é","e"),"í","i"),"ó","o"),"ú","u"),"ü","u"),"ñ","n"),"à","a"),"è","e"),"ì","i"),"ò","o"),"ù","u"),"")</f>
        <v/>
      </c>
      <c r="P770" s="25">
        <f>IF(AND(L770=1,C770&lt;&gt;""),SUBSTITUTE(SUBSTITUTE(SUBSTITUTE(SUBSTITUTE(SUBSTITUTE(SUBSTITUTE(SUBSTITUTE(SUBSTITUTE(SUBSTITUTE(SUBSTITUTE(SUBSTITUTE(SUBSTITUTE(LOWER(TRIM(C770)),"á","a"),"é","e"),"í","i"),"ó","o"),"ú","u"),"ü","u"),"ñ","n"),"à","a"),"è","e"),"ì","i"),"ò","o"),"ù","u"),"")</f>
        <v/>
      </c>
      <c r="Q770" s="25">
        <f>IF(AND(L770=1,E770&lt;&gt;""),SUBSTITUTE(SUBSTITUTE(SUBSTITUTE(SUBSTITUTE(SUBSTITUTE(SUBSTITUTE(SUBSTITUTE(SUBSTITUTE(SUBSTITUTE(SUBSTITUTE(SUBSTITUTE(SUBSTITUTE(LOWER(TRIM(E770)),"á","a"),"é","e"),"í","i"),"ó","o"),"ú","u"),"ü","u"),"ñ","n"),"à","a"),"è","e"),"ì","i"),"ò","o"),"ù","u"),"")</f>
        <v/>
      </c>
      <c r="R770" s="25">
        <f>IF(AND(L770=1,I770&lt;&gt;""),SUBSTITUTE(SUBSTITUTE(SUBSTITUTE(SUBSTITUTE(SUBSTITUTE(SUBSTITUTE(SUBSTITUTE(SUBSTITUTE(SUBSTITUTE(SUBSTITUTE(SUBSTITUTE(SUBSTITUTE(LOWER(TRIM(I770)),"á","a"),"é","e"),"í","i"),"ó","o"),"ú","u"),"ü","u"),"ñ","n"),"à","a"),"è","e"),"ì","i"),"ò","o"),"ù","u"),"")</f>
        <v/>
      </c>
      <c r="S770" s="25">
        <f>IF(R770="","",IF(OR(R770="si",R770="tal vez"),1,0))</f>
        <v/>
      </c>
      <c r="T770" s="25">
        <f>IF(AND(L770=1,D770&lt;&gt;""),IF(IFERROR(COUNTIFS(D$3:D770,"="&amp;SUBSTITUTE(SUBSTITUTE(SUBSTITUTE(D770,"~","~~"),"*","~*"),"?","~?"),L$3:L770,1),0)=1,MAX(T$2:T769)+1,""),"")</f>
        <v/>
      </c>
      <c r="U770" s="25">
        <f>IF(T770="","",COUNTIFS($D$3:$D$1002,"="&amp;SUBSTITUTE(SUBSTITUTE(SUBSTITUTE(D770,"~","~~"),"*","~*"),"?","~?"),$L$3:$L$1002,1)*10000-T770)</f>
        <v/>
      </c>
      <c r="V770" s="25">
        <f>IF(AND(L770=1,J770&lt;&gt;""),IF(IFERROR(COUNTIFS(J$3:J770,"="&amp;SUBSTITUTE(SUBSTITUTE(SUBSTITUTE(J770,"~","~~"),"*","~*"),"?","~?"),L$3:L770,1),0)=1,MAX(V$2:V769)+1,""),"")</f>
        <v/>
      </c>
      <c r="W770" s="25">
        <f>IF(V770="","",COUNTIFS($J$3:$J$1002,"="&amp;SUBSTITUTE(SUBSTITUTE(SUBSTITUTE(J770,"~","~~"),"*","~*"),"?","~?"),$L$3:$L$1002,1)*10000-V770)</f>
        <v/>
      </c>
    </row>
    <row r="771">
      <c r="A771">
        <f>IF(A$2=0,"",IFERROR(TRIM(INDEX('Pegar estudiantes'!$A$1:$BZ$1001,770,A$2)&amp;""),""))</f>
        <v/>
      </c>
      <c r="B771">
        <f>IF(B$2=0,"",IFERROR(TRIM(INDEX('Pegar estudiantes'!$A$1:$BZ$1001,770,B$2)&amp;""),""))</f>
        <v/>
      </c>
      <c r="C771">
        <f>IF(C$2=0,"",IFERROR(TRIM(INDEX('Pegar estudiantes'!$A$1:$BZ$1001,770,C$2)&amp;""),""))</f>
        <v/>
      </c>
      <c r="D771">
        <f>IF(D$2=0,"",IFERROR(TRIM(INDEX('Pegar estudiantes'!$A$1:$BZ$1001,770,D$2)&amp;""),""))</f>
        <v/>
      </c>
      <c r="E771">
        <f>IF(E$2=0,"",IFERROR(TRIM(INDEX('Pegar estudiantes'!$A$1:$BZ$1001,770,E$2)&amp;""),""))</f>
        <v/>
      </c>
      <c r="F771">
        <f>IF(F$2=0,"",IFERROR(TRIM(INDEX('Pegar estudiantes'!$A$1:$BZ$1001,770,F$2)&amp;""),""))</f>
        <v/>
      </c>
      <c r="G771">
        <f>IF(G$2=0,"",IFERROR(TRIM(INDEX('Pegar estudiantes'!$A$1:$BZ$1001,770,G$2)&amp;""),""))</f>
        <v/>
      </c>
      <c r="H771">
        <f>IF(H$2=0,"",IFERROR(TRIM(INDEX('Pegar estudiantes'!$A$1:$BZ$1001,770,H$2)&amp;""),""))</f>
        <v/>
      </c>
      <c r="I771">
        <f>IF(I$2=0,"",IFERROR(TRIM(INDEX('Pegar estudiantes'!$A$1:$BZ$1001,770,I$2)&amp;""),""))</f>
        <v/>
      </c>
      <c r="J771">
        <f>IF(J$2=0,"",IFERROR(TRIM(INDEX('Pegar estudiantes'!$A$1:$BZ$1001,770,J$2)&amp;""),""))</f>
        <v/>
      </c>
      <c r="K771">
        <f>IF(K$2=0,"",IFERROR(TRIM(INDEX('Pegar estudiantes'!$A$1:$BZ$1001,770,K$2)&amp;""),""))</f>
        <v/>
      </c>
      <c r="L771" s="25">
        <f>IF(A771&lt;&gt;"",1,"")</f>
        <v/>
      </c>
      <c r="M771" s="25">
        <f>IF(L771=1,IF(ISNUMBER(FIND("#"&amp;MID(A771,1,1)&amp;"#","#0#1#2#3#4#5#6#7#8#9#")),IF(ISNUMBER(FIND("#"&amp;MID(A771,2,1)&amp;"#","#0#1#2#3#4#5#6#7#8#9#")),IF(AND(VALUE(LEFT(A771,2))&gt;=1,VALUE(LEFT(A771,2))&lt;=5),VALUE(LEFT(A771,2)),""),IF(AND(VALUE(LEFT(A771,1))&gt;=1,VALUE(LEFT(A771,1))&lt;=5),VALUE(LEFT(A771,1)),"")),""),"")</f>
        <v/>
      </c>
      <c r="N771" s="25">
        <f>IF(L771=1,IF(ISNUMBER(FIND("#"&amp;MID(H771,1,1)&amp;"#","#0#1#2#3#4#5#6#7#8#9#")),IF(ISNUMBER(FIND("#"&amp;MID(H771,2,1)&amp;"#","#0#1#2#3#4#5#6#7#8#9#")),IF(AND(VALUE(LEFT(H771,2))&gt;=1,VALUE(LEFT(H771,2))&lt;=5),VALUE(LEFT(H771,2)),""),IF(AND(VALUE(LEFT(H771,1))&gt;=1,VALUE(LEFT(H771,1))&lt;=5),VALUE(LEFT(H771,1)),"")),""),"")</f>
        <v/>
      </c>
      <c r="O771" s="25">
        <f>IF(AND(L771=1,B771&lt;&gt;""),SUBSTITUTE(SUBSTITUTE(SUBSTITUTE(SUBSTITUTE(SUBSTITUTE(SUBSTITUTE(SUBSTITUTE(SUBSTITUTE(SUBSTITUTE(SUBSTITUTE(SUBSTITUTE(SUBSTITUTE(LOWER(TRIM(B771)),"á","a"),"é","e"),"í","i"),"ó","o"),"ú","u"),"ü","u"),"ñ","n"),"à","a"),"è","e"),"ì","i"),"ò","o"),"ù","u"),"")</f>
        <v/>
      </c>
      <c r="P771" s="25">
        <f>IF(AND(L771=1,C771&lt;&gt;""),SUBSTITUTE(SUBSTITUTE(SUBSTITUTE(SUBSTITUTE(SUBSTITUTE(SUBSTITUTE(SUBSTITUTE(SUBSTITUTE(SUBSTITUTE(SUBSTITUTE(SUBSTITUTE(SUBSTITUTE(LOWER(TRIM(C771)),"á","a"),"é","e"),"í","i"),"ó","o"),"ú","u"),"ü","u"),"ñ","n"),"à","a"),"è","e"),"ì","i"),"ò","o"),"ù","u"),"")</f>
        <v/>
      </c>
      <c r="Q771" s="25">
        <f>IF(AND(L771=1,E771&lt;&gt;""),SUBSTITUTE(SUBSTITUTE(SUBSTITUTE(SUBSTITUTE(SUBSTITUTE(SUBSTITUTE(SUBSTITUTE(SUBSTITUTE(SUBSTITUTE(SUBSTITUTE(SUBSTITUTE(SUBSTITUTE(LOWER(TRIM(E771)),"á","a"),"é","e"),"í","i"),"ó","o"),"ú","u"),"ü","u"),"ñ","n"),"à","a"),"è","e"),"ì","i"),"ò","o"),"ù","u"),"")</f>
        <v/>
      </c>
      <c r="R771" s="25">
        <f>IF(AND(L771=1,I771&lt;&gt;""),SUBSTITUTE(SUBSTITUTE(SUBSTITUTE(SUBSTITUTE(SUBSTITUTE(SUBSTITUTE(SUBSTITUTE(SUBSTITUTE(SUBSTITUTE(SUBSTITUTE(SUBSTITUTE(SUBSTITUTE(LOWER(TRIM(I771)),"á","a"),"é","e"),"í","i"),"ó","o"),"ú","u"),"ü","u"),"ñ","n"),"à","a"),"è","e"),"ì","i"),"ò","o"),"ù","u"),"")</f>
        <v/>
      </c>
      <c r="S771" s="25">
        <f>IF(R771="","",IF(OR(R771="si",R771="tal vez"),1,0))</f>
        <v/>
      </c>
      <c r="T771" s="25">
        <f>IF(AND(L771=1,D771&lt;&gt;""),IF(IFERROR(COUNTIFS(D$3:D771,"="&amp;SUBSTITUTE(SUBSTITUTE(SUBSTITUTE(D771,"~","~~"),"*","~*"),"?","~?"),L$3:L771,1),0)=1,MAX(T$2:T770)+1,""),"")</f>
        <v/>
      </c>
      <c r="U771" s="25">
        <f>IF(T771="","",COUNTIFS($D$3:$D$1002,"="&amp;SUBSTITUTE(SUBSTITUTE(SUBSTITUTE(D771,"~","~~"),"*","~*"),"?","~?"),$L$3:$L$1002,1)*10000-T771)</f>
        <v/>
      </c>
      <c r="V771" s="25">
        <f>IF(AND(L771=1,J771&lt;&gt;""),IF(IFERROR(COUNTIFS(J$3:J771,"="&amp;SUBSTITUTE(SUBSTITUTE(SUBSTITUTE(J771,"~","~~"),"*","~*"),"?","~?"),L$3:L771,1),0)=1,MAX(V$2:V770)+1,""),"")</f>
        <v/>
      </c>
      <c r="W771" s="25">
        <f>IF(V771="","",COUNTIFS($J$3:$J$1002,"="&amp;SUBSTITUTE(SUBSTITUTE(SUBSTITUTE(J771,"~","~~"),"*","~*"),"?","~?"),$L$3:$L$1002,1)*10000-V771)</f>
        <v/>
      </c>
    </row>
    <row r="772">
      <c r="A772">
        <f>IF(A$2=0,"",IFERROR(TRIM(INDEX('Pegar estudiantes'!$A$1:$BZ$1001,771,A$2)&amp;""),""))</f>
        <v/>
      </c>
      <c r="B772">
        <f>IF(B$2=0,"",IFERROR(TRIM(INDEX('Pegar estudiantes'!$A$1:$BZ$1001,771,B$2)&amp;""),""))</f>
        <v/>
      </c>
      <c r="C772">
        <f>IF(C$2=0,"",IFERROR(TRIM(INDEX('Pegar estudiantes'!$A$1:$BZ$1001,771,C$2)&amp;""),""))</f>
        <v/>
      </c>
      <c r="D772">
        <f>IF(D$2=0,"",IFERROR(TRIM(INDEX('Pegar estudiantes'!$A$1:$BZ$1001,771,D$2)&amp;""),""))</f>
        <v/>
      </c>
      <c r="E772">
        <f>IF(E$2=0,"",IFERROR(TRIM(INDEX('Pegar estudiantes'!$A$1:$BZ$1001,771,E$2)&amp;""),""))</f>
        <v/>
      </c>
      <c r="F772">
        <f>IF(F$2=0,"",IFERROR(TRIM(INDEX('Pegar estudiantes'!$A$1:$BZ$1001,771,F$2)&amp;""),""))</f>
        <v/>
      </c>
      <c r="G772">
        <f>IF(G$2=0,"",IFERROR(TRIM(INDEX('Pegar estudiantes'!$A$1:$BZ$1001,771,G$2)&amp;""),""))</f>
        <v/>
      </c>
      <c r="H772">
        <f>IF(H$2=0,"",IFERROR(TRIM(INDEX('Pegar estudiantes'!$A$1:$BZ$1001,771,H$2)&amp;""),""))</f>
        <v/>
      </c>
      <c r="I772">
        <f>IF(I$2=0,"",IFERROR(TRIM(INDEX('Pegar estudiantes'!$A$1:$BZ$1001,771,I$2)&amp;""),""))</f>
        <v/>
      </c>
      <c r="J772">
        <f>IF(J$2=0,"",IFERROR(TRIM(INDEX('Pegar estudiantes'!$A$1:$BZ$1001,771,J$2)&amp;""),""))</f>
        <v/>
      </c>
      <c r="K772">
        <f>IF(K$2=0,"",IFERROR(TRIM(INDEX('Pegar estudiantes'!$A$1:$BZ$1001,771,K$2)&amp;""),""))</f>
        <v/>
      </c>
      <c r="L772" s="25">
        <f>IF(A772&lt;&gt;"",1,"")</f>
        <v/>
      </c>
      <c r="M772" s="25">
        <f>IF(L772=1,IF(ISNUMBER(FIND("#"&amp;MID(A772,1,1)&amp;"#","#0#1#2#3#4#5#6#7#8#9#")),IF(ISNUMBER(FIND("#"&amp;MID(A772,2,1)&amp;"#","#0#1#2#3#4#5#6#7#8#9#")),IF(AND(VALUE(LEFT(A772,2))&gt;=1,VALUE(LEFT(A772,2))&lt;=5),VALUE(LEFT(A772,2)),""),IF(AND(VALUE(LEFT(A772,1))&gt;=1,VALUE(LEFT(A772,1))&lt;=5),VALUE(LEFT(A772,1)),"")),""),"")</f>
        <v/>
      </c>
      <c r="N772" s="25">
        <f>IF(L772=1,IF(ISNUMBER(FIND("#"&amp;MID(H772,1,1)&amp;"#","#0#1#2#3#4#5#6#7#8#9#")),IF(ISNUMBER(FIND("#"&amp;MID(H772,2,1)&amp;"#","#0#1#2#3#4#5#6#7#8#9#")),IF(AND(VALUE(LEFT(H772,2))&gt;=1,VALUE(LEFT(H772,2))&lt;=5),VALUE(LEFT(H772,2)),""),IF(AND(VALUE(LEFT(H772,1))&gt;=1,VALUE(LEFT(H772,1))&lt;=5),VALUE(LEFT(H772,1)),"")),""),"")</f>
        <v/>
      </c>
      <c r="O772" s="25">
        <f>IF(AND(L772=1,B772&lt;&gt;""),SUBSTITUTE(SUBSTITUTE(SUBSTITUTE(SUBSTITUTE(SUBSTITUTE(SUBSTITUTE(SUBSTITUTE(SUBSTITUTE(SUBSTITUTE(SUBSTITUTE(SUBSTITUTE(SUBSTITUTE(LOWER(TRIM(B772)),"á","a"),"é","e"),"í","i"),"ó","o"),"ú","u"),"ü","u"),"ñ","n"),"à","a"),"è","e"),"ì","i"),"ò","o"),"ù","u"),"")</f>
        <v/>
      </c>
      <c r="P772" s="25">
        <f>IF(AND(L772=1,C772&lt;&gt;""),SUBSTITUTE(SUBSTITUTE(SUBSTITUTE(SUBSTITUTE(SUBSTITUTE(SUBSTITUTE(SUBSTITUTE(SUBSTITUTE(SUBSTITUTE(SUBSTITUTE(SUBSTITUTE(SUBSTITUTE(LOWER(TRIM(C772)),"á","a"),"é","e"),"í","i"),"ó","o"),"ú","u"),"ü","u"),"ñ","n"),"à","a"),"è","e"),"ì","i"),"ò","o"),"ù","u"),"")</f>
        <v/>
      </c>
      <c r="Q772" s="25">
        <f>IF(AND(L772=1,E772&lt;&gt;""),SUBSTITUTE(SUBSTITUTE(SUBSTITUTE(SUBSTITUTE(SUBSTITUTE(SUBSTITUTE(SUBSTITUTE(SUBSTITUTE(SUBSTITUTE(SUBSTITUTE(SUBSTITUTE(SUBSTITUTE(LOWER(TRIM(E772)),"á","a"),"é","e"),"í","i"),"ó","o"),"ú","u"),"ü","u"),"ñ","n"),"à","a"),"è","e"),"ì","i"),"ò","o"),"ù","u"),"")</f>
        <v/>
      </c>
      <c r="R772" s="25">
        <f>IF(AND(L772=1,I772&lt;&gt;""),SUBSTITUTE(SUBSTITUTE(SUBSTITUTE(SUBSTITUTE(SUBSTITUTE(SUBSTITUTE(SUBSTITUTE(SUBSTITUTE(SUBSTITUTE(SUBSTITUTE(SUBSTITUTE(SUBSTITUTE(LOWER(TRIM(I772)),"á","a"),"é","e"),"í","i"),"ó","o"),"ú","u"),"ü","u"),"ñ","n"),"à","a"),"è","e"),"ì","i"),"ò","o"),"ù","u"),"")</f>
        <v/>
      </c>
      <c r="S772" s="25">
        <f>IF(R772="","",IF(OR(R772="si",R772="tal vez"),1,0))</f>
        <v/>
      </c>
      <c r="T772" s="25">
        <f>IF(AND(L772=1,D772&lt;&gt;""),IF(IFERROR(COUNTIFS(D$3:D772,"="&amp;SUBSTITUTE(SUBSTITUTE(SUBSTITUTE(D772,"~","~~"),"*","~*"),"?","~?"),L$3:L772,1),0)=1,MAX(T$2:T771)+1,""),"")</f>
        <v/>
      </c>
      <c r="U772" s="25">
        <f>IF(T772="","",COUNTIFS($D$3:$D$1002,"="&amp;SUBSTITUTE(SUBSTITUTE(SUBSTITUTE(D772,"~","~~"),"*","~*"),"?","~?"),$L$3:$L$1002,1)*10000-T772)</f>
        <v/>
      </c>
      <c r="V772" s="25">
        <f>IF(AND(L772=1,J772&lt;&gt;""),IF(IFERROR(COUNTIFS(J$3:J772,"="&amp;SUBSTITUTE(SUBSTITUTE(SUBSTITUTE(J772,"~","~~"),"*","~*"),"?","~?"),L$3:L772,1),0)=1,MAX(V$2:V771)+1,""),"")</f>
        <v/>
      </c>
      <c r="W772" s="25">
        <f>IF(V772="","",COUNTIFS($J$3:$J$1002,"="&amp;SUBSTITUTE(SUBSTITUTE(SUBSTITUTE(J772,"~","~~"),"*","~*"),"?","~?"),$L$3:$L$1002,1)*10000-V772)</f>
        <v/>
      </c>
    </row>
    <row r="773">
      <c r="A773">
        <f>IF(A$2=0,"",IFERROR(TRIM(INDEX('Pegar estudiantes'!$A$1:$BZ$1001,772,A$2)&amp;""),""))</f>
        <v/>
      </c>
      <c r="B773">
        <f>IF(B$2=0,"",IFERROR(TRIM(INDEX('Pegar estudiantes'!$A$1:$BZ$1001,772,B$2)&amp;""),""))</f>
        <v/>
      </c>
      <c r="C773">
        <f>IF(C$2=0,"",IFERROR(TRIM(INDEX('Pegar estudiantes'!$A$1:$BZ$1001,772,C$2)&amp;""),""))</f>
        <v/>
      </c>
      <c r="D773">
        <f>IF(D$2=0,"",IFERROR(TRIM(INDEX('Pegar estudiantes'!$A$1:$BZ$1001,772,D$2)&amp;""),""))</f>
        <v/>
      </c>
      <c r="E773">
        <f>IF(E$2=0,"",IFERROR(TRIM(INDEX('Pegar estudiantes'!$A$1:$BZ$1001,772,E$2)&amp;""),""))</f>
        <v/>
      </c>
      <c r="F773">
        <f>IF(F$2=0,"",IFERROR(TRIM(INDEX('Pegar estudiantes'!$A$1:$BZ$1001,772,F$2)&amp;""),""))</f>
        <v/>
      </c>
      <c r="G773">
        <f>IF(G$2=0,"",IFERROR(TRIM(INDEX('Pegar estudiantes'!$A$1:$BZ$1001,772,G$2)&amp;""),""))</f>
        <v/>
      </c>
      <c r="H773">
        <f>IF(H$2=0,"",IFERROR(TRIM(INDEX('Pegar estudiantes'!$A$1:$BZ$1001,772,H$2)&amp;""),""))</f>
        <v/>
      </c>
      <c r="I773">
        <f>IF(I$2=0,"",IFERROR(TRIM(INDEX('Pegar estudiantes'!$A$1:$BZ$1001,772,I$2)&amp;""),""))</f>
        <v/>
      </c>
      <c r="J773">
        <f>IF(J$2=0,"",IFERROR(TRIM(INDEX('Pegar estudiantes'!$A$1:$BZ$1001,772,J$2)&amp;""),""))</f>
        <v/>
      </c>
      <c r="K773">
        <f>IF(K$2=0,"",IFERROR(TRIM(INDEX('Pegar estudiantes'!$A$1:$BZ$1001,772,K$2)&amp;""),""))</f>
        <v/>
      </c>
      <c r="L773" s="25">
        <f>IF(A773&lt;&gt;"",1,"")</f>
        <v/>
      </c>
      <c r="M773" s="25">
        <f>IF(L773=1,IF(ISNUMBER(FIND("#"&amp;MID(A773,1,1)&amp;"#","#0#1#2#3#4#5#6#7#8#9#")),IF(ISNUMBER(FIND("#"&amp;MID(A773,2,1)&amp;"#","#0#1#2#3#4#5#6#7#8#9#")),IF(AND(VALUE(LEFT(A773,2))&gt;=1,VALUE(LEFT(A773,2))&lt;=5),VALUE(LEFT(A773,2)),""),IF(AND(VALUE(LEFT(A773,1))&gt;=1,VALUE(LEFT(A773,1))&lt;=5),VALUE(LEFT(A773,1)),"")),""),"")</f>
        <v/>
      </c>
      <c r="N773" s="25">
        <f>IF(L773=1,IF(ISNUMBER(FIND("#"&amp;MID(H773,1,1)&amp;"#","#0#1#2#3#4#5#6#7#8#9#")),IF(ISNUMBER(FIND("#"&amp;MID(H773,2,1)&amp;"#","#0#1#2#3#4#5#6#7#8#9#")),IF(AND(VALUE(LEFT(H773,2))&gt;=1,VALUE(LEFT(H773,2))&lt;=5),VALUE(LEFT(H773,2)),""),IF(AND(VALUE(LEFT(H773,1))&gt;=1,VALUE(LEFT(H773,1))&lt;=5),VALUE(LEFT(H773,1)),"")),""),"")</f>
        <v/>
      </c>
      <c r="O773" s="25">
        <f>IF(AND(L773=1,B773&lt;&gt;""),SUBSTITUTE(SUBSTITUTE(SUBSTITUTE(SUBSTITUTE(SUBSTITUTE(SUBSTITUTE(SUBSTITUTE(SUBSTITUTE(SUBSTITUTE(SUBSTITUTE(SUBSTITUTE(SUBSTITUTE(LOWER(TRIM(B773)),"á","a"),"é","e"),"í","i"),"ó","o"),"ú","u"),"ü","u"),"ñ","n"),"à","a"),"è","e"),"ì","i"),"ò","o"),"ù","u"),"")</f>
        <v/>
      </c>
      <c r="P773" s="25">
        <f>IF(AND(L773=1,C773&lt;&gt;""),SUBSTITUTE(SUBSTITUTE(SUBSTITUTE(SUBSTITUTE(SUBSTITUTE(SUBSTITUTE(SUBSTITUTE(SUBSTITUTE(SUBSTITUTE(SUBSTITUTE(SUBSTITUTE(SUBSTITUTE(LOWER(TRIM(C773)),"á","a"),"é","e"),"í","i"),"ó","o"),"ú","u"),"ü","u"),"ñ","n"),"à","a"),"è","e"),"ì","i"),"ò","o"),"ù","u"),"")</f>
        <v/>
      </c>
      <c r="Q773" s="25">
        <f>IF(AND(L773=1,E773&lt;&gt;""),SUBSTITUTE(SUBSTITUTE(SUBSTITUTE(SUBSTITUTE(SUBSTITUTE(SUBSTITUTE(SUBSTITUTE(SUBSTITUTE(SUBSTITUTE(SUBSTITUTE(SUBSTITUTE(SUBSTITUTE(LOWER(TRIM(E773)),"á","a"),"é","e"),"í","i"),"ó","o"),"ú","u"),"ü","u"),"ñ","n"),"à","a"),"è","e"),"ì","i"),"ò","o"),"ù","u"),"")</f>
        <v/>
      </c>
      <c r="R773" s="25">
        <f>IF(AND(L773=1,I773&lt;&gt;""),SUBSTITUTE(SUBSTITUTE(SUBSTITUTE(SUBSTITUTE(SUBSTITUTE(SUBSTITUTE(SUBSTITUTE(SUBSTITUTE(SUBSTITUTE(SUBSTITUTE(SUBSTITUTE(SUBSTITUTE(LOWER(TRIM(I773)),"á","a"),"é","e"),"í","i"),"ó","o"),"ú","u"),"ü","u"),"ñ","n"),"à","a"),"è","e"),"ì","i"),"ò","o"),"ù","u"),"")</f>
        <v/>
      </c>
      <c r="S773" s="25">
        <f>IF(R773="","",IF(OR(R773="si",R773="tal vez"),1,0))</f>
        <v/>
      </c>
      <c r="T773" s="25">
        <f>IF(AND(L773=1,D773&lt;&gt;""),IF(IFERROR(COUNTIFS(D$3:D773,"="&amp;SUBSTITUTE(SUBSTITUTE(SUBSTITUTE(D773,"~","~~"),"*","~*"),"?","~?"),L$3:L773,1),0)=1,MAX(T$2:T772)+1,""),"")</f>
        <v/>
      </c>
      <c r="U773" s="25">
        <f>IF(T773="","",COUNTIFS($D$3:$D$1002,"="&amp;SUBSTITUTE(SUBSTITUTE(SUBSTITUTE(D773,"~","~~"),"*","~*"),"?","~?"),$L$3:$L$1002,1)*10000-T773)</f>
        <v/>
      </c>
      <c r="V773" s="25">
        <f>IF(AND(L773=1,J773&lt;&gt;""),IF(IFERROR(COUNTIFS(J$3:J773,"="&amp;SUBSTITUTE(SUBSTITUTE(SUBSTITUTE(J773,"~","~~"),"*","~*"),"?","~?"),L$3:L773,1),0)=1,MAX(V$2:V772)+1,""),"")</f>
        <v/>
      </c>
      <c r="W773" s="25">
        <f>IF(V773="","",COUNTIFS($J$3:$J$1002,"="&amp;SUBSTITUTE(SUBSTITUTE(SUBSTITUTE(J773,"~","~~"),"*","~*"),"?","~?"),$L$3:$L$1002,1)*10000-V773)</f>
        <v/>
      </c>
    </row>
    <row r="774">
      <c r="A774">
        <f>IF(A$2=0,"",IFERROR(TRIM(INDEX('Pegar estudiantes'!$A$1:$BZ$1001,773,A$2)&amp;""),""))</f>
        <v/>
      </c>
      <c r="B774">
        <f>IF(B$2=0,"",IFERROR(TRIM(INDEX('Pegar estudiantes'!$A$1:$BZ$1001,773,B$2)&amp;""),""))</f>
        <v/>
      </c>
      <c r="C774">
        <f>IF(C$2=0,"",IFERROR(TRIM(INDEX('Pegar estudiantes'!$A$1:$BZ$1001,773,C$2)&amp;""),""))</f>
        <v/>
      </c>
      <c r="D774">
        <f>IF(D$2=0,"",IFERROR(TRIM(INDEX('Pegar estudiantes'!$A$1:$BZ$1001,773,D$2)&amp;""),""))</f>
        <v/>
      </c>
      <c r="E774">
        <f>IF(E$2=0,"",IFERROR(TRIM(INDEX('Pegar estudiantes'!$A$1:$BZ$1001,773,E$2)&amp;""),""))</f>
        <v/>
      </c>
      <c r="F774">
        <f>IF(F$2=0,"",IFERROR(TRIM(INDEX('Pegar estudiantes'!$A$1:$BZ$1001,773,F$2)&amp;""),""))</f>
        <v/>
      </c>
      <c r="G774">
        <f>IF(G$2=0,"",IFERROR(TRIM(INDEX('Pegar estudiantes'!$A$1:$BZ$1001,773,G$2)&amp;""),""))</f>
        <v/>
      </c>
      <c r="H774">
        <f>IF(H$2=0,"",IFERROR(TRIM(INDEX('Pegar estudiantes'!$A$1:$BZ$1001,773,H$2)&amp;""),""))</f>
        <v/>
      </c>
      <c r="I774">
        <f>IF(I$2=0,"",IFERROR(TRIM(INDEX('Pegar estudiantes'!$A$1:$BZ$1001,773,I$2)&amp;""),""))</f>
        <v/>
      </c>
      <c r="J774">
        <f>IF(J$2=0,"",IFERROR(TRIM(INDEX('Pegar estudiantes'!$A$1:$BZ$1001,773,J$2)&amp;""),""))</f>
        <v/>
      </c>
      <c r="K774">
        <f>IF(K$2=0,"",IFERROR(TRIM(INDEX('Pegar estudiantes'!$A$1:$BZ$1001,773,K$2)&amp;""),""))</f>
        <v/>
      </c>
      <c r="L774" s="25">
        <f>IF(A774&lt;&gt;"",1,"")</f>
        <v/>
      </c>
      <c r="M774" s="25">
        <f>IF(L774=1,IF(ISNUMBER(FIND("#"&amp;MID(A774,1,1)&amp;"#","#0#1#2#3#4#5#6#7#8#9#")),IF(ISNUMBER(FIND("#"&amp;MID(A774,2,1)&amp;"#","#0#1#2#3#4#5#6#7#8#9#")),IF(AND(VALUE(LEFT(A774,2))&gt;=1,VALUE(LEFT(A774,2))&lt;=5),VALUE(LEFT(A774,2)),""),IF(AND(VALUE(LEFT(A774,1))&gt;=1,VALUE(LEFT(A774,1))&lt;=5),VALUE(LEFT(A774,1)),"")),""),"")</f>
        <v/>
      </c>
      <c r="N774" s="25">
        <f>IF(L774=1,IF(ISNUMBER(FIND("#"&amp;MID(H774,1,1)&amp;"#","#0#1#2#3#4#5#6#7#8#9#")),IF(ISNUMBER(FIND("#"&amp;MID(H774,2,1)&amp;"#","#0#1#2#3#4#5#6#7#8#9#")),IF(AND(VALUE(LEFT(H774,2))&gt;=1,VALUE(LEFT(H774,2))&lt;=5),VALUE(LEFT(H774,2)),""),IF(AND(VALUE(LEFT(H774,1))&gt;=1,VALUE(LEFT(H774,1))&lt;=5),VALUE(LEFT(H774,1)),"")),""),"")</f>
        <v/>
      </c>
      <c r="O774" s="25">
        <f>IF(AND(L774=1,B774&lt;&gt;""),SUBSTITUTE(SUBSTITUTE(SUBSTITUTE(SUBSTITUTE(SUBSTITUTE(SUBSTITUTE(SUBSTITUTE(SUBSTITUTE(SUBSTITUTE(SUBSTITUTE(SUBSTITUTE(SUBSTITUTE(LOWER(TRIM(B774)),"á","a"),"é","e"),"í","i"),"ó","o"),"ú","u"),"ü","u"),"ñ","n"),"à","a"),"è","e"),"ì","i"),"ò","o"),"ù","u"),"")</f>
        <v/>
      </c>
      <c r="P774" s="25">
        <f>IF(AND(L774=1,C774&lt;&gt;""),SUBSTITUTE(SUBSTITUTE(SUBSTITUTE(SUBSTITUTE(SUBSTITUTE(SUBSTITUTE(SUBSTITUTE(SUBSTITUTE(SUBSTITUTE(SUBSTITUTE(SUBSTITUTE(SUBSTITUTE(LOWER(TRIM(C774)),"á","a"),"é","e"),"í","i"),"ó","o"),"ú","u"),"ü","u"),"ñ","n"),"à","a"),"è","e"),"ì","i"),"ò","o"),"ù","u"),"")</f>
        <v/>
      </c>
      <c r="Q774" s="25">
        <f>IF(AND(L774=1,E774&lt;&gt;""),SUBSTITUTE(SUBSTITUTE(SUBSTITUTE(SUBSTITUTE(SUBSTITUTE(SUBSTITUTE(SUBSTITUTE(SUBSTITUTE(SUBSTITUTE(SUBSTITUTE(SUBSTITUTE(SUBSTITUTE(LOWER(TRIM(E774)),"á","a"),"é","e"),"í","i"),"ó","o"),"ú","u"),"ü","u"),"ñ","n"),"à","a"),"è","e"),"ì","i"),"ò","o"),"ù","u"),"")</f>
        <v/>
      </c>
      <c r="R774" s="25">
        <f>IF(AND(L774=1,I774&lt;&gt;""),SUBSTITUTE(SUBSTITUTE(SUBSTITUTE(SUBSTITUTE(SUBSTITUTE(SUBSTITUTE(SUBSTITUTE(SUBSTITUTE(SUBSTITUTE(SUBSTITUTE(SUBSTITUTE(SUBSTITUTE(LOWER(TRIM(I774)),"á","a"),"é","e"),"í","i"),"ó","o"),"ú","u"),"ü","u"),"ñ","n"),"à","a"),"è","e"),"ì","i"),"ò","o"),"ù","u"),"")</f>
        <v/>
      </c>
      <c r="S774" s="25">
        <f>IF(R774="","",IF(OR(R774="si",R774="tal vez"),1,0))</f>
        <v/>
      </c>
      <c r="T774" s="25">
        <f>IF(AND(L774=1,D774&lt;&gt;""),IF(IFERROR(COUNTIFS(D$3:D774,"="&amp;SUBSTITUTE(SUBSTITUTE(SUBSTITUTE(D774,"~","~~"),"*","~*"),"?","~?"),L$3:L774,1),0)=1,MAX(T$2:T773)+1,""),"")</f>
        <v/>
      </c>
      <c r="U774" s="25">
        <f>IF(T774="","",COUNTIFS($D$3:$D$1002,"="&amp;SUBSTITUTE(SUBSTITUTE(SUBSTITUTE(D774,"~","~~"),"*","~*"),"?","~?"),$L$3:$L$1002,1)*10000-T774)</f>
        <v/>
      </c>
      <c r="V774" s="25">
        <f>IF(AND(L774=1,J774&lt;&gt;""),IF(IFERROR(COUNTIFS(J$3:J774,"="&amp;SUBSTITUTE(SUBSTITUTE(SUBSTITUTE(J774,"~","~~"),"*","~*"),"?","~?"),L$3:L774,1),0)=1,MAX(V$2:V773)+1,""),"")</f>
        <v/>
      </c>
      <c r="W774" s="25">
        <f>IF(V774="","",COUNTIFS($J$3:$J$1002,"="&amp;SUBSTITUTE(SUBSTITUTE(SUBSTITUTE(J774,"~","~~"),"*","~*"),"?","~?"),$L$3:$L$1002,1)*10000-V774)</f>
        <v/>
      </c>
    </row>
    <row r="775">
      <c r="A775">
        <f>IF(A$2=0,"",IFERROR(TRIM(INDEX('Pegar estudiantes'!$A$1:$BZ$1001,774,A$2)&amp;""),""))</f>
        <v/>
      </c>
      <c r="B775">
        <f>IF(B$2=0,"",IFERROR(TRIM(INDEX('Pegar estudiantes'!$A$1:$BZ$1001,774,B$2)&amp;""),""))</f>
        <v/>
      </c>
      <c r="C775">
        <f>IF(C$2=0,"",IFERROR(TRIM(INDEX('Pegar estudiantes'!$A$1:$BZ$1001,774,C$2)&amp;""),""))</f>
        <v/>
      </c>
      <c r="D775">
        <f>IF(D$2=0,"",IFERROR(TRIM(INDEX('Pegar estudiantes'!$A$1:$BZ$1001,774,D$2)&amp;""),""))</f>
        <v/>
      </c>
      <c r="E775">
        <f>IF(E$2=0,"",IFERROR(TRIM(INDEX('Pegar estudiantes'!$A$1:$BZ$1001,774,E$2)&amp;""),""))</f>
        <v/>
      </c>
      <c r="F775">
        <f>IF(F$2=0,"",IFERROR(TRIM(INDEX('Pegar estudiantes'!$A$1:$BZ$1001,774,F$2)&amp;""),""))</f>
        <v/>
      </c>
      <c r="G775">
        <f>IF(G$2=0,"",IFERROR(TRIM(INDEX('Pegar estudiantes'!$A$1:$BZ$1001,774,G$2)&amp;""),""))</f>
        <v/>
      </c>
      <c r="H775">
        <f>IF(H$2=0,"",IFERROR(TRIM(INDEX('Pegar estudiantes'!$A$1:$BZ$1001,774,H$2)&amp;""),""))</f>
        <v/>
      </c>
      <c r="I775">
        <f>IF(I$2=0,"",IFERROR(TRIM(INDEX('Pegar estudiantes'!$A$1:$BZ$1001,774,I$2)&amp;""),""))</f>
        <v/>
      </c>
      <c r="J775">
        <f>IF(J$2=0,"",IFERROR(TRIM(INDEX('Pegar estudiantes'!$A$1:$BZ$1001,774,J$2)&amp;""),""))</f>
        <v/>
      </c>
      <c r="K775">
        <f>IF(K$2=0,"",IFERROR(TRIM(INDEX('Pegar estudiantes'!$A$1:$BZ$1001,774,K$2)&amp;""),""))</f>
        <v/>
      </c>
      <c r="L775" s="25">
        <f>IF(A775&lt;&gt;"",1,"")</f>
        <v/>
      </c>
      <c r="M775" s="25">
        <f>IF(L775=1,IF(ISNUMBER(FIND("#"&amp;MID(A775,1,1)&amp;"#","#0#1#2#3#4#5#6#7#8#9#")),IF(ISNUMBER(FIND("#"&amp;MID(A775,2,1)&amp;"#","#0#1#2#3#4#5#6#7#8#9#")),IF(AND(VALUE(LEFT(A775,2))&gt;=1,VALUE(LEFT(A775,2))&lt;=5),VALUE(LEFT(A775,2)),""),IF(AND(VALUE(LEFT(A775,1))&gt;=1,VALUE(LEFT(A775,1))&lt;=5),VALUE(LEFT(A775,1)),"")),""),"")</f>
        <v/>
      </c>
      <c r="N775" s="25">
        <f>IF(L775=1,IF(ISNUMBER(FIND("#"&amp;MID(H775,1,1)&amp;"#","#0#1#2#3#4#5#6#7#8#9#")),IF(ISNUMBER(FIND("#"&amp;MID(H775,2,1)&amp;"#","#0#1#2#3#4#5#6#7#8#9#")),IF(AND(VALUE(LEFT(H775,2))&gt;=1,VALUE(LEFT(H775,2))&lt;=5),VALUE(LEFT(H775,2)),""),IF(AND(VALUE(LEFT(H775,1))&gt;=1,VALUE(LEFT(H775,1))&lt;=5),VALUE(LEFT(H775,1)),"")),""),"")</f>
        <v/>
      </c>
      <c r="O775" s="25">
        <f>IF(AND(L775=1,B775&lt;&gt;""),SUBSTITUTE(SUBSTITUTE(SUBSTITUTE(SUBSTITUTE(SUBSTITUTE(SUBSTITUTE(SUBSTITUTE(SUBSTITUTE(SUBSTITUTE(SUBSTITUTE(SUBSTITUTE(SUBSTITUTE(LOWER(TRIM(B775)),"á","a"),"é","e"),"í","i"),"ó","o"),"ú","u"),"ü","u"),"ñ","n"),"à","a"),"è","e"),"ì","i"),"ò","o"),"ù","u"),"")</f>
        <v/>
      </c>
      <c r="P775" s="25">
        <f>IF(AND(L775=1,C775&lt;&gt;""),SUBSTITUTE(SUBSTITUTE(SUBSTITUTE(SUBSTITUTE(SUBSTITUTE(SUBSTITUTE(SUBSTITUTE(SUBSTITUTE(SUBSTITUTE(SUBSTITUTE(SUBSTITUTE(SUBSTITUTE(LOWER(TRIM(C775)),"á","a"),"é","e"),"í","i"),"ó","o"),"ú","u"),"ü","u"),"ñ","n"),"à","a"),"è","e"),"ì","i"),"ò","o"),"ù","u"),"")</f>
        <v/>
      </c>
      <c r="Q775" s="25">
        <f>IF(AND(L775=1,E775&lt;&gt;""),SUBSTITUTE(SUBSTITUTE(SUBSTITUTE(SUBSTITUTE(SUBSTITUTE(SUBSTITUTE(SUBSTITUTE(SUBSTITUTE(SUBSTITUTE(SUBSTITUTE(SUBSTITUTE(SUBSTITUTE(LOWER(TRIM(E775)),"á","a"),"é","e"),"í","i"),"ó","o"),"ú","u"),"ü","u"),"ñ","n"),"à","a"),"è","e"),"ì","i"),"ò","o"),"ù","u"),"")</f>
        <v/>
      </c>
      <c r="R775" s="25">
        <f>IF(AND(L775=1,I775&lt;&gt;""),SUBSTITUTE(SUBSTITUTE(SUBSTITUTE(SUBSTITUTE(SUBSTITUTE(SUBSTITUTE(SUBSTITUTE(SUBSTITUTE(SUBSTITUTE(SUBSTITUTE(SUBSTITUTE(SUBSTITUTE(LOWER(TRIM(I775)),"á","a"),"é","e"),"í","i"),"ó","o"),"ú","u"),"ü","u"),"ñ","n"),"à","a"),"è","e"),"ì","i"),"ò","o"),"ù","u"),"")</f>
        <v/>
      </c>
      <c r="S775" s="25">
        <f>IF(R775="","",IF(OR(R775="si",R775="tal vez"),1,0))</f>
        <v/>
      </c>
      <c r="T775" s="25">
        <f>IF(AND(L775=1,D775&lt;&gt;""),IF(IFERROR(COUNTIFS(D$3:D775,"="&amp;SUBSTITUTE(SUBSTITUTE(SUBSTITUTE(D775,"~","~~"),"*","~*"),"?","~?"),L$3:L775,1),0)=1,MAX(T$2:T774)+1,""),"")</f>
        <v/>
      </c>
      <c r="U775" s="25">
        <f>IF(T775="","",COUNTIFS($D$3:$D$1002,"="&amp;SUBSTITUTE(SUBSTITUTE(SUBSTITUTE(D775,"~","~~"),"*","~*"),"?","~?"),$L$3:$L$1002,1)*10000-T775)</f>
        <v/>
      </c>
      <c r="V775" s="25">
        <f>IF(AND(L775=1,J775&lt;&gt;""),IF(IFERROR(COUNTIFS(J$3:J775,"="&amp;SUBSTITUTE(SUBSTITUTE(SUBSTITUTE(J775,"~","~~"),"*","~*"),"?","~?"),L$3:L775,1),0)=1,MAX(V$2:V774)+1,""),"")</f>
        <v/>
      </c>
      <c r="W775" s="25">
        <f>IF(V775="","",COUNTIFS($J$3:$J$1002,"="&amp;SUBSTITUTE(SUBSTITUTE(SUBSTITUTE(J775,"~","~~"),"*","~*"),"?","~?"),$L$3:$L$1002,1)*10000-V775)</f>
        <v/>
      </c>
    </row>
    <row r="776">
      <c r="A776">
        <f>IF(A$2=0,"",IFERROR(TRIM(INDEX('Pegar estudiantes'!$A$1:$BZ$1001,775,A$2)&amp;""),""))</f>
        <v/>
      </c>
      <c r="B776">
        <f>IF(B$2=0,"",IFERROR(TRIM(INDEX('Pegar estudiantes'!$A$1:$BZ$1001,775,B$2)&amp;""),""))</f>
        <v/>
      </c>
      <c r="C776">
        <f>IF(C$2=0,"",IFERROR(TRIM(INDEX('Pegar estudiantes'!$A$1:$BZ$1001,775,C$2)&amp;""),""))</f>
        <v/>
      </c>
      <c r="D776">
        <f>IF(D$2=0,"",IFERROR(TRIM(INDEX('Pegar estudiantes'!$A$1:$BZ$1001,775,D$2)&amp;""),""))</f>
        <v/>
      </c>
      <c r="E776">
        <f>IF(E$2=0,"",IFERROR(TRIM(INDEX('Pegar estudiantes'!$A$1:$BZ$1001,775,E$2)&amp;""),""))</f>
        <v/>
      </c>
      <c r="F776">
        <f>IF(F$2=0,"",IFERROR(TRIM(INDEX('Pegar estudiantes'!$A$1:$BZ$1001,775,F$2)&amp;""),""))</f>
        <v/>
      </c>
      <c r="G776">
        <f>IF(G$2=0,"",IFERROR(TRIM(INDEX('Pegar estudiantes'!$A$1:$BZ$1001,775,G$2)&amp;""),""))</f>
        <v/>
      </c>
      <c r="H776">
        <f>IF(H$2=0,"",IFERROR(TRIM(INDEX('Pegar estudiantes'!$A$1:$BZ$1001,775,H$2)&amp;""),""))</f>
        <v/>
      </c>
      <c r="I776">
        <f>IF(I$2=0,"",IFERROR(TRIM(INDEX('Pegar estudiantes'!$A$1:$BZ$1001,775,I$2)&amp;""),""))</f>
        <v/>
      </c>
      <c r="J776">
        <f>IF(J$2=0,"",IFERROR(TRIM(INDEX('Pegar estudiantes'!$A$1:$BZ$1001,775,J$2)&amp;""),""))</f>
        <v/>
      </c>
      <c r="K776">
        <f>IF(K$2=0,"",IFERROR(TRIM(INDEX('Pegar estudiantes'!$A$1:$BZ$1001,775,K$2)&amp;""),""))</f>
        <v/>
      </c>
      <c r="L776" s="25">
        <f>IF(A776&lt;&gt;"",1,"")</f>
        <v/>
      </c>
      <c r="M776" s="25">
        <f>IF(L776=1,IF(ISNUMBER(FIND("#"&amp;MID(A776,1,1)&amp;"#","#0#1#2#3#4#5#6#7#8#9#")),IF(ISNUMBER(FIND("#"&amp;MID(A776,2,1)&amp;"#","#0#1#2#3#4#5#6#7#8#9#")),IF(AND(VALUE(LEFT(A776,2))&gt;=1,VALUE(LEFT(A776,2))&lt;=5),VALUE(LEFT(A776,2)),""),IF(AND(VALUE(LEFT(A776,1))&gt;=1,VALUE(LEFT(A776,1))&lt;=5),VALUE(LEFT(A776,1)),"")),""),"")</f>
        <v/>
      </c>
      <c r="N776" s="25">
        <f>IF(L776=1,IF(ISNUMBER(FIND("#"&amp;MID(H776,1,1)&amp;"#","#0#1#2#3#4#5#6#7#8#9#")),IF(ISNUMBER(FIND("#"&amp;MID(H776,2,1)&amp;"#","#0#1#2#3#4#5#6#7#8#9#")),IF(AND(VALUE(LEFT(H776,2))&gt;=1,VALUE(LEFT(H776,2))&lt;=5),VALUE(LEFT(H776,2)),""),IF(AND(VALUE(LEFT(H776,1))&gt;=1,VALUE(LEFT(H776,1))&lt;=5),VALUE(LEFT(H776,1)),"")),""),"")</f>
        <v/>
      </c>
      <c r="O776" s="25">
        <f>IF(AND(L776=1,B776&lt;&gt;""),SUBSTITUTE(SUBSTITUTE(SUBSTITUTE(SUBSTITUTE(SUBSTITUTE(SUBSTITUTE(SUBSTITUTE(SUBSTITUTE(SUBSTITUTE(SUBSTITUTE(SUBSTITUTE(SUBSTITUTE(LOWER(TRIM(B776)),"á","a"),"é","e"),"í","i"),"ó","o"),"ú","u"),"ü","u"),"ñ","n"),"à","a"),"è","e"),"ì","i"),"ò","o"),"ù","u"),"")</f>
        <v/>
      </c>
      <c r="P776" s="25">
        <f>IF(AND(L776=1,C776&lt;&gt;""),SUBSTITUTE(SUBSTITUTE(SUBSTITUTE(SUBSTITUTE(SUBSTITUTE(SUBSTITUTE(SUBSTITUTE(SUBSTITUTE(SUBSTITUTE(SUBSTITUTE(SUBSTITUTE(SUBSTITUTE(LOWER(TRIM(C776)),"á","a"),"é","e"),"í","i"),"ó","o"),"ú","u"),"ü","u"),"ñ","n"),"à","a"),"è","e"),"ì","i"),"ò","o"),"ù","u"),"")</f>
        <v/>
      </c>
      <c r="Q776" s="25">
        <f>IF(AND(L776=1,E776&lt;&gt;""),SUBSTITUTE(SUBSTITUTE(SUBSTITUTE(SUBSTITUTE(SUBSTITUTE(SUBSTITUTE(SUBSTITUTE(SUBSTITUTE(SUBSTITUTE(SUBSTITUTE(SUBSTITUTE(SUBSTITUTE(LOWER(TRIM(E776)),"á","a"),"é","e"),"í","i"),"ó","o"),"ú","u"),"ü","u"),"ñ","n"),"à","a"),"è","e"),"ì","i"),"ò","o"),"ù","u"),"")</f>
        <v/>
      </c>
      <c r="R776" s="25">
        <f>IF(AND(L776=1,I776&lt;&gt;""),SUBSTITUTE(SUBSTITUTE(SUBSTITUTE(SUBSTITUTE(SUBSTITUTE(SUBSTITUTE(SUBSTITUTE(SUBSTITUTE(SUBSTITUTE(SUBSTITUTE(SUBSTITUTE(SUBSTITUTE(LOWER(TRIM(I776)),"á","a"),"é","e"),"í","i"),"ó","o"),"ú","u"),"ü","u"),"ñ","n"),"à","a"),"è","e"),"ì","i"),"ò","o"),"ù","u"),"")</f>
        <v/>
      </c>
      <c r="S776" s="25">
        <f>IF(R776="","",IF(OR(R776="si",R776="tal vez"),1,0))</f>
        <v/>
      </c>
      <c r="T776" s="25">
        <f>IF(AND(L776=1,D776&lt;&gt;""),IF(IFERROR(COUNTIFS(D$3:D776,"="&amp;SUBSTITUTE(SUBSTITUTE(SUBSTITUTE(D776,"~","~~"),"*","~*"),"?","~?"),L$3:L776,1),0)=1,MAX(T$2:T775)+1,""),"")</f>
        <v/>
      </c>
      <c r="U776" s="25">
        <f>IF(T776="","",COUNTIFS($D$3:$D$1002,"="&amp;SUBSTITUTE(SUBSTITUTE(SUBSTITUTE(D776,"~","~~"),"*","~*"),"?","~?"),$L$3:$L$1002,1)*10000-T776)</f>
        <v/>
      </c>
      <c r="V776" s="25">
        <f>IF(AND(L776=1,J776&lt;&gt;""),IF(IFERROR(COUNTIFS(J$3:J776,"="&amp;SUBSTITUTE(SUBSTITUTE(SUBSTITUTE(J776,"~","~~"),"*","~*"),"?","~?"),L$3:L776,1),0)=1,MAX(V$2:V775)+1,""),"")</f>
        <v/>
      </c>
      <c r="W776" s="25">
        <f>IF(V776="","",COUNTIFS($J$3:$J$1002,"="&amp;SUBSTITUTE(SUBSTITUTE(SUBSTITUTE(J776,"~","~~"),"*","~*"),"?","~?"),$L$3:$L$1002,1)*10000-V776)</f>
        <v/>
      </c>
    </row>
    <row r="777">
      <c r="A777">
        <f>IF(A$2=0,"",IFERROR(TRIM(INDEX('Pegar estudiantes'!$A$1:$BZ$1001,776,A$2)&amp;""),""))</f>
        <v/>
      </c>
      <c r="B777">
        <f>IF(B$2=0,"",IFERROR(TRIM(INDEX('Pegar estudiantes'!$A$1:$BZ$1001,776,B$2)&amp;""),""))</f>
        <v/>
      </c>
      <c r="C777">
        <f>IF(C$2=0,"",IFERROR(TRIM(INDEX('Pegar estudiantes'!$A$1:$BZ$1001,776,C$2)&amp;""),""))</f>
        <v/>
      </c>
      <c r="D777">
        <f>IF(D$2=0,"",IFERROR(TRIM(INDEX('Pegar estudiantes'!$A$1:$BZ$1001,776,D$2)&amp;""),""))</f>
        <v/>
      </c>
      <c r="E777">
        <f>IF(E$2=0,"",IFERROR(TRIM(INDEX('Pegar estudiantes'!$A$1:$BZ$1001,776,E$2)&amp;""),""))</f>
        <v/>
      </c>
      <c r="F777">
        <f>IF(F$2=0,"",IFERROR(TRIM(INDEX('Pegar estudiantes'!$A$1:$BZ$1001,776,F$2)&amp;""),""))</f>
        <v/>
      </c>
      <c r="G777">
        <f>IF(G$2=0,"",IFERROR(TRIM(INDEX('Pegar estudiantes'!$A$1:$BZ$1001,776,G$2)&amp;""),""))</f>
        <v/>
      </c>
      <c r="H777">
        <f>IF(H$2=0,"",IFERROR(TRIM(INDEX('Pegar estudiantes'!$A$1:$BZ$1001,776,H$2)&amp;""),""))</f>
        <v/>
      </c>
      <c r="I777">
        <f>IF(I$2=0,"",IFERROR(TRIM(INDEX('Pegar estudiantes'!$A$1:$BZ$1001,776,I$2)&amp;""),""))</f>
        <v/>
      </c>
      <c r="J777">
        <f>IF(J$2=0,"",IFERROR(TRIM(INDEX('Pegar estudiantes'!$A$1:$BZ$1001,776,J$2)&amp;""),""))</f>
        <v/>
      </c>
      <c r="K777">
        <f>IF(K$2=0,"",IFERROR(TRIM(INDEX('Pegar estudiantes'!$A$1:$BZ$1001,776,K$2)&amp;""),""))</f>
        <v/>
      </c>
      <c r="L777" s="25">
        <f>IF(A777&lt;&gt;"",1,"")</f>
        <v/>
      </c>
      <c r="M777" s="25">
        <f>IF(L777=1,IF(ISNUMBER(FIND("#"&amp;MID(A777,1,1)&amp;"#","#0#1#2#3#4#5#6#7#8#9#")),IF(ISNUMBER(FIND("#"&amp;MID(A777,2,1)&amp;"#","#0#1#2#3#4#5#6#7#8#9#")),IF(AND(VALUE(LEFT(A777,2))&gt;=1,VALUE(LEFT(A777,2))&lt;=5),VALUE(LEFT(A777,2)),""),IF(AND(VALUE(LEFT(A777,1))&gt;=1,VALUE(LEFT(A777,1))&lt;=5),VALUE(LEFT(A777,1)),"")),""),"")</f>
        <v/>
      </c>
      <c r="N777" s="25">
        <f>IF(L777=1,IF(ISNUMBER(FIND("#"&amp;MID(H777,1,1)&amp;"#","#0#1#2#3#4#5#6#7#8#9#")),IF(ISNUMBER(FIND("#"&amp;MID(H777,2,1)&amp;"#","#0#1#2#3#4#5#6#7#8#9#")),IF(AND(VALUE(LEFT(H777,2))&gt;=1,VALUE(LEFT(H777,2))&lt;=5),VALUE(LEFT(H777,2)),""),IF(AND(VALUE(LEFT(H777,1))&gt;=1,VALUE(LEFT(H777,1))&lt;=5),VALUE(LEFT(H777,1)),"")),""),"")</f>
        <v/>
      </c>
      <c r="O777" s="25">
        <f>IF(AND(L777=1,B777&lt;&gt;""),SUBSTITUTE(SUBSTITUTE(SUBSTITUTE(SUBSTITUTE(SUBSTITUTE(SUBSTITUTE(SUBSTITUTE(SUBSTITUTE(SUBSTITUTE(SUBSTITUTE(SUBSTITUTE(SUBSTITUTE(LOWER(TRIM(B777)),"á","a"),"é","e"),"í","i"),"ó","o"),"ú","u"),"ü","u"),"ñ","n"),"à","a"),"è","e"),"ì","i"),"ò","o"),"ù","u"),"")</f>
        <v/>
      </c>
      <c r="P777" s="25">
        <f>IF(AND(L777=1,C777&lt;&gt;""),SUBSTITUTE(SUBSTITUTE(SUBSTITUTE(SUBSTITUTE(SUBSTITUTE(SUBSTITUTE(SUBSTITUTE(SUBSTITUTE(SUBSTITUTE(SUBSTITUTE(SUBSTITUTE(SUBSTITUTE(LOWER(TRIM(C777)),"á","a"),"é","e"),"í","i"),"ó","o"),"ú","u"),"ü","u"),"ñ","n"),"à","a"),"è","e"),"ì","i"),"ò","o"),"ù","u"),"")</f>
        <v/>
      </c>
      <c r="Q777" s="25">
        <f>IF(AND(L777=1,E777&lt;&gt;""),SUBSTITUTE(SUBSTITUTE(SUBSTITUTE(SUBSTITUTE(SUBSTITUTE(SUBSTITUTE(SUBSTITUTE(SUBSTITUTE(SUBSTITUTE(SUBSTITUTE(SUBSTITUTE(SUBSTITUTE(LOWER(TRIM(E777)),"á","a"),"é","e"),"í","i"),"ó","o"),"ú","u"),"ü","u"),"ñ","n"),"à","a"),"è","e"),"ì","i"),"ò","o"),"ù","u"),"")</f>
        <v/>
      </c>
      <c r="R777" s="25">
        <f>IF(AND(L777=1,I777&lt;&gt;""),SUBSTITUTE(SUBSTITUTE(SUBSTITUTE(SUBSTITUTE(SUBSTITUTE(SUBSTITUTE(SUBSTITUTE(SUBSTITUTE(SUBSTITUTE(SUBSTITUTE(SUBSTITUTE(SUBSTITUTE(LOWER(TRIM(I777)),"á","a"),"é","e"),"í","i"),"ó","o"),"ú","u"),"ü","u"),"ñ","n"),"à","a"),"è","e"),"ì","i"),"ò","o"),"ù","u"),"")</f>
        <v/>
      </c>
      <c r="S777" s="25">
        <f>IF(R777="","",IF(OR(R777="si",R777="tal vez"),1,0))</f>
        <v/>
      </c>
      <c r="T777" s="25">
        <f>IF(AND(L777=1,D777&lt;&gt;""),IF(IFERROR(COUNTIFS(D$3:D777,"="&amp;SUBSTITUTE(SUBSTITUTE(SUBSTITUTE(D777,"~","~~"),"*","~*"),"?","~?"),L$3:L777,1),0)=1,MAX(T$2:T776)+1,""),"")</f>
        <v/>
      </c>
      <c r="U777" s="25">
        <f>IF(T777="","",COUNTIFS($D$3:$D$1002,"="&amp;SUBSTITUTE(SUBSTITUTE(SUBSTITUTE(D777,"~","~~"),"*","~*"),"?","~?"),$L$3:$L$1002,1)*10000-T777)</f>
        <v/>
      </c>
      <c r="V777" s="25">
        <f>IF(AND(L777=1,J777&lt;&gt;""),IF(IFERROR(COUNTIFS(J$3:J777,"="&amp;SUBSTITUTE(SUBSTITUTE(SUBSTITUTE(J777,"~","~~"),"*","~*"),"?","~?"),L$3:L777,1),0)=1,MAX(V$2:V776)+1,""),"")</f>
        <v/>
      </c>
      <c r="W777" s="25">
        <f>IF(V777="","",COUNTIFS($J$3:$J$1002,"="&amp;SUBSTITUTE(SUBSTITUTE(SUBSTITUTE(J777,"~","~~"),"*","~*"),"?","~?"),$L$3:$L$1002,1)*10000-V777)</f>
        <v/>
      </c>
    </row>
    <row r="778">
      <c r="A778">
        <f>IF(A$2=0,"",IFERROR(TRIM(INDEX('Pegar estudiantes'!$A$1:$BZ$1001,777,A$2)&amp;""),""))</f>
        <v/>
      </c>
      <c r="B778">
        <f>IF(B$2=0,"",IFERROR(TRIM(INDEX('Pegar estudiantes'!$A$1:$BZ$1001,777,B$2)&amp;""),""))</f>
        <v/>
      </c>
      <c r="C778">
        <f>IF(C$2=0,"",IFERROR(TRIM(INDEX('Pegar estudiantes'!$A$1:$BZ$1001,777,C$2)&amp;""),""))</f>
        <v/>
      </c>
      <c r="D778">
        <f>IF(D$2=0,"",IFERROR(TRIM(INDEX('Pegar estudiantes'!$A$1:$BZ$1001,777,D$2)&amp;""),""))</f>
        <v/>
      </c>
      <c r="E778">
        <f>IF(E$2=0,"",IFERROR(TRIM(INDEX('Pegar estudiantes'!$A$1:$BZ$1001,777,E$2)&amp;""),""))</f>
        <v/>
      </c>
      <c r="F778">
        <f>IF(F$2=0,"",IFERROR(TRIM(INDEX('Pegar estudiantes'!$A$1:$BZ$1001,777,F$2)&amp;""),""))</f>
        <v/>
      </c>
      <c r="G778">
        <f>IF(G$2=0,"",IFERROR(TRIM(INDEX('Pegar estudiantes'!$A$1:$BZ$1001,777,G$2)&amp;""),""))</f>
        <v/>
      </c>
      <c r="H778">
        <f>IF(H$2=0,"",IFERROR(TRIM(INDEX('Pegar estudiantes'!$A$1:$BZ$1001,777,H$2)&amp;""),""))</f>
        <v/>
      </c>
      <c r="I778">
        <f>IF(I$2=0,"",IFERROR(TRIM(INDEX('Pegar estudiantes'!$A$1:$BZ$1001,777,I$2)&amp;""),""))</f>
        <v/>
      </c>
      <c r="J778">
        <f>IF(J$2=0,"",IFERROR(TRIM(INDEX('Pegar estudiantes'!$A$1:$BZ$1001,777,J$2)&amp;""),""))</f>
        <v/>
      </c>
      <c r="K778">
        <f>IF(K$2=0,"",IFERROR(TRIM(INDEX('Pegar estudiantes'!$A$1:$BZ$1001,777,K$2)&amp;""),""))</f>
        <v/>
      </c>
      <c r="L778" s="25">
        <f>IF(A778&lt;&gt;"",1,"")</f>
        <v/>
      </c>
      <c r="M778" s="25">
        <f>IF(L778=1,IF(ISNUMBER(FIND("#"&amp;MID(A778,1,1)&amp;"#","#0#1#2#3#4#5#6#7#8#9#")),IF(ISNUMBER(FIND("#"&amp;MID(A778,2,1)&amp;"#","#0#1#2#3#4#5#6#7#8#9#")),IF(AND(VALUE(LEFT(A778,2))&gt;=1,VALUE(LEFT(A778,2))&lt;=5),VALUE(LEFT(A778,2)),""),IF(AND(VALUE(LEFT(A778,1))&gt;=1,VALUE(LEFT(A778,1))&lt;=5),VALUE(LEFT(A778,1)),"")),""),"")</f>
        <v/>
      </c>
      <c r="N778" s="25">
        <f>IF(L778=1,IF(ISNUMBER(FIND("#"&amp;MID(H778,1,1)&amp;"#","#0#1#2#3#4#5#6#7#8#9#")),IF(ISNUMBER(FIND("#"&amp;MID(H778,2,1)&amp;"#","#0#1#2#3#4#5#6#7#8#9#")),IF(AND(VALUE(LEFT(H778,2))&gt;=1,VALUE(LEFT(H778,2))&lt;=5),VALUE(LEFT(H778,2)),""),IF(AND(VALUE(LEFT(H778,1))&gt;=1,VALUE(LEFT(H778,1))&lt;=5),VALUE(LEFT(H778,1)),"")),""),"")</f>
        <v/>
      </c>
      <c r="O778" s="25">
        <f>IF(AND(L778=1,B778&lt;&gt;""),SUBSTITUTE(SUBSTITUTE(SUBSTITUTE(SUBSTITUTE(SUBSTITUTE(SUBSTITUTE(SUBSTITUTE(SUBSTITUTE(SUBSTITUTE(SUBSTITUTE(SUBSTITUTE(SUBSTITUTE(LOWER(TRIM(B778)),"á","a"),"é","e"),"í","i"),"ó","o"),"ú","u"),"ü","u"),"ñ","n"),"à","a"),"è","e"),"ì","i"),"ò","o"),"ù","u"),"")</f>
        <v/>
      </c>
      <c r="P778" s="25">
        <f>IF(AND(L778=1,C778&lt;&gt;""),SUBSTITUTE(SUBSTITUTE(SUBSTITUTE(SUBSTITUTE(SUBSTITUTE(SUBSTITUTE(SUBSTITUTE(SUBSTITUTE(SUBSTITUTE(SUBSTITUTE(SUBSTITUTE(SUBSTITUTE(LOWER(TRIM(C778)),"á","a"),"é","e"),"í","i"),"ó","o"),"ú","u"),"ü","u"),"ñ","n"),"à","a"),"è","e"),"ì","i"),"ò","o"),"ù","u"),"")</f>
        <v/>
      </c>
      <c r="Q778" s="25">
        <f>IF(AND(L778=1,E778&lt;&gt;""),SUBSTITUTE(SUBSTITUTE(SUBSTITUTE(SUBSTITUTE(SUBSTITUTE(SUBSTITUTE(SUBSTITUTE(SUBSTITUTE(SUBSTITUTE(SUBSTITUTE(SUBSTITUTE(SUBSTITUTE(LOWER(TRIM(E778)),"á","a"),"é","e"),"í","i"),"ó","o"),"ú","u"),"ü","u"),"ñ","n"),"à","a"),"è","e"),"ì","i"),"ò","o"),"ù","u"),"")</f>
        <v/>
      </c>
      <c r="R778" s="25">
        <f>IF(AND(L778=1,I778&lt;&gt;""),SUBSTITUTE(SUBSTITUTE(SUBSTITUTE(SUBSTITUTE(SUBSTITUTE(SUBSTITUTE(SUBSTITUTE(SUBSTITUTE(SUBSTITUTE(SUBSTITUTE(SUBSTITUTE(SUBSTITUTE(LOWER(TRIM(I778)),"á","a"),"é","e"),"í","i"),"ó","o"),"ú","u"),"ü","u"),"ñ","n"),"à","a"),"è","e"),"ì","i"),"ò","o"),"ù","u"),"")</f>
        <v/>
      </c>
      <c r="S778" s="25">
        <f>IF(R778="","",IF(OR(R778="si",R778="tal vez"),1,0))</f>
        <v/>
      </c>
      <c r="T778" s="25">
        <f>IF(AND(L778=1,D778&lt;&gt;""),IF(IFERROR(COUNTIFS(D$3:D778,"="&amp;SUBSTITUTE(SUBSTITUTE(SUBSTITUTE(D778,"~","~~"),"*","~*"),"?","~?"),L$3:L778,1),0)=1,MAX(T$2:T777)+1,""),"")</f>
        <v/>
      </c>
      <c r="U778" s="25">
        <f>IF(T778="","",COUNTIFS($D$3:$D$1002,"="&amp;SUBSTITUTE(SUBSTITUTE(SUBSTITUTE(D778,"~","~~"),"*","~*"),"?","~?"),$L$3:$L$1002,1)*10000-T778)</f>
        <v/>
      </c>
      <c r="V778" s="25">
        <f>IF(AND(L778=1,J778&lt;&gt;""),IF(IFERROR(COUNTIFS(J$3:J778,"="&amp;SUBSTITUTE(SUBSTITUTE(SUBSTITUTE(J778,"~","~~"),"*","~*"),"?","~?"),L$3:L778,1),0)=1,MAX(V$2:V777)+1,""),"")</f>
        <v/>
      </c>
      <c r="W778" s="25">
        <f>IF(V778="","",COUNTIFS($J$3:$J$1002,"="&amp;SUBSTITUTE(SUBSTITUTE(SUBSTITUTE(J778,"~","~~"),"*","~*"),"?","~?"),$L$3:$L$1002,1)*10000-V778)</f>
        <v/>
      </c>
    </row>
    <row r="779">
      <c r="A779">
        <f>IF(A$2=0,"",IFERROR(TRIM(INDEX('Pegar estudiantes'!$A$1:$BZ$1001,778,A$2)&amp;""),""))</f>
        <v/>
      </c>
      <c r="B779">
        <f>IF(B$2=0,"",IFERROR(TRIM(INDEX('Pegar estudiantes'!$A$1:$BZ$1001,778,B$2)&amp;""),""))</f>
        <v/>
      </c>
      <c r="C779">
        <f>IF(C$2=0,"",IFERROR(TRIM(INDEX('Pegar estudiantes'!$A$1:$BZ$1001,778,C$2)&amp;""),""))</f>
        <v/>
      </c>
      <c r="D779">
        <f>IF(D$2=0,"",IFERROR(TRIM(INDEX('Pegar estudiantes'!$A$1:$BZ$1001,778,D$2)&amp;""),""))</f>
        <v/>
      </c>
      <c r="E779">
        <f>IF(E$2=0,"",IFERROR(TRIM(INDEX('Pegar estudiantes'!$A$1:$BZ$1001,778,E$2)&amp;""),""))</f>
        <v/>
      </c>
      <c r="F779">
        <f>IF(F$2=0,"",IFERROR(TRIM(INDEX('Pegar estudiantes'!$A$1:$BZ$1001,778,F$2)&amp;""),""))</f>
        <v/>
      </c>
      <c r="G779">
        <f>IF(G$2=0,"",IFERROR(TRIM(INDEX('Pegar estudiantes'!$A$1:$BZ$1001,778,G$2)&amp;""),""))</f>
        <v/>
      </c>
      <c r="H779">
        <f>IF(H$2=0,"",IFERROR(TRIM(INDEX('Pegar estudiantes'!$A$1:$BZ$1001,778,H$2)&amp;""),""))</f>
        <v/>
      </c>
      <c r="I779">
        <f>IF(I$2=0,"",IFERROR(TRIM(INDEX('Pegar estudiantes'!$A$1:$BZ$1001,778,I$2)&amp;""),""))</f>
        <v/>
      </c>
      <c r="J779">
        <f>IF(J$2=0,"",IFERROR(TRIM(INDEX('Pegar estudiantes'!$A$1:$BZ$1001,778,J$2)&amp;""),""))</f>
        <v/>
      </c>
      <c r="K779">
        <f>IF(K$2=0,"",IFERROR(TRIM(INDEX('Pegar estudiantes'!$A$1:$BZ$1001,778,K$2)&amp;""),""))</f>
        <v/>
      </c>
      <c r="L779" s="25">
        <f>IF(A779&lt;&gt;"",1,"")</f>
        <v/>
      </c>
      <c r="M779" s="25">
        <f>IF(L779=1,IF(ISNUMBER(FIND("#"&amp;MID(A779,1,1)&amp;"#","#0#1#2#3#4#5#6#7#8#9#")),IF(ISNUMBER(FIND("#"&amp;MID(A779,2,1)&amp;"#","#0#1#2#3#4#5#6#7#8#9#")),IF(AND(VALUE(LEFT(A779,2))&gt;=1,VALUE(LEFT(A779,2))&lt;=5),VALUE(LEFT(A779,2)),""),IF(AND(VALUE(LEFT(A779,1))&gt;=1,VALUE(LEFT(A779,1))&lt;=5),VALUE(LEFT(A779,1)),"")),""),"")</f>
        <v/>
      </c>
      <c r="N779" s="25">
        <f>IF(L779=1,IF(ISNUMBER(FIND("#"&amp;MID(H779,1,1)&amp;"#","#0#1#2#3#4#5#6#7#8#9#")),IF(ISNUMBER(FIND("#"&amp;MID(H779,2,1)&amp;"#","#0#1#2#3#4#5#6#7#8#9#")),IF(AND(VALUE(LEFT(H779,2))&gt;=1,VALUE(LEFT(H779,2))&lt;=5),VALUE(LEFT(H779,2)),""),IF(AND(VALUE(LEFT(H779,1))&gt;=1,VALUE(LEFT(H779,1))&lt;=5),VALUE(LEFT(H779,1)),"")),""),"")</f>
        <v/>
      </c>
      <c r="O779" s="25">
        <f>IF(AND(L779=1,B779&lt;&gt;""),SUBSTITUTE(SUBSTITUTE(SUBSTITUTE(SUBSTITUTE(SUBSTITUTE(SUBSTITUTE(SUBSTITUTE(SUBSTITUTE(SUBSTITUTE(SUBSTITUTE(SUBSTITUTE(SUBSTITUTE(LOWER(TRIM(B779)),"á","a"),"é","e"),"í","i"),"ó","o"),"ú","u"),"ü","u"),"ñ","n"),"à","a"),"è","e"),"ì","i"),"ò","o"),"ù","u"),"")</f>
        <v/>
      </c>
      <c r="P779" s="25">
        <f>IF(AND(L779=1,C779&lt;&gt;""),SUBSTITUTE(SUBSTITUTE(SUBSTITUTE(SUBSTITUTE(SUBSTITUTE(SUBSTITUTE(SUBSTITUTE(SUBSTITUTE(SUBSTITUTE(SUBSTITUTE(SUBSTITUTE(SUBSTITUTE(LOWER(TRIM(C779)),"á","a"),"é","e"),"í","i"),"ó","o"),"ú","u"),"ü","u"),"ñ","n"),"à","a"),"è","e"),"ì","i"),"ò","o"),"ù","u"),"")</f>
        <v/>
      </c>
      <c r="Q779" s="25">
        <f>IF(AND(L779=1,E779&lt;&gt;""),SUBSTITUTE(SUBSTITUTE(SUBSTITUTE(SUBSTITUTE(SUBSTITUTE(SUBSTITUTE(SUBSTITUTE(SUBSTITUTE(SUBSTITUTE(SUBSTITUTE(SUBSTITUTE(SUBSTITUTE(LOWER(TRIM(E779)),"á","a"),"é","e"),"í","i"),"ó","o"),"ú","u"),"ü","u"),"ñ","n"),"à","a"),"è","e"),"ì","i"),"ò","o"),"ù","u"),"")</f>
        <v/>
      </c>
      <c r="R779" s="25">
        <f>IF(AND(L779=1,I779&lt;&gt;""),SUBSTITUTE(SUBSTITUTE(SUBSTITUTE(SUBSTITUTE(SUBSTITUTE(SUBSTITUTE(SUBSTITUTE(SUBSTITUTE(SUBSTITUTE(SUBSTITUTE(SUBSTITUTE(SUBSTITUTE(LOWER(TRIM(I779)),"á","a"),"é","e"),"í","i"),"ó","o"),"ú","u"),"ü","u"),"ñ","n"),"à","a"),"è","e"),"ì","i"),"ò","o"),"ù","u"),"")</f>
        <v/>
      </c>
      <c r="S779" s="25">
        <f>IF(R779="","",IF(OR(R779="si",R779="tal vez"),1,0))</f>
        <v/>
      </c>
      <c r="T779" s="25">
        <f>IF(AND(L779=1,D779&lt;&gt;""),IF(IFERROR(COUNTIFS(D$3:D779,"="&amp;SUBSTITUTE(SUBSTITUTE(SUBSTITUTE(D779,"~","~~"),"*","~*"),"?","~?"),L$3:L779,1),0)=1,MAX(T$2:T778)+1,""),"")</f>
        <v/>
      </c>
      <c r="U779" s="25">
        <f>IF(T779="","",COUNTIFS($D$3:$D$1002,"="&amp;SUBSTITUTE(SUBSTITUTE(SUBSTITUTE(D779,"~","~~"),"*","~*"),"?","~?"),$L$3:$L$1002,1)*10000-T779)</f>
        <v/>
      </c>
      <c r="V779" s="25">
        <f>IF(AND(L779=1,J779&lt;&gt;""),IF(IFERROR(COUNTIFS(J$3:J779,"="&amp;SUBSTITUTE(SUBSTITUTE(SUBSTITUTE(J779,"~","~~"),"*","~*"),"?","~?"),L$3:L779,1),0)=1,MAX(V$2:V778)+1,""),"")</f>
        <v/>
      </c>
      <c r="W779" s="25">
        <f>IF(V779="","",COUNTIFS($J$3:$J$1002,"="&amp;SUBSTITUTE(SUBSTITUTE(SUBSTITUTE(J779,"~","~~"),"*","~*"),"?","~?"),$L$3:$L$1002,1)*10000-V779)</f>
        <v/>
      </c>
    </row>
    <row r="780">
      <c r="A780">
        <f>IF(A$2=0,"",IFERROR(TRIM(INDEX('Pegar estudiantes'!$A$1:$BZ$1001,779,A$2)&amp;""),""))</f>
        <v/>
      </c>
      <c r="B780">
        <f>IF(B$2=0,"",IFERROR(TRIM(INDEX('Pegar estudiantes'!$A$1:$BZ$1001,779,B$2)&amp;""),""))</f>
        <v/>
      </c>
      <c r="C780">
        <f>IF(C$2=0,"",IFERROR(TRIM(INDEX('Pegar estudiantes'!$A$1:$BZ$1001,779,C$2)&amp;""),""))</f>
        <v/>
      </c>
      <c r="D780">
        <f>IF(D$2=0,"",IFERROR(TRIM(INDEX('Pegar estudiantes'!$A$1:$BZ$1001,779,D$2)&amp;""),""))</f>
        <v/>
      </c>
      <c r="E780">
        <f>IF(E$2=0,"",IFERROR(TRIM(INDEX('Pegar estudiantes'!$A$1:$BZ$1001,779,E$2)&amp;""),""))</f>
        <v/>
      </c>
      <c r="F780">
        <f>IF(F$2=0,"",IFERROR(TRIM(INDEX('Pegar estudiantes'!$A$1:$BZ$1001,779,F$2)&amp;""),""))</f>
        <v/>
      </c>
      <c r="G780">
        <f>IF(G$2=0,"",IFERROR(TRIM(INDEX('Pegar estudiantes'!$A$1:$BZ$1001,779,G$2)&amp;""),""))</f>
        <v/>
      </c>
      <c r="H780">
        <f>IF(H$2=0,"",IFERROR(TRIM(INDEX('Pegar estudiantes'!$A$1:$BZ$1001,779,H$2)&amp;""),""))</f>
        <v/>
      </c>
      <c r="I780">
        <f>IF(I$2=0,"",IFERROR(TRIM(INDEX('Pegar estudiantes'!$A$1:$BZ$1001,779,I$2)&amp;""),""))</f>
        <v/>
      </c>
      <c r="J780">
        <f>IF(J$2=0,"",IFERROR(TRIM(INDEX('Pegar estudiantes'!$A$1:$BZ$1001,779,J$2)&amp;""),""))</f>
        <v/>
      </c>
      <c r="K780">
        <f>IF(K$2=0,"",IFERROR(TRIM(INDEX('Pegar estudiantes'!$A$1:$BZ$1001,779,K$2)&amp;""),""))</f>
        <v/>
      </c>
      <c r="L780" s="25">
        <f>IF(A780&lt;&gt;"",1,"")</f>
        <v/>
      </c>
      <c r="M780" s="25">
        <f>IF(L780=1,IF(ISNUMBER(FIND("#"&amp;MID(A780,1,1)&amp;"#","#0#1#2#3#4#5#6#7#8#9#")),IF(ISNUMBER(FIND("#"&amp;MID(A780,2,1)&amp;"#","#0#1#2#3#4#5#6#7#8#9#")),IF(AND(VALUE(LEFT(A780,2))&gt;=1,VALUE(LEFT(A780,2))&lt;=5),VALUE(LEFT(A780,2)),""),IF(AND(VALUE(LEFT(A780,1))&gt;=1,VALUE(LEFT(A780,1))&lt;=5),VALUE(LEFT(A780,1)),"")),""),"")</f>
        <v/>
      </c>
      <c r="N780" s="25">
        <f>IF(L780=1,IF(ISNUMBER(FIND("#"&amp;MID(H780,1,1)&amp;"#","#0#1#2#3#4#5#6#7#8#9#")),IF(ISNUMBER(FIND("#"&amp;MID(H780,2,1)&amp;"#","#0#1#2#3#4#5#6#7#8#9#")),IF(AND(VALUE(LEFT(H780,2))&gt;=1,VALUE(LEFT(H780,2))&lt;=5),VALUE(LEFT(H780,2)),""),IF(AND(VALUE(LEFT(H780,1))&gt;=1,VALUE(LEFT(H780,1))&lt;=5),VALUE(LEFT(H780,1)),"")),""),"")</f>
        <v/>
      </c>
      <c r="O780" s="25">
        <f>IF(AND(L780=1,B780&lt;&gt;""),SUBSTITUTE(SUBSTITUTE(SUBSTITUTE(SUBSTITUTE(SUBSTITUTE(SUBSTITUTE(SUBSTITUTE(SUBSTITUTE(SUBSTITUTE(SUBSTITUTE(SUBSTITUTE(SUBSTITUTE(LOWER(TRIM(B780)),"á","a"),"é","e"),"í","i"),"ó","o"),"ú","u"),"ü","u"),"ñ","n"),"à","a"),"è","e"),"ì","i"),"ò","o"),"ù","u"),"")</f>
        <v/>
      </c>
      <c r="P780" s="25">
        <f>IF(AND(L780=1,C780&lt;&gt;""),SUBSTITUTE(SUBSTITUTE(SUBSTITUTE(SUBSTITUTE(SUBSTITUTE(SUBSTITUTE(SUBSTITUTE(SUBSTITUTE(SUBSTITUTE(SUBSTITUTE(SUBSTITUTE(SUBSTITUTE(LOWER(TRIM(C780)),"á","a"),"é","e"),"í","i"),"ó","o"),"ú","u"),"ü","u"),"ñ","n"),"à","a"),"è","e"),"ì","i"),"ò","o"),"ù","u"),"")</f>
        <v/>
      </c>
      <c r="Q780" s="25">
        <f>IF(AND(L780=1,E780&lt;&gt;""),SUBSTITUTE(SUBSTITUTE(SUBSTITUTE(SUBSTITUTE(SUBSTITUTE(SUBSTITUTE(SUBSTITUTE(SUBSTITUTE(SUBSTITUTE(SUBSTITUTE(SUBSTITUTE(SUBSTITUTE(LOWER(TRIM(E780)),"á","a"),"é","e"),"í","i"),"ó","o"),"ú","u"),"ü","u"),"ñ","n"),"à","a"),"è","e"),"ì","i"),"ò","o"),"ù","u"),"")</f>
        <v/>
      </c>
      <c r="R780" s="25">
        <f>IF(AND(L780=1,I780&lt;&gt;""),SUBSTITUTE(SUBSTITUTE(SUBSTITUTE(SUBSTITUTE(SUBSTITUTE(SUBSTITUTE(SUBSTITUTE(SUBSTITUTE(SUBSTITUTE(SUBSTITUTE(SUBSTITUTE(SUBSTITUTE(LOWER(TRIM(I780)),"á","a"),"é","e"),"í","i"),"ó","o"),"ú","u"),"ü","u"),"ñ","n"),"à","a"),"è","e"),"ì","i"),"ò","o"),"ù","u"),"")</f>
        <v/>
      </c>
      <c r="S780" s="25">
        <f>IF(R780="","",IF(OR(R780="si",R780="tal vez"),1,0))</f>
        <v/>
      </c>
      <c r="T780" s="25">
        <f>IF(AND(L780=1,D780&lt;&gt;""),IF(IFERROR(COUNTIFS(D$3:D780,"="&amp;SUBSTITUTE(SUBSTITUTE(SUBSTITUTE(D780,"~","~~"),"*","~*"),"?","~?"),L$3:L780,1),0)=1,MAX(T$2:T779)+1,""),"")</f>
        <v/>
      </c>
      <c r="U780" s="25">
        <f>IF(T780="","",COUNTIFS($D$3:$D$1002,"="&amp;SUBSTITUTE(SUBSTITUTE(SUBSTITUTE(D780,"~","~~"),"*","~*"),"?","~?"),$L$3:$L$1002,1)*10000-T780)</f>
        <v/>
      </c>
      <c r="V780" s="25">
        <f>IF(AND(L780=1,J780&lt;&gt;""),IF(IFERROR(COUNTIFS(J$3:J780,"="&amp;SUBSTITUTE(SUBSTITUTE(SUBSTITUTE(J780,"~","~~"),"*","~*"),"?","~?"),L$3:L780,1),0)=1,MAX(V$2:V779)+1,""),"")</f>
        <v/>
      </c>
      <c r="W780" s="25">
        <f>IF(V780="","",COUNTIFS($J$3:$J$1002,"="&amp;SUBSTITUTE(SUBSTITUTE(SUBSTITUTE(J780,"~","~~"),"*","~*"),"?","~?"),$L$3:$L$1002,1)*10000-V780)</f>
        <v/>
      </c>
    </row>
    <row r="781">
      <c r="A781">
        <f>IF(A$2=0,"",IFERROR(TRIM(INDEX('Pegar estudiantes'!$A$1:$BZ$1001,780,A$2)&amp;""),""))</f>
        <v/>
      </c>
      <c r="B781">
        <f>IF(B$2=0,"",IFERROR(TRIM(INDEX('Pegar estudiantes'!$A$1:$BZ$1001,780,B$2)&amp;""),""))</f>
        <v/>
      </c>
      <c r="C781">
        <f>IF(C$2=0,"",IFERROR(TRIM(INDEX('Pegar estudiantes'!$A$1:$BZ$1001,780,C$2)&amp;""),""))</f>
        <v/>
      </c>
      <c r="D781">
        <f>IF(D$2=0,"",IFERROR(TRIM(INDEX('Pegar estudiantes'!$A$1:$BZ$1001,780,D$2)&amp;""),""))</f>
        <v/>
      </c>
      <c r="E781">
        <f>IF(E$2=0,"",IFERROR(TRIM(INDEX('Pegar estudiantes'!$A$1:$BZ$1001,780,E$2)&amp;""),""))</f>
        <v/>
      </c>
      <c r="F781">
        <f>IF(F$2=0,"",IFERROR(TRIM(INDEX('Pegar estudiantes'!$A$1:$BZ$1001,780,F$2)&amp;""),""))</f>
        <v/>
      </c>
      <c r="G781">
        <f>IF(G$2=0,"",IFERROR(TRIM(INDEX('Pegar estudiantes'!$A$1:$BZ$1001,780,G$2)&amp;""),""))</f>
        <v/>
      </c>
      <c r="H781">
        <f>IF(H$2=0,"",IFERROR(TRIM(INDEX('Pegar estudiantes'!$A$1:$BZ$1001,780,H$2)&amp;""),""))</f>
        <v/>
      </c>
      <c r="I781">
        <f>IF(I$2=0,"",IFERROR(TRIM(INDEX('Pegar estudiantes'!$A$1:$BZ$1001,780,I$2)&amp;""),""))</f>
        <v/>
      </c>
      <c r="J781">
        <f>IF(J$2=0,"",IFERROR(TRIM(INDEX('Pegar estudiantes'!$A$1:$BZ$1001,780,J$2)&amp;""),""))</f>
        <v/>
      </c>
      <c r="K781">
        <f>IF(K$2=0,"",IFERROR(TRIM(INDEX('Pegar estudiantes'!$A$1:$BZ$1001,780,K$2)&amp;""),""))</f>
        <v/>
      </c>
      <c r="L781" s="25">
        <f>IF(A781&lt;&gt;"",1,"")</f>
        <v/>
      </c>
      <c r="M781" s="25">
        <f>IF(L781=1,IF(ISNUMBER(FIND("#"&amp;MID(A781,1,1)&amp;"#","#0#1#2#3#4#5#6#7#8#9#")),IF(ISNUMBER(FIND("#"&amp;MID(A781,2,1)&amp;"#","#0#1#2#3#4#5#6#7#8#9#")),IF(AND(VALUE(LEFT(A781,2))&gt;=1,VALUE(LEFT(A781,2))&lt;=5),VALUE(LEFT(A781,2)),""),IF(AND(VALUE(LEFT(A781,1))&gt;=1,VALUE(LEFT(A781,1))&lt;=5),VALUE(LEFT(A781,1)),"")),""),"")</f>
        <v/>
      </c>
      <c r="N781" s="25">
        <f>IF(L781=1,IF(ISNUMBER(FIND("#"&amp;MID(H781,1,1)&amp;"#","#0#1#2#3#4#5#6#7#8#9#")),IF(ISNUMBER(FIND("#"&amp;MID(H781,2,1)&amp;"#","#0#1#2#3#4#5#6#7#8#9#")),IF(AND(VALUE(LEFT(H781,2))&gt;=1,VALUE(LEFT(H781,2))&lt;=5),VALUE(LEFT(H781,2)),""),IF(AND(VALUE(LEFT(H781,1))&gt;=1,VALUE(LEFT(H781,1))&lt;=5),VALUE(LEFT(H781,1)),"")),""),"")</f>
        <v/>
      </c>
      <c r="O781" s="25">
        <f>IF(AND(L781=1,B781&lt;&gt;""),SUBSTITUTE(SUBSTITUTE(SUBSTITUTE(SUBSTITUTE(SUBSTITUTE(SUBSTITUTE(SUBSTITUTE(SUBSTITUTE(SUBSTITUTE(SUBSTITUTE(SUBSTITUTE(SUBSTITUTE(LOWER(TRIM(B781)),"á","a"),"é","e"),"í","i"),"ó","o"),"ú","u"),"ü","u"),"ñ","n"),"à","a"),"è","e"),"ì","i"),"ò","o"),"ù","u"),"")</f>
        <v/>
      </c>
      <c r="P781" s="25">
        <f>IF(AND(L781=1,C781&lt;&gt;""),SUBSTITUTE(SUBSTITUTE(SUBSTITUTE(SUBSTITUTE(SUBSTITUTE(SUBSTITUTE(SUBSTITUTE(SUBSTITUTE(SUBSTITUTE(SUBSTITUTE(SUBSTITUTE(SUBSTITUTE(LOWER(TRIM(C781)),"á","a"),"é","e"),"í","i"),"ó","o"),"ú","u"),"ü","u"),"ñ","n"),"à","a"),"è","e"),"ì","i"),"ò","o"),"ù","u"),"")</f>
        <v/>
      </c>
      <c r="Q781" s="25">
        <f>IF(AND(L781=1,E781&lt;&gt;""),SUBSTITUTE(SUBSTITUTE(SUBSTITUTE(SUBSTITUTE(SUBSTITUTE(SUBSTITUTE(SUBSTITUTE(SUBSTITUTE(SUBSTITUTE(SUBSTITUTE(SUBSTITUTE(SUBSTITUTE(LOWER(TRIM(E781)),"á","a"),"é","e"),"í","i"),"ó","o"),"ú","u"),"ü","u"),"ñ","n"),"à","a"),"è","e"),"ì","i"),"ò","o"),"ù","u"),"")</f>
        <v/>
      </c>
      <c r="R781" s="25">
        <f>IF(AND(L781=1,I781&lt;&gt;""),SUBSTITUTE(SUBSTITUTE(SUBSTITUTE(SUBSTITUTE(SUBSTITUTE(SUBSTITUTE(SUBSTITUTE(SUBSTITUTE(SUBSTITUTE(SUBSTITUTE(SUBSTITUTE(SUBSTITUTE(LOWER(TRIM(I781)),"á","a"),"é","e"),"í","i"),"ó","o"),"ú","u"),"ü","u"),"ñ","n"),"à","a"),"è","e"),"ì","i"),"ò","o"),"ù","u"),"")</f>
        <v/>
      </c>
      <c r="S781" s="25">
        <f>IF(R781="","",IF(OR(R781="si",R781="tal vez"),1,0))</f>
        <v/>
      </c>
      <c r="T781" s="25">
        <f>IF(AND(L781=1,D781&lt;&gt;""),IF(IFERROR(COUNTIFS(D$3:D781,"="&amp;SUBSTITUTE(SUBSTITUTE(SUBSTITUTE(D781,"~","~~"),"*","~*"),"?","~?"),L$3:L781,1),0)=1,MAX(T$2:T780)+1,""),"")</f>
        <v/>
      </c>
      <c r="U781" s="25">
        <f>IF(T781="","",COUNTIFS($D$3:$D$1002,"="&amp;SUBSTITUTE(SUBSTITUTE(SUBSTITUTE(D781,"~","~~"),"*","~*"),"?","~?"),$L$3:$L$1002,1)*10000-T781)</f>
        <v/>
      </c>
      <c r="V781" s="25">
        <f>IF(AND(L781=1,J781&lt;&gt;""),IF(IFERROR(COUNTIFS(J$3:J781,"="&amp;SUBSTITUTE(SUBSTITUTE(SUBSTITUTE(J781,"~","~~"),"*","~*"),"?","~?"),L$3:L781,1),0)=1,MAX(V$2:V780)+1,""),"")</f>
        <v/>
      </c>
      <c r="W781" s="25">
        <f>IF(V781="","",COUNTIFS($J$3:$J$1002,"="&amp;SUBSTITUTE(SUBSTITUTE(SUBSTITUTE(J781,"~","~~"),"*","~*"),"?","~?"),$L$3:$L$1002,1)*10000-V781)</f>
        <v/>
      </c>
    </row>
    <row r="782">
      <c r="A782">
        <f>IF(A$2=0,"",IFERROR(TRIM(INDEX('Pegar estudiantes'!$A$1:$BZ$1001,781,A$2)&amp;""),""))</f>
        <v/>
      </c>
      <c r="B782">
        <f>IF(B$2=0,"",IFERROR(TRIM(INDEX('Pegar estudiantes'!$A$1:$BZ$1001,781,B$2)&amp;""),""))</f>
        <v/>
      </c>
      <c r="C782">
        <f>IF(C$2=0,"",IFERROR(TRIM(INDEX('Pegar estudiantes'!$A$1:$BZ$1001,781,C$2)&amp;""),""))</f>
        <v/>
      </c>
      <c r="D782">
        <f>IF(D$2=0,"",IFERROR(TRIM(INDEX('Pegar estudiantes'!$A$1:$BZ$1001,781,D$2)&amp;""),""))</f>
        <v/>
      </c>
      <c r="E782">
        <f>IF(E$2=0,"",IFERROR(TRIM(INDEX('Pegar estudiantes'!$A$1:$BZ$1001,781,E$2)&amp;""),""))</f>
        <v/>
      </c>
      <c r="F782">
        <f>IF(F$2=0,"",IFERROR(TRIM(INDEX('Pegar estudiantes'!$A$1:$BZ$1001,781,F$2)&amp;""),""))</f>
        <v/>
      </c>
      <c r="G782">
        <f>IF(G$2=0,"",IFERROR(TRIM(INDEX('Pegar estudiantes'!$A$1:$BZ$1001,781,G$2)&amp;""),""))</f>
        <v/>
      </c>
      <c r="H782">
        <f>IF(H$2=0,"",IFERROR(TRIM(INDEX('Pegar estudiantes'!$A$1:$BZ$1001,781,H$2)&amp;""),""))</f>
        <v/>
      </c>
      <c r="I782">
        <f>IF(I$2=0,"",IFERROR(TRIM(INDEX('Pegar estudiantes'!$A$1:$BZ$1001,781,I$2)&amp;""),""))</f>
        <v/>
      </c>
      <c r="J782">
        <f>IF(J$2=0,"",IFERROR(TRIM(INDEX('Pegar estudiantes'!$A$1:$BZ$1001,781,J$2)&amp;""),""))</f>
        <v/>
      </c>
      <c r="K782">
        <f>IF(K$2=0,"",IFERROR(TRIM(INDEX('Pegar estudiantes'!$A$1:$BZ$1001,781,K$2)&amp;""),""))</f>
        <v/>
      </c>
      <c r="L782" s="25">
        <f>IF(A782&lt;&gt;"",1,"")</f>
        <v/>
      </c>
      <c r="M782" s="25">
        <f>IF(L782=1,IF(ISNUMBER(FIND("#"&amp;MID(A782,1,1)&amp;"#","#0#1#2#3#4#5#6#7#8#9#")),IF(ISNUMBER(FIND("#"&amp;MID(A782,2,1)&amp;"#","#0#1#2#3#4#5#6#7#8#9#")),IF(AND(VALUE(LEFT(A782,2))&gt;=1,VALUE(LEFT(A782,2))&lt;=5),VALUE(LEFT(A782,2)),""),IF(AND(VALUE(LEFT(A782,1))&gt;=1,VALUE(LEFT(A782,1))&lt;=5),VALUE(LEFT(A782,1)),"")),""),"")</f>
        <v/>
      </c>
      <c r="N782" s="25">
        <f>IF(L782=1,IF(ISNUMBER(FIND("#"&amp;MID(H782,1,1)&amp;"#","#0#1#2#3#4#5#6#7#8#9#")),IF(ISNUMBER(FIND("#"&amp;MID(H782,2,1)&amp;"#","#0#1#2#3#4#5#6#7#8#9#")),IF(AND(VALUE(LEFT(H782,2))&gt;=1,VALUE(LEFT(H782,2))&lt;=5),VALUE(LEFT(H782,2)),""),IF(AND(VALUE(LEFT(H782,1))&gt;=1,VALUE(LEFT(H782,1))&lt;=5),VALUE(LEFT(H782,1)),"")),""),"")</f>
        <v/>
      </c>
      <c r="O782" s="25">
        <f>IF(AND(L782=1,B782&lt;&gt;""),SUBSTITUTE(SUBSTITUTE(SUBSTITUTE(SUBSTITUTE(SUBSTITUTE(SUBSTITUTE(SUBSTITUTE(SUBSTITUTE(SUBSTITUTE(SUBSTITUTE(SUBSTITUTE(SUBSTITUTE(LOWER(TRIM(B782)),"á","a"),"é","e"),"í","i"),"ó","o"),"ú","u"),"ü","u"),"ñ","n"),"à","a"),"è","e"),"ì","i"),"ò","o"),"ù","u"),"")</f>
        <v/>
      </c>
      <c r="P782" s="25">
        <f>IF(AND(L782=1,C782&lt;&gt;""),SUBSTITUTE(SUBSTITUTE(SUBSTITUTE(SUBSTITUTE(SUBSTITUTE(SUBSTITUTE(SUBSTITUTE(SUBSTITUTE(SUBSTITUTE(SUBSTITUTE(SUBSTITUTE(SUBSTITUTE(LOWER(TRIM(C782)),"á","a"),"é","e"),"í","i"),"ó","o"),"ú","u"),"ü","u"),"ñ","n"),"à","a"),"è","e"),"ì","i"),"ò","o"),"ù","u"),"")</f>
        <v/>
      </c>
      <c r="Q782" s="25">
        <f>IF(AND(L782=1,E782&lt;&gt;""),SUBSTITUTE(SUBSTITUTE(SUBSTITUTE(SUBSTITUTE(SUBSTITUTE(SUBSTITUTE(SUBSTITUTE(SUBSTITUTE(SUBSTITUTE(SUBSTITUTE(SUBSTITUTE(SUBSTITUTE(LOWER(TRIM(E782)),"á","a"),"é","e"),"í","i"),"ó","o"),"ú","u"),"ü","u"),"ñ","n"),"à","a"),"è","e"),"ì","i"),"ò","o"),"ù","u"),"")</f>
        <v/>
      </c>
      <c r="R782" s="25">
        <f>IF(AND(L782=1,I782&lt;&gt;""),SUBSTITUTE(SUBSTITUTE(SUBSTITUTE(SUBSTITUTE(SUBSTITUTE(SUBSTITUTE(SUBSTITUTE(SUBSTITUTE(SUBSTITUTE(SUBSTITUTE(SUBSTITUTE(SUBSTITUTE(LOWER(TRIM(I782)),"á","a"),"é","e"),"í","i"),"ó","o"),"ú","u"),"ü","u"),"ñ","n"),"à","a"),"è","e"),"ì","i"),"ò","o"),"ù","u"),"")</f>
        <v/>
      </c>
      <c r="S782" s="25">
        <f>IF(R782="","",IF(OR(R782="si",R782="tal vez"),1,0))</f>
        <v/>
      </c>
      <c r="T782" s="25">
        <f>IF(AND(L782=1,D782&lt;&gt;""),IF(IFERROR(COUNTIFS(D$3:D782,"="&amp;SUBSTITUTE(SUBSTITUTE(SUBSTITUTE(D782,"~","~~"),"*","~*"),"?","~?"),L$3:L782,1),0)=1,MAX(T$2:T781)+1,""),"")</f>
        <v/>
      </c>
      <c r="U782" s="25">
        <f>IF(T782="","",COUNTIFS($D$3:$D$1002,"="&amp;SUBSTITUTE(SUBSTITUTE(SUBSTITUTE(D782,"~","~~"),"*","~*"),"?","~?"),$L$3:$L$1002,1)*10000-T782)</f>
        <v/>
      </c>
      <c r="V782" s="25">
        <f>IF(AND(L782=1,J782&lt;&gt;""),IF(IFERROR(COUNTIFS(J$3:J782,"="&amp;SUBSTITUTE(SUBSTITUTE(SUBSTITUTE(J782,"~","~~"),"*","~*"),"?","~?"),L$3:L782,1),0)=1,MAX(V$2:V781)+1,""),"")</f>
        <v/>
      </c>
      <c r="W782" s="25">
        <f>IF(V782="","",COUNTIFS($J$3:$J$1002,"="&amp;SUBSTITUTE(SUBSTITUTE(SUBSTITUTE(J782,"~","~~"),"*","~*"),"?","~?"),$L$3:$L$1002,1)*10000-V782)</f>
        <v/>
      </c>
    </row>
    <row r="783">
      <c r="A783">
        <f>IF(A$2=0,"",IFERROR(TRIM(INDEX('Pegar estudiantes'!$A$1:$BZ$1001,782,A$2)&amp;""),""))</f>
        <v/>
      </c>
      <c r="B783">
        <f>IF(B$2=0,"",IFERROR(TRIM(INDEX('Pegar estudiantes'!$A$1:$BZ$1001,782,B$2)&amp;""),""))</f>
        <v/>
      </c>
      <c r="C783">
        <f>IF(C$2=0,"",IFERROR(TRIM(INDEX('Pegar estudiantes'!$A$1:$BZ$1001,782,C$2)&amp;""),""))</f>
        <v/>
      </c>
      <c r="D783">
        <f>IF(D$2=0,"",IFERROR(TRIM(INDEX('Pegar estudiantes'!$A$1:$BZ$1001,782,D$2)&amp;""),""))</f>
        <v/>
      </c>
      <c r="E783">
        <f>IF(E$2=0,"",IFERROR(TRIM(INDEX('Pegar estudiantes'!$A$1:$BZ$1001,782,E$2)&amp;""),""))</f>
        <v/>
      </c>
      <c r="F783">
        <f>IF(F$2=0,"",IFERROR(TRIM(INDEX('Pegar estudiantes'!$A$1:$BZ$1001,782,F$2)&amp;""),""))</f>
        <v/>
      </c>
      <c r="G783">
        <f>IF(G$2=0,"",IFERROR(TRIM(INDEX('Pegar estudiantes'!$A$1:$BZ$1001,782,G$2)&amp;""),""))</f>
        <v/>
      </c>
      <c r="H783">
        <f>IF(H$2=0,"",IFERROR(TRIM(INDEX('Pegar estudiantes'!$A$1:$BZ$1001,782,H$2)&amp;""),""))</f>
        <v/>
      </c>
      <c r="I783">
        <f>IF(I$2=0,"",IFERROR(TRIM(INDEX('Pegar estudiantes'!$A$1:$BZ$1001,782,I$2)&amp;""),""))</f>
        <v/>
      </c>
      <c r="J783">
        <f>IF(J$2=0,"",IFERROR(TRIM(INDEX('Pegar estudiantes'!$A$1:$BZ$1001,782,J$2)&amp;""),""))</f>
        <v/>
      </c>
      <c r="K783">
        <f>IF(K$2=0,"",IFERROR(TRIM(INDEX('Pegar estudiantes'!$A$1:$BZ$1001,782,K$2)&amp;""),""))</f>
        <v/>
      </c>
      <c r="L783" s="25">
        <f>IF(A783&lt;&gt;"",1,"")</f>
        <v/>
      </c>
      <c r="M783" s="25">
        <f>IF(L783=1,IF(ISNUMBER(FIND("#"&amp;MID(A783,1,1)&amp;"#","#0#1#2#3#4#5#6#7#8#9#")),IF(ISNUMBER(FIND("#"&amp;MID(A783,2,1)&amp;"#","#0#1#2#3#4#5#6#7#8#9#")),IF(AND(VALUE(LEFT(A783,2))&gt;=1,VALUE(LEFT(A783,2))&lt;=5),VALUE(LEFT(A783,2)),""),IF(AND(VALUE(LEFT(A783,1))&gt;=1,VALUE(LEFT(A783,1))&lt;=5),VALUE(LEFT(A783,1)),"")),""),"")</f>
        <v/>
      </c>
      <c r="N783" s="25">
        <f>IF(L783=1,IF(ISNUMBER(FIND("#"&amp;MID(H783,1,1)&amp;"#","#0#1#2#3#4#5#6#7#8#9#")),IF(ISNUMBER(FIND("#"&amp;MID(H783,2,1)&amp;"#","#0#1#2#3#4#5#6#7#8#9#")),IF(AND(VALUE(LEFT(H783,2))&gt;=1,VALUE(LEFT(H783,2))&lt;=5),VALUE(LEFT(H783,2)),""),IF(AND(VALUE(LEFT(H783,1))&gt;=1,VALUE(LEFT(H783,1))&lt;=5),VALUE(LEFT(H783,1)),"")),""),"")</f>
        <v/>
      </c>
      <c r="O783" s="25">
        <f>IF(AND(L783=1,B783&lt;&gt;""),SUBSTITUTE(SUBSTITUTE(SUBSTITUTE(SUBSTITUTE(SUBSTITUTE(SUBSTITUTE(SUBSTITUTE(SUBSTITUTE(SUBSTITUTE(SUBSTITUTE(SUBSTITUTE(SUBSTITUTE(LOWER(TRIM(B783)),"á","a"),"é","e"),"í","i"),"ó","o"),"ú","u"),"ü","u"),"ñ","n"),"à","a"),"è","e"),"ì","i"),"ò","o"),"ù","u"),"")</f>
        <v/>
      </c>
      <c r="P783" s="25">
        <f>IF(AND(L783=1,C783&lt;&gt;""),SUBSTITUTE(SUBSTITUTE(SUBSTITUTE(SUBSTITUTE(SUBSTITUTE(SUBSTITUTE(SUBSTITUTE(SUBSTITUTE(SUBSTITUTE(SUBSTITUTE(SUBSTITUTE(SUBSTITUTE(LOWER(TRIM(C783)),"á","a"),"é","e"),"í","i"),"ó","o"),"ú","u"),"ü","u"),"ñ","n"),"à","a"),"è","e"),"ì","i"),"ò","o"),"ù","u"),"")</f>
        <v/>
      </c>
      <c r="Q783" s="25">
        <f>IF(AND(L783=1,E783&lt;&gt;""),SUBSTITUTE(SUBSTITUTE(SUBSTITUTE(SUBSTITUTE(SUBSTITUTE(SUBSTITUTE(SUBSTITUTE(SUBSTITUTE(SUBSTITUTE(SUBSTITUTE(SUBSTITUTE(SUBSTITUTE(LOWER(TRIM(E783)),"á","a"),"é","e"),"í","i"),"ó","o"),"ú","u"),"ü","u"),"ñ","n"),"à","a"),"è","e"),"ì","i"),"ò","o"),"ù","u"),"")</f>
        <v/>
      </c>
      <c r="R783" s="25">
        <f>IF(AND(L783=1,I783&lt;&gt;""),SUBSTITUTE(SUBSTITUTE(SUBSTITUTE(SUBSTITUTE(SUBSTITUTE(SUBSTITUTE(SUBSTITUTE(SUBSTITUTE(SUBSTITUTE(SUBSTITUTE(SUBSTITUTE(SUBSTITUTE(LOWER(TRIM(I783)),"á","a"),"é","e"),"í","i"),"ó","o"),"ú","u"),"ü","u"),"ñ","n"),"à","a"),"è","e"),"ì","i"),"ò","o"),"ù","u"),"")</f>
        <v/>
      </c>
      <c r="S783" s="25">
        <f>IF(R783="","",IF(OR(R783="si",R783="tal vez"),1,0))</f>
        <v/>
      </c>
      <c r="T783" s="25">
        <f>IF(AND(L783=1,D783&lt;&gt;""),IF(IFERROR(COUNTIFS(D$3:D783,"="&amp;SUBSTITUTE(SUBSTITUTE(SUBSTITUTE(D783,"~","~~"),"*","~*"),"?","~?"),L$3:L783,1),0)=1,MAX(T$2:T782)+1,""),"")</f>
        <v/>
      </c>
      <c r="U783" s="25">
        <f>IF(T783="","",COUNTIFS($D$3:$D$1002,"="&amp;SUBSTITUTE(SUBSTITUTE(SUBSTITUTE(D783,"~","~~"),"*","~*"),"?","~?"),$L$3:$L$1002,1)*10000-T783)</f>
        <v/>
      </c>
      <c r="V783" s="25">
        <f>IF(AND(L783=1,J783&lt;&gt;""),IF(IFERROR(COUNTIFS(J$3:J783,"="&amp;SUBSTITUTE(SUBSTITUTE(SUBSTITUTE(J783,"~","~~"),"*","~*"),"?","~?"),L$3:L783,1),0)=1,MAX(V$2:V782)+1,""),"")</f>
        <v/>
      </c>
      <c r="W783" s="25">
        <f>IF(V783="","",COUNTIFS($J$3:$J$1002,"="&amp;SUBSTITUTE(SUBSTITUTE(SUBSTITUTE(J783,"~","~~"),"*","~*"),"?","~?"),$L$3:$L$1002,1)*10000-V783)</f>
        <v/>
      </c>
    </row>
    <row r="784">
      <c r="A784">
        <f>IF(A$2=0,"",IFERROR(TRIM(INDEX('Pegar estudiantes'!$A$1:$BZ$1001,783,A$2)&amp;""),""))</f>
        <v/>
      </c>
      <c r="B784">
        <f>IF(B$2=0,"",IFERROR(TRIM(INDEX('Pegar estudiantes'!$A$1:$BZ$1001,783,B$2)&amp;""),""))</f>
        <v/>
      </c>
      <c r="C784">
        <f>IF(C$2=0,"",IFERROR(TRIM(INDEX('Pegar estudiantes'!$A$1:$BZ$1001,783,C$2)&amp;""),""))</f>
        <v/>
      </c>
      <c r="D784">
        <f>IF(D$2=0,"",IFERROR(TRIM(INDEX('Pegar estudiantes'!$A$1:$BZ$1001,783,D$2)&amp;""),""))</f>
        <v/>
      </c>
      <c r="E784">
        <f>IF(E$2=0,"",IFERROR(TRIM(INDEX('Pegar estudiantes'!$A$1:$BZ$1001,783,E$2)&amp;""),""))</f>
        <v/>
      </c>
      <c r="F784">
        <f>IF(F$2=0,"",IFERROR(TRIM(INDEX('Pegar estudiantes'!$A$1:$BZ$1001,783,F$2)&amp;""),""))</f>
        <v/>
      </c>
      <c r="G784">
        <f>IF(G$2=0,"",IFERROR(TRIM(INDEX('Pegar estudiantes'!$A$1:$BZ$1001,783,G$2)&amp;""),""))</f>
        <v/>
      </c>
      <c r="H784">
        <f>IF(H$2=0,"",IFERROR(TRIM(INDEX('Pegar estudiantes'!$A$1:$BZ$1001,783,H$2)&amp;""),""))</f>
        <v/>
      </c>
      <c r="I784">
        <f>IF(I$2=0,"",IFERROR(TRIM(INDEX('Pegar estudiantes'!$A$1:$BZ$1001,783,I$2)&amp;""),""))</f>
        <v/>
      </c>
      <c r="J784">
        <f>IF(J$2=0,"",IFERROR(TRIM(INDEX('Pegar estudiantes'!$A$1:$BZ$1001,783,J$2)&amp;""),""))</f>
        <v/>
      </c>
      <c r="K784">
        <f>IF(K$2=0,"",IFERROR(TRIM(INDEX('Pegar estudiantes'!$A$1:$BZ$1001,783,K$2)&amp;""),""))</f>
        <v/>
      </c>
      <c r="L784" s="25">
        <f>IF(A784&lt;&gt;"",1,"")</f>
        <v/>
      </c>
      <c r="M784" s="25">
        <f>IF(L784=1,IF(ISNUMBER(FIND("#"&amp;MID(A784,1,1)&amp;"#","#0#1#2#3#4#5#6#7#8#9#")),IF(ISNUMBER(FIND("#"&amp;MID(A784,2,1)&amp;"#","#0#1#2#3#4#5#6#7#8#9#")),IF(AND(VALUE(LEFT(A784,2))&gt;=1,VALUE(LEFT(A784,2))&lt;=5),VALUE(LEFT(A784,2)),""),IF(AND(VALUE(LEFT(A784,1))&gt;=1,VALUE(LEFT(A784,1))&lt;=5),VALUE(LEFT(A784,1)),"")),""),"")</f>
        <v/>
      </c>
      <c r="N784" s="25">
        <f>IF(L784=1,IF(ISNUMBER(FIND("#"&amp;MID(H784,1,1)&amp;"#","#0#1#2#3#4#5#6#7#8#9#")),IF(ISNUMBER(FIND("#"&amp;MID(H784,2,1)&amp;"#","#0#1#2#3#4#5#6#7#8#9#")),IF(AND(VALUE(LEFT(H784,2))&gt;=1,VALUE(LEFT(H784,2))&lt;=5),VALUE(LEFT(H784,2)),""),IF(AND(VALUE(LEFT(H784,1))&gt;=1,VALUE(LEFT(H784,1))&lt;=5),VALUE(LEFT(H784,1)),"")),""),"")</f>
        <v/>
      </c>
      <c r="O784" s="25">
        <f>IF(AND(L784=1,B784&lt;&gt;""),SUBSTITUTE(SUBSTITUTE(SUBSTITUTE(SUBSTITUTE(SUBSTITUTE(SUBSTITUTE(SUBSTITUTE(SUBSTITUTE(SUBSTITUTE(SUBSTITUTE(SUBSTITUTE(SUBSTITUTE(LOWER(TRIM(B784)),"á","a"),"é","e"),"í","i"),"ó","o"),"ú","u"),"ü","u"),"ñ","n"),"à","a"),"è","e"),"ì","i"),"ò","o"),"ù","u"),"")</f>
        <v/>
      </c>
      <c r="P784" s="25">
        <f>IF(AND(L784=1,C784&lt;&gt;""),SUBSTITUTE(SUBSTITUTE(SUBSTITUTE(SUBSTITUTE(SUBSTITUTE(SUBSTITUTE(SUBSTITUTE(SUBSTITUTE(SUBSTITUTE(SUBSTITUTE(SUBSTITUTE(SUBSTITUTE(LOWER(TRIM(C784)),"á","a"),"é","e"),"í","i"),"ó","o"),"ú","u"),"ü","u"),"ñ","n"),"à","a"),"è","e"),"ì","i"),"ò","o"),"ù","u"),"")</f>
        <v/>
      </c>
      <c r="Q784" s="25">
        <f>IF(AND(L784=1,E784&lt;&gt;""),SUBSTITUTE(SUBSTITUTE(SUBSTITUTE(SUBSTITUTE(SUBSTITUTE(SUBSTITUTE(SUBSTITUTE(SUBSTITUTE(SUBSTITUTE(SUBSTITUTE(SUBSTITUTE(SUBSTITUTE(LOWER(TRIM(E784)),"á","a"),"é","e"),"í","i"),"ó","o"),"ú","u"),"ü","u"),"ñ","n"),"à","a"),"è","e"),"ì","i"),"ò","o"),"ù","u"),"")</f>
        <v/>
      </c>
      <c r="R784" s="25">
        <f>IF(AND(L784=1,I784&lt;&gt;""),SUBSTITUTE(SUBSTITUTE(SUBSTITUTE(SUBSTITUTE(SUBSTITUTE(SUBSTITUTE(SUBSTITUTE(SUBSTITUTE(SUBSTITUTE(SUBSTITUTE(SUBSTITUTE(SUBSTITUTE(LOWER(TRIM(I784)),"á","a"),"é","e"),"í","i"),"ó","o"),"ú","u"),"ü","u"),"ñ","n"),"à","a"),"è","e"),"ì","i"),"ò","o"),"ù","u"),"")</f>
        <v/>
      </c>
      <c r="S784" s="25">
        <f>IF(R784="","",IF(OR(R784="si",R784="tal vez"),1,0))</f>
        <v/>
      </c>
      <c r="T784" s="25">
        <f>IF(AND(L784=1,D784&lt;&gt;""),IF(IFERROR(COUNTIFS(D$3:D784,"="&amp;SUBSTITUTE(SUBSTITUTE(SUBSTITUTE(D784,"~","~~"),"*","~*"),"?","~?"),L$3:L784,1),0)=1,MAX(T$2:T783)+1,""),"")</f>
        <v/>
      </c>
      <c r="U784" s="25">
        <f>IF(T784="","",COUNTIFS($D$3:$D$1002,"="&amp;SUBSTITUTE(SUBSTITUTE(SUBSTITUTE(D784,"~","~~"),"*","~*"),"?","~?"),$L$3:$L$1002,1)*10000-T784)</f>
        <v/>
      </c>
      <c r="V784" s="25">
        <f>IF(AND(L784=1,J784&lt;&gt;""),IF(IFERROR(COUNTIFS(J$3:J784,"="&amp;SUBSTITUTE(SUBSTITUTE(SUBSTITUTE(J784,"~","~~"),"*","~*"),"?","~?"),L$3:L784,1),0)=1,MAX(V$2:V783)+1,""),"")</f>
        <v/>
      </c>
      <c r="W784" s="25">
        <f>IF(V784="","",COUNTIFS($J$3:$J$1002,"="&amp;SUBSTITUTE(SUBSTITUTE(SUBSTITUTE(J784,"~","~~"),"*","~*"),"?","~?"),$L$3:$L$1002,1)*10000-V784)</f>
        <v/>
      </c>
    </row>
    <row r="785">
      <c r="A785">
        <f>IF(A$2=0,"",IFERROR(TRIM(INDEX('Pegar estudiantes'!$A$1:$BZ$1001,784,A$2)&amp;""),""))</f>
        <v/>
      </c>
      <c r="B785">
        <f>IF(B$2=0,"",IFERROR(TRIM(INDEX('Pegar estudiantes'!$A$1:$BZ$1001,784,B$2)&amp;""),""))</f>
        <v/>
      </c>
      <c r="C785">
        <f>IF(C$2=0,"",IFERROR(TRIM(INDEX('Pegar estudiantes'!$A$1:$BZ$1001,784,C$2)&amp;""),""))</f>
        <v/>
      </c>
      <c r="D785">
        <f>IF(D$2=0,"",IFERROR(TRIM(INDEX('Pegar estudiantes'!$A$1:$BZ$1001,784,D$2)&amp;""),""))</f>
        <v/>
      </c>
      <c r="E785">
        <f>IF(E$2=0,"",IFERROR(TRIM(INDEX('Pegar estudiantes'!$A$1:$BZ$1001,784,E$2)&amp;""),""))</f>
        <v/>
      </c>
      <c r="F785">
        <f>IF(F$2=0,"",IFERROR(TRIM(INDEX('Pegar estudiantes'!$A$1:$BZ$1001,784,F$2)&amp;""),""))</f>
        <v/>
      </c>
      <c r="G785">
        <f>IF(G$2=0,"",IFERROR(TRIM(INDEX('Pegar estudiantes'!$A$1:$BZ$1001,784,G$2)&amp;""),""))</f>
        <v/>
      </c>
      <c r="H785">
        <f>IF(H$2=0,"",IFERROR(TRIM(INDEX('Pegar estudiantes'!$A$1:$BZ$1001,784,H$2)&amp;""),""))</f>
        <v/>
      </c>
      <c r="I785">
        <f>IF(I$2=0,"",IFERROR(TRIM(INDEX('Pegar estudiantes'!$A$1:$BZ$1001,784,I$2)&amp;""),""))</f>
        <v/>
      </c>
      <c r="J785">
        <f>IF(J$2=0,"",IFERROR(TRIM(INDEX('Pegar estudiantes'!$A$1:$BZ$1001,784,J$2)&amp;""),""))</f>
        <v/>
      </c>
      <c r="K785">
        <f>IF(K$2=0,"",IFERROR(TRIM(INDEX('Pegar estudiantes'!$A$1:$BZ$1001,784,K$2)&amp;""),""))</f>
        <v/>
      </c>
      <c r="L785" s="25">
        <f>IF(A785&lt;&gt;"",1,"")</f>
        <v/>
      </c>
      <c r="M785" s="25">
        <f>IF(L785=1,IF(ISNUMBER(FIND("#"&amp;MID(A785,1,1)&amp;"#","#0#1#2#3#4#5#6#7#8#9#")),IF(ISNUMBER(FIND("#"&amp;MID(A785,2,1)&amp;"#","#0#1#2#3#4#5#6#7#8#9#")),IF(AND(VALUE(LEFT(A785,2))&gt;=1,VALUE(LEFT(A785,2))&lt;=5),VALUE(LEFT(A785,2)),""),IF(AND(VALUE(LEFT(A785,1))&gt;=1,VALUE(LEFT(A785,1))&lt;=5),VALUE(LEFT(A785,1)),"")),""),"")</f>
        <v/>
      </c>
      <c r="N785" s="25">
        <f>IF(L785=1,IF(ISNUMBER(FIND("#"&amp;MID(H785,1,1)&amp;"#","#0#1#2#3#4#5#6#7#8#9#")),IF(ISNUMBER(FIND("#"&amp;MID(H785,2,1)&amp;"#","#0#1#2#3#4#5#6#7#8#9#")),IF(AND(VALUE(LEFT(H785,2))&gt;=1,VALUE(LEFT(H785,2))&lt;=5),VALUE(LEFT(H785,2)),""),IF(AND(VALUE(LEFT(H785,1))&gt;=1,VALUE(LEFT(H785,1))&lt;=5),VALUE(LEFT(H785,1)),"")),""),"")</f>
        <v/>
      </c>
      <c r="O785" s="25">
        <f>IF(AND(L785=1,B785&lt;&gt;""),SUBSTITUTE(SUBSTITUTE(SUBSTITUTE(SUBSTITUTE(SUBSTITUTE(SUBSTITUTE(SUBSTITUTE(SUBSTITUTE(SUBSTITUTE(SUBSTITUTE(SUBSTITUTE(SUBSTITUTE(LOWER(TRIM(B785)),"á","a"),"é","e"),"í","i"),"ó","o"),"ú","u"),"ü","u"),"ñ","n"),"à","a"),"è","e"),"ì","i"),"ò","o"),"ù","u"),"")</f>
        <v/>
      </c>
      <c r="P785" s="25">
        <f>IF(AND(L785=1,C785&lt;&gt;""),SUBSTITUTE(SUBSTITUTE(SUBSTITUTE(SUBSTITUTE(SUBSTITUTE(SUBSTITUTE(SUBSTITUTE(SUBSTITUTE(SUBSTITUTE(SUBSTITUTE(SUBSTITUTE(SUBSTITUTE(LOWER(TRIM(C785)),"á","a"),"é","e"),"í","i"),"ó","o"),"ú","u"),"ü","u"),"ñ","n"),"à","a"),"è","e"),"ì","i"),"ò","o"),"ù","u"),"")</f>
        <v/>
      </c>
      <c r="Q785" s="25">
        <f>IF(AND(L785=1,E785&lt;&gt;""),SUBSTITUTE(SUBSTITUTE(SUBSTITUTE(SUBSTITUTE(SUBSTITUTE(SUBSTITUTE(SUBSTITUTE(SUBSTITUTE(SUBSTITUTE(SUBSTITUTE(SUBSTITUTE(SUBSTITUTE(LOWER(TRIM(E785)),"á","a"),"é","e"),"í","i"),"ó","o"),"ú","u"),"ü","u"),"ñ","n"),"à","a"),"è","e"),"ì","i"),"ò","o"),"ù","u"),"")</f>
        <v/>
      </c>
      <c r="R785" s="25">
        <f>IF(AND(L785=1,I785&lt;&gt;""),SUBSTITUTE(SUBSTITUTE(SUBSTITUTE(SUBSTITUTE(SUBSTITUTE(SUBSTITUTE(SUBSTITUTE(SUBSTITUTE(SUBSTITUTE(SUBSTITUTE(SUBSTITUTE(SUBSTITUTE(LOWER(TRIM(I785)),"á","a"),"é","e"),"í","i"),"ó","o"),"ú","u"),"ü","u"),"ñ","n"),"à","a"),"è","e"),"ì","i"),"ò","o"),"ù","u"),"")</f>
        <v/>
      </c>
      <c r="S785" s="25">
        <f>IF(R785="","",IF(OR(R785="si",R785="tal vez"),1,0))</f>
        <v/>
      </c>
      <c r="T785" s="25">
        <f>IF(AND(L785=1,D785&lt;&gt;""),IF(IFERROR(COUNTIFS(D$3:D785,"="&amp;SUBSTITUTE(SUBSTITUTE(SUBSTITUTE(D785,"~","~~"),"*","~*"),"?","~?"),L$3:L785,1),0)=1,MAX(T$2:T784)+1,""),"")</f>
        <v/>
      </c>
      <c r="U785" s="25">
        <f>IF(T785="","",COUNTIFS($D$3:$D$1002,"="&amp;SUBSTITUTE(SUBSTITUTE(SUBSTITUTE(D785,"~","~~"),"*","~*"),"?","~?"),$L$3:$L$1002,1)*10000-T785)</f>
        <v/>
      </c>
      <c r="V785" s="25">
        <f>IF(AND(L785=1,J785&lt;&gt;""),IF(IFERROR(COUNTIFS(J$3:J785,"="&amp;SUBSTITUTE(SUBSTITUTE(SUBSTITUTE(J785,"~","~~"),"*","~*"),"?","~?"),L$3:L785,1),0)=1,MAX(V$2:V784)+1,""),"")</f>
        <v/>
      </c>
      <c r="W785" s="25">
        <f>IF(V785="","",COUNTIFS($J$3:$J$1002,"="&amp;SUBSTITUTE(SUBSTITUTE(SUBSTITUTE(J785,"~","~~"),"*","~*"),"?","~?"),$L$3:$L$1002,1)*10000-V785)</f>
        <v/>
      </c>
    </row>
    <row r="786">
      <c r="A786">
        <f>IF(A$2=0,"",IFERROR(TRIM(INDEX('Pegar estudiantes'!$A$1:$BZ$1001,785,A$2)&amp;""),""))</f>
        <v/>
      </c>
      <c r="B786">
        <f>IF(B$2=0,"",IFERROR(TRIM(INDEX('Pegar estudiantes'!$A$1:$BZ$1001,785,B$2)&amp;""),""))</f>
        <v/>
      </c>
      <c r="C786">
        <f>IF(C$2=0,"",IFERROR(TRIM(INDEX('Pegar estudiantes'!$A$1:$BZ$1001,785,C$2)&amp;""),""))</f>
        <v/>
      </c>
      <c r="D786">
        <f>IF(D$2=0,"",IFERROR(TRIM(INDEX('Pegar estudiantes'!$A$1:$BZ$1001,785,D$2)&amp;""),""))</f>
        <v/>
      </c>
      <c r="E786">
        <f>IF(E$2=0,"",IFERROR(TRIM(INDEX('Pegar estudiantes'!$A$1:$BZ$1001,785,E$2)&amp;""),""))</f>
        <v/>
      </c>
      <c r="F786">
        <f>IF(F$2=0,"",IFERROR(TRIM(INDEX('Pegar estudiantes'!$A$1:$BZ$1001,785,F$2)&amp;""),""))</f>
        <v/>
      </c>
      <c r="G786">
        <f>IF(G$2=0,"",IFERROR(TRIM(INDEX('Pegar estudiantes'!$A$1:$BZ$1001,785,G$2)&amp;""),""))</f>
        <v/>
      </c>
      <c r="H786">
        <f>IF(H$2=0,"",IFERROR(TRIM(INDEX('Pegar estudiantes'!$A$1:$BZ$1001,785,H$2)&amp;""),""))</f>
        <v/>
      </c>
      <c r="I786">
        <f>IF(I$2=0,"",IFERROR(TRIM(INDEX('Pegar estudiantes'!$A$1:$BZ$1001,785,I$2)&amp;""),""))</f>
        <v/>
      </c>
      <c r="J786">
        <f>IF(J$2=0,"",IFERROR(TRIM(INDEX('Pegar estudiantes'!$A$1:$BZ$1001,785,J$2)&amp;""),""))</f>
        <v/>
      </c>
      <c r="K786">
        <f>IF(K$2=0,"",IFERROR(TRIM(INDEX('Pegar estudiantes'!$A$1:$BZ$1001,785,K$2)&amp;""),""))</f>
        <v/>
      </c>
      <c r="L786" s="25">
        <f>IF(A786&lt;&gt;"",1,"")</f>
        <v/>
      </c>
      <c r="M786" s="25">
        <f>IF(L786=1,IF(ISNUMBER(FIND("#"&amp;MID(A786,1,1)&amp;"#","#0#1#2#3#4#5#6#7#8#9#")),IF(ISNUMBER(FIND("#"&amp;MID(A786,2,1)&amp;"#","#0#1#2#3#4#5#6#7#8#9#")),IF(AND(VALUE(LEFT(A786,2))&gt;=1,VALUE(LEFT(A786,2))&lt;=5),VALUE(LEFT(A786,2)),""),IF(AND(VALUE(LEFT(A786,1))&gt;=1,VALUE(LEFT(A786,1))&lt;=5),VALUE(LEFT(A786,1)),"")),""),"")</f>
        <v/>
      </c>
      <c r="N786" s="25">
        <f>IF(L786=1,IF(ISNUMBER(FIND("#"&amp;MID(H786,1,1)&amp;"#","#0#1#2#3#4#5#6#7#8#9#")),IF(ISNUMBER(FIND("#"&amp;MID(H786,2,1)&amp;"#","#0#1#2#3#4#5#6#7#8#9#")),IF(AND(VALUE(LEFT(H786,2))&gt;=1,VALUE(LEFT(H786,2))&lt;=5),VALUE(LEFT(H786,2)),""),IF(AND(VALUE(LEFT(H786,1))&gt;=1,VALUE(LEFT(H786,1))&lt;=5),VALUE(LEFT(H786,1)),"")),""),"")</f>
        <v/>
      </c>
      <c r="O786" s="25">
        <f>IF(AND(L786=1,B786&lt;&gt;""),SUBSTITUTE(SUBSTITUTE(SUBSTITUTE(SUBSTITUTE(SUBSTITUTE(SUBSTITUTE(SUBSTITUTE(SUBSTITUTE(SUBSTITUTE(SUBSTITUTE(SUBSTITUTE(SUBSTITUTE(LOWER(TRIM(B786)),"á","a"),"é","e"),"í","i"),"ó","o"),"ú","u"),"ü","u"),"ñ","n"),"à","a"),"è","e"),"ì","i"),"ò","o"),"ù","u"),"")</f>
        <v/>
      </c>
      <c r="P786" s="25">
        <f>IF(AND(L786=1,C786&lt;&gt;""),SUBSTITUTE(SUBSTITUTE(SUBSTITUTE(SUBSTITUTE(SUBSTITUTE(SUBSTITUTE(SUBSTITUTE(SUBSTITUTE(SUBSTITUTE(SUBSTITUTE(SUBSTITUTE(SUBSTITUTE(LOWER(TRIM(C786)),"á","a"),"é","e"),"í","i"),"ó","o"),"ú","u"),"ü","u"),"ñ","n"),"à","a"),"è","e"),"ì","i"),"ò","o"),"ù","u"),"")</f>
        <v/>
      </c>
      <c r="Q786" s="25">
        <f>IF(AND(L786=1,E786&lt;&gt;""),SUBSTITUTE(SUBSTITUTE(SUBSTITUTE(SUBSTITUTE(SUBSTITUTE(SUBSTITUTE(SUBSTITUTE(SUBSTITUTE(SUBSTITUTE(SUBSTITUTE(SUBSTITUTE(SUBSTITUTE(LOWER(TRIM(E786)),"á","a"),"é","e"),"í","i"),"ó","o"),"ú","u"),"ü","u"),"ñ","n"),"à","a"),"è","e"),"ì","i"),"ò","o"),"ù","u"),"")</f>
        <v/>
      </c>
      <c r="R786" s="25">
        <f>IF(AND(L786=1,I786&lt;&gt;""),SUBSTITUTE(SUBSTITUTE(SUBSTITUTE(SUBSTITUTE(SUBSTITUTE(SUBSTITUTE(SUBSTITUTE(SUBSTITUTE(SUBSTITUTE(SUBSTITUTE(SUBSTITUTE(SUBSTITUTE(LOWER(TRIM(I786)),"á","a"),"é","e"),"í","i"),"ó","o"),"ú","u"),"ü","u"),"ñ","n"),"à","a"),"è","e"),"ì","i"),"ò","o"),"ù","u"),"")</f>
        <v/>
      </c>
      <c r="S786" s="25">
        <f>IF(R786="","",IF(OR(R786="si",R786="tal vez"),1,0))</f>
        <v/>
      </c>
      <c r="T786" s="25">
        <f>IF(AND(L786=1,D786&lt;&gt;""),IF(IFERROR(COUNTIFS(D$3:D786,"="&amp;SUBSTITUTE(SUBSTITUTE(SUBSTITUTE(D786,"~","~~"),"*","~*"),"?","~?"),L$3:L786,1),0)=1,MAX(T$2:T785)+1,""),"")</f>
        <v/>
      </c>
      <c r="U786" s="25">
        <f>IF(T786="","",COUNTIFS($D$3:$D$1002,"="&amp;SUBSTITUTE(SUBSTITUTE(SUBSTITUTE(D786,"~","~~"),"*","~*"),"?","~?"),$L$3:$L$1002,1)*10000-T786)</f>
        <v/>
      </c>
      <c r="V786" s="25">
        <f>IF(AND(L786=1,J786&lt;&gt;""),IF(IFERROR(COUNTIFS(J$3:J786,"="&amp;SUBSTITUTE(SUBSTITUTE(SUBSTITUTE(J786,"~","~~"),"*","~*"),"?","~?"),L$3:L786,1),0)=1,MAX(V$2:V785)+1,""),"")</f>
        <v/>
      </c>
      <c r="W786" s="25">
        <f>IF(V786="","",COUNTIFS($J$3:$J$1002,"="&amp;SUBSTITUTE(SUBSTITUTE(SUBSTITUTE(J786,"~","~~"),"*","~*"),"?","~?"),$L$3:$L$1002,1)*10000-V786)</f>
        <v/>
      </c>
    </row>
    <row r="787">
      <c r="A787">
        <f>IF(A$2=0,"",IFERROR(TRIM(INDEX('Pegar estudiantes'!$A$1:$BZ$1001,786,A$2)&amp;""),""))</f>
        <v/>
      </c>
      <c r="B787">
        <f>IF(B$2=0,"",IFERROR(TRIM(INDEX('Pegar estudiantes'!$A$1:$BZ$1001,786,B$2)&amp;""),""))</f>
        <v/>
      </c>
      <c r="C787">
        <f>IF(C$2=0,"",IFERROR(TRIM(INDEX('Pegar estudiantes'!$A$1:$BZ$1001,786,C$2)&amp;""),""))</f>
        <v/>
      </c>
      <c r="D787">
        <f>IF(D$2=0,"",IFERROR(TRIM(INDEX('Pegar estudiantes'!$A$1:$BZ$1001,786,D$2)&amp;""),""))</f>
        <v/>
      </c>
      <c r="E787">
        <f>IF(E$2=0,"",IFERROR(TRIM(INDEX('Pegar estudiantes'!$A$1:$BZ$1001,786,E$2)&amp;""),""))</f>
        <v/>
      </c>
      <c r="F787">
        <f>IF(F$2=0,"",IFERROR(TRIM(INDEX('Pegar estudiantes'!$A$1:$BZ$1001,786,F$2)&amp;""),""))</f>
        <v/>
      </c>
      <c r="G787">
        <f>IF(G$2=0,"",IFERROR(TRIM(INDEX('Pegar estudiantes'!$A$1:$BZ$1001,786,G$2)&amp;""),""))</f>
        <v/>
      </c>
      <c r="H787">
        <f>IF(H$2=0,"",IFERROR(TRIM(INDEX('Pegar estudiantes'!$A$1:$BZ$1001,786,H$2)&amp;""),""))</f>
        <v/>
      </c>
      <c r="I787">
        <f>IF(I$2=0,"",IFERROR(TRIM(INDEX('Pegar estudiantes'!$A$1:$BZ$1001,786,I$2)&amp;""),""))</f>
        <v/>
      </c>
      <c r="J787">
        <f>IF(J$2=0,"",IFERROR(TRIM(INDEX('Pegar estudiantes'!$A$1:$BZ$1001,786,J$2)&amp;""),""))</f>
        <v/>
      </c>
      <c r="K787">
        <f>IF(K$2=0,"",IFERROR(TRIM(INDEX('Pegar estudiantes'!$A$1:$BZ$1001,786,K$2)&amp;""),""))</f>
        <v/>
      </c>
      <c r="L787" s="25">
        <f>IF(A787&lt;&gt;"",1,"")</f>
        <v/>
      </c>
      <c r="M787" s="25">
        <f>IF(L787=1,IF(ISNUMBER(FIND("#"&amp;MID(A787,1,1)&amp;"#","#0#1#2#3#4#5#6#7#8#9#")),IF(ISNUMBER(FIND("#"&amp;MID(A787,2,1)&amp;"#","#0#1#2#3#4#5#6#7#8#9#")),IF(AND(VALUE(LEFT(A787,2))&gt;=1,VALUE(LEFT(A787,2))&lt;=5),VALUE(LEFT(A787,2)),""),IF(AND(VALUE(LEFT(A787,1))&gt;=1,VALUE(LEFT(A787,1))&lt;=5),VALUE(LEFT(A787,1)),"")),""),"")</f>
        <v/>
      </c>
      <c r="N787" s="25">
        <f>IF(L787=1,IF(ISNUMBER(FIND("#"&amp;MID(H787,1,1)&amp;"#","#0#1#2#3#4#5#6#7#8#9#")),IF(ISNUMBER(FIND("#"&amp;MID(H787,2,1)&amp;"#","#0#1#2#3#4#5#6#7#8#9#")),IF(AND(VALUE(LEFT(H787,2))&gt;=1,VALUE(LEFT(H787,2))&lt;=5),VALUE(LEFT(H787,2)),""),IF(AND(VALUE(LEFT(H787,1))&gt;=1,VALUE(LEFT(H787,1))&lt;=5),VALUE(LEFT(H787,1)),"")),""),"")</f>
        <v/>
      </c>
      <c r="O787" s="25">
        <f>IF(AND(L787=1,B787&lt;&gt;""),SUBSTITUTE(SUBSTITUTE(SUBSTITUTE(SUBSTITUTE(SUBSTITUTE(SUBSTITUTE(SUBSTITUTE(SUBSTITUTE(SUBSTITUTE(SUBSTITUTE(SUBSTITUTE(SUBSTITUTE(LOWER(TRIM(B787)),"á","a"),"é","e"),"í","i"),"ó","o"),"ú","u"),"ü","u"),"ñ","n"),"à","a"),"è","e"),"ì","i"),"ò","o"),"ù","u"),"")</f>
        <v/>
      </c>
      <c r="P787" s="25">
        <f>IF(AND(L787=1,C787&lt;&gt;""),SUBSTITUTE(SUBSTITUTE(SUBSTITUTE(SUBSTITUTE(SUBSTITUTE(SUBSTITUTE(SUBSTITUTE(SUBSTITUTE(SUBSTITUTE(SUBSTITUTE(SUBSTITUTE(SUBSTITUTE(LOWER(TRIM(C787)),"á","a"),"é","e"),"í","i"),"ó","o"),"ú","u"),"ü","u"),"ñ","n"),"à","a"),"è","e"),"ì","i"),"ò","o"),"ù","u"),"")</f>
        <v/>
      </c>
      <c r="Q787" s="25">
        <f>IF(AND(L787=1,E787&lt;&gt;""),SUBSTITUTE(SUBSTITUTE(SUBSTITUTE(SUBSTITUTE(SUBSTITUTE(SUBSTITUTE(SUBSTITUTE(SUBSTITUTE(SUBSTITUTE(SUBSTITUTE(SUBSTITUTE(SUBSTITUTE(LOWER(TRIM(E787)),"á","a"),"é","e"),"í","i"),"ó","o"),"ú","u"),"ü","u"),"ñ","n"),"à","a"),"è","e"),"ì","i"),"ò","o"),"ù","u"),"")</f>
        <v/>
      </c>
      <c r="R787" s="25">
        <f>IF(AND(L787=1,I787&lt;&gt;""),SUBSTITUTE(SUBSTITUTE(SUBSTITUTE(SUBSTITUTE(SUBSTITUTE(SUBSTITUTE(SUBSTITUTE(SUBSTITUTE(SUBSTITUTE(SUBSTITUTE(SUBSTITUTE(SUBSTITUTE(LOWER(TRIM(I787)),"á","a"),"é","e"),"í","i"),"ó","o"),"ú","u"),"ü","u"),"ñ","n"),"à","a"),"è","e"),"ì","i"),"ò","o"),"ù","u"),"")</f>
        <v/>
      </c>
      <c r="S787" s="25">
        <f>IF(R787="","",IF(OR(R787="si",R787="tal vez"),1,0))</f>
        <v/>
      </c>
      <c r="T787" s="25">
        <f>IF(AND(L787=1,D787&lt;&gt;""),IF(IFERROR(COUNTIFS(D$3:D787,"="&amp;SUBSTITUTE(SUBSTITUTE(SUBSTITUTE(D787,"~","~~"),"*","~*"),"?","~?"),L$3:L787,1),0)=1,MAX(T$2:T786)+1,""),"")</f>
        <v/>
      </c>
      <c r="U787" s="25">
        <f>IF(T787="","",COUNTIFS($D$3:$D$1002,"="&amp;SUBSTITUTE(SUBSTITUTE(SUBSTITUTE(D787,"~","~~"),"*","~*"),"?","~?"),$L$3:$L$1002,1)*10000-T787)</f>
        <v/>
      </c>
      <c r="V787" s="25">
        <f>IF(AND(L787=1,J787&lt;&gt;""),IF(IFERROR(COUNTIFS(J$3:J787,"="&amp;SUBSTITUTE(SUBSTITUTE(SUBSTITUTE(J787,"~","~~"),"*","~*"),"?","~?"),L$3:L787,1),0)=1,MAX(V$2:V786)+1,""),"")</f>
        <v/>
      </c>
      <c r="W787" s="25">
        <f>IF(V787="","",COUNTIFS($J$3:$J$1002,"="&amp;SUBSTITUTE(SUBSTITUTE(SUBSTITUTE(J787,"~","~~"),"*","~*"),"?","~?"),$L$3:$L$1002,1)*10000-V787)</f>
        <v/>
      </c>
    </row>
    <row r="788">
      <c r="A788">
        <f>IF(A$2=0,"",IFERROR(TRIM(INDEX('Pegar estudiantes'!$A$1:$BZ$1001,787,A$2)&amp;""),""))</f>
        <v/>
      </c>
      <c r="B788">
        <f>IF(B$2=0,"",IFERROR(TRIM(INDEX('Pegar estudiantes'!$A$1:$BZ$1001,787,B$2)&amp;""),""))</f>
        <v/>
      </c>
      <c r="C788">
        <f>IF(C$2=0,"",IFERROR(TRIM(INDEX('Pegar estudiantes'!$A$1:$BZ$1001,787,C$2)&amp;""),""))</f>
        <v/>
      </c>
      <c r="D788">
        <f>IF(D$2=0,"",IFERROR(TRIM(INDEX('Pegar estudiantes'!$A$1:$BZ$1001,787,D$2)&amp;""),""))</f>
        <v/>
      </c>
      <c r="E788">
        <f>IF(E$2=0,"",IFERROR(TRIM(INDEX('Pegar estudiantes'!$A$1:$BZ$1001,787,E$2)&amp;""),""))</f>
        <v/>
      </c>
      <c r="F788">
        <f>IF(F$2=0,"",IFERROR(TRIM(INDEX('Pegar estudiantes'!$A$1:$BZ$1001,787,F$2)&amp;""),""))</f>
        <v/>
      </c>
      <c r="G788">
        <f>IF(G$2=0,"",IFERROR(TRIM(INDEX('Pegar estudiantes'!$A$1:$BZ$1001,787,G$2)&amp;""),""))</f>
        <v/>
      </c>
      <c r="H788">
        <f>IF(H$2=0,"",IFERROR(TRIM(INDEX('Pegar estudiantes'!$A$1:$BZ$1001,787,H$2)&amp;""),""))</f>
        <v/>
      </c>
      <c r="I788">
        <f>IF(I$2=0,"",IFERROR(TRIM(INDEX('Pegar estudiantes'!$A$1:$BZ$1001,787,I$2)&amp;""),""))</f>
        <v/>
      </c>
      <c r="J788">
        <f>IF(J$2=0,"",IFERROR(TRIM(INDEX('Pegar estudiantes'!$A$1:$BZ$1001,787,J$2)&amp;""),""))</f>
        <v/>
      </c>
      <c r="K788">
        <f>IF(K$2=0,"",IFERROR(TRIM(INDEX('Pegar estudiantes'!$A$1:$BZ$1001,787,K$2)&amp;""),""))</f>
        <v/>
      </c>
      <c r="L788" s="25">
        <f>IF(A788&lt;&gt;"",1,"")</f>
        <v/>
      </c>
      <c r="M788" s="25">
        <f>IF(L788=1,IF(ISNUMBER(FIND("#"&amp;MID(A788,1,1)&amp;"#","#0#1#2#3#4#5#6#7#8#9#")),IF(ISNUMBER(FIND("#"&amp;MID(A788,2,1)&amp;"#","#0#1#2#3#4#5#6#7#8#9#")),IF(AND(VALUE(LEFT(A788,2))&gt;=1,VALUE(LEFT(A788,2))&lt;=5),VALUE(LEFT(A788,2)),""),IF(AND(VALUE(LEFT(A788,1))&gt;=1,VALUE(LEFT(A788,1))&lt;=5),VALUE(LEFT(A788,1)),"")),""),"")</f>
        <v/>
      </c>
      <c r="N788" s="25">
        <f>IF(L788=1,IF(ISNUMBER(FIND("#"&amp;MID(H788,1,1)&amp;"#","#0#1#2#3#4#5#6#7#8#9#")),IF(ISNUMBER(FIND("#"&amp;MID(H788,2,1)&amp;"#","#0#1#2#3#4#5#6#7#8#9#")),IF(AND(VALUE(LEFT(H788,2))&gt;=1,VALUE(LEFT(H788,2))&lt;=5),VALUE(LEFT(H788,2)),""),IF(AND(VALUE(LEFT(H788,1))&gt;=1,VALUE(LEFT(H788,1))&lt;=5),VALUE(LEFT(H788,1)),"")),""),"")</f>
        <v/>
      </c>
      <c r="O788" s="25">
        <f>IF(AND(L788=1,B788&lt;&gt;""),SUBSTITUTE(SUBSTITUTE(SUBSTITUTE(SUBSTITUTE(SUBSTITUTE(SUBSTITUTE(SUBSTITUTE(SUBSTITUTE(SUBSTITUTE(SUBSTITUTE(SUBSTITUTE(SUBSTITUTE(LOWER(TRIM(B788)),"á","a"),"é","e"),"í","i"),"ó","o"),"ú","u"),"ü","u"),"ñ","n"),"à","a"),"è","e"),"ì","i"),"ò","o"),"ù","u"),"")</f>
        <v/>
      </c>
      <c r="P788" s="25">
        <f>IF(AND(L788=1,C788&lt;&gt;""),SUBSTITUTE(SUBSTITUTE(SUBSTITUTE(SUBSTITUTE(SUBSTITUTE(SUBSTITUTE(SUBSTITUTE(SUBSTITUTE(SUBSTITUTE(SUBSTITUTE(SUBSTITUTE(SUBSTITUTE(LOWER(TRIM(C788)),"á","a"),"é","e"),"í","i"),"ó","o"),"ú","u"),"ü","u"),"ñ","n"),"à","a"),"è","e"),"ì","i"),"ò","o"),"ù","u"),"")</f>
        <v/>
      </c>
      <c r="Q788" s="25">
        <f>IF(AND(L788=1,E788&lt;&gt;""),SUBSTITUTE(SUBSTITUTE(SUBSTITUTE(SUBSTITUTE(SUBSTITUTE(SUBSTITUTE(SUBSTITUTE(SUBSTITUTE(SUBSTITUTE(SUBSTITUTE(SUBSTITUTE(SUBSTITUTE(LOWER(TRIM(E788)),"á","a"),"é","e"),"í","i"),"ó","o"),"ú","u"),"ü","u"),"ñ","n"),"à","a"),"è","e"),"ì","i"),"ò","o"),"ù","u"),"")</f>
        <v/>
      </c>
      <c r="R788" s="25">
        <f>IF(AND(L788=1,I788&lt;&gt;""),SUBSTITUTE(SUBSTITUTE(SUBSTITUTE(SUBSTITUTE(SUBSTITUTE(SUBSTITUTE(SUBSTITUTE(SUBSTITUTE(SUBSTITUTE(SUBSTITUTE(SUBSTITUTE(SUBSTITUTE(LOWER(TRIM(I788)),"á","a"),"é","e"),"í","i"),"ó","o"),"ú","u"),"ü","u"),"ñ","n"),"à","a"),"è","e"),"ì","i"),"ò","o"),"ù","u"),"")</f>
        <v/>
      </c>
      <c r="S788" s="25">
        <f>IF(R788="","",IF(OR(R788="si",R788="tal vez"),1,0))</f>
        <v/>
      </c>
      <c r="T788" s="25">
        <f>IF(AND(L788=1,D788&lt;&gt;""),IF(IFERROR(COUNTIFS(D$3:D788,"="&amp;SUBSTITUTE(SUBSTITUTE(SUBSTITUTE(D788,"~","~~"),"*","~*"),"?","~?"),L$3:L788,1),0)=1,MAX(T$2:T787)+1,""),"")</f>
        <v/>
      </c>
      <c r="U788" s="25">
        <f>IF(T788="","",COUNTIFS($D$3:$D$1002,"="&amp;SUBSTITUTE(SUBSTITUTE(SUBSTITUTE(D788,"~","~~"),"*","~*"),"?","~?"),$L$3:$L$1002,1)*10000-T788)</f>
        <v/>
      </c>
      <c r="V788" s="25">
        <f>IF(AND(L788=1,J788&lt;&gt;""),IF(IFERROR(COUNTIFS(J$3:J788,"="&amp;SUBSTITUTE(SUBSTITUTE(SUBSTITUTE(J788,"~","~~"),"*","~*"),"?","~?"),L$3:L788,1),0)=1,MAX(V$2:V787)+1,""),"")</f>
        <v/>
      </c>
      <c r="W788" s="25">
        <f>IF(V788="","",COUNTIFS($J$3:$J$1002,"="&amp;SUBSTITUTE(SUBSTITUTE(SUBSTITUTE(J788,"~","~~"),"*","~*"),"?","~?"),$L$3:$L$1002,1)*10000-V788)</f>
        <v/>
      </c>
    </row>
    <row r="789">
      <c r="A789">
        <f>IF(A$2=0,"",IFERROR(TRIM(INDEX('Pegar estudiantes'!$A$1:$BZ$1001,788,A$2)&amp;""),""))</f>
        <v/>
      </c>
      <c r="B789">
        <f>IF(B$2=0,"",IFERROR(TRIM(INDEX('Pegar estudiantes'!$A$1:$BZ$1001,788,B$2)&amp;""),""))</f>
        <v/>
      </c>
      <c r="C789">
        <f>IF(C$2=0,"",IFERROR(TRIM(INDEX('Pegar estudiantes'!$A$1:$BZ$1001,788,C$2)&amp;""),""))</f>
        <v/>
      </c>
      <c r="D789">
        <f>IF(D$2=0,"",IFERROR(TRIM(INDEX('Pegar estudiantes'!$A$1:$BZ$1001,788,D$2)&amp;""),""))</f>
        <v/>
      </c>
      <c r="E789">
        <f>IF(E$2=0,"",IFERROR(TRIM(INDEX('Pegar estudiantes'!$A$1:$BZ$1001,788,E$2)&amp;""),""))</f>
        <v/>
      </c>
      <c r="F789">
        <f>IF(F$2=0,"",IFERROR(TRIM(INDEX('Pegar estudiantes'!$A$1:$BZ$1001,788,F$2)&amp;""),""))</f>
        <v/>
      </c>
      <c r="G789">
        <f>IF(G$2=0,"",IFERROR(TRIM(INDEX('Pegar estudiantes'!$A$1:$BZ$1001,788,G$2)&amp;""),""))</f>
        <v/>
      </c>
      <c r="H789">
        <f>IF(H$2=0,"",IFERROR(TRIM(INDEX('Pegar estudiantes'!$A$1:$BZ$1001,788,H$2)&amp;""),""))</f>
        <v/>
      </c>
      <c r="I789">
        <f>IF(I$2=0,"",IFERROR(TRIM(INDEX('Pegar estudiantes'!$A$1:$BZ$1001,788,I$2)&amp;""),""))</f>
        <v/>
      </c>
      <c r="J789">
        <f>IF(J$2=0,"",IFERROR(TRIM(INDEX('Pegar estudiantes'!$A$1:$BZ$1001,788,J$2)&amp;""),""))</f>
        <v/>
      </c>
      <c r="K789">
        <f>IF(K$2=0,"",IFERROR(TRIM(INDEX('Pegar estudiantes'!$A$1:$BZ$1001,788,K$2)&amp;""),""))</f>
        <v/>
      </c>
      <c r="L789" s="25">
        <f>IF(A789&lt;&gt;"",1,"")</f>
        <v/>
      </c>
      <c r="M789" s="25">
        <f>IF(L789=1,IF(ISNUMBER(FIND("#"&amp;MID(A789,1,1)&amp;"#","#0#1#2#3#4#5#6#7#8#9#")),IF(ISNUMBER(FIND("#"&amp;MID(A789,2,1)&amp;"#","#0#1#2#3#4#5#6#7#8#9#")),IF(AND(VALUE(LEFT(A789,2))&gt;=1,VALUE(LEFT(A789,2))&lt;=5),VALUE(LEFT(A789,2)),""),IF(AND(VALUE(LEFT(A789,1))&gt;=1,VALUE(LEFT(A789,1))&lt;=5),VALUE(LEFT(A789,1)),"")),""),"")</f>
        <v/>
      </c>
      <c r="N789" s="25">
        <f>IF(L789=1,IF(ISNUMBER(FIND("#"&amp;MID(H789,1,1)&amp;"#","#0#1#2#3#4#5#6#7#8#9#")),IF(ISNUMBER(FIND("#"&amp;MID(H789,2,1)&amp;"#","#0#1#2#3#4#5#6#7#8#9#")),IF(AND(VALUE(LEFT(H789,2))&gt;=1,VALUE(LEFT(H789,2))&lt;=5),VALUE(LEFT(H789,2)),""),IF(AND(VALUE(LEFT(H789,1))&gt;=1,VALUE(LEFT(H789,1))&lt;=5),VALUE(LEFT(H789,1)),"")),""),"")</f>
        <v/>
      </c>
      <c r="O789" s="25">
        <f>IF(AND(L789=1,B789&lt;&gt;""),SUBSTITUTE(SUBSTITUTE(SUBSTITUTE(SUBSTITUTE(SUBSTITUTE(SUBSTITUTE(SUBSTITUTE(SUBSTITUTE(SUBSTITUTE(SUBSTITUTE(SUBSTITUTE(SUBSTITUTE(LOWER(TRIM(B789)),"á","a"),"é","e"),"í","i"),"ó","o"),"ú","u"),"ü","u"),"ñ","n"),"à","a"),"è","e"),"ì","i"),"ò","o"),"ù","u"),"")</f>
        <v/>
      </c>
      <c r="P789" s="25">
        <f>IF(AND(L789=1,C789&lt;&gt;""),SUBSTITUTE(SUBSTITUTE(SUBSTITUTE(SUBSTITUTE(SUBSTITUTE(SUBSTITUTE(SUBSTITUTE(SUBSTITUTE(SUBSTITUTE(SUBSTITUTE(SUBSTITUTE(SUBSTITUTE(LOWER(TRIM(C789)),"á","a"),"é","e"),"í","i"),"ó","o"),"ú","u"),"ü","u"),"ñ","n"),"à","a"),"è","e"),"ì","i"),"ò","o"),"ù","u"),"")</f>
        <v/>
      </c>
      <c r="Q789" s="25">
        <f>IF(AND(L789=1,E789&lt;&gt;""),SUBSTITUTE(SUBSTITUTE(SUBSTITUTE(SUBSTITUTE(SUBSTITUTE(SUBSTITUTE(SUBSTITUTE(SUBSTITUTE(SUBSTITUTE(SUBSTITUTE(SUBSTITUTE(SUBSTITUTE(LOWER(TRIM(E789)),"á","a"),"é","e"),"í","i"),"ó","o"),"ú","u"),"ü","u"),"ñ","n"),"à","a"),"è","e"),"ì","i"),"ò","o"),"ù","u"),"")</f>
        <v/>
      </c>
      <c r="R789" s="25">
        <f>IF(AND(L789=1,I789&lt;&gt;""),SUBSTITUTE(SUBSTITUTE(SUBSTITUTE(SUBSTITUTE(SUBSTITUTE(SUBSTITUTE(SUBSTITUTE(SUBSTITUTE(SUBSTITUTE(SUBSTITUTE(SUBSTITUTE(SUBSTITUTE(LOWER(TRIM(I789)),"á","a"),"é","e"),"í","i"),"ó","o"),"ú","u"),"ü","u"),"ñ","n"),"à","a"),"è","e"),"ì","i"),"ò","o"),"ù","u"),"")</f>
        <v/>
      </c>
      <c r="S789" s="25">
        <f>IF(R789="","",IF(OR(R789="si",R789="tal vez"),1,0))</f>
        <v/>
      </c>
      <c r="T789" s="25">
        <f>IF(AND(L789=1,D789&lt;&gt;""),IF(IFERROR(COUNTIFS(D$3:D789,"="&amp;SUBSTITUTE(SUBSTITUTE(SUBSTITUTE(D789,"~","~~"),"*","~*"),"?","~?"),L$3:L789,1),0)=1,MAX(T$2:T788)+1,""),"")</f>
        <v/>
      </c>
      <c r="U789" s="25">
        <f>IF(T789="","",COUNTIFS($D$3:$D$1002,"="&amp;SUBSTITUTE(SUBSTITUTE(SUBSTITUTE(D789,"~","~~"),"*","~*"),"?","~?"),$L$3:$L$1002,1)*10000-T789)</f>
        <v/>
      </c>
      <c r="V789" s="25">
        <f>IF(AND(L789=1,J789&lt;&gt;""),IF(IFERROR(COUNTIFS(J$3:J789,"="&amp;SUBSTITUTE(SUBSTITUTE(SUBSTITUTE(J789,"~","~~"),"*","~*"),"?","~?"),L$3:L789,1),0)=1,MAX(V$2:V788)+1,""),"")</f>
        <v/>
      </c>
      <c r="W789" s="25">
        <f>IF(V789="","",COUNTIFS($J$3:$J$1002,"="&amp;SUBSTITUTE(SUBSTITUTE(SUBSTITUTE(J789,"~","~~"),"*","~*"),"?","~?"),$L$3:$L$1002,1)*10000-V789)</f>
        <v/>
      </c>
    </row>
    <row r="790">
      <c r="A790">
        <f>IF(A$2=0,"",IFERROR(TRIM(INDEX('Pegar estudiantes'!$A$1:$BZ$1001,789,A$2)&amp;""),""))</f>
        <v/>
      </c>
      <c r="B790">
        <f>IF(B$2=0,"",IFERROR(TRIM(INDEX('Pegar estudiantes'!$A$1:$BZ$1001,789,B$2)&amp;""),""))</f>
        <v/>
      </c>
      <c r="C790">
        <f>IF(C$2=0,"",IFERROR(TRIM(INDEX('Pegar estudiantes'!$A$1:$BZ$1001,789,C$2)&amp;""),""))</f>
        <v/>
      </c>
      <c r="D790">
        <f>IF(D$2=0,"",IFERROR(TRIM(INDEX('Pegar estudiantes'!$A$1:$BZ$1001,789,D$2)&amp;""),""))</f>
        <v/>
      </c>
      <c r="E790">
        <f>IF(E$2=0,"",IFERROR(TRIM(INDEX('Pegar estudiantes'!$A$1:$BZ$1001,789,E$2)&amp;""),""))</f>
        <v/>
      </c>
      <c r="F790">
        <f>IF(F$2=0,"",IFERROR(TRIM(INDEX('Pegar estudiantes'!$A$1:$BZ$1001,789,F$2)&amp;""),""))</f>
        <v/>
      </c>
      <c r="G790">
        <f>IF(G$2=0,"",IFERROR(TRIM(INDEX('Pegar estudiantes'!$A$1:$BZ$1001,789,G$2)&amp;""),""))</f>
        <v/>
      </c>
      <c r="H790">
        <f>IF(H$2=0,"",IFERROR(TRIM(INDEX('Pegar estudiantes'!$A$1:$BZ$1001,789,H$2)&amp;""),""))</f>
        <v/>
      </c>
      <c r="I790">
        <f>IF(I$2=0,"",IFERROR(TRIM(INDEX('Pegar estudiantes'!$A$1:$BZ$1001,789,I$2)&amp;""),""))</f>
        <v/>
      </c>
      <c r="J790">
        <f>IF(J$2=0,"",IFERROR(TRIM(INDEX('Pegar estudiantes'!$A$1:$BZ$1001,789,J$2)&amp;""),""))</f>
        <v/>
      </c>
      <c r="K790">
        <f>IF(K$2=0,"",IFERROR(TRIM(INDEX('Pegar estudiantes'!$A$1:$BZ$1001,789,K$2)&amp;""),""))</f>
        <v/>
      </c>
      <c r="L790" s="25">
        <f>IF(A790&lt;&gt;"",1,"")</f>
        <v/>
      </c>
      <c r="M790" s="25">
        <f>IF(L790=1,IF(ISNUMBER(FIND("#"&amp;MID(A790,1,1)&amp;"#","#0#1#2#3#4#5#6#7#8#9#")),IF(ISNUMBER(FIND("#"&amp;MID(A790,2,1)&amp;"#","#0#1#2#3#4#5#6#7#8#9#")),IF(AND(VALUE(LEFT(A790,2))&gt;=1,VALUE(LEFT(A790,2))&lt;=5),VALUE(LEFT(A790,2)),""),IF(AND(VALUE(LEFT(A790,1))&gt;=1,VALUE(LEFT(A790,1))&lt;=5),VALUE(LEFT(A790,1)),"")),""),"")</f>
        <v/>
      </c>
      <c r="N790" s="25">
        <f>IF(L790=1,IF(ISNUMBER(FIND("#"&amp;MID(H790,1,1)&amp;"#","#0#1#2#3#4#5#6#7#8#9#")),IF(ISNUMBER(FIND("#"&amp;MID(H790,2,1)&amp;"#","#0#1#2#3#4#5#6#7#8#9#")),IF(AND(VALUE(LEFT(H790,2))&gt;=1,VALUE(LEFT(H790,2))&lt;=5),VALUE(LEFT(H790,2)),""),IF(AND(VALUE(LEFT(H790,1))&gt;=1,VALUE(LEFT(H790,1))&lt;=5),VALUE(LEFT(H790,1)),"")),""),"")</f>
        <v/>
      </c>
      <c r="O790" s="25">
        <f>IF(AND(L790=1,B790&lt;&gt;""),SUBSTITUTE(SUBSTITUTE(SUBSTITUTE(SUBSTITUTE(SUBSTITUTE(SUBSTITUTE(SUBSTITUTE(SUBSTITUTE(SUBSTITUTE(SUBSTITUTE(SUBSTITUTE(SUBSTITUTE(LOWER(TRIM(B790)),"á","a"),"é","e"),"í","i"),"ó","o"),"ú","u"),"ü","u"),"ñ","n"),"à","a"),"è","e"),"ì","i"),"ò","o"),"ù","u"),"")</f>
        <v/>
      </c>
      <c r="P790" s="25">
        <f>IF(AND(L790=1,C790&lt;&gt;""),SUBSTITUTE(SUBSTITUTE(SUBSTITUTE(SUBSTITUTE(SUBSTITUTE(SUBSTITUTE(SUBSTITUTE(SUBSTITUTE(SUBSTITUTE(SUBSTITUTE(SUBSTITUTE(SUBSTITUTE(LOWER(TRIM(C790)),"á","a"),"é","e"),"í","i"),"ó","o"),"ú","u"),"ü","u"),"ñ","n"),"à","a"),"è","e"),"ì","i"),"ò","o"),"ù","u"),"")</f>
        <v/>
      </c>
      <c r="Q790" s="25">
        <f>IF(AND(L790=1,E790&lt;&gt;""),SUBSTITUTE(SUBSTITUTE(SUBSTITUTE(SUBSTITUTE(SUBSTITUTE(SUBSTITUTE(SUBSTITUTE(SUBSTITUTE(SUBSTITUTE(SUBSTITUTE(SUBSTITUTE(SUBSTITUTE(LOWER(TRIM(E790)),"á","a"),"é","e"),"í","i"),"ó","o"),"ú","u"),"ü","u"),"ñ","n"),"à","a"),"è","e"),"ì","i"),"ò","o"),"ù","u"),"")</f>
        <v/>
      </c>
      <c r="R790" s="25">
        <f>IF(AND(L790=1,I790&lt;&gt;""),SUBSTITUTE(SUBSTITUTE(SUBSTITUTE(SUBSTITUTE(SUBSTITUTE(SUBSTITUTE(SUBSTITUTE(SUBSTITUTE(SUBSTITUTE(SUBSTITUTE(SUBSTITUTE(SUBSTITUTE(LOWER(TRIM(I790)),"á","a"),"é","e"),"í","i"),"ó","o"),"ú","u"),"ü","u"),"ñ","n"),"à","a"),"è","e"),"ì","i"),"ò","o"),"ù","u"),"")</f>
        <v/>
      </c>
      <c r="S790" s="25">
        <f>IF(R790="","",IF(OR(R790="si",R790="tal vez"),1,0))</f>
        <v/>
      </c>
      <c r="T790" s="25">
        <f>IF(AND(L790=1,D790&lt;&gt;""),IF(IFERROR(COUNTIFS(D$3:D790,"="&amp;SUBSTITUTE(SUBSTITUTE(SUBSTITUTE(D790,"~","~~"),"*","~*"),"?","~?"),L$3:L790,1),0)=1,MAX(T$2:T789)+1,""),"")</f>
        <v/>
      </c>
      <c r="U790" s="25">
        <f>IF(T790="","",COUNTIFS($D$3:$D$1002,"="&amp;SUBSTITUTE(SUBSTITUTE(SUBSTITUTE(D790,"~","~~"),"*","~*"),"?","~?"),$L$3:$L$1002,1)*10000-T790)</f>
        <v/>
      </c>
      <c r="V790" s="25">
        <f>IF(AND(L790=1,J790&lt;&gt;""),IF(IFERROR(COUNTIFS(J$3:J790,"="&amp;SUBSTITUTE(SUBSTITUTE(SUBSTITUTE(J790,"~","~~"),"*","~*"),"?","~?"),L$3:L790,1),0)=1,MAX(V$2:V789)+1,""),"")</f>
        <v/>
      </c>
      <c r="W790" s="25">
        <f>IF(V790="","",COUNTIFS($J$3:$J$1002,"="&amp;SUBSTITUTE(SUBSTITUTE(SUBSTITUTE(J790,"~","~~"),"*","~*"),"?","~?"),$L$3:$L$1002,1)*10000-V790)</f>
        <v/>
      </c>
    </row>
    <row r="791">
      <c r="A791">
        <f>IF(A$2=0,"",IFERROR(TRIM(INDEX('Pegar estudiantes'!$A$1:$BZ$1001,790,A$2)&amp;""),""))</f>
        <v/>
      </c>
      <c r="B791">
        <f>IF(B$2=0,"",IFERROR(TRIM(INDEX('Pegar estudiantes'!$A$1:$BZ$1001,790,B$2)&amp;""),""))</f>
        <v/>
      </c>
      <c r="C791">
        <f>IF(C$2=0,"",IFERROR(TRIM(INDEX('Pegar estudiantes'!$A$1:$BZ$1001,790,C$2)&amp;""),""))</f>
        <v/>
      </c>
      <c r="D791">
        <f>IF(D$2=0,"",IFERROR(TRIM(INDEX('Pegar estudiantes'!$A$1:$BZ$1001,790,D$2)&amp;""),""))</f>
        <v/>
      </c>
      <c r="E791">
        <f>IF(E$2=0,"",IFERROR(TRIM(INDEX('Pegar estudiantes'!$A$1:$BZ$1001,790,E$2)&amp;""),""))</f>
        <v/>
      </c>
      <c r="F791">
        <f>IF(F$2=0,"",IFERROR(TRIM(INDEX('Pegar estudiantes'!$A$1:$BZ$1001,790,F$2)&amp;""),""))</f>
        <v/>
      </c>
      <c r="G791">
        <f>IF(G$2=0,"",IFERROR(TRIM(INDEX('Pegar estudiantes'!$A$1:$BZ$1001,790,G$2)&amp;""),""))</f>
        <v/>
      </c>
      <c r="H791">
        <f>IF(H$2=0,"",IFERROR(TRIM(INDEX('Pegar estudiantes'!$A$1:$BZ$1001,790,H$2)&amp;""),""))</f>
        <v/>
      </c>
      <c r="I791">
        <f>IF(I$2=0,"",IFERROR(TRIM(INDEX('Pegar estudiantes'!$A$1:$BZ$1001,790,I$2)&amp;""),""))</f>
        <v/>
      </c>
      <c r="J791">
        <f>IF(J$2=0,"",IFERROR(TRIM(INDEX('Pegar estudiantes'!$A$1:$BZ$1001,790,J$2)&amp;""),""))</f>
        <v/>
      </c>
      <c r="K791">
        <f>IF(K$2=0,"",IFERROR(TRIM(INDEX('Pegar estudiantes'!$A$1:$BZ$1001,790,K$2)&amp;""),""))</f>
        <v/>
      </c>
      <c r="L791" s="25">
        <f>IF(A791&lt;&gt;"",1,"")</f>
        <v/>
      </c>
      <c r="M791" s="25">
        <f>IF(L791=1,IF(ISNUMBER(FIND("#"&amp;MID(A791,1,1)&amp;"#","#0#1#2#3#4#5#6#7#8#9#")),IF(ISNUMBER(FIND("#"&amp;MID(A791,2,1)&amp;"#","#0#1#2#3#4#5#6#7#8#9#")),IF(AND(VALUE(LEFT(A791,2))&gt;=1,VALUE(LEFT(A791,2))&lt;=5),VALUE(LEFT(A791,2)),""),IF(AND(VALUE(LEFT(A791,1))&gt;=1,VALUE(LEFT(A791,1))&lt;=5),VALUE(LEFT(A791,1)),"")),""),"")</f>
        <v/>
      </c>
      <c r="N791" s="25">
        <f>IF(L791=1,IF(ISNUMBER(FIND("#"&amp;MID(H791,1,1)&amp;"#","#0#1#2#3#4#5#6#7#8#9#")),IF(ISNUMBER(FIND("#"&amp;MID(H791,2,1)&amp;"#","#0#1#2#3#4#5#6#7#8#9#")),IF(AND(VALUE(LEFT(H791,2))&gt;=1,VALUE(LEFT(H791,2))&lt;=5),VALUE(LEFT(H791,2)),""),IF(AND(VALUE(LEFT(H791,1))&gt;=1,VALUE(LEFT(H791,1))&lt;=5),VALUE(LEFT(H791,1)),"")),""),"")</f>
        <v/>
      </c>
      <c r="O791" s="25">
        <f>IF(AND(L791=1,B791&lt;&gt;""),SUBSTITUTE(SUBSTITUTE(SUBSTITUTE(SUBSTITUTE(SUBSTITUTE(SUBSTITUTE(SUBSTITUTE(SUBSTITUTE(SUBSTITUTE(SUBSTITUTE(SUBSTITUTE(SUBSTITUTE(LOWER(TRIM(B791)),"á","a"),"é","e"),"í","i"),"ó","o"),"ú","u"),"ü","u"),"ñ","n"),"à","a"),"è","e"),"ì","i"),"ò","o"),"ù","u"),"")</f>
        <v/>
      </c>
      <c r="P791" s="25">
        <f>IF(AND(L791=1,C791&lt;&gt;""),SUBSTITUTE(SUBSTITUTE(SUBSTITUTE(SUBSTITUTE(SUBSTITUTE(SUBSTITUTE(SUBSTITUTE(SUBSTITUTE(SUBSTITUTE(SUBSTITUTE(SUBSTITUTE(SUBSTITUTE(LOWER(TRIM(C791)),"á","a"),"é","e"),"í","i"),"ó","o"),"ú","u"),"ü","u"),"ñ","n"),"à","a"),"è","e"),"ì","i"),"ò","o"),"ù","u"),"")</f>
        <v/>
      </c>
      <c r="Q791" s="25">
        <f>IF(AND(L791=1,E791&lt;&gt;""),SUBSTITUTE(SUBSTITUTE(SUBSTITUTE(SUBSTITUTE(SUBSTITUTE(SUBSTITUTE(SUBSTITUTE(SUBSTITUTE(SUBSTITUTE(SUBSTITUTE(SUBSTITUTE(SUBSTITUTE(LOWER(TRIM(E791)),"á","a"),"é","e"),"í","i"),"ó","o"),"ú","u"),"ü","u"),"ñ","n"),"à","a"),"è","e"),"ì","i"),"ò","o"),"ù","u"),"")</f>
        <v/>
      </c>
      <c r="R791" s="25">
        <f>IF(AND(L791=1,I791&lt;&gt;""),SUBSTITUTE(SUBSTITUTE(SUBSTITUTE(SUBSTITUTE(SUBSTITUTE(SUBSTITUTE(SUBSTITUTE(SUBSTITUTE(SUBSTITUTE(SUBSTITUTE(SUBSTITUTE(SUBSTITUTE(LOWER(TRIM(I791)),"á","a"),"é","e"),"í","i"),"ó","o"),"ú","u"),"ü","u"),"ñ","n"),"à","a"),"è","e"),"ì","i"),"ò","o"),"ù","u"),"")</f>
        <v/>
      </c>
      <c r="S791" s="25">
        <f>IF(R791="","",IF(OR(R791="si",R791="tal vez"),1,0))</f>
        <v/>
      </c>
      <c r="T791" s="25">
        <f>IF(AND(L791=1,D791&lt;&gt;""),IF(IFERROR(COUNTIFS(D$3:D791,"="&amp;SUBSTITUTE(SUBSTITUTE(SUBSTITUTE(D791,"~","~~"),"*","~*"),"?","~?"),L$3:L791,1),0)=1,MAX(T$2:T790)+1,""),"")</f>
        <v/>
      </c>
      <c r="U791" s="25">
        <f>IF(T791="","",COUNTIFS($D$3:$D$1002,"="&amp;SUBSTITUTE(SUBSTITUTE(SUBSTITUTE(D791,"~","~~"),"*","~*"),"?","~?"),$L$3:$L$1002,1)*10000-T791)</f>
        <v/>
      </c>
      <c r="V791" s="25">
        <f>IF(AND(L791=1,J791&lt;&gt;""),IF(IFERROR(COUNTIFS(J$3:J791,"="&amp;SUBSTITUTE(SUBSTITUTE(SUBSTITUTE(J791,"~","~~"),"*","~*"),"?","~?"),L$3:L791,1),0)=1,MAX(V$2:V790)+1,""),"")</f>
        <v/>
      </c>
      <c r="W791" s="25">
        <f>IF(V791="","",COUNTIFS($J$3:$J$1002,"="&amp;SUBSTITUTE(SUBSTITUTE(SUBSTITUTE(J791,"~","~~"),"*","~*"),"?","~?"),$L$3:$L$1002,1)*10000-V791)</f>
        <v/>
      </c>
    </row>
    <row r="792">
      <c r="A792">
        <f>IF(A$2=0,"",IFERROR(TRIM(INDEX('Pegar estudiantes'!$A$1:$BZ$1001,791,A$2)&amp;""),""))</f>
        <v/>
      </c>
      <c r="B792">
        <f>IF(B$2=0,"",IFERROR(TRIM(INDEX('Pegar estudiantes'!$A$1:$BZ$1001,791,B$2)&amp;""),""))</f>
        <v/>
      </c>
      <c r="C792">
        <f>IF(C$2=0,"",IFERROR(TRIM(INDEX('Pegar estudiantes'!$A$1:$BZ$1001,791,C$2)&amp;""),""))</f>
        <v/>
      </c>
      <c r="D792">
        <f>IF(D$2=0,"",IFERROR(TRIM(INDEX('Pegar estudiantes'!$A$1:$BZ$1001,791,D$2)&amp;""),""))</f>
        <v/>
      </c>
      <c r="E792">
        <f>IF(E$2=0,"",IFERROR(TRIM(INDEX('Pegar estudiantes'!$A$1:$BZ$1001,791,E$2)&amp;""),""))</f>
        <v/>
      </c>
      <c r="F792">
        <f>IF(F$2=0,"",IFERROR(TRIM(INDEX('Pegar estudiantes'!$A$1:$BZ$1001,791,F$2)&amp;""),""))</f>
        <v/>
      </c>
      <c r="G792">
        <f>IF(G$2=0,"",IFERROR(TRIM(INDEX('Pegar estudiantes'!$A$1:$BZ$1001,791,G$2)&amp;""),""))</f>
        <v/>
      </c>
      <c r="H792">
        <f>IF(H$2=0,"",IFERROR(TRIM(INDEX('Pegar estudiantes'!$A$1:$BZ$1001,791,H$2)&amp;""),""))</f>
        <v/>
      </c>
      <c r="I792">
        <f>IF(I$2=0,"",IFERROR(TRIM(INDEX('Pegar estudiantes'!$A$1:$BZ$1001,791,I$2)&amp;""),""))</f>
        <v/>
      </c>
      <c r="J792">
        <f>IF(J$2=0,"",IFERROR(TRIM(INDEX('Pegar estudiantes'!$A$1:$BZ$1001,791,J$2)&amp;""),""))</f>
        <v/>
      </c>
      <c r="K792">
        <f>IF(K$2=0,"",IFERROR(TRIM(INDEX('Pegar estudiantes'!$A$1:$BZ$1001,791,K$2)&amp;""),""))</f>
        <v/>
      </c>
      <c r="L792" s="25">
        <f>IF(A792&lt;&gt;"",1,"")</f>
        <v/>
      </c>
      <c r="M792" s="25">
        <f>IF(L792=1,IF(ISNUMBER(FIND("#"&amp;MID(A792,1,1)&amp;"#","#0#1#2#3#4#5#6#7#8#9#")),IF(ISNUMBER(FIND("#"&amp;MID(A792,2,1)&amp;"#","#0#1#2#3#4#5#6#7#8#9#")),IF(AND(VALUE(LEFT(A792,2))&gt;=1,VALUE(LEFT(A792,2))&lt;=5),VALUE(LEFT(A792,2)),""),IF(AND(VALUE(LEFT(A792,1))&gt;=1,VALUE(LEFT(A792,1))&lt;=5),VALUE(LEFT(A792,1)),"")),""),"")</f>
        <v/>
      </c>
      <c r="N792" s="25">
        <f>IF(L792=1,IF(ISNUMBER(FIND("#"&amp;MID(H792,1,1)&amp;"#","#0#1#2#3#4#5#6#7#8#9#")),IF(ISNUMBER(FIND("#"&amp;MID(H792,2,1)&amp;"#","#0#1#2#3#4#5#6#7#8#9#")),IF(AND(VALUE(LEFT(H792,2))&gt;=1,VALUE(LEFT(H792,2))&lt;=5),VALUE(LEFT(H792,2)),""),IF(AND(VALUE(LEFT(H792,1))&gt;=1,VALUE(LEFT(H792,1))&lt;=5),VALUE(LEFT(H792,1)),"")),""),"")</f>
        <v/>
      </c>
      <c r="O792" s="25">
        <f>IF(AND(L792=1,B792&lt;&gt;""),SUBSTITUTE(SUBSTITUTE(SUBSTITUTE(SUBSTITUTE(SUBSTITUTE(SUBSTITUTE(SUBSTITUTE(SUBSTITUTE(SUBSTITUTE(SUBSTITUTE(SUBSTITUTE(SUBSTITUTE(LOWER(TRIM(B792)),"á","a"),"é","e"),"í","i"),"ó","o"),"ú","u"),"ü","u"),"ñ","n"),"à","a"),"è","e"),"ì","i"),"ò","o"),"ù","u"),"")</f>
        <v/>
      </c>
      <c r="P792" s="25">
        <f>IF(AND(L792=1,C792&lt;&gt;""),SUBSTITUTE(SUBSTITUTE(SUBSTITUTE(SUBSTITUTE(SUBSTITUTE(SUBSTITUTE(SUBSTITUTE(SUBSTITUTE(SUBSTITUTE(SUBSTITUTE(SUBSTITUTE(SUBSTITUTE(LOWER(TRIM(C792)),"á","a"),"é","e"),"í","i"),"ó","o"),"ú","u"),"ü","u"),"ñ","n"),"à","a"),"è","e"),"ì","i"),"ò","o"),"ù","u"),"")</f>
        <v/>
      </c>
      <c r="Q792" s="25">
        <f>IF(AND(L792=1,E792&lt;&gt;""),SUBSTITUTE(SUBSTITUTE(SUBSTITUTE(SUBSTITUTE(SUBSTITUTE(SUBSTITUTE(SUBSTITUTE(SUBSTITUTE(SUBSTITUTE(SUBSTITUTE(SUBSTITUTE(SUBSTITUTE(LOWER(TRIM(E792)),"á","a"),"é","e"),"í","i"),"ó","o"),"ú","u"),"ü","u"),"ñ","n"),"à","a"),"è","e"),"ì","i"),"ò","o"),"ù","u"),"")</f>
        <v/>
      </c>
      <c r="R792" s="25">
        <f>IF(AND(L792=1,I792&lt;&gt;""),SUBSTITUTE(SUBSTITUTE(SUBSTITUTE(SUBSTITUTE(SUBSTITUTE(SUBSTITUTE(SUBSTITUTE(SUBSTITUTE(SUBSTITUTE(SUBSTITUTE(SUBSTITUTE(SUBSTITUTE(LOWER(TRIM(I792)),"á","a"),"é","e"),"í","i"),"ó","o"),"ú","u"),"ü","u"),"ñ","n"),"à","a"),"è","e"),"ì","i"),"ò","o"),"ù","u"),"")</f>
        <v/>
      </c>
      <c r="S792" s="25">
        <f>IF(R792="","",IF(OR(R792="si",R792="tal vez"),1,0))</f>
        <v/>
      </c>
      <c r="T792" s="25">
        <f>IF(AND(L792=1,D792&lt;&gt;""),IF(IFERROR(COUNTIFS(D$3:D792,"="&amp;SUBSTITUTE(SUBSTITUTE(SUBSTITUTE(D792,"~","~~"),"*","~*"),"?","~?"),L$3:L792,1),0)=1,MAX(T$2:T791)+1,""),"")</f>
        <v/>
      </c>
      <c r="U792" s="25">
        <f>IF(T792="","",COUNTIFS($D$3:$D$1002,"="&amp;SUBSTITUTE(SUBSTITUTE(SUBSTITUTE(D792,"~","~~"),"*","~*"),"?","~?"),$L$3:$L$1002,1)*10000-T792)</f>
        <v/>
      </c>
      <c r="V792" s="25">
        <f>IF(AND(L792=1,J792&lt;&gt;""),IF(IFERROR(COUNTIFS(J$3:J792,"="&amp;SUBSTITUTE(SUBSTITUTE(SUBSTITUTE(J792,"~","~~"),"*","~*"),"?","~?"),L$3:L792,1),0)=1,MAX(V$2:V791)+1,""),"")</f>
        <v/>
      </c>
      <c r="W792" s="25">
        <f>IF(V792="","",COUNTIFS($J$3:$J$1002,"="&amp;SUBSTITUTE(SUBSTITUTE(SUBSTITUTE(J792,"~","~~"),"*","~*"),"?","~?"),$L$3:$L$1002,1)*10000-V792)</f>
        <v/>
      </c>
    </row>
    <row r="793">
      <c r="A793">
        <f>IF(A$2=0,"",IFERROR(TRIM(INDEX('Pegar estudiantes'!$A$1:$BZ$1001,792,A$2)&amp;""),""))</f>
        <v/>
      </c>
      <c r="B793">
        <f>IF(B$2=0,"",IFERROR(TRIM(INDEX('Pegar estudiantes'!$A$1:$BZ$1001,792,B$2)&amp;""),""))</f>
        <v/>
      </c>
      <c r="C793">
        <f>IF(C$2=0,"",IFERROR(TRIM(INDEX('Pegar estudiantes'!$A$1:$BZ$1001,792,C$2)&amp;""),""))</f>
        <v/>
      </c>
      <c r="D793">
        <f>IF(D$2=0,"",IFERROR(TRIM(INDEX('Pegar estudiantes'!$A$1:$BZ$1001,792,D$2)&amp;""),""))</f>
        <v/>
      </c>
      <c r="E793">
        <f>IF(E$2=0,"",IFERROR(TRIM(INDEX('Pegar estudiantes'!$A$1:$BZ$1001,792,E$2)&amp;""),""))</f>
        <v/>
      </c>
      <c r="F793">
        <f>IF(F$2=0,"",IFERROR(TRIM(INDEX('Pegar estudiantes'!$A$1:$BZ$1001,792,F$2)&amp;""),""))</f>
        <v/>
      </c>
      <c r="G793">
        <f>IF(G$2=0,"",IFERROR(TRIM(INDEX('Pegar estudiantes'!$A$1:$BZ$1001,792,G$2)&amp;""),""))</f>
        <v/>
      </c>
      <c r="H793">
        <f>IF(H$2=0,"",IFERROR(TRIM(INDEX('Pegar estudiantes'!$A$1:$BZ$1001,792,H$2)&amp;""),""))</f>
        <v/>
      </c>
      <c r="I793">
        <f>IF(I$2=0,"",IFERROR(TRIM(INDEX('Pegar estudiantes'!$A$1:$BZ$1001,792,I$2)&amp;""),""))</f>
        <v/>
      </c>
      <c r="J793">
        <f>IF(J$2=0,"",IFERROR(TRIM(INDEX('Pegar estudiantes'!$A$1:$BZ$1001,792,J$2)&amp;""),""))</f>
        <v/>
      </c>
      <c r="K793">
        <f>IF(K$2=0,"",IFERROR(TRIM(INDEX('Pegar estudiantes'!$A$1:$BZ$1001,792,K$2)&amp;""),""))</f>
        <v/>
      </c>
      <c r="L793" s="25">
        <f>IF(A793&lt;&gt;"",1,"")</f>
        <v/>
      </c>
      <c r="M793" s="25">
        <f>IF(L793=1,IF(ISNUMBER(FIND("#"&amp;MID(A793,1,1)&amp;"#","#0#1#2#3#4#5#6#7#8#9#")),IF(ISNUMBER(FIND("#"&amp;MID(A793,2,1)&amp;"#","#0#1#2#3#4#5#6#7#8#9#")),IF(AND(VALUE(LEFT(A793,2))&gt;=1,VALUE(LEFT(A793,2))&lt;=5),VALUE(LEFT(A793,2)),""),IF(AND(VALUE(LEFT(A793,1))&gt;=1,VALUE(LEFT(A793,1))&lt;=5),VALUE(LEFT(A793,1)),"")),""),"")</f>
        <v/>
      </c>
      <c r="N793" s="25">
        <f>IF(L793=1,IF(ISNUMBER(FIND("#"&amp;MID(H793,1,1)&amp;"#","#0#1#2#3#4#5#6#7#8#9#")),IF(ISNUMBER(FIND("#"&amp;MID(H793,2,1)&amp;"#","#0#1#2#3#4#5#6#7#8#9#")),IF(AND(VALUE(LEFT(H793,2))&gt;=1,VALUE(LEFT(H793,2))&lt;=5),VALUE(LEFT(H793,2)),""),IF(AND(VALUE(LEFT(H793,1))&gt;=1,VALUE(LEFT(H793,1))&lt;=5),VALUE(LEFT(H793,1)),"")),""),"")</f>
        <v/>
      </c>
      <c r="O793" s="25">
        <f>IF(AND(L793=1,B793&lt;&gt;""),SUBSTITUTE(SUBSTITUTE(SUBSTITUTE(SUBSTITUTE(SUBSTITUTE(SUBSTITUTE(SUBSTITUTE(SUBSTITUTE(SUBSTITUTE(SUBSTITUTE(SUBSTITUTE(SUBSTITUTE(LOWER(TRIM(B793)),"á","a"),"é","e"),"í","i"),"ó","o"),"ú","u"),"ü","u"),"ñ","n"),"à","a"),"è","e"),"ì","i"),"ò","o"),"ù","u"),"")</f>
        <v/>
      </c>
      <c r="P793" s="25">
        <f>IF(AND(L793=1,C793&lt;&gt;""),SUBSTITUTE(SUBSTITUTE(SUBSTITUTE(SUBSTITUTE(SUBSTITUTE(SUBSTITUTE(SUBSTITUTE(SUBSTITUTE(SUBSTITUTE(SUBSTITUTE(SUBSTITUTE(SUBSTITUTE(LOWER(TRIM(C793)),"á","a"),"é","e"),"í","i"),"ó","o"),"ú","u"),"ü","u"),"ñ","n"),"à","a"),"è","e"),"ì","i"),"ò","o"),"ù","u"),"")</f>
        <v/>
      </c>
      <c r="Q793" s="25">
        <f>IF(AND(L793=1,E793&lt;&gt;""),SUBSTITUTE(SUBSTITUTE(SUBSTITUTE(SUBSTITUTE(SUBSTITUTE(SUBSTITUTE(SUBSTITUTE(SUBSTITUTE(SUBSTITUTE(SUBSTITUTE(SUBSTITUTE(SUBSTITUTE(LOWER(TRIM(E793)),"á","a"),"é","e"),"í","i"),"ó","o"),"ú","u"),"ü","u"),"ñ","n"),"à","a"),"è","e"),"ì","i"),"ò","o"),"ù","u"),"")</f>
        <v/>
      </c>
      <c r="R793" s="25">
        <f>IF(AND(L793=1,I793&lt;&gt;""),SUBSTITUTE(SUBSTITUTE(SUBSTITUTE(SUBSTITUTE(SUBSTITUTE(SUBSTITUTE(SUBSTITUTE(SUBSTITUTE(SUBSTITUTE(SUBSTITUTE(SUBSTITUTE(SUBSTITUTE(LOWER(TRIM(I793)),"á","a"),"é","e"),"í","i"),"ó","o"),"ú","u"),"ü","u"),"ñ","n"),"à","a"),"è","e"),"ì","i"),"ò","o"),"ù","u"),"")</f>
        <v/>
      </c>
      <c r="S793" s="25">
        <f>IF(R793="","",IF(OR(R793="si",R793="tal vez"),1,0))</f>
        <v/>
      </c>
      <c r="T793" s="25">
        <f>IF(AND(L793=1,D793&lt;&gt;""),IF(IFERROR(COUNTIFS(D$3:D793,"="&amp;SUBSTITUTE(SUBSTITUTE(SUBSTITUTE(D793,"~","~~"),"*","~*"),"?","~?"),L$3:L793,1),0)=1,MAX(T$2:T792)+1,""),"")</f>
        <v/>
      </c>
      <c r="U793" s="25">
        <f>IF(T793="","",COUNTIFS($D$3:$D$1002,"="&amp;SUBSTITUTE(SUBSTITUTE(SUBSTITUTE(D793,"~","~~"),"*","~*"),"?","~?"),$L$3:$L$1002,1)*10000-T793)</f>
        <v/>
      </c>
      <c r="V793" s="25">
        <f>IF(AND(L793=1,J793&lt;&gt;""),IF(IFERROR(COUNTIFS(J$3:J793,"="&amp;SUBSTITUTE(SUBSTITUTE(SUBSTITUTE(J793,"~","~~"),"*","~*"),"?","~?"),L$3:L793,1),0)=1,MAX(V$2:V792)+1,""),"")</f>
        <v/>
      </c>
      <c r="W793" s="25">
        <f>IF(V793="","",COUNTIFS($J$3:$J$1002,"="&amp;SUBSTITUTE(SUBSTITUTE(SUBSTITUTE(J793,"~","~~"),"*","~*"),"?","~?"),$L$3:$L$1002,1)*10000-V793)</f>
        <v/>
      </c>
    </row>
    <row r="794">
      <c r="A794">
        <f>IF(A$2=0,"",IFERROR(TRIM(INDEX('Pegar estudiantes'!$A$1:$BZ$1001,793,A$2)&amp;""),""))</f>
        <v/>
      </c>
      <c r="B794">
        <f>IF(B$2=0,"",IFERROR(TRIM(INDEX('Pegar estudiantes'!$A$1:$BZ$1001,793,B$2)&amp;""),""))</f>
        <v/>
      </c>
      <c r="C794">
        <f>IF(C$2=0,"",IFERROR(TRIM(INDEX('Pegar estudiantes'!$A$1:$BZ$1001,793,C$2)&amp;""),""))</f>
        <v/>
      </c>
      <c r="D794">
        <f>IF(D$2=0,"",IFERROR(TRIM(INDEX('Pegar estudiantes'!$A$1:$BZ$1001,793,D$2)&amp;""),""))</f>
        <v/>
      </c>
      <c r="E794">
        <f>IF(E$2=0,"",IFERROR(TRIM(INDEX('Pegar estudiantes'!$A$1:$BZ$1001,793,E$2)&amp;""),""))</f>
        <v/>
      </c>
      <c r="F794">
        <f>IF(F$2=0,"",IFERROR(TRIM(INDEX('Pegar estudiantes'!$A$1:$BZ$1001,793,F$2)&amp;""),""))</f>
        <v/>
      </c>
      <c r="G794">
        <f>IF(G$2=0,"",IFERROR(TRIM(INDEX('Pegar estudiantes'!$A$1:$BZ$1001,793,G$2)&amp;""),""))</f>
        <v/>
      </c>
      <c r="H794">
        <f>IF(H$2=0,"",IFERROR(TRIM(INDEX('Pegar estudiantes'!$A$1:$BZ$1001,793,H$2)&amp;""),""))</f>
        <v/>
      </c>
      <c r="I794">
        <f>IF(I$2=0,"",IFERROR(TRIM(INDEX('Pegar estudiantes'!$A$1:$BZ$1001,793,I$2)&amp;""),""))</f>
        <v/>
      </c>
      <c r="J794">
        <f>IF(J$2=0,"",IFERROR(TRIM(INDEX('Pegar estudiantes'!$A$1:$BZ$1001,793,J$2)&amp;""),""))</f>
        <v/>
      </c>
      <c r="K794">
        <f>IF(K$2=0,"",IFERROR(TRIM(INDEX('Pegar estudiantes'!$A$1:$BZ$1001,793,K$2)&amp;""),""))</f>
        <v/>
      </c>
      <c r="L794" s="25">
        <f>IF(A794&lt;&gt;"",1,"")</f>
        <v/>
      </c>
      <c r="M794" s="25">
        <f>IF(L794=1,IF(ISNUMBER(FIND("#"&amp;MID(A794,1,1)&amp;"#","#0#1#2#3#4#5#6#7#8#9#")),IF(ISNUMBER(FIND("#"&amp;MID(A794,2,1)&amp;"#","#0#1#2#3#4#5#6#7#8#9#")),IF(AND(VALUE(LEFT(A794,2))&gt;=1,VALUE(LEFT(A794,2))&lt;=5),VALUE(LEFT(A794,2)),""),IF(AND(VALUE(LEFT(A794,1))&gt;=1,VALUE(LEFT(A794,1))&lt;=5),VALUE(LEFT(A794,1)),"")),""),"")</f>
        <v/>
      </c>
      <c r="N794" s="25">
        <f>IF(L794=1,IF(ISNUMBER(FIND("#"&amp;MID(H794,1,1)&amp;"#","#0#1#2#3#4#5#6#7#8#9#")),IF(ISNUMBER(FIND("#"&amp;MID(H794,2,1)&amp;"#","#0#1#2#3#4#5#6#7#8#9#")),IF(AND(VALUE(LEFT(H794,2))&gt;=1,VALUE(LEFT(H794,2))&lt;=5),VALUE(LEFT(H794,2)),""),IF(AND(VALUE(LEFT(H794,1))&gt;=1,VALUE(LEFT(H794,1))&lt;=5),VALUE(LEFT(H794,1)),"")),""),"")</f>
        <v/>
      </c>
      <c r="O794" s="25">
        <f>IF(AND(L794=1,B794&lt;&gt;""),SUBSTITUTE(SUBSTITUTE(SUBSTITUTE(SUBSTITUTE(SUBSTITUTE(SUBSTITUTE(SUBSTITUTE(SUBSTITUTE(SUBSTITUTE(SUBSTITUTE(SUBSTITUTE(SUBSTITUTE(LOWER(TRIM(B794)),"á","a"),"é","e"),"í","i"),"ó","o"),"ú","u"),"ü","u"),"ñ","n"),"à","a"),"è","e"),"ì","i"),"ò","o"),"ù","u"),"")</f>
        <v/>
      </c>
      <c r="P794" s="25">
        <f>IF(AND(L794=1,C794&lt;&gt;""),SUBSTITUTE(SUBSTITUTE(SUBSTITUTE(SUBSTITUTE(SUBSTITUTE(SUBSTITUTE(SUBSTITUTE(SUBSTITUTE(SUBSTITUTE(SUBSTITUTE(SUBSTITUTE(SUBSTITUTE(LOWER(TRIM(C794)),"á","a"),"é","e"),"í","i"),"ó","o"),"ú","u"),"ü","u"),"ñ","n"),"à","a"),"è","e"),"ì","i"),"ò","o"),"ù","u"),"")</f>
        <v/>
      </c>
      <c r="Q794" s="25">
        <f>IF(AND(L794=1,E794&lt;&gt;""),SUBSTITUTE(SUBSTITUTE(SUBSTITUTE(SUBSTITUTE(SUBSTITUTE(SUBSTITUTE(SUBSTITUTE(SUBSTITUTE(SUBSTITUTE(SUBSTITUTE(SUBSTITUTE(SUBSTITUTE(LOWER(TRIM(E794)),"á","a"),"é","e"),"í","i"),"ó","o"),"ú","u"),"ü","u"),"ñ","n"),"à","a"),"è","e"),"ì","i"),"ò","o"),"ù","u"),"")</f>
        <v/>
      </c>
      <c r="R794" s="25">
        <f>IF(AND(L794=1,I794&lt;&gt;""),SUBSTITUTE(SUBSTITUTE(SUBSTITUTE(SUBSTITUTE(SUBSTITUTE(SUBSTITUTE(SUBSTITUTE(SUBSTITUTE(SUBSTITUTE(SUBSTITUTE(SUBSTITUTE(SUBSTITUTE(LOWER(TRIM(I794)),"á","a"),"é","e"),"í","i"),"ó","o"),"ú","u"),"ü","u"),"ñ","n"),"à","a"),"è","e"),"ì","i"),"ò","o"),"ù","u"),"")</f>
        <v/>
      </c>
      <c r="S794" s="25">
        <f>IF(R794="","",IF(OR(R794="si",R794="tal vez"),1,0))</f>
        <v/>
      </c>
      <c r="T794" s="25">
        <f>IF(AND(L794=1,D794&lt;&gt;""),IF(IFERROR(COUNTIFS(D$3:D794,"="&amp;SUBSTITUTE(SUBSTITUTE(SUBSTITUTE(D794,"~","~~"),"*","~*"),"?","~?"),L$3:L794,1),0)=1,MAX(T$2:T793)+1,""),"")</f>
        <v/>
      </c>
      <c r="U794" s="25">
        <f>IF(T794="","",COUNTIFS($D$3:$D$1002,"="&amp;SUBSTITUTE(SUBSTITUTE(SUBSTITUTE(D794,"~","~~"),"*","~*"),"?","~?"),$L$3:$L$1002,1)*10000-T794)</f>
        <v/>
      </c>
      <c r="V794" s="25">
        <f>IF(AND(L794=1,J794&lt;&gt;""),IF(IFERROR(COUNTIFS(J$3:J794,"="&amp;SUBSTITUTE(SUBSTITUTE(SUBSTITUTE(J794,"~","~~"),"*","~*"),"?","~?"),L$3:L794,1),0)=1,MAX(V$2:V793)+1,""),"")</f>
        <v/>
      </c>
      <c r="W794" s="25">
        <f>IF(V794="","",COUNTIFS($J$3:$J$1002,"="&amp;SUBSTITUTE(SUBSTITUTE(SUBSTITUTE(J794,"~","~~"),"*","~*"),"?","~?"),$L$3:$L$1002,1)*10000-V794)</f>
        <v/>
      </c>
    </row>
    <row r="795">
      <c r="A795">
        <f>IF(A$2=0,"",IFERROR(TRIM(INDEX('Pegar estudiantes'!$A$1:$BZ$1001,794,A$2)&amp;""),""))</f>
        <v/>
      </c>
      <c r="B795">
        <f>IF(B$2=0,"",IFERROR(TRIM(INDEX('Pegar estudiantes'!$A$1:$BZ$1001,794,B$2)&amp;""),""))</f>
        <v/>
      </c>
      <c r="C795">
        <f>IF(C$2=0,"",IFERROR(TRIM(INDEX('Pegar estudiantes'!$A$1:$BZ$1001,794,C$2)&amp;""),""))</f>
        <v/>
      </c>
      <c r="D795">
        <f>IF(D$2=0,"",IFERROR(TRIM(INDEX('Pegar estudiantes'!$A$1:$BZ$1001,794,D$2)&amp;""),""))</f>
        <v/>
      </c>
      <c r="E795">
        <f>IF(E$2=0,"",IFERROR(TRIM(INDEX('Pegar estudiantes'!$A$1:$BZ$1001,794,E$2)&amp;""),""))</f>
        <v/>
      </c>
      <c r="F795">
        <f>IF(F$2=0,"",IFERROR(TRIM(INDEX('Pegar estudiantes'!$A$1:$BZ$1001,794,F$2)&amp;""),""))</f>
        <v/>
      </c>
      <c r="G795">
        <f>IF(G$2=0,"",IFERROR(TRIM(INDEX('Pegar estudiantes'!$A$1:$BZ$1001,794,G$2)&amp;""),""))</f>
        <v/>
      </c>
      <c r="H795">
        <f>IF(H$2=0,"",IFERROR(TRIM(INDEX('Pegar estudiantes'!$A$1:$BZ$1001,794,H$2)&amp;""),""))</f>
        <v/>
      </c>
      <c r="I795">
        <f>IF(I$2=0,"",IFERROR(TRIM(INDEX('Pegar estudiantes'!$A$1:$BZ$1001,794,I$2)&amp;""),""))</f>
        <v/>
      </c>
      <c r="J795">
        <f>IF(J$2=0,"",IFERROR(TRIM(INDEX('Pegar estudiantes'!$A$1:$BZ$1001,794,J$2)&amp;""),""))</f>
        <v/>
      </c>
      <c r="K795">
        <f>IF(K$2=0,"",IFERROR(TRIM(INDEX('Pegar estudiantes'!$A$1:$BZ$1001,794,K$2)&amp;""),""))</f>
        <v/>
      </c>
      <c r="L795" s="25">
        <f>IF(A795&lt;&gt;"",1,"")</f>
        <v/>
      </c>
      <c r="M795" s="25">
        <f>IF(L795=1,IF(ISNUMBER(FIND("#"&amp;MID(A795,1,1)&amp;"#","#0#1#2#3#4#5#6#7#8#9#")),IF(ISNUMBER(FIND("#"&amp;MID(A795,2,1)&amp;"#","#0#1#2#3#4#5#6#7#8#9#")),IF(AND(VALUE(LEFT(A795,2))&gt;=1,VALUE(LEFT(A795,2))&lt;=5),VALUE(LEFT(A795,2)),""),IF(AND(VALUE(LEFT(A795,1))&gt;=1,VALUE(LEFT(A795,1))&lt;=5),VALUE(LEFT(A795,1)),"")),""),"")</f>
        <v/>
      </c>
      <c r="N795" s="25">
        <f>IF(L795=1,IF(ISNUMBER(FIND("#"&amp;MID(H795,1,1)&amp;"#","#0#1#2#3#4#5#6#7#8#9#")),IF(ISNUMBER(FIND("#"&amp;MID(H795,2,1)&amp;"#","#0#1#2#3#4#5#6#7#8#9#")),IF(AND(VALUE(LEFT(H795,2))&gt;=1,VALUE(LEFT(H795,2))&lt;=5),VALUE(LEFT(H795,2)),""),IF(AND(VALUE(LEFT(H795,1))&gt;=1,VALUE(LEFT(H795,1))&lt;=5),VALUE(LEFT(H795,1)),"")),""),"")</f>
        <v/>
      </c>
      <c r="O795" s="25">
        <f>IF(AND(L795=1,B795&lt;&gt;""),SUBSTITUTE(SUBSTITUTE(SUBSTITUTE(SUBSTITUTE(SUBSTITUTE(SUBSTITUTE(SUBSTITUTE(SUBSTITUTE(SUBSTITUTE(SUBSTITUTE(SUBSTITUTE(SUBSTITUTE(LOWER(TRIM(B795)),"á","a"),"é","e"),"í","i"),"ó","o"),"ú","u"),"ü","u"),"ñ","n"),"à","a"),"è","e"),"ì","i"),"ò","o"),"ù","u"),"")</f>
        <v/>
      </c>
      <c r="P795" s="25">
        <f>IF(AND(L795=1,C795&lt;&gt;""),SUBSTITUTE(SUBSTITUTE(SUBSTITUTE(SUBSTITUTE(SUBSTITUTE(SUBSTITUTE(SUBSTITUTE(SUBSTITUTE(SUBSTITUTE(SUBSTITUTE(SUBSTITUTE(SUBSTITUTE(LOWER(TRIM(C795)),"á","a"),"é","e"),"í","i"),"ó","o"),"ú","u"),"ü","u"),"ñ","n"),"à","a"),"è","e"),"ì","i"),"ò","o"),"ù","u"),"")</f>
        <v/>
      </c>
      <c r="Q795" s="25">
        <f>IF(AND(L795=1,E795&lt;&gt;""),SUBSTITUTE(SUBSTITUTE(SUBSTITUTE(SUBSTITUTE(SUBSTITUTE(SUBSTITUTE(SUBSTITUTE(SUBSTITUTE(SUBSTITUTE(SUBSTITUTE(SUBSTITUTE(SUBSTITUTE(LOWER(TRIM(E795)),"á","a"),"é","e"),"í","i"),"ó","o"),"ú","u"),"ü","u"),"ñ","n"),"à","a"),"è","e"),"ì","i"),"ò","o"),"ù","u"),"")</f>
        <v/>
      </c>
      <c r="R795" s="25">
        <f>IF(AND(L795=1,I795&lt;&gt;""),SUBSTITUTE(SUBSTITUTE(SUBSTITUTE(SUBSTITUTE(SUBSTITUTE(SUBSTITUTE(SUBSTITUTE(SUBSTITUTE(SUBSTITUTE(SUBSTITUTE(SUBSTITUTE(SUBSTITUTE(LOWER(TRIM(I795)),"á","a"),"é","e"),"í","i"),"ó","o"),"ú","u"),"ü","u"),"ñ","n"),"à","a"),"è","e"),"ì","i"),"ò","o"),"ù","u"),"")</f>
        <v/>
      </c>
      <c r="S795" s="25">
        <f>IF(R795="","",IF(OR(R795="si",R795="tal vez"),1,0))</f>
        <v/>
      </c>
      <c r="T795" s="25">
        <f>IF(AND(L795=1,D795&lt;&gt;""),IF(IFERROR(COUNTIFS(D$3:D795,"="&amp;SUBSTITUTE(SUBSTITUTE(SUBSTITUTE(D795,"~","~~"),"*","~*"),"?","~?"),L$3:L795,1),0)=1,MAX(T$2:T794)+1,""),"")</f>
        <v/>
      </c>
      <c r="U795" s="25">
        <f>IF(T795="","",COUNTIFS($D$3:$D$1002,"="&amp;SUBSTITUTE(SUBSTITUTE(SUBSTITUTE(D795,"~","~~"),"*","~*"),"?","~?"),$L$3:$L$1002,1)*10000-T795)</f>
        <v/>
      </c>
      <c r="V795" s="25">
        <f>IF(AND(L795=1,J795&lt;&gt;""),IF(IFERROR(COUNTIFS(J$3:J795,"="&amp;SUBSTITUTE(SUBSTITUTE(SUBSTITUTE(J795,"~","~~"),"*","~*"),"?","~?"),L$3:L795,1),0)=1,MAX(V$2:V794)+1,""),"")</f>
        <v/>
      </c>
      <c r="W795" s="25">
        <f>IF(V795="","",COUNTIFS($J$3:$J$1002,"="&amp;SUBSTITUTE(SUBSTITUTE(SUBSTITUTE(J795,"~","~~"),"*","~*"),"?","~?"),$L$3:$L$1002,1)*10000-V795)</f>
        <v/>
      </c>
    </row>
    <row r="796">
      <c r="A796">
        <f>IF(A$2=0,"",IFERROR(TRIM(INDEX('Pegar estudiantes'!$A$1:$BZ$1001,795,A$2)&amp;""),""))</f>
        <v/>
      </c>
      <c r="B796">
        <f>IF(B$2=0,"",IFERROR(TRIM(INDEX('Pegar estudiantes'!$A$1:$BZ$1001,795,B$2)&amp;""),""))</f>
        <v/>
      </c>
      <c r="C796">
        <f>IF(C$2=0,"",IFERROR(TRIM(INDEX('Pegar estudiantes'!$A$1:$BZ$1001,795,C$2)&amp;""),""))</f>
        <v/>
      </c>
      <c r="D796">
        <f>IF(D$2=0,"",IFERROR(TRIM(INDEX('Pegar estudiantes'!$A$1:$BZ$1001,795,D$2)&amp;""),""))</f>
        <v/>
      </c>
      <c r="E796">
        <f>IF(E$2=0,"",IFERROR(TRIM(INDEX('Pegar estudiantes'!$A$1:$BZ$1001,795,E$2)&amp;""),""))</f>
        <v/>
      </c>
      <c r="F796">
        <f>IF(F$2=0,"",IFERROR(TRIM(INDEX('Pegar estudiantes'!$A$1:$BZ$1001,795,F$2)&amp;""),""))</f>
        <v/>
      </c>
      <c r="G796">
        <f>IF(G$2=0,"",IFERROR(TRIM(INDEX('Pegar estudiantes'!$A$1:$BZ$1001,795,G$2)&amp;""),""))</f>
        <v/>
      </c>
      <c r="H796">
        <f>IF(H$2=0,"",IFERROR(TRIM(INDEX('Pegar estudiantes'!$A$1:$BZ$1001,795,H$2)&amp;""),""))</f>
        <v/>
      </c>
      <c r="I796">
        <f>IF(I$2=0,"",IFERROR(TRIM(INDEX('Pegar estudiantes'!$A$1:$BZ$1001,795,I$2)&amp;""),""))</f>
        <v/>
      </c>
      <c r="J796">
        <f>IF(J$2=0,"",IFERROR(TRIM(INDEX('Pegar estudiantes'!$A$1:$BZ$1001,795,J$2)&amp;""),""))</f>
        <v/>
      </c>
      <c r="K796">
        <f>IF(K$2=0,"",IFERROR(TRIM(INDEX('Pegar estudiantes'!$A$1:$BZ$1001,795,K$2)&amp;""),""))</f>
        <v/>
      </c>
      <c r="L796" s="25">
        <f>IF(A796&lt;&gt;"",1,"")</f>
        <v/>
      </c>
      <c r="M796" s="25">
        <f>IF(L796=1,IF(ISNUMBER(FIND("#"&amp;MID(A796,1,1)&amp;"#","#0#1#2#3#4#5#6#7#8#9#")),IF(ISNUMBER(FIND("#"&amp;MID(A796,2,1)&amp;"#","#0#1#2#3#4#5#6#7#8#9#")),IF(AND(VALUE(LEFT(A796,2))&gt;=1,VALUE(LEFT(A796,2))&lt;=5),VALUE(LEFT(A796,2)),""),IF(AND(VALUE(LEFT(A796,1))&gt;=1,VALUE(LEFT(A796,1))&lt;=5),VALUE(LEFT(A796,1)),"")),""),"")</f>
        <v/>
      </c>
      <c r="N796" s="25">
        <f>IF(L796=1,IF(ISNUMBER(FIND("#"&amp;MID(H796,1,1)&amp;"#","#0#1#2#3#4#5#6#7#8#9#")),IF(ISNUMBER(FIND("#"&amp;MID(H796,2,1)&amp;"#","#0#1#2#3#4#5#6#7#8#9#")),IF(AND(VALUE(LEFT(H796,2))&gt;=1,VALUE(LEFT(H796,2))&lt;=5),VALUE(LEFT(H796,2)),""),IF(AND(VALUE(LEFT(H796,1))&gt;=1,VALUE(LEFT(H796,1))&lt;=5),VALUE(LEFT(H796,1)),"")),""),"")</f>
        <v/>
      </c>
      <c r="O796" s="25">
        <f>IF(AND(L796=1,B796&lt;&gt;""),SUBSTITUTE(SUBSTITUTE(SUBSTITUTE(SUBSTITUTE(SUBSTITUTE(SUBSTITUTE(SUBSTITUTE(SUBSTITUTE(SUBSTITUTE(SUBSTITUTE(SUBSTITUTE(SUBSTITUTE(LOWER(TRIM(B796)),"á","a"),"é","e"),"í","i"),"ó","o"),"ú","u"),"ü","u"),"ñ","n"),"à","a"),"è","e"),"ì","i"),"ò","o"),"ù","u"),"")</f>
        <v/>
      </c>
      <c r="P796" s="25">
        <f>IF(AND(L796=1,C796&lt;&gt;""),SUBSTITUTE(SUBSTITUTE(SUBSTITUTE(SUBSTITUTE(SUBSTITUTE(SUBSTITUTE(SUBSTITUTE(SUBSTITUTE(SUBSTITUTE(SUBSTITUTE(SUBSTITUTE(SUBSTITUTE(LOWER(TRIM(C796)),"á","a"),"é","e"),"í","i"),"ó","o"),"ú","u"),"ü","u"),"ñ","n"),"à","a"),"è","e"),"ì","i"),"ò","o"),"ù","u"),"")</f>
        <v/>
      </c>
      <c r="Q796" s="25">
        <f>IF(AND(L796=1,E796&lt;&gt;""),SUBSTITUTE(SUBSTITUTE(SUBSTITUTE(SUBSTITUTE(SUBSTITUTE(SUBSTITUTE(SUBSTITUTE(SUBSTITUTE(SUBSTITUTE(SUBSTITUTE(SUBSTITUTE(SUBSTITUTE(LOWER(TRIM(E796)),"á","a"),"é","e"),"í","i"),"ó","o"),"ú","u"),"ü","u"),"ñ","n"),"à","a"),"è","e"),"ì","i"),"ò","o"),"ù","u"),"")</f>
        <v/>
      </c>
      <c r="R796" s="25">
        <f>IF(AND(L796=1,I796&lt;&gt;""),SUBSTITUTE(SUBSTITUTE(SUBSTITUTE(SUBSTITUTE(SUBSTITUTE(SUBSTITUTE(SUBSTITUTE(SUBSTITUTE(SUBSTITUTE(SUBSTITUTE(SUBSTITUTE(SUBSTITUTE(LOWER(TRIM(I796)),"á","a"),"é","e"),"í","i"),"ó","o"),"ú","u"),"ü","u"),"ñ","n"),"à","a"),"è","e"),"ì","i"),"ò","o"),"ù","u"),"")</f>
        <v/>
      </c>
      <c r="S796" s="25">
        <f>IF(R796="","",IF(OR(R796="si",R796="tal vez"),1,0))</f>
        <v/>
      </c>
      <c r="T796" s="25">
        <f>IF(AND(L796=1,D796&lt;&gt;""),IF(IFERROR(COUNTIFS(D$3:D796,"="&amp;SUBSTITUTE(SUBSTITUTE(SUBSTITUTE(D796,"~","~~"),"*","~*"),"?","~?"),L$3:L796,1),0)=1,MAX(T$2:T795)+1,""),"")</f>
        <v/>
      </c>
      <c r="U796" s="25">
        <f>IF(T796="","",COUNTIFS($D$3:$D$1002,"="&amp;SUBSTITUTE(SUBSTITUTE(SUBSTITUTE(D796,"~","~~"),"*","~*"),"?","~?"),$L$3:$L$1002,1)*10000-T796)</f>
        <v/>
      </c>
      <c r="V796" s="25">
        <f>IF(AND(L796=1,J796&lt;&gt;""),IF(IFERROR(COUNTIFS(J$3:J796,"="&amp;SUBSTITUTE(SUBSTITUTE(SUBSTITUTE(J796,"~","~~"),"*","~*"),"?","~?"),L$3:L796,1),0)=1,MAX(V$2:V795)+1,""),"")</f>
        <v/>
      </c>
      <c r="W796" s="25">
        <f>IF(V796="","",COUNTIFS($J$3:$J$1002,"="&amp;SUBSTITUTE(SUBSTITUTE(SUBSTITUTE(J796,"~","~~"),"*","~*"),"?","~?"),$L$3:$L$1002,1)*10000-V796)</f>
        <v/>
      </c>
    </row>
    <row r="797">
      <c r="A797">
        <f>IF(A$2=0,"",IFERROR(TRIM(INDEX('Pegar estudiantes'!$A$1:$BZ$1001,796,A$2)&amp;""),""))</f>
        <v/>
      </c>
      <c r="B797">
        <f>IF(B$2=0,"",IFERROR(TRIM(INDEX('Pegar estudiantes'!$A$1:$BZ$1001,796,B$2)&amp;""),""))</f>
        <v/>
      </c>
      <c r="C797">
        <f>IF(C$2=0,"",IFERROR(TRIM(INDEX('Pegar estudiantes'!$A$1:$BZ$1001,796,C$2)&amp;""),""))</f>
        <v/>
      </c>
      <c r="D797">
        <f>IF(D$2=0,"",IFERROR(TRIM(INDEX('Pegar estudiantes'!$A$1:$BZ$1001,796,D$2)&amp;""),""))</f>
        <v/>
      </c>
      <c r="E797">
        <f>IF(E$2=0,"",IFERROR(TRIM(INDEX('Pegar estudiantes'!$A$1:$BZ$1001,796,E$2)&amp;""),""))</f>
        <v/>
      </c>
      <c r="F797">
        <f>IF(F$2=0,"",IFERROR(TRIM(INDEX('Pegar estudiantes'!$A$1:$BZ$1001,796,F$2)&amp;""),""))</f>
        <v/>
      </c>
      <c r="G797">
        <f>IF(G$2=0,"",IFERROR(TRIM(INDEX('Pegar estudiantes'!$A$1:$BZ$1001,796,G$2)&amp;""),""))</f>
        <v/>
      </c>
      <c r="H797">
        <f>IF(H$2=0,"",IFERROR(TRIM(INDEX('Pegar estudiantes'!$A$1:$BZ$1001,796,H$2)&amp;""),""))</f>
        <v/>
      </c>
      <c r="I797">
        <f>IF(I$2=0,"",IFERROR(TRIM(INDEX('Pegar estudiantes'!$A$1:$BZ$1001,796,I$2)&amp;""),""))</f>
        <v/>
      </c>
      <c r="J797">
        <f>IF(J$2=0,"",IFERROR(TRIM(INDEX('Pegar estudiantes'!$A$1:$BZ$1001,796,J$2)&amp;""),""))</f>
        <v/>
      </c>
      <c r="K797">
        <f>IF(K$2=0,"",IFERROR(TRIM(INDEX('Pegar estudiantes'!$A$1:$BZ$1001,796,K$2)&amp;""),""))</f>
        <v/>
      </c>
      <c r="L797" s="25">
        <f>IF(A797&lt;&gt;"",1,"")</f>
        <v/>
      </c>
      <c r="M797" s="25">
        <f>IF(L797=1,IF(ISNUMBER(FIND("#"&amp;MID(A797,1,1)&amp;"#","#0#1#2#3#4#5#6#7#8#9#")),IF(ISNUMBER(FIND("#"&amp;MID(A797,2,1)&amp;"#","#0#1#2#3#4#5#6#7#8#9#")),IF(AND(VALUE(LEFT(A797,2))&gt;=1,VALUE(LEFT(A797,2))&lt;=5),VALUE(LEFT(A797,2)),""),IF(AND(VALUE(LEFT(A797,1))&gt;=1,VALUE(LEFT(A797,1))&lt;=5),VALUE(LEFT(A797,1)),"")),""),"")</f>
        <v/>
      </c>
      <c r="N797" s="25">
        <f>IF(L797=1,IF(ISNUMBER(FIND("#"&amp;MID(H797,1,1)&amp;"#","#0#1#2#3#4#5#6#7#8#9#")),IF(ISNUMBER(FIND("#"&amp;MID(H797,2,1)&amp;"#","#0#1#2#3#4#5#6#7#8#9#")),IF(AND(VALUE(LEFT(H797,2))&gt;=1,VALUE(LEFT(H797,2))&lt;=5),VALUE(LEFT(H797,2)),""),IF(AND(VALUE(LEFT(H797,1))&gt;=1,VALUE(LEFT(H797,1))&lt;=5),VALUE(LEFT(H797,1)),"")),""),"")</f>
        <v/>
      </c>
      <c r="O797" s="25">
        <f>IF(AND(L797=1,B797&lt;&gt;""),SUBSTITUTE(SUBSTITUTE(SUBSTITUTE(SUBSTITUTE(SUBSTITUTE(SUBSTITUTE(SUBSTITUTE(SUBSTITUTE(SUBSTITUTE(SUBSTITUTE(SUBSTITUTE(SUBSTITUTE(LOWER(TRIM(B797)),"á","a"),"é","e"),"í","i"),"ó","o"),"ú","u"),"ü","u"),"ñ","n"),"à","a"),"è","e"),"ì","i"),"ò","o"),"ù","u"),"")</f>
        <v/>
      </c>
      <c r="P797" s="25">
        <f>IF(AND(L797=1,C797&lt;&gt;""),SUBSTITUTE(SUBSTITUTE(SUBSTITUTE(SUBSTITUTE(SUBSTITUTE(SUBSTITUTE(SUBSTITUTE(SUBSTITUTE(SUBSTITUTE(SUBSTITUTE(SUBSTITUTE(SUBSTITUTE(LOWER(TRIM(C797)),"á","a"),"é","e"),"í","i"),"ó","o"),"ú","u"),"ü","u"),"ñ","n"),"à","a"),"è","e"),"ì","i"),"ò","o"),"ù","u"),"")</f>
        <v/>
      </c>
      <c r="Q797" s="25">
        <f>IF(AND(L797=1,E797&lt;&gt;""),SUBSTITUTE(SUBSTITUTE(SUBSTITUTE(SUBSTITUTE(SUBSTITUTE(SUBSTITUTE(SUBSTITUTE(SUBSTITUTE(SUBSTITUTE(SUBSTITUTE(SUBSTITUTE(SUBSTITUTE(LOWER(TRIM(E797)),"á","a"),"é","e"),"í","i"),"ó","o"),"ú","u"),"ü","u"),"ñ","n"),"à","a"),"è","e"),"ì","i"),"ò","o"),"ù","u"),"")</f>
        <v/>
      </c>
      <c r="R797" s="25">
        <f>IF(AND(L797=1,I797&lt;&gt;""),SUBSTITUTE(SUBSTITUTE(SUBSTITUTE(SUBSTITUTE(SUBSTITUTE(SUBSTITUTE(SUBSTITUTE(SUBSTITUTE(SUBSTITUTE(SUBSTITUTE(SUBSTITUTE(SUBSTITUTE(LOWER(TRIM(I797)),"á","a"),"é","e"),"í","i"),"ó","o"),"ú","u"),"ü","u"),"ñ","n"),"à","a"),"è","e"),"ì","i"),"ò","o"),"ù","u"),"")</f>
        <v/>
      </c>
      <c r="S797" s="25">
        <f>IF(R797="","",IF(OR(R797="si",R797="tal vez"),1,0))</f>
        <v/>
      </c>
      <c r="T797" s="25">
        <f>IF(AND(L797=1,D797&lt;&gt;""),IF(IFERROR(COUNTIFS(D$3:D797,"="&amp;SUBSTITUTE(SUBSTITUTE(SUBSTITUTE(D797,"~","~~"),"*","~*"),"?","~?"),L$3:L797,1),0)=1,MAX(T$2:T796)+1,""),"")</f>
        <v/>
      </c>
      <c r="U797" s="25">
        <f>IF(T797="","",COUNTIFS($D$3:$D$1002,"="&amp;SUBSTITUTE(SUBSTITUTE(SUBSTITUTE(D797,"~","~~"),"*","~*"),"?","~?"),$L$3:$L$1002,1)*10000-T797)</f>
        <v/>
      </c>
      <c r="V797" s="25">
        <f>IF(AND(L797=1,J797&lt;&gt;""),IF(IFERROR(COUNTIFS(J$3:J797,"="&amp;SUBSTITUTE(SUBSTITUTE(SUBSTITUTE(J797,"~","~~"),"*","~*"),"?","~?"),L$3:L797,1),0)=1,MAX(V$2:V796)+1,""),"")</f>
        <v/>
      </c>
      <c r="W797" s="25">
        <f>IF(V797="","",COUNTIFS($J$3:$J$1002,"="&amp;SUBSTITUTE(SUBSTITUTE(SUBSTITUTE(J797,"~","~~"),"*","~*"),"?","~?"),$L$3:$L$1002,1)*10000-V797)</f>
        <v/>
      </c>
    </row>
    <row r="798">
      <c r="A798">
        <f>IF(A$2=0,"",IFERROR(TRIM(INDEX('Pegar estudiantes'!$A$1:$BZ$1001,797,A$2)&amp;""),""))</f>
        <v/>
      </c>
      <c r="B798">
        <f>IF(B$2=0,"",IFERROR(TRIM(INDEX('Pegar estudiantes'!$A$1:$BZ$1001,797,B$2)&amp;""),""))</f>
        <v/>
      </c>
      <c r="C798">
        <f>IF(C$2=0,"",IFERROR(TRIM(INDEX('Pegar estudiantes'!$A$1:$BZ$1001,797,C$2)&amp;""),""))</f>
        <v/>
      </c>
      <c r="D798">
        <f>IF(D$2=0,"",IFERROR(TRIM(INDEX('Pegar estudiantes'!$A$1:$BZ$1001,797,D$2)&amp;""),""))</f>
        <v/>
      </c>
      <c r="E798">
        <f>IF(E$2=0,"",IFERROR(TRIM(INDEX('Pegar estudiantes'!$A$1:$BZ$1001,797,E$2)&amp;""),""))</f>
        <v/>
      </c>
      <c r="F798">
        <f>IF(F$2=0,"",IFERROR(TRIM(INDEX('Pegar estudiantes'!$A$1:$BZ$1001,797,F$2)&amp;""),""))</f>
        <v/>
      </c>
      <c r="G798">
        <f>IF(G$2=0,"",IFERROR(TRIM(INDEX('Pegar estudiantes'!$A$1:$BZ$1001,797,G$2)&amp;""),""))</f>
        <v/>
      </c>
      <c r="H798">
        <f>IF(H$2=0,"",IFERROR(TRIM(INDEX('Pegar estudiantes'!$A$1:$BZ$1001,797,H$2)&amp;""),""))</f>
        <v/>
      </c>
      <c r="I798">
        <f>IF(I$2=0,"",IFERROR(TRIM(INDEX('Pegar estudiantes'!$A$1:$BZ$1001,797,I$2)&amp;""),""))</f>
        <v/>
      </c>
      <c r="J798">
        <f>IF(J$2=0,"",IFERROR(TRIM(INDEX('Pegar estudiantes'!$A$1:$BZ$1001,797,J$2)&amp;""),""))</f>
        <v/>
      </c>
      <c r="K798">
        <f>IF(K$2=0,"",IFERROR(TRIM(INDEX('Pegar estudiantes'!$A$1:$BZ$1001,797,K$2)&amp;""),""))</f>
        <v/>
      </c>
      <c r="L798" s="25">
        <f>IF(A798&lt;&gt;"",1,"")</f>
        <v/>
      </c>
      <c r="M798" s="25">
        <f>IF(L798=1,IF(ISNUMBER(FIND("#"&amp;MID(A798,1,1)&amp;"#","#0#1#2#3#4#5#6#7#8#9#")),IF(ISNUMBER(FIND("#"&amp;MID(A798,2,1)&amp;"#","#0#1#2#3#4#5#6#7#8#9#")),IF(AND(VALUE(LEFT(A798,2))&gt;=1,VALUE(LEFT(A798,2))&lt;=5),VALUE(LEFT(A798,2)),""),IF(AND(VALUE(LEFT(A798,1))&gt;=1,VALUE(LEFT(A798,1))&lt;=5),VALUE(LEFT(A798,1)),"")),""),"")</f>
        <v/>
      </c>
      <c r="N798" s="25">
        <f>IF(L798=1,IF(ISNUMBER(FIND("#"&amp;MID(H798,1,1)&amp;"#","#0#1#2#3#4#5#6#7#8#9#")),IF(ISNUMBER(FIND("#"&amp;MID(H798,2,1)&amp;"#","#0#1#2#3#4#5#6#7#8#9#")),IF(AND(VALUE(LEFT(H798,2))&gt;=1,VALUE(LEFT(H798,2))&lt;=5),VALUE(LEFT(H798,2)),""),IF(AND(VALUE(LEFT(H798,1))&gt;=1,VALUE(LEFT(H798,1))&lt;=5),VALUE(LEFT(H798,1)),"")),""),"")</f>
        <v/>
      </c>
      <c r="O798" s="25">
        <f>IF(AND(L798=1,B798&lt;&gt;""),SUBSTITUTE(SUBSTITUTE(SUBSTITUTE(SUBSTITUTE(SUBSTITUTE(SUBSTITUTE(SUBSTITUTE(SUBSTITUTE(SUBSTITUTE(SUBSTITUTE(SUBSTITUTE(SUBSTITUTE(LOWER(TRIM(B798)),"á","a"),"é","e"),"í","i"),"ó","o"),"ú","u"),"ü","u"),"ñ","n"),"à","a"),"è","e"),"ì","i"),"ò","o"),"ù","u"),"")</f>
        <v/>
      </c>
      <c r="P798" s="25">
        <f>IF(AND(L798=1,C798&lt;&gt;""),SUBSTITUTE(SUBSTITUTE(SUBSTITUTE(SUBSTITUTE(SUBSTITUTE(SUBSTITUTE(SUBSTITUTE(SUBSTITUTE(SUBSTITUTE(SUBSTITUTE(SUBSTITUTE(SUBSTITUTE(LOWER(TRIM(C798)),"á","a"),"é","e"),"í","i"),"ó","o"),"ú","u"),"ü","u"),"ñ","n"),"à","a"),"è","e"),"ì","i"),"ò","o"),"ù","u"),"")</f>
        <v/>
      </c>
      <c r="Q798" s="25">
        <f>IF(AND(L798=1,E798&lt;&gt;""),SUBSTITUTE(SUBSTITUTE(SUBSTITUTE(SUBSTITUTE(SUBSTITUTE(SUBSTITUTE(SUBSTITUTE(SUBSTITUTE(SUBSTITUTE(SUBSTITUTE(SUBSTITUTE(SUBSTITUTE(LOWER(TRIM(E798)),"á","a"),"é","e"),"í","i"),"ó","o"),"ú","u"),"ü","u"),"ñ","n"),"à","a"),"è","e"),"ì","i"),"ò","o"),"ù","u"),"")</f>
        <v/>
      </c>
      <c r="R798" s="25">
        <f>IF(AND(L798=1,I798&lt;&gt;""),SUBSTITUTE(SUBSTITUTE(SUBSTITUTE(SUBSTITUTE(SUBSTITUTE(SUBSTITUTE(SUBSTITUTE(SUBSTITUTE(SUBSTITUTE(SUBSTITUTE(SUBSTITUTE(SUBSTITUTE(LOWER(TRIM(I798)),"á","a"),"é","e"),"í","i"),"ó","o"),"ú","u"),"ü","u"),"ñ","n"),"à","a"),"è","e"),"ì","i"),"ò","o"),"ù","u"),"")</f>
        <v/>
      </c>
      <c r="S798" s="25">
        <f>IF(R798="","",IF(OR(R798="si",R798="tal vez"),1,0))</f>
        <v/>
      </c>
      <c r="T798" s="25">
        <f>IF(AND(L798=1,D798&lt;&gt;""),IF(IFERROR(COUNTIFS(D$3:D798,"="&amp;SUBSTITUTE(SUBSTITUTE(SUBSTITUTE(D798,"~","~~"),"*","~*"),"?","~?"),L$3:L798,1),0)=1,MAX(T$2:T797)+1,""),"")</f>
        <v/>
      </c>
      <c r="U798" s="25">
        <f>IF(T798="","",COUNTIFS($D$3:$D$1002,"="&amp;SUBSTITUTE(SUBSTITUTE(SUBSTITUTE(D798,"~","~~"),"*","~*"),"?","~?"),$L$3:$L$1002,1)*10000-T798)</f>
        <v/>
      </c>
      <c r="V798" s="25">
        <f>IF(AND(L798=1,J798&lt;&gt;""),IF(IFERROR(COUNTIFS(J$3:J798,"="&amp;SUBSTITUTE(SUBSTITUTE(SUBSTITUTE(J798,"~","~~"),"*","~*"),"?","~?"),L$3:L798,1),0)=1,MAX(V$2:V797)+1,""),"")</f>
        <v/>
      </c>
      <c r="W798" s="25">
        <f>IF(V798="","",COUNTIFS($J$3:$J$1002,"="&amp;SUBSTITUTE(SUBSTITUTE(SUBSTITUTE(J798,"~","~~"),"*","~*"),"?","~?"),$L$3:$L$1002,1)*10000-V798)</f>
        <v/>
      </c>
    </row>
    <row r="799">
      <c r="A799">
        <f>IF(A$2=0,"",IFERROR(TRIM(INDEX('Pegar estudiantes'!$A$1:$BZ$1001,798,A$2)&amp;""),""))</f>
        <v/>
      </c>
      <c r="B799">
        <f>IF(B$2=0,"",IFERROR(TRIM(INDEX('Pegar estudiantes'!$A$1:$BZ$1001,798,B$2)&amp;""),""))</f>
        <v/>
      </c>
      <c r="C799">
        <f>IF(C$2=0,"",IFERROR(TRIM(INDEX('Pegar estudiantes'!$A$1:$BZ$1001,798,C$2)&amp;""),""))</f>
        <v/>
      </c>
      <c r="D799">
        <f>IF(D$2=0,"",IFERROR(TRIM(INDEX('Pegar estudiantes'!$A$1:$BZ$1001,798,D$2)&amp;""),""))</f>
        <v/>
      </c>
      <c r="E799">
        <f>IF(E$2=0,"",IFERROR(TRIM(INDEX('Pegar estudiantes'!$A$1:$BZ$1001,798,E$2)&amp;""),""))</f>
        <v/>
      </c>
      <c r="F799">
        <f>IF(F$2=0,"",IFERROR(TRIM(INDEX('Pegar estudiantes'!$A$1:$BZ$1001,798,F$2)&amp;""),""))</f>
        <v/>
      </c>
      <c r="G799">
        <f>IF(G$2=0,"",IFERROR(TRIM(INDEX('Pegar estudiantes'!$A$1:$BZ$1001,798,G$2)&amp;""),""))</f>
        <v/>
      </c>
      <c r="H799">
        <f>IF(H$2=0,"",IFERROR(TRIM(INDEX('Pegar estudiantes'!$A$1:$BZ$1001,798,H$2)&amp;""),""))</f>
        <v/>
      </c>
      <c r="I799">
        <f>IF(I$2=0,"",IFERROR(TRIM(INDEX('Pegar estudiantes'!$A$1:$BZ$1001,798,I$2)&amp;""),""))</f>
        <v/>
      </c>
      <c r="J799">
        <f>IF(J$2=0,"",IFERROR(TRIM(INDEX('Pegar estudiantes'!$A$1:$BZ$1001,798,J$2)&amp;""),""))</f>
        <v/>
      </c>
      <c r="K799">
        <f>IF(K$2=0,"",IFERROR(TRIM(INDEX('Pegar estudiantes'!$A$1:$BZ$1001,798,K$2)&amp;""),""))</f>
        <v/>
      </c>
      <c r="L799" s="25">
        <f>IF(A799&lt;&gt;"",1,"")</f>
        <v/>
      </c>
      <c r="M799" s="25">
        <f>IF(L799=1,IF(ISNUMBER(FIND("#"&amp;MID(A799,1,1)&amp;"#","#0#1#2#3#4#5#6#7#8#9#")),IF(ISNUMBER(FIND("#"&amp;MID(A799,2,1)&amp;"#","#0#1#2#3#4#5#6#7#8#9#")),IF(AND(VALUE(LEFT(A799,2))&gt;=1,VALUE(LEFT(A799,2))&lt;=5),VALUE(LEFT(A799,2)),""),IF(AND(VALUE(LEFT(A799,1))&gt;=1,VALUE(LEFT(A799,1))&lt;=5),VALUE(LEFT(A799,1)),"")),""),"")</f>
        <v/>
      </c>
      <c r="N799" s="25">
        <f>IF(L799=1,IF(ISNUMBER(FIND("#"&amp;MID(H799,1,1)&amp;"#","#0#1#2#3#4#5#6#7#8#9#")),IF(ISNUMBER(FIND("#"&amp;MID(H799,2,1)&amp;"#","#0#1#2#3#4#5#6#7#8#9#")),IF(AND(VALUE(LEFT(H799,2))&gt;=1,VALUE(LEFT(H799,2))&lt;=5),VALUE(LEFT(H799,2)),""),IF(AND(VALUE(LEFT(H799,1))&gt;=1,VALUE(LEFT(H799,1))&lt;=5),VALUE(LEFT(H799,1)),"")),""),"")</f>
        <v/>
      </c>
      <c r="O799" s="25">
        <f>IF(AND(L799=1,B799&lt;&gt;""),SUBSTITUTE(SUBSTITUTE(SUBSTITUTE(SUBSTITUTE(SUBSTITUTE(SUBSTITUTE(SUBSTITUTE(SUBSTITUTE(SUBSTITUTE(SUBSTITUTE(SUBSTITUTE(SUBSTITUTE(LOWER(TRIM(B799)),"á","a"),"é","e"),"í","i"),"ó","o"),"ú","u"),"ü","u"),"ñ","n"),"à","a"),"è","e"),"ì","i"),"ò","o"),"ù","u"),"")</f>
        <v/>
      </c>
      <c r="P799" s="25">
        <f>IF(AND(L799=1,C799&lt;&gt;""),SUBSTITUTE(SUBSTITUTE(SUBSTITUTE(SUBSTITUTE(SUBSTITUTE(SUBSTITUTE(SUBSTITUTE(SUBSTITUTE(SUBSTITUTE(SUBSTITUTE(SUBSTITUTE(SUBSTITUTE(LOWER(TRIM(C799)),"á","a"),"é","e"),"í","i"),"ó","o"),"ú","u"),"ü","u"),"ñ","n"),"à","a"),"è","e"),"ì","i"),"ò","o"),"ù","u"),"")</f>
        <v/>
      </c>
      <c r="Q799" s="25">
        <f>IF(AND(L799=1,E799&lt;&gt;""),SUBSTITUTE(SUBSTITUTE(SUBSTITUTE(SUBSTITUTE(SUBSTITUTE(SUBSTITUTE(SUBSTITUTE(SUBSTITUTE(SUBSTITUTE(SUBSTITUTE(SUBSTITUTE(SUBSTITUTE(LOWER(TRIM(E799)),"á","a"),"é","e"),"í","i"),"ó","o"),"ú","u"),"ü","u"),"ñ","n"),"à","a"),"è","e"),"ì","i"),"ò","o"),"ù","u"),"")</f>
        <v/>
      </c>
      <c r="R799" s="25">
        <f>IF(AND(L799=1,I799&lt;&gt;""),SUBSTITUTE(SUBSTITUTE(SUBSTITUTE(SUBSTITUTE(SUBSTITUTE(SUBSTITUTE(SUBSTITUTE(SUBSTITUTE(SUBSTITUTE(SUBSTITUTE(SUBSTITUTE(SUBSTITUTE(LOWER(TRIM(I799)),"á","a"),"é","e"),"í","i"),"ó","o"),"ú","u"),"ü","u"),"ñ","n"),"à","a"),"è","e"),"ì","i"),"ò","o"),"ù","u"),"")</f>
        <v/>
      </c>
      <c r="S799" s="25">
        <f>IF(R799="","",IF(OR(R799="si",R799="tal vez"),1,0))</f>
        <v/>
      </c>
      <c r="T799" s="25">
        <f>IF(AND(L799=1,D799&lt;&gt;""),IF(IFERROR(COUNTIFS(D$3:D799,"="&amp;SUBSTITUTE(SUBSTITUTE(SUBSTITUTE(D799,"~","~~"),"*","~*"),"?","~?"),L$3:L799,1),0)=1,MAX(T$2:T798)+1,""),"")</f>
        <v/>
      </c>
      <c r="U799" s="25">
        <f>IF(T799="","",COUNTIFS($D$3:$D$1002,"="&amp;SUBSTITUTE(SUBSTITUTE(SUBSTITUTE(D799,"~","~~"),"*","~*"),"?","~?"),$L$3:$L$1002,1)*10000-T799)</f>
        <v/>
      </c>
      <c r="V799" s="25">
        <f>IF(AND(L799=1,J799&lt;&gt;""),IF(IFERROR(COUNTIFS(J$3:J799,"="&amp;SUBSTITUTE(SUBSTITUTE(SUBSTITUTE(J799,"~","~~"),"*","~*"),"?","~?"),L$3:L799,1),0)=1,MAX(V$2:V798)+1,""),"")</f>
        <v/>
      </c>
      <c r="W799" s="25">
        <f>IF(V799="","",COUNTIFS($J$3:$J$1002,"="&amp;SUBSTITUTE(SUBSTITUTE(SUBSTITUTE(J799,"~","~~"),"*","~*"),"?","~?"),$L$3:$L$1002,1)*10000-V799)</f>
        <v/>
      </c>
    </row>
    <row r="800">
      <c r="A800">
        <f>IF(A$2=0,"",IFERROR(TRIM(INDEX('Pegar estudiantes'!$A$1:$BZ$1001,799,A$2)&amp;""),""))</f>
        <v/>
      </c>
      <c r="B800">
        <f>IF(B$2=0,"",IFERROR(TRIM(INDEX('Pegar estudiantes'!$A$1:$BZ$1001,799,B$2)&amp;""),""))</f>
        <v/>
      </c>
      <c r="C800">
        <f>IF(C$2=0,"",IFERROR(TRIM(INDEX('Pegar estudiantes'!$A$1:$BZ$1001,799,C$2)&amp;""),""))</f>
        <v/>
      </c>
      <c r="D800">
        <f>IF(D$2=0,"",IFERROR(TRIM(INDEX('Pegar estudiantes'!$A$1:$BZ$1001,799,D$2)&amp;""),""))</f>
        <v/>
      </c>
      <c r="E800">
        <f>IF(E$2=0,"",IFERROR(TRIM(INDEX('Pegar estudiantes'!$A$1:$BZ$1001,799,E$2)&amp;""),""))</f>
        <v/>
      </c>
      <c r="F800">
        <f>IF(F$2=0,"",IFERROR(TRIM(INDEX('Pegar estudiantes'!$A$1:$BZ$1001,799,F$2)&amp;""),""))</f>
        <v/>
      </c>
      <c r="G800">
        <f>IF(G$2=0,"",IFERROR(TRIM(INDEX('Pegar estudiantes'!$A$1:$BZ$1001,799,G$2)&amp;""),""))</f>
        <v/>
      </c>
      <c r="H800">
        <f>IF(H$2=0,"",IFERROR(TRIM(INDEX('Pegar estudiantes'!$A$1:$BZ$1001,799,H$2)&amp;""),""))</f>
        <v/>
      </c>
      <c r="I800">
        <f>IF(I$2=0,"",IFERROR(TRIM(INDEX('Pegar estudiantes'!$A$1:$BZ$1001,799,I$2)&amp;""),""))</f>
        <v/>
      </c>
      <c r="J800">
        <f>IF(J$2=0,"",IFERROR(TRIM(INDEX('Pegar estudiantes'!$A$1:$BZ$1001,799,J$2)&amp;""),""))</f>
        <v/>
      </c>
      <c r="K800">
        <f>IF(K$2=0,"",IFERROR(TRIM(INDEX('Pegar estudiantes'!$A$1:$BZ$1001,799,K$2)&amp;""),""))</f>
        <v/>
      </c>
      <c r="L800" s="25">
        <f>IF(A800&lt;&gt;"",1,"")</f>
        <v/>
      </c>
      <c r="M800" s="25">
        <f>IF(L800=1,IF(ISNUMBER(FIND("#"&amp;MID(A800,1,1)&amp;"#","#0#1#2#3#4#5#6#7#8#9#")),IF(ISNUMBER(FIND("#"&amp;MID(A800,2,1)&amp;"#","#0#1#2#3#4#5#6#7#8#9#")),IF(AND(VALUE(LEFT(A800,2))&gt;=1,VALUE(LEFT(A800,2))&lt;=5),VALUE(LEFT(A800,2)),""),IF(AND(VALUE(LEFT(A800,1))&gt;=1,VALUE(LEFT(A800,1))&lt;=5),VALUE(LEFT(A800,1)),"")),""),"")</f>
        <v/>
      </c>
      <c r="N800" s="25">
        <f>IF(L800=1,IF(ISNUMBER(FIND("#"&amp;MID(H800,1,1)&amp;"#","#0#1#2#3#4#5#6#7#8#9#")),IF(ISNUMBER(FIND("#"&amp;MID(H800,2,1)&amp;"#","#0#1#2#3#4#5#6#7#8#9#")),IF(AND(VALUE(LEFT(H800,2))&gt;=1,VALUE(LEFT(H800,2))&lt;=5),VALUE(LEFT(H800,2)),""),IF(AND(VALUE(LEFT(H800,1))&gt;=1,VALUE(LEFT(H800,1))&lt;=5),VALUE(LEFT(H800,1)),"")),""),"")</f>
        <v/>
      </c>
      <c r="O800" s="25">
        <f>IF(AND(L800=1,B800&lt;&gt;""),SUBSTITUTE(SUBSTITUTE(SUBSTITUTE(SUBSTITUTE(SUBSTITUTE(SUBSTITUTE(SUBSTITUTE(SUBSTITUTE(SUBSTITUTE(SUBSTITUTE(SUBSTITUTE(SUBSTITUTE(LOWER(TRIM(B800)),"á","a"),"é","e"),"í","i"),"ó","o"),"ú","u"),"ü","u"),"ñ","n"),"à","a"),"è","e"),"ì","i"),"ò","o"),"ù","u"),"")</f>
        <v/>
      </c>
      <c r="P800" s="25">
        <f>IF(AND(L800=1,C800&lt;&gt;""),SUBSTITUTE(SUBSTITUTE(SUBSTITUTE(SUBSTITUTE(SUBSTITUTE(SUBSTITUTE(SUBSTITUTE(SUBSTITUTE(SUBSTITUTE(SUBSTITUTE(SUBSTITUTE(SUBSTITUTE(LOWER(TRIM(C800)),"á","a"),"é","e"),"í","i"),"ó","o"),"ú","u"),"ü","u"),"ñ","n"),"à","a"),"è","e"),"ì","i"),"ò","o"),"ù","u"),"")</f>
        <v/>
      </c>
      <c r="Q800" s="25">
        <f>IF(AND(L800=1,E800&lt;&gt;""),SUBSTITUTE(SUBSTITUTE(SUBSTITUTE(SUBSTITUTE(SUBSTITUTE(SUBSTITUTE(SUBSTITUTE(SUBSTITUTE(SUBSTITUTE(SUBSTITUTE(SUBSTITUTE(SUBSTITUTE(LOWER(TRIM(E800)),"á","a"),"é","e"),"í","i"),"ó","o"),"ú","u"),"ü","u"),"ñ","n"),"à","a"),"è","e"),"ì","i"),"ò","o"),"ù","u"),"")</f>
        <v/>
      </c>
      <c r="R800" s="25">
        <f>IF(AND(L800=1,I800&lt;&gt;""),SUBSTITUTE(SUBSTITUTE(SUBSTITUTE(SUBSTITUTE(SUBSTITUTE(SUBSTITUTE(SUBSTITUTE(SUBSTITUTE(SUBSTITUTE(SUBSTITUTE(SUBSTITUTE(SUBSTITUTE(LOWER(TRIM(I800)),"á","a"),"é","e"),"í","i"),"ó","o"),"ú","u"),"ü","u"),"ñ","n"),"à","a"),"è","e"),"ì","i"),"ò","o"),"ù","u"),"")</f>
        <v/>
      </c>
      <c r="S800" s="25">
        <f>IF(R800="","",IF(OR(R800="si",R800="tal vez"),1,0))</f>
        <v/>
      </c>
      <c r="T800" s="25">
        <f>IF(AND(L800=1,D800&lt;&gt;""),IF(IFERROR(COUNTIFS(D$3:D800,"="&amp;SUBSTITUTE(SUBSTITUTE(SUBSTITUTE(D800,"~","~~"),"*","~*"),"?","~?"),L$3:L800,1),0)=1,MAX(T$2:T799)+1,""),"")</f>
        <v/>
      </c>
      <c r="U800" s="25">
        <f>IF(T800="","",COUNTIFS($D$3:$D$1002,"="&amp;SUBSTITUTE(SUBSTITUTE(SUBSTITUTE(D800,"~","~~"),"*","~*"),"?","~?"),$L$3:$L$1002,1)*10000-T800)</f>
        <v/>
      </c>
      <c r="V800" s="25">
        <f>IF(AND(L800=1,J800&lt;&gt;""),IF(IFERROR(COUNTIFS(J$3:J800,"="&amp;SUBSTITUTE(SUBSTITUTE(SUBSTITUTE(J800,"~","~~"),"*","~*"),"?","~?"),L$3:L800,1),0)=1,MAX(V$2:V799)+1,""),"")</f>
        <v/>
      </c>
      <c r="W800" s="25">
        <f>IF(V800="","",COUNTIFS($J$3:$J$1002,"="&amp;SUBSTITUTE(SUBSTITUTE(SUBSTITUTE(J800,"~","~~"),"*","~*"),"?","~?"),$L$3:$L$1002,1)*10000-V800)</f>
        <v/>
      </c>
    </row>
    <row r="801">
      <c r="A801">
        <f>IF(A$2=0,"",IFERROR(TRIM(INDEX('Pegar estudiantes'!$A$1:$BZ$1001,800,A$2)&amp;""),""))</f>
        <v/>
      </c>
      <c r="B801">
        <f>IF(B$2=0,"",IFERROR(TRIM(INDEX('Pegar estudiantes'!$A$1:$BZ$1001,800,B$2)&amp;""),""))</f>
        <v/>
      </c>
      <c r="C801">
        <f>IF(C$2=0,"",IFERROR(TRIM(INDEX('Pegar estudiantes'!$A$1:$BZ$1001,800,C$2)&amp;""),""))</f>
        <v/>
      </c>
      <c r="D801">
        <f>IF(D$2=0,"",IFERROR(TRIM(INDEX('Pegar estudiantes'!$A$1:$BZ$1001,800,D$2)&amp;""),""))</f>
        <v/>
      </c>
      <c r="E801">
        <f>IF(E$2=0,"",IFERROR(TRIM(INDEX('Pegar estudiantes'!$A$1:$BZ$1001,800,E$2)&amp;""),""))</f>
        <v/>
      </c>
      <c r="F801">
        <f>IF(F$2=0,"",IFERROR(TRIM(INDEX('Pegar estudiantes'!$A$1:$BZ$1001,800,F$2)&amp;""),""))</f>
        <v/>
      </c>
      <c r="G801">
        <f>IF(G$2=0,"",IFERROR(TRIM(INDEX('Pegar estudiantes'!$A$1:$BZ$1001,800,G$2)&amp;""),""))</f>
        <v/>
      </c>
      <c r="H801">
        <f>IF(H$2=0,"",IFERROR(TRIM(INDEX('Pegar estudiantes'!$A$1:$BZ$1001,800,H$2)&amp;""),""))</f>
        <v/>
      </c>
      <c r="I801">
        <f>IF(I$2=0,"",IFERROR(TRIM(INDEX('Pegar estudiantes'!$A$1:$BZ$1001,800,I$2)&amp;""),""))</f>
        <v/>
      </c>
      <c r="J801">
        <f>IF(J$2=0,"",IFERROR(TRIM(INDEX('Pegar estudiantes'!$A$1:$BZ$1001,800,J$2)&amp;""),""))</f>
        <v/>
      </c>
      <c r="K801">
        <f>IF(K$2=0,"",IFERROR(TRIM(INDEX('Pegar estudiantes'!$A$1:$BZ$1001,800,K$2)&amp;""),""))</f>
        <v/>
      </c>
      <c r="L801" s="25">
        <f>IF(A801&lt;&gt;"",1,"")</f>
        <v/>
      </c>
      <c r="M801" s="25">
        <f>IF(L801=1,IF(ISNUMBER(FIND("#"&amp;MID(A801,1,1)&amp;"#","#0#1#2#3#4#5#6#7#8#9#")),IF(ISNUMBER(FIND("#"&amp;MID(A801,2,1)&amp;"#","#0#1#2#3#4#5#6#7#8#9#")),IF(AND(VALUE(LEFT(A801,2))&gt;=1,VALUE(LEFT(A801,2))&lt;=5),VALUE(LEFT(A801,2)),""),IF(AND(VALUE(LEFT(A801,1))&gt;=1,VALUE(LEFT(A801,1))&lt;=5),VALUE(LEFT(A801,1)),"")),""),"")</f>
        <v/>
      </c>
      <c r="N801" s="25">
        <f>IF(L801=1,IF(ISNUMBER(FIND("#"&amp;MID(H801,1,1)&amp;"#","#0#1#2#3#4#5#6#7#8#9#")),IF(ISNUMBER(FIND("#"&amp;MID(H801,2,1)&amp;"#","#0#1#2#3#4#5#6#7#8#9#")),IF(AND(VALUE(LEFT(H801,2))&gt;=1,VALUE(LEFT(H801,2))&lt;=5),VALUE(LEFT(H801,2)),""),IF(AND(VALUE(LEFT(H801,1))&gt;=1,VALUE(LEFT(H801,1))&lt;=5),VALUE(LEFT(H801,1)),"")),""),"")</f>
        <v/>
      </c>
      <c r="O801" s="25">
        <f>IF(AND(L801=1,B801&lt;&gt;""),SUBSTITUTE(SUBSTITUTE(SUBSTITUTE(SUBSTITUTE(SUBSTITUTE(SUBSTITUTE(SUBSTITUTE(SUBSTITUTE(SUBSTITUTE(SUBSTITUTE(SUBSTITUTE(SUBSTITUTE(LOWER(TRIM(B801)),"á","a"),"é","e"),"í","i"),"ó","o"),"ú","u"),"ü","u"),"ñ","n"),"à","a"),"è","e"),"ì","i"),"ò","o"),"ù","u"),"")</f>
        <v/>
      </c>
      <c r="P801" s="25">
        <f>IF(AND(L801=1,C801&lt;&gt;""),SUBSTITUTE(SUBSTITUTE(SUBSTITUTE(SUBSTITUTE(SUBSTITUTE(SUBSTITUTE(SUBSTITUTE(SUBSTITUTE(SUBSTITUTE(SUBSTITUTE(SUBSTITUTE(SUBSTITUTE(LOWER(TRIM(C801)),"á","a"),"é","e"),"í","i"),"ó","o"),"ú","u"),"ü","u"),"ñ","n"),"à","a"),"è","e"),"ì","i"),"ò","o"),"ù","u"),"")</f>
        <v/>
      </c>
      <c r="Q801" s="25">
        <f>IF(AND(L801=1,E801&lt;&gt;""),SUBSTITUTE(SUBSTITUTE(SUBSTITUTE(SUBSTITUTE(SUBSTITUTE(SUBSTITUTE(SUBSTITUTE(SUBSTITUTE(SUBSTITUTE(SUBSTITUTE(SUBSTITUTE(SUBSTITUTE(LOWER(TRIM(E801)),"á","a"),"é","e"),"í","i"),"ó","o"),"ú","u"),"ü","u"),"ñ","n"),"à","a"),"è","e"),"ì","i"),"ò","o"),"ù","u"),"")</f>
        <v/>
      </c>
      <c r="R801" s="25">
        <f>IF(AND(L801=1,I801&lt;&gt;""),SUBSTITUTE(SUBSTITUTE(SUBSTITUTE(SUBSTITUTE(SUBSTITUTE(SUBSTITUTE(SUBSTITUTE(SUBSTITUTE(SUBSTITUTE(SUBSTITUTE(SUBSTITUTE(SUBSTITUTE(LOWER(TRIM(I801)),"á","a"),"é","e"),"í","i"),"ó","o"),"ú","u"),"ü","u"),"ñ","n"),"à","a"),"è","e"),"ì","i"),"ò","o"),"ù","u"),"")</f>
        <v/>
      </c>
      <c r="S801" s="25">
        <f>IF(R801="","",IF(OR(R801="si",R801="tal vez"),1,0))</f>
        <v/>
      </c>
      <c r="T801" s="25">
        <f>IF(AND(L801=1,D801&lt;&gt;""),IF(IFERROR(COUNTIFS(D$3:D801,"="&amp;SUBSTITUTE(SUBSTITUTE(SUBSTITUTE(D801,"~","~~"),"*","~*"),"?","~?"),L$3:L801,1),0)=1,MAX(T$2:T800)+1,""),"")</f>
        <v/>
      </c>
      <c r="U801" s="25">
        <f>IF(T801="","",COUNTIFS($D$3:$D$1002,"="&amp;SUBSTITUTE(SUBSTITUTE(SUBSTITUTE(D801,"~","~~"),"*","~*"),"?","~?"),$L$3:$L$1002,1)*10000-T801)</f>
        <v/>
      </c>
      <c r="V801" s="25">
        <f>IF(AND(L801=1,J801&lt;&gt;""),IF(IFERROR(COUNTIFS(J$3:J801,"="&amp;SUBSTITUTE(SUBSTITUTE(SUBSTITUTE(J801,"~","~~"),"*","~*"),"?","~?"),L$3:L801,1),0)=1,MAX(V$2:V800)+1,""),"")</f>
        <v/>
      </c>
      <c r="W801" s="25">
        <f>IF(V801="","",COUNTIFS($J$3:$J$1002,"="&amp;SUBSTITUTE(SUBSTITUTE(SUBSTITUTE(J801,"~","~~"),"*","~*"),"?","~?"),$L$3:$L$1002,1)*10000-V801)</f>
        <v/>
      </c>
    </row>
    <row r="802">
      <c r="A802">
        <f>IF(A$2=0,"",IFERROR(TRIM(INDEX('Pegar estudiantes'!$A$1:$BZ$1001,801,A$2)&amp;""),""))</f>
        <v/>
      </c>
      <c r="B802">
        <f>IF(B$2=0,"",IFERROR(TRIM(INDEX('Pegar estudiantes'!$A$1:$BZ$1001,801,B$2)&amp;""),""))</f>
        <v/>
      </c>
      <c r="C802">
        <f>IF(C$2=0,"",IFERROR(TRIM(INDEX('Pegar estudiantes'!$A$1:$BZ$1001,801,C$2)&amp;""),""))</f>
        <v/>
      </c>
      <c r="D802">
        <f>IF(D$2=0,"",IFERROR(TRIM(INDEX('Pegar estudiantes'!$A$1:$BZ$1001,801,D$2)&amp;""),""))</f>
        <v/>
      </c>
      <c r="E802">
        <f>IF(E$2=0,"",IFERROR(TRIM(INDEX('Pegar estudiantes'!$A$1:$BZ$1001,801,E$2)&amp;""),""))</f>
        <v/>
      </c>
      <c r="F802">
        <f>IF(F$2=0,"",IFERROR(TRIM(INDEX('Pegar estudiantes'!$A$1:$BZ$1001,801,F$2)&amp;""),""))</f>
        <v/>
      </c>
      <c r="G802">
        <f>IF(G$2=0,"",IFERROR(TRIM(INDEX('Pegar estudiantes'!$A$1:$BZ$1001,801,G$2)&amp;""),""))</f>
        <v/>
      </c>
      <c r="H802">
        <f>IF(H$2=0,"",IFERROR(TRIM(INDEX('Pegar estudiantes'!$A$1:$BZ$1001,801,H$2)&amp;""),""))</f>
        <v/>
      </c>
      <c r="I802">
        <f>IF(I$2=0,"",IFERROR(TRIM(INDEX('Pegar estudiantes'!$A$1:$BZ$1001,801,I$2)&amp;""),""))</f>
        <v/>
      </c>
      <c r="J802">
        <f>IF(J$2=0,"",IFERROR(TRIM(INDEX('Pegar estudiantes'!$A$1:$BZ$1001,801,J$2)&amp;""),""))</f>
        <v/>
      </c>
      <c r="K802">
        <f>IF(K$2=0,"",IFERROR(TRIM(INDEX('Pegar estudiantes'!$A$1:$BZ$1001,801,K$2)&amp;""),""))</f>
        <v/>
      </c>
      <c r="L802" s="25">
        <f>IF(A802&lt;&gt;"",1,"")</f>
        <v/>
      </c>
      <c r="M802" s="25">
        <f>IF(L802=1,IF(ISNUMBER(FIND("#"&amp;MID(A802,1,1)&amp;"#","#0#1#2#3#4#5#6#7#8#9#")),IF(ISNUMBER(FIND("#"&amp;MID(A802,2,1)&amp;"#","#0#1#2#3#4#5#6#7#8#9#")),IF(AND(VALUE(LEFT(A802,2))&gt;=1,VALUE(LEFT(A802,2))&lt;=5),VALUE(LEFT(A802,2)),""),IF(AND(VALUE(LEFT(A802,1))&gt;=1,VALUE(LEFT(A802,1))&lt;=5),VALUE(LEFT(A802,1)),"")),""),"")</f>
        <v/>
      </c>
      <c r="N802" s="25">
        <f>IF(L802=1,IF(ISNUMBER(FIND("#"&amp;MID(H802,1,1)&amp;"#","#0#1#2#3#4#5#6#7#8#9#")),IF(ISNUMBER(FIND("#"&amp;MID(H802,2,1)&amp;"#","#0#1#2#3#4#5#6#7#8#9#")),IF(AND(VALUE(LEFT(H802,2))&gt;=1,VALUE(LEFT(H802,2))&lt;=5),VALUE(LEFT(H802,2)),""),IF(AND(VALUE(LEFT(H802,1))&gt;=1,VALUE(LEFT(H802,1))&lt;=5),VALUE(LEFT(H802,1)),"")),""),"")</f>
        <v/>
      </c>
      <c r="O802" s="25">
        <f>IF(AND(L802=1,B802&lt;&gt;""),SUBSTITUTE(SUBSTITUTE(SUBSTITUTE(SUBSTITUTE(SUBSTITUTE(SUBSTITUTE(SUBSTITUTE(SUBSTITUTE(SUBSTITUTE(SUBSTITUTE(SUBSTITUTE(SUBSTITUTE(LOWER(TRIM(B802)),"á","a"),"é","e"),"í","i"),"ó","o"),"ú","u"),"ü","u"),"ñ","n"),"à","a"),"è","e"),"ì","i"),"ò","o"),"ù","u"),"")</f>
        <v/>
      </c>
      <c r="P802" s="25">
        <f>IF(AND(L802=1,C802&lt;&gt;""),SUBSTITUTE(SUBSTITUTE(SUBSTITUTE(SUBSTITUTE(SUBSTITUTE(SUBSTITUTE(SUBSTITUTE(SUBSTITUTE(SUBSTITUTE(SUBSTITUTE(SUBSTITUTE(SUBSTITUTE(LOWER(TRIM(C802)),"á","a"),"é","e"),"í","i"),"ó","o"),"ú","u"),"ü","u"),"ñ","n"),"à","a"),"è","e"),"ì","i"),"ò","o"),"ù","u"),"")</f>
        <v/>
      </c>
      <c r="Q802" s="25">
        <f>IF(AND(L802=1,E802&lt;&gt;""),SUBSTITUTE(SUBSTITUTE(SUBSTITUTE(SUBSTITUTE(SUBSTITUTE(SUBSTITUTE(SUBSTITUTE(SUBSTITUTE(SUBSTITUTE(SUBSTITUTE(SUBSTITUTE(SUBSTITUTE(LOWER(TRIM(E802)),"á","a"),"é","e"),"í","i"),"ó","o"),"ú","u"),"ü","u"),"ñ","n"),"à","a"),"è","e"),"ì","i"),"ò","o"),"ù","u"),"")</f>
        <v/>
      </c>
      <c r="R802" s="25">
        <f>IF(AND(L802=1,I802&lt;&gt;""),SUBSTITUTE(SUBSTITUTE(SUBSTITUTE(SUBSTITUTE(SUBSTITUTE(SUBSTITUTE(SUBSTITUTE(SUBSTITUTE(SUBSTITUTE(SUBSTITUTE(SUBSTITUTE(SUBSTITUTE(LOWER(TRIM(I802)),"á","a"),"é","e"),"í","i"),"ó","o"),"ú","u"),"ü","u"),"ñ","n"),"à","a"),"è","e"),"ì","i"),"ò","o"),"ù","u"),"")</f>
        <v/>
      </c>
      <c r="S802" s="25">
        <f>IF(R802="","",IF(OR(R802="si",R802="tal vez"),1,0))</f>
        <v/>
      </c>
      <c r="T802" s="25">
        <f>IF(AND(L802=1,D802&lt;&gt;""),IF(IFERROR(COUNTIFS(D$3:D802,"="&amp;SUBSTITUTE(SUBSTITUTE(SUBSTITUTE(D802,"~","~~"),"*","~*"),"?","~?"),L$3:L802,1),0)=1,MAX(T$2:T801)+1,""),"")</f>
        <v/>
      </c>
      <c r="U802" s="25">
        <f>IF(T802="","",COUNTIFS($D$3:$D$1002,"="&amp;SUBSTITUTE(SUBSTITUTE(SUBSTITUTE(D802,"~","~~"),"*","~*"),"?","~?"),$L$3:$L$1002,1)*10000-T802)</f>
        <v/>
      </c>
      <c r="V802" s="25">
        <f>IF(AND(L802=1,J802&lt;&gt;""),IF(IFERROR(COUNTIFS(J$3:J802,"="&amp;SUBSTITUTE(SUBSTITUTE(SUBSTITUTE(J802,"~","~~"),"*","~*"),"?","~?"),L$3:L802,1),0)=1,MAX(V$2:V801)+1,""),"")</f>
        <v/>
      </c>
      <c r="W802" s="25">
        <f>IF(V802="","",COUNTIFS($J$3:$J$1002,"="&amp;SUBSTITUTE(SUBSTITUTE(SUBSTITUTE(J802,"~","~~"),"*","~*"),"?","~?"),$L$3:$L$1002,1)*10000-V802)</f>
        <v/>
      </c>
    </row>
    <row r="803">
      <c r="A803">
        <f>IF(A$2=0,"",IFERROR(TRIM(INDEX('Pegar estudiantes'!$A$1:$BZ$1001,802,A$2)&amp;""),""))</f>
        <v/>
      </c>
      <c r="B803">
        <f>IF(B$2=0,"",IFERROR(TRIM(INDEX('Pegar estudiantes'!$A$1:$BZ$1001,802,B$2)&amp;""),""))</f>
        <v/>
      </c>
      <c r="C803">
        <f>IF(C$2=0,"",IFERROR(TRIM(INDEX('Pegar estudiantes'!$A$1:$BZ$1001,802,C$2)&amp;""),""))</f>
        <v/>
      </c>
      <c r="D803">
        <f>IF(D$2=0,"",IFERROR(TRIM(INDEX('Pegar estudiantes'!$A$1:$BZ$1001,802,D$2)&amp;""),""))</f>
        <v/>
      </c>
      <c r="E803">
        <f>IF(E$2=0,"",IFERROR(TRIM(INDEX('Pegar estudiantes'!$A$1:$BZ$1001,802,E$2)&amp;""),""))</f>
        <v/>
      </c>
      <c r="F803">
        <f>IF(F$2=0,"",IFERROR(TRIM(INDEX('Pegar estudiantes'!$A$1:$BZ$1001,802,F$2)&amp;""),""))</f>
        <v/>
      </c>
      <c r="G803">
        <f>IF(G$2=0,"",IFERROR(TRIM(INDEX('Pegar estudiantes'!$A$1:$BZ$1001,802,G$2)&amp;""),""))</f>
        <v/>
      </c>
      <c r="H803">
        <f>IF(H$2=0,"",IFERROR(TRIM(INDEX('Pegar estudiantes'!$A$1:$BZ$1001,802,H$2)&amp;""),""))</f>
        <v/>
      </c>
      <c r="I803">
        <f>IF(I$2=0,"",IFERROR(TRIM(INDEX('Pegar estudiantes'!$A$1:$BZ$1001,802,I$2)&amp;""),""))</f>
        <v/>
      </c>
      <c r="J803">
        <f>IF(J$2=0,"",IFERROR(TRIM(INDEX('Pegar estudiantes'!$A$1:$BZ$1001,802,J$2)&amp;""),""))</f>
        <v/>
      </c>
      <c r="K803">
        <f>IF(K$2=0,"",IFERROR(TRIM(INDEX('Pegar estudiantes'!$A$1:$BZ$1001,802,K$2)&amp;""),""))</f>
        <v/>
      </c>
      <c r="L803" s="25">
        <f>IF(A803&lt;&gt;"",1,"")</f>
        <v/>
      </c>
      <c r="M803" s="25">
        <f>IF(L803=1,IF(ISNUMBER(FIND("#"&amp;MID(A803,1,1)&amp;"#","#0#1#2#3#4#5#6#7#8#9#")),IF(ISNUMBER(FIND("#"&amp;MID(A803,2,1)&amp;"#","#0#1#2#3#4#5#6#7#8#9#")),IF(AND(VALUE(LEFT(A803,2))&gt;=1,VALUE(LEFT(A803,2))&lt;=5),VALUE(LEFT(A803,2)),""),IF(AND(VALUE(LEFT(A803,1))&gt;=1,VALUE(LEFT(A803,1))&lt;=5),VALUE(LEFT(A803,1)),"")),""),"")</f>
        <v/>
      </c>
      <c r="N803" s="25">
        <f>IF(L803=1,IF(ISNUMBER(FIND("#"&amp;MID(H803,1,1)&amp;"#","#0#1#2#3#4#5#6#7#8#9#")),IF(ISNUMBER(FIND("#"&amp;MID(H803,2,1)&amp;"#","#0#1#2#3#4#5#6#7#8#9#")),IF(AND(VALUE(LEFT(H803,2))&gt;=1,VALUE(LEFT(H803,2))&lt;=5),VALUE(LEFT(H803,2)),""),IF(AND(VALUE(LEFT(H803,1))&gt;=1,VALUE(LEFT(H803,1))&lt;=5),VALUE(LEFT(H803,1)),"")),""),"")</f>
        <v/>
      </c>
      <c r="O803" s="25">
        <f>IF(AND(L803=1,B803&lt;&gt;""),SUBSTITUTE(SUBSTITUTE(SUBSTITUTE(SUBSTITUTE(SUBSTITUTE(SUBSTITUTE(SUBSTITUTE(SUBSTITUTE(SUBSTITUTE(SUBSTITUTE(SUBSTITUTE(SUBSTITUTE(LOWER(TRIM(B803)),"á","a"),"é","e"),"í","i"),"ó","o"),"ú","u"),"ü","u"),"ñ","n"),"à","a"),"è","e"),"ì","i"),"ò","o"),"ù","u"),"")</f>
        <v/>
      </c>
      <c r="P803" s="25">
        <f>IF(AND(L803=1,C803&lt;&gt;""),SUBSTITUTE(SUBSTITUTE(SUBSTITUTE(SUBSTITUTE(SUBSTITUTE(SUBSTITUTE(SUBSTITUTE(SUBSTITUTE(SUBSTITUTE(SUBSTITUTE(SUBSTITUTE(SUBSTITUTE(LOWER(TRIM(C803)),"á","a"),"é","e"),"í","i"),"ó","o"),"ú","u"),"ü","u"),"ñ","n"),"à","a"),"è","e"),"ì","i"),"ò","o"),"ù","u"),"")</f>
        <v/>
      </c>
      <c r="Q803" s="25">
        <f>IF(AND(L803=1,E803&lt;&gt;""),SUBSTITUTE(SUBSTITUTE(SUBSTITUTE(SUBSTITUTE(SUBSTITUTE(SUBSTITUTE(SUBSTITUTE(SUBSTITUTE(SUBSTITUTE(SUBSTITUTE(SUBSTITUTE(SUBSTITUTE(LOWER(TRIM(E803)),"á","a"),"é","e"),"í","i"),"ó","o"),"ú","u"),"ü","u"),"ñ","n"),"à","a"),"è","e"),"ì","i"),"ò","o"),"ù","u"),"")</f>
        <v/>
      </c>
      <c r="R803" s="25">
        <f>IF(AND(L803=1,I803&lt;&gt;""),SUBSTITUTE(SUBSTITUTE(SUBSTITUTE(SUBSTITUTE(SUBSTITUTE(SUBSTITUTE(SUBSTITUTE(SUBSTITUTE(SUBSTITUTE(SUBSTITUTE(SUBSTITUTE(SUBSTITUTE(LOWER(TRIM(I803)),"á","a"),"é","e"),"í","i"),"ó","o"),"ú","u"),"ü","u"),"ñ","n"),"à","a"),"è","e"),"ì","i"),"ò","o"),"ù","u"),"")</f>
        <v/>
      </c>
      <c r="S803" s="25">
        <f>IF(R803="","",IF(OR(R803="si",R803="tal vez"),1,0))</f>
        <v/>
      </c>
      <c r="T803" s="25">
        <f>IF(AND(L803=1,D803&lt;&gt;""),IF(IFERROR(COUNTIFS(D$3:D803,"="&amp;SUBSTITUTE(SUBSTITUTE(SUBSTITUTE(D803,"~","~~"),"*","~*"),"?","~?"),L$3:L803,1),0)=1,MAX(T$2:T802)+1,""),"")</f>
        <v/>
      </c>
      <c r="U803" s="25">
        <f>IF(T803="","",COUNTIFS($D$3:$D$1002,"="&amp;SUBSTITUTE(SUBSTITUTE(SUBSTITUTE(D803,"~","~~"),"*","~*"),"?","~?"),$L$3:$L$1002,1)*10000-T803)</f>
        <v/>
      </c>
      <c r="V803" s="25">
        <f>IF(AND(L803=1,J803&lt;&gt;""),IF(IFERROR(COUNTIFS(J$3:J803,"="&amp;SUBSTITUTE(SUBSTITUTE(SUBSTITUTE(J803,"~","~~"),"*","~*"),"?","~?"),L$3:L803,1),0)=1,MAX(V$2:V802)+1,""),"")</f>
        <v/>
      </c>
      <c r="W803" s="25">
        <f>IF(V803="","",COUNTIFS($J$3:$J$1002,"="&amp;SUBSTITUTE(SUBSTITUTE(SUBSTITUTE(J803,"~","~~"),"*","~*"),"?","~?"),$L$3:$L$1002,1)*10000-V803)</f>
        <v/>
      </c>
    </row>
    <row r="804">
      <c r="A804">
        <f>IF(A$2=0,"",IFERROR(TRIM(INDEX('Pegar estudiantes'!$A$1:$BZ$1001,803,A$2)&amp;""),""))</f>
        <v/>
      </c>
      <c r="B804">
        <f>IF(B$2=0,"",IFERROR(TRIM(INDEX('Pegar estudiantes'!$A$1:$BZ$1001,803,B$2)&amp;""),""))</f>
        <v/>
      </c>
      <c r="C804">
        <f>IF(C$2=0,"",IFERROR(TRIM(INDEX('Pegar estudiantes'!$A$1:$BZ$1001,803,C$2)&amp;""),""))</f>
        <v/>
      </c>
      <c r="D804">
        <f>IF(D$2=0,"",IFERROR(TRIM(INDEX('Pegar estudiantes'!$A$1:$BZ$1001,803,D$2)&amp;""),""))</f>
        <v/>
      </c>
      <c r="E804">
        <f>IF(E$2=0,"",IFERROR(TRIM(INDEX('Pegar estudiantes'!$A$1:$BZ$1001,803,E$2)&amp;""),""))</f>
        <v/>
      </c>
      <c r="F804">
        <f>IF(F$2=0,"",IFERROR(TRIM(INDEX('Pegar estudiantes'!$A$1:$BZ$1001,803,F$2)&amp;""),""))</f>
        <v/>
      </c>
      <c r="G804">
        <f>IF(G$2=0,"",IFERROR(TRIM(INDEX('Pegar estudiantes'!$A$1:$BZ$1001,803,G$2)&amp;""),""))</f>
        <v/>
      </c>
      <c r="H804">
        <f>IF(H$2=0,"",IFERROR(TRIM(INDEX('Pegar estudiantes'!$A$1:$BZ$1001,803,H$2)&amp;""),""))</f>
        <v/>
      </c>
      <c r="I804">
        <f>IF(I$2=0,"",IFERROR(TRIM(INDEX('Pegar estudiantes'!$A$1:$BZ$1001,803,I$2)&amp;""),""))</f>
        <v/>
      </c>
      <c r="J804">
        <f>IF(J$2=0,"",IFERROR(TRIM(INDEX('Pegar estudiantes'!$A$1:$BZ$1001,803,J$2)&amp;""),""))</f>
        <v/>
      </c>
      <c r="K804">
        <f>IF(K$2=0,"",IFERROR(TRIM(INDEX('Pegar estudiantes'!$A$1:$BZ$1001,803,K$2)&amp;""),""))</f>
        <v/>
      </c>
      <c r="L804" s="25">
        <f>IF(A804&lt;&gt;"",1,"")</f>
        <v/>
      </c>
      <c r="M804" s="25">
        <f>IF(L804=1,IF(ISNUMBER(FIND("#"&amp;MID(A804,1,1)&amp;"#","#0#1#2#3#4#5#6#7#8#9#")),IF(ISNUMBER(FIND("#"&amp;MID(A804,2,1)&amp;"#","#0#1#2#3#4#5#6#7#8#9#")),IF(AND(VALUE(LEFT(A804,2))&gt;=1,VALUE(LEFT(A804,2))&lt;=5),VALUE(LEFT(A804,2)),""),IF(AND(VALUE(LEFT(A804,1))&gt;=1,VALUE(LEFT(A804,1))&lt;=5),VALUE(LEFT(A804,1)),"")),""),"")</f>
        <v/>
      </c>
      <c r="N804" s="25">
        <f>IF(L804=1,IF(ISNUMBER(FIND("#"&amp;MID(H804,1,1)&amp;"#","#0#1#2#3#4#5#6#7#8#9#")),IF(ISNUMBER(FIND("#"&amp;MID(H804,2,1)&amp;"#","#0#1#2#3#4#5#6#7#8#9#")),IF(AND(VALUE(LEFT(H804,2))&gt;=1,VALUE(LEFT(H804,2))&lt;=5),VALUE(LEFT(H804,2)),""),IF(AND(VALUE(LEFT(H804,1))&gt;=1,VALUE(LEFT(H804,1))&lt;=5),VALUE(LEFT(H804,1)),"")),""),"")</f>
        <v/>
      </c>
      <c r="O804" s="25">
        <f>IF(AND(L804=1,B804&lt;&gt;""),SUBSTITUTE(SUBSTITUTE(SUBSTITUTE(SUBSTITUTE(SUBSTITUTE(SUBSTITUTE(SUBSTITUTE(SUBSTITUTE(SUBSTITUTE(SUBSTITUTE(SUBSTITUTE(SUBSTITUTE(LOWER(TRIM(B804)),"á","a"),"é","e"),"í","i"),"ó","o"),"ú","u"),"ü","u"),"ñ","n"),"à","a"),"è","e"),"ì","i"),"ò","o"),"ù","u"),"")</f>
        <v/>
      </c>
      <c r="P804" s="25">
        <f>IF(AND(L804=1,C804&lt;&gt;""),SUBSTITUTE(SUBSTITUTE(SUBSTITUTE(SUBSTITUTE(SUBSTITUTE(SUBSTITUTE(SUBSTITUTE(SUBSTITUTE(SUBSTITUTE(SUBSTITUTE(SUBSTITUTE(SUBSTITUTE(LOWER(TRIM(C804)),"á","a"),"é","e"),"í","i"),"ó","o"),"ú","u"),"ü","u"),"ñ","n"),"à","a"),"è","e"),"ì","i"),"ò","o"),"ù","u"),"")</f>
        <v/>
      </c>
      <c r="Q804" s="25">
        <f>IF(AND(L804=1,E804&lt;&gt;""),SUBSTITUTE(SUBSTITUTE(SUBSTITUTE(SUBSTITUTE(SUBSTITUTE(SUBSTITUTE(SUBSTITUTE(SUBSTITUTE(SUBSTITUTE(SUBSTITUTE(SUBSTITUTE(SUBSTITUTE(LOWER(TRIM(E804)),"á","a"),"é","e"),"í","i"),"ó","o"),"ú","u"),"ü","u"),"ñ","n"),"à","a"),"è","e"),"ì","i"),"ò","o"),"ù","u"),"")</f>
        <v/>
      </c>
      <c r="R804" s="25">
        <f>IF(AND(L804=1,I804&lt;&gt;""),SUBSTITUTE(SUBSTITUTE(SUBSTITUTE(SUBSTITUTE(SUBSTITUTE(SUBSTITUTE(SUBSTITUTE(SUBSTITUTE(SUBSTITUTE(SUBSTITUTE(SUBSTITUTE(SUBSTITUTE(LOWER(TRIM(I804)),"á","a"),"é","e"),"í","i"),"ó","o"),"ú","u"),"ü","u"),"ñ","n"),"à","a"),"è","e"),"ì","i"),"ò","o"),"ù","u"),"")</f>
        <v/>
      </c>
      <c r="S804" s="25">
        <f>IF(R804="","",IF(OR(R804="si",R804="tal vez"),1,0))</f>
        <v/>
      </c>
      <c r="T804" s="25">
        <f>IF(AND(L804=1,D804&lt;&gt;""),IF(IFERROR(COUNTIFS(D$3:D804,"="&amp;SUBSTITUTE(SUBSTITUTE(SUBSTITUTE(D804,"~","~~"),"*","~*"),"?","~?"),L$3:L804,1),0)=1,MAX(T$2:T803)+1,""),"")</f>
        <v/>
      </c>
      <c r="U804" s="25">
        <f>IF(T804="","",COUNTIFS($D$3:$D$1002,"="&amp;SUBSTITUTE(SUBSTITUTE(SUBSTITUTE(D804,"~","~~"),"*","~*"),"?","~?"),$L$3:$L$1002,1)*10000-T804)</f>
        <v/>
      </c>
      <c r="V804" s="25">
        <f>IF(AND(L804=1,J804&lt;&gt;""),IF(IFERROR(COUNTIFS(J$3:J804,"="&amp;SUBSTITUTE(SUBSTITUTE(SUBSTITUTE(J804,"~","~~"),"*","~*"),"?","~?"),L$3:L804,1),0)=1,MAX(V$2:V803)+1,""),"")</f>
        <v/>
      </c>
      <c r="W804" s="25">
        <f>IF(V804="","",COUNTIFS($J$3:$J$1002,"="&amp;SUBSTITUTE(SUBSTITUTE(SUBSTITUTE(J804,"~","~~"),"*","~*"),"?","~?"),$L$3:$L$1002,1)*10000-V804)</f>
        <v/>
      </c>
    </row>
    <row r="805">
      <c r="A805">
        <f>IF(A$2=0,"",IFERROR(TRIM(INDEX('Pegar estudiantes'!$A$1:$BZ$1001,804,A$2)&amp;""),""))</f>
        <v/>
      </c>
      <c r="B805">
        <f>IF(B$2=0,"",IFERROR(TRIM(INDEX('Pegar estudiantes'!$A$1:$BZ$1001,804,B$2)&amp;""),""))</f>
        <v/>
      </c>
      <c r="C805">
        <f>IF(C$2=0,"",IFERROR(TRIM(INDEX('Pegar estudiantes'!$A$1:$BZ$1001,804,C$2)&amp;""),""))</f>
        <v/>
      </c>
      <c r="D805">
        <f>IF(D$2=0,"",IFERROR(TRIM(INDEX('Pegar estudiantes'!$A$1:$BZ$1001,804,D$2)&amp;""),""))</f>
        <v/>
      </c>
      <c r="E805">
        <f>IF(E$2=0,"",IFERROR(TRIM(INDEX('Pegar estudiantes'!$A$1:$BZ$1001,804,E$2)&amp;""),""))</f>
        <v/>
      </c>
      <c r="F805">
        <f>IF(F$2=0,"",IFERROR(TRIM(INDEX('Pegar estudiantes'!$A$1:$BZ$1001,804,F$2)&amp;""),""))</f>
        <v/>
      </c>
      <c r="G805">
        <f>IF(G$2=0,"",IFERROR(TRIM(INDEX('Pegar estudiantes'!$A$1:$BZ$1001,804,G$2)&amp;""),""))</f>
        <v/>
      </c>
      <c r="H805">
        <f>IF(H$2=0,"",IFERROR(TRIM(INDEX('Pegar estudiantes'!$A$1:$BZ$1001,804,H$2)&amp;""),""))</f>
        <v/>
      </c>
      <c r="I805">
        <f>IF(I$2=0,"",IFERROR(TRIM(INDEX('Pegar estudiantes'!$A$1:$BZ$1001,804,I$2)&amp;""),""))</f>
        <v/>
      </c>
      <c r="J805">
        <f>IF(J$2=0,"",IFERROR(TRIM(INDEX('Pegar estudiantes'!$A$1:$BZ$1001,804,J$2)&amp;""),""))</f>
        <v/>
      </c>
      <c r="K805">
        <f>IF(K$2=0,"",IFERROR(TRIM(INDEX('Pegar estudiantes'!$A$1:$BZ$1001,804,K$2)&amp;""),""))</f>
        <v/>
      </c>
      <c r="L805" s="25">
        <f>IF(A805&lt;&gt;"",1,"")</f>
        <v/>
      </c>
      <c r="M805" s="25">
        <f>IF(L805=1,IF(ISNUMBER(FIND("#"&amp;MID(A805,1,1)&amp;"#","#0#1#2#3#4#5#6#7#8#9#")),IF(ISNUMBER(FIND("#"&amp;MID(A805,2,1)&amp;"#","#0#1#2#3#4#5#6#7#8#9#")),IF(AND(VALUE(LEFT(A805,2))&gt;=1,VALUE(LEFT(A805,2))&lt;=5),VALUE(LEFT(A805,2)),""),IF(AND(VALUE(LEFT(A805,1))&gt;=1,VALUE(LEFT(A805,1))&lt;=5),VALUE(LEFT(A805,1)),"")),""),"")</f>
        <v/>
      </c>
      <c r="N805" s="25">
        <f>IF(L805=1,IF(ISNUMBER(FIND("#"&amp;MID(H805,1,1)&amp;"#","#0#1#2#3#4#5#6#7#8#9#")),IF(ISNUMBER(FIND("#"&amp;MID(H805,2,1)&amp;"#","#0#1#2#3#4#5#6#7#8#9#")),IF(AND(VALUE(LEFT(H805,2))&gt;=1,VALUE(LEFT(H805,2))&lt;=5),VALUE(LEFT(H805,2)),""),IF(AND(VALUE(LEFT(H805,1))&gt;=1,VALUE(LEFT(H805,1))&lt;=5),VALUE(LEFT(H805,1)),"")),""),"")</f>
        <v/>
      </c>
      <c r="O805" s="25">
        <f>IF(AND(L805=1,B805&lt;&gt;""),SUBSTITUTE(SUBSTITUTE(SUBSTITUTE(SUBSTITUTE(SUBSTITUTE(SUBSTITUTE(SUBSTITUTE(SUBSTITUTE(SUBSTITUTE(SUBSTITUTE(SUBSTITUTE(SUBSTITUTE(LOWER(TRIM(B805)),"á","a"),"é","e"),"í","i"),"ó","o"),"ú","u"),"ü","u"),"ñ","n"),"à","a"),"è","e"),"ì","i"),"ò","o"),"ù","u"),"")</f>
        <v/>
      </c>
      <c r="P805" s="25">
        <f>IF(AND(L805=1,C805&lt;&gt;""),SUBSTITUTE(SUBSTITUTE(SUBSTITUTE(SUBSTITUTE(SUBSTITUTE(SUBSTITUTE(SUBSTITUTE(SUBSTITUTE(SUBSTITUTE(SUBSTITUTE(SUBSTITUTE(SUBSTITUTE(LOWER(TRIM(C805)),"á","a"),"é","e"),"í","i"),"ó","o"),"ú","u"),"ü","u"),"ñ","n"),"à","a"),"è","e"),"ì","i"),"ò","o"),"ù","u"),"")</f>
        <v/>
      </c>
      <c r="Q805" s="25">
        <f>IF(AND(L805=1,E805&lt;&gt;""),SUBSTITUTE(SUBSTITUTE(SUBSTITUTE(SUBSTITUTE(SUBSTITUTE(SUBSTITUTE(SUBSTITUTE(SUBSTITUTE(SUBSTITUTE(SUBSTITUTE(SUBSTITUTE(SUBSTITUTE(LOWER(TRIM(E805)),"á","a"),"é","e"),"í","i"),"ó","o"),"ú","u"),"ü","u"),"ñ","n"),"à","a"),"è","e"),"ì","i"),"ò","o"),"ù","u"),"")</f>
        <v/>
      </c>
      <c r="R805" s="25">
        <f>IF(AND(L805=1,I805&lt;&gt;""),SUBSTITUTE(SUBSTITUTE(SUBSTITUTE(SUBSTITUTE(SUBSTITUTE(SUBSTITUTE(SUBSTITUTE(SUBSTITUTE(SUBSTITUTE(SUBSTITUTE(SUBSTITUTE(SUBSTITUTE(LOWER(TRIM(I805)),"á","a"),"é","e"),"í","i"),"ó","o"),"ú","u"),"ü","u"),"ñ","n"),"à","a"),"è","e"),"ì","i"),"ò","o"),"ù","u"),"")</f>
        <v/>
      </c>
      <c r="S805" s="25">
        <f>IF(R805="","",IF(OR(R805="si",R805="tal vez"),1,0))</f>
        <v/>
      </c>
      <c r="T805" s="25">
        <f>IF(AND(L805=1,D805&lt;&gt;""),IF(IFERROR(COUNTIFS(D$3:D805,"="&amp;SUBSTITUTE(SUBSTITUTE(SUBSTITUTE(D805,"~","~~"),"*","~*"),"?","~?"),L$3:L805,1),0)=1,MAX(T$2:T804)+1,""),"")</f>
        <v/>
      </c>
      <c r="U805" s="25">
        <f>IF(T805="","",COUNTIFS($D$3:$D$1002,"="&amp;SUBSTITUTE(SUBSTITUTE(SUBSTITUTE(D805,"~","~~"),"*","~*"),"?","~?"),$L$3:$L$1002,1)*10000-T805)</f>
        <v/>
      </c>
      <c r="V805" s="25">
        <f>IF(AND(L805=1,J805&lt;&gt;""),IF(IFERROR(COUNTIFS(J$3:J805,"="&amp;SUBSTITUTE(SUBSTITUTE(SUBSTITUTE(J805,"~","~~"),"*","~*"),"?","~?"),L$3:L805,1),0)=1,MAX(V$2:V804)+1,""),"")</f>
        <v/>
      </c>
      <c r="W805" s="25">
        <f>IF(V805="","",COUNTIFS($J$3:$J$1002,"="&amp;SUBSTITUTE(SUBSTITUTE(SUBSTITUTE(J805,"~","~~"),"*","~*"),"?","~?"),$L$3:$L$1002,1)*10000-V805)</f>
        <v/>
      </c>
    </row>
    <row r="806">
      <c r="A806">
        <f>IF(A$2=0,"",IFERROR(TRIM(INDEX('Pegar estudiantes'!$A$1:$BZ$1001,805,A$2)&amp;""),""))</f>
        <v/>
      </c>
      <c r="B806">
        <f>IF(B$2=0,"",IFERROR(TRIM(INDEX('Pegar estudiantes'!$A$1:$BZ$1001,805,B$2)&amp;""),""))</f>
        <v/>
      </c>
      <c r="C806">
        <f>IF(C$2=0,"",IFERROR(TRIM(INDEX('Pegar estudiantes'!$A$1:$BZ$1001,805,C$2)&amp;""),""))</f>
        <v/>
      </c>
      <c r="D806">
        <f>IF(D$2=0,"",IFERROR(TRIM(INDEX('Pegar estudiantes'!$A$1:$BZ$1001,805,D$2)&amp;""),""))</f>
        <v/>
      </c>
      <c r="E806">
        <f>IF(E$2=0,"",IFERROR(TRIM(INDEX('Pegar estudiantes'!$A$1:$BZ$1001,805,E$2)&amp;""),""))</f>
        <v/>
      </c>
      <c r="F806">
        <f>IF(F$2=0,"",IFERROR(TRIM(INDEX('Pegar estudiantes'!$A$1:$BZ$1001,805,F$2)&amp;""),""))</f>
        <v/>
      </c>
      <c r="G806">
        <f>IF(G$2=0,"",IFERROR(TRIM(INDEX('Pegar estudiantes'!$A$1:$BZ$1001,805,G$2)&amp;""),""))</f>
        <v/>
      </c>
      <c r="H806">
        <f>IF(H$2=0,"",IFERROR(TRIM(INDEX('Pegar estudiantes'!$A$1:$BZ$1001,805,H$2)&amp;""),""))</f>
        <v/>
      </c>
      <c r="I806">
        <f>IF(I$2=0,"",IFERROR(TRIM(INDEX('Pegar estudiantes'!$A$1:$BZ$1001,805,I$2)&amp;""),""))</f>
        <v/>
      </c>
      <c r="J806">
        <f>IF(J$2=0,"",IFERROR(TRIM(INDEX('Pegar estudiantes'!$A$1:$BZ$1001,805,J$2)&amp;""),""))</f>
        <v/>
      </c>
      <c r="K806">
        <f>IF(K$2=0,"",IFERROR(TRIM(INDEX('Pegar estudiantes'!$A$1:$BZ$1001,805,K$2)&amp;""),""))</f>
        <v/>
      </c>
      <c r="L806" s="25">
        <f>IF(A806&lt;&gt;"",1,"")</f>
        <v/>
      </c>
      <c r="M806" s="25">
        <f>IF(L806=1,IF(ISNUMBER(FIND("#"&amp;MID(A806,1,1)&amp;"#","#0#1#2#3#4#5#6#7#8#9#")),IF(ISNUMBER(FIND("#"&amp;MID(A806,2,1)&amp;"#","#0#1#2#3#4#5#6#7#8#9#")),IF(AND(VALUE(LEFT(A806,2))&gt;=1,VALUE(LEFT(A806,2))&lt;=5),VALUE(LEFT(A806,2)),""),IF(AND(VALUE(LEFT(A806,1))&gt;=1,VALUE(LEFT(A806,1))&lt;=5),VALUE(LEFT(A806,1)),"")),""),"")</f>
        <v/>
      </c>
      <c r="N806" s="25">
        <f>IF(L806=1,IF(ISNUMBER(FIND("#"&amp;MID(H806,1,1)&amp;"#","#0#1#2#3#4#5#6#7#8#9#")),IF(ISNUMBER(FIND("#"&amp;MID(H806,2,1)&amp;"#","#0#1#2#3#4#5#6#7#8#9#")),IF(AND(VALUE(LEFT(H806,2))&gt;=1,VALUE(LEFT(H806,2))&lt;=5),VALUE(LEFT(H806,2)),""),IF(AND(VALUE(LEFT(H806,1))&gt;=1,VALUE(LEFT(H806,1))&lt;=5),VALUE(LEFT(H806,1)),"")),""),"")</f>
        <v/>
      </c>
      <c r="O806" s="25">
        <f>IF(AND(L806=1,B806&lt;&gt;""),SUBSTITUTE(SUBSTITUTE(SUBSTITUTE(SUBSTITUTE(SUBSTITUTE(SUBSTITUTE(SUBSTITUTE(SUBSTITUTE(SUBSTITUTE(SUBSTITUTE(SUBSTITUTE(SUBSTITUTE(LOWER(TRIM(B806)),"á","a"),"é","e"),"í","i"),"ó","o"),"ú","u"),"ü","u"),"ñ","n"),"à","a"),"è","e"),"ì","i"),"ò","o"),"ù","u"),"")</f>
        <v/>
      </c>
      <c r="P806" s="25">
        <f>IF(AND(L806=1,C806&lt;&gt;""),SUBSTITUTE(SUBSTITUTE(SUBSTITUTE(SUBSTITUTE(SUBSTITUTE(SUBSTITUTE(SUBSTITUTE(SUBSTITUTE(SUBSTITUTE(SUBSTITUTE(SUBSTITUTE(SUBSTITUTE(LOWER(TRIM(C806)),"á","a"),"é","e"),"í","i"),"ó","o"),"ú","u"),"ü","u"),"ñ","n"),"à","a"),"è","e"),"ì","i"),"ò","o"),"ù","u"),"")</f>
        <v/>
      </c>
      <c r="Q806" s="25">
        <f>IF(AND(L806=1,E806&lt;&gt;""),SUBSTITUTE(SUBSTITUTE(SUBSTITUTE(SUBSTITUTE(SUBSTITUTE(SUBSTITUTE(SUBSTITUTE(SUBSTITUTE(SUBSTITUTE(SUBSTITUTE(SUBSTITUTE(SUBSTITUTE(LOWER(TRIM(E806)),"á","a"),"é","e"),"í","i"),"ó","o"),"ú","u"),"ü","u"),"ñ","n"),"à","a"),"è","e"),"ì","i"),"ò","o"),"ù","u"),"")</f>
        <v/>
      </c>
      <c r="R806" s="25">
        <f>IF(AND(L806=1,I806&lt;&gt;""),SUBSTITUTE(SUBSTITUTE(SUBSTITUTE(SUBSTITUTE(SUBSTITUTE(SUBSTITUTE(SUBSTITUTE(SUBSTITUTE(SUBSTITUTE(SUBSTITUTE(SUBSTITUTE(SUBSTITUTE(LOWER(TRIM(I806)),"á","a"),"é","e"),"í","i"),"ó","o"),"ú","u"),"ü","u"),"ñ","n"),"à","a"),"è","e"),"ì","i"),"ò","o"),"ù","u"),"")</f>
        <v/>
      </c>
      <c r="S806" s="25">
        <f>IF(R806="","",IF(OR(R806="si",R806="tal vez"),1,0))</f>
        <v/>
      </c>
      <c r="T806" s="25">
        <f>IF(AND(L806=1,D806&lt;&gt;""),IF(IFERROR(COUNTIFS(D$3:D806,"="&amp;SUBSTITUTE(SUBSTITUTE(SUBSTITUTE(D806,"~","~~"),"*","~*"),"?","~?"),L$3:L806,1),0)=1,MAX(T$2:T805)+1,""),"")</f>
        <v/>
      </c>
      <c r="U806" s="25">
        <f>IF(T806="","",COUNTIFS($D$3:$D$1002,"="&amp;SUBSTITUTE(SUBSTITUTE(SUBSTITUTE(D806,"~","~~"),"*","~*"),"?","~?"),$L$3:$L$1002,1)*10000-T806)</f>
        <v/>
      </c>
      <c r="V806" s="25">
        <f>IF(AND(L806=1,J806&lt;&gt;""),IF(IFERROR(COUNTIFS(J$3:J806,"="&amp;SUBSTITUTE(SUBSTITUTE(SUBSTITUTE(J806,"~","~~"),"*","~*"),"?","~?"),L$3:L806,1),0)=1,MAX(V$2:V805)+1,""),"")</f>
        <v/>
      </c>
      <c r="W806" s="25">
        <f>IF(V806="","",COUNTIFS($J$3:$J$1002,"="&amp;SUBSTITUTE(SUBSTITUTE(SUBSTITUTE(J806,"~","~~"),"*","~*"),"?","~?"),$L$3:$L$1002,1)*10000-V806)</f>
        <v/>
      </c>
    </row>
    <row r="807">
      <c r="A807">
        <f>IF(A$2=0,"",IFERROR(TRIM(INDEX('Pegar estudiantes'!$A$1:$BZ$1001,806,A$2)&amp;""),""))</f>
        <v/>
      </c>
      <c r="B807">
        <f>IF(B$2=0,"",IFERROR(TRIM(INDEX('Pegar estudiantes'!$A$1:$BZ$1001,806,B$2)&amp;""),""))</f>
        <v/>
      </c>
      <c r="C807">
        <f>IF(C$2=0,"",IFERROR(TRIM(INDEX('Pegar estudiantes'!$A$1:$BZ$1001,806,C$2)&amp;""),""))</f>
        <v/>
      </c>
      <c r="D807">
        <f>IF(D$2=0,"",IFERROR(TRIM(INDEX('Pegar estudiantes'!$A$1:$BZ$1001,806,D$2)&amp;""),""))</f>
        <v/>
      </c>
      <c r="E807">
        <f>IF(E$2=0,"",IFERROR(TRIM(INDEX('Pegar estudiantes'!$A$1:$BZ$1001,806,E$2)&amp;""),""))</f>
        <v/>
      </c>
      <c r="F807">
        <f>IF(F$2=0,"",IFERROR(TRIM(INDEX('Pegar estudiantes'!$A$1:$BZ$1001,806,F$2)&amp;""),""))</f>
        <v/>
      </c>
      <c r="G807">
        <f>IF(G$2=0,"",IFERROR(TRIM(INDEX('Pegar estudiantes'!$A$1:$BZ$1001,806,G$2)&amp;""),""))</f>
        <v/>
      </c>
      <c r="H807">
        <f>IF(H$2=0,"",IFERROR(TRIM(INDEX('Pegar estudiantes'!$A$1:$BZ$1001,806,H$2)&amp;""),""))</f>
        <v/>
      </c>
      <c r="I807">
        <f>IF(I$2=0,"",IFERROR(TRIM(INDEX('Pegar estudiantes'!$A$1:$BZ$1001,806,I$2)&amp;""),""))</f>
        <v/>
      </c>
      <c r="J807">
        <f>IF(J$2=0,"",IFERROR(TRIM(INDEX('Pegar estudiantes'!$A$1:$BZ$1001,806,J$2)&amp;""),""))</f>
        <v/>
      </c>
      <c r="K807">
        <f>IF(K$2=0,"",IFERROR(TRIM(INDEX('Pegar estudiantes'!$A$1:$BZ$1001,806,K$2)&amp;""),""))</f>
        <v/>
      </c>
      <c r="L807" s="25">
        <f>IF(A807&lt;&gt;"",1,"")</f>
        <v/>
      </c>
      <c r="M807" s="25">
        <f>IF(L807=1,IF(ISNUMBER(FIND("#"&amp;MID(A807,1,1)&amp;"#","#0#1#2#3#4#5#6#7#8#9#")),IF(ISNUMBER(FIND("#"&amp;MID(A807,2,1)&amp;"#","#0#1#2#3#4#5#6#7#8#9#")),IF(AND(VALUE(LEFT(A807,2))&gt;=1,VALUE(LEFT(A807,2))&lt;=5),VALUE(LEFT(A807,2)),""),IF(AND(VALUE(LEFT(A807,1))&gt;=1,VALUE(LEFT(A807,1))&lt;=5),VALUE(LEFT(A807,1)),"")),""),"")</f>
        <v/>
      </c>
      <c r="N807" s="25">
        <f>IF(L807=1,IF(ISNUMBER(FIND("#"&amp;MID(H807,1,1)&amp;"#","#0#1#2#3#4#5#6#7#8#9#")),IF(ISNUMBER(FIND("#"&amp;MID(H807,2,1)&amp;"#","#0#1#2#3#4#5#6#7#8#9#")),IF(AND(VALUE(LEFT(H807,2))&gt;=1,VALUE(LEFT(H807,2))&lt;=5),VALUE(LEFT(H807,2)),""),IF(AND(VALUE(LEFT(H807,1))&gt;=1,VALUE(LEFT(H807,1))&lt;=5),VALUE(LEFT(H807,1)),"")),""),"")</f>
        <v/>
      </c>
      <c r="O807" s="25">
        <f>IF(AND(L807=1,B807&lt;&gt;""),SUBSTITUTE(SUBSTITUTE(SUBSTITUTE(SUBSTITUTE(SUBSTITUTE(SUBSTITUTE(SUBSTITUTE(SUBSTITUTE(SUBSTITUTE(SUBSTITUTE(SUBSTITUTE(SUBSTITUTE(LOWER(TRIM(B807)),"á","a"),"é","e"),"í","i"),"ó","o"),"ú","u"),"ü","u"),"ñ","n"),"à","a"),"è","e"),"ì","i"),"ò","o"),"ù","u"),"")</f>
        <v/>
      </c>
      <c r="P807" s="25">
        <f>IF(AND(L807=1,C807&lt;&gt;""),SUBSTITUTE(SUBSTITUTE(SUBSTITUTE(SUBSTITUTE(SUBSTITUTE(SUBSTITUTE(SUBSTITUTE(SUBSTITUTE(SUBSTITUTE(SUBSTITUTE(SUBSTITUTE(SUBSTITUTE(LOWER(TRIM(C807)),"á","a"),"é","e"),"í","i"),"ó","o"),"ú","u"),"ü","u"),"ñ","n"),"à","a"),"è","e"),"ì","i"),"ò","o"),"ù","u"),"")</f>
        <v/>
      </c>
      <c r="Q807" s="25">
        <f>IF(AND(L807=1,E807&lt;&gt;""),SUBSTITUTE(SUBSTITUTE(SUBSTITUTE(SUBSTITUTE(SUBSTITUTE(SUBSTITUTE(SUBSTITUTE(SUBSTITUTE(SUBSTITUTE(SUBSTITUTE(SUBSTITUTE(SUBSTITUTE(LOWER(TRIM(E807)),"á","a"),"é","e"),"í","i"),"ó","o"),"ú","u"),"ü","u"),"ñ","n"),"à","a"),"è","e"),"ì","i"),"ò","o"),"ù","u"),"")</f>
        <v/>
      </c>
      <c r="R807" s="25">
        <f>IF(AND(L807=1,I807&lt;&gt;""),SUBSTITUTE(SUBSTITUTE(SUBSTITUTE(SUBSTITUTE(SUBSTITUTE(SUBSTITUTE(SUBSTITUTE(SUBSTITUTE(SUBSTITUTE(SUBSTITUTE(SUBSTITUTE(SUBSTITUTE(LOWER(TRIM(I807)),"á","a"),"é","e"),"í","i"),"ó","o"),"ú","u"),"ü","u"),"ñ","n"),"à","a"),"è","e"),"ì","i"),"ò","o"),"ù","u"),"")</f>
        <v/>
      </c>
      <c r="S807" s="25">
        <f>IF(R807="","",IF(OR(R807="si",R807="tal vez"),1,0))</f>
        <v/>
      </c>
      <c r="T807" s="25">
        <f>IF(AND(L807=1,D807&lt;&gt;""),IF(IFERROR(COUNTIFS(D$3:D807,"="&amp;SUBSTITUTE(SUBSTITUTE(SUBSTITUTE(D807,"~","~~"),"*","~*"),"?","~?"),L$3:L807,1),0)=1,MAX(T$2:T806)+1,""),"")</f>
        <v/>
      </c>
      <c r="U807" s="25">
        <f>IF(T807="","",COUNTIFS($D$3:$D$1002,"="&amp;SUBSTITUTE(SUBSTITUTE(SUBSTITUTE(D807,"~","~~"),"*","~*"),"?","~?"),$L$3:$L$1002,1)*10000-T807)</f>
        <v/>
      </c>
      <c r="V807" s="25">
        <f>IF(AND(L807=1,J807&lt;&gt;""),IF(IFERROR(COUNTIFS(J$3:J807,"="&amp;SUBSTITUTE(SUBSTITUTE(SUBSTITUTE(J807,"~","~~"),"*","~*"),"?","~?"),L$3:L807,1),0)=1,MAX(V$2:V806)+1,""),"")</f>
        <v/>
      </c>
      <c r="W807" s="25">
        <f>IF(V807="","",COUNTIFS($J$3:$J$1002,"="&amp;SUBSTITUTE(SUBSTITUTE(SUBSTITUTE(J807,"~","~~"),"*","~*"),"?","~?"),$L$3:$L$1002,1)*10000-V807)</f>
        <v/>
      </c>
    </row>
    <row r="808">
      <c r="A808">
        <f>IF(A$2=0,"",IFERROR(TRIM(INDEX('Pegar estudiantes'!$A$1:$BZ$1001,807,A$2)&amp;""),""))</f>
        <v/>
      </c>
      <c r="B808">
        <f>IF(B$2=0,"",IFERROR(TRIM(INDEX('Pegar estudiantes'!$A$1:$BZ$1001,807,B$2)&amp;""),""))</f>
        <v/>
      </c>
      <c r="C808">
        <f>IF(C$2=0,"",IFERROR(TRIM(INDEX('Pegar estudiantes'!$A$1:$BZ$1001,807,C$2)&amp;""),""))</f>
        <v/>
      </c>
      <c r="D808">
        <f>IF(D$2=0,"",IFERROR(TRIM(INDEX('Pegar estudiantes'!$A$1:$BZ$1001,807,D$2)&amp;""),""))</f>
        <v/>
      </c>
      <c r="E808">
        <f>IF(E$2=0,"",IFERROR(TRIM(INDEX('Pegar estudiantes'!$A$1:$BZ$1001,807,E$2)&amp;""),""))</f>
        <v/>
      </c>
      <c r="F808">
        <f>IF(F$2=0,"",IFERROR(TRIM(INDEX('Pegar estudiantes'!$A$1:$BZ$1001,807,F$2)&amp;""),""))</f>
        <v/>
      </c>
      <c r="G808">
        <f>IF(G$2=0,"",IFERROR(TRIM(INDEX('Pegar estudiantes'!$A$1:$BZ$1001,807,G$2)&amp;""),""))</f>
        <v/>
      </c>
      <c r="H808">
        <f>IF(H$2=0,"",IFERROR(TRIM(INDEX('Pegar estudiantes'!$A$1:$BZ$1001,807,H$2)&amp;""),""))</f>
        <v/>
      </c>
      <c r="I808">
        <f>IF(I$2=0,"",IFERROR(TRIM(INDEX('Pegar estudiantes'!$A$1:$BZ$1001,807,I$2)&amp;""),""))</f>
        <v/>
      </c>
      <c r="J808">
        <f>IF(J$2=0,"",IFERROR(TRIM(INDEX('Pegar estudiantes'!$A$1:$BZ$1001,807,J$2)&amp;""),""))</f>
        <v/>
      </c>
      <c r="K808">
        <f>IF(K$2=0,"",IFERROR(TRIM(INDEX('Pegar estudiantes'!$A$1:$BZ$1001,807,K$2)&amp;""),""))</f>
        <v/>
      </c>
      <c r="L808" s="25">
        <f>IF(A808&lt;&gt;"",1,"")</f>
        <v/>
      </c>
      <c r="M808" s="25">
        <f>IF(L808=1,IF(ISNUMBER(FIND("#"&amp;MID(A808,1,1)&amp;"#","#0#1#2#3#4#5#6#7#8#9#")),IF(ISNUMBER(FIND("#"&amp;MID(A808,2,1)&amp;"#","#0#1#2#3#4#5#6#7#8#9#")),IF(AND(VALUE(LEFT(A808,2))&gt;=1,VALUE(LEFT(A808,2))&lt;=5),VALUE(LEFT(A808,2)),""),IF(AND(VALUE(LEFT(A808,1))&gt;=1,VALUE(LEFT(A808,1))&lt;=5),VALUE(LEFT(A808,1)),"")),""),"")</f>
        <v/>
      </c>
      <c r="N808" s="25">
        <f>IF(L808=1,IF(ISNUMBER(FIND("#"&amp;MID(H808,1,1)&amp;"#","#0#1#2#3#4#5#6#7#8#9#")),IF(ISNUMBER(FIND("#"&amp;MID(H808,2,1)&amp;"#","#0#1#2#3#4#5#6#7#8#9#")),IF(AND(VALUE(LEFT(H808,2))&gt;=1,VALUE(LEFT(H808,2))&lt;=5),VALUE(LEFT(H808,2)),""),IF(AND(VALUE(LEFT(H808,1))&gt;=1,VALUE(LEFT(H808,1))&lt;=5),VALUE(LEFT(H808,1)),"")),""),"")</f>
        <v/>
      </c>
      <c r="O808" s="25">
        <f>IF(AND(L808=1,B808&lt;&gt;""),SUBSTITUTE(SUBSTITUTE(SUBSTITUTE(SUBSTITUTE(SUBSTITUTE(SUBSTITUTE(SUBSTITUTE(SUBSTITUTE(SUBSTITUTE(SUBSTITUTE(SUBSTITUTE(SUBSTITUTE(LOWER(TRIM(B808)),"á","a"),"é","e"),"í","i"),"ó","o"),"ú","u"),"ü","u"),"ñ","n"),"à","a"),"è","e"),"ì","i"),"ò","o"),"ù","u"),"")</f>
        <v/>
      </c>
      <c r="P808" s="25">
        <f>IF(AND(L808=1,C808&lt;&gt;""),SUBSTITUTE(SUBSTITUTE(SUBSTITUTE(SUBSTITUTE(SUBSTITUTE(SUBSTITUTE(SUBSTITUTE(SUBSTITUTE(SUBSTITUTE(SUBSTITUTE(SUBSTITUTE(SUBSTITUTE(LOWER(TRIM(C808)),"á","a"),"é","e"),"í","i"),"ó","o"),"ú","u"),"ü","u"),"ñ","n"),"à","a"),"è","e"),"ì","i"),"ò","o"),"ù","u"),"")</f>
        <v/>
      </c>
      <c r="Q808" s="25">
        <f>IF(AND(L808=1,E808&lt;&gt;""),SUBSTITUTE(SUBSTITUTE(SUBSTITUTE(SUBSTITUTE(SUBSTITUTE(SUBSTITUTE(SUBSTITUTE(SUBSTITUTE(SUBSTITUTE(SUBSTITUTE(SUBSTITUTE(SUBSTITUTE(LOWER(TRIM(E808)),"á","a"),"é","e"),"í","i"),"ó","o"),"ú","u"),"ü","u"),"ñ","n"),"à","a"),"è","e"),"ì","i"),"ò","o"),"ù","u"),"")</f>
        <v/>
      </c>
      <c r="R808" s="25">
        <f>IF(AND(L808=1,I808&lt;&gt;""),SUBSTITUTE(SUBSTITUTE(SUBSTITUTE(SUBSTITUTE(SUBSTITUTE(SUBSTITUTE(SUBSTITUTE(SUBSTITUTE(SUBSTITUTE(SUBSTITUTE(SUBSTITUTE(SUBSTITUTE(LOWER(TRIM(I808)),"á","a"),"é","e"),"í","i"),"ó","o"),"ú","u"),"ü","u"),"ñ","n"),"à","a"),"è","e"),"ì","i"),"ò","o"),"ù","u"),"")</f>
        <v/>
      </c>
      <c r="S808" s="25">
        <f>IF(R808="","",IF(OR(R808="si",R808="tal vez"),1,0))</f>
        <v/>
      </c>
      <c r="T808" s="25">
        <f>IF(AND(L808=1,D808&lt;&gt;""),IF(IFERROR(COUNTIFS(D$3:D808,"="&amp;SUBSTITUTE(SUBSTITUTE(SUBSTITUTE(D808,"~","~~"),"*","~*"),"?","~?"),L$3:L808,1),0)=1,MAX(T$2:T807)+1,""),"")</f>
        <v/>
      </c>
      <c r="U808" s="25">
        <f>IF(T808="","",COUNTIFS($D$3:$D$1002,"="&amp;SUBSTITUTE(SUBSTITUTE(SUBSTITUTE(D808,"~","~~"),"*","~*"),"?","~?"),$L$3:$L$1002,1)*10000-T808)</f>
        <v/>
      </c>
      <c r="V808" s="25">
        <f>IF(AND(L808=1,J808&lt;&gt;""),IF(IFERROR(COUNTIFS(J$3:J808,"="&amp;SUBSTITUTE(SUBSTITUTE(SUBSTITUTE(J808,"~","~~"),"*","~*"),"?","~?"),L$3:L808,1),0)=1,MAX(V$2:V807)+1,""),"")</f>
        <v/>
      </c>
      <c r="W808" s="25">
        <f>IF(V808="","",COUNTIFS($J$3:$J$1002,"="&amp;SUBSTITUTE(SUBSTITUTE(SUBSTITUTE(J808,"~","~~"),"*","~*"),"?","~?"),$L$3:$L$1002,1)*10000-V808)</f>
        <v/>
      </c>
    </row>
    <row r="809">
      <c r="A809">
        <f>IF(A$2=0,"",IFERROR(TRIM(INDEX('Pegar estudiantes'!$A$1:$BZ$1001,808,A$2)&amp;""),""))</f>
        <v/>
      </c>
      <c r="B809">
        <f>IF(B$2=0,"",IFERROR(TRIM(INDEX('Pegar estudiantes'!$A$1:$BZ$1001,808,B$2)&amp;""),""))</f>
        <v/>
      </c>
      <c r="C809">
        <f>IF(C$2=0,"",IFERROR(TRIM(INDEX('Pegar estudiantes'!$A$1:$BZ$1001,808,C$2)&amp;""),""))</f>
        <v/>
      </c>
      <c r="D809">
        <f>IF(D$2=0,"",IFERROR(TRIM(INDEX('Pegar estudiantes'!$A$1:$BZ$1001,808,D$2)&amp;""),""))</f>
        <v/>
      </c>
      <c r="E809">
        <f>IF(E$2=0,"",IFERROR(TRIM(INDEX('Pegar estudiantes'!$A$1:$BZ$1001,808,E$2)&amp;""),""))</f>
        <v/>
      </c>
      <c r="F809">
        <f>IF(F$2=0,"",IFERROR(TRIM(INDEX('Pegar estudiantes'!$A$1:$BZ$1001,808,F$2)&amp;""),""))</f>
        <v/>
      </c>
      <c r="G809">
        <f>IF(G$2=0,"",IFERROR(TRIM(INDEX('Pegar estudiantes'!$A$1:$BZ$1001,808,G$2)&amp;""),""))</f>
        <v/>
      </c>
      <c r="H809">
        <f>IF(H$2=0,"",IFERROR(TRIM(INDEX('Pegar estudiantes'!$A$1:$BZ$1001,808,H$2)&amp;""),""))</f>
        <v/>
      </c>
      <c r="I809">
        <f>IF(I$2=0,"",IFERROR(TRIM(INDEX('Pegar estudiantes'!$A$1:$BZ$1001,808,I$2)&amp;""),""))</f>
        <v/>
      </c>
      <c r="J809">
        <f>IF(J$2=0,"",IFERROR(TRIM(INDEX('Pegar estudiantes'!$A$1:$BZ$1001,808,J$2)&amp;""),""))</f>
        <v/>
      </c>
      <c r="K809">
        <f>IF(K$2=0,"",IFERROR(TRIM(INDEX('Pegar estudiantes'!$A$1:$BZ$1001,808,K$2)&amp;""),""))</f>
        <v/>
      </c>
      <c r="L809" s="25">
        <f>IF(A809&lt;&gt;"",1,"")</f>
        <v/>
      </c>
      <c r="M809" s="25">
        <f>IF(L809=1,IF(ISNUMBER(FIND("#"&amp;MID(A809,1,1)&amp;"#","#0#1#2#3#4#5#6#7#8#9#")),IF(ISNUMBER(FIND("#"&amp;MID(A809,2,1)&amp;"#","#0#1#2#3#4#5#6#7#8#9#")),IF(AND(VALUE(LEFT(A809,2))&gt;=1,VALUE(LEFT(A809,2))&lt;=5),VALUE(LEFT(A809,2)),""),IF(AND(VALUE(LEFT(A809,1))&gt;=1,VALUE(LEFT(A809,1))&lt;=5),VALUE(LEFT(A809,1)),"")),""),"")</f>
        <v/>
      </c>
      <c r="N809" s="25">
        <f>IF(L809=1,IF(ISNUMBER(FIND("#"&amp;MID(H809,1,1)&amp;"#","#0#1#2#3#4#5#6#7#8#9#")),IF(ISNUMBER(FIND("#"&amp;MID(H809,2,1)&amp;"#","#0#1#2#3#4#5#6#7#8#9#")),IF(AND(VALUE(LEFT(H809,2))&gt;=1,VALUE(LEFT(H809,2))&lt;=5),VALUE(LEFT(H809,2)),""),IF(AND(VALUE(LEFT(H809,1))&gt;=1,VALUE(LEFT(H809,1))&lt;=5),VALUE(LEFT(H809,1)),"")),""),"")</f>
        <v/>
      </c>
      <c r="O809" s="25">
        <f>IF(AND(L809=1,B809&lt;&gt;""),SUBSTITUTE(SUBSTITUTE(SUBSTITUTE(SUBSTITUTE(SUBSTITUTE(SUBSTITUTE(SUBSTITUTE(SUBSTITUTE(SUBSTITUTE(SUBSTITUTE(SUBSTITUTE(SUBSTITUTE(LOWER(TRIM(B809)),"á","a"),"é","e"),"í","i"),"ó","o"),"ú","u"),"ü","u"),"ñ","n"),"à","a"),"è","e"),"ì","i"),"ò","o"),"ù","u"),"")</f>
        <v/>
      </c>
      <c r="P809" s="25">
        <f>IF(AND(L809=1,C809&lt;&gt;""),SUBSTITUTE(SUBSTITUTE(SUBSTITUTE(SUBSTITUTE(SUBSTITUTE(SUBSTITUTE(SUBSTITUTE(SUBSTITUTE(SUBSTITUTE(SUBSTITUTE(SUBSTITUTE(SUBSTITUTE(LOWER(TRIM(C809)),"á","a"),"é","e"),"í","i"),"ó","o"),"ú","u"),"ü","u"),"ñ","n"),"à","a"),"è","e"),"ì","i"),"ò","o"),"ù","u"),"")</f>
        <v/>
      </c>
      <c r="Q809" s="25">
        <f>IF(AND(L809=1,E809&lt;&gt;""),SUBSTITUTE(SUBSTITUTE(SUBSTITUTE(SUBSTITUTE(SUBSTITUTE(SUBSTITUTE(SUBSTITUTE(SUBSTITUTE(SUBSTITUTE(SUBSTITUTE(SUBSTITUTE(SUBSTITUTE(LOWER(TRIM(E809)),"á","a"),"é","e"),"í","i"),"ó","o"),"ú","u"),"ü","u"),"ñ","n"),"à","a"),"è","e"),"ì","i"),"ò","o"),"ù","u"),"")</f>
        <v/>
      </c>
      <c r="R809" s="25">
        <f>IF(AND(L809=1,I809&lt;&gt;""),SUBSTITUTE(SUBSTITUTE(SUBSTITUTE(SUBSTITUTE(SUBSTITUTE(SUBSTITUTE(SUBSTITUTE(SUBSTITUTE(SUBSTITUTE(SUBSTITUTE(SUBSTITUTE(SUBSTITUTE(LOWER(TRIM(I809)),"á","a"),"é","e"),"í","i"),"ó","o"),"ú","u"),"ü","u"),"ñ","n"),"à","a"),"è","e"),"ì","i"),"ò","o"),"ù","u"),"")</f>
        <v/>
      </c>
      <c r="S809" s="25">
        <f>IF(R809="","",IF(OR(R809="si",R809="tal vez"),1,0))</f>
        <v/>
      </c>
      <c r="T809" s="25">
        <f>IF(AND(L809=1,D809&lt;&gt;""),IF(IFERROR(COUNTIFS(D$3:D809,"="&amp;SUBSTITUTE(SUBSTITUTE(SUBSTITUTE(D809,"~","~~"),"*","~*"),"?","~?"),L$3:L809,1),0)=1,MAX(T$2:T808)+1,""),"")</f>
        <v/>
      </c>
      <c r="U809" s="25">
        <f>IF(T809="","",COUNTIFS($D$3:$D$1002,"="&amp;SUBSTITUTE(SUBSTITUTE(SUBSTITUTE(D809,"~","~~"),"*","~*"),"?","~?"),$L$3:$L$1002,1)*10000-T809)</f>
        <v/>
      </c>
      <c r="V809" s="25">
        <f>IF(AND(L809=1,J809&lt;&gt;""),IF(IFERROR(COUNTIFS(J$3:J809,"="&amp;SUBSTITUTE(SUBSTITUTE(SUBSTITUTE(J809,"~","~~"),"*","~*"),"?","~?"),L$3:L809,1),0)=1,MAX(V$2:V808)+1,""),"")</f>
        <v/>
      </c>
      <c r="W809" s="25">
        <f>IF(V809="","",COUNTIFS($J$3:$J$1002,"="&amp;SUBSTITUTE(SUBSTITUTE(SUBSTITUTE(J809,"~","~~"),"*","~*"),"?","~?"),$L$3:$L$1002,1)*10000-V809)</f>
        <v/>
      </c>
    </row>
    <row r="810">
      <c r="A810">
        <f>IF(A$2=0,"",IFERROR(TRIM(INDEX('Pegar estudiantes'!$A$1:$BZ$1001,809,A$2)&amp;""),""))</f>
        <v/>
      </c>
      <c r="B810">
        <f>IF(B$2=0,"",IFERROR(TRIM(INDEX('Pegar estudiantes'!$A$1:$BZ$1001,809,B$2)&amp;""),""))</f>
        <v/>
      </c>
      <c r="C810">
        <f>IF(C$2=0,"",IFERROR(TRIM(INDEX('Pegar estudiantes'!$A$1:$BZ$1001,809,C$2)&amp;""),""))</f>
        <v/>
      </c>
      <c r="D810">
        <f>IF(D$2=0,"",IFERROR(TRIM(INDEX('Pegar estudiantes'!$A$1:$BZ$1001,809,D$2)&amp;""),""))</f>
        <v/>
      </c>
      <c r="E810">
        <f>IF(E$2=0,"",IFERROR(TRIM(INDEX('Pegar estudiantes'!$A$1:$BZ$1001,809,E$2)&amp;""),""))</f>
        <v/>
      </c>
      <c r="F810">
        <f>IF(F$2=0,"",IFERROR(TRIM(INDEX('Pegar estudiantes'!$A$1:$BZ$1001,809,F$2)&amp;""),""))</f>
        <v/>
      </c>
      <c r="G810">
        <f>IF(G$2=0,"",IFERROR(TRIM(INDEX('Pegar estudiantes'!$A$1:$BZ$1001,809,G$2)&amp;""),""))</f>
        <v/>
      </c>
      <c r="H810">
        <f>IF(H$2=0,"",IFERROR(TRIM(INDEX('Pegar estudiantes'!$A$1:$BZ$1001,809,H$2)&amp;""),""))</f>
        <v/>
      </c>
      <c r="I810">
        <f>IF(I$2=0,"",IFERROR(TRIM(INDEX('Pegar estudiantes'!$A$1:$BZ$1001,809,I$2)&amp;""),""))</f>
        <v/>
      </c>
      <c r="J810">
        <f>IF(J$2=0,"",IFERROR(TRIM(INDEX('Pegar estudiantes'!$A$1:$BZ$1001,809,J$2)&amp;""),""))</f>
        <v/>
      </c>
      <c r="K810">
        <f>IF(K$2=0,"",IFERROR(TRIM(INDEX('Pegar estudiantes'!$A$1:$BZ$1001,809,K$2)&amp;""),""))</f>
        <v/>
      </c>
      <c r="L810" s="25">
        <f>IF(A810&lt;&gt;"",1,"")</f>
        <v/>
      </c>
      <c r="M810" s="25">
        <f>IF(L810=1,IF(ISNUMBER(FIND("#"&amp;MID(A810,1,1)&amp;"#","#0#1#2#3#4#5#6#7#8#9#")),IF(ISNUMBER(FIND("#"&amp;MID(A810,2,1)&amp;"#","#0#1#2#3#4#5#6#7#8#9#")),IF(AND(VALUE(LEFT(A810,2))&gt;=1,VALUE(LEFT(A810,2))&lt;=5),VALUE(LEFT(A810,2)),""),IF(AND(VALUE(LEFT(A810,1))&gt;=1,VALUE(LEFT(A810,1))&lt;=5),VALUE(LEFT(A810,1)),"")),""),"")</f>
        <v/>
      </c>
      <c r="N810" s="25">
        <f>IF(L810=1,IF(ISNUMBER(FIND("#"&amp;MID(H810,1,1)&amp;"#","#0#1#2#3#4#5#6#7#8#9#")),IF(ISNUMBER(FIND("#"&amp;MID(H810,2,1)&amp;"#","#0#1#2#3#4#5#6#7#8#9#")),IF(AND(VALUE(LEFT(H810,2))&gt;=1,VALUE(LEFT(H810,2))&lt;=5),VALUE(LEFT(H810,2)),""),IF(AND(VALUE(LEFT(H810,1))&gt;=1,VALUE(LEFT(H810,1))&lt;=5),VALUE(LEFT(H810,1)),"")),""),"")</f>
        <v/>
      </c>
      <c r="O810" s="25">
        <f>IF(AND(L810=1,B810&lt;&gt;""),SUBSTITUTE(SUBSTITUTE(SUBSTITUTE(SUBSTITUTE(SUBSTITUTE(SUBSTITUTE(SUBSTITUTE(SUBSTITUTE(SUBSTITUTE(SUBSTITUTE(SUBSTITUTE(SUBSTITUTE(LOWER(TRIM(B810)),"á","a"),"é","e"),"í","i"),"ó","o"),"ú","u"),"ü","u"),"ñ","n"),"à","a"),"è","e"),"ì","i"),"ò","o"),"ù","u"),"")</f>
        <v/>
      </c>
      <c r="P810" s="25">
        <f>IF(AND(L810=1,C810&lt;&gt;""),SUBSTITUTE(SUBSTITUTE(SUBSTITUTE(SUBSTITUTE(SUBSTITUTE(SUBSTITUTE(SUBSTITUTE(SUBSTITUTE(SUBSTITUTE(SUBSTITUTE(SUBSTITUTE(SUBSTITUTE(LOWER(TRIM(C810)),"á","a"),"é","e"),"í","i"),"ó","o"),"ú","u"),"ü","u"),"ñ","n"),"à","a"),"è","e"),"ì","i"),"ò","o"),"ù","u"),"")</f>
        <v/>
      </c>
      <c r="Q810" s="25">
        <f>IF(AND(L810=1,E810&lt;&gt;""),SUBSTITUTE(SUBSTITUTE(SUBSTITUTE(SUBSTITUTE(SUBSTITUTE(SUBSTITUTE(SUBSTITUTE(SUBSTITUTE(SUBSTITUTE(SUBSTITUTE(SUBSTITUTE(SUBSTITUTE(LOWER(TRIM(E810)),"á","a"),"é","e"),"í","i"),"ó","o"),"ú","u"),"ü","u"),"ñ","n"),"à","a"),"è","e"),"ì","i"),"ò","o"),"ù","u"),"")</f>
        <v/>
      </c>
      <c r="R810" s="25">
        <f>IF(AND(L810=1,I810&lt;&gt;""),SUBSTITUTE(SUBSTITUTE(SUBSTITUTE(SUBSTITUTE(SUBSTITUTE(SUBSTITUTE(SUBSTITUTE(SUBSTITUTE(SUBSTITUTE(SUBSTITUTE(SUBSTITUTE(SUBSTITUTE(LOWER(TRIM(I810)),"á","a"),"é","e"),"í","i"),"ó","o"),"ú","u"),"ü","u"),"ñ","n"),"à","a"),"è","e"),"ì","i"),"ò","o"),"ù","u"),"")</f>
        <v/>
      </c>
      <c r="S810" s="25">
        <f>IF(R810="","",IF(OR(R810="si",R810="tal vez"),1,0))</f>
        <v/>
      </c>
      <c r="T810" s="25">
        <f>IF(AND(L810=1,D810&lt;&gt;""),IF(IFERROR(COUNTIFS(D$3:D810,"="&amp;SUBSTITUTE(SUBSTITUTE(SUBSTITUTE(D810,"~","~~"),"*","~*"),"?","~?"),L$3:L810,1),0)=1,MAX(T$2:T809)+1,""),"")</f>
        <v/>
      </c>
      <c r="U810" s="25">
        <f>IF(T810="","",COUNTIFS($D$3:$D$1002,"="&amp;SUBSTITUTE(SUBSTITUTE(SUBSTITUTE(D810,"~","~~"),"*","~*"),"?","~?"),$L$3:$L$1002,1)*10000-T810)</f>
        <v/>
      </c>
      <c r="V810" s="25">
        <f>IF(AND(L810=1,J810&lt;&gt;""),IF(IFERROR(COUNTIFS(J$3:J810,"="&amp;SUBSTITUTE(SUBSTITUTE(SUBSTITUTE(J810,"~","~~"),"*","~*"),"?","~?"),L$3:L810,1),0)=1,MAX(V$2:V809)+1,""),"")</f>
        <v/>
      </c>
      <c r="W810" s="25">
        <f>IF(V810="","",COUNTIFS($J$3:$J$1002,"="&amp;SUBSTITUTE(SUBSTITUTE(SUBSTITUTE(J810,"~","~~"),"*","~*"),"?","~?"),$L$3:$L$1002,1)*10000-V810)</f>
        <v/>
      </c>
    </row>
    <row r="811">
      <c r="A811">
        <f>IF(A$2=0,"",IFERROR(TRIM(INDEX('Pegar estudiantes'!$A$1:$BZ$1001,810,A$2)&amp;""),""))</f>
        <v/>
      </c>
      <c r="B811">
        <f>IF(B$2=0,"",IFERROR(TRIM(INDEX('Pegar estudiantes'!$A$1:$BZ$1001,810,B$2)&amp;""),""))</f>
        <v/>
      </c>
      <c r="C811">
        <f>IF(C$2=0,"",IFERROR(TRIM(INDEX('Pegar estudiantes'!$A$1:$BZ$1001,810,C$2)&amp;""),""))</f>
        <v/>
      </c>
      <c r="D811">
        <f>IF(D$2=0,"",IFERROR(TRIM(INDEX('Pegar estudiantes'!$A$1:$BZ$1001,810,D$2)&amp;""),""))</f>
        <v/>
      </c>
      <c r="E811">
        <f>IF(E$2=0,"",IFERROR(TRIM(INDEX('Pegar estudiantes'!$A$1:$BZ$1001,810,E$2)&amp;""),""))</f>
        <v/>
      </c>
      <c r="F811">
        <f>IF(F$2=0,"",IFERROR(TRIM(INDEX('Pegar estudiantes'!$A$1:$BZ$1001,810,F$2)&amp;""),""))</f>
        <v/>
      </c>
      <c r="G811">
        <f>IF(G$2=0,"",IFERROR(TRIM(INDEX('Pegar estudiantes'!$A$1:$BZ$1001,810,G$2)&amp;""),""))</f>
        <v/>
      </c>
      <c r="H811">
        <f>IF(H$2=0,"",IFERROR(TRIM(INDEX('Pegar estudiantes'!$A$1:$BZ$1001,810,H$2)&amp;""),""))</f>
        <v/>
      </c>
      <c r="I811">
        <f>IF(I$2=0,"",IFERROR(TRIM(INDEX('Pegar estudiantes'!$A$1:$BZ$1001,810,I$2)&amp;""),""))</f>
        <v/>
      </c>
      <c r="J811">
        <f>IF(J$2=0,"",IFERROR(TRIM(INDEX('Pegar estudiantes'!$A$1:$BZ$1001,810,J$2)&amp;""),""))</f>
        <v/>
      </c>
      <c r="K811">
        <f>IF(K$2=0,"",IFERROR(TRIM(INDEX('Pegar estudiantes'!$A$1:$BZ$1001,810,K$2)&amp;""),""))</f>
        <v/>
      </c>
      <c r="L811" s="25">
        <f>IF(A811&lt;&gt;"",1,"")</f>
        <v/>
      </c>
      <c r="M811" s="25">
        <f>IF(L811=1,IF(ISNUMBER(FIND("#"&amp;MID(A811,1,1)&amp;"#","#0#1#2#3#4#5#6#7#8#9#")),IF(ISNUMBER(FIND("#"&amp;MID(A811,2,1)&amp;"#","#0#1#2#3#4#5#6#7#8#9#")),IF(AND(VALUE(LEFT(A811,2))&gt;=1,VALUE(LEFT(A811,2))&lt;=5),VALUE(LEFT(A811,2)),""),IF(AND(VALUE(LEFT(A811,1))&gt;=1,VALUE(LEFT(A811,1))&lt;=5),VALUE(LEFT(A811,1)),"")),""),"")</f>
        <v/>
      </c>
      <c r="N811" s="25">
        <f>IF(L811=1,IF(ISNUMBER(FIND("#"&amp;MID(H811,1,1)&amp;"#","#0#1#2#3#4#5#6#7#8#9#")),IF(ISNUMBER(FIND("#"&amp;MID(H811,2,1)&amp;"#","#0#1#2#3#4#5#6#7#8#9#")),IF(AND(VALUE(LEFT(H811,2))&gt;=1,VALUE(LEFT(H811,2))&lt;=5),VALUE(LEFT(H811,2)),""),IF(AND(VALUE(LEFT(H811,1))&gt;=1,VALUE(LEFT(H811,1))&lt;=5),VALUE(LEFT(H811,1)),"")),""),"")</f>
        <v/>
      </c>
      <c r="O811" s="25">
        <f>IF(AND(L811=1,B811&lt;&gt;""),SUBSTITUTE(SUBSTITUTE(SUBSTITUTE(SUBSTITUTE(SUBSTITUTE(SUBSTITUTE(SUBSTITUTE(SUBSTITUTE(SUBSTITUTE(SUBSTITUTE(SUBSTITUTE(SUBSTITUTE(LOWER(TRIM(B811)),"á","a"),"é","e"),"í","i"),"ó","o"),"ú","u"),"ü","u"),"ñ","n"),"à","a"),"è","e"),"ì","i"),"ò","o"),"ù","u"),"")</f>
        <v/>
      </c>
      <c r="P811" s="25">
        <f>IF(AND(L811=1,C811&lt;&gt;""),SUBSTITUTE(SUBSTITUTE(SUBSTITUTE(SUBSTITUTE(SUBSTITUTE(SUBSTITUTE(SUBSTITUTE(SUBSTITUTE(SUBSTITUTE(SUBSTITUTE(SUBSTITUTE(SUBSTITUTE(LOWER(TRIM(C811)),"á","a"),"é","e"),"í","i"),"ó","o"),"ú","u"),"ü","u"),"ñ","n"),"à","a"),"è","e"),"ì","i"),"ò","o"),"ù","u"),"")</f>
        <v/>
      </c>
      <c r="Q811" s="25">
        <f>IF(AND(L811=1,E811&lt;&gt;""),SUBSTITUTE(SUBSTITUTE(SUBSTITUTE(SUBSTITUTE(SUBSTITUTE(SUBSTITUTE(SUBSTITUTE(SUBSTITUTE(SUBSTITUTE(SUBSTITUTE(SUBSTITUTE(SUBSTITUTE(LOWER(TRIM(E811)),"á","a"),"é","e"),"í","i"),"ó","o"),"ú","u"),"ü","u"),"ñ","n"),"à","a"),"è","e"),"ì","i"),"ò","o"),"ù","u"),"")</f>
        <v/>
      </c>
      <c r="R811" s="25">
        <f>IF(AND(L811=1,I811&lt;&gt;""),SUBSTITUTE(SUBSTITUTE(SUBSTITUTE(SUBSTITUTE(SUBSTITUTE(SUBSTITUTE(SUBSTITUTE(SUBSTITUTE(SUBSTITUTE(SUBSTITUTE(SUBSTITUTE(SUBSTITUTE(LOWER(TRIM(I811)),"á","a"),"é","e"),"í","i"),"ó","o"),"ú","u"),"ü","u"),"ñ","n"),"à","a"),"è","e"),"ì","i"),"ò","o"),"ù","u"),"")</f>
        <v/>
      </c>
      <c r="S811" s="25">
        <f>IF(R811="","",IF(OR(R811="si",R811="tal vez"),1,0))</f>
        <v/>
      </c>
      <c r="T811" s="25">
        <f>IF(AND(L811=1,D811&lt;&gt;""),IF(IFERROR(COUNTIFS(D$3:D811,"="&amp;SUBSTITUTE(SUBSTITUTE(SUBSTITUTE(D811,"~","~~"),"*","~*"),"?","~?"),L$3:L811,1),0)=1,MAX(T$2:T810)+1,""),"")</f>
        <v/>
      </c>
      <c r="U811" s="25">
        <f>IF(T811="","",COUNTIFS($D$3:$D$1002,"="&amp;SUBSTITUTE(SUBSTITUTE(SUBSTITUTE(D811,"~","~~"),"*","~*"),"?","~?"),$L$3:$L$1002,1)*10000-T811)</f>
        <v/>
      </c>
      <c r="V811" s="25">
        <f>IF(AND(L811=1,J811&lt;&gt;""),IF(IFERROR(COUNTIFS(J$3:J811,"="&amp;SUBSTITUTE(SUBSTITUTE(SUBSTITUTE(J811,"~","~~"),"*","~*"),"?","~?"),L$3:L811,1),0)=1,MAX(V$2:V810)+1,""),"")</f>
        <v/>
      </c>
      <c r="W811" s="25">
        <f>IF(V811="","",COUNTIFS($J$3:$J$1002,"="&amp;SUBSTITUTE(SUBSTITUTE(SUBSTITUTE(J811,"~","~~"),"*","~*"),"?","~?"),$L$3:$L$1002,1)*10000-V811)</f>
        <v/>
      </c>
    </row>
    <row r="812">
      <c r="A812">
        <f>IF(A$2=0,"",IFERROR(TRIM(INDEX('Pegar estudiantes'!$A$1:$BZ$1001,811,A$2)&amp;""),""))</f>
        <v/>
      </c>
      <c r="B812">
        <f>IF(B$2=0,"",IFERROR(TRIM(INDEX('Pegar estudiantes'!$A$1:$BZ$1001,811,B$2)&amp;""),""))</f>
        <v/>
      </c>
      <c r="C812">
        <f>IF(C$2=0,"",IFERROR(TRIM(INDEX('Pegar estudiantes'!$A$1:$BZ$1001,811,C$2)&amp;""),""))</f>
        <v/>
      </c>
      <c r="D812">
        <f>IF(D$2=0,"",IFERROR(TRIM(INDEX('Pegar estudiantes'!$A$1:$BZ$1001,811,D$2)&amp;""),""))</f>
        <v/>
      </c>
      <c r="E812">
        <f>IF(E$2=0,"",IFERROR(TRIM(INDEX('Pegar estudiantes'!$A$1:$BZ$1001,811,E$2)&amp;""),""))</f>
        <v/>
      </c>
      <c r="F812">
        <f>IF(F$2=0,"",IFERROR(TRIM(INDEX('Pegar estudiantes'!$A$1:$BZ$1001,811,F$2)&amp;""),""))</f>
        <v/>
      </c>
      <c r="G812">
        <f>IF(G$2=0,"",IFERROR(TRIM(INDEX('Pegar estudiantes'!$A$1:$BZ$1001,811,G$2)&amp;""),""))</f>
        <v/>
      </c>
      <c r="H812">
        <f>IF(H$2=0,"",IFERROR(TRIM(INDEX('Pegar estudiantes'!$A$1:$BZ$1001,811,H$2)&amp;""),""))</f>
        <v/>
      </c>
      <c r="I812">
        <f>IF(I$2=0,"",IFERROR(TRIM(INDEX('Pegar estudiantes'!$A$1:$BZ$1001,811,I$2)&amp;""),""))</f>
        <v/>
      </c>
      <c r="J812">
        <f>IF(J$2=0,"",IFERROR(TRIM(INDEX('Pegar estudiantes'!$A$1:$BZ$1001,811,J$2)&amp;""),""))</f>
        <v/>
      </c>
      <c r="K812">
        <f>IF(K$2=0,"",IFERROR(TRIM(INDEX('Pegar estudiantes'!$A$1:$BZ$1001,811,K$2)&amp;""),""))</f>
        <v/>
      </c>
      <c r="L812" s="25">
        <f>IF(A812&lt;&gt;"",1,"")</f>
        <v/>
      </c>
      <c r="M812" s="25">
        <f>IF(L812=1,IF(ISNUMBER(FIND("#"&amp;MID(A812,1,1)&amp;"#","#0#1#2#3#4#5#6#7#8#9#")),IF(ISNUMBER(FIND("#"&amp;MID(A812,2,1)&amp;"#","#0#1#2#3#4#5#6#7#8#9#")),IF(AND(VALUE(LEFT(A812,2))&gt;=1,VALUE(LEFT(A812,2))&lt;=5),VALUE(LEFT(A812,2)),""),IF(AND(VALUE(LEFT(A812,1))&gt;=1,VALUE(LEFT(A812,1))&lt;=5),VALUE(LEFT(A812,1)),"")),""),"")</f>
        <v/>
      </c>
      <c r="N812" s="25">
        <f>IF(L812=1,IF(ISNUMBER(FIND("#"&amp;MID(H812,1,1)&amp;"#","#0#1#2#3#4#5#6#7#8#9#")),IF(ISNUMBER(FIND("#"&amp;MID(H812,2,1)&amp;"#","#0#1#2#3#4#5#6#7#8#9#")),IF(AND(VALUE(LEFT(H812,2))&gt;=1,VALUE(LEFT(H812,2))&lt;=5),VALUE(LEFT(H812,2)),""),IF(AND(VALUE(LEFT(H812,1))&gt;=1,VALUE(LEFT(H812,1))&lt;=5),VALUE(LEFT(H812,1)),"")),""),"")</f>
        <v/>
      </c>
      <c r="O812" s="25">
        <f>IF(AND(L812=1,B812&lt;&gt;""),SUBSTITUTE(SUBSTITUTE(SUBSTITUTE(SUBSTITUTE(SUBSTITUTE(SUBSTITUTE(SUBSTITUTE(SUBSTITUTE(SUBSTITUTE(SUBSTITUTE(SUBSTITUTE(SUBSTITUTE(LOWER(TRIM(B812)),"á","a"),"é","e"),"í","i"),"ó","o"),"ú","u"),"ü","u"),"ñ","n"),"à","a"),"è","e"),"ì","i"),"ò","o"),"ù","u"),"")</f>
        <v/>
      </c>
      <c r="P812" s="25">
        <f>IF(AND(L812=1,C812&lt;&gt;""),SUBSTITUTE(SUBSTITUTE(SUBSTITUTE(SUBSTITUTE(SUBSTITUTE(SUBSTITUTE(SUBSTITUTE(SUBSTITUTE(SUBSTITUTE(SUBSTITUTE(SUBSTITUTE(SUBSTITUTE(LOWER(TRIM(C812)),"á","a"),"é","e"),"í","i"),"ó","o"),"ú","u"),"ü","u"),"ñ","n"),"à","a"),"è","e"),"ì","i"),"ò","o"),"ù","u"),"")</f>
        <v/>
      </c>
      <c r="Q812" s="25">
        <f>IF(AND(L812=1,E812&lt;&gt;""),SUBSTITUTE(SUBSTITUTE(SUBSTITUTE(SUBSTITUTE(SUBSTITUTE(SUBSTITUTE(SUBSTITUTE(SUBSTITUTE(SUBSTITUTE(SUBSTITUTE(SUBSTITUTE(SUBSTITUTE(LOWER(TRIM(E812)),"á","a"),"é","e"),"í","i"),"ó","o"),"ú","u"),"ü","u"),"ñ","n"),"à","a"),"è","e"),"ì","i"),"ò","o"),"ù","u"),"")</f>
        <v/>
      </c>
      <c r="R812" s="25">
        <f>IF(AND(L812=1,I812&lt;&gt;""),SUBSTITUTE(SUBSTITUTE(SUBSTITUTE(SUBSTITUTE(SUBSTITUTE(SUBSTITUTE(SUBSTITUTE(SUBSTITUTE(SUBSTITUTE(SUBSTITUTE(SUBSTITUTE(SUBSTITUTE(LOWER(TRIM(I812)),"á","a"),"é","e"),"í","i"),"ó","o"),"ú","u"),"ü","u"),"ñ","n"),"à","a"),"è","e"),"ì","i"),"ò","o"),"ù","u"),"")</f>
        <v/>
      </c>
      <c r="S812" s="25">
        <f>IF(R812="","",IF(OR(R812="si",R812="tal vez"),1,0))</f>
        <v/>
      </c>
      <c r="T812" s="25">
        <f>IF(AND(L812=1,D812&lt;&gt;""),IF(IFERROR(COUNTIFS(D$3:D812,"="&amp;SUBSTITUTE(SUBSTITUTE(SUBSTITUTE(D812,"~","~~"),"*","~*"),"?","~?"),L$3:L812,1),0)=1,MAX(T$2:T811)+1,""),"")</f>
        <v/>
      </c>
      <c r="U812" s="25">
        <f>IF(T812="","",COUNTIFS($D$3:$D$1002,"="&amp;SUBSTITUTE(SUBSTITUTE(SUBSTITUTE(D812,"~","~~"),"*","~*"),"?","~?"),$L$3:$L$1002,1)*10000-T812)</f>
        <v/>
      </c>
      <c r="V812" s="25">
        <f>IF(AND(L812=1,J812&lt;&gt;""),IF(IFERROR(COUNTIFS(J$3:J812,"="&amp;SUBSTITUTE(SUBSTITUTE(SUBSTITUTE(J812,"~","~~"),"*","~*"),"?","~?"),L$3:L812,1),0)=1,MAX(V$2:V811)+1,""),"")</f>
        <v/>
      </c>
      <c r="W812" s="25">
        <f>IF(V812="","",COUNTIFS($J$3:$J$1002,"="&amp;SUBSTITUTE(SUBSTITUTE(SUBSTITUTE(J812,"~","~~"),"*","~*"),"?","~?"),$L$3:$L$1002,1)*10000-V812)</f>
        <v/>
      </c>
    </row>
    <row r="813">
      <c r="A813">
        <f>IF(A$2=0,"",IFERROR(TRIM(INDEX('Pegar estudiantes'!$A$1:$BZ$1001,812,A$2)&amp;""),""))</f>
        <v/>
      </c>
      <c r="B813">
        <f>IF(B$2=0,"",IFERROR(TRIM(INDEX('Pegar estudiantes'!$A$1:$BZ$1001,812,B$2)&amp;""),""))</f>
        <v/>
      </c>
      <c r="C813">
        <f>IF(C$2=0,"",IFERROR(TRIM(INDEX('Pegar estudiantes'!$A$1:$BZ$1001,812,C$2)&amp;""),""))</f>
        <v/>
      </c>
      <c r="D813">
        <f>IF(D$2=0,"",IFERROR(TRIM(INDEX('Pegar estudiantes'!$A$1:$BZ$1001,812,D$2)&amp;""),""))</f>
        <v/>
      </c>
      <c r="E813">
        <f>IF(E$2=0,"",IFERROR(TRIM(INDEX('Pegar estudiantes'!$A$1:$BZ$1001,812,E$2)&amp;""),""))</f>
        <v/>
      </c>
      <c r="F813">
        <f>IF(F$2=0,"",IFERROR(TRIM(INDEX('Pegar estudiantes'!$A$1:$BZ$1001,812,F$2)&amp;""),""))</f>
        <v/>
      </c>
      <c r="G813">
        <f>IF(G$2=0,"",IFERROR(TRIM(INDEX('Pegar estudiantes'!$A$1:$BZ$1001,812,G$2)&amp;""),""))</f>
        <v/>
      </c>
      <c r="H813">
        <f>IF(H$2=0,"",IFERROR(TRIM(INDEX('Pegar estudiantes'!$A$1:$BZ$1001,812,H$2)&amp;""),""))</f>
        <v/>
      </c>
      <c r="I813">
        <f>IF(I$2=0,"",IFERROR(TRIM(INDEX('Pegar estudiantes'!$A$1:$BZ$1001,812,I$2)&amp;""),""))</f>
        <v/>
      </c>
      <c r="J813">
        <f>IF(J$2=0,"",IFERROR(TRIM(INDEX('Pegar estudiantes'!$A$1:$BZ$1001,812,J$2)&amp;""),""))</f>
        <v/>
      </c>
      <c r="K813">
        <f>IF(K$2=0,"",IFERROR(TRIM(INDEX('Pegar estudiantes'!$A$1:$BZ$1001,812,K$2)&amp;""),""))</f>
        <v/>
      </c>
      <c r="L813" s="25">
        <f>IF(A813&lt;&gt;"",1,"")</f>
        <v/>
      </c>
      <c r="M813" s="25">
        <f>IF(L813=1,IF(ISNUMBER(FIND("#"&amp;MID(A813,1,1)&amp;"#","#0#1#2#3#4#5#6#7#8#9#")),IF(ISNUMBER(FIND("#"&amp;MID(A813,2,1)&amp;"#","#0#1#2#3#4#5#6#7#8#9#")),IF(AND(VALUE(LEFT(A813,2))&gt;=1,VALUE(LEFT(A813,2))&lt;=5),VALUE(LEFT(A813,2)),""),IF(AND(VALUE(LEFT(A813,1))&gt;=1,VALUE(LEFT(A813,1))&lt;=5),VALUE(LEFT(A813,1)),"")),""),"")</f>
        <v/>
      </c>
      <c r="N813" s="25">
        <f>IF(L813=1,IF(ISNUMBER(FIND("#"&amp;MID(H813,1,1)&amp;"#","#0#1#2#3#4#5#6#7#8#9#")),IF(ISNUMBER(FIND("#"&amp;MID(H813,2,1)&amp;"#","#0#1#2#3#4#5#6#7#8#9#")),IF(AND(VALUE(LEFT(H813,2))&gt;=1,VALUE(LEFT(H813,2))&lt;=5),VALUE(LEFT(H813,2)),""),IF(AND(VALUE(LEFT(H813,1))&gt;=1,VALUE(LEFT(H813,1))&lt;=5),VALUE(LEFT(H813,1)),"")),""),"")</f>
        <v/>
      </c>
      <c r="O813" s="25">
        <f>IF(AND(L813=1,B813&lt;&gt;""),SUBSTITUTE(SUBSTITUTE(SUBSTITUTE(SUBSTITUTE(SUBSTITUTE(SUBSTITUTE(SUBSTITUTE(SUBSTITUTE(SUBSTITUTE(SUBSTITUTE(SUBSTITUTE(SUBSTITUTE(LOWER(TRIM(B813)),"á","a"),"é","e"),"í","i"),"ó","o"),"ú","u"),"ü","u"),"ñ","n"),"à","a"),"è","e"),"ì","i"),"ò","o"),"ù","u"),"")</f>
        <v/>
      </c>
      <c r="P813" s="25">
        <f>IF(AND(L813=1,C813&lt;&gt;""),SUBSTITUTE(SUBSTITUTE(SUBSTITUTE(SUBSTITUTE(SUBSTITUTE(SUBSTITUTE(SUBSTITUTE(SUBSTITUTE(SUBSTITUTE(SUBSTITUTE(SUBSTITUTE(SUBSTITUTE(LOWER(TRIM(C813)),"á","a"),"é","e"),"í","i"),"ó","o"),"ú","u"),"ü","u"),"ñ","n"),"à","a"),"è","e"),"ì","i"),"ò","o"),"ù","u"),"")</f>
        <v/>
      </c>
      <c r="Q813" s="25">
        <f>IF(AND(L813=1,E813&lt;&gt;""),SUBSTITUTE(SUBSTITUTE(SUBSTITUTE(SUBSTITUTE(SUBSTITUTE(SUBSTITUTE(SUBSTITUTE(SUBSTITUTE(SUBSTITUTE(SUBSTITUTE(SUBSTITUTE(SUBSTITUTE(LOWER(TRIM(E813)),"á","a"),"é","e"),"í","i"),"ó","o"),"ú","u"),"ü","u"),"ñ","n"),"à","a"),"è","e"),"ì","i"),"ò","o"),"ù","u"),"")</f>
        <v/>
      </c>
      <c r="R813" s="25">
        <f>IF(AND(L813=1,I813&lt;&gt;""),SUBSTITUTE(SUBSTITUTE(SUBSTITUTE(SUBSTITUTE(SUBSTITUTE(SUBSTITUTE(SUBSTITUTE(SUBSTITUTE(SUBSTITUTE(SUBSTITUTE(SUBSTITUTE(SUBSTITUTE(LOWER(TRIM(I813)),"á","a"),"é","e"),"í","i"),"ó","o"),"ú","u"),"ü","u"),"ñ","n"),"à","a"),"è","e"),"ì","i"),"ò","o"),"ù","u"),"")</f>
        <v/>
      </c>
      <c r="S813" s="25">
        <f>IF(R813="","",IF(OR(R813="si",R813="tal vez"),1,0))</f>
        <v/>
      </c>
      <c r="T813" s="25">
        <f>IF(AND(L813=1,D813&lt;&gt;""),IF(IFERROR(COUNTIFS(D$3:D813,"="&amp;SUBSTITUTE(SUBSTITUTE(SUBSTITUTE(D813,"~","~~"),"*","~*"),"?","~?"),L$3:L813,1),0)=1,MAX(T$2:T812)+1,""),"")</f>
        <v/>
      </c>
      <c r="U813" s="25">
        <f>IF(T813="","",COUNTIFS($D$3:$D$1002,"="&amp;SUBSTITUTE(SUBSTITUTE(SUBSTITUTE(D813,"~","~~"),"*","~*"),"?","~?"),$L$3:$L$1002,1)*10000-T813)</f>
        <v/>
      </c>
      <c r="V813" s="25">
        <f>IF(AND(L813=1,J813&lt;&gt;""),IF(IFERROR(COUNTIFS(J$3:J813,"="&amp;SUBSTITUTE(SUBSTITUTE(SUBSTITUTE(J813,"~","~~"),"*","~*"),"?","~?"),L$3:L813,1),0)=1,MAX(V$2:V812)+1,""),"")</f>
        <v/>
      </c>
      <c r="W813" s="25">
        <f>IF(V813="","",COUNTIFS($J$3:$J$1002,"="&amp;SUBSTITUTE(SUBSTITUTE(SUBSTITUTE(J813,"~","~~"),"*","~*"),"?","~?"),$L$3:$L$1002,1)*10000-V813)</f>
        <v/>
      </c>
    </row>
    <row r="814">
      <c r="A814">
        <f>IF(A$2=0,"",IFERROR(TRIM(INDEX('Pegar estudiantes'!$A$1:$BZ$1001,813,A$2)&amp;""),""))</f>
        <v/>
      </c>
      <c r="B814">
        <f>IF(B$2=0,"",IFERROR(TRIM(INDEX('Pegar estudiantes'!$A$1:$BZ$1001,813,B$2)&amp;""),""))</f>
        <v/>
      </c>
      <c r="C814">
        <f>IF(C$2=0,"",IFERROR(TRIM(INDEX('Pegar estudiantes'!$A$1:$BZ$1001,813,C$2)&amp;""),""))</f>
        <v/>
      </c>
      <c r="D814">
        <f>IF(D$2=0,"",IFERROR(TRIM(INDEX('Pegar estudiantes'!$A$1:$BZ$1001,813,D$2)&amp;""),""))</f>
        <v/>
      </c>
      <c r="E814">
        <f>IF(E$2=0,"",IFERROR(TRIM(INDEX('Pegar estudiantes'!$A$1:$BZ$1001,813,E$2)&amp;""),""))</f>
        <v/>
      </c>
      <c r="F814">
        <f>IF(F$2=0,"",IFERROR(TRIM(INDEX('Pegar estudiantes'!$A$1:$BZ$1001,813,F$2)&amp;""),""))</f>
        <v/>
      </c>
      <c r="G814">
        <f>IF(G$2=0,"",IFERROR(TRIM(INDEX('Pegar estudiantes'!$A$1:$BZ$1001,813,G$2)&amp;""),""))</f>
        <v/>
      </c>
      <c r="H814">
        <f>IF(H$2=0,"",IFERROR(TRIM(INDEX('Pegar estudiantes'!$A$1:$BZ$1001,813,H$2)&amp;""),""))</f>
        <v/>
      </c>
      <c r="I814">
        <f>IF(I$2=0,"",IFERROR(TRIM(INDEX('Pegar estudiantes'!$A$1:$BZ$1001,813,I$2)&amp;""),""))</f>
        <v/>
      </c>
      <c r="J814">
        <f>IF(J$2=0,"",IFERROR(TRIM(INDEX('Pegar estudiantes'!$A$1:$BZ$1001,813,J$2)&amp;""),""))</f>
        <v/>
      </c>
      <c r="K814">
        <f>IF(K$2=0,"",IFERROR(TRIM(INDEX('Pegar estudiantes'!$A$1:$BZ$1001,813,K$2)&amp;""),""))</f>
        <v/>
      </c>
      <c r="L814" s="25">
        <f>IF(A814&lt;&gt;"",1,"")</f>
        <v/>
      </c>
      <c r="M814" s="25">
        <f>IF(L814=1,IF(ISNUMBER(FIND("#"&amp;MID(A814,1,1)&amp;"#","#0#1#2#3#4#5#6#7#8#9#")),IF(ISNUMBER(FIND("#"&amp;MID(A814,2,1)&amp;"#","#0#1#2#3#4#5#6#7#8#9#")),IF(AND(VALUE(LEFT(A814,2))&gt;=1,VALUE(LEFT(A814,2))&lt;=5),VALUE(LEFT(A814,2)),""),IF(AND(VALUE(LEFT(A814,1))&gt;=1,VALUE(LEFT(A814,1))&lt;=5),VALUE(LEFT(A814,1)),"")),""),"")</f>
        <v/>
      </c>
      <c r="N814" s="25">
        <f>IF(L814=1,IF(ISNUMBER(FIND("#"&amp;MID(H814,1,1)&amp;"#","#0#1#2#3#4#5#6#7#8#9#")),IF(ISNUMBER(FIND("#"&amp;MID(H814,2,1)&amp;"#","#0#1#2#3#4#5#6#7#8#9#")),IF(AND(VALUE(LEFT(H814,2))&gt;=1,VALUE(LEFT(H814,2))&lt;=5),VALUE(LEFT(H814,2)),""),IF(AND(VALUE(LEFT(H814,1))&gt;=1,VALUE(LEFT(H814,1))&lt;=5),VALUE(LEFT(H814,1)),"")),""),"")</f>
        <v/>
      </c>
      <c r="O814" s="25">
        <f>IF(AND(L814=1,B814&lt;&gt;""),SUBSTITUTE(SUBSTITUTE(SUBSTITUTE(SUBSTITUTE(SUBSTITUTE(SUBSTITUTE(SUBSTITUTE(SUBSTITUTE(SUBSTITUTE(SUBSTITUTE(SUBSTITUTE(SUBSTITUTE(LOWER(TRIM(B814)),"á","a"),"é","e"),"í","i"),"ó","o"),"ú","u"),"ü","u"),"ñ","n"),"à","a"),"è","e"),"ì","i"),"ò","o"),"ù","u"),"")</f>
        <v/>
      </c>
      <c r="P814" s="25">
        <f>IF(AND(L814=1,C814&lt;&gt;""),SUBSTITUTE(SUBSTITUTE(SUBSTITUTE(SUBSTITUTE(SUBSTITUTE(SUBSTITUTE(SUBSTITUTE(SUBSTITUTE(SUBSTITUTE(SUBSTITUTE(SUBSTITUTE(SUBSTITUTE(LOWER(TRIM(C814)),"á","a"),"é","e"),"í","i"),"ó","o"),"ú","u"),"ü","u"),"ñ","n"),"à","a"),"è","e"),"ì","i"),"ò","o"),"ù","u"),"")</f>
        <v/>
      </c>
      <c r="Q814" s="25">
        <f>IF(AND(L814=1,E814&lt;&gt;""),SUBSTITUTE(SUBSTITUTE(SUBSTITUTE(SUBSTITUTE(SUBSTITUTE(SUBSTITUTE(SUBSTITUTE(SUBSTITUTE(SUBSTITUTE(SUBSTITUTE(SUBSTITUTE(SUBSTITUTE(LOWER(TRIM(E814)),"á","a"),"é","e"),"í","i"),"ó","o"),"ú","u"),"ü","u"),"ñ","n"),"à","a"),"è","e"),"ì","i"),"ò","o"),"ù","u"),"")</f>
        <v/>
      </c>
      <c r="R814" s="25">
        <f>IF(AND(L814=1,I814&lt;&gt;""),SUBSTITUTE(SUBSTITUTE(SUBSTITUTE(SUBSTITUTE(SUBSTITUTE(SUBSTITUTE(SUBSTITUTE(SUBSTITUTE(SUBSTITUTE(SUBSTITUTE(SUBSTITUTE(SUBSTITUTE(LOWER(TRIM(I814)),"á","a"),"é","e"),"í","i"),"ó","o"),"ú","u"),"ü","u"),"ñ","n"),"à","a"),"è","e"),"ì","i"),"ò","o"),"ù","u"),"")</f>
        <v/>
      </c>
      <c r="S814" s="25">
        <f>IF(R814="","",IF(OR(R814="si",R814="tal vez"),1,0))</f>
        <v/>
      </c>
      <c r="T814" s="25">
        <f>IF(AND(L814=1,D814&lt;&gt;""),IF(IFERROR(COUNTIFS(D$3:D814,"="&amp;SUBSTITUTE(SUBSTITUTE(SUBSTITUTE(D814,"~","~~"),"*","~*"),"?","~?"),L$3:L814,1),0)=1,MAX(T$2:T813)+1,""),"")</f>
        <v/>
      </c>
      <c r="U814" s="25">
        <f>IF(T814="","",COUNTIFS($D$3:$D$1002,"="&amp;SUBSTITUTE(SUBSTITUTE(SUBSTITUTE(D814,"~","~~"),"*","~*"),"?","~?"),$L$3:$L$1002,1)*10000-T814)</f>
        <v/>
      </c>
      <c r="V814" s="25">
        <f>IF(AND(L814=1,J814&lt;&gt;""),IF(IFERROR(COUNTIFS(J$3:J814,"="&amp;SUBSTITUTE(SUBSTITUTE(SUBSTITUTE(J814,"~","~~"),"*","~*"),"?","~?"),L$3:L814,1),0)=1,MAX(V$2:V813)+1,""),"")</f>
        <v/>
      </c>
      <c r="W814" s="25">
        <f>IF(V814="","",COUNTIFS($J$3:$J$1002,"="&amp;SUBSTITUTE(SUBSTITUTE(SUBSTITUTE(J814,"~","~~"),"*","~*"),"?","~?"),$L$3:$L$1002,1)*10000-V814)</f>
        <v/>
      </c>
    </row>
    <row r="815">
      <c r="A815">
        <f>IF(A$2=0,"",IFERROR(TRIM(INDEX('Pegar estudiantes'!$A$1:$BZ$1001,814,A$2)&amp;""),""))</f>
        <v/>
      </c>
      <c r="B815">
        <f>IF(B$2=0,"",IFERROR(TRIM(INDEX('Pegar estudiantes'!$A$1:$BZ$1001,814,B$2)&amp;""),""))</f>
        <v/>
      </c>
      <c r="C815">
        <f>IF(C$2=0,"",IFERROR(TRIM(INDEX('Pegar estudiantes'!$A$1:$BZ$1001,814,C$2)&amp;""),""))</f>
        <v/>
      </c>
      <c r="D815">
        <f>IF(D$2=0,"",IFERROR(TRIM(INDEX('Pegar estudiantes'!$A$1:$BZ$1001,814,D$2)&amp;""),""))</f>
        <v/>
      </c>
      <c r="E815">
        <f>IF(E$2=0,"",IFERROR(TRIM(INDEX('Pegar estudiantes'!$A$1:$BZ$1001,814,E$2)&amp;""),""))</f>
        <v/>
      </c>
      <c r="F815">
        <f>IF(F$2=0,"",IFERROR(TRIM(INDEX('Pegar estudiantes'!$A$1:$BZ$1001,814,F$2)&amp;""),""))</f>
        <v/>
      </c>
      <c r="G815">
        <f>IF(G$2=0,"",IFERROR(TRIM(INDEX('Pegar estudiantes'!$A$1:$BZ$1001,814,G$2)&amp;""),""))</f>
        <v/>
      </c>
      <c r="H815">
        <f>IF(H$2=0,"",IFERROR(TRIM(INDEX('Pegar estudiantes'!$A$1:$BZ$1001,814,H$2)&amp;""),""))</f>
        <v/>
      </c>
      <c r="I815">
        <f>IF(I$2=0,"",IFERROR(TRIM(INDEX('Pegar estudiantes'!$A$1:$BZ$1001,814,I$2)&amp;""),""))</f>
        <v/>
      </c>
      <c r="J815">
        <f>IF(J$2=0,"",IFERROR(TRIM(INDEX('Pegar estudiantes'!$A$1:$BZ$1001,814,J$2)&amp;""),""))</f>
        <v/>
      </c>
      <c r="K815">
        <f>IF(K$2=0,"",IFERROR(TRIM(INDEX('Pegar estudiantes'!$A$1:$BZ$1001,814,K$2)&amp;""),""))</f>
        <v/>
      </c>
      <c r="L815" s="25">
        <f>IF(A815&lt;&gt;"",1,"")</f>
        <v/>
      </c>
      <c r="M815" s="25">
        <f>IF(L815=1,IF(ISNUMBER(FIND("#"&amp;MID(A815,1,1)&amp;"#","#0#1#2#3#4#5#6#7#8#9#")),IF(ISNUMBER(FIND("#"&amp;MID(A815,2,1)&amp;"#","#0#1#2#3#4#5#6#7#8#9#")),IF(AND(VALUE(LEFT(A815,2))&gt;=1,VALUE(LEFT(A815,2))&lt;=5),VALUE(LEFT(A815,2)),""),IF(AND(VALUE(LEFT(A815,1))&gt;=1,VALUE(LEFT(A815,1))&lt;=5),VALUE(LEFT(A815,1)),"")),""),"")</f>
        <v/>
      </c>
      <c r="N815" s="25">
        <f>IF(L815=1,IF(ISNUMBER(FIND("#"&amp;MID(H815,1,1)&amp;"#","#0#1#2#3#4#5#6#7#8#9#")),IF(ISNUMBER(FIND("#"&amp;MID(H815,2,1)&amp;"#","#0#1#2#3#4#5#6#7#8#9#")),IF(AND(VALUE(LEFT(H815,2))&gt;=1,VALUE(LEFT(H815,2))&lt;=5),VALUE(LEFT(H815,2)),""),IF(AND(VALUE(LEFT(H815,1))&gt;=1,VALUE(LEFT(H815,1))&lt;=5),VALUE(LEFT(H815,1)),"")),""),"")</f>
        <v/>
      </c>
      <c r="O815" s="25">
        <f>IF(AND(L815=1,B815&lt;&gt;""),SUBSTITUTE(SUBSTITUTE(SUBSTITUTE(SUBSTITUTE(SUBSTITUTE(SUBSTITUTE(SUBSTITUTE(SUBSTITUTE(SUBSTITUTE(SUBSTITUTE(SUBSTITUTE(SUBSTITUTE(LOWER(TRIM(B815)),"á","a"),"é","e"),"í","i"),"ó","o"),"ú","u"),"ü","u"),"ñ","n"),"à","a"),"è","e"),"ì","i"),"ò","o"),"ù","u"),"")</f>
        <v/>
      </c>
      <c r="P815" s="25">
        <f>IF(AND(L815=1,C815&lt;&gt;""),SUBSTITUTE(SUBSTITUTE(SUBSTITUTE(SUBSTITUTE(SUBSTITUTE(SUBSTITUTE(SUBSTITUTE(SUBSTITUTE(SUBSTITUTE(SUBSTITUTE(SUBSTITUTE(SUBSTITUTE(LOWER(TRIM(C815)),"á","a"),"é","e"),"í","i"),"ó","o"),"ú","u"),"ü","u"),"ñ","n"),"à","a"),"è","e"),"ì","i"),"ò","o"),"ù","u"),"")</f>
        <v/>
      </c>
      <c r="Q815" s="25">
        <f>IF(AND(L815=1,E815&lt;&gt;""),SUBSTITUTE(SUBSTITUTE(SUBSTITUTE(SUBSTITUTE(SUBSTITUTE(SUBSTITUTE(SUBSTITUTE(SUBSTITUTE(SUBSTITUTE(SUBSTITUTE(SUBSTITUTE(SUBSTITUTE(LOWER(TRIM(E815)),"á","a"),"é","e"),"í","i"),"ó","o"),"ú","u"),"ü","u"),"ñ","n"),"à","a"),"è","e"),"ì","i"),"ò","o"),"ù","u"),"")</f>
        <v/>
      </c>
      <c r="R815" s="25">
        <f>IF(AND(L815=1,I815&lt;&gt;""),SUBSTITUTE(SUBSTITUTE(SUBSTITUTE(SUBSTITUTE(SUBSTITUTE(SUBSTITUTE(SUBSTITUTE(SUBSTITUTE(SUBSTITUTE(SUBSTITUTE(SUBSTITUTE(SUBSTITUTE(LOWER(TRIM(I815)),"á","a"),"é","e"),"í","i"),"ó","o"),"ú","u"),"ü","u"),"ñ","n"),"à","a"),"è","e"),"ì","i"),"ò","o"),"ù","u"),"")</f>
        <v/>
      </c>
      <c r="S815" s="25">
        <f>IF(R815="","",IF(OR(R815="si",R815="tal vez"),1,0))</f>
        <v/>
      </c>
      <c r="T815" s="25">
        <f>IF(AND(L815=1,D815&lt;&gt;""),IF(IFERROR(COUNTIFS(D$3:D815,"="&amp;SUBSTITUTE(SUBSTITUTE(SUBSTITUTE(D815,"~","~~"),"*","~*"),"?","~?"),L$3:L815,1),0)=1,MAX(T$2:T814)+1,""),"")</f>
        <v/>
      </c>
      <c r="U815" s="25">
        <f>IF(T815="","",COUNTIFS($D$3:$D$1002,"="&amp;SUBSTITUTE(SUBSTITUTE(SUBSTITUTE(D815,"~","~~"),"*","~*"),"?","~?"),$L$3:$L$1002,1)*10000-T815)</f>
        <v/>
      </c>
      <c r="V815" s="25">
        <f>IF(AND(L815=1,J815&lt;&gt;""),IF(IFERROR(COUNTIFS(J$3:J815,"="&amp;SUBSTITUTE(SUBSTITUTE(SUBSTITUTE(J815,"~","~~"),"*","~*"),"?","~?"),L$3:L815,1),0)=1,MAX(V$2:V814)+1,""),"")</f>
        <v/>
      </c>
      <c r="W815" s="25">
        <f>IF(V815="","",COUNTIFS($J$3:$J$1002,"="&amp;SUBSTITUTE(SUBSTITUTE(SUBSTITUTE(J815,"~","~~"),"*","~*"),"?","~?"),$L$3:$L$1002,1)*10000-V815)</f>
        <v/>
      </c>
    </row>
    <row r="816">
      <c r="A816">
        <f>IF(A$2=0,"",IFERROR(TRIM(INDEX('Pegar estudiantes'!$A$1:$BZ$1001,815,A$2)&amp;""),""))</f>
        <v/>
      </c>
      <c r="B816">
        <f>IF(B$2=0,"",IFERROR(TRIM(INDEX('Pegar estudiantes'!$A$1:$BZ$1001,815,B$2)&amp;""),""))</f>
        <v/>
      </c>
      <c r="C816">
        <f>IF(C$2=0,"",IFERROR(TRIM(INDEX('Pegar estudiantes'!$A$1:$BZ$1001,815,C$2)&amp;""),""))</f>
        <v/>
      </c>
      <c r="D816">
        <f>IF(D$2=0,"",IFERROR(TRIM(INDEX('Pegar estudiantes'!$A$1:$BZ$1001,815,D$2)&amp;""),""))</f>
        <v/>
      </c>
      <c r="E816">
        <f>IF(E$2=0,"",IFERROR(TRIM(INDEX('Pegar estudiantes'!$A$1:$BZ$1001,815,E$2)&amp;""),""))</f>
        <v/>
      </c>
      <c r="F816">
        <f>IF(F$2=0,"",IFERROR(TRIM(INDEX('Pegar estudiantes'!$A$1:$BZ$1001,815,F$2)&amp;""),""))</f>
        <v/>
      </c>
      <c r="G816">
        <f>IF(G$2=0,"",IFERROR(TRIM(INDEX('Pegar estudiantes'!$A$1:$BZ$1001,815,G$2)&amp;""),""))</f>
        <v/>
      </c>
      <c r="H816">
        <f>IF(H$2=0,"",IFERROR(TRIM(INDEX('Pegar estudiantes'!$A$1:$BZ$1001,815,H$2)&amp;""),""))</f>
        <v/>
      </c>
      <c r="I816">
        <f>IF(I$2=0,"",IFERROR(TRIM(INDEX('Pegar estudiantes'!$A$1:$BZ$1001,815,I$2)&amp;""),""))</f>
        <v/>
      </c>
      <c r="J816">
        <f>IF(J$2=0,"",IFERROR(TRIM(INDEX('Pegar estudiantes'!$A$1:$BZ$1001,815,J$2)&amp;""),""))</f>
        <v/>
      </c>
      <c r="K816">
        <f>IF(K$2=0,"",IFERROR(TRIM(INDEX('Pegar estudiantes'!$A$1:$BZ$1001,815,K$2)&amp;""),""))</f>
        <v/>
      </c>
      <c r="L816" s="25">
        <f>IF(A816&lt;&gt;"",1,"")</f>
        <v/>
      </c>
      <c r="M816" s="25">
        <f>IF(L816=1,IF(ISNUMBER(FIND("#"&amp;MID(A816,1,1)&amp;"#","#0#1#2#3#4#5#6#7#8#9#")),IF(ISNUMBER(FIND("#"&amp;MID(A816,2,1)&amp;"#","#0#1#2#3#4#5#6#7#8#9#")),IF(AND(VALUE(LEFT(A816,2))&gt;=1,VALUE(LEFT(A816,2))&lt;=5),VALUE(LEFT(A816,2)),""),IF(AND(VALUE(LEFT(A816,1))&gt;=1,VALUE(LEFT(A816,1))&lt;=5),VALUE(LEFT(A816,1)),"")),""),"")</f>
        <v/>
      </c>
      <c r="N816" s="25">
        <f>IF(L816=1,IF(ISNUMBER(FIND("#"&amp;MID(H816,1,1)&amp;"#","#0#1#2#3#4#5#6#7#8#9#")),IF(ISNUMBER(FIND("#"&amp;MID(H816,2,1)&amp;"#","#0#1#2#3#4#5#6#7#8#9#")),IF(AND(VALUE(LEFT(H816,2))&gt;=1,VALUE(LEFT(H816,2))&lt;=5),VALUE(LEFT(H816,2)),""),IF(AND(VALUE(LEFT(H816,1))&gt;=1,VALUE(LEFT(H816,1))&lt;=5),VALUE(LEFT(H816,1)),"")),""),"")</f>
        <v/>
      </c>
      <c r="O816" s="25">
        <f>IF(AND(L816=1,B816&lt;&gt;""),SUBSTITUTE(SUBSTITUTE(SUBSTITUTE(SUBSTITUTE(SUBSTITUTE(SUBSTITUTE(SUBSTITUTE(SUBSTITUTE(SUBSTITUTE(SUBSTITUTE(SUBSTITUTE(SUBSTITUTE(LOWER(TRIM(B816)),"á","a"),"é","e"),"í","i"),"ó","o"),"ú","u"),"ü","u"),"ñ","n"),"à","a"),"è","e"),"ì","i"),"ò","o"),"ù","u"),"")</f>
        <v/>
      </c>
      <c r="P816" s="25">
        <f>IF(AND(L816=1,C816&lt;&gt;""),SUBSTITUTE(SUBSTITUTE(SUBSTITUTE(SUBSTITUTE(SUBSTITUTE(SUBSTITUTE(SUBSTITUTE(SUBSTITUTE(SUBSTITUTE(SUBSTITUTE(SUBSTITUTE(SUBSTITUTE(LOWER(TRIM(C816)),"á","a"),"é","e"),"í","i"),"ó","o"),"ú","u"),"ü","u"),"ñ","n"),"à","a"),"è","e"),"ì","i"),"ò","o"),"ù","u"),"")</f>
        <v/>
      </c>
      <c r="Q816" s="25">
        <f>IF(AND(L816=1,E816&lt;&gt;""),SUBSTITUTE(SUBSTITUTE(SUBSTITUTE(SUBSTITUTE(SUBSTITUTE(SUBSTITUTE(SUBSTITUTE(SUBSTITUTE(SUBSTITUTE(SUBSTITUTE(SUBSTITUTE(SUBSTITUTE(LOWER(TRIM(E816)),"á","a"),"é","e"),"í","i"),"ó","o"),"ú","u"),"ü","u"),"ñ","n"),"à","a"),"è","e"),"ì","i"),"ò","o"),"ù","u"),"")</f>
        <v/>
      </c>
      <c r="R816" s="25">
        <f>IF(AND(L816=1,I816&lt;&gt;""),SUBSTITUTE(SUBSTITUTE(SUBSTITUTE(SUBSTITUTE(SUBSTITUTE(SUBSTITUTE(SUBSTITUTE(SUBSTITUTE(SUBSTITUTE(SUBSTITUTE(SUBSTITUTE(SUBSTITUTE(LOWER(TRIM(I816)),"á","a"),"é","e"),"í","i"),"ó","o"),"ú","u"),"ü","u"),"ñ","n"),"à","a"),"è","e"),"ì","i"),"ò","o"),"ù","u"),"")</f>
        <v/>
      </c>
      <c r="S816" s="25">
        <f>IF(R816="","",IF(OR(R816="si",R816="tal vez"),1,0))</f>
        <v/>
      </c>
      <c r="T816" s="25">
        <f>IF(AND(L816=1,D816&lt;&gt;""),IF(IFERROR(COUNTIFS(D$3:D816,"="&amp;SUBSTITUTE(SUBSTITUTE(SUBSTITUTE(D816,"~","~~"),"*","~*"),"?","~?"),L$3:L816,1),0)=1,MAX(T$2:T815)+1,""),"")</f>
        <v/>
      </c>
      <c r="U816" s="25">
        <f>IF(T816="","",COUNTIFS($D$3:$D$1002,"="&amp;SUBSTITUTE(SUBSTITUTE(SUBSTITUTE(D816,"~","~~"),"*","~*"),"?","~?"),$L$3:$L$1002,1)*10000-T816)</f>
        <v/>
      </c>
      <c r="V816" s="25">
        <f>IF(AND(L816=1,J816&lt;&gt;""),IF(IFERROR(COUNTIFS(J$3:J816,"="&amp;SUBSTITUTE(SUBSTITUTE(SUBSTITUTE(J816,"~","~~"),"*","~*"),"?","~?"),L$3:L816,1),0)=1,MAX(V$2:V815)+1,""),"")</f>
        <v/>
      </c>
      <c r="W816" s="25">
        <f>IF(V816="","",COUNTIFS($J$3:$J$1002,"="&amp;SUBSTITUTE(SUBSTITUTE(SUBSTITUTE(J816,"~","~~"),"*","~*"),"?","~?"),$L$3:$L$1002,1)*10000-V816)</f>
        <v/>
      </c>
    </row>
    <row r="817">
      <c r="A817">
        <f>IF(A$2=0,"",IFERROR(TRIM(INDEX('Pegar estudiantes'!$A$1:$BZ$1001,816,A$2)&amp;""),""))</f>
        <v/>
      </c>
      <c r="B817">
        <f>IF(B$2=0,"",IFERROR(TRIM(INDEX('Pegar estudiantes'!$A$1:$BZ$1001,816,B$2)&amp;""),""))</f>
        <v/>
      </c>
      <c r="C817">
        <f>IF(C$2=0,"",IFERROR(TRIM(INDEX('Pegar estudiantes'!$A$1:$BZ$1001,816,C$2)&amp;""),""))</f>
        <v/>
      </c>
      <c r="D817">
        <f>IF(D$2=0,"",IFERROR(TRIM(INDEX('Pegar estudiantes'!$A$1:$BZ$1001,816,D$2)&amp;""),""))</f>
        <v/>
      </c>
      <c r="E817">
        <f>IF(E$2=0,"",IFERROR(TRIM(INDEX('Pegar estudiantes'!$A$1:$BZ$1001,816,E$2)&amp;""),""))</f>
        <v/>
      </c>
      <c r="F817">
        <f>IF(F$2=0,"",IFERROR(TRIM(INDEX('Pegar estudiantes'!$A$1:$BZ$1001,816,F$2)&amp;""),""))</f>
        <v/>
      </c>
      <c r="G817">
        <f>IF(G$2=0,"",IFERROR(TRIM(INDEX('Pegar estudiantes'!$A$1:$BZ$1001,816,G$2)&amp;""),""))</f>
        <v/>
      </c>
      <c r="H817">
        <f>IF(H$2=0,"",IFERROR(TRIM(INDEX('Pegar estudiantes'!$A$1:$BZ$1001,816,H$2)&amp;""),""))</f>
        <v/>
      </c>
      <c r="I817">
        <f>IF(I$2=0,"",IFERROR(TRIM(INDEX('Pegar estudiantes'!$A$1:$BZ$1001,816,I$2)&amp;""),""))</f>
        <v/>
      </c>
      <c r="J817">
        <f>IF(J$2=0,"",IFERROR(TRIM(INDEX('Pegar estudiantes'!$A$1:$BZ$1001,816,J$2)&amp;""),""))</f>
        <v/>
      </c>
      <c r="K817">
        <f>IF(K$2=0,"",IFERROR(TRIM(INDEX('Pegar estudiantes'!$A$1:$BZ$1001,816,K$2)&amp;""),""))</f>
        <v/>
      </c>
      <c r="L817" s="25">
        <f>IF(A817&lt;&gt;"",1,"")</f>
        <v/>
      </c>
      <c r="M817" s="25">
        <f>IF(L817=1,IF(ISNUMBER(FIND("#"&amp;MID(A817,1,1)&amp;"#","#0#1#2#3#4#5#6#7#8#9#")),IF(ISNUMBER(FIND("#"&amp;MID(A817,2,1)&amp;"#","#0#1#2#3#4#5#6#7#8#9#")),IF(AND(VALUE(LEFT(A817,2))&gt;=1,VALUE(LEFT(A817,2))&lt;=5),VALUE(LEFT(A817,2)),""),IF(AND(VALUE(LEFT(A817,1))&gt;=1,VALUE(LEFT(A817,1))&lt;=5),VALUE(LEFT(A817,1)),"")),""),"")</f>
        <v/>
      </c>
      <c r="N817" s="25">
        <f>IF(L817=1,IF(ISNUMBER(FIND("#"&amp;MID(H817,1,1)&amp;"#","#0#1#2#3#4#5#6#7#8#9#")),IF(ISNUMBER(FIND("#"&amp;MID(H817,2,1)&amp;"#","#0#1#2#3#4#5#6#7#8#9#")),IF(AND(VALUE(LEFT(H817,2))&gt;=1,VALUE(LEFT(H817,2))&lt;=5),VALUE(LEFT(H817,2)),""),IF(AND(VALUE(LEFT(H817,1))&gt;=1,VALUE(LEFT(H817,1))&lt;=5),VALUE(LEFT(H817,1)),"")),""),"")</f>
        <v/>
      </c>
      <c r="O817" s="25">
        <f>IF(AND(L817=1,B817&lt;&gt;""),SUBSTITUTE(SUBSTITUTE(SUBSTITUTE(SUBSTITUTE(SUBSTITUTE(SUBSTITUTE(SUBSTITUTE(SUBSTITUTE(SUBSTITUTE(SUBSTITUTE(SUBSTITUTE(SUBSTITUTE(LOWER(TRIM(B817)),"á","a"),"é","e"),"í","i"),"ó","o"),"ú","u"),"ü","u"),"ñ","n"),"à","a"),"è","e"),"ì","i"),"ò","o"),"ù","u"),"")</f>
        <v/>
      </c>
      <c r="P817" s="25">
        <f>IF(AND(L817=1,C817&lt;&gt;""),SUBSTITUTE(SUBSTITUTE(SUBSTITUTE(SUBSTITUTE(SUBSTITUTE(SUBSTITUTE(SUBSTITUTE(SUBSTITUTE(SUBSTITUTE(SUBSTITUTE(SUBSTITUTE(SUBSTITUTE(LOWER(TRIM(C817)),"á","a"),"é","e"),"í","i"),"ó","o"),"ú","u"),"ü","u"),"ñ","n"),"à","a"),"è","e"),"ì","i"),"ò","o"),"ù","u"),"")</f>
        <v/>
      </c>
      <c r="Q817" s="25">
        <f>IF(AND(L817=1,E817&lt;&gt;""),SUBSTITUTE(SUBSTITUTE(SUBSTITUTE(SUBSTITUTE(SUBSTITUTE(SUBSTITUTE(SUBSTITUTE(SUBSTITUTE(SUBSTITUTE(SUBSTITUTE(SUBSTITUTE(SUBSTITUTE(LOWER(TRIM(E817)),"á","a"),"é","e"),"í","i"),"ó","o"),"ú","u"),"ü","u"),"ñ","n"),"à","a"),"è","e"),"ì","i"),"ò","o"),"ù","u"),"")</f>
        <v/>
      </c>
      <c r="R817" s="25">
        <f>IF(AND(L817=1,I817&lt;&gt;""),SUBSTITUTE(SUBSTITUTE(SUBSTITUTE(SUBSTITUTE(SUBSTITUTE(SUBSTITUTE(SUBSTITUTE(SUBSTITUTE(SUBSTITUTE(SUBSTITUTE(SUBSTITUTE(SUBSTITUTE(LOWER(TRIM(I817)),"á","a"),"é","e"),"í","i"),"ó","o"),"ú","u"),"ü","u"),"ñ","n"),"à","a"),"è","e"),"ì","i"),"ò","o"),"ù","u"),"")</f>
        <v/>
      </c>
      <c r="S817" s="25">
        <f>IF(R817="","",IF(OR(R817="si",R817="tal vez"),1,0))</f>
        <v/>
      </c>
      <c r="T817" s="25">
        <f>IF(AND(L817=1,D817&lt;&gt;""),IF(IFERROR(COUNTIFS(D$3:D817,"="&amp;SUBSTITUTE(SUBSTITUTE(SUBSTITUTE(D817,"~","~~"),"*","~*"),"?","~?"),L$3:L817,1),0)=1,MAX(T$2:T816)+1,""),"")</f>
        <v/>
      </c>
      <c r="U817" s="25">
        <f>IF(T817="","",COUNTIFS($D$3:$D$1002,"="&amp;SUBSTITUTE(SUBSTITUTE(SUBSTITUTE(D817,"~","~~"),"*","~*"),"?","~?"),$L$3:$L$1002,1)*10000-T817)</f>
        <v/>
      </c>
      <c r="V817" s="25">
        <f>IF(AND(L817=1,J817&lt;&gt;""),IF(IFERROR(COUNTIFS(J$3:J817,"="&amp;SUBSTITUTE(SUBSTITUTE(SUBSTITUTE(J817,"~","~~"),"*","~*"),"?","~?"),L$3:L817,1),0)=1,MAX(V$2:V816)+1,""),"")</f>
        <v/>
      </c>
      <c r="W817" s="25">
        <f>IF(V817="","",COUNTIFS($J$3:$J$1002,"="&amp;SUBSTITUTE(SUBSTITUTE(SUBSTITUTE(J817,"~","~~"),"*","~*"),"?","~?"),$L$3:$L$1002,1)*10000-V817)</f>
        <v/>
      </c>
    </row>
    <row r="818">
      <c r="A818">
        <f>IF(A$2=0,"",IFERROR(TRIM(INDEX('Pegar estudiantes'!$A$1:$BZ$1001,817,A$2)&amp;""),""))</f>
        <v/>
      </c>
      <c r="B818">
        <f>IF(B$2=0,"",IFERROR(TRIM(INDEX('Pegar estudiantes'!$A$1:$BZ$1001,817,B$2)&amp;""),""))</f>
        <v/>
      </c>
      <c r="C818">
        <f>IF(C$2=0,"",IFERROR(TRIM(INDEX('Pegar estudiantes'!$A$1:$BZ$1001,817,C$2)&amp;""),""))</f>
        <v/>
      </c>
      <c r="D818">
        <f>IF(D$2=0,"",IFERROR(TRIM(INDEX('Pegar estudiantes'!$A$1:$BZ$1001,817,D$2)&amp;""),""))</f>
        <v/>
      </c>
      <c r="E818">
        <f>IF(E$2=0,"",IFERROR(TRIM(INDEX('Pegar estudiantes'!$A$1:$BZ$1001,817,E$2)&amp;""),""))</f>
        <v/>
      </c>
      <c r="F818">
        <f>IF(F$2=0,"",IFERROR(TRIM(INDEX('Pegar estudiantes'!$A$1:$BZ$1001,817,F$2)&amp;""),""))</f>
        <v/>
      </c>
      <c r="G818">
        <f>IF(G$2=0,"",IFERROR(TRIM(INDEX('Pegar estudiantes'!$A$1:$BZ$1001,817,G$2)&amp;""),""))</f>
        <v/>
      </c>
      <c r="H818">
        <f>IF(H$2=0,"",IFERROR(TRIM(INDEX('Pegar estudiantes'!$A$1:$BZ$1001,817,H$2)&amp;""),""))</f>
        <v/>
      </c>
      <c r="I818">
        <f>IF(I$2=0,"",IFERROR(TRIM(INDEX('Pegar estudiantes'!$A$1:$BZ$1001,817,I$2)&amp;""),""))</f>
        <v/>
      </c>
      <c r="J818">
        <f>IF(J$2=0,"",IFERROR(TRIM(INDEX('Pegar estudiantes'!$A$1:$BZ$1001,817,J$2)&amp;""),""))</f>
        <v/>
      </c>
      <c r="K818">
        <f>IF(K$2=0,"",IFERROR(TRIM(INDEX('Pegar estudiantes'!$A$1:$BZ$1001,817,K$2)&amp;""),""))</f>
        <v/>
      </c>
      <c r="L818" s="25">
        <f>IF(A818&lt;&gt;"",1,"")</f>
        <v/>
      </c>
      <c r="M818" s="25">
        <f>IF(L818=1,IF(ISNUMBER(FIND("#"&amp;MID(A818,1,1)&amp;"#","#0#1#2#3#4#5#6#7#8#9#")),IF(ISNUMBER(FIND("#"&amp;MID(A818,2,1)&amp;"#","#0#1#2#3#4#5#6#7#8#9#")),IF(AND(VALUE(LEFT(A818,2))&gt;=1,VALUE(LEFT(A818,2))&lt;=5),VALUE(LEFT(A818,2)),""),IF(AND(VALUE(LEFT(A818,1))&gt;=1,VALUE(LEFT(A818,1))&lt;=5),VALUE(LEFT(A818,1)),"")),""),"")</f>
        <v/>
      </c>
      <c r="N818" s="25">
        <f>IF(L818=1,IF(ISNUMBER(FIND("#"&amp;MID(H818,1,1)&amp;"#","#0#1#2#3#4#5#6#7#8#9#")),IF(ISNUMBER(FIND("#"&amp;MID(H818,2,1)&amp;"#","#0#1#2#3#4#5#6#7#8#9#")),IF(AND(VALUE(LEFT(H818,2))&gt;=1,VALUE(LEFT(H818,2))&lt;=5),VALUE(LEFT(H818,2)),""),IF(AND(VALUE(LEFT(H818,1))&gt;=1,VALUE(LEFT(H818,1))&lt;=5),VALUE(LEFT(H818,1)),"")),""),"")</f>
        <v/>
      </c>
      <c r="O818" s="25">
        <f>IF(AND(L818=1,B818&lt;&gt;""),SUBSTITUTE(SUBSTITUTE(SUBSTITUTE(SUBSTITUTE(SUBSTITUTE(SUBSTITUTE(SUBSTITUTE(SUBSTITUTE(SUBSTITUTE(SUBSTITUTE(SUBSTITUTE(SUBSTITUTE(LOWER(TRIM(B818)),"á","a"),"é","e"),"í","i"),"ó","o"),"ú","u"),"ü","u"),"ñ","n"),"à","a"),"è","e"),"ì","i"),"ò","o"),"ù","u"),"")</f>
        <v/>
      </c>
      <c r="P818" s="25">
        <f>IF(AND(L818=1,C818&lt;&gt;""),SUBSTITUTE(SUBSTITUTE(SUBSTITUTE(SUBSTITUTE(SUBSTITUTE(SUBSTITUTE(SUBSTITUTE(SUBSTITUTE(SUBSTITUTE(SUBSTITUTE(SUBSTITUTE(SUBSTITUTE(LOWER(TRIM(C818)),"á","a"),"é","e"),"í","i"),"ó","o"),"ú","u"),"ü","u"),"ñ","n"),"à","a"),"è","e"),"ì","i"),"ò","o"),"ù","u"),"")</f>
        <v/>
      </c>
      <c r="Q818" s="25">
        <f>IF(AND(L818=1,E818&lt;&gt;""),SUBSTITUTE(SUBSTITUTE(SUBSTITUTE(SUBSTITUTE(SUBSTITUTE(SUBSTITUTE(SUBSTITUTE(SUBSTITUTE(SUBSTITUTE(SUBSTITUTE(SUBSTITUTE(SUBSTITUTE(LOWER(TRIM(E818)),"á","a"),"é","e"),"í","i"),"ó","o"),"ú","u"),"ü","u"),"ñ","n"),"à","a"),"è","e"),"ì","i"),"ò","o"),"ù","u"),"")</f>
        <v/>
      </c>
      <c r="R818" s="25">
        <f>IF(AND(L818=1,I818&lt;&gt;""),SUBSTITUTE(SUBSTITUTE(SUBSTITUTE(SUBSTITUTE(SUBSTITUTE(SUBSTITUTE(SUBSTITUTE(SUBSTITUTE(SUBSTITUTE(SUBSTITUTE(SUBSTITUTE(SUBSTITUTE(LOWER(TRIM(I818)),"á","a"),"é","e"),"í","i"),"ó","o"),"ú","u"),"ü","u"),"ñ","n"),"à","a"),"è","e"),"ì","i"),"ò","o"),"ù","u"),"")</f>
        <v/>
      </c>
      <c r="S818" s="25">
        <f>IF(R818="","",IF(OR(R818="si",R818="tal vez"),1,0))</f>
        <v/>
      </c>
      <c r="T818" s="25">
        <f>IF(AND(L818=1,D818&lt;&gt;""),IF(IFERROR(COUNTIFS(D$3:D818,"="&amp;SUBSTITUTE(SUBSTITUTE(SUBSTITUTE(D818,"~","~~"),"*","~*"),"?","~?"),L$3:L818,1),0)=1,MAX(T$2:T817)+1,""),"")</f>
        <v/>
      </c>
      <c r="U818" s="25">
        <f>IF(T818="","",COUNTIFS($D$3:$D$1002,"="&amp;SUBSTITUTE(SUBSTITUTE(SUBSTITUTE(D818,"~","~~"),"*","~*"),"?","~?"),$L$3:$L$1002,1)*10000-T818)</f>
        <v/>
      </c>
      <c r="V818" s="25">
        <f>IF(AND(L818=1,J818&lt;&gt;""),IF(IFERROR(COUNTIFS(J$3:J818,"="&amp;SUBSTITUTE(SUBSTITUTE(SUBSTITUTE(J818,"~","~~"),"*","~*"),"?","~?"),L$3:L818,1),0)=1,MAX(V$2:V817)+1,""),"")</f>
        <v/>
      </c>
      <c r="W818" s="25">
        <f>IF(V818="","",COUNTIFS($J$3:$J$1002,"="&amp;SUBSTITUTE(SUBSTITUTE(SUBSTITUTE(J818,"~","~~"),"*","~*"),"?","~?"),$L$3:$L$1002,1)*10000-V818)</f>
        <v/>
      </c>
    </row>
    <row r="819">
      <c r="A819">
        <f>IF(A$2=0,"",IFERROR(TRIM(INDEX('Pegar estudiantes'!$A$1:$BZ$1001,818,A$2)&amp;""),""))</f>
        <v/>
      </c>
      <c r="B819">
        <f>IF(B$2=0,"",IFERROR(TRIM(INDEX('Pegar estudiantes'!$A$1:$BZ$1001,818,B$2)&amp;""),""))</f>
        <v/>
      </c>
      <c r="C819">
        <f>IF(C$2=0,"",IFERROR(TRIM(INDEX('Pegar estudiantes'!$A$1:$BZ$1001,818,C$2)&amp;""),""))</f>
        <v/>
      </c>
      <c r="D819">
        <f>IF(D$2=0,"",IFERROR(TRIM(INDEX('Pegar estudiantes'!$A$1:$BZ$1001,818,D$2)&amp;""),""))</f>
        <v/>
      </c>
      <c r="E819">
        <f>IF(E$2=0,"",IFERROR(TRIM(INDEX('Pegar estudiantes'!$A$1:$BZ$1001,818,E$2)&amp;""),""))</f>
        <v/>
      </c>
      <c r="F819">
        <f>IF(F$2=0,"",IFERROR(TRIM(INDEX('Pegar estudiantes'!$A$1:$BZ$1001,818,F$2)&amp;""),""))</f>
        <v/>
      </c>
      <c r="G819">
        <f>IF(G$2=0,"",IFERROR(TRIM(INDEX('Pegar estudiantes'!$A$1:$BZ$1001,818,G$2)&amp;""),""))</f>
        <v/>
      </c>
      <c r="H819">
        <f>IF(H$2=0,"",IFERROR(TRIM(INDEX('Pegar estudiantes'!$A$1:$BZ$1001,818,H$2)&amp;""),""))</f>
        <v/>
      </c>
      <c r="I819">
        <f>IF(I$2=0,"",IFERROR(TRIM(INDEX('Pegar estudiantes'!$A$1:$BZ$1001,818,I$2)&amp;""),""))</f>
        <v/>
      </c>
      <c r="J819">
        <f>IF(J$2=0,"",IFERROR(TRIM(INDEX('Pegar estudiantes'!$A$1:$BZ$1001,818,J$2)&amp;""),""))</f>
        <v/>
      </c>
      <c r="K819">
        <f>IF(K$2=0,"",IFERROR(TRIM(INDEX('Pegar estudiantes'!$A$1:$BZ$1001,818,K$2)&amp;""),""))</f>
        <v/>
      </c>
      <c r="L819" s="25">
        <f>IF(A819&lt;&gt;"",1,"")</f>
        <v/>
      </c>
      <c r="M819" s="25">
        <f>IF(L819=1,IF(ISNUMBER(FIND("#"&amp;MID(A819,1,1)&amp;"#","#0#1#2#3#4#5#6#7#8#9#")),IF(ISNUMBER(FIND("#"&amp;MID(A819,2,1)&amp;"#","#0#1#2#3#4#5#6#7#8#9#")),IF(AND(VALUE(LEFT(A819,2))&gt;=1,VALUE(LEFT(A819,2))&lt;=5),VALUE(LEFT(A819,2)),""),IF(AND(VALUE(LEFT(A819,1))&gt;=1,VALUE(LEFT(A819,1))&lt;=5),VALUE(LEFT(A819,1)),"")),""),"")</f>
        <v/>
      </c>
      <c r="N819" s="25">
        <f>IF(L819=1,IF(ISNUMBER(FIND("#"&amp;MID(H819,1,1)&amp;"#","#0#1#2#3#4#5#6#7#8#9#")),IF(ISNUMBER(FIND("#"&amp;MID(H819,2,1)&amp;"#","#0#1#2#3#4#5#6#7#8#9#")),IF(AND(VALUE(LEFT(H819,2))&gt;=1,VALUE(LEFT(H819,2))&lt;=5),VALUE(LEFT(H819,2)),""),IF(AND(VALUE(LEFT(H819,1))&gt;=1,VALUE(LEFT(H819,1))&lt;=5),VALUE(LEFT(H819,1)),"")),""),"")</f>
        <v/>
      </c>
      <c r="O819" s="25">
        <f>IF(AND(L819=1,B819&lt;&gt;""),SUBSTITUTE(SUBSTITUTE(SUBSTITUTE(SUBSTITUTE(SUBSTITUTE(SUBSTITUTE(SUBSTITUTE(SUBSTITUTE(SUBSTITUTE(SUBSTITUTE(SUBSTITUTE(SUBSTITUTE(LOWER(TRIM(B819)),"á","a"),"é","e"),"í","i"),"ó","o"),"ú","u"),"ü","u"),"ñ","n"),"à","a"),"è","e"),"ì","i"),"ò","o"),"ù","u"),"")</f>
        <v/>
      </c>
      <c r="P819" s="25">
        <f>IF(AND(L819=1,C819&lt;&gt;""),SUBSTITUTE(SUBSTITUTE(SUBSTITUTE(SUBSTITUTE(SUBSTITUTE(SUBSTITUTE(SUBSTITUTE(SUBSTITUTE(SUBSTITUTE(SUBSTITUTE(SUBSTITUTE(SUBSTITUTE(LOWER(TRIM(C819)),"á","a"),"é","e"),"í","i"),"ó","o"),"ú","u"),"ü","u"),"ñ","n"),"à","a"),"è","e"),"ì","i"),"ò","o"),"ù","u"),"")</f>
        <v/>
      </c>
      <c r="Q819" s="25">
        <f>IF(AND(L819=1,E819&lt;&gt;""),SUBSTITUTE(SUBSTITUTE(SUBSTITUTE(SUBSTITUTE(SUBSTITUTE(SUBSTITUTE(SUBSTITUTE(SUBSTITUTE(SUBSTITUTE(SUBSTITUTE(SUBSTITUTE(SUBSTITUTE(LOWER(TRIM(E819)),"á","a"),"é","e"),"í","i"),"ó","o"),"ú","u"),"ü","u"),"ñ","n"),"à","a"),"è","e"),"ì","i"),"ò","o"),"ù","u"),"")</f>
        <v/>
      </c>
      <c r="R819" s="25">
        <f>IF(AND(L819=1,I819&lt;&gt;""),SUBSTITUTE(SUBSTITUTE(SUBSTITUTE(SUBSTITUTE(SUBSTITUTE(SUBSTITUTE(SUBSTITUTE(SUBSTITUTE(SUBSTITUTE(SUBSTITUTE(SUBSTITUTE(SUBSTITUTE(LOWER(TRIM(I819)),"á","a"),"é","e"),"í","i"),"ó","o"),"ú","u"),"ü","u"),"ñ","n"),"à","a"),"è","e"),"ì","i"),"ò","o"),"ù","u"),"")</f>
        <v/>
      </c>
      <c r="S819" s="25">
        <f>IF(R819="","",IF(OR(R819="si",R819="tal vez"),1,0))</f>
        <v/>
      </c>
      <c r="T819" s="25">
        <f>IF(AND(L819=1,D819&lt;&gt;""),IF(IFERROR(COUNTIFS(D$3:D819,"="&amp;SUBSTITUTE(SUBSTITUTE(SUBSTITUTE(D819,"~","~~"),"*","~*"),"?","~?"),L$3:L819,1),0)=1,MAX(T$2:T818)+1,""),"")</f>
        <v/>
      </c>
      <c r="U819" s="25">
        <f>IF(T819="","",COUNTIFS($D$3:$D$1002,"="&amp;SUBSTITUTE(SUBSTITUTE(SUBSTITUTE(D819,"~","~~"),"*","~*"),"?","~?"),$L$3:$L$1002,1)*10000-T819)</f>
        <v/>
      </c>
      <c r="V819" s="25">
        <f>IF(AND(L819=1,J819&lt;&gt;""),IF(IFERROR(COUNTIFS(J$3:J819,"="&amp;SUBSTITUTE(SUBSTITUTE(SUBSTITUTE(J819,"~","~~"),"*","~*"),"?","~?"),L$3:L819,1),0)=1,MAX(V$2:V818)+1,""),"")</f>
        <v/>
      </c>
      <c r="W819" s="25">
        <f>IF(V819="","",COUNTIFS($J$3:$J$1002,"="&amp;SUBSTITUTE(SUBSTITUTE(SUBSTITUTE(J819,"~","~~"),"*","~*"),"?","~?"),$L$3:$L$1002,1)*10000-V819)</f>
        <v/>
      </c>
    </row>
    <row r="820">
      <c r="A820">
        <f>IF(A$2=0,"",IFERROR(TRIM(INDEX('Pegar estudiantes'!$A$1:$BZ$1001,819,A$2)&amp;""),""))</f>
        <v/>
      </c>
      <c r="B820">
        <f>IF(B$2=0,"",IFERROR(TRIM(INDEX('Pegar estudiantes'!$A$1:$BZ$1001,819,B$2)&amp;""),""))</f>
        <v/>
      </c>
      <c r="C820">
        <f>IF(C$2=0,"",IFERROR(TRIM(INDEX('Pegar estudiantes'!$A$1:$BZ$1001,819,C$2)&amp;""),""))</f>
        <v/>
      </c>
      <c r="D820">
        <f>IF(D$2=0,"",IFERROR(TRIM(INDEX('Pegar estudiantes'!$A$1:$BZ$1001,819,D$2)&amp;""),""))</f>
        <v/>
      </c>
      <c r="E820">
        <f>IF(E$2=0,"",IFERROR(TRIM(INDEX('Pegar estudiantes'!$A$1:$BZ$1001,819,E$2)&amp;""),""))</f>
        <v/>
      </c>
      <c r="F820">
        <f>IF(F$2=0,"",IFERROR(TRIM(INDEX('Pegar estudiantes'!$A$1:$BZ$1001,819,F$2)&amp;""),""))</f>
        <v/>
      </c>
      <c r="G820">
        <f>IF(G$2=0,"",IFERROR(TRIM(INDEX('Pegar estudiantes'!$A$1:$BZ$1001,819,G$2)&amp;""),""))</f>
        <v/>
      </c>
      <c r="H820">
        <f>IF(H$2=0,"",IFERROR(TRIM(INDEX('Pegar estudiantes'!$A$1:$BZ$1001,819,H$2)&amp;""),""))</f>
        <v/>
      </c>
      <c r="I820">
        <f>IF(I$2=0,"",IFERROR(TRIM(INDEX('Pegar estudiantes'!$A$1:$BZ$1001,819,I$2)&amp;""),""))</f>
        <v/>
      </c>
      <c r="J820">
        <f>IF(J$2=0,"",IFERROR(TRIM(INDEX('Pegar estudiantes'!$A$1:$BZ$1001,819,J$2)&amp;""),""))</f>
        <v/>
      </c>
      <c r="K820">
        <f>IF(K$2=0,"",IFERROR(TRIM(INDEX('Pegar estudiantes'!$A$1:$BZ$1001,819,K$2)&amp;""),""))</f>
        <v/>
      </c>
      <c r="L820" s="25">
        <f>IF(A820&lt;&gt;"",1,"")</f>
        <v/>
      </c>
      <c r="M820" s="25">
        <f>IF(L820=1,IF(ISNUMBER(FIND("#"&amp;MID(A820,1,1)&amp;"#","#0#1#2#3#4#5#6#7#8#9#")),IF(ISNUMBER(FIND("#"&amp;MID(A820,2,1)&amp;"#","#0#1#2#3#4#5#6#7#8#9#")),IF(AND(VALUE(LEFT(A820,2))&gt;=1,VALUE(LEFT(A820,2))&lt;=5),VALUE(LEFT(A820,2)),""),IF(AND(VALUE(LEFT(A820,1))&gt;=1,VALUE(LEFT(A820,1))&lt;=5),VALUE(LEFT(A820,1)),"")),""),"")</f>
        <v/>
      </c>
      <c r="N820" s="25">
        <f>IF(L820=1,IF(ISNUMBER(FIND("#"&amp;MID(H820,1,1)&amp;"#","#0#1#2#3#4#5#6#7#8#9#")),IF(ISNUMBER(FIND("#"&amp;MID(H820,2,1)&amp;"#","#0#1#2#3#4#5#6#7#8#9#")),IF(AND(VALUE(LEFT(H820,2))&gt;=1,VALUE(LEFT(H820,2))&lt;=5),VALUE(LEFT(H820,2)),""),IF(AND(VALUE(LEFT(H820,1))&gt;=1,VALUE(LEFT(H820,1))&lt;=5),VALUE(LEFT(H820,1)),"")),""),"")</f>
        <v/>
      </c>
      <c r="O820" s="25">
        <f>IF(AND(L820=1,B820&lt;&gt;""),SUBSTITUTE(SUBSTITUTE(SUBSTITUTE(SUBSTITUTE(SUBSTITUTE(SUBSTITUTE(SUBSTITUTE(SUBSTITUTE(SUBSTITUTE(SUBSTITUTE(SUBSTITUTE(SUBSTITUTE(LOWER(TRIM(B820)),"á","a"),"é","e"),"í","i"),"ó","o"),"ú","u"),"ü","u"),"ñ","n"),"à","a"),"è","e"),"ì","i"),"ò","o"),"ù","u"),"")</f>
        <v/>
      </c>
      <c r="P820" s="25">
        <f>IF(AND(L820=1,C820&lt;&gt;""),SUBSTITUTE(SUBSTITUTE(SUBSTITUTE(SUBSTITUTE(SUBSTITUTE(SUBSTITUTE(SUBSTITUTE(SUBSTITUTE(SUBSTITUTE(SUBSTITUTE(SUBSTITUTE(SUBSTITUTE(LOWER(TRIM(C820)),"á","a"),"é","e"),"í","i"),"ó","o"),"ú","u"),"ü","u"),"ñ","n"),"à","a"),"è","e"),"ì","i"),"ò","o"),"ù","u"),"")</f>
        <v/>
      </c>
      <c r="Q820" s="25">
        <f>IF(AND(L820=1,E820&lt;&gt;""),SUBSTITUTE(SUBSTITUTE(SUBSTITUTE(SUBSTITUTE(SUBSTITUTE(SUBSTITUTE(SUBSTITUTE(SUBSTITUTE(SUBSTITUTE(SUBSTITUTE(SUBSTITUTE(SUBSTITUTE(LOWER(TRIM(E820)),"á","a"),"é","e"),"í","i"),"ó","o"),"ú","u"),"ü","u"),"ñ","n"),"à","a"),"è","e"),"ì","i"),"ò","o"),"ù","u"),"")</f>
        <v/>
      </c>
      <c r="R820" s="25">
        <f>IF(AND(L820=1,I820&lt;&gt;""),SUBSTITUTE(SUBSTITUTE(SUBSTITUTE(SUBSTITUTE(SUBSTITUTE(SUBSTITUTE(SUBSTITUTE(SUBSTITUTE(SUBSTITUTE(SUBSTITUTE(SUBSTITUTE(SUBSTITUTE(LOWER(TRIM(I820)),"á","a"),"é","e"),"í","i"),"ó","o"),"ú","u"),"ü","u"),"ñ","n"),"à","a"),"è","e"),"ì","i"),"ò","o"),"ù","u"),"")</f>
        <v/>
      </c>
      <c r="S820" s="25">
        <f>IF(R820="","",IF(OR(R820="si",R820="tal vez"),1,0))</f>
        <v/>
      </c>
      <c r="T820" s="25">
        <f>IF(AND(L820=1,D820&lt;&gt;""),IF(IFERROR(COUNTIFS(D$3:D820,"="&amp;SUBSTITUTE(SUBSTITUTE(SUBSTITUTE(D820,"~","~~"),"*","~*"),"?","~?"),L$3:L820,1),0)=1,MAX(T$2:T819)+1,""),"")</f>
        <v/>
      </c>
      <c r="U820" s="25">
        <f>IF(T820="","",COUNTIFS($D$3:$D$1002,"="&amp;SUBSTITUTE(SUBSTITUTE(SUBSTITUTE(D820,"~","~~"),"*","~*"),"?","~?"),$L$3:$L$1002,1)*10000-T820)</f>
        <v/>
      </c>
      <c r="V820" s="25">
        <f>IF(AND(L820=1,J820&lt;&gt;""),IF(IFERROR(COUNTIFS(J$3:J820,"="&amp;SUBSTITUTE(SUBSTITUTE(SUBSTITUTE(J820,"~","~~"),"*","~*"),"?","~?"),L$3:L820,1),0)=1,MAX(V$2:V819)+1,""),"")</f>
        <v/>
      </c>
      <c r="W820" s="25">
        <f>IF(V820="","",COUNTIFS($J$3:$J$1002,"="&amp;SUBSTITUTE(SUBSTITUTE(SUBSTITUTE(J820,"~","~~"),"*","~*"),"?","~?"),$L$3:$L$1002,1)*10000-V820)</f>
        <v/>
      </c>
    </row>
    <row r="821">
      <c r="A821">
        <f>IF(A$2=0,"",IFERROR(TRIM(INDEX('Pegar estudiantes'!$A$1:$BZ$1001,820,A$2)&amp;""),""))</f>
        <v/>
      </c>
      <c r="B821">
        <f>IF(B$2=0,"",IFERROR(TRIM(INDEX('Pegar estudiantes'!$A$1:$BZ$1001,820,B$2)&amp;""),""))</f>
        <v/>
      </c>
      <c r="C821">
        <f>IF(C$2=0,"",IFERROR(TRIM(INDEX('Pegar estudiantes'!$A$1:$BZ$1001,820,C$2)&amp;""),""))</f>
        <v/>
      </c>
      <c r="D821">
        <f>IF(D$2=0,"",IFERROR(TRIM(INDEX('Pegar estudiantes'!$A$1:$BZ$1001,820,D$2)&amp;""),""))</f>
        <v/>
      </c>
      <c r="E821">
        <f>IF(E$2=0,"",IFERROR(TRIM(INDEX('Pegar estudiantes'!$A$1:$BZ$1001,820,E$2)&amp;""),""))</f>
        <v/>
      </c>
      <c r="F821">
        <f>IF(F$2=0,"",IFERROR(TRIM(INDEX('Pegar estudiantes'!$A$1:$BZ$1001,820,F$2)&amp;""),""))</f>
        <v/>
      </c>
      <c r="G821">
        <f>IF(G$2=0,"",IFERROR(TRIM(INDEX('Pegar estudiantes'!$A$1:$BZ$1001,820,G$2)&amp;""),""))</f>
        <v/>
      </c>
      <c r="H821">
        <f>IF(H$2=0,"",IFERROR(TRIM(INDEX('Pegar estudiantes'!$A$1:$BZ$1001,820,H$2)&amp;""),""))</f>
        <v/>
      </c>
      <c r="I821">
        <f>IF(I$2=0,"",IFERROR(TRIM(INDEX('Pegar estudiantes'!$A$1:$BZ$1001,820,I$2)&amp;""),""))</f>
        <v/>
      </c>
      <c r="J821">
        <f>IF(J$2=0,"",IFERROR(TRIM(INDEX('Pegar estudiantes'!$A$1:$BZ$1001,820,J$2)&amp;""),""))</f>
        <v/>
      </c>
      <c r="K821">
        <f>IF(K$2=0,"",IFERROR(TRIM(INDEX('Pegar estudiantes'!$A$1:$BZ$1001,820,K$2)&amp;""),""))</f>
        <v/>
      </c>
      <c r="L821" s="25">
        <f>IF(A821&lt;&gt;"",1,"")</f>
        <v/>
      </c>
      <c r="M821" s="25">
        <f>IF(L821=1,IF(ISNUMBER(FIND("#"&amp;MID(A821,1,1)&amp;"#","#0#1#2#3#4#5#6#7#8#9#")),IF(ISNUMBER(FIND("#"&amp;MID(A821,2,1)&amp;"#","#0#1#2#3#4#5#6#7#8#9#")),IF(AND(VALUE(LEFT(A821,2))&gt;=1,VALUE(LEFT(A821,2))&lt;=5),VALUE(LEFT(A821,2)),""),IF(AND(VALUE(LEFT(A821,1))&gt;=1,VALUE(LEFT(A821,1))&lt;=5),VALUE(LEFT(A821,1)),"")),""),"")</f>
        <v/>
      </c>
      <c r="N821" s="25">
        <f>IF(L821=1,IF(ISNUMBER(FIND("#"&amp;MID(H821,1,1)&amp;"#","#0#1#2#3#4#5#6#7#8#9#")),IF(ISNUMBER(FIND("#"&amp;MID(H821,2,1)&amp;"#","#0#1#2#3#4#5#6#7#8#9#")),IF(AND(VALUE(LEFT(H821,2))&gt;=1,VALUE(LEFT(H821,2))&lt;=5),VALUE(LEFT(H821,2)),""),IF(AND(VALUE(LEFT(H821,1))&gt;=1,VALUE(LEFT(H821,1))&lt;=5),VALUE(LEFT(H821,1)),"")),""),"")</f>
        <v/>
      </c>
      <c r="O821" s="25">
        <f>IF(AND(L821=1,B821&lt;&gt;""),SUBSTITUTE(SUBSTITUTE(SUBSTITUTE(SUBSTITUTE(SUBSTITUTE(SUBSTITUTE(SUBSTITUTE(SUBSTITUTE(SUBSTITUTE(SUBSTITUTE(SUBSTITUTE(SUBSTITUTE(LOWER(TRIM(B821)),"á","a"),"é","e"),"í","i"),"ó","o"),"ú","u"),"ü","u"),"ñ","n"),"à","a"),"è","e"),"ì","i"),"ò","o"),"ù","u"),"")</f>
        <v/>
      </c>
      <c r="P821" s="25">
        <f>IF(AND(L821=1,C821&lt;&gt;""),SUBSTITUTE(SUBSTITUTE(SUBSTITUTE(SUBSTITUTE(SUBSTITUTE(SUBSTITUTE(SUBSTITUTE(SUBSTITUTE(SUBSTITUTE(SUBSTITUTE(SUBSTITUTE(SUBSTITUTE(LOWER(TRIM(C821)),"á","a"),"é","e"),"í","i"),"ó","o"),"ú","u"),"ü","u"),"ñ","n"),"à","a"),"è","e"),"ì","i"),"ò","o"),"ù","u"),"")</f>
        <v/>
      </c>
      <c r="Q821" s="25">
        <f>IF(AND(L821=1,E821&lt;&gt;""),SUBSTITUTE(SUBSTITUTE(SUBSTITUTE(SUBSTITUTE(SUBSTITUTE(SUBSTITUTE(SUBSTITUTE(SUBSTITUTE(SUBSTITUTE(SUBSTITUTE(SUBSTITUTE(SUBSTITUTE(LOWER(TRIM(E821)),"á","a"),"é","e"),"í","i"),"ó","o"),"ú","u"),"ü","u"),"ñ","n"),"à","a"),"è","e"),"ì","i"),"ò","o"),"ù","u"),"")</f>
        <v/>
      </c>
      <c r="R821" s="25">
        <f>IF(AND(L821=1,I821&lt;&gt;""),SUBSTITUTE(SUBSTITUTE(SUBSTITUTE(SUBSTITUTE(SUBSTITUTE(SUBSTITUTE(SUBSTITUTE(SUBSTITUTE(SUBSTITUTE(SUBSTITUTE(SUBSTITUTE(SUBSTITUTE(LOWER(TRIM(I821)),"á","a"),"é","e"),"í","i"),"ó","o"),"ú","u"),"ü","u"),"ñ","n"),"à","a"),"è","e"),"ì","i"),"ò","o"),"ù","u"),"")</f>
        <v/>
      </c>
      <c r="S821" s="25">
        <f>IF(R821="","",IF(OR(R821="si",R821="tal vez"),1,0))</f>
        <v/>
      </c>
      <c r="T821" s="25">
        <f>IF(AND(L821=1,D821&lt;&gt;""),IF(IFERROR(COUNTIFS(D$3:D821,"="&amp;SUBSTITUTE(SUBSTITUTE(SUBSTITUTE(D821,"~","~~"),"*","~*"),"?","~?"),L$3:L821,1),0)=1,MAX(T$2:T820)+1,""),"")</f>
        <v/>
      </c>
      <c r="U821" s="25">
        <f>IF(T821="","",COUNTIFS($D$3:$D$1002,"="&amp;SUBSTITUTE(SUBSTITUTE(SUBSTITUTE(D821,"~","~~"),"*","~*"),"?","~?"),$L$3:$L$1002,1)*10000-T821)</f>
        <v/>
      </c>
      <c r="V821" s="25">
        <f>IF(AND(L821=1,J821&lt;&gt;""),IF(IFERROR(COUNTIFS(J$3:J821,"="&amp;SUBSTITUTE(SUBSTITUTE(SUBSTITUTE(J821,"~","~~"),"*","~*"),"?","~?"),L$3:L821,1),0)=1,MAX(V$2:V820)+1,""),"")</f>
        <v/>
      </c>
      <c r="W821" s="25">
        <f>IF(V821="","",COUNTIFS($J$3:$J$1002,"="&amp;SUBSTITUTE(SUBSTITUTE(SUBSTITUTE(J821,"~","~~"),"*","~*"),"?","~?"),$L$3:$L$1002,1)*10000-V821)</f>
        <v/>
      </c>
    </row>
    <row r="822">
      <c r="A822">
        <f>IF(A$2=0,"",IFERROR(TRIM(INDEX('Pegar estudiantes'!$A$1:$BZ$1001,821,A$2)&amp;""),""))</f>
        <v/>
      </c>
      <c r="B822">
        <f>IF(B$2=0,"",IFERROR(TRIM(INDEX('Pegar estudiantes'!$A$1:$BZ$1001,821,B$2)&amp;""),""))</f>
        <v/>
      </c>
      <c r="C822">
        <f>IF(C$2=0,"",IFERROR(TRIM(INDEX('Pegar estudiantes'!$A$1:$BZ$1001,821,C$2)&amp;""),""))</f>
        <v/>
      </c>
      <c r="D822">
        <f>IF(D$2=0,"",IFERROR(TRIM(INDEX('Pegar estudiantes'!$A$1:$BZ$1001,821,D$2)&amp;""),""))</f>
        <v/>
      </c>
      <c r="E822">
        <f>IF(E$2=0,"",IFERROR(TRIM(INDEX('Pegar estudiantes'!$A$1:$BZ$1001,821,E$2)&amp;""),""))</f>
        <v/>
      </c>
      <c r="F822">
        <f>IF(F$2=0,"",IFERROR(TRIM(INDEX('Pegar estudiantes'!$A$1:$BZ$1001,821,F$2)&amp;""),""))</f>
        <v/>
      </c>
      <c r="G822">
        <f>IF(G$2=0,"",IFERROR(TRIM(INDEX('Pegar estudiantes'!$A$1:$BZ$1001,821,G$2)&amp;""),""))</f>
        <v/>
      </c>
      <c r="H822">
        <f>IF(H$2=0,"",IFERROR(TRIM(INDEX('Pegar estudiantes'!$A$1:$BZ$1001,821,H$2)&amp;""),""))</f>
        <v/>
      </c>
      <c r="I822">
        <f>IF(I$2=0,"",IFERROR(TRIM(INDEX('Pegar estudiantes'!$A$1:$BZ$1001,821,I$2)&amp;""),""))</f>
        <v/>
      </c>
      <c r="J822">
        <f>IF(J$2=0,"",IFERROR(TRIM(INDEX('Pegar estudiantes'!$A$1:$BZ$1001,821,J$2)&amp;""),""))</f>
        <v/>
      </c>
      <c r="K822">
        <f>IF(K$2=0,"",IFERROR(TRIM(INDEX('Pegar estudiantes'!$A$1:$BZ$1001,821,K$2)&amp;""),""))</f>
        <v/>
      </c>
      <c r="L822" s="25">
        <f>IF(A822&lt;&gt;"",1,"")</f>
        <v/>
      </c>
      <c r="M822" s="25">
        <f>IF(L822=1,IF(ISNUMBER(FIND("#"&amp;MID(A822,1,1)&amp;"#","#0#1#2#3#4#5#6#7#8#9#")),IF(ISNUMBER(FIND("#"&amp;MID(A822,2,1)&amp;"#","#0#1#2#3#4#5#6#7#8#9#")),IF(AND(VALUE(LEFT(A822,2))&gt;=1,VALUE(LEFT(A822,2))&lt;=5),VALUE(LEFT(A822,2)),""),IF(AND(VALUE(LEFT(A822,1))&gt;=1,VALUE(LEFT(A822,1))&lt;=5),VALUE(LEFT(A822,1)),"")),""),"")</f>
        <v/>
      </c>
      <c r="N822" s="25">
        <f>IF(L822=1,IF(ISNUMBER(FIND("#"&amp;MID(H822,1,1)&amp;"#","#0#1#2#3#4#5#6#7#8#9#")),IF(ISNUMBER(FIND("#"&amp;MID(H822,2,1)&amp;"#","#0#1#2#3#4#5#6#7#8#9#")),IF(AND(VALUE(LEFT(H822,2))&gt;=1,VALUE(LEFT(H822,2))&lt;=5),VALUE(LEFT(H822,2)),""),IF(AND(VALUE(LEFT(H822,1))&gt;=1,VALUE(LEFT(H822,1))&lt;=5),VALUE(LEFT(H822,1)),"")),""),"")</f>
        <v/>
      </c>
      <c r="O822" s="25">
        <f>IF(AND(L822=1,B822&lt;&gt;""),SUBSTITUTE(SUBSTITUTE(SUBSTITUTE(SUBSTITUTE(SUBSTITUTE(SUBSTITUTE(SUBSTITUTE(SUBSTITUTE(SUBSTITUTE(SUBSTITUTE(SUBSTITUTE(SUBSTITUTE(LOWER(TRIM(B822)),"á","a"),"é","e"),"í","i"),"ó","o"),"ú","u"),"ü","u"),"ñ","n"),"à","a"),"è","e"),"ì","i"),"ò","o"),"ù","u"),"")</f>
        <v/>
      </c>
      <c r="P822" s="25">
        <f>IF(AND(L822=1,C822&lt;&gt;""),SUBSTITUTE(SUBSTITUTE(SUBSTITUTE(SUBSTITUTE(SUBSTITUTE(SUBSTITUTE(SUBSTITUTE(SUBSTITUTE(SUBSTITUTE(SUBSTITUTE(SUBSTITUTE(SUBSTITUTE(LOWER(TRIM(C822)),"á","a"),"é","e"),"í","i"),"ó","o"),"ú","u"),"ü","u"),"ñ","n"),"à","a"),"è","e"),"ì","i"),"ò","o"),"ù","u"),"")</f>
        <v/>
      </c>
      <c r="Q822" s="25">
        <f>IF(AND(L822=1,E822&lt;&gt;""),SUBSTITUTE(SUBSTITUTE(SUBSTITUTE(SUBSTITUTE(SUBSTITUTE(SUBSTITUTE(SUBSTITUTE(SUBSTITUTE(SUBSTITUTE(SUBSTITUTE(SUBSTITUTE(SUBSTITUTE(LOWER(TRIM(E822)),"á","a"),"é","e"),"í","i"),"ó","o"),"ú","u"),"ü","u"),"ñ","n"),"à","a"),"è","e"),"ì","i"),"ò","o"),"ù","u"),"")</f>
        <v/>
      </c>
      <c r="R822" s="25">
        <f>IF(AND(L822=1,I822&lt;&gt;""),SUBSTITUTE(SUBSTITUTE(SUBSTITUTE(SUBSTITUTE(SUBSTITUTE(SUBSTITUTE(SUBSTITUTE(SUBSTITUTE(SUBSTITUTE(SUBSTITUTE(SUBSTITUTE(SUBSTITUTE(LOWER(TRIM(I822)),"á","a"),"é","e"),"í","i"),"ó","o"),"ú","u"),"ü","u"),"ñ","n"),"à","a"),"è","e"),"ì","i"),"ò","o"),"ù","u"),"")</f>
        <v/>
      </c>
      <c r="S822" s="25">
        <f>IF(R822="","",IF(OR(R822="si",R822="tal vez"),1,0))</f>
        <v/>
      </c>
      <c r="T822" s="25">
        <f>IF(AND(L822=1,D822&lt;&gt;""),IF(IFERROR(COUNTIFS(D$3:D822,"="&amp;SUBSTITUTE(SUBSTITUTE(SUBSTITUTE(D822,"~","~~"),"*","~*"),"?","~?"),L$3:L822,1),0)=1,MAX(T$2:T821)+1,""),"")</f>
        <v/>
      </c>
      <c r="U822" s="25">
        <f>IF(T822="","",COUNTIFS($D$3:$D$1002,"="&amp;SUBSTITUTE(SUBSTITUTE(SUBSTITUTE(D822,"~","~~"),"*","~*"),"?","~?"),$L$3:$L$1002,1)*10000-T822)</f>
        <v/>
      </c>
      <c r="V822" s="25">
        <f>IF(AND(L822=1,J822&lt;&gt;""),IF(IFERROR(COUNTIFS(J$3:J822,"="&amp;SUBSTITUTE(SUBSTITUTE(SUBSTITUTE(J822,"~","~~"),"*","~*"),"?","~?"),L$3:L822,1),0)=1,MAX(V$2:V821)+1,""),"")</f>
        <v/>
      </c>
      <c r="W822" s="25">
        <f>IF(V822="","",COUNTIFS($J$3:$J$1002,"="&amp;SUBSTITUTE(SUBSTITUTE(SUBSTITUTE(J822,"~","~~"),"*","~*"),"?","~?"),$L$3:$L$1002,1)*10000-V822)</f>
        <v/>
      </c>
    </row>
    <row r="823">
      <c r="A823">
        <f>IF(A$2=0,"",IFERROR(TRIM(INDEX('Pegar estudiantes'!$A$1:$BZ$1001,822,A$2)&amp;""),""))</f>
        <v/>
      </c>
      <c r="B823">
        <f>IF(B$2=0,"",IFERROR(TRIM(INDEX('Pegar estudiantes'!$A$1:$BZ$1001,822,B$2)&amp;""),""))</f>
        <v/>
      </c>
      <c r="C823">
        <f>IF(C$2=0,"",IFERROR(TRIM(INDEX('Pegar estudiantes'!$A$1:$BZ$1001,822,C$2)&amp;""),""))</f>
        <v/>
      </c>
      <c r="D823">
        <f>IF(D$2=0,"",IFERROR(TRIM(INDEX('Pegar estudiantes'!$A$1:$BZ$1001,822,D$2)&amp;""),""))</f>
        <v/>
      </c>
      <c r="E823">
        <f>IF(E$2=0,"",IFERROR(TRIM(INDEX('Pegar estudiantes'!$A$1:$BZ$1001,822,E$2)&amp;""),""))</f>
        <v/>
      </c>
      <c r="F823">
        <f>IF(F$2=0,"",IFERROR(TRIM(INDEX('Pegar estudiantes'!$A$1:$BZ$1001,822,F$2)&amp;""),""))</f>
        <v/>
      </c>
      <c r="G823">
        <f>IF(G$2=0,"",IFERROR(TRIM(INDEX('Pegar estudiantes'!$A$1:$BZ$1001,822,G$2)&amp;""),""))</f>
        <v/>
      </c>
      <c r="H823">
        <f>IF(H$2=0,"",IFERROR(TRIM(INDEX('Pegar estudiantes'!$A$1:$BZ$1001,822,H$2)&amp;""),""))</f>
        <v/>
      </c>
      <c r="I823">
        <f>IF(I$2=0,"",IFERROR(TRIM(INDEX('Pegar estudiantes'!$A$1:$BZ$1001,822,I$2)&amp;""),""))</f>
        <v/>
      </c>
      <c r="J823">
        <f>IF(J$2=0,"",IFERROR(TRIM(INDEX('Pegar estudiantes'!$A$1:$BZ$1001,822,J$2)&amp;""),""))</f>
        <v/>
      </c>
      <c r="K823">
        <f>IF(K$2=0,"",IFERROR(TRIM(INDEX('Pegar estudiantes'!$A$1:$BZ$1001,822,K$2)&amp;""),""))</f>
        <v/>
      </c>
      <c r="L823" s="25">
        <f>IF(A823&lt;&gt;"",1,"")</f>
        <v/>
      </c>
      <c r="M823" s="25">
        <f>IF(L823=1,IF(ISNUMBER(FIND("#"&amp;MID(A823,1,1)&amp;"#","#0#1#2#3#4#5#6#7#8#9#")),IF(ISNUMBER(FIND("#"&amp;MID(A823,2,1)&amp;"#","#0#1#2#3#4#5#6#7#8#9#")),IF(AND(VALUE(LEFT(A823,2))&gt;=1,VALUE(LEFT(A823,2))&lt;=5),VALUE(LEFT(A823,2)),""),IF(AND(VALUE(LEFT(A823,1))&gt;=1,VALUE(LEFT(A823,1))&lt;=5),VALUE(LEFT(A823,1)),"")),""),"")</f>
        <v/>
      </c>
      <c r="N823" s="25">
        <f>IF(L823=1,IF(ISNUMBER(FIND("#"&amp;MID(H823,1,1)&amp;"#","#0#1#2#3#4#5#6#7#8#9#")),IF(ISNUMBER(FIND("#"&amp;MID(H823,2,1)&amp;"#","#0#1#2#3#4#5#6#7#8#9#")),IF(AND(VALUE(LEFT(H823,2))&gt;=1,VALUE(LEFT(H823,2))&lt;=5),VALUE(LEFT(H823,2)),""),IF(AND(VALUE(LEFT(H823,1))&gt;=1,VALUE(LEFT(H823,1))&lt;=5),VALUE(LEFT(H823,1)),"")),""),"")</f>
        <v/>
      </c>
      <c r="O823" s="25">
        <f>IF(AND(L823=1,B823&lt;&gt;""),SUBSTITUTE(SUBSTITUTE(SUBSTITUTE(SUBSTITUTE(SUBSTITUTE(SUBSTITUTE(SUBSTITUTE(SUBSTITUTE(SUBSTITUTE(SUBSTITUTE(SUBSTITUTE(SUBSTITUTE(LOWER(TRIM(B823)),"á","a"),"é","e"),"í","i"),"ó","o"),"ú","u"),"ü","u"),"ñ","n"),"à","a"),"è","e"),"ì","i"),"ò","o"),"ù","u"),"")</f>
        <v/>
      </c>
      <c r="P823" s="25">
        <f>IF(AND(L823=1,C823&lt;&gt;""),SUBSTITUTE(SUBSTITUTE(SUBSTITUTE(SUBSTITUTE(SUBSTITUTE(SUBSTITUTE(SUBSTITUTE(SUBSTITUTE(SUBSTITUTE(SUBSTITUTE(SUBSTITUTE(SUBSTITUTE(LOWER(TRIM(C823)),"á","a"),"é","e"),"í","i"),"ó","o"),"ú","u"),"ü","u"),"ñ","n"),"à","a"),"è","e"),"ì","i"),"ò","o"),"ù","u"),"")</f>
        <v/>
      </c>
      <c r="Q823" s="25">
        <f>IF(AND(L823=1,E823&lt;&gt;""),SUBSTITUTE(SUBSTITUTE(SUBSTITUTE(SUBSTITUTE(SUBSTITUTE(SUBSTITUTE(SUBSTITUTE(SUBSTITUTE(SUBSTITUTE(SUBSTITUTE(SUBSTITUTE(SUBSTITUTE(LOWER(TRIM(E823)),"á","a"),"é","e"),"í","i"),"ó","o"),"ú","u"),"ü","u"),"ñ","n"),"à","a"),"è","e"),"ì","i"),"ò","o"),"ù","u"),"")</f>
        <v/>
      </c>
      <c r="R823" s="25">
        <f>IF(AND(L823=1,I823&lt;&gt;""),SUBSTITUTE(SUBSTITUTE(SUBSTITUTE(SUBSTITUTE(SUBSTITUTE(SUBSTITUTE(SUBSTITUTE(SUBSTITUTE(SUBSTITUTE(SUBSTITUTE(SUBSTITUTE(SUBSTITUTE(LOWER(TRIM(I823)),"á","a"),"é","e"),"í","i"),"ó","o"),"ú","u"),"ü","u"),"ñ","n"),"à","a"),"è","e"),"ì","i"),"ò","o"),"ù","u"),"")</f>
        <v/>
      </c>
      <c r="S823" s="25">
        <f>IF(R823="","",IF(OR(R823="si",R823="tal vez"),1,0))</f>
        <v/>
      </c>
      <c r="T823" s="25">
        <f>IF(AND(L823=1,D823&lt;&gt;""),IF(IFERROR(COUNTIFS(D$3:D823,"="&amp;SUBSTITUTE(SUBSTITUTE(SUBSTITUTE(D823,"~","~~"),"*","~*"),"?","~?"),L$3:L823,1),0)=1,MAX(T$2:T822)+1,""),"")</f>
        <v/>
      </c>
      <c r="U823" s="25">
        <f>IF(T823="","",COUNTIFS($D$3:$D$1002,"="&amp;SUBSTITUTE(SUBSTITUTE(SUBSTITUTE(D823,"~","~~"),"*","~*"),"?","~?"),$L$3:$L$1002,1)*10000-T823)</f>
        <v/>
      </c>
      <c r="V823" s="25">
        <f>IF(AND(L823=1,J823&lt;&gt;""),IF(IFERROR(COUNTIFS(J$3:J823,"="&amp;SUBSTITUTE(SUBSTITUTE(SUBSTITUTE(J823,"~","~~"),"*","~*"),"?","~?"),L$3:L823,1),0)=1,MAX(V$2:V822)+1,""),"")</f>
        <v/>
      </c>
      <c r="W823" s="25">
        <f>IF(V823="","",COUNTIFS($J$3:$J$1002,"="&amp;SUBSTITUTE(SUBSTITUTE(SUBSTITUTE(J823,"~","~~"),"*","~*"),"?","~?"),$L$3:$L$1002,1)*10000-V823)</f>
        <v/>
      </c>
    </row>
    <row r="824">
      <c r="A824">
        <f>IF(A$2=0,"",IFERROR(TRIM(INDEX('Pegar estudiantes'!$A$1:$BZ$1001,823,A$2)&amp;""),""))</f>
        <v/>
      </c>
      <c r="B824">
        <f>IF(B$2=0,"",IFERROR(TRIM(INDEX('Pegar estudiantes'!$A$1:$BZ$1001,823,B$2)&amp;""),""))</f>
        <v/>
      </c>
      <c r="C824">
        <f>IF(C$2=0,"",IFERROR(TRIM(INDEX('Pegar estudiantes'!$A$1:$BZ$1001,823,C$2)&amp;""),""))</f>
        <v/>
      </c>
      <c r="D824">
        <f>IF(D$2=0,"",IFERROR(TRIM(INDEX('Pegar estudiantes'!$A$1:$BZ$1001,823,D$2)&amp;""),""))</f>
        <v/>
      </c>
      <c r="E824">
        <f>IF(E$2=0,"",IFERROR(TRIM(INDEX('Pegar estudiantes'!$A$1:$BZ$1001,823,E$2)&amp;""),""))</f>
        <v/>
      </c>
      <c r="F824">
        <f>IF(F$2=0,"",IFERROR(TRIM(INDEX('Pegar estudiantes'!$A$1:$BZ$1001,823,F$2)&amp;""),""))</f>
        <v/>
      </c>
      <c r="G824">
        <f>IF(G$2=0,"",IFERROR(TRIM(INDEX('Pegar estudiantes'!$A$1:$BZ$1001,823,G$2)&amp;""),""))</f>
        <v/>
      </c>
      <c r="H824">
        <f>IF(H$2=0,"",IFERROR(TRIM(INDEX('Pegar estudiantes'!$A$1:$BZ$1001,823,H$2)&amp;""),""))</f>
        <v/>
      </c>
      <c r="I824">
        <f>IF(I$2=0,"",IFERROR(TRIM(INDEX('Pegar estudiantes'!$A$1:$BZ$1001,823,I$2)&amp;""),""))</f>
        <v/>
      </c>
      <c r="J824">
        <f>IF(J$2=0,"",IFERROR(TRIM(INDEX('Pegar estudiantes'!$A$1:$BZ$1001,823,J$2)&amp;""),""))</f>
        <v/>
      </c>
      <c r="K824">
        <f>IF(K$2=0,"",IFERROR(TRIM(INDEX('Pegar estudiantes'!$A$1:$BZ$1001,823,K$2)&amp;""),""))</f>
        <v/>
      </c>
      <c r="L824" s="25">
        <f>IF(A824&lt;&gt;"",1,"")</f>
        <v/>
      </c>
      <c r="M824" s="25">
        <f>IF(L824=1,IF(ISNUMBER(FIND("#"&amp;MID(A824,1,1)&amp;"#","#0#1#2#3#4#5#6#7#8#9#")),IF(ISNUMBER(FIND("#"&amp;MID(A824,2,1)&amp;"#","#0#1#2#3#4#5#6#7#8#9#")),IF(AND(VALUE(LEFT(A824,2))&gt;=1,VALUE(LEFT(A824,2))&lt;=5),VALUE(LEFT(A824,2)),""),IF(AND(VALUE(LEFT(A824,1))&gt;=1,VALUE(LEFT(A824,1))&lt;=5),VALUE(LEFT(A824,1)),"")),""),"")</f>
        <v/>
      </c>
      <c r="N824" s="25">
        <f>IF(L824=1,IF(ISNUMBER(FIND("#"&amp;MID(H824,1,1)&amp;"#","#0#1#2#3#4#5#6#7#8#9#")),IF(ISNUMBER(FIND("#"&amp;MID(H824,2,1)&amp;"#","#0#1#2#3#4#5#6#7#8#9#")),IF(AND(VALUE(LEFT(H824,2))&gt;=1,VALUE(LEFT(H824,2))&lt;=5),VALUE(LEFT(H824,2)),""),IF(AND(VALUE(LEFT(H824,1))&gt;=1,VALUE(LEFT(H824,1))&lt;=5),VALUE(LEFT(H824,1)),"")),""),"")</f>
        <v/>
      </c>
      <c r="O824" s="25">
        <f>IF(AND(L824=1,B824&lt;&gt;""),SUBSTITUTE(SUBSTITUTE(SUBSTITUTE(SUBSTITUTE(SUBSTITUTE(SUBSTITUTE(SUBSTITUTE(SUBSTITUTE(SUBSTITUTE(SUBSTITUTE(SUBSTITUTE(SUBSTITUTE(LOWER(TRIM(B824)),"á","a"),"é","e"),"í","i"),"ó","o"),"ú","u"),"ü","u"),"ñ","n"),"à","a"),"è","e"),"ì","i"),"ò","o"),"ù","u"),"")</f>
        <v/>
      </c>
      <c r="P824" s="25">
        <f>IF(AND(L824=1,C824&lt;&gt;""),SUBSTITUTE(SUBSTITUTE(SUBSTITUTE(SUBSTITUTE(SUBSTITUTE(SUBSTITUTE(SUBSTITUTE(SUBSTITUTE(SUBSTITUTE(SUBSTITUTE(SUBSTITUTE(SUBSTITUTE(LOWER(TRIM(C824)),"á","a"),"é","e"),"í","i"),"ó","o"),"ú","u"),"ü","u"),"ñ","n"),"à","a"),"è","e"),"ì","i"),"ò","o"),"ù","u"),"")</f>
        <v/>
      </c>
      <c r="Q824" s="25">
        <f>IF(AND(L824=1,E824&lt;&gt;""),SUBSTITUTE(SUBSTITUTE(SUBSTITUTE(SUBSTITUTE(SUBSTITUTE(SUBSTITUTE(SUBSTITUTE(SUBSTITUTE(SUBSTITUTE(SUBSTITUTE(SUBSTITUTE(SUBSTITUTE(LOWER(TRIM(E824)),"á","a"),"é","e"),"í","i"),"ó","o"),"ú","u"),"ü","u"),"ñ","n"),"à","a"),"è","e"),"ì","i"),"ò","o"),"ù","u"),"")</f>
        <v/>
      </c>
      <c r="R824" s="25">
        <f>IF(AND(L824=1,I824&lt;&gt;""),SUBSTITUTE(SUBSTITUTE(SUBSTITUTE(SUBSTITUTE(SUBSTITUTE(SUBSTITUTE(SUBSTITUTE(SUBSTITUTE(SUBSTITUTE(SUBSTITUTE(SUBSTITUTE(SUBSTITUTE(LOWER(TRIM(I824)),"á","a"),"é","e"),"í","i"),"ó","o"),"ú","u"),"ü","u"),"ñ","n"),"à","a"),"è","e"),"ì","i"),"ò","o"),"ù","u"),"")</f>
        <v/>
      </c>
      <c r="S824" s="25">
        <f>IF(R824="","",IF(OR(R824="si",R824="tal vez"),1,0))</f>
        <v/>
      </c>
      <c r="T824" s="25">
        <f>IF(AND(L824=1,D824&lt;&gt;""),IF(IFERROR(COUNTIFS(D$3:D824,"="&amp;SUBSTITUTE(SUBSTITUTE(SUBSTITUTE(D824,"~","~~"),"*","~*"),"?","~?"),L$3:L824,1),0)=1,MAX(T$2:T823)+1,""),"")</f>
        <v/>
      </c>
      <c r="U824" s="25">
        <f>IF(T824="","",COUNTIFS($D$3:$D$1002,"="&amp;SUBSTITUTE(SUBSTITUTE(SUBSTITUTE(D824,"~","~~"),"*","~*"),"?","~?"),$L$3:$L$1002,1)*10000-T824)</f>
        <v/>
      </c>
      <c r="V824" s="25">
        <f>IF(AND(L824=1,J824&lt;&gt;""),IF(IFERROR(COUNTIFS(J$3:J824,"="&amp;SUBSTITUTE(SUBSTITUTE(SUBSTITUTE(J824,"~","~~"),"*","~*"),"?","~?"),L$3:L824,1),0)=1,MAX(V$2:V823)+1,""),"")</f>
        <v/>
      </c>
      <c r="W824" s="25">
        <f>IF(V824="","",COUNTIFS($J$3:$J$1002,"="&amp;SUBSTITUTE(SUBSTITUTE(SUBSTITUTE(J824,"~","~~"),"*","~*"),"?","~?"),$L$3:$L$1002,1)*10000-V824)</f>
        <v/>
      </c>
    </row>
    <row r="825">
      <c r="A825">
        <f>IF(A$2=0,"",IFERROR(TRIM(INDEX('Pegar estudiantes'!$A$1:$BZ$1001,824,A$2)&amp;""),""))</f>
        <v/>
      </c>
      <c r="B825">
        <f>IF(B$2=0,"",IFERROR(TRIM(INDEX('Pegar estudiantes'!$A$1:$BZ$1001,824,B$2)&amp;""),""))</f>
        <v/>
      </c>
      <c r="C825">
        <f>IF(C$2=0,"",IFERROR(TRIM(INDEX('Pegar estudiantes'!$A$1:$BZ$1001,824,C$2)&amp;""),""))</f>
        <v/>
      </c>
      <c r="D825">
        <f>IF(D$2=0,"",IFERROR(TRIM(INDEX('Pegar estudiantes'!$A$1:$BZ$1001,824,D$2)&amp;""),""))</f>
        <v/>
      </c>
      <c r="E825">
        <f>IF(E$2=0,"",IFERROR(TRIM(INDEX('Pegar estudiantes'!$A$1:$BZ$1001,824,E$2)&amp;""),""))</f>
        <v/>
      </c>
      <c r="F825">
        <f>IF(F$2=0,"",IFERROR(TRIM(INDEX('Pegar estudiantes'!$A$1:$BZ$1001,824,F$2)&amp;""),""))</f>
        <v/>
      </c>
      <c r="G825">
        <f>IF(G$2=0,"",IFERROR(TRIM(INDEX('Pegar estudiantes'!$A$1:$BZ$1001,824,G$2)&amp;""),""))</f>
        <v/>
      </c>
      <c r="H825">
        <f>IF(H$2=0,"",IFERROR(TRIM(INDEX('Pegar estudiantes'!$A$1:$BZ$1001,824,H$2)&amp;""),""))</f>
        <v/>
      </c>
      <c r="I825">
        <f>IF(I$2=0,"",IFERROR(TRIM(INDEX('Pegar estudiantes'!$A$1:$BZ$1001,824,I$2)&amp;""),""))</f>
        <v/>
      </c>
      <c r="J825">
        <f>IF(J$2=0,"",IFERROR(TRIM(INDEX('Pegar estudiantes'!$A$1:$BZ$1001,824,J$2)&amp;""),""))</f>
        <v/>
      </c>
      <c r="K825">
        <f>IF(K$2=0,"",IFERROR(TRIM(INDEX('Pegar estudiantes'!$A$1:$BZ$1001,824,K$2)&amp;""),""))</f>
        <v/>
      </c>
      <c r="L825" s="25">
        <f>IF(A825&lt;&gt;"",1,"")</f>
        <v/>
      </c>
      <c r="M825" s="25">
        <f>IF(L825=1,IF(ISNUMBER(FIND("#"&amp;MID(A825,1,1)&amp;"#","#0#1#2#3#4#5#6#7#8#9#")),IF(ISNUMBER(FIND("#"&amp;MID(A825,2,1)&amp;"#","#0#1#2#3#4#5#6#7#8#9#")),IF(AND(VALUE(LEFT(A825,2))&gt;=1,VALUE(LEFT(A825,2))&lt;=5),VALUE(LEFT(A825,2)),""),IF(AND(VALUE(LEFT(A825,1))&gt;=1,VALUE(LEFT(A825,1))&lt;=5),VALUE(LEFT(A825,1)),"")),""),"")</f>
        <v/>
      </c>
      <c r="N825" s="25">
        <f>IF(L825=1,IF(ISNUMBER(FIND("#"&amp;MID(H825,1,1)&amp;"#","#0#1#2#3#4#5#6#7#8#9#")),IF(ISNUMBER(FIND("#"&amp;MID(H825,2,1)&amp;"#","#0#1#2#3#4#5#6#7#8#9#")),IF(AND(VALUE(LEFT(H825,2))&gt;=1,VALUE(LEFT(H825,2))&lt;=5),VALUE(LEFT(H825,2)),""),IF(AND(VALUE(LEFT(H825,1))&gt;=1,VALUE(LEFT(H825,1))&lt;=5),VALUE(LEFT(H825,1)),"")),""),"")</f>
        <v/>
      </c>
      <c r="O825" s="25">
        <f>IF(AND(L825=1,B825&lt;&gt;""),SUBSTITUTE(SUBSTITUTE(SUBSTITUTE(SUBSTITUTE(SUBSTITUTE(SUBSTITUTE(SUBSTITUTE(SUBSTITUTE(SUBSTITUTE(SUBSTITUTE(SUBSTITUTE(SUBSTITUTE(LOWER(TRIM(B825)),"á","a"),"é","e"),"í","i"),"ó","o"),"ú","u"),"ü","u"),"ñ","n"),"à","a"),"è","e"),"ì","i"),"ò","o"),"ù","u"),"")</f>
        <v/>
      </c>
      <c r="P825" s="25">
        <f>IF(AND(L825=1,C825&lt;&gt;""),SUBSTITUTE(SUBSTITUTE(SUBSTITUTE(SUBSTITUTE(SUBSTITUTE(SUBSTITUTE(SUBSTITUTE(SUBSTITUTE(SUBSTITUTE(SUBSTITUTE(SUBSTITUTE(SUBSTITUTE(LOWER(TRIM(C825)),"á","a"),"é","e"),"í","i"),"ó","o"),"ú","u"),"ü","u"),"ñ","n"),"à","a"),"è","e"),"ì","i"),"ò","o"),"ù","u"),"")</f>
        <v/>
      </c>
      <c r="Q825" s="25">
        <f>IF(AND(L825=1,E825&lt;&gt;""),SUBSTITUTE(SUBSTITUTE(SUBSTITUTE(SUBSTITUTE(SUBSTITUTE(SUBSTITUTE(SUBSTITUTE(SUBSTITUTE(SUBSTITUTE(SUBSTITUTE(SUBSTITUTE(SUBSTITUTE(LOWER(TRIM(E825)),"á","a"),"é","e"),"í","i"),"ó","o"),"ú","u"),"ü","u"),"ñ","n"),"à","a"),"è","e"),"ì","i"),"ò","o"),"ù","u"),"")</f>
        <v/>
      </c>
      <c r="R825" s="25">
        <f>IF(AND(L825=1,I825&lt;&gt;""),SUBSTITUTE(SUBSTITUTE(SUBSTITUTE(SUBSTITUTE(SUBSTITUTE(SUBSTITUTE(SUBSTITUTE(SUBSTITUTE(SUBSTITUTE(SUBSTITUTE(SUBSTITUTE(SUBSTITUTE(LOWER(TRIM(I825)),"á","a"),"é","e"),"í","i"),"ó","o"),"ú","u"),"ü","u"),"ñ","n"),"à","a"),"è","e"),"ì","i"),"ò","o"),"ù","u"),"")</f>
        <v/>
      </c>
      <c r="S825" s="25">
        <f>IF(R825="","",IF(OR(R825="si",R825="tal vez"),1,0))</f>
        <v/>
      </c>
      <c r="T825" s="25">
        <f>IF(AND(L825=1,D825&lt;&gt;""),IF(IFERROR(COUNTIFS(D$3:D825,"="&amp;SUBSTITUTE(SUBSTITUTE(SUBSTITUTE(D825,"~","~~"),"*","~*"),"?","~?"),L$3:L825,1),0)=1,MAX(T$2:T824)+1,""),"")</f>
        <v/>
      </c>
      <c r="U825" s="25">
        <f>IF(T825="","",COUNTIFS($D$3:$D$1002,"="&amp;SUBSTITUTE(SUBSTITUTE(SUBSTITUTE(D825,"~","~~"),"*","~*"),"?","~?"),$L$3:$L$1002,1)*10000-T825)</f>
        <v/>
      </c>
      <c r="V825" s="25">
        <f>IF(AND(L825=1,J825&lt;&gt;""),IF(IFERROR(COUNTIFS(J$3:J825,"="&amp;SUBSTITUTE(SUBSTITUTE(SUBSTITUTE(J825,"~","~~"),"*","~*"),"?","~?"),L$3:L825,1),0)=1,MAX(V$2:V824)+1,""),"")</f>
        <v/>
      </c>
      <c r="W825" s="25">
        <f>IF(V825="","",COUNTIFS($J$3:$J$1002,"="&amp;SUBSTITUTE(SUBSTITUTE(SUBSTITUTE(J825,"~","~~"),"*","~*"),"?","~?"),$L$3:$L$1002,1)*10000-V825)</f>
        <v/>
      </c>
    </row>
    <row r="826">
      <c r="A826">
        <f>IF(A$2=0,"",IFERROR(TRIM(INDEX('Pegar estudiantes'!$A$1:$BZ$1001,825,A$2)&amp;""),""))</f>
        <v/>
      </c>
      <c r="B826">
        <f>IF(B$2=0,"",IFERROR(TRIM(INDEX('Pegar estudiantes'!$A$1:$BZ$1001,825,B$2)&amp;""),""))</f>
        <v/>
      </c>
      <c r="C826">
        <f>IF(C$2=0,"",IFERROR(TRIM(INDEX('Pegar estudiantes'!$A$1:$BZ$1001,825,C$2)&amp;""),""))</f>
        <v/>
      </c>
      <c r="D826">
        <f>IF(D$2=0,"",IFERROR(TRIM(INDEX('Pegar estudiantes'!$A$1:$BZ$1001,825,D$2)&amp;""),""))</f>
        <v/>
      </c>
      <c r="E826">
        <f>IF(E$2=0,"",IFERROR(TRIM(INDEX('Pegar estudiantes'!$A$1:$BZ$1001,825,E$2)&amp;""),""))</f>
        <v/>
      </c>
      <c r="F826">
        <f>IF(F$2=0,"",IFERROR(TRIM(INDEX('Pegar estudiantes'!$A$1:$BZ$1001,825,F$2)&amp;""),""))</f>
        <v/>
      </c>
      <c r="G826">
        <f>IF(G$2=0,"",IFERROR(TRIM(INDEX('Pegar estudiantes'!$A$1:$BZ$1001,825,G$2)&amp;""),""))</f>
        <v/>
      </c>
      <c r="H826">
        <f>IF(H$2=0,"",IFERROR(TRIM(INDEX('Pegar estudiantes'!$A$1:$BZ$1001,825,H$2)&amp;""),""))</f>
        <v/>
      </c>
      <c r="I826">
        <f>IF(I$2=0,"",IFERROR(TRIM(INDEX('Pegar estudiantes'!$A$1:$BZ$1001,825,I$2)&amp;""),""))</f>
        <v/>
      </c>
      <c r="J826">
        <f>IF(J$2=0,"",IFERROR(TRIM(INDEX('Pegar estudiantes'!$A$1:$BZ$1001,825,J$2)&amp;""),""))</f>
        <v/>
      </c>
      <c r="K826">
        <f>IF(K$2=0,"",IFERROR(TRIM(INDEX('Pegar estudiantes'!$A$1:$BZ$1001,825,K$2)&amp;""),""))</f>
        <v/>
      </c>
      <c r="L826" s="25">
        <f>IF(A826&lt;&gt;"",1,"")</f>
        <v/>
      </c>
      <c r="M826" s="25">
        <f>IF(L826=1,IF(ISNUMBER(FIND("#"&amp;MID(A826,1,1)&amp;"#","#0#1#2#3#4#5#6#7#8#9#")),IF(ISNUMBER(FIND("#"&amp;MID(A826,2,1)&amp;"#","#0#1#2#3#4#5#6#7#8#9#")),IF(AND(VALUE(LEFT(A826,2))&gt;=1,VALUE(LEFT(A826,2))&lt;=5),VALUE(LEFT(A826,2)),""),IF(AND(VALUE(LEFT(A826,1))&gt;=1,VALUE(LEFT(A826,1))&lt;=5),VALUE(LEFT(A826,1)),"")),""),"")</f>
        <v/>
      </c>
      <c r="N826" s="25">
        <f>IF(L826=1,IF(ISNUMBER(FIND("#"&amp;MID(H826,1,1)&amp;"#","#0#1#2#3#4#5#6#7#8#9#")),IF(ISNUMBER(FIND("#"&amp;MID(H826,2,1)&amp;"#","#0#1#2#3#4#5#6#7#8#9#")),IF(AND(VALUE(LEFT(H826,2))&gt;=1,VALUE(LEFT(H826,2))&lt;=5),VALUE(LEFT(H826,2)),""),IF(AND(VALUE(LEFT(H826,1))&gt;=1,VALUE(LEFT(H826,1))&lt;=5),VALUE(LEFT(H826,1)),"")),""),"")</f>
        <v/>
      </c>
      <c r="O826" s="25">
        <f>IF(AND(L826=1,B826&lt;&gt;""),SUBSTITUTE(SUBSTITUTE(SUBSTITUTE(SUBSTITUTE(SUBSTITUTE(SUBSTITUTE(SUBSTITUTE(SUBSTITUTE(SUBSTITUTE(SUBSTITUTE(SUBSTITUTE(SUBSTITUTE(LOWER(TRIM(B826)),"á","a"),"é","e"),"í","i"),"ó","o"),"ú","u"),"ü","u"),"ñ","n"),"à","a"),"è","e"),"ì","i"),"ò","o"),"ù","u"),"")</f>
        <v/>
      </c>
      <c r="P826" s="25">
        <f>IF(AND(L826=1,C826&lt;&gt;""),SUBSTITUTE(SUBSTITUTE(SUBSTITUTE(SUBSTITUTE(SUBSTITUTE(SUBSTITUTE(SUBSTITUTE(SUBSTITUTE(SUBSTITUTE(SUBSTITUTE(SUBSTITUTE(SUBSTITUTE(LOWER(TRIM(C826)),"á","a"),"é","e"),"í","i"),"ó","o"),"ú","u"),"ü","u"),"ñ","n"),"à","a"),"è","e"),"ì","i"),"ò","o"),"ù","u"),"")</f>
        <v/>
      </c>
      <c r="Q826" s="25">
        <f>IF(AND(L826=1,E826&lt;&gt;""),SUBSTITUTE(SUBSTITUTE(SUBSTITUTE(SUBSTITUTE(SUBSTITUTE(SUBSTITUTE(SUBSTITUTE(SUBSTITUTE(SUBSTITUTE(SUBSTITUTE(SUBSTITUTE(SUBSTITUTE(LOWER(TRIM(E826)),"á","a"),"é","e"),"í","i"),"ó","o"),"ú","u"),"ü","u"),"ñ","n"),"à","a"),"è","e"),"ì","i"),"ò","o"),"ù","u"),"")</f>
        <v/>
      </c>
      <c r="R826" s="25">
        <f>IF(AND(L826=1,I826&lt;&gt;""),SUBSTITUTE(SUBSTITUTE(SUBSTITUTE(SUBSTITUTE(SUBSTITUTE(SUBSTITUTE(SUBSTITUTE(SUBSTITUTE(SUBSTITUTE(SUBSTITUTE(SUBSTITUTE(SUBSTITUTE(LOWER(TRIM(I826)),"á","a"),"é","e"),"í","i"),"ó","o"),"ú","u"),"ü","u"),"ñ","n"),"à","a"),"è","e"),"ì","i"),"ò","o"),"ù","u"),"")</f>
        <v/>
      </c>
      <c r="S826" s="25">
        <f>IF(R826="","",IF(OR(R826="si",R826="tal vez"),1,0))</f>
        <v/>
      </c>
      <c r="T826" s="25">
        <f>IF(AND(L826=1,D826&lt;&gt;""),IF(IFERROR(COUNTIFS(D$3:D826,"="&amp;SUBSTITUTE(SUBSTITUTE(SUBSTITUTE(D826,"~","~~"),"*","~*"),"?","~?"),L$3:L826,1),0)=1,MAX(T$2:T825)+1,""),"")</f>
        <v/>
      </c>
      <c r="U826" s="25">
        <f>IF(T826="","",COUNTIFS($D$3:$D$1002,"="&amp;SUBSTITUTE(SUBSTITUTE(SUBSTITUTE(D826,"~","~~"),"*","~*"),"?","~?"),$L$3:$L$1002,1)*10000-T826)</f>
        <v/>
      </c>
      <c r="V826" s="25">
        <f>IF(AND(L826=1,J826&lt;&gt;""),IF(IFERROR(COUNTIFS(J$3:J826,"="&amp;SUBSTITUTE(SUBSTITUTE(SUBSTITUTE(J826,"~","~~"),"*","~*"),"?","~?"),L$3:L826,1),0)=1,MAX(V$2:V825)+1,""),"")</f>
        <v/>
      </c>
      <c r="W826" s="25">
        <f>IF(V826="","",COUNTIFS($J$3:$J$1002,"="&amp;SUBSTITUTE(SUBSTITUTE(SUBSTITUTE(J826,"~","~~"),"*","~*"),"?","~?"),$L$3:$L$1002,1)*10000-V826)</f>
        <v/>
      </c>
    </row>
    <row r="827">
      <c r="A827">
        <f>IF(A$2=0,"",IFERROR(TRIM(INDEX('Pegar estudiantes'!$A$1:$BZ$1001,826,A$2)&amp;""),""))</f>
        <v/>
      </c>
      <c r="B827">
        <f>IF(B$2=0,"",IFERROR(TRIM(INDEX('Pegar estudiantes'!$A$1:$BZ$1001,826,B$2)&amp;""),""))</f>
        <v/>
      </c>
      <c r="C827">
        <f>IF(C$2=0,"",IFERROR(TRIM(INDEX('Pegar estudiantes'!$A$1:$BZ$1001,826,C$2)&amp;""),""))</f>
        <v/>
      </c>
      <c r="D827">
        <f>IF(D$2=0,"",IFERROR(TRIM(INDEX('Pegar estudiantes'!$A$1:$BZ$1001,826,D$2)&amp;""),""))</f>
        <v/>
      </c>
      <c r="E827">
        <f>IF(E$2=0,"",IFERROR(TRIM(INDEX('Pegar estudiantes'!$A$1:$BZ$1001,826,E$2)&amp;""),""))</f>
        <v/>
      </c>
      <c r="F827">
        <f>IF(F$2=0,"",IFERROR(TRIM(INDEX('Pegar estudiantes'!$A$1:$BZ$1001,826,F$2)&amp;""),""))</f>
        <v/>
      </c>
      <c r="G827">
        <f>IF(G$2=0,"",IFERROR(TRIM(INDEX('Pegar estudiantes'!$A$1:$BZ$1001,826,G$2)&amp;""),""))</f>
        <v/>
      </c>
      <c r="H827">
        <f>IF(H$2=0,"",IFERROR(TRIM(INDEX('Pegar estudiantes'!$A$1:$BZ$1001,826,H$2)&amp;""),""))</f>
        <v/>
      </c>
      <c r="I827">
        <f>IF(I$2=0,"",IFERROR(TRIM(INDEX('Pegar estudiantes'!$A$1:$BZ$1001,826,I$2)&amp;""),""))</f>
        <v/>
      </c>
      <c r="J827">
        <f>IF(J$2=0,"",IFERROR(TRIM(INDEX('Pegar estudiantes'!$A$1:$BZ$1001,826,J$2)&amp;""),""))</f>
        <v/>
      </c>
      <c r="K827">
        <f>IF(K$2=0,"",IFERROR(TRIM(INDEX('Pegar estudiantes'!$A$1:$BZ$1001,826,K$2)&amp;""),""))</f>
        <v/>
      </c>
      <c r="L827" s="25">
        <f>IF(A827&lt;&gt;"",1,"")</f>
        <v/>
      </c>
      <c r="M827" s="25">
        <f>IF(L827=1,IF(ISNUMBER(FIND("#"&amp;MID(A827,1,1)&amp;"#","#0#1#2#3#4#5#6#7#8#9#")),IF(ISNUMBER(FIND("#"&amp;MID(A827,2,1)&amp;"#","#0#1#2#3#4#5#6#7#8#9#")),IF(AND(VALUE(LEFT(A827,2))&gt;=1,VALUE(LEFT(A827,2))&lt;=5),VALUE(LEFT(A827,2)),""),IF(AND(VALUE(LEFT(A827,1))&gt;=1,VALUE(LEFT(A827,1))&lt;=5),VALUE(LEFT(A827,1)),"")),""),"")</f>
        <v/>
      </c>
      <c r="N827" s="25">
        <f>IF(L827=1,IF(ISNUMBER(FIND("#"&amp;MID(H827,1,1)&amp;"#","#0#1#2#3#4#5#6#7#8#9#")),IF(ISNUMBER(FIND("#"&amp;MID(H827,2,1)&amp;"#","#0#1#2#3#4#5#6#7#8#9#")),IF(AND(VALUE(LEFT(H827,2))&gt;=1,VALUE(LEFT(H827,2))&lt;=5),VALUE(LEFT(H827,2)),""),IF(AND(VALUE(LEFT(H827,1))&gt;=1,VALUE(LEFT(H827,1))&lt;=5),VALUE(LEFT(H827,1)),"")),""),"")</f>
        <v/>
      </c>
      <c r="O827" s="25">
        <f>IF(AND(L827=1,B827&lt;&gt;""),SUBSTITUTE(SUBSTITUTE(SUBSTITUTE(SUBSTITUTE(SUBSTITUTE(SUBSTITUTE(SUBSTITUTE(SUBSTITUTE(SUBSTITUTE(SUBSTITUTE(SUBSTITUTE(SUBSTITUTE(LOWER(TRIM(B827)),"á","a"),"é","e"),"í","i"),"ó","o"),"ú","u"),"ü","u"),"ñ","n"),"à","a"),"è","e"),"ì","i"),"ò","o"),"ù","u"),"")</f>
        <v/>
      </c>
      <c r="P827" s="25">
        <f>IF(AND(L827=1,C827&lt;&gt;""),SUBSTITUTE(SUBSTITUTE(SUBSTITUTE(SUBSTITUTE(SUBSTITUTE(SUBSTITUTE(SUBSTITUTE(SUBSTITUTE(SUBSTITUTE(SUBSTITUTE(SUBSTITUTE(SUBSTITUTE(LOWER(TRIM(C827)),"á","a"),"é","e"),"í","i"),"ó","o"),"ú","u"),"ü","u"),"ñ","n"),"à","a"),"è","e"),"ì","i"),"ò","o"),"ù","u"),"")</f>
        <v/>
      </c>
      <c r="Q827" s="25">
        <f>IF(AND(L827=1,E827&lt;&gt;""),SUBSTITUTE(SUBSTITUTE(SUBSTITUTE(SUBSTITUTE(SUBSTITUTE(SUBSTITUTE(SUBSTITUTE(SUBSTITUTE(SUBSTITUTE(SUBSTITUTE(SUBSTITUTE(SUBSTITUTE(LOWER(TRIM(E827)),"á","a"),"é","e"),"í","i"),"ó","o"),"ú","u"),"ü","u"),"ñ","n"),"à","a"),"è","e"),"ì","i"),"ò","o"),"ù","u"),"")</f>
        <v/>
      </c>
      <c r="R827" s="25">
        <f>IF(AND(L827=1,I827&lt;&gt;""),SUBSTITUTE(SUBSTITUTE(SUBSTITUTE(SUBSTITUTE(SUBSTITUTE(SUBSTITUTE(SUBSTITUTE(SUBSTITUTE(SUBSTITUTE(SUBSTITUTE(SUBSTITUTE(SUBSTITUTE(LOWER(TRIM(I827)),"á","a"),"é","e"),"í","i"),"ó","o"),"ú","u"),"ü","u"),"ñ","n"),"à","a"),"è","e"),"ì","i"),"ò","o"),"ù","u"),"")</f>
        <v/>
      </c>
      <c r="S827" s="25">
        <f>IF(R827="","",IF(OR(R827="si",R827="tal vez"),1,0))</f>
        <v/>
      </c>
      <c r="T827" s="25">
        <f>IF(AND(L827=1,D827&lt;&gt;""),IF(IFERROR(COUNTIFS(D$3:D827,"="&amp;SUBSTITUTE(SUBSTITUTE(SUBSTITUTE(D827,"~","~~"),"*","~*"),"?","~?"),L$3:L827,1),0)=1,MAX(T$2:T826)+1,""),"")</f>
        <v/>
      </c>
      <c r="U827" s="25">
        <f>IF(T827="","",COUNTIFS($D$3:$D$1002,"="&amp;SUBSTITUTE(SUBSTITUTE(SUBSTITUTE(D827,"~","~~"),"*","~*"),"?","~?"),$L$3:$L$1002,1)*10000-T827)</f>
        <v/>
      </c>
      <c r="V827" s="25">
        <f>IF(AND(L827=1,J827&lt;&gt;""),IF(IFERROR(COUNTIFS(J$3:J827,"="&amp;SUBSTITUTE(SUBSTITUTE(SUBSTITUTE(J827,"~","~~"),"*","~*"),"?","~?"),L$3:L827,1),0)=1,MAX(V$2:V826)+1,""),"")</f>
        <v/>
      </c>
      <c r="W827" s="25">
        <f>IF(V827="","",COUNTIFS($J$3:$J$1002,"="&amp;SUBSTITUTE(SUBSTITUTE(SUBSTITUTE(J827,"~","~~"),"*","~*"),"?","~?"),$L$3:$L$1002,1)*10000-V827)</f>
        <v/>
      </c>
    </row>
    <row r="828">
      <c r="A828">
        <f>IF(A$2=0,"",IFERROR(TRIM(INDEX('Pegar estudiantes'!$A$1:$BZ$1001,827,A$2)&amp;""),""))</f>
        <v/>
      </c>
      <c r="B828">
        <f>IF(B$2=0,"",IFERROR(TRIM(INDEX('Pegar estudiantes'!$A$1:$BZ$1001,827,B$2)&amp;""),""))</f>
        <v/>
      </c>
      <c r="C828">
        <f>IF(C$2=0,"",IFERROR(TRIM(INDEX('Pegar estudiantes'!$A$1:$BZ$1001,827,C$2)&amp;""),""))</f>
        <v/>
      </c>
      <c r="D828">
        <f>IF(D$2=0,"",IFERROR(TRIM(INDEX('Pegar estudiantes'!$A$1:$BZ$1001,827,D$2)&amp;""),""))</f>
        <v/>
      </c>
      <c r="E828">
        <f>IF(E$2=0,"",IFERROR(TRIM(INDEX('Pegar estudiantes'!$A$1:$BZ$1001,827,E$2)&amp;""),""))</f>
        <v/>
      </c>
      <c r="F828">
        <f>IF(F$2=0,"",IFERROR(TRIM(INDEX('Pegar estudiantes'!$A$1:$BZ$1001,827,F$2)&amp;""),""))</f>
        <v/>
      </c>
      <c r="G828">
        <f>IF(G$2=0,"",IFERROR(TRIM(INDEX('Pegar estudiantes'!$A$1:$BZ$1001,827,G$2)&amp;""),""))</f>
        <v/>
      </c>
      <c r="H828">
        <f>IF(H$2=0,"",IFERROR(TRIM(INDEX('Pegar estudiantes'!$A$1:$BZ$1001,827,H$2)&amp;""),""))</f>
        <v/>
      </c>
      <c r="I828">
        <f>IF(I$2=0,"",IFERROR(TRIM(INDEX('Pegar estudiantes'!$A$1:$BZ$1001,827,I$2)&amp;""),""))</f>
        <v/>
      </c>
      <c r="J828">
        <f>IF(J$2=0,"",IFERROR(TRIM(INDEX('Pegar estudiantes'!$A$1:$BZ$1001,827,J$2)&amp;""),""))</f>
        <v/>
      </c>
      <c r="K828">
        <f>IF(K$2=0,"",IFERROR(TRIM(INDEX('Pegar estudiantes'!$A$1:$BZ$1001,827,K$2)&amp;""),""))</f>
        <v/>
      </c>
      <c r="L828" s="25">
        <f>IF(A828&lt;&gt;"",1,"")</f>
        <v/>
      </c>
      <c r="M828" s="25">
        <f>IF(L828=1,IF(ISNUMBER(FIND("#"&amp;MID(A828,1,1)&amp;"#","#0#1#2#3#4#5#6#7#8#9#")),IF(ISNUMBER(FIND("#"&amp;MID(A828,2,1)&amp;"#","#0#1#2#3#4#5#6#7#8#9#")),IF(AND(VALUE(LEFT(A828,2))&gt;=1,VALUE(LEFT(A828,2))&lt;=5),VALUE(LEFT(A828,2)),""),IF(AND(VALUE(LEFT(A828,1))&gt;=1,VALUE(LEFT(A828,1))&lt;=5),VALUE(LEFT(A828,1)),"")),""),"")</f>
        <v/>
      </c>
      <c r="N828" s="25">
        <f>IF(L828=1,IF(ISNUMBER(FIND("#"&amp;MID(H828,1,1)&amp;"#","#0#1#2#3#4#5#6#7#8#9#")),IF(ISNUMBER(FIND("#"&amp;MID(H828,2,1)&amp;"#","#0#1#2#3#4#5#6#7#8#9#")),IF(AND(VALUE(LEFT(H828,2))&gt;=1,VALUE(LEFT(H828,2))&lt;=5),VALUE(LEFT(H828,2)),""),IF(AND(VALUE(LEFT(H828,1))&gt;=1,VALUE(LEFT(H828,1))&lt;=5),VALUE(LEFT(H828,1)),"")),""),"")</f>
        <v/>
      </c>
      <c r="O828" s="25">
        <f>IF(AND(L828=1,B828&lt;&gt;""),SUBSTITUTE(SUBSTITUTE(SUBSTITUTE(SUBSTITUTE(SUBSTITUTE(SUBSTITUTE(SUBSTITUTE(SUBSTITUTE(SUBSTITUTE(SUBSTITUTE(SUBSTITUTE(SUBSTITUTE(LOWER(TRIM(B828)),"á","a"),"é","e"),"í","i"),"ó","o"),"ú","u"),"ü","u"),"ñ","n"),"à","a"),"è","e"),"ì","i"),"ò","o"),"ù","u"),"")</f>
        <v/>
      </c>
      <c r="P828" s="25">
        <f>IF(AND(L828=1,C828&lt;&gt;""),SUBSTITUTE(SUBSTITUTE(SUBSTITUTE(SUBSTITUTE(SUBSTITUTE(SUBSTITUTE(SUBSTITUTE(SUBSTITUTE(SUBSTITUTE(SUBSTITUTE(SUBSTITUTE(SUBSTITUTE(LOWER(TRIM(C828)),"á","a"),"é","e"),"í","i"),"ó","o"),"ú","u"),"ü","u"),"ñ","n"),"à","a"),"è","e"),"ì","i"),"ò","o"),"ù","u"),"")</f>
        <v/>
      </c>
      <c r="Q828" s="25">
        <f>IF(AND(L828=1,E828&lt;&gt;""),SUBSTITUTE(SUBSTITUTE(SUBSTITUTE(SUBSTITUTE(SUBSTITUTE(SUBSTITUTE(SUBSTITUTE(SUBSTITUTE(SUBSTITUTE(SUBSTITUTE(SUBSTITUTE(SUBSTITUTE(LOWER(TRIM(E828)),"á","a"),"é","e"),"í","i"),"ó","o"),"ú","u"),"ü","u"),"ñ","n"),"à","a"),"è","e"),"ì","i"),"ò","o"),"ù","u"),"")</f>
        <v/>
      </c>
      <c r="R828" s="25">
        <f>IF(AND(L828=1,I828&lt;&gt;""),SUBSTITUTE(SUBSTITUTE(SUBSTITUTE(SUBSTITUTE(SUBSTITUTE(SUBSTITUTE(SUBSTITUTE(SUBSTITUTE(SUBSTITUTE(SUBSTITUTE(SUBSTITUTE(SUBSTITUTE(LOWER(TRIM(I828)),"á","a"),"é","e"),"í","i"),"ó","o"),"ú","u"),"ü","u"),"ñ","n"),"à","a"),"è","e"),"ì","i"),"ò","o"),"ù","u"),"")</f>
        <v/>
      </c>
      <c r="S828" s="25">
        <f>IF(R828="","",IF(OR(R828="si",R828="tal vez"),1,0))</f>
        <v/>
      </c>
      <c r="T828" s="25">
        <f>IF(AND(L828=1,D828&lt;&gt;""),IF(IFERROR(COUNTIFS(D$3:D828,"="&amp;SUBSTITUTE(SUBSTITUTE(SUBSTITUTE(D828,"~","~~"),"*","~*"),"?","~?"),L$3:L828,1),0)=1,MAX(T$2:T827)+1,""),"")</f>
        <v/>
      </c>
      <c r="U828" s="25">
        <f>IF(T828="","",COUNTIFS($D$3:$D$1002,"="&amp;SUBSTITUTE(SUBSTITUTE(SUBSTITUTE(D828,"~","~~"),"*","~*"),"?","~?"),$L$3:$L$1002,1)*10000-T828)</f>
        <v/>
      </c>
      <c r="V828" s="25">
        <f>IF(AND(L828=1,J828&lt;&gt;""),IF(IFERROR(COUNTIFS(J$3:J828,"="&amp;SUBSTITUTE(SUBSTITUTE(SUBSTITUTE(J828,"~","~~"),"*","~*"),"?","~?"),L$3:L828,1),0)=1,MAX(V$2:V827)+1,""),"")</f>
        <v/>
      </c>
      <c r="W828" s="25">
        <f>IF(V828="","",COUNTIFS($J$3:$J$1002,"="&amp;SUBSTITUTE(SUBSTITUTE(SUBSTITUTE(J828,"~","~~"),"*","~*"),"?","~?"),$L$3:$L$1002,1)*10000-V828)</f>
        <v/>
      </c>
    </row>
    <row r="829">
      <c r="A829">
        <f>IF(A$2=0,"",IFERROR(TRIM(INDEX('Pegar estudiantes'!$A$1:$BZ$1001,828,A$2)&amp;""),""))</f>
        <v/>
      </c>
      <c r="B829">
        <f>IF(B$2=0,"",IFERROR(TRIM(INDEX('Pegar estudiantes'!$A$1:$BZ$1001,828,B$2)&amp;""),""))</f>
        <v/>
      </c>
      <c r="C829">
        <f>IF(C$2=0,"",IFERROR(TRIM(INDEX('Pegar estudiantes'!$A$1:$BZ$1001,828,C$2)&amp;""),""))</f>
        <v/>
      </c>
      <c r="D829">
        <f>IF(D$2=0,"",IFERROR(TRIM(INDEX('Pegar estudiantes'!$A$1:$BZ$1001,828,D$2)&amp;""),""))</f>
        <v/>
      </c>
      <c r="E829">
        <f>IF(E$2=0,"",IFERROR(TRIM(INDEX('Pegar estudiantes'!$A$1:$BZ$1001,828,E$2)&amp;""),""))</f>
        <v/>
      </c>
      <c r="F829">
        <f>IF(F$2=0,"",IFERROR(TRIM(INDEX('Pegar estudiantes'!$A$1:$BZ$1001,828,F$2)&amp;""),""))</f>
        <v/>
      </c>
      <c r="G829">
        <f>IF(G$2=0,"",IFERROR(TRIM(INDEX('Pegar estudiantes'!$A$1:$BZ$1001,828,G$2)&amp;""),""))</f>
        <v/>
      </c>
      <c r="H829">
        <f>IF(H$2=0,"",IFERROR(TRIM(INDEX('Pegar estudiantes'!$A$1:$BZ$1001,828,H$2)&amp;""),""))</f>
        <v/>
      </c>
      <c r="I829">
        <f>IF(I$2=0,"",IFERROR(TRIM(INDEX('Pegar estudiantes'!$A$1:$BZ$1001,828,I$2)&amp;""),""))</f>
        <v/>
      </c>
      <c r="J829">
        <f>IF(J$2=0,"",IFERROR(TRIM(INDEX('Pegar estudiantes'!$A$1:$BZ$1001,828,J$2)&amp;""),""))</f>
        <v/>
      </c>
      <c r="K829">
        <f>IF(K$2=0,"",IFERROR(TRIM(INDEX('Pegar estudiantes'!$A$1:$BZ$1001,828,K$2)&amp;""),""))</f>
        <v/>
      </c>
      <c r="L829" s="25">
        <f>IF(A829&lt;&gt;"",1,"")</f>
        <v/>
      </c>
      <c r="M829" s="25">
        <f>IF(L829=1,IF(ISNUMBER(FIND("#"&amp;MID(A829,1,1)&amp;"#","#0#1#2#3#4#5#6#7#8#9#")),IF(ISNUMBER(FIND("#"&amp;MID(A829,2,1)&amp;"#","#0#1#2#3#4#5#6#7#8#9#")),IF(AND(VALUE(LEFT(A829,2))&gt;=1,VALUE(LEFT(A829,2))&lt;=5),VALUE(LEFT(A829,2)),""),IF(AND(VALUE(LEFT(A829,1))&gt;=1,VALUE(LEFT(A829,1))&lt;=5),VALUE(LEFT(A829,1)),"")),""),"")</f>
        <v/>
      </c>
      <c r="N829" s="25">
        <f>IF(L829=1,IF(ISNUMBER(FIND("#"&amp;MID(H829,1,1)&amp;"#","#0#1#2#3#4#5#6#7#8#9#")),IF(ISNUMBER(FIND("#"&amp;MID(H829,2,1)&amp;"#","#0#1#2#3#4#5#6#7#8#9#")),IF(AND(VALUE(LEFT(H829,2))&gt;=1,VALUE(LEFT(H829,2))&lt;=5),VALUE(LEFT(H829,2)),""),IF(AND(VALUE(LEFT(H829,1))&gt;=1,VALUE(LEFT(H829,1))&lt;=5),VALUE(LEFT(H829,1)),"")),""),"")</f>
        <v/>
      </c>
      <c r="O829" s="25">
        <f>IF(AND(L829=1,B829&lt;&gt;""),SUBSTITUTE(SUBSTITUTE(SUBSTITUTE(SUBSTITUTE(SUBSTITUTE(SUBSTITUTE(SUBSTITUTE(SUBSTITUTE(SUBSTITUTE(SUBSTITUTE(SUBSTITUTE(SUBSTITUTE(LOWER(TRIM(B829)),"á","a"),"é","e"),"í","i"),"ó","o"),"ú","u"),"ü","u"),"ñ","n"),"à","a"),"è","e"),"ì","i"),"ò","o"),"ù","u"),"")</f>
        <v/>
      </c>
      <c r="P829" s="25">
        <f>IF(AND(L829=1,C829&lt;&gt;""),SUBSTITUTE(SUBSTITUTE(SUBSTITUTE(SUBSTITUTE(SUBSTITUTE(SUBSTITUTE(SUBSTITUTE(SUBSTITUTE(SUBSTITUTE(SUBSTITUTE(SUBSTITUTE(SUBSTITUTE(LOWER(TRIM(C829)),"á","a"),"é","e"),"í","i"),"ó","o"),"ú","u"),"ü","u"),"ñ","n"),"à","a"),"è","e"),"ì","i"),"ò","o"),"ù","u"),"")</f>
        <v/>
      </c>
      <c r="Q829" s="25">
        <f>IF(AND(L829=1,E829&lt;&gt;""),SUBSTITUTE(SUBSTITUTE(SUBSTITUTE(SUBSTITUTE(SUBSTITUTE(SUBSTITUTE(SUBSTITUTE(SUBSTITUTE(SUBSTITUTE(SUBSTITUTE(SUBSTITUTE(SUBSTITUTE(LOWER(TRIM(E829)),"á","a"),"é","e"),"í","i"),"ó","o"),"ú","u"),"ü","u"),"ñ","n"),"à","a"),"è","e"),"ì","i"),"ò","o"),"ù","u"),"")</f>
        <v/>
      </c>
      <c r="R829" s="25">
        <f>IF(AND(L829=1,I829&lt;&gt;""),SUBSTITUTE(SUBSTITUTE(SUBSTITUTE(SUBSTITUTE(SUBSTITUTE(SUBSTITUTE(SUBSTITUTE(SUBSTITUTE(SUBSTITUTE(SUBSTITUTE(SUBSTITUTE(SUBSTITUTE(LOWER(TRIM(I829)),"á","a"),"é","e"),"í","i"),"ó","o"),"ú","u"),"ü","u"),"ñ","n"),"à","a"),"è","e"),"ì","i"),"ò","o"),"ù","u"),"")</f>
        <v/>
      </c>
      <c r="S829" s="25">
        <f>IF(R829="","",IF(OR(R829="si",R829="tal vez"),1,0))</f>
        <v/>
      </c>
      <c r="T829" s="25">
        <f>IF(AND(L829=1,D829&lt;&gt;""),IF(IFERROR(COUNTIFS(D$3:D829,"="&amp;SUBSTITUTE(SUBSTITUTE(SUBSTITUTE(D829,"~","~~"),"*","~*"),"?","~?"),L$3:L829,1),0)=1,MAX(T$2:T828)+1,""),"")</f>
        <v/>
      </c>
      <c r="U829" s="25">
        <f>IF(T829="","",COUNTIFS($D$3:$D$1002,"="&amp;SUBSTITUTE(SUBSTITUTE(SUBSTITUTE(D829,"~","~~"),"*","~*"),"?","~?"),$L$3:$L$1002,1)*10000-T829)</f>
        <v/>
      </c>
      <c r="V829" s="25">
        <f>IF(AND(L829=1,J829&lt;&gt;""),IF(IFERROR(COUNTIFS(J$3:J829,"="&amp;SUBSTITUTE(SUBSTITUTE(SUBSTITUTE(J829,"~","~~"),"*","~*"),"?","~?"),L$3:L829,1),0)=1,MAX(V$2:V828)+1,""),"")</f>
        <v/>
      </c>
      <c r="W829" s="25">
        <f>IF(V829="","",COUNTIFS($J$3:$J$1002,"="&amp;SUBSTITUTE(SUBSTITUTE(SUBSTITUTE(J829,"~","~~"),"*","~*"),"?","~?"),$L$3:$L$1002,1)*10000-V829)</f>
        <v/>
      </c>
    </row>
    <row r="830">
      <c r="A830">
        <f>IF(A$2=0,"",IFERROR(TRIM(INDEX('Pegar estudiantes'!$A$1:$BZ$1001,829,A$2)&amp;""),""))</f>
        <v/>
      </c>
      <c r="B830">
        <f>IF(B$2=0,"",IFERROR(TRIM(INDEX('Pegar estudiantes'!$A$1:$BZ$1001,829,B$2)&amp;""),""))</f>
        <v/>
      </c>
      <c r="C830">
        <f>IF(C$2=0,"",IFERROR(TRIM(INDEX('Pegar estudiantes'!$A$1:$BZ$1001,829,C$2)&amp;""),""))</f>
        <v/>
      </c>
      <c r="D830">
        <f>IF(D$2=0,"",IFERROR(TRIM(INDEX('Pegar estudiantes'!$A$1:$BZ$1001,829,D$2)&amp;""),""))</f>
        <v/>
      </c>
      <c r="E830">
        <f>IF(E$2=0,"",IFERROR(TRIM(INDEX('Pegar estudiantes'!$A$1:$BZ$1001,829,E$2)&amp;""),""))</f>
        <v/>
      </c>
      <c r="F830">
        <f>IF(F$2=0,"",IFERROR(TRIM(INDEX('Pegar estudiantes'!$A$1:$BZ$1001,829,F$2)&amp;""),""))</f>
        <v/>
      </c>
      <c r="G830">
        <f>IF(G$2=0,"",IFERROR(TRIM(INDEX('Pegar estudiantes'!$A$1:$BZ$1001,829,G$2)&amp;""),""))</f>
        <v/>
      </c>
      <c r="H830">
        <f>IF(H$2=0,"",IFERROR(TRIM(INDEX('Pegar estudiantes'!$A$1:$BZ$1001,829,H$2)&amp;""),""))</f>
        <v/>
      </c>
      <c r="I830">
        <f>IF(I$2=0,"",IFERROR(TRIM(INDEX('Pegar estudiantes'!$A$1:$BZ$1001,829,I$2)&amp;""),""))</f>
        <v/>
      </c>
      <c r="J830">
        <f>IF(J$2=0,"",IFERROR(TRIM(INDEX('Pegar estudiantes'!$A$1:$BZ$1001,829,J$2)&amp;""),""))</f>
        <v/>
      </c>
      <c r="K830">
        <f>IF(K$2=0,"",IFERROR(TRIM(INDEX('Pegar estudiantes'!$A$1:$BZ$1001,829,K$2)&amp;""),""))</f>
        <v/>
      </c>
      <c r="L830" s="25">
        <f>IF(A830&lt;&gt;"",1,"")</f>
        <v/>
      </c>
      <c r="M830" s="25">
        <f>IF(L830=1,IF(ISNUMBER(FIND("#"&amp;MID(A830,1,1)&amp;"#","#0#1#2#3#4#5#6#7#8#9#")),IF(ISNUMBER(FIND("#"&amp;MID(A830,2,1)&amp;"#","#0#1#2#3#4#5#6#7#8#9#")),IF(AND(VALUE(LEFT(A830,2))&gt;=1,VALUE(LEFT(A830,2))&lt;=5),VALUE(LEFT(A830,2)),""),IF(AND(VALUE(LEFT(A830,1))&gt;=1,VALUE(LEFT(A830,1))&lt;=5),VALUE(LEFT(A830,1)),"")),""),"")</f>
        <v/>
      </c>
      <c r="N830" s="25">
        <f>IF(L830=1,IF(ISNUMBER(FIND("#"&amp;MID(H830,1,1)&amp;"#","#0#1#2#3#4#5#6#7#8#9#")),IF(ISNUMBER(FIND("#"&amp;MID(H830,2,1)&amp;"#","#0#1#2#3#4#5#6#7#8#9#")),IF(AND(VALUE(LEFT(H830,2))&gt;=1,VALUE(LEFT(H830,2))&lt;=5),VALUE(LEFT(H830,2)),""),IF(AND(VALUE(LEFT(H830,1))&gt;=1,VALUE(LEFT(H830,1))&lt;=5),VALUE(LEFT(H830,1)),"")),""),"")</f>
        <v/>
      </c>
      <c r="O830" s="25">
        <f>IF(AND(L830=1,B830&lt;&gt;""),SUBSTITUTE(SUBSTITUTE(SUBSTITUTE(SUBSTITUTE(SUBSTITUTE(SUBSTITUTE(SUBSTITUTE(SUBSTITUTE(SUBSTITUTE(SUBSTITUTE(SUBSTITUTE(SUBSTITUTE(LOWER(TRIM(B830)),"á","a"),"é","e"),"í","i"),"ó","o"),"ú","u"),"ü","u"),"ñ","n"),"à","a"),"è","e"),"ì","i"),"ò","o"),"ù","u"),"")</f>
        <v/>
      </c>
      <c r="P830" s="25">
        <f>IF(AND(L830=1,C830&lt;&gt;""),SUBSTITUTE(SUBSTITUTE(SUBSTITUTE(SUBSTITUTE(SUBSTITUTE(SUBSTITUTE(SUBSTITUTE(SUBSTITUTE(SUBSTITUTE(SUBSTITUTE(SUBSTITUTE(SUBSTITUTE(LOWER(TRIM(C830)),"á","a"),"é","e"),"í","i"),"ó","o"),"ú","u"),"ü","u"),"ñ","n"),"à","a"),"è","e"),"ì","i"),"ò","o"),"ù","u"),"")</f>
        <v/>
      </c>
      <c r="Q830" s="25">
        <f>IF(AND(L830=1,E830&lt;&gt;""),SUBSTITUTE(SUBSTITUTE(SUBSTITUTE(SUBSTITUTE(SUBSTITUTE(SUBSTITUTE(SUBSTITUTE(SUBSTITUTE(SUBSTITUTE(SUBSTITUTE(SUBSTITUTE(SUBSTITUTE(LOWER(TRIM(E830)),"á","a"),"é","e"),"í","i"),"ó","o"),"ú","u"),"ü","u"),"ñ","n"),"à","a"),"è","e"),"ì","i"),"ò","o"),"ù","u"),"")</f>
        <v/>
      </c>
      <c r="R830" s="25">
        <f>IF(AND(L830=1,I830&lt;&gt;""),SUBSTITUTE(SUBSTITUTE(SUBSTITUTE(SUBSTITUTE(SUBSTITUTE(SUBSTITUTE(SUBSTITUTE(SUBSTITUTE(SUBSTITUTE(SUBSTITUTE(SUBSTITUTE(SUBSTITUTE(LOWER(TRIM(I830)),"á","a"),"é","e"),"í","i"),"ó","o"),"ú","u"),"ü","u"),"ñ","n"),"à","a"),"è","e"),"ì","i"),"ò","o"),"ù","u"),"")</f>
        <v/>
      </c>
      <c r="S830" s="25">
        <f>IF(R830="","",IF(OR(R830="si",R830="tal vez"),1,0))</f>
        <v/>
      </c>
      <c r="T830" s="25">
        <f>IF(AND(L830=1,D830&lt;&gt;""),IF(IFERROR(COUNTIFS(D$3:D830,"="&amp;SUBSTITUTE(SUBSTITUTE(SUBSTITUTE(D830,"~","~~"),"*","~*"),"?","~?"),L$3:L830,1),0)=1,MAX(T$2:T829)+1,""),"")</f>
        <v/>
      </c>
      <c r="U830" s="25">
        <f>IF(T830="","",COUNTIFS($D$3:$D$1002,"="&amp;SUBSTITUTE(SUBSTITUTE(SUBSTITUTE(D830,"~","~~"),"*","~*"),"?","~?"),$L$3:$L$1002,1)*10000-T830)</f>
        <v/>
      </c>
      <c r="V830" s="25">
        <f>IF(AND(L830=1,J830&lt;&gt;""),IF(IFERROR(COUNTIFS(J$3:J830,"="&amp;SUBSTITUTE(SUBSTITUTE(SUBSTITUTE(J830,"~","~~"),"*","~*"),"?","~?"),L$3:L830,1),0)=1,MAX(V$2:V829)+1,""),"")</f>
        <v/>
      </c>
      <c r="W830" s="25">
        <f>IF(V830="","",COUNTIFS($J$3:$J$1002,"="&amp;SUBSTITUTE(SUBSTITUTE(SUBSTITUTE(J830,"~","~~"),"*","~*"),"?","~?"),$L$3:$L$1002,1)*10000-V830)</f>
        <v/>
      </c>
    </row>
    <row r="831">
      <c r="A831">
        <f>IF(A$2=0,"",IFERROR(TRIM(INDEX('Pegar estudiantes'!$A$1:$BZ$1001,830,A$2)&amp;""),""))</f>
        <v/>
      </c>
      <c r="B831">
        <f>IF(B$2=0,"",IFERROR(TRIM(INDEX('Pegar estudiantes'!$A$1:$BZ$1001,830,B$2)&amp;""),""))</f>
        <v/>
      </c>
      <c r="C831">
        <f>IF(C$2=0,"",IFERROR(TRIM(INDEX('Pegar estudiantes'!$A$1:$BZ$1001,830,C$2)&amp;""),""))</f>
        <v/>
      </c>
      <c r="D831">
        <f>IF(D$2=0,"",IFERROR(TRIM(INDEX('Pegar estudiantes'!$A$1:$BZ$1001,830,D$2)&amp;""),""))</f>
        <v/>
      </c>
      <c r="E831">
        <f>IF(E$2=0,"",IFERROR(TRIM(INDEX('Pegar estudiantes'!$A$1:$BZ$1001,830,E$2)&amp;""),""))</f>
        <v/>
      </c>
      <c r="F831">
        <f>IF(F$2=0,"",IFERROR(TRIM(INDEX('Pegar estudiantes'!$A$1:$BZ$1001,830,F$2)&amp;""),""))</f>
        <v/>
      </c>
      <c r="G831">
        <f>IF(G$2=0,"",IFERROR(TRIM(INDEX('Pegar estudiantes'!$A$1:$BZ$1001,830,G$2)&amp;""),""))</f>
        <v/>
      </c>
      <c r="H831">
        <f>IF(H$2=0,"",IFERROR(TRIM(INDEX('Pegar estudiantes'!$A$1:$BZ$1001,830,H$2)&amp;""),""))</f>
        <v/>
      </c>
      <c r="I831">
        <f>IF(I$2=0,"",IFERROR(TRIM(INDEX('Pegar estudiantes'!$A$1:$BZ$1001,830,I$2)&amp;""),""))</f>
        <v/>
      </c>
      <c r="J831">
        <f>IF(J$2=0,"",IFERROR(TRIM(INDEX('Pegar estudiantes'!$A$1:$BZ$1001,830,J$2)&amp;""),""))</f>
        <v/>
      </c>
      <c r="K831">
        <f>IF(K$2=0,"",IFERROR(TRIM(INDEX('Pegar estudiantes'!$A$1:$BZ$1001,830,K$2)&amp;""),""))</f>
        <v/>
      </c>
      <c r="L831" s="25">
        <f>IF(A831&lt;&gt;"",1,"")</f>
        <v/>
      </c>
      <c r="M831" s="25">
        <f>IF(L831=1,IF(ISNUMBER(FIND("#"&amp;MID(A831,1,1)&amp;"#","#0#1#2#3#4#5#6#7#8#9#")),IF(ISNUMBER(FIND("#"&amp;MID(A831,2,1)&amp;"#","#0#1#2#3#4#5#6#7#8#9#")),IF(AND(VALUE(LEFT(A831,2))&gt;=1,VALUE(LEFT(A831,2))&lt;=5),VALUE(LEFT(A831,2)),""),IF(AND(VALUE(LEFT(A831,1))&gt;=1,VALUE(LEFT(A831,1))&lt;=5),VALUE(LEFT(A831,1)),"")),""),"")</f>
        <v/>
      </c>
      <c r="N831" s="25">
        <f>IF(L831=1,IF(ISNUMBER(FIND("#"&amp;MID(H831,1,1)&amp;"#","#0#1#2#3#4#5#6#7#8#9#")),IF(ISNUMBER(FIND("#"&amp;MID(H831,2,1)&amp;"#","#0#1#2#3#4#5#6#7#8#9#")),IF(AND(VALUE(LEFT(H831,2))&gt;=1,VALUE(LEFT(H831,2))&lt;=5),VALUE(LEFT(H831,2)),""),IF(AND(VALUE(LEFT(H831,1))&gt;=1,VALUE(LEFT(H831,1))&lt;=5),VALUE(LEFT(H831,1)),"")),""),"")</f>
        <v/>
      </c>
      <c r="O831" s="25">
        <f>IF(AND(L831=1,B831&lt;&gt;""),SUBSTITUTE(SUBSTITUTE(SUBSTITUTE(SUBSTITUTE(SUBSTITUTE(SUBSTITUTE(SUBSTITUTE(SUBSTITUTE(SUBSTITUTE(SUBSTITUTE(SUBSTITUTE(SUBSTITUTE(LOWER(TRIM(B831)),"á","a"),"é","e"),"í","i"),"ó","o"),"ú","u"),"ü","u"),"ñ","n"),"à","a"),"è","e"),"ì","i"),"ò","o"),"ù","u"),"")</f>
        <v/>
      </c>
      <c r="P831" s="25">
        <f>IF(AND(L831=1,C831&lt;&gt;""),SUBSTITUTE(SUBSTITUTE(SUBSTITUTE(SUBSTITUTE(SUBSTITUTE(SUBSTITUTE(SUBSTITUTE(SUBSTITUTE(SUBSTITUTE(SUBSTITUTE(SUBSTITUTE(SUBSTITUTE(LOWER(TRIM(C831)),"á","a"),"é","e"),"í","i"),"ó","o"),"ú","u"),"ü","u"),"ñ","n"),"à","a"),"è","e"),"ì","i"),"ò","o"),"ù","u"),"")</f>
        <v/>
      </c>
      <c r="Q831" s="25">
        <f>IF(AND(L831=1,E831&lt;&gt;""),SUBSTITUTE(SUBSTITUTE(SUBSTITUTE(SUBSTITUTE(SUBSTITUTE(SUBSTITUTE(SUBSTITUTE(SUBSTITUTE(SUBSTITUTE(SUBSTITUTE(SUBSTITUTE(SUBSTITUTE(LOWER(TRIM(E831)),"á","a"),"é","e"),"í","i"),"ó","o"),"ú","u"),"ü","u"),"ñ","n"),"à","a"),"è","e"),"ì","i"),"ò","o"),"ù","u"),"")</f>
        <v/>
      </c>
      <c r="R831" s="25">
        <f>IF(AND(L831=1,I831&lt;&gt;""),SUBSTITUTE(SUBSTITUTE(SUBSTITUTE(SUBSTITUTE(SUBSTITUTE(SUBSTITUTE(SUBSTITUTE(SUBSTITUTE(SUBSTITUTE(SUBSTITUTE(SUBSTITUTE(SUBSTITUTE(LOWER(TRIM(I831)),"á","a"),"é","e"),"í","i"),"ó","o"),"ú","u"),"ü","u"),"ñ","n"),"à","a"),"è","e"),"ì","i"),"ò","o"),"ù","u"),"")</f>
        <v/>
      </c>
      <c r="S831" s="25">
        <f>IF(R831="","",IF(OR(R831="si",R831="tal vez"),1,0))</f>
        <v/>
      </c>
      <c r="T831" s="25">
        <f>IF(AND(L831=1,D831&lt;&gt;""),IF(IFERROR(COUNTIFS(D$3:D831,"="&amp;SUBSTITUTE(SUBSTITUTE(SUBSTITUTE(D831,"~","~~"),"*","~*"),"?","~?"),L$3:L831,1),0)=1,MAX(T$2:T830)+1,""),"")</f>
        <v/>
      </c>
      <c r="U831" s="25">
        <f>IF(T831="","",COUNTIFS($D$3:$D$1002,"="&amp;SUBSTITUTE(SUBSTITUTE(SUBSTITUTE(D831,"~","~~"),"*","~*"),"?","~?"),$L$3:$L$1002,1)*10000-T831)</f>
        <v/>
      </c>
      <c r="V831" s="25">
        <f>IF(AND(L831=1,J831&lt;&gt;""),IF(IFERROR(COUNTIFS(J$3:J831,"="&amp;SUBSTITUTE(SUBSTITUTE(SUBSTITUTE(J831,"~","~~"),"*","~*"),"?","~?"),L$3:L831,1),0)=1,MAX(V$2:V830)+1,""),"")</f>
        <v/>
      </c>
      <c r="W831" s="25">
        <f>IF(V831="","",COUNTIFS($J$3:$J$1002,"="&amp;SUBSTITUTE(SUBSTITUTE(SUBSTITUTE(J831,"~","~~"),"*","~*"),"?","~?"),$L$3:$L$1002,1)*10000-V831)</f>
        <v/>
      </c>
    </row>
    <row r="832">
      <c r="A832">
        <f>IF(A$2=0,"",IFERROR(TRIM(INDEX('Pegar estudiantes'!$A$1:$BZ$1001,831,A$2)&amp;""),""))</f>
        <v/>
      </c>
      <c r="B832">
        <f>IF(B$2=0,"",IFERROR(TRIM(INDEX('Pegar estudiantes'!$A$1:$BZ$1001,831,B$2)&amp;""),""))</f>
        <v/>
      </c>
      <c r="C832">
        <f>IF(C$2=0,"",IFERROR(TRIM(INDEX('Pegar estudiantes'!$A$1:$BZ$1001,831,C$2)&amp;""),""))</f>
        <v/>
      </c>
      <c r="D832">
        <f>IF(D$2=0,"",IFERROR(TRIM(INDEX('Pegar estudiantes'!$A$1:$BZ$1001,831,D$2)&amp;""),""))</f>
        <v/>
      </c>
      <c r="E832">
        <f>IF(E$2=0,"",IFERROR(TRIM(INDEX('Pegar estudiantes'!$A$1:$BZ$1001,831,E$2)&amp;""),""))</f>
        <v/>
      </c>
      <c r="F832">
        <f>IF(F$2=0,"",IFERROR(TRIM(INDEX('Pegar estudiantes'!$A$1:$BZ$1001,831,F$2)&amp;""),""))</f>
        <v/>
      </c>
      <c r="G832">
        <f>IF(G$2=0,"",IFERROR(TRIM(INDEX('Pegar estudiantes'!$A$1:$BZ$1001,831,G$2)&amp;""),""))</f>
        <v/>
      </c>
      <c r="H832">
        <f>IF(H$2=0,"",IFERROR(TRIM(INDEX('Pegar estudiantes'!$A$1:$BZ$1001,831,H$2)&amp;""),""))</f>
        <v/>
      </c>
      <c r="I832">
        <f>IF(I$2=0,"",IFERROR(TRIM(INDEX('Pegar estudiantes'!$A$1:$BZ$1001,831,I$2)&amp;""),""))</f>
        <v/>
      </c>
      <c r="J832">
        <f>IF(J$2=0,"",IFERROR(TRIM(INDEX('Pegar estudiantes'!$A$1:$BZ$1001,831,J$2)&amp;""),""))</f>
        <v/>
      </c>
      <c r="K832">
        <f>IF(K$2=0,"",IFERROR(TRIM(INDEX('Pegar estudiantes'!$A$1:$BZ$1001,831,K$2)&amp;""),""))</f>
        <v/>
      </c>
      <c r="L832" s="25">
        <f>IF(A832&lt;&gt;"",1,"")</f>
        <v/>
      </c>
      <c r="M832" s="25">
        <f>IF(L832=1,IF(ISNUMBER(FIND("#"&amp;MID(A832,1,1)&amp;"#","#0#1#2#3#4#5#6#7#8#9#")),IF(ISNUMBER(FIND("#"&amp;MID(A832,2,1)&amp;"#","#0#1#2#3#4#5#6#7#8#9#")),IF(AND(VALUE(LEFT(A832,2))&gt;=1,VALUE(LEFT(A832,2))&lt;=5),VALUE(LEFT(A832,2)),""),IF(AND(VALUE(LEFT(A832,1))&gt;=1,VALUE(LEFT(A832,1))&lt;=5),VALUE(LEFT(A832,1)),"")),""),"")</f>
        <v/>
      </c>
      <c r="N832" s="25">
        <f>IF(L832=1,IF(ISNUMBER(FIND("#"&amp;MID(H832,1,1)&amp;"#","#0#1#2#3#4#5#6#7#8#9#")),IF(ISNUMBER(FIND("#"&amp;MID(H832,2,1)&amp;"#","#0#1#2#3#4#5#6#7#8#9#")),IF(AND(VALUE(LEFT(H832,2))&gt;=1,VALUE(LEFT(H832,2))&lt;=5),VALUE(LEFT(H832,2)),""),IF(AND(VALUE(LEFT(H832,1))&gt;=1,VALUE(LEFT(H832,1))&lt;=5),VALUE(LEFT(H832,1)),"")),""),"")</f>
        <v/>
      </c>
      <c r="O832" s="25">
        <f>IF(AND(L832=1,B832&lt;&gt;""),SUBSTITUTE(SUBSTITUTE(SUBSTITUTE(SUBSTITUTE(SUBSTITUTE(SUBSTITUTE(SUBSTITUTE(SUBSTITUTE(SUBSTITUTE(SUBSTITUTE(SUBSTITUTE(SUBSTITUTE(LOWER(TRIM(B832)),"á","a"),"é","e"),"í","i"),"ó","o"),"ú","u"),"ü","u"),"ñ","n"),"à","a"),"è","e"),"ì","i"),"ò","o"),"ù","u"),"")</f>
        <v/>
      </c>
      <c r="P832" s="25">
        <f>IF(AND(L832=1,C832&lt;&gt;""),SUBSTITUTE(SUBSTITUTE(SUBSTITUTE(SUBSTITUTE(SUBSTITUTE(SUBSTITUTE(SUBSTITUTE(SUBSTITUTE(SUBSTITUTE(SUBSTITUTE(SUBSTITUTE(SUBSTITUTE(LOWER(TRIM(C832)),"á","a"),"é","e"),"í","i"),"ó","o"),"ú","u"),"ü","u"),"ñ","n"),"à","a"),"è","e"),"ì","i"),"ò","o"),"ù","u"),"")</f>
        <v/>
      </c>
      <c r="Q832" s="25">
        <f>IF(AND(L832=1,E832&lt;&gt;""),SUBSTITUTE(SUBSTITUTE(SUBSTITUTE(SUBSTITUTE(SUBSTITUTE(SUBSTITUTE(SUBSTITUTE(SUBSTITUTE(SUBSTITUTE(SUBSTITUTE(SUBSTITUTE(SUBSTITUTE(LOWER(TRIM(E832)),"á","a"),"é","e"),"í","i"),"ó","o"),"ú","u"),"ü","u"),"ñ","n"),"à","a"),"è","e"),"ì","i"),"ò","o"),"ù","u"),"")</f>
        <v/>
      </c>
      <c r="R832" s="25">
        <f>IF(AND(L832=1,I832&lt;&gt;""),SUBSTITUTE(SUBSTITUTE(SUBSTITUTE(SUBSTITUTE(SUBSTITUTE(SUBSTITUTE(SUBSTITUTE(SUBSTITUTE(SUBSTITUTE(SUBSTITUTE(SUBSTITUTE(SUBSTITUTE(LOWER(TRIM(I832)),"á","a"),"é","e"),"í","i"),"ó","o"),"ú","u"),"ü","u"),"ñ","n"),"à","a"),"è","e"),"ì","i"),"ò","o"),"ù","u"),"")</f>
        <v/>
      </c>
      <c r="S832" s="25">
        <f>IF(R832="","",IF(OR(R832="si",R832="tal vez"),1,0))</f>
        <v/>
      </c>
      <c r="T832" s="25">
        <f>IF(AND(L832=1,D832&lt;&gt;""),IF(IFERROR(COUNTIFS(D$3:D832,"="&amp;SUBSTITUTE(SUBSTITUTE(SUBSTITUTE(D832,"~","~~"),"*","~*"),"?","~?"),L$3:L832,1),0)=1,MAX(T$2:T831)+1,""),"")</f>
        <v/>
      </c>
      <c r="U832" s="25">
        <f>IF(T832="","",COUNTIFS($D$3:$D$1002,"="&amp;SUBSTITUTE(SUBSTITUTE(SUBSTITUTE(D832,"~","~~"),"*","~*"),"?","~?"),$L$3:$L$1002,1)*10000-T832)</f>
        <v/>
      </c>
      <c r="V832" s="25">
        <f>IF(AND(L832=1,J832&lt;&gt;""),IF(IFERROR(COUNTIFS(J$3:J832,"="&amp;SUBSTITUTE(SUBSTITUTE(SUBSTITUTE(J832,"~","~~"),"*","~*"),"?","~?"),L$3:L832,1),0)=1,MAX(V$2:V831)+1,""),"")</f>
        <v/>
      </c>
      <c r="W832" s="25">
        <f>IF(V832="","",COUNTIFS($J$3:$J$1002,"="&amp;SUBSTITUTE(SUBSTITUTE(SUBSTITUTE(J832,"~","~~"),"*","~*"),"?","~?"),$L$3:$L$1002,1)*10000-V832)</f>
        <v/>
      </c>
    </row>
    <row r="833">
      <c r="A833">
        <f>IF(A$2=0,"",IFERROR(TRIM(INDEX('Pegar estudiantes'!$A$1:$BZ$1001,832,A$2)&amp;""),""))</f>
        <v/>
      </c>
      <c r="B833">
        <f>IF(B$2=0,"",IFERROR(TRIM(INDEX('Pegar estudiantes'!$A$1:$BZ$1001,832,B$2)&amp;""),""))</f>
        <v/>
      </c>
      <c r="C833">
        <f>IF(C$2=0,"",IFERROR(TRIM(INDEX('Pegar estudiantes'!$A$1:$BZ$1001,832,C$2)&amp;""),""))</f>
        <v/>
      </c>
      <c r="D833">
        <f>IF(D$2=0,"",IFERROR(TRIM(INDEX('Pegar estudiantes'!$A$1:$BZ$1001,832,D$2)&amp;""),""))</f>
        <v/>
      </c>
      <c r="E833">
        <f>IF(E$2=0,"",IFERROR(TRIM(INDEX('Pegar estudiantes'!$A$1:$BZ$1001,832,E$2)&amp;""),""))</f>
        <v/>
      </c>
      <c r="F833">
        <f>IF(F$2=0,"",IFERROR(TRIM(INDEX('Pegar estudiantes'!$A$1:$BZ$1001,832,F$2)&amp;""),""))</f>
        <v/>
      </c>
      <c r="G833">
        <f>IF(G$2=0,"",IFERROR(TRIM(INDEX('Pegar estudiantes'!$A$1:$BZ$1001,832,G$2)&amp;""),""))</f>
        <v/>
      </c>
      <c r="H833">
        <f>IF(H$2=0,"",IFERROR(TRIM(INDEX('Pegar estudiantes'!$A$1:$BZ$1001,832,H$2)&amp;""),""))</f>
        <v/>
      </c>
      <c r="I833">
        <f>IF(I$2=0,"",IFERROR(TRIM(INDEX('Pegar estudiantes'!$A$1:$BZ$1001,832,I$2)&amp;""),""))</f>
        <v/>
      </c>
      <c r="J833">
        <f>IF(J$2=0,"",IFERROR(TRIM(INDEX('Pegar estudiantes'!$A$1:$BZ$1001,832,J$2)&amp;""),""))</f>
        <v/>
      </c>
      <c r="K833">
        <f>IF(K$2=0,"",IFERROR(TRIM(INDEX('Pegar estudiantes'!$A$1:$BZ$1001,832,K$2)&amp;""),""))</f>
        <v/>
      </c>
      <c r="L833" s="25">
        <f>IF(A833&lt;&gt;"",1,"")</f>
        <v/>
      </c>
      <c r="M833" s="25">
        <f>IF(L833=1,IF(ISNUMBER(FIND("#"&amp;MID(A833,1,1)&amp;"#","#0#1#2#3#4#5#6#7#8#9#")),IF(ISNUMBER(FIND("#"&amp;MID(A833,2,1)&amp;"#","#0#1#2#3#4#5#6#7#8#9#")),IF(AND(VALUE(LEFT(A833,2))&gt;=1,VALUE(LEFT(A833,2))&lt;=5),VALUE(LEFT(A833,2)),""),IF(AND(VALUE(LEFT(A833,1))&gt;=1,VALUE(LEFT(A833,1))&lt;=5),VALUE(LEFT(A833,1)),"")),""),"")</f>
        <v/>
      </c>
      <c r="N833" s="25">
        <f>IF(L833=1,IF(ISNUMBER(FIND("#"&amp;MID(H833,1,1)&amp;"#","#0#1#2#3#4#5#6#7#8#9#")),IF(ISNUMBER(FIND("#"&amp;MID(H833,2,1)&amp;"#","#0#1#2#3#4#5#6#7#8#9#")),IF(AND(VALUE(LEFT(H833,2))&gt;=1,VALUE(LEFT(H833,2))&lt;=5),VALUE(LEFT(H833,2)),""),IF(AND(VALUE(LEFT(H833,1))&gt;=1,VALUE(LEFT(H833,1))&lt;=5),VALUE(LEFT(H833,1)),"")),""),"")</f>
        <v/>
      </c>
      <c r="O833" s="25">
        <f>IF(AND(L833=1,B833&lt;&gt;""),SUBSTITUTE(SUBSTITUTE(SUBSTITUTE(SUBSTITUTE(SUBSTITUTE(SUBSTITUTE(SUBSTITUTE(SUBSTITUTE(SUBSTITUTE(SUBSTITUTE(SUBSTITUTE(SUBSTITUTE(LOWER(TRIM(B833)),"á","a"),"é","e"),"í","i"),"ó","o"),"ú","u"),"ü","u"),"ñ","n"),"à","a"),"è","e"),"ì","i"),"ò","o"),"ù","u"),"")</f>
        <v/>
      </c>
      <c r="P833" s="25">
        <f>IF(AND(L833=1,C833&lt;&gt;""),SUBSTITUTE(SUBSTITUTE(SUBSTITUTE(SUBSTITUTE(SUBSTITUTE(SUBSTITUTE(SUBSTITUTE(SUBSTITUTE(SUBSTITUTE(SUBSTITUTE(SUBSTITUTE(SUBSTITUTE(LOWER(TRIM(C833)),"á","a"),"é","e"),"í","i"),"ó","o"),"ú","u"),"ü","u"),"ñ","n"),"à","a"),"è","e"),"ì","i"),"ò","o"),"ù","u"),"")</f>
        <v/>
      </c>
      <c r="Q833" s="25">
        <f>IF(AND(L833=1,E833&lt;&gt;""),SUBSTITUTE(SUBSTITUTE(SUBSTITUTE(SUBSTITUTE(SUBSTITUTE(SUBSTITUTE(SUBSTITUTE(SUBSTITUTE(SUBSTITUTE(SUBSTITUTE(SUBSTITUTE(SUBSTITUTE(LOWER(TRIM(E833)),"á","a"),"é","e"),"í","i"),"ó","o"),"ú","u"),"ü","u"),"ñ","n"),"à","a"),"è","e"),"ì","i"),"ò","o"),"ù","u"),"")</f>
        <v/>
      </c>
      <c r="R833" s="25">
        <f>IF(AND(L833=1,I833&lt;&gt;""),SUBSTITUTE(SUBSTITUTE(SUBSTITUTE(SUBSTITUTE(SUBSTITUTE(SUBSTITUTE(SUBSTITUTE(SUBSTITUTE(SUBSTITUTE(SUBSTITUTE(SUBSTITUTE(SUBSTITUTE(LOWER(TRIM(I833)),"á","a"),"é","e"),"í","i"),"ó","o"),"ú","u"),"ü","u"),"ñ","n"),"à","a"),"è","e"),"ì","i"),"ò","o"),"ù","u"),"")</f>
        <v/>
      </c>
      <c r="S833" s="25">
        <f>IF(R833="","",IF(OR(R833="si",R833="tal vez"),1,0))</f>
        <v/>
      </c>
      <c r="T833" s="25">
        <f>IF(AND(L833=1,D833&lt;&gt;""),IF(IFERROR(COUNTIFS(D$3:D833,"="&amp;SUBSTITUTE(SUBSTITUTE(SUBSTITUTE(D833,"~","~~"),"*","~*"),"?","~?"),L$3:L833,1),0)=1,MAX(T$2:T832)+1,""),"")</f>
        <v/>
      </c>
      <c r="U833" s="25">
        <f>IF(T833="","",COUNTIFS($D$3:$D$1002,"="&amp;SUBSTITUTE(SUBSTITUTE(SUBSTITUTE(D833,"~","~~"),"*","~*"),"?","~?"),$L$3:$L$1002,1)*10000-T833)</f>
        <v/>
      </c>
      <c r="V833" s="25">
        <f>IF(AND(L833=1,J833&lt;&gt;""),IF(IFERROR(COUNTIFS(J$3:J833,"="&amp;SUBSTITUTE(SUBSTITUTE(SUBSTITUTE(J833,"~","~~"),"*","~*"),"?","~?"),L$3:L833,1),0)=1,MAX(V$2:V832)+1,""),"")</f>
        <v/>
      </c>
      <c r="W833" s="25">
        <f>IF(V833="","",COUNTIFS($J$3:$J$1002,"="&amp;SUBSTITUTE(SUBSTITUTE(SUBSTITUTE(J833,"~","~~"),"*","~*"),"?","~?"),$L$3:$L$1002,1)*10000-V833)</f>
        <v/>
      </c>
    </row>
    <row r="834">
      <c r="A834">
        <f>IF(A$2=0,"",IFERROR(TRIM(INDEX('Pegar estudiantes'!$A$1:$BZ$1001,833,A$2)&amp;""),""))</f>
        <v/>
      </c>
      <c r="B834">
        <f>IF(B$2=0,"",IFERROR(TRIM(INDEX('Pegar estudiantes'!$A$1:$BZ$1001,833,B$2)&amp;""),""))</f>
        <v/>
      </c>
      <c r="C834">
        <f>IF(C$2=0,"",IFERROR(TRIM(INDEX('Pegar estudiantes'!$A$1:$BZ$1001,833,C$2)&amp;""),""))</f>
        <v/>
      </c>
      <c r="D834">
        <f>IF(D$2=0,"",IFERROR(TRIM(INDEX('Pegar estudiantes'!$A$1:$BZ$1001,833,D$2)&amp;""),""))</f>
        <v/>
      </c>
      <c r="E834">
        <f>IF(E$2=0,"",IFERROR(TRIM(INDEX('Pegar estudiantes'!$A$1:$BZ$1001,833,E$2)&amp;""),""))</f>
        <v/>
      </c>
      <c r="F834">
        <f>IF(F$2=0,"",IFERROR(TRIM(INDEX('Pegar estudiantes'!$A$1:$BZ$1001,833,F$2)&amp;""),""))</f>
        <v/>
      </c>
      <c r="G834">
        <f>IF(G$2=0,"",IFERROR(TRIM(INDEX('Pegar estudiantes'!$A$1:$BZ$1001,833,G$2)&amp;""),""))</f>
        <v/>
      </c>
      <c r="H834">
        <f>IF(H$2=0,"",IFERROR(TRIM(INDEX('Pegar estudiantes'!$A$1:$BZ$1001,833,H$2)&amp;""),""))</f>
        <v/>
      </c>
      <c r="I834">
        <f>IF(I$2=0,"",IFERROR(TRIM(INDEX('Pegar estudiantes'!$A$1:$BZ$1001,833,I$2)&amp;""),""))</f>
        <v/>
      </c>
      <c r="J834">
        <f>IF(J$2=0,"",IFERROR(TRIM(INDEX('Pegar estudiantes'!$A$1:$BZ$1001,833,J$2)&amp;""),""))</f>
        <v/>
      </c>
      <c r="K834">
        <f>IF(K$2=0,"",IFERROR(TRIM(INDEX('Pegar estudiantes'!$A$1:$BZ$1001,833,K$2)&amp;""),""))</f>
        <v/>
      </c>
      <c r="L834" s="25">
        <f>IF(A834&lt;&gt;"",1,"")</f>
        <v/>
      </c>
      <c r="M834" s="25">
        <f>IF(L834=1,IF(ISNUMBER(FIND("#"&amp;MID(A834,1,1)&amp;"#","#0#1#2#3#4#5#6#7#8#9#")),IF(ISNUMBER(FIND("#"&amp;MID(A834,2,1)&amp;"#","#0#1#2#3#4#5#6#7#8#9#")),IF(AND(VALUE(LEFT(A834,2))&gt;=1,VALUE(LEFT(A834,2))&lt;=5),VALUE(LEFT(A834,2)),""),IF(AND(VALUE(LEFT(A834,1))&gt;=1,VALUE(LEFT(A834,1))&lt;=5),VALUE(LEFT(A834,1)),"")),""),"")</f>
        <v/>
      </c>
      <c r="N834" s="25">
        <f>IF(L834=1,IF(ISNUMBER(FIND("#"&amp;MID(H834,1,1)&amp;"#","#0#1#2#3#4#5#6#7#8#9#")),IF(ISNUMBER(FIND("#"&amp;MID(H834,2,1)&amp;"#","#0#1#2#3#4#5#6#7#8#9#")),IF(AND(VALUE(LEFT(H834,2))&gt;=1,VALUE(LEFT(H834,2))&lt;=5),VALUE(LEFT(H834,2)),""),IF(AND(VALUE(LEFT(H834,1))&gt;=1,VALUE(LEFT(H834,1))&lt;=5),VALUE(LEFT(H834,1)),"")),""),"")</f>
        <v/>
      </c>
      <c r="O834" s="25">
        <f>IF(AND(L834=1,B834&lt;&gt;""),SUBSTITUTE(SUBSTITUTE(SUBSTITUTE(SUBSTITUTE(SUBSTITUTE(SUBSTITUTE(SUBSTITUTE(SUBSTITUTE(SUBSTITUTE(SUBSTITUTE(SUBSTITUTE(SUBSTITUTE(LOWER(TRIM(B834)),"á","a"),"é","e"),"í","i"),"ó","o"),"ú","u"),"ü","u"),"ñ","n"),"à","a"),"è","e"),"ì","i"),"ò","o"),"ù","u"),"")</f>
        <v/>
      </c>
      <c r="P834" s="25">
        <f>IF(AND(L834=1,C834&lt;&gt;""),SUBSTITUTE(SUBSTITUTE(SUBSTITUTE(SUBSTITUTE(SUBSTITUTE(SUBSTITUTE(SUBSTITUTE(SUBSTITUTE(SUBSTITUTE(SUBSTITUTE(SUBSTITUTE(SUBSTITUTE(LOWER(TRIM(C834)),"á","a"),"é","e"),"í","i"),"ó","o"),"ú","u"),"ü","u"),"ñ","n"),"à","a"),"è","e"),"ì","i"),"ò","o"),"ù","u"),"")</f>
        <v/>
      </c>
      <c r="Q834" s="25">
        <f>IF(AND(L834=1,E834&lt;&gt;""),SUBSTITUTE(SUBSTITUTE(SUBSTITUTE(SUBSTITUTE(SUBSTITUTE(SUBSTITUTE(SUBSTITUTE(SUBSTITUTE(SUBSTITUTE(SUBSTITUTE(SUBSTITUTE(SUBSTITUTE(LOWER(TRIM(E834)),"á","a"),"é","e"),"í","i"),"ó","o"),"ú","u"),"ü","u"),"ñ","n"),"à","a"),"è","e"),"ì","i"),"ò","o"),"ù","u"),"")</f>
        <v/>
      </c>
      <c r="R834" s="25">
        <f>IF(AND(L834=1,I834&lt;&gt;""),SUBSTITUTE(SUBSTITUTE(SUBSTITUTE(SUBSTITUTE(SUBSTITUTE(SUBSTITUTE(SUBSTITUTE(SUBSTITUTE(SUBSTITUTE(SUBSTITUTE(SUBSTITUTE(SUBSTITUTE(LOWER(TRIM(I834)),"á","a"),"é","e"),"í","i"),"ó","o"),"ú","u"),"ü","u"),"ñ","n"),"à","a"),"è","e"),"ì","i"),"ò","o"),"ù","u"),"")</f>
        <v/>
      </c>
      <c r="S834" s="25">
        <f>IF(R834="","",IF(OR(R834="si",R834="tal vez"),1,0))</f>
        <v/>
      </c>
      <c r="T834" s="25">
        <f>IF(AND(L834=1,D834&lt;&gt;""),IF(IFERROR(COUNTIFS(D$3:D834,"="&amp;SUBSTITUTE(SUBSTITUTE(SUBSTITUTE(D834,"~","~~"),"*","~*"),"?","~?"),L$3:L834,1),0)=1,MAX(T$2:T833)+1,""),"")</f>
        <v/>
      </c>
      <c r="U834" s="25">
        <f>IF(T834="","",COUNTIFS($D$3:$D$1002,"="&amp;SUBSTITUTE(SUBSTITUTE(SUBSTITUTE(D834,"~","~~"),"*","~*"),"?","~?"),$L$3:$L$1002,1)*10000-T834)</f>
        <v/>
      </c>
      <c r="V834" s="25">
        <f>IF(AND(L834=1,J834&lt;&gt;""),IF(IFERROR(COUNTIFS(J$3:J834,"="&amp;SUBSTITUTE(SUBSTITUTE(SUBSTITUTE(J834,"~","~~"),"*","~*"),"?","~?"),L$3:L834,1),0)=1,MAX(V$2:V833)+1,""),"")</f>
        <v/>
      </c>
      <c r="W834" s="25">
        <f>IF(V834="","",COUNTIFS($J$3:$J$1002,"="&amp;SUBSTITUTE(SUBSTITUTE(SUBSTITUTE(J834,"~","~~"),"*","~*"),"?","~?"),$L$3:$L$1002,1)*10000-V834)</f>
        <v/>
      </c>
    </row>
    <row r="835">
      <c r="A835">
        <f>IF(A$2=0,"",IFERROR(TRIM(INDEX('Pegar estudiantes'!$A$1:$BZ$1001,834,A$2)&amp;""),""))</f>
        <v/>
      </c>
      <c r="B835">
        <f>IF(B$2=0,"",IFERROR(TRIM(INDEX('Pegar estudiantes'!$A$1:$BZ$1001,834,B$2)&amp;""),""))</f>
        <v/>
      </c>
      <c r="C835">
        <f>IF(C$2=0,"",IFERROR(TRIM(INDEX('Pegar estudiantes'!$A$1:$BZ$1001,834,C$2)&amp;""),""))</f>
        <v/>
      </c>
      <c r="D835">
        <f>IF(D$2=0,"",IFERROR(TRIM(INDEX('Pegar estudiantes'!$A$1:$BZ$1001,834,D$2)&amp;""),""))</f>
        <v/>
      </c>
      <c r="E835">
        <f>IF(E$2=0,"",IFERROR(TRIM(INDEX('Pegar estudiantes'!$A$1:$BZ$1001,834,E$2)&amp;""),""))</f>
        <v/>
      </c>
      <c r="F835">
        <f>IF(F$2=0,"",IFERROR(TRIM(INDEX('Pegar estudiantes'!$A$1:$BZ$1001,834,F$2)&amp;""),""))</f>
        <v/>
      </c>
      <c r="G835">
        <f>IF(G$2=0,"",IFERROR(TRIM(INDEX('Pegar estudiantes'!$A$1:$BZ$1001,834,G$2)&amp;""),""))</f>
        <v/>
      </c>
      <c r="H835">
        <f>IF(H$2=0,"",IFERROR(TRIM(INDEX('Pegar estudiantes'!$A$1:$BZ$1001,834,H$2)&amp;""),""))</f>
        <v/>
      </c>
      <c r="I835">
        <f>IF(I$2=0,"",IFERROR(TRIM(INDEX('Pegar estudiantes'!$A$1:$BZ$1001,834,I$2)&amp;""),""))</f>
        <v/>
      </c>
      <c r="J835">
        <f>IF(J$2=0,"",IFERROR(TRIM(INDEX('Pegar estudiantes'!$A$1:$BZ$1001,834,J$2)&amp;""),""))</f>
        <v/>
      </c>
      <c r="K835">
        <f>IF(K$2=0,"",IFERROR(TRIM(INDEX('Pegar estudiantes'!$A$1:$BZ$1001,834,K$2)&amp;""),""))</f>
        <v/>
      </c>
      <c r="L835" s="25">
        <f>IF(A835&lt;&gt;"",1,"")</f>
        <v/>
      </c>
      <c r="M835" s="25">
        <f>IF(L835=1,IF(ISNUMBER(FIND("#"&amp;MID(A835,1,1)&amp;"#","#0#1#2#3#4#5#6#7#8#9#")),IF(ISNUMBER(FIND("#"&amp;MID(A835,2,1)&amp;"#","#0#1#2#3#4#5#6#7#8#9#")),IF(AND(VALUE(LEFT(A835,2))&gt;=1,VALUE(LEFT(A835,2))&lt;=5),VALUE(LEFT(A835,2)),""),IF(AND(VALUE(LEFT(A835,1))&gt;=1,VALUE(LEFT(A835,1))&lt;=5),VALUE(LEFT(A835,1)),"")),""),"")</f>
        <v/>
      </c>
      <c r="N835" s="25">
        <f>IF(L835=1,IF(ISNUMBER(FIND("#"&amp;MID(H835,1,1)&amp;"#","#0#1#2#3#4#5#6#7#8#9#")),IF(ISNUMBER(FIND("#"&amp;MID(H835,2,1)&amp;"#","#0#1#2#3#4#5#6#7#8#9#")),IF(AND(VALUE(LEFT(H835,2))&gt;=1,VALUE(LEFT(H835,2))&lt;=5),VALUE(LEFT(H835,2)),""),IF(AND(VALUE(LEFT(H835,1))&gt;=1,VALUE(LEFT(H835,1))&lt;=5),VALUE(LEFT(H835,1)),"")),""),"")</f>
        <v/>
      </c>
      <c r="O835" s="25">
        <f>IF(AND(L835=1,B835&lt;&gt;""),SUBSTITUTE(SUBSTITUTE(SUBSTITUTE(SUBSTITUTE(SUBSTITUTE(SUBSTITUTE(SUBSTITUTE(SUBSTITUTE(SUBSTITUTE(SUBSTITUTE(SUBSTITUTE(SUBSTITUTE(LOWER(TRIM(B835)),"á","a"),"é","e"),"í","i"),"ó","o"),"ú","u"),"ü","u"),"ñ","n"),"à","a"),"è","e"),"ì","i"),"ò","o"),"ù","u"),"")</f>
        <v/>
      </c>
      <c r="P835" s="25">
        <f>IF(AND(L835=1,C835&lt;&gt;""),SUBSTITUTE(SUBSTITUTE(SUBSTITUTE(SUBSTITUTE(SUBSTITUTE(SUBSTITUTE(SUBSTITUTE(SUBSTITUTE(SUBSTITUTE(SUBSTITUTE(SUBSTITUTE(SUBSTITUTE(LOWER(TRIM(C835)),"á","a"),"é","e"),"í","i"),"ó","o"),"ú","u"),"ü","u"),"ñ","n"),"à","a"),"è","e"),"ì","i"),"ò","o"),"ù","u"),"")</f>
        <v/>
      </c>
      <c r="Q835" s="25">
        <f>IF(AND(L835=1,E835&lt;&gt;""),SUBSTITUTE(SUBSTITUTE(SUBSTITUTE(SUBSTITUTE(SUBSTITUTE(SUBSTITUTE(SUBSTITUTE(SUBSTITUTE(SUBSTITUTE(SUBSTITUTE(SUBSTITUTE(SUBSTITUTE(LOWER(TRIM(E835)),"á","a"),"é","e"),"í","i"),"ó","o"),"ú","u"),"ü","u"),"ñ","n"),"à","a"),"è","e"),"ì","i"),"ò","o"),"ù","u"),"")</f>
        <v/>
      </c>
      <c r="R835" s="25">
        <f>IF(AND(L835=1,I835&lt;&gt;""),SUBSTITUTE(SUBSTITUTE(SUBSTITUTE(SUBSTITUTE(SUBSTITUTE(SUBSTITUTE(SUBSTITUTE(SUBSTITUTE(SUBSTITUTE(SUBSTITUTE(SUBSTITUTE(SUBSTITUTE(LOWER(TRIM(I835)),"á","a"),"é","e"),"í","i"),"ó","o"),"ú","u"),"ü","u"),"ñ","n"),"à","a"),"è","e"),"ì","i"),"ò","o"),"ù","u"),"")</f>
        <v/>
      </c>
      <c r="S835" s="25">
        <f>IF(R835="","",IF(OR(R835="si",R835="tal vez"),1,0))</f>
        <v/>
      </c>
      <c r="T835" s="25">
        <f>IF(AND(L835=1,D835&lt;&gt;""),IF(IFERROR(COUNTIFS(D$3:D835,"="&amp;SUBSTITUTE(SUBSTITUTE(SUBSTITUTE(D835,"~","~~"),"*","~*"),"?","~?"),L$3:L835,1),0)=1,MAX(T$2:T834)+1,""),"")</f>
        <v/>
      </c>
      <c r="U835" s="25">
        <f>IF(T835="","",COUNTIFS($D$3:$D$1002,"="&amp;SUBSTITUTE(SUBSTITUTE(SUBSTITUTE(D835,"~","~~"),"*","~*"),"?","~?"),$L$3:$L$1002,1)*10000-T835)</f>
        <v/>
      </c>
      <c r="V835" s="25">
        <f>IF(AND(L835=1,J835&lt;&gt;""),IF(IFERROR(COUNTIFS(J$3:J835,"="&amp;SUBSTITUTE(SUBSTITUTE(SUBSTITUTE(J835,"~","~~"),"*","~*"),"?","~?"),L$3:L835,1),0)=1,MAX(V$2:V834)+1,""),"")</f>
        <v/>
      </c>
      <c r="W835" s="25">
        <f>IF(V835="","",COUNTIFS($J$3:$J$1002,"="&amp;SUBSTITUTE(SUBSTITUTE(SUBSTITUTE(J835,"~","~~"),"*","~*"),"?","~?"),$L$3:$L$1002,1)*10000-V835)</f>
        <v/>
      </c>
    </row>
    <row r="836">
      <c r="A836">
        <f>IF(A$2=0,"",IFERROR(TRIM(INDEX('Pegar estudiantes'!$A$1:$BZ$1001,835,A$2)&amp;""),""))</f>
        <v/>
      </c>
      <c r="B836">
        <f>IF(B$2=0,"",IFERROR(TRIM(INDEX('Pegar estudiantes'!$A$1:$BZ$1001,835,B$2)&amp;""),""))</f>
        <v/>
      </c>
      <c r="C836">
        <f>IF(C$2=0,"",IFERROR(TRIM(INDEX('Pegar estudiantes'!$A$1:$BZ$1001,835,C$2)&amp;""),""))</f>
        <v/>
      </c>
      <c r="D836">
        <f>IF(D$2=0,"",IFERROR(TRIM(INDEX('Pegar estudiantes'!$A$1:$BZ$1001,835,D$2)&amp;""),""))</f>
        <v/>
      </c>
      <c r="E836">
        <f>IF(E$2=0,"",IFERROR(TRIM(INDEX('Pegar estudiantes'!$A$1:$BZ$1001,835,E$2)&amp;""),""))</f>
        <v/>
      </c>
      <c r="F836">
        <f>IF(F$2=0,"",IFERROR(TRIM(INDEX('Pegar estudiantes'!$A$1:$BZ$1001,835,F$2)&amp;""),""))</f>
        <v/>
      </c>
      <c r="G836">
        <f>IF(G$2=0,"",IFERROR(TRIM(INDEX('Pegar estudiantes'!$A$1:$BZ$1001,835,G$2)&amp;""),""))</f>
        <v/>
      </c>
      <c r="H836">
        <f>IF(H$2=0,"",IFERROR(TRIM(INDEX('Pegar estudiantes'!$A$1:$BZ$1001,835,H$2)&amp;""),""))</f>
        <v/>
      </c>
      <c r="I836">
        <f>IF(I$2=0,"",IFERROR(TRIM(INDEX('Pegar estudiantes'!$A$1:$BZ$1001,835,I$2)&amp;""),""))</f>
        <v/>
      </c>
      <c r="J836">
        <f>IF(J$2=0,"",IFERROR(TRIM(INDEX('Pegar estudiantes'!$A$1:$BZ$1001,835,J$2)&amp;""),""))</f>
        <v/>
      </c>
      <c r="K836">
        <f>IF(K$2=0,"",IFERROR(TRIM(INDEX('Pegar estudiantes'!$A$1:$BZ$1001,835,K$2)&amp;""),""))</f>
        <v/>
      </c>
      <c r="L836" s="25">
        <f>IF(A836&lt;&gt;"",1,"")</f>
        <v/>
      </c>
      <c r="M836" s="25">
        <f>IF(L836=1,IF(ISNUMBER(FIND("#"&amp;MID(A836,1,1)&amp;"#","#0#1#2#3#4#5#6#7#8#9#")),IF(ISNUMBER(FIND("#"&amp;MID(A836,2,1)&amp;"#","#0#1#2#3#4#5#6#7#8#9#")),IF(AND(VALUE(LEFT(A836,2))&gt;=1,VALUE(LEFT(A836,2))&lt;=5),VALUE(LEFT(A836,2)),""),IF(AND(VALUE(LEFT(A836,1))&gt;=1,VALUE(LEFT(A836,1))&lt;=5),VALUE(LEFT(A836,1)),"")),""),"")</f>
        <v/>
      </c>
      <c r="N836" s="25">
        <f>IF(L836=1,IF(ISNUMBER(FIND("#"&amp;MID(H836,1,1)&amp;"#","#0#1#2#3#4#5#6#7#8#9#")),IF(ISNUMBER(FIND("#"&amp;MID(H836,2,1)&amp;"#","#0#1#2#3#4#5#6#7#8#9#")),IF(AND(VALUE(LEFT(H836,2))&gt;=1,VALUE(LEFT(H836,2))&lt;=5),VALUE(LEFT(H836,2)),""),IF(AND(VALUE(LEFT(H836,1))&gt;=1,VALUE(LEFT(H836,1))&lt;=5),VALUE(LEFT(H836,1)),"")),""),"")</f>
        <v/>
      </c>
      <c r="O836" s="25">
        <f>IF(AND(L836=1,B836&lt;&gt;""),SUBSTITUTE(SUBSTITUTE(SUBSTITUTE(SUBSTITUTE(SUBSTITUTE(SUBSTITUTE(SUBSTITUTE(SUBSTITUTE(SUBSTITUTE(SUBSTITUTE(SUBSTITUTE(SUBSTITUTE(LOWER(TRIM(B836)),"á","a"),"é","e"),"í","i"),"ó","o"),"ú","u"),"ü","u"),"ñ","n"),"à","a"),"è","e"),"ì","i"),"ò","o"),"ù","u"),"")</f>
        <v/>
      </c>
      <c r="P836" s="25">
        <f>IF(AND(L836=1,C836&lt;&gt;""),SUBSTITUTE(SUBSTITUTE(SUBSTITUTE(SUBSTITUTE(SUBSTITUTE(SUBSTITUTE(SUBSTITUTE(SUBSTITUTE(SUBSTITUTE(SUBSTITUTE(SUBSTITUTE(SUBSTITUTE(LOWER(TRIM(C836)),"á","a"),"é","e"),"í","i"),"ó","o"),"ú","u"),"ü","u"),"ñ","n"),"à","a"),"è","e"),"ì","i"),"ò","o"),"ù","u"),"")</f>
        <v/>
      </c>
      <c r="Q836" s="25">
        <f>IF(AND(L836=1,E836&lt;&gt;""),SUBSTITUTE(SUBSTITUTE(SUBSTITUTE(SUBSTITUTE(SUBSTITUTE(SUBSTITUTE(SUBSTITUTE(SUBSTITUTE(SUBSTITUTE(SUBSTITUTE(SUBSTITUTE(SUBSTITUTE(LOWER(TRIM(E836)),"á","a"),"é","e"),"í","i"),"ó","o"),"ú","u"),"ü","u"),"ñ","n"),"à","a"),"è","e"),"ì","i"),"ò","o"),"ù","u"),"")</f>
        <v/>
      </c>
      <c r="R836" s="25">
        <f>IF(AND(L836=1,I836&lt;&gt;""),SUBSTITUTE(SUBSTITUTE(SUBSTITUTE(SUBSTITUTE(SUBSTITUTE(SUBSTITUTE(SUBSTITUTE(SUBSTITUTE(SUBSTITUTE(SUBSTITUTE(SUBSTITUTE(SUBSTITUTE(LOWER(TRIM(I836)),"á","a"),"é","e"),"í","i"),"ó","o"),"ú","u"),"ü","u"),"ñ","n"),"à","a"),"è","e"),"ì","i"),"ò","o"),"ù","u"),"")</f>
        <v/>
      </c>
      <c r="S836" s="25">
        <f>IF(R836="","",IF(OR(R836="si",R836="tal vez"),1,0))</f>
        <v/>
      </c>
      <c r="T836" s="25">
        <f>IF(AND(L836=1,D836&lt;&gt;""),IF(IFERROR(COUNTIFS(D$3:D836,"="&amp;SUBSTITUTE(SUBSTITUTE(SUBSTITUTE(D836,"~","~~"),"*","~*"),"?","~?"),L$3:L836,1),0)=1,MAX(T$2:T835)+1,""),"")</f>
        <v/>
      </c>
      <c r="U836" s="25">
        <f>IF(T836="","",COUNTIFS($D$3:$D$1002,"="&amp;SUBSTITUTE(SUBSTITUTE(SUBSTITUTE(D836,"~","~~"),"*","~*"),"?","~?"),$L$3:$L$1002,1)*10000-T836)</f>
        <v/>
      </c>
      <c r="V836" s="25">
        <f>IF(AND(L836=1,J836&lt;&gt;""),IF(IFERROR(COUNTIFS(J$3:J836,"="&amp;SUBSTITUTE(SUBSTITUTE(SUBSTITUTE(J836,"~","~~"),"*","~*"),"?","~?"),L$3:L836,1),0)=1,MAX(V$2:V835)+1,""),"")</f>
        <v/>
      </c>
      <c r="W836" s="25">
        <f>IF(V836="","",COUNTIFS($J$3:$J$1002,"="&amp;SUBSTITUTE(SUBSTITUTE(SUBSTITUTE(J836,"~","~~"),"*","~*"),"?","~?"),$L$3:$L$1002,1)*10000-V836)</f>
        <v/>
      </c>
    </row>
    <row r="837">
      <c r="A837">
        <f>IF(A$2=0,"",IFERROR(TRIM(INDEX('Pegar estudiantes'!$A$1:$BZ$1001,836,A$2)&amp;""),""))</f>
        <v/>
      </c>
      <c r="B837">
        <f>IF(B$2=0,"",IFERROR(TRIM(INDEX('Pegar estudiantes'!$A$1:$BZ$1001,836,B$2)&amp;""),""))</f>
        <v/>
      </c>
      <c r="C837">
        <f>IF(C$2=0,"",IFERROR(TRIM(INDEX('Pegar estudiantes'!$A$1:$BZ$1001,836,C$2)&amp;""),""))</f>
        <v/>
      </c>
      <c r="D837">
        <f>IF(D$2=0,"",IFERROR(TRIM(INDEX('Pegar estudiantes'!$A$1:$BZ$1001,836,D$2)&amp;""),""))</f>
        <v/>
      </c>
      <c r="E837">
        <f>IF(E$2=0,"",IFERROR(TRIM(INDEX('Pegar estudiantes'!$A$1:$BZ$1001,836,E$2)&amp;""),""))</f>
        <v/>
      </c>
      <c r="F837">
        <f>IF(F$2=0,"",IFERROR(TRIM(INDEX('Pegar estudiantes'!$A$1:$BZ$1001,836,F$2)&amp;""),""))</f>
        <v/>
      </c>
      <c r="G837">
        <f>IF(G$2=0,"",IFERROR(TRIM(INDEX('Pegar estudiantes'!$A$1:$BZ$1001,836,G$2)&amp;""),""))</f>
        <v/>
      </c>
      <c r="H837">
        <f>IF(H$2=0,"",IFERROR(TRIM(INDEX('Pegar estudiantes'!$A$1:$BZ$1001,836,H$2)&amp;""),""))</f>
        <v/>
      </c>
      <c r="I837">
        <f>IF(I$2=0,"",IFERROR(TRIM(INDEX('Pegar estudiantes'!$A$1:$BZ$1001,836,I$2)&amp;""),""))</f>
        <v/>
      </c>
      <c r="J837">
        <f>IF(J$2=0,"",IFERROR(TRIM(INDEX('Pegar estudiantes'!$A$1:$BZ$1001,836,J$2)&amp;""),""))</f>
        <v/>
      </c>
      <c r="K837">
        <f>IF(K$2=0,"",IFERROR(TRIM(INDEX('Pegar estudiantes'!$A$1:$BZ$1001,836,K$2)&amp;""),""))</f>
        <v/>
      </c>
      <c r="L837" s="25">
        <f>IF(A837&lt;&gt;"",1,"")</f>
        <v/>
      </c>
      <c r="M837" s="25">
        <f>IF(L837=1,IF(ISNUMBER(FIND("#"&amp;MID(A837,1,1)&amp;"#","#0#1#2#3#4#5#6#7#8#9#")),IF(ISNUMBER(FIND("#"&amp;MID(A837,2,1)&amp;"#","#0#1#2#3#4#5#6#7#8#9#")),IF(AND(VALUE(LEFT(A837,2))&gt;=1,VALUE(LEFT(A837,2))&lt;=5),VALUE(LEFT(A837,2)),""),IF(AND(VALUE(LEFT(A837,1))&gt;=1,VALUE(LEFT(A837,1))&lt;=5),VALUE(LEFT(A837,1)),"")),""),"")</f>
        <v/>
      </c>
      <c r="N837" s="25">
        <f>IF(L837=1,IF(ISNUMBER(FIND("#"&amp;MID(H837,1,1)&amp;"#","#0#1#2#3#4#5#6#7#8#9#")),IF(ISNUMBER(FIND("#"&amp;MID(H837,2,1)&amp;"#","#0#1#2#3#4#5#6#7#8#9#")),IF(AND(VALUE(LEFT(H837,2))&gt;=1,VALUE(LEFT(H837,2))&lt;=5),VALUE(LEFT(H837,2)),""),IF(AND(VALUE(LEFT(H837,1))&gt;=1,VALUE(LEFT(H837,1))&lt;=5),VALUE(LEFT(H837,1)),"")),""),"")</f>
        <v/>
      </c>
      <c r="O837" s="25">
        <f>IF(AND(L837=1,B837&lt;&gt;""),SUBSTITUTE(SUBSTITUTE(SUBSTITUTE(SUBSTITUTE(SUBSTITUTE(SUBSTITUTE(SUBSTITUTE(SUBSTITUTE(SUBSTITUTE(SUBSTITUTE(SUBSTITUTE(SUBSTITUTE(LOWER(TRIM(B837)),"á","a"),"é","e"),"í","i"),"ó","o"),"ú","u"),"ü","u"),"ñ","n"),"à","a"),"è","e"),"ì","i"),"ò","o"),"ù","u"),"")</f>
        <v/>
      </c>
      <c r="P837" s="25">
        <f>IF(AND(L837=1,C837&lt;&gt;""),SUBSTITUTE(SUBSTITUTE(SUBSTITUTE(SUBSTITUTE(SUBSTITUTE(SUBSTITUTE(SUBSTITUTE(SUBSTITUTE(SUBSTITUTE(SUBSTITUTE(SUBSTITUTE(SUBSTITUTE(LOWER(TRIM(C837)),"á","a"),"é","e"),"í","i"),"ó","o"),"ú","u"),"ü","u"),"ñ","n"),"à","a"),"è","e"),"ì","i"),"ò","o"),"ù","u"),"")</f>
        <v/>
      </c>
      <c r="Q837" s="25">
        <f>IF(AND(L837=1,E837&lt;&gt;""),SUBSTITUTE(SUBSTITUTE(SUBSTITUTE(SUBSTITUTE(SUBSTITUTE(SUBSTITUTE(SUBSTITUTE(SUBSTITUTE(SUBSTITUTE(SUBSTITUTE(SUBSTITUTE(SUBSTITUTE(LOWER(TRIM(E837)),"á","a"),"é","e"),"í","i"),"ó","o"),"ú","u"),"ü","u"),"ñ","n"),"à","a"),"è","e"),"ì","i"),"ò","o"),"ù","u"),"")</f>
        <v/>
      </c>
      <c r="R837" s="25">
        <f>IF(AND(L837=1,I837&lt;&gt;""),SUBSTITUTE(SUBSTITUTE(SUBSTITUTE(SUBSTITUTE(SUBSTITUTE(SUBSTITUTE(SUBSTITUTE(SUBSTITUTE(SUBSTITUTE(SUBSTITUTE(SUBSTITUTE(SUBSTITUTE(LOWER(TRIM(I837)),"á","a"),"é","e"),"í","i"),"ó","o"),"ú","u"),"ü","u"),"ñ","n"),"à","a"),"è","e"),"ì","i"),"ò","o"),"ù","u"),"")</f>
        <v/>
      </c>
      <c r="S837" s="25">
        <f>IF(R837="","",IF(OR(R837="si",R837="tal vez"),1,0))</f>
        <v/>
      </c>
      <c r="T837" s="25">
        <f>IF(AND(L837=1,D837&lt;&gt;""),IF(IFERROR(COUNTIFS(D$3:D837,"="&amp;SUBSTITUTE(SUBSTITUTE(SUBSTITUTE(D837,"~","~~"),"*","~*"),"?","~?"),L$3:L837,1),0)=1,MAX(T$2:T836)+1,""),"")</f>
        <v/>
      </c>
      <c r="U837" s="25">
        <f>IF(T837="","",COUNTIFS($D$3:$D$1002,"="&amp;SUBSTITUTE(SUBSTITUTE(SUBSTITUTE(D837,"~","~~"),"*","~*"),"?","~?"),$L$3:$L$1002,1)*10000-T837)</f>
        <v/>
      </c>
      <c r="V837" s="25">
        <f>IF(AND(L837=1,J837&lt;&gt;""),IF(IFERROR(COUNTIFS(J$3:J837,"="&amp;SUBSTITUTE(SUBSTITUTE(SUBSTITUTE(J837,"~","~~"),"*","~*"),"?","~?"),L$3:L837,1),0)=1,MAX(V$2:V836)+1,""),"")</f>
        <v/>
      </c>
      <c r="W837" s="25">
        <f>IF(V837="","",COUNTIFS($J$3:$J$1002,"="&amp;SUBSTITUTE(SUBSTITUTE(SUBSTITUTE(J837,"~","~~"),"*","~*"),"?","~?"),$L$3:$L$1002,1)*10000-V837)</f>
        <v/>
      </c>
    </row>
    <row r="838">
      <c r="A838">
        <f>IF(A$2=0,"",IFERROR(TRIM(INDEX('Pegar estudiantes'!$A$1:$BZ$1001,837,A$2)&amp;""),""))</f>
        <v/>
      </c>
      <c r="B838">
        <f>IF(B$2=0,"",IFERROR(TRIM(INDEX('Pegar estudiantes'!$A$1:$BZ$1001,837,B$2)&amp;""),""))</f>
        <v/>
      </c>
      <c r="C838">
        <f>IF(C$2=0,"",IFERROR(TRIM(INDEX('Pegar estudiantes'!$A$1:$BZ$1001,837,C$2)&amp;""),""))</f>
        <v/>
      </c>
      <c r="D838">
        <f>IF(D$2=0,"",IFERROR(TRIM(INDEX('Pegar estudiantes'!$A$1:$BZ$1001,837,D$2)&amp;""),""))</f>
        <v/>
      </c>
      <c r="E838">
        <f>IF(E$2=0,"",IFERROR(TRIM(INDEX('Pegar estudiantes'!$A$1:$BZ$1001,837,E$2)&amp;""),""))</f>
        <v/>
      </c>
      <c r="F838">
        <f>IF(F$2=0,"",IFERROR(TRIM(INDEX('Pegar estudiantes'!$A$1:$BZ$1001,837,F$2)&amp;""),""))</f>
        <v/>
      </c>
      <c r="G838">
        <f>IF(G$2=0,"",IFERROR(TRIM(INDEX('Pegar estudiantes'!$A$1:$BZ$1001,837,G$2)&amp;""),""))</f>
        <v/>
      </c>
      <c r="H838">
        <f>IF(H$2=0,"",IFERROR(TRIM(INDEX('Pegar estudiantes'!$A$1:$BZ$1001,837,H$2)&amp;""),""))</f>
        <v/>
      </c>
      <c r="I838">
        <f>IF(I$2=0,"",IFERROR(TRIM(INDEX('Pegar estudiantes'!$A$1:$BZ$1001,837,I$2)&amp;""),""))</f>
        <v/>
      </c>
      <c r="J838">
        <f>IF(J$2=0,"",IFERROR(TRIM(INDEX('Pegar estudiantes'!$A$1:$BZ$1001,837,J$2)&amp;""),""))</f>
        <v/>
      </c>
      <c r="K838">
        <f>IF(K$2=0,"",IFERROR(TRIM(INDEX('Pegar estudiantes'!$A$1:$BZ$1001,837,K$2)&amp;""),""))</f>
        <v/>
      </c>
      <c r="L838" s="25">
        <f>IF(A838&lt;&gt;"",1,"")</f>
        <v/>
      </c>
      <c r="M838" s="25">
        <f>IF(L838=1,IF(ISNUMBER(FIND("#"&amp;MID(A838,1,1)&amp;"#","#0#1#2#3#4#5#6#7#8#9#")),IF(ISNUMBER(FIND("#"&amp;MID(A838,2,1)&amp;"#","#0#1#2#3#4#5#6#7#8#9#")),IF(AND(VALUE(LEFT(A838,2))&gt;=1,VALUE(LEFT(A838,2))&lt;=5),VALUE(LEFT(A838,2)),""),IF(AND(VALUE(LEFT(A838,1))&gt;=1,VALUE(LEFT(A838,1))&lt;=5),VALUE(LEFT(A838,1)),"")),""),"")</f>
        <v/>
      </c>
      <c r="N838" s="25">
        <f>IF(L838=1,IF(ISNUMBER(FIND("#"&amp;MID(H838,1,1)&amp;"#","#0#1#2#3#4#5#6#7#8#9#")),IF(ISNUMBER(FIND("#"&amp;MID(H838,2,1)&amp;"#","#0#1#2#3#4#5#6#7#8#9#")),IF(AND(VALUE(LEFT(H838,2))&gt;=1,VALUE(LEFT(H838,2))&lt;=5),VALUE(LEFT(H838,2)),""),IF(AND(VALUE(LEFT(H838,1))&gt;=1,VALUE(LEFT(H838,1))&lt;=5),VALUE(LEFT(H838,1)),"")),""),"")</f>
        <v/>
      </c>
      <c r="O838" s="25">
        <f>IF(AND(L838=1,B838&lt;&gt;""),SUBSTITUTE(SUBSTITUTE(SUBSTITUTE(SUBSTITUTE(SUBSTITUTE(SUBSTITUTE(SUBSTITUTE(SUBSTITUTE(SUBSTITUTE(SUBSTITUTE(SUBSTITUTE(SUBSTITUTE(LOWER(TRIM(B838)),"á","a"),"é","e"),"í","i"),"ó","o"),"ú","u"),"ü","u"),"ñ","n"),"à","a"),"è","e"),"ì","i"),"ò","o"),"ù","u"),"")</f>
        <v/>
      </c>
      <c r="P838" s="25">
        <f>IF(AND(L838=1,C838&lt;&gt;""),SUBSTITUTE(SUBSTITUTE(SUBSTITUTE(SUBSTITUTE(SUBSTITUTE(SUBSTITUTE(SUBSTITUTE(SUBSTITUTE(SUBSTITUTE(SUBSTITUTE(SUBSTITUTE(SUBSTITUTE(LOWER(TRIM(C838)),"á","a"),"é","e"),"í","i"),"ó","o"),"ú","u"),"ü","u"),"ñ","n"),"à","a"),"è","e"),"ì","i"),"ò","o"),"ù","u"),"")</f>
        <v/>
      </c>
      <c r="Q838" s="25">
        <f>IF(AND(L838=1,E838&lt;&gt;""),SUBSTITUTE(SUBSTITUTE(SUBSTITUTE(SUBSTITUTE(SUBSTITUTE(SUBSTITUTE(SUBSTITUTE(SUBSTITUTE(SUBSTITUTE(SUBSTITUTE(SUBSTITUTE(SUBSTITUTE(LOWER(TRIM(E838)),"á","a"),"é","e"),"í","i"),"ó","o"),"ú","u"),"ü","u"),"ñ","n"),"à","a"),"è","e"),"ì","i"),"ò","o"),"ù","u"),"")</f>
        <v/>
      </c>
      <c r="R838" s="25">
        <f>IF(AND(L838=1,I838&lt;&gt;""),SUBSTITUTE(SUBSTITUTE(SUBSTITUTE(SUBSTITUTE(SUBSTITUTE(SUBSTITUTE(SUBSTITUTE(SUBSTITUTE(SUBSTITUTE(SUBSTITUTE(SUBSTITUTE(SUBSTITUTE(LOWER(TRIM(I838)),"á","a"),"é","e"),"í","i"),"ó","o"),"ú","u"),"ü","u"),"ñ","n"),"à","a"),"è","e"),"ì","i"),"ò","o"),"ù","u"),"")</f>
        <v/>
      </c>
      <c r="S838" s="25">
        <f>IF(R838="","",IF(OR(R838="si",R838="tal vez"),1,0))</f>
        <v/>
      </c>
      <c r="T838" s="25">
        <f>IF(AND(L838=1,D838&lt;&gt;""),IF(IFERROR(COUNTIFS(D$3:D838,"="&amp;SUBSTITUTE(SUBSTITUTE(SUBSTITUTE(D838,"~","~~"),"*","~*"),"?","~?"),L$3:L838,1),0)=1,MAX(T$2:T837)+1,""),"")</f>
        <v/>
      </c>
      <c r="U838" s="25">
        <f>IF(T838="","",COUNTIFS($D$3:$D$1002,"="&amp;SUBSTITUTE(SUBSTITUTE(SUBSTITUTE(D838,"~","~~"),"*","~*"),"?","~?"),$L$3:$L$1002,1)*10000-T838)</f>
        <v/>
      </c>
      <c r="V838" s="25">
        <f>IF(AND(L838=1,J838&lt;&gt;""),IF(IFERROR(COUNTIFS(J$3:J838,"="&amp;SUBSTITUTE(SUBSTITUTE(SUBSTITUTE(J838,"~","~~"),"*","~*"),"?","~?"),L$3:L838,1),0)=1,MAX(V$2:V837)+1,""),"")</f>
        <v/>
      </c>
      <c r="W838" s="25">
        <f>IF(V838="","",COUNTIFS($J$3:$J$1002,"="&amp;SUBSTITUTE(SUBSTITUTE(SUBSTITUTE(J838,"~","~~"),"*","~*"),"?","~?"),$L$3:$L$1002,1)*10000-V838)</f>
        <v/>
      </c>
    </row>
    <row r="839">
      <c r="A839">
        <f>IF(A$2=0,"",IFERROR(TRIM(INDEX('Pegar estudiantes'!$A$1:$BZ$1001,838,A$2)&amp;""),""))</f>
        <v/>
      </c>
      <c r="B839">
        <f>IF(B$2=0,"",IFERROR(TRIM(INDEX('Pegar estudiantes'!$A$1:$BZ$1001,838,B$2)&amp;""),""))</f>
        <v/>
      </c>
      <c r="C839">
        <f>IF(C$2=0,"",IFERROR(TRIM(INDEX('Pegar estudiantes'!$A$1:$BZ$1001,838,C$2)&amp;""),""))</f>
        <v/>
      </c>
      <c r="D839">
        <f>IF(D$2=0,"",IFERROR(TRIM(INDEX('Pegar estudiantes'!$A$1:$BZ$1001,838,D$2)&amp;""),""))</f>
        <v/>
      </c>
      <c r="E839">
        <f>IF(E$2=0,"",IFERROR(TRIM(INDEX('Pegar estudiantes'!$A$1:$BZ$1001,838,E$2)&amp;""),""))</f>
        <v/>
      </c>
      <c r="F839">
        <f>IF(F$2=0,"",IFERROR(TRIM(INDEX('Pegar estudiantes'!$A$1:$BZ$1001,838,F$2)&amp;""),""))</f>
        <v/>
      </c>
      <c r="G839">
        <f>IF(G$2=0,"",IFERROR(TRIM(INDEX('Pegar estudiantes'!$A$1:$BZ$1001,838,G$2)&amp;""),""))</f>
        <v/>
      </c>
      <c r="H839">
        <f>IF(H$2=0,"",IFERROR(TRIM(INDEX('Pegar estudiantes'!$A$1:$BZ$1001,838,H$2)&amp;""),""))</f>
        <v/>
      </c>
      <c r="I839">
        <f>IF(I$2=0,"",IFERROR(TRIM(INDEX('Pegar estudiantes'!$A$1:$BZ$1001,838,I$2)&amp;""),""))</f>
        <v/>
      </c>
      <c r="J839">
        <f>IF(J$2=0,"",IFERROR(TRIM(INDEX('Pegar estudiantes'!$A$1:$BZ$1001,838,J$2)&amp;""),""))</f>
        <v/>
      </c>
      <c r="K839">
        <f>IF(K$2=0,"",IFERROR(TRIM(INDEX('Pegar estudiantes'!$A$1:$BZ$1001,838,K$2)&amp;""),""))</f>
        <v/>
      </c>
      <c r="L839" s="25">
        <f>IF(A839&lt;&gt;"",1,"")</f>
        <v/>
      </c>
      <c r="M839" s="25">
        <f>IF(L839=1,IF(ISNUMBER(FIND("#"&amp;MID(A839,1,1)&amp;"#","#0#1#2#3#4#5#6#7#8#9#")),IF(ISNUMBER(FIND("#"&amp;MID(A839,2,1)&amp;"#","#0#1#2#3#4#5#6#7#8#9#")),IF(AND(VALUE(LEFT(A839,2))&gt;=1,VALUE(LEFT(A839,2))&lt;=5),VALUE(LEFT(A839,2)),""),IF(AND(VALUE(LEFT(A839,1))&gt;=1,VALUE(LEFT(A839,1))&lt;=5),VALUE(LEFT(A839,1)),"")),""),"")</f>
        <v/>
      </c>
      <c r="N839" s="25">
        <f>IF(L839=1,IF(ISNUMBER(FIND("#"&amp;MID(H839,1,1)&amp;"#","#0#1#2#3#4#5#6#7#8#9#")),IF(ISNUMBER(FIND("#"&amp;MID(H839,2,1)&amp;"#","#0#1#2#3#4#5#6#7#8#9#")),IF(AND(VALUE(LEFT(H839,2))&gt;=1,VALUE(LEFT(H839,2))&lt;=5),VALUE(LEFT(H839,2)),""),IF(AND(VALUE(LEFT(H839,1))&gt;=1,VALUE(LEFT(H839,1))&lt;=5),VALUE(LEFT(H839,1)),"")),""),"")</f>
        <v/>
      </c>
      <c r="O839" s="25">
        <f>IF(AND(L839=1,B839&lt;&gt;""),SUBSTITUTE(SUBSTITUTE(SUBSTITUTE(SUBSTITUTE(SUBSTITUTE(SUBSTITUTE(SUBSTITUTE(SUBSTITUTE(SUBSTITUTE(SUBSTITUTE(SUBSTITUTE(SUBSTITUTE(LOWER(TRIM(B839)),"á","a"),"é","e"),"í","i"),"ó","o"),"ú","u"),"ü","u"),"ñ","n"),"à","a"),"è","e"),"ì","i"),"ò","o"),"ù","u"),"")</f>
        <v/>
      </c>
      <c r="P839" s="25">
        <f>IF(AND(L839=1,C839&lt;&gt;""),SUBSTITUTE(SUBSTITUTE(SUBSTITUTE(SUBSTITUTE(SUBSTITUTE(SUBSTITUTE(SUBSTITUTE(SUBSTITUTE(SUBSTITUTE(SUBSTITUTE(SUBSTITUTE(SUBSTITUTE(LOWER(TRIM(C839)),"á","a"),"é","e"),"í","i"),"ó","o"),"ú","u"),"ü","u"),"ñ","n"),"à","a"),"è","e"),"ì","i"),"ò","o"),"ù","u"),"")</f>
        <v/>
      </c>
      <c r="Q839" s="25">
        <f>IF(AND(L839=1,E839&lt;&gt;""),SUBSTITUTE(SUBSTITUTE(SUBSTITUTE(SUBSTITUTE(SUBSTITUTE(SUBSTITUTE(SUBSTITUTE(SUBSTITUTE(SUBSTITUTE(SUBSTITUTE(SUBSTITUTE(SUBSTITUTE(LOWER(TRIM(E839)),"á","a"),"é","e"),"í","i"),"ó","o"),"ú","u"),"ü","u"),"ñ","n"),"à","a"),"è","e"),"ì","i"),"ò","o"),"ù","u"),"")</f>
        <v/>
      </c>
      <c r="R839" s="25">
        <f>IF(AND(L839=1,I839&lt;&gt;""),SUBSTITUTE(SUBSTITUTE(SUBSTITUTE(SUBSTITUTE(SUBSTITUTE(SUBSTITUTE(SUBSTITUTE(SUBSTITUTE(SUBSTITUTE(SUBSTITUTE(SUBSTITUTE(SUBSTITUTE(LOWER(TRIM(I839)),"á","a"),"é","e"),"í","i"),"ó","o"),"ú","u"),"ü","u"),"ñ","n"),"à","a"),"è","e"),"ì","i"),"ò","o"),"ù","u"),"")</f>
        <v/>
      </c>
      <c r="S839" s="25">
        <f>IF(R839="","",IF(OR(R839="si",R839="tal vez"),1,0))</f>
        <v/>
      </c>
      <c r="T839" s="25">
        <f>IF(AND(L839=1,D839&lt;&gt;""),IF(IFERROR(COUNTIFS(D$3:D839,"="&amp;SUBSTITUTE(SUBSTITUTE(SUBSTITUTE(D839,"~","~~"),"*","~*"),"?","~?"),L$3:L839,1),0)=1,MAX(T$2:T838)+1,""),"")</f>
        <v/>
      </c>
      <c r="U839" s="25">
        <f>IF(T839="","",COUNTIFS($D$3:$D$1002,"="&amp;SUBSTITUTE(SUBSTITUTE(SUBSTITUTE(D839,"~","~~"),"*","~*"),"?","~?"),$L$3:$L$1002,1)*10000-T839)</f>
        <v/>
      </c>
      <c r="V839" s="25">
        <f>IF(AND(L839=1,J839&lt;&gt;""),IF(IFERROR(COUNTIFS(J$3:J839,"="&amp;SUBSTITUTE(SUBSTITUTE(SUBSTITUTE(J839,"~","~~"),"*","~*"),"?","~?"),L$3:L839,1),0)=1,MAX(V$2:V838)+1,""),"")</f>
        <v/>
      </c>
      <c r="W839" s="25">
        <f>IF(V839="","",COUNTIFS($J$3:$J$1002,"="&amp;SUBSTITUTE(SUBSTITUTE(SUBSTITUTE(J839,"~","~~"),"*","~*"),"?","~?"),$L$3:$L$1002,1)*10000-V839)</f>
        <v/>
      </c>
    </row>
    <row r="840">
      <c r="A840">
        <f>IF(A$2=0,"",IFERROR(TRIM(INDEX('Pegar estudiantes'!$A$1:$BZ$1001,839,A$2)&amp;""),""))</f>
        <v/>
      </c>
      <c r="B840">
        <f>IF(B$2=0,"",IFERROR(TRIM(INDEX('Pegar estudiantes'!$A$1:$BZ$1001,839,B$2)&amp;""),""))</f>
        <v/>
      </c>
      <c r="C840">
        <f>IF(C$2=0,"",IFERROR(TRIM(INDEX('Pegar estudiantes'!$A$1:$BZ$1001,839,C$2)&amp;""),""))</f>
        <v/>
      </c>
      <c r="D840">
        <f>IF(D$2=0,"",IFERROR(TRIM(INDEX('Pegar estudiantes'!$A$1:$BZ$1001,839,D$2)&amp;""),""))</f>
        <v/>
      </c>
      <c r="E840">
        <f>IF(E$2=0,"",IFERROR(TRIM(INDEX('Pegar estudiantes'!$A$1:$BZ$1001,839,E$2)&amp;""),""))</f>
        <v/>
      </c>
      <c r="F840">
        <f>IF(F$2=0,"",IFERROR(TRIM(INDEX('Pegar estudiantes'!$A$1:$BZ$1001,839,F$2)&amp;""),""))</f>
        <v/>
      </c>
      <c r="G840">
        <f>IF(G$2=0,"",IFERROR(TRIM(INDEX('Pegar estudiantes'!$A$1:$BZ$1001,839,G$2)&amp;""),""))</f>
        <v/>
      </c>
      <c r="H840">
        <f>IF(H$2=0,"",IFERROR(TRIM(INDEX('Pegar estudiantes'!$A$1:$BZ$1001,839,H$2)&amp;""),""))</f>
        <v/>
      </c>
      <c r="I840">
        <f>IF(I$2=0,"",IFERROR(TRIM(INDEX('Pegar estudiantes'!$A$1:$BZ$1001,839,I$2)&amp;""),""))</f>
        <v/>
      </c>
      <c r="J840">
        <f>IF(J$2=0,"",IFERROR(TRIM(INDEX('Pegar estudiantes'!$A$1:$BZ$1001,839,J$2)&amp;""),""))</f>
        <v/>
      </c>
      <c r="K840">
        <f>IF(K$2=0,"",IFERROR(TRIM(INDEX('Pegar estudiantes'!$A$1:$BZ$1001,839,K$2)&amp;""),""))</f>
        <v/>
      </c>
      <c r="L840" s="25">
        <f>IF(A840&lt;&gt;"",1,"")</f>
        <v/>
      </c>
      <c r="M840" s="25">
        <f>IF(L840=1,IF(ISNUMBER(FIND("#"&amp;MID(A840,1,1)&amp;"#","#0#1#2#3#4#5#6#7#8#9#")),IF(ISNUMBER(FIND("#"&amp;MID(A840,2,1)&amp;"#","#0#1#2#3#4#5#6#7#8#9#")),IF(AND(VALUE(LEFT(A840,2))&gt;=1,VALUE(LEFT(A840,2))&lt;=5),VALUE(LEFT(A840,2)),""),IF(AND(VALUE(LEFT(A840,1))&gt;=1,VALUE(LEFT(A840,1))&lt;=5),VALUE(LEFT(A840,1)),"")),""),"")</f>
        <v/>
      </c>
      <c r="N840" s="25">
        <f>IF(L840=1,IF(ISNUMBER(FIND("#"&amp;MID(H840,1,1)&amp;"#","#0#1#2#3#4#5#6#7#8#9#")),IF(ISNUMBER(FIND("#"&amp;MID(H840,2,1)&amp;"#","#0#1#2#3#4#5#6#7#8#9#")),IF(AND(VALUE(LEFT(H840,2))&gt;=1,VALUE(LEFT(H840,2))&lt;=5),VALUE(LEFT(H840,2)),""),IF(AND(VALUE(LEFT(H840,1))&gt;=1,VALUE(LEFT(H840,1))&lt;=5),VALUE(LEFT(H840,1)),"")),""),"")</f>
        <v/>
      </c>
      <c r="O840" s="25">
        <f>IF(AND(L840=1,B840&lt;&gt;""),SUBSTITUTE(SUBSTITUTE(SUBSTITUTE(SUBSTITUTE(SUBSTITUTE(SUBSTITUTE(SUBSTITUTE(SUBSTITUTE(SUBSTITUTE(SUBSTITUTE(SUBSTITUTE(SUBSTITUTE(LOWER(TRIM(B840)),"á","a"),"é","e"),"í","i"),"ó","o"),"ú","u"),"ü","u"),"ñ","n"),"à","a"),"è","e"),"ì","i"),"ò","o"),"ù","u"),"")</f>
        <v/>
      </c>
      <c r="P840" s="25">
        <f>IF(AND(L840=1,C840&lt;&gt;""),SUBSTITUTE(SUBSTITUTE(SUBSTITUTE(SUBSTITUTE(SUBSTITUTE(SUBSTITUTE(SUBSTITUTE(SUBSTITUTE(SUBSTITUTE(SUBSTITUTE(SUBSTITUTE(SUBSTITUTE(LOWER(TRIM(C840)),"á","a"),"é","e"),"í","i"),"ó","o"),"ú","u"),"ü","u"),"ñ","n"),"à","a"),"è","e"),"ì","i"),"ò","o"),"ù","u"),"")</f>
        <v/>
      </c>
      <c r="Q840" s="25">
        <f>IF(AND(L840=1,E840&lt;&gt;""),SUBSTITUTE(SUBSTITUTE(SUBSTITUTE(SUBSTITUTE(SUBSTITUTE(SUBSTITUTE(SUBSTITUTE(SUBSTITUTE(SUBSTITUTE(SUBSTITUTE(SUBSTITUTE(SUBSTITUTE(LOWER(TRIM(E840)),"á","a"),"é","e"),"í","i"),"ó","o"),"ú","u"),"ü","u"),"ñ","n"),"à","a"),"è","e"),"ì","i"),"ò","o"),"ù","u"),"")</f>
        <v/>
      </c>
      <c r="R840" s="25">
        <f>IF(AND(L840=1,I840&lt;&gt;""),SUBSTITUTE(SUBSTITUTE(SUBSTITUTE(SUBSTITUTE(SUBSTITUTE(SUBSTITUTE(SUBSTITUTE(SUBSTITUTE(SUBSTITUTE(SUBSTITUTE(SUBSTITUTE(SUBSTITUTE(LOWER(TRIM(I840)),"á","a"),"é","e"),"í","i"),"ó","o"),"ú","u"),"ü","u"),"ñ","n"),"à","a"),"è","e"),"ì","i"),"ò","o"),"ù","u"),"")</f>
        <v/>
      </c>
      <c r="S840" s="25">
        <f>IF(R840="","",IF(OR(R840="si",R840="tal vez"),1,0))</f>
        <v/>
      </c>
      <c r="T840" s="25">
        <f>IF(AND(L840=1,D840&lt;&gt;""),IF(IFERROR(COUNTIFS(D$3:D840,"="&amp;SUBSTITUTE(SUBSTITUTE(SUBSTITUTE(D840,"~","~~"),"*","~*"),"?","~?"),L$3:L840,1),0)=1,MAX(T$2:T839)+1,""),"")</f>
        <v/>
      </c>
      <c r="U840" s="25">
        <f>IF(T840="","",COUNTIFS($D$3:$D$1002,"="&amp;SUBSTITUTE(SUBSTITUTE(SUBSTITUTE(D840,"~","~~"),"*","~*"),"?","~?"),$L$3:$L$1002,1)*10000-T840)</f>
        <v/>
      </c>
      <c r="V840" s="25">
        <f>IF(AND(L840=1,J840&lt;&gt;""),IF(IFERROR(COUNTIFS(J$3:J840,"="&amp;SUBSTITUTE(SUBSTITUTE(SUBSTITUTE(J840,"~","~~"),"*","~*"),"?","~?"),L$3:L840,1),0)=1,MAX(V$2:V839)+1,""),"")</f>
        <v/>
      </c>
      <c r="W840" s="25">
        <f>IF(V840="","",COUNTIFS($J$3:$J$1002,"="&amp;SUBSTITUTE(SUBSTITUTE(SUBSTITUTE(J840,"~","~~"),"*","~*"),"?","~?"),$L$3:$L$1002,1)*10000-V840)</f>
        <v/>
      </c>
    </row>
    <row r="841">
      <c r="A841">
        <f>IF(A$2=0,"",IFERROR(TRIM(INDEX('Pegar estudiantes'!$A$1:$BZ$1001,840,A$2)&amp;""),""))</f>
        <v/>
      </c>
      <c r="B841">
        <f>IF(B$2=0,"",IFERROR(TRIM(INDEX('Pegar estudiantes'!$A$1:$BZ$1001,840,B$2)&amp;""),""))</f>
        <v/>
      </c>
      <c r="C841">
        <f>IF(C$2=0,"",IFERROR(TRIM(INDEX('Pegar estudiantes'!$A$1:$BZ$1001,840,C$2)&amp;""),""))</f>
        <v/>
      </c>
      <c r="D841">
        <f>IF(D$2=0,"",IFERROR(TRIM(INDEX('Pegar estudiantes'!$A$1:$BZ$1001,840,D$2)&amp;""),""))</f>
        <v/>
      </c>
      <c r="E841">
        <f>IF(E$2=0,"",IFERROR(TRIM(INDEX('Pegar estudiantes'!$A$1:$BZ$1001,840,E$2)&amp;""),""))</f>
        <v/>
      </c>
      <c r="F841">
        <f>IF(F$2=0,"",IFERROR(TRIM(INDEX('Pegar estudiantes'!$A$1:$BZ$1001,840,F$2)&amp;""),""))</f>
        <v/>
      </c>
      <c r="G841">
        <f>IF(G$2=0,"",IFERROR(TRIM(INDEX('Pegar estudiantes'!$A$1:$BZ$1001,840,G$2)&amp;""),""))</f>
        <v/>
      </c>
      <c r="H841">
        <f>IF(H$2=0,"",IFERROR(TRIM(INDEX('Pegar estudiantes'!$A$1:$BZ$1001,840,H$2)&amp;""),""))</f>
        <v/>
      </c>
      <c r="I841">
        <f>IF(I$2=0,"",IFERROR(TRIM(INDEX('Pegar estudiantes'!$A$1:$BZ$1001,840,I$2)&amp;""),""))</f>
        <v/>
      </c>
      <c r="J841">
        <f>IF(J$2=0,"",IFERROR(TRIM(INDEX('Pegar estudiantes'!$A$1:$BZ$1001,840,J$2)&amp;""),""))</f>
        <v/>
      </c>
      <c r="K841">
        <f>IF(K$2=0,"",IFERROR(TRIM(INDEX('Pegar estudiantes'!$A$1:$BZ$1001,840,K$2)&amp;""),""))</f>
        <v/>
      </c>
      <c r="L841" s="25">
        <f>IF(A841&lt;&gt;"",1,"")</f>
        <v/>
      </c>
      <c r="M841" s="25">
        <f>IF(L841=1,IF(ISNUMBER(FIND("#"&amp;MID(A841,1,1)&amp;"#","#0#1#2#3#4#5#6#7#8#9#")),IF(ISNUMBER(FIND("#"&amp;MID(A841,2,1)&amp;"#","#0#1#2#3#4#5#6#7#8#9#")),IF(AND(VALUE(LEFT(A841,2))&gt;=1,VALUE(LEFT(A841,2))&lt;=5),VALUE(LEFT(A841,2)),""),IF(AND(VALUE(LEFT(A841,1))&gt;=1,VALUE(LEFT(A841,1))&lt;=5),VALUE(LEFT(A841,1)),"")),""),"")</f>
        <v/>
      </c>
      <c r="N841" s="25">
        <f>IF(L841=1,IF(ISNUMBER(FIND("#"&amp;MID(H841,1,1)&amp;"#","#0#1#2#3#4#5#6#7#8#9#")),IF(ISNUMBER(FIND("#"&amp;MID(H841,2,1)&amp;"#","#0#1#2#3#4#5#6#7#8#9#")),IF(AND(VALUE(LEFT(H841,2))&gt;=1,VALUE(LEFT(H841,2))&lt;=5),VALUE(LEFT(H841,2)),""),IF(AND(VALUE(LEFT(H841,1))&gt;=1,VALUE(LEFT(H841,1))&lt;=5),VALUE(LEFT(H841,1)),"")),""),"")</f>
        <v/>
      </c>
      <c r="O841" s="25">
        <f>IF(AND(L841=1,B841&lt;&gt;""),SUBSTITUTE(SUBSTITUTE(SUBSTITUTE(SUBSTITUTE(SUBSTITUTE(SUBSTITUTE(SUBSTITUTE(SUBSTITUTE(SUBSTITUTE(SUBSTITUTE(SUBSTITUTE(SUBSTITUTE(LOWER(TRIM(B841)),"á","a"),"é","e"),"í","i"),"ó","o"),"ú","u"),"ü","u"),"ñ","n"),"à","a"),"è","e"),"ì","i"),"ò","o"),"ù","u"),"")</f>
        <v/>
      </c>
      <c r="P841" s="25">
        <f>IF(AND(L841=1,C841&lt;&gt;""),SUBSTITUTE(SUBSTITUTE(SUBSTITUTE(SUBSTITUTE(SUBSTITUTE(SUBSTITUTE(SUBSTITUTE(SUBSTITUTE(SUBSTITUTE(SUBSTITUTE(SUBSTITUTE(SUBSTITUTE(LOWER(TRIM(C841)),"á","a"),"é","e"),"í","i"),"ó","o"),"ú","u"),"ü","u"),"ñ","n"),"à","a"),"è","e"),"ì","i"),"ò","o"),"ù","u"),"")</f>
        <v/>
      </c>
      <c r="Q841" s="25">
        <f>IF(AND(L841=1,E841&lt;&gt;""),SUBSTITUTE(SUBSTITUTE(SUBSTITUTE(SUBSTITUTE(SUBSTITUTE(SUBSTITUTE(SUBSTITUTE(SUBSTITUTE(SUBSTITUTE(SUBSTITUTE(SUBSTITUTE(SUBSTITUTE(LOWER(TRIM(E841)),"á","a"),"é","e"),"í","i"),"ó","o"),"ú","u"),"ü","u"),"ñ","n"),"à","a"),"è","e"),"ì","i"),"ò","o"),"ù","u"),"")</f>
        <v/>
      </c>
      <c r="R841" s="25">
        <f>IF(AND(L841=1,I841&lt;&gt;""),SUBSTITUTE(SUBSTITUTE(SUBSTITUTE(SUBSTITUTE(SUBSTITUTE(SUBSTITUTE(SUBSTITUTE(SUBSTITUTE(SUBSTITUTE(SUBSTITUTE(SUBSTITUTE(SUBSTITUTE(LOWER(TRIM(I841)),"á","a"),"é","e"),"í","i"),"ó","o"),"ú","u"),"ü","u"),"ñ","n"),"à","a"),"è","e"),"ì","i"),"ò","o"),"ù","u"),"")</f>
        <v/>
      </c>
      <c r="S841" s="25">
        <f>IF(R841="","",IF(OR(R841="si",R841="tal vez"),1,0))</f>
        <v/>
      </c>
      <c r="T841" s="25">
        <f>IF(AND(L841=1,D841&lt;&gt;""),IF(IFERROR(COUNTIFS(D$3:D841,"="&amp;SUBSTITUTE(SUBSTITUTE(SUBSTITUTE(D841,"~","~~"),"*","~*"),"?","~?"),L$3:L841,1),0)=1,MAX(T$2:T840)+1,""),"")</f>
        <v/>
      </c>
      <c r="U841" s="25">
        <f>IF(T841="","",COUNTIFS($D$3:$D$1002,"="&amp;SUBSTITUTE(SUBSTITUTE(SUBSTITUTE(D841,"~","~~"),"*","~*"),"?","~?"),$L$3:$L$1002,1)*10000-T841)</f>
        <v/>
      </c>
      <c r="V841" s="25">
        <f>IF(AND(L841=1,J841&lt;&gt;""),IF(IFERROR(COUNTIFS(J$3:J841,"="&amp;SUBSTITUTE(SUBSTITUTE(SUBSTITUTE(J841,"~","~~"),"*","~*"),"?","~?"),L$3:L841,1),0)=1,MAX(V$2:V840)+1,""),"")</f>
        <v/>
      </c>
      <c r="W841" s="25">
        <f>IF(V841="","",COUNTIFS($J$3:$J$1002,"="&amp;SUBSTITUTE(SUBSTITUTE(SUBSTITUTE(J841,"~","~~"),"*","~*"),"?","~?"),$L$3:$L$1002,1)*10000-V841)</f>
        <v/>
      </c>
    </row>
    <row r="842">
      <c r="A842">
        <f>IF(A$2=0,"",IFERROR(TRIM(INDEX('Pegar estudiantes'!$A$1:$BZ$1001,841,A$2)&amp;""),""))</f>
        <v/>
      </c>
      <c r="B842">
        <f>IF(B$2=0,"",IFERROR(TRIM(INDEX('Pegar estudiantes'!$A$1:$BZ$1001,841,B$2)&amp;""),""))</f>
        <v/>
      </c>
      <c r="C842">
        <f>IF(C$2=0,"",IFERROR(TRIM(INDEX('Pegar estudiantes'!$A$1:$BZ$1001,841,C$2)&amp;""),""))</f>
        <v/>
      </c>
      <c r="D842">
        <f>IF(D$2=0,"",IFERROR(TRIM(INDEX('Pegar estudiantes'!$A$1:$BZ$1001,841,D$2)&amp;""),""))</f>
        <v/>
      </c>
      <c r="E842">
        <f>IF(E$2=0,"",IFERROR(TRIM(INDEX('Pegar estudiantes'!$A$1:$BZ$1001,841,E$2)&amp;""),""))</f>
        <v/>
      </c>
      <c r="F842">
        <f>IF(F$2=0,"",IFERROR(TRIM(INDEX('Pegar estudiantes'!$A$1:$BZ$1001,841,F$2)&amp;""),""))</f>
        <v/>
      </c>
      <c r="G842">
        <f>IF(G$2=0,"",IFERROR(TRIM(INDEX('Pegar estudiantes'!$A$1:$BZ$1001,841,G$2)&amp;""),""))</f>
        <v/>
      </c>
      <c r="H842">
        <f>IF(H$2=0,"",IFERROR(TRIM(INDEX('Pegar estudiantes'!$A$1:$BZ$1001,841,H$2)&amp;""),""))</f>
        <v/>
      </c>
      <c r="I842">
        <f>IF(I$2=0,"",IFERROR(TRIM(INDEX('Pegar estudiantes'!$A$1:$BZ$1001,841,I$2)&amp;""),""))</f>
        <v/>
      </c>
      <c r="J842">
        <f>IF(J$2=0,"",IFERROR(TRIM(INDEX('Pegar estudiantes'!$A$1:$BZ$1001,841,J$2)&amp;""),""))</f>
        <v/>
      </c>
      <c r="K842">
        <f>IF(K$2=0,"",IFERROR(TRIM(INDEX('Pegar estudiantes'!$A$1:$BZ$1001,841,K$2)&amp;""),""))</f>
        <v/>
      </c>
      <c r="L842" s="25">
        <f>IF(A842&lt;&gt;"",1,"")</f>
        <v/>
      </c>
      <c r="M842" s="25">
        <f>IF(L842=1,IF(ISNUMBER(FIND("#"&amp;MID(A842,1,1)&amp;"#","#0#1#2#3#4#5#6#7#8#9#")),IF(ISNUMBER(FIND("#"&amp;MID(A842,2,1)&amp;"#","#0#1#2#3#4#5#6#7#8#9#")),IF(AND(VALUE(LEFT(A842,2))&gt;=1,VALUE(LEFT(A842,2))&lt;=5),VALUE(LEFT(A842,2)),""),IF(AND(VALUE(LEFT(A842,1))&gt;=1,VALUE(LEFT(A842,1))&lt;=5),VALUE(LEFT(A842,1)),"")),""),"")</f>
        <v/>
      </c>
      <c r="N842" s="25">
        <f>IF(L842=1,IF(ISNUMBER(FIND("#"&amp;MID(H842,1,1)&amp;"#","#0#1#2#3#4#5#6#7#8#9#")),IF(ISNUMBER(FIND("#"&amp;MID(H842,2,1)&amp;"#","#0#1#2#3#4#5#6#7#8#9#")),IF(AND(VALUE(LEFT(H842,2))&gt;=1,VALUE(LEFT(H842,2))&lt;=5),VALUE(LEFT(H842,2)),""),IF(AND(VALUE(LEFT(H842,1))&gt;=1,VALUE(LEFT(H842,1))&lt;=5),VALUE(LEFT(H842,1)),"")),""),"")</f>
        <v/>
      </c>
      <c r="O842" s="25">
        <f>IF(AND(L842=1,B842&lt;&gt;""),SUBSTITUTE(SUBSTITUTE(SUBSTITUTE(SUBSTITUTE(SUBSTITUTE(SUBSTITUTE(SUBSTITUTE(SUBSTITUTE(SUBSTITUTE(SUBSTITUTE(SUBSTITUTE(SUBSTITUTE(LOWER(TRIM(B842)),"á","a"),"é","e"),"í","i"),"ó","o"),"ú","u"),"ü","u"),"ñ","n"),"à","a"),"è","e"),"ì","i"),"ò","o"),"ù","u"),"")</f>
        <v/>
      </c>
      <c r="P842" s="25">
        <f>IF(AND(L842=1,C842&lt;&gt;""),SUBSTITUTE(SUBSTITUTE(SUBSTITUTE(SUBSTITUTE(SUBSTITUTE(SUBSTITUTE(SUBSTITUTE(SUBSTITUTE(SUBSTITUTE(SUBSTITUTE(SUBSTITUTE(SUBSTITUTE(LOWER(TRIM(C842)),"á","a"),"é","e"),"í","i"),"ó","o"),"ú","u"),"ü","u"),"ñ","n"),"à","a"),"è","e"),"ì","i"),"ò","o"),"ù","u"),"")</f>
        <v/>
      </c>
      <c r="Q842" s="25">
        <f>IF(AND(L842=1,E842&lt;&gt;""),SUBSTITUTE(SUBSTITUTE(SUBSTITUTE(SUBSTITUTE(SUBSTITUTE(SUBSTITUTE(SUBSTITUTE(SUBSTITUTE(SUBSTITUTE(SUBSTITUTE(SUBSTITUTE(SUBSTITUTE(LOWER(TRIM(E842)),"á","a"),"é","e"),"í","i"),"ó","o"),"ú","u"),"ü","u"),"ñ","n"),"à","a"),"è","e"),"ì","i"),"ò","o"),"ù","u"),"")</f>
        <v/>
      </c>
      <c r="R842" s="25">
        <f>IF(AND(L842=1,I842&lt;&gt;""),SUBSTITUTE(SUBSTITUTE(SUBSTITUTE(SUBSTITUTE(SUBSTITUTE(SUBSTITUTE(SUBSTITUTE(SUBSTITUTE(SUBSTITUTE(SUBSTITUTE(SUBSTITUTE(SUBSTITUTE(LOWER(TRIM(I842)),"á","a"),"é","e"),"í","i"),"ó","o"),"ú","u"),"ü","u"),"ñ","n"),"à","a"),"è","e"),"ì","i"),"ò","o"),"ù","u"),"")</f>
        <v/>
      </c>
      <c r="S842" s="25">
        <f>IF(R842="","",IF(OR(R842="si",R842="tal vez"),1,0))</f>
        <v/>
      </c>
      <c r="T842" s="25">
        <f>IF(AND(L842=1,D842&lt;&gt;""),IF(IFERROR(COUNTIFS(D$3:D842,"="&amp;SUBSTITUTE(SUBSTITUTE(SUBSTITUTE(D842,"~","~~"),"*","~*"),"?","~?"),L$3:L842,1),0)=1,MAX(T$2:T841)+1,""),"")</f>
        <v/>
      </c>
      <c r="U842" s="25">
        <f>IF(T842="","",COUNTIFS($D$3:$D$1002,"="&amp;SUBSTITUTE(SUBSTITUTE(SUBSTITUTE(D842,"~","~~"),"*","~*"),"?","~?"),$L$3:$L$1002,1)*10000-T842)</f>
        <v/>
      </c>
      <c r="V842" s="25">
        <f>IF(AND(L842=1,J842&lt;&gt;""),IF(IFERROR(COUNTIFS(J$3:J842,"="&amp;SUBSTITUTE(SUBSTITUTE(SUBSTITUTE(J842,"~","~~"),"*","~*"),"?","~?"),L$3:L842,1),0)=1,MAX(V$2:V841)+1,""),"")</f>
        <v/>
      </c>
      <c r="W842" s="25">
        <f>IF(V842="","",COUNTIFS($J$3:$J$1002,"="&amp;SUBSTITUTE(SUBSTITUTE(SUBSTITUTE(J842,"~","~~"),"*","~*"),"?","~?"),$L$3:$L$1002,1)*10000-V842)</f>
        <v/>
      </c>
    </row>
    <row r="843">
      <c r="A843">
        <f>IF(A$2=0,"",IFERROR(TRIM(INDEX('Pegar estudiantes'!$A$1:$BZ$1001,842,A$2)&amp;""),""))</f>
        <v/>
      </c>
      <c r="B843">
        <f>IF(B$2=0,"",IFERROR(TRIM(INDEX('Pegar estudiantes'!$A$1:$BZ$1001,842,B$2)&amp;""),""))</f>
        <v/>
      </c>
      <c r="C843">
        <f>IF(C$2=0,"",IFERROR(TRIM(INDEX('Pegar estudiantes'!$A$1:$BZ$1001,842,C$2)&amp;""),""))</f>
        <v/>
      </c>
      <c r="D843">
        <f>IF(D$2=0,"",IFERROR(TRIM(INDEX('Pegar estudiantes'!$A$1:$BZ$1001,842,D$2)&amp;""),""))</f>
        <v/>
      </c>
      <c r="E843">
        <f>IF(E$2=0,"",IFERROR(TRIM(INDEX('Pegar estudiantes'!$A$1:$BZ$1001,842,E$2)&amp;""),""))</f>
        <v/>
      </c>
      <c r="F843">
        <f>IF(F$2=0,"",IFERROR(TRIM(INDEX('Pegar estudiantes'!$A$1:$BZ$1001,842,F$2)&amp;""),""))</f>
        <v/>
      </c>
      <c r="G843">
        <f>IF(G$2=0,"",IFERROR(TRIM(INDEX('Pegar estudiantes'!$A$1:$BZ$1001,842,G$2)&amp;""),""))</f>
        <v/>
      </c>
      <c r="H843">
        <f>IF(H$2=0,"",IFERROR(TRIM(INDEX('Pegar estudiantes'!$A$1:$BZ$1001,842,H$2)&amp;""),""))</f>
        <v/>
      </c>
      <c r="I843">
        <f>IF(I$2=0,"",IFERROR(TRIM(INDEX('Pegar estudiantes'!$A$1:$BZ$1001,842,I$2)&amp;""),""))</f>
        <v/>
      </c>
      <c r="J843">
        <f>IF(J$2=0,"",IFERROR(TRIM(INDEX('Pegar estudiantes'!$A$1:$BZ$1001,842,J$2)&amp;""),""))</f>
        <v/>
      </c>
      <c r="K843">
        <f>IF(K$2=0,"",IFERROR(TRIM(INDEX('Pegar estudiantes'!$A$1:$BZ$1001,842,K$2)&amp;""),""))</f>
        <v/>
      </c>
      <c r="L843" s="25">
        <f>IF(A843&lt;&gt;"",1,"")</f>
        <v/>
      </c>
      <c r="M843" s="25">
        <f>IF(L843=1,IF(ISNUMBER(FIND("#"&amp;MID(A843,1,1)&amp;"#","#0#1#2#3#4#5#6#7#8#9#")),IF(ISNUMBER(FIND("#"&amp;MID(A843,2,1)&amp;"#","#0#1#2#3#4#5#6#7#8#9#")),IF(AND(VALUE(LEFT(A843,2))&gt;=1,VALUE(LEFT(A843,2))&lt;=5),VALUE(LEFT(A843,2)),""),IF(AND(VALUE(LEFT(A843,1))&gt;=1,VALUE(LEFT(A843,1))&lt;=5),VALUE(LEFT(A843,1)),"")),""),"")</f>
        <v/>
      </c>
      <c r="N843" s="25">
        <f>IF(L843=1,IF(ISNUMBER(FIND("#"&amp;MID(H843,1,1)&amp;"#","#0#1#2#3#4#5#6#7#8#9#")),IF(ISNUMBER(FIND("#"&amp;MID(H843,2,1)&amp;"#","#0#1#2#3#4#5#6#7#8#9#")),IF(AND(VALUE(LEFT(H843,2))&gt;=1,VALUE(LEFT(H843,2))&lt;=5),VALUE(LEFT(H843,2)),""),IF(AND(VALUE(LEFT(H843,1))&gt;=1,VALUE(LEFT(H843,1))&lt;=5),VALUE(LEFT(H843,1)),"")),""),"")</f>
        <v/>
      </c>
      <c r="O843" s="25">
        <f>IF(AND(L843=1,B843&lt;&gt;""),SUBSTITUTE(SUBSTITUTE(SUBSTITUTE(SUBSTITUTE(SUBSTITUTE(SUBSTITUTE(SUBSTITUTE(SUBSTITUTE(SUBSTITUTE(SUBSTITUTE(SUBSTITUTE(SUBSTITUTE(LOWER(TRIM(B843)),"á","a"),"é","e"),"í","i"),"ó","o"),"ú","u"),"ü","u"),"ñ","n"),"à","a"),"è","e"),"ì","i"),"ò","o"),"ù","u"),"")</f>
        <v/>
      </c>
      <c r="P843" s="25">
        <f>IF(AND(L843=1,C843&lt;&gt;""),SUBSTITUTE(SUBSTITUTE(SUBSTITUTE(SUBSTITUTE(SUBSTITUTE(SUBSTITUTE(SUBSTITUTE(SUBSTITUTE(SUBSTITUTE(SUBSTITUTE(SUBSTITUTE(SUBSTITUTE(LOWER(TRIM(C843)),"á","a"),"é","e"),"í","i"),"ó","o"),"ú","u"),"ü","u"),"ñ","n"),"à","a"),"è","e"),"ì","i"),"ò","o"),"ù","u"),"")</f>
        <v/>
      </c>
      <c r="Q843" s="25">
        <f>IF(AND(L843=1,E843&lt;&gt;""),SUBSTITUTE(SUBSTITUTE(SUBSTITUTE(SUBSTITUTE(SUBSTITUTE(SUBSTITUTE(SUBSTITUTE(SUBSTITUTE(SUBSTITUTE(SUBSTITUTE(SUBSTITUTE(SUBSTITUTE(LOWER(TRIM(E843)),"á","a"),"é","e"),"í","i"),"ó","o"),"ú","u"),"ü","u"),"ñ","n"),"à","a"),"è","e"),"ì","i"),"ò","o"),"ù","u"),"")</f>
        <v/>
      </c>
      <c r="R843" s="25">
        <f>IF(AND(L843=1,I843&lt;&gt;""),SUBSTITUTE(SUBSTITUTE(SUBSTITUTE(SUBSTITUTE(SUBSTITUTE(SUBSTITUTE(SUBSTITUTE(SUBSTITUTE(SUBSTITUTE(SUBSTITUTE(SUBSTITUTE(SUBSTITUTE(LOWER(TRIM(I843)),"á","a"),"é","e"),"í","i"),"ó","o"),"ú","u"),"ü","u"),"ñ","n"),"à","a"),"è","e"),"ì","i"),"ò","o"),"ù","u"),"")</f>
        <v/>
      </c>
      <c r="S843" s="25">
        <f>IF(R843="","",IF(OR(R843="si",R843="tal vez"),1,0))</f>
        <v/>
      </c>
      <c r="T843" s="25">
        <f>IF(AND(L843=1,D843&lt;&gt;""),IF(IFERROR(COUNTIFS(D$3:D843,"="&amp;SUBSTITUTE(SUBSTITUTE(SUBSTITUTE(D843,"~","~~"),"*","~*"),"?","~?"),L$3:L843,1),0)=1,MAX(T$2:T842)+1,""),"")</f>
        <v/>
      </c>
      <c r="U843" s="25">
        <f>IF(T843="","",COUNTIFS($D$3:$D$1002,"="&amp;SUBSTITUTE(SUBSTITUTE(SUBSTITUTE(D843,"~","~~"),"*","~*"),"?","~?"),$L$3:$L$1002,1)*10000-T843)</f>
        <v/>
      </c>
      <c r="V843" s="25">
        <f>IF(AND(L843=1,J843&lt;&gt;""),IF(IFERROR(COUNTIFS(J$3:J843,"="&amp;SUBSTITUTE(SUBSTITUTE(SUBSTITUTE(J843,"~","~~"),"*","~*"),"?","~?"),L$3:L843,1),0)=1,MAX(V$2:V842)+1,""),"")</f>
        <v/>
      </c>
      <c r="W843" s="25">
        <f>IF(V843="","",COUNTIFS($J$3:$J$1002,"="&amp;SUBSTITUTE(SUBSTITUTE(SUBSTITUTE(J843,"~","~~"),"*","~*"),"?","~?"),$L$3:$L$1002,1)*10000-V843)</f>
        <v/>
      </c>
    </row>
    <row r="844">
      <c r="A844">
        <f>IF(A$2=0,"",IFERROR(TRIM(INDEX('Pegar estudiantes'!$A$1:$BZ$1001,843,A$2)&amp;""),""))</f>
        <v/>
      </c>
      <c r="B844">
        <f>IF(B$2=0,"",IFERROR(TRIM(INDEX('Pegar estudiantes'!$A$1:$BZ$1001,843,B$2)&amp;""),""))</f>
        <v/>
      </c>
      <c r="C844">
        <f>IF(C$2=0,"",IFERROR(TRIM(INDEX('Pegar estudiantes'!$A$1:$BZ$1001,843,C$2)&amp;""),""))</f>
        <v/>
      </c>
      <c r="D844">
        <f>IF(D$2=0,"",IFERROR(TRIM(INDEX('Pegar estudiantes'!$A$1:$BZ$1001,843,D$2)&amp;""),""))</f>
        <v/>
      </c>
      <c r="E844">
        <f>IF(E$2=0,"",IFERROR(TRIM(INDEX('Pegar estudiantes'!$A$1:$BZ$1001,843,E$2)&amp;""),""))</f>
        <v/>
      </c>
      <c r="F844">
        <f>IF(F$2=0,"",IFERROR(TRIM(INDEX('Pegar estudiantes'!$A$1:$BZ$1001,843,F$2)&amp;""),""))</f>
        <v/>
      </c>
      <c r="G844">
        <f>IF(G$2=0,"",IFERROR(TRIM(INDEX('Pegar estudiantes'!$A$1:$BZ$1001,843,G$2)&amp;""),""))</f>
        <v/>
      </c>
      <c r="H844">
        <f>IF(H$2=0,"",IFERROR(TRIM(INDEX('Pegar estudiantes'!$A$1:$BZ$1001,843,H$2)&amp;""),""))</f>
        <v/>
      </c>
      <c r="I844">
        <f>IF(I$2=0,"",IFERROR(TRIM(INDEX('Pegar estudiantes'!$A$1:$BZ$1001,843,I$2)&amp;""),""))</f>
        <v/>
      </c>
      <c r="J844">
        <f>IF(J$2=0,"",IFERROR(TRIM(INDEX('Pegar estudiantes'!$A$1:$BZ$1001,843,J$2)&amp;""),""))</f>
        <v/>
      </c>
      <c r="K844">
        <f>IF(K$2=0,"",IFERROR(TRIM(INDEX('Pegar estudiantes'!$A$1:$BZ$1001,843,K$2)&amp;""),""))</f>
        <v/>
      </c>
      <c r="L844" s="25">
        <f>IF(A844&lt;&gt;"",1,"")</f>
        <v/>
      </c>
      <c r="M844" s="25">
        <f>IF(L844=1,IF(ISNUMBER(FIND("#"&amp;MID(A844,1,1)&amp;"#","#0#1#2#3#4#5#6#7#8#9#")),IF(ISNUMBER(FIND("#"&amp;MID(A844,2,1)&amp;"#","#0#1#2#3#4#5#6#7#8#9#")),IF(AND(VALUE(LEFT(A844,2))&gt;=1,VALUE(LEFT(A844,2))&lt;=5),VALUE(LEFT(A844,2)),""),IF(AND(VALUE(LEFT(A844,1))&gt;=1,VALUE(LEFT(A844,1))&lt;=5),VALUE(LEFT(A844,1)),"")),""),"")</f>
        <v/>
      </c>
      <c r="N844" s="25">
        <f>IF(L844=1,IF(ISNUMBER(FIND("#"&amp;MID(H844,1,1)&amp;"#","#0#1#2#3#4#5#6#7#8#9#")),IF(ISNUMBER(FIND("#"&amp;MID(H844,2,1)&amp;"#","#0#1#2#3#4#5#6#7#8#9#")),IF(AND(VALUE(LEFT(H844,2))&gt;=1,VALUE(LEFT(H844,2))&lt;=5),VALUE(LEFT(H844,2)),""),IF(AND(VALUE(LEFT(H844,1))&gt;=1,VALUE(LEFT(H844,1))&lt;=5),VALUE(LEFT(H844,1)),"")),""),"")</f>
        <v/>
      </c>
      <c r="O844" s="25">
        <f>IF(AND(L844=1,B844&lt;&gt;""),SUBSTITUTE(SUBSTITUTE(SUBSTITUTE(SUBSTITUTE(SUBSTITUTE(SUBSTITUTE(SUBSTITUTE(SUBSTITUTE(SUBSTITUTE(SUBSTITUTE(SUBSTITUTE(SUBSTITUTE(LOWER(TRIM(B844)),"á","a"),"é","e"),"í","i"),"ó","o"),"ú","u"),"ü","u"),"ñ","n"),"à","a"),"è","e"),"ì","i"),"ò","o"),"ù","u"),"")</f>
        <v/>
      </c>
      <c r="P844" s="25">
        <f>IF(AND(L844=1,C844&lt;&gt;""),SUBSTITUTE(SUBSTITUTE(SUBSTITUTE(SUBSTITUTE(SUBSTITUTE(SUBSTITUTE(SUBSTITUTE(SUBSTITUTE(SUBSTITUTE(SUBSTITUTE(SUBSTITUTE(SUBSTITUTE(LOWER(TRIM(C844)),"á","a"),"é","e"),"í","i"),"ó","o"),"ú","u"),"ü","u"),"ñ","n"),"à","a"),"è","e"),"ì","i"),"ò","o"),"ù","u"),"")</f>
        <v/>
      </c>
      <c r="Q844" s="25">
        <f>IF(AND(L844=1,E844&lt;&gt;""),SUBSTITUTE(SUBSTITUTE(SUBSTITUTE(SUBSTITUTE(SUBSTITUTE(SUBSTITUTE(SUBSTITUTE(SUBSTITUTE(SUBSTITUTE(SUBSTITUTE(SUBSTITUTE(SUBSTITUTE(LOWER(TRIM(E844)),"á","a"),"é","e"),"í","i"),"ó","o"),"ú","u"),"ü","u"),"ñ","n"),"à","a"),"è","e"),"ì","i"),"ò","o"),"ù","u"),"")</f>
        <v/>
      </c>
      <c r="R844" s="25">
        <f>IF(AND(L844=1,I844&lt;&gt;""),SUBSTITUTE(SUBSTITUTE(SUBSTITUTE(SUBSTITUTE(SUBSTITUTE(SUBSTITUTE(SUBSTITUTE(SUBSTITUTE(SUBSTITUTE(SUBSTITUTE(SUBSTITUTE(SUBSTITUTE(LOWER(TRIM(I844)),"á","a"),"é","e"),"í","i"),"ó","o"),"ú","u"),"ü","u"),"ñ","n"),"à","a"),"è","e"),"ì","i"),"ò","o"),"ù","u"),"")</f>
        <v/>
      </c>
      <c r="S844" s="25">
        <f>IF(R844="","",IF(OR(R844="si",R844="tal vez"),1,0))</f>
        <v/>
      </c>
      <c r="T844" s="25">
        <f>IF(AND(L844=1,D844&lt;&gt;""),IF(IFERROR(COUNTIFS(D$3:D844,"="&amp;SUBSTITUTE(SUBSTITUTE(SUBSTITUTE(D844,"~","~~"),"*","~*"),"?","~?"),L$3:L844,1),0)=1,MAX(T$2:T843)+1,""),"")</f>
        <v/>
      </c>
      <c r="U844" s="25">
        <f>IF(T844="","",COUNTIFS($D$3:$D$1002,"="&amp;SUBSTITUTE(SUBSTITUTE(SUBSTITUTE(D844,"~","~~"),"*","~*"),"?","~?"),$L$3:$L$1002,1)*10000-T844)</f>
        <v/>
      </c>
      <c r="V844" s="25">
        <f>IF(AND(L844=1,J844&lt;&gt;""),IF(IFERROR(COUNTIFS(J$3:J844,"="&amp;SUBSTITUTE(SUBSTITUTE(SUBSTITUTE(J844,"~","~~"),"*","~*"),"?","~?"),L$3:L844,1),0)=1,MAX(V$2:V843)+1,""),"")</f>
        <v/>
      </c>
      <c r="W844" s="25">
        <f>IF(V844="","",COUNTIFS($J$3:$J$1002,"="&amp;SUBSTITUTE(SUBSTITUTE(SUBSTITUTE(J844,"~","~~"),"*","~*"),"?","~?"),$L$3:$L$1002,1)*10000-V844)</f>
        <v/>
      </c>
    </row>
    <row r="845">
      <c r="A845">
        <f>IF(A$2=0,"",IFERROR(TRIM(INDEX('Pegar estudiantes'!$A$1:$BZ$1001,844,A$2)&amp;""),""))</f>
        <v/>
      </c>
      <c r="B845">
        <f>IF(B$2=0,"",IFERROR(TRIM(INDEX('Pegar estudiantes'!$A$1:$BZ$1001,844,B$2)&amp;""),""))</f>
        <v/>
      </c>
      <c r="C845">
        <f>IF(C$2=0,"",IFERROR(TRIM(INDEX('Pegar estudiantes'!$A$1:$BZ$1001,844,C$2)&amp;""),""))</f>
        <v/>
      </c>
      <c r="D845">
        <f>IF(D$2=0,"",IFERROR(TRIM(INDEX('Pegar estudiantes'!$A$1:$BZ$1001,844,D$2)&amp;""),""))</f>
        <v/>
      </c>
      <c r="E845">
        <f>IF(E$2=0,"",IFERROR(TRIM(INDEX('Pegar estudiantes'!$A$1:$BZ$1001,844,E$2)&amp;""),""))</f>
        <v/>
      </c>
      <c r="F845">
        <f>IF(F$2=0,"",IFERROR(TRIM(INDEX('Pegar estudiantes'!$A$1:$BZ$1001,844,F$2)&amp;""),""))</f>
        <v/>
      </c>
      <c r="G845">
        <f>IF(G$2=0,"",IFERROR(TRIM(INDEX('Pegar estudiantes'!$A$1:$BZ$1001,844,G$2)&amp;""),""))</f>
        <v/>
      </c>
      <c r="H845">
        <f>IF(H$2=0,"",IFERROR(TRIM(INDEX('Pegar estudiantes'!$A$1:$BZ$1001,844,H$2)&amp;""),""))</f>
        <v/>
      </c>
      <c r="I845">
        <f>IF(I$2=0,"",IFERROR(TRIM(INDEX('Pegar estudiantes'!$A$1:$BZ$1001,844,I$2)&amp;""),""))</f>
        <v/>
      </c>
      <c r="J845">
        <f>IF(J$2=0,"",IFERROR(TRIM(INDEX('Pegar estudiantes'!$A$1:$BZ$1001,844,J$2)&amp;""),""))</f>
        <v/>
      </c>
      <c r="K845">
        <f>IF(K$2=0,"",IFERROR(TRIM(INDEX('Pegar estudiantes'!$A$1:$BZ$1001,844,K$2)&amp;""),""))</f>
        <v/>
      </c>
      <c r="L845" s="25">
        <f>IF(A845&lt;&gt;"",1,"")</f>
        <v/>
      </c>
      <c r="M845" s="25">
        <f>IF(L845=1,IF(ISNUMBER(FIND("#"&amp;MID(A845,1,1)&amp;"#","#0#1#2#3#4#5#6#7#8#9#")),IF(ISNUMBER(FIND("#"&amp;MID(A845,2,1)&amp;"#","#0#1#2#3#4#5#6#7#8#9#")),IF(AND(VALUE(LEFT(A845,2))&gt;=1,VALUE(LEFT(A845,2))&lt;=5),VALUE(LEFT(A845,2)),""),IF(AND(VALUE(LEFT(A845,1))&gt;=1,VALUE(LEFT(A845,1))&lt;=5),VALUE(LEFT(A845,1)),"")),""),"")</f>
        <v/>
      </c>
      <c r="N845" s="25">
        <f>IF(L845=1,IF(ISNUMBER(FIND("#"&amp;MID(H845,1,1)&amp;"#","#0#1#2#3#4#5#6#7#8#9#")),IF(ISNUMBER(FIND("#"&amp;MID(H845,2,1)&amp;"#","#0#1#2#3#4#5#6#7#8#9#")),IF(AND(VALUE(LEFT(H845,2))&gt;=1,VALUE(LEFT(H845,2))&lt;=5),VALUE(LEFT(H845,2)),""),IF(AND(VALUE(LEFT(H845,1))&gt;=1,VALUE(LEFT(H845,1))&lt;=5),VALUE(LEFT(H845,1)),"")),""),"")</f>
        <v/>
      </c>
      <c r="O845" s="25">
        <f>IF(AND(L845=1,B845&lt;&gt;""),SUBSTITUTE(SUBSTITUTE(SUBSTITUTE(SUBSTITUTE(SUBSTITUTE(SUBSTITUTE(SUBSTITUTE(SUBSTITUTE(SUBSTITUTE(SUBSTITUTE(SUBSTITUTE(SUBSTITUTE(LOWER(TRIM(B845)),"á","a"),"é","e"),"í","i"),"ó","o"),"ú","u"),"ü","u"),"ñ","n"),"à","a"),"è","e"),"ì","i"),"ò","o"),"ù","u"),"")</f>
        <v/>
      </c>
      <c r="P845" s="25">
        <f>IF(AND(L845=1,C845&lt;&gt;""),SUBSTITUTE(SUBSTITUTE(SUBSTITUTE(SUBSTITUTE(SUBSTITUTE(SUBSTITUTE(SUBSTITUTE(SUBSTITUTE(SUBSTITUTE(SUBSTITUTE(SUBSTITUTE(SUBSTITUTE(LOWER(TRIM(C845)),"á","a"),"é","e"),"í","i"),"ó","o"),"ú","u"),"ü","u"),"ñ","n"),"à","a"),"è","e"),"ì","i"),"ò","o"),"ù","u"),"")</f>
        <v/>
      </c>
      <c r="Q845" s="25">
        <f>IF(AND(L845=1,E845&lt;&gt;""),SUBSTITUTE(SUBSTITUTE(SUBSTITUTE(SUBSTITUTE(SUBSTITUTE(SUBSTITUTE(SUBSTITUTE(SUBSTITUTE(SUBSTITUTE(SUBSTITUTE(SUBSTITUTE(SUBSTITUTE(LOWER(TRIM(E845)),"á","a"),"é","e"),"í","i"),"ó","o"),"ú","u"),"ü","u"),"ñ","n"),"à","a"),"è","e"),"ì","i"),"ò","o"),"ù","u"),"")</f>
        <v/>
      </c>
      <c r="R845" s="25">
        <f>IF(AND(L845=1,I845&lt;&gt;""),SUBSTITUTE(SUBSTITUTE(SUBSTITUTE(SUBSTITUTE(SUBSTITUTE(SUBSTITUTE(SUBSTITUTE(SUBSTITUTE(SUBSTITUTE(SUBSTITUTE(SUBSTITUTE(SUBSTITUTE(LOWER(TRIM(I845)),"á","a"),"é","e"),"í","i"),"ó","o"),"ú","u"),"ü","u"),"ñ","n"),"à","a"),"è","e"),"ì","i"),"ò","o"),"ù","u"),"")</f>
        <v/>
      </c>
      <c r="S845" s="25">
        <f>IF(R845="","",IF(OR(R845="si",R845="tal vez"),1,0))</f>
        <v/>
      </c>
      <c r="T845" s="25">
        <f>IF(AND(L845=1,D845&lt;&gt;""),IF(IFERROR(COUNTIFS(D$3:D845,"="&amp;SUBSTITUTE(SUBSTITUTE(SUBSTITUTE(D845,"~","~~"),"*","~*"),"?","~?"),L$3:L845,1),0)=1,MAX(T$2:T844)+1,""),"")</f>
        <v/>
      </c>
      <c r="U845" s="25">
        <f>IF(T845="","",COUNTIFS($D$3:$D$1002,"="&amp;SUBSTITUTE(SUBSTITUTE(SUBSTITUTE(D845,"~","~~"),"*","~*"),"?","~?"),$L$3:$L$1002,1)*10000-T845)</f>
        <v/>
      </c>
      <c r="V845" s="25">
        <f>IF(AND(L845=1,J845&lt;&gt;""),IF(IFERROR(COUNTIFS(J$3:J845,"="&amp;SUBSTITUTE(SUBSTITUTE(SUBSTITUTE(J845,"~","~~"),"*","~*"),"?","~?"),L$3:L845,1),0)=1,MAX(V$2:V844)+1,""),"")</f>
        <v/>
      </c>
      <c r="W845" s="25">
        <f>IF(V845="","",COUNTIFS($J$3:$J$1002,"="&amp;SUBSTITUTE(SUBSTITUTE(SUBSTITUTE(J845,"~","~~"),"*","~*"),"?","~?"),$L$3:$L$1002,1)*10000-V845)</f>
        <v/>
      </c>
    </row>
    <row r="846">
      <c r="A846">
        <f>IF(A$2=0,"",IFERROR(TRIM(INDEX('Pegar estudiantes'!$A$1:$BZ$1001,845,A$2)&amp;""),""))</f>
        <v/>
      </c>
      <c r="B846">
        <f>IF(B$2=0,"",IFERROR(TRIM(INDEX('Pegar estudiantes'!$A$1:$BZ$1001,845,B$2)&amp;""),""))</f>
        <v/>
      </c>
      <c r="C846">
        <f>IF(C$2=0,"",IFERROR(TRIM(INDEX('Pegar estudiantes'!$A$1:$BZ$1001,845,C$2)&amp;""),""))</f>
        <v/>
      </c>
      <c r="D846">
        <f>IF(D$2=0,"",IFERROR(TRIM(INDEX('Pegar estudiantes'!$A$1:$BZ$1001,845,D$2)&amp;""),""))</f>
        <v/>
      </c>
      <c r="E846">
        <f>IF(E$2=0,"",IFERROR(TRIM(INDEX('Pegar estudiantes'!$A$1:$BZ$1001,845,E$2)&amp;""),""))</f>
        <v/>
      </c>
      <c r="F846">
        <f>IF(F$2=0,"",IFERROR(TRIM(INDEX('Pegar estudiantes'!$A$1:$BZ$1001,845,F$2)&amp;""),""))</f>
        <v/>
      </c>
      <c r="G846">
        <f>IF(G$2=0,"",IFERROR(TRIM(INDEX('Pegar estudiantes'!$A$1:$BZ$1001,845,G$2)&amp;""),""))</f>
        <v/>
      </c>
      <c r="H846">
        <f>IF(H$2=0,"",IFERROR(TRIM(INDEX('Pegar estudiantes'!$A$1:$BZ$1001,845,H$2)&amp;""),""))</f>
        <v/>
      </c>
      <c r="I846">
        <f>IF(I$2=0,"",IFERROR(TRIM(INDEX('Pegar estudiantes'!$A$1:$BZ$1001,845,I$2)&amp;""),""))</f>
        <v/>
      </c>
      <c r="J846">
        <f>IF(J$2=0,"",IFERROR(TRIM(INDEX('Pegar estudiantes'!$A$1:$BZ$1001,845,J$2)&amp;""),""))</f>
        <v/>
      </c>
      <c r="K846">
        <f>IF(K$2=0,"",IFERROR(TRIM(INDEX('Pegar estudiantes'!$A$1:$BZ$1001,845,K$2)&amp;""),""))</f>
        <v/>
      </c>
      <c r="L846" s="25">
        <f>IF(A846&lt;&gt;"",1,"")</f>
        <v/>
      </c>
      <c r="M846" s="25">
        <f>IF(L846=1,IF(ISNUMBER(FIND("#"&amp;MID(A846,1,1)&amp;"#","#0#1#2#3#4#5#6#7#8#9#")),IF(ISNUMBER(FIND("#"&amp;MID(A846,2,1)&amp;"#","#0#1#2#3#4#5#6#7#8#9#")),IF(AND(VALUE(LEFT(A846,2))&gt;=1,VALUE(LEFT(A846,2))&lt;=5),VALUE(LEFT(A846,2)),""),IF(AND(VALUE(LEFT(A846,1))&gt;=1,VALUE(LEFT(A846,1))&lt;=5),VALUE(LEFT(A846,1)),"")),""),"")</f>
        <v/>
      </c>
      <c r="N846" s="25">
        <f>IF(L846=1,IF(ISNUMBER(FIND("#"&amp;MID(H846,1,1)&amp;"#","#0#1#2#3#4#5#6#7#8#9#")),IF(ISNUMBER(FIND("#"&amp;MID(H846,2,1)&amp;"#","#0#1#2#3#4#5#6#7#8#9#")),IF(AND(VALUE(LEFT(H846,2))&gt;=1,VALUE(LEFT(H846,2))&lt;=5),VALUE(LEFT(H846,2)),""),IF(AND(VALUE(LEFT(H846,1))&gt;=1,VALUE(LEFT(H846,1))&lt;=5),VALUE(LEFT(H846,1)),"")),""),"")</f>
        <v/>
      </c>
      <c r="O846" s="25">
        <f>IF(AND(L846=1,B846&lt;&gt;""),SUBSTITUTE(SUBSTITUTE(SUBSTITUTE(SUBSTITUTE(SUBSTITUTE(SUBSTITUTE(SUBSTITUTE(SUBSTITUTE(SUBSTITUTE(SUBSTITUTE(SUBSTITUTE(SUBSTITUTE(LOWER(TRIM(B846)),"á","a"),"é","e"),"í","i"),"ó","o"),"ú","u"),"ü","u"),"ñ","n"),"à","a"),"è","e"),"ì","i"),"ò","o"),"ù","u"),"")</f>
        <v/>
      </c>
      <c r="P846" s="25">
        <f>IF(AND(L846=1,C846&lt;&gt;""),SUBSTITUTE(SUBSTITUTE(SUBSTITUTE(SUBSTITUTE(SUBSTITUTE(SUBSTITUTE(SUBSTITUTE(SUBSTITUTE(SUBSTITUTE(SUBSTITUTE(SUBSTITUTE(SUBSTITUTE(LOWER(TRIM(C846)),"á","a"),"é","e"),"í","i"),"ó","o"),"ú","u"),"ü","u"),"ñ","n"),"à","a"),"è","e"),"ì","i"),"ò","o"),"ù","u"),"")</f>
        <v/>
      </c>
      <c r="Q846" s="25">
        <f>IF(AND(L846=1,E846&lt;&gt;""),SUBSTITUTE(SUBSTITUTE(SUBSTITUTE(SUBSTITUTE(SUBSTITUTE(SUBSTITUTE(SUBSTITUTE(SUBSTITUTE(SUBSTITUTE(SUBSTITUTE(SUBSTITUTE(SUBSTITUTE(LOWER(TRIM(E846)),"á","a"),"é","e"),"í","i"),"ó","o"),"ú","u"),"ü","u"),"ñ","n"),"à","a"),"è","e"),"ì","i"),"ò","o"),"ù","u"),"")</f>
        <v/>
      </c>
      <c r="R846" s="25">
        <f>IF(AND(L846=1,I846&lt;&gt;""),SUBSTITUTE(SUBSTITUTE(SUBSTITUTE(SUBSTITUTE(SUBSTITUTE(SUBSTITUTE(SUBSTITUTE(SUBSTITUTE(SUBSTITUTE(SUBSTITUTE(SUBSTITUTE(SUBSTITUTE(LOWER(TRIM(I846)),"á","a"),"é","e"),"í","i"),"ó","o"),"ú","u"),"ü","u"),"ñ","n"),"à","a"),"è","e"),"ì","i"),"ò","o"),"ù","u"),"")</f>
        <v/>
      </c>
      <c r="S846" s="25">
        <f>IF(R846="","",IF(OR(R846="si",R846="tal vez"),1,0))</f>
        <v/>
      </c>
      <c r="T846" s="25">
        <f>IF(AND(L846=1,D846&lt;&gt;""),IF(IFERROR(COUNTIFS(D$3:D846,"="&amp;SUBSTITUTE(SUBSTITUTE(SUBSTITUTE(D846,"~","~~"),"*","~*"),"?","~?"),L$3:L846,1),0)=1,MAX(T$2:T845)+1,""),"")</f>
        <v/>
      </c>
      <c r="U846" s="25">
        <f>IF(T846="","",COUNTIFS($D$3:$D$1002,"="&amp;SUBSTITUTE(SUBSTITUTE(SUBSTITUTE(D846,"~","~~"),"*","~*"),"?","~?"),$L$3:$L$1002,1)*10000-T846)</f>
        <v/>
      </c>
      <c r="V846" s="25">
        <f>IF(AND(L846=1,J846&lt;&gt;""),IF(IFERROR(COUNTIFS(J$3:J846,"="&amp;SUBSTITUTE(SUBSTITUTE(SUBSTITUTE(J846,"~","~~"),"*","~*"),"?","~?"),L$3:L846,1),0)=1,MAX(V$2:V845)+1,""),"")</f>
        <v/>
      </c>
      <c r="W846" s="25">
        <f>IF(V846="","",COUNTIFS($J$3:$J$1002,"="&amp;SUBSTITUTE(SUBSTITUTE(SUBSTITUTE(J846,"~","~~"),"*","~*"),"?","~?"),$L$3:$L$1002,1)*10000-V846)</f>
        <v/>
      </c>
    </row>
    <row r="847">
      <c r="A847">
        <f>IF(A$2=0,"",IFERROR(TRIM(INDEX('Pegar estudiantes'!$A$1:$BZ$1001,846,A$2)&amp;""),""))</f>
        <v/>
      </c>
      <c r="B847">
        <f>IF(B$2=0,"",IFERROR(TRIM(INDEX('Pegar estudiantes'!$A$1:$BZ$1001,846,B$2)&amp;""),""))</f>
        <v/>
      </c>
      <c r="C847">
        <f>IF(C$2=0,"",IFERROR(TRIM(INDEX('Pegar estudiantes'!$A$1:$BZ$1001,846,C$2)&amp;""),""))</f>
        <v/>
      </c>
      <c r="D847">
        <f>IF(D$2=0,"",IFERROR(TRIM(INDEX('Pegar estudiantes'!$A$1:$BZ$1001,846,D$2)&amp;""),""))</f>
        <v/>
      </c>
      <c r="E847">
        <f>IF(E$2=0,"",IFERROR(TRIM(INDEX('Pegar estudiantes'!$A$1:$BZ$1001,846,E$2)&amp;""),""))</f>
        <v/>
      </c>
      <c r="F847">
        <f>IF(F$2=0,"",IFERROR(TRIM(INDEX('Pegar estudiantes'!$A$1:$BZ$1001,846,F$2)&amp;""),""))</f>
        <v/>
      </c>
      <c r="G847">
        <f>IF(G$2=0,"",IFERROR(TRIM(INDEX('Pegar estudiantes'!$A$1:$BZ$1001,846,G$2)&amp;""),""))</f>
        <v/>
      </c>
      <c r="H847">
        <f>IF(H$2=0,"",IFERROR(TRIM(INDEX('Pegar estudiantes'!$A$1:$BZ$1001,846,H$2)&amp;""),""))</f>
        <v/>
      </c>
      <c r="I847">
        <f>IF(I$2=0,"",IFERROR(TRIM(INDEX('Pegar estudiantes'!$A$1:$BZ$1001,846,I$2)&amp;""),""))</f>
        <v/>
      </c>
      <c r="J847">
        <f>IF(J$2=0,"",IFERROR(TRIM(INDEX('Pegar estudiantes'!$A$1:$BZ$1001,846,J$2)&amp;""),""))</f>
        <v/>
      </c>
      <c r="K847">
        <f>IF(K$2=0,"",IFERROR(TRIM(INDEX('Pegar estudiantes'!$A$1:$BZ$1001,846,K$2)&amp;""),""))</f>
        <v/>
      </c>
      <c r="L847" s="25">
        <f>IF(A847&lt;&gt;"",1,"")</f>
        <v/>
      </c>
      <c r="M847" s="25">
        <f>IF(L847=1,IF(ISNUMBER(FIND("#"&amp;MID(A847,1,1)&amp;"#","#0#1#2#3#4#5#6#7#8#9#")),IF(ISNUMBER(FIND("#"&amp;MID(A847,2,1)&amp;"#","#0#1#2#3#4#5#6#7#8#9#")),IF(AND(VALUE(LEFT(A847,2))&gt;=1,VALUE(LEFT(A847,2))&lt;=5),VALUE(LEFT(A847,2)),""),IF(AND(VALUE(LEFT(A847,1))&gt;=1,VALUE(LEFT(A847,1))&lt;=5),VALUE(LEFT(A847,1)),"")),""),"")</f>
        <v/>
      </c>
      <c r="N847" s="25">
        <f>IF(L847=1,IF(ISNUMBER(FIND("#"&amp;MID(H847,1,1)&amp;"#","#0#1#2#3#4#5#6#7#8#9#")),IF(ISNUMBER(FIND("#"&amp;MID(H847,2,1)&amp;"#","#0#1#2#3#4#5#6#7#8#9#")),IF(AND(VALUE(LEFT(H847,2))&gt;=1,VALUE(LEFT(H847,2))&lt;=5),VALUE(LEFT(H847,2)),""),IF(AND(VALUE(LEFT(H847,1))&gt;=1,VALUE(LEFT(H847,1))&lt;=5),VALUE(LEFT(H847,1)),"")),""),"")</f>
        <v/>
      </c>
      <c r="O847" s="25">
        <f>IF(AND(L847=1,B847&lt;&gt;""),SUBSTITUTE(SUBSTITUTE(SUBSTITUTE(SUBSTITUTE(SUBSTITUTE(SUBSTITUTE(SUBSTITUTE(SUBSTITUTE(SUBSTITUTE(SUBSTITUTE(SUBSTITUTE(SUBSTITUTE(LOWER(TRIM(B847)),"á","a"),"é","e"),"í","i"),"ó","o"),"ú","u"),"ü","u"),"ñ","n"),"à","a"),"è","e"),"ì","i"),"ò","o"),"ù","u"),"")</f>
        <v/>
      </c>
      <c r="P847" s="25">
        <f>IF(AND(L847=1,C847&lt;&gt;""),SUBSTITUTE(SUBSTITUTE(SUBSTITUTE(SUBSTITUTE(SUBSTITUTE(SUBSTITUTE(SUBSTITUTE(SUBSTITUTE(SUBSTITUTE(SUBSTITUTE(SUBSTITUTE(SUBSTITUTE(LOWER(TRIM(C847)),"á","a"),"é","e"),"í","i"),"ó","o"),"ú","u"),"ü","u"),"ñ","n"),"à","a"),"è","e"),"ì","i"),"ò","o"),"ù","u"),"")</f>
        <v/>
      </c>
      <c r="Q847" s="25">
        <f>IF(AND(L847=1,E847&lt;&gt;""),SUBSTITUTE(SUBSTITUTE(SUBSTITUTE(SUBSTITUTE(SUBSTITUTE(SUBSTITUTE(SUBSTITUTE(SUBSTITUTE(SUBSTITUTE(SUBSTITUTE(SUBSTITUTE(SUBSTITUTE(LOWER(TRIM(E847)),"á","a"),"é","e"),"í","i"),"ó","o"),"ú","u"),"ü","u"),"ñ","n"),"à","a"),"è","e"),"ì","i"),"ò","o"),"ù","u"),"")</f>
        <v/>
      </c>
      <c r="R847" s="25">
        <f>IF(AND(L847=1,I847&lt;&gt;""),SUBSTITUTE(SUBSTITUTE(SUBSTITUTE(SUBSTITUTE(SUBSTITUTE(SUBSTITUTE(SUBSTITUTE(SUBSTITUTE(SUBSTITUTE(SUBSTITUTE(SUBSTITUTE(SUBSTITUTE(LOWER(TRIM(I847)),"á","a"),"é","e"),"í","i"),"ó","o"),"ú","u"),"ü","u"),"ñ","n"),"à","a"),"è","e"),"ì","i"),"ò","o"),"ù","u"),"")</f>
        <v/>
      </c>
      <c r="S847" s="25">
        <f>IF(R847="","",IF(OR(R847="si",R847="tal vez"),1,0))</f>
        <v/>
      </c>
      <c r="T847" s="25">
        <f>IF(AND(L847=1,D847&lt;&gt;""),IF(IFERROR(COUNTIFS(D$3:D847,"="&amp;SUBSTITUTE(SUBSTITUTE(SUBSTITUTE(D847,"~","~~"),"*","~*"),"?","~?"),L$3:L847,1),0)=1,MAX(T$2:T846)+1,""),"")</f>
        <v/>
      </c>
      <c r="U847" s="25">
        <f>IF(T847="","",COUNTIFS($D$3:$D$1002,"="&amp;SUBSTITUTE(SUBSTITUTE(SUBSTITUTE(D847,"~","~~"),"*","~*"),"?","~?"),$L$3:$L$1002,1)*10000-T847)</f>
        <v/>
      </c>
      <c r="V847" s="25">
        <f>IF(AND(L847=1,J847&lt;&gt;""),IF(IFERROR(COUNTIFS(J$3:J847,"="&amp;SUBSTITUTE(SUBSTITUTE(SUBSTITUTE(J847,"~","~~"),"*","~*"),"?","~?"),L$3:L847,1),0)=1,MAX(V$2:V846)+1,""),"")</f>
        <v/>
      </c>
      <c r="W847" s="25">
        <f>IF(V847="","",COUNTIFS($J$3:$J$1002,"="&amp;SUBSTITUTE(SUBSTITUTE(SUBSTITUTE(J847,"~","~~"),"*","~*"),"?","~?"),$L$3:$L$1002,1)*10000-V847)</f>
        <v/>
      </c>
    </row>
    <row r="848">
      <c r="A848">
        <f>IF(A$2=0,"",IFERROR(TRIM(INDEX('Pegar estudiantes'!$A$1:$BZ$1001,847,A$2)&amp;""),""))</f>
        <v/>
      </c>
      <c r="B848">
        <f>IF(B$2=0,"",IFERROR(TRIM(INDEX('Pegar estudiantes'!$A$1:$BZ$1001,847,B$2)&amp;""),""))</f>
        <v/>
      </c>
      <c r="C848">
        <f>IF(C$2=0,"",IFERROR(TRIM(INDEX('Pegar estudiantes'!$A$1:$BZ$1001,847,C$2)&amp;""),""))</f>
        <v/>
      </c>
      <c r="D848">
        <f>IF(D$2=0,"",IFERROR(TRIM(INDEX('Pegar estudiantes'!$A$1:$BZ$1001,847,D$2)&amp;""),""))</f>
        <v/>
      </c>
      <c r="E848">
        <f>IF(E$2=0,"",IFERROR(TRIM(INDEX('Pegar estudiantes'!$A$1:$BZ$1001,847,E$2)&amp;""),""))</f>
        <v/>
      </c>
      <c r="F848">
        <f>IF(F$2=0,"",IFERROR(TRIM(INDEX('Pegar estudiantes'!$A$1:$BZ$1001,847,F$2)&amp;""),""))</f>
        <v/>
      </c>
      <c r="G848">
        <f>IF(G$2=0,"",IFERROR(TRIM(INDEX('Pegar estudiantes'!$A$1:$BZ$1001,847,G$2)&amp;""),""))</f>
        <v/>
      </c>
      <c r="H848">
        <f>IF(H$2=0,"",IFERROR(TRIM(INDEX('Pegar estudiantes'!$A$1:$BZ$1001,847,H$2)&amp;""),""))</f>
        <v/>
      </c>
      <c r="I848">
        <f>IF(I$2=0,"",IFERROR(TRIM(INDEX('Pegar estudiantes'!$A$1:$BZ$1001,847,I$2)&amp;""),""))</f>
        <v/>
      </c>
      <c r="J848">
        <f>IF(J$2=0,"",IFERROR(TRIM(INDEX('Pegar estudiantes'!$A$1:$BZ$1001,847,J$2)&amp;""),""))</f>
        <v/>
      </c>
      <c r="K848">
        <f>IF(K$2=0,"",IFERROR(TRIM(INDEX('Pegar estudiantes'!$A$1:$BZ$1001,847,K$2)&amp;""),""))</f>
        <v/>
      </c>
      <c r="L848" s="25">
        <f>IF(A848&lt;&gt;"",1,"")</f>
        <v/>
      </c>
      <c r="M848" s="25">
        <f>IF(L848=1,IF(ISNUMBER(FIND("#"&amp;MID(A848,1,1)&amp;"#","#0#1#2#3#4#5#6#7#8#9#")),IF(ISNUMBER(FIND("#"&amp;MID(A848,2,1)&amp;"#","#0#1#2#3#4#5#6#7#8#9#")),IF(AND(VALUE(LEFT(A848,2))&gt;=1,VALUE(LEFT(A848,2))&lt;=5),VALUE(LEFT(A848,2)),""),IF(AND(VALUE(LEFT(A848,1))&gt;=1,VALUE(LEFT(A848,1))&lt;=5),VALUE(LEFT(A848,1)),"")),""),"")</f>
        <v/>
      </c>
      <c r="N848" s="25">
        <f>IF(L848=1,IF(ISNUMBER(FIND("#"&amp;MID(H848,1,1)&amp;"#","#0#1#2#3#4#5#6#7#8#9#")),IF(ISNUMBER(FIND("#"&amp;MID(H848,2,1)&amp;"#","#0#1#2#3#4#5#6#7#8#9#")),IF(AND(VALUE(LEFT(H848,2))&gt;=1,VALUE(LEFT(H848,2))&lt;=5),VALUE(LEFT(H848,2)),""),IF(AND(VALUE(LEFT(H848,1))&gt;=1,VALUE(LEFT(H848,1))&lt;=5),VALUE(LEFT(H848,1)),"")),""),"")</f>
        <v/>
      </c>
      <c r="O848" s="25">
        <f>IF(AND(L848=1,B848&lt;&gt;""),SUBSTITUTE(SUBSTITUTE(SUBSTITUTE(SUBSTITUTE(SUBSTITUTE(SUBSTITUTE(SUBSTITUTE(SUBSTITUTE(SUBSTITUTE(SUBSTITUTE(SUBSTITUTE(SUBSTITUTE(LOWER(TRIM(B848)),"á","a"),"é","e"),"í","i"),"ó","o"),"ú","u"),"ü","u"),"ñ","n"),"à","a"),"è","e"),"ì","i"),"ò","o"),"ù","u"),"")</f>
        <v/>
      </c>
      <c r="P848" s="25">
        <f>IF(AND(L848=1,C848&lt;&gt;""),SUBSTITUTE(SUBSTITUTE(SUBSTITUTE(SUBSTITUTE(SUBSTITUTE(SUBSTITUTE(SUBSTITUTE(SUBSTITUTE(SUBSTITUTE(SUBSTITUTE(SUBSTITUTE(SUBSTITUTE(LOWER(TRIM(C848)),"á","a"),"é","e"),"í","i"),"ó","o"),"ú","u"),"ü","u"),"ñ","n"),"à","a"),"è","e"),"ì","i"),"ò","o"),"ù","u"),"")</f>
        <v/>
      </c>
      <c r="Q848" s="25">
        <f>IF(AND(L848=1,E848&lt;&gt;""),SUBSTITUTE(SUBSTITUTE(SUBSTITUTE(SUBSTITUTE(SUBSTITUTE(SUBSTITUTE(SUBSTITUTE(SUBSTITUTE(SUBSTITUTE(SUBSTITUTE(SUBSTITUTE(SUBSTITUTE(LOWER(TRIM(E848)),"á","a"),"é","e"),"í","i"),"ó","o"),"ú","u"),"ü","u"),"ñ","n"),"à","a"),"è","e"),"ì","i"),"ò","o"),"ù","u"),"")</f>
        <v/>
      </c>
      <c r="R848" s="25">
        <f>IF(AND(L848=1,I848&lt;&gt;""),SUBSTITUTE(SUBSTITUTE(SUBSTITUTE(SUBSTITUTE(SUBSTITUTE(SUBSTITUTE(SUBSTITUTE(SUBSTITUTE(SUBSTITUTE(SUBSTITUTE(SUBSTITUTE(SUBSTITUTE(LOWER(TRIM(I848)),"á","a"),"é","e"),"í","i"),"ó","o"),"ú","u"),"ü","u"),"ñ","n"),"à","a"),"è","e"),"ì","i"),"ò","o"),"ù","u"),"")</f>
        <v/>
      </c>
      <c r="S848" s="25">
        <f>IF(R848="","",IF(OR(R848="si",R848="tal vez"),1,0))</f>
        <v/>
      </c>
      <c r="T848" s="25">
        <f>IF(AND(L848=1,D848&lt;&gt;""),IF(IFERROR(COUNTIFS(D$3:D848,"="&amp;SUBSTITUTE(SUBSTITUTE(SUBSTITUTE(D848,"~","~~"),"*","~*"),"?","~?"),L$3:L848,1),0)=1,MAX(T$2:T847)+1,""),"")</f>
        <v/>
      </c>
      <c r="U848" s="25">
        <f>IF(T848="","",COUNTIFS($D$3:$D$1002,"="&amp;SUBSTITUTE(SUBSTITUTE(SUBSTITUTE(D848,"~","~~"),"*","~*"),"?","~?"),$L$3:$L$1002,1)*10000-T848)</f>
        <v/>
      </c>
      <c r="V848" s="25">
        <f>IF(AND(L848=1,J848&lt;&gt;""),IF(IFERROR(COUNTIFS(J$3:J848,"="&amp;SUBSTITUTE(SUBSTITUTE(SUBSTITUTE(J848,"~","~~"),"*","~*"),"?","~?"),L$3:L848,1),0)=1,MAX(V$2:V847)+1,""),"")</f>
        <v/>
      </c>
      <c r="W848" s="25">
        <f>IF(V848="","",COUNTIFS($J$3:$J$1002,"="&amp;SUBSTITUTE(SUBSTITUTE(SUBSTITUTE(J848,"~","~~"),"*","~*"),"?","~?"),$L$3:$L$1002,1)*10000-V848)</f>
        <v/>
      </c>
    </row>
    <row r="849">
      <c r="A849">
        <f>IF(A$2=0,"",IFERROR(TRIM(INDEX('Pegar estudiantes'!$A$1:$BZ$1001,848,A$2)&amp;""),""))</f>
        <v/>
      </c>
      <c r="B849">
        <f>IF(B$2=0,"",IFERROR(TRIM(INDEX('Pegar estudiantes'!$A$1:$BZ$1001,848,B$2)&amp;""),""))</f>
        <v/>
      </c>
      <c r="C849">
        <f>IF(C$2=0,"",IFERROR(TRIM(INDEX('Pegar estudiantes'!$A$1:$BZ$1001,848,C$2)&amp;""),""))</f>
        <v/>
      </c>
      <c r="D849">
        <f>IF(D$2=0,"",IFERROR(TRIM(INDEX('Pegar estudiantes'!$A$1:$BZ$1001,848,D$2)&amp;""),""))</f>
        <v/>
      </c>
      <c r="E849">
        <f>IF(E$2=0,"",IFERROR(TRIM(INDEX('Pegar estudiantes'!$A$1:$BZ$1001,848,E$2)&amp;""),""))</f>
        <v/>
      </c>
      <c r="F849">
        <f>IF(F$2=0,"",IFERROR(TRIM(INDEX('Pegar estudiantes'!$A$1:$BZ$1001,848,F$2)&amp;""),""))</f>
        <v/>
      </c>
      <c r="G849">
        <f>IF(G$2=0,"",IFERROR(TRIM(INDEX('Pegar estudiantes'!$A$1:$BZ$1001,848,G$2)&amp;""),""))</f>
        <v/>
      </c>
      <c r="H849">
        <f>IF(H$2=0,"",IFERROR(TRIM(INDEX('Pegar estudiantes'!$A$1:$BZ$1001,848,H$2)&amp;""),""))</f>
        <v/>
      </c>
      <c r="I849">
        <f>IF(I$2=0,"",IFERROR(TRIM(INDEX('Pegar estudiantes'!$A$1:$BZ$1001,848,I$2)&amp;""),""))</f>
        <v/>
      </c>
      <c r="J849">
        <f>IF(J$2=0,"",IFERROR(TRIM(INDEX('Pegar estudiantes'!$A$1:$BZ$1001,848,J$2)&amp;""),""))</f>
        <v/>
      </c>
      <c r="K849">
        <f>IF(K$2=0,"",IFERROR(TRIM(INDEX('Pegar estudiantes'!$A$1:$BZ$1001,848,K$2)&amp;""),""))</f>
        <v/>
      </c>
      <c r="L849" s="25">
        <f>IF(A849&lt;&gt;"",1,"")</f>
        <v/>
      </c>
      <c r="M849" s="25">
        <f>IF(L849=1,IF(ISNUMBER(FIND("#"&amp;MID(A849,1,1)&amp;"#","#0#1#2#3#4#5#6#7#8#9#")),IF(ISNUMBER(FIND("#"&amp;MID(A849,2,1)&amp;"#","#0#1#2#3#4#5#6#7#8#9#")),IF(AND(VALUE(LEFT(A849,2))&gt;=1,VALUE(LEFT(A849,2))&lt;=5),VALUE(LEFT(A849,2)),""),IF(AND(VALUE(LEFT(A849,1))&gt;=1,VALUE(LEFT(A849,1))&lt;=5),VALUE(LEFT(A849,1)),"")),""),"")</f>
        <v/>
      </c>
      <c r="N849" s="25">
        <f>IF(L849=1,IF(ISNUMBER(FIND("#"&amp;MID(H849,1,1)&amp;"#","#0#1#2#3#4#5#6#7#8#9#")),IF(ISNUMBER(FIND("#"&amp;MID(H849,2,1)&amp;"#","#0#1#2#3#4#5#6#7#8#9#")),IF(AND(VALUE(LEFT(H849,2))&gt;=1,VALUE(LEFT(H849,2))&lt;=5),VALUE(LEFT(H849,2)),""),IF(AND(VALUE(LEFT(H849,1))&gt;=1,VALUE(LEFT(H849,1))&lt;=5),VALUE(LEFT(H849,1)),"")),""),"")</f>
        <v/>
      </c>
      <c r="O849" s="25">
        <f>IF(AND(L849=1,B849&lt;&gt;""),SUBSTITUTE(SUBSTITUTE(SUBSTITUTE(SUBSTITUTE(SUBSTITUTE(SUBSTITUTE(SUBSTITUTE(SUBSTITUTE(SUBSTITUTE(SUBSTITUTE(SUBSTITUTE(SUBSTITUTE(LOWER(TRIM(B849)),"á","a"),"é","e"),"í","i"),"ó","o"),"ú","u"),"ü","u"),"ñ","n"),"à","a"),"è","e"),"ì","i"),"ò","o"),"ù","u"),"")</f>
        <v/>
      </c>
      <c r="P849" s="25">
        <f>IF(AND(L849=1,C849&lt;&gt;""),SUBSTITUTE(SUBSTITUTE(SUBSTITUTE(SUBSTITUTE(SUBSTITUTE(SUBSTITUTE(SUBSTITUTE(SUBSTITUTE(SUBSTITUTE(SUBSTITUTE(SUBSTITUTE(SUBSTITUTE(LOWER(TRIM(C849)),"á","a"),"é","e"),"í","i"),"ó","o"),"ú","u"),"ü","u"),"ñ","n"),"à","a"),"è","e"),"ì","i"),"ò","o"),"ù","u"),"")</f>
        <v/>
      </c>
      <c r="Q849" s="25">
        <f>IF(AND(L849=1,E849&lt;&gt;""),SUBSTITUTE(SUBSTITUTE(SUBSTITUTE(SUBSTITUTE(SUBSTITUTE(SUBSTITUTE(SUBSTITUTE(SUBSTITUTE(SUBSTITUTE(SUBSTITUTE(SUBSTITUTE(SUBSTITUTE(LOWER(TRIM(E849)),"á","a"),"é","e"),"í","i"),"ó","o"),"ú","u"),"ü","u"),"ñ","n"),"à","a"),"è","e"),"ì","i"),"ò","o"),"ù","u"),"")</f>
        <v/>
      </c>
      <c r="R849" s="25">
        <f>IF(AND(L849=1,I849&lt;&gt;""),SUBSTITUTE(SUBSTITUTE(SUBSTITUTE(SUBSTITUTE(SUBSTITUTE(SUBSTITUTE(SUBSTITUTE(SUBSTITUTE(SUBSTITUTE(SUBSTITUTE(SUBSTITUTE(SUBSTITUTE(LOWER(TRIM(I849)),"á","a"),"é","e"),"í","i"),"ó","o"),"ú","u"),"ü","u"),"ñ","n"),"à","a"),"è","e"),"ì","i"),"ò","o"),"ù","u"),"")</f>
        <v/>
      </c>
      <c r="S849" s="25">
        <f>IF(R849="","",IF(OR(R849="si",R849="tal vez"),1,0))</f>
        <v/>
      </c>
      <c r="T849" s="25">
        <f>IF(AND(L849=1,D849&lt;&gt;""),IF(IFERROR(COUNTIFS(D$3:D849,"="&amp;SUBSTITUTE(SUBSTITUTE(SUBSTITUTE(D849,"~","~~"),"*","~*"),"?","~?"),L$3:L849,1),0)=1,MAX(T$2:T848)+1,""),"")</f>
        <v/>
      </c>
      <c r="U849" s="25">
        <f>IF(T849="","",COUNTIFS($D$3:$D$1002,"="&amp;SUBSTITUTE(SUBSTITUTE(SUBSTITUTE(D849,"~","~~"),"*","~*"),"?","~?"),$L$3:$L$1002,1)*10000-T849)</f>
        <v/>
      </c>
      <c r="V849" s="25">
        <f>IF(AND(L849=1,J849&lt;&gt;""),IF(IFERROR(COUNTIFS(J$3:J849,"="&amp;SUBSTITUTE(SUBSTITUTE(SUBSTITUTE(J849,"~","~~"),"*","~*"),"?","~?"),L$3:L849,1),0)=1,MAX(V$2:V848)+1,""),"")</f>
        <v/>
      </c>
      <c r="W849" s="25">
        <f>IF(V849="","",COUNTIFS($J$3:$J$1002,"="&amp;SUBSTITUTE(SUBSTITUTE(SUBSTITUTE(J849,"~","~~"),"*","~*"),"?","~?"),$L$3:$L$1002,1)*10000-V849)</f>
        <v/>
      </c>
    </row>
    <row r="850">
      <c r="A850">
        <f>IF(A$2=0,"",IFERROR(TRIM(INDEX('Pegar estudiantes'!$A$1:$BZ$1001,849,A$2)&amp;""),""))</f>
        <v/>
      </c>
      <c r="B850">
        <f>IF(B$2=0,"",IFERROR(TRIM(INDEX('Pegar estudiantes'!$A$1:$BZ$1001,849,B$2)&amp;""),""))</f>
        <v/>
      </c>
      <c r="C850">
        <f>IF(C$2=0,"",IFERROR(TRIM(INDEX('Pegar estudiantes'!$A$1:$BZ$1001,849,C$2)&amp;""),""))</f>
        <v/>
      </c>
      <c r="D850">
        <f>IF(D$2=0,"",IFERROR(TRIM(INDEX('Pegar estudiantes'!$A$1:$BZ$1001,849,D$2)&amp;""),""))</f>
        <v/>
      </c>
      <c r="E850">
        <f>IF(E$2=0,"",IFERROR(TRIM(INDEX('Pegar estudiantes'!$A$1:$BZ$1001,849,E$2)&amp;""),""))</f>
        <v/>
      </c>
      <c r="F850">
        <f>IF(F$2=0,"",IFERROR(TRIM(INDEX('Pegar estudiantes'!$A$1:$BZ$1001,849,F$2)&amp;""),""))</f>
        <v/>
      </c>
      <c r="G850">
        <f>IF(G$2=0,"",IFERROR(TRIM(INDEX('Pegar estudiantes'!$A$1:$BZ$1001,849,G$2)&amp;""),""))</f>
        <v/>
      </c>
      <c r="H850">
        <f>IF(H$2=0,"",IFERROR(TRIM(INDEX('Pegar estudiantes'!$A$1:$BZ$1001,849,H$2)&amp;""),""))</f>
        <v/>
      </c>
      <c r="I850">
        <f>IF(I$2=0,"",IFERROR(TRIM(INDEX('Pegar estudiantes'!$A$1:$BZ$1001,849,I$2)&amp;""),""))</f>
        <v/>
      </c>
      <c r="J850">
        <f>IF(J$2=0,"",IFERROR(TRIM(INDEX('Pegar estudiantes'!$A$1:$BZ$1001,849,J$2)&amp;""),""))</f>
        <v/>
      </c>
      <c r="K850">
        <f>IF(K$2=0,"",IFERROR(TRIM(INDEX('Pegar estudiantes'!$A$1:$BZ$1001,849,K$2)&amp;""),""))</f>
        <v/>
      </c>
      <c r="L850" s="25">
        <f>IF(A850&lt;&gt;"",1,"")</f>
        <v/>
      </c>
      <c r="M850" s="25">
        <f>IF(L850=1,IF(ISNUMBER(FIND("#"&amp;MID(A850,1,1)&amp;"#","#0#1#2#3#4#5#6#7#8#9#")),IF(ISNUMBER(FIND("#"&amp;MID(A850,2,1)&amp;"#","#0#1#2#3#4#5#6#7#8#9#")),IF(AND(VALUE(LEFT(A850,2))&gt;=1,VALUE(LEFT(A850,2))&lt;=5),VALUE(LEFT(A850,2)),""),IF(AND(VALUE(LEFT(A850,1))&gt;=1,VALUE(LEFT(A850,1))&lt;=5),VALUE(LEFT(A850,1)),"")),""),"")</f>
        <v/>
      </c>
      <c r="N850" s="25">
        <f>IF(L850=1,IF(ISNUMBER(FIND("#"&amp;MID(H850,1,1)&amp;"#","#0#1#2#3#4#5#6#7#8#9#")),IF(ISNUMBER(FIND("#"&amp;MID(H850,2,1)&amp;"#","#0#1#2#3#4#5#6#7#8#9#")),IF(AND(VALUE(LEFT(H850,2))&gt;=1,VALUE(LEFT(H850,2))&lt;=5),VALUE(LEFT(H850,2)),""),IF(AND(VALUE(LEFT(H850,1))&gt;=1,VALUE(LEFT(H850,1))&lt;=5),VALUE(LEFT(H850,1)),"")),""),"")</f>
        <v/>
      </c>
      <c r="O850" s="25">
        <f>IF(AND(L850=1,B850&lt;&gt;""),SUBSTITUTE(SUBSTITUTE(SUBSTITUTE(SUBSTITUTE(SUBSTITUTE(SUBSTITUTE(SUBSTITUTE(SUBSTITUTE(SUBSTITUTE(SUBSTITUTE(SUBSTITUTE(SUBSTITUTE(LOWER(TRIM(B850)),"á","a"),"é","e"),"í","i"),"ó","o"),"ú","u"),"ü","u"),"ñ","n"),"à","a"),"è","e"),"ì","i"),"ò","o"),"ù","u"),"")</f>
        <v/>
      </c>
      <c r="P850" s="25">
        <f>IF(AND(L850=1,C850&lt;&gt;""),SUBSTITUTE(SUBSTITUTE(SUBSTITUTE(SUBSTITUTE(SUBSTITUTE(SUBSTITUTE(SUBSTITUTE(SUBSTITUTE(SUBSTITUTE(SUBSTITUTE(SUBSTITUTE(SUBSTITUTE(LOWER(TRIM(C850)),"á","a"),"é","e"),"í","i"),"ó","o"),"ú","u"),"ü","u"),"ñ","n"),"à","a"),"è","e"),"ì","i"),"ò","o"),"ù","u"),"")</f>
        <v/>
      </c>
      <c r="Q850" s="25">
        <f>IF(AND(L850=1,E850&lt;&gt;""),SUBSTITUTE(SUBSTITUTE(SUBSTITUTE(SUBSTITUTE(SUBSTITUTE(SUBSTITUTE(SUBSTITUTE(SUBSTITUTE(SUBSTITUTE(SUBSTITUTE(SUBSTITUTE(SUBSTITUTE(LOWER(TRIM(E850)),"á","a"),"é","e"),"í","i"),"ó","o"),"ú","u"),"ü","u"),"ñ","n"),"à","a"),"è","e"),"ì","i"),"ò","o"),"ù","u"),"")</f>
        <v/>
      </c>
      <c r="R850" s="25">
        <f>IF(AND(L850=1,I850&lt;&gt;""),SUBSTITUTE(SUBSTITUTE(SUBSTITUTE(SUBSTITUTE(SUBSTITUTE(SUBSTITUTE(SUBSTITUTE(SUBSTITUTE(SUBSTITUTE(SUBSTITUTE(SUBSTITUTE(SUBSTITUTE(LOWER(TRIM(I850)),"á","a"),"é","e"),"í","i"),"ó","o"),"ú","u"),"ü","u"),"ñ","n"),"à","a"),"è","e"),"ì","i"),"ò","o"),"ù","u"),"")</f>
        <v/>
      </c>
      <c r="S850" s="25">
        <f>IF(R850="","",IF(OR(R850="si",R850="tal vez"),1,0))</f>
        <v/>
      </c>
      <c r="T850" s="25">
        <f>IF(AND(L850=1,D850&lt;&gt;""),IF(IFERROR(COUNTIFS(D$3:D850,"="&amp;SUBSTITUTE(SUBSTITUTE(SUBSTITUTE(D850,"~","~~"),"*","~*"),"?","~?"),L$3:L850,1),0)=1,MAX(T$2:T849)+1,""),"")</f>
        <v/>
      </c>
      <c r="U850" s="25">
        <f>IF(T850="","",COUNTIFS($D$3:$D$1002,"="&amp;SUBSTITUTE(SUBSTITUTE(SUBSTITUTE(D850,"~","~~"),"*","~*"),"?","~?"),$L$3:$L$1002,1)*10000-T850)</f>
        <v/>
      </c>
      <c r="V850" s="25">
        <f>IF(AND(L850=1,J850&lt;&gt;""),IF(IFERROR(COUNTIFS(J$3:J850,"="&amp;SUBSTITUTE(SUBSTITUTE(SUBSTITUTE(J850,"~","~~"),"*","~*"),"?","~?"),L$3:L850,1),0)=1,MAX(V$2:V849)+1,""),"")</f>
        <v/>
      </c>
      <c r="W850" s="25">
        <f>IF(V850="","",COUNTIFS($J$3:$J$1002,"="&amp;SUBSTITUTE(SUBSTITUTE(SUBSTITUTE(J850,"~","~~"),"*","~*"),"?","~?"),$L$3:$L$1002,1)*10000-V850)</f>
        <v/>
      </c>
    </row>
    <row r="851">
      <c r="A851">
        <f>IF(A$2=0,"",IFERROR(TRIM(INDEX('Pegar estudiantes'!$A$1:$BZ$1001,850,A$2)&amp;""),""))</f>
        <v/>
      </c>
      <c r="B851">
        <f>IF(B$2=0,"",IFERROR(TRIM(INDEX('Pegar estudiantes'!$A$1:$BZ$1001,850,B$2)&amp;""),""))</f>
        <v/>
      </c>
      <c r="C851">
        <f>IF(C$2=0,"",IFERROR(TRIM(INDEX('Pegar estudiantes'!$A$1:$BZ$1001,850,C$2)&amp;""),""))</f>
        <v/>
      </c>
      <c r="D851">
        <f>IF(D$2=0,"",IFERROR(TRIM(INDEX('Pegar estudiantes'!$A$1:$BZ$1001,850,D$2)&amp;""),""))</f>
        <v/>
      </c>
      <c r="E851">
        <f>IF(E$2=0,"",IFERROR(TRIM(INDEX('Pegar estudiantes'!$A$1:$BZ$1001,850,E$2)&amp;""),""))</f>
        <v/>
      </c>
      <c r="F851">
        <f>IF(F$2=0,"",IFERROR(TRIM(INDEX('Pegar estudiantes'!$A$1:$BZ$1001,850,F$2)&amp;""),""))</f>
        <v/>
      </c>
      <c r="G851">
        <f>IF(G$2=0,"",IFERROR(TRIM(INDEX('Pegar estudiantes'!$A$1:$BZ$1001,850,G$2)&amp;""),""))</f>
        <v/>
      </c>
      <c r="H851">
        <f>IF(H$2=0,"",IFERROR(TRIM(INDEX('Pegar estudiantes'!$A$1:$BZ$1001,850,H$2)&amp;""),""))</f>
        <v/>
      </c>
      <c r="I851">
        <f>IF(I$2=0,"",IFERROR(TRIM(INDEX('Pegar estudiantes'!$A$1:$BZ$1001,850,I$2)&amp;""),""))</f>
        <v/>
      </c>
      <c r="J851">
        <f>IF(J$2=0,"",IFERROR(TRIM(INDEX('Pegar estudiantes'!$A$1:$BZ$1001,850,J$2)&amp;""),""))</f>
        <v/>
      </c>
      <c r="K851">
        <f>IF(K$2=0,"",IFERROR(TRIM(INDEX('Pegar estudiantes'!$A$1:$BZ$1001,850,K$2)&amp;""),""))</f>
        <v/>
      </c>
      <c r="L851" s="25">
        <f>IF(A851&lt;&gt;"",1,"")</f>
        <v/>
      </c>
      <c r="M851" s="25">
        <f>IF(L851=1,IF(ISNUMBER(FIND("#"&amp;MID(A851,1,1)&amp;"#","#0#1#2#3#4#5#6#7#8#9#")),IF(ISNUMBER(FIND("#"&amp;MID(A851,2,1)&amp;"#","#0#1#2#3#4#5#6#7#8#9#")),IF(AND(VALUE(LEFT(A851,2))&gt;=1,VALUE(LEFT(A851,2))&lt;=5),VALUE(LEFT(A851,2)),""),IF(AND(VALUE(LEFT(A851,1))&gt;=1,VALUE(LEFT(A851,1))&lt;=5),VALUE(LEFT(A851,1)),"")),""),"")</f>
        <v/>
      </c>
      <c r="N851" s="25">
        <f>IF(L851=1,IF(ISNUMBER(FIND("#"&amp;MID(H851,1,1)&amp;"#","#0#1#2#3#4#5#6#7#8#9#")),IF(ISNUMBER(FIND("#"&amp;MID(H851,2,1)&amp;"#","#0#1#2#3#4#5#6#7#8#9#")),IF(AND(VALUE(LEFT(H851,2))&gt;=1,VALUE(LEFT(H851,2))&lt;=5),VALUE(LEFT(H851,2)),""),IF(AND(VALUE(LEFT(H851,1))&gt;=1,VALUE(LEFT(H851,1))&lt;=5),VALUE(LEFT(H851,1)),"")),""),"")</f>
        <v/>
      </c>
      <c r="O851" s="25">
        <f>IF(AND(L851=1,B851&lt;&gt;""),SUBSTITUTE(SUBSTITUTE(SUBSTITUTE(SUBSTITUTE(SUBSTITUTE(SUBSTITUTE(SUBSTITUTE(SUBSTITUTE(SUBSTITUTE(SUBSTITUTE(SUBSTITUTE(SUBSTITUTE(LOWER(TRIM(B851)),"á","a"),"é","e"),"í","i"),"ó","o"),"ú","u"),"ü","u"),"ñ","n"),"à","a"),"è","e"),"ì","i"),"ò","o"),"ù","u"),"")</f>
        <v/>
      </c>
      <c r="P851" s="25">
        <f>IF(AND(L851=1,C851&lt;&gt;""),SUBSTITUTE(SUBSTITUTE(SUBSTITUTE(SUBSTITUTE(SUBSTITUTE(SUBSTITUTE(SUBSTITUTE(SUBSTITUTE(SUBSTITUTE(SUBSTITUTE(SUBSTITUTE(SUBSTITUTE(LOWER(TRIM(C851)),"á","a"),"é","e"),"í","i"),"ó","o"),"ú","u"),"ü","u"),"ñ","n"),"à","a"),"è","e"),"ì","i"),"ò","o"),"ù","u"),"")</f>
        <v/>
      </c>
      <c r="Q851" s="25">
        <f>IF(AND(L851=1,E851&lt;&gt;""),SUBSTITUTE(SUBSTITUTE(SUBSTITUTE(SUBSTITUTE(SUBSTITUTE(SUBSTITUTE(SUBSTITUTE(SUBSTITUTE(SUBSTITUTE(SUBSTITUTE(SUBSTITUTE(SUBSTITUTE(LOWER(TRIM(E851)),"á","a"),"é","e"),"í","i"),"ó","o"),"ú","u"),"ü","u"),"ñ","n"),"à","a"),"è","e"),"ì","i"),"ò","o"),"ù","u"),"")</f>
        <v/>
      </c>
      <c r="R851" s="25">
        <f>IF(AND(L851=1,I851&lt;&gt;""),SUBSTITUTE(SUBSTITUTE(SUBSTITUTE(SUBSTITUTE(SUBSTITUTE(SUBSTITUTE(SUBSTITUTE(SUBSTITUTE(SUBSTITUTE(SUBSTITUTE(SUBSTITUTE(SUBSTITUTE(LOWER(TRIM(I851)),"á","a"),"é","e"),"í","i"),"ó","o"),"ú","u"),"ü","u"),"ñ","n"),"à","a"),"è","e"),"ì","i"),"ò","o"),"ù","u"),"")</f>
        <v/>
      </c>
      <c r="S851" s="25">
        <f>IF(R851="","",IF(OR(R851="si",R851="tal vez"),1,0))</f>
        <v/>
      </c>
      <c r="T851" s="25">
        <f>IF(AND(L851=1,D851&lt;&gt;""),IF(IFERROR(COUNTIFS(D$3:D851,"="&amp;SUBSTITUTE(SUBSTITUTE(SUBSTITUTE(D851,"~","~~"),"*","~*"),"?","~?"),L$3:L851,1),0)=1,MAX(T$2:T850)+1,""),"")</f>
        <v/>
      </c>
      <c r="U851" s="25">
        <f>IF(T851="","",COUNTIFS($D$3:$D$1002,"="&amp;SUBSTITUTE(SUBSTITUTE(SUBSTITUTE(D851,"~","~~"),"*","~*"),"?","~?"),$L$3:$L$1002,1)*10000-T851)</f>
        <v/>
      </c>
      <c r="V851" s="25">
        <f>IF(AND(L851=1,J851&lt;&gt;""),IF(IFERROR(COUNTIFS(J$3:J851,"="&amp;SUBSTITUTE(SUBSTITUTE(SUBSTITUTE(J851,"~","~~"),"*","~*"),"?","~?"),L$3:L851,1),0)=1,MAX(V$2:V850)+1,""),"")</f>
        <v/>
      </c>
      <c r="W851" s="25">
        <f>IF(V851="","",COUNTIFS($J$3:$J$1002,"="&amp;SUBSTITUTE(SUBSTITUTE(SUBSTITUTE(J851,"~","~~"),"*","~*"),"?","~?"),$L$3:$L$1002,1)*10000-V851)</f>
        <v/>
      </c>
    </row>
    <row r="852">
      <c r="A852">
        <f>IF(A$2=0,"",IFERROR(TRIM(INDEX('Pegar estudiantes'!$A$1:$BZ$1001,851,A$2)&amp;""),""))</f>
        <v/>
      </c>
      <c r="B852">
        <f>IF(B$2=0,"",IFERROR(TRIM(INDEX('Pegar estudiantes'!$A$1:$BZ$1001,851,B$2)&amp;""),""))</f>
        <v/>
      </c>
      <c r="C852">
        <f>IF(C$2=0,"",IFERROR(TRIM(INDEX('Pegar estudiantes'!$A$1:$BZ$1001,851,C$2)&amp;""),""))</f>
        <v/>
      </c>
      <c r="D852">
        <f>IF(D$2=0,"",IFERROR(TRIM(INDEX('Pegar estudiantes'!$A$1:$BZ$1001,851,D$2)&amp;""),""))</f>
        <v/>
      </c>
      <c r="E852">
        <f>IF(E$2=0,"",IFERROR(TRIM(INDEX('Pegar estudiantes'!$A$1:$BZ$1001,851,E$2)&amp;""),""))</f>
        <v/>
      </c>
      <c r="F852">
        <f>IF(F$2=0,"",IFERROR(TRIM(INDEX('Pegar estudiantes'!$A$1:$BZ$1001,851,F$2)&amp;""),""))</f>
        <v/>
      </c>
      <c r="G852">
        <f>IF(G$2=0,"",IFERROR(TRIM(INDEX('Pegar estudiantes'!$A$1:$BZ$1001,851,G$2)&amp;""),""))</f>
        <v/>
      </c>
      <c r="H852">
        <f>IF(H$2=0,"",IFERROR(TRIM(INDEX('Pegar estudiantes'!$A$1:$BZ$1001,851,H$2)&amp;""),""))</f>
        <v/>
      </c>
      <c r="I852">
        <f>IF(I$2=0,"",IFERROR(TRIM(INDEX('Pegar estudiantes'!$A$1:$BZ$1001,851,I$2)&amp;""),""))</f>
        <v/>
      </c>
      <c r="J852">
        <f>IF(J$2=0,"",IFERROR(TRIM(INDEX('Pegar estudiantes'!$A$1:$BZ$1001,851,J$2)&amp;""),""))</f>
        <v/>
      </c>
      <c r="K852">
        <f>IF(K$2=0,"",IFERROR(TRIM(INDEX('Pegar estudiantes'!$A$1:$BZ$1001,851,K$2)&amp;""),""))</f>
        <v/>
      </c>
      <c r="L852" s="25">
        <f>IF(A852&lt;&gt;"",1,"")</f>
        <v/>
      </c>
      <c r="M852" s="25">
        <f>IF(L852=1,IF(ISNUMBER(FIND("#"&amp;MID(A852,1,1)&amp;"#","#0#1#2#3#4#5#6#7#8#9#")),IF(ISNUMBER(FIND("#"&amp;MID(A852,2,1)&amp;"#","#0#1#2#3#4#5#6#7#8#9#")),IF(AND(VALUE(LEFT(A852,2))&gt;=1,VALUE(LEFT(A852,2))&lt;=5),VALUE(LEFT(A852,2)),""),IF(AND(VALUE(LEFT(A852,1))&gt;=1,VALUE(LEFT(A852,1))&lt;=5),VALUE(LEFT(A852,1)),"")),""),"")</f>
        <v/>
      </c>
      <c r="N852" s="25">
        <f>IF(L852=1,IF(ISNUMBER(FIND("#"&amp;MID(H852,1,1)&amp;"#","#0#1#2#3#4#5#6#7#8#9#")),IF(ISNUMBER(FIND("#"&amp;MID(H852,2,1)&amp;"#","#0#1#2#3#4#5#6#7#8#9#")),IF(AND(VALUE(LEFT(H852,2))&gt;=1,VALUE(LEFT(H852,2))&lt;=5),VALUE(LEFT(H852,2)),""),IF(AND(VALUE(LEFT(H852,1))&gt;=1,VALUE(LEFT(H852,1))&lt;=5),VALUE(LEFT(H852,1)),"")),""),"")</f>
        <v/>
      </c>
      <c r="O852" s="25">
        <f>IF(AND(L852=1,B852&lt;&gt;""),SUBSTITUTE(SUBSTITUTE(SUBSTITUTE(SUBSTITUTE(SUBSTITUTE(SUBSTITUTE(SUBSTITUTE(SUBSTITUTE(SUBSTITUTE(SUBSTITUTE(SUBSTITUTE(SUBSTITUTE(LOWER(TRIM(B852)),"á","a"),"é","e"),"í","i"),"ó","o"),"ú","u"),"ü","u"),"ñ","n"),"à","a"),"è","e"),"ì","i"),"ò","o"),"ù","u"),"")</f>
        <v/>
      </c>
      <c r="P852" s="25">
        <f>IF(AND(L852=1,C852&lt;&gt;""),SUBSTITUTE(SUBSTITUTE(SUBSTITUTE(SUBSTITUTE(SUBSTITUTE(SUBSTITUTE(SUBSTITUTE(SUBSTITUTE(SUBSTITUTE(SUBSTITUTE(SUBSTITUTE(SUBSTITUTE(LOWER(TRIM(C852)),"á","a"),"é","e"),"í","i"),"ó","o"),"ú","u"),"ü","u"),"ñ","n"),"à","a"),"è","e"),"ì","i"),"ò","o"),"ù","u"),"")</f>
        <v/>
      </c>
      <c r="Q852" s="25">
        <f>IF(AND(L852=1,E852&lt;&gt;""),SUBSTITUTE(SUBSTITUTE(SUBSTITUTE(SUBSTITUTE(SUBSTITUTE(SUBSTITUTE(SUBSTITUTE(SUBSTITUTE(SUBSTITUTE(SUBSTITUTE(SUBSTITUTE(SUBSTITUTE(LOWER(TRIM(E852)),"á","a"),"é","e"),"í","i"),"ó","o"),"ú","u"),"ü","u"),"ñ","n"),"à","a"),"è","e"),"ì","i"),"ò","o"),"ù","u"),"")</f>
        <v/>
      </c>
      <c r="R852" s="25">
        <f>IF(AND(L852=1,I852&lt;&gt;""),SUBSTITUTE(SUBSTITUTE(SUBSTITUTE(SUBSTITUTE(SUBSTITUTE(SUBSTITUTE(SUBSTITUTE(SUBSTITUTE(SUBSTITUTE(SUBSTITUTE(SUBSTITUTE(SUBSTITUTE(LOWER(TRIM(I852)),"á","a"),"é","e"),"í","i"),"ó","o"),"ú","u"),"ü","u"),"ñ","n"),"à","a"),"è","e"),"ì","i"),"ò","o"),"ù","u"),"")</f>
        <v/>
      </c>
      <c r="S852" s="25">
        <f>IF(R852="","",IF(OR(R852="si",R852="tal vez"),1,0))</f>
        <v/>
      </c>
      <c r="T852" s="25">
        <f>IF(AND(L852=1,D852&lt;&gt;""),IF(IFERROR(COUNTIFS(D$3:D852,"="&amp;SUBSTITUTE(SUBSTITUTE(SUBSTITUTE(D852,"~","~~"),"*","~*"),"?","~?"),L$3:L852,1),0)=1,MAX(T$2:T851)+1,""),"")</f>
        <v/>
      </c>
      <c r="U852" s="25">
        <f>IF(T852="","",COUNTIFS($D$3:$D$1002,"="&amp;SUBSTITUTE(SUBSTITUTE(SUBSTITUTE(D852,"~","~~"),"*","~*"),"?","~?"),$L$3:$L$1002,1)*10000-T852)</f>
        <v/>
      </c>
      <c r="V852" s="25">
        <f>IF(AND(L852=1,J852&lt;&gt;""),IF(IFERROR(COUNTIFS(J$3:J852,"="&amp;SUBSTITUTE(SUBSTITUTE(SUBSTITUTE(J852,"~","~~"),"*","~*"),"?","~?"),L$3:L852,1),0)=1,MAX(V$2:V851)+1,""),"")</f>
        <v/>
      </c>
      <c r="W852" s="25">
        <f>IF(V852="","",COUNTIFS($J$3:$J$1002,"="&amp;SUBSTITUTE(SUBSTITUTE(SUBSTITUTE(J852,"~","~~"),"*","~*"),"?","~?"),$L$3:$L$1002,1)*10000-V852)</f>
        <v/>
      </c>
    </row>
    <row r="853">
      <c r="A853">
        <f>IF(A$2=0,"",IFERROR(TRIM(INDEX('Pegar estudiantes'!$A$1:$BZ$1001,852,A$2)&amp;""),""))</f>
        <v/>
      </c>
      <c r="B853">
        <f>IF(B$2=0,"",IFERROR(TRIM(INDEX('Pegar estudiantes'!$A$1:$BZ$1001,852,B$2)&amp;""),""))</f>
        <v/>
      </c>
      <c r="C853">
        <f>IF(C$2=0,"",IFERROR(TRIM(INDEX('Pegar estudiantes'!$A$1:$BZ$1001,852,C$2)&amp;""),""))</f>
        <v/>
      </c>
      <c r="D853">
        <f>IF(D$2=0,"",IFERROR(TRIM(INDEX('Pegar estudiantes'!$A$1:$BZ$1001,852,D$2)&amp;""),""))</f>
        <v/>
      </c>
      <c r="E853">
        <f>IF(E$2=0,"",IFERROR(TRIM(INDEX('Pegar estudiantes'!$A$1:$BZ$1001,852,E$2)&amp;""),""))</f>
        <v/>
      </c>
      <c r="F853">
        <f>IF(F$2=0,"",IFERROR(TRIM(INDEX('Pegar estudiantes'!$A$1:$BZ$1001,852,F$2)&amp;""),""))</f>
        <v/>
      </c>
      <c r="G853">
        <f>IF(G$2=0,"",IFERROR(TRIM(INDEX('Pegar estudiantes'!$A$1:$BZ$1001,852,G$2)&amp;""),""))</f>
        <v/>
      </c>
      <c r="H853">
        <f>IF(H$2=0,"",IFERROR(TRIM(INDEX('Pegar estudiantes'!$A$1:$BZ$1001,852,H$2)&amp;""),""))</f>
        <v/>
      </c>
      <c r="I853">
        <f>IF(I$2=0,"",IFERROR(TRIM(INDEX('Pegar estudiantes'!$A$1:$BZ$1001,852,I$2)&amp;""),""))</f>
        <v/>
      </c>
      <c r="J853">
        <f>IF(J$2=0,"",IFERROR(TRIM(INDEX('Pegar estudiantes'!$A$1:$BZ$1001,852,J$2)&amp;""),""))</f>
        <v/>
      </c>
      <c r="K853">
        <f>IF(K$2=0,"",IFERROR(TRIM(INDEX('Pegar estudiantes'!$A$1:$BZ$1001,852,K$2)&amp;""),""))</f>
        <v/>
      </c>
      <c r="L853" s="25">
        <f>IF(A853&lt;&gt;"",1,"")</f>
        <v/>
      </c>
      <c r="M853" s="25">
        <f>IF(L853=1,IF(ISNUMBER(FIND("#"&amp;MID(A853,1,1)&amp;"#","#0#1#2#3#4#5#6#7#8#9#")),IF(ISNUMBER(FIND("#"&amp;MID(A853,2,1)&amp;"#","#0#1#2#3#4#5#6#7#8#9#")),IF(AND(VALUE(LEFT(A853,2))&gt;=1,VALUE(LEFT(A853,2))&lt;=5),VALUE(LEFT(A853,2)),""),IF(AND(VALUE(LEFT(A853,1))&gt;=1,VALUE(LEFT(A853,1))&lt;=5),VALUE(LEFT(A853,1)),"")),""),"")</f>
        <v/>
      </c>
      <c r="N853" s="25">
        <f>IF(L853=1,IF(ISNUMBER(FIND("#"&amp;MID(H853,1,1)&amp;"#","#0#1#2#3#4#5#6#7#8#9#")),IF(ISNUMBER(FIND("#"&amp;MID(H853,2,1)&amp;"#","#0#1#2#3#4#5#6#7#8#9#")),IF(AND(VALUE(LEFT(H853,2))&gt;=1,VALUE(LEFT(H853,2))&lt;=5),VALUE(LEFT(H853,2)),""),IF(AND(VALUE(LEFT(H853,1))&gt;=1,VALUE(LEFT(H853,1))&lt;=5),VALUE(LEFT(H853,1)),"")),""),"")</f>
        <v/>
      </c>
      <c r="O853" s="25">
        <f>IF(AND(L853=1,B853&lt;&gt;""),SUBSTITUTE(SUBSTITUTE(SUBSTITUTE(SUBSTITUTE(SUBSTITUTE(SUBSTITUTE(SUBSTITUTE(SUBSTITUTE(SUBSTITUTE(SUBSTITUTE(SUBSTITUTE(SUBSTITUTE(LOWER(TRIM(B853)),"á","a"),"é","e"),"í","i"),"ó","o"),"ú","u"),"ü","u"),"ñ","n"),"à","a"),"è","e"),"ì","i"),"ò","o"),"ù","u"),"")</f>
        <v/>
      </c>
      <c r="P853" s="25">
        <f>IF(AND(L853=1,C853&lt;&gt;""),SUBSTITUTE(SUBSTITUTE(SUBSTITUTE(SUBSTITUTE(SUBSTITUTE(SUBSTITUTE(SUBSTITUTE(SUBSTITUTE(SUBSTITUTE(SUBSTITUTE(SUBSTITUTE(SUBSTITUTE(LOWER(TRIM(C853)),"á","a"),"é","e"),"í","i"),"ó","o"),"ú","u"),"ü","u"),"ñ","n"),"à","a"),"è","e"),"ì","i"),"ò","o"),"ù","u"),"")</f>
        <v/>
      </c>
      <c r="Q853" s="25">
        <f>IF(AND(L853=1,E853&lt;&gt;""),SUBSTITUTE(SUBSTITUTE(SUBSTITUTE(SUBSTITUTE(SUBSTITUTE(SUBSTITUTE(SUBSTITUTE(SUBSTITUTE(SUBSTITUTE(SUBSTITUTE(SUBSTITUTE(SUBSTITUTE(LOWER(TRIM(E853)),"á","a"),"é","e"),"í","i"),"ó","o"),"ú","u"),"ü","u"),"ñ","n"),"à","a"),"è","e"),"ì","i"),"ò","o"),"ù","u"),"")</f>
        <v/>
      </c>
      <c r="R853" s="25">
        <f>IF(AND(L853=1,I853&lt;&gt;""),SUBSTITUTE(SUBSTITUTE(SUBSTITUTE(SUBSTITUTE(SUBSTITUTE(SUBSTITUTE(SUBSTITUTE(SUBSTITUTE(SUBSTITUTE(SUBSTITUTE(SUBSTITUTE(SUBSTITUTE(LOWER(TRIM(I853)),"á","a"),"é","e"),"í","i"),"ó","o"),"ú","u"),"ü","u"),"ñ","n"),"à","a"),"è","e"),"ì","i"),"ò","o"),"ù","u"),"")</f>
        <v/>
      </c>
      <c r="S853" s="25">
        <f>IF(R853="","",IF(OR(R853="si",R853="tal vez"),1,0))</f>
        <v/>
      </c>
      <c r="T853" s="25">
        <f>IF(AND(L853=1,D853&lt;&gt;""),IF(IFERROR(COUNTIFS(D$3:D853,"="&amp;SUBSTITUTE(SUBSTITUTE(SUBSTITUTE(D853,"~","~~"),"*","~*"),"?","~?"),L$3:L853,1),0)=1,MAX(T$2:T852)+1,""),"")</f>
        <v/>
      </c>
      <c r="U853" s="25">
        <f>IF(T853="","",COUNTIFS($D$3:$D$1002,"="&amp;SUBSTITUTE(SUBSTITUTE(SUBSTITUTE(D853,"~","~~"),"*","~*"),"?","~?"),$L$3:$L$1002,1)*10000-T853)</f>
        <v/>
      </c>
      <c r="V853" s="25">
        <f>IF(AND(L853=1,J853&lt;&gt;""),IF(IFERROR(COUNTIFS(J$3:J853,"="&amp;SUBSTITUTE(SUBSTITUTE(SUBSTITUTE(J853,"~","~~"),"*","~*"),"?","~?"),L$3:L853,1),0)=1,MAX(V$2:V852)+1,""),"")</f>
        <v/>
      </c>
      <c r="W853" s="25">
        <f>IF(V853="","",COUNTIFS($J$3:$J$1002,"="&amp;SUBSTITUTE(SUBSTITUTE(SUBSTITUTE(J853,"~","~~"),"*","~*"),"?","~?"),$L$3:$L$1002,1)*10000-V853)</f>
        <v/>
      </c>
    </row>
    <row r="854">
      <c r="A854">
        <f>IF(A$2=0,"",IFERROR(TRIM(INDEX('Pegar estudiantes'!$A$1:$BZ$1001,853,A$2)&amp;""),""))</f>
        <v/>
      </c>
      <c r="B854">
        <f>IF(B$2=0,"",IFERROR(TRIM(INDEX('Pegar estudiantes'!$A$1:$BZ$1001,853,B$2)&amp;""),""))</f>
        <v/>
      </c>
      <c r="C854">
        <f>IF(C$2=0,"",IFERROR(TRIM(INDEX('Pegar estudiantes'!$A$1:$BZ$1001,853,C$2)&amp;""),""))</f>
        <v/>
      </c>
      <c r="D854">
        <f>IF(D$2=0,"",IFERROR(TRIM(INDEX('Pegar estudiantes'!$A$1:$BZ$1001,853,D$2)&amp;""),""))</f>
        <v/>
      </c>
      <c r="E854">
        <f>IF(E$2=0,"",IFERROR(TRIM(INDEX('Pegar estudiantes'!$A$1:$BZ$1001,853,E$2)&amp;""),""))</f>
        <v/>
      </c>
      <c r="F854">
        <f>IF(F$2=0,"",IFERROR(TRIM(INDEX('Pegar estudiantes'!$A$1:$BZ$1001,853,F$2)&amp;""),""))</f>
        <v/>
      </c>
      <c r="G854">
        <f>IF(G$2=0,"",IFERROR(TRIM(INDEX('Pegar estudiantes'!$A$1:$BZ$1001,853,G$2)&amp;""),""))</f>
        <v/>
      </c>
      <c r="H854">
        <f>IF(H$2=0,"",IFERROR(TRIM(INDEX('Pegar estudiantes'!$A$1:$BZ$1001,853,H$2)&amp;""),""))</f>
        <v/>
      </c>
      <c r="I854">
        <f>IF(I$2=0,"",IFERROR(TRIM(INDEX('Pegar estudiantes'!$A$1:$BZ$1001,853,I$2)&amp;""),""))</f>
        <v/>
      </c>
      <c r="J854">
        <f>IF(J$2=0,"",IFERROR(TRIM(INDEX('Pegar estudiantes'!$A$1:$BZ$1001,853,J$2)&amp;""),""))</f>
        <v/>
      </c>
      <c r="K854">
        <f>IF(K$2=0,"",IFERROR(TRIM(INDEX('Pegar estudiantes'!$A$1:$BZ$1001,853,K$2)&amp;""),""))</f>
        <v/>
      </c>
      <c r="L854" s="25">
        <f>IF(A854&lt;&gt;"",1,"")</f>
        <v/>
      </c>
      <c r="M854" s="25">
        <f>IF(L854=1,IF(ISNUMBER(FIND("#"&amp;MID(A854,1,1)&amp;"#","#0#1#2#3#4#5#6#7#8#9#")),IF(ISNUMBER(FIND("#"&amp;MID(A854,2,1)&amp;"#","#0#1#2#3#4#5#6#7#8#9#")),IF(AND(VALUE(LEFT(A854,2))&gt;=1,VALUE(LEFT(A854,2))&lt;=5),VALUE(LEFT(A854,2)),""),IF(AND(VALUE(LEFT(A854,1))&gt;=1,VALUE(LEFT(A854,1))&lt;=5),VALUE(LEFT(A854,1)),"")),""),"")</f>
        <v/>
      </c>
      <c r="N854" s="25">
        <f>IF(L854=1,IF(ISNUMBER(FIND("#"&amp;MID(H854,1,1)&amp;"#","#0#1#2#3#4#5#6#7#8#9#")),IF(ISNUMBER(FIND("#"&amp;MID(H854,2,1)&amp;"#","#0#1#2#3#4#5#6#7#8#9#")),IF(AND(VALUE(LEFT(H854,2))&gt;=1,VALUE(LEFT(H854,2))&lt;=5),VALUE(LEFT(H854,2)),""),IF(AND(VALUE(LEFT(H854,1))&gt;=1,VALUE(LEFT(H854,1))&lt;=5),VALUE(LEFT(H854,1)),"")),""),"")</f>
        <v/>
      </c>
      <c r="O854" s="25">
        <f>IF(AND(L854=1,B854&lt;&gt;""),SUBSTITUTE(SUBSTITUTE(SUBSTITUTE(SUBSTITUTE(SUBSTITUTE(SUBSTITUTE(SUBSTITUTE(SUBSTITUTE(SUBSTITUTE(SUBSTITUTE(SUBSTITUTE(SUBSTITUTE(LOWER(TRIM(B854)),"á","a"),"é","e"),"í","i"),"ó","o"),"ú","u"),"ü","u"),"ñ","n"),"à","a"),"è","e"),"ì","i"),"ò","o"),"ù","u"),"")</f>
        <v/>
      </c>
      <c r="P854" s="25">
        <f>IF(AND(L854=1,C854&lt;&gt;""),SUBSTITUTE(SUBSTITUTE(SUBSTITUTE(SUBSTITUTE(SUBSTITUTE(SUBSTITUTE(SUBSTITUTE(SUBSTITUTE(SUBSTITUTE(SUBSTITUTE(SUBSTITUTE(SUBSTITUTE(LOWER(TRIM(C854)),"á","a"),"é","e"),"í","i"),"ó","o"),"ú","u"),"ü","u"),"ñ","n"),"à","a"),"è","e"),"ì","i"),"ò","o"),"ù","u"),"")</f>
        <v/>
      </c>
      <c r="Q854" s="25">
        <f>IF(AND(L854=1,E854&lt;&gt;""),SUBSTITUTE(SUBSTITUTE(SUBSTITUTE(SUBSTITUTE(SUBSTITUTE(SUBSTITUTE(SUBSTITUTE(SUBSTITUTE(SUBSTITUTE(SUBSTITUTE(SUBSTITUTE(SUBSTITUTE(LOWER(TRIM(E854)),"á","a"),"é","e"),"í","i"),"ó","o"),"ú","u"),"ü","u"),"ñ","n"),"à","a"),"è","e"),"ì","i"),"ò","o"),"ù","u"),"")</f>
        <v/>
      </c>
      <c r="R854" s="25">
        <f>IF(AND(L854=1,I854&lt;&gt;""),SUBSTITUTE(SUBSTITUTE(SUBSTITUTE(SUBSTITUTE(SUBSTITUTE(SUBSTITUTE(SUBSTITUTE(SUBSTITUTE(SUBSTITUTE(SUBSTITUTE(SUBSTITUTE(SUBSTITUTE(LOWER(TRIM(I854)),"á","a"),"é","e"),"í","i"),"ó","o"),"ú","u"),"ü","u"),"ñ","n"),"à","a"),"è","e"),"ì","i"),"ò","o"),"ù","u"),"")</f>
        <v/>
      </c>
      <c r="S854" s="25">
        <f>IF(R854="","",IF(OR(R854="si",R854="tal vez"),1,0))</f>
        <v/>
      </c>
      <c r="T854" s="25">
        <f>IF(AND(L854=1,D854&lt;&gt;""),IF(IFERROR(COUNTIFS(D$3:D854,"="&amp;SUBSTITUTE(SUBSTITUTE(SUBSTITUTE(D854,"~","~~"),"*","~*"),"?","~?"),L$3:L854,1),0)=1,MAX(T$2:T853)+1,""),"")</f>
        <v/>
      </c>
      <c r="U854" s="25">
        <f>IF(T854="","",COUNTIFS($D$3:$D$1002,"="&amp;SUBSTITUTE(SUBSTITUTE(SUBSTITUTE(D854,"~","~~"),"*","~*"),"?","~?"),$L$3:$L$1002,1)*10000-T854)</f>
        <v/>
      </c>
      <c r="V854" s="25">
        <f>IF(AND(L854=1,J854&lt;&gt;""),IF(IFERROR(COUNTIFS(J$3:J854,"="&amp;SUBSTITUTE(SUBSTITUTE(SUBSTITUTE(J854,"~","~~"),"*","~*"),"?","~?"),L$3:L854,1),0)=1,MAX(V$2:V853)+1,""),"")</f>
        <v/>
      </c>
      <c r="W854" s="25">
        <f>IF(V854="","",COUNTIFS($J$3:$J$1002,"="&amp;SUBSTITUTE(SUBSTITUTE(SUBSTITUTE(J854,"~","~~"),"*","~*"),"?","~?"),$L$3:$L$1002,1)*10000-V854)</f>
        <v/>
      </c>
    </row>
    <row r="855">
      <c r="A855">
        <f>IF(A$2=0,"",IFERROR(TRIM(INDEX('Pegar estudiantes'!$A$1:$BZ$1001,854,A$2)&amp;""),""))</f>
        <v/>
      </c>
      <c r="B855">
        <f>IF(B$2=0,"",IFERROR(TRIM(INDEX('Pegar estudiantes'!$A$1:$BZ$1001,854,B$2)&amp;""),""))</f>
        <v/>
      </c>
      <c r="C855">
        <f>IF(C$2=0,"",IFERROR(TRIM(INDEX('Pegar estudiantes'!$A$1:$BZ$1001,854,C$2)&amp;""),""))</f>
        <v/>
      </c>
      <c r="D855">
        <f>IF(D$2=0,"",IFERROR(TRIM(INDEX('Pegar estudiantes'!$A$1:$BZ$1001,854,D$2)&amp;""),""))</f>
        <v/>
      </c>
      <c r="E855">
        <f>IF(E$2=0,"",IFERROR(TRIM(INDEX('Pegar estudiantes'!$A$1:$BZ$1001,854,E$2)&amp;""),""))</f>
        <v/>
      </c>
      <c r="F855">
        <f>IF(F$2=0,"",IFERROR(TRIM(INDEX('Pegar estudiantes'!$A$1:$BZ$1001,854,F$2)&amp;""),""))</f>
        <v/>
      </c>
      <c r="G855">
        <f>IF(G$2=0,"",IFERROR(TRIM(INDEX('Pegar estudiantes'!$A$1:$BZ$1001,854,G$2)&amp;""),""))</f>
        <v/>
      </c>
      <c r="H855">
        <f>IF(H$2=0,"",IFERROR(TRIM(INDEX('Pegar estudiantes'!$A$1:$BZ$1001,854,H$2)&amp;""),""))</f>
        <v/>
      </c>
      <c r="I855">
        <f>IF(I$2=0,"",IFERROR(TRIM(INDEX('Pegar estudiantes'!$A$1:$BZ$1001,854,I$2)&amp;""),""))</f>
        <v/>
      </c>
      <c r="J855">
        <f>IF(J$2=0,"",IFERROR(TRIM(INDEX('Pegar estudiantes'!$A$1:$BZ$1001,854,J$2)&amp;""),""))</f>
        <v/>
      </c>
      <c r="K855">
        <f>IF(K$2=0,"",IFERROR(TRIM(INDEX('Pegar estudiantes'!$A$1:$BZ$1001,854,K$2)&amp;""),""))</f>
        <v/>
      </c>
      <c r="L855" s="25">
        <f>IF(A855&lt;&gt;"",1,"")</f>
        <v/>
      </c>
      <c r="M855" s="25">
        <f>IF(L855=1,IF(ISNUMBER(FIND("#"&amp;MID(A855,1,1)&amp;"#","#0#1#2#3#4#5#6#7#8#9#")),IF(ISNUMBER(FIND("#"&amp;MID(A855,2,1)&amp;"#","#0#1#2#3#4#5#6#7#8#9#")),IF(AND(VALUE(LEFT(A855,2))&gt;=1,VALUE(LEFT(A855,2))&lt;=5),VALUE(LEFT(A855,2)),""),IF(AND(VALUE(LEFT(A855,1))&gt;=1,VALUE(LEFT(A855,1))&lt;=5),VALUE(LEFT(A855,1)),"")),""),"")</f>
        <v/>
      </c>
      <c r="N855" s="25">
        <f>IF(L855=1,IF(ISNUMBER(FIND("#"&amp;MID(H855,1,1)&amp;"#","#0#1#2#3#4#5#6#7#8#9#")),IF(ISNUMBER(FIND("#"&amp;MID(H855,2,1)&amp;"#","#0#1#2#3#4#5#6#7#8#9#")),IF(AND(VALUE(LEFT(H855,2))&gt;=1,VALUE(LEFT(H855,2))&lt;=5),VALUE(LEFT(H855,2)),""),IF(AND(VALUE(LEFT(H855,1))&gt;=1,VALUE(LEFT(H855,1))&lt;=5),VALUE(LEFT(H855,1)),"")),""),"")</f>
        <v/>
      </c>
      <c r="O855" s="25">
        <f>IF(AND(L855=1,B855&lt;&gt;""),SUBSTITUTE(SUBSTITUTE(SUBSTITUTE(SUBSTITUTE(SUBSTITUTE(SUBSTITUTE(SUBSTITUTE(SUBSTITUTE(SUBSTITUTE(SUBSTITUTE(SUBSTITUTE(SUBSTITUTE(LOWER(TRIM(B855)),"á","a"),"é","e"),"í","i"),"ó","o"),"ú","u"),"ü","u"),"ñ","n"),"à","a"),"è","e"),"ì","i"),"ò","o"),"ù","u"),"")</f>
        <v/>
      </c>
      <c r="P855" s="25">
        <f>IF(AND(L855=1,C855&lt;&gt;""),SUBSTITUTE(SUBSTITUTE(SUBSTITUTE(SUBSTITUTE(SUBSTITUTE(SUBSTITUTE(SUBSTITUTE(SUBSTITUTE(SUBSTITUTE(SUBSTITUTE(SUBSTITUTE(SUBSTITUTE(LOWER(TRIM(C855)),"á","a"),"é","e"),"í","i"),"ó","o"),"ú","u"),"ü","u"),"ñ","n"),"à","a"),"è","e"),"ì","i"),"ò","o"),"ù","u"),"")</f>
        <v/>
      </c>
      <c r="Q855" s="25">
        <f>IF(AND(L855=1,E855&lt;&gt;""),SUBSTITUTE(SUBSTITUTE(SUBSTITUTE(SUBSTITUTE(SUBSTITUTE(SUBSTITUTE(SUBSTITUTE(SUBSTITUTE(SUBSTITUTE(SUBSTITUTE(SUBSTITUTE(SUBSTITUTE(LOWER(TRIM(E855)),"á","a"),"é","e"),"í","i"),"ó","o"),"ú","u"),"ü","u"),"ñ","n"),"à","a"),"è","e"),"ì","i"),"ò","o"),"ù","u"),"")</f>
        <v/>
      </c>
      <c r="R855" s="25">
        <f>IF(AND(L855=1,I855&lt;&gt;""),SUBSTITUTE(SUBSTITUTE(SUBSTITUTE(SUBSTITUTE(SUBSTITUTE(SUBSTITUTE(SUBSTITUTE(SUBSTITUTE(SUBSTITUTE(SUBSTITUTE(SUBSTITUTE(SUBSTITUTE(LOWER(TRIM(I855)),"á","a"),"é","e"),"í","i"),"ó","o"),"ú","u"),"ü","u"),"ñ","n"),"à","a"),"è","e"),"ì","i"),"ò","o"),"ù","u"),"")</f>
        <v/>
      </c>
      <c r="S855" s="25">
        <f>IF(R855="","",IF(OR(R855="si",R855="tal vez"),1,0))</f>
        <v/>
      </c>
      <c r="T855" s="25">
        <f>IF(AND(L855=1,D855&lt;&gt;""),IF(IFERROR(COUNTIFS(D$3:D855,"="&amp;SUBSTITUTE(SUBSTITUTE(SUBSTITUTE(D855,"~","~~"),"*","~*"),"?","~?"),L$3:L855,1),0)=1,MAX(T$2:T854)+1,""),"")</f>
        <v/>
      </c>
      <c r="U855" s="25">
        <f>IF(T855="","",COUNTIFS($D$3:$D$1002,"="&amp;SUBSTITUTE(SUBSTITUTE(SUBSTITUTE(D855,"~","~~"),"*","~*"),"?","~?"),$L$3:$L$1002,1)*10000-T855)</f>
        <v/>
      </c>
      <c r="V855" s="25">
        <f>IF(AND(L855=1,J855&lt;&gt;""),IF(IFERROR(COUNTIFS(J$3:J855,"="&amp;SUBSTITUTE(SUBSTITUTE(SUBSTITUTE(J855,"~","~~"),"*","~*"),"?","~?"),L$3:L855,1),0)=1,MAX(V$2:V854)+1,""),"")</f>
        <v/>
      </c>
      <c r="W855" s="25">
        <f>IF(V855="","",COUNTIFS($J$3:$J$1002,"="&amp;SUBSTITUTE(SUBSTITUTE(SUBSTITUTE(J855,"~","~~"),"*","~*"),"?","~?"),$L$3:$L$1002,1)*10000-V855)</f>
        <v/>
      </c>
    </row>
    <row r="856">
      <c r="A856">
        <f>IF(A$2=0,"",IFERROR(TRIM(INDEX('Pegar estudiantes'!$A$1:$BZ$1001,855,A$2)&amp;""),""))</f>
        <v/>
      </c>
      <c r="B856">
        <f>IF(B$2=0,"",IFERROR(TRIM(INDEX('Pegar estudiantes'!$A$1:$BZ$1001,855,B$2)&amp;""),""))</f>
        <v/>
      </c>
      <c r="C856">
        <f>IF(C$2=0,"",IFERROR(TRIM(INDEX('Pegar estudiantes'!$A$1:$BZ$1001,855,C$2)&amp;""),""))</f>
        <v/>
      </c>
      <c r="D856">
        <f>IF(D$2=0,"",IFERROR(TRIM(INDEX('Pegar estudiantes'!$A$1:$BZ$1001,855,D$2)&amp;""),""))</f>
        <v/>
      </c>
      <c r="E856">
        <f>IF(E$2=0,"",IFERROR(TRIM(INDEX('Pegar estudiantes'!$A$1:$BZ$1001,855,E$2)&amp;""),""))</f>
        <v/>
      </c>
      <c r="F856">
        <f>IF(F$2=0,"",IFERROR(TRIM(INDEX('Pegar estudiantes'!$A$1:$BZ$1001,855,F$2)&amp;""),""))</f>
        <v/>
      </c>
      <c r="G856">
        <f>IF(G$2=0,"",IFERROR(TRIM(INDEX('Pegar estudiantes'!$A$1:$BZ$1001,855,G$2)&amp;""),""))</f>
        <v/>
      </c>
      <c r="H856">
        <f>IF(H$2=0,"",IFERROR(TRIM(INDEX('Pegar estudiantes'!$A$1:$BZ$1001,855,H$2)&amp;""),""))</f>
        <v/>
      </c>
      <c r="I856">
        <f>IF(I$2=0,"",IFERROR(TRIM(INDEX('Pegar estudiantes'!$A$1:$BZ$1001,855,I$2)&amp;""),""))</f>
        <v/>
      </c>
      <c r="J856">
        <f>IF(J$2=0,"",IFERROR(TRIM(INDEX('Pegar estudiantes'!$A$1:$BZ$1001,855,J$2)&amp;""),""))</f>
        <v/>
      </c>
      <c r="K856">
        <f>IF(K$2=0,"",IFERROR(TRIM(INDEX('Pegar estudiantes'!$A$1:$BZ$1001,855,K$2)&amp;""),""))</f>
        <v/>
      </c>
      <c r="L856" s="25">
        <f>IF(A856&lt;&gt;"",1,"")</f>
        <v/>
      </c>
      <c r="M856" s="25">
        <f>IF(L856=1,IF(ISNUMBER(FIND("#"&amp;MID(A856,1,1)&amp;"#","#0#1#2#3#4#5#6#7#8#9#")),IF(ISNUMBER(FIND("#"&amp;MID(A856,2,1)&amp;"#","#0#1#2#3#4#5#6#7#8#9#")),IF(AND(VALUE(LEFT(A856,2))&gt;=1,VALUE(LEFT(A856,2))&lt;=5),VALUE(LEFT(A856,2)),""),IF(AND(VALUE(LEFT(A856,1))&gt;=1,VALUE(LEFT(A856,1))&lt;=5),VALUE(LEFT(A856,1)),"")),""),"")</f>
        <v/>
      </c>
      <c r="N856" s="25">
        <f>IF(L856=1,IF(ISNUMBER(FIND("#"&amp;MID(H856,1,1)&amp;"#","#0#1#2#3#4#5#6#7#8#9#")),IF(ISNUMBER(FIND("#"&amp;MID(H856,2,1)&amp;"#","#0#1#2#3#4#5#6#7#8#9#")),IF(AND(VALUE(LEFT(H856,2))&gt;=1,VALUE(LEFT(H856,2))&lt;=5),VALUE(LEFT(H856,2)),""),IF(AND(VALUE(LEFT(H856,1))&gt;=1,VALUE(LEFT(H856,1))&lt;=5),VALUE(LEFT(H856,1)),"")),""),"")</f>
        <v/>
      </c>
      <c r="O856" s="25">
        <f>IF(AND(L856=1,B856&lt;&gt;""),SUBSTITUTE(SUBSTITUTE(SUBSTITUTE(SUBSTITUTE(SUBSTITUTE(SUBSTITUTE(SUBSTITUTE(SUBSTITUTE(SUBSTITUTE(SUBSTITUTE(SUBSTITUTE(SUBSTITUTE(LOWER(TRIM(B856)),"á","a"),"é","e"),"í","i"),"ó","o"),"ú","u"),"ü","u"),"ñ","n"),"à","a"),"è","e"),"ì","i"),"ò","o"),"ù","u"),"")</f>
        <v/>
      </c>
      <c r="P856" s="25">
        <f>IF(AND(L856=1,C856&lt;&gt;""),SUBSTITUTE(SUBSTITUTE(SUBSTITUTE(SUBSTITUTE(SUBSTITUTE(SUBSTITUTE(SUBSTITUTE(SUBSTITUTE(SUBSTITUTE(SUBSTITUTE(SUBSTITUTE(SUBSTITUTE(LOWER(TRIM(C856)),"á","a"),"é","e"),"í","i"),"ó","o"),"ú","u"),"ü","u"),"ñ","n"),"à","a"),"è","e"),"ì","i"),"ò","o"),"ù","u"),"")</f>
        <v/>
      </c>
      <c r="Q856" s="25">
        <f>IF(AND(L856=1,E856&lt;&gt;""),SUBSTITUTE(SUBSTITUTE(SUBSTITUTE(SUBSTITUTE(SUBSTITUTE(SUBSTITUTE(SUBSTITUTE(SUBSTITUTE(SUBSTITUTE(SUBSTITUTE(SUBSTITUTE(SUBSTITUTE(LOWER(TRIM(E856)),"á","a"),"é","e"),"í","i"),"ó","o"),"ú","u"),"ü","u"),"ñ","n"),"à","a"),"è","e"),"ì","i"),"ò","o"),"ù","u"),"")</f>
        <v/>
      </c>
      <c r="R856" s="25">
        <f>IF(AND(L856=1,I856&lt;&gt;""),SUBSTITUTE(SUBSTITUTE(SUBSTITUTE(SUBSTITUTE(SUBSTITUTE(SUBSTITUTE(SUBSTITUTE(SUBSTITUTE(SUBSTITUTE(SUBSTITUTE(SUBSTITUTE(SUBSTITUTE(LOWER(TRIM(I856)),"á","a"),"é","e"),"í","i"),"ó","o"),"ú","u"),"ü","u"),"ñ","n"),"à","a"),"è","e"),"ì","i"),"ò","o"),"ù","u"),"")</f>
        <v/>
      </c>
      <c r="S856" s="25">
        <f>IF(R856="","",IF(OR(R856="si",R856="tal vez"),1,0))</f>
        <v/>
      </c>
      <c r="T856" s="25">
        <f>IF(AND(L856=1,D856&lt;&gt;""),IF(IFERROR(COUNTIFS(D$3:D856,"="&amp;SUBSTITUTE(SUBSTITUTE(SUBSTITUTE(D856,"~","~~"),"*","~*"),"?","~?"),L$3:L856,1),0)=1,MAX(T$2:T855)+1,""),"")</f>
        <v/>
      </c>
      <c r="U856" s="25">
        <f>IF(T856="","",COUNTIFS($D$3:$D$1002,"="&amp;SUBSTITUTE(SUBSTITUTE(SUBSTITUTE(D856,"~","~~"),"*","~*"),"?","~?"),$L$3:$L$1002,1)*10000-T856)</f>
        <v/>
      </c>
      <c r="V856" s="25">
        <f>IF(AND(L856=1,J856&lt;&gt;""),IF(IFERROR(COUNTIFS(J$3:J856,"="&amp;SUBSTITUTE(SUBSTITUTE(SUBSTITUTE(J856,"~","~~"),"*","~*"),"?","~?"),L$3:L856,1),0)=1,MAX(V$2:V855)+1,""),"")</f>
        <v/>
      </c>
      <c r="W856" s="25">
        <f>IF(V856="","",COUNTIFS($J$3:$J$1002,"="&amp;SUBSTITUTE(SUBSTITUTE(SUBSTITUTE(J856,"~","~~"),"*","~*"),"?","~?"),$L$3:$L$1002,1)*10000-V856)</f>
        <v/>
      </c>
    </row>
    <row r="857">
      <c r="A857">
        <f>IF(A$2=0,"",IFERROR(TRIM(INDEX('Pegar estudiantes'!$A$1:$BZ$1001,856,A$2)&amp;""),""))</f>
        <v/>
      </c>
      <c r="B857">
        <f>IF(B$2=0,"",IFERROR(TRIM(INDEX('Pegar estudiantes'!$A$1:$BZ$1001,856,B$2)&amp;""),""))</f>
        <v/>
      </c>
      <c r="C857">
        <f>IF(C$2=0,"",IFERROR(TRIM(INDEX('Pegar estudiantes'!$A$1:$BZ$1001,856,C$2)&amp;""),""))</f>
        <v/>
      </c>
      <c r="D857">
        <f>IF(D$2=0,"",IFERROR(TRIM(INDEX('Pegar estudiantes'!$A$1:$BZ$1001,856,D$2)&amp;""),""))</f>
        <v/>
      </c>
      <c r="E857">
        <f>IF(E$2=0,"",IFERROR(TRIM(INDEX('Pegar estudiantes'!$A$1:$BZ$1001,856,E$2)&amp;""),""))</f>
        <v/>
      </c>
      <c r="F857">
        <f>IF(F$2=0,"",IFERROR(TRIM(INDEX('Pegar estudiantes'!$A$1:$BZ$1001,856,F$2)&amp;""),""))</f>
        <v/>
      </c>
      <c r="G857">
        <f>IF(G$2=0,"",IFERROR(TRIM(INDEX('Pegar estudiantes'!$A$1:$BZ$1001,856,G$2)&amp;""),""))</f>
        <v/>
      </c>
      <c r="H857">
        <f>IF(H$2=0,"",IFERROR(TRIM(INDEX('Pegar estudiantes'!$A$1:$BZ$1001,856,H$2)&amp;""),""))</f>
        <v/>
      </c>
      <c r="I857">
        <f>IF(I$2=0,"",IFERROR(TRIM(INDEX('Pegar estudiantes'!$A$1:$BZ$1001,856,I$2)&amp;""),""))</f>
        <v/>
      </c>
      <c r="J857">
        <f>IF(J$2=0,"",IFERROR(TRIM(INDEX('Pegar estudiantes'!$A$1:$BZ$1001,856,J$2)&amp;""),""))</f>
        <v/>
      </c>
      <c r="K857">
        <f>IF(K$2=0,"",IFERROR(TRIM(INDEX('Pegar estudiantes'!$A$1:$BZ$1001,856,K$2)&amp;""),""))</f>
        <v/>
      </c>
      <c r="L857" s="25">
        <f>IF(A857&lt;&gt;"",1,"")</f>
        <v/>
      </c>
      <c r="M857" s="25">
        <f>IF(L857=1,IF(ISNUMBER(FIND("#"&amp;MID(A857,1,1)&amp;"#","#0#1#2#3#4#5#6#7#8#9#")),IF(ISNUMBER(FIND("#"&amp;MID(A857,2,1)&amp;"#","#0#1#2#3#4#5#6#7#8#9#")),IF(AND(VALUE(LEFT(A857,2))&gt;=1,VALUE(LEFT(A857,2))&lt;=5),VALUE(LEFT(A857,2)),""),IF(AND(VALUE(LEFT(A857,1))&gt;=1,VALUE(LEFT(A857,1))&lt;=5),VALUE(LEFT(A857,1)),"")),""),"")</f>
        <v/>
      </c>
      <c r="N857" s="25">
        <f>IF(L857=1,IF(ISNUMBER(FIND("#"&amp;MID(H857,1,1)&amp;"#","#0#1#2#3#4#5#6#7#8#9#")),IF(ISNUMBER(FIND("#"&amp;MID(H857,2,1)&amp;"#","#0#1#2#3#4#5#6#7#8#9#")),IF(AND(VALUE(LEFT(H857,2))&gt;=1,VALUE(LEFT(H857,2))&lt;=5),VALUE(LEFT(H857,2)),""),IF(AND(VALUE(LEFT(H857,1))&gt;=1,VALUE(LEFT(H857,1))&lt;=5),VALUE(LEFT(H857,1)),"")),""),"")</f>
        <v/>
      </c>
      <c r="O857" s="25">
        <f>IF(AND(L857=1,B857&lt;&gt;""),SUBSTITUTE(SUBSTITUTE(SUBSTITUTE(SUBSTITUTE(SUBSTITUTE(SUBSTITUTE(SUBSTITUTE(SUBSTITUTE(SUBSTITUTE(SUBSTITUTE(SUBSTITUTE(SUBSTITUTE(LOWER(TRIM(B857)),"á","a"),"é","e"),"í","i"),"ó","o"),"ú","u"),"ü","u"),"ñ","n"),"à","a"),"è","e"),"ì","i"),"ò","o"),"ù","u"),"")</f>
        <v/>
      </c>
      <c r="P857" s="25">
        <f>IF(AND(L857=1,C857&lt;&gt;""),SUBSTITUTE(SUBSTITUTE(SUBSTITUTE(SUBSTITUTE(SUBSTITUTE(SUBSTITUTE(SUBSTITUTE(SUBSTITUTE(SUBSTITUTE(SUBSTITUTE(SUBSTITUTE(SUBSTITUTE(LOWER(TRIM(C857)),"á","a"),"é","e"),"í","i"),"ó","o"),"ú","u"),"ü","u"),"ñ","n"),"à","a"),"è","e"),"ì","i"),"ò","o"),"ù","u"),"")</f>
        <v/>
      </c>
      <c r="Q857" s="25">
        <f>IF(AND(L857=1,E857&lt;&gt;""),SUBSTITUTE(SUBSTITUTE(SUBSTITUTE(SUBSTITUTE(SUBSTITUTE(SUBSTITUTE(SUBSTITUTE(SUBSTITUTE(SUBSTITUTE(SUBSTITUTE(SUBSTITUTE(SUBSTITUTE(LOWER(TRIM(E857)),"á","a"),"é","e"),"í","i"),"ó","o"),"ú","u"),"ü","u"),"ñ","n"),"à","a"),"è","e"),"ì","i"),"ò","o"),"ù","u"),"")</f>
        <v/>
      </c>
      <c r="R857" s="25">
        <f>IF(AND(L857=1,I857&lt;&gt;""),SUBSTITUTE(SUBSTITUTE(SUBSTITUTE(SUBSTITUTE(SUBSTITUTE(SUBSTITUTE(SUBSTITUTE(SUBSTITUTE(SUBSTITUTE(SUBSTITUTE(SUBSTITUTE(SUBSTITUTE(LOWER(TRIM(I857)),"á","a"),"é","e"),"í","i"),"ó","o"),"ú","u"),"ü","u"),"ñ","n"),"à","a"),"è","e"),"ì","i"),"ò","o"),"ù","u"),"")</f>
        <v/>
      </c>
      <c r="S857" s="25">
        <f>IF(R857="","",IF(OR(R857="si",R857="tal vez"),1,0))</f>
        <v/>
      </c>
      <c r="T857" s="25">
        <f>IF(AND(L857=1,D857&lt;&gt;""),IF(IFERROR(COUNTIFS(D$3:D857,"="&amp;SUBSTITUTE(SUBSTITUTE(SUBSTITUTE(D857,"~","~~"),"*","~*"),"?","~?"),L$3:L857,1),0)=1,MAX(T$2:T856)+1,""),"")</f>
        <v/>
      </c>
      <c r="U857" s="25">
        <f>IF(T857="","",COUNTIFS($D$3:$D$1002,"="&amp;SUBSTITUTE(SUBSTITUTE(SUBSTITUTE(D857,"~","~~"),"*","~*"),"?","~?"),$L$3:$L$1002,1)*10000-T857)</f>
        <v/>
      </c>
      <c r="V857" s="25">
        <f>IF(AND(L857=1,J857&lt;&gt;""),IF(IFERROR(COUNTIFS(J$3:J857,"="&amp;SUBSTITUTE(SUBSTITUTE(SUBSTITUTE(J857,"~","~~"),"*","~*"),"?","~?"),L$3:L857,1),0)=1,MAX(V$2:V856)+1,""),"")</f>
        <v/>
      </c>
      <c r="W857" s="25">
        <f>IF(V857="","",COUNTIFS($J$3:$J$1002,"="&amp;SUBSTITUTE(SUBSTITUTE(SUBSTITUTE(J857,"~","~~"),"*","~*"),"?","~?"),$L$3:$L$1002,1)*10000-V857)</f>
        <v/>
      </c>
    </row>
    <row r="858">
      <c r="A858">
        <f>IF(A$2=0,"",IFERROR(TRIM(INDEX('Pegar estudiantes'!$A$1:$BZ$1001,857,A$2)&amp;""),""))</f>
        <v/>
      </c>
      <c r="B858">
        <f>IF(B$2=0,"",IFERROR(TRIM(INDEX('Pegar estudiantes'!$A$1:$BZ$1001,857,B$2)&amp;""),""))</f>
        <v/>
      </c>
      <c r="C858">
        <f>IF(C$2=0,"",IFERROR(TRIM(INDEX('Pegar estudiantes'!$A$1:$BZ$1001,857,C$2)&amp;""),""))</f>
        <v/>
      </c>
      <c r="D858">
        <f>IF(D$2=0,"",IFERROR(TRIM(INDEX('Pegar estudiantes'!$A$1:$BZ$1001,857,D$2)&amp;""),""))</f>
        <v/>
      </c>
      <c r="E858">
        <f>IF(E$2=0,"",IFERROR(TRIM(INDEX('Pegar estudiantes'!$A$1:$BZ$1001,857,E$2)&amp;""),""))</f>
        <v/>
      </c>
      <c r="F858">
        <f>IF(F$2=0,"",IFERROR(TRIM(INDEX('Pegar estudiantes'!$A$1:$BZ$1001,857,F$2)&amp;""),""))</f>
        <v/>
      </c>
      <c r="G858">
        <f>IF(G$2=0,"",IFERROR(TRIM(INDEX('Pegar estudiantes'!$A$1:$BZ$1001,857,G$2)&amp;""),""))</f>
        <v/>
      </c>
      <c r="H858">
        <f>IF(H$2=0,"",IFERROR(TRIM(INDEX('Pegar estudiantes'!$A$1:$BZ$1001,857,H$2)&amp;""),""))</f>
        <v/>
      </c>
      <c r="I858">
        <f>IF(I$2=0,"",IFERROR(TRIM(INDEX('Pegar estudiantes'!$A$1:$BZ$1001,857,I$2)&amp;""),""))</f>
        <v/>
      </c>
      <c r="J858">
        <f>IF(J$2=0,"",IFERROR(TRIM(INDEX('Pegar estudiantes'!$A$1:$BZ$1001,857,J$2)&amp;""),""))</f>
        <v/>
      </c>
      <c r="K858">
        <f>IF(K$2=0,"",IFERROR(TRIM(INDEX('Pegar estudiantes'!$A$1:$BZ$1001,857,K$2)&amp;""),""))</f>
        <v/>
      </c>
      <c r="L858" s="25">
        <f>IF(A858&lt;&gt;"",1,"")</f>
        <v/>
      </c>
      <c r="M858" s="25">
        <f>IF(L858=1,IF(ISNUMBER(FIND("#"&amp;MID(A858,1,1)&amp;"#","#0#1#2#3#4#5#6#7#8#9#")),IF(ISNUMBER(FIND("#"&amp;MID(A858,2,1)&amp;"#","#0#1#2#3#4#5#6#7#8#9#")),IF(AND(VALUE(LEFT(A858,2))&gt;=1,VALUE(LEFT(A858,2))&lt;=5),VALUE(LEFT(A858,2)),""),IF(AND(VALUE(LEFT(A858,1))&gt;=1,VALUE(LEFT(A858,1))&lt;=5),VALUE(LEFT(A858,1)),"")),""),"")</f>
        <v/>
      </c>
      <c r="N858" s="25">
        <f>IF(L858=1,IF(ISNUMBER(FIND("#"&amp;MID(H858,1,1)&amp;"#","#0#1#2#3#4#5#6#7#8#9#")),IF(ISNUMBER(FIND("#"&amp;MID(H858,2,1)&amp;"#","#0#1#2#3#4#5#6#7#8#9#")),IF(AND(VALUE(LEFT(H858,2))&gt;=1,VALUE(LEFT(H858,2))&lt;=5),VALUE(LEFT(H858,2)),""),IF(AND(VALUE(LEFT(H858,1))&gt;=1,VALUE(LEFT(H858,1))&lt;=5),VALUE(LEFT(H858,1)),"")),""),"")</f>
        <v/>
      </c>
      <c r="O858" s="25">
        <f>IF(AND(L858=1,B858&lt;&gt;""),SUBSTITUTE(SUBSTITUTE(SUBSTITUTE(SUBSTITUTE(SUBSTITUTE(SUBSTITUTE(SUBSTITUTE(SUBSTITUTE(SUBSTITUTE(SUBSTITUTE(SUBSTITUTE(SUBSTITUTE(LOWER(TRIM(B858)),"á","a"),"é","e"),"í","i"),"ó","o"),"ú","u"),"ü","u"),"ñ","n"),"à","a"),"è","e"),"ì","i"),"ò","o"),"ù","u"),"")</f>
        <v/>
      </c>
      <c r="P858" s="25">
        <f>IF(AND(L858=1,C858&lt;&gt;""),SUBSTITUTE(SUBSTITUTE(SUBSTITUTE(SUBSTITUTE(SUBSTITUTE(SUBSTITUTE(SUBSTITUTE(SUBSTITUTE(SUBSTITUTE(SUBSTITUTE(SUBSTITUTE(SUBSTITUTE(LOWER(TRIM(C858)),"á","a"),"é","e"),"í","i"),"ó","o"),"ú","u"),"ü","u"),"ñ","n"),"à","a"),"è","e"),"ì","i"),"ò","o"),"ù","u"),"")</f>
        <v/>
      </c>
      <c r="Q858" s="25">
        <f>IF(AND(L858=1,E858&lt;&gt;""),SUBSTITUTE(SUBSTITUTE(SUBSTITUTE(SUBSTITUTE(SUBSTITUTE(SUBSTITUTE(SUBSTITUTE(SUBSTITUTE(SUBSTITUTE(SUBSTITUTE(SUBSTITUTE(SUBSTITUTE(LOWER(TRIM(E858)),"á","a"),"é","e"),"í","i"),"ó","o"),"ú","u"),"ü","u"),"ñ","n"),"à","a"),"è","e"),"ì","i"),"ò","o"),"ù","u"),"")</f>
        <v/>
      </c>
      <c r="R858" s="25">
        <f>IF(AND(L858=1,I858&lt;&gt;""),SUBSTITUTE(SUBSTITUTE(SUBSTITUTE(SUBSTITUTE(SUBSTITUTE(SUBSTITUTE(SUBSTITUTE(SUBSTITUTE(SUBSTITUTE(SUBSTITUTE(SUBSTITUTE(SUBSTITUTE(LOWER(TRIM(I858)),"á","a"),"é","e"),"í","i"),"ó","o"),"ú","u"),"ü","u"),"ñ","n"),"à","a"),"è","e"),"ì","i"),"ò","o"),"ù","u"),"")</f>
        <v/>
      </c>
      <c r="S858" s="25">
        <f>IF(R858="","",IF(OR(R858="si",R858="tal vez"),1,0))</f>
        <v/>
      </c>
      <c r="T858" s="25">
        <f>IF(AND(L858=1,D858&lt;&gt;""),IF(IFERROR(COUNTIFS(D$3:D858,"="&amp;SUBSTITUTE(SUBSTITUTE(SUBSTITUTE(D858,"~","~~"),"*","~*"),"?","~?"),L$3:L858,1),0)=1,MAX(T$2:T857)+1,""),"")</f>
        <v/>
      </c>
      <c r="U858" s="25">
        <f>IF(T858="","",COUNTIFS($D$3:$D$1002,"="&amp;SUBSTITUTE(SUBSTITUTE(SUBSTITUTE(D858,"~","~~"),"*","~*"),"?","~?"),$L$3:$L$1002,1)*10000-T858)</f>
        <v/>
      </c>
      <c r="V858" s="25">
        <f>IF(AND(L858=1,J858&lt;&gt;""),IF(IFERROR(COUNTIFS(J$3:J858,"="&amp;SUBSTITUTE(SUBSTITUTE(SUBSTITUTE(J858,"~","~~"),"*","~*"),"?","~?"),L$3:L858,1),0)=1,MAX(V$2:V857)+1,""),"")</f>
        <v/>
      </c>
      <c r="W858" s="25">
        <f>IF(V858="","",COUNTIFS($J$3:$J$1002,"="&amp;SUBSTITUTE(SUBSTITUTE(SUBSTITUTE(J858,"~","~~"),"*","~*"),"?","~?"),$L$3:$L$1002,1)*10000-V858)</f>
        <v/>
      </c>
    </row>
    <row r="859">
      <c r="A859">
        <f>IF(A$2=0,"",IFERROR(TRIM(INDEX('Pegar estudiantes'!$A$1:$BZ$1001,858,A$2)&amp;""),""))</f>
        <v/>
      </c>
      <c r="B859">
        <f>IF(B$2=0,"",IFERROR(TRIM(INDEX('Pegar estudiantes'!$A$1:$BZ$1001,858,B$2)&amp;""),""))</f>
        <v/>
      </c>
      <c r="C859">
        <f>IF(C$2=0,"",IFERROR(TRIM(INDEX('Pegar estudiantes'!$A$1:$BZ$1001,858,C$2)&amp;""),""))</f>
        <v/>
      </c>
      <c r="D859">
        <f>IF(D$2=0,"",IFERROR(TRIM(INDEX('Pegar estudiantes'!$A$1:$BZ$1001,858,D$2)&amp;""),""))</f>
        <v/>
      </c>
      <c r="E859">
        <f>IF(E$2=0,"",IFERROR(TRIM(INDEX('Pegar estudiantes'!$A$1:$BZ$1001,858,E$2)&amp;""),""))</f>
        <v/>
      </c>
      <c r="F859">
        <f>IF(F$2=0,"",IFERROR(TRIM(INDEX('Pegar estudiantes'!$A$1:$BZ$1001,858,F$2)&amp;""),""))</f>
        <v/>
      </c>
      <c r="G859">
        <f>IF(G$2=0,"",IFERROR(TRIM(INDEX('Pegar estudiantes'!$A$1:$BZ$1001,858,G$2)&amp;""),""))</f>
        <v/>
      </c>
      <c r="H859">
        <f>IF(H$2=0,"",IFERROR(TRIM(INDEX('Pegar estudiantes'!$A$1:$BZ$1001,858,H$2)&amp;""),""))</f>
        <v/>
      </c>
      <c r="I859">
        <f>IF(I$2=0,"",IFERROR(TRIM(INDEX('Pegar estudiantes'!$A$1:$BZ$1001,858,I$2)&amp;""),""))</f>
        <v/>
      </c>
      <c r="J859">
        <f>IF(J$2=0,"",IFERROR(TRIM(INDEX('Pegar estudiantes'!$A$1:$BZ$1001,858,J$2)&amp;""),""))</f>
        <v/>
      </c>
      <c r="K859">
        <f>IF(K$2=0,"",IFERROR(TRIM(INDEX('Pegar estudiantes'!$A$1:$BZ$1001,858,K$2)&amp;""),""))</f>
        <v/>
      </c>
      <c r="L859" s="25">
        <f>IF(A859&lt;&gt;"",1,"")</f>
        <v/>
      </c>
      <c r="M859" s="25">
        <f>IF(L859=1,IF(ISNUMBER(FIND("#"&amp;MID(A859,1,1)&amp;"#","#0#1#2#3#4#5#6#7#8#9#")),IF(ISNUMBER(FIND("#"&amp;MID(A859,2,1)&amp;"#","#0#1#2#3#4#5#6#7#8#9#")),IF(AND(VALUE(LEFT(A859,2))&gt;=1,VALUE(LEFT(A859,2))&lt;=5),VALUE(LEFT(A859,2)),""),IF(AND(VALUE(LEFT(A859,1))&gt;=1,VALUE(LEFT(A859,1))&lt;=5),VALUE(LEFT(A859,1)),"")),""),"")</f>
        <v/>
      </c>
      <c r="N859" s="25">
        <f>IF(L859=1,IF(ISNUMBER(FIND("#"&amp;MID(H859,1,1)&amp;"#","#0#1#2#3#4#5#6#7#8#9#")),IF(ISNUMBER(FIND("#"&amp;MID(H859,2,1)&amp;"#","#0#1#2#3#4#5#6#7#8#9#")),IF(AND(VALUE(LEFT(H859,2))&gt;=1,VALUE(LEFT(H859,2))&lt;=5),VALUE(LEFT(H859,2)),""),IF(AND(VALUE(LEFT(H859,1))&gt;=1,VALUE(LEFT(H859,1))&lt;=5),VALUE(LEFT(H859,1)),"")),""),"")</f>
        <v/>
      </c>
      <c r="O859" s="25">
        <f>IF(AND(L859=1,B859&lt;&gt;""),SUBSTITUTE(SUBSTITUTE(SUBSTITUTE(SUBSTITUTE(SUBSTITUTE(SUBSTITUTE(SUBSTITUTE(SUBSTITUTE(SUBSTITUTE(SUBSTITUTE(SUBSTITUTE(SUBSTITUTE(LOWER(TRIM(B859)),"á","a"),"é","e"),"í","i"),"ó","o"),"ú","u"),"ü","u"),"ñ","n"),"à","a"),"è","e"),"ì","i"),"ò","o"),"ù","u"),"")</f>
        <v/>
      </c>
      <c r="P859" s="25">
        <f>IF(AND(L859=1,C859&lt;&gt;""),SUBSTITUTE(SUBSTITUTE(SUBSTITUTE(SUBSTITUTE(SUBSTITUTE(SUBSTITUTE(SUBSTITUTE(SUBSTITUTE(SUBSTITUTE(SUBSTITUTE(SUBSTITUTE(SUBSTITUTE(LOWER(TRIM(C859)),"á","a"),"é","e"),"í","i"),"ó","o"),"ú","u"),"ü","u"),"ñ","n"),"à","a"),"è","e"),"ì","i"),"ò","o"),"ù","u"),"")</f>
        <v/>
      </c>
      <c r="Q859" s="25">
        <f>IF(AND(L859=1,E859&lt;&gt;""),SUBSTITUTE(SUBSTITUTE(SUBSTITUTE(SUBSTITUTE(SUBSTITUTE(SUBSTITUTE(SUBSTITUTE(SUBSTITUTE(SUBSTITUTE(SUBSTITUTE(SUBSTITUTE(SUBSTITUTE(LOWER(TRIM(E859)),"á","a"),"é","e"),"í","i"),"ó","o"),"ú","u"),"ü","u"),"ñ","n"),"à","a"),"è","e"),"ì","i"),"ò","o"),"ù","u"),"")</f>
        <v/>
      </c>
      <c r="R859" s="25">
        <f>IF(AND(L859=1,I859&lt;&gt;""),SUBSTITUTE(SUBSTITUTE(SUBSTITUTE(SUBSTITUTE(SUBSTITUTE(SUBSTITUTE(SUBSTITUTE(SUBSTITUTE(SUBSTITUTE(SUBSTITUTE(SUBSTITUTE(SUBSTITUTE(LOWER(TRIM(I859)),"á","a"),"é","e"),"í","i"),"ó","o"),"ú","u"),"ü","u"),"ñ","n"),"à","a"),"è","e"),"ì","i"),"ò","o"),"ù","u"),"")</f>
        <v/>
      </c>
      <c r="S859" s="25">
        <f>IF(R859="","",IF(OR(R859="si",R859="tal vez"),1,0))</f>
        <v/>
      </c>
      <c r="T859" s="25">
        <f>IF(AND(L859=1,D859&lt;&gt;""),IF(IFERROR(COUNTIFS(D$3:D859,"="&amp;SUBSTITUTE(SUBSTITUTE(SUBSTITUTE(D859,"~","~~"),"*","~*"),"?","~?"),L$3:L859,1),0)=1,MAX(T$2:T858)+1,""),"")</f>
        <v/>
      </c>
      <c r="U859" s="25">
        <f>IF(T859="","",COUNTIFS($D$3:$D$1002,"="&amp;SUBSTITUTE(SUBSTITUTE(SUBSTITUTE(D859,"~","~~"),"*","~*"),"?","~?"),$L$3:$L$1002,1)*10000-T859)</f>
        <v/>
      </c>
      <c r="V859" s="25">
        <f>IF(AND(L859=1,J859&lt;&gt;""),IF(IFERROR(COUNTIFS(J$3:J859,"="&amp;SUBSTITUTE(SUBSTITUTE(SUBSTITUTE(J859,"~","~~"),"*","~*"),"?","~?"),L$3:L859,1),0)=1,MAX(V$2:V858)+1,""),"")</f>
        <v/>
      </c>
      <c r="W859" s="25">
        <f>IF(V859="","",COUNTIFS($J$3:$J$1002,"="&amp;SUBSTITUTE(SUBSTITUTE(SUBSTITUTE(J859,"~","~~"),"*","~*"),"?","~?"),$L$3:$L$1002,1)*10000-V859)</f>
        <v/>
      </c>
    </row>
    <row r="860">
      <c r="A860">
        <f>IF(A$2=0,"",IFERROR(TRIM(INDEX('Pegar estudiantes'!$A$1:$BZ$1001,859,A$2)&amp;""),""))</f>
        <v/>
      </c>
      <c r="B860">
        <f>IF(B$2=0,"",IFERROR(TRIM(INDEX('Pegar estudiantes'!$A$1:$BZ$1001,859,B$2)&amp;""),""))</f>
        <v/>
      </c>
      <c r="C860">
        <f>IF(C$2=0,"",IFERROR(TRIM(INDEX('Pegar estudiantes'!$A$1:$BZ$1001,859,C$2)&amp;""),""))</f>
        <v/>
      </c>
      <c r="D860">
        <f>IF(D$2=0,"",IFERROR(TRIM(INDEX('Pegar estudiantes'!$A$1:$BZ$1001,859,D$2)&amp;""),""))</f>
        <v/>
      </c>
      <c r="E860">
        <f>IF(E$2=0,"",IFERROR(TRIM(INDEX('Pegar estudiantes'!$A$1:$BZ$1001,859,E$2)&amp;""),""))</f>
        <v/>
      </c>
      <c r="F860">
        <f>IF(F$2=0,"",IFERROR(TRIM(INDEX('Pegar estudiantes'!$A$1:$BZ$1001,859,F$2)&amp;""),""))</f>
        <v/>
      </c>
      <c r="G860">
        <f>IF(G$2=0,"",IFERROR(TRIM(INDEX('Pegar estudiantes'!$A$1:$BZ$1001,859,G$2)&amp;""),""))</f>
        <v/>
      </c>
      <c r="H860">
        <f>IF(H$2=0,"",IFERROR(TRIM(INDEX('Pegar estudiantes'!$A$1:$BZ$1001,859,H$2)&amp;""),""))</f>
        <v/>
      </c>
      <c r="I860">
        <f>IF(I$2=0,"",IFERROR(TRIM(INDEX('Pegar estudiantes'!$A$1:$BZ$1001,859,I$2)&amp;""),""))</f>
        <v/>
      </c>
      <c r="J860">
        <f>IF(J$2=0,"",IFERROR(TRIM(INDEX('Pegar estudiantes'!$A$1:$BZ$1001,859,J$2)&amp;""),""))</f>
        <v/>
      </c>
      <c r="K860">
        <f>IF(K$2=0,"",IFERROR(TRIM(INDEX('Pegar estudiantes'!$A$1:$BZ$1001,859,K$2)&amp;""),""))</f>
        <v/>
      </c>
      <c r="L860" s="25">
        <f>IF(A860&lt;&gt;"",1,"")</f>
        <v/>
      </c>
      <c r="M860" s="25">
        <f>IF(L860=1,IF(ISNUMBER(FIND("#"&amp;MID(A860,1,1)&amp;"#","#0#1#2#3#4#5#6#7#8#9#")),IF(ISNUMBER(FIND("#"&amp;MID(A860,2,1)&amp;"#","#0#1#2#3#4#5#6#7#8#9#")),IF(AND(VALUE(LEFT(A860,2))&gt;=1,VALUE(LEFT(A860,2))&lt;=5),VALUE(LEFT(A860,2)),""),IF(AND(VALUE(LEFT(A860,1))&gt;=1,VALUE(LEFT(A860,1))&lt;=5),VALUE(LEFT(A860,1)),"")),""),"")</f>
        <v/>
      </c>
      <c r="N860" s="25">
        <f>IF(L860=1,IF(ISNUMBER(FIND("#"&amp;MID(H860,1,1)&amp;"#","#0#1#2#3#4#5#6#7#8#9#")),IF(ISNUMBER(FIND("#"&amp;MID(H860,2,1)&amp;"#","#0#1#2#3#4#5#6#7#8#9#")),IF(AND(VALUE(LEFT(H860,2))&gt;=1,VALUE(LEFT(H860,2))&lt;=5),VALUE(LEFT(H860,2)),""),IF(AND(VALUE(LEFT(H860,1))&gt;=1,VALUE(LEFT(H860,1))&lt;=5),VALUE(LEFT(H860,1)),"")),""),"")</f>
        <v/>
      </c>
      <c r="O860" s="25">
        <f>IF(AND(L860=1,B860&lt;&gt;""),SUBSTITUTE(SUBSTITUTE(SUBSTITUTE(SUBSTITUTE(SUBSTITUTE(SUBSTITUTE(SUBSTITUTE(SUBSTITUTE(SUBSTITUTE(SUBSTITUTE(SUBSTITUTE(SUBSTITUTE(LOWER(TRIM(B860)),"á","a"),"é","e"),"í","i"),"ó","o"),"ú","u"),"ü","u"),"ñ","n"),"à","a"),"è","e"),"ì","i"),"ò","o"),"ù","u"),"")</f>
        <v/>
      </c>
      <c r="P860" s="25">
        <f>IF(AND(L860=1,C860&lt;&gt;""),SUBSTITUTE(SUBSTITUTE(SUBSTITUTE(SUBSTITUTE(SUBSTITUTE(SUBSTITUTE(SUBSTITUTE(SUBSTITUTE(SUBSTITUTE(SUBSTITUTE(SUBSTITUTE(SUBSTITUTE(LOWER(TRIM(C860)),"á","a"),"é","e"),"í","i"),"ó","o"),"ú","u"),"ü","u"),"ñ","n"),"à","a"),"è","e"),"ì","i"),"ò","o"),"ù","u"),"")</f>
        <v/>
      </c>
      <c r="Q860" s="25">
        <f>IF(AND(L860=1,E860&lt;&gt;""),SUBSTITUTE(SUBSTITUTE(SUBSTITUTE(SUBSTITUTE(SUBSTITUTE(SUBSTITUTE(SUBSTITUTE(SUBSTITUTE(SUBSTITUTE(SUBSTITUTE(SUBSTITUTE(SUBSTITUTE(LOWER(TRIM(E860)),"á","a"),"é","e"),"í","i"),"ó","o"),"ú","u"),"ü","u"),"ñ","n"),"à","a"),"è","e"),"ì","i"),"ò","o"),"ù","u"),"")</f>
        <v/>
      </c>
      <c r="R860" s="25">
        <f>IF(AND(L860=1,I860&lt;&gt;""),SUBSTITUTE(SUBSTITUTE(SUBSTITUTE(SUBSTITUTE(SUBSTITUTE(SUBSTITUTE(SUBSTITUTE(SUBSTITUTE(SUBSTITUTE(SUBSTITUTE(SUBSTITUTE(SUBSTITUTE(LOWER(TRIM(I860)),"á","a"),"é","e"),"í","i"),"ó","o"),"ú","u"),"ü","u"),"ñ","n"),"à","a"),"è","e"),"ì","i"),"ò","o"),"ù","u"),"")</f>
        <v/>
      </c>
      <c r="S860" s="25">
        <f>IF(R860="","",IF(OR(R860="si",R860="tal vez"),1,0))</f>
        <v/>
      </c>
      <c r="T860" s="25">
        <f>IF(AND(L860=1,D860&lt;&gt;""),IF(IFERROR(COUNTIFS(D$3:D860,"="&amp;SUBSTITUTE(SUBSTITUTE(SUBSTITUTE(D860,"~","~~"),"*","~*"),"?","~?"),L$3:L860,1),0)=1,MAX(T$2:T859)+1,""),"")</f>
        <v/>
      </c>
      <c r="U860" s="25">
        <f>IF(T860="","",COUNTIFS($D$3:$D$1002,"="&amp;SUBSTITUTE(SUBSTITUTE(SUBSTITUTE(D860,"~","~~"),"*","~*"),"?","~?"),$L$3:$L$1002,1)*10000-T860)</f>
        <v/>
      </c>
      <c r="V860" s="25">
        <f>IF(AND(L860=1,J860&lt;&gt;""),IF(IFERROR(COUNTIFS(J$3:J860,"="&amp;SUBSTITUTE(SUBSTITUTE(SUBSTITUTE(J860,"~","~~"),"*","~*"),"?","~?"),L$3:L860,1),0)=1,MAX(V$2:V859)+1,""),"")</f>
        <v/>
      </c>
      <c r="W860" s="25">
        <f>IF(V860="","",COUNTIFS($J$3:$J$1002,"="&amp;SUBSTITUTE(SUBSTITUTE(SUBSTITUTE(J860,"~","~~"),"*","~*"),"?","~?"),$L$3:$L$1002,1)*10000-V860)</f>
        <v/>
      </c>
    </row>
    <row r="861">
      <c r="A861">
        <f>IF(A$2=0,"",IFERROR(TRIM(INDEX('Pegar estudiantes'!$A$1:$BZ$1001,860,A$2)&amp;""),""))</f>
        <v/>
      </c>
      <c r="B861">
        <f>IF(B$2=0,"",IFERROR(TRIM(INDEX('Pegar estudiantes'!$A$1:$BZ$1001,860,B$2)&amp;""),""))</f>
        <v/>
      </c>
      <c r="C861">
        <f>IF(C$2=0,"",IFERROR(TRIM(INDEX('Pegar estudiantes'!$A$1:$BZ$1001,860,C$2)&amp;""),""))</f>
        <v/>
      </c>
      <c r="D861">
        <f>IF(D$2=0,"",IFERROR(TRIM(INDEX('Pegar estudiantes'!$A$1:$BZ$1001,860,D$2)&amp;""),""))</f>
        <v/>
      </c>
      <c r="E861">
        <f>IF(E$2=0,"",IFERROR(TRIM(INDEX('Pegar estudiantes'!$A$1:$BZ$1001,860,E$2)&amp;""),""))</f>
        <v/>
      </c>
      <c r="F861">
        <f>IF(F$2=0,"",IFERROR(TRIM(INDEX('Pegar estudiantes'!$A$1:$BZ$1001,860,F$2)&amp;""),""))</f>
        <v/>
      </c>
      <c r="G861">
        <f>IF(G$2=0,"",IFERROR(TRIM(INDEX('Pegar estudiantes'!$A$1:$BZ$1001,860,G$2)&amp;""),""))</f>
        <v/>
      </c>
      <c r="H861">
        <f>IF(H$2=0,"",IFERROR(TRIM(INDEX('Pegar estudiantes'!$A$1:$BZ$1001,860,H$2)&amp;""),""))</f>
        <v/>
      </c>
      <c r="I861">
        <f>IF(I$2=0,"",IFERROR(TRIM(INDEX('Pegar estudiantes'!$A$1:$BZ$1001,860,I$2)&amp;""),""))</f>
        <v/>
      </c>
      <c r="J861">
        <f>IF(J$2=0,"",IFERROR(TRIM(INDEX('Pegar estudiantes'!$A$1:$BZ$1001,860,J$2)&amp;""),""))</f>
        <v/>
      </c>
      <c r="K861">
        <f>IF(K$2=0,"",IFERROR(TRIM(INDEX('Pegar estudiantes'!$A$1:$BZ$1001,860,K$2)&amp;""),""))</f>
        <v/>
      </c>
      <c r="L861" s="25">
        <f>IF(A861&lt;&gt;"",1,"")</f>
        <v/>
      </c>
      <c r="M861" s="25">
        <f>IF(L861=1,IF(ISNUMBER(FIND("#"&amp;MID(A861,1,1)&amp;"#","#0#1#2#3#4#5#6#7#8#9#")),IF(ISNUMBER(FIND("#"&amp;MID(A861,2,1)&amp;"#","#0#1#2#3#4#5#6#7#8#9#")),IF(AND(VALUE(LEFT(A861,2))&gt;=1,VALUE(LEFT(A861,2))&lt;=5),VALUE(LEFT(A861,2)),""),IF(AND(VALUE(LEFT(A861,1))&gt;=1,VALUE(LEFT(A861,1))&lt;=5),VALUE(LEFT(A861,1)),"")),""),"")</f>
        <v/>
      </c>
      <c r="N861" s="25">
        <f>IF(L861=1,IF(ISNUMBER(FIND("#"&amp;MID(H861,1,1)&amp;"#","#0#1#2#3#4#5#6#7#8#9#")),IF(ISNUMBER(FIND("#"&amp;MID(H861,2,1)&amp;"#","#0#1#2#3#4#5#6#7#8#9#")),IF(AND(VALUE(LEFT(H861,2))&gt;=1,VALUE(LEFT(H861,2))&lt;=5),VALUE(LEFT(H861,2)),""),IF(AND(VALUE(LEFT(H861,1))&gt;=1,VALUE(LEFT(H861,1))&lt;=5),VALUE(LEFT(H861,1)),"")),""),"")</f>
        <v/>
      </c>
      <c r="O861" s="25">
        <f>IF(AND(L861=1,B861&lt;&gt;""),SUBSTITUTE(SUBSTITUTE(SUBSTITUTE(SUBSTITUTE(SUBSTITUTE(SUBSTITUTE(SUBSTITUTE(SUBSTITUTE(SUBSTITUTE(SUBSTITUTE(SUBSTITUTE(SUBSTITUTE(LOWER(TRIM(B861)),"á","a"),"é","e"),"í","i"),"ó","o"),"ú","u"),"ü","u"),"ñ","n"),"à","a"),"è","e"),"ì","i"),"ò","o"),"ù","u"),"")</f>
        <v/>
      </c>
      <c r="P861" s="25">
        <f>IF(AND(L861=1,C861&lt;&gt;""),SUBSTITUTE(SUBSTITUTE(SUBSTITUTE(SUBSTITUTE(SUBSTITUTE(SUBSTITUTE(SUBSTITUTE(SUBSTITUTE(SUBSTITUTE(SUBSTITUTE(SUBSTITUTE(SUBSTITUTE(LOWER(TRIM(C861)),"á","a"),"é","e"),"í","i"),"ó","o"),"ú","u"),"ü","u"),"ñ","n"),"à","a"),"è","e"),"ì","i"),"ò","o"),"ù","u"),"")</f>
        <v/>
      </c>
      <c r="Q861" s="25">
        <f>IF(AND(L861=1,E861&lt;&gt;""),SUBSTITUTE(SUBSTITUTE(SUBSTITUTE(SUBSTITUTE(SUBSTITUTE(SUBSTITUTE(SUBSTITUTE(SUBSTITUTE(SUBSTITUTE(SUBSTITUTE(SUBSTITUTE(SUBSTITUTE(LOWER(TRIM(E861)),"á","a"),"é","e"),"í","i"),"ó","o"),"ú","u"),"ü","u"),"ñ","n"),"à","a"),"è","e"),"ì","i"),"ò","o"),"ù","u"),"")</f>
        <v/>
      </c>
      <c r="R861" s="25">
        <f>IF(AND(L861=1,I861&lt;&gt;""),SUBSTITUTE(SUBSTITUTE(SUBSTITUTE(SUBSTITUTE(SUBSTITUTE(SUBSTITUTE(SUBSTITUTE(SUBSTITUTE(SUBSTITUTE(SUBSTITUTE(SUBSTITUTE(SUBSTITUTE(LOWER(TRIM(I861)),"á","a"),"é","e"),"í","i"),"ó","o"),"ú","u"),"ü","u"),"ñ","n"),"à","a"),"è","e"),"ì","i"),"ò","o"),"ù","u"),"")</f>
        <v/>
      </c>
      <c r="S861" s="25">
        <f>IF(R861="","",IF(OR(R861="si",R861="tal vez"),1,0))</f>
        <v/>
      </c>
      <c r="T861" s="25">
        <f>IF(AND(L861=1,D861&lt;&gt;""),IF(IFERROR(COUNTIFS(D$3:D861,"="&amp;SUBSTITUTE(SUBSTITUTE(SUBSTITUTE(D861,"~","~~"),"*","~*"),"?","~?"),L$3:L861,1),0)=1,MAX(T$2:T860)+1,""),"")</f>
        <v/>
      </c>
      <c r="U861" s="25">
        <f>IF(T861="","",COUNTIFS($D$3:$D$1002,"="&amp;SUBSTITUTE(SUBSTITUTE(SUBSTITUTE(D861,"~","~~"),"*","~*"),"?","~?"),$L$3:$L$1002,1)*10000-T861)</f>
        <v/>
      </c>
      <c r="V861" s="25">
        <f>IF(AND(L861=1,J861&lt;&gt;""),IF(IFERROR(COUNTIFS(J$3:J861,"="&amp;SUBSTITUTE(SUBSTITUTE(SUBSTITUTE(J861,"~","~~"),"*","~*"),"?","~?"),L$3:L861,1),0)=1,MAX(V$2:V860)+1,""),"")</f>
        <v/>
      </c>
      <c r="W861" s="25">
        <f>IF(V861="","",COUNTIFS($J$3:$J$1002,"="&amp;SUBSTITUTE(SUBSTITUTE(SUBSTITUTE(J861,"~","~~"),"*","~*"),"?","~?"),$L$3:$L$1002,1)*10000-V861)</f>
        <v/>
      </c>
    </row>
    <row r="862">
      <c r="A862">
        <f>IF(A$2=0,"",IFERROR(TRIM(INDEX('Pegar estudiantes'!$A$1:$BZ$1001,861,A$2)&amp;""),""))</f>
        <v/>
      </c>
      <c r="B862">
        <f>IF(B$2=0,"",IFERROR(TRIM(INDEX('Pegar estudiantes'!$A$1:$BZ$1001,861,B$2)&amp;""),""))</f>
        <v/>
      </c>
      <c r="C862">
        <f>IF(C$2=0,"",IFERROR(TRIM(INDEX('Pegar estudiantes'!$A$1:$BZ$1001,861,C$2)&amp;""),""))</f>
        <v/>
      </c>
      <c r="D862">
        <f>IF(D$2=0,"",IFERROR(TRIM(INDEX('Pegar estudiantes'!$A$1:$BZ$1001,861,D$2)&amp;""),""))</f>
        <v/>
      </c>
      <c r="E862">
        <f>IF(E$2=0,"",IFERROR(TRIM(INDEX('Pegar estudiantes'!$A$1:$BZ$1001,861,E$2)&amp;""),""))</f>
        <v/>
      </c>
      <c r="F862">
        <f>IF(F$2=0,"",IFERROR(TRIM(INDEX('Pegar estudiantes'!$A$1:$BZ$1001,861,F$2)&amp;""),""))</f>
        <v/>
      </c>
      <c r="G862">
        <f>IF(G$2=0,"",IFERROR(TRIM(INDEX('Pegar estudiantes'!$A$1:$BZ$1001,861,G$2)&amp;""),""))</f>
        <v/>
      </c>
      <c r="H862">
        <f>IF(H$2=0,"",IFERROR(TRIM(INDEX('Pegar estudiantes'!$A$1:$BZ$1001,861,H$2)&amp;""),""))</f>
        <v/>
      </c>
      <c r="I862">
        <f>IF(I$2=0,"",IFERROR(TRIM(INDEX('Pegar estudiantes'!$A$1:$BZ$1001,861,I$2)&amp;""),""))</f>
        <v/>
      </c>
      <c r="J862">
        <f>IF(J$2=0,"",IFERROR(TRIM(INDEX('Pegar estudiantes'!$A$1:$BZ$1001,861,J$2)&amp;""),""))</f>
        <v/>
      </c>
      <c r="K862">
        <f>IF(K$2=0,"",IFERROR(TRIM(INDEX('Pegar estudiantes'!$A$1:$BZ$1001,861,K$2)&amp;""),""))</f>
        <v/>
      </c>
      <c r="L862" s="25">
        <f>IF(A862&lt;&gt;"",1,"")</f>
        <v/>
      </c>
      <c r="M862" s="25">
        <f>IF(L862=1,IF(ISNUMBER(FIND("#"&amp;MID(A862,1,1)&amp;"#","#0#1#2#3#4#5#6#7#8#9#")),IF(ISNUMBER(FIND("#"&amp;MID(A862,2,1)&amp;"#","#0#1#2#3#4#5#6#7#8#9#")),IF(AND(VALUE(LEFT(A862,2))&gt;=1,VALUE(LEFT(A862,2))&lt;=5),VALUE(LEFT(A862,2)),""),IF(AND(VALUE(LEFT(A862,1))&gt;=1,VALUE(LEFT(A862,1))&lt;=5),VALUE(LEFT(A862,1)),"")),""),"")</f>
        <v/>
      </c>
      <c r="N862" s="25">
        <f>IF(L862=1,IF(ISNUMBER(FIND("#"&amp;MID(H862,1,1)&amp;"#","#0#1#2#3#4#5#6#7#8#9#")),IF(ISNUMBER(FIND("#"&amp;MID(H862,2,1)&amp;"#","#0#1#2#3#4#5#6#7#8#9#")),IF(AND(VALUE(LEFT(H862,2))&gt;=1,VALUE(LEFT(H862,2))&lt;=5),VALUE(LEFT(H862,2)),""),IF(AND(VALUE(LEFT(H862,1))&gt;=1,VALUE(LEFT(H862,1))&lt;=5),VALUE(LEFT(H862,1)),"")),""),"")</f>
        <v/>
      </c>
      <c r="O862" s="25">
        <f>IF(AND(L862=1,B862&lt;&gt;""),SUBSTITUTE(SUBSTITUTE(SUBSTITUTE(SUBSTITUTE(SUBSTITUTE(SUBSTITUTE(SUBSTITUTE(SUBSTITUTE(SUBSTITUTE(SUBSTITUTE(SUBSTITUTE(SUBSTITUTE(LOWER(TRIM(B862)),"á","a"),"é","e"),"í","i"),"ó","o"),"ú","u"),"ü","u"),"ñ","n"),"à","a"),"è","e"),"ì","i"),"ò","o"),"ù","u"),"")</f>
        <v/>
      </c>
      <c r="P862" s="25">
        <f>IF(AND(L862=1,C862&lt;&gt;""),SUBSTITUTE(SUBSTITUTE(SUBSTITUTE(SUBSTITUTE(SUBSTITUTE(SUBSTITUTE(SUBSTITUTE(SUBSTITUTE(SUBSTITUTE(SUBSTITUTE(SUBSTITUTE(SUBSTITUTE(LOWER(TRIM(C862)),"á","a"),"é","e"),"í","i"),"ó","o"),"ú","u"),"ü","u"),"ñ","n"),"à","a"),"è","e"),"ì","i"),"ò","o"),"ù","u"),"")</f>
        <v/>
      </c>
      <c r="Q862" s="25">
        <f>IF(AND(L862=1,E862&lt;&gt;""),SUBSTITUTE(SUBSTITUTE(SUBSTITUTE(SUBSTITUTE(SUBSTITUTE(SUBSTITUTE(SUBSTITUTE(SUBSTITUTE(SUBSTITUTE(SUBSTITUTE(SUBSTITUTE(SUBSTITUTE(LOWER(TRIM(E862)),"á","a"),"é","e"),"í","i"),"ó","o"),"ú","u"),"ü","u"),"ñ","n"),"à","a"),"è","e"),"ì","i"),"ò","o"),"ù","u"),"")</f>
        <v/>
      </c>
      <c r="R862" s="25">
        <f>IF(AND(L862=1,I862&lt;&gt;""),SUBSTITUTE(SUBSTITUTE(SUBSTITUTE(SUBSTITUTE(SUBSTITUTE(SUBSTITUTE(SUBSTITUTE(SUBSTITUTE(SUBSTITUTE(SUBSTITUTE(SUBSTITUTE(SUBSTITUTE(LOWER(TRIM(I862)),"á","a"),"é","e"),"í","i"),"ó","o"),"ú","u"),"ü","u"),"ñ","n"),"à","a"),"è","e"),"ì","i"),"ò","o"),"ù","u"),"")</f>
        <v/>
      </c>
      <c r="S862" s="25">
        <f>IF(R862="","",IF(OR(R862="si",R862="tal vez"),1,0))</f>
        <v/>
      </c>
      <c r="T862" s="25">
        <f>IF(AND(L862=1,D862&lt;&gt;""),IF(IFERROR(COUNTIFS(D$3:D862,"="&amp;SUBSTITUTE(SUBSTITUTE(SUBSTITUTE(D862,"~","~~"),"*","~*"),"?","~?"),L$3:L862,1),0)=1,MAX(T$2:T861)+1,""),"")</f>
        <v/>
      </c>
      <c r="U862" s="25">
        <f>IF(T862="","",COUNTIFS($D$3:$D$1002,"="&amp;SUBSTITUTE(SUBSTITUTE(SUBSTITUTE(D862,"~","~~"),"*","~*"),"?","~?"),$L$3:$L$1002,1)*10000-T862)</f>
        <v/>
      </c>
      <c r="V862" s="25">
        <f>IF(AND(L862=1,J862&lt;&gt;""),IF(IFERROR(COUNTIFS(J$3:J862,"="&amp;SUBSTITUTE(SUBSTITUTE(SUBSTITUTE(J862,"~","~~"),"*","~*"),"?","~?"),L$3:L862,1),0)=1,MAX(V$2:V861)+1,""),"")</f>
        <v/>
      </c>
      <c r="W862" s="25">
        <f>IF(V862="","",COUNTIFS($J$3:$J$1002,"="&amp;SUBSTITUTE(SUBSTITUTE(SUBSTITUTE(J862,"~","~~"),"*","~*"),"?","~?"),$L$3:$L$1002,1)*10000-V862)</f>
        <v/>
      </c>
    </row>
    <row r="863">
      <c r="A863">
        <f>IF(A$2=0,"",IFERROR(TRIM(INDEX('Pegar estudiantes'!$A$1:$BZ$1001,862,A$2)&amp;""),""))</f>
        <v/>
      </c>
      <c r="B863">
        <f>IF(B$2=0,"",IFERROR(TRIM(INDEX('Pegar estudiantes'!$A$1:$BZ$1001,862,B$2)&amp;""),""))</f>
        <v/>
      </c>
      <c r="C863">
        <f>IF(C$2=0,"",IFERROR(TRIM(INDEX('Pegar estudiantes'!$A$1:$BZ$1001,862,C$2)&amp;""),""))</f>
        <v/>
      </c>
      <c r="D863">
        <f>IF(D$2=0,"",IFERROR(TRIM(INDEX('Pegar estudiantes'!$A$1:$BZ$1001,862,D$2)&amp;""),""))</f>
        <v/>
      </c>
      <c r="E863">
        <f>IF(E$2=0,"",IFERROR(TRIM(INDEX('Pegar estudiantes'!$A$1:$BZ$1001,862,E$2)&amp;""),""))</f>
        <v/>
      </c>
      <c r="F863">
        <f>IF(F$2=0,"",IFERROR(TRIM(INDEX('Pegar estudiantes'!$A$1:$BZ$1001,862,F$2)&amp;""),""))</f>
        <v/>
      </c>
      <c r="G863">
        <f>IF(G$2=0,"",IFERROR(TRIM(INDEX('Pegar estudiantes'!$A$1:$BZ$1001,862,G$2)&amp;""),""))</f>
        <v/>
      </c>
      <c r="H863">
        <f>IF(H$2=0,"",IFERROR(TRIM(INDEX('Pegar estudiantes'!$A$1:$BZ$1001,862,H$2)&amp;""),""))</f>
        <v/>
      </c>
      <c r="I863">
        <f>IF(I$2=0,"",IFERROR(TRIM(INDEX('Pegar estudiantes'!$A$1:$BZ$1001,862,I$2)&amp;""),""))</f>
        <v/>
      </c>
      <c r="J863">
        <f>IF(J$2=0,"",IFERROR(TRIM(INDEX('Pegar estudiantes'!$A$1:$BZ$1001,862,J$2)&amp;""),""))</f>
        <v/>
      </c>
      <c r="K863">
        <f>IF(K$2=0,"",IFERROR(TRIM(INDEX('Pegar estudiantes'!$A$1:$BZ$1001,862,K$2)&amp;""),""))</f>
        <v/>
      </c>
      <c r="L863" s="25">
        <f>IF(A863&lt;&gt;"",1,"")</f>
        <v/>
      </c>
      <c r="M863" s="25">
        <f>IF(L863=1,IF(ISNUMBER(FIND("#"&amp;MID(A863,1,1)&amp;"#","#0#1#2#3#4#5#6#7#8#9#")),IF(ISNUMBER(FIND("#"&amp;MID(A863,2,1)&amp;"#","#0#1#2#3#4#5#6#7#8#9#")),IF(AND(VALUE(LEFT(A863,2))&gt;=1,VALUE(LEFT(A863,2))&lt;=5),VALUE(LEFT(A863,2)),""),IF(AND(VALUE(LEFT(A863,1))&gt;=1,VALUE(LEFT(A863,1))&lt;=5),VALUE(LEFT(A863,1)),"")),""),"")</f>
        <v/>
      </c>
      <c r="N863" s="25">
        <f>IF(L863=1,IF(ISNUMBER(FIND("#"&amp;MID(H863,1,1)&amp;"#","#0#1#2#3#4#5#6#7#8#9#")),IF(ISNUMBER(FIND("#"&amp;MID(H863,2,1)&amp;"#","#0#1#2#3#4#5#6#7#8#9#")),IF(AND(VALUE(LEFT(H863,2))&gt;=1,VALUE(LEFT(H863,2))&lt;=5),VALUE(LEFT(H863,2)),""),IF(AND(VALUE(LEFT(H863,1))&gt;=1,VALUE(LEFT(H863,1))&lt;=5),VALUE(LEFT(H863,1)),"")),""),"")</f>
        <v/>
      </c>
      <c r="O863" s="25">
        <f>IF(AND(L863=1,B863&lt;&gt;""),SUBSTITUTE(SUBSTITUTE(SUBSTITUTE(SUBSTITUTE(SUBSTITUTE(SUBSTITUTE(SUBSTITUTE(SUBSTITUTE(SUBSTITUTE(SUBSTITUTE(SUBSTITUTE(SUBSTITUTE(LOWER(TRIM(B863)),"á","a"),"é","e"),"í","i"),"ó","o"),"ú","u"),"ü","u"),"ñ","n"),"à","a"),"è","e"),"ì","i"),"ò","o"),"ù","u"),"")</f>
        <v/>
      </c>
      <c r="P863" s="25">
        <f>IF(AND(L863=1,C863&lt;&gt;""),SUBSTITUTE(SUBSTITUTE(SUBSTITUTE(SUBSTITUTE(SUBSTITUTE(SUBSTITUTE(SUBSTITUTE(SUBSTITUTE(SUBSTITUTE(SUBSTITUTE(SUBSTITUTE(SUBSTITUTE(LOWER(TRIM(C863)),"á","a"),"é","e"),"í","i"),"ó","o"),"ú","u"),"ü","u"),"ñ","n"),"à","a"),"è","e"),"ì","i"),"ò","o"),"ù","u"),"")</f>
        <v/>
      </c>
      <c r="Q863" s="25">
        <f>IF(AND(L863=1,E863&lt;&gt;""),SUBSTITUTE(SUBSTITUTE(SUBSTITUTE(SUBSTITUTE(SUBSTITUTE(SUBSTITUTE(SUBSTITUTE(SUBSTITUTE(SUBSTITUTE(SUBSTITUTE(SUBSTITUTE(SUBSTITUTE(LOWER(TRIM(E863)),"á","a"),"é","e"),"í","i"),"ó","o"),"ú","u"),"ü","u"),"ñ","n"),"à","a"),"è","e"),"ì","i"),"ò","o"),"ù","u"),"")</f>
        <v/>
      </c>
      <c r="R863" s="25">
        <f>IF(AND(L863=1,I863&lt;&gt;""),SUBSTITUTE(SUBSTITUTE(SUBSTITUTE(SUBSTITUTE(SUBSTITUTE(SUBSTITUTE(SUBSTITUTE(SUBSTITUTE(SUBSTITUTE(SUBSTITUTE(SUBSTITUTE(SUBSTITUTE(LOWER(TRIM(I863)),"á","a"),"é","e"),"í","i"),"ó","o"),"ú","u"),"ü","u"),"ñ","n"),"à","a"),"è","e"),"ì","i"),"ò","o"),"ù","u"),"")</f>
        <v/>
      </c>
      <c r="S863" s="25">
        <f>IF(R863="","",IF(OR(R863="si",R863="tal vez"),1,0))</f>
        <v/>
      </c>
      <c r="T863" s="25">
        <f>IF(AND(L863=1,D863&lt;&gt;""),IF(IFERROR(COUNTIFS(D$3:D863,"="&amp;SUBSTITUTE(SUBSTITUTE(SUBSTITUTE(D863,"~","~~"),"*","~*"),"?","~?"),L$3:L863,1),0)=1,MAX(T$2:T862)+1,""),"")</f>
        <v/>
      </c>
      <c r="U863" s="25">
        <f>IF(T863="","",COUNTIFS($D$3:$D$1002,"="&amp;SUBSTITUTE(SUBSTITUTE(SUBSTITUTE(D863,"~","~~"),"*","~*"),"?","~?"),$L$3:$L$1002,1)*10000-T863)</f>
        <v/>
      </c>
      <c r="V863" s="25">
        <f>IF(AND(L863=1,J863&lt;&gt;""),IF(IFERROR(COUNTIFS(J$3:J863,"="&amp;SUBSTITUTE(SUBSTITUTE(SUBSTITUTE(J863,"~","~~"),"*","~*"),"?","~?"),L$3:L863,1),0)=1,MAX(V$2:V862)+1,""),"")</f>
        <v/>
      </c>
      <c r="W863" s="25">
        <f>IF(V863="","",COUNTIFS($J$3:$J$1002,"="&amp;SUBSTITUTE(SUBSTITUTE(SUBSTITUTE(J863,"~","~~"),"*","~*"),"?","~?"),$L$3:$L$1002,1)*10000-V863)</f>
        <v/>
      </c>
    </row>
    <row r="864">
      <c r="A864">
        <f>IF(A$2=0,"",IFERROR(TRIM(INDEX('Pegar estudiantes'!$A$1:$BZ$1001,863,A$2)&amp;""),""))</f>
        <v/>
      </c>
      <c r="B864">
        <f>IF(B$2=0,"",IFERROR(TRIM(INDEX('Pegar estudiantes'!$A$1:$BZ$1001,863,B$2)&amp;""),""))</f>
        <v/>
      </c>
      <c r="C864">
        <f>IF(C$2=0,"",IFERROR(TRIM(INDEX('Pegar estudiantes'!$A$1:$BZ$1001,863,C$2)&amp;""),""))</f>
        <v/>
      </c>
      <c r="D864">
        <f>IF(D$2=0,"",IFERROR(TRIM(INDEX('Pegar estudiantes'!$A$1:$BZ$1001,863,D$2)&amp;""),""))</f>
        <v/>
      </c>
      <c r="E864">
        <f>IF(E$2=0,"",IFERROR(TRIM(INDEX('Pegar estudiantes'!$A$1:$BZ$1001,863,E$2)&amp;""),""))</f>
        <v/>
      </c>
      <c r="F864">
        <f>IF(F$2=0,"",IFERROR(TRIM(INDEX('Pegar estudiantes'!$A$1:$BZ$1001,863,F$2)&amp;""),""))</f>
        <v/>
      </c>
      <c r="G864">
        <f>IF(G$2=0,"",IFERROR(TRIM(INDEX('Pegar estudiantes'!$A$1:$BZ$1001,863,G$2)&amp;""),""))</f>
        <v/>
      </c>
      <c r="H864">
        <f>IF(H$2=0,"",IFERROR(TRIM(INDEX('Pegar estudiantes'!$A$1:$BZ$1001,863,H$2)&amp;""),""))</f>
        <v/>
      </c>
      <c r="I864">
        <f>IF(I$2=0,"",IFERROR(TRIM(INDEX('Pegar estudiantes'!$A$1:$BZ$1001,863,I$2)&amp;""),""))</f>
        <v/>
      </c>
      <c r="J864">
        <f>IF(J$2=0,"",IFERROR(TRIM(INDEX('Pegar estudiantes'!$A$1:$BZ$1001,863,J$2)&amp;""),""))</f>
        <v/>
      </c>
      <c r="K864">
        <f>IF(K$2=0,"",IFERROR(TRIM(INDEX('Pegar estudiantes'!$A$1:$BZ$1001,863,K$2)&amp;""),""))</f>
        <v/>
      </c>
      <c r="L864" s="25">
        <f>IF(A864&lt;&gt;"",1,"")</f>
        <v/>
      </c>
      <c r="M864" s="25">
        <f>IF(L864=1,IF(ISNUMBER(FIND("#"&amp;MID(A864,1,1)&amp;"#","#0#1#2#3#4#5#6#7#8#9#")),IF(ISNUMBER(FIND("#"&amp;MID(A864,2,1)&amp;"#","#0#1#2#3#4#5#6#7#8#9#")),IF(AND(VALUE(LEFT(A864,2))&gt;=1,VALUE(LEFT(A864,2))&lt;=5),VALUE(LEFT(A864,2)),""),IF(AND(VALUE(LEFT(A864,1))&gt;=1,VALUE(LEFT(A864,1))&lt;=5),VALUE(LEFT(A864,1)),"")),""),"")</f>
        <v/>
      </c>
      <c r="N864" s="25">
        <f>IF(L864=1,IF(ISNUMBER(FIND("#"&amp;MID(H864,1,1)&amp;"#","#0#1#2#3#4#5#6#7#8#9#")),IF(ISNUMBER(FIND("#"&amp;MID(H864,2,1)&amp;"#","#0#1#2#3#4#5#6#7#8#9#")),IF(AND(VALUE(LEFT(H864,2))&gt;=1,VALUE(LEFT(H864,2))&lt;=5),VALUE(LEFT(H864,2)),""),IF(AND(VALUE(LEFT(H864,1))&gt;=1,VALUE(LEFT(H864,1))&lt;=5),VALUE(LEFT(H864,1)),"")),""),"")</f>
        <v/>
      </c>
      <c r="O864" s="25">
        <f>IF(AND(L864=1,B864&lt;&gt;""),SUBSTITUTE(SUBSTITUTE(SUBSTITUTE(SUBSTITUTE(SUBSTITUTE(SUBSTITUTE(SUBSTITUTE(SUBSTITUTE(SUBSTITUTE(SUBSTITUTE(SUBSTITUTE(SUBSTITUTE(LOWER(TRIM(B864)),"á","a"),"é","e"),"í","i"),"ó","o"),"ú","u"),"ü","u"),"ñ","n"),"à","a"),"è","e"),"ì","i"),"ò","o"),"ù","u"),"")</f>
        <v/>
      </c>
      <c r="P864" s="25">
        <f>IF(AND(L864=1,C864&lt;&gt;""),SUBSTITUTE(SUBSTITUTE(SUBSTITUTE(SUBSTITUTE(SUBSTITUTE(SUBSTITUTE(SUBSTITUTE(SUBSTITUTE(SUBSTITUTE(SUBSTITUTE(SUBSTITUTE(SUBSTITUTE(LOWER(TRIM(C864)),"á","a"),"é","e"),"í","i"),"ó","o"),"ú","u"),"ü","u"),"ñ","n"),"à","a"),"è","e"),"ì","i"),"ò","o"),"ù","u"),"")</f>
        <v/>
      </c>
      <c r="Q864" s="25">
        <f>IF(AND(L864=1,E864&lt;&gt;""),SUBSTITUTE(SUBSTITUTE(SUBSTITUTE(SUBSTITUTE(SUBSTITUTE(SUBSTITUTE(SUBSTITUTE(SUBSTITUTE(SUBSTITUTE(SUBSTITUTE(SUBSTITUTE(SUBSTITUTE(LOWER(TRIM(E864)),"á","a"),"é","e"),"í","i"),"ó","o"),"ú","u"),"ü","u"),"ñ","n"),"à","a"),"è","e"),"ì","i"),"ò","o"),"ù","u"),"")</f>
        <v/>
      </c>
      <c r="R864" s="25">
        <f>IF(AND(L864=1,I864&lt;&gt;""),SUBSTITUTE(SUBSTITUTE(SUBSTITUTE(SUBSTITUTE(SUBSTITUTE(SUBSTITUTE(SUBSTITUTE(SUBSTITUTE(SUBSTITUTE(SUBSTITUTE(SUBSTITUTE(SUBSTITUTE(LOWER(TRIM(I864)),"á","a"),"é","e"),"í","i"),"ó","o"),"ú","u"),"ü","u"),"ñ","n"),"à","a"),"è","e"),"ì","i"),"ò","o"),"ù","u"),"")</f>
        <v/>
      </c>
      <c r="S864" s="25">
        <f>IF(R864="","",IF(OR(R864="si",R864="tal vez"),1,0))</f>
        <v/>
      </c>
      <c r="T864" s="25">
        <f>IF(AND(L864=1,D864&lt;&gt;""),IF(IFERROR(COUNTIFS(D$3:D864,"="&amp;SUBSTITUTE(SUBSTITUTE(SUBSTITUTE(D864,"~","~~"),"*","~*"),"?","~?"),L$3:L864,1),0)=1,MAX(T$2:T863)+1,""),"")</f>
        <v/>
      </c>
      <c r="U864" s="25">
        <f>IF(T864="","",COUNTIFS($D$3:$D$1002,"="&amp;SUBSTITUTE(SUBSTITUTE(SUBSTITUTE(D864,"~","~~"),"*","~*"),"?","~?"),$L$3:$L$1002,1)*10000-T864)</f>
        <v/>
      </c>
      <c r="V864" s="25">
        <f>IF(AND(L864=1,J864&lt;&gt;""),IF(IFERROR(COUNTIFS(J$3:J864,"="&amp;SUBSTITUTE(SUBSTITUTE(SUBSTITUTE(J864,"~","~~"),"*","~*"),"?","~?"),L$3:L864,1),0)=1,MAX(V$2:V863)+1,""),"")</f>
        <v/>
      </c>
      <c r="W864" s="25">
        <f>IF(V864="","",COUNTIFS($J$3:$J$1002,"="&amp;SUBSTITUTE(SUBSTITUTE(SUBSTITUTE(J864,"~","~~"),"*","~*"),"?","~?"),$L$3:$L$1002,1)*10000-V864)</f>
        <v/>
      </c>
    </row>
    <row r="865">
      <c r="A865">
        <f>IF(A$2=0,"",IFERROR(TRIM(INDEX('Pegar estudiantes'!$A$1:$BZ$1001,864,A$2)&amp;""),""))</f>
        <v/>
      </c>
      <c r="B865">
        <f>IF(B$2=0,"",IFERROR(TRIM(INDEX('Pegar estudiantes'!$A$1:$BZ$1001,864,B$2)&amp;""),""))</f>
        <v/>
      </c>
      <c r="C865">
        <f>IF(C$2=0,"",IFERROR(TRIM(INDEX('Pegar estudiantes'!$A$1:$BZ$1001,864,C$2)&amp;""),""))</f>
        <v/>
      </c>
      <c r="D865">
        <f>IF(D$2=0,"",IFERROR(TRIM(INDEX('Pegar estudiantes'!$A$1:$BZ$1001,864,D$2)&amp;""),""))</f>
        <v/>
      </c>
      <c r="E865">
        <f>IF(E$2=0,"",IFERROR(TRIM(INDEX('Pegar estudiantes'!$A$1:$BZ$1001,864,E$2)&amp;""),""))</f>
        <v/>
      </c>
      <c r="F865">
        <f>IF(F$2=0,"",IFERROR(TRIM(INDEX('Pegar estudiantes'!$A$1:$BZ$1001,864,F$2)&amp;""),""))</f>
        <v/>
      </c>
      <c r="G865">
        <f>IF(G$2=0,"",IFERROR(TRIM(INDEX('Pegar estudiantes'!$A$1:$BZ$1001,864,G$2)&amp;""),""))</f>
        <v/>
      </c>
      <c r="H865">
        <f>IF(H$2=0,"",IFERROR(TRIM(INDEX('Pegar estudiantes'!$A$1:$BZ$1001,864,H$2)&amp;""),""))</f>
        <v/>
      </c>
      <c r="I865">
        <f>IF(I$2=0,"",IFERROR(TRIM(INDEX('Pegar estudiantes'!$A$1:$BZ$1001,864,I$2)&amp;""),""))</f>
        <v/>
      </c>
      <c r="J865">
        <f>IF(J$2=0,"",IFERROR(TRIM(INDEX('Pegar estudiantes'!$A$1:$BZ$1001,864,J$2)&amp;""),""))</f>
        <v/>
      </c>
      <c r="K865">
        <f>IF(K$2=0,"",IFERROR(TRIM(INDEX('Pegar estudiantes'!$A$1:$BZ$1001,864,K$2)&amp;""),""))</f>
        <v/>
      </c>
      <c r="L865" s="25">
        <f>IF(A865&lt;&gt;"",1,"")</f>
        <v/>
      </c>
      <c r="M865" s="25">
        <f>IF(L865=1,IF(ISNUMBER(FIND("#"&amp;MID(A865,1,1)&amp;"#","#0#1#2#3#4#5#6#7#8#9#")),IF(ISNUMBER(FIND("#"&amp;MID(A865,2,1)&amp;"#","#0#1#2#3#4#5#6#7#8#9#")),IF(AND(VALUE(LEFT(A865,2))&gt;=1,VALUE(LEFT(A865,2))&lt;=5),VALUE(LEFT(A865,2)),""),IF(AND(VALUE(LEFT(A865,1))&gt;=1,VALUE(LEFT(A865,1))&lt;=5),VALUE(LEFT(A865,1)),"")),""),"")</f>
        <v/>
      </c>
      <c r="N865" s="25">
        <f>IF(L865=1,IF(ISNUMBER(FIND("#"&amp;MID(H865,1,1)&amp;"#","#0#1#2#3#4#5#6#7#8#9#")),IF(ISNUMBER(FIND("#"&amp;MID(H865,2,1)&amp;"#","#0#1#2#3#4#5#6#7#8#9#")),IF(AND(VALUE(LEFT(H865,2))&gt;=1,VALUE(LEFT(H865,2))&lt;=5),VALUE(LEFT(H865,2)),""),IF(AND(VALUE(LEFT(H865,1))&gt;=1,VALUE(LEFT(H865,1))&lt;=5),VALUE(LEFT(H865,1)),"")),""),"")</f>
        <v/>
      </c>
      <c r="O865" s="25">
        <f>IF(AND(L865=1,B865&lt;&gt;""),SUBSTITUTE(SUBSTITUTE(SUBSTITUTE(SUBSTITUTE(SUBSTITUTE(SUBSTITUTE(SUBSTITUTE(SUBSTITUTE(SUBSTITUTE(SUBSTITUTE(SUBSTITUTE(SUBSTITUTE(LOWER(TRIM(B865)),"á","a"),"é","e"),"í","i"),"ó","o"),"ú","u"),"ü","u"),"ñ","n"),"à","a"),"è","e"),"ì","i"),"ò","o"),"ù","u"),"")</f>
        <v/>
      </c>
      <c r="P865" s="25">
        <f>IF(AND(L865=1,C865&lt;&gt;""),SUBSTITUTE(SUBSTITUTE(SUBSTITUTE(SUBSTITUTE(SUBSTITUTE(SUBSTITUTE(SUBSTITUTE(SUBSTITUTE(SUBSTITUTE(SUBSTITUTE(SUBSTITUTE(SUBSTITUTE(LOWER(TRIM(C865)),"á","a"),"é","e"),"í","i"),"ó","o"),"ú","u"),"ü","u"),"ñ","n"),"à","a"),"è","e"),"ì","i"),"ò","o"),"ù","u"),"")</f>
        <v/>
      </c>
      <c r="Q865" s="25">
        <f>IF(AND(L865=1,E865&lt;&gt;""),SUBSTITUTE(SUBSTITUTE(SUBSTITUTE(SUBSTITUTE(SUBSTITUTE(SUBSTITUTE(SUBSTITUTE(SUBSTITUTE(SUBSTITUTE(SUBSTITUTE(SUBSTITUTE(SUBSTITUTE(LOWER(TRIM(E865)),"á","a"),"é","e"),"í","i"),"ó","o"),"ú","u"),"ü","u"),"ñ","n"),"à","a"),"è","e"),"ì","i"),"ò","o"),"ù","u"),"")</f>
        <v/>
      </c>
      <c r="R865" s="25">
        <f>IF(AND(L865=1,I865&lt;&gt;""),SUBSTITUTE(SUBSTITUTE(SUBSTITUTE(SUBSTITUTE(SUBSTITUTE(SUBSTITUTE(SUBSTITUTE(SUBSTITUTE(SUBSTITUTE(SUBSTITUTE(SUBSTITUTE(SUBSTITUTE(LOWER(TRIM(I865)),"á","a"),"é","e"),"í","i"),"ó","o"),"ú","u"),"ü","u"),"ñ","n"),"à","a"),"è","e"),"ì","i"),"ò","o"),"ù","u"),"")</f>
        <v/>
      </c>
      <c r="S865" s="25">
        <f>IF(R865="","",IF(OR(R865="si",R865="tal vez"),1,0))</f>
        <v/>
      </c>
      <c r="T865" s="25">
        <f>IF(AND(L865=1,D865&lt;&gt;""),IF(IFERROR(COUNTIFS(D$3:D865,"="&amp;SUBSTITUTE(SUBSTITUTE(SUBSTITUTE(D865,"~","~~"),"*","~*"),"?","~?"),L$3:L865,1),0)=1,MAX(T$2:T864)+1,""),"")</f>
        <v/>
      </c>
      <c r="U865" s="25">
        <f>IF(T865="","",COUNTIFS($D$3:$D$1002,"="&amp;SUBSTITUTE(SUBSTITUTE(SUBSTITUTE(D865,"~","~~"),"*","~*"),"?","~?"),$L$3:$L$1002,1)*10000-T865)</f>
        <v/>
      </c>
      <c r="V865" s="25">
        <f>IF(AND(L865=1,J865&lt;&gt;""),IF(IFERROR(COUNTIFS(J$3:J865,"="&amp;SUBSTITUTE(SUBSTITUTE(SUBSTITUTE(J865,"~","~~"),"*","~*"),"?","~?"),L$3:L865,1),0)=1,MAX(V$2:V864)+1,""),"")</f>
        <v/>
      </c>
      <c r="W865" s="25">
        <f>IF(V865="","",COUNTIFS($J$3:$J$1002,"="&amp;SUBSTITUTE(SUBSTITUTE(SUBSTITUTE(J865,"~","~~"),"*","~*"),"?","~?"),$L$3:$L$1002,1)*10000-V865)</f>
        <v/>
      </c>
    </row>
    <row r="866">
      <c r="A866">
        <f>IF(A$2=0,"",IFERROR(TRIM(INDEX('Pegar estudiantes'!$A$1:$BZ$1001,865,A$2)&amp;""),""))</f>
        <v/>
      </c>
      <c r="B866">
        <f>IF(B$2=0,"",IFERROR(TRIM(INDEX('Pegar estudiantes'!$A$1:$BZ$1001,865,B$2)&amp;""),""))</f>
        <v/>
      </c>
      <c r="C866">
        <f>IF(C$2=0,"",IFERROR(TRIM(INDEX('Pegar estudiantes'!$A$1:$BZ$1001,865,C$2)&amp;""),""))</f>
        <v/>
      </c>
      <c r="D866">
        <f>IF(D$2=0,"",IFERROR(TRIM(INDEX('Pegar estudiantes'!$A$1:$BZ$1001,865,D$2)&amp;""),""))</f>
        <v/>
      </c>
      <c r="E866">
        <f>IF(E$2=0,"",IFERROR(TRIM(INDEX('Pegar estudiantes'!$A$1:$BZ$1001,865,E$2)&amp;""),""))</f>
        <v/>
      </c>
      <c r="F866">
        <f>IF(F$2=0,"",IFERROR(TRIM(INDEX('Pegar estudiantes'!$A$1:$BZ$1001,865,F$2)&amp;""),""))</f>
        <v/>
      </c>
      <c r="G866">
        <f>IF(G$2=0,"",IFERROR(TRIM(INDEX('Pegar estudiantes'!$A$1:$BZ$1001,865,G$2)&amp;""),""))</f>
        <v/>
      </c>
      <c r="H866">
        <f>IF(H$2=0,"",IFERROR(TRIM(INDEX('Pegar estudiantes'!$A$1:$BZ$1001,865,H$2)&amp;""),""))</f>
        <v/>
      </c>
      <c r="I866">
        <f>IF(I$2=0,"",IFERROR(TRIM(INDEX('Pegar estudiantes'!$A$1:$BZ$1001,865,I$2)&amp;""),""))</f>
        <v/>
      </c>
      <c r="J866">
        <f>IF(J$2=0,"",IFERROR(TRIM(INDEX('Pegar estudiantes'!$A$1:$BZ$1001,865,J$2)&amp;""),""))</f>
        <v/>
      </c>
      <c r="K866">
        <f>IF(K$2=0,"",IFERROR(TRIM(INDEX('Pegar estudiantes'!$A$1:$BZ$1001,865,K$2)&amp;""),""))</f>
        <v/>
      </c>
      <c r="L866" s="25">
        <f>IF(A866&lt;&gt;"",1,"")</f>
        <v/>
      </c>
      <c r="M866" s="25">
        <f>IF(L866=1,IF(ISNUMBER(FIND("#"&amp;MID(A866,1,1)&amp;"#","#0#1#2#3#4#5#6#7#8#9#")),IF(ISNUMBER(FIND("#"&amp;MID(A866,2,1)&amp;"#","#0#1#2#3#4#5#6#7#8#9#")),IF(AND(VALUE(LEFT(A866,2))&gt;=1,VALUE(LEFT(A866,2))&lt;=5),VALUE(LEFT(A866,2)),""),IF(AND(VALUE(LEFT(A866,1))&gt;=1,VALUE(LEFT(A866,1))&lt;=5),VALUE(LEFT(A866,1)),"")),""),"")</f>
        <v/>
      </c>
      <c r="N866" s="25">
        <f>IF(L866=1,IF(ISNUMBER(FIND("#"&amp;MID(H866,1,1)&amp;"#","#0#1#2#3#4#5#6#7#8#9#")),IF(ISNUMBER(FIND("#"&amp;MID(H866,2,1)&amp;"#","#0#1#2#3#4#5#6#7#8#9#")),IF(AND(VALUE(LEFT(H866,2))&gt;=1,VALUE(LEFT(H866,2))&lt;=5),VALUE(LEFT(H866,2)),""),IF(AND(VALUE(LEFT(H866,1))&gt;=1,VALUE(LEFT(H866,1))&lt;=5),VALUE(LEFT(H866,1)),"")),""),"")</f>
        <v/>
      </c>
      <c r="O866" s="25">
        <f>IF(AND(L866=1,B866&lt;&gt;""),SUBSTITUTE(SUBSTITUTE(SUBSTITUTE(SUBSTITUTE(SUBSTITUTE(SUBSTITUTE(SUBSTITUTE(SUBSTITUTE(SUBSTITUTE(SUBSTITUTE(SUBSTITUTE(SUBSTITUTE(LOWER(TRIM(B866)),"á","a"),"é","e"),"í","i"),"ó","o"),"ú","u"),"ü","u"),"ñ","n"),"à","a"),"è","e"),"ì","i"),"ò","o"),"ù","u"),"")</f>
        <v/>
      </c>
      <c r="P866" s="25">
        <f>IF(AND(L866=1,C866&lt;&gt;""),SUBSTITUTE(SUBSTITUTE(SUBSTITUTE(SUBSTITUTE(SUBSTITUTE(SUBSTITUTE(SUBSTITUTE(SUBSTITUTE(SUBSTITUTE(SUBSTITUTE(SUBSTITUTE(SUBSTITUTE(LOWER(TRIM(C866)),"á","a"),"é","e"),"í","i"),"ó","o"),"ú","u"),"ü","u"),"ñ","n"),"à","a"),"è","e"),"ì","i"),"ò","o"),"ù","u"),"")</f>
        <v/>
      </c>
      <c r="Q866" s="25">
        <f>IF(AND(L866=1,E866&lt;&gt;""),SUBSTITUTE(SUBSTITUTE(SUBSTITUTE(SUBSTITUTE(SUBSTITUTE(SUBSTITUTE(SUBSTITUTE(SUBSTITUTE(SUBSTITUTE(SUBSTITUTE(SUBSTITUTE(SUBSTITUTE(LOWER(TRIM(E866)),"á","a"),"é","e"),"í","i"),"ó","o"),"ú","u"),"ü","u"),"ñ","n"),"à","a"),"è","e"),"ì","i"),"ò","o"),"ù","u"),"")</f>
        <v/>
      </c>
      <c r="R866" s="25">
        <f>IF(AND(L866=1,I866&lt;&gt;""),SUBSTITUTE(SUBSTITUTE(SUBSTITUTE(SUBSTITUTE(SUBSTITUTE(SUBSTITUTE(SUBSTITUTE(SUBSTITUTE(SUBSTITUTE(SUBSTITUTE(SUBSTITUTE(SUBSTITUTE(LOWER(TRIM(I866)),"á","a"),"é","e"),"í","i"),"ó","o"),"ú","u"),"ü","u"),"ñ","n"),"à","a"),"è","e"),"ì","i"),"ò","o"),"ù","u"),"")</f>
        <v/>
      </c>
      <c r="S866" s="25">
        <f>IF(R866="","",IF(OR(R866="si",R866="tal vez"),1,0))</f>
        <v/>
      </c>
      <c r="T866" s="25">
        <f>IF(AND(L866=1,D866&lt;&gt;""),IF(IFERROR(COUNTIFS(D$3:D866,"="&amp;SUBSTITUTE(SUBSTITUTE(SUBSTITUTE(D866,"~","~~"),"*","~*"),"?","~?"),L$3:L866,1),0)=1,MAX(T$2:T865)+1,""),"")</f>
        <v/>
      </c>
      <c r="U866" s="25">
        <f>IF(T866="","",COUNTIFS($D$3:$D$1002,"="&amp;SUBSTITUTE(SUBSTITUTE(SUBSTITUTE(D866,"~","~~"),"*","~*"),"?","~?"),$L$3:$L$1002,1)*10000-T866)</f>
        <v/>
      </c>
      <c r="V866" s="25">
        <f>IF(AND(L866=1,J866&lt;&gt;""),IF(IFERROR(COUNTIFS(J$3:J866,"="&amp;SUBSTITUTE(SUBSTITUTE(SUBSTITUTE(J866,"~","~~"),"*","~*"),"?","~?"),L$3:L866,1),0)=1,MAX(V$2:V865)+1,""),"")</f>
        <v/>
      </c>
      <c r="W866" s="25">
        <f>IF(V866="","",COUNTIFS($J$3:$J$1002,"="&amp;SUBSTITUTE(SUBSTITUTE(SUBSTITUTE(J866,"~","~~"),"*","~*"),"?","~?"),$L$3:$L$1002,1)*10000-V866)</f>
        <v/>
      </c>
    </row>
    <row r="867">
      <c r="A867">
        <f>IF(A$2=0,"",IFERROR(TRIM(INDEX('Pegar estudiantes'!$A$1:$BZ$1001,866,A$2)&amp;""),""))</f>
        <v/>
      </c>
      <c r="B867">
        <f>IF(B$2=0,"",IFERROR(TRIM(INDEX('Pegar estudiantes'!$A$1:$BZ$1001,866,B$2)&amp;""),""))</f>
        <v/>
      </c>
      <c r="C867">
        <f>IF(C$2=0,"",IFERROR(TRIM(INDEX('Pegar estudiantes'!$A$1:$BZ$1001,866,C$2)&amp;""),""))</f>
        <v/>
      </c>
      <c r="D867">
        <f>IF(D$2=0,"",IFERROR(TRIM(INDEX('Pegar estudiantes'!$A$1:$BZ$1001,866,D$2)&amp;""),""))</f>
        <v/>
      </c>
      <c r="E867">
        <f>IF(E$2=0,"",IFERROR(TRIM(INDEX('Pegar estudiantes'!$A$1:$BZ$1001,866,E$2)&amp;""),""))</f>
        <v/>
      </c>
      <c r="F867">
        <f>IF(F$2=0,"",IFERROR(TRIM(INDEX('Pegar estudiantes'!$A$1:$BZ$1001,866,F$2)&amp;""),""))</f>
        <v/>
      </c>
      <c r="G867">
        <f>IF(G$2=0,"",IFERROR(TRIM(INDEX('Pegar estudiantes'!$A$1:$BZ$1001,866,G$2)&amp;""),""))</f>
        <v/>
      </c>
      <c r="H867">
        <f>IF(H$2=0,"",IFERROR(TRIM(INDEX('Pegar estudiantes'!$A$1:$BZ$1001,866,H$2)&amp;""),""))</f>
        <v/>
      </c>
      <c r="I867">
        <f>IF(I$2=0,"",IFERROR(TRIM(INDEX('Pegar estudiantes'!$A$1:$BZ$1001,866,I$2)&amp;""),""))</f>
        <v/>
      </c>
      <c r="J867">
        <f>IF(J$2=0,"",IFERROR(TRIM(INDEX('Pegar estudiantes'!$A$1:$BZ$1001,866,J$2)&amp;""),""))</f>
        <v/>
      </c>
      <c r="K867">
        <f>IF(K$2=0,"",IFERROR(TRIM(INDEX('Pegar estudiantes'!$A$1:$BZ$1001,866,K$2)&amp;""),""))</f>
        <v/>
      </c>
      <c r="L867" s="25">
        <f>IF(A867&lt;&gt;"",1,"")</f>
        <v/>
      </c>
      <c r="M867" s="25">
        <f>IF(L867=1,IF(ISNUMBER(FIND("#"&amp;MID(A867,1,1)&amp;"#","#0#1#2#3#4#5#6#7#8#9#")),IF(ISNUMBER(FIND("#"&amp;MID(A867,2,1)&amp;"#","#0#1#2#3#4#5#6#7#8#9#")),IF(AND(VALUE(LEFT(A867,2))&gt;=1,VALUE(LEFT(A867,2))&lt;=5),VALUE(LEFT(A867,2)),""),IF(AND(VALUE(LEFT(A867,1))&gt;=1,VALUE(LEFT(A867,1))&lt;=5),VALUE(LEFT(A867,1)),"")),""),"")</f>
        <v/>
      </c>
      <c r="N867" s="25">
        <f>IF(L867=1,IF(ISNUMBER(FIND("#"&amp;MID(H867,1,1)&amp;"#","#0#1#2#3#4#5#6#7#8#9#")),IF(ISNUMBER(FIND("#"&amp;MID(H867,2,1)&amp;"#","#0#1#2#3#4#5#6#7#8#9#")),IF(AND(VALUE(LEFT(H867,2))&gt;=1,VALUE(LEFT(H867,2))&lt;=5),VALUE(LEFT(H867,2)),""),IF(AND(VALUE(LEFT(H867,1))&gt;=1,VALUE(LEFT(H867,1))&lt;=5),VALUE(LEFT(H867,1)),"")),""),"")</f>
        <v/>
      </c>
      <c r="O867" s="25">
        <f>IF(AND(L867=1,B867&lt;&gt;""),SUBSTITUTE(SUBSTITUTE(SUBSTITUTE(SUBSTITUTE(SUBSTITUTE(SUBSTITUTE(SUBSTITUTE(SUBSTITUTE(SUBSTITUTE(SUBSTITUTE(SUBSTITUTE(SUBSTITUTE(LOWER(TRIM(B867)),"á","a"),"é","e"),"í","i"),"ó","o"),"ú","u"),"ü","u"),"ñ","n"),"à","a"),"è","e"),"ì","i"),"ò","o"),"ù","u"),"")</f>
        <v/>
      </c>
      <c r="P867" s="25">
        <f>IF(AND(L867=1,C867&lt;&gt;""),SUBSTITUTE(SUBSTITUTE(SUBSTITUTE(SUBSTITUTE(SUBSTITUTE(SUBSTITUTE(SUBSTITUTE(SUBSTITUTE(SUBSTITUTE(SUBSTITUTE(SUBSTITUTE(SUBSTITUTE(LOWER(TRIM(C867)),"á","a"),"é","e"),"í","i"),"ó","o"),"ú","u"),"ü","u"),"ñ","n"),"à","a"),"è","e"),"ì","i"),"ò","o"),"ù","u"),"")</f>
        <v/>
      </c>
      <c r="Q867" s="25">
        <f>IF(AND(L867=1,E867&lt;&gt;""),SUBSTITUTE(SUBSTITUTE(SUBSTITUTE(SUBSTITUTE(SUBSTITUTE(SUBSTITUTE(SUBSTITUTE(SUBSTITUTE(SUBSTITUTE(SUBSTITUTE(SUBSTITUTE(SUBSTITUTE(LOWER(TRIM(E867)),"á","a"),"é","e"),"í","i"),"ó","o"),"ú","u"),"ü","u"),"ñ","n"),"à","a"),"è","e"),"ì","i"),"ò","o"),"ù","u"),"")</f>
        <v/>
      </c>
      <c r="R867" s="25">
        <f>IF(AND(L867=1,I867&lt;&gt;""),SUBSTITUTE(SUBSTITUTE(SUBSTITUTE(SUBSTITUTE(SUBSTITUTE(SUBSTITUTE(SUBSTITUTE(SUBSTITUTE(SUBSTITUTE(SUBSTITUTE(SUBSTITUTE(SUBSTITUTE(LOWER(TRIM(I867)),"á","a"),"é","e"),"í","i"),"ó","o"),"ú","u"),"ü","u"),"ñ","n"),"à","a"),"è","e"),"ì","i"),"ò","o"),"ù","u"),"")</f>
        <v/>
      </c>
      <c r="S867" s="25">
        <f>IF(R867="","",IF(OR(R867="si",R867="tal vez"),1,0))</f>
        <v/>
      </c>
      <c r="T867" s="25">
        <f>IF(AND(L867=1,D867&lt;&gt;""),IF(IFERROR(COUNTIFS(D$3:D867,"="&amp;SUBSTITUTE(SUBSTITUTE(SUBSTITUTE(D867,"~","~~"),"*","~*"),"?","~?"),L$3:L867,1),0)=1,MAX(T$2:T866)+1,""),"")</f>
        <v/>
      </c>
      <c r="U867" s="25">
        <f>IF(T867="","",COUNTIFS($D$3:$D$1002,"="&amp;SUBSTITUTE(SUBSTITUTE(SUBSTITUTE(D867,"~","~~"),"*","~*"),"?","~?"),$L$3:$L$1002,1)*10000-T867)</f>
        <v/>
      </c>
      <c r="V867" s="25">
        <f>IF(AND(L867=1,J867&lt;&gt;""),IF(IFERROR(COUNTIFS(J$3:J867,"="&amp;SUBSTITUTE(SUBSTITUTE(SUBSTITUTE(J867,"~","~~"),"*","~*"),"?","~?"),L$3:L867,1),0)=1,MAX(V$2:V866)+1,""),"")</f>
        <v/>
      </c>
      <c r="W867" s="25">
        <f>IF(V867="","",COUNTIFS($J$3:$J$1002,"="&amp;SUBSTITUTE(SUBSTITUTE(SUBSTITUTE(J867,"~","~~"),"*","~*"),"?","~?"),$L$3:$L$1002,1)*10000-V867)</f>
        <v/>
      </c>
    </row>
    <row r="868">
      <c r="A868">
        <f>IF(A$2=0,"",IFERROR(TRIM(INDEX('Pegar estudiantes'!$A$1:$BZ$1001,867,A$2)&amp;""),""))</f>
        <v/>
      </c>
      <c r="B868">
        <f>IF(B$2=0,"",IFERROR(TRIM(INDEX('Pegar estudiantes'!$A$1:$BZ$1001,867,B$2)&amp;""),""))</f>
        <v/>
      </c>
      <c r="C868">
        <f>IF(C$2=0,"",IFERROR(TRIM(INDEX('Pegar estudiantes'!$A$1:$BZ$1001,867,C$2)&amp;""),""))</f>
        <v/>
      </c>
      <c r="D868">
        <f>IF(D$2=0,"",IFERROR(TRIM(INDEX('Pegar estudiantes'!$A$1:$BZ$1001,867,D$2)&amp;""),""))</f>
        <v/>
      </c>
      <c r="E868">
        <f>IF(E$2=0,"",IFERROR(TRIM(INDEX('Pegar estudiantes'!$A$1:$BZ$1001,867,E$2)&amp;""),""))</f>
        <v/>
      </c>
      <c r="F868">
        <f>IF(F$2=0,"",IFERROR(TRIM(INDEX('Pegar estudiantes'!$A$1:$BZ$1001,867,F$2)&amp;""),""))</f>
        <v/>
      </c>
      <c r="G868">
        <f>IF(G$2=0,"",IFERROR(TRIM(INDEX('Pegar estudiantes'!$A$1:$BZ$1001,867,G$2)&amp;""),""))</f>
        <v/>
      </c>
      <c r="H868">
        <f>IF(H$2=0,"",IFERROR(TRIM(INDEX('Pegar estudiantes'!$A$1:$BZ$1001,867,H$2)&amp;""),""))</f>
        <v/>
      </c>
      <c r="I868">
        <f>IF(I$2=0,"",IFERROR(TRIM(INDEX('Pegar estudiantes'!$A$1:$BZ$1001,867,I$2)&amp;""),""))</f>
        <v/>
      </c>
      <c r="J868">
        <f>IF(J$2=0,"",IFERROR(TRIM(INDEX('Pegar estudiantes'!$A$1:$BZ$1001,867,J$2)&amp;""),""))</f>
        <v/>
      </c>
      <c r="K868">
        <f>IF(K$2=0,"",IFERROR(TRIM(INDEX('Pegar estudiantes'!$A$1:$BZ$1001,867,K$2)&amp;""),""))</f>
        <v/>
      </c>
      <c r="L868" s="25">
        <f>IF(A868&lt;&gt;"",1,"")</f>
        <v/>
      </c>
      <c r="M868" s="25">
        <f>IF(L868=1,IF(ISNUMBER(FIND("#"&amp;MID(A868,1,1)&amp;"#","#0#1#2#3#4#5#6#7#8#9#")),IF(ISNUMBER(FIND("#"&amp;MID(A868,2,1)&amp;"#","#0#1#2#3#4#5#6#7#8#9#")),IF(AND(VALUE(LEFT(A868,2))&gt;=1,VALUE(LEFT(A868,2))&lt;=5),VALUE(LEFT(A868,2)),""),IF(AND(VALUE(LEFT(A868,1))&gt;=1,VALUE(LEFT(A868,1))&lt;=5),VALUE(LEFT(A868,1)),"")),""),"")</f>
        <v/>
      </c>
      <c r="N868" s="25">
        <f>IF(L868=1,IF(ISNUMBER(FIND("#"&amp;MID(H868,1,1)&amp;"#","#0#1#2#3#4#5#6#7#8#9#")),IF(ISNUMBER(FIND("#"&amp;MID(H868,2,1)&amp;"#","#0#1#2#3#4#5#6#7#8#9#")),IF(AND(VALUE(LEFT(H868,2))&gt;=1,VALUE(LEFT(H868,2))&lt;=5),VALUE(LEFT(H868,2)),""),IF(AND(VALUE(LEFT(H868,1))&gt;=1,VALUE(LEFT(H868,1))&lt;=5),VALUE(LEFT(H868,1)),"")),""),"")</f>
        <v/>
      </c>
      <c r="O868" s="25">
        <f>IF(AND(L868=1,B868&lt;&gt;""),SUBSTITUTE(SUBSTITUTE(SUBSTITUTE(SUBSTITUTE(SUBSTITUTE(SUBSTITUTE(SUBSTITUTE(SUBSTITUTE(SUBSTITUTE(SUBSTITUTE(SUBSTITUTE(SUBSTITUTE(LOWER(TRIM(B868)),"á","a"),"é","e"),"í","i"),"ó","o"),"ú","u"),"ü","u"),"ñ","n"),"à","a"),"è","e"),"ì","i"),"ò","o"),"ù","u"),"")</f>
        <v/>
      </c>
      <c r="P868" s="25">
        <f>IF(AND(L868=1,C868&lt;&gt;""),SUBSTITUTE(SUBSTITUTE(SUBSTITUTE(SUBSTITUTE(SUBSTITUTE(SUBSTITUTE(SUBSTITUTE(SUBSTITUTE(SUBSTITUTE(SUBSTITUTE(SUBSTITUTE(SUBSTITUTE(LOWER(TRIM(C868)),"á","a"),"é","e"),"í","i"),"ó","o"),"ú","u"),"ü","u"),"ñ","n"),"à","a"),"è","e"),"ì","i"),"ò","o"),"ù","u"),"")</f>
        <v/>
      </c>
      <c r="Q868" s="25">
        <f>IF(AND(L868=1,E868&lt;&gt;""),SUBSTITUTE(SUBSTITUTE(SUBSTITUTE(SUBSTITUTE(SUBSTITUTE(SUBSTITUTE(SUBSTITUTE(SUBSTITUTE(SUBSTITUTE(SUBSTITUTE(SUBSTITUTE(SUBSTITUTE(LOWER(TRIM(E868)),"á","a"),"é","e"),"í","i"),"ó","o"),"ú","u"),"ü","u"),"ñ","n"),"à","a"),"è","e"),"ì","i"),"ò","o"),"ù","u"),"")</f>
        <v/>
      </c>
      <c r="R868" s="25">
        <f>IF(AND(L868=1,I868&lt;&gt;""),SUBSTITUTE(SUBSTITUTE(SUBSTITUTE(SUBSTITUTE(SUBSTITUTE(SUBSTITUTE(SUBSTITUTE(SUBSTITUTE(SUBSTITUTE(SUBSTITUTE(SUBSTITUTE(SUBSTITUTE(LOWER(TRIM(I868)),"á","a"),"é","e"),"í","i"),"ó","o"),"ú","u"),"ü","u"),"ñ","n"),"à","a"),"è","e"),"ì","i"),"ò","o"),"ù","u"),"")</f>
        <v/>
      </c>
      <c r="S868" s="25">
        <f>IF(R868="","",IF(OR(R868="si",R868="tal vez"),1,0))</f>
        <v/>
      </c>
      <c r="T868" s="25">
        <f>IF(AND(L868=1,D868&lt;&gt;""),IF(IFERROR(COUNTIFS(D$3:D868,"="&amp;SUBSTITUTE(SUBSTITUTE(SUBSTITUTE(D868,"~","~~"),"*","~*"),"?","~?"),L$3:L868,1),0)=1,MAX(T$2:T867)+1,""),"")</f>
        <v/>
      </c>
      <c r="U868" s="25">
        <f>IF(T868="","",COUNTIFS($D$3:$D$1002,"="&amp;SUBSTITUTE(SUBSTITUTE(SUBSTITUTE(D868,"~","~~"),"*","~*"),"?","~?"),$L$3:$L$1002,1)*10000-T868)</f>
        <v/>
      </c>
      <c r="V868" s="25">
        <f>IF(AND(L868=1,J868&lt;&gt;""),IF(IFERROR(COUNTIFS(J$3:J868,"="&amp;SUBSTITUTE(SUBSTITUTE(SUBSTITUTE(J868,"~","~~"),"*","~*"),"?","~?"),L$3:L868,1),0)=1,MAX(V$2:V867)+1,""),"")</f>
        <v/>
      </c>
      <c r="W868" s="25">
        <f>IF(V868="","",COUNTIFS($J$3:$J$1002,"="&amp;SUBSTITUTE(SUBSTITUTE(SUBSTITUTE(J868,"~","~~"),"*","~*"),"?","~?"),$L$3:$L$1002,1)*10000-V868)</f>
        <v/>
      </c>
    </row>
    <row r="869">
      <c r="A869">
        <f>IF(A$2=0,"",IFERROR(TRIM(INDEX('Pegar estudiantes'!$A$1:$BZ$1001,868,A$2)&amp;""),""))</f>
        <v/>
      </c>
      <c r="B869">
        <f>IF(B$2=0,"",IFERROR(TRIM(INDEX('Pegar estudiantes'!$A$1:$BZ$1001,868,B$2)&amp;""),""))</f>
        <v/>
      </c>
      <c r="C869">
        <f>IF(C$2=0,"",IFERROR(TRIM(INDEX('Pegar estudiantes'!$A$1:$BZ$1001,868,C$2)&amp;""),""))</f>
        <v/>
      </c>
      <c r="D869">
        <f>IF(D$2=0,"",IFERROR(TRIM(INDEX('Pegar estudiantes'!$A$1:$BZ$1001,868,D$2)&amp;""),""))</f>
        <v/>
      </c>
      <c r="E869">
        <f>IF(E$2=0,"",IFERROR(TRIM(INDEX('Pegar estudiantes'!$A$1:$BZ$1001,868,E$2)&amp;""),""))</f>
        <v/>
      </c>
      <c r="F869">
        <f>IF(F$2=0,"",IFERROR(TRIM(INDEX('Pegar estudiantes'!$A$1:$BZ$1001,868,F$2)&amp;""),""))</f>
        <v/>
      </c>
      <c r="G869">
        <f>IF(G$2=0,"",IFERROR(TRIM(INDEX('Pegar estudiantes'!$A$1:$BZ$1001,868,G$2)&amp;""),""))</f>
        <v/>
      </c>
      <c r="H869">
        <f>IF(H$2=0,"",IFERROR(TRIM(INDEX('Pegar estudiantes'!$A$1:$BZ$1001,868,H$2)&amp;""),""))</f>
        <v/>
      </c>
      <c r="I869">
        <f>IF(I$2=0,"",IFERROR(TRIM(INDEX('Pegar estudiantes'!$A$1:$BZ$1001,868,I$2)&amp;""),""))</f>
        <v/>
      </c>
      <c r="J869">
        <f>IF(J$2=0,"",IFERROR(TRIM(INDEX('Pegar estudiantes'!$A$1:$BZ$1001,868,J$2)&amp;""),""))</f>
        <v/>
      </c>
      <c r="K869">
        <f>IF(K$2=0,"",IFERROR(TRIM(INDEX('Pegar estudiantes'!$A$1:$BZ$1001,868,K$2)&amp;""),""))</f>
        <v/>
      </c>
      <c r="L869" s="25">
        <f>IF(A869&lt;&gt;"",1,"")</f>
        <v/>
      </c>
      <c r="M869" s="25">
        <f>IF(L869=1,IF(ISNUMBER(FIND("#"&amp;MID(A869,1,1)&amp;"#","#0#1#2#3#4#5#6#7#8#9#")),IF(ISNUMBER(FIND("#"&amp;MID(A869,2,1)&amp;"#","#0#1#2#3#4#5#6#7#8#9#")),IF(AND(VALUE(LEFT(A869,2))&gt;=1,VALUE(LEFT(A869,2))&lt;=5),VALUE(LEFT(A869,2)),""),IF(AND(VALUE(LEFT(A869,1))&gt;=1,VALUE(LEFT(A869,1))&lt;=5),VALUE(LEFT(A869,1)),"")),""),"")</f>
        <v/>
      </c>
      <c r="N869" s="25">
        <f>IF(L869=1,IF(ISNUMBER(FIND("#"&amp;MID(H869,1,1)&amp;"#","#0#1#2#3#4#5#6#7#8#9#")),IF(ISNUMBER(FIND("#"&amp;MID(H869,2,1)&amp;"#","#0#1#2#3#4#5#6#7#8#9#")),IF(AND(VALUE(LEFT(H869,2))&gt;=1,VALUE(LEFT(H869,2))&lt;=5),VALUE(LEFT(H869,2)),""),IF(AND(VALUE(LEFT(H869,1))&gt;=1,VALUE(LEFT(H869,1))&lt;=5),VALUE(LEFT(H869,1)),"")),""),"")</f>
        <v/>
      </c>
      <c r="O869" s="25">
        <f>IF(AND(L869=1,B869&lt;&gt;""),SUBSTITUTE(SUBSTITUTE(SUBSTITUTE(SUBSTITUTE(SUBSTITUTE(SUBSTITUTE(SUBSTITUTE(SUBSTITUTE(SUBSTITUTE(SUBSTITUTE(SUBSTITUTE(SUBSTITUTE(LOWER(TRIM(B869)),"á","a"),"é","e"),"í","i"),"ó","o"),"ú","u"),"ü","u"),"ñ","n"),"à","a"),"è","e"),"ì","i"),"ò","o"),"ù","u"),"")</f>
        <v/>
      </c>
      <c r="P869" s="25">
        <f>IF(AND(L869=1,C869&lt;&gt;""),SUBSTITUTE(SUBSTITUTE(SUBSTITUTE(SUBSTITUTE(SUBSTITUTE(SUBSTITUTE(SUBSTITUTE(SUBSTITUTE(SUBSTITUTE(SUBSTITUTE(SUBSTITUTE(SUBSTITUTE(LOWER(TRIM(C869)),"á","a"),"é","e"),"í","i"),"ó","o"),"ú","u"),"ü","u"),"ñ","n"),"à","a"),"è","e"),"ì","i"),"ò","o"),"ù","u"),"")</f>
        <v/>
      </c>
      <c r="Q869" s="25">
        <f>IF(AND(L869=1,E869&lt;&gt;""),SUBSTITUTE(SUBSTITUTE(SUBSTITUTE(SUBSTITUTE(SUBSTITUTE(SUBSTITUTE(SUBSTITUTE(SUBSTITUTE(SUBSTITUTE(SUBSTITUTE(SUBSTITUTE(SUBSTITUTE(LOWER(TRIM(E869)),"á","a"),"é","e"),"í","i"),"ó","o"),"ú","u"),"ü","u"),"ñ","n"),"à","a"),"è","e"),"ì","i"),"ò","o"),"ù","u"),"")</f>
        <v/>
      </c>
      <c r="R869" s="25">
        <f>IF(AND(L869=1,I869&lt;&gt;""),SUBSTITUTE(SUBSTITUTE(SUBSTITUTE(SUBSTITUTE(SUBSTITUTE(SUBSTITUTE(SUBSTITUTE(SUBSTITUTE(SUBSTITUTE(SUBSTITUTE(SUBSTITUTE(SUBSTITUTE(LOWER(TRIM(I869)),"á","a"),"é","e"),"í","i"),"ó","o"),"ú","u"),"ü","u"),"ñ","n"),"à","a"),"è","e"),"ì","i"),"ò","o"),"ù","u"),"")</f>
        <v/>
      </c>
      <c r="S869" s="25">
        <f>IF(R869="","",IF(OR(R869="si",R869="tal vez"),1,0))</f>
        <v/>
      </c>
      <c r="T869" s="25">
        <f>IF(AND(L869=1,D869&lt;&gt;""),IF(IFERROR(COUNTIFS(D$3:D869,"="&amp;SUBSTITUTE(SUBSTITUTE(SUBSTITUTE(D869,"~","~~"),"*","~*"),"?","~?"),L$3:L869,1),0)=1,MAX(T$2:T868)+1,""),"")</f>
        <v/>
      </c>
      <c r="U869" s="25">
        <f>IF(T869="","",COUNTIFS($D$3:$D$1002,"="&amp;SUBSTITUTE(SUBSTITUTE(SUBSTITUTE(D869,"~","~~"),"*","~*"),"?","~?"),$L$3:$L$1002,1)*10000-T869)</f>
        <v/>
      </c>
      <c r="V869" s="25">
        <f>IF(AND(L869=1,J869&lt;&gt;""),IF(IFERROR(COUNTIFS(J$3:J869,"="&amp;SUBSTITUTE(SUBSTITUTE(SUBSTITUTE(J869,"~","~~"),"*","~*"),"?","~?"),L$3:L869,1),0)=1,MAX(V$2:V868)+1,""),"")</f>
        <v/>
      </c>
      <c r="W869" s="25">
        <f>IF(V869="","",COUNTIFS($J$3:$J$1002,"="&amp;SUBSTITUTE(SUBSTITUTE(SUBSTITUTE(J869,"~","~~"),"*","~*"),"?","~?"),$L$3:$L$1002,1)*10000-V869)</f>
        <v/>
      </c>
    </row>
    <row r="870">
      <c r="A870">
        <f>IF(A$2=0,"",IFERROR(TRIM(INDEX('Pegar estudiantes'!$A$1:$BZ$1001,869,A$2)&amp;""),""))</f>
        <v/>
      </c>
      <c r="B870">
        <f>IF(B$2=0,"",IFERROR(TRIM(INDEX('Pegar estudiantes'!$A$1:$BZ$1001,869,B$2)&amp;""),""))</f>
        <v/>
      </c>
      <c r="C870">
        <f>IF(C$2=0,"",IFERROR(TRIM(INDEX('Pegar estudiantes'!$A$1:$BZ$1001,869,C$2)&amp;""),""))</f>
        <v/>
      </c>
      <c r="D870">
        <f>IF(D$2=0,"",IFERROR(TRIM(INDEX('Pegar estudiantes'!$A$1:$BZ$1001,869,D$2)&amp;""),""))</f>
        <v/>
      </c>
      <c r="E870">
        <f>IF(E$2=0,"",IFERROR(TRIM(INDEX('Pegar estudiantes'!$A$1:$BZ$1001,869,E$2)&amp;""),""))</f>
        <v/>
      </c>
      <c r="F870">
        <f>IF(F$2=0,"",IFERROR(TRIM(INDEX('Pegar estudiantes'!$A$1:$BZ$1001,869,F$2)&amp;""),""))</f>
        <v/>
      </c>
      <c r="G870">
        <f>IF(G$2=0,"",IFERROR(TRIM(INDEX('Pegar estudiantes'!$A$1:$BZ$1001,869,G$2)&amp;""),""))</f>
        <v/>
      </c>
      <c r="H870">
        <f>IF(H$2=0,"",IFERROR(TRIM(INDEX('Pegar estudiantes'!$A$1:$BZ$1001,869,H$2)&amp;""),""))</f>
        <v/>
      </c>
      <c r="I870">
        <f>IF(I$2=0,"",IFERROR(TRIM(INDEX('Pegar estudiantes'!$A$1:$BZ$1001,869,I$2)&amp;""),""))</f>
        <v/>
      </c>
      <c r="J870">
        <f>IF(J$2=0,"",IFERROR(TRIM(INDEX('Pegar estudiantes'!$A$1:$BZ$1001,869,J$2)&amp;""),""))</f>
        <v/>
      </c>
      <c r="K870">
        <f>IF(K$2=0,"",IFERROR(TRIM(INDEX('Pegar estudiantes'!$A$1:$BZ$1001,869,K$2)&amp;""),""))</f>
        <v/>
      </c>
      <c r="L870" s="25">
        <f>IF(A870&lt;&gt;"",1,"")</f>
        <v/>
      </c>
      <c r="M870" s="25">
        <f>IF(L870=1,IF(ISNUMBER(FIND("#"&amp;MID(A870,1,1)&amp;"#","#0#1#2#3#4#5#6#7#8#9#")),IF(ISNUMBER(FIND("#"&amp;MID(A870,2,1)&amp;"#","#0#1#2#3#4#5#6#7#8#9#")),IF(AND(VALUE(LEFT(A870,2))&gt;=1,VALUE(LEFT(A870,2))&lt;=5),VALUE(LEFT(A870,2)),""),IF(AND(VALUE(LEFT(A870,1))&gt;=1,VALUE(LEFT(A870,1))&lt;=5),VALUE(LEFT(A870,1)),"")),""),"")</f>
        <v/>
      </c>
      <c r="N870" s="25">
        <f>IF(L870=1,IF(ISNUMBER(FIND("#"&amp;MID(H870,1,1)&amp;"#","#0#1#2#3#4#5#6#7#8#9#")),IF(ISNUMBER(FIND("#"&amp;MID(H870,2,1)&amp;"#","#0#1#2#3#4#5#6#7#8#9#")),IF(AND(VALUE(LEFT(H870,2))&gt;=1,VALUE(LEFT(H870,2))&lt;=5),VALUE(LEFT(H870,2)),""),IF(AND(VALUE(LEFT(H870,1))&gt;=1,VALUE(LEFT(H870,1))&lt;=5),VALUE(LEFT(H870,1)),"")),""),"")</f>
        <v/>
      </c>
      <c r="O870" s="25">
        <f>IF(AND(L870=1,B870&lt;&gt;""),SUBSTITUTE(SUBSTITUTE(SUBSTITUTE(SUBSTITUTE(SUBSTITUTE(SUBSTITUTE(SUBSTITUTE(SUBSTITUTE(SUBSTITUTE(SUBSTITUTE(SUBSTITUTE(SUBSTITUTE(LOWER(TRIM(B870)),"á","a"),"é","e"),"í","i"),"ó","o"),"ú","u"),"ü","u"),"ñ","n"),"à","a"),"è","e"),"ì","i"),"ò","o"),"ù","u"),"")</f>
        <v/>
      </c>
      <c r="P870" s="25">
        <f>IF(AND(L870=1,C870&lt;&gt;""),SUBSTITUTE(SUBSTITUTE(SUBSTITUTE(SUBSTITUTE(SUBSTITUTE(SUBSTITUTE(SUBSTITUTE(SUBSTITUTE(SUBSTITUTE(SUBSTITUTE(SUBSTITUTE(SUBSTITUTE(LOWER(TRIM(C870)),"á","a"),"é","e"),"í","i"),"ó","o"),"ú","u"),"ü","u"),"ñ","n"),"à","a"),"è","e"),"ì","i"),"ò","o"),"ù","u"),"")</f>
        <v/>
      </c>
      <c r="Q870" s="25">
        <f>IF(AND(L870=1,E870&lt;&gt;""),SUBSTITUTE(SUBSTITUTE(SUBSTITUTE(SUBSTITUTE(SUBSTITUTE(SUBSTITUTE(SUBSTITUTE(SUBSTITUTE(SUBSTITUTE(SUBSTITUTE(SUBSTITUTE(SUBSTITUTE(LOWER(TRIM(E870)),"á","a"),"é","e"),"í","i"),"ó","o"),"ú","u"),"ü","u"),"ñ","n"),"à","a"),"è","e"),"ì","i"),"ò","o"),"ù","u"),"")</f>
        <v/>
      </c>
      <c r="R870" s="25">
        <f>IF(AND(L870=1,I870&lt;&gt;""),SUBSTITUTE(SUBSTITUTE(SUBSTITUTE(SUBSTITUTE(SUBSTITUTE(SUBSTITUTE(SUBSTITUTE(SUBSTITUTE(SUBSTITUTE(SUBSTITUTE(SUBSTITUTE(SUBSTITUTE(LOWER(TRIM(I870)),"á","a"),"é","e"),"í","i"),"ó","o"),"ú","u"),"ü","u"),"ñ","n"),"à","a"),"è","e"),"ì","i"),"ò","o"),"ù","u"),"")</f>
        <v/>
      </c>
      <c r="S870" s="25">
        <f>IF(R870="","",IF(OR(R870="si",R870="tal vez"),1,0))</f>
        <v/>
      </c>
      <c r="T870" s="25">
        <f>IF(AND(L870=1,D870&lt;&gt;""),IF(IFERROR(COUNTIFS(D$3:D870,"="&amp;SUBSTITUTE(SUBSTITUTE(SUBSTITUTE(D870,"~","~~"),"*","~*"),"?","~?"),L$3:L870,1),0)=1,MAX(T$2:T869)+1,""),"")</f>
        <v/>
      </c>
      <c r="U870" s="25">
        <f>IF(T870="","",COUNTIFS($D$3:$D$1002,"="&amp;SUBSTITUTE(SUBSTITUTE(SUBSTITUTE(D870,"~","~~"),"*","~*"),"?","~?"),$L$3:$L$1002,1)*10000-T870)</f>
        <v/>
      </c>
      <c r="V870" s="25">
        <f>IF(AND(L870=1,J870&lt;&gt;""),IF(IFERROR(COUNTIFS(J$3:J870,"="&amp;SUBSTITUTE(SUBSTITUTE(SUBSTITUTE(J870,"~","~~"),"*","~*"),"?","~?"),L$3:L870,1),0)=1,MAX(V$2:V869)+1,""),"")</f>
        <v/>
      </c>
      <c r="W870" s="25">
        <f>IF(V870="","",COUNTIFS($J$3:$J$1002,"="&amp;SUBSTITUTE(SUBSTITUTE(SUBSTITUTE(J870,"~","~~"),"*","~*"),"?","~?"),$L$3:$L$1002,1)*10000-V870)</f>
        <v/>
      </c>
    </row>
    <row r="871">
      <c r="A871">
        <f>IF(A$2=0,"",IFERROR(TRIM(INDEX('Pegar estudiantes'!$A$1:$BZ$1001,870,A$2)&amp;""),""))</f>
        <v/>
      </c>
      <c r="B871">
        <f>IF(B$2=0,"",IFERROR(TRIM(INDEX('Pegar estudiantes'!$A$1:$BZ$1001,870,B$2)&amp;""),""))</f>
        <v/>
      </c>
      <c r="C871">
        <f>IF(C$2=0,"",IFERROR(TRIM(INDEX('Pegar estudiantes'!$A$1:$BZ$1001,870,C$2)&amp;""),""))</f>
        <v/>
      </c>
      <c r="D871">
        <f>IF(D$2=0,"",IFERROR(TRIM(INDEX('Pegar estudiantes'!$A$1:$BZ$1001,870,D$2)&amp;""),""))</f>
        <v/>
      </c>
      <c r="E871">
        <f>IF(E$2=0,"",IFERROR(TRIM(INDEX('Pegar estudiantes'!$A$1:$BZ$1001,870,E$2)&amp;""),""))</f>
        <v/>
      </c>
      <c r="F871">
        <f>IF(F$2=0,"",IFERROR(TRIM(INDEX('Pegar estudiantes'!$A$1:$BZ$1001,870,F$2)&amp;""),""))</f>
        <v/>
      </c>
      <c r="G871">
        <f>IF(G$2=0,"",IFERROR(TRIM(INDEX('Pegar estudiantes'!$A$1:$BZ$1001,870,G$2)&amp;""),""))</f>
        <v/>
      </c>
      <c r="H871">
        <f>IF(H$2=0,"",IFERROR(TRIM(INDEX('Pegar estudiantes'!$A$1:$BZ$1001,870,H$2)&amp;""),""))</f>
        <v/>
      </c>
      <c r="I871">
        <f>IF(I$2=0,"",IFERROR(TRIM(INDEX('Pegar estudiantes'!$A$1:$BZ$1001,870,I$2)&amp;""),""))</f>
        <v/>
      </c>
      <c r="J871">
        <f>IF(J$2=0,"",IFERROR(TRIM(INDEX('Pegar estudiantes'!$A$1:$BZ$1001,870,J$2)&amp;""),""))</f>
        <v/>
      </c>
      <c r="K871">
        <f>IF(K$2=0,"",IFERROR(TRIM(INDEX('Pegar estudiantes'!$A$1:$BZ$1001,870,K$2)&amp;""),""))</f>
        <v/>
      </c>
      <c r="L871" s="25">
        <f>IF(A871&lt;&gt;"",1,"")</f>
        <v/>
      </c>
      <c r="M871" s="25">
        <f>IF(L871=1,IF(ISNUMBER(FIND("#"&amp;MID(A871,1,1)&amp;"#","#0#1#2#3#4#5#6#7#8#9#")),IF(ISNUMBER(FIND("#"&amp;MID(A871,2,1)&amp;"#","#0#1#2#3#4#5#6#7#8#9#")),IF(AND(VALUE(LEFT(A871,2))&gt;=1,VALUE(LEFT(A871,2))&lt;=5),VALUE(LEFT(A871,2)),""),IF(AND(VALUE(LEFT(A871,1))&gt;=1,VALUE(LEFT(A871,1))&lt;=5),VALUE(LEFT(A871,1)),"")),""),"")</f>
        <v/>
      </c>
      <c r="N871" s="25">
        <f>IF(L871=1,IF(ISNUMBER(FIND("#"&amp;MID(H871,1,1)&amp;"#","#0#1#2#3#4#5#6#7#8#9#")),IF(ISNUMBER(FIND("#"&amp;MID(H871,2,1)&amp;"#","#0#1#2#3#4#5#6#7#8#9#")),IF(AND(VALUE(LEFT(H871,2))&gt;=1,VALUE(LEFT(H871,2))&lt;=5),VALUE(LEFT(H871,2)),""),IF(AND(VALUE(LEFT(H871,1))&gt;=1,VALUE(LEFT(H871,1))&lt;=5),VALUE(LEFT(H871,1)),"")),""),"")</f>
        <v/>
      </c>
      <c r="O871" s="25">
        <f>IF(AND(L871=1,B871&lt;&gt;""),SUBSTITUTE(SUBSTITUTE(SUBSTITUTE(SUBSTITUTE(SUBSTITUTE(SUBSTITUTE(SUBSTITUTE(SUBSTITUTE(SUBSTITUTE(SUBSTITUTE(SUBSTITUTE(SUBSTITUTE(LOWER(TRIM(B871)),"á","a"),"é","e"),"í","i"),"ó","o"),"ú","u"),"ü","u"),"ñ","n"),"à","a"),"è","e"),"ì","i"),"ò","o"),"ù","u"),"")</f>
        <v/>
      </c>
      <c r="P871" s="25">
        <f>IF(AND(L871=1,C871&lt;&gt;""),SUBSTITUTE(SUBSTITUTE(SUBSTITUTE(SUBSTITUTE(SUBSTITUTE(SUBSTITUTE(SUBSTITUTE(SUBSTITUTE(SUBSTITUTE(SUBSTITUTE(SUBSTITUTE(SUBSTITUTE(LOWER(TRIM(C871)),"á","a"),"é","e"),"í","i"),"ó","o"),"ú","u"),"ü","u"),"ñ","n"),"à","a"),"è","e"),"ì","i"),"ò","o"),"ù","u"),"")</f>
        <v/>
      </c>
      <c r="Q871" s="25">
        <f>IF(AND(L871=1,E871&lt;&gt;""),SUBSTITUTE(SUBSTITUTE(SUBSTITUTE(SUBSTITUTE(SUBSTITUTE(SUBSTITUTE(SUBSTITUTE(SUBSTITUTE(SUBSTITUTE(SUBSTITUTE(SUBSTITUTE(SUBSTITUTE(LOWER(TRIM(E871)),"á","a"),"é","e"),"í","i"),"ó","o"),"ú","u"),"ü","u"),"ñ","n"),"à","a"),"è","e"),"ì","i"),"ò","o"),"ù","u"),"")</f>
        <v/>
      </c>
      <c r="R871" s="25">
        <f>IF(AND(L871=1,I871&lt;&gt;""),SUBSTITUTE(SUBSTITUTE(SUBSTITUTE(SUBSTITUTE(SUBSTITUTE(SUBSTITUTE(SUBSTITUTE(SUBSTITUTE(SUBSTITUTE(SUBSTITUTE(SUBSTITUTE(SUBSTITUTE(LOWER(TRIM(I871)),"á","a"),"é","e"),"í","i"),"ó","o"),"ú","u"),"ü","u"),"ñ","n"),"à","a"),"è","e"),"ì","i"),"ò","o"),"ù","u"),"")</f>
        <v/>
      </c>
      <c r="S871" s="25">
        <f>IF(R871="","",IF(OR(R871="si",R871="tal vez"),1,0))</f>
        <v/>
      </c>
      <c r="T871" s="25">
        <f>IF(AND(L871=1,D871&lt;&gt;""),IF(IFERROR(COUNTIFS(D$3:D871,"="&amp;SUBSTITUTE(SUBSTITUTE(SUBSTITUTE(D871,"~","~~"),"*","~*"),"?","~?"),L$3:L871,1),0)=1,MAX(T$2:T870)+1,""),"")</f>
        <v/>
      </c>
      <c r="U871" s="25">
        <f>IF(T871="","",COUNTIFS($D$3:$D$1002,"="&amp;SUBSTITUTE(SUBSTITUTE(SUBSTITUTE(D871,"~","~~"),"*","~*"),"?","~?"),$L$3:$L$1002,1)*10000-T871)</f>
        <v/>
      </c>
      <c r="V871" s="25">
        <f>IF(AND(L871=1,J871&lt;&gt;""),IF(IFERROR(COUNTIFS(J$3:J871,"="&amp;SUBSTITUTE(SUBSTITUTE(SUBSTITUTE(J871,"~","~~"),"*","~*"),"?","~?"),L$3:L871,1),0)=1,MAX(V$2:V870)+1,""),"")</f>
        <v/>
      </c>
      <c r="W871" s="25">
        <f>IF(V871="","",COUNTIFS($J$3:$J$1002,"="&amp;SUBSTITUTE(SUBSTITUTE(SUBSTITUTE(J871,"~","~~"),"*","~*"),"?","~?"),$L$3:$L$1002,1)*10000-V871)</f>
        <v/>
      </c>
    </row>
    <row r="872">
      <c r="A872">
        <f>IF(A$2=0,"",IFERROR(TRIM(INDEX('Pegar estudiantes'!$A$1:$BZ$1001,871,A$2)&amp;""),""))</f>
        <v/>
      </c>
      <c r="B872">
        <f>IF(B$2=0,"",IFERROR(TRIM(INDEX('Pegar estudiantes'!$A$1:$BZ$1001,871,B$2)&amp;""),""))</f>
        <v/>
      </c>
      <c r="C872">
        <f>IF(C$2=0,"",IFERROR(TRIM(INDEX('Pegar estudiantes'!$A$1:$BZ$1001,871,C$2)&amp;""),""))</f>
        <v/>
      </c>
      <c r="D872">
        <f>IF(D$2=0,"",IFERROR(TRIM(INDEX('Pegar estudiantes'!$A$1:$BZ$1001,871,D$2)&amp;""),""))</f>
        <v/>
      </c>
      <c r="E872">
        <f>IF(E$2=0,"",IFERROR(TRIM(INDEX('Pegar estudiantes'!$A$1:$BZ$1001,871,E$2)&amp;""),""))</f>
        <v/>
      </c>
      <c r="F872">
        <f>IF(F$2=0,"",IFERROR(TRIM(INDEX('Pegar estudiantes'!$A$1:$BZ$1001,871,F$2)&amp;""),""))</f>
        <v/>
      </c>
      <c r="G872">
        <f>IF(G$2=0,"",IFERROR(TRIM(INDEX('Pegar estudiantes'!$A$1:$BZ$1001,871,G$2)&amp;""),""))</f>
        <v/>
      </c>
      <c r="H872">
        <f>IF(H$2=0,"",IFERROR(TRIM(INDEX('Pegar estudiantes'!$A$1:$BZ$1001,871,H$2)&amp;""),""))</f>
        <v/>
      </c>
      <c r="I872">
        <f>IF(I$2=0,"",IFERROR(TRIM(INDEX('Pegar estudiantes'!$A$1:$BZ$1001,871,I$2)&amp;""),""))</f>
        <v/>
      </c>
      <c r="J872">
        <f>IF(J$2=0,"",IFERROR(TRIM(INDEX('Pegar estudiantes'!$A$1:$BZ$1001,871,J$2)&amp;""),""))</f>
        <v/>
      </c>
      <c r="K872">
        <f>IF(K$2=0,"",IFERROR(TRIM(INDEX('Pegar estudiantes'!$A$1:$BZ$1001,871,K$2)&amp;""),""))</f>
        <v/>
      </c>
      <c r="L872" s="25">
        <f>IF(A872&lt;&gt;"",1,"")</f>
        <v/>
      </c>
      <c r="M872" s="25">
        <f>IF(L872=1,IF(ISNUMBER(FIND("#"&amp;MID(A872,1,1)&amp;"#","#0#1#2#3#4#5#6#7#8#9#")),IF(ISNUMBER(FIND("#"&amp;MID(A872,2,1)&amp;"#","#0#1#2#3#4#5#6#7#8#9#")),IF(AND(VALUE(LEFT(A872,2))&gt;=1,VALUE(LEFT(A872,2))&lt;=5),VALUE(LEFT(A872,2)),""),IF(AND(VALUE(LEFT(A872,1))&gt;=1,VALUE(LEFT(A872,1))&lt;=5),VALUE(LEFT(A872,1)),"")),""),"")</f>
        <v/>
      </c>
      <c r="N872" s="25">
        <f>IF(L872=1,IF(ISNUMBER(FIND("#"&amp;MID(H872,1,1)&amp;"#","#0#1#2#3#4#5#6#7#8#9#")),IF(ISNUMBER(FIND("#"&amp;MID(H872,2,1)&amp;"#","#0#1#2#3#4#5#6#7#8#9#")),IF(AND(VALUE(LEFT(H872,2))&gt;=1,VALUE(LEFT(H872,2))&lt;=5),VALUE(LEFT(H872,2)),""),IF(AND(VALUE(LEFT(H872,1))&gt;=1,VALUE(LEFT(H872,1))&lt;=5),VALUE(LEFT(H872,1)),"")),""),"")</f>
        <v/>
      </c>
      <c r="O872" s="25">
        <f>IF(AND(L872=1,B872&lt;&gt;""),SUBSTITUTE(SUBSTITUTE(SUBSTITUTE(SUBSTITUTE(SUBSTITUTE(SUBSTITUTE(SUBSTITUTE(SUBSTITUTE(SUBSTITUTE(SUBSTITUTE(SUBSTITUTE(SUBSTITUTE(LOWER(TRIM(B872)),"á","a"),"é","e"),"í","i"),"ó","o"),"ú","u"),"ü","u"),"ñ","n"),"à","a"),"è","e"),"ì","i"),"ò","o"),"ù","u"),"")</f>
        <v/>
      </c>
      <c r="P872" s="25">
        <f>IF(AND(L872=1,C872&lt;&gt;""),SUBSTITUTE(SUBSTITUTE(SUBSTITUTE(SUBSTITUTE(SUBSTITUTE(SUBSTITUTE(SUBSTITUTE(SUBSTITUTE(SUBSTITUTE(SUBSTITUTE(SUBSTITUTE(SUBSTITUTE(LOWER(TRIM(C872)),"á","a"),"é","e"),"í","i"),"ó","o"),"ú","u"),"ü","u"),"ñ","n"),"à","a"),"è","e"),"ì","i"),"ò","o"),"ù","u"),"")</f>
        <v/>
      </c>
      <c r="Q872" s="25">
        <f>IF(AND(L872=1,E872&lt;&gt;""),SUBSTITUTE(SUBSTITUTE(SUBSTITUTE(SUBSTITUTE(SUBSTITUTE(SUBSTITUTE(SUBSTITUTE(SUBSTITUTE(SUBSTITUTE(SUBSTITUTE(SUBSTITUTE(SUBSTITUTE(LOWER(TRIM(E872)),"á","a"),"é","e"),"í","i"),"ó","o"),"ú","u"),"ü","u"),"ñ","n"),"à","a"),"è","e"),"ì","i"),"ò","o"),"ù","u"),"")</f>
        <v/>
      </c>
      <c r="R872" s="25">
        <f>IF(AND(L872=1,I872&lt;&gt;""),SUBSTITUTE(SUBSTITUTE(SUBSTITUTE(SUBSTITUTE(SUBSTITUTE(SUBSTITUTE(SUBSTITUTE(SUBSTITUTE(SUBSTITUTE(SUBSTITUTE(SUBSTITUTE(SUBSTITUTE(LOWER(TRIM(I872)),"á","a"),"é","e"),"í","i"),"ó","o"),"ú","u"),"ü","u"),"ñ","n"),"à","a"),"è","e"),"ì","i"),"ò","o"),"ù","u"),"")</f>
        <v/>
      </c>
      <c r="S872" s="25">
        <f>IF(R872="","",IF(OR(R872="si",R872="tal vez"),1,0))</f>
        <v/>
      </c>
      <c r="T872" s="25">
        <f>IF(AND(L872=1,D872&lt;&gt;""),IF(IFERROR(COUNTIFS(D$3:D872,"="&amp;SUBSTITUTE(SUBSTITUTE(SUBSTITUTE(D872,"~","~~"),"*","~*"),"?","~?"),L$3:L872,1),0)=1,MAX(T$2:T871)+1,""),"")</f>
        <v/>
      </c>
      <c r="U872" s="25">
        <f>IF(T872="","",COUNTIFS($D$3:$D$1002,"="&amp;SUBSTITUTE(SUBSTITUTE(SUBSTITUTE(D872,"~","~~"),"*","~*"),"?","~?"),$L$3:$L$1002,1)*10000-T872)</f>
        <v/>
      </c>
      <c r="V872" s="25">
        <f>IF(AND(L872=1,J872&lt;&gt;""),IF(IFERROR(COUNTIFS(J$3:J872,"="&amp;SUBSTITUTE(SUBSTITUTE(SUBSTITUTE(J872,"~","~~"),"*","~*"),"?","~?"),L$3:L872,1),0)=1,MAX(V$2:V871)+1,""),"")</f>
        <v/>
      </c>
      <c r="W872" s="25">
        <f>IF(V872="","",COUNTIFS($J$3:$J$1002,"="&amp;SUBSTITUTE(SUBSTITUTE(SUBSTITUTE(J872,"~","~~"),"*","~*"),"?","~?"),$L$3:$L$1002,1)*10000-V872)</f>
        <v/>
      </c>
    </row>
    <row r="873">
      <c r="A873">
        <f>IF(A$2=0,"",IFERROR(TRIM(INDEX('Pegar estudiantes'!$A$1:$BZ$1001,872,A$2)&amp;""),""))</f>
        <v/>
      </c>
      <c r="B873">
        <f>IF(B$2=0,"",IFERROR(TRIM(INDEX('Pegar estudiantes'!$A$1:$BZ$1001,872,B$2)&amp;""),""))</f>
        <v/>
      </c>
      <c r="C873">
        <f>IF(C$2=0,"",IFERROR(TRIM(INDEX('Pegar estudiantes'!$A$1:$BZ$1001,872,C$2)&amp;""),""))</f>
        <v/>
      </c>
      <c r="D873">
        <f>IF(D$2=0,"",IFERROR(TRIM(INDEX('Pegar estudiantes'!$A$1:$BZ$1001,872,D$2)&amp;""),""))</f>
        <v/>
      </c>
      <c r="E873">
        <f>IF(E$2=0,"",IFERROR(TRIM(INDEX('Pegar estudiantes'!$A$1:$BZ$1001,872,E$2)&amp;""),""))</f>
        <v/>
      </c>
      <c r="F873">
        <f>IF(F$2=0,"",IFERROR(TRIM(INDEX('Pegar estudiantes'!$A$1:$BZ$1001,872,F$2)&amp;""),""))</f>
        <v/>
      </c>
      <c r="G873">
        <f>IF(G$2=0,"",IFERROR(TRIM(INDEX('Pegar estudiantes'!$A$1:$BZ$1001,872,G$2)&amp;""),""))</f>
        <v/>
      </c>
      <c r="H873">
        <f>IF(H$2=0,"",IFERROR(TRIM(INDEX('Pegar estudiantes'!$A$1:$BZ$1001,872,H$2)&amp;""),""))</f>
        <v/>
      </c>
      <c r="I873">
        <f>IF(I$2=0,"",IFERROR(TRIM(INDEX('Pegar estudiantes'!$A$1:$BZ$1001,872,I$2)&amp;""),""))</f>
        <v/>
      </c>
      <c r="J873">
        <f>IF(J$2=0,"",IFERROR(TRIM(INDEX('Pegar estudiantes'!$A$1:$BZ$1001,872,J$2)&amp;""),""))</f>
        <v/>
      </c>
      <c r="K873">
        <f>IF(K$2=0,"",IFERROR(TRIM(INDEX('Pegar estudiantes'!$A$1:$BZ$1001,872,K$2)&amp;""),""))</f>
        <v/>
      </c>
      <c r="L873" s="25">
        <f>IF(A873&lt;&gt;"",1,"")</f>
        <v/>
      </c>
      <c r="M873" s="25">
        <f>IF(L873=1,IF(ISNUMBER(FIND("#"&amp;MID(A873,1,1)&amp;"#","#0#1#2#3#4#5#6#7#8#9#")),IF(ISNUMBER(FIND("#"&amp;MID(A873,2,1)&amp;"#","#0#1#2#3#4#5#6#7#8#9#")),IF(AND(VALUE(LEFT(A873,2))&gt;=1,VALUE(LEFT(A873,2))&lt;=5),VALUE(LEFT(A873,2)),""),IF(AND(VALUE(LEFT(A873,1))&gt;=1,VALUE(LEFT(A873,1))&lt;=5),VALUE(LEFT(A873,1)),"")),""),"")</f>
        <v/>
      </c>
      <c r="N873" s="25">
        <f>IF(L873=1,IF(ISNUMBER(FIND("#"&amp;MID(H873,1,1)&amp;"#","#0#1#2#3#4#5#6#7#8#9#")),IF(ISNUMBER(FIND("#"&amp;MID(H873,2,1)&amp;"#","#0#1#2#3#4#5#6#7#8#9#")),IF(AND(VALUE(LEFT(H873,2))&gt;=1,VALUE(LEFT(H873,2))&lt;=5),VALUE(LEFT(H873,2)),""),IF(AND(VALUE(LEFT(H873,1))&gt;=1,VALUE(LEFT(H873,1))&lt;=5),VALUE(LEFT(H873,1)),"")),""),"")</f>
        <v/>
      </c>
      <c r="O873" s="25">
        <f>IF(AND(L873=1,B873&lt;&gt;""),SUBSTITUTE(SUBSTITUTE(SUBSTITUTE(SUBSTITUTE(SUBSTITUTE(SUBSTITUTE(SUBSTITUTE(SUBSTITUTE(SUBSTITUTE(SUBSTITUTE(SUBSTITUTE(SUBSTITUTE(LOWER(TRIM(B873)),"á","a"),"é","e"),"í","i"),"ó","o"),"ú","u"),"ü","u"),"ñ","n"),"à","a"),"è","e"),"ì","i"),"ò","o"),"ù","u"),"")</f>
        <v/>
      </c>
      <c r="P873" s="25">
        <f>IF(AND(L873=1,C873&lt;&gt;""),SUBSTITUTE(SUBSTITUTE(SUBSTITUTE(SUBSTITUTE(SUBSTITUTE(SUBSTITUTE(SUBSTITUTE(SUBSTITUTE(SUBSTITUTE(SUBSTITUTE(SUBSTITUTE(SUBSTITUTE(LOWER(TRIM(C873)),"á","a"),"é","e"),"í","i"),"ó","o"),"ú","u"),"ü","u"),"ñ","n"),"à","a"),"è","e"),"ì","i"),"ò","o"),"ù","u"),"")</f>
        <v/>
      </c>
      <c r="Q873" s="25">
        <f>IF(AND(L873=1,E873&lt;&gt;""),SUBSTITUTE(SUBSTITUTE(SUBSTITUTE(SUBSTITUTE(SUBSTITUTE(SUBSTITUTE(SUBSTITUTE(SUBSTITUTE(SUBSTITUTE(SUBSTITUTE(SUBSTITUTE(SUBSTITUTE(LOWER(TRIM(E873)),"á","a"),"é","e"),"í","i"),"ó","o"),"ú","u"),"ü","u"),"ñ","n"),"à","a"),"è","e"),"ì","i"),"ò","o"),"ù","u"),"")</f>
        <v/>
      </c>
      <c r="R873" s="25">
        <f>IF(AND(L873=1,I873&lt;&gt;""),SUBSTITUTE(SUBSTITUTE(SUBSTITUTE(SUBSTITUTE(SUBSTITUTE(SUBSTITUTE(SUBSTITUTE(SUBSTITUTE(SUBSTITUTE(SUBSTITUTE(SUBSTITUTE(SUBSTITUTE(LOWER(TRIM(I873)),"á","a"),"é","e"),"í","i"),"ó","o"),"ú","u"),"ü","u"),"ñ","n"),"à","a"),"è","e"),"ì","i"),"ò","o"),"ù","u"),"")</f>
        <v/>
      </c>
      <c r="S873" s="25">
        <f>IF(R873="","",IF(OR(R873="si",R873="tal vez"),1,0))</f>
        <v/>
      </c>
      <c r="T873" s="25">
        <f>IF(AND(L873=1,D873&lt;&gt;""),IF(IFERROR(COUNTIFS(D$3:D873,"="&amp;SUBSTITUTE(SUBSTITUTE(SUBSTITUTE(D873,"~","~~"),"*","~*"),"?","~?"),L$3:L873,1),0)=1,MAX(T$2:T872)+1,""),"")</f>
        <v/>
      </c>
      <c r="U873" s="25">
        <f>IF(T873="","",COUNTIFS($D$3:$D$1002,"="&amp;SUBSTITUTE(SUBSTITUTE(SUBSTITUTE(D873,"~","~~"),"*","~*"),"?","~?"),$L$3:$L$1002,1)*10000-T873)</f>
        <v/>
      </c>
      <c r="V873" s="25">
        <f>IF(AND(L873=1,J873&lt;&gt;""),IF(IFERROR(COUNTIFS(J$3:J873,"="&amp;SUBSTITUTE(SUBSTITUTE(SUBSTITUTE(J873,"~","~~"),"*","~*"),"?","~?"),L$3:L873,1),0)=1,MAX(V$2:V872)+1,""),"")</f>
        <v/>
      </c>
      <c r="W873" s="25">
        <f>IF(V873="","",COUNTIFS($J$3:$J$1002,"="&amp;SUBSTITUTE(SUBSTITUTE(SUBSTITUTE(J873,"~","~~"),"*","~*"),"?","~?"),$L$3:$L$1002,1)*10000-V873)</f>
        <v/>
      </c>
    </row>
    <row r="874">
      <c r="A874">
        <f>IF(A$2=0,"",IFERROR(TRIM(INDEX('Pegar estudiantes'!$A$1:$BZ$1001,873,A$2)&amp;""),""))</f>
        <v/>
      </c>
      <c r="B874">
        <f>IF(B$2=0,"",IFERROR(TRIM(INDEX('Pegar estudiantes'!$A$1:$BZ$1001,873,B$2)&amp;""),""))</f>
        <v/>
      </c>
      <c r="C874">
        <f>IF(C$2=0,"",IFERROR(TRIM(INDEX('Pegar estudiantes'!$A$1:$BZ$1001,873,C$2)&amp;""),""))</f>
        <v/>
      </c>
      <c r="D874">
        <f>IF(D$2=0,"",IFERROR(TRIM(INDEX('Pegar estudiantes'!$A$1:$BZ$1001,873,D$2)&amp;""),""))</f>
        <v/>
      </c>
      <c r="E874">
        <f>IF(E$2=0,"",IFERROR(TRIM(INDEX('Pegar estudiantes'!$A$1:$BZ$1001,873,E$2)&amp;""),""))</f>
        <v/>
      </c>
      <c r="F874">
        <f>IF(F$2=0,"",IFERROR(TRIM(INDEX('Pegar estudiantes'!$A$1:$BZ$1001,873,F$2)&amp;""),""))</f>
        <v/>
      </c>
      <c r="G874">
        <f>IF(G$2=0,"",IFERROR(TRIM(INDEX('Pegar estudiantes'!$A$1:$BZ$1001,873,G$2)&amp;""),""))</f>
        <v/>
      </c>
      <c r="H874">
        <f>IF(H$2=0,"",IFERROR(TRIM(INDEX('Pegar estudiantes'!$A$1:$BZ$1001,873,H$2)&amp;""),""))</f>
        <v/>
      </c>
      <c r="I874">
        <f>IF(I$2=0,"",IFERROR(TRIM(INDEX('Pegar estudiantes'!$A$1:$BZ$1001,873,I$2)&amp;""),""))</f>
        <v/>
      </c>
      <c r="J874">
        <f>IF(J$2=0,"",IFERROR(TRIM(INDEX('Pegar estudiantes'!$A$1:$BZ$1001,873,J$2)&amp;""),""))</f>
        <v/>
      </c>
      <c r="K874">
        <f>IF(K$2=0,"",IFERROR(TRIM(INDEX('Pegar estudiantes'!$A$1:$BZ$1001,873,K$2)&amp;""),""))</f>
        <v/>
      </c>
      <c r="L874" s="25">
        <f>IF(A874&lt;&gt;"",1,"")</f>
        <v/>
      </c>
      <c r="M874" s="25">
        <f>IF(L874=1,IF(ISNUMBER(FIND("#"&amp;MID(A874,1,1)&amp;"#","#0#1#2#3#4#5#6#7#8#9#")),IF(ISNUMBER(FIND("#"&amp;MID(A874,2,1)&amp;"#","#0#1#2#3#4#5#6#7#8#9#")),IF(AND(VALUE(LEFT(A874,2))&gt;=1,VALUE(LEFT(A874,2))&lt;=5),VALUE(LEFT(A874,2)),""),IF(AND(VALUE(LEFT(A874,1))&gt;=1,VALUE(LEFT(A874,1))&lt;=5),VALUE(LEFT(A874,1)),"")),""),"")</f>
        <v/>
      </c>
      <c r="N874" s="25">
        <f>IF(L874=1,IF(ISNUMBER(FIND("#"&amp;MID(H874,1,1)&amp;"#","#0#1#2#3#4#5#6#7#8#9#")),IF(ISNUMBER(FIND("#"&amp;MID(H874,2,1)&amp;"#","#0#1#2#3#4#5#6#7#8#9#")),IF(AND(VALUE(LEFT(H874,2))&gt;=1,VALUE(LEFT(H874,2))&lt;=5),VALUE(LEFT(H874,2)),""),IF(AND(VALUE(LEFT(H874,1))&gt;=1,VALUE(LEFT(H874,1))&lt;=5),VALUE(LEFT(H874,1)),"")),""),"")</f>
        <v/>
      </c>
      <c r="O874" s="25">
        <f>IF(AND(L874=1,B874&lt;&gt;""),SUBSTITUTE(SUBSTITUTE(SUBSTITUTE(SUBSTITUTE(SUBSTITUTE(SUBSTITUTE(SUBSTITUTE(SUBSTITUTE(SUBSTITUTE(SUBSTITUTE(SUBSTITUTE(SUBSTITUTE(LOWER(TRIM(B874)),"á","a"),"é","e"),"í","i"),"ó","o"),"ú","u"),"ü","u"),"ñ","n"),"à","a"),"è","e"),"ì","i"),"ò","o"),"ù","u"),"")</f>
        <v/>
      </c>
      <c r="P874" s="25">
        <f>IF(AND(L874=1,C874&lt;&gt;""),SUBSTITUTE(SUBSTITUTE(SUBSTITUTE(SUBSTITUTE(SUBSTITUTE(SUBSTITUTE(SUBSTITUTE(SUBSTITUTE(SUBSTITUTE(SUBSTITUTE(SUBSTITUTE(SUBSTITUTE(LOWER(TRIM(C874)),"á","a"),"é","e"),"í","i"),"ó","o"),"ú","u"),"ü","u"),"ñ","n"),"à","a"),"è","e"),"ì","i"),"ò","o"),"ù","u"),"")</f>
        <v/>
      </c>
      <c r="Q874" s="25">
        <f>IF(AND(L874=1,E874&lt;&gt;""),SUBSTITUTE(SUBSTITUTE(SUBSTITUTE(SUBSTITUTE(SUBSTITUTE(SUBSTITUTE(SUBSTITUTE(SUBSTITUTE(SUBSTITUTE(SUBSTITUTE(SUBSTITUTE(SUBSTITUTE(LOWER(TRIM(E874)),"á","a"),"é","e"),"í","i"),"ó","o"),"ú","u"),"ü","u"),"ñ","n"),"à","a"),"è","e"),"ì","i"),"ò","o"),"ù","u"),"")</f>
        <v/>
      </c>
      <c r="R874" s="25">
        <f>IF(AND(L874=1,I874&lt;&gt;""),SUBSTITUTE(SUBSTITUTE(SUBSTITUTE(SUBSTITUTE(SUBSTITUTE(SUBSTITUTE(SUBSTITUTE(SUBSTITUTE(SUBSTITUTE(SUBSTITUTE(SUBSTITUTE(SUBSTITUTE(LOWER(TRIM(I874)),"á","a"),"é","e"),"í","i"),"ó","o"),"ú","u"),"ü","u"),"ñ","n"),"à","a"),"è","e"),"ì","i"),"ò","o"),"ù","u"),"")</f>
        <v/>
      </c>
      <c r="S874" s="25">
        <f>IF(R874="","",IF(OR(R874="si",R874="tal vez"),1,0))</f>
        <v/>
      </c>
      <c r="T874" s="25">
        <f>IF(AND(L874=1,D874&lt;&gt;""),IF(IFERROR(COUNTIFS(D$3:D874,"="&amp;SUBSTITUTE(SUBSTITUTE(SUBSTITUTE(D874,"~","~~"),"*","~*"),"?","~?"),L$3:L874,1),0)=1,MAX(T$2:T873)+1,""),"")</f>
        <v/>
      </c>
      <c r="U874" s="25">
        <f>IF(T874="","",COUNTIFS($D$3:$D$1002,"="&amp;SUBSTITUTE(SUBSTITUTE(SUBSTITUTE(D874,"~","~~"),"*","~*"),"?","~?"),$L$3:$L$1002,1)*10000-T874)</f>
        <v/>
      </c>
      <c r="V874" s="25">
        <f>IF(AND(L874=1,J874&lt;&gt;""),IF(IFERROR(COUNTIFS(J$3:J874,"="&amp;SUBSTITUTE(SUBSTITUTE(SUBSTITUTE(J874,"~","~~"),"*","~*"),"?","~?"),L$3:L874,1),0)=1,MAX(V$2:V873)+1,""),"")</f>
        <v/>
      </c>
      <c r="W874" s="25">
        <f>IF(V874="","",COUNTIFS($J$3:$J$1002,"="&amp;SUBSTITUTE(SUBSTITUTE(SUBSTITUTE(J874,"~","~~"),"*","~*"),"?","~?"),$L$3:$L$1002,1)*10000-V874)</f>
        <v/>
      </c>
    </row>
    <row r="875">
      <c r="A875">
        <f>IF(A$2=0,"",IFERROR(TRIM(INDEX('Pegar estudiantes'!$A$1:$BZ$1001,874,A$2)&amp;""),""))</f>
        <v/>
      </c>
      <c r="B875">
        <f>IF(B$2=0,"",IFERROR(TRIM(INDEX('Pegar estudiantes'!$A$1:$BZ$1001,874,B$2)&amp;""),""))</f>
        <v/>
      </c>
      <c r="C875">
        <f>IF(C$2=0,"",IFERROR(TRIM(INDEX('Pegar estudiantes'!$A$1:$BZ$1001,874,C$2)&amp;""),""))</f>
        <v/>
      </c>
      <c r="D875">
        <f>IF(D$2=0,"",IFERROR(TRIM(INDEX('Pegar estudiantes'!$A$1:$BZ$1001,874,D$2)&amp;""),""))</f>
        <v/>
      </c>
      <c r="E875">
        <f>IF(E$2=0,"",IFERROR(TRIM(INDEX('Pegar estudiantes'!$A$1:$BZ$1001,874,E$2)&amp;""),""))</f>
        <v/>
      </c>
      <c r="F875">
        <f>IF(F$2=0,"",IFERROR(TRIM(INDEX('Pegar estudiantes'!$A$1:$BZ$1001,874,F$2)&amp;""),""))</f>
        <v/>
      </c>
      <c r="G875">
        <f>IF(G$2=0,"",IFERROR(TRIM(INDEX('Pegar estudiantes'!$A$1:$BZ$1001,874,G$2)&amp;""),""))</f>
        <v/>
      </c>
      <c r="H875">
        <f>IF(H$2=0,"",IFERROR(TRIM(INDEX('Pegar estudiantes'!$A$1:$BZ$1001,874,H$2)&amp;""),""))</f>
        <v/>
      </c>
      <c r="I875">
        <f>IF(I$2=0,"",IFERROR(TRIM(INDEX('Pegar estudiantes'!$A$1:$BZ$1001,874,I$2)&amp;""),""))</f>
        <v/>
      </c>
      <c r="J875">
        <f>IF(J$2=0,"",IFERROR(TRIM(INDEX('Pegar estudiantes'!$A$1:$BZ$1001,874,J$2)&amp;""),""))</f>
        <v/>
      </c>
      <c r="K875">
        <f>IF(K$2=0,"",IFERROR(TRIM(INDEX('Pegar estudiantes'!$A$1:$BZ$1001,874,K$2)&amp;""),""))</f>
        <v/>
      </c>
      <c r="L875" s="25">
        <f>IF(A875&lt;&gt;"",1,"")</f>
        <v/>
      </c>
      <c r="M875" s="25">
        <f>IF(L875=1,IF(ISNUMBER(FIND("#"&amp;MID(A875,1,1)&amp;"#","#0#1#2#3#4#5#6#7#8#9#")),IF(ISNUMBER(FIND("#"&amp;MID(A875,2,1)&amp;"#","#0#1#2#3#4#5#6#7#8#9#")),IF(AND(VALUE(LEFT(A875,2))&gt;=1,VALUE(LEFT(A875,2))&lt;=5),VALUE(LEFT(A875,2)),""),IF(AND(VALUE(LEFT(A875,1))&gt;=1,VALUE(LEFT(A875,1))&lt;=5),VALUE(LEFT(A875,1)),"")),""),"")</f>
        <v/>
      </c>
      <c r="N875" s="25">
        <f>IF(L875=1,IF(ISNUMBER(FIND("#"&amp;MID(H875,1,1)&amp;"#","#0#1#2#3#4#5#6#7#8#9#")),IF(ISNUMBER(FIND("#"&amp;MID(H875,2,1)&amp;"#","#0#1#2#3#4#5#6#7#8#9#")),IF(AND(VALUE(LEFT(H875,2))&gt;=1,VALUE(LEFT(H875,2))&lt;=5),VALUE(LEFT(H875,2)),""),IF(AND(VALUE(LEFT(H875,1))&gt;=1,VALUE(LEFT(H875,1))&lt;=5),VALUE(LEFT(H875,1)),"")),""),"")</f>
        <v/>
      </c>
      <c r="O875" s="25">
        <f>IF(AND(L875=1,B875&lt;&gt;""),SUBSTITUTE(SUBSTITUTE(SUBSTITUTE(SUBSTITUTE(SUBSTITUTE(SUBSTITUTE(SUBSTITUTE(SUBSTITUTE(SUBSTITUTE(SUBSTITUTE(SUBSTITUTE(SUBSTITUTE(LOWER(TRIM(B875)),"á","a"),"é","e"),"í","i"),"ó","o"),"ú","u"),"ü","u"),"ñ","n"),"à","a"),"è","e"),"ì","i"),"ò","o"),"ù","u"),"")</f>
        <v/>
      </c>
      <c r="P875" s="25">
        <f>IF(AND(L875=1,C875&lt;&gt;""),SUBSTITUTE(SUBSTITUTE(SUBSTITUTE(SUBSTITUTE(SUBSTITUTE(SUBSTITUTE(SUBSTITUTE(SUBSTITUTE(SUBSTITUTE(SUBSTITUTE(SUBSTITUTE(SUBSTITUTE(LOWER(TRIM(C875)),"á","a"),"é","e"),"í","i"),"ó","o"),"ú","u"),"ü","u"),"ñ","n"),"à","a"),"è","e"),"ì","i"),"ò","o"),"ù","u"),"")</f>
        <v/>
      </c>
      <c r="Q875" s="25">
        <f>IF(AND(L875=1,E875&lt;&gt;""),SUBSTITUTE(SUBSTITUTE(SUBSTITUTE(SUBSTITUTE(SUBSTITUTE(SUBSTITUTE(SUBSTITUTE(SUBSTITUTE(SUBSTITUTE(SUBSTITUTE(SUBSTITUTE(SUBSTITUTE(LOWER(TRIM(E875)),"á","a"),"é","e"),"í","i"),"ó","o"),"ú","u"),"ü","u"),"ñ","n"),"à","a"),"è","e"),"ì","i"),"ò","o"),"ù","u"),"")</f>
        <v/>
      </c>
      <c r="R875" s="25">
        <f>IF(AND(L875=1,I875&lt;&gt;""),SUBSTITUTE(SUBSTITUTE(SUBSTITUTE(SUBSTITUTE(SUBSTITUTE(SUBSTITUTE(SUBSTITUTE(SUBSTITUTE(SUBSTITUTE(SUBSTITUTE(SUBSTITUTE(SUBSTITUTE(LOWER(TRIM(I875)),"á","a"),"é","e"),"í","i"),"ó","o"),"ú","u"),"ü","u"),"ñ","n"),"à","a"),"è","e"),"ì","i"),"ò","o"),"ù","u"),"")</f>
        <v/>
      </c>
      <c r="S875" s="25">
        <f>IF(R875="","",IF(OR(R875="si",R875="tal vez"),1,0))</f>
        <v/>
      </c>
      <c r="T875" s="25">
        <f>IF(AND(L875=1,D875&lt;&gt;""),IF(IFERROR(COUNTIFS(D$3:D875,"="&amp;SUBSTITUTE(SUBSTITUTE(SUBSTITUTE(D875,"~","~~"),"*","~*"),"?","~?"),L$3:L875,1),0)=1,MAX(T$2:T874)+1,""),"")</f>
        <v/>
      </c>
      <c r="U875" s="25">
        <f>IF(T875="","",COUNTIFS($D$3:$D$1002,"="&amp;SUBSTITUTE(SUBSTITUTE(SUBSTITUTE(D875,"~","~~"),"*","~*"),"?","~?"),$L$3:$L$1002,1)*10000-T875)</f>
        <v/>
      </c>
      <c r="V875" s="25">
        <f>IF(AND(L875=1,J875&lt;&gt;""),IF(IFERROR(COUNTIFS(J$3:J875,"="&amp;SUBSTITUTE(SUBSTITUTE(SUBSTITUTE(J875,"~","~~"),"*","~*"),"?","~?"),L$3:L875,1),0)=1,MAX(V$2:V874)+1,""),"")</f>
        <v/>
      </c>
      <c r="W875" s="25">
        <f>IF(V875="","",COUNTIFS($J$3:$J$1002,"="&amp;SUBSTITUTE(SUBSTITUTE(SUBSTITUTE(J875,"~","~~"),"*","~*"),"?","~?"),$L$3:$L$1002,1)*10000-V875)</f>
        <v/>
      </c>
    </row>
    <row r="876">
      <c r="A876">
        <f>IF(A$2=0,"",IFERROR(TRIM(INDEX('Pegar estudiantes'!$A$1:$BZ$1001,875,A$2)&amp;""),""))</f>
        <v/>
      </c>
      <c r="B876">
        <f>IF(B$2=0,"",IFERROR(TRIM(INDEX('Pegar estudiantes'!$A$1:$BZ$1001,875,B$2)&amp;""),""))</f>
        <v/>
      </c>
      <c r="C876">
        <f>IF(C$2=0,"",IFERROR(TRIM(INDEX('Pegar estudiantes'!$A$1:$BZ$1001,875,C$2)&amp;""),""))</f>
        <v/>
      </c>
      <c r="D876">
        <f>IF(D$2=0,"",IFERROR(TRIM(INDEX('Pegar estudiantes'!$A$1:$BZ$1001,875,D$2)&amp;""),""))</f>
        <v/>
      </c>
      <c r="E876">
        <f>IF(E$2=0,"",IFERROR(TRIM(INDEX('Pegar estudiantes'!$A$1:$BZ$1001,875,E$2)&amp;""),""))</f>
        <v/>
      </c>
      <c r="F876">
        <f>IF(F$2=0,"",IFERROR(TRIM(INDEX('Pegar estudiantes'!$A$1:$BZ$1001,875,F$2)&amp;""),""))</f>
        <v/>
      </c>
      <c r="G876">
        <f>IF(G$2=0,"",IFERROR(TRIM(INDEX('Pegar estudiantes'!$A$1:$BZ$1001,875,G$2)&amp;""),""))</f>
        <v/>
      </c>
      <c r="H876">
        <f>IF(H$2=0,"",IFERROR(TRIM(INDEX('Pegar estudiantes'!$A$1:$BZ$1001,875,H$2)&amp;""),""))</f>
        <v/>
      </c>
      <c r="I876">
        <f>IF(I$2=0,"",IFERROR(TRIM(INDEX('Pegar estudiantes'!$A$1:$BZ$1001,875,I$2)&amp;""),""))</f>
        <v/>
      </c>
      <c r="J876">
        <f>IF(J$2=0,"",IFERROR(TRIM(INDEX('Pegar estudiantes'!$A$1:$BZ$1001,875,J$2)&amp;""),""))</f>
        <v/>
      </c>
      <c r="K876">
        <f>IF(K$2=0,"",IFERROR(TRIM(INDEX('Pegar estudiantes'!$A$1:$BZ$1001,875,K$2)&amp;""),""))</f>
        <v/>
      </c>
      <c r="L876" s="25">
        <f>IF(A876&lt;&gt;"",1,"")</f>
        <v/>
      </c>
      <c r="M876" s="25">
        <f>IF(L876=1,IF(ISNUMBER(FIND("#"&amp;MID(A876,1,1)&amp;"#","#0#1#2#3#4#5#6#7#8#9#")),IF(ISNUMBER(FIND("#"&amp;MID(A876,2,1)&amp;"#","#0#1#2#3#4#5#6#7#8#9#")),IF(AND(VALUE(LEFT(A876,2))&gt;=1,VALUE(LEFT(A876,2))&lt;=5),VALUE(LEFT(A876,2)),""),IF(AND(VALUE(LEFT(A876,1))&gt;=1,VALUE(LEFT(A876,1))&lt;=5),VALUE(LEFT(A876,1)),"")),""),"")</f>
        <v/>
      </c>
      <c r="N876" s="25">
        <f>IF(L876=1,IF(ISNUMBER(FIND("#"&amp;MID(H876,1,1)&amp;"#","#0#1#2#3#4#5#6#7#8#9#")),IF(ISNUMBER(FIND("#"&amp;MID(H876,2,1)&amp;"#","#0#1#2#3#4#5#6#7#8#9#")),IF(AND(VALUE(LEFT(H876,2))&gt;=1,VALUE(LEFT(H876,2))&lt;=5),VALUE(LEFT(H876,2)),""),IF(AND(VALUE(LEFT(H876,1))&gt;=1,VALUE(LEFT(H876,1))&lt;=5),VALUE(LEFT(H876,1)),"")),""),"")</f>
        <v/>
      </c>
      <c r="O876" s="25">
        <f>IF(AND(L876=1,B876&lt;&gt;""),SUBSTITUTE(SUBSTITUTE(SUBSTITUTE(SUBSTITUTE(SUBSTITUTE(SUBSTITUTE(SUBSTITUTE(SUBSTITUTE(SUBSTITUTE(SUBSTITUTE(SUBSTITUTE(SUBSTITUTE(LOWER(TRIM(B876)),"á","a"),"é","e"),"í","i"),"ó","o"),"ú","u"),"ü","u"),"ñ","n"),"à","a"),"è","e"),"ì","i"),"ò","o"),"ù","u"),"")</f>
        <v/>
      </c>
      <c r="P876" s="25">
        <f>IF(AND(L876=1,C876&lt;&gt;""),SUBSTITUTE(SUBSTITUTE(SUBSTITUTE(SUBSTITUTE(SUBSTITUTE(SUBSTITUTE(SUBSTITUTE(SUBSTITUTE(SUBSTITUTE(SUBSTITUTE(SUBSTITUTE(SUBSTITUTE(LOWER(TRIM(C876)),"á","a"),"é","e"),"í","i"),"ó","o"),"ú","u"),"ü","u"),"ñ","n"),"à","a"),"è","e"),"ì","i"),"ò","o"),"ù","u"),"")</f>
        <v/>
      </c>
      <c r="Q876" s="25">
        <f>IF(AND(L876=1,E876&lt;&gt;""),SUBSTITUTE(SUBSTITUTE(SUBSTITUTE(SUBSTITUTE(SUBSTITUTE(SUBSTITUTE(SUBSTITUTE(SUBSTITUTE(SUBSTITUTE(SUBSTITUTE(SUBSTITUTE(SUBSTITUTE(LOWER(TRIM(E876)),"á","a"),"é","e"),"í","i"),"ó","o"),"ú","u"),"ü","u"),"ñ","n"),"à","a"),"è","e"),"ì","i"),"ò","o"),"ù","u"),"")</f>
        <v/>
      </c>
      <c r="R876" s="25">
        <f>IF(AND(L876=1,I876&lt;&gt;""),SUBSTITUTE(SUBSTITUTE(SUBSTITUTE(SUBSTITUTE(SUBSTITUTE(SUBSTITUTE(SUBSTITUTE(SUBSTITUTE(SUBSTITUTE(SUBSTITUTE(SUBSTITUTE(SUBSTITUTE(LOWER(TRIM(I876)),"á","a"),"é","e"),"í","i"),"ó","o"),"ú","u"),"ü","u"),"ñ","n"),"à","a"),"è","e"),"ì","i"),"ò","o"),"ù","u"),"")</f>
        <v/>
      </c>
      <c r="S876" s="25">
        <f>IF(R876="","",IF(OR(R876="si",R876="tal vez"),1,0))</f>
        <v/>
      </c>
      <c r="T876" s="25">
        <f>IF(AND(L876=1,D876&lt;&gt;""),IF(IFERROR(COUNTIFS(D$3:D876,"="&amp;SUBSTITUTE(SUBSTITUTE(SUBSTITUTE(D876,"~","~~"),"*","~*"),"?","~?"),L$3:L876,1),0)=1,MAX(T$2:T875)+1,""),"")</f>
        <v/>
      </c>
      <c r="U876" s="25">
        <f>IF(T876="","",COUNTIFS($D$3:$D$1002,"="&amp;SUBSTITUTE(SUBSTITUTE(SUBSTITUTE(D876,"~","~~"),"*","~*"),"?","~?"),$L$3:$L$1002,1)*10000-T876)</f>
        <v/>
      </c>
      <c r="V876" s="25">
        <f>IF(AND(L876=1,J876&lt;&gt;""),IF(IFERROR(COUNTIFS(J$3:J876,"="&amp;SUBSTITUTE(SUBSTITUTE(SUBSTITUTE(J876,"~","~~"),"*","~*"),"?","~?"),L$3:L876,1),0)=1,MAX(V$2:V875)+1,""),"")</f>
        <v/>
      </c>
      <c r="W876" s="25">
        <f>IF(V876="","",COUNTIFS($J$3:$J$1002,"="&amp;SUBSTITUTE(SUBSTITUTE(SUBSTITUTE(J876,"~","~~"),"*","~*"),"?","~?"),$L$3:$L$1002,1)*10000-V876)</f>
        <v/>
      </c>
    </row>
    <row r="877">
      <c r="A877">
        <f>IF(A$2=0,"",IFERROR(TRIM(INDEX('Pegar estudiantes'!$A$1:$BZ$1001,876,A$2)&amp;""),""))</f>
        <v/>
      </c>
      <c r="B877">
        <f>IF(B$2=0,"",IFERROR(TRIM(INDEX('Pegar estudiantes'!$A$1:$BZ$1001,876,B$2)&amp;""),""))</f>
        <v/>
      </c>
      <c r="C877">
        <f>IF(C$2=0,"",IFERROR(TRIM(INDEX('Pegar estudiantes'!$A$1:$BZ$1001,876,C$2)&amp;""),""))</f>
        <v/>
      </c>
      <c r="D877">
        <f>IF(D$2=0,"",IFERROR(TRIM(INDEX('Pegar estudiantes'!$A$1:$BZ$1001,876,D$2)&amp;""),""))</f>
        <v/>
      </c>
      <c r="E877">
        <f>IF(E$2=0,"",IFERROR(TRIM(INDEX('Pegar estudiantes'!$A$1:$BZ$1001,876,E$2)&amp;""),""))</f>
        <v/>
      </c>
      <c r="F877">
        <f>IF(F$2=0,"",IFERROR(TRIM(INDEX('Pegar estudiantes'!$A$1:$BZ$1001,876,F$2)&amp;""),""))</f>
        <v/>
      </c>
      <c r="G877">
        <f>IF(G$2=0,"",IFERROR(TRIM(INDEX('Pegar estudiantes'!$A$1:$BZ$1001,876,G$2)&amp;""),""))</f>
        <v/>
      </c>
      <c r="H877">
        <f>IF(H$2=0,"",IFERROR(TRIM(INDEX('Pegar estudiantes'!$A$1:$BZ$1001,876,H$2)&amp;""),""))</f>
        <v/>
      </c>
      <c r="I877">
        <f>IF(I$2=0,"",IFERROR(TRIM(INDEX('Pegar estudiantes'!$A$1:$BZ$1001,876,I$2)&amp;""),""))</f>
        <v/>
      </c>
      <c r="J877">
        <f>IF(J$2=0,"",IFERROR(TRIM(INDEX('Pegar estudiantes'!$A$1:$BZ$1001,876,J$2)&amp;""),""))</f>
        <v/>
      </c>
      <c r="K877">
        <f>IF(K$2=0,"",IFERROR(TRIM(INDEX('Pegar estudiantes'!$A$1:$BZ$1001,876,K$2)&amp;""),""))</f>
        <v/>
      </c>
      <c r="L877" s="25">
        <f>IF(A877&lt;&gt;"",1,"")</f>
        <v/>
      </c>
      <c r="M877" s="25">
        <f>IF(L877=1,IF(ISNUMBER(FIND("#"&amp;MID(A877,1,1)&amp;"#","#0#1#2#3#4#5#6#7#8#9#")),IF(ISNUMBER(FIND("#"&amp;MID(A877,2,1)&amp;"#","#0#1#2#3#4#5#6#7#8#9#")),IF(AND(VALUE(LEFT(A877,2))&gt;=1,VALUE(LEFT(A877,2))&lt;=5),VALUE(LEFT(A877,2)),""),IF(AND(VALUE(LEFT(A877,1))&gt;=1,VALUE(LEFT(A877,1))&lt;=5),VALUE(LEFT(A877,1)),"")),""),"")</f>
        <v/>
      </c>
      <c r="N877" s="25">
        <f>IF(L877=1,IF(ISNUMBER(FIND("#"&amp;MID(H877,1,1)&amp;"#","#0#1#2#3#4#5#6#7#8#9#")),IF(ISNUMBER(FIND("#"&amp;MID(H877,2,1)&amp;"#","#0#1#2#3#4#5#6#7#8#9#")),IF(AND(VALUE(LEFT(H877,2))&gt;=1,VALUE(LEFT(H877,2))&lt;=5),VALUE(LEFT(H877,2)),""),IF(AND(VALUE(LEFT(H877,1))&gt;=1,VALUE(LEFT(H877,1))&lt;=5),VALUE(LEFT(H877,1)),"")),""),"")</f>
        <v/>
      </c>
      <c r="O877" s="25">
        <f>IF(AND(L877=1,B877&lt;&gt;""),SUBSTITUTE(SUBSTITUTE(SUBSTITUTE(SUBSTITUTE(SUBSTITUTE(SUBSTITUTE(SUBSTITUTE(SUBSTITUTE(SUBSTITUTE(SUBSTITUTE(SUBSTITUTE(SUBSTITUTE(LOWER(TRIM(B877)),"á","a"),"é","e"),"í","i"),"ó","o"),"ú","u"),"ü","u"),"ñ","n"),"à","a"),"è","e"),"ì","i"),"ò","o"),"ù","u"),"")</f>
        <v/>
      </c>
      <c r="P877" s="25">
        <f>IF(AND(L877=1,C877&lt;&gt;""),SUBSTITUTE(SUBSTITUTE(SUBSTITUTE(SUBSTITUTE(SUBSTITUTE(SUBSTITUTE(SUBSTITUTE(SUBSTITUTE(SUBSTITUTE(SUBSTITUTE(SUBSTITUTE(SUBSTITUTE(LOWER(TRIM(C877)),"á","a"),"é","e"),"í","i"),"ó","o"),"ú","u"),"ü","u"),"ñ","n"),"à","a"),"è","e"),"ì","i"),"ò","o"),"ù","u"),"")</f>
        <v/>
      </c>
      <c r="Q877" s="25">
        <f>IF(AND(L877=1,E877&lt;&gt;""),SUBSTITUTE(SUBSTITUTE(SUBSTITUTE(SUBSTITUTE(SUBSTITUTE(SUBSTITUTE(SUBSTITUTE(SUBSTITUTE(SUBSTITUTE(SUBSTITUTE(SUBSTITUTE(SUBSTITUTE(LOWER(TRIM(E877)),"á","a"),"é","e"),"í","i"),"ó","o"),"ú","u"),"ü","u"),"ñ","n"),"à","a"),"è","e"),"ì","i"),"ò","o"),"ù","u"),"")</f>
        <v/>
      </c>
      <c r="R877" s="25">
        <f>IF(AND(L877=1,I877&lt;&gt;""),SUBSTITUTE(SUBSTITUTE(SUBSTITUTE(SUBSTITUTE(SUBSTITUTE(SUBSTITUTE(SUBSTITUTE(SUBSTITUTE(SUBSTITUTE(SUBSTITUTE(SUBSTITUTE(SUBSTITUTE(LOWER(TRIM(I877)),"á","a"),"é","e"),"í","i"),"ó","o"),"ú","u"),"ü","u"),"ñ","n"),"à","a"),"è","e"),"ì","i"),"ò","o"),"ù","u"),"")</f>
        <v/>
      </c>
      <c r="S877" s="25">
        <f>IF(R877="","",IF(OR(R877="si",R877="tal vez"),1,0))</f>
        <v/>
      </c>
      <c r="T877" s="25">
        <f>IF(AND(L877=1,D877&lt;&gt;""),IF(IFERROR(COUNTIFS(D$3:D877,"="&amp;SUBSTITUTE(SUBSTITUTE(SUBSTITUTE(D877,"~","~~"),"*","~*"),"?","~?"),L$3:L877,1),0)=1,MAX(T$2:T876)+1,""),"")</f>
        <v/>
      </c>
      <c r="U877" s="25">
        <f>IF(T877="","",COUNTIFS($D$3:$D$1002,"="&amp;SUBSTITUTE(SUBSTITUTE(SUBSTITUTE(D877,"~","~~"),"*","~*"),"?","~?"),$L$3:$L$1002,1)*10000-T877)</f>
        <v/>
      </c>
      <c r="V877" s="25">
        <f>IF(AND(L877=1,J877&lt;&gt;""),IF(IFERROR(COUNTIFS(J$3:J877,"="&amp;SUBSTITUTE(SUBSTITUTE(SUBSTITUTE(J877,"~","~~"),"*","~*"),"?","~?"),L$3:L877,1),0)=1,MAX(V$2:V876)+1,""),"")</f>
        <v/>
      </c>
      <c r="W877" s="25">
        <f>IF(V877="","",COUNTIFS($J$3:$J$1002,"="&amp;SUBSTITUTE(SUBSTITUTE(SUBSTITUTE(J877,"~","~~"),"*","~*"),"?","~?"),$L$3:$L$1002,1)*10000-V877)</f>
        <v/>
      </c>
    </row>
    <row r="878">
      <c r="A878">
        <f>IF(A$2=0,"",IFERROR(TRIM(INDEX('Pegar estudiantes'!$A$1:$BZ$1001,877,A$2)&amp;""),""))</f>
        <v/>
      </c>
      <c r="B878">
        <f>IF(B$2=0,"",IFERROR(TRIM(INDEX('Pegar estudiantes'!$A$1:$BZ$1001,877,B$2)&amp;""),""))</f>
        <v/>
      </c>
      <c r="C878">
        <f>IF(C$2=0,"",IFERROR(TRIM(INDEX('Pegar estudiantes'!$A$1:$BZ$1001,877,C$2)&amp;""),""))</f>
        <v/>
      </c>
      <c r="D878">
        <f>IF(D$2=0,"",IFERROR(TRIM(INDEX('Pegar estudiantes'!$A$1:$BZ$1001,877,D$2)&amp;""),""))</f>
        <v/>
      </c>
      <c r="E878">
        <f>IF(E$2=0,"",IFERROR(TRIM(INDEX('Pegar estudiantes'!$A$1:$BZ$1001,877,E$2)&amp;""),""))</f>
        <v/>
      </c>
      <c r="F878">
        <f>IF(F$2=0,"",IFERROR(TRIM(INDEX('Pegar estudiantes'!$A$1:$BZ$1001,877,F$2)&amp;""),""))</f>
        <v/>
      </c>
      <c r="G878">
        <f>IF(G$2=0,"",IFERROR(TRIM(INDEX('Pegar estudiantes'!$A$1:$BZ$1001,877,G$2)&amp;""),""))</f>
        <v/>
      </c>
      <c r="H878">
        <f>IF(H$2=0,"",IFERROR(TRIM(INDEX('Pegar estudiantes'!$A$1:$BZ$1001,877,H$2)&amp;""),""))</f>
        <v/>
      </c>
      <c r="I878">
        <f>IF(I$2=0,"",IFERROR(TRIM(INDEX('Pegar estudiantes'!$A$1:$BZ$1001,877,I$2)&amp;""),""))</f>
        <v/>
      </c>
      <c r="J878">
        <f>IF(J$2=0,"",IFERROR(TRIM(INDEX('Pegar estudiantes'!$A$1:$BZ$1001,877,J$2)&amp;""),""))</f>
        <v/>
      </c>
      <c r="K878">
        <f>IF(K$2=0,"",IFERROR(TRIM(INDEX('Pegar estudiantes'!$A$1:$BZ$1001,877,K$2)&amp;""),""))</f>
        <v/>
      </c>
      <c r="L878" s="25">
        <f>IF(A878&lt;&gt;"",1,"")</f>
        <v/>
      </c>
      <c r="M878" s="25">
        <f>IF(L878=1,IF(ISNUMBER(FIND("#"&amp;MID(A878,1,1)&amp;"#","#0#1#2#3#4#5#6#7#8#9#")),IF(ISNUMBER(FIND("#"&amp;MID(A878,2,1)&amp;"#","#0#1#2#3#4#5#6#7#8#9#")),IF(AND(VALUE(LEFT(A878,2))&gt;=1,VALUE(LEFT(A878,2))&lt;=5),VALUE(LEFT(A878,2)),""),IF(AND(VALUE(LEFT(A878,1))&gt;=1,VALUE(LEFT(A878,1))&lt;=5),VALUE(LEFT(A878,1)),"")),""),"")</f>
        <v/>
      </c>
      <c r="N878" s="25">
        <f>IF(L878=1,IF(ISNUMBER(FIND("#"&amp;MID(H878,1,1)&amp;"#","#0#1#2#3#4#5#6#7#8#9#")),IF(ISNUMBER(FIND("#"&amp;MID(H878,2,1)&amp;"#","#0#1#2#3#4#5#6#7#8#9#")),IF(AND(VALUE(LEFT(H878,2))&gt;=1,VALUE(LEFT(H878,2))&lt;=5),VALUE(LEFT(H878,2)),""),IF(AND(VALUE(LEFT(H878,1))&gt;=1,VALUE(LEFT(H878,1))&lt;=5),VALUE(LEFT(H878,1)),"")),""),"")</f>
        <v/>
      </c>
      <c r="O878" s="25">
        <f>IF(AND(L878=1,B878&lt;&gt;""),SUBSTITUTE(SUBSTITUTE(SUBSTITUTE(SUBSTITUTE(SUBSTITUTE(SUBSTITUTE(SUBSTITUTE(SUBSTITUTE(SUBSTITUTE(SUBSTITUTE(SUBSTITUTE(SUBSTITUTE(LOWER(TRIM(B878)),"á","a"),"é","e"),"í","i"),"ó","o"),"ú","u"),"ü","u"),"ñ","n"),"à","a"),"è","e"),"ì","i"),"ò","o"),"ù","u"),"")</f>
        <v/>
      </c>
      <c r="P878" s="25">
        <f>IF(AND(L878=1,C878&lt;&gt;""),SUBSTITUTE(SUBSTITUTE(SUBSTITUTE(SUBSTITUTE(SUBSTITUTE(SUBSTITUTE(SUBSTITUTE(SUBSTITUTE(SUBSTITUTE(SUBSTITUTE(SUBSTITUTE(SUBSTITUTE(LOWER(TRIM(C878)),"á","a"),"é","e"),"í","i"),"ó","o"),"ú","u"),"ü","u"),"ñ","n"),"à","a"),"è","e"),"ì","i"),"ò","o"),"ù","u"),"")</f>
        <v/>
      </c>
      <c r="Q878" s="25">
        <f>IF(AND(L878=1,E878&lt;&gt;""),SUBSTITUTE(SUBSTITUTE(SUBSTITUTE(SUBSTITUTE(SUBSTITUTE(SUBSTITUTE(SUBSTITUTE(SUBSTITUTE(SUBSTITUTE(SUBSTITUTE(SUBSTITUTE(SUBSTITUTE(LOWER(TRIM(E878)),"á","a"),"é","e"),"í","i"),"ó","o"),"ú","u"),"ü","u"),"ñ","n"),"à","a"),"è","e"),"ì","i"),"ò","o"),"ù","u"),"")</f>
        <v/>
      </c>
      <c r="R878" s="25">
        <f>IF(AND(L878=1,I878&lt;&gt;""),SUBSTITUTE(SUBSTITUTE(SUBSTITUTE(SUBSTITUTE(SUBSTITUTE(SUBSTITUTE(SUBSTITUTE(SUBSTITUTE(SUBSTITUTE(SUBSTITUTE(SUBSTITUTE(SUBSTITUTE(LOWER(TRIM(I878)),"á","a"),"é","e"),"í","i"),"ó","o"),"ú","u"),"ü","u"),"ñ","n"),"à","a"),"è","e"),"ì","i"),"ò","o"),"ù","u"),"")</f>
        <v/>
      </c>
      <c r="S878" s="25">
        <f>IF(R878="","",IF(OR(R878="si",R878="tal vez"),1,0))</f>
        <v/>
      </c>
      <c r="T878" s="25">
        <f>IF(AND(L878=1,D878&lt;&gt;""),IF(IFERROR(COUNTIFS(D$3:D878,"="&amp;SUBSTITUTE(SUBSTITUTE(SUBSTITUTE(D878,"~","~~"),"*","~*"),"?","~?"),L$3:L878,1),0)=1,MAX(T$2:T877)+1,""),"")</f>
        <v/>
      </c>
      <c r="U878" s="25">
        <f>IF(T878="","",COUNTIFS($D$3:$D$1002,"="&amp;SUBSTITUTE(SUBSTITUTE(SUBSTITUTE(D878,"~","~~"),"*","~*"),"?","~?"),$L$3:$L$1002,1)*10000-T878)</f>
        <v/>
      </c>
      <c r="V878" s="25">
        <f>IF(AND(L878=1,J878&lt;&gt;""),IF(IFERROR(COUNTIFS(J$3:J878,"="&amp;SUBSTITUTE(SUBSTITUTE(SUBSTITUTE(J878,"~","~~"),"*","~*"),"?","~?"),L$3:L878,1),0)=1,MAX(V$2:V877)+1,""),"")</f>
        <v/>
      </c>
      <c r="W878" s="25">
        <f>IF(V878="","",COUNTIFS($J$3:$J$1002,"="&amp;SUBSTITUTE(SUBSTITUTE(SUBSTITUTE(J878,"~","~~"),"*","~*"),"?","~?"),$L$3:$L$1002,1)*10000-V878)</f>
        <v/>
      </c>
    </row>
    <row r="879">
      <c r="A879">
        <f>IF(A$2=0,"",IFERROR(TRIM(INDEX('Pegar estudiantes'!$A$1:$BZ$1001,878,A$2)&amp;""),""))</f>
        <v/>
      </c>
      <c r="B879">
        <f>IF(B$2=0,"",IFERROR(TRIM(INDEX('Pegar estudiantes'!$A$1:$BZ$1001,878,B$2)&amp;""),""))</f>
        <v/>
      </c>
      <c r="C879">
        <f>IF(C$2=0,"",IFERROR(TRIM(INDEX('Pegar estudiantes'!$A$1:$BZ$1001,878,C$2)&amp;""),""))</f>
        <v/>
      </c>
      <c r="D879">
        <f>IF(D$2=0,"",IFERROR(TRIM(INDEX('Pegar estudiantes'!$A$1:$BZ$1001,878,D$2)&amp;""),""))</f>
        <v/>
      </c>
      <c r="E879">
        <f>IF(E$2=0,"",IFERROR(TRIM(INDEX('Pegar estudiantes'!$A$1:$BZ$1001,878,E$2)&amp;""),""))</f>
        <v/>
      </c>
      <c r="F879">
        <f>IF(F$2=0,"",IFERROR(TRIM(INDEX('Pegar estudiantes'!$A$1:$BZ$1001,878,F$2)&amp;""),""))</f>
        <v/>
      </c>
      <c r="G879">
        <f>IF(G$2=0,"",IFERROR(TRIM(INDEX('Pegar estudiantes'!$A$1:$BZ$1001,878,G$2)&amp;""),""))</f>
        <v/>
      </c>
      <c r="H879">
        <f>IF(H$2=0,"",IFERROR(TRIM(INDEX('Pegar estudiantes'!$A$1:$BZ$1001,878,H$2)&amp;""),""))</f>
        <v/>
      </c>
      <c r="I879">
        <f>IF(I$2=0,"",IFERROR(TRIM(INDEX('Pegar estudiantes'!$A$1:$BZ$1001,878,I$2)&amp;""),""))</f>
        <v/>
      </c>
      <c r="J879">
        <f>IF(J$2=0,"",IFERROR(TRIM(INDEX('Pegar estudiantes'!$A$1:$BZ$1001,878,J$2)&amp;""),""))</f>
        <v/>
      </c>
      <c r="K879">
        <f>IF(K$2=0,"",IFERROR(TRIM(INDEX('Pegar estudiantes'!$A$1:$BZ$1001,878,K$2)&amp;""),""))</f>
        <v/>
      </c>
      <c r="L879" s="25">
        <f>IF(A879&lt;&gt;"",1,"")</f>
        <v/>
      </c>
      <c r="M879" s="25">
        <f>IF(L879=1,IF(ISNUMBER(FIND("#"&amp;MID(A879,1,1)&amp;"#","#0#1#2#3#4#5#6#7#8#9#")),IF(ISNUMBER(FIND("#"&amp;MID(A879,2,1)&amp;"#","#0#1#2#3#4#5#6#7#8#9#")),IF(AND(VALUE(LEFT(A879,2))&gt;=1,VALUE(LEFT(A879,2))&lt;=5),VALUE(LEFT(A879,2)),""),IF(AND(VALUE(LEFT(A879,1))&gt;=1,VALUE(LEFT(A879,1))&lt;=5),VALUE(LEFT(A879,1)),"")),""),"")</f>
        <v/>
      </c>
      <c r="N879" s="25">
        <f>IF(L879=1,IF(ISNUMBER(FIND("#"&amp;MID(H879,1,1)&amp;"#","#0#1#2#3#4#5#6#7#8#9#")),IF(ISNUMBER(FIND("#"&amp;MID(H879,2,1)&amp;"#","#0#1#2#3#4#5#6#7#8#9#")),IF(AND(VALUE(LEFT(H879,2))&gt;=1,VALUE(LEFT(H879,2))&lt;=5),VALUE(LEFT(H879,2)),""),IF(AND(VALUE(LEFT(H879,1))&gt;=1,VALUE(LEFT(H879,1))&lt;=5),VALUE(LEFT(H879,1)),"")),""),"")</f>
        <v/>
      </c>
      <c r="O879" s="25">
        <f>IF(AND(L879=1,B879&lt;&gt;""),SUBSTITUTE(SUBSTITUTE(SUBSTITUTE(SUBSTITUTE(SUBSTITUTE(SUBSTITUTE(SUBSTITUTE(SUBSTITUTE(SUBSTITUTE(SUBSTITUTE(SUBSTITUTE(SUBSTITUTE(LOWER(TRIM(B879)),"á","a"),"é","e"),"í","i"),"ó","o"),"ú","u"),"ü","u"),"ñ","n"),"à","a"),"è","e"),"ì","i"),"ò","o"),"ù","u"),"")</f>
        <v/>
      </c>
      <c r="P879" s="25">
        <f>IF(AND(L879=1,C879&lt;&gt;""),SUBSTITUTE(SUBSTITUTE(SUBSTITUTE(SUBSTITUTE(SUBSTITUTE(SUBSTITUTE(SUBSTITUTE(SUBSTITUTE(SUBSTITUTE(SUBSTITUTE(SUBSTITUTE(SUBSTITUTE(LOWER(TRIM(C879)),"á","a"),"é","e"),"í","i"),"ó","o"),"ú","u"),"ü","u"),"ñ","n"),"à","a"),"è","e"),"ì","i"),"ò","o"),"ù","u"),"")</f>
        <v/>
      </c>
      <c r="Q879" s="25">
        <f>IF(AND(L879=1,E879&lt;&gt;""),SUBSTITUTE(SUBSTITUTE(SUBSTITUTE(SUBSTITUTE(SUBSTITUTE(SUBSTITUTE(SUBSTITUTE(SUBSTITUTE(SUBSTITUTE(SUBSTITUTE(SUBSTITUTE(SUBSTITUTE(LOWER(TRIM(E879)),"á","a"),"é","e"),"í","i"),"ó","o"),"ú","u"),"ü","u"),"ñ","n"),"à","a"),"è","e"),"ì","i"),"ò","o"),"ù","u"),"")</f>
        <v/>
      </c>
      <c r="R879" s="25">
        <f>IF(AND(L879=1,I879&lt;&gt;""),SUBSTITUTE(SUBSTITUTE(SUBSTITUTE(SUBSTITUTE(SUBSTITUTE(SUBSTITUTE(SUBSTITUTE(SUBSTITUTE(SUBSTITUTE(SUBSTITUTE(SUBSTITUTE(SUBSTITUTE(LOWER(TRIM(I879)),"á","a"),"é","e"),"í","i"),"ó","o"),"ú","u"),"ü","u"),"ñ","n"),"à","a"),"è","e"),"ì","i"),"ò","o"),"ù","u"),"")</f>
        <v/>
      </c>
      <c r="S879" s="25">
        <f>IF(R879="","",IF(OR(R879="si",R879="tal vez"),1,0))</f>
        <v/>
      </c>
      <c r="T879" s="25">
        <f>IF(AND(L879=1,D879&lt;&gt;""),IF(IFERROR(COUNTIFS(D$3:D879,"="&amp;SUBSTITUTE(SUBSTITUTE(SUBSTITUTE(D879,"~","~~"),"*","~*"),"?","~?"),L$3:L879,1),0)=1,MAX(T$2:T878)+1,""),"")</f>
        <v/>
      </c>
      <c r="U879" s="25">
        <f>IF(T879="","",COUNTIFS($D$3:$D$1002,"="&amp;SUBSTITUTE(SUBSTITUTE(SUBSTITUTE(D879,"~","~~"),"*","~*"),"?","~?"),$L$3:$L$1002,1)*10000-T879)</f>
        <v/>
      </c>
      <c r="V879" s="25">
        <f>IF(AND(L879=1,J879&lt;&gt;""),IF(IFERROR(COUNTIFS(J$3:J879,"="&amp;SUBSTITUTE(SUBSTITUTE(SUBSTITUTE(J879,"~","~~"),"*","~*"),"?","~?"),L$3:L879,1),0)=1,MAX(V$2:V878)+1,""),"")</f>
        <v/>
      </c>
      <c r="W879" s="25">
        <f>IF(V879="","",COUNTIFS($J$3:$J$1002,"="&amp;SUBSTITUTE(SUBSTITUTE(SUBSTITUTE(J879,"~","~~"),"*","~*"),"?","~?"),$L$3:$L$1002,1)*10000-V879)</f>
        <v/>
      </c>
    </row>
    <row r="880">
      <c r="A880">
        <f>IF(A$2=0,"",IFERROR(TRIM(INDEX('Pegar estudiantes'!$A$1:$BZ$1001,879,A$2)&amp;""),""))</f>
        <v/>
      </c>
      <c r="B880">
        <f>IF(B$2=0,"",IFERROR(TRIM(INDEX('Pegar estudiantes'!$A$1:$BZ$1001,879,B$2)&amp;""),""))</f>
        <v/>
      </c>
      <c r="C880">
        <f>IF(C$2=0,"",IFERROR(TRIM(INDEX('Pegar estudiantes'!$A$1:$BZ$1001,879,C$2)&amp;""),""))</f>
        <v/>
      </c>
      <c r="D880">
        <f>IF(D$2=0,"",IFERROR(TRIM(INDEX('Pegar estudiantes'!$A$1:$BZ$1001,879,D$2)&amp;""),""))</f>
        <v/>
      </c>
      <c r="E880">
        <f>IF(E$2=0,"",IFERROR(TRIM(INDEX('Pegar estudiantes'!$A$1:$BZ$1001,879,E$2)&amp;""),""))</f>
        <v/>
      </c>
      <c r="F880">
        <f>IF(F$2=0,"",IFERROR(TRIM(INDEX('Pegar estudiantes'!$A$1:$BZ$1001,879,F$2)&amp;""),""))</f>
        <v/>
      </c>
      <c r="G880">
        <f>IF(G$2=0,"",IFERROR(TRIM(INDEX('Pegar estudiantes'!$A$1:$BZ$1001,879,G$2)&amp;""),""))</f>
        <v/>
      </c>
      <c r="H880">
        <f>IF(H$2=0,"",IFERROR(TRIM(INDEX('Pegar estudiantes'!$A$1:$BZ$1001,879,H$2)&amp;""),""))</f>
        <v/>
      </c>
      <c r="I880">
        <f>IF(I$2=0,"",IFERROR(TRIM(INDEX('Pegar estudiantes'!$A$1:$BZ$1001,879,I$2)&amp;""),""))</f>
        <v/>
      </c>
      <c r="J880">
        <f>IF(J$2=0,"",IFERROR(TRIM(INDEX('Pegar estudiantes'!$A$1:$BZ$1001,879,J$2)&amp;""),""))</f>
        <v/>
      </c>
      <c r="K880">
        <f>IF(K$2=0,"",IFERROR(TRIM(INDEX('Pegar estudiantes'!$A$1:$BZ$1001,879,K$2)&amp;""),""))</f>
        <v/>
      </c>
      <c r="L880" s="25">
        <f>IF(A880&lt;&gt;"",1,"")</f>
        <v/>
      </c>
      <c r="M880" s="25">
        <f>IF(L880=1,IF(ISNUMBER(FIND("#"&amp;MID(A880,1,1)&amp;"#","#0#1#2#3#4#5#6#7#8#9#")),IF(ISNUMBER(FIND("#"&amp;MID(A880,2,1)&amp;"#","#0#1#2#3#4#5#6#7#8#9#")),IF(AND(VALUE(LEFT(A880,2))&gt;=1,VALUE(LEFT(A880,2))&lt;=5),VALUE(LEFT(A880,2)),""),IF(AND(VALUE(LEFT(A880,1))&gt;=1,VALUE(LEFT(A880,1))&lt;=5),VALUE(LEFT(A880,1)),"")),""),"")</f>
        <v/>
      </c>
      <c r="N880" s="25">
        <f>IF(L880=1,IF(ISNUMBER(FIND("#"&amp;MID(H880,1,1)&amp;"#","#0#1#2#3#4#5#6#7#8#9#")),IF(ISNUMBER(FIND("#"&amp;MID(H880,2,1)&amp;"#","#0#1#2#3#4#5#6#7#8#9#")),IF(AND(VALUE(LEFT(H880,2))&gt;=1,VALUE(LEFT(H880,2))&lt;=5),VALUE(LEFT(H880,2)),""),IF(AND(VALUE(LEFT(H880,1))&gt;=1,VALUE(LEFT(H880,1))&lt;=5),VALUE(LEFT(H880,1)),"")),""),"")</f>
        <v/>
      </c>
      <c r="O880" s="25">
        <f>IF(AND(L880=1,B880&lt;&gt;""),SUBSTITUTE(SUBSTITUTE(SUBSTITUTE(SUBSTITUTE(SUBSTITUTE(SUBSTITUTE(SUBSTITUTE(SUBSTITUTE(SUBSTITUTE(SUBSTITUTE(SUBSTITUTE(SUBSTITUTE(LOWER(TRIM(B880)),"á","a"),"é","e"),"í","i"),"ó","o"),"ú","u"),"ü","u"),"ñ","n"),"à","a"),"è","e"),"ì","i"),"ò","o"),"ù","u"),"")</f>
        <v/>
      </c>
      <c r="P880" s="25">
        <f>IF(AND(L880=1,C880&lt;&gt;""),SUBSTITUTE(SUBSTITUTE(SUBSTITUTE(SUBSTITUTE(SUBSTITUTE(SUBSTITUTE(SUBSTITUTE(SUBSTITUTE(SUBSTITUTE(SUBSTITUTE(SUBSTITUTE(SUBSTITUTE(LOWER(TRIM(C880)),"á","a"),"é","e"),"í","i"),"ó","o"),"ú","u"),"ü","u"),"ñ","n"),"à","a"),"è","e"),"ì","i"),"ò","o"),"ù","u"),"")</f>
        <v/>
      </c>
      <c r="Q880" s="25">
        <f>IF(AND(L880=1,E880&lt;&gt;""),SUBSTITUTE(SUBSTITUTE(SUBSTITUTE(SUBSTITUTE(SUBSTITUTE(SUBSTITUTE(SUBSTITUTE(SUBSTITUTE(SUBSTITUTE(SUBSTITUTE(SUBSTITUTE(SUBSTITUTE(LOWER(TRIM(E880)),"á","a"),"é","e"),"í","i"),"ó","o"),"ú","u"),"ü","u"),"ñ","n"),"à","a"),"è","e"),"ì","i"),"ò","o"),"ù","u"),"")</f>
        <v/>
      </c>
      <c r="R880" s="25">
        <f>IF(AND(L880=1,I880&lt;&gt;""),SUBSTITUTE(SUBSTITUTE(SUBSTITUTE(SUBSTITUTE(SUBSTITUTE(SUBSTITUTE(SUBSTITUTE(SUBSTITUTE(SUBSTITUTE(SUBSTITUTE(SUBSTITUTE(SUBSTITUTE(LOWER(TRIM(I880)),"á","a"),"é","e"),"í","i"),"ó","o"),"ú","u"),"ü","u"),"ñ","n"),"à","a"),"è","e"),"ì","i"),"ò","o"),"ù","u"),"")</f>
        <v/>
      </c>
      <c r="S880" s="25">
        <f>IF(R880="","",IF(OR(R880="si",R880="tal vez"),1,0))</f>
        <v/>
      </c>
      <c r="T880" s="25">
        <f>IF(AND(L880=1,D880&lt;&gt;""),IF(IFERROR(COUNTIFS(D$3:D880,"="&amp;SUBSTITUTE(SUBSTITUTE(SUBSTITUTE(D880,"~","~~"),"*","~*"),"?","~?"),L$3:L880,1),0)=1,MAX(T$2:T879)+1,""),"")</f>
        <v/>
      </c>
      <c r="U880" s="25">
        <f>IF(T880="","",COUNTIFS($D$3:$D$1002,"="&amp;SUBSTITUTE(SUBSTITUTE(SUBSTITUTE(D880,"~","~~"),"*","~*"),"?","~?"),$L$3:$L$1002,1)*10000-T880)</f>
        <v/>
      </c>
      <c r="V880" s="25">
        <f>IF(AND(L880=1,J880&lt;&gt;""),IF(IFERROR(COUNTIFS(J$3:J880,"="&amp;SUBSTITUTE(SUBSTITUTE(SUBSTITUTE(J880,"~","~~"),"*","~*"),"?","~?"),L$3:L880,1),0)=1,MAX(V$2:V879)+1,""),"")</f>
        <v/>
      </c>
      <c r="W880" s="25">
        <f>IF(V880="","",COUNTIFS($J$3:$J$1002,"="&amp;SUBSTITUTE(SUBSTITUTE(SUBSTITUTE(J880,"~","~~"),"*","~*"),"?","~?"),$L$3:$L$1002,1)*10000-V880)</f>
        <v/>
      </c>
    </row>
    <row r="881">
      <c r="A881">
        <f>IF(A$2=0,"",IFERROR(TRIM(INDEX('Pegar estudiantes'!$A$1:$BZ$1001,880,A$2)&amp;""),""))</f>
        <v/>
      </c>
      <c r="B881">
        <f>IF(B$2=0,"",IFERROR(TRIM(INDEX('Pegar estudiantes'!$A$1:$BZ$1001,880,B$2)&amp;""),""))</f>
        <v/>
      </c>
      <c r="C881">
        <f>IF(C$2=0,"",IFERROR(TRIM(INDEX('Pegar estudiantes'!$A$1:$BZ$1001,880,C$2)&amp;""),""))</f>
        <v/>
      </c>
      <c r="D881">
        <f>IF(D$2=0,"",IFERROR(TRIM(INDEX('Pegar estudiantes'!$A$1:$BZ$1001,880,D$2)&amp;""),""))</f>
        <v/>
      </c>
      <c r="E881">
        <f>IF(E$2=0,"",IFERROR(TRIM(INDEX('Pegar estudiantes'!$A$1:$BZ$1001,880,E$2)&amp;""),""))</f>
        <v/>
      </c>
      <c r="F881">
        <f>IF(F$2=0,"",IFERROR(TRIM(INDEX('Pegar estudiantes'!$A$1:$BZ$1001,880,F$2)&amp;""),""))</f>
        <v/>
      </c>
      <c r="G881">
        <f>IF(G$2=0,"",IFERROR(TRIM(INDEX('Pegar estudiantes'!$A$1:$BZ$1001,880,G$2)&amp;""),""))</f>
        <v/>
      </c>
      <c r="H881">
        <f>IF(H$2=0,"",IFERROR(TRIM(INDEX('Pegar estudiantes'!$A$1:$BZ$1001,880,H$2)&amp;""),""))</f>
        <v/>
      </c>
      <c r="I881">
        <f>IF(I$2=0,"",IFERROR(TRIM(INDEX('Pegar estudiantes'!$A$1:$BZ$1001,880,I$2)&amp;""),""))</f>
        <v/>
      </c>
      <c r="J881">
        <f>IF(J$2=0,"",IFERROR(TRIM(INDEX('Pegar estudiantes'!$A$1:$BZ$1001,880,J$2)&amp;""),""))</f>
        <v/>
      </c>
      <c r="K881">
        <f>IF(K$2=0,"",IFERROR(TRIM(INDEX('Pegar estudiantes'!$A$1:$BZ$1001,880,K$2)&amp;""),""))</f>
        <v/>
      </c>
      <c r="L881" s="25">
        <f>IF(A881&lt;&gt;"",1,"")</f>
        <v/>
      </c>
      <c r="M881" s="25">
        <f>IF(L881=1,IF(ISNUMBER(FIND("#"&amp;MID(A881,1,1)&amp;"#","#0#1#2#3#4#5#6#7#8#9#")),IF(ISNUMBER(FIND("#"&amp;MID(A881,2,1)&amp;"#","#0#1#2#3#4#5#6#7#8#9#")),IF(AND(VALUE(LEFT(A881,2))&gt;=1,VALUE(LEFT(A881,2))&lt;=5),VALUE(LEFT(A881,2)),""),IF(AND(VALUE(LEFT(A881,1))&gt;=1,VALUE(LEFT(A881,1))&lt;=5),VALUE(LEFT(A881,1)),"")),""),"")</f>
        <v/>
      </c>
      <c r="N881" s="25">
        <f>IF(L881=1,IF(ISNUMBER(FIND("#"&amp;MID(H881,1,1)&amp;"#","#0#1#2#3#4#5#6#7#8#9#")),IF(ISNUMBER(FIND("#"&amp;MID(H881,2,1)&amp;"#","#0#1#2#3#4#5#6#7#8#9#")),IF(AND(VALUE(LEFT(H881,2))&gt;=1,VALUE(LEFT(H881,2))&lt;=5),VALUE(LEFT(H881,2)),""),IF(AND(VALUE(LEFT(H881,1))&gt;=1,VALUE(LEFT(H881,1))&lt;=5),VALUE(LEFT(H881,1)),"")),""),"")</f>
        <v/>
      </c>
      <c r="O881" s="25">
        <f>IF(AND(L881=1,B881&lt;&gt;""),SUBSTITUTE(SUBSTITUTE(SUBSTITUTE(SUBSTITUTE(SUBSTITUTE(SUBSTITUTE(SUBSTITUTE(SUBSTITUTE(SUBSTITUTE(SUBSTITUTE(SUBSTITUTE(SUBSTITUTE(LOWER(TRIM(B881)),"á","a"),"é","e"),"í","i"),"ó","o"),"ú","u"),"ü","u"),"ñ","n"),"à","a"),"è","e"),"ì","i"),"ò","o"),"ù","u"),"")</f>
        <v/>
      </c>
      <c r="P881" s="25">
        <f>IF(AND(L881=1,C881&lt;&gt;""),SUBSTITUTE(SUBSTITUTE(SUBSTITUTE(SUBSTITUTE(SUBSTITUTE(SUBSTITUTE(SUBSTITUTE(SUBSTITUTE(SUBSTITUTE(SUBSTITUTE(SUBSTITUTE(SUBSTITUTE(LOWER(TRIM(C881)),"á","a"),"é","e"),"í","i"),"ó","o"),"ú","u"),"ü","u"),"ñ","n"),"à","a"),"è","e"),"ì","i"),"ò","o"),"ù","u"),"")</f>
        <v/>
      </c>
      <c r="Q881" s="25">
        <f>IF(AND(L881=1,E881&lt;&gt;""),SUBSTITUTE(SUBSTITUTE(SUBSTITUTE(SUBSTITUTE(SUBSTITUTE(SUBSTITUTE(SUBSTITUTE(SUBSTITUTE(SUBSTITUTE(SUBSTITUTE(SUBSTITUTE(SUBSTITUTE(LOWER(TRIM(E881)),"á","a"),"é","e"),"í","i"),"ó","o"),"ú","u"),"ü","u"),"ñ","n"),"à","a"),"è","e"),"ì","i"),"ò","o"),"ù","u"),"")</f>
        <v/>
      </c>
      <c r="R881" s="25">
        <f>IF(AND(L881=1,I881&lt;&gt;""),SUBSTITUTE(SUBSTITUTE(SUBSTITUTE(SUBSTITUTE(SUBSTITUTE(SUBSTITUTE(SUBSTITUTE(SUBSTITUTE(SUBSTITUTE(SUBSTITUTE(SUBSTITUTE(SUBSTITUTE(LOWER(TRIM(I881)),"á","a"),"é","e"),"í","i"),"ó","o"),"ú","u"),"ü","u"),"ñ","n"),"à","a"),"è","e"),"ì","i"),"ò","o"),"ù","u"),"")</f>
        <v/>
      </c>
      <c r="S881" s="25">
        <f>IF(R881="","",IF(OR(R881="si",R881="tal vez"),1,0))</f>
        <v/>
      </c>
      <c r="T881" s="25">
        <f>IF(AND(L881=1,D881&lt;&gt;""),IF(IFERROR(COUNTIFS(D$3:D881,"="&amp;SUBSTITUTE(SUBSTITUTE(SUBSTITUTE(D881,"~","~~"),"*","~*"),"?","~?"),L$3:L881,1),0)=1,MAX(T$2:T880)+1,""),"")</f>
        <v/>
      </c>
      <c r="U881" s="25">
        <f>IF(T881="","",COUNTIFS($D$3:$D$1002,"="&amp;SUBSTITUTE(SUBSTITUTE(SUBSTITUTE(D881,"~","~~"),"*","~*"),"?","~?"),$L$3:$L$1002,1)*10000-T881)</f>
        <v/>
      </c>
      <c r="V881" s="25">
        <f>IF(AND(L881=1,J881&lt;&gt;""),IF(IFERROR(COUNTIFS(J$3:J881,"="&amp;SUBSTITUTE(SUBSTITUTE(SUBSTITUTE(J881,"~","~~"),"*","~*"),"?","~?"),L$3:L881,1),0)=1,MAX(V$2:V880)+1,""),"")</f>
        <v/>
      </c>
      <c r="W881" s="25">
        <f>IF(V881="","",COUNTIFS($J$3:$J$1002,"="&amp;SUBSTITUTE(SUBSTITUTE(SUBSTITUTE(J881,"~","~~"),"*","~*"),"?","~?"),$L$3:$L$1002,1)*10000-V881)</f>
        <v/>
      </c>
    </row>
    <row r="882">
      <c r="A882">
        <f>IF(A$2=0,"",IFERROR(TRIM(INDEX('Pegar estudiantes'!$A$1:$BZ$1001,881,A$2)&amp;""),""))</f>
        <v/>
      </c>
      <c r="B882">
        <f>IF(B$2=0,"",IFERROR(TRIM(INDEX('Pegar estudiantes'!$A$1:$BZ$1001,881,B$2)&amp;""),""))</f>
        <v/>
      </c>
      <c r="C882">
        <f>IF(C$2=0,"",IFERROR(TRIM(INDEX('Pegar estudiantes'!$A$1:$BZ$1001,881,C$2)&amp;""),""))</f>
        <v/>
      </c>
      <c r="D882">
        <f>IF(D$2=0,"",IFERROR(TRIM(INDEX('Pegar estudiantes'!$A$1:$BZ$1001,881,D$2)&amp;""),""))</f>
        <v/>
      </c>
      <c r="E882">
        <f>IF(E$2=0,"",IFERROR(TRIM(INDEX('Pegar estudiantes'!$A$1:$BZ$1001,881,E$2)&amp;""),""))</f>
        <v/>
      </c>
      <c r="F882">
        <f>IF(F$2=0,"",IFERROR(TRIM(INDEX('Pegar estudiantes'!$A$1:$BZ$1001,881,F$2)&amp;""),""))</f>
        <v/>
      </c>
      <c r="G882">
        <f>IF(G$2=0,"",IFERROR(TRIM(INDEX('Pegar estudiantes'!$A$1:$BZ$1001,881,G$2)&amp;""),""))</f>
        <v/>
      </c>
      <c r="H882">
        <f>IF(H$2=0,"",IFERROR(TRIM(INDEX('Pegar estudiantes'!$A$1:$BZ$1001,881,H$2)&amp;""),""))</f>
        <v/>
      </c>
      <c r="I882">
        <f>IF(I$2=0,"",IFERROR(TRIM(INDEX('Pegar estudiantes'!$A$1:$BZ$1001,881,I$2)&amp;""),""))</f>
        <v/>
      </c>
      <c r="J882">
        <f>IF(J$2=0,"",IFERROR(TRIM(INDEX('Pegar estudiantes'!$A$1:$BZ$1001,881,J$2)&amp;""),""))</f>
        <v/>
      </c>
      <c r="K882">
        <f>IF(K$2=0,"",IFERROR(TRIM(INDEX('Pegar estudiantes'!$A$1:$BZ$1001,881,K$2)&amp;""),""))</f>
        <v/>
      </c>
      <c r="L882" s="25">
        <f>IF(A882&lt;&gt;"",1,"")</f>
        <v/>
      </c>
      <c r="M882" s="25">
        <f>IF(L882=1,IF(ISNUMBER(FIND("#"&amp;MID(A882,1,1)&amp;"#","#0#1#2#3#4#5#6#7#8#9#")),IF(ISNUMBER(FIND("#"&amp;MID(A882,2,1)&amp;"#","#0#1#2#3#4#5#6#7#8#9#")),IF(AND(VALUE(LEFT(A882,2))&gt;=1,VALUE(LEFT(A882,2))&lt;=5),VALUE(LEFT(A882,2)),""),IF(AND(VALUE(LEFT(A882,1))&gt;=1,VALUE(LEFT(A882,1))&lt;=5),VALUE(LEFT(A882,1)),"")),""),"")</f>
        <v/>
      </c>
      <c r="N882" s="25">
        <f>IF(L882=1,IF(ISNUMBER(FIND("#"&amp;MID(H882,1,1)&amp;"#","#0#1#2#3#4#5#6#7#8#9#")),IF(ISNUMBER(FIND("#"&amp;MID(H882,2,1)&amp;"#","#0#1#2#3#4#5#6#7#8#9#")),IF(AND(VALUE(LEFT(H882,2))&gt;=1,VALUE(LEFT(H882,2))&lt;=5),VALUE(LEFT(H882,2)),""),IF(AND(VALUE(LEFT(H882,1))&gt;=1,VALUE(LEFT(H882,1))&lt;=5),VALUE(LEFT(H882,1)),"")),""),"")</f>
        <v/>
      </c>
      <c r="O882" s="25">
        <f>IF(AND(L882=1,B882&lt;&gt;""),SUBSTITUTE(SUBSTITUTE(SUBSTITUTE(SUBSTITUTE(SUBSTITUTE(SUBSTITUTE(SUBSTITUTE(SUBSTITUTE(SUBSTITUTE(SUBSTITUTE(SUBSTITUTE(SUBSTITUTE(LOWER(TRIM(B882)),"á","a"),"é","e"),"í","i"),"ó","o"),"ú","u"),"ü","u"),"ñ","n"),"à","a"),"è","e"),"ì","i"),"ò","o"),"ù","u"),"")</f>
        <v/>
      </c>
      <c r="P882" s="25">
        <f>IF(AND(L882=1,C882&lt;&gt;""),SUBSTITUTE(SUBSTITUTE(SUBSTITUTE(SUBSTITUTE(SUBSTITUTE(SUBSTITUTE(SUBSTITUTE(SUBSTITUTE(SUBSTITUTE(SUBSTITUTE(SUBSTITUTE(SUBSTITUTE(LOWER(TRIM(C882)),"á","a"),"é","e"),"í","i"),"ó","o"),"ú","u"),"ü","u"),"ñ","n"),"à","a"),"è","e"),"ì","i"),"ò","o"),"ù","u"),"")</f>
        <v/>
      </c>
      <c r="Q882" s="25">
        <f>IF(AND(L882=1,E882&lt;&gt;""),SUBSTITUTE(SUBSTITUTE(SUBSTITUTE(SUBSTITUTE(SUBSTITUTE(SUBSTITUTE(SUBSTITUTE(SUBSTITUTE(SUBSTITUTE(SUBSTITUTE(SUBSTITUTE(SUBSTITUTE(LOWER(TRIM(E882)),"á","a"),"é","e"),"í","i"),"ó","o"),"ú","u"),"ü","u"),"ñ","n"),"à","a"),"è","e"),"ì","i"),"ò","o"),"ù","u"),"")</f>
        <v/>
      </c>
      <c r="R882" s="25">
        <f>IF(AND(L882=1,I882&lt;&gt;""),SUBSTITUTE(SUBSTITUTE(SUBSTITUTE(SUBSTITUTE(SUBSTITUTE(SUBSTITUTE(SUBSTITUTE(SUBSTITUTE(SUBSTITUTE(SUBSTITUTE(SUBSTITUTE(SUBSTITUTE(LOWER(TRIM(I882)),"á","a"),"é","e"),"í","i"),"ó","o"),"ú","u"),"ü","u"),"ñ","n"),"à","a"),"è","e"),"ì","i"),"ò","o"),"ù","u"),"")</f>
        <v/>
      </c>
      <c r="S882" s="25">
        <f>IF(R882="","",IF(OR(R882="si",R882="tal vez"),1,0))</f>
        <v/>
      </c>
      <c r="T882" s="25">
        <f>IF(AND(L882=1,D882&lt;&gt;""),IF(IFERROR(COUNTIFS(D$3:D882,"="&amp;SUBSTITUTE(SUBSTITUTE(SUBSTITUTE(D882,"~","~~"),"*","~*"),"?","~?"),L$3:L882,1),0)=1,MAX(T$2:T881)+1,""),"")</f>
        <v/>
      </c>
      <c r="U882" s="25">
        <f>IF(T882="","",COUNTIFS($D$3:$D$1002,"="&amp;SUBSTITUTE(SUBSTITUTE(SUBSTITUTE(D882,"~","~~"),"*","~*"),"?","~?"),$L$3:$L$1002,1)*10000-T882)</f>
        <v/>
      </c>
      <c r="V882" s="25">
        <f>IF(AND(L882=1,J882&lt;&gt;""),IF(IFERROR(COUNTIFS(J$3:J882,"="&amp;SUBSTITUTE(SUBSTITUTE(SUBSTITUTE(J882,"~","~~"),"*","~*"),"?","~?"),L$3:L882,1),0)=1,MAX(V$2:V881)+1,""),"")</f>
        <v/>
      </c>
      <c r="W882" s="25">
        <f>IF(V882="","",COUNTIFS($J$3:$J$1002,"="&amp;SUBSTITUTE(SUBSTITUTE(SUBSTITUTE(J882,"~","~~"),"*","~*"),"?","~?"),$L$3:$L$1002,1)*10000-V882)</f>
        <v/>
      </c>
    </row>
    <row r="883">
      <c r="A883">
        <f>IF(A$2=0,"",IFERROR(TRIM(INDEX('Pegar estudiantes'!$A$1:$BZ$1001,882,A$2)&amp;""),""))</f>
        <v/>
      </c>
      <c r="B883">
        <f>IF(B$2=0,"",IFERROR(TRIM(INDEX('Pegar estudiantes'!$A$1:$BZ$1001,882,B$2)&amp;""),""))</f>
        <v/>
      </c>
      <c r="C883">
        <f>IF(C$2=0,"",IFERROR(TRIM(INDEX('Pegar estudiantes'!$A$1:$BZ$1001,882,C$2)&amp;""),""))</f>
        <v/>
      </c>
      <c r="D883">
        <f>IF(D$2=0,"",IFERROR(TRIM(INDEX('Pegar estudiantes'!$A$1:$BZ$1001,882,D$2)&amp;""),""))</f>
        <v/>
      </c>
      <c r="E883">
        <f>IF(E$2=0,"",IFERROR(TRIM(INDEX('Pegar estudiantes'!$A$1:$BZ$1001,882,E$2)&amp;""),""))</f>
        <v/>
      </c>
      <c r="F883">
        <f>IF(F$2=0,"",IFERROR(TRIM(INDEX('Pegar estudiantes'!$A$1:$BZ$1001,882,F$2)&amp;""),""))</f>
        <v/>
      </c>
      <c r="G883">
        <f>IF(G$2=0,"",IFERROR(TRIM(INDEX('Pegar estudiantes'!$A$1:$BZ$1001,882,G$2)&amp;""),""))</f>
        <v/>
      </c>
      <c r="H883">
        <f>IF(H$2=0,"",IFERROR(TRIM(INDEX('Pegar estudiantes'!$A$1:$BZ$1001,882,H$2)&amp;""),""))</f>
        <v/>
      </c>
      <c r="I883">
        <f>IF(I$2=0,"",IFERROR(TRIM(INDEX('Pegar estudiantes'!$A$1:$BZ$1001,882,I$2)&amp;""),""))</f>
        <v/>
      </c>
      <c r="J883">
        <f>IF(J$2=0,"",IFERROR(TRIM(INDEX('Pegar estudiantes'!$A$1:$BZ$1001,882,J$2)&amp;""),""))</f>
        <v/>
      </c>
      <c r="K883">
        <f>IF(K$2=0,"",IFERROR(TRIM(INDEX('Pegar estudiantes'!$A$1:$BZ$1001,882,K$2)&amp;""),""))</f>
        <v/>
      </c>
      <c r="L883" s="25">
        <f>IF(A883&lt;&gt;"",1,"")</f>
        <v/>
      </c>
      <c r="M883" s="25">
        <f>IF(L883=1,IF(ISNUMBER(FIND("#"&amp;MID(A883,1,1)&amp;"#","#0#1#2#3#4#5#6#7#8#9#")),IF(ISNUMBER(FIND("#"&amp;MID(A883,2,1)&amp;"#","#0#1#2#3#4#5#6#7#8#9#")),IF(AND(VALUE(LEFT(A883,2))&gt;=1,VALUE(LEFT(A883,2))&lt;=5),VALUE(LEFT(A883,2)),""),IF(AND(VALUE(LEFT(A883,1))&gt;=1,VALUE(LEFT(A883,1))&lt;=5),VALUE(LEFT(A883,1)),"")),""),"")</f>
        <v/>
      </c>
      <c r="N883" s="25">
        <f>IF(L883=1,IF(ISNUMBER(FIND("#"&amp;MID(H883,1,1)&amp;"#","#0#1#2#3#4#5#6#7#8#9#")),IF(ISNUMBER(FIND("#"&amp;MID(H883,2,1)&amp;"#","#0#1#2#3#4#5#6#7#8#9#")),IF(AND(VALUE(LEFT(H883,2))&gt;=1,VALUE(LEFT(H883,2))&lt;=5),VALUE(LEFT(H883,2)),""),IF(AND(VALUE(LEFT(H883,1))&gt;=1,VALUE(LEFT(H883,1))&lt;=5),VALUE(LEFT(H883,1)),"")),""),"")</f>
        <v/>
      </c>
      <c r="O883" s="25">
        <f>IF(AND(L883=1,B883&lt;&gt;""),SUBSTITUTE(SUBSTITUTE(SUBSTITUTE(SUBSTITUTE(SUBSTITUTE(SUBSTITUTE(SUBSTITUTE(SUBSTITUTE(SUBSTITUTE(SUBSTITUTE(SUBSTITUTE(SUBSTITUTE(LOWER(TRIM(B883)),"á","a"),"é","e"),"í","i"),"ó","o"),"ú","u"),"ü","u"),"ñ","n"),"à","a"),"è","e"),"ì","i"),"ò","o"),"ù","u"),"")</f>
        <v/>
      </c>
      <c r="P883" s="25">
        <f>IF(AND(L883=1,C883&lt;&gt;""),SUBSTITUTE(SUBSTITUTE(SUBSTITUTE(SUBSTITUTE(SUBSTITUTE(SUBSTITUTE(SUBSTITUTE(SUBSTITUTE(SUBSTITUTE(SUBSTITUTE(SUBSTITUTE(SUBSTITUTE(LOWER(TRIM(C883)),"á","a"),"é","e"),"í","i"),"ó","o"),"ú","u"),"ü","u"),"ñ","n"),"à","a"),"è","e"),"ì","i"),"ò","o"),"ù","u"),"")</f>
        <v/>
      </c>
      <c r="Q883" s="25">
        <f>IF(AND(L883=1,E883&lt;&gt;""),SUBSTITUTE(SUBSTITUTE(SUBSTITUTE(SUBSTITUTE(SUBSTITUTE(SUBSTITUTE(SUBSTITUTE(SUBSTITUTE(SUBSTITUTE(SUBSTITUTE(SUBSTITUTE(SUBSTITUTE(LOWER(TRIM(E883)),"á","a"),"é","e"),"í","i"),"ó","o"),"ú","u"),"ü","u"),"ñ","n"),"à","a"),"è","e"),"ì","i"),"ò","o"),"ù","u"),"")</f>
        <v/>
      </c>
      <c r="R883" s="25">
        <f>IF(AND(L883=1,I883&lt;&gt;""),SUBSTITUTE(SUBSTITUTE(SUBSTITUTE(SUBSTITUTE(SUBSTITUTE(SUBSTITUTE(SUBSTITUTE(SUBSTITUTE(SUBSTITUTE(SUBSTITUTE(SUBSTITUTE(SUBSTITUTE(LOWER(TRIM(I883)),"á","a"),"é","e"),"í","i"),"ó","o"),"ú","u"),"ü","u"),"ñ","n"),"à","a"),"è","e"),"ì","i"),"ò","o"),"ù","u"),"")</f>
        <v/>
      </c>
      <c r="S883" s="25">
        <f>IF(R883="","",IF(OR(R883="si",R883="tal vez"),1,0))</f>
        <v/>
      </c>
      <c r="T883" s="25">
        <f>IF(AND(L883=1,D883&lt;&gt;""),IF(IFERROR(COUNTIFS(D$3:D883,"="&amp;SUBSTITUTE(SUBSTITUTE(SUBSTITUTE(D883,"~","~~"),"*","~*"),"?","~?"),L$3:L883,1),0)=1,MAX(T$2:T882)+1,""),"")</f>
        <v/>
      </c>
      <c r="U883" s="25">
        <f>IF(T883="","",COUNTIFS($D$3:$D$1002,"="&amp;SUBSTITUTE(SUBSTITUTE(SUBSTITUTE(D883,"~","~~"),"*","~*"),"?","~?"),$L$3:$L$1002,1)*10000-T883)</f>
        <v/>
      </c>
      <c r="V883" s="25">
        <f>IF(AND(L883=1,J883&lt;&gt;""),IF(IFERROR(COUNTIFS(J$3:J883,"="&amp;SUBSTITUTE(SUBSTITUTE(SUBSTITUTE(J883,"~","~~"),"*","~*"),"?","~?"),L$3:L883,1),0)=1,MAX(V$2:V882)+1,""),"")</f>
        <v/>
      </c>
      <c r="W883" s="25">
        <f>IF(V883="","",COUNTIFS($J$3:$J$1002,"="&amp;SUBSTITUTE(SUBSTITUTE(SUBSTITUTE(J883,"~","~~"),"*","~*"),"?","~?"),$L$3:$L$1002,1)*10000-V883)</f>
        <v/>
      </c>
    </row>
    <row r="884">
      <c r="A884">
        <f>IF(A$2=0,"",IFERROR(TRIM(INDEX('Pegar estudiantes'!$A$1:$BZ$1001,883,A$2)&amp;""),""))</f>
        <v/>
      </c>
      <c r="B884">
        <f>IF(B$2=0,"",IFERROR(TRIM(INDEX('Pegar estudiantes'!$A$1:$BZ$1001,883,B$2)&amp;""),""))</f>
        <v/>
      </c>
      <c r="C884">
        <f>IF(C$2=0,"",IFERROR(TRIM(INDEX('Pegar estudiantes'!$A$1:$BZ$1001,883,C$2)&amp;""),""))</f>
        <v/>
      </c>
      <c r="D884">
        <f>IF(D$2=0,"",IFERROR(TRIM(INDEX('Pegar estudiantes'!$A$1:$BZ$1001,883,D$2)&amp;""),""))</f>
        <v/>
      </c>
      <c r="E884">
        <f>IF(E$2=0,"",IFERROR(TRIM(INDEX('Pegar estudiantes'!$A$1:$BZ$1001,883,E$2)&amp;""),""))</f>
        <v/>
      </c>
      <c r="F884">
        <f>IF(F$2=0,"",IFERROR(TRIM(INDEX('Pegar estudiantes'!$A$1:$BZ$1001,883,F$2)&amp;""),""))</f>
        <v/>
      </c>
      <c r="G884">
        <f>IF(G$2=0,"",IFERROR(TRIM(INDEX('Pegar estudiantes'!$A$1:$BZ$1001,883,G$2)&amp;""),""))</f>
        <v/>
      </c>
      <c r="H884">
        <f>IF(H$2=0,"",IFERROR(TRIM(INDEX('Pegar estudiantes'!$A$1:$BZ$1001,883,H$2)&amp;""),""))</f>
        <v/>
      </c>
      <c r="I884">
        <f>IF(I$2=0,"",IFERROR(TRIM(INDEX('Pegar estudiantes'!$A$1:$BZ$1001,883,I$2)&amp;""),""))</f>
        <v/>
      </c>
      <c r="J884">
        <f>IF(J$2=0,"",IFERROR(TRIM(INDEX('Pegar estudiantes'!$A$1:$BZ$1001,883,J$2)&amp;""),""))</f>
        <v/>
      </c>
      <c r="K884">
        <f>IF(K$2=0,"",IFERROR(TRIM(INDEX('Pegar estudiantes'!$A$1:$BZ$1001,883,K$2)&amp;""),""))</f>
        <v/>
      </c>
      <c r="L884" s="25">
        <f>IF(A884&lt;&gt;"",1,"")</f>
        <v/>
      </c>
      <c r="M884" s="25">
        <f>IF(L884=1,IF(ISNUMBER(FIND("#"&amp;MID(A884,1,1)&amp;"#","#0#1#2#3#4#5#6#7#8#9#")),IF(ISNUMBER(FIND("#"&amp;MID(A884,2,1)&amp;"#","#0#1#2#3#4#5#6#7#8#9#")),IF(AND(VALUE(LEFT(A884,2))&gt;=1,VALUE(LEFT(A884,2))&lt;=5),VALUE(LEFT(A884,2)),""),IF(AND(VALUE(LEFT(A884,1))&gt;=1,VALUE(LEFT(A884,1))&lt;=5),VALUE(LEFT(A884,1)),"")),""),"")</f>
        <v/>
      </c>
      <c r="N884" s="25">
        <f>IF(L884=1,IF(ISNUMBER(FIND("#"&amp;MID(H884,1,1)&amp;"#","#0#1#2#3#4#5#6#7#8#9#")),IF(ISNUMBER(FIND("#"&amp;MID(H884,2,1)&amp;"#","#0#1#2#3#4#5#6#7#8#9#")),IF(AND(VALUE(LEFT(H884,2))&gt;=1,VALUE(LEFT(H884,2))&lt;=5),VALUE(LEFT(H884,2)),""),IF(AND(VALUE(LEFT(H884,1))&gt;=1,VALUE(LEFT(H884,1))&lt;=5),VALUE(LEFT(H884,1)),"")),""),"")</f>
        <v/>
      </c>
      <c r="O884" s="25">
        <f>IF(AND(L884=1,B884&lt;&gt;""),SUBSTITUTE(SUBSTITUTE(SUBSTITUTE(SUBSTITUTE(SUBSTITUTE(SUBSTITUTE(SUBSTITUTE(SUBSTITUTE(SUBSTITUTE(SUBSTITUTE(SUBSTITUTE(SUBSTITUTE(LOWER(TRIM(B884)),"á","a"),"é","e"),"í","i"),"ó","o"),"ú","u"),"ü","u"),"ñ","n"),"à","a"),"è","e"),"ì","i"),"ò","o"),"ù","u"),"")</f>
        <v/>
      </c>
      <c r="P884" s="25">
        <f>IF(AND(L884=1,C884&lt;&gt;""),SUBSTITUTE(SUBSTITUTE(SUBSTITUTE(SUBSTITUTE(SUBSTITUTE(SUBSTITUTE(SUBSTITUTE(SUBSTITUTE(SUBSTITUTE(SUBSTITUTE(SUBSTITUTE(SUBSTITUTE(LOWER(TRIM(C884)),"á","a"),"é","e"),"í","i"),"ó","o"),"ú","u"),"ü","u"),"ñ","n"),"à","a"),"è","e"),"ì","i"),"ò","o"),"ù","u"),"")</f>
        <v/>
      </c>
      <c r="Q884" s="25">
        <f>IF(AND(L884=1,E884&lt;&gt;""),SUBSTITUTE(SUBSTITUTE(SUBSTITUTE(SUBSTITUTE(SUBSTITUTE(SUBSTITUTE(SUBSTITUTE(SUBSTITUTE(SUBSTITUTE(SUBSTITUTE(SUBSTITUTE(SUBSTITUTE(LOWER(TRIM(E884)),"á","a"),"é","e"),"í","i"),"ó","o"),"ú","u"),"ü","u"),"ñ","n"),"à","a"),"è","e"),"ì","i"),"ò","o"),"ù","u"),"")</f>
        <v/>
      </c>
      <c r="R884" s="25">
        <f>IF(AND(L884=1,I884&lt;&gt;""),SUBSTITUTE(SUBSTITUTE(SUBSTITUTE(SUBSTITUTE(SUBSTITUTE(SUBSTITUTE(SUBSTITUTE(SUBSTITUTE(SUBSTITUTE(SUBSTITUTE(SUBSTITUTE(SUBSTITUTE(LOWER(TRIM(I884)),"á","a"),"é","e"),"í","i"),"ó","o"),"ú","u"),"ü","u"),"ñ","n"),"à","a"),"è","e"),"ì","i"),"ò","o"),"ù","u"),"")</f>
        <v/>
      </c>
      <c r="S884" s="25">
        <f>IF(R884="","",IF(OR(R884="si",R884="tal vez"),1,0))</f>
        <v/>
      </c>
      <c r="T884" s="25">
        <f>IF(AND(L884=1,D884&lt;&gt;""),IF(IFERROR(COUNTIFS(D$3:D884,"="&amp;SUBSTITUTE(SUBSTITUTE(SUBSTITUTE(D884,"~","~~"),"*","~*"),"?","~?"),L$3:L884,1),0)=1,MAX(T$2:T883)+1,""),"")</f>
        <v/>
      </c>
      <c r="U884" s="25">
        <f>IF(T884="","",COUNTIFS($D$3:$D$1002,"="&amp;SUBSTITUTE(SUBSTITUTE(SUBSTITUTE(D884,"~","~~"),"*","~*"),"?","~?"),$L$3:$L$1002,1)*10000-T884)</f>
        <v/>
      </c>
      <c r="V884" s="25">
        <f>IF(AND(L884=1,J884&lt;&gt;""),IF(IFERROR(COUNTIFS(J$3:J884,"="&amp;SUBSTITUTE(SUBSTITUTE(SUBSTITUTE(J884,"~","~~"),"*","~*"),"?","~?"),L$3:L884,1),0)=1,MAX(V$2:V883)+1,""),"")</f>
        <v/>
      </c>
      <c r="W884" s="25">
        <f>IF(V884="","",COUNTIFS($J$3:$J$1002,"="&amp;SUBSTITUTE(SUBSTITUTE(SUBSTITUTE(J884,"~","~~"),"*","~*"),"?","~?"),$L$3:$L$1002,1)*10000-V884)</f>
        <v/>
      </c>
    </row>
    <row r="885">
      <c r="A885">
        <f>IF(A$2=0,"",IFERROR(TRIM(INDEX('Pegar estudiantes'!$A$1:$BZ$1001,884,A$2)&amp;""),""))</f>
        <v/>
      </c>
      <c r="B885">
        <f>IF(B$2=0,"",IFERROR(TRIM(INDEX('Pegar estudiantes'!$A$1:$BZ$1001,884,B$2)&amp;""),""))</f>
        <v/>
      </c>
      <c r="C885">
        <f>IF(C$2=0,"",IFERROR(TRIM(INDEX('Pegar estudiantes'!$A$1:$BZ$1001,884,C$2)&amp;""),""))</f>
        <v/>
      </c>
      <c r="D885">
        <f>IF(D$2=0,"",IFERROR(TRIM(INDEX('Pegar estudiantes'!$A$1:$BZ$1001,884,D$2)&amp;""),""))</f>
        <v/>
      </c>
      <c r="E885">
        <f>IF(E$2=0,"",IFERROR(TRIM(INDEX('Pegar estudiantes'!$A$1:$BZ$1001,884,E$2)&amp;""),""))</f>
        <v/>
      </c>
      <c r="F885">
        <f>IF(F$2=0,"",IFERROR(TRIM(INDEX('Pegar estudiantes'!$A$1:$BZ$1001,884,F$2)&amp;""),""))</f>
        <v/>
      </c>
      <c r="G885">
        <f>IF(G$2=0,"",IFERROR(TRIM(INDEX('Pegar estudiantes'!$A$1:$BZ$1001,884,G$2)&amp;""),""))</f>
        <v/>
      </c>
      <c r="H885">
        <f>IF(H$2=0,"",IFERROR(TRIM(INDEX('Pegar estudiantes'!$A$1:$BZ$1001,884,H$2)&amp;""),""))</f>
        <v/>
      </c>
      <c r="I885">
        <f>IF(I$2=0,"",IFERROR(TRIM(INDEX('Pegar estudiantes'!$A$1:$BZ$1001,884,I$2)&amp;""),""))</f>
        <v/>
      </c>
      <c r="J885">
        <f>IF(J$2=0,"",IFERROR(TRIM(INDEX('Pegar estudiantes'!$A$1:$BZ$1001,884,J$2)&amp;""),""))</f>
        <v/>
      </c>
      <c r="K885">
        <f>IF(K$2=0,"",IFERROR(TRIM(INDEX('Pegar estudiantes'!$A$1:$BZ$1001,884,K$2)&amp;""),""))</f>
        <v/>
      </c>
      <c r="L885" s="25">
        <f>IF(A885&lt;&gt;"",1,"")</f>
        <v/>
      </c>
      <c r="M885" s="25">
        <f>IF(L885=1,IF(ISNUMBER(FIND("#"&amp;MID(A885,1,1)&amp;"#","#0#1#2#3#4#5#6#7#8#9#")),IF(ISNUMBER(FIND("#"&amp;MID(A885,2,1)&amp;"#","#0#1#2#3#4#5#6#7#8#9#")),IF(AND(VALUE(LEFT(A885,2))&gt;=1,VALUE(LEFT(A885,2))&lt;=5),VALUE(LEFT(A885,2)),""),IF(AND(VALUE(LEFT(A885,1))&gt;=1,VALUE(LEFT(A885,1))&lt;=5),VALUE(LEFT(A885,1)),"")),""),"")</f>
        <v/>
      </c>
      <c r="N885" s="25">
        <f>IF(L885=1,IF(ISNUMBER(FIND("#"&amp;MID(H885,1,1)&amp;"#","#0#1#2#3#4#5#6#7#8#9#")),IF(ISNUMBER(FIND("#"&amp;MID(H885,2,1)&amp;"#","#0#1#2#3#4#5#6#7#8#9#")),IF(AND(VALUE(LEFT(H885,2))&gt;=1,VALUE(LEFT(H885,2))&lt;=5),VALUE(LEFT(H885,2)),""),IF(AND(VALUE(LEFT(H885,1))&gt;=1,VALUE(LEFT(H885,1))&lt;=5),VALUE(LEFT(H885,1)),"")),""),"")</f>
        <v/>
      </c>
      <c r="O885" s="25">
        <f>IF(AND(L885=1,B885&lt;&gt;""),SUBSTITUTE(SUBSTITUTE(SUBSTITUTE(SUBSTITUTE(SUBSTITUTE(SUBSTITUTE(SUBSTITUTE(SUBSTITUTE(SUBSTITUTE(SUBSTITUTE(SUBSTITUTE(SUBSTITUTE(LOWER(TRIM(B885)),"á","a"),"é","e"),"í","i"),"ó","o"),"ú","u"),"ü","u"),"ñ","n"),"à","a"),"è","e"),"ì","i"),"ò","o"),"ù","u"),"")</f>
        <v/>
      </c>
      <c r="P885" s="25">
        <f>IF(AND(L885=1,C885&lt;&gt;""),SUBSTITUTE(SUBSTITUTE(SUBSTITUTE(SUBSTITUTE(SUBSTITUTE(SUBSTITUTE(SUBSTITUTE(SUBSTITUTE(SUBSTITUTE(SUBSTITUTE(SUBSTITUTE(SUBSTITUTE(LOWER(TRIM(C885)),"á","a"),"é","e"),"í","i"),"ó","o"),"ú","u"),"ü","u"),"ñ","n"),"à","a"),"è","e"),"ì","i"),"ò","o"),"ù","u"),"")</f>
        <v/>
      </c>
      <c r="Q885" s="25">
        <f>IF(AND(L885=1,E885&lt;&gt;""),SUBSTITUTE(SUBSTITUTE(SUBSTITUTE(SUBSTITUTE(SUBSTITUTE(SUBSTITUTE(SUBSTITUTE(SUBSTITUTE(SUBSTITUTE(SUBSTITUTE(SUBSTITUTE(SUBSTITUTE(LOWER(TRIM(E885)),"á","a"),"é","e"),"í","i"),"ó","o"),"ú","u"),"ü","u"),"ñ","n"),"à","a"),"è","e"),"ì","i"),"ò","o"),"ù","u"),"")</f>
        <v/>
      </c>
      <c r="R885" s="25">
        <f>IF(AND(L885=1,I885&lt;&gt;""),SUBSTITUTE(SUBSTITUTE(SUBSTITUTE(SUBSTITUTE(SUBSTITUTE(SUBSTITUTE(SUBSTITUTE(SUBSTITUTE(SUBSTITUTE(SUBSTITUTE(SUBSTITUTE(SUBSTITUTE(LOWER(TRIM(I885)),"á","a"),"é","e"),"í","i"),"ó","o"),"ú","u"),"ü","u"),"ñ","n"),"à","a"),"è","e"),"ì","i"),"ò","o"),"ù","u"),"")</f>
        <v/>
      </c>
      <c r="S885" s="25">
        <f>IF(R885="","",IF(OR(R885="si",R885="tal vez"),1,0))</f>
        <v/>
      </c>
      <c r="T885" s="25">
        <f>IF(AND(L885=1,D885&lt;&gt;""),IF(IFERROR(COUNTIFS(D$3:D885,"="&amp;SUBSTITUTE(SUBSTITUTE(SUBSTITUTE(D885,"~","~~"),"*","~*"),"?","~?"),L$3:L885,1),0)=1,MAX(T$2:T884)+1,""),"")</f>
        <v/>
      </c>
      <c r="U885" s="25">
        <f>IF(T885="","",COUNTIFS($D$3:$D$1002,"="&amp;SUBSTITUTE(SUBSTITUTE(SUBSTITUTE(D885,"~","~~"),"*","~*"),"?","~?"),$L$3:$L$1002,1)*10000-T885)</f>
        <v/>
      </c>
      <c r="V885" s="25">
        <f>IF(AND(L885=1,J885&lt;&gt;""),IF(IFERROR(COUNTIFS(J$3:J885,"="&amp;SUBSTITUTE(SUBSTITUTE(SUBSTITUTE(J885,"~","~~"),"*","~*"),"?","~?"),L$3:L885,1),0)=1,MAX(V$2:V884)+1,""),"")</f>
        <v/>
      </c>
      <c r="W885" s="25">
        <f>IF(V885="","",COUNTIFS($J$3:$J$1002,"="&amp;SUBSTITUTE(SUBSTITUTE(SUBSTITUTE(J885,"~","~~"),"*","~*"),"?","~?"),$L$3:$L$1002,1)*10000-V885)</f>
        <v/>
      </c>
    </row>
    <row r="886">
      <c r="A886">
        <f>IF(A$2=0,"",IFERROR(TRIM(INDEX('Pegar estudiantes'!$A$1:$BZ$1001,885,A$2)&amp;""),""))</f>
        <v/>
      </c>
      <c r="B886">
        <f>IF(B$2=0,"",IFERROR(TRIM(INDEX('Pegar estudiantes'!$A$1:$BZ$1001,885,B$2)&amp;""),""))</f>
        <v/>
      </c>
      <c r="C886">
        <f>IF(C$2=0,"",IFERROR(TRIM(INDEX('Pegar estudiantes'!$A$1:$BZ$1001,885,C$2)&amp;""),""))</f>
        <v/>
      </c>
      <c r="D886">
        <f>IF(D$2=0,"",IFERROR(TRIM(INDEX('Pegar estudiantes'!$A$1:$BZ$1001,885,D$2)&amp;""),""))</f>
        <v/>
      </c>
      <c r="E886">
        <f>IF(E$2=0,"",IFERROR(TRIM(INDEX('Pegar estudiantes'!$A$1:$BZ$1001,885,E$2)&amp;""),""))</f>
        <v/>
      </c>
      <c r="F886">
        <f>IF(F$2=0,"",IFERROR(TRIM(INDEX('Pegar estudiantes'!$A$1:$BZ$1001,885,F$2)&amp;""),""))</f>
        <v/>
      </c>
      <c r="G886">
        <f>IF(G$2=0,"",IFERROR(TRIM(INDEX('Pegar estudiantes'!$A$1:$BZ$1001,885,G$2)&amp;""),""))</f>
        <v/>
      </c>
      <c r="H886">
        <f>IF(H$2=0,"",IFERROR(TRIM(INDEX('Pegar estudiantes'!$A$1:$BZ$1001,885,H$2)&amp;""),""))</f>
        <v/>
      </c>
      <c r="I886">
        <f>IF(I$2=0,"",IFERROR(TRIM(INDEX('Pegar estudiantes'!$A$1:$BZ$1001,885,I$2)&amp;""),""))</f>
        <v/>
      </c>
      <c r="J886">
        <f>IF(J$2=0,"",IFERROR(TRIM(INDEX('Pegar estudiantes'!$A$1:$BZ$1001,885,J$2)&amp;""),""))</f>
        <v/>
      </c>
      <c r="K886">
        <f>IF(K$2=0,"",IFERROR(TRIM(INDEX('Pegar estudiantes'!$A$1:$BZ$1001,885,K$2)&amp;""),""))</f>
        <v/>
      </c>
      <c r="L886" s="25">
        <f>IF(A886&lt;&gt;"",1,"")</f>
        <v/>
      </c>
      <c r="M886" s="25">
        <f>IF(L886=1,IF(ISNUMBER(FIND("#"&amp;MID(A886,1,1)&amp;"#","#0#1#2#3#4#5#6#7#8#9#")),IF(ISNUMBER(FIND("#"&amp;MID(A886,2,1)&amp;"#","#0#1#2#3#4#5#6#7#8#9#")),IF(AND(VALUE(LEFT(A886,2))&gt;=1,VALUE(LEFT(A886,2))&lt;=5),VALUE(LEFT(A886,2)),""),IF(AND(VALUE(LEFT(A886,1))&gt;=1,VALUE(LEFT(A886,1))&lt;=5),VALUE(LEFT(A886,1)),"")),""),"")</f>
        <v/>
      </c>
      <c r="N886" s="25">
        <f>IF(L886=1,IF(ISNUMBER(FIND("#"&amp;MID(H886,1,1)&amp;"#","#0#1#2#3#4#5#6#7#8#9#")),IF(ISNUMBER(FIND("#"&amp;MID(H886,2,1)&amp;"#","#0#1#2#3#4#5#6#7#8#9#")),IF(AND(VALUE(LEFT(H886,2))&gt;=1,VALUE(LEFT(H886,2))&lt;=5),VALUE(LEFT(H886,2)),""),IF(AND(VALUE(LEFT(H886,1))&gt;=1,VALUE(LEFT(H886,1))&lt;=5),VALUE(LEFT(H886,1)),"")),""),"")</f>
        <v/>
      </c>
      <c r="O886" s="25">
        <f>IF(AND(L886=1,B886&lt;&gt;""),SUBSTITUTE(SUBSTITUTE(SUBSTITUTE(SUBSTITUTE(SUBSTITUTE(SUBSTITUTE(SUBSTITUTE(SUBSTITUTE(SUBSTITUTE(SUBSTITUTE(SUBSTITUTE(SUBSTITUTE(LOWER(TRIM(B886)),"á","a"),"é","e"),"í","i"),"ó","o"),"ú","u"),"ü","u"),"ñ","n"),"à","a"),"è","e"),"ì","i"),"ò","o"),"ù","u"),"")</f>
        <v/>
      </c>
      <c r="P886" s="25">
        <f>IF(AND(L886=1,C886&lt;&gt;""),SUBSTITUTE(SUBSTITUTE(SUBSTITUTE(SUBSTITUTE(SUBSTITUTE(SUBSTITUTE(SUBSTITUTE(SUBSTITUTE(SUBSTITUTE(SUBSTITUTE(SUBSTITUTE(SUBSTITUTE(LOWER(TRIM(C886)),"á","a"),"é","e"),"í","i"),"ó","o"),"ú","u"),"ü","u"),"ñ","n"),"à","a"),"è","e"),"ì","i"),"ò","o"),"ù","u"),"")</f>
        <v/>
      </c>
      <c r="Q886" s="25">
        <f>IF(AND(L886=1,E886&lt;&gt;""),SUBSTITUTE(SUBSTITUTE(SUBSTITUTE(SUBSTITUTE(SUBSTITUTE(SUBSTITUTE(SUBSTITUTE(SUBSTITUTE(SUBSTITUTE(SUBSTITUTE(SUBSTITUTE(SUBSTITUTE(LOWER(TRIM(E886)),"á","a"),"é","e"),"í","i"),"ó","o"),"ú","u"),"ü","u"),"ñ","n"),"à","a"),"è","e"),"ì","i"),"ò","o"),"ù","u"),"")</f>
        <v/>
      </c>
      <c r="R886" s="25">
        <f>IF(AND(L886=1,I886&lt;&gt;""),SUBSTITUTE(SUBSTITUTE(SUBSTITUTE(SUBSTITUTE(SUBSTITUTE(SUBSTITUTE(SUBSTITUTE(SUBSTITUTE(SUBSTITUTE(SUBSTITUTE(SUBSTITUTE(SUBSTITUTE(LOWER(TRIM(I886)),"á","a"),"é","e"),"í","i"),"ó","o"),"ú","u"),"ü","u"),"ñ","n"),"à","a"),"è","e"),"ì","i"),"ò","o"),"ù","u"),"")</f>
        <v/>
      </c>
      <c r="S886" s="25">
        <f>IF(R886="","",IF(OR(R886="si",R886="tal vez"),1,0))</f>
        <v/>
      </c>
      <c r="T886" s="25">
        <f>IF(AND(L886=1,D886&lt;&gt;""),IF(IFERROR(COUNTIFS(D$3:D886,"="&amp;SUBSTITUTE(SUBSTITUTE(SUBSTITUTE(D886,"~","~~"),"*","~*"),"?","~?"),L$3:L886,1),0)=1,MAX(T$2:T885)+1,""),"")</f>
        <v/>
      </c>
      <c r="U886" s="25">
        <f>IF(T886="","",COUNTIFS($D$3:$D$1002,"="&amp;SUBSTITUTE(SUBSTITUTE(SUBSTITUTE(D886,"~","~~"),"*","~*"),"?","~?"),$L$3:$L$1002,1)*10000-T886)</f>
        <v/>
      </c>
      <c r="V886" s="25">
        <f>IF(AND(L886=1,J886&lt;&gt;""),IF(IFERROR(COUNTIFS(J$3:J886,"="&amp;SUBSTITUTE(SUBSTITUTE(SUBSTITUTE(J886,"~","~~"),"*","~*"),"?","~?"),L$3:L886,1),0)=1,MAX(V$2:V885)+1,""),"")</f>
        <v/>
      </c>
      <c r="W886" s="25">
        <f>IF(V886="","",COUNTIFS($J$3:$J$1002,"="&amp;SUBSTITUTE(SUBSTITUTE(SUBSTITUTE(J886,"~","~~"),"*","~*"),"?","~?"),$L$3:$L$1002,1)*10000-V886)</f>
        <v/>
      </c>
    </row>
    <row r="887">
      <c r="A887">
        <f>IF(A$2=0,"",IFERROR(TRIM(INDEX('Pegar estudiantes'!$A$1:$BZ$1001,886,A$2)&amp;""),""))</f>
        <v/>
      </c>
      <c r="B887">
        <f>IF(B$2=0,"",IFERROR(TRIM(INDEX('Pegar estudiantes'!$A$1:$BZ$1001,886,B$2)&amp;""),""))</f>
        <v/>
      </c>
      <c r="C887">
        <f>IF(C$2=0,"",IFERROR(TRIM(INDEX('Pegar estudiantes'!$A$1:$BZ$1001,886,C$2)&amp;""),""))</f>
        <v/>
      </c>
      <c r="D887">
        <f>IF(D$2=0,"",IFERROR(TRIM(INDEX('Pegar estudiantes'!$A$1:$BZ$1001,886,D$2)&amp;""),""))</f>
        <v/>
      </c>
      <c r="E887">
        <f>IF(E$2=0,"",IFERROR(TRIM(INDEX('Pegar estudiantes'!$A$1:$BZ$1001,886,E$2)&amp;""),""))</f>
        <v/>
      </c>
      <c r="F887">
        <f>IF(F$2=0,"",IFERROR(TRIM(INDEX('Pegar estudiantes'!$A$1:$BZ$1001,886,F$2)&amp;""),""))</f>
        <v/>
      </c>
      <c r="G887">
        <f>IF(G$2=0,"",IFERROR(TRIM(INDEX('Pegar estudiantes'!$A$1:$BZ$1001,886,G$2)&amp;""),""))</f>
        <v/>
      </c>
      <c r="H887">
        <f>IF(H$2=0,"",IFERROR(TRIM(INDEX('Pegar estudiantes'!$A$1:$BZ$1001,886,H$2)&amp;""),""))</f>
        <v/>
      </c>
      <c r="I887">
        <f>IF(I$2=0,"",IFERROR(TRIM(INDEX('Pegar estudiantes'!$A$1:$BZ$1001,886,I$2)&amp;""),""))</f>
        <v/>
      </c>
      <c r="J887">
        <f>IF(J$2=0,"",IFERROR(TRIM(INDEX('Pegar estudiantes'!$A$1:$BZ$1001,886,J$2)&amp;""),""))</f>
        <v/>
      </c>
      <c r="K887">
        <f>IF(K$2=0,"",IFERROR(TRIM(INDEX('Pegar estudiantes'!$A$1:$BZ$1001,886,K$2)&amp;""),""))</f>
        <v/>
      </c>
      <c r="L887" s="25">
        <f>IF(A887&lt;&gt;"",1,"")</f>
        <v/>
      </c>
      <c r="M887" s="25">
        <f>IF(L887=1,IF(ISNUMBER(FIND("#"&amp;MID(A887,1,1)&amp;"#","#0#1#2#3#4#5#6#7#8#9#")),IF(ISNUMBER(FIND("#"&amp;MID(A887,2,1)&amp;"#","#0#1#2#3#4#5#6#7#8#9#")),IF(AND(VALUE(LEFT(A887,2))&gt;=1,VALUE(LEFT(A887,2))&lt;=5),VALUE(LEFT(A887,2)),""),IF(AND(VALUE(LEFT(A887,1))&gt;=1,VALUE(LEFT(A887,1))&lt;=5),VALUE(LEFT(A887,1)),"")),""),"")</f>
        <v/>
      </c>
      <c r="N887" s="25">
        <f>IF(L887=1,IF(ISNUMBER(FIND("#"&amp;MID(H887,1,1)&amp;"#","#0#1#2#3#4#5#6#7#8#9#")),IF(ISNUMBER(FIND("#"&amp;MID(H887,2,1)&amp;"#","#0#1#2#3#4#5#6#7#8#9#")),IF(AND(VALUE(LEFT(H887,2))&gt;=1,VALUE(LEFT(H887,2))&lt;=5),VALUE(LEFT(H887,2)),""),IF(AND(VALUE(LEFT(H887,1))&gt;=1,VALUE(LEFT(H887,1))&lt;=5),VALUE(LEFT(H887,1)),"")),""),"")</f>
        <v/>
      </c>
      <c r="O887" s="25">
        <f>IF(AND(L887=1,B887&lt;&gt;""),SUBSTITUTE(SUBSTITUTE(SUBSTITUTE(SUBSTITUTE(SUBSTITUTE(SUBSTITUTE(SUBSTITUTE(SUBSTITUTE(SUBSTITUTE(SUBSTITUTE(SUBSTITUTE(SUBSTITUTE(LOWER(TRIM(B887)),"á","a"),"é","e"),"í","i"),"ó","o"),"ú","u"),"ü","u"),"ñ","n"),"à","a"),"è","e"),"ì","i"),"ò","o"),"ù","u"),"")</f>
        <v/>
      </c>
      <c r="P887" s="25">
        <f>IF(AND(L887=1,C887&lt;&gt;""),SUBSTITUTE(SUBSTITUTE(SUBSTITUTE(SUBSTITUTE(SUBSTITUTE(SUBSTITUTE(SUBSTITUTE(SUBSTITUTE(SUBSTITUTE(SUBSTITUTE(SUBSTITUTE(SUBSTITUTE(LOWER(TRIM(C887)),"á","a"),"é","e"),"í","i"),"ó","o"),"ú","u"),"ü","u"),"ñ","n"),"à","a"),"è","e"),"ì","i"),"ò","o"),"ù","u"),"")</f>
        <v/>
      </c>
      <c r="Q887" s="25">
        <f>IF(AND(L887=1,E887&lt;&gt;""),SUBSTITUTE(SUBSTITUTE(SUBSTITUTE(SUBSTITUTE(SUBSTITUTE(SUBSTITUTE(SUBSTITUTE(SUBSTITUTE(SUBSTITUTE(SUBSTITUTE(SUBSTITUTE(SUBSTITUTE(LOWER(TRIM(E887)),"á","a"),"é","e"),"í","i"),"ó","o"),"ú","u"),"ü","u"),"ñ","n"),"à","a"),"è","e"),"ì","i"),"ò","o"),"ù","u"),"")</f>
        <v/>
      </c>
      <c r="R887" s="25">
        <f>IF(AND(L887=1,I887&lt;&gt;""),SUBSTITUTE(SUBSTITUTE(SUBSTITUTE(SUBSTITUTE(SUBSTITUTE(SUBSTITUTE(SUBSTITUTE(SUBSTITUTE(SUBSTITUTE(SUBSTITUTE(SUBSTITUTE(SUBSTITUTE(LOWER(TRIM(I887)),"á","a"),"é","e"),"í","i"),"ó","o"),"ú","u"),"ü","u"),"ñ","n"),"à","a"),"è","e"),"ì","i"),"ò","o"),"ù","u"),"")</f>
        <v/>
      </c>
      <c r="S887" s="25">
        <f>IF(R887="","",IF(OR(R887="si",R887="tal vez"),1,0))</f>
        <v/>
      </c>
      <c r="T887" s="25">
        <f>IF(AND(L887=1,D887&lt;&gt;""),IF(IFERROR(COUNTIFS(D$3:D887,"="&amp;SUBSTITUTE(SUBSTITUTE(SUBSTITUTE(D887,"~","~~"),"*","~*"),"?","~?"),L$3:L887,1),0)=1,MAX(T$2:T886)+1,""),"")</f>
        <v/>
      </c>
      <c r="U887" s="25">
        <f>IF(T887="","",COUNTIFS($D$3:$D$1002,"="&amp;SUBSTITUTE(SUBSTITUTE(SUBSTITUTE(D887,"~","~~"),"*","~*"),"?","~?"),$L$3:$L$1002,1)*10000-T887)</f>
        <v/>
      </c>
      <c r="V887" s="25">
        <f>IF(AND(L887=1,J887&lt;&gt;""),IF(IFERROR(COUNTIFS(J$3:J887,"="&amp;SUBSTITUTE(SUBSTITUTE(SUBSTITUTE(J887,"~","~~"),"*","~*"),"?","~?"),L$3:L887,1),0)=1,MAX(V$2:V886)+1,""),"")</f>
        <v/>
      </c>
      <c r="W887" s="25">
        <f>IF(V887="","",COUNTIFS($J$3:$J$1002,"="&amp;SUBSTITUTE(SUBSTITUTE(SUBSTITUTE(J887,"~","~~"),"*","~*"),"?","~?"),$L$3:$L$1002,1)*10000-V887)</f>
        <v/>
      </c>
    </row>
    <row r="888">
      <c r="A888">
        <f>IF(A$2=0,"",IFERROR(TRIM(INDEX('Pegar estudiantes'!$A$1:$BZ$1001,887,A$2)&amp;""),""))</f>
        <v/>
      </c>
      <c r="B888">
        <f>IF(B$2=0,"",IFERROR(TRIM(INDEX('Pegar estudiantes'!$A$1:$BZ$1001,887,B$2)&amp;""),""))</f>
        <v/>
      </c>
      <c r="C888">
        <f>IF(C$2=0,"",IFERROR(TRIM(INDEX('Pegar estudiantes'!$A$1:$BZ$1001,887,C$2)&amp;""),""))</f>
        <v/>
      </c>
      <c r="D888">
        <f>IF(D$2=0,"",IFERROR(TRIM(INDEX('Pegar estudiantes'!$A$1:$BZ$1001,887,D$2)&amp;""),""))</f>
        <v/>
      </c>
      <c r="E888">
        <f>IF(E$2=0,"",IFERROR(TRIM(INDEX('Pegar estudiantes'!$A$1:$BZ$1001,887,E$2)&amp;""),""))</f>
        <v/>
      </c>
      <c r="F888">
        <f>IF(F$2=0,"",IFERROR(TRIM(INDEX('Pegar estudiantes'!$A$1:$BZ$1001,887,F$2)&amp;""),""))</f>
        <v/>
      </c>
      <c r="G888">
        <f>IF(G$2=0,"",IFERROR(TRIM(INDEX('Pegar estudiantes'!$A$1:$BZ$1001,887,G$2)&amp;""),""))</f>
        <v/>
      </c>
      <c r="H888">
        <f>IF(H$2=0,"",IFERROR(TRIM(INDEX('Pegar estudiantes'!$A$1:$BZ$1001,887,H$2)&amp;""),""))</f>
        <v/>
      </c>
      <c r="I888">
        <f>IF(I$2=0,"",IFERROR(TRIM(INDEX('Pegar estudiantes'!$A$1:$BZ$1001,887,I$2)&amp;""),""))</f>
        <v/>
      </c>
      <c r="J888">
        <f>IF(J$2=0,"",IFERROR(TRIM(INDEX('Pegar estudiantes'!$A$1:$BZ$1001,887,J$2)&amp;""),""))</f>
        <v/>
      </c>
      <c r="K888">
        <f>IF(K$2=0,"",IFERROR(TRIM(INDEX('Pegar estudiantes'!$A$1:$BZ$1001,887,K$2)&amp;""),""))</f>
        <v/>
      </c>
      <c r="L888" s="25">
        <f>IF(A888&lt;&gt;"",1,"")</f>
        <v/>
      </c>
      <c r="M888" s="25">
        <f>IF(L888=1,IF(ISNUMBER(FIND("#"&amp;MID(A888,1,1)&amp;"#","#0#1#2#3#4#5#6#7#8#9#")),IF(ISNUMBER(FIND("#"&amp;MID(A888,2,1)&amp;"#","#0#1#2#3#4#5#6#7#8#9#")),IF(AND(VALUE(LEFT(A888,2))&gt;=1,VALUE(LEFT(A888,2))&lt;=5),VALUE(LEFT(A888,2)),""),IF(AND(VALUE(LEFT(A888,1))&gt;=1,VALUE(LEFT(A888,1))&lt;=5),VALUE(LEFT(A888,1)),"")),""),"")</f>
        <v/>
      </c>
      <c r="N888" s="25">
        <f>IF(L888=1,IF(ISNUMBER(FIND("#"&amp;MID(H888,1,1)&amp;"#","#0#1#2#3#4#5#6#7#8#9#")),IF(ISNUMBER(FIND("#"&amp;MID(H888,2,1)&amp;"#","#0#1#2#3#4#5#6#7#8#9#")),IF(AND(VALUE(LEFT(H888,2))&gt;=1,VALUE(LEFT(H888,2))&lt;=5),VALUE(LEFT(H888,2)),""),IF(AND(VALUE(LEFT(H888,1))&gt;=1,VALUE(LEFT(H888,1))&lt;=5),VALUE(LEFT(H888,1)),"")),""),"")</f>
        <v/>
      </c>
      <c r="O888" s="25">
        <f>IF(AND(L888=1,B888&lt;&gt;""),SUBSTITUTE(SUBSTITUTE(SUBSTITUTE(SUBSTITUTE(SUBSTITUTE(SUBSTITUTE(SUBSTITUTE(SUBSTITUTE(SUBSTITUTE(SUBSTITUTE(SUBSTITUTE(SUBSTITUTE(LOWER(TRIM(B888)),"á","a"),"é","e"),"í","i"),"ó","o"),"ú","u"),"ü","u"),"ñ","n"),"à","a"),"è","e"),"ì","i"),"ò","o"),"ù","u"),"")</f>
        <v/>
      </c>
      <c r="P888" s="25">
        <f>IF(AND(L888=1,C888&lt;&gt;""),SUBSTITUTE(SUBSTITUTE(SUBSTITUTE(SUBSTITUTE(SUBSTITUTE(SUBSTITUTE(SUBSTITUTE(SUBSTITUTE(SUBSTITUTE(SUBSTITUTE(SUBSTITUTE(SUBSTITUTE(LOWER(TRIM(C888)),"á","a"),"é","e"),"í","i"),"ó","o"),"ú","u"),"ü","u"),"ñ","n"),"à","a"),"è","e"),"ì","i"),"ò","o"),"ù","u"),"")</f>
        <v/>
      </c>
      <c r="Q888" s="25">
        <f>IF(AND(L888=1,E888&lt;&gt;""),SUBSTITUTE(SUBSTITUTE(SUBSTITUTE(SUBSTITUTE(SUBSTITUTE(SUBSTITUTE(SUBSTITUTE(SUBSTITUTE(SUBSTITUTE(SUBSTITUTE(SUBSTITUTE(SUBSTITUTE(LOWER(TRIM(E888)),"á","a"),"é","e"),"í","i"),"ó","o"),"ú","u"),"ü","u"),"ñ","n"),"à","a"),"è","e"),"ì","i"),"ò","o"),"ù","u"),"")</f>
        <v/>
      </c>
      <c r="R888" s="25">
        <f>IF(AND(L888=1,I888&lt;&gt;""),SUBSTITUTE(SUBSTITUTE(SUBSTITUTE(SUBSTITUTE(SUBSTITUTE(SUBSTITUTE(SUBSTITUTE(SUBSTITUTE(SUBSTITUTE(SUBSTITUTE(SUBSTITUTE(SUBSTITUTE(LOWER(TRIM(I888)),"á","a"),"é","e"),"í","i"),"ó","o"),"ú","u"),"ü","u"),"ñ","n"),"à","a"),"è","e"),"ì","i"),"ò","o"),"ù","u"),"")</f>
        <v/>
      </c>
      <c r="S888" s="25">
        <f>IF(R888="","",IF(OR(R888="si",R888="tal vez"),1,0))</f>
        <v/>
      </c>
      <c r="T888" s="25">
        <f>IF(AND(L888=1,D888&lt;&gt;""),IF(IFERROR(COUNTIFS(D$3:D888,"="&amp;SUBSTITUTE(SUBSTITUTE(SUBSTITUTE(D888,"~","~~"),"*","~*"),"?","~?"),L$3:L888,1),0)=1,MAX(T$2:T887)+1,""),"")</f>
        <v/>
      </c>
      <c r="U888" s="25">
        <f>IF(T888="","",COUNTIFS($D$3:$D$1002,"="&amp;SUBSTITUTE(SUBSTITUTE(SUBSTITUTE(D888,"~","~~"),"*","~*"),"?","~?"),$L$3:$L$1002,1)*10000-T888)</f>
        <v/>
      </c>
      <c r="V888" s="25">
        <f>IF(AND(L888=1,J888&lt;&gt;""),IF(IFERROR(COUNTIFS(J$3:J888,"="&amp;SUBSTITUTE(SUBSTITUTE(SUBSTITUTE(J888,"~","~~"),"*","~*"),"?","~?"),L$3:L888,1),0)=1,MAX(V$2:V887)+1,""),"")</f>
        <v/>
      </c>
      <c r="W888" s="25">
        <f>IF(V888="","",COUNTIFS($J$3:$J$1002,"="&amp;SUBSTITUTE(SUBSTITUTE(SUBSTITUTE(J888,"~","~~"),"*","~*"),"?","~?"),$L$3:$L$1002,1)*10000-V888)</f>
        <v/>
      </c>
    </row>
    <row r="889">
      <c r="A889">
        <f>IF(A$2=0,"",IFERROR(TRIM(INDEX('Pegar estudiantes'!$A$1:$BZ$1001,888,A$2)&amp;""),""))</f>
        <v/>
      </c>
      <c r="B889">
        <f>IF(B$2=0,"",IFERROR(TRIM(INDEX('Pegar estudiantes'!$A$1:$BZ$1001,888,B$2)&amp;""),""))</f>
        <v/>
      </c>
      <c r="C889">
        <f>IF(C$2=0,"",IFERROR(TRIM(INDEX('Pegar estudiantes'!$A$1:$BZ$1001,888,C$2)&amp;""),""))</f>
        <v/>
      </c>
      <c r="D889">
        <f>IF(D$2=0,"",IFERROR(TRIM(INDEX('Pegar estudiantes'!$A$1:$BZ$1001,888,D$2)&amp;""),""))</f>
        <v/>
      </c>
      <c r="E889">
        <f>IF(E$2=0,"",IFERROR(TRIM(INDEX('Pegar estudiantes'!$A$1:$BZ$1001,888,E$2)&amp;""),""))</f>
        <v/>
      </c>
      <c r="F889">
        <f>IF(F$2=0,"",IFERROR(TRIM(INDEX('Pegar estudiantes'!$A$1:$BZ$1001,888,F$2)&amp;""),""))</f>
        <v/>
      </c>
      <c r="G889">
        <f>IF(G$2=0,"",IFERROR(TRIM(INDEX('Pegar estudiantes'!$A$1:$BZ$1001,888,G$2)&amp;""),""))</f>
        <v/>
      </c>
      <c r="H889">
        <f>IF(H$2=0,"",IFERROR(TRIM(INDEX('Pegar estudiantes'!$A$1:$BZ$1001,888,H$2)&amp;""),""))</f>
        <v/>
      </c>
      <c r="I889">
        <f>IF(I$2=0,"",IFERROR(TRIM(INDEX('Pegar estudiantes'!$A$1:$BZ$1001,888,I$2)&amp;""),""))</f>
        <v/>
      </c>
      <c r="J889">
        <f>IF(J$2=0,"",IFERROR(TRIM(INDEX('Pegar estudiantes'!$A$1:$BZ$1001,888,J$2)&amp;""),""))</f>
        <v/>
      </c>
      <c r="K889">
        <f>IF(K$2=0,"",IFERROR(TRIM(INDEX('Pegar estudiantes'!$A$1:$BZ$1001,888,K$2)&amp;""),""))</f>
        <v/>
      </c>
      <c r="L889" s="25">
        <f>IF(A889&lt;&gt;"",1,"")</f>
        <v/>
      </c>
      <c r="M889" s="25">
        <f>IF(L889=1,IF(ISNUMBER(FIND("#"&amp;MID(A889,1,1)&amp;"#","#0#1#2#3#4#5#6#7#8#9#")),IF(ISNUMBER(FIND("#"&amp;MID(A889,2,1)&amp;"#","#0#1#2#3#4#5#6#7#8#9#")),IF(AND(VALUE(LEFT(A889,2))&gt;=1,VALUE(LEFT(A889,2))&lt;=5),VALUE(LEFT(A889,2)),""),IF(AND(VALUE(LEFT(A889,1))&gt;=1,VALUE(LEFT(A889,1))&lt;=5),VALUE(LEFT(A889,1)),"")),""),"")</f>
        <v/>
      </c>
      <c r="N889" s="25">
        <f>IF(L889=1,IF(ISNUMBER(FIND("#"&amp;MID(H889,1,1)&amp;"#","#0#1#2#3#4#5#6#7#8#9#")),IF(ISNUMBER(FIND("#"&amp;MID(H889,2,1)&amp;"#","#0#1#2#3#4#5#6#7#8#9#")),IF(AND(VALUE(LEFT(H889,2))&gt;=1,VALUE(LEFT(H889,2))&lt;=5),VALUE(LEFT(H889,2)),""),IF(AND(VALUE(LEFT(H889,1))&gt;=1,VALUE(LEFT(H889,1))&lt;=5),VALUE(LEFT(H889,1)),"")),""),"")</f>
        <v/>
      </c>
      <c r="O889" s="25">
        <f>IF(AND(L889=1,B889&lt;&gt;""),SUBSTITUTE(SUBSTITUTE(SUBSTITUTE(SUBSTITUTE(SUBSTITUTE(SUBSTITUTE(SUBSTITUTE(SUBSTITUTE(SUBSTITUTE(SUBSTITUTE(SUBSTITUTE(SUBSTITUTE(LOWER(TRIM(B889)),"á","a"),"é","e"),"í","i"),"ó","o"),"ú","u"),"ü","u"),"ñ","n"),"à","a"),"è","e"),"ì","i"),"ò","o"),"ù","u"),"")</f>
        <v/>
      </c>
      <c r="P889" s="25">
        <f>IF(AND(L889=1,C889&lt;&gt;""),SUBSTITUTE(SUBSTITUTE(SUBSTITUTE(SUBSTITUTE(SUBSTITUTE(SUBSTITUTE(SUBSTITUTE(SUBSTITUTE(SUBSTITUTE(SUBSTITUTE(SUBSTITUTE(SUBSTITUTE(LOWER(TRIM(C889)),"á","a"),"é","e"),"í","i"),"ó","o"),"ú","u"),"ü","u"),"ñ","n"),"à","a"),"è","e"),"ì","i"),"ò","o"),"ù","u"),"")</f>
        <v/>
      </c>
      <c r="Q889" s="25">
        <f>IF(AND(L889=1,E889&lt;&gt;""),SUBSTITUTE(SUBSTITUTE(SUBSTITUTE(SUBSTITUTE(SUBSTITUTE(SUBSTITUTE(SUBSTITUTE(SUBSTITUTE(SUBSTITUTE(SUBSTITUTE(SUBSTITUTE(SUBSTITUTE(LOWER(TRIM(E889)),"á","a"),"é","e"),"í","i"),"ó","o"),"ú","u"),"ü","u"),"ñ","n"),"à","a"),"è","e"),"ì","i"),"ò","o"),"ù","u"),"")</f>
        <v/>
      </c>
      <c r="R889" s="25">
        <f>IF(AND(L889=1,I889&lt;&gt;""),SUBSTITUTE(SUBSTITUTE(SUBSTITUTE(SUBSTITUTE(SUBSTITUTE(SUBSTITUTE(SUBSTITUTE(SUBSTITUTE(SUBSTITUTE(SUBSTITUTE(SUBSTITUTE(SUBSTITUTE(LOWER(TRIM(I889)),"á","a"),"é","e"),"í","i"),"ó","o"),"ú","u"),"ü","u"),"ñ","n"),"à","a"),"è","e"),"ì","i"),"ò","o"),"ù","u"),"")</f>
        <v/>
      </c>
      <c r="S889" s="25">
        <f>IF(R889="","",IF(OR(R889="si",R889="tal vez"),1,0))</f>
        <v/>
      </c>
      <c r="T889" s="25">
        <f>IF(AND(L889=1,D889&lt;&gt;""),IF(IFERROR(COUNTIFS(D$3:D889,"="&amp;SUBSTITUTE(SUBSTITUTE(SUBSTITUTE(D889,"~","~~"),"*","~*"),"?","~?"),L$3:L889,1),0)=1,MAX(T$2:T888)+1,""),"")</f>
        <v/>
      </c>
      <c r="U889" s="25">
        <f>IF(T889="","",COUNTIFS($D$3:$D$1002,"="&amp;SUBSTITUTE(SUBSTITUTE(SUBSTITUTE(D889,"~","~~"),"*","~*"),"?","~?"),$L$3:$L$1002,1)*10000-T889)</f>
        <v/>
      </c>
      <c r="V889" s="25">
        <f>IF(AND(L889=1,J889&lt;&gt;""),IF(IFERROR(COUNTIFS(J$3:J889,"="&amp;SUBSTITUTE(SUBSTITUTE(SUBSTITUTE(J889,"~","~~"),"*","~*"),"?","~?"),L$3:L889,1),0)=1,MAX(V$2:V888)+1,""),"")</f>
        <v/>
      </c>
      <c r="W889" s="25">
        <f>IF(V889="","",COUNTIFS($J$3:$J$1002,"="&amp;SUBSTITUTE(SUBSTITUTE(SUBSTITUTE(J889,"~","~~"),"*","~*"),"?","~?"),$L$3:$L$1002,1)*10000-V889)</f>
        <v/>
      </c>
    </row>
    <row r="890">
      <c r="A890">
        <f>IF(A$2=0,"",IFERROR(TRIM(INDEX('Pegar estudiantes'!$A$1:$BZ$1001,889,A$2)&amp;""),""))</f>
        <v/>
      </c>
      <c r="B890">
        <f>IF(B$2=0,"",IFERROR(TRIM(INDEX('Pegar estudiantes'!$A$1:$BZ$1001,889,B$2)&amp;""),""))</f>
        <v/>
      </c>
      <c r="C890">
        <f>IF(C$2=0,"",IFERROR(TRIM(INDEX('Pegar estudiantes'!$A$1:$BZ$1001,889,C$2)&amp;""),""))</f>
        <v/>
      </c>
      <c r="D890">
        <f>IF(D$2=0,"",IFERROR(TRIM(INDEX('Pegar estudiantes'!$A$1:$BZ$1001,889,D$2)&amp;""),""))</f>
        <v/>
      </c>
      <c r="E890">
        <f>IF(E$2=0,"",IFERROR(TRIM(INDEX('Pegar estudiantes'!$A$1:$BZ$1001,889,E$2)&amp;""),""))</f>
        <v/>
      </c>
      <c r="F890">
        <f>IF(F$2=0,"",IFERROR(TRIM(INDEX('Pegar estudiantes'!$A$1:$BZ$1001,889,F$2)&amp;""),""))</f>
        <v/>
      </c>
      <c r="G890">
        <f>IF(G$2=0,"",IFERROR(TRIM(INDEX('Pegar estudiantes'!$A$1:$BZ$1001,889,G$2)&amp;""),""))</f>
        <v/>
      </c>
      <c r="H890">
        <f>IF(H$2=0,"",IFERROR(TRIM(INDEX('Pegar estudiantes'!$A$1:$BZ$1001,889,H$2)&amp;""),""))</f>
        <v/>
      </c>
      <c r="I890">
        <f>IF(I$2=0,"",IFERROR(TRIM(INDEX('Pegar estudiantes'!$A$1:$BZ$1001,889,I$2)&amp;""),""))</f>
        <v/>
      </c>
      <c r="J890">
        <f>IF(J$2=0,"",IFERROR(TRIM(INDEX('Pegar estudiantes'!$A$1:$BZ$1001,889,J$2)&amp;""),""))</f>
        <v/>
      </c>
      <c r="K890">
        <f>IF(K$2=0,"",IFERROR(TRIM(INDEX('Pegar estudiantes'!$A$1:$BZ$1001,889,K$2)&amp;""),""))</f>
        <v/>
      </c>
      <c r="L890" s="25">
        <f>IF(A890&lt;&gt;"",1,"")</f>
        <v/>
      </c>
      <c r="M890" s="25">
        <f>IF(L890=1,IF(ISNUMBER(FIND("#"&amp;MID(A890,1,1)&amp;"#","#0#1#2#3#4#5#6#7#8#9#")),IF(ISNUMBER(FIND("#"&amp;MID(A890,2,1)&amp;"#","#0#1#2#3#4#5#6#7#8#9#")),IF(AND(VALUE(LEFT(A890,2))&gt;=1,VALUE(LEFT(A890,2))&lt;=5),VALUE(LEFT(A890,2)),""),IF(AND(VALUE(LEFT(A890,1))&gt;=1,VALUE(LEFT(A890,1))&lt;=5),VALUE(LEFT(A890,1)),"")),""),"")</f>
        <v/>
      </c>
      <c r="N890" s="25">
        <f>IF(L890=1,IF(ISNUMBER(FIND("#"&amp;MID(H890,1,1)&amp;"#","#0#1#2#3#4#5#6#7#8#9#")),IF(ISNUMBER(FIND("#"&amp;MID(H890,2,1)&amp;"#","#0#1#2#3#4#5#6#7#8#9#")),IF(AND(VALUE(LEFT(H890,2))&gt;=1,VALUE(LEFT(H890,2))&lt;=5),VALUE(LEFT(H890,2)),""),IF(AND(VALUE(LEFT(H890,1))&gt;=1,VALUE(LEFT(H890,1))&lt;=5),VALUE(LEFT(H890,1)),"")),""),"")</f>
        <v/>
      </c>
      <c r="O890" s="25">
        <f>IF(AND(L890=1,B890&lt;&gt;""),SUBSTITUTE(SUBSTITUTE(SUBSTITUTE(SUBSTITUTE(SUBSTITUTE(SUBSTITUTE(SUBSTITUTE(SUBSTITUTE(SUBSTITUTE(SUBSTITUTE(SUBSTITUTE(SUBSTITUTE(LOWER(TRIM(B890)),"á","a"),"é","e"),"í","i"),"ó","o"),"ú","u"),"ü","u"),"ñ","n"),"à","a"),"è","e"),"ì","i"),"ò","o"),"ù","u"),"")</f>
        <v/>
      </c>
      <c r="P890" s="25">
        <f>IF(AND(L890=1,C890&lt;&gt;""),SUBSTITUTE(SUBSTITUTE(SUBSTITUTE(SUBSTITUTE(SUBSTITUTE(SUBSTITUTE(SUBSTITUTE(SUBSTITUTE(SUBSTITUTE(SUBSTITUTE(SUBSTITUTE(SUBSTITUTE(LOWER(TRIM(C890)),"á","a"),"é","e"),"í","i"),"ó","o"),"ú","u"),"ü","u"),"ñ","n"),"à","a"),"è","e"),"ì","i"),"ò","o"),"ù","u"),"")</f>
        <v/>
      </c>
      <c r="Q890" s="25">
        <f>IF(AND(L890=1,E890&lt;&gt;""),SUBSTITUTE(SUBSTITUTE(SUBSTITUTE(SUBSTITUTE(SUBSTITUTE(SUBSTITUTE(SUBSTITUTE(SUBSTITUTE(SUBSTITUTE(SUBSTITUTE(SUBSTITUTE(SUBSTITUTE(LOWER(TRIM(E890)),"á","a"),"é","e"),"í","i"),"ó","o"),"ú","u"),"ü","u"),"ñ","n"),"à","a"),"è","e"),"ì","i"),"ò","o"),"ù","u"),"")</f>
        <v/>
      </c>
      <c r="R890" s="25">
        <f>IF(AND(L890=1,I890&lt;&gt;""),SUBSTITUTE(SUBSTITUTE(SUBSTITUTE(SUBSTITUTE(SUBSTITUTE(SUBSTITUTE(SUBSTITUTE(SUBSTITUTE(SUBSTITUTE(SUBSTITUTE(SUBSTITUTE(SUBSTITUTE(LOWER(TRIM(I890)),"á","a"),"é","e"),"í","i"),"ó","o"),"ú","u"),"ü","u"),"ñ","n"),"à","a"),"è","e"),"ì","i"),"ò","o"),"ù","u"),"")</f>
        <v/>
      </c>
      <c r="S890" s="25">
        <f>IF(R890="","",IF(OR(R890="si",R890="tal vez"),1,0))</f>
        <v/>
      </c>
      <c r="T890" s="25">
        <f>IF(AND(L890=1,D890&lt;&gt;""),IF(IFERROR(COUNTIFS(D$3:D890,"="&amp;SUBSTITUTE(SUBSTITUTE(SUBSTITUTE(D890,"~","~~"),"*","~*"),"?","~?"),L$3:L890,1),0)=1,MAX(T$2:T889)+1,""),"")</f>
        <v/>
      </c>
      <c r="U890" s="25">
        <f>IF(T890="","",COUNTIFS($D$3:$D$1002,"="&amp;SUBSTITUTE(SUBSTITUTE(SUBSTITUTE(D890,"~","~~"),"*","~*"),"?","~?"),$L$3:$L$1002,1)*10000-T890)</f>
        <v/>
      </c>
      <c r="V890" s="25">
        <f>IF(AND(L890=1,J890&lt;&gt;""),IF(IFERROR(COUNTIFS(J$3:J890,"="&amp;SUBSTITUTE(SUBSTITUTE(SUBSTITUTE(J890,"~","~~"),"*","~*"),"?","~?"),L$3:L890,1),0)=1,MAX(V$2:V889)+1,""),"")</f>
        <v/>
      </c>
      <c r="W890" s="25">
        <f>IF(V890="","",COUNTIFS($J$3:$J$1002,"="&amp;SUBSTITUTE(SUBSTITUTE(SUBSTITUTE(J890,"~","~~"),"*","~*"),"?","~?"),$L$3:$L$1002,1)*10000-V890)</f>
        <v/>
      </c>
    </row>
    <row r="891">
      <c r="A891">
        <f>IF(A$2=0,"",IFERROR(TRIM(INDEX('Pegar estudiantes'!$A$1:$BZ$1001,890,A$2)&amp;""),""))</f>
        <v/>
      </c>
      <c r="B891">
        <f>IF(B$2=0,"",IFERROR(TRIM(INDEX('Pegar estudiantes'!$A$1:$BZ$1001,890,B$2)&amp;""),""))</f>
        <v/>
      </c>
      <c r="C891">
        <f>IF(C$2=0,"",IFERROR(TRIM(INDEX('Pegar estudiantes'!$A$1:$BZ$1001,890,C$2)&amp;""),""))</f>
        <v/>
      </c>
      <c r="D891">
        <f>IF(D$2=0,"",IFERROR(TRIM(INDEX('Pegar estudiantes'!$A$1:$BZ$1001,890,D$2)&amp;""),""))</f>
        <v/>
      </c>
      <c r="E891">
        <f>IF(E$2=0,"",IFERROR(TRIM(INDEX('Pegar estudiantes'!$A$1:$BZ$1001,890,E$2)&amp;""),""))</f>
        <v/>
      </c>
      <c r="F891">
        <f>IF(F$2=0,"",IFERROR(TRIM(INDEX('Pegar estudiantes'!$A$1:$BZ$1001,890,F$2)&amp;""),""))</f>
        <v/>
      </c>
      <c r="G891">
        <f>IF(G$2=0,"",IFERROR(TRIM(INDEX('Pegar estudiantes'!$A$1:$BZ$1001,890,G$2)&amp;""),""))</f>
        <v/>
      </c>
      <c r="H891">
        <f>IF(H$2=0,"",IFERROR(TRIM(INDEX('Pegar estudiantes'!$A$1:$BZ$1001,890,H$2)&amp;""),""))</f>
        <v/>
      </c>
      <c r="I891">
        <f>IF(I$2=0,"",IFERROR(TRIM(INDEX('Pegar estudiantes'!$A$1:$BZ$1001,890,I$2)&amp;""),""))</f>
        <v/>
      </c>
      <c r="J891">
        <f>IF(J$2=0,"",IFERROR(TRIM(INDEX('Pegar estudiantes'!$A$1:$BZ$1001,890,J$2)&amp;""),""))</f>
        <v/>
      </c>
      <c r="K891">
        <f>IF(K$2=0,"",IFERROR(TRIM(INDEX('Pegar estudiantes'!$A$1:$BZ$1001,890,K$2)&amp;""),""))</f>
        <v/>
      </c>
      <c r="L891" s="25">
        <f>IF(A891&lt;&gt;"",1,"")</f>
        <v/>
      </c>
      <c r="M891" s="25">
        <f>IF(L891=1,IF(ISNUMBER(FIND("#"&amp;MID(A891,1,1)&amp;"#","#0#1#2#3#4#5#6#7#8#9#")),IF(ISNUMBER(FIND("#"&amp;MID(A891,2,1)&amp;"#","#0#1#2#3#4#5#6#7#8#9#")),IF(AND(VALUE(LEFT(A891,2))&gt;=1,VALUE(LEFT(A891,2))&lt;=5),VALUE(LEFT(A891,2)),""),IF(AND(VALUE(LEFT(A891,1))&gt;=1,VALUE(LEFT(A891,1))&lt;=5),VALUE(LEFT(A891,1)),"")),""),"")</f>
        <v/>
      </c>
      <c r="N891" s="25">
        <f>IF(L891=1,IF(ISNUMBER(FIND("#"&amp;MID(H891,1,1)&amp;"#","#0#1#2#3#4#5#6#7#8#9#")),IF(ISNUMBER(FIND("#"&amp;MID(H891,2,1)&amp;"#","#0#1#2#3#4#5#6#7#8#9#")),IF(AND(VALUE(LEFT(H891,2))&gt;=1,VALUE(LEFT(H891,2))&lt;=5),VALUE(LEFT(H891,2)),""),IF(AND(VALUE(LEFT(H891,1))&gt;=1,VALUE(LEFT(H891,1))&lt;=5),VALUE(LEFT(H891,1)),"")),""),"")</f>
        <v/>
      </c>
      <c r="O891" s="25">
        <f>IF(AND(L891=1,B891&lt;&gt;""),SUBSTITUTE(SUBSTITUTE(SUBSTITUTE(SUBSTITUTE(SUBSTITUTE(SUBSTITUTE(SUBSTITUTE(SUBSTITUTE(SUBSTITUTE(SUBSTITUTE(SUBSTITUTE(SUBSTITUTE(LOWER(TRIM(B891)),"á","a"),"é","e"),"í","i"),"ó","o"),"ú","u"),"ü","u"),"ñ","n"),"à","a"),"è","e"),"ì","i"),"ò","o"),"ù","u"),"")</f>
        <v/>
      </c>
      <c r="P891" s="25">
        <f>IF(AND(L891=1,C891&lt;&gt;""),SUBSTITUTE(SUBSTITUTE(SUBSTITUTE(SUBSTITUTE(SUBSTITUTE(SUBSTITUTE(SUBSTITUTE(SUBSTITUTE(SUBSTITUTE(SUBSTITUTE(SUBSTITUTE(SUBSTITUTE(LOWER(TRIM(C891)),"á","a"),"é","e"),"í","i"),"ó","o"),"ú","u"),"ü","u"),"ñ","n"),"à","a"),"è","e"),"ì","i"),"ò","o"),"ù","u"),"")</f>
        <v/>
      </c>
      <c r="Q891" s="25">
        <f>IF(AND(L891=1,E891&lt;&gt;""),SUBSTITUTE(SUBSTITUTE(SUBSTITUTE(SUBSTITUTE(SUBSTITUTE(SUBSTITUTE(SUBSTITUTE(SUBSTITUTE(SUBSTITUTE(SUBSTITUTE(SUBSTITUTE(SUBSTITUTE(LOWER(TRIM(E891)),"á","a"),"é","e"),"í","i"),"ó","o"),"ú","u"),"ü","u"),"ñ","n"),"à","a"),"è","e"),"ì","i"),"ò","o"),"ù","u"),"")</f>
        <v/>
      </c>
      <c r="R891" s="25">
        <f>IF(AND(L891=1,I891&lt;&gt;""),SUBSTITUTE(SUBSTITUTE(SUBSTITUTE(SUBSTITUTE(SUBSTITUTE(SUBSTITUTE(SUBSTITUTE(SUBSTITUTE(SUBSTITUTE(SUBSTITUTE(SUBSTITUTE(SUBSTITUTE(LOWER(TRIM(I891)),"á","a"),"é","e"),"í","i"),"ó","o"),"ú","u"),"ü","u"),"ñ","n"),"à","a"),"è","e"),"ì","i"),"ò","o"),"ù","u"),"")</f>
        <v/>
      </c>
      <c r="S891" s="25">
        <f>IF(R891="","",IF(OR(R891="si",R891="tal vez"),1,0))</f>
        <v/>
      </c>
      <c r="T891" s="25">
        <f>IF(AND(L891=1,D891&lt;&gt;""),IF(IFERROR(COUNTIFS(D$3:D891,"="&amp;SUBSTITUTE(SUBSTITUTE(SUBSTITUTE(D891,"~","~~"),"*","~*"),"?","~?"),L$3:L891,1),0)=1,MAX(T$2:T890)+1,""),"")</f>
        <v/>
      </c>
      <c r="U891" s="25">
        <f>IF(T891="","",COUNTIFS($D$3:$D$1002,"="&amp;SUBSTITUTE(SUBSTITUTE(SUBSTITUTE(D891,"~","~~"),"*","~*"),"?","~?"),$L$3:$L$1002,1)*10000-T891)</f>
        <v/>
      </c>
      <c r="V891" s="25">
        <f>IF(AND(L891=1,J891&lt;&gt;""),IF(IFERROR(COUNTIFS(J$3:J891,"="&amp;SUBSTITUTE(SUBSTITUTE(SUBSTITUTE(J891,"~","~~"),"*","~*"),"?","~?"),L$3:L891,1),0)=1,MAX(V$2:V890)+1,""),"")</f>
        <v/>
      </c>
      <c r="W891" s="25">
        <f>IF(V891="","",COUNTIFS($J$3:$J$1002,"="&amp;SUBSTITUTE(SUBSTITUTE(SUBSTITUTE(J891,"~","~~"),"*","~*"),"?","~?"),$L$3:$L$1002,1)*10000-V891)</f>
        <v/>
      </c>
    </row>
    <row r="892">
      <c r="A892">
        <f>IF(A$2=0,"",IFERROR(TRIM(INDEX('Pegar estudiantes'!$A$1:$BZ$1001,891,A$2)&amp;""),""))</f>
        <v/>
      </c>
      <c r="B892">
        <f>IF(B$2=0,"",IFERROR(TRIM(INDEX('Pegar estudiantes'!$A$1:$BZ$1001,891,B$2)&amp;""),""))</f>
        <v/>
      </c>
      <c r="C892">
        <f>IF(C$2=0,"",IFERROR(TRIM(INDEX('Pegar estudiantes'!$A$1:$BZ$1001,891,C$2)&amp;""),""))</f>
        <v/>
      </c>
      <c r="D892">
        <f>IF(D$2=0,"",IFERROR(TRIM(INDEX('Pegar estudiantes'!$A$1:$BZ$1001,891,D$2)&amp;""),""))</f>
        <v/>
      </c>
      <c r="E892">
        <f>IF(E$2=0,"",IFERROR(TRIM(INDEX('Pegar estudiantes'!$A$1:$BZ$1001,891,E$2)&amp;""),""))</f>
        <v/>
      </c>
      <c r="F892">
        <f>IF(F$2=0,"",IFERROR(TRIM(INDEX('Pegar estudiantes'!$A$1:$BZ$1001,891,F$2)&amp;""),""))</f>
        <v/>
      </c>
      <c r="G892">
        <f>IF(G$2=0,"",IFERROR(TRIM(INDEX('Pegar estudiantes'!$A$1:$BZ$1001,891,G$2)&amp;""),""))</f>
        <v/>
      </c>
      <c r="H892">
        <f>IF(H$2=0,"",IFERROR(TRIM(INDEX('Pegar estudiantes'!$A$1:$BZ$1001,891,H$2)&amp;""),""))</f>
        <v/>
      </c>
      <c r="I892">
        <f>IF(I$2=0,"",IFERROR(TRIM(INDEX('Pegar estudiantes'!$A$1:$BZ$1001,891,I$2)&amp;""),""))</f>
        <v/>
      </c>
      <c r="J892">
        <f>IF(J$2=0,"",IFERROR(TRIM(INDEX('Pegar estudiantes'!$A$1:$BZ$1001,891,J$2)&amp;""),""))</f>
        <v/>
      </c>
      <c r="K892">
        <f>IF(K$2=0,"",IFERROR(TRIM(INDEX('Pegar estudiantes'!$A$1:$BZ$1001,891,K$2)&amp;""),""))</f>
        <v/>
      </c>
      <c r="L892" s="25">
        <f>IF(A892&lt;&gt;"",1,"")</f>
        <v/>
      </c>
      <c r="M892" s="25">
        <f>IF(L892=1,IF(ISNUMBER(FIND("#"&amp;MID(A892,1,1)&amp;"#","#0#1#2#3#4#5#6#7#8#9#")),IF(ISNUMBER(FIND("#"&amp;MID(A892,2,1)&amp;"#","#0#1#2#3#4#5#6#7#8#9#")),IF(AND(VALUE(LEFT(A892,2))&gt;=1,VALUE(LEFT(A892,2))&lt;=5),VALUE(LEFT(A892,2)),""),IF(AND(VALUE(LEFT(A892,1))&gt;=1,VALUE(LEFT(A892,1))&lt;=5),VALUE(LEFT(A892,1)),"")),""),"")</f>
        <v/>
      </c>
      <c r="N892" s="25">
        <f>IF(L892=1,IF(ISNUMBER(FIND("#"&amp;MID(H892,1,1)&amp;"#","#0#1#2#3#4#5#6#7#8#9#")),IF(ISNUMBER(FIND("#"&amp;MID(H892,2,1)&amp;"#","#0#1#2#3#4#5#6#7#8#9#")),IF(AND(VALUE(LEFT(H892,2))&gt;=1,VALUE(LEFT(H892,2))&lt;=5),VALUE(LEFT(H892,2)),""),IF(AND(VALUE(LEFT(H892,1))&gt;=1,VALUE(LEFT(H892,1))&lt;=5),VALUE(LEFT(H892,1)),"")),""),"")</f>
        <v/>
      </c>
      <c r="O892" s="25">
        <f>IF(AND(L892=1,B892&lt;&gt;""),SUBSTITUTE(SUBSTITUTE(SUBSTITUTE(SUBSTITUTE(SUBSTITUTE(SUBSTITUTE(SUBSTITUTE(SUBSTITUTE(SUBSTITUTE(SUBSTITUTE(SUBSTITUTE(SUBSTITUTE(LOWER(TRIM(B892)),"á","a"),"é","e"),"í","i"),"ó","o"),"ú","u"),"ü","u"),"ñ","n"),"à","a"),"è","e"),"ì","i"),"ò","o"),"ù","u"),"")</f>
        <v/>
      </c>
      <c r="P892" s="25">
        <f>IF(AND(L892=1,C892&lt;&gt;""),SUBSTITUTE(SUBSTITUTE(SUBSTITUTE(SUBSTITUTE(SUBSTITUTE(SUBSTITUTE(SUBSTITUTE(SUBSTITUTE(SUBSTITUTE(SUBSTITUTE(SUBSTITUTE(SUBSTITUTE(LOWER(TRIM(C892)),"á","a"),"é","e"),"í","i"),"ó","o"),"ú","u"),"ü","u"),"ñ","n"),"à","a"),"è","e"),"ì","i"),"ò","o"),"ù","u"),"")</f>
        <v/>
      </c>
      <c r="Q892" s="25">
        <f>IF(AND(L892=1,E892&lt;&gt;""),SUBSTITUTE(SUBSTITUTE(SUBSTITUTE(SUBSTITUTE(SUBSTITUTE(SUBSTITUTE(SUBSTITUTE(SUBSTITUTE(SUBSTITUTE(SUBSTITUTE(SUBSTITUTE(SUBSTITUTE(LOWER(TRIM(E892)),"á","a"),"é","e"),"í","i"),"ó","o"),"ú","u"),"ü","u"),"ñ","n"),"à","a"),"è","e"),"ì","i"),"ò","o"),"ù","u"),"")</f>
        <v/>
      </c>
      <c r="R892" s="25">
        <f>IF(AND(L892=1,I892&lt;&gt;""),SUBSTITUTE(SUBSTITUTE(SUBSTITUTE(SUBSTITUTE(SUBSTITUTE(SUBSTITUTE(SUBSTITUTE(SUBSTITUTE(SUBSTITUTE(SUBSTITUTE(SUBSTITUTE(SUBSTITUTE(LOWER(TRIM(I892)),"á","a"),"é","e"),"í","i"),"ó","o"),"ú","u"),"ü","u"),"ñ","n"),"à","a"),"è","e"),"ì","i"),"ò","o"),"ù","u"),"")</f>
        <v/>
      </c>
      <c r="S892" s="25">
        <f>IF(R892="","",IF(OR(R892="si",R892="tal vez"),1,0))</f>
        <v/>
      </c>
      <c r="T892" s="25">
        <f>IF(AND(L892=1,D892&lt;&gt;""),IF(IFERROR(COUNTIFS(D$3:D892,"="&amp;SUBSTITUTE(SUBSTITUTE(SUBSTITUTE(D892,"~","~~"),"*","~*"),"?","~?"),L$3:L892,1),0)=1,MAX(T$2:T891)+1,""),"")</f>
        <v/>
      </c>
      <c r="U892" s="25">
        <f>IF(T892="","",COUNTIFS($D$3:$D$1002,"="&amp;SUBSTITUTE(SUBSTITUTE(SUBSTITUTE(D892,"~","~~"),"*","~*"),"?","~?"),$L$3:$L$1002,1)*10000-T892)</f>
        <v/>
      </c>
      <c r="V892" s="25">
        <f>IF(AND(L892=1,J892&lt;&gt;""),IF(IFERROR(COUNTIFS(J$3:J892,"="&amp;SUBSTITUTE(SUBSTITUTE(SUBSTITUTE(J892,"~","~~"),"*","~*"),"?","~?"),L$3:L892,1),0)=1,MAX(V$2:V891)+1,""),"")</f>
        <v/>
      </c>
      <c r="W892" s="25">
        <f>IF(V892="","",COUNTIFS($J$3:$J$1002,"="&amp;SUBSTITUTE(SUBSTITUTE(SUBSTITUTE(J892,"~","~~"),"*","~*"),"?","~?"),$L$3:$L$1002,1)*10000-V892)</f>
        <v/>
      </c>
    </row>
    <row r="893">
      <c r="A893">
        <f>IF(A$2=0,"",IFERROR(TRIM(INDEX('Pegar estudiantes'!$A$1:$BZ$1001,892,A$2)&amp;""),""))</f>
        <v/>
      </c>
      <c r="B893">
        <f>IF(B$2=0,"",IFERROR(TRIM(INDEX('Pegar estudiantes'!$A$1:$BZ$1001,892,B$2)&amp;""),""))</f>
        <v/>
      </c>
      <c r="C893">
        <f>IF(C$2=0,"",IFERROR(TRIM(INDEX('Pegar estudiantes'!$A$1:$BZ$1001,892,C$2)&amp;""),""))</f>
        <v/>
      </c>
      <c r="D893">
        <f>IF(D$2=0,"",IFERROR(TRIM(INDEX('Pegar estudiantes'!$A$1:$BZ$1001,892,D$2)&amp;""),""))</f>
        <v/>
      </c>
      <c r="E893">
        <f>IF(E$2=0,"",IFERROR(TRIM(INDEX('Pegar estudiantes'!$A$1:$BZ$1001,892,E$2)&amp;""),""))</f>
        <v/>
      </c>
      <c r="F893">
        <f>IF(F$2=0,"",IFERROR(TRIM(INDEX('Pegar estudiantes'!$A$1:$BZ$1001,892,F$2)&amp;""),""))</f>
        <v/>
      </c>
      <c r="G893">
        <f>IF(G$2=0,"",IFERROR(TRIM(INDEX('Pegar estudiantes'!$A$1:$BZ$1001,892,G$2)&amp;""),""))</f>
        <v/>
      </c>
      <c r="H893">
        <f>IF(H$2=0,"",IFERROR(TRIM(INDEX('Pegar estudiantes'!$A$1:$BZ$1001,892,H$2)&amp;""),""))</f>
        <v/>
      </c>
      <c r="I893">
        <f>IF(I$2=0,"",IFERROR(TRIM(INDEX('Pegar estudiantes'!$A$1:$BZ$1001,892,I$2)&amp;""),""))</f>
        <v/>
      </c>
      <c r="J893">
        <f>IF(J$2=0,"",IFERROR(TRIM(INDEX('Pegar estudiantes'!$A$1:$BZ$1001,892,J$2)&amp;""),""))</f>
        <v/>
      </c>
      <c r="K893">
        <f>IF(K$2=0,"",IFERROR(TRIM(INDEX('Pegar estudiantes'!$A$1:$BZ$1001,892,K$2)&amp;""),""))</f>
        <v/>
      </c>
      <c r="L893" s="25">
        <f>IF(A893&lt;&gt;"",1,"")</f>
        <v/>
      </c>
      <c r="M893" s="25">
        <f>IF(L893=1,IF(ISNUMBER(FIND("#"&amp;MID(A893,1,1)&amp;"#","#0#1#2#3#4#5#6#7#8#9#")),IF(ISNUMBER(FIND("#"&amp;MID(A893,2,1)&amp;"#","#0#1#2#3#4#5#6#7#8#9#")),IF(AND(VALUE(LEFT(A893,2))&gt;=1,VALUE(LEFT(A893,2))&lt;=5),VALUE(LEFT(A893,2)),""),IF(AND(VALUE(LEFT(A893,1))&gt;=1,VALUE(LEFT(A893,1))&lt;=5),VALUE(LEFT(A893,1)),"")),""),"")</f>
        <v/>
      </c>
      <c r="N893" s="25">
        <f>IF(L893=1,IF(ISNUMBER(FIND("#"&amp;MID(H893,1,1)&amp;"#","#0#1#2#3#4#5#6#7#8#9#")),IF(ISNUMBER(FIND("#"&amp;MID(H893,2,1)&amp;"#","#0#1#2#3#4#5#6#7#8#9#")),IF(AND(VALUE(LEFT(H893,2))&gt;=1,VALUE(LEFT(H893,2))&lt;=5),VALUE(LEFT(H893,2)),""),IF(AND(VALUE(LEFT(H893,1))&gt;=1,VALUE(LEFT(H893,1))&lt;=5),VALUE(LEFT(H893,1)),"")),""),"")</f>
        <v/>
      </c>
      <c r="O893" s="25">
        <f>IF(AND(L893=1,B893&lt;&gt;""),SUBSTITUTE(SUBSTITUTE(SUBSTITUTE(SUBSTITUTE(SUBSTITUTE(SUBSTITUTE(SUBSTITUTE(SUBSTITUTE(SUBSTITUTE(SUBSTITUTE(SUBSTITUTE(SUBSTITUTE(LOWER(TRIM(B893)),"á","a"),"é","e"),"í","i"),"ó","o"),"ú","u"),"ü","u"),"ñ","n"),"à","a"),"è","e"),"ì","i"),"ò","o"),"ù","u"),"")</f>
        <v/>
      </c>
      <c r="P893" s="25">
        <f>IF(AND(L893=1,C893&lt;&gt;""),SUBSTITUTE(SUBSTITUTE(SUBSTITUTE(SUBSTITUTE(SUBSTITUTE(SUBSTITUTE(SUBSTITUTE(SUBSTITUTE(SUBSTITUTE(SUBSTITUTE(SUBSTITUTE(SUBSTITUTE(LOWER(TRIM(C893)),"á","a"),"é","e"),"í","i"),"ó","o"),"ú","u"),"ü","u"),"ñ","n"),"à","a"),"è","e"),"ì","i"),"ò","o"),"ù","u"),"")</f>
        <v/>
      </c>
      <c r="Q893" s="25">
        <f>IF(AND(L893=1,E893&lt;&gt;""),SUBSTITUTE(SUBSTITUTE(SUBSTITUTE(SUBSTITUTE(SUBSTITUTE(SUBSTITUTE(SUBSTITUTE(SUBSTITUTE(SUBSTITUTE(SUBSTITUTE(SUBSTITUTE(SUBSTITUTE(LOWER(TRIM(E893)),"á","a"),"é","e"),"í","i"),"ó","o"),"ú","u"),"ü","u"),"ñ","n"),"à","a"),"è","e"),"ì","i"),"ò","o"),"ù","u"),"")</f>
        <v/>
      </c>
      <c r="R893" s="25">
        <f>IF(AND(L893=1,I893&lt;&gt;""),SUBSTITUTE(SUBSTITUTE(SUBSTITUTE(SUBSTITUTE(SUBSTITUTE(SUBSTITUTE(SUBSTITUTE(SUBSTITUTE(SUBSTITUTE(SUBSTITUTE(SUBSTITUTE(SUBSTITUTE(LOWER(TRIM(I893)),"á","a"),"é","e"),"í","i"),"ó","o"),"ú","u"),"ü","u"),"ñ","n"),"à","a"),"è","e"),"ì","i"),"ò","o"),"ù","u"),"")</f>
        <v/>
      </c>
      <c r="S893" s="25">
        <f>IF(R893="","",IF(OR(R893="si",R893="tal vez"),1,0))</f>
        <v/>
      </c>
      <c r="T893" s="25">
        <f>IF(AND(L893=1,D893&lt;&gt;""),IF(IFERROR(COUNTIFS(D$3:D893,"="&amp;SUBSTITUTE(SUBSTITUTE(SUBSTITUTE(D893,"~","~~"),"*","~*"),"?","~?"),L$3:L893,1),0)=1,MAX(T$2:T892)+1,""),"")</f>
        <v/>
      </c>
      <c r="U893" s="25">
        <f>IF(T893="","",COUNTIFS($D$3:$D$1002,"="&amp;SUBSTITUTE(SUBSTITUTE(SUBSTITUTE(D893,"~","~~"),"*","~*"),"?","~?"),$L$3:$L$1002,1)*10000-T893)</f>
        <v/>
      </c>
      <c r="V893" s="25">
        <f>IF(AND(L893=1,J893&lt;&gt;""),IF(IFERROR(COUNTIFS(J$3:J893,"="&amp;SUBSTITUTE(SUBSTITUTE(SUBSTITUTE(J893,"~","~~"),"*","~*"),"?","~?"),L$3:L893,1),0)=1,MAX(V$2:V892)+1,""),"")</f>
        <v/>
      </c>
      <c r="W893" s="25">
        <f>IF(V893="","",COUNTIFS($J$3:$J$1002,"="&amp;SUBSTITUTE(SUBSTITUTE(SUBSTITUTE(J893,"~","~~"),"*","~*"),"?","~?"),$L$3:$L$1002,1)*10000-V893)</f>
        <v/>
      </c>
    </row>
    <row r="894">
      <c r="A894">
        <f>IF(A$2=0,"",IFERROR(TRIM(INDEX('Pegar estudiantes'!$A$1:$BZ$1001,893,A$2)&amp;""),""))</f>
        <v/>
      </c>
      <c r="B894">
        <f>IF(B$2=0,"",IFERROR(TRIM(INDEX('Pegar estudiantes'!$A$1:$BZ$1001,893,B$2)&amp;""),""))</f>
        <v/>
      </c>
      <c r="C894">
        <f>IF(C$2=0,"",IFERROR(TRIM(INDEX('Pegar estudiantes'!$A$1:$BZ$1001,893,C$2)&amp;""),""))</f>
        <v/>
      </c>
      <c r="D894">
        <f>IF(D$2=0,"",IFERROR(TRIM(INDEX('Pegar estudiantes'!$A$1:$BZ$1001,893,D$2)&amp;""),""))</f>
        <v/>
      </c>
      <c r="E894">
        <f>IF(E$2=0,"",IFERROR(TRIM(INDEX('Pegar estudiantes'!$A$1:$BZ$1001,893,E$2)&amp;""),""))</f>
        <v/>
      </c>
      <c r="F894">
        <f>IF(F$2=0,"",IFERROR(TRIM(INDEX('Pegar estudiantes'!$A$1:$BZ$1001,893,F$2)&amp;""),""))</f>
        <v/>
      </c>
      <c r="G894">
        <f>IF(G$2=0,"",IFERROR(TRIM(INDEX('Pegar estudiantes'!$A$1:$BZ$1001,893,G$2)&amp;""),""))</f>
        <v/>
      </c>
      <c r="H894">
        <f>IF(H$2=0,"",IFERROR(TRIM(INDEX('Pegar estudiantes'!$A$1:$BZ$1001,893,H$2)&amp;""),""))</f>
        <v/>
      </c>
      <c r="I894">
        <f>IF(I$2=0,"",IFERROR(TRIM(INDEX('Pegar estudiantes'!$A$1:$BZ$1001,893,I$2)&amp;""),""))</f>
        <v/>
      </c>
      <c r="J894">
        <f>IF(J$2=0,"",IFERROR(TRIM(INDEX('Pegar estudiantes'!$A$1:$BZ$1001,893,J$2)&amp;""),""))</f>
        <v/>
      </c>
      <c r="K894">
        <f>IF(K$2=0,"",IFERROR(TRIM(INDEX('Pegar estudiantes'!$A$1:$BZ$1001,893,K$2)&amp;""),""))</f>
        <v/>
      </c>
      <c r="L894" s="25">
        <f>IF(A894&lt;&gt;"",1,"")</f>
        <v/>
      </c>
      <c r="M894" s="25">
        <f>IF(L894=1,IF(ISNUMBER(FIND("#"&amp;MID(A894,1,1)&amp;"#","#0#1#2#3#4#5#6#7#8#9#")),IF(ISNUMBER(FIND("#"&amp;MID(A894,2,1)&amp;"#","#0#1#2#3#4#5#6#7#8#9#")),IF(AND(VALUE(LEFT(A894,2))&gt;=1,VALUE(LEFT(A894,2))&lt;=5),VALUE(LEFT(A894,2)),""),IF(AND(VALUE(LEFT(A894,1))&gt;=1,VALUE(LEFT(A894,1))&lt;=5),VALUE(LEFT(A894,1)),"")),""),"")</f>
        <v/>
      </c>
      <c r="N894" s="25">
        <f>IF(L894=1,IF(ISNUMBER(FIND("#"&amp;MID(H894,1,1)&amp;"#","#0#1#2#3#4#5#6#7#8#9#")),IF(ISNUMBER(FIND("#"&amp;MID(H894,2,1)&amp;"#","#0#1#2#3#4#5#6#7#8#9#")),IF(AND(VALUE(LEFT(H894,2))&gt;=1,VALUE(LEFT(H894,2))&lt;=5),VALUE(LEFT(H894,2)),""),IF(AND(VALUE(LEFT(H894,1))&gt;=1,VALUE(LEFT(H894,1))&lt;=5),VALUE(LEFT(H894,1)),"")),""),"")</f>
        <v/>
      </c>
      <c r="O894" s="25">
        <f>IF(AND(L894=1,B894&lt;&gt;""),SUBSTITUTE(SUBSTITUTE(SUBSTITUTE(SUBSTITUTE(SUBSTITUTE(SUBSTITUTE(SUBSTITUTE(SUBSTITUTE(SUBSTITUTE(SUBSTITUTE(SUBSTITUTE(SUBSTITUTE(LOWER(TRIM(B894)),"á","a"),"é","e"),"í","i"),"ó","o"),"ú","u"),"ü","u"),"ñ","n"),"à","a"),"è","e"),"ì","i"),"ò","o"),"ù","u"),"")</f>
        <v/>
      </c>
      <c r="P894" s="25">
        <f>IF(AND(L894=1,C894&lt;&gt;""),SUBSTITUTE(SUBSTITUTE(SUBSTITUTE(SUBSTITUTE(SUBSTITUTE(SUBSTITUTE(SUBSTITUTE(SUBSTITUTE(SUBSTITUTE(SUBSTITUTE(SUBSTITUTE(SUBSTITUTE(LOWER(TRIM(C894)),"á","a"),"é","e"),"í","i"),"ó","o"),"ú","u"),"ü","u"),"ñ","n"),"à","a"),"è","e"),"ì","i"),"ò","o"),"ù","u"),"")</f>
        <v/>
      </c>
      <c r="Q894" s="25">
        <f>IF(AND(L894=1,E894&lt;&gt;""),SUBSTITUTE(SUBSTITUTE(SUBSTITUTE(SUBSTITUTE(SUBSTITUTE(SUBSTITUTE(SUBSTITUTE(SUBSTITUTE(SUBSTITUTE(SUBSTITUTE(SUBSTITUTE(SUBSTITUTE(LOWER(TRIM(E894)),"á","a"),"é","e"),"í","i"),"ó","o"),"ú","u"),"ü","u"),"ñ","n"),"à","a"),"è","e"),"ì","i"),"ò","o"),"ù","u"),"")</f>
        <v/>
      </c>
      <c r="R894" s="25">
        <f>IF(AND(L894=1,I894&lt;&gt;""),SUBSTITUTE(SUBSTITUTE(SUBSTITUTE(SUBSTITUTE(SUBSTITUTE(SUBSTITUTE(SUBSTITUTE(SUBSTITUTE(SUBSTITUTE(SUBSTITUTE(SUBSTITUTE(SUBSTITUTE(LOWER(TRIM(I894)),"á","a"),"é","e"),"í","i"),"ó","o"),"ú","u"),"ü","u"),"ñ","n"),"à","a"),"è","e"),"ì","i"),"ò","o"),"ù","u"),"")</f>
        <v/>
      </c>
      <c r="S894" s="25">
        <f>IF(R894="","",IF(OR(R894="si",R894="tal vez"),1,0))</f>
        <v/>
      </c>
      <c r="T894" s="25">
        <f>IF(AND(L894=1,D894&lt;&gt;""),IF(IFERROR(COUNTIFS(D$3:D894,"="&amp;SUBSTITUTE(SUBSTITUTE(SUBSTITUTE(D894,"~","~~"),"*","~*"),"?","~?"),L$3:L894,1),0)=1,MAX(T$2:T893)+1,""),"")</f>
        <v/>
      </c>
      <c r="U894" s="25">
        <f>IF(T894="","",COUNTIFS($D$3:$D$1002,"="&amp;SUBSTITUTE(SUBSTITUTE(SUBSTITUTE(D894,"~","~~"),"*","~*"),"?","~?"),$L$3:$L$1002,1)*10000-T894)</f>
        <v/>
      </c>
      <c r="V894" s="25">
        <f>IF(AND(L894=1,J894&lt;&gt;""),IF(IFERROR(COUNTIFS(J$3:J894,"="&amp;SUBSTITUTE(SUBSTITUTE(SUBSTITUTE(J894,"~","~~"),"*","~*"),"?","~?"),L$3:L894,1),0)=1,MAX(V$2:V893)+1,""),"")</f>
        <v/>
      </c>
      <c r="W894" s="25">
        <f>IF(V894="","",COUNTIFS($J$3:$J$1002,"="&amp;SUBSTITUTE(SUBSTITUTE(SUBSTITUTE(J894,"~","~~"),"*","~*"),"?","~?"),$L$3:$L$1002,1)*10000-V894)</f>
        <v/>
      </c>
    </row>
    <row r="895">
      <c r="A895">
        <f>IF(A$2=0,"",IFERROR(TRIM(INDEX('Pegar estudiantes'!$A$1:$BZ$1001,894,A$2)&amp;""),""))</f>
        <v/>
      </c>
      <c r="B895">
        <f>IF(B$2=0,"",IFERROR(TRIM(INDEX('Pegar estudiantes'!$A$1:$BZ$1001,894,B$2)&amp;""),""))</f>
        <v/>
      </c>
      <c r="C895">
        <f>IF(C$2=0,"",IFERROR(TRIM(INDEX('Pegar estudiantes'!$A$1:$BZ$1001,894,C$2)&amp;""),""))</f>
        <v/>
      </c>
      <c r="D895">
        <f>IF(D$2=0,"",IFERROR(TRIM(INDEX('Pegar estudiantes'!$A$1:$BZ$1001,894,D$2)&amp;""),""))</f>
        <v/>
      </c>
      <c r="E895">
        <f>IF(E$2=0,"",IFERROR(TRIM(INDEX('Pegar estudiantes'!$A$1:$BZ$1001,894,E$2)&amp;""),""))</f>
        <v/>
      </c>
      <c r="F895">
        <f>IF(F$2=0,"",IFERROR(TRIM(INDEX('Pegar estudiantes'!$A$1:$BZ$1001,894,F$2)&amp;""),""))</f>
        <v/>
      </c>
      <c r="G895">
        <f>IF(G$2=0,"",IFERROR(TRIM(INDEX('Pegar estudiantes'!$A$1:$BZ$1001,894,G$2)&amp;""),""))</f>
        <v/>
      </c>
      <c r="H895">
        <f>IF(H$2=0,"",IFERROR(TRIM(INDEX('Pegar estudiantes'!$A$1:$BZ$1001,894,H$2)&amp;""),""))</f>
        <v/>
      </c>
      <c r="I895">
        <f>IF(I$2=0,"",IFERROR(TRIM(INDEX('Pegar estudiantes'!$A$1:$BZ$1001,894,I$2)&amp;""),""))</f>
        <v/>
      </c>
      <c r="J895">
        <f>IF(J$2=0,"",IFERROR(TRIM(INDEX('Pegar estudiantes'!$A$1:$BZ$1001,894,J$2)&amp;""),""))</f>
        <v/>
      </c>
      <c r="K895">
        <f>IF(K$2=0,"",IFERROR(TRIM(INDEX('Pegar estudiantes'!$A$1:$BZ$1001,894,K$2)&amp;""),""))</f>
        <v/>
      </c>
      <c r="L895" s="25">
        <f>IF(A895&lt;&gt;"",1,"")</f>
        <v/>
      </c>
      <c r="M895" s="25">
        <f>IF(L895=1,IF(ISNUMBER(FIND("#"&amp;MID(A895,1,1)&amp;"#","#0#1#2#3#4#5#6#7#8#9#")),IF(ISNUMBER(FIND("#"&amp;MID(A895,2,1)&amp;"#","#0#1#2#3#4#5#6#7#8#9#")),IF(AND(VALUE(LEFT(A895,2))&gt;=1,VALUE(LEFT(A895,2))&lt;=5),VALUE(LEFT(A895,2)),""),IF(AND(VALUE(LEFT(A895,1))&gt;=1,VALUE(LEFT(A895,1))&lt;=5),VALUE(LEFT(A895,1)),"")),""),"")</f>
        <v/>
      </c>
      <c r="N895" s="25">
        <f>IF(L895=1,IF(ISNUMBER(FIND("#"&amp;MID(H895,1,1)&amp;"#","#0#1#2#3#4#5#6#7#8#9#")),IF(ISNUMBER(FIND("#"&amp;MID(H895,2,1)&amp;"#","#0#1#2#3#4#5#6#7#8#9#")),IF(AND(VALUE(LEFT(H895,2))&gt;=1,VALUE(LEFT(H895,2))&lt;=5),VALUE(LEFT(H895,2)),""),IF(AND(VALUE(LEFT(H895,1))&gt;=1,VALUE(LEFT(H895,1))&lt;=5),VALUE(LEFT(H895,1)),"")),""),"")</f>
        <v/>
      </c>
      <c r="O895" s="25">
        <f>IF(AND(L895=1,B895&lt;&gt;""),SUBSTITUTE(SUBSTITUTE(SUBSTITUTE(SUBSTITUTE(SUBSTITUTE(SUBSTITUTE(SUBSTITUTE(SUBSTITUTE(SUBSTITUTE(SUBSTITUTE(SUBSTITUTE(SUBSTITUTE(LOWER(TRIM(B895)),"á","a"),"é","e"),"í","i"),"ó","o"),"ú","u"),"ü","u"),"ñ","n"),"à","a"),"è","e"),"ì","i"),"ò","o"),"ù","u"),"")</f>
        <v/>
      </c>
      <c r="P895" s="25">
        <f>IF(AND(L895=1,C895&lt;&gt;""),SUBSTITUTE(SUBSTITUTE(SUBSTITUTE(SUBSTITUTE(SUBSTITUTE(SUBSTITUTE(SUBSTITUTE(SUBSTITUTE(SUBSTITUTE(SUBSTITUTE(SUBSTITUTE(SUBSTITUTE(LOWER(TRIM(C895)),"á","a"),"é","e"),"í","i"),"ó","o"),"ú","u"),"ü","u"),"ñ","n"),"à","a"),"è","e"),"ì","i"),"ò","o"),"ù","u"),"")</f>
        <v/>
      </c>
      <c r="Q895" s="25">
        <f>IF(AND(L895=1,E895&lt;&gt;""),SUBSTITUTE(SUBSTITUTE(SUBSTITUTE(SUBSTITUTE(SUBSTITUTE(SUBSTITUTE(SUBSTITUTE(SUBSTITUTE(SUBSTITUTE(SUBSTITUTE(SUBSTITUTE(SUBSTITUTE(LOWER(TRIM(E895)),"á","a"),"é","e"),"í","i"),"ó","o"),"ú","u"),"ü","u"),"ñ","n"),"à","a"),"è","e"),"ì","i"),"ò","o"),"ù","u"),"")</f>
        <v/>
      </c>
      <c r="R895" s="25">
        <f>IF(AND(L895=1,I895&lt;&gt;""),SUBSTITUTE(SUBSTITUTE(SUBSTITUTE(SUBSTITUTE(SUBSTITUTE(SUBSTITUTE(SUBSTITUTE(SUBSTITUTE(SUBSTITUTE(SUBSTITUTE(SUBSTITUTE(SUBSTITUTE(LOWER(TRIM(I895)),"á","a"),"é","e"),"í","i"),"ó","o"),"ú","u"),"ü","u"),"ñ","n"),"à","a"),"è","e"),"ì","i"),"ò","o"),"ù","u"),"")</f>
        <v/>
      </c>
      <c r="S895" s="25">
        <f>IF(R895="","",IF(OR(R895="si",R895="tal vez"),1,0))</f>
        <v/>
      </c>
      <c r="T895" s="25">
        <f>IF(AND(L895=1,D895&lt;&gt;""),IF(IFERROR(COUNTIFS(D$3:D895,"="&amp;SUBSTITUTE(SUBSTITUTE(SUBSTITUTE(D895,"~","~~"),"*","~*"),"?","~?"),L$3:L895,1),0)=1,MAX(T$2:T894)+1,""),"")</f>
        <v/>
      </c>
      <c r="U895" s="25">
        <f>IF(T895="","",COUNTIFS($D$3:$D$1002,"="&amp;SUBSTITUTE(SUBSTITUTE(SUBSTITUTE(D895,"~","~~"),"*","~*"),"?","~?"),$L$3:$L$1002,1)*10000-T895)</f>
        <v/>
      </c>
      <c r="V895" s="25">
        <f>IF(AND(L895=1,J895&lt;&gt;""),IF(IFERROR(COUNTIFS(J$3:J895,"="&amp;SUBSTITUTE(SUBSTITUTE(SUBSTITUTE(J895,"~","~~"),"*","~*"),"?","~?"),L$3:L895,1),0)=1,MAX(V$2:V894)+1,""),"")</f>
        <v/>
      </c>
      <c r="W895" s="25">
        <f>IF(V895="","",COUNTIFS($J$3:$J$1002,"="&amp;SUBSTITUTE(SUBSTITUTE(SUBSTITUTE(J895,"~","~~"),"*","~*"),"?","~?"),$L$3:$L$1002,1)*10000-V895)</f>
        <v/>
      </c>
    </row>
    <row r="896">
      <c r="A896">
        <f>IF(A$2=0,"",IFERROR(TRIM(INDEX('Pegar estudiantes'!$A$1:$BZ$1001,895,A$2)&amp;""),""))</f>
        <v/>
      </c>
      <c r="B896">
        <f>IF(B$2=0,"",IFERROR(TRIM(INDEX('Pegar estudiantes'!$A$1:$BZ$1001,895,B$2)&amp;""),""))</f>
        <v/>
      </c>
      <c r="C896">
        <f>IF(C$2=0,"",IFERROR(TRIM(INDEX('Pegar estudiantes'!$A$1:$BZ$1001,895,C$2)&amp;""),""))</f>
        <v/>
      </c>
      <c r="D896">
        <f>IF(D$2=0,"",IFERROR(TRIM(INDEX('Pegar estudiantes'!$A$1:$BZ$1001,895,D$2)&amp;""),""))</f>
        <v/>
      </c>
      <c r="E896">
        <f>IF(E$2=0,"",IFERROR(TRIM(INDEX('Pegar estudiantes'!$A$1:$BZ$1001,895,E$2)&amp;""),""))</f>
        <v/>
      </c>
      <c r="F896">
        <f>IF(F$2=0,"",IFERROR(TRIM(INDEX('Pegar estudiantes'!$A$1:$BZ$1001,895,F$2)&amp;""),""))</f>
        <v/>
      </c>
      <c r="G896">
        <f>IF(G$2=0,"",IFERROR(TRIM(INDEX('Pegar estudiantes'!$A$1:$BZ$1001,895,G$2)&amp;""),""))</f>
        <v/>
      </c>
      <c r="H896">
        <f>IF(H$2=0,"",IFERROR(TRIM(INDEX('Pegar estudiantes'!$A$1:$BZ$1001,895,H$2)&amp;""),""))</f>
        <v/>
      </c>
      <c r="I896">
        <f>IF(I$2=0,"",IFERROR(TRIM(INDEX('Pegar estudiantes'!$A$1:$BZ$1001,895,I$2)&amp;""),""))</f>
        <v/>
      </c>
      <c r="J896">
        <f>IF(J$2=0,"",IFERROR(TRIM(INDEX('Pegar estudiantes'!$A$1:$BZ$1001,895,J$2)&amp;""),""))</f>
        <v/>
      </c>
      <c r="K896">
        <f>IF(K$2=0,"",IFERROR(TRIM(INDEX('Pegar estudiantes'!$A$1:$BZ$1001,895,K$2)&amp;""),""))</f>
        <v/>
      </c>
      <c r="L896" s="25">
        <f>IF(A896&lt;&gt;"",1,"")</f>
        <v/>
      </c>
      <c r="M896" s="25">
        <f>IF(L896=1,IF(ISNUMBER(FIND("#"&amp;MID(A896,1,1)&amp;"#","#0#1#2#3#4#5#6#7#8#9#")),IF(ISNUMBER(FIND("#"&amp;MID(A896,2,1)&amp;"#","#0#1#2#3#4#5#6#7#8#9#")),IF(AND(VALUE(LEFT(A896,2))&gt;=1,VALUE(LEFT(A896,2))&lt;=5),VALUE(LEFT(A896,2)),""),IF(AND(VALUE(LEFT(A896,1))&gt;=1,VALUE(LEFT(A896,1))&lt;=5),VALUE(LEFT(A896,1)),"")),""),"")</f>
        <v/>
      </c>
      <c r="N896" s="25">
        <f>IF(L896=1,IF(ISNUMBER(FIND("#"&amp;MID(H896,1,1)&amp;"#","#0#1#2#3#4#5#6#7#8#9#")),IF(ISNUMBER(FIND("#"&amp;MID(H896,2,1)&amp;"#","#0#1#2#3#4#5#6#7#8#9#")),IF(AND(VALUE(LEFT(H896,2))&gt;=1,VALUE(LEFT(H896,2))&lt;=5),VALUE(LEFT(H896,2)),""),IF(AND(VALUE(LEFT(H896,1))&gt;=1,VALUE(LEFT(H896,1))&lt;=5),VALUE(LEFT(H896,1)),"")),""),"")</f>
        <v/>
      </c>
      <c r="O896" s="25">
        <f>IF(AND(L896=1,B896&lt;&gt;""),SUBSTITUTE(SUBSTITUTE(SUBSTITUTE(SUBSTITUTE(SUBSTITUTE(SUBSTITUTE(SUBSTITUTE(SUBSTITUTE(SUBSTITUTE(SUBSTITUTE(SUBSTITUTE(SUBSTITUTE(LOWER(TRIM(B896)),"á","a"),"é","e"),"í","i"),"ó","o"),"ú","u"),"ü","u"),"ñ","n"),"à","a"),"è","e"),"ì","i"),"ò","o"),"ù","u"),"")</f>
        <v/>
      </c>
      <c r="P896" s="25">
        <f>IF(AND(L896=1,C896&lt;&gt;""),SUBSTITUTE(SUBSTITUTE(SUBSTITUTE(SUBSTITUTE(SUBSTITUTE(SUBSTITUTE(SUBSTITUTE(SUBSTITUTE(SUBSTITUTE(SUBSTITUTE(SUBSTITUTE(SUBSTITUTE(LOWER(TRIM(C896)),"á","a"),"é","e"),"í","i"),"ó","o"),"ú","u"),"ü","u"),"ñ","n"),"à","a"),"è","e"),"ì","i"),"ò","o"),"ù","u"),"")</f>
        <v/>
      </c>
      <c r="Q896" s="25">
        <f>IF(AND(L896=1,E896&lt;&gt;""),SUBSTITUTE(SUBSTITUTE(SUBSTITUTE(SUBSTITUTE(SUBSTITUTE(SUBSTITUTE(SUBSTITUTE(SUBSTITUTE(SUBSTITUTE(SUBSTITUTE(SUBSTITUTE(SUBSTITUTE(LOWER(TRIM(E896)),"á","a"),"é","e"),"í","i"),"ó","o"),"ú","u"),"ü","u"),"ñ","n"),"à","a"),"è","e"),"ì","i"),"ò","o"),"ù","u"),"")</f>
        <v/>
      </c>
      <c r="R896" s="25">
        <f>IF(AND(L896=1,I896&lt;&gt;""),SUBSTITUTE(SUBSTITUTE(SUBSTITUTE(SUBSTITUTE(SUBSTITUTE(SUBSTITUTE(SUBSTITUTE(SUBSTITUTE(SUBSTITUTE(SUBSTITUTE(SUBSTITUTE(SUBSTITUTE(LOWER(TRIM(I896)),"á","a"),"é","e"),"í","i"),"ó","o"),"ú","u"),"ü","u"),"ñ","n"),"à","a"),"è","e"),"ì","i"),"ò","o"),"ù","u"),"")</f>
        <v/>
      </c>
      <c r="S896" s="25">
        <f>IF(R896="","",IF(OR(R896="si",R896="tal vez"),1,0))</f>
        <v/>
      </c>
      <c r="T896" s="25">
        <f>IF(AND(L896=1,D896&lt;&gt;""),IF(IFERROR(COUNTIFS(D$3:D896,"="&amp;SUBSTITUTE(SUBSTITUTE(SUBSTITUTE(D896,"~","~~"),"*","~*"),"?","~?"),L$3:L896,1),0)=1,MAX(T$2:T895)+1,""),"")</f>
        <v/>
      </c>
      <c r="U896" s="25">
        <f>IF(T896="","",COUNTIFS($D$3:$D$1002,"="&amp;SUBSTITUTE(SUBSTITUTE(SUBSTITUTE(D896,"~","~~"),"*","~*"),"?","~?"),$L$3:$L$1002,1)*10000-T896)</f>
        <v/>
      </c>
      <c r="V896" s="25">
        <f>IF(AND(L896=1,J896&lt;&gt;""),IF(IFERROR(COUNTIFS(J$3:J896,"="&amp;SUBSTITUTE(SUBSTITUTE(SUBSTITUTE(J896,"~","~~"),"*","~*"),"?","~?"),L$3:L896,1),0)=1,MAX(V$2:V895)+1,""),"")</f>
        <v/>
      </c>
      <c r="W896" s="25">
        <f>IF(V896="","",COUNTIFS($J$3:$J$1002,"="&amp;SUBSTITUTE(SUBSTITUTE(SUBSTITUTE(J896,"~","~~"),"*","~*"),"?","~?"),$L$3:$L$1002,1)*10000-V896)</f>
        <v/>
      </c>
    </row>
    <row r="897">
      <c r="A897">
        <f>IF(A$2=0,"",IFERROR(TRIM(INDEX('Pegar estudiantes'!$A$1:$BZ$1001,896,A$2)&amp;""),""))</f>
        <v/>
      </c>
      <c r="B897">
        <f>IF(B$2=0,"",IFERROR(TRIM(INDEX('Pegar estudiantes'!$A$1:$BZ$1001,896,B$2)&amp;""),""))</f>
        <v/>
      </c>
      <c r="C897">
        <f>IF(C$2=0,"",IFERROR(TRIM(INDEX('Pegar estudiantes'!$A$1:$BZ$1001,896,C$2)&amp;""),""))</f>
        <v/>
      </c>
      <c r="D897">
        <f>IF(D$2=0,"",IFERROR(TRIM(INDEX('Pegar estudiantes'!$A$1:$BZ$1001,896,D$2)&amp;""),""))</f>
        <v/>
      </c>
      <c r="E897">
        <f>IF(E$2=0,"",IFERROR(TRIM(INDEX('Pegar estudiantes'!$A$1:$BZ$1001,896,E$2)&amp;""),""))</f>
        <v/>
      </c>
      <c r="F897">
        <f>IF(F$2=0,"",IFERROR(TRIM(INDEX('Pegar estudiantes'!$A$1:$BZ$1001,896,F$2)&amp;""),""))</f>
        <v/>
      </c>
      <c r="G897">
        <f>IF(G$2=0,"",IFERROR(TRIM(INDEX('Pegar estudiantes'!$A$1:$BZ$1001,896,G$2)&amp;""),""))</f>
        <v/>
      </c>
      <c r="H897">
        <f>IF(H$2=0,"",IFERROR(TRIM(INDEX('Pegar estudiantes'!$A$1:$BZ$1001,896,H$2)&amp;""),""))</f>
        <v/>
      </c>
      <c r="I897">
        <f>IF(I$2=0,"",IFERROR(TRIM(INDEX('Pegar estudiantes'!$A$1:$BZ$1001,896,I$2)&amp;""),""))</f>
        <v/>
      </c>
      <c r="J897">
        <f>IF(J$2=0,"",IFERROR(TRIM(INDEX('Pegar estudiantes'!$A$1:$BZ$1001,896,J$2)&amp;""),""))</f>
        <v/>
      </c>
      <c r="K897">
        <f>IF(K$2=0,"",IFERROR(TRIM(INDEX('Pegar estudiantes'!$A$1:$BZ$1001,896,K$2)&amp;""),""))</f>
        <v/>
      </c>
      <c r="L897" s="25">
        <f>IF(A897&lt;&gt;"",1,"")</f>
        <v/>
      </c>
      <c r="M897" s="25">
        <f>IF(L897=1,IF(ISNUMBER(FIND("#"&amp;MID(A897,1,1)&amp;"#","#0#1#2#3#4#5#6#7#8#9#")),IF(ISNUMBER(FIND("#"&amp;MID(A897,2,1)&amp;"#","#0#1#2#3#4#5#6#7#8#9#")),IF(AND(VALUE(LEFT(A897,2))&gt;=1,VALUE(LEFT(A897,2))&lt;=5),VALUE(LEFT(A897,2)),""),IF(AND(VALUE(LEFT(A897,1))&gt;=1,VALUE(LEFT(A897,1))&lt;=5),VALUE(LEFT(A897,1)),"")),""),"")</f>
        <v/>
      </c>
      <c r="N897" s="25">
        <f>IF(L897=1,IF(ISNUMBER(FIND("#"&amp;MID(H897,1,1)&amp;"#","#0#1#2#3#4#5#6#7#8#9#")),IF(ISNUMBER(FIND("#"&amp;MID(H897,2,1)&amp;"#","#0#1#2#3#4#5#6#7#8#9#")),IF(AND(VALUE(LEFT(H897,2))&gt;=1,VALUE(LEFT(H897,2))&lt;=5),VALUE(LEFT(H897,2)),""),IF(AND(VALUE(LEFT(H897,1))&gt;=1,VALUE(LEFT(H897,1))&lt;=5),VALUE(LEFT(H897,1)),"")),""),"")</f>
        <v/>
      </c>
      <c r="O897" s="25">
        <f>IF(AND(L897=1,B897&lt;&gt;""),SUBSTITUTE(SUBSTITUTE(SUBSTITUTE(SUBSTITUTE(SUBSTITUTE(SUBSTITUTE(SUBSTITUTE(SUBSTITUTE(SUBSTITUTE(SUBSTITUTE(SUBSTITUTE(SUBSTITUTE(LOWER(TRIM(B897)),"á","a"),"é","e"),"í","i"),"ó","o"),"ú","u"),"ü","u"),"ñ","n"),"à","a"),"è","e"),"ì","i"),"ò","o"),"ù","u"),"")</f>
        <v/>
      </c>
      <c r="P897" s="25">
        <f>IF(AND(L897=1,C897&lt;&gt;""),SUBSTITUTE(SUBSTITUTE(SUBSTITUTE(SUBSTITUTE(SUBSTITUTE(SUBSTITUTE(SUBSTITUTE(SUBSTITUTE(SUBSTITUTE(SUBSTITUTE(SUBSTITUTE(SUBSTITUTE(LOWER(TRIM(C897)),"á","a"),"é","e"),"í","i"),"ó","o"),"ú","u"),"ü","u"),"ñ","n"),"à","a"),"è","e"),"ì","i"),"ò","o"),"ù","u"),"")</f>
        <v/>
      </c>
      <c r="Q897" s="25">
        <f>IF(AND(L897=1,E897&lt;&gt;""),SUBSTITUTE(SUBSTITUTE(SUBSTITUTE(SUBSTITUTE(SUBSTITUTE(SUBSTITUTE(SUBSTITUTE(SUBSTITUTE(SUBSTITUTE(SUBSTITUTE(SUBSTITUTE(SUBSTITUTE(LOWER(TRIM(E897)),"á","a"),"é","e"),"í","i"),"ó","o"),"ú","u"),"ü","u"),"ñ","n"),"à","a"),"è","e"),"ì","i"),"ò","o"),"ù","u"),"")</f>
        <v/>
      </c>
      <c r="R897" s="25">
        <f>IF(AND(L897=1,I897&lt;&gt;""),SUBSTITUTE(SUBSTITUTE(SUBSTITUTE(SUBSTITUTE(SUBSTITUTE(SUBSTITUTE(SUBSTITUTE(SUBSTITUTE(SUBSTITUTE(SUBSTITUTE(SUBSTITUTE(SUBSTITUTE(LOWER(TRIM(I897)),"á","a"),"é","e"),"í","i"),"ó","o"),"ú","u"),"ü","u"),"ñ","n"),"à","a"),"è","e"),"ì","i"),"ò","o"),"ù","u"),"")</f>
        <v/>
      </c>
      <c r="S897" s="25">
        <f>IF(R897="","",IF(OR(R897="si",R897="tal vez"),1,0))</f>
        <v/>
      </c>
      <c r="T897" s="25">
        <f>IF(AND(L897=1,D897&lt;&gt;""),IF(IFERROR(COUNTIFS(D$3:D897,"="&amp;SUBSTITUTE(SUBSTITUTE(SUBSTITUTE(D897,"~","~~"),"*","~*"),"?","~?"),L$3:L897,1),0)=1,MAX(T$2:T896)+1,""),"")</f>
        <v/>
      </c>
      <c r="U897" s="25">
        <f>IF(T897="","",COUNTIFS($D$3:$D$1002,"="&amp;SUBSTITUTE(SUBSTITUTE(SUBSTITUTE(D897,"~","~~"),"*","~*"),"?","~?"),$L$3:$L$1002,1)*10000-T897)</f>
        <v/>
      </c>
      <c r="V897" s="25">
        <f>IF(AND(L897=1,J897&lt;&gt;""),IF(IFERROR(COUNTIFS(J$3:J897,"="&amp;SUBSTITUTE(SUBSTITUTE(SUBSTITUTE(J897,"~","~~"),"*","~*"),"?","~?"),L$3:L897,1),0)=1,MAX(V$2:V896)+1,""),"")</f>
        <v/>
      </c>
      <c r="W897" s="25">
        <f>IF(V897="","",COUNTIFS($J$3:$J$1002,"="&amp;SUBSTITUTE(SUBSTITUTE(SUBSTITUTE(J897,"~","~~"),"*","~*"),"?","~?"),$L$3:$L$1002,1)*10000-V897)</f>
        <v/>
      </c>
    </row>
    <row r="898">
      <c r="A898">
        <f>IF(A$2=0,"",IFERROR(TRIM(INDEX('Pegar estudiantes'!$A$1:$BZ$1001,897,A$2)&amp;""),""))</f>
        <v/>
      </c>
      <c r="B898">
        <f>IF(B$2=0,"",IFERROR(TRIM(INDEX('Pegar estudiantes'!$A$1:$BZ$1001,897,B$2)&amp;""),""))</f>
        <v/>
      </c>
      <c r="C898">
        <f>IF(C$2=0,"",IFERROR(TRIM(INDEX('Pegar estudiantes'!$A$1:$BZ$1001,897,C$2)&amp;""),""))</f>
        <v/>
      </c>
      <c r="D898">
        <f>IF(D$2=0,"",IFERROR(TRIM(INDEX('Pegar estudiantes'!$A$1:$BZ$1001,897,D$2)&amp;""),""))</f>
        <v/>
      </c>
      <c r="E898">
        <f>IF(E$2=0,"",IFERROR(TRIM(INDEX('Pegar estudiantes'!$A$1:$BZ$1001,897,E$2)&amp;""),""))</f>
        <v/>
      </c>
      <c r="F898">
        <f>IF(F$2=0,"",IFERROR(TRIM(INDEX('Pegar estudiantes'!$A$1:$BZ$1001,897,F$2)&amp;""),""))</f>
        <v/>
      </c>
      <c r="G898">
        <f>IF(G$2=0,"",IFERROR(TRIM(INDEX('Pegar estudiantes'!$A$1:$BZ$1001,897,G$2)&amp;""),""))</f>
        <v/>
      </c>
      <c r="H898">
        <f>IF(H$2=0,"",IFERROR(TRIM(INDEX('Pegar estudiantes'!$A$1:$BZ$1001,897,H$2)&amp;""),""))</f>
        <v/>
      </c>
      <c r="I898">
        <f>IF(I$2=0,"",IFERROR(TRIM(INDEX('Pegar estudiantes'!$A$1:$BZ$1001,897,I$2)&amp;""),""))</f>
        <v/>
      </c>
      <c r="J898">
        <f>IF(J$2=0,"",IFERROR(TRIM(INDEX('Pegar estudiantes'!$A$1:$BZ$1001,897,J$2)&amp;""),""))</f>
        <v/>
      </c>
      <c r="K898">
        <f>IF(K$2=0,"",IFERROR(TRIM(INDEX('Pegar estudiantes'!$A$1:$BZ$1001,897,K$2)&amp;""),""))</f>
        <v/>
      </c>
      <c r="L898" s="25">
        <f>IF(A898&lt;&gt;"",1,"")</f>
        <v/>
      </c>
      <c r="M898" s="25">
        <f>IF(L898=1,IF(ISNUMBER(FIND("#"&amp;MID(A898,1,1)&amp;"#","#0#1#2#3#4#5#6#7#8#9#")),IF(ISNUMBER(FIND("#"&amp;MID(A898,2,1)&amp;"#","#0#1#2#3#4#5#6#7#8#9#")),IF(AND(VALUE(LEFT(A898,2))&gt;=1,VALUE(LEFT(A898,2))&lt;=5),VALUE(LEFT(A898,2)),""),IF(AND(VALUE(LEFT(A898,1))&gt;=1,VALUE(LEFT(A898,1))&lt;=5),VALUE(LEFT(A898,1)),"")),""),"")</f>
        <v/>
      </c>
      <c r="N898" s="25">
        <f>IF(L898=1,IF(ISNUMBER(FIND("#"&amp;MID(H898,1,1)&amp;"#","#0#1#2#3#4#5#6#7#8#9#")),IF(ISNUMBER(FIND("#"&amp;MID(H898,2,1)&amp;"#","#0#1#2#3#4#5#6#7#8#9#")),IF(AND(VALUE(LEFT(H898,2))&gt;=1,VALUE(LEFT(H898,2))&lt;=5),VALUE(LEFT(H898,2)),""),IF(AND(VALUE(LEFT(H898,1))&gt;=1,VALUE(LEFT(H898,1))&lt;=5),VALUE(LEFT(H898,1)),"")),""),"")</f>
        <v/>
      </c>
      <c r="O898" s="25">
        <f>IF(AND(L898=1,B898&lt;&gt;""),SUBSTITUTE(SUBSTITUTE(SUBSTITUTE(SUBSTITUTE(SUBSTITUTE(SUBSTITUTE(SUBSTITUTE(SUBSTITUTE(SUBSTITUTE(SUBSTITUTE(SUBSTITUTE(SUBSTITUTE(LOWER(TRIM(B898)),"á","a"),"é","e"),"í","i"),"ó","o"),"ú","u"),"ü","u"),"ñ","n"),"à","a"),"è","e"),"ì","i"),"ò","o"),"ù","u"),"")</f>
        <v/>
      </c>
      <c r="P898" s="25">
        <f>IF(AND(L898=1,C898&lt;&gt;""),SUBSTITUTE(SUBSTITUTE(SUBSTITUTE(SUBSTITUTE(SUBSTITUTE(SUBSTITUTE(SUBSTITUTE(SUBSTITUTE(SUBSTITUTE(SUBSTITUTE(SUBSTITUTE(SUBSTITUTE(LOWER(TRIM(C898)),"á","a"),"é","e"),"í","i"),"ó","o"),"ú","u"),"ü","u"),"ñ","n"),"à","a"),"è","e"),"ì","i"),"ò","o"),"ù","u"),"")</f>
        <v/>
      </c>
      <c r="Q898" s="25">
        <f>IF(AND(L898=1,E898&lt;&gt;""),SUBSTITUTE(SUBSTITUTE(SUBSTITUTE(SUBSTITUTE(SUBSTITUTE(SUBSTITUTE(SUBSTITUTE(SUBSTITUTE(SUBSTITUTE(SUBSTITUTE(SUBSTITUTE(SUBSTITUTE(LOWER(TRIM(E898)),"á","a"),"é","e"),"í","i"),"ó","o"),"ú","u"),"ü","u"),"ñ","n"),"à","a"),"è","e"),"ì","i"),"ò","o"),"ù","u"),"")</f>
        <v/>
      </c>
      <c r="R898" s="25">
        <f>IF(AND(L898=1,I898&lt;&gt;""),SUBSTITUTE(SUBSTITUTE(SUBSTITUTE(SUBSTITUTE(SUBSTITUTE(SUBSTITUTE(SUBSTITUTE(SUBSTITUTE(SUBSTITUTE(SUBSTITUTE(SUBSTITUTE(SUBSTITUTE(LOWER(TRIM(I898)),"á","a"),"é","e"),"í","i"),"ó","o"),"ú","u"),"ü","u"),"ñ","n"),"à","a"),"è","e"),"ì","i"),"ò","o"),"ù","u"),"")</f>
        <v/>
      </c>
      <c r="S898" s="25">
        <f>IF(R898="","",IF(OR(R898="si",R898="tal vez"),1,0))</f>
        <v/>
      </c>
      <c r="T898" s="25">
        <f>IF(AND(L898=1,D898&lt;&gt;""),IF(IFERROR(COUNTIFS(D$3:D898,"="&amp;SUBSTITUTE(SUBSTITUTE(SUBSTITUTE(D898,"~","~~"),"*","~*"),"?","~?"),L$3:L898,1),0)=1,MAX(T$2:T897)+1,""),"")</f>
        <v/>
      </c>
      <c r="U898" s="25">
        <f>IF(T898="","",COUNTIFS($D$3:$D$1002,"="&amp;SUBSTITUTE(SUBSTITUTE(SUBSTITUTE(D898,"~","~~"),"*","~*"),"?","~?"),$L$3:$L$1002,1)*10000-T898)</f>
        <v/>
      </c>
      <c r="V898" s="25">
        <f>IF(AND(L898=1,J898&lt;&gt;""),IF(IFERROR(COUNTIFS(J$3:J898,"="&amp;SUBSTITUTE(SUBSTITUTE(SUBSTITUTE(J898,"~","~~"),"*","~*"),"?","~?"),L$3:L898,1),0)=1,MAX(V$2:V897)+1,""),"")</f>
        <v/>
      </c>
      <c r="W898" s="25">
        <f>IF(V898="","",COUNTIFS($J$3:$J$1002,"="&amp;SUBSTITUTE(SUBSTITUTE(SUBSTITUTE(J898,"~","~~"),"*","~*"),"?","~?"),$L$3:$L$1002,1)*10000-V898)</f>
        <v/>
      </c>
    </row>
    <row r="899">
      <c r="A899">
        <f>IF(A$2=0,"",IFERROR(TRIM(INDEX('Pegar estudiantes'!$A$1:$BZ$1001,898,A$2)&amp;""),""))</f>
        <v/>
      </c>
      <c r="B899">
        <f>IF(B$2=0,"",IFERROR(TRIM(INDEX('Pegar estudiantes'!$A$1:$BZ$1001,898,B$2)&amp;""),""))</f>
        <v/>
      </c>
      <c r="C899">
        <f>IF(C$2=0,"",IFERROR(TRIM(INDEX('Pegar estudiantes'!$A$1:$BZ$1001,898,C$2)&amp;""),""))</f>
        <v/>
      </c>
      <c r="D899">
        <f>IF(D$2=0,"",IFERROR(TRIM(INDEX('Pegar estudiantes'!$A$1:$BZ$1001,898,D$2)&amp;""),""))</f>
        <v/>
      </c>
      <c r="E899">
        <f>IF(E$2=0,"",IFERROR(TRIM(INDEX('Pegar estudiantes'!$A$1:$BZ$1001,898,E$2)&amp;""),""))</f>
        <v/>
      </c>
      <c r="F899">
        <f>IF(F$2=0,"",IFERROR(TRIM(INDEX('Pegar estudiantes'!$A$1:$BZ$1001,898,F$2)&amp;""),""))</f>
        <v/>
      </c>
      <c r="G899">
        <f>IF(G$2=0,"",IFERROR(TRIM(INDEX('Pegar estudiantes'!$A$1:$BZ$1001,898,G$2)&amp;""),""))</f>
        <v/>
      </c>
      <c r="H899">
        <f>IF(H$2=0,"",IFERROR(TRIM(INDEX('Pegar estudiantes'!$A$1:$BZ$1001,898,H$2)&amp;""),""))</f>
        <v/>
      </c>
      <c r="I899">
        <f>IF(I$2=0,"",IFERROR(TRIM(INDEX('Pegar estudiantes'!$A$1:$BZ$1001,898,I$2)&amp;""),""))</f>
        <v/>
      </c>
      <c r="J899">
        <f>IF(J$2=0,"",IFERROR(TRIM(INDEX('Pegar estudiantes'!$A$1:$BZ$1001,898,J$2)&amp;""),""))</f>
        <v/>
      </c>
      <c r="K899">
        <f>IF(K$2=0,"",IFERROR(TRIM(INDEX('Pegar estudiantes'!$A$1:$BZ$1001,898,K$2)&amp;""),""))</f>
        <v/>
      </c>
      <c r="L899" s="25">
        <f>IF(A899&lt;&gt;"",1,"")</f>
        <v/>
      </c>
      <c r="M899" s="25">
        <f>IF(L899=1,IF(ISNUMBER(FIND("#"&amp;MID(A899,1,1)&amp;"#","#0#1#2#3#4#5#6#7#8#9#")),IF(ISNUMBER(FIND("#"&amp;MID(A899,2,1)&amp;"#","#0#1#2#3#4#5#6#7#8#9#")),IF(AND(VALUE(LEFT(A899,2))&gt;=1,VALUE(LEFT(A899,2))&lt;=5),VALUE(LEFT(A899,2)),""),IF(AND(VALUE(LEFT(A899,1))&gt;=1,VALUE(LEFT(A899,1))&lt;=5),VALUE(LEFT(A899,1)),"")),""),"")</f>
        <v/>
      </c>
      <c r="N899" s="25">
        <f>IF(L899=1,IF(ISNUMBER(FIND("#"&amp;MID(H899,1,1)&amp;"#","#0#1#2#3#4#5#6#7#8#9#")),IF(ISNUMBER(FIND("#"&amp;MID(H899,2,1)&amp;"#","#0#1#2#3#4#5#6#7#8#9#")),IF(AND(VALUE(LEFT(H899,2))&gt;=1,VALUE(LEFT(H899,2))&lt;=5),VALUE(LEFT(H899,2)),""),IF(AND(VALUE(LEFT(H899,1))&gt;=1,VALUE(LEFT(H899,1))&lt;=5),VALUE(LEFT(H899,1)),"")),""),"")</f>
        <v/>
      </c>
      <c r="O899" s="25">
        <f>IF(AND(L899=1,B899&lt;&gt;""),SUBSTITUTE(SUBSTITUTE(SUBSTITUTE(SUBSTITUTE(SUBSTITUTE(SUBSTITUTE(SUBSTITUTE(SUBSTITUTE(SUBSTITUTE(SUBSTITUTE(SUBSTITUTE(SUBSTITUTE(LOWER(TRIM(B899)),"á","a"),"é","e"),"í","i"),"ó","o"),"ú","u"),"ü","u"),"ñ","n"),"à","a"),"è","e"),"ì","i"),"ò","o"),"ù","u"),"")</f>
        <v/>
      </c>
      <c r="P899" s="25">
        <f>IF(AND(L899=1,C899&lt;&gt;""),SUBSTITUTE(SUBSTITUTE(SUBSTITUTE(SUBSTITUTE(SUBSTITUTE(SUBSTITUTE(SUBSTITUTE(SUBSTITUTE(SUBSTITUTE(SUBSTITUTE(SUBSTITUTE(SUBSTITUTE(LOWER(TRIM(C899)),"á","a"),"é","e"),"í","i"),"ó","o"),"ú","u"),"ü","u"),"ñ","n"),"à","a"),"è","e"),"ì","i"),"ò","o"),"ù","u"),"")</f>
        <v/>
      </c>
      <c r="Q899" s="25">
        <f>IF(AND(L899=1,E899&lt;&gt;""),SUBSTITUTE(SUBSTITUTE(SUBSTITUTE(SUBSTITUTE(SUBSTITUTE(SUBSTITUTE(SUBSTITUTE(SUBSTITUTE(SUBSTITUTE(SUBSTITUTE(SUBSTITUTE(SUBSTITUTE(LOWER(TRIM(E899)),"á","a"),"é","e"),"í","i"),"ó","o"),"ú","u"),"ü","u"),"ñ","n"),"à","a"),"è","e"),"ì","i"),"ò","o"),"ù","u"),"")</f>
        <v/>
      </c>
      <c r="R899" s="25">
        <f>IF(AND(L899=1,I899&lt;&gt;""),SUBSTITUTE(SUBSTITUTE(SUBSTITUTE(SUBSTITUTE(SUBSTITUTE(SUBSTITUTE(SUBSTITUTE(SUBSTITUTE(SUBSTITUTE(SUBSTITUTE(SUBSTITUTE(SUBSTITUTE(LOWER(TRIM(I899)),"á","a"),"é","e"),"í","i"),"ó","o"),"ú","u"),"ü","u"),"ñ","n"),"à","a"),"è","e"),"ì","i"),"ò","o"),"ù","u"),"")</f>
        <v/>
      </c>
      <c r="S899" s="25">
        <f>IF(R899="","",IF(OR(R899="si",R899="tal vez"),1,0))</f>
        <v/>
      </c>
      <c r="T899" s="25">
        <f>IF(AND(L899=1,D899&lt;&gt;""),IF(IFERROR(COUNTIFS(D$3:D899,"="&amp;SUBSTITUTE(SUBSTITUTE(SUBSTITUTE(D899,"~","~~"),"*","~*"),"?","~?"),L$3:L899,1),0)=1,MAX(T$2:T898)+1,""),"")</f>
        <v/>
      </c>
      <c r="U899" s="25">
        <f>IF(T899="","",COUNTIFS($D$3:$D$1002,"="&amp;SUBSTITUTE(SUBSTITUTE(SUBSTITUTE(D899,"~","~~"),"*","~*"),"?","~?"),$L$3:$L$1002,1)*10000-T899)</f>
        <v/>
      </c>
      <c r="V899" s="25">
        <f>IF(AND(L899=1,J899&lt;&gt;""),IF(IFERROR(COUNTIFS(J$3:J899,"="&amp;SUBSTITUTE(SUBSTITUTE(SUBSTITUTE(J899,"~","~~"),"*","~*"),"?","~?"),L$3:L899,1),0)=1,MAX(V$2:V898)+1,""),"")</f>
        <v/>
      </c>
      <c r="W899" s="25">
        <f>IF(V899="","",COUNTIFS($J$3:$J$1002,"="&amp;SUBSTITUTE(SUBSTITUTE(SUBSTITUTE(J899,"~","~~"),"*","~*"),"?","~?"),$L$3:$L$1002,1)*10000-V899)</f>
        <v/>
      </c>
    </row>
    <row r="900">
      <c r="A900">
        <f>IF(A$2=0,"",IFERROR(TRIM(INDEX('Pegar estudiantes'!$A$1:$BZ$1001,899,A$2)&amp;""),""))</f>
        <v/>
      </c>
      <c r="B900">
        <f>IF(B$2=0,"",IFERROR(TRIM(INDEX('Pegar estudiantes'!$A$1:$BZ$1001,899,B$2)&amp;""),""))</f>
        <v/>
      </c>
      <c r="C900">
        <f>IF(C$2=0,"",IFERROR(TRIM(INDEX('Pegar estudiantes'!$A$1:$BZ$1001,899,C$2)&amp;""),""))</f>
        <v/>
      </c>
      <c r="D900">
        <f>IF(D$2=0,"",IFERROR(TRIM(INDEX('Pegar estudiantes'!$A$1:$BZ$1001,899,D$2)&amp;""),""))</f>
        <v/>
      </c>
      <c r="E900">
        <f>IF(E$2=0,"",IFERROR(TRIM(INDEX('Pegar estudiantes'!$A$1:$BZ$1001,899,E$2)&amp;""),""))</f>
        <v/>
      </c>
      <c r="F900">
        <f>IF(F$2=0,"",IFERROR(TRIM(INDEX('Pegar estudiantes'!$A$1:$BZ$1001,899,F$2)&amp;""),""))</f>
        <v/>
      </c>
      <c r="G900">
        <f>IF(G$2=0,"",IFERROR(TRIM(INDEX('Pegar estudiantes'!$A$1:$BZ$1001,899,G$2)&amp;""),""))</f>
        <v/>
      </c>
      <c r="H900">
        <f>IF(H$2=0,"",IFERROR(TRIM(INDEX('Pegar estudiantes'!$A$1:$BZ$1001,899,H$2)&amp;""),""))</f>
        <v/>
      </c>
      <c r="I900">
        <f>IF(I$2=0,"",IFERROR(TRIM(INDEX('Pegar estudiantes'!$A$1:$BZ$1001,899,I$2)&amp;""),""))</f>
        <v/>
      </c>
      <c r="J900">
        <f>IF(J$2=0,"",IFERROR(TRIM(INDEX('Pegar estudiantes'!$A$1:$BZ$1001,899,J$2)&amp;""),""))</f>
        <v/>
      </c>
      <c r="K900">
        <f>IF(K$2=0,"",IFERROR(TRIM(INDEX('Pegar estudiantes'!$A$1:$BZ$1001,899,K$2)&amp;""),""))</f>
        <v/>
      </c>
      <c r="L900" s="25">
        <f>IF(A900&lt;&gt;"",1,"")</f>
        <v/>
      </c>
      <c r="M900" s="25">
        <f>IF(L900=1,IF(ISNUMBER(FIND("#"&amp;MID(A900,1,1)&amp;"#","#0#1#2#3#4#5#6#7#8#9#")),IF(ISNUMBER(FIND("#"&amp;MID(A900,2,1)&amp;"#","#0#1#2#3#4#5#6#7#8#9#")),IF(AND(VALUE(LEFT(A900,2))&gt;=1,VALUE(LEFT(A900,2))&lt;=5),VALUE(LEFT(A900,2)),""),IF(AND(VALUE(LEFT(A900,1))&gt;=1,VALUE(LEFT(A900,1))&lt;=5),VALUE(LEFT(A900,1)),"")),""),"")</f>
        <v/>
      </c>
      <c r="N900" s="25">
        <f>IF(L900=1,IF(ISNUMBER(FIND("#"&amp;MID(H900,1,1)&amp;"#","#0#1#2#3#4#5#6#7#8#9#")),IF(ISNUMBER(FIND("#"&amp;MID(H900,2,1)&amp;"#","#0#1#2#3#4#5#6#7#8#9#")),IF(AND(VALUE(LEFT(H900,2))&gt;=1,VALUE(LEFT(H900,2))&lt;=5),VALUE(LEFT(H900,2)),""),IF(AND(VALUE(LEFT(H900,1))&gt;=1,VALUE(LEFT(H900,1))&lt;=5),VALUE(LEFT(H900,1)),"")),""),"")</f>
        <v/>
      </c>
      <c r="O900" s="25">
        <f>IF(AND(L900=1,B900&lt;&gt;""),SUBSTITUTE(SUBSTITUTE(SUBSTITUTE(SUBSTITUTE(SUBSTITUTE(SUBSTITUTE(SUBSTITUTE(SUBSTITUTE(SUBSTITUTE(SUBSTITUTE(SUBSTITUTE(SUBSTITUTE(LOWER(TRIM(B900)),"á","a"),"é","e"),"í","i"),"ó","o"),"ú","u"),"ü","u"),"ñ","n"),"à","a"),"è","e"),"ì","i"),"ò","o"),"ù","u"),"")</f>
        <v/>
      </c>
      <c r="P900" s="25">
        <f>IF(AND(L900=1,C900&lt;&gt;""),SUBSTITUTE(SUBSTITUTE(SUBSTITUTE(SUBSTITUTE(SUBSTITUTE(SUBSTITUTE(SUBSTITUTE(SUBSTITUTE(SUBSTITUTE(SUBSTITUTE(SUBSTITUTE(SUBSTITUTE(LOWER(TRIM(C900)),"á","a"),"é","e"),"í","i"),"ó","o"),"ú","u"),"ü","u"),"ñ","n"),"à","a"),"è","e"),"ì","i"),"ò","o"),"ù","u"),"")</f>
        <v/>
      </c>
      <c r="Q900" s="25">
        <f>IF(AND(L900=1,E900&lt;&gt;""),SUBSTITUTE(SUBSTITUTE(SUBSTITUTE(SUBSTITUTE(SUBSTITUTE(SUBSTITUTE(SUBSTITUTE(SUBSTITUTE(SUBSTITUTE(SUBSTITUTE(SUBSTITUTE(SUBSTITUTE(LOWER(TRIM(E900)),"á","a"),"é","e"),"í","i"),"ó","o"),"ú","u"),"ü","u"),"ñ","n"),"à","a"),"è","e"),"ì","i"),"ò","o"),"ù","u"),"")</f>
        <v/>
      </c>
      <c r="R900" s="25">
        <f>IF(AND(L900=1,I900&lt;&gt;""),SUBSTITUTE(SUBSTITUTE(SUBSTITUTE(SUBSTITUTE(SUBSTITUTE(SUBSTITUTE(SUBSTITUTE(SUBSTITUTE(SUBSTITUTE(SUBSTITUTE(SUBSTITUTE(SUBSTITUTE(LOWER(TRIM(I900)),"á","a"),"é","e"),"í","i"),"ó","o"),"ú","u"),"ü","u"),"ñ","n"),"à","a"),"è","e"),"ì","i"),"ò","o"),"ù","u"),"")</f>
        <v/>
      </c>
      <c r="S900" s="25">
        <f>IF(R900="","",IF(OR(R900="si",R900="tal vez"),1,0))</f>
        <v/>
      </c>
      <c r="T900" s="25">
        <f>IF(AND(L900=1,D900&lt;&gt;""),IF(IFERROR(COUNTIFS(D$3:D900,"="&amp;SUBSTITUTE(SUBSTITUTE(SUBSTITUTE(D900,"~","~~"),"*","~*"),"?","~?"),L$3:L900,1),0)=1,MAX(T$2:T899)+1,""),"")</f>
        <v/>
      </c>
      <c r="U900" s="25">
        <f>IF(T900="","",COUNTIFS($D$3:$D$1002,"="&amp;SUBSTITUTE(SUBSTITUTE(SUBSTITUTE(D900,"~","~~"),"*","~*"),"?","~?"),$L$3:$L$1002,1)*10000-T900)</f>
        <v/>
      </c>
      <c r="V900" s="25">
        <f>IF(AND(L900=1,J900&lt;&gt;""),IF(IFERROR(COUNTIFS(J$3:J900,"="&amp;SUBSTITUTE(SUBSTITUTE(SUBSTITUTE(J900,"~","~~"),"*","~*"),"?","~?"),L$3:L900,1),0)=1,MAX(V$2:V899)+1,""),"")</f>
        <v/>
      </c>
      <c r="W900" s="25">
        <f>IF(V900="","",COUNTIFS($J$3:$J$1002,"="&amp;SUBSTITUTE(SUBSTITUTE(SUBSTITUTE(J900,"~","~~"),"*","~*"),"?","~?"),$L$3:$L$1002,1)*10000-V900)</f>
        <v/>
      </c>
    </row>
    <row r="901">
      <c r="A901">
        <f>IF(A$2=0,"",IFERROR(TRIM(INDEX('Pegar estudiantes'!$A$1:$BZ$1001,900,A$2)&amp;""),""))</f>
        <v/>
      </c>
      <c r="B901">
        <f>IF(B$2=0,"",IFERROR(TRIM(INDEX('Pegar estudiantes'!$A$1:$BZ$1001,900,B$2)&amp;""),""))</f>
        <v/>
      </c>
      <c r="C901">
        <f>IF(C$2=0,"",IFERROR(TRIM(INDEX('Pegar estudiantes'!$A$1:$BZ$1001,900,C$2)&amp;""),""))</f>
        <v/>
      </c>
      <c r="D901">
        <f>IF(D$2=0,"",IFERROR(TRIM(INDEX('Pegar estudiantes'!$A$1:$BZ$1001,900,D$2)&amp;""),""))</f>
        <v/>
      </c>
      <c r="E901">
        <f>IF(E$2=0,"",IFERROR(TRIM(INDEX('Pegar estudiantes'!$A$1:$BZ$1001,900,E$2)&amp;""),""))</f>
        <v/>
      </c>
      <c r="F901">
        <f>IF(F$2=0,"",IFERROR(TRIM(INDEX('Pegar estudiantes'!$A$1:$BZ$1001,900,F$2)&amp;""),""))</f>
        <v/>
      </c>
      <c r="G901">
        <f>IF(G$2=0,"",IFERROR(TRIM(INDEX('Pegar estudiantes'!$A$1:$BZ$1001,900,G$2)&amp;""),""))</f>
        <v/>
      </c>
      <c r="H901">
        <f>IF(H$2=0,"",IFERROR(TRIM(INDEX('Pegar estudiantes'!$A$1:$BZ$1001,900,H$2)&amp;""),""))</f>
        <v/>
      </c>
      <c r="I901">
        <f>IF(I$2=0,"",IFERROR(TRIM(INDEX('Pegar estudiantes'!$A$1:$BZ$1001,900,I$2)&amp;""),""))</f>
        <v/>
      </c>
      <c r="J901">
        <f>IF(J$2=0,"",IFERROR(TRIM(INDEX('Pegar estudiantes'!$A$1:$BZ$1001,900,J$2)&amp;""),""))</f>
        <v/>
      </c>
      <c r="K901">
        <f>IF(K$2=0,"",IFERROR(TRIM(INDEX('Pegar estudiantes'!$A$1:$BZ$1001,900,K$2)&amp;""),""))</f>
        <v/>
      </c>
      <c r="L901" s="25">
        <f>IF(A901&lt;&gt;"",1,"")</f>
        <v/>
      </c>
      <c r="M901" s="25">
        <f>IF(L901=1,IF(ISNUMBER(FIND("#"&amp;MID(A901,1,1)&amp;"#","#0#1#2#3#4#5#6#7#8#9#")),IF(ISNUMBER(FIND("#"&amp;MID(A901,2,1)&amp;"#","#0#1#2#3#4#5#6#7#8#9#")),IF(AND(VALUE(LEFT(A901,2))&gt;=1,VALUE(LEFT(A901,2))&lt;=5),VALUE(LEFT(A901,2)),""),IF(AND(VALUE(LEFT(A901,1))&gt;=1,VALUE(LEFT(A901,1))&lt;=5),VALUE(LEFT(A901,1)),"")),""),"")</f>
        <v/>
      </c>
      <c r="N901" s="25">
        <f>IF(L901=1,IF(ISNUMBER(FIND("#"&amp;MID(H901,1,1)&amp;"#","#0#1#2#3#4#5#6#7#8#9#")),IF(ISNUMBER(FIND("#"&amp;MID(H901,2,1)&amp;"#","#0#1#2#3#4#5#6#7#8#9#")),IF(AND(VALUE(LEFT(H901,2))&gt;=1,VALUE(LEFT(H901,2))&lt;=5),VALUE(LEFT(H901,2)),""),IF(AND(VALUE(LEFT(H901,1))&gt;=1,VALUE(LEFT(H901,1))&lt;=5),VALUE(LEFT(H901,1)),"")),""),"")</f>
        <v/>
      </c>
      <c r="O901" s="25">
        <f>IF(AND(L901=1,B901&lt;&gt;""),SUBSTITUTE(SUBSTITUTE(SUBSTITUTE(SUBSTITUTE(SUBSTITUTE(SUBSTITUTE(SUBSTITUTE(SUBSTITUTE(SUBSTITUTE(SUBSTITUTE(SUBSTITUTE(SUBSTITUTE(LOWER(TRIM(B901)),"á","a"),"é","e"),"í","i"),"ó","o"),"ú","u"),"ü","u"),"ñ","n"),"à","a"),"è","e"),"ì","i"),"ò","o"),"ù","u"),"")</f>
        <v/>
      </c>
      <c r="P901" s="25">
        <f>IF(AND(L901=1,C901&lt;&gt;""),SUBSTITUTE(SUBSTITUTE(SUBSTITUTE(SUBSTITUTE(SUBSTITUTE(SUBSTITUTE(SUBSTITUTE(SUBSTITUTE(SUBSTITUTE(SUBSTITUTE(SUBSTITUTE(SUBSTITUTE(LOWER(TRIM(C901)),"á","a"),"é","e"),"í","i"),"ó","o"),"ú","u"),"ü","u"),"ñ","n"),"à","a"),"è","e"),"ì","i"),"ò","o"),"ù","u"),"")</f>
        <v/>
      </c>
      <c r="Q901" s="25">
        <f>IF(AND(L901=1,E901&lt;&gt;""),SUBSTITUTE(SUBSTITUTE(SUBSTITUTE(SUBSTITUTE(SUBSTITUTE(SUBSTITUTE(SUBSTITUTE(SUBSTITUTE(SUBSTITUTE(SUBSTITUTE(SUBSTITUTE(SUBSTITUTE(LOWER(TRIM(E901)),"á","a"),"é","e"),"í","i"),"ó","o"),"ú","u"),"ü","u"),"ñ","n"),"à","a"),"è","e"),"ì","i"),"ò","o"),"ù","u"),"")</f>
        <v/>
      </c>
      <c r="R901" s="25">
        <f>IF(AND(L901=1,I901&lt;&gt;""),SUBSTITUTE(SUBSTITUTE(SUBSTITUTE(SUBSTITUTE(SUBSTITUTE(SUBSTITUTE(SUBSTITUTE(SUBSTITUTE(SUBSTITUTE(SUBSTITUTE(SUBSTITUTE(SUBSTITUTE(LOWER(TRIM(I901)),"á","a"),"é","e"),"í","i"),"ó","o"),"ú","u"),"ü","u"),"ñ","n"),"à","a"),"è","e"),"ì","i"),"ò","o"),"ù","u"),"")</f>
        <v/>
      </c>
      <c r="S901" s="25">
        <f>IF(R901="","",IF(OR(R901="si",R901="tal vez"),1,0))</f>
        <v/>
      </c>
      <c r="T901" s="25">
        <f>IF(AND(L901=1,D901&lt;&gt;""),IF(IFERROR(COUNTIFS(D$3:D901,"="&amp;SUBSTITUTE(SUBSTITUTE(SUBSTITUTE(D901,"~","~~"),"*","~*"),"?","~?"),L$3:L901,1),0)=1,MAX(T$2:T900)+1,""),"")</f>
        <v/>
      </c>
      <c r="U901" s="25">
        <f>IF(T901="","",COUNTIFS($D$3:$D$1002,"="&amp;SUBSTITUTE(SUBSTITUTE(SUBSTITUTE(D901,"~","~~"),"*","~*"),"?","~?"),$L$3:$L$1002,1)*10000-T901)</f>
        <v/>
      </c>
      <c r="V901" s="25">
        <f>IF(AND(L901=1,J901&lt;&gt;""),IF(IFERROR(COUNTIFS(J$3:J901,"="&amp;SUBSTITUTE(SUBSTITUTE(SUBSTITUTE(J901,"~","~~"),"*","~*"),"?","~?"),L$3:L901,1),0)=1,MAX(V$2:V900)+1,""),"")</f>
        <v/>
      </c>
      <c r="W901" s="25">
        <f>IF(V901="","",COUNTIFS($J$3:$J$1002,"="&amp;SUBSTITUTE(SUBSTITUTE(SUBSTITUTE(J901,"~","~~"),"*","~*"),"?","~?"),$L$3:$L$1002,1)*10000-V901)</f>
        <v/>
      </c>
    </row>
    <row r="902">
      <c r="A902">
        <f>IF(A$2=0,"",IFERROR(TRIM(INDEX('Pegar estudiantes'!$A$1:$BZ$1001,901,A$2)&amp;""),""))</f>
        <v/>
      </c>
      <c r="B902">
        <f>IF(B$2=0,"",IFERROR(TRIM(INDEX('Pegar estudiantes'!$A$1:$BZ$1001,901,B$2)&amp;""),""))</f>
        <v/>
      </c>
      <c r="C902">
        <f>IF(C$2=0,"",IFERROR(TRIM(INDEX('Pegar estudiantes'!$A$1:$BZ$1001,901,C$2)&amp;""),""))</f>
        <v/>
      </c>
      <c r="D902">
        <f>IF(D$2=0,"",IFERROR(TRIM(INDEX('Pegar estudiantes'!$A$1:$BZ$1001,901,D$2)&amp;""),""))</f>
        <v/>
      </c>
      <c r="E902">
        <f>IF(E$2=0,"",IFERROR(TRIM(INDEX('Pegar estudiantes'!$A$1:$BZ$1001,901,E$2)&amp;""),""))</f>
        <v/>
      </c>
      <c r="F902">
        <f>IF(F$2=0,"",IFERROR(TRIM(INDEX('Pegar estudiantes'!$A$1:$BZ$1001,901,F$2)&amp;""),""))</f>
        <v/>
      </c>
      <c r="G902">
        <f>IF(G$2=0,"",IFERROR(TRIM(INDEX('Pegar estudiantes'!$A$1:$BZ$1001,901,G$2)&amp;""),""))</f>
        <v/>
      </c>
      <c r="H902">
        <f>IF(H$2=0,"",IFERROR(TRIM(INDEX('Pegar estudiantes'!$A$1:$BZ$1001,901,H$2)&amp;""),""))</f>
        <v/>
      </c>
      <c r="I902">
        <f>IF(I$2=0,"",IFERROR(TRIM(INDEX('Pegar estudiantes'!$A$1:$BZ$1001,901,I$2)&amp;""),""))</f>
        <v/>
      </c>
      <c r="J902">
        <f>IF(J$2=0,"",IFERROR(TRIM(INDEX('Pegar estudiantes'!$A$1:$BZ$1001,901,J$2)&amp;""),""))</f>
        <v/>
      </c>
      <c r="K902">
        <f>IF(K$2=0,"",IFERROR(TRIM(INDEX('Pegar estudiantes'!$A$1:$BZ$1001,901,K$2)&amp;""),""))</f>
        <v/>
      </c>
      <c r="L902" s="25">
        <f>IF(A902&lt;&gt;"",1,"")</f>
        <v/>
      </c>
      <c r="M902" s="25">
        <f>IF(L902=1,IF(ISNUMBER(FIND("#"&amp;MID(A902,1,1)&amp;"#","#0#1#2#3#4#5#6#7#8#9#")),IF(ISNUMBER(FIND("#"&amp;MID(A902,2,1)&amp;"#","#0#1#2#3#4#5#6#7#8#9#")),IF(AND(VALUE(LEFT(A902,2))&gt;=1,VALUE(LEFT(A902,2))&lt;=5),VALUE(LEFT(A902,2)),""),IF(AND(VALUE(LEFT(A902,1))&gt;=1,VALUE(LEFT(A902,1))&lt;=5),VALUE(LEFT(A902,1)),"")),""),"")</f>
        <v/>
      </c>
      <c r="N902" s="25">
        <f>IF(L902=1,IF(ISNUMBER(FIND("#"&amp;MID(H902,1,1)&amp;"#","#0#1#2#3#4#5#6#7#8#9#")),IF(ISNUMBER(FIND("#"&amp;MID(H902,2,1)&amp;"#","#0#1#2#3#4#5#6#7#8#9#")),IF(AND(VALUE(LEFT(H902,2))&gt;=1,VALUE(LEFT(H902,2))&lt;=5),VALUE(LEFT(H902,2)),""),IF(AND(VALUE(LEFT(H902,1))&gt;=1,VALUE(LEFT(H902,1))&lt;=5),VALUE(LEFT(H902,1)),"")),""),"")</f>
        <v/>
      </c>
      <c r="O902" s="25">
        <f>IF(AND(L902=1,B902&lt;&gt;""),SUBSTITUTE(SUBSTITUTE(SUBSTITUTE(SUBSTITUTE(SUBSTITUTE(SUBSTITUTE(SUBSTITUTE(SUBSTITUTE(SUBSTITUTE(SUBSTITUTE(SUBSTITUTE(SUBSTITUTE(LOWER(TRIM(B902)),"á","a"),"é","e"),"í","i"),"ó","o"),"ú","u"),"ü","u"),"ñ","n"),"à","a"),"è","e"),"ì","i"),"ò","o"),"ù","u"),"")</f>
        <v/>
      </c>
      <c r="P902" s="25">
        <f>IF(AND(L902=1,C902&lt;&gt;""),SUBSTITUTE(SUBSTITUTE(SUBSTITUTE(SUBSTITUTE(SUBSTITUTE(SUBSTITUTE(SUBSTITUTE(SUBSTITUTE(SUBSTITUTE(SUBSTITUTE(SUBSTITUTE(SUBSTITUTE(LOWER(TRIM(C902)),"á","a"),"é","e"),"í","i"),"ó","o"),"ú","u"),"ü","u"),"ñ","n"),"à","a"),"è","e"),"ì","i"),"ò","o"),"ù","u"),"")</f>
        <v/>
      </c>
      <c r="Q902" s="25">
        <f>IF(AND(L902=1,E902&lt;&gt;""),SUBSTITUTE(SUBSTITUTE(SUBSTITUTE(SUBSTITUTE(SUBSTITUTE(SUBSTITUTE(SUBSTITUTE(SUBSTITUTE(SUBSTITUTE(SUBSTITUTE(SUBSTITUTE(SUBSTITUTE(LOWER(TRIM(E902)),"á","a"),"é","e"),"í","i"),"ó","o"),"ú","u"),"ü","u"),"ñ","n"),"à","a"),"è","e"),"ì","i"),"ò","o"),"ù","u"),"")</f>
        <v/>
      </c>
      <c r="R902" s="25">
        <f>IF(AND(L902=1,I902&lt;&gt;""),SUBSTITUTE(SUBSTITUTE(SUBSTITUTE(SUBSTITUTE(SUBSTITUTE(SUBSTITUTE(SUBSTITUTE(SUBSTITUTE(SUBSTITUTE(SUBSTITUTE(SUBSTITUTE(SUBSTITUTE(LOWER(TRIM(I902)),"á","a"),"é","e"),"í","i"),"ó","o"),"ú","u"),"ü","u"),"ñ","n"),"à","a"),"è","e"),"ì","i"),"ò","o"),"ù","u"),"")</f>
        <v/>
      </c>
      <c r="S902" s="25">
        <f>IF(R902="","",IF(OR(R902="si",R902="tal vez"),1,0))</f>
        <v/>
      </c>
      <c r="T902" s="25">
        <f>IF(AND(L902=1,D902&lt;&gt;""),IF(IFERROR(COUNTIFS(D$3:D902,"="&amp;SUBSTITUTE(SUBSTITUTE(SUBSTITUTE(D902,"~","~~"),"*","~*"),"?","~?"),L$3:L902,1),0)=1,MAX(T$2:T901)+1,""),"")</f>
        <v/>
      </c>
      <c r="U902" s="25">
        <f>IF(T902="","",COUNTIFS($D$3:$D$1002,"="&amp;SUBSTITUTE(SUBSTITUTE(SUBSTITUTE(D902,"~","~~"),"*","~*"),"?","~?"),$L$3:$L$1002,1)*10000-T902)</f>
        <v/>
      </c>
      <c r="V902" s="25">
        <f>IF(AND(L902=1,J902&lt;&gt;""),IF(IFERROR(COUNTIFS(J$3:J902,"="&amp;SUBSTITUTE(SUBSTITUTE(SUBSTITUTE(J902,"~","~~"),"*","~*"),"?","~?"),L$3:L902,1),0)=1,MAX(V$2:V901)+1,""),"")</f>
        <v/>
      </c>
      <c r="W902" s="25">
        <f>IF(V902="","",COUNTIFS($J$3:$J$1002,"="&amp;SUBSTITUTE(SUBSTITUTE(SUBSTITUTE(J902,"~","~~"),"*","~*"),"?","~?"),$L$3:$L$1002,1)*10000-V902)</f>
        <v/>
      </c>
    </row>
    <row r="903">
      <c r="A903">
        <f>IF(A$2=0,"",IFERROR(TRIM(INDEX('Pegar estudiantes'!$A$1:$BZ$1001,902,A$2)&amp;""),""))</f>
        <v/>
      </c>
      <c r="B903">
        <f>IF(B$2=0,"",IFERROR(TRIM(INDEX('Pegar estudiantes'!$A$1:$BZ$1001,902,B$2)&amp;""),""))</f>
        <v/>
      </c>
      <c r="C903">
        <f>IF(C$2=0,"",IFERROR(TRIM(INDEX('Pegar estudiantes'!$A$1:$BZ$1001,902,C$2)&amp;""),""))</f>
        <v/>
      </c>
      <c r="D903">
        <f>IF(D$2=0,"",IFERROR(TRIM(INDEX('Pegar estudiantes'!$A$1:$BZ$1001,902,D$2)&amp;""),""))</f>
        <v/>
      </c>
      <c r="E903">
        <f>IF(E$2=0,"",IFERROR(TRIM(INDEX('Pegar estudiantes'!$A$1:$BZ$1001,902,E$2)&amp;""),""))</f>
        <v/>
      </c>
      <c r="F903">
        <f>IF(F$2=0,"",IFERROR(TRIM(INDEX('Pegar estudiantes'!$A$1:$BZ$1001,902,F$2)&amp;""),""))</f>
        <v/>
      </c>
      <c r="G903">
        <f>IF(G$2=0,"",IFERROR(TRIM(INDEX('Pegar estudiantes'!$A$1:$BZ$1001,902,G$2)&amp;""),""))</f>
        <v/>
      </c>
      <c r="H903">
        <f>IF(H$2=0,"",IFERROR(TRIM(INDEX('Pegar estudiantes'!$A$1:$BZ$1001,902,H$2)&amp;""),""))</f>
        <v/>
      </c>
      <c r="I903">
        <f>IF(I$2=0,"",IFERROR(TRIM(INDEX('Pegar estudiantes'!$A$1:$BZ$1001,902,I$2)&amp;""),""))</f>
        <v/>
      </c>
      <c r="J903">
        <f>IF(J$2=0,"",IFERROR(TRIM(INDEX('Pegar estudiantes'!$A$1:$BZ$1001,902,J$2)&amp;""),""))</f>
        <v/>
      </c>
      <c r="K903">
        <f>IF(K$2=0,"",IFERROR(TRIM(INDEX('Pegar estudiantes'!$A$1:$BZ$1001,902,K$2)&amp;""),""))</f>
        <v/>
      </c>
      <c r="L903" s="25">
        <f>IF(A903&lt;&gt;"",1,"")</f>
        <v/>
      </c>
      <c r="M903" s="25">
        <f>IF(L903=1,IF(ISNUMBER(FIND("#"&amp;MID(A903,1,1)&amp;"#","#0#1#2#3#4#5#6#7#8#9#")),IF(ISNUMBER(FIND("#"&amp;MID(A903,2,1)&amp;"#","#0#1#2#3#4#5#6#7#8#9#")),IF(AND(VALUE(LEFT(A903,2))&gt;=1,VALUE(LEFT(A903,2))&lt;=5),VALUE(LEFT(A903,2)),""),IF(AND(VALUE(LEFT(A903,1))&gt;=1,VALUE(LEFT(A903,1))&lt;=5),VALUE(LEFT(A903,1)),"")),""),"")</f>
        <v/>
      </c>
      <c r="N903" s="25">
        <f>IF(L903=1,IF(ISNUMBER(FIND("#"&amp;MID(H903,1,1)&amp;"#","#0#1#2#3#4#5#6#7#8#9#")),IF(ISNUMBER(FIND("#"&amp;MID(H903,2,1)&amp;"#","#0#1#2#3#4#5#6#7#8#9#")),IF(AND(VALUE(LEFT(H903,2))&gt;=1,VALUE(LEFT(H903,2))&lt;=5),VALUE(LEFT(H903,2)),""),IF(AND(VALUE(LEFT(H903,1))&gt;=1,VALUE(LEFT(H903,1))&lt;=5),VALUE(LEFT(H903,1)),"")),""),"")</f>
        <v/>
      </c>
      <c r="O903" s="25">
        <f>IF(AND(L903=1,B903&lt;&gt;""),SUBSTITUTE(SUBSTITUTE(SUBSTITUTE(SUBSTITUTE(SUBSTITUTE(SUBSTITUTE(SUBSTITUTE(SUBSTITUTE(SUBSTITUTE(SUBSTITUTE(SUBSTITUTE(SUBSTITUTE(LOWER(TRIM(B903)),"á","a"),"é","e"),"í","i"),"ó","o"),"ú","u"),"ü","u"),"ñ","n"),"à","a"),"è","e"),"ì","i"),"ò","o"),"ù","u"),"")</f>
        <v/>
      </c>
      <c r="P903" s="25">
        <f>IF(AND(L903=1,C903&lt;&gt;""),SUBSTITUTE(SUBSTITUTE(SUBSTITUTE(SUBSTITUTE(SUBSTITUTE(SUBSTITUTE(SUBSTITUTE(SUBSTITUTE(SUBSTITUTE(SUBSTITUTE(SUBSTITUTE(SUBSTITUTE(LOWER(TRIM(C903)),"á","a"),"é","e"),"í","i"),"ó","o"),"ú","u"),"ü","u"),"ñ","n"),"à","a"),"è","e"),"ì","i"),"ò","o"),"ù","u"),"")</f>
        <v/>
      </c>
      <c r="Q903" s="25">
        <f>IF(AND(L903=1,E903&lt;&gt;""),SUBSTITUTE(SUBSTITUTE(SUBSTITUTE(SUBSTITUTE(SUBSTITUTE(SUBSTITUTE(SUBSTITUTE(SUBSTITUTE(SUBSTITUTE(SUBSTITUTE(SUBSTITUTE(SUBSTITUTE(LOWER(TRIM(E903)),"á","a"),"é","e"),"í","i"),"ó","o"),"ú","u"),"ü","u"),"ñ","n"),"à","a"),"è","e"),"ì","i"),"ò","o"),"ù","u"),"")</f>
        <v/>
      </c>
      <c r="R903" s="25">
        <f>IF(AND(L903=1,I903&lt;&gt;""),SUBSTITUTE(SUBSTITUTE(SUBSTITUTE(SUBSTITUTE(SUBSTITUTE(SUBSTITUTE(SUBSTITUTE(SUBSTITUTE(SUBSTITUTE(SUBSTITUTE(SUBSTITUTE(SUBSTITUTE(LOWER(TRIM(I903)),"á","a"),"é","e"),"í","i"),"ó","o"),"ú","u"),"ü","u"),"ñ","n"),"à","a"),"è","e"),"ì","i"),"ò","o"),"ù","u"),"")</f>
        <v/>
      </c>
      <c r="S903" s="25">
        <f>IF(R903="","",IF(OR(R903="si",R903="tal vez"),1,0))</f>
        <v/>
      </c>
      <c r="T903" s="25">
        <f>IF(AND(L903=1,D903&lt;&gt;""),IF(IFERROR(COUNTIFS(D$3:D903,"="&amp;SUBSTITUTE(SUBSTITUTE(SUBSTITUTE(D903,"~","~~"),"*","~*"),"?","~?"),L$3:L903,1),0)=1,MAX(T$2:T902)+1,""),"")</f>
        <v/>
      </c>
      <c r="U903" s="25">
        <f>IF(T903="","",COUNTIFS($D$3:$D$1002,"="&amp;SUBSTITUTE(SUBSTITUTE(SUBSTITUTE(D903,"~","~~"),"*","~*"),"?","~?"),$L$3:$L$1002,1)*10000-T903)</f>
        <v/>
      </c>
      <c r="V903" s="25">
        <f>IF(AND(L903=1,J903&lt;&gt;""),IF(IFERROR(COUNTIFS(J$3:J903,"="&amp;SUBSTITUTE(SUBSTITUTE(SUBSTITUTE(J903,"~","~~"),"*","~*"),"?","~?"),L$3:L903,1),0)=1,MAX(V$2:V902)+1,""),"")</f>
        <v/>
      </c>
      <c r="W903" s="25">
        <f>IF(V903="","",COUNTIFS($J$3:$J$1002,"="&amp;SUBSTITUTE(SUBSTITUTE(SUBSTITUTE(J903,"~","~~"),"*","~*"),"?","~?"),$L$3:$L$1002,1)*10000-V903)</f>
        <v/>
      </c>
    </row>
    <row r="904">
      <c r="A904">
        <f>IF(A$2=0,"",IFERROR(TRIM(INDEX('Pegar estudiantes'!$A$1:$BZ$1001,903,A$2)&amp;""),""))</f>
        <v/>
      </c>
      <c r="B904">
        <f>IF(B$2=0,"",IFERROR(TRIM(INDEX('Pegar estudiantes'!$A$1:$BZ$1001,903,B$2)&amp;""),""))</f>
        <v/>
      </c>
      <c r="C904">
        <f>IF(C$2=0,"",IFERROR(TRIM(INDEX('Pegar estudiantes'!$A$1:$BZ$1001,903,C$2)&amp;""),""))</f>
        <v/>
      </c>
      <c r="D904">
        <f>IF(D$2=0,"",IFERROR(TRIM(INDEX('Pegar estudiantes'!$A$1:$BZ$1001,903,D$2)&amp;""),""))</f>
        <v/>
      </c>
      <c r="E904">
        <f>IF(E$2=0,"",IFERROR(TRIM(INDEX('Pegar estudiantes'!$A$1:$BZ$1001,903,E$2)&amp;""),""))</f>
        <v/>
      </c>
      <c r="F904">
        <f>IF(F$2=0,"",IFERROR(TRIM(INDEX('Pegar estudiantes'!$A$1:$BZ$1001,903,F$2)&amp;""),""))</f>
        <v/>
      </c>
      <c r="G904">
        <f>IF(G$2=0,"",IFERROR(TRIM(INDEX('Pegar estudiantes'!$A$1:$BZ$1001,903,G$2)&amp;""),""))</f>
        <v/>
      </c>
      <c r="H904">
        <f>IF(H$2=0,"",IFERROR(TRIM(INDEX('Pegar estudiantes'!$A$1:$BZ$1001,903,H$2)&amp;""),""))</f>
        <v/>
      </c>
      <c r="I904">
        <f>IF(I$2=0,"",IFERROR(TRIM(INDEX('Pegar estudiantes'!$A$1:$BZ$1001,903,I$2)&amp;""),""))</f>
        <v/>
      </c>
      <c r="J904">
        <f>IF(J$2=0,"",IFERROR(TRIM(INDEX('Pegar estudiantes'!$A$1:$BZ$1001,903,J$2)&amp;""),""))</f>
        <v/>
      </c>
      <c r="K904">
        <f>IF(K$2=0,"",IFERROR(TRIM(INDEX('Pegar estudiantes'!$A$1:$BZ$1001,903,K$2)&amp;""),""))</f>
        <v/>
      </c>
      <c r="L904" s="25">
        <f>IF(A904&lt;&gt;"",1,"")</f>
        <v/>
      </c>
      <c r="M904" s="25">
        <f>IF(L904=1,IF(ISNUMBER(FIND("#"&amp;MID(A904,1,1)&amp;"#","#0#1#2#3#4#5#6#7#8#9#")),IF(ISNUMBER(FIND("#"&amp;MID(A904,2,1)&amp;"#","#0#1#2#3#4#5#6#7#8#9#")),IF(AND(VALUE(LEFT(A904,2))&gt;=1,VALUE(LEFT(A904,2))&lt;=5),VALUE(LEFT(A904,2)),""),IF(AND(VALUE(LEFT(A904,1))&gt;=1,VALUE(LEFT(A904,1))&lt;=5),VALUE(LEFT(A904,1)),"")),""),"")</f>
        <v/>
      </c>
      <c r="N904" s="25">
        <f>IF(L904=1,IF(ISNUMBER(FIND("#"&amp;MID(H904,1,1)&amp;"#","#0#1#2#3#4#5#6#7#8#9#")),IF(ISNUMBER(FIND("#"&amp;MID(H904,2,1)&amp;"#","#0#1#2#3#4#5#6#7#8#9#")),IF(AND(VALUE(LEFT(H904,2))&gt;=1,VALUE(LEFT(H904,2))&lt;=5),VALUE(LEFT(H904,2)),""),IF(AND(VALUE(LEFT(H904,1))&gt;=1,VALUE(LEFT(H904,1))&lt;=5),VALUE(LEFT(H904,1)),"")),""),"")</f>
        <v/>
      </c>
      <c r="O904" s="25">
        <f>IF(AND(L904=1,B904&lt;&gt;""),SUBSTITUTE(SUBSTITUTE(SUBSTITUTE(SUBSTITUTE(SUBSTITUTE(SUBSTITUTE(SUBSTITUTE(SUBSTITUTE(SUBSTITUTE(SUBSTITUTE(SUBSTITUTE(SUBSTITUTE(LOWER(TRIM(B904)),"á","a"),"é","e"),"í","i"),"ó","o"),"ú","u"),"ü","u"),"ñ","n"),"à","a"),"è","e"),"ì","i"),"ò","o"),"ù","u"),"")</f>
        <v/>
      </c>
      <c r="P904" s="25">
        <f>IF(AND(L904=1,C904&lt;&gt;""),SUBSTITUTE(SUBSTITUTE(SUBSTITUTE(SUBSTITUTE(SUBSTITUTE(SUBSTITUTE(SUBSTITUTE(SUBSTITUTE(SUBSTITUTE(SUBSTITUTE(SUBSTITUTE(SUBSTITUTE(LOWER(TRIM(C904)),"á","a"),"é","e"),"í","i"),"ó","o"),"ú","u"),"ü","u"),"ñ","n"),"à","a"),"è","e"),"ì","i"),"ò","o"),"ù","u"),"")</f>
        <v/>
      </c>
      <c r="Q904" s="25">
        <f>IF(AND(L904=1,E904&lt;&gt;""),SUBSTITUTE(SUBSTITUTE(SUBSTITUTE(SUBSTITUTE(SUBSTITUTE(SUBSTITUTE(SUBSTITUTE(SUBSTITUTE(SUBSTITUTE(SUBSTITUTE(SUBSTITUTE(SUBSTITUTE(LOWER(TRIM(E904)),"á","a"),"é","e"),"í","i"),"ó","o"),"ú","u"),"ü","u"),"ñ","n"),"à","a"),"è","e"),"ì","i"),"ò","o"),"ù","u"),"")</f>
        <v/>
      </c>
      <c r="R904" s="25">
        <f>IF(AND(L904=1,I904&lt;&gt;""),SUBSTITUTE(SUBSTITUTE(SUBSTITUTE(SUBSTITUTE(SUBSTITUTE(SUBSTITUTE(SUBSTITUTE(SUBSTITUTE(SUBSTITUTE(SUBSTITUTE(SUBSTITUTE(SUBSTITUTE(LOWER(TRIM(I904)),"á","a"),"é","e"),"í","i"),"ó","o"),"ú","u"),"ü","u"),"ñ","n"),"à","a"),"è","e"),"ì","i"),"ò","o"),"ù","u"),"")</f>
        <v/>
      </c>
      <c r="S904" s="25">
        <f>IF(R904="","",IF(OR(R904="si",R904="tal vez"),1,0))</f>
        <v/>
      </c>
      <c r="T904" s="25">
        <f>IF(AND(L904=1,D904&lt;&gt;""),IF(IFERROR(COUNTIFS(D$3:D904,"="&amp;SUBSTITUTE(SUBSTITUTE(SUBSTITUTE(D904,"~","~~"),"*","~*"),"?","~?"),L$3:L904,1),0)=1,MAX(T$2:T903)+1,""),"")</f>
        <v/>
      </c>
      <c r="U904" s="25">
        <f>IF(T904="","",COUNTIFS($D$3:$D$1002,"="&amp;SUBSTITUTE(SUBSTITUTE(SUBSTITUTE(D904,"~","~~"),"*","~*"),"?","~?"),$L$3:$L$1002,1)*10000-T904)</f>
        <v/>
      </c>
      <c r="V904" s="25">
        <f>IF(AND(L904=1,J904&lt;&gt;""),IF(IFERROR(COUNTIFS(J$3:J904,"="&amp;SUBSTITUTE(SUBSTITUTE(SUBSTITUTE(J904,"~","~~"),"*","~*"),"?","~?"),L$3:L904,1),0)=1,MAX(V$2:V903)+1,""),"")</f>
        <v/>
      </c>
      <c r="W904" s="25">
        <f>IF(V904="","",COUNTIFS($J$3:$J$1002,"="&amp;SUBSTITUTE(SUBSTITUTE(SUBSTITUTE(J904,"~","~~"),"*","~*"),"?","~?"),$L$3:$L$1002,1)*10000-V904)</f>
        <v/>
      </c>
    </row>
    <row r="905">
      <c r="A905">
        <f>IF(A$2=0,"",IFERROR(TRIM(INDEX('Pegar estudiantes'!$A$1:$BZ$1001,904,A$2)&amp;""),""))</f>
        <v/>
      </c>
      <c r="B905">
        <f>IF(B$2=0,"",IFERROR(TRIM(INDEX('Pegar estudiantes'!$A$1:$BZ$1001,904,B$2)&amp;""),""))</f>
        <v/>
      </c>
      <c r="C905">
        <f>IF(C$2=0,"",IFERROR(TRIM(INDEX('Pegar estudiantes'!$A$1:$BZ$1001,904,C$2)&amp;""),""))</f>
        <v/>
      </c>
      <c r="D905">
        <f>IF(D$2=0,"",IFERROR(TRIM(INDEX('Pegar estudiantes'!$A$1:$BZ$1001,904,D$2)&amp;""),""))</f>
        <v/>
      </c>
      <c r="E905">
        <f>IF(E$2=0,"",IFERROR(TRIM(INDEX('Pegar estudiantes'!$A$1:$BZ$1001,904,E$2)&amp;""),""))</f>
        <v/>
      </c>
      <c r="F905">
        <f>IF(F$2=0,"",IFERROR(TRIM(INDEX('Pegar estudiantes'!$A$1:$BZ$1001,904,F$2)&amp;""),""))</f>
        <v/>
      </c>
      <c r="G905">
        <f>IF(G$2=0,"",IFERROR(TRIM(INDEX('Pegar estudiantes'!$A$1:$BZ$1001,904,G$2)&amp;""),""))</f>
        <v/>
      </c>
      <c r="H905">
        <f>IF(H$2=0,"",IFERROR(TRIM(INDEX('Pegar estudiantes'!$A$1:$BZ$1001,904,H$2)&amp;""),""))</f>
        <v/>
      </c>
      <c r="I905">
        <f>IF(I$2=0,"",IFERROR(TRIM(INDEX('Pegar estudiantes'!$A$1:$BZ$1001,904,I$2)&amp;""),""))</f>
        <v/>
      </c>
      <c r="J905">
        <f>IF(J$2=0,"",IFERROR(TRIM(INDEX('Pegar estudiantes'!$A$1:$BZ$1001,904,J$2)&amp;""),""))</f>
        <v/>
      </c>
      <c r="K905">
        <f>IF(K$2=0,"",IFERROR(TRIM(INDEX('Pegar estudiantes'!$A$1:$BZ$1001,904,K$2)&amp;""),""))</f>
        <v/>
      </c>
      <c r="L905" s="25">
        <f>IF(A905&lt;&gt;"",1,"")</f>
        <v/>
      </c>
      <c r="M905" s="25">
        <f>IF(L905=1,IF(ISNUMBER(FIND("#"&amp;MID(A905,1,1)&amp;"#","#0#1#2#3#4#5#6#7#8#9#")),IF(ISNUMBER(FIND("#"&amp;MID(A905,2,1)&amp;"#","#0#1#2#3#4#5#6#7#8#9#")),IF(AND(VALUE(LEFT(A905,2))&gt;=1,VALUE(LEFT(A905,2))&lt;=5),VALUE(LEFT(A905,2)),""),IF(AND(VALUE(LEFT(A905,1))&gt;=1,VALUE(LEFT(A905,1))&lt;=5),VALUE(LEFT(A905,1)),"")),""),"")</f>
        <v/>
      </c>
      <c r="N905" s="25">
        <f>IF(L905=1,IF(ISNUMBER(FIND("#"&amp;MID(H905,1,1)&amp;"#","#0#1#2#3#4#5#6#7#8#9#")),IF(ISNUMBER(FIND("#"&amp;MID(H905,2,1)&amp;"#","#0#1#2#3#4#5#6#7#8#9#")),IF(AND(VALUE(LEFT(H905,2))&gt;=1,VALUE(LEFT(H905,2))&lt;=5),VALUE(LEFT(H905,2)),""),IF(AND(VALUE(LEFT(H905,1))&gt;=1,VALUE(LEFT(H905,1))&lt;=5),VALUE(LEFT(H905,1)),"")),""),"")</f>
        <v/>
      </c>
      <c r="O905" s="25">
        <f>IF(AND(L905=1,B905&lt;&gt;""),SUBSTITUTE(SUBSTITUTE(SUBSTITUTE(SUBSTITUTE(SUBSTITUTE(SUBSTITUTE(SUBSTITUTE(SUBSTITUTE(SUBSTITUTE(SUBSTITUTE(SUBSTITUTE(SUBSTITUTE(LOWER(TRIM(B905)),"á","a"),"é","e"),"í","i"),"ó","o"),"ú","u"),"ü","u"),"ñ","n"),"à","a"),"è","e"),"ì","i"),"ò","o"),"ù","u"),"")</f>
        <v/>
      </c>
      <c r="P905" s="25">
        <f>IF(AND(L905=1,C905&lt;&gt;""),SUBSTITUTE(SUBSTITUTE(SUBSTITUTE(SUBSTITUTE(SUBSTITUTE(SUBSTITUTE(SUBSTITUTE(SUBSTITUTE(SUBSTITUTE(SUBSTITUTE(SUBSTITUTE(SUBSTITUTE(LOWER(TRIM(C905)),"á","a"),"é","e"),"í","i"),"ó","o"),"ú","u"),"ü","u"),"ñ","n"),"à","a"),"è","e"),"ì","i"),"ò","o"),"ù","u"),"")</f>
        <v/>
      </c>
      <c r="Q905" s="25">
        <f>IF(AND(L905=1,E905&lt;&gt;""),SUBSTITUTE(SUBSTITUTE(SUBSTITUTE(SUBSTITUTE(SUBSTITUTE(SUBSTITUTE(SUBSTITUTE(SUBSTITUTE(SUBSTITUTE(SUBSTITUTE(SUBSTITUTE(SUBSTITUTE(LOWER(TRIM(E905)),"á","a"),"é","e"),"í","i"),"ó","o"),"ú","u"),"ü","u"),"ñ","n"),"à","a"),"è","e"),"ì","i"),"ò","o"),"ù","u"),"")</f>
        <v/>
      </c>
      <c r="R905" s="25">
        <f>IF(AND(L905=1,I905&lt;&gt;""),SUBSTITUTE(SUBSTITUTE(SUBSTITUTE(SUBSTITUTE(SUBSTITUTE(SUBSTITUTE(SUBSTITUTE(SUBSTITUTE(SUBSTITUTE(SUBSTITUTE(SUBSTITUTE(SUBSTITUTE(LOWER(TRIM(I905)),"á","a"),"é","e"),"í","i"),"ó","o"),"ú","u"),"ü","u"),"ñ","n"),"à","a"),"è","e"),"ì","i"),"ò","o"),"ù","u"),"")</f>
        <v/>
      </c>
      <c r="S905" s="25">
        <f>IF(R905="","",IF(OR(R905="si",R905="tal vez"),1,0))</f>
        <v/>
      </c>
      <c r="T905" s="25">
        <f>IF(AND(L905=1,D905&lt;&gt;""),IF(IFERROR(COUNTIFS(D$3:D905,"="&amp;SUBSTITUTE(SUBSTITUTE(SUBSTITUTE(D905,"~","~~"),"*","~*"),"?","~?"),L$3:L905,1),0)=1,MAX(T$2:T904)+1,""),"")</f>
        <v/>
      </c>
      <c r="U905" s="25">
        <f>IF(T905="","",COUNTIFS($D$3:$D$1002,"="&amp;SUBSTITUTE(SUBSTITUTE(SUBSTITUTE(D905,"~","~~"),"*","~*"),"?","~?"),$L$3:$L$1002,1)*10000-T905)</f>
        <v/>
      </c>
      <c r="V905" s="25">
        <f>IF(AND(L905=1,J905&lt;&gt;""),IF(IFERROR(COUNTIFS(J$3:J905,"="&amp;SUBSTITUTE(SUBSTITUTE(SUBSTITUTE(J905,"~","~~"),"*","~*"),"?","~?"),L$3:L905,1),0)=1,MAX(V$2:V904)+1,""),"")</f>
        <v/>
      </c>
      <c r="W905" s="25">
        <f>IF(V905="","",COUNTIFS($J$3:$J$1002,"="&amp;SUBSTITUTE(SUBSTITUTE(SUBSTITUTE(J905,"~","~~"),"*","~*"),"?","~?"),$L$3:$L$1002,1)*10000-V905)</f>
        <v/>
      </c>
    </row>
    <row r="906">
      <c r="A906">
        <f>IF(A$2=0,"",IFERROR(TRIM(INDEX('Pegar estudiantes'!$A$1:$BZ$1001,905,A$2)&amp;""),""))</f>
        <v/>
      </c>
      <c r="B906">
        <f>IF(B$2=0,"",IFERROR(TRIM(INDEX('Pegar estudiantes'!$A$1:$BZ$1001,905,B$2)&amp;""),""))</f>
        <v/>
      </c>
      <c r="C906">
        <f>IF(C$2=0,"",IFERROR(TRIM(INDEX('Pegar estudiantes'!$A$1:$BZ$1001,905,C$2)&amp;""),""))</f>
        <v/>
      </c>
      <c r="D906">
        <f>IF(D$2=0,"",IFERROR(TRIM(INDEX('Pegar estudiantes'!$A$1:$BZ$1001,905,D$2)&amp;""),""))</f>
        <v/>
      </c>
      <c r="E906">
        <f>IF(E$2=0,"",IFERROR(TRIM(INDEX('Pegar estudiantes'!$A$1:$BZ$1001,905,E$2)&amp;""),""))</f>
        <v/>
      </c>
      <c r="F906">
        <f>IF(F$2=0,"",IFERROR(TRIM(INDEX('Pegar estudiantes'!$A$1:$BZ$1001,905,F$2)&amp;""),""))</f>
        <v/>
      </c>
      <c r="G906">
        <f>IF(G$2=0,"",IFERROR(TRIM(INDEX('Pegar estudiantes'!$A$1:$BZ$1001,905,G$2)&amp;""),""))</f>
        <v/>
      </c>
      <c r="H906">
        <f>IF(H$2=0,"",IFERROR(TRIM(INDEX('Pegar estudiantes'!$A$1:$BZ$1001,905,H$2)&amp;""),""))</f>
        <v/>
      </c>
      <c r="I906">
        <f>IF(I$2=0,"",IFERROR(TRIM(INDEX('Pegar estudiantes'!$A$1:$BZ$1001,905,I$2)&amp;""),""))</f>
        <v/>
      </c>
      <c r="J906">
        <f>IF(J$2=0,"",IFERROR(TRIM(INDEX('Pegar estudiantes'!$A$1:$BZ$1001,905,J$2)&amp;""),""))</f>
        <v/>
      </c>
      <c r="K906">
        <f>IF(K$2=0,"",IFERROR(TRIM(INDEX('Pegar estudiantes'!$A$1:$BZ$1001,905,K$2)&amp;""),""))</f>
        <v/>
      </c>
      <c r="L906" s="25">
        <f>IF(A906&lt;&gt;"",1,"")</f>
        <v/>
      </c>
      <c r="M906" s="25">
        <f>IF(L906=1,IF(ISNUMBER(FIND("#"&amp;MID(A906,1,1)&amp;"#","#0#1#2#3#4#5#6#7#8#9#")),IF(ISNUMBER(FIND("#"&amp;MID(A906,2,1)&amp;"#","#0#1#2#3#4#5#6#7#8#9#")),IF(AND(VALUE(LEFT(A906,2))&gt;=1,VALUE(LEFT(A906,2))&lt;=5),VALUE(LEFT(A906,2)),""),IF(AND(VALUE(LEFT(A906,1))&gt;=1,VALUE(LEFT(A906,1))&lt;=5),VALUE(LEFT(A906,1)),"")),""),"")</f>
        <v/>
      </c>
      <c r="N906" s="25">
        <f>IF(L906=1,IF(ISNUMBER(FIND("#"&amp;MID(H906,1,1)&amp;"#","#0#1#2#3#4#5#6#7#8#9#")),IF(ISNUMBER(FIND("#"&amp;MID(H906,2,1)&amp;"#","#0#1#2#3#4#5#6#7#8#9#")),IF(AND(VALUE(LEFT(H906,2))&gt;=1,VALUE(LEFT(H906,2))&lt;=5),VALUE(LEFT(H906,2)),""),IF(AND(VALUE(LEFT(H906,1))&gt;=1,VALUE(LEFT(H906,1))&lt;=5),VALUE(LEFT(H906,1)),"")),""),"")</f>
        <v/>
      </c>
      <c r="O906" s="25">
        <f>IF(AND(L906=1,B906&lt;&gt;""),SUBSTITUTE(SUBSTITUTE(SUBSTITUTE(SUBSTITUTE(SUBSTITUTE(SUBSTITUTE(SUBSTITUTE(SUBSTITUTE(SUBSTITUTE(SUBSTITUTE(SUBSTITUTE(SUBSTITUTE(LOWER(TRIM(B906)),"á","a"),"é","e"),"í","i"),"ó","o"),"ú","u"),"ü","u"),"ñ","n"),"à","a"),"è","e"),"ì","i"),"ò","o"),"ù","u"),"")</f>
        <v/>
      </c>
      <c r="P906" s="25">
        <f>IF(AND(L906=1,C906&lt;&gt;""),SUBSTITUTE(SUBSTITUTE(SUBSTITUTE(SUBSTITUTE(SUBSTITUTE(SUBSTITUTE(SUBSTITUTE(SUBSTITUTE(SUBSTITUTE(SUBSTITUTE(SUBSTITUTE(SUBSTITUTE(LOWER(TRIM(C906)),"á","a"),"é","e"),"í","i"),"ó","o"),"ú","u"),"ü","u"),"ñ","n"),"à","a"),"è","e"),"ì","i"),"ò","o"),"ù","u"),"")</f>
        <v/>
      </c>
      <c r="Q906" s="25">
        <f>IF(AND(L906=1,E906&lt;&gt;""),SUBSTITUTE(SUBSTITUTE(SUBSTITUTE(SUBSTITUTE(SUBSTITUTE(SUBSTITUTE(SUBSTITUTE(SUBSTITUTE(SUBSTITUTE(SUBSTITUTE(SUBSTITUTE(SUBSTITUTE(LOWER(TRIM(E906)),"á","a"),"é","e"),"í","i"),"ó","o"),"ú","u"),"ü","u"),"ñ","n"),"à","a"),"è","e"),"ì","i"),"ò","o"),"ù","u"),"")</f>
        <v/>
      </c>
      <c r="R906" s="25">
        <f>IF(AND(L906=1,I906&lt;&gt;""),SUBSTITUTE(SUBSTITUTE(SUBSTITUTE(SUBSTITUTE(SUBSTITUTE(SUBSTITUTE(SUBSTITUTE(SUBSTITUTE(SUBSTITUTE(SUBSTITUTE(SUBSTITUTE(SUBSTITUTE(LOWER(TRIM(I906)),"á","a"),"é","e"),"í","i"),"ó","o"),"ú","u"),"ü","u"),"ñ","n"),"à","a"),"è","e"),"ì","i"),"ò","o"),"ù","u"),"")</f>
        <v/>
      </c>
      <c r="S906" s="25">
        <f>IF(R906="","",IF(OR(R906="si",R906="tal vez"),1,0))</f>
        <v/>
      </c>
      <c r="T906" s="25">
        <f>IF(AND(L906=1,D906&lt;&gt;""),IF(IFERROR(COUNTIFS(D$3:D906,"="&amp;SUBSTITUTE(SUBSTITUTE(SUBSTITUTE(D906,"~","~~"),"*","~*"),"?","~?"),L$3:L906,1),0)=1,MAX(T$2:T905)+1,""),"")</f>
        <v/>
      </c>
      <c r="U906" s="25">
        <f>IF(T906="","",COUNTIFS($D$3:$D$1002,"="&amp;SUBSTITUTE(SUBSTITUTE(SUBSTITUTE(D906,"~","~~"),"*","~*"),"?","~?"),$L$3:$L$1002,1)*10000-T906)</f>
        <v/>
      </c>
      <c r="V906" s="25">
        <f>IF(AND(L906=1,J906&lt;&gt;""),IF(IFERROR(COUNTIFS(J$3:J906,"="&amp;SUBSTITUTE(SUBSTITUTE(SUBSTITUTE(J906,"~","~~"),"*","~*"),"?","~?"),L$3:L906,1),0)=1,MAX(V$2:V905)+1,""),"")</f>
        <v/>
      </c>
      <c r="W906" s="25">
        <f>IF(V906="","",COUNTIFS($J$3:$J$1002,"="&amp;SUBSTITUTE(SUBSTITUTE(SUBSTITUTE(J906,"~","~~"),"*","~*"),"?","~?"),$L$3:$L$1002,1)*10000-V906)</f>
        <v/>
      </c>
    </row>
    <row r="907">
      <c r="A907">
        <f>IF(A$2=0,"",IFERROR(TRIM(INDEX('Pegar estudiantes'!$A$1:$BZ$1001,906,A$2)&amp;""),""))</f>
        <v/>
      </c>
      <c r="B907">
        <f>IF(B$2=0,"",IFERROR(TRIM(INDEX('Pegar estudiantes'!$A$1:$BZ$1001,906,B$2)&amp;""),""))</f>
        <v/>
      </c>
      <c r="C907">
        <f>IF(C$2=0,"",IFERROR(TRIM(INDEX('Pegar estudiantes'!$A$1:$BZ$1001,906,C$2)&amp;""),""))</f>
        <v/>
      </c>
      <c r="D907">
        <f>IF(D$2=0,"",IFERROR(TRIM(INDEX('Pegar estudiantes'!$A$1:$BZ$1001,906,D$2)&amp;""),""))</f>
        <v/>
      </c>
      <c r="E907">
        <f>IF(E$2=0,"",IFERROR(TRIM(INDEX('Pegar estudiantes'!$A$1:$BZ$1001,906,E$2)&amp;""),""))</f>
        <v/>
      </c>
      <c r="F907">
        <f>IF(F$2=0,"",IFERROR(TRIM(INDEX('Pegar estudiantes'!$A$1:$BZ$1001,906,F$2)&amp;""),""))</f>
        <v/>
      </c>
      <c r="G907">
        <f>IF(G$2=0,"",IFERROR(TRIM(INDEX('Pegar estudiantes'!$A$1:$BZ$1001,906,G$2)&amp;""),""))</f>
        <v/>
      </c>
      <c r="H907">
        <f>IF(H$2=0,"",IFERROR(TRIM(INDEX('Pegar estudiantes'!$A$1:$BZ$1001,906,H$2)&amp;""),""))</f>
        <v/>
      </c>
      <c r="I907">
        <f>IF(I$2=0,"",IFERROR(TRIM(INDEX('Pegar estudiantes'!$A$1:$BZ$1001,906,I$2)&amp;""),""))</f>
        <v/>
      </c>
      <c r="J907">
        <f>IF(J$2=0,"",IFERROR(TRIM(INDEX('Pegar estudiantes'!$A$1:$BZ$1001,906,J$2)&amp;""),""))</f>
        <v/>
      </c>
      <c r="K907">
        <f>IF(K$2=0,"",IFERROR(TRIM(INDEX('Pegar estudiantes'!$A$1:$BZ$1001,906,K$2)&amp;""),""))</f>
        <v/>
      </c>
      <c r="L907" s="25">
        <f>IF(A907&lt;&gt;"",1,"")</f>
        <v/>
      </c>
      <c r="M907" s="25">
        <f>IF(L907=1,IF(ISNUMBER(FIND("#"&amp;MID(A907,1,1)&amp;"#","#0#1#2#3#4#5#6#7#8#9#")),IF(ISNUMBER(FIND("#"&amp;MID(A907,2,1)&amp;"#","#0#1#2#3#4#5#6#7#8#9#")),IF(AND(VALUE(LEFT(A907,2))&gt;=1,VALUE(LEFT(A907,2))&lt;=5),VALUE(LEFT(A907,2)),""),IF(AND(VALUE(LEFT(A907,1))&gt;=1,VALUE(LEFT(A907,1))&lt;=5),VALUE(LEFT(A907,1)),"")),""),"")</f>
        <v/>
      </c>
      <c r="N907" s="25">
        <f>IF(L907=1,IF(ISNUMBER(FIND("#"&amp;MID(H907,1,1)&amp;"#","#0#1#2#3#4#5#6#7#8#9#")),IF(ISNUMBER(FIND("#"&amp;MID(H907,2,1)&amp;"#","#0#1#2#3#4#5#6#7#8#9#")),IF(AND(VALUE(LEFT(H907,2))&gt;=1,VALUE(LEFT(H907,2))&lt;=5),VALUE(LEFT(H907,2)),""),IF(AND(VALUE(LEFT(H907,1))&gt;=1,VALUE(LEFT(H907,1))&lt;=5),VALUE(LEFT(H907,1)),"")),""),"")</f>
        <v/>
      </c>
      <c r="O907" s="25">
        <f>IF(AND(L907=1,B907&lt;&gt;""),SUBSTITUTE(SUBSTITUTE(SUBSTITUTE(SUBSTITUTE(SUBSTITUTE(SUBSTITUTE(SUBSTITUTE(SUBSTITUTE(SUBSTITUTE(SUBSTITUTE(SUBSTITUTE(SUBSTITUTE(LOWER(TRIM(B907)),"á","a"),"é","e"),"í","i"),"ó","o"),"ú","u"),"ü","u"),"ñ","n"),"à","a"),"è","e"),"ì","i"),"ò","o"),"ù","u"),"")</f>
        <v/>
      </c>
      <c r="P907" s="25">
        <f>IF(AND(L907=1,C907&lt;&gt;""),SUBSTITUTE(SUBSTITUTE(SUBSTITUTE(SUBSTITUTE(SUBSTITUTE(SUBSTITUTE(SUBSTITUTE(SUBSTITUTE(SUBSTITUTE(SUBSTITUTE(SUBSTITUTE(SUBSTITUTE(LOWER(TRIM(C907)),"á","a"),"é","e"),"í","i"),"ó","o"),"ú","u"),"ü","u"),"ñ","n"),"à","a"),"è","e"),"ì","i"),"ò","o"),"ù","u"),"")</f>
        <v/>
      </c>
      <c r="Q907" s="25">
        <f>IF(AND(L907=1,E907&lt;&gt;""),SUBSTITUTE(SUBSTITUTE(SUBSTITUTE(SUBSTITUTE(SUBSTITUTE(SUBSTITUTE(SUBSTITUTE(SUBSTITUTE(SUBSTITUTE(SUBSTITUTE(SUBSTITUTE(SUBSTITUTE(LOWER(TRIM(E907)),"á","a"),"é","e"),"í","i"),"ó","o"),"ú","u"),"ü","u"),"ñ","n"),"à","a"),"è","e"),"ì","i"),"ò","o"),"ù","u"),"")</f>
        <v/>
      </c>
      <c r="R907" s="25">
        <f>IF(AND(L907=1,I907&lt;&gt;""),SUBSTITUTE(SUBSTITUTE(SUBSTITUTE(SUBSTITUTE(SUBSTITUTE(SUBSTITUTE(SUBSTITUTE(SUBSTITUTE(SUBSTITUTE(SUBSTITUTE(SUBSTITUTE(SUBSTITUTE(LOWER(TRIM(I907)),"á","a"),"é","e"),"í","i"),"ó","o"),"ú","u"),"ü","u"),"ñ","n"),"à","a"),"è","e"),"ì","i"),"ò","o"),"ù","u"),"")</f>
        <v/>
      </c>
      <c r="S907" s="25">
        <f>IF(R907="","",IF(OR(R907="si",R907="tal vez"),1,0))</f>
        <v/>
      </c>
      <c r="T907" s="25">
        <f>IF(AND(L907=1,D907&lt;&gt;""),IF(IFERROR(COUNTIFS(D$3:D907,"="&amp;SUBSTITUTE(SUBSTITUTE(SUBSTITUTE(D907,"~","~~"),"*","~*"),"?","~?"),L$3:L907,1),0)=1,MAX(T$2:T906)+1,""),"")</f>
        <v/>
      </c>
      <c r="U907" s="25">
        <f>IF(T907="","",COUNTIFS($D$3:$D$1002,"="&amp;SUBSTITUTE(SUBSTITUTE(SUBSTITUTE(D907,"~","~~"),"*","~*"),"?","~?"),$L$3:$L$1002,1)*10000-T907)</f>
        <v/>
      </c>
      <c r="V907" s="25">
        <f>IF(AND(L907=1,J907&lt;&gt;""),IF(IFERROR(COUNTIFS(J$3:J907,"="&amp;SUBSTITUTE(SUBSTITUTE(SUBSTITUTE(J907,"~","~~"),"*","~*"),"?","~?"),L$3:L907,1),0)=1,MAX(V$2:V906)+1,""),"")</f>
        <v/>
      </c>
      <c r="W907" s="25">
        <f>IF(V907="","",COUNTIFS($J$3:$J$1002,"="&amp;SUBSTITUTE(SUBSTITUTE(SUBSTITUTE(J907,"~","~~"),"*","~*"),"?","~?"),$L$3:$L$1002,1)*10000-V907)</f>
        <v/>
      </c>
    </row>
    <row r="908">
      <c r="A908">
        <f>IF(A$2=0,"",IFERROR(TRIM(INDEX('Pegar estudiantes'!$A$1:$BZ$1001,907,A$2)&amp;""),""))</f>
        <v/>
      </c>
      <c r="B908">
        <f>IF(B$2=0,"",IFERROR(TRIM(INDEX('Pegar estudiantes'!$A$1:$BZ$1001,907,B$2)&amp;""),""))</f>
        <v/>
      </c>
      <c r="C908">
        <f>IF(C$2=0,"",IFERROR(TRIM(INDEX('Pegar estudiantes'!$A$1:$BZ$1001,907,C$2)&amp;""),""))</f>
        <v/>
      </c>
      <c r="D908">
        <f>IF(D$2=0,"",IFERROR(TRIM(INDEX('Pegar estudiantes'!$A$1:$BZ$1001,907,D$2)&amp;""),""))</f>
        <v/>
      </c>
      <c r="E908">
        <f>IF(E$2=0,"",IFERROR(TRIM(INDEX('Pegar estudiantes'!$A$1:$BZ$1001,907,E$2)&amp;""),""))</f>
        <v/>
      </c>
      <c r="F908">
        <f>IF(F$2=0,"",IFERROR(TRIM(INDEX('Pegar estudiantes'!$A$1:$BZ$1001,907,F$2)&amp;""),""))</f>
        <v/>
      </c>
      <c r="G908">
        <f>IF(G$2=0,"",IFERROR(TRIM(INDEX('Pegar estudiantes'!$A$1:$BZ$1001,907,G$2)&amp;""),""))</f>
        <v/>
      </c>
      <c r="H908">
        <f>IF(H$2=0,"",IFERROR(TRIM(INDEX('Pegar estudiantes'!$A$1:$BZ$1001,907,H$2)&amp;""),""))</f>
        <v/>
      </c>
      <c r="I908">
        <f>IF(I$2=0,"",IFERROR(TRIM(INDEX('Pegar estudiantes'!$A$1:$BZ$1001,907,I$2)&amp;""),""))</f>
        <v/>
      </c>
      <c r="J908">
        <f>IF(J$2=0,"",IFERROR(TRIM(INDEX('Pegar estudiantes'!$A$1:$BZ$1001,907,J$2)&amp;""),""))</f>
        <v/>
      </c>
      <c r="K908">
        <f>IF(K$2=0,"",IFERROR(TRIM(INDEX('Pegar estudiantes'!$A$1:$BZ$1001,907,K$2)&amp;""),""))</f>
        <v/>
      </c>
      <c r="L908" s="25">
        <f>IF(A908&lt;&gt;"",1,"")</f>
        <v/>
      </c>
      <c r="M908" s="25">
        <f>IF(L908=1,IF(ISNUMBER(FIND("#"&amp;MID(A908,1,1)&amp;"#","#0#1#2#3#4#5#6#7#8#9#")),IF(ISNUMBER(FIND("#"&amp;MID(A908,2,1)&amp;"#","#0#1#2#3#4#5#6#7#8#9#")),IF(AND(VALUE(LEFT(A908,2))&gt;=1,VALUE(LEFT(A908,2))&lt;=5),VALUE(LEFT(A908,2)),""),IF(AND(VALUE(LEFT(A908,1))&gt;=1,VALUE(LEFT(A908,1))&lt;=5),VALUE(LEFT(A908,1)),"")),""),"")</f>
        <v/>
      </c>
      <c r="N908" s="25">
        <f>IF(L908=1,IF(ISNUMBER(FIND("#"&amp;MID(H908,1,1)&amp;"#","#0#1#2#3#4#5#6#7#8#9#")),IF(ISNUMBER(FIND("#"&amp;MID(H908,2,1)&amp;"#","#0#1#2#3#4#5#6#7#8#9#")),IF(AND(VALUE(LEFT(H908,2))&gt;=1,VALUE(LEFT(H908,2))&lt;=5),VALUE(LEFT(H908,2)),""),IF(AND(VALUE(LEFT(H908,1))&gt;=1,VALUE(LEFT(H908,1))&lt;=5),VALUE(LEFT(H908,1)),"")),""),"")</f>
        <v/>
      </c>
      <c r="O908" s="25">
        <f>IF(AND(L908=1,B908&lt;&gt;""),SUBSTITUTE(SUBSTITUTE(SUBSTITUTE(SUBSTITUTE(SUBSTITUTE(SUBSTITUTE(SUBSTITUTE(SUBSTITUTE(SUBSTITUTE(SUBSTITUTE(SUBSTITUTE(SUBSTITUTE(LOWER(TRIM(B908)),"á","a"),"é","e"),"í","i"),"ó","o"),"ú","u"),"ü","u"),"ñ","n"),"à","a"),"è","e"),"ì","i"),"ò","o"),"ù","u"),"")</f>
        <v/>
      </c>
      <c r="P908" s="25">
        <f>IF(AND(L908=1,C908&lt;&gt;""),SUBSTITUTE(SUBSTITUTE(SUBSTITUTE(SUBSTITUTE(SUBSTITUTE(SUBSTITUTE(SUBSTITUTE(SUBSTITUTE(SUBSTITUTE(SUBSTITUTE(SUBSTITUTE(SUBSTITUTE(LOWER(TRIM(C908)),"á","a"),"é","e"),"í","i"),"ó","o"),"ú","u"),"ü","u"),"ñ","n"),"à","a"),"è","e"),"ì","i"),"ò","o"),"ù","u"),"")</f>
        <v/>
      </c>
      <c r="Q908" s="25">
        <f>IF(AND(L908=1,E908&lt;&gt;""),SUBSTITUTE(SUBSTITUTE(SUBSTITUTE(SUBSTITUTE(SUBSTITUTE(SUBSTITUTE(SUBSTITUTE(SUBSTITUTE(SUBSTITUTE(SUBSTITUTE(SUBSTITUTE(SUBSTITUTE(LOWER(TRIM(E908)),"á","a"),"é","e"),"í","i"),"ó","o"),"ú","u"),"ü","u"),"ñ","n"),"à","a"),"è","e"),"ì","i"),"ò","o"),"ù","u"),"")</f>
        <v/>
      </c>
      <c r="R908" s="25">
        <f>IF(AND(L908=1,I908&lt;&gt;""),SUBSTITUTE(SUBSTITUTE(SUBSTITUTE(SUBSTITUTE(SUBSTITUTE(SUBSTITUTE(SUBSTITUTE(SUBSTITUTE(SUBSTITUTE(SUBSTITUTE(SUBSTITUTE(SUBSTITUTE(LOWER(TRIM(I908)),"á","a"),"é","e"),"í","i"),"ó","o"),"ú","u"),"ü","u"),"ñ","n"),"à","a"),"è","e"),"ì","i"),"ò","o"),"ù","u"),"")</f>
        <v/>
      </c>
      <c r="S908" s="25">
        <f>IF(R908="","",IF(OR(R908="si",R908="tal vez"),1,0))</f>
        <v/>
      </c>
      <c r="T908" s="25">
        <f>IF(AND(L908=1,D908&lt;&gt;""),IF(IFERROR(COUNTIFS(D$3:D908,"="&amp;SUBSTITUTE(SUBSTITUTE(SUBSTITUTE(D908,"~","~~"),"*","~*"),"?","~?"),L$3:L908,1),0)=1,MAX(T$2:T907)+1,""),"")</f>
        <v/>
      </c>
      <c r="U908" s="25">
        <f>IF(T908="","",COUNTIFS($D$3:$D$1002,"="&amp;SUBSTITUTE(SUBSTITUTE(SUBSTITUTE(D908,"~","~~"),"*","~*"),"?","~?"),$L$3:$L$1002,1)*10000-T908)</f>
        <v/>
      </c>
      <c r="V908" s="25">
        <f>IF(AND(L908=1,J908&lt;&gt;""),IF(IFERROR(COUNTIFS(J$3:J908,"="&amp;SUBSTITUTE(SUBSTITUTE(SUBSTITUTE(J908,"~","~~"),"*","~*"),"?","~?"),L$3:L908,1),0)=1,MAX(V$2:V907)+1,""),"")</f>
        <v/>
      </c>
      <c r="W908" s="25">
        <f>IF(V908="","",COUNTIFS($J$3:$J$1002,"="&amp;SUBSTITUTE(SUBSTITUTE(SUBSTITUTE(J908,"~","~~"),"*","~*"),"?","~?"),$L$3:$L$1002,1)*10000-V908)</f>
        <v/>
      </c>
    </row>
    <row r="909">
      <c r="A909">
        <f>IF(A$2=0,"",IFERROR(TRIM(INDEX('Pegar estudiantes'!$A$1:$BZ$1001,908,A$2)&amp;""),""))</f>
        <v/>
      </c>
      <c r="B909">
        <f>IF(B$2=0,"",IFERROR(TRIM(INDEX('Pegar estudiantes'!$A$1:$BZ$1001,908,B$2)&amp;""),""))</f>
        <v/>
      </c>
      <c r="C909">
        <f>IF(C$2=0,"",IFERROR(TRIM(INDEX('Pegar estudiantes'!$A$1:$BZ$1001,908,C$2)&amp;""),""))</f>
        <v/>
      </c>
      <c r="D909">
        <f>IF(D$2=0,"",IFERROR(TRIM(INDEX('Pegar estudiantes'!$A$1:$BZ$1001,908,D$2)&amp;""),""))</f>
        <v/>
      </c>
      <c r="E909">
        <f>IF(E$2=0,"",IFERROR(TRIM(INDEX('Pegar estudiantes'!$A$1:$BZ$1001,908,E$2)&amp;""),""))</f>
        <v/>
      </c>
      <c r="F909">
        <f>IF(F$2=0,"",IFERROR(TRIM(INDEX('Pegar estudiantes'!$A$1:$BZ$1001,908,F$2)&amp;""),""))</f>
        <v/>
      </c>
      <c r="G909">
        <f>IF(G$2=0,"",IFERROR(TRIM(INDEX('Pegar estudiantes'!$A$1:$BZ$1001,908,G$2)&amp;""),""))</f>
        <v/>
      </c>
      <c r="H909">
        <f>IF(H$2=0,"",IFERROR(TRIM(INDEX('Pegar estudiantes'!$A$1:$BZ$1001,908,H$2)&amp;""),""))</f>
        <v/>
      </c>
      <c r="I909">
        <f>IF(I$2=0,"",IFERROR(TRIM(INDEX('Pegar estudiantes'!$A$1:$BZ$1001,908,I$2)&amp;""),""))</f>
        <v/>
      </c>
      <c r="J909">
        <f>IF(J$2=0,"",IFERROR(TRIM(INDEX('Pegar estudiantes'!$A$1:$BZ$1001,908,J$2)&amp;""),""))</f>
        <v/>
      </c>
      <c r="K909">
        <f>IF(K$2=0,"",IFERROR(TRIM(INDEX('Pegar estudiantes'!$A$1:$BZ$1001,908,K$2)&amp;""),""))</f>
        <v/>
      </c>
      <c r="L909" s="25">
        <f>IF(A909&lt;&gt;"",1,"")</f>
        <v/>
      </c>
      <c r="M909" s="25">
        <f>IF(L909=1,IF(ISNUMBER(FIND("#"&amp;MID(A909,1,1)&amp;"#","#0#1#2#3#4#5#6#7#8#9#")),IF(ISNUMBER(FIND("#"&amp;MID(A909,2,1)&amp;"#","#0#1#2#3#4#5#6#7#8#9#")),IF(AND(VALUE(LEFT(A909,2))&gt;=1,VALUE(LEFT(A909,2))&lt;=5),VALUE(LEFT(A909,2)),""),IF(AND(VALUE(LEFT(A909,1))&gt;=1,VALUE(LEFT(A909,1))&lt;=5),VALUE(LEFT(A909,1)),"")),""),"")</f>
        <v/>
      </c>
      <c r="N909" s="25">
        <f>IF(L909=1,IF(ISNUMBER(FIND("#"&amp;MID(H909,1,1)&amp;"#","#0#1#2#3#4#5#6#7#8#9#")),IF(ISNUMBER(FIND("#"&amp;MID(H909,2,1)&amp;"#","#0#1#2#3#4#5#6#7#8#9#")),IF(AND(VALUE(LEFT(H909,2))&gt;=1,VALUE(LEFT(H909,2))&lt;=5),VALUE(LEFT(H909,2)),""),IF(AND(VALUE(LEFT(H909,1))&gt;=1,VALUE(LEFT(H909,1))&lt;=5),VALUE(LEFT(H909,1)),"")),""),"")</f>
        <v/>
      </c>
      <c r="O909" s="25">
        <f>IF(AND(L909=1,B909&lt;&gt;""),SUBSTITUTE(SUBSTITUTE(SUBSTITUTE(SUBSTITUTE(SUBSTITUTE(SUBSTITUTE(SUBSTITUTE(SUBSTITUTE(SUBSTITUTE(SUBSTITUTE(SUBSTITUTE(SUBSTITUTE(LOWER(TRIM(B909)),"á","a"),"é","e"),"í","i"),"ó","o"),"ú","u"),"ü","u"),"ñ","n"),"à","a"),"è","e"),"ì","i"),"ò","o"),"ù","u"),"")</f>
        <v/>
      </c>
      <c r="P909" s="25">
        <f>IF(AND(L909=1,C909&lt;&gt;""),SUBSTITUTE(SUBSTITUTE(SUBSTITUTE(SUBSTITUTE(SUBSTITUTE(SUBSTITUTE(SUBSTITUTE(SUBSTITUTE(SUBSTITUTE(SUBSTITUTE(SUBSTITUTE(SUBSTITUTE(LOWER(TRIM(C909)),"á","a"),"é","e"),"í","i"),"ó","o"),"ú","u"),"ü","u"),"ñ","n"),"à","a"),"è","e"),"ì","i"),"ò","o"),"ù","u"),"")</f>
        <v/>
      </c>
      <c r="Q909" s="25">
        <f>IF(AND(L909=1,E909&lt;&gt;""),SUBSTITUTE(SUBSTITUTE(SUBSTITUTE(SUBSTITUTE(SUBSTITUTE(SUBSTITUTE(SUBSTITUTE(SUBSTITUTE(SUBSTITUTE(SUBSTITUTE(SUBSTITUTE(SUBSTITUTE(LOWER(TRIM(E909)),"á","a"),"é","e"),"í","i"),"ó","o"),"ú","u"),"ü","u"),"ñ","n"),"à","a"),"è","e"),"ì","i"),"ò","o"),"ù","u"),"")</f>
        <v/>
      </c>
      <c r="R909" s="25">
        <f>IF(AND(L909=1,I909&lt;&gt;""),SUBSTITUTE(SUBSTITUTE(SUBSTITUTE(SUBSTITUTE(SUBSTITUTE(SUBSTITUTE(SUBSTITUTE(SUBSTITUTE(SUBSTITUTE(SUBSTITUTE(SUBSTITUTE(SUBSTITUTE(LOWER(TRIM(I909)),"á","a"),"é","e"),"í","i"),"ó","o"),"ú","u"),"ü","u"),"ñ","n"),"à","a"),"è","e"),"ì","i"),"ò","o"),"ù","u"),"")</f>
        <v/>
      </c>
      <c r="S909" s="25">
        <f>IF(R909="","",IF(OR(R909="si",R909="tal vez"),1,0))</f>
        <v/>
      </c>
      <c r="T909" s="25">
        <f>IF(AND(L909=1,D909&lt;&gt;""),IF(IFERROR(COUNTIFS(D$3:D909,"="&amp;SUBSTITUTE(SUBSTITUTE(SUBSTITUTE(D909,"~","~~"),"*","~*"),"?","~?"),L$3:L909,1),0)=1,MAX(T$2:T908)+1,""),"")</f>
        <v/>
      </c>
      <c r="U909" s="25">
        <f>IF(T909="","",COUNTIFS($D$3:$D$1002,"="&amp;SUBSTITUTE(SUBSTITUTE(SUBSTITUTE(D909,"~","~~"),"*","~*"),"?","~?"),$L$3:$L$1002,1)*10000-T909)</f>
        <v/>
      </c>
      <c r="V909" s="25">
        <f>IF(AND(L909=1,J909&lt;&gt;""),IF(IFERROR(COUNTIFS(J$3:J909,"="&amp;SUBSTITUTE(SUBSTITUTE(SUBSTITUTE(J909,"~","~~"),"*","~*"),"?","~?"),L$3:L909,1),0)=1,MAX(V$2:V908)+1,""),"")</f>
        <v/>
      </c>
      <c r="W909" s="25">
        <f>IF(V909="","",COUNTIFS($J$3:$J$1002,"="&amp;SUBSTITUTE(SUBSTITUTE(SUBSTITUTE(J909,"~","~~"),"*","~*"),"?","~?"),$L$3:$L$1002,1)*10000-V909)</f>
        <v/>
      </c>
    </row>
    <row r="910">
      <c r="A910">
        <f>IF(A$2=0,"",IFERROR(TRIM(INDEX('Pegar estudiantes'!$A$1:$BZ$1001,909,A$2)&amp;""),""))</f>
        <v/>
      </c>
      <c r="B910">
        <f>IF(B$2=0,"",IFERROR(TRIM(INDEX('Pegar estudiantes'!$A$1:$BZ$1001,909,B$2)&amp;""),""))</f>
        <v/>
      </c>
      <c r="C910">
        <f>IF(C$2=0,"",IFERROR(TRIM(INDEX('Pegar estudiantes'!$A$1:$BZ$1001,909,C$2)&amp;""),""))</f>
        <v/>
      </c>
      <c r="D910">
        <f>IF(D$2=0,"",IFERROR(TRIM(INDEX('Pegar estudiantes'!$A$1:$BZ$1001,909,D$2)&amp;""),""))</f>
        <v/>
      </c>
      <c r="E910">
        <f>IF(E$2=0,"",IFERROR(TRIM(INDEX('Pegar estudiantes'!$A$1:$BZ$1001,909,E$2)&amp;""),""))</f>
        <v/>
      </c>
      <c r="F910">
        <f>IF(F$2=0,"",IFERROR(TRIM(INDEX('Pegar estudiantes'!$A$1:$BZ$1001,909,F$2)&amp;""),""))</f>
        <v/>
      </c>
      <c r="G910">
        <f>IF(G$2=0,"",IFERROR(TRIM(INDEX('Pegar estudiantes'!$A$1:$BZ$1001,909,G$2)&amp;""),""))</f>
        <v/>
      </c>
      <c r="H910">
        <f>IF(H$2=0,"",IFERROR(TRIM(INDEX('Pegar estudiantes'!$A$1:$BZ$1001,909,H$2)&amp;""),""))</f>
        <v/>
      </c>
      <c r="I910">
        <f>IF(I$2=0,"",IFERROR(TRIM(INDEX('Pegar estudiantes'!$A$1:$BZ$1001,909,I$2)&amp;""),""))</f>
        <v/>
      </c>
      <c r="J910">
        <f>IF(J$2=0,"",IFERROR(TRIM(INDEX('Pegar estudiantes'!$A$1:$BZ$1001,909,J$2)&amp;""),""))</f>
        <v/>
      </c>
      <c r="K910">
        <f>IF(K$2=0,"",IFERROR(TRIM(INDEX('Pegar estudiantes'!$A$1:$BZ$1001,909,K$2)&amp;""),""))</f>
        <v/>
      </c>
      <c r="L910" s="25">
        <f>IF(A910&lt;&gt;"",1,"")</f>
        <v/>
      </c>
      <c r="M910" s="25">
        <f>IF(L910=1,IF(ISNUMBER(FIND("#"&amp;MID(A910,1,1)&amp;"#","#0#1#2#3#4#5#6#7#8#9#")),IF(ISNUMBER(FIND("#"&amp;MID(A910,2,1)&amp;"#","#0#1#2#3#4#5#6#7#8#9#")),IF(AND(VALUE(LEFT(A910,2))&gt;=1,VALUE(LEFT(A910,2))&lt;=5),VALUE(LEFT(A910,2)),""),IF(AND(VALUE(LEFT(A910,1))&gt;=1,VALUE(LEFT(A910,1))&lt;=5),VALUE(LEFT(A910,1)),"")),""),"")</f>
        <v/>
      </c>
      <c r="N910" s="25">
        <f>IF(L910=1,IF(ISNUMBER(FIND("#"&amp;MID(H910,1,1)&amp;"#","#0#1#2#3#4#5#6#7#8#9#")),IF(ISNUMBER(FIND("#"&amp;MID(H910,2,1)&amp;"#","#0#1#2#3#4#5#6#7#8#9#")),IF(AND(VALUE(LEFT(H910,2))&gt;=1,VALUE(LEFT(H910,2))&lt;=5),VALUE(LEFT(H910,2)),""),IF(AND(VALUE(LEFT(H910,1))&gt;=1,VALUE(LEFT(H910,1))&lt;=5),VALUE(LEFT(H910,1)),"")),""),"")</f>
        <v/>
      </c>
      <c r="O910" s="25">
        <f>IF(AND(L910=1,B910&lt;&gt;""),SUBSTITUTE(SUBSTITUTE(SUBSTITUTE(SUBSTITUTE(SUBSTITUTE(SUBSTITUTE(SUBSTITUTE(SUBSTITUTE(SUBSTITUTE(SUBSTITUTE(SUBSTITUTE(SUBSTITUTE(LOWER(TRIM(B910)),"á","a"),"é","e"),"í","i"),"ó","o"),"ú","u"),"ü","u"),"ñ","n"),"à","a"),"è","e"),"ì","i"),"ò","o"),"ù","u"),"")</f>
        <v/>
      </c>
      <c r="P910" s="25">
        <f>IF(AND(L910=1,C910&lt;&gt;""),SUBSTITUTE(SUBSTITUTE(SUBSTITUTE(SUBSTITUTE(SUBSTITUTE(SUBSTITUTE(SUBSTITUTE(SUBSTITUTE(SUBSTITUTE(SUBSTITUTE(SUBSTITUTE(SUBSTITUTE(LOWER(TRIM(C910)),"á","a"),"é","e"),"í","i"),"ó","o"),"ú","u"),"ü","u"),"ñ","n"),"à","a"),"è","e"),"ì","i"),"ò","o"),"ù","u"),"")</f>
        <v/>
      </c>
      <c r="Q910" s="25">
        <f>IF(AND(L910=1,E910&lt;&gt;""),SUBSTITUTE(SUBSTITUTE(SUBSTITUTE(SUBSTITUTE(SUBSTITUTE(SUBSTITUTE(SUBSTITUTE(SUBSTITUTE(SUBSTITUTE(SUBSTITUTE(SUBSTITUTE(SUBSTITUTE(LOWER(TRIM(E910)),"á","a"),"é","e"),"í","i"),"ó","o"),"ú","u"),"ü","u"),"ñ","n"),"à","a"),"è","e"),"ì","i"),"ò","o"),"ù","u"),"")</f>
        <v/>
      </c>
      <c r="R910" s="25">
        <f>IF(AND(L910=1,I910&lt;&gt;""),SUBSTITUTE(SUBSTITUTE(SUBSTITUTE(SUBSTITUTE(SUBSTITUTE(SUBSTITUTE(SUBSTITUTE(SUBSTITUTE(SUBSTITUTE(SUBSTITUTE(SUBSTITUTE(SUBSTITUTE(LOWER(TRIM(I910)),"á","a"),"é","e"),"í","i"),"ó","o"),"ú","u"),"ü","u"),"ñ","n"),"à","a"),"è","e"),"ì","i"),"ò","o"),"ù","u"),"")</f>
        <v/>
      </c>
      <c r="S910" s="25">
        <f>IF(R910="","",IF(OR(R910="si",R910="tal vez"),1,0))</f>
        <v/>
      </c>
      <c r="T910" s="25">
        <f>IF(AND(L910=1,D910&lt;&gt;""),IF(IFERROR(COUNTIFS(D$3:D910,"="&amp;SUBSTITUTE(SUBSTITUTE(SUBSTITUTE(D910,"~","~~"),"*","~*"),"?","~?"),L$3:L910,1),0)=1,MAX(T$2:T909)+1,""),"")</f>
        <v/>
      </c>
      <c r="U910" s="25">
        <f>IF(T910="","",COUNTIFS($D$3:$D$1002,"="&amp;SUBSTITUTE(SUBSTITUTE(SUBSTITUTE(D910,"~","~~"),"*","~*"),"?","~?"),$L$3:$L$1002,1)*10000-T910)</f>
        <v/>
      </c>
      <c r="V910" s="25">
        <f>IF(AND(L910=1,J910&lt;&gt;""),IF(IFERROR(COUNTIFS(J$3:J910,"="&amp;SUBSTITUTE(SUBSTITUTE(SUBSTITUTE(J910,"~","~~"),"*","~*"),"?","~?"),L$3:L910,1),0)=1,MAX(V$2:V909)+1,""),"")</f>
        <v/>
      </c>
      <c r="W910" s="25">
        <f>IF(V910="","",COUNTIFS($J$3:$J$1002,"="&amp;SUBSTITUTE(SUBSTITUTE(SUBSTITUTE(J910,"~","~~"),"*","~*"),"?","~?"),$L$3:$L$1002,1)*10000-V910)</f>
        <v/>
      </c>
    </row>
    <row r="911">
      <c r="A911">
        <f>IF(A$2=0,"",IFERROR(TRIM(INDEX('Pegar estudiantes'!$A$1:$BZ$1001,910,A$2)&amp;""),""))</f>
        <v/>
      </c>
      <c r="B911">
        <f>IF(B$2=0,"",IFERROR(TRIM(INDEX('Pegar estudiantes'!$A$1:$BZ$1001,910,B$2)&amp;""),""))</f>
        <v/>
      </c>
      <c r="C911">
        <f>IF(C$2=0,"",IFERROR(TRIM(INDEX('Pegar estudiantes'!$A$1:$BZ$1001,910,C$2)&amp;""),""))</f>
        <v/>
      </c>
      <c r="D911">
        <f>IF(D$2=0,"",IFERROR(TRIM(INDEX('Pegar estudiantes'!$A$1:$BZ$1001,910,D$2)&amp;""),""))</f>
        <v/>
      </c>
      <c r="E911">
        <f>IF(E$2=0,"",IFERROR(TRIM(INDEX('Pegar estudiantes'!$A$1:$BZ$1001,910,E$2)&amp;""),""))</f>
        <v/>
      </c>
      <c r="F911">
        <f>IF(F$2=0,"",IFERROR(TRIM(INDEX('Pegar estudiantes'!$A$1:$BZ$1001,910,F$2)&amp;""),""))</f>
        <v/>
      </c>
      <c r="G911">
        <f>IF(G$2=0,"",IFERROR(TRIM(INDEX('Pegar estudiantes'!$A$1:$BZ$1001,910,G$2)&amp;""),""))</f>
        <v/>
      </c>
      <c r="H911">
        <f>IF(H$2=0,"",IFERROR(TRIM(INDEX('Pegar estudiantes'!$A$1:$BZ$1001,910,H$2)&amp;""),""))</f>
        <v/>
      </c>
      <c r="I911">
        <f>IF(I$2=0,"",IFERROR(TRIM(INDEX('Pegar estudiantes'!$A$1:$BZ$1001,910,I$2)&amp;""),""))</f>
        <v/>
      </c>
      <c r="J911">
        <f>IF(J$2=0,"",IFERROR(TRIM(INDEX('Pegar estudiantes'!$A$1:$BZ$1001,910,J$2)&amp;""),""))</f>
        <v/>
      </c>
      <c r="K911">
        <f>IF(K$2=0,"",IFERROR(TRIM(INDEX('Pegar estudiantes'!$A$1:$BZ$1001,910,K$2)&amp;""),""))</f>
        <v/>
      </c>
      <c r="L911" s="25">
        <f>IF(A911&lt;&gt;"",1,"")</f>
        <v/>
      </c>
      <c r="M911" s="25">
        <f>IF(L911=1,IF(ISNUMBER(FIND("#"&amp;MID(A911,1,1)&amp;"#","#0#1#2#3#4#5#6#7#8#9#")),IF(ISNUMBER(FIND("#"&amp;MID(A911,2,1)&amp;"#","#0#1#2#3#4#5#6#7#8#9#")),IF(AND(VALUE(LEFT(A911,2))&gt;=1,VALUE(LEFT(A911,2))&lt;=5),VALUE(LEFT(A911,2)),""),IF(AND(VALUE(LEFT(A911,1))&gt;=1,VALUE(LEFT(A911,1))&lt;=5),VALUE(LEFT(A911,1)),"")),""),"")</f>
        <v/>
      </c>
      <c r="N911" s="25">
        <f>IF(L911=1,IF(ISNUMBER(FIND("#"&amp;MID(H911,1,1)&amp;"#","#0#1#2#3#4#5#6#7#8#9#")),IF(ISNUMBER(FIND("#"&amp;MID(H911,2,1)&amp;"#","#0#1#2#3#4#5#6#7#8#9#")),IF(AND(VALUE(LEFT(H911,2))&gt;=1,VALUE(LEFT(H911,2))&lt;=5),VALUE(LEFT(H911,2)),""),IF(AND(VALUE(LEFT(H911,1))&gt;=1,VALUE(LEFT(H911,1))&lt;=5),VALUE(LEFT(H911,1)),"")),""),"")</f>
        <v/>
      </c>
      <c r="O911" s="25">
        <f>IF(AND(L911=1,B911&lt;&gt;""),SUBSTITUTE(SUBSTITUTE(SUBSTITUTE(SUBSTITUTE(SUBSTITUTE(SUBSTITUTE(SUBSTITUTE(SUBSTITUTE(SUBSTITUTE(SUBSTITUTE(SUBSTITUTE(SUBSTITUTE(LOWER(TRIM(B911)),"á","a"),"é","e"),"í","i"),"ó","o"),"ú","u"),"ü","u"),"ñ","n"),"à","a"),"è","e"),"ì","i"),"ò","o"),"ù","u"),"")</f>
        <v/>
      </c>
      <c r="P911" s="25">
        <f>IF(AND(L911=1,C911&lt;&gt;""),SUBSTITUTE(SUBSTITUTE(SUBSTITUTE(SUBSTITUTE(SUBSTITUTE(SUBSTITUTE(SUBSTITUTE(SUBSTITUTE(SUBSTITUTE(SUBSTITUTE(SUBSTITUTE(SUBSTITUTE(LOWER(TRIM(C911)),"á","a"),"é","e"),"í","i"),"ó","o"),"ú","u"),"ü","u"),"ñ","n"),"à","a"),"è","e"),"ì","i"),"ò","o"),"ù","u"),"")</f>
        <v/>
      </c>
      <c r="Q911" s="25">
        <f>IF(AND(L911=1,E911&lt;&gt;""),SUBSTITUTE(SUBSTITUTE(SUBSTITUTE(SUBSTITUTE(SUBSTITUTE(SUBSTITUTE(SUBSTITUTE(SUBSTITUTE(SUBSTITUTE(SUBSTITUTE(SUBSTITUTE(SUBSTITUTE(LOWER(TRIM(E911)),"á","a"),"é","e"),"í","i"),"ó","o"),"ú","u"),"ü","u"),"ñ","n"),"à","a"),"è","e"),"ì","i"),"ò","o"),"ù","u"),"")</f>
        <v/>
      </c>
      <c r="R911" s="25">
        <f>IF(AND(L911=1,I911&lt;&gt;""),SUBSTITUTE(SUBSTITUTE(SUBSTITUTE(SUBSTITUTE(SUBSTITUTE(SUBSTITUTE(SUBSTITUTE(SUBSTITUTE(SUBSTITUTE(SUBSTITUTE(SUBSTITUTE(SUBSTITUTE(LOWER(TRIM(I911)),"á","a"),"é","e"),"í","i"),"ó","o"),"ú","u"),"ü","u"),"ñ","n"),"à","a"),"è","e"),"ì","i"),"ò","o"),"ù","u"),"")</f>
        <v/>
      </c>
      <c r="S911" s="25">
        <f>IF(R911="","",IF(OR(R911="si",R911="tal vez"),1,0))</f>
        <v/>
      </c>
      <c r="T911" s="25">
        <f>IF(AND(L911=1,D911&lt;&gt;""),IF(IFERROR(COUNTIFS(D$3:D911,"="&amp;SUBSTITUTE(SUBSTITUTE(SUBSTITUTE(D911,"~","~~"),"*","~*"),"?","~?"),L$3:L911,1),0)=1,MAX(T$2:T910)+1,""),"")</f>
        <v/>
      </c>
      <c r="U911" s="25">
        <f>IF(T911="","",COUNTIFS($D$3:$D$1002,"="&amp;SUBSTITUTE(SUBSTITUTE(SUBSTITUTE(D911,"~","~~"),"*","~*"),"?","~?"),$L$3:$L$1002,1)*10000-T911)</f>
        <v/>
      </c>
      <c r="V911" s="25">
        <f>IF(AND(L911=1,J911&lt;&gt;""),IF(IFERROR(COUNTIFS(J$3:J911,"="&amp;SUBSTITUTE(SUBSTITUTE(SUBSTITUTE(J911,"~","~~"),"*","~*"),"?","~?"),L$3:L911,1),0)=1,MAX(V$2:V910)+1,""),"")</f>
        <v/>
      </c>
      <c r="W911" s="25">
        <f>IF(V911="","",COUNTIFS($J$3:$J$1002,"="&amp;SUBSTITUTE(SUBSTITUTE(SUBSTITUTE(J911,"~","~~"),"*","~*"),"?","~?"),$L$3:$L$1002,1)*10000-V911)</f>
        <v/>
      </c>
    </row>
    <row r="912">
      <c r="A912">
        <f>IF(A$2=0,"",IFERROR(TRIM(INDEX('Pegar estudiantes'!$A$1:$BZ$1001,911,A$2)&amp;""),""))</f>
        <v/>
      </c>
      <c r="B912">
        <f>IF(B$2=0,"",IFERROR(TRIM(INDEX('Pegar estudiantes'!$A$1:$BZ$1001,911,B$2)&amp;""),""))</f>
        <v/>
      </c>
      <c r="C912">
        <f>IF(C$2=0,"",IFERROR(TRIM(INDEX('Pegar estudiantes'!$A$1:$BZ$1001,911,C$2)&amp;""),""))</f>
        <v/>
      </c>
      <c r="D912">
        <f>IF(D$2=0,"",IFERROR(TRIM(INDEX('Pegar estudiantes'!$A$1:$BZ$1001,911,D$2)&amp;""),""))</f>
        <v/>
      </c>
      <c r="E912">
        <f>IF(E$2=0,"",IFERROR(TRIM(INDEX('Pegar estudiantes'!$A$1:$BZ$1001,911,E$2)&amp;""),""))</f>
        <v/>
      </c>
      <c r="F912">
        <f>IF(F$2=0,"",IFERROR(TRIM(INDEX('Pegar estudiantes'!$A$1:$BZ$1001,911,F$2)&amp;""),""))</f>
        <v/>
      </c>
      <c r="G912">
        <f>IF(G$2=0,"",IFERROR(TRIM(INDEX('Pegar estudiantes'!$A$1:$BZ$1001,911,G$2)&amp;""),""))</f>
        <v/>
      </c>
      <c r="H912">
        <f>IF(H$2=0,"",IFERROR(TRIM(INDEX('Pegar estudiantes'!$A$1:$BZ$1001,911,H$2)&amp;""),""))</f>
        <v/>
      </c>
      <c r="I912">
        <f>IF(I$2=0,"",IFERROR(TRIM(INDEX('Pegar estudiantes'!$A$1:$BZ$1001,911,I$2)&amp;""),""))</f>
        <v/>
      </c>
      <c r="J912">
        <f>IF(J$2=0,"",IFERROR(TRIM(INDEX('Pegar estudiantes'!$A$1:$BZ$1001,911,J$2)&amp;""),""))</f>
        <v/>
      </c>
      <c r="K912">
        <f>IF(K$2=0,"",IFERROR(TRIM(INDEX('Pegar estudiantes'!$A$1:$BZ$1001,911,K$2)&amp;""),""))</f>
        <v/>
      </c>
      <c r="L912" s="25">
        <f>IF(A912&lt;&gt;"",1,"")</f>
        <v/>
      </c>
      <c r="M912" s="25">
        <f>IF(L912=1,IF(ISNUMBER(FIND("#"&amp;MID(A912,1,1)&amp;"#","#0#1#2#3#4#5#6#7#8#9#")),IF(ISNUMBER(FIND("#"&amp;MID(A912,2,1)&amp;"#","#0#1#2#3#4#5#6#7#8#9#")),IF(AND(VALUE(LEFT(A912,2))&gt;=1,VALUE(LEFT(A912,2))&lt;=5),VALUE(LEFT(A912,2)),""),IF(AND(VALUE(LEFT(A912,1))&gt;=1,VALUE(LEFT(A912,1))&lt;=5),VALUE(LEFT(A912,1)),"")),""),"")</f>
        <v/>
      </c>
      <c r="N912" s="25">
        <f>IF(L912=1,IF(ISNUMBER(FIND("#"&amp;MID(H912,1,1)&amp;"#","#0#1#2#3#4#5#6#7#8#9#")),IF(ISNUMBER(FIND("#"&amp;MID(H912,2,1)&amp;"#","#0#1#2#3#4#5#6#7#8#9#")),IF(AND(VALUE(LEFT(H912,2))&gt;=1,VALUE(LEFT(H912,2))&lt;=5),VALUE(LEFT(H912,2)),""),IF(AND(VALUE(LEFT(H912,1))&gt;=1,VALUE(LEFT(H912,1))&lt;=5),VALUE(LEFT(H912,1)),"")),""),"")</f>
        <v/>
      </c>
      <c r="O912" s="25">
        <f>IF(AND(L912=1,B912&lt;&gt;""),SUBSTITUTE(SUBSTITUTE(SUBSTITUTE(SUBSTITUTE(SUBSTITUTE(SUBSTITUTE(SUBSTITUTE(SUBSTITUTE(SUBSTITUTE(SUBSTITUTE(SUBSTITUTE(SUBSTITUTE(LOWER(TRIM(B912)),"á","a"),"é","e"),"í","i"),"ó","o"),"ú","u"),"ü","u"),"ñ","n"),"à","a"),"è","e"),"ì","i"),"ò","o"),"ù","u"),"")</f>
        <v/>
      </c>
      <c r="P912" s="25">
        <f>IF(AND(L912=1,C912&lt;&gt;""),SUBSTITUTE(SUBSTITUTE(SUBSTITUTE(SUBSTITUTE(SUBSTITUTE(SUBSTITUTE(SUBSTITUTE(SUBSTITUTE(SUBSTITUTE(SUBSTITUTE(SUBSTITUTE(SUBSTITUTE(LOWER(TRIM(C912)),"á","a"),"é","e"),"í","i"),"ó","o"),"ú","u"),"ü","u"),"ñ","n"),"à","a"),"è","e"),"ì","i"),"ò","o"),"ù","u"),"")</f>
        <v/>
      </c>
      <c r="Q912" s="25">
        <f>IF(AND(L912=1,E912&lt;&gt;""),SUBSTITUTE(SUBSTITUTE(SUBSTITUTE(SUBSTITUTE(SUBSTITUTE(SUBSTITUTE(SUBSTITUTE(SUBSTITUTE(SUBSTITUTE(SUBSTITUTE(SUBSTITUTE(SUBSTITUTE(LOWER(TRIM(E912)),"á","a"),"é","e"),"í","i"),"ó","o"),"ú","u"),"ü","u"),"ñ","n"),"à","a"),"è","e"),"ì","i"),"ò","o"),"ù","u"),"")</f>
        <v/>
      </c>
      <c r="R912" s="25">
        <f>IF(AND(L912=1,I912&lt;&gt;""),SUBSTITUTE(SUBSTITUTE(SUBSTITUTE(SUBSTITUTE(SUBSTITUTE(SUBSTITUTE(SUBSTITUTE(SUBSTITUTE(SUBSTITUTE(SUBSTITUTE(SUBSTITUTE(SUBSTITUTE(LOWER(TRIM(I912)),"á","a"),"é","e"),"í","i"),"ó","o"),"ú","u"),"ü","u"),"ñ","n"),"à","a"),"è","e"),"ì","i"),"ò","o"),"ù","u"),"")</f>
        <v/>
      </c>
      <c r="S912" s="25">
        <f>IF(R912="","",IF(OR(R912="si",R912="tal vez"),1,0))</f>
        <v/>
      </c>
      <c r="T912" s="25">
        <f>IF(AND(L912=1,D912&lt;&gt;""),IF(IFERROR(COUNTIFS(D$3:D912,"="&amp;SUBSTITUTE(SUBSTITUTE(SUBSTITUTE(D912,"~","~~"),"*","~*"),"?","~?"),L$3:L912,1),0)=1,MAX(T$2:T911)+1,""),"")</f>
        <v/>
      </c>
      <c r="U912" s="25">
        <f>IF(T912="","",COUNTIFS($D$3:$D$1002,"="&amp;SUBSTITUTE(SUBSTITUTE(SUBSTITUTE(D912,"~","~~"),"*","~*"),"?","~?"),$L$3:$L$1002,1)*10000-T912)</f>
        <v/>
      </c>
      <c r="V912" s="25">
        <f>IF(AND(L912=1,J912&lt;&gt;""),IF(IFERROR(COUNTIFS(J$3:J912,"="&amp;SUBSTITUTE(SUBSTITUTE(SUBSTITUTE(J912,"~","~~"),"*","~*"),"?","~?"),L$3:L912,1),0)=1,MAX(V$2:V911)+1,""),"")</f>
        <v/>
      </c>
      <c r="W912" s="25">
        <f>IF(V912="","",COUNTIFS($J$3:$J$1002,"="&amp;SUBSTITUTE(SUBSTITUTE(SUBSTITUTE(J912,"~","~~"),"*","~*"),"?","~?"),$L$3:$L$1002,1)*10000-V912)</f>
        <v/>
      </c>
    </row>
    <row r="913">
      <c r="A913">
        <f>IF(A$2=0,"",IFERROR(TRIM(INDEX('Pegar estudiantes'!$A$1:$BZ$1001,912,A$2)&amp;""),""))</f>
        <v/>
      </c>
      <c r="B913">
        <f>IF(B$2=0,"",IFERROR(TRIM(INDEX('Pegar estudiantes'!$A$1:$BZ$1001,912,B$2)&amp;""),""))</f>
        <v/>
      </c>
      <c r="C913">
        <f>IF(C$2=0,"",IFERROR(TRIM(INDEX('Pegar estudiantes'!$A$1:$BZ$1001,912,C$2)&amp;""),""))</f>
        <v/>
      </c>
      <c r="D913">
        <f>IF(D$2=0,"",IFERROR(TRIM(INDEX('Pegar estudiantes'!$A$1:$BZ$1001,912,D$2)&amp;""),""))</f>
        <v/>
      </c>
      <c r="E913">
        <f>IF(E$2=0,"",IFERROR(TRIM(INDEX('Pegar estudiantes'!$A$1:$BZ$1001,912,E$2)&amp;""),""))</f>
        <v/>
      </c>
      <c r="F913">
        <f>IF(F$2=0,"",IFERROR(TRIM(INDEX('Pegar estudiantes'!$A$1:$BZ$1001,912,F$2)&amp;""),""))</f>
        <v/>
      </c>
      <c r="G913">
        <f>IF(G$2=0,"",IFERROR(TRIM(INDEX('Pegar estudiantes'!$A$1:$BZ$1001,912,G$2)&amp;""),""))</f>
        <v/>
      </c>
      <c r="H913">
        <f>IF(H$2=0,"",IFERROR(TRIM(INDEX('Pegar estudiantes'!$A$1:$BZ$1001,912,H$2)&amp;""),""))</f>
        <v/>
      </c>
      <c r="I913">
        <f>IF(I$2=0,"",IFERROR(TRIM(INDEX('Pegar estudiantes'!$A$1:$BZ$1001,912,I$2)&amp;""),""))</f>
        <v/>
      </c>
      <c r="J913">
        <f>IF(J$2=0,"",IFERROR(TRIM(INDEX('Pegar estudiantes'!$A$1:$BZ$1001,912,J$2)&amp;""),""))</f>
        <v/>
      </c>
      <c r="K913">
        <f>IF(K$2=0,"",IFERROR(TRIM(INDEX('Pegar estudiantes'!$A$1:$BZ$1001,912,K$2)&amp;""),""))</f>
        <v/>
      </c>
      <c r="L913" s="25">
        <f>IF(A913&lt;&gt;"",1,"")</f>
        <v/>
      </c>
      <c r="M913" s="25">
        <f>IF(L913=1,IF(ISNUMBER(FIND("#"&amp;MID(A913,1,1)&amp;"#","#0#1#2#3#4#5#6#7#8#9#")),IF(ISNUMBER(FIND("#"&amp;MID(A913,2,1)&amp;"#","#0#1#2#3#4#5#6#7#8#9#")),IF(AND(VALUE(LEFT(A913,2))&gt;=1,VALUE(LEFT(A913,2))&lt;=5),VALUE(LEFT(A913,2)),""),IF(AND(VALUE(LEFT(A913,1))&gt;=1,VALUE(LEFT(A913,1))&lt;=5),VALUE(LEFT(A913,1)),"")),""),"")</f>
        <v/>
      </c>
      <c r="N913" s="25">
        <f>IF(L913=1,IF(ISNUMBER(FIND("#"&amp;MID(H913,1,1)&amp;"#","#0#1#2#3#4#5#6#7#8#9#")),IF(ISNUMBER(FIND("#"&amp;MID(H913,2,1)&amp;"#","#0#1#2#3#4#5#6#7#8#9#")),IF(AND(VALUE(LEFT(H913,2))&gt;=1,VALUE(LEFT(H913,2))&lt;=5),VALUE(LEFT(H913,2)),""),IF(AND(VALUE(LEFT(H913,1))&gt;=1,VALUE(LEFT(H913,1))&lt;=5),VALUE(LEFT(H913,1)),"")),""),"")</f>
        <v/>
      </c>
      <c r="O913" s="25">
        <f>IF(AND(L913=1,B913&lt;&gt;""),SUBSTITUTE(SUBSTITUTE(SUBSTITUTE(SUBSTITUTE(SUBSTITUTE(SUBSTITUTE(SUBSTITUTE(SUBSTITUTE(SUBSTITUTE(SUBSTITUTE(SUBSTITUTE(SUBSTITUTE(LOWER(TRIM(B913)),"á","a"),"é","e"),"í","i"),"ó","o"),"ú","u"),"ü","u"),"ñ","n"),"à","a"),"è","e"),"ì","i"),"ò","o"),"ù","u"),"")</f>
        <v/>
      </c>
      <c r="P913" s="25">
        <f>IF(AND(L913=1,C913&lt;&gt;""),SUBSTITUTE(SUBSTITUTE(SUBSTITUTE(SUBSTITUTE(SUBSTITUTE(SUBSTITUTE(SUBSTITUTE(SUBSTITUTE(SUBSTITUTE(SUBSTITUTE(SUBSTITUTE(SUBSTITUTE(LOWER(TRIM(C913)),"á","a"),"é","e"),"í","i"),"ó","o"),"ú","u"),"ü","u"),"ñ","n"),"à","a"),"è","e"),"ì","i"),"ò","o"),"ù","u"),"")</f>
        <v/>
      </c>
      <c r="Q913" s="25">
        <f>IF(AND(L913=1,E913&lt;&gt;""),SUBSTITUTE(SUBSTITUTE(SUBSTITUTE(SUBSTITUTE(SUBSTITUTE(SUBSTITUTE(SUBSTITUTE(SUBSTITUTE(SUBSTITUTE(SUBSTITUTE(SUBSTITUTE(SUBSTITUTE(LOWER(TRIM(E913)),"á","a"),"é","e"),"í","i"),"ó","o"),"ú","u"),"ü","u"),"ñ","n"),"à","a"),"è","e"),"ì","i"),"ò","o"),"ù","u"),"")</f>
        <v/>
      </c>
      <c r="R913" s="25">
        <f>IF(AND(L913=1,I913&lt;&gt;""),SUBSTITUTE(SUBSTITUTE(SUBSTITUTE(SUBSTITUTE(SUBSTITUTE(SUBSTITUTE(SUBSTITUTE(SUBSTITUTE(SUBSTITUTE(SUBSTITUTE(SUBSTITUTE(SUBSTITUTE(LOWER(TRIM(I913)),"á","a"),"é","e"),"í","i"),"ó","o"),"ú","u"),"ü","u"),"ñ","n"),"à","a"),"è","e"),"ì","i"),"ò","o"),"ù","u"),"")</f>
        <v/>
      </c>
      <c r="S913" s="25">
        <f>IF(R913="","",IF(OR(R913="si",R913="tal vez"),1,0))</f>
        <v/>
      </c>
      <c r="T913" s="25">
        <f>IF(AND(L913=1,D913&lt;&gt;""),IF(IFERROR(COUNTIFS(D$3:D913,"="&amp;SUBSTITUTE(SUBSTITUTE(SUBSTITUTE(D913,"~","~~"),"*","~*"),"?","~?"),L$3:L913,1),0)=1,MAX(T$2:T912)+1,""),"")</f>
        <v/>
      </c>
      <c r="U913" s="25">
        <f>IF(T913="","",COUNTIFS($D$3:$D$1002,"="&amp;SUBSTITUTE(SUBSTITUTE(SUBSTITUTE(D913,"~","~~"),"*","~*"),"?","~?"),$L$3:$L$1002,1)*10000-T913)</f>
        <v/>
      </c>
      <c r="V913" s="25">
        <f>IF(AND(L913=1,J913&lt;&gt;""),IF(IFERROR(COUNTIFS(J$3:J913,"="&amp;SUBSTITUTE(SUBSTITUTE(SUBSTITUTE(J913,"~","~~"),"*","~*"),"?","~?"),L$3:L913,1),0)=1,MAX(V$2:V912)+1,""),"")</f>
        <v/>
      </c>
      <c r="W913" s="25">
        <f>IF(V913="","",COUNTIFS($J$3:$J$1002,"="&amp;SUBSTITUTE(SUBSTITUTE(SUBSTITUTE(J913,"~","~~"),"*","~*"),"?","~?"),$L$3:$L$1002,1)*10000-V913)</f>
        <v/>
      </c>
    </row>
    <row r="914">
      <c r="A914">
        <f>IF(A$2=0,"",IFERROR(TRIM(INDEX('Pegar estudiantes'!$A$1:$BZ$1001,913,A$2)&amp;""),""))</f>
        <v/>
      </c>
      <c r="B914">
        <f>IF(B$2=0,"",IFERROR(TRIM(INDEX('Pegar estudiantes'!$A$1:$BZ$1001,913,B$2)&amp;""),""))</f>
        <v/>
      </c>
      <c r="C914">
        <f>IF(C$2=0,"",IFERROR(TRIM(INDEX('Pegar estudiantes'!$A$1:$BZ$1001,913,C$2)&amp;""),""))</f>
        <v/>
      </c>
      <c r="D914">
        <f>IF(D$2=0,"",IFERROR(TRIM(INDEX('Pegar estudiantes'!$A$1:$BZ$1001,913,D$2)&amp;""),""))</f>
        <v/>
      </c>
      <c r="E914">
        <f>IF(E$2=0,"",IFERROR(TRIM(INDEX('Pegar estudiantes'!$A$1:$BZ$1001,913,E$2)&amp;""),""))</f>
        <v/>
      </c>
      <c r="F914">
        <f>IF(F$2=0,"",IFERROR(TRIM(INDEX('Pegar estudiantes'!$A$1:$BZ$1001,913,F$2)&amp;""),""))</f>
        <v/>
      </c>
      <c r="G914">
        <f>IF(G$2=0,"",IFERROR(TRIM(INDEX('Pegar estudiantes'!$A$1:$BZ$1001,913,G$2)&amp;""),""))</f>
        <v/>
      </c>
      <c r="H914">
        <f>IF(H$2=0,"",IFERROR(TRIM(INDEX('Pegar estudiantes'!$A$1:$BZ$1001,913,H$2)&amp;""),""))</f>
        <v/>
      </c>
      <c r="I914">
        <f>IF(I$2=0,"",IFERROR(TRIM(INDEX('Pegar estudiantes'!$A$1:$BZ$1001,913,I$2)&amp;""),""))</f>
        <v/>
      </c>
      <c r="J914">
        <f>IF(J$2=0,"",IFERROR(TRIM(INDEX('Pegar estudiantes'!$A$1:$BZ$1001,913,J$2)&amp;""),""))</f>
        <v/>
      </c>
      <c r="K914">
        <f>IF(K$2=0,"",IFERROR(TRIM(INDEX('Pegar estudiantes'!$A$1:$BZ$1001,913,K$2)&amp;""),""))</f>
        <v/>
      </c>
      <c r="L914" s="25">
        <f>IF(A914&lt;&gt;"",1,"")</f>
        <v/>
      </c>
      <c r="M914" s="25">
        <f>IF(L914=1,IF(ISNUMBER(FIND("#"&amp;MID(A914,1,1)&amp;"#","#0#1#2#3#4#5#6#7#8#9#")),IF(ISNUMBER(FIND("#"&amp;MID(A914,2,1)&amp;"#","#0#1#2#3#4#5#6#7#8#9#")),IF(AND(VALUE(LEFT(A914,2))&gt;=1,VALUE(LEFT(A914,2))&lt;=5),VALUE(LEFT(A914,2)),""),IF(AND(VALUE(LEFT(A914,1))&gt;=1,VALUE(LEFT(A914,1))&lt;=5),VALUE(LEFT(A914,1)),"")),""),"")</f>
        <v/>
      </c>
      <c r="N914" s="25">
        <f>IF(L914=1,IF(ISNUMBER(FIND("#"&amp;MID(H914,1,1)&amp;"#","#0#1#2#3#4#5#6#7#8#9#")),IF(ISNUMBER(FIND("#"&amp;MID(H914,2,1)&amp;"#","#0#1#2#3#4#5#6#7#8#9#")),IF(AND(VALUE(LEFT(H914,2))&gt;=1,VALUE(LEFT(H914,2))&lt;=5),VALUE(LEFT(H914,2)),""),IF(AND(VALUE(LEFT(H914,1))&gt;=1,VALUE(LEFT(H914,1))&lt;=5),VALUE(LEFT(H914,1)),"")),""),"")</f>
        <v/>
      </c>
      <c r="O914" s="25">
        <f>IF(AND(L914=1,B914&lt;&gt;""),SUBSTITUTE(SUBSTITUTE(SUBSTITUTE(SUBSTITUTE(SUBSTITUTE(SUBSTITUTE(SUBSTITUTE(SUBSTITUTE(SUBSTITUTE(SUBSTITUTE(SUBSTITUTE(SUBSTITUTE(LOWER(TRIM(B914)),"á","a"),"é","e"),"í","i"),"ó","o"),"ú","u"),"ü","u"),"ñ","n"),"à","a"),"è","e"),"ì","i"),"ò","o"),"ù","u"),"")</f>
        <v/>
      </c>
      <c r="P914" s="25">
        <f>IF(AND(L914=1,C914&lt;&gt;""),SUBSTITUTE(SUBSTITUTE(SUBSTITUTE(SUBSTITUTE(SUBSTITUTE(SUBSTITUTE(SUBSTITUTE(SUBSTITUTE(SUBSTITUTE(SUBSTITUTE(SUBSTITUTE(SUBSTITUTE(LOWER(TRIM(C914)),"á","a"),"é","e"),"í","i"),"ó","o"),"ú","u"),"ü","u"),"ñ","n"),"à","a"),"è","e"),"ì","i"),"ò","o"),"ù","u"),"")</f>
        <v/>
      </c>
      <c r="Q914" s="25">
        <f>IF(AND(L914=1,E914&lt;&gt;""),SUBSTITUTE(SUBSTITUTE(SUBSTITUTE(SUBSTITUTE(SUBSTITUTE(SUBSTITUTE(SUBSTITUTE(SUBSTITUTE(SUBSTITUTE(SUBSTITUTE(SUBSTITUTE(SUBSTITUTE(LOWER(TRIM(E914)),"á","a"),"é","e"),"í","i"),"ó","o"),"ú","u"),"ü","u"),"ñ","n"),"à","a"),"è","e"),"ì","i"),"ò","o"),"ù","u"),"")</f>
        <v/>
      </c>
      <c r="R914" s="25">
        <f>IF(AND(L914=1,I914&lt;&gt;""),SUBSTITUTE(SUBSTITUTE(SUBSTITUTE(SUBSTITUTE(SUBSTITUTE(SUBSTITUTE(SUBSTITUTE(SUBSTITUTE(SUBSTITUTE(SUBSTITUTE(SUBSTITUTE(SUBSTITUTE(LOWER(TRIM(I914)),"á","a"),"é","e"),"í","i"),"ó","o"),"ú","u"),"ü","u"),"ñ","n"),"à","a"),"è","e"),"ì","i"),"ò","o"),"ù","u"),"")</f>
        <v/>
      </c>
      <c r="S914" s="25">
        <f>IF(R914="","",IF(OR(R914="si",R914="tal vez"),1,0))</f>
        <v/>
      </c>
      <c r="T914" s="25">
        <f>IF(AND(L914=1,D914&lt;&gt;""),IF(IFERROR(COUNTIFS(D$3:D914,"="&amp;SUBSTITUTE(SUBSTITUTE(SUBSTITUTE(D914,"~","~~"),"*","~*"),"?","~?"),L$3:L914,1),0)=1,MAX(T$2:T913)+1,""),"")</f>
        <v/>
      </c>
      <c r="U914" s="25">
        <f>IF(T914="","",COUNTIFS($D$3:$D$1002,"="&amp;SUBSTITUTE(SUBSTITUTE(SUBSTITUTE(D914,"~","~~"),"*","~*"),"?","~?"),$L$3:$L$1002,1)*10000-T914)</f>
        <v/>
      </c>
      <c r="V914" s="25">
        <f>IF(AND(L914=1,J914&lt;&gt;""),IF(IFERROR(COUNTIFS(J$3:J914,"="&amp;SUBSTITUTE(SUBSTITUTE(SUBSTITUTE(J914,"~","~~"),"*","~*"),"?","~?"),L$3:L914,1),0)=1,MAX(V$2:V913)+1,""),"")</f>
        <v/>
      </c>
      <c r="W914" s="25">
        <f>IF(V914="","",COUNTIFS($J$3:$J$1002,"="&amp;SUBSTITUTE(SUBSTITUTE(SUBSTITUTE(J914,"~","~~"),"*","~*"),"?","~?"),$L$3:$L$1002,1)*10000-V914)</f>
        <v/>
      </c>
    </row>
    <row r="915">
      <c r="A915">
        <f>IF(A$2=0,"",IFERROR(TRIM(INDEX('Pegar estudiantes'!$A$1:$BZ$1001,914,A$2)&amp;""),""))</f>
        <v/>
      </c>
      <c r="B915">
        <f>IF(B$2=0,"",IFERROR(TRIM(INDEX('Pegar estudiantes'!$A$1:$BZ$1001,914,B$2)&amp;""),""))</f>
        <v/>
      </c>
      <c r="C915">
        <f>IF(C$2=0,"",IFERROR(TRIM(INDEX('Pegar estudiantes'!$A$1:$BZ$1001,914,C$2)&amp;""),""))</f>
        <v/>
      </c>
      <c r="D915">
        <f>IF(D$2=0,"",IFERROR(TRIM(INDEX('Pegar estudiantes'!$A$1:$BZ$1001,914,D$2)&amp;""),""))</f>
        <v/>
      </c>
      <c r="E915">
        <f>IF(E$2=0,"",IFERROR(TRIM(INDEX('Pegar estudiantes'!$A$1:$BZ$1001,914,E$2)&amp;""),""))</f>
        <v/>
      </c>
      <c r="F915">
        <f>IF(F$2=0,"",IFERROR(TRIM(INDEX('Pegar estudiantes'!$A$1:$BZ$1001,914,F$2)&amp;""),""))</f>
        <v/>
      </c>
      <c r="G915">
        <f>IF(G$2=0,"",IFERROR(TRIM(INDEX('Pegar estudiantes'!$A$1:$BZ$1001,914,G$2)&amp;""),""))</f>
        <v/>
      </c>
      <c r="H915">
        <f>IF(H$2=0,"",IFERROR(TRIM(INDEX('Pegar estudiantes'!$A$1:$BZ$1001,914,H$2)&amp;""),""))</f>
        <v/>
      </c>
      <c r="I915">
        <f>IF(I$2=0,"",IFERROR(TRIM(INDEX('Pegar estudiantes'!$A$1:$BZ$1001,914,I$2)&amp;""),""))</f>
        <v/>
      </c>
      <c r="J915">
        <f>IF(J$2=0,"",IFERROR(TRIM(INDEX('Pegar estudiantes'!$A$1:$BZ$1001,914,J$2)&amp;""),""))</f>
        <v/>
      </c>
      <c r="K915">
        <f>IF(K$2=0,"",IFERROR(TRIM(INDEX('Pegar estudiantes'!$A$1:$BZ$1001,914,K$2)&amp;""),""))</f>
        <v/>
      </c>
      <c r="L915" s="25">
        <f>IF(A915&lt;&gt;"",1,"")</f>
        <v/>
      </c>
      <c r="M915" s="25">
        <f>IF(L915=1,IF(ISNUMBER(FIND("#"&amp;MID(A915,1,1)&amp;"#","#0#1#2#3#4#5#6#7#8#9#")),IF(ISNUMBER(FIND("#"&amp;MID(A915,2,1)&amp;"#","#0#1#2#3#4#5#6#7#8#9#")),IF(AND(VALUE(LEFT(A915,2))&gt;=1,VALUE(LEFT(A915,2))&lt;=5),VALUE(LEFT(A915,2)),""),IF(AND(VALUE(LEFT(A915,1))&gt;=1,VALUE(LEFT(A915,1))&lt;=5),VALUE(LEFT(A915,1)),"")),""),"")</f>
        <v/>
      </c>
      <c r="N915" s="25">
        <f>IF(L915=1,IF(ISNUMBER(FIND("#"&amp;MID(H915,1,1)&amp;"#","#0#1#2#3#4#5#6#7#8#9#")),IF(ISNUMBER(FIND("#"&amp;MID(H915,2,1)&amp;"#","#0#1#2#3#4#5#6#7#8#9#")),IF(AND(VALUE(LEFT(H915,2))&gt;=1,VALUE(LEFT(H915,2))&lt;=5),VALUE(LEFT(H915,2)),""),IF(AND(VALUE(LEFT(H915,1))&gt;=1,VALUE(LEFT(H915,1))&lt;=5),VALUE(LEFT(H915,1)),"")),""),"")</f>
        <v/>
      </c>
      <c r="O915" s="25">
        <f>IF(AND(L915=1,B915&lt;&gt;""),SUBSTITUTE(SUBSTITUTE(SUBSTITUTE(SUBSTITUTE(SUBSTITUTE(SUBSTITUTE(SUBSTITUTE(SUBSTITUTE(SUBSTITUTE(SUBSTITUTE(SUBSTITUTE(SUBSTITUTE(LOWER(TRIM(B915)),"á","a"),"é","e"),"í","i"),"ó","o"),"ú","u"),"ü","u"),"ñ","n"),"à","a"),"è","e"),"ì","i"),"ò","o"),"ù","u"),"")</f>
        <v/>
      </c>
      <c r="P915" s="25">
        <f>IF(AND(L915=1,C915&lt;&gt;""),SUBSTITUTE(SUBSTITUTE(SUBSTITUTE(SUBSTITUTE(SUBSTITUTE(SUBSTITUTE(SUBSTITUTE(SUBSTITUTE(SUBSTITUTE(SUBSTITUTE(SUBSTITUTE(SUBSTITUTE(LOWER(TRIM(C915)),"á","a"),"é","e"),"í","i"),"ó","o"),"ú","u"),"ü","u"),"ñ","n"),"à","a"),"è","e"),"ì","i"),"ò","o"),"ù","u"),"")</f>
        <v/>
      </c>
      <c r="Q915" s="25">
        <f>IF(AND(L915=1,E915&lt;&gt;""),SUBSTITUTE(SUBSTITUTE(SUBSTITUTE(SUBSTITUTE(SUBSTITUTE(SUBSTITUTE(SUBSTITUTE(SUBSTITUTE(SUBSTITUTE(SUBSTITUTE(SUBSTITUTE(SUBSTITUTE(LOWER(TRIM(E915)),"á","a"),"é","e"),"í","i"),"ó","o"),"ú","u"),"ü","u"),"ñ","n"),"à","a"),"è","e"),"ì","i"),"ò","o"),"ù","u"),"")</f>
        <v/>
      </c>
      <c r="R915" s="25">
        <f>IF(AND(L915=1,I915&lt;&gt;""),SUBSTITUTE(SUBSTITUTE(SUBSTITUTE(SUBSTITUTE(SUBSTITUTE(SUBSTITUTE(SUBSTITUTE(SUBSTITUTE(SUBSTITUTE(SUBSTITUTE(SUBSTITUTE(SUBSTITUTE(LOWER(TRIM(I915)),"á","a"),"é","e"),"í","i"),"ó","o"),"ú","u"),"ü","u"),"ñ","n"),"à","a"),"è","e"),"ì","i"),"ò","o"),"ù","u"),"")</f>
        <v/>
      </c>
      <c r="S915" s="25">
        <f>IF(R915="","",IF(OR(R915="si",R915="tal vez"),1,0))</f>
        <v/>
      </c>
      <c r="T915" s="25">
        <f>IF(AND(L915=1,D915&lt;&gt;""),IF(IFERROR(COUNTIFS(D$3:D915,"="&amp;SUBSTITUTE(SUBSTITUTE(SUBSTITUTE(D915,"~","~~"),"*","~*"),"?","~?"),L$3:L915,1),0)=1,MAX(T$2:T914)+1,""),"")</f>
        <v/>
      </c>
      <c r="U915" s="25">
        <f>IF(T915="","",COUNTIFS($D$3:$D$1002,"="&amp;SUBSTITUTE(SUBSTITUTE(SUBSTITUTE(D915,"~","~~"),"*","~*"),"?","~?"),$L$3:$L$1002,1)*10000-T915)</f>
        <v/>
      </c>
      <c r="V915" s="25">
        <f>IF(AND(L915=1,J915&lt;&gt;""),IF(IFERROR(COUNTIFS(J$3:J915,"="&amp;SUBSTITUTE(SUBSTITUTE(SUBSTITUTE(J915,"~","~~"),"*","~*"),"?","~?"),L$3:L915,1),0)=1,MAX(V$2:V914)+1,""),"")</f>
        <v/>
      </c>
      <c r="W915" s="25">
        <f>IF(V915="","",COUNTIFS($J$3:$J$1002,"="&amp;SUBSTITUTE(SUBSTITUTE(SUBSTITUTE(J915,"~","~~"),"*","~*"),"?","~?"),$L$3:$L$1002,1)*10000-V915)</f>
        <v/>
      </c>
    </row>
    <row r="916">
      <c r="A916">
        <f>IF(A$2=0,"",IFERROR(TRIM(INDEX('Pegar estudiantes'!$A$1:$BZ$1001,915,A$2)&amp;""),""))</f>
        <v/>
      </c>
      <c r="B916">
        <f>IF(B$2=0,"",IFERROR(TRIM(INDEX('Pegar estudiantes'!$A$1:$BZ$1001,915,B$2)&amp;""),""))</f>
        <v/>
      </c>
      <c r="C916">
        <f>IF(C$2=0,"",IFERROR(TRIM(INDEX('Pegar estudiantes'!$A$1:$BZ$1001,915,C$2)&amp;""),""))</f>
        <v/>
      </c>
      <c r="D916">
        <f>IF(D$2=0,"",IFERROR(TRIM(INDEX('Pegar estudiantes'!$A$1:$BZ$1001,915,D$2)&amp;""),""))</f>
        <v/>
      </c>
      <c r="E916">
        <f>IF(E$2=0,"",IFERROR(TRIM(INDEX('Pegar estudiantes'!$A$1:$BZ$1001,915,E$2)&amp;""),""))</f>
        <v/>
      </c>
      <c r="F916">
        <f>IF(F$2=0,"",IFERROR(TRIM(INDEX('Pegar estudiantes'!$A$1:$BZ$1001,915,F$2)&amp;""),""))</f>
        <v/>
      </c>
      <c r="G916">
        <f>IF(G$2=0,"",IFERROR(TRIM(INDEX('Pegar estudiantes'!$A$1:$BZ$1001,915,G$2)&amp;""),""))</f>
        <v/>
      </c>
      <c r="H916">
        <f>IF(H$2=0,"",IFERROR(TRIM(INDEX('Pegar estudiantes'!$A$1:$BZ$1001,915,H$2)&amp;""),""))</f>
        <v/>
      </c>
      <c r="I916">
        <f>IF(I$2=0,"",IFERROR(TRIM(INDEX('Pegar estudiantes'!$A$1:$BZ$1001,915,I$2)&amp;""),""))</f>
        <v/>
      </c>
      <c r="J916">
        <f>IF(J$2=0,"",IFERROR(TRIM(INDEX('Pegar estudiantes'!$A$1:$BZ$1001,915,J$2)&amp;""),""))</f>
        <v/>
      </c>
      <c r="K916">
        <f>IF(K$2=0,"",IFERROR(TRIM(INDEX('Pegar estudiantes'!$A$1:$BZ$1001,915,K$2)&amp;""),""))</f>
        <v/>
      </c>
      <c r="L916" s="25">
        <f>IF(A916&lt;&gt;"",1,"")</f>
        <v/>
      </c>
      <c r="M916" s="25">
        <f>IF(L916=1,IF(ISNUMBER(FIND("#"&amp;MID(A916,1,1)&amp;"#","#0#1#2#3#4#5#6#7#8#9#")),IF(ISNUMBER(FIND("#"&amp;MID(A916,2,1)&amp;"#","#0#1#2#3#4#5#6#7#8#9#")),IF(AND(VALUE(LEFT(A916,2))&gt;=1,VALUE(LEFT(A916,2))&lt;=5),VALUE(LEFT(A916,2)),""),IF(AND(VALUE(LEFT(A916,1))&gt;=1,VALUE(LEFT(A916,1))&lt;=5),VALUE(LEFT(A916,1)),"")),""),"")</f>
        <v/>
      </c>
      <c r="N916" s="25">
        <f>IF(L916=1,IF(ISNUMBER(FIND("#"&amp;MID(H916,1,1)&amp;"#","#0#1#2#3#4#5#6#7#8#9#")),IF(ISNUMBER(FIND("#"&amp;MID(H916,2,1)&amp;"#","#0#1#2#3#4#5#6#7#8#9#")),IF(AND(VALUE(LEFT(H916,2))&gt;=1,VALUE(LEFT(H916,2))&lt;=5),VALUE(LEFT(H916,2)),""),IF(AND(VALUE(LEFT(H916,1))&gt;=1,VALUE(LEFT(H916,1))&lt;=5),VALUE(LEFT(H916,1)),"")),""),"")</f>
        <v/>
      </c>
      <c r="O916" s="25">
        <f>IF(AND(L916=1,B916&lt;&gt;""),SUBSTITUTE(SUBSTITUTE(SUBSTITUTE(SUBSTITUTE(SUBSTITUTE(SUBSTITUTE(SUBSTITUTE(SUBSTITUTE(SUBSTITUTE(SUBSTITUTE(SUBSTITUTE(SUBSTITUTE(LOWER(TRIM(B916)),"á","a"),"é","e"),"í","i"),"ó","o"),"ú","u"),"ü","u"),"ñ","n"),"à","a"),"è","e"),"ì","i"),"ò","o"),"ù","u"),"")</f>
        <v/>
      </c>
      <c r="P916" s="25">
        <f>IF(AND(L916=1,C916&lt;&gt;""),SUBSTITUTE(SUBSTITUTE(SUBSTITUTE(SUBSTITUTE(SUBSTITUTE(SUBSTITUTE(SUBSTITUTE(SUBSTITUTE(SUBSTITUTE(SUBSTITUTE(SUBSTITUTE(SUBSTITUTE(LOWER(TRIM(C916)),"á","a"),"é","e"),"í","i"),"ó","o"),"ú","u"),"ü","u"),"ñ","n"),"à","a"),"è","e"),"ì","i"),"ò","o"),"ù","u"),"")</f>
        <v/>
      </c>
      <c r="Q916" s="25">
        <f>IF(AND(L916=1,E916&lt;&gt;""),SUBSTITUTE(SUBSTITUTE(SUBSTITUTE(SUBSTITUTE(SUBSTITUTE(SUBSTITUTE(SUBSTITUTE(SUBSTITUTE(SUBSTITUTE(SUBSTITUTE(SUBSTITUTE(SUBSTITUTE(LOWER(TRIM(E916)),"á","a"),"é","e"),"í","i"),"ó","o"),"ú","u"),"ü","u"),"ñ","n"),"à","a"),"è","e"),"ì","i"),"ò","o"),"ù","u"),"")</f>
        <v/>
      </c>
      <c r="R916" s="25">
        <f>IF(AND(L916=1,I916&lt;&gt;""),SUBSTITUTE(SUBSTITUTE(SUBSTITUTE(SUBSTITUTE(SUBSTITUTE(SUBSTITUTE(SUBSTITUTE(SUBSTITUTE(SUBSTITUTE(SUBSTITUTE(SUBSTITUTE(SUBSTITUTE(LOWER(TRIM(I916)),"á","a"),"é","e"),"í","i"),"ó","o"),"ú","u"),"ü","u"),"ñ","n"),"à","a"),"è","e"),"ì","i"),"ò","o"),"ù","u"),"")</f>
        <v/>
      </c>
      <c r="S916" s="25">
        <f>IF(R916="","",IF(OR(R916="si",R916="tal vez"),1,0))</f>
        <v/>
      </c>
      <c r="T916" s="25">
        <f>IF(AND(L916=1,D916&lt;&gt;""),IF(IFERROR(COUNTIFS(D$3:D916,"="&amp;SUBSTITUTE(SUBSTITUTE(SUBSTITUTE(D916,"~","~~"),"*","~*"),"?","~?"),L$3:L916,1),0)=1,MAX(T$2:T915)+1,""),"")</f>
        <v/>
      </c>
      <c r="U916" s="25">
        <f>IF(T916="","",COUNTIFS($D$3:$D$1002,"="&amp;SUBSTITUTE(SUBSTITUTE(SUBSTITUTE(D916,"~","~~"),"*","~*"),"?","~?"),$L$3:$L$1002,1)*10000-T916)</f>
        <v/>
      </c>
      <c r="V916" s="25">
        <f>IF(AND(L916=1,J916&lt;&gt;""),IF(IFERROR(COUNTIFS(J$3:J916,"="&amp;SUBSTITUTE(SUBSTITUTE(SUBSTITUTE(J916,"~","~~"),"*","~*"),"?","~?"),L$3:L916,1),0)=1,MAX(V$2:V915)+1,""),"")</f>
        <v/>
      </c>
      <c r="W916" s="25">
        <f>IF(V916="","",COUNTIFS($J$3:$J$1002,"="&amp;SUBSTITUTE(SUBSTITUTE(SUBSTITUTE(J916,"~","~~"),"*","~*"),"?","~?"),$L$3:$L$1002,1)*10000-V916)</f>
        <v/>
      </c>
    </row>
    <row r="917">
      <c r="A917">
        <f>IF(A$2=0,"",IFERROR(TRIM(INDEX('Pegar estudiantes'!$A$1:$BZ$1001,916,A$2)&amp;""),""))</f>
        <v/>
      </c>
      <c r="B917">
        <f>IF(B$2=0,"",IFERROR(TRIM(INDEX('Pegar estudiantes'!$A$1:$BZ$1001,916,B$2)&amp;""),""))</f>
        <v/>
      </c>
      <c r="C917">
        <f>IF(C$2=0,"",IFERROR(TRIM(INDEX('Pegar estudiantes'!$A$1:$BZ$1001,916,C$2)&amp;""),""))</f>
        <v/>
      </c>
      <c r="D917">
        <f>IF(D$2=0,"",IFERROR(TRIM(INDEX('Pegar estudiantes'!$A$1:$BZ$1001,916,D$2)&amp;""),""))</f>
        <v/>
      </c>
      <c r="E917">
        <f>IF(E$2=0,"",IFERROR(TRIM(INDEX('Pegar estudiantes'!$A$1:$BZ$1001,916,E$2)&amp;""),""))</f>
        <v/>
      </c>
      <c r="F917">
        <f>IF(F$2=0,"",IFERROR(TRIM(INDEX('Pegar estudiantes'!$A$1:$BZ$1001,916,F$2)&amp;""),""))</f>
        <v/>
      </c>
      <c r="G917">
        <f>IF(G$2=0,"",IFERROR(TRIM(INDEX('Pegar estudiantes'!$A$1:$BZ$1001,916,G$2)&amp;""),""))</f>
        <v/>
      </c>
      <c r="H917">
        <f>IF(H$2=0,"",IFERROR(TRIM(INDEX('Pegar estudiantes'!$A$1:$BZ$1001,916,H$2)&amp;""),""))</f>
        <v/>
      </c>
      <c r="I917">
        <f>IF(I$2=0,"",IFERROR(TRIM(INDEX('Pegar estudiantes'!$A$1:$BZ$1001,916,I$2)&amp;""),""))</f>
        <v/>
      </c>
      <c r="J917">
        <f>IF(J$2=0,"",IFERROR(TRIM(INDEX('Pegar estudiantes'!$A$1:$BZ$1001,916,J$2)&amp;""),""))</f>
        <v/>
      </c>
      <c r="K917">
        <f>IF(K$2=0,"",IFERROR(TRIM(INDEX('Pegar estudiantes'!$A$1:$BZ$1001,916,K$2)&amp;""),""))</f>
        <v/>
      </c>
      <c r="L917" s="25">
        <f>IF(A917&lt;&gt;"",1,"")</f>
        <v/>
      </c>
      <c r="M917" s="25">
        <f>IF(L917=1,IF(ISNUMBER(FIND("#"&amp;MID(A917,1,1)&amp;"#","#0#1#2#3#4#5#6#7#8#9#")),IF(ISNUMBER(FIND("#"&amp;MID(A917,2,1)&amp;"#","#0#1#2#3#4#5#6#7#8#9#")),IF(AND(VALUE(LEFT(A917,2))&gt;=1,VALUE(LEFT(A917,2))&lt;=5),VALUE(LEFT(A917,2)),""),IF(AND(VALUE(LEFT(A917,1))&gt;=1,VALUE(LEFT(A917,1))&lt;=5),VALUE(LEFT(A917,1)),"")),""),"")</f>
        <v/>
      </c>
      <c r="N917" s="25">
        <f>IF(L917=1,IF(ISNUMBER(FIND("#"&amp;MID(H917,1,1)&amp;"#","#0#1#2#3#4#5#6#7#8#9#")),IF(ISNUMBER(FIND("#"&amp;MID(H917,2,1)&amp;"#","#0#1#2#3#4#5#6#7#8#9#")),IF(AND(VALUE(LEFT(H917,2))&gt;=1,VALUE(LEFT(H917,2))&lt;=5),VALUE(LEFT(H917,2)),""),IF(AND(VALUE(LEFT(H917,1))&gt;=1,VALUE(LEFT(H917,1))&lt;=5),VALUE(LEFT(H917,1)),"")),""),"")</f>
        <v/>
      </c>
      <c r="O917" s="25">
        <f>IF(AND(L917=1,B917&lt;&gt;""),SUBSTITUTE(SUBSTITUTE(SUBSTITUTE(SUBSTITUTE(SUBSTITUTE(SUBSTITUTE(SUBSTITUTE(SUBSTITUTE(SUBSTITUTE(SUBSTITUTE(SUBSTITUTE(SUBSTITUTE(LOWER(TRIM(B917)),"á","a"),"é","e"),"í","i"),"ó","o"),"ú","u"),"ü","u"),"ñ","n"),"à","a"),"è","e"),"ì","i"),"ò","o"),"ù","u"),"")</f>
        <v/>
      </c>
      <c r="P917" s="25">
        <f>IF(AND(L917=1,C917&lt;&gt;""),SUBSTITUTE(SUBSTITUTE(SUBSTITUTE(SUBSTITUTE(SUBSTITUTE(SUBSTITUTE(SUBSTITUTE(SUBSTITUTE(SUBSTITUTE(SUBSTITUTE(SUBSTITUTE(SUBSTITUTE(LOWER(TRIM(C917)),"á","a"),"é","e"),"í","i"),"ó","o"),"ú","u"),"ü","u"),"ñ","n"),"à","a"),"è","e"),"ì","i"),"ò","o"),"ù","u"),"")</f>
        <v/>
      </c>
      <c r="Q917" s="25">
        <f>IF(AND(L917=1,E917&lt;&gt;""),SUBSTITUTE(SUBSTITUTE(SUBSTITUTE(SUBSTITUTE(SUBSTITUTE(SUBSTITUTE(SUBSTITUTE(SUBSTITUTE(SUBSTITUTE(SUBSTITUTE(SUBSTITUTE(SUBSTITUTE(LOWER(TRIM(E917)),"á","a"),"é","e"),"í","i"),"ó","o"),"ú","u"),"ü","u"),"ñ","n"),"à","a"),"è","e"),"ì","i"),"ò","o"),"ù","u"),"")</f>
        <v/>
      </c>
      <c r="R917" s="25">
        <f>IF(AND(L917=1,I917&lt;&gt;""),SUBSTITUTE(SUBSTITUTE(SUBSTITUTE(SUBSTITUTE(SUBSTITUTE(SUBSTITUTE(SUBSTITUTE(SUBSTITUTE(SUBSTITUTE(SUBSTITUTE(SUBSTITUTE(SUBSTITUTE(LOWER(TRIM(I917)),"á","a"),"é","e"),"í","i"),"ó","o"),"ú","u"),"ü","u"),"ñ","n"),"à","a"),"è","e"),"ì","i"),"ò","o"),"ù","u"),"")</f>
        <v/>
      </c>
      <c r="S917" s="25">
        <f>IF(R917="","",IF(OR(R917="si",R917="tal vez"),1,0))</f>
        <v/>
      </c>
      <c r="T917" s="25">
        <f>IF(AND(L917=1,D917&lt;&gt;""),IF(IFERROR(COUNTIFS(D$3:D917,"="&amp;SUBSTITUTE(SUBSTITUTE(SUBSTITUTE(D917,"~","~~"),"*","~*"),"?","~?"),L$3:L917,1),0)=1,MAX(T$2:T916)+1,""),"")</f>
        <v/>
      </c>
      <c r="U917" s="25">
        <f>IF(T917="","",COUNTIFS($D$3:$D$1002,"="&amp;SUBSTITUTE(SUBSTITUTE(SUBSTITUTE(D917,"~","~~"),"*","~*"),"?","~?"),$L$3:$L$1002,1)*10000-T917)</f>
        <v/>
      </c>
      <c r="V917" s="25">
        <f>IF(AND(L917=1,J917&lt;&gt;""),IF(IFERROR(COUNTIFS(J$3:J917,"="&amp;SUBSTITUTE(SUBSTITUTE(SUBSTITUTE(J917,"~","~~"),"*","~*"),"?","~?"),L$3:L917,1),0)=1,MAX(V$2:V916)+1,""),"")</f>
        <v/>
      </c>
      <c r="W917" s="25">
        <f>IF(V917="","",COUNTIFS($J$3:$J$1002,"="&amp;SUBSTITUTE(SUBSTITUTE(SUBSTITUTE(J917,"~","~~"),"*","~*"),"?","~?"),$L$3:$L$1002,1)*10000-V917)</f>
        <v/>
      </c>
    </row>
    <row r="918">
      <c r="A918">
        <f>IF(A$2=0,"",IFERROR(TRIM(INDEX('Pegar estudiantes'!$A$1:$BZ$1001,917,A$2)&amp;""),""))</f>
        <v/>
      </c>
      <c r="B918">
        <f>IF(B$2=0,"",IFERROR(TRIM(INDEX('Pegar estudiantes'!$A$1:$BZ$1001,917,B$2)&amp;""),""))</f>
        <v/>
      </c>
      <c r="C918">
        <f>IF(C$2=0,"",IFERROR(TRIM(INDEX('Pegar estudiantes'!$A$1:$BZ$1001,917,C$2)&amp;""),""))</f>
        <v/>
      </c>
      <c r="D918">
        <f>IF(D$2=0,"",IFERROR(TRIM(INDEX('Pegar estudiantes'!$A$1:$BZ$1001,917,D$2)&amp;""),""))</f>
        <v/>
      </c>
      <c r="E918">
        <f>IF(E$2=0,"",IFERROR(TRIM(INDEX('Pegar estudiantes'!$A$1:$BZ$1001,917,E$2)&amp;""),""))</f>
        <v/>
      </c>
      <c r="F918">
        <f>IF(F$2=0,"",IFERROR(TRIM(INDEX('Pegar estudiantes'!$A$1:$BZ$1001,917,F$2)&amp;""),""))</f>
        <v/>
      </c>
      <c r="G918">
        <f>IF(G$2=0,"",IFERROR(TRIM(INDEX('Pegar estudiantes'!$A$1:$BZ$1001,917,G$2)&amp;""),""))</f>
        <v/>
      </c>
      <c r="H918">
        <f>IF(H$2=0,"",IFERROR(TRIM(INDEX('Pegar estudiantes'!$A$1:$BZ$1001,917,H$2)&amp;""),""))</f>
        <v/>
      </c>
      <c r="I918">
        <f>IF(I$2=0,"",IFERROR(TRIM(INDEX('Pegar estudiantes'!$A$1:$BZ$1001,917,I$2)&amp;""),""))</f>
        <v/>
      </c>
      <c r="J918">
        <f>IF(J$2=0,"",IFERROR(TRIM(INDEX('Pegar estudiantes'!$A$1:$BZ$1001,917,J$2)&amp;""),""))</f>
        <v/>
      </c>
      <c r="K918">
        <f>IF(K$2=0,"",IFERROR(TRIM(INDEX('Pegar estudiantes'!$A$1:$BZ$1001,917,K$2)&amp;""),""))</f>
        <v/>
      </c>
      <c r="L918" s="25">
        <f>IF(A918&lt;&gt;"",1,"")</f>
        <v/>
      </c>
      <c r="M918" s="25">
        <f>IF(L918=1,IF(ISNUMBER(FIND("#"&amp;MID(A918,1,1)&amp;"#","#0#1#2#3#4#5#6#7#8#9#")),IF(ISNUMBER(FIND("#"&amp;MID(A918,2,1)&amp;"#","#0#1#2#3#4#5#6#7#8#9#")),IF(AND(VALUE(LEFT(A918,2))&gt;=1,VALUE(LEFT(A918,2))&lt;=5),VALUE(LEFT(A918,2)),""),IF(AND(VALUE(LEFT(A918,1))&gt;=1,VALUE(LEFT(A918,1))&lt;=5),VALUE(LEFT(A918,1)),"")),""),"")</f>
        <v/>
      </c>
      <c r="N918" s="25">
        <f>IF(L918=1,IF(ISNUMBER(FIND("#"&amp;MID(H918,1,1)&amp;"#","#0#1#2#3#4#5#6#7#8#9#")),IF(ISNUMBER(FIND("#"&amp;MID(H918,2,1)&amp;"#","#0#1#2#3#4#5#6#7#8#9#")),IF(AND(VALUE(LEFT(H918,2))&gt;=1,VALUE(LEFT(H918,2))&lt;=5),VALUE(LEFT(H918,2)),""),IF(AND(VALUE(LEFT(H918,1))&gt;=1,VALUE(LEFT(H918,1))&lt;=5),VALUE(LEFT(H918,1)),"")),""),"")</f>
        <v/>
      </c>
      <c r="O918" s="25">
        <f>IF(AND(L918=1,B918&lt;&gt;""),SUBSTITUTE(SUBSTITUTE(SUBSTITUTE(SUBSTITUTE(SUBSTITUTE(SUBSTITUTE(SUBSTITUTE(SUBSTITUTE(SUBSTITUTE(SUBSTITUTE(SUBSTITUTE(SUBSTITUTE(LOWER(TRIM(B918)),"á","a"),"é","e"),"í","i"),"ó","o"),"ú","u"),"ü","u"),"ñ","n"),"à","a"),"è","e"),"ì","i"),"ò","o"),"ù","u"),"")</f>
        <v/>
      </c>
      <c r="P918" s="25">
        <f>IF(AND(L918=1,C918&lt;&gt;""),SUBSTITUTE(SUBSTITUTE(SUBSTITUTE(SUBSTITUTE(SUBSTITUTE(SUBSTITUTE(SUBSTITUTE(SUBSTITUTE(SUBSTITUTE(SUBSTITUTE(SUBSTITUTE(SUBSTITUTE(LOWER(TRIM(C918)),"á","a"),"é","e"),"í","i"),"ó","o"),"ú","u"),"ü","u"),"ñ","n"),"à","a"),"è","e"),"ì","i"),"ò","o"),"ù","u"),"")</f>
        <v/>
      </c>
      <c r="Q918" s="25">
        <f>IF(AND(L918=1,E918&lt;&gt;""),SUBSTITUTE(SUBSTITUTE(SUBSTITUTE(SUBSTITUTE(SUBSTITUTE(SUBSTITUTE(SUBSTITUTE(SUBSTITUTE(SUBSTITUTE(SUBSTITUTE(SUBSTITUTE(SUBSTITUTE(LOWER(TRIM(E918)),"á","a"),"é","e"),"í","i"),"ó","o"),"ú","u"),"ü","u"),"ñ","n"),"à","a"),"è","e"),"ì","i"),"ò","o"),"ù","u"),"")</f>
        <v/>
      </c>
      <c r="R918" s="25">
        <f>IF(AND(L918=1,I918&lt;&gt;""),SUBSTITUTE(SUBSTITUTE(SUBSTITUTE(SUBSTITUTE(SUBSTITUTE(SUBSTITUTE(SUBSTITUTE(SUBSTITUTE(SUBSTITUTE(SUBSTITUTE(SUBSTITUTE(SUBSTITUTE(LOWER(TRIM(I918)),"á","a"),"é","e"),"í","i"),"ó","o"),"ú","u"),"ü","u"),"ñ","n"),"à","a"),"è","e"),"ì","i"),"ò","o"),"ù","u"),"")</f>
        <v/>
      </c>
      <c r="S918" s="25">
        <f>IF(R918="","",IF(OR(R918="si",R918="tal vez"),1,0))</f>
        <v/>
      </c>
      <c r="T918" s="25">
        <f>IF(AND(L918=1,D918&lt;&gt;""),IF(IFERROR(COUNTIFS(D$3:D918,"="&amp;SUBSTITUTE(SUBSTITUTE(SUBSTITUTE(D918,"~","~~"),"*","~*"),"?","~?"),L$3:L918,1),0)=1,MAX(T$2:T917)+1,""),"")</f>
        <v/>
      </c>
      <c r="U918" s="25">
        <f>IF(T918="","",COUNTIFS($D$3:$D$1002,"="&amp;SUBSTITUTE(SUBSTITUTE(SUBSTITUTE(D918,"~","~~"),"*","~*"),"?","~?"),$L$3:$L$1002,1)*10000-T918)</f>
        <v/>
      </c>
      <c r="V918" s="25">
        <f>IF(AND(L918=1,J918&lt;&gt;""),IF(IFERROR(COUNTIFS(J$3:J918,"="&amp;SUBSTITUTE(SUBSTITUTE(SUBSTITUTE(J918,"~","~~"),"*","~*"),"?","~?"),L$3:L918,1),0)=1,MAX(V$2:V917)+1,""),"")</f>
        <v/>
      </c>
      <c r="W918" s="25">
        <f>IF(V918="","",COUNTIFS($J$3:$J$1002,"="&amp;SUBSTITUTE(SUBSTITUTE(SUBSTITUTE(J918,"~","~~"),"*","~*"),"?","~?"),$L$3:$L$1002,1)*10000-V918)</f>
        <v/>
      </c>
    </row>
    <row r="919">
      <c r="A919">
        <f>IF(A$2=0,"",IFERROR(TRIM(INDEX('Pegar estudiantes'!$A$1:$BZ$1001,918,A$2)&amp;""),""))</f>
        <v/>
      </c>
      <c r="B919">
        <f>IF(B$2=0,"",IFERROR(TRIM(INDEX('Pegar estudiantes'!$A$1:$BZ$1001,918,B$2)&amp;""),""))</f>
        <v/>
      </c>
      <c r="C919">
        <f>IF(C$2=0,"",IFERROR(TRIM(INDEX('Pegar estudiantes'!$A$1:$BZ$1001,918,C$2)&amp;""),""))</f>
        <v/>
      </c>
      <c r="D919">
        <f>IF(D$2=0,"",IFERROR(TRIM(INDEX('Pegar estudiantes'!$A$1:$BZ$1001,918,D$2)&amp;""),""))</f>
        <v/>
      </c>
      <c r="E919">
        <f>IF(E$2=0,"",IFERROR(TRIM(INDEX('Pegar estudiantes'!$A$1:$BZ$1001,918,E$2)&amp;""),""))</f>
        <v/>
      </c>
      <c r="F919">
        <f>IF(F$2=0,"",IFERROR(TRIM(INDEX('Pegar estudiantes'!$A$1:$BZ$1001,918,F$2)&amp;""),""))</f>
        <v/>
      </c>
      <c r="G919">
        <f>IF(G$2=0,"",IFERROR(TRIM(INDEX('Pegar estudiantes'!$A$1:$BZ$1001,918,G$2)&amp;""),""))</f>
        <v/>
      </c>
      <c r="H919">
        <f>IF(H$2=0,"",IFERROR(TRIM(INDEX('Pegar estudiantes'!$A$1:$BZ$1001,918,H$2)&amp;""),""))</f>
        <v/>
      </c>
      <c r="I919">
        <f>IF(I$2=0,"",IFERROR(TRIM(INDEX('Pegar estudiantes'!$A$1:$BZ$1001,918,I$2)&amp;""),""))</f>
        <v/>
      </c>
      <c r="J919">
        <f>IF(J$2=0,"",IFERROR(TRIM(INDEX('Pegar estudiantes'!$A$1:$BZ$1001,918,J$2)&amp;""),""))</f>
        <v/>
      </c>
      <c r="K919">
        <f>IF(K$2=0,"",IFERROR(TRIM(INDEX('Pegar estudiantes'!$A$1:$BZ$1001,918,K$2)&amp;""),""))</f>
        <v/>
      </c>
      <c r="L919" s="25">
        <f>IF(A919&lt;&gt;"",1,"")</f>
        <v/>
      </c>
      <c r="M919" s="25">
        <f>IF(L919=1,IF(ISNUMBER(FIND("#"&amp;MID(A919,1,1)&amp;"#","#0#1#2#3#4#5#6#7#8#9#")),IF(ISNUMBER(FIND("#"&amp;MID(A919,2,1)&amp;"#","#0#1#2#3#4#5#6#7#8#9#")),IF(AND(VALUE(LEFT(A919,2))&gt;=1,VALUE(LEFT(A919,2))&lt;=5),VALUE(LEFT(A919,2)),""),IF(AND(VALUE(LEFT(A919,1))&gt;=1,VALUE(LEFT(A919,1))&lt;=5),VALUE(LEFT(A919,1)),"")),""),"")</f>
        <v/>
      </c>
      <c r="N919" s="25">
        <f>IF(L919=1,IF(ISNUMBER(FIND("#"&amp;MID(H919,1,1)&amp;"#","#0#1#2#3#4#5#6#7#8#9#")),IF(ISNUMBER(FIND("#"&amp;MID(H919,2,1)&amp;"#","#0#1#2#3#4#5#6#7#8#9#")),IF(AND(VALUE(LEFT(H919,2))&gt;=1,VALUE(LEFT(H919,2))&lt;=5),VALUE(LEFT(H919,2)),""),IF(AND(VALUE(LEFT(H919,1))&gt;=1,VALUE(LEFT(H919,1))&lt;=5),VALUE(LEFT(H919,1)),"")),""),"")</f>
        <v/>
      </c>
      <c r="O919" s="25">
        <f>IF(AND(L919=1,B919&lt;&gt;""),SUBSTITUTE(SUBSTITUTE(SUBSTITUTE(SUBSTITUTE(SUBSTITUTE(SUBSTITUTE(SUBSTITUTE(SUBSTITUTE(SUBSTITUTE(SUBSTITUTE(SUBSTITUTE(SUBSTITUTE(LOWER(TRIM(B919)),"á","a"),"é","e"),"í","i"),"ó","o"),"ú","u"),"ü","u"),"ñ","n"),"à","a"),"è","e"),"ì","i"),"ò","o"),"ù","u"),"")</f>
        <v/>
      </c>
      <c r="P919" s="25">
        <f>IF(AND(L919=1,C919&lt;&gt;""),SUBSTITUTE(SUBSTITUTE(SUBSTITUTE(SUBSTITUTE(SUBSTITUTE(SUBSTITUTE(SUBSTITUTE(SUBSTITUTE(SUBSTITUTE(SUBSTITUTE(SUBSTITUTE(SUBSTITUTE(LOWER(TRIM(C919)),"á","a"),"é","e"),"í","i"),"ó","o"),"ú","u"),"ü","u"),"ñ","n"),"à","a"),"è","e"),"ì","i"),"ò","o"),"ù","u"),"")</f>
        <v/>
      </c>
      <c r="Q919" s="25">
        <f>IF(AND(L919=1,E919&lt;&gt;""),SUBSTITUTE(SUBSTITUTE(SUBSTITUTE(SUBSTITUTE(SUBSTITUTE(SUBSTITUTE(SUBSTITUTE(SUBSTITUTE(SUBSTITUTE(SUBSTITUTE(SUBSTITUTE(SUBSTITUTE(LOWER(TRIM(E919)),"á","a"),"é","e"),"í","i"),"ó","o"),"ú","u"),"ü","u"),"ñ","n"),"à","a"),"è","e"),"ì","i"),"ò","o"),"ù","u"),"")</f>
        <v/>
      </c>
      <c r="R919" s="25">
        <f>IF(AND(L919=1,I919&lt;&gt;""),SUBSTITUTE(SUBSTITUTE(SUBSTITUTE(SUBSTITUTE(SUBSTITUTE(SUBSTITUTE(SUBSTITUTE(SUBSTITUTE(SUBSTITUTE(SUBSTITUTE(SUBSTITUTE(SUBSTITUTE(LOWER(TRIM(I919)),"á","a"),"é","e"),"í","i"),"ó","o"),"ú","u"),"ü","u"),"ñ","n"),"à","a"),"è","e"),"ì","i"),"ò","o"),"ù","u"),"")</f>
        <v/>
      </c>
      <c r="S919" s="25">
        <f>IF(R919="","",IF(OR(R919="si",R919="tal vez"),1,0))</f>
        <v/>
      </c>
      <c r="T919" s="25">
        <f>IF(AND(L919=1,D919&lt;&gt;""),IF(IFERROR(COUNTIFS(D$3:D919,"="&amp;SUBSTITUTE(SUBSTITUTE(SUBSTITUTE(D919,"~","~~"),"*","~*"),"?","~?"),L$3:L919,1),0)=1,MAX(T$2:T918)+1,""),"")</f>
        <v/>
      </c>
      <c r="U919" s="25">
        <f>IF(T919="","",COUNTIFS($D$3:$D$1002,"="&amp;SUBSTITUTE(SUBSTITUTE(SUBSTITUTE(D919,"~","~~"),"*","~*"),"?","~?"),$L$3:$L$1002,1)*10000-T919)</f>
        <v/>
      </c>
      <c r="V919" s="25">
        <f>IF(AND(L919=1,J919&lt;&gt;""),IF(IFERROR(COUNTIFS(J$3:J919,"="&amp;SUBSTITUTE(SUBSTITUTE(SUBSTITUTE(J919,"~","~~"),"*","~*"),"?","~?"),L$3:L919,1),0)=1,MAX(V$2:V918)+1,""),"")</f>
        <v/>
      </c>
      <c r="W919" s="25">
        <f>IF(V919="","",COUNTIFS($J$3:$J$1002,"="&amp;SUBSTITUTE(SUBSTITUTE(SUBSTITUTE(J919,"~","~~"),"*","~*"),"?","~?"),$L$3:$L$1002,1)*10000-V919)</f>
        <v/>
      </c>
    </row>
    <row r="920">
      <c r="A920">
        <f>IF(A$2=0,"",IFERROR(TRIM(INDEX('Pegar estudiantes'!$A$1:$BZ$1001,919,A$2)&amp;""),""))</f>
        <v/>
      </c>
      <c r="B920">
        <f>IF(B$2=0,"",IFERROR(TRIM(INDEX('Pegar estudiantes'!$A$1:$BZ$1001,919,B$2)&amp;""),""))</f>
        <v/>
      </c>
      <c r="C920">
        <f>IF(C$2=0,"",IFERROR(TRIM(INDEX('Pegar estudiantes'!$A$1:$BZ$1001,919,C$2)&amp;""),""))</f>
        <v/>
      </c>
      <c r="D920">
        <f>IF(D$2=0,"",IFERROR(TRIM(INDEX('Pegar estudiantes'!$A$1:$BZ$1001,919,D$2)&amp;""),""))</f>
        <v/>
      </c>
      <c r="E920">
        <f>IF(E$2=0,"",IFERROR(TRIM(INDEX('Pegar estudiantes'!$A$1:$BZ$1001,919,E$2)&amp;""),""))</f>
        <v/>
      </c>
      <c r="F920">
        <f>IF(F$2=0,"",IFERROR(TRIM(INDEX('Pegar estudiantes'!$A$1:$BZ$1001,919,F$2)&amp;""),""))</f>
        <v/>
      </c>
      <c r="G920">
        <f>IF(G$2=0,"",IFERROR(TRIM(INDEX('Pegar estudiantes'!$A$1:$BZ$1001,919,G$2)&amp;""),""))</f>
        <v/>
      </c>
      <c r="H920">
        <f>IF(H$2=0,"",IFERROR(TRIM(INDEX('Pegar estudiantes'!$A$1:$BZ$1001,919,H$2)&amp;""),""))</f>
        <v/>
      </c>
      <c r="I920">
        <f>IF(I$2=0,"",IFERROR(TRIM(INDEX('Pegar estudiantes'!$A$1:$BZ$1001,919,I$2)&amp;""),""))</f>
        <v/>
      </c>
      <c r="J920">
        <f>IF(J$2=0,"",IFERROR(TRIM(INDEX('Pegar estudiantes'!$A$1:$BZ$1001,919,J$2)&amp;""),""))</f>
        <v/>
      </c>
      <c r="K920">
        <f>IF(K$2=0,"",IFERROR(TRIM(INDEX('Pegar estudiantes'!$A$1:$BZ$1001,919,K$2)&amp;""),""))</f>
        <v/>
      </c>
      <c r="L920" s="25">
        <f>IF(A920&lt;&gt;"",1,"")</f>
        <v/>
      </c>
      <c r="M920" s="25">
        <f>IF(L920=1,IF(ISNUMBER(FIND("#"&amp;MID(A920,1,1)&amp;"#","#0#1#2#3#4#5#6#7#8#9#")),IF(ISNUMBER(FIND("#"&amp;MID(A920,2,1)&amp;"#","#0#1#2#3#4#5#6#7#8#9#")),IF(AND(VALUE(LEFT(A920,2))&gt;=1,VALUE(LEFT(A920,2))&lt;=5),VALUE(LEFT(A920,2)),""),IF(AND(VALUE(LEFT(A920,1))&gt;=1,VALUE(LEFT(A920,1))&lt;=5),VALUE(LEFT(A920,1)),"")),""),"")</f>
        <v/>
      </c>
      <c r="N920" s="25">
        <f>IF(L920=1,IF(ISNUMBER(FIND("#"&amp;MID(H920,1,1)&amp;"#","#0#1#2#3#4#5#6#7#8#9#")),IF(ISNUMBER(FIND("#"&amp;MID(H920,2,1)&amp;"#","#0#1#2#3#4#5#6#7#8#9#")),IF(AND(VALUE(LEFT(H920,2))&gt;=1,VALUE(LEFT(H920,2))&lt;=5),VALUE(LEFT(H920,2)),""),IF(AND(VALUE(LEFT(H920,1))&gt;=1,VALUE(LEFT(H920,1))&lt;=5),VALUE(LEFT(H920,1)),"")),""),"")</f>
        <v/>
      </c>
      <c r="O920" s="25">
        <f>IF(AND(L920=1,B920&lt;&gt;""),SUBSTITUTE(SUBSTITUTE(SUBSTITUTE(SUBSTITUTE(SUBSTITUTE(SUBSTITUTE(SUBSTITUTE(SUBSTITUTE(SUBSTITUTE(SUBSTITUTE(SUBSTITUTE(SUBSTITUTE(LOWER(TRIM(B920)),"á","a"),"é","e"),"í","i"),"ó","o"),"ú","u"),"ü","u"),"ñ","n"),"à","a"),"è","e"),"ì","i"),"ò","o"),"ù","u"),"")</f>
        <v/>
      </c>
      <c r="P920" s="25">
        <f>IF(AND(L920=1,C920&lt;&gt;""),SUBSTITUTE(SUBSTITUTE(SUBSTITUTE(SUBSTITUTE(SUBSTITUTE(SUBSTITUTE(SUBSTITUTE(SUBSTITUTE(SUBSTITUTE(SUBSTITUTE(SUBSTITUTE(SUBSTITUTE(LOWER(TRIM(C920)),"á","a"),"é","e"),"í","i"),"ó","o"),"ú","u"),"ü","u"),"ñ","n"),"à","a"),"è","e"),"ì","i"),"ò","o"),"ù","u"),"")</f>
        <v/>
      </c>
      <c r="Q920" s="25">
        <f>IF(AND(L920=1,E920&lt;&gt;""),SUBSTITUTE(SUBSTITUTE(SUBSTITUTE(SUBSTITUTE(SUBSTITUTE(SUBSTITUTE(SUBSTITUTE(SUBSTITUTE(SUBSTITUTE(SUBSTITUTE(SUBSTITUTE(SUBSTITUTE(LOWER(TRIM(E920)),"á","a"),"é","e"),"í","i"),"ó","o"),"ú","u"),"ü","u"),"ñ","n"),"à","a"),"è","e"),"ì","i"),"ò","o"),"ù","u"),"")</f>
        <v/>
      </c>
      <c r="R920" s="25">
        <f>IF(AND(L920=1,I920&lt;&gt;""),SUBSTITUTE(SUBSTITUTE(SUBSTITUTE(SUBSTITUTE(SUBSTITUTE(SUBSTITUTE(SUBSTITUTE(SUBSTITUTE(SUBSTITUTE(SUBSTITUTE(SUBSTITUTE(SUBSTITUTE(LOWER(TRIM(I920)),"á","a"),"é","e"),"í","i"),"ó","o"),"ú","u"),"ü","u"),"ñ","n"),"à","a"),"è","e"),"ì","i"),"ò","o"),"ù","u"),"")</f>
        <v/>
      </c>
      <c r="S920" s="25">
        <f>IF(R920="","",IF(OR(R920="si",R920="tal vez"),1,0))</f>
        <v/>
      </c>
      <c r="T920" s="25">
        <f>IF(AND(L920=1,D920&lt;&gt;""),IF(IFERROR(COUNTIFS(D$3:D920,"="&amp;SUBSTITUTE(SUBSTITUTE(SUBSTITUTE(D920,"~","~~"),"*","~*"),"?","~?"),L$3:L920,1),0)=1,MAX(T$2:T919)+1,""),"")</f>
        <v/>
      </c>
      <c r="U920" s="25">
        <f>IF(T920="","",COUNTIFS($D$3:$D$1002,"="&amp;SUBSTITUTE(SUBSTITUTE(SUBSTITUTE(D920,"~","~~"),"*","~*"),"?","~?"),$L$3:$L$1002,1)*10000-T920)</f>
        <v/>
      </c>
      <c r="V920" s="25">
        <f>IF(AND(L920=1,J920&lt;&gt;""),IF(IFERROR(COUNTIFS(J$3:J920,"="&amp;SUBSTITUTE(SUBSTITUTE(SUBSTITUTE(J920,"~","~~"),"*","~*"),"?","~?"),L$3:L920,1),0)=1,MAX(V$2:V919)+1,""),"")</f>
        <v/>
      </c>
      <c r="W920" s="25">
        <f>IF(V920="","",COUNTIFS($J$3:$J$1002,"="&amp;SUBSTITUTE(SUBSTITUTE(SUBSTITUTE(J920,"~","~~"),"*","~*"),"?","~?"),$L$3:$L$1002,1)*10000-V920)</f>
        <v/>
      </c>
    </row>
    <row r="921">
      <c r="A921">
        <f>IF(A$2=0,"",IFERROR(TRIM(INDEX('Pegar estudiantes'!$A$1:$BZ$1001,920,A$2)&amp;""),""))</f>
        <v/>
      </c>
      <c r="B921">
        <f>IF(B$2=0,"",IFERROR(TRIM(INDEX('Pegar estudiantes'!$A$1:$BZ$1001,920,B$2)&amp;""),""))</f>
        <v/>
      </c>
      <c r="C921">
        <f>IF(C$2=0,"",IFERROR(TRIM(INDEX('Pegar estudiantes'!$A$1:$BZ$1001,920,C$2)&amp;""),""))</f>
        <v/>
      </c>
      <c r="D921">
        <f>IF(D$2=0,"",IFERROR(TRIM(INDEX('Pegar estudiantes'!$A$1:$BZ$1001,920,D$2)&amp;""),""))</f>
        <v/>
      </c>
      <c r="E921">
        <f>IF(E$2=0,"",IFERROR(TRIM(INDEX('Pegar estudiantes'!$A$1:$BZ$1001,920,E$2)&amp;""),""))</f>
        <v/>
      </c>
      <c r="F921">
        <f>IF(F$2=0,"",IFERROR(TRIM(INDEX('Pegar estudiantes'!$A$1:$BZ$1001,920,F$2)&amp;""),""))</f>
        <v/>
      </c>
      <c r="G921">
        <f>IF(G$2=0,"",IFERROR(TRIM(INDEX('Pegar estudiantes'!$A$1:$BZ$1001,920,G$2)&amp;""),""))</f>
        <v/>
      </c>
      <c r="H921">
        <f>IF(H$2=0,"",IFERROR(TRIM(INDEX('Pegar estudiantes'!$A$1:$BZ$1001,920,H$2)&amp;""),""))</f>
        <v/>
      </c>
      <c r="I921">
        <f>IF(I$2=0,"",IFERROR(TRIM(INDEX('Pegar estudiantes'!$A$1:$BZ$1001,920,I$2)&amp;""),""))</f>
        <v/>
      </c>
      <c r="J921">
        <f>IF(J$2=0,"",IFERROR(TRIM(INDEX('Pegar estudiantes'!$A$1:$BZ$1001,920,J$2)&amp;""),""))</f>
        <v/>
      </c>
      <c r="K921">
        <f>IF(K$2=0,"",IFERROR(TRIM(INDEX('Pegar estudiantes'!$A$1:$BZ$1001,920,K$2)&amp;""),""))</f>
        <v/>
      </c>
      <c r="L921" s="25">
        <f>IF(A921&lt;&gt;"",1,"")</f>
        <v/>
      </c>
      <c r="M921" s="25">
        <f>IF(L921=1,IF(ISNUMBER(FIND("#"&amp;MID(A921,1,1)&amp;"#","#0#1#2#3#4#5#6#7#8#9#")),IF(ISNUMBER(FIND("#"&amp;MID(A921,2,1)&amp;"#","#0#1#2#3#4#5#6#7#8#9#")),IF(AND(VALUE(LEFT(A921,2))&gt;=1,VALUE(LEFT(A921,2))&lt;=5),VALUE(LEFT(A921,2)),""),IF(AND(VALUE(LEFT(A921,1))&gt;=1,VALUE(LEFT(A921,1))&lt;=5),VALUE(LEFT(A921,1)),"")),""),"")</f>
        <v/>
      </c>
      <c r="N921" s="25">
        <f>IF(L921=1,IF(ISNUMBER(FIND("#"&amp;MID(H921,1,1)&amp;"#","#0#1#2#3#4#5#6#7#8#9#")),IF(ISNUMBER(FIND("#"&amp;MID(H921,2,1)&amp;"#","#0#1#2#3#4#5#6#7#8#9#")),IF(AND(VALUE(LEFT(H921,2))&gt;=1,VALUE(LEFT(H921,2))&lt;=5),VALUE(LEFT(H921,2)),""),IF(AND(VALUE(LEFT(H921,1))&gt;=1,VALUE(LEFT(H921,1))&lt;=5),VALUE(LEFT(H921,1)),"")),""),"")</f>
        <v/>
      </c>
      <c r="O921" s="25">
        <f>IF(AND(L921=1,B921&lt;&gt;""),SUBSTITUTE(SUBSTITUTE(SUBSTITUTE(SUBSTITUTE(SUBSTITUTE(SUBSTITUTE(SUBSTITUTE(SUBSTITUTE(SUBSTITUTE(SUBSTITUTE(SUBSTITUTE(SUBSTITUTE(LOWER(TRIM(B921)),"á","a"),"é","e"),"í","i"),"ó","o"),"ú","u"),"ü","u"),"ñ","n"),"à","a"),"è","e"),"ì","i"),"ò","o"),"ù","u"),"")</f>
        <v/>
      </c>
      <c r="P921" s="25">
        <f>IF(AND(L921=1,C921&lt;&gt;""),SUBSTITUTE(SUBSTITUTE(SUBSTITUTE(SUBSTITUTE(SUBSTITUTE(SUBSTITUTE(SUBSTITUTE(SUBSTITUTE(SUBSTITUTE(SUBSTITUTE(SUBSTITUTE(SUBSTITUTE(LOWER(TRIM(C921)),"á","a"),"é","e"),"í","i"),"ó","o"),"ú","u"),"ü","u"),"ñ","n"),"à","a"),"è","e"),"ì","i"),"ò","o"),"ù","u"),"")</f>
        <v/>
      </c>
      <c r="Q921" s="25">
        <f>IF(AND(L921=1,E921&lt;&gt;""),SUBSTITUTE(SUBSTITUTE(SUBSTITUTE(SUBSTITUTE(SUBSTITUTE(SUBSTITUTE(SUBSTITUTE(SUBSTITUTE(SUBSTITUTE(SUBSTITUTE(SUBSTITUTE(SUBSTITUTE(LOWER(TRIM(E921)),"á","a"),"é","e"),"í","i"),"ó","o"),"ú","u"),"ü","u"),"ñ","n"),"à","a"),"è","e"),"ì","i"),"ò","o"),"ù","u"),"")</f>
        <v/>
      </c>
      <c r="R921" s="25">
        <f>IF(AND(L921=1,I921&lt;&gt;""),SUBSTITUTE(SUBSTITUTE(SUBSTITUTE(SUBSTITUTE(SUBSTITUTE(SUBSTITUTE(SUBSTITUTE(SUBSTITUTE(SUBSTITUTE(SUBSTITUTE(SUBSTITUTE(SUBSTITUTE(LOWER(TRIM(I921)),"á","a"),"é","e"),"í","i"),"ó","o"),"ú","u"),"ü","u"),"ñ","n"),"à","a"),"è","e"),"ì","i"),"ò","o"),"ù","u"),"")</f>
        <v/>
      </c>
      <c r="S921" s="25">
        <f>IF(R921="","",IF(OR(R921="si",R921="tal vez"),1,0))</f>
        <v/>
      </c>
      <c r="T921" s="25">
        <f>IF(AND(L921=1,D921&lt;&gt;""),IF(IFERROR(COUNTIFS(D$3:D921,"="&amp;SUBSTITUTE(SUBSTITUTE(SUBSTITUTE(D921,"~","~~"),"*","~*"),"?","~?"),L$3:L921,1),0)=1,MAX(T$2:T920)+1,""),"")</f>
        <v/>
      </c>
      <c r="U921" s="25">
        <f>IF(T921="","",COUNTIFS($D$3:$D$1002,"="&amp;SUBSTITUTE(SUBSTITUTE(SUBSTITUTE(D921,"~","~~"),"*","~*"),"?","~?"),$L$3:$L$1002,1)*10000-T921)</f>
        <v/>
      </c>
      <c r="V921" s="25">
        <f>IF(AND(L921=1,J921&lt;&gt;""),IF(IFERROR(COUNTIFS(J$3:J921,"="&amp;SUBSTITUTE(SUBSTITUTE(SUBSTITUTE(J921,"~","~~"),"*","~*"),"?","~?"),L$3:L921,1),0)=1,MAX(V$2:V920)+1,""),"")</f>
        <v/>
      </c>
      <c r="W921" s="25">
        <f>IF(V921="","",COUNTIFS($J$3:$J$1002,"="&amp;SUBSTITUTE(SUBSTITUTE(SUBSTITUTE(J921,"~","~~"),"*","~*"),"?","~?"),$L$3:$L$1002,1)*10000-V921)</f>
        <v/>
      </c>
    </row>
    <row r="922">
      <c r="A922">
        <f>IF(A$2=0,"",IFERROR(TRIM(INDEX('Pegar estudiantes'!$A$1:$BZ$1001,921,A$2)&amp;""),""))</f>
        <v/>
      </c>
      <c r="B922">
        <f>IF(B$2=0,"",IFERROR(TRIM(INDEX('Pegar estudiantes'!$A$1:$BZ$1001,921,B$2)&amp;""),""))</f>
        <v/>
      </c>
      <c r="C922">
        <f>IF(C$2=0,"",IFERROR(TRIM(INDEX('Pegar estudiantes'!$A$1:$BZ$1001,921,C$2)&amp;""),""))</f>
        <v/>
      </c>
      <c r="D922">
        <f>IF(D$2=0,"",IFERROR(TRIM(INDEX('Pegar estudiantes'!$A$1:$BZ$1001,921,D$2)&amp;""),""))</f>
        <v/>
      </c>
      <c r="E922">
        <f>IF(E$2=0,"",IFERROR(TRIM(INDEX('Pegar estudiantes'!$A$1:$BZ$1001,921,E$2)&amp;""),""))</f>
        <v/>
      </c>
      <c r="F922">
        <f>IF(F$2=0,"",IFERROR(TRIM(INDEX('Pegar estudiantes'!$A$1:$BZ$1001,921,F$2)&amp;""),""))</f>
        <v/>
      </c>
      <c r="G922">
        <f>IF(G$2=0,"",IFERROR(TRIM(INDEX('Pegar estudiantes'!$A$1:$BZ$1001,921,G$2)&amp;""),""))</f>
        <v/>
      </c>
      <c r="H922">
        <f>IF(H$2=0,"",IFERROR(TRIM(INDEX('Pegar estudiantes'!$A$1:$BZ$1001,921,H$2)&amp;""),""))</f>
        <v/>
      </c>
      <c r="I922">
        <f>IF(I$2=0,"",IFERROR(TRIM(INDEX('Pegar estudiantes'!$A$1:$BZ$1001,921,I$2)&amp;""),""))</f>
        <v/>
      </c>
      <c r="J922">
        <f>IF(J$2=0,"",IFERROR(TRIM(INDEX('Pegar estudiantes'!$A$1:$BZ$1001,921,J$2)&amp;""),""))</f>
        <v/>
      </c>
      <c r="K922">
        <f>IF(K$2=0,"",IFERROR(TRIM(INDEX('Pegar estudiantes'!$A$1:$BZ$1001,921,K$2)&amp;""),""))</f>
        <v/>
      </c>
      <c r="L922" s="25">
        <f>IF(A922&lt;&gt;"",1,"")</f>
        <v/>
      </c>
      <c r="M922" s="25">
        <f>IF(L922=1,IF(ISNUMBER(FIND("#"&amp;MID(A922,1,1)&amp;"#","#0#1#2#3#4#5#6#7#8#9#")),IF(ISNUMBER(FIND("#"&amp;MID(A922,2,1)&amp;"#","#0#1#2#3#4#5#6#7#8#9#")),IF(AND(VALUE(LEFT(A922,2))&gt;=1,VALUE(LEFT(A922,2))&lt;=5),VALUE(LEFT(A922,2)),""),IF(AND(VALUE(LEFT(A922,1))&gt;=1,VALUE(LEFT(A922,1))&lt;=5),VALUE(LEFT(A922,1)),"")),""),"")</f>
        <v/>
      </c>
      <c r="N922" s="25">
        <f>IF(L922=1,IF(ISNUMBER(FIND("#"&amp;MID(H922,1,1)&amp;"#","#0#1#2#3#4#5#6#7#8#9#")),IF(ISNUMBER(FIND("#"&amp;MID(H922,2,1)&amp;"#","#0#1#2#3#4#5#6#7#8#9#")),IF(AND(VALUE(LEFT(H922,2))&gt;=1,VALUE(LEFT(H922,2))&lt;=5),VALUE(LEFT(H922,2)),""),IF(AND(VALUE(LEFT(H922,1))&gt;=1,VALUE(LEFT(H922,1))&lt;=5),VALUE(LEFT(H922,1)),"")),""),"")</f>
        <v/>
      </c>
      <c r="O922" s="25">
        <f>IF(AND(L922=1,B922&lt;&gt;""),SUBSTITUTE(SUBSTITUTE(SUBSTITUTE(SUBSTITUTE(SUBSTITUTE(SUBSTITUTE(SUBSTITUTE(SUBSTITUTE(SUBSTITUTE(SUBSTITUTE(SUBSTITUTE(SUBSTITUTE(LOWER(TRIM(B922)),"á","a"),"é","e"),"í","i"),"ó","o"),"ú","u"),"ü","u"),"ñ","n"),"à","a"),"è","e"),"ì","i"),"ò","o"),"ù","u"),"")</f>
        <v/>
      </c>
      <c r="P922" s="25">
        <f>IF(AND(L922=1,C922&lt;&gt;""),SUBSTITUTE(SUBSTITUTE(SUBSTITUTE(SUBSTITUTE(SUBSTITUTE(SUBSTITUTE(SUBSTITUTE(SUBSTITUTE(SUBSTITUTE(SUBSTITUTE(SUBSTITUTE(SUBSTITUTE(LOWER(TRIM(C922)),"á","a"),"é","e"),"í","i"),"ó","o"),"ú","u"),"ü","u"),"ñ","n"),"à","a"),"è","e"),"ì","i"),"ò","o"),"ù","u"),"")</f>
        <v/>
      </c>
      <c r="Q922" s="25">
        <f>IF(AND(L922=1,E922&lt;&gt;""),SUBSTITUTE(SUBSTITUTE(SUBSTITUTE(SUBSTITUTE(SUBSTITUTE(SUBSTITUTE(SUBSTITUTE(SUBSTITUTE(SUBSTITUTE(SUBSTITUTE(SUBSTITUTE(SUBSTITUTE(LOWER(TRIM(E922)),"á","a"),"é","e"),"í","i"),"ó","o"),"ú","u"),"ü","u"),"ñ","n"),"à","a"),"è","e"),"ì","i"),"ò","o"),"ù","u"),"")</f>
        <v/>
      </c>
      <c r="R922" s="25">
        <f>IF(AND(L922=1,I922&lt;&gt;""),SUBSTITUTE(SUBSTITUTE(SUBSTITUTE(SUBSTITUTE(SUBSTITUTE(SUBSTITUTE(SUBSTITUTE(SUBSTITUTE(SUBSTITUTE(SUBSTITUTE(SUBSTITUTE(SUBSTITUTE(LOWER(TRIM(I922)),"á","a"),"é","e"),"í","i"),"ó","o"),"ú","u"),"ü","u"),"ñ","n"),"à","a"),"è","e"),"ì","i"),"ò","o"),"ù","u"),"")</f>
        <v/>
      </c>
      <c r="S922" s="25">
        <f>IF(R922="","",IF(OR(R922="si",R922="tal vez"),1,0))</f>
        <v/>
      </c>
      <c r="T922" s="25">
        <f>IF(AND(L922=1,D922&lt;&gt;""),IF(IFERROR(COUNTIFS(D$3:D922,"="&amp;SUBSTITUTE(SUBSTITUTE(SUBSTITUTE(D922,"~","~~"),"*","~*"),"?","~?"),L$3:L922,1),0)=1,MAX(T$2:T921)+1,""),"")</f>
        <v/>
      </c>
      <c r="U922" s="25">
        <f>IF(T922="","",COUNTIFS($D$3:$D$1002,"="&amp;SUBSTITUTE(SUBSTITUTE(SUBSTITUTE(D922,"~","~~"),"*","~*"),"?","~?"),$L$3:$L$1002,1)*10000-T922)</f>
        <v/>
      </c>
      <c r="V922" s="25">
        <f>IF(AND(L922=1,J922&lt;&gt;""),IF(IFERROR(COUNTIFS(J$3:J922,"="&amp;SUBSTITUTE(SUBSTITUTE(SUBSTITUTE(J922,"~","~~"),"*","~*"),"?","~?"),L$3:L922,1),0)=1,MAX(V$2:V921)+1,""),"")</f>
        <v/>
      </c>
      <c r="W922" s="25">
        <f>IF(V922="","",COUNTIFS($J$3:$J$1002,"="&amp;SUBSTITUTE(SUBSTITUTE(SUBSTITUTE(J922,"~","~~"),"*","~*"),"?","~?"),$L$3:$L$1002,1)*10000-V922)</f>
        <v/>
      </c>
    </row>
    <row r="923">
      <c r="A923">
        <f>IF(A$2=0,"",IFERROR(TRIM(INDEX('Pegar estudiantes'!$A$1:$BZ$1001,922,A$2)&amp;""),""))</f>
        <v/>
      </c>
      <c r="B923">
        <f>IF(B$2=0,"",IFERROR(TRIM(INDEX('Pegar estudiantes'!$A$1:$BZ$1001,922,B$2)&amp;""),""))</f>
        <v/>
      </c>
      <c r="C923">
        <f>IF(C$2=0,"",IFERROR(TRIM(INDEX('Pegar estudiantes'!$A$1:$BZ$1001,922,C$2)&amp;""),""))</f>
        <v/>
      </c>
      <c r="D923">
        <f>IF(D$2=0,"",IFERROR(TRIM(INDEX('Pegar estudiantes'!$A$1:$BZ$1001,922,D$2)&amp;""),""))</f>
        <v/>
      </c>
      <c r="E923">
        <f>IF(E$2=0,"",IFERROR(TRIM(INDEX('Pegar estudiantes'!$A$1:$BZ$1001,922,E$2)&amp;""),""))</f>
        <v/>
      </c>
      <c r="F923">
        <f>IF(F$2=0,"",IFERROR(TRIM(INDEX('Pegar estudiantes'!$A$1:$BZ$1001,922,F$2)&amp;""),""))</f>
        <v/>
      </c>
      <c r="G923">
        <f>IF(G$2=0,"",IFERROR(TRIM(INDEX('Pegar estudiantes'!$A$1:$BZ$1001,922,G$2)&amp;""),""))</f>
        <v/>
      </c>
      <c r="H923">
        <f>IF(H$2=0,"",IFERROR(TRIM(INDEX('Pegar estudiantes'!$A$1:$BZ$1001,922,H$2)&amp;""),""))</f>
        <v/>
      </c>
      <c r="I923">
        <f>IF(I$2=0,"",IFERROR(TRIM(INDEX('Pegar estudiantes'!$A$1:$BZ$1001,922,I$2)&amp;""),""))</f>
        <v/>
      </c>
      <c r="J923">
        <f>IF(J$2=0,"",IFERROR(TRIM(INDEX('Pegar estudiantes'!$A$1:$BZ$1001,922,J$2)&amp;""),""))</f>
        <v/>
      </c>
      <c r="K923">
        <f>IF(K$2=0,"",IFERROR(TRIM(INDEX('Pegar estudiantes'!$A$1:$BZ$1001,922,K$2)&amp;""),""))</f>
        <v/>
      </c>
      <c r="L923" s="25">
        <f>IF(A923&lt;&gt;"",1,"")</f>
        <v/>
      </c>
      <c r="M923" s="25">
        <f>IF(L923=1,IF(ISNUMBER(FIND("#"&amp;MID(A923,1,1)&amp;"#","#0#1#2#3#4#5#6#7#8#9#")),IF(ISNUMBER(FIND("#"&amp;MID(A923,2,1)&amp;"#","#0#1#2#3#4#5#6#7#8#9#")),IF(AND(VALUE(LEFT(A923,2))&gt;=1,VALUE(LEFT(A923,2))&lt;=5),VALUE(LEFT(A923,2)),""),IF(AND(VALUE(LEFT(A923,1))&gt;=1,VALUE(LEFT(A923,1))&lt;=5),VALUE(LEFT(A923,1)),"")),""),"")</f>
        <v/>
      </c>
      <c r="N923" s="25">
        <f>IF(L923=1,IF(ISNUMBER(FIND("#"&amp;MID(H923,1,1)&amp;"#","#0#1#2#3#4#5#6#7#8#9#")),IF(ISNUMBER(FIND("#"&amp;MID(H923,2,1)&amp;"#","#0#1#2#3#4#5#6#7#8#9#")),IF(AND(VALUE(LEFT(H923,2))&gt;=1,VALUE(LEFT(H923,2))&lt;=5),VALUE(LEFT(H923,2)),""),IF(AND(VALUE(LEFT(H923,1))&gt;=1,VALUE(LEFT(H923,1))&lt;=5),VALUE(LEFT(H923,1)),"")),""),"")</f>
        <v/>
      </c>
      <c r="O923" s="25">
        <f>IF(AND(L923=1,B923&lt;&gt;""),SUBSTITUTE(SUBSTITUTE(SUBSTITUTE(SUBSTITUTE(SUBSTITUTE(SUBSTITUTE(SUBSTITUTE(SUBSTITUTE(SUBSTITUTE(SUBSTITUTE(SUBSTITUTE(SUBSTITUTE(LOWER(TRIM(B923)),"á","a"),"é","e"),"í","i"),"ó","o"),"ú","u"),"ü","u"),"ñ","n"),"à","a"),"è","e"),"ì","i"),"ò","o"),"ù","u"),"")</f>
        <v/>
      </c>
      <c r="P923" s="25">
        <f>IF(AND(L923=1,C923&lt;&gt;""),SUBSTITUTE(SUBSTITUTE(SUBSTITUTE(SUBSTITUTE(SUBSTITUTE(SUBSTITUTE(SUBSTITUTE(SUBSTITUTE(SUBSTITUTE(SUBSTITUTE(SUBSTITUTE(SUBSTITUTE(LOWER(TRIM(C923)),"á","a"),"é","e"),"í","i"),"ó","o"),"ú","u"),"ü","u"),"ñ","n"),"à","a"),"è","e"),"ì","i"),"ò","o"),"ù","u"),"")</f>
        <v/>
      </c>
      <c r="Q923" s="25">
        <f>IF(AND(L923=1,E923&lt;&gt;""),SUBSTITUTE(SUBSTITUTE(SUBSTITUTE(SUBSTITUTE(SUBSTITUTE(SUBSTITUTE(SUBSTITUTE(SUBSTITUTE(SUBSTITUTE(SUBSTITUTE(SUBSTITUTE(SUBSTITUTE(LOWER(TRIM(E923)),"á","a"),"é","e"),"í","i"),"ó","o"),"ú","u"),"ü","u"),"ñ","n"),"à","a"),"è","e"),"ì","i"),"ò","o"),"ù","u"),"")</f>
        <v/>
      </c>
      <c r="R923" s="25">
        <f>IF(AND(L923=1,I923&lt;&gt;""),SUBSTITUTE(SUBSTITUTE(SUBSTITUTE(SUBSTITUTE(SUBSTITUTE(SUBSTITUTE(SUBSTITUTE(SUBSTITUTE(SUBSTITUTE(SUBSTITUTE(SUBSTITUTE(SUBSTITUTE(LOWER(TRIM(I923)),"á","a"),"é","e"),"í","i"),"ó","o"),"ú","u"),"ü","u"),"ñ","n"),"à","a"),"è","e"),"ì","i"),"ò","o"),"ù","u"),"")</f>
        <v/>
      </c>
      <c r="S923" s="25">
        <f>IF(R923="","",IF(OR(R923="si",R923="tal vez"),1,0))</f>
        <v/>
      </c>
      <c r="T923" s="25">
        <f>IF(AND(L923=1,D923&lt;&gt;""),IF(IFERROR(COUNTIFS(D$3:D923,"="&amp;SUBSTITUTE(SUBSTITUTE(SUBSTITUTE(D923,"~","~~"),"*","~*"),"?","~?"),L$3:L923,1),0)=1,MAX(T$2:T922)+1,""),"")</f>
        <v/>
      </c>
      <c r="U923" s="25">
        <f>IF(T923="","",COUNTIFS($D$3:$D$1002,"="&amp;SUBSTITUTE(SUBSTITUTE(SUBSTITUTE(D923,"~","~~"),"*","~*"),"?","~?"),$L$3:$L$1002,1)*10000-T923)</f>
        <v/>
      </c>
      <c r="V923" s="25">
        <f>IF(AND(L923=1,J923&lt;&gt;""),IF(IFERROR(COUNTIFS(J$3:J923,"="&amp;SUBSTITUTE(SUBSTITUTE(SUBSTITUTE(J923,"~","~~"),"*","~*"),"?","~?"),L$3:L923,1),0)=1,MAX(V$2:V922)+1,""),"")</f>
        <v/>
      </c>
      <c r="W923" s="25">
        <f>IF(V923="","",COUNTIFS($J$3:$J$1002,"="&amp;SUBSTITUTE(SUBSTITUTE(SUBSTITUTE(J923,"~","~~"),"*","~*"),"?","~?"),$L$3:$L$1002,1)*10000-V923)</f>
        <v/>
      </c>
    </row>
    <row r="924">
      <c r="A924">
        <f>IF(A$2=0,"",IFERROR(TRIM(INDEX('Pegar estudiantes'!$A$1:$BZ$1001,923,A$2)&amp;""),""))</f>
        <v/>
      </c>
      <c r="B924">
        <f>IF(B$2=0,"",IFERROR(TRIM(INDEX('Pegar estudiantes'!$A$1:$BZ$1001,923,B$2)&amp;""),""))</f>
        <v/>
      </c>
      <c r="C924">
        <f>IF(C$2=0,"",IFERROR(TRIM(INDEX('Pegar estudiantes'!$A$1:$BZ$1001,923,C$2)&amp;""),""))</f>
        <v/>
      </c>
      <c r="D924">
        <f>IF(D$2=0,"",IFERROR(TRIM(INDEX('Pegar estudiantes'!$A$1:$BZ$1001,923,D$2)&amp;""),""))</f>
        <v/>
      </c>
      <c r="E924">
        <f>IF(E$2=0,"",IFERROR(TRIM(INDEX('Pegar estudiantes'!$A$1:$BZ$1001,923,E$2)&amp;""),""))</f>
        <v/>
      </c>
      <c r="F924">
        <f>IF(F$2=0,"",IFERROR(TRIM(INDEX('Pegar estudiantes'!$A$1:$BZ$1001,923,F$2)&amp;""),""))</f>
        <v/>
      </c>
      <c r="G924">
        <f>IF(G$2=0,"",IFERROR(TRIM(INDEX('Pegar estudiantes'!$A$1:$BZ$1001,923,G$2)&amp;""),""))</f>
        <v/>
      </c>
      <c r="H924">
        <f>IF(H$2=0,"",IFERROR(TRIM(INDEX('Pegar estudiantes'!$A$1:$BZ$1001,923,H$2)&amp;""),""))</f>
        <v/>
      </c>
      <c r="I924">
        <f>IF(I$2=0,"",IFERROR(TRIM(INDEX('Pegar estudiantes'!$A$1:$BZ$1001,923,I$2)&amp;""),""))</f>
        <v/>
      </c>
      <c r="J924">
        <f>IF(J$2=0,"",IFERROR(TRIM(INDEX('Pegar estudiantes'!$A$1:$BZ$1001,923,J$2)&amp;""),""))</f>
        <v/>
      </c>
      <c r="K924">
        <f>IF(K$2=0,"",IFERROR(TRIM(INDEX('Pegar estudiantes'!$A$1:$BZ$1001,923,K$2)&amp;""),""))</f>
        <v/>
      </c>
      <c r="L924" s="25">
        <f>IF(A924&lt;&gt;"",1,"")</f>
        <v/>
      </c>
      <c r="M924" s="25">
        <f>IF(L924=1,IF(ISNUMBER(FIND("#"&amp;MID(A924,1,1)&amp;"#","#0#1#2#3#4#5#6#7#8#9#")),IF(ISNUMBER(FIND("#"&amp;MID(A924,2,1)&amp;"#","#0#1#2#3#4#5#6#7#8#9#")),IF(AND(VALUE(LEFT(A924,2))&gt;=1,VALUE(LEFT(A924,2))&lt;=5),VALUE(LEFT(A924,2)),""),IF(AND(VALUE(LEFT(A924,1))&gt;=1,VALUE(LEFT(A924,1))&lt;=5),VALUE(LEFT(A924,1)),"")),""),"")</f>
        <v/>
      </c>
      <c r="N924" s="25">
        <f>IF(L924=1,IF(ISNUMBER(FIND("#"&amp;MID(H924,1,1)&amp;"#","#0#1#2#3#4#5#6#7#8#9#")),IF(ISNUMBER(FIND("#"&amp;MID(H924,2,1)&amp;"#","#0#1#2#3#4#5#6#7#8#9#")),IF(AND(VALUE(LEFT(H924,2))&gt;=1,VALUE(LEFT(H924,2))&lt;=5),VALUE(LEFT(H924,2)),""),IF(AND(VALUE(LEFT(H924,1))&gt;=1,VALUE(LEFT(H924,1))&lt;=5),VALUE(LEFT(H924,1)),"")),""),"")</f>
        <v/>
      </c>
      <c r="O924" s="25">
        <f>IF(AND(L924=1,B924&lt;&gt;""),SUBSTITUTE(SUBSTITUTE(SUBSTITUTE(SUBSTITUTE(SUBSTITUTE(SUBSTITUTE(SUBSTITUTE(SUBSTITUTE(SUBSTITUTE(SUBSTITUTE(SUBSTITUTE(SUBSTITUTE(LOWER(TRIM(B924)),"á","a"),"é","e"),"í","i"),"ó","o"),"ú","u"),"ü","u"),"ñ","n"),"à","a"),"è","e"),"ì","i"),"ò","o"),"ù","u"),"")</f>
        <v/>
      </c>
      <c r="P924" s="25">
        <f>IF(AND(L924=1,C924&lt;&gt;""),SUBSTITUTE(SUBSTITUTE(SUBSTITUTE(SUBSTITUTE(SUBSTITUTE(SUBSTITUTE(SUBSTITUTE(SUBSTITUTE(SUBSTITUTE(SUBSTITUTE(SUBSTITUTE(SUBSTITUTE(LOWER(TRIM(C924)),"á","a"),"é","e"),"í","i"),"ó","o"),"ú","u"),"ü","u"),"ñ","n"),"à","a"),"è","e"),"ì","i"),"ò","o"),"ù","u"),"")</f>
        <v/>
      </c>
      <c r="Q924" s="25">
        <f>IF(AND(L924=1,E924&lt;&gt;""),SUBSTITUTE(SUBSTITUTE(SUBSTITUTE(SUBSTITUTE(SUBSTITUTE(SUBSTITUTE(SUBSTITUTE(SUBSTITUTE(SUBSTITUTE(SUBSTITUTE(SUBSTITUTE(SUBSTITUTE(LOWER(TRIM(E924)),"á","a"),"é","e"),"í","i"),"ó","o"),"ú","u"),"ü","u"),"ñ","n"),"à","a"),"è","e"),"ì","i"),"ò","o"),"ù","u"),"")</f>
        <v/>
      </c>
      <c r="R924" s="25">
        <f>IF(AND(L924=1,I924&lt;&gt;""),SUBSTITUTE(SUBSTITUTE(SUBSTITUTE(SUBSTITUTE(SUBSTITUTE(SUBSTITUTE(SUBSTITUTE(SUBSTITUTE(SUBSTITUTE(SUBSTITUTE(SUBSTITUTE(SUBSTITUTE(LOWER(TRIM(I924)),"á","a"),"é","e"),"í","i"),"ó","o"),"ú","u"),"ü","u"),"ñ","n"),"à","a"),"è","e"),"ì","i"),"ò","o"),"ù","u"),"")</f>
        <v/>
      </c>
      <c r="S924" s="25">
        <f>IF(R924="","",IF(OR(R924="si",R924="tal vez"),1,0))</f>
        <v/>
      </c>
      <c r="T924" s="25">
        <f>IF(AND(L924=1,D924&lt;&gt;""),IF(IFERROR(COUNTIFS(D$3:D924,"="&amp;SUBSTITUTE(SUBSTITUTE(SUBSTITUTE(D924,"~","~~"),"*","~*"),"?","~?"),L$3:L924,1),0)=1,MAX(T$2:T923)+1,""),"")</f>
        <v/>
      </c>
      <c r="U924" s="25">
        <f>IF(T924="","",COUNTIFS($D$3:$D$1002,"="&amp;SUBSTITUTE(SUBSTITUTE(SUBSTITUTE(D924,"~","~~"),"*","~*"),"?","~?"),$L$3:$L$1002,1)*10000-T924)</f>
        <v/>
      </c>
      <c r="V924" s="25">
        <f>IF(AND(L924=1,J924&lt;&gt;""),IF(IFERROR(COUNTIFS(J$3:J924,"="&amp;SUBSTITUTE(SUBSTITUTE(SUBSTITUTE(J924,"~","~~"),"*","~*"),"?","~?"),L$3:L924,1),0)=1,MAX(V$2:V923)+1,""),"")</f>
        <v/>
      </c>
      <c r="W924" s="25">
        <f>IF(V924="","",COUNTIFS($J$3:$J$1002,"="&amp;SUBSTITUTE(SUBSTITUTE(SUBSTITUTE(J924,"~","~~"),"*","~*"),"?","~?"),$L$3:$L$1002,1)*10000-V924)</f>
        <v/>
      </c>
    </row>
    <row r="925">
      <c r="A925">
        <f>IF(A$2=0,"",IFERROR(TRIM(INDEX('Pegar estudiantes'!$A$1:$BZ$1001,924,A$2)&amp;""),""))</f>
        <v/>
      </c>
      <c r="B925">
        <f>IF(B$2=0,"",IFERROR(TRIM(INDEX('Pegar estudiantes'!$A$1:$BZ$1001,924,B$2)&amp;""),""))</f>
        <v/>
      </c>
      <c r="C925">
        <f>IF(C$2=0,"",IFERROR(TRIM(INDEX('Pegar estudiantes'!$A$1:$BZ$1001,924,C$2)&amp;""),""))</f>
        <v/>
      </c>
      <c r="D925">
        <f>IF(D$2=0,"",IFERROR(TRIM(INDEX('Pegar estudiantes'!$A$1:$BZ$1001,924,D$2)&amp;""),""))</f>
        <v/>
      </c>
      <c r="E925">
        <f>IF(E$2=0,"",IFERROR(TRIM(INDEX('Pegar estudiantes'!$A$1:$BZ$1001,924,E$2)&amp;""),""))</f>
        <v/>
      </c>
      <c r="F925">
        <f>IF(F$2=0,"",IFERROR(TRIM(INDEX('Pegar estudiantes'!$A$1:$BZ$1001,924,F$2)&amp;""),""))</f>
        <v/>
      </c>
      <c r="G925">
        <f>IF(G$2=0,"",IFERROR(TRIM(INDEX('Pegar estudiantes'!$A$1:$BZ$1001,924,G$2)&amp;""),""))</f>
        <v/>
      </c>
      <c r="H925">
        <f>IF(H$2=0,"",IFERROR(TRIM(INDEX('Pegar estudiantes'!$A$1:$BZ$1001,924,H$2)&amp;""),""))</f>
        <v/>
      </c>
      <c r="I925">
        <f>IF(I$2=0,"",IFERROR(TRIM(INDEX('Pegar estudiantes'!$A$1:$BZ$1001,924,I$2)&amp;""),""))</f>
        <v/>
      </c>
      <c r="J925">
        <f>IF(J$2=0,"",IFERROR(TRIM(INDEX('Pegar estudiantes'!$A$1:$BZ$1001,924,J$2)&amp;""),""))</f>
        <v/>
      </c>
      <c r="K925">
        <f>IF(K$2=0,"",IFERROR(TRIM(INDEX('Pegar estudiantes'!$A$1:$BZ$1001,924,K$2)&amp;""),""))</f>
        <v/>
      </c>
      <c r="L925" s="25">
        <f>IF(A925&lt;&gt;"",1,"")</f>
        <v/>
      </c>
      <c r="M925" s="25">
        <f>IF(L925=1,IF(ISNUMBER(FIND("#"&amp;MID(A925,1,1)&amp;"#","#0#1#2#3#4#5#6#7#8#9#")),IF(ISNUMBER(FIND("#"&amp;MID(A925,2,1)&amp;"#","#0#1#2#3#4#5#6#7#8#9#")),IF(AND(VALUE(LEFT(A925,2))&gt;=1,VALUE(LEFT(A925,2))&lt;=5),VALUE(LEFT(A925,2)),""),IF(AND(VALUE(LEFT(A925,1))&gt;=1,VALUE(LEFT(A925,1))&lt;=5),VALUE(LEFT(A925,1)),"")),""),"")</f>
        <v/>
      </c>
      <c r="N925" s="25">
        <f>IF(L925=1,IF(ISNUMBER(FIND("#"&amp;MID(H925,1,1)&amp;"#","#0#1#2#3#4#5#6#7#8#9#")),IF(ISNUMBER(FIND("#"&amp;MID(H925,2,1)&amp;"#","#0#1#2#3#4#5#6#7#8#9#")),IF(AND(VALUE(LEFT(H925,2))&gt;=1,VALUE(LEFT(H925,2))&lt;=5),VALUE(LEFT(H925,2)),""),IF(AND(VALUE(LEFT(H925,1))&gt;=1,VALUE(LEFT(H925,1))&lt;=5),VALUE(LEFT(H925,1)),"")),""),"")</f>
        <v/>
      </c>
      <c r="O925" s="25">
        <f>IF(AND(L925=1,B925&lt;&gt;""),SUBSTITUTE(SUBSTITUTE(SUBSTITUTE(SUBSTITUTE(SUBSTITUTE(SUBSTITUTE(SUBSTITUTE(SUBSTITUTE(SUBSTITUTE(SUBSTITUTE(SUBSTITUTE(SUBSTITUTE(LOWER(TRIM(B925)),"á","a"),"é","e"),"í","i"),"ó","o"),"ú","u"),"ü","u"),"ñ","n"),"à","a"),"è","e"),"ì","i"),"ò","o"),"ù","u"),"")</f>
        <v/>
      </c>
      <c r="P925" s="25">
        <f>IF(AND(L925=1,C925&lt;&gt;""),SUBSTITUTE(SUBSTITUTE(SUBSTITUTE(SUBSTITUTE(SUBSTITUTE(SUBSTITUTE(SUBSTITUTE(SUBSTITUTE(SUBSTITUTE(SUBSTITUTE(SUBSTITUTE(SUBSTITUTE(LOWER(TRIM(C925)),"á","a"),"é","e"),"í","i"),"ó","o"),"ú","u"),"ü","u"),"ñ","n"),"à","a"),"è","e"),"ì","i"),"ò","o"),"ù","u"),"")</f>
        <v/>
      </c>
      <c r="Q925" s="25">
        <f>IF(AND(L925=1,E925&lt;&gt;""),SUBSTITUTE(SUBSTITUTE(SUBSTITUTE(SUBSTITUTE(SUBSTITUTE(SUBSTITUTE(SUBSTITUTE(SUBSTITUTE(SUBSTITUTE(SUBSTITUTE(SUBSTITUTE(SUBSTITUTE(LOWER(TRIM(E925)),"á","a"),"é","e"),"í","i"),"ó","o"),"ú","u"),"ü","u"),"ñ","n"),"à","a"),"è","e"),"ì","i"),"ò","o"),"ù","u"),"")</f>
        <v/>
      </c>
      <c r="R925" s="25">
        <f>IF(AND(L925=1,I925&lt;&gt;""),SUBSTITUTE(SUBSTITUTE(SUBSTITUTE(SUBSTITUTE(SUBSTITUTE(SUBSTITUTE(SUBSTITUTE(SUBSTITUTE(SUBSTITUTE(SUBSTITUTE(SUBSTITUTE(SUBSTITUTE(LOWER(TRIM(I925)),"á","a"),"é","e"),"í","i"),"ó","o"),"ú","u"),"ü","u"),"ñ","n"),"à","a"),"è","e"),"ì","i"),"ò","o"),"ù","u"),"")</f>
        <v/>
      </c>
      <c r="S925" s="25">
        <f>IF(R925="","",IF(OR(R925="si",R925="tal vez"),1,0))</f>
        <v/>
      </c>
      <c r="T925" s="25">
        <f>IF(AND(L925=1,D925&lt;&gt;""),IF(IFERROR(COUNTIFS(D$3:D925,"="&amp;SUBSTITUTE(SUBSTITUTE(SUBSTITUTE(D925,"~","~~"),"*","~*"),"?","~?"),L$3:L925,1),0)=1,MAX(T$2:T924)+1,""),"")</f>
        <v/>
      </c>
      <c r="U925" s="25">
        <f>IF(T925="","",COUNTIFS($D$3:$D$1002,"="&amp;SUBSTITUTE(SUBSTITUTE(SUBSTITUTE(D925,"~","~~"),"*","~*"),"?","~?"),$L$3:$L$1002,1)*10000-T925)</f>
        <v/>
      </c>
      <c r="V925" s="25">
        <f>IF(AND(L925=1,J925&lt;&gt;""),IF(IFERROR(COUNTIFS(J$3:J925,"="&amp;SUBSTITUTE(SUBSTITUTE(SUBSTITUTE(J925,"~","~~"),"*","~*"),"?","~?"),L$3:L925,1),0)=1,MAX(V$2:V924)+1,""),"")</f>
        <v/>
      </c>
      <c r="W925" s="25">
        <f>IF(V925="","",COUNTIFS($J$3:$J$1002,"="&amp;SUBSTITUTE(SUBSTITUTE(SUBSTITUTE(J925,"~","~~"),"*","~*"),"?","~?"),$L$3:$L$1002,1)*10000-V925)</f>
        <v/>
      </c>
    </row>
    <row r="926">
      <c r="A926">
        <f>IF(A$2=0,"",IFERROR(TRIM(INDEX('Pegar estudiantes'!$A$1:$BZ$1001,925,A$2)&amp;""),""))</f>
        <v/>
      </c>
      <c r="B926">
        <f>IF(B$2=0,"",IFERROR(TRIM(INDEX('Pegar estudiantes'!$A$1:$BZ$1001,925,B$2)&amp;""),""))</f>
        <v/>
      </c>
      <c r="C926">
        <f>IF(C$2=0,"",IFERROR(TRIM(INDEX('Pegar estudiantes'!$A$1:$BZ$1001,925,C$2)&amp;""),""))</f>
        <v/>
      </c>
      <c r="D926">
        <f>IF(D$2=0,"",IFERROR(TRIM(INDEX('Pegar estudiantes'!$A$1:$BZ$1001,925,D$2)&amp;""),""))</f>
        <v/>
      </c>
      <c r="E926">
        <f>IF(E$2=0,"",IFERROR(TRIM(INDEX('Pegar estudiantes'!$A$1:$BZ$1001,925,E$2)&amp;""),""))</f>
        <v/>
      </c>
      <c r="F926">
        <f>IF(F$2=0,"",IFERROR(TRIM(INDEX('Pegar estudiantes'!$A$1:$BZ$1001,925,F$2)&amp;""),""))</f>
        <v/>
      </c>
      <c r="G926">
        <f>IF(G$2=0,"",IFERROR(TRIM(INDEX('Pegar estudiantes'!$A$1:$BZ$1001,925,G$2)&amp;""),""))</f>
        <v/>
      </c>
      <c r="H926">
        <f>IF(H$2=0,"",IFERROR(TRIM(INDEX('Pegar estudiantes'!$A$1:$BZ$1001,925,H$2)&amp;""),""))</f>
        <v/>
      </c>
      <c r="I926">
        <f>IF(I$2=0,"",IFERROR(TRIM(INDEX('Pegar estudiantes'!$A$1:$BZ$1001,925,I$2)&amp;""),""))</f>
        <v/>
      </c>
      <c r="J926">
        <f>IF(J$2=0,"",IFERROR(TRIM(INDEX('Pegar estudiantes'!$A$1:$BZ$1001,925,J$2)&amp;""),""))</f>
        <v/>
      </c>
      <c r="K926">
        <f>IF(K$2=0,"",IFERROR(TRIM(INDEX('Pegar estudiantes'!$A$1:$BZ$1001,925,K$2)&amp;""),""))</f>
        <v/>
      </c>
      <c r="L926" s="25">
        <f>IF(A926&lt;&gt;"",1,"")</f>
        <v/>
      </c>
      <c r="M926" s="25">
        <f>IF(L926=1,IF(ISNUMBER(FIND("#"&amp;MID(A926,1,1)&amp;"#","#0#1#2#3#4#5#6#7#8#9#")),IF(ISNUMBER(FIND("#"&amp;MID(A926,2,1)&amp;"#","#0#1#2#3#4#5#6#7#8#9#")),IF(AND(VALUE(LEFT(A926,2))&gt;=1,VALUE(LEFT(A926,2))&lt;=5),VALUE(LEFT(A926,2)),""),IF(AND(VALUE(LEFT(A926,1))&gt;=1,VALUE(LEFT(A926,1))&lt;=5),VALUE(LEFT(A926,1)),"")),""),"")</f>
        <v/>
      </c>
      <c r="N926" s="25">
        <f>IF(L926=1,IF(ISNUMBER(FIND("#"&amp;MID(H926,1,1)&amp;"#","#0#1#2#3#4#5#6#7#8#9#")),IF(ISNUMBER(FIND("#"&amp;MID(H926,2,1)&amp;"#","#0#1#2#3#4#5#6#7#8#9#")),IF(AND(VALUE(LEFT(H926,2))&gt;=1,VALUE(LEFT(H926,2))&lt;=5),VALUE(LEFT(H926,2)),""),IF(AND(VALUE(LEFT(H926,1))&gt;=1,VALUE(LEFT(H926,1))&lt;=5),VALUE(LEFT(H926,1)),"")),""),"")</f>
        <v/>
      </c>
      <c r="O926" s="25">
        <f>IF(AND(L926=1,B926&lt;&gt;""),SUBSTITUTE(SUBSTITUTE(SUBSTITUTE(SUBSTITUTE(SUBSTITUTE(SUBSTITUTE(SUBSTITUTE(SUBSTITUTE(SUBSTITUTE(SUBSTITUTE(SUBSTITUTE(SUBSTITUTE(LOWER(TRIM(B926)),"á","a"),"é","e"),"í","i"),"ó","o"),"ú","u"),"ü","u"),"ñ","n"),"à","a"),"è","e"),"ì","i"),"ò","o"),"ù","u"),"")</f>
        <v/>
      </c>
      <c r="P926" s="25">
        <f>IF(AND(L926=1,C926&lt;&gt;""),SUBSTITUTE(SUBSTITUTE(SUBSTITUTE(SUBSTITUTE(SUBSTITUTE(SUBSTITUTE(SUBSTITUTE(SUBSTITUTE(SUBSTITUTE(SUBSTITUTE(SUBSTITUTE(SUBSTITUTE(LOWER(TRIM(C926)),"á","a"),"é","e"),"í","i"),"ó","o"),"ú","u"),"ü","u"),"ñ","n"),"à","a"),"è","e"),"ì","i"),"ò","o"),"ù","u"),"")</f>
        <v/>
      </c>
      <c r="Q926" s="25">
        <f>IF(AND(L926=1,E926&lt;&gt;""),SUBSTITUTE(SUBSTITUTE(SUBSTITUTE(SUBSTITUTE(SUBSTITUTE(SUBSTITUTE(SUBSTITUTE(SUBSTITUTE(SUBSTITUTE(SUBSTITUTE(SUBSTITUTE(SUBSTITUTE(LOWER(TRIM(E926)),"á","a"),"é","e"),"í","i"),"ó","o"),"ú","u"),"ü","u"),"ñ","n"),"à","a"),"è","e"),"ì","i"),"ò","o"),"ù","u"),"")</f>
        <v/>
      </c>
      <c r="R926" s="25">
        <f>IF(AND(L926=1,I926&lt;&gt;""),SUBSTITUTE(SUBSTITUTE(SUBSTITUTE(SUBSTITUTE(SUBSTITUTE(SUBSTITUTE(SUBSTITUTE(SUBSTITUTE(SUBSTITUTE(SUBSTITUTE(SUBSTITUTE(SUBSTITUTE(LOWER(TRIM(I926)),"á","a"),"é","e"),"í","i"),"ó","o"),"ú","u"),"ü","u"),"ñ","n"),"à","a"),"è","e"),"ì","i"),"ò","o"),"ù","u"),"")</f>
        <v/>
      </c>
      <c r="S926" s="25">
        <f>IF(R926="","",IF(OR(R926="si",R926="tal vez"),1,0))</f>
        <v/>
      </c>
      <c r="T926" s="25">
        <f>IF(AND(L926=1,D926&lt;&gt;""),IF(IFERROR(COUNTIFS(D$3:D926,"="&amp;SUBSTITUTE(SUBSTITUTE(SUBSTITUTE(D926,"~","~~"),"*","~*"),"?","~?"),L$3:L926,1),0)=1,MAX(T$2:T925)+1,""),"")</f>
        <v/>
      </c>
      <c r="U926" s="25">
        <f>IF(T926="","",COUNTIFS($D$3:$D$1002,"="&amp;SUBSTITUTE(SUBSTITUTE(SUBSTITUTE(D926,"~","~~"),"*","~*"),"?","~?"),$L$3:$L$1002,1)*10000-T926)</f>
        <v/>
      </c>
      <c r="V926" s="25">
        <f>IF(AND(L926=1,J926&lt;&gt;""),IF(IFERROR(COUNTIFS(J$3:J926,"="&amp;SUBSTITUTE(SUBSTITUTE(SUBSTITUTE(J926,"~","~~"),"*","~*"),"?","~?"),L$3:L926,1),0)=1,MAX(V$2:V925)+1,""),"")</f>
        <v/>
      </c>
      <c r="W926" s="25">
        <f>IF(V926="","",COUNTIFS($J$3:$J$1002,"="&amp;SUBSTITUTE(SUBSTITUTE(SUBSTITUTE(J926,"~","~~"),"*","~*"),"?","~?"),$L$3:$L$1002,1)*10000-V926)</f>
        <v/>
      </c>
    </row>
    <row r="927">
      <c r="A927">
        <f>IF(A$2=0,"",IFERROR(TRIM(INDEX('Pegar estudiantes'!$A$1:$BZ$1001,926,A$2)&amp;""),""))</f>
        <v/>
      </c>
      <c r="B927">
        <f>IF(B$2=0,"",IFERROR(TRIM(INDEX('Pegar estudiantes'!$A$1:$BZ$1001,926,B$2)&amp;""),""))</f>
        <v/>
      </c>
      <c r="C927">
        <f>IF(C$2=0,"",IFERROR(TRIM(INDEX('Pegar estudiantes'!$A$1:$BZ$1001,926,C$2)&amp;""),""))</f>
        <v/>
      </c>
      <c r="D927">
        <f>IF(D$2=0,"",IFERROR(TRIM(INDEX('Pegar estudiantes'!$A$1:$BZ$1001,926,D$2)&amp;""),""))</f>
        <v/>
      </c>
      <c r="E927">
        <f>IF(E$2=0,"",IFERROR(TRIM(INDEX('Pegar estudiantes'!$A$1:$BZ$1001,926,E$2)&amp;""),""))</f>
        <v/>
      </c>
      <c r="F927">
        <f>IF(F$2=0,"",IFERROR(TRIM(INDEX('Pegar estudiantes'!$A$1:$BZ$1001,926,F$2)&amp;""),""))</f>
        <v/>
      </c>
      <c r="G927">
        <f>IF(G$2=0,"",IFERROR(TRIM(INDEX('Pegar estudiantes'!$A$1:$BZ$1001,926,G$2)&amp;""),""))</f>
        <v/>
      </c>
      <c r="H927">
        <f>IF(H$2=0,"",IFERROR(TRIM(INDEX('Pegar estudiantes'!$A$1:$BZ$1001,926,H$2)&amp;""),""))</f>
        <v/>
      </c>
      <c r="I927">
        <f>IF(I$2=0,"",IFERROR(TRIM(INDEX('Pegar estudiantes'!$A$1:$BZ$1001,926,I$2)&amp;""),""))</f>
        <v/>
      </c>
      <c r="J927">
        <f>IF(J$2=0,"",IFERROR(TRIM(INDEX('Pegar estudiantes'!$A$1:$BZ$1001,926,J$2)&amp;""),""))</f>
        <v/>
      </c>
      <c r="K927">
        <f>IF(K$2=0,"",IFERROR(TRIM(INDEX('Pegar estudiantes'!$A$1:$BZ$1001,926,K$2)&amp;""),""))</f>
        <v/>
      </c>
      <c r="L927" s="25">
        <f>IF(A927&lt;&gt;"",1,"")</f>
        <v/>
      </c>
      <c r="M927" s="25">
        <f>IF(L927=1,IF(ISNUMBER(FIND("#"&amp;MID(A927,1,1)&amp;"#","#0#1#2#3#4#5#6#7#8#9#")),IF(ISNUMBER(FIND("#"&amp;MID(A927,2,1)&amp;"#","#0#1#2#3#4#5#6#7#8#9#")),IF(AND(VALUE(LEFT(A927,2))&gt;=1,VALUE(LEFT(A927,2))&lt;=5),VALUE(LEFT(A927,2)),""),IF(AND(VALUE(LEFT(A927,1))&gt;=1,VALUE(LEFT(A927,1))&lt;=5),VALUE(LEFT(A927,1)),"")),""),"")</f>
        <v/>
      </c>
      <c r="N927" s="25">
        <f>IF(L927=1,IF(ISNUMBER(FIND("#"&amp;MID(H927,1,1)&amp;"#","#0#1#2#3#4#5#6#7#8#9#")),IF(ISNUMBER(FIND("#"&amp;MID(H927,2,1)&amp;"#","#0#1#2#3#4#5#6#7#8#9#")),IF(AND(VALUE(LEFT(H927,2))&gt;=1,VALUE(LEFT(H927,2))&lt;=5),VALUE(LEFT(H927,2)),""),IF(AND(VALUE(LEFT(H927,1))&gt;=1,VALUE(LEFT(H927,1))&lt;=5),VALUE(LEFT(H927,1)),"")),""),"")</f>
        <v/>
      </c>
      <c r="O927" s="25">
        <f>IF(AND(L927=1,B927&lt;&gt;""),SUBSTITUTE(SUBSTITUTE(SUBSTITUTE(SUBSTITUTE(SUBSTITUTE(SUBSTITUTE(SUBSTITUTE(SUBSTITUTE(SUBSTITUTE(SUBSTITUTE(SUBSTITUTE(SUBSTITUTE(LOWER(TRIM(B927)),"á","a"),"é","e"),"í","i"),"ó","o"),"ú","u"),"ü","u"),"ñ","n"),"à","a"),"è","e"),"ì","i"),"ò","o"),"ù","u"),"")</f>
        <v/>
      </c>
      <c r="P927" s="25">
        <f>IF(AND(L927=1,C927&lt;&gt;""),SUBSTITUTE(SUBSTITUTE(SUBSTITUTE(SUBSTITUTE(SUBSTITUTE(SUBSTITUTE(SUBSTITUTE(SUBSTITUTE(SUBSTITUTE(SUBSTITUTE(SUBSTITUTE(SUBSTITUTE(LOWER(TRIM(C927)),"á","a"),"é","e"),"í","i"),"ó","o"),"ú","u"),"ü","u"),"ñ","n"),"à","a"),"è","e"),"ì","i"),"ò","o"),"ù","u"),"")</f>
        <v/>
      </c>
      <c r="Q927" s="25">
        <f>IF(AND(L927=1,E927&lt;&gt;""),SUBSTITUTE(SUBSTITUTE(SUBSTITUTE(SUBSTITUTE(SUBSTITUTE(SUBSTITUTE(SUBSTITUTE(SUBSTITUTE(SUBSTITUTE(SUBSTITUTE(SUBSTITUTE(SUBSTITUTE(LOWER(TRIM(E927)),"á","a"),"é","e"),"í","i"),"ó","o"),"ú","u"),"ü","u"),"ñ","n"),"à","a"),"è","e"),"ì","i"),"ò","o"),"ù","u"),"")</f>
        <v/>
      </c>
      <c r="R927" s="25">
        <f>IF(AND(L927=1,I927&lt;&gt;""),SUBSTITUTE(SUBSTITUTE(SUBSTITUTE(SUBSTITUTE(SUBSTITUTE(SUBSTITUTE(SUBSTITUTE(SUBSTITUTE(SUBSTITUTE(SUBSTITUTE(SUBSTITUTE(SUBSTITUTE(LOWER(TRIM(I927)),"á","a"),"é","e"),"í","i"),"ó","o"),"ú","u"),"ü","u"),"ñ","n"),"à","a"),"è","e"),"ì","i"),"ò","o"),"ù","u"),"")</f>
        <v/>
      </c>
      <c r="S927" s="25">
        <f>IF(R927="","",IF(OR(R927="si",R927="tal vez"),1,0))</f>
        <v/>
      </c>
      <c r="T927" s="25">
        <f>IF(AND(L927=1,D927&lt;&gt;""),IF(IFERROR(COUNTIFS(D$3:D927,"="&amp;SUBSTITUTE(SUBSTITUTE(SUBSTITUTE(D927,"~","~~"),"*","~*"),"?","~?"),L$3:L927,1),0)=1,MAX(T$2:T926)+1,""),"")</f>
        <v/>
      </c>
      <c r="U927" s="25">
        <f>IF(T927="","",COUNTIFS($D$3:$D$1002,"="&amp;SUBSTITUTE(SUBSTITUTE(SUBSTITUTE(D927,"~","~~"),"*","~*"),"?","~?"),$L$3:$L$1002,1)*10000-T927)</f>
        <v/>
      </c>
      <c r="V927" s="25">
        <f>IF(AND(L927=1,J927&lt;&gt;""),IF(IFERROR(COUNTIFS(J$3:J927,"="&amp;SUBSTITUTE(SUBSTITUTE(SUBSTITUTE(J927,"~","~~"),"*","~*"),"?","~?"),L$3:L927,1),0)=1,MAX(V$2:V926)+1,""),"")</f>
        <v/>
      </c>
      <c r="W927" s="25">
        <f>IF(V927="","",COUNTIFS($J$3:$J$1002,"="&amp;SUBSTITUTE(SUBSTITUTE(SUBSTITUTE(J927,"~","~~"),"*","~*"),"?","~?"),$L$3:$L$1002,1)*10000-V927)</f>
        <v/>
      </c>
    </row>
    <row r="928">
      <c r="A928">
        <f>IF(A$2=0,"",IFERROR(TRIM(INDEX('Pegar estudiantes'!$A$1:$BZ$1001,927,A$2)&amp;""),""))</f>
        <v/>
      </c>
      <c r="B928">
        <f>IF(B$2=0,"",IFERROR(TRIM(INDEX('Pegar estudiantes'!$A$1:$BZ$1001,927,B$2)&amp;""),""))</f>
        <v/>
      </c>
      <c r="C928">
        <f>IF(C$2=0,"",IFERROR(TRIM(INDEX('Pegar estudiantes'!$A$1:$BZ$1001,927,C$2)&amp;""),""))</f>
        <v/>
      </c>
      <c r="D928">
        <f>IF(D$2=0,"",IFERROR(TRIM(INDEX('Pegar estudiantes'!$A$1:$BZ$1001,927,D$2)&amp;""),""))</f>
        <v/>
      </c>
      <c r="E928">
        <f>IF(E$2=0,"",IFERROR(TRIM(INDEX('Pegar estudiantes'!$A$1:$BZ$1001,927,E$2)&amp;""),""))</f>
        <v/>
      </c>
      <c r="F928">
        <f>IF(F$2=0,"",IFERROR(TRIM(INDEX('Pegar estudiantes'!$A$1:$BZ$1001,927,F$2)&amp;""),""))</f>
        <v/>
      </c>
      <c r="G928">
        <f>IF(G$2=0,"",IFERROR(TRIM(INDEX('Pegar estudiantes'!$A$1:$BZ$1001,927,G$2)&amp;""),""))</f>
        <v/>
      </c>
      <c r="H928">
        <f>IF(H$2=0,"",IFERROR(TRIM(INDEX('Pegar estudiantes'!$A$1:$BZ$1001,927,H$2)&amp;""),""))</f>
        <v/>
      </c>
      <c r="I928">
        <f>IF(I$2=0,"",IFERROR(TRIM(INDEX('Pegar estudiantes'!$A$1:$BZ$1001,927,I$2)&amp;""),""))</f>
        <v/>
      </c>
      <c r="J928">
        <f>IF(J$2=0,"",IFERROR(TRIM(INDEX('Pegar estudiantes'!$A$1:$BZ$1001,927,J$2)&amp;""),""))</f>
        <v/>
      </c>
      <c r="K928">
        <f>IF(K$2=0,"",IFERROR(TRIM(INDEX('Pegar estudiantes'!$A$1:$BZ$1001,927,K$2)&amp;""),""))</f>
        <v/>
      </c>
      <c r="L928" s="25">
        <f>IF(A928&lt;&gt;"",1,"")</f>
        <v/>
      </c>
      <c r="M928" s="25">
        <f>IF(L928=1,IF(ISNUMBER(FIND("#"&amp;MID(A928,1,1)&amp;"#","#0#1#2#3#4#5#6#7#8#9#")),IF(ISNUMBER(FIND("#"&amp;MID(A928,2,1)&amp;"#","#0#1#2#3#4#5#6#7#8#9#")),IF(AND(VALUE(LEFT(A928,2))&gt;=1,VALUE(LEFT(A928,2))&lt;=5),VALUE(LEFT(A928,2)),""),IF(AND(VALUE(LEFT(A928,1))&gt;=1,VALUE(LEFT(A928,1))&lt;=5),VALUE(LEFT(A928,1)),"")),""),"")</f>
        <v/>
      </c>
      <c r="N928" s="25">
        <f>IF(L928=1,IF(ISNUMBER(FIND("#"&amp;MID(H928,1,1)&amp;"#","#0#1#2#3#4#5#6#7#8#9#")),IF(ISNUMBER(FIND("#"&amp;MID(H928,2,1)&amp;"#","#0#1#2#3#4#5#6#7#8#9#")),IF(AND(VALUE(LEFT(H928,2))&gt;=1,VALUE(LEFT(H928,2))&lt;=5),VALUE(LEFT(H928,2)),""),IF(AND(VALUE(LEFT(H928,1))&gt;=1,VALUE(LEFT(H928,1))&lt;=5),VALUE(LEFT(H928,1)),"")),""),"")</f>
        <v/>
      </c>
      <c r="O928" s="25">
        <f>IF(AND(L928=1,B928&lt;&gt;""),SUBSTITUTE(SUBSTITUTE(SUBSTITUTE(SUBSTITUTE(SUBSTITUTE(SUBSTITUTE(SUBSTITUTE(SUBSTITUTE(SUBSTITUTE(SUBSTITUTE(SUBSTITUTE(SUBSTITUTE(LOWER(TRIM(B928)),"á","a"),"é","e"),"í","i"),"ó","o"),"ú","u"),"ü","u"),"ñ","n"),"à","a"),"è","e"),"ì","i"),"ò","o"),"ù","u"),"")</f>
        <v/>
      </c>
      <c r="P928" s="25">
        <f>IF(AND(L928=1,C928&lt;&gt;""),SUBSTITUTE(SUBSTITUTE(SUBSTITUTE(SUBSTITUTE(SUBSTITUTE(SUBSTITUTE(SUBSTITUTE(SUBSTITUTE(SUBSTITUTE(SUBSTITUTE(SUBSTITUTE(SUBSTITUTE(LOWER(TRIM(C928)),"á","a"),"é","e"),"í","i"),"ó","o"),"ú","u"),"ü","u"),"ñ","n"),"à","a"),"è","e"),"ì","i"),"ò","o"),"ù","u"),"")</f>
        <v/>
      </c>
      <c r="Q928" s="25">
        <f>IF(AND(L928=1,E928&lt;&gt;""),SUBSTITUTE(SUBSTITUTE(SUBSTITUTE(SUBSTITUTE(SUBSTITUTE(SUBSTITUTE(SUBSTITUTE(SUBSTITUTE(SUBSTITUTE(SUBSTITUTE(SUBSTITUTE(SUBSTITUTE(LOWER(TRIM(E928)),"á","a"),"é","e"),"í","i"),"ó","o"),"ú","u"),"ü","u"),"ñ","n"),"à","a"),"è","e"),"ì","i"),"ò","o"),"ù","u"),"")</f>
        <v/>
      </c>
      <c r="R928" s="25">
        <f>IF(AND(L928=1,I928&lt;&gt;""),SUBSTITUTE(SUBSTITUTE(SUBSTITUTE(SUBSTITUTE(SUBSTITUTE(SUBSTITUTE(SUBSTITUTE(SUBSTITUTE(SUBSTITUTE(SUBSTITUTE(SUBSTITUTE(SUBSTITUTE(LOWER(TRIM(I928)),"á","a"),"é","e"),"í","i"),"ó","o"),"ú","u"),"ü","u"),"ñ","n"),"à","a"),"è","e"),"ì","i"),"ò","o"),"ù","u"),"")</f>
        <v/>
      </c>
      <c r="S928" s="25">
        <f>IF(R928="","",IF(OR(R928="si",R928="tal vez"),1,0))</f>
        <v/>
      </c>
      <c r="T928" s="25">
        <f>IF(AND(L928=1,D928&lt;&gt;""),IF(IFERROR(COUNTIFS(D$3:D928,"="&amp;SUBSTITUTE(SUBSTITUTE(SUBSTITUTE(D928,"~","~~"),"*","~*"),"?","~?"),L$3:L928,1),0)=1,MAX(T$2:T927)+1,""),"")</f>
        <v/>
      </c>
      <c r="U928" s="25">
        <f>IF(T928="","",COUNTIFS($D$3:$D$1002,"="&amp;SUBSTITUTE(SUBSTITUTE(SUBSTITUTE(D928,"~","~~"),"*","~*"),"?","~?"),$L$3:$L$1002,1)*10000-T928)</f>
        <v/>
      </c>
      <c r="V928" s="25">
        <f>IF(AND(L928=1,J928&lt;&gt;""),IF(IFERROR(COUNTIFS(J$3:J928,"="&amp;SUBSTITUTE(SUBSTITUTE(SUBSTITUTE(J928,"~","~~"),"*","~*"),"?","~?"),L$3:L928,1),0)=1,MAX(V$2:V927)+1,""),"")</f>
        <v/>
      </c>
      <c r="W928" s="25">
        <f>IF(V928="","",COUNTIFS($J$3:$J$1002,"="&amp;SUBSTITUTE(SUBSTITUTE(SUBSTITUTE(J928,"~","~~"),"*","~*"),"?","~?"),$L$3:$L$1002,1)*10000-V928)</f>
        <v/>
      </c>
    </row>
    <row r="929">
      <c r="A929">
        <f>IF(A$2=0,"",IFERROR(TRIM(INDEX('Pegar estudiantes'!$A$1:$BZ$1001,928,A$2)&amp;""),""))</f>
        <v/>
      </c>
      <c r="B929">
        <f>IF(B$2=0,"",IFERROR(TRIM(INDEX('Pegar estudiantes'!$A$1:$BZ$1001,928,B$2)&amp;""),""))</f>
        <v/>
      </c>
      <c r="C929">
        <f>IF(C$2=0,"",IFERROR(TRIM(INDEX('Pegar estudiantes'!$A$1:$BZ$1001,928,C$2)&amp;""),""))</f>
        <v/>
      </c>
      <c r="D929">
        <f>IF(D$2=0,"",IFERROR(TRIM(INDEX('Pegar estudiantes'!$A$1:$BZ$1001,928,D$2)&amp;""),""))</f>
        <v/>
      </c>
      <c r="E929">
        <f>IF(E$2=0,"",IFERROR(TRIM(INDEX('Pegar estudiantes'!$A$1:$BZ$1001,928,E$2)&amp;""),""))</f>
        <v/>
      </c>
      <c r="F929">
        <f>IF(F$2=0,"",IFERROR(TRIM(INDEX('Pegar estudiantes'!$A$1:$BZ$1001,928,F$2)&amp;""),""))</f>
        <v/>
      </c>
      <c r="G929">
        <f>IF(G$2=0,"",IFERROR(TRIM(INDEX('Pegar estudiantes'!$A$1:$BZ$1001,928,G$2)&amp;""),""))</f>
        <v/>
      </c>
      <c r="H929">
        <f>IF(H$2=0,"",IFERROR(TRIM(INDEX('Pegar estudiantes'!$A$1:$BZ$1001,928,H$2)&amp;""),""))</f>
        <v/>
      </c>
      <c r="I929">
        <f>IF(I$2=0,"",IFERROR(TRIM(INDEX('Pegar estudiantes'!$A$1:$BZ$1001,928,I$2)&amp;""),""))</f>
        <v/>
      </c>
      <c r="J929">
        <f>IF(J$2=0,"",IFERROR(TRIM(INDEX('Pegar estudiantes'!$A$1:$BZ$1001,928,J$2)&amp;""),""))</f>
        <v/>
      </c>
      <c r="K929">
        <f>IF(K$2=0,"",IFERROR(TRIM(INDEX('Pegar estudiantes'!$A$1:$BZ$1001,928,K$2)&amp;""),""))</f>
        <v/>
      </c>
      <c r="L929" s="25">
        <f>IF(A929&lt;&gt;"",1,"")</f>
        <v/>
      </c>
      <c r="M929" s="25">
        <f>IF(L929=1,IF(ISNUMBER(FIND("#"&amp;MID(A929,1,1)&amp;"#","#0#1#2#3#4#5#6#7#8#9#")),IF(ISNUMBER(FIND("#"&amp;MID(A929,2,1)&amp;"#","#0#1#2#3#4#5#6#7#8#9#")),IF(AND(VALUE(LEFT(A929,2))&gt;=1,VALUE(LEFT(A929,2))&lt;=5),VALUE(LEFT(A929,2)),""),IF(AND(VALUE(LEFT(A929,1))&gt;=1,VALUE(LEFT(A929,1))&lt;=5),VALUE(LEFT(A929,1)),"")),""),"")</f>
        <v/>
      </c>
      <c r="N929" s="25">
        <f>IF(L929=1,IF(ISNUMBER(FIND("#"&amp;MID(H929,1,1)&amp;"#","#0#1#2#3#4#5#6#7#8#9#")),IF(ISNUMBER(FIND("#"&amp;MID(H929,2,1)&amp;"#","#0#1#2#3#4#5#6#7#8#9#")),IF(AND(VALUE(LEFT(H929,2))&gt;=1,VALUE(LEFT(H929,2))&lt;=5),VALUE(LEFT(H929,2)),""),IF(AND(VALUE(LEFT(H929,1))&gt;=1,VALUE(LEFT(H929,1))&lt;=5),VALUE(LEFT(H929,1)),"")),""),"")</f>
        <v/>
      </c>
      <c r="O929" s="25">
        <f>IF(AND(L929=1,B929&lt;&gt;""),SUBSTITUTE(SUBSTITUTE(SUBSTITUTE(SUBSTITUTE(SUBSTITUTE(SUBSTITUTE(SUBSTITUTE(SUBSTITUTE(SUBSTITUTE(SUBSTITUTE(SUBSTITUTE(SUBSTITUTE(LOWER(TRIM(B929)),"á","a"),"é","e"),"í","i"),"ó","o"),"ú","u"),"ü","u"),"ñ","n"),"à","a"),"è","e"),"ì","i"),"ò","o"),"ù","u"),"")</f>
        <v/>
      </c>
      <c r="P929" s="25">
        <f>IF(AND(L929=1,C929&lt;&gt;""),SUBSTITUTE(SUBSTITUTE(SUBSTITUTE(SUBSTITUTE(SUBSTITUTE(SUBSTITUTE(SUBSTITUTE(SUBSTITUTE(SUBSTITUTE(SUBSTITUTE(SUBSTITUTE(SUBSTITUTE(LOWER(TRIM(C929)),"á","a"),"é","e"),"í","i"),"ó","o"),"ú","u"),"ü","u"),"ñ","n"),"à","a"),"è","e"),"ì","i"),"ò","o"),"ù","u"),"")</f>
        <v/>
      </c>
      <c r="Q929" s="25">
        <f>IF(AND(L929=1,E929&lt;&gt;""),SUBSTITUTE(SUBSTITUTE(SUBSTITUTE(SUBSTITUTE(SUBSTITUTE(SUBSTITUTE(SUBSTITUTE(SUBSTITUTE(SUBSTITUTE(SUBSTITUTE(SUBSTITUTE(SUBSTITUTE(LOWER(TRIM(E929)),"á","a"),"é","e"),"í","i"),"ó","o"),"ú","u"),"ü","u"),"ñ","n"),"à","a"),"è","e"),"ì","i"),"ò","o"),"ù","u"),"")</f>
        <v/>
      </c>
      <c r="R929" s="25">
        <f>IF(AND(L929=1,I929&lt;&gt;""),SUBSTITUTE(SUBSTITUTE(SUBSTITUTE(SUBSTITUTE(SUBSTITUTE(SUBSTITUTE(SUBSTITUTE(SUBSTITUTE(SUBSTITUTE(SUBSTITUTE(SUBSTITUTE(SUBSTITUTE(LOWER(TRIM(I929)),"á","a"),"é","e"),"í","i"),"ó","o"),"ú","u"),"ü","u"),"ñ","n"),"à","a"),"è","e"),"ì","i"),"ò","o"),"ù","u"),"")</f>
        <v/>
      </c>
      <c r="S929" s="25">
        <f>IF(R929="","",IF(OR(R929="si",R929="tal vez"),1,0))</f>
        <v/>
      </c>
      <c r="T929" s="25">
        <f>IF(AND(L929=1,D929&lt;&gt;""),IF(IFERROR(COUNTIFS(D$3:D929,"="&amp;SUBSTITUTE(SUBSTITUTE(SUBSTITUTE(D929,"~","~~"),"*","~*"),"?","~?"),L$3:L929,1),0)=1,MAX(T$2:T928)+1,""),"")</f>
        <v/>
      </c>
      <c r="U929" s="25">
        <f>IF(T929="","",COUNTIFS($D$3:$D$1002,"="&amp;SUBSTITUTE(SUBSTITUTE(SUBSTITUTE(D929,"~","~~"),"*","~*"),"?","~?"),$L$3:$L$1002,1)*10000-T929)</f>
        <v/>
      </c>
      <c r="V929" s="25">
        <f>IF(AND(L929=1,J929&lt;&gt;""),IF(IFERROR(COUNTIFS(J$3:J929,"="&amp;SUBSTITUTE(SUBSTITUTE(SUBSTITUTE(J929,"~","~~"),"*","~*"),"?","~?"),L$3:L929,1),0)=1,MAX(V$2:V928)+1,""),"")</f>
        <v/>
      </c>
      <c r="W929" s="25">
        <f>IF(V929="","",COUNTIFS($J$3:$J$1002,"="&amp;SUBSTITUTE(SUBSTITUTE(SUBSTITUTE(J929,"~","~~"),"*","~*"),"?","~?"),$L$3:$L$1002,1)*10000-V929)</f>
        <v/>
      </c>
    </row>
    <row r="930">
      <c r="A930">
        <f>IF(A$2=0,"",IFERROR(TRIM(INDEX('Pegar estudiantes'!$A$1:$BZ$1001,929,A$2)&amp;""),""))</f>
        <v/>
      </c>
      <c r="B930">
        <f>IF(B$2=0,"",IFERROR(TRIM(INDEX('Pegar estudiantes'!$A$1:$BZ$1001,929,B$2)&amp;""),""))</f>
        <v/>
      </c>
      <c r="C930">
        <f>IF(C$2=0,"",IFERROR(TRIM(INDEX('Pegar estudiantes'!$A$1:$BZ$1001,929,C$2)&amp;""),""))</f>
        <v/>
      </c>
      <c r="D930">
        <f>IF(D$2=0,"",IFERROR(TRIM(INDEX('Pegar estudiantes'!$A$1:$BZ$1001,929,D$2)&amp;""),""))</f>
        <v/>
      </c>
      <c r="E930">
        <f>IF(E$2=0,"",IFERROR(TRIM(INDEX('Pegar estudiantes'!$A$1:$BZ$1001,929,E$2)&amp;""),""))</f>
        <v/>
      </c>
      <c r="F930">
        <f>IF(F$2=0,"",IFERROR(TRIM(INDEX('Pegar estudiantes'!$A$1:$BZ$1001,929,F$2)&amp;""),""))</f>
        <v/>
      </c>
      <c r="G930">
        <f>IF(G$2=0,"",IFERROR(TRIM(INDEX('Pegar estudiantes'!$A$1:$BZ$1001,929,G$2)&amp;""),""))</f>
        <v/>
      </c>
      <c r="H930">
        <f>IF(H$2=0,"",IFERROR(TRIM(INDEX('Pegar estudiantes'!$A$1:$BZ$1001,929,H$2)&amp;""),""))</f>
        <v/>
      </c>
      <c r="I930">
        <f>IF(I$2=0,"",IFERROR(TRIM(INDEX('Pegar estudiantes'!$A$1:$BZ$1001,929,I$2)&amp;""),""))</f>
        <v/>
      </c>
      <c r="J930">
        <f>IF(J$2=0,"",IFERROR(TRIM(INDEX('Pegar estudiantes'!$A$1:$BZ$1001,929,J$2)&amp;""),""))</f>
        <v/>
      </c>
      <c r="K930">
        <f>IF(K$2=0,"",IFERROR(TRIM(INDEX('Pegar estudiantes'!$A$1:$BZ$1001,929,K$2)&amp;""),""))</f>
        <v/>
      </c>
      <c r="L930" s="25">
        <f>IF(A930&lt;&gt;"",1,"")</f>
        <v/>
      </c>
      <c r="M930" s="25">
        <f>IF(L930=1,IF(ISNUMBER(FIND("#"&amp;MID(A930,1,1)&amp;"#","#0#1#2#3#4#5#6#7#8#9#")),IF(ISNUMBER(FIND("#"&amp;MID(A930,2,1)&amp;"#","#0#1#2#3#4#5#6#7#8#9#")),IF(AND(VALUE(LEFT(A930,2))&gt;=1,VALUE(LEFT(A930,2))&lt;=5),VALUE(LEFT(A930,2)),""),IF(AND(VALUE(LEFT(A930,1))&gt;=1,VALUE(LEFT(A930,1))&lt;=5),VALUE(LEFT(A930,1)),"")),""),"")</f>
        <v/>
      </c>
      <c r="N930" s="25">
        <f>IF(L930=1,IF(ISNUMBER(FIND("#"&amp;MID(H930,1,1)&amp;"#","#0#1#2#3#4#5#6#7#8#9#")),IF(ISNUMBER(FIND("#"&amp;MID(H930,2,1)&amp;"#","#0#1#2#3#4#5#6#7#8#9#")),IF(AND(VALUE(LEFT(H930,2))&gt;=1,VALUE(LEFT(H930,2))&lt;=5),VALUE(LEFT(H930,2)),""),IF(AND(VALUE(LEFT(H930,1))&gt;=1,VALUE(LEFT(H930,1))&lt;=5),VALUE(LEFT(H930,1)),"")),""),"")</f>
        <v/>
      </c>
      <c r="O930" s="25">
        <f>IF(AND(L930=1,B930&lt;&gt;""),SUBSTITUTE(SUBSTITUTE(SUBSTITUTE(SUBSTITUTE(SUBSTITUTE(SUBSTITUTE(SUBSTITUTE(SUBSTITUTE(SUBSTITUTE(SUBSTITUTE(SUBSTITUTE(SUBSTITUTE(LOWER(TRIM(B930)),"á","a"),"é","e"),"í","i"),"ó","o"),"ú","u"),"ü","u"),"ñ","n"),"à","a"),"è","e"),"ì","i"),"ò","o"),"ù","u"),"")</f>
        <v/>
      </c>
      <c r="P930" s="25">
        <f>IF(AND(L930=1,C930&lt;&gt;""),SUBSTITUTE(SUBSTITUTE(SUBSTITUTE(SUBSTITUTE(SUBSTITUTE(SUBSTITUTE(SUBSTITUTE(SUBSTITUTE(SUBSTITUTE(SUBSTITUTE(SUBSTITUTE(SUBSTITUTE(LOWER(TRIM(C930)),"á","a"),"é","e"),"í","i"),"ó","o"),"ú","u"),"ü","u"),"ñ","n"),"à","a"),"è","e"),"ì","i"),"ò","o"),"ù","u"),"")</f>
        <v/>
      </c>
      <c r="Q930" s="25">
        <f>IF(AND(L930=1,E930&lt;&gt;""),SUBSTITUTE(SUBSTITUTE(SUBSTITUTE(SUBSTITUTE(SUBSTITUTE(SUBSTITUTE(SUBSTITUTE(SUBSTITUTE(SUBSTITUTE(SUBSTITUTE(SUBSTITUTE(SUBSTITUTE(LOWER(TRIM(E930)),"á","a"),"é","e"),"í","i"),"ó","o"),"ú","u"),"ü","u"),"ñ","n"),"à","a"),"è","e"),"ì","i"),"ò","o"),"ù","u"),"")</f>
        <v/>
      </c>
      <c r="R930" s="25">
        <f>IF(AND(L930=1,I930&lt;&gt;""),SUBSTITUTE(SUBSTITUTE(SUBSTITUTE(SUBSTITUTE(SUBSTITUTE(SUBSTITUTE(SUBSTITUTE(SUBSTITUTE(SUBSTITUTE(SUBSTITUTE(SUBSTITUTE(SUBSTITUTE(LOWER(TRIM(I930)),"á","a"),"é","e"),"í","i"),"ó","o"),"ú","u"),"ü","u"),"ñ","n"),"à","a"),"è","e"),"ì","i"),"ò","o"),"ù","u"),"")</f>
        <v/>
      </c>
      <c r="S930" s="25">
        <f>IF(R930="","",IF(OR(R930="si",R930="tal vez"),1,0))</f>
        <v/>
      </c>
      <c r="T930" s="25">
        <f>IF(AND(L930=1,D930&lt;&gt;""),IF(IFERROR(COUNTIFS(D$3:D930,"="&amp;SUBSTITUTE(SUBSTITUTE(SUBSTITUTE(D930,"~","~~"),"*","~*"),"?","~?"),L$3:L930,1),0)=1,MAX(T$2:T929)+1,""),"")</f>
        <v/>
      </c>
      <c r="U930" s="25">
        <f>IF(T930="","",COUNTIFS($D$3:$D$1002,"="&amp;SUBSTITUTE(SUBSTITUTE(SUBSTITUTE(D930,"~","~~"),"*","~*"),"?","~?"),$L$3:$L$1002,1)*10000-T930)</f>
        <v/>
      </c>
      <c r="V930" s="25">
        <f>IF(AND(L930=1,J930&lt;&gt;""),IF(IFERROR(COUNTIFS(J$3:J930,"="&amp;SUBSTITUTE(SUBSTITUTE(SUBSTITUTE(J930,"~","~~"),"*","~*"),"?","~?"),L$3:L930,1),0)=1,MAX(V$2:V929)+1,""),"")</f>
        <v/>
      </c>
      <c r="W930" s="25">
        <f>IF(V930="","",COUNTIFS($J$3:$J$1002,"="&amp;SUBSTITUTE(SUBSTITUTE(SUBSTITUTE(J930,"~","~~"),"*","~*"),"?","~?"),$L$3:$L$1002,1)*10000-V930)</f>
        <v/>
      </c>
    </row>
    <row r="931">
      <c r="A931">
        <f>IF(A$2=0,"",IFERROR(TRIM(INDEX('Pegar estudiantes'!$A$1:$BZ$1001,930,A$2)&amp;""),""))</f>
        <v/>
      </c>
      <c r="B931">
        <f>IF(B$2=0,"",IFERROR(TRIM(INDEX('Pegar estudiantes'!$A$1:$BZ$1001,930,B$2)&amp;""),""))</f>
        <v/>
      </c>
      <c r="C931">
        <f>IF(C$2=0,"",IFERROR(TRIM(INDEX('Pegar estudiantes'!$A$1:$BZ$1001,930,C$2)&amp;""),""))</f>
        <v/>
      </c>
      <c r="D931">
        <f>IF(D$2=0,"",IFERROR(TRIM(INDEX('Pegar estudiantes'!$A$1:$BZ$1001,930,D$2)&amp;""),""))</f>
        <v/>
      </c>
      <c r="E931">
        <f>IF(E$2=0,"",IFERROR(TRIM(INDEX('Pegar estudiantes'!$A$1:$BZ$1001,930,E$2)&amp;""),""))</f>
        <v/>
      </c>
      <c r="F931">
        <f>IF(F$2=0,"",IFERROR(TRIM(INDEX('Pegar estudiantes'!$A$1:$BZ$1001,930,F$2)&amp;""),""))</f>
        <v/>
      </c>
      <c r="G931">
        <f>IF(G$2=0,"",IFERROR(TRIM(INDEX('Pegar estudiantes'!$A$1:$BZ$1001,930,G$2)&amp;""),""))</f>
        <v/>
      </c>
      <c r="H931">
        <f>IF(H$2=0,"",IFERROR(TRIM(INDEX('Pegar estudiantes'!$A$1:$BZ$1001,930,H$2)&amp;""),""))</f>
        <v/>
      </c>
      <c r="I931">
        <f>IF(I$2=0,"",IFERROR(TRIM(INDEX('Pegar estudiantes'!$A$1:$BZ$1001,930,I$2)&amp;""),""))</f>
        <v/>
      </c>
      <c r="J931">
        <f>IF(J$2=0,"",IFERROR(TRIM(INDEX('Pegar estudiantes'!$A$1:$BZ$1001,930,J$2)&amp;""),""))</f>
        <v/>
      </c>
      <c r="K931">
        <f>IF(K$2=0,"",IFERROR(TRIM(INDEX('Pegar estudiantes'!$A$1:$BZ$1001,930,K$2)&amp;""),""))</f>
        <v/>
      </c>
      <c r="L931" s="25">
        <f>IF(A931&lt;&gt;"",1,"")</f>
        <v/>
      </c>
      <c r="M931" s="25">
        <f>IF(L931=1,IF(ISNUMBER(FIND("#"&amp;MID(A931,1,1)&amp;"#","#0#1#2#3#4#5#6#7#8#9#")),IF(ISNUMBER(FIND("#"&amp;MID(A931,2,1)&amp;"#","#0#1#2#3#4#5#6#7#8#9#")),IF(AND(VALUE(LEFT(A931,2))&gt;=1,VALUE(LEFT(A931,2))&lt;=5),VALUE(LEFT(A931,2)),""),IF(AND(VALUE(LEFT(A931,1))&gt;=1,VALUE(LEFT(A931,1))&lt;=5),VALUE(LEFT(A931,1)),"")),""),"")</f>
        <v/>
      </c>
      <c r="N931" s="25">
        <f>IF(L931=1,IF(ISNUMBER(FIND("#"&amp;MID(H931,1,1)&amp;"#","#0#1#2#3#4#5#6#7#8#9#")),IF(ISNUMBER(FIND("#"&amp;MID(H931,2,1)&amp;"#","#0#1#2#3#4#5#6#7#8#9#")),IF(AND(VALUE(LEFT(H931,2))&gt;=1,VALUE(LEFT(H931,2))&lt;=5),VALUE(LEFT(H931,2)),""),IF(AND(VALUE(LEFT(H931,1))&gt;=1,VALUE(LEFT(H931,1))&lt;=5),VALUE(LEFT(H931,1)),"")),""),"")</f>
        <v/>
      </c>
      <c r="O931" s="25">
        <f>IF(AND(L931=1,B931&lt;&gt;""),SUBSTITUTE(SUBSTITUTE(SUBSTITUTE(SUBSTITUTE(SUBSTITUTE(SUBSTITUTE(SUBSTITUTE(SUBSTITUTE(SUBSTITUTE(SUBSTITUTE(SUBSTITUTE(SUBSTITUTE(LOWER(TRIM(B931)),"á","a"),"é","e"),"í","i"),"ó","o"),"ú","u"),"ü","u"),"ñ","n"),"à","a"),"è","e"),"ì","i"),"ò","o"),"ù","u"),"")</f>
        <v/>
      </c>
      <c r="P931" s="25">
        <f>IF(AND(L931=1,C931&lt;&gt;""),SUBSTITUTE(SUBSTITUTE(SUBSTITUTE(SUBSTITUTE(SUBSTITUTE(SUBSTITUTE(SUBSTITUTE(SUBSTITUTE(SUBSTITUTE(SUBSTITUTE(SUBSTITUTE(SUBSTITUTE(LOWER(TRIM(C931)),"á","a"),"é","e"),"í","i"),"ó","o"),"ú","u"),"ü","u"),"ñ","n"),"à","a"),"è","e"),"ì","i"),"ò","o"),"ù","u"),"")</f>
        <v/>
      </c>
      <c r="Q931" s="25">
        <f>IF(AND(L931=1,E931&lt;&gt;""),SUBSTITUTE(SUBSTITUTE(SUBSTITUTE(SUBSTITUTE(SUBSTITUTE(SUBSTITUTE(SUBSTITUTE(SUBSTITUTE(SUBSTITUTE(SUBSTITUTE(SUBSTITUTE(SUBSTITUTE(LOWER(TRIM(E931)),"á","a"),"é","e"),"í","i"),"ó","o"),"ú","u"),"ü","u"),"ñ","n"),"à","a"),"è","e"),"ì","i"),"ò","o"),"ù","u"),"")</f>
        <v/>
      </c>
      <c r="R931" s="25">
        <f>IF(AND(L931=1,I931&lt;&gt;""),SUBSTITUTE(SUBSTITUTE(SUBSTITUTE(SUBSTITUTE(SUBSTITUTE(SUBSTITUTE(SUBSTITUTE(SUBSTITUTE(SUBSTITUTE(SUBSTITUTE(SUBSTITUTE(SUBSTITUTE(LOWER(TRIM(I931)),"á","a"),"é","e"),"í","i"),"ó","o"),"ú","u"),"ü","u"),"ñ","n"),"à","a"),"è","e"),"ì","i"),"ò","o"),"ù","u"),"")</f>
        <v/>
      </c>
      <c r="S931" s="25">
        <f>IF(R931="","",IF(OR(R931="si",R931="tal vez"),1,0))</f>
        <v/>
      </c>
      <c r="T931" s="25">
        <f>IF(AND(L931=1,D931&lt;&gt;""),IF(IFERROR(COUNTIFS(D$3:D931,"="&amp;SUBSTITUTE(SUBSTITUTE(SUBSTITUTE(D931,"~","~~"),"*","~*"),"?","~?"),L$3:L931,1),0)=1,MAX(T$2:T930)+1,""),"")</f>
        <v/>
      </c>
      <c r="U931" s="25">
        <f>IF(T931="","",COUNTIFS($D$3:$D$1002,"="&amp;SUBSTITUTE(SUBSTITUTE(SUBSTITUTE(D931,"~","~~"),"*","~*"),"?","~?"),$L$3:$L$1002,1)*10000-T931)</f>
        <v/>
      </c>
      <c r="V931" s="25">
        <f>IF(AND(L931=1,J931&lt;&gt;""),IF(IFERROR(COUNTIFS(J$3:J931,"="&amp;SUBSTITUTE(SUBSTITUTE(SUBSTITUTE(J931,"~","~~"),"*","~*"),"?","~?"),L$3:L931,1),0)=1,MAX(V$2:V930)+1,""),"")</f>
        <v/>
      </c>
      <c r="W931" s="25">
        <f>IF(V931="","",COUNTIFS($J$3:$J$1002,"="&amp;SUBSTITUTE(SUBSTITUTE(SUBSTITUTE(J931,"~","~~"),"*","~*"),"?","~?"),$L$3:$L$1002,1)*10000-V931)</f>
        <v/>
      </c>
    </row>
    <row r="932">
      <c r="A932">
        <f>IF(A$2=0,"",IFERROR(TRIM(INDEX('Pegar estudiantes'!$A$1:$BZ$1001,931,A$2)&amp;""),""))</f>
        <v/>
      </c>
      <c r="B932">
        <f>IF(B$2=0,"",IFERROR(TRIM(INDEX('Pegar estudiantes'!$A$1:$BZ$1001,931,B$2)&amp;""),""))</f>
        <v/>
      </c>
      <c r="C932">
        <f>IF(C$2=0,"",IFERROR(TRIM(INDEX('Pegar estudiantes'!$A$1:$BZ$1001,931,C$2)&amp;""),""))</f>
        <v/>
      </c>
      <c r="D932">
        <f>IF(D$2=0,"",IFERROR(TRIM(INDEX('Pegar estudiantes'!$A$1:$BZ$1001,931,D$2)&amp;""),""))</f>
        <v/>
      </c>
      <c r="E932">
        <f>IF(E$2=0,"",IFERROR(TRIM(INDEX('Pegar estudiantes'!$A$1:$BZ$1001,931,E$2)&amp;""),""))</f>
        <v/>
      </c>
      <c r="F932">
        <f>IF(F$2=0,"",IFERROR(TRIM(INDEX('Pegar estudiantes'!$A$1:$BZ$1001,931,F$2)&amp;""),""))</f>
        <v/>
      </c>
      <c r="G932">
        <f>IF(G$2=0,"",IFERROR(TRIM(INDEX('Pegar estudiantes'!$A$1:$BZ$1001,931,G$2)&amp;""),""))</f>
        <v/>
      </c>
      <c r="H932">
        <f>IF(H$2=0,"",IFERROR(TRIM(INDEX('Pegar estudiantes'!$A$1:$BZ$1001,931,H$2)&amp;""),""))</f>
        <v/>
      </c>
      <c r="I932">
        <f>IF(I$2=0,"",IFERROR(TRIM(INDEX('Pegar estudiantes'!$A$1:$BZ$1001,931,I$2)&amp;""),""))</f>
        <v/>
      </c>
      <c r="J932">
        <f>IF(J$2=0,"",IFERROR(TRIM(INDEX('Pegar estudiantes'!$A$1:$BZ$1001,931,J$2)&amp;""),""))</f>
        <v/>
      </c>
      <c r="K932">
        <f>IF(K$2=0,"",IFERROR(TRIM(INDEX('Pegar estudiantes'!$A$1:$BZ$1001,931,K$2)&amp;""),""))</f>
        <v/>
      </c>
      <c r="L932" s="25">
        <f>IF(A932&lt;&gt;"",1,"")</f>
        <v/>
      </c>
      <c r="M932" s="25">
        <f>IF(L932=1,IF(ISNUMBER(FIND("#"&amp;MID(A932,1,1)&amp;"#","#0#1#2#3#4#5#6#7#8#9#")),IF(ISNUMBER(FIND("#"&amp;MID(A932,2,1)&amp;"#","#0#1#2#3#4#5#6#7#8#9#")),IF(AND(VALUE(LEFT(A932,2))&gt;=1,VALUE(LEFT(A932,2))&lt;=5),VALUE(LEFT(A932,2)),""),IF(AND(VALUE(LEFT(A932,1))&gt;=1,VALUE(LEFT(A932,1))&lt;=5),VALUE(LEFT(A932,1)),"")),""),"")</f>
        <v/>
      </c>
      <c r="N932" s="25">
        <f>IF(L932=1,IF(ISNUMBER(FIND("#"&amp;MID(H932,1,1)&amp;"#","#0#1#2#3#4#5#6#7#8#9#")),IF(ISNUMBER(FIND("#"&amp;MID(H932,2,1)&amp;"#","#0#1#2#3#4#5#6#7#8#9#")),IF(AND(VALUE(LEFT(H932,2))&gt;=1,VALUE(LEFT(H932,2))&lt;=5),VALUE(LEFT(H932,2)),""),IF(AND(VALUE(LEFT(H932,1))&gt;=1,VALUE(LEFT(H932,1))&lt;=5),VALUE(LEFT(H932,1)),"")),""),"")</f>
        <v/>
      </c>
      <c r="O932" s="25">
        <f>IF(AND(L932=1,B932&lt;&gt;""),SUBSTITUTE(SUBSTITUTE(SUBSTITUTE(SUBSTITUTE(SUBSTITUTE(SUBSTITUTE(SUBSTITUTE(SUBSTITUTE(SUBSTITUTE(SUBSTITUTE(SUBSTITUTE(SUBSTITUTE(LOWER(TRIM(B932)),"á","a"),"é","e"),"í","i"),"ó","o"),"ú","u"),"ü","u"),"ñ","n"),"à","a"),"è","e"),"ì","i"),"ò","o"),"ù","u"),"")</f>
        <v/>
      </c>
      <c r="P932" s="25">
        <f>IF(AND(L932=1,C932&lt;&gt;""),SUBSTITUTE(SUBSTITUTE(SUBSTITUTE(SUBSTITUTE(SUBSTITUTE(SUBSTITUTE(SUBSTITUTE(SUBSTITUTE(SUBSTITUTE(SUBSTITUTE(SUBSTITUTE(SUBSTITUTE(LOWER(TRIM(C932)),"á","a"),"é","e"),"í","i"),"ó","o"),"ú","u"),"ü","u"),"ñ","n"),"à","a"),"è","e"),"ì","i"),"ò","o"),"ù","u"),"")</f>
        <v/>
      </c>
      <c r="Q932" s="25">
        <f>IF(AND(L932=1,E932&lt;&gt;""),SUBSTITUTE(SUBSTITUTE(SUBSTITUTE(SUBSTITUTE(SUBSTITUTE(SUBSTITUTE(SUBSTITUTE(SUBSTITUTE(SUBSTITUTE(SUBSTITUTE(SUBSTITUTE(SUBSTITUTE(LOWER(TRIM(E932)),"á","a"),"é","e"),"í","i"),"ó","o"),"ú","u"),"ü","u"),"ñ","n"),"à","a"),"è","e"),"ì","i"),"ò","o"),"ù","u"),"")</f>
        <v/>
      </c>
      <c r="R932" s="25">
        <f>IF(AND(L932=1,I932&lt;&gt;""),SUBSTITUTE(SUBSTITUTE(SUBSTITUTE(SUBSTITUTE(SUBSTITUTE(SUBSTITUTE(SUBSTITUTE(SUBSTITUTE(SUBSTITUTE(SUBSTITUTE(SUBSTITUTE(SUBSTITUTE(LOWER(TRIM(I932)),"á","a"),"é","e"),"í","i"),"ó","o"),"ú","u"),"ü","u"),"ñ","n"),"à","a"),"è","e"),"ì","i"),"ò","o"),"ù","u"),"")</f>
        <v/>
      </c>
      <c r="S932" s="25">
        <f>IF(R932="","",IF(OR(R932="si",R932="tal vez"),1,0))</f>
        <v/>
      </c>
      <c r="T932" s="25">
        <f>IF(AND(L932=1,D932&lt;&gt;""),IF(IFERROR(COUNTIFS(D$3:D932,"="&amp;SUBSTITUTE(SUBSTITUTE(SUBSTITUTE(D932,"~","~~"),"*","~*"),"?","~?"),L$3:L932,1),0)=1,MAX(T$2:T931)+1,""),"")</f>
        <v/>
      </c>
      <c r="U932" s="25">
        <f>IF(T932="","",COUNTIFS($D$3:$D$1002,"="&amp;SUBSTITUTE(SUBSTITUTE(SUBSTITUTE(D932,"~","~~"),"*","~*"),"?","~?"),$L$3:$L$1002,1)*10000-T932)</f>
        <v/>
      </c>
      <c r="V932" s="25">
        <f>IF(AND(L932=1,J932&lt;&gt;""),IF(IFERROR(COUNTIFS(J$3:J932,"="&amp;SUBSTITUTE(SUBSTITUTE(SUBSTITUTE(J932,"~","~~"),"*","~*"),"?","~?"),L$3:L932,1),0)=1,MAX(V$2:V931)+1,""),"")</f>
        <v/>
      </c>
      <c r="W932" s="25">
        <f>IF(V932="","",COUNTIFS($J$3:$J$1002,"="&amp;SUBSTITUTE(SUBSTITUTE(SUBSTITUTE(J932,"~","~~"),"*","~*"),"?","~?"),$L$3:$L$1002,1)*10000-V932)</f>
        <v/>
      </c>
    </row>
    <row r="933">
      <c r="A933">
        <f>IF(A$2=0,"",IFERROR(TRIM(INDEX('Pegar estudiantes'!$A$1:$BZ$1001,932,A$2)&amp;""),""))</f>
        <v/>
      </c>
      <c r="B933">
        <f>IF(B$2=0,"",IFERROR(TRIM(INDEX('Pegar estudiantes'!$A$1:$BZ$1001,932,B$2)&amp;""),""))</f>
        <v/>
      </c>
      <c r="C933">
        <f>IF(C$2=0,"",IFERROR(TRIM(INDEX('Pegar estudiantes'!$A$1:$BZ$1001,932,C$2)&amp;""),""))</f>
        <v/>
      </c>
      <c r="D933">
        <f>IF(D$2=0,"",IFERROR(TRIM(INDEX('Pegar estudiantes'!$A$1:$BZ$1001,932,D$2)&amp;""),""))</f>
        <v/>
      </c>
      <c r="E933">
        <f>IF(E$2=0,"",IFERROR(TRIM(INDEX('Pegar estudiantes'!$A$1:$BZ$1001,932,E$2)&amp;""),""))</f>
        <v/>
      </c>
      <c r="F933">
        <f>IF(F$2=0,"",IFERROR(TRIM(INDEX('Pegar estudiantes'!$A$1:$BZ$1001,932,F$2)&amp;""),""))</f>
        <v/>
      </c>
      <c r="G933">
        <f>IF(G$2=0,"",IFERROR(TRIM(INDEX('Pegar estudiantes'!$A$1:$BZ$1001,932,G$2)&amp;""),""))</f>
        <v/>
      </c>
      <c r="H933">
        <f>IF(H$2=0,"",IFERROR(TRIM(INDEX('Pegar estudiantes'!$A$1:$BZ$1001,932,H$2)&amp;""),""))</f>
        <v/>
      </c>
      <c r="I933">
        <f>IF(I$2=0,"",IFERROR(TRIM(INDEX('Pegar estudiantes'!$A$1:$BZ$1001,932,I$2)&amp;""),""))</f>
        <v/>
      </c>
      <c r="J933">
        <f>IF(J$2=0,"",IFERROR(TRIM(INDEX('Pegar estudiantes'!$A$1:$BZ$1001,932,J$2)&amp;""),""))</f>
        <v/>
      </c>
      <c r="K933">
        <f>IF(K$2=0,"",IFERROR(TRIM(INDEX('Pegar estudiantes'!$A$1:$BZ$1001,932,K$2)&amp;""),""))</f>
        <v/>
      </c>
      <c r="L933" s="25">
        <f>IF(A933&lt;&gt;"",1,"")</f>
        <v/>
      </c>
      <c r="M933" s="25">
        <f>IF(L933=1,IF(ISNUMBER(FIND("#"&amp;MID(A933,1,1)&amp;"#","#0#1#2#3#4#5#6#7#8#9#")),IF(ISNUMBER(FIND("#"&amp;MID(A933,2,1)&amp;"#","#0#1#2#3#4#5#6#7#8#9#")),IF(AND(VALUE(LEFT(A933,2))&gt;=1,VALUE(LEFT(A933,2))&lt;=5),VALUE(LEFT(A933,2)),""),IF(AND(VALUE(LEFT(A933,1))&gt;=1,VALUE(LEFT(A933,1))&lt;=5),VALUE(LEFT(A933,1)),"")),""),"")</f>
        <v/>
      </c>
      <c r="N933" s="25">
        <f>IF(L933=1,IF(ISNUMBER(FIND("#"&amp;MID(H933,1,1)&amp;"#","#0#1#2#3#4#5#6#7#8#9#")),IF(ISNUMBER(FIND("#"&amp;MID(H933,2,1)&amp;"#","#0#1#2#3#4#5#6#7#8#9#")),IF(AND(VALUE(LEFT(H933,2))&gt;=1,VALUE(LEFT(H933,2))&lt;=5),VALUE(LEFT(H933,2)),""),IF(AND(VALUE(LEFT(H933,1))&gt;=1,VALUE(LEFT(H933,1))&lt;=5),VALUE(LEFT(H933,1)),"")),""),"")</f>
        <v/>
      </c>
      <c r="O933" s="25">
        <f>IF(AND(L933=1,B933&lt;&gt;""),SUBSTITUTE(SUBSTITUTE(SUBSTITUTE(SUBSTITUTE(SUBSTITUTE(SUBSTITUTE(SUBSTITUTE(SUBSTITUTE(SUBSTITUTE(SUBSTITUTE(SUBSTITUTE(SUBSTITUTE(LOWER(TRIM(B933)),"á","a"),"é","e"),"í","i"),"ó","o"),"ú","u"),"ü","u"),"ñ","n"),"à","a"),"è","e"),"ì","i"),"ò","o"),"ù","u"),"")</f>
        <v/>
      </c>
      <c r="P933" s="25">
        <f>IF(AND(L933=1,C933&lt;&gt;""),SUBSTITUTE(SUBSTITUTE(SUBSTITUTE(SUBSTITUTE(SUBSTITUTE(SUBSTITUTE(SUBSTITUTE(SUBSTITUTE(SUBSTITUTE(SUBSTITUTE(SUBSTITUTE(SUBSTITUTE(LOWER(TRIM(C933)),"á","a"),"é","e"),"í","i"),"ó","o"),"ú","u"),"ü","u"),"ñ","n"),"à","a"),"è","e"),"ì","i"),"ò","o"),"ù","u"),"")</f>
        <v/>
      </c>
      <c r="Q933" s="25">
        <f>IF(AND(L933=1,E933&lt;&gt;""),SUBSTITUTE(SUBSTITUTE(SUBSTITUTE(SUBSTITUTE(SUBSTITUTE(SUBSTITUTE(SUBSTITUTE(SUBSTITUTE(SUBSTITUTE(SUBSTITUTE(SUBSTITUTE(SUBSTITUTE(LOWER(TRIM(E933)),"á","a"),"é","e"),"í","i"),"ó","o"),"ú","u"),"ü","u"),"ñ","n"),"à","a"),"è","e"),"ì","i"),"ò","o"),"ù","u"),"")</f>
        <v/>
      </c>
      <c r="R933" s="25">
        <f>IF(AND(L933=1,I933&lt;&gt;""),SUBSTITUTE(SUBSTITUTE(SUBSTITUTE(SUBSTITUTE(SUBSTITUTE(SUBSTITUTE(SUBSTITUTE(SUBSTITUTE(SUBSTITUTE(SUBSTITUTE(SUBSTITUTE(SUBSTITUTE(LOWER(TRIM(I933)),"á","a"),"é","e"),"í","i"),"ó","o"),"ú","u"),"ü","u"),"ñ","n"),"à","a"),"è","e"),"ì","i"),"ò","o"),"ù","u"),"")</f>
        <v/>
      </c>
      <c r="S933" s="25">
        <f>IF(R933="","",IF(OR(R933="si",R933="tal vez"),1,0))</f>
        <v/>
      </c>
      <c r="T933" s="25">
        <f>IF(AND(L933=1,D933&lt;&gt;""),IF(IFERROR(COUNTIFS(D$3:D933,"="&amp;SUBSTITUTE(SUBSTITUTE(SUBSTITUTE(D933,"~","~~"),"*","~*"),"?","~?"),L$3:L933,1),0)=1,MAX(T$2:T932)+1,""),"")</f>
        <v/>
      </c>
      <c r="U933" s="25">
        <f>IF(T933="","",COUNTIFS($D$3:$D$1002,"="&amp;SUBSTITUTE(SUBSTITUTE(SUBSTITUTE(D933,"~","~~"),"*","~*"),"?","~?"),$L$3:$L$1002,1)*10000-T933)</f>
        <v/>
      </c>
      <c r="V933" s="25">
        <f>IF(AND(L933=1,J933&lt;&gt;""),IF(IFERROR(COUNTIFS(J$3:J933,"="&amp;SUBSTITUTE(SUBSTITUTE(SUBSTITUTE(J933,"~","~~"),"*","~*"),"?","~?"),L$3:L933,1),0)=1,MAX(V$2:V932)+1,""),"")</f>
        <v/>
      </c>
      <c r="W933" s="25">
        <f>IF(V933="","",COUNTIFS($J$3:$J$1002,"="&amp;SUBSTITUTE(SUBSTITUTE(SUBSTITUTE(J933,"~","~~"),"*","~*"),"?","~?"),$L$3:$L$1002,1)*10000-V933)</f>
        <v/>
      </c>
    </row>
    <row r="934">
      <c r="A934">
        <f>IF(A$2=0,"",IFERROR(TRIM(INDEX('Pegar estudiantes'!$A$1:$BZ$1001,933,A$2)&amp;""),""))</f>
        <v/>
      </c>
      <c r="B934">
        <f>IF(B$2=0,"",IFERROR(TRIM(INDEX('Pegar estudiantes'!$A$1:$BZ$1001,933,B$2)&amp;""),""))</f>
        <v/>
      </c>
      <c r="C934">
        <f>IF(C$2=0,"",IFERROR(TRIM(INDEX('Pegar estudiantes'!$A$1:$BZ$1001,933,C$2)&amp;""),""))</f>
        <v/>
      </c>
      <c r="D934">
        <f>IF(D$2=0,"",IFERROR(TRIM(INDEX('Pegar estudiantes'!$A$1:$BZ$1001,933,D$2)&amp;""),""))</f>
        <v/>
      </c>
      <c r="E934">
        <f>IF(E$2=0,"",IFERROR(TRIM(INDEX('Pegar estudiantes'!$A$1:$BZ$1001,933,E$2)&amp;""),""))</f>
        <v/>
      </c>
      <c r="F934">
        <f>IF(F$2=0,"",IFERROR(TRIM(INDEX('Pegar estudiantes'!$A$1:$BZ$1001,933,F$2)&amp;""),""))</f>
        <v/>
      </c>
      <c r="G934">
        <f>IF(G$2=0,"",IFERROR(TRIM(INDEX('Pegar estudiantes'!$A$1:$BZ$1001,933,G$2)&amp;""),""))</f>
        <v/>
      </c>
      <c r="H934">
        <f>IF(H$2=0,"",IFERROR(TRIM(INDEX('Pegar estudiantes'!$A$1:$BZ$1001,933,H$2)&amp;""),""))</f>
        <v/>
      </c>
      <c r="I934">
        <f>IF(I$2=0,"",IFERROR(TRIM(INDEX('Pegar estudiantes'!$A$1:$BZ$1001,933,I$2)&amp;""),""))</f>
        <v/>
      </c>
      <c r="J934">
        <f>IF(J$2=0,"",IFERROR(TRIM(INDEX('Pegar estudiantes'!$A$1:$BZ$1001,933,J$2)&amp;""),""))</f>
        <v/>
      </c>
      <c r="K934">
        <f>IF(K$2=0,"",IFERROR(TRIM(INDEX('Pegar estudiantes'!$A$1:$BZ$1001,933,K$2)&amp;""),""))</f>
        <v/>
      </c>
      <c r="L934" s="25">
        <f>IF(A934&lt;&gt;"",1,"")</f>
        <v/>
      </c>
      <c r="M934" s="25">
        <f>IF(L934=1,IF(ISNUMBER(FIND("#"&amp;MID(A934,1,1)&amp;"#","#0#1#2#3#4#5#6#7#8#9#")),IF(ISNUMBER(FIND("#"&amp;MID(A934,2,1)&amp;"#","#0#1#2#3#4#5#6#7#8#9#")),IF(AND(VALUE(LEFT(A934,2))&gt;=1,VALUE(LEFT(A934,2))&lt;=5),VALUE(LEFT(A934,2)),""),IF(AND(VALUE(LEFT(A934,1))&gt;=1,VALUE(LEFT(A934,1))&lt;=5),VALUE(LEFT(A934,1)),"")),""),"")</f>
        <v/>
      </c>
      <c r="N934" s="25">
        <f>IF(L934=1,IF(ISNUMBER(FIND("#"&amp;MID(H934,1,1)&amp;"#","#0#1#2#3#4#5#6#7#8#9#")),IF(ISNUMBER(FIND("#"&amp;MID(H934,2,1)&amp;"#","#0#1#2#3#4#5#6#7#8#9#")),IF(AND(VALUE(LEFT(H934,2))&gt;=1,VALUE(LEFT(H934,2))&lt;=5),VALUE(LEFT(H934,2)),""),IF(AND(VALUE(LEFT(H934,1))&gt;=1,VALUE(LEFT(H934,1))&lt;=5),VALUE(LEFT(H934,1)),"")),""),"")</f>
        <v/>
      </c>
      <c r="O934" s="25">
        <f>IF(AND(L934=1,B934&lt;&gt;""),SUBSTITUTE(SUBSTITUTE(SUBSTITUTE(SUBSTITUTE(SUBSTITUTE(SUBSTITUTE(SUBSTITUTE(SUBSTITUTE(SUBSTITUTE(SUBSTITUTE(SUBSTITUTE(SUBSTITUTE(LOWER(TRIM(B934)),"á","a"),"é","e"),"í","i"),"ó","o"),"ú","u"),"ü","u"),"ñ","n"),"à","a"),"è","e"),"ì","i"),"ò","o"),"ù","u"),"")</f>
        <v/>
      </c>
      <c r="P934" s="25">
        <f>IF(AND(L934=1,C934&lt;&gt;""),SUBSTITUTE(SUBSTITUTE(SUBSTITUTE(SUBSTITUTE(SUBSTITUTE(SUBSTITUTE(SUBSTITUTE(SUBSTITUTE(SUBSTITUTE(SUBSTITUTE(SUBSTITUTE(SUBSTITUTE(LOWER(TRIM(C934)),"á","a"),"é","e"),"í","i"),"ó","o"),"ú","u"),"ü","u"),"ñ","n"),"à","a"),"è","e"),"ì","i"),"ò","o"),"ù","u"),"")</f>
        <v/>
      </c>
      <c r="Q934" s="25">
        <f>IF(AND(L934=1,E934&lt;&gt;""),SUBSTITUTE(SUBSTITUTE(SUBSTITUTE(SUBSTITUTE(SUBSTITUTE(SUBSTITUTE(SUBSTITUTE(SUBSTITUTE(SUBSTITUTE(SUBSTITUTE(SUBSTITUTE(SUBSTITUTE(LOWER(TRIM(E934)),"á","a"),"é","e"),"í","i"),"ó","o"),"ú","u"),"ü","u"),"ñ","n"),"à","a"),"è","e"),"ì","i"),"ò","o"),"ù","u"),"")</f>
        <v/>
      </c>
      <c r="R934" s="25">
        <f>IF(AND(L934=1,I934&lt;&gt;""),SUBSTITUTE(SUBSTITUTE(SUBSTITUTE(SUBSTITUTE(SUBSTITUTE(SUBSTITUTE(SUBSTITUTE(SUBSTITUTE(SUBSTITUTE(SUBSTITUTE(SUBSTITUTE(SUBSTITUTE(LOWER(TRIM(I934)),"á","a"),"é","e"),"í","i"),"ó","o"),"ú","u"),"ü","u"),"ñ","n"),"à","a"),"è","e"),"ì","i"),"ò","o"),"ù","u"),"")</f>
        <v/>
      </c>
      <c r="S934" s="25">
        <f>IF(R934="","",IF(OR(R934="si",R934="tal vez"),1,0))</f>
        <v/>
      </c>
      <c r="T934" s="25">
        <f>IF(AND(L934=1,D934&lt;&gt;""),IF(IFERROR(COUNTIFS(D$3:D934,"="&amp;SUBSTITUTE(SUBSTITUTE(SUBSTITUTE(D934,"~","~~"),"*","~*"),"?","~?"),L$3:L934,1),0)=1,MAX(T$2:T933)+1,""),"")</f>
        <v/>
      </c>
      <c r="U934" s="25">
        <f>IF(T934="","",COUNTIFS($D$3:$D$1002,"="&amp;SUBSTITUTE(SUBSTITUTE(SUBSTITUTE(D934,"~","~~"),"*","~*"),"?","~?"),$L$3:$L$1002,1)*10000-T934)</f>
        <v/>
      </c>
      <c r="V934" s="25">
        <f>IF(AND(L934=1,J934&lt;&gt;""),IF(IFERROR(COUNTIFS(J$3:J934,"="&amp;SUBSTITUTE(SUBSTITUTE(SUBSTITUTE(J934,"~","~~"),"*","~*"),"?","~?"),L$3:L934,1),0)=1,MAX(V$2:V933)+1,""),"")</f>
        <v/>
      </c>
      <c r="W934" s="25">
        <f>IF(V934="","",COUNTIFS($J$3:$J$1002,"="&amp;SUBSTITUTE(SUBSTITUTE(SUBSTITUTE(J934,"~","~~"),"*","~*"),"?","~?"),$L$3:$L$1002,1)*10000-V934)</f>
        <v/>
      </c>
    </row>
    <row r="935">
      <c r="A935">
        <f>IF(A$2=0,"",IFERROR(TRIM(INDEX('Pegar estudiantes'!$A$1:$BZ$1001,934,A$2)&amp;""),""))</f>
        <v/>
      </c>
      <c r="B935">
        <f>IF(B$2=0,"",IFERROR(TRIM(INDEX('Pegar estudiantes'!$A$1:$BZ$1001,934,B$2)&amp;""),""))</f>
        <v/>
      </c>
      <c r="C935">
        <f>IF(C$2=0,"",IFERROR(TRIM(INDEX('Pegar estudiantes'!$A$1:$BZ$1001,934,C$2)&amp;""),""))</f>
        <v/>
      </c>
      <c r="D935">
        <f>IF(D$2=0,"",IFERROR(TRIM(INDEX('Pegar estudiantes'!$A$1:$BZ$1001,934,D$2)&amp;""),""))</f>
        <v/>
      </c>
      <c r="E935">
        <f>IF(E$2=0,"",IFERROR(TRIM(INDEX('Pegar estudiantes'!$A$1:$BZ$1001,934,E$2)&amp;""),""))</f>
        <v/>
      </c>
      <c r="F935">
        <f>IF(F$2=0,"",IFERROR(TRIM(INDEX('Pegar estudiantes'!$A$1:$BZ$1001,934,F$2)&amp;""),""))</f>
        <v/>
      </c>
      <c r="G935">
        <f>IF(G$2=0,"",IFERROR(TRIM(INDEX('Pegar estudiantes'!$A$1:$BZ$1001,934,G$2)&amp;""),""))</f>
        <v/>
      </c>
      <c r="H935">
        <f>IF(H$2=0,"",IFERROR(TRIM(INDEX('Pegar estudiantes'!$A$1:$BZ$1001,934,H$2)&amp;""),""))</f>
        <v/>
      </c>
      <c r="I935">
        <f>IF(I$2=0,"",IFERROR(TRIM(INDEX('Pegar estudiantes'!$A$1:$BZ$1001,934,I$2)&amp;""),""))</f>
        <v/>
      </c>
      <c r="J935">
        <f>IF(J$2=0,"",IFERROR(TRIM(INDEX('Pegar estudiantes'!$A$1:$BZ$1001,934,J$2)&amp;""),""))</f>
        <v/>
      </c>
      <c r="K935">
        <f>IF(K$2=0,"",IFERROR(TRIM(INDEX('Pegar estudiantes'!$A$1:$BZ$1001,934,K$2)&amp;""),""))</f>
        <v/>
      </c>
      <c r="L935" s="25">
        <f>IF(A935&lt;&gt;"",1,"")</f>
        <v/>
      </c>
      <c r="M935" s="25">
        <f>IF(L935=1,IF(ISNUMBER(FIND("#"&amp;MID(A935,1,1)&amp;"#","#0#1#2#3#4#5#6#7#8#9#")),IF(ISNUMBER(FIND("#"&amp;MID(A935,2,1)&amp;"#","#0#1#2#3#4#5#6#7#8#9#")),IF(AND(VALUE(LEFT(A935,2))&gt;=1,VALUE(LEFT(A935,2))&lt;=5),VALUE(LEFT(A935,2)),""),IF(AND(VALUE(LEFT(A935,1))&gt;=1,VALUE(LEFT(A935,1))&lt;=5),VALUE(LEFT(A935,1)),"")),""),"")</f>
        <v/>
      </c>
      <c r="N935" s="25">
        <f>IF(L935=1,IF(ISNUMBER(FIND("#"&amp;MID(H935,1,1)&amp;"#","#0#1#2#3#4#5#6#7#8#9#")),IF(ISNUMBER(FIND("#"&amp;MID(H935,2,1)&amp;"#","#0#1#2#3#4#5#6#7#8#9#")),IF(AND(VALUE(LEFT(H935,2))&gt;=1,VALUE(LEFT(H935,2))&lt;=5),VALUE(LEFT(H935,2)),""),IF(AND(VALUE(LEFT(H935,1))&gt;=1,VALUE(LEFT(H935,1))&lt;=5),VALUE(LEFT(H935,1)),"")),""),"")</f>
        <v/>
      </c>
      <c r="O935" s="25">
        <f>IF(AND(L935=1,B935&lt;&gt;""),SUBSTITUTE(SUBSTITUTE(SUBSTITUTE(SUBSTITUTE(SUBSTITUTE(SUBSTITUTE(SUBSTITUTE(SUBSTITUTE(SUBSTITUTE(SUBSTITUTE(SUBSTITUTE(SUBSTITUTE(LOWER(TRIM(B935)),"á","a"),"é","e"),"í","i"),"ó","o"),"ú","u"),"ü","u"),"ñ","n"),"à","a"),"è","e"),"ì","i"),"ò","o"),"ù","u"),"")</f>
        <v/>
      </c>
      <c r="P935" s="25">
        <f>IF(AND(L935=1,C935&lt;&gt;""),SUBSTITUTE(SUBSTITUTE(SUBSTITUTE(SUBSTITUTE(SUBSTITUTE(SUBSTITUTE(SUBSTITUTE(SUBSTITUTE(SUBSTITUTE(SUBSTITUTE(SUBSTITUTE(SUBSTITUTE(LOWER(TRIM(C935)),"á","a"),"é","e"),"í","i"),"ó","o"),"ú","u"),"ü","u"),"ñ","n"),"à","a"),"è","e"),"ì","i"),"ò","o"),"ù","u"),"")</f>
        <v/>
      </c>
      <c r="Q935" s="25">
        <f>IF(AND(L935=1,E935&lt;&gt;""),SUBSTITUTE(SUBSTITUTE(SUBSTITUTE(SUBSTITUTE(SUBSTITUTE(SUBSTITUTE(SUBSTITUTE(SUBSTITUTE(SUBSTITUTE(SUBSTITUTE(SUBSTITUTE(SUBSTITUTE(LOWER(TRIM(E935)),"á","a"),"é","e"),"í","i"),"ó","o"),"ú","u"),"ü","u"),"ñ","n"),"à","a"),"è","e"),"ì","i"),"ò","o"),"ù","u"),"")</f>
        <v/>
      </c>
      <c r="R935" s="25">
        <f>IF(AND(L935=1,I935&lt;&gt;""),SUBSTITUTE(SUBSTITUTE(SUBSTITUTE(SUBSTITUTE(SUBSTITUTE(SUBSTITUTE(SUBSTITUTE(SUBSTITUTE(SUBSTITUTE(SUBSTITUTE(SUBSTITUTE(SUBSTITUTE(LOWER(TRIM(I935)),"á","a"),"é","e"),"í","i"),"ó","o"),"ú","u"),"ü","u"),"ñ","n"),"à","a"),"è","e"),"ì","i"),"ò","o"),"ù","u"),"")</f>
        <v/>
      </c>
      <c r="S935" s="25">
        <f>IF(R935="","",IF(OR(R935="si",R935="tal vez"),1,0))</f>
        <v/>
      </c>
      <c r="T935" s="25">
        <f>IF(AND(L935=1,D935&lt;&gt;""),IF(IFERROR(COUNTIFS(D$3:D935,"="&amp;SUBSTITUTE(SUBSTITUTE(SUBSTITUTE(D935,"~","~~"),"*","~*"),"?","~?"),L$3:L935,1),0)=1,MAX(T$2:T934)+1,""),"")</f>
        <v/>
      </c>
      <c r="U935" s="25">
        <f>IF(T935="","",COUNTIFS($D$3:$D$1002,"="&amp;SUBSTITUTE(SUBSTITUTE(SUBSTITUTE(D935,"~","~~"),"*","~*"),"?","~?"),$L$3:$L$1002,1)*10000-T935)</f>
        <v/>
      </c>
      <c r="V935" s="25">
        <f>IF(AND(L935=1,J935&lt;&gt;""),IF(IFERROR(COUNTIFS(J$3:J935,"="&amp;SUBSTITUTE(SUBSTITUTE(SUBSTITUTE(J935,"~","~~"),"*","~*"),"?","~?"),L$3:L935,1),0)=1,MAX(V$2:V934)+1,""),"")</f>
        <v/>
      </c>
      <c r="W935" s="25">
        <f>IF(V935="","",COUNTIFS($J$3:$J$1002,"="&amp;SUBSTITUTE(SUBSTITUTE(SUBSTITUTE(J935,"~","~~"),"*","~*"),"?","~?"),$L$3:$L$1002,1)*10000-V935)</f>
        <v/>
      </c>
    </row>
    <row r="936">
      <c r="A936">
        <f>IF(A$2=0,"",IFERROR(TRIM(INDEX('Pegar estudiantes'!$A$1:$BZ$1001,935,A$2)&amp;""),""))</f>
        <v/>
      </c>
      <c r="B936">
        <f>IF(B$2=0,"",IFERROR(TRIM(INDEX('Pegar estudiantes'!$A$1:$BZ$1001,935,B$2)&amp;""),""))</f>
        <v/>
      </c>
      <c r="C936">
        <f>IF(C$2=0,"",IFERROR(TRIM(INDEX('Pegar estudiantes'!$A$1:$BZ$1001,935,C$2)&amp;""),""))</f>
        <v/>
      </c>
      <c r="D936">
        <f>IF(D$2=0,"",IFERROR(TRIM(INDEX('Pegar estudiantes'!$A$1:$BZ$1001,935,D$2)&amp;""),""))</f>
        <v/>
      </c>
      <c r="E936">
        <f>IF(E$2=0,"",IFERROR(TRIM(INDEX('Pegar estudiantes'!$A$1:$BZ$1001,935,E$2)&amp;""),""))</f>
        <v/>
      </c>
      <c r="F936">
        <f>IF(F$2=0,"",IFERROR(TRIM(INDEX('Pegar estudiantes'!$A$1:$BZ$1001,935,F$2)&amp;""),""))</f>
        <v/>
      </c>
      <c r="G936">
        <f>IF(G$2=0,"",IFERROR(TRIM(INDEX('Pegar estudiantes'!$A$1:$BZ$1001,935,G$2)&amp;""),""))</f>
        <v/>
      </c>
      <c r="H936">
        <f>IF(H$2=0,"",IFERROR(TRIM(INDEX('Pegar estudiantes'!$A$1:$BZ$1001,935,H$2)&amp;""),""))</f>
        <v/>
      </c>
      <c r="I936">
        <f>IF(I$2=0,"",IFERROR(TRIM(INDEX('Pegar estudiantes'!$A$1:$BZ$1001,935,I$2)&amp;""),""))</f>
        <v/>
      </c>
      <c r="J936">
        <f>IF(J$2=0,"",IFERROR(TRIM(INDEX('Pegar estudiantes'!$A$1:$BZ$1001,935,J$2)&amp;""),""))</f>
        <v/>
      </c>
      <c r="K936">
        <f>IF(K$2=0,"",IFERROR(TRIM(INDEX('Pegar estudiantes'!$A$1:$BZ$1001,935,K$2)&amp;""),""))</f>
        <v/>
      </c>
      <c r="L936" s="25">
        <f>IF(A936&lt;&gt;"",1,"")</f>
        <v/>
      </c>
      <c r="M936" s="25">
        <f>IF(L936=1,IF(ISNUMBER(FIND("#"&amp;MID(A936,1,1)&amp;"#","#0#1#2#3#4#5#6#7#8#9#")),IF(ISNUMBER(FIND("#"&amp;MID(A936,2,1)&amp;"#","#0#1#2#3#4#5#6#7#8#9#")),IF(AND(VALUE(LEFT(A936,2))&gt;=1,VALUE(LEFT(A936,2))&lt;=5),VALUE(LEFT(A936,2)),""),IF(AND(VALUE(LEFT(A936,1))&gt;=1,VALUE(LEFT(A936,1))&lt;=5),VALUE(LEFT(A936,1)),"")),""),"")</f>
        <v/>
      </c>
      <c r="N936" s="25">
        <f>IF(L936=1,IF(ISNUMBER(FIND("#"&amp;MID(H936,1,1)&amp;"#","#0#1#2#3#4#5#6#7#8#9#")),IF(ISNUMBER(FIND("#"&amp;MID(H936,2,1)&amp;"#","#0#1#2#3#4#5#6#7#8#9#")),IF(AND(VALUE(LEFT(H936,2))&gt;=1,VALUE(LEFT(H936,2))&lt;=5),VALUE(LEFT(H936,2)),""),IF(AND(VALUE(LEFT(H936,1))&gt;=1,VALUE(LEFT(H936,1))&lt;=5),VALUE(LEFT(H936,1)),"")),""),"")</f>
        <v/>
      </c>
      <c r="O936" s="25">
        <f>IF(AND(L936=1,B936&lt;&gt;""),SUBSTITUTE(SUBSTITUTE(SUBSTITUTE(SUBSTITUTE(SUBSTITUTE(SUBSTITUTE(SUBSTITUTE(SUBSTITUTE(SUBSTITUTE(SUBSTITUTE(SUBSTITUTE(SUBSTITUTE(LOWER(TRIM(B936)),"á","a"),"é","e"),"í","i"),"ó","o"),"ú","u"),"ü","u"),"ñ","n"),"à","a"),"è","e"),"ì","i"),"ò","o"),"ù","u"),"")</f>
        <v/>
      </c>
      <c r="P936" s="25">
        <f>IF(AND(L936=1,C936&lt;&gt;""),SUBSTITUTE(SUBSTITUTE(SUBSTITUTE(SUBSTITUTE(SUBSTITUTE(SUBSTITUTE(SUBSTITUTE(SUBSTITUTE(SUBSTITUTE(SUBSTITUTE(SUBSTITUTE(SUBSTITUTE(LOWER(TRIM(C936)),"á","a"),"é","e"),"í","i"),"ó","o"),"ú","u"),"ü","u"),"ñ","n"),"à","a"),"è","e"),"ì","i"),"ò","o"),"ù","u"),"")</f>
        <v/>
      </c>
      <c r="Q936" s="25">
        <f>IF(AND(L936=1,E936&lt;&gt;""),SUBSTITUTE(SUBSTITUTE(SUBSTITUTE(SUBSTITUTE(SUBSTITUTE(SUBSTITUTE(SUBSTITUTE(SUBSTITUTE(SUBSTITUTE(SUBSTITUTE(SUBSTITUTE(SUBSTITUTE(LOWER(TRIM(E936)),"á","a"),"é","e"),"í","i"),"ó","o"),"ú","u"),"ü","u"),"ñ","n"),"à","a"),"è","e"),"ì","i"),"ò","o"),"ù","u"),"")</f>
        <v/>
      </c>
      <c r="R936" s="25">
        <f>IF(AND(L936=1,I936&lt;&gt;""),SUBSTITUTE(SUBSTITUTE(SUBSTITUTE(SUBSTITUTE(SUBSTITUTE(SUBSTITUTE(SUBSTITUTE(SUBSTITUTE(SUBSTITUTE(SUBSTITUTE(SUBSTITUTE(SUBSTITUTE(LOWER(TRIM(I936)),"á","a"),"é","e"),"í","i"),"ó","o"),"ú","u"),"ü","u"),"ñ","n"),"à","a"),"è","e"),"ì","i"),"ò","o"),"ù","u"),"")</f>
        <v/>
      </c>
      <c r="S936" s="25">
        <f>IF(R936="","",IF(OR(R936="si",R936="tal vez"),1,0))</f>
        <v/>
      </c>
      <c r="T936" s="25">
        <f>IF(AND(L936=1,D936&lt;&gt;""),IF(IFERROR(COUNTIFS(D$3:D936,"="&amp;SUBSTITUTE(SUBSTITUTE(SUBSTITUTE(D936,"~","~~"),"*","~*"),"?","~?"),L$3:L936,1),0)=1,MAX(T$2:T935)+1,""),"")</f>
        <v/>
      </c>
      <c r="U936" s="25">
        <f>IF(T936="","",COUNTIFS($D$3:$D$1002,"="&amp;SUBSTITUTE(SUBSTITUTE(SUBSTITUTE(D936,"~","~~"),"*","~*"),"?","~?"),$L$3:$L$1002,1)*10000-T936)</f>
        <v/>
      </c>
      <c r="V936" s="25">
        <f>IF(AND(L936=1,J936&lt;&gt;""),IF(IFERROR(COUNTIFS(J$3:J936,"="&amp;SUBSTITUTE(SUBSTITUTE(SUBSTITUTE(J936,"~","~~"),"*","~*"),"?","~?"),L$3:L936,1),0)=1,MAX(V$2:V935)+1,""),"")</f>
        <v/>
      </c>
      <c r="W936" s="25">
        <f>IF(V936="","",COUNTIFS($J$3:$J$1002,"="&amp;SUBSTITUTE(SUBSTITUTE(SUBSTITUTE(J936,"~","~~"),"*","~*"),"?","~?"),$L$3:$L$1002,1)*10000-V936)</f>
        <v/>
      </c>
    </row>
    <row r="937">
      <c r="A937">
        <f>IF(A$2=0,"",IFERROR(TRIM(INDEX('Pegar estudiantes'!$A$1:$BZ$1001,936,A$2)&amp;""),""))</f>
        <v/>
      </c>
      <c r="B937">
        <f>IF(B$2=0,"",IFERROR(TRIM(INDEX('Pegar estudiantes'!$A$1:$BZ$1001,936,B$2)&amp;""),""))</f>
        <v/>
      </c>
      <c r="C937">
        <f>IF(C$2=0,"",IFERROR(TRIM(INDEX('Pegar estudiantes'!$A$1:$BZ$1001,936,C$2)&amp;""),""))</f>
        <v/>
      </c>
      <c r="D937">
        <f>IF(D$2=0,"",IFERROR(TRIM(INDEX('Pegar estudiantes'!$A$1:$BZ$1001,936,D$2)&amp;""),""))</f>
        <v/>
      </c>
      <c r="E937">
        <f>IF(E$2=0,"",IFERROR(TRIM(INDEX('Pegar estudiantes'!$A$1:$BZ$1001,936,E$2)&amp;""),""))</f>
        <v/>
      </c>
      <c r="F937">
        <f>IF(F$2=0,"",IFERROR(TRIM(INDEX('Pegar estudiantes'!$A$1:$BZ$1001,936,F$2)&amp;""),""))</f>
        <v/>
      </c>
      <c r="G937">
        <f>IF(G$2=0,"",IFERROR(TRIM(INDEX('Pegar estudiantes'!$A$1:$BZ$1001,936,G$2)&amp;""),""))</f>
        <v/>
      </c>
      <c r="H937">
        <f>IF(H$2=0,"",IFERROR(TRIM(INDEX('Pegar estudiantes'!$A$1:$BZ$1001,936,H$2)&amp;""),""))</f>
        <v/>
      </c>
      <c r="I937">
        <f>IF(I$2=0,"",IFERROR(TRIM(INDEX('Pegar estudiantes'!$A$1:$BZ$1001,936,I$2)&amp;""),""))</f>
        <v/>
      </c>
      <c r="J937">
        <f>IF(J$2=0,"",IFERROR(TRIM(INDEX('Pegar estudiantes'!$A$1:$BZ$1001,936,J$2)&amp;""),""))</f>
        <v/>
      </c>
      <c r="K937">
        <f>IF(K$2=0,"",IFERROR(TRIM(INDEX('Pegar estudiantes'!$A$1:$BZ$1001,936,K$2)&amp;""),""))</f>
        <v/>
      </c>
      <c r="L937" s="25">
        <f>IF(A937&lt;&gt;"",1,"")</f>
        <v/>
      </c>
      <c r="M937" s="25">
        <f>IF(L937=1,IF(ISNUMBER(FIND("#"&amp;MID(A937,1,1)&amp;"#","#0#1#2#3#4#5#6#7#8#9#")),IF(ISNUMBER(FIND("#"&amp;MID(A937,2,1)&amp;"#","#0#1#2#3#4#5#6#7#8#9#")),IF(AND(VALUE(LEFT(A937,2))&gt;=1,VALUE(LEFT(A937,2))&lt;=5),VALUE(LEFT(A937,2)),""),IF(AND(VALUE(LEFT(A937,1))&gt;=1,VALUE(LEFT(A937,1))&lt;=5),VALUE(LEFT(A937,1)),"")),""),"")</f>
        <v/>
      </c>
      <c r="N937" s="25">
        <f>IF(L937=1,IF(ISNUMBER(FIND("#"&amp;MID(H937,1,1)&amp;"#","#0#1#2#3#4#5#6#7#8#9#")),IF(ISNUMBER(FIND("#"&amp;MID(H937,2,1)&amp;"#","#0#1#2#3#4#5#6#7#8#9#")),IF(AND(VALUE(LEFT(H937,2))&gt;=1,VALUE(LEFT(H937,2))&lt;=5),VALUE(LEFT(H937,2)),""),IF(AND(VALUE(LEFT(H937,1))&gt;=1,VALUE(LEFT(H937,1))&lt;=5),VALUE(LEFT(H937,1)),"")),""),"")</f>
        <v/>
      </c>
      <c r="O937" s="25">
        <f>IF(AND(L937=1,B937&lt;&gt;""),SUBSTITUTE(SUBSTITUTE(SUBSTITUTE(SUBSTITUTE(SUBSTITUTE(SUBSTITUTE(SUBSTITUTE(SUBSTITUTE(SUBSTITUTE(SUBSTITUTE(SUBSTITUTE(SUBSTITUTE(LOWER(TRIM(B937)),"á","a"),"é","e"),"í","i"),"ó","o"),"ú","u"),"ü","u"),"ñ","n"),"à","a"),"è","e"),"ì","i"),"ò","o"),"ù","u"),"")</f>
        <v/>
      </c>
      <c r="P937" s="25">
        <f>IF(AND(L937=1,C937&lt;&gt;""),SUBSTITUTE(SUBSTITUTE(SUBSTITUTE(SUBSTITUTE(SUBSTITUTE(SUBSTITUTE(SUBSTITUTE(SUBSTITUTE(SUBSTITUTE(SUBSTITUTE(SUBSTITUTE(SUBSTITUTE(LOWER(TRIM(C937)),"á","a"),"é","e"),"í","i"),"ó","o"),"ú","u"),"ü","u"),"ñ","n"),"à","a"),"è","e"),"ì","i"),"ò","o"),"ù","u"),"")</f>
        <v/>
      </c>
      <c r="Q937" s="25">
        <f>IF(AND(L937=1,E937&lt;&gt;""),SUBSTITUTE(SUBSTITUTE(SUBSTITUTE(SUBSTITUTE(SUBSTITUTE(SUBSTITUTE(SUBSTITUTE(SUBSTITUTE(SUBSTITUTE(SUBSTITUTE(SUBSTITUTE(SUBSTITUTE(LOWER(TRIM(E937)),"á","a"),"é","e"),"í","i"),"ó","o"),"ú","u"),"ü","u"),"ñ","n"),"à","a"),"è","e"),"ì","i"),"ò","o"),"ù","u"),"")</f>
        <v/>
      </c>
      <c r="R937" s="25">
        <f>IF(AND(L937=1,I937&lt;&gt;""),SUBSTITUTE(SUBSTITUTE(SUBSTITUTE(SUBSTITUTE(SUBSTITUTE(SUBSTITUTE(SUBSTITUTE(SUBSTITUTE(SUBSTITUTE(SUBSTITUTE(SUBSTITUTE(SUBSTITUTE(LOWER(TRIM(I937)),"á","a"),"é","e"),"í","i"),"ó","o"),"ú","u"),"ü","u"),"ñ","n"),"à","a"),"è","e"),"ì","i"),"ò","o"),"ù","u"),"")</f>
        <v/>
      </c>
      <c r="S937" s="25">
        <f>IF(R937="","",IF(OR(R937="si",R937="tal vez"),1,0))</f>
        <v/>
      </c>
      <c r="T937" s="25">
        <f>IF(AND(L937=1,D937&lt;&gt;""),IF(IFERROR(COUNTIFS(D$3:D937,"="&amp;SUBSTITUTE(SUBSTITUTE(SUBSTITUTE(D937,"~","~~"),"*","~*"),"?","~?"),L$3:L937,1),0)=1,MAX(T$2:T936)+1,""),"")</f>
        <v/>
      </c>
      <c r="U937" s="25">
        <f>IF(T937="","",COUNTIFS($D$3:$D$1002,"="&amp;SUBSTITUTE(SUBSTITUTE(SUBSTITUTE(D937,"~","~~"),"*","~*"),"?","~?"),$L$3:$L$1002,1)*10000-T937)</f>
        <v/>
      </c>
      <c r="V937" s="25">
        <f>IF(AND(L937=1,J937&lt;&gt;""),IF(IFERROR(COUNTIFS(J$3:J937,"="&amp;SUBSTITUTE(SUBSTITUTE(SUBSTITUTE(J937,"~","~~"),"*","~*"),"?","~?"),L$3:L937,1),0)=1,MAX(V$2:V936)+1,""),"")</f>
        <v/>
      </c>
      <c r="W937" s="25">
        <f>IF(V937="","",COUNTIFS($J$3:$J$1002,"="&amp;SUBSTITUTE(SUBSTITUTE(SUBSTITUTE(J937,"~","~~"),"*","~*"),"?","~?"),$L$3:$L$1002,1)*10000-V937)</f>
        <v/>
      </c>
    </row>
    <row r="938">
      <c r="A938">
        <f>IF(A$2=0,"",IFERROR(TRIM(INDEX('Pegar estudiantes'!$A$1:$BZ$1001,937,A$2)&amp;""),""))</f>
        <v/>
      </c>
      <c r="B938">
        <f>IF(B$2=0,"",IFERROR(TRIM(INDEX('Pegar estudiantes'!$A$1:$BZ$1001,937,B$2)&amp;""),""))</f>
        <v/>
      </c>
      <c r="C938">
        <f>IF(C$2=0,"",IFERROR(TRIM(INDEX('Pegar estudiantes'!$A$1:$BZ$1001,937,C$2)&amp;""),""))</f>
        <v/>
      </c>
      <c r="D938">
        <f>IF(D$2=0,"",IFERROR(TRIM(INDEX('Pegar estudiantes'!$A$1:$BZ$1001,937,D$2)&amp;""),""))</f>
        <v/>
      </c>
      <c r="E938">
        <f>IF(E$2=0,"",IFERROR(TRIM(INDEX('Pegar estudiantes'!$A$1:$BZ$1001,937,E$2)&amp;""),""))</f>
        <v/>
      </c>
      <c r="F938">
        <f>IF(F$2=0,"",IFERROR(TRIM(INDEX('Pegar estudiantes'!$A$1:$BZ$1001,937,F$2)&amp;""),""))</f>
        <v/>
      </c>
      <c r="G938">
        <f>IF(G$2=0,"",IFERROR(TRIM(INDEX('Pegar estudiantes'!$A$1:$BZ$1001,937,G$2)&amp;""),""))</f>
        <v/>
      </c>
      <c r="H938">
        <f>IF(H$2=0,"",IFERROR(TRIM(INDEX('Pegar estudiantes'!$A$1:$BZ$1001,937,H$2)&amp;""),""))</f>
        <v/>
      </c>
      <c r="I938">
        <f>IF(I$2=0,"",IFERROR(TRIM(INDEX('Pegar estudiantes'!$A$1:$BZ$1001,937,I$2)&amp;""),""))</f>
        <v/>
      </c>
      <c r="J938">
        <f>IF(J$2=0,"",IFERROR(TRIM(INDEX('Pegar estudiantes'!$A$1:$BZ$1001,937,J$2)&amp;""),""))</f>
        <v/>
      </c>
      <c r="K938">
        <f>IF(K$2=0,"",IFERROR(TRIM(INDEX('Pegar estudiantes'!$A$1:$BZ$1001,937,K$2)&amp;""),""))</f>
        <v/>
      </c>
      <c r="L938" s="25">
        <f>IF(A938&lt;&gt;"",1,"")</f>
        <v/>
      </c>
      <c r="M938" s="25">
        <f>IF(L938=1,IF(ISNUMBER(FIND("#"&amp;MID(A938,1,1)&amp;"#","#0#1#2#3#4#5#6#7#8#9#")),IF(ISNUMBER(FIND("#"&amp;MID(A938,2,1)&amp;"#","#0#1#2#3#4#5#6#7#8#9#")),IF(AND(VALUE(LEFT(A938,2))&gt;=1,VALUE(LEFT(A938,2))&lt;=5),VALUE(LEFT(A938,2)),""),IF(AND(VALUE(LEFT(A938,1))&gt;=1,VALUE(LEFT(A938,1))&lt;=5),VALUE(LEFT(A938,1)),"")),""),"")</f>
        <v/>
      </c>
      <c r="N938" s="25">
        <f>IF(L938=1,IF(ISNUMBER(FIND("#"&amp;MID(H938,1,1)&amp;"#","#0#1#2#3#4#5#6#7#8#9#")),IF(ISNUMBER(FIND("#"&amp;MID(H938,2,1)&amp;"#","#0#1#2#3#4#5#6#7#8#9#")),IF(AND(VALUE(LEFT(H938,2))&gt;=1,VALUE(LEFT(H938,2))&lt;=5),VALUE(LEFT(H938,2)),""),IF(AND(VALUE(LEFT(H938,1))&gt;=1,VALUE(LEFT(H938,1))&lt;=5),VALUE(LEFT(H938,1)),"")),""),"")</f>
        <v/>
      </c>
      <c r="O938" s="25">
        <f>IF(AND(L938=1,B938&lt;&gt;""),SUBSTITUTE(SUBSTITUTE(SUBSTITUTE(SUBSTITUTE(SUBSTITUTE(SUBSTITUTE(SUBSTITUTE(SUBSTITUTE(SUBSTITUTE(SUBSTITUTE(SUBSTITUTE(SUBSTITUTE(LOWER(TRIM(B938)),"á","a"),"é","e"),"í","i"),"ó","o"),"ú","u"),"ü","u"),"ñ","n"),"à","a"),"è","e"),"ì","i"),"ò","o"),"ù","u"),"")</f>
        <v/>
      </c>
      <c r="P938" s="25">
        <f>IF(AND(L938=1,C938&lt;&gt;""),SUBSTITUTE(SUBSTITUTE(SUBSTITUTE(SUBSTITUTE(SUBSTITUTE(SUBSTITUTE(SUBSTITUTE(SUBSTITUTE(SUBSTITUTE(SUBSTITUTE(SUBSTITUTE(SUBSTITUTE(LOWER(TRIM(C938)),"á","a"),"é","e"),"í","i"),"ó","o"),"ú","u"),"ü","u"),"ñ","n"),"à","a"),"è","e"),"ì","i"),"ò","o"),"ù","u"),"")</f>
        <v/>
      </c>
      <c r="Q938" s="25">
        <f>IF(AND(L938=1,E938&lt;&gt;""),SUBSTITUTE(SUBSTITUTE(SUBSTITUTE(SUBSTITUTE(SUBSTITUTE(SUBSTITUTE(SUBSTITUTE(SUBSTITUTE(SUBSTITUTE(SUBSTITUTE(SUBSTITUTE(SUBSTITUTE(LOWER(TRIM(E938)),"á","a"),"é","e"),"í","i"),"ó","o"),"ú","u"),"ü","u"),"ñ","n"),"à","a"),"è","e"),"ì","i"),"ò","o"),"ù","u"),"")</f>
        <v/>
      </c>
      <c r="R938" s="25">
        <f>IF(AND(L938=1,I938&lt;&gt;""),SUBSTITUTE(SUBSTITUTE(SUBSTITUTE(SUBSTITUTE(SUBSTITUTE(SUBSTITUTE(SUBSTITUTE(SUBSTITUTE(SUBSTITUTE(SUBSTITUTE(SUBSTITUTE(SUBSTITUTE(LOWER(TRIM(I938)),"á","a"),"é","e"),"í","i"),"ó","o"),"ú","u"),"ü","u"),"ñ","n"),"à","a"),"è","e"),"ì","i"),"ò","o"),"ù","u"),"")</f>
        <v/>
      </c>
      <c r="S938" s="25">
        <f>IF(R938="","",IF(OR(R938="si",R938="tal vez"),1,0))</f>
        <v/>
      </c>
      <c r="T938" s="25">
        <f>IF(AND(L938=1,D938&lt;&gt;""),IF(IFERROR(COUNTIFS(D$3:D938,"="&amp;SUBSTITUTE(SUBSTITUTE(SUBSTITUTE(D938,"~","~~"),"*","~*"),"?","~?"),L$3:L938,1),0)=1,MAX(T$2:T937)+1,""),"")</f>
        <v/>
      </c>
      <c r="U938" s="25">
        <f>IF(T938="","",COUNTIFS($D$3:$D$1002,"="&amp;SUBSTITUTE(SUBSTITUTE(SUBSTITUTE(D938,"~","~~"),"*","~*"),"?","~?"),$L$3:$L$1002,1)*10000-T938)</f>
        <v/>
      </c>
      <c r="V938" s="25">
        <f>IF(AND(L938=1,J938&lt;&gt;""),IF(IFERROR(COUNTIFS(J$3:J938,"="&amp;SUBSTITUTE(SUBSTITUTE(SUBSTITUTE(J938,"~","~~"),"*","~*"),"?","~?"),L$3:L938,1),0)=1,MAX(V$2:V937)+1,""),"")</f>
        <v/>
      </c>
      <c r="W938" s="25">
        <f>IF(V938="","",COUNTIFS($J$3:$J$1002,"="&amp;SUBSTITUTE(SUBSTITUTE(SUBSTITUTE(J938,"~","~~"),"*","~*"),"?","~?"),$L$3:$L$1002,1)*10000-V938)</f>
        <v/>
      </c>
    </row>
    <row r="939">
      <c r="A939">
        <f>IF(A$2=0,"",IFERROR(TRIM(INDEX('Pegar estudiantes'!$A$1:$BZ$1001,938,A$2)&amp;""),""))</f>
        <v/>
      </c>
      <c r="B939">
        <f>IF(B$2=0,"",IFERROR(TRIM(INDEX('Pegar estudiantes'!$A$1:$BZ$1001,938,B$2)&amp;""),""))</f>
        <v/>
      </c>
      <c r="C939">
        <f>IF(C$2=0,"",IFERROR(TRIM(INDEX('Pegar estudiantes'!$A$1:$BZ$1001,938,C$2)&amp;""),""))</f>
        <v/>
      </c>
      <c r="D939">
        <f>IF(D$2=0,"",IFERROR(TRIM(INDEX('Pegar estudiantes'!$A$1:$BZ$1001,938,D$2)&amp;""),""))</f>
        <v/>
      </c>
      <c r="E939">
        <f>IF(E$2=0,"",IFERROR(TRIM(INDEX('Pegar estudiantes'!$A$1:$BZ$1001,938,E$2)&amp;""),""))</f>
        <v/>
      </c>
      <c r="F939">
        <f>IF(F$2=0,"",IFERROR(TRIM(INDEX('Pegar estudiantes'!$A$1:$BZ$1001,938,F$2)&amp;""),""))</f>
        <v/>
      </c>
      <c r="G939">
        <f>IF(G$2=0,"",IFERROR(TRIM(INDEX('Pegar estudiantes'!$A$1:$BZ$1001,938,G$2)&amp;""),""))</f>
        <v/>
      </c>
      <c r="H939">
        <f>IF(H$2=0,"",IFERROR(TRIM(INDEX('Pegar estudiantes'!$A$1:$BZ$1001,938,H$2)&amp;""),""))</f>
        <v/>
      </c>
      <c r="I939">
        <f>IF(I$2=0,"",IFERROR(TRIM(INDEX('Pegar estudiantes'!$A$1:$BZ$1001,938,I$2)&amp;""),""))</f>
        <v/>
      </c>
      <c r="J939">
        <f>IF(J$2=0,"",IFERROR(TRIM(INDEX('Pegar estudiantes'!$A$1:$BZ$1001,938,J$2)&amp;""),""))</f>
        <v/>
      </c>
      <c r="K939">
        <f>IF(K$2=0,"",IFERROR(TRIM(INDEX('Pegar estudiantes'!$A$1:$BZ$1001,938,K$2)&amp;""),""))</f>
        <v/>
      </c>
      <c r="L939" s="25">
        <f>IF(A939&lt;&gt;"",1,"")</f>
        <v/>
      </c>
      <c r="M939" s="25">
        <f>IF(L939=1,IF(ISNUMBER(FIND("#"&amp;MID(A939,1,1)&amp;"#","#0#1#2#3#4#5#6#7#8#9#")),IF(ISNUMBER(FIND("#"&amp;MID(A939,2,1)&amp;"#","#0#1#2#3#4#5#6#7#8#9#")),IF(AND(VALUE(LEFT(A939,2))&gt;=1,VALUE(LEFT(A939,2))&lt;=5),VALUE(LEFT(A939,2)),""),IF(AND(VALUE(LEFT(A939,1))&gt;=1,VALUE(LEFT(A939,1))&lt;=5),VALUE(LEFT(A939,1)),"")),""),"")</f>
        <v/>
      </c>
      <c r="N939" s="25">
        <f>IF(L939=1,IF(ISNUMBER(FIND("#"&amp;MID(H939,1,1)&amp;"#","#0#1#2#3#4#5#6#7#8#9#")),IF(ISNUMBER(FIND("#"&amp;MID(H939,2,1)&amp;"#","#0#1#2#3#4#5#6#7#8#9#")),IF(AND(VALUE(LEFT(H939,2))&gt;=1,VALUE(LEFT(H939,2))&lt;=5),VALUE(LEFT(H939,2)),""),IF(AND(VALUE(LEFT(H939,1))&gt;=1,VALUE(LEFT(H939,1))&lt;=5),VALUE(LEFT(H939,1)),"")),""),"")</f>
        <v/>
      </c>
      <c r="O939" s="25">
        <f>IF(AND(L939=1,B939&lt;&gt;""),SUBSTITUTE(SUBSTITUTE(SUBSTITUTE(SUBSTITUTE(SUBSTITUTE(SUBSTITUTE(SUBSTITUTE(SUBSTITUTE(SUBSTITUTE(SUBSTITUTE(SUBSTITUTE(SUBSTITUTE(LOWER(TRIM(B939)),"á","a"),"é","e"),"í","i"),"ó","o"),"ú","u"),"ü","u"),"ñ","n"),"à","a"),"è","e"),"ì","i"),"ò","o"),"ù","u"),"")</f>
        <v/>
      </c>
      <c r="P939" s="25">
        <f>IF(AND(L939=1,C939&lt;&gt;""),SUBSTITUTE(SUBSTITUTE(SUBSTITUTE(SUBSTITUTE(SUBSTITUTE(SUBSTITUTE(SUBSTITUTE(SUBSTITUTE(SUBSTITUTE(SUBSTITUTE(SUBSTITUTE(SUBSTITUTE(LOWER(TRIM(C939)),"á","a"),"é","e"),"í","i"),"ó","o"),"ú","u"),"ü","u"),"ñ","n"),"à","a"),"è","e"),"ì","i"),"ò","o"),"ù","u"),"")</f>
        <v/>
      </c>
      <c r="Q939" s="25">
        <f>IF(AND(L939=1,E939&lt;&gt;""),SUBSTITUTE(SUBSTITUTE(SUBSTITUTE(SUBSTITUTE(SUBSTITUTE(SUBSTITUTE(SUBSTITUTE(SUBSTITUTE(SUBSTITUTE(SUBSTITUTE(SUBSTITUTE(SUBSTITUTE(LOWER(TRIM(E939)),"á","a"),"é","e"),"í","i"),"ó","o"),"ú","u"),"ü","u"),"ñ","n"),"à","a"),"è","e"),"ì","i"),"ò","o"),"ù","u"),"")</f>
        <v/>
      </c>
      <c r="R939" s="25">
        <f>IF(AND(L939=1,I939&lt;&gt;""),SUBSTITUTE(SUBSTITUTE(SUBSTITUTE(SUBSTITUTE(SUBSTITUTE(SUBSTITUTE(SUBSTITUTE(SUBSTITUTE(SUBSTITUTE(SUBSTITUTE(SUBSTITUTE(SUBSTITUTE(LOWER(TRIM(I939)),"á","a"),"é","e"),"í","i"),"ó","o"),"ú","u"),"ü","u"),"ñ","n"),"à","a"),"è","e"),"ì","i"),"ò","o"),"ù","u"),"")</f>
        <v/>
      </c>
      <c r="S939" s="25">
        <f>IF(R939="","",IF(OR(R939="si",R939="tal vez"),1,0))</f>
        <v/>
      </c>
      <c r="T939" s="25">
        <f>IF(AND(L939=1,D939&lt;&gt;""),IF(IFERROR(COUNTIFS(D$3:D939,"="&amp;SUBSTITUTE(SUBSTITUTE(SUBSTITUTE(D939,"~","~~"),"*","~*"),"?","~?"),L$3:L939,1),0)=1,MAX(T$2:T938)+1,""),"")</f>
        <v/>
      </c>
      <c r="U939" s="25">
        <f>IF(T939="","",COUNTIFS($D$3:$D$1002,"="&amp;SUBSTITUTE(SUBSTITUTE(SUBSTITUTE(D939,"~","~~"),"*","~*"),"?","~?"),$L$3:$L$1002,1)*10000-T939)</f>
        <v/>
      </c>
      <c r="V939" s="25">
        <f>IF(AND(L939=1,J939&lt;&gt;""),IF(IFERROR(COUNTIFS(J$3:J939,"="&amp;SUBSTITUTE(SUBSTITUTE(SUBSTITUTE(J939,"~","~~"),"*","~*"),"?","~?"),L$3:L939,1),0)=1,MAX(V$2:V938)+1,""),"")</f>
        <v/>
      </c>
      <c r="W939" s="25">
        <f>IF(V939="","",COUNTIFS($J$3:$J$1002,"="&amp;SUBSTITUTE(SUBSTITUTE(SUBSTITUTE(J939,"~","~~"),"*","~*"),"?","~?"),$L$3:$L$1002,1)*10000-V939)</f>
        <v/>
      </c>
    </row>
    <row r="940">
      <c r="A940">
        <f>IF(A$2=0,"",IFERROR(TRIM(INDEX('Pegar estudiantes'!$A$1:$BZ$1001,939,A$2)&amp;""),""))</f>
        <v/>
      </c>
      <c r="B940">
        <f>IF(B$2=0,"",IFERROR(TRIM(INDEX('Pegar estudiantes'!$A$1:$BZ$1001,939,B$2)&amp;""),""))</f>
        <v/>
      </c>
      <c r="C940">
        <f>IF(C$2=0,"",IFERROR(TRIM(INDEX('Pegar estudiantes'!$A$1:$BZ$1001,939,C$2)&amp;""),""))</f>
        <v/>
      </c>
      <c r="D940">
        <f>IF(D$2=0,"",IFERROR(TRIM(INDEX('Pegar estudiantes'!$A$1:$BZ$1001,939,D$2)&amp;""),""))</f>
        <v/>
      </c>
      <c r="E940">
        <f>IF(E$2=0,"",IFERROR(TRIM(INDEX('Pegar estudiantes'!$A$1:$BZ$1001,939,E$2)&amp;""),""))</f>
        <v/>
      </c>
      <c r="F940">
        <f>IF(F$2=0,"",IFERROR(TRIM(INDEX('Pegar estudiantes'!$A$1:$BZ$1001,939,F$2)&amp;""),""))</f>
        <v/>
      </c>
      <c r="G940">
        <f>IF(G$2=0,"",IFERROR(TRIM(INDEX('Pegar estudiantes'!$A$1:$BZ$1001,939,G$2)&amp;""),""))</f>
        <v/>
      </c>
      <c r="H940">
        <f>IF(H$2=0,"",IFERROR(TRIM(INDEX('Pegar estudiantes'!$A$1:$BZ$1001,939,H$2)&amp;""),""))</f>
        <v/>
      </c>
      <c r="I940">
        <f>IF(I$2=0,"",IFERROR(TRIM(INDEX('Pegar estudiantes'!$A$1:$BZ$1001,939,I$2)&amp;""),""))</f>
        <v/>
      </c>
      <c r="J940">
        <f>IF(J$2=0,"",IFERROR(TRIM(INDEX('Pegar estudiantes'!$A$1:$BZ$1001,939,J$2)&amp;""),""))</f>
        <v/>
      </c>
      <c r="K940">
        <f>IF(K$2=0,"",IFERROR(TRIM(INDEX('Pegar estudiantes'!$A$1:$BZ$1001,939,K$2)&amp;""),""))</f>
        <v/>
      </c>
      <c r="L940" s="25">
        <f>IF(A940&lt;&gt;"",1,"")</f>
        <v/>
      </c>
      <c r="M940" s="25">
        <f>IF(L940=1,IF(ISNUMBER(FIND("#"&amp;MID(A940,1,1)&amp;"#","#0#1#2#3#4#5#6#7#8#9#")),IF(ISNUMBER(FIND("#"&amp;MID(A940,2,1)&amp;"#","#0#1#2#3#4#5#6#7#8#9#")),IF(AND(VALUE(LEFT(A940,2))&gt;=1,VALUE(LEFT(A940,2))&lt;=5),VALUE(LEFT(A940,2)),""),IF(AND(VALUE(LEFT(A940,1))&gt;=1,VALUE(LEFT(A940,1))&lt;=5),VALUE(LEFT(A940,1)),"")),""),"")</f>
        <v/>
      </c>
      <c r="N940" s="25">
        <f>IF(L940=1,IF(ISNUMBER(FIND("#"&amp;MID(H940,1,1)&amp;"#","#0#1#2#3#4#5#6#7#8#9#")),IF(ISNUMBER(FIND("#"&amp;MID(H940,2,1)&amp;"#","#0#1#2#3#4#5#6#7#8#9#")),IF(AND(VALUE(LEFT(H940,2))&gt;=1,VALUE(LEFT(H940,2))&lt;=5),VALUE(LEFT(H940,2)),""),IF(AND(VALUE(LEFT(H940,1))&gt;=1,VALUE(LEFT(H940,1))&lt;=5),VALUE(LEFT(H940,1)),"")),""),"")</f>
        <v/>
      </c>
      <c r="O940" s="25">
        <f>IF(AND(L940=1,B940&lt;&gt;""),SUBSTITUTE(SUBSTITUTE(SUBSTITUTE(SUBSTITUTE(SUBSTITUTE(SUBSTITUTE(SUBSTITUTE(SUBSTITUTE(SUBSTITUTE(SUBSTITUTE(SUBSTITUTE(SUBSTITUTE(LOWER(TRIM(B940)),"á","a"),"é","e"),"í","i"),"ó","o"),"ú","u"),"ü","u"),"ñ","n"),"à","a"),"è","e"),"ì","i"),"ò","o"),"ù","u"),"")</f>
        <v/>
      </c>
      <c r="P940" s="25">
        <f>IF(AND(L940=1,C940&lt;&gt;""),SUBSTITUTE(SUBSTITUTE(SUBSTITUTE(SUBSTITUTE(SUBSTITUTE(SUBSTITUTE(SUBSTITUTE(SUBSTITUTE(SUBSTITUTE(SUBSTITUTE(SUBSTITUTE(SUBSTITUTE(LOWER(TRIM(C940)),"á","a"),"é","e"),"í","i"),"ó","o"),"ú","u"),"ü","u"),"ñ","n"),"à","a"),"è","e"),"ì","i"),"ò","o"),"ù","u"),"")</f>
        <v/>
      </c>
      <c r="Q940" s="25">
        <f>IF(AND(L940=1,E940&lt;&gt;""),SUBSTITUTE(SUBSTITUTE(SUBSTITUTE(SUBSTITUTE(SUBSTITUTE(SUBSTITUTE(SUBSTITUTE(SUBSTITUTE(SUBSTITUTE(SUBSTITUTE(SUBSTITUTE(SUBSTITUTE(LOWER(TRIM(E940)),"á","a"),"é","e"),"í","i"),"ó","o"),"ú","u"),"ü","u"),"ñ","n"),"à","a"),"è","e"),"ì","i"),"ò","o"),"ù","u"),"")</f>
        <v/>
      </c>
      <c r="R940" s="25">
        <f>IF(AND(L940=1,I940&lt;&gt;""),SUBSTITUTE(SUBSTITUTE(SUBSTITUTE(SUBSTITUTE(SUBSTITUTE(SUBSTITUTE(SUBSTITUTE(SUBSTITUTE(SUBSTITUTE(SUBSTITUTE(SUBSTITUTE(SUBSTITUTE(LOWER(TRIM(I940)),"á","a"),"é","e"),"í","i"),"ó","o"),"ú","u"),"ü","u"),"ñ","n"),"à","a"),"è","e"),"ì","i"),"ò","o"),"ù","u"),"")</f>
        <v/>
      </c>
      <c r="S940" s="25">
        <f>IF(R940="","",IF(OR(R940="si",R940="tal vez"),1,0))</f>
        <v/>
      </c>
      <c r="T940" s="25">
        <f>IF(AND(L940=1,D940&lt;&gt;""),IF(IFERROR(COUNTIFS(D$3:D940,"="&amp;SUBSTITUTE(SUBSTITUTE(SUBSTITUTE(D940,"~","~~"),"*","~*"),"?","~?"),L$3:L940,1),0)=1,MAX(T$2:T939)+1,""),"")</f>
        <v/>
      </c>
      <c r="U940" s="25">
        <f>IF(T940="","",COUNTIFS($D$3:$D$1002,"="&amp;SUBSTITUTE(SUBSTITUTE(SUBSTITUTE(D940,"~","~~"),"*","~*"),"?","~?"),$L$3:$L$1002,1)*10000-T940)</f>
        <v/>
      </c>
      <c r="V940" s="25">
        <f>IF(AND(L940=1,J940&lt;&gt;""),IF(IFERROR(COUNTIFS(J$3:J940,"="&amp;SUBSTITUTE(SUBSTITUTE(SUBSTITUTE(J940,"~","~~"),"*","~*"),"?","~?"),L$3:L940,1),0)=1,MAX(V$2:V939)+1,""),"")</f>
        <v/>
      </c>
      <c r="W940" s="25">
        <f>IF(V940="","",COUNTIFS($J$3:$J$1002,"="&amp;SUBSTITUTE(SUBSTITUTE(SUBSTITUTE(J940,"~","~~"),"*","~*"),"?","~?"),$L$3:$L$1002,1)*10000-V940)</f>
        <v/>
      </c>
    </row>
    <row r="941">
      <c r="A941">
        <f>IF(A$2=0,"",IFERROR(TRIM(INDEX('Pegar estudiantes'!$A$1:$BZ$1001,940,A$2)&amp;""),""))</f>
        <v/>
      </c>
      <c r="B941">
        <f>IF(B$2=0,"",IFERROR(TRIM(INDEX('Pegar estudiantes'!$A$1:$BZ$1001,940,B$2)&amp;""),""))</f>
        <v/>
      </c>
      <c r="C941">
        <f>IF(C$2=0,"",IFERROR(TRIM(INDEX('Pegar estudiantes'!$A$1:$BZ$1001,940,C$2)&amp;""),""))</f>
        <v/>
      </c>
      <c r="D941">
        <f>IF(D$2=0,"",IFERROR(TRIM(INDEX('Pegar estudiantes'!$A$1:$BZ$1001,940,D$2)&amp;""),""))</f>
        <v/>
      </c>
      <c r="E941">
        <f>IF(E$2=0,"",IFERROR(TRIM(INDEX('Pegar estudiantes'!$A$1:$BZ$1001,940,E$2)&amp;""),""))</f>
        <v/>
      </c>
      <c r="F941">
        <f>IF(F$2=0,"",IFERROR(TRIM(INDEX('Pegar estudiantes'!$A$1:$BZ$1001,940,F$2)&amp;""),""))</f>
        <v/>
      </c>
      <c r="G941">
        <f>IF(G$2=0,"",IFERROR(TRIM(INDEX('Pegar estudiantes'!$A$1:$BZ$1001,940,G$2)&amp;""),""))</f>
        <v/>
      </c>
      <c r="H941">
        <f>IF(H$2=0,"",IFERROR(TRIM(INDEX('Pegar estudiantes'!$A$1:$BZ$1001,940,H$2)&amp;""),""))</f>
        <v/>
      </c>
      <c r="I941">
        <f>IF(I$2=0,"",IFERROR(TRIM(INDEX('Pegar estudiantes'!$A$1:$BZ$1001,940,I$2)&amp;""),""))</f>
        <v/>
      </c>
      <c r="J941">
        <f>IF(J$2=0,"",IFERROR(TRIM(INDEX('Pegar estudiantes'!$A$1:$BZ$1001,940,J$2)&amp;""),""))</f>
        <v/>
      </c>
      <c r="K941">
        <f>IF(K$2=0,"",IFERROR(TRIM(INDEX('Pegar estudiantes'!$A$1:$BZ$1001,940,K$2)&amp;""),""))</f>
        <v/>
      </c>
      <c r="L941" s="25">
        <f>IF(A941&lt;&gt;"",1,"")</f>
        <v/>
      </c>
      <c r="M941" s="25">
        <f>IF(L941=1,IF(ISNUMBER(FIND("#"&amp;MID(A941,1,1)&amp;"#","#0#1#2#3#4#5#6#7#8#9#")),IF(ISNUMBER(FIND("#"&amp;MID(A941,2,1)&amp;"#","#0#1#2#3#4#5#6#7#8#9#")),IF(AND(VALUE(LEFT(A941,2))&gt;=1,VALUE(LEFT(A941,2))&lt;=5),VALUE(LEFT(A941,2)),""),IF(AND(VALUE(LEFT(A941,1))&gt;=1,VALUE(LEFT(A941,1))&lt;=5),VALUE(LEFT(A941,1)),"")),""),"")</f>
        <v/>
      </c>
      <c r="N941" s="25">
        <f>IF(L941=1,IF(ISNUMBER(FIND("#"&amp;MID(H941,1,1)&amp;"#","#0#1#2#3#4#5#6#7#8#9#")),IF(ISNUMBER(FIND("#"&amp;MID(H941,2,1)&amp;"#","#0#1#2#3#4#5#6#7#8#9#")),IF(AND(VALUE(LEFT(H941,2))&gt;=1,VALUE(LEFT(H941,2))&lt;=5),VALUE(LEFT(H941,2)),""),IF(AND(VALUE(LEFT(H941,1))&gt;=1,VALUE(LEFT(H941,1))&lt;=5),VALUE(LEFT(H941,1)),"")),""),"")</f>
        <v/>
      </c>
      <c r="O941" s="25">
        <f>IF(AND(L941=1,B941&lt;&gt;""),SUBSTITUTE(SUBSTITUTE(SUBSTITUTE(SUBSTITUTE(SUBSTITUTE(SUBSTITUTE(SUBSTITUTE(SUBSTITUTE(SUBSTITUTE(SUBSTITUTE(SUBSTITUTE(SUBSTITUTE(LOWER(TRIM(B941)),"á","a"),"é","e"),"í","i"),"ó","o"),"ú","u"),"ü","u"),"ñ","n"),"à","a"),"è","e"),"ì","i"),"ò","o"),"ù","u"),"")</f>
        <v/>
      </c>
      <c r="P941" s="25">
        <f>IF(AND(L941=1,C941&lt;&gt;""),SUBSTITUTE(SUBSTITUTE(SUBSTITUTE(SUBSTITUTE(SUBSTITUTE(SUBSTITUTE(SUBSTITUTE(SUBSTITUTE(SUBSTITUTE(SUBSTITUTE(SUBSTITUTE(SUBSTITUTE(LOWER(TRIM(C941)),"á","a"),"é","e"),"í","i"),"ó","o"),"ú","u"),"ü","u"),"ñ","n"),"à","a"),"è","e"),"ì","i"),"ò","o"),"ù","u"),"")</f>
        <v/>
      </c>
      <c r="Q941" s="25">
        <f>IF(AND(L941=1,E941&lt;&gt;""),SUBSTITUTE(SUBSTITUTE(SUBSTITUTE(SUBSTITUTE(SUBSTITUTE(SUBSTITUTE(SUBSTITUTE(SUBSTITUTE(SUBSTITUTE(SUBSTITUTE(SUBSTITUTE(SUBSTITUTE(LOWER(TRIM(E941)),"á","a"),"é","e"),"í","i"),"ó","o"),"ú","u"),"ü","u"),"ñ","n"),"à","a"),"è","e"),"ì","i"),"ò","o"),"ù","u"),"")</f>
        <v/>
      </c>
      <c r="R941" s="25">
        <f>IF(AND(L941=1,I941&lt;&gt;""),SUBSTITUTE(SUBSTITUTE(SUBSTITUTE(SUBSTITUTE(SUBSTITUTE(SUBSTITUTE(SUBSTITUTE(SUBSTITUTE(SUBSTITUTE(SUBSTITUTE(SUBSTITUTE(SUBSTITUTE(LOWER(TRIM(I941)),"á","a"),"é","e"),"í","i"),"ó","o"),"ú","u"),"ü","u"),"ñ","n"),"à","a"),"è","e"),"ì","i"),"ò","o"),"ù","u"),"")</f>
        <v/>
      </c>
      <c r="S941" s="25">
        <f>IF(R941="","",IF(OR(R941="si",R941="tal vez"),1,0))</f>
        <v/>
      </c>
      <c r="T941" s="25">
        <f>IF(AND(L941=1,D941&lt;&gt;""),IF(IFERROR(COUNTIFS(D$3:D941,"="&amp;SUBSTITUTE(SUBSTITUTE(SUBSTITUTE(D941,"~","~~"),"*","~*"),"?","~?"),L$3:L941,1),0)=1,MAX(T$2:T940)+1,""),"")</f>
        <v/>
      </c>
      <c r="U941" s="25">
        <f>IF(T941="","",COUNTIFS($D$3:$D$1002,"="&amp;SUBSTITUTE(SUBSTITUTE(SUBSTITUTE(D941,"~","~~"),"*","~*"),"?","~?"),$L$3:$L$1002,1)*10000-T941)</f>
        <v/>
      </c>
      <c r="V941" s="25">
        <f>IF(AND(L941=1,J941&lt;&gt;""),IF(IFERROR(COUNTIFS(J$3:J941,"="&amp;SUBSTITUTE(SUBSTITUTE(SUBSTITUTE(J941,"~","~~"),"*","~*"),"?","~?"),L$3:L941,1),0)=1,MAX(V$2:V940)+1,""),"")</f>
        <v/>
      </c>
      <c r="W941" s="25">
        <f>IF(V941="","",COUNTIFS($J$3:$J$1002,"="&amp;SUBSTITUTE(SUBSTITUTE(SUBSTITUTE(J941,"~","~~"),"*","~*"),"?","~?"),$L$3:$L$1002,1)*10000-V941)</f>
        <v/>
      </c>
    </row>
    <row r="942">
      <c r="A942">
        <f>IF(A$2=0,"",IFERROR(TRIM(INDEX('Pegar estudiantes'!$A$1:$BZ$1001,941,A$2)&amp;""),""))</f>
        <v/>
      </c>
      <c r="B942">
        <f>IF(B$2=0,"",IFERROR(TRIM(INDEX('Pegar estudiantes'!$A$1:$BZ$1001,941,B$2)&amp;""),""))</f>
        <v/>
      </c>
      <c r="C942">
        <f>IF(C$2=0,"",IFERROR(TRIM(INDEX('Pegar estudiantes'!$A$1:$BZ$1001,941,C$2)&amp;""),""))</f>
        <v/>
      </c>
      <c r="D942">
        <f>IF(D$2=0,"",IFERROR(TRIM(INDEX('Pegar estudiantes'!$A$1:$BZ$1001,941,D$2)&amp;""),""))</f>
        <v/>
      </c>
      <c r="E942">
        <f>IF(E$2=0,"",IFERROR(TRIM(INDEX('Pegar estudiantes'!$A$1:$BZ$1001,941,E$2)&amp;""),""))</f>
        <v/>
      </c>
      <c r="F942">
        <f>IF(F$2=0,"",IFERROR(TRIM(INDEX('Pegar estudiantes'!$A$1:$BZ$1001,941,F$2)&amp;""),""))</f>
        <v/>
      </c>
      <c r="G942">
        <f>IF(G$2=0,"",IFERROR(TRIM(INDEX('Pegar estudiantes'!$A$1:$BZ$1001,941,G$2)&amp;""),""))</f>
        <v/>
      </c>
      <c r="H942">
        <f>IF(H$2=0,"",IFERROR(TRIM(INDEX('Pegar estudiantes'!$A$1:$BZ$1001,941,H$2)&amp;""),""))</f>
        <v/>
      </c>
      <c r="I942">
        <f>IF(I$2=0,"",IFERROR(TRIM(INDEX('Pegar estudiantes'!$A$1:$BZ$1001,941,I$2)&amp;""),""))</f>
        <v/>
      </c>
      <c r="J942">
        <f>IF(J$2=0,"",IFERROR(TRIM(INDEX('Pegar estudiantes'!$A$1:$BZ$1001,941,J$2)&amp;""),""))</f>
        <v/>
      </c>
      <c r="K942">
        <f>IF(K$2=0,"",IFERROR(TRIM(INDEX('Pegar estudiantes'!$A$1:$BZ$1001,941,K$2)&amp;""),""))</f>
        <v/>
      </c>
      <c r="L942" s="25">
        <f>IF(A942&lt;&gt;"",1,"")</f>
        <v/>
      </c>
      <c r="M942" s="25">
        <f>IF(L942=1,IF(ISNUMBER(FIND("#"&amp;MID(A942,1,1)&amp;"#","#0#1#2#3#4#5#6#7#8#9#")),IF(ISNUMBER(FIND("#"&amp;MID(A942,2,1)&amp;"#","#0#1#2#3#4#5#6#7#8#9#")),IF(AND(VALUE(LEFT(A942,2))&gt;=1,VALUE(LEFT(A942,2))&lt;=5),VALUE(LEFT(A942,2)),""),IF(AND(VALUE(LEFT(A942,1))&gt;=1,VALUE(LEFT(A942,1))&lt;=5),VALUE(LEFT(A942,1)),"")),""),"")</f>
        <v/>
      </c>
      <c r="N942" s="25">
        <f>IF(L942=1,IF(ISNUMBER(FIND("#"&amp;MID(H942,1,1)&amp;"#","#0#1#2#3#4#5#6#7#8#9#")),IF(ISNUMBER(FIND("#"&amp;MID(H942,2,1)&amp;"#","#0#1#2#3#4#5#6#7#8#9#")),IF(AND(VALUE(LEFT(H942,2))&gt;=1,VALUE(LEFT(H942,2))&lt;=5),VALUE(LEFT(H942,2)),""),IF(AND(VALUE(LEFT(H942,1))&gt;=1,VALUE(LEFT(H942,1))&lt;=5),VALUE(LEFT(H942,1)),"")),""),"")</f>
        <v/>
      </c>
      <c r="O942" s="25">
        <f>IF(AND(L942=1,B942&lt;&gt;""),SUBSTITUTE(SUBSTITUTE(SUBSTITUTE(SUBSTITUTE(SUBSTITUTE(SUBSTITUTE(SUBSTITUTE(SUBSTITUTE(SUBSTITUTE(SUBSTITUTE(SUBSTITUTE(SUBSTITUTE(LOWER(TRIM(B942)),"á","a"),"é","e"),"í","i"),"ó","o"),"ú","u"),"ü","u"),"ñ","n"),"à","a"),"è","e"),"ì","i"),"ò","o"),"ù","u"),"")</f>
        <v/>
      </c>
      <c r="P942" s="25">
        <f>IF(AND(L942=1,C942&lt;&gt;""),SUBSTITUTE(SUBSTITUTE(SUBSTITUTE(SUBSTITUTE(SUBSTITUTE(SUBSTITUTE(SUBSTITUTE(SUBSTITUTE(SUBSTITUTE(SUBSTITUTE(SUBSTITUTE(SUBSTITUTE(LOWER(TRIM(C942)),"á","a"),"é","e"),"í","i"),"ó","o"),"ú","u"),"ü","u"),"ñ","n"),"à","a"),"è","e"),"ì","i"),"ò","o"),"ù","u"),"")</f>
        <v/>
      </c>
      <c r="Q942" s="25">
        <f>IF(AND(L942=1,E942&lt;&gt;""),SUBSTITUTE(SUBSTITUTE(SUBSTITUTE(SUBSTITUTE(SUBSTITUTE(SUBSTITUTE(SUBSTITUTE(SUBSTITUTE(SUBSTITUTE(SUBSTITUTE(SUBSTITUTE(SUBSTITUTE(LOWER(TRIM(E942)),"á","a"),"é","e"),"í","i"),"ó","o"),"ú","u"),"ü","u"),"ñ","n"),"à","a"),"è","e"),"ì","i"),"ò","o"),"ù","u"),"")</f>
        <v/>
      </c>
      <c r="R942" s="25">
        <f>IF(AND(L942=1,I942&lt;&gt;""),SUBSTITUTE(SUBSTITUTE(SUBSTITUTE(SUBSTITUTE(SUBSTITUTE(SUBSTITUTE(SUBSTITUTE(SUBSTITUTE(SUBSTITUTE(SUBSTITUTE(SUBSTITUTE(SUBSTITUTE(LOWER(TRIM(I942)),"á","a"),"é","e"),"í","i"),"ó","o"),"ú","u"),"ü","u"),"ñ","n"),"à","a"),"è","e"),"ì","i"),"ò","o"),"ù","u"),"")</f>
        <v/>
      </c>
      <c r="S942" s="25">
        <f>IF(R942="","",IF(OR(R942="si",R942="tal vez"),1,0))</f>
        <v/>
      </c>
      <c r="T942" s="25">
        <f>IF(AND(L942=1,D942&lt;&gt;""),IF(IFERROR(COUNTIFS(D$3:D942,"="&amp;SUBSTITUTE(SUBSTITUTE(SUBSTITUTE(D942,"~","~~"),"*","~*"),"?","~?"),L$3:L942,1),0)=1,MAX(T$2:T941)+1,""),"")</f>
        <v/>
      </c>
      <c r="U942" s="25">
        <f>IF(T942="","",COUNTIFS($D$3:$D$1002,"="&amp;SUBSTITUTE(SUBSTITUTE(SUBSTITUTE(D942,"~","~~"),"*","~*"),"?","~?"),$L$3:$L$1002,1)*10000-T942)</f>
        <v/>
      </c>
      <c r="V942" s="25">
        <f>IF(AND(L942=1,J942&lt;&gt;""),IF(IFERROR(COUNTIFS(J$3:J942,"="&amp;SUBSTITUTE(SUBSTITUTE(SUBSTITUTE(J942,"~","~~"),"*","~*"),"?","~?"),L$3:L942,1),0)=1,MAX(V$2:V941)+1,""),"")</f>
        <v/>
      </c>
      <c r="W942" s="25">
        <f>IF(V942="","",COUNTIFS($J$3:$J$1002,"="&amp;SUBSTITUTE(SUBSTITUTE(SUBSTITUTE(J942,"~","~~"),"*","~*"),"?","~?"),$L$3:$L$1002,1)*10000-V942)</f>
        <v/>
      </c>
    </row>
    <row r="943">
      <c r="A943">
        <f>IF(A$2=0,"",IFERROR(TRIM(INDEX('Pegar estudiantes'!$A$1:$BZ$1001,942,A$2)&amp;""),""))</f>
        <v/>
      </c>
      <c r="B943">
        <f>IF(B$2=0,"",IFERROR(TRIM(INDEX('Pegar estudiantes'!$A$1:$BZ$1001,942,B$2)&amp;""),""))</f>
        <v/>
      </c>
      <c r="C943">
        <f>IF(C$2=0,"",IFERROR(TRIM(INDEX('Pegar estudiantes'!$A$1:$BZ$1001,942,C$2)&amp;""),""))</f>
        <v/>
      </c>
      <c r="D943">
        <f>IF(D$2=0,"",IFERROR(TRIM(INDEX('Pegar estudiantes'!$A$1:$BZ$1001,942,D$2)&amp;""),""))</f>
        <v/>
      </c>
      <c r="E943">
        <f>IF(E$2=0,"",IFERROR(TRIM(INDEX('Pegar estudiantes'!$A$1:$BZ$1001,942,E$2)&amp;""),""))</f>
        <v/>
      </c>
      <c r="F943">
        <f>IF(F$2=0,"",IFERROR(TRIM(INDEX('Pegar estudiantes'!$A$1:$BZ$1001,942,F$2)&amp;""),""))</f>
        <v/>
      </c>
      <c r="G943">
        <f>IF(G$2=0,"",IFERROR(TRIM(INDEX('Pegar estudiantes'!$A$1:$BZ$1001,942,G$2)&amp;""),""))</f>
        <v/>
      </c>
      <c r="H943">
        <f>IF(H$2=0,"",IFERROR(TRIM(INDEX('Pegar estudiantes'!$A$1:$BZ$1001,942,H$2)&amp;""),""))</f>
        <v/>
      </c>
      <c r="I943">
        <f>IF(I$2=0,"",IFERROR(TRIM(INDEX('Pegar estudiantes'!$A$1:$BZ$1001,942,I$2)&amp;""),""))</f>
        <v/>
      </c>
      <c r="J943">
        <f>IF(J$2=0,"",IFERROR(TRIM(INDEX('Pegar estudiantes'!$A$1:$BZ$1001,942,J$2)&amp;""),""))</f>
        <v/>
      </c>
      <c r="K943">
        <f>IF(K$2=0,"",IFERROR(TRIM(INDEX('Pegar estudiantes'!$A$1:$BZ$1001,942,K$2)&amp;""),""))</f>
        <v/>
      </c>
      <c r="L943" s="25">
        <f>IF(A943&lt;&gt;"",1,"")</f>
        <v/>
      </c>
      <c r="M943" s="25">
        <f>IF(L943=1,IF(ISNUMBER(FIND("#"&amp;MID(A943,1,1)&amp;"#","#0#1#2#3#4#5#6#7#8#9#")),IF(ISNUMBER(FIND("#"&amp;MID(A943,2,1)&amp;"#","#0#1#2#3#4#5#6#7#8#9#")),IF(AND(VALUE(LEFT(A943,2))&gt;=1,VALUE(LEFT(A943,2))&lt;=5),VALUE(LEFT(A943,2)),""),IF(AND(VALUE(LEFT(A943,1))&gt;=1,VALUE(LEFT(A943,1))&lt;=5),VALUE(LEFT(A943,1)),"")),""),"")</f>
        <v/>
      </c>
      <c r="N943" s="25">
        <f>IF(L943=1,IF(ISNUMBER(FIND("#"&amp;MID(H943,1,1)&amp;"#","#0#1#2#3#4#5#6#7#8#9#")),IF(ISNUMBER(FIND("#"&amp;MID(H943,2,1)&amp;"#","#0#1#2#3#4#5#6#7#8#9#")),IF(AND(VALUE(LEFT(H943,2))&gt;=1,VALUE(LEFT(H943,2))&lt;=5),VALUE(LEFT(H943,2)),""),IF(AND(VALUE(LEFT(H943,1))&gt;=1,VALUE(LEFT(H943,1))&lt;=5),VALUE(LEFT(H943,1)),"")),""),"")</f>
        <v/>
      </c>
      <c r="O943" s="25">
        <f>IF(AND(L943=1,B943&lt;&gt;""),SUBSTITUTE(SUBSTITUTE(SUBSTITUTE(SUBSTITUTE(SUBSTITUTE(SUBSTITUTE(SUBSTITUTE(SUBSTITUTE(SUBSTITUTE(SUBSTITUTE(SUBSTITUTE(SUBSTITUTE(LOWER(TRIM(B943)),"á","a"),"é","e"),"í","i"),"ó","o"),"ú","u"),"ü","u"),"ñ","n"),"à","a"),"è","e"),"ì","i"),"ò","o"),"ù","u"),"")</f>
        <v/>
      </c>
      <c r="P943" s="25">
        <f>IF(AND(L943=1,C943&lt;&gt;""),SUBSTITUTE(SUBSTITUTE(SUBSTITUTE(SUBSTITUTE(SUBSTITUTE(SUBSTITUTE(SUBSTITUTE(SUBSTITUTE(SUBSTITUTE(SUBSTITUTE(SUBSTITUTE(SUBSTITUTE(LOWER(TRIM(C943)),"á","a"),"é","e"),"í","i"),"ó","o"),"ú","u"),"ü","u"),"ñ","n"),"à","a"),"è","e"),"ì","i"),"ò","o"),"ù","u"),"")</f>
        <v/>
      </c>
      <c r="Q943" s="25">
        <f>IF(AND(L943=1,E943&lt;&gt;""),SUBSTITUTE(SUBSTITUTE(SUBSTITUTE(SUBSTITUTE(SUBSTITUTE(SUBSTITUTE(SUBSTITUTE(SUBSTITUTE(SUBSTITUTE(SUBSTITUTE(SUBSTITUTE(SUBSTITUTE(LOWER(TRIM(E943)),"á","a"),"é","e"),"í","i"),"ó","o"),"ú","u"),"ü","u"),"ñ","n"),"à","a"),"è","e"),"ì","i"),"ò","o"),"ù","u"),"")</f>
        <v/>
      </c>
      <c r="R943" s="25">
        <f>IF(AND(L943=1,I943&lt;&gt;""),SUBSTITUTE(SUBSTITUTE(SUBSTITUTE(SUBSTITUTE(SUBSTITUTE(SUBSTITUTE(SUBSTITUTE(SUBSTITUTE(SUBSTITUTE(SUBSTITUTE(SUBSTITUTE(SUBSTITUTE(LOWER(TRIM(I943)),"á","a"),"é","e"),"í","i"),"ó","o"),"ú","u"),"ü","u"),"ñ","n"),"à","a"),"è","e"),"ì","i"),"ò","o"),"ù","u"),"")</f>
        <v/>
      </c>
      <c r="S943" s="25">
        <f>IF(R943="","",IF(OR(R943="si",R943="tal vez"),1,0))</f>
        <v/>
      </c>
      <c r="T943" s="25">
        <f>IF(AND(L943=1,D943&lt;&gt;""),IF(IFERROR(COUNTIFS(D$3:D943,"="&amp;SUBSTITUTE(SUBSTITUTE(SUBSTITUTE(D943,"~","~~"),"*","~*"),"?","~?"),L$3:L943,1),0)=1,MAX(T$2:T942)+1,""),"")</f>
        <v/>
      </c>
      <c r="U943" s="25">
        <f>IF(T943="","",COUNTIFS($D$3:$D$1002,"="&amp;SUBSTITUTE(SUBSTITUTE(SUBSTITUTE(D943,"~","~~"),"*","~*"),"?","~?"),$L$3:$L$1002,1)*10000-T943)</f>
        <v/>
      </c>
      <c r="V943" s="25">
        <f>IF(AND(L943=1,J943&lt;&gt;""),IF(IFERROR(COUNTIFS(J$3:J943,"="&amp;SUBSTITUTE(SUBSTITUTE(SUBSTITUTE(J943,"~","~~"),"*","~*"),"?","~?"),L$3:L943,1),0)=1,MAX(V$2:V942)+1,""),"")</f>
        <v/>
      </c>
      <c r="W943" s="25">
        <f>IF(V943="","",COUNTIFS($J$3:$J$1002,"="&amp;SUBSTITUTE(SUBSTITUTE(SUBSTITUTE(J943,"~","~~"),"*","~*"),"?","~?"),$L$3:$L$1002,1)*10000-V943)</f>
        <v/>
      </c>
    </row>
    <row r="944">
      <c r="A944">
        <f>IF(A$2=0,"",IFERROR(TRIM(INDEX('Pegar estudiantes'!$A$1:$BZ$1001,943,A$2)&amp;""),""))</f>
        <v/>
      </c>
      <c r="B944">
        <f>IF(B$2=0,"",IFERROR(TRIM(INDEX('Pegar estudiantes'!$A$1:$BZ$1001,943,B$2)&amp;""),""))</f>
        <v/>
      </c>
      <c r="C944">
        <f>IF(C$2=0,"",IFERROR(TRIM(INDEX('Pegar estudiantes'!$A$1:$BZ$1001,943,C$2)&amp;""),""))</f>
        <v/>
      </c>
      <c r="D944">
        <f>IF(D$2=0,"",IFERROR(TRIM(INDEX('Pegar estudiantes'!$A$1:$BZ$1001,943,D$2)&amp;""),""))</f>
        <v/>
      </c>
      <c r="E944">
        <f>IF(E$2=0,"",IFERROR(TRIM(INDEX('Pegar estudiantes'!$A$1:$BZ$1001,943,E$2)&amp;""),""))</f>
        <v/>
      </c>
      <c r="F944">
        <f>IF(F$2=0,"",IFERROR(TRIM(INDEX('Pegar estudiantes'!$A$1:$BZ$1001,943,F$2)&amp;""),""))</f>
        <v/>
      </c>
      <c r="G944">
        <f>IF(G$2=0,"",IFERROR(TRIM(INDEX('Pegar estudiantes'!$A$1:$BZ$1001,943,G$2)&amp;""),""))</f>
        <v/>
      </c>
      <c r="H944">
        <f>IF(H$2=0,"",IFERROR(TRIM(INDEX('Pegar estudiantes'!$A$1:$BZ$1001,943,H$2)&amp;""),""))</f>
        <v/>
      </c>
      <c r="I944">
        <f>IF(I$2=0,"",IFERROR(TRIM(INDEX('Pegar estudiantes'!$A$1:$BZ$1001,943,I$2)&amp;""),""))</f>
        <v/>
      </c>
      <c r="J944">
        <f>IF(J$2=0,"",IFERROR(TRIM(INDEX('Pegar estudiantes'!$A$1:$BZ$1001,943,J$2)&amp;""),""))</f>
        <v/>
      </c>
      <c r="K944">
        <f>IF(K$2=0,"",IFERROR(TRIM(INDEX('Pegar estudiantes'!$A$1:$BZ$1001,943,K$2)&amp;""),""))</f>
        <v/>
      </c>
      <c r="L944" s="25">
        <f>IF(A944&lt;&gt;"",1,"")</f>
        <v/>
      </c>
      <c r="M944" s="25">
        <f>IF(L944=1,IF(ISNUMBER(FIND("#"&amp;MID(A944,1,1)&amp;"#","#0#1#2#3#4#5#6#7#8#9#")),IF(ISNUMBER(FIND("#"&amp;MID(A944,2,1)&amp;"#","#0#1#2#3#4#5#6#7#8#9#")),IF(AND(VALUE(LEFT(A944,2))&gt;=1,VALUE(LEFT(A944,2))&lt;=5),VALUE(LEFT(A944,2)),""),IF(AND(VALUE(LEFT(A944,1))&gt;=1,VALUE(LEFT(A944,1))&lt;=5),VALUE(LEFT(A944,1)),"")),""),"")</f>
        <v/>
      </c>
      <c r="N944" s="25">
        <f>IF(L944=1,IF(ISNUMBER(FIND("#"&amp;MID(H944,1,1)&amp;"#","#0#1#2#3#4#5#6#7#8#9#")),IF(ISNUMBER(FIND("#"&amp;MID(H944,2,1)&amp;"#","#0#1#2#3#4#5#6#7#8#9#")),IF(AND(VALUE(LEFT(H944,2))&gt;=1,VALUE(LEFT(H944,2))&lt;=5),VALUE(LEFT(H944,2)),""),IF(AND(VALUE(LEFT(H944,1))&gt;=1,VALUE(LEFT(H944,1))&lt;=5),VALUE(LEFT(H944,1)),"")),""),"")</f>
        <v/>
      </c>
      <c r="O944" s="25">
        <f>IF(AND(L944=1,B944&lt;&gt;""),SUBSTITUTE(SUBSTITUTE(SUBSTITUTE(SUBSTITUTE(SUBSTITUTE(SUBSTITUTE(SUBSTITUTE(SUBSTITUTE(SUBSTITUTE(SUBSTITUTE(SUBSTITUTE(SUBSTITUTE(LOWER(TRIM(B944)),"á","a"),"é","e"),"í","i"),"ó","o"),"ú","u"),"ü","u"),"ñ","n"),"à","a"),"è","e"),"ì","i"),"ò","o"),"ù","u"),"")</f>
        <v/>
      </c>
      <c r="P944" s="25">
        <f>IF(AND(L944=1,C944&lt;&gt;""),SUBSTITUTE(SUBSTITUTE(SUBSTITUTE(SUBSTITUTE(SUBSTITUTE(SUBSTITUTE(SUBSTITUTE(SUBSTITUTE(SUBSTITUTE(SUBSTITUTE(SUBSTITUTE(SUBSTITUTE(LOWER(TRIM(C944)),"á","a"),"é","e"),"í","i"),"ó","o"),"ú","u"),"ü","u"),"ñ","n"),"à","a"),"è","e"),"ì","i"),"ò","o"),"ù","u"),"")</f>
        <v/>
      </c>
      <c r="Q944" s="25">
        <f>IF(AND(L944=1,E944&lt;&gt;""),SUBSTITUTE(SUBSTITUTE(SUBSTITUTE(SUBSTITUTE(SUBSTITUTE(SUBSTITUTE(SUBSTITUTE(SUBSTITUTE(SUBSTITUTE(SUBSTITUTE(SUBSTITUTE(SUBSTITUTE(LOWER(TRIM(E944)),"á","a"),"é","e"),"í","i"),"ó","o"),"ú","u"),"ü","u"),"ñ","n"),"à","a"),"è","e"),"ì","i"),"ò","o"),"ù","u"),"")</f>
        <v/>
      </c>
      <c r="R944" s="25">
        <f>IF(AND(L944=1,I944&lt;&gt;""),SUBSTITUTE(SUBSTITUTE(SUBSTITUTE(SUBSTITUTE(SUBSTITUTE(SUBSTITUTE(SUBSTITUTE(SUBSTITUTE(SUBSTITUTE(SUBSTITUTE(SUBSTITUTE(SUBSTITUTE(LOWER(TRIM(I944)),"á","a"),"é","e"),"í","i"),"ó","o"),"ú","u"),"ü","u"),"ñ","n"),"à","a"),"è","e"),"ì","i"),"ò","o"),"ù","u"),"")</f>
        <v/>
      </c>
      <c r="S944" s="25">
        <f>IF(R944="","",IF(OR(R944="si",R944="tal vez"),1,0))</f>
        <v/>
      </c>
      <c r="T944" s="25">
        <f>IF(AND(L944=1,D944&lt;&gt;""),IF(IFERROR(COUNTIFS(D$3:D944,"="&amp;SUBSTITUTE(SUBSTITUTE(SUBSTITUTE(D944,"~","~~"),"*","~*"),"?","~?"),L$3:L944,1),0)=1,MAX(T$2:T943)+1,""),"")</f>
        <v/>
      </c>
      <c r="U944" s="25">
        <f>IF(T944="","",COUNTIFS($D$3:$D$1002,"="&amp;SUBSTITUTE(SUBSTITUTE(SUBSTITUTE(D944,"~","~~"),"*","~*"),"?","~?"),$L$3:$L$1002,1)*10000-T944)</f>
        <v/>
      </c>
      <c r="V944" s="25">
        <f>IF(AND(L944=1,J944&lt;&gt;""),IF(IFERROR(COUNTIFS(J$3:J944,"="&amp;SUBSTITUTE(SUBSTITUTE(SUBSTITUTE(J944,"~","~~"),"*","~*"),"?","~?"),L$3:L944,1),0)=1,MAX(V$2:V943)+1,""),"")</f>
        <v/>
      </c>
      <c r="W944" s="25">
        <f>IF(V944="","",COUNTIFS($J$3:$J$1002,"="&amp;SUBSTITUTE(SUBSTITUTE(SUBSTITUTE(J944,"~","~~"),"*","~*"),"?","~?"),$L$3:$L$1002,1)*10000-V944)</f>
        <v/>
      </c>
    </row>
    <row r="945">
      <c r="A945">
        <f>IF(A$2=0,"",IFERROR(TRIM(INDEX('Pegar estudiantes'!$A$1:$BZ$1001,944,A$2)&amp;""),""))</f>
        <v/>
      </c>
      <c r="B945">
        <f>IF(B$2=0,"",IFERROR(TRIM(INDEX('Pegar estudiantes'!$A$1:$BZ$1001,944,B$2)&amp;""),""))</f>
        <v/>
      </c>
      <c r="C945">
        <f>IF(C$2=0,"",IFERROR(TRIM(INDEX('Pegar estudiantes'!$A$1:$BZ$1001,944,C$2)&amp;""),""))</f>
        <v/>
      </c>
      <c r="D945">
        <f>IF(D$2=0,"",IFERROR(TRIM(INDEX('Pegar estudiantes'!$A$1:$BZ$1001,944,D$2)&amp;""),""))</f>
        <v/>
      </c>
      <c r="E945">
        <f>IF(E$2=0,"",IFERROR(TRIM(INDEX('Pegar estudiantes'!$A$1:$BZ$1001,944,E$2)&amp;""),""))</f>
        <v/>
      </c>
      <c r="F945">
        <f>IF(F$2=0,"",IFERROR(TRIM(INDEX('Pegar estudiantes'!$A$1:$BZ$1001,944,F$2)&amp;""),""))</f>
        <v/>
      </c>
      <c r="G945">
        <f>IF(G$2=0,"",IFERROR(TRIM(INDEX('Pegar estudiantes'!$A$1:$BZ$1001,944,G$2)&amp;""),""))</f>
        <v/>
      </c>
      <c r="H945">
        <f>IF(H$2=0,"",IFERROR(TRIM(INDEX('Pegar estudiantes'!$A$1:$BZ$1001,944,H$2)&amp;""),""))</f>
        <v/>
      </c>
      <c r="I945">
        <f>IF(I$2=0,"",IFERROR(TRIM(INDEX('Pegar estudiantes'!$A$1:$BZ$1001,944,I$2)&amp;""),""))</f>
        <v/>
      </c>
      <c r="J945">
        <f>IF(J$2=0,"",IFERROR(TRIM(INDEX('Pegar estudiantes'!$A$1:$BZ$1001,944,J$2)&amp;""),""))</f>
        <v/>
      </c>
      <c r="K945">
        <f>IF(K$2=0,"",IFERROR(TRIM(INDEX('Pegar estudiantes'!$A$1:$BZ$1001,944,K$2)&amp;""),""))</f>
        <v/>
      </c>
      <c r="L945" s="25">
        <f>IF(A945&lt;&gt;"",1,"")</f>
        <v/>
      </c>
      <c r="M945" s="25">
        <f>IF(L945=1,IF(ISNUMBER(FIND("#"&amp;MID(A945,1,1)&amp;"#","#0#1#2#3#4#5#6#7#8#9#")),IF(ISNUMBER(FIND("#"&amp;MID(A945,2,1)&amp;"#","#0#1#2#3#4#5#6#7#8#9#")),IF(AND(VALUE(LEFT(A945,2))&gt;=1,VALUE(LEFT(A945,2))&lt;=5),VALUE(LEFT(A945,2)),""),IF(AND(VALUE(LEFT(A945,1))&gt;=1,VALUE(LEFT(A945,1))&lt;=5),VALUE(LEFT(A945,1)),"")),""),"")</f>
        <v/>
      </c>
      <c r="N945" s="25">
        <f>IF(L945=1,IF(ISNUMBER(FIND("#"&amp;MID(H945,1,1)&amp;"#","#0#1#2#3#4#5#6#7#8#9#")),IF(ISNUMBER(FIND("#"&amp;MID(H945,2,1)&amp;"#","#0#1#2#3#4#5#6#7#8#9#")),IF(AND(VALUE(LEFT(H945,2))&gt;=1,VALUE(LEFT(H945,2))&lt;=5),VALUE(LEFT(H945,2)),""),IF(AND(VALUE(LEFT(H945,1))&gt;=1,VALUE(LEFT(H945,1))&lt;=5),VALUE(LEFT(H945,1)),"")),""),"")</f>
        <v/>
      </c>
      <c r="O945" s="25">
        <f>IF(AND(L945=1,B945&lt;&gt;""),SUBSTITUTE(SUBSTITUTE(SUBSTITUTE(SUBSTITUTE(SUBSTITUTE(SUBSTITUTE(SUBSTITUTE(SUBSTITUTE(SUBSTITUTE(SUBSTITUTE(SUBSTITUTE(SUBSTITUTE(LOWER(TRIM(B945)),"á","a"),"é","e"),"í","i"),"ó","o"),"ú","u"),"ü","u"),"ñ","n"),"à","a"),"è","e"),"ì","i"),"ò","o"),"ù","u"),"")</f>
        <v/>
      </c>
      <c r="P945" s="25">
        <f>IF(AND(L945=1,C945&lt;&gt;""),SUBSTITUTE(SUBSTITUTE(SUBSTITUTE(SUBSTITUTE(SUBSTITUTE(SUBSTITUTE(SUBSTITUTE(SUBSTITUTE(SUBSTITUTE(SUBSTITUTE(SUBSTITUTE(SUBSTITUTE(LOWER(TRIM(C945)),"á","a"),"é","e"),"í","i"),"ó","o"),"ú","u"),"ü","u"),"ñ","n"),"à","a"),"è","e"),"ì","i"),"ò","o"),"ù","u"),"")</f>
        <v/>
      </c>
      <c r="Q945" s="25">
        <f>IF(AND(L945=1,E945&lt;&gt;""),SUBSTITUTE(SUBSTITUTE(SUBSTITUTE(SUBSTITUTE(SUBSTITUTE(SUBSTITUTE(SUBSTITUTE(SUBSTITUTE(SUBSTITUTE(SUBSTITUTE(SUBSTITUTE(SUBSTITUTE(LOWER(TRIM(E945)),"á","a"),"é","e"),"í","i"),"ó","o"),"ú","u"),"ü","u"),"ñ","n"),"à","a"),"è","e"),"ì","i"),"ò","o"),"ù","u"),"")</f>
        <v/>
      </c>
      <c r="R945" s="25">
        <f>IF(AND(L945=1,I945&lt;&gt;""),SUBSTITUTE(SUBSTITUTE(SUBSTITUTE(SUBSTITUTE(SUBSTITUTE(SUBSTITUTE(SUBSTITUTE(SUBSTITUTE(SUBSTITUTE(SUBSTITUTE(SUBSTITUTE(SUBSTITUTE(LOWER(TRIM(I945)),"á","a"),"é","e"),"í","i"),"ó","o"),"ú","u"),"ü","u"),"ñ","n"),"à","a"),"è","e"),"ì","i"),"ò","o"),"ù","u"),"")</f>
        <v/>
      </c>
      <c r="S945" s="25">
        <f>IF(R945="","",IF(OR(R945="si",R945="tal vez"),1,0))</f>
        <v/>
      </c>
      <c r="T945" s="25">
        <f>IF(AND(L945=1,D945&lt;&gt;""),IF(IFERROR(COUNTIFS(D$3:D945,"="&amp;SUBSTITUTE(SUBSTITUTE(SUBSTITUTE(D945,"~","~~"),"*","~*"),"?","~?"),L$3:L945,1),0)=1,MAX(T$2:T944)+1,""),"")</f>
        <v/>
      </c>
      <c r="U945" s="25">
        <f>IF(T945="","",COUNTIFS($D$3:$D$1002,"="&amp;SUBSTITUTE(SUBSTITUTE(SUBSTITUTE(D945,"~","~~"),"*","~*"),"?","~?"),$L$3:$L$1002,1)*10000-T945)</f>
        <v/>
      </c>
      <c r="V945" s="25">
        <f>IF(AND(L945=1,J945&lt;&gt;""),IF(IFERROR(COUNTIFS(J$3:J945,"="&amp;SUBSTITUTE(SUBSTITUTE(SUBSTITUTE(J945,"~","~~"),"*","~*"),"?","~?"),L$3:L945,1),0)=1,MAX(V$2:V944)+1,""),"")</f>
        <v/>
      </c>
      <c r="W945" s="25">
        <f>IF(V945="","",COUNTIFS($J$3:$J$1002,"="&amp;SUBSTITUTE(SUBSTITUTE(SUBSTITUTE(J945,"~","~~"),"*","~*"),"?","~?"),$L$3:$L$1002,1)*10000-V945)</f>
        <v/>
      </c>
    </row>
    <row r="946">
      <c r="A946">
        <f>IF(A$2=0,"",IFERROR(TRIM(INDEX('Pegar estudiantes'!$A$1:$BZ$1001,945,A$2)&amp;""),""))</f>
        <v/>
      </c>
      <c r="B946">
        <f>IF(B$2=0,"",IFERROR(TRIM(INDEX('Pegar estudiantes'!$A$1:$BZ$1001,945,B$2)&amp;""),""))</f>
        <v/>
      </c>
      <c r="C946">
        <f>IF(C$2=0,"",IFERROR(TRIM(INDEX('Pegar estudiantes'!$A$1:$BZ$1001,945,C$2)&amp;""),""))</f>
        <v/>
      </c>
      <c r="D946">
        <f>IF(D$2=0,"",IFERROR(TRIM(INDEX('Pegar estudiantes'!$A$1:$BZ$1001,945,D$2)&amp;""),""))</f>
        <v/>
      </c>
      <c r="E946">
        <f>IF(E$2=0,"",IFERROR(TRIM(INDEX('Pegar estudiantes'!$A$1:$BZ$1001,945,E$2)&amp;""),""))</f>
        <v/>
      </c>
      <c r="F946">
        <f>IF(F$2=0,"",IFERROR(TRIM(INDEX('Pegar estudiantes'!$A$1:$BZ$1001,945,F$2)&amp;""),""))</f>
        <v/>
      </c>
      <c r="G946">
        <f>IF(G$2=0,"",IFERROR(TRIM(INDEX('Pegar estudiantes'!$A$1:$BZ$1001,945,G$2)&amp;""),""))</f>
        <v/>
      </c>
      <c r="H946">
        <f>IF(H$2=0,"",IFERROR(TRIM(INDEX('Pegar estudiantes'!$A$1:$BZ$1001,945,H$2)&amp;""),""))</f>
        <v/>
      </c>
      <c r="I946">
        <f>IF(I$2=0,"",IFERROR(TRIM(INDEX('Pegar estudiantes'!$A$1:$BZ$1001,945,I$2)&amp;""),""))</f>
        <v/>
      </c>
      <c r="J946">
        <f>IF(J$2=0,"",IFERROR(TRIM(INDEX('Pegar estudiantes'!$A$1:$BZ$1001,945,J$2)&amp;""),""))</f>
        <v/>
      </c>
      <c r="K946">
        <f>IF(K$2=0,"",IFERROR(TRIM(INDEX('Pegar estudiantes'!$A$1:$BZ$1001,945,K$2)&amp;""),""))</f>
        <v/>
      </c>
      <c r="L946" s="25">
        <f>IF(A946&lt;&gt;"",1,"")</f>
        <v/>
      </c>
      <c r="M946" s="25">
        <f>IF(L946=1,IF(ISNUMBER(FIND("#"&amp;MID(A946,1,1)&amp;"#","#0#1#2#3#4#5#6#7#8#9#")),IF(ISNUMBER(FIND("#"&amp;MID(A946,2,1)&amp;"#","#0#1#2#3#4#5#6#7#8#9#")),IF(AND(VALUE(LEFT(A946,2))&gt;=1,VALUE(LEFT(A946,2))&lt;=5),VALUE(LEFT(A946,2)),""),IF(AND(VALUE(LEFT(A946,1))&gt;=1,VALUE(LEFT(A946,1))&lt;=5),VALUE(LEFT(A946,1)),"")),""),"")</f>
        <v/>
      </c>
      <c r="N946" s="25">
        <f>IF(L946=1,IF(ISNUMBER(FIND("#"&amp;MID(H946,1,1)&amp;"#","#0#1#2#3#4#5#6#7#8#9#")),IF(ISNUMBER(FIND("#"&amp;MID(H946,2,1)&amp;"#","#0#1#2#3#4#5#6#7#8#9#")),IF(AND(VALUE(LEFT(H946,2))&gt;=1,VALUE(LEFT(H946,2))&lt;=5),VALUE(LEFT(H946,2)),""),IF(AND(VALUE(LEFT(H946,1))&gt;=1,VALUE(LEFT(H946,1))&lt;=5),VALUE(LEFT(H946,1)),"")),""),"")</f>
        <v/>
      </c>
      <c r="O946" s="25">
        <f>IF(AND(L946=1,B946&lt;&gt;""),SUBSTITUTE(SUBSTITUTE(SUBSTITUTE(SUBSTITUTE(SUBSTITUTE(SUBSTITUTE(SUBSTITUTE(SUBSTITUTE(SUBSTITUTE(SUBSTITUTE(SUBSTITUTE(SUBSTITUTE(LOWER(TRIM(B946)),"á","a"),"é","e"),"í","i"),"ó","o"),"ú","u"),"ü","u"),"ñ","n"),"à","a"),"è","e"),"ì","i"),"ò","o"),"ù","u"),"")</f>
        <v/>
      </c>
      <c r="P946" s="25">
        <f>IF(AND(L946=1,C946&lt;&gt;""),SUBSTITUTE(SUBSTITUTE(SUBSTITUTE(SUBSTITUTE(SUBSTITUTE(SUBSTITUTE(SUBSTITUTE(SUBSTITUTE(SUBSTITUTE(SUBSTITUTE(SUBSTITUTE(SUBSTITUTE(LOWER(TRIM(C946)),"á","a"),"é","e"),"í","i"),"ó","o"),"ú","u"),"ü","u"),"ñ","n"),"à","a"),"è","e"),"ì","i"),"ò","o"),"ù","u"),"")</f>
        <v/>
      </c>
      <c r="Q946" s="25">
        <f>IF(AND(L946=1,E946&lt;&gt;""),SUBSTITUTE(SUBSTITUTE(SUBSTITUTE(SUBSTITUTE(SUBSTITUTE(SUBSTITUTE(SUBSTITUTE(SUBSTITUTE(SUBSTITUTE(SUBSTITUTE(SUBSTITUTE(SUBSTITUTE(LOWER(TRIM(E946)),"á","a"),"é","e"),"í","i"),"ó","o"),"ú","u"),"ü","u"),"ñ","n"),"à","a"),"è","e"),"ì","i"),"ò","o"),"ù","u"),"")</f>
        <v/>
      </c>
      <c r="R946" s="25">
        <f>IF(AND(L946=1,I946&lt;&gt;""),SUBSTITUTE(SUBSTITUTE(SUBSTITUTE(SUBSTITUTE(SUBSTITUTE(SUBSTITUTE(SUBSTITUTE(SUBSTITUTE(SUBSTITUTE(SUBSTITUTE(SUBSTITUTE(SUBSTITUTE(LOWER(TRIM(I946)),"á","a"),"é","e"),"í","i"),"ó","o"),"ú","u"),"ü","u"),"ñ","n"),"à","a"),"è","e"),"ì","i"),"ò","o"),"ù","u"),"")</f>
        <v/>
      </c>
      <c r="S946" s="25">
        <f>IF(R946="","",IF(OR(R946="si",R946="tal vez"),1,0))</f>
        <v/>
      </c>
      <c r="T946" s="25">
        <f>IF(AND(L946=1,D946&lt;&gt;""),IF(IFERROR(COUNTIFS(D$3:D946,"="&amp;SUBSTITUTE(SUBSTITUTE(SUBSTITUTE(D946,"~","~~"),"*","~*"),"?","~?"),L$3:L946,1),0)=1,MAX(T$2:T945)+1,""),"")</f>
        <v/>
      </c>
      <c r="U946" s="25">
        <f>IF(T946="","",COUNTIFS($D$3:$D$1002,"="&amp;SUBSTITUTE(SUBSTITUTE(SUBSTITUTE(D946,"~","~~"),"*","~*"),"?","~?"),$L$3:$L$1002,1)*10000-T946)</f>
        <v/>
      </c>
      <c r="V946" s="25">
        <f>IF(AND(L946=1,J946&lt;&gt;""),IF(IFERROR(COUNTIFS(J$3:J946,"="&amp;SUBSTITUTE(SUBSTITUTE(SUBSTITUTE(J946,"~","~~"),"*","~*"),"?","~?"),L$3:L946,1),0)=1,MAX(V$2:V945)+1,""),"")</f>
        <v/>
      </c>
      <c r="W946" s="25">
        <f>IF(V946="","",COUNTIFS($J$3:$J$1002,"="&amp;SUBSTITUTE(SUBSTITUTE(SUBSTITUTE(J946,"~","~~"),"*","~*"),"?","~?"),$L$3:$L$1002,1)*10000-V946)</f>
        <v/>
      </c>
    </row>
    <row r="947">
      <c r="A947">
        <f>IF(A$2=0,"",IFERROR(TRIM(INDEX('Pegar estudiantes'!$A$1:$BZ$1001,946,A$2)&amp;""),""))</f>
        <v/>
      </c>
      <c r="B947">
        <f>IF(B$2=0,"",IFERROR(TRIM(INDEX('Pegar estudiantes'!$A$1:$BZ$1001,946,B$2)&amp;""),""))</f>
        <v/>
      </c>
      <c r="C947">
        <f>IF(C$2=0,"",IFERROR(TRIM(INDEX('Pegar estudiantes'!$A$1:$BZ$1001,946,C$2)&amp;""),""))</f>
        <v/>
      </c>
      <c r="D947">
        <f>IF(D$2=0,"",IFERROR(TRIM(INDEX('Pegar estudiantes'!$A$1:$BZ$1001,946,D$2)&amp;""),""))</f>
        <v/>
      </c>
      <c r="E947">
        <f>IF(E$2=0,"",IFERROR(TRIM(INDEX('Pegar estudiantes'!$A$1:$BZ$1001,946,E$2)&amp;""),""))</f>
        <v/>
      </c>
      <c r="F947">
        <f>IF(F$2=0,"",IFERROR(TRIM(INDEX('Pegar estudiantes'!$A$1:$BZ$1001,946,F$2)&amp;""),""))</f>
        <v/>
      </c>
      <c r="G947">
        <f>IF(G$2=0,"",IFERROR(TRIM(INDEX('Pegar estudiantes'!$A$1:$BZ$1001,946,G$2)&amp;""),""))</f>
        <v/>
      </c>
      <c r="H947">
        <f>IF(H$2=0,"",IFERROR(TRIM(INDEX('Pegar estudiantes'!$A$1:$BZ$1001,946,H$2)&amp;""),""))</f>
        <v/>
      </c>
      <c r="I947">
        <f>IF(I$2=0,"",IFERROR(TRIM(INDEX('Pegar estudiantes'!$A$1:$BZ$1001,946,I$2)&amp;""),""))</f>
        <v/>
      </c>
      <c r="J947">
        <f>IF(J$2=0,"",IFERROR(TRIM(INDEX('Pegar estudiantes'!$A$1:$BZ$1001,946,J$2)&amp;""),""))</f>
        <v/>
      </c>
      <c r="K947">
        <f>IF(K$2=0,"",IFERROR(TRIM(INDEX('Pegar estudiantes'!$A$1:$BZ$1001,946,K$2)&amp;""),""))</f>
        <v/>
      </c>
      <c r="L947" s="25">
        <f>IF(A947&lt;&gt;"",1,"")</f>
        <v/>
      </c>
      <c r="M947" s="25">
        <f>IF(L947=1,IF(ISNUMBER(FIND("#"&amp;MID(A947,1,1)&amp;"#","#0#1#2#3#4#5#6#7#8#9#")),IF(ISNUMBER(FIND("#"&amp;MID(A947,2,1)&amp;"#","#0#1#2#3#4#5#6#7#8#9#")),IF(AND(VALUE(LEFT(A947,2))&gt;=1,VALUE(LEFT(A947,2))&lt;=5),VALUE(LEFT(A947,2)),""),IF(AND(VALUE(LEFT(A947,1))&gt;=1,VALUE(LEFT(A947,1))&lt;=5),VALUE(LEFT(A947,1)),"")),""),"")</f>
        <v/>
      </c>
      <c r="N947" s="25">
        <f>IF(L947=1,IF(ISNUMBER(FIND("#"&amp;MID(H947,1,1)&amp;"#","#0#1#2#3#4#5#6#7#8#9#")),IF(ISNUMBER(FIND("#"&amp;MID(H947,2,1)&amp;"#","#0#1#2#3#4#5#6#7#8#9#")),IF(AND(VALUE(LEFT(H947,2))&gt;=1,VALUE(LEFT(H947,2))&lt;=5),VALUE(LEFT(H947,2)),""),IF(AND(VALUE(LEFT(H947,1))&gt;=1,VALUE(LEFT(H947,1))&lt;=5),VALUE(LEFT(H947,1)),"")),""),"")</f>
        <v/>
      </c>
      <c r="O947" s="25">
        <f>IF(AND(L947=1,B947&lt;&gt;""),SUBSTITUTE(SUBSTITUTE(SUBSTITUTE(SUBSTITUTE(SUBSTITUTE(SUBSTITUTE(SUBSTITUTE(SUBSTITUTE(SUBSTITUTE(SUBSTITUTE(SUBSTITUTE(SUBSTITUTE(LOWER(TRIM(B947)),"á","a"),"é","e"),"í","i"),"ó","o"),"ú","u"),"ü","u"),"ñ","n"),"à","a"),"è","e"),"ì","i"),"ò","o"),"ù","u"),"")</f>
        <v/>
      </c>
      <c r="P947" s="25">
        <f>IF(AND(L947=1,C947&lt;&gt;""),SUBSTITUTE(SUBSTITUTE(SUBSTITUTE(SUBSTITUTE(SUBSTITUTE(SUBSTITUTE(SUBSTITUTE(SUBSTITUTE(SUBSTITUTE(SUBSTITUTE(SUBSTITUTE(SUBSTITUTE(LOWER(TRIM(C947)),"á","a"),"é","e"),"í","i"),"ó","o"),"ú","u"),"ü","u"),"ñ","n"),"à","a"),"è","e"),"ì","i"),"ò","o"),"ù","u"),"")</f>
        <v/>
      </c>
      <c r="Q947" s="25">
        <f>IF(AND(L947=1,E947&lt;&gt;""),SUBSTITUTE(SUBSTITUTE(SUBSTITUTE(SUBSTITUTE(SUBSTITUTE(SUBSTITUTE(SUBSTITUTE(SUBSTITUTE(SUBSTITUTE(SUBSTITUTE(SUBSTITUTE(SUBSTITUTE(LOWER(TRIM(E947)),"á","a"),"é","e"),"í","i"),"ó","o"),"ú","u"),"ü","u"),"ñ","n"),"à","a"),"è","e"),"ì","i"),"ò","o"),"ù","u"),"")</f>
        <v/>
      </c>
      <c r="R947" s="25">
        <f>IF(AND(L947=1,I947&lt;&gt;""),SUBSTITUTE(SUBSTITUTE(SUBSTITUTE(SUBSTITUTE(SUBSTITUTE(SUBSTITUTE(SUBSTITUTE(SUBSTITUTE(SUBSTITUTE(SUBSTITUTE(SUBSTITUTE(SUBSTITUTE(LOWER(TRIM(I947)),"á","a"),"é","e"),"í","i"),"ó","o"),"ú","u"),"ü","u"),"ñ","n"),"à","a"),"è","e"),"ì","i"),"ò","o"),"ù","u"),"")</f>
        <v/>
      </c>
      <c r="S947" s="25">
        <f>IF(R947="","",IF(OR(R947="si",R947="tal vez"),1,0))</f>
        <v/>
      </c>
      <c r="T947" s="25">
        <f>IF(AND(L947=1,D947&lt;&gt;""),IF(IFERROR(COUNTIFS(D$3:D947,"="&amp;SUBSTITUTE(SUBSTITUTE(SUBSTITUTE(D947,"~","~~"),"*","~*"),"?","~?"),L$3:L947,1),0)=1,MAX(T$2:T946)+1,""),"")</f>
        <v/>
      </c>
      <c r="U947" s="25">
        <f>IF(T947="","",COUNTIFS($D$3:$D$1002,"="&amp;SUBSTITUTE(SUBSTITUTE(SUBSTITUTE(D947,"~","~~"),"*","~*"),"?","~?"),$L$3:$L$1002,1)*10000-T947)</f>
        <v/>
      </c>
      <c r="V947" s="25">
        <f>IF(AND(L947=1,J947&lt;&gt;""),IF(IFERROR(COUNTIFS(J$3:J947,"="&amp;SUBSTITUTE(SUBSTITUTE(SUBSTITUTE(J947,"~","~~"),"*","~*"),"?","~?"),L$3:L947,1),0)=1,MAX(V$2:V946)+1,""),"")</f>
        <v/>
      </c>
      <c r="W947" s="25">
        <f>IF(V947="","",COUNTIFS($J$3:$J$1002,"="&amp;SUBSTITUTE(SUBSTITUTE(SUBSTITUTE(J947,"~","~~"),"*","~*"),"?","~?"),$L$3:$L$1002,1)*10000-V947)</f>
        <v/>
      </c>
    </row>
    <row r="948">
      <c r="A948">
        <f>IF(A$2=0,"",IFERROR(TRIM(INDEX('Pegar estudiantes'!$A$1:$BZ$1001,947,A$2)&amp;""),""))</f>
        <v/>
      </c>
      <c r="B948">
        <f>IF(B$2=0,"",IFERROR(TRIM(INDEX('Pegar estudiantes'!$A$1:$BZ$1001,947,B$2)&amp;""),""))</f>
        <v/>
      </c>
      <c r="C948">
        <f>IF(C$2=0,"",IFERROR(TRIM(INDEX('Pegar estudiantes'!$A$1:$BZ$1001,947,C$2)&amp;""),""))</f>
        <v/>
      </c>
      <c r="D948">
        <f>IF(D$2=0,"",IFERROR(TRIM(INDEX('Pegar estudiantes'!$A$1:$BZ$1001,947,D$2)&amp;""),""))</f>
        <v/>
      </c>
      <c r="E948">
        <f>IF(E$2=0,"",IFERROR(TRIM(INDEX('Pegar estudiantes'!$A$1:$BZ$1001,947,E$2)&amp;""),""))</f>
        <v/>
      </c>
      <c r="F948">
        <f>IF(F$2=0,"",IFERROR(TRIM(INDEX('Pegar estudiantes'!$A$1:$BZ$1001,947,F$2)&amp;""),""))</f>
        <v/>
      </c>
      <c r="G948">
        <f>IF(G$2=0,"",IFERROR(TRIM(INDEX('Pegar estudiantes'!$A$1:$BZ$1001,947,G$2)&amp;""),""))</f>
        <v/>
      </c>
      <c r="H948">
        <f>IF(H$2=0,"",IFERROR(TRIM(INDEX('Pegar estudiantes'!$A$1:$BZ$1001,947,H$2)&amp;""),""))</f>
        <v/>
      </c>
      <c r="I948">
        <f>IF(I$2=0,"",IFERROR(TRIM(INDEX('Pegar estudiantes'!$A$1:$BZ$1001,947,I$2)&amp;""),""))</f>
        <v/>
      </c>
      <c r="J948">
        <f>IF(J$2=0,"",IFERROR(TRIM(INDEX('Pegar estudiantes'!$A$1:$BZ$1001,947,J$2)&amp;""),""))</f>
        <v/>
      </c>
      <c r="K948">
        <f>IF(K$2=0,"",IFERROR(TRIM(INDEX('Pegar estudiantes'!$A$1:$BZ$1001,947,K$2)&amp;""),""))</f>
        <v/>
      </c>
      <c r="L948" s="25">
        <f>IF(A948&lt;&gt;"",1,"")</f>
        <v/>
      </c>
      <c r="M948" s="25">
        <f>IF(L948=1,IF(ISNUMBER(FIND("#"&amp;MID(A948,1,1)&amp;"#","#0#1#2#3#4#5#6#7#8#9#")),IF(ISNUMBER(FIND("#"&amp;MID(A948,2,1)&amp;"#","#0#1#2#3#4#5#6#7#8#9#")),IF(AND(VALUE(LEFT(A948,2))&gt;=1,VALUE(LEFT(A948,2))&lt;=5),VALUE(LEFT(A948,2)),""),IF(AND(VALUE(LEFT(A948,1))&gt;=1,VALUE(LEFT(A948,1))&lt;=5),VALUE(LEFT(A948,1)),"")),""),"")</f>
        <v/>
      </c>
      <c r="N948" s="25">
        <f>IF(L948=1,IF(ISNUMBER(FIND("#"&amp;MID(H948,1,1)&amp;"#","#0#1#2#3#4#5#6#7#8#9#")),IF(ISNUMBER(FIND("#"&amp;MID(H948,2,1)&amp;"#","#0#1#2#3#4#5#6#7#8#9#")),IF(AND(VALUE(LEFT(H948,2))&gt;=1,VALUE(LEFT(H948,2))&lt;=5),VALUE(LEFT(H948,2)),""),IF(AND(VALUE(LEFT(H948,1))&gt;=1,VALUE(LEFT(H948,1))&lt;=5),VALUE(LEFT(H948,1)),"")),""),"")</f>
        <v/>
      </c>
      <c r="O948" s="25">
        <f>IF(AND(L948=1,B948&lt;&gt;""),SUBSTITUTE(SUBSTITUTE(SUBSTITUTE(SUBSTITUTE(SUBSTITUTE(SUBSTITUTE(SUBSTITUTE(SUBSTITUTE(SUBSTITUTE(SUBSTITUTE(SUBSTITUTE(SUBSTITUTE(LOWER(TRIM(B948)),"á","a"),"é","e"),"í","i"),"ó","o"),"ú","u"),"ü","u"),"ñ","n"),"à","a"),"è","e"),"ì","i"),"ò","o"),"ù","u"),"")</f>
        <v/>
      </c>
      <c r="P948" s="25">
        <f>IF(AND(L948=1,C948&lt;&gt;""),SUBSTITUTE(SUBSTITUTE(SUBSTITUTE(SUBSTITUTE(SUBSTITUTE(SUBSTITUTE(SUBSTITUTE(SUBSTITUTE(SUBSTITUTE(SUBSTITUTE(SUBSTITUTE(SUBSTITUTE(LOWER(TRIM(C948)),"á","a"),"é","e"),"í","i"),"ó","o"),"ú","u"),"ü","u"),"ñ","n"),"à","a"),"è","e"),"ì","i"),"ò","o"),"ù","u"),"")</f>
        <v/>
      </c>
      <c r="Q948" s="25">
        <f>IF(AND(L948=1,E948&lt;&gt;""),SUBSTITUTE(SUBSTITUTE(SUBSTITUTE(SUBSTITUTE(SUBSTITUTE(SUBSTITUTE(SUBSTITUTE(SUBSTITUTE(SUBSTITUTE(SUBSTITUTE(SUBSTITUTE(SUBSTITUTE(LOWER(TRIM(E948)),"á","a"),"é","e"),"í","i"),"ó","o"),"ú","u"),"ü","u"),"ñ","n"),"à","a"),"è","e"),"ì","i"),"ò","o"),"ù","u"),"")</f>
        <v/>
      </c>
      <c r="R948" s="25">
        <f>IF(AND(L948=1,I948&lt;&gt;""),SUBSTITUTE(SUBSTITUTE(SUBSTITUTE(SUBSTITUTE(SUBSTITUTE(SUBSTITUTE(SUBSTITUTE(SUBSTITUTE(SUBSTITUTE(SUBSTITUTE(SUBSTITUTE(SUBSTITUTE(LOWER(TRIM(I948)),"á","a"),"é","e"),"í","i"),"ó","o"),"ú","u"),"ü","u"),"ñ","n"),"à","a"),"è","e"),"ì","i"),"ò","o"),"ù","u"),"")</f>
        <v/>
      </c>
      <c r="S948" s="25">
        <f>IF(R948="","",IF(OR(R948="si",R948="tal vez"),1,0))</f>
        <v/>
      </c>
      <c r="T948" s="25">
        <f>IF(AND(L948=1,D948&lt;&gt;""),IF(IFERROR(COUNTIFS(D$3:D948,"="&amp;SUBSTITUTE(SUBSTITUTE(SUBSTITUTE(D948,"~","~~"),"*","~*"),"?","~?"),L$3:L948,1),0)=1,MAX(T$2:T947)+1,""),"")</f>
        <v/>
      </c>
      <c r="U948" s="25">
        <f>IF(T948="","",COUNTIFS($D$3:$D$1002,"="&amp;SUBSTITUTE(SUBSTITUTE(SUBSTITUTE(D948,"~","~~"),"*","~*"),"?","~?"),$L$3:$L$1002,1)*10000-T948)</f>
        <v/>
      </c>
      <c r="V948" s="25">
        <f>IF(AND(L948=1,J948&lt;&gt;""),IF(IFERROR(COUNTIFS(J$3:J948,"="&amp;SUBSTITUTE(SUBSTITUTE(SUBSTITUTE(J948,"~","~~"),"*","~*"),"?","~?"),L$3:L948,1),0)=1,MAX(V$2:V947)+1,""),"")</f>
        <v/>
      </c>
      <c r="W948" s="25">
        <f>IF(V948="","",COUNTIFS($J$3:$J$1002,"="&amp;SUBSTITUTE(SUBSTITUTE(SUBSTITUTE(J948,"~","~~"),"*","~*"),"?","~?"),$L$3:$L$1002,1)*10000-V948)</f>
        <v/>
      </c>
    </row>
    <row r="949">
      <c r="A949">
        <f>IF(A$2=0,"",IFERROR(TRIM(INDEX('Pegar estudiantes'!$A$1:$BZ$1001,948,A$2)&amp;""),""))</f>
        <v/>
      </c>
      <c r="B949">
        <f>IF(B$2=0,"",IFERROR(TRIM(INDEX('Pegar estudiantes'!$A$1:$BZ$1001,948,B$2)&amp;""),""))</f>
        <v/>
      </c>
      <c r="C949">
        <f>IF(C$2=0,"",IFERROR(TRIM(INDEX('Pegar estudiantes'!$A$1:$BZ$1001,948,C$2)&amp;""),""))</f>
        <v/>
      </c>
      <c r="D949">
        <f>IF(D$2=0,"",IFERROR(TRIM(INDEX('Pegar estudiantes'!$A$1:$BZ$1001,948,D$2)&amp;""),""))</f>
        <v/>
      </c>
      <c r="E949">
        <f>IF(E$2=0,"",IFERROR(TRIM(INDEX('Pegar estudiantes'!$A$1:$BZ$1001,948,E$2)&amp;""),""))</f>
        <v/>
      </c>
      <c r="F949">
        <f>IF(F$2=0,"",IFERROR(TRIM(INDEX('Pegar estudiantes'!$A$1:$BZ$1001,948,F$2)&amp;""),""))</f>
        <v/>
      </c>
      <c r="G949">
        <f>IF(G$2=0,"",IFERROR(TRIM(INDEX('Pegar estudiantes'!$A$1:$BZ$1001,948,G$2)&amp;""),""))</f>
        <v/>
      </c>
      <c r="H949">
        <f>IF(H$2=0,"",IFERROR(TRIM(INDEX('Pegar estudiantes'!$A$1:$BZ$1001,948,H$2)&amp;""),""))</f>
        <v/>
      </c>
      <c r="I949">
        <f>IF(I$2=0,"",IFERROR(TRIM(INDEX('Pegar estudiantes'!$A$1:$BZ$1001,948,I$2)&amp;""),""))</f>
        <v/>
      </c>
      <c r="J949">
        <f>IF(J$2=0,"",IFERROR(TRIM(INDEX('Pegar estudiantes'!$A$1:$BZ$1001,948,J$2)&amp;""),""))</f>
        <v/>
      </c>
      <c r="K949">
        <f>IF(K$2=0,"",IFERROR(TRIM(INDEX('Pegar estudiantes'!$A$1:$BZ$1001,948,K$2)&amp;""),""))</f>
        <v/>
      </c>
      <c r="L949" s="25">
        <f>IF(A949&lt;&gt;"",1,"")</f>
        <v/>
      </c>
      <c r="M949" s="25">
        <f>IF(L949=1,IF(ISNUMBER(FIND("#"&amp;MID(A949,1,1)&amp;"#","#0#1#2#3#4#5#6#7#8#9#")),IF(ISNUMBER(FIND("#"&amp;MID(A949,2,1)&amp;"#","#0#1#2#3#4#5#6#7#8#9#")),IF(AND(VALUE(LEFT(A949,2))&gt;=1,VALUE(LEFT(A949,2))&lt;=5),VALUE(LEFT(A949,2)),""),IF(AND(VALUE(LEFT(A949,1))&gt;=1,VALUE(LEFT(A949,1))&lt;=5),VALUE(LEFT(A949,1)),"")),""),"")</f>
        <v/>
      </c>
      <c r="N949" s="25">
        <f>IF(L949=1,IF(ISNUMBER(FIND("#"&amp;MID(H949,1,1)&amp;"#","#0#1#2#3#4#5#6#7#8#9#")),IF(ISNUMBER(FIND("#"&amp;MID(H949,2,1)&amp;"#","#0#1#2#3#4#5#6#7#8#9#")),IF(AND(VALUE(LEFT(H949,2))&gt;=1,VALUE(LEFT(H949,2))&lt;=5),VALUE(LEFT(H949,2)),""),IF(AND(VALUE(LEFT(H949,1))&gt;=1,VALUE(LEFT(H949,1))&lt;=5),VALUE(LEFT(H949,1)),"")),""),"")</f>
        <v/>
      </c>
      <c r="O949" s="25">
        <f>IF(AND(L949=1,B949&lt;&gt;""),SUBSTITUTE(SUBSTITUTE(SUBSTITUTE(SUBSTITUTE(SUBSTITUTE(SUBSTITUTE(SUBSTITUTE(SUBSTITUTE(SUBSTITUTE(SUBSTITUTE(SUBSTITUTE(SUBSTITUTE(LOWER(TRIM(B949)),"á","a"),"é","e"),"í","i"),"ó","o"),"ú","u"),"ü","u"),"ñ","n"),"à","a"),"è","e"),"ì","i"),"ò","o"),"ù","u"),"")</f>
        <v/>
      </c>
      <c r="P949" s="25">
        <f>IF(AND(L949=1,C949&lt;&gt;""),SUBSTITUTE(SUBSTITUTE(SUBSTITUTE(SUBSTITUTE(SUBSTITUTE(SUBSTITUTE(SUBSTITUTE(SUBSTITUTE(SUBSTITUTE(SUBSTITUTE(SUBSTITUTE(SUBSTITUTE(LOWER(TRIM(C949)),"á","a"),"é","e"),"í","i"),"ó","o"),"ú","u"),"ü","u"),"ñ","n"),"à","a"),"è","e"),"ì","i"),"ò","o"),"ù","u"),"")</f>
        <v/>
      </c>
      <c r="Q949" s="25">
        <f>IF(AND(L949=1,E949&lt;&gt;""),SUBSTITUTE(SUBSTITUTE(SUBSTITUTE(SUBSTITUTE(SUBSTITUTE(SUBSTITUTE(SUBSTITUTE(SUBSTITUTE(SUBSTITUTE(SUBSTITUTE(SUBSTITUTE(SUBSTITUTE(LOWER(TRIM(E949)),"á","a"),"é","e"),"í","i"),"ó","o"),"ú","u"),"ü","u"),"ñ","n"),"à","a"),"è","e"),"ì","i"),"ò","o"),"ù","u"),"")</f>
        <v/>
      </c>
      <c r="R949" s="25">
        <f>IF(AND(L949=1,I949&lt;&gt;""),SUBSTITUTE(SUBSTITUTE(SUBSTITUTE(SUBSTITUTE(SUBSTITUTE(SUBSTITUTE(SUBSTITUTE(SUBSTITUTE(SUBSTITUTE(SUBSTITUTE(SUBSTITUTE(SUBSTITUTE(LOWER(TRIM(I949)),"á","a"),"é","e"),"í","i"),"ó","o"),"ú","u"),"ü","u"),"ñ","n"),"à","a"),"è","e"),"ì","i"),"ò","o"),"ù","u"),"")</f>
        <v/>
      </c>
      <c r="S949" s="25">
        <f>IF(R949="","",IF(OR(R949="si",R949="tal vez"),1,0))</f>
        <v/>
      </c>
      <c r="T949" s="25">
        <f>IF(AND(L949=1,D949&lt;&gt;""),IF(IFERROR(COUNTIFS(D$3:D949,"="&amp;SUBSTITUTE(SUBSTITUTE(SUBSTITUTE(D949,"~","~~"),"*","~*"),"?","~?"),L$3:L949,1),0)=1,MAX(T$2:T948)+1,""),"")</f>
        <v/>
      </c>
      <c r="U949" s="25">
        <f>IF(T949="","",COUNTIFS($D$3:$D$1002,"="&amp;SUBSTITUTE(SUBSTITUTE(SUBSTITUTE(D949,"~","~~"),"*","~*"),"?","~?"),$L$3:$L$1002,1)*10000-T949)</f>
        <v/>
      </c>
      <c r="V949" s="25">
        <f>IF(AND(L949=1,J949&lt;&gt;""),IF(IFERROR(COUNTIFS(J$3:J949,"="&amp;SUBSTITUTE(SUBSTITUTE(SUBSTITUTE(J949,"~","~~"),"*","~*"),"?","~?"),L$3:L949,1),0)=1,MAX(V$2:V948)+1,""),"")</f>
        <v/>
      </c>
      <c r="W949" s="25">
        <f>IF(V949="","",COUNTIFS($J$3:$J$1002,"="&amp;SUBSTITUTE(SUBSTITUTE(SUBSTITUTE(J949,"~","~~"),"*","~*"),"?","~?"),$L$3:$L$1002,1)*10000-V949)</f>
        <v/>
      </c>
    </row>
    <row r="950">
      <c r="A950">
        <f>IF(A$2=0,"",IFERROR(TRIM(INDEX('Pegar estudiantes'!$A$1:$BZ$1001,949,A$2)&amp;""),""))</f>
        <v/>
      </c>
      <c r="B950">
        <f>IF(B$2=0,"",IFERROR(TRIM(INDEX('Pegar estudiantes'!$A$1:$BZ$1001,949,B$2)&amp;""),""))</f>
        <v/>
      </c>
      <c r="C950">
        <f>IF(C$2=0,"",IFERROR(TRIM(INDEX('Pegar estudiantes'!$A$1:$BZ$1001,949,C$2)&amp;""),""))</f>
        <v/>
      </c>
      <c r="D950">
        <f>IF(D$2=0,"",IFERROR(TRIM(INDEX('Pegar estudiantes'!$A$1:$BZ$1001,949,D$2)&amp;""),""))</f>
        <v/>
      </c>
      <c r="E950">
        <f>IF(E$2=0,"",IFERROR(TRIM(INDEX('Pegar estudiantes'!$A$1:$BZ$1001,949,E$2)&amp;""),""))</f>
        <v/>
      </c>
      <c r="F950">
        <f>IF(F$2=0,"",IFERROR(TRIM(INDEX('Pegar estudiantes'!$A$1:$BZ$1001,949,F$2)&amp;""),""))</f>
        <v/>
      </c>
      <c r="G950">
        <f>IF(G$2=0,"",IFERROR(TRIM(INDEX('Pegar estudiantes'!$A$1:$BZ$1001,949,G$2)&amp;""),""))</f>
        <v/>
      </c>
      <c r="H950">
        <f>IF(H$2=0,"",IFERROR(TRIM(INDEX('Pegar estudiantes'!$A$1:$BZ$1001,949,H$2)&amp;""),""))</f>
        <v/>
      </c>
      <c r="I950">
        <f>IF(I$2=0,"",IFERROR(TRIM(INDEX('Pegar estudiantes'!$A$1:$BZ$1001,949,I$2)&amp;""),""))</f>
        <v/>
      </c>
      <c r="J950">
        <f>IF(J$2=0,"",IFERROR(TRIM(INDEX('Pegar estudiantes'!$A$1:$BZ$1001,949,J$2)&amp;""),""))</f>
        <v/>
      </c>
      <c r="K950">
        <f>IF(K$2=0,"",IFERROR(TRIM(INDEX('Pegar estudiantes'!$A$1:$BZ$1001,949,K$2)&amp;""),""))</f>
        <v/>
      </c>
      <c r="L950" s="25">
        <f>IF(A950&lt;&gt;"",1,"")</f>
        <v/>
      </c>
      <c r="M950" s="25">
        <f>IF(L950=1,IF(ISNUMBER(FIND("#"&amp;MID(A950,1,1)&amp;"#","#0#1#2#3#4#5#6#7#8#9#")),IF(ISNUMBER(FIND("#"&amp;MID(A950,2,1)&amp;"#","#0#1#2#3#4#5#6#7#8#9#")),IF(AND(VALUE(LEFT(A950,2))&gt;=1,VALUE(LEFT(A950,2))&lt;=5),VALUE(LEFT(A950,2)),""),IF(AND(VALUE(LEFT(A950,1))&gt;=1,VALUE(LEFT(A950,1))&lt;=5),VALUE(LEFT(A950,1)),"")),""),"")</f>
        <v/>
      </c>
      <c r="N950" s="25">
        <f>IF(L950=1,IF(ISNUMBER(FIND("#"&amp;MID(H950,1,1)&amp;"#","#0#1#2#3#4#5#6#7#8#9#")),IF(ISNUMBER(FIND("#"&amp;MID(H950,2,1)&amp;"#","#0#1#2#3#4#5#6#7#8#9#")),IF(AND(VALUE(LEFT(H950,2))&gt;=1,VALUE(LEFT(H950,2))&lt;=5),VALUE(LEFT(H950,2)),""),IF(AND(VALUE(LEFT(H950,1))&gt;=1,VALUE(LEFT(H950,1))&lt;=5),VALUE(LEFT(H950,1)),"")),""),"")</f>
        <v/>
      </c>
      <c r="O950" s="25">
        <f>IF(AND(L950=1,B950&lt;&gt;""),SUBSTITUTE(SUBSTITUTE(SUBSTITUTE(SUBSTITUTE(SUBSTITUTE(SUBSTITUTE(SUBSTITUTE(SUBSTITUTE(SUBSTITUTE(SUBSTITUTE(SUBSTITUTE(SUBSTITUTE(LOWER(TRIM(B950)),"á","a"),"é","e"),"í","i"),"ó","o"),"ú","u"),"ü","u"),"ñ","n"),"à","a"),"è","e"),"ì","i"),"ò","o"),"ù","u"),"")</f>
        <v/>
      </c>
      <c r="P950" s="25">
        <f>IF(AND(L950=1,C950&lt;&gt;""),SUBSTITUTE(SUBSTITUTE(SUBSTITUTE(SUBSTITUTE(SUBSTITUTE(SUBSTITUTE(SUBSTITUTE(SUBSTITUTE(SUBSTITUTE(SUBSTITUTE(SUBSTITUTE(SUBSTITUTE(LOWER(TRIM(C950)),"á","a"),"é","e"),"í","i"),"ó","o"),"ú","u"),"ü","u"),"ñ","n"),"à","a"),"è","e"),"ì","i"),"ò","o"),"ù","u"),"")</f>
        <v/>
      </c>
      <c r="Q950" s="25">
        <f>IF(AND(L950=1,E950&lt;&gt;""),SUBSTITUTE(SUBSTITUTE(SUBSTITUTE(SUBSTITUTE(SUBSTITUTE(SUBSTITUTE(SUBSTITUTE(SUBSTITUTE(SUBSTITUTE(SUBSTITUTE(SUBSTITUTE(SUBSTITUTE(LOWER(TRIM(E950)),"á","a"),"é","e"),"í","i"),"ó","o"),"ú","u"),"ü","u"),"ñ","n"),"à","a"),"è","e"),"ì","i"),"ò","o"),"ù","u"),"")</f>
        <v/>
      </c>
      <c r="R950" s="25">
        <f>IF(AND(L950=1,I950&lt;&gt;""),SUBSTITUTE(SUBSTITUTE(SUBSTITUTE(SUBSTITUTE(SUBSTITUTE(SUBSTITUTE(SUBSTITUTE(SUBSTITUTE(SUBSTITUTE(SUBSTITUTE(SUBSTITUTE(SUBSTITUTE(LOWER(TRIM(I950)),"á","a"),"é","e"),"í","i"),"ó","o"),"ú","u"),"ü","u"),"ñ","n"),"à","a"),"è","e"),"ì","i"),"ò","o"),"ù","u"),"")</f>
        <v/>
      </c>
      <c r="S950" s="25">
        <f>IF(R950="","",IF(OR(R950="si",R950="tal vez"),1,0))</f>
        <v/>
      </c>
      <c r="T950" s="25">
        <f>IF(AND(L950=1,D950&lt;&gt;""),IF(IFERROR(COUNTIFS(D$3:D950,"="&amp;SUBSTITUTE(SUBSTITUTE(SUBSTITUTE(D950,"~","~~"),"*","~*"),"?","~?"),L$3:L950,1),0)=1,MAX(T$2:T949)+1,""),"")</f>
        <v/>
      </c>
      <c r="U950" s="25">
        <f>IF(T950="","",COUNTIFS($D$3:$D$1002,"="&amp;SUBSTITUTE(SUBSTITUTE(SUBSTITUTE(D950,"~","~~"),"*","~*"),"?","~?"),$L$3:$L$1002,1)*10000-T950)</f>
        <v/>
      </c>
      <c r="V950" s="25">
        <f>IF(AND(L950=1,J950&lt;&gt;""),IF(IFERROR(COUNTIFS(J$3:J950,"="&amp;SUBSTITUTE(SUBSTITUTE(SUBSTITUTE(J950,"~","~~"),"*","~*"),"?","~?"),L$3:L950,1),0)=1,MAX(V$2:V949)+1,""),"")</f>
        <v/>
      </c>
      <c r="W950" s="25">
        <f>IF(V950="","",COUNTIFS($J$3:$J$1002,"="&amp;SUBSTITUTE(SUBSTITUTE(SUBSTITUTE(J950,"~","~~"),"*","~*"),"?","~?"),$L$3:$L$1002,1)*10000-V950)</f>
        <v/>
      </c>
    </row>
    <row r="951">
      <c r="A951">
        <f>IF(A$2=0,"",IFERROR(TRIM(INDEX('Pegar estudiantes'!$A$1:$BZ$1001,950,A$2)&amp;""),""))</f>
        <v/>
      </c>
      <c r="B951">
        <f>IF(B$2=0,"",IFERROR(TRIM(INDEX('Pegar estudiantes'!$A$1:$BZ$1001,950,B$2)&amp;""),""))</f>
        <v/>
      </c>
      <c r="C951">
        <f>IF(C$2=0,"",IFERROR(TRIM(INDEX('Pegar estudiantes'!$A$1:$BZ$1001,950,C$2)&amp;""),""))</f>
        <v/>
      </c>
      <c r="D951">
        <f>IF(D$2=0,"",IFERROR(TRIM(INDEX('Pegar estudiantes'!$A$1:$BZ$1001,950,D$2)&amp;""),""))</f>
        <v/>
      </c>
      <c r="E951">
        <f>IF(E$2=0,"",IFERROR(TRIM(INDEX('Pegar estudiantes'!$A$1:$BZ$1001,950,E$2)&amp;""),""))</f>
        <v/>
      </c>
      <c r="F951">
        <f>IF(F$2=0,"",IFERROR(TRIM(INDEX('Pegar estudiantes'!$A$1:$BZ$1001,950,F$2)&amp;""),""))</f>
        <v/>
      </c>
      <c r="G951">
        <f>IF(G$2=0,"",IFERROR(TRIM(INDEX('Pegar estudiantes'!$A$1:$BZ$1001,950,G$2)&amp;""),""))</f>
        <v/>
      </c>
      <c r="H951">
        <f>IF(H$2=0,"",IFERROR(TRIM(INDEX('Pegar estudiantes'!$A$1:$BZ$1001,950,H$2)&amp;""),""))</f>
        <v/>
      </c>
      <c r="I951">
        <f>IF(I$2=0,"",IFERROR(TRIM(INDEX('Pegar estudiantes'!$A$1:$BZ$1001,950,I$2)&amp;""),""))</f>
        <v/>
      </c>
      <c r="J951">
        <f>IF(J$2=0,"",IFERROR(TRIM(INDEX('Pegar estudiantes'!$A$1:$BZ$1001,950,J$2)&amp;""),""))</f>
        <v/>
      </c>
      <c r="K951">
        <f>IF(K$2=0,"",IFERROR(TRIM(INDEX('Pegar estudiantes'!$A$1:$BZ$1001,950,K$2)&amp;""),""))</f>
        <v/>
      </c>
      <c r="L951" s="25">
        <f>IF(A951&lt;&gt;"",1,"")</f>
        <v/>
      </c>
      <c r="M951" s="25">
        <f>IF(L951=1,IF(ISNUMBER(FIND("#"&amp;MID(A951,1,1)&amp;"#","#0#1#2#3#4#5#6#7#8#9#")),IF(ISNUMBER(FIND("#"&amp;MID(A951,2,1)&amp;"#","#0#1#2#3#4#5#6#7#8#9#")),IF(AND(VALUE(LEFT(A951,2))&gt;=1,VALUE(LEFT(A951,2))&lt;=5),VALUE(LEFT(A951,2)),""),IF(AND(VALUE(LEFT(A951,1))&gt;=1,VALUE(LEFT(A951,1))&lt;=5),VALUE(LEFT(A951,1)),"")),""),"")</f>
        <v/>
      </c>
      <c r="N951" s="25">
        <f>IF(L951=1,IF(ISNUMBER(FIND("#"&amp;MID(H951,1,1)&amp;"#","#0#1#2#3#4#5#6#7#8#9#")),IF(ISNUMBER(FIND("#"&amp;MID(H951,2,1)&amp;"#","#0#1#2#3#4#5#6#7#8#9#")),IF(AND(VALUE(LEFT(H951,2))&gt;=1,VALUE(LEFT(H951,2))&lt;=5),VALUE(LEFT(H951,2)),""),IF(AND(VALUE(LEFT(H951,1))&gt;=1,VALUE(LEFT(H951,1))&lt;=5),VALUE(LEFT(H951,1)),"")),""),"")</f>
        <v/>
      </c>
      <c r="O951" s="25">
        <f>IF(AND(L951=1,B951&lt;&gt;""),SUBSTITUTE(SUBSTITUTE(SUBSTITUTE(SUBSTITUTE(SUBSTITUTE(SUBSTITUTE(SUBSTITUTE(SUBSTITUTE(SUBSTITUTE(SUBSTITUTE(SUBSTITUTE(SUBSTITUTE(LOWER(TRIM(B951)),"á","a"),"é","e"),"í","i"),"ó","o"),"ú","u"),"ü","u"),"ñ","n"),"à","a"),"è","e"),"ì","i"),"ò","o"),"ù","u"),"")</f>
        <v/>
      </c>
      <c r="P951" s="25">
        <f>IF(AND(L951=1,C951&lt;&gt;""),SUBSTITUTE(SUBSTITUTE(SUBSTITUTE(SUBSTITUTE(SUBSTITUTE(SUBSTITUTE(SUBSTITUTE(SUBSTITUTE(SUBSTITUTE(SUBSTITUTE(SUBSTITUTE(SUBSTITUTE(LOWER(TRIM(C951)),"á","a"),"é","e"),"í","i"),"ó","o"),"ú","u"),"ü","u"),"ñ","n"),"à","a"),"è","e"),"ì","i"),"ò","o"),"ù","u"),"")</f>
        <v/>
      </c>
      <c r="Q951" s="25">
        <f>IF(AND(L951=1,E951&lt;&gt;""),SUBSTITUTE(SUBSTITUTE(SUBSTITUTE(SUBSTITUTE(SUBSTITUTE(SUBSTITUTE(SUBSTITUTE(SUBSTITUTE(SUBSTITUTE(SUBSTITUTE(SUBSTITUTE(SUBSTITUTE(LOWER(TRIM(E951)),"á","a"),"é","e"),"í","i"),"ó","o"),"ú","u"),"ü","u"),"ñ","n"),"à","a"),"è","e"),"ì","i"),"ò","o"),"ù","u"),"")</f>
        <v/>
      </c>
      <c r="R951" s="25">
        <f>IF(AND(L951=1,I951&lt;&gt;""),SUBSTITUTE(SUBSTITUTE(SUBSTITUTE(SUBSTITUTE(SUBSTITUTE(SUBSTITUTE(SUBSTITUTE(SUBSTITUTE(SUBSTITUTE(SUBSTITUTE(SUBSTITUTE(SUBSTITUTE(LOWER(TRIM(I951)),"á","a"),"é","e"),"í","i"),"ó","o"),"ú","u"),"ü","u"),"ñ","n"),"à","a"),"è","e"),"ì","i"),"ò","o"),"ù","u"),"")</f>
        <v/>
      </c>
      <c r="S951" s="25">
        <f>IF(R951="","",IF(OR(R951="si",R951="tal vez"),1,0))</f>
        <v/>
      </c>
      <c r="T951" s="25">
        <f>IF(AND(L951=1,D951&lt;&gt;""),IF(IFERROR(COUNTIFS(D$3:D951,"="&amp;SUBSTITUTE(SUBSTITUTE(SUBSTITUTE(D951,"~","~~"),"*","~*"),"?","~?"),L$3:L951,1),0)=1,MAX(T$2:T950)+1,""),"")</f>
        <v/>
      </c>
      <c r="U951" s="25">
        <f>IF(T951="","",COUNTIFS($D$3:$D$1002,"="&amp;SUBSTITUTE(SUBSTITUTE(SUBSTITUTE(D951,"~","~~"),"*","~*"),"?","~?"),$L$3:$L$1002,1)*10000-T951)</f>
        <v/>
      </c>
      <c r="V951" s="25">
        <f>IF(AND(L951=1,J951&lt;&gt;""),IF(IFERROR(COUNTIFS(J$3:J951,"="&amp;SUBSTITUTE(SUBSTITUTE(SUBSTITUTE(J951,"~","~~"),"*","~*"),"?","~?"),L$3:L951,1),0)=1,MAX(V$2:V950)+1,""),"")</f>
        <v/>
      </c>
      <c r="W951" s="25">
        <f>IF(V951="","",COUNTIFS($J$3:$J$1002,"="&amp;SUBSTITUTE(SUBSTITUTE(SUBSTITUTE(J951,"~","~~"),"*","~*"),"?","~?"),$L$3:$L$1002,1)*10000-V951)</f>
        <v/>
      </c>
    </row>
    <row r="952">
      <c r="A952">
        <f>IF(A$2=0,"",IFERROR(TRIM(INDEX('Pegar estudiantes'!$A$1:$BZ$1001,951,A$2)&amp;""),""))</f>
        <v/>
      </c>
      <c r="B952">
        <f>IF(B$2=0,"",IFERROR(TRIM(INDEX('Pegar estudiantes'!$A$1:$BZ$1001,951,B$2)&amp;""),""))</f>
        <v/>
      </c>
      <c r="C952">
        <f>IF(C$2=0,"",IFERROR(TRIM(INDEX('Pegar estudiantes'!$A$1:$BZ$1001,951,C$2)&amp;""),""))</f>
        <v/>
      </c>
      <c r="D952">
        <f>IF(D$2=0,"",IFERROR(TRIM(INDEX('Pegar estudiantes'!$A$1:$BZ$1001,951,D$2)&amp;""),""))</f>
        <v/>
      </c>
      <c r="E952">
        <f>IF(E$2=0,"",IFERROR(TRIM(INDEX('Pegar estudiantes'!$A$1:$BZ$1001,951,E$2)&amp;""),""))</f>
        <v/>
      </c>
      <c r="F952">
        <f>IF(F$2=0,"",IFERROR(TRIM(INDEX('Pegar estudiantes'!$A$1:$BZ$1001,951,F$2)&amp;""),""))</f>
        <v/>
      </c>
      <c r="G952">
        <f>IF(G$2=0,"",IFERROR(TRIM(INDEX('Pegar estudiantes'!$A$1:$BZ$1001,951,G$2)&amp;""),""))</f>
        <v/>
      </c>
      <c r="H952">
        <f>IF(H$2=0,"",IFERROR(TRIM(INDEX('Pegar estudiantes'!$A$1:$BZ$1001,951,H$2)&amp;""),""))</f>
        <v/>
      </c>
      <c r="I952">
        <f>IF(I$2=0,"",IFERROR(TRIM(INDEX('Pegar estudiantes'!$A$1:$BZ$1001,951,I$2)&amp;""),""))</f>
        <v/>
      </c>
      <c r="J952">
        <f>IF(J$2=0,"",IFERROR(TRIM(INDEX('Pegar estudiantes'!$A$1:$BZ$1001,951,J$2)&amp;""),""))</f>
        <v/>
      </c>
      <c r="K952">
        <f>IF(K$2=0,"",IFERROR(TRIM(INDEX('Pegar estudiantes'!$A$1:$BZ$1001,951,K$2)&amp;""),""))</f>
        <v/>
      </c>
      <c r="L952" s="25">
        <f>IF(A952&lt;&gt;"",1,"")</f>
        <v/>
      </c>
      <c r="M952" s="25">
        <f>IF(L952=1,IF(ISNUMBER(FIND("#"&amp;MID(A952,1,1)&amp;"#","#0#1#2#3#4#5#6#7#8#9#")),IF(ISNUMBER(FIND("#"&amp;MID(A952,2,1)&amp;"#","#0#1#2#3#4#5#6#7#8#9#")),IF(AND(VALUE(LEFT(A952,2))&gt;=1,VALUE(LEFT(A952,2))&lt;=5),VALUE(LEFT(A952,2)),""),IF(AND(VALUE(LEFT(A952,1))&gt;=1,VALUE(LEFT(A952,1))&lt;=5),VALUE(LEFT(A952,1)),"")),""),"")</f>
        <v/>
      </c>
      <c r="N952" s="25">
        <f>IF(L952=1,IF(ISNUMBER(FIND("#"&amp;MID(H952,1,1)&amp;"#","#0#1#2#3#4#5#6#7#8#9#")),IF(ISNUMBER(FIND("#"&amp;MID(H952,2,1)&amp;"#","#0#1#2#3#4#5#6#7#8#9#")),IF(AND(VALUE(LEFT(H952,2))&gt;=1,VALUE(LEFT(H952,2))&lt;=5),VALUE(LEFT(H952,2)),""),IF(AND(VALUE(LEFT(H952,1))&gt;=1,VALUE(LEFT(H952,1))&lt;=5),VALUE(LEFT(H952,1)),"")),""),"")</f>
        <v/>
      </c>
      <c r="O952" s="25">
        <f>IF(AND(L952=1,B952&lt;&gt;""),SUBSTITUTE(SUBSTITUTE(SUBSTITUTE(SUBSTITUTE(SUBSTITUTE(SUBSTITUTE(SUBSTITUTE(SUBSTITUTE(SUBSTITUTE(SUBSTITUTE(SUBSTITUTE(SUBSTITUTE(LOWER(TRIM(B952)),"á","a"),"é","e"),"í","i"),"ó","o"),"ú","u"),"ü","u"),"ñ","n"),"à","a"),"è","e"),"ì","i"),"ò","o"),"ù","u"),"")</f>
        <v/>
      </c>
      <c r="P952" s="25">
        <f>IF(AND(L952=1,C952&lt;&gt;""),SUBSTITUTE(SUBSTITUTE(SUBSTITUTE(SUBSTITUTE(SUBSTITUTE(SUBSTITUTE(SUBSTITUTE(SUBSTITUTE(SUBSTITUTE(SUBSTITUTE(SUBSTITUTE(SUBSTITUTE(LOWER(TRIM(C952)),"á","a"),"é","e"),"í","i"),"ó","o"),"ú","u"),"ü","u"),"ñ","n"),"à","a"),"è","e"),"ì","i"),"ò","o"),"ù","u"),"")</f>
        <v/>
      </c>
      <c r="Q952" s="25">
        <f>IF(AND(L952=1,E952&lt;&gt;""),SUBSTITUTE(SUBSTITUTE(SUBSTITUTE(SUBSTITUTE(SUBSTITUTE(SUBSTITUTE(SUBSTITUTE(SUBSTITUTE(SUBSTITUTE(SUBSTITUTE(SUBSTITUTE(SUBSTITUTE(LOWER(TRIM(E952)),"á","a"),"é","e"),"í","i"),"ó","o"),"ú","u"),"ü","u"),"ñ","n"),"à","a"),"è","e"),"ì","i"),"ò","o"),"ù","u"),"")</f>
        <v/>
      </c>
      <c r="R952" s="25">
        <f>IF(AND(L952=1,I952&lt;&gt;""),SUBSTITUTE(SUBSTITUTE(SUBSTITUTE(SUBSTITUTE(SUBSTITUTE(SUBSTITUTE(SUBSTITUTE(SUBSTITUTE(SUBSTITUTE(SUBSTITUTE(SUBSTITUTE(SUBSTITUTE(LOWER(TRIM(I952)),"á","a"),"é","e"),"í","i"),"ó","o"),"ú","u"),"ü","u"),"ñ","n"),"à","a"),"è","e"),"ì","i"),"ò","o"),"ù","u"),"")</f>
        <v/>
      </c>
      <c r="S952" s="25">
        <f>IF(R952="","",IF(OR(R952="si",R952="tal vez"),1,0))</f>
        <v/>
      </c>
      <c r="T952" s="25">
        <f>IF(AND(L952=1,D952&lt;&gt;""),IF(IFERROR(COUNTIFS(D$3:D952,"="&amp;SUBSTITUTE(SUBSTITUTE(SUBSTITUTE(D952,"~","~~"),"*","~*"),"?","~?"),L$3:L952,1),0)=1,MAX(T$2:T951)+1,""),"")</f>
        <v/>
      </c>
      <c r="U952" s="25">
        <f>IF(T952="","",COUNTIFS($D$3:$D$1002,"="&amp;SUBSTITUTE(SUBSTITUTE(SUBSTITUTE(D952,"~","~~"),"*","~*"),"?","~?"),$L$3:$L$1002,1)*10000-T952)</f>
        <v/>
      </c>
      <c r="V952" s="25">
        <f>IF(AND(L952=1,J952&lt;&gt;""),IF(IFERROR(COUNTIFS(J$3:J952,"="&amp;SUBSTITUTE(SUBSTITUTE(SUBSTITUTE(J952,"~","~~"),"*","~*"),"?","~?"),L$3:L952,1),0)=1,MAX(V$2:V951)+1,""),"")</f>
        <v/>
      </c>
      <c r="W952" s="25">
        <f>IF(V952="","",COUNTIFS($J$3:$J$1002,"="&amp;SUBSTITUTE(SUBSTITUTE(SUBSTITUTE(J952,"~","~~"),"*","~*"),"?","~?"),$L$3:$L$1002,1)*10000-V952)</f>
        <v/>
      </c>
    </row>
    <row r="953">
      <c r="A953">
        <f>IF(A$2=0,"",IFERROR(TRIM(INDEX('Pegar estudiantes'!$A$1:$BZ$1001,952,A$2)&amp;""),""))</f>
        <v/>
      </c>
      <c r="B953">
        <f>IF(B$2=0,"",IFERROR(TRIM(INDEX('Pegar estudiantes'!$A$1:$BZ$1001,952,B$2)&amp;""),""))</f>
        <v/>
      </c>
      <c r="C953">
        <f>IF(C$2=0,"",IFERROR(TRIM(INDEX('Pegar estudiantes'!$A$1:$BZ$1001,952,C$2)&amp;""),""))</f>
        <v/>
      </c>
      <c r="D953">
        <f>IF(D$2=0,"",IFERROR(TRIM(INDEX('Pegar estudiantes'!$A$1:$BZ$1001,952,D$2)&amp;""),""))</f>
        <v/>
      </c>
      <c r="E953">
        <f>IF(E$2=0,"",IFERROR(TRIM(INDEX('Pegar estudiantes'!$A$1:$BZ$1001,952,E$2)&amp;""),""))</f>
        <v/>
      </c>
      <c r="F953">
        <f>IF(F$2=0,"",IFERROR(TRIM(INDEX('Pegar estudiantes'!$A$1:$BZ$1001,952,F$2)&amp;""),""))</f>
        <v/>
      </c>
      <c r="G953">
        <f>IF(G$2=0,"",IFERROR(TRIM(INDEX('Pegar estudiantes'!$A$1:$BZ$1001,952,G$2)&amp;""),""))</f>
        <v/>
      </c>
      <c r="H953">
        <f>IF(H$2=0,"",IFERROR(TRIM(INDEX('Pegar estudiantes'!$A$1:$BZ$1001,952,H$2)&amp;""),""))</f>
        <v/>
      </c>
      <c r="I953">
        <f>IF(I$2=0,"",IFERROR(TRIM(INDEX('Pegar estudiantes'!$A$1:$BZ$1001,952,I$2)&amp;""),""))</f>
        <v/>
      </c>
      <c r="J953">
        <f>IF(J$2=0,"",IFERROR(TRIM(INDEX('Pegar estudiantes'!$A$1:$BZ$1001,952,J$2)&amp;""),""))</f>
        <v/>
      </c>
      <c r="K953">
        <f>IF(K$2=0,"",IFERROR(TRIM(INDEX('Pegar estudiantes'!$A$1:$BZ$1001,952,K$2)&amp;""),""))</f>
        <v/>
      </c>
      <c r="L953" s="25">
        <f>IF(A953&lt;&gt;"",1,"")</f>
        <v/>
      </c>
      <c r="M953" s="25">
        <f>IF(L953=1,IF(ISNUMBER(FIND("#"&amp;MID(A953,1,1)&amp;"#","#0#1#2#3#4#5#6#7#8#9#")),IF(ISNUMBER(FIND("#"&amp;MID(A953,2,1)&amp;"#","#0#1#2#3#4#5#6#7#8#9#")),IF(AND(VALUE(LEFT(A953,2))&gt;=1,VALUE(LEFT(A953,2))&lt;=5),VALUE(LEFT(A953,2)),""),IF(AND(VALUE(LEFT(A953,1))&gt;=1,VALUE(LEFT(A953,1))&lt;=5),VALUE(LEFT(A953,1)),"")),""),"")</f>
        <v/>
      </c>
      <c r="N953" s="25">
        <f>IF(L953=1,IF(ISNUMBER(FIND("#"&amp;MID(H953,1,1)&amp;"#","#0#1#2#3#4#5#6#7#8#9#")),IF(ISNUMBER(FIND("#"&amp;MID(H953,2,1)&amp;"#","#0#1#2#3#4#5#6#7#8#9#")),IF(AND(VALUE(LEFT(H953,2))&gt;=1,VALUE(LEFT(H953,2))&lt;=5),VALUE(LEFT(H953,2)),""),IF(AND(VALUE(LEFT(H953,1))&gt;=1,VALUE(LEFT(H953,1))&lt;=5),VALUE(LEFT(H953,1)),"")),""),"")</f>
        <v/>
      </c>
      <c r="O953" s="25">
        <f>IF(AND(L953=1,B953&lt;&gt;""),SUBSTITUTE(SUBSTITUTE(SUBSTITUTE(SUBSTITUTE(SUBSTITUTE(SUBSTITUTE(SUBSTITUTE(SUBSTITUTE(SUBSTITUTE(SUBSTITUTE(SUBSTITUTE(SUBSTITUTE(LOWER(TRIM(B953)),"á","a"),"é","e"),"í","i"),"ó","o"),"ú","u"),"ü","u"),"ñ","n"),"à","a"),"è","e"),"ì","i"),"ò","o"),"ù","u"),"")</f>
        <v/>
      </c>
      <c r="P953" s="25">
        <f>IF(AND(L953=1,C953&lt;&gt;""),SUBSTITUTE(SUBSTITUTE(SUBSTITUTE(SUBSTITUTE(SUBSTITUTE(SUBSTITUTE(SUBSTITUTE(SUBSTITUTE(SUBSTITUTE(SUBSTITUTE(SUBSTITUTE(SUBSTITUTE(LOWER(TRIM(C953)),"á","a"),"é","e"),"í","i"),"ó","o"),"ú","u"),"ü","u"),"ñ","n"),"à","a"),"è","e"),"ì","i"),"ò","o"),"ù","u"),"")</f>
        <v/>
      </c>
      <c r="Q953" s="25">
        <f>IF(AND(L953=1,E953&lt;&gt;""),SUBSTITUTE(SUBSTITUTE(SUBSTITUTE(SUBSTITUTE(SUBSTITUTE(SUBSTITUTE(SUBSTITUTE(SUBSTITUTE(SUBSTITUTE(SUBSTITUTE(SUBSTITUTE(SUBSTITUTE(LOWER(TRIM(E953)),"á","a"),"é","e"),"í","i"),"ó","o"),"ú","u"),"ü","u"),"ñ","n"),"à","a"),"è","e"),"ì","i"),"ò","o"),"ù","u"),"")</f>
        <v/>
      </c>
      <c r="R953" s="25">
        <f>IF(AND(L953=1,I953&lt;&gt;""),SUBSTITUTE(SUBSTITUTE(SUBSTITUTE(SUBSTITUTE(SUBSTITUTE(SUBSTITUTE(SUBSTITUTE(SUBSTITUTE(SUBSTITUTE(SUBSTITUTE(SUBSTITUTE(SUBSTITUTE(LOWER(TRIM(I953)),"á","a"),"é","e"),"í","i"),"ó","o"),"ú","u"),"ü","u"),"ñ","n"),"à","a"),"è","e"),"ì","i"),"ò","o"),"ù","u"),"")</f>
        <v/>
      </c>
      <c r="S953" s="25">
        <f>IF(R953="","",IF(OR(R953="si",R953="tal vez"),1,0))</f>
        <v/>
      </c>
      <c r="T953" s="25">
        <f>IF(AND(L953=1,D953&lt;&gt;""),IF(IFERROR(COUNTIFS(D$3:D953,"="&amp;SUBSTITUTE(SUBSTITUTE(SUBSTITUTE(D953,"~","~~"),"*","~*"),"?","~?"),L$3:L953,1),0)=1,MAX(T$2:T952)+1,""),"")</f>
        <v/>
      </c>
      <c r="U953" s="25">
        <f>IF(T953="","",COUNTIFS($D$3:$D$1002,"="&amp;SUBSTITUTE(SUBSTITUTE(SUBSTITUTE(D953,"~","~~"),"*","~*"),"?","~?"),$L$3:$L$1002,1)*10000-T953)</f>
        <v/>
      </c>
      <c r="V953" s="25">
        <f>IF(AND(L953=1,J953&lt;&gt;""),IF(IFERROR(COUNTIFS(J$3:J953,"="&amp;SUBSTITUTE(SUBSTITUTE(SUBSTITUTE(J953,"~","~~"),"*","~*"),"?","~?"),L$3:L953,1),0)=1,MAX(V$2:V952)+1,""),"")</f>
        <v/>
      </c>
      <c r="W953" s="25">
        <f>IF(V953="","",COUNTIFS($J$3:$J$1002,"="&amp;SUBSTITUTE(SUBSTITUTE(SUBSTITUTE(J953,"~","~~"),"*","~*"),"?","~?"),$L$3:$L$1002,1)*10000-V953)</f>
        <v/>
      </c>
    </row>
    <row r="954">
      <c r="A954">
        <f>IF(A$2=0,"",IFERROR(TRIM(INDEX('Pegar estudiantes'!$A$1:$BZ$1001,953,A$2)&amp;""),""))</f>
        <v/>
      </c>
      <c r="B954">
        <f>IF(B$2=0,"",IFERROR(TRIM(INDEX('Pegar estudiantes'!$A$1:$BZ$1001,953,B$2)&amp;""),""))</f>
        <v/>
      </c>
      <c r="C954">
        <f>IF(C$2=0,"",IFERROR(TRIM(INDEX('Pegar estudiantes'!$A$1:$BZ$1001,953,C$2)&amp;""),""))</f>
        <v/>
      </c>
      <c r="D954">
        <f>IF(D$2=0,"",IFERROR(TRIM(INDEX('Pegar estudiantes'!$A$1:$BZ$1001,953,D$2)&amp;""),""))</f>
        <v/>
      </c>
      <c r="E954">
        <f>IF(E$2=0,"",IFERROR(TRIM(INDEX('Pegar estudiantes'!$A$1:$BZ$1001,953,E$2)&amp;""),""))</f>
        <v/>
      </c>
      <c r="F954">
        <f>IF(F$2=0,"",IFERROR(TRIM(INDEX('Pegar estudiantes'!$A$1:$BZ$1001,953,F$2)&amp;""),""))</f>
        <v/>
      </c>
      <c r="G954">
        <f>IF(G$2=0,"",IFERROR(TRIM(INDEX('Pegar estudiantes'!$A$1:$BZ$1001,953,G$2)&amp;""),""))</f>
        <v/>
      </c>
      <c r="H954">
        <f>IF(H$2=0,"",IFERROR(TRIM(INDEX('Pegar estudiantes'!$A$1:$BZ$1001,953,H$2)&amp;""),""))</f>
        <v/>
      </c>
      <c r="I954">
        <f>IF(I$2=0,"",IFERROR(TRIM(INDEX('Pegar estudiantes'!$A$1:$BZ$1001,953,I$2)&amp;""),""))</f>
        <v/>
      </c>
      <c r="J954">
        <f>IF(J$2=0,"",IFERROR(TRIM(INDEX('Pegar estudiantes'!$A$1:$BZ$1001,953,J$2)&amp;""),""))</f>
        <v/>
      </c>
      <c r="K954">
        <f>IF(K$2=0,"",IFERROR(TRIM(INDEX('Pegar estudiantes'!$A$1:$BZ$1001,953,K$2)&amp;""),""))</f>
        <v/>
      </c>
      <c r="L954" s="25">
        <f>IF(A954&lt;&gt;"",1,"")</f>
        <v/>
      </c>
      <c r="M954" s="25">
        <f>IF(L954=1,IF(ISNUMBER(FIND("#"&amp;MID(A954,1,1)&amp;"#","#0#1#2#3#4#5#6#7#8#9#")),IF(ISNUMBER(FIND("#"&amp;MID(A954,2,1)&amp;"#","#0#1#2#3#4#5#6#7#8#9#")),IF(AND(VALUE(LEFT(A954,2))&gt;=1,VALUE(LEFT(A954,2))&lt;=5),VALUE(LEFT(A954,2)),""),IF(AND(VALUE(LEFT(A954,1))&gt;=1,VALUE(LEFT(A954,1))&lt;=5),VALUE(LEFT(A954,1)),"")),""),"")</f>
        <v/>
      </c>
      <c r="N954" s="25">
        <f>IF(L954=1,IF(ISNUMBER(FIND("#"&amp;MID(H954,1,1)&amp;"#","#0#1#2#3#4#5#6#7#8#9#")),IF(ISNUMBER(FIND("#"&amp;MID(H954,2,1)&amp;"#","#0#1#2#3#4#5#6#7#8#9#")),IF(AND(VALUE(LEFT(H954,2))&gt;=1,VALUE(LEFT(H954,2))&lt;=5),VALUE(LEFT(H954,2)),""),IF(AND(VALUE(LEFT(H954,1))&gt;=1,VALUE(LEFT(H954,1))&lt;=5),VALUE(LEFT(H954,1)),"")),""),"")</f>
        <v/>
      </c>
      <c r="O954" s="25">
        <f>IF(AND(L954=1,B954&lt;&gt;""),SUBSTITUTE(SUBSTITUTE(SUBSTITUTE(SUBSTITUTE(SUBSTITUTE(SUBSTITUTE(SUBSTITUTE(SUBSTITUTE(SUBSTITUTE(SUBSTITUTE(SUBSTITUTE(SUBSTITUTE(LOWER(TRIM(B954)),"á","a"),"é","e"),"í","i"),"ó","o"),"ú","u"),"ü","u"),"ñ","n"),"à","a"),"è","e"),"ì","i"),"ò","o"),"ù","u"),"")</f>
        <v/>
      </c>
      <c r="P954" s="25">
        <f>IF(AND(L954=1,C954&lt;&gt;""),SUBSTITUTE(SUBSTITUTE(SUBSTITUTE(SUBSTITUTE(SUBSTITUTE(SUBSTITUTE(SUBSTITUTE(SUBSTITUTE(SUBSTITUTE(SUBSTITUTE(SUBSTITUTE(SUBSTITUTE(LOWER(TRIM(C954)),"á","a"),"é","e"),"í","i"),"ó","o"),"ú","u"),"ü","u"),"ñ","n"),"à","a"),"è","e"),"ì","i"),"ò","o"),"ù","u"),"")</f>
        <v/>
      </c>
      <c r="Q954" s="25">
        <f>IF(AND(L954=1,E954&lt;&gt;""),SUBSTITUTE(SUBSTITUTE(SUBSTITUTE(SUBSTITUTE(SUBSTITUTE(SUBSTITUTE(SUBSTITUTE(SUBSTITUTE(SUBSTITUTE(SUBSTITUTE(SUBSTITUTE(SUBSTITUTE(LOWER(TRIM(E954)),"á","a"),"é","e"),"í","i"),"ó","o"),"ú","u"),"ü","u"),"ñ","n"),"à","a"),"è","e"),"ì","i"),"ò","o"),"ù","u"),"")</f>
        <v/>
      </c>
      <c r="R954" s="25">
        <f>IF(AND(L954=1,I954&lt;&gt;""),SUBSTITUTE(SUBSTITUTE(SUBSTITUTE(SUBSTITUTE(SUBSTITUTE(SUBSTITUTE(SUBSTITUTE(SUBSTITUTE(SUBSTITUTE(SUBSTITUTE(SUBSTITUTE(SUBSTITUTE(LOWER(TRIM(I954)),"á","a"),"é","e"),"í","i"),"ó","o"),"ú","u"),"ü","u"),"ñ","n"),"à","a"),"è","e"),"ì","i"),"ò","o"),"ù","u"),"")</f>
        <v/>
      </c>
      <c r="S954" s="25">
        <f>IF(R954="","",IF(OR(R954="si",R954="tal vez"),1,0))</f>
        <v/>
      </c>
      <c r="T954" s="25">
        <f>IF(AND(L954=1,D954&lt;&gt;""),IF(IFERROR(COUNTIFS(D$3:D954,"="&amp;SUBSTITUTE(SUBSTITUTE(SUBSTITUTE(D954,"~","~~"),"*","~*"),"?","~?"),L$3:L954,1),0)=1,MAX(T$2:T953)+1,""),"")</f>
        <v/>
      </c>
      <c r="U954" s="25">
        <f>IF(T954="","",COUNTIFS($D$3:$D$1002,"="&amp;SUBSTITUTE(SUBSTITUTE(SUBSTITUTE(D954,"~","~~"),"*","~*"),"?","~?"),$L$3:$L$1002,1)*10000-T954)</f>
        <v/>
      </c>
      <c r="V954" s="25">
        <f>IF(AND(L954=1,J954&lt;&gt;""),IF(IFERROR(COUNTIFS(J$3:J954,"="&amp;SUBSTITUTE(SUBSTITUTE(SUBSTITUTE(J954,"~","~~"),"*","~*"),"?","~?"),L$3:L954,1),0)=1,MAX(V$2:V953)+1,""),"")</f>
        <v/>
      </c>
      <c r="W954" s="25">
        <f>IF(V954="","",COUNTIFS($J$3:$J$1002,"="&amp;SUBSTITUTE(SUBSTITUTE(SUBSTITUTE(J954,"~","~~"),"*","~*"),"?","~?"),$L$3:$L$1002,1)*10000-V954)</f>
        <v/>
      </c>
    </row>
    <row r="955">
      <c r="A955">
        <f>IF(A$2=0,"",IFERROR(TRIM(INDEX('Pegar estudiantes'!$A$1:$BZ$1001,954,A$2)&amp;""),""))</f>
        <v/>
      </c>
      <c r="B955">
        <f>IF(B$2=0,"",IFERROR(TRIM(INDEX('Pegar estudiantes'!$A$1:$BZ$1001,954,B$2)&amp;""),""))</f>
        <v/>
      </c>
      <c r="C955">
        <f>IF(C$2=0,"",IFERROR(TRIM(INDEX('Pegar estudiantes'!$A$1:$BZ$1001,954,C$2)&amp;""),""))</f>
        <v/>
      </c>
      <c r="D955">
        <f>IF(D$2=0,"",IFERROR(TRIM(INDEX('Pegar estudiantes'!$A$1:$BZ$1001,954,D$2)&amp;""),""))</f>
        <v/>
      </c>
      <c r="E955">
        <f>IF(E$2=0,"",IFERROR(TRIM(INDEX('Pegar estudiantes'!$A$1:$BZ$1001,954,E$2)&amp;""),""))</f>
        <v/>
      </c>
      <c r="F955">
        <f>IF(F$2=0,"",IFERROR(TRIM(INDEX('Pegar estudiantes'!$A$1:$BZ$1001,954,F$2)&amp;""),""))</f>
        <v/>
      </c>
      <c r="G955">
        <f>IF(G$2=0,"",IFERROR(TRIM(INDEX('Pegar estudiantes'!$A$1:$BZ$1001,954,G$2)&amp;""),""))</f>
        <v/>
      </c>
      <c r="H955">
        <f>IF(H$2=0,"",IFERROR(TRIM(INDEX('Pegar estudiantes'!$A$1:$BZ$1001,954,H$2)&amp;""),""))</f>
        <v/>
      </c>
      <c r="I955">
        <f>IF(I$2=0,"",IFERROR(TRIM(INDEX('Pegar estudiantes'!$A$1:$BZ$1001,954,I$2)&amp;""),""))</f>
        <v/>
      </c>
      <c r="J955">
        <f>IF(J$2=0,"",IFERROR(TRIM(INDEX('Pegar estudiantes'!$A$1:$BZ$1001,954,J$2)&amp;""),""))</f>
        <v/>
      </c>
      <c r="K955">
        <f>IF(K$2=0,"",IFERROR(TRIM(INDEX('Pegar estudiantes'!$A$1:$BZ$1001,954,K$2)&amp;""),""))</f>
        <v/>
      </c>
      <c r="L955" s="25">
        <f>IF(A955&lt;&gt;"",1,"")</f>
        <v/>
      </c>
      <c r="M955" s="25">
        <f>IF(L955=1,IF(ISNUMBER(FIND("#"&amp;MID(A955,1,1)&amp;"#","#0#1#2#3#4#5#6#7#8#9#")),IF(ISNUMBER(FIND("#"&amp;MID(A955,2,1)&amp;"#","#0#1#2#3#4#5#6#7#8#9#")),IF(AND(VALUE(LEFT(A955,2))&gt;=1,VALUE(LEFT(A955,2))&lt;=5),VALUE(LEFT(A955,2)),""),IF(AND(VALUE(LEFT(A955,1))&gt;=1,VALUE(LEFT(A955,1))&lt;=5),VALUE(LEFT(A955,1)),"")),""),"")</f>
        <v/>
      </c>
      <c r="N955" s="25">
        <f>IF(L955=1,IF(ISNUMBER(FIND("#"&amp;MID(H955,1,1)&amp;"#","#0#1#2#3#4#5#6#7#8#9#")),IF(ISNUMBER(FIND("#"&amp;MID(H955,2,1)&amp;"#","#0#1#2#3#4#5#6#7#8#9#")),IF(AND(VALUE(LEFT(H955,2))&gt;=1,VALUE(LEFT(H955,2))&lt;=5),VALUE(LEFT(H955,2)),""),IF(AND(VALUE(LEFT(H955,1))&gt;=1,VALUE(LEFT(H955,1))&lt;=5),VALUE(LEFT(H955,1)),"")),""),"")</f>
        <v/>
      </c>
      <c r="O955" s="25">
        <f>IF(AND(L955=1,B955&lt;&gt;""),SUBSTITUTE(SUBSTITUTE(SUBSTITUTE(SUBSTITUTE(SUBSTITUTE(SUBSTITUTE(SUBSTITUTE(SUBSTITUTE(SUBSTITUTE(SUBSTITUTE(SUBSTITUTE(SUBSTITUTE(LOWER(TRIM(B955)),"á","a"),"é","e"),"í","i"),"ó","o"),"ú","u"),"ü","u"),"ñ","n"),"à","a"),"è","e"),"ì","i"),"ò","o"),"ù","u"),"")</f>
        <v/>
      </c>
      <c r="P955" s="25">
        <f>IF(AND(L955=1,C955&lt;&gt;""),SUBSTITUTE(SUBSTITUTE(SUBSTITUTE(SUBSTITUTE(SUBSTITUTE(SUBSTITUTE(SUBSTITUTE(SUBSTITUTE(SUBSTITUTE(SUBSTITUTE(SUBSTITUTE(SUBSTITUTE(LOWER(TRIM(C955)),"á","a"),"é","e"),"í","i"),"ó","o"),"ú","u"),"ü","u"),"ñ","n"),"à","a"),"è","e"),"ì","i"),"ò","o"),"ù","u"),"")</f>
        <v/>
      </c>
      <c r="Q955" s="25">
        <f>IF(AND(L955=1,E955&lt;&gt;""),SUBSTITUTE(SUBSTITUTE(SUBSTITUTE(SUBSTITUTE(SUBSTITUTE(SUBSTITUTE(SUBSTITUTE(SUBSTITUTE(SUBSTITUTE(SUBSTITUTE(SUBSTITUTE(SUBSTITUTE(LOWER(TRIM(E955)),"á","a"),"é","e"),"í","i"),"ó","o"),"ú","u"),"ü","u"),"ñ","n"),"à","a"),"è","e"),"ì","i"),"ò","o"),"ù","u"),"")</f>
        <v/>
      </c>
      <c r="R955" s="25">
        <f>IF(AND(L955=1,I955&lt;&gt;""),SUBSTITUTE(SUBSTITUTE(SUBSTITUTE(SUBSTITUTE(SUBSTITUTE(SUBSTITUTE(SUBSTITUTE(SUBSTITUTE(SUBSTITUTE(SUBSTITUTE(SUBSTITUTE(SUBSTITUTE(LOWER(TRIM(I955)),"á","a"),"é","e"),"í","i"),"ó","o"),"ú","u"),"ü","u"),"ñ","n"),"à","a"),"è","e"),"ì","i"),"ò","o"),"ù","u"),"")</f>
        <v/>
      </c>
      <c r="S955" s="25">
        <f>IF(R955="","",IF(OR(R955="si",R955="tal vez"),1,0))</f>
        <v/>
      </c>
      <c r="T955" s="25">
        <f>IF(AND(L955=1,D955&lt;&gt;""),IF(IFERROR(COUNTIFS(D$3:D955,"="&amp;SUBSTITUTE(SUBSTITUTE(SUBSTITUTE(D955,"~","~~"),"*","~*"),"?","~?"),L$3:L955,1),0)=1,MAX(T$2:T954)+1,""),"")</f>
        <v/>
      </c>
      <c r="U955" s="25">
        <f>IF(T955="","",COUNTIFS($D$3:$D$1002,"="&amp;SUBSTITUTE(SUBSTITUTE(SUBSTITUTE(D955,"~","~~"),"*","~*"),"?","~?"),$L$3:$L$1002,1)*10000-T955)</f>
        <v/>
      </c>
      <c r="V955" s="25">
        <f>IF(AND(L955=1,J955&lt;&gt;""),IF(IFERROR(COUNTIFS(J$3:J955,"="&amp;SUBSTITUTE(SUBSTITUTE(SUBSTITUTE(J955,"~","~~"),"*","~*"),"?","~?"),L$3:L955,1),0)=1,MAX(V$2:V954)+1,""),"")</f>
        <v/>
      </c>
      <c r="W955" s="25">
        <f>IF(V955="","",COUNTIFS($J$3:$J$1002,"="&amp;SUBSTITUTE(SUBSTITUTE(SUBSTITUTE(J955,"~","~~"),"*","~*"),"?","~?"),$L$3:$L$1002,1)*10000-V955)</f>
        <v/>
      </c>
    </row>
    <row r="956">
      <c r="A956">
        <f>IF(A$2=0,"",IFERROR(TRIM(INDEX('Pegar estudiantes'!$A$1:$BZ$1001,955,A$2)&amp;""),""))</f>
        <v/>
      </c>
      <c r="B956">
        <f>IF(B$2=0,"",IFERROR(TRIM(INDEX('Pegar estudiantes'!$A$1:$BZ$1001,955,B$2)&amp;""),""))</f>
        <v/>
      </c>
      <c r="C956">
        <f>IF(C$2=0,"",IFERROR(TRIM(INDEX('Pegar estudiantes'!$A$1:$BZ$1001,955,C$2)&amp;""),""))</f>
        <v/>
      </c>
      <c r="D956">
        <f>IF(D$2=0,"",IFERROR(TRIM(INDEX('Pegar estudiantes'!$A$1:$BZ$1001,955,D$2)&amp;""),""))</f>
        <v/>
      </c>
      <c r="E956">
        <f>IF(E$2=0,"",IFERROR(TRIM(INDEX('Pegar estudiantes'!$A$1:$BZ$1001,955,E$2)&amp;""),""))</f>
        <v/>
      </c>
      <c r="F956">
        <f>IF(F$2=0,"",IFERROR(TRIM(INDEX('Pegar estudiantes'!$A$1:$BZ$1001,955,F$2)&amp;""),""))</f>
        <v/>
      </c>
      <c r="G956">
        <f>IF(G$2=0,"",IFERROR(TRIM(INDEX('Pegar estudiantes'!$A$1:$BZ$1001,955,G$2)&amp;""),""))</f>
        <v/>
      </c>
      <c r="H956">
        <f>IF(H$2=0,"",IFERROR(TRIM(INDEX('Pegar estudiantes'!$A$1:$BZ$1001,955,H$2)&amp;""),""))</f>
        <v/>
      </c>
      <c r="I956">
        <f>IF(I$2=0,"",IFERROR(TRIM(INDEX('Pegar estudiantes'!$A$1:$BZ$1001,955,I$2)&amp;""),""))</f>
        <v/>
      </c>
      <c r="J956">
        <f>IF(J$2=0,"",IFERROR(TRIM(INDEX('Pegar estudiantes'!$A$1:$BZ$1001,955,J$2)&amp;""),""))</f>
        <v/>
      </c>
      <c r="K956">
        <f>IF(K$2=0,"",IFERROR(TRIM(INDEX('Pegar estudiantes'!$A$1:$BZ$1001,955,K$2)&amp;""),""))</f>
        <v/>
      </c>
      <c r="L956" s="25">
        <f>IF(A956&lt;&gt;"",1,"")</f>
        <v/>
      </c>
      <c r="M956" s="25">
        <f>IF(L956=1,IF(ISNUMBER(FIND("#"&amp;MID(A956,1,1)&amp;"#","#0#1#2#3#4#5#6#7#8#9#")),IF(ISNUMBER(FIND("#"&amp;MID(A956,2,1)&amp;"#","#0#1#2#3#4#5#6#7#8#9#")),IF(AND(VALUE(LEFT(A956,2))&gt;=1,VALUE(LEFT(A956,2))&lt;=5),VALUE(LEFT(A956,2)),""),IF(AND(VALUE(LEFT(A956,1))&gt;=1,VALUE(LEFT(A956,1))&lt;=5),VALUE(LEFT(A956,1)),"")),""),"")</f>
        <v/>
      </c>
      <c r="N956" s="25">
        <f>IF(L956=1,IF(ISNUMBER(FIND("#"&amp;MID(H956,1,1)&amp;"#","#0#1#2#3#4#5#6#7#8#9#")),IF(ISNUMBER(FIND("#"&amp;MID(H956,2,1)&amp;"#","#0#1#2#3#4#5#6#7#8#9#")),IF(AND(VALUE(LEFT(H956,2))&gt;=1,VALUE(LEFT(H956,2))&lt;=5),VALUE(LEFT(H956,2)),""),IF(AND(VALUE(LEFT(H956,1))&gt;=1,VALUE(LEFT(H956,1))&lt;=5),VALUE(LEFT(H956,1)),"")),""),"")</f>
        <v/>
      </c>
      <c r="O956" s="25">
        <f>IF(AND(L956=1,B956&lt;&gt;""),SUBSTITUTE(SUBSTITUTE(SUBSTITUTE(SUBSTITUTE(SUBSTITUTE(SUBSTITUTE(SUBSTITUTE(SUBSTITUTE(SUBSTITUTE(SUBSTITUTE(SUBSTITUTE(SUBSTITUTE(LOWER(TRIM(B956)),"á","a"),"é","e"),"í","i"),"ó","o"),"ú","u"),"ü","u"),"ñ","n"),"à","a"),"è","e"),"ì","i"),"ò","o"),"ù","u"),"")</f>
        <v/>
      </c>
      <c r="P956" s="25">
        <f>IF(AND(L956=1,C956&lt;&gt;""),SUBSTITUTE(SUBSTITUTE(SUBSTITUTE(SUBSTITUTE(SUBSTITUTE(SUBSTITUTE(SUBSTITUTE(SUBSTITUTE(SUBSTITUTE(SUBSTITUTE(SUBSTITUTE(SUBSTITUTE(LOWER(TRIM(C956)),"á","a"),"é","e"),"í","i"),"ó","o"),"ú","u"),"ü","u"),"ñ","n"),"à","a"),"è","e"),"ì","i"),"ò","o"),"ù","u"),"")</f>
        <v/>
      </c>
      <c r="Q956" s="25">
        <f>IF(AND(L956=1,E956&lt;&gt;""),SUBSTITUTE(SUBSTITUTE(SUBSTITUTE(SUBSTITUTE(SUBSTITUTE(SUBSTITUTE(SUBSTITUTE(SUBSTITUTE(SUBSTITUTE(SUBSTITUTE(SUBSTITUTE(SUBSTITUTE(LOWER(TRIM(E956)),"á","a"),"é","e"),"í","i"),"ó","o"),"ú","u"),"ü","u"),"ñ","n"),"à","a"),"è","e"),"ì","i"),"ò","o"),"ù","u"),"")</f>
        <v/>
      </c>
      <c r="R956" s="25">
        <f>IF(AND(L956=1,I956&lt;&gt;""),SUBSTITUTE(SUBSTITUTE(SUBSTITUTE(SUBSTITUTE(SUBSTITUTE(SUBSTITUTE(SUBSTITUTE(SUBSTITUTE(SUBSTITUTE(SUBSTITUTE(SUBSTITUTE(SUBSTITUTE(LOWER(TRIM(I956)),"á","a"),"é","e"),"í","i"),"ó","o"),"ú","u"),"ü","u"),"ñ","n"),"à","a"),"è","e"),"ì","i"),"ò","o"),"ù","u"),"")</f>
        <v/>
      </c>
      <c r="S956" s="25">
        <f>IF(R956="","",IF(OR(R956="si",R956="tal vez"),1,0))</f>
        <v/>
      </c>
      <c r="T956" s="25">
        <f>IF(AND(L956=1,D956&lt;&gt;""),IF(IFERROR(COUNTIFS(D$3:D956,"="&amp;SUBSTITUTE(SUBSTITUTE(SUBSTITUTE(D956,"~","~~"),"*","~*"),"?","~?"),L$3:L956,1),0)=1,MAX(T$2:T955)+1,""),"")</f>
        <v/>
      </c>
      <c r="U956" s="25">
        <f>IF(T956="","",COUNTIFS($D$3:$D$1002,"="&amp;SUBSTITUTE(SUBSTITUTE(SUBSTITUTE(D956,"~","~~"),"*","~*"),"?","~?"),$L$3:$L$1002,1)*10000-T956)</f>
        <v/>
      </c>
      <c r="V956" s="25">
        <f>IF(AND(L956=1,J956&lt;&gt;""),IF(IFERROR(COUNTIFS(J$3:J956,"="&amp;SUBSTITUTE(SUBSTITUTE(SUBSTITUTE(J956,"~","~~"),"*","~*"),"?","~?"),L$3:L956,1),0)=1,MAX(V$2:V955)+1,""),"")</f>
        <v/>
      </c>
      <c r="W956" s="25">
        <f>IF(V956="","",COUNTIFS($J$3:$J$1002,"="&amp;SUBSTITUTE(SUBSTITUTE(SUBSTITUTE(J956,"~","~~"),"*","~*"),"?","~?"),$L$3:$L$1002,1)*10000-V956)</f>
        <v/>
      </c>
    </row>
    <row r="957">
      <c r="A957">
        <f>IF(A$2=0,"",IFERROR(TRIM(INDEX('Pegar estudiantes'!$A$1:$BZ$1001,956,A$2)&amp;""),""))</f>
        <v/>
      </c>
      <c r="B957">
        <f>IF(B$2=0,"",IFERROR(TRIM(INDEX('Pegar estudiantes'!$A$1:$BZ$1001,956,B$2)&amp;""),""))</f>
        <v/>
      </c>
      <c r="C957">
        <f>IF(C$2=0,"",IFERROR(TRIM(INDEX('Pegar estudiantes'!$A$1:$BZ$1001,956,C$2)&amp;""),""))</f>
        <v/>
      </c>
      <c r="D957">
        <f>IF(D$2=0,"",IFERROR(TRIM(INDEX('Pegar estudiantes'!$A$1:$BZ$1001,956,D$2)&amp;""),""))</f>
        <v/>
      </c>
      <c r="E957">
        <f>IF(E$2=0,"",IFERROR(TRIM(INDEX('Pegar estudiantes'!$A$1:$BZ$1001,956,E$2)&amp;""),""))</f>
        <v/>
      </c>
      <c r="F957">
        <f>IF(F$2=0,"",IFERROR(TRIM(INDEX('Pegar estudiantes'!$A$1:$BZ$1001,956,F$2)&amp;""),""))</f>
        <v/>
      </c>
      <c r="G957">
        <f>IF(G$2=0,"",IFERROR(TRIM(INDEX('Pegar estudiantes'!$A$1:$BZ$1001,956,G$2)&amp;""),""))</f>
        <v/>
      </c>
      <c r="H957">
        <f>IF(H$2=0,"",IFERROR(TRIM(INDEX('Pegar estudiantes'!$A$1:$BZ$1001,956,H$2)&amp;""),""))</f>
        <v/>
      </c>
      <c r="I957">
        <f>IF(I$2=0,"",IFERROR(TRIM(INDEX('Pegar estudiantes'!$A$1:$BZ$1001,956,I$2)&amp;""),""))</f>
        <v/>
      </c>
      <c r="J957">
        <f>IF(J$2=0,"",IFERROR(TRIM(INDEX('Pegar estudiantes'!$A$1:$BZ$1001,956,J$2)&amp;""),""))</f>
        <v/>
      </c>
      <c r="K957">
        <f>IF(K$2=0,"",IFERROR(TRIM(INDEX('Pegar estudiantes'!$A$1:$BZ$1001,956,K$2)&amp;""),""))</f>
        <v/>
      </c>
      <c r="L957" s="25">
        <f>IF(A957&lt;&gt;"",1,"")</f>
        <v/>
      </c>
      <c r="M957" s="25">
        <f>IF(L957=1,IF(ISNUMBER(FIND("#"&amp;MID(A957,1,1)&amp;"#","#0#1#2#3#4#5#6#7#8#9#")),IF(ISNUMBER(FIND("#"&amp;MID(A957,2,1)&amp;"#","#0#1#2#3#4#5#6#7#8#9#")),IF(AND(VALUE(LEFT(A957,2))&gt;=1,VALUE(LEFT(A957,2))&lt;=5),VALUE(LEFT(A957,2)),""),IF(AND(VALUE(LEFT(A957,1))&gt;=1,VALUE(LEFT(A957,1))&lt;=5),VALUE(LEFT(A957,1)),"")),""),"")</f>
        <v/>
      </c>
      <c r="N957" s="25">
        <f>IF(L957=1,IF(ISNUMBER(FIND("#"&amp;MID(H957,1,1)&amp;"#","#0#1#2#3#4#5#6#7#8#9#")),IF(ISNUMBER(FIND("#"&amp;MID(H957,2,1)&amp;"#","#0#1#2#3#4#5#6#7#8#9#")),IF(AND(VALUE(LEFT(H957,2))&gt;=1,VALUE(LEFT(H957,2))&lt;=5),VALUE(LEFT(H957,2)),""),IF(AND(VALUE(LEFT(H957,1))&gt;=1,VALUE(LEFT(H957,1))&lt;=5),VALUE(LEFT(H957,1)),"")),""),"")</f>
        <v/>
      </c>
      <c r="O957" s="25">
        <f>IF(AND(L957=1,B957&lt;&gt;""),SUBSTITUTE(SUBSTITUTE(SUBSTITUTE(SUBSTITUTE(SUBSTITUTE(SUBSTITUTE(SUBSTITUTE(SUBSTITUTE(SUBSTITUTE(SUBSTITUTE(SUBSTITUTE(SUBSTITUTE(LOWER(TRIM(B957)),"á","a"),"é","e"),"í","i"),"ó","o"),"ú","u"),"ü","u"),"ñ","n"),"à","a"),"è","e"),"ì","i"),"ò","o"),"ù","u"),"")</f>
        <v/>
      </c>
      <c r="P957" s="25">
        <f>IF(AND(L957=1,C957&lt;&gt;""),SUBSTITUTE(SUBSTITUTE(SUBSTITUTE(SUBSTITUTE(SUBSTITUTE(SUBSTITUTE(SUBSTITUTE(SUBSTITUTE(SUBSTITUTE(SUBSTITUTE(SUBSTITUTE(SUBSTITUTE(LOWER(TRIM(C957)),"á","a"),"é","e"),"í","i"),"ó","o"),"ú","u"),"ü","u"),"ñ","n"),"à","a"),"è","e"),"ì","i"),"ò","o"),"ù","u"),"")</f>
        <v/>
      </c>
      <c r="Q957" s="25">
        <f>IF(AND(L957=1,E957&lt;&gt;""),SUBSTITUTE(SUBSTITUTE(SUBSTITUTE(SUBSTITUTE(SUBSTITUTE(SUBSTITUTE(SUBSTITUTE(SUBSTITUTE(SUBSTITUTE(SUBSTITUTE(SUBSTITUTE(SUBSTITUTE(LOWER(TRIM(E957)),"á","a"),"é","e"),"í","i"),"ó","o"),"ú","u"),"ü","u"),"ñ","n"),"à","a"),"è","e"),"ì","i"),"ò","o"),"ù","u"),"")</f>
        <v/>
      </c>
      <c r="R957" s="25">
        <f>IF(AND(L957=1,I957&lt;&gt;""),SUBSTITUTE(SUBSTITUTE(SUBSTITUTE(SUBSTITUTE(SUBSTITUTE(SUBSTITUTE(SUBSTITUTE(SUBSTITUTE(SUBSTITUTE(SUBSTITUTE(SUBSTITUTE(SUBSTITUTE(LOWER(TRIM(I957)),"á","a"),"é","e"),"í","i"),"ó","o"),"ú","u"),"ü","u"),"ñ","n"),"à","a"),"è","e"),"ì","i"),"ò","o"),"ù","u"),"")</f>
        <v/>
      </c>
      <c r="S957" s="25">
        <f>IF(R957="","",IF(OR(R957="si",R957="tal vez"),1,0))</f>
        <v/>
      </c>
      <c r="T957" s="25">
        <f>IF(AND(L957=1,D957&lt;&gt;""),IF(IFERROR(COUNTIFS(D$3:D957,"="&amp;SUBSTITUTE(SUBSTITUTE(SUBSTITUTE(D957,"~","~~"),"*","~*"),"?","~?"),L$3:L957,1),0)=1,MAX(T$2:T956)+1,""),"")</f>
        <v/>
      </c>
      <c r="U957" s="25">
        <f>IF(T957="","",COUNTIFS($D$3:$D$1002,"="&amp;SUBSTITUTE(SUBSTITUTE(SUBSTITUTE(D957,"~","~~"),"*","~*"),"?","~?"),$L$3:$L$1002,1)*10000-T957)</f>
        <v/>
      </c>
      <c r="V957" s="25">
        <f>IF(AND(L957=1,J957&lt;&gt;""),IF(IFERROR(COUNTIFS(J$3:J957,"="&amp;SUBSTITUTE(SUBSTITUTE(SUBSTITUTE(J957,"~","~~"),"*","~*"),"?","~?"),L$3:L957,1),0)=1,MAX(V$2:V956)+1,""),"")</f>
        <v/>
      </c>
      <c r="W957" s="25">
        <f>IF(V957="","",COUNTIFS($J$3:$J$1002,"="&amp;SUBSTITUTE(SUBSTITUTE(SUBSTITUTE(J957,"~","~~"),"*","~*"),"?","~?"),$L$3:$L$1002,1)*10000-V957)</f>
        <v/>
      </c>
    </row>
    <row r="958">
      <c r="A958">
        <f>IF(A$2=0,"",IFERROR(TRIM(INDEX('Pegar estudiantes'!$A$1:$BZ$1001,957,A$2)&amp;""),""))</f>
        <v/>
      </c>
      <c r="B958">
        <f>IF(B$2=0,"",IFERROR(TRIM(INDEX('Pegar estudiantes'!$A$1:$BZ$1001,957,B$2)&amp;""),""))</f>
        <v/>
      </c>
      <c r="C958">
        <f>IF(C$2=0,"",IFERROR(TRIM(INDEX('Pegar estudiantes'!$A$1:$BZ$1001,957,C$2)&amp;""),""))</f>
        <v/>
      </c>
      <c r="D958">
        <f>IF(D$2=0,"",IFERROR(TRIM(INDEX('Pegar estudiantes'!$A$1:$BZ$1001,957,D$2)&amp;""),""))</f>
        <v/>
      </c>
      <c r="E958">
        <f>IF(E$2=0,"",IFERROR(TRIM(INDEX('Pegar estudiantes'!$A$1:$BZ$1001,957,E$2)&amp;""),""))</f>
        <v/>
      </c>
      <c r="F958">
        <f>IF(F$2=0,"",IFERROR(TRIM(INDEX('Pegar estudiantes'!$A$1:$BZ$1001,957,F$2)&amp;""),""))</f>
        <v/>
      </c>
      <c r="G958">
        <f>IF(G$2=0,"",IFERROR(TRIM(INDEX('Pegar estudiantes'!$A$1:$BZ$1001,957,G$2)&amp;""),""))</f>
        <v/>
      </c>
      <c r="H958">
        <f>IF(H$2=0,"",IFERROR(TRIM(INDEX('Pegar estudiantes'!$A$1:$BZ$1001,957,H$2)&amp;""),""))</f>
        <v/>
      </c>
      <c r="I958">
        <f>IF(I$2=0,"",IFERROR(TRIM(INDEX('Pegar estudiantes'!$A$1:$BZ$1001,957,I$2)&amp;""),""))</f>
        <v/>
      </c>
      <c r="J958">
        <f>IF(J$2=0,"",IFERROR(TRIM(INDEX('Pegar estudiantes'!$A$1:$BZ$1001,957,J$2)&amp;""),""))</f>
        <v/>
      </c>
      <c r="K958">
        <f>IF(K$2=0,"",IFERROR(TRIM(INDEX('Pegar estudiantes'!$A$1:$BZ$1001,957,K$2)&amp;""),""))</f>
        <v/>
      </c>
      <c r="L958" s="25">
        <f>IF(A958&lt;&gt;"",1,"")</f>
        <v/>
      </c>
      <c r="M958" s="25">
        <f>IF(L958=1,IF(ISNUMBER(FIND("#"&amp;MID(A958,1,1)&amp;"#","#0#1#2#3#4#5#6#7#8#9#")),IF(ISNUMBER(FIND("#"&amp;MID(A958,2,1)&amp;"#","#0#1#2#3#4#5#6#7#8#9#")),IF(AND(VALUE(LEFT(A958,2))&gt;=1,VALUE(LEFT(A958,2))&lt;=5),VALUE(LEFT(A958,2)),""),IF(AND(VALUE(LEFT(A958,1))&gt;=1,VALUE(LEFT(A958,1))&lt;=5),VALUE(LEFT(A958,1)),"")),""),"")</f>
        <v/>
      </c>
      <c r="N958" s="25">
        <f>IF(L958=1,IF(ISNUMBER(FIND("#"&amp;MID(H958,1,1)&amp;"#","#0#1#2#3#4#5#6#7#8#9#")),IF(ISNUMBER(FIND("#"&amp;MID(H958,2,1)&amp;"#","#0#1#2#3#4#5#6#7#8#9#")),IF(AND(VALUE(LEFT(H958,2))&gt;=1,VALUE(LEFT(H958,2))&lt;=5),VALUE(LEFT(H958,2)),""),IF(AND(VALUE(LEFT(H958,1))&gt;=1,VALUE(LEFT(H958,1))&lt;=5),VALUE(LEFT(H958,1)),"")),""),"")</f>
        <v/>
      </c>
      <c r="O958" s="25">
        <f>IF(AND(L958=1,B958&lt;&gt;""),SUBSTITUTE(SUBSTITUTE(SUBSTITUTE(SUBSTITUTE(SUBSTITUTE(SUBSTITUTE(SUBSTITUTE(SUBSTITUTE(SUBSTITUTE(SUBSTITUTE(SUBSTITUTE(SUBSTITUTE(LOWER(TRIM(B958)),"á","a"),"é","e"),"í","i"),"ó","o"),"ú","u"),"ü","u"),"ñ","n"),"à","a"),"è","e"),"ì","i"),"ò","o"),"ù","u"),"")</f>
        <v/>
      </c>
      <c r="P958" s="25">
        <f>IF(AND(L958=1,C958&lt;&gt;""),SUBSTITUTE(SUBSTITUTE(SUBSTITUTE(SUBSTITUTE(SUBSTITUTE(SUBSTITUTE(SUBSTITUTE(SUBSTITUTE(SUBSTITUTE(SUBSTITUTE(SUBSTITUTE(SUBSTITUTE(LOWER(TRIM(C958)),"á","a"),"é","e"),"í","i"),"ó","o"),"ú","u"),"ü","u"),"ñ","n"),"à","a"),"è","e"),"ì","i"),"ò","o"),"ù","u"),"")</f>
        <v/>
      </c>
      <c r="Q958" s="25">
        <f>IF(AND(L958=1,E958&lt;&gt;""),SUBSTITUTE(SUBSTITUTE(SUBSTITUTE(SUBSTITUTE(SUBSTITUTE(SUBSTITUTE(SUBSTITUTE(SUBSTITUTE(SUBSTITUTE(SUBSTITUTE(SUBSTITUTE(SUBSTITUTE(LOWER(TRIM(E958)),"á","a"),"é","e"),"í","i"),"ó","o"),"ú","u"),"ü","u"),"ñ","n"),"à","a"),"è","e"),"ì","i"),"ò","o"),"ù","u"),"")</f>
        <v/>
      </c>
      <c r="R958" s="25">
        <f>IF(AND(L958=1,I958&lt;&gt;""),SUBSTITUTE(SUBSTITUTE(SUBSTITUTE(SUBSTITUTE(SUBSTITUTE(SUBSTITUTE(SUBSTITUTE(SUBSTITUTE(SUBSTITUTE(SUBSTITUTE(SUBSTITUTE(SUBSTITUTE(LOWER(TRIM(I958)),"á","a"),"é","e"),"í","i"),"ó","o"),"ú","u"),"ü","u"),"ñ","n"),"à","a"),"è","e"),"ì","i"),"ò","o"),"ù","u"),"")</f>
        <v/>
      </c>
      <c r="S958" s="25">
        <f>IF(R958="","",IF(OR(R958="si",R958="tal vez"),1,0))</f>
        <v/>
      </c>
      <c r="T958" s="25">
        <f>IF(AND(L958=1,D958&lt;&gt;""),IF(IFERROR(COUNTIFS(D$3:D958,"="&amp;SUBSTITUTE(SUBSTITUTE(SUBSTITUTE(D958,"~","~~"),"*","~*"),"?","~?"),L$3:L958,1),0)=1,MAX(T$2:T957)+1,""),"")</f>
        <v/>
      </c>
      <c r="U958" s="25">
        <f>IF(T958="","",COUNTIFS($D$3:$D$1002,"="&amp;SUBSTITUTE(SUBSTITUTE(SUBSTITUTE(D958,"~","~~"),"*","~*"),"?","~?"),$L$3:$L$1002,1)*10000-T958)</f>
        <v/>
      </c>
      <c r="V958" s="25">
        <f>IF(AND(L958=1,J958&lt;&gt;""),IF(IFERROR(COUNTIFS(J$3:J958,"="&amp;SUBSTITUTE(SUBSTITUTE(SUBSTITUTE(J958,"~","~~"),"*","~*"),"?","~?"),L$3:L958,1),0)=1,MAX(V$2:V957)+1,""),"")</f>
        <v/>
      </c>
      <c r="W958" s="25">
        <f>IF(V958="","",COUNTIFS($J$3:$J$1002,"="&amp;SUBSTITUTE(SUBSTITUTE(SUBSTITUTE(J958,"~","~~"),"*","~*"),"?","~?"),$L$3:$L$1002,1)*10000-V958)</f>
        <v/>
      </c>
    </row>
    <row r="959">
      <c r="A959">
        <f>IF(A$2=0,"",IFERROR(TRIM(INDEX('Pegar estudiantes'!$A$1:$BZ$1001,958,A$2)&amp;""),""))</f>
        <v/>
      </c>
      <c r="B959">
        <f>IF(B$2=0,"",IFERROR(TRIM(INDEX('Pegar estudiantes'!$A$1:$BZ$1001,958,B$2)&amp;""),""))</f>
        <v/>
      </c>
      <c r="C959">
        <f>IF(C$2=0,"",IFERROR(TRIM(INDEX('Pegar estudiantes'!$A$1:$BZ$1001,958,C$2)&amp;""),""))</f>
        <v/>
      </c>
      <c r="D959">
        <f>IF(D$2=0,"",IFERROR(TRIM(INDEX('Pegar estudiantes'!$A$1:$BZ$1001,958,D$2)&amp;""),""))</f>
        <v/>
      </c>
      <c r="E959">
        <f>IF(E$2=0,"",IFERROR(TRIM(INDEX('Pegar estudiantes'!$A$1:$BZ$1001,958,E$2)&amp;""),""))</f>
        <v/>
      </c>
      <c r="F959">
        <f>IF(F$2=0,"",IFERROR(TRIM(INDEX('Pegar estudiantes'!$A$1:$BZ$1001,958,F$2)&amp;""),""))</f>
        <v/>
      </c>
      <c r="G959">
        <f>IF(G$2=0,"",IFERROR(TRIM(INDEX('Pegar estudiantes'!$A$1:$BZ$1001,958,G$2)&amp;""),""))</f>
        <v/>
      </c>
      <c r="H959">
        <f>IF(H$2=0,"",IFERROR(TRIM(INDEX('Pegar estudiantes'!$A$1:$BZ$1001,958,H$2)&amp;""),""))</f>
        <v/>
      </c>
      <c r="I959">
        <f>IF(I$2=0,"",IFERROR(TRIM(INDEX('Pegar estudiantes'!$A$1:$BZ$1001,958,I$2)&amp;""),""))</f>
        <v/>
      </c>
      <c r="J959">
        <f>IF(J$2=0,"",IFERROR(TRIM(INDEX('Pegar estudiantes'!$A$1:$BZ$1001,958,J$2)&amp;""),""))</f>
        <v/>
      </c>
      <c r="K959">
        <f>IF(K$2=0,"",IFERROR(TRIM(INDEX('Pegar estudiantes'!$A$1:$BZ$1001,958,K$2)&amp;""),""))</f>
        <v/>
      </c>
      <c r="L959" s="25">
        <f>IF(A959&lt;&gt;"",1,"")</f>
        <v/>
      </c>
      <c r="M959" s="25">
        <f>IF(L959=1,IF(ISNUMBER(FIND("#"&amp;MID(A959,1,1)&amp;"#","#0#1#2#3#4#5#6#7#8#9#")),IF(ISNUMBER(FIND("#"&amp;MID(A959,2,1)&amp;"#","#0#1#2#3#4#5#6#7#8#9#")),IF(AND(VALUE(LEFT(A959,2))&gt;=1,VALUE(LEFT(A959,2))&lt;=5),VALUE(LEFT(A959,2)),""),IF(AND(VALUE(LEFT(A959,1))&gt;=1,VALUE(LEFT(A959,1))&lt;=5),VALUE(LEFT(A959,1)),"")),""),"")</f>
        <v/>
      </c>
      <c r="N959" s="25">
        <f>IF(L959=1,IF(ISNUMBER(FIND("#"&amp;MID(H959,1,1)&amp;"#","#0#1#2#3#4#5#6#7#8#9#")),IF(ISNUMBER(FIND("#"&amp;MID(H959,2,1)&amp;"#","#0#1#2#3#4#5#6#7#8#9#")),IF(AND(VALUE(LEFT(H959,2))&gt;=1,VALUE(LEFT(H959,2))&lt;=5),VALUE(LEFT(H959,2)),""),IF(AND(VALUE(LEFT(H959,1))&gt;=1,VALUE(LEFT(H959,1))&lt;=5),VALUE(LEFT(H959,1)),"")),""),"")</f>
        <v/>
      </c>
      <c r="O959" s="25">
        <f>IF(AND(L959=1,B959&lt;&gt;""),SUBSTITUTE(SUBSTITUTE(SUBSTITUTE(SUBSTITUTE(SUBSTITUTE(SUBSTITUTE(SUBSTITUTE(SUBSTITUTE(SUBSTITUTE(SUBSTITUTE(SUBSTITUTE(SUBSTITUTE(LOWER(TRIM(B959)),"á","a"),"é","e"),"í","i"),"ó","o"),"ú","u"),"ü","u"),"ñ","n"),"à","a"),"è","e"),"ì","i"),"ò","o"),"ù","u"),"")</f>
        <v/>
      </c>
      <c r="P959" s="25">
        <f>IF(AND(L959=1,C959&lt;&gt;""),SUBSTITUTE(SUBSTITUTE(SUBSTITUTE(SUBSTITUTE(SUBSTITUTE(SUBSTITUTE(SUBSTITUTE(SUBSTITUTE(SUBSTITUTE(SUBSTITUTE(SUBSTITUTE(SUBSTITUTE(LOWER(TRIM(C959)),"á","a"),"é","e"),"í","i"),"ó","o"),"ú","u"),"ü","u"),"ñ","n"),"à","a"),"è","e"),"ì","i"),"ò","o"),"ù","u"),"")</f>
        <v/>
      </c>
      <c r="Q959" s="25">
        <f>IF(AND(L959=1,E959&lt;&gt;""),SUBSTITUTE(SUBSTITUTE(SUBSTITUTE(SUBSTITUTE(SUBSTITUTE(SUBSTITUTE(SUBSTITUTE(SUBSTITUTE(SUBSTITUTE(SUBSTITUTE(SUBSTITUTE(SUBSTITUTE(LOWER(TRIM(E959)),"á","a"),"é","e"),"í","i"),"ó","o"),"ú","u"),"ü","u"),"ñ","n"),"à","a"),"è","e"),"ì","i"),"ò","o"),"ù","u"),"")</f>
        <v/>
      </c>
      <c r="R959" s="25">
        <f>IF(AND(L959=1,I959&lt;&gt;""),SUBSTITUTE(SUBSTITUTE(SUBSTITUTE(SUBSTITUTE(SUBSTITUTE(SUBSTITUTE(SUBSTITUTE(SUBSTITUTE(SUBSTITUTE(SUBSTITUTE(SUBSTITUTE(SUBSTITUTE(LOWER(TRIM(I959)),"á","a"),"é","e"),"í","i"),"ó","o"),"ú","u"),"ü","u"),"ñ","n"),"à","a"),"è","e"),"ì","i"),"ò","o"),"ù","u"),"")</f>
        <v/>
      </c>
      <c r="S959" s="25">
        <f>IF(R959="","",IF(OR(R959="si",R959="tal vez"),1,0))</f>
        <v/>
      </c>
      <c r="T959" s="25">
        <f>IF(AND(L959=1,D959&lt;&gt;""),IF(IFERROR(COUNTIFS(D$3:D959,"="&amp;SUBSTITUTE(SUBSTITUTE(SUBSTITUTE(D959,"~","~~"),"*","~*"),"?","~?"),L$3:L959,1),0)=1,MAX(T$2:T958)+1,""),"")</f>
        <v/>
      </c>
      <c r="U959" s="25">
        <f>IF(T959="","",COUNTIFS($D$3:$D$1002,"="&amp;SUBSTITUTE(SUBSTITUTE(SUBSTITUTE(D959,"~","~~"),"*","~*"),"?","~?"),$L$3:$L$1002,1)*10000-T959)</f>
        <v/>
      </c>
      <c r="V959" s="25">
        <f>IF(AND(L959=1,J959&lt;&gt;""),IF(IFERROR(COUNTIFS(J$3:J959,"="&amp;SUBSTITUTE(SUBSTITUTE(SUBSTITUTE(J959,"~","~~"),"*","~*"),"?","~?"),L$3:L959,1),0)=1,MAX(V$2:V958)+1,""),"")</f>
        <v/>
      </c>
      <c r="W959" s="25">
        <f>IF(V959="","",COUNTIFS($J$3:$J$1002,"="&amp;SUBSTITUTE(SUBSTITUTE(SUBSTITUTE(J959,"~","~~"),"*","~*"),"?","~?"),$L$3:$L$1002,1)*10000-V959)</f>
        <v/>
      </c>
    </row>
    <row r="960">
      <c r="A960">
        <f>IF(A$2=0,"",IFERROR(TRIM(INDEX('Pegar estudiantes'!$A$1:$BZ$1001,959,A$2)&amp;""),""))</f>
        <v/>
      </c>
      <c r="B960">
        <f>IF(B$2=0,"",IFERROR(TRIM(INDEX('Pegar estudiantes'!$A$1:$BZ$1001,959,B$2)&amp;""),""))</f>
        <v/>
      </c>
      <c r="C960">
        <f>IF(C$2=0,"",IFERROR(TRIM(INDEX('Pegar estudiantes'!$A$1:$BZ$1001,959,C$2)&amp;""),""))</f>
        <v/>
      </c>
      <c r="D960">
        <f>IF(D$2=0,"",IFERROR(TRIM(INDEX('Pegar estudiantes'!$A$1:$BZ$1001,959,D$2)&amp;""),""))</f>
        <v/>
      </c>
      <c r="E960">
        <f>IF(E$2=0,"",IFERROR(TRIM(INDEX('Pegar estudiantes'!$A$1:$BZ$1001,959,E$2)&amp;""),""))</f>
        <v/>
      </c>
      <c r="F960">
        <f>IF(F$2=0,"",IFERROR(TRIM(INDEX('Pegar estudiantes'!$A$1:$BZ$1001,959,F$2)&amp;""),""))</f>
        <v/>
      </c>
      <c r="G960">
        <f>IF(G$2=0,"",IFERROR(TRIM(INDEX('Pegar estudiantes'!$A$1:$BZ$1001,959,G$2)&amp;""),""))</f>
        <v/>
      </c>
      <c r="H960">
        <f>IF(H$2=0,"",IFERROR(TRIM(INDEX('Pegar estudiantes'!$A$1:$BZ$1001,959,H$2)&amp;""),""))</f>
        <v/>
      </c>
      <c r="I960">
        <f>IF(I$2=0,"",IFERROR(TRIM(INDEX('Pegar estudiantes'!$A$1:$BZ$1001,959,I$2)&amp;""),""))</f>
        <v/>
      </c>
      <c r="J960">
        <f>IF(J$2=0,"",IFERROR(TRIM(INDEX('Pegar estudiantes'!$A$1:$BZ$1001,959,J$2)&amp;""),""))</f>
        <v/>
      </c>
      <c r="K960">
        <f>IF(K$2=0,"",IFERROR(TRIM(INDEX('Pegar estudiantes'!$A$1:$BZ$1001,959,K$2)&amp;""),""))</f>
        <v/>
      </c>
      <c r="L960" s="25">
        <f>IF(A960&lt;&gt;"",1,"")</f>
        <v/>
      </c>
      <c r="M960" s="25">
        <f>IF(L960=1,IF(ISNUMBER(FIND("#"&amp;MID(A960,1,1)&amp;"#","#0#1#2#3#4#5#6#7#8#9#")),IF(ISNUMBER(FIND("#"&amp;MID(A960,2,1)&amp;"#","#0#1#2#3#4#5#6#7#8#9#")),IF(AND(VALUE(LEFT(A960,2))&gt;=1,VALUE(LEFT(A960,2))&lt;=5),VALUE(LEFT(A960,2)),""),IF(AND(VALUE(LEFT(A960,1))&gt;=1,VALUE(LEFT(A960,1))&lt;=5),VALUE(LEFT(A960,1)),"")),""),"")</f>
        <v/>
      </c>
      <c r="N960" s="25">
        <f>IF(L960=1,IF(ISNUMBER(FIND("#"&amp;MID(H960,1,1)&amp;"#","#0#1#2#3#4#5#6#7#8#9#")),IF(ISNUMBER(FIND("#"&amp;MID(H960,2,1)&amp;"#","#0#1#2#3#4#5#6#7#8#9#")),IF(AND(VALUE(LEFT(H960,2))&gt;=1,VALUE(LEFT(H960,2))&lt;=5),VALUE(LEFT(H960,2)),""),IF(AND(VALUE(LEFT(H960,1))&gt;=1,VALUE(LEFT(H960,1))&lt;=5),VALUE(LEFT(H960,1)),"")),""),"")</f>
        <v/>
      </c>
      <c r="O960" s="25">
        <f>IF(AND(L960=1,B960&lt;&gt;""),SUBSTITUTE(SUBSTITUTE(SUBSTITUTE(SUBSTITUTE(SUBSTITUTE(SUBSTITUTE(SUBSTITUTE(SUBSTITUTE(SUBSTITUTE(SUBSTITUTE(SUBSTITUTE(SUBSTITUTE(LOWER(TRIM(B960)),"á","a"),"é","e"),"í","i"),"ó","o"),"ú","u"),"ü","u"),"ñ","n"),"à","a"),"è","e"),"ì","i"),"ò","o"),"ù","u"),"")</f>
        <v/>
      </c>
      <c r="P960" s="25">
        <f>IF(AND(L960=1,C960&lt;&gt;""),SUBSTITUTE(SUBSTITUTE(SUBSTITUTE(SUBSTITUTE(SUBSTITUTE(SUBSTITUTE(SUBSTITUTE(SUBSTITUTE(SUBSTITUTE(SUBSTITUTE(SUBSTITUTE(SUBSTITUTE(LOWER(TRIM(C960)),"á","a"),"é","e"),"í","i"),"ó","o"),"ú","u"),"ü","u"),"ñ","n"),"à","a"),"è","e"),"ì","i"),"ò","o"),"ù","u"),"")</f>
        <v/>
      </c>
      <c r="Q960" s="25">
        <f>IF(AND(L960=1,E960&lt;&gt;""),SUBSTITUTE(SUBSTITUTE(SUBSTITUTE(SUBSTITUTE(SUBSTITUTE(SUBSTITUTE(SUBSTITUTE(SUBSTITUTE(SUBSTITUTE(SUBSTITUTE(SUBSTITUTE(SUBSTITUTE(LOWER(TRIM(E960)),"á","a"),"é","e"),"í","i"),"ó","o"),"ú","u"),"ü","u"),"ñ","n"),"à","a"),"è","e"),"ì","i"),"ò","o"),"ù","u"),"")</f>
        <v/>
      </c>
      <c r="R960" s="25">
        <f>IF(AND(L960=1,I960&lt;&gt;""),SUBSTITUTE(SUBSTITUTE(SUBSTITUTE(SUBSTITUTE(SUBSTITUTE(SUBSTITUTE(SUBSTITUTE(SUBSTITUTE(SUBSTITUTE(SUBSTITUTE(SUBSTITUTE(SUBSTITUTE(LOWER(TRIM(I960)),"á","a"),"é","e"),"í","i"),"ó","o"),"ú","u"),"ü","u"),"ñ","n"),"à","a"),"è","e"),"ì","i"),"ò","o"),"ù","u"),"")</f>
        <v/>
      </c>
      <c r="S960" s="25">
        <f>IF(R960="","",IF(OR(R960="si",R960="tal vez"),1,0))</f>
        <v/>
      </c>
      <c r="T960" s="25">
        <f>IF(AND(L960=1,D960&lt;&gt;""),IF(IFERROR(COUNTIFS(D$3:D960,"="&amp;SUBSTITUTE(SUBSTITUTE(SUBSTITUTE(D960,"~","~~"),"*","~*"),"?","~?"),L$3:L960,1),0)=1,MAX(T$2:T959)+1,""),"")</f>
        <v/>
      </c>
      <c r="U960" s="25">
        <f>IF(T960="","",COUNTIFS($D$3:$D$1002,"="&amp;SUBSTITUTE(SUBSTITUTE(SUBSTITUTE(D960,"~","~~"),"*","~*"),"?","~?"),$L$3:$L$1002,1)*10000-T960)</f>
        <v/>
      </c>
      <c r="V960" s="25">
        <f>IF(AND(L960=1,J960&lt;&gt;""),IF(IFERROR(COUNTIFS(J$3:J960,"="&amp;SUBSTITUTE(SUBSTITUTE(SUBSTITUTE(J960,"~","~~"),"*","~*"),"?","~?"),L$3:L960,1),0)=1,MAX(V$2:V959)+1,""),"")</f>
        <v/>
      </c>
      <c r="W960" s="25">
        <f>IF(V960="","",COUNTIFS($J$3:$J$1002,"="&amp;SUBSTITUTE(SUBSTITUTE(SUBSTITUTE(J960,"~","~~"),"*","~*"),"?","~?"),$L$3:$L$1002,1)*10000-V960)</f>
        <v/>
      </c>
    </row>
    <row r="961">
      <c r="A961">
        <f>IF(A$2=0,"",IFERROR(TRIM(INDEX('Pegar estudiantes'!$A$1:$BZ$1001,960,A$2)&amp;""),""))</f>
        <v/>
      </c>
      <c r="B961">
        <f>IF(B$2=0,"",IFERROR(TRIM(INDEX('Pegar estudiantes'!$A$1:$BZ$1001,960,B$2)&amp;""),""))</f>
        <v/>
      </c>
      <c r="C961">
        <f>IF(C$2=0,"",IFERROR(TRIM(INDEX('Pegar estudiantes'!$A$1:$BZ$1001,960,C$2)&amp;""),""))</f>
        <v/>
      </c>
      <c r="D961">
        <f>IF(D$2=0,"",IFERROR(TRIM(INDEX('Pegar estudiantes'!$A$1:$BZ$1001,960,D$2)&amp;""),""))</f>
        <v/>
      </c>
      <c r="E961">
        <f>IF(E$2=0,"",IFERROR(TRIM(INDEX('Pegar estudiantes'!$A$1:$BZ$1001,960,E$2)&amp;""),""))</f>
        <v/>
      </c>
      <c r="F961">
        <f>IF(F$2=0,"",IFERROR(TRIM(INDEX('Pegar estudiantes'!$A$1:$BZ$1001,960,F$2)&amp;""),""))</f>
        <v/>
      </c>
      <c r="G961">
        <f>IF(G$2=0,"",IFERROR(TRIM(INDEX('Pegar estudiantes'!$A$1:$BZ$1001,960,G$2)&amp;""),""))</f>
        <v/>
      </c>
      <c r="H961">
        <f>IF(H$2=0,"",IFERROR(TRIM(INDEX('Pegar estudiantes'!$A$1:$BZ$1001,960,H$2)&amp;""),""))</f>
        <v/>
      </c>
      <c r="I961">
        <f>IF(I$2=0,"",IFERROR(TRIM(INDEX('Pegar estudiantes'!$A$1:$BZ$1001,960,I$2)&amp;""),""))</f>
        <v/>
      </c>
      <c r="J961">
        <f>IF(J$2=0,"",IFERROR(TRIM(INDEX('Pegar estudiantes'!$A$1:$BZ$1001,960,J$2)&amp;""),""))</f>
        <v/>
      </c>
      <c r="K961">
        <f>IF(K$2=0,"",IFERROR(TRIM(INDEX('Pegar estudiantes'!$A$1:$BZ$1001,960,K$2)&amp;""),""))</f>
        <v/>
      </c>
      <c r="L961" s="25">
        <f>IF(A961&lt;&gt;"",1,"")</f>
        <v/>
      </c>
      <c r="M961" s="25">
        <f>IF(L961=1,IF(ISNUMBER(FIND("#"&amp;MID(A961,1,1)&amp;"#","#0#1#2#3#4#5#6#7#8#9#")),IF(ISNUMBER(FIND("#"&amp;MID(A961,2,1)&amp;"#","#0#1#2#3#4#5#6#7#8#9#")),IF(AND(VALUE(LEFT(A961,2))&gt;=1,VALUE(LEFT(A961,2))&lt;=5),VALUE(LEFT(A961,2)),""),IF(AND(VALUE(LEFT(A961,1))&gt;=1,VALUE(LEFT(A961,1))&lt;=5),VALUE(LEFT(A961,1)),"")),""),"")</f>
        <v/>
      </c>
      <c r="N961" s="25">
        <f>IF(L961=1,IF(ISNUMBER(FIND("#"&amp;MID(H961,1,1)&amp;"#","#0#1#2#3#4#5#6#7#8#9#")),IF(ISNUMBER(FIND("#"&amp;MID(H961,2,1)&amp;"#","#0#1#2#3#4#5#6#7#8#9#")),IF(AND(VALUE(LEFT(H961,2))&gt;=1,VALUE(LEFT(H961,2))&lt;=5),VALUE(LEFT(H961,2)),""),IF(AND(VALUE(LEFT(H961,1))&gt;=1,VALUE(LEFT(H961,1))&lt;=5),VALUE(LEFT(H961,1)),"")),""),"")</f>
        <v/>
      </c>
      <c r="O961" s="25">
        <f>IF(AND(L961=1,B961&lt;&gt;""),SUBSTITUTE(SUBSTITUTE(SUBSTITUTE(SUBSTITUTE(SUBSTITUTE(SUBSTITUTE(SUBSTITUTE(SUBSTITUTE(SUBSTITUTE(SUBSTITUTE(SUBSTITUTE(SUBSTITUTE(LOWER(TRIM(B961)),"á","a"),"é","e"),"í","i"),"ó","o"),"ú","u"),"ü","u"),"ñ","n"),"à","a"),"è","e"),"ì","i"),"ò","o"),"ù","u"),"")</f>
        <v/>
      </c>
      <c r="P961" s="25">
        <f>IF(AND(L961=1,C961&lt;&gt;""),SUBSTITUTE(SUBSTITUTE(SUBSTITUTE(SUBSTITUTE(SUBSTITUTE(SUBSTITUTE(SUBSTITUTE(SUBSTITUTE(SUBSTITUTE(SUBSTITUTE(SUBSTITUTE(SUBSTITUTE(LOWER(TRIM(C961)),"á","a"),"é","e"),"í","i"),"ó","o"),"ú","u"),"ü","u"),"ñ","n"),"à","a"),"è","e"),"ì","i"),"ò","o"),"ù","u"),"")</f>
        <v/>
      </c>
      <c r="Q961" s="25">
        <f>IF(AND(L961=1,E961&lt;&gt;""),SUBSTITUTE(SUBSTITUTE(SUBSTITUTE(SUBSTITUTE(SUBSTITUTE(SUBSTITUTE(SUBSTITUTE(SUBSTITUTE(SUBSTITUTE(SUBSTITUTE(SUBSTITUTE(SUBSTITUTE(LOWER(TRIM(E961)),"á","a"),"é","e"),"í","i"),"ó","o"),"ú","u"),"ü","u"),"ñ","n"),"à","a"),"è","e"),"ì","i"),"ò","o"),"ù","u"),"")</f>
        <v/>
      </c>
      <c r="R961" s="25">
        <f>IF(AND(L961=1,I961&lt;&gt;""),SUBSTITUTE(SUBSTITUTE(SUBSTITUTE(SUBSTITUTE(SUBSTITUTE(SUBSTITUTE(SUBSTITUTE(SUBSTITUTE(SUBSTITUTE(SUBSTITUTE(SUBSTITUTE(SUBSTITUTE(LOWER(TRIM(I961)),"á","a"),"é","e"),"í","i"),"ó","o"),"ú","u"),"ü","u"),"ñ","n"),"à","a"),"è","e"),"ì","i"),"ò","o"),"ù","u"),"")</f>
        <v/>
      </c>
      <c r="S961" s="25">
        <f>IF(R961="","",IF(OR(R961="si",R961="tal vez"),1,0))</f>
        <v/>
      </c>
      <c r="T961" s="25">
        <f>IF(AND(L961=1,D961&lt;&gt;""),IF(IFERROR(COUNTIFS(D$3:D961,"="&amp;SUBSTITUTE(SUBSTITUTE(SUBSTITUTE(D961,"~","~~"),"*","~*"),"?","~?"),L$3:L961,1),0)=1,MAX(T$2:T960)+1,""),"")</f>
        <v/>
      </c>
      <c r="U961" s="25">
        <f>IF(T961="","",COUNTIFS($D$3:$D$1002,"="&amp;SUBSTITUTE(SUBSTITUTE(SUBSTITUTE(D961,"~","~~"),"*","~*"),"?","~?"),$L$3:$L$1002,1)*10000-T961)</f>
        <v/>
      </c>
      <c r="V961" s="25">
        <f>IF(AND(L961=1,J961&lt;&gt;""),IF(IFERROR(COUNTIFS(J$3:J961,"="&amp;SUBSTITUTE(SUBSTITUTE(SUBSTITUTE(J961,"~","~~"),"*","~*"),"?","~?"),L$3:L961,1),0)=1,MAX(V$2:V960)+1,""),"")</f>
        <v/>
      </c>
      <c r="W961" s="25">
        <f>IF(V961="","",COUNTIFS($J$3:$J$1002,"="&amp;SUBSTITUTE(SUBSTITUTE(SUBSTITUTE(J961,"~","~~"),"*","~*"),"?","~?"),$L$3:$L$1002,1)*10000-V961)</f>
        <v/>
      </c>
    </row>
    <row r="962">
      <c r="A962">
        <f>IF(A$2=0,"",IFERROR(TRIM(INDEX('Pegar estudiantes'!$A$1:$BZ$1001,961,A$2)&amp;""),""))</f>
        <v/>
      </c>
      <c r="B962">
        <f>IF(B$2=0,"",IFERROR(TRIM(INDEX('Pegar estudiantes'!$A$1:$BZ$1001,961,B$2)&amp;""),""))</f>
        <v/>
      </c>
      <c r="C962">
        <f>IF(C$2=0,"",IFERROR(TRIM(INDEX('Pegar estudiantes'!$A$1:$BZ$1001,961,C$2)&amp;""),""))</f>
        <v/>
      </c>
      <c r="D962">
        <f>IF(D$2=0,"",IFERROR(TRIM(INDEX('Pegar estudiantes'!$A$1:$BZ$1001,961,D$2)&amp;""),""))</f>
        <v/>
      </c>
      <c r="E962">
        <f>IF(E$2=0,"",IFERROR(TRIM(INDEX('Pegar estudiantes'!$A$1:$BZ$1001,961,E$2)&amp;""),""))</f>
        <v/>
      </c>
      <c r="F962">
        <f>IF(F$2=0,"",IFERROR(TRIM(INDEX('Pegar estudiantes'!$A$1:$BZ$1001,961,F$2)&amp;""),""))</f>
        <v/>
      </c>
      <c r="G962">
        <f>IF(G$2=0,"",IFERROR(TRIM(INDEX('Pegar estudiantes'!$A$1:$BZ$1001,961,G$2)&amp;""),""))</f>
        <v/>
      </c>
      <c r="H962">
        <f>IF(H$2=0,"",IFERROR(TRIM(INDEX('Pegar estudiantes'!$A$1:$BZ$1001,961,H$2)&amp;""),""))</f>
        <v/>
      </c>
      <c r="I962">
        <f>IF(I$2=0,"",IFERROR(TRIM(INDEX('Pegar estudiantes'!$A$1:$BZ$1001,961,I$2)&amp;""),""))</f>
        <v/>
      </c>
      <c r="J962">
        <f>IF(J$2=0,"",IFERROR(TRIM(INDEX('Pegar estudiantes'!$A$1:$BZ$1001,961,J$2)&amp;""),""))</f>
        <v/>
      </c>
      <c r="K962">
        <f>IF(K$2=0,"",IFERROR(TRIM(INDEX('Pegar estudiantes'!$A$1:$BZ$1001,961,K$2)&amp;""),""))</f>
        <v/>
      </c>
      <c r="L962" s="25">
        <f>IF(A962&lt;&gt;"",1,"")</f>
        <v/>
      </c>
      <c r="M962" s="25">
        <f>IF(L962=1,IF(ISNUMBER(FIND("#"&amp;MID(A962,1,1)&amp;"#","#0#1#2#3#4#5#6#7#8#9#")),IF(ISNUMBER(FIND("#"&amp;MID(A962,2,1)&amp;"#","#0#1#2#3#4#5#6#7#8#9#")),IF(AND(VALUE(LEFT(A962,2))&gt;=1,VALUE(LEFT(A962,2))&lt;=5),VALUE(LEFT(A962,2)),""),IF(AND(VALUE(LEFT(A962,1))&gt;=1,VALUE(LEFT(A962,1))&lt;=5),VALUE(LEFT(A962,1)),"")),""),"")</f>
        <v/>
      </c>
      <c r="N962" s="25">
        <f>IF(L962=1,IF(ISNUMBER(FIND("#"&amp;MID(H962,1,1)&amp;"#","#0#1#2#3#4#5#6#7#8#9#")),IF(ISNUMBER(FIND("#"&amp;MID(H962,2,1)&amp;"#","#0#1#2#3#4#5#6#7#8#9#")),IF(AND(VALUE(LEFT(H962,2))&gt;=1,VALUE(LEFT(H962,2))&lt;=5),VALUE(LEFT(H962,2)),""),IF(AND(VALUE(LEFT(H962,1))&gt;=1,VALUE(LEFT(H962,1))&lt;=5),VALUE(LEFT(H962,1)),"")),""),"")</f>
        <v/>
      </c>
      <c r="O962" s="25">
        <f>IF(AND(L962=1,B962&lt;&gt;""),SUBSTITUTE(SUBSTITUTE(SUBSTITUTE(SUBSTITUTE(SUBSTITUTE(SUBSTITUTE(SUBSTITUTE(SUBSTITUTE(SUBSTITUTE(SUBSTITUTE(SUBSTITUTE(SUBSTITUTE(LOWER(TRIM(B962)),"á","a"),"é","e"),"í","i"),"ó","o"),"ú","u"),"ü","u"),"ñ","n"),"à","a"),"è","e"),"ì","i"),"ò","o"),"ù","u"),"")</f>
        <v/>
      </c>
      <c r="P962" s="25">
        <f>IF(AND(L962=1,C962&lt;&gt;""),SUBSTITUTE(SUBSTITUTE(SUBSTITUTE(SUBSTITUTE(SUBSTITUTE(SUBSTITUTE(SUBSTITUTE(SUBSTITUTE(SUBSTITUTE(SUBSTITUTE(SUBSTITUTE(SUBSTITUTE(LOWER(TRIM(C962)),"á","a"),"é","e"),"í","i"),"ó","o"),"ú","u"),"ü","u"),"ñ","n"),"à","a"),"è","e"),"ì","i"),"ò","o"),"ù","u"),"")</f>
        <v/>
      </c>
      <c r="Q962" s="25">
        <f>IF(AND(L962=1,E962&lt;&gt;""),SUBSTITUTE(SUBSTITUTE(SUBSTITUTE(SUBSTITUTE(SUBSTITUTE(SUBSTITUTE(SUBSTITUTE(SUBSTITUTE(SUBSTITUTE(SUBSTITUTE(SUBSTITUTE(SUBSTITUTE(LOWER(TRIM(E962)),"á","a"),"é","e"),"í","i"),"ó","o"),"ú","u"),"ü","u"),"ñ","n"),"à","a"),"è","e"),"ì","i"),"ò","o"),"ù","u"),"")</f>
        <v/>
      </c>
      <c r="R962" s="25">
        <f>IF(AND(L962=1,I962&lt;&gt;""),SUBSTITUTE(SUBSTITUTE(SUBSTITUTE(SUBSTITUTE(SUBSTITUTE(SUBSTITUTE(SUBSTITUTE(SUBSTITUTE(SUBSTITUTE(SUBSTITUTE(SUBSTITUTE(SUBSTITUTE(LOWER(TRIM(I962)),"á","a"),"é","e"),"í","i"),"ó","o"),"ú","u"),"ü","u"),"ñ","n"),"à","a"),"è","e"),"ì","i"),"ò","o"),"ù","u"),"")</f>
        <v/>
      </c>
      <c r="S962" s="25">
        <f>IF(R962="","",IF(OR(R962="si",R962="tal vez"),1,0))</f>
        <v/>
      </c>
      <c r="T962" s="25">
        <f>IF(AND(L962=1,D962&lt;&gt;""),IF(IFERROR(COUNTIFS(D$3:D962,"="&amp;SUBSTITUTE(SUBSTITUTE(SUBSTITUTE(D962,"~","~~"),"*","~*"),"?","~?"),L$3:L962,1),0)=1,MAX(T$2:T961)+1,""),"")</f>
        <v/>
      </c>
      <c r="U962" s="25">
        <f>IF(T962="","",COUNTIFS($D$3:$D$1002,"="&amp;SUBSTITUTE(SUBSTITUTE(SUBSTITUTE(D962,"~","~~"),"*","~*"),"?","~?"),$L$3:$L$1002,1)*10000-T962)</f>
        <v/>
      </c>
      <c r="V962" s="25">
        <f>IF(AND(L962=1,J962&lt;&gt;""),IF(IFERROR(COUNTIFS(J$3:J962,"="&amp;SUBSTITUTE(SUBSTITUTE(SUBSTITUTE(J962,"~","~~"),"*","~*"),"?","~?"),L$3:L962,1),0)=1,MAX(V$2:V961)+1,""),"")</f>
        <v/>
      </c>
      <c r="W962" s="25">
        <f>IF(V962="","",COUNTIFS($J$3:$J$1002,"="&amp;SUBSTITUTE(SUBSTITUTE(SUBSTITUTE(J962,"~","~~"),"*","~*"),"?","~?"),$L$3:$L$1002,1)*10000-V962)</f>
        <v/>
      </c>
    </row>
    <row r="963">
      <c r="A963">
        <f>IF(A$2=0,"",IFERROR(TRIM(INDEX('Pegar estudiantes'!$A$1:$BZ$1001,962,A$2)&amp;""),""))</f>
        <v/>
      </c>
      <c r="B963">
        <f>IF(B$2=0,"",IFERROR(TRIM(INDEX('Pegar estudiantes'!$A$1:$BZ$1001,962,B$2)&amp;""),""))</f>
        <v/>
      </c>
      <c r="C963">
        <f>IF(C$2=0,"",IFERROR(TRIM(INDEX('Pegar estudiantes'!$A$1:$BZ$1001,962,C$2)&amp;""),""))</f>
        <v/>
      </c>
      <c r="D963">
        <f>IF(D$2=0,"",IFERROR(TRIM(INDEX('Pegar estudiantes'!$A$1:$BZ$1001,962,D$2)&amp;""),""))</f>
        <v/>
      </c>
      <c r="E963">
        <f>IF(E$2=0,"",IFERROR(TRIM(INDEX('Pegar estudiantes'!$A$1:$BZ$1001,962,E$2)&amp;""),""))</f>
        <v/>
      </c>
      <c r="F963">
        <f>IF(F$2=0,"",IFERROR(TRIM(INDEX('Pegar estudiantes'!$A$1:$BZ$1001,962,F$2)&amp;""),""))</f>
        <v/>
      </c>
      <c r="G963">
        <f>IF(G$2=0,"",IFERROR(TRIM(INDEX('Pegar estudiantes'!$A$1:$BZ$1001,962,G$2)&amp;""),""))</f>
        <v/>
      </c>
      <c r="H963">
        <f>IF(H$2=0,"",IFERROR(TRIM(INDEX('Pegar estudiantes'!$A$1:$BZ$1001,962,H$2)&amp;""),""))</f>
        <v/>
      </c>
      <c r="I963">
        <f>IF(I$2=0,"",IFERROR(TRIM(INDEX('Pegar estudiantes'!$A$1:$BZ$1001,962,I$2)&amp;""),""))</f>
        <v/>
      </c>
      <c r="J963">
        <f>IF(J$2=0,"",IFERROR(TRIM(INDEX('Pegar estudiantes'!$A$1:$BZ$1001,962,J$2)&amp;""),""))</f>
        <v/>
      </c>
      <c r="K963">
        <f>IF(K$2=0,"",IFERROR(TRIM(INDEX('Pegar estudiantes'!$A$1:$BZ$1001,962,K$2)&amp;""),""))</f>
        <v/>
      </c>
      <c r="L963" s="25">
        <f>IF(A963&lt;&gt;"",1,"")</f>
        <v/>
      </c>
      <c r="M963" s="25">
        <f>IF(L963=1,IF(ISNUMBER(FIND("#"&amp;MID(A963,1,1)&amp;"#","#0#1#2#3#4#5#6#7#8#9#")),IF(ISNUMBER(FIND("#"&amp;MID(A963,2,1)&amp;"#","#0#1#2#3#4#5#6#7#8#9#")),IF(AND(VALUE(LEFT(A963,2))&gt;=1,VALUE(LEFT(A963,2))&lt;=5),VALUE(LEFT(A963,2)),""),IF(AND(VALUE(LEFT(A963,1))&gt;=1,VALUE(LEFT(A963,1))&lt;=5),VALUE(LEFT(A963,1)),"")),""),"")</f>
        <v/>
      </c>
      <c r="N963" s="25">
        <f>IF(L963=1,IF(ISNUMBER(FIND("#"&amp;MID(H963,1,1)&amp;"#","#0#1#2#3#4#5#6#7#8#9#")),IF(ISNUMBER(FIND("#"&amp;MID(H963,2,1)&amp;"#","#0#1#2#3#4#5#6#7#8#9#")),IF(AND(VALUE(LEFT(H963,2))&gt;=1,VALUE(LEFT(H963,2))&lt;=5),VALUE(LEFT(H963,2)),""),IF(AND(VALUE(LEFT(H963,1))&gt;=1,VALUE(LEFT(H963,1))&lt;=5),VALUE(LEFT(H963,1)),"")),""),"")</f>
        <v/>
      </c>
      <c r="O963" s="25">
        <f>IF(AND(L963=1,B963&lt;&gt;""),SUBSTITUTE(SUBSTITUTE(SUBSTITUTE(SUBSTITUTE(SUBSTITUTE(SUBSTITUTE(SUBSTITUTE(SUBSTITUTE(SUBSTITUTE(SUBSTITUTE(SUBSTITUTE(SUBSTITUTE(LOWER(TRIM(B963)),"á","a"),"é","e"),"í","i"),"ó","o"),"ú","u"),"ü","u"),"ñ","n"),"à","a"),"è","e"),"ì","i"),"ò","o"),"ù","u"),"")</f>
        <v/>
      </c>
      <c r="P963" s="25">
        <f>IF(AND(L963=1,C963&lt;&gt;""),SUBSTITUTE(SUBSTITUTE(SUBSTITUTE(SUBSTITUTE(SUBSTITUTE(SUBSTITUTE(SUBSTITUTE(SUBSTITUTE(SUBSTITUTE(SUBSTITUTE(SUBSTITUTE(SUBSTITUTE(LOWER(TRIM(C963)),"á","a"),"é","e"),"í","i"),"ó","o"),"ú","u"),"ü","u"),"ñ","n"),"à","a"),"è","e"),"ì","i"),"ò","o"),"ù","u"),"")</f>
        <v/>
      </c>
      <c r="Q963" s="25">
        <f>IF(AND(L963=1,E963&lt;&gt;""),SUBSTITUTE(SUBSTITUTE(SUBSTITUTE(SUBSTITUTE(SUBSTITUTE(SUBSTITUTE(SUBSTITUTE(SUBSTITUTE(SUBSTITUTE(SUBSTITUTE(SUBSTITUTE(SUBSTITUTE(LOWER(TRIM(E963)),"á","a"),"é","e"),"í","i"),"ó","o"),"ú","u"),"ü","u"),"ñ","n"),"à","a"),"è","e"),"ì","i"),"ò","o"),"ù","u"),"")</f>
        <v/>
      </c>
      <c r="R963" s="25">
        <f>IF(AND(L963=1,I963&lt;&gt;""),SUBSTITUTE(SUBSTITUTE(SUBSTITUTE(SUBSTITUTE(SUBSTITUTE(SUBSTITUTE(SUBSTITUTE(SUBSTITUTE(SUBSTITUTE(SUBSTITUTE(SUBSTITUTE(SUBSTITUTE(LOWER(TRIM(I963)),"á","a"),"é","e"),"í","i"),"ó","o"),"ú","u"),"ü","u"),"ñ","n"),"à","a"),"è","e"),"ì","i"),"ò","o"),"ù","u"),"")</f>
        <v/>
      </c>
      <c r="S963" s="25">
        <f>IF(R963="","",IF(OR(R963="si",R963="tal vez"),1,0))</f>
        <v/>
      </c>
      <c r="T963" s="25">
        <f>IF(AND(L963=1,D963&lt;&gt;""),IF(IFERROR(COUNTIFS(D$3:D963,"="&amp;SUBSTITUTE(SUBSTITUTE(SUBSTITUTE(D963,"~","~~"),"*","~*"),"?","~?"),L$3:L963,1),0)=1,MAX(T$2:T962)+1,""),"")</f>
        <v/>
      </c>
      <c r="U963" s="25">
        <f>IF(T963="","",COUNTIFS($D$3:$D$1002,"="&amp;SUBSTITUTE(SUBSTITUTE(SUBSTITUTE(D963,"~","~~"),"*","~*"),"?","~?"),$L$3:$L$1002,1)*10000-T963)</f>
        <v/>
      </c>
      <c r="V963" s="25">
        <f>IF(AND(L963=1,J963&lt;&gt;""),IF(IFERROR(COUNTIFS(J$3:J963,"="&amp;SUBSTITUTE(SUBSTITUTE(SUBSTITUTE(J963,"~","~~"),"*","~*"),"?","~?"),L$3:L963,1),0)=1,MAX(V$2:V962)+1,""),"")</f>
        <v/>
      </c>
      <c r="W963" s="25">
        <f>IF(V963="","",COUNTIFS($J$3:$J$1002,"="&amp;SUBSTITUTE(SUBSTITUTE(SUBSTITUTE(J963,"~","~~"),"*","~*"),"?","~?"),$L$3:$L$1002,1)*10000-V963)</f>
        <v/>
      </c>
    </row>
    <row r="964">
      <c r="A964">
        <f>IF(A$2=0,"",IFERROR(TRIM(INDEX('Pegar estudiantes'!$A$1:$BZ$1001,963,A$2)&amp;""),""))</f>
        <v/>
      </c>
      <c r="B964">
        <f>IF(B$2=0,"",IFERROR(TRIM(INDEX('Pegar estudiantes'!$A$1:$BZ$1001,963,B$2)&amp;""),""))</f>
        <v/>
      </c>
      <c r="C964">
        <f>IF(C$2=0,"",IFERROR(TRIM(INDEX('Pegar estudiantes'!$A$1:$BZ$1001,963,C$2)&amp;""),""))</f>
        <v/>
      </c>
      <c r="D964">
        <f>IF(D$2=0,"",IFERROR(TRIM(INDEX('Pegar estudiantes'!$A$1:$BZ$1001,963,D$2)&amp;""),""))</f>
        <v/>
      </c>
      <c r="E964">
        <f>IF(E$2=0,"",IFERROR(TRIM(INDEX('Pegar estudiantes'!$A$1:$BZ$1001,963,E$2)&amp;""),""))</f>
        <v/>
      </c>
      <c r="F964">
        <f>IF(F$2=0,"",IFERROR(TRIM(INDEX('Pegar estudiantes'!$A$1:$BZ$1001,963,F$2)&amp;""),""))</f>
        <v/>
      </c>
      <c r="G964">
        <f>IF(G$2=0,"",IFERROR(TRIM(INDEX('Pegar estudiantes'!$A$1:$BZ$1001,963,G$2)&amp;""),""))</f>
        <v/>
      </c>
      <c r="H964">
        <f>IF(H$2=0,"",IFERROR(TRIM(INDEX('Pegar estudiantes'!$A$1:$BZ$1001,963,H$2)&amp;""),""))</f>
        <v/>
      </c>
      <c r="I964">
        <f>IF(I$2=0,"",IFERROR(TRIM(INDEX('Pegar estudiantes'!$A$1:$BZ$1001,963,I$2)&amp;""),""))</f>
        <v/>
      </c>
      <c r="J964">
        <f>IF(J$2=0,"",IFERROR(TRIM(INDEX('Pegar estudiantes'!$A$1:$BZ$1001,963,J$2)&amp;""),""))</f>
        <v/>
      </c>
      <c r="K964">
        <f>IF(K$2=0,"",IFERROR(TRIM(INDEX('Pegar estudiantes'!$A$1:$BZ$1001,963,K$2)&amp;""),""))</f>
        <v/>
      </c>
      <c r="L964" s="25">
        <f>IF(A964&lt;&gt;"",1,"")</f>
        <v/>
      </c>
      <c r="M964" s="25">
        <f>IF(L964=1,IF(ISNUMBER(FIND("#"&amp;MID(A964,1,1)&amp;"#","#0#1#2#3#4#5#6#7#8#9#")),IF(ISNUMBER(FIND("#"&amp;MID(A964,2,1)&amp;"#","#0#1#2#3#4#5#6#7#8#9#")),IF(AND(VALUE(LEFT(A964,2))&gt;=1,VALUE(LEFT(A964,2))&lt;=5),VALUE(LEFT(A964,2)),""),IF(AND(VALUE(LEFT(A964,1))&gt;=1,VALUE(LEFT(A964,1))&lt;=5),VALUE(LEFT(A964,1)),"")),""),"")</f>
        <v/>
      </c>
      <c r="N964" s="25">
        <f>IF(L964=1,IF(ISNUMBER(FIND("#"&amp;MID(H964,1,1)&amp;"#","#0#1#2#3#4#5#6#7#8#9#")),IF(ISNUMBER(FIND("#"&amp;MID(H964,2,1)&amp;"#","#0#1#2#3#4#5#6#7#8#9#")),IF(AND(VALUE(LEFT(H964,2))&gt;=1,VALUE(LEFT(H964,2))&lt;=5),VALUE(LEFT(H964,2)),""),IF(AND(VALUE(LEFT(H964,1))&gt;=1,VALUE(LEFT(H964,1))&lt;=5),VALUE(LEFT(H964,1)),"")),""),"")</f>
        <v/>
      </c>
      <c r="O964" s="25">
        <f>IF(AND(L964=1,B964&lt;&gt;""),SUBSTITUTE(SUBSTITUTE(SUBSTITUTE(SUBSTITUTE(SUBSTITUTE(SUBSTITUTE(SUBSTITUTE(SUBSTITUTE(SUBSTITUTE(SUBSTITUTE(SUBSTITUTE(SUBSTITUTE(LOWER(TRIM(B964)),"á","a"),"é","e"),"í","i"),"ó","o"),"ú","u"),"ü","u"),"ñ","n"),"à","a"),"è","e"),"ì","i"),"ò","o"),"ù","u"),"")</f>
        <v/>
      </c>
      <c r="P964" s="25">
        <f>IF(AND(L964=1,C964&lt;&gt;""),SUBSTITUTE(SUBSTITUTE(SUBSTITUTE(SUBSTITUTE(SUBSTITUTE(SUBSTITUTE(SUBSTITUTE(SUBSTITUTE(SUBSTITUTE(SUBSTITUTE(SUBSTITUTE(SUBSTITUTE(LOWER(TRIM(C964)),"á","a"),"é","e"),"í","i"),"ó","o"),"ú","u"),"ü","u"),"ñ","n"),"à","a"),"è","e"),"ì","i"),"ò","o"),"ù","u"),"")</f>
        <v/>
      </c>
      <c r="Q964" s="25">
        <f>IF(AND(L964=1,E964&lt;&gt;""),SUBSTITUTE(SUBSTITUTE(SUBSTITUTE(SUBSTITUTE(SUBSTITUTE(SUBSTITUTE(SUBSTITUTE(SUBSTITUTE(SUBSTITUTE(SUBSTITUTE(SUBSTITUTE(SUBSTITUTE(LOWER(TRIM(E964)),"á","a"),"é","e"),"í","i"),"ó","o"),"ú","u"),"ü","u"),"ñ","n"),"à","a"),"è","e"),"ì","i"),"ò","o"),"ù","u"),"")</f>
        <v/>
      </c>
      <c r="R964" s="25">
        <f>IF(AND(L964=1,I964&lt;&gt;""),SUBSTITUTE(SUBSTITUTE(SUBSTITUTE(SUBSTITUTE(SUBSTITUTE(SUBSTITUTE(SUBSTITUTE(SUBSTITUTE(SUBSTITUTE(SUBSTITUTE(SUBSTITUTE(SUBSTITUTE(LOWER(TRIM(I964)),"á","a"),"é","e"),"í","i"),"ó","o"),"ú","u"),"ü","u"),"ñ","n"),"à","a"),"è","e"),"ì","i"),"ò","o"),"ù","u"),"")</f>
        <v/>
      </c>
      <c r="S964" s="25">
        <f>IF(R964="","",IF(OR(R964="si",R964="tal vez"),1,0))</f>
        <v/>
      </c>
      <c r="T964" s="25">
        <f>IF(AND(L964=1,D964&lt;&gt;""),IF(IFERROR(COUNTIFS(D$3:D964,"="&amp;SUBSTITUTE(SUBSTITUTE(SUBSTITUTE(D964,"~","~~"),"*","~*"),"?","~?"),L$3:L964,1),0)=1,MAX(T$2:T963)+1,""),"")</f>
        <v/>
      </c>
      <c r="U964" s="25">
        <f>IF(T964="","",COUNTIFS($D$3:$D$1002,"="&amp;SUBSTITUTE(SUBSTITUTE(SUBSTITUTE(D964,"~","~~"),"*","~*"),"?","~?"),$L$3:$L$1002,1)*10000-T964)</f>
        <v/>
      </c>
      <c r="V964" s="25">
        <f>IF(AND(L964=1,J964&lt;&gt;""),IF(IFERROR(COUNTIFS(J$3:J964,"="&amp;SUBSTITUTE(SUBSTITUTE(SUBSTITUTE(J964,"~","~~"),"*","~*"),"?","~?"),L$3:L964,1),0)=1,MAX(V$2:V963)+1,""),"")</f>
        <v/>
      </c>
      <c r="W964" s="25">
        <f>IF(V964="","",COUNTIFS($J$3:$J$1002,"="&amp;SUBSTITUTE(SUBSTITUTE(SUBSTITUTE(J964,"~","~~"),"*","~*"),"?","~?"),$L$3:$L$1002,1)*10000-V964)</f>
        <v/>
      </c>
    </row>
    <row r="965">
      <c r="A965">
        <f>IF(A$2=0,"",IFERROR(TRIM(INDEX('Pegar estudiantes'!$A$1:$BZ$1001,964,A$2)&amp;""),""))</f>
        <v/>
      </c>
      <c r="B965">
        <f>IF(B$2=0,"",IFERROR(TRIM(INDEX('Pegar estudiantes'!$A$1:$BZ$1001,964,B$2)&amp;""),""))</f>
        <v/>
      </c>
      <c r="C965">
        <f>IF(C$2=0,"",IFERROR(TRIM(INDEX('Pegar estudiantes'!$A$1:$BZ$1001,964,C$2)&amp;""),""))</f>
        <v/>
      </c>
      <c r="D965">
        <f>IF(D$2=0,"",IFERROR(TRIM(INDEX('Pegar estudiantes'!$A$1:$BZ$1001,964,D$2)&amp;""),""))</f>
        <v/>
      </c>
      <c r="E965">
        <f>IF(E$2=0,"",IFERROR(TRIM(INDEX('Pegar estudiantes'!$A$1:$BZ$1001,964,E$2)&amp;""),""))</f>
        <v/>
      </c>
      <c r="F965">
        <f>IF(F$2=0,"",IFERROR(TRIM(INDEX('Pegar estudiantes'!$A$1:$BZ$1001,964,F$2)&amp;""),""))</f>
        <v/>
      </c>
      <c r="G965">
        <f>IF(G$2=0,"",IFERROR(TRIM(INDEX('Pegar estudiantes'!$A$1:$BZ$1001,964,G$2)&amp;""),""))</f>
        <v/>
      </c>
      <c r="H965">
        <f>IF(H$2=0,"",IFERROR(TRIM(INDEX('Pegar estudiantes'!$A$1:$BZ$1001,964,H$2)&amp;""),""))</f>
        <v/>
      </c>
      <c r="I965">
        <f>IF(I$2=0,"",IFERROR(TRIM(INDEX('Pegar estudiantes'!$A$1:$BZ$1001,964,I$2)&amp;""),""))</f>
        <v/>
      </c>
      <c r="J965">
        <f>IF(J$2=0,"",IFERROR(TRIM(INDEX('Pegar estudiantes'!$A$1:$BZ$1001,964,J$2)&amp;""),""))</f>
        <v/>
      </c>
      <c r="K965">
        <f>IF(K$2=0,"",IFERROR(TRIM(INDEX('Pegar estudiantes'!$A$1:$BZ$1001,964,K$2)&amp;""),""))</f>
        <v/>
      </c>
      <c r="L965" s="25">
        <f>IF(A965&lt;&gt;"",1,"")</f>
        <v/>
      </c>
      <c r="M965" s="25">
        <f>IF(L965=1,IF(ISNUMBER(FIND("#"&amp;MID(A965,1,1)&amp;"#","#0#1#2#3#4#5#6#7#8#9#")),IF(ISNUMBER(FIND("#"&amp;MID(A965,2,1)&amp;"#","#0#1#2#3#4#5#6#7#8#9#")),IF(AND(VALUE(LEFT(A965,2))&gt;=1,VALUE(LEFT(A965,2))&lt;=5),VALUE(LEFT(A965,2)),""),IF(AND(VALUE(LEFT(A965,1))&gt;=1,VALUE(LEFT(A965,1))&lt;=5),VALUE(LEFT(A965,1)),"")),""),"")</f>
        <v/>
      </c>
      <c r="N965" s="25">
        <f>IF(L965=1,IF(ISNUMBER(FIND("#"&amp;MID(H965,1,1)&amp;"#","#0#1#2#3#4#5#6#7#8#9#")),IF(ISNUMBER(FIND("#"&amp;MID(H965,2,1)&amp;"#","#0#1#2#3#4#5#6#7#8#9#")),IF(AND(VALUE(LEFT(H965,2))&gt;=1,VALUE(LEFT(H965,2))&lt;=5),VALUE(LEFT(H965,2)),""),IF(AND(VALUE(LEFT(H965,1))&gt;=1,VALUE(LEFT(H965,1))&lt;=5),VALUE(LEFT(H965,1)),"")),""),"")</f>
        <v/>
      </c>
      <c r="O965" s="25">
        <f>IF(AND(L965=1,B965&lt;&gt;""),SUBSTITUTE(SUBSTITUTE(SUBSTITUTE(SUBSTITUTE(SUBSTITUTE(SUBSTITUTE(SUBSTITUTE(SUBSTITUTE(SUBSTITUTE(SUBSTITUTE(SUBSTITUTE(SUBSTITUTE(LOWER(TRIM(B965)),"á","a"),"é","e"),"í","i"),"ó","o"),"ú","u"),"ü","u"),"ñ","n"),"à","a"),"è","e"),"ì","i"),"ò","o"),"ù","u"),"")</f>
        <v/>
      </c>
      <c r="P965" s="25">
        <f>IF(AND(L965=1,C965&lt;&gt;""),SUBSTITUTE(SUBSTITUTE(SUBSTITUTE(SUBSTITUTE(SUBSTITUTE(SUBSTITUTE(SUBSTITUTE(SUBSTITUTE(SUBSTITUTE(SUBSTITUTE(SUBSTITUTE(SUBSTITUTE(LOWER(TRIM(C965)),"á","a"),"é","e"),"í","i"),"ó","o"),"ú","u"),"ü","u"),"ñ","n"),"à","a"),"è","e"),"ì","i"),"ò","o"),"ù","u"),"")</f>
        <v/>
      </c>
      <c r="Q965" s="25">
        <f>IF(AND(L965=1,E965&lt;&gt;""),SUBSTITUTE(SUBSTITUTE(SUBSTITUTE(SUBSTITUTE(SUBSTITUTE(SUBSTITUTE(SUBSTITUTE(SUBSTITUTE(SUBSTITUTE(SUBSTITUTE(SUBSTITUTE(SUBSTITUTE(LOWER(TRIM(E965)),"á","a"),"é","e"),"í","i"),"ó","o"),"ú","u"),"ü","u"),"ñ","n"),"à","a"),"è","e"),"ì","i"),"ò","o"),"ù","u"),"")</f>
        <v/>
      </c>
      <c r="R965" s="25">
        <f>IF(AND(L965=1,I965&lt;&gt;""),SUBSTITUTE(SUBSTITUTE(SUBSTITUTE(SUBSTITUTE(SUBSTITUTE(SUBSTITUTE(SUBSTITUTE(SUBSTITUTE(SUBSTITUTE(SUBSTITUTE(SUBSTITUTE(SUBSTITUTE(LOWER(TRIM(I965)),"á","a"),"é","e"),"í","i"),"ó","o"),"ú","u"),"ü","u"),"ñ","n"),"à","a"),"è","e"),"ì","i"),"ò","o"),"ù","u"),"")</f>
        <v/>
      </c>
      <c r="S965" s="25">
        <f>IF(R965="","",IF(OR(R965="si",R965="tal vez"),1,0))</f>
        <v/>
      </c>
      <c r="T965" s="25">
        <f>IF(AND(L965=1,D965&lt;&gt;""),IF(IFERROR(COUNTIFS(D$3:D965,"="&amp;SUBSTITUTE(SUBSTITUTE(SUBSTITUTE(D965,"~","~~"),"*","~*"),"?","~?"),L$3:L965,1),0)=1,MAX(T$2:T964)+1,""),"")</f>
        <v/>
      </c>
      <c r="U965" s="25">
        <f>IF(T965="","",COUNTIFS($D$3:$D$1002,"="&amp;SUBSTITUTE(SUBSTITUTE(SUBSTITUTE(D965,"~","~~"),"*","~*"),"?","~?"),$L$3:$L$1002,1)*10000-T965)</f>
        <v/>
      </c>
      <c r="V965" s="25">
        <f>IF(AND(L965=1,J965&lt;&gt;""),IF(IFERROR(COUNTIFS(J$3:J965,"="&amp;SUBSTITUTE(SUBSTITUTE(SUBSTITUTE(J965,"~","~~"),"*","~*"),"?","~?"),L$3:L965,1),0)=1,MAX(V$2:V964)+1,""),"")</f>
        <v/>
      </c>
      <c r="W965" s="25">
        <f>IF(V965="","",COUNTIFS($J$3:$J$1002,"="&amp;SUBSTITUTE(SUBSTITUTE(SUBSTITUTE(J965,"~","~~"),"*","~*"),"?","~?"),$L$3:$L$1002,1)*10000-V965)</f>
        <v/>
      </c>
    </row>
    <row r="966">
      <c r="A966">
        <f>IF(A$2=0,"",IFERROR(TRIM(INDEX('Pegar estudiantes'!$A$1:$BZ$1001,965,A$2)&amp;""),""))</f>
        <v/>
      </c>
      <c r="B966">
        <f>IF(B$2=0,"",IFERROR(TRIM(INDEX('Pegar estudiantes'!$A$1:$BZ$1001,965,B$2)&amp;""),""))</f>
        <v/>
      </c>
      <c r="C966">
        <f>IF(C$2=0,"",IFERROR(TRIM(INDEX('Pegar estudiantes'!$A$1:$BZ$1001,965,C$2)&amp;""),""))</f>
        <v/>
      </c>
      <c r="D966">
        <f>IF(D$2=0,"",IFERROR(TRIM(INDEX('Pegar estudiantes'!$A$1:$BZ$1001,965,D$2)&amp;""),""))</f>
        <v/>
      </c>
      <c r="E966">
        <f>IF(E$2=0,"",IFERROR(TRIM(INDEX('Pegar estudiantes'!$A$1:$BZ$1001,965,E$2)&amp;""),""))</f>
        <v/>
      </c>
      <c r="F966">
        <f>IF(F$2=0,"",IFERROR(TRIM(INDEX('Pegar estudiantes'!$A$1:$BZ$1001,965,F$2)&amp;""),""))</f>
        <v/>
      </c>
      <c r="G966">
        <f>IF(G$2=0,"",IFERROR(TRIM(INDEX('Pegar estudiantes'!$A$1:$BZ$1001,965,G$2)&amp;""),""))</f>
        <v/>
      </c>
      <c r="H966">
        <f>IF(H$2=0,"",IFERROR(TRIM(INDEX('Pegar estudiantes'!$A$1:$BZ$1001,965,H$2)&amp;""),""))</f>
        <v/>
      </c>
      <c r="I966">
        <f>IF(I$2=0,"",IFERROR(TRIM(INDEX('Pegar estudiantes'!$A$1:$BZ$1001,965,I$2)&amp;""),""))</f>
        <v/>
      </c>
      <c r="J966">
        <f>IF(J$2=0,"",IFERROR(TRIM(INDEX('Pegar estudiantes'!$A$1:$BZ$1001,965,J$2)&amp;""),""))</f>
        <v/>
      </c>
      <c r="K966">
        <f>IF(K$2=0,"",IFERROR(TRIM(INDEX('Pegar estudiantes'!$A$1:$BZ$1001,965,K$2)&amp;""),""))</f>
        <v/>
      </c>
      <c r="L966" s="25">
        <f>IF(A966&lt;&gt;"",1,"")</f>
        <v/>
      </c>
      <c r="M966" s="25">
        <f>IF(L966=1,IF(ISNUMBER(FIND("#"&amp;MID(A966,1,1)&amp;"#","#0#1#2#3#4#5#6#7#8#9#")),IF(ISNUMBER(FIND("#"&amp;MID(A966,2,1)&amp;"#","#0#1#2#3#4#5#6#7#8#9#")),IF(AND(VALUE(LEFT(A966,2))&gt;=1,VALUE(LEFT(A966,2))&lt;=5),VALUE(LEFT(A966,2)),""),IF(AND(VALUE(LEFT(A966,1))&gt;=1,VALUE(LEFT(A966,1))&lt;=5),VALUE(LEFT(A966,1)),"")),""),"")</f>
        <v/>
      </c>
      <c r="N966" s="25">
        <f>IF(L966=1,IF(ISNUMBER(FIND("#"&amp;MID(H966,1,1)&amp;"#","#0#1#2#3#4#5#6#7#8#9#")),IF(ISNUMBER(FIND("#"&amp;MID(H966,2,1)&amp;"#","#0#1#2#3#4#5#6#7#8#9#")),IF(AND(VALUE(LEFT(H966,2))&gt;=1,VALUE(LEFT(H966,2))&lt;=5),VALUE(LEFT(H966,2)),""),IF(AND(VALUE(LEFT(H966,1))&gt;=1,VALUE(LEFT(H966,1))&lt;=5),VALUE(LEFT(H966,1)),"")),""),"")</f>
        <v/>
      </c>
      <c r="O966" s="25">
        <f>IF(AND(L966=1,B966&lt;&gt;""),SUBSTITUTE(SUBSTITUTE(SUBSTITUTE(SUBSTITUTE(SUBSTITUTE(SUBSTITUTE(SUBSTITUTE(SUBSTITUTE(SUBSTITUTE(SUBSTITUTE(SUBSTITUTE(SUBSTITUTE(LOWER(TRIM(B966)),"á","a"),"é","e"),"í","i"),"ó","o"),"ú","u"),"ü","u"),"ñ","n"),"à","a"),"è","e"),"ì","i"),"ò","o"),"ù","u"),"")</f>
        <v/>
      </c>
      <c r="P966" s="25">
        <f>IF(AND(L966=1,C966&lt;&gt;""),SUBSTITUTE(SUBSTITUTE(SUBSTITUTE(SUBSTITUTE(SUBSTITUTE(SUBSTITUTE(SUBSTITUTE(SUBSTITUTE(SUBSTITUTE(SUBSTITUTE(SUBSTITUTE(SUBSTITUTE(LOWER(TRIM(C966)),"á","a"),"é","e"),"í","i"),"ó","o"),"ú","u"),"ü","u"),"ñ","n"),"à","a"),"è","e"),"ì","i"),"ò","o"),"ù","u"),"")</f>
        <v/>
      </c>
      <c r="Q966" s="25">
        <f>IF(AND(L966=1,E966&lt;&gt;""),SUBSTITUTE(SUBSTITUTE(SUBSTITUTE(SUBSTITUTE(SUBSTITUTE(SUBSTITUTE(SUBSTITUTE(SUBSTITUTE(SUBSTITUTE(SUBSTITUTE(SUBSTITUTE(SUBSTITUTE(LOWER(TRIM(E966)),"á","a"),"é","e"),"í","i"),"ó","o"),"ú","u"),"ü","u"),"ñ","n"),"à","a"),"è","e"),"ì","i"),"ò","o"),"ù","u"),"")</f>
        <v/>
      </c>
      <c r="R966" s="25">
        <f>IF(AND(L966=1,I966&lt;&gt;""),SUBSTITUTE(SUBSTITUTE(SUBSTITUTE(SUBSTITUTE(SUBSTITUTE(SUBSTITUTE(SUBSTITUTE(SUBSTITUTE(SUBSTITUTE(SUBSTITUTE(SUBSTITUTE(SUBSTITUTE(LOWER(TRIM(I966)),"á","a"),"é","e"),"í","i"),"ó","o"),"ú","u"),"ü","u"),"ñ","n"),"à","a"),"è","e"),"ì","i"),"ò","o"),"ù","u"),"")</f>
        <v/>
      </c>
      <c r="S966" s="25">
        <f>IF(R966="","",IF(OR(R966="si",R966="tal vez"),1,0))</f>
        <v/>
      </c>
      <c r="T966" s="25">
        <f>IF(AND(L966=1,D966&lt;&gt;""),IF(IFERROR(COUNTIFS(D$3:D966,"="&amp;SUBSTITUTE(SUBSTITUTE(SUBSTITUTE(D966,"~","~~"),"*","~*"),"?","~?"),L$3:L966,1),0)=1,MAX(T$2:T965)+1,""),"")</f>
        <v/>
      </c>
      <c r="U966" s="25">
        <f>IF(T966="","",COUNTIFS($D$3:$D$1002,"="&amp;SUBSTITUTE(SUBSTITUTE(SUBSTITUTE(D966,"~","~~"),"*","~*"),"?","~?"),$L$3:$L$1002,1)*10000-T966)</f>
        <v/>
      </c>
      <c r="V966" s="25">
        <f>IF(AND(L966=1,J966&lt;&gt;""),IF(IFERROR(COUNTIFS(J$3:J966,"="&amp;SUBSTITUTE(SUBSTITUTE(SUBSTITUTE(J966,"~","~~"),"*","~*"),"?","~?"),L$3:L966,1),0)=1,MAX(V$2:V965)+1,""),"")</f>
        <v/>
      </c>
      <c r="W966" s="25">
        <f>IF(V966="","",COUNTIFS($J$3:$J$1002,"="&amp;SUBSTITUTE(SUBSTITUTE(SUBSTITUTE(J966,"~","~~"),"*","~*"),"?","~?"),$L$3:$L$1002,1)*10000-V966)</f>
        <v/>
      </c>
    </row>
    <row r="967">
      <c r="A967">
        <f>IF(A$2=0,"",IFERROR(TRIM(INDEX('Pegar estudiantes'!$A$1:$BZ$1001,966,A$2)&amp;""),""))</f>
        <v/>
      </c>
      <c r="B967">
        <f>IF(B$2=0,"",IFERROR(TRIM(INDEX('Pegar estudiantes'!$A$1:$BZ$1001,966,B$2)&amp;""),""))</f>
        <v/>
      </c>
      <c r="C967">
        <f>IF(C$2=0,"",IFERROR(TRIM(INDEX('Pegar estudiantes'!$A$1:$BZ$1001,966,C$2)&amp;""),""))</f>
        <v/>
      </c>
      <c r="D967">
        <f>IF(D$2=0,"",IFERROR(TRIM(INDEX('Pegar estudiantes'!$A$1:$BZ$1001,966,D$2)&amp;""),""))</f>
        <v/>
      </c>
      <c r="E967">
        <f>IF(E$2=0,"",IFERROR(TRIM(INDEX('Pegar estudiantes'!$A$1:$BZ$1001,966,E$2)&amp;""),""))</f>
        <v/>
      </c>
      <c r="F967">
        <f>IF(F$2=0,"",IFERROR(TRIM(INDEX('Pegar estudiantes'!$A$1:$BZ$1001,966,F$2)&amp;""),""))</f>
        <v/>
      </c>
      <c r="G967">
        <f>IF(G$2=0,"",IFERROR(TRIM(INDEX('Pegar estudiantes'!$A$1:$BZ$1001,966,G$2)&amp;""),""))</f>
        <v/>
      </c>
      <c r="H967">
        <f>IF(H$2=0,"",IFERROR(TRIM(INDEX('Pegar estudiantes'!$A$1:$BZ$1001,966,H$2)&amp;""),""))</f>
        <v/>
      </c>
      <c r="I967">
        <f>IF(I$2=0,"",IFERROR(TRIM(INDEX('Pegar estudiantes'!$A$1:$BZ$1001,966,I$2)&amp;""),""))</f>
        <v/>
      </c>
      <c r="J967">
        <f>IF(J$2=0,"",IFERROR(TRIM(INDEX('Pegar estudiantes'!$A$1:$BZ$1001,966,J$2)&amp;""),""))</f>
        <v/>
      </c>
      <c r="K967">
        <f>IF(K$2=0,"",IFERROR(TRIM(INDEX('Pegar estudiantes'!$A$1:$BZ$1001,966,K$2)&amp;""),""))</f>
        <v/>
      </c>
      <c r="L967" s="25">
        <f>IF(A967&lt;&gt;"",1,"")</f>
        <v/>
      </c>
      <c r="M967" s="25">
        <f>IF(L967=1,IF(ISNUMBER(FIND("#"&amp;MID(A967,1,1)&amp;"#","#0#1#2#3#4#5#6#7#8#9#")),IF(ISNUMBER(FIND("#"&amp;MID(A967,2,1)&amp;"#","#0#1#2#3#4#5#6#7#8#9#")),IF(AND(VALUE(LEFT(A967,2))&gt;=1,VALUE(LEFT(A967,2))&lt;=5),VALUE(LEFT(A967,2)),""),IF(AND(VALUE(LEFT(A967,1))&gt;=1,VALUE(LEFT(A967,1))&lt;=5),VALUE(LEFT(A967,1)),"")),""),"")</f>
        <v/>
      </c>
      <c r="N967" s="25">
        <f>IF(L967=1,IF(ISNUMBER(FIND("#"&amp;MID(H967,1,1)&amp;"#","#0#1#2#3#4#5#6#7#8#9#")),IF(ISNUMBER(FIND("#"&amp;MID(H967,2,1)&amp;"#","#0#1#2#3#4#5#6#7#8#9#")),IF(AND(VALUE(LEFT(H967,2))&gt;=1,VALUE(LEFT(H967,2))&lt;=5),VALUE(LEFT(H967,2)),""),IF(AND(VALUE(LEFT(H967,1))&gt;=1,VALUE(LEFT(H967,1))&lt;=5),VALUE(LEFT(H967,1)),"")),""),"")</f>
        <v/>
      </c>
      <c r="O967" s="25">
        <f>IF(AND(L967=1,B967&lt;&gt;""),SUBSTITUTE(SUBSTITUTE(SUBSTITUTE(SUBSTITUTE(SUBSTITUTE(SUBSTITUTE(SUBSTITUTE(SUBSTITUTE(SUBSTITUTE(SUBSTITUTE(SUBSTITUTE(SUBSTITUTE(LOWER(TRIM(B967)),"á","a"),"é","e"),"í","i"),"ó","o"),"ú","u"),"ü","u"),"ñ","n"),"à","a"),"è","e"),"ì","i"),"ò","o"),"ù","u"),"")</f>
        <v/>
      </c>
      <c r="P967" s="25">
        <f>IF(AND(L967=1,C967&lt;&gt;""),SUBSTITUTE(SUBSTITUTE(SUBSTITUTE(SUBSTITUTE(SUBSTITUTE(SUBSTITUTE(SUBSTITUTE(SUBSTITUTE(SUBSTITUTE(SUBSTITUTE(SUBSTITUTE(SUBSTITUTE(LOWER(TRIM(C967)),"á","a"),"é","e"),"í","i"),"ó","o"),"ú","u"),"ü","u"),"ñ","n"),"à","a"),"è","e"),"ì","i"),"ò","o"),"ù","u"),"")</f>
        <v/>
      </c>
      <c r="Q967" s="25">
        <f>IF(AND(L967=1,E967&lt;&gt;""),SUBSTITUTE(SUBSTITUTE(SUBSTITUTE(SUBSTITUTE(SUBSTITUTE(SUBSTITUTE(SUBSTITUTE(SUBSTITUTE(SUBSTITUTE(SUBSTITUTE(SUBSTITUTE(SUBSTITUTE(LOWER(TRIM(E967)),"á","a"),"é","e"),"í","i"),"ó","o"),"ú","u"),"ü","u"),"ñ","n"),"à","a"),"è","e"),"ì","i"),"ò","o"),"ù","u"),"")</f>
        <v/>
      </c>
      <c r="R967" s="25">
        <f>IF(AND(L967=1,I967&lt;&gt;""),SUBSTITUTE(SUBSTITUTE(SUBSTITUTE(SUBSTITUTE(SUBSTITUTE(SUBSTITUTE(SUBSTITUTE(SUBSTITUTE(SUBSTITUTE(SUBSTITUTE(SUBSTITUTE(SUBSTITUTE(LOWER(TRIM(I967)),"á","a"),"é","e"),"í","i"),"ó","o"),"ú","u"),"ü","u"),"ñ","n"),"à","a"),"è","e"),"ì","i"),"ò","o"),"ù","u"),"")</f>
        <v/>
      </c>
      <c r="S967" s="25">
        <f>IF(R967="","",IF(OR(R967="si",R967="tal vez"),1,0))</f>
        <v/>
      </c>
      <c r="T967" s="25">
        <f>IF(AND(L967=1,D967&lt;&gt;""),IF(IFERROR(COUNTIFS(D$3:D967,"="&amp;SUBSTITUTE(SUBSTITUTE(SUBSTITUTE(D967,"~","~~"),"*","~*"),"?","~?"),L$3:L967,1),0)=1,MAX(T$2:T966)+1,""),"")</f>
        <v/>
      </c>
      <c r="U967" s="25">
        <f>IF(T967="","",COUNTIFS($D$3:$D$1002,"="&amp;SUBSTITUTE(SUBSTITUTE(SUBSTITUTE(D967,"~","~~"),"*","~*"),"?","~?"),$L$3:$L$1002,1)*10000-T967)</f>
        <v/>
      </c>
      <c r="V967" s="25">
        <f>IF(AND(L967=1,J967&lt;&gt;""),IF(IFERROR(COUNTIFS(J$3:J967,"="&amp;SUBSTITUTE(SUBSTITUTE(SUBSTITUTE(J967,"~","~~"),"*","~*"),"?","~?"),L$3:L967,1),0)=1,MAX(V$2:V966)+1,""),"")</f>
        <v/>
      </c>
      <c r="W967" s="25">
        <f>IF(V967="","",COUNTIFS($J$3:$J$1002,"="&amp;SUBSTITUTE(SUBSTITUTE(SUBSTITUTE(J967,"~","~~"),"*","~*"),"?","~?"),$L$3:$L$1002,1)*10000-V967)</f>
        <v/>
      </c>
    </row>
    <row r="968">
      <c r="A968">
        <f>IF(A$2=0,"",IFERROR(TRIM(INDEX('Pegar estudiantes'!$A$1:$BZ$1001,967,A$2)&amp;""),""))</f>
        <v/>
      </c>
      <c r="B968">
        <f>IF(B$2=0,"",IFERROR(TRIM(INDEX('Pegar estudiantes'!$A$1:$BZ$1001,967,B$2)&amp;""),""))</f>
        <v/>
      </c>
      <c r="C968">
        <f>IF(C$2=0,"",IFERROR(TRIM(INDEX('Pegar estudiantes'!$A$1:$BZ$1001,967,C$2)&amp;""),""))</f>
        <v/>
      </c>
      <c r="D968">
        <f>IF(D$2=0,"",IFERROR(TRIM(INDEX('Pegar estudiantes'!$A$1:$BZ$1001,967,D$2)&amp;""),""))</f>
        <v/>
      </c>
      <c r="E968">
        <f>IF(E$2=0,"",IFERROR(TRIM(INDEX('Pegar estudiantes'!$A$1:$BZ$1001,967,E$2)&amp;""),""))</f>
        <v/>
      </c>
      <c r="F968">
        <f>IF(F$2=0,"",IFERROR(TRIM(INDEX('Pegar estudiantes'!$A$1:$BZ$1001,967,F$2)&amp;""),""))</f>
        <v/>
      </c>
      <c r="G968">
        <f>IF(G$2=0,"",IFERROR(TRIM(INDEX('Pegar estudiantes'!$A$1:$BZ$1001,967,G$2)&amp;""),""))</f>
        <v/>
      </c>
      <c r="H968">
        <f>IF(H$2=0,"",IFERROR(TRIM(INDEX('Pegar estudiantes'!$A$1:$BZ$1001,967,H$2)&amp;""),""))</f>
        <v/>
      </c>
      <c r="I968">
        <f>IF(I$2=0,"",IFERROR(TRIM(INDEX('Pegar estudiantes'!$A$1:$BZ$1001,967,I$2)&amp;""),""))</f>
        <v/>
      </c>
      <c r="J968">
        <f>IF(J$2=0,"",IFERROR(TRIM(INDEX('Pegar estudiantes'!$A$1:$BZ$1001,967,J$2)&amp;""),""))</f>
        <v/>
      </c>
      <c r="K968">
        <f>IF(K$2=0,"",IFERROR(TRIM(INDEX('Pegar estudiantes'!$A$1:$BZ$1001,967,K$2)&amp;""),""))</f>
        <v/>
      </c>
      <c r="L968" s="25">
        <f>IF(A968&lt;&gt;"",1,"")</f>
        <v/>
      </c>
      <c r="M968" s="25">
        <f>IF(L968=1,IF(ISNUMBER(FIND("#"&amp;MID(A968,1,1)&amp;"#","#0#1#2#3#4#5#6#7#8#9#")),IF(ISNUMBER(FIND("#"&amp;MID(A968,2,1)&amp;"#","#0#1#2#3#4#5#6#7#8#9#")),IF(AND(VALUE(LEFT(A968,2))&gt;=1,VALUE(LEFT(A968,2))&lt;=5),VALUE(LEFT(A968,2)),""),IF(AND(VALUE(LEFT(A968,1))&gt;=1,VALUE(LEFT(A968,1))&lt;=5),VALUE(LEFT(A968,1)),"")),""),"")</f>
        <v/>
      </c>
      <c r="N968" s="25">
        <f>IF(L968=1,IF(ISNUMBER(FIND("#"&amp;MID(H968,1,1)&amp;"#","#0#1#2#3#4#5#6#7#8#9#")),IF(ISNUMBER(FIND("#"&amp;MID(H968,2,1)&amp;"#","#0#1#2#3#4#5#6#7#8#9#")),IF(AND(VALUE(LEFT(H968,2))&gt;=1,VALUE(LEFT(H968,2))&lt;=5),VALUE(LEFT(H968,2)),""),IF(AND(VALUE(LEFT(H968,1))&gt;=1,VALUE(LEFT(H968,1))&lt;=5),VALUE(LEFT(H968,1)),"")),""),"")</f>
        <v/>
      </c>
      <c r="O968" s="25">
        <f>IF(AND(L968=1,B968&lt;&gt;""),SUBSTITUTE(SUBSTITUTE(SUBSTITUTE(SUBSTITUTE(SUBSTITUTE(SUBSTITUTE(SUBSTITUTE(SUBSTITUTE(SUBSTITUTE(SUBSTITUTE(SUBSTITUTE(SUBSTITUTE(LOWER(TRIM(B968)),"á","a"),"é","e"),"í","i"),"ó","o"),"ú","u"),"ü","u"),"ñ","n"),"à","a"),"è","e"),"ì","i"),"ò","o"),"ù","u"),"")</f>
        <v/>
      </c>
      <c r="P968" s="25">
        <f>IF(AND(L968=1,C968&lt;&gt;""),SUBSTITUTE(SUBSTITUTE(SUBSTITUTE(SUBSTITUTE(SUBSTITUTE(SUBSTITUTE(SUBSTITUTE(SUBSTITUTE(SUBSTITUTE(SUBSTITUTE(SUBSTITUTE(SUBSTITUTE(LOWER(TRIM(C968)),"á","a"),"é","e"),"í","i"),"ó","o"),"ú","u"),"ü","u"),"ñ","n"),"à","a"),"è","e"),"ì","i"),"ò","o"),"ù","u"),"")</f>
        <v/>
      </c>
      <c r="Q968" s="25">
        <f>IF(AND(L968=1,E968&lt;&gt;""),SUBSTITUTE(SUBSTITUTE(SUBSTITUTE(SUBSTITUTE(SUBSTITUTE(SUBSTITUTE(SUBSTITUTE(SUBSTITUTE(SUBSTITUTE(SUBSTITUTE(SUBSTITUTE(SUBSTITUTE(LOWER(TRIM(E968)),"á","a"),"é","e"),"í","i"),"ó","o"),"ú","u"),"ü","u"),"ñ","n"),"à","a"),"è","e"),"ì","i"),"ò","o"),"ù","u"),"")</f>
        <v/>
      </c>
      <c r="R968" s="25">
        <f>IF(AND(L968=1,I968&lt;&gt;""),SUBSTITUTE(SUBSTITUTE(SUBSTITUTE(SUBSTITUTE(SUBSTITUTE(SUBSTITUTE(SUBSTITUTE(SUBSTITUTE(SUBSTITUTE(SUBSTITUTE(SUBSTITUTE(SUBSTITUTE(LOWER(TRIM(I968)),"á","a"),"é","e"),"í","i"),"ó","o"),"ú","u"),"ü","u"),"ñ","n"),"à","a"),"è","e"),"ì","i"),"ò","o"),"ù","u"),"")</f>
        <v/>
      </c>
      <c r="S968" s="25">
        <f>IF(R968="","",IF(OR(R968="si",R968="tal vez"),1,0))</f>
        <v/>
      </c>
      <c r="T968" s="25">
        <f>IF(AND(L968=1,D968&lt;&gt;""),IF(IFERROR(COUNTIFS(D$3:D968,"="&amp;SUBSTITUTE(SUBSTITUTE(SUBSTITUTE(D968,"~","~~"),"*","~*"),"?","~?"),L$3:L968,1),0)=1,MAX(T$2:T967)+1,""),"")</f>
        <v/>
      </c>
      <c r="U968" s="25">
        <f>IF(T968="","",COUNTIFS($D$3:$D$1002,"="&amp;SUBSTITUTE(SUBSTITUTE(SUBSTITUTE(D968,"~","~~"),"*","~*"),"?","~?"),$L$3:$L$1002,1)*10000-T968)</f>
        <v/>
      </c>
      <c r="V968" s="25">
        <f>IF(AND(L968=1,J968&lt;&gt;""),IF(IFERROR(COUNTIFS(J$3:J968,"="&amp;SUBSTITUTE(SUBSTITUTE(SUBSTITUTE(J968,"~","~~"),"*","~*"),"?","~?"),L$3:L968,1),0)=1,MAX(V$2:V967)+1,""),"")</f>
        <v/>
      </c>
      <c r="W968" s="25">
        <f>IF(V968="","",COUNTIFS($J$3:$J$1002,"="&amp;SUBSTITUTE(SUBSTITUTE(SUBSTITUTE(J968,"~","~~"),"*","~*"),"?","~?"),$L$3:$L$1002,1)*10000-V968)</f>
        <v/>
      </c>
    </row>
    <row r="969">
      <c r="A969">
        <f>IF(A$2=0,"",IFERROR(TRIM(INDEX('Pegar estudiantes'!$A$1:$BZ$1001,968,A$2)&amp;""),""))</f>
        <v/>
      </c>
      <c r="B969">
        <f>IF(B$2=0,"",IFERROR(TRIM(INDEX('Pegar estudiantes'!$A$1:$BZ$1001,968,B$2)&amp;""),""))</f>
        <v/>
      </c>
      <c r="C969">
        <f>IF(C$2=0,"",IFERROR(TRIM(INDEX('Pegar estudiantes'!$A$1:$BZ$1001,968,C$2)&amp;""),""))</f>
        <v/>
      </c>
      <c r="D969">
        <f>IF(D$2=0,"",IFERROR(TRIM(INDEX('Pegar estudiantes'!$A$1:$BZ$1001,968,D$2)&amp;""),""))</f>
        <v/>
      </c>
      <c r="E969">
        <f>IF(E$2=0,"",IFERROR(TRIM(INDEX('Pegar estudiantes'!$A$1:$BZ$1001,968,E$2)&amp;""),""))</f>
        <v/>
      </c>
      <c r="F969">
        <f>IF(F$2=0,"",IFERROR(TRIM(INDEX('Pegar estudiantes'!$A$1:$BZ$1001,968,F$2)&amp;""),""))</f>
        <v/>
      </c>
      <c r="G969">
        <f>IF(G$2=0,"",IFERROR(TRIM(INDEX('Pegar estudiantes'!$A$1:$BZ$1001,968,G$2)&amp;""),""))</f>
        <v/>
      </c>
      <c r="H969">
        <f>IF(H$2=0,"",IFERROR(TRIM(INDEX('Pegar estudiantes'!$A$1:$BZ$1001,968,H$2)&amp;""),""))</f>
        <v/>
      </c>
      <c r="I969">
        <f>IF(I$2=0,"",IFERROR(TRIM(INDEX('Pegar estudiantes'!$A$1:$BZ$1001,968,I$2)&amp;""),""))</f>
        <v/>
      </c>
      <c r="J969">
        <f>IF(J$2=0,"",IFERROR(TRIM(INDEX('Pegar estudiantes'!$A$1:$BZ$1001,968,J$2)&amp;""),""))</f>
        <v/>
      </c>
      <c r="K969">
        <f>IF(K$2=0,"",IFERROR(TRIM(INDEX('Pegar estudiantes'!$A$1:$BZ$1001,968,K$2)&amp;""),""))</f>
        <v/>
      </c>
      <c r="L969" s="25">
        <f>IF(A969&lt;&gt;"",1,"")</f>
        <v/>
      </c>
      <c r="M969" s="25">
        <f>IF(L969=1,IF(ISNUMBER(FIND("#"&amp;MID(A969,1,1)&amp;"#","#0#1#2#3#4#5#6#7#8#9#")),IF(ISNUMBER(FIND("#"&amp;MID(A969,2,1)&amp;"#","#0#1#2#3#4#5#6#7#8#9#")),IF(AND(VALUE(LEFT(A969,2))&gt;=1,VALUE(LEFT(A969,2))&lt;=5),VALUE(LEFT(A969,2)),""),IF(AND(VALUE(LEFT(A969,1))&gt;=1,VALUE(LEFT(A969,1))&lt;=5),VALUE(LEFT(A969,1)),"")),""),"")</f>
        <v/>
      </c>
      <c r="N969" s="25">
        <f>IF(L969=1,IF(ISNUMBER(FIND("#"&amp;MID(H969,1,1)&amp;"#","#0#1#2#3#4#5#6#7#8#9#")),IF(ISNUMBER(FIND("#"&amp;MID(H969,2,1)&amp;"#","#0#1#2#3#4#5#6#7#8#9#")),IF(AND(VALUE(LEFT(H969,2))&gt;=1,VALUE(LEFT(H969,2))&lt;=5),VALUE(LEFT(H969,2)),""),IF(AND(VALUE(LEFT(H969,1))&gt;=1,VALUE(LEFT(H969,1))&lt;=5),VALUE(LEFT(H969,1)),"")),""),"")</f>
        <v/>
      </c>
      <c r="O969" s="25">
        <f>IF(AND(L969=1,B969&lt;&gt;""),SUBSTITUTE(SUBSTITUTE(SUBSTITUTE(SUBSTITUTE(SUBSTITUTE(SUBSTITUTE(SUBSTITUTE(SUBSTITUTE(SUBSTITUTE(SUBSTITUTE(SUBSTITUTE(SUBSTITUTE(LOWER(TRIM(B969)),"á","a"),"é","e"),"í","i"),"ó","o"),"ú","u"),"ü","u"),"ñ","n"),"à","a"),"è","e"),"ì","i"),"ò","o"),"ù","u"),"")</f>
        <v/>
      </c>
      <c r="P969" s="25">
        <f>IF(AND(L969=1,C969&lt;&gt;""),SUBSTITUTE(SUBSTITUTE(SUBSTITUTE(SUBSTITUTE(SUBSTITUTE(SUBSTITUTE(SUBSTITUTE(SUBSTITUTE(SUBSTITUTE(SUBSTITUTE(SUBSTITUTE(SUBSTITUTE(LOWER(TRIM(C969)),"á","a"),"é","e"),"í","i"),"ó","o"),"ú","u"),"ü","u"),"ñ","n"),"à","a"),"è","e"),"ì","i"),"ò","o"),"ù","u"),"")</f>
        <v/>
      </c>
      <c r="Q969" s="25">
        <f>IF(AND(L969=1,E969&lt;&gt;""),SUBSTITUTE(SUBSTITUTE(SUBSTITUTE(SUBSTITUTE(SUBSTITUTE(SUBSTITUTE(SUBSTITUTE(SUBSTITUTE(SUBSTITUTE(SUBSTITUTE(SUBSTITUTE(SUBSTITUTE(LOWER(TRIM(E969)),"á","a"),"é","e"),"í","i"),"ó","o"),"ú","u"),"ü","u"),"ñ","n"),"à","a"),"è","e"),"ì","i"),"ò","o"),"ù","u"),"")</f>
        <v/>
      </c>
      <c r="R969" s="25">
        <f>IF(AND(L969=1,I969&lt;&gt;""),SUBSTITUTE(SUBSTITUTE(SUBSTITUTE(SUBSTITUTE(SUBSTITUTE(SUBSTITUTE(SUBSTITUTE(SUBSTITUTE(SUBSTITUTE(SUBSTITUTE(SUBSTITUTE(SUBSTITUTE(LOWER(TRIM(I969)),"á","a"),"é","e"),"í","i"),"ó","o"),"ú","u"),"ü","u"),"ñ","n"),"à","a"),"è","e"),"ì","i"),"ò","o"),"ù","u"),"")</f>
        <v/>
      </c>
      <c r="S969" s="25">
        <f>IF(R969="","",IF(OR(R969="si",R969="tal vez"),1,0))</f>
        <v/>
      </c>
      <c r="T969" s="25">
        <f>IF(AND(L969=1,D969&lt;&gt;""),IF(IFERROR(COUNTIFS(D$3:D969,"="&amp;SUBSTITUTE(SUBSTITUTE(SUBSTITUTE(D969,"~","~~"),"*","~*"),"?","~?"),L$3:L969,1),0)=1,MAX(T$2:T968)+1,""),"")</f>
        <v/>
      </c>
      <c r="U969" s="25">
        <f>IF(T969="","",COUNTIFS($D$3:$D$1002,"="&amp;SUBSTITUTE(SUBSTITUTE(SUBSTITUTE(D969,"~","~~"),"*","~*"),"?","~?"),$L$3:$L$1002,1)*10000-T969)</f>
        <v/>
      </c>
      <c r="V969" s="25">
        <f>IF(AND(L969=1,J969&lt;&gt;""),IF(IFERROR(COUNTIFS(J$3:J969,"="&amp;SUBSTITUTE(SUBSTITUTE(SUBSTITUTE(J969,"~","~~"),"*","~*"),"?","~?"),L$3:L969,1),0)=1,MAX(V$2:V968)+1,""),"")</f>
        <v/>
      </c>
      <c r="W969" s="25">
        <f>IF(V969="","",COUNTIFS($J$3:$J$1002,"="&amp;SUBSTITUTE(SUBSTITUTE(SUBSTITUTE(J969,"~","~~"),"*","~*"),"?","~?"),$L$3:$L$1002,1)*10000-V969)</f>
        <v/>
      </c>
    </row>
    <row r="970">
      <c r="A970">
        <f>IF(A$2=0,"",IFERROR(TRIM(INDEX('Pegar estudiantes'!$A$1:$BZ$1001,969,A$2)&amp;""),""))</f>
        <v/>
      </c>
      <c r="B970">
        <f>IF(B$2=0,"",IFERROR(TRIM(INDEX('Pegar estudiantes'!$A$1:$BZ$1001,969,B$2)&amp;""),""))</f>
        <v/>
      </c>
      <c r="C970">
        <f>IF(C$2=0,"",IFERROR(TRIM(INDEX('Pegar estudiantes'!$A$1:$BZ$1001,969,C$2)&amp;""),""))</f>
        <v/>
      </c>
      <c r="D970">
        <f>IF(D$2=0,"",IFERROR(TRIM(INDEX('Pegar estudiantes'!$A$1:$BZ$1001,969,D$2)&amp;""),""))</f>
        <v/>
      </c>
      <c r="E970">
        <f>IF(E$2=0,"",IFERROR(TRIM(INDEX('Pegar estudiantes'!$A$1:$BZ$1001,969,E$2)&amp;""),""))</f>
        <v/>
      </c>
      <c r="F970">
        <f>IF(F$2=0,"",IFERROR(TRIM(INDEX('Pegar estudiantes'!$A$1:$BZ$1001,969,F$2)&amp;""),""))</f>
        <v/>
      </c>
      <c r="G970">
        <f>IF(G$2=0,"",IFERROR(TRIM(INDEX('Pegar estudiantes'!$A$1:$BZ$1001,969,G$2)&amp;""),""))</f>
        <v/>
      </c>
      <c r="H970">
        <f>IF(H$2=0,"",IFERROR(TRIM(INDEX('Pegar estudiantes'!$A$1:$BZ$1001,969,H$2)&amp;""),""))</f>
        <v/>
      </c>
      <c r="I970">
        <f>IF(I$2=0,"",IFERROR(TRIM(INDEX('Pegar estudiantes'!$A$1:$BZ$1001,969,I$2)&amp;""),""))</f>
        <v/>
      </c>
      <c r="J970">
        <f>IF(J$2=0,"",IFERROR(TRIM(INDEX('Pegar estudiantes'!$A$1:$BZ$1001,969,J$2)&amp;""),""))</f>
        <v/>
      </c>
      <c r="K970">
        <f>IF(K$2=0,"",IFERROR(TRIM(INDEX('Pegar estudiantes'!$A$1:$BZ$1001,969,K$2)&amp;""),""))</f>
        <v/>
      </c>
      <c r="L970" s="25">
        <f>IF(A970&lt;&gt;"",1,"")</f>
        <v/>
      </c>
      <c r="M970" s="25">
        <f>IF(L970=1,IF(ISNUMBER(FIND("#"&amp;MID(A970,1,1)&amp;"#","#0#1#2#3#4#5#6#7#8#9#")),IF(ISNUMBER(FIND("#"&amp;MID(A970,2,1)&amp;"#","#0#1#2#3#4#5#6#7#8#9#")),IF(AND(VALUE(LEFT(A970,2))&gt;=1,VALUE(LEFT(A970,2))&lt;=5),VALUE(LEFT(A970,2)),""),IF(AND(VALUE(LEFT(A970,1))&gt;=1,VALUE(LEFT(A970,1))&lt;=5),VALUE(LEFT(A970,1)),"")),""),"")</f>
        <v/>
      </c>
      <c r="N970" s="25">
        <f>IF(L970=1,IF(ISNUMBER(FIND("#"&amp;MID(H970,1,1)&amp;"#","#0#1#2#3#4#5#6#7#8#9#")),IF(ISNUMBER(FIND("#"&amp;MID(H970,2,1)&amp;"#","#0#1#2#3#4#5#6#7#8#9#")),IF(AND(VALUE(LEFT(H970,2))&gt;=1,VALUE(LEFT(H970,2))&lt;=5),VALUE(LEFT(H970,2)),""),IF(AND(VALUE(LEFT(H970,1))&gt;=1,VALUE(LEFT(H970,1))&lt;=5),VALUE(LEFT(H970,1)),"")),""),"")</f>
        <v/>
      </c>
      <c r="O970" s="25">
        <f>IF(AND(L970=1,B970&lt;&gt;""),SUBSTITUTE(SUBSTITUTE(SUBSTITUTE(SUBSTITUTE(SUBSTITUTE(SUBSTITUTE(SUBSTITUTE(SUBSTITUTE(SUBSTITUTE(SUBSTITUTE(SUBSTITUTE(SUBSTITUTE(LOWER(TRIM(B970)),"á","a"),"é","e"),"í","i"),"ó","o"),"ú","u"),"ü","u"),"ñ","n"),"à","a"),"è","e"),"ì","i"),"ò","o"),"ù","u"),"")</f>
        <v/>
      </c>
      <c r="P970" s="25">
        <f>IF(AND(L970=1,C970&lt;&gt;""),SUBSTITUTE(SUBSTITUTE(SUBSTITUTE(SUBSTITUTE(SUBSTITUTE(SUBSTITUTE(SUBSTITUTE(SUBSTITUTE(SUBSTITUTE(SUBSTITUTE(SUBSTITUTE(SUBSTITUTE(LOWER(TRIM(C970)),"á","a"),"é","e"),"í","i"),"ó","o"),"ú","u"),"ü","u"),"ñ","n"),"à","a"),"è","e"),"ì","i"),"ò","o"),"ù","u"),"")</f>
        <v/>
      </c>
      <c r="Q970" s="25">
        <f>IF(AND(L970=1,E970&lt;&gt;""),SUBSTITUTE(SUBSTITUTE(SUBSTITUTE(SUBSTITUTE(SUBSTITUTE(SUBSTITUTE(SUBSTITUTE(SUBSTITUTE(SUBSTITUTE(SUBSTITUTE(SUBSTITUTE(SUBSTITUTE(LOWER(TRIM(E970)),"á","a"),"é","e"),"í","i"),"ó","o"),"ú","u"),"ü","u"),"ñ","n"),"à","a"),"è","e"),"ì","i"),"ò","o"),"ù","u"),"")</f>
        <v/>
      </c>
      <c r="R970" s="25">
        <f>IF(AND(L970=1,I970&lt;&gt;""),SUBSTITUTE(SUBSTITUTE(SUBSTITUTE(SUBSTITUTE(SUBSTITUTE(SUBSTITUTE(SUBSTITUTE(SUBSTITUTE(SUBSTITUTE(SUBSTITUTE(SUBSTITUTE(SUBSTITUTE(LOWER(TRIM(I970)),"á","a"),"é","e"),"í","i"),"ó","o"),"ú","u"),"ü","u"),"ñ","n"),"à","a"),"è","e"),"ì","i"),"ò","o"),"ù","u"),"")</f>
        <v/>
      </c>
      <c r="S970" s="25">
        <f>IF(R970="","",IF(OR(R970="si",R970="tal vez"),1,0))</f>
        <v/>
      </c>
      <c r="T970" s="25">
        <f>IF(AND(L970=1,D970&lt;&gt;""),IF(IFERROR(COUNTIFS(D$3:D970,"="&amp;SUBSTITUTE(SUBSTITUTE(SUBSTITUTE(D970,"~","~~"),"*","~*"),"?","~?"),L$3:L970,1),0)=1,MAX(T$2:T969)+1,""),"")</f>
        <v/>
      </c>
      <c r="U970" s="25">
        <f>IF(T970="","",COUNTIFS($D$3:$D$1002,"="&amp;SUBSTITUTE(SUBSTITUTE(SUBSTITUTE(D970,"~","~~"),"*","~*"),"?","~?"),$L$3:$L$1002,1)*10000-T970)</f>
        <v/>
      </c>
      <c r="V970" s="25">
        <f>IF(AND(L970=1,J970&lt;&gt;""),IF(IFERROR(COUNTIFS(J$3:J970,"="&amp;SUBSTITUTE(SUBSTITUTE(SUBSTITUTE(J970,"~","~~"),"*","~*"),"?","~?"),L$3:L970,1),0)=1,MAX(V$2:V969)+1,""),"")</f>
        <v/>
      </c>
      <c r="W970" s="25">
        <f>IF(V970="","",COUNTIFS($J$3:$J$1002,"="&amp;SUBSTITUTE(SUBSTITUTE(SUBSTITUTE(J970,"~","~~"),"*","~*"),"?","~?"),$L$3:$L$1002,1)*10000-V970)</f>
        <v/>
      </c>
    </row>
    <row r="971">
      <c r="A971">
        <f>IF(A$2=0,"",IFERROR(TRIM(INDEX('Pegar estudiantes'!$A$1:$BZ$1001,970,A$2)&amp;""),""))</f>
        <v/>
      </c>
      <c r="B971">
        <f>IF(B$2=0,"",IFERROR(TRIM(INDEX('Pegar estudiantes'!$A$1:$BZ$1001,970,B$2)&amp;""),""))</f>
        <v/>
      </c>
      <c r="C971">
        <f>IF(C$2=0,"",IFERROR(TRIM(INDEX('Pegar estudiantes'!$A$1:$BZ$1001,970,C$2)&amp;""),""))</f>
        <v/>
      </c>
      <c r="D971">
        <f>IF(D$2=0,"",IFERROR(TRIM(INDEX('Pegar estudiantes'!$A$1:$BZ$1001,970,D$2)&amp;""),""))</f>
        <v/>
      </c>
      <c r="E971">
        <f>IF(E$2=0,"",IFERROR(TRIM(INDEX('Pegar estudiantes'!$A$1:$BZ$1001,970,E$2)&amp;""),""))</f>
        <v/>
      </c>
      <c r="F971">
        <f>IF(F$2=0,"",IFERROR(TRIM(INDEX('Pegar estudiantes'!$A$1:$BZ$1001,970,F$2)&amp;""),""))</f>
        <v/>
      </c>
      <c r="G971">
        <f>IF(G$2=0,"",IFERROR(TRIM(INDEX('Pegar estudiantes'!$A$1:$BZ$1001,970,G$2)&amp;""),""))</f>
        <v/>
      </c>
      <c r="H971">
        <f>IF(H$2=0,"",IFERROR(TRIM(INDEX('Pegar estudiantes'!$A$1:$BZ$1001,970,H$2)&amp;""),""))</f>
        <v/>
      </c>
      <c r="I971">
        <f>IF(I$2=0,"",IFERROR(TRIM(INDEX('Pegar estudiantes'!$A$1:$BZ$1001,970,I$2)&amp;""),""))</f>
        <v/>
      </c>
      <c r="J971">
        <f>IF(J$2=0,"",IFERROR(TRIM(INDEX('Pegar estudiantes'!$A$1:$BZ$1001,970,J$2)&amp;""),""))</f>
        <v/>
      </c>
      <c r="K971">
        <f>IF(K$2=0,"",IFERROR(TRIM(INDEX('Pegar estudiantes'!$A$1:$BZ$1001,970,K$2)&amp;""),""))</f>
        <v/>
      </c>
      <c r="L971" s="25">
        <f>IF(A971&lt;&gt;"",1,"")</f>
        <v/>
      </c>
      <c r="M971" s="25">
        <f>IF(L971=1,IF(ISNUMBER(FIND("#"&amp;MID(A971,1,1)&amp;"#","#0#1#2#3#4#5#6#7#8#9#")),IF(ISNUMBER(FIND("#"&amp;MID(A971,2,1)&amp;"#","#0#1#2#3#4#5#6#7#8#9#")),IF(AND(VALUE(LEFT(A971,2))&gt;=1,VALUE(LEFT(A971,2))&lt;=5),VALUE(LEFT(A971,2)),""),IF(AND(VALUE(LEFT(A971,1))&gt;=1,VALUE(LEFT(A971,1))&lt;=5),VALUE(LEFT(A971,1)),"")),""),"")</f>
        <v/>
      </c>
      <c r="N971" s="25">
        <f>IF(L971=1,IF(ISNUMBER(FIND("#"&amp;MID(H971,1,1)&amp;"#","#0#1#2#3#4#5#6#7#8#9#")),IF(ISNUMBER(FIND("#"&amp;MID(H971,2,1)&amp;"#","#0#1#2#3#4#5#6#7#8#9#")),IF(AND(VALUE(LEFT(H971,2))&gt;=1,VALUE(LEFT(H971,2))&lt;=5),VALUE(LEFT(H971,2)),""),IF(AND(VALUE(LEFT(H971,1))&gt;=1,VALUE(LEFT(H971,1))&lt;=5),VALUE(LEFT(H971,1)),"")),""),"")</f>
        <v/>
      </c>
      <c r="O971" s="25">
        <f>IF(AND(L971=1,B971&lt;&gt;""),SUBSTITUTE(SUBSTITUTE(SUBSTITUTE(SUBSTITUTE(SUBSTITUTE(SUBSTITUTE(SUBSTITUTE(SUBSTITUTE(SUBSTITUTE(SUBSTITUTE(SUBSTITUTE(SUBSTITUTE(LOWER(TRIM(B971)),"á","a"),"é","e"),"í","i"),"ó","o"),"ú","u"),"ü","u"),"ñ","n"),"à","a"),"è","e"),"ì","i"),"ò","o"),"ù","u"),"")</f>
        <v/>
      </c>
      <c r="P971" s="25">
        <f>IF(AND(L971=1,C971&lt;&gt;""),SUBSTITUTE(SUBSTITUTE(SUBSTITUTE(SUBSTITUTE(SUBSTITUTE(SUBSTITUTE(SUBSTITUTE(SUBSTITUTE(SUBSTITUTE(SUBSTITUTE(SUBSTITUTE(SUBSTITUTE(LOWER(TRIM(C971)),"á","a"),"é","e"),"í","i"),"ó","o"),"ú","u"),"ü","u"),"ñ","n"),"à","a"),"è","e"),"ì","i"),"ò","o"),"ù","u"),"")</f>
        <v/>
      </c>
      <c r="Q971" s="25">
        <f>IF(AND(L971=1,E971&lt;&gt;""),SUBSTITUTE(SUBSTITUTE(SUBSTITUTE(SUBSTITUTE(SUBSTITUTE(SUBSTITUTE(SUBSTITUTE(SUBSTITUTE(SUBSTITUTE(SUBSTITUTE(SUBSTITUTE(SUBSTITUTE(LOWER(TRIM(E971)),"á","a"),"é","e"),"í","i"),"ó","o"),"ú","u"),"ü","u"),"ñ","n"),"à","a"),"è","e"),"ì","i"),"ò","o"),"ù","u"),"")</f>
        <v/>
      </c>
      <c r="R971" s="25">
        <f>IF(AND(L971=1,I971&lt;&gt;""),SUBSTITUTE(SUBSTITUTE(SUBSTITUTE(SUBSTITUTE(SUBSTITUTE(SUBSTITUTE(SUBSTITUTE(SUBSTITUTE(SUBSTITUTE(SUBSTITUTE(SUBSTITUTE(SUBSTITUTE(LOWER(TRIM(I971)),"á","a"),"é","e"),"í","i"),"ó","o"),"ú","u"),"ü","u"),"ñ","n"),"à","a"),"è","e"),"ì","i"),"ò","o"),"ù","u"),"")</f>
        <v/>
      </c>
      <c r="S971" s="25">
        <f>IF(R971="","",IF(OR(R971="si",R971="tal vez"),1,0))</f>
        <v/>
      </c>
      <c r="T971" s="25">
        <f>IF(AND(L971=1,D971&lt;&gt;""),IF(IFERROR(COUNTIFS(D$3:D971,"="&amp;SUBSTITUTE(SUBSTITUTE(SUBSTITUTE(D971,"~","~~"),"*","~*"),"?","~?"),L$3:L971,1),0)=1,MAX(T$2:T970)+1,""),"")</f>
        <v/>
      </c>
      <c r="U971" s="25">
        <f>IF(T971="","",COUNTIFS($D$3:$D$1002,"="&amp;SUBSTITUTE(SUBSTITUTE(SUBSTITUTE(D971,"~","~~"),"*","~*"),"?","~?"),$L$3:$L$1002,1)*10000-T971)</f>
        <v/>
      </c>
      <c r="V971" s="25">
        <f>IF(AND(L971=1,J971&lt;&gt;""),IF(IFERROR(COUNTIFS(J$3:J971,"="&amp;SUBSTITUTE(SUBSTITUTE(SUBSTITUTE(J971,"~","~~"),"*","~*"),"?","~?"),L$3:L971,1),0)=1,MAX(V$2:V970)+1,""),"")</f>
        <v/>
      </c>
      <c r="W971" s="25">
        <f>IF(V971="","",COUNTIFS($J$3:$J$1002,"="&amp;SUBSTITUTE(SUBSTITUTE(SUBSTITUTE(J971,"~","~~"),"*","~*"),"?","~?"),$L$3:$L$1002,1)*10000-V971)</f>
        <v/>
      </c>
    </row>
    <row r="972">
      <c r="A972">
        <f>IF(A$2=0,"",IFERROR(TRIM(INDEX('Pegar estudiantes'!$A$1:$BZ$1001,971,A$2)&amp;""),""))</f>
        <v/>
      </c>
      <c r="B972">
        <f>IF(B$2=0,"",IFERROR(TRIM(INDEX('Pegar estudiantes'!$A$1:$BZ$1001,971,B$2)&amp;""),""))</f>
        <v/>
      </c>
      <c r="C972">
        <f>IF(C$2=0,"",IFERROR(TRIM(INDEX('Pegar estudiantes'!$A$1:$BZ$1001,971,C$2)&amp;""),""))</f>
        <v/>
      </c>
      <c r="D972">
        <f>IF(D$2=0,"",IFERROR(TRIM(INDEX('Pegar estudiantes'!$A$1:$BZ$1001,971,D$2)&amp;""),""))</f>
        <v/>
      </c>
      <c r="E972">
        <f>IF(E$2=0,"",IFERROR(TRIM(INDEX('Pegar estudiantes'!$A$1:$BZ$1001,971,E$2)&amp;""),""))</f>
        <v/>
      </c>
      <c r="F972">
        <f>IF(F$2=0,"",IFERROR(TRIM(INDEX('Pegar estudiantes'!$A$1:$BZ$1001,971,F$2)&amp;""),""))</f>
        <v/>
      </c>
      <c r="G972">
        <f>IF(G$2=0,"",IFERROR(TRIM(INDEX('Pegar estudiantes'!$A$1:$BZ$1001,971,G$2)&amp;""),""))</f>
        <v/>
      </c>
      <c r="H972">
        <f>IF(H$2=0,"",IFERROR(TRIM(INDEX('Pegar estudiantes'!$A$1:$BZ$1001,971,H$2)&amp;""),""))</f>
        <v/>
      </c>
      <c r="I972">
        <f>IF(I$2=0,"",IFERROR(TRIM(INDEX('Pegar estudiantes'!$A$1:$BZ$1001,971,I$2)&amp;""),""))</f>
        <v/>
      </c>
      <c r="J972">
        <f>IF(J$2=0,"",IFERROR(TRIM(INDEX('Pegar estudiantes'!$A$1:$BZ$1001,971,J$2)&amp;""),""))</f>
        <v/>
      </c>
      <c r="K972">
        <f>IF(K$2=0,"",IFERROR(TRIM(INDEX('Pegar estudiantes'!$A$1:$BZ$1001,971,K$2)&amp;""),""))</f>
        <v/>
      </c>
      <c r="L972" s="25">
        <f>IF(A972&lt;&gt;"",1,"")</f>
        <v/>
      </c>
      <c r="M972" s="25">
        <f>IF(L972=1,IF(ISNUMBER(FIND("#"&amp;MID(A972,1,1)&amp;"#","#0#1#2#3#4#5#6#7#8#9#")),IF(ISNUMBER(FIND("#"&amp;MID(A972,2,1)&amp;"#","#0#1#2#3#4#5#6#7#8#9#")),IF(AND(VALUE(LEFT(A972,2))&gt;=1,VALUE(LEFT(A972,2))&lt;=5),VALUE(LEFT(A972,2)),""),IF(AND(VALUE(LEFT(A972,1))&gt;=1,VALUE(LEFT(A972,1))&lt;=5),VALUE(LEFT(A972,1)),"")),""),"")</f>
        <v/>
      </c>
      <c r="N972" s="25">
        <f>IF(L972=1,IF(ISNUMBER(FIND("#"&amp;MID(H972,1,1)&amp;"#","#0#1#2#3#4#5#6#7#8#9#")),IF(ISNUMBER(FIND("#"&amp;MID(H972,2,1)&amp;"#","#0#1#2#3#4#5#6#7#8#9#")),IF(AND(VALUE(LEFT(H972,2))&gt;=1,VALUE(LEFT(H972,2))&lt;=5),VALUE(LEFT(H972,2)),""),IF(AND(VALUE(LEFT(H972,1))&gt;=1,VALUE(LEFT(H972,1))&lt;=5),VALUE(LEFT(H972,1)),"")),""),"")</f>
        <v/>
      </c>
      <c r="O972" s="25">
        <f>IF(AND(L972=1,B972&lt;&gt;""),SUBSTITUTE(SUBSTITUTE(SUBSTITUTE(SUBSTITUTE(SUBSTITUTE(SUBSTITUTE(SUBSTITUTE(SUBSTITUTE(SUBSTITUTE(SUBSTITUTE(SUBSTITUTE(SUBSTITUTE(LOWER(TRIM(B972)),"á","a"),"é","e"),"í","i"),"ó","o"),"ú","u"),"ü","u"),"ñ","n"),"à","a"),"è","e"),"ì","i"),"ò","o"),"ù","u"),"")</f>
        <v/>
      </c>
      <c r="P972" s="25">
        <f>IF(AND(L972=1,C972&lt;&gt;""),SUBSTITUTE(SUBSTITUTE(SUBSTITUTE(SUBSTITUTE(SUBSTITUTE(SUBSTITUTE(SUBSTITUTE(SUBSTITUTE(SUBSTITUTE(SUBSTITUTE(SUBSTITUTE(SUBSTITUTE(LOWER(TRIM(C972)),"á","a"),"é","e"),"í","i"),"ó","o"),"ú","u"),"ü","u"),"ñ","n"),"à","a"),"è","e"),"ì","i"),"ò","o"),"ù","u"),"")</f>
        <v/>
      </c>
      <c r="Q972" s="25">
        <f>IF(AND(L972=1,E972&lt;&gt;""),SUBSTITUTE(SUBSTITUTE(SUBSTITUTE(SUBSTITUTE(SUBSTITUTE(SUBSTITUTE(SUBSTITUTE(SUBSTITUTE(SUBSTITUTE(SUBSTITUTE(SUBSTITUTE(SUBSTITUTE(LOWER(TRIM(E972)),"á","a"),"é","e"),"í","i"),"ó","o"),"ú","u"),"ü","u"),"ñ","n"),"à","a"),"è","e"),"ì","i"),"ò","o"),"ù","u"),"")</f>
        <v/>
      </c>
      <c r="R972" s="25">
        <f>IF(AND(L972=1,I972&lt;&gt;""),SUBSTITUTE(SUBSTITUTE(SUBSTITUTE(SUBSTITUTE(SUBSTITUTE(SUBSTITUTE(SUBSTITUTE(SUBSTITUTE(SUBSTITUTE(SUBSTITUTE(SUBSTITUTE(SUBSTITUTE(LOWER(TRIM(I972)),"á","a"),"é","e"),"í","i"),"ó","o"),"ú","u"),"ü","u"),"ñ","n"),"à","a"),"è","e"),"ì","i"),"ò","o"),"ù","u"),"")</f>
        <v/>
      </c>
      <c r="S972" s="25">
        <f>IF(R972="","",IF(OR(R972="si",R972="tal vez"),1,0))</f>
        <v/>
      </c>
      <c r="T972" s="25">
        <f>IF(AND(L972=1,D972&lt;&gt;""),IF(IFERROR(COUNTIFS(D$3:D972,"="&amp;SUBSTITUTE(SUBSTITUTE(SUBSTITUTE(D972,"~","~~"),"*","~*"),"?","~?"),L$3:L972,1),0)=1,MAX(T$2:T971)+1,""),"")</f>
        <v/>
      </c>
      <c r="U972" s="25">
        <f>IF(T972="","",COUNTIFS($D$3:$D$1002,"="&amp;SUBSTITUTE(SUBSTITUTE(SUBSTITUTE(D972,"~","~~"),"*","~*"),"?","~?"),$L$3:$L$1002,1)*10000-T972)</f>
        <v/>
      </c>
      <c r="V972" s="25">
        <f>IF(AND(L972=1,J972&lt;&gt;""),IF(IFERROR(COUNTIFS(J$3:J972,"="&amp;SUBSTITUTE(SUBSTITUTE(SUBSTITUTE(J972,"~","~~"),"*","~*"),"?","~?"),L$3:L972,1),0)=1,MAX(V$2:V971)+1,""),"")</f>
        <v/>
      </c>
      <c r="W972" s="25">
        <f>IF(V972="","",COUNTIFS($J$3:$J$1002,"="&amp;SUBSTITUTE(SUBSTITUTE(SUBSTITUTE(J972,"~","~~"),"*","~*"),"?","~?"),$L$3:$L$1002,1)*10000-V972)</f>
        <v/>
      </c>
    </row>
    <row r="973">
      <c r="A973">
        <f>IF(A$2=0,"",IFERROR(TRIM(INDEX('Pegar estudiantes'!$A$1:$BZ$1001,972,A$2)&amp;""),""))</f>
        <v/>
      </c>
      <c r="B973">
        <f>IF(B$2=0,"",IFERROR(TRIM(INDEX('Pegar estudiantes'!$A$1:$BZ$1001,972,B$2)&amp;""),""))</f>
        <v/>
      </c>
      <c r="C973">
        <f>IF(C$2=0,"",IFERROR(TRIM(INDEX('Pegar estudiantes'!$A$1:$BZ$1001,972,C$2)&amp;""),""))</f>
        <v/>
      </c>
      <c r="D973">
        <f>IF(D$2=0,"",IFERROR(TRIM(INDEX('Pegar estudiantes'!$A$1:$BZ$1001,972,D$2)&amp;""),""))</f>
        <v/>
      </c>
      <c r="E973">
        <f>IF(E$2=0,"",IFERROR(TRIM(INDEX('Pegar estudiantes'!$A$1:$BZ$1001,972,E$2)&amp;""),""))</f>
        <v/>
      </c>
      <c r="F973">
        <f>IF(F$2=0,"",IFERROR(TRIM(INDEX('Pegar estudiantes'!$A$1:$BZ$1001,972,F$2)&amp;""),""))</f>
        <v/>
      </c>
      <c r="G973">
        <f>IF(G$2=0,"",IFERROR(TRIM(INDEX('Pegar estudiantes'!$A$1:$BZ$1001,972,G$2)&amp;""),""))</f>
        <v/>
      </c>
      <c r="H973">
        <f>IF(H$2=0,"",IFERROR(TRIM(INDEX('Pegar estudiantes'!$A$1:$BZ$1001,972,H$2)&amp;""),""))</f>
        <v/>
      </c>
      <c r="I973">
        <f>IF(I$2=0,"",IFERROR(TRIM(INDEX('Pegar estudiantes'!$A$1:$BZ$1001,972,I$2)&amp;""),""))</f>
        <v/>
      </c>
      <c r="J973">
        <f>IF(J$2=0,"",IFERROR(TRIM(INDEX('Pegar estudiantes'!$A$1:$BZ$1001,972,J$2)&amp;""),""))</f>
        <v/>
      </c>
      <c r="K973">
        <f>IF(K$2=0,"",IFERROR(TRIM(INDEX('Pegar estudiantes'!$A$1:$BZ$1001,972,K$2)&amp;""),""))</f>
        <v/>
      </c>
      <c r="L973" s="25">
        <f>IF(A973&lt;&gt;"",1,"")</f>
        <v/>
      </c>
      <c r="M973" s="25">
        <f>IF(L973=1,IF(ISNUMBER(FIND("#"&amp;MID(A973,1,1)&amp;"#","#0#1#2#3#4#5#6#7#8#9#")),IF(ISNUMBER(FIND("#"&amp;MID(A973,2,1)&amp;"#","#0#1#2#3#4#5#6#7#8#9#")),IF(AND(VALUE(LEFT(A973,2))&gt;=1,VALUE(LEFT(A973,2))&lt;=5),VALUE(LEFT(A973,2)),""),IF(AND(VALUE(LEFT(A973,1))&gt;=1,VALUE(LEFT(A973,1))&lt;=5),VALUE(LEFT(A973,1)),"")),""),"")</f>
        <v/>
      </c>
      <c r="N973" s="25">
        <f>IF(L973=1,IF(ISNUMBER(FIND("#"&amp;MID(H973,1,1)&amp;"#","#0#1#2#3#4#5#6#7#8#9#")),IF(ISNUMBER(FIND("#"&amp;MID(H973,2,1)&amp;"#","#0#1#2#3#4#5#6#7#8#9#")),IF(AND(VALUE(LEFT(H973,2))&gt;=1,VALUE(LEFT(H973,2))&lt;=5),VALUE(LEFT(H973,2)),""),IF(AND(VALUE(LEFT(H973,1))&gt;=1,VALUE(LEFT(H973,1))&lt;=5),VALUE(LEFT(H973,1)),"")),""),"")</f>
        <v/>
      </c>
      <c r="O973" s="25">
        <f>IF(AND(L973=1,B973&lt;&gt;""),SUBSTITUTE(SUBSTITUTE(SUBSTITUTE(SUBSTITUTE(SUBSTITUTE(SUBSTITUTE(SUBSTITUTE(SUBSTITUTE(SUBSTITUTE(SUBSTITUTE(SUBSTITUTE(SUBSTITUTE(LOWER(TRIM(B973)),"á","a"),"é","e"),"í","i"),"ó","o"),"ú","u"),"ü","u"),"ñ","n"),"à","a"),"è","e"),"ì","i"),"ò","o"),"ù","u"),"")</f>
        <v/>
      </c>
      <c r="P973" s="25">
        <f>IF(AND(L973=1,C973&lt;&gt;""),SUBSTITUTE(SUBSTITUTE(SUBSTITUTE(SUBSTITUTE(SUBSTITUTE(SUBSTITUTE(SUBSTITUTE(SUBSTITUTE(SUBSTITUTE(SUBSTITUTE(SUBSTITUTE(SUBSTITUTE(LOWER(TRIM(C973)),"á","a"),"é","e"),"í","i"),"ó","o"),"ú","u"),"ü","u"),"ñ","n"),"à","a"),"è","e"),"ì","i"),"ò","o"),"ù","u"),"")</f>
        <v/>
      </c>
      <c r="Q973" s="25">
        <f>IF(AND(L973=1,E973&lt;&gt;""),SUBSTITUTE(SUBSTITUTE(SUBSTITUTE(SUBSTITUTE(SUBSTITUTE(SUBSTITUTE(SUBSTITUTE(SUBSTITUTE(SUBSTITUTE(SUBSTITUTE(SUBSTITUTE(SUBSTITUTE(LOWER(TRIM(E973)),"á","a"),"é","e"),"í","i"),"ó","o"),"ú","u"),"ü","u"),"ñ","n"),"à","a"),"è","e"),"ì","i"),"ò","o"),"ù","u"),"")</f>
        <v/>
      </c>
      <c r="R973" s="25">
        <f>IF(AND(L973=1,I973&lt;&gt;""),SUBSTITUTE(SUBSTITUTE(SUBSTITUTE(SUBSTITUTE(SUBSTITUTE(SUBSTITUTE(SUBSTITUTE(SUBSTITUTE(SUBSTITUTE(SUBSTITUTE(SUBSTITUTE(SUBSTITUTE(LOWER(TRIM(I973)),"á","a"),"é","e"),"í","i"),"ó","o"),"ú","u"),"ü","u"),"ñ","n"),"à","a"),"è","e"),"ì","i"),"ò","o"),"ù","u"),"")</f>
        <v/>
      </c>
      <c r="S973" s="25">
        <f>IF(R973="","",IF(OR(R973="si",R973="tal vez"),1,0))</f>
        <v/>
      </c>
      <c r="T973" s="25">
        <f>IF(AND(L973=1,D973&lt;&gt;""),IF(IFERROR(COUNTIFS(D$3:D973,"="&amp;SUBSTITUTE(SUBSTITUTE(SUBSTITUTE(D973,"~","~~"),"*","~*"),"?","~?"),L$3:L973,1),0)=1,MAX(T$2:T972)+1,""),"")</f>
        <v/>
      </c>
      <c r="U973" s="25">
        <f>IF(T973="","",COUNTIFS($D$3:$D$1002,"="&amp;SUBSTITUTE(SUBSTITUTE(SUBSTITUTE(D973,"~","~~"),"*","~*"),"?","~?"),$L$3:$L$1002,1)*10000-T973)</f>
        <v/>
      </c>
      <c r="V973" s="25">
        <f>IF(AND(L973=1,J973&lt;&gt;""),IF(IFERROR(COUNTIFS(J$3:J973,"="&amp;SUBSTITUTE(SUBSTITUTE(SUBSTITUTE(J973,"~","~~"),"*","~*"),"?","~?"),L$3:L973,1),0)=1,MAX(V$2:V972)+1,""),"")</f>
        <v/>
      </c>
      <c r="W973" s="25">
        <f>IF(V973="","",COUNTIFS($J$3:$J$1002,"="&amp;SUBSTITUTE(SUBSTITUTE(SUBSTITUTE(J973,"~","~~"),"*","~*"),"?","~?"),$L$3:$L$1002,1)*10000-V973)</f>
        <v/>
      </c>
    </row>
    <row r="974">
      <c r="A974">
        <f>IF(A$2=0,"",IFERROR(TRIM(INDEX('Pegar estudiantes'!$A$1:$BZ$1001,973,A$2)&amp;""),""))</f>
        <v/>
      </c>
      <c r="B974">
        <f>IF(B$2=0,"",IFERROR(TRIM(INDEX('Pegar estudiantes'!$A$1:$BZ$1001,973,B$2)&amp;""),""))</f>
        <v/>
      </c>
      <c r="C974">
        <f>IF(C$2=0,"",IFERROR(TRIM(INDEX('Pegar estudiantes'!$A$1:$BZ$1001,973,C$2)&amp;""),""))</f>
        <v/>
      </c>
      <c r="D974">
        <f>IF(D$2=0,"",IFERROR(TRIM(INDEX('Pegar estudiantes'!$A$1:$BZ$1001,973,D$2)&amp;""),""))</f>
        <v/>
      </c>
      <c r="E974">
        <f>IF(E$2=0,"",IFERROR(TRIM(INDEX('Pegar estudiantes'!$A$1:$BZ$1001,973,E$2)&amp;""),""))</f>
        <v/>
      </c>
      <c r="F974">
        <f>IF(F$2=0,"",IFERROR(TRIM(INDEX('Pegar estudiantes'!$A$1:$BZ$1001,973,F$2)&amp;""),""))</f>
        <v/>
      </c>
      <c r="G974">
        <f>IF(G$2=0,"",IFERROR(TRIM(INDEX('Pegar estudiantes'!$A$1:$BZ$1001,973,G$2)&amp;""),""))</f>
        <v/>
      </c>
      <c r="H974">
        <f>IF(H$2=0,"",IFERROR(TRIM(INDEX('Pegar estudiantes'!$A$1:$BZ$1001,973,H$2)&amp;""),""))</f>
        <v/>
      </c>
      <c r="I974">
        <f>IF(I$2=0,"",IFERROR(TRIM(INDEX('Pegar estudiantes'!$A$1:$BZ$1001,973,I$2)&amp;""),""))</f>
        <v/>
      </c>
      <c r="J974">
        <f>IF(J$2=0,"",IFERROR(TRIM(INDEX('Pegar estudiantes'!$A$1:$BZ$1001,973,J$2)&amp;""),""))</f>
        <v/>
      </c>
      <c r="K974">
        <f>IF(K$2=0,"",IFERROR(TRIM(INDEX('Pegar estudiantes'!$A$1:$BZ$1001,973,K$2)&amp;""),""))</f>
        <v/>
      </c>
      <c r="L974" s="25">
        <f>IF(A974&lt;&gt;"",1,"")</f>
        <v/>
      </c>
      <c r="M974" s="25">
        <f>IF(L974=1,IF(ISNUMBER(FIND("#"&amp;MID(A974,1,1)&amp;"#","#0#1#2#3#4#5#6#7#8#9#")),IF(ISNUMBER(FIND("#"&amp;MID(A974,2,1)&amp;"#","#0#1#2#3#4#5#6#7#8#9#")),IF(AND(VALUE(LEFT(A974,2))&gt;=1,VALUE(LEFT(A974,2))&lt;=5),VALUE(LEFT(A974,2)),""),IF(AND(VALUE(LEFT(A974,1))&gt;=1,VALUE(LEFT(A974,1))&lt;=5),VALUE(LEFT(A974,1)),"")),""),"")</f>
        <v/>
      </c>
      <c r="N974" s="25">
        <f>IF(L974=1,IF(ISNUMBER(FIND("#"&amp;MID(H974,1,1)&amp;"#","#0#1#2#3#4#5#6#7#8#9#")),IF(ISNUMBER(FIND("#"&amp;MID(H974,2,1)&amp;"#","#0#1#2#3#4#5#6#7#8#9#")),IF(AND(VALUE(LEFT(H974,2))&gt;=1,VALUE(LEFT(H974,2))&lt;=5),VALUE(LEFT(H974,2)),""),IF(AND(VALUE(LEFT(H974,1))&gt;=1,VALUE(LEFT(H974,1))&lt;=5),VALUE(LEFT(H974,1)),"")),""),"")</f>
        <v/>
      </c>
      <c r="O974" s="25">
        <f>IF(AND(L974=1,B974&lt;&gt;""),SUBSTITUTE(SUBSTITUTE(SUBSTITUTE(SUBSTITUTE(SUBSTITUTE(SUBSTITUTE(SUBSTITUTE(SUBSTITUTE(SUBSTITUTE(SUBSTITUTE(SUBSTITUTE(SUBSTITUTE(LOWER(TRIM(B974)),"á","a"),"é","e"),"í","i"),"ó","o"),"ú","u"),"ü","u"),"ñ","n"),"à","a"),"è","e"),"ì","i"),"ò","o"),"ù","u"),"")</f>
        <v/>
      </c>
      <c r="P974" s="25">
        <f>IF(AND(L974=1,C974&lt;&gt;""),SUBSTITUTE(SUBSTITUTE(SUBSTITUTE(SUBSTITUTE(SUBSTITUTE(SUBSTITUTE(SUBSTITUTE(SUBSTITUTE(SUBSTITUTE(SUBSTITUTE(SUBSTITUTE(SUBSTITUTE(LOWER(TRIM(C974)),"á","a"),"é","e"),"í","i"),"ó","o"),"ú","u"),"ü","u"),"ñ","n"),"à","a"),"è","e"),"ì","i"),"ò","o"),"ù","u"),"")</f>
        <v/>
      </c>
      <c r="Q974" s="25">
        <f>IF(AND(L974=1,E974&lt;&gt;""),SUBSTITUTE(SUBSTITUTE(SUBSTITUTE(SUBSTITUTE(SUBSTITUTE(SUBSTITUTE(SUBSTITUTE(SUBSTITUTE(SUBSTITUTE(SUBSTITUTE(SUBSTITUTE(SUBSTITUTE(LOWER(TRIM(E974)),"á","a"),"é","e"),"í","i"),"ó","o"),"ú","u"),"ü","u"),"ñ","n"),"à","a"),"è","e"),"ì","i"),"ò","o"),"ù","u"),"")</f>
        <v/>
      </c>
      <c r="R974" s="25">
        <f>IF(AND(L974=1,I974&lt;&gt;""),SUBSTITUTE(SUBSTITUTE(SUBSTITUTE(SUBSTITUTE(SUBSTITUTE(SUBSTITUTE(SUBSTITUTE(SUBSTITUTE(SUBSTITUTE(SUBSTITUTE(SUBSTITUTE(SUBSTITUTE(LOWER(TRIM(I974)),"á","a"),"é","e"),"í","i"),"ó","o"),"ú","u"),"ü","u"),"ñ","n"),"à","a"),"è","e"),"ì","i"),"ò","o"),"ù","u"),"")</f>
        <v/>
      </c>
      <c r="S974" s="25">
        <f>IF(R974="","",IF(OR(R974="si",R974="tal vez"),1,0))</f>
        <v/>
      </c>
      <c r="T974" s="25">
        <f>IF(AND(L974=1,D974&lt;&gt;""),IF(IFERROR(COUNTIFS(D$3:D974,"="&amp;SUBSTITUTE(SUBSTITUTE(SUBSTITUTE(D974,"~","~~"),"*","~*"),"?","~?"),L$3:L974,1),0)=1,MAX(T$2:T973)+1,""),"")</f>
        <v/>
      </c>
      <c r="U974" s="25">
        <f>IF(T974="","",COUNTIFS($D$3:$D$1002,"="&amp;SUBSTITUTE(SUBSTITUTE(SUBSTITUTE(D974,"~","~~"),"*","~*"),"?","~?"),$L$3:$L$1002,1)*10000-T974)</f>
        <v/>
      </c>
      <c r="V974" s="25">
        <f>IF(AND(L974=1,J974&lt;&gt;""),IF(IFERROR(COUNTIFS(J$3:J974,"="&amp;SUBSTITUTE(SUBSTITUTE(SUBSTITUTE(J974,"~","~~"),"*","~*"),"?","~?"),L$3:L974,1),0)=1,MAX(V$2:V973)+1,""),"")</f>
        <v/>
      </c>
      <c r="W974" s="25">
        <f>IF(V974="","",COUNTIFS($J$3:$J$1002,"="&amp;SUBSTITUTE(SUBSTITUTE(SUBSTITUTE(J974,"~","~~"),"*","~*"),"?","~?"),$L$3:$L$1002,1)*10000-V974)</f>
        <v/>
      </c>
    </row>
    <row r="975">
      <c r="A975">
        <f>IF(A$2=0,"",IFERROR(TRIM(INDEX('Pegar estudiantes'!$A$1:$BZ$1001,974,A$2)&amp;""),""))</f>
        <v/>
      </c>
      <c r="B975">
        <f>IF(B$2=0,"",IFERROR(TRIM(INDEX('Pegar estudiantes'!$A$1:$BZ$1001,974,B$2)&amp;""),""))</f>
        <v/>
      </c>
      <c r="C975">
        <f>IF(C$2=0,"",IFERROR(TRIM(INDEX('Pegar estudiantes'!$A$1:$BZ$1001,974,C$2)&amp;""),""))</f>
        <v/>
      </c>
      <c r="D975">
        <f>IF(D$2=0,"",IFERROR(TRIM(INDEX('Pegar estudiantes'!$A$1:$BZ$1001,974,D$2)&amp;""),""))</f>
        <v/>
      </c>
      <c r="E975">
        <f>IF(E$2=0,"",IFERROR(TRIM(INDEX('Pegar estudiantes'!$A$1:$BZ$1001,974,E$2)&amp;""),""))</f>
        <v/>
      </c>
      <c r="F975">
        <f>IF(F$2=0,"",IFERROR(TRIM(INDEX('Pegar estudiantes'!$A$1:$BZ$1001,974,F$2)&amp;""),""))</f>
        <v/>
      </c>
      <c r="G975">
        <f>IF(G$2=0,"",IFERROR(TRIM(INDEX('Pegar estudiantes'!$A$1:$BZ$1001,974,G$2)&amp;""),""))</f>
        <v/>
      </c>
      <c r="H975">
        <f>IF(H$2=0,"",IFERROR(TRIM(INDEX('Pegar estudiantes'!$A$1:$BZ$1001,974,H$2)&amp;""),""))</f>
        <v/>
      </c>
      <c r="I975">
        <f>IF(I$2=0,"",IFERROR(TRIM(INDEX('Pegar estudiantes'!$A$1:$BZ$1001,974,I$2)&amp;""),""))</f>
        <v/>
      </c>
      <c r="J975">
        <f>IF(J$2=0,"",IFERROR(TRIM(INDEX('Pegar estudiantes'!$A$1:$BZ$1001,974,J$2)&amp;""),""))</f>
        <v/>
      </c>
      <c r="K975">
        <f>IF(K$2=0,"",IFERROR(TRIM(INDEX('Pegar estudiantes'!$A$1:$BZ$1001,974,K$2)&amp;""),""))</f>
        <v/>
      </c>
      <c r="L975" s="25">
        <f>IF(A975&lt;&gt;"",1,"")</f>
        <v/>
      </c>
      <c r="M975" s="25">
        <f>IF(L975=1,IF(ISNUMBER(FIND("#"&amp;MID(A975,1,1)&amp;"#","#0#1#2#3#4#5#6#7#8#9#")),IF(ISNUMBER(FIND("#"&amp;MID(A975,2,1)&amp;"#","#0#1#2#3#4#5#6#7#8#9#")),IF(AND(VALUE(LEFT(A975,2))&gt;=1,VALUE(LEFT(A975,2))&lt;=5),VALUE(LEFT(A975,2)),""),IF(AND(VALUE(LEFT(A975,1))&gt;=1,VALUE(LEFT(A975,1))&lt;=5),VALUE(LEFT(A975,1)),"")),""),"")</f>
        <v/>
      </c>
      <c r="N975" s="25">
        <f>IF(L975=1,IF(ISNUMBER(FIND("#"&amp;MID(H975,1,1)&amp;"#","#0#1#2#3#4#5#6#7#8#9#")),IF(ISNUMBER(FIND("#"&amp;MID(H975,2,1)&amp;"#","#0#1#2#3#4#5#6#7#8#9#")),IF(AND(VALUE(LEFT(H975,2))&gt;=1,VALUE(LEFT(H975,2))&lt;=5),VALUE(LEFT(H975,2)),""),IF(AND(VALUE(LEFT(H975,1))&gt;=1,VALUE(LEFT(H975,1))&lt;=5),VALUE(LEFT(H975,1)),"")),""),"")</f>
        <v/>
      </c>
      <c r="O975" s="25">
        <f>IF(AND(L975=1,B975&lt;&gt;""),SUBSTITUTE(SUBSTITUTE(SUBSTITUTE(SUBSTITUTE(SUBSTITUTE(SUBSTITUTE(SUBSTITUTE(SUBSTITUTE(SUBSTITUTE(SUBSTITUTE(SUBSTITUTE(SUBSTITUTE(LOWER(TRIM(B975)),"á","a"),"é","e"),"í","i"),"ó","o"),"ú","u"),"ü","u"),"ñ","n"),"à","a"),"è","e"),"ì","i"),"ò","o"),"ù","u"),"")</f>
        <v/>
      </c>
      <c r="P975" s="25">
        <f>IF(AND(L975=1,C975&lt;&gt;""),SUBSTITUTE(SUBSTITUTE(SUBSTITUTE(SUBSTITUTE(SUBSTITUTE(SUBSTITUTE(SUBSTITUTE(SUBSTITUTE(SUBSTITUTE(SUBSTITUTE(SUBSTITUTE(SUBSTITUTE(LOWER(TRIM(C975)),"á","a"),"é","e"),"í","i"),"ó","o"),"ú","u"),"ü","u"),"ñ","n"),"à","a"),"è","e"),"ì","i"),"ò","o"),"ù","u"),"")</f>
        <v/>
      </c>
      <c r="Q975" s="25">
        <f>IF(AND(L975=1,E975&lt;&gt;""),SUBSTITUTE(SUBSTITUTE(SUBSTITUTE(SUBSTITUTE(SUBSTITUTE(SUBSTITUTE(SUBSTITUTE(SUBSTITUTE(SUBSTITUTE(SUBSTITUTE(SUBSTITUTE(SUBSTITUTE(LOWER(TRIM(E975)),"á","a"),"é","e"),"í","i"),"ó","o"),"ú","u"),"ü","u"),"ñ","n"),"à","a"),"è","e"),"ì","i"),"ò","o"),"ù","u"),"")</f>
        <v/>
      </c>
      <c r="R975" s="25">
        <f>IF(AND(L975=1,I975&lt;&gt;""),SUBSTITUTE(SUBSTITUTE(SUBSTITUTE(SUBSTITUTE(SUBSTITUTE(SUBSTITUTE(SUBSTITUTE(SUBSTITUTE(SUBSTITUTE(SUBSTITUTE(SUBSTITUTE(SUBSTITUTE(LOWER(TRIM(I975)),"á","a"),"é","e"),"í","i"),"ó","o"),"ú","u"),"ü","u"),"ñ","n"),"à","a"),"è","e"),"ì","i"),"ò","o"),"ù","u"),"")</f>
        <v/>
      </c>
      <c r="S975" s="25">
        <f>IF(R975="","",IF(OR(R975="si",R975="tal vez"),1,0))</f>
        <v/>
      </c>
      <c r="T975" s="25">
        <f>IF(AND(L975=1,D975&lt;&gt;""),IF(IFERROR(COUNTIFS(D$3:D975,"="&amp;SUBSTITUTE(SUBSTITUTE(SUBSTITUTE(D975,"~","~~"),"*","~*"),"?","~?"),L$3:L975,1),0)=1,MAX(T$2:T974)+1,""),"")</f>
        <v/>
      </c>
      <c r="U975" s="25">
        <f>IF(T975="","",COUNTIFS($D$3:$D$1002,"="&amp;SUBSTITUTE(SUBSTITUTE(SUBSTITUTE(D975,"~","~~"),"*","~*"),"?","~?"),$L$3:$L$1002,1)*10000-T975)</f>
        <v/>
      </c>
      <c r="V975" s="25">
        <f>IF(AND(L975=1,J975&lt;&gt;""),IF(IFERROR(COUNTIFS(J$3:J975,"="&amp;SUBSTITUTE(SUBSTITUTE(SUBSTITUTE(J975,"~","~~"),"*","~*"),"?","~?"),L$3:L975,1),0)=1,MAX(V$2:V974)+1,""),"")</f>
        <v/>
      </c>
      <c r="W975" s="25">
        <f>IF(V975="","",COUNTIFS($J$3:$J$1002,"="&amp;SUBSTITUTE(SUBSTITUTE(SUBSTITUTE(J975,"~","~~"),"*","~*"),"?","~?"),$L$3:$L$1002,1)*10000-V975)</f>
        <v/>
      </c>
    </row>
    <row r="976">
      <c r="A976">
        <f>IF(A$2=0,"",IFERROR(TRIM(INDEX('Pegar estudiantes'!$A$1:$BZ$1001,975,A$2)&amp;""),""))</f>
        <v/>
      </c>
      <c r="B976">
        <f>IF(B$2=0,"",IFERROR(TRIM(INDEX('Pegar estudiantes'!$A$1:$BZ$1001,975,B$2)&amp;""),""))</f>
        <v/>
      </c>
      <c r="C976">
        <f>IF(C$2=0,"",IFERROR(TRIM(INDEX('Pegar estudiantes'!$A$1:$BZ$1001,975,C$2)&amp;""),""))</f>
        <v/>
      </c>
      <c r="D976">
        <f>IF(D$2=0,"",IFERROR(TRIM(INDEX('Pegar estudiantes'!$A$1:$BZ$1001,975,D$2)&amp;""),""))</f>
        <v/>
      </c>
      <c r="E976">
        <f>IF(E$2=0,"",IFERROR(TRIM(INDEX('Pegar estudiantes'!$A$1:$BZ$1001,975,E$2)&amp;""),""))</f>
        <v/>
      </c>
      <c r="F976">
        <f>IF(F$2=0,"",IFERROR(TRIM(INDEX('Pegar estudiantes'!$A$1:$BZ$1001,975,F$2)&amp;""),""))</f>
        <v/>
      </c>
      <c r="G976">
        <f>IF(G$2=0,"",IFERROR(TRIM(INDEX('Pegar estudiantes'!$A$1:$BZ$1001,975,G$2)&amp;""),""))</f>
        <v/>
      </c>
      <c r="H976">
        <f>IF(H$2=0,"",IFERROR(TRIM(INDEX('Pegar estudiantes'!$A$1:$BZ$1001,975,H$2)&amp;""),""))</f>
        <v/>
      </c>
      <c r="I976">
        <f>IF(I$2=0,"",IFERROR(TRIM(INDEX('Pegar estudiantes'!$A$1:$BZ$1001,975,I$2)&amp;""),""))</f>
        <v/>
      </c>
      <c r="J976">
        <f>IF(J$2=0,"",IFERROR(TRIM(INDEX('Pegar estudiantes'!$A$1:$BZ$1001,975,J$2)&amp;""),""))</f>
        <v/>
      </c>
      <c r="K976">
        <f>IF(K$2=0,"",IFERROR(TRIM(INDEX('Pegar estudiantes'!$A$1:$BZ$1001,975,K$2)&amp;""),""))</f>
        <v/>
      </c>
      <c r="L976" s="25">
        <f>IF(A976&lt;&gt;"",1,"")</f>
        <v/>
      </c>
      <c r="M976" s="25">
        <f>IF(L976=1,IF(ISNUMBER(FIND("#"&amp;MID(A976,1,1)&amp;"#","#0#1#2#3#4#5#6#7#8#9#")),IF(ISNUMBER(FIND("#"&amp;MID(A976,2,1)&amp;"#","#0#1#2#3#4#5#6#7#8#9#")),IF(AND(VALUE(LEFT(A976,2))&gt;=1,VALUE(LEFT(A976,2))&lt;=5),VALUE(LEFT(A976,2)),""),IF(AND(VALUE(LEFT(A976,1))&gt;=1,VALUE(LEFT(A976,1))&lt;=5),VALUE(LEFT(A976,1)),"")),""),"")</f>
        <v/>
      </c>
      <c r="N976" s="25">
        <f>IF(L976=1,IF(ISNUMBER(FIND("#"&amp;MID(H976,1,1)&amp;"#","#0#1#2#3#4#5#6#7#8#9#")),IF(ISNUMBER(FIND("#"&amp;MID(H976,2,1)&amp;"#","#0#1#2#3#4#5#6#7#8#9#")),IF(AND(VALUE(LEFT(H976,2))&gt;=1,VALUE(LEFT(H976,2))&lt;=5),VALUE(LEFT(H976,2)),""),IF(AND(VALUE(LEFT(H976,1))&gt;=1,VALUE(LEFT(H976,1))&lt;=5),VALUE(LEFT(H976,1)),"")),""),"")</f>
        <v/>
      </c>
      <c r="O976" s="25">
        <f>IF(AND(L976=1,B976&lt;&gt;""),SUBSTITUTE(SUBSTITUTE(SUBSTITUTE(SUBSTITUTE(SUBSTITUTE(SUBSTITUTE(SUBSTITUTE(SUBSTITUTE(SUBSTITUTE(SUBSTITUTE(SUBSTITUTE(SUBSTITUTE(LOWER(TRIM(B976)),"á","a"),"é","e"),"í","i"),"ó","o"),"ú","u"),"ü","u"),"ñ","n"),"à","a"),"è","e"),"ì","i"),"ò","o"),"ù","u"),"")</f>
        <v/>
      </c>
      <c r="P976" s="25">
        <f>IF(AND(L976=1,C976&lt;&gt;""),SUBSTITUTE(SUBSTITUTE(SUBSTITUTE(SUBSTITUTE(SUBSTITUTE(SUBSTITUTE(SUBSTITUTE(SUBSTITUTE(SUBSTITUTE(SUBSTITUTE(SUBSTITUTE(SUBSTITUTE(LOWER(TRIM(C976)),"á","a"),"é","e"),"í","i"),"ó","o"),"ú","u"),"ü","u"),"ñ","n"),"à","a"),"è","e"),"ì","i"),"ò","o"),"ù","u"),"")</f>
        <v/>
      </c>
      <c r="Q976" s="25">
        <f>IF(AND(L976=1,E976&lt;&gt;""),SUBSTITUTE(SUBSTITUTE(SUBSTITUTE(SUBSTITUTE(SUBSTITUTE(SUBSTITUTE(SUBSTITUTE(SUBSTITUTE(SUBSTITUTE(SUBSTITUTE(SUBSTITUTE(SUBSTITUTE(LOWER(TRIM(E976)),"á","a"),"é","e"),"í","i"),"ó","o"),"ú","u"),"ü","u"),"ñ","n"),"à","a"),"è","e"),"ì","i"),"ò","o"),"ù","u"),"")</f>
        <v/>
      </c>
      <c r="R976" s="25">
        <f>IF(AND(L976=1,I976&lt;&gt;""),SUBSTITUTE(SUBSTITUTE(SUBSTITUTE(SUBSTITUTE(SUBSTITUTE(SUBSTITUTE(SUBSTITUTE(SUBSTITUTE(SUBSTITUTE(SUBSTITUTE(SUBSTITUTE(SUBSTITUTE(LOWER(TRIM(I976)),"á","a"),"é","e"),"í","i"),"ó","o"),"ú","u"),"ü","u"),"ñ","n"),"à","a"),"è","e"),"ì","i"),"ò","o"),"ù","u"),"")</f>
        <v/>
      </c>
      <c r="S976" s="25">
        <f>IF(R976="","",IF(OR(R976="si",R976="tal vez"),1,0))</f>
        <v/>
      </c>
      <c r="T976" s="25">
        <f>IF(AND(L976=1,D976&lt;&gt;""),IF(IFERROR(COUNTIFS(D$3:D976,"="&amp;SUBSTITUTE(SUBSTITUTE(SUBSTITUTE(D976,"~","~~"),"*","~*"),"?","~?"),L$3:L976,1),0)=1,MAX(T$2:T975)+1,""),"")</f>
        <v/>
      </c>
      <c r="U976" s="25">
        <f>IF(T976="","",COUNTIFS($D$3:$D$1002,"="&amp;SUBSTITUTE(SUBSTITUTE(SUBSTITUTE(D976,"~","~~"),"*","~*"),"?","~?"),$L$3:$L$1002,1)*10000-T976)</f>
        <v/>
      </c>
      <c r="V976" s="25">
        <f>IF(AND(L976=1,J976&lt;&gt;""),IF(IFERROR(COUNTIFS(J$3:J976,"="&amp;SUBSTITUTE(SUBSTITUTE(SUBSTITUTE(J976,"~","~~"),"*","~*"),"?","~?"),L$3:L976,1),0)=1,MAX(V$2:V975)+1,""),"")</f>
        <v/>
      </c>
      <c r="W976" s="25">
        <f>IF(V976="","",COUNTIFS($J$3:$J$1002,"="&amp;SUBSTITUTE(SUBSTITUTE(SUBSTITUTE(J976,"~","~~"),"*","~*"),"?","~?"),$L$3:$L$1002,1)*10000-V976)</f>
        <v/>
      </c>
    </row>
    <row r="977">
      <c r="A977">
        <f>IF(A$2=0,"",IFERROR(TRIM(INDEX('Pegar estudiantes'!$A$1:$BZ$1001,976,A$2)&amp;""),""))</f>
        <v/>
      </c>
      <c r="B977">
        <f>IF(B$2=0,"",IFERROR(TRIM(INDEX('Pegar estudiantes'!$A$1:$BZ$1001,976,B$2)&amp;""),""))</f>
        <v/>
      </c>
      <c r="C977">
        <f>IF(C$2=0,"",IFERROR(TRIM(INDEX('Pegar estudiantes'!$A$1:$BZ$1001,976,C$2)&amp;""),""))</f>
        <v/>
      </c>
      <c r="D977">
        <f>IF(D$2=0,"",IFERROR(TRIM(INDEX('Pegar estudiantes'!$A$1:$BZ$1001,976,D$2)&amp;""),""))</f>
        <v/>
      </c>
      <c r="E977">
        <f>IF(E$2=0,"",IFERROR(TRIM(INDEX('Pegar estudiantes'!$A$1:$BZ$1001,976,E$2)&amp;""),""))</f>
        <v/>
      </c>
      <c r="F977">
        <f>IF(F$2=0,"",IFERROR(TRIM(INDEX('Pegar estudiantes'!$A$1:$BZ$1001,976,F$2)&amp;""),""))</f>
        <v/>
      </c>
      <c r="G977">
        <f>IF(G$2=0,"",IFERROR(TRIM(INDEX('Pegar estudiantes'!$A$1:$BZ$1001,976,G$2)&amp;""),""))</f>
        <v/>
      </c>
      <c r="H977">
        <f>IF(H$2=0,"",IFERROR(TRIM(INDEX('Pegar estudiantes'!$A$1:$BZ$1001,976,H$2)&amp;""),""))</f>
        <v/>
      </c>
      <c r="I977">
        <f>IF(I$2=0,"",IFERROR(TRIM(INDEX('Pegar estudiantes'!$A$1:$BZ$1001,976,I$2)&amp;""),""))</f>
        <v/>
      </c>
      <c r="J977">
        <f>IF(J$2=0,"",IFERROR(TRIM(INDEX('Pegar estudiantes'!$A$1:$BZ$1001,976,J$2)&amp;""),""))</f>
        <v/>
      </c>
      <c r="K977">
        <f>IF(K$2=0,"",IFERROR(TRIM(INDEX('Pegar estudiantes'!$A$1:$BZ$1001,976,K$2)&amp;""),""))</f>
        <v/>
      </c>
      <c r="L977" s="25">
        <f>IF(A977&lt;&gt;"",1,"")</f>
        <v/>
      </c>
      <c r="M977" s="25">
        <f>IF(L977=1,IF(ISNUMBER(FIND("#"&amp;MID(A977,1,1)&amp;"#","#0#1#2#3#4#5#6#7#8#9#")),IF(ISNUMBER(FIND("#"&amp;MID(A977,2,1)&amp;"#","#0#1#2#3#4#5#6#7#8#9#")),IF(AND(VALUE(LEFT(A977,2))&gt;=1,VALUE(LEFT(A977,2))&lt;=5),VALUE(LEFT(A977,2)),""),IF(AND(VALUE(LEFT(A977,1))&gt;=1,VALUE(LEFT(A977,1))&lt;=5),VALUE(LEFT(A977,1)),"")),""),"")</f>
        <v/>
      </c>
      <c r="N977" s="25">
        <f>IF(L977=1,IF(ISNUMBER(FIND("#"&amp;MID(H977,1,1)&amp;"#","#0#1#2#3#4#5#6#7#8#9#")),IF(ISNUMBER(FIND("#"&amp;MID(H977,2,1)&amp;"#","#0#1#2#3#4#5#6#7#8#9#")),IF(AND(VALUE(LEFT(H977,2))&gt;=1,VALUE(LEFT(H977,2))&lt;=5),VALUE(LEFT(H977,2)),""),IF(AND(VALUE(LEFT(H977,1))&gt;=1,VALUE(LEFT(H977,1))&lt;=5),VALUE(LEFT(H977,1)),"")),""),"")</f>
        <v/>
      </c>
      <c r="O977" s="25">
        <f>IF(AND(L977=1,B977&lt;&gt;""),SUBSTITUTE(SUBSTITUTE(SUBSTITUTE(SUBSTITUTE(SUBSTITUTE(SUBSTITUTE(SUBSTITUTE(SUBSTITUTE(SUBSTITUTE(SUBSTITUTE(SUBSTITUTE(SUBSTITUTE(LOWER(TRIM(B977)),"á","a"),"é","e"),"í","i"),"ó","o"),"ú","u"),"ü","u"),"ñ","n"),"à","a"),"è","e"),"ì","i"),"ò","o"),"ù","u"),"")</f>
        <v/>
      </c>
      <c r="P977" s="25">
        <f>IF(AND(L977=1,C977&lt;&gt;""),SUBSTITUTE(SUBSTITUTE(SUBSTITUTE(SUBSTITUTE(SUBSTITUTE(SUBSTITUTE(SUBSTITUTE(SUBSTITUTE(SUBSTITUTE(SUBSTITUTE(SUBSTITUTE(SUBSTITUTE(LOWER(TRIM(C977)),"á","a"),"é","e"),"í","i"),"ó","o"),"ú","u"),"ü","u"),"ñ","n"),"à","a"),"è","e"),"ì","i"),"ò","o"),"ù","u"),"")</f>
        <v/>
      </c>
      <c r="Q977" s="25">
        <f>IF(AND(L977=1,E977&lt;&gt;""),SUBSTITUTE(SUBSTITUTE(SUBSTITUTE(SUBSTITUTE(SUBSTITUTE(SUBSTITUTE(SUBSTITUTE(SUBSTITUTE(SUBSTITUTE(SUBSTITUTE(SUBSTITUTE(SUBSTITUTE(LOWER(TRIM(E977)),"á","a"),"é","e"),"í","i"),"ó","o"),"ú","u"),"ü","u"),"ñ","n"),"à","a"),"è","e"),"ì","i"),"ò","o"),"ù","u"),"")</f>
        <v/>
      </c>
      <c r="R977" s="25">
        <f>IF(AND(L977=1,I977&lt;&gt;""),SUBSTITUTE(SUBSTITUTE(SUBSTITUTE(SUBSTITUTE(SUBSTITUTE(SUBSTITUTE(SUBSTITUTE(SUBSTITUTE(SUBSTITUTE(SUBSTITUTE(SUBSTITUTE(SUBSTITUTE(LOWER(TRIM(I977)),"á","a"),"é","e"),"í","i"),"ó","o"),"ú","u"),"ü","u"),"ñ","n"),"à","a"),"è","e"),"ì","i"),"ò","o"),"ù","u"),"")</f>
        <v/>
      </c>
      <c r="S977" s="25">
        <f>IF(R977="","",IF(OR(R977="si",R977="tal vez"),1,0))</f>
        <v/>
      </c>
      <c r="T977" s="25">
        <f>IF(AND(L977=1,D977&lt;&gt;""),IF(IFERROR(COUNTIFS(D$3:D977,"="&amp;SUBSTITUTE(SUBSTITUTE(SUBSTITUTE(D977,"~","~~"),"*","~*"),"?","~?"),L$3:L977,1),0)=1,MAX(T$2:T976)+1,""),"")</f>
        <v/>
      </c>
      <c r="U977" s="25">
        <f>IF(T977="","",COUNTIFS($D$3:$D$1002,"="&amp;SUBSTITUTE(SUBSTITUTE(SUBSTITUTE(D977,"~","~~"),"*","~*"),"?","~?"),$L$3:$L$1002,1)*10000-T977)</f>
        <v/>
      </c>
      <c r="V977" s="25">
        <f>IF(AND(L977=1,J977&lt;&gt;""),IF(IFERROR(COUNTIFS(J$3:J977,"="&amp;SUBSTITUTE(SUBSTITUTE(SUBSTITUTE(J977,"~","~~"),"*","~*"),"?","~?"),L$3:L977,1),0)=1,MAX(V$2:V976)+1,""),"")</f>
        <v/>
      </c>
      <c r="W977" s="25">
        <f>IF(V977="","",COUNTIFS($J$3:$J$1002,"="&amp;SUBSTITUTE(SUBSTITUTE(SUBSTITUTE(J977,"~","~~"),"*","~*"),"?","~?"),$L$3:$L$1002,1)*10000-V977)</f>
        <v/>
      </c>
    </row>
    <row r="978">
      <c r="A978">
        <f>IF(A$2=0,"",IFERROR(TRIM(INDEX('Pegar estudiantes'!$A$1:$BZ$1001,977,A$2)&amp;""),""))</f>
        <v/>
      </c>
      <c r="B978">
        <f>IF(B$2=0,"",IFERROR(TRIM(INDEX('Pegar estudiantes'!$A$1:$BZ$1001,977,B$2)&amp;""),""))</f>
        <v/>
      </c>
      <c r="C978">
        <f>IF(C$2=0,"",IFERROR(TRIM(INDEX('Pegar estudiantes'!$A$1:$BZ$1001,977,C$2)&amp;""),""))</f>
        <v/>
      </c>
      <c r="D978">
        <f>IF(D$2=0,"",IFERROR(TRIM(INDEX('Pegar estudiantes'!$A$1:$BZ$1001,977,D$2)&amp;""),""))</f>
        <v/>
      </c>
      <c r="E978">
        <f>IF(E$2=0,"",IFERROR(TRIM(INDEX('Pegar estudiantes'!$A$1:$BZ$1001,977,E$2)&amp;""),""))</f>
        <v/>
      </c>
      <c r="F978">
        <f>IF(F$2=0,"",IFERROR(TRIM(INDEX('Pegar estudiantes'!$A$1:$BZ$1001,977,F$2)&amp;""),""))</f>
        <v/>
      </c>
      <c r="G978">
        <f>IF(G$2=0,"",IFERROR(TRIM(INDEX('Pegar estudiantes'!$A$1:$BZ$1001,977,G$2)&amp;""),""))</f>
        <v/>
      </c>
      <c r="H978">
        <f>IF(H$2=0,"",IFERROR(TRIM(INDEX('Pegar estudiantes'!$A$1:$BZ$1001,977,H$2)&amp;""),""))</f>
        <v/>
      </c>
      <c r="I978">
        <f>IF(I$2=0,"",IFERROR(TRIM(INDEX('Pegar estudiantes'!$A$1:$BZ$1001,977,I$2)&amp;""),""))</f>
        <v/>
      </c>
      <c r="J978">
        <f>IF(J$2=0,"",IFERROR(TRIM(INDEX('Pegar estudiantes'!$A$1:$BZ$1001,977,J$2)&amp;""),""))</f>
        <v/>
      </c>
      <c r="K978">
        <f>IF(K$2=0,"",IFERROR(TRIM(INDEX('Pegar estudiantes'!$A$1:$BZ$1001,977,K$2)&amp;""),""))</f>
        <v/>
      </c>
      <c r="L978" s="25">
        <f>IF(A978&lt;&gt;"",1,"")</f>
        <v/>
      </c>
      <c r="M978" s="25">
        <f>IF(L978=1,IF(ISNUMBER(FIND("#"&amp;MID(A978,1,1)&amp;"#","#0#1#2#3#4#5#6#7#8#9#")),IF(ISNUMBER(FIND("#"&amp;MID(A978,2,1)&amp;"#","#0#1#2#3#4#5#6#7#8#9#")),IF(AND(VALUE(LEFT(A978,2))&gt;=1,VALUE(LEFT(A978,2))&lt;=5),VALUE(LEFT(A978,2)),""),IF(AND(VALUE(LEFT(A978,1))&gt;=1,VALUE(LEFT(A978,1))&lt;=5),VALUE(LEFT(A978,1)),"")),""),"")</f>
        <v/>
      </c>
      <c r="N978" s="25">
        <f>IF(L978=1,IF(ISNUMBER(FIND("#"&amp;MID(H978,1,1)&amp;"#","#0#1#2#3#4#5#6#7#8#9#")),IF(ISNUMBER(FIND("#"&amp;MID(H978,2,1)&amp;"#","#0#1#2#3#4#5#6#7#8#9#")),IF(AND(VALUE(LEFT(H978,2))&gt;=1,VALUE(LEFT(H978,2))&lt;=5),VALUE(LEFT(H978,2)),""),IF(AND(VALUE(LEFT(H978,1))&gt;=1,VALUE(LEFT(H978,1))&lt;=5),VALUE(LEFT(H978,1)),"")),""),"")</f>
        <v/>
      </c>
      <c r="O978" s="25">
        <f>IF(AND(L978=1,B978&lt;&gt;""),SUBSTITUTE(SUBSTITUTE(SUBSTITUTE(SUBSTITUTE(SUBSTITUTE(SUBSTITUTE(SUBSTITUTE(SUBSTITUTE(SUBSTITUTE(SUBSTITUTE(SUBSTITUTE(SUBSTITUTE(LOWER(TRIM(B978)),"á","a"),"é","e"),"í","i"),"ó","o"),"ú","u"),"ü","u"),"ñ","n"),"à","a"),"è","e"),"ì","i"),"ò","o"),"ù","u"),"")</f>
        <v/>
      </c>
      <c r="P978" s="25">
        <f>IF(AND(L978=1,C978&lt;&gt;""),SUBSTITUTE(SUBSTITUTE(SUBSTITUTE(SUBSTITUTE(SUBSTITUTE(SUBSTITUTE(SUBSTITUTE(SUBSTITUTE(SUBSTITUTE(SUBSTITUTE(SUBSTITUTE(SUBSTITUTE(LOWER(TRIM(C978)),"á","a"),"é","e"),"í","i"),"ó","o"),"ú","u"),"ü","u"),"ñ","n"),"à","a"),"è","e"),"ì","i"),"ò","o"),"ù","u"),"")</f>
        <v/>
      </c>
      <c r="Q978" s="25">
        <f>IF(AND(L978=1,E978&lt;&gt;""),SUBSTITUTE(SUBSTITUTE(SUBSTITUTE(SUBSTITUTE(SUBSTITUTE(SUBSTITUTE(SUBSTITUTE(SUBSTITUTE(SUBSTITUTE(SUBSTITUTE(SUBSTITUTE(SUBSTITUTE(LOWER(TRIM(E978)),"á","a"),"é","e"),"í","i"),"ó","o"),"ú","u"),"ü","u"),"ñ","n"),"à","a"),"è","e"),"ì","i"),"ò","o"),"ù","u"),"")</f>
        <v/>
      </c>
      <c r="R978" s="25">
        <f>IF(AND(L978=1,I978&lt;&gt;""),SUBSTITUTE(SUBSTITUTE(SUBSTITUTE(SUBSTITUTE(SUBSTITUTE(SUBSTITUTE(SUBSTITUTE(SUBSTITUTE(SUBSTITUTE(SUBSTITUTE(SUBSTITUTE(SUBSTITUTE(LOWER(TRIM(I978)),"á","a"),"é","e"),"í","i"),"ó","o"),"ú","u"),"ü","u"),"ñ","n"),"à","a"),"è","e"),"ì","i"),"ò","o"),"ù","u"),"")</f>
        <v/>
      </c>
      <c r="S978" s="25">
        <f>IF(R978="","",IF(OR(R978="si",R978="tal vez"),1,0))</f>
        <v/>
      </c>
      <c r="T978" s="25">
        <f>IF(AND(L978=1,D978&lt;&gt;""),IF(IFERROR(COUNTIFS(D$3:D978,"="&amp;SUBSTITUTE(SUBSTITUTE(SUBSTITUTE(D978,"~","~~"),"*","~*"),"?","~?"),L$3:L978,1),0)=1,MAX(T$2:T977)+1,""),"")</f>
        <v/>
      </c>
      <c r="U978" s="25">
        <f>IF(T978="","",COUNTIFS($D$3:$D$1002,"="&amp;SUBSTITUTE(SUBSTITUTE(SUBSTITUTE(D978,"~","~~"),"*","~*"),"?","~?"),$L$3:$L$1002,1)*10000-T978)</f>
        <v/>
      </c>
      <c r="V978" s="25">
        <f>IF(AND(L978=1,J978&lt;&gt;""),IF(IFERROR(COUNTIFS(J$3:J978,"="&amp;SUBSTITUTE(SUBSTITUTE(SUBSTITUTE(J978,"~","~~"),"*","~*"),"?","~?"),L$3:L978,1),0)=1,MAX(V$2:V977)+1,""),"")</f>
        <v/>
      </c>
      <c r="W978" s="25">
        <f>IF(V978="","",COUNTIFS($J$3:$J$1002,"="&amp;SUBSTITUTE(SUBSTITUTE(SUBSTITUTE(J978,"~","~~"),"*","~*"),"?","~?"),$L$3:$L$1002,1)*10000-V978)</f>
        <v/>
      </c>
    </row>
    <row r="979">
      <c r="A979">
        <f>IF(A$2=0,"",IFERROR(TRIM(INDEX('Pegar estudiantes'!$A$1:$BZ$1001,978,A$2)&amp;""),""))</f>
        <v/>
      </c>
      <c r="B979">
        <f>IF(B$2=0,"",IFERROR(TRIM(INDEX('Pegar estudiantes'!$A$1:$BZ$1001,978,B$2)&amp;""),""))</f>
        <v/>
      </c>
      <c r="C979">
        <f>IF(C$2=0,"",IFERROR(TRIM(INDEX('Pegar estudiantes'!$A$1:$BZ$1001,978,C$2)&amp;""),""))</f>
        <v/>
      </c>
      <c r="D979">
        <f>IF(D$2=0,"",IFERROR(TRIM(INDEX('Pegar estudiantes'!$A$1:$BZ$1001,978,D$2)&amp;""),""))</f>
        <v/>
      </c>
      <c r="E979">
        <f>IF(E$2=0,"",IFERROR(TRIM(INDEX('Pegar estudiantes'!$A$1:$BZ$1001,978,E$2)&amp;""),""))</f>
        <v/>
      </c>
      <c r="F979">
        <f>IF(F$2=0,"",IFERROR(TRIM(INDEX('Pegar estudiantes'!$A$1:$BZ$1001,978,F$2)&amp;""),""))</f>
        <v/>
      </c>
      <c r="G979">
        <f>IF(G$2=0,"",IFERROR(TRIM(INDEX('Pegar estudiantes'!$A$1:$BZ$1001,978,G$2)&amp;""),""))</f>
        <v/>
      </c>
      <c r="H979">
        <f>IF(H$2=0,"",IFERROR(TRIM(INDEX('Pegar estudiantes'!$A$1:$BZ$1001,978,H$2)&amp;""),""))</f>
        <v/>
      </c>
      <c r="I979">
        <f>IF(I$2=0,"",IFERROR(TRIM(INDEX('Pegar estudiantes'!$A$1:$BZ$1001,978,I$2)&amp;""),""))</f>
        <v/>
      </c>
      <c r="J979">
        <f>IF(J$2=0,"",IFERROR(TRIM(INDEX('Pegar estudiantes'!$A$1:$BZ$1001,978,J$2)&amp;""),""))</f>
        <v/>
      </c>
      <c r="K979">
        <f>IF(K$2=0,"",IFERROR(TRIM(INDEX('Pegar estudiantes'!$A$1:$BZ$1001,978,K$2)&amp;""),""))</f>
        <v/>
      </c>
      <c r="L979" s="25">
        <f>IF(A979&lt;&gt;"",1,"")</f>
        <v/>
      </c>
      <c r="M979" s="25">
        <f>IF(L979=1,IF(ISNUMBER(FIND("#"&amp;MID(A979,1,1)&amp;"#","#0#1#2#3#4#5#6#7#8#9#")),IF(ISNUMBER(FIND("#"&amp;MID(A979,2,1)&amp;"#","#0#1#2#3#4#5#6#7#8#9#")),IF(AND(VALUE(LEFT(A979,2))&gt;=1,VALUE(LEFT(A979,2))&lt;=5),VALUE(LEFT(A979,2)),""),IF(AND(VALUE(LEFT(A979,1))&gt;=1,VALUE(LEFT(A979,1))&lt;=5),VALUE(LEFT(A979,1)),"")),""),"")</f>
        <v/>
      </c>
      <c r="N979" s="25">
        <f>IF(L979=1,IF(ISNUMBER(FIND("#"&amp;MID(H979,1,1)&amp;"#","#0#1#2#3#4#5#6#7#8#9#")),IF(ISNUMBER(FIND("#"&amp;MID(H979,2,1)&amp;"#","#0#1#2#3#4#5#6#7#8#9#")),IF(AND(VALUE(LEFT(H979,2))&gt;=1,VALUE(LEFT(H979,2))&lt;=5),VALUE(LEFT(H979,2)),""),IF(AND(VALUE(LEFT(H979,1))&gt;=1,VALUE(LEFT(H979,1))&lt;=5),VALUE(LEFT(H979,1)),"")),""),"")</f>
        <v/>
      </c>
      <c r="O979" s="25">
        <f>IF(AND(L979=1,B979&lt;&gt;""),SUBSTITUTE(SUBSTITUTE(SUBSTITUTE(SUBSTITUTE(SUBSTITUTE(SUBSTITUTE(SUBSTITUTE(SUBSTITUTE(SUBSTITUTE(SUBSTITUTE(SUBSTITUTE(SUBSTITUTE(LOWER(TRIM(B979)),"á","a"),"é","e"),"í","i"),"ó","o"),"ú","u"),"ü","u"),"ñ","n"),"à","a"),"è","e"),"ì","i"),"ò","o"),"ù","u"),"")</f>
        <v/>
      </c>
      <c r="P979" s="25">
        <f>IF(AND(L979=1,C979&lt;&gt;""),SUBSTITUTE(SUBSTITUTE(SUBSTITUTE(SUBSTITUTE(SUBSTITUTE(SUBSTITUTE(SUBSTITUTE(SUBSTITUTE(SUBSTITUTE(SUBSTITUTE(SUBSTITUTE(SUBSTITUTE(LOWER(TRIM(C979)),"á","a"),"é","e"),"í","i"),"ó","o"),"ú","u"),"ü","u"),"ñ","n"),"à","a"),"è","e"),"ì","i"),"ò","o"),"ù","u"),"")</f>
        <v/>
      </c>
      <c r="Q979" s="25">
        <f>IF(AND(L979=1,E979&lt;&gt;""),SUBSTITUTE(SUBSTITUTE(SUBSTITUTE(SUBSTITUTE(SUBSTITUTE(SUBSTITUTE(SUBSTITUTE(SUBSTITUTE(SUBSTITUTE(SUBSTITUTE(SUBSTITUTE(SUBSTITUTE(LOWER(TRIM(E979)),"á","a"),"é","e"),"í","i"),"ó","o"),"ú","u"),"ü","u"),"ñ","n"),"à","a"),"è","e"),"ì","i"),"ò","o"),"ù","u"),"")</f>
        <v/>
      </c>
      <c r="R979" s="25">
        <f>IF(AND(L979=1,I979&lt;&gt;""),SUBSTITUTE(SUBSTITUTE(SUBSTITUTE(SUBSTITUTE(SUBSTITUTE(SUBSTITUTE(SUBSTITUTE(SUBSTITUTE(SUBSTITUTE(SUBSTITUTE(SUBSTITUTE(SUBSTITUTE(LOWER(TRIM(I979)),"á","a"),"é","e"),"í","i"),"ó","o"),"ú","u"),"ü","u"),"ñ","n"),"à","a"),"è","e"),"ì","i"),"ò","o"),"ù","u"),"")</f>
        <v/>
      </c>
      <c r="S979" s="25">
        <f>IF(R979="","",IF(OR(R979="si",R979="tal vez"),1,0))</f>
        <v/>
      </c>
      <c r="T979" s="25">
        <f>IF(AND(L979=1,D979&lt;&gt;""),IF(IFERROR(COUNTIFS(D$3:D979,"="&amp;SUBSTITUTE(SUBSTITUTE(SUBSTITUTE(D979,"~","~~"),"*","~*"),"?","~?"),L$3:L979,1),0)=1,MAX(T$2:T978)+1,""),"")</f>
        <v/>
      </c>
      <c r="U979" s="25">
        <f>IF(T979="","",COUNTIFS($D$3:$D$1002,"="&amp;SUBSTITUTE(SUBSTITUTE(SUBSTITUTE(D979,"~","~~"),"*","~*"),"?","~?"),$L$3:$L$1002,1)*10000-T979)</f>
        <v/>
      </c>
      <c r="V979" s="25">
        <f>IF(AND(L979=1,J979&lt;&gt;""),IF(IFERROR(COUNTIFS(J$3:J979,"="&amp;SUBSTITUTE(SUBSTITUTE(SUBSTITUTE(J979,"~","~~"),"*","~*"),"?","~?"),L$3:L979,1),0)=1,MAX(V$2:V978)+1,""),"")</f>
        <v/>
      </c>
      <c r="W979" s="25">
        <f>IF(V979="","",COUNTIFS($J$3:$J$1002,"="&amp;SUBSTITUTE(SUBSTITUTE(SUBSTITUTE(J979,"~","~~"),"*","~*"),"?","~?"),$L$3:$L$1002,1)*10000-V979)</f>
        <v/>
      </c>
    </row>
    <row r="980">
      <c r="A980">
        <f>IF(A$2=0,"",IFERROR(TRIM(INDEX('Pegar estudiantes'!$A$1:$BZ$1001,979,A$2)&amp;""),""))</f>
        <v/>
      </c>
      <c r="B980">
        <f>IF(B$2=0,"",IFERROR(TRIM(INDEX('Pegar estudiantes'!$A$1:$BZ$1001,979,B$2)&amp;""),""))</f>
        <v/>
      </c>
      <c r="C980">
        <f>IF(C$2=0,"",IFERROR(TRIM(INDEX('Pegar estudiantes'!$A$1:$BZ$1001,979,C$2)&amp;""),""))</f>
        <v/>
      </c>
      <c r="D980">
        <f>IF(D$2=0,"",IFERROR(TRIM(INDEX('Pegar estudiantes'!$A$1:$BZ$1001,979,D$2)&amp;""),""))</f>
        <v/>
      </c>
      <c r="E980">
        <f>IF(E$2=0,"",IFERROR(TRIM(INDEX('Pegar estudiantes'!$A$1:$BZ$1001,979,E$2)&amp;""),""))</f>
        <v/>
      </c>
      <c r="F980">
        <f>IF(F$2=0,"",IFERROR(TRIM(INDEX('Pegar estudiantes'!$A$1:$BZ$1001,979,F$2)&amp;""),""))</f>
        <v/>
      </c>
      <c r="G980">
        <f>IF(G$2=0,"",IFERROR(TRIM(INDEX('Pegar estudiantes'!$A$1:$BZ$1001,979,G$2)&amp;""),""))</f>
        <v/>
      </c>
      <c r="H980">
        <f>IF(H$2=0,"",IFERROR(TRIM(INDEX('Pegar estudiantes'!$A$1:$BZ$1001,979,H$2)&amp;""),""))</f>
        <v/>
      </c>
      <c r="I980">
        <f>IF(I$2=0,"",IFERROR(TRIM(INDEX('Pegar estudiantes'!$A$1:$BZ$1001,979,I$2)&amp;""),""))</f>
        <v/>
      </c>
      <c r="J980">
        <f>IF(J$2=0,"",IFERROR(TRIM(INDEX('Pegar estudiantes'!$A$1:$BZ$1001,979,J$2)&amp;""),""))</f>
        <v/>
      </c>
      <c r="K980">
        <f>IF(K$2=0,"",IFERROR(TRIM(INDEX('Pegar estudiantes'!$A$1:$BZ$1001,979,K$2)&amp;""),""))</f>
        <v/>
      </c>
      <c r="L980" s="25">
        <f>IF(A980&lt;&gt;"",1,"")</f>
        <v/>
      </c>
      <c r="M980" s="25">
        <f>IF(L980=1,IF(ISNUMBER(FIND("#"&amp;MID(A980,1,1)&amp;"#","#0#1#2#3#4#5#6#7#8#9#")),IF(ISNUMBER(FIND("#"&amp;MID(A980,2,1)&amp;"#","#0#1#2#3#4#5#6#7#8#9#")),IF(AND(VALUE(LEFT(A980,2))&gt;=1,VALUE(LEFT(A980,2))&lt;=5),VALUE(LEFT(A980,2)),""),IF(AND(VALUE(LEFT(A980,1))&gt;=1,VALUE(LEFT(A980,1))&lt;=5),VALUE(LEFT(A980,1)),"")),""),"")</f>
        <v/>
      </c>
      <c r="N980" s="25">
        <f>IF(L980=1,IF(ISNUMBER(FIND("#"&amp;MID(H980,1,1)&amp;"#","#0#1#2#3#4#5#6#7#8#9#")),IF(ISNUMBER(FIND("#"&amp;MID(H980,2,1)&amp;"#","#0#1#2#3#4#5#6#7#8#9#")),IF(AND(VALUE(LEFT(H980,2))&gt;=1,VALUE(LEFT(H980,2))&lt;=5),VALUE(LEFT(H980,2)),""),IF(AND(VALUE(LEFT(H980,1))&gt;=1,VALUE(LEFT(H980,1))&lt;=5),VALUE(LEFT(H980,1)),"")),""),"")</f>
        <v/>
      </c>
      <c r="O980" s="25">
        <f>IF(AND(L980=1,B980&lt;&gt;""),SUBSTITUTE(SUBSTITUTE(SUBSTITUTE(SUBSTITUTE(SUBSTITUTE(SUBSTITUTE(SUBSTITUTE(SUBSTITUTE(SUBSTITUTE(SUBSTITUTE(SUBSTITUTE(SUBSTITUTE(LOWER(TRIM(B980)),"á","a"),"é","e"),"í","i"),"ó","o"),"ú","u"),"ü","u"),"ñ","n"),"à","a"),"è","e"),"ì","i"),"ò","o"),"ù","u"),"")</f>
        <v/>
      </c>
      <c r="P980" s="25">
        <f>IF(AND(L980=1,C980&lt;&gt;""),SUBSTITUTE(SUBSTITUTE(SUBSTITUTE(SUBSTITUTE(SUBSTITUTE(SUBSTITUTE(SUBSTITUTE(SUBSTITUTE(SUBSTITUTE(SUBSTITUTE(SUBSTITUTE(SUBSTITUTE(LOWER(TRIM(C980)),"á","a"),"é","e"),"í","i"),"ó","o"),"ú","u"),"ü","u"),"ñ","n"),"à","a"),"è","e"),"ì","i"),"ò","o"),"ù","u"),"")</f>
        <v/>
      </c>
      <c r="Q980" s="25">
        <f>IF(AND(L980=1,E980&lt;&gt;""),SUBSTITUTE(SUBSTITUTE(SUBSTITUTE(SUBSTITUTE(SUBSTITUTE(SUBSTITUTE(SUBSTITUTE(SUBSTITUTE(SUBSTITUTE(SUBSTITUTE(SUBSTITUTE(SUBSTITUTE(LOWER(TRIM(E980)),"á","a"),"é","e"),"í","i"),"ó","o"),"ú","u"),"ü","u"),"ñ","n"),"à","a"),"è","e"),"ì","i"),"ò","o"),"ù","u"),"")</f>
        <v/>
      </c>
      <c r="R980" s="25">
        <f>IF(AND(L980=1,I980&lt;&gt;""),SUBSTITUTE(SUBSTITUTE(SUBSTITUTE(SUBSTITUTE(SUBSTITUTE(SUBSTITUTE(SUBSTITUTE(SUBSTITUTE(SUBSTITUTE(SUBSTITUTE(SUBSTITUTE(SUBSTITUTE(LOWER(TRIM(I980)),"á","a"),"é","e"),"í","i"),"ó","o"),"ú","u"),"ü","u"),"ñ","n"),"à","a"),"è","e"),"ì","i"),"ò","o"),"ù","u"),"")</f>
        <v/>
      </c>
      <c r="S980" s="25">
        <f>IF(R980="","",IF(OR(R980="si",R980="tal vez"),1,0))</f>
        <v/>
      </c>
      <c r="T980" s="25">
        <f>IF(AND(L980=1,D980&lt;&gt;""),IF(IFERROR(COUNTIFS(D$3:D980,"="&amp;SUBSTITUTE(SUBSTITUTE(SUBSTITUTE(D980,"~","~~"),"*","~*"),"?","~?"),L$3:L980,1),0)=1,MAX(T$2:T979)+1,""),"")</f>
        <v/>
      </c>
      <c r="U980" s="25">
        <f>IF(T980="","",COUNTIFS($D$3:$D$1002,"="&amp;SUBSTITUTE(SUBSTITUTE(SUBSTITUTE(D980,"~","~~"),"*","~*"),"?","~?"),$L$3:$L$1002,1)*10000-T980)</f>
        <v/>
      </c>
      <c r="V980" s="25">
        <f>IF(AND(L980=1,J980&lt;&gt;""),IF(IFERROR(COUNTIFS(J$3:J980,"="&amp;SUBSTITUTE(SUBSTITUTE(SUBSTITUTE(J980,"~","~~"),"*","~*"),"?","~?"),L$3:L980,1),0)=1,MAX(V$2:V979)+1,""),"")</f>
        <v/>
      </c>
      <c r="W980" s="25">
        <f>IF(V980="","",COUNTIFS($J$3:$J$1002,"="&amp;SUBSTITUTE(SUBSTITUTE(SUBSTITUTE(J980,"~","~~"),"*","~*"),"?","~?"),$L$3:$L$1002,1)*10000-V980)</f>
        <v/>
      </c>
    </row>
    <row r="981">
      <c r="A981">
        <f>IF(A$2=0,"",IFERROR(TRIM(INDEX('Pegar estudiantes'!$A$1:$BZ$1001,980,A$2)&amp;""),""))</f>
        <v/>
      </c>
      <c r="B981">
        <f>IF(B$2=0,"",IFERROR(TRIM(INDEX('Pegar estudiantes'!$A$1:$BZ$1001,980,B$2)&amp;""),""))</f>
        <v/>
      </c>
      <c r="C981">
        <f>IF(C$2=0,"",IFERROR(TRIM(INDEX('Pegar estudiantes'!$A$1:$BZ$1001,980,C$2)&amp;""),""))</f>
        <v/>
      </c>
      <c r="D981">
        <f>IF(D$2=0,"",IFERROR(TRIM(INDEX('Pegar estudiantes'!$A$1:$BZ$1001,980,D$2)&amp;""),""))</f>
        <v/>
      </c>
      <c r="E981">
        <f>IF(E$2=0,"",IFERROR(TRIM(INDEX('Pegar estudiantes'!$A$1:$BZ$1001,980,E$2)&amp;""),""))</f>
        <v/>
      </c>
      <c r="F981">
        <f>IF(F$2=0,"",IFERROR(TRIM(INDEX('Pegar estudiantes'!$A$1:$BZ$1001,980,F$2)&amp;""),""))</f>
        <v/>
      </c>
      <c r="G981">
        <f>IF(G$2=0,"",IFERROR(TRIM(INDEX('Pegar estudiantes'!$A$1:$BZ$1001,980,G$2)&amp;""),""))</f>
        <v/>
      </c>
      <c r="H981">
        <f>IF(H$2=0,"",IFERROR(TRIM(INDEX('Pegar estudiantes'!$A$1:$BZ$1001,980,H$2)&amp;""),""))</f>
        <v/>
      </c>
      <c r="I981">
        <f>IF(I$2=0,"",IFERROR(TRIM(INDEX('Pegar estudiantes'!$A$1:$BZ$1001,980,I$2)&amp;""),""))</f>
        <v/>
      </c>
      <c r="J981">
        <f>IF(J$2=0,"",IFERROR(TRIM(INDEX('Pegar estudiantes'!$A$1:$BZ$1001,980,J$2)&amp;""),""))</f>
        <v/>
      </c>
      <c r="K981">
        <f>IF(K$2=0,"",IFERROR(TRIM(INDEX('Pegar estudiantes'!$A$1:$BZ$1001,980,K$2)&amp;""),""))</f>
        <v/>
      </c>
      <c r="L981" s="25">
        <f>IF(A981&lt;&gt;"",1,"")</f>
        <v/>
      </c>
      <c r="M981" s="25">
        <f>IF(L981=1,IF(ISNUMBER(FIND("#"&amp;MID(A981,1,1)&amp;"#","#0#1#2#3#4#5#6#7#8#9#")),IF(ISNUMBER(FIND("#"&amp;MID(A981,2,1)&amp;"#","#0#1#2#3#4#5#6#7#8#9#")),IF(AND(VALUE(LEFT(A981,2))&gt;=1,VALUE(LEFT(A981,2))&lt;=5),VALUE(LEFT(A981,2)),""),IF(AND(VALUE(LEFT(A981,1))&gt;=1,VALUE(LEFT(A981,1))&lt;=5),VALUE(LEFT(A981,1)),"")),""),"")</f>
        <v/>
      </c>
      <c r="N981" s="25">
        <f>IF(L981=1,IF(ISNUMBER(FIND("#"&amp;MID(H981,1,1)&amp;"#","#0#1#2#3#4#5#6#7#8#9#")),IF(ISNUMBER(FIND("#"&amp;MID(H981,2,1)&amp;"#","#0#1#2#3#4#5#6#7#8#9#")),IF(AND(VALUE(LEFT(H981,2))&gt;=1,VALUE(LEFT(H981,2))&lt;=5),VALUE(LEFT(H981,2)),""),IF(AND(VALUE(LEFT(H981,1))&gt;=1,VALUE(LEFT(H981,1))&lt;=5),VALUE(LEFT(H981,1)),"")),""),"")</f>
        <v/>
      </c>
      <c r="O981" s="25">
        <f>IF(AND(L981=1,B981&lt;&gt;""),SUBSTITUTE(SUBSTITUTE(SUBSTITUTE(SUBSTITUTE(SUBSTITUTE(SUBSTITUTE(SUBSTITUTE(SUBSTITUTE(SUBSTITUTE(SUBSTITUTE(SUBSTITUTE(SUBSTITUTE(LOWER(TRIM(B981)),"á","a"),"é","e"),"í","i"),"ó","o"),"ú","u"),"ü","u"),"ñ","n"),"à","a"),"è","e"),"ì","i"),"ò","o"),"ù","u"),"")</f>
        <v/>
      </c>
      <c r="P981" s="25">
        <f>IF(AND(L981=1,C981&lt;&gt;""),SUBSTITUTE(SUBSTITUTE(SUBSTITUTE(SUBSTITUTE(SUBSTITUTE(SUBSTITUTE(SUBSTITUTE(SUBSTITUTE(SUBSTITUTE(SUBSTITUTE(SUBSTITUTE(SUBSTITUTE(LOWER(TRIM(C981)),"á","a"),"é","e"),"í","i"),"ó","o"),"ú","u"),"ü","u"),"ñ","n"),"à","a"),"è","e"),"ì","i"),"ò","o"),"ù","u"),"")</f>
        <v/>
      </c>
      <c r="Q981" s="25">
        <f>IF(AND(L981=1,E981&lt;&gt;""),SUBSTITUTE(SUBSTITUTE(SUBSTITUTE(SUBSTITUTE(SUBSTITUTE(SUBSTITUTE(SUBSTITUTE(SUBSTITUTE(SUBSTITUTE(SUBSTITUTE(SUBSTITUTE(SUBSTITUTE(LOWER(TRIM(E981)),"á","a"),"é","e"),"í","i"),"ó","o"),"ú","u"),"ü","u"),"ñ","n"),"à","a"),"è","e"),"ì","i"),"ò","o"),"ù","u"),"")</f>
        <v/>
      </c>
      <c r="R981" s="25">
        <f>IF(AND(L981=1,I981&lt;&gt;""),SUBSTITUTE(SUBSTITUTE(SUBSTITUTE(SUBSTITUTE(SUBSTITUTE(SUBSTITUTE(SUBSTITUTE(SUBSTITUTE(SUBSTITUTE(SUBSTITUTE(SUBSTITUTE(SUBSTITUTE(LOWER(TRIM(I981)),"á","a"),"é","e"),"í","i"),"ó","o"),"ú","u"),"ü","u"),"ñ","n"),"à","a"),"è","e"),"ì","i"),"ò","o"),"ù","u"),"")</f>
        <v/>
      </c>
      <c r="S981" s="25">
        <f>IF(R981="","",IF(OR(R981="si",R981="tal vez"),1,0))</f>
        <v/>
      </c>
      <c r="T981" s="25">
        <f>IF(AND(L981=1,D981&lt;&gt;""),IF(IFERROR(COUNTIFS(D$3:D981,"="&amp;SUBSTITUTE(SUBSTITUTE(SUBSTITUTE(D981,"~","~~"),"*","~*"),"?","~?"),L$3:L981,1),0)=1,MAX(T$2:T980)+1,""),"")</f>
        <v/>
      </c>
      <c r="U981" s="25">
        <f>IF(T981="","",COUNTIFS($D$3:$D$1002,"="&amp;SUBSTITUTE(SUBSTITUTE(SUBSTITUTE(D981,"~","~~"),"*","~*"),"?","~?"),$L$3:$L$1002,1)*10000-T981)</f>
        <v/>
      </c>
      <c r="V981" s="25">
        <f>IF(AND(L981=1,J981&lt;&gt;""),IF(IFERROR(COUNTIFS(J$3:J981,"="&amp;SUBSTITUTE(SUBSTITUTE(SUBSTITUTE(J981,"~","~~"),"*","~*"),"?","~?"),L$3:L981,1),0)=1,MAX(V$2:V980)+1,""),"")</f>
        <v/>
      </c>
      <c r="W981" s="25">
        <f>IF(V981="","",COUNTIFS($J$3:$J$1002,"="&amp;SUBSTITUTE(SUBSTITUTE(SUBSTITUTE(J981,"~","~~"),"*","~*"),"?","~?"),$L$3:$L$1002,1)*10000-V981)</f>
        <v/>
      </c>
    </row>
    <row r="982">
      <c r="A982">
        <f>IF(A$2=0,"",IFERROR(TRIM(INDEX('Pegar estudiantes'!$A$1:$BZ$1001,981,A$2)&amp;""),""))</f>
        <v/>
      </c>
      <c r="B982">
        <f>IF(B$2=0,"",IFERROR(TRIM(INDEX('Pegar estudiantes'!$A$1:$BZ$1001,981,B$2)&amp;""),""))</f>
        <v/>
      </c>
      <c r="C982">
        <f>IF(C$2=0,"",IFERROR(TRIM(INDEX('Pegar estudiantes'!$A$1:$BZ$1001,981,C$2)&amp;""),""))</f>
        <v/>
      </c>
      <c r="D982">
        <f>IF(D$2=0,"",IFERROR(TRIM(INDEX('Pegar estudiantes'!$A$1:$BZ$1001,981,D$2)&amp;""),""))</f>
        <v/>
      </c>
      <c r="E982">
        <f>IF(E$2=0,"",IFERROR(TRIM(INDEX('Pegar estudiantes'!$A$1:$BZ$1001,981,E$2)&amp;""),""))</f>
        <v/>
      </c>
      <c r="F982">
        <f>IF(F$2=0,"",IFERROR(TRIM(INDEX('Pegar estudiantes'!$A$1:$BZ$1001,981,F$2)&amp;""),""))</f>
        <v/>
      </c>
      <c r="G982">
        <f>IF(G$2=0,"",IFERROR(TRIM(INDEX('Pegar estudiantes'!$A$1:$BZ$1001,981,G$2)&amp;""),""))</f>
        <v/>
      </c>
      <c r="H982">
        <f>IF(H$2=0,"",IFERROR(TRIM(INDEX('Pegar estudiantes'!$A$1:$BZ$1001,981,H$2)&amp;""),""))</f>
        <v/>
      </c>
      <c r="I982">
        <f>IF(I$2=0,"",IFERROR(TRIM(INDEX('Pegar estudiantes'!$A$1:$BZ$1001,981,I$2)&amp;""),""))</f>
        <v/>
      </c>
      <c r="J982">
        <f>IF(J$2=0,"",IFERROR(TRIM(INDEX('Pegar estudiantes'!$A$1:$BZ$1001,981,J$2)&amp;""),""))</f>
        <v/>
      </c>
      <c r="K982">
        <f>IF(K$2=0,"",IFERROR(TRIM(INDEX('Pegar estudiantes'!$A$1:$BZ$1001,981,K$2)&amp;""),""))</f>
        <v/>
      </c>
      <c r="L982" s="25">
        <f>IF(A982&lt;&gt;"",1,"")</f>
        <v/>
      </c>
      <c r="M982" s="25">
        <f>IF(L982=1,IF(ISNUMBER(FIND("#"&amp;MID(A982,1,1)&amp;"#","#0#1#2#3#4#5#6#7#8#9#")),IF(ISNUMBER(FIND("#"&amp;MID(A982,2,1)&amp;"#","#0#1#2#3#4#5#6#7#8#9#")),IF(AND(VALUE(LEFT(A982,2))&gt;=1,VALUE(LEFT(A982,2))&lt;=5),VALUE(LEFT(A982,2)),""),IF(AND(VALUE(LEFT(A982,1))&gt;=1,VALUE(LEFT(A982,1))&lt;=5),VALUE(LEFT(A982,1)),"")),""),"")</f>
        <v/>
      </c>
      <c r="N982" s="25">
        <f>IF(L982=1,IF(ISNUMBER(FIND("#"&amp;MID(H982,1,1)&amp;"#","#0#1#2#3#4#5#6#7#8#9#")),IF(ISNUMBER(FIND("#"&amp;MID(H982,2,1)&amp;"#","#0#1#2#3#4#5#6#7#8#9#")),IF(AND(VALUE(LEFT(H982,2))&gt;=1,VALUE(LEFT(H982,2))&lt;=5),VALUE(LEFT(H982,2)),""),IF(AND(VALUE(LEFT(H982,1))&gt;=1,VALUE(LEFT(H982,1))&lt;=5),VALUE(LEFT(H982,1)),"")),""),"")</f>
        <v/>
      </c>
      <c r="O982" s="25">
        <f>IF(AND(L982=1,B982&lt;&gt;""),SUBSTITUTE(SUBSTITUTE(SUBSTITUTE(SUBSTITUTE(SUBSTITUTE(SUBSTITUTE(SUBSTITUTE(SUBSTITUTE(SUBSTITUTE(SUBSTITUTE(SUBSTITUTE(SUBSTITUTE(LOWER(TRIM(B982)),"á","a"),"é","e"),"í","i"),"ó","o"),"ú","u"),"ü","u"),"ñ","n"),"à","a"),"è","e"),"ì","i"),"ò","o"),"ù","u"),"")</f>
        <v/>
      </c>
      <c r="P982" s="25">
        <f>IF(AND(L982=1,C982&lt;&gt;""),SUBSTITUTE(SUBSTITUTE(SUBSTITUTE(SUBSTITUTE(SUBSTITUTE(SUBSTITUTE(SUBSTITUTE(SUBSTITUTE(SUBSTITUTE(SUBSTITUTE(SUBSTITUTE(SUBSTITUTE(LOWER(TRIM(C982)),"á","a"),"é","e"),"í","i"),"ó","o"),"ú","u"),"ü","u"),"ñ","n"),"à","a"),"è","e"),"ì","i"),"ò","o"),"ù","u"),"")</f>
        <v/>
      </c>
      <c r="Q982" s="25">
        <f>IF(AND(L982=1,E982&lt;&gt;""),SUBSTITUTE(SUBSTITUTE(SUBSTITUTE(SUBSTITUTE(SUBSTITUTE(SUBSTITUTE(SUBSTITUTE(SUBSTITUTE(SUBSTITUTE(SUBSTITUTE(SUBSTITUTE(SUBSTITUTE(LOWER(TRIM(E982)),"á","a"),"é","e"),"í","i"),"ó","o"),"ú","u"),"ü","u"),"ñ","n"),"à","a"),"è","e"),"ì","i"),"ò","o"),"ù","u"),"")</f>
        <v/>
      </c>
      <c r="R982" s="25">
        <f>IF(AND(L982=1,I982&lt;&gt;""),SUBSTITUTE(SUBSTITUTE(SUBSTITUTE(SUBSTITUTE(SUBSTITUTE(SUBSTITUTE(SUBSTITUTE(SUBSTITUTE(SUBSTITUTE(SUBSTITUTE(SUBSTITUTE(SUBSTITUTE(LOWER(TRIM(I982)),"á","a"),"é","e"),"í","i"),"ó","o"),"ú","u"),"ü","u"),"ñ","n"),"à","a"),"è","e"),"ì","i"),"ò","o"),"ù","u"),"")</f>
        <v/>
      </c>
      <c r="S982" s="25">
        <f>IF(R982="","",IF(OR(R982="si",R982="tal vez"),1,0))</f>
        <v/>
      </c>
      <c r="T982" s="25">
        <f>IF(AND(L982=1,D982&lt;&gt;""),IF(IFERROR(COUNTIFS(D$3:D982,"="&amp;SUBSTITUTE(SUBSTITUTE(SUBSTITUTE(D982,"~","~~"),"*","~*"),"?","~?"),L$3:L982,1),0)=1,MAX(T$2:T981)+1,""),"")</f>
        <v/>
      </c>
      <c r="U982" s="25">
        <f>IF(T982="","",COUNTIFS($D$3:$D$1002,"="&amp;SUBSTITUTE(SUBSTITUTE(SUBSTITUTE(D982,"~","~~"),"*","~*"),"?","~?"),$L$3:$L$1002,1)*10000-T982)</f>
        <v/>
      </c>
      <c r="V982" s="25">
        <f>IF(AND(L982=1,J982&lt;&gt;""),IF(IFERROR(COUNTIFS(J$3:J982,"="&amp;SUBSTITUTE(SUBSTITUTE(SUBSTITUTE(J982,"~","~~"),"*","~*"),"?","~?"),L$3:L982,1),0)=1,MAX(V$2:V981)+1,""),"")</f>
        <v/>
      </c>
      <c r="W982" s="25">
        <f>IF(V982="","",COUNTIFS($J$3:$J$1002,"="&amp;SUBSTITUTE(SUBSTITUTE(SUBSTITUTE(J982,"~","~~"),"*","~*"),"?","~?"),$L$3:$L$1002,1)*10000-V982)</f>
        <v/>
      </c>
    </row>
    <row r="983">
      <c r="A983">
        <f>IF(A$2=0,"",IFERROR(TRIM(INDEX('Pegar estudiantes'!$A$1:$BZ$1001,982,A$2)&amp;""),""))</f>
        <v/>
      </c>
      <c r="B983">
        <f>IF(B$2=0,"",IFERROR(TRIM(INDEX('Pegar estudiantes'!$A$1:$BZ$1001,982,B$2)&amp;""),""))</f>
        <v/>
      </c>
      <c r="C983">
        <f>IF(C$2=0,"",IFERROR(TRIM(INDEX('Pegar estudiantes'!$A$1:$BZ$1001,982,C$2)&amp;""),""))</f>
        <v/>
      </c>
      <c r="D983">
        <f>IF(D$2=0,"",IFERROR(TRIM(INDEX('Pegar estudiantes'!$A$1:$BZ$1001,982,D$2)&amp;""),""))</f>
        <v/>
      </c>
      <c r="E983">
        <f>IF(E$2=0,"",IFERROR(TRIM(INDEX('Pegar estudiantes'!$A$1:$BZ$1001,982,E$2)&amp;""),""))</f>
        <v/>
      </c>
      <c r="F983">
        <f>IF(F$2=0,"",IFERROR(TRIM(INDEX('Pegar estudiantes'!$A$1:$BZ$1001,982,F$2)&amp;""),""))</f>
        <v/>
      </c>
      <c r="G983">
        <f>IF(G$2=0,"",IFERROR(TRIM(INDEX('Pegar estudiantes'!$A$1:$BZ$1001,982,G$2)&amp;""),""))</f>
        <v/>
      </c>
      <c r="H983">
        <f>IF(H$2=0,"",IFERROR(TRIM(INDEX('Pegar estudiantes'!$A$1:$BZ$1001,982,H$2)&amp;""),""))</f>
        <v/>
      </c>
      <c r="I983">
        <f>IF(I$2=0,"",IFERROR(TRIM(INDEX('Pegar estudiantes'!$A$1:$BZ$1001,982,I$2)&amp;""),""))</f>
        <v/>
      </c>
      <c r="J983">
        <f>IF(J$2=0,"",IFERROR(TRIM(INDEX('Pegar estudiantes'!$A$1:$BZ$1001,982,J$2)&amp;""),""))</f>
        <v/>
      </c>
      <c r="K983">
        <f>IF(K$2=0,"",IFERROR(TRIM(INDEX('Pegar estudiantes'!$A$1:$BZ$1001,982,K$2)&amp;""),""))</f>
        <v/>
      </c>
      <c r="L983" s="25">
        <f>IF(A983&lt;&gt;"",1,"")</f>
        <v/>
      </c>
      <c r="M983" s="25">
        <f>IF(L983=1,IF(ISNUMBER(FIND("#"&amp;MID(A983,1,1)&amp;"#","#0#1#2#3#4#5#6#7#8#9#")),IF(ISNUMBER(FIND("#"&amp;MID(A983,2,1)&amp;"#","#0#1#2#3#4#5#6#7#8#9#")),IF(AND(VALUE(LEFT(A983,2))&gt;=1,VALUE(LEFT(A983,2))&lt;=5),VALUE(LEFT(A983,2)),""),IF(AND(VALUE(LEFT(A983,1))&gt;=1,VALUE(LEFT(A983,1))&lt;=5),VALUE(LEFT(A983,1)),"")),""),"")</f>
        <v/>
      </c>
      <c r="N983" s="25">
        <f>IF(L983=1,IF(ISNUMBER(FIND("#"&amp;MID(H983,1,1)&amp;"#","#0#1#2#3#4#5#6#7#8#9#")),IF(ISNUMBER(FIND("#"&amp;MID(H983,2,1)&amp;"#","#0#1#2#3#4#5#6#7#8#9#")),IF(AND(VALUE(LEFT(H983,2))&gt;=1,VALUE(LEFT(H983,2))&lt;=5),VALUE(LEFT(H983,2)),""),IF(AND(VALUE(LEFT(H983,1))&gt;=1,VALUE(LEFT(H983,1))&lt;=5),VALUE(LEFT(H983,1)),"")),""),"")</f>
        <v/>
      </c>
      <c r="O983" s="25">
        <f>IF(AND(L983=1,B983&lt;&gt;""),SUBSTITUTE(SUBSTITUTE(SUBSTITUTE(SUBSTITUTE(SUBSTITUTE(SUBSTITUTE(SUBSTITUTE(SUBSTITUTE(SUBSTITUTE(SUBSTITUTE(SUBSTITUTE(SUBSTITUTE(LOWER(TRIM(B983)),"á","a"),"é","e"),"í","i"),"ó","o"),"ú","u"),"ü","u"),"ñ","n"),"à","a"),"è","e"),"ì","i"),"ò","o"),"ù","u"),"")</f>
        <v/>
      </c>
      <c r="P983" s="25">
        <f>IF(AND(L983=1,C983&lt;&gt;""),SUBSTITUTE(SUBSTITUTE(SUBSTITUTE(SUBSTITUTE(SUBSTITUTE(SUBSTITUTE(SUBSTITUTE(SUBSTITUTE(SUBSTITUTE(SUBSTITUTE(SUBSTITUTE(SUBSTITUTE(LOWER(TRIM(C983)),"á","a"),"é","e"),"í","i"),"ó","o"),"ú","u"),"ü","u"),"ñ","n"),"à","a"),"è","e"),"ì","i"),"ò","o"),"ù","u"),"")</f>
        <v/>
      </c>
      <c r="Q983" s="25">
        <f>IF(AND(L983=1,E983&lt;&gt;""),SUBSTITUTE(SUBSTITUTE(SUBSTITUTE(SUBSTITUTE(SUBSTITUTE(SUBSTITUTE(SUBSTITUTE(SUBSTITUTE(SUBSTITUTE(SUBSTITUTE(SUBSTITUTE(SUBSTITUTE(LOWER(TRIM(E983)),"á","a"),"é","e"),"í","i"),"ó","o"),"ú","u"),"ü","u"),"ñ","n"),"à","a"),"è","e"),"ì","i"),"ò","o"),"ù","u"),"")</f>
        <v/>
      </c>
      <c r="R983" s="25">
        <f>IF(AND(L983=1,I983&lt;&gt;""),SUBSTITUTE(SUBSTITUTE(SUBSTITUTE(SUBSTITUTE(SUBSTITUTE(SUBSTITUTE(SUBSTITUTE(SUBSTITUTE(SUBSTITUTE(SUBSTITUTE(SUBSTITUTE(SUBSTITUTE(LOWER(TRIM(I983)),"á","a"),"é","e"),"í","i"),"ó","o"),"ú","u"),"ü","u"),"ñ","n"),"à","a"),"è","e"),"ì","i"),"ò","o"),"ù","u"),"")</f>
        <v/>
      </c>
      <c r="S983" s="25">
        <f>IF(R983="","",IF(OR(R983="si",R983="tal vez"),1,0))</f>
        <v/>
      </c>
      <c r="T983" s="25">
        <f>IF(AND(L983=1,D983&lt;&gt;""),IF(IFERROR(COUNTIFS(D$3:D983,"="&amp;SUBSTITUTE(SUBSTITUTE(SUBSTITUTE(D983,"~","~~"),"*","~*"),"?","~?"),L$3:L983,1),0)=1,MAX(T$2:T982)+1,""),"")</f>
        <v/>
      </c>
      <c r="U983" s="25">
        <f>IF(T983="","",COUNTIFS($D$3:$D$1002,"="&amp;SUBSTITUTE(SUBSTITUTE(SUBSTITUTE(D983,"~","~~"),"*","~*"),"?","~?"),$L$3:$L$1002,1)*10000-T983)</f>
        <v/>
      </c>
      <c r="V983" s="25">
        <f>IF(AND(L983=1,J983&lt;&gt;""),IF(IFERROR(COUNTIFS(J$3:J983,"="&amp;SUBSTITUTE(SUBSTITUTE(SUBSTITUTE(J983,"~","~~"),"*","~*"),"?","~?"),L$3:L983,1),0)=1,MAX(V$2:V982)+1,""),"")</f>
        <v/>
      </c>
      <c r="W983" s="25">
        <f>IF(V983="","",COUNTIFS($J$3:$J$1002,"="&amp;SUBSTITUTE(SUBSTITUTE(SUBSTITUTE(J983,"~","~~"),"*","~*"),"?","~?"),$L$3:$L$1002,1)*10000-V983)</f>
        <v/>
      </c>
    </row>
    <row r="984">
      <c r="A984">
        <f>IF(A$2=0,"",IFERROR(TRIM(INDEX('Pegar estudiantes'!$A$1:$BZ$1001,983,A$2)&amp;""),""))</f>
        <v/>
      </c>
      <c r="B984">
        <f>IF(B$2=0,"",IFERROR(TRIM(INDEX('Pegar estudiantes'!$A$1:$BZ$1001,983,B$2)&amp;""),""))</f>
        <v/>
      </c>
      <c r="C984">
        <f>IF(C$2=0,"",IFERROR(TRIM(INDEX('Pegar estudiantes'!$A$1:$BZ$1001,983,C$2)&amp;""),""))</f>
        <v/>
      </c>
      <c r="D984">
        <f>IF(D$2=0,"",IFERROR(TRIM(INDEX('Pegar estudiantes'!$A$1:$BZ$1001,983,D$2)&amp;""),""))</f>
        <v/>
      </c>
      <c r="E984">
        <f>IF(E$2=0,"",IFERROR(TRIM(INDEX('Pegar estudiantes'!$A$1:$BZ$1001,983,E$2)&amp;""),""))</f>
        <v/>
      </c>
      <c r="F984">
        <f>IF(F$2=0,"",IFERROR(TRIM(INDEX('Pegar estudiantes'!$A$1:$BZ$1001,983,F$2)&amp;""),""))</f>
        <v/>
      </c>
      <c r="G984">
        <f>IF(G$2=0,"",IFERROR(TRIM(INDEX('Pegar estudiantes'!$A$1:$BZ$1001,983,G$2)&amp;""),""))</f>
        <v/>
      </c>
      <c r="H984">
        <f>IF(H$2=0,"",IFERROR(TRIM(INDEX('Pegar estudiantes'!$A$1:$BZ$1001,983,H$2)&amp;""),""))</f>
        <v/>
      </c>
      <c r="I984">
        <f>IF(I$2=0,"",IFERROR(TRIM(INDEX('Pegar estudiantes'!$A$1:$BZ$1001,983,I$2)&amp;""),""))</f>
        <v/>
      </c>
      <c r="J984">
        <f>IF(J$2=0,"",IFERROR(TRIM(INDEX('Pegar estudiantes'!$A$1:$BZ$1001,983,J$2)&amp;""),""))</f>
        <v/>
      </c>
      <c r="K984">
        <f>IF(K$2=0,"",IFERROR(TRIM(INDEX('Pegar estudiantes'!$A$1:$BZ$1001,983,K$2)&amp;""),""))</f>
        <v/>
      </c>
      <c r="L984" s="25">
        <f>IF(A984&lt;&gt;"",1,"")</f>
        <v/>
      </c>
      <c r="M984" s="25">
        <f>IF(L984=1,IF(ISNUMBER(FIND("#"&amp;MID(A984,1,1)&amp;"#","#0#1#2#3#4#5#6#7#8#9#")),IF(ISNUMBER(FIND("#"&amp;MID(A984,2,1)&amp;"#","#0#1#2#3#4#5#6#7#8#9#")),IF(AND(VALUE(LEFT(A984,2))&gt;=1,VALUE(LEFT(A984,2))&lt;=5),VALUE(LEFT(A984,2)),""),IF(AND(VALUE(LEFT(A984,1))&gt;=1,VALUE(LEFT(A984,1))&lt;=5),VALUE(LEFT(A984,1)),"")),""),"")</f>
        <v/>
      </c>
      <c r="N984" s="25">
        <f>IF(L984=1,IF(ISNUMBER(FIND("#"&amp;MID(H984,1,1)&amp;"#","#0#1#2#3#4#5#6#7#8#9#")),IF(ISNUMBER(FIND("#"&amp;MID(H984,2,1)&amp;"#","#0#1#2#3#4#5#6#7#8#9#")),IF(AND(VALUE(LEFT(H984,2))&gt;=1,VALUE(LEFT(H984,2))&lt;=5),VALUE(LEFT(H984,2)),""),IF(AND(VALUE(LEFT(H984,1))&gt;=1,VALUE(LEFT(H984,1))&lt;=5),VALUE(LEFT(H984,1)),"")),""),"")</f>
        <v/>
      </c>
      <c r="O984" s="25">
        <f>IF(AND(L984=1,B984&lt;&gt;""),SUBSTITUTE(SUBSTITUTE(SUBSTITUTE(SUBSTITUTE(SUBSTITUTE(SUBSTITUTE(SUBSTITUTE(SUBSTITUTE(SUBSTITUTE(SUBSTITUTE(SUBSTITUTE(SUBSTITUTE(LOWER(TRIM(B984)),"á","a"),"é","e"),"í","i"),"ó","o"),"ú","u"),"ü","u"),"ñ","n"),"à","a"),"è","e"),"ì","i"),"ò","o"),"ù","u"),"")</f>
        <v/>
      </c>
      <c r="P984" s="25">
        <f>IF(AND(L984=1,C984&lt;&gt;""),SUBSTITUTE(SUBSTITUTE(SUBSTITUTE(SUBSTITUTE(SUBSTITUTE(SUBSTITUTE(SUBSTITUTE(SUBSTITUTE(SUBSTITUTE(SUBSTITUTE(SUBSTITUTE(SUBSTITUTE(LOWER(TRIM(C984)),"á","a"),"é","e"),"í","i"),"ó","o"),"ú","u"),"ü","u"),"ñ","n"),"à","a"),"è","e"),"ì","i"),"ò","o"),"ù","u"),"")</f>
        <v/>
      </c>
      <c r="Q984" s="25">
        <f>IF(AND(L984=1,E984&lt;&gt;""),SUBSTITUTE(SUBSTITUTE(SUBSTITUTE(SUBSTITUTE(SUBSTITUTE(SUBSTITUTE(SUBSTITUTE(SUBSTITUTE(SUBSTITUTE(SUBSTITUTE(SUBSTITUTE(SUBSTITUTE(LOWER(TRIM(E984)),"á","a"),"é","e"),"í","i"),"ó","o"),"ú","u"),"ü","u"),"ñ","n"),"à","a"),"è","e"),"ì","i"),"ò","o"),"ù","u"),"")</f>
        <v/>
      </c>
      <c r="R984" s="25">
        <f>IF(AND(L984=1,I984&lt;&gt;""),SUBSTITUTE(SUBSTITUTE(SUBSTITUTE(SUBSTITUTE(SUBSTITUTE(SUBSTITUTE(SUBSTITUTE(SUBSTITUTE(SUBSTITUTE(SUBSTITUTE(SUBSTITUTE(SUBSTITUTE(LOWER(TRIM(I984)),"á","a"),"é","e"),"í","i"),"ó","o"),"ú","u"),"ü","u"),"ñ","n"),"à","a"),"è","e"),"ì","i"),"ò","o"),"ù","u"),"")</f>
        <v/>
      </c>
      <c r="S984" s="25">
        <f>IF(R984="","",IF(OR(R984="si",R984="tal vez"),1,0))</f>
        <v/>
      </c>
      <c r="T984" s="25">
        <f>IF(AND(L984=1,D984&lt;&gt;""),IF(IFERROR(COUNTIFS(D$3:D984,"="&amp;SUBSTITUTE(SUBSTITUTE(SUBSTITUTE(D984,"~","~~"),"*","~*"),"?","~?"),L$3:L984,1),0)=1,MAX(T$2:T983)+1,""),"")</f>
        <v/>
      </c>
      <c r="U984" s="25">
        <f>IF(T984="","",COUNTIFS($D$3:$D$1002,"="&amp;SUBSTITUTE(SUBSTITUTE(SUBSTITUTE(D984,"~","~~"),"*","~*"),"?","~?"),$L$3:$L$1002,1)*10000-T984)</f>
        <v/>
      </c>
      <c r="V984" s="25">
        <f>IF(AND(L984=1,J984&lt;&gt;""),IF(IFERROR(COUNTIFS(J$3:J984,"="&amp;SUBSTITUTE(SUBSTITUTE(SUBSTITUTE(J984,"~","~~"),"*","~*"),"?","~?"),L$3:L984,1),0)=1,MAX(V$2:V983)+1,""),"")</f>
        <v/>
      </c>
      <c r="W984" s="25">
        <f>IF(V984="","",COUNTIFS($J$3:$J$1002,"="&amp;SUBSTITUTE(SUBSTITUTE(SUBSTITUTE(J984,"~","~~"),"*","~*"),"?","~?"),$L$3:$L$1002,1)*10000-V984)</f>
        <v/>
      </c>
    </row>
    <row r="985">
      <c r="A985">
        <f>IF(A$2=0,"",IFERROR(TRIM(INDEX('Pegar estudiantes'!$A$1:$BZ$1001,984,A$2)&amp;""),""))</f>
        <v/>
      </c>
      <c r="B985">
        <f>IF(B$2=0,"",IFERROR(TRIM(INDEX('Pegar estudiantes'!$A$1:$BZ$1001,984,B$2)&amp;""),""))</f>
        <v/>
      </c>
      <c r="C985">
        <f>IF(C$2=0,"",IFERROR(TRIM(INDEX('Pegar estudiantes'!$A$1:$BZ$1001,984,C$2)&amp;""),""))</f>
        <v/>
      </c>
      <c r="D985">
        <f>IF(D$2=0,"",IFERROR(TRIM(INDEX('Pegar estudiantes'!$A$1:$BZ$1001,984,D$2)&amp;""),""))</f>
        <v/>
      </c>
      <c r="E985">
        <f>IF(E$2=0,"",IFERROR(TRIM(INDEX('Pegar estudiantes'!$A$1:$BZ$1001,984,E$2)&amp;""),""))</f>
        <v/>
      </c>
      <c r="F985">
        <f>IF(F$2=0,"",IFERROR(TRIM(INDEX('Pegar estudiantes'!$A$1:$BZ$1001,984,F$2)&amp;""),""))</f>
        <v/>
      </c>
      <c r="G985">
        <f>IF(G$2=0,"",IFERROR(TRIM(INDEX('Pegar estudiantes'!$A$1:$BZ$1001,984,G$2)&amp;""),""))</f>
        <v/>
      </c>
      <c r="H985">
        <f>IF(H$2=0,"",IFERROR(TRIM(INDEX('Pegar estudiantes'!$A$1:$BZ$1001,984,H$2)&amp;""),""))</f>
        <v/>
      </c>
      <c r="I985">
        <f>IF(I$2=0,"",IFERROR(TRIM(INDEX('Pegar estudiantes'!$A$1:$BZ$1001,984,I$2)&amp;""),""))</f>
        <v/>
      </c>
      <c r="J985">
        <f>IF(J$2=0,"",IFERROR(TRIM(INDEX('Pegar estudiantes'!$A$1:$BZ$1001,984,J$2)&amp;""),""))</f>
        <v/>
      </c>
      <c r="K985">
        <f>IF(K$2=0,"",IFERROR(TRIM(INDEX('Pegar estudiantes'!$A$1:$BZ$1001,984,K$2)&amp;""),""))</f>
        <v/>
      </c>
      <c r="L985" s="25">
        <f>IF(A985&lt;&gt;"",1,"")</f>
        <v/>
      </c>
      <c r="M985" s="25">
        <f>IF(L985=1,IF(ISNUMBER(FIND("#"&amp;MID(A985,1,1)&amp;"#","#0#1#2#3#4#5#6#7#8#9#")),IF(ISNUMBER(FIND("#"&amp;MID(A985,2,1)&amp;"#","#0#1#2#3#4#5#6#7#8#9#")),IF(AND(VALUE(LEFT(A985,2))&gt;=1,VALUE(LEFT(A985,2))&lt;=5),VALUE(LEFT(A985,2)),""),IF(AND(VALUE(LEFT(A985,1))&gt;=1,VALUE(LEFT(A985,1))&lt;=5),VALUE(LEFT(A985,1)),"")),""),"")</f>
        <v/>
      </c>
      <c r="N985" s="25">
        <f>IF(L985=1,IF(ISNUMBER(FIND("#"&amp;MID(H985,1,1)&amp;"#","#0#1#2#3#4#5#6#7#8#9#")),IF(ISNUMBER(FIND("#"&amp;MID(H985,2,1)&amp;"#","#0#1#2#3#4#5#6#7#8#9#")),IF(AND(VALUE(LEFT(H985,2))&gt;=1,VALUE(LEFT(H985,2))&lt;=5),VALUE(LEFT(H985,2)),""),IF(AND(VALUE(LEFT(H985,1))&gt;=1,VALUE(LEFT(H985,1))&lt;=5),VALUE(LEFT(H985,1)),"")),""),"")</f>
        <v/>
      </c>
      <c r="O985" s="25">
        <f>IF(AND(L985=1,B985&lt;&gt;""),SUBSTITUTE(SUBSTITUTE(SUBSTITUTE(SUBSTITUTE(SUBSTITUTE(SUBSTITUTE(SUBSTITUTE(SUBSTITUTE(SUBSTITUTE(SUBSTITUTE(SUBSTITUTE(SUBSTITUTE(LOWER(TRIM(B985)),"á","a"),"é","e"),"í","i"),"ó","o"),"ú","u"),"ü","u"),"ñ","n"),"à","a"),"è","e"),"ì","i"),"ò","o"),"ù","u"),"")</f>
        <v/>
      </c>
      <c r="P985" s="25">
        <f>IF(AND(L985=1,C985&lt;&gt;""),SUBSTITUTE(SUBSTITUTE(SUBSTITUTE(SUBSTITUTE(SUBSTITUTE(SUBSTITUTE(SUBSTITUTE(SUBSTITUTE(SUBSTITUTE(SUBSTITUTE(SUBSTITUTE(SUBSTITUTE(LOWER(TRIM(C985)),"á","a"),"é","e"),"í","i"),"ó","o"),"ú","u"),"ü","u"),"ñ","n"),"à","a"),"è","e"),"ì","i"),"ò","o"),"ù","u"),"")</f>
        <v/>
      </c>
      <c r="Q985" s="25">
        <f>IF(AND(L985=1,E985&lt;&gt;""),SUBSTITUTE(SUBSTITUTE(SUBSTITUTE(SUBSTITUTE(SUBSTITUTE(SUBSTITUTE(SUBSTITUTE(SUBSTITUTE(SUBSTITUTE(SUBSTITUTE(SUBSTITUTE(SUBSTITUTE(LOWER(TRIM(E985)),"á","a"),"é","e"),"í","i"),"ó","o"),"ú","u"),"ü","u"),"ñ","n"),"à","a"),"è","e"),"ì","i"),"ò","o"),"ù","u"),"")</f>
        <v/>
      </c>
      <c r="R985" s="25">
        <f>IF(AND(L985=1,I985&lt;&gt;""),SUBSTITUTE(SUBSTITUTE(SUBSTITUTE(SUBSTITUTE(SUBSTITUTE(SUBSTITUTE(SUBSTITUTE(SUBSTITUTE(SUBSTITUTE(SUBSTITUTE(SUBSTITUTE(SUBSTITUTE(LOWER(TRIM(I985)),"á","a"),"é","e"),"í","i"),"ó","o"),"ú","u"),"ü","u"),"ñ","n"),"à","a"),"è","e"),"ì","i"),"ò","o"),"ù","u"),"")</f>
        <v/>
      </c>
      <c r="S985" s="25">
        <f>IF(R985="","",IF(OR(R985="si",R985="tal vez"),1,0))</f>
        <v/>
      </c>
      <c r="T985" s="25">
        <f>IF(AND(L985=1,D985&lt;&gt;""),IF(IFERROR(COUNTIFS(D$3:D985,"="&amp;SUBSTITUTE(SUBSTITUTE(SUBSTITUTE(D985,"~","~~"),"*","~*"),"?","~?"),L$3:L985,1),0)=1,MAX(T$2:T984)+1,""),"")</f>
        <v/>
      </c>
      <c r="U985" s="25">
        <f>IF(T985="","",COUNTIFS($D$3:$D$1002,"="&amp;SUBSTITUTE(SUBSTITUTE(SUBSTITUTE(D985,"~","~~"),"*","~*"),"?","~?"),$L$3:$L$1002,1)*10000-T985)</f>
        <v/>
      </c>
      <c r="V985" s="25">
        <f>IF(AND(L985=1,J985&lt;&gt;""),IF(IFERROR(COUNTIFS(J$3:J985,"="&amp;SUBSTITUTE(SUBSTITUTE(SUBSTITUTE(J985,"~","~~"),"*","~*"),"?","~?"),L$3:L985,1),0)=1,MAX(V$2:V984)+1,""),"")</f>
        <v/>
      </c>
      <c r="W985" s="25">
        <f>IF(V985="","",COUNTIFS($J$3:$J$1002,"="&amp;SUBSTITUTE(SUBSTITUTE(SUBSTITUTE(J985,"~","~~"),"*","~*"),"?","~?"),$L$3:$L$1002,1)*10000-V985)</f>
        <v/>
      </c>
    </row>
    <row r="986">
      <c r="A986">
        <f>IF(A$2=0,"",IFERROR(TRIM(INDEX('Pegar estudiantes'!$A$1:$BZ$1001,985,A$2)&amp;""),""))</f>
        <v/>
      </c>
      <c r="B986">
        <f>IF(B$2=0,"",IFERROR(TRIM(INDEX('Pegar estudiantes'!$A$1:$BZ$1001,985,B$2)&amp;""),""))</f>
        <v/>
      </c>
      <c r="C986">
        <f>IF(C$2=0,"",IFERROR(TRIM(INDEX('Pegar estudiantes'!$A$1:$BZ$1001,985,C$2)&amp;""),""))</f>
        <v/>
      </c>
      <c r="D986">
        <f>IF(D$2=0,"",IFERROR(TRIM(INDEX('Pegar estudiantes'!$A$1:$BZ$1001,985,D$2)&amp;""),""))</f>
        <v/>
      </c>
      <c r="E986">
        <f>IF(E$2=0,"",IFERROR(TRIM(INDEX('Pegar estudiantes'!$A$1:$BZ$1001,985,E$2)&amp;""),""))</f>
        <v/>
      </c>
      <c r="F986">
        <f>IF(F$2=0,"",IFERROR(TRIM(INDEX('Pegar estudiantes'!$A$1:$BZ$1001,985,F$2)&amp;""),""))</f>
        <v/>
      </c>
      <c r="G986">
        <f>IF(G$2=0,"",IFERROR(TRIM(INDEX('Pegar estudiantes'!$A$1:$BZ$1001,985,G$2)&amp;""),""))</f>
        <v/>
      </c>
      <c r="H986">
        <f>IF(H$2=0,"",IFERROR(TRIM(INDEX('Pegar estudiantes'!$A$1:$BZ$1001,985,H$2)&amp;""),""))</f>
        <v/>
      </c>
      <c r="I986">
        <f>IF(I$2=0,"",IFERROR(TRIM(INDEX('Pegar estudiantes'!$A$1:$BZ$1001,985,I$2)&amp;""),""))</f>
        <v/>
      </c>
      <c r="J986">
        <f>IF(J$2=0,"",IFERROR(TRIM(INDEX('Pegar estudiantes'!$A$1:$BZ$1001,985,J$2)&amp;""),""))</f>
        <v/>
      </c>
      <c r="K986">
        <f>IF(K$2=0,"",IFERROR(TRIM(INDEX('Pegar estudiantes'!$A$1:$BZ$1001,985,K$2)&amp;""),""))</f>
        <v/>
      </c>
      <c r="L986" s="25">
        <f>IF(A986&lt;&gt;"",1,"")</f>
        <v/>
      </c>
      <c r="M986" s="25">
        <f>IF(L986=1,IF(ISNUMBER(FIND("#"&amp;MID(A986,1,1)&amp;"#","#0#1#2#3#4#5#6#7#8#9#")),IF(ISNUMBER(FIND("#"&amp;MID(A986,2,1)&amp;"#","#0#1#2#3#4#5#6#7#8#9#")),IF(AND(VALUE(LEFT(A986,2))&gt;=1,VALUE(LEFT(A986,2))&lt;=5),VALUE(LEFT(A986,2)),""),IF(AND(VALUE(LEFT(A986,1))&gt;=1,VALUE(LEFT(A986,1))&lt;=5),VALUE(LEFT(A986,1)),"")),""),"")</f>
        <v/>
      </c>
      <c r="N986" s="25">
        <f>IF(L986=1,IF(ISNUMBER(FIND("#"&amp;MID(H986,1,1)&amp;"#","#0#1#2#3#4#5#6#7#8#9#")),IF(ISNUMBER(FIND("#"&amp;MID(H986,2,1)&amp;"#","#0#1#2#3#4#5#6#7#8#9#")),IF(AND(VALUE(LEFT(H986,2))&gt;=1,VALUE(LEFT(H986,2))&lt;=5),VALUE(LEFT(H986,2)),""),IF(AND(VALUE(LEFT(H986,1))&gt;=1,VALUE(LEFT(H986,1))&lt;=5),VALUE(LEFT(H986,1)),"")),""),"")</f>
        <v/>
      </c>
      <c r="O986" s="25">
        <f>IF(AND(L986=1,B986&lt;&gt;""),SUBSTITUTE(SUBSTITUTE(SUBSTITUTE(SUBSTITUTE(SUBSTITUTE(SUBSTITUTE(SUBSTITUTE(SUBSTITUTE(SUBSTITUTE(SUBSTITUTE(SUBSTITUTE(SUBSTITUTE(LOWER(TRIM(B986)),"á","a"),"é","e"),"í","i"),"ó","o"),"ú","u"),"ü","u"),"ñ","n"),"à","a"),"è","e"),"ì","i"),"ò","o"),"ù","u"),"")</f>
        <v/>
      </c>
      <c r="P986" s="25">
        <f>IF(AND(L986=1,C986&lt;&gt;""),SUBSTITUTE(SUBSTITUTE(SUBSTITUTE(SUBSTITUTE(SUBSTITUTE(SUBSTITUTE(SUBSTITUTE(SUBSTITUTE(SUBSTITUTE(SUBSTITUTE(SUBSTITUTE(SUBSTITUTE(LOWER(TRIM(C986)),"á","a"),"é","e"),"í","i"),"ó","o"),"ú","u"),"ü","u"),"ñ","n"),"à","a"),"è","e"),"ì","i"),"ò","o"),"ù","u"),"")</f>
        <v/>
      </c>
      <c r="Q986" s="25">
        <f>IF(AND(L986=1,E986&lt;&gt;""),SUBSTITUTE(SUBSTITUTE(SUBSTITUTE(SUBSTITUTE(SUBSTITUTE(SUBSTITUTE(SUBSTITUTE(SUBSTITUTE(SUBSTITUTE(SUBSTITUTE(SUBSTITUTE(SUBSTITUTE(LOWER(TRIM(E986)),"á","a"),"é","e"),"í","i"),"ó","o"),"ú","u"),"ü","u"),"ñ","n"),"à","a"),"è","e"),"ì","i"),"ò","o"),"ù","u"),"")</f>
        <v/>
      </c>
      <c r="R986" s="25">
        <f>IF(AND(L986=1,I986&lt;&gt;""),SUBSTITUTE(SUBSTITUTE(SUBSTITUTE(SUBSTITUTE(SUBSTITUTE(SUBSTITUTE(SUBSTITUTE(SUBSTITUTE(SUBSTITUTE(SUBSTITUTE(SUBSTITUTE(SUBSTITUTE(LOWER(TRIM(I986)),"á","a"),"é","e"),"í","i"),"ó","o"),"ú","u"),"ü","u"),"ñ","n"),"à","a"),"è","e"),"ì","i"),"ò","o"),"ù","u"),"")</f>
        <v/>
      </c>
      <c r="S986" s="25">
        <f>IF(R986="","",IF(OR(R986="si",R986="tal vez"),1,0))</f>
        <v/>
      </c>
      <c r="T986" s="25">
        <f>IF(AND(L986=1,D986&lt;&gt;""),IF(IFERROR(COUNTIFS(D$3:D986,"="&amp;SUBSTITUTE(SUBSTITUTE(SUBSTITUTE(D986,"~","~~"),"*","~*"),"?","~?"),L$3:L986,1),0)=1,MAX(T$2:T985)+1,""),"")</f>
        <v/>
      </c>
      <c r="U986" s="25">
        <f>IF(T986="","",COUNTIFS($D$3:$D$1002,"="&amp;SUBSTITUTE(SUBSTITUTE(SUBSTITUTE(D986,"~","~~"),"*","~*"),"?","~?"),$L$3:$L$1002,1)*10000-T986)</f>
        <v/>
      </c>
      <c r="V986" s="25">
        <f>IF(AND(L986=1,J986&lt;&gt;""),IF(IFERROR(COUNTIFS(J$3:J986,"="&amp;SUBSTITUTE(SUBSTITUTE(SUBSTITUTE(J986,"~","~~"),"*","~*"),"?","~?"),L$3:L986,1),0)=1,MAX(V$2:V985)+1,""),"")</f>
        <v/>
      </c>
      <c r="W986" s="25">
        <f>IF(V986="","",COUNTIFS($J$3:$J$1002,"="&amp;SUBSTITUTE(SUBSTITUTE(SUBSTITUTE(J986,"~","~~"),"*","~*"),"?","~?"),$L$3:$L$1002,1)*10000-V986)</f>
        <v/>
      </c>
    </row>
    <row r="987">
      <c r="A987">
        <f>IF(A$2=0,"",IFERROR(TRIM(INDEX('Pegar estudiantes'!$A$1:$BZ$1001,986,A$2)&amp;""),""))</f>
        <v/>
      </c>
      <c r="B987">
        <f>IF(B$2=0,"",IFERROR(TRIM(INDEX('Pegar estudiantes'!$A$1:$BZ$1001,986,B$2)&amp;""),""))</f>
        <v/>
      </c>
      <c r="C987">
        <f>IF(C$2=0,"",IFERROR(TRIM(INDEX('Pegar estudiantes'!$A$1:$BZ$1001,986,C$2)&amp;""),""))</f>
        <v/>
      </c>
      <c r="D987">
        <f>IF(D$2=0,"",IFERROR(TRIM(INDEX('Pegar estudiantes'!$A$1:$BZ$1001,986,D$2)&amp;""),""))</f>
        <v/>
      </c>
      <c r="E987">
        <f>IF(E$2=0,"",IFERROR(TRIM(INDEX('Pegar estudiantes'!$A$1:$BZ$1001,986,E$2)&amp;""),""))</f>
        <v/>
      </c>
      <c r="F987">
        <f>IF(F$2=0,"",IFERROR(TRIM(INDEX('Pegar estudiantes'!$A$1:$BZ$1001,986,F$2)&amp;""),""))</f>
        <v/>
      </c>
      <c r="G987">
        <f>IF(G$2=0,"",IFERROR(TRIM(INDEX('Pegar estudiantes'!$A$1:$BZ$1001,986,G$2)&amp;""),""))</f>
        <v/>
      </c>
      <c r="H987">
        <f>IF(H$2=0,"",IFERROR(TRIM(INDEX('Pegar estudiantes'!$A$1:$BZ$1001,986,H$2)&amp;""),""))</f>
        <v/>
      </c>
      <c r="I987">
        <f>IF(I$2=0,"",IFERROR(TRIM(INDEX('Pegar estudiantes'!$A$1:$BZ$1001,986,I$2)&amp;""),""))</f>
        <v/>
      </c>
      <c r="J987">
        <f>IF(J$2=0,"",IFERROR(TRIM(INDEX('Pegar estudiantes'!$A$1:$BZ$1001,986,J$2)&amp;""),""))</f>
        <v/>
      </c>
      <c r="K987">
        <f>IF(K$2=0,"",IFERROR(TRIM(INDEX('Pegar estudiantes'!$A$1:$BZ$1001,986,K$2)&amp;""),""))</f>
        <v/>
      </c>
      <c r="L987" s="25">
        <f>IF(A987&lt;&gt;"",1,"")</f>
        <v/>
      </c>
      <c r="M987" s="25">
        <f>IF(L987=1,IF(ISNUMBER(FIND("#"&amp;MID(A987,1,1)&amp;"#","#0#1#2#3#4#5#6#7#8#9#")),IF(ISNUMBER(FIND("#"&amp;MID(A987,2,1)&amp;"#","#0#1#2#3#4#5#6#7#8#9#")),IF(AND(VALUE(LEFT(A987,2))&gt;=1,VALUE(LEFT(A987,2))&lt;=5),VALUE(LEFT(A987,2)),""),IF(AND(VALUE(LEFT(A987,1))&gt;=1,VALUE(LEFT(A987,1))&lt;=5),VALUE(LEFT(A987,1)),"")),""),"")</f>
        <v/>
      </c>
      <c r="N987" s="25">
        <f>IF(L987=1,IF(ISNUMBER(FIND("#"&amp;MID(H987,1,1)&amp;"#","#0#1#2#3#4#5#6#7#8#9#")),IF(ISNUMBER(FIND("#"&amp;MID(H987,2,1)&amp;"#","#0#1#2#3#4#5#6#7#8#9#")),IF(AND(VALUE(LEFT(H987,2))&gt;=1,VALUE(LEFT(H987,2))&lt;=5),VALUE(LEFT(H987,2)),""),IF(AND(VALUE(LEFT(H987,1))&gt;=1,VALUE(LEFT(H987,1))&lt;=5),VALUE(LEFT(H987,1)),"")),""),"")</f>
        <v/>
      </c>
      <c r="O987" s="25">
        <f>IF(AND(L987=1,B987&lt;&gt;""),SUBSTITUTE(SUBSTITUTE(SUBSTITUTE(SUBSTITUTE(SUBSTITUTE(SUBSTITUTE(SUBSTITUTE(SUBSTITUTE(SUBSTITUTE(SUBSTITUTE(SUBSTITUTE(SUBSTITUTE(LOWER(TRIM(B987)),"á","a"),"é","e"),"í","i"),"ó","o"),"ú","u"),"ü","u"),"ñ","n"),"à","a"),"è","e"),"ì","i"),"ò","o"),"ù","u"),"")</f>
        <v/>
      </c>
      <c r="P987" s="25">
        <f>IF(AND(L987=1,C987&lt;&gt;""),SUBSTITUTE(SUBSTITUTE(SUBSTITUTE(SUBSTITUTE(SUBSTITUTE(SUBSTITUTE(SUBSTITUTE(SUBSTITUTE(SUBSTITUTE(SUBSTITUTE(SUBSTITUTE(SUBSTITUTE(LOWER(TRIM(C987)),"á","a"),"é","e"),"í","i"),"ó","o"),"ú","u"),"ü","u"),"ñ","n"),"à","a"),"è","e"),"ì","i"),"ò","o"),"ù","u"),"")</f>
        <v/>
      </c>
      <c r="Q987" s="25">
        <f>IF(AND(L987=1,E987&lt;&gt;""),SUBSTITUTE(SUBSTITUTE(SUBSTITUTE(SUBSTITUTE(SUBSTITUTE(SUBSTITUTE(SUBSTITUTE(SUBSTITUTE(SUBSTITUTE(SUBSTITUTE(SUBSTITUTE(SUBSTITUTE(LOWER(TRIM(E987)),"á","a"),"é","e"),"í","i"),"ó","o"),"ú","u"),"ü","u"),"ñ","n"),"à","a"),"è","e"),"ì","i"),"ò","o"),"ù","u"),"")</f>
        <v/>
      </c>
      <c r="R987" s="25">
        <f>IF(AND(L987=1,I987&lt;&gt;""),SUBSTITUTE(SUBSTITUTE(SUBSTITUTE(SUBSTITUTE(SUBSTITUTE(SUBSTITUTE(SUBSTITUTE(SUBSTITUTE(SUBSTITUTE(SUBSTITUTE(SUBSTITUTE(SUBSTITUTE(LOWER(TRIM(I987)),"á","a"),"é","e"),"í","i"),"ó","o"),"ú","u"),"ü","u"),"ñ","n"),"à","a"),"è","e"),"ì","i"),"ò","o"),"ù","u"),"")</f>
        <v/>
      </c>
      <c r="S987" s="25">
        <f>IF(R987="","",IF(OR(R987="si",R987="tal vez"),1,0))</f>
        <v/>
      </c>
      <c r="T987" s="25">
        <f>IF(AND(L987=1,D987&lt;&gt;""),IF(IFERROR(COUNTIFS(D$3:D987,"="&amp;SUBSTITUTE(SUBSTITUTE(SUBSTITUTE(D987,"~","~~"),"*","~*"),"?","~?"),L$3:L987,1),0)=1,MAX(T$2:T986)+1,""),"")</f>
        <v/>
      </c>
      <c r="U987" s="25">
        <f>IF(T987="","",COUNTIFS($D$3:$D$1002,"="&amp;SUBSTITUTE(SUBSTITUTE(SUBSTITUTE(D987,"~","~~"),"*","~*"),"?","~?"),$L$3:$L$1002,1)*10000-T987)</f>
        <v/>
      </c>
      <c r="V987" s="25">
        <f>IF(AND(L987=1,J987&lt;&gt;""),IF(IFERROR(COUNTIFS(J$3:J987,"="&amp;SUBSTITUTE(SUBSTITUTE(SUBSTITUTE(J987,"~","~~"),"*","~*"),"?","~?"),L$3:L987,1),0)=1,MAX(V$2:V986)+1,""),"")</f>
        <v/>
      </c>
      <c r="W987" s="25">
        <f>IF(V987="","",COUNTIFS($J$3:$J$1002,"="&amp;SUBSTITUTE(SUBSTITUTE(SUBSTITUTE(J987,"~","~~"),"*","~*"),"?","~?"),$L$3:$L$1002,1)*10000-V987)</f>
        <v/>
      </c>
    </row>
    <row r="988">
      <c r="A988">
        <f>IF(A$2=0,"",IFERROR(TRIM(INDEX('Pegar estudiantes'!$A$1:$BZ$1001,987,A$2)&amp;""),""))</f>
        <v/>
      </c>
      <c r="B988">
        <f>IF(B$2=0,"",IFERROR(TRIM(INDEX('Pegar estudiantes'!$A$1:$BZ$1001,987,B$2)&amp;""),""))</f>
        <v/>
      </c>
      <c r="C988">
        <f>IF(C$2=0,"",IFERROR(TRIM(INDEX('Pegar estudiantes'!$A$1:$BZ$1001,987,C$2)&amp;""),""))</f>
        <v/>
      </c>
      <c r="D988">
        <f>IF(D$2=0,"",IFERROR(TRIM(INDEX('Pegar estudiantes'!$A$1:$BZ$1001,987,D$2)&amp;""),""))</f>
        <v/>
      </c>
      <c r="E988">
        <f>IF(E$2=0,"",IFERROR(TRIM(INDEX('Pegar estudiantes'!$A$1:$BZ$1001,987,E$2)&amp;""),""))</f>
        <v/>
      </c>
      <c r="F988">
        <f>IF(F$2=0,"",IFERROR(TRIM(INDEX('Pegar estudiantes'!$A$1:$BZ$1001,987,F$2)&amp;""),""))</f>
        <v/>
      </c>
      <c r="G988">
        <f>IF(G$2=0,"",IFERROR(TRIM(INDEX('Pegar estudiantes'!$A$1:$BZ$1001,987,G$2)&amp;""),""))</f>
        <v/>
      </c>
      <c r="H988">
        <f>IF(H$2=0,"",IFERROR(TRIM(INDEX('Pegar estudiantes'!$A$1:$BZ$1001,987,H$2)&amp;""),""))</f>
        <v/>
      </c>
      <c r="I988">
        <f>IF(I$2=0,"",IFERROR(TRIM(INDEX('Pegar estudiantes'!$A$1:$BZ$1001,987,I$2)&amp;""),""))</f>
        <v/>
      </c>
      <c r="J988">
        <f>IF(J$2=0,"",IFERROR(TRIM(INDEX('Pegar estudiantes'!$A$1:$BZ$1001,987,J$2)&amp;""),""))</f>
        <v/>
      </c>
      <c r="K988">
        <f>IF(K$2=0,"",IFERROR(TRIM(INDEX('Pegar estudiantes'!$A$1:$BZ$1001,987,K$2)&amp;""),""))</f>
        <v/>
      </c>
      <c r="L988" s="25">
        <f>IF(A988&lt;&gt;"",1,"")</f>
        <v/>
      </c>
      <c r="M988" s="25">
        <f>IF(L988=1,IF(ISNUMBER(FIND("#"&amp;MID(A988,1,1)&amp;"#","#0#1#2#3#4#5#6#7#8#9#")),IF(ISNUMBER(FIND("#"&amp;MID(A988,2,1)&amp;"#","#0#1#2#3#4#5#6#7#8#9#")),IF(AND(VALUE(LEFT(A988,2))&gt;=1,VALUE(LEFT(A988,2))&lt;=5),VALUE(LEFT(A988,2)),""),IF(AND(VALUE(LEFT(A988,1))&gt;=1,VALUE(LEFT(A988,1))&lt;=5),VALUE(LEFT(A988,1)),"")),""),"")</f>
        <v/>
      </c>
      <c r="N988" s="25">
        <f>IF(L988=1,IF(ISNUMBER(FIND("#"&amp;MID(H988,1,1)&amp;"#","#0#1#2#3#4#5#6#7#8#9#")),IF(ISNUMBER(FIND("#"&amp;MID(H988,2,1)&amp;"#","#0#1#2#3#4#5#6#7#8#9#")),IF(AND(VALUE(LEFT(H988,2))&gt;=1,VALUE(LEFT(H988,2))&lt;=5),VALUE(LEFT(H988,2)),""),IF(AND(VALUE(LEFT(H988,1))&gt;=1,VALUE(LEFT(H988,1))&lt;=5),VALUE(LEFT(H988,1)),"")),""),"")</f>
        <v/>
      </c>
      <c r="O988" s="25">
        <f>IF(AND(L988=1,B988&lt;&gt;""),SUBSTITUTE(SUBSTITUTE(SUBSTITUTE(SUBSTITUTE(SUBSTITUTE(SUBSTITUTE(SUBSTITUTE(SUBSTITUTE(SUBSTITUTE(SUBSTITUTE(SUBSTITUTE(SUBSTITUTE(LOWER(TRIM(B988)),"á","a"),"é","e"),"í","i"),"ó","o"),"ú","u"),"ü","u"),"ñ","n"),"à","a"),"è","e"),"ì","i"),"ò","o"),"ù","u"),"")</f>
        <v/>
      </c>
      <c r="P988" s="25">
        <f>IF(AND(L988=1,C988&lt;&gt;""),SUBSTITUTE(SUBSTITUTE(SUBSTITUTE(SUBSTITUTE(SUBSTITUTE(SUBSTITUTE(SUBSTITUTE(SUBSTITUTE(SUBSTITUTE(SUBSTITUTE(SUBSTITUTE(SUBSTITUTE(LOWER(TRIM(C988)),"á","a"),"é","e"),"í","i"),"ó","o"),"ú","u"),"ü","u"),"ñ","n"),"à","a"),"è","e"),"ì","i"),"ò","o"),"ù","u"),"")</f>
        <v/>
      </c>
      <c r="Q988" s="25">
        <f>IF(AND(L988=1,E988&lt;&gt;""),SUBSTITUTE(SUBSTITUTE(SUBSTITUTE(SUBSTITUTE(SUBSTITUTE(SUBSTITUTE(SUBSTITUTE(SUBSTITUTE(SUBSTITUTE(SUBSTITUTE(SUBSTITUTE(SUBSTITUTE(LOWER(TRIM(E988)),"á","a"),"é","e"),"í","i"),"ó","o"),"ú","u"),"ü","u"),"ñ","n"),"à","a"),"è","e"),"ì","i"),"ò","o"),"ù","u"),"")</f>
        <v/>
      </c>
      <c r="R988" s="25">
        <f>IF(AND(L988=1,I988&lt;&gt;""),SUBSTITUTE(SUBSTITUTE(SUBSTITUTE(SUBSTITUTE(SUBSTITUTE(SUBSTITUTE(SUBSTITUTE(SUBSTITUTE(SUBSTITUTE(SUBSTITUTE(SUBSTITUTE(SUBSTITUTE(LOWER(TRIM(I988)),"á","a"),"é","e"),"í","i"),"ó","o"),"ú","u"),"ü","u"),"ñ","n"),"à","a"),"è","e"),"ì","i"),"ò","o"),"ù","u"),"")</f>
        <v/>
      </c>
      <c r="S988" s="25">
        <f>IF(R988="","",IF(OR(R988="si",R988="tal vez"),1,0))</f>
        <v/>
      </c>
      <c r="T988" s="25">
        <f>IF(AND(L988=1,D988&lt;&gt;""),IF(IFERROR(COUNTIFS(D$3:D988,"="&amp;SUBSTITUTE(SUBSTITUTE(SUBSTITUTE(D988,"~","~~"),"*","~*"),"?","~?"),L$3:L988,1),0)=1,MAX(T$2:T987)+1,""),"")</f>
        <v/>
      </c>
      <c r="U988" s="25">
        <f>IF(T988="","",COUNTIFS($D$3:$D$1002,"="&amp;SUBSTITUTE(SUBSTITUTE(SUBSTITUTE(D988,"~","~~"),"*","~*"),"?","~?"),$L$3:$L$1002,1)*10000-T988)</f>
        <v/>
      </c>
      <c r="V988" s="25">
        <f>IF(AND(L988=1,J988&lt;&gt;""),IF(IFERROR(COUNTIFS(J$3:J988,"="&amp;SUBSTITUTE(SUBSTITUTE(SUBSTITUTE(J988,"~","~~"),"*","~*"),"?","~?"),L$3:L988,1),0)=1,MAX(V$2:V987)+1,""),"")</f>
        <v/>
      </c>
      <c r="W988" s="25">
        <f>IF(V988="","",COUNTIFS($J$3:$J$1002,"="&amp;SUBSTITUTE(SUBSTITUTE(SUBSTITUTE(J988,"~","~~"),"*","~*"),"?","~?"),$L$3:$L$1002,1)*10000-V988)</f>
        <v/>
      </c>
    </row>
    <row r="989">
      <c r="A989">
        <f>IF(A$2=0,"",IFERROR(TRIM(INDEX('Pegar estudiantes'!$A$1:$BZ$1001,988,A$2)&amp;""),""))</f>
        <v/>
      </c>
      <c r="B989">
        <f>IF(B$2=0,"",IFERROR(TRIM(INDEX('Pegar estudiantes'!$A$1:$BZ$1001,988,B$2)&amp;""),""))</f>
        <v/>
      </c>
      <c r="C989">
        <f>IF(C$2=0,"",IFERROR(TRIM(INDEX('Pegar estudiantes'!$A$1:$BZ$1001,988,C$2)&amp;""),""))</f>
        <v/>
      </c>
      <c r="D989">
        <f>IF(D$2=0,"",IFERROR(TRIM(INDEX('Pegar estudiantes'!$A$1:$BZ$1001,988,D$2)&amp;""),""))</f>
        <v/>
      </c>
      <c r="E989">
        <f>IF(E$2=0,"",IFERROR(TRIM(INDEX('Pegar estudiantes'!$A$1:$BZ$1001,988,E$2)&amp;""),""))</f>
        <v/>
      </c>
      <c r="F989">
        <f>IF(F$2=0,"",IFERROR(TRIM(INDEX('Pegar estudiantes'!$A$1:$BZ$1001,988,F$2)&amp;""),""))</f>
        <v/>
      </c>
      <c r="G989">
        <f>IF(G$2=0,"",IFERROR(TRIM(INDEX('Pegar estudiantes'!$A$1:$BZ$1001,988,G$2)&amp;""),""))</f>
        <v/>
      </c>
      <c r="H989">
        <f>IF(H$2=0,"",IFERROR(TRIM(INDEX('Pegar estudiantes'!$A$1:$BZ$1001,988,H$2)&amp;""),""))</f>
        <v/>
      </c>
      <c r="I989">
        <f>IF(I$2=0,"",IFERROR(TRIM(INDEX('Pegar estudiantes'!$A$1:$BZ$1001,988,I$2)&amp;""),""))</f>
        <v/>
      </c>
      <c r="J989">
        <f>IF(J$2=0,"",IFERROR(TRIM(INDEX('Pegar estudiantes'!$A$1:$BZ$1001,988,J$2)&amp;""),""))</f>
        <v/>
      </c>
      <c r="K989">
        <f>IF(K$2=0,"",IFERROR(TRIM(INDEX('Pegar estudiantes'!$A$1:$BZ$1001,988,K$2)&amp;""),""))</f>
        <v/>
      </c>
      <c r="L989" s="25">
        <f>IF(A989&lt;&gt;"",1,"")</f>
        <v/>
      </c>
      <c r="M989" s="25">
        <f>IF(L989=1,IF(ISNUMBER(FIND("#"&amp;MID(A989,1,1)&amp;"#","#0#1#2#3#4#5#6#7#8#9#")),IF(ISNUMBER(FIND("#"&amp;MID(A989,2,1)&amp;"#","#0#1#2#3#4#5#6#7#8#9#")),IF(AND(VALUE(LEFT(A989,2))&gt;=1,VALUE(LEFT(A989,2))&lt;=5),VALUE(LEFT(A989,2)),""),IF(AND(VALUE(LEFT(A989,1))&gt;=1,VALUE(LEFT(A989,1))&lt;=5),VALUE(LEFT(A989,1)),"")),""),"")</f>
        <v/>
      </c>
      <c r="N989" s="25">
        <f>IF(L989=1,IF(ISNUMBER(FIND("#"&amp;MID(H989,1,1)&amp;"#","#0#1#2#3#4#5#6#7#8#9#")),IF(ISNUMBER(FIND("#"&amp;MID(H989,2,1)&amp;"#","#0#1#2#3#4#5#6#7#8#9#")),IF(AND(VALUE(LEFT(H989,2))&gt;=1,VALUE(LEFT(H989,2))&lt;=5),VALUE(LEFT(H989,2)),""),IF(AND(VALUE(LEFT(H989,1))&gt;=1,VALUE(LEFT(H989,1))&lt;=5),VALUE(LEFT(H989,1)),"")),""),"")</f>
        <v/>
      </c>
      <c r="O989" s="25">
        <f>IF(AND(L989=1,B989&lt;&gt;""),SUBSTITUTE(SUBSTITUTE(SUBSTITUTE(SUBSTITUTE(SUBSTITUTE(SUBSTITUTE(SUBSTITUTE(SUBSTITUTE(SUBSTITUTE(SUBSTITUTE(SUBSTITUTE(SUBSTITUTE(LOWER(TRIM(B989)),"á","a"),"é","e"),"í","i"),"ó","o"),"ú","u"),"ü","u"),"ñ","n"),"à","a"),"è","e"),"ì","i"),"ò","o"),"ù","u"),"")</f>
        <v/>
      </c>
      <c r="P989" s="25">
        <f>IF(AND(L989=1,C989&lt;&gt;""),SUBSTITUTE(SUBSTITUTE(SUBSTITUTE(SUBSTITUTE(SUBSTITUTE(SUBSTITUTE(SUBSTITUTE(SUBSTITUTE(SUBSTITUTE(SUBSTITUTE(SUBSTITUTE(SUBSTITUTE(LOWER(TRIM(C989)),"á","a"),"é","e"),"í","i"),"ó","o"),"ú","u"),"ü","u"),"ñ","n"),"à","a"),"è","e"),"ì","i"),"ò","o"),"ù","u"),"")</f>
        <v/>
      </c>
      <c r="Q989" s="25">
        <f>IF(AND(L989=1,E989&lt;&gt;""),SUBSTITUTE(SUBSTITUTE(SUBSTITUTE(SUBSTITUTE(SUBSTITUTE(SUBSTITUTE(SUBSTITUTE(SUBSTITUTE(SUBSTITUTE(SUBSTITUTE(SUBSTITUTE(SUBSTITUTE(LOWER(TRIM(E989)),"á","a"),"é","e"),"í","i"),"ó","o"),"ú","u"),"ü","u"),"ñ","n"),"à","a"),"è","e"),"ì","i"),"ò","o"),"ù","u"),"")</f>
        <v/>
      </c>
      <c r="R989" s="25">
        <f>IF(AND(L989=1,I989&lt;&gt;""),SUBSTITUTE(SUBSTITUTE(SUBSTITUTE(SUBSTITUTE(SUBSTITUTE(SUBSTITUTE(SUBSTITUTE(SUBSTITUTE(SUBSTITUTE(SUBSTITUTE(SUBSTITUTE(SUBSTITUTE(LOWER(TRIM(I989)),"á","a"),"é","e"),"í","i"),"ó","o"),"ú","u"),"ü","u"),"ñ","n"),"à","a"),"è","e"),"ì","i"),"ò","o"),"ù","u"),"")</f>
        <v/>
      </c>
      <c r="S989" s="25">
        <f>IF(R989="","",IF(OR(R989="si",R989="tal vez"),1,0))</f>
        <v/>
      </c>
      <c r="T989" s="25">
        <f>IF(AND(L989=1,D989&lt;&gt;""),IF(IFERROR(COUNTIFS(D$3:D989,"="&amp;SUBSTITUTE(SUBSTITUTE(SUBSTITUTE(D989,"~","~~"),"*","~*"),"?","~?"),L$3:L989,1),0)=1,MAX(T$2:T988)+1,""),"")</f>
        <v/>
      </c>
      <c r="U989" s="25">
        <f>IF(T989="","",COUNTIFS($D$3:$D$1002,"="&amp;SUBSTITUTE(SUBSTITUTE(SUBSTITUTE(D989,"~","~~"),"*","~*"),"?","~?"),$L$3:$L$1002,1)*10000-T989)</f>
        <v/>
      </c>
      <c r="V989" s="25">
        <f>IF(AND(L989=1,J989&lt;&gt;""),IF(IFERROR(COUNTIFS(J$3:J989,"="&amp;SUBSTITUTE(SUBSTITUTE(SUBSTITUTE(J989,"~","~~"),"*","~*"),"?","~?"),L$3:L989,1),0)=1,MAX(V$2:V988)+1,""),"")</f>
        <v/>
      </c>
      <c r="W989" s="25">
        <f>IF(V989="","",COUNTIFS($J$3:$J$1002,"="&amp;SUBSTITUTE(SUBSTITUTE(SUBSTITUTE(J989,"~","~~"),"*","~*"),"?","~?"),$L$3:$L$1002,1)*10000-V989)</f>
        <v/>
      </c>
    </row>
    <row r="990">
      <c r="A990">
        <f>IF(A$2=0,"",IFERROR(TRIM(INDEX('Pegar estudiantes'!$A$1:$BZ$1001,989,A$2)&amp;""),""))</f>
        <v/>
      </c>
      <c r="B990">
        <f>IF(B$2=0,"",IFERROR(TRIM(INDEX('Pegar estudiantes'!$A$1:$BZ$1001,989,B$2)&amp;""),""))</f>
        <v/>
      </c>
      <c r="C990">
        <f>IF(C$2=0,"",IFERROR(TRIM(INDEX('Pegar estudiantes'!$A$1:$BZ$1001,989,C$2)&amp;""),""))</f>
        <v/>
      </c>
      <c r="D990">
        <f>IF(D$2=0,"",IFERROR(TRIM(INDEX('Pegar estudiantes'!$A$1:$BZ$1001,989,D$2)&amp;""),""))</f>
        <v/>
      </c>
      <c r="E990">
        <f>IF(E$2=0,"",IFERROR(TRIM(INDEX('Pegar estudiantes'!$A$1:$BZ$1001,989,E$2)&amp;""),""))</f>
        <v/>
      </c>
      <c r="F990">
        <f>IF(F$2=0,"",IFERROR(TRIM(INDEX('Pegar estudiantes'!$A$1:$BZ$1001,989,F$2)&amp;""),""))</f>
        <v/>
      </c>
      <c r="G990">
        <f>IF(G$2=0,"",IFERROR(TRIM(INDEX('Pegar estudiantes'!$A$1:$BZ$1001,989,G$2)&amp;""),""))</f>
        <v/>
      </c>
      <c r="H990">
        <f>IF(H$2=0,"",IFERROR(TRIM(INDEX('Pegar estudiantes'!$A$1:$BZ$1001,989,H$2)&amp;""),""))</f>
        <v/>
      </c>
      <c r="I990">
        <f>IF(I$2=0,"",IFERROR(TRIM(INDEX('Pegar estudiantes'!$A$1:$BZ$1001,989,I$2)&amp;""),""))</f>
        <v/>
      </c>
      <c r="J990">
        <f>IF(J$2=0,"",IFERROR(TRIM(INDEX('Pegar estudiantes'!$A$1:$BZ$1001,989,J$2)&amp;""),""))</f>
        <v/>
      </c>
      <c r="K990">
        <f>IF(K$2=0,"",IFERROR(TRIM(INDEX('Pegar estudiantes'!$A$1:$BZ$1001,989,K$2)&amp;""),""))</f>
        <v/>
      </c>
      <c r="L990" s="25">
        <f>IF(A990&lt;&gt;"",1,"")</f>
        <v/>
      </c>
      <c r="M990" s="25">
        <f>IF(L990=1,IF(ISNUMBER(FIND("#"&amp;MID(A990,1,1)&amp;"#","#0#1#2#3#4#5#6#7#8#9#")),IF(ISNUMBER(FIND("#"&amp;MID(A990,2,1)&amp;"#","#0#1#2#3#4#5#6#7#8#9#")),IF(AND(VALUE(LEFT(A990,2))&gt;=1,VALUE(LEFT(A990,2))&lt;=5),VALUE(LEFT(A990,2)),""),IF(AND(VALUE(LEFT(A990,1))&gt;=1,VALUE(LEFT(A990,1))&lt;=5),VALUE(LEFT(A990,1)),"")),""),"")</f>
        <v/>
      </c>
      <c r="N990" s="25">
        <f>IF(L990=1,IF(ISNUMBER(FIND("#"&amp;MID(H990,1,1)&amp;"#","#0#1#2#3#4#5#6#7#8#9#")),IF(ISNUMBER(FIND("#"&amp;MID(H990,2,1)&amp;"#","#0#1#2#3#4#5#6#7#8#9#")),IF(AND(VALUE(LEFT(H990,2))&gt;=1,VALUE(LEFT(H990,2))&lt;=5),VALUE(LEFT(H990,2)),""),IF(AND(VALUE(LEFT(H990,1))&gt;=1,VALUE(LEFT(H990,1))&lt;=5),VALUE(LEFT(H990,1)),"")),""),"")</f>
        <v/>
      </c>
      <c r="O990" s="25">
        <f>IF(AND(L990=1,B990&lt;&gt;""),SUBSTITUTE(SUBSTITUTE(SUBSTITUTE(SUBSTITUTE(SUBSTITUTE(SUBSTITUTE(SUBSTITUTE(SUBSTITUTE(SUBSTITUTE(SUBSTITUTE(SUBSTITUTE(SUBSTITUTE(LOWER(TRIM(B990)),"á","a"),"é","e"),"í","i"),"ó","o"),"ú","u"),"ü","u"),"ñ","n"),"à","a"),"è","e"),"ì","i"),"ò","o"),"ù","u"),"")</f>
        <v/>
      </c>
      <c r="P990" s="25">
        <f>IF(AND(L990=1,C990&lt;&gt;""),SUBSTITUTE(SUBSTITUTE(SUBSTITUTE(SUBSTITUTE(SUBSTITUTE(SUBSTITUTE(SUBSTITUTE(SUBSTITUTE(SUBSTITUTE(SUBSTITUTE(SUBSTITUTE(SUBSTITUTE(LOWER(TRIM(C990)),"á","a"),"é","e"),"í","i"),"ó","o"),"ú","u"),"ü","u"),"ñ","n"),"à","a"),"è","e"),"ì","i"),"ò","o"),"ù","u"),"")</f>
        <v/>
      </c>
      <c r="Q990" s="25">
        <f>IF(AND(L990=1,E990&lt;&gt;""),SUBSTITUTE(SUBSTITUTE(SUBSTITUTE(SUBSTITUTE(SUBSTITUTE(SUBSTITUTE(SUBSTITUTE(SUBSTITUTE(SUBSTITUTE(SUBSTITUTE(SUBSTITUTE(SUBSTITUTE(LOWER(TRIM(E990)),"á","a"),"é","e"),"í","i"),"ó","o"),"ú","u"),"ü","u"),"ñ","n"),"à","a"),"è","e"),"ì","i"),"ò","o"),"ù","u"),"")</f>
        <v/>
      </c>
      <c r="R990" s="25">
        <f>IF(AND(L990=1,I990&lt;&gt;""),SUBSTITUTE(SUBSTITUTE(SUBSTITUTE(SUBSTITUTE(SUBSTITUTE(SUBSTITUTE(SUBSTITUTE(SUBSTITUTE(SUBSTITUTE(SUBSTITUTE(SUBSTITUTE(SUBSTITUTE(LOWER(TRIM(I990)),"á","a"),"é","e"),"í","i"),"ó","o"),"ú","u"),"ü","u"),"ñ","n"),"à","a"),"è","e"),"ì","i"),"ò","o"),"ù","u"),"")</f>
        <v/>
      </c>
      <c r="S990" s="25">
        <f>IF(R990="","",IF(OR(R990="si",R990="tal vez"),1,0))</f>
        <v/>
      </c>
      <c r="T990" s="25">
        <f>IF(AND(L990=1,D990&lt;&gt;""),IF(IFERROR(COUNTIFS(D$3:D990,"="&amp;SUBSTITUTE(SUBSTITUTE(SUBSTITUTE(D990,"~","~~"),"*","~*"),"?","~?"),L$3:L990,1),0)=1,MAX(T$2:T989)+1,""),"")</f>
        <v/>
      </c>
      <c r="U990" s="25">
        <f>IF(T990="","",COUNTIFS($D$3:$D$1002,"="&amp;SUBSTITUTE(SUBSTITUTE(SUBSTITUTE(D990,"~","~~"),"*","~*"),"?","~?"),$L$3:$L$1002,1)*10000-T990)</f>
        <v/>
      </c>
      <c r="V990" s="25">
        <f>IF(AND(L990=1,J990&lt;&gt;""),IF(IFERROR(COUNTIFS(J$3:J990,"="&amp;SUBSTITUTE(SUBSTITUTE(SUBSTITUTE(J990,"~","~~"),"*","~*"),"?","~?"),L$3:L990,1),0)=1,MAX(V$2:V989)+1,""),"")</f>
        <v/>
      </c>
      <c r="W990" s="25">
        <f>IF(V990="","",COUNTIFS($J$3:$J$1002,"="&amp;SUBSTITUTE(SUBSTITUTE(SUBSTITUTE(J990,"~","~~"),"*","~*"),"?","~?"),$L$3:$L$1002,1)*10000-V990)</f>
        <v/>
      </c>
    </row>
    <row r="991">
      <c r="A991">
        <f>IF(A$2=0,"",IFERROR(TRIM(INDEX('Pegar estudiantes'!$A$1:$BZ$1001,990,A$2)&amp;""),""))</f>
        <v/>
      </c>
      <c r="B991">
        <f>IF(B$2=0,"",IFERROR(TRIM(INDEX('Pegar estudiantes'!$A$1:$BZ$1001,990,B$2)&amp;""),""))</f>
        <v/>
      </c>
      <c r="C991">
        <f>IF(C$2=0,"",IFERROR(TRIM(INDEX('Pegar estudiantes'!$A$1:$BZ$1001,990,C$2)&amp;""),""))</f>
        <v/>
      </c>
      <c r="D991">
        <f>IF(D$2=0,"",IFERROR(TRIM(INDEX('Pegar estudiantes'!$A$1:$BZ$1001,990,D$2)&amp;""),""))</f>
        <v/>
      </c>
      <c r="E991">
        <f>IF(E$2=0,"",IFERROR(TRIM(INDEX('Pegar estudiantes'!$A$1:$BZ$1001,990,E$2)&amp;""),""))</f>
        <v/>
      </c>
      <c r="F991">
        <f>IF(F$2=0,"",IFERROR(TRIM(INDEX('Pegar estudiantes'!$A$1:$BZ$1001,990,F$2)&amp;""),""))</f>
        <v/>
      </c>
      <c r="G991">
        <f>IF(G$2=0,"",IFERROR(TRIM(INDEX('Pegar estudiantes'!$A$1:$BZ$1001,990,G$2)&amp;""),""))</f>
        <v/>
      </c>
      <c r="H991">
        <f>IF(H$2=0,"",IFERROR(TRIM(INDEX('Pegar estudiantes'!$A$1:$BZ$1001,990,H$2)&amp;""),""))</f>
        <v/>
      </c>
      <c r="I991">
        <f>IF(I$2=0,"",IFERROR(TRIM(INDEX('Pegar estudiantes'!$A$1:$BZ$1001,990,I$2)&amp;""),""))</f>
        <v/>
      </c>
      <c r="J991">
        <f>IF(J$2=0,"",IFERROR(TRIM(INDEX('Pegar estudiantes'!$A$1:$BZ$1001,990,J$2)&amp;""),""))</f>
        <v/>
      </c>
      <c r="K991">
        <f>IF(K$2=0,"",IFERROR(TRIM(INDEX('Pegar estudiantes'!$A$1:$BZ$1001,990,K$2)&amp;""),""))</f>
        <v/>
      </c>
      <c r="L991" s="25">
        <f>IF(A991&lt;&gt;"",1,"")</f>
        <v/>
      </c>
      <c r="M991" s="25">
        <f>IF(L991=1,IF(ISNUMBER(FIND("#"&amp;MID(A991,1,1)&amp;"#","#0#1#2#3#4#5#6#7#8#9#")),IF(ISNUMBER(FIND("#"&amp;MID(A991,2,1)&amp;"#","#0#1#2#3#4#5#6#7#8#9#")),IF(AND(VALUE(LEFT(A991,2))&gt;=1,VALUE(LEFT(A991,2))&lt;=5),VALUE(LEFT(A991,2)),""),IF(AND(VALUE(LEFT(A991,1))&gt;=1,VALUE(LEFT(A991,1))&lt;=5),VALUE(LEFT(A991,1)),"")),""),"")</f>
        <v/>
      </c>
      <c r="N991" s="25">
        <f>IF(L991=1,IF(ISNUMBER(FIND("#"&amp;MID(H991,1,1)&amp;"#","#0#1#2#3#4#5#6#7#8#9#")),IF(ISNUMBER(FIND("#"&amp;MID(H991,2,1)&amp;"#","#0#1#2#3#4#5#6#7#8#9#")),IF(AND(VALUE(LEFT(H991,2))&gt;=1,VALUE(LEFT(H991,2))&lt;=5),VALUE(LEFT(H991,2)),""),IF(AND(VALUE(LEFT(H991,1))&gt;=1,VALUE(LEFT(H991,1))&lt;=5),VALUE(LEFT(H991,1)),"")),""),"")</f>
        <v/>
      </c>
      <c r="O991" s="25">
        <f>IF(AND(L991=1,B991&lt;&gt;""),SUBSTITUTE(SUBSTITUTE(SUBSTITUTE(SUBSTITUTE(SUBSTITUTE(SUBSTITUTE(SUBSTITUTE(SUBSTITUTE(SUBSTITUTE(SUBSTITUTE(SUBSTITUTE(SUBSTITUTE(LOWER(TRIM(B991)),"á","a"),"é","e"),"í","i"),"ó","o"),"ú","u"),"ü","u"),"ñ","n"),"à","a"),"è","e"),"ì","i"),"ò","o"),"ù","u"),"")</f>
        <v/>
      </c>
      <c r="P991" s="25">
        <f>IF(AND(L991=1,C991&lt;&gt;""),SUBSTITUTE(SUBSTITUTE(SUBSTITUTE(SUBSTITUTE(SUBSTITUTE(SUBSTITUTE(SUBSTITUTE(SUBSTITUTE(SUBSTITUTE(SUBSTITUTE(SUBSTITUTE(SUBSTITUTE(LOWER(TRIM(C991)),"á","a"),"é","e"),"í","i"),"ó","o"),"ú","u"),"ü","u"),"ñ","n"),"à","a"),"è","e"),"ì","i"),"ò","o"),"ù","u"),"")</f>
        <v/>
      </c>
      <c r="Q991" s="25">
        <f>IF(AND(L991=1,E991&lt;&gt;""),SUBSTITUTE(SUBSTITUTE(SUBSTITUTE(SUBSTITUTE(SUBSTITUTE(SUBSTITUTE(SUBSTITUTE(SUBSTITUTE(SUBSTITUTE(SUBSTITUTE(SUBSTITUTE(SUBSTITUTE(LOWER(TRIM(E991)),"á","a"),"é","e"),"í","i"),"ó","o"),"ú","u"),"ü","u"),"ñ","n"),"à","a"),"è","e"),"ì","i"),"ò","o"),"ù","u"),"")</f>
        <v/>
      </c>
      <c r="R991" s="25">
        <f>IF(AND(L991=1,I991&lt;&gt;""),SUBSTITUTE(SUBSTITUTE(SUBSTITUTE(SUBSTITUTE(SUBSTITUTE(SUBSTITUTE(SUBSTITUTE(SUBSTITUTE(SUBSTITUTE(SUBSTITUTE(SUBSTITUTE(SUBSTITUTE(LOWER(TRIM(I991)),"á","a"),"é","e"),"í","i"),"ó","o"),"ú","u"),"ü","u"),"ñ","n"),"à","a"),"è","e"),"ì","i"),"ò","o"),"ù","u"),"")</f>
        <v/>
      </c>
      <c r="S991" s="25">
        <f>IF(R991="","",IF(OR(R991="si",R991="tal vez"),1,0))</f>
        <v/>
      </c>
      <c r="T991" s="25">
        <f>IF(AND(L991=1,D991&lt;&gt;""),IF(IFERROR(COUNTIFS(D$3:D991,"="&amp;SUBSTITUTE(SUBSTITUTE(SUBSTITUTE(D991,"~","~~"),"*","~*"),"?","~?"),L$3:L991,1),0)=1,MAX(T$2:T990)+1,""),"")</f>
        <v/>
      </c>
      <c r="U991" s="25">
        <f>IF(T991="","",COUNTIFS($D$3:$D$1002,"="&amp;SUBSTITUTE(SUBSTITUTE(SUBSTITUTE(D991,"~","~~"),"*","~*"),"?","~?"),$L$3:$L$1002,1)*10000-T991)</f>
        <v/>
      </c>
      <c r="V991" s="25">
        <f>IF(AND(L991=1,J991&lt;&gt;""),IF(IFERROR(COUNTIFS(J$3:J991,"="&amp;SUBSTITUTE(SUBSTITUTE(SUBSTITUTE(J991,"~","~~"),"*","~*"),"?","~?"),L$3:L991,1),0)=1,MAX(V$2:V990)+1,""),"")</f>
        <v/>
      </c>
      <c r="W991" s="25">
        <f>IF(V991="","",COUNTIFS($J$3:$J$1002,"="&amp;SUBSTITUTE(SUBSTITUTE(SUBSTITUTE(J991,"~","~~"),"*","~*"),"?","~?"),$L$3:$L$1002,1)*10000-V991)</f>
        <v/>
      </c>
    </row>
    <row r="992">
      <c r="A992">
        <f>IF(A$2=0,"",IFERROR(TRIM(INDEX('Pegar estudiantes'!$A$1:$BZ$1001,991,A$2)&amp;""),""))</f>
        <v/>
      </c>
      <c r="B992">
        <f>IF(B$2=0,"",IFERROR(TRIM(INDEX('Pegar estudiantes'!$A$1:$BZ$1001,991,B$2)&amp;""),""))</f>
        <v/>
      </c>
      <c r="C992">
        <f>IF(C$2=0,"",IFERROR(TRIM(INDEX('Pegar estudiantes'!$A$1:$BZ$1001,991,C$2)&amp;""),""))</f>
        <v/>
      </c>
      <c r="D992">
        <f>IF(D$2=0,"",IFERROR(TRIM(INDEX('Pegar estudiantes'!$A$1:$BZ$1001,991,D$2)&amp;""),""))</f>
        <v/>
      </c>
      <c r="E992">
        <f>IF(E$2=0,"",IFERROR(TRIM(INDEX('Pegar estudiantes'!$A$1:$BZ$1001,991,E$2)&amp;""),""))</f>
        <v/>
      </c>
      <c r="F992">
        <f>IF(F$2=0,"",IFERROR(TRIM(INDEX('Pegar estudiantes'!$A$1:$BZ$1001,991,F$2)&amp;""),""))</f>
        <v/>
      </c>
      <c r="G992">
        <f>IF(G$2=0,"",IFERROR(TRIM(INDEX('Pegar estudiantes'!$A$1:$BZ$1001,991,G$2)&amp;""),""))</f>
        <v/>
      </c>
      <c r="H992">
        <f>IF(H$2=0,"",IFERROR(TRIM(INDEX('Pegar estudiantes'!$A$1:$BZ$1001,991,H$2)&amp;""),""))</f>
        <v/>
      </c>
      <c r="I992">
        <f>IF(I$2=0,"",IFERROR(TRIM(INDEX('Pegar estudiantes'!$A$1:$BZ$1001,991,I$2)&amp;""),""))</f>
        <v/>
      </c>
      <c r="J992">
        <f>IF(J$2=0,"",IFERROR(TRIM(INDEX('Pegar estudiantes'!$A$1:$BZ$1001,991,J$2)&amp;""),""))</f>
        <v/>
      </c>
      <c r="K992">
        <f>IF(K$2=0,"",IFERROR(TRIM(INDEX('Pegar estudiantes'!$A$1:$BZ$1001,991,K$2)&amp;""),""))</f>
        <v/>
      </c>
      <c r="L992" s="25">
        <f>IF(A992&lt;&gt;"",1,"")</f>
        <v/>
      </c>
      <c r="M992" s="25">
        <f>IF(L992=1,IF(ISNUMBER(FIND("#"&amp;MID(A992,1,1)&amp;"#","#0#1#2#3#4#5#6#7#8#9#")),IF(ISNUMBER(FIND("#"&amp;MID(A992,2,1)&amp;"#","#0#1#2#3#4#5#6#7#8#9#")),IF(AND(VALUE(LEFT(A992,2))&gt;=1,VALUE(LEFT(A992,2))&lt;=5),VALUE(LEFT(A992,2)),""),IF(AND(VALUE(LEFT(A992,1))&gt;=1,VALUE(LEFT(A992,1))&lt;=5),VALUE(LEFT(A992,1)),"")),""),"")</f>
        <v/>
      </c>
      <c r="N992" s="25">
        <f>IF(L992=1,IF(ISNUMBER(FIND("#"&amp;MID(H992,1,1)&amp;"#","#0#1#2#3#4#5#6#7#8#9#")),IF(ISNUMBER(FIND("#"&amp;MID(H992,2,1)&amp;"#","#0#1#2#3#4#5#6#7#8#9#")),IF(AND(VALUE(LEFT(H992,2))&gt;=1,VALUE(LEFT(H992,2))&lt;=5),VALUE(LEFT(H992,2)),""),IF(AND(VALUE(LEFT(H992,1))&gt;=1,VALUE(LEFT(H992,1))&lt;=5),VALUE(LEFT(H992,1)),"")),""),"")</f>
        <v/>
      </c>
      <c r="O992" s="25">
        <f>IF(AND(L992=1,B992&lt;&gt;""),SUBSTITUTE(SUBSTITUTE(SUBSTITUTE(SUBSTITUTE(SUBSTITUTE(SUBSTITUTE(SUBSTITUTE(SUBSTITUTE(SUBSTITUTE(SUBSTITUTE(SUBSTITUTE(SUBSTITUTE(LOWER(TRIM(B992)),"á","a"),"é","e"),"í","i"),"ó","o"),"ú","u"),"ü","u"),"ñ","n"),"à","a"),"è","e"),"ì","i"),"ò","o"),"ù","u"),"")</f>
        <v/>
      </c>
      <c r="P992" s="25">
        <f>IF(AND(L992=1,C992&lt;&gt;""),SUBSTITUTE(SUBSTITUTE(SUBSTITUTE(SUBSTITUTE(SUBSTITUTE(SUBSTITUTE(SUBSTITUTE(SUBSTITUTE(SUBSTITUTE(SUBSTITUTE(SUBSTITUTE(SUBSTITUTE(LOWER(TRIM(C992)),"á","a"),"é","e"),"í","i"),"ó","o"),"ú","u"),"ü","u"),"ñ","n"),"à","a"),"è","e"),"ì","i"),"ò","o"),"ù","u"),"")</f>
        <v/>
      </c>
      <c r="Q992" s="25">
        <f>IF(AND(L992=1,E992&lt;&gt;""),SUBSTITUTE(SUBSTITUTE(SUBSTITUTE(SUBSTITUTE(SUBSTITUTE(SUBSTITUTE(SUBSTITUTE(SUBSTITUTE(SUBSTITUTE(SUBSTITUTE(SUBSTITUTE(SUBSTITUTE(LOWER(TRIM(E992)),"á","a"),"é","e"),"í","i"),"ó","o"),"ú","u"),"ü","u"),"ñ","n"),"à","a"),"è","e"),"ì","i"),"ò","o"),"ù","u"),"")</f>
        <v/>
      </c>
      <c r="R992" s="25">
        <f>IF(AND(L992=1,I992&lt;&gt;""),SUBSTITUTE(SUBSTITUTE(SUBSTITUTE(SUBSTITUTE(SUBSTITUTE(SUBSTITUTE(SUBSTITUTE(SUBSTITUTE(SUBSTITUTE(SUBSTITUTE(SUBSTITUTE(SUBSTITUTE(LOWER(TRIM(I992)),"á","a"),"é","e"),"í","i"),"ó","o"),"ú","u"),"ü","u"),"ñ","n"),"à","a"),"è","e"),"ì","i"),"ò","o"),"ù","u"),"")</f>
        <v/>
      </c>
      <c r="S992" s="25">
        <f>IF(R992="","",IF(OR(R992="si",R992="tal vez"),1,0))</f>
        <v/>
      </c>
      <c r="T992" s="25">
        <f>IF(AND(L992=1,D992&lt;&gt;""),IF(IFERROR(COUNTIFS(D$3:D992,"="&amp;SUBSTITUTE(SUBSTITUTE(SUBSTITUTE(D992,"~","~~"),"*","~*"),"?","~?"),L$3:L992,1),0)=1,MAX(T$2:T991)+1,""),"")</f>
        <v/>
      </c>
      <c r="U992" s="25">
        <f>IF(T992="","",COUNTIFS($D$3:$D$1002,"="&amp;SUBSTITUTE(SUBSTITUTE(SUBSTITUTE(D992,"~","~~"),"*","~*"),"?","~?"),$L$3:$L$1002,1)*10000-T992)</f>
        <v/>
      </c>
      <c r="V992" s="25">
        <f>IF(AND(L992=1,J992&lt;&gt;""),IF(IFERROR(COUNTIFS(J$3:J992,"="&amp;SUBSTITUTE(SUBSTITUTE(SUBSTITUTE(J992,"~","~~"),"*","~*"),"?","~?"),L$3:L992,1),0)=1,MAX(V$2:V991)+1,""),"")</f>
        <v/>
      </c>
      <c r="W992" s="25">
        <f>IF(V992="","",COUNTIFS($J$3:$J$1002,"="&amp;SUBSTITUTE(SUBSTITUTE(SUBSTITUTE(J992,"~","~~"),"*","~*"),"?","~?"),$L$3:$L$1002,1)*10000-V992)</f>
        <v/>
      </c>
    </row>
    <row r="993">
      <c r="A993">
        <f>IF(A$2=0,"",IFERROR(TRIM(INDEX('Pegar estudiantes'!$A$1:$BZ$1001,992,A$2)&amp;""),""))</f>
        <v/>
      </c>
      <c r="B993">
        <f>IF(B$2=0,"",IFERROR(TRIM(INDEX('Pegar estudiantes'!$A$1:$BZ$1001,992,B$2)&amp;""),""))</f>
        <v/>
      </c>
      <c r="C993">
        <f>IF(C$2=0,"",IFERROR(TRIM(INDEX('Pegar estudiantes'!$A$1:$BZ$1001,992,C$2)&amp;""),""))</f>
        <v/>
      </c>
      <c r="D993">
        <f>IF(D$2=0,"",IFERROR(TRIM(INDEX('Pegar estudiantes'!$A$1:$BZ$1001,992,D$2)&amp;""),""))</f>
        <v/>
      </c>
      <c r="E993">
        <f>IF(E$2=0,"",IFERROR(TRIM(INDEX('Pegar estudiantes'!$A$1:$BZ$1001,992,E$2)&amp;""),""))</f>
        <v/>
      </c>
      <c r="F993">
        <f>IF(F$2=0,"",IFERROR(TRIM(INDEX('Pegar estudiantes'!$A$1:$BZ$1001,992,F$2)&amp;""),""))</f>
        <v/>
      </c>
      <c r="G993">
        <f>IF(G$2=0,"",IFERROR(TRIM(INDEX('Pegar estudiantes'!$A$1:$BZ$1001,992,G$2)&amp;""),""))</f>
        <v/>
      </c>
      <c r="H993">
        <f>IF(H$2=0,"",IFERROR(TRIM(INDEX('Pegar estudiantes'!$A$1:$BZ$1001,992,H$2)&amp;""),""))</f>
        <v/>
      </c>
      <c r="I993">
        <f>IF(I$2=0,"",IFERROR(TRIM(INDEX('Pegar estudiantes'!$A$1:$BZ$1001,992,I$2)&amp;""),""))</f>
        <v/>
      </c>
      <c r="J993">
        <f>IF(J$2=0,"",IFERROR(TRIM(INDEX('Pegar estudiantes'!$A$1:$BZ$1001,992,J$2)&amp;""),""))</f>
        <v/>
      </c>
      <c r="K993">
        <f>IF(K$2=0,"",IFERROR(TRIM(INDEX('Pegar estudiantes'!$A$1:$BZ$1001,992,K$2)&amp;""),""))</f>
        <v/>
      </c>
      <c r="L993" s="25">
        <f>IF(A993&lt;&gt;"",1,"")</f>
        <v/>
      </c>
      <c r="M993" s="25">
        <f>IF(L993=1,IF(ISNUMBER(FIND("#"&amp;MID(A993,1,1)&amp;"#","#0#1#2#3#4#5#6#7#8#9#")),IF(ISNUMBER(FIND("#"&amp;MID(A993,2,1)&amp;"#","#0#1#2#3#4#5#6#7#8#9#")),IF(AND(VALUE(LEFT(A993,2))&gt;=1,VALUE(LEFT(A993,2))&lt;=5),VALUE(LEFT(A993,2)),""),IF(AND(VALUE(LEFT(A993,1))&gt;=1,VALUE(LEFT(A993,1))&lt;=5),VALUE(LEFT(A993,1)),"")),""),"")</f>
        <v/>
      </c>
      <c r="N993" s="25">
        <f>IF(L993=1,IF(ISNUMBER(FIND("#"&amp;MID(H993,1,1)&amp;"#","#0#1#2#3#4#5#6#7#8#9#")),IF(ISNUMBER(FIND("#"&amp;MID(H993,2,1)&amp;"#","#0#1#2#3#4#5#6#7#8#9#")),IF(AND(VALUE(LEFT(H993,2))&gt;=1,VALUE(LEFT(H993,2))&lt;=5),VALUE(LEFT(H993,2)),""),IF(AND(VALUE(LEFT(H993,1))&gt;=1,VALUE(LEFT(H993,1))&lt;=5),VALUE(LEFT(H993,1)),"")),""),"")</f>
        <v/>
      </c>
      <c r="O993" s="25">
        <f>IF(AND(L993=1,B993&lt;&gt;""),SUBSTITUTE(SUBSTITUTE(SUBSTITUTE(SUBSTITUTE(SUBSTITUTE(SUBSTITUTE(SUBSTITUTE(SUBSTITUTE(SUBSTITUTE(SUBSTITUTE(SUBSTITUTE(SUBSTITUTE(LOWER(TRIM(B993)),"á","a"),"é","e"),"í","i"),"ó","o"),"ú","u"),"ü","u"),"ñ","n"),"à","a"),"è","e"),"ì","i"),"ò","o"),"ù","u"),"")</f>
        <v/>
      </c>
      <c r="P993" s="25">
        <f>IF(AND(L993=1,C993&lt;&gt;""),SUBSTITUTE(SUBSTITUTE(SUBSTITUTE(SUBSTITUTE(SUBSTITUTE(SUBSTITUTE(SUBSTITUTE(SUBSTITUTE(SUBSTITUTE(SUBSTITUTE(SUBSTITUTE(SUBSTITUTE(LOWER(TRIM(C993)),"á","a"),"é","e"),"í","i"),"ó","o"),"ú","u"),"ü","u"),"ñ","n"),"à","a"),"è","e"),"ì","i"),"ò","o"),"ù","u"),"")</f>
        <v/>
      </c>
      <c r="Q993" s="25">
        <f>IF(AND(L993=1,E993&lt;&gt;""),SUBSTITUTE(SUBSTITUTE(SUBSTITUTE(SUBSTITUTE(SUBSTITUTE(SUBSTITUTE(SUBSTITUTE(SUBSTITUTE(SUBSTITUTE(SUBSTITUTE(SUBSTITUTE(SUBSTITUTE(LOWER(TRIM(E993)),"á","a"),"é","e"),"í","i"),"ó","o"),"ú","u"),"ü","u"),"ñ","n"),"à","a"),"è","e"),"ì","i"),"ò","o"),"ù","u"),"")</f>
        <v/>
      </c>
      <c r="R993" s="25">
        <f>IF(AND(L993=1,I993&lt;&gt;""),SUBSTITUTE(SUBSTITUTE(SUBSTITUTE(SUBSTITUTE(SUBSTITUTE(SUBSTITUTE(SUBSTITUTE(SUBSTITUTE(SUBSTITUTE(SUBSTITUTE(SUBSTITUTE(SUBSTITUTE(LOWER(TRIM(I993)),"á","a"),"é","e"),"í","i"),"ó","o"),"ú","u"),"ü","u"),"ñ","n"),"à","a"),"è","e"),"ì","i"),"ò","o"),"ù","u"),"")</f>
        <v/>
      </c>
      <c r="S993" s="25">
        <f>IF(R993="","",IF(OR(R993="si",R993="tal vez"),1,0))</f>
        <v/>
      </c>
      <c r="T993" s="25">
        <f>IF(AND(L993=1,D993&lt;&gt;""),IF(IFERROR(COUNTIFS(D$3:D993,"="&amp;SUBSTITUTE(SUBSTITUTE(SUBSTITUTE(D993,"~","~~"),"*","~*"),"?","~?"),L$3:L993,1),0)=1,MAX(T$2:T992)+1,""),"")</f>
        <v/>
      </c>
      <c r="U993" s="25">
        <f>IF(T993="","",COUNTIFS($D$3:$D$1002,"="&amp;SUBSTITUTE(SUBSTITUTE(SUBSTITUTE(D993,"~","~~"),"*","~*"),"?","~?"),$L$3:$L$1002,1)*10000-T993)</f>
        <v/>
      </c>
      <c r="V993" s="25">
        <f>IF(AND(L993=1,J993&lt;&gt;""),IF(IFERROR(COUNTIFS(J$3:J993,"="&amp;SUBSTITUTE(SUBSTITUTE(SUBSTITUTE(J993,"~","~~"),"*","~*"),"?","~?"),L$3:L993,1),0)=1,MAX(V$2:V992)+1,""),"")</f>
        <v/>
      </c>
      <c r="W993" s="25">
        <f>IF(V993="","",COUNTIFS($J$3:$J$1002,"="&amp;SUBSTITUTE(SUBSTITUTE(SUBSTITUTE(J993,"~","~~"),"*","~*"),"?","~?"),$L$3:$L$1002,1)*10000-V993)</f>
        <v/>
      </c>
    </row>
    <row r="994">
      <c r="A994">
        <f>IF(A$2=0,"",IFERROR(TRIM(INDEX('Pegar estudiantes'!$A$1:$BZ$1001,993,A$2)&amp;""),""))</f>
        <v/>
      </c>
      <c r="B994">
        <f>IF(B$2=0,"",IFERROR(TRIM(INDEX('Pegar estudiantes'!$A$1:$BZ$1001,993,B$2)&amp;""),""))</f>
        <v/>
      </c>
      <c r="C994">
        <f>IF(C$2=0,"",IFERROR(TRIM(INDEX('Pegar estudiantes'!$A$1:$BZ$1001,993,C$2)&amp;""),""))</f>
        <v/>
      </c>
      <c r="D994">
        <f>IF(D$2=0,"",IFERROR(TRIM(INDEX('Pegar estudiantes'!$A$1:$BZ$1001,993,D$2)&amp;""),""))</f>
        <v/>
      </c>
      <c r="E994">
        <f>IF(E$2=0,"",IFERROR(TRIM(INDEX('Pegar estudiantes'!$A$1:$BZ$1001,993,E$2)&amp;""),""))</f>
        <v/>
      </c>
      <c r="F994">
        <f>IF(F$2=0,"",IFERROR(TRIM(INDEX('Pegar estudiantes'!$A$1:$BZ$1001,993,F$2)&amp;""),""))</f>
        <v/>
      </c>
      <c r="G994">
        <f>IF(G$2=0,"",IFERROR(TRIM(INDEX('Pegar estudiantes'!$A$1:$BZ$1001,993,G$2)&amp;""),""))</f>
        <v/>
      </c>
      <c r="H994">
        <f>IF(H$2=0,"",IFERROR(TRIM(INDEX('Pegar estudiantes'!$A$1:$BZ$1001,993,H$2)&amp;""),""))</f>
        <v/>
      </c>
      <c r="I994">
        <f>IF(I$2=0,"",IFERROR(TRIM(INDEX('Pegar estudiantes'!$A$1:$BZ$1001,993,I$2)&amp;""),""))</f>
        <v/>
      </c>
      <c r="J994">
        <f>IF(J$2=0,"",IFERROR(TRIM(INDEX('Pegar estudiantes'!$A$1:$BZ$1001,993,J$2)&amp;""),""))</f>
        <v/>
      </c>
      <c r="K994">
        <f>IF(K$2=0,"",IFERROR(TRIM(INDEX('Pegar estudiantes'!$A$1:$BZ$1001,993,K$2)&amp;""),""))</f>
        <v/>
      </c>
      <c r="L994" s="25">
        <f>IF(A994&lt;&gt;"",1,"")</f>
        <v/>
      </c>
      <c r="M994" s="25">
        <f>IF(L994=1,IF(ISNUMBER(FIND("#"&amp;MID(A994,1,1)&amp;"#","#0#1#2#3#4#5#6#7#8#9#")),IF(ISNUMBER(FIND("#"&amp;MID(A994,2,1)&amp;"#","#0#1#2#3#4#5#6#7#8#9#")),IF(AND(VALUE(LEFT(A994,2))&gt;=1,VALUE(LEFT(A994,2))&lt;=5),VALUE(LEFT(A994,2)),""),IF(AND(VALUE(LEFT(A994,1))&gt;=1,VALUE(LEFT(A994,1))&lt;=5),VALUE(LEFT(A994,1)),"")),""),"")</f>
        <v/>
      </c>
      <c r="N994" s="25">
        <f>IF(L994=1,IF(ISNUMBER(FIND("#"&amp;MID(H994,1,1)&amp;"#","#0#1#2#3#4#5#6#7#8#9#")),IF(ISNUMBER(FIND("#"&amp;MID(H994,2,1)&amp;"#","#0#1#2#3#4#5#6#7#8#9#")),IF(AND(VALUE(LEFT(H994,2))&gt;=1,VALUE(LEFT(H994,2))&lt;=5),VALUE(LEFT(H994,2)),""),IF(AND(VALUE(LEFT(H994,1))&gt;=1,VALUE(LEFT(H994,1))&lt;=5),VALUE(LEFT(H994,1)),"")),""),"")</f>
        <v/>
      </c>
      <c r="O994" s="25">
        <f>IF(AND(L994=1,B994&lt;&gt;""),SUBSTITUTE(SUBSTITUTE(SUBSTITUTE(SUBSTITUTE(SUBSTITUTE(SUBSTITUTE(SUBSTITUTE(SUBSTITUTE(SUBSTITUTE(SUBSTITUTE(SUBSTITUTE(SUBSTITUTE(LOWER(TRIM(B994)),"á","a"),"é","e"),"í","i"),"ó","o"),"ú","u"),"ü","u"),"ñ","n"),"à","a"),"è","e"),"ì","i"),"ò","o"),"ù","u"),"")</f>
        <v/>
      </c>
      <c r="P994" s="25">
        <f>IF(AND(L994=1,C994&lt;&gt;""),SUBSTITUTE(SUBSTITUTE(SUBSTITUTE(SUBSTITUTE(SUBSTITUTE(SUBSTITUTE(SUBSTITUTE(SUBSTITUTE(SUBSTITUTE(SUBSTITUTE(SUBSTITUTE(SUBSTITUTE(LOWER(TRIM(C994)),"á","a"),"é","e"),"í","i"),"ó","o"),"ú","u"),"ü","u"),"ñ","n"),"à","a"),"è","e"),"ì","i"),"ò","o"),"ù","u"),"")</f>
        <v/>
      </c>
      <c r="Q994" s="25">
        <f>IF(AND(L994=1,E994&lt;&gt;""),SUBSTITUTE(SUBSTITUTE(SUBSTITUTE(SUBSTITUTE(SUBSTITUTE(SUBSTITUTE(SUBSTITUTE(SUBSTITUTE(SUBSTITUTE(SUBSTITUTE(SUBSTITUTE(SUBSTITUTE(LOWER(TRIM(E994)),"á","a"),"é","e"),"í","i"),"ó","o"),"ú","u"),"ü","u"),"ñ","n"),"à","a"),"è","e"),"ì","i"),"ò","o"),"ù","u"),"")</f>
        <v/>
      </c>
      <c r="R994" s="25">
        <f>IF(AND(L994=1,I994&lt;&gt;""),SUBSTITUTE(SUBSTITUTE(SUBSTITUTE(SUBSTITUTE(SUBSTITUTE(SUBSTITUTE(SUBSTITUTE(SUBSTITUTE(SUBSTITUTE(SUBSTITUTE(SUBSTITUTE(SUBSTITUTE(LOWER(TRIM(I994)),"á","a"),"é","e"),"í","i"),"ó","o"),"ú","u"),"ü","u"),"ñ","n"),"à","a"),"è","e"),"ì","i"),"ò","o"),"ù","u"),"")</f>
        <v/>
      </c>
      <c r="S994" s="25">
        <f>IF(R994="","",IF(OR(R994="si",R994="tal vez"),1,0))</f>
        <v/>
      </c>
      <c r="T994" s="25">
        <f>IF(AND(L994=1,D994&lt;&gt;""),IF(IFERROR(COUNTIFS(D$3:D994,"="&amp;SUBSTITUTE(SUBSTITUTE(SUBSTITUTE(D994,"~","~~"),"*","~*"),"?","~?"),L$3:L994,1),0)=1,MAX(T$2:T993)+1,""),"")</f>
        <v/>
      </c>
      <c r="U994" s="25">
        <f>IF(T994="","",COUNTIFS($D$3:$D$1002,"="&amp;SUBSTITUTE(SUBSTITUTE(SUBSTITUTE(D994,"~","~~"),"*","~*"),"?","~?"),$L$3:$L$1002,1)*10000-T994)</f>
        <v/>
      </c>
      <c r="V994" s="25">
        <f>IF(AND(L994=1,J994&lt;&gt;""),IF(IFERROR(COUNTIFS(J$3:J994,"="&amp;SUBSTITUTE(SUBSTITUTE(SUBSTITUTE(J994,"~","~~"),"*","~*"),"?","~?"),L$3:L994,1),0)=1,MAX(V$2:V993)+1,""),"")</f>
        <v/>
      </c>
      <c r="W994" s="25">
        <f>IF(V994="","",COUNTIFS($J$3:$J$1002,"="&amp;SUBSTITUTE(SUBSTITUTE(SUBSTITUTE(J994,"~","~~"),"*","~*"),"?","~?"),$L$3:$L$1002,1)*10000-V994)</f>
        <v/>
      </c>
    </row>
    <row r="995">
      <c r="A995">
        <f>IF(A$2=0,"",IFERROR(TRIM(INDEX('Pegar estudiantes'!$A$1:$BZ$1001,994,A$2)&amp;""),""))</f>
        <v/>
      </c>
      <c r="B995">
        <f>IF(B$2=0,"",IFERROR(TRIM(INDEX('Pegar estudiantes'!$A$1:$BZ$1001,994,B$2)&amp;""),""))</f>
        <v/>
      </c>
      <c r="C995">
        <f>IF(C$2=0,"",IFERROR(TRIM(INDEX('Pegar estudiantes'!$A$1:$BZ$1001,994,C$2)&amp;""),""))</f>
        <v/>
      </c>
      <c r="D995">
        <f>IF(D$2=0,"",IFERROR(TRIM(INDEX('Pegar estudiantes'!$A$1:$BZ$1001,994,D$2)&amp;""),""))</f>
        <v/>
      </c>
      <c r="E995">
        <f>IF(E$2=0,"",IFERROR(TRIM(INDEX('Pegar estudiantes'!$A$1:$BZ$1001,994,E$2)&amp;""),""))</f>
        <v/>
      </c>
      <c r="F995">
        <f>IF(F$2=0,"",IFERROR(TRIM(INDEX('Pegar estudiantes'!$A$1:$BZ$1001,994,F$2)&amp;""),""))</f>
        <v/>
      </c>
      <c r="G995">
        <f>IF(G$2=0,"",IFERROR(TRIM(INDEX('Pegar estudiantes'!$A$1:$BZ$1001,994,G$2)&amp;""),""))</f>
        <v/>
      </c>
      <c r="H995">
        <f>IF(H$2=0,"",IFERROR(TRIM(INDEX('Pegar estudiantes'!$A$1:$BZ$1001,994,H$2)&amp;""),""))</f>
        <v/>
      </c>
      <c r="I995">
        <f>IF(I$2=0,"",IFERROR(TRIM(INDEX('Pegar estudiantes'!$A$1:$BZ$1001,994,I$2)&amp;""),""))</f>
        <v/>
      </c>
      <c r="J995">
        <f>IF(J$2=0,"",IFERROR(TRIM(INDEX('Pegar estudiantes'!$A$1:$BZ$1001,994,J$2)&amp;""),""))</f>
        <v/>
      </c>
      <c r="K995">
        <f>IF(K$2=0,"",IFERROR(TRIM(INDEX('Pegar estudiantes'!$A$1:$BZ$1001,994,K$2)&amp;""),""))</f>
        <v/>
      </c>
      <c r="L995" s="25">
        <f>IF(A995&lt;&gt;"",1,"")</f>
        <v/>
      </c>
      <c r="M995" s="25">
        <f>IF(L995=1,IF(ISNUMBER(FIND("#"&amp;MID(A995,1,1)&amp;"#","#0#1#2#3#4#5#6#7#8#9#")),IF(ISNUMBER(FIND("#"&amp;MID(A995,2,1)&amp;"#","#0#1#2#3#4#5#6#7#8#9#")),IF(AND(VALUE(LEFT(A995,2))&gt;=1,VALUE(LEFT(A995,2))&lt;=5),VALUE(LEFT(A995,2)),""),IF(AND(VALUE(LEFT(A995,1))&gt;=1,VALUE(LEFT(A995,1))&lt;=5),VALUE(LEFT(A995,1)),"")),""),"")</f>
        <v/>
      </c>
      <c r="N995" s="25">
        <f>IF(L995=1,IF(ISNUMBER(FIND("#"&amp;MID(H995,1,1)&amp;"#","#0#1#2#3#4#5#6#7#8#9#")),IF(ISNUMBER(FIND("#"&amp;MID(H995,2,1)&amp;"#","#0#1#2#3#4#5#6#7#8#9#")),IF(AND(VALUE(LEFT(H995,2))&gt;=1,VALUE(LEFT(H995,2))&lt;=5),VALUE(LEFT(H995,2)),""),IF(AND(VALUE(LEFT(H995,1))&gt;=1,VALUE(LEFT(H995,1))&lt;=5),VALUE(LEFT(H995,1)),"")),""),"")</f>
        <v/>
      </c>
      <c r="O995" s="25">
        <f>IF(AND(L995=1,B995&lt;&gt;""),SUBSTITUTE(SUBSTITUTE(SUBSTITUTE(SUBSTITUTE(SUBSTITUTE(SUBSTITUTE(SUBSTITUTE(SUBSTITUTE(SUBSTITUTE(SUBSTITUTE(SUBSTITUTE(SUBSTITUTE(LOWER(TRIM(B995)),"á","a"),"é","e"),"í","i"),"ó","o"),"ú","u"),"ü","u"),"ñ","n"),"à","a"),"è","e"),"ì","i"),"ò","o"),"ù","u"),"")</f>
        <v/>
      </c>
      <c r="P995" s="25">
        <f>IF(AND(L995=1,C995&lt;&gt;""),SUBSTITUTE(SUBSTITUTE(SUBSTITUTE(SUBSTITUTE(SUBSTITUTE(SUBSTITUTE(SUBSTITUTE(SUBSTITUTE(SUBSTITUTE(SUBSTITUTE(SUBSTITUTE(SUBSTITUTE(LOWER(TRIM(C995)),"á","a"),"é","e"),"í","i"),"ó","o"),"ú","u"),"ü","u"),"ñ","n"),"à","a"),"è","e"),"ì","i"),"ò","o"),"ù","u"),"")</f>
        <v/>
      </c>
      <c r="Q995" s="25">
        <f>IF(AND(L995=1,E995&lt;&gt;""),SUBSTITUTE(SUBSTITUTE(SUBSTITUTE(SUBSTITUTE(SUBSTITUTE(SUBSTITUTE(SUBSTITUTE(SUBSTITUTE(SUBSTITUTE(SUBSTITUTE(SUBSTITUTE(SUBSTITUTE(LOWER(TRIM(E995)),"á","a"),"é","e"),"í","i"),"ó","o"),"ú","u"),"ü","u"),"ñ","n"),"à","a"),"è","e"),"ì","i"),"ò","o"),"ù","u"),"")</f>
        <v/>
      </c>
      <c r="R995" s="25">
        <f>IF(AND(L995=1,I995&lt;&gt;""),SUBSTITUTE(SUBSTITUTE(SUBSTITUTE(SUBSTITUTE(SUBSTITUTE(SUBSTITUTE(SUBSTITUTE(SUBSTITUTE(SUBSTITUTE(SUBSTITUTE(SUBSTITUTE(SUBSTITUTE(LOWER(TRIM(I995)),"á","a"),"é","e"),"í","i"),"ó","o"),"ú","u"),"ü","u"),"ñ","n"),"à","a"),"è","e"),"ì","i"),"ò","o"),"ù","u"),"")</f>
        <v/>
      </c>
      <c r="S995" s="25">
        <f>IF(R995="","",IF(OR(R995="si",R995="tal vez"),1,0))</f>
        <v/>
      </c>
      <c r="T995" s="25">
        <f>IF(AND(L995=1,D995&lt;&gt;""),IF(IFERROR(COUNTIFS(D$3:D995,"="&amp;SUBSTITUTE(SUBSTITUTE(SUBSTITUTE(D995,"~","~~"),"*","~*"),"?","~?"),L$3:L995,1),0)=1,MAX(T$2:T994)+1,""),"")</f>
        <v/>
      </c>
      <c r="U995" s="25">
        <f>IF(T995="","",COUNTIFS($D$3:$D$1002,"="&amp;SUBSTITUTE(SUBSTITUTE(SUBSTITUTE(D995,"~","~~"),"*","~*"),"?","~?"),$L$3:$L$1002,1)*10000-T995)</f>
        <v/>
      </c>
      <c r="V995" s="25">
        <f>IF(AND(L995=1,J995&lt;&gt;""),IF(IFERROR(COUNTIFS(J$3:J995,"="&amp;SUBSTITUTE(SUBSTITUTE(SUBSTITUTE(J995,"~","~~"),"*","~*"),"?","~?"),L$3:L995,1),0)=1,MAX(V$2:V994)+1,""),"")</f>
        <v/>
      </c>
      <c r="W995" s="25">
        <f>IF(V995="","",COUNTIFS($J$3:$J$1002,"="&amp;SUBSTITUTE(SUBSTITUTE(SUBSTITUTE(J995,"~","~~"),"*","~*"),"?","~?"),$L$3:$L$1002,1)*10000-V995)</f>
        <v/>
      </c>
    </row>
    <row r="996">
      <c r="A996">
        <f>IF(A$2=0,"",IFERROR(TRIM(INDEX('Pegar estudiantes'!$A$1:$BZ$1001,995,A$2)&amp;""),""))</f>
        <v/>
      </c>
      <c r="B996">
        <f>IF(B$2=0,"",IFERROR(TRIM(INDEX('Pegar estudiantes'!$A$1:$BZ$1001,995,B$2)&amp;""),""))</f>
        <v/>
      </c>
      <c r="C996">
        <f>IF(C$2=0,"",IFERROR(TRIM(INDEX('Pegar estudiantes'!$A$1:$BZ$1001,995,C$2)&amp;""),""))</f>
        <v/>
      </c>
      <c r="D996">
        <f>IF(D$2=0,"",IFERROR(TRIM(INDEX('Pegar estudiantes'!$A$1:$BZ$1001,995,D$2)&amp;""),""))</f>
        <v/>
      </c>
      <c r="E996">
        <f>IF(E$2=0,"",IFERROR(TRIM(INDEX('Pegar estudiantes'!$A$1:$BZ$1001,995,E$2)&amp;""),""))</f>
        <v/>
      </c>
      <c r="F996">
        <f>IF(F$2=0,"",IFERROR(TRIM(INDEX('Pegar estudiantes'!$A$1:$BZ$1001,995,F$2)&amp;""),""))</f>
        <v/>
      </c>
      <c r="G996">
        <f>IF(G$2=0,"",IFERROR(TRIM(INDEX('Pegar estudiantes'!$A$1:$BZ$1001,995,G$2)&amp;""),""))</f>
        <v/>
      </c>
      <c r="H996">
        <f>IF(H$2=0,"",IFERROR(TRIM(INDEX('Pegar estudiantes'!$A$1:$BZ$1001,995,H$2)&amp;""),""))</f>
        <v/>
      </c>
      <c r="I996">
        <f>IF(I$2=0,"",IFERROR(TRIM(INDEX('Pegar estudiantes'!$A$1:$BZ$1001,995,I$2)&amp;""),""))</f>
        <v/>
      </c>
      <c r="J996">
        <f>IF(J$2=0,"",IFERROR(TRIM(INDEX('Pegar estudiantes'!$A$1:$BZ$1001,995,J$2)&amp;""),""))</f>
        <v/>
      </c>
      <c r="K996">
        <f>IF(K$2=0,"",IFERROR(TRIM(INDEX('Pegar estudiantes'!$A$1:$BZ$1001,995,K$2)&amp;""),""))</f>
        <v/>
      </c>
      <c r="L996" s="25">
        <f>IF(A996&lt;&gt;"",1,"")</f>
        <v/>
      </c>
      <c r="M996" s="25">
        <f>IF(L996=1,IF(ISNUMBER(FIND("#"&amp;MID(A996,1,1)&amp;"#","#0#1#2#3#4#5#6#7#8#9#")),IF(ISNUMBER(FIND("#"&amp;MID(A996,2,1)&amp;"#","#0#1#2#3#4#5#6#7#8#9#")),IF(AND(VALUE(LEFT(A996,2))&gt;=1,VALUE(LEFT(A996,2))&lt;=5),VALUE(LEFT(A996,2)),""),IF(AND(VALUE(LEFT(A996,1))&gt;=1,VALUE(LEFT(A996,1))&lt;=5),VALUE(LEFT(A996,1)),"")),""),"")</f>
        <v/>
      </c>
      <c r="N996" s="25">
        <f>IF(L996=1,IF(ISNUMBER(FIND("#"&amp;MID(H996,1,1)&amp;"#","#0#1#2#3#4#5#6#7#8#9#")),IF(ISNUMBER(FIND("#"&amp;MID(H996,2,1)&amp;"#","#0#1#2#3#4#5#6#7#8#9#")),IF(AND(VALUE(LEFT(H996,2))&gt;=1,VALUE(LEFT(H996,2))&lt;=5),VALUE(LEFT(H996,2)),""),IF(AND(VALUE(LEFT(H996,1))&gt;=1,VALUE(LEFT(H996,1))&lt;=5),VALUE(LEFT(H996,1)),"")),""),"")</f>
        <v/>
      </c>
      <c r="O996" s="25">
        <f>IF(AND(L996=1,B996&lt;&gt;""),SUBSTITUTE(SUBSTITUTE(SUBSTITUTE(SUBSTITUTE(SUBSTITUTE(SUBSTITUTE(SUBSTITUTE(SUBSTITUTE(SUBSTITUTE(SUBSTITUTE(SUBSTITUTE(SUBSTITUTE(LOWER(TRIM(B996)),"á","a"),"é","e"),"í","i"),"ó","o"),"ú","u"),"ü","u"),"ñ","n"),"à","a"),"è","e"),"ì","i"),"ò","o"),"ù","u"),"")</f>
        <v/>
      </c>
      <c r="P996" s="25">
        <f>IF(AND(L996=1,C996&lt;&gt;""),SUBSTITUTE(SUBSTITUTE(SUBSTITUTE(SUBSTITUTE(SUBSTITUTE(SUBSTITUTE(SUBSTITUTE(SUBSTITUTE(SUBSTITUTE(SUBSTITUTE(SUBSTITUTE(SUBSTITUTE(LOWER(TRIM(C996)),"á","a"),"é","e"),"í","i"),"ó","o"),"ú","u"),"ü","u"),"ñ","n"),"à","a"),"è","e"),"ì","i"),"ò","o"),"ù","u"),"")</f>
        <v/>
      </c>
      <c r="Q996" s="25">
        <f>IF(AND(L996=1,E996&lt;&gt;""),SUBSTITUTE(SUBSTITUTE(SUBSTITUTE(SUBSTITUTE(SUBSTITUTE(SUBSTITUTE(SUBSTITUTE(SUBSTITUTE(SUBSTITUTE(SUBSTITUTE(SUBSTITUTE(SUBSTITUTE(LOWER(TRIM(E996)),"á","a"),"é","e"),"í","i"),"ó","o"),"ú","u"),"ü","u"),"ñ","n"),"à","a"),"è","e"),"ì","i"),"ò","o"),"ù","u"),"")</f>
        <v/>
      </c>
      <c r="R996" s="25">
        <f>IF(AND(L996=1,I996&lt;&gt;""),SUBSTITUTE(SUBSTITUTE(SUBSTITUTE(SUBSTITUTE(SUBSTITUTE(SUBSTITUTE(SUBSTITUTE(SUBSTITUTE(SUBSTITUTE(SUBSTITUTE(SUBSTITUTE(SUBSTITUTE(LOWER(TRIM(I996)),"á","a"),"é","e"),"í","i"),"ó","o"),"ú","u"),"ü","u"),"ñ","n"),"à","a"),"è","e"),"ì","i"),"ò","o"),"ù","u"),"")</f>
        <v/>
      </c>
      <c r="S996" s="25">
        <f>IF(R996="","",IF(OR(R996="si",R996="tal vez"),1,0))</f>
        <v/>
      </c>
      <c r="T996" s="25">
        <f>IF(AND(L996=1,D996&lt;&gt;""),IF(IFERROR(COUNTIFS(D$3:D996,"="&amp;SUBSTITUTE(SUBSTITUTE(SUBSTITUTE(D996,"~","~~"),"*","~*"),"?","~?"),L$3:L996,1),0)=1,MAX(T$2:T995)+1,""),"")</f>
        <v/>
      </c>
      <c r="U996" s="25">
        <f>IF(T996="","",COUNTIFS($D$3:$D$1002,"="&amp;SUBSTITUTE(SUBSTITUTE(SUBSTITUTE(D996,"~","~~"),"*","~*"),"?","~?"),$L$3:$L$1002,1)*10000-T996)</f>
        <v/>
      </c>
      <c r="V996" s="25">
        <f>IF(AND(L996=1,J996&lt;&gt;""),IF(IFERROR(COUNTIFS(J$3:J996,"="&amp;SUBSTITUTE(SUBSTITUTE(SUBSTITUTE(J996,"~","~~"),"*","~*"),"?","~?"),L$3:L996,1),0)=1,MAX(V$2:V995)+1,""),"")</f>
        <v/>
      </c>
      <c r="W996" s="25">
        <f>IF(V996="","",COUNTIFS($J$3:$J$1002,"="&amp;SUBSTITUTE(SUBSTITUTE(SUBSTITUTE(J996,"~","~~"),"*","~*"),"?","~?"),$L$3:$L$1002,1)*10000-V996)</f>
        <v/>
      </c>
    </row>
    <row r="997">
      <c r="A997">
        <f>IF(A$2=0,"",IFERROR(TRIM(INDEX('Pegar estudiantes'!$A$1:$BZ$1001,996,A$2)&amp;""),""))</f>
        <v/>
      </c>
      <c r="B997">
        <f>IF(B$2=0,"",IFERROR(TRIM(INDEX('Pegar estudiantes'!$A$1:$BZ$1001,996,B$2)&amp;""),""))</f>
        <v/>
      </c>
      <c r="C997">
        <f>IF(C$2=0,"",IFERROR(TRIM(INDEX('Pegar estudiantes'!$A$1:$BZ$1001,996,C$2)&amp;""),""))</f>
        <v/>
      </c>
      <c r="D997">
        <f>IF(D$2=0,"",IFERROR(TRIM(INDEX('Pegar estudiantes'!$A$1:$BZ$1001,996,D$2)&amp;""),""))</f>
        <v/>
      </c>
      <c r="E997">
        <f>IF(E$2=0,"",IFERROR(TRIM(INDEX('Pegar estudiantes'!$A$1:$BZ$1001,996,E$2)&amp;""),""))</f>
        <v/>
      </c>
      <c r="F997">
        <f>IF(F$2=0,"",IFERROR(TRIM(INDEX('Pegar estudiantes'!$A$1:$BZ$1001,996,F$2)&amp;""),""))</f>
        <v/>
      </c>
      <c r="G997">
        <f>IF(G$2=0,"",IFERROR(TRIM(INDEX('Pegar estudiantes'!$A$1:$BZ$1001,996,G$2)&amp;""),""))</f>
        <v/>
      </c>
      <c r="H997">
        <f>IF(H$2=0,"",IFERROR(TRIM(INDEX('Pegar estudiantes'!$A$1:$BZ$1001,996,H$2)&amp;""),""))</f>
        <v/>
      </c>
      <c r="I997">
        <f>IF(I$2=0,"",IFERROR(TRIM(INDEX('Pegar estudiantes'!$A$1:$BZ$1001,996,I$2)&amp;""),""))</f>
        <v/>
      </c>
      <c r="J997">
        <f>IF(J$2=0,"",IFERROR(TRIM(INDEX('Pegar estudiantes'!$A$1:$BZ$1001,996,J$2)&amp;""),""))</f>
        <v/>
      </c>
      <c r="K997">
        <f>IF(K$2=0,"",IFERROR(TRIM(INDEX('Pegar estudiantes'!$A$1:$BZ$1001,996,K$2)&amp;""),""))</f>
        <v/>
      </c>
      <c r="L997" s="25">
        <f>IF(A997&lt;&gt;"",1,"")</f>
        <v/>
      </c>
      <c r="M997" s="25">
        <f>IF(L997=1,IF(ISNUMBER(FIND("#"&amp;MID(A997,1,1)&amp;"#","#0#1#2#3#4#5#6#7#8#9#")),IF(ISNUMBER(FIND("#"&amp;MID(A997,2,1)&amp;"#","#0#1#2#3#4#5#6#7#8#9#")),IF(AND(VALUE(LEFT(A997,2))&gt;=1,VALUE(LEFT(A997,2))&lt;=5),VALUE(LEFT(A997,2)),""),IF(AND(VALUE(LEFT(A997,1))&gt;=1,VALUE(LEFT(A997,1))&lt;=5),VALUE(LEFT(A997,1)),"")),""),"")</f>
        <v/>
      </c>
      <c r="N997" s="25">
        <f>IF(L997=1,IF(ISNUMBER(FIND("#"&amp;MID(H997,1,1)&amp;"#","#0#1#2#3#4#5#6#7#8#9#")),IF(ISNUMBER(FIND("#"&amp;MID(H997,2,1)&amp;"#","#0#1#2#3#4#5#6#7#8#9#")),IF(AND(VALUE(LEFT(H997,2))&gt;=1,VALUE(LEFT(H997,2))&lt;=5),VALUE(LEFT(H997,2)),""),IF(AND(VALUE(LEFT(H997,1))&gt;=1,VALUE(LEFT(H997,1))&lt;=5),VALUE(LEFT(H997,1)),"")),""),"")</f>
        <v/>
      </c>
      <c r="O997" s="25">
        <f>IF(AND(L997=1,B997&lt;&gt;""),SUBSTITUTE(SUBSTITUTE(SUBSTITUTE(SUBSTITUTE(SUBSTITUTE(SUBSTITUTE(SUBSTITUTE(SUBSTITUTE(SUBSTITUTE(SUBSTITUTE(SUBSTITUTE(SUBSTITUTE(LOWER(TRIM(B997)),"á","a"),"é","e"),"í","i"),"ó","o"),"ú","u"),"ü","u"),"ñ","n"),"à","a"),"è","e"),"ì","i"),"ò","o"),"ù","u"),"")</f>
        <v/>
      </c>
      <c r="P997" s="25">
        <f>IF(AND(L997=1,C997&lt;&gt;""),SUBSTITUTE(SUBSTITUTE(SUBSTITUTE(SUBSTITUTE(SUBSTITUTE(SUBSTITUTE(SUBSTITUTE(SUBSTITUTE(SUBSTITUTE(SUBSTITUTE(SUBSTITUTE(SUBSTITUTE(LOWER(TRIM(C997)),"á","a"),"é","e"),"í","i"),"ó","o"),"ú","u"),"ü","u"),"ñ","n"),"à","a"),"è","e"),"ì","i"),"ò","o"),"ù","u"),"")</f>
        <v/>
      </c>
      <c r="Q997" s="25">
        <f>IF(AND(L997=1,E997&lt;&gt;""),SUBSTITUTE(SUBSTITUTE(SUBSTITUTE(SUBSTITUTE(SUBSTITUTE(SUBSTITUTE(SUBSTITUTE(SUBSTITUTE(SUBSTITUTE(SUBSTITUTE(SUBSTITUTE(SUBSTITUTE(LOWER(TRIM(E997)),"á","a"),"é","e"),"í","i"),"ó","o"),"ú","u"),"ü","u"),"ñ","n"),"à","a"),"è","e"),"ì","i"),"ò","o"),"ù","u"),"")</f>
        <v/>
      </c>
      <c r="R997" s="25">
        <f>IF(AND(L997=1,I997&lt;&gt;""),SUBSTITUTE(SUBSTITUTE(SUBSTITUTE(SUBSTITUTE(SUBSTITUTE(SUBSTITUTE(SUBSTITUTE(SUBSTITUTE(SUBSTITUTE(SUBSTITUTE(SUBSTITUTE(SUBSTITUTE(LOWER(TRIM(I997)),"á","a"),"é","e"),"í","i"),"ó","o"),"ú","u"),"ü","u"),"ñ","n"),"à","a"),"è","e"),"ì","i"),"ò","o"),"ù","u"),"")</f>
        <v/>
      </c>
      <c r="S997" s="25">
        <f>IF(R997="","",IF(OR(R997="si",R997="tal vez"),1,0))</f>
        <v/>
      </c>
      <c r="T997" s="25">
        <f>IF(AND(L997=1,D997&lt;&gt;""),IF(IFERROR(COUNTIFS(D$3:D997,"="&amp;SUBSTITUTE(SUBSTITUTE(SUBSTITUTE(D997,"~","~~"),"*","~*"),"?","~?"),L$3:L997,1),0)=1,MAX(T$2:T996)+1,""),"")</f>
        <v/>
      </c>
      <c r="U997" s="25">
        <f>IF(T997="","",COUNTIFS($D$3:$D$1002,"="&amp;SUBSTITUTE(SUBSTITUTE(SUBSTITUTE(D997,"~","~~"),"*","~*"),"?","~?"),$L$3:$L$1002,1)*10000-T997)</f>
        <v/>
      </c>
      <c r="V997" s="25">
        <f>IF(AND(L997=1,J997&lt;&gt;""),IF(IFERROR(COUNTIFS(J$3:J997,"="&amp;SUBSTITUTE(SUBSTITUTE(SUBSTITUTE(J997,"~","~~"),"*","~*"),"?","~?"),L$3:L997,1),0)=1,MAX(V$2:V996)+1,""),"")</f>
        <v/>
      </c>
      <c r="W997" s="25">
        <f>IF(V997="","",COUNTIFS($J$3:$J$1002,"="&amp;SUBSTITUTE(SUBSTITUTE(SUBSTITUTE(J997,"~","~~"),"*","~*"),"?","~?"),$L$3:$L$1002,1)*10000-V997)</f>
        <v/>
      </c>
    </row>
    <row r="998">
      <c r="A998">
        <f>IF(A$2=0,"",IFERROR(TRIM(INDEX('Pegar estudiantes'!$A$1:$BZ$1001,997,A$2)&amp;""),""))</f>
        <v/>
      </c>
      <c r="B998">
        <f>IF(B$2=0,"",IFERROR(TRIM(INDEX('Pegar estudiantes'!$A$1:$BZ$1001,997,B$2)&amp;""),""))</f>
        <v/>
      </c>
      <c r="C998">
        <f>IF(C$2=0,"",IFERROR(TRIM(INDEX('Pegar estudiantes'!$A$1:$BZ$1001,997,C$2)&amp;""),""))</f>
        <v/>
      </c>
      <c r="D998">
        <f>IF(D$2=0,"",IFERROR(TRIM(INDEX('Pegar estudiantes'!$A$1:$BZ$1001,997,D$2)&amp;""),""))</f>
        <v/>
      </c>
      <c r="E998">
        <f>IF(E$2=0,"",IFERROR(TRIM(INDEX('Pegar estudiantes'!$A$1:$BZ$1001,997,E$2)&amp;""),""))</f>
        <v/>
      </c>
      <c r="F998">
        <f>IF(F$2=0,"",IFERROR(TRIM(INDEX('Pegar estudiantes'!$A$1:$BZ$1001,997,F$2)&amp;""),""))</f>
        <v/>
      </c>
      <c r="G998">
        <f>IF(G$2=0,"",IFERROR(TRIM(INDEX('Pegar estudiantes'!$A$1:$BZ$1001,997,G$2)&amp;""),""))</f>
        <v/>
      </c>
      <c r="H998">
        <f>IF(H$2=0,"",IFERROR(TRIM(INDEX('Pegar estudiantes'!$A$1:$BZ$1001,997,H$2)&amp;""),""))</f>
        <v/>
      </c>
      <c r="I998">
        <f>IF(I$2=0,"",IFERROR(TRIM(INDEX('Pegar estudiantes'!$A$1:$BZ$1001,997,I$2)&amp;""),""))</f>
        <v/>
      </c>
      <c r="J998">
        <f>IF(J$2=0,"",IFERROR(TRIM(INDEX('Pegar estudiantes'!$A$1:$BZ$1001,997,J$2)&amp;""),""))</f>
        <v/>
      </c>
      <c r="K998">
        <f>IF(K$2=0,"",IFERROR(TRIM(INDEX('Pegar estudiantes'!$A$1:$BZ$1001,997,K$2)&amp;""),""))</f>
        <v/>
      </c>
      <c r="L998" s="25">
        <f>IF(A998&lt;&gt;"",1,"")</f>
        <v/>
      </c>
      <c r="M998" s="25">
        <f>IF(L998=1,IF(ISNUMBER(FIND("#"&amp;MID(A998,1,1)&amp;"#","#0#1#2#3#4#5#6#7#8#9#")),IF(ISNUMBER(FIND("#"&amp;MID(A998,2,1)&amp;"#","#0#1#2#3#4#5#6#7#8#9#")),IF(AND(VALUE(LEFT(A998,2))&gt;=1,VALUE(LEFT(A998,2))&lt;=5),VALUE(LEFT(A998,2)),""),IF(AND(VALUE(LEFT(A998,1))&gt;=1,VALUE(LEFT(A998,1))&lt;=5),VALUE(LEFT(A998,1)),"")),""),"")</f>
        <v/>
      </c>
      <c r="N998" s="25">
        <f>IF(L998=1,IF(ISNUMBER(FIND("#"&amp;MID(H998,1,1)&amp;"#","#0#1#2#3#4#5#6#7#8#9#")),IF(ISNUMBER(FIND("#"&amp;MID(H998,2,1)&amp;"#","#0#1#2#3#4#5#6#7#8#9#")),IF(AND(VALUE(LEFT(H998,2))&gt;=1,VALUE(LEFT(H998,2))&lt;=5),VALUE(LEFT(H998,2)),""),IF(AND(VALUE(LEFT(H998,1))&gt;=1,VALUE(LEFT(H998,1))&lt;=5),VALUE(LEFT(H998,1)),"")),""),"")</f>
        <v/>
      </c>
      <c r="O998" s="25">
        <f>IF(AND(L998=1,B998&lt;&gt;""),SUBSTITUTE(SUBSTITUTE(SUBSTITUTE(SUBSTITUTE(SUBSTITUTE(SUBSTITUTE(SUBSTITUTE(SUBSTITUTE(SUBSTITUTE(SUBSTITUTE(SUBSTITUTE(SUBSTITUTE(LOWER(TRIM(B998)),"á","a"),"é","e"),"í","i"),"ó","o"),"ú","u"),"ü","u"),"ñ","n"),"à","a"),"è","e"),"ì","i"),"ò","o"),"ù","u"),"")</f>
        <v/>
      </c>
      <c r="P998" s="25">
        <f>IF(AND(L998=1,C998&lt;&gt;""),SUBSTITUTE(SUBSTITUTE(SUBSTITUTE(SUBSTITUTE(SUBSTITUTE(SUBSTITUTE(SUBSTITUTE(SUBSTITUTE(SUBSTITUTE(SUBSTITUTE(SUBSTITUTE(SUBSTITUTE(LOWER(TRIM(C998)),"á","a"),"é","e"),"í","i"),"ó","o"),"ú","u"),"ü","u"),"ñ","n"),"à","a"),"è","e"),"ì","i"),"ò","o"),"ù","u"),"")</f>
        <v/>
      </c>
      <c r="Q998" s="25">
        <f>IF(AND(L998=1,E998&lt;&gt;""),SUBSTITUTE(SUBSTITUTE(SUBSTITUTE(SUBSTITUTE(SUBSTITUTE(SUBSTITUTE(SUBSTITUTE(SUBSTITUTE(SUBSTITUTE(SUBSTITUTE(SUBSTITUTE(SUBSTITUTE(LOWER(TRIM(E998)),"á","a"),"é","e"),"í","i"),"ó","o"),"ú","u"),"ü","u"),"ñ","n"),"à","a"),"è","e"),"ì","i"),"ò","o"),"ù","u"),"")</f>
        <v/>
      </c>
      <c r="R998" s="25">
        <f>IF(AND(L998=1,I998&lt;&gt;""),SUBSTITUTE(SUBSTITUTE(SUBSTITUTE(SUBSTITUTE(SUBSTITUTE(SUBSTITUTE(SUBSTITUTE(SUBSTITUTE(SUBSTITUTE(SUBSTITUTE(SUBSTITUTE(SUBSTITUTE(LOWER(TRIM(I998)),"á","a"),"é","e"),"í","i"),"ó","o"),"ú","u"),"ü","u"),"ñ","n"),"à","a"),"è","e"),"ì","i"),"ò","o"),"ù","u"),"")</f>
        <v/>
      </c>
      <c r="S998" s="25">
        <f>IF(R998="","",IF(OR(R998="si",R998="tal vez"),1,0))</f>
        <v/>
      </c>
      <c r="T998" s="25">
        <f>IF(AND(L998=1,D998&lt;&gt;""),IF(IFERROR(COUNTIFS(D$3:D998,"="&amp;SUBSTITUTE(SUBSTITUTE(SUBSTITUTE(D998,"~","~~"),"*","~*"),"?","~?"),L$3:L998,1),0)=1,MAX(T$2:T997)+1,""),"")</f>
        <v/>
      </c>
      <c r="U998" s="25">
        <f>IF(T998="","",COUNTIFS($D$3:$D$1002,"="&amp;SUBSTITUTE(SUBSTITUTE(SUBSTITUTE(D998,"~","~~"),"*","~*"),"?","~?"),$L$3:$L$1002,1)*10000-T998)</f>
        <v/>
      </c>
      <c r="V998" s="25">
        <f>IF(AND(L998=1,J998&lt;&gt;""),IF(IFERROR(COUNTIFS(J$3:J998,"="&amp;SUBSTITUTE(SUBSTITUTE(SUBSTITUTE(J998,"~","~~"),"*","~*"),"?","~?"),L$3:L998,1),0)=1,MAX(V$2:V997)+1,""),"")</f>
        <v/>
      </c>
      <c r="W998" s="25">
        <f>IF(V998="","",COUNTIFS($J$3:$J$1002,"="&amp;SUBSTITUTE(SUBSTITUTE(SUBSTITUTE(J998,"~","~~"),"*","~*"),"?","~?"),$L$3:$L$1002,1)*10000-V998)</f>
        <v/>
      </c>
    </row>
    <row r="999">
      <c r="A999">
        <f>IF(A$2=0,"",IFERROR(TRIM(INDEX('Pegar estudiantes'!$A$1:$BZ$1001,998,A$2)&amp;""),""))</f>
        <v/>
      </c>
      <c r="B999">
        <f>IF(B$2=0,"",IFERROR(TRIM(INDEX('Pegar estudiantes'!$A$1:$BZ$1001,998,B$2)&amp;""),""))</f>
        <v/>
      </c>
      <c r="C999">
        <f>IF(C$2=0,"",IFERROR(TRIM(INDEX('Pegar estudiantes'!$A$1:$BZ$1001,998,C$2)&amp;""),""))</f>
        <v/>
      </c>
      <c r="D999">
        <f>IF(D$2=0,"",IFERROR(TRIM(INDEX('Pegar estudiantes'!$A$1:$BZ$1001,998,D$2)&amp;""),""))</f>
        <v/>
      </c>
      <c r="E999">
        <f>IF(E$2=0,"",IFERROR(TRIM(INDEX('Pegar estudiantes'!$A$1:$BZ$1001,998,E$2)&amp;""),""))</f>
        <v/>
      </c>
      <c r="F999">
        <f>IF(F$2=0,"",IFERROR(TRIM(INDEX('Pegar estudiantes'!$A$1:$BZ$1001,998,F$2)&amp;""),""))</f>
        <v/>
      </c>
      <c r="G999">
        <f>IF(G$2=0,"",IFERROR(TRIM(INDEX('Pegar estudiantes'!$A$1:$BZ$1001,998,G$2)&amp;""),""))</f>
        <v/>
      </c>
      <c r="H999">
        <f>IF(H$2=0,"",IFERROR(TRIM(INDEX('Pegar estudiantes'!$A$1:$BZ$1001,998,H$2)&amp;""),""))</f>
        <v/>
      </c>
      <c r="I999">
        <f>IF(I$2=0,"",IFERROR(TRIM(INDEX('Pegar estudiantes'!$A$1:$BZ$1001,998,I$2)&amp;""),""))</f>
        <v/>
      </c>
      <c r="J999">
        <f>IF(J$2=0,"",IFERROR(TRIM(INDEX('Pegar estudiantes'!$A$1:$BZ$1001,998,J$2)&amp;""),""))</f>
        <v/>
      </c>
      <c r="K999">
        <f>IF(K$2=0,"",IFERROR(TRIM(INDEX('Pegar estudiantes'!$A$1:$BZ$1001,998,K$2)&amp;""),""))</f>
        <v/>
      </c>
      <c r="L999" s="25">
        <f>IF(A999&lt;&gt;"",1,"")</f>
        <v/>
      </c>
      <c r="M999" s="25">
        <f>IF(L999=1,IF(ISNUMBER(FIND("#"&amp;MID(A999,1,1)&amp;"#","#0#1#2#3#4#5#6#7#8#9#")),IF(ISNUMBER(FIND("#"&amp;MID(A999,2,1)&amp;"#","#0#1#2#3#4#5#6#7#8#9#")),IF(AND(VALUE(LEFT(A999,2))&gt;=1,VALUE(LEFT(A999,2))&lt;=5),VALUE(LEFT(A999,2)),""),IF(AND(VALUE(LEFT(A999,1))&gt;=1,VALUE(LEFT(A999,1))&lt;=5),VALUE(LEFT(A999,1)),"")),""),"")</f>
        <v/>
      </c>
      <c r="N999" s="25">
        <f>IF(L999=1,IF(ISNUMBER(FIND("#"&amp;MID(H999,1,1)&amp;"#","#0#1#2#3#4#5#6#7#8#9#")),IF(ISNUMBER(FIND("#"&amp;MID(H999,2,1)&amp;"#","#0#1#2#3#4#5#6#7#8#9#")),IF(AND(VALUE(LEFT(H999,2))&gt;=1,VALUE(LEFT(H999,2))&lt;=5),VALUE(LEFT(H999,2)),""),IF(AND(VALUE(LEFT(H999,1))&gt;=1,VALUE(LEFT(H999,1))&lt;=5),VALUE(LEFT(H999,1)),"")),""),"")</f>
        <v/>
      </c>
      <c r="O999" s="25">
        <f>IF(AND(L999=1,B999&lt;&gt;""),SUBSTITUTE(SUBSTITUTE(SUBSTITUTE(SUBSTITUTE(SUBSTITUTE(SUBSTITUTE(SUBSTITUTE(SUBSTITUTE(SUBSTITUTE(SUBSTITUTE(SUBSTITUTE(SUBSTITUTE(LOWER(TRIM(B999)),"á","a"),"é","e"),"í","i"),"ó","o"),"ú","u"),"ü","u"),"ñ","n"),"à","a"),"è","e"),"ì","i"),"ò","o"),"ù","u"),"")</f>
        <v/>
      </c>
      <c r="P999" s="25">
        <f>IF(AND(L999=1,C999&lt;&gt;""),SUBSTITUTE(SUBSTITUTE(SUBSTITUTE(SUBSTITUTE(SUBSTITUTE(SUBSTITUTE(SUBSTITUTE(SUBSTITUTE(SUBSTITUTE(SUBSTITUTE(SUBSTITUTE(SUBSTITUTE(LOWER(TRIM(C999)),"á","a"),"é","e"),"í","i"),"ó","o"),"ú","u"),"ü","u"),"ñ","n"),"à","a"),"è","e"),"ì","i"),"ò","o"),"ù","u"),"")</f>
        <v/>
      </c>
      <c r="Q999" s="25">
        <f>IF(AND(L999=1,E999&lt;&gt;""),SUBSTITUTE(SUBSTITUTE(SUBSTITUTE(SUBSTITUTE(SUBSTITUTE(SUBSTITUTE(SUBSTITUTE(SUBSTITUTE(SUBSTITUTE(SUBSTITUTE(SUBSTITUTE(SUBSTITUTE(LOWER(TRIM(E999)),"á","a"),"é","e"),"í","i"),"ó","o"),"ú","u"),"ü","u"),"ñ","n"),"à","a"),"è","e"),"ì","i"),"ò","o"),"ù","u"),"")</f>
        <v/>
      </c>
      <c r="R999" s="25">
        <f>IF(AND(L999=1,I999&lt;&gt;""),SUBSTITUTE(SUBSTITUTE(SUBSTITUTE(SUBSTITUTE(SUBSTITUTE(SUBSTITUTE(SUBSTITUTE(SUBSTITUTE(SUBSTITUTE(SUBSTITUTE(SUBSTITUTE(SUBSTITUTE(LOWER(TRIM(I999)),"á","a"),"é","e"),"í","i"),"ó","o"),"ú","u"),"ü","u"),"ñ","n"),"à","a"),"è","e"),"ì","i"),"ò","o"),"ù","u"),"")</f>
        <v/>
      </c>
      <c r="S999" s="25">
        <f>IF(R999="","",IF(OR(R999="si",R999="tal vez"),1,0))</f>
        <v/>
      </c>
      <c r="T999" s="25">
        <f>IF(AND(L999=1,D999&lt;&gt;""),IF(IFERROR(COUNTIFS(D$3:D999,"="&amp;SUBSTITUTE(SUBSTITUTE(SUBSTITUTE(D999,"~","~~"),"*","~*"),"?","~?"),L$3:L999,1),0)=1,MAX(T$2:T998)+1,""),"")</f>
        <v/>
      </c>
      <c r="U999" s="25">
        <f>IF(T999="","",COUNTIFS($D$3:$D$1002,"="&amp;SUBSTITUTE(SUBSTITUTE(SUBSTITUTE(D999,"~","~~"),"*","~*"),"?","~?"),$L$3:$L$1002,1)*10000-T999)</f>
        <v/>
      </c>
      <c r="V999" s="25">
        <f>IF(AND(L999=1,J999&lt;&gt;""),IF(IFERROR(COUNTIFS(J$3:J999,"="&amp;SUBSTITUTE(SUBSTITUTE(SUBSTITUTE(J999,"~","~~"),"*","~*"),"?","~?"),L$3:L999,1),0)=1,MAX(V$2:V998)+1,""),"")</f>
        <v/>
      </c>
      <c r="W999" s="25">
        <f>IF(V999="","",COUNTIFS($J$3:$J$1002,"="&amp;SUBSTITUTE(SUBSTITUTE(SUBSTITUTE(J999,"~","~~"),"*","~*"),"?","~?"),$L$3:$L$1002,1)*10000-V999)</f>
        <v/>
      </c>
    </row>
    <row r="1000">
      <c r="A1000">
        <f>IF(A$2=0,"",IFERROR(TRIM(INDEX('Pegar estudiantes'!$A$1:$BZ$1001,999,A$2)&amp;""),""))</f>
        <v/>
      </c>
      <c r="B1000">
        <f>IF(B$2=0,"",IFERROR(TRIM(INDEX('Pegar estudiantes'!$A$1:$BZ$1001,999,B$2)&amp;""),""))</f>
        <v/>
      </c>
      <c r="C1000">
        <f>IF(C$2=0,"",IFERROR(TRIM(INDEX('Pegar estudiantes'!$A$1:$BZ$1001,999,C$2)&amp;""),""))</f>
        <v/>
      </c>
      <c r="D1000">
        <f>IF(D$2=0,"",IFERROR(TRIM(INDEX('Pegar estudiantes'!$A$1:$BZ$1001,999,D$2)&amp;""),""))</f>
        <v/>
      </c>
      <c r="E1000">
        <f>IF(E$2=0,"",IFERROR(TRIM(INDEX('Pegar estudiantes'!$A$1:$BZ$1001,999,E$2)&amp;""),""))</f>
        <v/>
      </c>
      <c r="F1000">
        <f>IF(F$2=0,"",IFERROR(TRIM(INDEX('Pegar estudiantes'!$A$1:$BZ$1001,999,F$2)&amp;""),""))</f>
        <v/>
      </c>
      <c r="G1000">
        <f>IF(G$2=0,"",IFERROR(TRIM(INDEX('Pegar estudiantes'!$A$1:$BZ$1001,999,G$2)&amp;""),""))</f>
        <v/>
      </c>
      <c r="H1000">
        <f>IF(H$2=0,"",IFERROR(TRIM(INDEX('Pegar estudiantes'!$A$1:$BZ$1001,999,H$2)&amp;""),""))</f>
        <v/>
      </c>
      <c r="I1000">
        <f>IF(I$2=0,"",IFERROR(TRIM(INDEX('Pegar estudiantes'!$A$1:$BZ$1001,999,I$2)&amp;""),""))</f>
        <v/>
      </c>
      <c r="J1000">
        <f>IF(J$2=0,"",IFERROR(TRIM(INDEX('Pegar estudiantes'!$A$1:$BZ$1001,999,J$2)&amp;""),""))</f>
        <v/>
      </c>
      <c r="K1000">
        <f>IF(K$2=0,"",IFERROR(TRIM(INDEX('Pegar estudiantes'!$A$1:$BZ$1001,999,K$2)&amp;""),""))</f>
        <v/>
      </c>
      <c r="L1000" s="25">
        <f>IF(A1000&lt;&gt;"",1,"")</f>
        <v/>
      </c>
      <c r="M1000" s="25">
        <f>IF(L1000=1,IF(ISNUMBER(FIND("#"&amp;MID(A1000,1,1)&amp;"#","#0#1#2#3#4#5#6#7#8#9#")),IF(ISNUMBER(FIND("#"&amp;MID(A1000,2,1)&amp;"#","#0#1#2#3#4#5#6#7#8#9#")),IF(AND(VALUE(LEFT(A1000,2))&gt;=1,VALUE(LEFT(A1000,2))&lt;=5),VALUE(LEFT(A1000,2)),""),IF(AND(VALUE(LEFT(A1000,1))&gt;=1,VALUE(LEFT(A1000,1))&lt;=5),VALUE(LEFT(A1000,1)),"")),""),"")</f>
        <v/>
      </c>
      <c r="N1000" s="25">
        <f>IF(L1000=1,IF(ISNUMBER(FIND("#"&amp;MID(H1000,1,1)&amp;"#","#0#1#2#3#4#5#6#7#8#9#")),IF(ISNUMBER(FIND("#"&amp;MID(H1000,2,1)&amp;"#","#0#1#2#3#4#5#6#7#8#9#")),IF(AND(VALUE(LEFT(H1000,2))&gt;=1,VALUE(LEFT(H1000,2))&lt;=5),VALUE(LEFT(H1000,2)),""),IF(AND(VALUE(LEFT(H1000,1))&gt;=1,VALUE(LEFT(H1000,1))&lt;=5),VALUE(LEFT(H1000,1)),"")),""),"")</f>
        <v/>
      </c>
      <c r="O1000" s="25">
        <f>IF(AND(L1000=1,B1000&lt;&gt;""),SUBSTITUTE(SUBSTITUTE(SUBSTITUTE(SUBSTITUTE(SUBSTITUTE(SUBSTITUTE(SUBSTITUTE(SUBSTITUTE(SUBSTITUTE(SUBSTITUTE(SUBSTITUTE(SUBSTITUTE(LOWER(TRIM(B1000)),"á","a"),"é","e"),"í","i"),"ó","o"),"ú","u"),"ü","u"),"ñ","n"),"à","a"),"è","e"),"ì","i"),"ò","o"),"ù","u"),"")</f>
        <v/>
      </c>
      <c r="P1000" s="25">
        <f>IF(AND(L1000=1,C1000&lt;&gt;""),SUBSTITUTE(SUBSTITUTE(SUBSTITUTE(SUBSTITUTE(SUBSTITUTE(SUBSTITUTE(SUBSTITUTE(SUBSTITUTE(SUBSTITUTE(SUBSTITUTE(SUBSTITUTE(SUBSTITUTE(LOWER(TRIM(C1000)),"á","a"),"é","e"),"í","i"),"ó","o"),"ú","u"),"ü","u"),"ñ","n"),"à","a"),"è","e"),"ì","i"),"ò","o"),"ù","u"),"")</f>
        <v/>
      </c>
      <c r="Q1000" s="25">
        <f>IF(AND(L1000=1,E1000&lt;&gt;""),SUBSTITUTE(SUBSTITUTE(SUBSTITUTE(SUBSTITUTE(SUBSTITUTE(SUBSTITUTE(SUBSTITUTE(SUBSTITUTE(SUBSTITUTE(SUBSTITUTE(SUBSTITUTE(SUBSTITUTE(LOWER(TRIM(E1000)),"á","a"),"é","e"),"í","i"),"ó","o"),"ú","u"),"ü","u"),"ñ","n"),"à","a"),"è","e"),"ì","i"),"ò","o"),"ù","u"),"")</f>
        <v/>
      </c>
      <c r="R1000" s="25">
        <f>IF(AND(L1000=1,I1000&lt;&gt;""),SUBSTITUTE(SUBSTITUTE(SUBSTITUTE(SUBSTITUTE(SUBSTITUTE(SUBSTITUTE(SUBSTITUTE(SUBSTITUTE(SUBSTITUTE(SUBSTITUTE(SUBSTITUTE(SUBSTITUTE(LOWER(TRIM(I1000)),"á","a"),"é","e"),"í","i"),"ó","o"),"ú","u"),"ü","u"),"ñ","n"),"à","a"),"è","e"),"ì","i"),"ò","o"),"ù","u"),"")</f>
        <v/>
      </c>
      <c r="S1000" s="25">
        <f>IF(R1000="","",IF(OR(R1000="si",R1000="tal vez"),1,0))</f>
        <v/>
      </c>
      <c r="T1000" s="25">
        <f>IF(AND(L1000=1,D1000&lt;&gt;""),IF(IFERROR(COUNTIFS(D$3:D1000,"="&amp;SUBSTITUTE(SUBSTITUTE(SUBSTITUTE(D1000,"~","~~"),"*","~*"),"?","~?"),L$3:L1000,1),0)=1,MAX(T$2:T999)+1,""),"")</f>
        <v/>
      </c>
      <c r="U1000" s="25">
        <f>IF(T1000="","",COUNTIFS($D$3:$D$1002,"="&amp;SUBSTITUTE(SUBSTITUTE(SUBSTITUTE(D1000,"~","~~"),"*","~*"),"?","~?"),$L$3:$L$1002,1)*10000-T1000)</f>
        <v/>
      </c>
      <c r="V1000" s="25">
        <f>IF(AND(L1000=1,J1000&lt;&gt;""),IF(IFERROR(COUNTIFS(J$3:J1000,"="&amp;SUBSTITUTE(SUBSTITUTE(SUBSTITUTE(J1000,"~","~~"),"*","~*"),"?","~?"),L$3:L1000,1),0)=1,MAX(V$2:V999)+1,""),"")</f>
        <v/>
      </c>
      <c r="W1000" s="25">
        <f>IF(V1000="","",COUNTIFS($J$3:$J$1002,"="&amp;SUBSTITUTE(SUBSTITUTE(SUBSTITUTE(J1000,"~","~~"),"*","~*"),"?","~?"),$L$3:$L$1002,1)*10000-V1000)</f>
        <v/>
      </c>
    </row>
    <row r="1001">
      <c r="A1001">
        <f>IF(A$2=0,"",IFERROR(TRIM(INDEX('Pegar estudiantes'!$A$1:$BZ$1001,1000,A$2)&amp;""),""))</f>
        <v/>
      </c>
      <c r="B1001">
        <f>IF(B$2=0,"",IFERROR(TRIM(INDEX('Pegar estudiantes'!$A$1:$BZ$1001,1000,B$2)&amp;""),""))</f>
        <v/>
      </c>
      <c r="C1001">
        <f>IF(C$2=0,"",IFERROR(TRIM(INDEX('Pegar estudiantes'!$A$1:$BZ$1001,1000,C$2)&amp;""),""))</f>
        <v/>
      </c>
      <c r="D1001">
        <f>IF(D$2=0,"",IFERROR(TRIM(INDEX('Pegar estudiantes'!$A$1:$BZ$1001,1000,D$2)&amp;""),""))</f>
        <v/>
      </c>
      <c r="E1001">
        <f>IF(E$2=0,"",IFERROR(TRIM(INDEX('Pegar estudiantes'!$A$1:$BZ$1001,1000,E$2)&amp;""),""))</f>
        <v/>
      </c>
      <c r="F1001">
        <f>IF(F$2=0,"",IFERROR(TRIM(INDEX('Pegar estudiantes'!$A$1:$BZ$1001,1000,F$2)&amp;""),""))</f>
        <v/>
      </c>
      <c r="G1001">
        <f>IF(G$2=0,"",IFERROR(TRIM(INDEX('Pegar estudiantes'!$A$1:$BZ$1001,1000,G$2)&amp;""),""))</f>
        <v/>
      </c>
      <c r="H1001">
        <f>IF(H$2=0,"",IFERROR(TRIM(INDEX('Pegar estudiantes'!$A$1:$BZ$1001,1000,H$2)&amp;""),""))</f>
        <v/>
      </c>
      <c r="I1001">
        <f>IF(I$2=0,"",IFERROR(TRIM(INDEX('Pegar estudiantes'!$A$1:$BZ$1001,1000,I$2)&amp;""),""))</f>
        <v/>
      </c>
      <c r="J1001">
        <f>IF(J$2=0,"",IFERROR(TRIM(INDEX('Pegar estudiantes'!$A$1:$BZ$1001,1000,J$2)&amp;""),""))</f>
        <v/>
      </c>
      <c r="K1001">
        <f>IF(K$2=0,"",IFERROR(TRIM(INDEX('Pegar estudiantes'!$A$1:$BZ$1001,1000,K$2)&amp;""),""))</f>
        <v/>
      </c>
      <c r="L1001" s="25">
        <f>IF(A1001&lt;&gt;"",1,"")</f>
        <v/>
      </c>
      <c r="M1001" s="25">
        <f>IF(L1001=1,IF(ISNUMBER(FIND("#"&amp;MID(A1001,1,1)&amp;"#","#0#1#2#3#4#5#6#7#8#9#")),IF(ISNUMBER(FIND("#"&amp;MID(A1001,2,1)&amp;"#","#0#1#2#3#4#5#6#7#8#9#")),IF(AND(VALUE(LEFT(A1001,2))&gt;=1,VALUE(LEFT(A1001,2))&lt;=5),VALUE(LEFT(A1001,2)),""),IF(AND(VALUE(LEFT(A1001,1))&gt;=1,VALUE(LEFT(A1001,1))&lt;=5),VALUE(LEFT(A1001,1)),"")),""),"")</f>
        <v/>
      </c>
      <c r="N1001" s="25">
        <f>IF(L1001=1,IF(ISNUMBER(FIND("#"&amp;MID(H1001,1,1)&amp;"#","#0#1#2#3#4#5#6#7#8#9#")),IF(ISNUMBER(FIND("#"&amp;MID(H1001,2,1)&amp;"#","#0#1#2#3#4#5#6#7#8#9#")),IF(AND(VALUE(LEFT(H1001,2))&gt;=1,VALUE(LEFT(H1001,2))&lt;=5),VALUE(LEFT(H1001,2)),""),IF(AND(VALUE(LEFT(H1001,1))&gt;=1,VALUE(LEFT(H1001,1))&lt;=5),VALUE(LEFT(H1001,1)),"")),""),"")</f>
        <v/>
      </c>
      <c r="O1001" s="25">
        <f>IF(AND(L1001=1,B1001&lt;&gt;""),SUBSTITUTE(SUBSTITUTE(SUBSTITUTE(SUBSTITUTE(SUBSTITUTE(SUBSTITUTE(SUBSTITUTE(SUBSTITUTE(SUBSTITUTE(SUBSTITUTE(SUBSTITUTE(SUBSTITUTE(LOWER(TRIM(B1001)),"á","a"),"é","e"),"í","i"),"ó","o"),"ú","u"),"ü","u"),"ñ","n"),"à","a"),"è","e"),"ì","i"),"ò","o"),"ù","u"),"")</f>
        <v/>
      </c>
      <c r="P1001" s="25">
        <f>IF(AND(L1001=1,C1001&lt;&gt;""),SUBSTITUTE(SUBSTITUTE(SUBSTITUTE(SUBSTITUTE(SUBSTITUTE(SUBSTITUTE(SUBSTITUTE(SUBSTITUTE(SUBSTITUTE(SUBSTITUTE(SUBSTITUTE(SUBSTITUTE(LOWER(TRIM(C1001)),"á","a"),"é","e"),"í","i"),"ó","o"),"ú","u"),"ü","u"),"ñ","n"),"à","a"),"è","e"),"ì","i"),"ò","o"),"ù","u"),"")</f>
        <v/>
      </c>
      <c r="Q1001" s="25">
        <f>IF(AND(L1001=1,E1001&lt;&gt;""),SUBSTITUTE(SUBSTITUTE(SUBSTITUTE(SUBSTITUTE(SUBSTITUTE(SUBSTITUTE(SUBSTITUTE(SUBSTITUTE(SUBSTITUTE(SUBSTITUTE(SUBSTITUTE(SUBSTITUTE(LOWER(TRIM(E1001)),"á","a"),"é","e"),"í","i"),"ó","o"),"ú","u"),"ü","u"),"ñ","n"),"à","a"),"è","e"),"ì","i"),"ò","o"),"ù","u"),"")</f>
        <v/>
      </c>
      <c r="R1001" s="25">
        <f>IF(AND(L1001=1,I1001&lt;&gt;""),SUBSTITUTE(SUBSTITUTE(SUBSTITUTE(SUBSTITUTE(SUBSTITUTE(SUBSTITUTE(SUBSTITUTE(SUBSTITUTE(SUBSTITUTE(SUBSTITUTE(SUBSTITUTE(SUBSTITUTE(LOWER(TRIM(I1001)),"á","a"),"é","e"),"í","i"),"ó","o"),"ú","u"),"ü","u"),"ñ","n"),"à","a"),"è","e"),"ì","i"),"ò","o"),"ù","u"),"")</f>
        <v/>
      </c>
      <c r="S1001" s="25">
        <f>IF(R1001="","",IF(OR(R1001="si",R1001="tal vez"),1,0))</f>
        <v/>
      </c>
      <c r="T1001" s="25">
        <f>IF(AND(L1001=1,D1001&lt;&gt;""),IF(IFERROR(COUNTIFS(D$3:D1001,"="&amp;SUBSTITUTE(SUBSTITUTE(SUBSTITUTE(D1001,"~","~~"),"*","~*"),"?","~?"),L$3:L1001,1),0)=1,MAX(T$2:T1000)+1,""),"")</f>
        <v/>
      </c>
      <c r="U1001" s="25">
        <f>IF(T1001="","",COUNTIFS($D$3:$D$1002,"="&amp;SUBSTITUTE(SUBSTITUTE(SUBSTITUTE(D1001,"~","~~"),"*","~*"),"?","~?"),$L$3:$L$1002,1)*10000-T1001)</f>
        <v/>
      </c>
      <c r="V1001" s="25">
        <f>IF(AND(L1001=1,J1001&lt;&gt;""),IF(IFERROR(COUNTIFS(J$3:J1001,"="&amp;SUBSTITUTE(SUBSTITUTE(SUBSTITUTE(J1001,"~","~~"),"*","~*"),"?","~?"),L$3:L1001,1),0)=1,MAX(V$2:V1000)+1,""),"")</f>
        <v/>
      </c>
      <c r="W1001" s="25">
        <f>IF(V1001="","",COUNTIFS($J$3:$J$1002,"="&amp;SUBSTITUTE(SUBSTITUTE(SUBSTITUTE(J1001,"~","~~"),"*","~*"),"?","~?"),$L$3:$L$1002,1)*10000-V1001)</f>
        <v/>
      </c>
    </row>
    <row r="1002">
      <c r="A1002">
        <f>IF(A$2=0,"",IFERROR(TRIM(INDEX('Pegar estudiantes'!$A$1:$BZ$1001,1001,A$2)&amp;""),""))</f>
        <v/>
      </c>
      <c r="B1002">
        <f>IF(B$2=0,"",IFERROR(TRIM(INDEX('Pegar estudiantes'!$A$1:$BZ$1001,1001,B$2)&amp;""),""))</f>
        <v/>
      </c>
      <c r="C1002">
        <f>IF(C$2=0,"",IFERROR(TRIM(INDEX('Pegar estudiantes'!$A$1:$BZ$1001,1001,C$2)&amp;""),""))</f>
        <v/>
      </c>
      <c r="D1002">
        <f>IF(D$2=0,"",IFERROR(TRIM(INDEX('Pegar estudiantes'!$A$1:$BZ$1001,1001,D$2)&amp;""),""))</f>
        <v/>
      </c>
      <c r="E1002">
        <f>IF(E$2=0,"",IFERROR(TRIM(INDEX('Pegar estudiantes'!$A$1:$BZ$1001,1001,E$2)&amp;""),""))</f>
        <v/>
      </c>
      <c r="F1002">
        <f>IF(F$2=0,"",IFERROR(TRIM(INDEX('Pegar estudiantes'!$A$1:$BZ$1001,1001,F$2)&amp;""),""))</f>
        <v/>
      </c>
      <c r="G1002">
        <f>IF(G$2=0,"",IFERROR(TRIM(INDEX('Pegar estudiantes'!$A$1:$BZ$1001,1001,G$2)&amp;""),""))</f>
        <v/>
      </c>
      <c r="H1002">
        <f>IF(H$2=0,"",IFERROR(TRIM(INDEX('Pegar estudiantes'!$A$1:$BZ$1001,1001,H$2)&amp;""),""))</f>
        <v/>
      </c>
      <c r="I1002">
        <f>IF(I$2=0,"",IFERROR(TRIM(INDEX('Pegar estudiantes'!$A$1:$BZ$1001,1001,I$2)&amp;""),""))</f>
        <v/>
      </c>
      <c r="J1002">
        <f>IF(J$2=0,"",IFERROR(TRIM(INDEX('Pegar estudiantes'!$A$1:$BZ$1001,1001,J$2)&amp;""),""))</f>
        <v/>
      </c>
      <c r="K1002">
        <f>IF(K$2=0,"",IFERROR(TRIM(INDEX('Pegar estudiantes'!$A$1:$BZ$1001,1001,K$2)&amp;""),""))</f>
        <v/>
      </c>
      <c r="L1002" s="25">
        <f>IF(A1002&lt;&gt;"",1,"")</f>
        <v/>
      </c>
      <c r="M1002" s="25">
        <f>IF(L1002=1,IF(ISNUMBER(FIND("#"&amp;MID(A1002,1,1)&amp;"#","#0#1#2#3#4#5#6#7#8#9#")),IF(ISNUMBER(FIND("#"&amp;MID(A1002,2,1)&amp;"#","#0#1#2#3#4#5#6#7#8#9#")),IF(AND(VALUE(LEFT(A1002,2))&gt;=1,VALUE(LEFT(A1002,2))&lt;=5),VALUE(LEFT(A1002,2)),""),IF(AND(VALUE(LEFT(A1002,1))&gt;=1,VALUE(LEFT(A1002,1))&lt;=5),VALUE(LEFT(A1002,1)),"")),""),"")</f>
        <v/>
      </c>
      <c r="N1002" s="25">
        <f>IF(L1002=1,IF(ISNUMBER(FIND("#"&amp;MID(H1002,1,1)&amp;"#","#0#1#2#3#4#5#6#7#8#9#")),IF(ISNUMBER(FIND("#"&amp;MID(H1002,2,1)&amp;"#","#0#1#2#3#4#5#6#7#8#9#")),IF(AND(VALUE(LEFT(H1002,2))&gt;=1,VALUE(LEFT(H1002,2))&lt;=5),VALUE(LEFT(H1002,2)),""),IF(AND(VALUE(LEFT(H1002,1))&gt;=1,VALUE(LEFT(H1002,1))&lt;=5),VALUE(LEFT(H1002,1)),"")),""),"")</f>
        <v/>
      </c>
      <c r="O1002" s="25">
        <f>IF(AND(L1002=1,B1002&lt;&gt;""),SUBSTITUTE(SUBSTITUTE(SUBSTITUTE(SUBSTITUTE(SUBSTITUTE(SUBSTITUTE(SUBSTITUTE(SUBSTITUTE(SUBSTITUTE(SUBSTITUTE(SUBSTITUTE(SUBSTITUTE(LOWER(TRIM(B1002)),"á","a"),"é","e"),"í","i"),"ó","o"),"ú","u"),"ü","u"),"ñ","n"),"à","a"),"è","e"),"ì","i"),"ò","o"),"ù","u"),"")</f>
        <v/>
      </c>
      <c r="P1002" s="25">
        <f>IF(AND(L1002=1,C1002&lt;&gt;""),SUBSTITUTE(SUBSTITUTE(SUBSTITUTE(SUBSTITUTE(SUBSTITUTE(SUBSTITUTE(SUBSTITUTE(SUBSTITUTE(SUBSTITUTE(SUBSTITUTE(SUBSTITUTE(SUBSTITUTE(LOWER(TRIM(C1002)),"á","a"),"é","e"),"í","i"),"ó","o"),"ú","u"),"ü","u"),"ñ","n"),"à","a"),"è","e"),"ì","i"),"ò","o"),"ù","u"),"")</f>
        <v/>
      </c>
      <c r="Q1002" s="25">
        <f>IF(AND(L1002=1,E1002&lt;&gt;""),SUBSTITUTE(SUBSTITUTE(SUBSTITUTE(SUBSTITUTE(SUBSTITUTE(SUBSTITUTE(SUBSTITUTE(SUBSTITUTE(SUBSTITUTE(SUBSTITUTE(SUBSTITUTE(SUBSTITUTE(LOWER(TRIM(E1002)),"á","a"),"é","e"),"í","i"),"ó","o"),"ú","u"),"ü","u"),"ñ","n"),"à","a"),"è","e"),"ì","i"),"ò","o"),"ù","u"),"")</f>
        <v/>
      </c>
      <c r="R1002" s="25">
        <f>IF(AND(L1002=1,I1002&lt;&gt;""),SUBSTITUTE(SUBSTITUTE(SUBSTITUTE(SUBSTITUTE(SUBSTITUTE(SUBSTITUTE(SUBSTITUTE(SUBSTITUTE(SUBSTITUTE(SUBSTITUTE(SUBSTITUTE(SUBSTITUTE(LOWER(TRIM(I1002)),"á","a"),"é","e"),"í","i"),"ó","o"),"ú","u"),"ü","u"),"ñ","n"),"à","a"),"è","e"),"ì","i"),"ò","o"),"ù","u"),"")</f>
        <v/>
      </c>
      <c r="S1002" s="25">
        <f>IF(R1002="","",IF(OR(R1002="si",R1002="tal vez"),1,0))</f>
        <v/>
      </c>
      <c r="T1002" s="25">
        <f>IF(AND(L1002=1,D1002&lt;&gt;""),IF(IFERROR(COUNTIFS(D$3:D1002,"="&amp;SUBSTITUTE(SUBSTITUTE(SUBSTITUTE(D1002,"~","~~"),"*","~*"),"?","~?"),L$3:L1002,1),0)=1,MAX(T$2:T1001)+1,""),"")</f>
        <v/>
      </c>
      <c r="U1002" s="25">
        <f>IF(T1002="","",COUNTIFS($D$3:$D$1002,"="&amp;SUBSTITUTE(SUBSTITUTE(SUBSTITUTE(D1002,"~","~~"),"*","~*"),"?","~?"),$L$3:$L$1002,1)*10000-T1002)</f>
        <v/>
      </c>
      <c r="V1002" s="25">
        <f>IF(AND(L1002=1,J1002&lt;&gt;""),IF(IFERROR(COUNTIFS(J$3:J1002,"="&amp;SUBSTITUTE(SUBSTITUTE(SUBSTITUTE(J1002,"~","~~"),"*","~*"),"?","~?"),L$3:L1002,1),0)=1,MAX(V$2:V1001)+1,""),"")</f>
        <v/>
      </c>
      <c r="W1002" s="25">
        <f>IF(V1002="","",COUNTIFS($J$3:$J$1002,"="&amp;SUBSTITUTE(SUBSTITUTE(SUBSTITUTE(J1002,"~","~~"),"*","~*"),"?","~?"),$L$3:$L$1002,1)*10000-V1002)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2026-09-24T16:03:19Z</dcterms:created>
  <dcterms:modified xsi:type="dcterms:W3CDTF">2026-09-24T16:03:20Z</dcterms:modified>
</cp:coreProperties>
</file>